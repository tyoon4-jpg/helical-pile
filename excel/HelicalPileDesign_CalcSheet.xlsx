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-Loads" sheetId="2" state="visible" r:id="rId2"/>
    <sheet xmlns:r="http://schemas.openxmlformats.org/officeDocument/2006/relationships" name="2-Geotech" sheetId="3" state="visible" r:id="rId3"/>
    <sheet xmlns:r="http://schemas.openxmlformats.org/officeDocument/2006/relationships" name="3-Sizing" sheetId="4" state="visible" r:id="rId4"/>
    <sheet xmlns:r="http://schemas.openxmlformats.org/officeDocument/2006/relationships" name="4-Axial" sheetId="5" state="visible" r:id="rId5"/>
    <sheet xmlns:r="http://schemas.openxmlformats.org/officeDocument/2006/relationships" name="5a-Broms" sheetId="6" state="visible" r:id="rId6"/>
    <sheet xmlns:r="http://schemas.openxmlformats.org/officeDocument/2006/relationships" name="5b-pySolver" sheetId="7" state="visible" r:id="rId7"/>
    <sheet xmlns:r="http://schemas.openxmlformats.org/officeDocument/2006/relationships" name="6-Structural" sheetId="8" state="visible" r:id="rId8"/>
    <sheet xmlns:r="http://schemas.openxmlformats.org/officeDocument/2006/relationships" name="7-Corrosion" sheetId="9" state="visible" r:id="rId9"/>
    <sheet xmlns:r="http://schemas.openxmlformats.org/officeDocument/2006/relationships" name="8-Connection" sheetId="10" state="visible" r:id="rId10"/>
    <sheet xmlns:r="http://schemas.openxmlformats.org/officeDocument/2006/relationships" name="9-Torque" sheetId="11" state="visible" r:id="rId11"/>
    <sheet xmlns:r="http://schemas.openxmlformats.org/officeDocument/2006/relationships" name="10-QAQC" sheetId="12" state="visible" r:id="rId12"/>
    <sheet xmlns:r="http://schemas.openxmlformats.org/officeDocument/2006/relationships" name="Summary" sheetId="13" state="visible" r:id="rId13"/>
  </sheets>
  <definedNames/>
  <calcPr calcId="124519" fullCalcOnLoad="1" iterate="0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0"/>
    <numFmt numFmtId="167" formatCode="0.00000"/>
    <numFmt numFmtId="168" formatCode="0.0"/>
    <numFmt numFmtId="169" formatCode="0.0000000"/>
    <numFmt numFmtId="170" formatCode="0.0000000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3864"/>
      <sz val="10"/>
    </font>
    <font>
      <sz val="10"/>
    </font>
    <font>
      <name val="Consolas"/>
      <sz val="10"/>
    </font>
    <font>
      <i val="1"/>
      <color rgb="007F7F7F"/>
      <sz val="8"/>
    </font>
    <font>
      <b val="1"/>
      <color rgb="001F4E78"/>
      <sz val="10"/>
    </font>
    <font>
      <color rgb="00000000"/>
      <sz val="10"/>
    </font>
    <font>
      <b val="1"/>
      <sz val="10"/>
    </font>
    <font>
      <i val="1"/>
      <color rgb="00833C00"/>
      <sz val="8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0B72A6"/>
      </patternFill>
    </fill>
    <fill>
      <patternFill patternType="solid">
        <fgColor rgb="00D9E7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3" fillId="0" borderId="0" pivotButton="0" quotePrefix="0" xfId="0"/>
    <xf numFmtId="0" fontId="6" fillId="4" borderId="1" pivotButton="0" quotePrefix="0" xfId="0"/>
    <xf numFmtId="0" fontId="5" fillId="0" borderId="0" pivotButton="0" quotePrefix="0" xfId="0"/>
    <xf numFmtId="164" fontId="7" fillId="0" borderId="1" pivotButton="0" quotePrefix="0" xfId="0"/>
    <xf numFmtId="164" fontId="8" fillId="5" borderId="1" pivotButton="0" quotePrefix="0" xfId="0"/>
    <xf numFmtId="0" fontId="9" fillId="6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0" borderId="1" pivotButton="0" quotePrefix="0" xfId="0"/>
    <xf numFmtId="0" fontId="2" fillId="0" borderId="0" pivotButton="0" quotePrefix="0" xfId="0"/>
    <xf numFmtId="165" fontId="7" fillId="0" borderId="1" pivotButton="0" quotePrefix="0" xfId="0"/>
    <xf numFmtId="0" fontId="7" fillId="0" borderId="1" pivotButton="0" quotePrefix="0" xfId="0"/>
    <xf numFmtId="2" fontId="8" fillId="5" borderId="1" pivotButton="0" quotePrefix="0" xfId="0"/>
    <xf numFmtId="0" fontId="2" fillId="3" borderId="0" pivotButton="0" quotePrefix="0" xfId="0"/>
    <xf numFmtId="166" fontId="0" fillId="0" borderId="0" pivotButton="0" quotePrefix="0" xfId="0"/>
    <xf numFmtId="167" fontId="7" fillId="0" borderId="0" pivotButton="0" quotePrefix="0" xfId="0"/>
    <xf numFmtId="164" fontId="0" fillId="0" borderId="0" pivotButton="0" quotePrefix="0" xfId="0"/>
    <xf numFmtId="164" fontId="8" fillId="5" borderId="0" pivotButton="0" quotePrefix="0" xfId="0"/>
    <xf numFmtId="165" fontId="8" fillId="5" borderId="0" pivotButton="0" quotePrefix="0" xfId="0"/>
    <xf numFmtId="2" fontId="7" fillId="0" borderId="1" pivotButton="0" quotePrefix="0" xfId="0"/>
    <xf numFmtId="0" fontId="8" fillId="5" borderId="0" pivotButton="0" quotePrefix="0" xfId="0"/>
    <xf numFmtId="168" fontId="0" fillId="0" borderId="0" pivotButton="0" quotePrefix="0" xfId="0"/>
    <xf numFmtId="169" fontId="7" fillId="0" borderId="1" pivotButton="0" quotePrefix="0" xfId="0"/>
    <xf numFmtId="165" fontId="8" fillId="5" borderId="1" pivotButton="0" quotePrefix="0" xfId="0"/>
    <xf numFmtId="166" fontId="7" fillId="0" borderId="1" pivotButton="0" quotePrefix="0" xfId="0"/>
    <xf numFmtId="170" fontId="7" fillId="0" borderId="1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tabSelected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HELICAL PILE DESIGN -- EXCEL CALC SHEET</t>
        </is>
      </c>
    </row>
    <row r="4">
      <c r="A4" s="2" t="inlineStr">
        <is>
          <t>Source</t>
        </is>
      </c>
    </row>
    <row r="5" ht="45" customHeight="1">
      <c r="A5" s="3" t="inlineStr">
        <is>
          <t>Ported from the helical-pile-design Python calc engine (src/helical_pile_design/*.py). Every sheet maps 1:1 to the numbered step in the governing design procedure document, same as the source package's module structure.</t>
        </is>
      </c>
    </row>
    <row r="7">
      <c r="A7" s="2" t="inlineStr">
        <is>
          <t>Pre-loaded example</t>
        </is>
      </c>
    </row>
    <row r="8" ht="30" customHeight="1">
      <c r="A8" s="3" t="inlineStr">
        <is>
          <t>All input cells (pale yellow) are pre-filled with the 12 m pole / medium-stiff-clay worked example from tests/test_worked_example_12m.py -- change any yellow cell for a new project.</t>
        </is>
      </c>
    </row>
    <row r="10">
      <c r="A10" s="2" t="inlineStr">
        <is>
          <t>Units</t>
        </is>
      </c>
    </row>
    <row r="11" ht="30" customHeight="1">
      <c r="A11" s="3" t="inlineStr">
        <is>
          <t>SI internally throughout (m, kN, kN*m, kPa), matching the source package convention. No unit conversions are hidden inside formulas.</t>
        </is>
      </c>
    </row>
    <row r="13">
      <c r="A13" s="2" t="inlineStr">
        <is>
          <t>Color key</t>
        </is>
      </c>
    </row>
    <row r="14" ht="30" customHeight="1">
      <c r="A14" s="3" t="inlineStr">
        <is>
          <t>Pale YELLOW = editable input. Pale GREEN = key result. Pale ORANGE = assumption/limitation to confirm. GREEN/RED cell = pass/fail.</t>
        </is>
      </c>
    </row>
    <row r="16">
      <c r="A16" s="2" t="inlineStr">
        <is>
          <t>Step 5b -- IMPORTANT</t>
        </is>
      </c>
    </row>
    <row r="17" ht="255" customHeight="1">
      <c r="A17" s="3" t="inlineStr">
        <is>
          <t>The p-y lateral solver (Step 5b) is a nonlinear finite-difference beam-on-Winkler-foundation solve. It is implemented with native array formulas (MMULT/MINVERSE) -- no macros, and NO 'enable iterative calculation' setting is needed. The Python solver's fixed-point relaxation loop is unrolled into 25-45 sequential 'generation' blocks stacked down the sheet, each depending only on the PREVIOUS generation's result (a one-way chain, not a circular reference), so Excel computes it in one ordinary pass. An earlier design nested the matrix solve inside a true self-referencing circular loop; tested in real Excel via COM automation, it proved unreliable -- a transient error during the first iterative pass would latch permanently and never resolve, a known rough edge of combining array formulas with circular references. The unrolled design avoids that failure mode entirely. The mesh here is coarsened (21 nodes / 20 elements for service+strength, 11 nodes / 10 elements for the pushover sweep) vs. the Python reference's 180 elements, to keep the workbook a manageable size. This was verified against the Python engine directly: at 20 elements, groundline deflection tracks the 180-element reference within ~4%, and pushover lambda_ult within the design procedure's expected 9.5-10 band -- comfortably inside this suite's own regression tolerances (15-30%). Treat this sheet as a calibrated engineering approximation, not a bit-exact reproduction; for final sealed calculations, cross-check against the Python package.</t>
        </is>
      </c>
    </row>
    <row r="19">
      <c r="A19" s="2" t="inlineStr">
        <is>
          <t>Two corrections vs. the source document</t>
        </is>
      </c>
    </row>
    <row r="20" ht="75" customHeight="1">
      <c r="A20" s="3" t="inlineStr">
        <is>
          <t>(1) Section 11.5.1's Broms hand calculation (Hu~=27 kN) doesn't satisfy the document's own closure equation -- the correct root is Hu~=32.4 kN (FS~=11.8). (2) Section 3.1's shaft-sizing heuristic coefficient (40) is dimensionally inconsistent; this sheet uses the corrected coefficient (320), same as sizing.py. Neither changes the worked example's pass/fail conclusions -- both were governed by ample margins either way.</t>
        </is>
      </c>
    </row>
    <row r="22">
      <c r="A22" s="2" t="inlineStr">
        <is>
          <t>What this sheet does NOT do</t>
        </is>
      </c>
    </row>
    <row r="23" ht="60" customHeight="1">
      <c r="A23" s="3" t="inlineStr">
        <is>
          <t>It does not duplicate calculation logic anywhere -- every formula traces to one function in the source package (cited on each sheet). It does not replace engineering judgment: cells marked '[ASSUMED -- validate]' (Kt, tau_ad, bolt thread-root modulus, etc.) still need project-specific verification, exactly as in the source app.</t>
        </is>
      </c>
    </row>
    <row r="25">
      <c r="A25" s="2" t="inlineStr">
        <is>
          <t>Step -&gt; sheet map</t>
        </is>
      </c>
    </row>
    <row r="26">
      <c r="A26" s="4" t="inlineStr">
        <is>
          <t>1  Loads                         -&gt; 1-Loads</t>
        </is>
      </c>
    </row>
    <row r="27">
      <c r="A27" s="4" t="inlineStr">
        <is>
          <t>2  Geotechnical parameterization -&gt; 2-Geotech</t>
        </is>
      </c>
    </row>
    <row r="28">
      <c r="A28" s="4" t="inlineStr">
        <is>
          <t>3  Preliminary sizing            -&gt; 3-Sizing</t>
        </is>
      </c>
    </row>
    <row r="29">
      <c r="A29" s="4" t="inlineStr">
        <is>
          <t>4  Axial capacity                -&gt; 4-Axial</t>
        </is>
      </c>
    </row>
    <row r="30">
      <c r="A30" s="4" t="inlineStr">
        <is>
          <t>5a Lateral -- Broms (prelim)     -&gt; 5a-Broms</t>
        </is>
      </c>
    </row>
    <row r="31">
      <c r="A31" s="4" t="inlineStr">
        <is>
          <t>5b Lateral -- p-y (final)        -&gt; 5b-pySolver</t>
        </is>
      </c>
    </row>
    <row r="32">
      <c r="A32" s="4" t="inlineStr">
        <is>
          <t>6  Structural (AISC 360)         -&gt; 6-Structural</t>
        </is>
      </c>
    </row>
    <row r="33">
      <c r="A33" s="4" t="inlineStr">
        <is>
          <t>7  Corrosion (75-yr life)        -&gt; 7-Corrosion</t>
        </is>
      </c>
    </row>
    <row r="34">
      <c r="A34" s="4" t="inlineStr">
        <is>
          <t>8  Pole-to-pile connection       -&gt; 8-Connection</t>
        </is>
      </c>
    </row>
    <row r="35">
      <c r="A35" s="4" t="inlineStr">
        <is>
          <t>9  Installation torque           -&gt; 9-Torque</t>
        </is>
      </c>
    </row>
    <row r="36">
      <c r="A36" s="4" t="inlineStr">
        <is>
          <t>10 QA/QC and load-test triggers  -&gt; 10-QAQC</t>
        </is>
      </c>
    </row>
    <row r="37">
      <c r="A37" s="4" t="inlineStr">
        <is>
          <t xml:space="preserve">   Pass/fail rollup              -&gt; Summary</t>
        </is>
      </c>
    </row>
  </sheetData>
  <mergeCells count="16">
    <mergeCell ref="A8"/>
    <mergeCell ref="A14"/>
    <mergeCell ref="A22"/>
    <mergeCell ref="A17"/>
    <mergeCell ref="A4"/>
    <mergeCell ref="A19"/>
    <mergeCell ref="A7"/>
    <mergeCell ref="A25"/>
    <mergeCell ref="A20"/>
    <mergeCell ref="A16"/>
    <mergeCell ref="A10"/>
    <mergeCell ref="A13"/>
    <mergeCell ref="A11"/>
    <mergeCell ref="A5"/>
    <mergeCell ref="A23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1 -- LOAD DETERMINATION</t>
        </is>
      </c>
    </row>
    <row r="3">
      <c r="A3" s="5" t="inlineStr">
        <is>
          <t>loads.py -- AASHTO LTS-6 wind pressure -&gt; groundline V, M, P, Tz. Doc Section 1, eq. 1.1-1.4.</t>
        </is>
      </c>
    </row>
    <row r="5">
      <c r="A5" s="2" t="inlineStr">
        <is>
          <t>Pole geometry (A1-A3)</t>
        </is>
      </c>
    </row>
    <row r="6">
      <c r="A6" s="6" t="inlineStr">
        <is>
          <t>Pole height, h</t>
        </is>
      </c>
      <c r="D6" s="7" t="n">
        <v>12</v>
      </c>
      <c r="E6" s="8" t="inlineStr">
        <is>
          <t>m</t>
        </is>
      </c>
    </row>
    <row r="7">
      <c r="A7" s="6" t="inlineStr">
        <is>
          <t>Base diameter, b_base</t>
        </is>
      </c>
      <c r="D7" s="7" t="n">
        <v>0.25</v>
      </c>
      <c r="E7" s="8" t="inlineStr">
        <is>
          <t>m</t>
        </is>
      </c>
    </row>
    <row r="8">
      <c r="A8" s="6" t="inlineStr">
        <is>
          <t>Top diameter, b_top</t>
        </is>
      </c>
      <c r="D8" s="7" t="n">
        <v>0.1</v>
      </c>
      <c r="E8" s="8" t="inlineStr">
        <is>
          <t>m</t>
        </is>
      </c>
    </row>
    <row r="9">
      <c r="A9" s="6" t="inlineStr">
        <is>
          <t>Pole+arm projected area, A_pole</t>
        </is>
      </c>
      <c r="D9" s="7" t="n">
        <v>2.1</v>
      </c>
      <c r="E9" s="8" t="inlineStr">
        <is>
          <t>m^2</t>
        </is>
      </c>
    </row>
    <row r="10">
      <c r="A10" s="6" t="inlineStr">
        <is>
          <t>Pole+arm weight</t>
        </is>
      </c>
      <c r="D10" s="7" t="n">
        <v>1.5</v>
      </c>
      <c r="E10" s="8" t="inlineStr">
        <is>
          <t>kN</t>
        </is>
      </c>
    </row>
    <row r="11">
      <c r="A11" s="6" t="inlineStr">
        <is>
          <t>Drag coefficient, Cd (round tapered)</t>
        </is>
      </c>
      <c r="D11" s="7" t="n">
        <v>0.5</v>
      </c>
      <c r="E11" s="8" t="inlineStr">
        <is>
          <t>-</t>
        </is>
      </c>
    </row>
    <row r="13">
      <c r="A13" s="2" t="inlineStr">
        <is>
          <t>Luminaire (A4-A5)</t>
        </is>
      </c>
    </row>
    <row r="14">
      <c r="A14" s="6" t="inlineStr">
        <is>
          <t>Luminaire EPA (includes Cd)</t>
        </is>
      </c>
      <c r="D14" s="7" t="n">
        <v>0.5</v>
      </c>
      <c r="E14" s="8" t="inlineStr">
        <is>
          <t>m^2</t>
        </is>
      </c>
    </row>
    <row r="15">
      <c r="A15" s="6" t="inlineStr">
        <is>
          <t>Luminaire weight</t>
        </is>
      </c>
      <c r="D15" s="7" t="n">
        <v>0.25</v>
      </c>
      <c r="E15" s="8" t="inlineStr">
        <is>
          <t>kN</t>
        </is>
      </c>
    </row>
    <row r="16">
      <c r="A16" s="6" t="inlineStr">
        <is>
          <t>Mast-arm eccentricity, e_arm</t>
        </is>
      </c>
      <c r="D16" s="7" t="n">
        <v>0</v>
      </c>
      <c r="E16" s="8" t="inlineStr">
        <is>
          <t>m</t>
        </is>
      </c>
    </row>
    <row r="18">
      <c r="A18" s="2" t="inlineStr">
        <is>
          <t>Wind environment -- strength case (A6-A7)</t>
        </is>
      </c>
    </row>
    <row r="19">
      <c r="A19" s="6" t="inlineStr">
        <is>
          <t>Basic wind speed, V (3-s gust, strength)</t>
        </is>
      </c>
      <c r="D19" s="7" t="n">
        <v>51.4</v>
      </c>
      <c r="E19" s="8" t="inlineStr">
        <is>
          <t>m/s</t>
        </is>
      </c>
    </row>
    <row r="20">
      <c r="A20" s="6" t="inlineStr">
        <is>
          <t>Kz at luminaire height</t>
        </is>
      </c>
      <c r="D20" s="7" t="n">
        <v>1.04</v>
      </c>
      <c r="E20" s="8" t="inlineStr">
        <is>
          <t>-</t>
        </is>
      </c>
    </row>
    <row r="21">
      <c r="A21" s="6" t="inlineStr">
        <is>
          <t>Kz at pole area centroid</t>
        </is>
      </c>
      <c r="D21" s="7" t="n">
        <v>1</v>
      </c>
      <c r="E21" s="8" t="inlineStr">
        <is>
          <t>-</t>
        </is>
      </c>
    </row>
    <row r="22">
      <c r="A22" s="6" t="inlineStr">
        <is>
          <t>Directionality, Kd</t>
        </is>
      </c>
      <c r="D22" s="7" t="n">
        <v>0.95</v>
      </c>
      <c r="E22" s="8" t="inlineStr">
        <is>
          <t>-</t>
        </is>
      </c>
    </row>
    <row r="23">
      <c r="A23" s="6" t="inlineStr">
        <is>
          <t>Gust factor, G</t>
        </is>
      </c>
      <c r="D23" s="7" t="n">
        <v>1.14</v>
      </c>
      <c r="E23" s="8" t="inlineStr">
        <is>
          <t>-</t>
        </is>
      </c>
    </row>
    <row r="24">
      <c r="A24" s="6" t="inlineStr">
        <is>
          <t>Service/strength pressure ratio (~10-yr MRI)</t>
        </is>
      </c>
      <c r="D24" s="7" t="n">
        <v>0.44</v>
      </c>
      <c r="E24" s="8" t="inlineStr">
        <is>
          <t>-</t>
        </is>
      </c>
    </row>
    <row r="26">
      <c r="A26" s="2" t="inlineStr">
        <is>
          <t>Load combination factors</t>
        </is>
      </c>
    </row>
    <row r="27">
      <c r="A27" s="6" t="inlineStr">
        <is>
          <t>Reveal (rigid riser above grade)</t>
        </is>
      </c>
      <c r="D27" s="7" t="n">
        <v>0</v>
      </c>
      <c r="E27" s="8" t="inlineStr">
        <is>
          <t>m</t>
        </is>
      </c>
    </row>
    <row r="28">
      <c r="A28" s="6" t="inlineStr">
        <is>
          <t>Dead load factor</t>
        </is>
      </c>
      <c r="D28" s="7" t="n">
        <v>1</v>
      </c>
      <c r="E28" s="8" t="inlineStr">
        <is>
          <t>-</t>
        </is>
      </c>
    </row>
    <row r="29">
      <c r="A29" s="6" t="inlineStr">
        <is>
          <t>Wind load factor</t>
        </is>
      </c>
      <c r="D29" s="7" t="n">
        <v>1</v>
      </c>
      <c r="E29" s="8" t="inlineStr">
        <is>
          <t>-</t>
        </is>
      </c>
    </row>
    <row r="31">
      <c r="A31" s="2" t="inlineStr">
        <is>
          <t>Calculated -- Strength case (Extreme I)</t>
        </is>
      </c>
    </row>
    <row r="32">
      <c r="A32" s="5" t="inlineStr">
        <is>
          <t>eq. 1.1: Pz = 0.613*Kz*Kd*G*V^2 [Pa]-&gt;kPa.  eq. 1.2: z_bar = (h/3)(b_base+2b_top)/(b_base+b_top).</t>
        </is>
      </c>
    </row>
    <row r="33">
      <c r="A33" s="6" t="inlineStr">
        <is>
          <t>Centroid height, z_bar</t>
        </is>
      </c>
      <c r="D33" s="9">
        <f>($D$6/3)*($D$7+2*$D$8)/($D$7+$D$8)</f>
        <v/>
      </c>
      <c r="E33" s="8" t="inlineStr">
        <is>
          <t>m</t>
        </is>
      </c>
    </row>
    <row r="34">
      <c r="A34" s="6" t="inlineStr">
        <is>
          <t>Design pressure at z_bar, Pz(z_bar)</t>
        </is>
      </c>
      <c r="D34" s="9">
        <f>0.613*$D$21*$D$22*$D$23*$D$19^2/1000</f>
        <v/>
      </c>
      <c r="E34" s="8" t="inlineStr">
        <is>
          <t>kPa</t>
        </is>
      </c>
    </row>
    <row r="35">
      <c r="A35" s="6" t="inlineStr">
        <is>
          <t>Design pressure at h, Pz(h)</t>
        </is>
      </c>
      <c r="D35" s="9">
        <f>0.613*$D$20*$D$22*$D$23*$D$19^2/1000</f>
        <v/>
      </c>
      <c r="E35" s="8" t="inlineStr">
        <is>
          <t>kPa</t>
        </is>
      </c>
    </row>
    <row r="36">
      <c r="A36" s="6" t="inlineStr">
        <is>
          <t>Pole+arm wind force, F_pole</t>
        </is>
      </c>
      <c r="D36" s="9">
        <f>$D$34*$D$11*$D$9</f>
        <v/>
      </c>
      <c r="E36" s="8" t="inlineStr">
        <is>
          <t>kN</t>
        </is>
      </c>
    </row>
    <row r="37">
      <c r="A37" s="6" t="inlineStr">
        <is>
          <t>Luminaire wind force, F_lum</t>
        </is>
      </c>
      <c r="D37" s="9">
        <f>$D$35*$D$14</f>
        <v/>
      </c>
      <c r="E37" s="8" t="inlineStr">
        <is>
          <t>kN</t>
        </is>
      </c>
    </row>
    <row r="38">
      <c r="A38" s="6" t="inlineStr">
        <is>
          <t>Groundline shear, V</t>
        </is>
      </c>
      <c r="D38" s="10">
        <f>$D$29*($D$36+$D$37)</f>
        <v/>
      </c>
      <c r="E38" s="8" t="inlineStr">
        <is>
          <t>kN</t>
        </is>
      </c>
    </row>
    <row r="39">
      <c r="A39" s="6" t="inlineStr">
        <is>
          <t>Groundline moment, M</t>
        </is>
      </c>
      <c r="D39" s="10">
        <f>$D$29*($D$36*$D$33+$D$37*$D$6)+$D$38*$D$27</f>
        <v/>
      </c>
      <c r="E39" s="8" t="inlineStr">
        <is>
          <t>kN*m</t>
        </is>
      </c>
    </row>
    <row r="40">
      <c r="A40" s="6" t="inlineStr">
        <is>
          <t>Groundline axial, P</t>
        </is>
      </c>
      <c r="D40" s="10">
        <f>$D$28*($D$10+$D$15)</f>
        <v/>
      </c>
      <c r="E40" s="8" t="inlineStr">
        <is>
          <t>kN</t>
        </is>
      </c>
    </row>
    <row r="41">
      <c r="A41" s="6" t="inlineStr">
        <is>
          <t>Groundline torsion, Tz</t>
        </is>
      </c>
      <c r="D41" s="10">
        <f>$D$29*$D$37*$D$16</f>
        <v/>
      </c>
      <c r="E41" s="8" t="inlineStr">
        <is>
          <t>kN*m</t>
        </is>
      </c>
    </row>
    <row r="42">
      <c r="A42" s="6" t="inlineStr">
        <is>
          <t>Load eccentricity, e = M/V</t>
        </is>
      </c>
      <c r="D42" s="10">
        <f>IF($D$38&lt;&gt;0,$D$39/$D$38,"inf")</f>
        <v/>
      </c>
      <c r="E42" s="8" t="inlineStr">
        <is>
          <t>m</t>
        </is>
      </c>
    </row>
    <row r="44">
      <c r="A44" s="2" t="inlineStr">
        <is>
          <t>Calculated -- Service case (~10-yr MRI)</t>
        </is>
      </c>
    </row>
    <row r="45">
      <c r="A45" s="5" t="inlineStr">
        <is>
          <t>eq. 1.4 note: V_service = V_strength * SQRT(service_pressure_ratio) (Pz ~ V^2).</t>
        </is>
      </c>
    </row>
    <row r="46">
      <c r="A46" s="6" t="inlineStr">
        <is>
          <t>Service wind speed, V_service</t>
        </is>
      </c>
      <c r="D46" s="9">
        <f>$D$19*SQRT($D$24)</f>
        <v/>
      </c>
      <c r="E46" s="8" t="inlineStr">
        <is>
          <t>m/s</t>
        </is>
      </c>
    </row>
    <row r="47">
      <c r="A47" s="6" t="inlineStr">
        <is>
          <t>Service pressure at z_bar</t>
        </is>
      </c>
      <c r="D47" s="9">
        <f>0.613*$D$21*$D$22*$D$23*$D$46^2/1000</f>
        <v/>
      </c>
      <c r="E47" s="8" t="inlineStr">
        <is>
          <t>kPa</t>
        </is>
      </c>
    </row>
    <row r="48">
      <c r="A48" s="6" t="inlineStr">
        <is>
          <t>Service pressure at h</t>
        </is>
      </c>
      <c r="D48" s="9">
        <f>0.613*$D$20*$D$22*$D$23*$D$46^2/1000</f>
        <v/>
      </c>
      <c r="E48" s="8" t="inlineStr">
        <is>
          <t>kPa</t>
        </is>
      </c>
    </row>
    <row r="49">
      <c r="A49" s="6" t="inlineStr">
        <is>
          <t>Service F_pole</t>
        </is>
      </c>
      <c r="D49" s="9">
        <f>$D$47*$D$11*$D$9</f>
        <v/>
      </c>
      <c r="E49" s="8" t="inlineStr">
        <is>
          <t>kN</t>
        </is>
      </c>
    </row>
    <row r="50">
      <c r="A50" s="6" t="inlineStr">
        <is>
          <t>Service F_lum</t>
        </is>
      </c>
      <c r="D50" s="9">
        <f>$D$48*$D$14</f>
        <v/>
      </c>
      <c r="E50" s="8" t="inlineStr">
        <is>
          <t>kN</t>
        </is>
      </c>
    </row>
    <row r="51">
      <c r="A51" s="6" t="inlineStr">
        <is>
          <t>Service shear, V_service</t>
        </is>
      </c>
      <c r="D51" s="10">
        <f>$D$29*($D$49+$D$50)</f>
        <v/>
      </c>
      <c r="E51" s="8" t="inlineStr">
        <is>
          <t>kN</t>
        </is>
      </c>
    </row>
    <row r="52">
      <c r="A52" s="6" t="inlineStr">
        <is>
          <t>Service moment, M_service</t>
        </is>
      </c>
      <c r="D52" s="10">
        <f>$D$29*($D$49*$D$33+$D$50*$D$6)+$D$51*$D$27</f>
        <v/>
      </c>
      <c r="E52" s="8" t="inlineStr">
        <is>
          <t>kN*m</t>
        </is>
      </c>
    </row>
    <row r="53">
      <c r="A53" s="6" t="inlineStr">
        <is>
          <t>Service axial, P_service</t>
        </is>
      </c>
      <c r="D53" s="9">
        <f>$D$40</f>
        <v/>
      </c>
      <c r="E53" s="8" t="inlineStr">
        <is>
          <t>kN</t>
        </is>
      </c>
    </row>
    <row r="54">
      <c r="A54" s="6" t="inlineStr">
        <is>
          <t>Service eccentricity, e_service</t>
        </is>
      </c>
      <c r="D54" s="9">
        <f>IF($D$51&lt;&gt;0,$D$52/$D$51,"inf")</f>
        <v/>
      </c>
      <c r="E54" s="8" t="inlineStr">
        <is>
          <t>m</t>
        </is>
      </c>
    </row>
  </sheetData>
  <mergeCells count="10">
    <mergeCell ref="A18:H18"/>
    <mergeCell ref="A1:H1"/>
    <mergeCell ref="A45:H45"/>
    <mergeCell ref="A3:H3"/>
    <mergeCell ref="A26:H26"/>
    <mergeCell ref="A13:H13"/>
    <mergeCell ref="A44:H44"/>
    <mergeCell ref="A5:H5"/>
    <mergeCell ref="A32:H32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2 -- GEOTECHNICAL PARAMETERIZATION</t>
        </is>
      </c>
    </row>
    <row r="3">
      <c r="A3" s="5" t="inlineStr">
        <is>
          <t>geotech.py -- SPT/CPT correlations -&gt; design soil profile. Doc Section 2.</t>
        </is>
      </c>
    </row>
    <row r="5">
      <c r="A5" s="2" t="inlineStr">
        <is>
          <t>Reference correlations (informational -- prefer lab/CPT for design Su)</t>
        </is>
      </c>
    </row>
    <row r="6">
      <c r="A6" s="6" t="inlineStr">
        <is>
          <t>SPT N60 (blows/ft), if available</t>
        </is>
      </c>
      <c r="D6" s="7" t="n">
        <v>17</v>
      </c>
      <c r="E6" s="8" t="inlineStr">
        <is>
          <t>-</t>
        </is>
      </c>
    </row>
    <row r="7">
      <c r="A7" s="6" t="inlineStr">
        <is>
          <t xml:space="preserve">  Su from N60 = 6*N60 (eq. 2.1)</t>
        </is>
      </c>
      <c r="D7" s="9">
        <f>6*$D$6</f>
        <v/>
      </c>
      <c r="E7" s="8" t="inlineStr">
        <is>
          <t>kPa</t>
        </is>
      </c>
    </row>
    <row r="8">
      <c r="A8" s="6" t="inlineStr">
        <is>
          <t>CPT qt, if available</t>
        </is>
      </c>
      <c r="D8" s="7" t="n">
        <v>0</v>
      </c>
      <c r="E8" s="8" t="inlineStr">
        <is>
          <t>kPa</t>
        </is>
      </c>
    </row>
    <row r="9">
      <c r="A9" s="6" t="inlineStr">
        <is>
          <t>In-situ sigma'v0 at CPT depth</t>
        </is>
      </c>
      <c r="D9" s="7" t="n">
        <v>0</v>
      </c>
      <c r="E9" s="8" t="inlineStr">
        <is>
          <t>kPa</t>
        </is>
      </c>
    </row>
    <row r="10">
      <c r="A10" s="6" t="inlineStr">
        <is>
          <t>CPT Nkt (12-16)</t>
        </is>
      </c>
      <c r="D10" s="7" t="n">
        <v>14</v>
      </c>
      <c r="E10" s="8" t="inlineStr">
        <is>
          <t>-</t>
        </is>
      </c>
    </row>
    <row r="11">
      <c r="A11" s="6" t="inlineStr">
        <is>
          <t xml:space="preserve">  Su from CPT (eq. 2.1)</t>
        </is>
      </c>
      <c r="D11" s="9">
        <f>IF($D$10=0,"n/a",($D$8-$D$9)/$D$10)</f>
        <v/>
      </c>
      <c r="E11" s="8" t="inlineStr">
        <is>
          <t>kPa</t>
        </is>
      </c>
    </row>
    <row r="12">
      <c r="A12" s="6" t="inlineStr">
        <is>
          <t xml:space="preserve">  phi' from N60, Peck/Hanson (eq. 2.2, sand only)</t>
        </is>
      </c>
      <c r="D12" s="9">
        <f>27.1+0.3*$D$6-0.00054*$D$6^2</f>
        <v/>
      </c>
      <c r="E12" s="8" t="inlineStr">
        <is>
          <t>deg</t>
        </is>
      </c>
    </row>
    <row r="14">
      <c r="A14" s="2" t="inlineStr">
        <is>
          <t>Design soil profile (governing clay layer within lateral influence zone)</t>
        </is>
      </c>
    </row>
    <row r="15">
      <c r="A15" s="6" t="inlineStr">
        <is>
          <t>Design Su (governing layer)</t>
        </is>
      </c>
      <c r="D15" s="7" t="n">
        <v>50</v>
      </c>
      <c r="E15" s="8" t="inlineStr">
        <is>
          <t>kPa</t>
        </is>
      </c>
    </row>
    <row r="16">
      <c r="A16" s="6" t="inlineStr">
        <is>
          <t>Basis</t>
        </is>
      </c>
      <c r="D16" s="7" t="inlineStr">
        <is>
          <t>lab UU/CU</t>
        </is>
      </c>
    </row>
    <row r="17">
      <c r="A17" s="6" t="inlineStr">
        <is>
          <t xml:space="preserve">  eps50 correlation vs. Su (reference, eq. 2.1)</t>
        </is>
      </c>
      <c r="D17" s="9">
        <f>IF($D$15&lt;25,0.02,IF($D$15&lt;=50,0.01,0.007))</f>
        <v/>
      </c>
      <c r="E17" s="8" t="inlineStr">
        <is>
          <t>-</t>
        </is>
      </c>
    </row>
    <row r="18">
      <c r="A18" s="6" t="inlineStr">
        <is>
          <t>Design eps50 (override -- engineering judgment)</t>
        </is>
      </c>
      <c r="D18" s="7" t="n">
        <v>0.007</v>
      </c>
      <c r="E18" s="8" t="inlineStr">
        <is>
          <t>-</t>
        </is>
      </c>
    </row>
    <row r="19" ht="26" customHeight="1">
      <c r="A19" s="11" t="inlineStr">
        <is>
          <t>NOTE: Doc worked example uses eps50=0.007 explicitly (stiff-clay band), overriding the raw Su=50 correlation boundary value of 0.01 -- confirm against site data.</t>
        </is>
      </c>
    </row>
    <row r="20">
      <c r="A20" s="6" t="inlineStr">
        <is>
          <t>Total unit weight, gamma (above GWT)</t>
        </is>
      </c>
      <c r="D20" s="7" t="n">
        <v>18.5</v>
      </c>
      <c r="E20" s="8" t="inlineStr">
        <is>
          <t>kN/m^3</t>
        </is>
      </c>
    </row>
    <row r="21">
      <c r="A21" s="6" t="inlineStr">
        <is>
          <t>Unit weight of water, gamma_w</t>
        </is>
      </c>
      <c r="D21" s="7" t="n">
        <v>9.81</v>
      </c>
      <c r="E21" s="8" t="inlineStr">
        <is>
          <t>kN/m^3</t>
        </is>
      </c>
    </row>
    <row r="22">
      <c r="A22" s="6" t="inlineStr">
        <is>
          <t>Submerged unit weight, gamma_sub (below GWT)</t>
        </is>
      </c>
      <c r="D22" s="9">
        <f>$D$20-$D$21</f>
        <v/>
      </c>
      <c r="E22" s="8" t="inlineStr">
        <is>
          <t>kN/m^3</t>
        </is>
      </c>
    </row>
    <row r="23">
      <c r="A23" s="6" t="inlineStr">
        <is>
          <t>Groundwater depth, GWT</t>
        </is>
      </c>
      <c r="D23" s="7" t="n">
        <v>3</v>
      </c>
      <c r="E23" s="8" t="inlineStr">
        <is>
          <t>m</t>
        </is>
      </c>
    </row>
    <row r="24">
      <c r="A24" s="6" t="inlineStr">
        <is>
          <t>Frost depth, d_f</t>
        </is>
      </c>
      <c r="D24" s="7" t="n">
        <v>1.2</v>
      </c>
      <c r="E24" s="8" t="inlineStr">
        <is>
          <t>m</t>
        </is>
      </c>
    </row>
    <row r="26">
      <c r="A26" s="2" t="inlineStr">
        <is>
          <t>Step 10 QA/QC trigger flag</t>
        </is>
      </c>
    </row>
    <row r="27">
      <c r="A27" s="12" t="inlineStr">
        <is>
          <t>p-y params from lab/CPT (not SPT-only)?</t>
        </is>
      </c>
      <c r="D27" s="13">
        <f>IF($D$16&lt;&gt;"SPT correlation",TRUE,FALSE)</f>
        <v/>
      </c>
    </row>
  </sheetData>
  <mergeCells count="6">
    <mergeCell ref="A1:H1"/>
    <mergeCell ref="A3:H3"/>
    <mergeCell ref="A26:H26"/>
    <mergeCell ref="A19:H19"/>
    <mergeCell ref="A14:H14"/>
    <mergeCell ref="A5:H5"/>
  </mergeCells>
  <conditionalFormatting sqref="D27">
    <cfRule type="expression" priority="1" dxfId="0">
      <formula>$D$27=TRUE</formula>
    </cfRule>
    <cfRule type="expression" priority="2" dxfId="1">
      <formula>$D$27=FALSE</formula>
    </cfRule>
  </conditionalFormatting>
  <dataValidations count="1">
    <dataValidation sqref="D16" showDropDown="0" showInputMessage="0" showErrorMessage="0" allowBlank="0" type="list">
      <formula1>"SPT correlation,lab UU/CU,CPT,lab + CPT"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3 -- PRELIMINARY PILE SIZING</t>
        </is>
      </c>
    </row>
    <row r="3">
      <c r="A3" s="5" t="inlineStr">
        <is>
          <t>sizing.py -- trial shaft/helix geometry + embedment screens. Doc Section 3.</t>
        </is>
      </c>
    </row>
    <row r="5">
      <c r="A5" s="2" t="inlineStr">
        <is>
          <t>Trial shaft diameter</t>
        </is>
      </c>
    </row>
    <row r="6">
      <c r="A6" s="5" t="inlineStr">
        <is>
          <t>Corrected heuristic (see sizing.py docstring): doc's own Section 3.1 coefficient (40) is dimensionally inconsistent (gives 0.71 m, outside its own stated 168-324 mm typical range). D_shaft &gt;= SQRT(Mu/320) used here instead, calibrated to the stated range -- a rough starting point only, refined by Steps 4-6.</t>
        </is>
      </c>
    </row>
    <row r="7">
      <c r="A7" s="6" t="inlineStr">
        <is>
          <t>Design moment, Mu (from Step 1 strength case)</t>
        </is>
      </c>
      <c r="D7" s="9">
        <f>'1-Loads'!$D$39</f>
        <v/>
      </c>
      <c r="E7" s="8" t="inlineStr">
        <is>
          <t>kN*m</t>
        </is>
      </c>
    </row>
    <row r="8">
      <c r="A8" s="6" t="inlineStr">
        <is>
          <t>Required D_shaft (heuristic)</t>
        </is>
      </c>
      <c r="D8" s="9">
        <f>SQRT(MAX($D$7,0)/320)</f>
        <v/>
      </c>
      <c r="E8" s="8" t="inlineStr">
        <is>
          <t>m</t>
        </is>
      </c>
    </row>
    <row r="9">
      <c r="A9" s="6" t="inlineStr">
        <is>
          <t>Nearest standard OD (168/219/273/324 mm)</t>
        </is>
      </c>
      <c r="D9" s="9">
        <f>IF($D$8&lt;=0.168,0.168,IF($D$8&lt;=0.219,0.219,IF($D$8&lt;=0.273,0.273,0.324)))</f>
        <v/>
      </c>
      <c r="E9" s="8" t="inlineStr">
        <is>
          <t>m</t>
        </is>
      </c>
    </row>
    <row r="10">
      <c r="A10" s="6" t="inlineStr">
        <is>
          <t>Selected shaft OD, D_shaft</t>
        </is>
      </c>
      <c r="D10" s="7" t="n">
        <v>0.273</v>
      </c>
      <c r="E10" s="8" t="inlineStr">
        <is>
          <t>m</t>
        </is>
      </c>
    </row>
    <row r="11">
      <c r="A11" s="6" t="inlineStr">
        <is>
          <t>Nominal wall thickness, t_nominal</t>
        </is>
      </c>
      <c r="D11" s="7" t="n">
        <v>9.300000000000001</v>
      </c>
      <c r="E11" s="8" t="inlineStr">
        <is>
          <t>mm</t>
        </is>
      </c>
    </row>
    <row r="13">
      <c r="A13" s="2" t="inlineStr">
        <is>
          <t>Trial helix configuration (doc Section 3.2)</t>
        </is>
      </c>
    </row>
    <row r="14">
      <c r="A14" s="5" t="inlineStr">
        <is>
          <t>Up to 3 helices supported. Leave diameter/depth blank for an unused plate.</t>
        </is>
      </c>
    </row>
    <row r="15">
      <c r="A15" s="14" t="inlineStr">
        <is>
          <t>Helix #</t>
        </is>
      </c>
      <c r="D15" s="14" t="inlineStr">
        <is>
          <t>Diameter, D_h (m)</t>
        </is>
      </c>
      <c r="E15" s="14" t="inlineStr">
        <is>
          <t>Depth, z (m)</t>
        </is>
      </c>
    </row>
    <row r="16">
      <c r="A16" s="6" t="inlineStr">
        <is>
          <t xml:space="preserve">  Helix 1</t>
        </is>
      </c>
      <c r="D16" s="7" t="n">
        <v>0.45</v>
      </c>
      <c r="E16" s="7" t="n">
        <v>3</v>
      </c>
    </row>
    <row r="17">
      <c r="A17" s="6" t="inlineStr">
        <is>
          <t xml:space="preserve">  Helix 2</t>
        </is>
      </c>
      <c r="D17" s="7" t="n">
        <v>0.45</v>
      </c>
      <c r="E17" s="7" t="n">
        <v>4.35</v>
      </c>
    </row>
    <row r="18">
      <c r="A18" s="6" t="inlineStr">
        <is>
          <t xml:space="preserve">  Helix 3</t>
        </is>
      </c>
      <c r="D18" s="7" t="n"/>
      <c r="E18" s="7" t="n"/>
    </row>
    <row r="19">
      <c r="A19" s="6" t="inlineStr">
        <is>
          <t>Helix pitch</t>
        </is>
      </c>
      <c r="D19" s="7" t="n">
        <v>0.075</v>
      </c>
      <c r="E19" s="8" t="inlineStr">
        <is>
          <t>m</t>
        </is>
      </c>
    </row>
    <row r="20">
      <c r="A20" s="6" t="inlineStr">
        <is>
          <t>Shaft standoff below bottom helix</t>
        </is>
      </c>
      <c r="D20" s="7" t="n">
        <v>0.15</v>
      </c>
      <c r="E20" s="8" t="inlineStr">
        <is>
          <t>m</t>
        </is>
      </c>
    </row>
    <row r="22">
      <c r="A22" s="2" t="inlineStr">
        <is>
          <t>Embedment (doc Section 3.3)</t>
        </is>
      </c>
    </row>
    <row r="23">
      <c r="A23" s="6" t="inlineStr">
        <is>
          <t>Top helix depth</t>
        </is>
      </c>
      <c r="D23" s="9">
        <f>MIN($E$16:$E$18)</f>
        <v/>
      </c>
      <c r="E23" s="8" t="inlineStr">
        <is>
          <t>m</t>
        </is>
      </c>
    </row>
    <row r="24">
      <c r="A24" s="6" t="inlineStr">
        <is>
          <t>Bottom helix depth</t>
        </is>
      </c>
      <c r="D24" s="9">
        <f>MAX($E$16:$E$18)</f>
        <v/>
      </c>
      <c r="E24" s="8" t="inlineStr">
        <is>
          <t>m</t>
        </is>
      </c>
    </row>
    <row r="25">
      <c r="A25" s="6" t="inlineStr">
        <is>
          <t>Pile tip depth, L</t>
        </is>
      </c>
      <c r="D25" s="10">
        <f>$D$24+$D$20</f>
        <v/>
      </c>
      <c r="E25" s="8" t="inlineStr">
        <is>
          <t>m</t>
        </is>
      </c>
    </row>
    <row r="26">
      <c r="A26" s="6" t="inlineStr">
        <is>
          <t>Top helix diameter, D_h,top</t>
        </is>
      </c>
      <c r="D26" s="9">
        <f t="array" ref="D26">INDEX($D$16:$D$18,MATCH($D$23,$E$16:$E$18,0))</f>
        <v/>
      </c>
      <c r="E26" s="8" t="inlineStr">
        <is>
          <t>m</t>
        </is>
      </c>
    </row>
    <row r="27">
      <c r="A27" s="6" t="inlineStr">
        <is>
          <t>Frost-clearance requirement (top &gt;= d_f+3*D_h)</t>
        </is>
      </c>
      <c r="D27" s="9">
        <f>'2-Geotech'!$D$24+3*$D$26</f>
        <v/>
      </c>
      <c r="E27" s="8" t="inlineStr">
        <is>
          <t>m</t>
        </is>
      </c>
    </row>
    <row r="28">
      <c r="A28" s="12" t="inlineStr">
        <is>
          <t>Frost clearance OK?</t>
        </is>
      </c>
      <c r="D28" s="13">
        <f>$D$23&gt;=$D$27</f>
        <v/>
      </c>
    </row>
    <row r="29">
      <c r="A29" s="6" t="inlineStr">
        <is>
          <t>'Deep foundation' requirement (top &gt;= 5*D_h)</t>
        </is>
      </c>
      <c r="D29" s="9">
        <f>5*$D$26</f>
        <v/>
      </c>
      <c r="E29" s="8" t="inlineStr">
        <is>
          <t>m</t>
        </is>
      </c>
    </row>
    <row r="30">
      <c r="A30" s="12" t="inlineStr">
        <is>
          <t>Deep-foundation mode OK?</t>
        </is>
      </c>
      <c r="D30" s="13">
        <f>$D$23&gt;=$D$29</f>
        <v/>
      </c>
    </row>
    <row r="31">
      <c r="A31" s="6" t="inlineStr">
        <is>
          <t>L / D_shaft (informational -- verify vs. Step 5 required length)</t>
        </is>
      </c>
      <c r="D31" s="9">
        <f>$D$25/$D$10</f>
        <v/>
      </c>
      <c r="E31" s="8" t="inlineStr">
        <is>
          <t>-</t>
        </is>
      </c>
    </row>
    <row r="32">
      <c r="A32" s="12" t="inlineStr">
        <is>
          <t>Step 3 embedment screens -- ALL PASS?</t>
        </is>
      </c>
      <c r="D32" s="13">
        <f>AND($D$28,$D$30)</f>
        <v/>
      </c>
    </row>
  </sheetData>
  <mergeCells count="7">
    <mergeCell ref="A1:H1"/>
    <mergeCell ref="A3:H3"/>
    <mergeCell ref="A13:H13"/>
    <mergeCell ref="A14:H14"/>
    <mergeCell ref="A5:H5"/>
    <mergeCell ref="A6:H6"/>
    <mergeCell ref="A22:H22"/>
  </mergeCells>
  <conditionalFormatting sqref="D28">
    <cfRule type="expression" priority="1" dxfId="0">
      <formula>$D$28=TRUE</formula>
    </cfRule>
    <cfRule type="expression" priority="2" dxfId="1">
      <formula>$D$28=FALSE</formula>
    </cfRule>
  </conditionalFormatting>
  <conditionalFormatting sqref="D30">
    <cfRule type="expression" priority="3" dxfId="0">
      <formula>$D$30=TRUE</formula>
    </cfRule>
    <cfRule type="expression" priority="4" dxfId="1">
      <formula>$D$30=FALSE</formula>
    </cfRule>
  </conditionalFormatting>
  <conditionalFormatting sqref="D32">
    <cfRule type="expression" priority="5" dxfId="0">
      <formula>$D$32=TRUE</formula>
    </cfRule>
    <cfRule type="expression" priority="6" dxfId="1">
      <formula>$D$32=FALSE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4 -- AXIAL CAPACITY (COMPRESSION &amp; TENSION)</t>
        </is>
      </c>
    </row>
    <row r="3">
      <c r="A3" s="5" t="inlineStr">
        <is>
          <t>axial.py -- individual bearing + cylindrical shear (lesser governs); frost-uplift demand. Doc Section 4. FS_required = 2.0.</t>
        </is>
      </c>
    </row>
    <row r="5">
      <c r="A5" s="2" t="inlineStr">
        <is>
          <t>Shared inputs</t>
        </is>
      </c>
    </row>
    <row r="6">
      <c r="A6" s="6" t="inlineStr">
        <is>
          <t>Shaft OD, D_shaft (Step 3)</t>
        </is>
      </c>
      <c r="D6" s="9">
        <f>'3-Sizing'!$D$10</f>
        <v/>
      </c>
      <c r="E6" s="8" t="inlineStr">
        <is>
          <t>m</t>
        </is>
      </c>
    </row>
    <row r="7">
      <c r="A7" s="6" t="inlineStr">
        <is>
          <t>Design Su (Step 2)</t>
        </is>
      </c>
      <c r="D7" s="9">
        <f>'2-Geotech'!$D$15</f>
        <v/>
      </c>
      <c r="E7" s="8" t="inlineStr">
        <is>
          <t>kPa</t>
        </is>
      </c>
    </row>
    <row r="8">
      <c r="A8" s="6" t="inlineStr">
        <is>
          <t>Effective shaft-adhesion length, L_eff (frost zone to top helix, doc-specific)</t>
        </is>
      </c>
      <c r="D8" s="7" t="n">
        <v>1.35</v>
      </c>
      <c r="E8" s="8" t="inlineStr">
        <is>
          <t>m</t>
        </is>
      </c>
    </row>
    <row r="9" ht="39" customHeight="1">
      <c r="A9" s="11" t="inlineStr">
        <is>
          <t>NOTE: L_eff is a caller-supplied parameter in axial.py (not auto-derived from helix depth) -- the worked example's 1.35 m reflects the doc's specific adhesion-zone definition; confirm against project geometry rather than assuming L_eff = top-helix-depth minus d_f.</t>
        </is>
      </c>
    </row>
    <row r="10">
      <c r="A10" s="6" t="inlineStr">
        <is>
          <t xml:space="preserve">  alpha (API linear-ramp correlation, reference)</t>
        </is>
      </c>
      <c r="D10" s="9">
        <f>IF($D$7&lt;=25,1,IF($D$7&gt;=70,0.5,1+($D$7-25)*(0.5-1)/(70-25)))</f>
        <v/>
      </c>
      <c r="E10" s="8" t="inlineStr">
        <is>
          <t>-</t>
        </is>
      </c>
    </row>
    <row r="11">
      <c r="A11" s="6" t="inlineStr">
        <is>
          <t>Alpha override (blank cell -&gt; use correlation above)</t>
        </is>
      </c>
      <c r="D11" s="7" t="n">
        <v>0.5</v>
      </c>
      <c r="E11" s="8" t="inlineStr">
        <is>
          <t>-</t>
        </is>
      </c>
    </row>
    <row r="12">
      <c r="A12" s="6" t="inlineStr">
        <is>
          <t>Alpha used</t>
        </is>
      </c>
      <c r="D12" s="9">
        <f>IF($D$11="",IF($D$7&lt;=25,1,IF($D$7&gt;=70,0.5,1+($D$7-25)*(0.5-1)/(70-25))),$D$11)</f>
        <v/>
      </c>
      <c r="E12" s="8" t="inlineStr">
        <is>
          <t>-</t>
        </is>
      </c>
    </row>
    <row r="14">
      <c r="A14" s="2" t="inlineStr">
        <is>
          <t>4.1 Individual bearing method (clay)</t>
        </is>
      </c>
    </row>
    <row r="15">
      <c r="A15" s="5" t="inlineStr">
        <is>
          <t>Qu = sum(A_h,i * 9*Su) + alpha*Su*pi*D_shaft*L_eff.  A_h = pi/4*(D_h^2-D_shaft^2).  eq. 4.1.</t>
        </is>
      </c>
    </row>
    <row r="16">
      <c r="A16" s="6" t="inlineStr">
        <is>
          <t xml:space="preserve">  Helix 1 net area, A_h</t>
        </is>
      </c>
      <c r="D16" s="15">
        <f>IF('3-Sizing'!$D$16="",0,PI()/4*('3-Sizing'!$D$16^2-$D$6^2))</f>
        <v/>
      </c>
      <c r="E16" s="8" t="inlineStr">
        <is>
          <t>m^2</t>
        </is>
      </c>
    </row>
    <row r="17">
      <c r="A17" s="6" t="inlineStr">
        <is>
          <t xml:space="preserve">  Helix 1 bearing = A_h*9*Su</t>
        </is>
      </c>
      <c r="D17" s="9">
        <f>$D$16*9*$D$7</f>
        <v/>
      </c>
      <c r="E17" s="8" t="inlineStr">
        <is>
          <t>kN</t>
        </is>
      </c>
    </row>
    <row r="18">
      <c r="A18" s="6" t="inlineStr">
        <is>
          <t xml:space="preserve">  Helix 2 net area, A_h</t>
        </is>
      </c>
      <c r="D18" s="15">
        <f>IF('3-Sizing'!$D$17="",0,PI()/4*('3-Sizing'!$D$17^2-$D$6^2))</f>
        <v/>
      </c>
      <c r="E18" s="8" t="inlineStr">
        <is>
          <t>m^2</t>
        </is>
      </c>
    </row>
    <row r="19">
      <c r="A19" s="6" t="inlineStr">
        <is>
          <t xml:space="preserve">  Helix 2 bearing = A_h*9*Su</t>
        </is>
      </c>
      <c r="D19" s="9">
        <f>$D$18*9*$D$7</f>
        <v/>
      </c>
      <c r="E19" s="8" t="inlineStr">
        <is>
          <t>kN</t>
        </is>
      </c>
    </row>
    <row r="20">
      <c r="A20" s="6" t="inlineStr">
        <is>
          <t xml:space="preserve">  Helix 3 net area, A_h</t>
        </is>
      </c>
      <c r="D20" s="15">
        <f>IF('3-Sizing'!$D$18="",0,PI()/4*('3-Sizing'!$D$18^2-$D$6^2))</f>
        <v/>
      </c>
      <c r="E20" s="8" t="inlineStr">
        <is>
          <t>m^2</t>
        </is>
      </c>
    </row>
    <row r="21">
      <c r="A21" s="6" t="inlineStr">
        <is>
          <t xml:space="preserve">  Helix 3 bearing = A_h*9*Su</t>
        </is>
      </c>
      <c r="D21" s="9">
        <f>$D$20*9*$D$7</f>
        <v/>
      </c>
      <c r="E21" s="8" t="inlineStr">
        <is>
          <t>kN</t>
        </is>
      </c>
    </row>
    <row r="22">
      <c r="A22" s="6" t="inlineStr">
        <is>
          <t>Shaft adhesion term = alpha*Su*pi*D_shaft*L_eff</t>
        </is>
      </c>
      <c r="D22" s="9">
        <f>$D$12*$D$7*PI()*$D$6*$D$8</f>
        <v/>
      </c>
      <c r="E22" s="8" t="inlineStr">
        <is>
          <t>kN</t>
        </is>
      </c>
    </row>
    <row r="23">
      <c r="A23" s="6" t="inlineStr">
        <is>
          <t>Qu, individual bearing (compression)</t>
        </is>
      </c>
      <c r="D23" s="10">
        <f>($D$17+$D$19+$D$21)+$D$22</f>
        <v/>
      </c>
      <c r="E23" s="8" t="inlineStr">
        <is>
          <t>kN</t>
        </is>
      </c>
    </row>
    <row r="25">
      <c r="A25" s="2" t="inlineStr">
        <is>
          <t>4.2 Cylindrical shear method</t>
        </is>
      </c>
    </row>
    <row r="26">
      <c r="A26" s="5" t="inlineStr">
        <is>
          <t>Qu = A_h,bottom*9*Su + Su*pi*D_h,avg*L_c + alpha*Su*pi*D_shaft*L_eff. Governs when helices are closely spaced. eq. 4.2.</t>
        </is>
      </c>
    </row>
    <row r="27">
      <c r="A27" s="6" t="inlineStr">
        <is>
          <t>Bottom helix diameter, D_h,bottom</t>
        </is>
      </c>
      <c r="D27" s="9">
        <f t="array" ref="D27">INDEX('3-Sizing'!$D$16:$D$18,MATCH('3-Sizing'!$D$24,'3-Sizing'!$E$16:$E$18,0))</f>
        <v/>
      </c>
      <c r="E27" s="8" t="inlineStr">
        <is>
          <t>m</t>
        </is>
      </c>
    </row>
    <row r="28">
      <c r="A28" s="6" t="inlineStr">
        <is>
          <t>Average helix diameter, D_h,avg</t>
        </is>
      </c>
      <c r="D28" s="9">
        <f>AVERAGE('3-Sizing'!$D$16:$D$18)</f>
        <v/>
      </c>
      <c r="E28" s="8" t="inlineStr">
        <is>
          <t>m</t>
        </is>
      </c>
    </row>
    <row r="29">
      <c r="A29" s="6" t="inlineStr">
        <is>
          <t>Cylinder length between helices, L_c</t>
        </is>
      </c>
      <c r="D29" s="9">
        <f>'3-Sizing'!$D$24-'3-Sizing'!$D$23</f>
        <v/>
      </c>
      <c r="E29" s="8" t="inlineStr">
        <is>
          <t>m</t>
        </is>
      </c>
    </row>
    <row r="30">
      <c r="A30" s="6" t="inlineStr">
        <is>
          <t>Bottom-helix bearing</t>
        </is>
      </c>
      <c r="D30" s="9">
        <f>PI()/4*($D$27^2-$D$6^2)*9*$D$7</f>
        <v/>
      </c>
      <c r="E30" s="8" t="inlineStr">
        <is>
          <t>kN</t>
        </is>
      </c>
    </row>
    <row r="31">
      <c r="A31" s="6" t="inlineStr">
        <is>
          <t>Cylinder shear</t>
        </is>
      </c>
      <c r="D31" s="9">
        <f>$D$7*PI()*$D$28*$D$29</f>
        <v/>
      </c>
      <c r="E31" s="8" t="inlineStr">
        <is>
          <t>kN</t>
        </is>
      </c>
    </row>
    <row r="32">
      <c r="A32" s="6" t="inlineStr">
        <is>
          <t>Qu, cylindrical shear (compression)</t>
        </is>
      </c>
      <c r="D32" s="10">
        <f>$D$30+$D$31+$D$22</f>
        <v/>
      </c>
      <c r="E32" s="8" t="inlineStr">
        <is>
          <t>kN</t>
        </is>
      </c>
    </row>
    <row r="34">
      <c r="A34" s="2" t="inlineStr">
        <is>
          <t>4.3 Frost-heave uplift demand</t>
        </is>
      </c>
    </row>
    <row r="35">
      <c r="A35" s="5" t="inlineStr">
        <is>
          <t>T_frost = tau_ad * pi * D_shaft * d_f.  eq. 4.3.</t>
        </is>
      </c>
    </row>
    <row r="36">
      <c r="A36" s="6" t="inlineStr">
        <is>
          <t>Adfreeze bond stress, tau_ad [ASSUMED -- validate]</t>
        </is>
      </c>
      <c r="D36" s="7" t="n">
        <v>20</v>
      </c>
      <c r="E36" s="8" t="inlineStr">
        <is>
          <t>kPa</t>
        </is>
      </c>
    </row>
    <row r="37">
      <c r="A37" s="6" t="inlineStr">
        <is>
          <t>Frost-uplift demand, T_frost</t>
        </is>
      </c>
      <c r="D37" s="10">
        <f>$D$36*PI()*$D$6*'2-Geotech'!$D$24</f>
        <v/>
      </c>
      <c r="E37" s="8" t="inlineStr">
        <is>
          <t>kN</t>
        </is>
      </c>
    </row>
    <row r="39">
      <c r="A39" s="2" t="inlineStr">
        <is>
          <t>4.1 Uplift (tension) resistance</t>
        </is>
      </c>
    </row>
    <row r="40">
      <c r="A40" s="5" t="inlineStr">
        <is>
          <t>Tu = sum(A_h,i*9*Su) [+ optional shaft adhesion below d_f].</t>
        </is>
      </c>
    </row>
    <row r="41">
      <c r="A41" s="6" t="inlineStr">
        <is>
          <t>Tu, individual bearing (tension, helix only)</t>
        </is>
      </c>
      <c r="D41" s="10">
        <f>($D$17+$D$19+$D$21)</f>
        <v/>
      </c>
      <c r="E41" s="8" t="inlineStr">
        <is>
          <t>kN</t>
        </is>
      </c>
    </row>
    <row r="42">
      <c r="A42" s="6" t="inlineStr">
        <is>
          <t>Tu, cylindrical-shear tension [not defined by source module -- enter separately if a project-specific method applies, else leave = Tu,individual]</t>
        </is>
      </c>
      <c r="D42" s="7" t="n"/>
      <c r="E42" s="8" t="inlineStr">
        <is>
          <t>kN</t>
        </is>
      </c>
    </row>
    <row r="43">
      <c r="A43" s="6" t="inlineStr">
        <is>
          <t>Tu, cylindrical (used)</t>
        </is>
      </c>
      <c r="D43" s="9">
        <f>IF($D$42="",$D$41,$D$42)</f>
        <v/>
      </c>
      <c r="E43" s="8" t="inlineStr">
        <is>
          <t>kN</t>
        </is>
      </c>
    </row>
    <row r="45">
      <c r="A45" s="2" t="inlineStr">
        <is>
          <t>4.4 Acceptance -- FS_required = 2.0</t>
        </is>
      </c>
    </row>
    <row r="46">
      <c r="A46" s="6" t="inlineStr">
        <is>
          <t>Axial demand override, P_max (compression) [doc worked value includes adapter hardware + 1.25 DL factor not modeled in Step 1]</t>
        </is>
      </c>
      <c r="D46" s="7" t="n">
        <v>2.6</v>
      </c>
      <c r="E46" s="8" t="inlineStr">
        <is>
          <t>kN</t>
        </is>
      </c>
    </row>
    <row r="47">
      <c r="A47" s="6" t="inlineStr">
        <is>
          <t xml:space="preserve">  (for reference: Step 1 P_strength)</t>
        </is>
      </c>
      <c r="D47" s="9">
        <f>'1-Loads'!$D$40</f>
        <v/>
      </c>
      <c r="E47" s="8" t="inlineStr">
        <is>
          <t>kN</t>
        </is>
      </c>
    </row>
    <row r="48">
      <c r="A48" s="6" t="inlineStr">
        <is>
          <t>Governing Qu (compression)</t>
        </is>
      </c>
      <c r="D48" s="10">
        <f>MIN($D$23,$D$32)</f>
        <v/>
      </c>
      <c r="E48" s="8" t="inlineStr">
        <is>
          <t>kN</t>
        </is>
      </c>
    </row>
    <row r="49">
      <c r="A49" s="6" t="inlineStr">
        <is>
          <t xml:space="preserve">  Governing method</t>
        </is>
      </c>
      <c r="D49" s="16">
        <f>IF($D$23&lt;=$D$32,"individual bearing","cylindrical shear")</f>
        <v/>
      </c>
      <c r="E49" s="8" t="inlineStr">
        <is>
          <t>-</t>
        </is>
      </c>
    </row>
    <row r="50">
      <c r="A50" s="6" t="inlineStr">
        <is>
          <t>FS, compression</t>
        </is>
      </c>
      <c r="D50" s="17">
        <f>IF($D$46&gt;0,$D$48/$D$46,"inf")</f>
        <v/>
      </c>
      <c r="E50" s="8" t="inlineStr">
        <is>
          <t>-</t>
        </is>
      </c>
    </row>
    <row r="51">
      <c r="A51" s="12" t="inlineStr">
        <is>
          <t>Compression passes (FS&gt;=2.0)?</t>
        </is>
      </c>
      <c r="D51" s="13">
        <f>$D$50&gt;=2</f>
        <v/>
      </c>
    </row>
    <row r="53">
      <c r="A53" s="6" t="inlineStr">
        <is>
          <t>Governing Tu (tension)</t>
        </is>
      </c>
      <c r="D53" s="10">
        <f>MIN($D$41,$D$43)</f>
        <v/>
      </c>
      <c r="E53" s="8" t="inlineStr">
        <is>
          <t>kN</t>
        </is>
      </c>
    </row>
    <row r="54">
      <c r="A54" s="6" t="inlineStr">
        <is>
          <t>FS, tension (vs. frost uplift demand)</t>
        </is>
      </c>
      <c r="D54" s="17">
        <f>IF($D$37&gt;0,$D$53/$D$37,"inf")</f>
        <v/>
      </c>
      <c r="E54" s="8" t="inlineStr">
        <is>
          <t>-</t>
        </is>
      </c>
    </row>
    <row r="55">
      <c r="A55" s="12" t="inlineStr">
        <is>
          <t>Tension passes (FS&gt;=2.0)?</t>
        </is>
      </c>
      <c r="D55" s="13">
        <f>$D$54&gt;=2</f>
        <v/>
      </c>
    </row>
  </sheetData>
  <mergeCells count="13">
    <mergeCell ref="A9:H9"/>
    <mergeCell ref="A1:H1"/>
    <mergeCell ref="A45:H45"/>
    <mergeCell ref="A3:H3"/>
    <mergeCell ref="A26:H26"/>
    <mergeCell ref="A39:H39"/>
    <mergeCell ref="A15:H15"/>
    <mergeCell ref="A35:H35"/>
    <mergeCell ref="A25:H25"/>
    <mergeCell ref="A40:H40"/>
    <mergeCell ref="A14:H14"/>
    <mergeCell ref="A5:H5"/>
    <mergeCell ref="A34:H34"/>
  </mergeCells>
  <conditionalFormatting sqref="D51">
    <cfRule type="expression" priority="1" dxfId="0">
      <formula>$D$51=TRUE</formula>
    </cfRule>
    <cfRule type="expression" priority="2" dxfId="1">
      <formula>$D$51=FALSE</formula>
    </cfRule>
  </conditionalFormatting>
  <conditionalFormatting sqref="D55">
    <cfRule type="expression" priority="3" dxfId="0">
      <formula>$D$55=TRUE</formula>
    </cfRule>
    <cfRule type="expression" priority="4" dxfId="1">
      <formula>$D$55=FALSE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" customWidth="1" min="2" max="2"/>
    <col width="14" customWidth="1" min="3" max="3"/>
    <col width="14" customWidth="1" min="4" max="4"/>
    <col width="14" customWidth="1" min="5" max="5"/>
    <col width="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STEP 5a -- BROMS METHOD (PRELIMINARY LATERAL CHECK)</t>
        </is>
      </c>
    </row>
    <row r="3">
      <c r="A3" s="5" t="inlineStr">
        <is>
          <t>lateral_py.broms_ultimate_clay_kN -- free-head short rigid pile in clay. Doc eq. 5.2. FS_required = 2.0.</t>
        </is>
      </c>
    </row>
    <row r="5">
      <c r="A5" s="2" t="inlineStr">
        <is>
          <t>Inputs (linked)</t>
        </is>
      </c>
    </row>
    <row r="6">
      <c r="A6" s="6" t="inlineStr">
        <is>
          <t>Su</t>
        </is>
      </c>
      <c r="D6" s="9">
        <f>'2-Geotech'!$D$15</f>
        <v/>
      </c>
      <c r="E6" s="8" t="inlineStr">
        <is>
          <t>kPa</t>
        </is>
      </c>
    </row>
    <row r="7">
      <c r="A7" s="6" t="inlineStr">
        <is>
          <t>D_shaft</t>
        </is>
      </c>
      <c r="D7" s="9">
        <f>'3-Sizing'!$D$10</f>
        <v/>
      </c>
      <c r="E7" s="8" t="inlineStr">
        <is>
          <t>m</t>
        </is>
      </c>
    </row>
    <row r="8">
      <c r="A8" s="6" t="inlineStr">
        <is>
          <t>Embedded length, L (pile tip depth)</t>
        </is>
      </c>
      <c r="D8" s="9">
        <f>'3-Sizing'!$D$25</f>
        <v/>
      </c>
      <c r="E8" s="8" t="inlineStr">
        <is>
          <t>m</t>
        </is>
      </c>
    </row>
    <row r="9">
      <c r="A9" s="6" t="inlineStr">
        <is>
          <t>Load eccentricity, e = M/V (Step 1 strength)</t>
        </is>
      </c>
      <c r="D9" s="9">
        <f>'1-Loads'!$D$42</f>
        <v/>
      </c>
      <c r="E9" s="8" t="inlineStr">
        <is>
          <t>m</t>
        </is>
      </c>
    </row>
    <row r="10">
      <c r="A10" s="6" t="inlineStr">
        <is>
          <t>Frost depth, d_f</t>
        </is>
      </c>
      <c r="D10" s="9">
        <f>'2-Geotech'!$D$24</f>
        <v/>
      </c>
      <c r="E10" s="8" t="inlineStr">
        <is>
          <t>m</t>
        </is>
      </c>
    </row>
    <row r="11">
      <c r="A11" s="6" t="inlineStr">
        <is>
          <t>Design shear demand, V (Step 1 strength)</t>
        </is>
      </c>
      <c r="D11" s="9">
        <f>'1-Loads'!$D$38</f>
        <v/>
      </c>
      <c r="E11" s="8" t="inlineStr">
        <is>
          <t>kN</t>
        </is>
      </c>
    </row>
    <row r="13">
      <c r="A13" s="2" t="inlineStr">
        <is>
          <t>Closure-equation setup</t>
        </is>
      </c>
    </row>
    <row r="14">
      <c r="A14" s="5" t="inlineStr">
        <is>
          <t>z0 = MAX(1.5*D_shaft, d_f).  Available length must satisfy L = z0 + f + g.</t>
        </is>
      </c>
    </row>
    <row r="15">
      <c r="A15" s="6" t="inlineStr">
        <is>
          <t>Exclusion depth, z0</t>
        </is>
      </c>
      <c r="D15" s="9">
        <f>MAX(1.5*$D$7,$D$10)</f>
        <v/>
      </c>
      <c r="E15" s="8" t="inlineStr">
        <is>
          <t>m</t>
        </is>
      </c>
    </row>
    <row r="16">
      <c r="A16" s="6" t="inlineStr">
        <is>
          <t>Available length, avail = L - z0</t>
        </is>
      </c>
      <c r="D16" s="9">
        <f>$D$8-$D$15</f>
        <v/>
      </c>
      <c r="E16" s="8" t="inlineStr">
        <is>
          <t>m</t>
        </is>
      </c>
    </row>
    <row r="17" ht="39" customHeight="1">
      <c r="A17" s="11" t="inlineStr">
        <is>
          <t>NOTE: If 'avail' &lt;= 0, the embedded length does not clear the exclusion depth -- lengthen the pile before proceeding (matches the ValueError raised by broms_ultimate_clay_kN in the source module).</t>
        </is>
      </c>
    </row>
    <row r="19">
      <c r="A19" s="2" t="inlineStr">
        <is>
          <t>Bisection solve for Hu (closure equation g(Hu) = f + g - avail = 0)</t>
        </is>
      </c>
    </row>
    <row r="20">
      <c r="A20" s="5" t="inlineStr">
        <is>
          <t>f = Hu/(9*Su*D_shaft).  Mmax = Hu*(e+z0+0.5f).  g = SQRT(MAX(Mmax,0)/(2.25*Su*D_shaft)). 60-step bisection ladder -- plain formulas, no circular references, no macros.</t>
        </is>
      </c>
    </row>
    <row r="21">
      <c r="B21" s="18" t="inlineStr">
        <is>
          <t>iter</t>
        </is>
      </c>
      <c r="C21" s="18" t="inlineStr">
        <is>
          <t>lo (kN)</t>
        </is>
      </c>
      <c r="D21" s="18" t="inlineStr">
        <is>
          <t>hi (kN)</t>
        </is>
      </c>
      <c r="E21" s="18" t="inlineStr">
        <is>
          <t>mid = Hu trial</t>
        </is>
      </c>
      <c r="F21" s="18" t="inlineStr">
        <is>
          <t>f</t>
        </is>
      </c>
      <c r="G21" s="18" t="inlineStr">
        <is>
          <t>Mmax</t>
        </is>
      </c>
      <c r="H21" s="18" t="inlineStr">
        <is>
          <t>g</t>
        </is>
      </c>
      <c r="I21" s="18" t="inlineStr">
        <is>
          <t>g(Hu)=f+g-avail</t>
        </is>
      </c>
    </row>
    <row r="22">
      <c r="B22" s="19" t="n">
        <v>1</v>
      </c>
      <c r="C22" s="19" t="n">
        <v>1e-06</v>
      </c>
      <c r="D22" s="19" t="n">
        <v>100000</v>
      </c>
      <c r="E22" s="19">
        <f>($C$22+$D$22)/2</f>
        <v/>
      </c>
      <c r="F22" s="19">
        <f>$E$22/(9*$D$6*$D$7)</f>
        <v/>
      </c>
      <c r="G22" s="19">
        <f>$E$22*($D$9+$D$15+0.5*$F$22)</f>
        <v/>
      </c>
      <c r="H22" s="19">
        <f>SQRT(MAX($G$22,0)/(2.25*$D$6*$D$7))</f>
        <v/>
      </c>
      <c r="I22" s="19">
        <f>$F$22+$H$22-$D$16</f>
        <v/>
      </c>
    </row>
    <row r="23">
      <c r="B23" s="19" t="n">
        <v>2</v>
      </c>
      <c r="C23" s="19">
        <f>IF($I$22&gt;0,$C$22,$E$22)</f>
        <v/>
      </c>
      <c r="D23" s="19">
        <f>IF($I$22&gt;0,$E$22,$D$22)</f>
        <v/>
      </c>
      <c r="E23" s="19">
        <f>($C$23+$D$23)/2</f>
        <v/>
      </c>
      <c r="F23" s="19">
        <f>$E$23/(9*$D$6*$D$7)</f>
        <v/>
      </c>
      <c r="G23" s="19">
        <f>$E$23*($D$9+$D$15+0.5*$F$23)</f>
        <v/>
      </c>
      <c r="H23" s="19">
        <f>SQRT(MAX($G$23,0)/(2.25*$D$6*$D$7))</f>
        <v/>
      </c>
      <c r="I23" s="19">
        <f>$F$23+$H$23-$D$16</f>
        <v/>
      </c>
    </row>
    <row r="24">
      <c r="B24" s="19" t="n">
        <v>3</v>
      </c>
      <c r="C24" s="19">
        <f>IF($I$23&gt;0,$C$23,$E$23)</f>
        <v/>
      </c>
      <c r="D24" s="19">
        <f>IF($I$23&gt;0,$E$23,$D$23)</f>
        <v/>
      </c>
      <c r="E24" s="19">
        <f>($C$24+$D$24)/2</f>
        <v/>
      </c>
      <c r="F24" s="19">
        <f>$E$24/(9*$D$6*$D$7)</f>
        <v/>
      </c>
      <c r="G24" s="19">
        <f>$E$24*($D$9+$D$15+0.5*$F$24)</f>
        <v/>
      </c>
      <c r="H24" s="19">
        <f>SQRT(MAX($G$24,0)/(2.25*$D$6*$D$7))</f>
        <v/>
      </c>
      <c r="I24" s="19">
        <f>$F$24+$H$24-$D$16</f>
        <v/>
      </c>
    </row>
    <row r="25">
      <c r="B25" s="19" t="n">
        <v>4</v>
      </c>
      <c r="C25" s="19">
        <f>IF($I$24&gt;0,$C$24,$E$24)</f>
        <v/>
      </c>
      <c r="D25" s="19">
        <f>IF($I$24&gt;0,$E$24,$D$24)</f>
        <v/>
      </c>
      <c r="E25" s="19">
        <f>($C$25+$D$25)/2</f>
        <v/>
      </c>
      <c r="F25" s="19">
        <f>$E$25/(9*$D$6*$D$7)</f>
        <v/>
      </c>
      <c r="G25" s="19">
        <f>$E$25*($D$9+$D$15+0.5*$F$25)</f>
        <v/>
      </c>
      <c r="H25" s="19">
        <f>SQRT(MAX($G$25,0)/(2.25*$D$6*$D$7))</f>
        <v/>
      </c>
      <c r="I25" s="19">
        <f>$F$25+$H$25-$D$16</f>
        <v/>
      </c>
    </row>
    <row r="26">
      <c r="B26" s="19" t="n">
        <v>5</v>
      </c>
      <c r="C26" s="19">
        <f>IF($I$25&gt;0,$C$25,$E$25)</f>
        <v/>
      </c>
      <c r="D26" s="19">
        <f>IF($I$25&gt;0,$E$25,$D$25)</f>
        <v/>
      </c>
      <c r="E26" s="19">
        <f>($C$26+$D$26)/2</f>
        <v/>
      </c>
      <c r="F26" s="19">
        <f>$E$26/(9*$D$6*$D$7)</f>
        <v/>
      </c>
      <c r="G26" s="19">
        <f>$E$26*($D$9+$D$15+0.5*$F$26)</f>
        <v/>
      </c>
      <c r="H26" s="19">
        <f>SQRT(MAX($G$26,0)/(2.25*$D$6*$D$7))</f>
        <v/>
      </c>
      <c r="I26" s="19">
        <f>$F$26+$H$26-$D$16</f>
        <v/>
      </c>
    </row>
    <row r="27">
      <c r="B27" s="19" t="n">
        <v>6</v>
      </c>
      <c r="C27" s="19">
        <f>IF($I$26&gt;0,$C$26,$E$26)</f>
        <v/>
      </c>
      <c r="D27" s="19">
        <f>IF($I$26&gt;0,$E$26,$D$26)</f>
        <v/>
      </c>
      <c r="E27" s="19">
        <f>($C$27+$D$27)/2</f>
        <v/>
      </c>
      <c r="F27" s="19">
        <f>$E$27/(9*$D$6*$D$7)</f>
        <v/>
      </c>
      <c r="G27" s="19">
        <f>$E$27*($D$9+$D$15+0.5*$F$27)</f>
        <v/>
      </c>
      <c r="H27" s="19">
        <f>SQRT(MAX($G$27,0)/(2.25*$D$6*$D$7))</f>
        <v/>
      </c>
      <c r="I27" s="19">
        <f>$F$27+$H$27-$D$16</f>
        <v/>
      </c>
    </row>
    <row r="28">
      <c r="B28" s="19" t="n">
        <v>7</v>
      </c>
      <c r="C28" s="19">
        <f>IF($I$27&gt;0,$C$27,$E$27)</f>
        <v/>
      </c>
      <c r="D28" s="19">
        <f>IF($I$27&gt;0,$E$27,$D$27)</f>
        <v/>
      </c>
      <c r="E28" s="19">
        <f>($C$28+$D$28)/2</f>
        <v/>
      </c>
      <c r="F28" s="19">
        <f>$E$28/(9*$D$6*$D$7)</f>
        <v/>
      </c>
      <c r="G28" s="19">
        <f>$E$28*($D$9+$D$15+0.5*$F$28)</f>
        <v/>
      </c>
      <c r="H28" s="19">
        <f>SQRT(MAX($G$28,0)/(2.25*$D$6*$D$7))</f>
        <v/>
      </c>
      <c r="I28" s="19">
        <f>$F$28+$H$28-$D$16</f>
        <v/>
      </c>
    </row>
    <row r="29">
      <c r="B29" s="19" t="n">
        <v>8</v>
      </c>
      <c r="C29" s="19">
        <f>IF($I$28&gt;0,$C$28,$E$28)</f>
        <v/>
      </c>
      <c r="D29" s="19">
        <f>IF($I$28&gt;0,$E$28,$D$28)</f>
        <v/>
      </c>
      <c r="E29" s="19">
        <f>($C$29+$D$29)/2</f>
        <v/>
      </c>
      <c r="F29" s="19">
        <f>$E$29/(9*$D$6*$D$7)</f>
        <v/>
      </c>
      <c r="G29" s="19">
        <f>$E$29*($D$9+$D$15+0.5*$F$29)</f>
        <v/>
      </c>
      <c r="H29" s="19">
        <f>SQRT(MAX($G$29,0)/(2.25*$D$6*$D$7))</f>
        <v/>
      </c>
      <c r="I29" s="19">
        <f>$F$29+$H$29-$D$16</f>
        <v/>
      </c>
    </row>
    <row r="30">
      <c r="B30" s="19" t="n">
        <v>9</v>
      </c>
      <c r="C30" s="19">
        <f>IF($I$29&gt;0,$C$29,$E$29)</f>
        <v/>
      </c>
      <c r="D30" s="19">
        <f>IF($I$29&gt;0,$E$29,$D$29)</f>
        <v/>
      </c>
      <c r="E30" s="19">
        <f>($C$30+$D$30)/2</f>
        <v/>
      </c>
      <c r="F30" s="19">
        <f>$E$30/(9*$D$6*$D$7)</f>
        <v/>
      </c>
      <c r="G30" s="19">
        <f>$E$30*($D$9+$D$15+0.5*$F$30)</f>
        <v/>
      </c>
      <c r="H30" s="19">
        <f>SQRT(MAX($G$30,0)/(2.25*$D$6*$D$7))</f>
        <v/>
      </c>
      <c r="I30" s="19">
        <f>$F$30+$H$30-$D$16</f>
        <v/>
      </c>
    </row>
    <row r="31">
      <c r="B31" s="19" t="n">
        <v>10</v>
      </c>
      <c r="C31" s="19">
        <f>IF($I$30&gt;0,$C$30,$E$30)</f>
        <v/>
      </c>
      <c r="D31" s="19">
        <f>IF($I$30&gt;0,$E$30,$D$30)</f>
        <v/>
      </c>
      <c r="E31" s="19">
        <f>($C$31+$D$31)/2</f>
        <v/>
      </c>
      <c r="F31" s="19">
        <f>$E$31/(9*$D$6*$D$7)</f>
        <v/>
      </c>
      <c r="G31" s="19">
        <f>$E$31*($D$9+$D$15+0.5*$F$31)</f>
        <v/>
      </c>
      <c r="H31" s="19">
        <f>SQRT(MAX($G$31,0)/(2.25*$D$6*$D$7))</f>
        <v/>
      </c>
      <c r="I31" s="19">
        <f>$F$31+$H$31-$D$16</f>
        <v/>
      </c>
    </row>
    <row r="32">
      <c r="B32" s="19" t="n">
        <v>11</v>
      </c>
      <c r="C32" s="19">
        <f>IF($I$31&gt;0,$C$31,$E$31)</f>
        <v/>
      </c>
      <c r="D32" s="19">
        <f>IF($I$31&gt;0,$E$31,$D$31)</f>
        <v/>
      </c>
      <c r="E32" s="19">
        <f>($C$32+$D$32)/2</f>
        <v/>
      </c>
      <c r="F32" s="19">
        <f>$E$32/(9*$D$6*$D$7)</f>
        <v/>
      </c>
      <c r="G32" s="19">
        <f>$E$32*($D$9+$D$15+0.5*$F$32)</f>
        <v/>
      </c>
      <c r="H32" s="19">
        <f>SQRT(MAX($G$32,0)/(2.25*$D$6*$D$7))</f>
        <v/>
      </c>
      <c r="I32" s="19">
        <f>$F$32+$H$32-$D$16</f>
        <v/>
      </c>
    </row>
    <row r="33">
      <c r="B33" s="19" t="n">
        <v>12</v>
      </c>
      <c r="C33" s="19">
        <f>IF($I$32&gt;0,$C$32,$E$32)</f>
        <v/>
      </c>
      <c r="D33" s="19">
        <f>IF($I$32&gt;0,$E$32,$D$32)</f>
        <v/>
      </c>
      <c r="E33" s="19">
        <f>($C$33+$D$33)/2</f>
        <v/>
      </c>
      <c r="F33" s="19">
        <f>$E$33/(9*$D$6*$D$7)</f>
        <v/>
      </c>
      <c r="G33" s="19">
        <f>$E$33*($D$9+$D$15+0.5*$F$33)</f>
        <v/>
      </c>
      <c r="H33" s="19">
        <f>SQRT(MAX($G$33,0)/(2.25*$D$6*$D$7))</f>
        <v/>
      </c>
      <c r="I33" s="19">
        <f>$F$33+$H$33-$D$16</f>
        <v/>
      </c>
    </row>
    <row r="34">
      <c r="B34" s="19" t="n">
        <v>13</v>
      </c>
      <c r="C34" s="19">
        <f>IF($I$33&gt;0,$C$33,$E$33)</f>
        <v/>
      </c>
      <c r="D34" s="19">
        <f>IF($I$33&gt;0,$E$33,$D$33)</f>
        <v/>
      </c>
      <c r="E34" s="19">
        <f>($C$34+$D$34)/2</f>
        <v/>
      </c>
      <c r="F34" s="19">
        <f>$E$34/(9*$D$6*$D$7)</f>
        <v/>
      </c>
      <c r="G34" s="19">
        <f>$E$34*($D$9+$D$15+0.5*$F$34)</f>
        <v/>
      </c>
      <c r="H34" s="19">
        <f>SQRT(MAX($G$34,0)/(2.25*$D$6*$D$7))</f>
        <v/>
      </c>
      <c r="I34" s="19">
        <f>$F$34+$H$34-$D$16</f>
        <v/>
      </c>
    </row>
    <row r="35">
      <c r="B35" s="19" t="n">
        <v>14</v>
      </c>
      <c r="C35" s="19">
        <f>IF($I$34&gt;0,$C$34,$E$34)</f>
        <v/>
      </c>
      <c r="D35" s="19">
        <f>IF($I$34&gt;0,$E$34,$D$34)</f>
        <v/>
      </c>
      <c r="E35" s="19">
        <f>($C$35+$D$35)/2</f>
        <v/>
      </c>
      <c r="F35" s="19">
        <f>$E$35/(9*$D$6*$D$7)</f>
        <v/>
      </c>
      <c r="G35" s="19">
        <f>$E$35*($D$9+$D$15+0.5*$F$35)</f>
        <v/>
      </c>
      <c r="H35" s="19">
        <f>SQRT(MAX($G$35,0)/(2.25*$D$6*$D$7))</f>
        <v/>
      </c>
      <c r="I35" s="19">
        <f>$F$35+$H$35-$D$16</f>
        <v/>
      </c>
    </row>
    <row r="36">
      <c r="B36" s="19" t="n">
        <v>15</v>
      </c>
      <c r="C36" s="19">
        <f>IF($I$35&gt;0,$C$35,$E$35)</f>
        <v/>
      </c>
      <c r="D36" s="19">
        <f>IF($I$35&gt;0,$E$35,$D$35)</f>
        <v/>
      </c>
      <c r="E36" s="19">
        <f>($C$36+$D$36)/2</f>
        <v/>
      </c>
      <c r="F36" s="19">
        <f>$E$36/(9*$D$6*$D$7)</f>
        <v/>
      </c>
      <c r="G36" s="19">
        <f>$E$36*($D$9+$D$15+0.5*$F$36)</f>
        <v/>
      </c>
      <c r="H36" s="19">
        <f>SQRT(MAX($G$36,0)/(2.25*$D$6*$D$7))</f>
        <v/>
      </c>
      <c r="I36" s="19">
        <f>$F$36+$H$36-$D$16</f>
        <v/>
      </c>
    </row>
    <row r="37">
      <c r="B37" s="19" t="n">
        <v>16</v>
      </c>
      <c r="C37" s="19">
        <f>IF($I$36&gt;0,$C$36,$E$36)</f>
        <v/>
      </c>
      <c r="D37" s="19">
        <f>IF($I$36&gt;0,$E$36,$D$36)</f>
        <v/>
      </c>
      <c r="E37" s="19">
        <f>($C$37+$D$37)/2</f>
        <v/>
      </c>
      <c r="F37" s="19">
        <f>$E$37/(9*$D$6*$D$7)</f>
        <v/>
      </c>
      <c r="G37" s="19">
        <f>$E$37*($D$9+$D$15+0.5*$F$37)</f>
        <v/>
      </c>
      <c r="H37" s="19">
        <f>SQRT(MAX($G$37,0)/(2.25*$D$6*$D$7))</f>
        <v/>
      </c>
      <c r="I37" s="19">
        <f>$F$37+$H$37-$D$16</f>
        <v/>
      </c>
    </row>
    <row r="38">
      <c r="B38" s="19" t="n">
        <v>17</v>
      </c>
      <c r="C38" s="19">
        <f>IF($I$37&gt;0,$C$37,$E$37)</f>
        <v/>
      </c>
      <c r="D38" s="19">
        <f>IF($I$37&gt;0,$E$37,$D$37)</f>
        <v/>
      </c>
      <c r="E38" s="19">
        <f>($C$38+$D$38)/2</f>
        <v/>
      </c>
      <c r="F38" s="19">
        <f>$E$38/(9*$D$6*$D$7)</f>
        <v/>
      </c>
      <c r="G38" s="19">
        <f>$E$38*($D$9+$D$15+0.5*$F$38)</f>
        <v/>
      </c>
      <c r="H38" s="19">
        <f>SQRT(MAX($G$38,0)/(2.25*$D$6*$D$7))</f>
        <v/>
      </c>
      <c r="I38" s="19">
        <f>$F$38+$H$38-$D$16</f>
        <v/>
      </c>
    </row>
    <row r="39">
      <c r="B39" s="19" t="n">
        <v>18</v>
      </c>
      <c r="C39" s="19">
        <f>IF($I$38&gt;0,$C$38,$E$38)</f>
        <v/>
      </c>
      <c r="D39" s="19">
        <f>IF($I$38&gt;0,$E$38,$D$38)</f>
        <v/>
      </c>
      <c r="E39" s="19">
        <f>($C$39+$D$39)/2</f>
        <v/>
      </c>
      <c r="F39" s="19">
        <f>$E$39/(9*$D$6*$D$7)</f>
        <v/>
      </c>
      <c r="G39" s="19">
        <f>$E$39*($D$9+$D$15+0.5*$F$39)</f>
        <v/>
      </c>
      <c r="H39" s="19">
        <f>SQRT(MAX($G$39,0)/(2.25*$D$6*$D$7))</f>
        <v/>
      </c>
      <c r="I39" s="19">
        <f>$F$39+$H$39-$D$16</f>
        <v/>
      </c>
    </row>
    <row r="40">
      <c r="B40" s="19" t="n">
        <v>19</v>
      </c>
      <c r="C40" s="19">
        <f>IF($I$39&gt;0,$C$39,$E$39)</f>
        <v/>
      </c>
      <c r="D40" s="19">
        <f>IF($I$39&gt;0,$E$39,$D$39)</f>
        <v/>
      </c>
      <c r="E40" s="19">
        <f>($C$40+$D$40)/2</f>
        <v/>
      </c>
      <c r="F40" s="19">
        <f>$E$40/(9*$D$6*$D$7)</f>
        <v/>
      </c>
      <c r="G40" s="19">
        <f>$E$40*($D$9+$D$15+0.5*$F$40)</f>
        <v/>
      </c>
      <c r="H40" s="19">
        <f>SQRT(MAX($G$40,0)/(2.25*$D$6*$D$7))</f>
        <v/>
      </c>
      <c r="I40" s="19">
        <f>$F$40+$H$40-$D$16</f>
        <v/>
      </c>
    </row>
    <row r="41">
      <c r="B41" s="19" t="n">
        <v>20</v>
      </c>
      <c r="C41" s="19">
        <f>IF($I$40&gt;0,$C$40,$E$40)</f>
        <v/>
      </c>
      <c r="D41" s="19">
        <f>IF($I$40&gt;0,$E$40,$D$40)</f>
        <v/>
      </c>
      <c r="E41" s="19">
        <f>($C$41+$D$41)/2</f>
        <v/>
      </c>
      <c r="F41" s="19">
        <f>$E$41/(9*$D$6*$D$7)</f>
        <v/>
      </c>
      <c r="G41" s="19">
        <f>$E$41*($D$9+$D$15+0.5*$F$41)</f>
        <v/>
      </c>
      <c r="H41" s="19">
        <f>SQRT(MAX($G$41,0)/(2.25*$D$6*$D$7))</f>
        <v/>
      </c>
      <c r="I41" s="19">
        <f>$F$41+$H$41-$D$16</f>
        <v/>
      </c>
    </row>
    <row r="42">
      <c r="B42" s="19" t="n">
        <v>21</v>
      </c>
      <c r="C42" s="19">
        <f>IF($I$41&gt;0,$C$41,$E$41)</f>
        <v/>
      </c>
      <c r="D42" s="19">
        <f>IF($I$41&gt;0,$E$41,$D$41)</f>
        <v/>
      </c>
      <c r="E42" s="19">
        <f>($C$42+$D$42)/2</f>
        <v/>
      </c>
      <c r="F42" s="19">
        <f>$E$42/(9*$D$6*$D$7)</f>
        <v/>
      </c>
      <c r="G42" s="19">
        <f>$E$42*($D$9+$D$15+0.5*$F$42)</f>
        <v/>
      </c>
      <c r="H42" s="19">
        <f>SQRT(MAX($G$42,0)/(2.25*$D$6*$D$7))</f>
        <v/>
      </c>
      <c r="I42" s="19">
        <f>$F$42+$H$42-$D$16</f>
        <v/>
      </c>
    </row>
    <row r="43">
      <c r="B43" s="19" t="n">
        <v>22</v>
      </c>
      <c r="C43" s="19">
        <f>IF($I$42&gt;0,$C$42,$E$42)</f>
        <v/>
      </c>
      <c r="D43" s="19">
        <f>IF($I$42&gt;0,$E$42,$D$42)</f>
        <v/>
      </c>
      <c r="E43" s="19">
        <f>($C$43+$D$43)/2</f>
        <v/>
      </c>
      <c r="F43" s="19">
        <f>$E$43/(9*$D$6*$D$7)</f>
        <v/>
      </c>
      <c r="G43" s="19">
        <f>$E$43*($D$9+$D$15+0.5*$F$43)</f>
        <v/>
      </c>
      <c r="H43" s="19">
        <f>SQRT(MAX($G$43,0)/(2.25*$D$6*$D$7))</f>
        <v/>
      </c>
      <c r="I43" s="19">
        <f>$F$43+$H$43-$D$16</f>
        <v/>
      </c>
    </row>
    <row r="44">
      <c r="B44" s="19" t="n">
        <v>23</v>
      </c>
      <c r="C44" s="19">
        <f>IF($I$43&gt;0,$C$43,$E$43)</f>
        <v/>
      </c>
      <c r="D44" s="19">
        <f>IF($I$43&gt;0,$E$43,$D$43)</f>
        <v/>
      </c>
      <c r="E44" s="19">
        <f>($C$44+$D$44)/2</f>
        <v/>
      </c>
      <c r="F44" s="19">
        <f>$E$44/(9*$D$6*$D$7)</f>
        <v/>
      </c>
      <c r="G44" s="19">
        <f>$E$44*($D$9+$D$15+0.5*$F$44)</f>
        <v/>
      </c>
      <c r="H44" s="19">
        <f>SQRT(MAX($G$44,0)/(2.25*$D$6*$D$7))</f>
        <v/>
      </c>
      <c r="I44" s="19">
        <f>$F$44+$H$44-$D$16</f>
        <v/>
      </c>
    </row>
    <row r="45">
      <c r="B45" s="19" t="n">
        <v>24</v>
      </c>
      <c r="C45" s="19">
        <f>IF($I$44&gt;0,$C$44,$E$44)</f>
        <v/>
      </c>
      <c r="D45" s="19">
        <f>IF($I$44&gt;0,$E$44,$D$44)</f>
        <v/>
      </c>
      <c r="E45" s="19">
        <f>($C$45+$D$45)/2</f>
        <v/>
      </c>
      <c r="F45" s="19">
        <f>$E$45/(9*$D$6*$D$7)</f>
        <v/>
      </c>
      <c r="G45" s="19">
        <f>$E$45*($D$9+$D$15+0.5*$F$45)</f>
        <v/>
      </c>
      <c r="H45" s="19">
        <f>SQRT(MAX($G$45,0)/(2.25*$D$6*$D$7))</f>
        <v/>
      </c>
      <c r="I45" s="19">
        <f>$F$45+$H$45-$D$16</f>
        <v/>
      </c>
    </row>
    <row r="46">
      <c r="B46" s="19" t="n">
        <v>25</v>
      </c>
      <c r="C46" s="19">
        <f>IF($I$45&gt;0,$C$45,$E$45)</f>
        <v/>
      </c>
      <c r="D46" s="19">
        <f>IF($I$45&gt;0,$E$45,$D$45)</f>
        <v/>
      </c>
      <c r="E46" s="19">
        <f>($C$46+$D$46)/2</f>
        <v/>
      </c>
      <c r="F46" s="19">
        <f>$E$46/(9*$D$6*$D$7)</f>
        <v/>
      </c>
      <c r="G46" s="19">
        <f>$E$46*($D$9+$D$15+0.5*$F$46)</f>
        <v/>
      </c>
      <c r="H46" s="19">
        <f>SQRT(MAX($G$46,0)/(2.25*$D$6*$D$7))</f>
        <v/>
      </c>
      <c r="I46" s="19">
        <f>$F$46+$H$46-$D$16</f>
        <v/>
      </c>
    </row>
    <row r="47">
      <c r="B47" s="19" t="n">
        <v>26</v>
      </c>
      <c r="C47" s="19">
        <f>IF($I$46&gt;0,$C$46,$E$46)</f>
        <v/>
      </c>
      <c r="D47" s="19">
        <f>IF($I$46&gt;0,$E$46,$D$46)</f>
        <v/>
      </c>
      <c r="E47" s="19">
        <f>($C$47+$D$47)/2</f>
        <v/>
      </c>
      <c r="F47" s="19">
        <f>$E$47/(9*$D$6*$D$7)</f>
        <v/>
      </c>
      <c r="G47" s="19">
        <f>$E$47*($D$9+$D$15+0.5*$F$47)</f>
        <v/>
      </c>
      <c r="H47" s="19">
        <f>SQRT(MAX($G$47,0)/(2.25*$D$6*$D$7))</f>
        <v/>
      </c>
      <c r="I47" s="19">
        <f>$F$47+$H$47-$D$16</f>
        <v/>
      </c>
    </row>
    <row r="48">
      <c r="B48" s="19" t="n">
        <v>27</v>
      </c>
      <c r="C48" s="19">
        <f>IF($I$47&gt;0,$C$47,$E$47)</f>
        <v/>
      </c>
      <c r="D48" s="19">
        <f>IF($I$47&gt;0,$E$47,$D$47)</f>
        <v/>
      </c>
      <c r="E48" s="19">
        <f>($C$48+$D$48)/2</f>
        <v/>
      </c>
      <c r="F48" s="19">
        <f>$E$48/(9*$D$6*$D$7)</f>
        <v/>
      </c>
      <c r="G48" s="19">
        <f>$E$48*($D$9+$D$15+0.5*$F$48)</f>
        <v/>
      </c>
      <c r="H48" s="19">
        <f>SQRT(MAX($G$48,0)/(2.25*$D$6*$D$7))</f>
        <v/>
      </c>
      <c r="I48" s="19">
        <f>$F$48+$H$48-$D$16</f>
        <v/>
      </c>
    </row>
    <row r="49">
      <c r="B49" s="19" t="n">
        <v>28</v>
      </c>
      <c r="C49" s="19">
        <f>IF($I$48&gt;0,$C$48,$E$48)</f>
        <v/>
      </c>
      <c r="D49" s="19">
        <f>IF($I$48&gt;0,$E$48,$D$48)</f>
        <v/>
      </c>
      <c r="E49" s="19">
        <f>($C$49+$D$49)/2</f>
        <v/>
      </c>
      <c r="F49" s="19">
        <f>$E$49/(9*$D$6*$D$7)</f>
        <v/>
      </c>
      <c r="G49" s="19">
        <f>$E$49*($D$9+$D$15+0.5*$F$49)</f>
        <v/>
      </c>
      <c r="H49" s="19">
        <f>SQRT(MAX($G$49,0)/(2.25*$D$6*$D$7))</f>
        <v/>
      </c>
      <c r="I49" s="19">
        <f>$F$49+$H$49-$D$16</f>
        <v/>
      </c>
    </row>
    <row r="50">
      <c r="B50" s="19" t="n">
        <v>29</v>
      </c>
      <c r="C50" s="19">
        <f>IF($I$49&gt;0,$C$49,$E$49)</f>
        <v/>
      </c>
      <c r="D50" s="19">
        <f>IF($I$49&gt;0,$E$49,$D$49)</f>
        <v/>
      </c>
      <c r="E50" s="19">
        <f>($C$50+$D$50)/2</f>
        <v/>
      </c>
      <c r="F50" s="19">
        <f>$E$50/(9*$D$6*$D$7)</f>
        <v/>
      </c>
      <c r="G50" s="19">
        <f>$E$50*($D$9+$D$15+0.5*$F$50)</f>
        <v/>
      </c>
      <c r="H50" s="19">
        <f>SQRT(MAX($G$50,0)/(2.25*$D$6*$D$7))</f>
        <v/>
      </c>
      <c r="I50" s="19">
        <f>$F$50+$H$50-$D$16</f>
        <v/>
      </c>
    </row>
    <row r="51">
      <c r="B51" s="19" t="n">
        <v>30</v>
      </c>
      <c r="C51" s="19">
        <f>IF($I$50&gt;0,$C$50,$E$50)</f>
        <v/>
      </c>
      <c r="D51" s="19">
        <f>IF($I$50&gt;0,$E$50,$D$50)</f>
        <v/>
      </c>
      <c r="E51" s="19">
        <f>($C$51+$D$51)/2</f>
        <v/>
      </c>
      <c r="F51" s="19">
        <f>$E$51/(9*$D$6*$D$7)</f>
        <v/>
      </c>
      <c r="G51" s="19">
        <f>$E$51*($D$9+$D$15+0.5*$F$51)</f>
        <v/>
      </c>
      <c r="H51" s="19">
        <f>SQRT(MAX($G$51,0)/(2.25*$D$6*$D$7))</f>
        <v/>
      </c>
      <c r="I51" s="19">
        <f>$F$51+$H$51-$D$16</f>
        <v/>
      </c>
    </row>
    <row r="52">
      <c r="B52" s="19" t="n">
        <v>31</v>
      </c>
      <c r="C52" s="19">
        <f>IF($I$51&gt;0,$C$51,$E$51)</f>
        <v/>
      </c>
      <c r="D52" s="19">
        <f>IF($I$51&gt;0,$E$51,$D$51)</f>
        <v/>
      </c>
      <c r="E52" s="19">
        <f>($C$52+$D$52)/2</f>
        <v/>
      </c>
      <c r="F52" s="19">
        <f>$E$52/(9*$D$6*$D$7)</f>
        <v/>
      </c>
      <c r="G52" s="19">
        <f>$E$52*($D$9+$D$15+0.5*$F$52)</f>
        <v/>
      </c>
      <c r="H52" s="19">
        <f>SQRT(MAX($G$52,0)/(2.25*$D$6*$D$7))</f>
        <v/>
      </c>
      <c r="I52" s="19">
        <f>$F$52+$H$52-$D$16</f>
        <v/>
      </c>
    </row>
    <row r="53">
      <c r="B53" s="19" t="n">
        <v>32</v>
      </c>
      <c r="C53" s="19">
        <f>IF($I$52&gt;0,$C$52,$E$52)</f>
        <v/>
      </c>
      <c r="D53" s="19">
        <f>IF($I$52&gt;0,$E$52,$D$52)</f>
        <v/>
      </c>
      <c r="E53" s="19">
        <f>($C$53+$D$53)/2</f>
        <v/>
      </c>
      <c r="F53" s="19">
        <f>$E$53/(9*$D$6*$D$7)</f>
        <v/>
      </c>
      <c r="G53" s="19">
        <f>$E$53*($D$9+$D$15+0.5*$F$53)</f>
        <v/>
      </c>
      <c r="H53" s="19">
        <f>SQRT(MAX($G$53,0)/(2.25*$D$6*$D$7))</f>
        <v/>
      </c>
      <c r="I53" s="19">
        <f>$F$53+$H$53-$D$16</f>
        <v/>
      </c>
    </row>
    <row r="54">
      <c r="B54" s="19" t="n">
        <v>33</v>
      </c>
      <c r="C54" s="19">
        <f>IF($I$53&gt;0,$C$53,$E$53)</f>
        <v/>
      </c>
      <c r="D54" s="19">
        <f>IF($I$53&gt;0,$E$53,$D$53)</f>
        <v/>
      </c>
      <c r="E54" s="19">
        <f>($C$54+$D$54)/2</f>
        <v/>
      </c>
      <c r="F54" s="19">
        <f>$E$54/(9*$D$6*$D$7)</f>
        <v/>
      </c>
      <c r="G54" s="19">
        <f>$E$54*($D$9+$D$15+0.5*$F$54)</f>
        <v/>
      </c>
      <c r="H54" s="19">
        <f>SQRT(MAX($G$54,0)/(2.25*$D$6*$D$7))</f>
        <v/>
      </c>
      <c r="I54" s="19">
        <f>$F$54+$H$54-$D$16</f>
        <v/>
      </c>
    </row>
    <row r="55">
      <c r="B55" s="19" t="n">
        <v>34</v>
      </c>
      <c r="C55" s="19">
        <f>IF($I$54&gt;0,$C$54,$E$54)</f>
        <v/>
      </c>
      <c r="D55" s="19">
        <f>IF($I$54&gt;0,$E$54,$D$54)</f>
        <v/>
      </c>
      <c r="E55" s="19">
        <f>($C$55+$D$55)/2</f>
        <v/>
      </c>
      <c r="F55" s="19">
        <f>$E$55/(9*$D$6*$D$7)</f>
        <v/>
      </c>
      <c r="G55" s="19">
        <f>$E$55*($D$9+$D$15+0.5*$F$55)</f>
        <v/>
      </c>
      <c r="H55" s="19">
        <f>SQRT(MAX($G$55,0)/(2.25*$D$6*$D$7))</f>
        <v/>
      </c>
      <c r="I55" s="19">
        <f>$F$55+$H$55-$D$16</f>
        <v/>
      </c>
    </row>
    <row r="56">
      <c r="B56" s="19" t="n">
        <v>35</v>
      </c>
      <c r="C56" s="19">
        <f>IF($I$55&gt;0,$C$55,$E$55)</f>
        <v/>
      </c>
      <c r="D56" s="19">
        <f>IF($I$55&gt;0,$E$55,$D$55)</f>
        <v/>
      </c>
      <c r="E56" s="19">
        <f>($C$56+$D$56)/2</f>
        <v/>
      </c>
      <c r="F56" s="19">
        <f>$E$56/(9*$D$6*$D$7)</f>
        <v/>
      </c>
      <c r="G56" s="19">
        <f>$E$56*($D$9+$D$15+0.5*$F$56)</f>
        <v/>
      </c>
      <c r="H56" s="19">
        <f>SQRT(MAX($G$56,0)/(2.25*$D$6*$D$7))</f>
        <v/>
      </c>
      <c r="I56" s="19">
        <f>$F$56+$H$56-$D$16</f>
        <v/>
      </c>
    </row>
    <row r="57">
      <c r="B57" s="19" t="n">
        <v>36</v>
      </c>
      <c r="C57" s="19">
        <f>IF($I$56&gt;0,$C$56,$E$56)</f>
        <v/>
      </c>
      <c r="D57" s="19">
        <f>IF($I$56&gt;0,$E$56,$D$56)</f>
        <v/>
      </c>
      <c r="E57" s="19">
        <f>($C$57+$D$57)/2</f>
        <v/>
      </c>
      <c r="F57" s="19">
        <f>$E$57/(9*$D$6*$D$7)</f>
        <v/>
      </c>
      <c r="G57" s="19">
        <f>$E$57*($D$9+$D$15+0.5*$F$57)</f>
        <v/>
      </c>
      <c r="H57" s="19">
        <f>SQRT(MAX($G$57,0)/(2.25*$D$6*$D$7))</f>
        <v/>
      </c>
      <c r="I57" s="19">
        <f>$F$57+$H$57-$D$16</f>
        <v/>
      </c>
    </row>
    <row r="58">
      <c r="B58" s="19" t="n">
        <v>37</v>
      </c>
      <c r="C58" s="19">
        <f>IF($I$57&gt;0,$C$57,$E$57)</f>
        <v/>
      </c>
      <c r="D58" s="19">
        <f>IF($I$57&gt;0,$E$57,$D$57)</f>
        <v/>
      </c>
      <c r="E58" s="19">
        <f>($C$58+$D$58)/2</f>
        <v/>
      </c>
      <c r="F58" s="19">
        <f>$E$58/(9*$D$6*$D$7)</f>
        <v/>
      </c>
      <c r="G58" s="19">
        <f>$E$58*($D$9+$D$15+0.5*$F$58)</f>
        <v/>
      </c>
      <c r="H58" s="19">
        <f>SQRT(MAX($G$58,0)/(2.25*$D$6*$D$7))</f>
        <v/>
      </c>
      <c r="I58" s="19">
        <f>$F$58+$H$58-$D$16</f>
        <v/>
      </c>
    </row>
    <row r="59">
      <c r="B59" s="19" t="n">
        <v>38</v>
      </c>
      <c r="C59" s="19">
        <f>IF($I$58&gt;0,$C$58,$E$58)</f>
        <v/>
      </c>
      <c r="D59" s="19">
        <f>IF($I$58&gt;0,$E$58,$D$58)</f>
        <v/>
      </c>
      <c r="E59" s="19">
        <f>($C$59+$D$59)/2</f>
        <v/>
      </c>
      <c r="F59" s="19">
        <f>$E$59/(9*$D$6*$D$7)</f>
        <v/>
      </c>
      <c r="G59" s="19">
        <f>$E$59*($D$9+$D$15+0.5*$F$59)</f>
        <v/>
      </c>
      <c r="H59" s="19">
        <f>SQRT(MAX($G$59,0)/(2.25*$D$6*$D$7))</f>
        <v/>
      </c>
      <c r="I59" s="19">
        <f>$F$59+$H$59-$D$16</f>
        <v/>
      </c>
    </row>
    <row r="60">
      <c r="B60" s="19" t="n">
        <v>39</v>
      </c>
      <c r="C60" s="19">
        <f>IF($I$59&gt;0,$C$59,$E$59)</f>
        <v/>
      </c>
      <c r="D60" s="19">
        <f>IF($I$59&gt;0,$E$59,$D$59)</f>
        <v/>
      </c>
      <c r="E60" s="19">
        <f>($C$60+$D$60)/2</f>
        <v/>
      </c>
      <c r="F60" s="19">
        <f>$E$60/(9*$D$6*$D$7)</f>
        <v/>
      </c>
      <c r="G60" s="19">
        <f>$E$60*($D$9+$D$15+0.5*$F$60)</f>
        <v/>
      </c>
      <c r="H60" s="19">
        <f>SQRT(MAX($G$60,0)/(2.25*$D$6*$D$7))</f>
        <v/>
      </c>
      <c r="I60" s="19">
        <f>$F$60+$H$60-$D$16</f>
        <v/>
      </c>
    </row>
    <row r="61">
      <c r="B61" s="19" t="n">
        <v>40</v>
      </c>
      <c r="C61" s="19">
        <f>IF($I$60&gt;0,$C$60,$E$60)</f>
        <v/>
      </c>
      <c r="D61" s="19">
        <f>IF($I$60&gt;0,$E$60,$D$60)</f>
        <v/>
      </c>
      <c r="E61" s="19">
        <f>($C$61+$D$61)/2</f>
        <v/>
      </c>
      <c r="F61" s="19">
        <f>$E$61/(9*$D$6*$D$7)</f>
        <v/>
      </c>
      <c r="G61" s="19">
        <f>$E$61*($D$9+$D$15+0.5*$F$61)</f>
        <v/>
      </c>
      <c r="H61" s="19">
        <f>SQRT(MAX($G$61,0)/(2.25*$D$6*$D$7))</f>
        <v/>
      </c>
      <c r="I61" s="19">
        <f>$F$61+$H$61-$D$16</f>
        <v/>
      </c>
    </row>
    <row r="62">
      <c r="B62" s="19" t="n">
        <v>41</v>
      </c>
      <c r="C62" s="19">
        <f>IF($I$61&gt;0,$C$61,$E$61)</f>
        <v/>
      </c>
      <c r="D62" s="19">
        <f>IF($I$61&gt;0,$E$61,$D$61)</f>
        <v/>
      </c>
      <c r="E62" s="19">
        <f>($C$62+$D$62)/2</f>
        <v/>
      </c>
      <c r="F62" s="19">
        <f>$E$62/(9*$D$6*$D$7)</f>
        <v/>
      </c>
      <c r="G62" s="19">
        <f>$E$62*($D$9+$D$15+0.5*$F$62)</f>
        <v/>
      </c>
      <c r="H62" s="19">
        <f>SQRT(MAX($G$62,0)/(2.25*$D$6*$D$7))</f>
        <v/>
      </c>
      <c r="I62" s="19">
        <f>$F$62+$H$62-$D$16</f>
        <v/>
      </c>
    </row>
    <row r="63">
      <c r="B63" s="19" t="n">
        <v>42</v>
      </c>
      <c r="C63" s="19">
        <f>IF($I$62&gt;0,$C$62,$E$62)</f>
        <v/>
      </c>
      <c r="D63" s="19">
        <f>IF($I$62&gt;0,$E$62,$D$62)</f>
        <v/>
      </c>
      <c r="E63" s="19">
        <f>($C$63+$D$63)/2</f>
        <v/>
      </c>
      <c r="F63" s="19">
        <f>$E$63/(9*$D$6*$D$7)</f>
        <v/>
      </c>
      <c r="G63" s="19">
        <f>$E$63*($D$9+$D$15+0.5*$F$63)</f>
        <v/>
      </c>
      <c r="H63" s="19">
        <f>SQRT(MAX($G$63,0)/(2.25*$D$6*$D$7))</f>
        <v/>
      </c>
      <c r="I63" s="19">
        <f>$F$63+$H$63-$D$16</f>
        <v/>
      </c>
    </row>
    <row r="64">
      <c r="B64" s="19" t="n">
        <v>43</v>
      </c>
      <c r="C64" s="19">
        <f>IF($I$63&gt;0,$C$63,$E$63)</f>
        <v/>
      </c>
      <c r="D64" s="19">
        <f>IF($I$63&gt;0,$E$63,$D$63)</f>
        <v/>
      </c>
      <c r="E64" s="19">
        <f>($C$64+$D$64)/2</f>
        <v/>
      </c>
      <c r="F64" s="19">
        <f>$E$64/(9*$D$6*$D$7)</f>
        <v/>
      </c>
      <c r="G64" s="19">
        <f>$E$64*($D$9+$D$15+0.5*$F$64)</f>
        <v/>
      </c>
      <c r="H64" s="19">
        <f>SQRT(MAX($G$64,0)/(2.25*$D$6*$D$7))</f>
        <v/>
      </c>
      <c r="I64" s="19">
        <f>$F$64+$H$64-$D$16</f>
        <v/>
      </c>
    </row>
    <row r="65">
      <c r="B65" s="19" t="n">
        <v>44</v>
      </c>
      <c r="C65" s="19">
        <f>IF($I$64&gt;0,$C$64,$E$64)</f>
        <v/>
      </c>
      <c r="D65" s="19">
        <f>IF($I$64&gt;0,$E$64,$D$64)</f>
        <v/>
      </c>
      <c r="E65" s="19">
        <f>($C$65+$D$65)/2</f>
        <v/>
      </c>
      <c r="F65" s="19">
        <f>$E$65/(9*$D$6*$D$7)</f>
        <v/>
      </c>
      <c r="G65" s="19">
        <f>$E$65*($D$9+$D$15+0.5*$F$65)</f>
        <v/>
      </c>
      <c r="H65" s="19">
        <f>SQRT(MAX($G$65,0)/(2.25*$D$6*$D$7))</f>
        <v/>
      </c>
      <c r="I65" s="19">
        <f>$F$65+$H$65-$D$16</f>
        <v/>
      </c>
    </row>
    <row r="66">
      <c r="B66" s="19" t="n">
        <v>45</v>
      </c>
      <c r="C66" s="19">
        <f>IF($I$65&gt;0,$C$65,$E$65)</f>
        <v/>
      </c>
      <c r="D66" s="19">
        <f>IF($I$65&gt;0,$E$65,$D$65)</f>
        <v/>
      </c>
      <c r="E66" s="19">
        <f>($C$66+$D$66)/2</f>
        <v/>
      </c>
      <c r="F66" s="19">
        <f>$E$66/(9*$D$6*$D$7)</f>
        <v/>
      </c>
      <c r="G66" s="19">
        <f>$E$66*($D$9+$D$15+0.5*$F$66)</f>
        <v/>
      </c>
      <c r="H66" s="19">
        <f>SQRT(MAX($G$66,0)/(2.25*$D$6*$D$7))</f>
        <v/>
      </c>
      <c r="I66" s="19">
        <f>$F$66+$H$66-$D$16</f>
        <v/>
      </c>
    </row>
    <row r="67">
      <c r="B67" s="19" t="n">
        <v>46</v>
      </c>
      <c r="C67" s="19">
        <f>IF($I$66&gt;0,$C$66,$E$66)</f>
        <v/>
      </c>
      <c r="D67" s="19">
        <f>IF($I$66&gt;0,$E$66,$D$66)</f>
        <v/>
      </c>
      <c r="E67" s="19">
        <f>($C$67+$D$67)/2</f>
        <v/>
      </c>
      <c r="F67" s="19">
        <f>$E$67/(9*$D$6*$D$7)</f>
        <v/>
      </c>
      <c r="G67" s="19">
        <f>$E$67*($D$9+$D$15+0.5*$F$67)</f>
        <v/>
      </c>
      <c r="H67" s="19">
        <f>SQRT(MAX($G$67,0)/(2.25*$D$6*$D$7))</f>
        <v/>
      </c>
      <c r="I67" s="19">
        <f>$F$67+$H$67-$D$16</f>
        <v/>
      </c>
    </row>
    <row r="68">
      <c r="B68" s="19" t="n">
        <v>47</v>
      </c>
      <c r="C68" s="19">
        <f>IF($I$67&gt;0,$C$67,$E$67)</f>
        <v/>
      </c>
      <c r="D68" s="19">
        <f>IF($I$67&gt;0,$E$67,$D$67)</f>
        <v/>
      </c>
      <c r="E68" s="19">
        <f>($C$68+$D$68)/2</f>
        <v/>
      </c>
      <c r="F68" s="19">
        <f>$E$68/(9*$D$6*$D$7)</f>
        <v/>
      </c>
      <c r="G68" s="19">
        <f>$E$68*($D$9+$D$15+0.5*$F$68)</f>
        <v/>
      </c>
      <c r="H68" s="19">
        <f>SQRT(MAX($G$68,0)/(2.25*$D$6*$D$7))</f>
        <v/>
      </c>
      <c r="I68" s="19">
        <f>$F$68+$H$68-$D$16</f>
        <v/>
      </c>
    </row>
    <row r="69">
      <c r="B69" s="19" t="n">
        <v>48</v>
      </c>
      <c r="C69" s="19">
        <f>IF($I$68&gt;0,$C$68,$E$68)</f>
        <v/>
      </c>
      <c r="D69" s="19">
        <f>IF($I$68&gt;0,$E$68,$D$68)</f>
        <v/>
      </c>
      <c r="E69" s="19">
        <f>($C$69+$D$69)/2</f>
        <v/>
      </c>
      <c r="F69" s="19">
        <f>$E$69/(9*$D$6*$D$7)</f>
        <v/>
      </c>
      <c r="G69" s="19">
        <f>$E$69*($D$9+$D$15+0.5*$F$69)</f>
        <v/>
      </c>
      <c r="H69" s="19">
        <f>SQRT(MAX($G$69,0)/(2.25*$D$6*$D$7))</f>
        <v/>
      </c>
      <c r="I69" s="19">
        <f>$F$69+$H$69-$D$16</f>
        <v/>
      </c>
    </row>
    <row r="70">
      <c r="B70" s="19" t="n">
        <v>49</v>
      </c>
      <c r="C70" s="19">
        <f>IF($I$69&gt;0,$C$69,$E$69)</f>
        <v/>
      </c>
      <c r="D70" s="19">
        <f>IF($I$69&gt;0,$E$69,$D$69)</f>
        <v/>
      </c>
      <c r="E70" s="19">
        <f>($C$70+$D$70)/2</f>
        <v/>
      </c>
      <c r="F70" s="19">
        <f>$E$70/(9*$D$6*$D$7)</f>
        <v/>
      </c>
      <c r="G70" s="19">
        <f>$E$70*($D$9+$D$15+0.5*$F$70)</f>
        <v/>
      </c>
      <c r="H70" s="19">
        <f>SQRT(MAX($G$70,0)/(2.25*$D$6*$D$7))</f>
        <v/>
      </c>
      <c r="I70" s="19">
        <f>$F$70+$H$70-$D$16</f>
        <v/>
      </c>
    </row>
    <row r="71">
      <c r="B71" s="19" t="n">
        <v>50</v>
      </c>
      <c r="C71" s="19">
        <f>IF($I$70&gt;0,$C$70,$E$70)</f>
        <v/>
      </c>
      <c r="D71" s="19">
        <f>IF($I$70&gt;0,$E$70,$D$70)</f>
        <v/>
      </c>
      <c r="E71" s="19">
        <f>($C$71+$D$71)/2</f>
        <v/>
      </c>
      <c r="F71" s="19">
        <f>$E$71/(9*$D$6*$D$7)</f>
        <v/>
      </c>
      <c r="G71" s="19">
        <f>$E$71*($D$9+$D$15+0.5*$F$71)</f>
        <v/>
      </c>
      <c r="H71" s="19">
        <f>SQRT(MAX($G$71,0)/(2.25*$D$6*$D$7))</f>
        <v/>
      </c>
      <c r="I71" s="19">
        <f>$F$71+$H$71-$D$16</f>
        <v/>
      </c>
    </row>
    <row r="72">
      <c r="B72" s="19" t="n">
        <v>51</v>
      </c>
      <c r="C72" s="19">
        <f>IF($I$71&gt;0,$C$71,$E$71)</f>
        <v/>
      </c>
      <c r="D72" s="19">
        <f>IF($I$71&gt;0,$E$71,$D$71)</f>
        <v/>
      </c>
      <c r="E72" s="19">
        <f>($C$72+$D$72)/2</f>
        <v/>
      </c>
      <c r="F72" s="19">
        <f>$E$72/(9*$D$6*$D$7)</f>
        <v/>
      </c>
      <c r="G72" s="19">
        <f>$E$72*($D$9+$D$15+0.5*$F$72)</f>
        <v/>
      </c>
      <c r="H72" s="19">
        <f>SQRT(MAX($G$72,0)/(2.25*$D$6*$D$7))</f>
        <v/>
      </c>
      <c r="I72" s="19">
        <f>$F$72+$H$72-$D$16</f>
        <v/>
      </c>
    </row>
    <row r="73">
      <c r="B73" s="19" t="n">
        <v>52</v>
      </c>
      <c r="C73" s="19">
        <f>IF($I$72&gt;0,$C$72,$E$72)</f>
        <v/>
      </c>
      <c r="D73" s="19">
        <f>IF($I$72&gt;0,$E$72,$D$72)</f>
        <v/>
      </c>
      <c r="E73" s="19">
        <f>($C$73+$D$73)/2</f>
        <v/>
      </c>
      <c r="F73" s="19">
        <f>$E$73/(9*$D$6*$D$7)</f>
        <v/>
      </c>
      <c r="G73" s="19">
        <f>$E$73*($D$9+$D$15+0.5*$F$73)</f>
        <v/>
      </c>
      <c r="H73" s="19">
        <f>SQRT(MAX($G$73,0)/(2.25*$D$6*$D$7))</f>
        <v/>
      </c>
      <c r="I73" s="19">
        <f>$F$73+$H$73-$D$16</f>
        <v/>
      </c>
    </row>
    <row r="74">
      <c r="B74" s="19" t="n">
        <v>53</v>
      </c>
      <c r="C74" s="19">
        <f>IF($I$73&gt;0,$C$73,$E$73)</f>
        <v/>
      </c>
      <c r="D74" s="19">
        <f>IF($I$73&gt;0,$E$73,$D$73)</f>
        <v/>
      </c>
      <c r="E74" s="19">
        <f>($C$74+$D$74)/2</f>
        <v/>
      </c>
      <c r="F74" s="19">
        <f>$E$74/(9*$D$6*$D$7)</f>
        <v/>
      </c>
      <c r="G74" s="19">
        <f>$E$74*($D$9+$D$15+0.5*$F$74)</f>
        <v/>
      </c>
      <c r="H74" s="19">
        <f>SQRT(MAX($G$74,0)/(2.25*$D$6*$D$7))</f>
        <v/>
      </c>
      <c r="I74" s="19">
        <f>$F$74+$H$74-$D$16</f>
        <v/>
      </c>
    </row>
    <row r="75">
      <c r="B75" s="19" t="n">
        <v>54</v>
      </c>
      <c r="C75" s="19">
        <f>IF($I$74&gt;0,$C$74,$E$74)</f>
        <v/>
      </c>
      <c r="D75" s="19">
        <f>IF($I$74&gt;0,$E$74,$D$74)</f>
        <v/>
      </c>
      <c r="E75" s="19">
        <f>($C$75+$D$75)/2</f>
        <v/>
      </c>
      <c r="F75" s="19">
        <f>$E$75/(9*$D$6*$D$7)</f>
        <v/>
      </c>
      <c r="G75" s="19">
        <f>$E$75*($D$9+$D$15+0.5*$F$75)</f>
        <v/>
      </c>
      <c r="H75" s="19">
        <f>SQRT(MAX($G$75,0)/(2.25*$D$6*$D$7))</f>
        <v/>
      </c>
      <c r="I75" s="19">
        <f>$F$75+$H$75-$D$16</f>
        <v/>
      </c>
    </row>
    <row r="76">
      <c r="B76" s="19" t="n">
        <v>55</v>
      </c>
      <c r="C76" s="19">
        <f>IF($I$75&gt;0,$C$75,$E$75)</f>
        <v/>
      </c>
      <c r="D76" s="19">
        <f>IF($I$75&gt;0,$E$75,$D$75)</f>
        <v/>
      </c>
      <c r="E76" s="19">
        <f>($C$76+$D$76)/2</f>
        <v/>
      </c>
      <c r="F76" s="19">
        <f>$E$76/(9*$D$6*$D$7)</f>
        <v/>
      </c>
      <c r="G76" s="19">
        <f>$E$76*($D$9+$D$15+0.5*$F$76)</f>
        <v/>
      </c>
      <c r="H76" s="19">
        <f>SQRT(MAX($G$76,0)/(2.25*$D$6*$D$7))</f>
        <v/>
      </c>
      <c r="I76" s="19">
        <f>$F$76+$H$76-$D$16</f>
        <v/>
      </c>
    </row>
    <row r="77">
      <c r="B77" s="19" t="n">
        <v>56</v>
      </c>
      <c r="C77" s="19">
        <f>IF($I$76&gt;0,$C$76,$E$76)</f>
        <v/>
      </c>
      <c r="D77" s="19">
        <f>IF($I$76&gt;0,$E$76,$D$76)</f>
        <v/>
      </c>
      <c r="E77" s="19">
        <f>($C$77+$D$77)/2</f>
        <v/>
      </c>
      <c r="F77" s="19">
        <f>$E$77/(9*$D$6*$D$7)</f>
        <v/>
      </c>
      <c r="G77" s="19">
        <f>$E$77*($D$9+$D$15+0.5*$F$77)</f>
        <v/>
      </c>
      <c r="H77" s="19">
        <f>SQRT(MAX($G$77,0)/(2.25*$D$6*$D$7))</f>
        <v/>
      </c>
      <c r="I77" s="19">
        <f>$F$77+$H$77-$D$16</f>
        <v/>
      </c>
    </row>
    <row r="78">
      <c r="B78" s="19" t="n">
        <v>57</v>
      </c>
      <c r="C78" s="19">
        <f>IF($I$77&gt;0,$C$77,$E$77)</f>
        <v/>
      </c>
      <c r="D78" s="19">
        <f>IF($I$77&gt;0,$E$77,$D$77)</f>
        <v/>
      </c>
      <c r="E78" s="19">
        <f>($C$78+$D$78)/2</f>
        <v/>
      </c>
      <c r="F78" s="19">
        <f>$E$78/(9*$D$6*$D$7)</f>
        <v/>
      </c>
      <c r="G78" s="19">
        <f>$E$78*($D$9+$D$15+0.5*$F$78)</f>
        <v/>
      </c>
      <c r="H78" s="19">
        <f>SQRT(MAX($G$78,0)/(2.25*$D$6*$D$7))</f>
        <v/>
      </c>
      <c r="I78" s="19">
        <f>$F$78+$H$78-$D$16</f>
        <v/>
      </c>
    </row>
    <row r="79">
      <c r="B79" s="19" t="n">
        <v>58</v>
      </c>
      <c r="C79" s="19">
        <f>IF($I$78&gt;0,$C$78,$E$78)</f>
        <v/>
      </c>
      <c r="D79" s="19">
        <f>IF($I$78&gt;0,$E$78,$D$78)</f>
        <v/>
      </c>
      <c r="E79" s="19">
        <f>($C$79+$D$79)/2</f>
        <v/>
      </c>
      <c r="F79" s="19">
        <f>$E$79/(9*$D$6*$D$7)</f>
        <v/>
      </c>
      <c r="G79" s="19">
        <f>$E$79*($D$9+$D$15+0.5*$F$79)</f>
        <v/>
      </c>
      <c r="H79" s="19">
        <f>SQRT(MAX($G$79,0)/(2.25*$D$6*$D$7))</f>
        <v/>
      </c>
      <c r="I79" s="19">
        <f>$F$79+$H$79-$D$16</f>
        <v/>
      </c>
    </row>
    <row r="80">
      <c r="B80" s="19" t="n">
        <v>59</v>
      </c>
      <c r="C80" s="19">
        <f>IF($I$79&gt;0,$C$79,$E$79)</f>
        <v/>
      </c>
      <c r="D80" s="19">
        <f>IF($I$79&gt;0,$E$79,$D$79)</f>
        <v/>
      </c>
      <c r="E80" s="19">
        <f>($C$80+$D$80)/2</f>
        <v/>
      </c>
      <c r="F80" s="19">
        <f>$E$80/(9*$D$6*$D$7)</f>
        <v/>
      </c>
      <c r="G80" s="19">
        <f>$E$80*($D$9+$D$15+0.5*$F$80)</f>
        <v/>
      </c>
      <c r="H80" s="19">
        <f>SQRT(MAX($G$80,0)/(2.25*$D$6*$D$7))</f>
        <v/>
      </c>
      <c r="I80" s="19">
        <f>$F$80+$H$80-$D$16</f>
        <v/>
      </c>
    </row>
    <row r="81">
      <c r="B81" s="19" t="n">
        <v>60</v>
      </c>
      <c r="C81" s="19">
        <f>IF($I$80&gt;0,$C$80,$E$80)</f>
        <v/>
      </c>
      <c r="D81" s="19">
        <f>IF($I$80&gt;0,$E$80,$D$80)</f>
        <v/>
      </c>
      <c r="E81" s="19">
        <f>($C$81+$D$81)/2</f>
        <v/>
      </c>
      <c r="F81" s="19">
        <f>$E$81/(9*$D$6*$D$7)</f>
        <v/>
      </c>
      <c r="G81" s="19">
        <f>$E$81*($D$9+$D$15+0.5*$F$81)</f>
        <v/>
      </c>
      <c r="H81" s="19">
        <f>SQRT(MAX($G$81,0)/(2.25*$D$6*$D$7))</f>
        <v/>
      </c>
      <c r="I81" s="19">
        <f>$F$81+$H$81-$D$16</f>
        <v/>
      </c>
    </row>
    <row r="83">
      <c r="A83" s="2" t="inlineStr">
        <is>
          <t>Result</t>
        </is>
      </c>
    </row>
    <row r="84">
      <c r="A84" s="6" t="inlineStr">
        <is>
          <t>Hu, Broms ultimate lateral resistance</t>
        </is>
      </c>
      <c r="D84" s="17">
        <f>$E$81</f>
        <v/>
      </c>
      <c r="E84" s="8" t="inlineStr">
        <is>
          <t>kN</t>
        </is>
      </c>
    </row>
    <row r="85">
      <c r="A85" s="6" t="inlineStr">
        <is>
          <t>FS, Broms</t>
        </is>
      </c>
      <c r="D85" s="17">
        <f>$D$84/$D$11</f>
        <v/>
      </c>
      <c r="E85" s="8" t="inlineStr">
        <is>
          <t>-</t>
        </is>
      </c>
    </row>
    <row r="86">
      <c r="A86" s="12" t="inlineStr">
        <is>
          <t>Broms preliminary check passes (FS&gt;=2.0)?</t>
        </is>
      </c>
      <c r="D86" s="13">
        <f>$D$85&gt;=2</f>
        <v/>
      </c>
    </row>
  </sheetData>
  <mergeCells count="9">
    <mergeCell ref="A1:J1"/>
    <mergeCell ref="A5:J5"/>
    <mergeCell ref="A14:J14"/>
    <mergeCell ref="A17:J17"/>
    <mergeCell ref="A3:J3"/>
    <mergeCell ref="A83:J83"/>
    <mergeCell ref="A19:J19"/>
    <mergeCell ref="A20:J20"/>
    <mergeCell ref="A13:J13"/>
  </mergeCells>
  <conditionalFormatting sqref="D86">
    <cfRule type="expression" priority="1" dxfId="0">
      <formula>$D$86=TRUE</formula>
    </cfRule>
    <cfRule type="expression" priority="2" dxfId="1">
      <formula>$D$86=FALSE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3887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</cols>
  <sheetData>
    <row r="1" ht="22" customHeight="1">
      <c r="A1" s="1" t="inlineStr">
        <is>
          <t>STEP 5b -- p-y METHOD (FINAL LATERAL/MOMENT CHECK)</t>
        </is>
      </c>
    </row>
    <row r="3">
      <c r="A3" s="5" t="inlineStr">
        <is>
          <t>lateral_py.solve_py / pushover -- nonlinear beam-on-Matlock-soft-clay-Winkler-foundation. Doc Section 5.3.</t>
        </is>
      </c>
    </row>
    <row r="4" ht="91" customHeight="1">
      <c r="A4" s="11" t="inlineStr">
        <is>
          <t>NOTE: No macros and no 'iterative calculation' setting needed. The Python solver's fixed-point relaxation loop is unrolled into sequential 'generation' blocks stacked down this sheet -- each generation's matrix solve depends only on the PREVIOUS generation's result, a one-way chain, not a circular reference. (An earlier version nested the matrix solve in a true self-referencing loop; tested in real Excel via COM automation, it was unreliable -- a transient error during the first iterative pass would latch permanently. This design avoids that failure mode entirely.) See the Cover sheet for the mesh-coarsening accuracy note.</t>
        </is>
      </c>
    </row>
    <row r="6">
      <c r="A6" s="2" t="inlineStr">
        <is>
          <t>SERVICE CASE (n=20 elements, 25 unrolled iterations) -- eq. 5.3, serviceability check</t>
        </is>
      </c>
    </row>
    <row r="8">
      <c r="A8" s="6" t="inlineStr">
        <is>
          <t>V (kN)</t>
        </is>
      </c>
      <c r="B8" s="20">
        <f>'1-Loads'!$D$51</f>
        <v/>
      </c>
      <c r="C8" s="8" t="inlineStr">
        <is>
          <t>kN</t>
        </is>
      </c>
    </row>
    <row r="9">
      <c r="A9" s="6" t="inlineStr">
        <is>
          <t>M (kN*m)</t>
        </is>
      </c>
      <c r="B9" s="20">
        <f>-'1-Loads'!$D$52</f>
        <v/>
      </c>
      <c r="C9" s="8" t="inlineStr">
        <is>
          <t>kN*m</t>
        </is>
      </c>
    </row>
    <row r="10">
      <c r="A10" s="6" t="inlineStr">
        <is>
          <t>D_shaft</t>
        </is>
      </c>
      <c r="B10" s="20">
        <f>'3-Sizing'!$D$10</f>
        <v/>
      </c>
      <c r="C10" s="8" t="inlineStr">
        <is>
          <t>m</t>
        </is>
      </c>
    </row>
    <row r="11">
      <c r="A11" s="6" t="inlineStr">
        <is>
          <t>t (corroded)</t>
        </is>
      </c>
      <c r="B11" s="20">
        <f>'7-Corrosion'!$D$19/1000</f>
        <v/>
      </c>
      <c r="C11" s="8" t="inlineStr">
        <is>
          <t>m</t>
        </is>
      </c>
    </row>
    <row r="12">
      <c r="A12" s="6" t="inlineStr">
        <is>
          <t>E, steel</t>
        </is>
      </c>
      <c r="B12" s="20">
        <f>200000000</f>
        <v/>
      </c>
      <c r="C12" s="8" t="inlineStr">
        <is>
          <t>kPa</t>
        </is>
      </c>
    </row>
    <row r="13">
      <c r="A13" s="6" t="inlineStr">
        <is>
          <t>I (pipe)</t>
        </is>
      </c>
      <c r="B13" s="20">
        <f>PI()/64*($B$10^4-($B$10-2*$B$11)^4)</f>
        <v/>
      </c>
      <c r="C13" s="8" t="inlineStr">
        <is>
          <t>m^4</t>
        </is>
      </c>
    </row>
    <row r="14">
      <c r="A14" s="6" t="inlineStr">
        <is>
          <t>EI</t>
        </is>
      </c>
      <c r="B14" s="20">
        <f>$B$12*$B$13</f>
        <v/>
      </c>
      <c r="C14" s="8" t="inlineStr">
        <is>
          <t>kN*m^2</t>
        </is>
      </c>
    </row>
    <row r="15">
      <c r="A15" s="6" t="inlineStr">
        <is>
          <t>L, embedded length</t>
        </is>
      </c>
      <c r="B15" s="20">
        <f>'3-Sizing'!$D$25</f>
        <v/>
      </c>
      <c r="C15" s="8" t="inlineStr">
        <is>
          <t>m</t>
        </is>
      </c>
    </row>
    <row r="16">
      <c r="A16" s="6" t="inlineStr">
        <is>
          <t>n_elements</t>
        </is>
      </c>
      <c r="B16" s="20" t="n">
        <v>20</v>
      </c>
      <c r="C16" s="8" t="inlineStr">
        <is>
          <t>-</t>
        </is>
      </c>
    </row>
    <row r="17">
      <c r="A17" s="6" t="inlineStr">
        <is>
          <t>h = L/n</t>
        </is>
      </c>
      <c r="B17" s="20">
        <f>$B$15/$B$16</f>
        <v/>
      </c>
      <c r="C17" s="8" t="inlineStr">
        <is>
          <t>m</t>
        </is>
      </c>
    </row>
    <row r="18">
      <c r="A18" s="6" t="inlineStr">
        <is>
          <t>a = 12EI/h^3</t>
        </is>
      </c>
      <c r="B18" s="20">
        <f>12*$B$14/$B$17^3</f>
        <v/>
      </c>
    </row>
    <row r="19">
      <c r="A19" s="6" t="inlineStr">
        <is>
          <t>b = 6EI/h^2</t>
        </is>
      </c>
      <c r="B19" s="20">
        <f>6*$B$14/$B$17^2</f>
        <v/>
      </c>
    </row>
    <row r="20">
      <c r="A20" s="6" t="inlineStr">
        <is>
          <t>c = 4EI/h</t>
        </is>
      </c>
      <c r="B20" s="20">
        <f>4*$B$14/$B$17</f>
        <v/>
      </c>
    </row>
    <row r="21">
      <c r="A21" s="6" t="inlineStr">
        <is>
          <t>d = 2EI/h</t>
        </is>
      </c>
      <c r="B21" s="20">
        <f>2*$B$14/$B$17</f>
        <v/>
      </c>
    </row>
    <row r="22">
      <c r="A22" s="6" t="inlineStr">
        <is>
          <t>Su</t>
        </is>
      </c>
      <c r="B22" s="20">
        <f>'2-Geotech'!$D$15</f>
        <v/>
      </c>
      <c r="C22" s="8" t="inlineStr">
        <is>
          <t>kPa</t>
        </is>
      </c>
    </row>
    <row r="23">
      <c r="A23" s="6" t="inlineStr">
        <is>
          <t>gamma</t>
        </is>
      </c>
      <c r="B23" s="20">
        <f>'2-Geotech'!$D$20</f>
        <v/>
      </c>
      <c r="C23" s="8" t="inlineStr">
        <is>
          <t>kN/m3</t>
        </is>
      </c>
    </row>
    <row r="24">
      <c r="A24" s="6" t="inlineStr">
        <is>
          <t>gamma_sub</t>
        </is>
      </c>
      <c r="B24" s="20">
        <f>'2-Geotech'!$D$22</f>
        <v/>
      </c>
      <c r="C24" s="8" t="inlineStr">
        <is>
          <t>kN/m3</t>
        </is>
      </c>
    </row>
    <row r="25">
      <c r="A25" s="6" t="inlineStr">
        <is>
          <t>GWT depth</t>
        </is>
      </c>
      <c r="B25" s="20">
        <f>'2-Geotech'!$D$23</f>
        <v/>
      </c>
      <c r="C25" s="8" t="inlineStr">
        <is>
          <t>m</t>
        </is>
      </c>
    </row>
    <row r="26">
      <c r="A26" s="6" t="inlineStr">
        <is>
          <t>eps50</t>
        </is>
      </c>
      <c r="B26" s="20">
        <f>'2-Geotech'!$D$18</f>
        <v/>
      </c>
      <c r="C26" s="8" t="inlineStr">
        <is>
          <t>-</t>
        </is>
      </c>
    </row>
    <row r="27">
      <c r="A27" s="6" t="inlineStr">
        <is>
          <t>frost depth</t>
        </is>
      </c>
      <c r="B27" s="20">
        <f>'2-Geotech'!$D$24</f>
        <v/>
      </c>
      <c r="C27" s="8" t="inlineStr">
        <is>
          <t>m</t>
        </is>
      </c>
    </row>
    <row r="28">
      <c r="A28" s="6" t="inlineStr">
        <is>
          <t>J (Matlock)</t>
        </is>
      </c>
      <c r="B28" s="20" t="n">
        <v>0.5</v>
      </c>
      <c r="C28" s="8" t="inlineStr">
        <is>
          <t>-</t>
        </is>
      </c>
    </row>
    <row r="29">
      <c r="A29" s="6" t="inlineStr">
        <is>
          <t>y50 = 2.5*eps50*D</t>
        </is>
      </c>
      <c r="B29" s="20">
        <f>2.5*$B$26*$B$10</f>
        <v/>
      </c>
      <c r="C29" s="8" t="inlineStr">
        <is>
          <t>m</t>
        </is>
      </c>
    </row>
    <row r="30">
      <c r="A30" s="6" t="inlineStr">
        <is>
          <t>n_generations (unrolled iterations)</t>
        </is>
      </c>
      <c r="B30" s="20" t="n">
        <v>25</v>
      </c>
      <c r="C30" s="8" t="inlineStr">
        <is>
          <t>-</t>
        </is>
      </c>
    </row>
    <row r="32">
      <c r="D32" s="18" t="inlineStr">
        <is>
          <t>i</t>
        </is>
      </c>
      <c r="E32" s="18" t="inlineStr">
        <is>
          <t>z (m)</t>
        </is>
      </c>
      <c r="F32" s="18" t="inlineStr">
        <is>
          <t>sigma_v (kPa)</t>
        </is>
      </c>
      <c r="G32" s="18" t="inlineStr">
        <is>
          <t>Np</t>
        </is>
      </c>
      <c r="H32" s="18" t="inlineStr">
        <is>
          <t>pu (kN/m)</t>
        </is>
      </c>
      <c r="I32" s="18" t="inlineStr">
        <is>
          <t>trib (m)</t>
        </is>
      </c>
    </row>
    <row r="33">
      <c r="D33" t="n">
        <v>0</v>
      </c>
      <c r="E33" s="19">
        <f>$D$33*$B$17</f>
        <v/>
      </c>
      <c r="F33" s="19">
        <f>IF($E$33&lt;=$B$25,$B$23*$E$33,$B$23*$B$25+$B$24*($E$33-$B$25))</f>
        <v/>
      </c>
      <c r="G33" s="19">
        <f>MIN(3+$F$33/$B$22+$B$28*$E$33/$B$10,9)</f>
        <v/>
      </c>
      <c r="H33" s="19">
        <f>$G$33*$B$22*$B$10</f>
        <v/>
      </c>
      <c r="I33" s="19">
        <f>IF(OR($D$33=0,$D$33=$B$16),$B$17/2,$B$17)</f>
        <v/>
      </c>
    </row>
    <row r="34">
      <c r="D34" t="n">
        <v>1</v>
      </c>
      <c r="E34" s="19">
        <f>$D$34*$B$17</f>
        <v/>
      </c>
      <c r="F34" s="19">
        <f>IF($E$34&lt;=$B$25,$B$23*$E$34,$B$23*$B$25+$B$24*($E$34-$B$25))</f>
        <v/>
      </c>
      <c r="G34" s="19">
        <f>MIN(3+$F$34/$B$22+$B$28*$E$34/$B$10,9)</f>
        <v/>
      </c>
      <c r="H34" s="19">
        <f>$G$34*$B$22*$B$10</f>
        <v/>
      </c>
      <c r="I34" s="19">
        <f>IF(OR($D$34=0,$D$34=$B$16),$B$17/2,$B$17)</f>
        <v/>
      </c>
    </row>
    <row r="35">
      <c r="D35" t="n">
        <v>2</v>
      </c>
      <c r="E35" s="19">
        <f>$D$35*$B$17</f>
        <v/>
      </c>
      <c r="F35" s="19">
        <f>IF($E$35&lt;=$B$25,$B$23*$E$35,$B$23*$B$25+$B$24*($E$35-$B$25))</f>
        <v/>
      </c>
      <c r="G35" s="19">
        <f>MIN(3+$F$35/$B$22+$B$28*$E$35/$B$10,9)</f>
        <v/>
      </c>
      <c r="H35" s="19">
        <f>$G$35*$B$22*$B$10</f>
        <v/>
      </c>
      <c r="I35" s="19">
        <f>IF(OR($D$35=0,$D$35=$B$16),$B$17/2,$B$17)</f>
        <v/>
      </c>
    </row>
    <row r="36">
      <c r="D36" t="n">
        <v>3</v>
      </c>
      <c r="E36" s="19">
        <f>$D$36*$B$17</f>
        <v/>
      </c>
      <c r="F36" s="19">
        <f>IF($E$36&lt;=$B$25,$B$23*$E$36,$B$23*$B$25+$B$24*($E$36-$B$25))</f>
        <v/>
      </c>
      <c r="G36" s="19">
        <f>MIN(3+$F$36/$B$22+$B$28*$E$36/$B$10,9)</f>
        <v/>
      </c>
      <c r="H36" s="19">
        <f>$G$36*$B$22*$B$10</f>
        <v/>
      </c>
      <c r="I36" s="19">
        <f>IF(OR($D$36=0,$D$36=$B$16),$B$17/2,$B$17)</f>
        <v/>
      </c>
    </row>
    <row r="37">
      <c r="D37" t="n">
        <v>4</v>
      </c>
      <c r="E37" s="19">
        <f>$D$37*$B$17</f>
        <v/>
      </c>
      <c r="F37" s="19">
        <f>IF($E$37&lt;=$B$25,$B$23*$E$37,$B$23*$B$25+$B$24*($E$37-$B$25))</f>
        <v/>
      </c>
      <c r="G37" s="19">
        <f>MIN(3+$F$37/$B$22+$B$28*$E$37/$B$10,9)</f>
        <v/>
      </c>
      <c r="H37" s="19">
        <f>$G$37*$B$22*$B$10</f>
        <v/>
      </c>
      <c r="I37" s="19">
        <f>IF(OR($D$37=0,$D$37=$B$16),$B$17/2,$B$17)</f>
        <v/>
      </c>
    </row>
    <row r="38">
      <c r="D38" t="n">
        <v>5</v>
      </c>
      <c r="E38" s="19">
        <f>$D$38*$B$17</f>
        <v/>
      </c>
      <c r="F38" s="19">
        <f>IF($E$38&lt;=$B$25,$B$23*$E$38,$B$23*$B$25+$B$24*($E$38-$B$25))</f>
        <v/>
      </c>
      <c r="G38" s="19">
        <f>MIN(3+$F$38/$B$22+$B$28*$E$38/$B$10,9)</f>
        <v/>
      </c>
      <c r="H38" s="19">
        <f>$G$38*$B$22*$B$10</f>
        <v/>
      </c>
      <c r="I38" s="19">
        <f>IF(OR($D$38=0,$D$38=$B$16),$B$17/2,$B$17)</f>
        <v/>
      </c>
    </row>
    <row r="39">
      <c r="D39" t="n">
        <v>6</v>
      </c>
      <c r="E39" s="19">
        <f>$D$39*$B$17</f>
        <v/>
      </c>
      <c r="F39" s="19">
        <f>IF($E$39&lt;=$B$25,$B$23*$E$39,$B$23*$B$25+$B$24*($E$39-$B$25))</f>
        <v/>
      </c>
      <c r="G39" s="19">
        <f>MIN(3+$F$39/$B$22+$B$28*$E$39/$B$10,9)</f>
        <v/>
      </c>
      <c r="H39" s="19">
        <f>$G$39*$B$22*$B$10</f>
        <v/>
      </c>
      <c r="I39" s="19">
        <f>IF(OR($D$39=0,$D$39=$B$16),$B$17/2,$B$17)</f>
        <v/>
      </c>
    </row>
    <row r="40">
      <c r="D40" t="n">
        <v>7</v>
      </c>
      <c r="E40" s="19">
        <f>$D$40*$B$17</f>
        <v/>
      </c>
      <c r="F40" s="19">
        <f>IF($E$40&lt;=$B$25,$B$23*$E$40,$B$23*$B$25+$B$24*($E$40-$B$25))</f>
        <v/>
      </c>
      <c r="G40" s="19">
        <f>MIN(3+$F$40/$B$22+$B$28*$E$40/$B$10,9)</f>
        <v/>
      </c>
      <c r="H40" s="19">
        <f>$G$40*$B$22*$B$10</f>
        <v/>
      </c>
      <c r="I40" s="19">
        <f>IF(OR($D$40=0,$D$40=$B$16),$B$17/2,$B$17)</f>
        <v/>
      </c>
    </row>
    <row r="41">
      <c r="D41" t="n">
        <v>8</v>
      </c>
      <c r="E41" s="19">
        <f>$D$41*$B$17</f>
        <v/>
      </c>
      <c r="F41" s="19">
        <f>IF($E$41&lt;=$B$25,$B$23*$E$41,$B$23*$B$25+$B$24*($E$41-$B$25))</f>
        <v/>
      </c>
      <c r="G41" s="19">
        <f>MIN(3+$F$41/$B$22+$B$28*$E$41/$B$10,9)</f>
        <v/>
      </c>
      <c r="H41" s="19">
        <f>$G$41*$B$22*$B$10</f>
        <v/>
      </c>
      <c r="I41" s="19">
        <f>IF(OR($D$41=0,$D$41=$B$16),$B$17/2,$B$17)</f>
        <v/>
      </c>
    </row>
    <row r="42">
      <c r="D42" t="n">
        <v>9</v>
      </c>
      <c r="E42" s="19">
        <f>$D$42*$B$17</f>
        <v/>
      </c>
      <c r="F42" s="19">
        <f>IF($E$42&lt;=$B$25,$B$23*$E$42,$B$23*$B$25+$B$24*($E$42-$B$25))</f>
        <v/>
      </c>
      <c r="G42" s="19">
        <f>MIN(3+$F$42/$B$22+$B$28*$E$42/$B$10,9)</f>
        <v/>
      </c>
      <c r="H42" s="19">
        <f>$G$42*$B$22*$B$10</f>
        <v/>
      </c>
      <c r="I42" s="19">
        <f>IF(OR($D$42=0,$D$42=$B$16),$B$17/2,$B$17)</f>
        <v/>
      </c>
    </row>
    <row r="43">
      <c r="D43" t="n">
        <v>10</v>
      </c>
      <c r="E43" s="19">
        <f>$D$43*$B$17</f>
        <v/>
      </c>
      <c r="F43" s="19">
        <f>IF($E$43&lt;=$B$25,$B$23*$E$43,$B$23*$B$25+$B$24*($E$43-$B$25))</f>
        <v/>
      </c>
      <c r="G43" s="19">
        <f>MIN(3+$F$43/$B$22+$B$28*$E$43/$B$10,9)</f>
        <v/>
      </c>
      <c r="H43" s="19">
        <f>$G$43*$B$22*$B$10</f>
        <v/>
      </c>
      <c r="I43" s="19">
        <f>IF(OR($D$43=0,$D$43=$B$16),$B$17/2,$B$17)</f>
        <v/>
      </c>
    </row>
    <row r="44">
      <c r="D44" t="n">
        <v>11</v>
      </c>
      <c r="E44" s="19">
        <f>$D$44*$B$17</f>
        <v/>
      </c>
      <c r="F44" s="19">
        <f>IF($E$44&lt;=$B$25,$B$23*$E$44,$B$23*$B$25+$B$24*($E$44-$B$25))</f>
        <v/>
      </c>
      <c r="G44" s="19">
        <f>MIN(3+$F$44/$B$22+$B$28*$E$44/$B$10,9)</f>
        <v/>
      </c>
      <c r="H44" s="19">
        <f>$G$44*$B$22*$B$10</f>
        <v/>
      </c>
      <c r="I44" s="19">
        <f>IF(OR($D$44=0,$D$44=$B$16),$B$17/2,$B$17)</f>
        <v/>
      </c>
    </row>
    <row r="45">
      <c r="D45" t="n">
        <v>12</v>
      </c>
      <c r="E45" s="19">
        <f>$D$45*$B$17</f>
        <v/>
      </c>
      <c r="F45" s="19">
        <f>IF($E$45&lt;=$B$25,$B$23*$E$45,$B$23*$B$25+$B$24*($E$45-$B$25))</f>
        <v/>
      </c>
      <c r="G45" s="19">
        <f>MIN(3+$F$45/$B$22+$B$28*$E$45/$B$10,9)</f>
        <v/>
      </c>
      <c r="H45" s="19">
        <f>$G$45*$B$22*$B$10</f>
        <v/>
      </c>
      <c r="I45" s="19">
        <f>IF(OR($D$45=0,$D$45=$B$16),$B$17/2,$B$17)</f>
        <v/>
      </c>
    </row>
    <row r="46">
      <c r="D46" t="n">
        <v>13</v>
      </c>
      <c r="E46" s="19">
        <f>$D$46*$B$17</f>
        <v/>
      </c>
      <c r="F46" s="19">
        <f>IF($E$46&lt;=$B$25,$B$23*$E$46,$B$23*$B$25+$B$24*($E$46-$B$25))</f>
        <v/>
      </c>
      <c r="G46" s="19">
        <f>MIN(3+$F$46/$B$22+$B$28*$E$46/$B$10,9)</f>
        <v/>
      </c>
      <c r="H46" s="19">
        <f>$G$46*$B$22*$B$10</f>
        <v/>
      </c>
      <c r="I46" s="19">
        <f>IF(OR($D$46=0,$D$46=$B$16),$B$17/2,$B$17)</f>
        <v/>
      </c>
    </row>
    <row r="47">
      <c r="D47" t="n">
        <v>14</v>
      </c>
      <c r="E47" s="19">
        <f>$D$47*$B$17</f>
        <v/>
      </c>
      <c r="F47" s="19">
        <f>IF($E$47&lt;=$B$25,$B$23*$E$47,$B$23*$B$25+$B$24*($E$47-$B$25))</f>
        <v/>
      </c>
      <c r="G47" s="19">
        <f>MIN(3+$F$47/$B$22+$B$28*$E$47/$B$10,9)</f>
        <v/>
      </c>
      <c r="H47" s="19">
        <f>$G$47*$B$22*$B$10</f>
        <v/>
      </c>
      <c r="I47" s="19">
        <f>IF(OR($D$47=0,$D$47=$B$16),$B$17/2,$B$17)</f>
        <v/>
      </c>
    </row>
    <row r="48">
      <c r="D48" t="n">
        <v>15</v>
      </c>
      <c r="E48" s="19">
        <f>$D$48*$B$17</f>
        <v/>
      </c>
      <c r="F48" s="19">
        <f>IF($E$48&lt;=$B$25,$B$23*$E$48,$B$23*$B$25+$B$24*($E$48-$B$25))</f>
        <v/>
      </c>
      <c r="G48" s="19">
        <f>MIN(3+$F$48/$B$22+$B$28*$E$48/$B$10,9)</f>
        <v/>
      </c>
      <c r="H48" s="19">
        <f>$G$48*$B$22*$B$10</f>
        <v/>
      </c>
      <c r="I48" s="19">
        <f>IF(OR($D$48=0,$D$48=$B$16),$B$17/2,$B$17)</f>
        <v/>
      </c>
    </row>
    <row r="49">
      <c r="D49" t="n">
        <v>16</v>
      </c>
      <c r="E49" s="19">
        <f>$D$49*$B$17</f>
        <v/>
      </c>
      <c r="F49" s="19">
        <f>IF($E$49&lt;=$B$25,$B$23*$E$49,$B$23*$B$25+$B$24*($E$49-$B$25))</f>
        <v/>
      </c>
      <c r="G49" s="19">
        <f>MIN(3+$F$49/$B$22+$B$28*$E$49/$B$10,9)</f>
        <v/>
      </c>
      <c r="H49" s="19">
        <f>$G$49*$B$22*$B$10</f>
        <v/>
      </c>
      <c r="I49" s="19">
        <f>IF(OR($D$49=0,$D$49=$B$16),$B$17/2,$B$17)</f>
        <v/>
      </c>
    </row>
    <row r="50">
      <c r="D50" t="n">
        <v>17</v>
      </c>
      <c r="E50" s="19">
        <f>$D$50*$B$17</f>
        <v/>
      </c>
      <c r="F50" s="19">
        <f>IF($E$50&lt;=$B$25,$B$23*$E$50,$B$23*$B$25+$B$24*($E$50-$B$25))</f>
        <v/>
      </c>
      <c r="G50" s="19">
        <f>MIN(3+$F$50/$B$22+$B$28*$E$50/$B$10,9)</f>
        <v/>
      </c>
      <c r="H50" s="19">
        <f>$G$50*$B$22*$B$10</f>
        <v/>
      </c>
      <c r="I50" s="19">
        <f>IF(OR($D$50=0,$D$50=$B$16),$B$17/2,$B$17)</f>
        <v/>
      </c>
    </row>
    <row r="51">
      <c r="D51" t="n">
        <v>18</v>
      </c>
      <c r="E51" s="19">
        <f>$D$51*$B$17</f>
        <v/>
      </c>
      <c r="F51" s="19">
        <f>IF($E$51&lt;=$B$25,$B$23*$E$51,$B$23*$B$25+$B$24*($E$51-$B$25))</f>
        <v/>
      </c>
      <c r="G51" s="19">
        <f>MIN(3+$F$51/$B$22+$B$28*$E$51/$B$10,9)</f>
        <v/>
      </c>
      <c r="H51" s="19">
        <f>$G$51*$B$22*$B$10</f>
        <v/>
      </c>
      <c r="I51" s="19">
        <f>IF(OR($D$51=0,$D$51=$B$16),$B$17/2,$B$17)</f>
        <v/>
      </c>
    </row>
    <row r="52">
      <c r="D52" t="n">
        <v>19</v>
      </c>
      <c r="E52" s="19">
        <f>$D$52*$B$17</f>
        <v/>
      </c>
      <c r="F52" s="19">
        <f>IF($E$52&lt;=$B$25,$B$23*$E$52,$B$23*$B$25+$B$24*($E$52-$B$25))</f>
        <v/>
      </c>
      <c r="G52" s="19">
        <f>MIN(3+$F$52/$B$22+$B$28*$E$52/$B$10,9)</f>
        <v/>
      </c>
      <c r="H52" s="19">
        <f>$G$52*$B$22*$B$10</f>
        <v/>
      </c>
      <c r="I52" s="19">
        <f>IF(OR($D$52=0,$D$52=$B$16),$B$17/2,$B$17)</f>
        <v/>
      </c>
    </row>
    <row r="53">
      <c r="D53" t="n">
        <v>20</v>
      </c>
      <c r="E53" s="19">
        <f>$D$53*$B$17</f>
        <v/>
      </c>
      <c r="F53" s="19">
        <f>IF($E$53&lt;=$B$25,$B$23*$E$53,$B$23*$B$25+$B$24*($E$53-$B$25))</f>
        <v/>
      </c>
      <c r="G53" s="19">
        <f>MIN(3+$F$53/$B$22+$B$28*$E$53/$B$10,9)</f>
        <v/>
      </c>
      <c r="H53" s="19">
        <f>$G$53*$B$22*$B$10</f>
        <v/>
      </c>
      <c r="I53" s="19">
        <f>IF(OR($D$53=0,$D$53=$B$16),$B$17/2,$B$17)</f>
        <v/>
      </c>
    </row>
    <row r="55">
      <c r="D55" s="21">
        <f>$B$8</f>
        <v/>
      </c>
    </row>
    <row r="56">
      <c r="D56" s="21">
        <f>$B$9</f>
        <v/>
      </c>
    </row>
    <row r="57">
      <c r="D57" s="21" t="n">
        <v>0</v>
      </c>
    </row>
    <row r="58">
      <c r="D58" s="21" t="n">
        <v>0</v>
      </c>
    </row>
    <row r="59">
      <c r="D59" s="21" t="n">
        <v>0</v>
      </c>
    </row>
    <row r="60">
      <c r="D60" s="21" t="n">
        <v>0</v>
      </c>
    </row>
    <row r="61">
      <c r="D61" s="21" t="n">
        <v>0</v>
      </c>
    </row>
    <row r="62">
      <c r="D62" s="21" t="n">
        <v>0</v>
      </c>
    </row>
    <row r="63">
      <c r="D63" s="21" t="n">
        <v>0</v>
      </c>
    </row>
    <row r="64">
      <c r="D64" s="21" t="n">
        <v>0</v>
      </c>
    </row>
    <row r="65">
      <c r="D65" s="21" t="n">
        <v>0</v>
      </c>
    </row>
    <row r="66">
      <c r="D66" s="21" t="n">
        <v>0</v>
      </c>
    </row>
    <row r="67">
      <c r="D67" s="21" t="n">
        <v>0</v>
      </c>
    </row>
    <row r="68">
      <c r="D68" s="21" t="n">
        <v>0</v>
      </c>
    </row>
    <row r="69">
      <c r="D69" s="21" t="n">
        <v>0</v>
      </c>
    </row>
    <row r="70">
      <c r="D70" s="21" t="n">
        <v>0</v>
      </c>
    </row>
    <row r="71">
      <c r="D71" s="21" t="n">
        <v>0</v>
      </c>
    </row>
    <row r="72">
      <c r="D72" s="21" t="n">
        <v>0</v>
      </c>
    </row>
    <row r="73">
      <c r="D73" s="21" t="n">
        <v>0</v>
      </c>
    </row>
    <row r="74">
      <c r="D74" s="21" t="n">
        <v>0</v>
      </c>
    </row>
    <row r="75">
      <c r="D75" s="21" t="n">
        <v>0</v>
      </c>
    </row>
    <row r="76">
      <c r="D76" s="21" t="n">
        <v>0</v>
      </c>
    </row>
    <row r="77">
      <c r="D77" s="21" t="n">
        <v>0</v>
      </c>
    </row>
    <row r="78">
      <c r="D78" s="21" t="n">
        <v>0</v>
      </c>
    </row>
    <row r="79">
      <c r="D79" s="21" t="n">
        <v>0</v>
      </c>
    </row>
    <row r="80">
      <c r="D80" s="21" t="n">
        <v>0</v>
      </c>
    </row>
    <row r="81">
      <c r="D81" s="21" t="n">
        <v>0</v>
      </c>
    </row>
    <row r="82">
      <c r="D82" s="21" t="n">
        <v>0</v>
      </c>
    </row>
    <row r="83">
      <c r="D83" s="21" t="n">
        <v>0</v>
      </c>
    </row>
    <row r="84">
      <c r="D84" s="21" t="n">
        <v>0</v>
      </c>
    </row>
    <row r="85">
      <c r="D85" s="21" t="n">
        <v>0</v>
      </c>
    </row>
    <row r="86">
      <c r="D86" s="21" t="n">
        <v>0</v>
      </c>
    </row>
    <row r="87">
      <c r="D87" s="21" t="n">
        <v>0</v>
      </c>
    </row>
    <row r="88">
      <c r="D88" s="21" t="n">
        <v>0</v>
      </c>
    </row>
    <row r="89">
      <c r="D89" s="21" t="n">
        <v>0</v>
      </c>
    </row>
    <row r="90">
      <c r="D90" s="21" t="n">
        <v>0</v>
      </c>
    </row>
    <row r="91">
      <c r="D91" s="21" t="n">
        <v>0</v>
      </c>
    </row>
    <row r="92">
      <c r="D92" s="21" t="n">
        <v>0</v>
      </c>
    </row>
    <row r="93">
      <c r="D93" s="21" t="n">
        <v>0</v>
      </c>
    </row>
    <row r="94">
      <c r="D94" s="21" t="n">
        <v>0</v>
      </c>
    </row>
    <row r="95">
      <c r="D95" s="21" t="n">
        <v>0</v>
      </c>
    </row>
    <row r="96">
      <c r="D96" s="21" t="n">
        <v>0</v>
      </c>
    </row>
    <row r="98">
      <c r="A98" s="8" t="inlineStr">
        <is>
          <t>y seed (gen 0)</t>
        </is>
      </c>
    </row>
    <row r="99">
      <c r="E99" s="19" t="n">
        <v>1e-05</v>
      </c>
    </row>
    <row r="100">
      <c r="E100" s="19" t="n">
        <v>1e-05</v>
      </c>
    </row>
    <row r="101">
      <c r="E101" s="19" t="n">
        <v>1e-05</v>
      </c>
    </row>
    <row r="102">
      <c r="E102" s="19" t="n">
        <v>1e-05</v>
      </c>
    </row>
    <row r="103">
      <c r="E103" s="19" t="n">
        <v>1e-05</v>
      </c>
    </row>
    <row r="104">
      <c r="E104" s="19" t="n">
        <v>1e-05</v>
      </c>
    </row>
    <row r="105">
      <c r="E105" s="19" t="n">
        <v>1e-05</v>
      </c>
    </row>
    <row r="106">
      <c r="E106" s="19" t="n">
        <v>1e-05</v>
      </c>
    </row>
    <row r="107">
      <c r="E107" s="19" t="n">
        <v>1e-05</v>
      </c>
    </row>
    <row r="108">
      <c r="E108" s="19" t="n">
        <v>1e-05</v>
      </c>
    </row>
    <row r="109">
      <c r="E109" s="19" t="n">
        <v>1e-05</v>
      </c>
    </row>
    <row r="110">
      <c r="E110" s="19" t="n">
        <v>1e-05</v>
      </c>
    </row>
    <row r="111">
      <c r="E111" s="19" t="n">
        <v>1e-05</v>
      </c>
    </row>
    <row r="112">
      <c r="E112" s="19" t="n">
        <v>1e-05</v>
      </c>
    </row>
    <row r="113">
      <c r="E113" s="19" t="n">
        <v>1e-05</v>
      </c>
    </row>
    <row r="114">
      <c r="E114" s="19" t="n">
        <v>1e-05</v>
      </c>
    </row>
    <row r="115">
      <c r="E115" s="19" t="n">
        <v>1e-05</v>
      </c>
    </row>
    <row r="116">
      <c r="E116" s="19" t="n">
        <v>1e-05</v>
      </c>
    </row>
    <row r="117">
      <c r="E117" s="19" t="n">
        <v>1e-05</v>
      </c>
    </row>
    <row r="118">
      <c r="E118" s="19" t="n">
        <v>1e-05</v>
      </c>
    </row>
    <row r="119">
      <c r="E119" s="19" t="n">
        <v>1e-05</v>
      </c>
    </row>
    <row r="120">
      <c r="A120" s="8" t="inlineStr">
        <is>
          <t>gen 1</t>
        </is>
      </c>
    </row>
    <row r="121">
      <c r="D121" s="19">
        <f>IF(ABS(IF(ABS($E$99)&gt;0.000000001,$E$99,0.000000001))=0,0,IF($E$33&lt;=$B$27,0,IF(ABS(IF(ABS($E$99)&gt;0.000000001,$E$99,0.000000001))&gt;=8*$B$29,$H$33,0.5*$H$33*(ABS(IF(ABS($E$99)&gt;0.000000001,$E$99,0.000000001))/$B$29)^(1/3)))/ABS(IF(ABS($E$99)&gt;0.000000001,$E$99,0.000000001))*$I$33)</f>
        <v/>
      </c>
      <c r="E121" s="19">
        <f>0.5*$E$99+0.5*$AT$143</f>
        <v/>
      </c>
      <c r="F121" s="19">
        <f>$AT$144</f>
        <v/>
      </c>
    </row>
    <row r="122">
      <c r="D122" s="19">
        <f>IF(ABS(IF(ABS($E$100)&gt;0.000000001,$E$100,0.000000001))=0,0,IF($E$34&lt;=$B$27,0,IF(ABS(IF(ABS($E$100)&gt;0.000000001,$E$100,0.000000001))&gt;=8*$B$29,$H$34,0.5*$H$34*(ABS(IF(ABS($E$100)&gt;0.000000001,$E$100,0.000000001))/$B$29)^(1/3)))/ABS(IF(ABS($E$100)&gt;0.000000001,$E$100,0.000000001))*$I$34)</f>
        <v/>
      </c>
      <c r="E122" s="19">
        <f>0.5*$E$100+0.5*$AT$145</f>
        <v/>
      </c>
      <c r="F122" s="19">
        <f>$AT$146</f>
        <v/>
      </c>
    </row>
    <row r="123">
      <c r="D123" s="19">
        <f>IF(ABS(IF(ABS($E$101)&gt;0.000000001,$E$101,0.000000001))=0,0,IF($E$35&lt;=$B$27,0,IF(ABS(IF(ABS($E$101)&gt;0.000000001,$E$101,0.000000001))&gt;=8*$B$29,$H$35,0.5*$H$35*(ABS(IF(ABS($E$101)&gt;0.000000001,$E$101,0.000000001))/$B$29)^(1/3)))/ABS(IF(ABS($E$101)&gt;0.000000001,$E$101,0.000000001))*$I$35)</f>
        <v/>
      </c>
      <c r="E123" s="19">
        <f>0.5*$E$101+0.5*$AT$147</f>
        <v/>
      </c>
      <c r="F123" s="19">
        <f>$AT$148</f>
        <v/>
      </c>
    </row>
    <row r="124">
      <c r="D124" s="19">
        <f>IF(ABS(IF(ABS($E$102)&gt;0.000000001,$E$102,0.000000001))=0,0,IF($E$36&lt;=$B$27,0,IF(ABS(IF(ABS($E$102)&gt;0.000000001,$E$102,0.000000001))&gt;=8*$B$29,$H$36,0.5*$H$36*(ABS(IF(ABS($E$102)&gt;0.000000001,$E$102,0.000000001))/$B$29)^(1/3)))/ABS(IF(ABS($E$102)&gt;0.000000001,$E$102,0.000000001))*$I$36)</f>
        <v/>
      </c>
      <c r="E124" s="19">
        <f>0.5*$E$102+0.5*$AT$149</f>
        <v/>
      </c>
      <c r="F124" s="19">
        <f>$AT$150</f>
        <v/>
      </c>
    </row>
    <row r="125">
      <c r="D125" s="19">
        <f>IF(ABS(IF(ABS($E$103)&gt;0.000000001,$E$103,0.000000001))=0,0,IF($E$37&lt;=$B$27,0,IF(ABS(IF(ABS($E$103)&gt;0.000000001,$E$103,0.000000001))&gt;=8*$B$29,$H$37,0.5*$H$37*(ABS(IF(ABS($E$103)&gt;0.000000001,$E$103,0.000000001))/$B$29)^(1/3)))/ABS(IF(ABS($E$103)&gt;0.000000001,$E$103,0.000000001))*$I$37)</f>
        <v/>
      </c>
      <c r="E125" s="19">
        <f>0.5*$E$103+0.5*$AT$151</f>
        <v/>
      </c>
      <c r="F125" s="19">
        <f>$AT$152</f>
        <v/>
      </c>
    </row>
    <row r="126">
      <c r="D126" s="19">
        <f>IF(ABS(IF(ABS($E$104)&gt;0.000000001,$E$104,0.000000001))=0,0,IF($E$38&lt;=$B$27,0,IF(ABS(IF(ABS($E$104)&gt;0.000000001,$E$104,0.000000001))&gt;=8*$B$29,$H$38,0.5*$H$38*(ABS(IF(ABS($E$104)&gt;0.000000001,$E$104,0.000000001))/$B$29)^(1/3)))/ABS(IF(ABS($E$104)&gt;0.000000001,$E$104,0.000000001))*$I$38)</f>
        <v/>
      </c>
      <c r="E126" s="19">
        <f>0.5*$E$104+0.5*$AT$153</f>
        <v/>
      </c>
      <c r="F126" s="19">
        <f>$AT$154</f>
        <v/>
      </c>
    </row>
    <row r="127">
      <c r="D127" s="19">
        <f>IF(ABS(IF(ABS($E$105)&gt;0.000000001,$E$105,0.000000001))=0,0,IF($E$39&lt;=$B$27,0,IF(ABS(IF(ABS($E$105)&gt;0.000000001,$E$105,0.000000001))&gt;=8*$B$29,$H$39,0.5*$H$39*(ABS(IF(ABS($E$105)&gt;0.000000001,$E$105,0.000000001))/$B$29)^(1/3)))/ABS(IF(ABS($E$105)&gt;0.000000001,$E$105,0.000000001))*$I$39)</f>
        <v/>
      </c>
      <c r="E127" s="19">
        <f>0.5*$E$105+0.5*$AT$155</f>
        <v/>
      </c>
      <c r="F127" s="19">
        <f>$AT$156</f>
        <v/>
      </c>
    </row>
    <row r="128">
      <c r="D128" s="19">
        <f>IF(ABS(IF(ABS($E$106)&gt;0.000000001,$E$106,0.000000001))=0,0,IF($E$40&lt;=$B$27,0,IF(ABS(IF(ABS($E$106)&gt;0.000000001,$E$106,0.000000001))&gt;=8*$B$29,$H$40,0.5*$H$40*(ABS(IF(ABS($E$106)&gt;0.000000001,$E$106,0.000000001))/$B$29)^(1/3)))/ABS(IF(ABS($E$106)&gt;0.000000001,$E$106,0.000000001))*$I$40)</f>
        <v/>
      </c>
      <c r="E128" s="19">
        <f>0.5*$E$106+0.5*$AT$157</f>
        <v/>
      </c>
      <c r="F128" s="19">
        <f>$AT$158</f>
        <v/>
      </c>
    </row>
    <row r="129">
      <c r="D129" s="19">
        <f>IF(ABS(IF(ABS($E$107)&gt;0.000000001,$E$107,0.000000001))=0,0,IF($E$41&lt;=$B$27,0,IF(ABS(IF(ABS($E$107)&gt;0.000000001,$E$107,0.000000001))&gt;=8*$B$29,$H$41,0.5*$H$41*(ABS(IF(ABS($E$107)&gt;0.000000001,$E$107,0.000000001))/$B$29)^(1/3)))/ABS(IF(ABS($E$107)&gt;0.000000001,$E$107,0.000000001))*$I$41)</f>
        <v/>
      </c>
      <c r="E129" s="19">
        <f>0.5*$E$107+0.5*$AT$159</f>
        <v/>
      </c>
      <c r="F129" s="19">
        <f>$AT$160</f>
        <v/>
      </c>
    </row>
    <row r="130">
      <c r="D130" s="19">
        <f>IF(ABS(IF(ABS($E$108)&gt;0.000000001,$E$108,0.000000001))=0,0,IF($E$42&lt;=$B$27,0,IF(ABS(IF(ABS($E$108)&gt;0.000000001,$E$108,0.000000001))&gt;=8*$B$29,$H$42,0.5*$H$42*(ABS(IF(ABS($E$108)&gt;0.000000001,$E$108,0.000000001))/$B$29)^(1/3)))/ABS(IF(ABS($E$108)&gt;0.000000001,$E$108,0.000000001))*$I$42)</f>
        <v/>
      </c>
      <c r="E130" s="19">
        <f>0.5*$E$108+0.5*$AT$161</f>
        <v/>
      </c>
      <c r="F130" s="19">
        <f>$AT$162</f>
        <v/>
      </c>
    </row>
    <row r="131">
      <c r="D131" s="19">
        <f>IF(ABS(IF(ABS($E$109)&gt;0.000000001,$E$109,0.000000001))=0,0,IF($E$43&lt;=$B$27,0,IF(ABS(IF(ABS($E$109)&gt;0.000000001,$E$109,0.000000001))&gt;=8*$B$29,$H$43,0.5*$H$43*(ABS(IF(ABS($E$109)&gt;0.000000001,$E$109,0.000000001))/$B$29)^(1/3)))/ABS(IF(ABS($E$109)&gt;0.000000001,$E$109,0.000000001))*$I$43)</f>
        <v/>
      </c>
      <c r="E131" s="19">
        <f>0.5*$E$109+0.5*$AT$163</f>
        <v/>
      </c>
      <c r="F131" s="19">
        <f>$AT$164</f>
        <v/>
      </c>
    </row>
    <row r="132">
      <c r="D132" s="19">
        <f>IF(ABS(IF(ABS($E$110)&gt;0.000000001,$E$110,0.000000001))=0,0,IF($E$44&lt;=$B$27,0,IF(ABS(IF(ABS($E$110)&gt;0.000000001,$E$110,0.000000001))&gt;=8*$B$29,$H$44,0.5*$H$44*(ABS(IF(ABS($E$110)&gt;0.000000001,$E$110,0.000000001))/$B$29)^(1/3)))/ABS(IF(ABS($E$110)&gt;0.000000001,$E$110,0.000000001))*$I$44)</f>
        <v/>
      </c>
      <c r="E132" s="19">
        <f>0.5*$E$110+0.5*$AT$165</f>
        <v/>
      </c>
      <c r="F132" s="19">
        <f>$AT$166</f>
        <v/>
      </c>
    </row>
    <row r="133">
      <c r="D133" s="19">
        <f>IF(ABS(IF(ABS($E$111)&gt;0.000000001,$E$111,0.000000001))=0,0,IF($E$45&lt;=$B$27,0,IF(ABS(IF(ABS($E$111)&gt;0.000000001,$E$111,0.000000001))&gt;=8*$B$29,$H$45,0.5*$H$45*(ABS(IF(ABS($E$111)&gt;0.000000001,$E$111,0.000000001))/$B$29)^(1/3)))/ABS(IF(ABS($E$111)&gt;0.000000001,$E$111,0.000000001))*$I$45)</f>
        <v/>
      </c>
      <c r="E133" s="19">
        <f>0.5*$E$111+0.5*$AT$167</f>
        <v/>
      </c>
      <c r="F133" s="19">
        <f>$AT$168</f>
        <v/>
      </c>
    </row>
    <row r="134">
      <c r="D134" s="19">
        <f>IF(ABS(IF(ABS($E$112)&gt;0.000000001,$E$112,0.000000001))=0,0,IF($E$46&lt;=$B$27,0,IF(ABS(IF(ABS($E$112)&gt;0.000000001,$E$112,0.000000001))&gt;=8*$B$29,$H$46,0.5*$H$46*(ABS(IF(ABS($E$112)&gt;0.000000001,$E$112,0.000000001))/$B$29)^(1/3)))/ABS(IF(ABS($E$112)&gt;0.000000001,$E$112,0.000000001))*$I$46)</f>
        <v/>
      </c>
      <c r="E134" s="19">
        <f>0.5*$E$112+0.5*$AT$169</f>
        <v/>
      </c>
      <c r="F134" s="19">
        <f>$AT$170</f>
        <v/>
      </c>
    </row>
    <row r="135">
      <c r="D135" s="19">
        <f>IF(ABS(IF(ABS($E$113)&gt;0.000000001,$E$113,0.000000001))=0,0,IF($E$47&lt;=$B$27,0,IF(ABS(IF(ABS($E$113)&gt;0.000000001,$E$113,0.000000001))&gt;=8*$B$29,$H$47,0.5*$H$47*(ABS(IF(ABS($E$113)&gt;0.000000001,$E$113,0.000000001))/$B$29)^(1/3)))/ABS(IF(ABS($E$113)&gt;0.000000001,$E$113,0.000000001))*$I$47)</f>
        <v/>
      </c>
      <c r="E135" s="19">
        <f>0.5*$E$113+0.5*$AT$171</f>
        <v/>
      </c>
      <c r="F135" s="19">
        <f>$AT$172</f>
        <v/>
      </c>
    </row>
    <row r="136">
      <c r="D136" s="19">
        <f>IF(ABS(IF(ABS($E$114)&gt;0.000000001,$E$114,0.000000001))=0,0,IF($E$48&lt;=$B$27,0,IF(ABS(IF(ABS($E$114)&gt;0.000000001,$E$114,0.000000001))&gt;=8*$B$29,$H$48,0.5*$H$48*(ABS(IF(ABS($E$114)&gt;0.000000001,$E$114,0.000000001))/$B$29)^(1/3)))/ABS(IF(ABS($E$114)&gt;0.000000001,$E$114,0.000000001))*$I$48)</f>
        <v/>
      </c>
      <c r="E136" s="19">
        <f>0.5*$E$114+0.5*$AT$173</f>
        <v/>
      </c>
      <c r="F136" s="19">
        <f>$AT$174</f>
        <v/>
      </c>
    </row>
    <row r="137">
      <c r="D137" s="19">
        <f>IF(ABS(IF(ABS($E$115)&gt;0.000000001,$E$115,0.000000001))=0,0,IF($E$49&lt;=$B$27,0,IF(ABS(IF(ABS($E$115)&gt;0.000000001,$E$115,0.000000001))&gt;=8*$B$29,$H$49,0.5*$H$49*(ABS(IF(ABS($E$115)&gt;0.000000001,$E$115,0.000000001))/$B$29)^(1/3)))/ABS(IF(ABS($E$115)&gt;0.000000001,$E$115,0.000000001))*$I$49)</f>
        <v/>
      </c>
      <c r="E137" s="19">
        <f>0.5*$E$115+0.5*$AT$175</f>
        <v/>
      </c>
      <c r="F137" s="19">
        <f>$AT$176</f>
        <v/>
      </c>
    </row>
    <row r="138">
      <c r="D138" s="19">
        <f>IF(ABS(IF(ABS($E$116)&gt;0.000000001,$E$116,0.000000001))=0,0,IF($E$50&lt;=$B$27,0,IF(ABS(IF(ABS($E$116)&gt;0.000000001,$E$116,0.000000001))&gt;=8*$B$29,$H$50,0.5*$H$50*(ABS(IF(ABS($E$116)&gt;0.000000001,$E$116,0.000000001))/$B$29)^(1/3)))/ABS(IF(ABS($E$116)&gt;0.000000001,$E$116,0.000000001))*$I$50)</f>
        <v/>
      </c>
      <c r="E138" s="19">
        <f>0.5*$E$116+0.5*$AT$177</f>
        <v/>
      </c>
      <c r="F138" s="19">
        <f>$AT$178</f>
        <v/>
      </c>
    </row>
    <row r="139">
      <c r="D139" s="19">
        <f>IF(ABS(IF(ABS($E$117)&gt;0.000000001,$E$117,0.000000001))=0,0,IF($E$51&lt;=$B$27,0,IF(ABS(IF(ABS($E$117)&gt;0.000000001,$E$117,0.000000001))&gt;=8*$B$29,$H$51,0.5*$H$51*(ABS(IF(ABS($E$117)&gt;0.000000001,$E$117,0.000000001))/$B$29)^(1/3)))/ABS(IF(ABS($E$117)&gt;0.000000001,$E$117,0.000000001))*$I$51)</f>
        <v/>
      </c>
      <c r="E139" s="19">
        <f>0.5*$E$117+0.5*$AT$179</f>
        <v/>
      </c>
      <c r="F139" s="19">
        <f>$AT$180</f>
        <v/>
      </c>
    </row>
    <row r="140">
      <c r="D140" s="19">
        <f>IF(ABS(IF(ABS($E$118)&gt;0.000000001,$E$118,0.000000001))=0,0,IF($E$52&lt;=$B$27,0,IF(ABS(IF(ABS($E$118)&gt;0.000000001,$E$118,0.000000001))&gt;=8*$B$29,$H$52,0.5*$H$52*(ABS(IF(ABS($E$118)&gt;0.000000001,$E$118,0.000000001))/$B$29)^(1/3)))/ABS(IF(ABS($E$118)&gt;0.000000001,$E$118,0.000000001))*$I$52)</f>
        <v/>
      </c>
      <c r="E140" s="19">
        <f>0.5*$E$118+0.5*$AT$181</f>
        <v/>
      </c>
      <c r="F140" s="19">
        <f>$AT$182</f>
        <v/>
      </c>
    </row>
    <row r="141">
      <c r="D141" s="19">
        <f>IF(ABS(IF(ABS($E$119)&gt;0.000000001,$E$119,0.000000001))=0,0,IF($E$53&lt;=$B$27,0,IF(ABS(IF(ABS($E$119)&gt;0.000000001,$E$119,0.000000001))&gt;=8*$B$29,$H$53,0.5*$H$53*(ABS(IF(ABS($E$119)&gt;0.000000001,$E$119,0.000000001))/$B$29)^(1/3)))/ABS(IF(ABS($E$119)&gt;0.000000001,$E$119,0.000000001))*$I$53)</f>
        <v/>
      </c>
      <c r="E141" s="19">
        <f>0.5*$E$119+0.5*$AT$183</f>
        <v/>
      </c>
      <c r="F141" s="19">
        <f>$AT$184</f>
        <v/>
      </c>
    </row>
    <row r="143">
      <c r="D143" s="21">
        <f>$B$18+$D$121</f>
        <v/>
      </c>
      <c r="E143" s="21">
        <f>$B$19</f>
        <v/>
      </c>
      <c r="F143" s="21">
        <f>-$B$18</f>
        <v/>
      </c>
      <c r="G143" s="21">
        <f>$B$19</f>
        <v/>
      </c>
      <c r="H143" s="21" t="n">
        <v>0</v>
      </c>
      <c r="I143" s="21" t="n">
        <v>0</v>
      </c>
      <c r="J143" s="21" t="n">
        <v>0</v>
      </c>
      <c r="K143" s="21" t="n">
        <v>0</v>
      </c>
      <c r="L143" s="21" t="n">
        <v>0</v>
      </c>
      <c r="M143" s="21" t="n">
        <v>0</v>
      </c>
      <c r="N143" s="21" t="n">
        <v>0</v>
      </c>
      <c r="O143" s="21" t="n">
        <v>0</v>
      </c>
      <c r="P143" s="21" t="n">
        <v>0</v>
      </c>
      <c r="Q143" s="21" t="n">
        <v>0</v>
      </c>
      <c r="R143" s="21" t="n">
        <v>0</v>
      </c>
      <c r="S143" s="21" t="n">
        <v>0</v>
      </c>
      <c r="T143" s="21" t="n">
        <v>0</v>
      </c>
      <c r="U143" s="21" t="n">
        <v>0</v>
      </c>
      <c r="V143" s="21" t="n">
        <v>0</v>
      </c>
      <c r="W143" s="21" t="n">
        <v>0</v>
      </c>
      <c r="X143" s="21" t="n">
        <v>0</v>
      </c>
      <c r="Y143" s="21" t="n">
        <v>0</v>
      </c>
      <c r="Z143" s="21" t="n">
        <v>0</v>
      </c>
      <c r="AA143" s="21" t="n">
        <v>0</v>
      </c>
      <c r="AB143" s="21" t="n">
        <v>0</v>
      </c>
      <c r="AC143" s="21" t="n">
        <v>0</v>
      </c>
      <c r="AD143" s="21" t="n">
        <v>0</v>
      </c>
      <c r="AE143" s="21" t="n">
        <v>0</v>
      </c>
      <c r="AF143" s="21" t="n">
        <v>0</v>
      </c>
      <c r="AG143" s="21" t="n">
        <v>0</v>
      </c>
      <c r="AH143" s="21" t="n">
        <v>0</v>
      </c>
      <c r="AI143" s="21" t="n">
        <v>0</v>
      </c>
      <c r="AJ143" s="21" t="n">
        <v>0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19">
        <f t="array" ref="AT143:AT184">MMULT(MINVERSE($D$143:$AS$184),$D$55:$D$96)</f>
        <v/>
      </c>
    </row>
    <row r="144">
      <c r="D144" s="21">
        <f>$B$19</f>
        <v/>
      </c>
      <c r="E144" s="21">
        <f>$B$20</f>
        <v/>
      </c>
      <c r="F144" s="21">
        <f>-$B$19</f>
        <v/>
      </c>
      <c r="G144" s="21">
        <f>$B$21</f>
        <v/>
      </c>
      <c r="H144" s="21" t="n">
        <v>0</v>
      </c>
      <c r="I144" s="21" t="n">
        <v>0</v>
      </c>
      <c r="J144" s="21" t="n">
        <v>0</v>
      </c>
      <c r="K144" s="21" t="n">
        <v>0</v>
      </c>
      <c r="L144" s="21" t="n">
        <v>0</v>
      </c>
      <c r="M144" s="21" t="n">
        <v>0</v>
      </c>
      <c r="N144" s="21" t="n">
        <v>0</v>
      </c>
      <c r="O144" s="21" t="n">
        <v>0</v>
      </c>
      <c r="P144" s="21" t="n">
        <v>0</v>
      </c>
      <c r="Q144" s="21" t="n">
        <v>0</v>
      </c>
      <c r="R144" s="21" t="n">
        <v>0</v>
      </c>
      <c r="S144" s="21" t="n">
        <v>0</v>
      </c>
      <c r="T144" s="21" t="n">
        <v>0</v>
      </c>
      <c r="U144" s="21" t="n">
        <v>0</v>
      </c>
      <c r="V144" s="21" t="n">
        <v>0</v>
      </c>
      <c r="W144" s="21" t="n">
        <v>0</v>
      </c>
      <c r="X144" s="21" t="n">
        <v>0</v>
      </c>
      <c r="Y144" s="21" t="n">
        <v>0</v>
      </c>
      <c r="Z144" s="21" t="n">
        <v>0</v>
      </c>
      <c r="AA144" s="21" t="n">
        <v>0</v>
      </c>
      <c r="AB144" s="21" t="n">
        <v>0</v>
      </c>
      <c r="AC144" s="21" t="n">
        <v>0</v>
      </c>
      <c r="AD144" s="21" t="n">
        <v>0</v>
      </c>
      <c r="AE144" s="21" t="n">
        <v>0</v>
      </c>
      <c r="AF144" s="21" t="n">
        <v>0</v>
      </c>
      <c r="AG144" s="21" t="n">
        <v>0</v>
      </c>
      <c r="AH144" s="21" t="n">
        <v>0</v>
      </c>
      <c r="AI144" s="21" t="n">
        <v>0</v>
      </c>
      <c r="AJ144" s="21" t="n">
        <v>0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19" t="n"/>
    </row>
    <row r="145">
      <c r="D145" s="21">
        <f>-$B$18</f>
        <v/>
      </c>
      <c r="E145" s="21">
        <f>-$B$19</f>
        <v/>
      </c>
      <c r="F145" s="21">
        <f>2*$B$18+$D$122</f>
        <v/>
      </c>
      <c r="G145" s="21">
        <f>0</f>
        <v/>
      </c>
      <c r="H145" s="21">
        <f>-$B$18</f>
        <v/>
      </c>
      <c r="I145" s="21">
        <f>$B$19</f>
        <v/>
      </c>
      <c r="J145" s="21" t="n">
        <v>0</v>
      </c>
      <c r="K145" s="21" t="n">
        <v>0</v>
      </c>
      <c r="L145" s="21" t="n">
        <v>0</v>
      </c>
      <c r="M145" s="21" t="n">
        <v>0</v>
      </c>
      <c r="N145" s="21" t="n">
        <v>0</v>
      </c>
      <c r="O145" s="21" t="n">
        <v>0</v>
      </c>
      <c r="P145" s="21" t="n">
        <v>0</v>
      </c>
      <c r="Q145" s="21" t="n">
        <v>0</v>
      </c>
      <c r="R145" s="21" t="n">
        <v>0</v>
      </c>
      <c r="S145" s="21" t="n">
        <v>0</v>
      </c>
      <c r="T145" s="21" t="n">
        <v>0</v>
      </c>
      <c r="U145" s="21" t="n">
        <v>0</v>
      </c>
      <c r="V145" s="21" t="n">
        <v>0</v>
      </c>
      <c r="W145" s="21" t="n">
        <v>0</v>
      </c>
      <c r="X145" s="21" t="n">
        <v>0</v>
      </c>
      <c r="Y145" s="21" t="n">
        <v>0</v>
      </c>
      <c r="Z145" s="21" t="n">
        <v>0</v>
      </c>
      <c r="AA145" s="21" t="n">
        <v>0</v>
      </c>
      <c r="AB145" s="21" t="n">
        <v>0</v>
      </c>
      <c r="AC145" s="21" t="n">
        <v>0</v>
      </c>
      <c r="AD145" s="21" t="n">
        <v>0</v>
      </c>
      <c r="AE145" s="21" t="n">
        <v>0</v>
      </c>
      <c r="AF145" s="21" t="n">
        <v>0</v>
      </c>
      <c r="AG145" s="21" t="n">
        <v>0</v>
      </c>
      <c r="AH145" s="21" t="n">
        <v>0</v>
      </c>
      <c r="AI145" s="21" t="n">
        <v>0</v>
      </c>
      <c r="AJ145" s="21" t="n">
        <v>0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0</v>
      </c>
      <c r="AQ145" s="21" t="n">
        <v>0</v>
      </c>
      <c r="AR145" s="21" t="n">
        <v>0</v>
      </c>
      <c r="AS145" s="21" t="n">
        <v>0</v>
      </c>
      <c r="AT145" s="19" t="n"/>
    </row>
    <row r="146">
      <c r="D146" s="21">
        <f>$B$19</f>
        <v/>
      </c>
      <c r="E146" s="21">
        <f>$B$21</f>
        <v/>
      </c>
      <c r="F146" s="21">
        <f>0</f>
        <v/>
      </c>
      <c r="G146" s="21">
        <f>2*$B$20</f>
        <v/>
      </c>
      <c r="H146" s="21">
        <f>-$B$19</f>
        <v/>
      </c>
      <c r="I146" s="21">
        <f>$B$21</f>
        <v/>
      </c>
      <c r="J146" s="21" t="n">
        <v>0</v>
      </c>
      <c r="K146" s="21" t="n">
        <v>0</v>
      </c>
      <c r="L146" s="21" t="n">
        <v>0</v>
      </c>
      <c r="M146" s="21" t="n">
        <v>0</v>
      </c>
      <c r="N146" s="21" t="n">
        <v>0</v>
      </c>
      <c r="O146" s="21" t="n">
        <v>0</v>
      </c>
      <c r="P146" s="21" t="n">
        <v>0</v>
      </c>
      <c r="Q146" s="21" t="n">
        <v>0</v>
      </c>
      <c r="R146" s="21" t="n">
        <v>0</v>
      </c>
      <c r="S146" s="21" t="n">
        <v>0</v>
      </c>
      <c r="T146" s="21" t="n">
        <v>0</v>
      </c>
      <c r="U146" s="21" t="n">
        <v>0</v>
      </c>
      <c r="V146" s="21" t="n">
        <v>0</v>
      </c>
      <c r="W146" s="21" t="n">
        <v>0</v>
      </c>
      <c r="X146" s="21" t="n">
        <v>0</v>
      </c>
      <c r="Y146" s="21" t="n">
        <v>0</v>
      </c>
      <c r="Z146" s="21" t="n">
        <v>0</v>
      </c>
      <c r="AA146" s="21" t="n">
        <v>0</v>
      </c>
      <c r="AB146" s="21" t="n">
        <v>0</v>
      </c>
      <c r="AC146" s="21" t="n">
        <v>0</v>
      </c>
      <c r="AD146" s="21" t="n">
        <v>0</v>
      </c>
      <c r="AE146" s="21" t="n">
        <v>0</v>
      </c>
      <c r="AF146" s="21" t="n">
        <v>0</v>
      </c>
      <c r="AG146" s="21" t="n">
        <v>0</v>
      </c>
      <c r="AH146" s="21" t="n">
        <v>0</v>
      </c>
      <c r="AI146" s="21" t="n">
        <v>0</v>
      </c>
      <c r="AJ146" s="21" t="n">
        <v>0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0</v>
      </c>
      <c r="AQ146" s="21" t="n">
        <v>0</v>
      </c>
      <c r="AR146" s="21" t="n">
        <v>0</v>
      </c>
      <c r="AS146" s="21" t="n">
        <v>0</v>
      </c>
      <c r="AT146" s="19" t="n"/>
    </row>
    <row r="147">
      <c r="D147" s="21" t="n">
        <v>0</v>
      </c>
      <c r="E147" s="21" t="n">
        <v>0</v>
      </c>
      <c r="F147" s="21">
        <f>-$B$18</f>
        <v/>
      </c>
      <c r="G147" s="21">
        <f>-$B$19</f>
        <v/>
      </c>
      <c r="H147" s="21">
        <f>2*$B$18+$D$123</f>
        <v/>
      </c>
      <c r="I147" s="21">
        <f>0</f>
        <v/>
      </c>
      <c r="J147" s="21">
        <f>-$B$18</f>
        <v/>
      </c>
      <c r="K147" s="21">
        <f>$B$19</f>
        <v/>
      </c>
      <c r="L147" s="21" t="n">
        <v>0</v>
      </c>
      <c r="M147" s="21" t="n">
        <v>0</v>
      </c>
      <c r="N147" s="21" t="n">
        <v>0</v>
      </c>
      <c r="O147" s="21" t="n">
        <v>0</v>
      </c>
      <c r="P147" s="21" t="n">
        <v>0</v>
      </c>
      <c r="Q147" s="21" t="n">
        <v>0</v>
      </c>
      <c r="R147" s="21" t="n">
        <v>0</v>
      </c>
      <c r="S147" s="21" t="n">
        <v>0</v>
      </c>
      <c r="T147" s="21" t="n">
        <v>0</v>
      </c>
      <c r="U147" s="21" t="n">
        <v>0</v>
      </c>
      <c r="V147" s="21" t="n">
        <v>0</v>
      </c>
      <c r="W147" s="21" t="n">
        <v>0</v>
      </c>
      <c r="X147" s="21" t="n">
        <v>0</v>
      </c>
      <c r="Y147" s="21" t="n">
        <v>0</v>
      </c>
      <c r="Z147" s="21" t="n">
        <v>0</v>
      </c>
      <c r="AA147" s="21" t="n">
        <v>0</v>
      </c>
      <c r="AB147" s="21" t="n">
        <v>0</v>
      </c>
      <c r="AC147" s="21" t="n">
        <v>0</v>
      </c>
      <c r="AD147" s="21" t="n">
        <v>0</v>
      </c>
      <c r="AE147" s="21" t="n">
        <v>0</v>
      </c>
      <c r="AF147" s="21" t="n">
        <v>0</v>
      </c>
      <c r="AG147" s="21" t="n">
        <v>0</v>
      </c>
      <c r="AH147" s="21" t="n">
        <v>0</v>
      </c>
      <c r="AI147" s="21" t="n">
        <v>0</v>
      </c>
      <c r="AJ147" s="21" t="n">
        <v>0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0</v>
      </c>
      <c r="AQ147" s="21" t="n">
        <v>0</v>
      </c>
      <c r="AR147" s="21" t="n">
        <v>0</v>
      </c>
      <c r="AS147" s="21" t="n">
        <v>0</v>
      </c>
      <c r="AT147" s="19" t="n"/>
    </row>
    <row r="148">
      <c r="D148" s="21" t="n">
        <v>0</v>
      </c>
      <c r="E148" s="21" t="n">
        <v>0</v>
      </c>
      <c r="F148" s="21">
        <f>$B$19</f>
        <v/>
      </c>
      <c r="G148" s="21">
        <f>$B$21</f>
        <v/>
      </c>
      <c r="H148" s="21">
        <f>0</f>
        <v/>
      </c>
      <c r="I148" s="21">
        <f>2*$B$20</f>
        <v/>
      </c>
      <c r="J148" s="21">
        <f>-$B$19</f>
        <v/>
      </c>
      <c r="K148" s="21">
        <f>$B$21</f>
        <v/>
      </c>
      <c r="L148" s="21" t="n">
        <v>0</v>
      </c>
      <c r="M148" s="21" t="n">
        <v>0</v>
      </c>
      <c r="N148" s="21" t="n">
        <v>0</v>
      </c>
      <c r="O148" s="21" t="n">
        <v>0</v>
      </c>
      <c r="P148" s="21" t="n">
        <v>0</v>
      </c>
      <c r="Q148" s="21" t="n">
        <v>0</v>
      </c>
      <c r="R148" s="21" t="n">
        <v>0</v>
      </c>
      <c r="S148" s="21" t="n">
        <v>0</v>
      </c>
      <c r="T148" s="21" t="n">
        <v>0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0</v>
      </c>
      <c r="Z148" s="21" t="n">
        <v>0</v>
      </c>
      <c r="AA148" s="21" t="n">
        <v>0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0</v>
      </c>
      <c r="AG148" s="21" t="n">
        <v>0</v>
      </c>
      <c r="AH148" s="21" t="n">
        <v>0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19" t="n"/>
    </row>
    <row r="149">
      <c r="D149" s="21" t="n">
        <v>0</v>
      </c>
      <c r="E149" s="21" t="n">
        <v>0</v>
      </c>
      <c r="F149" s="21" t="n">
        <v>0</v>
      </c>
      <c r="G149" s="21" t="n">
        <v>0</v>
      </c>
      <c r="H149" s="21">
        <f>-$B$18</f>
        <v/>
      </c>
      <c r="I149" s="21">
        <f>-$B$19</f>
        <v/>
      </c>
      <c r="J149" s="21">
        <f>2*$B$18+$D$124</f>
        <v/>
      </c>
      <c r="K149" s="21">
        <f>0</f>
        <v/>
      </c>
      <c r="L149" s="21">
        <f>-$B$18</f>
        <v/>
      </c>
      <c r="M149" s="21">
        <f>$B$19</f>
        <v/>
      </c>
      <c r="N149" s="21" t="n">
        <v>0</v>
      </c>
      <c r="O149" s="21" t="n">
        <v>0</v>
      </c>
      <c r="P149" s="21" t="n">
        <v>0</v>
      </c>
      <c r="Q149" s="21" t="n">
        <v>0</v>
      </c>
      <c r="R149" s="21" t="n">
        <v>0</v>
      </c>
      <c r="S149" s="21" t="n">
        <v>0</v>
      </c>
      <c r="T149" s="21" t="n">
        <v>0</v>
      </c>
      <c r="U149" s="21" t="n">
        <v>0</v>
      </c>
      <c r="V149" s="21" t="n">
        <v>0</v>
      </c>
      <c r="W149" s="21" t="n">
        <v>0</v>
      </c>
      <c r="X149" s="21" t="n">
        <v>0</v>
      </c>
      <c r="Y149" s="21" t="n">
        <v>0</v>
      </c>
      <c r="Z149" s="21" t="n">
        <v>0</v>
      </c>
      <c r="AA149" s="21" t="n">
        <v>0</v>
      </c>
      <c r="AB149" s="21" t="n">
        <v>0</v>
      </c>
      <c r="AC149" s="21" t="n">
        <v>0</v>
      </c>
      <c r="AD149" s="21" t="n">
        <v>0</v>
      </c>
      <c r="AE149" s="21" t="n">
        <v>0</v>
      </c>
      <c r="AF149" s="21" t="n">
        <v>0</v>
      </c>
      <c r="AG149" s="21" t="n">
        <v>0</v>
      </c>
      <c r="AH149" s="21" t="n">
        <v>0</v>
      </c>
      <c r="AI149" s="21" t="n">
        <v>0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19" t="n"/>
    </row>
    <row r="150">
      <c r="D150" s="21" t="n">
        <v>0</v>
      </c>
      <c r="E150" s="21" t="n">
        <v>0</v>
      </c>
      <c r="F150" s="21" t="n">
        <v>0</v>
      </c>
      <c r="G150" s="21" t="n">
        <v>0</v>
      </c>
      <c r="H150" s="21">
        <f>$B$19</f>
        <v/>
      </c>
      <c r="I150" s="21">
        <f>$B$21</f>
        <v/>
      </c>
      <c r="J150" s="21">
        <f>0</f>
        <v/>
      </c>
      <c r="K150" s="21">
        <f>2*$B$20</f>
        <v/>
      </c>
      <c r="L150" s="21">
        <f>-$B$19</f>
        <v/>
      </c>
      <c r="M150" s="21">
        <f>$B$21</f>
        <v/>
      </c>
      <c r="N150" s="21" t="n">
        <v>0</v>
      </c>
      <c r="O150" s="21" t="n">
        <v>0</v>
      </c>
      <c r="P150" s="21" t="n">
        <v>0</v>
      </c>
      <c r="Q150" s="21" t="n">
        <v>0</v>
      </c>
      <c r="R150" s="21" t="n">
        <v>0</v>
      </c>
      <c r="S150" s="21" t="n">
        <v>0</v>
      </c>
      <c r="T150" s="21" t="n">
        <v>0</v>
      </c>
      <c r="U150" s="21" t="n">
        <v>0</v>
      </c>
      <c r="V150" s="21" t="n">
        <v>0</v>
      </c>
      <c r="W150" s="21" t="n">
        <v>0</v>
      </c>
      <c r="X150" s="21" t="n">
        <v>0</v>
      </c>
      <c r="Y150" s="21" t="n">
        <v>0</v>
      </c>
      <c r="Z150" s="21" t="n">
        <v>0</v>
      </c>
      <c r="AA150" s="21" t="n">
        <v>0</v>
      </c>
      <c r="AB150" s="21" t="n">
        <v>0</v>
      </c>
      <c r="AC150" s="21" t="n">
        <v>0</v>
      </c>
      <c r="AD150" s="21" t="n">
        <v>0</v>
      </c>
      <c r="AE150" s="21" t="n">
        <v>0</v>
      </c>
      <c r="AF150" s="21" t="n">
        <v>0</v>
      </c>
      <c r="AG150" s="21" t="n">
        <v>0</v>
      </c>
      <c r="AH150" s="21" t="n">
        <v>0</v>
      </c>
      <c r="AI150" s="21" t="n">
        <v>0</v>
      </c>
      <c r="AJ150" s="21" t="n">
        <v>0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19" t="n"/>
    </row>
    <row r="151">
      <c r="D151" s="21" t="n">
        <v>0</v>
      </c>
      <c r="E151" s="21" t="n">
        <v>0</v>
      </c>
      <c r="F151" s="21" t="n">
        <v>0</v>
      </c>
      <c r="G151" s="21" t="n">
        <v>0</v>
      </c>
      <c r="H151" s="21" t="n">
        <v>0</v>
      </c>
      <c r="I151" s="21" t="n">
        <v>0</v>
      </c>
      <c r="J151" s="21">
        <f>-$B$18</f>
        <v/>
      </c>
      <c r="K151" s="21">
        <f>-$B$19</f>
        <v/>
      </c>
      <c r="L151" s="21">
        <f>2*$B$18+$D$125</f>
        <v/>
      </c>
      <c r="M151" s="21">
        <f>0</f>
        <v/>
      </c>
      <c r="N151" s="21">
        <f>-$B$18</f>
        <v/>
      </c>
      <c r="O151" s="21">
        <f>$B$19</f>
        <v/>
      </c>
      <c r="P151" s="21" t="n">
        <v>0</v>
      </c>
      <c r="Q151" s="21" t="n">
        <v>0</v>
      </c>
      <c r="R151" s="21" t="n">
        <v>0</v>
      </c>
      <c r="S151" s="21" t="n">
        <v>0</v>
      </c>
      <c r="T151" s="21" t="n">
        <v>0</v>
      </c>
      <c r="U151" s="21" t="n">
        <v>0</v>
      </c>
      <c r="V151" s="21" t="n">
        <v>0</v>
      </c>
      <c r="W151" s="21" t="n">
        <v>0</v>
      </c>
      <c r="X151" s="21" t="n">
        <v>0</v>
      </c>
      <c r="Y151" s="21" t="n">
        <v>0</v>
      </c>
      <c r="Z151" s="21" t="n">
        <v>0</v>
      </c>
      <c r="AA151" s="21" t="n">
        <v>0</v>
      </c>
      <c r="AB151" s="21" t="n">
        <v>0</v>
      </c>
      <c r="AC151" s="21" t="n">
        <v>0</v>
      </c>
      <c r="AD151" s="21" t="n">
        <v>0</v>
      </c>
      <c r="AE151" s="21" t="n">
        <v>0</v>
      </c>
      <c r="AF151" s="21" t="n">
        <v>0</v>
      </c>
      <c r="AG151" s="21" t="n">
        <v>0</v>
      </c>
      <c r="AH151" s="21" t="n">
        <v>0</v>
      </c>
      <c r="AI151" s="21" t="n">
        <v>0</v>
      </c>
      <c r="AJ151" s="21" t="n">
        <v>0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0</v>
      </c>
      <c r="AR151" s="21" t="n">
        <v>0</v>
      </c>
      <c r="AS151" s="21" t="n">
        <v>0</v>
      </c>
      <c r="AT151" s="19" t="n"/>
    </row>
    <row r="152">
      <c r="D152" s="21" t="n">
        <v>0</v>
      </c>
      <c r="E152" s="21" t="n">
        <v>0</v>
      </c>
      <c r="F152" s="21" t="n">
        <v>0</v>
      </c>
      <c r="G152" s="21" t="n">
        <v>0</v>
      </c>
      <c r="H152" s="21" t="n">
        <v>0</v>
      </c>
      <c r="I152" s="21" t="n">
        <v>0</v>
      </c>
      <c r="J152" s="21">
        <f>$B$19</f>
        <v/>
      </c>
      <c r="K152" s="21">
        <f>$B$21</f>
        <v/>
      </c>
      <c r="L152" s="21">
        <f>0</f>
        <v/>
      </c>
      <c r="M152" s="21">
        <f>2*$B$20</f>
        <v/>
      </c>
      <c r="N152" s="21">
        <f>-$B$19</f>
        <v/>
      </c>
      <c r="O152" s="21">
        <f>$B$21</f>
        <v/>
      </c>
      <c r="P152" s="21" t="n">
        <v>0</v>
      </c>
      <c r="Q152" s="21" t="n">
        <v>0</v>
      </c>
      <c r="R152" s="21" t="n">
        <v>0</v>
      </c>
      <c r="S152" s="21" t="n">
        <v>0</v>
      </c>
      <c r="T152" s="21" t="n">
        <v>0</v>
      </c>
      <c r="U152" s="21" t="n">
        <v>0</v>
      </c>
      <c r="V152" s="21" t="n">
        <v>0</v>
      </c>
      <c r="W152" s="21" t="n">
        <v>0</v>
      </c>
      <c r="X152" s="21" t="n">
        <v>0</v>
      </c>
      <c r="Y152" s="21" t="n">
        <v>0</v>
      </c>
      <c r="Z152" s="21" t="n">
        <v>0</v>
      </c>
      <c r="AA152" s="21" t="n">
        <v>0</v>
      </c>
      <c r="AB152" s="21" t="n">
        <v>0</v>
      </c>
      <c r="AC152" s="21" t="n">
        <v>0</v>
      </c>
      <c r="AD152" s="21" t="n">
        <v>0</v>
      </c>
      <c r="AE152" s="21" t="n">
        <v>0</v>
      </c>
      <c r="AF152" s="21" t="n">
        <v>0</v>
      </c>
      <c r="AG152" s="21" t="n">
        <v>0</v>
      </c>
      <c r="AH152" s="21" t="n">
        <v>0</v>
      </c>
      <c r="AI152" s="21" t="n">
        <v>0</v>
      </c>
      <c r="AJ152" s="21" t="n">
        <v>0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19" t="n"/>
    </row>
    <row r="153">
      <c r="D153" s="21" t="n">
        <v>0</v>
      </c>
      <c r="E153" s="21" t="n">
        <v>0</v>
      </c>
      <c r="F153" s="21" t="n">
        <v>0</v>
      </c>
      <c r="G153" s="21" t="n">
        <v>0</v>
      </c>
      <c r="H153" s="21" t="n">
        <v>0</v>
      </c>
      <c r="I153" s="21" t="n">
        <v>0</v>
      </c>
      <c r="J153" s="21" t="n">
        <v>0</v>
      </c>
      <c r="K153" s="21" t="n">
        <v>0</v>
      </c>
      <c r="L153" s="21">
        <f>-$B$18</f>
        <v/>
      </c>
      <c r="M153" s="21">
        <f>-$B$19</f>
        <v/>
      </c>
      <c r="N153" s="21">
        <f>2*$B$18+$D$126</f>
        <v/>
      </c>
      <c r="O153" s="21">
        <f>0</f>
        <v/>
      </c>
      <c r="P153" s="21">
        <f>-$B$18</f>
        <v/>
      </c>
      <c r="Q153" s="21">
        <f>$B$19</f>
        <v/>
      </c>
      <c r="R153" s="21" t="n">
        <v>0</v>
      </c>
      <c r="S153" s="21" t="n">
        <v>0</v>
      </c>
      <c r="T153" s="21" t="n">
        <v>0</v>
      </c>
      <c r="U153" s="21" t="n">
        <v>0</v>
      </c>
      <c r="V153" s="21" t="n">
        <v>0</v>
      </c>
      <c r="W153" s="21" t="n">
        <v>0</v>
      </c>
      <c r="X153" s="21" t="n">
        <v>0</v>
      </c>
      <c r="Y153" s="21" t="n">
        <v>0</v>
      </c>
      <c r="Z153" s="21" t="n">
        <v>0</v>
      </c>
      <c r="AA153" s="21" t="n">
        <v>0</v>
      </c>
      <c r="AB153" s="21" t="n">
        <v>0</v>
      </c>
      <c r="AC153" s="21" t="n">
        <v>0</v>
      </c>
      <c r="AD153" s="21" t="n">
        <v>0</v>
      </c>
      <c r="AE153" s="21" t="n">
        <v>0</v>
      </c>
      <c r="AF153" s="21" t="n">
        <v>0</v>
      </c>
      <c r="AG153" s="21" t="n">
        <v>0</v>
      </c>
      <c r="AH153" s="21" t="n">
        <v>0</v>
      </c>
      <c r="AI153" s="21" t="n">
        <v>0</v>
      </c>
      <c r="AJ153" s="21" t="n">
        <v>0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19" t="n"/>
    </row>
    <row r="154">
      <c r="D154" s="21" t="n">
        <v>0</v>
      </c>
      <c r="E154" s="21" t="n">
        <v>0</v>
      </c>
      <c r="F154" s="21" t="n">
        <v>0</v>
      </c>
      <c r="G154" s="21" t="n">
        <v>0</v>
      </c>
      <c r="H154" s="21" t="n">
        <v>0</v>
      </c>
      <c r="I154" s="21" t="n">
        <v>0</v>
      </c>
      <c r="J154" s="21" t="n">
        <v>0</v>
      </c>
      <c r="K154" s="21" t="n">
        <v>0</v>
      </c>
      <c r="L154" s="21">
        <f>$B$19</f>
        <v/>
      </c>
      <c r="M154" s="21">
        <f>$B$21</f>
        <v/>
      </c>
      <c r="N154" s="21">
        <f>0</f>
        <v/>
      </c>
      <c r="O154" s="21">
        <f>2*$B$20</f>
        <v/>
      </c>
      <c r="P154" s="21">
        <f>-$B$19</f>
        <v/>
      </c>
      <c r="Q154" s="21">
        <f>$B$21</f>
        <v/>
      </c>
      <c r="R154" s="21" t="n">
        <v>0</v>
      </c>
      <c r="S154" s="21" t="n">
        <v>0</v>
      </c>
      <c r="T154" s="21" t="n">
        <v>0</v>
      </c>
      <c r="U154" s="21" t="n">
        <v>0</v>
      </c>
      <c r="V154" s="21" t="n">
        <v>0</v>
      </c>
      <c r="W154" s="21" t="n">
        <v>0</v>
      </c>
      <c r="X154" s="21" t="n">
        <v>0</v>
      </c>
      <c r="Y154" s="21" t="n">
        <v>0</v>
      </c>
      <c r="Z154" s="21" t="n">
        <v>0</v>
      </c>
      <c r="AA154" s="21" t="n">
        <v>0</v>
      </c>
      <c r="AB154" s="21" t="n">
        <v>0</v>
      </c>
      <c r="AC154" s="21" t="n">
        <v>0</v>
      </c>
      <c r="AD154" s="21" t="n">
        <v>0</v>
      </c>
      <c r="AE154" s="21" t="n">
        <v>0</v>
      </c>
      <c r="AF154" s="21" t="n">
        <v>0</v>
      </c>
      <c r="AG154" s="21" t="n">
        <v>0</v>
      </c>
      <c r="AH154" s="21" t="n">
        <v>0</v>
      </c>
      <c r="AI154" s="21" t="n">
        <v>0</v>
      </c>
      <c r="AJ154" s="21" t="n">
        <v>0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19" t="n"/>
    </row>
    <row r="155">
      <c r="D155" s="21" t="n">
        <v>0</v>
      </c>
      <c r="E155" s="21" t="n">
        <v>0</v>
      </c>
      <c r="F155" s="21" t="n">
        <v>0</v>
      </c>
      <c r="G155" s="21" t="n">
        <v>0</v>
      </c>
      <c r="H155" s="21" t="n">
        <v>0</v>
      </c>
      <c r="I155" s="21" t="n">
        <v>0</v>
      </c>
      <c r="J155" s="21" t="n">
        <v>0</v>
      </c>
      <c r="K155" s="21" t="n">
        <v>0</v>
      </c>
      <c r="L155" s="21" t="n">
        <v>0</v>
      </c>
      <c r="M155" s="21" t="n">
        <v>0</v>
      </c>
      <c r="N155" s="21">
        <f>-$B$18</f>
        <v/>
      </c>
      <c r="O155" s="21">
        <f>-$B$19</f>
        <v/>
      </c>
      <c r="P155" s="21">
        <f>2*$B$18+$D$127</f>
        <v/>
      </c>
      <c r="Q155" s="21">
        <f>0</f>
        <v/>
      </c>
      <c r="R155" s="21">
        <f>-$B$18</f>
        <v/>
      </c>
      <c r="S155" s="21">
        <f>$B$19</f>
        <v/>
      </c>
      <c r="T155" s="21" t="n">
        <v>0</v>
      </c>
      <c r="U155" s="21" t="n">
        <v>0</v>
      </c>
      <c r="V155" s="21" t="n">
        <v>0</v>
      </c>
      <c r="W155" s="21" t="n">
        <v>0</v>
      </c>
      <c r="X155" s="21" t="n">
        <v>0</v>
      </c>
      <c r="Y155" s="21" t="n">
        <v>0</v>
      </c>
      <c r="Z155" s="21" t="n">
        <v>0</v>
      </c>
      <c r="AA155" s="21" t="n">
        <v>0</v>
      </c>
      <c r="AB155" s="21" t="n">
        <v>0</v>
      </c>
      <c r="AC155" s="21" t="n">
        <v>0</v>
      </c>
      <c r="AD155" s="21" t="n">
        <v>0</v>
      </c>
      <c r="AE155" s="21" t="n">
        <v>0</v>
      </c>
      <c r="AF155" s="21" t="n">
        <v>0</v>
      </c>
      <c r="AG155" s="21" t="n">
        <v>0</v>
      </c>
      <c r="AH155" s="21" t="n">
        <v>0</v>
      </c>
      <c r="AI155" s="21" t="n">
        <v>0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19" t="n"/>
    </row>
    <row r="156">
      <c r="D156" s="21" t="n">
        <v>0</v>
      </c>
      <c r="E156" s="21" t="n">
        <v>0</v>
      </c>
      <c r="F156" s="21" t="n">
        <v>0</v>
      </c>
      <c r="G156" s="21" t="n">
        <v>0</v>
      </c>
      <c r="H156" s="21" t="n">
        <v>0</v>
      </c>
      <c r="I156" s="21" t="n">
        <v>0</v>
      </c>
      <c r="J156" s="21" t="n">
        <v>0</v>
      </c>
      <c r="K156" s="21" t="n">
        <v>0</v>
      </c>
      <c r="L156" s="21" t="n">
        <v>0</v>
      </c>
      <c r="M156" s="21" t="n">
        <v>0</v>
      </c>
      <c r="N156" s="21">
        <f>$B$19</f>
        <v/>
      </c>
      <c r="O156" s="21">
        <f>$B$21</f>
        <v/>
      </c>
      <c r="P156" s="21">
        <f>0</f>
        <v/>
      </c>
      <c r="Q156" s="21">
        <f>2*$B$20</f>
        <v/>
      </c>
      <c r="R156" s="21">
        <f>-$B$19</f>
        <v/>
      </c>
      <c r="S156" s="21">
        <f>$B$21</f>
        <v/>
      </c>
      <c r="T156" s="21" t="n">
        <v>0</v>
      </c>
      <c r="U156" s="21" t="n">
        <v>0</v>
      </c>
      <c r="V156" s="21" t="n">
        <v>0</v>
      </c>
      <c r="W156" s="21" t="n">
        <v>0</v>
      </c>
      <c r="X156" s="21" t="n">
        <v>0</v>
      </c>
      <c r="Y156" s="21" t="n">
        <v>0</v>
      </c>
      <c r="Z156" s="21" t="n">
        <v>0</v>
      </c>
      <c r="AA156" s="21" t="n">
        <v>0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0</v>
      </c>
      <c r="AG156" s="21" t="n">
        <v>0</v>
      </c>
      <c r="AH156" s="21" t="n">
        <v>0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19" t="n"/>
    </row>
    <row r="157">
      <c r="D157" s="21" t="n">
        <v>0</v>
      </c>
      <c r="E157" s="21" t="n">
        <v>0</v>
      </c>
      <c r="F157" s="21" t="n">
        <v>0</v>
      </c>
      <c r="G157" s="21" t="n">
        <v>0</v>
      </c>
      <c r="H157" s="21" t="n">
        <v>0</v>
      </c>
      <c r="I157" s="21" t="n">
        <v>0</v>
      </c>
      <c r="J157" s="21" t="n">
        <v>0</v>
      </c>
      <c r="K157" s="21" t="n">
        <v>0</v>
      </c>
      <c r="L157" s="21" t="n">
        <v>0</v>
      </c>
      <c r="M157" s="21" t="n">
        <v>0</v>
      </c>
      <c r="N157" s="21" t="n">
        <v>0</v>
      </c>
      <c r="O157" s="21" t="n">
        <v>0</v>
      </c>
      <c r="P157" s="21">
        <f>-$B$18</f>
        <v/>
      </c>
      <c r="Q157" s="21">
        <f>-$B$19</f>
        <v/>
      </c>
      <c r="R157" s="21">
        <f>2*$B$18+$D$128</f>
        <v/>
      </c>
      <c r="S157" s="21">
        <f>0</f>
        <v/>
      </c>
      <c r="T157" s="21">
        <f>-$B$18</f>
        <v/>
      </c>
      <c r="U157" s="21">
        <f>$B$19</f>
        <v/>
      </c>
      <c r="V157" s="21" t="n">
        <v>0</v>
      </c>
      <c r="W157" s="21" t="n">
        <v>0</v>
      </c>
      <c r="X157" s="21" t="n">
        <v>0</v>
      </c>
      <c r="Y157" s="21" t="n">
        <v>0</v>
      </c>
      <c r="Z157" s="21" t="n">
        <v>0</v>
      </c>
      <c r="AA157" s="21" t="n">
        <v>0</v>
      </c>
      <c r="AB157" s="21" t="n">
        <v>0</v>
      </c>
      <c r="AC157" s="21" t="n">
        <v>0</v>
      </c>
      <c r="AD157" s="21" t="n">
        <v>0</v>
      </c>
      <c r="AE157" s="21" t="n">
        <v>0</v>
      </c>
      <c r="AF157" s="21" t="n">
        <v>0</v>
      </c>
      <c r="AG157" s="21" t="n">
        <v>0</v>
      </c>
      <c r="AH157" s="21" t="n">
        <v>0</v>
      </c>
      <c r="AI157" s="21" t="n">
        <v>0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19" t="n"/>
    </row>
    <row r="158">
      <c r="D158" s="21" t="n">
        <v>0</v>
      </c>
      <c r="E158" s="21" t="n">
        <v>0</v>
      </c>
      <c r="F158" s="21" t="n">
        <v>0</v>
      </c>
      <c r="G158" s="21" t="n">
        <v>0</v>
      </c>
      <c r="H158" s="21" t="n">
        <v>0</v>
      </c>
      <c r="I158" s="21" t="n">
        <v>0</v>
      </c>
      <c r="J158" s="21" t="n">
        <v>0</v>
      </c>
      <c r="K158" s="21" t="n">
        <v>0</v>
      </c>
      <c r="L158" s="21" t="n">
        <v>0</v>
      </c>
      <c r="M158" s="21" t="n">
        <v>0</v>
      </c>
      <c r="N158" s="21" t="n">
        <v>0</v>
      </c>
      <c r="O158" s="21" t="n">
        <v>0</v>
      </c>
      <c r="P158" s="21">
        <f>$B$19</f>
        <v/>
      </c>
      <c r="Q158" s="21">
        <f>$B$21</f>
        <v/>
      </c>
      <c r="R158" s="21">
        <f>0</f>
        <v/>
      </c>
      <c r="S158" s="21">
        <f>2*$B$20</f>
        <v/>
      </c>
      <c r="T158" s="21">
        <f>-$B$19</f>
        <v/>
      </c>
      <c r="U158" s="21">
        <f>$B$21</f>
        <v/>
      </c>
      <c r="V158" s="21" t="n">
        <v>0</v>
      </c>
      <c r="W158" s="21" t="n">
        <v>0</v>
      </c>
      <c r="X158" s="21" t="n">
        <v>0</v>
      </c>
      <c r="Y158" s="21" t="n">
        <v>0</v>
      </c>
      <c r="Z158" s="21" t="n">
        <v>0</v>
      </c>
      <c r="AA158" s="21" t="n">
        <v>0</v>
      </c>
      <c r="AB158" s="21" t="n">
        <v>0</v>
      </c>
      <c r="AC158" s="21" t="n">
        <v>0</v>
      </c>
      <c r="AD158" s="21" t="n">
        <v>0</v>
      </c>
      <c r="AE158" s="21" t="n">
        <v>0</v>
      </c>
      <c r="AF158" s="21" t="n">
        <v>0</v>
      </c>
      <c r="AG158" s="21" t="n">
        <v>0</v>
      </c>
      <c r="AH158" s="21" t="n">
        <v>0</v>
      </c>
      <c r="AI158" s="21" t="n">
        <v>0</v>
      </c>
      <c r="AJ158" s="21" t="n">
        <v>0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19" t="n"/>
    </row>
    <row r="159">
      <c r="D159" s="21" t="n">
        <v>0</v>
      </c>
      <c r="E159" s="21" t="n">
        <v>0</v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0</v>
      </c>
      <c r="K159" s="21" t="n">
        <v>0</v>
      </c>
      <c r="L159" s="21" t="n">
        <v>0</v>
      </c>
      <c r="M159" s="21" t="n">
        <v>0</v>
      </c>
      <c r="N159" s="21" t="n">
        <v>0</v>
      </c>
      <c r="O159" s="21" t="n">
        <v>0</v>
      </c>
      <c r="P159" s="21" t="n">
        <v>0</v>
      </c>
      <c r="Q159" s="21" t="n">
        <v>0</v>
      </c>
      <c r="R159" s="21">
        <f>-$B$18</f>
        <v/>
      </c>
      <c r="S159" s="21">
        <f>-$B$19</f>
        <v/>
      </c>
      <c r="T159" s="21">
        <f>2*$B$18+$D$129</f>
        <v/>
      </c>
      <c r="U159" s="21">
        <f>0</f>
        <v/>
      </c>
      <c r="V159" s="21">
        <f>-$B$18</f>
        <v/>
      </c>
      <c r="W159" s="21">
        <f>$B$19</f>
        <v/>
      </c>
      <c r="X159" s="21" t="n">
        <v>0</v>
      </c>
      <c r="Y159" s="21" t="n">
        <v>0</v>
      </c>
      <c r="Z159" s="21" t="n">
        <v>0</v>
      </c>
      <c r="AA159" s="21" t="n">
        <v>0</v>
      </c>
      <c r="AB159" s="21" t="n">
        <v>0</v>
      </c>
      <c r="AC159" s="21" t="n">
        <v>0</v>
      </c>
      <c r="AD159" s="21" t="n">
        <v>0</v>
      </c>
      <c r="AE159" s="21" t="n">
        <v>0</v>
      </c>
      <c r="AF159" s="21" t="n">
        <v>0</v>
      </c>
      <c r="AG159" s="21" t="n">
        <v>0</v>
      </c>
      <c r="AH159" s="21" t="n">
        <v>0</v>
      </c>
      <c r="AI159" s="21" t="n">
        <v>0</v>
      </c>
      <c r="AJ159" s="21" t="n">
        <v>0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19" t="n"/>
    </row>
    <row r="160">
      <c r="D160" s="21" t="n">
        <v>0</v>
      </c>
      <c r="E160" s="21" t="n">
        <v>0</v>
      </c>
      <c r="F160" s="21" t="n">
        <v>0</v>
      </c>
      <c r="G160" s="21" t="n">
        <v>0</v>
      </c>
      <c r="H160" s="21" t="n">
        <v>0</v>
      </c>
      <c r="I160" s="21" t="n">
        <v>0</v>
      </c>
      <c r="J160" s="21" t="n">
        <v>0</v>
      </c>
      <c r="K160" s="21" t="n">
        <v>0</v>
      </c>
      <c r="L160" s="21" t="n">
        <v>0</v>
      </c>
      <c r="M160" s="21" t="n">
        <v>0</v>
      </c>
      <c r="N160" s="21" t="n">
        <v>0</v>
      </c>
      <c r="O160" s="21" t="n">
        <v>0</v>
      </c>
      <c r="P160" s="21" t="n">
        <v>0</v>
      </c>
      <c r="Q160" s="21" t="n">
        <v>0</v>
      </c>
      <c r="R160" s="21">
        <f>$B$19</f>
        <v/>
      </c>
      <c r="S160" s="21">
        <f>$B$21</f>
        <v/>
      </c>
      <c r="T160" s="21">
        <f>0</f>
        <v/>
      </c>
      <c r="U160" s="21">
        <f>2*$B$20</f>
        <v/>
      </c>
      <c r="V160" s="21">
        <f>-$B$19</f>
        <v/>
      </c>
      <c r="W160" s="21">
        <f>$B$21</f>
        <v/>
      </c>
      <c r="X160" s="21" t="n">
        <v>0</v>
      </c>
      <c r="Y160" s="21" t="n">
        <v>0</v>
      </c>
      <c r="Z160" s="21" t="n">
        <v>0</v>
      </c>
      <c r="AA160" s="21" t="n">
        <v>0</v>
      </c>
      <c r="AB160" s="21" t="n">
        <v>0</v>
      </c>
      <c r="AC160" s="21" t="n">
        <v>0</v>
      </c>
      <c r="AD160" s="21" t="n">
        <v>0</v>
      </c>
      <c r="AE160" s="21" t="n">
        <v>0</v>
      </c>
      <c r="AF160" s="21" t="n">
        <v>0</v>
      </c>
      <c r="AG160" s="21" t="n">
        <v>0</v>
      </c>
      <c r="AH160" s="21" t="n">
        <v>0</v>
      </c>
      <c r="AI160" s="21" t="n">
        <v>0</v>
      </c>
      <c r="AJ160" s="21" t="n">
        <v>0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19" t="n"/>
    </row>
    <row r="161">
      <c r="D161" s="21" t="n">
        <v>0</v>
      </c>
      <c r="E161" s="21" t="n">
        <v>0</v>
      </c>
      <c r="F161" s="21" t="n">
        <v>0</v>
      </c>
      <c r="G161" s="21" t="n">
        <v>0</v>
      </c>
      <c r="H161" s="21" t="n">
        <v>0</v>
      </c>
      <c r="I161" s="21" t="n">
        <v>0</v>
      </c>
      <c r="J161" s="21" t="n">
        <v>0</v>
      </c>
      <c r="K161" s="21" t="n">
        <v>0</v>
      </c>
      <c r="L161" s="21" t="n">
        <v>0</v>
      </c>
      <c r="M161" s="21" t="n">
        <v>0</v>
      </c>
      <c r="N161" s="21" t="n">
        <v>0</v>
      </c>
      <c r="O161" s="21" t="n">
        <v>0</v>
      </c>
      <c r="P161" s="21" t="n">
        <v>0</v>
      </c>
      <c r="Q161" s="21" t="n">
        <v>0</v>
      </c>
      <c r="R161" s="21" t="n">
        <v>0</v>
      </c>
      <c r="S161" s="21" t="n">
        <v>0</v>
      </c>
      <c r="T161" s="21">
        <f>-$B$18</f>
        <v/>
      </c>
      <c r="U161" s="21">
        <f>-$B$19</f>
        <v/>
      </c>
      <c r="V161" s="21">
        <f>2*$B$18+$D$130</f>
        <v/>
      </c>
      <c r="W161" s="21">
        <f>0</f>
        <v/>
      </c>
      <c r="X161" s="21">
        <f>-$B$18</f>
        <v/>
      </c>
      <c r="Y161" s="21">
        <f>$B$19</f>
        <v/>
      </c>
      <c r="Z161" s="21" t="n">
        <v>0</v>
      </c>
      <c r="AA161" s="21" t="n">
        <v>0</v>
      </c>
      <c r="AB161" s="21" t="n">
        <v>0</v>
      </c>
      <c r="AC161" s="21" t="n">
        <v>0</v>
      </c>
      <c r="AD161" s="21" t="n">
        <v>0</v>
      </c>
      <c r="AE161" s="21" t="n">
        <v>0</v>
      </c>
      <c r="AF161" s="21" t="n">
        <v>0</v>
      </c>
      <c r="AG161" s="21" t="n">
        <v>0</v>
      </c>
      <c r="AH161" s="21" t="n">
        <v>0</v>
      </c>
      <c r="AI161" s="21" t="n">
        <v>0</v>
      </c>
      <c r="AJ161" s="21" t="n">
        <v>0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19" t="n"/>
    </row>
    <row r="162">
      <c r="D162" s="21" t="n">
        <v>0</v>
      </c>
      <c r="E162" s="21" t="n">
        <v>0</v>
      </c>
      <c r="F162" s="21" t="n">
        <v>0</v>
      </c>
      <c r="G162" s="21" t="n">
        <v>0</v>
      </c>
      <c r="H162" s="21" t="n">
        <v>0</v>
      </c>
      <c r="I162" s="21" t="n">
        <v>0</v>
      </c>
      <c r="J162" s="21" t="n">
        <v>0</v>
      </c>
      <c r="K162" s="21" t="n">
        <v>0</v>
      </c>
      <c r="L162" s="21" t="n">
        <v>0</v>
      </c>
      <c r="M162" s="21" t="n">
        <v>0</v>
      </c>
      <c r="N162" s="21" t="n">
        <v>0</v>
      </c>
      <c r="O162" s="21" t="n">
        <v>0</v>
      </c>
      <c r="P162" s="21" t="n">
        <v>0</v>
      </c>
      <c r="Q162" s="21" t="n">
        <v>0</v>
      </c>
      <c r="R162" s="21" t="n">
        <v>0</v>
      </c>
      <c r="S162" s="21" t="n">
        <v>0</v>
      </c>
      <c r="T162" s="21">
        <f>$B$19</f>
        <v/>
      </c>
      <c r="U162" s="21">
        <f>$B$21</f>
        <v/>
      </c>
      <c r="V162" s="21">
        <f>0</f>
        <v/>
      </c>
      <c r="W162" s="21">
        <f>2*$B$20</f>
        <v/>
      </c>
      <c r="X162" s="21">
        <f>-$B$19</f>
        <v/>
      </c>
      <c r="Y162" s="21">
        <f>$B$21</f>
        <v/>
      </c>
      <c r="Z162" s="21" t="n">
        <v>0</v>
      </c>
      <c r="AA162" s="21" t="n">
        <v>0</v>
      </c>
      <c r="AB162" s="21" t="n">
        <v>0</v>
      </c>
      <c r="AC162" s="21" t="n">
        <v>0</v>
      </c>
      <c r="AD162" s="21" t="n">
        <v>0</v>
      </c>
      <c r="AE162" s="21" t="n">
        <v>0</v>
      </c>
      <c r="AF162" s="21" t="n">
        <v>0</v>
      </c>
      <c r="AG162" s="21" t="n">
        <v>0</v>
      </c>
      <c r="AH162" s="21" t="n">
        <v>0</v>
      </c>
      <c r="AI162" s="21" t="n">
        <v>0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19" t="n"/>
    </row>
    <row r="163">
      <c r="D163" s="21" t="n">
        <v>0</v>
      </c>
      <c r="E163" s="21" t="n">
        <v>0</v>
      </c>
      <c r="F163" s="21" t="n">
        <v>0</v>
      </c>
      <c r="G163" s="21" t="n">
        <v>0</v>
      </c>
      <c r="H163" s="21" t="n">
        <v>0</v>
      </c>
      <c r="I163" s="21" t="n">
        <v>0</v>
      </c>
      <c r="J163" s="21" t="n">
        <v>0</v>
      </c>
      <c r="K163" s="21" t="n">
        <v>0</v>
      </c>
      <c r="L163" s="21" t="n">
        <v>0</v>
      </c>
      <c r="M163" s="21" t="n">
        <v>0</v>
      </c>
      <c r="N163" s="21" t="n">
        <v>0</v>
      </c>
      <c r="O163" s="21" t="n">
        <v>0</v>
      </c>
      <c r="P163" s="21" t="n">
        <v>0</v>
      </c>
      <c r="Q163" s="21" t="n">
        <v>0</v>
      </c>
      <c r="R163" s="21" t="n">
        <v>0</v>
      </c>
      <c r="S163" s="21" t="n">
        <v>0</v>
      </c>
      <c r="T163" s="21" t="n">
        <v>0</v>
      </c>
      <c r="U163" s="21" t="n">
        <v>0</v>
      </c>
      <c r="V163" s="21">
        <f>-$B$18</f>
        <v/>
      </c>
      <c r="W163" s="21">
        <f>-$B$19</f>
        <v/>
      </c>
      <c r="X163" s="21">
        <f>2*$B$18+$D$131</f>
        <v/>
      </c>
      <c r="Y163" s="21">
        <f>0</f>
        <v/>
      </c>
      <c r="Z163" s="21">
        <f>-$B$18</f>
        <v/>
      </c>
      <c r="AA163" s="21">
        <f>$B$19</f>
        <v/>
      </c>
      <c r="AB163" s="21" t="n">
        <v>0</v>
      </c>
      <c r="AC163" s="21" t="n">
        <v>0</v>
      </c>
      <c r="AD163" s="21" t="n">
        <v>0</v>
      </c>
      <c r="AE163" s="21" t="n">
        <v>0</v>
      </c>
      <c r="AF163" s="21" t="n">
        <v>0</v>
      </c>
      <c r="AG163" s="21" t="n">
        <v>0</v>
      </c>
      <c r="AH163" s="21" t="n">
        <v>0</v>
      </c>
      <c r="AI163" s="21" t="n">
        <v>0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19" t="n"/>
    </row>
    <row r="164">
      <c r="D164" s="21" t="n">
        <v>0</v>
      </c>
      <c r="E164" s="21" t="n">
        <v>0</v>
      </c>
      <c r="F164" s="21" t="n">
        <v>0</v>
      </c>
      <c r="G164" s="21" t="n">
        <v>0</v>
      </c>
      <c r="H164" s="21" t="n">
        <v>0</v>
      </c>
      <c r="I164" s="21" t="n">
        <v>0</v>
      </c>
      <c r="J164" s="21" t="n">
        <v>0</v>
      </c>
      <c r="K164" s="21" t="n">
        <v>0</v>
      </c>
      <c r="L164" s="21" t="n">
        <v>0</v>
      </c>
      <c r="M164" s="21" t="n">
        <v>0</v>
      </c>
      <c r="N164" s="21" t="n">
        <v>0</v>
      </c>
      <c r="O164" s="21" t="n">
        <v>0</v>
      </c>
      <c r="P164" s="21" t="n">
        <v>0</v>
      </c>
      <c r="Q164" s="21" t="n">
        <v>0</v>
      </c>
      <c r="R164" s="21" t="n">
        <v>0</v>
      </c>
      <c r="S164" s="21" t="n">
        <v>0</v>
      </c>
      <c r="T164" s="21" t="n">
        <v>0</v>
      </c>
      <c r="U164" s="21" t="n">
        <v>0</v>
      </c>
      <c r="V164" s="21">
        <f>$B$19</f>
        <v/>
      </c>
      <c r="W164" s="21">
        <f>$B$21</f>
        <v/>
      </c>
      <c r="X164" s="21">
        <f>0</f>
        <v/>
      </c>
      <c r="Y164" s="21">
        <f>2*$B$20</f>
        <v/>
      </c>
      <c r="Z164" s="21">
        <f>-$B$19</f>
        <v/>
      </c>
      <c r="AA164" s="21">
        <f>$B$21</f>
        <v/>
      </c>
      <c r="AB164" s="21" t="n">
        <v>0</v>
      </c>
      <c r="AC164" s="21" t="n">
        <v>0</v>
      </c>
      <c r="AD164" s="21" t="n">
        <v>0</v>
      </c>
      <c r="AE164" s="21" t="n">
        <v>0</v>
      </c>
      <c r="AF164" s="21" t="n">
        <v>0</v>
      </c>
      <c r="AG164" s="21" t="n">
        <v>0</v>
      </c>
      <c r="AH164" s="21" t="n">
        <v>0</v>
      </c>
      <c r="AI164" s="21" t="n">
        <v>0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19" t="n"/>
    </row>
    <row r="165">
      <c r="D165" s="21" t="n">
        <v>0</v>
      </c>
      <c r="E165" s="21" t="n">
        <v>0</v>
      </c>
      <c r="F165" s="21" t="n">
        <v>0</v>
      </c>
      <c r="G165" s="21" t="n">
        <v>0</v>
      </c>
      <c r="H165" s="21" t="n">
        <v>0</v>
      </c>
      <c r="I165" s="21" t="n">
        <v>0</v>
      </c>
      <c r="J165" s="21" t="n">
        <v>0</v>
      </c>
      <c r="K165" s="21" t="n">
        <v>0</v>
      </c>
      <c r="L165" s="21" t="n">
        <v>0</v>
      </c>
      <c r="M165" s="21" t="n">
        <v>0</v>
      </c>
      <c r="N165" s="21" t="n">
        <v>0</v>
      </c>
      <c r="O165" s="21" t="n">
        <v>0</v>
      </c>
      <c r="P165" s="21" t="n">
        <v>0</v>
      </c>
      <c r="Q165" s="21" t="n">
        <v>0</v>
      </c>
      <c r="R165" s="21" t="n">
        <v>0</v>
      </c>
      <c r="S165" s="21" t="n">
        <v>0</v>
      </c>
      <c r="T165" s="21" t="n">
        <v>0</v>
      </c>
      <c r="U165" s="21" t="n">
        <v>0</v>
      </c>
      <c r="V165" s="21" t="n">
        <v>0</v>
      </c>
      <c r="W165" s="21" t="n">
        <v>0</v>
      </c>
      <c r="X165" s="21">
        <f>-$B$18</f>
        <v/>
      </c>
      <c r="Y165" s="21">
        <f>-$B$19</f>
        <v/>
      </c>
      <c r="Z165" s="21">
        <f>2*$B$18+$D$132</f>
        <v/>
      </c>
      <c r="AA165" s="21">
        <f>0</f>
        <v/>
      </c>
      <c r="AB165" s="21">
        <f>-$B$18</f>
        <v/>
      </c>
      <c r="AC165" s="21">
        <f>$B$19</f>
        <v/>
      </c>
      <c r="AD165" s="21" t="n">
        <v>0</v>
      </c>
      <c r="AE165" s="21" t="n">
        <v>0</v>
      </c>
      <c r="AF165" s="21" t="n">
        <v>0</v>
      </c>
      <c r="AG165" s="21" t="n">
        <v>0</v>
      </c>
      <c r="AH165" s="21" t="n">
        <v>0</v>
      </c>
      <c r="AI165" s="21" t="n">
        <v>0</v>
      </c>
      <c r="AJ165" s="21" t="n">
        <v>0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19" t="n"/>
    </row>
    <row r="166">
      <c r="D166" s="21" t="n">
        <v>0</v>
      </c>
      <c r="E166" s="21" t="n">
        <v>0</v>
      </c>
      <c r="F166" s="21" t="n">
        <v>0</v>
      </c>
      <c r="G166" s="21" t="n">
        <v>0</v>
      </c>
      <c r="H166" s="21" t="n">
        <v>0</v>
      </c>
      <c r="I166" s="21" t="n">
        <v>0</v>
      </c>
      <c r="J166" s="21" t="n">
        <v>0</v>
      </c>
      <c r="K166" s="21" t="n">
        <v>0</v>
      </c>
      <c r="L166" s="21" t="n">
        <v>0</v>
      </c>
      <c r="M166" s="21" t="n">
        <v>0</v>
      </c>
      <c r="N166" s="21" t="n">
        <v>0</v>
      </c>
      <c r="O166" s="21" t="n">
        <v>0</v>
      </c>
      <c r="P166" s="21" t="n">
        <v>0</v>
      </c>
      <c r="Q166" s="21" t="n">
        <v>0</v>
      </c>
      <c r="R166" s="21" t="n">
        <v>0</v>
      </c>
      <c r="S166" s="21" t="n">
        <v>0</v>
      </c>
      <c r="T166" s="21" t="n">
        <v>0</v>
      </c>
      <c r="U166" s="21" t="n">
        <v>0</v>
      </c>
      <c r="V166" s="21" t="n">
        <v>0</v>
      </c>
      <c r="W166" s="21" t="n">
        <v>0</v>
      </c>
      <c r="X166" s="21">
        <f>$B$19</f>
        <v/>
      </c>
      <c r="Y166" s="21">
        <f>$B$21</f>
        <v/>
      </c>
      <c r="Z166" s="21">
        <f>0</f>
        <v/>
      </c>
      <c r="AA166" s="21">
        <f>2*$B$20</f>
        <v/>
      </c>
      <c r="AB166" s="21">
        <f>-$B$19</f>
        <v/>
      </c>
      <c r="AC166" s="21">
        <f>$B$21</f>
        <v/>
      </c>
      <c r="AD166" s="21" t="n">
        <v>0</v>
      </c>
      <c r="AE166" s="21" t="n">
        <v>0</v>
      </c>
      <c r="AF166" s="21" t="n">
        <v>0</v>
      </c>
      <c r="AG166" s="21" t="n">
        <v>0</v>
      </c>
      <c r="AH166" s="21" t="n">
        <v>0</v>
      </c>
      <c r="AI166" s="21" t="n">
        <v>0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19" t="n"/>
    </row>
    <row r="167">
      <c r="D167" s="21" t="n">
        <v>0</v>
      </c>
      <c r="E167" s="21" t="n">
        <v>0</v>
      </c>
      <c r="F167" s="21" t="n">
        <v>0</v>
      </c>
      <c r="G167" s="21" t="n">
        <v>0</v>
      </c>
      <c r="H167" s="21" t="n">
        <v>0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0</v>
      </c>
      <c r="N167" s="21" t="n">
        <v>0</v>
      </c>
      <c r="O167" s="21" t="n">
        <v>0</v>
      </c>
      <c r="P167" s="21" t="n">
        <v>0</v>
      </c>
      <c r="Q167" s="21" t="n">
        <v>0</v>
      </c>
      <c r="R167" s="21" t="n">
        <v>0</v>
      </c>
      <c r="S167" s="21" t="n">
        <v>0</v>
      </c>
      <c r="T167" s="21" t="n">
        <v>0</v>
      </c>
      <c r="U167" s="21" t="n">
        <v>0</v>
      </c>
      <c r="V167" s="21" t="n">
        <v>0</v>
      </c>
      <c r="W167" s="21" t="n">
        <v>0</v>
      </c>
      <c r="X167" s="21" t="n">
        <v>0</v>
      </c>
      <c r="Y167" s="21" t="n">
        <v>0</v>
      </c>
      <c r="Z167" s="21">
        <f>-$B$18</f>
        <v/>
      </c>
      <c r="AA167" s="21">
        <f>-$B$19</f>
        <v/>
      </c>
      <c r="AB167" s="21">
        <f>2*$B$18+$D$133</f>
        <v/>
      </c>
      <c r="AC167" s="21">
        <f>0</f>
        <v/>
      </c>
      <c r="AD167" s="21">
        <f>-$B$18</f>
        <v/>
      </c>
      <c r="AE167" s="21">
        <f>$B$19</f>
        <v/>
      </c>
      <c r="AF167" s="21" t="n">
        <v>0</v>
      </c>
      <c r="AG167" s="21" t="n">
        <v>0</v>
      </c>
      <c r="AH167" s="21" t="n">
        <v>0</v>
      </c>
      <c r="AI167" s="21" t="n">
        <v>0</v>
      </c>
      <c r="AJ167" s="21" t="n">
        <v>0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19" t="n"/>
    </row>
    <row r="168">
      <c r="D168" s="21" t="n">
        <v>0</v>
      </c>
      <c r="E168" s="21" t="n">
        <v>0</v>
      </c>
      <c r="F168" s="21" t="n">
        <v>0</v>
      </c>
      <c r="G168" s="21" t="n">
        <v>0</v>
      </c>
      <c r="H168" s="21" t="n">
        <v>0</v>
      </c>
      <c r="I168" s="21" t="n">
        <v>0</v>
      </c>
      <c r="J168" s="21" t="n">
        <v>0</v>
      </c>
      <c r="K168" s="21" t="n">
        <v>0</v>
      </c>
      <c r="L168" s="21" t="n">
        <v>0</v>
      </c>
      <c r="M168" s="21" t="n">
        <v>0</v>
      </c>
      <c r="N168" s="21" t="n">
        <v>0</v>
      </c>
      <c r="O168" s="21" t="n">
        <v>0</v>
      </c>
      <c r="P168" s="21" t="n">
        <v>0</v>
      </c>
      <c r="Q168" s="21" t="n">
        <v>0</v>
      </c>
      <c r="R168" s="21" t="n">
        <v>0</v>
      </c>
      <c r="S168" s="21" t="n">
        <v>0</v>
      </c>
      <c r="T168" s="21" t="n">
        <v>0</v>
      </c>
      <c r="U168" s="21" t="n">
        <v>0</v>
      </c>
      <c r="V168" s="21" t="n">
        <v>0</v>
      </c>
      <c r="W168" s="21" t="n">
        <v>0</v>
      </c>
      <c r="X168" s="21" t="n">
        <v>0</v>
      </c>
      <c r="Y168" s="21" t="n">
        <v>0</v>
      </c>
      <c r="Z168" s="21">
        <f>$B$19</f>
        <v/>
      </c>
      <c r="AA168" s="21">
        <f>$B$21</f>
        <v/>
      </c>
      <c r="AB168" s="21">
        <f>0</f>
        <v/>
      </c>
      <c r="AC168" s="21">
        <f>2*$B$20</f>
        <v/>
      </c>
      <c r="AD168" s="21">
        <f>-$B$19</f>
        <v/>
      </c>
      <c r="AE168" s="21">
        <f>$B$21</f>
        <v/>
      </c>
      <c r="AF168" s="21" t="n">
        <v>0</v>
      </c>
      <c r="AG168" s="21" t="n">
        <v>0</v>
      </c>
      <c r="AH168" s="21" t="n">
        <v>0</v>
      </c>
      <c r="AI168" s="21" t="n">
        <v>0</v>
      </c>
      <c r="AJ168" s="21" t="n">
        <v>0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19" t="n"/>
    </row>
    <row r="169">
      <c r="D169" s="21" t="n">
        <v>0</v>
      </c>
      <c r="E169" s="21" t="n">
        <v>0</v>
      </c>
      <c r="F169" s="21" t="n">
        <v>0</v>
      </c>
      <c r="G169" s="21" t="n">
        <v>0</v>
      </c>
      <c r="H169" s="21" t="n">
        <v>0</v>
      </c>
      <c r="I169" s="21" t="n">
        <v>0</v>
      </c>
      <c r="J169" s="21" t="n">
        <v>0</v>
      </c>
      <c r="K169" s="21" t="n">
        <v>0</v>
      </c>
      <c r="L169" s="21" t="n">
        <v>0</v>
      </c>
      <c r="M169" s="21" t="n">
        <v>0</v>
      </c>
      <c r="N169" s="21" t="n">
        <v>0</v>
      </c>
      <c r="O169" s="21" t="n">
        <v>0</v>
      </c>
      <c r="P169" s="21" t="n">
        <v>0</v>
      </c>
      <c r="Q169" s="21" t="n">
        <v>0</v>
      </c>
      <c r="R169" s="21" t="n">
        <v>0</v>
      </c>
      <c r="S169" s="21" t="n">
        <v>0</v>
      </c>
      <c r="T169" s="21" t="n">
        <v>0</v>
      </c>
      <c r="U169" s="21" t="n">
        <v>0</v>
      </c>
      <c r="V169" s="21" t="n">
        <v>0</v>
      </c>
      <c r="W169" s="21" t="n">
        <v>0</v>
      </c>
      <c r="X169" s="21" t="n">
        <v>0</v>
      </c>
      <c r="Y169" s="21" t="n">
        <v>0</v>
      </c>
      <c r="Z169" s="21" t="n">
        <v>0</v>
      </c>
      <c r="AA169" s="21" t="n">
        <v>0</v>
      </c>
      <c r="AB169" s="21">
        <f>-$B$18</f>
        <v/>
      </c>
      <c r="AC169" s="21">
        <f>-$B$19</f>
        <v/>
      </c>
      <c r="AD169" s="21">
        <f>2*$B$18+$D$134</f>
        <v/>
      </c>
      <c r="AE169" s="21">
        <f>0</f>
        <v/>
      </c>
      <c r="AF169" s="21">
        <f>-$B$18</f>
        <v/>
      </c>
      <c r="AG169" s="21">
        <f>$B$19</f>
        <v/>
      </c>
      <c r="AH169" s="21" t="n">
        <v>0</v>
      </c>
      <c r="AI169" s="21" t="n">
        <v>0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19" t="n"/>
    </row>
    <row r="170"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0</v>
      </c>
      <c r="I170" s="21" t="n">
        <v>0</v>
      </c>
      <c r="J170" s="21" t="n">
        <v>0</v>
      </c>
      <c r="K170" s="21" t="n">
        <v>0</v>
      </c>
      <c r="L170" s="21" t="n">
        <v>0</v>
      </c>
      <c r="M170" s="21" t="n">
        <v>0</v>
      </c>
      <c r="N170" s="21" t="n">
        <v>0</v>
      </c>
      <c r="O170" s="21" t="n">
        <v>0</v>
      </c>
      <c r="P170" s="21" t="n">
        <v>0</v>
      </c>
      <c r="Q170" s="21" t="n">
        <v>0</v>
      </c>
      <c r="R170" s="21" t="n">
        <v>0</v>
      </c>
      <c r="S170" s="21" t="n">
        <v>0</v>
      </c>
      <c r="T170" s="21" t="n">
        <v>0</v>
      </c>
      <c r="U170" s="21" t="n">
        <v>0</v>
      </c>
      <c r="V170" s="21" t="n">
        <v>0</v>
      </c>
      <c r="W170" s="21" t="n">
        <v>0</v>
      </c>
      <c r="X170" s="21" t="n">
        <v>0</v>
      </c>
      <c r="Y170" s="21" t="n">
        <v>0</v>
      </c>
      <c r="Z170" s="21" t="n">
        <v>0</v>
      </c>
      <c r="AA170" s="21" t="n">
        <v>0</v>
      </c>
      <c r="AB170" s="21">
        <f>$B$19</f>
        <v/>
      </c>
      <c r="AC170" s="21">
        <f>$B$21</f>
        <v/>
      </c>
      <c r="AD170" s="21">
        <f>0</f>
        <v/>
      </c>
      <c r="AE170" s="21">
        <f>2*$B$20</f>
        <v/>
      </c>
      <c r="AF170" s="21">
        <f>-$B$19</f>
        <v/>
      </c>
      <c r="AG170" s="21">
        <f>$B$21</f>
        <v/>
      </c>
      <c r="AH170" s="21" t="n">
        <v>0</v>
      </c>
      <c r="AI170" s="21" t="n">
        <v>0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19" t="n"/>
    </row>
    <row r="171">
      <c r="D171" s="21" t="n">
        <v>0</v>
      </c>
      <c r="E171" s="21" t="n">
        <v>0</v>
      </c>
      <c r="F171" s="21" t="n">
        <v>0</v>
      </c>
      <c r="G171" s="21" t="n">
        <v>0</v>
      </c>
      <c r="H171" s="21" t="n">
        <v>0</v>
      </c>
      <c r="I171" s="21" t="n">
        <v>0</v>
      </c>
      <c r="J171" s="21" t="n">
        <v>0</v>
      </c>
      <c r="K171" s="21" t="n">
        <v>0</v>
      </c>
      <c r="L171" s="21" t="n">
        <v>0</v>
      </c>
      <c r="M171" s="21" t="n">
        <v>0</v>
      </c>
      <c r="N171" s="21" t="n">
        <v>0</v>
      </c>
      <c r="O171" s="21" t="n">
        <v>0</v>
      </c>
      <c r="P171" s="21" t="n">
        <v>0</v>
      </c>
      <c r="Q171" s="21" t="n">
        <v>0</v>
      </c>
      <c r="R171" s="21" t="n">
        <v>0</v>
      </c>
      <c r="S171" s="21" t="n">
        <v>0</v>
      </c>
      <c r="T171" s="21" t="n">
        <v>0</v>
      </c>
      <c r="U171" s="21" t="n">
        <v>0</v>
      </c>
      <c r="V171" s="21" t="n">
        <v>0</v>
      </c>
      <c r="W171" s="21" t="n">
        <v>0</v>
      </c>
      <c r="X171" s="21" t="n">
        <v>0</v>
      </c>
      <c r="Y171" s="21" t="n">
        <v>0</v>
      </c>
      <c r="Z171" s="21" t="n">
        <v>0</v>
      </c>
      <c r="AA171" s="21" t="n">
        <v>0</v>
      </c>
      <c r="AB171" s="21" t="n">
        <v>0</v>
      </c>
      <c r="AC171" s="21" t="n">
        <v>0</v>
      </c>
      <c r="AD171" s="21">
        <f>-$B$18</f>
        <v/>
      </c>
      <c r="AE171" s="21">
        <f>-$B$19</f>
        <v/>
      </c>
      <c r="AF171" s="21">
        <f>2*$B$18+$D$135</f>
        <v/>
      </c>
      <c r="AG171" s="21">
        <f>0</f>
        <v/>
      </c>
      <c r="AH171" s="21">
        <f>-$B$18</f>
        <v/>
      </c>
      <c r="AI171" s="21">
        <f>$B$19</f>
        <v/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19" t="n"/>
    </row>
    <row r="172">
      <c r="D172" s="21" t="n">
        <v>0</v>
      </c>
      <c r="E172" s="21" t="n">
        <v>0</v>
      </c>
      <c r="F172" s="21" t="n">
        <v>0</v>
      </c>
      <c r="G172" s="21" t="n">
        <v>0</v>
      </c>
      <c r="H172" s="21" t="n">
        <v>0</v>
      </c>
      <c r="I172" s="21" t="n">
        <v>0</v>
      </c>
      <c r="J172" s="21" t="n">
        <v>0</v>
      </c>
      <c r="K172" s="21" t="n">
        <v>0</v>
      </c>
      <c r="L172" s="21" t="n">
        <v>0</v>
      </c>
      <c r="M172" s="21" t="n">
        <v>0</v>
      </c>
      <c r="N172" s="21" t="n">
        <v>0</v>
      </c>
      <c r="O172" s="21" t="n">
        <v>0</v>
      </c>
      <c r="P172" s="21" t="n">
        <v>0</v>
      </c>
      <c r="Q172" s="21" t="n">
        <v>0</v>
      </c>
      <c r="R172" s="21" t="n">
        <v>0</v>
      </c>
      <c r="S172" s="21" t="n">
        <v>0</v>
      </c>
      <c r="T172" s="21" t="n">
        <v>0</v>
      </c>
      <c r="U172" s="21" t="n">
        <v>0</v>
      </c>
      <c r="V172" s="21" t="n">
        <v>0</v>
      </c>
      <c r="W172" s="21" t="n">
        <v>0</v>
      </c>
      <c r="X172" s="21" t="n">
        <v>0</v>
      </c>
      <c r="Y172" s="21" t="n">
        <v>0</v>
      </c>
      <c r="Z172" s="21" t="n">
        <v>0</v>
      </c>
      <c r="AA172" s="21" t="n">
        <v>0</v>
      </c>
      <c r="AB172" s="21" t="n">
        <v>0</v>
      </c>
      <c r="AC172" s="21" t="n">
        <v>0</v>
      </c>
      <c r="AD172" s="21">
        <f>$B$19</f>
        <v/>
      </c>
      <c r="AE172" s="21">
        <f>$B$21</f>
        <v/>
      </c>
      <c r="AF172" s="21">
        <f>0</f>
        <v/>
      </c>
      <c r="AG172" s="21">
        <f>2*$B$20</f>
        <v/>
      </c>
      <c r="AH172" s="21">
        <f>-$B$19</f>
        <v/>
      </c>
      <c r="AI172" s="21">
        <f>$B$21</f>
        <v/>
      </c>
      <c r="AJ172" s="21" t="n">
        <v>0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19" t="n"/>
    </row>
    <row r="173">
      <c r="D173" s="21" t="n">
        <v>0</v>
      </c>
      <c r="E173" s="21" t="n">
        <v>0</v>
      </c>
      <c r="F173" s="21" t="n">
        <v>0</v>
      </c>
      <c r="G173" s="21" t="n">
        <v>0</v>
      </c>
      <c r="H173" s="21" t="n">
        <v>0</v>
      </c>
      <c r="I173" s="21" t="n">
        <v>0</v>
      </c>
      <c r="J173" s="21" t="n">
        <v>0</v>
      </c>
      <c r="K173" s="21" t="n">
        <v>0</v>
      </c>
      <c r="L173" s="21" t="n">
        <v>0</v>
      </c>
      <c r="M173" s="21" t="n">
        <v>0</v>
      </c>
      <c r="N173" s="21" t="n">
        <v>0</v>
      </c>
      <c r="O173" s="21" t="n">
        <v>0</v>
      </c>
      <c r="P173" s="21" t="n">
        <v>0</v>
      </c>
      <c r="Q173" s="21" t="n">
        <v>0</v>
      </c>
      <c r="R173" s="21" t="n">
        <v>0</v>
      </c>
      <c r="S173" s="21" t="n">
        <v>0</v>
      </c>
      <c r="T173" s="21" t="n">
        <v>0</v>
      </c>
      <c r="U173" s="21" t="n">
        <v>0</v>
      </c>
      <c r="V173" s="21" t="n">
        <v>0</v>
      </c>
      <c r="W173" s="21" t="n">
        <v>0</v>
      </c>
      <c r="X173" s="21" t="n">
        <v>0</v>
      </c>
      <c r="Y173" s="21" t="n">
        <v>0</v>
      </c>
      <c r="Z173" s="21" t="n">
        <v>0</v>
      </c>
      <c r="AA173" s="21" t="n">
        <v>0</v>
      </c>
      <c r="AB173" s="21" t="n">
        <v>0</v>
      </c>
      <c r="AC173" s="21" t="n">
        <v>0</v>
      </c>
      <c r="AD173" s="21" t="n">
        <v>0</v>
      </c>
      <c r="AE173" s="21" t="n">
        <v>0</v>
      </c>
      <c r="AF173" s="21">
        <f>-$B$18</f>
        <v/>
      </c>
      <c r="AG173" s="21">
        <f>-$B$19</f>
        <v/>
      </c>
      <c r="AH173" s="21">
        <f>2*$B$18+$D$136</f>
        <v/>
      </c>
      <c r="AI173" s="21">
        <f>0</f>
        <v/>
      </c>
      <c r="AJ173" s="21">
        <f>-$B$18</f>
        <v/>
      </c>
      <c r="AK173" s="21">
        <f>$B$19</f>
        <v/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19" t="n"/>
    </row>
    <row r="174">
      <c r="D174" s="21" t="n">
        <v>0</v>
      </c>
      <c r="E174" s="21" t="n">
        <v>0</v>
      </c>
      <c r="F174" s="21" t="n">
        <v>0</v>
      </c>
      <c r="G174" s="21" t="n">
        <v>0</v>
      </c>
      <c r="H174" s="21" t="n">
        <v>0</v>
      </c>
      <c r="I174" s="21" t="n">
        <v>0</v>
      </c>
      <c r="J174" s="21" t="n">
        <v>0</v>
      </c>
      <c r="K174" s="21" t="n">
        <v>0</v>
      </c>
      <c r="L174" s="21" t="n">
        <v>0</v>
      </c>
      <c r="M174" s="21" t="n">
        <v>0</v>
      </c>
      <c r="N174" s="21" t="n">
        <v>0</v>
      </c>
      <c r="O174" s="21" t="n">
        <v>0</v>
      </c>
      <c r="P174" s="21" t="n">
        <v>0</v>
      </c>
      <c r="Q174" s="21" t="n">
        <v>0</v>
      </c>
      <c r="R174" s="21" t="n">
        <v>0</v>
      </c>
      <c r="S174" s="21" t="n">
        <v>0</v>
      </c>
      <c r="T174" s="21" t="n">
        <v>0</v>
      </c>
      <c r="U174" s="21" t="n">
        <v>0</v>
      </c>
      <c r="V174" s="21" t="n">
        <v>0</v>
      </c>
      <c r="W174" s="21" t="n">
        <v>0</v>
      </c>
      <c r="X174" s="21" t="n">
        <v>0</v>
      </c>
      <c r="Y174" s="21" t="n">
        <v>0</v>
      </c>
      <c r="Z174" s="21" t="n">
        <v>0</v>
      </c>
      <c r="AA174" s="21" t="n">
        <v>0</v>
      </c>
      <c r="AB174" s="21" t="n">
        <v>0</v>
      </c>
      <c r="AC174" s="21" t="n">
        <v>0</v>
      </c>
      <c r="AD174" s="21" t="n">
        <v>0</v>
      </c>
      <c r="AE174" s="21" t="n">
        <v>0</v>
      </c>
      <c r="AF174" s="21">
        <f>$B$19</f>
        <v/>
      </c>
      <c r="AG174" s="21">
        <f>$B$21</f>
        <v/>
      </c>
      <c r="AH174" s="21">
        <f>0</f>
        <v/>
      </c>
      <c r="AI174" s="21">
        <f>2*$B$20</f>
        <v/>
      </c>
      <c r="AJ174" s="21">
        <f>-$B$19</f>
        <v/>
      </c>
      <c r="AK174" s="21">
        <f>$B$21</f>
        <v/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19" t="n"/>
    </row>
    <row r="175">
      <c r="D175" s="21" t="n">
        <v>0</v>
      </c>
      <c r="E175" s="21" t="n">
        <v>0</v>
      </c>
      <c r="F175" s="21" t="n">
        <v>0</v>
      </c>
      <c r="G175" s="21" t="n">
        <v>0</v>
      </c>
      <c r="H175" s="21" t="n">
        <v>0</v>
      </c>
      <c r="I175" s="21" t="n">
        <v>0</v>
      </c>
      <c r="J175" s="21" t="n">
        <v>0</v>
      </c>
      <c r="K175" s="21" t="n">
        <v>0</v>
      </c>
      <c r="L175" s="21" t="n">
        <v>0</v>
      </c>
      <c r="M175" s="21" t="n">
        <v>0</v>
      </c>
      <c r="N175" s="21" t="n">
        <v>0</v>
      </c>
      <c r="O175" s="21" t="n">
        <v>0</v>
      </c>
      <c r="P175" s="21" t="n">
        <v>0</v>
      </c>
      <c r="Q175" s="21" t="n">
        <v>0</v>
      </c>
      <c r="R175" s="21" t="n">
        <v>0</v>
      </c>
      <c r="S175" s="21" t="n">
        <v>0</v>
      </c>
      <c r="T175" s="21" t="n">
        <v>0</v>
      </c>
      <c r="U175" s="21" t="n">
        <v>0</v>
      </c>
      <c r="V175" s="21" t="n">
        <v>0</v>
      </c>
      <c r="W175" s="21" t="n">
        <v>0</v>
      </c>
      <c r="X175" s="21" t="n">
        <v>0</v>
      </c>
      <c r="Y175" s="21" t="n">
        <v>0</v>
      </c>
      <c r="Z175" s="21" t="n">
        <v>0</v>
      </c>
      <c r="AA175" s="21" t="n">
        <v>0</v>
      </c>
      <c r="AB175" s="21" t="n">
        <v>0</v>
      </c>
      <c r="AC175" s="21" t="n">
        <v>0</v>
      </c>
      <c r="AD175" s="21" t="n">
        <v>0</v>
      </c>
      <c r="AE175" s="21" t="n">
        <v>0</v>
      </c>
      <c r="AF175" s="21" t="n">
        <v>0</v>
      </c>
      <c r="AG175" s="21" t="n">
        <v>0</v>
      </c>
      <c r="AH175" s="21">
        <f>-$B$18</f>
        <v/>
      </c>
      <c r="AI175" s="21">
        <f>-$B$19</f>
        <v/>
      </c>
      <c r="AJ175" s="21">
        <f>2*$B$18+$D$137</f>
        <v/>
      </c>
      <c r="AK175" s="21">
        <f>0</f>
        <v/>
      </c>
      <c r="AL175" s="21">
        <f>-$B$18</f>
        <v/>
      </c>
      <c r="AM175" s="21">
        <f>$B$19</f>
        <v/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19" t="n"/>
    </row>
    <row r="176">
      <c r="D176" s="21" t="n">
        <v>0</v>
      </c>
      <c r="E176" s="21" t="n">
        <v>0</v>
      </c>
      <c r="F176" s="21" t="n">
        <v>0</v>
      </c>
      <c r="G176" s="21" t="n">
        <v>0</v>
      </c>
      <c r="H176" s="21" t="n">
        <v>0</v>
      </c>
      <c r="I176" s="21" t="n">
        <v>0</v>
      </c>
      <c r="J176" s="21" t="n">
        <v>0</v>
      </c>
      <c r="K176" s="21" t="n">
        <v>0</v>
      </c>
      <c r="L176" s="21" t="n">
        <v>0</v>
      </c>
      <c r="M176" s="21" t="n">
        <v>0</v>
      </c>
      <c r="N176" s="21" t="n">
        <v>0</v>
      </c>
      <c r="O176" s="21" t="n">
        <v>0</v>
      </c>
      <c r="P176" s="21" t="n">
        <v>0</v>
      </c>
      <c r="Q176" s="21" t="n">
        <v>0</v>
      </c>
      <c r="R176" s="21" t="n">
        <v>0</v>
      </c>
      <c r="S176" s="21" t="n">
        <v>0</v>
      </c>
      <c r="T176" s="21" t="n">
        <v>0</v>
      </c>
      <c r="U176" s="21" t="n">
        <v>0</v>
      </c>
      <c r="V176" s="21" t="n">
        <v>0</v>
      </c>
      <c r="W176" s="21" t="n">
        <v>0</v>
      </c>
      <c r="X176" s="21" t="n">
        <v>0</v>
      </c>
      <c r="Y176" s="21" t="n">
        <v>0</v>
      </c>
      <c r="Z176" s="21" t="n">
        <v>0</v>
      </c>
      <c r="AA176" s="21" t="n">
        <v>0</v>
      </c>
      <c r="AB176" s="21" t="n">
        <v>0</v>
      </c>
      <c r="AC176" s="21" t="n">
        <v>0</v>
      </c>
      <c r="AD176" s="21" t="n">
        <v>0</v>
      </c>
      <c r="AE176" s="21" t="n">
        <v>0</v>
      </c>
      <c r="AF176" s="21" t="n">
        <v>0</v>
      </c>
      <c r="AG176" s="21" t="n">
        <v>0</v>
      </c>
      <c r="AH176" s="21">
        <f>$B$19</f>
        <v/>
      </c>
      <c r="AI176" s="21">
        <f>$B$21</f>
        <v/>
      </c>
      <c r="AJ176" s="21">
        <f>0</f>
        <v/>
      </c>
      <c r="AK176" s="21">
        <f>2*$B$20</f>
        <v/>
      </c>
      <c r="AL176" s="21">
        <f>-$B$19</f>
        <v/>
      </c>
      <c r="AM176" s="21">
        <f>$B$21</f>
        <v/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19" t="n"/>
    </row>
    <row r="177">
      <c r="D177" s="21" t="n">
        <v>0</v>
      </c>
      <c r="E177" s="21" t="n">
        <v>0</v>
      </c>
      <c r="F177" s="21" t="n">
        <v>0</v>
      </c>
      <c r="G177" s="21" t="n">
        <v>0</v>
      </c>
      <c r="H177" s="21" t="n">
        <v>0</v>
      </c>
      <c r="I177" s="21" t="n">
        <v>0</v>
      </c>
      <c r="J177" s="21" t="n">
        <v>0</v>
      </c>
      <c r="K177" s="21" t="n">
        <v>0</v>
      </c>
      <c r="L177" s="21" t="n">
        <v>0</v>
      </c>
      <c r="M177" s="21" t="n">
        <v>0</v>
      </c>
      <c r="N177" s="21" t="n">
        <v>0</v>
      </c>
      <c r="O177" s="21" t="n">
        <v>0</v>
      </c>
      <c r="P177" s="21" t="n">
        <v>0</v>
      </c>
      <c r="Q177" s="21" t="n">
        <v>0</v>
      </c>
      <c r="R177" s="21" t="n">
        <v>0</v>
      </c>
      <c r="S177" s="21" t="n">
        <v>0</v>
      </c>
      <c r="T177" s="21" t="n">
        <v>0</v>
      </c>
      <c r="U177" s="21" t="n">
        <v>0</v>
      </c>
      <c r="V177" s="21" t="n">
        <v>0</v>
      </c>
      <c r="W177" s="21" t="n">
        <v>0</v>
      </c>
      <c r="X177" s="21" t="n">
        <v>0</v>
      </c>
      <c r="Y177" s="21" t="n">
        <v>0</v>
      </c>
      <c r="Z177" s="21" t="n">
        <v>0</v>
      </c>
      <c r="AA177" s="21" t="n">
        <v>0</v>
      </c>
      <c r="AB177" s="21" t="n">
        <v>0</v>
      </c>
      <c r="AC177" s="21" t="n">
        <v>0</v>
      </c>
      <c r="AD177" s="21" t="n">
        <v>0</v>
      </c>
      <c r="AE177" s="21" t="n">
        <v>0</v>
      </c>
      <c r="AF177" s="21" t="n">
        <v>0</v>
      </c>
      <c r="AG177" s="21" t="n">
        <v>0</v>
      </c>
      <c r="AH177" s="21" t="n">
        <v>0</v>
      </c>
      <c r="AI177" s="21" t="n">
        <v>0</v>
      </c>
      <c r="AJ177" s="21">
        <f>-$B$18</f>
        <v/>
      </c>
      <c r="AK177" s="21">
        <f>-$B$19</f>
        <v/>
      </c>
      <c r="AL177" s="21">
        <f>2*$B$18+$D$138</f>
        <v/>
      </c>
      <c r="AM177" s="21">
        <f>0</f>
        <v/>
      </c>
      <c r="AN177" s="21">
        <f>-$B$18</f>
        <v/>
      </c>
      <c r="AO177" s="21">
        <f>$B$19</f>
        <v/>
      </c>
      <c r="AP177" s="21" t="n">
        <v>0</v>
      </c>
      <c r="AQ177" s="21" t="n">
        <v>0</v>
      </c>
      <c r="AR177" s="21" t="n">
        <v>0</v>
      </c>
      <c r="AS177" s="21" t="n">
        <v>0</v>
      </c>
      <c r="AT177" s="19" t="n"/>
    </row>
    <row r="178">
      <c r="D178" s="21" t="n">
        <v>0</v>
      </c>
      <c r="E178" s="21" t="n">
        <v>0</v>
      </c>
      <c r="F178" s="21" t="n">
        <v>0</v>
      </c>
      <c r="G178" s="21" t="n">
        <v>0</v>
      </c>
      <c r="H178" s="21" t="n">
        <v>0</v>
      </c>
      <c r="I178" s="21" t="n">
        <v>0</v>
      </c>
      <c r="J178" s="21" t="n">
        <v>0</v>
      </c>
      <c r="K178" s="21" t="n">
        <v>0</v>
      </c>
      <c r="L178" s="21" t="n">
        <v>0</v>
      </c>
      <c r="M178" s="21" t="n">
        <v>0</v>
      </c>
      <c r="N178" s="21" t="n">
        <v>0</v>
      </c>
      <c r="O178" s="21" t="n">
        <v>0</v>
      </c>
      <c r="P178" s="21" t="n">
        <v>0</v>
      </c>
      <c r="Q178" s="21" t="n">
        <v>0</v>
      </c>
      <c r="R178" s="21" t="n">
        <v>0</v>
      </c>
      <c r="S178" s="21" t="n">
        <v>0</v>
      </c>
      <c r="T178" s="21" t="n">
        <v>0</v>
      </c>
      <c r="U178" s="21" t="n">
        <v>0</v>
      </c>
      <c r="V178" s="21" t="n">
        <v>0</v>
      </c>
      <c r="W178" s="21" t="n">
        <v>0</v>
      </c>
      <c r="X178" s="21" t="n">
        <v>0</v>
      </c>
      <c r="Y178" s="21" t="n">
        <v>0</v>
      </c>
      <c r="Z178" s="21" t="n">
        <v>0</v>
      </c>
      <c r="AA178" s="21" t="n">
        <v>0</v>
      </c>
      <c r="AB178" s="21" t="n">
        <v>0</v>
      </c>
      <c r="AC178" s="21" t="n">
        <v>0</v>
      </c>
      <c r="AD178" s="21" t="n">
        <v>0</v>
      </c>
      <c r="AE178" s="21" t="n">
        <v>0</v>
      </c>
      <c r="AF178" s="21" t="n">
        <v>0</v>
      </c>
      <c r="AG178" s="21" t="n">
        <v>0</v>
      </c>
      <c r="AH178" s="21" t="n">
        <v>0</v>
      </c>
      <c r="AI178" s="21" t="n">
        <v>0</v>
      </c>
      <c r="AJ178" s="21">
        <f>$B$19</f>
        <v/>
      </c>
      <c r="AK178" s="21">
        <f>$B$21</f>
        <v/>
      </c>
      <c r="AL178" s="21">
        <f>0</f>
        <v/>
      </c>
      <c r="AM178" s="21">
        <f>2*$B$20</f>
        <v/>
      </c>
      <c r="AN178" s="21">
        <f>-$B$19</f>
        <v/>
      </c>
      <c r="AO178" s="21">
        <f>$B$21</f>
        <v/>
      </c>
      <c r="AP178" s="21" t="n">
        <v>0</v>
      </c>
      <c r="AQ178" s="21" t="n">
        <v>0</v>
      </c>
      <c r="AR178" s="21" t="n">
        <v>0</v>
      </c>
      <c r="AS178" s="21" t="n">
        <v>0</v>
      </c>
      <c r="AT178" s="19" t="n"/>
    </row>
    <row r="179">
      <c r="D179" s="21" t="n">
        <v>0</v>
      </c>
      <c r="E179" s="21" t="n">
        <v>0</v>
      </c>
      <c r="F179" s="21" t="n">
        <v>0</v>
      </c>
      <c r="G179" s="21" t="n">
        <v>0</v>
      </c>
      <c r="H179" s="21" t="n">
        <v>0</v>
      </c>
      <c r="I179" s="21" t="n">
        <v>0</v>
      </c>
      <c r="J179" s="21" t="n">
        <v>0</v>
      </c>
      <c r="K179" s="21" t="n">
        <v>0</v>
      </c>
      <c r="L179" s="21" t="n">
        <v>0</v>
      </c>
      <c r="M179" s="21" t="n">
        <v>0</v>
      </c>
      <c r="N179" s="21" t="n">
        <v>0</v>
      </c>
      <c r="O179" s="21" t="n">
        <v>0</v>
      </c>
      <c r="P179" s="21" t="n">
        <v>0</v>
      </c>
      <c r="Q179" s="21" t="n">
        <v>0</v>
      </c>
      <c r="R179" s="21" t="n">
        <v>0</v>
      </c>
      <c r="S179" s="21" t="n">
        <v>0</v>
      </c>
      <c r="T179" s="21" t="n">
        <v>0</v>
      </c>
      <c r="U179" s="21" t="n">
        <v>0</v>
      </c>
      <c r="V179" s="21" t="n">
        <v>0</v>
      </c>
      <c r="W179" s="21" t="n">
        <v>0</v>
      </c>
      <c r="X179" s="21" t="n">
        <v>0</v>
      </c>
      <c r="Y179" s="21" t="n">
        <v>0</v>
      </c>
      <c r="Z179" s="21" t="n">
        <v>0</v>
      </c>
      <c r="AA179" s="21" t="n">
        <v>0</v>
      </c>
      <c r="AB179" s="21" t="n">
        <v>0</v>
      </c>
      <c r="AC179" s="21" t="n">
        <v>0</v>
      </c>
      <c r="AD179" s="21" t="n">
        <v>0</v>
      </c>
      <c r="AE179" s="21" t="n">
        <v>0</v>
      </c>
      <c r="AF179" s="21" t="n">
        <v>0</v>
      </c>
      <c r="AG179" s="21" t="n">
        <v>0</v>
      </c>
      <c r="AH179" s="21" t="n">
        <v>0</v>
      </c>
      <c r="AI179" s="21" t="n">
        <v>0</v>
      </c>
      <c r="AJ179" s="21" t="n">
        <v>0</v>
      </c>
      <c r="AK179" s="21" t="n">
        <v>0</v>
      </c>
      <c r="AL179" s="21">
        <f>-$B$18</f>
        <v/>
      </c>
      <c r="AM179" s="21">
        <f>-$B$19</f>
        <v/>
      </c>
      <c r="AN179" s="21">
        <f>2*$B$18+$D$139</f>
        <v/>
      </c>
      <c r="AO179" s="21">
        <f>0</f>
        <v/>
      </c>
      <c r="AP179" s="21">
        <f>-$B$18</f>
        <v/>
      </c>
      <c r="AQ179" s="21">
        <f>$B$19</f>
        <v/>
      </c>
      <c r="AR179" s="21" t="n">
        <v>0</v>
      </c>
      <c r="AS179" s="21" t="n">
        <v>0</v>
      </c>
      <c r="AT179" s="19" t="n"/>
    </row>
    <row r="180">
      <c r="D180" s="21" t="n">
        <v>0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n">
        <v>0</v>
      </c>
      <c r="O180" s="21" t="n">
        <v>0</v>
      </c>
      <c r="P180" s="21" t="n">
        <v>0</v>
      </c>
      <c r="Q180" s="21" t="n">
        <v>0</v>
      </c>
      <c r="R180" s="21" t="n">
        <v>0</v>
      </c>
      <c r="S180" s="21" t="n">
        <v>0</v>
      </c>
      <c r="T180" s="21" t="n">
        <v>0</v>
      </c>
      <c r="U180" s="21" t="n">
        <v>0</v>
      </c>
      <c r="V180" s="21" t="n">
        <v>0</v>
      </c>
      <c r="W180" s="21" t="n">
        <v>0</v>
      </c>
      <c r="X180" s="21" t="n">
        <v>0</v>
      </c>
      <c r="Y180" s="21" t="n">
        <v>0</v>
      </c>
      <c r="Z180" s="21" t="n">
        <v>0</v>
      </c>
      <c r="AA180" s="21" t="n">
        <v>0</v>
      </c>
      <c r="AB180" s="21" t="n">
        <v>0</v>
      </c>
      <c r="AC180" s="21" t="n">
        <v>0</v>
      </c>
      <c r="AD180" s="21" t="n">
        <v>0</v>
      </c>
      <c r="AE180" s="21" t="n">
        <v>0</v>
      </c>
      <c r="AF180" s="21" t="n">
        <v>0</v>
      </c>
      <c r="AG180" s="21" t="n">
        <v>0</v>
      </c>
      <c r="AH180" s="21" t="n">
        <v>0</v>
      </c>
      <c r="AI180" s="21" t="n">
        <v>0</v>
      </c>
      <c r="AJ180" s="21" t="n">
        <v>0</v>
      </c>
      <c r="AK180" s="21" t="n">
        <v>0</v>
      </c>
      <c r="AL180" s="21">
        <f>$B$19</f>
        <v/>
      </c>
      <c r="AM180" s="21">
        <f>$B$21</f>
        <v/>
      </c>
      <c r="AN180" s="21">
        <f>0</f>
        <v/>
      </c>
      <c r="AO180" s="21">
        <f>2*$B$20</f>
        <v/>
      </c>
      <c r="AP180" s="21">
        <f>-$B$19</f>
        <v/>
      </c>
      <c r="AQ180" s="21">
        <f>$B$21</f>
        <v/>
      </c>
      <c r="AR180" s="21" t="n">
        <v>0</v>
      </c>
      <c r="AS180" s="21" t="n">
        <v>0</v>
      </c>
      <c r="AT180" s="19" t="n"/>
    </row>
    <row r="181">
      <c r="D181" s="21" t="n">
        <v>0</v>
      </c>
      <c r="E181" s="21" t="n">
        <v>0</v>
      </c>
      <c r="F181" s="21" t="n">
        <v>0</v>
      </c>
      <c r="G181" s="21" t="n">
        <v>0</v>
      </c>
      <c r="H181" s="21" t="n">
        <v>0</v>
      </c>
      <c r="I181" s="21" t="n">
        <v>0</v>
      </c>
      <c r="J181" s="21" t="n">
        <v>0</v>
      </c>
      <c r="K181" s="21" t="n">
        <v>0</v>
      </c>
      <c r="L181" s="21" t="n">
        <v>0</v>
      </c>
      <c r="M181" s="21" t="n">
        <v>0</v>
      </c>
      <c r="N181" s="21" t="n">
        <v>0</v>
      </c>
      <c r="O181" s="21" t="n">
        <v>0</v>
      </c>
      <c r="P181" s="21" t="n">
        <v>0</v>
      </c>
      <c r="Q181" s="21" t="n">
        <v>0</v>
      </c>
      <c r="R181" s="21" t="n">
        <v>0</v>
      </c>
      <c r="S181" s="21" t="n">
        <v>0</v>
      </c>
      <c r="T181" s="21" t="n">
        <v>0</v>
      </c>
      <c r="U181" s="21" t="n">
        <v>0</v>
      </c>
      <c r="V181" s="21" t="n">
        <v>0</v>
      </c>
      <c r="W181" s="21" t="n">
        <v>0</v>
      </c>
      <c r="X181" s="21" t="n">
        <v>0</v>
      </c>
      <c r="Y181" s="21" t="n">
        <v>0</v>
      </c>
      <c r="Z181" s="21" t="n">
        <v>0</v>
      </c>
      <c r="AA181" s="21" t="n">
        <v>0</v>
      </c>
      <c r="AB181" s="21" t="n">
        <v>0</v>
      </c>
      <c r="AC181" s="21" t="n">
        <v>0</v>
      </c>
      <c r="AD181" s="21" t="n">
        <v>0</v>
      </c>
      <c r="AE181" s="21" t="n">
        <v>0</v>
      </c>
      <c r="AF181" s="21" t="n">
        <v>0</v>
      </c>
      <c r="AG181" s="21" t="n">
        <v>0</v>
      </c>
      <c r="AH181" s="21" t="n">
        <v>0</v>
      </c>
      <c r="AI181" s="21" t="n">
        <v>0</v>
      </c>
      <c r="AJ181" s="21" t="n">
        <v>0</v>
      </c>
      <c r="AK181" s="21" t="n">
        <v>0</v>
      </c>
      <c r="AL181" s="21" t="n">
        <v>0</v>
      </c>
      <c r="AM181" s="21" t="n">
        <v>0</v>
      </c>
      <c r="AN181" s="21">
        <f>-$B$18</f>
        <v/>
      </c>
      <c r="AO181" s="21">
        <f>-$B$19</f>
        <v/>
      </c>
      <c r="AP181" s="21">
        <f>2*$B$18+$D$140</f>
        <v/>
      </c>
      <c r="AQ181" s="21">
        <f>0</f>
        <v/>
      </c>
      <c r="AR181" s="21">
        <f>-$B$18</f>
        <v/>
      </c>
      <c r="AS181" s="21">
        <f>$B$19</f>
        <v/>
      </c>
      <c r="AT181" s="19" t="n"/>
    </row>
    <row r="182">
      <c r="D182" s="21" t="n">
        <v>0</v>
      </c>
      <c r="E182" s="21" t="n">
        <v>0</v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n">
        <v>0</v>
      </c>
      <c r="O182" s="21" t="n">
        <v>0</v>
      </c>
      <c r="P182" s="21" t="n">
        <v>0</v>
      </c>
      <c r="Q182" s="21" t="n">
        <v>0</v>
      </c>
      <c r="R182" s="21" t="n">
        <v>0</v>
      </c>
      <c r="S182" s="21" t="n">
        <v>0</v>
      </c>
      <c r="T182" s="21" t="n">
        <v>0</v>
      </c>
      <c r="U182" s="21" t="n">
        <v>0</v>
      </c>
      <c r="V182" s="21" t="n">
        <v>0</v>
      </c>
      <c r="W182" s="21" t="n">
        <v>0</v>
      </c>
      <c r="X182" s="21" t="n">
        <v>0</v>
      </c>
      <c r="Y182" s="21" t="n">
        <v>0</v>
      </c>
      <c r="Z182" s="21" t="n">
        <v>0</v>
      </c>
      <c r="AA182" s="21" t="n">
        <v>0</v>
      </c>
      <c r="AB182" s="21" t="n">
        <v>0</v>
      </c>
      <c r="AC182" s="21" t="n">
        <v>0</v>
      </c>
      <c r="AD182" s="21" t="n">
        <v>0</v>
      </c>
      <c r="AE182" s="21" t="n">
        <v>0</v>
      </c>
      <c r="AF182" s="21" t="n">
        <v>0</v>
      </c>
      <c r="AG182" s="21" t="n">
        <v>0</v>
      </c>
      <c r="AH182" s="21" t="n">
        <v>0</v>
      </c>
      <c r="AI182" s="21" t="n">
        <v>0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>
        <f>$B$19</f>
        <v/>
      </c>
      <c r="AO182" s="21">
        <f>$B$21</f>
        <v/>
      </c>
      <c r="AP182" s="21">
        <f>0</f>
        <v/>
      </c>
      <c r="AQ182" s="21">
        <f>2*$B$20</f>
        <v/>
      </c>
      <c r="AR182" s="21">
        <f>-$B$19</f>
        <v/>
      </c>
      <c r="AS182" s="21">
        <f>$B$21</f>
        <v/>
      </c>
      <c r="AT182" s="19" t="n"/>
    </row>
    <row r="183">
      <c r="D183" s="21" t="n">
        <v>0</v>
      </c>
      <c r="E183" s="21" t="n">
        <v>0</v>
      </c>
      <c r="F183" s="21" t="n">
        <v>0</v>
      </c>
      <c r="G183" s="21" t="n">
        <v>0</v>
      </c>
      <c r="H183" s="21" t="n">
        <v>0</v>
      </c>
      <c r="I183" s="21" t="n">
        <v>0</v>
      </c>
      <c r="J183" s="21" t="n">
        <v>0</v>
      </c>
      <c r="K183" s="21" t="n">
        <v>0</v>
      </c>
      <c r="L183" s="21" t="n">
        <v>0</v>
      </c>
      <c r="M183" s="21" t="n">
        <v>0</v>
      </c>
      <c r="N183" s="21" t="n">
        <v>0</v>
      </c>
      <c r="O183" s="21" t="n">
        <v>0</v>
      </c>
      <c r="P183" s="21" t="n">
        <v>0</v>
      </c>
      <c r="Q183" s="21" t="n">
        <v>0</v>
      </c>
      <c r="R183" s="21" t="n">
        <v>0</v>
      </c>
      <c r="S183" s="21" t="n">
        <v>0</v>
      </c>
      <c r="T183" s="21" t="n">
        <v>0</v>
      </c>
      <c r="U183" s="21" t="n">
        <v>0</v>
      </c>
      <c r="V183" s="21" t="n">
        <v>0</v>
      </c>
      <c r="W183" s="21" t="n">
        <v>0</v>
      </c>
      <c r="X183" s="21" t="n">
        <v>0</v>
      </c>
      <c r="Y183" s="21" t="n">
        <v>0</v>
      </c>
      <c r="Z183" s="21" t="n">
        <v>0</v>
      </c>
      <c r="AA183" s="21" t="n">
        <v>0</v>
      </c>
      <c r="AB183" s="21" t="n">
        <v>0</v>
      </c>
      <c r="AC183" s="21" t="n">
        <v>0</v>
      </c>
      <c r="AD183" s="21" t="n">
        <v>0</v>
      </c>
      <c r="AE183" s="21" t="n">
        <v>0</v>
      </c>
      <c r="AF183" s="21" t="n">
        <v>0</v>
      </c>
      <c r="AG183" s="21" t="n">
        <v>0</v>
      </c>
      <c r="AH183" s="21" t="n">
        <v>0</v>
      </c>
      <c r="AI183" s="21" t="n">
        <v>0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>
        <f>-$B$18</f>
        <v/>
      </c>
      <c r="AQ183" s="21">
        <f>-$B$19</f>
        <v/>
      </c>
      <c r="AR183" s="21">
        <f>$B$18+$D$141</f>
        <v/>
      </c>
      <c r="AS183" s="21">
        <f>-$B$19</f>
        <v/>
      </c>
      <c r="AT183" s="19" t="n"/>
    </row>
    <row r="184"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0</v>
      </c>
      <c r="I184" s="21" t="n">
        <v>0</v>
      </c>
      <c r="J184" s="21" t="n">
        <v>0</v>
      </c>
      <c r="K184" s="21" t="n">
        <v>0</v>
      </c>
      <c r="L184" s="21" t="n">
        <v>0</v>
      </c>
      <c r="M184" s="21" t="n">
        <v>0</v>
      </c>
      <c r="N184" s="21" t="n">
        <v>0</v>
      </c>
      <c r="O184" s="21" t="n">
        <v>0</v>
      </c>
      <c r="P184" s="21" t="n">
        <v>0</v>
      </c>
      <c r="Q184" s="21" t="n">
        <v>0</v>
      </c>
      <c r="R184" s="21" t="n">
        <v>0</v>
      </c>
      <c r="S184" s="21" t="n">
        <v>0</v>
      </c>
      <c r="T184" s="21" t="n">
        <v>0</v>
      </c>
      <c r="U184" s="21" t="n">
        <v>0</v>
      </c>
      <c r="V184" s="21" t="n">
        <v>0</v>
      </c>
      <c r="W184" s="21" t="n">
        <v>0</v>
      </c>
      <c r="X184" s="21" t="n">
        <v>0</v>
      </c>
      <c r="Y184" s="21" t="n">
        <v>0</v>
      </c>
      <c r="Z184" s="21" t="n">
        <v>0</v>
      </c>
      <c r="AA184" s="21" t="n">
        <v>0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0</v>
      </c>
      <c r="AG184" s="21" t="n">
        <v>0</v>
      </c>
      <c r="AH184" s="21" t="n">
        <v>0</v>
      </c>
      <c r="AI184" s="21" t="n">
        <v>0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>
        <f>$B$19</f>
        <v/>
      </c>
      <c r="AQ184" s="21">
        <f>$B$21</f>
        <v/>
      </c>
      <c r="AR184" s="21">
        <f>-$B$19</f>
        <v/>
      </c>
      <c r="AS184" s="21">
        <f>$B$20</f>
        <v/>
      </c>
      <c r="AT184" s="19" t="n"/>
    </row>
    <row r="186">
      <c r="A186" s="8" t="inlineStr">
        <is>
          <t>gen 2</t>
        </is>
      </c>
    </row>
    <row r="187">
      <c r="D187" s="19">
        <f>IF(ABS(IF(ABS($E$121)&gt;0.000000001,$E$121,0.000000001))=0,0,IF($E$33&lt;=$B$27,0,IF(ABS(IF(ABS($E$121)&gt;0.000000001,$E$121,0.000000001))&gt;=8*$B$29,$H$33,0.5*$H$33*(ABS(IF(ABS($E$121)&gt;0.000000001,$E$121,0.000000001))/$B$29)^(1/3)))/ABS(IF(ABS($E$121)&gt;0.000000001,$E$121,0.000000001))*$I$33)</f>
        <v/>
      </c>
      <c r="E187" s="19">
        <f>0.5*$E$121+0.5*$AT$209</f>
        <v/>
      </c>
      <c r="F187" s="19">
        <f>$AT$210</f>
        <v/>
      </c>
    </row>
    <row r="188">
      <c r="D188" s="19">
        <f>IF(ABS(IF(ABS($E$122)&gt;0.000000001,$E$122,0.000000001))=0,0,IF($E$34&lt;=$B$27,0,IF(ABS(IF(ABS($E$122)&gt;0.000000001,$E$122,0.000000001))&gt;=8*$B$29,$H$34,0.5*$H$34*(ABS(IF(ABS($E$122)&gt;0.000000001,$E$122,0.000000001))/$B$29)^(1/3)))/ABS(IF(ABS($E$122)&gt;0.000000001,$E$122,0.000000001))*$I$34)</f>
        <v/>
      </c>
      <c r="E188" s="19">
        <f>0.5*$E$122+0.5*$AT$211</f>
        <v/>
      </c>
      <c r="F188" s="19">
        <f>$AT$212</f>
        <v/>
      </c>
    </row>
    <row r="189">
      <c r="D189" s="19">
        <f>IF(ABS(IF(ABS($E$123)&gt;0.000000001,$E$123,0.000000001))=0,0,IF($E$35&lt;=$B$27,0,IF(ABS(IF(ABS($E$123)&gt;0.000000001,$E$123,0.000000001))&gt;=8*$B$29,$H$35,0.5*$H$35*(ABS(IF(ABS($E$123)&gt;0.000000001,$E$123,0.000000001))/$B$29)^(1/3)))/ABS(IF(ABS($E$123)&gt;0.000000001,$E$123,0.000000001))*$I$35)</f>
        <v/>
      </c>
      <c r="E189" s="19">
        <f>0.5*$E$123+0.5*$AT$213</f>
        <v/>
      </c>
      <c r="F189" s="19">
        <f>$AT$214</f>
        <v/>
      </c>
    </row>
    <row r="190">
      <c r="D190" s="19">
        <f>IF(ABS(IF(ABS($E$124)&gt;0.000000001,$E$124,0.000000001))=0,0,IF($E$36&lt;=$B$27,0,IF(ABS(IF(ABS($E$124)&gt;0.000000001,$E$124,0.000000001))&gt;=8*$B$29,$H$36,0.5*$H$36*(ABS(IF(ABS($E$124)&gt;0.000000001,$E$124,0.000000001))/$B$29)^(1/3)))/ABS(IF(ABS($E$124)&gt;0.000000001,$E$124,0.000000001))*$I$36)</f>
        <v/>
      </c>
      <c r="E190" s="19">
        <f>0.5*$E$124+0.5*$AT$215</f>
        <v/>
      </c>
      <c r="F190" s="19">
        <f>$AT$216</f>
        <v/>
      </c>
    </row>
    <row r="191">
      <c r="D191" s="19">
        <f>IF(ABS(IF(ABS($E$125)&gt;0.000000001,$E$125,0.000000001))=0,0,IF($E$37&lt;=$B$27,0,IF(ABS(IF(ABS($E$125)&gt;0.000000001,$E$125,0.000000001))&gt;=8*$B$29,$H$37,0.5*$H$37*(ABS(IF(ABS($E$125)&gt;0.000000001,$E$125,0.000000001))/$B$29)^(1/3)))/ABS(IF(ABS($E$125)&gt;0.000000001,$E$125,0.000000001))*$I$37)</f>
        <v/>
      </c>
      <c r="E191" s="19">
        <f>0.5*$E$125+0.5*$AT$217</f>
        <v/>
      </c>
      <c r="F191" s="19">
        <f>$AT$218</f>
        <v/>
      </c>
    </row>
    <row r="192">
      <c r="D192" s="19">
        <f>IF(ABS(IF(ABS($E$126)&gt;0.000000001,$E$126,0.000000001))=0,0,IF($E$38&lt;=$B$27,0,IF(ABS(IF(ABS($E$126)&gt;0.000000001,$E$126,0.000000001))&gt;=8*$B$29,$H$38,0.5*$H$38*(ABS(IF(ABS($E$126)&gt;0.000000001,$E$126,0.000000001))/$B$29)^(1/3)))/ABS(IF(ABS($E$126)&gt;0.000000001,$E$126,0.000000001))*$I$38)</f>
        <v/>
      </c>
      <c r="E192" s="19">
        <f>0.5*$E$126+0.5*$AT$219</f>
        <v/>
      </c>
      <c r="F192" s="19">
        <f>$AT$220</f>
        <v/>
      </c>
    </row>
    <row r="193">
      <c r="D193" s="19">
        <f>IF(ABS(IF(ABS($E$127)&gt;0.000000001,$E$127,0.000000001))=0,0,IF($E$39&lt;=$B$27,0,IF(ABS(IF(ABS($E$127)&gt;0.000000001,$E$127,0.000000001))&gt;=8*$B$29,$H$39,0.5*$H$39*(ABS(IF(ABS($E$127)&gt;0.000000001,$E$127,0.000000001))/$B$29)^(1/3)))/ABS(IF(ABS($E$127)&gt;0.000000001,$E$127,0.000000001))*$I$39)</f>
        <v/>
      </c>
      <c r="E193" s="19">
        <f>0.5*$E$127+0.5*$AT$221</f>
        <v/>
      </c>
      <c r="F193" s="19">
        <f>$AT$222</f>
        <v/>
      </c>
    </row>
    <row r="194">
      <c r="D194" s="19">
        <f>IF(ABS(IF(ABS($E$128)&gt;0.000000001,$E$128,0.000000001))=0,0,IF($E$40&lt;=$B$27,0,IF(ABS(IF(ABS($E$128)&gt;0.000000001,$E$128,0.000000001))&gt;=8*$B$29,$H$40,0.5*$H$40*(ABS(IF(ABS($E$128)&gt;0.000000001,$E$128,0.000000001))/$B$29)^(1/3)))/ABS(IF(ABS($E$128)&gt;0.000000001,$E$128,0.000000001))*$I$40)</f>
        <v/>
      </c>
      <c r="E194" s="19">
        <f>0.5*$E$128+0.5*$AT$223</f>
        <v/>
      </c>
      <c r="F194" s="19">
        <f>$AT$224</f>
        <v/>
      </c>
    </row>
    <row r="195">
      <c r="D195" s="19">
        <f>IF(ABS(IF(ABS($E$129)&gt;0.000000001,$E$129,0.000000001))=0,0,IF($E$41&lt;=$B$27,0,IF(ABS(IF(ABS($E$129)&gt;0.000000001,$E$129,0.000000001))&gt;=8*$B$29,$H$41,0.5*$H$41*(ABS(IF(ABS($E$129)&gt;0.000000001,$E$129,0.000000001))/$B$29)^(1/3)))/ABS(IF(ABS($E$129)&gt;0.000000001,$E$129,0.000000001))*$I$41)</f>
        <v/>
      </c>
      <c r="E195" s="19">
        <f>0.5*$E$129+0.5*$AT$225</f>
        <v/>
      </c>
      <c r="F195" s="19">
        <f>$AT$226</f>
        <v/>
      </c>
    </row>
    <row r="196">
      <c r="D196" s="19">
        <f>IF(ABS(IF(ABS($E$130)&gt;0.000000001,$E$130,0.000000001))=0,0,IF($E$42&lt;=$B$27,0,IF(ABS(IF(ABS($E$130)&gt;0.000000001,$E$130,0.000000001))&gt;=8*$B$29,$H$42,0.5*$H$42*(ABS(IF(ABS($E$130)&gt;0.000000001,$E$130,0.000000001))/$B$29)^(1/3)))/ABS(IF(ABS($E$130)&gt;0.000000001,$E$130,0.000000001))*$I$42)</f>
        <v/>
      </c>
      <c r="E196" s="19">
        <f>0.5*$E$130+0.5*$AT$227</f>
        <v/>
      </c>
      <c r="F196" s="19">
        <f>$AT$228</f>
        <v/>
      </c>
    </row>
    <row r="197">
      <c r="D197" s="19">
        <f>IF(ABS(IF(ABS($E$131)&gt;0.000000001,$E$131,0.000000001))=0,0,IF($E$43&lt;=$B$27,0,IF(ABS(IF(ABS($E$131)&gt;0.000000001,$E$131,0.000000001))&gt;=8*$B$29,$H$43,0.5*$H$43*(ABS(IF(ABS($E$131)&gt;0.000000001,$E$131,0.000000001))/$B$29)^(1/3)))/ABS(IF(ABS($E$131)&gt;0.000000001,$E$131,0.000000001))*$I$43)</f>
        <v/>
      </c>
      <c r="E197" s="19">
        <f>0.5*$E$131+0.5*$AT$229</f>
        <v/>
      </c>
      <c r="F197" s="19">
        <f>$AT$230</f>
        <v/>
      </c>
    </row>
    <row r="198">
      <c r="D198" s="19">
        <f>IF(ABS(IF(ABS($E$132)&gt;0.000000001,$E$132,0.000000001))=0,0,IF($E$44&lt;=$B$27,0,IF(ABS(IF(ABS($E$132)&gt;0.000000001,$E$132,0.000000001))&gt;=8*$B$29,$H$44,0.5*$H$44*(ABS(IF(ABS($E$132)&gt;0.000000001,$E$132,0.000000001))/$B$29)^(1/3)))/ABS(IF(ABS($E$132)&gt;0.000000001,$E$132,0.000000001))*$I$44)</f>
        <v/>
      </c>
      <c r="E198" s="19">
        <f>0.5*$E$132+0.5*$AT$231</f>
        <v/>
      </c>
      <c r="F198" s="19">
        <f>$AT$232</f>
        <v/>
      </c>
    </row>
    <row r="199">
      <c r="D199" s="19">
        <f>IF(ABS(IF(ABS($E$133)&gt;0.000000001,$E$133,0.000000001))=0,0,IF($E$45&lt;=$B$27,0,IF(ABS(IF(ABS($E$133)&gt;0.000000001,$E$133,0.000000001))&gt;=8*$B$29,$H$45,0.5*$H$45*(ABS(IF(ABS($E$133)&gt;0.000000001,$E$133,0.000000001))/$B$29)^(1/3)))/ABS(IF(ABS($E$133)&gt;0.000000001,$E$133,0.000000001))*$I$45)</f>
        <v/>
      </c>
      <c r="E199" s="19">
        <f>0.5*$E$133+0.5*$AT$233</f>
        <v/>
      </c>
      <c r="F199" s="19">
        <f>$AT$234</f>
        <v/>
      </c>
    </row>
    <row r="200">
      <c r="D200" s="19">
        <f>IF(ABS(IF(ABS($E$134)&gt;0.000000001,$E$134,0.000000001))=0,0,IF($E$46&lt;=$B$27,0,IF(ABS(IF(ABS($E$134)&gt;0.000000001,$E$134,0.000000001))&gt;=8*$B$29,$H$46,0.5*$H$46*(ABS(IF(ABS($E$134)&gt;0.000000001,$E$134,0.000000001))/$B$29)^(1/3)))/ABS(IF(ABS($E$134)&gt;0.000000001,$E$134,0.000000001))*$I$46)</f>
        <v/>
      </c>
      <c r="E200" s="19">
        <f>0.5*$E$134+0.5*$AT$235</f>
        <v/>
      </c>
      <c r="F200" s="19">
        <f>$AT$236</f>
        <v/>
      </c>
    </row>
    <row r="201">
      <c r="D201" s="19">
        <f>IF(ABS(IF(ABS($E$135)&gt;0.000000001,$E$135,0.000000001))=0,0,IF($E$47&lt;=$B$27,0,IF(ABS(IF(ABS($E$135)&gt;0.000000001,$E$135,0.000000001))&gt;=8*$B$29,$H$47,0.5*$H$47*(ABS(IF(ABS($E$135)&gt;0.000000001,$E$135,0.000000001))/$B$29)^(1/3)))/ABS(IF(ABS($E$135)&gt;0.000000001,$E$135,0.000000001))*$I$47)</f>
        <v/>
      </c>
      <c r="E201" s="19">
        <f>0.5*$E$135+0.5*$AT$237</f>
        <v/>
      </c>
      <c r="F201" s="19">
        <f>$AT$238</f>
        <v/>
      </c>
    </row>
    <row r="202">
      <c r="D202" s="19">
        <f>IF(ABS(IF(ABS($E$136)&gt;0.000000001,$E$136,0.000000001))=0,0,IF($E$48&lt;=$B$27,0,IF(ABS(IF(ABS($E$136)&gt;0.000000001,$E$136,0.000000001))&gt;=8*$B$29,$H$48,0.5*$H$48*(ABS(IF(ABS($E$136)&gt;0.000000001,$E$136,0.000000001))/$B$29)^(1/3)))/ABS(IF(ABS($E$136)&gt;0.000000001,$E$136,0.000000001))*$I$48)</f>
        <v/>
      </c>
      <c r="E202" s="19">
        <f>0.5*$E$136+0.5*$AT$239</f>
        <v/>
      </c>
      <c r="F202" s="19">
        <f>$AT$240</f>
        <v/>
      </c>
    </row>
    <row r="203">
      <c r="D203" s="19">
        <f>IF(ABS(IF(ABS($E$137)&gt;0.000000001,$E$137,0.000000001))=0,0,IF($E$49&lt;=$B$27,0,IF(ABS(IF(ABS($E$137)&gt;0.000000001,$E$137,0.000000001))&gt;=8*$B$29,$H$49,0.5*$H$49*(ABS(IF(ABS($E$137)&gt;0.000000001,$E$137,0.000000001))/$B$29)^(1/3)))/ABS(IF(ABS($E$137)&gt;0.000000001,$E$137,0.000000001))*$I$49)</f>
        <v/>
      </c>
      <c r="E203" s="19">
        <f>0.5*$E$137+0.5*$AT$241</f>
        <v/>
      </c>
      <c r="F203" s="19">
        <f>$AT$242</f>
        <v/>
      </c>
    </row>
    <row r="204">
      <c r="D204" s="19">
        <f>IF(ABS(IF(ABS($E$138)&gt;0.000000001,$E$138,0.000000001))=0,0,IF($E$50&lt;=$B$27,0,IF(ABS(IF(ABS($E$138)&gt;0.000000001,$E$138,0.000000001))&gt;=8*$B$29,$H$50,0.5*$H$50*(ABS(IF(ABS($E$138)&gt;0.000000001,$E$138,0.000000001))/$B$29)^(1/3)))/ABS(IF(ABS($E$138)&gt;0.000000001,$E$138,0.000000001))*$I$50)</f>
        <v/>
      </c>
      <c r="E204" s="19">
        <f>0.5*$E$138+0.5*$AT$243</f>
        <v/>
      </c>
      <c r="F204" s="19">
        <f>$AT$244</f>
        <v/>
      </c>
    </row>
    <row r="205">
      <c r="D205" s="19">
        <f>IF(ABS(IF(ABS($E$139)&gt;0.000000001,$E$139,0.000000001))=0,0,IF($E$51&lt;=$B$27,0,IF(ABS(IF(ABS($E$139)&gt;0.000000001,$E$139,0.000000001))&gt;=8*$B$29,$H$51,0.5*$H$51*(ABS(IF(ABS($E$139)&gt;0.000000001,$E$139,0.000000001))/$B$29)^(1/3)))/ABS(IF(ABS($E$139)&gt;0.000000001,$E$139,0.000000001))*$I$51)</f>
        <v/>
      </c>
      <c r="E205" s="19">
        <f>0.5*$E$139+0.5*$AT$245</f>
        <v/>
      </c>
      <c r="F205" s="19">
        <f>$AT$246</f>
        <v/>
      </c>
    </row>
    <row r="206">
      <c r="D206" s="19">
        <f>IF(ABS(IF(ABS($E$140)&gt;0.000000001,$E$140,0.000000001))=0,0,IF($E$52&lt;=$B$27,0,IF(ABS(IF(ABS($E$140)&gt;0.000000001,$E$140,0.000000001))&gt;=8*$B$29,$H$52,0.5*$H$52*(ABS(IF(ABS($E$140)&gt;0.000000001,$E$140,0.000000001))/$B$29)^(1/3)))/ABS(IF(ABS($E$140)&gt;0.000000001,$E$140,0.000000001))*$I$52)</f>
        <v/>
      </c>
      <c r="E206" s="19">
        <f>0.5*$E$140+0.5*$AT$247</f>
        <v/>
      </c>
      <c r="F206" s="19">
        <f>$AT$248</f>
        <v/>
      </c>
    </row>
    <row r="207">
      <c r="D207" s="19">
        <f>IF(ABS(IF(ABS($E$141)&gt;0.000000001,$E$141,0.000000001))=0,0,IF($E$53&lt;=$B$27,0,IF(ABS(IF(ABS($E$141)&gt;0.000000001,$E$141,0.000000001))&gt;=8*$B$29,$H$53,0.5*$H$53*(ABS(IF(ABS($E$141)&gt;0.000000001,$E$141,0.000000001))/$B$29)^(1/3)))/ABS(IF(ABS($E$141)&gt;0.000000001,$E$141,0.000000001))*$I$53)</f>
        <v/>
      </c>
      <c r="E207" s="19">
        <f>0.5*$E$141+0.5*$AT$249</f>
        <v/>
      </c>
      <c r="F207" s="19">
        <f>$AT$250</f>
        <v/>
      </c>
    </row>
    <row r="209">
      <c r="D209" s="21">
        <f>$B$18+$D$187</f>
        <v/>
      </c>
      <c r="E209" s="21">
        <f>$B$19</f>
        <v/>
      </c>
      <c r="F209" s="21">
        <f>-$B$18</f>
        <v/>
      </c>
      <c r="G209" s="21">
        <f>$B$19</f>
        <v/>
      </c>
      <c r="H209" s="21" t="n">
        <v>0</v>
      </c>
      <c r="I209" s="21" t="n">
        <v>0</v>
      </c>
      <c r="J209" s="21" t="n">
        <v>0</v>
      </c>
      <c r="K209" s="21" t="n">
        <v>0</v>
      </c>
      <c r="L209" s="21" t="n">
        <v>0</v>
      </c>
      <c r="M209" s="21" t="n">
        <v>0</v>
      </c>
      <c r="N209" s="21" t="n">
        <v>0</v>
      </c>
      <c r="O209" s="21" t="n">
        <v>0</v>
      </c>
      <c r="P209" s="21" t="n">
        <v>0</v>
      </c>
      <c r="Q209" s="21" t="n">
        <v>0</v>
      </c>
      <c r="R209" s="21" t="n">
        <v>0</v>
      </c>
      <c r="S209" s="21" t="n">
        <v>0</v>
      </c>
      <c r="T209" s="21" t="n">
        <v>0</v>
      </c>
      <c r="U209" s="21" t="n">
        <v>0</v>
      </c>
      <c r="V209" s="21" t="n">
        <v>0</v>
      </c>
      <c r="W209" s="21" t="n">
        <v>0</v>
      </c>
      <c r="X209" s="21" t="n">
        <v>0</v>
      </c>
      <c r="Y209" s="21" t="n">
        <v>0</v>
      </c>
      <c r="Z209" s="21" t="n">
        <v>0</v>
      </c>
      <c r="AA209" s="21" t="n">
        <v>0</v>
      </c>
      <c r="AB209" s="21" t="n">
        <v>0</v>
      </c>
      <c r="AC209" s="21" t="n">
        <v>0</v>
      </c>
      <c r="AD209" s="21" t="n">
        <v>0</v>
      </c>
      <c r="AE209" s="21" t="n">
        <v>0</v>
      </c>
      <c r="AF209" s="21" t="n">
        <v>0</v>
      </c>
      <c r="AG209" s="21" t="n">
        <v>0</v>
      </c>
      <c r="AH209" s="21" t="n">
        <v>0</v>
      </c>
      <c r="AI209" s="21" t="n">
        <v>0</v>
      </c>
      <c r="AJ209" s="21" t="n">
        <v>0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19">
        <f t="array" ref="AT209:AT250">MMULT(MINVERSE($D$209:$AS$250),$D$55:$D$96)</f>
        <v/>
      </c>
    </row>
    <row r="210">
      <c r="D210" s="21">
        <f>$B$19</f>
        <v/>
      </c>
      <c r="E210" s="21">
        <f>$B$20</f>
        <v/>
      </c>
      <c r="F210" s="21">
        <f>-$B$19</f>
        <v/>
      </c>
      <c r="G210" s="21">
        <f>$B$21</f>
        <v/>
      </c>
      <c r="H210" s="21" t="n">
        <v>0</v>
      </c>
      <c r="I210" s="21" t="n">
        <v>0</v>
      </c>
      <c r="J210" s="21" t="n">
        <v>0</v>
      </c>
      <c r="K210" s="21" t="n">
        <v>0</v>
      </c>
      <c r="L210" s="21" t="n">
        <v>0</v>
      </c>
      <c r="M210" s="21" t="n">
        <v>0</v>
      </c>
      <c r="N210" s="21" t="n">
        <v>0</v>
      </c>
      <c r="O210" s="21" t="n">
        <v>0</v>
      </c>
      <c r="P210" s="21" t="n">
        <v>0</v>
      </c>
      <c r="Q210" s="21" t="n">
        <v>0</v>
      </c>
      <c r="R210" s="21" t="n">
        <v>0</v>
      </c>
      <c r="S210" s="21" t="n">
        <v>0</v>
      </c>
      <c r="T210" s="21" t="n">
        <v>0</v>
      </c>
      <c r="U210" s="21" t="n">
        <v>0</v>
      </c>
      <c r="V210" s="21" t="n">
        <v>0</v>
      </c>
      <c r="W210" s="21" t="n">
        <v>0</v>
      </c>
      <c r="X210" s="21" t="n">
        <v>0</v>
      </c>
      <c r="Y210" s="21" t="n">
        <v>0</v>
      </c>
      <c r="Z210" s="21" t="n">
        <v>0</v>
      </c>
      <c r="AA210" s="21" t="n">
        <v>0</v>
      </c>
      <c r="AB210" s="21" t="n">
        <v>0</v>
      </c>
      <c r="AC210" s="21" t="n">
        <v>0</v>
      </c>
      <c r="AD210" s="21" t="n">
        <v>0</v>
      </c>
      <c r="AE210" s="21" t="n">
        <v>0</v>
      </c>
      <c r="AF210" s="21" t="n">
        <v>0</v>
      </c>
      <c r="AG210" s="21" t="n">
        <v>0</v>
      </c>
      <c r="AH210" s="21" t="n">
        <v>0</v>
      </c>
      <c r="AI210" s="21" t="n">
        <v>0</v>
      </c>
      <c r="AJ210" s="21" t="n">
        <v>0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19" t="n"/>
    </row>
    <row r="211">
      <c r="D211" s="21">
        <f>-$B$18</f>
        <v/>
      </c>
      <c r="E211" s="21">
        <f>-$B$19</f>
        <v/>
      </c>
      <c r="F211" s="21">
        <f>2*$B$18+$D$188</f>
        <v/>
      </c>
      <c r="G211" s="21">
        <f>0</f>
        <v/>
      </c>
      <c r="H211" s="21">
        <f>-$B$18</f>
        <v/>
      </c>
      <c r="I211" s="21">
        <f>$B$19</f>
        <v/>
      </c>
      <c r="J211" s="21" t="n">
        <v>0</v>
      </c>
      <c r="K211" s="21" t="n">
        <v>0</v>
      </c>
      <c r="L211" s="21" t="n">
        <v>0</v>
      </c>
      <c r="M211" s="21" t="n">
        <v>0</v>
      </c>
      <c r="N211" s="21" t="n">
        <v>0</v>
      </c>
      <c r="O211" s="21" t="n">
        <v>0</v>
      </c>
      <c r="P211" s="21" t="n">
        <v>0</v>
      </c>
      <c r="Q211" s="21" t="n">
        <v>0</v>
      </c>
      <c r="R211" s="21" t="n">
        <v>0</v>
      </c>
      <c r="S211" s="21" t="n">
        <v>0</v>
      </c>
      <c r="T211" s="21" t="n">
        <v>0</v>
      </c>
      <c r="U211" s="21" t="n">
        <v>0</v>
      </c>
      <c r="V211" s="21" t="n">
        <v>0</v>
      </c>
      <c r="W211" s="21" t="n">
        <v>0</v>
      </c>
      <c r="X211" s="21" t="n">
        <v>0</v>
      </c>
      <c r="Y211" s="21" t="n">
        <v>0</v>
      </c>
      <c r="Z211" s="21" t="n">
        <v>0</v>
      </c>
      <c r="AA211" s="21" t="n">
        <v>0</v>
      </c>
      <c r="AB211" s="21" t="n">
        <v>0</v>
      </c>
      <c r="AC211" s="21" t="n">
        <v>0</v>
      </c>
      <c r="AD211" s="21" t="n">
        <v>0</v>
      </c>
      <c r="AE211" s="21" t="n">
        <v>0</v>
      </c>
      <c r="AF211" s="21" t="n">
        <v>0</v>
      </c>
      <c r="AG211" s="21" t="n">
        <v>0</v>
      </c>
      <c r="AH211" s="21" t="n">
        <v>0</v>
      </c>
      <c r="AI211" s="21" t="n">
        <v>0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19" t="n"/>
    </row>
    <row r="212">
      <c r="D212" s="21">
        <f>$B$19</f>
        <v/>
      </c>
      <c r="E212" s="21">
        <f>$B$21</f>
        <v/>
      </c>
      <c r="F212" s="21">
        <f>0</f>
        <v/>
      </c>
      <c r="G212" s="21">
        <f>2*$B$20</f>
        <v/>
      </c>
      <c r="H212" s="21">
        <f>-$B$19</f>
        <v/>
      </c>
      <c r="I212" s="21">
        <f>$B$21</f>
        <v/>
      </c>
      <c r="J212" s="21" t="n">
        <v>0</v>
      </c>
      <c r="K212" s="21" t="n">
        <v>0</v>
      </c>
      <c r="L212" s="21" t="n">
        <v>0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0</v>
      </c>
      <c r="S212" s="21" t="n">
        <v>0</v>
      </c>
      <c r="T212" s="21" t="n">
        <v>0</v>
      </c>
      <c r="U212" s="21" t="n">
        <v>0</v>
      </c>
      <c r="V212" s="21" t="n">
        <v>0</v>
      </c>
      <c r="W212" s="21" t="n">
        <v>0</v>
      </c>
      <c r="X212" s="21" t="n">
        <v>0</v>
      </c>
      <c r="Y212" s="21" t="n">
        <v>0</v>
      </c>
      <c r="Z212" s="21" t="n">
        <v>0</v>
      </c>
      <c r="AA212" s="21" t="n">
        <v>0</v>
      </c>
      <c r="AB212" s="21" t="n">
        <v>0</v>
      </c>
      <c r="AC212" s="21" t="n">
        <v>0</v>
      </c>
      <c r="AD212" s="21" t="n">
        <v>0</v>
      </c>
      <c r="AE212" s="21" t="n">
        <v>0</v>
      </c>
      <c r="AF212" s="21" t="n">
        <v>0</v>
      </c>
      <c r="AG212" s="21" t="n">
        <v>0</v>
      </c>
      <c r="AH212" s="21" t="n">
        <v>0</v>
      </c>
      <c r="AI212" s="21" t="n">
        <v>0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19" t="n"/>
    </row>
    <row r="213">
      <c r="D213" s="21" t="n">
        <v>0</v>
      </c>
      <c r="E213" s="21" t="n">
        <v>0</v>
      </c>
      <c r="F213" s="21">
        <f>-$B$18</f>
        <v/>
      </c>
      <c r="G213" s="21">
        <f>-$B$19</f>
        <v/>
      </c>
      <c r="H213" s="21">
        <f>2*$B$18+$D$189</f>
        <v/>
      </c>
      <c r="I213" s="21">
        <f>0</f>
        <v/>
      </c>
      <c r="J213" s="21">
        <f>-$B$18</f>
        <v/>
      </c>
      <c r="K213" s="21">
        <f>$B$19</f>
        <v/>
      </c>
      <c r="L213" s="21" t="n">
        <v>0</v>
      </c>
      <c r="M213" s="21" t="n">
        <v>0</v>
      </c>
      <c r="N213" s="21" t="n">
        <v>0</v>
      </c>
      <c r="O213" s="21" t="n">
        <v>0</v>
      </c>
      <c r="P213" s="21" t="n">
        <v>0</v>
      </c>
      <c r="Q213" s="21" t="n">
        <v>0</v>
      </c>
      <c r="R213" s="21" t="n">
        <v>0</v>
      </c>
      <c r="S213" s="21" t="n">
        <v>0</v>
      </c>
      <c r="T213" s="21" t="n">
        <v>0</v>
      </c>
      <c r="U213" s="21" t="n">
        <v>0</v>
      </c>
      <c r="V213" s="21" t="n">
        <v>0</v>
      </c>
      <c r="W213" s="21" t="n">
        <v>0</v>
      </c>
      <c r="X213" s="21" t="n">
        <v>0</v>
      </c>
      <c r="Y213" s="21" t="n">
        <v>0</v>
      </c>
      <c r="Z213" s="21" t="n">
        <v>0</v>
      </c>
      <c r="AA213" s="21" t="n">
        <v>0</v>
      </c>
      <c r="AB213" s="21" t="n">
        <v>0</v>
      </c>
      <c r="AC213" s="21" t="n">
        <v>0</v>
      </c>
      <c r="AD213" s="21" t="n">
        <v>0</v>
      </c>
      <c r="AE213" s="21" t="n">
        <v>0</v>
      </c>
      <c r="AF213" s="21" t="n">
        <v>0</v>
      </c>
      <c r="AG213" s="21" t="n">
        <v>0</v>
      </c>
      <c r="AH213" s="21" t="n">
        <v>0</v>
      </c>
      <c r="AI213" s="21" t="n">
        <v>0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19" t="n"/>
    </row>
    <row r="214">
      <c r="D214" s="21" t="n">
        <v>0</v>
      </c>
      <c r="E214" s="21" t="n">
        <v>0</v>
      </c>
      <c r="F214" s="21">
        <f>$B$19</f>
        <v/>
      </c>
      <c r="G214" s="21">
        <f>$B$21</f>
        <v/>
      </c>
      <c r="H214" s="21">
        <f>0</f>
        <v/>
      </c>
      <c r="I214" s="21">
        <f>2*$B$20</f>
        <v/>
      </c>
      <c r="J214" s="21">
        <f>-$B$19</f>
        <v/>
      </c>
      <c r="K214" s="21">
        <f>$B$21</f>
        <v/>
      </c>
      <c r="L214" s="21" t="n">
        <v>0</v>
      </c>
      <c r="M214" s="21" t="n">
        <v>0</v>
      </c>
      <c r="N214" s="21" t="n">
        <v>0</v>
      </c>
      <c r="O214" s="21" t="n">
        <v>0</v>
      </c>
      <c r="P214" s="21" t="n">
        <v>0</v>
      </c>
      <c r="Q214" s="21" t="n">
        <v>0</v>
      </c>
      <c r="R214" s="21" t="n">
        <v>0</v>
      </c>
      <c r="S214" s="21" t="n">
        <v>0</v>
      </c>
      <c r="T214" s="21" t="n">
        <v>0</v>
      </c>
      <c r="U214" s="21" t="n">
        <v>0</v>
      </c>
      <c r="V214" s="21" t="n">
        <v>0</v>
      </c>
      <c r="W214" s="21" t="n">
        <v>0</v>
      </c>
      <c r="X214" s="21" t="n">
        <v>0</v>
      </c>
      <c r="Y214" s="21" t="n">
        <v>0</v>
      </c>
      <c r="Z214" s="21" t="n">
        <v>0</v>
      </c>
      <c r="AA214" s="21" t="n">
        <v>0</v>
      </c>
      <c r="AB214" s="21" t="n">
        <v>0</v>
      </c>
      <c r="AC214" s="21" t="n">
        <v>0</v>
      </c>
      <c r="AD214" s="21" t="n">
        <v>0</v>
      </c>
      <c r="AE214" s="21" t="n">
        <v>0</v>
      </c>
      <c r="AF214" s="21" t="n">
        <v>0</v>
      </c>
      <c r="AG214" s="21" t="n">
        <v>0</v>
      </c>
      <c r="AH214" s="21" t="n">
        <v>0</v>
      </c>
      <c r="AI214" s="21" t="n">
        <v>0</v>
      </c>
      <c r="AJ214" s="21" t="n">
        <v>0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19" t="n"/>
    </row>
    <row r="215">
      <c r="D215" s="21" t="n">
        <v>0</v>
      </c>
      <c r="E215" s="21" t="n">
        <v>0</v>
      </c>
      <c r="F215" s="21" t="n">
        <v>0</v>
      </c>
      <c r="G215" s="21" t="n">
        <v>0</v>
      </c>
      <c r="H215" s="21">
        <f>-$B$18</f>
        <v/>
      </c>
      <c r="I215" s="21">
        <f>-$B$19</f>
        <v/>
      </c>
      <c r="J215" s="21">
        <f>2*$B$18+$D$190</f>
        <v/>
      </c>
      <c r="K215" s="21">
        <f>0</f>
        <v/>
      </c>
      <c r="L215" s="21">
        <f>-$B$18</f>
        <v/>
      </c>
      <c r="M215" s="21">
        <f>$B$19</f>
        <v/>
      </c>
      <c r="N215" s="21" t="n">
        <v>0</v>
      </c>
      <c r="O215" s="21" t="n">
        <v>0</v>
      </c>
      <c r="P215" s="21" t="n">
        <v>0</v>
      </c>
      <c r="Q215" s="21" t="n">
        <v>0</v>
      </c>
      <c r="R215" s="21" t="n">
        <v>0</v>
      </c>
      <c r="S215" s="21" t="n">
        <v>0</v>
      </c>
      <c r="T215" s="21" t="n">
        <v>0</v>
      </c>
      <c r="U215" s="21" t="n">
        <v>0</v>
      </c>
      <c r="V215" s="21" t="n">
        <v>0</v>
      </c>
      <c r="W215" s="21" t="n">
        <v>0</v>
      </c>
      <c r="X215" s="21" t="n">
        <v>0</v>
      </c>
      <c r="Y215" s="21" t="n">
        <v>0</v>
      </c>
      <c r="Z215" s="21" t="n">
        <v>0</v>
      </c>
      <c r="AA215" s="21" t="n">
        <v>0</v>
      </c>
      <c r="AB215" s="21" t="n">
        <v>0</v>
      </c>
      <c r="AC215" s="21" t="n">
        <v>0</v>
      </c>
      <c r="AD215" s="21" t="n">
        <v>0</v>
      </c>
      <c r="AE215" s="21" t="n">
        <v>0</v>
      </c>
      <c r="AF215" s="21" t="n">
        <v>0</v>
      </c>
      <c r="AG215" s="21" t="n">
        <v>0</v>
      </c>
      <c r="AH215" s="21" t="n">
        <v>0</v>
      </c>
      <c r="AI215" s="21" t="n">
        <v>0</v>
      </c>
      <c r="AJ215" s="21" t="n">
        <v>0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19" t="n"/>
    </row>
    <row r="216">
      <c r="D216" s="21" t="n">
        <v>0</v>
      </c>
      <c r="E216" s="21" t="n">
        <v>0</v>
      </c>
      <c r="F216" s="21" t="n">
        <v>0</v>
      </c>
      <c r="G216" s="21" t="n">
        <v>0</v>
      </c>
      <c r="H216" s="21">
        <f>$B$19</f>
        <v/>
      </c>
      <c r="I216" s="21">
        <f>$B$21</f>
        <v/>
      </c>
      <c r="J216" s="21">
        <f>0</f>
        <v/>
      </c>
      <c r="K216" s="21">
        <f>2*$B$20</f>
        <v/>
      </c>
      <c r="L216" s="21">
        <f>-$B$19</f>
        <v/>
      </c>
      <c r="M216" s="21">
        <f>$B$21</f>
        <v/>
      </c>
      <c r="N216" s="21" t="n">
        <v>0</v>
      </c>
      <c r="O216" s="21" t="n">
        <v>0</v>
      </c>
      <c r="P216" s="21" t="n">
        <v>0</v>
      </c>
      <c r="Q216" s="21" t="n">
        <v>0</v>
      </c>
      <c r="R216" s="21" t="n">
        <v>0</v>
      </c>
      <c r="S216" s="21" t="n">
        <v>0</v>
      </c>
      <c r="T216" s="21" t="n">
        <v>0</v>
      </c>
      <c r="U216" s="21" t="n">
        <v>0</v>
      </c>
      <c r="V216" s="21" t="n">
        <v>0</v>
      </c>
      <c r="W216" s="21" t="n">
        <v>0</v>
      </c>
      <c r="X216" s="21" t="n">
        <v>0</v>
      </c>
      <c r="Y216" s="21" t="n">
        <v>0</v>
      </c>
      <c r="Z216" s="21" t="n">
        <v>0</v>
      </c>
      <c r="AA216" s="21" t="n">
        <v>0</v>
      </c>
      <c r="AB216" s="21" t="n">
        <v>0</v>
      </c>
      <c r="AC216" s="21" t="n">
        <v>0</v>
      </c>
      <c r="AD216" s="21" t="n">
        <v>0</v>
      </c>
      <c r="AE216" s="21" t="n">
        <v>0</v>
      </c>
      <c r="AF216" s="21" t="n">
        <v>0</v>
      </c>
      <c r="AG216" s="21" t="n">
        <v>0</v>
      </c>
      <c r="AH216" s="21" t="n">
        <v>0</v>
      </c>
      <c r="AI216" s="21" t="n">
        <v>0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19" t="n"/>
    </row>
    <row r="217">
      <c r="D217" s="21" t="n">
        <v>0</v>
      </c>
      <c r="E217" s="21" t="n">
        <v>0</v>
      </c>
      <c r="F217" s="21" t="n">
        <v>0</v>
      </c>
      <c r="G217" s="21" t="n">
        <v>0</v>
      </c>
      <c r="H217" s="21" t="n">
        <v>0</v>
      </c>
      <c r="I217" s="21" t="n">
        <v>0</v>
      </c>
      <c r="J217" s="21">
        <f>-$B$18</f>
        <v/>
      </c>
      <c r="K217" s="21">
        <f>-$B$19</f>
        <v/>
      </c>
      <c r="L217" s="21">
        <f>2*$B$18+$D$191</f>
        <v/>
      </c>
      <c r="M217" s="21">
        <f>0</f>
        <v/>
      </c>
      <c r="N217" s="21">
        <f>-$B$18</f>
        <v/>
      </c>
      <c r="O217" s="21">
        <f>$B$19</f>
        <v/>
      </c>
      <c r="P217" s="21" t="n">
        <v>0</v>
      </c>
      <c r="Q217" s="21" t="n">
        <v>0</v>
      </c>
      <c r="R217" s="21" t="n">
        <v>0</v>
      </c>
      <c r="S217" s="21" t="n">
        <v>0</v>
      </c>
      <c r="T217" s="21" t="n">
        <v>0</v>
      </c>
      <c r="U217" s="21" t="n">
        <v>0</v>
      </c>
      <c r="V217" s="21" t="n">
        <v>0</v>
      </c>
      <c r="W217" s="21" t="n">
        <v>0</v>
      </c>
      <c r="X217" s="21" t="n">
        <v>0</v>
      </c>
      <c r="Y217" s="21" t="n">
        <v>0</v>
      </c>
      <c r="Z217" s="21" t="n">
        <v>0</v>
      </c>
      <c r="AA217" s="21" t="n">
        <v>0</v>
      </c>
      <c r="AB217" s="21" t="n">
        <v>0</v>
      </c>
      <c r="AC217" s="21" t="n">
        <v>0</v>
      </c>
      <c r="AD217" s="21" t="n">
        <v>0</v>
      </c>
      <c r="AE217" s="21" t="n">
        <v>0</v>
      </c>
      <c r="AF217" s="21" t="n">
        <v>0</v>
      </c>
      <c r="AG217" s="21" t="n">
        <v>0</v>
      </c>
      <c r="AH217" s="21" t="n">
        <v>0</v>
      </c>
      <c r="AI217" s="21" t="n">
        <v>0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19" t="n"/>
    </row>
    <row r="218">
      <c r="D218" s="21" t="n">
        <v>0</v>
      </c>
      <c r="E218" s="21" t="n">
        <v>0</v>
      </c>
      <c r="F218" s="21" t="n">
        <v>0</v>
      </c>
      <c r="G218" s="21" t="n">
        <v>0</v>
      </c>
      <c r="H218" s="21" t="n">
        <v>0</v>
      </c>
      <c r="I218" s="21" t="n">
        <v>0</v>
      </c>
      <c r="J218" s="21">
        <f>$B$19</f>
        <v/>
      </c>
      <c r="K218" s="21">
        <f>$B$21</f>
        <v/>
      </c>
      <c r="L218" s="21">
        <f>0</f>
        <v/>
      </c>
      <c r="M218" s="21">
        <f>2*$B$20</f>
        <v/>
      </c>
      <c r="N218" s="21">
        <f>-$B$19</f>
        <v/>
      </c>
      <c r="O218" s="21">
        <f>$B$21</f>
        <v/>
      </c>
      <c r="P218" s="21" t="n">
        <v>0</v>
      </c>
      <c r="Q218" s="21" t="n">
        <v>0</v>
      </c>
      <c r="R218" s="21" t="n">
        <v>0</v>
      </c>
      <c r="S218" s="21" t="n">
        <v>0</v>
      </c>
      <c r="T218" s="21" t="n">
        <v>0</v>
      </c>
      <c r="U218" s="21" t="n">
        <v>0</v>
      </c>
      <c r="V218" s="21" t="n">
        <v>0</v>
      </c>
      <c r="W218" s="21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0</v>
      </c>
      <c r="AG218" s="21" t="n">
        <v>0</v>
      </c>
      <c r="AH218" s="21" t="n">
        <v>0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19" t="n"/>
    </row>
    <row r="219">
      <c r="D219" s="21" t="n">
        <v>0</v>
      </c>
      <c r="E219" s="21" t="n">
        <v>0</v>
      </c>
      <c r="F219" s="21" t="n">
        <v>0</v>
      </c>
      <c r="G219" s="21" t="n">
        <v>0</v>
      </c>
      <c r="H219" s="21" t="n">
        <v>0</v>
      </c>
      <c r="I219" s="21" t="n">
        <v>0</v>
      </c>
      <c r="J219" s="21" t="n">
        <v>0</v>
      </c>
      <c r="K219" s="21" t="n">
        <v>0</v>
      </c>
      <c r="L219" s="21">
        <f>-$B$18</f>
        <v/>
      </c>
      <c r="M219" s="21">
        <f>-$B$19</f>
        <v/>
      </c>
      <c r="N219" s="21">
        <f>2*$B$18+$D$192</f>
        <v/>
      </c>
      <c r="O219" s="21">
        <f>0</f>
        <v/>
      </c>
      <c r="P219" s="21">
        <f>-$B$18</f>
        <v/>
      </c>
      <c r="Q219" s="21">
        <f>$B$19</f>
        <v/>
      </c>
      <c r="R219" s="21" t="n">
        <v>0</v>
      </c>
      <c r="S219" s="21" t="n">
        <v>0</v>
      </c>
      <c r="T219" s="21" t="n">
        <v>0</v>
      </c>
      <c r="U219" s="21" t="n">
        <v>0</v>
      </c>
      <c r="V219" s="21" t="n">
        <v>0</v>
      </c>
      <c r="W219" s="21" t="n">
        <v>0</v>
      </c>
      <c r="X219" s="21" t="n">
        <v>0</v>
      </c>
      <c r="Y219" s="21" t="n">
        <v>0</v>
      </c>
      <c r="Z219" s="21" t="n">
        <v>0</v>
      </c>
      <c r="AA219" s="21" t="n">
        <v>0</v>
      </c>
      <c r="AB219" s="21" t="n">
        <v>0</v>
      </c>
      <c r="AC219" s="21" t="n">
        <v>0</v>
      </c>
      <c r="AD219" s="21" t="n">
        <v>0</v>
      </c>
      <c r="AE219" s="21" t="n">
        <v>0</v>
      </c>
      <c r="AF219" s="21" t="n">
        <v>0</v>
      </c>
      <c r="AG219" s="21" t="n">
        <v>0</v>
      </c>
      <c r="AH219" s="21" t="n">
        <v>0</v>
      </c>
      <c r="AI219" s="21" t="n">
        <v>0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19" t="n"/>
    </row>
    <row r="220"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0</v>
      </c>
      <c r="I220" s="21" t="n">
        <v>0</v>
      </c>
      <c r="J220" s="21" t="n">
        <v>0</v>
      </c>
      <c r="K220" s="21" t="n">
        <v>0</v>
      </c>
      <c r="L220" s="21">
        <f>$B$19</f>
        <v/>
      </c>
      <c r="M220" s="21">
        <f>$B$21</f>
        <v/>
      </c>
      <c r="N220" s="21">
        <f>0</f>
        <v/>
      </c>
      <c r="O220" s="21">
        <f>2*$B$20</f>
        <v/>
      </c>
      <c r="P220" s="21">
        <f>-$B$19</f>
        <v/>
      </c>
      <c r="Q220" s="21">
        <f>$B$21</f>
        <v/>
      </c>
      <c r="R220" s="21" t="n">
        <v>0</v>
      </c>
      <c r="S220" s="21" t="n">
        <v>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0</v>
      </c>
      <c r="AF220" s="21" t="n">
        <v>0</v>
      </c>
      <c r="AG220" s="21" t="n">
        <v>0</v>
      </c>
      <c r="AH220" s="21" t="n">
        <v>0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19" t="n"/>
    </row>
    <row r="221">
      <c r="D221" s="21" t="n">
        <v>0</v>
      </c>
      <c r="E221" s="21" t="n">
        <v>0</v>
      </c>
      <c r="F221" s="21" t="n">
        <v>0</v>
      </c>
      <c r="G221" s="21" t="n">
        <v>0</v>
      </c>
      <c r="H221" s="21" t="n">
        <v>0</v>
      </c>
      <c r="I221" s="21" t="n">
        <v>0</v>
      </c>
      <c r="J221" s="21" t="n">
        <v>0</v>
      </c>
      <c r="K221" s="21" t="n">
        <v>0</v>
      </c>
      <c r="L221" s="21" t="n">
        <v>0</v>
      </c>
      <c r="M221" s="21" t="n">
        <v>0</v>
      </c>
      <c r="N221" s="21">
        <f>-$B$18</f>
        <v/>
      </c>
      <c r="O221" s="21">
        <f>-$B$19</f>
        <v/>
      </c>
      <c r="P221" s="21">
        <f>2*$B$18+$D$193</f>
        <v/>
      </c>
      <c r="Q221" s="21">
        <f>0</f>
        <v/>
      </c>
      <c r="R221" s="21">
        <f>-$B$18</f>
        <v/>
      </c>
      <c r="S221" s="21">
        <f>$B$19</f>
        <v/>
      </c>
      <c r="T221" s="21" t="n">
        <v>0</v>
      </c>
      <c r="U221" s="21" t="n">
        <v>0</v>
      </c>
      <c r="V221" s="21" t="n">
        <v>0</v>
      </c>
      <c r="W221" s="21" t="n">
        <v>0</v>
      </c>
      <c r="X221" s="21" t="n">
        <v>0</v>
      </c>
      <c r="Y221" s="21" t="n">
        <v>0</v>
      </c>
      <c r="Z221" s="21" t="n">
        <v>0</v>
      </c>
      <c r="AA221" s="21" t="n">
        <v>0</v>
      </c>
      <c r="AB221" s="21" t="n">
        <v>0</v>
      </c>
      <c r="AC221" s="21" t="n">
        <v>0</v>
      </c>
      <c r="AD221" s="21" t="n">
        <v>0</v>
      </c>
      <c r="AE221" s="21" t="n">
        <v>0</v>
      </c>
      <c r="AF221" s="21" t="n">
        <v>0</v>
      </c>
      <c r="AG221" s="21" t="n">
        <v>0</v>
      </c>
      <c r="AH221" s="21" t="n">
        <v>0</v>
      </c>
      <c r="AI221" s="21" t="n">
        <v>0</v>
      </c>
      <c r="AJ221" s="21" t="n">
        <v>0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19" t="n"/>
    </row>
    <row r="222"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0</v>
      </c>
      <c r="I222" s="21" t="n">
        <v>0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>
        <f>$B$19</f>
        <v/>
      </c>
      <c r="O222" s="21">
        <f>$B$21</f>
        <v/>
      </c>
      <c r="P222" s="21">
        <f>0</f>
        <v/>
      </c>
      <c r="Q222" s="21">
        <f>2*$B$20</f>
        <v/>
      </c>
      <c r="R222" s="21">
        <f>-$B$19</f>
        <v/>
      </c>
      <c r="S222" s="21">
        <f>$B$21</f>
        <v/>
      </c>
      <c r="T222" s="21" t="n">
        <v>0</v>
      </c>
      <c r="U222" s="21" t="n">
        <v>0</v>
      </c>
      <c r="V222" s="21" t="n">
        <v>0</v>
      </c>
      <c r="W222" s="21" t="n">
        <v>0</v>
      </c>
      <c r="X222" s="21" t="n">
        <v>0</v>
      </c>
      <c r="Y222" s="21" t="n">
        <v>0</v>
      </c>
      <c r="Z222" s="21" t="n">
        <v>0</v>
      </c>
      <c r="AA222" s="21" t="n">
        <v>0</v>
      </c>
      <c r="AB222" s="21" t="n">
        <v>0</v>
      </c>
      <c r="AC222" s="21" t="n">
        <v>0</v>
      </c>
      <c r="AD222" s="21" t="n">
        <v>0</v>
      </c>
      <c r="AE222" s="21" t="n">
        <v>0</v>
      </c>
      <c r="AF222" s="21" t="n">
        <v>0</v>
      </c>
      <c r="AG222" s="21" t="n">
        <v>0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19" t="n"/>
    </row>
    <row r="223">
      <c r="D223" s="21" t="n">
        <v>0</v>
      </c>
      <c r="E223" s="21" t="n">
        <v>0</v>
      </c>
      <c r="F223" s="21" t="n">
        <v>0</v>
      </c>
      <c r="G223" s="21" t="n">
        <v>0</v>
      </c>
      <c r="H223" s="21" t="n">
        <v>0</v>
      </c>
      <c r="I223" s="21" t="n">
        <v>0</v>
      </c>
      <c r="J223" s="21" t="n">
        <v>0</v>
      </c>
      <c r="K223" s="21" t="n">
        <v>0</v>
      </c>
      <c r="L223" s="21" t="n">
        <v>0</v>
      </c>
      <c r="M223" s="21" t="n">
        <v>0</v>
      </c>
      <c r="N223" s="21" t="n">
        <v>0</v>
      </c>
      <c r="O223" s="21" t="n">
        <v>0</v>
      </c>
      <c r="P223" s="21">
        <f>-$B$18</f>
        <v/>
      </c>
      <c r="Q223" s="21">
        <f>-$B$19</f>
        <v/>
      </c>
      <c r="R223" s="21">
        <f>2*$B$18+$D$194</f>
        <v/>
      </c>
      <c r="S223" s="21">
        <f>0</f>
        <v/>
      </c>
      <c r="T223" s="21">
        <f>-$B$18</f>
        <v/>
      </c>
      <c r="U223" s="21">
        <f>$B$19</f>
        <v/>
      </c>
      <c r="V223" s="21" t="n">
        <v>0</v>
      </c>
      <c r="W223" s="21" t="n">
        <v>0</v>
      </c>
      <c r="X223" s="21" t="n">
        <v>0</v>
      </c>
      <c r="Y223" s="21" t="n">
        <v>0</v>
      </c>
      <c r="Z223" s="21" t="n">
        <v>0</v>
      </c>
      <c r="AA223" s="21" t="n">
        <v>0</v>
      </c>
      <c r="AB223" s="21" t="n">
        <v>0</v>
      </c>
      <c r="AC223" s="21" t="n">
        <v>0</v>
      </c>
      <c r="AD223" s="21" t="n">
        <v>0</v>
      </c>
      <c r="AE223" s="21" t="n">
        <v>0</v>
      </c>
      <c r="AF223" s="21" t="n">
        <v>0</v>
      </c>
      <c r="AG223" s="21" t="n">
        <v>0</v>
      </c>
      <c r="AH223" s="21" t="n">
        <v>0</v>
      </c>
      <c r="AI223" s="21" t="n">
        <v>0</v>
      </c>
      <c r="AJ223" s="21" t="n">
        <v>0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19" t="n"/>
    </row>
    <row r="224"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0</v>
      </c>
      <c r="I224" s="21" t="n">
        <v>0</v>
      </c>
      <c r="J224" s="21" t="n">
        <v>0</v>
      </c>
      <c r="K224" s="21" t="n">
        <v>0</v>
      </c>
      <c r="L224" s="21" t="n">
        <v>0</v>
      </c>
      <c r="M224" s="21" t="n">
        <v>0</v>
      </c>
      <c r="N224" s="21" t="n">
        <v>0</v>
      </c>
      <c r="O224" s="21" t="n">
        <v>0</v>
      </c>
      <c r="P224" s="21">
        <f>$B$19</f>
        <v/>
      </c>
      <c r="Q224" s="21">
        <f>$B$21</f>
        <v/>
      </c>
      <c r="R224" s="21">
        <f>0</f>
        <v/>
      </c>
      <c r="S224" s="21">
        <f>2*$B$20</f>
        <v/>
      </c>
      <c r="T224" s="21">
        <f>-$B$19</f>
        <v/>
      </c>
      <c r="U224" s="21">
        <f>$B$21</f>
        <v/>
      </c>
      <c r="V224" s="21" t="n">
        <v>0</v>
      </c>
      <c r="W224" s="21" t="n">
        <v>0</v>
      </c>
      <c r="X224" s="21" t="n">
        <v>0</v>
      </c>
      <c r="Y224" s="21" t="n">
        <v>0</v>
      </c>
      <c r="Z224" s="21" t="n">
        <v>0</v>
      </c>
      <c r="AA224" s="21" t="n">
        <v>0</v>
      </c>
      <c r="AB224" s="21" t="n">
        <v>0</v>
      </c>
      <c r="AC224" s="21" t="n">
        <v>0</v>
      </c>
      <c r="AD224" s="21" t="n">
        <v>0</v>
      </c>
      <c r="AE224" s="21" t="n">
        <v>0</v>
      </c>
      <c r="AF224" s="21" t="n">
        <v>0</v>
      </c>
      <c r="AG224" s="21" t="n">
        <v>0</v>
      </c>
      <c r="AH224" s="21" t="n">
        <v>0</v>
      </c>
      <c r="AI224" s="21" t="n">
        <v>0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19" t="n"/>
    </row>
    <row r="225">
      <c r="D225" s="21" t="n">
        <v>0</v>
      </c>
      <c r="E225" s="21" t="n">
        <v>0</v>
      </c>
      <c r="F225" s="21" t="n">
        <v>0</v>
      </c>
      <c r="G225" s="21" t="n">
        <v>0</v>
      </c>
      <c r="H225" s="21" t="n">
        <v>0</v>
      </c>
      <c r="I225" s="21" t="n">
        <v>0</v>
      </c>
      <c r="J225" s="21" t="n">
        <v>0</v>
      </c>
      <c r="K225" s="21" t="n">
        <v>0</v>
      </c>
      <c r="L225" s="21" t="n">
        <v>0</v>
      </c>
      <c r="M225" s="21" t="n">
        <v>0</v>
      </c>
      <c r="N225" s="21" t="n">
        <v>0</v>
      </c>
      <c r="O225" s="21" t="n">
        <v>0</v>
      </c>
      <c r="P225" s="21" t="n">
        <v>0</v>
      </c>
      <c r="Q225" s="21" t="n">
        <v>0</v>
      </c>
      <c r="R225" s="21">
        <f>-$B$18</f>
        <v/>
      </c>
      <c r="S225" s="21">
        <f>-$B$19</f>
        <v/>
      </c>
      <c r="T225" s="21">
        <f>2*$B$18+$D$195</f>
        <v/>
      </c>
      <c r="U225" s="21">
        <f>0</f>
        <v/>
      </c>
      <c r="V225" s="21">
        <f>-$B$18</f>
        <v/>
      </c>
      <c r="W225" s="21">
        <f>$B$19</f>
        <v/>
      </c>
      <c r="X225" s="21" t="n">
        <v>0</v>
      </c>
      <c r="Y225" s="21" t="n">
        <v>0</v>
      </c>
      <c r="Z225" s="21" t="n">
        <v>0</v>
      </c>
      <c r="AA225" s="21" t="n">
        <v>0</v>
      </c>
      <c r="AB225" s="21" t="n">
        <v>0</v>
      </c>
      <c r="AC225" s="21" t="n">
        <v>0</v>
      </c>
      <c r="AD225" s="21" t="n">
        <v>0</v>
      </c>
      <c r="AE225" s="21" t="n">
        <v>0</v>
      </c>
      <c r="AF225" s="21" t="n">
        <v>0</v>
      </c>
      <c r="AG225" s="21" t="n">
        <v>0</v>
      </c>
      <c r="AH225" s="21" t="n">
        <v>0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19" t="n"/>
    </row>
    <row r="226">
      <c r="D226" s="21" t="n">
        <v>0</v>
      </c>
      <c r="E226" s="21" t="n">
        <v>0</v>
      </c>
      <c r="F226" s="21" t="n">
        <v>0</v>
      </c>
      <c r="G226" s="21" t="n">
        <v>0</v>
      </c>
      <c r="H226" s="21" t="n">
        <v>0</v>
      </c>
      <c r="I226" s="21" t="n">
        <v>0</v>
      </c>
      <c r="J226" s="21" t="n">
        <v>0</v>
      </c>
      <c r="K226" s="21" t="n">
        <v>0</v>
      </c>
      <c r="L226" s="21" t="n">
        <v>0</v>
      </c>
      <c r="M226" s="21" t="n">
        <v>0</v>
      </c>
      <c r="N226" s="21" t="n">
        <v>0</v>
      </c>
      <c r="O226" s="21" t="n">
        <v>0</v>
      </c>
      <c r="P226" s="21" t="n">
        <v>0</v>
      </c>
      <c r="Q226" s="21" t="n">
        <v>0</v>
      </c>
      <c r="R226" s="21">
        <f>$B$19</f>
        <v/>
      </c>
      <c r="S226" s="21">
        <f>$B$21</f>
        <v/>
      </c>
      <c r="T226" s="21">
        <f>0</f>
        <v/>
      </c>
      <c r="U226" s="21">
        <f>2*$B$20</f>
        <v/>
      </c>
      <c r="V226" s="21">
        <f>-$B$19</f>
        <v/>
      </c>
      <c r="W226" s="21">
        <f>$B$21</f>
        <v/>
      </c>
      <c r="X226" s="21" t="n">
        <v>0</v>
      </c>
      <c r="Y226" s="21" t="n">
        <v>0</v>
      </c>
      <c r="Z226" s="21" t="n">
        <v>0</v>
      </c>
      <c r="AA226" s="21" t="n">
        <v>0</v>
      </c>
      <c r="AB226" s="21" t="n">
        <v>0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0</v>
      </c>
      <c r="AH226" s="21" t="n">
        <v>0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19" t="n"/>
    </row>
    <row r="227">
      <c r="D227" s="21" t="n">
        <v>0</v>
      </c>
      <c r="E227" s="21" t="n">
        <v>0</v>
      </c>
      <c r="F227" s="21" t="n">
        <v>0</v>
      </c>
      <c r="G227" s="21" t="n">
        <v>0</v>
      </c>
      <c r="H227" s="21" t="n">
        <v>0</v>
      </c>
      <c r="I227" s="21" t="n">
        <v>0</v>
      </c>
      <c r="J227" s="21" t="n">
        <v>0</v>
      </c>
      <c r="K227" s="21" t="n">
        <v>0</v>
      </c>
      <c r="L227" s="21" t="n">
        <v>0</v>
      </c>
      <c r="M227" s="21" t="n">
        <v>0</v>
      </c>
      <c r="N227" s="21" t="n">
        <v>0</v>
      </c>
      <c r="O227" s="21" t="n">
        <v>0</v>
      </c>
      <c r="P227" s="21" t="n">
        <v>0</v>
      </c>
      <c r="Q227" s="21" t="n">
        <v>0</v>
      </c>
      <c r="R227" s="21" t="n">
        <v>0</v>
      </c>
      <c r="S227" s="21" t="n">
        <v>0</v>
      </c>
      <c r="T227" s="21">
        <f>-$B$18</f>
        <v/>
      </c>
      <c r="U227" s="21">
        <f>-$B$19</f>
        <v/>
      </c>
      <c r="V227" s="21">
        <f>2*$B$18+$D$196</f>
        <v/>
      </c>
      <c r="W227" s="21">
        <f>0</f>
        <v/>
      </c>
      <c r="X227" s="21">
        <f>-$B$18</f>
        <v/>
      </c>
      <c r="Y227" s="21">
        <f>$B$19</f>
        <v/>
      </c>
      <c r="Z227" s="21" t="n">
        <v>0</v>
      </c>
      <c r="AA227" s="21" t="n">
        <v>0</v>
      </c>
      <c r="AB227" s="21" t="n">
        <v>0</v>
      </c>
      <c r="AC227" s="21" t="n">
        <v>0</v>
      </c>
      <c r="AD227" s="21" t="n">
        <v>0</v>
      </c>
      <c r="AE227" s="21" t="n">
        <v>0</v>
      </c>
      <c r="AF227" s="21" t="n">
        <v>0</v>
      </c>
      <c r="AG227" s="21" t="n">
        <v>0</v>
      </c>
      <c r="AH227" s="21" t="n">
        <v>0</v>
      </c>
      <c r="AI227" s="21" t="n">
        <v>0</v>
      </c>
      <c r="AJ227" s="21" t="n">
        <v>0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19" t="n"/>
    </row>
    <row r="228"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1" t="n">
        <v>0</v>
      </c>
      <c r="J228" s="21" t="n">
        <v>0</v>
      </c>
      <c r="K228" s="21" t="n">
        <v>0</v>
      </c>
      <c r="L228" s="21" t="n">
        <v>0</v>
      </c>
      <c r="M228" s="21" t="n">
        <v>0</v>
      </c>
      <c r="N228" s="21" t="n">
        <v>0</v>
      </c>
      <c r="O228" s="21" t="n">
        <v>0</v>
      </c>
      <c r="P228" s="21" t="n">
        <v>0</v>
      </c>
      <c r="Q228" s="21" t="n">
        <v>0</v>
      </c>
      <c r="R228" s="21" t="n">
        <v>0</v>
      </c>
      <c r="S228" s="21" t="n">
        <v>0</v>
      </c>
      <c r="T228" s="21">
        <f>$B$19</f>
        <v/>
      </c>
      <c r="U228" s="21">
        <f>$B$21</f>
        <v/>
      </c>
      <c r="V228" s="21">
        <f>0</f>
        <v/>
      </c>
      <c r="W228" s="21">
        <f>2*$B$20</f>
        <v/>
      </c>
      <c r="X228" s="21">
        <f>-$B$19</f>
        <v/>
      </c>
      <c r="Y228" s="21">
        <f>$B$21</f>
        <v/>
      </c>
      <c r="Z228" s="21" t="n">
        <v>0</v>
      </c>
      <c r="AA228" s="21" t="n">
        <v>0</v>
      </c>
      <c r="AB228" s="21" t="n">
        <v>0</v>
      </c>
      <c r="AC228" s="21" t="n">
        <v>0</v>
      </c>
      <c r="AD228" s="21" t="n">
        <v>0</v>
      </c>
      <c r="AE228" s="21" t="n">
        <v>0</v>
      </c>
      <c r="AF228" s="21" t="n">
        <v>0</v>
      </c>
      <c r="AG228" s="21" t="n">
        <v>0</v>
      </c>
      <c r="AH228" s="21" t="n">
        <v>0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19" t="n"/>
    </row>
    <row r="229">
      <c r="D229" s="21" t="n">
        <v>0</v>
      </c>
      <c r="E229" s="21" t="n">
        <v>0</v>
      </c>
      <c r="F229" s="21" t="n">
        <v>0</v>
      </c>
      <c r="G229" s="21" t="n">
        <v>0</v>
      </c>
      <c r="H229" s="21" t="n">
        <v>0</v>
      </c>
      <c r="I229" s="21" t="n">
        <v>0</v>
      </c>
      <c r="J229" s="21" t="n">
        <v>0</v>
      </c>
      <c r="K229" s="21" t="n">
        <v>0</v>
      </c>
      <c r="L229" s="21" t="n">
        <v>0</v>
      </c>
      <c r="M229" s="21" t="n">
        <v>0</v>
      </c>
      <c r="N229" s="21" t="n">
        <v>0</v>
      </c>
      <c r="O229" s="21" t="n">
        <v>0</v>
      </c>
      <c r="P229" s="21" t="n">
        <v>0</v>
      </c>
      <c r="Q229" s="21" t="n">
        <v>0</v>
      </c>
      <c r="R229" s="21" t="n">
        <v>0</v>
      </c>
      <c r="S229" s="21" t="n">
        <v>0</v>
      </c>
      <c r="T229" s="21" t="n">
        <v>0</v>
      </c>
      <c r="U229" s="21" t="n">
        <v>0</v>
      </c>
      <c r="V229" s="21">
        <f>-$B$18</f>
        <v/>
      </c>
      <c r="W229" s="21">
        <f>-$B$19</f>
        <v/>
      </c>
      <c r="X229" s="21">
        <f>2*$B$18+$D$197</f>
        <v/>
      </c>
      <c r="Y229" s="21">
        <f>0</f>
        <v/>
      </c>
      <c r="Z229" s="21">
        <f>-$B$18</f>
        <v/>
      </c>
      <c r="AA229" s="21">
        <f>$B$19</f>
        <v/>
      </c>
      <c r="AB229" s="21" t="n">
        <v>0</v>
      </c>
      <c r="AC229" s="21" t="n">
        <v>0</v>
      </c>
      <c r="AD229" s="21" t="n">
        <v>0</v>
      </c>
      <c r="AE229" s="21" t="n">
        <v>0</v>
      </c>
      <c r="AF229" s="21" t="n">
        <v>0</v>
      </c>
      <c r="AG229" s="21" t="n">
        <v>0</v>
      </c>
      <c r="AH229" s="21" t="n">
        <v>0</v>
      </c>
      <c r="AI229" s="21" t="n">
        <v>0</v>
      </c>
      <c r="AJ229" s="21" t="n">
        <v>0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19" t="n"/>
    </row>
    <row r="230">
      <c r="D230" s="21" t="n">
        <v>0</v>
      </c>
      <c r="E230" s="21" t="n">
        <v>0</v>
      </c>
      <c r="F230" s="21" t="n">
        <v>0</v>
      </c>
      <c r="G230" s="21" t="n">
        <v>0</v>
      </c>
      <c r="H230" s="21" t="n">
        <v>0</v>
      </c>
      <c r="I230" s="21" t="n">
        <v>0</v>
      </c>
      <c r="J230" s="21" t="n">
        <v>0</v>
      </c>
      <c r="K230" s="21" t="n">
        <v>0</v>
      </c>
      <c r="L230" s="21" t="n">
        <v>0</v>
      </c>
      <c r="M230" s="21" t="n">
        <v>0</v>
      </c>
      <c r="N230" s="21" t="n">
        <v>0</v>
      </c>
      <c r="O230" s="21" t="n">
        <v>0</v>
      </c>
      <c r="P230" s="21" t="n">
        <v>0</v>
      </c>
      <c r="Q230" s="21" t="n">
        <v>0</v>
      </c>
      <c r="R230" s="21" t="n">
        <v>0</v>
      </c>
      <c r="S230" s="21" t="n">
        <v>0</v>
      </c>
      <c r="T230" s="21" t="n">
        <v>0</v>
      </c>
      <c r="U230" s="21" t="n">
        <v>0</v>
      </c>
      <c r="V230" s="21">
        <f>$B$19</f>
        <v/>
      </c>
      <c r="W230" s="21">
        <f>$B$21</f>
        <v/>
      </c>
      <c r="X230" s="21">
        <f>0</f>
        <v/>
      </c>
      <c r="Y230" s="21">
        <f>2*$B$20</f>
        <v/>
      </c>
      <c r="Z230" s="21">
        <f>-$B$19</f>
        <v/>
      </c>
      <c r="AA230" s="21">
        <f>$B$21</f>
        <v/>
      </c>
      <c r="AB230" s="21" t="n">
        <v>0</v>
      </c>
      <c r="AC230" s="21" t="n">
        <v>0</v>
      </c>
      <c r="AD230" s="21" t="n">
        <v>0</v>
      </c>
      <c r="AE230" s="21" t="n">
        <v>0</v>
      </c>
      <c r="AF230" s="21" t="n">
        <v>0</v>
      </c>
      <c r="AG230" s="21" t="n">
        <v>0</v>
      </c>
      <c r="AH230" s="21" t="n">
        <v>0</v>
      </c>
      <c r="AI230" s="21" t="n">
        <v>0</v>
      </c>
      <c r="AJ230" s="21" t="n">
        <v>0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19" t="n"/>
    </row>
    <row r="231">
      <c r="D231" s="21" t="n">
        <v>0</v>
      </c>
      <c r="E231" s="21" t="n">
        <v>0</v>
      </c>
      <c r="F231" s="21" t="n">
        <v>0</v>
      </c>
      <c r="G231" s="21" t="n">
        <v>0</v>
      </c>
      <c r="H231" s="21" t="n">
        <v>0</v>
      </c>
      <c r="I231" s="21" t="n">
        <v>0</v>
      </c>
      <c r="J231" s="21" t="n">
        <v>0</v>
      </c>
      <c r="K231" s="21" t="n">
        <v>0</v>
      </c>
      <c r="L231" s="21" t="n">
        <v>0</v>
      </c>
      <c r="M231" s="21" t="n">
        <v>0</v>
      </c>
      <c r="N231" s="21" t="n">
        <v>0</v>
      </c>
      <c r="O231" s="21" t="n">
        <v>0</v>
      </c>
      <c r="P231" s="21" t="n">
        <v>0</v>
      </c>
      <c r="Q231" s="21" t="n">
        <v>0</v>
      </c>
      <c r="R231" s="21" t="n">
        <v>0</v>
      </c>
      <c r="S231" s="21" t="n">
        <v>0</v>
      </c>
      <c r="T231" s="21" t="n">
        <v>0</v>
      </c>
      <c r="U231" s="21" t="n">
        <v>0</v>
      </c>
      <c r="V231" s="21" t="n">
        <v>0</v>
      </c>
      <c r="W231" s="21" t="n">
        <v>0</v>
      </c>
      <c r="X231" s="21">
        <f>-$B$18</f>
        <v/>
      </c>
      <c r="Y231" s="21">
        <f>-$B$19</f>
        <v/>
      </c>
      <c r="Z231" s="21">
        <f>2*$B$18+$D$198</f>
        <v/>
      </c>
      <c r="AA231" s="21">
        <f>0</f>
        <v/>
      </c>
      <c r="AB231" s="21">
        <f>-$B$18</f>
        <v/>
      </c>
      <c r="AC231" s="21">
        <f>$B$19</f>
        <v/>
      </c>
      <c r="AD231" s="21" t="n">
        <v>0</v>
      </c>
      <c r="AE231" s="21" t="n">
        <v>0</v>
      </c>
      <c r="AF231" s="21" t="n">
        <v>0</v>
      </c>
      <c r="AG231" s="21" t="n">
        <v>0</v>
      </c>
      <c r="AH231" s="21" t="n">
        <v>0</v>
      </c>
      <c r="AI231" s="21" t="n">
        <v>0</v>
      </c>
      <c r="AJ231" s="21" t="n">
        <v>0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19" t="n"/>
    </row>
    <row r="232">
      <c r="D232" s="21" t="n">
        <v>0</v>
      </c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>
        <f>$B$19</f>
        <v/>
      </c>
      <c r="Y232" s="21">
        <f>$B$21</f>
        <v/>
      </c>
      <c r="Z232" s="21">
        <f>0</f>
        <v/>
      </c>
      <c r="AA232" s="21">
        <f>2*$B$20</f>
        <v/>
      </c>
      <c r="AB232" s="21">
        <f>-$B$19</f>
        <v/>
      </c>
      <c r="AC232" s="21">
        <f>$B$21</f>
        <v/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19" t="n"/>
    </row>
    <row r="233">
      <c r="D233" s="21" t="n">
        <v>0</v>
      </c>
      <c r="E233" s="21" t="n">
        <v>0</v>
      </c>
      <c r="F233" s="21" t="n">
        <v>0</v>
      </c>
      <c r="G233" s="21" t="n">
        <v>0</v>
      </c>
      <c r="H233" s="21" t="n">
        <v>0</v>
      </c>
      <c r="I233" s="21" t="n">
        <v>0</v>
      </c>
      <c r="J233" s="21" t="n">
        <v>0</v>
      </c>
      <c r="K233" s="21" t="n">
        <v>0</v>
      </c>
      <c r="L233" s="21" t="n">
        <v>0</v>
      </c>
      <c r="M233" s="21" t="n">
        <v>0</v>
      </c>
      <c r="N233" s="21" t="n">
        <v>0</v>
      </c>
      <c r="O233" s="21" t="n">
        <v>0</v>
      </c>
      <c r="P233" s="21" t="n">
        <v>0</v>
      </c>
      <c r="Q233" s="21" t="n">
        <v>0</v>
      </c>
      <c r="R233" s="21" t="n">
        <v>0</v>
      </c>
      <c r="S233" s="21" t="n">
        <v>0</v>
      </c>
      <c r="T233" s="21" t="n">
        <v>0</v>
      </c>
      <c r="U233" s="21" t="n">
        <v>0</v>
      </c>
      <c r="V233" s="21" t="n">
        <v>0</v>
      </c>
      <c r="W233" s="21" t="n">
        <v>0</v>
      </c>
      <c r="X233" s="21" t="n">
        <v>0</v>
      </c>
      <c r="Y233" s="21" t="n">
        <v>0</v>
      </c>
      <c r="Z233" s="21">
        <f>-$B$18</f>
        <v/>
      </c>
      <c r="AA233" s="21">
        <f>-$B$19</f>
        <v/>
      </c>
      <c r="AB233" s="21">
        <f>2*$B$18+$D$199</f>
        <v/>
      </c>
      <c r="AC233" s="21">
        <f>0</f>
        <v/>
      </c>
      <c r="AD233" s="21">
        <f>-$B$18</f>
        <v/>
      </c>
      <c r="AE233" s="21">
        <f>$B$19</f>
        <v/>
      </c>
      <c r="AF233" s="21" t="n">
        <v>0</v>
      </c>
      <c r="AG233" s="21" t="n">
        <v>0</v>
      </c>
      <c r="AH233" s="21" t="n">
        <v>0</v>
      </c>
      <c r="AI233" s="21" t="n">
        <v>0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19" t="n"/>
    </row>
    <row r="234">
      <c r="D234" s="21" t="n">
        <v>0</v>
      </c>
      <c r="E234" s="21" t="n">
        <v>0</v>
      </c>
      <c r="F234" s="21" t="n">
        <v>0</v>
      </c>
      <c r="G234" s="21" t="n">
        <v>0</v>
      </c>
      <c r="H234" s="21" t="n">
        <v>0</v>
      </c>
      <c r="I234" s="21" t="n">
        <v>0</v>
      </c>
      <c r="J234" s="21" t="n">
        <v>0</v>
      </c>
      <c r="K234" s="21" t="n">
        <v>0</v>
      </c>
      <c r="L234" s="21" t="n">
        <v>0</v>
      </c>
      <c r="M234" s="21" t="n">
        <v>0</v>
      </c>
      <c r="N234" s="21" t="n">
        <v>0</v>
      </c>
      <c r="O234" s="21" t="n">
        <v>0</v>
      </c>
      <c r="P234" s="21" t="n">
        <v>0</v>
      </c>
      <c r="Q234" s="21" t="n">
        <v>0</v>
      </c>
      <c r="R234" s="21" t="n">
        <v>0</v>
      </c>
      <c r="S234" s="21" t="n">
        <v>0</v>
      </c>
      <c r="T234" s="21" t="n">
        <v>0</v>
      </c>
      <c r="U234" s="21" t="n">
        <v>0</v>
      </c>
      <c r="V234" s="21" t="n">
        <v>0</v>
      </c>
      <c r="W234" s="21" t="n">
        <v>0</v>
      </c>
      <c r="X234" s="21" t="n">
        <v>0</v>
      </c>
      <c r="Y234" s="21" t="n">
        <v>0</v>
      </c>
      <c r="Z234" s="21">
        <f>$B$19</f>
        <v/>
      </c>
      <c r="AA234" s="21">
        <f>$B$21</f>
        <v/>
      </c>
      <c r="AB234" s="21">
        <f>0</f>
        <v/>
      </c>
      <c r="AC234" s="21">
        <f>2*$B$20</f>
        <v/>
      </c>
      <c r="AD234" s="21">
        <f>-$B$19</f>
        <v/>
      </c>
      <c r="AE234" s="21">
        <f>$B$21</f>
        <v/>
      </c>
      <c r="AF234" s="21" t="n">
        <v>0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19" t="n"/>
    </row>
    <row r="235">
      <c r="D235" s="21" t="n">
        <v>0</v>
      </c>
      <c r="E235" s="21" t="n">
        <v>0</v>
      </c>
      <c r="F235" s="21" t="n">
        <v>0</v>
      </c>
      <c r="G235" s="21" t="n">
        <v>0</v>
      </c>
      <c r="H235" s="21" t="n">
        <v>0</v>
      </c>
      <c r="I235" s="21" t="n">
        <v>0</v>
      </c>
      <c r="J235" s="21" t="n">
        <v>0</v>
      </c>
      <c r="K235" s="21" t="n">
        <v>0</v>
      </c>
      <c r="L235" s="21" t="n">
        <v>0</v>
      </c>
      <c r="M235" s="21" t="n">
        <v>0</v>
      </c>
      <c r="N235" s="21" t="n">
        <v>0</v>
      </c>
      <c r="O235" s="21" t="n">
        <v>0</v>
      </c>
      <c r="P235" s="21" t="n">
        <v>0</v>
      </c>
      <c r="Q235" s="21" t="n">
        <v>0</v>
      </c>
      <c r="R235" s="21" t="n">
        <v>0</v>
      </c>
      <c r="S235" s="21" t="n">
        <v>0</v>
      </c>
      <c r="T235" s="21" t="n">
        <v>0</v>
      </c>
      <c r="U235" s="21" t="n">
        <v>0</v>
      </c>
      <c r="V235" s="21" t="n">
        <v>0</v>
      </c>
      <c r="W235" s="21" t="n">
        <v>0</v>
      </c>
      <c r="X235" s="21" t="n">
        <v>0</v>
      </c>
      <c r="Y235" s="21" t="n">
        <v>0</v>
      </c>
      <c r="Z235" s="21" t="n">
        <v>0</v>
      </c>
      <c r="AA235" s="21" t="n">
        <v>0</v>
      </c>
      <c r="AB235" s="21">
        <f>-$B$18</f>
        <v/>
      </c>
      <c r="AC235" s="21">
        <f>-$B$19</f>
        <v/>
      </c>
      <c r="AD235" s="21">
        <f>2*$B$18+$D$200</f>
        <v/>
      </c>
      <c r="AE235" s="21">
        <f>0</f>
        <v/>
      </c>
      <c r="AF235" s="21">
        <f>-$B$18</f>
        <v/>
      </c>
      <c r="AG235" s="21">
        <f>$B$19</f>
        <v/>
      </c>
      <c r="AH235" s="21" t="n">
        <v>0</v>
      </c>
      <c r="AI235" s="21" t="n">
        <v>0</v>
      </c>
      <c r="AJ235" s="21" t="n">
        <v>0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19" t="n"/>
    </row>
    <row r="236"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0</v>
      </c>
      <c r="I236" s="21" t="n">
        <v>0</v>
      </c>
      <c r="J236" s="21" t="n">
        <v>0</v>
      </c>
      <c r="K236" s="21" t="n">
        <v>0</v>
      </c>
      <c r="L236" s="21" t="n">
        <v>0</v>
      </c>
      <c r="M236" s="21" t="n">
        <v>0</v>
      </c>
      <c r="N236" s="21" t="n">
        <v>0</v>
      </c>
      <c r="O236" s="21" t="n">
        <v>0</v>
      </c>
      <c r="P236" s="21" t="n">
        <v>0</v>
      </c>
      <c r="Q236" s="21" t="n">
        <v>0</v>
      </c>
      <c r="R236" s="21" t="n">
        <v>0</v>
      </c>
      <c r="S236" s="21" t="n">
        <v>0</v>
      </c>
      <c r="T236" s="21" t="n">
        <v>0</v>
      </c>
      <c r="U236" s="21" t="n">
        <v>0</v>
      </c>
      <c r="V236" s="21" t="n">
        <v>0</v>
      </c>
      <c r="W236" s="21" t="n">
        <v>0</v>
      </c>
      <c r="X236" s="21" t="n">
        <v>0</v>
      </c>
      <c r="Y236" s="21" t="n">
        <v>0</v>
      </c>
      <c r="Z236" s="21" t="n">
        <v>0</v>
      </c>
      <c r="AA236" s="21" t="n">
        <v>0</v>
      </c>
      <c r="AB236" s="21">
        <f>$B$19</f>
        <v/>
      </c>
      <c r="AC236" s="21">
        <f>$B$21</f>
        <v/>
      </c>
      <c r="AD236" s="21">
        <f>0</f>
        <v/>
      </c>
      <c r="AE236" s="21">
        <f>2*$B$20</f>
        <v/>
      </c>
      <c r="AF236" s="21">
        <f>-$B$19</f>
        <v/>
      </c>
      <c r="AG236" s="21">
        <f>$B$21</f>
        <v/>
      </c>
      <c r="AH236" s="21" t="n">
        <v>0</v>
      </c>
      <c r="AI236" s="21" t="n">
        <v>0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19" t="n"/>
    </row>
    <row r="237">
      <c r="D237" s="21" t="n">
        <v>0</v>
      </c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>
        <f>-$B$18</f>
        <v/>
      </c>
      <c r="AE237" s="21">
        <f>-$B$19</f>
        <v/>
      </c>
      <c r="AF237" s="21">
        <f>2*$B$18+$D$201</f>
        <v/>
      </c>
      <c r="AG237" s="21">
        <f>0</f>
        <v/>
      </c>
      <c r="AH237" s="21">
        <f>-$B$18</f>
        <v/>
      </c>
      <c r="AI237" s="21">
        <f>$B$19</f>
        <v/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19" t="n"/>
    </row>
    <row r="238"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0</v>
      </c>
      <c r="I238" s="21" t="n">
        <v>0</v>
      </c>
      <c r="J238" s="21" t="n">
        <v>0</v>
      </c>
      <c r="K238" s="21" t="n">
        <v>0</v>
      </c>
      <c r="L238" s="21" t="n">
        <v>0</v>
      </c>
      <c r="M238" s="21" t="n">
        <v>0</v>
      </c>
      <c r="N238" s="21" t="n">
        <v>0</v>
      </c>
      <c r="O238" s="21" t="n">
        <v>0</v>
      </c>
      <c r="P238" s="21" t="n">
        <v>0</v>
      </c>
      <c r="Q238" s="21" t="n">
        <v>0</v>
      </c>
      <c r="R238" s="21" t="n">
        <v>0</v>
      </c>
      <c r="S238" s="21" t="n">
        <v>0</v>
      </c>
      <c r="T238" s="21" t="n">
        <v>0</v>
      </c>
      <c r="U238" s="21" t="n">
        <v>0</v>
      </c>
      <c r="V238" s="21" t="n">
        <v>0</v>
      </c>
      <c r="W238" s="21" t="n">
        <v>0</v>
      </c>
      <c r="X238" s="21" t="n">
        <v>0</v>
      </c>
      <c r="Y238" s="21" t="n">
        <v>0</v>
      </c>
      <c r="Z238" s="21" t="n">
        <v>0</v>
      </c>
      <c r="AA238" s="21" t="n">
        <v>0</v>
      </c>
      <c r="AB238" s="21" t="n">
        <v>0</v>
      </c>
      <c r="AC238" s="21" t="n">
        <v>0</v>
      </c>
      <c r="AD238" s="21">
        <f>$B$19</f>
        <v/>
      </c>
      <c r="AE238" s="21">
        <f>$B$21</f>
        <v/>
      </c>
      <c r="AF238" s="21">
        <f>0</f>
        <v/>
      </c>
      <c r="AG238" s="21">
        <f>2*$B$20</f>
        <v/>
      </c>
      <c r="AH238" s="21">
        <f>-$B$19</f>
        <v/>
      </c>
      <c r="AI238" s="21">
        <f>$B$21</f>
        <v/>
      </c>
      <c r="AJ238" s="21" t="n">
        <v>0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0</v>
      </c>
      <c r="AT238" s="19" t="n"/>
    </row>
    <row r="239">
      <c r="D239" s="21" t="n">
        <v>0</v>
      </c>
      <c r="E239" s="21" t="n">
        <v>0</v>
      </c>
      <c r="F239" s="21" t="n">
        <v>0</v>
      </c>
      <c r="G239" s="21" t="n">
        <v>0</v>
      </c>
      <c r="H239" s="21" t="n">
        <v>0</v>
      </c>
      <c r="I239" s="21" t="n">
        <v>0</v>
      </c>
      <c r="J239" s="21" t="n">
        <v>0</v>
      </c>
      <c r="K239" s="21" t="n">
        <v>0</v>
      </c>
      <c r="L239" s="21" t="n">
        <v>0</v>
      </c>
      <c r="M239" s="21" t="n">
        <v>0</v>
      </c>
      <c r="N239" s="21" t="n">
        <v>0</v>
      </c>
      <c r="O239" s="21" t="n">
        <v>0</v>
      </c>
      <c r="P239" s="21" t="n">
        <v>0</v>
      </c>
      <c r="Q239" s="21" t="n">
        <v>0</v>
      </c>
      <c r="R239" s="21" t="n">
        <v>0</v>
      </c>
      <c r="S239" s="21" t="n">
        <v>0</v>
      </c>
      <c r="T239" s="21" t="n">
        <v>0</v>
      </c>
      <c r="U239" s="21" t="n">
        <v>0</v>
      </c>
      <c r="V239" s="21" t="n">
        <v>0</v>
      </c>
      <c r="W239" s="21" t="n">
        <v>0</v>
      </c>
      <c r="X239" s="21" t="n">
        <v>0</v>
      </c>
      <c r="Y239" s="21" t="n">
        <v>0</v>
      </c>
      <c r="Z239" s="21" t="n">
        <v>0</v>
      </c>
      <c r="AA239" s="21" t="n">
        <v>0</v>
      </c>
      <c r="AB239" s="21" t="n">
        <v>0</v>
      </c>
      <c r="AC239" s="21" t="n">
        <v>0</v>
      </c>
      <c r="AD239" s="21" t="n">
        <v>0</v>
      </c>
      <c r="AE239" s="21" t="n">
        <v>0</v>
      </c>
      <c r="AF239" s="21">
        <f>-$B$18</f>
        <v/>
      </c>
      <c r="AG239" s="21">
        <f>-$B$19</f>
        <v/>
      </c>
      <c r="AH239" s="21">
        <f>2*$B$18+$D$202</f>
        <v/>
      </c>
      <c r="AI239" s="21">
        <f>0</f>
        <v/>
      </c>
      <c r="AJ239" s="21">
        <f>-$B$18</f>
        <v/>
      </c>
      <c r="AK239" s="21">
        <f>$B$19</f>
        <v/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19" t="n"/>
    </row>
    <row r="240"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0</v>
      </c>
      <c r="I240" s="21" t="n">
        <v>0</v>
      </c>
      <c r="J240" s="21" t="n">
        <v>0</v>
      </c>
      <c r="K240" s="21" t="n">
        <v>0</v>
      </c>
      <c r="L240" s="21" t="n">
        <v>0</v>
      </c>
      <c r="M240" s="21" t="n">
        <v>0</v>
      </c>
      <c r="N240" s="21" t="n">
        <v>0</v>
      </c>
      <c r="O240" s="21" t="n">
        <v>0</v>
      </c>
      <c r="P240" s="21" t="n">
        <v>0</v>
      </c>
      <c r="Q240" s="21" t="n">
        <v>0</v>
      </c>
      <c r="R240" s="21" t="n">
        <v>0</v>
      </c>
      <c r="S240" s="21" t="n">
        <v>0</v>
      </c>
      <c r="T240" s="21" t="n">
        <v>0</v>
      </c>
      <c r="U240" s="21" t="n">
        <v>0</v>
      </c>
      <c r="V240" s="21" t="n">
        <v>0</v>
      </c>
      <c r="W240" s="21" t="n">
        <v>0</v>
      </c>
      <c r="X240" s="21" t="n">
        <v>0</v>
      </c>
      <c r="Y240" s="21" t="n">
        <v>0</v>
      </c>
      <c r="Z240" s="21" t="n">
        <v>0</v>
      </c>
      <c r="AA240" s="21" t="n">
        <v>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>
        <f>$B$19</f>
        <v/>
      </c>
      <c r="AG240" s="21">
        <f>$B$21</f>
        <v/>
      </c>
      <c r="AH240" s="21">
        <f>0</f>
        <v/>
      </c>
      <c r="AI240" s="21">
        <f>2*$B$20</f>
        <v/>
      </c>
      <c r="AJ240" s="21">
        <f>-$B$19</f>
        <v/>
      </c>
      <c r="AK240" s="21">
        <f>$B$21</f>
        <v/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19" t="n"/>
    </row>
    <row r="241">
      <c r="D241" s="21" t="n">
        <v>0</v>
      </c>
      <c r="E241" s="21" t="n">
        <v>0</v>
      </c>
      <c r="F241" s="21" t="n">
        <v>0</v>
      </c>
      <c r="G241" s="21" t="n">
        <v>0</v>
      </c>
      <c r="H241" s="21" t="n">
        <v>0</v>
      </c>
      <c r="I241" s="21" t="n">
        <v>0</v>
      </c>
      <c r="J241" s="21" t="n">
        <v>0</v>
      </c>
      <c r="K241" s="21" t="n">
        <v>0</v>
      </c>
      <c r="L241" s="21" t="n">
        <v>0</v>
      </c>
      <c r="M241" s="21" t="n">
        <v>0</v>
      </c>
      <c r="N241" s="21" t="n">
        <v>0</v>
      </c>
      <c r="O241" s="21" t="n">
        <v>0</v>
      </c>
      <c r="P241" s="21" t="n">
        <v>0</v>
      </c>
      <c r="Q241" s="21" t="n">
        <v>0</v>
      </c>
      <c r="R241" s="21" t="n">
        <v>0</v>
      </c>
      <c r="S241" s="21" t="n">
        <v>0</v>
      </c>
      <c r="T241" s="21" t="n">
        <v>0</v>
      </c>
      <c r="U241" s="21" t="n">
        <v>0</v>
      </c>
      <c r="V241" s="21" t="n">
        <v>0</v>
      </c>
      <c r="W241" s="21" t="n">
        <v>0</v>
      </c>
      <c r="X241" s="21" t="n">
        <v>0</v>
      </c>
      <c r="Y241" s="21" t="n">
        <v>0</v>
      </c>
      <c r="Z241" s="21" t="n">
        <v>0</v>
      </c>
      <c r="AA241" s="21" t="n">
        <v>0</v>
      </c>
      <c r="AB241" s="21" t="n">
        <v>0</v>
      </c>
      <c r="AC241" s="21" t="n">
        <v>0</v>
      </c>
      <c r="AD241" s="21" t="n">
        <v>0</v>
      </c>
      <c r="AE241" s="21" t="n">
        <v>0</v>
      </c>
      <c r="AF241" s="21" t="n">
        <v>0</v>
      </c>
      <c r="AG241" s="21" t="n">
        <v>0</v>
      </c>
      <c r="AH241" s="21">
        <f>-$B$18</f>
        <v/>
      </c>
      <c r="AI241" s="21">
        <f>-$B$19</f>
        <v/>
      </c>
      <c r="AJ241" s="21">
        <f>2*$B$18+$D$203</f>
        <v/>
      </c>
      <c r="AK241" s="21">
        <f>0</f>
        <v/>
      </c>
      <c r="AL241" s="21">
        <f>-$B$18</f>
        <v/>
      </c>
      <c r="AM241" s="21">
        <f>$B$19</f>
        <v/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19" t="n"/>
    </row>
    <row r="242"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0</v>
      </c>
      <c r="I242" s="21" t="n">
        <v>0</v>
      </c>
      <c r="J242" s="21" t="n">
        <v>0</v>
      </c>
      <c r="K242" s="21" t="n">
        <v>0</v>
      </c>
      <c r="L242" s="21" t="n">
        <v>0</v>
      </c>
      <c r="M242" s="21" t="n">
        <v>0</v>
      </c>
      <c r="N242" s="21" t="n">
        <v>0</v>
      </c>
      <c r="O242" s="21" t="n">
        <v>0</v>
      </c>
      <c r="P242" s="21" t="n">
        <v>0</v>
      </c>
      <c r="Q242" s="21" t="n">
        <v>0</v>
      </c>
      <c r="R242" s="21" t="n">
        <v>0</v>
      </c>
      <c r="S242" s="21" t="n">
        <v>0</v>
      </c>
      <c r="T242" s="21" t="n">
        <v>0</v>
      </c>
      <c r="U242" s="21" t="n">
        <v>0</v>
      </c>
      <c r="V242" s="21" t="n">
        <v>0</v>
      </c>
      <c r="W242" s="21" t="n">
        <v>0</v>
      </c>
      <c r="X242" s="21" t="n">
        <v>0</v>
      </c>
      <c r="Y242" s="21" t="n">
        <v>0</v>
      </c>
      <c r="Z242" s="21" t="n">
        <v>0</v>
      </c>
      <c r="AA242" s="21" t="n">
        <v>0</v>
      </c>
      <c r="AB242" s="21" t="n">
        <v>0</v>
      </c>
      <c r="AC242" s="21" t="n">
        <v>0</v>
      </c>
      <c r="AD242" s="21" t="n">
        <v>0</v>
      </c>
      <c r="AE242" s="21" t="n">
        <v>0</v>
      </c>
      <c r="AF242" s="21" t="n">
        <v>0</v>
      </c>
      <c r="AG242" s="21" t="n">
        <v>0</v>
      </c>
      <c r="AH242" s="21">
        <f>$B$19</f>
        <v/>
      </c>
      <c r="AI242" s="21">
        <f>$B$21</f>
        <v/>
      </c>
      <c r="AJ242" s="21">
        <f>0</f>
        <v/>
      </c>
      <c r="AK242" s="21">
        <f>2*$B$20</f>
        <v/>
      </c>
      <c r="AL242" s="21">
        <f>-$B$19</f>
        <v/>
      </c>
      <c r="AM242" s="21">
        <f>$B$21</f>
        <v/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0</v>
      </c>
      <c r="AT242" s="19" t="n"/>
    </row>
    <row r="243">
      <c r="D243" s="21" t="n">
        <v>0</v>
      </c>
      <c r="E243" s="21" t="n">
        <v>0</v>
      </c>
      <c r="F243" s="21" t="n">
        <v>0</v>
      </c>
      <c r="G243" s="21" t="n">
        <v>0</v>
      </c>
      <c r="H243" s="21" t="n">
        <v>0</v>
      </c>
      <c r="I243" s="21" t="n">
        <v>0</v>
      </c>
      <c r="J243" s="21" t="n">
        <v>0</v>
      </c>
      <c r="K243" s="21" t="n">
        <v>0</v>
      </c>
      <c r="L243" s="21" t="n">
        <v>0</v>
      </c>
      <c r="M243" s="21" t="n">
        <v>0</v>
      </c>
      <c r="N243" s="21" t="n">
        <v>0</v>
      </c>
      <c r="O243" s="21" t="n">
        <v>0</v>
      </c>
      <c r="P243" s="21" t="n">
        <v>0</v>
      </c>
      <c r="Q243" s="21" t="n">
        <v>0</v>
      </c>
      <c r="R243" s="21" t="n">
        <v>0</v>
      </c>
      <c r="S243" s="21" t="n">
        <v>0</v>
      </c>
      <c r="T243" s="21" t="n">
        <v>0</v>
      </c>
      <c r="U243" s="21" t="n">
        <v>0</v>
      </c>
      <c r="V243" s="21" t="n">
        <v>0</v>
      </c>
      <c r="W243" s="21" t="n">
        <v>0</v>
      </c>
      <c r="X243" s="21" t="n">
        <v>0</v>
      </c>
      <c r="Y243" s="21" t="n">
        <v>0</v>
      </c>
      <c r="Z243" s="21" t="n">
        <v>0</v>
      </c>
      <c r="AA243" s="21" t="n">
        <v>0</v>
      </c>
      <c r="AB243" s="21" t="n">
        <v>0</v>
      </c>
      <c r="AC243" s="21" t="n">
        <v>0</v>
      </c>
      <c r="AD243" s="21" t="n">
        <v>0</v>
      </c>
      <c r="AE243" s="21" t="n">
        <v>0</v>
      </c>
      <c r="AF243" s="21" t="n">
        <v>0</v>
      </c>
      <c r="AG243" s="21" t="n">
        <v>0</v>
      </c>
      <c r="AH243" s="21" t="n">
        <v>0</v>
      </c>
      <c r="AI243" s="21" t="n">
        <v>0</v>
      </c>
      <c r="AJ243" s="21">
        <f>-$B$18</f>
        <v/>
      </c>
      <c r="AK243" s="21">
        <f>-$B$19</f>
        <v/>
      </c>
      <c r="AL243" s="21">
        <f>2*$B$18+$D$204</f>
        <v/>
      </c>
      <c r="AM243" s="21">
        <f>0</f>
        <v/>
      </c>
      <c r="AN243" s="21">
        <f>-$B$18</f>
        <v/>
      </c>
      <c r="AO243" s="21">
        <f>$B$19</f>
        <v/>
      </c>
      <c r="AP243" s="21" t="n">
        <v>0</v>
      </c>
      <c r="AQ243" s="21" t="n">
        <v>0</v>
      </c>
      <c r="AR243" s="21" t="n">
        <v>0</v>
      </c>
      <c r="AS243" s="21" t="n">
        <v>0</v>
      </c>
      <c r="AT243" s="19" t="n"/>
    </row>
    <row r="244"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1" t="n">
        <v>0</v>
      </c>
      <c r="J244" s="21" t="n">
        <v>0</v>
      </c>
      <c r="K244" s="21" t="n">
        <v>0</v>
      </c>
      <c r="L244" s="21" t="n">
        <v>0</v>
      </c>
      <c r="M244" s="21" t="n">
        <v>0</v>
      </c>
      <c r="N244" s="21" t="n">
        <v>0</v>
      </c>
      <c r="O244" s="21" t="n">
        <v>0</v>
      </c>
      <c r="P244" s="21" t="n">
        <v>0</v>
      </c>
      <c r="Q244" s="21" t="n">
        <v>0</v>
      </c>
      <c r="R244" s="21" t="n">
        <v>0</v>
      </c>
      <c r="S244" s="21" t="n">
        <v>0</v>
      </c>
      <c r="T244" s="21" t="n">
        <v>0</v>
      </c>
      <c r="U244" s="21" t="n">
        <v>0</v>
      </c>
      <c r="V244" s="21" t="n">
        <v>0</v>
      </c>
      <c r="W244" s="21" t="n">
        <v>0</v>
      </c>
      <c r="X244" s="21" t="n">
        <v>0</v>
      </c>
      <c r="Y244" s="21" t="n">
        <v>0</v>
      </c>
      <c r="Z244" s="21" t="n">
        <v>0</v>
      </c>
      <c r="AA244" s="21" t="n">
        <v>0</v>
      </c>
      <c r="AB244" s="21" t="n">
        <v>0</v>
      </c>
      <c r="AC244" s="21" t="n">
        <v>0</v>
      </c>
      <c r="AD244" s="21" t="n">
        <v>0</v>
      </c>
      <c r="AE244" s="21" t="n">
        <v>0</v>
      </c>
      <c r="AF244" s="21" t="n">
        <v>0</v>
      </c>
      <c r="AG244" s="21" t="n">
        <v>0</v>
      </c>
      <c r="AH244" s="21" t="n">
        <v>0</v>
      </c>
      <c r="AI244" s="21" t="n">
        <v>0</v>
      </c>
      <c r="AJ244" s="21">
        <f>$B$19</f>
        <v/>
      </c>
      <c r="AK244" s="21">
        <f>$B$21</f>
        <v/>
      </c>
      <c r="AL244" s="21">
        <f>0</f>
        <v/>
      </c>
      <c r="AM244" s="21">
        <f>2*$B$20</f>
        <v/>
      </c>
      <c r="AN244" s="21">
        <f>-$B$19</f>
        <v/>
      </c>
      <c r="AO244" s="21">
        <f>$B$21</f>
        <v/>
      </c>
      <c r="AP244" s="21" t="n">
        <v>0</v>
      </c>
      <c r="AQ244" s="21" t="n">
        <v>0</v>
      </c>
      <c r="AR244" s="21" t="n">
        <v>0</v>
      </c>
      <c r="AS244" s="21" t="n">
        <v>0</v>
      </c>
      <c r="AT244" s="19" t="n"/>
    </row>
    <row r="245">
      <c r="D245" s="21" t="n">
        <v>0</v>
      </c>
      <c r="E245" s="21" t="n">
        <v>0</v>
      </c>
      <c r="F245" s="21" t="n">
        <v>0</v>
      </c>
      <c r="G245" s="21" t="n">
        <v>0</v>
      </c>
      <c r="H245" s="21" t="n">
        <v>0</v>
      </c>
      <c r="I245" s="21" t="n">
        <v>0</v>
      </c>
      <c r="J245" s="21" t="n">
        <v>0</v>
      </c>
      <c r="K245" s="21" t="n">
        <v>0</v>
      </c>
      <c r="L245" s="21" t="n">
        <v>0</v>
      </c>
      <c r="M245" s="21" t="n">
        <v>0</v>
      </c>
      <c r="N245" s="21" t="n">
        <v>0</v>
      </c>
      <c r="O245" s="21" t="n">
        <v>0</v>
      </c>
      <c r="P245" s="21" t="n">
        <v>0</v>
      </c>
      <c r="Q245" s="21" t="n">
        <v>0</v>
      </c>
      <c r="R245" s="21" t="n">
        <v>0</v>
      </c>
      <c r="S245" s="21" t="n">
        <v>0</v>
      </c>
      <c r="T245" s="21" t="n">
        <v>0</v>
      </c>
      <c r="U245" s="21" t="n">
        <v>0</v>
      </c>
      <c r="V245" s="21" t="n">
        <v>0</v>
      </c>
      <c r="W245" s="21" t="n">
        <v>0</v>
      </c>
      <c r="X245" s="21" t="n">
        <v>0</v>
      </c>
      <c r="Y245" s="21" t="n">
        <v>0</v>
      </c>
      <c r="Z245" s="21" t="n">
        <v>0</v>
      </c>
      <c r="AA245" s="21" t="n">
        <v>0</v>
      </c>
      <c r="AB245" s="21" t="n">
        <v>0</v>
      </c>
      <c r="AC245" s="21" t="n">
        <v>0</v>
      </c>
      <c r="AD245" s="21" t="n">
        <v>0</v>
      </c>
      <c r="AE245" s="21" t="n">
        <v>0</v>
      </c>
      <c r="AF245" s="21" t="n">
        <v>0</v>
      </c>
      <c r="AG245" s="21" t="n">
        <v>0</v>
      </c>
      <c r="AH245" s="21" t="n">
        <v>0</v>
      </c>
      <c r="AI245" s="21" t="n">
        <v>0</v>
      </c>
      <c r="AJ245" s="21" t="n">
        <v>0</v>
      </c>
      <c r="AK245" s="21" t="n">
        <v>0</v>
      </c>
      <c r="AL245" s="21">
        <f>-$B$18</f>
        <v/>
      </c>
      <c r="AM245" s="21">
        <f>-$B$19</f>
        <v/>
      </c>
      <c r="AN245" s="21">
        <f>2*$B$18+$D$205</f>
        <v/>
      </c>
      <c r="AO245" s="21">
        <f>0</f>
        <v/>
      </c>
      <c r="AP245" s="21">
        <f>-$B$18</f>
        <v/>
      </c>
      <c r="AQ245" s="21">
        <f>$B$19</f>
        <v/>
      </c>
      <c r="AR245" s="21" t="n">
        <v>0</v>
      </c>
      <c r="AS245" s="21" t="n">
        <v>0</v>
      </c>
      <c r="AT245" s="19" t="n"/>
    </row>
    <row r="246"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1" t="n">
        <v>0</v>
      </c>
      <c r="J246" s="21" t="n">
        <v>0</v>
      </c>
      <c r="K246" s="21" t="n">
        <v>0</v>
      </c>
      <c r="L246" s="21" t="n">
        <v>0</v>
      </c>
      <c r="M246" s="21" t="n">
        <v>0</v>
      </c>
      <c r="N246" s="21" t="n">
        <v>0</v>
      </c>
      <c r="O246" s="21" t="n">
        <v>0</v>
      </c>
      <c r="P246" s="21" t="n">
        <v>0</v>
      </c>
      <c r="Q246" s="21" t="n">
        <v>0</v>
      </c>
      <c r="R246" s="21" t="n">
        <v>0</v>
      </c>
      <c r="S246" s="21" t="n">
        <v>0</v>
      </c>
      <c r="T246" s="21" t="n">
        <v>0</v>
      </c>
      <c r="U246" s="21" t="n">
        <v>0</v>
      </c>
      <c r="V246" s="21" t="n">
        <v>0</v>
      </c>
      <c r="W246" s="21" t="n">
        <v>0</v>
      </c>
      <c r="X246" s="21" t="n">
        <v>0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0</v>
      </c>
      <c r="AG246" s="21" t="n">
        <v>0</v>
      </c>
      <c r="AH246" s="21" t="n">
        <v>0</v>
      </c>
      <c r="AI246" s="21" t="n">
        <v>0</v>
      </c>
      <c r="AJ246" s="21" t="n">
        <v>0</v>
      </c>
      <c r="AK246" s="21" t="n">
        <v>0</v>
      </c>
      <c r="AL246" s="21">
        <f>$B$19</f>
        <v/>
      </c>
      <c r="AM246" s="21">
        <f>$B$21</f>
        <v/>
      </c>
      <c r="AN246" s="21">
        <f>0</f>
        <v/>
      </c>
      <c r="AO246" s="21">
        <f>2*$B$20</f>
        <v/>
      </c>
      <c r="AP246" s="21">
        <f>-$B$19</f>
        <v/>
      </c>
      <c r="AQ246" s="21">
        <f>$B$21</f>
        <v/>
      </c>
      <c r="AR246" s="21" t="n">
        <v>0</v>
      </c>
      <c r="AS246" s="21" t="n">
        <v>0</v>
      </c>
      <c r="AT246" s="19" t="n"/>
    </row>
    <row r="247">
      <c r="D247" s="21" t="n">
        <v>0</v>
      </c>
      <c r="E247" s="21" t="n">
        <v>0</v>
      </c>
      <c r="F247" s="21" t="n">
        <v>0</v>
      </c>
      <c r="G247" s="21" t="n">
        <v>0</v>
      </c>
      <c r="H247" s="21" t="n">
        <v>0</v>
      </c>
      <c r="I247" s="21" t="n">
        <v>0</v>
      </c>
      <c r="J247" s="21" t="n">
        <v>0</v>
      </c>
      <c r="K247" s="21" t="n">
        <v>0</v>
      </c>
      <c r="L247" s="21" t="n">
        <v>0</v>
      </c>
      <c r="M247" s="21" t="n">
        <v>0</v>
      </c>
      <c r="N247" s="21" t="n">
        <v>0</v>
      </c>
      <c r="O247" s="21" t="n">
        <v>0</v>
      </c>
      <c r="P247" s="21" t="n">
        <v>0</v>
      </c>
      <c r="Q247" s="21" t="n">
        <v>0</v>
      </c>
      <c r="R247" s="21" t="n">
        <v>0</v>
      </c>
      <c r="S247" s="21" t="n">
        <v>0</v>
      </c>
      <c r="T247" s="21" t="n">
        <v>0</v>
      </c>
      <c r="U247" s="21" t="n">
        <v>0</v>
      </c>
      <c r="V247" s="21" t="n">
        <v>0</v>
      </c>
      <c r="W247" s="21" t="n">
        <v>0</v>
      </c>
      <c r="X247" s="21" t="n">
        <v>0</v>
      </c>
      <c r="Y247" s="21" t="n">
        <v>0</v>
      </c>
      <c r="Z247" s="21" t="n">
        <v>0</v>
      </c>
      <c r="AA247" s="21" t="n">
        <v>0</v>
      </c>
      <c r="AB247" s="21" t="n">
        <v>0</v>
      </c>
      <c r="AC247" s="21" t="n">
        <v>0</v>
      </c>
      <c r="AD247" s="21" t="n">
        <v>0</v>
      </c>
      <c r="AE247" s="21" t="n">
        <v>0</v>
      </c>
      <c r="AF247" s="21" t="n">
        <v>0</v>
      </c>
      <c r="AG247" s="21" t="n">
        <v>0</v>
      </c>
      <c r="AH247" s="21" t="n">
        <v>0</v>
      </c>
      <c r="AI247" s="21" t="n">
        <v>0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>
        <f>-$B$18</f>
        <v/>
      </c>
      <c r="AO247" s="21">
        <f>-$B$19</f>
        <v/>
      </c>
      <c r="AP247" s="21">
        <f>2*$B$18+$D$206</f>
        <v/>
      </c>
      <c r="AQ247" s="21">
        <f>0</f>
        <v/>
      </c>
      <c r="AR247" s="21">
        <f>-$B$18</f>
        <v/>
      </c>
      <c r="AS247" s="21">
        <f>$B$19</f>
        <v/>
      </c>
      <c r="AT247" s="19" t="n"/>
    </row>
    <row r="248"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1" t="n">
        <v>0</v>
      </c>
      <c r="J248" s="21" t="n">
        <v>0</v>
      </c>
      <c r="K248" s="21" t="n">
        <v>0</v>
      </c>
      <c r="L248" s="21" t="n">
        <v>0</v>
      </c>
      <c r="M248" s="21" t="n">
        <v>0</v>
      </c>
      <c r="N248" s="21" t="n">
        <v>0</v>
      </c>
      <c r="O248" s="21" t="n">
        <v>0</v>
      </c>
      <c r="P248" s="21" t="n">
        <v>0</v>
      </c>
      <c r="Q248" s="21" t="n">
        <v>0</v>
      </c>
      <c r="R248" s="21" t="n">
        <v>0</v>
      </c>
      <c r="S248" s="21" t="n">
        <v>0</v>
      </c>
      <c r="T248" s="21" t="n">
        <v>0</v>
      </c>
      <c r="U248" s="21" t="n">
        <v>0</v>
      </c>
      <c r="V248" s="21" t="n">
        <v>0</v>
      </c>
      <c r="W248" s="21" t="n">
        <v>0</v>
      </c>
      <c r="X248" s="21" t="n">
        <v>0</v>
      </c>
      <c r="Y248" s="21" t="n">
        <v>0</v>
      </c>
      <c r="Z248" s="21" t="n">
        <v>0</v>
      </c>
      <c r="AA248" s="21" t="n">
        <v>0</v>
      </c>
      <c r="AB248" s="21" t="n">
        <v>0</v>
      </c>
      <c r="AC248" s="21" t="n">
        <v>0</v>
      </c>
      <c r="AD248" s="21" t="n">
        <v>0</v>
      </c>
      <c r="AE248" s="21" t="n">
        <v>0</v>
      </c>
      <c r="AF248" s="21" t="n">
        <v>0</v>
      </c>
      <c r="AG248" s="21" t="n">
        <v>0</v>
      </c>
      <c r="AH248" s="21" t="n">
        <v>0</v>
      </c>
      <c r="AI248" s="21" t="n">
        <v>0</v>
      </c>
      <c r="AJ248" s="21" t="n">
        <v>0</v>
      </c>
      <c r="AK248" s="21" t="n">
        <v>0</v>
      </c>
      <c r="AL248" s="21" t="n">
        <v>0</v>
      </c>
      <c r="AM248" s="21" t="n">
        <v>0</v>
      </c>
      <c r="AN248" s="21">
        <f>$B$19</f>
        <v/>
      </c>
      <c r="AO248" s="21">
        <f>$B$21</f>
        <v/>
      </c>
      <c r="AP248" s="21">
        <f>0</f>
        <v/>
      </c>
      <c r="AQ248" s="21">
        <f>2*$B$20</f>
        <v/>
      </c>
      <c r="AR248" s="21">
        <f>-$B$19</f>
        <v/>
      </c>
      <c r="AS248" s="21">
        <f>$B$21</f>
        <v/>
      </c>
      <c r="AT248" s="19" t="n"/>
    </row>
    <row r="249">
      <c r="D249" s="21" t="n">
        <v>0</v>
      </c>
      <c r="E249" s="21" t="n">
        <v>0</v>
      </c>
      <c r="F249" s="21" t="n">
        <v>0</v>
      </c>
      <c r="G249" s="21" t="n">
        <v>0</v>
      </c>
      <c r="H249" s="21" t="n">
        <v>0</v>
      </c>
      <c r="I249" s="21" t="n">
        <v>0</v>
      </c>
      <c r="J249" s="21" t="n">
        <v>0</v>
      </c>
      <c r="K249" s="21" t="n">
        <v>0</v>
      </c>
      <c r="L249" s="21" t="n">
        <v>0</v>
      </c>
      <c r="M249" s="21" t="n">
        <v>0</v>
      </c>
      <c r="N249" s="21" t="n">
        <v>0</v>
      </c>
      <c r="O249" s="21" t="n">
        <v>0</v>
      </c>
      <c r="P249" s="21" t="n">
        <v>0</v>
      </c>
      <c r="Q249" s="21" t="n">
        <v>0</v>
      </c>
      <c r="R249" s="21" t="n">
        <v>0</v>
      </c>
      <c r="S249" s="21" t="n">
        <v>0</v>
      </c>
      <c r="T249" s="21" t="n">
        <v>0</v>
      </c>
      <c r="U249" s="21" t="n">
        <v>0</v>
      </c>
      <c r="V249" s="21" t="n">
        <v>0</v>
      </c>
      <c r="W249" s="21" t="n">
        <v>0</v>
      </c>
      <c r="X249" s="21" t="n">
        <v>0</v>
      </c>
      <c r="Y249" s="21" t="n">
        <v>0</v>
      </c>
      <c r="Z249" s="21" t="n">
        <v>0</v>
      </c>
      <c r="AA249" s="21" t="n">
        <v>0</v>
      </c>
      <c r="AB249" s="21" t="n">
        <v>0</v>
      </c>
      <c r="AC249" s="21" t="n">
        <v>0</v>
      </c>
      <c r="AD249" s="21" t="n">
        <v>0</v>
      </c>
      <c r="AE249" s="21" t="n">
        <v>0</v>
      </c>
      <c r="AF249" s="21" t="n">
        <v>0</v>
      </c>
      <c r="AG249" s="21" t="n">
        <v>0</v>
      </c>
      <c r="AH249" s="21" t="n">
        <v>0</v>
      </c>
      <c r="AI249" s="21" t="n">
        <v>0</v>
      </c>
      <c r="AJ249" s="21" t="n">
        <v>0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>
        <f>-$B$18</f>
        <v/>
      </c>
      <c r="AQ249" s="21">
        <f>-$B$19</f>
        <v/>
      </c>
      <c r="AR249" s="21">
        <f>$B$18+$D$207</f>
        <v/>
      </c>
      <c r="AS249" s="21">
        <f>-$B$19</f>
        <v/>
      </c>
      <c r="AT249" s="19" t="n"/>
    </row>
    <row r="250"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1" t="n">
        <v>0</v>
      </c>
      <c r="J250" s="21" t="n">
        <v>0</v>
      </c>
      <c r="K250" s="21" t="n">
        <v>0</v>
      </c>
      <c r="L250" s="21" t="n">
        <v>0</v>
      </c>
      <c r="M250" s="21" t="n">
        <v>0</v>
      </c>
      <c r="N250" s="21" t="n">
        <v>0</v>
      </c>
      <c r="O250" s="21" t="n">
        <v>0</v>
      </c>
      <c r="P250" s="21" t="n">
        <v>0</v>
      </c>
      <c r="Q250" s="21" t="n">
        <v>0</v>
      </c>
      <c r="R250" s="21" t="n">
        <v>0</v>
      </c>
      <c r="S250" s="21" t="n">
        <v>0</v>
      </c>
      <c r="T250" s="21" t="n">
        <v>0</v>
      </c>
      <c r="U250" s="21" t="n">
        <v>0</v>
      </c>
      <c r="V250" s="21" t="n">
        <v>0</v>
      </c>
      <c r="W250" s="21" t="n">
        <v>0</v>
      </c>
      <c r="X250" s="21" t="n">
        <v>0</v>
      </c>
      <c r="Y250" s="21" t="n">
        <v>0</v>
      </c>
      <c r="Z250" s="21" t="n">
        <v>0</v>
      </c>
      <c r="AA250" s="21" t="n">
        <v>0</v>
      </c>
      <c r="AB250" s="21" t="n">
        <v>0</v>
      </c>
      <c r="AC250" s="21" t="n">
        <v>0</v>
      </c>
      <c r="AD250" s="21" t="n">
        <v>0</v>
      </c>
      <c r="AE250" s="21" t="n">
        <v>0</v>
      </c>
      <c r="AF250" s="21" t="n">
        <v>0</v>
      </c>
      <c r="AG250" s="21" t="n">
        <v>0</v>
      </c>
      <c r="AH250" s="21" t="n">
        <v>0</v>
      </c>
      <c r="AI250" s="21" t="n">
        <v>0</v>
      </c>
      <c r="AJ250" s="21" t="n">
        <v>0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>
        <f>$B$19</f>
        <v/>
      </c>
      <c r="AQ250" s="21">
        <f>$B$21</f>
        <v/>
      </c>
      <c r="AR250" s="21">
        <f>-$B$19</f>
        <v/>
      </c>
      <c r="AS250" s="21">
        <f>$B$20</f>
        <v/>
      </c>
      <c r="AT250" s="19" t="n"/>
    </row>
    <row r="252">
      <c r="A252" s="8" t="inlineStr">
        <is>
          <t>gen 3</t>
        </is>
      </c>
    </row>
    <row r="253">
      <c r="D253" s="19">
        <f>IF(ABS(IF(ABS($E$187)&gt;0.000000001,$E$187,0.000000001))=0,0,IF($E$33&lt;=$B$27,0,IF(ABS(IF(ABS($E$187)&gt;0.000000001,$E$187,0.000000001))&gt;=8*$B$29,$H$33,0.5*$H$33*(ABS(IF(ABS($E$187)&gt;0.000000001,$E$187,0.000000001))/$B$29)^(1/3)))/ABS(IF(ABS($E$187)&gt;0.000000001,$E$187,0.000000001))*$I$33)</f>
        <v/>
      </c>
      <c r="E253" s="19">
        <f>0.5*$E$187+0.5*$AT$275</f>
        <v/>
      </c>
      <c r="F253" s="19">
        <f>$AT$276</f>
        <v/>
      </c>
    </row>
    <row r="254">
      <c r="D254" s="19">
        <f>IF(ABS(IF(ABS($E$188)&gt;0.000000001,$E$188,0.000000001))=0,0,IF($E$34&lt;=$B$27,0,IF(ABS(IF(ABS($E$188)&gt;0.000000001,$E$188,0.000000001))&gt;=8*$B$29,$H$34,0.5*$H$34*(ABS(IF(ABS($E$188)&gt;0.000000001,$E$188,0.000000001))/$B$29)^(1/3)))/ABS(IF(ABS($E$188)&gt;0.000000001,$E$188,0.000000001))*$I$34)</f>
        <v/>
      </c>
      <c r="E254" s="19">
        <f>0.5*$E$188+0.5*$AT$277</f>
        <v/>
      </c>
      <c r="F254" s="19">
        <f>$AT$278</f>
        <v/>
      </c>
    </row>
    <row r="255">
      <c r="D255" s="19">
        <f>IF(ABS(IF(ABS($E$189)&gt;0.000000001,$E$189,0.000000001))=0,0,IF($E$35&lt;=$B$27,0,IF(ABS(IF(ABS($E$189)&gt;0.000000001,$E$189,0.000000001))&gt;=8*$B$29,$H$35,0.5*$H$35*(ABS(IF(ABS($E$189)&gt;0.000000001,$E$189,0.000000001))/$B$29)^(1/3)))/ABS(IF(ABS($E$189)&gt;0.000000001,$E$189,0.000000001))*$I$35)</f>
        <v/>
      </c>
      <c r="E255" s="19">
        <f>0.5*$E$189+0.5*$AT$279</f>
        <v/>
      </c>
      <c r="F255" s="19">
        <f>$AT$280</f>
        <v/>
      </c>
    </row>
    <row r="256">
      <c r="D256" s="19">
        <f>IF(ABS(IF(ABS($E$190)&gt;0.000000001,$E$190,0.000000001))=0,0,IF($E$36&lt;=$B$27,0,IF(ABS(IF(ABS($E$190)&gt;0.000000001,$E$190,0.000000001))&gt;=8*$B$29,$H$36,0.5*$H$36*(ABS(IF(ABS($E$190)&gt;0.000000001,$E$190,0.000000001))/$B$29)^(1/3)))/ABS(IF(ABS($E$190)&gt;0.000000001,$E$190,0.000000001))*$I$36)</f>
        <v/>
      </c>
      <c r="E256" s="19">
        <f>0.5*$E$190+0.5*$AT$281</f>
        <v/>
      </c>
      <c r="F256" s="19">
        <f>$AT$282</f>
        <v/>
      </c>
    </row>
    <row r="257">
      <c r="D257" s="19">
        <f>IF(ABS(IF(ABS($E$191)&gt;0.000000001,$E$191,0.000000001))=0,0,IF($E$37&lt;=$B$27,0,IF(ABS(IF(ABS($E$191)&gt;0.000000001,$E$191,0.000000001))&gt;=8*$B$29,$H$37,0.5*$H$37*(ABS(IF(ABS($E$191)&gt;0.000000001,$E$191,0.000000001))/$B$29)^(1/3)))/ABS(IF(ABS($E$191)&gt;0.000000001,$E$191,0.000000001))*$I$37)</f>
        <v/>
      </c>
      <c r="E257" s="19">
        <f>0.5*$E$191+0.5*$AT$283</f>
        <v/>
      </c>
      <c r="F257" s="19">
        <f>$AT$284</f>
        <v/>
      </c>
    </row>
    <row r="258">
      <c r="D258" s="19">
        <f>IF(ABS(IF(ABS($E$192)&gt;0.000000001,$E$192,0.000000001))=0,0,IF($E$38&lt;=$B$27,0,IF(ABS(IF(ABS($E$192)&gt;0.000000001,$E$192,0.000000001))&gt;=8*$B$29,$H$38,0.5*$H$38*(ABS(IF(ABS($E$192)&gt;0.000000001,$E$192,0.000000001))/$B$29)^(1/3)))/ABS(IF(ABS($E$192)&gt;0.000000001,$E$192,0.000000001))*$I$38)</f>
        <v/>
      </c>
      <c r="E258" s="19">
        <f>0.5*$E$192+0.5*$AT$285</f>
        <v/>
      </c>
      <c r="F258" s="19">
        <f>$AT$286</f>
        <v/>
      </c>
    </row>
    <row r="259">
      <c r="D259" s="19">
        <f>IF(ABS(IF(ABS($E$193)&gt;0.000000001,$E$193,0.000000001))=0,0,IF($E$39&lt;=$B$27,0,IF(ABS(IF(ABS($E$193)&gt;0.000000001,$E$193,0.000000001))&gt;=8*$B$29,$H$39,0.5*$H$39*(ABS(IF(ABS($E$193)&gt;0.000000001,$E$193,0.000000001))/$B$29)^(1/3)))/ABS(IF(ABS($E$193)&gt;0.000000001,$E$193,0.000000001))*$I$39)</f>
        <v/>
      </c>
      <c r="E259" s="19">
        <f>0.5*$E$193+0.5*$AT$287</f>
        <v/>
      </c>
      <c r="F259" s="19">
        <f>$AT$288</f>
        <v/>
      </c>
    </row>
    <row r="260">
      <c r="D260" s="19">
        <f>IF(ABS(IF(ABS($E$194)&gt;0.000000001,$E$194,0.000000001))=0,0,IF($E$40&lt;=$B$27,0,IF(ABS(IF(ABS($E$194)&gt;0.000000001,$E$194,0.000000001))&gt;=8*$B$29,$H$40,0.5*$H$40*(ABS(IF(ABS($E$194)&gt;0.000000001,$E$194,0.000000001))/$B$29)^(1/3)))/ABS(IF(ABS($E$194)&gt;0.000000001,$E$194,0.000000001))*$I$40)</f>
        <v/>
      </c>
      <c r="E260" s="19">
        <f>0.5*$E$194+0.5*$AT$289</f>
        <v/>
      </c>
      <c r="F260" s="19">
        <f>$AT$290</f>
        <v/>
      </c>
    </row>
    <row r="261">
      <c r="D261" s="19">
        <f>IF(ABS(IF(ABS($E$195)&gt;0.000000001,$E$195,0.000000001))=0,0,IF($E$41&lt;=$B$27,0,IF(ABS(IF(ABS($E$195)&gt;0.000000001,$E$195,0.000000001))&gt;=8*$B$29,$H$41,0.5*$H$41*(ABS(IF(ABS($E$195)&gt;0.000000001,$E$195,0.000000001))/$B$29)^(1/3)))/ABS(IF(ABS($E$195)&gt;0.000000001,$E$195,0.000000001))*$I$41)</f>
        <v/>
      </c>
      <c r="E261" s="19">
        <f>0.5*$E$195+0.5*$AT$291</f>
        <v/>
      </c>
      <c r="F261" s="19">
        <f>$AT$292</f>
        <v/>
      </c>
    </row>
    <row r="262">
      <c r="D262" s="19">
        <f>IF(ABS(IF(ABS($E$196)&gt;0.000000001,$E$196,0.000000001))=0,0,IF($E$42&lt;=$B$27,0,IF(ABS(IF(ABS($E$196)&gt;0.000000001,$E$196,0.000000001))&gt;=8*$B$29,$H$42,0.5*$H$42*(ABS(IF(ABS($E$196)&gt;0.000000001,$E$196,0.000000001))/$B$29)^(1/3)))/ABS(IF(ABS($E$196)&gt;0.000000001,$E$196,0.000000001))*$I$42)</f>
        <v/>
      </c>
      <c r="E262" s="19">
        <f>0.5*$E$196+0.5*$AT$293</f>
        <v/>
      </c>
      <c r="F262" s="19">
        <f>$AT$294</f>
        <v/>
      </c>
    </row>
    <row r="263">
      <c r="D263" s="19">
        <f>IF(ABS(IF(ABS($E$197)&gt;0.000000001,$E$197,0.000000001))=0,0,IF($E$43&lt;=$B$27,0,IF(ABS(IF(ABS($E$197)&gt;0.000000001,$E$197,0.000000001))&gt;=8*$B$29,$H$43,0.5*$H$43*(ABS(IF(ABS($E$197)&gt;0.000000001,$E$197,0.000000001))/$B$29)^(1/3)))/ABS(IF(ABS($E$197)&gt;0.000000001,$E$197,0.000000001))*$I$43)</f>
        <v/>
      </c>
      <c r="E263" s="19">
        <f>0.5*$E$197+0.5*$AT$295</f>
        <v/>
      </c>
      <c r="F263" s="19">
        <f>$AT$296</f>
        <v/>
      </c>
    </row>
    <row r="264">
      <c r="D264" s="19">
        <f>IF(ABS(IF(ABS($E$198)&gt;0.000000001,$E$198,0.000000001))=0,0,IF($E$44&lt;=$B$27,0,IF(ABS(IF(ABS($E$198)&gt;0.000000001,$E$198,0.000000001))&gt;=8*$B$29,$H$44,0.5*$H$44*(ABS(IF(ABS($E$198)&gt;0.000000001,$E$198,0.000000001))/$B$29)^(1/3)))/ABS(IF(ABS($E$198)&gt;0.000000001,$E$198,0.000000001))*$I$44)</f>
        <v/>
      </c>
      <c r="E264" s="19">
        <f>0.5*$E$198+0.5*$AT$297</f>
        <v/>
      </c>
      <c r="F264" s="19">
        <f>$AT$298</f>
        <v/>
      </c>
    </row>
    <row r="265">
      <c r="D265" s="19">
        <f>IF(ABS(IF(ABS($E$199)&gt;0.000000001,$E$199,0.000000001))=0,0,IF($E$45&lt;=$B$27,0,IF(ABS(IF(ABS($E$199)&gt;0.000000001,$E$199,0.000000001))&gt;=8*$B$29,$H$45,0.5*$H$45*(ABS(IF(ABS($E$199)&gt;0.000000001,$E$199,0.000000001))/$B$29)^(1/3)))/ABS(IF(ABS($E$199)&gt;0.000000001,$E$199,0.000000001))*$I$45)</f>
        <v/>
      </c>
      <c r="E265" s="19">
        <f>0.5*$E$199+0.5*$AT$299</f>
        <v/>
      </c>
      <c r="F265" s="19">
        <f>$AT$300</f>
        <v/>
      </c>
    </row>
    <row r="266">
      <c r="D266" s="19">
        <f>IF(ABS(IF(ABS($E$200)&gt;0.000000001,$E$200,0.000000001))=0,0,IF($E$46&lt;=$B$27,0,IF(ABS(IF(ABS($E$200)&gt;0.000000001,$E$200,0.000000001))&gt;=8*$B$29,$H$46,0.5*$H$46*(ABS(IF(ABS($E$200)&gt;0.000000001,$E$200,0.000000001))/$B$29)^(1/3)))/ABS(IF(ABS($E$200)&gt;0.000000001,$E$200,0.000000001))*$I$46)</f>
        <v/>
      </c>
      <c r="E266" s="19">
        <f>0.5*$E$200+0.5*$AT$301</f>
        <v/>
      </c>
      <c r="F266" s="19">
        <f>$AT$302</f>
        <v/>
      </c>
    </row>
    <row r="267">
      <c r="D267" s="19">
        <f>IF(ABS(IF(ABS($E$201)&gt;0.000000001,$E$201,0.000000001))=0,0,IF($E$47&lt;=$B$27,0,IF(ABS(IF(ABS($E$201)&gt;0.000000001,$E$201,0.000000001))&gt;=8*$B$29,$H$47,0.5*$H$47*(ABS(IF(ABS($E$201)&gt;0.000000001,$E$201,0.000000001))/$B$29)^(1/3)))/ABS(IF(ABS($E$201)&gt;0.000000001,$E$201,0.000000001))*$I$47)</f>
        <v/>
      </c>
      <c r="E267" s="19">
        <f>0.5*$E$201+0.5*$AT$303</f>
        <v/>
      </c>
      <c r="F267" s="19">
        <f>$AT$304</f>
        <v/>
      </c>
    </row>
    <row r="268">
      <c r="D268" s="19">
        <f>IF(ABS(IF(ABS($E$202)&gt;0.000000001,$E$202,0.000000001))=0,0,IF($E$48&lt;=$B$27,0,IF(ABS(IF(ABS($E$202)&gt;0.000000001,$E$202,0.000000001))&gt;=8*$B$29,$H$48,0.5*$H$48*(ABS(IF(ABS($E$202)&gt;0.000000001,$E$202,0.000000001))/$B$29)^(1/3)))/ABS(IF(ABS($E$202)&gt;0.000000001,$E$202,0.000000001))*$I$48)</f>
        <v/>
      </c>
      <c r="E268" s="19">
        <f>0.5*$E$202+0.5*$AT$305</f>
        <v/>
      </c>
      <c r="F268" s="19">
        <f>$AT$306</f>
        <v/>
      </c>
    </row>
    <row r="269">
      <c r="D269" s="19">
        <f>IF(ABS(IF(ABS($E$203)&gt;0.000000001,$E$203,0.000000001))=0,0,IF($E$49&lt;=$B$27,0,IF(ABS(IF(ABS($E$203)&gt;0.000000001,$E$203,0.000000001))&gt;=8*$B$29,$H$49,0.5*$H$49*(ABS(IF(ABS($E$203)&gt;0.000000001,$E$203,0.000000001))/$B$29)^(1/3)))/ABS(IF(ABS($E$203)&gt;0.000000001,$E$203,0.000000001))*$I$49)</f>
        <v/>
      </c>
      <c r="E269" s="19">
        <f>0.5*$E$203+0.5*$AT$307</f>
        <v/>
      </c>
      <c r="F269" s="19">
        <f>$AT$308</f>
        <v/>
      </c>
    </row>
    <row r="270">
      <c r="D270" s="19">
        <f>IF(ABS(IF(ABS($E$204)&gt;0.000000001,$E$204,0.000000001))=0,0,IF($E$50&lt;=$B$27,0,IF(ABS(IF(ABS($E$204)&gt;0.000000001,$E$204,0.000000001))&gt;=8*$B$29,$H$50,0.5*$H$50*(ABS(IF(ABS($E$204)&gt;0.000000001,$E$204,0.000000001))/$B$29)^(1/3)))/ABS(IF(ABS($E$204)&gt;0.000000001,$E$204,0.000000001))*$I$50)</f>
        <v/>
      </c>
      <c r="E270" s="19">
        <f>0.5*$E$204+0.5*$AT$309</f>
        <v/>
      </c>
      <c r="F270" s="19">
        <f>$AT$310</f>
        <v/>
      </c>
    </row>
    <row r="271">
      <c r="D271" s="19">
        <f>IF(ABS(IF(ABS($E$205)&gt;0.000000001,$E$205,0.000000001))=0,0,IF($E$51&lt;=$B$27,0,IF(ABS(IF(ABS($E$205)&gt;0.000000001,$E$205,0.000000001))&gt;=8*$B$29,$H$51,0.5*$H$51*(ABS(IF(ABS($E$205)&gt;0.000000001,$E$205,0.000000001))/$B$29)^(1/3)))/ABS(IF(ABS($E$205)&gt;0.000000001,$E$205,0.000000001))*$I$51)</f>
        <v/>
      </c>
      <c r="E271" s="19">
        <f>0.5*$E$205+0.5*$AT$311</f>
        <v/>
      </c>
      <c r="F271" s="19">
        <f>$AT$312</f>
        <v/>
      </c>
    </row>
    <row r="272">
      <c r="D272" s="19">
        <f>IF(ABS(IF(ABS($E$206)&gt;0.000000001,$E$206,0.000000001))=0,0,IF($E$52&lt;=$B$27,0,IF(ABS(IF(ABS($E$206)&gt;0.000000001,$E$206,0.000000001))&gt;=8*$B$29,$H$52,0.5*$H$52*(ABS(IF(ABS($E$206)&gt;0.000000001,$E$206,0.000000001))/$B$29)^(1/3)))/ABS(IF(ABS($E$206)&gt;0.000000001,$E$206,0.000000001))*$I$52)</f>
        <v/>
      </c>
      <c r="E272" s="19">
        <f>0.5*$E$206+0.5*$AT$313</f>
        <v/>
      </c>
      <c r="F272" s="19">
        <f>$AT$314</f>
        <v/>
      </c>
    </row>
    <row r="273">
      <c r="D273" s="19">
        <f>IF(ABS(IF(ABS($E$207)&gt;0.000000001,$E$207,0.000000001))=0,0,IF($E$53&lt;=$B$27,0,IF(ABS(IF(ABS($E$207)&gt;0.000000001,$E$207,0.000000001))&gt;=8*$B$29,$H$53,0.5*$H$53*(ABS(IF(ABS($E$207)&gt;0.000000001,$E$207,0.000000001))/$B$29)^(1/3)))/ABS(IF(ABS($E$207)&gt;0.000000001,$E$207,0.000000001))*$I$53)</f>
        <v/>
      </c>
      <c r="E273" s="19">
        <f>0.5*$E$207+0.5*$AT$315</f>
        <v/>
      </c>
      <c r="F273" s="19">
        <f>$AT$316</f>
        <v/>
      </c>
    </row>
    <row r="275">
      <c r="D275" s="21">
        <f>$B$18+$D$253</f>
        <v/>
      </c>
      <c r="E275" s="21">
        <f>$B$19</f>
        <v/>
      </c>
      <c r="F275" s="21">
        <f>-$B$18</f>
        <v/>
      </c>
      <c r="G275" s="21">
        <f>$B$19</f>
        <v/>
      </c>
      <c r="H275" s="21" t="n">
        <v>0</v>
      </c>
      <c r="I275" s="21" t="n">
        <v>0</v>
      </c>
      <c r="J275" s="21" t="n">
        <v>0</v>
      </c>
      <c r="K275" s="21" t="n">
        <v>0</v>
      </c>
      <c r="L275" s="21" t="n">
        <v>0</v>
      </c>
      <c r="M275" s="21" t="n">
        <v>0</v>
      </c>
      <c r="N275" s="21" t="n">
        <v>0</v>
      </c>
      <c r="O275" s="21" t="n">
        <v>0</v>
      </c>
      <c r="P275" s="21" t="n">
        <v>0</v>
      </c>
      <c r="Q275" s="21" t="n">
        <v>0</v>
      </c>
      <c r="R275" s="21" t="n">
        <v>0</v>
      </c>
      <c r="S275" s="21" t="n">
        <v>0</v>
      </c>
      <c r="T275" s="21" t="n">
        <v>0</v>
      </c>
      <c r="U275" s="21" t="n">
        <v>0</v>
      </c>
      <c r="V275" s="21" t="n">
        <v>0</v>
      </c>
      <c r="W275" s="21" t="n">
        <v>0</v>
      </c>
      <c r="X275" s="21" t="n">
        <v>0</v>
      </c>
      <c r="Y275" s="21" t="n">
        <v>0</v>
      </c>
      <c r="Z275" s="21" t="n">
        <v>0</v>
      </c>
      <c r="AA275" s="21" t="n">
        <v>0</v>
      </c>
      <c r="AB275" s="21" t="n">
        <v>0</v>
      </c>
      <c r="AC275" s="21" t="n">
        <v>0</v>
      </c>
      <c r="AD275" s="21" t="n">
        <v>0</v>
      </c>
      <c r="AE275" s="21" t="n">
        <v>0</v>
      </c>
      <c r="AF275" s="21" t="n">
        <v>0</v>
      </c>
      <c r="AG275" s="21" t="n">
        <v>0</v>
      </c>
      <c r="AH275" s="21" t="n">
        <v>0</v>
      </c>
      <c r="AI275" s="21" t="n">
        <v>0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19">
        <f t="array" ref="AT275:AT316">MMULT(MINVERSE($D$275:$AS$316),$D$55:$D$96)</f>
        <v/>
      </c>
    </row>
    <row r="276">
      <c r="D276" s="21">
        <f>$B$19</f>
        <v/>
      </c>
      <c r="E276" s="21">
        <f>$B$20</f>
        <v/>
      </c>
      <c r="F276" s="21">
        <f>-$B$19</f>
        <v/>
      </c>
      <c r="G276" s="21">
        <f>$B$21</f>
        <v/>
      </c>
      <c r="H276" s="21" t="n">
        <v>0</v>
      </c>
      <c r="I276" s="21" t="n">
        <v>0</v>
      </c>
      <c r="J276" s="21" t="n">
        <v>0</v>
      </c>
      <c r="K276" s="21" t="n">
        <v>0</v>
      </c>
      <c r="L276" s="21" t="n">
        <v>0</v>
      </c>
      <c r="M276" s="21" t="n">
        <v>0</v>
      </c>
      <c r="N276" s="21" t="n">
        <v>0</v>
      </c>
      <c r="O276" s="21" t="n">
        <v>0</v>
      </c>
      <c r="P276" s="21" t="n">
        <v>0</v>
      </c>
      <c r="Q276" s="21" t="n">
        <v>0</v>
      </c>
      <c r="R276" s="21" t="n">
        <v>0</v>
      </c>
      <c r="S276" s="21" t="n">
        <v>0</v>
      </c>
      <c r="T276" s="21" t="n">
        <v>0</v>
      </c>
      <c r="U276" s="21" t="n">
        <v>0</v>
      </c>
      <c r="V276" s="21" t="n">
        <v>0</v>
      </c>
      <c r="W276" s="21" t="n">
        <v>0</v>
      </c>
      <c r="X276" s="21" t="n">
        <v>0</v>
      </c>
      <c r="Y276" s="21" t="n">
        <v>0</v>
      </c>
      <c r="Z276" s="21" t="n">
        <v>0</v>
      </c>
      <c r="AA276" s="21" t="n">
        <v>0</v>
      </c>
      <c r="AB276" s="21" t="n">
        <v>0</v>
      </c>
      <c r="AC276" s="21" t="n">
        <v>0</v>
      </c>
      <c r="AD276" s="21" t="n">
        <v>0</v>
      </c>
      <c r="AE276" s="21" t="n">
        <v>0</v>
      </c>
      <c r="AF276" s="21" t="n">
        <v>0</v>
      </c>
      <c r="AG276" s="21" t="n">
        <v>0</v>
      </c>
      <c r="AH276" s="21" t="n">
        <v>0</v>
      </c>
      <c r="AI276" s="21" t="n">
        <v>0</v>
      </c>
      <c r="AJ276" s="21" t="n">
        <v>0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0</v>
      </c>
      <c r="AT276" s="19" t="n"/>
    </row>
    <row r="277">
      <c r="D277" s="21">
        <f>-$B$18</f>
        <v/>
      </c>
      <c r="E277" s="21">
        <f>-$B$19</f>
        <v/>
      </c>
      <c r="F277" s="21">
        <f>2*$B$18+$D$254</f>
        <v/>
      </c>
      <c r="G277" s="21">
        <f>0</f>
        <v/>
      </c>
      <c r="H277" s="21">
        <f>-$B$18</f>
        <v/>
      </c>
      <c r="I277" s="21">
        <f>$B$19</f>
        <v/>
      </c>
      <c r="J277" s="21" t="n">
        <v>0</v>
      </c>
      <c r="K277" s="21" t="n">
        <v>0</v>
      </c>
      <c r="L277" s="21" t="n">
        <v>0</v>
      </c>
      <c r="M277" s="21" t="n">
        <v>0</v>
      </c>
      <c r="N277" s="21" t="n">
        <v>0</v>
      </c>
      <c r="O277" s="21" t="n">
        <v>0</v>
      </c>
      <c r="P277" s="21" t="n">
        <v>0</v>
      </c>
      <c r="Q277" s="21" t="n">
        <v>0</v>
      </c>
      <c r="R277" s="21" t="n">
        <v>0</v>
      </c>
      <c r="S277" s="21" t="n">
        <v>0</v>
      </c>
      <c r="T277" s="21" t="n">
        <v>0</v>
      </c>
      <c r="U277" s="21" t="n">
        <v>0</v>
      </c>
      <c r="V277" s="21" t="n">
        <v>0</v>
      </c>
      <c r="W277" s="21" t="n">
        <v>0</v>
      </c>
      <c r="X277" s="21" t="n">
        <v>0</v>
      </c>
      <c r="Y277" s="21" t="n">
        <v>0</v>
      </c>
      <c r="Z277" s="21" t="n">
        <v>0</v>
      </c>
      <c r="AA277" s="21" t="n">
        <v>0</v>
      </c>
      <c r="AB277" s="21" t="n">
        <v>0</v>
      </c>
      <c r="AC277" s="21" t="n">
        <v>0</v>
      </c>
      <c r="AD277" s="21" t="n">
        <v>0</v>
      </c>
      <c r="AE277" s="21" t="n">
        <v>0</v>
      </c>
      <c r="AF277" s="21" t="n">
        <v>0</v>
      </c>
      <c r="AG277" s="21" t="n">
        <v>0</v>
      </c>
      <c r="AH277" s="21" t="n">
        <v>0</v>
      </c>
      <c r="AI277" s="21" t="n">
        <v>0</v>
      </c>
      <c r="AJ277" s="21" t="n">
        <v>0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0</v>
      </c>
      <c r="AQ277" s="21" t="n">
        <v>0</v>
      </c>
      <c r="AR277" s="21" t="n">
        <v>0</v>
      </c>
      <c r="AS277" s="21" t="n">
        <v>0</v>
      </c>
      <c r="AT277" s="19" t="n"/>
    </row>
    <row r="278">
      <c r="D278" s="21">
        <f>$B$19</f>
        <v/>
      </c>
      <c r="E278" s="21">
        <f>$B$21</f>
        <v/>
      </c>
      <c r="F278" s="21">
        <f>0</f>
        <v/>
      </c>
      <c r="G278" s="21">
        <f>2*$B$20</f>
        <v/>
      </c>
      <c r="H278" s="21">
        <f>-$B$19</f>
        <v/>
      </c>
      <c r="I278" s="21">
        <f>$B$21</f>
        <v/>
      </c>
      <c r="J278" s="21" t="n">
        <v>0</v>
      </c>
      <c r="K278" s="21" t="n">
        <v>0</v>
      </c>
      <c r="L278" s="21" t="n">
        <v>0</v>
      </c>
      <c r="M278" s="21" t="n">
        <v>0</v>
      </c>
      <c r="N278" s="21" t="n">
        <v>0</v>
      </c>
      <c r="O278" s="21" t="n">
        <v>0</v>
      </c>
      <c r="P278" s="21" t="n">
        <v>0</v>
      </c>
      <c r="Q278" s="21" t="n">
        <v>0</v>
      </c>
      <c r="R278" s="21" t="n">
        <v>0</v>
      </c>
      <c r="S278" s="21" t="n">
        <v>0</v>
      </c>
      <c r="T278" s="21" t="n">
        <v>0</v>
      </c>
      <c r="U278" s="21" t="n">
        <v>0</v>
      </c>
      <c r="V278" s="21" t="n">
        <v>0</v>
      </c>
      <c r="W278" s="21" t="n">
        <v>0</v>
      </c>
      <c r="X278" s="21" t="n">
        <v>0</v>
      </c>
      <c r="Y278" s="21" t="n">
        <v>0</v>
      </c>
      <c r="Z278" s="21" t="n">
        <v>0</v>
      </c>
      <c r="AA278" s="21" t="n">
        <v>0</v>
      </c>
      <c r="AB278" s="21" t="n">
        <v>0</v>
      </c>
      <c r="AC278" s="21" t="n">
        <v>0</v>
      </c>
      <c r="AD278" s="21" t="n">
        <v>0</v>
      </c>
      <c r="AE278" s="21" t="n">
        <v>0</v>
      </c>
      <c r="AF278" s="21" t="n">
        <v>0</v>
      </c>
      <c r="AG278" s="21" t="n">
        <v>0</v>
      </c>
      <c r="AH278" s="21" t="n">
        <v>0</v>
      </c>
      <c r="AI278" s="21" t="n">
        <v>0</v>
      </c>
      <c r="AJ278" s="21" t="n">
        <v>0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0</v>
      </c>
      <c r="AQ278" s="21" t="n">
        <v>0</v>
      </c>
      <c r="AR278" s="21" t="n">
        <v>0</v>
      </c>
      <c r="AS278" s="21" t="n">
        <v>0</v>
      </c>
      <c r="AT278" s="19" t="n"/>
    </row>
    <row r="279">
      <c r="D279" s="21" t="n">
        <v>0</v>
      </c>
      <c r="E279" s="21" t="n">
        <v>0</v>
      </c>
      <c r="F279" s="21">
        <f>-$B$18</f>
        <v/>
      </c>
      <c r="G279" s="21">
        <f>-$B$19</f>
        <v/>
      </c>
      <c r="H279" s="21">
        <f>2*$B$18+$D$255</f>
        <v/>
      </c>
      <c r="I279" s="21">
        <f>0</f>
        <v/>
      </c>
      <c r="J279" s="21">
        <f>-$B$18</f>
        <v/>
      </c>
      <c r="K279" s="21">
        <f>$B$19</f>
        <v/>
      </c>
      <c r="L279" s="21" t="n">
        <v>0</v>
      </c>
      <c r="M279" s="21" t="n">
        <v>0</v>
      </c>
      <c r="N279" s="21" t="n">
        <v>0</v>
      </c>
      <c r="O279" s="21" t="n">
        <v>0</v>
      </c>
      <c r="P279" s="21" t="n">
        <v>0</v>
      </c>
      <c r="Q279" s="21" t="n">
        <v>0</v>
      </c>
      <c r="R279" s="21" t="n">
        <v>0</v>
      </c>
      <c r="S279" s="21" t="n">
        <v>0</v>
      </c>
      <c r="T279" s="21" t="n">
        <v>0</v>
      </c>
      <c r="U279" s="21" t="n">
        <v>0</v>
      </c>
      <c r="V279" s="21" t="n">
        <v>0</v>
      </c>
      <c r="W279" s="21" t="n">
        <v>0</v>
      </c>
      <c r="X279" s="21" t="n">
        <v>0</v>
      </c>
      <c r="Y279" s="21" t="n">
        <v>0</v>
      </c>
      <c r="Z279" s="21" t="n">
        <v>0</v>
      </c>
      <c r="AA279" s="21" t="n">
        <v>0</v>
      </c>
      <c r="AB279" s="21" t="n">
        <v>0</v>
      </c>
      <c r="AC279" s="21" t="n">
        <v>0</v>
      </c>
      <c r="AD279" s="21" t="n">
        <v>0</v>
      </c>
      <c r="AE279" s="21" t="n">
        <v>0</v>
      </c>
      <c r="AF279" s="21" t="n">
        <v>0</v>
      </c>
      <c r="AG279" s="21" t="n">
        <v>0</v>
      </c>
      <c r="AH279" s="21" t="n">
        <v>0</v>
      </c>
      <c r="AI279" s="21" t="n">
        <v>0</v>
      </c>
      <c r="AJ279" s="21" t="n">
        <v>0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0</v>
      </c>
      <c r="AQ279" s="21" t="n">
        <v>0</v>
      </c>
      <c r="AR279" s="21" t="n">
        <v>0</v>
      </c>
      <c r="AS279" s="21" t="n">
        <v>0</v>
      </c>
      <c r="AT279" s="19" t="n"/>
    </row>
    <row r="280">
      <c r="D280" s="21" t="n">
        <v>0</v>
      </c>
      <c r="E280" s="21" t="n">
        <v>0</v>
      </c>
      <c r="F280" s="21">
        <f>$B$19</f>
        <v/>
      </c>
      <c r="G280" s="21">
        <f>$B$21</f>
        <v/>
      </c>
      <c r="H280" s="21">
        <f>0</f>
        <v/>
      </c>
      <c r="I280" s="21">
        <f>2*$B$20</f>
        <v/>
      </c>
      <c r="J280" s="21">
        <f>-$B$19</f>
        <v/>
      </c>
      <c r="K280" s="21">
        <f>$B$21</f>
        <v/>
      </c>
      <c r="L280" s="21" t="n">
        <v>0</v>
      </c>
      <c r="M280" s="21" t="n">
        <v>0</v>
      </c>
      <c r="N280" s="21" t="n">
        <v>0</v>
      </c>
      <c r="O280" s="21" t="n">
        <v>0</v>
      </c>
      <c r="P280" s="21" t="n">
        <v>0</v>
      </c>
      <c r="Q280" s="21" t="n">
        <v>0</v>
      </c>
      <c r="R280" s="21" t="n">
        <v>0</v>
      </c>
      <c r="S280" s="21" t="n">
        <v>0</v>
      </c>
      <c r="T280" s="21" t="n">
        <v>0</v>
      </c>
      <c r="U280" s="21" t="n">
        <v>0</v>
      </c>
      <c r="V280" s="21" t="n">
        <v>0</v>
      </c>
      <c r="W280" s="21" t="n">
        <v>0</v>
      </c>
      <c r="X280" s="21" t="n">
        <v>0</v>
      </c>
      <c r="Y280" s="21" t="n">
        <v>0</v>
      </c>
      <c r="Z280" s="21" t="n">
        <v>0</v>
      </c>
      <c r="AA280" s="21" t="n">
        <v>0</v>
      </c>
      <c r="AB280" s="21" t="n">
        <v>0</v>
      </c>
      <c r="AC280" s="21" t="n">
        <v>0</v>
      </c>
      <c r="AD280" s="21" t="n">
        <v>0</v>
      </c>
      <c r="AE280" s="21" t="n">
        <v>0</v>
      </c>
      <c r="AF280" s="21" t="n">
        <v>0</v>
      </c>
      <c r="AG280" s="21" t="n">
        <v>0</v>
      </c>
      <c r="AH280" s="21" t="n">
        <v>0</v>
      </c>
      <c r="AI280" s="21" t="n">
        <v>0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0</v>
      </c>
      <c r="AQ280" s="21" t="n">
        <v>0</v>
      </c>
      <c r="AR280" s="21" t="n">
        <v>0</v>
      </c>
      <c r="AS280" s="21" t="n">
        <v>0</v>
      </c>
      <c r="AT280" s="19" t="n"/>
    </row>
    <row r="281">
      <c r="D281" s="21" t="n">
        <v>0</v>
      </c>
      <c r="E281" s="21" t="n">
        <v>0</v>
      </c>
      <c r="F281" s="21" t="n">
        <v>0</v>
      </c>
      <c r="G281" s="21" t="n">
        <v>0</v>
      </c>
      <c r="H281" s="21">
        <f>-$B$18</f>
        <v/>
      </c>
      <c r="I281" s="21">
        <f>-$B$19</f>
        <v/>
      </c>
      <c r="J281" s="21">
        <f>2*$B$18+$D$256</f>
        <v/>
      </c>
      <c r="K281" s="21">
        <f>0</f>
        <v/>
      </c>
      <c r="L281" s="21">
        <f>-$B$18</f>
        <v/>
      </c>
      <c r="M281" s="21">
        <f>$B$19</f>
        <v/>
      </c>
      <c r="N281" s="21" t="n">
        <v>0</v>
      </c>
      <c r="O281" s="21" t="n">
        <v>0</v>
      </c>
      <c r="P281" s="21" t="n">
        <v>0</v>
      </c>
      <c r="Q281" s="21" t="n">
        <v>0</v>
      </c>
      <c r="R281" s="21" t="n">
        <v>0</v>
      </c>
      <c r="S281" s="21" t="n">
        <v>0</v>
      </c>
      <c r="T281" s="21" t="n">
        <v>0</v>
      </c>
      <c r="U281" s="21" t="n">
        <v>0</v>
      </c>
      <c r="V281" s="21" t="n">
        <v>0</v>
      </c>
      <c r="W281" s="21" t="n">
        <v>0</v>
      </c>
      <c r="X281" s="21" t="n">
        <v>0</v>
      </c>
      <c r="Y281" s="21" t="n">
        <v>0</v>
      </c>
      <c r="Z281" s="21" t="n">
        <v>0</v>
      </c>
      <c r="AA281" s="21" t="n">
        <v>0</v>
      </c>
      <c r="AB281" s="21" t="n">
        <v>0</v>
      </c>
      <c r="AC281" s="21" t="n">
        <v>0</v>
      </c>
      <c r="AD281" s="21" t="n">
        <v>0</v>
      </c>
      <c r="AE281" s="21" t="n">
        <v>0</v>
      </c>
      <c r="AF281" s="21" t="n">
        <v>0</v>
      </c>
      <c r="AG281" s="21" t="n">
        <v>0</v>
      </c>
      <c r="AH281" s="21" t="n">
        <v>0</v>
      </c>
      <c r="AI281" s="21" t="n">
        <v>0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19" t="n"/>
    </row>
    <row r="282">
      <c r="D282" s="21" t="n">
        <v>0</v>
      </c>
      <c r="E282" s="21" t="n">
        <v>0</v>
      </c>
      <c r="F282" s="21" t="n">
        <v>0</v>
      </c>
      <c r="G282" s="21" t="n">
        <v>0</v>
      </c>
      <c r="H282" s="21">
        <f>$B$19</f>
        <v/>
      </c>
      <c r="I282" s="21">
        <f>$B$21</f>
        <v/>
      </c>
      <c r="J282" s="21">
        <f>0</f>
        <v/>
      </c>
      <c r="K282" s="21">
        <f>2*$B$20</f>
        <v/>
      </c>
      <c r="L282" s="21">
        <f>-$B$19</f>
        <v/>
      </c>
      <c r="M282" s="21">
        <f>$B$21</f>
        <v/>
      </c>
      <c r="N282" s="21" t="n">
        <v>0</v>
      </c>
      <c r="O282" s="21" t="n">
        <v>0</v>
      </c>
      <c r="P282" s="21" t="n">
        <v>0</v>
      </c>
      <c r="Q282" s="21" t="n">
        <v>0</v>
      </c>
      <c r="R282" s="21" t="n">
        <v>0</v>
      </c>
      <c r="S282" s="21" t="n">
        <v>0</v>
      </c>
      <c r="T282" s="21" t="n">
        <v>0</v>
      </c>
      <c r="U282" s="21" t="n">
        <v>0</v>
      </c>
      <c r="V282" s="21" t="n">
        <v>0</v>
      </c>
      <c r="W282" s="21" t="n">
        <v>0</v>
      </c>
      <c r="X282" s="21" t="n">
        <v>0</v>
      </c>
      <c r="Y282" s="21" t="n">
        <v>0</v>
      </c>
      <c r="Z282" s="21" t="n">
        <v>0</v>
      </c>
      <c r="AA282" s="21" t="n">
        <v>0</v>
      </c>
      <c r="AB282" s="21" t="n">
        <v>0</v>
      </c>
      <c r="AC282" s="21" t="n">
        <v>0</v>
      </c>
      <c r="AD282" s="21" t="n">
        <v>0</v>
      </c>
      <c r="AE282" s="21" t="n">
        <v>0</v>
      </c>
      <c r="AF282" s="21" t="n">
        <v>0</v>
      </c>
      <c r="AG282" s="21" t="n">
        <v>0</v>
      </c>
      <c r="AH282" s="21" t="n">
        <v>0</v>
      </c>
      <c r="AI282" s="21" t="n">
        <v>0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19" t="n"/>
    </row>
    <row r="283">
      <c r="D283" s="21" t="n">
        <v>0</v>
      </c>
      <c r="E283" s="21" t="n">
        <v>0</v>
      </c>
      <c r="F283" s="21" t="n">
        <v>0</v>
      </c>
      <c r="G283" s="21" t="n">
        <v>0</v>
      </c>
      <c r="H283" s="21" t="n">
        <v>0</v>
      </c>
      <c r="I283" s="21" t="n">
        <v>0</v>
      </c>
      <c r="J283" s="21">
        <f>-$B$18</f>
        <v/>
      </c>
      <c r="K283" s="21">
        <f>-$B$19</f>
        <v/>
      </c>
      <c r="L283" s="21">
        <f>2*$B$18+$D$257</f>
        <v/>
      </c>
      <c r="M283" s="21">
        <f>0</f>
        <v/>
      </c>
      <c r="N283" s="21">
        <f>-$B$18</f>
        <v/>
      </c>
      <c r="O283" s="21">
        <f>$B$19</f>
        <v/>
      </c>
      <c r="P283" s="21" t="n">
        <v>0</v>
      </c>
      <c r="Q283" s="21" t="n">
        <v>0</v>
      </c>
      <c r="R283" s="21" t="n">
        <v>0</v>
      </c>
      <c r="S283" s="21" t="n">
        <v>0</v>
      </c>
      <c r="T283" s="21" t="n">
        <v>0</v>
      </c>
      <c r="U283" s="21" t="n">
        <v>0</v>
      </c>
      <c r="V283" s="21" t="n">
        <v>0</v>
      </c>
      <c r="W283" s="21" t="n">
        <v>0</v>
      </c>
      <c r="X283" s="21" t="n">
        <v>0</v>
      </c>
      <c r="Y283" s="21" t="n">
        <v>0</v>
      </c>
      <c r="Z283" s="21" t="n">
        <v>0</v>
      </c>
      <c r="AA283" s="21" t="n">
        <v>0</v>
      </c>
      <c r="AB283" s="21" t="n">
        <v>0</v>
      </c>
      <c r="AC283" s="21" t="n">
        <v>0</v>
      </c>
      <c r="AD283" s="21" t="n">
        <v>0</v>
      </c>
      <c r="AE283" s="21" t="n">
        <v>0</v>
      </c>
      <c r="AF283" s="21" t="n">
        <v>0</v>
      </c>
      <c r="AG283" s="21" t="n">
        <v>0</v>
      </c>
      <c r="AH283" s="21" t="n">
        <v>0</v>
      </c>
      <c r="AI283" s="21" t="n">
        <v>0</v>
      </c>
      <c r="AJ283" s="21" t="n">
        <v>0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0</v>
      </c>
      <c r="AP283" s="21" t="n">
        <v>0</v>
      </c>
      <c r="AQ283" s="21" t="n">
        <v>0</v>
      </c>
      <c r="AR283" s="21" t="n">
        <v>0</v>
      </c>
      <c r="AS283" s="21" t="n">
        <v>0</v>
      </c>
      <c r="AT283" s="19" t="n"/>
    </row>
    <row r="284">
      <c r="D284" s="21" t="n">
        <v>0</v>
      </c>
      <c r="E284" s="21" t="n">
        <v>0</v>
      </c>
      <c r="F284" s="21" t="n">
        <v>0</v>
      </c>
      <c r="G284" s="21" t="n">
        <v>0</v>
      </c>
      <c r="H284" s="21" t="n">
        <v>0</v>
      </c>
      <c r="I284" s="21" t="n">
        <v>0</v>
      </c>
      <c r="J284" s="21">
        <f>$B$19</f>
        <v/>
      </c>
      <c r="K284" s="21">
        <f>$B$21</f>
        <v/>
      </c>
      <c r="L284" s="21">
        <f>0</f>
        <v/>
      </c>
      <c r="M284" s="21">
        <f>2*$B$20</f>
        <v/>
      </c>
      <c r="N284" s="21">
        <f>-$B$19</f>
        <v/>
      </c>
      <c r="O284" s="21">
        <f>$B$21</f>
        <v/>
      </c>
      <c r="P284" s="21" t="n">
        <v>0</v>
      </c>
      <c r="Q284" s="21" t="n">
        <v>0</v>
      </c>
      <c r="R284" s="21" t="n">
        <v>0</v>
      </c>
      <c r="S284" s="21" t="n">
        <v>0</v>
      </c>
      <c r="T284" s="21" t="n">
        <v>0</v>
      </c>
      <c r="U284" s="21" t="n">
        <v>0</v>
      </c>
      <c r="V284" s="21" t="n">
        <v>0</v>
      </c>
      <c r="W284" s="21" t="n">
        <v>0</v>
      </c>
      <c r="X284" s="21" t="n">
        <v>0</v>
      </c>
      <c r="Y284" s="21" t="n">
        <v>0</v>
      </c>
      <c r="Z284" s="21" t="n">
        <v>0</v>
      </c>
      <c r="AA284" s="21" t="n">
        <v>0</v>
      </c>
      <c r="AB284" s="21" t="n">
        <v>0</v>
      </c>
      <c r="AC284" s="21" t="n">
        <v>0</v>
      </c>
      <c r="AD284" s="21" t="n">
        <v>0</v>
      </c>
      <c r="AE284" s="21" t="n">
        <v>0</v>
      </c>
      <c r="AF284" s="21" t="n">
        <v>0</v>
      </c>
      <c r="AG284" s="21" t="n">
        <v>0</v>
      </c>
      <c r="AH284" s="21" t="n">
        <v>0</v>
      </c>
      <c r="AI284" s="21" t="n">
        <v>0</v>
      </c>
      <c r="AJ284" s="21" t="n">
        <v>0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0</v>
      </c>
      <c r="AQ284" s="21" t="n">
        <v>0</v>
      </c>
      <c r="AR284" s="21" t="n">
        <v>0</v>
      </c>
      <c r="AS284" s="21" t="n">
        <v>0</v>
      </c>
      <c r="AT284" s="19" t="n"/>
    </row>
    <row r="285">
      <c r="D285" s="21" t="n">
        <v>0</v>
      </c>
      <c r="E285" s="21" t="n">
        <v>0</v>
      </c>
      <c r="F285" s="21" t="n">
        <v>0</v>
      </c>
      <c r="G285" s="21" t="n">
        <v>0</v>
      </c>
      <c r="H285" s="21" t="n">
        <v>0</v>
      </c>
      <c r="I285" s="21" t="n">
        <v>0</v>
      </c>
      <c r="J285" s="21" t="n">
        <v>0</v>
      </c>
      <c r="K285" s="21" t="n">
        <v>0</v>
      </c>
      <c r="L285" s="21">
        <f>-$B$18</f>
        <v/>
      </c>
      <c r="M285" s="21">
        <f>-$B$19</f>
        <v/>
      </c>
      <c r="N285" s="21">
        <f>2*$B$18+$D$258</f>
        <v/>
      </c>
      <c r="O285" s="21">
        <f>0</f>
        <v/>
      </c>
      <c r="P285" s="21">
        <f>-$B$18</f>
        <v/>
      </c>
      <c r="Q285" s="21">
        <f>$B$19</f>
        <v/>
      </c>
      <c r="R285" s="21" t="n">
        <v>0</v>
      </c>
      <c r="S285" s="21" t="n">
        <v>0</v>
      </c>
      <c r="T285" s="21" t="n">
        <v>0</v>
      </c>
      <c r="U285" s="21" t="n">
        <v>0</v>
      </c>
      <c r="V285" s="21" t="n">
        <v>0</v>
      </c>
      <c r="W285" s="21" t="n">
        <v>0</v>
      </c>
      <c r="X285" s="21" t="n">
        <v>0</v>
      </c>
      <c r="Y285" s="21" t="n">
        <v>0</v>
      </c>
      <c r="Z285" s="21" t="n">
        <v>0</v>
      </c>
      <c r="AA285" s="21" t="n">
        <v>0</v>
      </c>
      <c r="AB285" s="21" t="n">
        <v>0</v>
      </c>
      <c r="AC285" s="21" t="n">
        <v>0</v>
      </c>
      <c r="AD285" s="21" t="n">
        <v>0</v>
      </c>
      <c r="AE285" s="21" t="n">
        <v>0</v>
      </c>
      <c r="AF285" s="21" t="n">
        <v>0</v>
      </c>
      <c r="AG285" s="21" t="n">
        <v>0</v>
      </c>
      <c r="AH285" s="21" t="n">
        <v>0</v>
      </c>
      <c r="AI285" s="21" t="n">
        <v>0</v>
      </c>
      <c r="AJ285" s="21" t="n">
        <v>0</v>
      </c>
      <c r="AK285" s="21" t="n">
        <v>0</v>
      </c>
      <c r="AL285" s="21" t="n">
        <v>0</v>
      </c>
      <c r="AM285" s="21" t="n">
        <v>0</v>
      </c>
      <c r="AN285" s="21" t="n">
        <v>0</v>
      </c>
      <c r="AO285" s="21" t="n">
        <v>0</v>
      </c>
      <c r="AP285" s="21" t="n">
        <v>0</v>
      </c>
      <c r="AQ285" s="21" t="n">
        <v>0</v>
      </c>
      <c r="AR285" s="21" t="n">
        <v>0</v>
      </c>
      <c r="AS285" s="21" t="n">
        <v>0</v>
      </c>
      <c r="AT285" s="19" t="n"/>
    </row>
    <row r="286">
      <c r="D286" s="21" t="n">
        <v>0</v>
      </c>
      <c r="E286" s="21" t="n">
        <v>0</v>
      </c>
      <c r="F286" s="21" t="n">
        <v>0</v>
      </c>
      <c r="G286" s="21" t="n">
        <v>0</v>
      </c>
      <c r="H286" s="21" t="n">
        <v>0</v>
      </c>
      <c r="I286" s="21" t="n">
        <v>0</v>
      </c>
      <c r="J286" s="21" t="n">
        <v>0</v>
      </c>
      <c r="K286" s="21" t="n">
        <v>0</v>
      </c>
      <c r="L286" s="21">
        <f>$B$19</f>
        <v/>
      </c>
      <c r="M286" s="21">
        <f>$B$21</f>
        <v/>
      </c>
      <c r="N286" s="21">
        <f>0</f>
        <v/>
      </c>
      <c r="O286" s="21">
        <f>2*$B$20</f>
        <v/>
      </c>
      <c r="P286" s="21">
        <f>-$B$19</f>
        <v/>
      </c>
      <c r="Q286" s="21">
        <f>$B$21</f>
        <v/>
      </c>
      <c r="R286" s="21" t="n">
        <v>0</v>
      </c>
      <c r="S286" s="21" t="n">
        <v>0</v>
      </c>
      <c r="T286" s="21" t="n">
        <v>0</v>
      </c>
      <c r="U286" s="21" t="n">
        <v>0</v>
      </c>
      <c r="V286" s="21" t="n">
        <v>0</v>
      </c>
      <c r="W286" s="21" t="n">
        <v>0</v>
      </c>
      <c r="X286" s="21" t="n">
        <v>0</v>
      </c>
      <c r="Y286" s="21" t="n">
        <v>0</v>
      </c>
      <c r="Z286" s="21" t="n">
        <v>0</v>
      </c>
      <c r="AA286" s="21" t="n">
        <v>0</v>
      </c>
      <c r="AB286" s="21" t="n">
        <v>0</v>
      </c>
      <c r="AC286" s="21" t="n">
        <v>0</v>
      </c>
      <c r="AD286" s="21" t="n">
        <v>0</v>
      </c>
      <c r="AE286" s="21" t="n">
        <v>0</v>
      </c>
      <c r="AF286" s="21" t="n">
        <v>0</v>
      </c>
      <c r="AG286" s="21" t="n">
        <v>0</v>
      </c>
      <c r="AH286" s="21" t="n">
        <v>0</v>
      </c>
      <c r="AI286" s="21" t="n">
        <v>0</v>
      </c>
      <c r="AJ286" s="21" t="n">
        <v>0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0</v>
      </c>
      <c r="AP286" s="21" t="n">
        <v>0</v>
      </c>
      <c r="AQ286" s="21" t="n">
        <v>0</v>
      </c>
      <c r="AR286" s="21" t="n">
        <v>0</v>
      </c>
      <c r="AS286" s="21" t="n">
        <v>0</v>
      </c>
      <c r="AT286" s="19" t="n"/>
    </row>
    <row r="287">
      <c r="D287" s="21" t="n">
        <v>0</v>
      </c>
      <c r="E287" s="21" t="n">
        <v>0</v>
      </c>
      <c r="F287" s="21" t="n">
        <v>0</v>
      </c>
      <c r="G287" s="21" t="n">
        <v>0</v>
      </c>
      <c r="H287" s="21" t="n">
        <v>0</v>
      </c>
      <c r="I287" s="21" t="n">
        <v>0</v>
      </c>
      <c r="J287" s="21" t="n">
        <v>0</v>
      </c>
      <c r="K287" s="21" t="n">
        <v>0</v>
      </c>
      <c r="L287" s="21" t="n">
        <v>0</v>
      </c>
      <c r="M287" s="21" t="n">
        <v>0</v>
      </c>
      <c r="N287" s="21">
        <f>-$B$18</f>
        <v/>
      </c>
      <c r="O287" s="21">
        <f>-$B$19</f>
        <v/>
      </c>
      <c r="P287" s="21">
        <f>2*$B$18+$D$259</f>
        <v/>
      </c>
      <c r="Q287" s="21">
        <f>0</f>
        <v/>
      </c>
      <c r="R287" s="21">
        <f>-$B$18</f>
        <v/>
      </c>
      <c r="S287" s="21">
        <f>$B$19</f>
        <v/>
      </c>
      <c r="T287" s="21" t="n">
        <v>0</v>
      </c>
      <c r="U287" s="21" t="n">
        <v>0</v>
      </c>
      <c r="V287" s="21" t="n">
        <v>0</v>
      </c>
      <c r="W287" s="21" t="n">
        <v>0</v>
      </c>
      <c r="X287" s="21" t="n">
        <v>0</v>
      </c>
      <c r="Y287" s="21" t="n">
        <v>0</v>
      </c>
      <c r="Z287" s="21" t="n">
        <v>0</v>
      </c>
      <c r="AA287" s="21" t="n">
        <v>0</v>
      </c>
      <c r="AB287" s="21" t="n">
        <v>0</v>
      </c>
      <c r="AC287" s="21" t="n">
        <v>0</v>
      </c>
      <c r="AD287" s="21" t="n">
        <v>0</v>
      </c>
      <c r="AE287" s="21" t="n">
        <v>0</v>
      </c>
      <c r="AF287" s="21" t="n">
        <v>0</v>
      </c>
      <c r="AG287" s="21" t="n">
        <v>0</v>
      </c>
      <c r="AH287" s="21" t="n">
        <v>0</v>
      </c>
      <c r="AI287" s="21" t="n">
        <v>0</v>
      </c>
      <c r="AJ287" s="21" t="n">
        <v>0</v>
      </c>
      <c r="AK287" s="21" t="n">
        <v>0</v>
      </c>
      <c r="AL287" s="21" t="n">
        <v>0</v>
      </c>
      <c r="AM287" s="21" t="n">
        <v>0</v>
      </c>
      <c r="AN287" s="21" t="n">
        <v>0</v>
      </c>
      <c r="AO287" s="21" t="n">
        <v>0</v>
      </c>
      <c r="AP287" s="21" t="n">
        <v>0</v>
      </c>
      <c r="AQ287" s="21" t="n">
        <v>0</v>
      </c>
      <c r="AR287" s="21" t="n">
        <v>0</v>
      </c>
      <c r="AS287" s="21" t="n">
        <v>0</v>
      </c>
      <c r="AT287" s="19" t="n"/>
    </row>
    <row r="288">
      <c r="D288" s="21" t="n">
        <v>0</v>
      </c>
      <c r="E288" s="21" t="n">
        <v>0</v>
      </c>
      <c r="F288" s="21" t="n">
        <v>0</v>
      </c>
      <c r="G288" s="21" t="n">
        <v>0</v>
      </c>
      <c r="H288" s="21" t="n">
        <v>0</v>
      </c>
      <c r="I288" s="21" t="n">
        <v>0</v>
      </c>
      <c r="J288" s="21" t="n">
        <v>0</v>
      </c>
      <c r="K288" s="21" t="n">
        <v>0</v>
      </c>
      <c r="L288" s="21" t="n">
        <v>0</v>
      </c>
      <c r="M288" s="21" t="n">
        <v>0</v>
      </c>
      <c r="N288" s="21">
        <f>$B$19</f>
        <v/>
      </c>
      <c r="O288" s="21">
        <f>$B$21</f>
        <v/>
      </c>
      <c r="P288" s="21">
        <f>0</f>
        <v/>
      </c>
      <c r="Q288" s="21">
        <f>2*$B$20</f>
        <v/>
      </c>
      <c r="R288" s="21">
        <f>-$B$19</f>
        <v/>
      </c>
      <c r="S288" s="21">
        <f>$B$21</f>
        <v/>
      </c>
      <c r="T288" s="21" t="n">
        <v>0</v>
      </c>
      <c r="U288" s="21" t="n">
        <v>0</v>
      </c>
      <c r="V288" s="21" t="n">
        <v>0</v>
      </c>
      <c r="W288" s="21" t="n">
        <v>0</v>
      </c>
      <c r="X288" s="21" t="n">
        <v>0</v>
      </c>
      <c r="Y288" s="21" t="n">
        <v>0</v>
      </c>
      <c r="Z288" s="21" t="n">
        <v>0</v>
      </c>
      <c r="AA288" s="21" t="n">
        <v>0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0</v>
      </c>
      <c r="AG288" s="21" t="n">
        <v>0</v>
      </c>
      <c r="AH288" s="21" t="n">
        <v>0</v>
      </c>
      <c r="AI288" s="21" t="n">
        <v>0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19" t="n"/>
    </row>
    <row r="289">
      <c r="D289" s="21" t="n">
        <v>0</v>
      </c>
      <c r="E289" s="21" t="n">
        <v>0</v>
      </c>
      <c r="F289" s="21" t="n">
        <v>0</v>
      </c>
      <c r="G289" s="21" t="n">
        <v>0</v>
      </c>
      <c r="H289" s="21" t="n">
        <v>0</v>
      </c>
      <c r="I289" s="21" t="n">
        <v>0</v>
      </c>
      <c r="J289" s="21" t="n">
        <v>0</v>
      </c>
      <c r="K289" s="21" t="n">
        <v>0</v>
      </c>
      <c r="L289" s="21" t="n">
        <v>0</v>
      </c>
      <c r="M289" s="21" t="n">
        <v>0</v>
      </c>
      <c r="N289" s="21" t="n">
        <v>0</v>
      </c>
      <c r="O289" s="21" t="n">
        <v>0</v>
      </c>
      <c r="P289" s="21">
        <f>-$B$18</f>
        <v/>
      </c>
      <c r="Q289" s="21">
        <f>-$B$19</f>
        <v/>
      </c>
      <c r="R289" s="21">
        <f>2*$B$18+$D$260</f>
        <v/>
      </c>
      <c r="S289" s="21">
        <f>0</f>
        <v/>
      </c>
      <c r="T289" s="21">
        <f>-$B$18</f>
        <v/>
      </c>
      <c r="U289" s="21">
        <f>$B$19</f>
        <v/>
      </c>
      <c r="V289" s="21" t="n">
        <v>0</v>
      </c>
      <c r="W289" s="21" t="n">
        <v>0</v>
      </c>
      <c r="X289" s="21" t="n">
        <v>0</v>
      </c>
      <c r="Y289" s="21" t="n">
        <v>0</v>
      </c>
      <c r="Z289" s="21" t="n">
        <v>0</v>
      </c>
      <c r="AA289" s="21" t="n">
        <v>0</v>
      </c>
      <c r="AB289" s="21" t="n">
        <v>0</v>
      </c>
      <c r="AC289" s="21" t="n">
        <v>0</v>
      </c>
      <c r="AD289" s="21" t="n">
        <v>0</v>
      </c>
      <c r="AE289" s="21" t="n">
        <v>0</v>
      </c>
      <c r="AF289" s="21" t="n">
        <v>0</v>
      </c>
      <c r="AG289" s="21" t="n">
        <v>0</v>
      </c>
      <c r="AH289" s="21" t="n">
        <v>0</v>
      </c>
      <c r="AI289" s="21" t="n">
        <v>0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19" t="n"/>
    </row>
    <row r="290">
      <c r="D290" s="21" t="n">
        <v>0</v>
      </c>
      <c r="E290" s="21" t="n">
        <v>0</v>
      </c>
      <c r="F290" s="21" t="n">
        <v>0</v>
      </c>
      <c r="G290" s="21" t="n">
        <v>0</v>
      </c>
      <c r="H290" s="21" t="n">
        <v>0</v>
      </c>
      <c r="I290" s="21" t="n">
        <v>0</v>
      </c>
      <c r="J290" s="21" t="n">
        <v>0</v>
      </c>
      <c r="K290" s="21" t="n">
        <v>0</v>
      </c>
      <c r="L290" s="21" t="n">
        <v>0</v>
      </c>
      <c r="M290" s="21" t="n">
        <v>0</v>
      </c>
      <c r="N290" s="21" t="n">
        <v>0</v>
      </c>
      <c r="O290" s="21" t="n">
        <v>0</v>
      </c>
      <c r="P290" s="21">
        <f>$B$19</f>
        <v/>
      </c>
      <c r="Q290" s="21">
        <f>$B$21</f>
        <v/>
      </c>
      <c r="R290" s="21">
        <f>0</f>
        <v/>
      </c>
      <c r="S290" s="21">
        <f>2*$B$20</f>
        <v/>
      </c>
      <c r="T290" s="21">
        <f>-$B$19</f>
        <v/>
      </c>
      <c r="U290" s="21">
        <f>$B$21</f>
        <v/>
      </c>
      <c r="V290" s="21" t="n">
        <v>0</v>
      </c>
      <c r="W290" s="21" t="n">
        <v>0</v>
      </c>
      <c r="X290" s="21" t="n">
        <v>0</v>
      </c>
      <c r="Y290" s="21" t="n">
        <v>0</v>
      </c>
      <c r="Z290" s="21" t="n">
        <v>0</v>
      </c>
      <c r="AA290" s="21" t="n">
        <v>0</v>
      </c>
      <c r="AB290" s="21" t="n">
        <v>0</v>
      </c>
      <c r="AC290" s="21" t="n">
        <v>0</v>
      </c>
      <c r="AD290" s="21" t="n">
        <v>0</v>
      </c>
      <c r="AE290" s="21" t="n">
        <v>0</v>
      </c>
      <c r="AF290" s="21" t="n">
        <v>0</v>
      </c>
      <c r="AG290" s="21" t="n">
        <v>0</v>
      </c>
      <c r="AH290" s="21" t="n">
        <v>0</v>
      </c>
      <c r="AI290" s="21" t="n">
        <v>0</v>
      </c>
      <c r="AJ290" s="21" t="n">
        <v>0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0</v>
      </c>
      <c r="AQ290" s="21" t="n">
        <v>0</v>
      </c>
      <c r="AR290" s="21" t="n">
        <v>0</v>
      </c>
      <c r="AS290" s="21" t="n">
        <v>0</v>
      </c>
      <c r="AT290" s="19" t="n"/>
    </row>
    <row r="291">
      <c r="D291" s="21" t="n">
        <v>0</v>
      </c>
      <c r="E291" s="21" t="n">
        <v>0</v>
      </c>
      <c r="F291" s="21" t="n">
        <v>0</v>
      </c>
      <c r="G291" s="21" t="n">
        <v>0</v>
      </c>
      <c r="H291" s="21" t="n">
        <v>0</v>
      </c>
      <c r="I291" s="21" t="n">
        <v>0</v>
      </c>
      <c r="J291" s="21" t="n">
        <v>0</v>
      </c>
      <c r="K291" s="21" t="n">
        <v>0</v>
      </c>
      <c r="L291" s="21" t="n">
        <v>0</v>
      </c>
      <c r="M291" s="21" t="n">
        <v>0</v>
      </c>
      <c r="N291" s="21" t="n">
        <v>0</v>
      </c>
      <c r="O291" s="21" t="n">
        <v>0</v>
      </c>
      <c r="P291" s="21" t="n">
        <v>0</v>
      </c>
      <c r="Q291" s="21" t="n">
        <v>0</v>
      </c>
      <c r="R291" s="21">
        <f>-$B$18</f>
        <v/>
      </c>
      <c r="S291" s="21">
        <f>-$B$19</f>
        <v/>
      </c>
      <c r="T291" s="21">
        <f>2*$B$18+$D$261</f>
        <v/>
      </c>
      <c r="U291" s="21">
        <f>0</f>
        <v/>
      </c>
      <c r="V291" s="21">
        <f>-$B$18</f>
        <v/>
      </c>
      <c r="W291" s="21">
        <f>$B$19</f>
        <v/>
      </c>
      <c r="X291" s="21" t="n">
        <v>0</v>
      </c>
      <c r="Y291" s="21" t="n">
        <v>0</v>
      </c>
      <c r="Z291" s="21" t="n">
        <v>0</v>
      </c>
      <c r="AA291" s="21" t="n">
        <v>0</v>
      </c>
      <c r="AB291" s="21" t="n">
        <v>0</v>
      </c>
      <c r="AC291" s="21" t="n">
        <v>0</v>
      </c>
      <c r="AD291" s="21" t="n">
        <v>0</v>
      </c>
      <c r="AE291" s="21" t="n">
        <v>0</v>
      </c>
      <c r="AF291" s="21" t="n">
        <v>0</v>
      </c>
      <c r="AG291" s="21" t="n">
        <v>0</v>
      </c>
      <c r="AH291" s="21" t="n">
        <v>0</v>
      </c>
      <c r="AI291" s="21" t="n">
        <v>0</v>
      </c>
      <c r="AJ291" s="21" t="n">
        <v>0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0</v>
      </c>
      <c r="AP291" s="21" t="n">
        <v>0</v>
      </c>
      <c r="AQ291" s="21" t="n">
        <v>0</v>
      </c>
      <c r="AR291" s="21" t="n">
        <v>0</v>
      </c>
      <c r="AS291" s="21" t="n">
        <v>0</v>
      </c>
      <c r="AT291" s="19" t="n"/>
    </row>
    <row r="292">
      <c r="D292" s="21" t="n">
        <v>0</v>
      </c>
      <c r="E292" s="21" t="n">
        <v>0</v>
      </c>
      <c r="F292" s="21" t="n">
        <v>0</v>
      </c>
      <c r="G292" s="21" t="n">
        <v>0</v>
      </c>
      <c r="H292" s="21" t="n">
        <v>0</v>
      </c>
      <c r="I292" s="21" t="n">
        <v>0</v>
      </c>
      <c r="J292" s="21" t="n">
        <v>0</v>
      </c>
      <c r="K292" s="21" t="n">
        <v>0</v>
      </c>
      <c r="L292" s="21" t="n">
        <v>0</v>
      </c>
      <c r="M292" s="21" t="n">
        <v>0</v>
      </c>
      <c r="N292" s="21" t="n">
        <v>0</v>
      </c>
      <c r="O292" s="21" t="n">
        <v>0</v>
      </c>
      <c r="P292" s="21" t="n">
        <v>0</v>
      </c>
      <c r="Q292" s="21" t="n">
        <v>0</v>
      </c>
      <c r="R292" s="21">
        <f>$B$19</f>
        <v/>
      </c>
      <c r="S292" s="21">
        <f>$B$21</f>
        <v/>
      </c>
      <c r="T292" s="21">
        <f>0</f>
        <v/>
      </c>
      <c r="U292" s="21">
        <f>2*$B$20</f>
        <v/>
      </c>
      <c r="V292" s="21">
        <f>-$B$19</f>
        <v/>
      </c>
      <c r="W292" s="21">
        <f>$B$21</f>
        <v/>
      </c>
      <c r="X292" s="21" t="n">
        <v>0</v>
      </c>
      <c r="Y292" s="21" t="n">
        <v>0</v>
      </c>
      <c r="Z292" s="21" t="n">
        <v>0</v>
      </c>
      <c r="AA292" s="21" t="n">
        <v>0</v>
      </c>
      <c r="AB292" s="21" t="n">
        <v>0</v>
      </c>
      <c r="AC292" s="21" t="n">
        <v>0</v>
      </c>
      <c r="AD292" s="21" t="n">
        <v>0</v>
      </c>
      <c r="AE292" s="21" t="n">
        <v>0</v>
      </c>
      <c r="AF292" s="21" t="n">
        <v>0</v>
      </c>
      <c r="AG292" s="21" t="n">
        <v>0</v>
      </c>
      <c r="AH292" s="21" t="n">
        <v>0</v>
      </c>
      <c r="AI292" s="21" t="n">
        <v>0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0</v>
      </c>
      <c r="AR292" s="21" t="n">
        <v>0</v>
      </c>
      <c r="AS292" s="21" t="n">
        <v>0</v>
      </c>
      <c r="AT292" s="19" t="n"/>
    </row>
    <row r="293">
      <c r="D293" s="21" t="n">
        <v>0</v>
      </c>
      <c r="E293" s="21" t="n">
        <v>0</v>
      </c>
      <c r="F293" s="21" t="n">
        <v>0</v>
      </c>
      <c r="G293" s="21" t="n">
        <v>0</v>
      </c>
      <c r="H293" s="21" t="n">
        <v>0</v>
      </c>
      <c r="I293" s="21" t="n">
        <v>0</v>
      </c>
      <c r="J293" s="21" t="n">
        <v>0</v>
      </c>
      <c r="K293" s="21" t="n">
        <v>0</v>
      </c>
      <c r="L293" s="21" t="n">
        <v>0</v>
      </c>
      <c r="M293" s="21" t="n">
        <v>0</v>
      </c>
      <c r="N293" s="21" t="n">
        <v>0</v>
      </c>
      <c r="O293" s="21" t="n">
        <v>0</v>
      </c>
      <c r="P293" s="21" t="n">
        <v>0</v>
      </c>
      <c r="Q293" s="21" t="n">
        <v>0</v>
      </c>
      <c r="R293" s="21" t="n">
        <v>0</v>
      </c>
      <c r="S293" s="21" t="n">
        <v>0</v>
      </c>
      <c r="T293" s="21">
        <f>-$B$18</f>
        <v/>
      </c>
      <c r="U293" s="21">
        <f>-$B$19</f>
        <v/>
      </c>
      <c r="V293" s="21">
        <f>2*$B$18+$D$262</f>
        <v/>
      </c>
      <c r="W293" s="21">
        <f>0</f>
        <v/>
      </c>
      <c r="X293" s="21">
        <f>-$B$18</f>
        <v/>
      </c>
      <c r="Y293" s="21">
        <f>$B$19</f>
        <v/>
      </c>
      <c r="Z293" s="21" t="n">
        <v>0</v>
      </c>
      <c r="AA293" s="21" t="n">
        <v>0</v>
      </c>
      <c r="AB293" s="21" t="n">
        <v>0</v>
      </c>
      <c r="AC293" s="21" t="n">
        <v>0</v>
      </c>
      <c r="AD293" s="21" t="n">
        <v>0</v>
      </c>
      <c r="AE293" s="21" t="n">
        <v>0</v>
      </c>
      <c r="AF293" s="21" t="n">
        <v>0</v>
      </c>
      <c r="AG293" s="21" t="n">
        <v>0</v>
      </c>
      <c r="AH293" s="21" t="n">
        <v>0</v>
      </c>
      <c r="AI293" s="21" t="n">
        <v>0</v>
      </c>
      <c r="AJ293" s="21" t="n">
        <v>0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0</v>
      </c>
      <c r="AP293" s="21" t="n">
        <v>0</v>
      </c>
      <c r="AQ293" s="21" t="n">
        <v>0</v>
      </c>
      <c r="AR293" s="21" t="n">
        <v>0</v>
      </c>
      <c r="AS293" s="21" t="n">
        <v>0</v>
      </c>
      <c r="AT293" s="19" t="n"/>
    </row>
    <row r="294">
      <c r="D294" s="21" t="n">
        <v>0</v>
      </c>
      <c r="E294" s="21" t="n">
        <v>0</v>
      </c>
      <c r="F294" s="21" t="n">
        <v>0</v>
      </c>
      <c r="G294" s="21" t="n">
        <v>0</v>
      </c>
      <c r="H294" s="21" t="n">
        <v>0</v>
      </c>
      <c r="I294" s="21" t="n">
        <v>0</v>
      </c>
      <c r="J294" s="21" t="n">
        <v>0</v>
      </c>
      <c r="K294" s="21" t="n">
        <v>0</v>
      </c>
      <c r="L294" s="21" t="n">
        <v>0</v>
      </c>
      <c r="M294" s="21" t="n">
        <v>0</v>
      </c>
      <c r="N294" s="21" t="n">
        <v>0</v>
      </c>
      <c r="O294" s="21" t="n">
        <v>0</v>
      </c>
      <c r="P294" s="21" t="n">
        <v>0</v>
      </c>
      <c r="Q294" s="21" t="n">
        <v>0</v>
      </c>
      <c r="R294" s="21" t="n">
        <v>0</v>
      </c>
      <c r="S294" s="21" t="n">
        <v>0</v>
      </c>
      <c r="T294" s="21">
        <f>$B$19</f>
        <v/>
      </c>
      <c r="U294" s="21">
        <f>$B$21</f>
        <v/>
      </c>
      <c r="V294" s="21">
        <f>0</f>
        <v/>
      </c>
      <c r="W294" s="21">
        <f>2*$B$20</f>
        <v/>
      </c>
      <c r="X294" s="21">
        <f>-$B$19</f>
        <v/>
      </c>
      <c r="Y294" s="21">
        <f>$B$21</f>
        <v/>
      </c>
      <c r="Z294" s="21" t="n">
        <v>0</v>
      </c>
      <c r="AA294" s="21" t="n">
        <v>0</v>
      </c>
      <c r="AB294" s="21" t="n">
        <v>0</v>
      </c>
      <c r="AC294" s="21" t="n">
        <v>0</v>
      </c>
      <c r="AD294" s="21" t="n">
        <v>0</v>
      </c>
      <c r="AE294" s="21" t="n">
        <v>0</v>
      </c>
      <c r="AF294" s="21" t="n">
        <v>0</v>
      </c>
      <c r="AG294" s="21" t="n">
        <v>0</v>
      </c>
      <c r="AH294" s="21" t="n">
        <v>0</v>
      </c>
      <c r="AI294" s="21" t="n">
        <v>0</v>
      </c>
      <c r="AJ294" s="21" t="n">
        <v>0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0</v>
      </c>
      <c r="AP294" s="21" t="n">
        <v>0</v>
      </c>
      <c r="AQ294" s="21" t="n">
        <v>0</v>
      </c>
      <c r="AR294" s="21" t="n">
        <v>0</v>
      </c>
      <c r="AS294" s="21" t="n">
        <v>0</v>
      </c>
      <c r="AT294" s="19" t="n"/>
    </row>
    <row r="295">
      <c r="D295" s="21" t="n">
        <v>0</v>
      </c>
      <c r="E295" s="21" t="n">
        <v>0</v>
      </c>
      <c r="F295" s="21" t="n">
        <v>0</v>
      </c>
      <c r="G295" s="21" t="n">
        <v>0</v>
      </c>
      <c r="H295" s="21" t="n">
        <v>0</v>
      </c>
      <c r="I295" s="21" t="n">
        <v>0</v>
      </c>
      <c r="J295" s="21" t="n">
        <v>0</v>
      </c>
      <c r="K295" s="21" t="n">
        <v>0</v>
      </c>
      <c r="L295" s="21" t="n">
        <v>0</v>
      </c>
      <c r="M295" s="21" t="n">
        <v>0</v>
      </c>
      <c r="N295" s="21" t="n">
        <v>0</v>
      </c>
      <c r="O295" s="21" t="n">
        <v>0</v>
      </c>
      <c r="P295" s="21" t="n">
        <v>0</v>
      </c>
      <c r="Q295" s="21" t="n">
        <v>0</v>
      </c>
      <c r="R295" s="21" t="n">
        <v>0</v>
      </c>
      <c r="S295" s="21" t="n">
        <v>0</v>
      </c>
      <c r="T295" s="21" t="n">
        <v>0</v>
      </c>
      <c r="U295" s="21" t="n">
        <v>0</v>
      </c>
      <c r="V295" s="21">
        <f>-$B$18</f>
        <v/>
      </c>
      <c r="W295" s="21">
        <f>-$B$19</f>
        <v/>
      </c>
      <c r="X295" s="21">
        <f>2*$B$18+$D$263</f>
        <v/>
      </c>
      <c r="Y295" s="21">
        <f>0</f>
        <v/>
      </c>
      <c r="Z295" s="21">
        <f>-$B$18</f>
        <v/>
      </c>
      <c r="AA295" s="21">
        <f>$B$19</f>
        <v/>
      </c>
      <c r="AB295" s="21" t="n">
        <v>0</v>
      </c>
      <c r="AC295" s="21" t="n">
        <v>0</v>
      </c>
      <c r="AD295" s="21" t="n">
        <v>0</v>
      </c>
      <c r="AE295" s="21" t="n">
        <v>0</v>
      </c>
      <c r="AF295" s="21" t="n">
        <v>0</v>
      </c>
      <c r="AG295" s="21" t="n">
        <v>0</v>
      </c>
      <c r="AH295" s="21" t="n">
        <v>0</v>
      </c>
      <c r="AI295" s="21" t="n">
        <v>0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19" t="n"/>
    </row>
    <row r="296">
      <c r="D296" s="21" t="n">
        <v>0</v>
      </c>
      <c r="E296" s="21" t="n">
        <v>0</v>
      </c>
      <c r="F296" s="21" t="n">
        <v>0</v>
      </c>
      <c r="G296" s="21" t="n">
        <v>0</v>
      </c>
      <c r="H296" s="21" t="n">
        <v>0</v>
      </c>
      <c r="I296" s="21" t="n">
        <v>0</v>
      </c>
      <c r="J296" s="21" t="n">
        <v>0</v>
      </c>
      <c r="K296" s="21" t="n">
        <v>0</v>
      </c>
      <c r="L296" s="21" t="n">
        <v>0</v>
      </c>
      <c r="M296" s="21" t="n">
        <v>0</v>
      </c>
      <c r="N296" s="21" t="n">
        <v>0</v>
      </c>
      <c r="O296" s="21" t="n">
        <v>0</v>
      </c>
      <c r="P296" s="21" t="n">
        <v>0</v>
      </c>
      <c r="Q296" s="21" t="n">
        <v>0</v>
      </c>
      <c r="R296" s="21" t="n">
        <v>0</v>
      </c>
      <c r="S296" s="21" t="n">
        <v>0</v>
      </c>
      <c r="T296" s="21" t="n">
        <v>0</v>
      </c>
      <c r="U296" s="21" t="n">
        <v>0</v>
      </c>
      <c r="V296" s="21">
        <f>$B$19</f>
        <v/>
      </c>
      <c r="W296" s="21">
        <f>$B$21</f>
        <v/>
      </c>
      <c r="X296" s="21">
        <f>0</f>
        <v/>
      </c>
      <c r="Y296" s="21">
        <f>2*$B$20</f>
        <v/>
      </c>
      <c r="Z296" s="21">
        <f>-$B$19</f>
        <v/>
      </c>
      <c r="AA296" s="21">
        <f>$B$21</f>
        <v/>
      </c>
      <c r="AB296" s="21" t="n">
        <v>0</v>
      </c>
      <c r="AC296" s="21" t="n">
        <v>0</v>
      </c>
      <c r="AD296" s="21" t="n">
        <v>0</v>
      </c>
      <c r="AE296" s="21" t="n">
        <v>0</v>
      </c>
      <c r="AF296" s="21" t="n">
        <v>0</v>
      </c>
      <c r="AG296" s="21" t="n">
        <v>0</v>
      </c>
      <c r="AH296" s="21" t="n">
        <v>0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19" t="n"/>
    </row>
    <row r="297">
      <c r="D297" s="21" t="n">
        <v>0</v>
      </c>
      <c r="E297" s="21" t="n">
        <v>0</v>
      </c>
      <c r="F297" s="21" t="n">
        <v>0</v>
      </c>
      <c r="G297" s="21" t="n">
        <v>0</v>
      </c>
      <c r="H297" s="21" t="n">
        <v>0</v>
      </c>
      <c r="I297" s="21" t="n">
        <v>0</v>
      </c>
      <c r="J297" s="21" t="n">
        <v>0</v>
      </c>
      <c r="K297" s="21" t="n">
        <v>0</v>
      </c>
      <c r="L297" s="21" t="n">
        <v>0</v>
      </c>
      <c r="M297" s="21" t="n">
        <v>0</v>
      </c>
      <c r="N297" s="21" t="n">
        <v>0</v>
      </c>
      <c r="O297" s="21" t="n">
        <v>0</v>
      </c>
      <c r="P297" s="21" t="n">
        <v>0</v>
      </c>
      <c r="Q297" s="21" t="n">
        <v>0</v>
      </c>
      <c r="R297" s="21" t="n">
        <v>0</v>
      </c>
      <c r="S297" s="21" t="n">
        <v>0</v>
      </c>
      <c r="T297" s="21" t="n">
        <v>0</v>
      </c>
      <c r="U297" s="21" t="n">
        <v>0</v>
      </c>
      <c r="V297" s="21" t="n">
        <v>0</v>
      </c>
      <c r="W297" s="21" t="n">
        <v>0</v>
      </c>
      <c r="X297" s="21">
        <f>-$B$18</f>
        <v/>
      </c>
      <c r="Y297" s="21">
        <f>-$B$19</f>
        <v/>
      </c>
      <c r="Z297" s="21">
        <f>2*$B$18+$D$264</f>
        <v/>
      </c>
      <c r="AA297" s="21">
        <f>0</f>
        <v/>
      </c>
      <c r="AB297" s="21">
        <f>-$B$18</f>
        <v/>
      </c>
      <c r="AC297" s="21">
        <f>$B$19</f>
        <v/>
      </c>
      <c r="AD297" s="21" t="n">
        <v>0</v>
      </c>
      <c r="AE297" s="21" t="n">
        <v>0</v>
      </c>
      <c r="AF297" s="21" t="n">
        <v>0</v>
      </c>
      <c r="AG297" s="21" t="n">
        <v>0</v>
      </c>
      <c r="AH297" s="21" t="n">
        <v>0</v>
      </c>
      <c r="AI297" s="21" t="n">
        <v>0</v>
      </c>
      <c r="AJ297" s="21" t="n">
        <v>0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0</v>
      </c>
      <c r="AQ297" s="21" t="n">
        <v>0</v>
      </c>
      <c r="AR297" s="21" t="n">
        <v>0</v>
      </c>
      <c r="AS297" s="21" t="n">
        <v>0</v>
      </c>
      <c r="AT297" s="19" t="n"/>
    </row>
    <row r="298">
      <c r="D298" s="21" t="n">
        <v>0</v>
      </c>
      <c r="E298" s="21" t="n">
        <v>0</v>
      </c>
      <c r="F298" s="21" t="n">
        <v>0</v>
      </c>
      <c r="G298" s="21" t="n">
        <v>0</v>
      </c>
      <c r="H298" s="21" t="n">
        <v>0</v>
      </c>
      <c r="I298" s="21" t="n">
        <v>0</v>
      </c>
      <c r="J298" s="21" t="n">
        <v>0</v>
      </c>
      <c r="K298" s="21" t="n">
        <v>0</v>
      </c>
      <c r="L298" s="21" t="n">
        <v>0</v>
      </c>
      <c r="M298" s="21" t="n">
        <v>0</v>
      </c>
      <c r="N298" s="21" t="n">
        <v>0</v>
      </c>
      <c r="O298" s="21" t="n">
        <v>0</v>
      </c>
      <c r="P298" s="21" t="n">
        <v>0</v>
      </c>
      <c r="Q298" s="21" t="n">
        <v>0</v>
      </c>
      <c r="R298" s="21" t="n">
        <v>0</v>
      </c>
      <c r="S298" s="21" t="n">
        <v>0</v>
      </c>
      <c r="T298" s="21" t="n">
        <v>0</v>
      </c>
      <c r="U298" s="21" t="n">
        <v>0</v>
      </c>
      <c r="V298" s="21" t="n">
        <v>0</v>
      </c>
      <c r="W298" s="21" t="n">
        <v>0</v>
      </c>
      <c r="X298" s="21">
        <f>$B$19</f>
        <v/>
      </c>
      <c r="Y298" s="21">
        <f>$B$21</f>
        <v/>
      </c>
      <c r="Z298" s="21">
        <f>0</f>
        <v/>
      </c>
      <c r="AA298" s="21">
        <f>2*$B$20</f>
        <v/>
      </c>
      <c r="AB298" s="21">
        <f>-$B$19</f>
        <v/>
      </c>
      <c r="AC298" s="21">
        <f>$B$21</f>
        <v/>
      </c>
      <c r="AD298" s="21" t="n">
        <v>0</v>
      </c>
      <c r="AE298" s="21" t="n">
        <v>0</v>
      </c>
      <c r="AF298" s="21" t="n">
        <v>0</v>
      </c>
      <c r="AG298" s="21" t="n">
        <v>0</v>
      </c>
      <c r="AH298" s="21" t="n">
        <v>0</v>
      </c>
      <c r="AI298" s="21" t="n">
        <v>0</v>
      </c>
      <c r="AJ298" s="21" t="n">
        <v>0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0</v>
      </c>
      <c r="AP298" s="21" t="n">
        <v>0</v>
      </c>
      <c r="AQ298" s="21" t="n">
        <v>0</v>
      </c>
      <c r="AR298" s="21" t="n">
        <v>0</v>
      </c>
      <c r="AS298" s="21" t="n">
        <v>0</v>
      </c>
      <c r="AT298" s="19" t="n"/>
    </row>
    <row r="299">
      <c r="D299" s="21" t="n">
        <v>0</v>
      </c>
      <c r="E299" s="21" t="n">
        <v>0</v>
      </c>
      <c r="F299" s="21" t="n">
        <v>0</v>
      </c>
      <c r="G299" s="21" t="n">
        <v>0</v>
      </c>
      <c r="H299" s="21" t="n">
        <v>0</v>
      </c>
      <c r="I299" s="21" t="n">
        <v>0</v>
      </c>
      <c r="J299" s="21" t="n">
        <v>0</v>
      </c>
      <c r="K299" s="21" t="n">
        <v>0</v>
      </c>
      <c r="L299" s="21" t="n">
        <v>0</v>
      </c>
      <c r="M299" s="21" t="n">
        <v>0</v>
      </c>
      <c r="N299" s="21" t="n">
        <v>0</v>
      </c>
      <c r="O299" s="21" t="n">
        <v>0</v>
      </c>
      <c r="P299" s="21" t="n">
        <v>0</v>
      </c>
      <c r="Q299" s="21" t="n">
        <v>0</v>
      </c>
      <c r="R299" s="21" t="n">
        <v>0</v>
      </c>
      <c r="S299" s="21" t="n">
        <v>0</v>
      </c>
      <c r="T299" s="21" t="n">
        <v>0</v>
      </c>
      <c r="U299" s="21" t="n">
        <v>0</v>
      </c>
      <c r="V299" s="21" t="n">
        <v>0</v>
      </c>
      <c r="W299" s="21" t="n">
        <v>0</v>
      </c>
      <c r="X299" s="21" t="n">
        <v>0</v>
      </c>
      <c r="Y299" s="21" t="n">
        <v>0</v>
      </c>
      <c r="Z299" s="21">
        <f>-$B$18</f>
        <v/>
      </c>
      <c r="AA299" s="21">
        <f>-$B$19</f>
        <v/>
      </c>
      <c r="AB299" s="21">
        <f>2*$B$18+$D$265</f>
        <v/>
      </c>
      <c r="AC299" s="21">
        <f>0</f>
        <v/>
      </c>
      <c r="AD299" s="21">
        <f>-$B$18</f>
        <v/>
      </c>
      <c r="AE299" s="21">
        <f>$B$19</f>
        <v/>
      </c>
      <c r="AF299" s="21" t="n">
        <v>0</v>
      </c>
      <c r="AG299" s="21" t="n">
        <v>0</v>
      </c>
      <c r="AH299" s="21" t="n">
        <v>0</v>
      </c>
      <c r="AI299" s="21" t="n">
        <v>0</v>
      </c>
      <c r="AJ299" s="21" t="n">
        <v>0</v>
      </c>
      <c r="AK299" s="21" t="n">
        <v>0</v>
      </c>
      <c r="AL299" s="21" t="n">
        <v>0</v>
      </c>
      <c r="AM299" s="21" t="n">
        <v>0</v>
      </c>
      <c r="AN299" s="21" t="n">
        <v>0</v>
      </c>
      <c r="AO299" s="21" t="n">
        <v>0</v>
      </c>
      <c r="AP299" s="21" t="n">
        <v>0</v>
      </c>
      <c r="AQ299" s="21" t="n">
        <v>0</v>
      </c>
      <c r="AR299" s="21" t="n">
        <v>0</v>
      </c>
      <c r="AS299" s="21" t="n">
        <v>0</v>
      </c>
      <c r="AT299" s="19" t="n"/>
    </row>
    <row r="300">
      <c r="D300" s="21" t="n">
        <v>0</v>
      </c>
      <c r="E300" s="21" t="n">
        <v>0</v>
      </c>
      <c r="F300" s="21" t="n">
        <v>0</v>
      </c>
      <c r="G300" s="21" t="n">
        <v>0</v>
      </c>
      <c r="H300" s="21" t="n">
        <v>0</v>
      </c>
      <c r="I300" s="21" t="n">
        <v>0</v>
      </c>
      <c r="J300" s="21" t="n">
        <v>0</v>
      </c>
      <c r="K300" s="21" t="n">
        <v>0</v>
      </c>
      <c r="L300" s="21" t="n">
        <v>0</v>
      </c>
      <c r="M300" s="21" t="n">
        <v>0</v>
      </c>
      <c r="N300" s="21" t="n">
        <v>0</v>
      </c>
      <c r="O300" s="21" t="n">
        <v>0</v>
      </c>
      <c r="P300" s="21" t="n">
        <v>0</v>
      </c>
      <c r="Q300" s="21" t="n">
        <v>0</v>
      </c>
      <c r="R300" s="21" t="n">
        <v>0</v>
      </c>
      <c r="S300" s="21" t="n">
        <v>0</v>
      </c>
      <c r="T300" s="21" t="n">
        <v>0</v>
      </c>
      <c r="U300" s="21" t="n">
        <v>0</v>
      </c>
      <c r="V300" s="21" t="n">
        <v>0</v>
      </c>
      <c r="W300" s="21" t="n">
        <v>0</v>
      </c>
      <c r="X300" s="21" t="n">
        <v>0</v>
      </c>
      <c r="Y300" s="21" t="n">
        <v>0</v>
      </c>
      <c r="Z300" s="21">
        <f>$B$19</f>
        <v/>
      </c>
      <c r="AA300" s="21">
        <f>$B$21</f>
        <v/>
      </c>
      <c r="AB300" s="21">
        <f>0</f>
        <v/>
      </c>
      <c r="AC300" s="21">
        <f>2*$B$20</f>
        <v/>
      </c>
      <c r="AD300" s="21">
        <f>-$B$19</f>
        <v/>
      </c>
      <c r="AE300" s="21">
        <f>$B$21</f>
        <v/>
      </c>
      <c r="AF300" s="21" t="n">
        <v>0</v>
      </c>
      <c r="AG300" s="21" t="n">
        <v>0</v>
      </c>
      <c r="AH300" s="21" t="n">
        <v>0</v>
      </c>
      <c r="AI300" s="21" t="n">
        <v>0</v>
      </c>
      <c r="AJ300" s="21" t="n">
        <v>0</v>
      </c>
      <c r="AK300" s="21" t="n">
        <v>0</v>
      </c>
      <c r="AL300" s="21" t="n">
        <v>0</v>
      </c>
      <c r="AM300" s="21" t="n">
        <v>0</v>
      </c>
      <c r="AN300" s="21" t="n">
        <v>0</v>
      </c>
      <c r="AO300" s="21" t="n">
        <v>0</v>
      </c>
      <c r="AP300" s="21" t="n">
        <v>0</v>
      </c>
      <c r="AQ300" s="21" t="n">
        <v>0</v>
      </c>
      <c r="AR300" s="21" t="n">
        <v>0</v>
      </c>
      <c r="AS300" s="21" t="n">
        <v>0</v>
      </c>
      <c r="AT300" s="19" t="n"/>
    </row>
    <row r="301">
      <c r="D301" s="21" t="n">
        <v>0</v>
      </c>
      <c r="E301" s="21" t="n">
        <v>0</v>
      </c>
      <c r="F301" s="21" t="n">
        <v>0</v>
      </c>
      <c r="G301" s="21" t="n">
        <v>0</v>
      </c>
      <c r="H301" s="21" t="n">
        <v>0</v>
      </c>
      <c r="I301" s="21" t="n">
        <v>0</v>
      </c>
      <c r="J301" s="21" t="n">
        <v>0</v>
      </c>
      <c r="K301" s="21" t="n">
        <v>0</v>
      </c>
      <c r="L301" s="21" t="n">
        <v>0</v>
      </c>
      <c r="M301" s="21" t="n">
        <v>0</v>
      </c>
      <c r="N301" s="21" t="n">
        <v>0</v>
      </c>
      <c r="O301" s="21" t="n">
        <v>0</v>
      </c>
      <c r="P301" s="21" t="n">
        <v>0</v>
      </c>
      <c r="Q301" s="21" t="n">
        <v>0</v>
      </c>
      <c r="R301" s="21" t="n">
        <v>0</v>
      </c>
      <c r="S301" s="21" t="n">
        <v>0</v>
      </c>
      <c r="T301" s="21" t="n">
        <v>0</v>
      </c>
      <c r="U301" s="21" t="n">
        <v>0</v>
      </c>
      <c r="V301" s="21" t="n">
        <v>0</v>
      </c>
      <c r="W301" s="21" t="n">
        <v>0</v>
      </c>
      <c r="X301" s="21" t="n">
        <v>0</v>
      </c>
      <c r="Y301" s="21" t="n">
        <v>0</v>
      </c>
      <c r="Z301" s="21" t="n">
        <v>0</v>
      </c>
      <c r="AA301" s="21" t="n">
        <v>0</v>
      </c>
      <c r="AB301" s="21">
        <f>-$B$18</f>
        <v/>
      </c>
      <c r="AC301" s="21">
        <f>-$B$19</f>
        <v/>
      </c>
      <c r="AD301" s="21">
        <f>2*$B$18+$D$266</f>
        <v/>
      </c>
      <c r="AE301" s="21">
        <f>0</f>
        <v/>
      </c>
      <c r="AF301" s="21">
        <f>-$B$18</f>
        <v/>
      </c>
      <c r="AG301" s="21">
        <f>$B$19</f>
        <v/>
      </c>
      <c r="AH301" s="21" t="n">
        <v>0</v>
      </c>
      <c r="AI301" s="21" t="n">
        <v>0</v>
      </c>
      <c r="AJ301" s="21" t="n">
        <v>0</v>
      </c>
      <c r="AK301" s="21" t="n">
        <v>0</v>
      </c>
      <c r="AL301" s="21" t="n">
        <v>0</v>
      </c>
      <c r="AM301" s="21" t="n">
        <v>0</v>
      </c>
      <c r="AN301" s="21" t="n">
        <v>0</v>
      </c>
      <c r="AO301" s="21" t="n">
        <v>0</v>
      </c>
      <c r="AP301" s="21" t="n">
        <v>0</v>
      </c>
      <c r="AQ301" s="21" t="n">
        <v>0</v>
      </c>
      <c r="AR301" s="21" t="n">
        <v>0</v>
      </c>
      <c r="AS301" s="21" t="n">
        <v>0</v>
      </c>
      <c r="AT301" s="19" t="n"/>
    </row>
    <row r="302">
      <c r="D302" s="21" t="n">
        <v>0</v>
      </c>
      <c r="E302" s="21" t="n">
        <v>0</v>
      </c>
      <c r="F302" s="21" t="n">
        <v>0</v>
      </c>
      <c r="G302" s="21" t="n">
        <v>0</v>
      </c>
      <c r="H302" s="21" t="n">
        <v>0</v>
      </c>
      <c r="I302" s="21" t="n">
        <v>0</v>
      </c>
      <c r="J302" s="21" t="n">
        <v>0</v>
      </c>
      <c r="K302" s="21" t="n">
        <v>0</v>
      </c>
      <c r="L302" s="21" t="n">
        <v>0</v>
      </c>
      <c r="M302" s="21" t="n">
        <v>0</v>
      </c>
      <c r="N302" s="21" t="n">
        <v>0</v>
      </c>
      <c r="O302" s="21" t="n">
        <v>0</v>
      </c>
      <c r="P302" s="21" t="n">
        <v>0</v>
      </c>
      <c r="Q302" s="21" t="n">
        <v>0</v>
      </c>
      <c r="R302" s="21" t="n">
        <v>0</v>
      </c>
      <c r="S302" s="21" t="n">
        <v>0</v>
      </c>
      <c r="T302" s="21" t="n">
        <v>0</v>
      </c>
      <c r="U302" s="21" t="n">
        <v>0</v>
      </c>
      <c r="V302" s="21" t="n">
        <v>0</v>
      </c>
      <c r="W302" s="21" t="n">
        <v>0</v>
      </c>
      <c r="X302" s="21" t="n">
        <v>0</v>
      </c>
      <c r="Y302" s="21" t="n">
        <v>0</v>
      </c>
      <c r="Z302" s="21" t="n">
        <v>0</v>
      </c>
      <c r="AA302" s="21" t="n">
        <v>0</v>
      </c>
      <c r="AB302" s="21">
        <f>$B$19</f>
        <v/>
      </c>
      <c r="AC302" s="21">
        <f>$B$21</f>
        <v/>
      </c>
      <c r="AD302" s="21">
        <f>0</f>
        <v/>
      </c>
      <c r="AE302" s="21">
        <f>2*$B$20</f>
        <v/>
      </c>
      <c r="AF302" s="21">
        <f>-$B$19</f>
        <v/>
      </c>
      <c r="AG302" s="21">
        <f>$B$21</f>
        <v/>
      </c>
      <c r="AH302" s="21" t="n">
        <v>0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19" t="n"/>
    </row>
    <row r="303">
      <c r="D303" s="21" t="n">
        <v>0</v>
      </c>
      <c r="E303" s="21" t="n">
        <v>0</v>
      </c>
      <c r="F303" s="21" t="n">
        <v>0</v>
      </c>
      <c r="G303" s="21" t="n">
        <v>0</v>
      </c>
      <c r="H303" s="21" t="n">
        <v>0</v>
      </c>
      <c r="I303" s="21" t="n">
        <v>0</v>
      </c>
      <c r="J303" s="21" t="n">
        <v>0</v>
      </c>
      <c r="K303" s="21" t="n">
        <v>0</v>
      </c>
      <c r="L303" s="21" t="n">
        <v>0</v>
      </c>
      <c r="M303" s="21" t="n">
        <v>0</v>
      </c>
      <c r="N303" s="21" t="n">
        <v>0</v>
      </c>
      <c r="O303" s="21" t="n">
        <v>0</v>
      </c>
      <c r="P303" s="21" t="n">
        <v>0</v>
      </c>
      <c r="Q303" s="21" t="n">
        <v>0</v>
      </c>
      <c r="R303" s="21" t="n">
        <v>0</v>
      </c>
      <c r="S303" s="21" t="n">
        <v>0</v>
      </c>
      <c r="T303" s="21" t="n">
        <v>0</v>
      </c>
      <c r="U303" s="21" t="n">
        <v>0</v>
      </c>
      <c r="V303" s="21" t="n">
        <v>0</v>
      </c>
      <c r="W303" s="21" t="n">
        <v>0</v>
      </c>
      <c r="X303" s="21" t="n">
        <v>0</v>
      </c>
      <c r="Y303" s="21" t="n">
        <v>0</v>
      </c>
      <c r="Z303" s="21" t="n">
        <v>0</v>
      </c>
      <c r="AA303" s="21" t="n">
        <v>0</v>
      </c>
      <c r="AB303" s="21" t="n">
        <v>0</v>
      </c>
      <c r="AC303" s="21" t="n">
        <v>0</v>
      </c>
      <c r="AD303" s="21">
        <f>-$B$18</f>
        <v/>
      </c>
      <c r="AE303" s="21">
        <f>-$B$19</f>
        <v/>
      </c>
      <c r="AF303" s="21">
        <f>2*$B$18+$D$267</f>
        <v/>
      </c>
      <c r="AG303" s="21">
        <f>0</f>
        <v/>
      </c>
      <c r="AH303" s="21">
        <f>-$B$18</f>
        <v/>
      </c>
      <c r="AI303" s="21">
        <f>$B$19</f>
        <v/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19" t="n"/>
    </row>
    <row r="304">
      <c r="D304" s="21" t="n">
        <v>0</v>
      </c>
      <c r="E304" s="21" t="n">
        <v>0</v>
      </c>
      <c r="F304" s="21" t="n">
        <v>0</v>
      </c>
      <c r="G304" s="21" t="n">
        <v>0</v>
      </c>
      <c r="H304" s="21" t="n">
        <v>0</v>
      </c>
      <c r="I304" s="21" t="n">
        <v>0</v>
      </c>
      <c r="J304" s="21" t="n">
        <v>0</v>
      </c>
      <c r="K304" s="21" t="n">
        <v>0</v>
      </c>
      <c r="L304" s="21" t="n">
        <v>0</v>
      </c>
      <c r="M304" s="21" t="n">
        <v>0</v>
      </c>
      <c r="N304" s="21" t="n">
        <v>0</v>
      </c>
      <c r="O304" s="21" t="n">
        <v>0</v>
      </c>
      <c r="P304" s="21" t="n">
        <v>0</v>
      </c>
      <c r="Q304" s="21" t="n">
        <v>0</v>
      </c>
      <c r="R304" s="21" t="n">
        <v>0</v>
      </c>
      <c r="S304" s="21" t="n">
        <v>0</v>
      </c>
      <c r="T304" s="21" t="n">
        <v>0</v>
      </c>
      <c r="U304" s="21" t="n">
        <v>0</v>
      </c>
      <c r="V304" s="21" t="n">
        <v>0</v>
      </c>
      <c r="W304" s="21" t="n">
        <v>0</v>
      </c>
      <c r="X304" s="21" t="n">
        <v>0</v>
      </c>
      <c r="Y304" s="21" t="n">
        <v>0</v>
      </c>
      <c r="Z304" s="21" t="n">
        <v>0</v>
      </c>
      <c r="AA304" s="21" t="n">
        <v>0</v>
      </c>
      <c r="AB304" s="21" t="n">
        <v>0</v>
      </c>
      <c r="AC304" s="21" t="n">
        <v>0</v>
      </c>
      <c r="AD304" s="21">
        <f>$B$19</f>
        <v/>
      </c>
      <c r="AE304" s="21">
        <f>$B$21</f>
        <v/>
      </c>
      <c r="AF304" s="21">
        <f>0</f>
        <v/>
      </c>
      <c r="AG304" s="21">
        <f>2*$B$20</f>
        <v/>
      </c>
      <c r="AH304" s="21">
        <f>-$B$19</f>
        <v/>
      </c>
      <c r="AI304" s="21">
        <f>$B$21</f>
        <v/>
      </c>
      <c r="AJ304" s="21" t="n">
        <v>0</v>
      </c>
      <c r="AK304" s="21" t="n">
        <v>0</v>
      </c>
      <c r="AL304" s="21" t="n">
        <v>0</v>
      </c>
      <c r="AM304" s="21" t="n">
        <v>0</v>
      </c>
      <c r="AN304" s="21" t="n">
        <v>0</v>
      </c>
      <c r="AO304" s="21" t="n">
        <v>0</v>
      </c>
      <c r="AP304" s="21" t="n">
        <v>0</v>
      </c>
      <c r="AQ304" s="21" t="n">
        <v>0</v>
      </c>
      <c r="AR304" s="21" t="n">
        <v>0</v>
      </c>
      <c r="AS304" s="21" t="n">
        <v>0</v>
      </c>
      <c r="AT304" s="19" t="n"/>
    </row>
    <row r="305">
      <c r="D305" s="21" t="n">
        <v>0</v>
      </c>
      <c r="E305" s="21" t="n">
        <v>0</v>
      </c>
      <c r="F305" s="21" t="n">
        <v>0</v>
      </c>
      <c r="G305" s="21" t="n">
        <v>0</v>
      </c>
      <c r="H305" s="21" t="n">
        <v>0</v>
      </c>
      <c r="I305" s="21" t="n">
        <v>0</v>
      </c>
      <c r="J305" s="21" t="n">
        <v>0</v>
      </c>
      <c r="K305" s="21" t="n">
        <v>0</v>
      </c>
      <c r="L305" s="21" t="n">
        <v>0</v>
      </c>
      <c r="M305" s="21" t="n">
        <v>0</v>
      </c>
      <c r="N305" s="21" t="n">
        <v>0</v>
      </c>
      <c r="O305" s="21" t="n">
        <v>0</v>
      </c>
      <c r="P305" s="21" t="n">
        <v>0</v>
      </c>
      <c r="Q305" s="21" t="n">
        <v>0</v>
      </c>
      <c r="R305" s="21" t="n">
        <v>0</v>
      </c>
      <c r="S305" s="21" t="n">
        <v>0</v>
      </c>
      <c r="T305" s="21" t="n">
        <v>0</v>
      </c>
      <c r="U305" s="21" t="n">
        <v>0</v>
      </c>
      <c r="V305" s="21" t="n">
        <v>0</v>
      </c>
      <c r="W305" s="21" t="n">
        <v>0</v>
      </c>
      <c r="X305" s="21" t="n">
        <v>0</v>
      </c>
      <c r="Y305" s="21" t="n">
        <v>0</v>
      </c>
      <c r="Z305" s="21" t="n">
        <v>0</v>
      </c>
      <c r="AA305" s="21" t="n">
        <v>0</v>
      </c>
      <c r="AB305" s="21" t="n">
        <v>0</v>
      </c>
      <c r="AC305" s="21" t="n">
        <v>0</v>
      </c>
      <c r="AD305" s="21" t="n">
        <v>0</v>
      </c>
      <c r="AE305" s="21" t="n">
        <v>0</v>
      </c>
      <c r="AF305" s="21">
        <f>-$B$18</f>
        <v/>
      </c>
      <c r="AG305" s="21">
        <f>-$B$19</f>
        <v/>
      </c>
      <c r="AH305" s="21">
        <f>2*$B$18+$D$268</f>
        <v/>
      </c>
      <c r="AI305" s="21">
        <f>0</f>
        <v/>
      </c>
      <c r="AJ305" s="21">
        <f>-$B$18</f>
        <v/>
      </c>
      <c r="AK305" s="21">
        <f>$B$19</f>
        <v/>
      </c>
      <c r="AL305" s="21" t="n">
        <v>0</v>
      </c>
      <c r="AM305" s="21" t="n">
        <v>0</v>
      </c>
      <c r="AN305" s="21" t="n">
        <v>0</v>
      </c>
      <c r="AO305" s="21" t="n">
        <v>0</v>
      </c>
      <c r="AP305" s="21" t="n">
        <v>0</v>
      </c>
      <c r="AQ305" s="21" t="n">
        <v>0</v>
      </c>
      <c r="AR305" s="21" t="n">
        <v>0</v>
      </c>
      <c r="AS305" s="21" t="n">
        <v>0</v>
      </c>
      <c r="AT305" s="19" t="n"/>
    </row>
    <row r="306">
      <c r="D306" s="21" t="n">
        <v>0</v>
      </c>
      <c r="E306" s="21" t="n">
        <v>0</v>
      </c>
      <c r="F306" s="21" t="n">
        <v>0</v>
      </c>
      <c r="G306" s="21" t="n">
        <v>0</v>
      </c>
      <c r="H306" s="21" t="n">
        <v>0</v>
      </c>
      <c r="I306" s="21" t="n">
        <v>0</v>
      </c>
      <c r="J306" s="21" t="n">
        <v>0</v>
      </c>
      <c r="K306" s="21" t="n">
        <v>0</v>
      </c>
      <c r="L306" s="21" t="n">
        <v>0</v>
      </c>
      <c r="M306" s="21" t="n">
        <v>0</v>
      </c>
      <c r="N306" s="21" t="n">
        <v>0</v>
      </c>
      <c r="O306" s="21" t="n">
        <v>0</v>
      </c>
      <c r="P306" s="21" t="n">
        <v>0</v>
      </c>
      <c r="Q306" s="21" t="n">
        <v>0</v>
      </c>
      <c r="R306" s="21" t="n">
        <v>0</v>
      </c>
      <c r="S306" s="21" t="n">
        <v>0</v>
      </c>
      <c r="T306" s="21" t="n">
        <v>0</v>
      </c>
      <c r="U306" s="21" t="n">
        <v>0</v>
      </c>
      <c r="V306" s="21" t="n">
        <v>0</v>
      </c>
      <c r="W306" s="21" t="n">
        <v>0</v>
      </c>
      <c r="X306" s="21" t="n">
        <v>0</v>
      </c>
      <c r="Y306" s="21" t="n">
        <v>0</v>
      </c>
      <c r="Z306" s="21" t="n">
        <v>0</v>
      </c>
      <c r="AA306" s="21" t="n">
        <v>0</v>
      </c>
      <c r="AB306" s="21" t="n">
        <v>0</v>
      </c>
      <c r="AC306" s="21" t="n">
        <v>0</v>
      </c>
      <c r="AD306" s="21" t="n">
        <v>0</v>
      </c>
      <c r="AE306" s="21" t="n">
        <v>0</v>
      </c>
      <c r="AF306" s="21">
        <f>$B$19</f>
        <v/>
      </c>
      <c r="AG306" s="21">
        <f>$B$21</f>
        <v/>
      </c>
      <c r="AH306" s="21">
        <f>0</f>
        <v/>
      </c>
      <c r="AI306" s="21">
        <f>2*$B$20</f>
        <v/>
      </c>
      <c r="AJ306" s="21">
        <f>-$B$19</f>
        <v/>
      </c>
      <c r="AK306" s="21">
        <f>$B$21</f>
        <v/>
      </c>
      <c r="AL306" s="21" t="n">
        <v>0</v>
      </c>
      <c r="AM306" s="21" t="n">
        <v>0</v>
      </c>
      <c r="AN306" s="21" t="n">
        <v>0</v>
      </c>
      <c r="AO306" s="21" t="n">
        <v>0</v>
      </c>
      <c r="AP306" s="21" t="n">
        <v>0</v>
      </c>
      <c r="AQ306" s="21" t="n">
        <v>0</v>
      </c>
      <c r="AR306" s="21" t="n">
        <v>0</v>
      </c>
      <c r="AS306" s="21" t="n">
        <v>0</v>
      </c>
      <c r="AT306" s="19" t="n"/>
    </row>
    <row r="307">
      <c r="D307" s="21" t="n">
        <v>0</v>
      </c>
      <c r="E307" s="21" t="n">
        <v>0</v>
      </c>
      <c r="F307" s="21" t="n">
        <v>0</v>
      </c>
      <c r="G307" s="21" t="n">
        <v>0</v>
      </c>
      <c r="H307" s="21" t="n">
        <v>0</v>
      </c>
      <c r="I307" s="21" t="n">
        <v>0</v>
      </c>
      <c r="J307" s="21" t="n">
        <v>0</v>
      </c>
      <c r="K307" s="21" t="n">
        <v>0</v>
      </c>
      <c r="L307" s="21" t="n">
        <v>0</v>
      </c>
      <c r="M307" s="21" t="n">
        <v>0</v>
      </c>
      <c r="N307" s="21" t="n">
        <v>0</v>
      </c>
      <c r="O307" s="21" t="n">
        <v>0</v>
      </c>
      <c r="P307" s="21" t="n">
        <v>0</v>
      </c>
      <c r="Q307" s="21" t="n">
        <v>0</v>
      </c>
      <c r="R307" s="21" t="n">
        <v>0</v>
      </c>
      <c r="S307" s="21" t="n">
        <v>0</v>
      </c>
      <c r="T307" s="21" t="n">
        <v>0</v>
      </c>
      <c r="U307" s="21" t="n">
        <v>0</v>
      </c>
      <c r="V307" s="21" t="n">
        <v>0</v>
      </c>
      <c r="W307" s="21" t="n">
        <v>0</v>
      </c>
      <c r="X307" s="21" t="n">
        <v>0</v>
      </c>
      <c r="Y307" s="21" t="n">
        <v>0</v>
      </c>
      <c r="Z307" s="21" t="n">
        <v>0</v>
      </c>
      <c r="AA307" s="21" t="n">
        <v>0</v>
      </c>
      <c r="AB307" s="21" t="n">
        <v>0</v>
      </c>
      <c r="AC307" s="21" t="n">
        <v>0</v>
      </c>
      <c r="AD307" s="21" t="n">
        <v>0</v>
      </c>
      <c r="AE307" s="21" t="n">
        <v>0</v>
      </c>
      <c r="AF307" s="21" t="n">
        <v>0</v>
      </c>
      <c r="AG307" s="21" t="n">
        <v>0</v>
      </c>
      <c r="AH307" s="21">
        <f>-$B$18</f>
        <v/>
      </c>
      <c r="AI307" s="21">
        <f>-$B$19</f>
        <v/>
      </c>
      <c r="AJ307" s="21">
        <f>2*$B$18+$D$269</f>
        <v/>
      </c>
      <c r="AK307" s="21">
        <f>0</f>
        <v/>
      </c>
      <c r="AL307" s="21">
        <f>-$B$18</f>
        <v/>
      </c>
      <c r="AM307" s="21">
        <f>$B$19</f>
        <v/>
      </c>
      <c r="AN307" s="21" t="n">
        <v>0</v>
      </c>
      <c r="AO307" s="21" t="n">
        <v>0</v>
      </c>
      <c r="AP307" s="21" t="n">
        <v>0</v>
      </c>
      <c r="AQ307" s="21" t="n">
        <v>0</v>
      </c>
      <c r="AR307" s="21" t="n">
        <v>0</v>
      </c>
      <c r="AS307" s="21" t="n">
        <v>0</v>
      </c>
      <c r="AT307" s="19" t="n"/>
    </row>
    <row r="308">
      <c r="D308" s="21" t="n">
        <v>0</v>
      </c>
      <c r="E308" s="21" t="n">
        <v>0</v>
      </c>
      <c r="F308" s="21" t="n">
        <v>0</v>
      </c>
      <c r="G308" s="21" t="n">
        <v>0</v>
      </c>
      <c r="H308" s="21" t="n">
        <v>0</v>
      </c>
      <c r="I308" s="21" t="n">
        <v>0</v>
      </c>
      <c r="J308" s="21" t="n">
        <v>0</v>
      </c>
      <c r="K308" s="21" t="n">
        <v>0</v>
      </c>
      <c r="L308" s="21" t="n">
        <v>0</v>
      </c>
      <c r="M308" s="21" t="n">
        <v>0</v>
      </c>
      <c r="N308" s="21" t="n">
        <v>0</v>
      </c>
      <c r="O308" s="21" t="n">
        <v>0</v>
      </c>
      <c r="P308" s="21" t="n">
        <v>0</v>
      </c>
      <c r="Q308" s="21" t="n">
        <v>0</v>
      </c>
      <c r="R308" s="21" t="n">
        <v>0</v>
      </c>
      <c r="S308" s="21" t="n">
        <v>0</v>
      </c>
      <c r="T308" s="21" t="n">
        <v>0</v>
      </c>
      <c r="U308" s="21" t="n">
        <v>0</v>
      </c>
      <c r="V308" s="21" t="n">
        <v>0</v>
      </c>
      <c r="W308" s="21" t="n">
        <v>0</v>
      </c>
      <c r="X308" s="21" t="n">
        <v>0</v>
      </c>
      <c r="Y308" s="21" t="n">
        <v>0</v>
      </c>
      <c r="Z308" s="21" t="n">
        <v>0</v>
      </c>
      <c r="AA308" s="21" t="n">
        <v>0</v>
      </c>
      <c r="AB308" s="21" t="n">
        <v>0</v>
      </c>
      <c r="AC308" s="21" t="n">
        <v>0</v>
      </c>
      <c r="AD308" s="21" t="n">
        <v>0</v>
      </c>
      <c r="AE308" s="21" t="n">
        <v>0</v>
      </c>
      <c r="AF308" s="21" t="n">
        <v>0</v>
      </c>
      <c r="AG308" s="21" t="n">
        <v>0</v>
      </c>
      <c r="AH308" s="21">
        <f>$B$19</f>
        <v/>
      </c>
      <c r="AI308" s="21">
        <f>$B$21</f>
        <v/>
      </c>
      <c r="AJ308" s="21">
        <f>0</f>
        <v/>
      </c>
      <c r="AK308" s="21">
        <f>2*$B$20</f>
        <v/>
      </c>
      <c r="AL308" s="21">
        <f>-$B$19</f>
        <v/>
      </c>
      <c r="AM308" s="21">
        <f>$B$21</f>
        <v/>
      </c>
      <c r="AN308" s="21" t="n">
        <v>0</v>
      </c>
      <c r="AO308" s="21" t="n">
        <v>0</v>
      </c>
      <c r="AP308" s="21" t="n">
        <v>0</v>
      </c>
      <c r="AQ308" s="21" t="n">
        <v>0</v>
      </c>
      <c r="AR308" s="21" t="n">
        <v>0</v>
      </c>
      <c r="AS308" s="21" t="n">
        <v>0</v>
      </c>
      <c r="AT308" s="19" t="n"/>
    </row>
    <row r="309">
      <c r="D309" s="21" t="n">
        <v>0</v>
      </c>
      <c r="E309" s="21" t="n">
        <v>0</v>
      </c>
      <c r="F309" s="21" t="n">
        <v>0</v>
      </c>
      <c r="G309" s="21" t="n">
        <v>0</v>
      </c>
      <c r="H309" s="21" t="n">
        <v>0</v>
      </c>
      <c r="I309" s="21" t="n">
        <v>0</v>
      </c>
      <c r="J309" s="21" t="n">
        <v>0</v>
      </c>
      <c r="K309" s="21" t="n">
        <v>0</v>
      </c>
      <c r="L309" s="21" t="n">
        <v>0</v>
      </c>
      <c r="M309" s="21" t="n">
        <v>0</v>
      </c>
      <c r="N309" s="21" t="n">
        <v>0</v>
      </c>
      <c r="O309" s="21" t="n">
        <v>0</v>
      </c>
      <c r="P309" s="21" t="n">
        <v>0</v>
      </c>
      <c r="Q309" s="21" t="n">
        <v>0</v>
      </c>
      <c r="R309" s="21" t="n">
        <v>0</v>
      </c>
      <c r="S309" s="21" t="n">
        <v>0</v>
      </c>
      <c r="T309" s="21" t="n">
        <v>0</v>
      </c>
      <c r="U309" s="21" t="n">
        <v>0</v>
      </c>
      <c r="V309" s="21" t="n">
        <v>0</v>
      </c>
      <c r="W309" s="21" t="n">
        <v>0</v>
      </c>
      <c r="X309" s="21" t="n">
        <v>0</v>
      </c>
      <c r="Y309" s="21" t="n">
        <v>0</v>
      </c>
      <c r="Z309" s="21" t="n">
        <v>0</v>
      </c>
      <c r="AA309" s="21" t="n">
        <v>0</v>
      </c>
      <c r="AB309" s="21" t="n">
        <v>0</v>
      </c>
      <c r="AC309" s="21" t="n">
        <v>0</v>
      </c>
      <c r="AD309" s="21" t="n">
        <v>0</v>
      </c>
      <c r="AE309" s="21" t="n">
        <v>0</v>
      </c>
      <c r="AF309" s="21" t="n">
        <v>0</v>
      </c>
      <c r="AG309" s="21" t="n">
        <v>0</v>
      </c>
      <c r="AH309" s="21" t="n">
        <v>0</v>
      </c>
      <c r="AI309" s="21" t="n">
        <v>0</v>
      </c>
      <c r="AJ309" s="21">
        <f>-$B$18</f>
        <v/>
      </c>
      <c r="AK309" s="21">
        <f>-$B$19</f>
        <v/>
      </c>
      <c r="AL309" s="21">
        <f>2*$B$18+$D$270</f>
        <v/>
      </c>
      <c r="AM309" s="21">
        <f>0</f>
        <v/>
      </c>
      <c r="AN309" s="21">
        <f>-$B$18</f>
        <v/>
      </c>
      <c r="AO309" s="21">
        <f>$B$19</f>
        <v/>
      </c>
      <c r="AP309" s="21" t="n">
        <v>0</v>
      </c>
      <c r="AQ309" s="21" t="n">
        <v>0</v>
      </c>
      <c r="AR309" s="21" t="n">
        <v>0</v>
      </c>
      <c r="AS309" s="21" t="n">
        <v>0</v>
      </c>
      <c r="AT309" s="19" t="n"/>
    </row>
    <row r="310">
      <c r="D310" s="21" t="n">
        <v>0</v>
      </c>
      <c r="E310" s="21" t="n">
        <v>0</v>
      </c>
      <c r="F310" s="21" t="n">
        <v>0</v>
      </c>
      <c r="G310" s="21" t="n">
        <v>0</v>
      </c>
      <c r="H310" s="21" t="n">
        <v>0</v>
      </c>
      <c r="I310" s="21" t="n">
        <v>0</v>
      </c>
      <c r="J310" s="21" t="n">
        <v>0</v>
      </c>
      <c r="K310" s="21" t="n">
        <v>0</v>
      </c>
      <c r="L310" s="21" t="n">
        <v>0</v>
      </c>
      <c r="M310" s="21" t="n">
        <v>0</v>
      </c>
      <c r="N310" s="21" t="n">
        <v>0</v>
      </c>
      <c r="O310" s="21" t="n">
        <v>0</v>
      </c>
      <c r="P310" s="21" t="n">
        <v>0</v>
      </c>
      <c r="Q310" s="21" t="n">
        <v>0</v>
      </c>
      <c r="R310" s="21" t="n">
        <v>0</v>
      </c>
      <c r="S310" s="21" t="n">
        <v>0</v>
      </c>
      <c r="T310" s="21" t="n">
        <v>0</v>
      </c>
      <c r="U310" s="21" t="n">
        <v>0</v>
      </c>
      <c r="V310" s="21" t="n">
        <v>0</v>
      </c>
      <c r="W310" s="21" t="n">
        <v>0</v>
      </c>
      <c r="X310" s="21" t="n">
        <v>0</v>
      </c>
      <c r="Y310" s="21" t="n">
        <v>0</v>
      </c>
      <c r="Z310" s="21" t="n">
        <v>0</v>
      </c>
      <c r="AA310" s="21" t="n">
        <v>0</v>
      </c>
      <c r="AB310" s="21" t="n">
        <v>0</v>
      </c>
      <c r="AC310" s="21" t="n">
        <v>0</v>
      </c>
      <c r="AD310" s="21" t="n">
        <v>0</v>
      </c>
      <c r="AE310" s="21" t="n">
        <v>0</v>
      </c>
      <c r="AF310" s="21" t="n">
        <v>0</v>
      </c>
      <c r="AG310" s="21" t="n">
        <v>0</v>
      </c>
      <c r="AH310" s="21" t="n">
        <v>0</v>
      </c>
      <c r="AI310" s="21" t="n">
        <v>0</v>
      </c>
      <c r="AJ310" s="21">
        <f>$B$19</f>
        <v/>
      </c>
      <c r="AK310" s="21">
        <f>$B$21</f>
        <v/>
      </c>
      <c r="AL310" s="21">
        <f>0</f>
        <v/>
      </c>
      <c r="AM310" s="21">
        <f>2*$B$20</f>
        <v/>
      </c>
      <c r="AN310" s="21">
        <f>-$B$19</f>
        <v/>
      </c>
      <c r="AO310" s="21">
        <f>$B$21</f>
        <v/>
      </c>
      <c r="AP310" s="21" t="n">
        <v>0</v>
      </c>
      <c r="AQ310" s="21" t="n">
        <v>0</v>
      </c>
      <c r="AR310" s="21" t="n">
        <v>0</v>
      </c>
      <c r="AS310" s="21" t="n">
        <v>0</v>
      </c>
      <c r="AT310" s="19" t="n"/>
    </row>
    <row r="311">
      <c r="D311" s="21" t="n">
        <v>0</v>
      </c>
      <c r="E311" s="21" t="n">
        <v>0</v>
      </c>
      <c r="F311" s="21" t="n">
        <v>0</v>
      </c>
      <c r="G311" s="21" t="n">
        <v>0</v>
      </c>
      <c r="H311" s="21" t="n">
        <v>0</v>
      </c>
      <c r="I311" s="21" t="n">
        <v>0</v>
      </c>
      <c r="J311" s="21" t="n">
        <v>0</v>
      </c>
      <c r="K311" s="21" t="n">
        <v>0</v>
      </c>
      <c r="L311" s="21" t="n">
        <v>0</v>
      </c>
      <c r="M311" s="21" t="n">
        <v>0</v>
      </c>
      <c r="N311" s="21" t="n">
        <v>0</v>
      </c>
      <c r="O311" s="21" t="n">
        <v>0</v>
      </c>
      <c r="P311" s="21" t="n">
        <v>0</v>
      </c>
      <c r="Q311" s="21" t="n">
        <v>0</v>
      </c>
      <c r="R311" s="21" t="n">
        <v>0</v>
      </c>
      <c r="S311" s="21" t="n">
        <v>0</v>
      </c>
      <c r="T311" s="21" t="n">
        <v>0</v>
      </c>
      <c r="U311" s="21" t="n">
        <v>0</v>
      </c>
      <c r="V311" s="21" t="n">
        <v>0</v>
      </c>
      <c r="W311" s="21" t="n">
        <v>0</v>
      </c>
      <c r="X311" s="21" t="n">
        <v>0</v>
      </c>
      <c r="Y311" s="21" t="n">
        <v>0</v>
      </c>
      <c r="Z311" s="21" t="n">
        <v>0</v>
      </c>
      <c r="AA311" s="21" t="n">
        <v>0</v>
      </c>
      <c r="AB311" s="21" t="n">
        <v>0</v>
      </c>
      <c r="AC311" s="21" t="n">
        <v>0</v>
      </c>
      <c r="AD311" s="21" t="n">
        <v>0</v>
      </c>
      <c r="AE311" s="21" t="n">
        <v>0</v>
      </c>
      <c r="AF311" s="21" t="n">
        <v>0</v>
      </c>
      <c r="AG311" s="21" t="n">
        <v>0</v>
      </c>
      <c r="AH311" s="21" t="n">
        <v>0</v>
      </c>
      <c r="AI311" s="21" t="n">
        <v>0</v>
      </c>
      <c r="AJ311" s="21" t="n">
        <v>0</v>
      </c>
      <c r="AK311" s="21" t="n">
        <v>0</v>
      </c>
      <c r="AL311" s="21">
        <f>-$B$18</f>
        <v/>
      </c>
      <c r="AM311" s="21">
        <f>-$B$19</f>
        <v/>
      </c>
      <c r="AN311" s="21">
        <f>2*$B$18+$D$271</f>
        <v/>
      </c>
      <c r="AO311" s="21">
        <f>0</f>
        <v/>
      </c>
      <c r="AP311" s="21">
        <f>-$B$18</f>
        <v/>
      </c>
      <c r="AQ311" s="21">
        <f>$B$19</f>
        <v/>
      </c>
      <c r="AR311" s="21" t="n">
        <v>0</v>
      </c>
      <c r="AS311" s="21" t="n">
        <v>0</v>
      </c>
      <c r="AT311" s="19" t="n"/>
    </row>
    <row r="312"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1" t="n">
        <v>0</v>
      </c>
      <c r="J312" s="21" t="n">
        <v>0</v>
      </c>
      <c r="K312" s="21" t="n">
        <v>0</v>
      </c>
      <c r="L312" s="21" t="n">
        <v>0</v>
      </c>
      <c r="M312" s="21" t="n">
        <v>0</v>
      </c>
      <c r="N312" s="21" t="n">
        <v>0</v>
      </c>
      <c r="O312" s="21" t="n">
        <v>0</v>
      </c>
      <c r="P312" s="21" t="n">
        <v>0</v>
      </c>
      <c r="Q312" s="21" t="n">
        <v>0</v>
      </c>
      <c r="R312" s="21" t="n">
        <v>0</v>
      </c>
      <c r="S312" s="21" t="n">
        <v>0</v>
      </c>
      <c r="T312" s="21" t="n">
        <v>0</v>
      </c>
      <c r="U312" s="21" t="n">
        <v>0</v>
      </c>
      <c r="V312" s="21" t="n">
        <v>0</v>
      </c>
      <c r="W312" s="21" t="n">
        <v>0</v>
      </c>
      <c r="X312" s="21" t="n">
        <v>0</v>
      </c>
      <c r="Y312" s="21" t="n">
        <v>0</v>
      </c>
      <c r="Z312" s="21" t="n">
        <v>0</v>
      </c>
      <c r="AA312" s="21" t="n">
        <v>0</v>
      </c>
      <c r="AB312" s="21" t="n">
        <v>0</v>
      </c>
      <c r="AC312" s="21" t="n">
        <v>0</v>
      </c>
      <c r="AD312" s="21" t="n">
        <v>0</v>
      </c>
      <c r="AE312" s="21" t="n">
        <v>0</v>
      </c>
      <c r="AF312" s="21" t="n">
        <v>0</v>
      </c>
      <c r="AG312" s="21" t="n">
        <v>0</v>
      </c>
      <c r="AH312" s="21" t="n">
        <v>0</v>
      </c>
      <c r="AI312" s="21" t="n">
        <v>0</v>
      </c>
      <c r="AJ312" s="21" t="n">
        <v>0</v>
      </c>
      <c r="AK312" s="21" t="n">
        <v>0</v>
      </c>
      <c r="AL312" s="21">
        <f>$B$19</f>
        <v/>
      </c>
      <c r="AM312" s="21">
        <f>$B$21</f>
        <v/>
      </c>
      <c r="AN312" s="21">
        <f>0</f>
        <v/>
      </c>
      <c r="AO312" s="21">
        <f>2*$B$20</f>
        <v/>
      </c>
      <c r="AP312" s="21">
        <f>-$B$19</f>
        <v/>
      </c>
      <c r="AQ312" s="21">
        <f>$B$21</f>
        <v/>
      </c>
      <c r="AR312" s="21" t="n">
        <v>0</v>
      </c>
      <c r="AS312" s="21" t="n">
        <v>0</v>
      </c>
      <c r="AT312" s="19" t="n"/>
    </row>
    <row r="313">
      <c r="D313" s="21" t="n">
        <v>0</v>
      </c>
      <c r="E313" s="21" t="n">
        <v>0</v>
      </c>
      <c r="F313" s="21" t="n">
        <v>0</v>
      </c>
      <c r="G313" s="21" t="n">
        <v>0</v>
      </c>
      <c r="H313" s="21" t="n">
        <v>0</v>
      </c>
      <c r="I313" s="21" t="n">
        <v>0</v>
      </c>
      <c r="J313" s="21" t="n">
        <v>0</v>
      </c>
      <c r="K313" s="21" t="n">
        <v>0</v>
      </c>
      <c r="L313" s="21" t="n">
        <v>0</v>
      </c>
      <c r="M313" s="21" t="n">
        <v>0</v>
      </c>
      <c r="N313" s="21" t="n">
        <v>0</v>
      </c>
      <c r="O313" s="21" t="n">
        <v>0</v>
      </c>
      <c r="P313" s="21" t="n">
        <v>0</v>
      </c>
      <c r="Q313" s="21" t="n">
        <v>0</v>
      </c>
      <c r="R313" s="21" t="n">
        <v>0</v>
      </c>
      <c r="S313" s="21" t="n">
        <v>0</v>
      </c>
      <c r="T313" s="21" t="n">
        <v>0</v>
      </c>
      <c r="U313" s="21" t="n">
        <v>0</v>
      </c>
      <c r="V313" s="21" t="n">
        <v>0</v>
      </c>
      <c r="W313" s="21" t="n">
        <v>0</v>
      </c>
      <c r="X313" s="21" t="n">
        <v>0</v>
      </c>
      <c r="Y313" s="21" t="n">
        <v>0</v>
      </c>
      <c r="Z313" s="21" t="n">
        <v>0</v>
      </c>
      <c r="AA313" s="21" t="n">
        <v>0</v>
      </c>
      <c r="AB313" s="21" t="n">
        <v>0</v>
      </c>
      <c r="AC313" s="21" t="n">
        <v>0</v>
      </c>
      <c r="AD313" s="21" t="n">
        <v>0</v>
      </c>
      <c r="AE313" s="21" t="n">
        <v>0</v>
      </c>
      <c r="AF313" s="21" t="n">
        <v>0</v>
      </c>
      <c r="AG313" s="21" t="n">
        <v>0</v>
      </c>
      <c r="AH313" s="21" t="n">
        <v>0</v>
      </c>
      <c r="AI313" s="21" t="n">
        <v>0</v>
      </c>
      <c r="AJ313" s="21" t="n">
        <v>0</v>
      </c>
      <c r="AK313" s="21" t="n">
        <v>0</v>
      </c>
      <c r="AL313" s="21" t="n">
        <v>0</v>
      </c>
      <c r="AM313" s="21" t="n">
        <v>0</v>
      </c>
      <c r="AN313" s="21">
        <f>-$B$18</f>
        <v/>
      </c>
      <c r="AO313" s="21">
        <f>-$B$19</f>
        <v/>
      </c>
      <c r="AP313" s="21">
        <f>2*$B$18+$D$272</f>
        <v/>
      </c>
      <c r="AQ313" s="21">
        <f>0</f>
        <v/>
      </c>
      <c r="AR313" s="21">
        <f>-$B$18</f>
        <v/>
      </c>
      <c r="AS313" s="21">
        <f>$B$19</f>
        <v/>
      </c>
      <c r="AT313" s="19" t="n"/>
    </row>
    <row r="314">
      <c r="D314" s="21" t="n">
        <v>0</v>
      </c>
      <c r="E314" s="21" t="n">
        <v>0</v>
      </c>
      <c r="F314" s="21" t="n">
        <v>0</v>
      </c>
      <c r="G314" s="21" t="n">
        <v>0</v>
      </c>
      <c r="H314" s="21" t="n">
        <v>0</v>
      </c>
      <c r="I314" s="21" t="n">
        <v>0</v>
      </c>
      <c r="J314" s="21" t="n">
        <v>0</v>
      </c>
      <c r="K314" s="21" t="n">
        <v>0</v>
      </c>
      <c r="L314" s="21" t="n">
        <v>0</v>
      </c>
      <c r="M314" s="21" t="n">
        <v>0</v>
      </c>
      <c r="N314" s="21" t="n">
        <v>0</v>
      </c>
      <c r="O314" s="21" t="n">
        <v>0</v>
      </c>
      <c r="P314" s="21" t="n">
        <v>0</v>
      </c>
      <c r="Q314" s="21" t="n">
        <v>0</v>
      </c>
      <c r="R314" s="21" t="n">
        <v>0</v>
      </c>
      <c r="S314" s="21" t="n">
        <v>0</v>
      </c>
      <c r="T314" s="21" t="n">
        <v>0</v>
      </c>
      <c r="U314" s="21" t="n">
        <v>0</v>
      </c>
      <c r="V314" s="21" t="n">
        <v>0</v>
      </c>
      <c r="W314" s="21" t="n">
        <v>0</v>
      </c>
      <c r="X314" s="21" t="n">
        <v>0</v>
      </c>
      <c r="Y314" s="21" t="n">
        <v>0</v>
      </c>
      <c r="Z314" s="21" t="n">
        <v>0</v>
      </c>
      <c r="AA314" s="21" t="n">
        <v>0</v>
      </c>
      <c r="AB314" s="21" t="n">
        <v>0</v>
      </c>
      <c r="AC314" s="21" t="n">
        <v>0</v>
      </c>
      <c r="AD314" s="21" t="n">
        <v>0</v>
      </c>
      <c r="AE314" s="21" t="n">
        <v>0</v>
      </c>
      <c r="AF314" s="21" t="n">
        <v>0</v>
      </c>
      <c r="AG314" s="21" t="n">
        <v>0</v>
      </c>
      <c r="AH314" s="21" t="n">
        <v>0</v>
      </c>
      <c r="AI314" s="21" t="n">
        <v>0</v>
      </c>
      <c r="AJ314" s="21" t="n">
        <v>0</v>
      </c>
      <c r="AK314" s="21" t="n">
        <v>0</v>
      </c>
      <c r="AL314" s="21" t="n">
        <v>0</v>
      </c>
      <c r="AM314" s="21" t="n">
        <v>0</v>
      </c>
      <c r="AN314" s="21">
        <f>$B$19</f>
        <v/>
      </c>
      <c r="AO314" s="21">
        <f>$B$21</f>
        <v/>
      </c>
      <c r="AP314" s="21">
        <f>0</f>
        <v/>
      </c>
      <c r="AQ314" s="21">
        <f>2*$B$20</f>
        <v/>
      </c>
      <c r="AR314" s="21">
        <f>-$B$19</f>
        <v/>
      </c>
      <c r="AS314" s="21">
        <f>$B$21</f>
        <v/>
      </c>
      <c r="AT314" s="19" t="n"/>
    </row>
    <row r="315">
      <c r="D315" s="21" t="n">
        <v>0</v>
      </c>
      <c r="E315" s="21" t="n">
        <v>0</v>
      </c>
      <c r="F315" s="21" t="n">
        <v>0</v>
      </c>
      <c r="G315" s="21" t="n">
        <v>0</v>
      </c>
      <c r="H315" s="21" t="n">
        <v>0</v>
      </c>
      <c r="I315" s="21" t="n">
        <v>0</v>
      </c>
      <c r="J315" s="21" t="n">
        <v>0</v>
      </c>
      <c r="K315" s="21" t="n">
        <v>0</v>
      </c>
      <c r="L315" s="21" t="n">
        <v>0</v>
      </c>
      <c r="M315" s="21" t="n">
        <v>0</v>
      </c>
      <c r="N315" s="21" t="n">
        <v>0</v>
      </c>
      <c r="O315" s="21" t="n">
        <v>0</v>
      </c>
      <c r="P315" s="21" t="n">
        <v>0</v>
      </c>
      <c r="Q315" s="21" t="n">
        <v>0</v>
      </c>
      <c r="R315" s="21" t="n">
        <v>0</v>
      </c>
      <c r="S315" s="21" t="n">
        <v>0</v>
      </c>
      <c r="T315" s="21" t="n">
        <v>0</v>
      </c>
      <c r="U315" s="21" t="n">
        <v>0</v>
      </c>
      <c r="V315" s="21" t="n">
        <v>0</v>
      </c>
      <c r="W315" s="21" t="n">
        <v>0</v>
      </c>
      <c r="X315" s="21" t="n">
        <v>0</v>
      </c>
      <c r="Y315" s="21" t="n">
        <v>0</v>
      </c>
      <c r="Z315" s="21" t="n">
        <v>0</v>
      </c>
      <c r="AA315" s="21" t="n">
        <v>0</v>
      </c>
      <c r="AB315" s="21" t="n">
        <v>0</v>
      </c>
      <c r="AC315" s="21" t="n">
        <v>0</v>
      </c>
      <c r="AD315" s="21" t="n">
        <v>0</v>
      </c>
      <c r="AE315" s="21" t="n">
        <v>0</v>
      </c>
      <c r="AF315" s="21" t="n">
        <v>0</v>
      </c>
      <c r="AG315" s="21" t="n">
        <v>0</v>
      </c>
      <c r="AH315" s="21" t="n">
        <v>0</v>
      </c>
      <c r="AI315" s="21" t="n">
        <v>0</v>
      </c>
      <c r="AJ315" s="21" t="n">
        <v>0</v>
      </c>
      <c r="AK315" s="21" t="n">
        <v>0</v>
      </c>
      <c r="AL315" s="21" t="n">
        <v>0</v>
      </c>
      <c r="AM315" s="21" t="n">
        <v>0</v>
      </c>
      <c r="AN315" s="21" t="n">
        <v>0</v>
      </c>
      <c r="AO315" s="21" t="n">
        <v>0</v>
      </c>
      <c r="AP315" s="21">
        <f>-$B$18</f>
        <v/>
      </c>
      <c r="AQ315" s="21">
        <f>-$B$19</f>
        <v/>
      </c>
      <c r="AR315" s="21">
        <f>$B$18+$D$273</f>
        <v/>
      </c>
      <c r="AS315" s="21">
        <f>-$B$19</f>
        <v/>
      </c>
      <c r="AT315" s="19" t="n"/>
    </row>
    <row r="316">
      <c r="D316" s="21" t="n">
        <v>0</v>
      </c>
      <c r="E316" s="21" t="n">
        <v>0</v>
      </c>
      <c r="F316" s="21" t="n">
        <v>0</v>
      </c>
      <c r="G316" s="21" t="n">
        <v>0</v>
      </c>
      <c r="H316" s="21" t="n">
        <v>0</v>
      </c>
      <c r="I316" s="21" t="n">
        <v>0</v>
      </c>
      <c r="J316" s="21" t="n">
        <v>0</v>
      </c>
      <c r="K316" s="21" t="n">
        <v>0</v>
      </c>
      <c r="L316" s="21" t="n">
        <v>0</v>
      </c>
      <c r="M316" s="21" t="n">
        <v>0</v>
      </c>
      <c r="N316" s="21" t="n">
        <v>0</v>
      </c>
      <c r="O316" s="21" t="n">
        <v>0</v>
      </c>
      <c r="P316" s="21" t="n">
        <v>0</v>
      </c>
      <c r="Q316" s="21" t="n">
        <v>0</v>
      </c>
      <c r="R316" s="21" t="n">
        <v>0</v>
      </c>
      <c r="S316" s="21" t="n">
        <v>0</v>
      </c>
      <c r="T316" s="21" t="n">
        <v>0</v>
      </c>
      <c r="U316" s="21" t="n">
        <v>0</v>
      </c>
      <c r="V316" s="21" t="n">
        <v>0</v>
      </c>
      <c r="W316" s="21" t="n">
        <v>0</v>
      </c>
      <c r="X316" s="21" t="n">
        <v>0</v>
      </c>
      <c r="Y316" s="21" t="n">
        <v>0</v>
      </c>
      <c r="Z316" s="21" t="n">
        <v>0</v>
      </c>
      <c r="AA316" s="21" t="n">
        <v>0</v>
      </c>
      <c r="AB316" s="21" t="n">
        <v>0</v>
      </c>
      <c r="AC316" s="21" t="n">
        <v>0</v>
      </c>
      <c r="AD316" s="21" t="n">
        <v>0</v>
      </c>
      <c r="AE316" s="21" t="n">
        <v>0</v>
      </c>
      <c r="AF316" s="21" t="n">
        <v>0</v>
      </c>
      <c r="AG316" s="21" t="n">
        <v>0</v>
      </c>
      <c r="AH316" s="21" t="n">
        <v>0</v>
      </c>
      <c r="AI316" s="21" t="n">
        <v>0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>
        <f>$B$19</f>
        <v/>
      </c>
      <c r="AQ316" s="21">
        <f>$B$21</f>
        <v/>
      </c>
      <c r="AR316" s="21">
        <f>-$B$19</f>
        <v/>
      </c>
      <c r="AS316" s="21">
        <f>$B$20</f>
        <v/>
      </c>
      <c r="AT316" s="19" t="n"/>
    </row>
    <row r="318">
      <c r="A318" s="8" t="inlineStr">
        <is>
          <t>gen 4</t>
        </is>
      </c>
    </row>
    <row r="319">
      <c r="D319" s="19">
        <f>IF(ABS(IF(ABS($E$253)&gt;0.000000001,$E$253,0.000000001))=0,0,IF($E$33&lt;=$B$27,0,IF(ABS(IF(ABS($E$253)&gt;0.000000001,$E$253,0.000000001))&gt;=8*$B$29,$H$33,0.5*$H$33*(ABS(IF(ABS($E$253)&gt;0.000000001,$E$253,0.000000001))/$B$29)^(1/3)))/ABS(IF(ABS($E$253)&gt;0.000000001,$E$253,0.000000001))*$I$33)</f>
        <v/>
      </c>
      <c r="E319" s="19">
        <f>0.5*$E$253+0.5*$AT$341</f>
        <v/>
      </c>
      <c r="F319" s="19">
        <f>$AT$342</f>
        <v/>
      </c>
    </row>
    <row r="320">
      <c r="D320" s="19">
        <f>IF(ABS(IF(ABS($E$254)&gt;0.000000001,$E$254,0.000000001))=0,0,IF($E$34&lt;=$B$27,0,IF(ABS(IF(ABS($E$254)&gt;0.000000001,$E$254,0.000000001))&gt;=8*$B$29,$H$34,0.5*$H$34*(ABS(IF(ABS($E$254)&gt;0.000000001,$E$254,0.000000001))/$B$29)^(1/3)))/ABS(IF(ABS($E$254)&gt;0.000000001,$E$254,0.000000001))*$I$34)</f>
        <v/>
      </c>
      <c r="E320" s="19">
        <f>0.5*$E$254+0.5*$AT$343</f>
        <v/>
      </c>
      <c r="F320" s="19">
        <f>$AT$344</f>
        <v/>
      </c>
    </row>
    <row r="321">
      <c r="D321" s="19">
        <f>IF(ABS(IF(ABS($E$255)&gt;0.000000001,$E$255,0.000000001))=0,0,IF($E$35&lt;=$B$27,0,IF(ABS(IF(ABS($E$255)&gt;0.000000001,$E$255,0.000000001))&gt;=8*$B$29,$H$35,0.5*$H$35*(ABS(IF(ABS($E$255)&gt;0.000000001,$E$255,0.000000001))/$B$29)^(1/3)))/ABS(IF(ABS($E$255)&gt;0.000000001,$E$255,0.000000001))*$I$35)</f>
        <v/>
      </c>
      <c r="E321" s="19">
        <f>0.5*$E$255+0.5*$AT$345</f>
        <v/>
      </c>
      <c r="F321" s="19">
        <f>$AT$346</f>
        <v/>
      </c>
    </row>
    <row r="322">
      <c r="D322" s="19">
        <f>IF(ABS(IF(ABS($E$256)&gt;0.000000001,$E$256,0.000000001))=0,0,IF($E$36&lt;=$B$27,0,IF(ABS(IF(ABS($E$256)&gt;0.000000001,$E$256,0.000000001))&gt;=8*$B$29,$H$36,0.5*$H$36*(ABS(IF(ABS($E$256)&gt;0.000000001,$E$256,0.000000001))/$B$29)^(1/3)))/ABS(IF(ABS($E$256)&gt;0.000000001,$E$256,0.000000001))*$I$36)</f>
        <v/>
      </c>
      <c r="E322" s="19">
        <f>0.5*$E$256+0.5*$AT$347</f>
        <v/>
      </c>
      <c r="F322" s="19">
        <f>$AT$348</f>
        <v/>
      </c>
    </row>
    <row r="323">
      <c r="D323" s="19">
        <f>IF(ABS(IF(ABS($E$257)&gt;0.000000001,$E$257,0.000000001))=0,0,IF($E$37&lt;=$B$27,0,IF(ABS(IF(ABS($E$257)&gt;0.000000001,$E$257,0.000000001))&gt;=8*$B$29,$H$37,0.5*$H$37*(ABS(IF(ABS($E$257)&gt;0.000000001,$E$257,0.000000001))/$B$29)^(1/3)))/ABS(IF(ABS($E$257)&gt;0.000000001,$E$257,0.000000001))*$I$37)</f>
        <v/>
      </c>
      <c r="E323" s="19">
        <f>0.5*$E$257+0.5*$AT$349</f>
        <v/>
      </c>
      <c r="F323" s="19">
        <f>$AT$350</f>
        <v/>
      </c>
    </row>
    <row r="324">
      <c r="D324" s="19">
        <f>IF(ABS(IF(ABS($E$258)&gt;0.000000001,$E$258,0.000000001))=0,0,IF($E$38&lt;=$B$27,0,IF(ABS(IF(ABS($E$258)&gt;0.000000001,$E$258,0.000000001))&gt;=8*$B$29,$H$38,0.5*$H$38*(ABS(IF(ABS($E$258)&gt;0.000000001,$E$258,0.000000001))/$B$29)^(1/3)))/ABS(IF(ABS($E$258)&gt;0.000000001,$E$258,0.000000001))*$I$38)</f>
        <v/>
      </c>
      <c r="E324" s="19">
        <f>0.5*$E$258+0.5*$AT$351</f>
        <v/>
      </c>
      <c r="F324" s="19">
        <f>$AT$352</f>
        <v/>
      </c>
    </row>
    <row r="325">
      <c r="D325" s="19">
        <f>IF(ABS(IF(ABS($E$259)&gt;0.000000001,$E$259,0.000000001))=0,0,IF($E$39&lt;=$B$27,0,IF(ABS(IF(ABS($E$259)&gt;0.000000001,$E$259,0.000000001))&gt;=8*$B$29,$H$39,0.5*$H$39*(ABS(IF(ABS($E$259)&gt;0.000000001,$E$259,0.000000001))/$B$29)^(1/3)))/ABS(IF(ABS($E$259)&gt;0.000000001,$E$259,0.000000001))*$I$39)</f>
        <v/>
      </c>
      <c r="E325" s="19">
        <f>0.5*$E$259+0.5*$AT$353</f>
        <v/>
      </c>
      <c r="F325" s="19">
        <f>$AT$354</f>
        <v/>
      </c>
    </row>
    <row r="326">
      <c r="D326" s="19">
        <f>IF(ABS(IF(ABS($E$260)&gt;0.000000001,$E$260,0.000000001))=0,0,IF($E$40&lt;=$B$27,0,IF(ABS(IF(ABS($E$260)&gt;0.000000001,$E$260,0.000000001))&gt;=8*$B$29,$H$40,0.5*$H$40*(ABS(IF(ABS($E$260)&gt;0.000000001,$E$260,0.000000001))/$B$29)^(1/3)))/ABS(IF(ABS($E$260)&gt;0.000000001,$E$260,0.000000001))*$I$40)</f>
        <v/>
      </c>
      <c r="E326" s="19">
        <f>0.5*$E$260+0.5*$AT$355</f>
        <v/>
      </c>
      <c r="F326" s="19">
        <f>$AT$356</f>
        <v/>
      </c>
    </row>
    <row r="327">
      <c r="D327" s="19">
        <f>IF(ABS(IF(ABS($E$261)&gt;0.000000001,$E$261,0.000000001))=0,0,IF($E$41&lt;=$B$27,0,IF(ABS(IF(ABS($E$261)&gt;0.000000001,$E$261,0.000000001))&gt;=8*$B$29,$H$41,0.5*$H$41*(ABS(IF(ABS($E$261)&gt;0.000000001,$E$261,0.000000001))/$B$29)^(1/3)))/ABS(IF(ABS($E$261)&gt;0.000000001,$E$261,0.000000001))*$I$41)</f>
        <v/>
      </c>
      <c r="E327" s="19">
        <f>0.5*$E$261+0.5*$AT$357</f>
        <v/>
      </c>
      <c r="F327" s="19">
        <f>$AT$358</f>
        <v/>
      </c>
    </row>
    <row r="328">
      <c r="D328" s="19">
        <f>IF(ABS(IF(ABS($E$262)&gt;0.000000001,$E$262,0.000000001))=0,0,IF($E$42&lt;=$B$27,0,IF(ABS(IF(ABS($E$262)&gt;0.000000001,$E$262,0.000000001))&gt;=8*$B$29,$H$42,0.5*$H$42*(ABS(IF(ABS($E$262)&gt;0.000000001,$E$262,0.000000001))/$B$29)^(1/3)))/ABS(IF(ABS($E$262)&gt;0.000000001,$E$262,0.000000001))*$I$42)</f>
        <v/>
      </c>
      <c r="E328" s="19">
        <f>0.5*$E$262+0.5*$AT$359</f>
        <v/>
      </c>
      <c r="F328" s="19">
        <f>$AT$360</f>
        <v/>
      </c>
    </row>
    <row r="329">
      <c r="D329" s="19">
        <f>IF(ABS(IF(ABS($E$263)&gt;0.000000001,$E$263,0.000000001))=0,0,IF($E$43&lt;=$B$27,0,IF(ABS(IF(ABS($E$263)&gt;0.000000001,$E$263,0.000000001))&gt;=8*$B$29,$H$43,0.5*$H$43*(ABS(IF(ABS($E$263)&gt;0.000000001,$E$263,0.000000001))/$B$29)^(1/3)))/ABS(IF(ABS($E$263)&gt;0.000000001,$E$263,0.000000001))*$I$43)</f>
        <v/>
      </c>
      <c r="E329" s="19">
        <f>0.5*$E$263+0.5*$AT$361</f>
        <v/>
      </c>
      <c r="F329" s="19">
        <f>$AT$362</f>
        <v/>
      </c>
    </row>
    <row r="330">
      <c r="D330" s="19">
        <f>IF(ABS(IF(ABS($E$264)&gt;0.000000001,$E$264,0.000000001))=0,0,IF($E$44&lt;=$B$27,0,IF(ABS(IF(ABS($E$264)&gt;0.000000001,$E$264,0.000000001))&gt;=8*$B$29,$H$44,0.5*$H$44*(ABS(IF(ABS($E$264)&gt;0.000000001,$E$264,0.000000001))/$B$29)^(1/3)))/ABS(IF(ABS($E$264)&gt;0.000000001,$E$264,0.000000001))*$I$44)</f>
        <v/>
      </c>
      <c r="E330" s="19">
        <f>0.5*$E$264+0.5*$AT$363</f>
        <v/>
      </c>
      <c r="F330" s="19">
        <f>$AT$364</f>
        <v/>
      </c>
    </row>
    <row r="331">
      <c r="D331" s="19">
        <f>IF(ABS(IF(ABS($E$265)&gt;0.000000001,$E$265,0.000000001))=0,0,IF($E$45&lt;=$B$27,0,IF(ABS(IF(ABS($E$265)&gt;0.000000001,$E$265,0.000000001))&gt;=8*$B$29,$H$45,0.5*$H$45*(ABS(IF(ABS($E$265)&gt;0.000000001,$E$265,0.000000001))/$B$29)^(1/3)))/ABS(IF(ABS($E$265)&gt;0.000000001,$E$265,0.000000001))*$I$45)</f>
        <v/>
      </c>
      <c r="E331" s="19">
        <f>0.5*$E$265+0.5*$AT$365</f>
        <v/>
      </c>
      <c r="F331" s="19">
        <f>$AT$366</f>
        <v/>
      </c>
    </row>
    <row r="332">
      <c r="D332" s="19">
        <f>IF(ABS(IF(ABS($E$266)&gt;0.000000001,$E$266,0.000000001))=0,0,IF($E$46&lt;=$B$27,0,IF(ABS(IF(ABS($E$266)&gt;0.000000001,$E$266,0.000000001))&gt;=8*$B$29,$H$46,0.5*$H$46*(ABS(IF(ABS($E$266)&gt;0.000000001,$E$266,0.000000001))/$B$29)^(1/3)))/ABS(IF(ABS($E$266)&gt;0.000000001,$E$266,0.000000001))*$I$46)</f>
        <v/>
      </c>
      <c r="E332" s="19">
        <f>0.5*$E$266+0.5*$AT$367</f>
        <v/>
      </c>
      <c r="F332" s="19">
        <f>$AT$368</f>
        <v/>
      </c>
    </row>
    <row r="333">
      <c r="D333" s="19">
        <f>IF(ABS(IF(ABS($E$267)&gt;0.000000001,$E$267,0.000000001))=0,0,IF($E$47&lt;=$B$27,0,IF(ABS(IF(ABS($E$267)&gt;0.000000001,$E$267,0.000000001))&gt;=8*$B$29,$H$47,0.5*$H$47*(ABS(IF(ABS($E$267)&gt;0.000000001,$E$267,0.000000001))/$B$29)^(1/3)))/ABS(IF(ABS($E$267)&gt;0.000000001,$E$267,0.000000001))*$I$47)</f>
        <v/>
      </c>
      <c r="E333" s="19">
        <f>0.5*$E$267+0.5*$AT$369</f>
        <v/>
      </c>
      <c r="F333" s="19">
        <f>$AT$370</f>
        <v/>
      </c>
    </row>
    <row r="334">
      <c r="D334" s="19">
        <f>IF(ABS(IF(ABS($E$268)&gt;0.000000001,$E$268,0.000000001))=0,0,IF($E$48&lt;=$B$27,0,IF(ABS(IF(ABS($E$268)&gt;0.000000001,$E$268,0.000000001))&gt;=8*$B$29,$H$48,0.5*$H$48*(ABS(IF(ABS($E$268)&gt;0.000000001,$E$268,0.000000001))/$B$29)^(1/3)))/ABS(IF(ABS($E$268)&gt;0.000000001,$E$268,0.000000001))*$I$48)</f>
        <v/>
      </c>
      <c r="E334" s="19">
        <f>0.5*$E$268+0.5*$AT$371</f>
        <v/>
      </c>
      <c r="F334" s="19">
        <f>$AT$372</f>
        <v/>
      </c>
    </row>
    <row r="335">
      <c r="D335" s="19">
        <f>IF(ABS(IF(ABS($E$269)&gt;0.000000001,$E$269,0.000000001))=0,0,IF($E$49&lt;=$B$27,0,IF(ABS(IF(ABS($E$269)&gt;0.000000001,$E$269,0.000000001))&gt;=8*$B$29,$H$49,0.5*$H$49*(ABS(IF(ABS($E$269)&gt;0.000000001,$E$269,0.000000001))/$B$29)^(1/3)))/ABS(IF(ABS($E$269)&gt;0.000000001,$E$269,0.000000001))*$I$49)</f>
        <v/>
      </c>
      <c r="E335" s="19">
        <f>0.5*$E$269+0.5*$AT$373</f>
        <v/>
      </c>
      <c r="F335" s="19">
        <f>$AT$374</f>
        <v/>
      </c>
    </row>
    <row r="336">
      <c r="D336" s="19">
        <f>IF(ABS(IF(ABS($E$270)&gt;0.000000001,$E$270,0.000000001))=0,0,IF($E$50&lt;=$B$27,0,IF(ABS(IF(ABS($E$270)&gt;0.000000001,$E$270,0.000000001))&gt;=8*$B$29,$H$50,0.5*$H$50*(ABS(IF(ABS($E$270)&gt;0.000000001,$E$270,0.000000001))/$B$29)^(1/3)))/ABS(IF(ABS($E$270)&gt;0.000000001,$E$270,0.000000001))*$I$50)</f>
        <v/>
      </c>
      <c r="E336" s="19">
        <f>0.5*$E$270+0.5*$AT$375</f>
        <v/>
      </c>
      <c r="F336" s="19">
        <f>$AT$376</f>
        <v/>
      </c>
    </row>
    <row r="337">
      <c r="D337" s="19">
        <f>IF(ABS(IF(ABS($E$271)&gt;0.000000001,$E$271,0.000000001))=0,0,IF($E$51&lt;=$B$27,0,IF(ABS(IF(ABS($E$271)&gt;0.000000001,$E$271,0.000000001))&gt;=8*$B$29,$H$51,0.5*$H$51*(ABS(IF(ABS($E$271)&gt;0.000000001,$E$271,0.000000001))/$B$29)^(1/3)))/ABS(IF(ABS($E$271)&gt;0.000000001,$E$271,0.000000001))*$I$51)</f>
        <v/>
      </c>
      <c r="E337" s="19">
        <f>0.5*$E$271+0.5*$AT$377</f>
        <v/>
      </c>
      <c r="F337" s="19">
        <f>$AT$378</f>
        <v/>
      </c>
    </row>
    <row r="338">
      <c r="D338" s="19">
        <f>IF(ABS(IF(ABS($E$272)&gt;0.000000001,$E$272,0.000000001))=0,0,IF($E$52&lt;=$B$27,0,IF(ABS(IF(ABS($E$272)&gt;0.000000001,$E$272,0.000000001))&gt;=8*$B$29,$H$52,0.5*$H$52*(ABS(IF(ABS($E$272)&gt;0.000000001,$E$272,0.000000001))/$B$29)^(1/3)))/ABS(IF(ABS($E$272)&gt;0.000000001,$E$272,0.000000001))*$I$52)</f>
        <v/>
      </c>
      <c r="E338" s="19">
        <f>0.5*$E$272+0.5*$AT$379</f>
        <v/>
      </c>
      <c r="F338" s="19">
        <f>$AT$380</f>
        <v/>
      </c>
    </row>
    <row r="339">
      <c r="D339" s="19">
        <f>IF(ABS(IF(ABS($E$273)&gt;0.000000001,$E$273,0.000000001))=0,0,IF($E$53&lt;=$B$27,0,IF(ABS(IF(ABS($E$273)&gt;0.000000001,$E$273,0.000000001))&gt;=8*$B$29,$H$53,0.5*$H$53*(ABS(IF(ABS($E$273)&gt;0.000000001,$E$273,0.000000001))/$B$29)^(1/3)))/ABS(IF(ABS($E$273)&gt;0.000000001,$E$273,0.000000001))*$I$53)</f>
        <v/>
      </c>
      <c r="E339" s="19">
        <f>0.5*$E$273+0.5*$AT$381</f>
        <v/>
      </c>
      <c r="F339" s="19">
        <f>$AT$382</f>
        <v/>
      </c>
    </row>
    <row r="341">
      <c r="D341" s="21">
        <f>$B$18+$D$319</f>
        <v/>
      </c>
      <c r="E341" s="21">
        <f>$B$19</f>
        <v/>
      </c>
      <c r="F341" s="21">
        <f>-$B$18</f>
        <v/>
      </c>
      <c r="G341" s="21">
        <f>$B$19</f>
        <v/>
      </c>
      <c r="H341" s="21" t="n">
        <v>0</v>
      </c>
      <c r="I341" s="21" t="n">
        <v>0</v>
      </c>
      <c r="J341" s="21" t="n">
        <v>0</v>
      </c>
      <c r="K341" s="21" t="n">
        <v>0</v>
      </c>
      <c r="L341" s="21" t="n">
        <v>0</v>
      </c>
      <c r="M341" s="21" t="n">
        <v>0</v>
      </c>
      <c r="N341" s="21" t="n">
        <v>0</v>
      </c>
      <c r="O341" s="21" t="n">
        <v>0</v>
      </c>
      <c r="P341" s="21" t="n">
        <v>0</v>
      </c>
      <c r="Q341" s="21" t="n">
        <v>0</v>
      </c>
      <c r="R341" s="21" t="n">
        <v>0</v>
      </c>
      <c r="S341" s="21" t="n">
        <v>0</v>
      </c>
      <c r="T341" s="21" t="n">
        <v>0</v>
      </c>
      <c r="U341" s="21" t="n">
        <v>0</v>
      </c>
      <c r="V341" s="21" t="n">
        <v>0</v>
      </c>
      <c r="W341" s="21" t="n">
        <v>0</v>
      </c>
      <c r="X341" s="21" t="n">
        <v>0</v>
      </c>
      <c r="Y341" s="21" t="n">
        <v>0</v>
      </c>
      <c r="Z341" s="21" t="n">
        <v>0</v>
      </c>
      <c r="AA341" s="21" t="n">
        <v>0</v>
      </c>
      <c r="AB341" s="21" t="n">
        <v>0</v>
      </c>
      <c r="AC341" s="21" t="n">
        <v>0</v>
      </c>
      <c r="AD341" s="21" t="n">
        <v>0</v>
      </c>
      <c r="AE341" s="21" t="n">
        <v>0</v>
      </c>
      <c r="AF341" s="21" t="n">
        <v>0</v>
      </c>
      <c r="AG341" s="21" t="n">
        <v>0</v>
      </c>
      <c r="AH341" s="21" t="n">
        <v>0</v>
      </c>
      <c r="AI341" s="21" t="n">
        <v>0</v>
      </c>
      <c r="AJ341" s="21" t="n">
        <v>0</v>
      </c>
      <c r="AK341" s="21" t="n">
        <v>0</v>
      </c>
      <c r="AL341" s="21" t="n">
        <v>0</v>
      </c>
      <c r="AM341" s="21" t="n">
        <v>0</v>
      </c>
      <c r="AN341" s="21" t="n">
        <v>0</v>
      </c>
      <c r="AO341" s="21" t="n">
        <v>0</v>
      </c>
      <c r="AP341" s="21" t="n">
        <v>0</v>
      </c>
      <c r="AQ341" s="21" t="n">
        <v>0</v>
      </c>
      <c r="AR341" s="21" t="n">
        <v>0</v>
      </c>
      <c r="AS341" s="21" t="n">
        <v>0</v>
      </c>
      <c r="AT341" s="19">
        <f t="array" ref="AT341:AT382">MMULT(MINVERSE($D$341:$AS$382),$D$55:$D$96)</f>
        <v/>
      </c>
    </row>
    <row r="342">
      <c r="D342" s="21">
        <f>$B$19</f>
        <v/>
      </c>
      <c r="E342" s="21">
        <f>$B$20</f>
        <v/>
      </c>
      <c r="F342" s="21">
        <f>-$B$19</f>
        <v/>
      </c>
      <c r="G342" s="21">
        <f>$B$21</f>
        <v/>
      </c>
      <c r="H342" s="21" t="n">
        <v>0</v>
      </c>
      <c r="I342" s="21" t="n">
        <v>0</v>
      </c>
      <c r="J342" s="21" t="n">
        <v>0</v>
      </c>
      <c r="K342" s="21" t="n">
        <v>0</v>
      </c>
      <c r="L342" s="21" t="n">
        <v>0</v>
      </c>
      <c r="M342" s="21" t="n">
        <v>0</v>
      </c>
      <c r="N342" s="21" t="n">
        <v>0</v>
      </c>
      <c r="O342" s="21" t="n">
        <v>0</v>
      </c>
      <c r="P342" s="21" t="n">
        <v>0</v>
      </c>
      <c r="Q342" s="21" t="n">
        <v>0</v>
      </c>
      <c r="R342" s="21" t="n">
        <v>0</v>
      </c>
      <c r="S342" s="21" t="n">
        <v>0</v>
      </c>
      <c r="T342" s="21" t="n">
        <v>0</v>
      </c>
      <c r="U342" s="21" t="n">
        <v>0</v>
      </c>
      <c r="V342" s="21" t="n">
        <v>0</v>
      </c>
      <c r="W342" s="21" t="n">
        <v>0</v>
      </c>
      <c r="X342" s="21" t="n">
        <v>0</v>
      </c>
      <c r="Y342" s="21" t="n">
        <v>0</v>
      </c>
      <c r="Z342" s="21" t="n">
        <v>0</v>
      </c>
      <c r="AA342" s="21" t="n">
        <v>0</v>
      </c>
      <c r="AB342" s="21" t="n">
        <v>0</v>
      </c>
      <c r="AC342" s="21" t="n">
        <v>0</v>
      </c>
      <c r="AD342" s="21" t="n">
        <v>0</v>
      </c>
      <c r="AE342" s="21" t="n">
        <v>0</v>
      </c>
      <c r="AF342" s="21" t="n">
        <v>0</v>
      </c>
      <c r="AG342" s="21" t="n">
        <v>0</v>
      </c>
      <c r="AH342" s="21" t="n">
        <v>0</v>
      </c>
      <c r="AI342" s="21" t="n">
        <v>0</v>
      </c>
      <c r="AJ342" s="21" t="n">
        <v>0</v>
      </c>
      <c r="AK342" s="21" t="n">
        <v>0</v>
      </c>
      <c r="AL342" s="21" t="n">
        <v>0</v>
      </c>
      <c r="AM342" s="21" t="n">
        <v>0</v>
      </c>
      <c r="AN342" s="21" t="n">
        <v>0</v>
      </c>
      <c r="AO342" s="21" t="n">
        <v>0</v>
      </c>
      <c r="AP342" s="21" t="n">
        <v>0</v>
      </c>
      <c r="AQ342" s="21" t="n">
        <v>0</v>
      </c>
      <c r="AR342" s="21" t="n">
        <v>0</v>
      </c>
      <c r="AS342" s="21" t="n">
        <v>0</v>
      </c>
      <c r="AT342" s="19" t="n"/>
    </row>
    <row r="343">
      <c r="D343" s="21">
        <f>-$B$18</f>
        <v/>
      </c>
      <c r="E343" s="21">
        <f>-$B$19</f>
        <v/>
      </c>
      <c r="F343" s="21">
        <f>2*$B$18+$D$320</f>
        <v/>
      </c>
      <c r="G343" s="21">
        <f>0</f>
        <v/>
      </c>
      <c r="H343" s="21">
        <f>-$B$18</f>
        <v/>
      </c>
      <c r="I343" s="21">
        <f>$B$19</f>
        <v/>
      </c>
      <c r="J343" s="21" t="n">
        <v>0</v>
      </c>
      <c r="K343" s="21" t="n">
        <v>0</v>
      </c>
      <c r="L343" s="21" t="n">
        <v>0</v>
      </c>
      <c r="M343" s="21" t="n">
        <v>0</v>
      </c>
      <c r="N343" s="21" t="n">
        <v>0</v>
      </c>
      <c r="O343" s="21" t="n">
        <v>0</v>
      </c>
      <c r="P343" s="21" t="n">
        <v>0</v>
      </c>
      <c r="Q343" s="21" t="n">
        <v>0</v>
      </c>
      <c r="R343" s="21" t="n">
        <v>0</v>
      </c>
      <c r="S343" s="21" t="n">
        <v>0</v>
      </c>
      <c r="T343" s="21" t="n">
        <v>0</v>
      </c>
      <c r="U343" s="21" t="n">
        <v>0</v>
      </c>
      <c r="V343" s="21" t="n">
        <v>0</v>
      </c>
      <c r="W343" s="21" t="n">
        <v>0</v>
      </c>
      <c r="X343" s="21" t="n">
        <v>0</v>
      </c>
      <c r="Y343" s="21" t="n">
        <v>0</v>
      </c>
      <c r="Z343" s="21" t="n">
        <v>0</v>
      </c>
      <c r="AA343" s="21" t="n">
        <v>0</v>
      </c>
      <c r="AB343" s="21" t="n">
        <v>0</v>
      </c>
      <c r="AC343" s="21" t="n">
        <v>0</v>
      </c>
      <c r="AD343" s="21" t="n">
        <v>0</v>
      </c>
      <c r="AE343" s="21" t="n">
        <v>0</v>
      </c>
      <c r="AF343" s="21" t="n">
        <v>0</v>
      </c>
      <c r="AG343" s="21" t="n">
        <v>0</v>
      </c>
      <c r="AH343" s="21" t="n">
        <v>0</v>
      </c>
      <c r="AI343" s="21" t="n">
        <v>0</v>
      </c>
      <c r="AJ343" s="21" t="n">
        <v>0</v>
      </c>
      <c r="AK343" s="21" t="n">
        <v>0</v>
      </c>
      <c r="AL343" s="21" t="n">
        <v>0</v>
      </c>
      <c r="AM343" s="21" t="n">
        <v>0</v>
      </c>
      <c r="AN343" s="21" t="n">
        <v>0</v>
      </c>
      <c r="AO343" s="21" t="n">
        <v>0</v>
      </c>
      <c r="AP343" s="21" t="n">
        <v>0</v>
      </c>
      <c r="AQ343" s="21" t="n">
        <v>0</v>
      </c>
      <c r="AR343" s="21" t="n">
        <v>0</v>
      </c>
      <c r="AS343" s="21" t="n">
        <v>0</v>
      </c>
      <c r="AT343" s="19" t="n"/>
    </row>
    <row r="344">
      <c r="D344" s="21">
        <f>$B$19</f>
        <v/>
      </c>
      <c r="E344" s="21">
        <f>$B$21</f>
        <v/>
      </c>
      <c r="F344" s="21">
        <f>0</f>
        <v/>
      </c>
      <c r="G344" s="21">
        <f>2*$B$20</f>
        <v/>
      </c>
      <c r="H344" s="21">
        <f>-$B$19</f>
        <v/>
      </c>
      <c r="I344" s="21">
        <f>$B$21</f>
        <v/>
      </c>
      <c r="J344" s="21" t="n">
        <v>0</v>
      </c>
      <c r="K344" s="21" t="n">
        <v>0</v>
      </c>
      <c r="L344" s="21" t="n">
        <v>0</v>
      </c>
      <c r="M344" s="21" t="n">
        <v>0</v>
      </c>
      <c r="N344" s="21" t="n">
        <v>0</v>
      </c>
      <c r="O344" s="21" t="n">
        <v>0</v>
      </c>
      <c r="P344" s="21" t="n">
        <v>0</v>
      </c>
      <c r="Q344" s="21" t="n">
        <v>0</v>
      </c>
      <c r="R344" s="21" t="n">
        <v>0</v>
      </c>
      <c r="S344" s="21" t="n">
        <v>0</v>
      </c>
      <c r="T344" s="21" t="n">
        <v>0</v>
      </c>
      <c r="U344" s="21" t="n">
        <v>0</v>
      </c>
      <c r="V344" s="21" t="n">
        <v>0</v>
      </c>
      <c r="W344" s="21" t="n">
        <v>0</v>
      </c>
      <c r="X344" s="21" t="n">
        <v>0</v>
      </c>
      <c r="Y344" s="21" t="n">
        <v>0</v>
      </c>
      <c r="Z344" s="21" t="n">
        <v>0</v>
      </c>
      <c r="AA344" s="21" t="n">
        <v>0</v>
      </c>
      <c r="AB344" s="21" t="n">
        <v>0</v>
      </c>
      <c r="AC344" s="21" t="n">
        <v>0</v>
      </c>
      <c r="AD344" s="21" t="n">
        <v>0</v>
      </c>
      <c r="AE344" s="21" t="n">
        <v>0</v>
      </c>
      <c r="AF344" s="21" t="n">
        <v>0</v>
      </c>
      <c r="AG344" s="21" t="n">
        <v>0</v>
      </c>
      <c r="AH344" s="21" t="n">
        <v>0</v>
      </c>
      <c r="AI344" s="21" t="n">
        <v>0</v>
      </c>
      <c r="AJ344" s="21" t="n">
        <v>0</v>
      </c>
      <c r="AK344" s="21" t="n">
        <v>0</v>
      </c>
      <c r="AL344" s="21" t="n">
        <v>0</v>
      </c>
      <c r="AM344" s="21" t="n">
        <v>0</v>
      </c>
      <c r="AN344" s="21" t="n">
        <v>0</v>
      </c>
      <c r="AO344" s="21" t="n">
        <v>0</v>
      </c>
      <c r="AP344" s="21" t="n">
        <v>0</v>
      </c>
      <c r="AQ344" s="21" t="n">
        <v>0</v>
      </c>
      <c r="AR344" s="21" t="n">
        <v>0</v>
      </c>
      <c r="AS344" s="21" t="n">
        <v>0</v>
      </c>
      <c r="AT344" s="19" t="n"/>
    </row>
    <row r="345">
      <c r="D345" s="21" t="n">
        <v>0</v>
      </c>
      <c r="E345" s="21" t="n">
        <v>0</v>
      </c>
      <c r="F345" s="21">
        <f>-$B$18</f>
        <v/>
      </c>
      <c r="G345" s="21">
        <f>-$B$19</f>
        <v/>
      </c>
      <c r="H345" s="21">
        <f>2*$B$18+$D$321</f>
        <v/>
      </c>
      <c r="I345" s="21">
        <f>0</f>
        <v/>
      </c>
      <c r="J345" s="21">
        <f>-$B$18</f>
        <v/>
      </c>
      <c r="K345" s="21">
        <f>$B$19</f>
        <v/>
      </c>
      <c r="L345" s="21" t="n">
        <v>0</v>
      </c>
      <c r="M345" s="21" t="n">
        <v>0</v>
      </c>
      <c r="N345" s="21" t="n">
        <v>0</v>
      </c>
      <c r="O345" s="21" t="n">
        <v>0</v>
      </c>
      <c r="P345" s="21" t="n">
        <v>0</v>
      </c>
      <c r="Q345" s="21" t="n">
        <v>0</v>
      </c>
      <c r="R345" s="21" t="n">
        <v>0</v>
      </c>
      <c r="S345" s="21" t="n">
        <v>0</v>
      </c>
      <c r="T345" s="21" t="n">
        <v>0</v>
      </c>
      <c r="U345" s="21" t="n">
        <v>0</v>
      </c>
      <c r="V345" s="21" t="n">
        <v>0</v>
      </c>
      <c r="W345" s="21" t="n">
        <v>0</v>
      </c>
      <c r="X345" s="21" t="n">
        <v>0</v>
      </c>
      <c r="Y345" s="21" t="n">
        <v>0</v>
      </c>
      <c r="Z345" s="21" t="n">
        <v>0</v>
      </c>
      <c r="AA345" s="21" t="n">
        <v>0</v>
      </c>
      <c r="AB345" s="21" t="n">
        <v>0</v>
      </c>
      <c r="AC345" s="21" t="n">
        <v>0</v>
      </c>
      <c r="AD345" s="21" t="n">
        <v>0</v>
      </c>
      <c r="AE345" s="21" t="n">
        <v>0</v>
      </c>
      <c r="AF345" s="21" t="n">
        <v>0</v>
      </c>
      <c r="AG345" s="21" t="n">
        <v>0</v>
      </c>
      <c r="AH345" s="21" t="n">
        <v>0</v>
      </c>
      <c r="AI345" s="21" t="n">
        <v>0</v>
      </c>
      <c r="AJ345" s="21" t="n">
        <v>0</v>
      </c>
      <c r="AK345" s="21" t="n">
        <v>0</v>
      </c>
      <c r="AL345" s="21" t="n">
        <v>0</v>
      </c>
      <c r="AM345" s="21" t="n">
        <v>0</v>
      </c>
      <c r="AN345" s="21" t="n">
        <v>0</v>
      </c>
      <c r="AO345" s="21" t="n">
        <v>0</v>
      </c>
      <c r="AP345" s="21" t="n">
        <v>0</v>
      </c>
      <c r="AQ345" s="21" t="n">
        <v>0</v>
      </c>
      <c r="AR345" s="21" t="n">
        <v>0</v>
      </c>
      <c r="AS345" s="21" t="n">
        <v>0</v>
      </c>
      <c r="AT345" s="19" t="n"/>
    </row>
    <row r="346">
      <c r="D346" s="21" t="n">
        <v>0</v>
      </c>
      <c r="E346" s="21" t="n">
        <v>0</v>
      </c>
      <c r="F346" s="21">
        <f>$B$19</f>
        <v/>
      </c>
      <c r="G346" s="21">
        <f>$B$21</f>
        <v/>
      </c>
      <c r="H346" s="21">
        <f>0</f>
        <v/>
      </c>
      <c r="I346" s="21">
        <f>2*$B$20</f>
        <v/>
      </c>
      <c r="J346" s="21">
        <f>-$B$19</f>
        <v/>
      </c>
      <c r="K346" s="21">
        <f>$B$21</f>
        <v/>
      </c>
      <c r="L346" s="21" t="n">
        <v>0</v>
      </c>
      <c r="M346" s="21" t="n">
        <v>0</v>
      </c>
      <c r="N346" s="21" t="n">
        <v>0</v>
      </c>
      <c r="O346" s="21" t="n">
        <v>0</v>
      </c>
      <c r="P346" s="21" t="n">
        <v>0</v>
      </c>
      <c r="Q346" s="21" t="n">
        <v>0</v>
      </c>
      <c r="R346" s="21" t="n">
        <v>0</v>
      </c>
      <c r="S346" s="21" t="n">
        <v>0</v>
      </c>
      <c r="T346" s="21" t="n">
        <v>0</v>
      </c>
      <c r="U346" s="21" t="n">
        <v>0</v>
      </c>
      <c r="V346" s="21" t="n">
        <v>0</v>
      </c>
      <c r="W346" s="21" t="n">
        <v>0</v>
      </c>
      <c r="X346" s="21" t="n">
        <v>0</v>
      </c>
      <c r="Y346" s="21" t="n">
        <v>0</v>
      </c>
      <c r="Z346" s="21" t="n">
        <v>0</v>
      </c>
      <c r="AA346" s="21" t="n">
        <v>0</v>
      </c>
      <c r="AB346" s="21" t="n">
        <v>0</v>
      </c>
      <c r="AC346" s="21" t="n">
        <v>0</v>
      </c>
      <c r="AD346" s="21" t="n">
        <v>0</v>
      </c>
      <c r="AE346" s="21" t="n">
        <v>0</v>
      </c>
      <c r="AF346" s="21" t="n">
        <v>0</v>
      </c>
      <c r="AG346" s="21" t="n">
        <v>0</v>
      </c>
      <c r="AH346" s="21" t="n">
        <v>0</v>
      </c>
      <c r="AI346" s="21" t="n">
        <v>0</v>
      </c>
      <c r="AJ346" s="21" t="n">
        <v>0</v>
      </c>
      <c r="AK346" s="21" t="n">
        <v>0</v>
      </c>
      <c r="AL346" s="21" t="n">
        <v>0</v>
      </c>
      <c r="AM346" s="21" t="n">
        <v>0</v>
      </c>
      <c r="AN346" s="21" t="n">
        <v>0</v>
      </c>
      <c r="AO346" s="21" t="n">
        <v>0</v>
      </c>
      <c r="AP346" s="21" t="n">
        <v>0</v>
      </c>
      <c r="AQ346" s="21" t="n">
        <v>0</v>
      </c>
      <c r="AR346" s="21" t="n">
        <v>0</v>
      </c>
      <c r="AS346" s="21" t="n">
        <v>0</v>
      </c>
      <c r="AT346" s="19" t="n"/>
    </row>
    <row r="347">
      <c r="D347" s="21" t="n">
        <v>0</v>
      </c>
      <c r="E347" s="21" t="n">
        <v>0</v>
      </c>
      <c r="F347" s="21" t="n">
        <v>0</v>
      </c>
      <c r="G347" s="21" t="n">
        <v>0</v>
      </c>
      <c r="H347" s="21">
        <f>-$B$18</f>
        <v/>
      </c>
      <c r="I347" s="21">
        <f>-$B$19</f>
        <v/>
      </c>
      <c r="J347" s="21">
        <f>2*$B$18+$D$322</f>
        <v/>
      </c>
      <c r="K347" s="21">
        <f>0</f>
        <v/>
      </c>
      <c r="L347" s="21">
        <f>-$B$18</f>
        <v/>
      </c>
      <c r="M347" s="21">
        <f>$B$19</f>
        <v/>
      </c>
      <c r="N347" s="21" t="n">
        <v>0</v>
      </c>
      <c r="O347" s="21" t="n">
        <v>0</v>
      </c>
      <c r="P347" s="21" t="n">
        <v>0</v>
      </c>
      <c r="Q347" s="21" t="n">
        <v>0</v>
      </c>
      <c r="R347" s="21" t="n">
        <v>0</v>
      </c>
      <c r="S347" s="21" t="n">
        <v>0</v>
      </c>
      <c r="T347" s="21" t="n">
        <v>0</v>
      </c>
      <c r="U347" s="21" t="n">
        <v>0</v>
      </c>
      <c r="V347" s="21" t="n">
        <v>0</v>
      </c>
      <c r="W347" s="21" t="n">
        <v>0</v>
      </c>
      <c r="X347" s="21" t="n">
        <v>0</v>
      </c>
      <c r="Y347" s="21" t="n">
        <v>0</v>
      </c>
      <c r="Z347" s="21" t="n">
        <v>0</v>
      </c>
      <c r="AA347" s="21" t="n">
        <v>0</v>
      </c>
      <c r="AB347" s="21" t="n">
        <v>0</v>
      </c>
      <c r="AC347" s="21" t="n">
        <v>0</v>
      </c>
      <c r="AD347" s="21" t="n">
        <v>0</v>
      </c>
      <c r="AE347" s="21" t="n">
        <v>0</v>
      </c>
      <c r="AF347" s="21" t="n">
        <v>0</v>
      </c>
      <c r="AG347" s="21" t="n">
        <v>0</v>
      </c>
      <c r="AH347" s="21" t="n">
        <v>0</v>
      </c>
      <c r="AI347" s="21" t="n">
        <v>0</v>
      </c>
      <c r="AJ347" s="21" t="n">
        <v>0</v>
      </c>
      <c r="AK347" s="21" t="n">
        <v>0</v>
      </c>
      <c r="AL347" s="21" t="n">
        <v>0</v>
      </c>
      <c r="AM347" s="21" t="n">
        <v>0</v>
      </c>
      <c r="AN347" s="21" t="n">
        <v>0</v>
      </c>
      <c r="AO347" s="21" t="n">
        <v>0</v>
      </c>
      <c r="AP347" s="21" t="n">
        <v>0</v>
      </c>
      <c r="AQ347" s="21" t="n">
        <v>0</v>
      </c>
      <c r="AR347" s="21" t="n">
        <v>0</v>
      </c>
      <c r="AS347" s="21" t="n">
        <v>0</v>
      </c>
      <c r="AT347" s="19" t="n"/>
    </row>
    <row r="348">
      <c r="D348" s="21" t="n">
        <v>0</v>
      </c>
      <c r="E348" s="21" t="n">
        <v>0</v>
      </c>
      <c r="F348" s="21" t="n">
        <v>0</v>
      </c>
      <c r="G348" s="21" t="n">
        <v>0</v>
      </c>
      <c r="H348" s="21">
        <f>$B$19</f>
        <v/>
      </c>
      <c r="I348" s="21">
        <f>$B$21</f>
        <v/>
      </c>
      <c r="J348" s="21">
        <f>0</f>
        <v/>
      </c>
      <c r="K348" s="21">
        <f>2*$B$20</f>
        <v/>
      </c>
      <c r="L348" s="21">
        <f>-$B$19</f>
        <v/>
      </c>
      <c r="M348" s="21">
        <f>$B$21</f>
        <v/>
      </c>
      <c r="N348" s="21" t="n">
        <v>0</v>
      </c>
      <c r="O348" s="21" t="n">
        <v>0</v>
      </c>
      <c r="P348" s="21" t="n">
        <v>0</v>
      </c>
      <c r="Q348" s="21" t="n">
        <v>0</v>
      </c>
      <c r="R348" s="21" t="n">
        <v>0</v>
      </c>
      <c r="S348" s="21" t="n">
        <v>0</v>
      </c>
      <c r="T348" s="21" t="n">
        <v>0</v>
      </c>
      <c r="U348" s="21" t="n">
        <v>0</v>
      </c>
      <c r="V348" s="21" t="n">
        <v>0</v>
      </c>
      <c r="W348" s="21" t="n">
        <v>0</v>
      </c>
      <c r="X348" s="21" t="n">
        <v>0</v>
      </c>
      <c r="Y348" s="21" t="n">
        <v>0</v>
      </c>
      <c r="Z348" s="21" t="n">
        <v>0</v>
      </c>
      <c r="AA348" s="21" t="n">
        <v>0</v>
      </c>
      <c r="AB348" s="21" t="n">
        <v>0</v>
      </c>
      <c r="AC348" s="21" t="n">
        <v>0</v>
      </c>
      <c r="AD348" s="21" t="n">
        <v>0</v>
      </c>
      <c r="AE348" s="21" t="n">
        <v>0</v>
      </c>
      <c r="AF348" s="21" t="n">
        <v>0</v>
      </c>
      <c r="AG348" s="21" t="n">
        <v>0</v>
      </c>
      <c r="AH348" s="21" t="n">
        <v>0</v>
      </c>
      <c r="AI348" s="21" t="n">
        <v>0</v>
      </c>
      <c r="AJ348" s="21" t="n">
        <v>0</v>
      </c>
      <c r="AK348" s="21" t="n">
        <v>0</v>
      </c>
      <c r="AL348" s="21" t="n">
        <v>0</v>
      </c>
      <c r="AM348" s="21" t="n">
        <v>0</v>
      </c>
      <c r="AN348" s="21" t="n">
        <v>0</v>
      </c>
      <c r="AO348" s="21" t="n">
        <v>0</v>
      </c>
      <c r="AP348" s="21" t="n">
        <v>0</v>
      </c>
      <c r="AQ348" s="21" t="n">
        <v>0</v>
      </c>
      <c r="AR348" s="21" t="n">
        <v>0</v>
      </c>
      <c r="AS348" s="21" t="n">
        <v>0</v>
      </c>
      <c r="AT348" s="19" t="n"/>
    </row>
    <row r="349">
      <c r="D349" s="21" t="n">
        <v>0</v>
      </c>
      <c r="E349" s="21" t="n">
        <v>0</v>
      </c>
      <c r="F349" s="21" t="n">
        <v>0</v>
      </c>
      <c r="G349" s="21" t="n">
        <v>0</v>
      </c>
      <c r="H349" s="21" t="n">
        <v>0</v>
      </c>
      <c r="I349" s="21" t="n">
        <v>0</v>
      </c>
      <c r="J349" s="21">
        <f>-$B$18</f>
        <v/>
      </c>
      <c r="K349" s="21">
        <f>-$B$19</f>
        <v/>
      </c>
      <c r="L349" s="21">
        <f>2*$B$18+$D$323</f>
        <v/>
      </c>
      <c r="M349" s="21">
        <f>0</f>
        <v/>
      </c>
      <c r="N349" s="21">
        <f>-$B$18</f>
        <v/>
      </c>
      <c r="O349" s="21">
        <f>$B$19</f>
        <v/>
      </c>
      <c r="P349" s="21" t="n">
        <v>0</v>
      </c>
      <c r="Q349" s="21" t="n">
        <v>0</v>
      </c>
      <c r="R349" s="21" t="n">
        <v>0</v>
      </c>
      <c r="S349" s="21" t="n">
        <v>0</v>
      </c>
      <c r="T349" s="21" t="n">
        <v>0</v>
      </c>
      <c r="U349" s="21" t="n">
        <v>0</v>
      </c>
      <c r="V349" s="21" t="n">
        <v>0</v>
      </c>
      <c r="W349" s="21" t="n">
        <v>0</v>
      </c>
      <c r="X349" s="21" t="n">
        <v>0</v>
      </c>
      <c r="Y349" s="21" t="n">
        <v>0</v>
      </c>
      <c r="Z349" s="21" t="n">
        <v>0</v>
      </c>
      <c r="AA349" s="21" t="n">
        <v>0</v>
      </c>
      <c r="AB349" s="21" t="n">
        <v>0</v>
      </c>
      <c r="AC349" s="21" t="n">
        <v>0</v>
      </c>
      <c r="AD349" s="21" t="n">
        <v>0</v>
      </c>
      <c r="AE349" s="21" t="n">
        <v>0</v>
      </c>
      <c r="AF349" s="21" t="n">
        <v>0</v>
      </c>
      <c r="AG349" s="21" t="n">
        <v>0</v>
      </c>
      <c r="AH349" s="21" t="n">
        <v>0</v>
      </c>
      <c r="AI349" s="21" t="n">
        <v>0</v>
      </c>
      <c r="AJ349" s="21" t="n">
        <v>0</v>
      </c>
      <c r="AK349" s="21" t="n">
        <v>0</v>
      </c>
      <c r="AL349" s="21" t="n">
        <v>0</v>
      </c>
      <c r="AM349" s="21" t="n">
        <v>0</v>
      </c>
      <c r="AN349" s="21" t="n">
        <v>0</v>
      </c>
      <c r="AO349" s="21" t="n">
        <v>0</v>
      </c>
      <c r="AP349" s="21" t="n">
        <v>0</v>
      </c>
      <c r="AQ349" s="21" t="n">
        <v>0</v>
      </c>
      <c r="AR349" s="21" t="n">
        <v>0</v>
      </c>
      <c r="AS349" s="21" t="n">
        <v>0</v>
      </c>
      <c r="AT349" s="19" t="n"/>
    </row>
    <row r="350">
      <c r="D350" s="21" t="n">
        <v>0</v>
      </c>
      <c r="E350" s="21" t="n">
        <v>0</v>
      </c>
      <c r="F350" s="21" t="n">
        <v>0</v>
      </c>
      <c r="G350" s="21" t="n">
        <v>0</v>
      </c>
      <c r="H350" s="21" t="n">
        <v>0</v>
      </c>
      <c r="I350" s="21" t="n">
        <v>0</v>
      </c>
      <c r="J350" s="21">
        <f>$B$19</f>
        <v/>
      </c>
      <c r="K350" s="21">
        <f>$B$21</f>
        <v/>
      </c>
      <c r="L350" s="21">
        <f>0</f>
        <v/>
      </c>
      <c r="M350" s="21">
        <f>2*$B$20</f>
        <v/>
      </c>
      <c r="N350" s="21">
        <f>-$B$19</f>
        <v/>
      </c>
      <c r="O350" s="21">
        <f>$B$21</f>
        <v/>
      </c>
      <c r="P350" s="21" t="n">
        <v>0</v>
      </c>
      <c r="Q350" s="21" t="n">
        <v>0</v>
      </c>
      <c r="R350" s="21" t="n">
        <v>0</v>
      </c>
      <c r="S350" s="21" t="n">
        <v>0</v>
      </c>
      <c r="T350" s="21" t="n">
        <v>0</v>
      </c>
      <c r="U350" s="21" t="n">
        <v>0</v>
      </c>
      <c r="V350" s="21" t="n">
        <v>0</v>
      </c>
      <c r="W350" s="21" t="n">
        <v>0</v>
      </c>
      <c r="X350" s="21" t="n">
        <v>0</v>
      </c>
      <c r="Y350" s="21" t="n">
        <v>0</v>
      </c>
      <c r="Z350" s="21" t="n">
        <v>0</v>
      </c>
      <c r="AA350" s="21" t="n">
        <v>0</v>
      </c>
      <c r="AB350" s="21" t="n">
        <v>0</v>
      </c>
      <c r="AC350" s="21" t="n">
        <v>0</v>
      </c>
      <c r="AD350" s="21" t="n">
        <v>0</v>
      </c>
      <c r="AE350" s="21" t="n">
        <v>0</v>
      </c>
      <c r="AF350" s="21" t="n">
        <v>0</v>
      </c>
      <c r="AG350" s="21" t="n">
        <v>0</v>
      </c>
      <c r="AH350" s="21" t="n">
        <v>0</v>
      </c>
      <c r="AI350" s="21" t="n">
        <v>0</v>
      </c>
      <c r="AJ350" s="21" t="n">
        <v>0</v>
      </c>
      <c r="AK350" s="21" t="n">
        <v>0</v>
      </c>
      <c r="AL350" s="21" t="n">
        <v>0</v>
      </c>
      <c r="AM350" s="21" t="n">
        <v>0</v>
      </c>
      <c r="AN350" s="21" t="n">
        <v>0</v>
      </c>
      <c r="AO350" s="21" t="n">
        <v>0</v>
      </c>
      <c r="AP350" s="21" t="n">
        <v>0</v>
      </c>
      <c r="AQ350" s="21" t="n">
        <v>0</v>
      </c>
      <c r="AR350" s="21" t="n">
        <v>0</v>
      </c>
      <c r="AS350" s="21" t="n">
        <v>0</v>
      </c>
      <c r="AT350" s="19" t="n"/>
    </row>
    <row r="351">
      <c r="D351" s="21" t="n">
        <v>0</v>
      </c>
      <c r="E351" s="21" t="n">
        <v>0</v>
      </c>
      <c r="F351" s="21" t="n">
        <v>0</v>
      </c>
      <c r="G351" s="21" t="n">
        <v>0</v>
      </c>
      <c r="H351" s="21" t="n">
        <v>0</v>
      </c>
      <c r="I351" s="21" t="n">
        <v>0</v>
      </c>
      <c r="J351" s="21" t="n">
        <v>0</v>
      </c>
      <c r="K351" s="21" t="n">
        <v>0</v>
      </c>
      <c r="L351" s="21">
        <f>-$B$18</f>
        <v/>
      </c>
      <c r="M351" s="21">
        <f>-$B$19</f>
        <v/>
      </c>
      <c r="N351" s="21">
        <f>2*$B$18+$D$324</f>
        <v/>
      </c>
      <c r="O351" s="21">
        <f>0</f>
        <v/>
      </c>
      <c r="P351" s="21">
        <f>-$B$18</f>
        <v/>
      </c>
      <c r="Q351" s="21">
        <f>$B$19</f>
        <v/>
      </c>
      <c r="R351" s="21" t="n">
        <v>0</v>
      </c>
      <c r="S351" s="21" t="n">
        <v>0</v>
      </c>
      <c r="T351" s="21" t="n">
        <v>0</v>
      </c>
      <c r="U351" s="21" t="n">
        <v>0</v>
      </c>
      <c r="V351" s="21" t="n">
        <v>0</v>
      </c>
      <c r="W351" s="21" t="n">
        <v>0</v>
      </c>
      <c r="X351" s="21" t="n">
        <v>0</v>
      </c>
      <c r="Y351" s="21" t="n">
        <v>0</v>
      </c>
      <c r="Z351" s="21" t="n">
        <v>0</v>
      </c>
      <c r="AA351" s="21" t="n">
        <v>0</v>
      </c>
      <c r="AB351" s="21" t="n">
        <v>0</v>
      </c>
      <c r="AC351" s="21" t="n">
        <v>0</v>
      </c>
      <c r="AD351" s="21" t="n">
        <v>0</v>
      </c>
      <c r="AE351" s="21" t="n">
        <v>0</v>
      </c>
      <c r="AF351" s="21" t="n">
        <v>0</v>
      </c>
      <c r="AG351" s="21" t="n">
        <v>0</v>
      </c>
      <c r="AH351" s="21" t="n">
        <v>0</v>
      </c>
      <c r="AI351" s="21" t="n">
        <v>0</v>
      </c>
      <c r="AJ351" s="21" t="n">
        <v>0</v>
      </c>
      <c r="AK351" s="21" t="n">
        <v>0</v>
      </c>
      <c r="AL351" s="21" t="n">
        <v>0</v>
      </c>
      <c r="AM351" s="21" t="n">
        <v>0</v>
      </c>
      <c r="AN351" s="21" t="n">
        <v>0</v>
      </c>
      <c r="AO351" s="21" t="n">
        <v>0</v>
      </c>
      <c r="AP351" s="21" t="n">
        <v>0</v>
      </c>
      <c r="AQ351" s="21" t="n">
        <v>0</v>
      </c>
      <c r="AR351" s="21" t="n">
        <v>0</v>
      </c>
      <c r="AS351" s="21" t="n">
        <v>0</v>
      </c>
      <c r="AT351" s="19" t="n"/>
    </row>
    <row r="352">
      <c r="D352" s="21" t="n">
        <v>0</v>
      </c>
      <c r="E352" s="21" t="n">
        <v>0</v>
      </c>
      <c r="F352" s="21" t="n">
        <v>0</v>
      </c>
      <c r="G352" s="21" t="n">
        <v>0</v>
      </c>
      <c r="H352" s="21" t="n">
        <v>0</v>
      </c>
      <c r="I352" s="21" t="n">
        <v>0</v>
      </c>
      <c r="J352" s="21" t="n">
        <v>0</v>
      </c>
      <c r="K352" s="21" t="n">
        <v>0</v>
      </c>
      <c r="L352" s="21">
        <f>$B$19</f>
        <v/>
      </c>
      <c r="M352" s="21">
        <f>$B$21</f>
        <v/>
      </c>
      <c r="N352" s="21">
        <f>0</f>
        <v/>
      </c>
      <c r="O352" s="21">
        <f>2*$B$20</f>
        <v/>
      </c>
      <c r="P352" s="21">
        <f>-$B$19</f>
        <v/>
      </c>
      <c r="Q352" s="21">
        <f>$B$21</f>
        <v/>
      </c>
      <c r="R352" s="21" t="n">
        <v>0</v>
      </c>
      <c r="S352" s="21" t="n">
        <v>0</v>
      </c>
      <c r="T352" s="21" t="n">
        <v>0</v>
      </c>
      <c r="U352" s="21" t="n">
        <v>0</v>
      </c>
      <c r="V352" s="21" t="n">
        <v>0</v>
      </c>
      <c r="W352" s="21" t="n">
        <v>0</v>
      </c>
      <c r="X352" s="21" t="n">
        <v>0</v>
      </c>
      <c r="Y352" s="21" t="n">
        <v>0</v>
      </c>
      <c r="Z352" s="21" t="n">
        <v>0</v>
      </c>
      <c r="AA352" s="21" t="n">
        <v>0</v>
      </c>
      <c r="AB352" s="21" t="n">
        <v>0</v>
      </c>
      <c r="AC352" s="21" t="n">
        <v>0</v>
      </c>
      <c r="AD352" s="21" t="n">
        <v>0</v>
      </c>
      <c r="AE352" s="21" t="n">
        <v>0</v>
      </c>
      <c r="AF352" s="21" t="n">
        <v>0</v>
      </c>
      <c r="AG352" s="21" t="n">
        <v>0</v>
      </c>
      <c r="AH352" s="21" t="n">
        <v>0</v>
      </c>
      <c r="AI352" s="21" t="n">
        <v>0</v>
      </c>
      <c r="AJ352" s="21" t="n">
        <v>0</v>
      </c>
      <c r="AK352" s="21" t="n">
        <v>0</v>
      </c>
      <c r="AL352" s="21" t="n">
        <v>0</v>
      </c>
      <c r="AM352" s="21" t="n">
        <v>0</v>
      </c>
      <c r="AN352" s="21" t="n">
        <v>0</v>
      </c>
      <c r="AO352" s="21" t="n">
        <v>0</v>
      </c>
      <c r="AP352" s="21" t="n">
        <v>0</v>
      </c>
      <c r="AQ352" s="21" t="n">
        <v>0</v>
      </c>
      <c r="AR352" s="21" t="n">
        <v>0</v>
      </c>
      <c r="AS352" s="21" t="n">
        <v>0</v>
      </c>
      <c r="AT352" s="19" t="n"/>
    </row>
    <row r="353">
      <c r="D353" s="21" t="n">
        <v>0</v>
      </c>
      <c r="E353" s="21" t="n">
        <v>0</v>
      </c>
      <c r="F353" s="21" t="n">
        <v>0</v>
      </c>
      <c r="G353" s="21" t="n">
        <v>0</v>
      </c>
      <c r="H353" s="21" t="n">
        <v>0</v>
      </c>
      <c r="I353" s="21" t="n">
        <v>0</v>
      </c>
      <c r="J353" s="21" t="n">
        <v>0</v>
      </c>
      <c r="K353" s="21" t="n">
        <v>0</v>
      </c>
      <c r="L353" s="21" t="n">
        <v>0</v>
      </c>
      <c r="M353" s="21" t="n">
        <v>0</v>
      </c>
      <c r="N353" s="21">
        <f>-$B$18</f>
        <v/>
      </c>
      <c r="O353" s="21">
        <f>-$B$19</f>
        <v/>
      </c>
      <c r="P353" s="21">
        <f>2*$B$18+$D$325</f>
        <v/>
      </c>
      <c r="Q353" s="21">
        <f>0</f>
        <v/>
      </c>
      <c r="R353" s="21">
        <f>-$B$18</f>
        <v/>
      </c>
      <c r="S353" s="21">
        <f>$B$19</f>
        <v/>
      </c>
      <c r="T353" s="21" t="n">
        <v>0</v>
      </c>
      <c r="U353" s="21" t="n">
        <v>0</v>
      </c>
      <c r="V353" s="21" t="n">
        <v>0</v>
      </c>
      <c r="W353" s="21" t="n">
        <v>0</v>
      </c>
      <c r="X353" s="21" t="n">
        <v>0</v>
      </c>
      <c r="Y353" s="21" t="n">
        <v>0</v>
      </c>
      <c r="Z353" s="21" t="n">
        <v>0</v>
      </c>
      <c r="AA353" s="21" t="n">
        <v>0</v>
      </c>
      <c r="AB353" s="21" t="n">
        <v>0</v>
      </c>
      <c r="AC353" s="21" t="n">
        <v>0</v>
      </c>
      <c r="AD353" s="21" t="n">
        <v>0</v>
      </c>
      <c r="AE353" s="21" t="n">
        <v>0</v>
      </c>
      <c r="AF353" s="21" t="n">
        <v>0</v>
      </c>
      <c r="AG353" s="21" t="n">
        <v>0</v>
      </c>
      <c r="AH353" s="21" t="n">
        <v>0</v>
      </c>
      <c r="AI353" s="21" t="n">
        <v>0</v>
      </c>
      <c r="AJ353" s="21" t="n">
        <v>0</v>
      </c>
      <c r="AK353" s="21" t="n">
        <v>0</v>
      </c>
      <c r="AL353" s="21" t="n">
        <v>0</v>
      </c>
      <c r="AM353" s="21" t="n">
        <v>0</v>
      </c>
      <c r="AN353" s="21" t="n">
        <v>0</v>
      </c>
      <c r="AO353" s="21" t="n">
        <v>0</v>
      </c>
      <c r="AP353" s="21" t="n">
        <v>0</v>
      </c>
      <c r="AQ353" s="21" t="n">
        <v>0</v>
      </c>
      <c r="AR353" s="21" t="n">
        <v>0</v>
      </c>
      <c r="AS353" s="21" t="n">
        <v>0</v>
      </c>
      <c r="AT353" s="19" t="n"/>
    </row>
    <row r="354">
      <c r="D354" s="21" t="n">
        <v>0</v>
      </c>
      <c r="E354" s="21" t="n">
        <v>0</v>
      </c>
      <c r="F354" s="21" t="n">
        <v>0</v>
      </c>
      <c r="G354" s="21" t="n">
        <v>0</v>
      </c>
      <c r="H354" s="21" t="n">
        <v>0</v>
      </c>
      <c r="I354" s="21" t="n">
        <v>0</v>
      </c>
      <c r="J354" s="21" t="n">
        <v>0</v>
      </c>
      <c r="K354" s="21" t="n">
        <v>0</v>
      </c>
      <c r="L354" s="21" t="n">
        <v>0</v>
      </c>
      <c r="M354" s="21" t="n">
        <v>0</v>
      </c>
      <c r="N354" s="21">
        <f>$B$19</f>
        <v/>
      </c>
      <c r="O354" s="21">
        <f>$B$21</f>
        <v/>
      </c>
      <c r="P354" s="21">
        <f>0</f>
        <v/>
      </c>
      <c r="Q354" s="21">
        <f>2*$B$20</f>
        <v/>
      </c>
      <c r="R354" s="21">
        <f>-$B$19</f>
        <v/>
      </c>
      <c r="S354" s="21">
        <f>$B$21</f>
        <v/>
      </c>
      <c r="T354" s="21" t="n">
        <v>0</v>
      </c>
      <c r="U354" s="21" t="n">
        <v>0</v>
      </c>
      <c r="V354" s="21" t="n">
        <v>0</v>
      </c>
      <c r="W354" s="21" t="n">
        <v>0</v>
      </c>
      <c r="X354" s="21" t="n">
        <v>0</v>
      </c>
      <c r="Y354" s="21" t="n">
        <v>0</v>
      </c>
      <c r="Z354" s="21" t="n">
        <v>0</v>
      </c>
      <c r="AA354" s="21" t="n">
        <v>0</v>
      </c>
      <c r="AB354" s="21" t="n">
        <v>0</v>
      </c>
      <c r="AC354" s="21" t="n">
        <v>0</v>
      </c>
      <c r="AD354" s="21" t="n">
        <v>0</v>
      </c>
      <c r="AE354" s="21" t="n">
        <v>0</v>
      </c>
      <c r="AF354" s="21" t="n">
        <v>0</v>
      </c>
      <c r="AG354" s="21" t="n">
        <v>0</v>
      </c>
      <c r="AH354" s="21" t="n">
        <v>0</v>
      </c>
      <c r="AI354" s="21" t="n">
        <v>0</v>
      </c>
      <c r="AJ354" s="21" t="n">
        <v>0</v>
      </c>
      <c r="AK354" s="21" t="n">
        <v>0</v>
      </c>
      <c r="AL354" s="21" t="n">
        <v>0</v>
      </c>
      <c r="AM354" s="21" t="n">
        <v>0</v>
      </c>
      <c r="AN354" s="21" t="n">
        <v>0</v>
      </c>
      <c r="AO354" s="21" t="n">
        <v>0</v>
      </c>
      <c r="AP354" s="21" t="n">
        <v>0</v>
      </c>
      <c r="AQ354" s="21" t="n">
        <v>0</v>
      </c>
      <c r="AR354" s="21" t="n">
        <v>0</v>
      </c>
      <c r="AS354" s="21" t="n">
        <v>0</v>
      </c>
      <c r="AT354" s="19" t="n"/>
    </row>
    <row r="355">
      <c r="D355" s="21" t="n">
        <v>0</v>
      </c>
      <c r="E355" s="21" t="n">
        <v>0</v>
      </c>
      <c r="F355" s="21" t="n">
        <v>0</v>
      </c>
      <c r="G355" s="21" t="n">
        <v>0</v>
      </c>
      <c r="H355" s="21" t="n">
        <v>0</v>
      </c>
      <c r="I355" s="21" t="n">
        <v>0</v>
      </c>
      <c r="J355" s="21" t="n">
        <v>0</v>
      </c>
      <c r="K355" s="21" t="n">
        <v>0</v>
      </c>
      <c r="L355" s="21" t="n">
        <v>0</v>
      </c>
      <c r="M355" s="21" t="n">
        <v>0</v>
      </c>
      <c r="N355" s="21" t="n">
        <v>0</v>
      </c>
      <c r="O355" s="21" t="n">
        <v>0</v>
      </c>
      <c r="P355" s="21">
        <f>-$B$18</f>
        <v/>
      </c>
      <c r="Q355" s="21">
        <f>-$B$19</f>
        <v/>
      </c>
      <c r="R355" s="21">
        <f>2*$B$18+$D$326</f>
        <v/>
      </c>
      <c r="S355" s="21">
        <f>0</f>
        <v/>
      </c>
      <c r="T355" s="21">
        <f>-$B$18</f>
        <v/>
      </c>
      <c r="U355" s="21">
        <f>$B$19</f>
        <v/>
      </c>
      <c r="V355" s="21" t="n">
        <v>0</v>
      </c>
      <c r="W355" s="21" t="n">
        <v>0</v>
      </c>
      <c r="X355" s="21" t="n">
        <v>0</v>
      </c>
      <c r="Y355" s="21" t="n">
        <v>0</v>
      </c>
      <c r="Z355" s="21" t="n">
        <v>0</v>
      </c>
      <c r="AA355" s="21" t="n">
        <v>0</v>
      </c>
      <c r="AB355" s="21" t="n">
        <v>0</v>
      </c>
      <c r="AC355" s="21" t="n">
        <v>0</v>
      </c>
      <c r="AD355" s="21" t="n">
        <v>0</v>
      </c>
      <c r="AE355" s="21" t="n">
        <v>0</v>
      </c>
      <c r="AF355" s="21" t="n">
        <v>0</v>
      </c>
      <c r="AG355" s="21" t="n">
        <v>0</v>
      </c>
      <c r="AH355" s="21" t="n">
        <v>0</v>
      </c>
      <c r="AI355" s="21" t="n">
        <v>0</v>
      </c>
      <c r="AJ355" s="21" t="n">
        <v>0</v>
      </c>
      <c r="AK355" s="21" t="n">
        <v>0</v>
      </c>
      <c r="AL355" s="21" t="n">
        <v>0</v>
      </c>
      <c r="AM355" s="21" t="n">
        <v>0</v>
      </c>
      <c r="AN355" s="21" t="n">
        <v>0</v>
      </c>
      <c r="AO355" s="21" t="n">
        <v>0</v>
      </c>
      <c r="AP355" s="21" t="n">
        <v>0</v>
      </c>
      <c r="AQ355" s="21" t="n">
        <v>0</v>
      </c>
      <c r="AR355" s="21" t="n">
        <v>0</v>
      </c>
      <c r="AS355" s="21" t="n">
        <v>0</v>
      </c>
      <c r="AT355" s="19" t="n"/>
    </row>
    <row r="356">
      <c r="D356" s="21" t="n">
        <v>0</v>
      </c>
      <c r="E356" s="21" t="n">
        <v>0</v>
      </c>
      <c r="F356" s="21" t="n">
        <v>0</v>
      </c>
      <c r="G356" s="21" t="n">
        <v>0</v>
      </c>
      <c r="H356" s="21" t="n">
        <v>0</v>
      </c>
      <c r="I356" s="21" t="n">
        <v>0</v>
      </c>
      <c r="J356" s="21" t="n">
        <v>0</v>
      </c>
      <c r="K356" s="21" t="n">
        <v>0</v>
      </c>
      <c r="L356" s="21" t="n">
        <v>0</v>
      </c>
      <c r="M356" s="21" t="n">
        <v>0</v>
      </c>
      <c r="N356" s="21" t="n">
        <v>0</v>
      </c>
      <c r="O356" s="21" t="n">
        <v>0</v>
      </c>
      <c r="P356" s="21">
        <f>$B$19</f>
        <v/>
      </c>
      <c r="Q356" s="21">
        <f>$B$21</f>
        <v/>
      </c>
      <c r="R356" s="21">
        <f>0</f>
        <v/>
      </c>
      <c r="S356" s="21">
        <f>2*$B$20</f>
        <v/>
      </c>
      <c r="T356" s="21">
        <f>-$B$19</f>
        <v/>
      </c>
      <c r="U356" s="21">
        <f>$B$21</f>
        <v/>
      </c>
      <c r="V356" s="21" t="n">
        <v>0</v>
      </c>
      <c r="W356" s="21" t="n">
        <v>0</v>
      </c>
      <c r="X356" s="21" t="n">
        <v>0</v>
      </c>
      <c r="Y356" s="21" t="n">
        <v>0</v>
      </c>
      <c r="Z356" s="21" t="n">
        <v>0</v>
      </c>
      <c r="AA356" s="21" t="n">
        <v>0</v>
      </c>
      <c r="AB356" s="21" t="n">
        <v>0</v>
      </c>
      <c r="AC356" s="21" t="n">
        <v>0</v>
      </c>
      <c r="AD356" s="21" t="n">
        <v>0</v>
      </c>
      <c r="AE356" s="21" t="n">
        <v>0</v>
      </c>
      <c r="AF356" s="21" t="n">
        <v>0</v>
      </c>
      <c r="AG356" s="21" t="n">
        <v>0</v>
      </c>
      <c r="AH356" s="21" t="n">
        <v>0</v>
      </c>
      <c r="AI356" s="21" t="n">
        <v>0</v>
      </c>
      <c r="AJ356" s="21" t="n">
        <v>0</v>
      </c>
      <c r="AK356" s="21" t="n">
        <v>0</v>
      </c>
      <c r="AL356" s="21" t="n">
        <v>0</v>
      </c>
      <c r="AM356" s="21" t="n">
        <v>0</v>
      </c>
      <c r="AN356" s="21" t="n">
        <v>0</v>
      </c>
      <c r="AO356" s="21" t="n">
        <v>0</v>
      </c>
      <c r="AP356" s="21" t="n">
        <v>0</v>
      </c>
      <c r="AQ356" s="21" t="n">
        <v>0</v>
      </c>
      <c r="AR356" s="21" t="n">
        <v>0</v>
      </c>
      <c r="AS356" s="21" t="n">
        <v>0</v>
      </c>
      <c r="AT356" s="19" t="n"/>
    </row>
    <row r="357">
      <c r="D357" s="21" t="n">
        <v>0</v>
      </c>
      <c r="E357" s="21" t="n">
        <v>0</v>
      </c>
      <c r="F357" s="21" t="n">
        <v>0</v>
      </c>
      <c r="G357" s="21" t="n">
        <v>0</v>
      </c>
      <c r="H357" s="21" t="n">
        <v>0</v>
      </c>
      <c r="I357" s="21" t="n">
        <v>0</v>
      </c>
      <c r="J357" s="21" t="n">
        <v>0</v>
      </c>
      <c r="K357" s="21" t="n">
        <v>0</v>
      </c>
      <c r="L357" s="21" t="n">
        <v>0</v>
      </c>
      <c r="M357" s="21" t="n">
        <v>0</v>
      </c>
      <c r="N357" s="21" t="n">
        <v>0</v>
      </c>
      <c r="O357" s="21" t="n">
        <v>0</v>
      </c>
      <c r="P357" s="21" t="n">
        <v>0</v>
      </c>
      <c r="Q357" s="21" t="n">
        <v>0</v>
      </c>
      <c r="R357" s="21">
        <f>-$B$18</f>
        <v/>
      </c>
      <c r="S357" s="21">
        <f>-$B$19</f>
        <v/>
      </c>
      <c r="T357" s="21">
        <f>2*$B$18+$D$327</f>
        <v/>
      </c>
      <c r="U357" s="21">
        <f>0</f>
        <v/>
      </c>
      <c r="V357" s="21">
        <f>-$B$18</f>
        <v/>
      </c>
      <c r="W357" s="21">
        <f>$B$19</f>
        <v/>
      </c>
      <c r="X357" s="21" t="n">
        <v>0</v>
      </c>
      <c r="Y357" s="21" t="n">
        <v>0</v>
      </c>
      <c r="Z357" s="21" t="n">
        <v>0</v>
      </c>
      <c r="AA357" s="21" t="n">
        <v>0</v>
      </c>
      <c r="AB357" s="21" t="n">
        <v>0</v>
      </c>
      <c r="AC357" s="21" t="n">
        <v>0</v>
      </c>
      <c r="AD357" s="21" t="n">
        <v>0</v>
      </c>
      <c r="AE357" s="21" t="n">
        <v>0</v>
      </c>
      <c r="AF357" s="21" t="n">
        <v>0</v>
      </c>
      <c r="AG357" s="21" t="n">
        <v>0</v>
      </c>
      <c r="AH357" s="21" t="n">
        <v>0</v>
      </c>
      <c r="AI357" s="21" t="n">
        <v>0</v>
      </c>
      <c r="AJ357" s="21" t="n">
        <v>0</v>
      </c>
      <c r="AK357" s="21" t="n">
        <v>0</v>
      </c>
      <c r="AL357" s="21" t="n">
        <v>0</v>
      </c>
      <c r="AM357" s="21" t="n">
        <v>0</v>
      </c>
      <c r="AN357" s="21" t="n">
        <v>0</v>
      </c>
      <c r="AO357" s="21" t="n">
        <v>0</v>
      </c>
      <c r="AP357" s="21" t="n">
        <v>0</v>
      </c>
      <c r="AQ357" s="21" t="n">
        <v>0</v>
      </c>
      <c r="AR357" s="21" t="n">
        <v>0</v>
      </c>
      <c r="AS357" s="21" t="n">
        <v>0</v>
      </c>
      <c r="AT357" s="19" t="n"/>
    </row>
    <row r="358">
      <c r="D358" s="21" t="n">
        <v>0</v>
      </c>
      <c r="E358" s="21" t="n">
        <v>0</v>
      </c>
      <c r="F358" s="21" t="n">
        <v>0</v>
      </c>
      <c r="G358" s="21" t="n">
        <v>0</v>
      </c>
      <c r="H358" s="21" t="n">
        <v>0</v>
      </c>
      <c r="I358" s="21" t="n">
        <v>0</v>
      </c>
      <c r="J358" s="21" t="n">
        <v>0</v>
      </c>
      <c r="K358" s="21" t="n">
        <v>0</v>
      </c>
      <c r="L358" s="21" t="n">
        <v>0</v>
      </c>
      <c r="M358" s="21" t="n">
        <v>0</v>
      </c>
      <c r="N358" s="21" t="n">
        <v>0</v>
      </c>
      <c r="O358" s="21" t="n">
        <v>0</v>
      </c>
      <c r="P358" s="21" t="n">
        <v>0</v>
      </c>
      <c r="Q358" s="21" t="n">
        <v>0</v>
      </c>
      <c r="R358" s="21">
        <f>$B$19</f>
        <v/>
      </c>
      <c r="S358" s="21">
        <f>$B$21</f>
        <v/>
      </c>
      <c r="T358" s="21">
        <f>0</f>
        <v/>
      </c>
      <c r="U358" s="21">
        <f>2*$B$20</f>
        <v/>
      </c>
      <c r="V358" s="21">
        <f>-$B$19</f>
        <v/>
      </c>
      <c r="W358" s="21">
        <f>$B$21</f>
        <v/>
      </c>
      <c r="X358" s="21" t="n">
        <v>0</v>
      </c>
      <c r="Y358" s="21" t="n">
        <v>0</v>
      </c>
      <c r="Z358" s="21" t="n">
        <v>0</v>
      </c>
      <c r="AA358" s="21" t="n">
        <v>0</v>
      </c>
      <c r="AB358" s="21" t="n">
        <v>0</v>
      </c>
      <c r="AC358" s="21" t="n">
        <v>0</v>
      </c>
      <c r="AD358" s="21" t="n">
        <v>0</v>
      </c>
      <c r="AE358" s="21" t="n">
        <v>0</v>
      </c>
      <c r="AF358" s="21" t="n">
        <v>0</v>
      </c>
      <c r="AG358" s="21" t="n">
        <v>0</v>
      </c>
      <c r="AH358" s="21" t="n">
        <v>0</v>
      </c>
      <c r="AI358" s="21" t="n">
        <v>0</v>
      </c>
      <c r="AJ358" s="21" t="n">
        <v>0</v>
      </c>
      <c r="AK358" s="21" t="n">
        <v>0</v>
      </c>
      <c r="AL358" s="21" t="n">
        <v>0</v>
      </c>
      <c r="AM358" s="21" t="n">
        <v>0</v>
      </c>
      <c r="AN358" s="21" t="n">
        <v>0</v>
      </c>
      <c r="AO358" s="21" t="n">
        <v>0</v>
      </c>
      <c r="AP358" s="21" t="n">
        <v>0</v>
      </c>
      <c r="AQ358" s="21" t="n">
        <v>0</v>
      </c>
      <c r="AR358" s="21" t="n">
        <v>0</v>
      </c>
      <c r="AS358" s="21" t="n">
        <v>0</v>
      </c>
      <c r="AT358" s="19" t="n"/>
    </row>
    <row r="359">
      <c r="D359" s="21" t="n">
        <v>0</v>
      </c>
      <c r="E359" s="21" t="n">
        <v>0</v>
      </c>
      <c r="F359" s="21" t="n">
        <v>0</v>
      </c>
      <c r="G359" s="21" t="n">
        <v>0</v>
      </c>
      <c r="H359" s="21" t="n">
        <v>0</v>
      </c>
      <c r="I359" s="21" t="n">
        <v>0</v>
      </c>
      <c r="J359" s="21" t="n">
        <v>0</v>
      </c>
      <c r="K359" s="21" t="n">
        <v>0</v>
      </c>
      <c r="L359" s="21" t="n">
        <v>0</v>
      </c>
      <c r="M359" s="21" t="n">
        <v>0</v>
      </c>
      <c r="N359" s="21" t="n">
        <v>0</v>
      </c>
      <c r="O359" s="21" t="n">
        <v>0</v>
      </c>
      <c r="P359" s="21" t="n">
        <v>0</v>
      </c>
      <c r="Q359" s="21" t="n">
        <v>0</v>
      </c>
      <c r="R359" s="21" t="n">
        <v>0</v>
      </c>
      <c r="S359" s="21" t="n">
        <v>0</v>
      </c>
      <c r="T359" s="21">
        <f>-$B$18</f>
        <v/>
      </c>
      <c r="U359" s="21">
        <f>-$B$19</f>
        <v/>
      </c>
      <c r="V359" s="21">
        <f>2*$B$18+$D$328</f>
        <v/>
      </c>
      <c r="W359" s="21">
        <f>0</f>
        <v/>
      </c>
      <c r="X359" s="21">
        <f>-$B$18</f>
        <v/>
      </c>
      <c r="Y359" s="21">
        <f>$B$19</f>
        <v/>
      </c>
      <c r="Z359" s="21" t="n">
        <v>0</v>
      </c>
      <c r="AA359" s="21" t="n">
        <v>0</v>
      </c>
      <c r="AB359" s="21" t="n">
        <v>0</v>
      </c>
      <c r="AC359" s="21" t="n">
        <v>0</v>
      </c>
      <c r="AD359" s="21" t="n">
        <v>0</v>
      </c>
      <c r="AE359" s="21" t="n">
        <v>0</v>
      </c>
      <c r="AF359" s="21" t="n">
        <v>0</v>
      </c>
      <c r="AG359" s="21" t="n">
        <v>0</v>
      </c>
      <c r="AH359" s="21" t="n">
        <v>0</v>
      </c>
      <c r="AI359" s="21" t="n">
        <v>0</v>
      </c>
      <c r="AJ359" s="21" t="n">
        <v>0</v>
      </c>
      <c r="AK359" s="21" t="n">
        <v>0</v>
      </c>
      <c r="AL359" s="21" t="n">
        <v>0</v>
      </c>
      <c r="AM359" s="21" t="n">
        <v>0</v>
      </c>
      <c r="AN359" s="21" t="n">
        <v>0</v>
      </c>
      <c r="AO359" s="21" t="n">
        <v>0</v>
      </c>
      <c r="AP359" s="21" t="n">
        <v>0</v>
      </c>
      <c r="AQ359" s="21" t="n">
        <v>0</v>
      </c>
      <c r="AR359" s="21" t="n">
        <v>0</v>
      </c>
      <c r="AS359" s="21" t="n">
        <v>0</v>
      </c>
      <c r="AT359" s="19" t="n"/>
    </row>
    <row r="360">
      <c r="D360" s="21" t="n">
        <v>0</v>
      </c>
      <c r="E360" s="21" t="n">
        <v>0</v>
      </c>
      <c r="F360" s="21" t="n">
        <v>0</v>
      </c>
      <c r="G360" s="21" t="n">
        <v>0</v>
      </c>
      <c r="H360" s="21" t="n">
        <v>0</v>
      </c>
      <c r="I360" s="21" t="n">
        <v>0</v>
      </c>
      <c r="J360" s="21" t="n">
        <v>0</v>
      </c>
      <c r="K360" s="21" t="n">
        <v>0</v>
      </c>
      <c r="L360" s="21" t="n">
        <v>0</v>
      </c>
      <c r="M360" s="21" t="n">
        <v>0</v>
      </c>
      <c r="N360" s="21" t="n">
        <v>0</v>
      </c>
      <c r="O360" s="21" t="n">
        <v>0</v>
      </c>
      <c r="P360" s="21" t="n">
        <v>0</v>
      </c>
      <c r="Q360" s="21" t="n">
        <v>0</v>
      </c>
      <c r="R360" s="21" t="n">
        <v>0</v>
      </c>
      <c r="S360" s="21" t="n">
        <v>0</v>
      </c>
      <c r="T360" s="21">
        <f>$B$19</f>
        <v/>
      </c>
      <c r="U360" s="21">
        <f>$B$21</f>
        <v/>
      </c>
      <c r="V360" s="21">
        <f>0</f>
        <v/>
      </c>
      <c r="W360" s="21">
        <f>2*$B$20</f>
        <v/>
      </c>
      <c r="X360" s="21">
        <f>-$B$19</f>
        <v/>
      </c>
      <c r="Y360" s="21">
        <f>$B$21</f>
        <v/>
      </c>
      <c r="Z360" s="21" t="n">
        <v>0</v>
      </c>
      <c r="AA360" s="21" t="n">
        <v>0</v>
      </c>
      <c r="AB360" s="21" t="n">
        <v>0</v>
      </c>
      <c r="AC360" s="21" t="n">
        <v>0</v>
      </c>
      <c r="AD360" s="21" t="n">
        <v>0</v>
      </c>
      <c r="AE360" s="21" t="n">
        <v>0</v>
      </c>
      <c r="AF360" s="21" t="n">
        <v>0</v>
      </c>
      <c r="AG360" s="21" t="n">
        <v>0</v>
      </c>
      <c r="AH360" s="21" t="n">
        <v>0</v>
      </c>
      <c r="AI360" s="21" t="n">
        <v>0</v>
      </c>
      <c r="AJ360" s="21" t="n">
        <v>0</v>
      </c>
      <c r="AK360" s="21" t="n">
        <v>0</v>
      </c>
      <c r="AL360" s="21" t="n">
        <v>0</v>
      </c>
      <c r="AM360" s="21" t="n">
        <v>0</v>
      </c>
      <c r="AN360" s="21" t="n">
        <v>0</v>
      </c>
      <c r="AO360" s="21" t="n">
        <v>0</v>
      </c>
      <c r="AP360" s="21" t="n">
        <v>0</v>
      </c>
      <c r="AQ360" s="21" t="n">
        <v>0</v>
      </c>
      <c r="AR360" s="21" t="n">
        <v>0</v>
      </c>
      <c r="AS360" s="21" t="n">
        <v>0</v>
      </c>
      <c r="AT360" s="19" t="n"/>
    </row>
    <row r="361">
      <c r="D361" s="21" t="n">
        <v>0</v>
      </c>
      <c r="E361" s="21" t="n">
        <v>0</v>
      </c>
      <c r="F361" s="21" t="n">
        <v>0</v>
      </c>
      <c r="G361" s="21" t="n">
        <v>0</v>
      </c>
      <c r="H361" s="21" t="n">
        <v>0</v>
      </c>
      <c r="I361" s="21" t="n">
        <v>0</v>
      </c>
      <c r="J361" s="21" t="n">
        <v>0</v>
      </c>
      <c r="K361" s="21" t="n">
        <v>0</v>
      </c>
      <c r="L361" s="21" t="n">
        <v>0</v>
      </c>
      <c r="M361" s="21" t="n">
        <v>0</v>
      </c>
      <c r="N361" s="21" t="n">
        <v>0</v>
      </c>
      <c r="O361" s="21" t="n">
        <v>0</v>
      </c>
      <c r="P361" s="21" t="n">
        <v>0</v>
      </c>
      <c r="Q361" s="21" t="n">
        <v>0</v>
      </c>
      <c r="R361" s="21" t="n">
        <v>0</v>
      </c>
      <c r="S361" s="21" t="n">
        <v>0</v>
      </c>
      <c r="T361" s="21" t="n">
        <v>0</v>
      </c>
      <c r="U361" s="21" t="n">
        <v>0</v>
      </c>
      <c r="V361" s="21">
        <f>-$B$18</f>
        <v/>
      </c>
      <c r="W361" s="21">
        <f>-$B$19</f>
        <v/>
      </c>
      <c r="X361" s="21">
        <f>2*$B$18+$D$329</f>
        <v/>
      </c>
      <c r="Y361" s="21">
        <f>0</f>
        <v/>
      </c>
      <c r="Z361" s="21">
        <f>-$B$18</f>
        <v/>
      </c>
      <c r="AA361" s="21">
        <f>$B$19</f>
        <v/>
      </c>
      <c r="AB361" s="21" t="n">
        <v>0</v>
      </c>
      <c r="AC361" s="21" t="n">
        <v>0</v>
      </c>
      <c r="AD361" s="21" t="n">
        <v>0</v>
      </c>
      <c r="AE361" s="21" t="n">
        <v>0</v>
      </c>
      <c r="AF361" s="21" t="n">
        <v>0</v>
      </c>
      <c r="AG361" s="21" t="n">
        <v>0</v>
      </c>
      <c r="AH361" s="21" t="n">
        <v>0</v>
      </c>
      <c r="AI361" s="21" t="n">
        <v>0</v>
      </c>
      <c r="AJ361" s="21" t="n">
        <v>0</v>
      </c>
      <c r="AK361" s="21" t="n">
        <v>0</v>
      </c>
      <c r="AL361" s="21" t="n">
        <v>0</v>
      </c>
      <c r="AM361" s="21" t="n">
        <v>0</v>
      </c>
      <c r="AN361" s="21" t="n">
        <v>0</v>
      </c>
      <c r="AO361" s="21" t="n">
        <v>0</v>
      </c>
      <c r="AP361" s="21" t="n">
        <v>0</v>
      </c>
      <c r="AQ361" s="21" t="n">
        <v>0</v>
      </c>
      <c r="AR361" s="21" t="n">
        <v>0</v>
      </c>
      <c r="AS361" s="21" t="n">
        <v>0</v>
      </c>
      <c r="AT361" s="19" t="n"/>
    </row>
    <row r="362">
      <c r="D362" s="21" t="n">
        <v>0</v>
      </c>
      <c r="E362" s="21" t="n">
        <v>0</v>
      </c>
      <c r="F362" s="21" t="n">
        <v>0</v>
      </c>
      <c r="G362" s="21" t="n">
        <v>0</v>
      </c>
      <c r="H362" s="21" t="n">
        <v>0</v>
      </c>
      <c r="I362" s="21" t="n">
        <v>0</v>
      </c>
      <c r="J362" s="21" t="n">
        <v>0</v>
      </c>
      <c r="K362" s="21" t="n">
        <v>0</v>
      </c>
      <c r="L362" s="21" t="n">
        <v>0</v>
      </c>
      <c r="M362" s="21" t="n">
        <v>0</v>
      </c>
      <c r="N362" s="21" t="n">
        <v>0</v>
      </c>
      <c r="O362" s="21" t="n">
        <v>0</v>
      </c>
      <c r="P362" s="21" t="n">
        <v>0</v>
      </c>
      <c r="Q362" s="21" t="n">
        <v>0</v>
      </c>
      <c r="R362" s="21" t="n">
        <v>0</v>
      </c>
      <c r="S362" s="21" t="n">
        <v>0</v>
      </c>
      <c r="T362" s="21" t="n">
        <v>0</v>
      </c>
      <c r="U362" s="21" t="n">
        <v>0</v>
      </c>
      <c r="V362" s="21">
        <f>$B$19</f>
        <v/>
      </c>
      <c r="W362" s="21">
        <f>$B$21</f>
        <v/>
      </c>
      <c r="X362" s="21">
        <f>0</f>
        <v/>
      </c>
      <c r="Y362" s="21">
        <f>2*$B$20</f>
        <v/>
      </c>
      <c r="Z362" s="21">
        <f>-$B$19</f>
        <v/>
      </c>
      <c r="AA362" s="21">
        <f>$B$21</f>
        <v/>
      </c>
      <c r="AB362" s="21" t="n">
        <v>0</v>
      </c>
      <c r="AC362" s="21" t="n">
        <v>0</v>
      </c>
      <c r="AD362" s="21" t="n">
        <v>0</v>
      </c>
      <c r="AE362" s="21" t="n">
        <v>0</v>
      </c>
      <c r="AF362" s="21" t="n">
        <v>0</v>
      </c>
      <c r="AG362" s="21" t="n">
        <v>0</v>
      </c>
      <c r="AH362" s="21" t="n">
        <v>0</v>
      </c>
      <c r="AI362" s="21" t="n">
        <v>0</v>
      </c>
      <c r="AJ362" s="21" t="n">
        <v>0</v>
      </c>
      <c r="AK362" s="21" t="n">
        <v>0</v>
      </c>
      <c r="AL362" s="21" t="n">
        <v>0</v>
      </c>
      <c r="AM362" s="21" t="n">
        <v>0</v>
      </c>
      <c r="AN362" s="21" t="n">
        <v>0</v>
      </c>
      <c r="AO362" s="21" t="n">
        <v>0</v>
      </c>
      <c r="AP362" s="21" t="n">
        <v>0</v>
      </c>
      <c r="AQ362" s="21" t="n">
        <v>0</v>
      </c>
      <c r="AR362" s="21" t="n">
        <v>0</v>
      </c>
      <c r="AS362" s="21" t="n">
        <v>0</v>
      </c>
      <c r="AT362" s="19" t="n"/>
    </row>
    <row r="363">
      <c r="D363" s="21" t="n">
        <v>0</v>
      </c>
      <c r="E363" s="21" t="n">
        <v>0</v>
      </c>
      <c r="F363" s="21" t="n">
        <v>0</v>
      </c>
      <c r="G363" s="21" t="n">
        <v>0</v>
      </c>
      <c r="H363" s="21" t="n">
        <v>0</v>
      </c>
      <c r="I363" s="21" t="n">
        <v>0</v>
      </c>
      <c r="J363" s="21" t="n">
        <v>0</v>
      </c>
      <c r="K363" s="21" t="n">
        <v>0</v>
      </c>
      <c r="L363" s="21" t="n">
        <v>0</v>
      </c>
      <c r="M363" s="21" t="n">
        <v>0</v>
      </c>
      <c r="N363" s="21" t="n">
        <v>0</v>
      </c>
      <c r="O363" s="21" t="n">
        <v>0</v>
      </c>
      <c r="P363" s="21" t="n">
        <v>0</v>
      </c>
      <c r="Q363" s="21" t="n">
        <v>0</v>
      </c>
      <c r="R363" s="21" t="n">
        <v>0</v>
      </c>
      <c r="S363" s="21" t="n">
        <v>0</v>
      </c>
      <c r="T363" s="21" t="n">
        <v>0</v>
      </c>
      <c r="U363" s="21" t="n">
        <v>0</v>
      </c>
      <c r="V363" s="21" t="n">
        <v>0</v>
      </c>
      <c r="W363" s="21" t="n">
        <v>0</v>
      </c>
      <c r="X363" s="21">
        <f>-$B$18</f>
        <v/>
      </c>
      <c r="Y363" s="21">
        <f>-$B$19</f>
        <v/>
      </c>
      <c r="Z363" s="21">
        <f>2*$B$18+$D$330</f>
        <v/>
      </c>
      <c r="AA363" s="21">
        <f>0</f>
        <v/>
      </c>
      <c r="AB363" s="21">
        <f>-$B$18</f>
        <v/>
      </c>
      <c r="AC363" s="21">
        <f>$B$19</f>
        <v/>
      </c>
      <c r="AD363" s="21" t="n">
        <v>0</v>
      </c>
      <c r="AE363" s="21" t="n">
        <v>0</v>
      </c>
      <c r="AF363" s="21" t="n">
        <v>0</v>
      </c>
      <c r="AG363" s="21" t="n">
        <v>0</v>
      </c>
      <c r="AH363" s="21" t="n">
        <v>0</v>
      </c>
      <c r="AI363" s="21" t="n">
        <v>0</v>
      </c>
      <c r="AJ363" s="21" t="n">
        <v>0</v>
      </c>
      <c r="AK363" s="21" t="n">
        <v>0</v>
      </c>
      <c r="AL363" s="21" t="n">
        <v>0</v>
      </c>
      <c r="AM363" s="21" t="n">
        <v>0</v>
      </c>
      <c r="AN363" s="21" t="n">
        <v>0</v>
      </c>
      <c r="AO363" s="21" t="n">
        <v>0</v>
      </c>
      <c r="AP363" s="21" t="n">
        <v>0</v>
      </c>
      <c r="AQ363" s="21" t="n">
        <v>0</v>
      </c>
      <c r="AR363" s="21" t="n">
        <v>0</v>
      </c>
      <c r="AS363" s="21" t="n">
        <v>0</v>
      </c>
      <c r="AT363" s="19" t="n"/>
    </row>
    <row r="364">
      <c r="D364" s="21" t="n">
        <v>0</v>
      </c>
      <c r="E364" s="21" t="n">
        <v>0</v>
      </c>
      <c r="F364" s="21" t="n">
        <v>0</v>
      </c>
      <c r="G364" s="21" t="n">
        <v>0</v>
      </c>
      <c r="H364" s="21" t="n">
        <v>0</v>
      </c>
      <c r="I364" s="21" t="n">
        <v>0</v>
      </c>
      <c r="J364" s="21" t="n">
        <v>0</v>
      </c>
      <c r="K364" s="21" t="n">
        <v>0</v>
      </c>
      <c r="L364" s="21" t="n">
        <v>0</v>
      </c>
      <c r="M364" s="21" t="n">
        <v>0</v>
      </c>
      <c r="N364" s="21" t="n">
        <v>0</v>
      </c>
      <c r="O364" s="21" t="n">
        <v>0</v>
      </c>
      <c r="P364" s="21" t="n">
        <v>0</v>
      </c>
      <c r="Q364" s="21" t="n">
        <v>0</v>
      </c>
      <c r="R364" s="21" t="n">
        <v>0</v>
      </c>
      <c r="S364" s="21" t="n">
        <v>0</v>
      </c>
      <c r="T364" s="21" t="n">
        <v>0</v>
      </c>
      <c r="U364" s="21" t="n">
        <v>0</v>
      </c>
      <c r="V364" s="21" t="n">
        <v>0</v>
      </c>
      <c r="W364" s="21" t="n">
        <v>0</v>
      </c>
      <c r="X364" s="21">
        <f>$B$19</f>
        <v/>
      </c>
      <c r="Y364" s="21">
        <f>$B$21</f>
        <v/>
      </c>
      <c r="Z364" s="21">
        <f>0</f>
        <v/>
      </c>
      <c r="AA364" s="21">
        <f>2*$B$20</f>
        <v/>
      </c>
      <c r="AB364" s="21">
        <f>-$B$19</f>
        <v/>
      </c>
      <c r="AC364" s="21">
        <f>$B$21</f>
        <v/>
      </c>
      <c r="AD364" s="21" t="n">
        <v>0</v>
      </c>
      <c r="AE364" s="21" t="n">
        <v>0</v>
      </c>
      <c r="AF364" s="21" t="n">
        <v>0</v>
      </c>
      <c r="AG364" s="21" t="n">
        <v>0</v>
      </c>
      <c r="AH364" s="21" t="n">
        <v>0</v>
      </c>
      <c r="AI364" s="21" t="n">
        <v>0</v>
      </c>
      <c r="AJ364" s="21" t="n">
        <v>0</v>
      </c>
      <c r="AK364" s="21" t="n">
        <v>0</v>
      </c>
      <c r="AL364" s="21" t="n">
        <v>0</v>
      </c>
      <c r="AM364" s="21" t="n">
        <v>0</v>
      </c>
      <c r="AN364" s="21" t="n">
        <v>0</v>
      </c>
      <c r="AO364" s="21" t="n">
        <v>0</v>
      </c>
      <c r="AP364" s="21" t="n">
        <v>0</v>
      </c>
      <c r="AQ364" s="21" t="n">
        <v>0</v>
      </c>
      <c r="AR364" s="21" t="n">
        <v>0</v>
      </c>
      <c r="AS364" s="21" t="n">
        <v>0</v>
      </c>
      <c r="AT364" s="19" t="n"/>
    </row>
    <row r="365">
      <c r="D365" s="21" t="n">
        <v>0</v>
      </c>
      <c r="E365" s="21" t="n">
        <v>0</v>
      </c>
      <c r="F365" s="21" t="n">
        <v>0</v>
      </c>
      <c r="G365" s="21" t="n">
        <v>0</v>
      </c>
      <c r="H365" s="21" t="n">
        <v>0</v>
      </c>
      <c r="I365" s="21" t="n">
        <v>0</v>
      </c>
      <c r="J365" s="21" t="n">
        <v>0</v>
      </c>
      <c r="K365" s="21" t="n">
        <v>0</v>
      </c>
      <c r="L365" s="21" t="n">
        <v>0</v>
      </c>
      <c r="M365" s="21" t="n">
        <v>0</v>
      </c>
      <c r="N365" s="21" t="n">
        <v>0</v>
      </c>
      <c r="O365" s="21" t="n">
        <v>0</v>
      </c>
      <c r="P365" s="21" t="n">
        <v>0</v>
      </c>
      <c r="Q365" s="21" t="n">
        <v>0</v>
      </c>
      <c r="R365" s="21" t="n">
        <v>0</v>
      </c>
      <c r="S365" s="21" t="n">
        <v>0</v>
      </c>
      <c r="T365" s="21" t="n">
        <v>0</v>
      </c>
      <c r="U365" s="21" t="n">
        <v>0</v>
      </c>
      <c r="V365" s="21" t="n">
        <v>0</v>
      </c>
      <c r="W365" s="21" t="n">
        <v>0</v>
      </c>
      <c r="X365" s="21" t="n">
        <v>0</v>
      </c>
      <c r="Y365" s="21" t="n">
        <v>0</v>
      </c>
      <c r="Z365" s="21">
        <f>-$B$18</f>
        <v/>
      </c>
      <c r="AA365" s="21">
        <f>-$B$19</f>
        <v/>
      </c>
      <c r="AB365" s="21">
        <f>2*$B$18+$D$331</f>
        <v/>
      </c>
      <c r="AC365" s="21">
        <f>0</f>
        <v/>
      </c>
      <c r="AD365" s="21">
        <f>-$B$18</f>
        <v/>
      </c>
      <c r="AE365" s="21">
        <f>$B$19</f>
        <v/>
      </c>
      <c r="AF365" s="21" t="n">
        <v>0</v>
      </c>
      <c r="AG365" s="21" t="n">
        <v>0</v>
      </c>
      <c r="AH365" s="21" t="n">
        <v>0</v>
      </c>
      <c r="AI365" s="21" t="n">
        <v>0</v>
      </c>
      <c r="AJ365" s="21" t="n">
        <v>0</v>
      </c>
      <c r="AK365" s="21" t="n">
        <v>0</v>
      </c>
      <c r="AL365" s="21" t="n">
        <v>0</v>
      </c>
      <c r="AM365" s="21" t="n">
        <v>0</v>
      </c>
      <c r="AN365" s="21" t="n">
        <v>0</v>
      </c>
      <c r="AO365" s="21" t="n">
        <v>0</v>
      </c>
      <c r="AP365" s="21" t="n">
        <v>0</v>
      </c>
      <c r="AQ365" s="21" t="n">
        <v>0</v>
      </c>
      <c r="AR365" s="21" t="n">
        <v>0</v>
      </c>
      <c r="AS365" s="21" t="n">
        <v>0</v>
      </c>
      <c r="AT365" s="19" t="n"/>
    </row>
    <row r="366">
      <c r="D366" s="21" t="n">
        <v>0</v>
      </c>
      <c r="E366" s="21" t="n">
        <v>0</v>
      </c>
      <c r="F366" s="21" t="n">
        <v>0</v>
      </c>
      <c r="G366" s="21" t="n">
        <v>0</v>
      </c>
      <c r="H366" s="21" t="n">
        <v>0</v>
      </c>
      <c r="I366" s="21" t="n">
        <v>0</v>
      </c>
      <c r="J366" s="21" t="n">
        <v>0</v>
      </c>
      <c r="K366" s="21" t="n">
        <v>0</v>
      </c>
      <c r="L366" s="21" t="n">
        <v>0</v>
      </c>
      <c r="M366" s="21" t="n">
        <v>0</v>
      </c>
      <c r="N366" s="21" t="n">
        <v>0</v>
      </c>
      <c r="O366" s="21" t="n">
        <v>0</v>
      </c>
      <c r="P366" s="21" t="n">
        <v>0</v>
      </c>
      <c r="Q366" s="21" t="n">
        <v>0</v>
      </c>
      <c r="R366" s="21" t="n">
        <v>0</v>
      </c>
      <c r="S366" s="21" t="n">
        <v>0</v>
      </c>
      <c r="T366" s="21" t="n">
        <v>0</v>
      </c>
      <c r="U366" s="21" t="n">
        <v>0</v>
      </c>
      <c r="V366" s="21" t="n">
        <v>0</v>
      </c>
      <c r="W366" s="21" t="n">
        <v>0</v>
      </c>
      <c r="X366" s="21" t="n">
        <v>0</v>
      </c>
      <c r="Y366" s="21" t="n">
        <v>0</v>
      </c>
      <c r="Z366" s="21">
        <f>$B$19</f>
        <v/>
      </c>
      <c r="AA366" s="21">
        <f>$B$21</f>
        <v/>
      </c>
      <c r="AB366" s="21">
        <f>0</f>
        <v/>
      </c>
      <c r="AC366" s="21">
        <f>2*$B$20</f>
        <v/>
      </c>
      <c r="AD366" s="21">
        <f>-$B$19</f>
        <v/>
      </c>
      <c r="AE366" s="21">
        <f>$B$21</f>
        <v/>
      </c>
      <c r="AF366" s="21" t="n">
        <v>0</v>
      </c>
      <c r="AG366" s="21" t="n">
        <v>0</v>
      </c>
      <c r="AH366" s="21" t="n">
        <v>0</v>
      </c>
      <c r="AI366" s="21" t="n">
        <v>0</v>
      </c>
      <c r="AJ366" s="21" t="n">
        <v>0</v>
      </c>
      <c r="AK366" s="21" t="n">
        <v>0</v>
      </c>
      <c r="AL366" s="21" t="n">
        <v>0</v>
      </c>
      <c r="AM366" s="21" t="n">
        <v>0</v>
      </c>
      <c r="AN366" s="21" t="n">
        <v>0</v>
      </c>
      <c r="AO366" s="21" t="n">
        <v>0</v>
      </c>
      <c r="AP366" s="21" t="n">
        <v>0</v>
      </c>
      <c r="AQ366" s="21" t="n">
        <v>0</v>
      </c>
      <c r="AR366" s="21" t="n">
        <v>0</v>
      </c>
      <c r="AS366" s="21" t="n">
        <v>0</v>
      </c>
      <c r="AT366" s="19" t="n"/>
    </row>
    <row r="367">
      <c r="D367" s="21" t="n">
        <v>0</v>
      </c>
      <c r="E367" s="21" t="n">
        <v>0</v>
      </c>
      <c r="F367" s="21" t="n">
        <v>0</v>
      </c>
      <c r="G367" s="21" t="n">
        <v>0</v>
      </c>
      <c r="H367" s="21" t="n">
        <v>0</v>
      </c>
      <c r="I367" s="21" t="n">
        <v>0</v>
      </c>
      <c r="J367" s="21" t="n">
        <v>0</v>
      </c>
      <c r="K367" s="21" t="n">
        <v>0</v>
      </c>
      <c r="L367" s="21" t="n">
        <v>0</v>
      </c>
      <c r="M367" s="21" t="n">
        <v>0</v>
      </c>
      <c r="N367" s="21" t="n">
        <v>0</v>
      </c>
      <c r="O367" s="21" t="n">
        <v>0</v>
      </c>
      <c r="P367" s="21" t="n">
        <v>0</v>
      </c>
      <c r="Q367" s="21" t="n">
        <v>0</v>
      </c>
      <c r="R367" s="21" t="n">
        <v>0</v>
      </c>
      <c r="S367" s="21" t="n">
        <v>0</v>
      </c>
      <c r="T367" s="21" t="n">
        <v>0</v>
      </c>
      <c r="U367" s="21" t="n">
        <v>0</v>
      </c>
      <c r="V367" s="21" t="n">
        <v>0</v>
      </c>
      <c r="W367" s="21" t="n">
        <v>0</v>
      </c>
      <c r="X367" s="21" t="n">
        <v>0</v>
      </c>
      <c r="Y367" s="21" t="n">
        <v>0</v>
      </c>
      <c r="Z367" s="21" t="n">
        <v>0</v>
      </c>
      <c r="AA367" s="21" t="n">
        <v>0</v>
      </c>
      <c r="AB367" s="21">
        <f>-$B$18</f>
        <v/>
      </c>
      <c r="AC367" s="21">
        <f>-$B$19</f>
        <v/>
      </c>
      <c r="AD367" s="21">
        <f>2*$B$18+$D$332</f>
        <v/>
      </c>
      <c r="AE367" s="21">
        <f>0</f>
        <v/>
      </c>
      <c r="AF367" s="21">
        <f>-$B$18</f>
        <v/>
      </c>
      <c r="AG367" s="21">
        <f>$B$19</f>
        <v/>
      </c>
      <c r="AH367" s="21" t="n">
        <v>0</v>
      </c>
      <c r="AI367" s="21" t="n">
        <v>0</v>
      </c>
      <c r="AJ367" s="21" t="n">
        <v>0</v>
      </c>
      <c r="AK367" s="21" t="n">
        <v>0</v>
      </c>
      <c r="AL367" s="21" t="n">
        <v>0</v>
      </c>
      <c r="AM367" s="21" t="n">
        <v>0</v>
      </c>
      <c r="AN367" s="21" t="n">
        <v>0</v>
      </c>
      <c r="AO367" s="21" t="n">
        <v>0</v>
      </c>
      <c r="AP367" s="21" t="n">
        <v>0</v>
      </c>
      <c r="AQ367" s="21" t="n">
        <v>0</v>
      </c>
      <c r="AR367" s="21" t="n">
        <v>0</v>
      </c>
      <c r="AS367" s="21" t="n">
        <v>0</v>
      </c>
      <c r="AT367" s="19" t="n"/>
    </row>
    <row r="368">
      <c r="D368" s="21" t="n">
        <v>0</v>
      </c>
      <c r="E368" s="21" t="n">
        <v>0</v>
      </c>
      <c r="F368" s="21" t="n">
        <v>0</v>
      </c>
      <c r="G368" s="21" t="n">
        <v>0</v>
      </c>
      <c r="H368" s="21" t="n">
        <v>0</v>
      </c>
      <c r="I368" s="21" t="n">
        <v>0</v>
      </c>
      <c r="J368" s="21" t="n">
        <v>0</v>
      </c>
      <c r="K368" s="21" t="n">
        <v>0</v>
      </c>
      <c r="L368" s="21" t="n">
        <v>0</v>
      </c>
      <c r="M368" s="21" t="n">
        <v>0</v>
      </c>
      <c r="N368" s="21" t="n">
        <v>0</v>
      </c>
      <c r="O368" s="21" t="n">
        <v>0</v>
      </c>
      <c r="P368" s="21" t="n">
        <v>0</v>
      </c>
      <c r="Q368" s="21" t="n">
        <v>0</v>
      </c>
      <c r="R368" s="21" t="n">
        <v>0</v>
      </c>
      <c r="S368" s="21" t="n">
        <v>0</v>
      </c>
      <c r="T368" s="21" t="n">
        <v>0</v>
      </c>
      <c r="U368" s="21" t="n">
        <v>0</v>
      </c>
      <c r="V368" s="21" t="n">
        <v>0</v>
      </c>
      <c r="W368" s="21" t="n">
        <v>0</v>
      </c>
      <c r="X368" s="21" t="n">
        <v>0</v>
      </c>
      <c r="Y368" s="21" t="n">
        <v>0</v>
      </c>
      <c r="Z368" s="21" t="n">
        <v>0</v>
      </c>
      <c r="AA368" s="21" t="n">
        <v>0</v>
      </c>
      <c r="AB368" s="21">
        <f>$B$19</f>
        <v/>
      </c>
      <c r="AC368" s="21">
        <f>$B$21</f>
        <v/>
      </c>
      <c r="AD368" s="21">
        <f>0</f>
        <v/>
      </c>
      <c r="AE368" s="21">
        <f>2*$B$20</f>
        <v/>
      </c>
      <c r="AF368" s="21">
        <f>-$B$19</f>
        <v/>
      </c>
      <c r="AG368" s="21">
        <f>$B$21</f>
        <v/>
      </c>
      <c r="AH368" s="21" t="n">
        <v>0</v>
      </c>
      <c r="AI368" s="21" t="n">
        <v>0</v>
      </c>
      <c r="AJ368" s="21" t="n">
        <v>0</v>
      </c>
      <c r="AK368" s="21" t="n">
        <v>0</v>
      </c>
      <c r="AL368" s="21" t="n">
        <v>0</v>
      </c>
      <c r="AM368" s="21" t="n">
        <v>0</v>
      </c>
      <c r="AN368" s="21" t="n">
        <v>0</v>
      </c>
      <c r="AO368" s="21" t="n">
        <v>0</v>
      </c>
      <c r="AP368" s="21" t="n">
        <v>0</v>
      </c>
      <c r="AQ368" s="21" t="n">
        <v>0</v>
      </c>
      <c r="AR368" s="21" t="n">
        <v>0</v>
      </c>
      <c r="AS368" s="21" t="n">
        <v>0</v>
      </c>
      <c r="AT368" s="19" t="n"/>
    </row>
    <row r="369">
      <c r="D369" s="21" t="n">
        <v>0</v>
      </c>
      <c r="E369" s="21" t="n">
        <v>0</v>
      </c>
      <c r="F369" s="21" t="n">
        <v>0</v>
      </c>
      <c r="G369" s="21" t="n">
        <v>0</v>
      </c>
      <c r="H369" s="21" t="n">
        <v>0</v>
      </c>
      <c r="I369" s="21" t="n">
        <v>0</v>
      </c>
      <c r="J369" s="21" t="n">
        <v>0</v>
      </c>
      <c r="K369" s="21" t="n">
        <v>0</v>
      </c>
      <c r="L369" s="21" t="n">
        <v>0</v>
      </c>
      <c r="M369" s="21" t="n">
        <v>0</v>
      </c>
      <c r="N369" s="21" t="n">
        <v>0</v>
      </c>
      <c r="O369" s="21" t="n">
        <v>0</v>
      </c>
      <c r="P369" s="21" t="n">
        <v>0</v>
      </c>
      <c r="Q369" s="21" t="n">
        <v>0</v>
      </c>
      <c r="R369" s="21" t="n">
        <v>0</v>
      </c>
      <c r="S369" s="21" t="n">
        <v>0</v>
      </c>
      <c r="T369" s="21" t="n">
        <v>0</v>
      </c>
      <c r="U369" s="21" t="n">
        <v>0</v>
      </c>
      <c r="V369" s="21" t="n">
        <v>0</v>
      </c>
      <c r="W369" s="21" t="n">
        <v>0</v>
      </c>
      <c r="X369" s="21" t="n">
        <v>0</v>
      </c>
      <c r="Y369" s="21" t="n">
        <v>0</v>
      </c>
      <c r="Z369" s="21" t="n">
        <v>0</v>
      </c>
      <c r="AA369" s="21" t="n">
        <v>0</v>
      </c>
      <c r="AB369" s="21" t="n">
        <v>0</v>
      </c>
      <c r="AC369" s="21" t="n">
        <v>0</v>
      </c>
      <c r="AD369" s="21">
        <f>-$B$18</f>
        <v/>
      </c>
      <c r="AE369" s="21">
        <f>-$B$19</f>
        <v/>
      </c>
      <c r="AF369" s="21">
        <f>2*$B$18+$D$333</f>
        <v/>
      </c>
      <c r="AG369" s="21">
        <f>0</f>
        <v/>
      </c>
      <c r="AH369" s="21">
        <f>-$B$18</f>
        <v/>
      </c>
      <c r="AI369" s="21">
        <f>$B$19</f>
        <v/>
      </c>
      <c r="AJ369" s="21" t="n">
        <v>0</v>
      </c>
      <c r="AK369" s="21" t="n">
        <v>0</v>
      </c>
      <c r="AL369" s="21" t="n">
        <v>0</v>
      </c>
      <c r="AM369" s="21" t="n">
        <v>0</v>
      </c>
      <c r="AN369" s="21" t="n">
        <v>0</v>
      </c>
      <c r="AO369" s="21" t="n">
        <v>0</v>
      </c>
      <c r="AP369" s="21" t="n">
        <v>0</v>
      </c>
      <c r="AQ369" s="21" t="n">
        <v>0</v>
      </c>
      <c r="AR369" s="21" t="n">
        <v>0</v>
      </c>
      <c r="AS369" s="21" t="n">
        <v>0</v>
      </c>
      <c r="AT369" s="19" t="n"/>
    </row>
    <row r="370">
      <c r="D370" s="21" t="n">
        <v>0</v>
      </c>
      <c r="E370" s="21" t="n">
        <v>0</v>
      </c>
      <c r="F370" s="21" t="n">
        <v>0</v>
      </c>
      <c r="G370" s="21" t="n">
        <v>0</v>
      </c>
      <c r="H370" s="21" t="n">
        <v>0</v>
      </c>
      <c r="I370" s="21" t="n">
        <v>0</v>
      </c>
      <c r="J370" s="21" t="n">
        <v>0</v>
      </c>
      <c r="K370" s="21" t="n">
        <v>0</v>
      </c>
      <c r="L370" s="21" t="n">
        <v>0</v>
      </c>
      <c r="M370" s="21" t="n">
        <v>0</v>
      </c>
      <c r="N370" s="21" t="n">
        <v>0</v>
      </c>
      <c r="O370" s="21" t="n">
        <v>0</v>
      </c>
      <c r="P370" s="21" t="n">
        <v>0</v>
      </c>
      <c r="Q370" s="21" t="n">
        <v>0</v>
      </c>
      <c r="R370" s="21" t="n">
        <v>0</v>
      </c>
      <c r="S370" s="21" t="n">
        <v>0</v>
      </c>
      <c r="T370" s="21" t="n">
        <v>0</v>
      </c>
      <c r="U370" s="21" t="n">
        <v>0</v>
      </c>
      <c r="V370" s="21" t="n">
        <v>0</v>
      </c>
      <c r="W370" s="21" t="n">
        <v>0</v>
      </c>
      <c r="X370" s="21" t="n">
        <v>0</v>
      </c>
      <c r="Y370" s="21" t="n">
        <v>0</v>
      </c>
      <c r="Z370" s="21" t="n">
        <v>0</v>
      </c>
      <c r="AA370" s="21" t="n">
        <v>0</v>
      </c>
      <c r="AB370" s="21" t="n">
        <v>0</v>
      </c>
      <c r="AC370" s="21" t="n">
        <v>0</v>
      </c>
      <c r="AD370" s="21">
        <f>$B$19</f>
        <v/>
      </c>
      <c r="AE370" s="21">
        <f>$B$21</f>
        <v/>
      </c>
      <c r="AF370" s="21">
        <f>0</f>
        <v/>
      </c>
      <c r="AG370" s="21">
        <f>2*$B$20</f>
        <v/>
      </c>
      <c r="AH370" s="21">
        <f>-$B$19</f>
        <v/>
      </c>
      <c r="AI370" s="21">
        <f>$B$21</f>
        <v/>
      </c>
      <c r="AJ370" s="21" t="n">
        <v>0</v>
      </c>
      <c r="AK370" s="21" t="n">
        <v>0</v>
      </c>
      <c r="AL370" s="21" t="n">
        <v>0</v>
      </c>
      <c r="AM370" s="21" t="n">
        <v>0</v>
      </c>
      <c r="AN370" s="21" t="n">
        <v>0</v>
      </c>
      <c r="AO370" s="21" t="n">
        <v>0</v>
      </c>
      <c r="AP370" s="21" t="n">
        <v>0</v>
      </c>
      <c r="AQ370" s="21" t="n">
        <v>0</v>
      </c>
      <c r="AR370" s="21" t="n">
        <v>0</v>
      </c>
      <c r="AS370" s="21" t="n">
        <v>0</v>
      </c>
      <c r="AT370" s="19" t="n"/>
    </row>
    <row r="371">
      <c r="D371" s="21" t="n">
        <v>0</v>
      </c>
      <c r="E371" s="21" t="n">
        <v>0</v>
      </c>
      <c r="F371" s="21" t="n">
        <v>0</v>
      </c>
      <c r="G371" s="21" t="n">
        <v>0</v>
      </c>
      <c r="H371" s="21" t="n">
        <v>0</v>
      </c>
      <c r="I371" s="21" t="n">
        <v>0</v>
      </c>
      <c r="J371" s="21" t="n">
        <v>0</v>
      </c>
      <c r="K371" s="21" t="n">
        <v>0</v>
      </c>
      <c r="L371" s="21" t="n">
        <v>0</v>
      </c>
      <c r="M371" s="21" t="n">
        <v>0</v>
      </c>
      <c r="N371" s="21" t="n">
        <v>0</v>
      </c>
      <c r="O371" s="21" t="n">
        <v>0</v>
      </c>
      <c r="P371" s="21" t="n">
        <v>0</v>
      </c>
      <c r="Q371" s="21" t="n">
        <v>0</v>
      </c>
      <c r="R371" s="21" t="n">
        <v>0</v>
      </c>
      <c r="S371" s="21" t="n">
        <v>0</v>
      </c>
      <c r="T371" s="21" t="n">
        <v>0</v>
      </c>
      <c r="U371" s="21" t="n">
        <v>0</v>
      </c>
      <c r="V371" s="21" t="n">
        <v>0</v>
      </c>
      <c r="W371" s="21" t="n">
        <v>0</v>
      </c>
      <c r="X371" s="21" t="n">
        <v>0</v>
      </c>
      <c r="Y371" s="21" t="n">
        <v>0</v>
      </c>
      <c r="Z371" s="21" t="n">
        <v>0</v>
      </c>
      <c r="AA371" s="21" t="n">
        <v>0</v>
      </c>
      <c r="AB371" s="21" t="n">
        <v>0</v>
      </c>
      <c r="AC371" s="21" t="n">
        <v>0</v>
      </c>
      <c r="AD371" s="21" t="n">
        <v>0</v>
      </c>
      <c r="AE371" s="21" t="n">
        <v>0</v>
      </c>
      <c r="AF371" s="21">
        <f>-$B$18</f>
        <v/>
      </c>
      <c r="AG371" s="21">
        <f>-$B$19</f>
        <v/>
      </c>
      <c r="AH371" s="21">
        <f>2*$B$18+$D$334</f>
        <v/>
      </c>
      <c r="AI371" s="21">
        <f>0</f>
        <v/>
      </c>
      <c r="AJ371" s="21">
        <f>-$B$18</f>
        <v/>
      </c>
      <c r="AK371" s="21">
        <f>$B$19</f>
        <v/>
      </c>
      <c r="AL371" s="21" t="n">
        <v>0</v>
      </c>
      <c r="AM371" s="21" t="n">
        <v>0</v>
      </c>
      <c r="AN371" s="21" t="n">
        <v>0</v>
      </c>
      <c r="AO371" s="21" t="n">
        <v>0</v>
      </c>
      <c r="AP371" s="21" t="n">
        <v>0</v>
      </c>
      <c r="AQ371" s="21" t="n">
        <v>0</v>
      </c>
      <c r="AR371" s="21" t="n">
        <v>0</v>
      </c>
      <c r="AS371" s="21" t="n">
        <v>0</v>
      </c>
      <c r="AT371" s="19" t="n"/>
    </row>
    <row r="372">
      <c r="D372" s="21" t="n">
        <v>0</v>
      </c>
      <c r="E372" s="21" t="n">
        <v>0</v>
      </c>
      <c r="F372" s="21" t="n">
        <v>0</v>
      </c>
      <c r="G372" s="21" t="n">
        <v>0</v>
      </c>
      <c r="H372" s="21" t="n">
        <v>0</v>
      </c>
      <c r="I372" s="21" t="n">
        <v>0</v>
      </c>
      <c r="J372" s="21" t="n">
        <v>0</v>
      </c>
      <c r="K372" s="21" t="n">
        <v>0</v>
      </c>
      <c r="L372" s="21" t="n">
        <v>0</v>
      </c>
      <c r="M372" s="21" t="n">
        <v>0</v>
      </c>
      <c r="N372" s="21" t="n">
        <v>0</v>
      </c>
      <c r="O372" s="21" t="n">
        <v>0</v>
      </c>
      <c r="P372" s="21" t="n">
        <v>0</v>
      </c>
      <c r="Q372" s="21" t="n">
        <v>0</v>
      </c>
      <c r="R372" s="21" t="n">
        <v>0</v>
      </c>
      <c r="S372" s="21" t="n">
        <v>0</v>
      </c>
      <c r="T372" s="21" t="n">
        <v>0</v>
      </c>
      <c r="U372" s="21" t="n">
        <v>0</v>
      </c>
      <c r="V372" s="21" t="n">
        <v>0</v>
      </c>
      <c r="W372" s="21" t="n">
        <v>0</v>
      </c>
      <c r="X372" s="21" t="n">
        <v>0</v>
      </c>
      <c r="Y372" s="21" t="n">
        <v>0</v>
      </c>
      <c r="Z372" s="21" t="n">
        <v>0</v>
      </c>
      <c r="AA372" s="21" t="n">
        <v>0</v>
      </c>
      <c r="AB372" s="21" t="n">
        <v>0</v>
      </c>
      <c r="AC372" s="21" t="n">
        <v>0</v>
      </c>
      <c r="AD372" s="21" t="n">
        <v>0</v>
      </c>
      <c r="AE372" s="21" t="n">
        <v>0</v>
      </c>
      <c r="AF372" s="21">
        <f>$B$19</f>
        <v/>
      </c>
      <c r="AG372" s="21">
        <f>$B$21</f>
        <v/>
      </c>
      <c r="AH372" s="21">
        <f>0</f>
        <v/>
      </c>
      <c r="AI372" s="21">
        <f>2*$B$20</f>
        <v/>
      </c>
      <c r="AJ372" s="21">
        <f>-$B$19</f>
        <v/>
      </c>
      <c r="AK372" s="21">
        <f>$B$21</f>
        <v/>
      </c>
      <c r="AL372" s="21" t="n">
        <v>0</v>
      </c>
      <c r="AM372" s="21" t="n">
        <v>0</v>
      </c>
      <c r="AN372" s="21" t="n">
        <v>0</v>
      </c>
      <c r="AO372" s="21" t="n">
        <v>0</v>
      </c>
      <c r="AP372" s="21" t="n">
        <v>0</v>
      </c>
      <c r="AQ372" s="21" t="n">
        <v>0</v>
      </c>
      <c r="AR372" s="21" t="n">
        <v>0</v>
      </c>
      <c r="AS372" s="21" t="n">
        <v>0</v>
      </c>
      <c r="AT372" s="19" t="n"/>
    </row>
    <row r="373">
      <c r="D373" s="21" t="n">
        <v>0</v>
      </c>
      <c r="E373" s="21" t="n">
        <v>0</v>
      </c>
      <c r="F373" s="21" t="n">
        <v>0</v>
      </c>
      <c r="G373" s="21" t="n">
        <v>0</v>
      </c>
      <c r="H373" s="21" t="n">
        <v>0</v>
      </c>
      <c r="I373" s="21" t="n">
        <v>0</v>
      </c>
      <c r="J373" s="21" t="n">
        <v>0</v>
      </c>
      <c r="K373" s="21" t="n">
        <v>0</v>
      </c>
      <c r="L373" s="21" t="n">
        <v>0</v>
      </c>
      <c r="M373" s="21" t="n">
        <v>0</v>
      </c>
      <c r="N373" s="21" t="n">
        <v>0</v>
      </c>
      <c r="O373" s="21" t="n">
        <v>0</v>
      </c>
      <c r="P373" s="21" t="n">
        <v>0</v>
      </c>
      <c r="Q373" s="21" t="n">
        <v>0</v>
      </c>
      <c r="R373" s="21" t="n">
        <v>0</v>
      </c>
      <c r="S373" s="21" t="n">
        <v>0</v>
      </c>
      <c r="T373" s="21" t="n">
        <v>0</v>
      </c>
      <c r="U373" s="21" t="n">
        <v>0</v>
      </c>
      <c r="V373" s="21" t="n">
        <v>0</v>
      </c>
      <c r="W373" s="21" t="n">
        <v>0</v>
      </c>
      <c r="X373" s="21" t="n">
        <v>0</v>
      </c>
      <c r="Y373" s="21" t="n">
        <v>0</v>
      </c>
      <c r="Z373" s="21" t="n">
        <v>0</v>
      </c>
      <c r="AA373" s="21" t="n">
        <v>0</v>
      </c>
      <c r="AB373" s="21" t="n">
        <v>0</v>
      </c>
      <c r="AC373" s="21" t="n">
        <v>0</v>
      </c>
      <c r="AD373" s="21" t="n">
        <v>0</v>
      </c>
      <c r="AE373" s="21" t="n">
        <v>0</v>
      </c>
      <c r="AF373" s="21" t="n">
        <v>0</v>
      </c>
      <c r="AG373" s="21" t="n">
        <v>0</v>
      </c>
      <c r="AH373" s="21">
        <f>-$B$18</f>
        <v/>
      </c>
      <c r="AI373" s="21">
        <f>-$B$19</f>
        <v/>
      </c>
      <c r="AJ373" s="21">
        <f>2*$B$18+$D$335</f>
        <v/>
      </c>
      <c r="AK373" s="21">
        <f>0</f>
        <v/>
      </c>
      <c r="AL373" s="21">
        <f>-$B$18</f>
        <v/>
      </c>
      <c r="AM373" s="21">
        <f>$B$19</f>
        <v/>
      </c>
      <c r="AN373" s="21" t="n">
        <v>0</v>
      </c>
      <c r="AO373" s="21" t="n">
        <v>0</v>
      </c>
      <c r="AP373" s="21" t="n">
        <v>0</v>
      </c>
      <c r="AQ373" s="21" t="n">
        <v>0</v>
      </c>
      <c r="AR373" s="21" t="n">
        <v>0</v>
      </c>
      <c r="AS373" s="21" t="n">
        <v>0</v>
      </c>
      <c r="AT373" s="19" t="n"/>
    </row>
    <row r="374">
      <c r="D374" s="21" t="n">
        <v>0</v>
      </c>
      <c r="E374" s="21" t="n">
        <v>0</v>
      </c>
      <c r="F374" s="21" t="n">
        <v>0</v>
      </c>
      <c r="G374" s="21" t="n">
        <v>0</v>
      </c>
      <c r="H374" s="21" t="n">
        <v>0</v>
      </c>
      <c r="I374" s="21" t="n">
        <v>0</v>
      </c>
      <c r="J374" s="21" t="n">
        <v>0</v>
      </c>
      <c r="K374" s="21" t="n">
        <v>0</v>
      </c>
      <c r="L374" s="21" t="n">
        <v>0</v>
      </c>
      <c r="M374" s="21" t="n">
        <v>0</v>
      </c>
      <c r="N374" s="21" t="n">
        <v>0</v>
      </c>
      <c r="O374" s="21" t="n">
        <v>0</v>
      </c>
      <c r="P374" s="21" t="n">
        <v>0</v>
      </c>
      <c r="Q374" s="21" t="n">
        <v>0</v>
      </c>
      <c r="R374" s="21" t="n">
        <v>0</v>
      </c>
      <c r="S374" s="21" t="n">
        <v>0</v>
      </c>
      <c r="T374" s="21" t="n">
        <v>0</v>
      </c>
      <c r="U374" s="21" t="n">
        <v>0</v>
      </c>
      <c r="V374" s="21" t="n">
        <v>0</v>
      </c>
      <c r="W374" s="21" t="n">
        <v>0</v>
      </c>
      <c r="X374" s="21" t="n">
        <v>0</v>
      </c>
      <c r="Y374" s="21" t="n">
        <v>0</v>
      </c>
      <c r="Z374" s="21" t="n">
        <v>0</v>
      </c>
      <c r="AA374" s="21" t="n">
        <v>0</v>
      </c>
      <c r="AB374" s="21" t="n">
        <v>0</v>
      </c>
      <c r="AC374" s="21" t="n">
        <v>0</v>
      </c>
      <c r="AD374" s="21" t="n">
        <v>0</v>
      </c>
      <c r="AE374" s="21" t="n">
        <v>0</v>
      </c>
      <c r="AF374" s="21" t="n">
        <v>0</v>
      </c>
      <c r="AG374" s="21" t="n">
        <v>0</v>
      </c>
      <c r="AH374" s="21">
        <f>$B$19</f>
        <v/>
      </c>
      <c r="AI374" s="21">
        <f>$B$21</f>
        <v/>
      </c>
      <c r="AJ374" s="21">
        <f>0</f>
        <v/>
      </c>
      <c r="AK374" s="21">
        <f>2*$B$20</f>
        <v/>
      </c>
      <c r="AL374" s="21">
        <f>-$B$19</f>
        <v/>
      </c>
      <c r="AM374" s="21">
        <f>$B$21</f>
        <v/>
      </c>
      <c r="AN374" s="21" t="n">
        <v>0</v>
      </c>
      <c r="AO374" s="21" t="n">
        <v>0</v>
      </c>
      <c r="AP374" s="21" t="n">
        <v>0</v>
      </c>
      <c r="AQ374" s="21" t="n">
        <v>0</v>
      </c>
      <c r="AR374" s="21" t="n">
        <v>0</v>
      </c>
      <c r="AS374" s="21" t="n">
        <v>0</v>
      </c>
      <c r="AT374" s="19" t="n"/>
    </row>
    <row r="375">
      <c r="D375" s="21" t="n">
        <v>0</v>
      </c>
      <c r="E375" s="21" t="n">
        <v>0</v>
      </c>
      <c r="F375" s="21" t="n">
        <v>0</v>
      </c>
      <c r="G375" s="21" t="n">
        <v>0</v>
      </c>
      <c r="H375" s="21" t="n">
        <v>0</v>
      </c>
      <c r="I375" s="21" t="n">
        <v>0</v>
      </c>
      <c r="J375" s="21" t="n">
        <v>0</v>
      </c>
      <c r="K375" s="21" t="n">
        <v>0</v>
      </c>
      <c r="L375" s="21" t="n">
        <v>0</v>
      </c>
      <c r="M375" s="21" t="n">
        <v>0</v>
      </c>
      <c r="N375" s="21" t="n">
        <v>0</v>
      </c>
      <c r="O375" s="21" t="n">
        <v>0</v>
      </c>
      <c r="P375" s="21" t="n">
        <v>0</v>
      </c>
      <c r="Q375" s="21" t="n">
        <v>0</v>
      </c>
      <c r="R375" s="21" t="n">
        <v>0</v>
      </c>
      <c r="S375" s="21" t="n">
        <v>0</v>
      </c>
      <c r="T375" s="21" t="n">
        <v>0</v>
      </c>
      <c r="U375" s="21" t="n">
        <v>0</v>
      </c>
      <c r="V375" s="21" t="n">
        <v>0</v>
      </c>
      <c r="W375" s="21" t="n">
        <v>0</v>
      </c>
      <c r="X375" s="21" t="n">
        <v>0</v>
      </c>
      <c r="Y375" s="21" t="n">
        <v>0</v>
      </c>
      <c r="Z375" s="21" t="n">
        <v>0</v>
      </c>
      <c r="AA375" s="21" t="n">
        <v>0</v>
      </c>
      <c r="AB375" s="21" t="n">
        <v>0</v>
      </c>
      <c r="AC375" s="21" t="n">
        <v>0</v>
      </c>
      <c r="AD375" s="21" t="n">
        <v>0</v>
      </c>
      <c r="AE375" s="21" t="n">
        <v>0</v>
      </c>
      <c r="AF375" s="21" t="n">
        <v>0</v>
      </c>
      <c r="AG375" s="21" t="n">
        <v>0</v>
      </c>
      <c r="AH375" s="21" t="n">
        <v>0</v>
      </c>
      <c r="AI375" s="21" t="n">
        <v>0</v>
      </c>
      <c r="AJ375" s="21">
        <f>-$B$18</f>
        <v/>
      </c>
      <c r="AK375" s="21">
        <f>-$B$19</f>
        <v/>
      </c>
      <c r="AL375" s="21">
        <f>2*$B$18+$D$336</f>
        <v/>
      </c>
      <c r="AM375" s="21">
        <f>0</f>
        <v/>
      </c>
      <c r="AN375" s="21">
        <f>-$B$18</f>
        <v/>
      </c>
      <c r="AO375" s="21">
        <f>$B$19</f>
        <v/>
      </c>
      <c r="AP375" s="21" t="n">
        <v>0</v>
      </c>
      <c r="AQ375" s="21" t="n">
        <v>0</v>
      </c>
      <c r="AR375" s="21" t="n">
        <v>0</v>
      </c>
      <c r="AS375" s="21" t="n">
        <v>0</v>
      </c>
      <c r="AT375" s="19" t="n"/>
    </row>
    <row r="376">
      <c r="D376" s="21" t="n">
        <v>0</v>
      </c>
      <c r="E376" s="21" t="n">
        <v>0</v>
      </c>
      <c r="F376" s="21" t="n">
        <v>0</v>
      </c>
      <c r="G376" s="21" t="n">
        <v>0</v>
      </c>
      <c r="H376" s="21" t="n">
        <v>0</v>
      </c>
      <c r="I376" s="21" t="n">
        <v>0</v>
      </c>
      <c r="J376" s="21" t="n">
        <v>0</v>
      </c>
      <c r="K376" s="21" t="n">
        <v>0</v>
      </c>
      <c r="L376" s="21" t="n">
        <v>0</v>
      </c>
      <c r="M376" s="21" t="n">
        <v>0</v>
      </c>
      <c r="N376" s="21" t="n">
        <v>0</v>
      </c>
      <c r="O376" s="21" t="n">
        <v>0</v>
      </c>
      <c r="P376" s="21" t="n">
        <v>0</v>
      </c>
      <c r="Q376" s="21" t="n">
        <v>0</v>
      </c>
      <c r="R376" s="21" t="n">
        <v>0</v>
      </c>
      <c r="S376" s="21" t="n">
        <v>0</v>
      </c>
      <c r="T376" s="21" t="n">
        <v>0</v>
      </c>
      <c r="U376" s="21" t="n">
        <v>0</v>
      </c>
      <c r="V376" s="21" t="n">
        <v>0</v>
      </c>
      <c r="W376" s="21" t="n">
        <v>0</v>
      </c>
      <c r="X376" s="21" t="n">
        <v>0</v>
      </c>
      <c r="Y376" s="21" t="n">
        <v>0</v>
      </c>
      <c r="Z376" s="21" t="n">
        <v>0</v>
      </c>
      <c r="AA376" s="21" t="n">
        <v>0</v>
      </c>
      <c r="AB376" s="21" t="n">
        <v>0</v>
      </c>
      <c r="AC376" s="21" t="n">
        <v>0</v>
      </c>
      <c r="AD376" s="21" t="n">
        <v>0</v>
      </c>
      <c r="AE376" s="21" t="n">
        <v>0</v>
      </c>
      <c r="AF376" s="21" t="n">
        <v>0</v>
      </c>
      <c r="AG376" s="21" t="n">
        <v>0</v>
      </c>
      <c r="AH376" s="21" t="n">
        <v>0</v>
      </c>
      <c r="AI376" s="21" t="n">
        <v>0</v>
      </c>
      <c r="AJ376" s="21">
        <f>$B$19</f>
        <v/>
      </c>
      <c r="AK376" s="21">
        <f>$B$21</f>
        <v/>
      </c>
      <c r="AL376" s="21">
        <f>0</f>
        <v/>
      </c>
      <c r="AM376" s="21">
        <f>2*$B$20</f>
        <v/>
      </c>
      <c r="AN376" s="21">
        <f>-$B$19</f>
        <v/>
      </c>
      <c r="AO376" s="21">
        <f>$B$21</f>
        <v/>
      </c>
      <c r="AP376" s="21" t="n">
        <v>0</v>
      </c>
      <c r="AQ376" s="21" t="n">
        <v>0</v>
      </c>
      <c r="AR376" s="21" t="n">
        <v>0</v>
      </c>
      <c r="AS376" s="21" t="n">
        <v>0</v>
      </c>
      <c r="AT376" s="19" t="n"/>
    </row>
    <row r="377">
      <c r="D377" s="21" t="n">
        <v>0</v>
      </c>
      <c r="E377" s="21" t="n">
        <v>0</v>
      </c>
      <c r="F377" s="21" t="n">
        <v>0</v>
      </c>
      <c r="G377" s="21" t="n">
        <v>0</v>
      </c>
      <c r="H377" s="21" t="n">
        <v>0</v>
      </c>
      <c r="I377" s="21" t="n">
        <v>0</v>
      </c>
      <c r="J377" s="21" t="n">
        <v>0</v>
      </c>
      <c r="K377" s="21" t="n">
        <v>0</v>
      </c>
      <c r="L377" s="21" t="n">
        <v>0</v>
      </c>
      <c r="M377" s="21" t="n">
        <v>0</v>
      </c>
      <c r="N377" s="21" t="n">
        <v>0</v>
      </c>
      <c r="O377" s="21" t="n">
        <v>0</v>
      </c>
      <c r="P377" s="21" t="n">
        <v>0</v>
      </c>
      <c r="Q377" s="21" t="n">
        <v>0</v>
      </c>
      <c r="R377" s="21" t="n">
        <v>0</v>
      </c>
      <c r="S377" s="21" t="n">
        <v>0</v>
      </c>
      <c r="T377" s="21" t="n">
        <v>0</v>
      </c>
      <c r="U377" s="21" t="n">
        <v>0</v>
      </c>
      <c r="V377" s="21" t="n">
        <v>0</v>
      </c>
      <c r="W377" s="21" t="n">
        <v>0</v>
      </c>
      <c r="X377" s="21" t="n">
        <v>0</v>
      </c>
      <c r="Y377" s="21" t="n">
        <v>0</v>
      </c>
      <c r="Z377" s="21" t="n">
        <v>0</v>
      </c>
      <c r="AA377" s="21" t="n">
        <v>0</v>
      </c>
      <c r="AB377" s="21" t="n">
        <v>0</v>
      </c>
      <c r="AC377" s="21" t="n">
        <v>0</v>
      </c>
      <c r="AD377" s="21" t="n">
        <v>0</v>
      </c>
      <c r="AE377" s="21" t="n">
        <v>0</v>
      </c>
      <c r="AF377" s="21" t="n">
        <v>0</v>
      </c>
      <c r="AG377" s="21" t="n">
        <v>0</v>
      </c>
      <c r="AH377" s="21" t="n">
        <v>0</v>
      </c>
      <c r="AI377" s="21" t="n">
        <v>0</v>
      </c>
      <c r="AJ377" s="21" t="n">
        <v>0</v>
      </c>
      <c r="AK377" s="21" t="n">
        <v>0</v>
      </c>
      <c r="AL377" s="21">
        <f>-$B$18</f>
        <v/>
      </c>
      <c r="AM377" s="21">
        <f>-$B$19</f>
        <v/>
      </c>
      <c r="AN377" s="21">
        <f>2*$B$18+$D$337</f>
        <v/>
      </c>
      <c r="AO377" s="21">
        <f>0</f>
        <v/>
      </c>
      <c r="AP377" s="21">
        <f>-$B$18</f>
        <v/>
      </c>
      <c r="AQ377" s="21">
        <f>$B$19</f>
        <v/>
      </c>
      <c r="AR377" s="21" t="n">
        <v>0</v>
      </c>
      <c r="AS377" s="21" t="n">
        <v>0</v>
      </c>
      <c r="AT377" s="19" t="n"/>
    </row>
    <row r="378">
      <c r="D378" s="21" t="n">
        <v>0</v>
      </c>
      <c r="E378" s="21" t="n">
        <v>0</v>
      </c>
      <c r="F378" s="21" t="n">
        <v>0</v>
      </c>
      <c r="G378" s="21" t="n">
        <v>0</v>
      </c>
      <c r="H378" s="21" t="n">
        <v>0</v>
      </c>
      <c r="I378" s="21" t="n">
        <v>0</v>
      </c>
      <c r="J378" s="21" t="n">
        <v>0</v>
      </c>
      <c r="K378" s="21" t="n">
        <v>0</v>
      </c>
      <c r="L378" s="21" t="n">
        <v>0</v>
      </c>
      <c r="M378" s="21" t="n">
        <v>0</v>
      </c>
      <c r="N378" s="21" t="n">
        <v>0</v>
      </c>
      <c r="O378" s="21" t="n">
        <v>0</v>
      </c>
      <c r="P378" s="21" t="n">
        <v>0</v>
      </c>
      <c r="Q378" s="21" t="n">
        <v>0</v>
      </c>
      <c r="R378" s="21" t="n">
        <v>0</v>
      </c>
      <c r="S378" s="21" t="n">
        <v>0</v>
      </c>
      <c r="T378" s="21" t="n">
        <v>0</v>
      </c>
      <c r="U378" s="21" t="n">
        <v>0</v>
      </c>
      <c r="V378" s="21" t="n">
        <v>0</v>
      </c>
      <c r="W378" s="21" t="n">
        <v>0</v>
      </c>
      <c r="X378" s="21" t="n">
        <v>0</v>
      </c>
      <c r="Y378" s="21" t="n">
        <v>0</v>
      </c>
      <c r="Z378" s="21" t="n">
        <v>0</v>
      </c>
      <c r="AA378" s="21" t="n">
        <v>0</v>
      </c>
      <c r="AB378" s="21" t="n">
        <v>0</v>
      </c>
      <c r="AC378" s="21" t="n">
        <v>0</v>
      </c>
      <c r="AD378" s="21" t="n">
        <v>0</v>
      </c>
      <c r="AE378" s="21" t="n">
        <v>0</v>
      </c>
      <c r="AF378" s="21" t="n">
        <v>0</v>
      </c>
      <c r="AG378" s="21" t="n">
        <v>0</v>
      </c>
      <c r="AH378" s="21" t="n">
        <v>0</v>
      </c>
      <c r="AI378" s="21" t="n">
        <v>0</v>
      </c>
      <c r="AJ378" s="21" t="n">
        <v>0</v>
      </c>
      <c r="AK378" s="21" t="n">
        <v>0</v>
      </c>
      <c r="AL378" s="21">
        <f>$B$19</f>
        <v/>
      </c>
      <c r="AM378" s="21">
        <f>$B$21</f>
        <v/>
      </c>
      <c r="AN378" s="21">
        <f>0</f>
        <v/>
      </c>
      <c r="AO378" s="21">
        <f>2*$B$20</f>
        <v/>
      </c>
      <c r="AP378" s="21">
        <f>-$B$19</f>
        <v/>
      </c>
      <c r="AQ378" s="21">
        <f>$B$21</f>
        <v/>
      </c>
      <c r="AR378" s="21" t="n">
        <v>0</v>
      </c>
      <c r="AS378" s="21" t="n">
        <v>0</v>
      </c>
      <c r="AT378" s="19" t="n"/>
    </row>
    <row r="379">
      <c r="D379" s="21" t="n">
        <v>0</v>
      </c>
      <c r="E379" s="21" t="n">
        <v>0</v>
      </c>
      <c r="F379" s="21" t="n">
        <v>0</v>
      </c>
      <c r="G379" s="21" t="n">
        <v>0</v>
      </c>
      <c r="H379" s="21" t="n">
        <v>0</v>
      </c>
      <c r="I379" s="21" t="n">
        <v>0</v>
      </c>
      <c r="J379" s="21" t="n">
        <v>0</v>
      </c>
      <c r="K379" s="21" t="n">
        <v>0</v>
      </c>
      <c r="L379" s="21" t="n">
        <v>0</v>
      </c>
      <c r="M379" s="21" t="n">
        <v>0</v>
      </c>
      <c r="N379" s="21" t="n">
        <v>0</v>
      </c>
      <c r="O379" s="21" t="n">
        <v>0</v>
      </c>
      <c r="P379" s="21" t="n">
        <v>0</v>
      </c>
      <c r="Q379" s="21" t="n">
        <v>0</v>
      </c>
      <c r="R379" s="21" t="n">
        <v>0</v>
      </c>
      <c r="S379" s="21" t="n">
        <v>0</v>
      </c>
      <c r="T379" s="21" t="n">
        <v>0</v>
      </c>
      <c r="U379" s="21" t="n">
        <v>0</v>
      </c>
      <c r="V379" s="21" t="n">
        <v>0</v>
      </c>
      <c r="W379" s="21" t="n">
        <v>0</v>
      </c>
      <c r="X379" s="21" t="n">
        <v>0</v>
      </c>
      <c r="Y379" s="21" t="n">
        <v>0</v>
      </c>
      <c r="Z379" s="21" t="n">
        <v>0</v>
      </c>
      <c r="AA379" s="21" t="n">
        <v>0</v>
      </c>
      <c r="AB379" s="21" t="n">
        <v>0</v>
      </c>
      <c r="AC379" s="21" t="n">
        <v>0</v>
      </c>
      <c r="AD379" s="21" t="n">
        <v>0</v>
      </c>
      <c r="AE379" s="21" t="n">
        <v>0</v>
      </c>
      <c r="AF379" s="21" t="n">
        <v>0</v>
      </c>
      <c r="AG379" s="21" t="n">
        <v>0</v>
      </c>
      <c r="AH379" s="21" t="n">
        <v>0</v>
      </c>
      <c r="AI379" s="21" t="n">
        <v>0</v>
      </c>
      <c r="AJ379" s="21" t="n">
        <v>0</v>
      </c>
      <c r="AK379" s="21" t="n">
        <v>0</v>
      </c>
      <c r="AL379" s="21" t="n">
        <v>0</v>
      </c>
      <c r="AM379" s="21" t="n">
        <v>0</v>
      </c>
      <c r="AN379" s="21">
        <f>-$B$18</f>
        <v/>
      </c>
      <c r="AO379" s="21">
        <f>-$B$19</f>
        <v/>
      </c>
      <c r="AP379" s="21">
        <f>2*$B$18+$D$338</f>
        <v/>
      </c>
      <c r="AQ379" s="21">
        <f>0</f>
        <v/>
      </c>
      <c r="AR379" s="21">
        <f>-$B$18</f>
        <v/>
      </c>
      <c r="AS379" s="21">
        <f>$B$19</f>
        <v/>
      </c>
      <c r="AT379" s="19" t="n"/>
    </row>
    <row r="380">
      <c r="D380" s="21" t="n">
        <v>0</v>
      </c>
      <c r="E380" s="21" t="n">
        <v>0</v>
      </c>
      <c r="F380" s="21" t="n">
        <v>0</v>
      </c>
      <c r="G380" s="21" t="n">
        <v>0</v>
      </c>
      <c r="H380" s="21" t="n">
        <v>0</v>
      </c>
      <c r="I380" s="21" t="n">
        <v>0</v>
      </c>
      <c r="J380" s="21" t="n">
        <v>0</v>
      </c>
      <c r="K380" s="21" t="n">
        <v>0</v>
      </c>
      <c r="L380" s="21" t="n">
        <v>0</v>
      </c>
      <c r="M380" s="21" t="n">
        <v>0</v>
      </c>
      <c r="N380" s="21" t="n">
        <v>0</v>
      </c>
      <c r="O380" s="21" t="n">
        <v>0</v>
      </c>
      <c r="P380" s="21" t="n">
        <v>0</v>
      </c>
      <c r="Q380" s="21" t="n">
        <v>0</v>
      </c>
      <c r="R380" s="21" t="n">
        <v>0</v>
      </c>
      <c r="S380" s="21" t="n">
        <v>0</v>
      </c>
      <c r="T380" s="21" t="n">
        <v>0</v>
      </c>
      <c r="U380" s="21" t="n">
        <v>0</v>
      </c>
      <c r="V380" s="21" t="n">
        <v>0</v>
      </c>
      <c r="W380" s="21" t="n">
        <v>0</v>
      </c>
      <c r="X380" s="21" t="n">
        <v>0</v>
      </c>
      <c r="Y380" s="21" t="n">
        <v>0</v>
      </c>
      <c r="Z380" s="21" t="n">
        <v>0</v>
      </c>
      <c r="AA380" s="21" t="n">
        <v>0</v>
      </c>
      <c r="AB380" s="21" t="n">
        <v>0</v>
      </c>
      <c r="AC380" s="21" t="n">
        <v>0</v>
      </c>
      <c r="AD380" s="21" t="n">
        <v>0</v>
      </c>
      <c r="AE380" s="21" t="n">
        <v>0</v>
      </c>
      <c r="AF380" s="21" t="n">
        <v>0</v>
      </c>
      <c r="AG380" s="21" t="n">
        <v>0</v>
      </c>
      <c r="AH380" s="21" t="n">
        <v>0</v>
      </c>
      <c r="AI380" s="21" t="n">
        <v>0</v>
      </c>
      <c r="AJ380" s="21" t="n">
        <v>0</v>
      </c>
      <c r="AK380" s="21" t="n">
        <v>0</v>
      </c>
      <c r="AL380" s="21" t="n">
        <v>0</v>
      </c>
      <c r="AM380" s="21" t="n">
        <v>0</v>
      </c>
      <c r="AN380" s="21">
        <f>$B$19</f>
        <v/>
      </c>
      <c r="AO380" s="21">
        <f>$B$21</f>
        <v/>
      </c>
      <c r="AP380" s="21">
        <f>0</f>
        <v/>
      </c>
      <c r="AQ380" s="21">
        <f>2*$B$20</f>
        <v/>
      </c>
      <c r="AR380" s="21">
        <f>-$B$19</f>
        <v/>
      </c>
      <c r="AS380" s="21">
        <f>$B$21</f>
        <v/>
      </c>
      <c r="AT380" s="19" t="n"/>
    </row>
    <row r="381">
      <c r="D381" s="21" t="n">
        <v>0</v>
      </c>
      <c r="E381" s="21" t="n">
        <v>0</v>
      </c>
      <c r="F381" s="21" t="n">
        <v>0</v>
      </c>
      <c r="G381" s="21" t="n">
        <v>0</v>
      </c>
      <c r="H381" s="21" t="n">
        <v>0</v>
      </c>
      <c r="I381" s="21" t="n">
        <v>0</v>
      </c>
      <c r="J381" s="21" t="n">
        <v>0</v>
      </c>
      <c r="K381" s="21" t="n">
        <v>0</v>
      </c>
      <c r="L381" s="21" t="n">
        <v>0</v>
      </c>
      <c r="M381" s="21" t="n">
        <v>0</v>
      </c>
      <c r="N381" s="21" t="n">
        <v>0</v>
      </c>
      <c r="O381" s="21" t="n">
        <v>0</v>
      </c>
      <c r="P381" s="21" t="n">
        <v>0</v>
      </c>
      <c r="Q381" s="21" t="n">
        <v>0</v>
      </c>
      <c r="R381" s="21" t="n">
        <v>0</v>
      </c>
      <c r="S381" s="21" t="n">
        <v>0</v>
      </c>
      <c r="T381" s="21" t="n">
        <v>0</v>
      </c>
      <c r="U381" s="21" t="n">
        <v>0</v>
      </c>
      <c r="V381" s="21" t="n">
        <v>0</v>
      </c>
      <c r="W381" s="21" t="n">
        <v>0</v>
      </c>
      <c r="X381" s="21" t="n">
        <v>0</v>
      </c>
      <c r="Y381" s="21" t="n">
        <v>0</v>
      </c>
      <c r="Z381" s="21" t="n">
        <v>0</v>
      </c>
      <c r="AA381" s="21" t="n">
        <v>0</v>
      </c>
      <c r="AB381" s="21" t="n">
        <v>0</v>
      </c>
      <c r="AC381" s="21" t="n">
        <v>0</v>
      </c>
      <c r="AD381" s="21" t="n">
        <v>0</v>
      </c>
      <c r="AE381" s="21" t="n">
        <v>0</v>
      </c>
      <c r="AF381" s="21" t="n">
        <v>0</v>
      </c>
      <c r="AG381" s="21" t="n">
        <v>0</v>
      </c>
      <c r="AH381" s="21" t="n">
        <v>0</v>
      </c>
      <c r="AI381" s="21" t="n">
        <v>0</v>
      </c>
      <c r="AJ381" s="21" t="n">
        <v>0</v>
      </c>
      <c r="AK381" s="21" t="n">
        <v>0</v>
      </c>
      <c r="AL381" s="21" t="n">
        <v>0</v>
      </c>
      <c r="AM381" s="21" t="n">
        <v>0</v>
      </c>
      <c r="AN381" s="21" t="n">
        <v>0</v>
      </c>
      <c r="AO381" s="21" t="n">
        <v>0</v>
      </c>
      <c r="AP381" s="21">
        <f>-$B$18</f>
        <v/>
      </c>
      <c r="AQ381" s="21">
        <f>-$B$19</f>
        <v/>
      </c>
      <c r="AR381" s="21">
        <f>$B$18+$D$339</f>
        <v/>
      </c>
      <c r="AS381" s="21">
        <f>-$B$19</f>
        <v/>
      </c>
      <c r="AT381" s="19" t="n"/>
    </row>
    <row r="382">
      <c r="D382" s="21" t="n">
        <v>0</v>
      </c>
      <c r="E382" s="21" t="n">
        <v>0</v>
      </c>
      <c r="F382" s="21" t="n">
        <v>0</v>
      </c>
      <c r="G382" s="21" t="n">
        <v>0</v>
      </c>
      <c r="H382" s="21" t="n">
        <v>0</v>
      </c>
      <c r="I382" s="21" t="n">
        <v>0</v>
      </c>
      <c r="J382" s="21" t="n">
        <v>0</v>
      </c>
      <c r="K382" s="21" t="n">
        <v>0</v>
      </c>
      <c r="L382" s="21" t="n">
        <v>0</v>
      </c>
      <c r="M382" s="21" t="n">
        <v>0</v>
      </c>
      <c r="N382" s="21" t="n">
        <v>0</v>
      </c>
      <c r="O382" s="21" t="n">
        <v>0</v>
      </c>
      <c r="P382" s="21" t="n">
        <v>0</v>
      </c>
      <c r="Q382" s="21" t="n">
        <v>0</v>
      </c>
      <c r="R382" s="21" t="n">
        <v>0</v>
      </c>
      <c r="S382" s="21" t="n">
        <v>0</v>
      </c>
      <c r="T382" s="21" t="n">
        <v>0</v>
      </c>
      <c r="U382" s="21" t="n">
        <v>0</v>
      </c>
      <c r="V382" s="21" t="n">
        <v>0</v>
      </c>
      <c r="W382" s="21" t="n">
        <v>0</v>
      </c>
      <c r="X382" s="21" t="n">
        <v>0</v>
      </c>
      <c r="Y382" s="21" t="n">
        <v>0</v>
      </c>
      <c r="Z382" s="21" t="n">
        <v>0</v>
      </c>
      <c r="AA382" s="21" t="n">
        <v>0</v>
      </c>
      <c r="AB382" s="21" t="n">
        <v>0</v>
      </c>
      <c r="AC382" s="21" t="n">
        <v>0</v>
      </c>
      <c r="AD382" s="21" t="n">
        <v>0</v>
      </c>
      <c r="AE382" s="21" t="n">
        <v>0</v>
      </c>
      <c r="AF382" s="21" t="n">
        <v>0</v>
      </c>
      <c r="AG382" s="21" t="n">
        <v>0</v>
      </c>
      <c r="AH382" s="21" t="n">
        <v>0</v>
      </c>
      <c r="AI382" s="21" t="n">
        <v>0</v>
      </c>
      <c r="AJ382" s="21" t="n">
        <v>0</v>
      </c>
      <c r="AK382" s="21" t="n">
        <v>0</v>
      </c>
      <c r="AL382" s="21" t="n">
        <v>0</v>
      </c>
      <c r="AM382" s="21" t="n">
        <v>0</v>
      </c>
      <c r="AN382" s="21" t="n">
        <v>0</v>
      </c>
      <c r="AO382" s="21" t="n">
        <v>0</v>
      </c>
      <c r="AP382" s="21">
        <f>$B$19</f>
        <v/>
      </c>
      <c r="AQ382" s="21">
        <f>$B$21</f>
        <v/>
      </c>
      <c r="AR382" s="21">
        <f>-$B$19</f>
        <v/>
      </c>
      <c r="AS382" s="21">
        <f>$B$20</f>
        <v/>
      </c>
      <c r="AT382" s="19" t="n"/>
    </row>
    <row r="384">
      <c r="A384" s="8" t="inlineStr">
        <is>
          <t>gen 5</t>
        </is>
      </c>
    </row>
    <row r="385">
      <c r="D385" s="19">
        <f>IF(ABS(IF(ABS($E$319)&gt;0.000000001,$E$319,0.000000001))=0,0,IF($E$33&lt;=$B$27,0,IF(ABS(IF(ABS($E$319)&gt;0.000000001,$E$319,0.000000001))&gt;=8*$B$29,$H$33,0.5*$H$33*(ABS(IF(ABS($E$319)&gt;0.000000001,$E$319,0.000000001))/$B$29)^(1/3)))/ABS(IF(ABS($E$319)&gt;0.000000001,$E$319,0.000000001))*$I$33)</f>
        <v/>
      </c>
      <c r="E385" s="19">
        <f>0.5*$E$319+0.5*$AT$407</f>
        <v/>
      </c>
      <c r="F385" s="19">
        <f>$AT$408</f>
        <v/>
      </c>
    </row>
    <row r="386">
      <c r="D386" s="19">
        <f>IF(ABS(IF(ABS($E$320)&gt;0.000000001,$E$320,0.000000001))=0,0,IF($E$34&lt;=$B$27,0,IF(ABS(IF(ABS($E$320)&gt;0.000000001,$E$320,0.000000001))&gt;=8*$B$29,$H$34,0.5*$H$34*(ABS(IF(ABS($E$320)&gt;0.000000001,$E$320,0.000000001))/$B$29)^(1/3)))/ABS(IF(ABS($E$320)&gt;0.000000001,$E$320,0.000000001))*$I$34)</f>
        <v/>
      </c>
      <c r="E386" s="19">
        <f>0.5*$E$320+0.5*$AT$409</f>
        <v/>
      </c>
      <c r="F386" s="19">
        <f>$AT$410</f>
        <v/>
      </c>
    </row>
    <row r="387">
      <c r="D387" s="19">
        <f>IF(ABS(IF(ABS($E$321)&gt;0.000000001,$E$321,0.000000001))=0,0,IF($E$35&lt;=$B$27,0,IF(ABS(IF(ABS($E$321)&gt;0.000000001,$E$321,0.000000001))&gt;=8*$B$29,$H$35,0.5*$H$35*(ABS(IF(ABS($E$321)&gt;0.000000001,$E$321,0.000000001))/$B$29)^(1/3)))/ABS(IF(ABS($E$321)&gt;0.000000001,$E$321,0.000000001))*$I$35)</f>
        <v/>
      </c>
      <c r="E387" s="19">
        <f>0.5*$E$321+0.5*$AT$411</f>
        <v/>
      </c>
      <c r="F387" s="19">
        <f>$AT$412</f>
        <v/>
      </c>
    </row>
    <row r="388">
      <c r="D388" s="19">
        <f>IF(ABS(IF(ABS($E$322)&gt;0.000000001,$E$322,0.000000001))=0,0,IF($E$36&lt;=$B$27,0,IF(ABS(IF(ABS($E$322)&gt;0.000000001,$E$322,0.000000001))&gt;=8*$B$29,$H$36,0.5*$H$36*(ABS(IF(ABS($E$322)&gt;0.000000001,$E$322,0.000000001))/$B$29)^(1/3)))/ABS(IF(ABS($E$322)&gt;0.000000001,$E$322,0.000000001))*$I$36)</f>
        <v/>
      </c>
      <c r="E388" s="19">
        <f>0.5*$E$322+0.5*$AT$413</f>
        <v/>
      </c>
      <c r="F388" s="19">
        <f>$AT$414</f>
        <v/>
      </c>
    </row>
    <row r="389">
      <c r="D389" s="19">
        <f>IF(ABS(IF(ABS($E$323)&gt;0.000000001,$E$323,0.000000001))=0,0,IF($E$37&lt;=$B$27,0,IF(ABS(IF(ABS($E$323)&gt;0.000000001,$E$323,0.000000001))&gt;=8*$B$29,$H$37,0.5*$H$37*(ABS(IF(ABS($E$323)&gt;0.000000001,$E$323,0.000000001))/$B$29)^(1/3)))/ABS(IF(ABS($E$323)&gt;0.000000001,$E$323,0.000000001))*$I$37)</f>
        <v/>
      </c>
      <c r="E389" s="19">
        <f>0.5*$E$323+0.5*$AT$415</f>
        <v/>
      </c>
      <c r="F389" s="19">
        <f>$AT$416</f>
        <v/>
      </c>
    </row>
    <row r="390">
      <c r="D390" s="19">
        <f>IF(ABS(IF(ABS($E$324)&gt;0.000000001,$E$324,0.000000001))=0,0,IF($E$38&lt;=$B$27,0,IF(ABS(IF(ABS($E$324)&gt;0.000000001,$E$324,0.000000001))&gt;=8*$B$29,$H$38,0.5*$H$38*(ABS(IF(ABS($E$324)&gt;0.000000001,$E$324,0.000000001))/$B$29)^(1/3)))/ABS(IF(ABS($E$324)&gt;0.000000001,$E$324,0.000000001))*$I$38)</f>
        <v/>
      </c>
      <c r="E390" s="19">
        <f>0.5*$E$324+0.5*$AT$417</f>
        <v/>
      </c>
      <c r="F390" s="19">
        <f>$AT$418</f>
        <v/>
      </c>
    </row>
    <row r="391">
      <c r="D391" s="19">
        <f>IF(ABS(IF(ABS($E$325)&gt;0.000000001,$E$325,0.000000001))=0,0,IF($E$39&lt;=$B$27,0,IF(ABS(IF(ABS($E$325)&gt;0.000000001,$E$325,0.000000001))&gt;=8*$B$29,$H$39,0.5*$H$39*(ABS(IF(ABS($E$325)&gt;0.000000001,$E$325,0.000000001))/$B$29)^(1/3)))/ABS(IF(ABS($E$325)&gt;0.000000001,$E$325,0.000000001))*$I$39)</f>
        <v/>
      </c>
      <c r="E391" s="19">
        <f>0.5*$E$325+0.5*$AT$419</f>
        <v/>
      </c>
      <c r="F391" s="19">
        <f>$AT$420</f>
        <v/>
      </c>
    </row>
    <row r="392">
      <c r="D392" s="19">
        <f>IF(ABS(IF(ABS($E$326)&gt;0.000000001,$E$326,0.000000001))=0,0,IF($E$40&lt;=$B$27,0,IF(ABS(IF(ABS($E$326)&gt;0.000000001,$E$326,0.000000001))&gt;=8*$B$29,$H$40,0.5*$H$40*(ABS(IF(ABS($E$326)&gt;0.000000001,$E$326,0.000000001))/$B$29)^(1/3)))/ABS(IF(ABS($E$326)&gt;0.000000001,$E$326,0.000000001))*$I$40)</f>
        <v/>
      </c>
      <c r="E392" s="19">
        <f>0.5*$E$326+0.5*$AT$421</f>
        <v/>
      </c>
      <c r="F392" s="19">
        <f>$AT$422</f>
        <v/>
      </c>
    </row>
    <row r="393">
      <c r="D393" s="19">
        <f>IF(ABS(IF(ABS($E$327)&gt;0.000000001,$E$327,0.000000001))=0,0,IF($E$41&lt;=$B$27,0,IF(ABS(IF(ABS($E$327)&gt;0.000000001,$E$327,0.000000001))&gt;=8*$B$29,$H$41,0.5*$H$41*(ABS(IF(ABS($E$327)&gt;0.000000001,$E$327,0.000000001))/$B$29)^(1/3)))/ABS(IF(ABS($E$327)&gt;0.000000001,$E$327,0.000000001))*$I$41)</f>
        <v/>
      </c>
      <c r="E393" s="19">
        <f>0.5*$E$327+0.5*$AT$423</f>
        <v/>
      </c>
      <c r="F393" s="19">
        <f>$AT$424</f>
        <v/>
      </c>
    </row>
    <row r="394">
      <c r="D394" s="19">
        <f>IF(ABS(IF(ABS($E$328)&gt;0.000000001,$E$328,0.000000001))=0,0,IF($E$42&lt;=$B$27,0,IF(ABS(IF(ABS($E$328)&gt;0.000000001,$E$328,0.000000001))&gt;=8*$B$29,$H$42,0.5*$H$42*(ABS(IF(ABS($E$328)&gt;0.000000001,$E$328,0.000000001))/$B$29)^(1/3)))/ABS(IF(ABS($E$328)&gt;0.000000001,$E$328,0.000000001))*$I$42)</f>
        <v/>
      </c>
      <c r="E394" s="19">
        <f>0.5*$E$328+0.5*$AT$425</f>
        <v/>
      </c>
      <c r="F394" s="19">
        <f>$AT$426</f>
        <v/>
      </c>
    </row>
    <row r="395">
      <c r="D395" s="19">
        <f>IF(ABS(IF(ABS($E$329)&gt;0.000000001,$E$329,0.000000001))=0,0,IF($E$43&lt;=$B$27,0,IF(ABS(IF(ABS($E$329)&gt;0.000000001,$E$329,0.000000001))&gt;=8*$B$29,$H$43,0.5*$H$43*(ABS(IF(ABS($E$329)&gt;0.000000001,$E$329,0.000000001))/$B$29)^(1/3)))/ABS(IF(ABS($E$329)&gt;0.000000001,$E$329,0.000000001))*$I$43)</f>
        <v/>
      </c>
      <c r="E395" s="19">
        <f>0.5*$E$329+0.5*$AT$427</f>
        <v/>
      </c>
      <c r="F395" s="19">
        <f>$AT$428</f>
        <v/>
      </c>
    </row>
    <row r="396">
      <c r="D396" s="19">
        <f>IF(ABS(IF(ABS($E$330)&gt;0.000000001,$E$330,0.000000001))=0,0,IF($E$44&lt;=$B$27,0,IF(ABS(IF(ABS($E$330)&gt;0.000000001,$E$330,0.000000001))&gt;=8*$B$29,$H$44,0.5*$H$44*(ABS(IF(ABS($E$330)&gt;0.000000001,$E$330,0.000000001))/$B$29)^(1/3)))/ABS(IF(ABS($E$330)&gt;0.000000001,$E$330,0.000000001))*$I$44)</f>
        <v/>
      </c>
      <c r="E396" s="19">
        <f>0.5*$E$330+0.5*$AT$429</f>
        <v/>
      </c>
      <c r="F396" s="19">
        <f>$AT$430</f>
        <v/>
      </c>
    </row>
    <row r="397">
      <c r="D397" s="19">
        <f>IF(ABS(IF(ABS($E$331)&gt;0.000000001,$E$331,0.000000001))=0,0,IF($E$45&lt;=$B$27,0,IF(ABS(IF(ABS($E$331)&gt;0.000000001,$E$331,0.000000001))&gt;=8*$B$29,$H$45,0.5*$H$45*(ABS(IF(ABS($E$331)&gt;0.000000001,$E$331,0.000000001))/$B$29)^(1/3)))/ABS(IF(ABS($E$331)&gt;0.000000001,$E$331,0.000000001))*$I$45)</f>
        <v/>
      </c>
      <c r="E397" s="19">
        <f>0.5*$E$331+0.5*$AT$431</f>
        <v/>
      </c>
      <c r="F397" s="19">
        <f>$AT$432</f>
        <v/>
      </c>
    </row>
    <row r="398">
      <c r="D398" s="19">
        <f>IF(ABS(IF(ABS($E$332)&gt;0.000000001,$E$332,0.000000001))=0,0,IF($E$46&lt;=$B$27,0,IF(ABS(IF(ABS($E$332)&gt;0.000000001,$E$332,0.000000001))&gt;=8*$B$29,$H$46,0.5*$H$46*(ABS(IF(ABS($E$332)&gt;0.000000001,$E$332,0.000000001))/$B$29)^(1/3)))/ABS(IF(ABS($E$332)&gt;0.000000001,$E$332,0.000000001))*$I$46)</f>
        <v/>
      </c>
      <c r="E398" s="19">
        <f>0.5*$E$332+0.5*$AT$433</f>
        <v/>
      </c>
      <c r="F398" s="19">
        <f>$AT$434</f>
        <v/>
      </c>
    </row>
    <row r="399">
      <c r="D399" s="19">
        <f>IF(ABS(IF(ABS($E$333)&gt;0.000000001,$E$333,0.000000001))=0,0,IF($E$47&lt;=$B$27,0,IF(ABS(IF(ABS($E$333)&gt;0.000000001,$E$333,0.000000001))&gt;=8*$B$29,$H$47,0.5*$H$47*(ABS(IF(ABS($E$333)&gt;0.000000001,$E$333,0.000000001))/$B$29)^(1/3)))/ABS(IF(ABS($E$333)&gt;0.000000001,$E$333,0.000000001))*$I$47)</f>
        <v/>
      </c>
      <c r="E399" s="19">
        <f>0.5*$E$333+0.5*$AT$435</f>
        <v/>
      </c>
      <c r="F399" s="19">
        <f>$AT$436</f>
        <v/>
      </c>
    </row>
    <row r="400">
      <c r="D400" s="19">
        <f>IF(ABS(IF(ABS($E$334)&gt;0.000000001,$E$334,0.000000001))=0,0,IF($E$48&lt;=$B$27,0,IF(ABS(IF(ABS($E$334)&gt;0.000000001,$E$334,0.000000001))&gt;=8*$B$29,$H$48,0.5*$H$48*(ABS(IF(ABS($E$334)&gt;0.000000001,$E$334,0.000000001))/$B$29)^(1/3)))/ABS(IF(ABS($E$334)&gt;0.000000001,$E$334,0.000000001))*$I$48)</f>
        <v/>
      </c>
      <c r="E400" s="19">
        <f>0.5*$E$334+0.5*$AT$437</f>
        <v/>
      </c>
      <c r="F400" s="19">
        <f>$AT$438</f>
        <v/>
      </c>
    </row>
    <row r="401">
      <c r="D401" s="19">
        <f>IF(ABS(IF(ABS($E$335)&gt;0.000000001,$E$335,0.000000001))=0,0,IF($E$49&lt;=$B$27,0,IF(ABS(IF(ABS($E$335)&gt;0.000000001,$E$335,0.000000001))&gt;=8*$B$29,$H$49,0.5*$H$49*(ABS(IF(ABS($E$335)&gt;0.000000001,$E$335,0.000000001))/$B$29)^(1/3)))/ABS(IF(ABS($E$335)&gt;0.000000001,$E$335,0.000000001))*$I$49)</f>
        <v/>
      </c>
      <c r="E401" s="19">
        <f>0.5*$E$335+0.5*$AT$439</f>
        <v/>
      </c>
      <c r="F401" s="19">
        <f>$AT$440</f>
        <v/>
      </c>
    </row>
    <row r="402">
      <c r="D402" s="19">
        <f>IF(ABS(IF(ABS($E$336)&gt;0.000000001,$E$336,0.000000001))=0,0,IF($E$50&lt;=$B$27,0,IF(ABS(IF(ABS($E$336)&gt;0.000000001,$E$336,0.000000001))&gt;=8*$B$29,$H$50,0.5*$H$50*(ABS(IF(ABS($E$336)&gt;0.000000001,$E$336,0.000000001))/$B$29)^(1/3)))/ABS(IF(ABS($E$336)&gt;0.000000001,$E$336,0.000000001))*$I$50)</f>
        <v/>
      </c>
      <c r="E402" s="19">
        <f>0.5*$E$336+0.5*$AT$441</f>
        <v/>
      </c>
      <c r="F402" s="19">
        <f>$AT$442</f>
        <v/>
      </c>
    </row>
    <row r="403">
      <c r="D403" s="19">
        <f>IF(ABS(IF(ABS($E$337)&gt;0.000000001,$E$337,0.000000001))=0,0,IF($E$51&lt;=$B$27,0,IF(ABS(IF(ABS($E$337)&gt;0.000000001,$E$337,0.000000001))&gt;=8*$B$29,$H$51,0.5*$H$51*(ABS(IF(ABS($E$337)&gt;0.000000001,$E$337,0.000000001))/$B$29)^(1/3)))/ABS(IF(ABS($E$337)&gt;0.000000001,$E$337,0.000000001))*$I$51)</f>
        <v/>
      </c>
      <c r="E403" s="19">
        <f>0.5*$E$337+0.5*$AT$443</f>
        <v/>
      </c>
      <c r="F403" s="19">
        <f>$AT$444</f>
        <v/>
      </c>
    </row>
    <row r="404">
      <c r="D404" s="19">
        <f>IF(ABS(IF(ABS($E$338)&gt;0.000000001,$E$338,0.000000001))=0,0,IF($E$52&lt;=$B$27,0,IF(ABS(IF(ABS($E$338)&gt;0.000000001,$E$338,0.000000001))&gt;=8*$B$29,$H$52,0.5*$H$52*(ABS(IF(ABS($E$338)&gt;0.000000001,$E$338,0.000000001))/$B$29)^(1/3)))/ABS(IF(ABS($E$338)&gt;0.000000001,$E$338,0.000000001))*$I$52)</f>
        <v/>
      </c>
      <c r="E404" s="19">
        <f>0.5*$E$338+0.5*$AT$445</f>
        <v/>
      </c>
      <c r="F404" s="19">
        <f>$AT$446</f>
        <v/>
      </c>
    </row>
    <row r="405">
      <c r="D405" s="19">
        <f>IF(ABS(IF(ABS($E$339)&gt;0.000000001,$E$339,0.000000001))=0,0,IF($E$53&lt;=$B$27,0,IF(ABS(IF(ABS($E$339)&gt;0.000000001,$E$339,0.000000001))&gt;=8*$B$29,$H$53,0.5*$H$53*(ABS(IF(ABS($E$339)&gt;0.000000001,$E$339,0.000000001))/$B$29)^(1/3)))/ABS(IF(ABS($E$339)&gt;0.000000001,$E$339,0.000000001))*$I$53)</f>
        <v/>
      </c>
      <c r="E405" s="19">
        <f>0.5*$E$339+0.5*$AT$447</f>
        <v/>
      </c>
      <c r="F405" s="19">
        <f>$AT$448</f>
        <v/>
      </c>
    </row>
    <row r="407">
      <c r="D407" s="21">
        <f>$B$18+$D$385</f>
        <v/>
      </c>
      <c r="E407" s="21">
        <f>$B$19</f>
        <v/>
      </c>
      <c r="F407" s="21">
        <f>-$B$18</f>
        <v/>
      </c>
      <c r="G407" s="21">
        <f>$B$19</f>
        <v/>
      </c>
      <c r="H407" s="21" t="n">
        <v>0</v>
      </c>
      <c r="I407" s="21" t="n">
        <v>0</v>
      </c>
      <c r="J407" s="21" t="n">
        <v>0</v>
      </c>
      <c r="K407" s="21" t="n">
        <v>0</v>
      </c>
      <c r="L407" s="21" t="n">
        <v>0</v>
      </c>
      <c r="M407" s="21" t="n">
        <v>0</v>
      </c>
      <c r="N407" s="21" t="n">
        <v>0</v>
      </c>
      <c r="O407" s="21" t="n">
        <v>0</v>
      </c>
      <c r="P407" s="21" t="n">
        <v>0</v>
      </c>
      <c r="Q407" s="21" t="n">
        <v>0</v>
      </c>
      <c r="R407" s="21" t="n">
        <v>0</v>
      </c>
      <c r="S407" s="21" t="n">
        <v>0</v>
      </c>
      <c r="T407" s="21" t="n">
        <v>0</v>
      </c>
      <c r="U407" s="21" t="n">
        <v>0</v>
      </c>
      <c r="V407" s="21" t="n">
        <v>0</v>
      </c>
      <c r="W407" s="21" t="n">
        <v>0</v>
      </c>
      <c r="X407" s="21" t="n">
        <v>0</v>
      </c>
      <c r="Y407" s="21" t="n">
        <v>0</v>
      </c>
      <c r="Z407" s="21" t="n">
        <v>0</v>
      </c>
      <c r="AA407" s="21" t="n">
        <v>0</v>
      </c>
      <c r="AB407" s="21" t="n">
        <v>0</v>
      </c>
      <c r="AC407" s="21" t="n">
        <v>0</v>
      </c>
      <c r="AD407" s="21" t="n">
        <v>0</v>
      </c>
      <c r="AE407" s="21" t="n">
        <v>0</v>
      </c>
      <c r="AF407" s="21" t="n">
        <v>0</v>
      </c>
      <c r="AG407" s="21" t="n">
        <v>0</v>
      </c>
      <c r="AH407" s="21" t="n">
        <v>0</v>
      </c>
      <c r="AI407" s="21" t="n">
        <v>0</v>
      </c>
      <c r="AJ407" s="21" t="n">
        <v>0</v>
      </c>
      <c r="AK407" s="21" t="n">
        <v>0</v>
      </c>
      <c r="AL407" s="21" t="n">
        <v>0</v>
      </c>
      <c r="AM407" s="21" t="n">
        <v>0</v>
      </c>
      <c r="AN407" s="21" t="n">
        <v>0</v>
      </c>
      <c r="AO407" s="21" t="n">
        <v>0</v>
      </c>
      <c r="AP407" s="21" t="n">
        <v>0</v>
      </c>
      <c r="AQ407" s="21" t="n">
        <v>0</v>
      </c>
      <c r="AR407" s="21" t="n">
        <v>0</v>
      </c>
      <c r="AS407" s="21" t="n">
        <v>0</v>
      </c>
      <c r="AT407" s="19">
        <f t="array" ref="AT407:AT448">MMULT(MINVERSE($D$407:$AS$448),$D$55:$D$96)</f>
        <v/>
      </c>
    </row>
    <row r="408">
      <c r="D408" s="21">
        <f>$B$19</f>
        <v/>
      </c>
      <c r="E408" s="21">
        <f>$B$20</f>
        <v/>
      </c>
      <c r="F408" s="21">
        <f>-$B$19</f>
        <v/>
      </c>
      <c r="G408" s="21">
        <f>$B$21</f>
        <v/>
      </c>
      <c r="H408" s="21" t="n">
        <v>0</v>
      </c>
      <c r="I408" s="21" t="n">
        <v>0</v>
      </c>
      <c r="J408" s="21" t="n">
        <v>0</v>
      </c>
      <c r="K408" s="21" t="n">
        <v>0</v>
      </c>
      <c r="L408" s="21" t="n">
        <v>0</v>
      </c>
      <c r="M408" s="21" t="n">
        <v>0</v>
      </c>
      <c r="N408" s="21" t="n">
        <v>0</v>
      </c>
      <c r="O408" s="21" t="n">
        <v>0</v>
      </c>
      <c r="P408" s="21" t="n">
        <v>0</v>
      </c>
      <c r="Q408" s="21" t="n">
        <v>0</v>
      </c>
      <c r="R408" s="21" t="n">
        <v>0</v>
      </c>
      <c r="S408" s="21" t="n">
        <v>0</v>
      </c>
      <c r="T408" s="21" t="n">
        <v>0</v>
      </c>
      <c r="U408" s="21" t="n">
        <v>0</v>
      </c>
      <c r="V408" s="21" t="n">
        <v>0</v>
      </c>
      <c r="W408" s="21" t="n">
        <v>0</v>
      </c>
      <c r="X408" s="21" t="n">
        <v>0</v>
      </c>
      <c r="Y408" s="21" t="n">
        <v>0</v>
      </c>
      <c r="Z408" s="21" t="n">
        <v>0</v>
      </c>
      <c r="AA408" s="21" t="n">
        <v>0</v>
      </c>
      <c r="AB408" s="21" t="n">
        <v>0</v>
      </c>
      <c r="AC408" s="21" t="n">
        <v>0</v>
      </c>
      <c r="AD408" s="21" t="n">
        <v>0</v>
      </c>
      <c r="AE408" s="21" t="n">
        <v>0</v>
      </c>
      <c r="AF408" s="21" t="n">
        <v>0</v>
      </c>
      <c r="AG408" s="21" t="n">
        <v>0</v>
      </c>
      <c r="AH408" s="21" t="n">
        <v>0</v>
      </c>
      <c r="AI408" s="21" t="n">
        <v>0</v>
      </c>
      <c r="AJ408" s="21" t="n">
        <v>0</v>
      </c>
      <c r="AK408" s="21" t="n">
        <v>0</v>
      </c>
      <c r="AL408" s="21" t="n">
        <v>0</v>
      </c>
      <c r="AM408" s="21" t="n">
        <v>0</v>
      </c>
      <c r="AN408" s="21" t="n">
        <v>0</v>
      </c>
      <c r="AO408" s="21" t="n">
        <v>0</v>
      </c>
      <c r="AP408" s="21" t="n">
        <v>0</v>
      </c>
      <c r="AQ408" s="21" t="n">
        <v>0</v>
      </c>
      <c r="AR408" s="21" t="n">
        <v>0</v>
      </c>
      <c r="AS408" s="21" t="n">
        <v>0</v>
      </c>
      <c r="AT408" s="19" t="n"/>
    </row>
    <row r="409">
      <c r="D409" s="21">
        <f>-$B$18</f>
        <v/>
      </c>
      <c r="E409" s="21">
        <f>-$B$19</f>
        <v/>
      </c>
      <c r="F409" s="21">
        <f>2*$B$18+$D$386</f>
        <v/>
      </c>
      <c r="G409" s="21">
        <f>0</f>
        <v/>
      </c>
      <c r="H409" s="21">
        <f>-$B$18</f>
        <v/>
      </c>
      <c r="I409" s="21">
        <f>$B$19</f>
        <v/>
      </c>
      <c r="J409" s="21" t="n">
        <v>0</v>
      </c>
      <c r="K409" s="21" t="n">
        <v>0</v>
      </c>
      <c r="L409" s="21" t="n">
        <v>0</v>
      </c>
      <c r="M409" s="21" t="n">
        <v>0</v>
      </c>
      <c r="N409" s="21" t="n">
        <v>0</v>
      </c>
      <c r="O409" s="21" t="n">
        <v>0</v>
      </c>
      <c r="P409" s="21" t="n">
        <v>0</v>
      </c>
      <c r="Q409" s="21" t="n">
        <v>0</v>
      </c>
      <c r="R409" s="21" t="n">
        <v>0</v>
      </c>
      <c r="S409" s="21" t="n">
        <v>0</v>
      </c>
      <c r="T409" s="21" t="n">
        <v>0</v>
      </c>
      <c r="U409" s="21" t="n">
        <v>0</v>
      </c>
      <c r="V409" s="21" t="n">
        <v>0</v>
      </c>
      <c r="W409" s="21" t="n">
        <v>0</v>
      </c>
      <c r="X409" s="21" t="n">
        <v>0</v>
      </c>
      <c r="Y409" s="21" t="n">
        <v>0</v>
      </c>
      <c r="Z409" s="21" t="n">
        <v>0</v>
      </c>
      <c r="AA409" s="21" t="n">
        <v>0</v>
      </c>
      <c r="AB409" s="21" t="n">
        <v>0</v>
      </c>
      <c r="AC409" s="21" t="n">
        <v>0</v>
      </c>
      <c r="AD409" s="21" t="n">
        <v>0</v>
      </c>
      <c r="AE409" s="21" t="n">
        <v>0</v>
      </c>
      <c r="AF409" s="21" t="n">
        <v>0</v>
      </c>
      <c r="AG409" s="21" t="n">
        <v>0</v>
      </c>
      <c r="AH409" s="21" t="n">
        <v>0</v>
      </c>
      <c r="AI409" s="21" t="n">
        <v>0</v>
      </c>
      <c r="AJ409" s="21" t="n">
        <v>0</v>
      </c>
      <c r="AK409" s="21" t="n">
        <v>0</v>
      </c>
      <c r="AL409" s="21" t="n">
        <v>0</v>
      </c>
      <c r="AM409" s="21" t="n">
        <v>0</v>
      </c>
      <c r="AN409" s="21" t="n">
        <v>0</v>
      </c>
      <c r="AO409" s="21" t="n">
        <v>0</v>
      </c>
      <c r="AP409" s="21" t="n">
        <v>0</v>
      </c>
      <c r="AQ409" s="21" t="n">
        <v>0</v>
      </c>
      <c r="AR409" s="21" t="n">
        <v>0</v>
      </c>
      <c r="AS409" s="21" t="n">
        <v>0</v>
      </c>
      <c r="AT409" s="19" t="n"/>
    </row>
    <row r="410">
      <c r="D410" s="21">
        <f>$B$19</f>
        <v/>
      </c>
      <c r="E410" s="21">
        <f>$B$21</f>
        <v/>
      </c>
      <c r="F410" s="21">
        <f>0</f>
        <v/>
      </c>
      <c r="G410" s="21">
        <f>2*$B$20</f>
        <v/>
      </c>
      <c r="H410" s="21">
        <f>-$B$19</f>
        <v/>
      </c>
      <c r="I410" s="21">
        <f>$B$21</f>
        <v/>
      </c>
      <c r="J410" s="21" t="n">
        <v>0</v>
      </c>
      <c r="K410" s="21" t="n">
        <v>0</v>
      </c>
      <c r="L410" s="21" t="n">
        <v>0</v>
      </c>
      <c r="M410" s="21" t="n">
        <v>0</v>
      </c>
      <c r="N410" s="21" t="n">
        <v>0</v>
      </c>
      <c r="O410" s="21" t="n">
        <v>0</v>
      </c>
      <c r="P410" s="21" t="n">
        <v>0</v>
      </c>
      <c r="Q410" s="21" t="n">
        <v>0</v>
      </c>
      <c r="R410" s="21" t="n">
        <v>0</v>
      </c>
      <c r="S410" s="21" t="n">
        <v>0</v>
      </c>
      <c r="T410" s="21" t="n">
        <v>0</v>
      </c>
      <c r="U410" s="21" t="n">
        <v>0</v>
      </c>
      <c r="V410" s="21" t="n">
        <v>0</v>
      </c>
      <c r="W410" s="21" t="n">
        <v>0</v>
      </c>
      <c r="X410" s="21" t="n">
        <v>0</v>
      </c>
      <c r="Y410" s="21" t="n">
        <v>0</v>
      </c>
      <c r="Z410" s="21" t="n">
        <v>0</v>
      </c>
      <c r="AA410" s="21" t="n">
        <v>0</v>
      </c>
      <c r="AB410" s="21" t="n">
        <v>0</v>
      </c>
      <c r="AC410" s="21" t="n">
        <v>0</v>
      </c>
      <c r="AD410" s="21" t="n">
        <v>0</v>
      </c>
      <c r="AE410" s="21" t="n">
        <v>0</v>
      </c>
      <c r="AF410" s="21" t="n">
        <v>0</v>
      </c>
      <c r="AG410" s="21" t="n">
        <v>0</v>
      </c>
      <c r="AH410" s="21" t="n">
        <v>0</v>
      </c>
      <c r="AI410" s="21" t="n">
        <v>0</v>
      </c>
      <c r="AJ410" s="21" t="n">
        <v>0</v>
      </c>
      <c r="AK410" s="21" t="n">
        <v>0</v>
      </c>
      <c r="AL410" s="21" t="n">
        <v>0</v>
      </c>
      <c r="AM410" s="21" t="n">
        <v>0</v>
      </c>
      <c r="AN410" s="21" t="n">
        <v>0</v>
      </c>
      <c r="AO410" s="21" t="n">
        <v>0</v>
      </c>
      <c r="AP410" s="21" t="n">
        <v>0</v>
      </c>
      <c r="AQ410" s="21" t="n">
        <v>0</v>
      </c>
      <c r="AR410" s="21" t="n">
        <v>0</v>
      </c>
      <c r="AS410" s="21" t="n">
        <v>0</v>
      </c>
      <c r="AT410" s="19" t="n"/>
    </row>
    <row r="411">
      <c r="D411" s="21" t="n">
        <v>0</v>
      </c>
      <c r="E411" s="21" t="n">
        <v>0</v>
      </c>
      <c r="F411" s="21">
        <f>-$B$18</f>
        <v/>
      </c>
      <c r="G411" s="21">
        <f>-$B$19</f>
        <v/>
      </c>
      <c r="H411" s="21">
        <f>2*$B$18+$D$387</f>
        <v/>
      </c>
      <c r="I411" s="21">
        <f>0</f>
        <v/>
      </c>
      <c r="J411" s="21">
        <f>-$B$18</f>
        <v/>
      </c>
      <c r="K411" s="21">
        <f>$B$19</f>
        <v/>
      </c>
      <c r="L411" s="21" t="n">
        <v>0</v>
      </c>
      <c r="M411" s="21" t="n">
        <v>0</v>
      </c>
      <c r="N411" s="21" t="n">
        <v>0</v>
      </c>
      <c r="O411" s="21" t="n">
        <v>0</v>
      </c>
      <c r="P411" s="21" t="n">
        <v>0</v>
      </c>
      <c r="Q411" s="21" t="n">
        <v>0</v>
      </c>
      <c r="R411" s="21" t="n">
        <v>0</v>
      </c>
      <c r="S411" s="21" t="n">
        <v>0</v>
      </c>
      <c r="T411" s="21" t="n">
        <v>0</v>
      </c>
      <c r="U411" s="21" t="n">
        <v>0</v>
      </c>
      <c r="V411" s="21" t="n">
        <v>0</v>
      </c>
      <c r="W411" s="21" t="n">
        <v>0</v>
      </c>
      <c r="X411" s="21" t="n">
        <v>0</v>
      </c>
      <c r="Y411" s="21" t="n">
        <v>0</v>
      </c>
      <c r="Z411" s="21" t="n">
        <v>0</v>
      </c>
      <c r="AA411" s="21" t="n">
        <v>0</v>
      </c>
      <c r="AB411" s="21" t="n">
        <v>0</v>
      </c>
      <c r="AC411" s="21" t="n">
        <v>0</v>
      </c>
      <c r="AD411" s="21" t="n">
        <v>0</v>
      </c>
      <c r="AE411" s="21" t="n">
        <v>0</v>
      </c>
      <c r="AF411" s="21" t="n">
        <v>0</v>
      </c>
      <c r="AG411" s="21" t="n">
        <v>0</v>
      </c>
      <c r="AH411" s="21" t="n">
        <v>0</v>
      </c>
      <c r="AI411" s="21" t="n">
        <v>0</v>
      </c>
      <c r="AJ411" s="21" t="n">
        <v>0</v>
      </c>
      <c r="AK411" s="21" t="n">
        <v>0</v>
      </c>
      <c r="AL411" s="21" t="n">
        <v>0</v>
      </c>
      <c r="AM411" s="21" t="n">
        <v>0</v>
      </c>
      <c r="AN411" s="21" t="n">
        <v>0</v>
      </c>
      <c r="AO411" s="21" t="n">
        <v>0</v>
      </c>
      <c r="AP411" s="21" t="n">
        <v>0</v>
      </c>
      <c r="AQ411" s="21" t="n">
        <v>0</v>
      </c>
      <c r="AR411" s="21" t="n">
        <v>0</v>
      </c>
      <c r="AS411" s="21" t="n">
        <v>0</v>
      </c>
      <c r="AT411" s="19" t="n"/>
    </row>
    <row r="412">
      <c r="D412" s="21" t="n">
        <v>0</v>
      </c>
      <c r="E412" s="21" t="n">
        <v>0</v>
      </c>
      <c r="F412" s="21">
        <f>$B$19</f>
        <v/>
      </c>
      <c r="G412" s="21">
        <f>$B$21</f>
        <v/>
      </c>
      <c r="H412" s="21">
        <f>0</f>
        <v/>
      </c>
      <c r="I412" s="21">
        <f>2*$B$20</f>
        <v/>
      </c>
      <c r="J412" s="21">
        <f>-$B$19</f>
        <v/>
      </c>
      <c r="K412" s="21">
        <f>$B$21</f>
        <v/>
      </c>
      <c r="L412" s="21" t="n">
        <v>0</v>
      </c>
      <c r="M412" s="21" t="n">
        <v>0</v>
      </c>
      <c r="N412" s="21" t="n">
        <v>0</v>
      </c>
      <c r="O412" s="21" t="n">
        <v>0</v>
      </c>
      <c r="P412" s="21" t="n">
        <v>0</v>
      </c>
      <c r="Q412" s="21" t="n">
        <v>0</v>
      </c>
      <c r="R412" s="21" t="n">
        <v>0</v>
      </c>
      <c r="S412" s="21" t="n">
        <v>0</v>
      </c>
      <c r="T412" s="21" t="n">
        <v>0</v>
      </c>
      <c r="U412" s="21" t="n">
        <v>0</v>
      </c>
      <c r="V412" s="21" t="n">
        <v>0</v>
      </c>
      <c r="W412" s="21" t="n">
        <v>0</v>
      </c>
      <c r="X412" s="21" t="n">
        <v>0</v>
      </c>
      <c r="Y412" s="21" t="n">
        <v>0</v>
      </c>
      <c r="Z412" s="21" t="n">
        <v>0</v>
      </c>
      <c r="AA412" s="21" t="n">
        <v>0</v>
      </c>
      <c r="AB412" s="21" t="n">
        <v>0</v>
      </c>
      <c r="AC412" s="21" t="n">
        <v>0</v>
      </c>
      <c r="AD412" s="21" t="n">
        <v>0</v>
      </c>
      <c r="AE412" s="21" t="n">
        <v>0</v>
      </c>
      <c r="AF412" s="21" t="n">
        <v>0</v>
      </c>
      <c r="AG412" s="21" t="n">
        <v>0</v>
      </c>
      <c r="AH412" s="21" t="n">
        <v>0</v>
      </c>
      <c r="AI412" s="21" t="n">
        <v>0</v>
      </c>
      <c r="AJ412" s="21" t="n">
        <v>0</v>
      </c>
      <c r="AK412" s="21" t="n">
        <v>0</v>
      </c>
      <c r="AL412" s="21" t="n">
        <v>0</v>
      </c>
      <c r="AM412" s="21" t="n">
        <v>0</v>
      </c>
      <c r="AN412" s="21" t="n">
        <v>0</v>
      </c>
      <c r="AO412" s="21" t="n">
        <v>0</v>
      </c>
      <c r="AP412" s="21" t="n">
        <v>0</v>
      </c>
      <c r="AQ412" s="21" t="n">
        <v>0</v>
      </c>
      <c r="AR412" s="21" t="n">
        <v>0</v>
      </c>
      <c r="AS412" s="21" t="n">
        <v>0</v>
      </c>
      <c r="AT412" s="19" t="n"/>
    </row>
    <row r="413">
      <c r="D413" s="21" t="n">
        <v>0</v>
      </c>
      <c r="E413" s="21" t="n">
        <v>0</v>
      </c>
      <c r="F413" s="21" t="n">
        <v>0</v>
      </c>
      <c r="G413" s="21" t="n">
        <v>0</v>
      </c>
      <c r="H413" s="21">
        <f>-$B$18</f>
        <v/>
      </c>
      <c r="I413" s="21">
        <f>-$B$19</f>
        <v/>
      </c>
      <c r="J413" s="21">
        <f>2*$B$18+$D$388</f>
        <v/>
      </c>
      <c r="K413" s="21">
        <f>0</f>
        <v/>
      </c>
      <c r="L413" s="21">
        <f>-$B$18</f>
        <v/>
      </c>
      <c r="M413" s="21">
        <f>$B$19</f>
        <v/>
      </c>
      <c r="N413" s="21" t="n">
        <v>0</v>
      </c>
      <c r="O413" s="21" t="n">
        <v>0</v>
      </c>
      <c r="P413" s="21" t="n">
        <v>0</v>
      </c>
      <c r="Q413" s="21" t="n">
        <v>0</v>
      </c>
      <c r="R413" s="21" t="n">
        <v>0</v>
      </c>
      <c r="S413" s="21" t="n">
        <v>0</v>
      </c>
      <c r="T413" s="21" t="n">
        <v>0</v>
      </c>
      <c r="U413" s="21" t="n">
        <v>0</v>
      </c>
      <c r="V413" s="21" t="n">
        <v>0</v>
      </c>
      <c r="W413" s="21" t="n">
        <v>0</v>
      </c>
      <c r="X413" s="21" t="n">
        <v>0</v>
      </c>
      <c r="Y413" s="21" t="n">
        <v>0</v>
      </c>
      <c r="Z413" s="21" t="n">
        <v>0</v>
      </c>
      <c r="AA413" s="21" t="n">
        <v>0</v>
      </c>
      <c r="AB413" s="21" t="n">
        <v>0</v>
      </c>
      <c r="AC413" s="21" t="n">
        <v>0</v>
      </c>
      <c r="AD413" s="21" t="n">
        <v>0</v>
      </c>
      <c r="AE413" s="21" t="n">
        <v>0</v>
      </c>
      <c r="AF413" s="21" t="n">
        <v>0</v>
      </c>
      <c r="AG413" s="21" t="n">
        <v>0</v>
      </c>
      <c r="AH413" s="21" t="n">
        <v>0</v>
      </c>
      <c r="AI413" s="21" t="n">
        <v>0</v>
      </c>
      <c r="AJ413" s="21" t="n">
        <v>0</v>
      </c>
      <c r="AK413" s="21" t="n">
        <v>0</v>
      </c>
      <c r="AL413" s="21" t="n">
        <v>0</v>
      </c>
      <c r="AM413" s="21" t="n">
        <v>0</v>
      </c>
      <c r="AN413" s="21" t="n">
        <v>0</v>
      </c>
      <c r="AO413" s="21" t="n">
        <v>0</v>
      </c>
      <c r="AP413" s="21" t="n">
        <v>0</v>
      </c>
      <c r="AQ413" s="21" t="n">
        <v>0</v>
      </c>
      <c r="AR413" s="21" t="n">
        <v>0</v>
      </c>
      <c r="AS413" s="21" t="n">
        <v>0</v>
      </c>
      <c r="AT413" s="19" t="n"/>
    </row>
    <row r="414">
      <c r="D414" s="21" t="n">
        <v>0</v>
      </c>
      <c r="E414" s="21" t="n">
        <v>0</v>
      </c>
      <c r="F414" s="21" t="n">
        <v>0</v>
      </c>
      <c r="G414" s="21" t="n">
        <v>0</v>
      </c>
      <c r="H414" s="21">
        <f>$B$19</f>
        <v/>
      </c>
      <c r="I414" s="21">
        <f>$B$21</f>
        <v/>
      </c>
      <c r="J414" s="21">
        <f>0</f>
        <v/>
      </c>
      <c r="K414" s="21">
        <f>2*$B$20</f>
        <v/>
      </c>
      <c r="L414" s="21">
        <f>-$B$19</f>
        <v/>
      </c>
      <c r="M414" s="21">
        <f>$B$21</f>
        <v/>
      </c>
      <c r="N414" s="21" t="n">
        <v>0</v>
      </c>
      <c r="O414" s="21" t="n">
        <v>0</v>
      </c>
      <c r="P414" s="21" t="n">
        <v>0</v>
      </c>
      <c r="Q414" s="21" t="n">
        <v>0</v>
      </c>
      <c r="R414" s="21" t="n">
        <v>0</v>
      </c>
      <c r="S414" s="21" t="n">
        <v>0</v>
      </c>
      <c r="T414" s="21" t="n">
        <v>0</v>
      </c>
      <c r="U414" s="21" t="n">
        <v>0</v>
      </c>
      <c r="V414" s="21" t="n">
        <v>0</v>
      </c>
      <c r="W414" s="21" t="n">
        <v>0</v>
      </c>
      <c r="X414" s="21" t="n">
        <v>0</v>
      </c>
      <c r="Y414" s="21" t="n">
        <v>0</v>
      </c>
      <c r="Z414" s="21" t="n">
        <v>0</v>
      </c>
      <c r="AA414" s="21" t="n">
        <v>0</v>
      </c>
      <c r="AB414" s="21" t="n">
        <v>0</v>
      </c>
      <c r="AC414" s="21" t="n">
        <v>0</v>
      </c>
      <c r="AD414" s="21" t="n">
        <v>0</v>
      </c>
      <c r="AE414" s="21" t="n">
        <v>0</v>
      </c>
      <c r="AF414" s="21" t="n">
        <v>0</v>
      </c>
      <c r="AG414" s="21" t="n">
        <v>0</v>
      </c>
      <c r="AH414" s="21" t="n">
        <v>0</v>
      </c>
      <c r="AI414" s="21" t="n">
        <v>0</v>
      </c>
      <c r="AJ414" s="21" t="n">
        <v>0</v>
      </c>
      <c r="AK414" s="21" t="n">
        <v>0</v>
      </c>
      <c r="AL414" s="21" t="n">
        <v>0</v>
      </c>
      <c r="AM414" s="21" t="n">
        <v>0</v>
      </c>
      <c r="AN414" s="21" t="n">
        <v>0</v>
      </c>
      <c r="AO414" s="21" t="n">
        <v>0</v>
      </c>
      <c r="AP414" s="21" t="n">
        <v>0</v>
      </c>
      <c r="AQ414" s="21" t="n">
        <v>0</v>
      </c>
      <c r="AR414" s="21" t="n">
        <v>0</v>
      </c>
      <c r="AS414" s="21" t="n">
        <v>0</v>
      </c>
      <c r="AT414" s="19" t="n"/>
    </row>
    <row r="415">
      <c r="D415" s="21" t="n">
        <v>0</v>
      </c>
      <c r="E415" s="21" t="n">
        <v>0</v>
      </c>
      <c r="F415" s="21" t="n">
        <v>0</v>
      </c>
      <c r="G415" s="21" t="n">
        <v>0</v>
      </c>
      <c r="H415" s="21" t="n">
        <v>0</v>
      </c>
      <c r="I415" s="21" t="n">
        <v>0</v>
      </c>
      <c r="J415" s="21">
        <f>-$B$18</f>
        <v/>
      </c>
      <c r="K415" s="21">
        <f>-$B$19</f>
        <v/>
      </c>
      <c r="L415" s="21">
        <f>2*$B$18+$D$389</f>
        <v/>
      </c>
      <c r="M415" s="21">
        <f>0</f>
        <v/>
      </c>
      <c r="N415" s="21">
        <f>-$B$18</f>
        <v/>
      </c>
      <c r="O415" s="21">
        <f>$B$19</f>
        <v/>
      </c>
      <c r="P415" s="21" t="n">
        <v>0</v>
      </c>
      <c r="Q415" s="21" t="n">
        <v>0</v>
      </c>
      <c r="R415" s="21" t="n">
        <v>0</v>
      </c>
      <c r="S415" s="21" t="n">
        <v>0</v>
      </c>
      <c r="T415" s="21" t="n">
        <v>0</v>
      </c>
      <c r="U415" s="21" t="n">
        <v>0</v>
      </c>
      <c r="V415" s="21" t="n">
        <v>0</v>
      </c>
      <c r="W415" s="21" t="n">
        <v>0</v>
      </c>
      <c r="X415" s="21" t="n">
        <v>0</v>
      </c>
      <c r="Y415" s="21" t="n">
        <v>0</v>
      </c>
      <c r="Z415" s="21" t="n">
        <v>0</v>
      </c>
      <c r="AA415" s="21" t="n">
        <v>0</v>
      </c>
      <c r="AB415" s="21" t="n">
        <v>0</v>
      </c>
      <c r="AC415" s="21" t="n">
        <v>0</v>
      </c>
      <c r="AD415" s="21" t="n">
        <v>0</v>
      </c>
      <c r="AE415" s="21" t="n">
        <v>0</v>
      </c>
      <c r="AF415" s="21" t="n">
        <v>0</v>
      </c>
      <c r="AG415" s="21" t="n">
        <v>0</v>
      </c>
      <c r="AH415" s="21" t="n">
        <v>0</v>
      </c>
      <c r="AI415" s="21" t="n">
        <v>0</v>
      </c>
      <c r="AJ415" s="21" t="n">
        <v>0</v>
      </c>
      <c r="AK415" s="21" t="n">
        <v>0</v>
      </c>
      <c r="AL415" s="21" t="n">
        <v>0</v>
      </c>
      <c r="AM415" s="21" t="n">
        <v>0</v>
      </c>
      <c r="AN415" s="21" t="n">
        <v>0</v>
      </c>
      <c r="AO415" s="21" t="n">
        <v>0</v>
      </c>
      <c r="AP415" s="21" t="n">
        <v>0</v>
      </c>
      <c r="AQ415" s="21" t="n">
        <v>0</v>
      </c>
      <c r="AR415" s="21" t="n">
        <v>0</v>
      </c>
      <c r="AS415" s="21" t="n">
        <v>0</v>
      </c>
      <c r="AT415" s="19" t="n"/>
    </row>
    <row r="416">
      <c r="D416" s="21" t="n">
        <v>0</v>
      </c>
      <c r="E416" s="21" t="n">
        <v>0</v>
      </c>
      <c r="F416" s="21" t="n">
        <v>0</v>
      </c>
      <c r="G416" s="21" t="n">
        <v>0</v>
      </c>
      <c r="H416" s="21" t="n">
        <v>0</v>
      </c>
      <c r="I416" s="21" t="n">
        <v>0</v>
      </c>
      <c r="J416" s="21">
        <f>$B$19</f>
        <v/>
      </c>
      <c r="K416" s="21">
        <f>$B$21</f>
        <v/>
      </c>
      <c r="L416" s="21">
        <f>0</f>
        <v/>
      </c>
      <c r="M416" s="21">
        <f>2*$B$20</f>
        <v/>
      </c>
      <c r="N416" s="21">
        <f>-$B$19</f>
        <v/>
      </c>
      <c r="O416" s="21">
        <f>$B$21</f>
        <v/>
      </c>
      <c r="P416" s="21" t="n">
        <v>0</v>
      </c>
      <c r="Q416" s="21" t="n">
        <v>0</v>
      </c>
      <c r="R416" s="21" t="n">
        <v>0</v>
      </c>
      <c r="S416" s="21" t="n">
        <v>0</v>
      </c>
      <c r="T416" s="21" t="n">
        <v>0</v>
      </c>
      <c r="U416" s="21" t="n">
        <v>0</v>
      </c>
      <c r="V416" s="21" t="n">
        <v>0</v>
      </c>
      <c r="W416" s="21" t="n">
        <v>0</v>
      </c>
      <c r="X416" s="21" t="n">
        <v>0</v>
      </c>
      <c r="Y416" s="21" t="n">
        <v>0</v>
      </c>
      <c r="Z416" s="21" t="n">
        <v>0</v>
      </c>
      <c r="AA416" s="21" t="n">
        <v>0</v>
      </c>
      <c r="AB416" s="21" t="n">
        <v>0</v>
      </c>
      <c r="AC416" s="21" t="n">
        <v>0</v>
      </c>
      <c r="AD416" s="21" t="n">
        <v>0</v>
      </c>
      <c r="AE416" s="21" t="n">
        <v>0</v>
      </c>
      <c r="AF416" s="21" t="n">
        <v>0</v>
      </c>
      <c r="AG416" s="21" t="n">
        <v>0</v>
      </c>
      <c r="AH416" s="21" t="n">
        <v>0</v>
      </c>
      <c r="AI416" s="21" t="n">
        <v>0</v>
      </c>
      <c r="AJ416" s="21" t="n">
        <v>0</v>
      </c>
      <c r="AK416" s="21" t="n">
        <v>0</v>
      </c>
      <c r="AL416" s="21" t="n">
        <v>0</v>
      </c>
      <c r="AM416" s="21" t="n">
        <v>0</v>
      </c>
      <c r="AN416" s="21" t="n">
        <v>0</v>
      </c>
      <c r="AO416" s="21" t="n">
        <v>0</v>
      </c>
      <c r="AP416" s="21" t="n">
        <v>0</v>
      </c>
      <c r="AQ416" s="21" t="n">
        <v>0</v>
      </c>
      <c r="AR416" s="21" t="n">
        <v>0</v>
      </c>
      <c r="AS416" s="21" t="n">
        <v>0</v>
      </c>
      <c r="AT416" s="19" t="n"/>
    </row>
    <row r="417">
      <c r="D417" s="21" t="n">
        <v>0</v>
      </c>
      <c r="E417" s="21" t="n">
        <v>0</v>
      </c>
      <c r="F417" s="21" t="n">
        <v>0</v>
      </c>
      <c r="G417" s="21" t="n">
        <v>0</v>
      </c>
      <c r="H417" s="21" t="n">
        <v>0</v>
      </c>
      <c r="I417" s="21" t="n">
        <v>0</v>
      </c>
      <c r="J417" s="21" t="n">
        <v>0</v>
      </c>
      <c r="K417" s="21" t="n">
        <v>0</v>
      </c>
      <c r="L417" s="21">
        <f>-$B$18</f>
        <v/>
      </c>
      <c r="M417" s="21">
        <f>-$B$19</f>
        <v/>
      </c>
      <c r="N417" s="21">
        <f>2*$B$18+$D$390</f>
        <v/>
      </c>
      <c r="O417" s="21">
        <f>0</f>
        <v/>
      </c>
      <c r="P417" s="21">
        <f>-$B$18</f>
        <v/>
      </c>
      <c r="Q417" s="21">
        <f>$B$19</f>
        <v/>
      </c>
      <c r="R417" s="21" t="n">
        <v>0</v>
      </c>
      <c r="S417" s="21" t="n">
        <v>0</v>
      </c>
      <c r="T417" s="21" t="n">
        <v>0</v>
      </c>
      <c r="U417" s="21" t="n">
        <v>0</v>
      </c>
      <c r="V417" s="21" t="n">
        <v>0</v>
      </c>
      <c r="W417" s="21" t="n">
        <v>0</v>
      </c>
      <c r="X417" s="21" t="n">
        <v>0</v>
      </c>
      <c r="Y417" s="21" t="n">
        <v>0</v>
      </c>
      <c r="Z417" s="21" t="n">
        <v>0</v>
      </c>
      <c r="AA417" s="21" t="n">
        <v>0</v>
      </c>
      <c r="AB417" s="21" t="n">
        <v>0</v>
      </c>
      <c r="AC417" s="21" t="n">
        <v>0</v>
      </c>
      <c r="AD417" s="21" t="n">
        <v>0</v>
      </c>
      <c r="AE417" s="21" t="n">
        <v>0</v>
      </c>
      <c r="AF417" s="21" t="n">
        <v>0</v>
      </c>
      <c r="AG417" s="21" t="n">
        <v>0</v>
      </c>
      <c r="AH417" s="21" t="n">
        <v>0</v>
      </c>
      <c r="AI417" s="21" t="n">
        <v>0</v>
      </c>
      <c r="AJ417" s="21" t="n">
        <v>0</v>
      </c>
      <c r="AK417" s="21" t="n">
        <v>0</v>
      </c>
      <c r="AL417" s="21" t="n">
        <v>0</v>
      </c>
      <c r="AM417" s="21" t="n">
        <v>0</v>
      </c>
      <c r="AN417" s="21" t="n">
        <v>0</v>
      </c>
      <c r="AO417" s="21" t="n">
        <v>0</v>
      </c>
      <c r="AP417" s="21" t="n">
        <v>0</v>
      </c>
      <c r="AQ417" s="21" t="n">
        <v>0</v>
      </c>
      <c r="AR417" s="21" t="n">
        <v>0</v>
      </c>
      <c r="AS417" s="21" t="n">
        <v>0</v>
      </c>
      <c r="AT417" s="19" t="n"/>
    </row>
    <row r="418">
      <c r="D418" s="21" t="n">
        <v>0</v>
      </c>
      <c r="E418" s="21" t="n">
        <v>0</v>
      </c>
      <c r="F418" s="21" t="n">
        <v>0</v>
      </c>
      <c r="G418" s="21" t="n">
        <v>0</v>
      </c>
      <c r="H418" s="21" t="n">
        <v>0</v>
      </c>
      <c r="I418" s="21" t="n">
        <v>0</v>
      </c>
      <c r="J418" s="21" t="n">
        <v>0</v>
      </c>
      <c r="K418" s="21" t="n">
        <v>0</v>
      </c>
      <c r="L418" s="21">
        <f>$B$19</f>
        <v/>
      </c>
      <c r="M418" s="21">
        <f>$B$21</f>
        <v/>
      </c>
      <c r="N418" s="21">
        <f>0</f>
        <v/>
      </c>
      <c r="O418" s="21">
        <f>2*$B$20</f>
        <v/>
      </c>
      <c r="P418" s="21">
        <f>-$B$19</f>
        <v/>
      </c>
      <c r="Q418" s="21">
        <f>$B$21</f>
        <v/>
      </c>
      <c r="R418" s="21" t="n">
        <v>0</v>
      </c>
      <c r="S418" s="21" t="n">
        <v>0</v>
      </c>
      <c r="T418" s="21" t="n">
        <v>0</v>
      </c>
      <c r="U418" s="21" t="n">
        <v>0</v>
      </c>
      <c r="V418" s="21" t="n">
        <v>0</v>
      </c>
      <c r="W418" s="21" t="n">
        <v>0</v>
      </c>
      <c r="X418" s="21" t="n">
        <v>0</v>
      </c>
      <c r="Y418" s="21" t="n">
        <v>0</v>
      </c>
      <c r="Z418" s="21" t="n">
        <v>0</v>
      </c>
      <c r="AA418" s="21" t="n">
        <v>0</v>
      </c>
      <c r="AB418" s="21" t="n">
        <v>0</v>
      </c>
      <c r="AC418" s="21" t="n">
        <v>0</v>
      </c>
      <c r="AD418" s="21" t="n">
        <v>0</v>
      </c>
      <c r="AE418" s="21" t="n">
        <v>0</v>
      </c>
      <c r="AF418" s="21" t="n">
        <v>0</v>
      </c>
      <c r="AG418" s="21" t="n">
        <v>0</v>
      </c>
      <c r="AH418" s="21" t="n">
        <v>0</v>
      </c>
      <c r="AI418" s="21" t="n">
        <v>0</v>
      </c>
      <c r="AJ418" s="21" t="n">
        <v>0</v>
      </c>
      <c r="AK418" s="21" t="n">
        <v>0</v>
      </c>
      <c r="AL418" s="21" t="n">
        <v>0</v>
      </c>
      <c r="AM418" s="21" t="n">
        <v>0</v>
      </c>
      <c r="AN418" s="21" t="n">
        <v>0</v>
      </c>
      <c r="AO418" s="21" t="n">
        <v>0</v>
      </c>
      <c r="AP418" s="21" t="n">
        <v>0</v>
      </c>
      <c r="AQ418" s="21" t="n">
        <v>0</v>
      </c>
      <c r="AR418" s="21" t="n">
        <v>0</v>
      </c>
      <c r="AS418" s="21" t="n">
        <v>0</v>
      </c>
      <c r="AT418" s="19" t="n"/>
    </row>
    <row r="419">
      <c r="D419" s="21" t="n">
        <v>0</v>
      </c>
      <c r="E419" s="21" t="n">
        <v>0</v>
      </c>
      <c r="F419" s="21" t="n">
        <v>0</v>
      </c>
      <c r="G419" s="21" t="n">
        <v>0</v>
      </c>
      <c r="H419" s="21" t="n">
        <v>0</v>
      </c>
      <c r="I419" s="21" t="n">
        <v>0</v>
      </c>
      <c r="J419" s="21" t="n">
        <v>0</v>
      </c>
      <c r="K419" s="21" t="n">
        <v>0</v>
      </c>
      <c r="L419" s="21" t="n">
        <v>0</v>
      </c>
      <c r="M419" s="21" t="n">
        <v>0</v>
      </c>
      <c r="N419" s="21">
        <f>-$B$18</f>
        <v/>
      </c>
      <c r="O419" s="21">
        <f>-$B$19</f>
        <v/>
      </c>
      <c r="P419" s="21">
        <f>2*$B$18+$D$391</f>
        <v/>
      </c>
      <c r="Q419" s="21">
        <f>0</f>
        <v/>
      </c>
      <c r="R419" s="21">
        <f>-$B$18</f>
        <v/>
      </c>
      <c r="S419" s="21">
        <f>$B$19</f>
        <v/>
      </c>
      <c r="T419" s="21" t="n">
        <v>0</v>
      </c>
      <c r="U419" s="21" t="n">
        <v>0</v>
      </c>
      <c r="V419" s="21" t="n">
        <v>0</v>
      </c>
      <c r="W419" s="21" t="n">
        <v>0</v>
      </c>
      <c r="X419" s="21" t="n">
        <v>0</v>
      </c>
      <c r="Y419" s="21" t="n">
        <v>0</v>
      </c>
      <c r="Z419" s="21" t="n">
        <v>0</v>
      </c>
      <c r="AA419" s="21" t="n">
        <v>0</v>
      </c>
      <c r="AB419" s="21" t="n">
        <v>0</v>
      </c>
      <c r="AC419" s="21" t="n">
        <v>0</v>
      </c>
      <c r="AD419" s="21" t="n">
        <v>0</v>
      </c>
      <c r="AE419" s="21" t="n">
        <v>0</v>
      </c>
      <c r="AF419" s="21" t="n">
        <v>0</v>
      </c>
      <c r="AG419" s="21" t="n">
        <v>0</v>
      </c>
      <c r="AH419" s="21" t="n">
        <v>0</v>
      </c>
      <c r="AI419" s="21" t="n">
        <v>0</v>
      </c>
      <c r="AJ419" s="21" t="n">
        <v>0</v>
      </c>
      <c r="AK419" s="21" t="n">
        <v>0</v>
      </c>
      <c r="AL419" s="21" t="n">
        <v>0</v>
      </c>
      <c r="AM419" s="21" t="n">
        <v>0</v>
      </c>
      <c r="AN419" s="21" t="n">
        <v>0</v>
      </c>
      <c r="AO419" s="21" t="n">
        <v>0</v>
      </c>
      <c r="AP419" s="21" t="n">
        <v>0</v>
      </c>
      <c r="AQ419" s="21" t="n">
        <v>0</v>
      </c>
      <c r="AR419" s="21" t="n">
        <v>0</v>
      </c>
      <c r="AS419" s="21" t="n">
        <v>0</v>
      </c>
      <c r="AT419" s="19" t="n"/>
    </row>
    <row r="420">
      <c r="D420" s="21" t="n">
        <v>0</v>
      </c>
      <c r="E420" s="21" t="n">
        <v>0</v>
      </c>
      <c r="F420" s="21" t="n">
        <v>0</v>
      </c>
      <c r="G420" s="21" t="n">
        <v>0</v>
      </c>
      <c r="H420" s="21" t="n">
        <v>0</v>
      </c>
      <c r="I420" s="21" t="n">
        <v>0</v>
      </c>
      <c r="J420" s="21" t="n">
        <v>0</v>
      </c>
      <c r="K420" s="21" t="n">
        <v>0</v>
      </c>
      <c r="L420" s="21" t="n">
        <v>0</v>
      </c>
      <c r="M420" s="21" t="n">
        <v>0</v>
      </c>
      <c r="N420" s="21">
        <f>$B$19</f>
        <v/>
      </c>
      <c r="O420" s="21">
        <f>$B$21</f>
        <v/>
      </c>
      <c r="P420" s="21">
        <f>0</f>
        <v/>
      </c>
      <c r="Q420" s="21">
        <f>2*$B$20</f>
        <v/>
      </c>
      <c r="R420" s="21">
        <f>-$B$19</f>
        <v/>
      </c>
      <c r="S420" s="21">
        <f>$B$21</f>
        <v/>
      </c>
      <c r="T420" s="21" t="n">
        <v>0</v>
      </c>
      <c r="U420" s="21" t="n">
        <v>0</v>
      </c>
      <c r="V420" s="21" t="n">
        <v>0</v>
      </c>
      <c r="W420" s="21" t="n">
        <v>0</v>
      </c>
      <c r="X420" s="21" t="n">
        <v>0</v>
      </c>
      <c r="Y420" s="21" t="n">
        <v>0</v>
      </c>
      <c r="Z420" s="21" t="n">
        <v>0</v>
      </c>
      <c r="AA420" s="21" t="n">
        <v>0</v>
      </c>
      <c r="AB420" s="21" t="n">
        <v>0</v>
      </c>
      <c r="AC420" s="21" t="n">
        <v>0</v>
      </c>
      <c r="AD420" s="21" t="n">
        <v>0</v>
      </c>
      <c r="AE420" s="21" t="n">
        <v>0</v>
      </c>
      <c r="AF420" s="21" t="n">
        <v>0</v>
      </c>
      <c r="AG420" s="21" t="n">
        <v>0</v>
      </c>
      <c r="AH420" s="21" t="n">
        <v>0</v>
      </c>
      <c r="AI420" s="21" t="n">
        <v>0</v>
      </c>
      <c r="AJ420" s="21" t="n">
        <v>0</v>
      </c>
      <c r="AK420" s="21" t="n">
        <v>0</v>
      </c>
      <c r="AL420" s="21" t="n">
        <v>0</v>
      </c>
      <c r="AM420" s="21" t="n">
        <v>0</v>
      </c>
      <c r="AN420" s="21" t="n">
        <v>0</v>
      </c>
      <c r="AO420" s="21" t="n">
        <v>0</v>
      </c>
      <c r="AP420" s="21" t="n">
        <v>0</v>
      </c>
      <c r="AQ420" s="21" t="n">
        <v>0</v>
      </c>
      <c r="AR420" s="21" t="n">
        <v>0</v>
      </c>
      <c r="AS420" s="21" t="n">
        <v>0</v>
      </c>
      <c r="AT420" s="19" t="n"/>
    </row>
    <row r="421">
      <c r="D421" s="21" t="n">
        <v>0</v>
      </c>
      <c r="E421" s="21" t="n">
        <v>0</v>
      </c>
      <c r="F421" s="21" t="n">
        <v>0</v>
      </c>
      <c r="G421" s="21" t="n">
        <v>0</v>
      </c>
      <c r="H421" s="21" t="n">
        <v>0</v>
      </c>
      <c r="I421" s="21" t="n">
        <v>0</v>
      </c>
      <c r="J421" s="21" t="n">
        <v>0</v>
      </c>
      <c r="K421" s="21" t="n">
        <v>0</v>
      </c>
      <c r="L421" s="21" t="n">
        <v>0</v>
      </c>
      <c r="M421" s="21" t="n">
        <v>0</v>
      </c>
      <c r="N421" s="21" t="n">
        <v>0</v>
      </c>
      <c r="O421" s="21" t="n">
        <v>0</v>
      </c>
      <c r="P421" s="21">
        <f>-$B$18</f>
        <v/>
      </c>
      <c r="Q421" s="21">
        <f>-$B$19</f>
        <v/>
      </c>
      <c r="R421" s="21">
        <f>2*$B$18+$D$392</f>
        <v/>
      </c>
      <c r="S421" s="21">
        <f>0</f>
        <v/>
      </c>
      <c r="T421" s="21">
        <f>-$B$18</f>
        <v/>
      </c>
      <c r="U421" s="21">
        <f>$B$19</f>
        <v/>
      </c>
      <c r="V421" s="21" t="n">
        <v>0</v>
      </c>
      <c r="W421" s="21" t="n">
        <v>0</v>
      </c>
      <c r="X421" s="21" t="n">
        <v>0</v>
      </c>
      <c r="Y421" s="21" t="n">
        <v>0</v>
      </c>
      <c r="Z421" s="21" t="n">
        <v>0</v>
      </c>
      <c r="AA421" s="21" t="n">
        <v>0</v>
      </c>
      <c r="AB421" s="21" t="n">
        <v>0</v>
      </c>
      <c r="AC421" s="21" t="n">
        <v>0</v>
      </c>
      <c r="AD421" s="21" t="n">
        <v>0</v>
      </c>
      <c r="AE421" s="21" t="n">
        <v>0</v>
      </c>
      <c r="AF421" s="21" t="n">
        <v>0</v>
      </c>
      <c r="AG421" s="21" t="n">
        <v>0</v>
      </c>
      <c r="AH421" s="21" t="n">
        <v>0</v>
      </c>
      <c r="AI421" s="21" t="n">
        <v>0</v>
      </c>
      <c r="AJ421" s="21" t="n">
        <v>0</v>
      </c>
      <c r="AK421" s="21" t="n">
        <v>0</v>
      </c>
      <c r="AL421" s="21" t="n">
        <v>0</v>
      </c>
      <c r="AM421" s="21" t="n">
        <v>0</v>
      </c>
      <c r="AN421" s="21" t="n">
        <v>0</v>
      </c>
      <c r="AO421" s="21" t="n">
        <v>0</v>
      </c>
      <c r="AP421" s="21" t="n">
        <v>0</v>
      </c>
      <c r="AQ421" s="21" t="n">
        <v>0</v>
      </c>
      <c r="AR421" s="21" t="n">
        <v>0</v>
      </c>
      <c r="AS421" s="21" t="n">
        <v>0</v>
      </c>
      <c r="AT421" s="19" t="n"/>
    </row>
    <row r="422">
      <c r="D422" s="21" t="n">
        <v>0</v>
      </c>
      <c r="E422" s="21" t="n">
        <v>0</v>
      </c>
      <c r="F422" s="21" t="n">
        <v>0</v>
      </c>
      <c r="G422" s="21" t="n">
        <v>0</v>
      </c>
      <c r="H422" s="21" t="n">
        <v>0</v>
      </c>
      <c r="I422" s="21" t="n">
        <v>0</v>
      </c>
      <c r="J422" s="21" t="n">
        <v>0</v>
      </c>
      <c r="K422" s="21" t="n">
        <v>0</v>
      </c>
      <c r="L422" s="21" t="n">
        <v>0</v>
      </c>
      <c r="M422" s="21" t="n">
        <v>0</v>
      </c>
      <c r="N422" s="21" t="n">
        <v>0</v>
      </c>
      <c r="O422" s="21" t="n">
        <v>0</v>
      </c>
      <c r="P422" s="21">
        <f>$B$19</f>
        <v/>
      </c>
      <c r="Q422" s="21">
        <f>$B$21</f>
        <v/>
      </c>
      <c r="R422" s="21">
        <f>0</f>
        <v/>
      </c>
      <c r="S422" s="21">
        <f>2*$B$20</f>
        <v/>
      </c>
      <c r="T422" s="21">
        <f>-$B$19</f>
        <v/>
      </c>
      <c r="U422" s="21">
        <f>$B$21</f>
        <v/>
      </c>
      <c r="V422" s="21" t="n">
        <v>0</v>
      </c>
      <c r="W422" s="21" t="n">
        <v>0</v>
      </c>
      <c r="X422" s="21" t="n">
        <v>0</v>
      </c>
      <c r="Y422" s="21" t="n">
        <v>0</v>
      </c>
      <c r="Z422" s="21" t="n">
        <v>0</v>
      </c>
      <c r="AA422" s="21" t="n">
        <v>0</v>
      </c>
      <c r="AB422" s="21" t="n">
        <v>0</v>
      </c>
      <c r="AC422" s="21" t="n">
        <v>0</v>
      </c>
      <c r="AD422" s="21" t="n">
        <v>0</v>
      </c>
      <c r="AE422" s="21" t="n">
        <v>0</v>
      </c>
      <c r="AF422" s="21" t="n">
        <v>0</v>
      </c>
      <c r="AG422" s="21" t="n">
        <v>0</v>
      </c>
      <c r="AH422" s="21" t="n">
        <v>0</v>
      </c>
      <c r="AI422" s="21" t="n">
        <v>0</v>
      </c>
      <c r="AJ422" s="21" t="n">
        <v>0</v>
      </c>
      <c r="AK422" s="21" t="n">
        <v>0</v>
      </c>
      <c r="AL422" s="21" t="n">
        <v>0</v>
      </c>
      <c r="AM422" s="21" t="n">
        <v>0</v>
      </c>
      <c r="AN422" s="21" t="n">
        <v>0</v>
      </c>
      <c r="AO422" s="21" t="n">
        <v>0</v>
      </c>
      <c r="AP422" s="21" t="n">
        <v>0</v>
      </c>
      <c r="AQ422" s="21" t="n">
        <v>0</v>
      </c>
      <c r="AR422" s="21" t="n">
        <v>0</v>
      </c>
      <c r="AS422" s="21" t="n">
        <v>0</v>
      </c>
      <c r="AT422" s="19" t="n"/>
    </row>
    <row r="423">
      <c r="D423" s="21" t="n">
        <v>0</v>
      </c>
      <c r="E423" s="21" t="n">
        <v>0</v>
      </c>
      <c r="F423" s="21" t="n">
        <v>0</v>
      </c>
      <c r="G423" s="21" t="n">
        <v>0</v>
      </c>
      <c r="H423" s="21" t="n">
        <v>0</v>
      </c>
      <c r="I423" s="21" t="n">
        <v>0</v>
      </c>
      <c r="J423" s="21" t="n">
        <v>0</v>
      </c>
      <c r="K423" s="21" t="n">
        <v>0</v>
      </c>
      <c r="L423" s="21" t="n">
        <v>0</v>
      </c>
      <c r="M423" s="21" t="n">
        <v>0</v>
      </c>
      <c r="N423" s="21" t="n">
        <v>0</v>
      </c>
      <c r="O423" s="21" t="n">
        <v>0</v>
      </c>
      <c r="P423" s="21" t="n">
        <v>0</v>
      </c>
      <c r="Q423" s="21" t="n">
        <v>0</v>
      </c>
      <c r="R423" s="21">
        <f>-$B$18</f>
        <v/>
      </c>
      <c r="S423" s="21">
        <f>-$B$19</f>
        <v/>
      </c>
      <c r="T423" s="21">
        <f>2*$B$18+$D$393</f>
        <v/>
      </c>
      <c r="U423" s="21">
        <f>0</f>
        <v/>
      </c>
      <c r="V423" s="21">
        <f>-$B$18</f>
        <v/>
      </c>
      <c r="W423" s="21">
        <f>$B$19</f>
        <v/>
      </c>
      <c r="X423" s="21" t="n">
        <v>0</v>
      </c>
      <c r="Y423" s="21" t="n">
        <v>0</v>
      </c>
      <c r="Z423" s="21" t="n">
        <v>0</v>
      </c>
      <c r="AA423" s="21" t="n">
        <v>0</v>
      </c>
      <c r="AB423" s="21" t="n">
        <v>0</v>
      </c>
      <c r="AC423" s="21" t="n">
        <v>0</v>
      </c>
      <c r="AD423" s="21" t="n">
        <v>0</v>
      </c>
      <c r="AE423" s="21" t="n">
        <v>0</v>
      </c>
      <c r="AF423" s="21" t="n">
        <v>0</v>
      </c>
      <c r="AG423" s="21" t="n">
        <v>0</v>
      </c>
      <c r="AH423" s="21" t="n">
        <v>0</v>
      </c>
      <c r="AI423" s="21" t="n">
        <v>0</v>
      </c>
      <c r="AJ423" s="21" t="n">
        <v>0</v>
      </c>
      <c r="AK423" s="21" t="n">
        <v>0</v>
      </c>
      <c r="AL423" s="21" t="n">
        <v>0</v>
      </c>
      <c r="AM423" s="21" t="n">
        <v>0</v>
      </c>
      <c r="AN423" s="21" t="n">
        <v>0</v>
      </c>
      <c r="AO423" s="21" t="n">
        <v>0</v>
      </c>
      <c r="AP423" s="21" t="n">
        <v>0</v>
      </c>
      <c r="AQ423" s="21" t="n">
        <v>0</v>
      </c>
      <c r="AR423" s="21" t="n">
        <v>0</v>
      </c>
      <c r="AS423" s="21" t="n">
        <v>0</v>
      </c>
      <c r="AT423" s="19" t="n"/>
    </row>
    <row r="424">
      <c r="D424" s="21" t="n">
        <v>0</v>
      </c>
      <c r="E424" s="21" t="n">
        <v>0</v>
      </c>
      <c r="F424" s="21" t="n">
        <v>0</v>
      </c>
      <c r="G424" s="21" t="n">
        <v>0</v>
      </c>
      <c r="H424" s="21" t="n">
        <v>0</v>
      </c>
      <c r="I424" s="21" t="n">
        <v>0</v>
      </c>
      <c r="J424" s="21" t="n">
        <v>0</v>
      </c>
      <c r="K424" s="21" t="n">
        <v>0</v>
      </c>
      <c r="L424" s="21" t="n">
        <v>0</v>
      </c>
      <c r="M424" s="21" t="n">
        <v>0</v>
      </c>
      <c r="N424" s="21" t="n">
        <v>0</v>
      </c>
      <c r="O424" s="21" t="n">
        <v>0</v>
      </c>
      <c r="P424" s="21" t="n">
        <v>0</v>
      </c>
      <c r="Q424" s="21" t="n">
        <v>0</v>
      </c>
      <c r="R424" s="21">
        <f>$B$19</f>
        <v/>
      </c>
      <c r="S424" s="21">
        <f>$B$21</f>
        <v/>
      </c>
      <c r="T424" s="21">
        <f>0</f>
        <v/>
      </c>
      <c r="U424" s="21">
        <f>2*$B$20</f>
        <v/>
      </c>
      <c r="V424" s="21">
        <f>-$B$19</f>
        <v/>
      </c>
      <c r="W424" s="21">
        <f>$B$21</f>
        <v/>
      </c>
      <c r="X424" s="21" t="n">
        <v>0</v>
      </c>
      <c r="Y424" s="21" t="n">
        <v>0</v>
      </c>
      <c r="Z424" s="21" t="n">
        <v>0</v>
      </c>
      <c r="AA424" s="21" t="n">
        <v>0</v>
      </c>
      <c r="AB424" s="21" t="n">
        <v>0</v>
      </c>
      <c r="AC424" s="21" t="n">
        <v>0</v>
      </c>
      <c r="AD424" s="21" t="n">
        <v>0</v>
      </c>
      <c r="AE424" s="21" t="n">
        <v>0</v>
      </c>
      <c r="AF424" s="21" t="n">
        <v>0</v>
      </c>
      <c r="AG424" s="21" t="n">
        <v>0</v>
      </c>
      <c r="AH424" s="21" t="n">
        <v>0</v>
      </c>
      <c r="AI424" s="21" t="n">
        <v>0</v>
      </c>
      <c r="AJ424" s="21" t="n">
        <v>0</v>
      </c>
      <c r="AK424" s="21" t="n">
        <v>0</v>
      </c>
      <c r="AL424" s="21" t="n">
        <v>0</v>
      </c>
      <c r="AM424" s="21" t="n">
        <v>0</v>
      </c>
      <c r="AN424" s="21" t="n">
        <v>0</v>
      </c>
      <c r="AO424" s="21" t="n">
        <v>0</v>
      </c>
      <c r="AP424" s="21" t="n">
        <v>0</v>
      </c>
      <c r="AQ424" s="21" t="n">
        <v>0</v>
      </c>
      <c r="AR424" s="21" t="n">
        <v>0</v>
      </c>
      <c r="AS424" s="21" t="n">
        <v>0</v>
      </c>
      <c r="AT424" s="19" t="n"/>
    </row>
    <row r="425">
      <c r="D425" s="21" t="n">
        <v>0</v>
      </c>
      <c r="E425" s="21" t="n">
        <v>0</v>
      </c>
      <c r="F425" s="21" t="n">
        <v>0</v>
      </c>
      <c r="G425" s="21" t="n">
        <v>0</v>
      </c>
      <c r="H425" s="21" t="n">
        <v>0</v>
      </c>
      <c r="I425" s="21" t="n">
        <v>0</v>
      </c>
      <c r="J425" s="21" t="n">
        <v>0</v>
      </c>
      <c r="K425" s="21" t="n">
        <v>0</v>
      </c>
      <c r="L425" s="21" t="n">
        <v>0</v>
      </c>
      <c r="M425" s="21" t="n">
        <v>0</v>
      </c>
      <c r="N425" s="21" t="n">
        <v>0</v>
      </c>
      <c r="O425" s="21" t="n">
        <v>0</v>
      </c>
      <c r="P425" s="21" t="n">
        <v>0</v>
      </c>
      <c r="Q425" s="21" t="n">
        <v>0</v>
      </c>
      <c r="R425" s="21" t="n">
        <v>0</v>
      </c>
      <c r="S425" s="21" t="n">
        <v>0</v>
      </c>
      <c r="T425" s="21">
        <f>-$B$18</f>
        <v/>
      </c>
      <c r="U425" s="21">
        <f>-$B$19</f>
        <v/>
      </c>
      <c r="V425" s="21">
        <f>2*$B$18+$D$394</f>
        <v/>
      </c>
      <c r="W425" s="21">
        <f>0</f>
        <v/>
      </c>
      <c r="X425" s="21">
        <f>-$B$18</f>
        <v/>
      </c>
      <c r="Y425" s="21">
        <f>$B$19</f>
        <v/>
      </c>
      <c r="Z425" s="21" t="n">
        <v>0</v>
      </c>
      <c r="AA425" s="21" t="n">
        <v>0</v>
      </c>
      <c r="AB425" s="21" t="n">
        <v>0</v>
      </c>
      <c r="AC425" s="21" t="n">
        <v>0</v>
      </c>
      <c r="AD425" s="21" t="n">
        <v>0</v>
      </c>
      <c r="AE425" s="21" t="n">
        <v>0</v>
      </c>
      <c r="AF425" s="21" t="n">
        <v>0</v>
      </c>
      <c r="AG425" s="21" t="n">
        <v>0</v>
      </c>
      <c r="AH425" s="21" t="n">
        <v>0</v>
      </c>
      <c r="AI425" s="21" t="n">
        <v>0</v>
      </c>
      <c r="AJ425" s="21" t="n">
        <v>0</v>
      </c>
      <c r="AK425" s="21" t="n">
        <v>0</v>
      </c>
      <c r="AL425" s="21" t="n">
        <v>0</v>
      </c>
      <c r="AM425" s="21" t="n">
        <v>0</v>
      </c>
      <c r="AN425" s="21" t="n">
        <v>0</v>
      </c>
      <c r="AO425" s="21" t="n">
        <v>0</v>
      </c>
      <c r="AP425" s="21" t="n">
        <v>0</v>
      </c>
      <c r="AQ425" s="21" t="n">
        <v>0</v>
      </c>
      <c r="AR425" s="21" t="n">
        <v>0</v>
      </c>
      <c r="AS425" s="21" t="n">
        <v>0</v>
      </c>
      <c r="AT425" s="19" t="n"/>
    </row>
    <row r="426">
      <c r="D426" s="21" t="n">
        <v>0</v>
      </c>
      <c r="E426" s="21" t="n">
        <v>0</v>
      </c>
      <c r="F426" s="21" t="n">
        <v>0</v>
      </c>
      <c r="G426" s="21" t="n">
        <v>0</v>
      </c>
      <c r="H426" s="21" t="n">
        <v>0</v>
      </c>
      <c r="I426" s="21" t="n">
        <v>0</v>
      </c>
      <c r="J426" s="21" t="n">
        <v>0</v>
      </c>
      <c r="K426" s="21" t="n">
        <v>0</v>
      </c>
      <c r="L426" s="21" t="n">
        <v>0</v>
      </c>
      <c r="M426" s="21" t="n">
        <v>0</v>
      </c>
      <c r="N426" s="21" t="n">
        <v>0</v>
      </c>
      <c r="O426" s="21" t="n">
        <v>0</v>
      </c>
      <c r="P426" s="21" t="n">
        <v>0</v>
      </c>
      <c r="Q426" s="21" t="n">
        <v>0</v>
      </c>
      <c r="R426" s="21" t="n">
        <v>0</v>
      </c>
      <c r="S426" s="21" t="n">
        <v>0</v>
      </c>
      <c r="T426" s="21">
        <f>$B$19</f>
        <v/>
      </c>
      <c r="U426" s="21">
        <f>$B$21</f>
        <v/>
      </c>
      <c r="V426" s="21">
        <f>0</f>
        <v/>
      </c>
      <c r="W426" s="21">
        <f>2*$B$20</f>
        <v/>
      </c>
      <c r="X426" s="21">
        <f>-$B$19</f>
        <v/>
      </c>
      <c r="Y426" s="21">
        <f>$B$21</f>
        <v/>
      </c>
      <c r="Z426" s="21" t="n">
        <v>0</v>
      </c>
      <c r="AA426" s="21" t="n">
        <v>0</v>
      </c>
      <c r="AB426" s="21" t="n">
        <v>0</v>
      </c>
      <c r="AC426" s="21" t="n">
        <v>0</v>
      </c>
      <c r="AD426" s="21" t="n">
        <v>0</v>
      </c>
      <c r="AE426" s="21" t="n">
        <v>0</v>
      </c>
      <c r="AF426" s="21" t="n">
        <v>0</v>
      </c>
      <c r="AG426" s="21" t="n">
        <v>0</v>
      </c>
      <c r="AH426" s="21" t="n">
        <v>0</v>
      </c>
      <c r="AI426" s="21" t="n">
        <v>0</v>
      </c>
      <c r="AJ426" s="21" t="n">
        <v>0</v>
      </c>
      <c r="AK426" s="21" t="n">
        <v>0</v>
      </c>
      <c r="AL426" s="21" t="n">
        <v>0</v>
      </c>
      <c r="AM426" s="21" t="n">
        <v>0</v>
      </c>
      <c r="AN426" s="21" t="n">
        <v>0</v>
      </c>
      <c r="AO426" s="21" t="n">
        <v>0</v>
      </c>
      <c r="AP426" s="21" t="n">
        <v>0</v>
      </c>
      <c r="AQ426" s="21" t="n">
        <v>0</v>
      </c>
      <c r="AR426" s="21" t="n">
        <v>0</v>
      </c>
      <c r="AS426" s="21" t="n">
        <v>0</v>
      </c>
      <c r="AT426" s="19" t="n"/>
    </row>
    <row r="427">
      <c r="D427" s="21" t="n">
        <v>0</v>
      </c>
      <c r="E427" s="21" t="n">
        <v>0</v>
      </c>
      <c r="F427" s="21" t="n">
        <v>0</v>
      </c>
      <c r="G427" s="21" t="n">
        <v>0</v>
      </c>
      <c r="H427" s="21" t="n">
        <v>0</v>
      </c>
      <c r="I427" s="21" t="n">
        <v>0</v>
      </c>
      <c r="J427" s="21" t="n">
        <v>0</v>
      </c>
      <c r="K427" s="21" t="n">
        <v>0</v>
      </c>
      <c r="L427" s="21" t="n">
        <v>0</v>
      </c>
      <c r="M427" s="21" t="n">
        <v>0</v>
      </c>
      <c r="N427" s="21" t="n">
        <v>0</v>
      </c>
      <c r="O427" s="21" t="n">
        <v>0</v>
      </c>
      <c r="P427" s="21" t="n">
        <v>0</v>
      </c>
      <c r="Q427" s="21" t="n">
        <v>0</v>
      </c>
      <c r="R427" s="21" t="n">
        <v>0</v>
      </c>
      <c r="S427" s="21" t="n">
        <v>0</v>
      </c>
      <c r="T427" s="21" t="n">
        <v>0</v>
      </c>
      <c r="U427" s="21" t="n">
        <v>0</v>
      </c>
      <c r="V427" s="21">
        <f>-$B$18</f>
        <v/>
      </c>
      <c r="W427" s="21">
        <f>-$B$19</f>
        <v/>
      </c>
      <c r="X427" s="21">
        <f>2*$B$18+$D$395</f>
        <v/>
      </c>
      <c r="Y427" s="21">
        <f>0</f>
        <v/>
      </c>
      <c r="Z427" s="21">
        <f>-$B$18</f>
        <v/>
      </c>
      <c r="AA427" s="21">
        <f>$B$19</f>
        <v/>
      </c>
      <c r="AB427" s="21" t="n">
        <v>0</v>
      </c>
      <c r="AC427" s="21" t="n">
        <v>0</v>
      </c>
      <c r="AD427" s="21" t="n">
        <v>0</v>
      </c>
      <c r="AE427" s="21" t="n">
        <v>0</v>
      </c>
      <c r="AF427" s="21" t="n">
        <v>0</v>
      </c>
      <c r="AG427" s="21" t="n">
        <v>0</v>
      </c>
      <c r="AH427" s="21" t="n">
        <v>0</v>
      </c>
      <c r="AI427" s="21" t="n">
        <v>0</v>
      </c>
      <c r="AJ427" s="21" t="n">
        <v>0</v>
      </c>
      <c r="AK427" s="21" t="n">
        <v>0</v>
      </c>
      <c r="AL427" s="21" t="n">
        <v>0</v>
      </c>
      <c r="AM427" s="21" t="n">
        <v>0</v>
      </c>
      <c r="AN427" s="21" t="n">
        <v>0</v>
      </c>
      <c r="AO427" s="21" t="n">
        <v>0</v>
      </c>
      <c r="AP427" s="21" t="n">
        <v>0</v>
      </c>
      <c r="AQ427" s="21" t="n">
        <v>0</v>
      </c>
      <c r="AR427" s="21" t="n">
        <v>0</v>
      </c>
      <c r="AS427" s="21" t="n">
        <v>0</v>
      </c>
      <c r="AT427" s="19" t="n"/>
    </row>
    <row r="428">
      <c r="D428" s="21" t="n">
        <v>0</v>
      </c>
      <c r="E428" s="21" t="n">
        <v>0</v>
      </c>
      <c r="F428" s="21" t="n">
        <v>0</v>
      </c>
      <c r="G428" s="21" t="n">
        <v>0</v>
      </c>
      <c r="H428" s="21" t="n">
        <v>0</v>
      </c>
      <c r="I428" s="21" t="n">
        <v>0</v>
      </c>
      <c r="J428" s="21" t="n">
        <v>0</v>
      </c>
      <c r="K428" s="21" t="n">
        <v>0</v>
      </c>
      <c r="L428" s="21" t="n">
        <v>0</v>
      </c>
      <c r="M428" s="21" t="n">
        <v>0</v>
      </c>
      <c r="N428" s="21" t="n">
        <v>0</v>
      </c>
      <c r="O428" s="21" t="n">
        <v>0</v>
      </c>
      <c r="P428" s="21" t="n">
        <v>0</v>
      </c>
      <c r="Q428" s="21" t="n">
        <v>0</v>
      </c>
      <c r="R428" s="21" t="n">
        <v>0</v>
      </c>
      <c r="S428" s="21" t="n">
        <v>0</v>
      </c>
      <c r="T428" s="21" t="n">
        <v>0</v>
      </c>
      <c r="U428" s="21" t="n">
        <v>0</v>
      </c>
      <c r="V428" s="21">
        <f>$B$19</f>
        <v/>
      </c>
      <c r="W428" s="21">
        <f>$B$21</f>
        <v/>
      </c>
      <c r="X428" s="21">
        <f>0</f>
        <v/>
      </c>
      <c r="Y428" s="21">
        <f>2*$B$20</f>
        <v/>
      </c>
      <c r="Z428" s="21">
        <f>-$B$19</f>
        <v/>
      </c>
      <c r="AA428" s="21">
        <f>$B$21</f>
        <v/>
      </c>
      <c r="AB428" s="21" t="n">
        <v>0</v>
      </c>
      <c r="AC428" s="21" t="n">
        <v>0</v>
      </c>
      <c r="AD428" s="21" t="n">
        <v>0</v>
      </c>
      <c r="AE428" s="21" t="n">
        <v>0</v>
      </c>
      <c r="AF428" s="21" t="n">
        <v>0</v>
      </c>
      <c r="AG428" s="21" t="n">
        <v>0</v>
      </c>
      <c r="AH428" s="21" t="n">
        <v>0</v>
      </c>
      <c r="AI428" s="21" t="n">
        <v>0</v>
      </c>
      <c r="AJ428" s="21" t="n">
        <v>0</v>
      </c>
      <c r="AK428" s="21" t="n">
        <v>0</v>
      </c>
      <c r="AL428" s="21" t="n">
        <v>0</v>
      </c>
      <c r="AM428" s="21" t="n">
        <v>0</v>
      </c>
      <c r="AN428" s="21" t="n">
        <v>0</v>
      </c>
      <c r="AO428" s="21" t="n">
        <v>0</v>
      </c>
      <c r="AP428" s="21" t="n">
        <v>0</v>
      </c>
      <c r="AQ428" s="21" t="n">
        <v>0</v>
      </c>
      <c r="AR428" s="21" t="n">
        <v>0</v>
      </c>
      <c r="AS428" s="21" t="n">
        <v>0</v>
      </c>
      <c r="AT428" s="19" t="n"/>
    </row>
    <row r="429">
      <c r="D429" s="21" t="n">
        <v>0</v>
      </c>
      <c r="E429" s="21" t="n">
        <v>0</v>
      </c>
      <c r="F429" s="21" t="n">
        <v>0</v>
      </c>
      <c r="G429" s="21" t="n">
        <v>0</v>
      </c>
      <c r="H429" s="21" t="n">
        <v>0</v>
      </c>
      <c r="I429" s="21" t="n">
        <v>0</v>
      </c>
      <c r="J429" s="21" t="n">
        <v>0</v>
      </c>
      <c r="K429" s="21" t="n">
        <v>0</v>
      </c>
      <c r="L429" s="21" t="n">
        <v>0</v>
      </c>
      <c r="M429" s="21" t="n">
        <v>0</v>
      </c>
      <c r="N429" s="21" t="n">
        <v>0</v>
      </c>
      <c r="O429" s="21" t="n">
        <v>0</v>
      </c>
      <c r="P429" s="21" t="n">
        <v>0</v>
      </c>
      <c r="Q429" s="21" t="n">
        <v>0</v>
      </c>
      <c r="R429" s="21" t="n">
        <v>0</v>
      </c>
      <c r="S429" s="21" t="n">
        <v>0</v>
      </c>
      <c r="T429" s="21" t="n">
        <v>0</v>
      </c>
      <c r="U429" s="21" t="n">
        <v>0</v>
      </c>
      <c r="V429" s="21" t="n">
        <v>0</v>
      </c>
      <c r="W429" s="21" t="n">
        <v>0</v>
      </c>
      <c r="X429" s="21">
        <f>-$B$18</f>
        <v/>
      </c>
      <c r="Y429" s="21">
        <f>-$B$19</f>
        <v/>
      </c>
      <c r="Z429" s="21">
        <f>2*$B$18+$D$396</f>
        <v/>
      </c>
      <c r="AA429" s="21">
        <f>0</f>
        <v/>
      </c>
      <c r="AB429" s="21">
        <f>-$B$18</f>
        <v/>
      </c>
      <c r="AC429" s="21">
        <f>$B$19</f>
        <v/>
      </c>
      <c r="AD429" s="21" t="n">
        <v>0</v>
      </c>
      <c r="AE429" s="21" t="n">
        <v>0</v>
      </c>
      <c r="AF429" s="21" t="n">
        <v>0</v>
      </c>
      <c r="AG429" s="21" t="n">
        <v>0</v>
      </c>
      <c r="AH429" s="21" t="n">
        <v>0</v>
      </c>
      <c r="AI429" s="21" t="n">
        <v>0</v>
      </c>
      <c r="AJ429" s="21" t="n">
        <v>0</v>
      </c>
      <c r="AK429" s="21" t="n">
        <v>0</v>
      </c>
      <c r="AL429" s="21" t="n">
        <v>0</v>
      </c>
      <c r="AM429" s="21" t="n">
        <v>0</v>
      </c>
      <c r="AN429" s="21" t="n">
        <v>0</v>
      </c>
      <c r="AO429" s="21" t="n">
        <v>0</v>
      </c>
      <c r="AP429" s="21" t="n">
        <v>0</v>
      </c>
      <c r="AQ429" s="21" t="n">
        <v>0</v>
      </c>
      <c r="AR429" s="21" t="n">
        <v>0</v>
      </c>
      <c r="AS429" s="21" t="n">
        <v>0</v>
      </c>
      <c r="AT429" s="19" t="n"/>
    </row>
    <row r="430">
      <c r="D430" s="21" t="n">
        <v>0</v>
      </c>
      <c r="E430" s="21" t="n">
        <v>0</v>
      </c>
      <c r="F430" s="21" t="n">
        <v>0</v>
      </c>
      <c r="G430" s="21" t="n">
        <v>0</v>
      </c>
      <c r="H430" s="21" t="n">
        <v>0</v>
      </c>
      <c r="I430" s="21" t="n">
        <v>0</v>
      </c>
      <c r="J430" s="21" t="n">
        <v>0</v>
      </c>
      <c r="K430" s="21" t="n">
        <v>0</v>
      </c>
      <c r="L430" s="21" t="n">
        <v>0</v>
      </c>
      <c r="M430" s="21" t="n">
        <v>0</v>
      </c>
      <c r="N430" s="21" t="n">
        <v>0</v>
      </c>
      <c r="O430" s="21" t="n">
        <v>0</v>
      </c>
      <c r="P430" s="21" t="n">
        <v>0</v>
      </c>
      <c r="Q430" s="21" t="n">
        <v>0</v>
      </c>
      <c r="R430" s="21" t="n">
        <v>0</v>
      </c>
      <c r="S430" s="21" t="n">
        <v>0</v>
      </c>
      <c r="T430" s="21" t="n">
        <v>0</v>
      </c>
      <c r="U430" s="21" t="n">
        <v>0</v>
      </c>
      <c r="V430" s="21" t="n">
        <v>0</v>
      </c>
      <c r="W430" s="21" t="n">
        <v>0</v>
      </c>
      <c r="X430" s="21">
        <f>$B$19</f>
        <v/>
      </c>
      <c r="Y430" s="21">
        <f>$B$21</f>
        <v/>
      </c>
      <c r="Z430" s="21">
        <f>0</f>
        <v/>
      </c>
      <c r="AA430" s="21">
        <f>2*$B$20</f>
        <v/>
      </c>
      <c r="AB430" s="21">
        <f>-$B$19</f>
        <v/>
      </c>
      <c r="AC430" s="21">
        <f>$B$21</f>
        <v/>
      </c>
      <c r="AD430" s="21" t="n">
        <v>0</v>
      </c>
      <c r="AE430" s="21" t="n">
        <v>0</v>
      </c>
      <c r="AF430" s="21" t="n">
        <v>0</v>
      </c>
      <c r="AG430" s="21" t="n">
        <v>0</v>
      </c>
      <c r="AH430" s="21" t="n">
        <v>0</v>
      </c>
      <c r="AI430" s="21" t="n">
        <v>0</v>
      </c>
      <c r="AJ430" s="21" t="n">
        <v>0</v>
      </c>
      <c r="AK430" s="21" t="n">
        <v>0</v>
      </c>
      <c r="AL430" s="21" t="n">
        <v>0</v>
      </c>
      <c r="AM430" s="21" t="n">
        <v>0</v>
      </c>
      <c r="AN430" s="21" t="n">
        <v>0</v>
      </c>
      <c r="AO430" s="21" t="n">
        <v>0</v>
      </c>
      <c r="AP430" s="21" t="n">
        <v>0</v>
      </c>
      <c r="AQ430" s="21" t="n">
        <v>0</v>
      </c>
      <c r="AR430" s="21" t="n">
        <v>0</v>
      </c>
      <c r="AS430" s="21" t="n">
        <v>0</v>
      </c>
      <c r="AT430" s="19" t="n"/>
    </row>
    <row r="431">
      <c r="D431" s="21" t="n">
        <v>0</v>
      </c>
      <c r="E431" s="21" t="n">
        <v>0</v>
      </c>
      <c r="F431" s="21" t="n">
        <v>0</v>
      </c>
      <c r="G431" s="21" t="n">
        <v>0</v>
      </c>
      <c r="H431" s="21" t="n">
        <v>0</v>
      </c>
      <c r="I431" s="21" t="n">
        <v>0</v>
      </c>
      <c r="J431" s="21" t="n">
        <v>0</v>
      </c>
      <c r="K431" s="21" t="n">
        <v>0</v>
      </c>
      <c r="L431" s="21" t="n">
        <v>0</v>
      </c>
      <c r="M431" s="21" t="n">
        <v>0</v>
      </c>
      <c r="N431" s="21" t="n">
        <v>0</v>
      </c>
      <c r="O431" s="21" t="n">
        <v>0</v>
      </c>
      <c r="P431" s="21" t="n">
        <v>0</v>
      </c>
      <c r="Q431" s="21" t="n">
        <v>0</v>
      </c>
      <c r="R431" s="21" t="n">
        <v>0</v>
      </c>
      <c r="S431" s="21" t="n">
        <v>0</v>
      </c>
      <c r="T431" s="21" t="n">
        <v>0</v>
      </c>
      <c r="U431" s="21" t="n">
        <v>0</v>
      </c>
      <c r="V431" s="21" t="n">
        <v>0</v>
      </c>
      <c r="W431" s="21" t="n">
        <v>0</v>
      </c>
      <c r="X431" s="21" t="n">
        <v>0</v>
      </c>
      <c r="Y431" s="21" t="n">
        <v>0</v>
      </c>
      <c r="Z431" s="21">
        <f>-$B$18</f>
        <v/>
      </c>
      <c r="AA431" s="21">
        <f>-$B$19</f>
        <v/>
      </c>
      <c r="AB431" s="21">
        <f>2*$B$18+$D$397</f>
        <v/>
      </c>
      <c r="AC431" s="21">
        <f>0</f>
        <v/>
      </c>
      <c r="AD431" s="21">
        <f>-$B$18</f>
        <v/>
      </c>
      <c r="AE431" s="21">
        <f>$B$19</f>
        <v/>
      </c>
      <c r="AF431" s="21" t="n">
        <v>0</v>
      </c>
      <c r="AG431" s="21" t="n">
        <v>0</v>
      </c>
      <c r="AH431" s="21" t="n">
        <v>0</v>
      </c>
      <c r="AI431" s="21" t="n">
        <v>0</v>
      </c>
      <c r="AJ431" s="21" t="n">
        <v>0</v>
      </c>
      <c r="AK431" s="21" t="n">
        <v>0</v>
      </c>
      <c r="AL431" s="21" t="n">
        <v>0</v>
      </c>
      <c r="AM431" s="21" t="n">
        <v>0</v>
      </c>
      <c r="AN431" s="21" t="n">
        <v>0</v>
      </c>
      <c r="AO431" s="21" t="n">
        <v>0</v>
      </c>
      <c r="AP431" s="21" t="n">
        <v>0</v>
      </c>
      <c r="AQ431" s="21" t="n">
        <v>0</v>
      </c>
      <c r="AR431" s="21" t="n">
        <v>0</v>
      </c>
      <c r="AS431" s="21" t="n">
        <v>0</v>
      </c>
      <c r="AT431" s="19" t="n"/>
    </row>
    <row r="432">
      <c r="D432" s="21" t="n">
        <v>0</v>
      </c>
      <c r="E432" s="21" t="n">
        <v>0</v>
      </c>
      <c r="F432" s="21" t="n">
        <v>0</v>
      </c>
      <c r="G432" s="21" t="n">
        <v>0</v>
      </c>
      <c r="H432" s="21" t="n">
        <v>0</v>
      </c>
      <c r="I432" s="21" t="n">
        <v>0</v>
      </c>
      <c r="J432" s="21" t="n">
        <v>0</v>
      </c>
      <c r="K432" s="21" t="n">
        <v>0</v>
      </c>
      <c r="L432" s="21" t="n">
        <v>0</v>
      </c>
      <c r="M432" s="21" t="n">
        <v>0</v>
      </c>
      <c r="N432" s="21" t="n">
        <v>0</v>
      </c>
      <c r="O432" s="21" t="n">
        <v>0</v>
      </c>
      <c r="P432" s="21" t="n">
        <v>0</v>
      </c>
      <c r="Q432" s="21" t="n">
        <v>0</v>
      </c>
      <c r="R432" s="21" t="n">
        <v>0</v>
      </c>
      <c r="S432" s="21" t="n">
        <v>0</v>
      </c>
      <c r="T432" s="21" t="n">
        <v>0</v>
      </c>
      <c r="U432" s="21" t="n">
        <v>0</v>
      </c>
      <c r="V432" s="21" t="n">
        <v>0</v>
      </c>
      <c r="W432" s="21" t="n">
        <v>0</v>
      </c>
      <c r="X432" s="21" t="n">
        <v>0</v>
      </c>
      <c r="Y432" s="21" t="n">
        <v>0</v>
      </c>
      <c r="Z432" s="21">
        <f>$B$19</f>
        <v/>
      </c>
      <c r="AA432" s="21">
        <f>$B$21</f>
        <v/>
      </c>
      <c r="AB432" s="21">
        <f>0</f>
        <v/>
      </c>
      <c r="AC432" s="21">
        <f>2*$B$20</f>
        <v/>
      </c>
      <c r="AD432" s="21">
        <f>-$B$19</f>
        <v/>
      </c>
      <c r="AE432" s="21">
        <f>$B$21</f>
        <v/>
      </c>
      <c r="AF432" s="21" t="n">
        <v>0</v>
      </c>
      <c r="AG432" s="21" t="n">
        <v>0</v>
      </c>
      <c r="AH432" s="21" t="n">
        <v>0</v>
      </c>
      <c r="AI432" s="21" t="n">
        <v>0</v>
      </c>
      <c r="AJ432" s="21" t="n">
        <v>0</v>
      </c>
      <c r="AK432" s="21" t="n">
        <v>0</v>
      </c>
      <c r="AL432" s="21" t="n">
        <v>0</v>
      </c>
      <c r="AM432" s="21" t="n">
        <v>0</v>
      </c>
      <c r="AN432" s="21" t="n">
        <v>0</v>
      </c>
      <c r="AO432" s="21" t="n">
        <v>0</v>
      </c>
      <c r="AP432" s="21" t="n">
        <v>0</v>
      </c>
      <c r="AQ432" s="21" t="n">
        <v>0</v>
      </c>
      <c r="AR432" s="21" t="n">
        <v>0</v>
      </c>
      <c r="AS432" s="21" t="n">
        <v>0</v>
      </c>
      <c r="AT432" s="19" t="n"/>
    </row>
    <row r="433">
      <c r="D433" s="21" t="n">
        <v>0</v>
      </c>
      <c r="E433" s="21" t="n">
        <v>0</v>
      </c>
      <c r="F433" s="21" t="n">
        <v>0</v>
      </c>
      <c r="G433" s="21" t="n">
        <v>0</v>
      </c>
      <c r="H433" s="21" t="n">
        <v>0</v>
      </c>
      <c r="I433" s="21" t="n">
        <v>0</v>
      </c>
      <c r="J433" s="21" t="n">
        <v>0</v>
      </c>
      <c r="K433" s="21" t="n">
        <v>0</v>
      </c>
      <c r="L433" s="21" t="n">
        <v>0</v>
      </c>
      <c r="M433" s="21" t="n">
        <v>0</v>
      </c>
      <c r="N433" s="21" t="n">
        <v>0</v>
      </c>
      <c r="O433" s="21" t="n">
        <v>0</v>
      </c>
      <c r="P433" s="21" t="n">
        <v>0</v>
      </c>
      <c r="Q433" s="21" t="n">
        <v>0</v>
      </c>
      <c r="R433" s="21" t="n">
        <v>0</v>
      </c>
      <c r="S433" s="21" t="n">
        <v>0</v>
      </c>
      <c r="T433" s="21" t="n">
        <v>0</v>
      </c>
      <c r="U433" s="21" t="n">
        <v>0</v>
      </c>
      <c r="V433" s="21" t="n">
        <v>0</v>
      </c>
      <c r="W433" s="21" t="n">
        <v>0</v>
      </c>
      <c r="X433" s="21" t="n">
        <v>0</v>
      </c>
      <c r="Y433" s="21" t="n">
        <v>0</v>
      </c>
      <c r="Z433" s="21" t="n">
        <v>0</v>
      </c>
      <c r="AA433" s="21" t="n">
        <v>0</v>
      </c>
      <c r="AB433" s="21">
        <f>-$B$18</f>
        <v/>
      </c>
      <c r="AC433" s="21">
        <f>-$B$19</f>
        <v/>
      </c>
      <c r="AD433" s="21">
        <f>2*$B$18+$D$398</f>
        <v/>
      </c>
      <c r="AE433" s="21">
        <f>0</f>
        <v/>
      </c>
      <c r="AF433" s="21">
        <f>-$B$18</f>
        <v/>
      </c>
      <c r="AG433" s="21">
        <f>$B$19</f>
        <v/>
      </c>
      <c r="AH433" s="21" t="n">
        <v>0</v>
      </c>
      <c r="AI433" s="21" t="n">
        <v>0</v>
      </c>
      <c r="AJ433" s="21" t="n">
        <v>0</v>
      </c>
      <c r="AK433" s="21" t="n">
        <v>0</v>
      </c>
      <c r="AL433" s="21" t="n">
        <v>0</v>
      </c>
      <c r="AM433" s="21" t="n">
        <v>0</v>
      </c>
      <c r="AN433" s="21" t="n">
        <v>0</v>
      </c>
      <c r="AO433" s="21" t="n">
        <v>0</v>
      </c>
      <c r="AP433" s="21" t="n">
        <v>0</v>
      </c>
      <c r="AQ433" s="21" t="n">
        <v>0</v>
      </c>
      <c r="AR433" s="21" t="n">
        <v>0</v>
      </c>
      <c r="AS433" s="21" t="n">
        <v>0</v>
      </c>
      <c r="AT433" s="19" t="n"/>
    </row>
    <row r="434">
      <c r="D434" s="21" t="n">
        <v>0</v>
      </c>
      <c r="E434" s="21" t="n">
        <v>0</v>
      </c>
      <c r="F434" s="21" t="n">
        <v>0</v>
      </c>
      <c r="G434" s="21" t="n">
        <v>0</v>
      </c>
      <c r="H434" s="21" t="n">
        <v>0</v>
      </c>
      <c r="I434" s="21" t="n">
        <v>0</v>
      </c>
      <c r="J434" s="21" t="n">
        <v>0</v>
      </c>
      <c r="K434" s="21" t="n">
        <v>0</v>
      </c>
      <c r="L434" s="21" t="n">
        <v>0</v>
      </c>
      <c r="M434" s="21" t="n">
        <v>0</v>
      </c>
      <c r="N434" s="21" t="n">
        <v>0</v>
      </c>
      <c r="O434" s="21" t="n">
        <v>0</v>
      </c>
      <c r="P434" s="21" t="n">
        <v>0</v>
      </c>
      <c r="Q434" s="21" t="n">
        <v>0</v>
      </c>
      <c r="R434" s="21" t="n">
        <v>0</v>
      </c>
      <c r="S434" s="21" t="n">
        <v>0</v>
      </c>
      <c r="T434" s="21" t="n">
        <v>0</v>
      </c>
      <c r="U434" s="21" t="n">
        <v>0</v>
      </c>
      <c r="V434" s="21" t="n">
        <v>0</v>
      </c>
      <c r="W434" s="21" t="n">
        <v>0</v>
      </c>
      <c r="X434" s="21" t="n">
        <v>0</v>
      </c>
      <c r="Y434" s="21" t="n">
        <v>0</v>
      </c>
      <c r="Z434" s="21" t="n">
        <v>0</v>
      </c>
      <c r="AA434" s="21" t="n">
        <v>0</v>
      </c>
      <c r="AB434" s="21">
        <f>$B$19</f>
        <v/>
      </c>
      <c r="AC434" s="21">
        <f>$B$21</f>
        <v/>
      </c>
      <c r="AD434" s="21">
        <f>0</f>
        <v/>
      </c>
      <c r="AE434" s="21">
        <f>2*$B$20</f>
        <v/>
      </c>
      <c r="AF434" s="21">
        <f>-$B$19</f>
        <v/>
      </c>
      <c r="AG434" s="21">
        <f>$B$21</f>
        <v/>
      </c>
      <c r="AH434" s="21" t="n">
        <v>0</v>
      </c>
      <c r="AI434" s="21" t="n">
        <v>0</v>
      </c>
      <c r="AJ434" s="21" t="n">
        <v>0</v>
      </c>
      <c r="AK434" s="21" t="n">
        <v>0</v>
      </c>
      <c r="AL434" s="21" t="n">
        <v>0</v>
      </c>
      <c r="AM434" s="21" t="n">
        <v>0</v>
      </c>
      <c r="AN434" s="21" t="n">
        <v>0</v>
      </c>
      <c r="AO434" s="21" t="n">
        <v>0</v>
      </c>
      <c r="AP434" s="21" t="n">
        <v>0</v>
      </c>
      <c r="AQ434" s="21" t="n">
        <v>0</v>
      </c>
      <c r="AR434" s="21" t="n">
        <v>0</v>
      </c>
      <c r="AS434" s="21" t="n">
        <v>0</v>
      </c>
      <c r="AT434" s="19" t="n"/>
    </row>
    <row r="435">
      <c r="D435" s="21" t="n">
        <v>0</v>
      </c>
      <c r="E435" s="21" t="n">
        <v>0</v>
      </c>
      <c r="F435" s="21" t="n">
        <v>0</v>
      </c>
      <c r="G435" s="21" t="n">
        <v>0</v>
      </c>
      <c r="H435" s="21" t="n">
        <v>0</v>
      </c>
      <c r="I435" s="21" t="n">
        <v>0</v>
      </c>
      <c r="J435" s="21" t="n">
        <v>0</v>
      </c>
      <c r="K435" s="21" t="n">
        <v>0</v>
      </c>
      <c r="L435" s="21" t="n">
        <v>0</v>
      </c>
      <c r="M435" s="21" t="n">
        <v>0</v>
      </c>
      <c r="N435" s="21" t="n">
        <v>0</v>
      </c>
      <c r="O435" s="21" t="n">
        <v>0</v>
      </c>
      <c r="P435" s="21" t="n">
        <v>0</v>
      </c>
      <c r="Q435" s="21" t="n">
        <v>0</v>
      </c>
      <c r="R435" s="21" t="n">
        <v>0</v>
      </c>
      <c r="S435" s="21" t="n">
        <v>0</v>
      </c>
      <c r="T435" s="21" t="n">
        <v>0</v>
      </c>
      <c r="U435" s="21" t="n">
        <v>0</v>
      </c>
      <c r="V435" s="21" t="n">
        <v>0</v>
      </c>
      <c r="W435" s="21" t="n">
        <v>0</v>
      </c>
      <c r="X435" s="21" t="n">
        <v>0</v>
      </c>
      <c r="Y435" s="21" t="n">
        <v>0</v>
      </c>
      <c r="Z435" s="21" t="n">
        <v>0</v>
      </c>
      <c r="AA435" s="21" t="n">
        <v>0</v>
      </c>
      <c r="AB435" s="21" t="n">
        <v>0</v>
      </c>
      <c r="AC435" s="21" t="n">
        <v>0</v>
      </c>
      <c r="AD435" s="21">
        <f>-$B$18</f>
        <v/>
      </c>
      <c r="AE435" s="21">
        <f>-$B$19</f>
        <v/>
      </c>
      <c r="AF435" s="21">
        <f>2*$B$18+$D$399</f>
        <v/>
      </c>
      <c r="AG435" s="21">
        <f>0</f>
        <v/>
      </c>
      <c r="AH435" s="21">
        <f>-$B$18</f>
        <v/>
      </c>
      <c r="AI435" s="21">
        <f>$B$19</f>
        <v/>
      </c>
      <c r="AJ435" s="21" t="n">
        <v>0</v>
      </c>
      <c r="AK435" s="21" t="n">
        <v>0</v>
      </c>
      <c r="AL435" s="21" t="n">
        <v>0</v>
      </c>
      <c r="AM435" s="21" t="n">
        <v>0</v>
      </c>
      <c r="AN435" s="21" t="n">
        <v>0</v>
      </c>
      <c r="AO435" s="21" t="n">
        <v>0</v>
      </c>
      <c r="AP435" s="21" t="n">
        <v>0</v>
      </c>
      <c r="AQ435" s="21" t="n">
        <v>0</v>
      </c>
      <c r="AR435" s="21" t="n">
        <v>0</v>
      </c>
      <c r="AS435" s="21" t="n">
        <v>0</v>
      </c>
      <c r="AT435" s="19" t="n"/>
    </row>
    <row r="436">
      <c r="D436" s="21" t="n">
        <v>0</v>
      </c>
      <c r="E436" s="21" t="n">
        <v>0</v>
      </c>
      <c r="F436" s="21" t="n">
        <v>0</v>
      </c>
      <c r="G436" s="21" t="n">
        <v>0</v>
      </c>
      <c r="H436" s="21" t="n">
        <v>0</v>
      </c>
      <c r="I436" s="21" t="n">
        <v>0</v>
      </c>
      <c r="J436" s="21" t="n">
        <v>0</v>
      </c>
      <c r="K436" s="21" t="n">
        <v>0</v>
      </c>
      <c r="L436" s="21" t="n">
        <v>0</v>
      </c>
      <c r="M436" s="21" t="n">
        <v>0</v>
      </c>
      <c r="N436" s="21" t="n">
        <v>0</v>
      </c>
      <c r="O436" s="21" t="n">
        <v>0</v>
      </c>
      <c r="P436" s="21" t="n">
        <v>0</v>
      </c>
      <c r="Q436" s="21" t="n">
        <v>0</v>
      </c>
      <c r="R436" s="21" t="n">
        <v>0</v>
      </c>
      <c r="S436" s="21" t="n">
        <v>0</v>
      </c>
      <c r="T436" s="21" t="n">
        <v>0</v>
      </c>
      <c r="U436" s="21" t="n">
        <v>0</v>
      </c>
      <c r="V436" s="21" t="n">
        <v>0</v>
      </c>
      <c r="W436" s="21" t="n">
        <v>0</v>
      </c>
      <c r="X436" s="21" t="n">
        <v>0</v>
      </c>
      <c r="Y436" s="21" t="n">
        <v>0</v>
      </c>
      <c r="Z436" s="21" t="n">
        <v>0</v>
      </c>
      <c r="AA436" s="21" t="n">
        <v>0</v>
      </c>
      <c r="AB436" s="21" t="n">
        <v>0</v>
      </c>
      <c r="AC436" s="21" t="n">
        <v>0</v>
      </c>
      <c r="AD436" s="21">
        <f>$B$19</f>
        <v/>
      </c>
      <c r="AE436" s="21">
        <f>$B$21</f>
        <v/>
      </c>
      <c r="AF436" s="21">
        <f>0</f>
        <v/>
      </c>
      <c r="AG436" s="21">
        <f>2*$B$20</f>
        <v/>
      </c>
      <c r="AH436" s="21">
        <f>-$B$19</f>
        <v/>
      </c>
      <c r="AI436" s="21">
        <f>$B$21</f>
        <v/>
      </c>
      <c r="AJ436" s="21" t="n">
        <v>0</v>
      </c>
      <c r="AK436" s="21" t="n">
        <v>0</v>
      </c>
      <c r="AL436" s="21" t="n">
        <v>0</v>
      </c>
      <c r="AM436" s="21" t="n">
        <v>0</v>
      </c>
      <c r="AN436" s="21" t="n">
        <v>0</v>
      </c>
      <c r="AO436" s="21" t="n">
        <v>0</v>
      </c>
      <c r="AP436" s="21" t="n">
        <v>0</v>
      </c>
      <c r="AQ436" s="21" t="n">
        <v>0</v>
      </c>
      <c r="AR436" s="21" t="n">
        <v>0</v>
      </c>
      <c r="AS436" s="21" t="n">
        <v>0</v>
      </c>
      <c r="AT436" s="19" t="n"/>
    </row>
    <row r="437">
      <c r="D437" s="21" t="n">
        <v>0</v>
      </c>
      <c r="E437" s="21" t="n">
        <v>0</v>
      </c>
      <c r="F437" s="21" t="n">
        <v>0</v>
      </c>
      <c r="G437" s="21" t="n">
        <v>0</v>
      </c>
      <c r="H437" s="21" t="n">
        <v>0</v>
      </c>
      <c r="I437" s="21" t="n">
        <v>0</v>
      </c>
      <c r="J437" s="21" t="n">
        <v>0</v>
      </c>
      <c r="K437" s="21" t="n">
        <v>0</v>
      </c>
      <c r="L437" s="21" t="n">
        <v>0</v>
      </c>
      <c r="M437" s="21" t="n">
        <v>0</v>
      </c>
      <c r="N437" s="21" t="n">
        <v>0</v>
      </c>
      <c r="O437" s="21" t="n">
        <v>0</v>
      </c>
      <c r="P437" s="21" t="n">
        <v>0</v>
      </c>
      <c r="Q437" s="21" t="n">
        <v>0</v>
      </c>
      <c r="R437" s="21" t="n">
        <v>0</v>
      </c>
      <c r="S437" s="21" t="n">
        <v>0</v>
      </c>
      <c r="T437" s="21" t="n">
        <v>0</v>
      </c>
      <c r="U437" s="21" t="n">
        <v>0</v>
      </c>
      <c r="V437" s="21" t="n">
        <v>0</v>
      </c>
      <c r="W437" s="21" t="n">
        <v>0</v>
      </c>
      <c r="X437" s="21" t="n">
        <v>0</v>
      </c>
      <c r="Y437" s="21" t="n">
        <v>0</v>
      </c>
      <c r="Z437" s="21" t="n">
        <v>0</v>
      </c>
      <c r="AA437" s="21" t="n">
        <v>0</v>
      </c>
      <c r="AB437" s="21" t="n">
        <v>0</v>
      </c>
      <c r="AC437" s="21" t="n">
        <v>0</v>
      </c>
      <c r="AD437" s="21" t="n">
        <v>0</v>
      </c>
      <c r="AE437" s="21" t="n">
        <v>0</v>
      </c>
      <c r="AF437" s="21">
        <f>-$B$18</f>
        <v/>
      </c>
      <c r="AG437" s="21">
        <f>-$B$19</f>
        <v/>
      </c>
      <c r="AH437" s="21">
        <f>2*$B$18+$D$400</f>
        <v/>
      </c>
      <c r="AI437" s="21">
        <f>0</f>
        <v/>
      </c>
      <c r="AJ437" s="21">
        <f>-$B$18</f>
        <v/>
      </c>
      <c r="AK437" s="21">
        <f>$B$19</f>
        <v/>
      </c>
      <c r="AL437" s="21" t="n">
        <v>0</v>
      </c>
      <c r="AM437" s="21" t="n">
        <v>0</v>
      </c>
      <c r="AN437" s="21" t="n">
        <v>0</v>
      </c>
      <c r="AO437" s="21" t="n">
        <v>0</v>
      </c>
      <c r="AP437" s="21" t="n">
        <v>0</v>
      </c>
      <c r="AQ437" s="21" t="n">
        <v>0</v>
      </c>
      <c r="AR437" s="21" t="n">
        <v>0</v>
      </c>
      <c r="AS437" s="21" t="n">
        <v>0</v>
      </c>
      <c r="AT437" s="19" t="n"/>
    </row>
    <row r="438">
      <c r="D438" s="21" t="n">
        <v>0</v>
      </c>
      <c r="E438" s="21" t="n">
        <v>0</v>
      </c>
      <c r="F438" s="21" t="n">
        <v>0</v>
      </c>
      <c r="G438" s="21" t="n">
        <v>0</v>
      </c>
      <c r="H438" s="21" t="n">
        <v>0</v>
      </c>
      <c r="I438" s="21" t="n">
        <v>0</v>
      </c>
      <c r="J438" s="21" t="n">
        <v>0</v>
      </c>
      <c r="K438" s="21" t="n">
        <v>0</v>
      </c>
      <c r="L438" s="21" t="n">
        <v>0</v>
      </c>
      <c r="M438" s="21" t="n">
        <v>0</v>
      </c>
      <c r="N438" s="21" t="n">
        <v>0</v>
      </c>
      <c r="O438" s="21" t="n">
        <v>0</v>
      </c>
      <c r="P438" s="21" t="n">
        <v>0</v>
      </c>
      <c r="Q438" s="21" t="n">
        <v>0</v>
      </c>
      <c r="R438" s="21" t="n">
        <v>0</v>
      </c>
      <c r="S438" s="21" t="n">
        <v>0</v>
      </c>
      <c r="T438" s="21" t="n">
        <v>0</v>
      </c>
      <c r="U438" s="21" t="n">
        <v>0</v>
      </c>
      <c r="V438" s="21" t="n">
        <v>0</v>
      </c>
      <c r="W438" s="21" t="n">
        <v>0</v>
      </c>
      <c r="X438" s="21" t="n">
        <v>0</v>
      </c>
      <c r="Y438" s="21" t="n">
        <v>0</v>
      </c>
      <c r="Z438" s="21" t="n">
        <v>0</v>
      </c>
      <c r="AA438" s="21" t="n">
        <v>0</v>
      </c>
      <c r="AB438" s="21" t="n">
        <v>0</v>
      </c>
      <c r="AC438" s="21" t="n">
        <v>0</v>
      </c>
      <c r="AD438" s="21" t="n">
        <v>0</v>
      </c>
      <c r="AE438" s="21" t="n">
        <v>0</v>
      </c>
      <c r="AF438" s="21">
        <f>$B$19</f>
        <v/>
      </c>
      <c r="AG438" s="21">
        <f>$B$21</f>
        <v/>
      </c>
      <c r="AH438" s="21">
        <f>0</f>
        <v/>
      </c>
      <c r="AI438" s="21">
        <f>2*$B$20</f>
        <v/>
      </c>
      <c r="AJ438" s="21">
        <f>-$B$19</f>
        <v/>
      </c>
      <c r="AK438" s="21">
        <f>$B$21</f>
        <v/>
      </c>
      <c r="AL438" s="21" t="n">
        <v>0</v>
      </c>
      <c r="AM438" s="21" t="n">
        <v>0</v>
      </c>
      <c r="AN438" s="21" t="n">
        <v>0</v>
      </c>
      <c r="AO438" s="21" t="n">
        <v>0</v>
      </c>
      <c r="AP438" s="21" t="n">
        <v>0</v>
      </c>
      <c r="AQ438" s="21" t="n">
        <v>0</v>
      </c>
      <c r="AR438" s="21" t="n">
        <v>0</v>
      </c>
      <c r="AS438" s="21" t="n">
        <v>0</v>
      </c>
      <c r="AT438" s="19" t="n"/>
    </row>
    <row r="439">
      <c r="D439" s="21" t="n">
        <v>0</v>
      </c>
      <c r="E439" s="21" t="n">
        <v>0</v>
      </c>
      <c r="F439" s="21" t="n">
        <v>0</v>
      </c>
      <c r="G439" s="21" t="n">
        <v>0</v>
      </c>
      <c r="H439" s="21" t="n">
        <v>0</v>
      </c>
      <c r="I439" s="21" t="n">
        <v>0</v>
      </c>
      <c r="J439" s="21" t="n">
        <v>0</v>
      </c>
      <c r="K439" s="21" t="n">
        <v>0</v>
      </c>
      <c r="L439" s="21" t="n">
        <v>0</v>
      </c>
      <c r="M439" s="21" t="n">
        <v>0</v>
      </c>
      <c r="N439" s="21" t="n">
        <v>0</v>
      </c>
      <c r="O439" s="21" t="n">
        <v>0</v>
      </c>
      <c r="P439" s="21" t="n">
        <v>0</v>
      </c>
      <c r="Q439" s="21" t="n">
        <v>0</v>
      </c>
      <c r="R439" s="21" t="n">
        <v>0</v>
      </c>
      <c r="S439" s="21" t="n">
        <v>0</v>
      </c>
      <c r="T439" s="21" t="n">
        <v>0</v>
      </c>
      <c r="U439" s="21" t="n">
        <v>0</v>
      </c>
      <c r="V439" s="21" t="n">
        <v>0</v>
      </c>
      <c r="W439" s="21" t="n">
        <v>0</v>
      </c>
      <c r="X439" s="21" t="n">
        <v>0</v>
      </c>
      <c r="Y439" s="21" t="n">
        <v>0</v>
      </c>
      <c r="Z439" s="21" t="n">
        <v>0</v>
      </c>
      <c r="AA439" s="21" t="n">
        <v>0</v>
      </c>
      <c r="AB439" s="21" t="n">
        <v>0</v>
      </c>
      <c r="AC439" s="21" t="n">
        <v>0</v>
      </c>
      <c r="AD439" s="21" t="n">
        <v>0</v>
      </c>
      <c r="AE439" s="21" t="n">
        <v>0</v>
      </c>
      <c r="AF439" s="21" t="n">
        <v>0</v>
      </c>
      <c r="AG439" s="21" t="n">
        <v>0</v>
      </c>
      <c r="AH439" s="21">
        <f>-$B$18</f>
        <v/>
      </c>
      <c r="AI439" s="21">
        <f>-$B$19</f>
        <v/>
      </c>
      <c r="AJ439" s="21">
        <f>2*$B$18+$D$401</f>
        <v/>
      </c>
      <c r="AK439" s="21">
        <f>0</f>
        <v/>
      </c>
      <c r="AL439" s="21">
        <f>-$B$18</f>
        <v/>
      </c>
      <c r="AM439" s="21">
        <f>$B$19</f>
        <v/>
      </c>
      <c r="AN439" s="21" t="n">
        <v>0</v>
      </c>
      <c r="AO439" s="21" t="n">
        <v>0</v>
      </c>
      <c r="AP439" s="21" t="n">
        <v>0</v>
      </c>
      <c r="AQ439" s="21" t="n">
        <v>0</v>
      </c>
      <c r="AR439" s="21" t="n">
        <v>0</v>
      </c>
      <c r="AS439" s="21" t="n">
        <v>0</v>
      </c>
      <c r="AT439" s="19" t="n"/>
    </row>
    <row r="440">
      <c r="D440" s="21" t="n">
        <v>0</v>
      </c>
      <c r="E440" s="21" t="n">
        <v>0</v>
      </c>
      <c r="F440" s="21" t="n">
        <v>0</v>
      </c>
      <c r="G440" s="21" t="n">
        <v>0</v>
      </c>
      <c r="H440" s="21" t="n">
        <v>0</v>
      </c>
      <c r="I440" s="21" t="n">
        <v>0</v>
      </c>
      <c r="J440" s="21" t="n">
        <v>0</v>
      </c>
      <c r="K440" s="21" t="n">
        <v>0</v>
      </c>
      <c r="L440" s="21" t="n">
        <v>0</v>
      </c>
      <c r="M440" s="21" t="n">
        <v>0</v>
      </c>
      <c r="N440" s="21" t="n">
        <v>0</v>
      </c>
      <c r="O440" s="21" t="n">
        <v>0</v>
      </c>
      <c r="P440" s="21" t="n">
        <v>0</v>
      </c>
      <c r="Q440" s="21" t="n">
        <v>0</v>
      </c>
      <c r="R440" s="21" t="n">
        <v>0</v>
      </c>
      <c r="S440" s="21" t="n">
        <v>0</v>
      </c>
      <c r="T440" s="21" t="n">
        <v>0</v>
      </c>
      <c r="U440" s="21" t="n">
        <v>0</v>
      </c>
      <c r="V440" s="21" t="n">
        <v>0</v>
      </c>
      <c r="W440" s="21" t="n">
        <v>0</v>
      </c>
      <c r="X440" s="21" t="n">
        <v>0</v>
      </c>
      <c r="Y440" s="21" t="n">
        <v>0</v>
      </c>
      <c r="Z440" s="21" t="n">
        <v>0</v>
      </c>
      <c r="AA440" s="21" t="n">
        <v>0</v>
      </c>
      <c r="AB440" s="21" t="n">
        <v>0</v>
      </c>
      <c r="AC440" s="21" t="n">
        <v>0</v>
      </c>
      <c r="AD440" s="21" t="n">
        <v>0</v>
      </c>
      <c r="AE440" s="21" t="n">
        <v>0</v>
      </c>
      <c r="AF440" s="21" t="n">
        <v>0</v>
      </c>
      <c r="AG440" s="21" t="n">
        <v>0</v>
      </c>
      <c r="AH440" s="21">
        <f>$B$19</f>
        <v/>
      </c>
      <c r="AI440" s="21">
        <f>$B$21</f>
        <v/>
      </c>
      <c r="AJ440" s="21">
        <f>0</f>
        <v/>
      </c>
      <c r="AK440" s="21">
        <f>2*$B$20</f>
        <v/>
      </c>
      <c r="AL440" s="21">
        <f>-$B$19</f>
        <v/>
      </c>
      <c r="AM440" s="21">
        <f>$B$21</f>
        <v/>
      </c>
      <c r="AN440" s="21" t="n">
        <v>0</v>
      </c>
      <c r="AO440" s="21" t="n">
        <v>0</v>
      </c>
      <c r="AP440" s="21" t="n">
        <v>0</v>
      </c>
      <c r="AQ440" s="21" t="n">
        <v>0</v>
      </c>
      <c r="AR440" s="21" t="n">
        <v>0</v>
      </c>
      <c r="AS440" s="21" t="n">
        <v>0</v>
      </c>
      <c r="AT440" s="19" t="n"/>
    </row>
    <row r="441">
      <c r="D441" s="21" t="n">
        <v>0</v>
      </c>
      <c r="E441" s="21" t="n">
        <v>0</v>
      </c>
      <c r="F441" s="21" t="n">
        <v>0</v>
      </c>
      <c r="G441" s="21" t="n">
        <v>0</v>
      </c>
      <c r="H441" s="21" t="n">
        <v>0</v>
      </c>
      <c r="I441" s="21" t="n">
        <v>0</v>
      </c>
      <c r="J441" s="21" t="n">
        <v>0</v>
      </c>
      <c r="K441" s="21" t="n">
        <v>0</v>
      </c>
      <c r="L441" s="21" t="n">
        <v>0</v>
      </c>
      <c r="M441" s="21" t="n">
        <v>0</v>
      </c>
      <c r="N441" s="21" t="n">
        <v>0</v>
      </c>
      <c r="O441" s="21" t="n">
        <v>0</v>
      </c>
      <c r="P441" s="21" t="n">
        <v>0</v>
      </c>
      <c r="Q441" s="21" t="n">
        <v>0</v>
      </c>
      <c r="R441" s="21" t="n">
        <v>0</v>
      </c>
      <c r="S441" s="21" t="n">
        <v>0</v>
      </c>
      <c r="T441" s="21" t="n">
        <v>0</v>
      </c>
      <c r="U441" s="21" t="n">
        <v>0</v>
      </c>
      <c r="V441" s="21" t="n">
        <v>0</v>
      </c>
      <c r="W441" s="21" t="n">
        <v>0</v>
      </c>
      <c r="X441" s="21" t="n">
        <v>0</v>
      </c>
      <c r="Y441" s="21" t="n">
        <v>0</v>
      </c>
      <c r="Z441" s="21" t="n">
        <v>0</v>
      </c>
      <c r="AA441" s="21" t="n">
        <v>0</v>
      </c>
      <c r="AB441" s="21" t="n">
        <v>0</v>
      </c>
      <c r="AC441" s="21" t="n">
        <v>0</v>
      </c>
      <c r="AD441" s="21" t="n">
        <v>0</v>
      </c>
      <c r="AE441" s="21" t="n">
        <v>0</v>
      </c>
      <c r="AF441" s="21" t="n">
        <v>0</v>
      </c>
      <c r="AG441" s="21" t="n">
        <v>0</v>
      </c>
      <c r="AH441" s="21" t="n">
        <v>0</v>
      </c>
      <c r="AI441" s="21" t="n">
        <v>0</v>
      </c>
      <c r="AJ441" s="21">
        <f>-$B$18</f>
        <v/>
      </c>
      <c r="AK441" s="21">
        <f>-$B$19</f>
        <v/>
      </c>
      <c r="AL441" s="21">
        <f>2*$B$18+$D$402</f>
        <v/>
      </c>
      <c r="AM441" s="21">
        <f>0</f>
        <v/>
      </c>
      <c r="AN441" s="21">
        <f>-$B$18</f>
        <v/>
      </c>
      <c r="AO441" s="21">
        <f>$B$19</f>
        <v/>
      </c>
      <c r="AP441" s="21" t="n">
        <v>0</v>
      </c>
      <c r="AQ441" s="21" t="n">
        <v>0</v>
      </c>
      <c r="AR441" s="21" t="n">
        <v>0</v>
      </c>
      <c r="AS441" s="21" t="n">
        <v>0</v>
      </c>
      <c r="AT441" s="19" t="n"/>
    </row>
    <row r="442">
      <c r="D442" s="21" t="n">
        <v>0</v>
      </c>
      <c r="E442" s="21" t="n">
        <v>0</v>
      </c>
      <c r="F442" s="21" t="n">
        <v>0</v>
      </c>
      <c r="G442" s="21" t="n">
        <v>0</v>
      </c>
      <c r="H442" s="21" t="n">
        <v>0</v>
      </c>
      <c r="I442" s="21" t="n">
        <v>0</v>
      </c>
      <c r="J442" s="21" t="n">
        <v>0</v>
      </c>
      <c r="K442" s="21" t="n">
        <v>0</v>
      </c>
      <c r="L442" s="21" t="n">
        <v>0</v>
      </c>
      <c r="M442" s="21" t="n">
        <v>0</v>
      </c>
      <c r="N442" s="21" t="n">
        <v>0</v>
      </c>
      <c r="O442" s="21" t="n">
        <v>0</v>
      </c>
      <c r="P442" s="21" t="n">
        <v>0</v>
      </c>
      <c r="Q442" s="21" t="n">
        <v>0</v>
      </c>
      <c r="R442" s="21" t="n">
        <v>0</v>
      </c>
      <c r="S442" s="21" t="n">
        <v>0</v>
      </c>
      <c r="T442" s="21" t="n">
        <v>0</v>
      </c>
      <c r="U442" s="21" t="n">
        <v>0</v>
      </c>
      <c r="V442" s="21" t="n">
        <v>0</v>
      </c>
      <c r="W442" s="21" t="n">
        <v>0</v>
      </c>
      <c r="X442" s="21" t="n">
        <v>0</v>
      </c>
      <c r="Y442" s="21" t="n">
        <v>0</v>
      </c>
      <c r="Z442" s="21" t="n">
        <v>0</v>
      </c>
      <c r="AA442" s="21" t="n">
        <v>0</v>
      </c>
      <c r="AB442" s="21" t="n">
        <v>0</v>
      </c>
      <c r="AC442" s="21" t="n">
        <v>0</v>
      </c>
      <c r="AD442" s="21" t="n">
        <v>0</v>
      </c>
      <c r="AE442" s="21" t="n">
        <v>0</v>
      </c>
      <c r="AF442" s="21" t="n">
        <v>0</v>
      </c>
      <c r="AG442" s="21" t="n">
        <v>0</v>
      </c>
      <c r="AH442" s="21" t="n">
        <v>0</v>
      </c>
      <c r="AI442" s="21" t="n">
        <v>0</v>
      </c>
      <c r="AJ442" s="21">
        <f>$B$19</f>
        <v/>
      </c>
      <c r="AK442" s="21">
        <f>$B$21</f>
        <v/>
      </c>
      <c r="AL442" s="21">
        <f>0</f>
        <v/>
      </c>
      <c r="AM442" s="21">
        <f>2*$B$20</f>
        <v/>
      </c>
      <c r="AN442" s="21">
        <f>-$B$19</f>
        <v/>
      </c>
      <c r="AO442" s="21">
        <f>$B$21</f>
        <v/>
      </c>
      <c r="AP442" s="21" t="n">
        <v>0</v>
      </c>
      <c r="AQ442" s="21" t="n">
        <v>0</v>
      </c>
      <c r="AR442" s="21" t="n">
        <v>0</v>
      </c>
      <c r="AS442" s="21" t="n">
        <v>0</v>
      </c>
      <c r="AT442" s="19" t="n"/>
    </row>
    <row r="443">
      <c r="D443" s="21" t="n">
        <v>0</v>
      </c>
      <c r="E443" s="21" t="n">
        <v>0</v>
      </c>
      <c r="F443" s="21" t="n">
        <v>0</v>
      </c>
      <c r="G443" s="21" t="n">
        <v>0</v>
      </c>
      <c r="H443" s="21" t="n">
        <v>0</v>
      </c>
      <c r="I443" s="21" t="n">
        <v>0</v>
      </c>
      <c r="J443" s="21" t="n">
        <v>0</v>
      </c>
      <c r="K443" s="21" t="n">
        <v>0</v>
      </c>
      <c r="L443" s="21" t="n">
        <v>0</v>
      </c>
      <c r="M443" s="21" t="n">
        <v>0</v>
      </c>
      <c r="N443" s="21" t="n">
        <v>0</v>
      </c>
      <c r="O443" s="21" t="n">
        <v>0</v>
      </c>
      <c r="P443" s="21" t="n">
        <v>0</v>
      </c>
      <c r="Q443" s="21" t="n">
        <v>0</v>
      </c>
      <c r="R443" s="21" t="n">
        <v>0</v>
      </c>
      <c r="S443" s="21" t="n">
        <v>0</v>
      </c>
      <c r="T443" s="21" t="n">
        <v>0</v>
      </c>
      <c r="U443" s="21" t="n">
        <v>0</v>
      </c>
      <c r="V443" s="21" t="n">
        <v>0</v>
      </c>
      <c r="W443" s="21" t="n">
        <v>0</v>
      </c>
      <c r="X443" s="21" t="n">
        <v>0</v>
      </c>
      <c r="Y443" s="21" t="n">
        <v>0</v>
      </c>
      <c r="Z443" s="21" t="n">
        <v>0</v>
      </c>
      <c r="AA443" s="21" t="n">
        <v>0</v>
      </c>
      <c r="AB443" s="21" t="n">
        <v>0</v>
      </c>
      <c r="AC443" s="21" t="n">
        <v>0</v>
      </c>
      <c r="AD443" s="21" t="n">
        <v>0</v>
      </c>
      <c r="AE443" s="21" t="n">
        <v>0</v>
      </c>
      <c r="AF443" s="21" t="n">
        <v>0</v>
      </c>
      <c r="AG443" s="21" t="n">
        <v>0</v>
      </c>
      <c r="AH443" s="21" t="n">
        <v>0</v>
      </c>
      <c r="AI443" s="21" t="n">
        <v>0</v>
      </c>
      <c r="AJ443" s="21" t="n">
        <v>0</v>
      </c>
      <c r="AK443" s="21" t="n">
        <v>0</v>
      </c>
      <c r="AL443" s="21">
        <f>-$B$18</f>
        <v/>
      </c>
      <c r="AM443" s="21">
        <f>-$B$19</f>
        <v/>
      </c>
      <c r="AN443" s="21">
        <f>2*$B$18+$D$403</f>
        <v/>
      </c>
      <c r="AO443" s="21">
        <f>0</f>
        <v/>
      </c>
      <c r="AP443" s="21">
        <f>-$B$18</f>
        <v/>
      </c>
      <c r="AQ443" s="21">
        <f>$B$19</f>
        <v/>
      </c>
      <c r="AR443" s="21" t="n">
        <v>0</v>
      </c>
      <c r="AS443" s="21" t="n">
        <v>0</v>
      </c>
      <c r="AT443" s="19" t="n"/>
    </row>
    <row r="444">
      <c r="D444" s="21" t="n">
        <v>0</v>
      </c>
      <c r="E444" s="21" t="n">
        <v>0</v>
      </c>
      <c r="F444" s="21" t="n">
        <v>0</v>
      </c>
      <c r="G444" s="21" t="n">
        <v>0</v>
      </c>
      <c r="H444" s="21" t="n">
        <v>0</v>
      </c>
      <c r="I444" s="21" t="n">
        <v>0</v>
      </c>
      <c r="J444" s="21" t="n">
        <v>0</v>
      </c>
      <c r="K444" s="21" t="n">
        <v>0</v>
      </c>
      <c r="L444" s="21" t="n">
        <v>0</v>
      </c>
      <c r="M444" s="21" t="n">
        <v>0</v>
      </c>
      <c r="N444" s="21" t="n">
        <v>0</v>
      </c>
      <c r="O444" s="21" t="n">
        <v>0</v>
      </c>
      <c r="P444" s="21" t="n">
        <v>0</v>
      </c>
      <c r="Q444" s="21" t="n">
        <v>0</v>
      </c>
      <c r="R444" s="21" t="n">
        <v>0</v>
      </c>
      <c r="S444" s="21" t="n">
        <v>0</v>
      </c>
      <c r="T444" s="21" t="n">
        <v>0</v>
      </c>
      <c r="U444" s="21" t="n">
        <v>0</v>
      </c>
      <c r="V444" s="21" t="n">
        <v>0</v>
      </c>
      <c r="W444" s="21" t="n">
        <v>0</v>
      </c>
      <c r="X444" s="21" t="n">
        <v>0</v>
      </c>
      <c r="Y444" s="21" t="n">
        <v>0</v>
      </c>
      <c r="Z444" s="21" t="n">
        <v>0</v>
      </c>
      <c r="AA444" s="21" t="n">
        <v>0</v>
      </c>
      <c r="AB444" s="21" t="n">
        <v>0</v>
      </c>
      <c r="AC444" s="21" t="n">
        <v>0</v>
      </c>
      <c r="AD444" s="21" t="n">
        <v>0</v>
      </c>
      <c r="AE444" s="21" t="n">
        <v>0</v>
      </c>
      <c r="AF444" s="21" t="n">
        <v>0</v>
      </c>
      <c r="AG444" s="21" t="n">
        <v>0</v>
      </c>
      <c r="AH444" s="21" t="n">
        <v>0</v>
      </c>
      <c r="AI444" s="21" t="n">
        <v>0</v>
      </c>
      <c r="AJ444" s="21" t="n">
        <v>0</v>
      </c>
      <c r="AK444" s="21" t="n">
        <v>0</v>
      </c>
      <c r="AL444" s="21">
        <f>$B$19</f>
        <v/>
      </c>
      <c r="AM444" s="21">
        <f>$B$21</f>
        <v/>
      </c>
      <c r="AN444" s="21">
        <f>0</f>
        <v/>
      </c>
      <c r="AO444" s="21">
        <f>2*$B$20</f>
        <v/>
      </c>
      <c r="AP444" s="21">
        <f>-$B$19</f>
        <v/>
      </c>
      <c r="AQ444" s="21">
        <f>$B$21</f>
        <v/>
      </c>
      <c r="AR444" s="21" t="n">
        <v>0</v>
      </c>
      <c r="AS444" s="21" t="n">
        <v>0</v>
      </c>
      <c r="AT444" s="19" t="n"/>
    </row>
    <row r="445">
      <c r="D445" s="21" t="n">
        <v>0</v>
      </c>
      <c r="E445" s="21" t="n">
        <v>0</v>
      </c>
      <c r="F445" s="21" t="n">
        <v>0</v>
      </c>
      <c r="G445" s="21" t="n">
        <v>0</v>
      </c>
      <c r="H445" s="21" t="n">
        <v>0</v>
      </c>
      <c r="I445" s="21" t="n">
        <v>0</v>
      </c>
      <c r="J445" s="21" t="n">
        <v>0</v>
      </c>
      <c r="K445" s="21" t="n">
        <v>0</v>
      </c>
      <c r="L445" s="21" t="n">
        <v>0</v>
      </c>
      <c r="M445" s="21" t="n">
        <v>0</v>
      </c>
      <c r="N445" s="21" t="n">
        <v>0</v>
      </c>
      <c r="O445" s="21" t="n">
        <v>0</v>
      </c>
      <c r="P445" s="21" t="n">
        <v>0</v>
      </c>
      <c r="Q445" s="21" t="n">
        <v>0</v>
      </c>
      <c r="R445" s="21" t="n">
        <v>0</v>
      </c>
      <c r="S445" s="21" t="n">
        <v>0</v>
      </c>
      <c r="T445" s="21" t="n">
        <v>0</v>
      </c>
      <c r="U445" s="21" t="n">
        <v>0</v>
      </c>
      <c r="V445" s="21" t="n">
        <v>0</v>
      </c>
      <c r="W445" s="21" t="n">
        <v>0</v>
      </c>
      <c r="X445" s="21" t="n">
        <v>0</v>
      </c>
      <c r="Y445" s="21" t="n">
        <v>0</v>
      </c>
      <c r="Z445" s="21" t="n">
        <v>0</v>
      </c>
      <c r="AA445" s="21" t="n">
        <v>0</v>
      </c>
      <c r="AB445" s="21" t="n">
        <v>0</v>
      </c>
      <c r="AC445" s="21" t="n">
        <v>0</v>
      </c>
      <c r="AD445" s="21" t="n">
        <v>0</v>
      </c>
      <c r="AE445" s="21" t="n">
        <v>0</v>
      </c>
      <c r="AF445" s="21" t="n">
        <v>0</v>
      </c>
      <c r="AG445" s="21" t="n">
        <v>0</v>
      </c>
      <c r="AH445" s="21" t="n">
        <v>0</v>
      </c>
      <c r="AI445" s="21" t="n">
        <v>0</v>
      </c>
      <c r="AJ445" s="21" t="n">
        <v>0</v>
      </c>
      <c r="AK445" s="21" t="n">
        <v>0</v>
      </c>
      <c r="AL445" s="21" t="n">
        <v>0</v>
      </c>
      <c r="AM445" s="21" t="n">
        <v>0</v>
      </c>
      <c r="AN445" s="21">
        <f>-$B$18</f>
        <v/>
      </c>
      <c r="AO445" s="21">
        <f>-$B$19</f>
        <v/>
      </c>
      <c r="AP445" s="21">
        <f>2*$B$18+$D$404</f>
        <v/>
      </c>
      <c r="AQ445" s="21">
        <f>0</f>
        <v/>
      </c>
      <c r="AR445" s="21">
        <f>-$B$18</f>
        <v/>
      </c>
      <c r="AS445" s="21">
        <f>$B$19</f>
        <v/>
      </c>
      <c r="AT445" s="19" t="n"/>
    </row>
    <row r="446">
      <c r="D446" s="21" t="n">
        <v>0</v>
      </c>
      <c r="E446" s="21" t="n">
        <v>0</v>
      </c>
      <c r="F446" s="21" t="n">
        <v>0</v>
      </c>
      <c r="G446" s="21" t="n">
        <v>0</v>
      </c>
      <c r="H446" s="21" t="n">
        <v>0</v>
      </c>
      <c r="I446" s="21" t="n">
        <v>0</v>
      </c>
      <c r="J446" s="21" t="n">
        <v>0</v>
      </c>
      <c r="K446" s="21" t="n">
        <v>0</v>
      </c>
      <c r="L446" s="21" t="n">
        <v>0</v>
      </c>
      <c r="M446" s="21" t="n">
        <v>0</v>
      </c>
      <c r="N446" s="21" t="n">
        <v>0</v>
      </c>
      <c r="O446" s="21" t="n">
        <v>0</v>
      </c>
      <c r="P446" s="21" t="n">
        <v>0</v>
      </c>
      <c r="Q446" s="21" t="n">
        <v>0</v>
      </c>
      <c r="R446" s="21" t="n">
        <v>0</v>
      </c>
      <c r="S446" s="21" t="n">
        <v>0</v>
      </c>
      <c r="T446" s="21" t="n">
        <v>0</v>
      </c>
      <c r="U446" s="21" t="n">
        <v>0</v>
      </c>
      <c r="V446" s="21" t="n">
        <v>0</v>
      </c>
      <c r="W446" s="21" t="n">
        <v>0</v>
      </c>
      <c r="X446" s="21" t="n">
        <v>0</v>
      </c>
      <c r="Y446" s="21" t="n">
        <v>0</v>
      </c>
      <c r="Z446" s="21" t="n">
        <v>0</v>
      </c>
      <c r="AA446" s="21" t="n">
        <v>0</v>
      </c>
      <c r="AB446" s="21" t="n">
        <v>0</v>
      </c>
      <c r="AC446" s="21" t="n">
        <v>0</v>
      </c>
      <c r="AD446" s="21" t="n">
        <v>0</v>
      </c>
      <c r="AE446" s="21" t="n">
        <v>0</v>
      </c>
      <c r="AF446" s="21" t="n">
        <v>0</v>
      </c>
      <c r="AG446" s="21" t="n">
        <v>0</v>
      </c>
      <c r="AH446" s="21" t="n">
        <v>0</v>
      </c>
      <c r="AI446" s="21" t="n">
        <v>0</v>
      </c>
      <c r="AJ446" s="21" t="n">
        <v>0</v>
      </c>
      <c r="AK446" s="21" t="n">
        <v>0</v>
      </c>
      <c r="AL446" s="21" t="n">
        <v>0</v>
      </c>
      <c r="AM446" s="21" t="n">
        <v>0</v>
      </c>
      <c r="AN446" s="21">
        <f>$B$19</f>
        <v/>
      </c>
      <c r="AO446" s="21">
        <f>$B$21</f>
        <v/>
      </c>
      <c r="AP446" s="21">
        <f>0</f>
        <v/>
      </c>
      <c r="AQ446" s="21">
        <f>2*$B$20</f>
        <v/>
      </c>
      <c r="AR446" s="21">
        <f>-$B$19</f>
        <v/>
      </c>
      <c r="AS446" s="21">
        <f>$B$21</f>
        <v/>
      </c>
      <c r="AT446" s="19" t="n"/>
    </row>
    <row r="447">
      <c r="D447" s="21" t="n">
        <v>0</v>
      </c>
      <c r="E447" s="21" t="n">
        <v>0</v>
      </c>
      <c r="F447" s="21" t="n">
        <v>0</v>
      </c>
      <c r="G447" s="21" t="n">
        <v>0</v>
      </c>
      <c r="H447" s="21" t="n">
        <v>0</v>
      </c>
      <c r="I447" s="21" t="n">
        <v>0</v>
      </c>
      <c r="J447" s="21" t="n">
        <v>0</v>
      </c>
      <c r="K447" s="21" t="n">
        <v>0</v>
      </c>
      <c r="L447" s="21" t="n">
        <v>0</v>
      </c>
      <c r="M447" s="21" t="n">
        <v>0</v>
      </c>
      <c r="N447" s="21" t="n">
        <v>0</v>
      </c>
      <c r="O447" s="21" t="n">
        <v>0</v>
      </c>
      <c r="P447" s="21" t="n">
        <v>0</v>
      </c>
      <c r="Q447" s="21" t="n">
        <v>0</v>
      </c>
      <c r="R447" s="21" t="n">
        <v>0</v>
      </c>
      <c r="S447" s="21" t="n">
        <v>0</v>
      </c>
      <c r="T447" s="21" t="n">
        <v>0</v>
      </c>
      <c r="U447" s="21" t="n">
        <v>0</v>
      </c>
      <c r="V447" s="21" t="n">
        <v>0</v>
      </c>
      <c r="W447" s="21" t="n">
        <v>0</v>
      </c>
      <c r="X447" s="21" t="n">
        <v>0</v>
      </c>
      <c r="Y447" s="21" t="n">
        <v>0</v>
      </c>
      <c r="Z447" s="21" t="n">
        <v>0</v>
      </c>
      <c r="AA447" s="21" t="n">
        <v>0</v>
      </c>
      <c r="AB447" s="21" t="n">
        <v>0</v>
      </c>
      <c r="AC447" s="21" t="n">
        <v>0</v>
      </c>
      <c r="AD447" s="21" t="n">
        <v>0</v>
      </c>
      <c r="AE447" s="21" t="n">
        <v>0</v>
      </c>
      <c r="AF447" s="21" t="n">
        <v>0</v>
      </c>
      <c r="AG447" s="21" t="n">
        <v>0</v>
      </c>
      <c r="AH447" s="21" t="n">
        <v>0</v>
      </c>
      <c r="AI447" s="21" t="n">
        <v>0</v>
      </c>
      <c r="AJ447" s="21" t="n">
        <v>0</v>
      </c>
      <c r="AK447" s="21" t="n">
        <v>0</v>
      </c>
      <c r="AL447" s="21" t="n">
        <v>0</v>
      </c>
      <c r="AM447" s="21" t="n">
        <v>0</v>
      </c>
      <c r="AN447" s="21" t="n">
        <v>0</v>
      </c>
      <c r="AO447" s="21" t="n">
        <v>0</v>
      </c>
      <c r="AP447" s="21">
        <f>-$B$18</f>
        <v/>
      </c>
      <c r="AQ447" s="21">
        <f>-$B$19</f>
        <v/>
      </c>
      <c r="AR447" s="21">
        <f>$B$18+$D$405</f>
        <v/>
      </c>
      <c r="AS447" s="21">
        <f>-$B$19</f>
        <v/>
      </c>
      <c r="AT447" s="19" t="n"/>
    </row>
    <row r="448">
      <c r="D448" s="21" t="n">
        <v>0</v>
      </c>
      <c r="E448" s="21" t="n">
        <v>0</v>
      </c>
      <c r="F448" s="21" t="n">
        <v>0</v>
      </c>
      <c r="G448" s="21" t="n">
        <v>0</v>
      </c>
      <c r="H448" s="21" t="n">
        <v>0</v>
      </c>
      <c r="I448" s="21" t="n">
        <v>0</v>
      </c>
      <c r="J448" s="21" t="n">
        <v>0</v>
      </c>
      <c r="K448" s="21" t="n">
        <v>0</v>
      </c>
      <c r="L448" s="21" t="n">
        <v>0</v>
      </c>
      <c r="M448" s="21" t="n">
        <v>0</v>
      </c>
      <c r="N448" s="21" t="n">
        <v>0</v>
      </c>
      <c r="O448" s="21" t="n">
        <v>0</v>
      </c>
      <c r="P448" s="21" t="n">
        <v>0</v>
      </c>
      <c r="Q448" s="21" t="n">
        <v>0</v>
      </c>
      <c r="R448" s="21" t="n">
        <v>0</v>
      </c>
      <c r="S448" s="21" t="n">
        <v>0</v>
      </c>
      <c r="T448" s="21" t="n">
        <v>0</v>
      </c>
      <c r="U448" s="21" t="n">
        <v>0</v>
      </c>
      <c r="V448" s="21" t="n">
        <v>0</v>
      </c>
      <c r="W448" s="21" t="n">
        <v>0</v>
      </c>
      <c r="X448" s="21" t="n">
        <v>0</v>
      </c>
      <c r="Y448" s="21" t="n">
        <v>0</v>
      </c>
      <c r="Z448" s="21" t="n">
        <v>0</v>
      </c>
      <c r="AA448" s="21" t="n">
        <v>0</v>
      </c>
      <c r="AB448" s="21" t="n">
        <v>0</v>
      </c>
      <c r="AC448" s="21" t="n">
        <v>0</v>
      </c>
      <c r="AD448" s="21" t="n">
        <v>0</v>
      </c>
      <c r="AE448" s="21" t="n">
        <v>0</v>
      </c>
      <c r="AF448" s="21" t="n">
        <v>0</v>
      </c>
      <c r="AG448" s="21" t="n">
        <v>0</v>
      </c>
      <c r="AH448" s="21" t="n">
        <v>0</v>
      </c>
      <c r="AI448" s="21" t="n">
        <v>0</v>
      </c>
      <c r="AJ448" s="21" t="n">
        <v>0</v>
      </c>
      <c r="AK448" s="21" t="n">
        <v>0</v>
      </c>
      <c r="AL448" s="21" t="n">
        <v>0</v>
      </c>
      <c r="AM448" s="21" t="n">
        <v>0</v>
      </c>
      <c r="AN448" s="21" t="n">
        <v>0</v>
      </c>
      <c r="AO448" s="21" t="n">
        <v>0</v>
      </c>
      <c r="AP448" s="21">
        <f>$B$19</f>
        <v/>
      </c>
      <c r="AQ448" s="21">
        <f>$B$21</f>
        <v/>
      </c>
      <c r="AR448" s="21">
        <f>-$B$19</f>
        <v/>
      </c>
      <c r="AS448" s="21">
        <f>$B$20</f>
        <v/>
      </c>
      <c r="AT448" s="19" t="n"/>
    </row>
    <row r="450">
      <c r="A450" s="8" t="inlineStr">
        <is>
          <t>gen 6</t>
        </is>
      </c>
    </row>
    <row r="451">
      <c r="D451" s="19">
        <f>IF(ABS(IF(ABS($E$385)&gt;0.000000001,$E$385,0.000000001))=0,0,IF($E$33&lt;=$B$27,0,IF(ABS(IF(ABS($E$385)&gt;0.000000001,$E$385,0.000000001))&gt;=8*$B$29,$H$33,0.5*$H$33*(ABS(IF(ABS($E$385)&gt;0.000000001,$E$385,0.000000001))/$B$29)^(1/3)))/ABS(IF(ABS($E$385)&gt;0.000000001,$E$385,0.000000001))*$I$33)</f>
        <v/>
      </c>
      <c r="E451" s="19">
        <f>0.5*$E$385+0.5*$AT$473</f>
        <v/>
      </c>
      <c r="F451" s="19">
        <f>$AT$474</f>
        <v/>
      </c>
    </row>
    <row r="452">
      <c r="D452" s="19">
        <f>IF(ABS(IF(ABS($E$386)&gt;0.000000001,$E$386,0.000000001))=0,0,IF($E$34&lt;=$B$27,0,IF(ABS(IF(ABS($E$386)&gt;0.000000001,$E$386,0.000000001))&gt;=8*$B$29,$H$34,0.5*$H$34*(ABS(IF(ABS($E$386)&gt;0.000000001,$E$386,0.000000001))/$B$29)^(1/3)))/ABS(IF(ABS($E$386)&gt;0.000000001,$E$386,0.000000001))*$I$34)</f>
        <v/>
      </c>
      <c r="E452" s="19">
        <f>0.5*$E$386+0.5*$AT$475</f>
        <v/>
      </c>
      <c r="F452" s="19">
        <f>$AT$476</f>
        <v/>
      </c>
    </row>
    <row r="453">
      <c r="D453" s="19">
        <f>IF(ABS(IF(ABS($E$387)&gt;0.000000001,$E$387,0.000000001))=0,0,IF($E$35&lt;=$B$27,0,IF(ABS(IF(ABS($E$387)&gt;0.000000001,$E$387,0.000000001))&gt;=8*$B$29,$H$35,0.5*$H$35*(ABS(IF(ABS($E$387)&gt;0.000000001,$E$387,0.000000001))/$B$29)^(1/3)))/ABS(IF(ABS($E$387)&gt;0.000000001,$E$387,0.000000001))*$I$35)</f>
        <v/>
      </c>
      <c r="E453" s="19">
        <f>0.5*$E$387+0.5*$AT$477</f>
        <v/>
      </c>
      <c r="F453" s="19">
        <f>$AT$478</f>
        <v/>
      </c>
    </row>
    <row r="454">
      <c r="D454" s="19">
        <f>IF(ABS(IF(ABS($E$388)&gt;0.000000001,$E$388,0.000000001))=0,0,IF($E$36&lt;=$B$27,0,IF(ABS(IF(ABS($E$388)&gt;0.000000001,$E$388,0.000000001))&gt;=8*$B$29,$H$36,0.5*$H$36*(ABS(IF(ABS($E$388)&gt;0.000000001,$E$388,0.000000001))/$B$29)^(1/3)))/ABS(IF(ABS($E$388)&gt;0.000000001,$E$388,0.000000001))*$I$36)</f>
        <v/>
      </c>
      <c r="E454" s="19">
        <f>0.5*$E$388+0.5*$AT$479</f>
        <v/>
      </c>
      <c r="F454" s="19">
        <f>$AT$480</f>
        <v/>
      </c>
    </row>
    <row r="455">
      <c r="D455" s="19">
        <f>IF(ABS(IF(ABS($E$389)&gt;0.000000001,$E$389,0.000000001))=0,0,IF($E$37&lt;=$B$27,0,IF(ABS(IF(ABS($E$389)&gt;0.000000001,$E$389,0.000000001))&gt;=8*$B$29,$H$37,0.5*$H$37*(ABS(IF(ABS($E$389)&gt;0.000000001,$E$389,0.000000001))/$B$29)^(1/3)))/ABS(IF(ABS($E$389)&gt;0.000000001,$E$389,0.000000001))*$I$37)</f>
        <v/>
      </c>
      <c r="E455" s="19">
        <f>0.5*$E$389+0.5*$AT$481</f>
        <v/>
      </c>
      <c r="F455" s="19">
        <f>$AT$482</f>
        <v/>
      </c>
    </row>
    <row r="456">
      <c r="D456" s="19">
        <f>IF(ABS(IF(ABS($E$390)&gt;0.000000001,$E$390,0.000000001))=0,0,IF($E$38&lt;=$B$27,0,IF(ABS(IF(ABS($E$390)&gt;0.000000001,$E$390,0.000000001))&gt;=8*$B$29,$H$38,0.5*$H$38*(ABS(IF(ABS($E$390)&gt;0.000000001,$E$390,0.000000001))/$B$29)^(1/3)))/ABS(IF(ABS($E$390)&gt;0.000000001,$E$390,0.000000001))*$I$38)</f>
        <v/>
      </c>
      <c r="E456" s="19">
        <f>0.5*$E$390+0.5*$AT$483</f>
        <v/>
      </c>
      <c r="F456" s="19">
        <f>$AT$484</f>
        <v/>
      </c>
    </row>
    <row r="457">
      <c r="D457" s="19">
        <f>IF(ABS(IF(ABS($E$391)&gt;0.000000001,$E$391,0.000000001))=0,0,IF($E$39&lt;=$B$27,0,IF(ABS(IF(ABS($E$391)&gt;0.000000001,$E$391,0.000000001))&gt;=8*$B$29,$H$39,0.5*$H$39*(ABS(IF(ABS($E$391)&gt;0.000000001,$E$391,0.000000001))/$B$29)^(1/3)))/ABS(IF(ABS($E$391)&gt;0.000000001,$E$391,0.000000001))*$I$39)</f>
        <v/>
      </c>
      <c r="E457" s="19">
        <f>0.5*$E$391+0.5*$AT$485</f>
        <v/>
      </c>
      <c r="F457" s="19">
        <f>$AT$486</f>
        <v/>
      </c>
    </row>
    <row r="458">
      <c r="D458" s="19">
        <f>IF(ABS(IF(ABS($E$392)&gt;0.000000001,$E$392,0.000000001))=0,0,IF($E$40&lt;=$B$27,0,IF(ABS(IF(ABS($E$392)&gt;0.000000001,$E$392,0.000000001))&gt;=8*$B$29,$H$40,0.5*$H$40*(ABS(IF(ABS($E$392)&gt;0.000000001,$E$392,0.000000001))/$B$29)^(1/3)))/ABS(IF(ABS($E$392)&gt;0.000000001,$E$392,0.000000001))*$I$40)</f>
        <v/>
      </c>
      <c r="E458" s="19">
        <f>0.5*$E$392+0.5*$AT$487</f>
        <v/>
      </c>
      <c r="F458" s="19">
        <f>$AT$488</f>
        <v/>
      </c>
    </row>
    <row r="459">
      <c r="D459" s="19">
        <f>IF(ABS(IF(ABS($E$393)&gt;0.000000001,$E$393,0.000000001))=0,0,IF($E$41&lt;=$B$27,0,IF(ABS(IF(ABS($E$393)&gt;0.000000001,$E$393,0.000000001))&gt;=8*$B$29,$H$41,0.5*$H$41*(ABS(IF(ABS($E$393)&gt;0.000000001,$E$393,0.000000001))/$B$29)^(1/3)))/ABS(IF(ABS($E$393)&gt;0.000000001,$E$393,0.000000001))*$I$41)</f>
        <v/>
      </c>
      <c r="E459" s="19">
        <f>0.5*$E$393+0.5*$AT$489</f>
        <v/>
      </c>
      <c r="F459" s="19">
        <f>$AT$490</f>
        <v/>
      </c>
    </row>
    <row r="460">
      <c r="D460" s="19">
        <f>IF(ABS(IF(ABS($E$394)&gt;0.000000001,$E$394,0.000000001))=0,0,IF($E$42&lt;=$B$27,0,IF(ABS(IF(ABS($E$394)&gt;0.000000001,$E$394,0.000000001))&gt;=8*$B$29,$H$42,0.5*$H$42*(ABS(IF(ABS($E$394)&gt;0.000000001,$E$394,0.000000001))/$B$29)^(1/3)))/ABS(IF(ABS($E$394)&gt;0.000000001,$E$394,0.000000001))*$I$42)</f>
        <v/>
      </c>
      <c r="E460" s="19">
        <f>0.5*$E$394+0.5*$AT$491</f>
        <v/>
      </c>
      <c r="F460" s="19">
        <f>$AT$492</f>
        <v/>
      </c>
    </row>
    <row r="461">
      <c r="D461" s="19">
        <f>IF(ABS(IF(ABS($E$395)&gt;0.000000001,$E$395,0.000000001))=0,0,IF($E$43&lt;=$B$27,0,IF(ABS(IF(ABS($E$395)&gt;0.000000001,$E$395,0.000000001))&gt;=8*$B$29,$H$43,0.5*$H$43*(ABS(IF(ABS($E$395)&gt;0.000000001,$E$395,0.000000001))/$B$29)^(1/3)))/ABS(IF(ABS($E$395)&gt;0.000000001,$E$395,0.000000001))*$I$43)</f>
        <v/>
      </c>
      <c r="E461" s="19">
        <f>0.5*$E$395+0.5*$AT$493</f>
        <v/>
      </c>
      <c r="F461" s="19">
        <f>$AT$494</f>
        <v/>
      </c>
    </row>
    <row r="462">
      <c r="D462" s="19">
        <f>IF(ABS(IF(ABS($E$396)&gt;0.000000001,$E$396,0.000000001))=0,0,IF($E$44&lt;=$B$27,0,IF(ABS(IF(ABS($E$396)&gt;0.000000001,$E$396,0.000000001))&gt;=8*$B$29,$H$44,0.5*$H$44*(ABS(IF(ABS($E$396)&gt;0.000000001,$E$396,0.000000001))/$B$29)^(1/3)))/ABS(IF(ABS($E$396)&gt;0.000000001,$E$396,0.000000001))*$I$44)</f>
        <v/>
      </c>
      <c r="E462" s="19">
        <f>0.5*$E$396+0.5*$AT$495</f>
        <v/>
      </c>
      <c r="F462" s="19">
        <f>$AT$496</f>
        <v/>
      </c>
    </row>
    <row r="463">
      <c r="D463" s="19">
        <f>IF(ABS(IF(ABS($E$397)&gt;0.000000001,$E$397,0.000000001))=0,0,IF($E$45&lt;=$B$27,0,IF(ABS(IF(ABS($E$397)&gt;0.000000001,$E$397,0.000000001))&gt;=8*$B$29,$H$45,0.5*$H$45*(ABS(IF(ABS($E$397)&gt;0.000000001,$E$397,0.000000001))/$B$29)^(1/3)))/ABS(IF(ABS($E$397)&gt;0.000000001,$E$397,0.000000001))*$I$45)</f>
        <v/>
      </c>
      <c r="E463" s="19">
        <f>0.5*$E$397+0.5*$AT$497</f>
        <v/>
      </c>
      <c r="F463" s="19">
        <f>$AT$498</f>
        <v/>
      </c>
    </row>
    <row r="464">
      <c r="D464" s="19">
        <f>IF(ABS(IF(ABS($E$398)&gt;0.000000001,$E$398,0.000000001))=0,0,IF($E$46&lt;=$B$27,0,IF(ABS(IF(ABS($E$398)&gt;0.000000001,$E$398,0.000000001))&gt;=8*$B$29,$H$46,0.5*$H$46*(ABS(IF(ABS($E$398)&gt;0.000000001,$E$398,0.000000001))/$B$29)^(1/3)))/ABS(IF(ABS($E$398)&gt;0.000000001,$E$398,0.000000001))*$I$46)</f>
        <v/>
      </c>
      <c r="E464" s="19">
        <f>0.5*$E$398+0.5*$AT$499</f>
        <v/>
      </c>
      <c r="F464" s="19">
        <f>$AT$500</f>
        <v/>
      </c>
    </row>
    <row r="465">
      <c r="D465" s="19">
        <f>IF(ABS(IF(ABS($E$399)&gt;0.000000001,$E$399,0.000000001))=0,0,IF($E$47&lt;=$B$27,0,IF(ABS(IF(ABS($E$399)&gt;0.000000001,$E$399,0.000000001))&gt;=8*$B$29,$H$47,0.5*$H$47*(ABS(IF(ABS($E$399)&gt;0.000000001,$E$399,0.000000001))/$B$29)^(1/3)))/ABS(IF(ABS($E$399)&gt;0.000000001,$E$399,0.000000001))*$I$47)</f>
        <v/>
      </c>
      <c r="E465" s="19">
        <f>0.5*$E$399+0.5*$AT$501</f>
        <v/>
      </c>
      <c r="F465" s="19">
        <f>$AT$502</f>
        <v/>
      </c>
    </row>
    <row r="466">
      <c r="D466" s="19">
        <f>IF(ABS(IF(ABS($E$400)&gt;0.000000001,$E$400,0.000000001))=0,0,IF($E$48&lt;=$B$27,0,IF(ABS(IF(ABS($E$400)&gt;0.000000001,$E$400,0.000000001))&gt;=8*$B$29,$H$48,0.5*$H$48*(ABS(IF(ABS($E$400)&gt;0.000000001,$E$400,0.000000001))/$B$29)^(1/3)))/ABS(IF(ABS($E$400)&gt;0.000000001,$E$400,0.000000001))*$I$48)</f>
        <v/>
      </c>
      <c r="E466" s="19">
        <f>0.5*$E$400+0.5*$AT$503</f>
        <v/>
      </c>
      <c r="F466" s="19">
        <f>$AT$504</f>
        <v/>
      </c>
    </row>
    <row r="467">
      <c r="D467" s="19">
        <f>IF(ABS(IF(ABS($E$401)&gt;0.000000001,$E$401,0.000000001))=0,0,IF($E$49&lt;=$B$27,0,IF(ABS(IF(ABS($E$401)&gt;0.000000001,$E$401,0.000000001))&gt;=8*$B$29,$H$49,0.5*$H$49*(ABS(IF(ABS($E$401)&gt;0.000000001,$E$401,0.000000001))/$B$29)^(1/3)))/ABS(IF(ABS($E$401)&gt;0.000000001,$E$401,0.000000001))*$I$49)</f>
        <v/>
      </c>
      <c r="E467" s="19">
        <f>0.5*$E$401+0.5*$AT$505</f>
        <v/>
      </c>
      <c r="F467" s="19">
        <f>$AT$506</f>
        <v/>
      </c>
    </row>
    <row r="468">
      <c r="D468" s="19">
        <f>IF(ABS(IF(ABS($E$402)&gt;0.000000001,$E$402,0.000000001))=0,0,IF($E$50&lt;=$B$27,0,IF(ABS(IF(ABS($E$402)&gt;0.000000001,$E$402,0.000000001))&gt;=8*$B$29,$H$50,0.5*$H$50*(ABS(IF(ABS($E$402)&gt;0.000000001,$E$402,0.000000001))/$B$29)^(1/3)))/ABS(IF(ABS($E$402)&gt;0.000000001,$E$402,0.000000001))*$I$50)</f>
        <v/>
      </c>
      <c r="E468" s="19">
        <f>0.5*$E$402+0.5*$AT$507</f>
        <v/>
      </c>
      <c r="F468" s="19">
        <f>$AT$508</f>
        <v/>
      </c>
    </row>
    <row r="469">
      <c r="D469" s="19">
        <f>IF(ABS(IF(ABS($E$403)&gt;0.000000001,$E$403,0.000000001))=0,0,IF($E$51&lt;=$B$27,0,IF(ABS(IF(ABS($E$403)&gt;0.000000001,$E$403,0.000000001))&gt;=8*$B$29,$H$51,0.5*$H$51*(ABS(IF(ABS($E$403)&gt;0.000000001,$E$403,0.000000001))/$B$29)^(1/3)))/ABS(IF(ABS($E$403)&gt;0.000000001,$E$403,0.000000001))*$I$51)</f>
        <v/>
      </c>
      <c r="E469" s="19">
        <f>0.5*$E$403+0.5*$AT$509</f>
        <v/>
      </c>
      <c r="F469" s="19">
        <f>$AT$510</f>
        <v/>
      </c>
    </row>
    <row r="470">
      <c r="D470" s="19">
        <f>IF(ABS(IF(ABS($E$404)&gt;0.000000001,$E$404,0.000000001))=0,0,IF($E$52&lt;=$B$27,0,IF(ABS(IF(ABS($E$404)&gt;0.000000001,$E$404,0.000000001))&gt;=8*$B$29,$H$52,0.5*$H$52*(ABS(IF(ABS($E$404)&gt;0.000000001,$E$404,0.000000001))/$B$29)^(1/3)))/ABS(IF(ABS($E$404)&gt;0.000000001,$E$404,0.000000001))*$I$52)</f>
        <v/>
      </c>
      <c r="E470" s="19">
        <f>0.5*$E$404+0.5*$AT$511</f>
        <v/>
      </c>
      <c r="F470" s="19">
        <f>$AT$512</f>
        <v/>
      </c>
    </row>
    <row r="471">
      <c r="D471" s="19">
        <f>IF(ABS(IF(ABS($E$405)&gt;0.000000001,$E$405,0.000000001))=0,0,IF($E$53&lt;=$B$27,0,IF(ABS(IF(ABS($E$405)&gt;0.000000001,$E$405,0.000000001))&gt;=8*$B$29,$H$53,0.5*$H$53*(ABS(IF(ABS($E$405)&gt;0.000000001,$E$405,0.000000001))/$B$29)^(1/3)))/ABS(IF(ABS($E$405)&gt;0.000000001,$E$405,0.000000001))*$I$53)</f>
        <v/>
      </c>
      <c r="E471" s="19">
        <f>0.5*$E$405+0.5*$AT$513</f>
        <v/>
      </c>
      <c r="F471" s="19">
        <f>$AT$514</f>
        <v/>
      </c>
    </row>
    <row r="473">
      <c r="D473" s="21">
        <f>$B$18+$D$451</f>
        <v/>
      </c>
      <c r="E473" s="21">
        <f>$B$19</f>
        <v/>
      </c>
      <c r="F473" s="21">
        <f>-$B$18</f>
        <v/>
      </c>
      <c r="G473" s="21">
        <f>$B$19</f>
        <v/>
      </c>
      <c r="H473" s="21" t="n">
        <v>0</v>
      </c>
      <c r="I473" s="21" t="n">
        <v>0</v>
      </c>
      <c r="J473" s="21" t="n">
        <v>0</v>
      </c>
      <c r="K473" s="21" t="n">
        <v>0</v>
      </c>
      <c r="L473" s="21" t="n">
        <v>0</v>
      </c>
      <c r="M473" s="21" t="n">
        <v>0</v>
      </c>
      <c r="N473" s="21" t="n">
        <v>0</v>
      </c>
      <c r="O473" s="21" t="n">
        <v>0</v>
      </c>
      <c r="P473" s="21" t="n">
        <v>0</v>
      </c>
      <c r="Q473" s="21" t="n">
        <v>0</v>
      </c>
      <c r="R473" s="21" t="n">
        <v>0</v>
      </c>
      <c r="S473" s="21" t="n">
        <v>0</v>
      </c>
      <c r="T473" s="21" t="n">
        <v>0</v>
      </c>
      <c r="U473" s="21" t="n">
        <v>0</v>
      </c>
      <c r="V473" s="21" t="n">
        <v>0</v>
      </c>
      <c r="W473" s="21" t="n">
        <v>0</v>
      </c>
      <c r="X473" s="21" t="n">
        <v>0</v>
      </c>
      <c r="Y473" s="21" t="n">
        <v>0</v>
      </c>
      <c r="Z473" s="21" t="n">
        <v>0</v>
      </c>
      <c r="AA473" s="21" t="n">
        <v>0</v>
      </c>
      <c r="AB473" s="21" t="n">
        <v>0</v>
      </c>
      <c r="AC473" s="21" t="n">
        <v>0</v>
      </c>
      <c r="AD473" s="21" t="n">
        <v>0</v>
      </c>
      <c r="AE473" s="21" t="n">
        <v>0</v>
      </c>
      <c r="AF473" s="21" t="n">
        <v>0</v>
      </c>
      <c r="AG473" s="21" t="n">
        <v>0</v>
      </c>
      <c r="AH473" s="21" t="n">
        <v>0</v>
      </c>
      <c r="AI473" s="21" t="n">
        <v>0</v>
      </c>
      <c r="AJ473" s="21" t="n">
        <v>0</v>
      </c>
      <c r="AK473" s="21" t="n">
        <v>0</v>
      </c>
      <c r="AL473" s="21" t="n">
        <v>0</v>
      </c>
      <c r="AM473" s="21" t="n">
        <v>0</v>
      </c>
      <c r="AN473" s="21" t="n">
        <v>0</v>
      </c>
      <c r="AO473" s="21" t="n">
        <v>0</v>
      </c>
      <c r="AP473" s="21" t="n">
        <v>0</v>
      </c>
      <c r="AQ473" s="21" t="n">
        <v>0</v>
      </c>
      <c r="AR473" s="21" t="n">
        <v>0</v>
      </c>
      <c r="AS473" s="21" t="n">
        <v>0</v>
      </c>
      <c r="AT473" s="19">
        <f t="array" ref="AT473:AT514">MMULT(MINVERSE($D$473:$AS$514),$D$55:$D$96)</f>
        <v/>
      </c>
    </row>
    <row r="474">
      <c r="D474" s="21">
        <f>$B$19</f>
        <v/>
      </c>
      <c r="E474" s="21">
        <f>$B$20</f>
        <v/>
      </c>
      <c r="F474" s="21">
        <f>-$B$19</f>
        <v/>
      </c>
      <c r="G474" s="21">
        <f>$B$21</f>
        <v/>
      </c>
      <c r="H474" s="21" t="n">
        <v>0</v>
      </c>
      <c r="I474" s="21" t="n">
        <v>0</v>
      </c>
      <c r="J474" s="21" t="n">
        <v>0</v>
      </c>
      <c r="K474" s="21" t="n">
        <v>0</v>
      </c>
      <c r="L474" s="21" t="n">
        <v>0</v>
      </c>
      <c r="M474" s="21" t="n">
        <v>0</v>
      </c>
      <c r="N474" s="21" t="n">
        <v>0</v>
      </c>
      <c r="O474" s="21" t="n">
        <v>0</v>
      </c>
      <c r="P474" s="21" t="n">
        <v>0</v>
      </c>
      <c r="Q474" s="21" t="n">
        <v>0</v>
      </c>
      <c r="R474" s="21" t="n">
        <v>0</v>
      </c>
      <c r="S474" s="21" t="n">
        <v>0</v>
      </c>
      <c r="T474" s="21" t="n">
        <v>0</v>
      </c>
      <c r="U474" s="21" t="n">
        <v>0</v>
      </c>
      <c r="V474" s="21" t="n">
        <v>0</v>
      </c>
      <c r="W474" s="21" t="n">
        <v>0</v>
      </c>
      <c r="X474" s="21" t="n">
        <v>0</v>
      </c>
      <c r="Y474" s="21" t="n">
        <v>0</v>
      </c>
      <c r="Z474" s="21" t="n">
        <v>0</v>
      </c>
      <c r="AA474" s="21" t="n">
        <v>0</v>
      </c>
      <c r="AB474" s="21" t="n">
        <v>0</v>
      </c>
      <c r="AC474" s="21" t="n">
        <v>0</v>
      </c>
      <c r="AD474" s="21" t="n">
        <v>0</v>
      </c>
      <c r="AE474" s="21" t="n">
        <v>0</v>
      </c>
      <c r="AF474" s="21" t="n">
        <v>0</v>
      </c>
      <c r="AG474" s="21" t="n">
        <v>0</v>
      </c>
      <c r="AH474" s="21" t="n">
        <v>0</v>
      </c>
      <c r="AI474" s="21" t="n">
        <v>0</v>
      </c>
      <c r="AJ474" s="21" t="n">
        <v>0</v>
      </c>
      <c r="AK474" s="21" t="n">
        <v>0</v>
      </c>
      <c r="AL474" s="21" t="n">
        <v>0</v>
      </c>
      <c r="AM474" s="21" t="n">
        <v>0</v>
      </c>
      <c r="AN474" s="21" t="n">
        <v>0</v>
      </c>
      <c r="AO474" s="21" t="n">
        <v>0</v>
      </c>
      <c r="AP474" s="21" t="n">
        <v>0</v>
      </c>
      <c r="AQ474" s="21" t="n">
        <v>0</v>
      </c>
      <c r="AR474" s="21" t="n">
        <v>0</v>
      </c>
      <c r="AS474" s="21" t="n">
        <v>0</v>
      </c>
      <c r="AT474" s="19" t="n"/>
    </row>
    <row r="475">
      <c r="D475" s="21">
        <f>-$B$18</f>
        <v/>
      </c>
      <c r="E475" s="21">
        <f>-$B$19</f>
        <v/>
      </c>
      <c r="F475" s="21">
        <f>2*$B$18+$D$452</f>
        <v/>
      </c>
      <c r="G475" s="21">
        <f>0</f>
        <v/>
      </c>
      <c r="H475" s="21">
        <f>-$B$18</f>
        <v/>
      </c>
      <c r="I475" s="21">
        <f>$B$19</f>
        <v/>
      </c>
      <c r="J475" s="21" t="n">
        <v>0</v>
      </c>
      <c r="K475" s="21" t="n">
        <v>0</v>
      </c>
      <c r="L475" s="21" t="n">
        <v>0</v>
      </c>
      <c r="M475" s="21" t="n">
        <v>0</v>
      </c>
      <c r="N475" s="21" t="n">
        <v>0</v>
      </c>
      <c r="O475" s="21" t="n">
        <v>0</v>
      </c>
      <c r="P475" s="21" t="n">
        <v>0</v>
      </c>
      <c r="Q475" s="21" t="n">
        <v>0</v>
      </c>
      <c r="R475" s="21" t="n">
        <v>0</v>
      </c>
      <c r="S475" s="21" t="n">
        <v>0</v>
      </c>
      <c r="T475" s="21" t="n">
        <v>0</v>
      </c>
      <c r="U475" s="21" t="n">
        <v>0</v>
      </c>
      <c r="V475" s="21" t="n">
        <v>0</v>
      </c>
      <c r="W475" s="21" t="n">
        <v>0</v>
      </c>
      <c r="X475" s="21" t="n">
        <v>0</v>
      </c>
      <c r="Y475" s="21" t="n">
        <v>0</v>
      </c>
      <c r="Z475" s="21" t="n">
        <v>0</v>
      </c>
      <c r="AA475" s="21" t="n">
        <v>0</v>
      </c>
      <c r="AB475" s="21" t="n">
        <v>0</v>
      </c>
      <c r="AC475" s="21" t="n">
        <v>0</v>
      </c>
      <c r="AD475" s="21" t="n">
        <v>0</v>
      </c>
      <c r="AE475" s="21" t="n">
        <v>0</v>
      </c>
      <c r="AF475" s="21" t="n">
        <v>0</v>
      </c>
      <c r="AG475" s="21" t="n">
        <v>0</v>
      </c>
      <c r="AH475" s="21" t="n">
        <v>0</v>
      </c>
      <c r="AI475" s="21" t="n">
        <v>0</v>
      </c>
      <c r="AJ475" s="21" t="n">
        <v>0</v>
      </c>
      <c r="AK475" s="21" t="n">
        <v>0</v>
      </c>
      <c r="AL475" s="21" t="n">
        <v>0</v>
      </c>
      <c r="AM475" s="21" t="n">
        <v>0</v>
      </c>
      <c r="AN475" s="21" t="n">
        <v>0</v>
      </c>
      <c r="AO475" s="21" t="n">
        <v>0</v>
      </c>
      <c r="AP475" s="21" t="n">
        <v>0</v>
      </c>
      <c r="AQ475" s="21" t="n">
        <v>0</v>
      </c>
      <c r="AR475" s="21" t="n">
        <v>0</v>
      </c>
      <c r="AS475" s="21" t="n">
        <v>0</v>
      </c>
      <c r="AT475" s="19" t="n"/>
    </row>
    <row r="476">
      <c r="D476" s="21">
        <f>$B$19</f>
        <v/>
      </c>
      <c r="E476" s="21">
        <f>$B$21</f>
        <v/>
      </c>
      <c r="F476" s="21">
        <f>0</f>
        <v/>
      </c>
      <c r="G476" s="21">
        <f>2*$B$20</f>
        <v/>
      </c>
      <c r="H476" s="21">
        <f>-$B$19</f>
        <v/>
      </c>
      <c r="I476" s="21">
        <f>$B$21</f>
        <v/>
      </c>
      <c r="J476" s="21" t="n">
        <v>0</v>
      </c>
      <c r="K476" s="21" t="n">
        <v>0</v>
      </c>
      <c r="L476" s="21" t="n">
        <v>0</v>
      </c>
      <c r="M476" s="21" t="n">
        <v>0</v>
      </c>
      <c r="N476" s="21" t="n">
        <v>0</v>
      </c>
      <c r="O476" s="21" t="n">
        <v>0</v>
      </c>
      <c r="P476" s="21" t="n">
        <v>0</v>
      </c>
      <c r="Q476" s="21" t="n">
        <v>0</v>
      </c>
      <c r="R476" s="21" t="n">
        <v>0</v>
      </c>
      <c r="S476" s="21" t="n">
        <v>0</v>
      </c>
      <c r="T476" s="21" t="n">
        <v>0</v>
      </c>
      <c r="U476" s="21" t="n">
        <v>0</v>
      </c>
      <c r="V476" s="21" t="n">
        <v>0</v>
      </c>
      <c r="W476" s="21" t="n">
        <v>0</v>
      </c>
      <c r="X476" s="21" t="n">
        <v>0</v>
      </c>
      <c r="Y476" s="21" t="n">
        <v>0</v>
      </c>
      <c r="Z476" s="21" t="n">
        <v>0</v>
      </c>
      <c r="AA476" s="21" t="n">
        <v>0</v>
      </c>
      <c r="AB476" s="21" t="n">
        <v>0</v>
      </c>
      <c r="AC476" s="21" t="n">
        <v>0</v>
      </c>
      <c r="AD476" s="21" t="n">
        <v>0</v>
      </c>
      <c r="AE476" s="21" t="n">
        <v>0</v>
      </c>
      <c r="AF476" s="21" t="n">
        <v>0</v>
      </c>
      <c r="AG476" s="21" t="n">
        <v>0</v>
      </c>
      <c r="AH476" s="21" t="n">
        <v>0</v>
      </c>
      <c r="AI476" s="21" t="n">
        <v>0</v>
      </c>
      <c r="AJ476" s="21" t="n">
        <v>0</v>
      </c>
      <c r="AK476" s="21" t="n">
        <v>0</v>
      </c>
      <c r="AL476" s="21" t="n">
        <v>0</v>
      </c>
      <c r="AM476" s="21" t="n">
        <v>0</v>
      </c>
      <c r="AN476" s="21" t="n">
        <v>0</v>
      </c>
      <c r="AO476" s="21" t="n">
        <v>0</v>
      </c>
      <c r="AP476" s="21" t="n">
        <v>0</v>
      </c>
      <c r="AQ476" s="21" t="n">
        <v>0</v>
      </c>
      <c r="AR476" s="21" t="n">
        <v>0</v>
      </c>
      <c r="AS476" s="21" t="n">
        <v>0</v>
      </c>
      <c r="AT476" s="19" t="n"/>
    </row>
    <row r="477">
      <c r="D477" s="21" t="n">
        <v>0</v>
      </c>
      <c r="E477" s="21" t="n">
        <v>0</v>
      </c>
      <c r="F477" s="21">
        <f>-$B$18</f>
        <v/>
      </c>
      <c r="G477" s="21">
        <f>-$B$19</f>
        <v/>
      </c>
      <c r="H477" s="21">
        <f>2*$B$18+$D$453</f>
        <v/>
      </c>
      <c r="I477" s="21">
        <f>0</f>
        <v/>
      </c>
      <c r="J477" s="21">
        <f>-$B$18</f>
        <v/>
      </c>
      <c r="K477" s="21">
        <f>$B$19</f>
        <v/>
      </c>
      <c r="L477" s="21" t="n">
        <v>0</v>
      </c>
      <c r="M477" s="21" t="n">
        <v>0</v>
      </c>
      <c r="N477" s="21" t="n">
        <v>0</v>
      </c>
      <c r="O477" s="21" t="n">
        <v>0</v>
      </c>
      <c r="P477" s="21" t="n">
        <v>0</v>
      </c>
      <c r="Q477" s="21" t="n">
        <v>0</v>
      </c>
      <c r="R477" s="21" t="n">
        <v>0</v>
      </c>
      <c r="S477" s="21" t="n">
        <v>0</v>
      </c>
      <c r="T477" s="21" t="n">
        <v>0</v>
      </c>
      <c r="U477" s="21" t="n">
        <v>0</v>
      </c>
      <c r="V477" s="21" t="n">
        <v>0</v>
      </c>
      <c r="W477" s="21" t="n">
        <v>0</v>
      </c>
      <c r="X477" s="21" t="n">
        <v>0</v>
      </c>
      <c r="Y477" s="21" t="n">
        <v>0</v>
      </c>
      <c r="Z477" s="21" t="n">
        <v>0</v>
      </c>
      <c r="AA477" s="21" t="n">
        <v>0</v>
      </c>
      <c r="AB477" s="21" t="n">
        <v>0</v>
      </c>
      <c r="AC477" s="21" t="n">
        <v>0</v>
      </c>
      <c r="AD477" s="21" t="n">
        <v>0</v>
      </c>
      <c r="AE477" s="21" t="n">
        <v>0</v>
      </c>
      <c r="AF477" s="21" t="n">
        <v>0</v>
      </c>
      <c r="AG477" s="21" t="n">
        <v>0</v>
      </c>
      <c r="AH477" s="21" t="n">
        <v>0</v>
      </c>
      <c r="AI477" s="21" t="n">
        <v>0</v>
      </c>
      <c r="AJ477" s="21" t="n">
        <v>0</v>
      </c>
      <c r="AK477" s="21" t="n">
        <v>0</v>
      </c>
      <c r="AL477" s="21" t="n">
        <v>0</v>
      </c>
      <c r="AM477" s="21" t="n">
        <v>0</v>
      </c>
      <c r="AN477" s="21" t="n">
        <v>0</v>
      </c>
      <c r="AO477" s="21" t="n">
        <v>0</v>
      </c>
      <c r="AP477" s="21" t="n">
        <v>0</v>
      </c>
      <c r="AQ477" s="21" t="n">
        <v>0</v>
      </c>
      <c r="AR477" s="21" t="n">
        <v>0</v>
      </c>
      <c r="AS477" s="21" t="n">
        <v>0</v>
      </c>
      <c r="AT477" s="19" t="n"/>
    </row>
    <row r="478">
      <c r="D478" s="21" t="n">
        <v>0</v>
      </c>
      <c r="E478" s="21" t="n">
        <v>0</v>
      </c>
      <c r="F478" s="21">
        <f>$B$19</f>
        <v/>
      </c>
      <c r="G478" s="21">
        <f>$B$21</f>
        <v/>
      </c>
      <c r="H478" s="21">
        <f>0</f>
        <v/>
      </c>
      <c r="I478" s="21">
        <f>2*$B$20</f>
        <v/>
      </c>
      <c r="J478" s="21">
        <f>-$B$19</f>
        <v/>
      </c>
      <c r="K478" s="21">
        <f>$B$21</f>
        <v/>
      </c>
      <c r="L478" s="21" t="n">
        <v>0</v>
      </c>
      <c r="M478" s="21" t="n">
        <v>0</v>
      </c>
      <c r="N478" s="21" t="n">
        <v>0</v>
      </c>
      <c r="O478" s="21" t="n">
        <v>0</v>
      </c>
      <c r="P478" s="21" t="n">
        <v>0</v>
      </c>
      <c r="Q478" s="21" t="n">
        <v>0</v>
      </c>
      <c r="R478" s="21" t="n">
        <v>0</v>
      </c>
      <c r="S478" s="21" t="n">
        <v>0</v>
      </c>
      <c r="T478" s="21" t="n">
        <v>0</v>
      </c>
      <c r="U478" s="21" t="n">
        <v>0</v>
      </c>
      <c r="V478" s="21" t="n">
        <v>0</v>
      </c>
      <c r="W478" s="21" t="n">
        <v>0</v>
      </c>
      <c r="X478" s="21" t="n">
        <v>0</v>
      </c>
      <c r="Y478" s="21" t="n">
        <v>0</v>
      </c>
      <c r="Z478" s="21" t="n">
        <v>0</v>
      </c>
      <c r="AA478" s="21" t="n">
        <v>0</v>
      </c>
      <c r="AB478" s="21" t="n">
        <v>0</v>
      </c>
      <c r="AC478" s="21" t="n">
        <v>0</v>
      </c>
      <c r="AD478" s="21" t="n">
        <v>0</v>
      </c>
      <c r="AE478" s="21" t="n">
        <v>0</v>
      </c>
      <c r="AF478" s="21" t="n">
        <v>0</v>
      </c>
      <c r="AG478" s="21" t="n">
        <v>0</v>
      </c>
      <c r="AH478" s="21" t="n">
        <v>0</v>
      </c>
      <c r="AI478" s="21" t="n">
        <v>0</v>
      </c>
      <c r="AJ478" s="21" t="n">
        <v>0</v>
      </c>
      <c r="AK478" s="21" t="n">
        <v>0</v>
      </c>
      <c r="AL478" s="21" t="n">
        <v>0</v>
      </c>
      <c r="AM478" s="21" t="n">
        <v>0</v>
      </c>
      <c r="AN478" s="21" t="n">
        <v>0</v>
      </c>
      <c r="AO478" s="21" t="n">
        <v>0</v>
      </c>
      <c r="AP478" s="21" t="n">
        <v>0</v>
      </c>
      <c r="AQ478" s="21" t="n">
        <v>0</v>
      </c>
      <c r="AR478" s="21" t="n">
        <v>0</v>
      </c>
      <c r="AS478" s="21" t="n">
        <v>0</v>
      </c>
      <c r="AT478" s="19" t="n"/>
    </row>
    <row r="479">
      <c r="D479" s="21" t="n">
        <v>0</v>
      </c>
      <c r="E479" s="21" t="n">
        <v>0</v>
      </c>
      <c r="F479" s="21" t="n">
        <v>0</v>
      </c>
      <c r="G479" s="21" t="n">
        <v>0</v>
      </c>
      <c r="H479" s="21">
        <f>-$B$18</f>
        <v/>
      </c>
      <c r="I479" s="21">
        <f>-$B$19</f>
        <v/>
      </c>
      <c r="J479" s="21">
        <f>2*$B$18+$D$454</f>
        <v/>
      </c>
      <c r="K479" s="21">
        <f>0</f>
        <v/>
      </c>
      <c r="L479" s="21">
        <f>-$B$18</f>
        <v/>
      </c>
      <c r="M479" s="21">
        <f>$B$19</f>
        <v/>
      </c>
      <c r="N479" s="21" t="n">
        <v>0</v>
      </c>
      <c r="O479" s="21" t="n">
        <v>0</v>
      </c>
      <c r="P479" s="21" t="n">
        <v>0</v>
      </c>
      <c r="Q479" s="21" t="n">
        <v>0</v>
      </c>
      <c r="R479" s="21" t="n">
        <v>0</v>
      </c>
      <c r="S479" s="21" t="n">
        <v>0</v>
      </c>
      <c r="T479" s="21" t="n">
        <v>0</v>
      </c>
      <c r="U479" s="21" t="n">
        <v>0</v>
      </c>
      <c r="V479" s="21" t="n">
        <v>0</v>
      </c>
      <c r="W479" s="21" t="n">
        <v>0</v>
      </c>
      <c r="X479" s="21" t="n">
        <v>0</v>
      </c>
      <c r="Y479" s="21" t="n">
        <v>0</v>
      </c>
      <c r="Z479" s="21" t="n">
        <v>0</v>
      </c>
      <c r="AA479" s="21" t="n">
        <v>0</v>
      </c>
      <c r="AB479" s="21" t="n">
        <v>0</v>
      </c>
      <c r="AC479" s="21" t="n">
        <v>0</v>
      </c>
      <c r="AD479" s="21" t="n">
        <v>0</v>
      </c>
      <c r="AE479" s="21" t="n">
        <v>0</v>
      </c>
      <c r="AF479" s="21" t="n">
        <v>0</v>
      </c>
      <c r="AG479" s="21" t="n">
        <v>0</v>
      </c>
      <c r="AH479" s="21" t="n">
        <v>0</v>
      </c>
      <c r="AI479" s="21" t="n">
        <v>0</v>
      </c>
      <c r="AJ479" s="21" t="n">
        <v>0</v>
      </c>
      <c r="AK479" s="21" t="n">
        <v>0</v>
      </c>
      <c r="AL479" s="21" t="n">
        <v>0</v>
      </c>
      <c r="AM479" s="21" t="n">
        <v>0</v>
      </c>
      <c r="AN479" s="21" t="n">
        <v>0</v>
      </c>
      <c r="AO479" s="21" t="n">
        <v>0</v>
      </c>
      <c r="AP479" s="21" t="n">
        <v>0</v>
      </c>
      <c r="AQ479" s="21" t="n">
        <v>0</v>
      </c>
      <c r="AR479" s="21" t="n">
        <v>0</v>
      </c>
      <c r="AS479" s="21" t="n">
        <v>0</v>
      </c>
      <c r="AT479" s="19" t="n"/>
    </row>
    <row r="480">
      <c r="D480" s="21" t="n">
        <v>0</v>
      </c>
      <c r="E480" s="21" t="n">
        <v>0</v>
      </c>
      <c r="F480" s="21" t="n">
        <v>0</v>
      </c>
      <c r="G480" s="21" t="n">
        <v>0</v>
      </c>
      <c r="H480" s="21">
        <f>$B$19</f>
        <v/>
      </c>
      <c r="I480" s="21">
        <f>$B$21</f>
        <v/>
      </c>
      <c r="J480" s="21">
        <f>0</f>
        <v/>
      </c>
      <c r="K480" s="21">
        <f>2*$B$20</f>
        <v/>
      </c>
      <c r="L480" s="21">
        <f>-$B$19</f>
        <v/>
      </c>
      <c r="M480" s="21">
        <f>$B$21</f>
        <v/>
      </c>
      <c r="N480" s="21" t="n">
        <v>0</v>
      </c>
      <c r="O480" s="21" t="n">
        <v>0</v>
      </c>
      <c r="P480" s="21" t="n">
        <v>0</v>
      </c>
      <c r="Q480" s="21" t="n">
        <v>0</v>
      </c>
      <c r="R480" s="21" t="n">
        <v>0</v>
      </c>
      <c r="S480" s="21" t="n">
        <v>0</v>
      </c>
      <c r="T480" s="21" t="n">
        <v>0</v>
      </c>
      <c r="U480" s="21" t="n">
        <v>0</v>
      </c>
      <c r="V480" s="21" t="n">
        <v>0</v>
      </c>
      <c r="W480" s="21" t="n">
        <v>0</v>
      </c>
      <c r="X480" s="21" t="n">
        <v>0</v>
      </c>
      <c r="Y480" s="21" t="n">
        <v>0</v>
      </c>
      <c r="Z480" s="21" t="n">
        <v>0</v>
      </c>
      <c r="AA480" s="21" t="n">
        <v>0</v>
      </c>
      <c r="AB480" s="21" t="n">
        <v>0</v>
      </c>
      <c r="AC480" s="21" t="n">
        <v>0</v>
      </c>
      <c r="AD480" s="21" t="n">
        <v>0</v>
      </c>
      <c r="AE480" s="21" t="n">
        <v>0</v>
      </c>
      <c r="AF480" s="21" t="n">
        <v>0</v>
      </c>
      <c r="AG480" s="21" t="n">
        <v>0</v>
      </c>
      <c r="AH480" s="21" t="n">
        <v>0</v>
      </c>
      <c r="AI480" s="21" t="n">
        <v>0</v>
      </c>
      <c r="AJ480" s="21" t="n">
        <v>0</v>
      </c>
      <c r="AK480" s="21" t="n">
        <v>0</v>
      </c>
      <c r="AL480" s="21" t="n">
        <v>0</v>
      </c>
      <c r="AM480" s="21" t="n">
        <v>0</v>
      </c>
      <c r="AN480" s="21" t="n">
        <v>0</v>
      </c>
      <c r="AO480" s="21" t="n">
        <v>0</v>
      </c>
      <c r="AP480" s="21" t="n">
        <v>0</v>
      </c>
      <c r="AQ480" s="21" t="n">
        <v>0</v>
      </c>
      <c r="AR480" s="21" t="n">
        <v>0</v>
      </c>
      <c r="AS480" s="21" t="n">
        <v>0</v>
      </c>
      <c r="AT480" s="19" t="n"/>
    </row>
    <row r="481">
      <c r="D481" s="21" t="n">
        <v>0</v>
      </c>
      <c r="E481" s="21" t="n">
        <v>0</v>
      </c>
      <c r="F481" s="21" t="n">
        <v>0</v>
      </c>
      <c r="G481" s="21" t="n">
        <v>0</v>
      </c>
      <c r="H481" s="21" t="n">
        <v>0</v>
      </c>
      <c r="I481" s="21" t="n">
        <v>0</v>
      </c>
      <c r="J481" s="21">
        <f>-$B$18</f>
        <v/>
      </c>
      <c r="K481" s="21">
        <f>-$B$19</f>
        <v/>
      </c>
      <c r="L481" s="21">
        <f>2*$B$18+$D$455</f>
        <v/>
      </c>
      <c r="M481" s="21">
        <f>0</f>
        <v/>
      </c>
      <c r="N481" s="21">
        <f>-$B$18</f>
        <v/>
      </c>
      <c r="O481" s="21">
        <f>$B$19</f>
        <v/>
      </c>
      <c r="P481" s="21" t="n">
        <v>0</v>
      </c>
      <c r="Q481" s="21" t="n">
        <v>0</v>
      </c>
      <c r="R481" s="21" t="n">
        <v>0</v>
      </c>
      <c r="S481" s="21" t="n">
        <v>0</v>
      </c>
      <c r="T481" s="21" t="n">
        <v>0</v>
      </c>
      <c r="U481" s="21" t="n">
        <v>0</v>
      </c>
      <c r="V481" s="21" t="n">
        <v>0</v>
      </c>
      <c r="W481" s="21" t="n">
        <v>0</v>
      </c>
      <c r="X481" s="21" t="n">
        <v>0</v>
      </c>
      <c r="Y481" s="21" t="n">
        <v>0</v>
      </c>
      <c r="Z481" s="21" t="n">
        <v>0</v>
      </c>
      <c r="AA481" s="21" t="n">
        <v>0</v>
      </c>
      <c r="AB481" s="21" t="n">
        <v>0</v>
      </c>
      <c r="AC481" s="21" t="n">
        <v>0</v>
      </c>
      <c r="AD481" s="21" t="n">
        <v>0</v>
      </c>
      <c r="AE481" s="21" t="n">
        <v>0</v>
      </c>
      <c r="AF481" s="21" t="n">
        <v>0</v>
      </c>
      <c r="AG481" s="21" t="n">
        <v>0</v>
      </c>
      <c r="AH481" s="21" t="n">
        <v>0</v>
      </c>
      <c r="AI481" s="21" t="n">
        <v>0</v>
      </c>
      <c r="AJ481" s="21" t="n">
        <v>0</v>
      </c>
      <c r="AK481" s="21" t="n">
        <v>0</v>
      </c>
      <c r="AL481" s="21" t="n">
        <v>0</v>
      </c>
      <c r="AM481" s="21" t="n">
        <v>0</v>
      </c>
      <c r="AN481" s="21" t="n">
        <v>0</v>
      </c>
      <c r="AO481" s="21" t="n">
        <v>0</v>
      </c>
      <c r="AP481" s="21" t="n">
        <v>0</v>
      </c>
      <c r="AQ481" s="21" t="n">
        <v>0</v>
      </c>
      <c r="AR481" s="21" t="n">
        <v>0</v>
      </c>
      <c r="AS481" s="21" t="n">
        <v>0</v>
      </c>
      <c r="AT481" s="19" t="n"/>
    </row>
    <row r="482">
      <c r="D482" s="21" t="n">
        <v>0</v>
      </c>
      <c r="E482" s="21" t="n">
        <v>0</v>
      </c>
      <c r="F482" s="21" t="n">
        <v>0</v>
      </c>
      <c r="G482" s="21" t="n">
        <v>0</v>
      </c>
      <c r="H482" s="21" t="n">
        <v>0</v>
      </c>
      <c r="I482" s="21" t="n">
        <v>0</v>
      </c>
      <c r="J482" s="21">
        <f>$B$19</f>
        <v/>
      </c>
      <c r="K482" s="21">
        <f>$B$21</f>
        <v/>
      </c>
      <c r="L482" s="21">
        <f>0</f>
        <v/>
      </c>
      <c r="M482" s="21">
        <f>2*$B$20</f>
        <v/>
      </c>
      <c r="N482" s="21">
        <f>-$B$19</f>
        <v/>
      </c>
      <c r="O482" s="21">
        <f>$B$21</f>
        <v/>
      </c>
      <c r="P482" s="21" t="n">
        <v>0</v>
      </c>
      <c r="Q482" s="21" t="n">
        <v>0</v>
      </c>
      <c r="R482" s="21" t="n">
        <v>0</v>
      </c>
      <c r="S482" s="21" t="n">
        <v>0</v>
      </c>
      <c r="T482" s="21" t="n">
        <v>0</v>
      </c>
      <c r="U482" s="21" t="n">
        <v>0</v>
      </c>
      <c r="V482" s="21" t="n">
        <v>0</v>
      </c>
      <c r="W482" s="21" t="n">
        <v>0</v>
      </c>
      <c r="X482" s="21" t="n">
        <v>0</v>
      </c>
      <c r="Y482" s="21" t="n">
        <v>0</v>
      </c>
      <c r="Z482" s="21" t="n">
        <v>0</v>
      </c>
      <c r="AA482" s="21" t="n">
        <v>0</v>
      </c>
      <c r="AB482" s="21" t="n">
        <v>0</v>
      </c>
      <c r="AC482" s="21" t="n">
        <v>0</v>
      </c>
      <c r="AD482" s="21" t="n">
        <v>0</v>
      </c>
      <c r="AE482" s="21" t="n">
        <v>0</v>
      </c>
      <c r="AF482" s="21" t="n">
        <v>0</v>
      </c>
      <c r="AG482" s="21" t="n">
        <v>0</v>
      </c>
      <c r="AH482" s="21" t="n">
        <v>0</v>
      </c>
      <c r="AI482" s="21" t="n">
        <v>0</v>
      </c>
      <c r="AJ482" s="21" t="n">
        <v>0</v>
      </c>
      <c r="AK482" s="21" t="n">
        <v>0</v>
      </c>
      <c r="AL482" s="21" t="n">
        <v>0</v>
      </c>
      <c r="AM482" s="21" t="n">
        <v>0</v>
      </c>
      <c r="AN482" s="21" t="n">
        <v>0</v>
      </c>
      <c r="AO482" s="21" t="n">
        <v>0</v>
      </c>
      <c r="AP482" s="21" t="n">
        <v>0</v>
      </c>
      <c r="AQ482" s="21" t="n">
        <v>0</v>
      </c>
      <c r="AR482" s="21" t="n">
        <v>0</v>
      </c>
      <c r="AS482" s="21" t="n">
        <v>0</v>
      </c>
      <c r="AT482" s="19" t="n"/>
    </row>
    <row r="483">
      <c r="D483" s="21" t="n">
        <v>0</v>
      </c>
      <c r="E483" s="21" t="n">
        <v>0</v>
      </c>
      <c r="F483" s="21" t="n">
        <v>0</v>
      </c>
      <c r="G483" s="21" t="n">
        <v>0</v>
      </c>
      <c r="H483" s="21" t="n">
        <v>0</v>
      </c>
      <c r="I483" s="21" t="n">
        <v>0</v>
      </c>
      <c r="J483" s="21" t="n">
        <v>0</v>
      </c>
      <c r="K483" s="21" t="n">
        <v>0</v>
      </c>
      <c r="L483" s="21">
        <f>-$B$18</f>
        <v/>
      </c>
      <c r="M483" s="21">
        <f>-$B$19</f>
        <v/>
      </c>
      <c r="N483" s="21">
        <f>2*$B$18+$D$456</f>
        <v/>
      </c>
      <c r="O483" s="21">
        <f>0</f>
        <v/>
      </c>
      <c r="P483" s="21">
        <f>-$B$18</f>
        <v/>
      </c>
      <c r="Q483" s="21">
        <f>$B$19</f>
        <v/>
      </c>
      <c r="R483" s="21" t="n">
        <v>0</v>
      </c>
      <c r="S483" s="21" t="n">
        <v>0</v>
      </c>
      <c r="T483" s="21" t="n">
        <v>0</v>
      </c>
      <c r="U483" s="21" t="n">
        <v>0</v>
      </c>
      <c r="V483" s="21" t="n">
        <v>0</v>
      </c>
      <c r="W483" s="21" t="n">
        <v>0</v>
      </c>
      <c r="X483" s="21" t="n">
        <v>0</v>
      </c>
      <c r="Y483" s="21" t="n">
        <v>0</v>
      </c>
      <c r="Z483" s="21" t="n">
        <v>0</v>
      </c>
      <c r="AA483" s="21" t="n">
        <v>0</v>
      </c>
      <c r="AB483" s="21" t="n">
        <v>0</v>
      </c>
      <c r="AC483" s="21" t="n">
        <v>0</v>
      </c>
      <c r="AD483" s="21" t="n">
        <v>0</v>
      </c>
      <c r="AE483" s="21" t="n">
        <v>0</v>
      </c>
      <c r="AF483" s="21" t="n">
        <v>0</v>
      </c>
      <c r="AG483" s="21" t="n">
        <v>0</v>
      </c>
      <c r="AH483" s="21" t="n">
        <v>0</v>
      </c>
      <c r="AI483" s="21" t="n">
        <v>0</v>
      </c>
      <c r="AJ483" s="21" t="n">
        <v>0</v>
      </c>
      <c r="AK483" s="21" t="n">
        <v>0</v>
      </c>
      <c r="AL483" s="21" t="n">
        <v>0</v>
      </c>
      <c r="AM483" s="21" t="n">
        <v>0</v>
      </c>
      <c r="AN483" s="21" t="n">
        <v>0</v>
      </c>
      <c r="AO483" s="21" t="n">
        <v>0</v>
      </c>
      <c r="AP483" s="21" t="n">
        <v>0</v>
      </c>
      <c r="AQ483" s="21" t="n">
        <v>0</v>
      </c>
      <c r="AR483" s="21" t="n">
        <v>0</v>
      </c>
      <c r="AS483" s="21" t="n">
        <v>0</v>
      </c>
      <c r="AT483" s="19" t="n"/>
    </row>
    <row r="484">
      <c r="D484" s="21" t="n">
        <v>0</v>
      </c>
      <c r="E484" s="21" t="n">
        <v>0</v>
      </c>
      <c r="F484" s="21" t="n">
        <v>0</v>
      </c>
      <c r="G484" s="21" t="n">
        <v>0</v>
      </c>
      <c r="H484" s="21" t="n">
        <v>0</v>
      </c>
      <c r="I484" s="21" t="n">
        <v>0</v>
      </c>
      <c r="J484" s="21" t="n">
        <v>0</v>
      </c>
      <c r="K484" s="21" t="n">
        <v>0</v>
      </c>
      <c r="L484" s="21">
        <f>$B$19</f>
        <v/>
      </c>
      <c r="M484" s="21">
        <f>$B$21</f>
        <v/>
      </c>
      <c r="N484" s="21">
        <f>0</f>
        <v/>
      </c>
      <c r="O484" s="21">
        <f>2*$B$20</f>
        <v/>
      </c>
      <c r="P484" s="21">
        <f>-$B$19</f>
        <v/>
      </c>
      <c r="Q484" s="21">
        <f>$B$21</f>
        <v/>
      </c>
      <c r="R484" s="21" t="n">
        <v>0</v>
      </c>
      <c r="S484" s="21" t="n">
        <v>0</v>
      </c>
      <c r="T484" s="21" t="n">
        <v>0</v>
      </c>
      <c r="U484" s="21" t="n">
        <v>0</v>
      </c>
      <c r="V484" s="21" t="n">
        <v>0</v>
      </c>
      <c r="W484" s="21" t="n">
        <v>0</v>
      </c>
      <c r="X484" s="21" t="n">
        <v>0</v>
      </c>
      <c r="Y484" s="21" t="n">
        <v>0</v>
      </c>
      <c r="Z484" s="21" t="n">
        <v>0</v>
      </c>
      <c r="AA484" s="21" t="n">
        <v>0</v>
      </c>
      <c r="AB484" s="21" t="n">
        <v>0</v>
      </c>
      <c r="AC484" s="21" t="n">
        <v>0</v>
      </c>
      <c r="AD484" s="21" t="n">
        <v>0</v>
      </c>
      <c r="AE484" s="21" t="n">
        <v>0</v>
      </c>
      <c r="AF484" s="21" t="n">
        <v>0</v>
      </c>
      <c r="AG484" s="21" t="n">
        <v>0</v>
      </c>
      <c r="AH484" s="21" t="n">
        <v>0</v>
      </c>
      <c r="AI484" s="21" t="n">
        <v>0</v>
      </c>
      <c r="AJ484" s="21" t="n">
        <v>0</v>
      </c>
      <c r="AK484" s="21" t="n">
        <v>0</v>
      </c>
      <c r="AL484" s="21" t="n">
        <v>0</v>
      </c>
      <c r="AM484" s="21" t="n">
        <v>0</v>
      </c>
      <c r="AN484" s="21" t="n">
        <v>0</v>
      </c>
      <c r="AO484" s="21" t="n">
        <v>0</v>
      </c>
      <c r="AP484" s="21" t="n">
        <v>0</v>
      </c>
      <c r="AQ484" s="21" t="n">
        <v>0</v>
      </c>
      <c r="AR484" s="21" t="n">
        <v>0</v>
      </c>
      <c r="AS484" s="21" t="n">
        <v>0</v>
      </c>
      <c r="AT484" s="19" t="n"/>
    </row>
    <row r="485">
      <c r="D485" s="21" t="n">
        <v>0</v>
      </c>
      <c r="E485" s="21" t="n">
        <v>0</v>
      </c>
      <c r="F485" s="21" t="n">
        <v>0</v>
      </c>
      <c r="G485" s="21" t="n">
        <v>0</v>
      </c>
      <c r="H485" s="21" t="n">
        <v>0</v>
      </c>
      <c r="I485" s="21" t="n">
        <v>0</v>
      </c>
      <c r="J485" s="21" t="n">
        <v>0</v>
      </c>
      <c r="K485" s="21" t="n">
        <v>0</v>
      </c>
      <c r="L485" s="21" t="n">
        <v>0</v>
      </c>
      <c r="M485" s="21" t="n">
        <v>0</v>
      </c>
      <c r="N485" s="21">
        <f>-$B$18</f>
        <v/>
      </c>
      <c r="O485" s="21">
        <f>-$B$19</f>
        <v/>
      </c>
      <c r="P485" s="21">
        <f>2*$B$18+$D$457</f>
        <v/>
      </c>
      <c r="Q485" s="21">
        <f>0</f>
        <v/>
      </c>
      <c r="R485" s="21">
        <f>-$B$18</f>
        <v/>
      </c>
      <c r="S485" s="21">
        <f>$B$19</f>
        <v/>
      </c>
      <c r="T485" s="21" t="n">
        <v>0</v>
      </c>
      <c r="U485" s="21" t="n">
        <v>0</v>
      </c>
      <c r="V485" s="21" t="n">
        <v>0</v>
      </c>
      <c r="W485" s="21" t="n">
        <v>0</v>
      </c>
      <c r="X485" s="21" t="n">
        <v>0</v>
      </c>
      <c r="Y485" s="21" t="n">
        <v>0</v>
      </c>
      <c r="Z485" s="21" t="n">
        <v>0</v>
      </c>
      <c r="AA485" s="21" t="n">
        <v>0</v>
      </c>
      <c r="AB485" s="21" t="n">
        <v>0</v>
      </c>
      <c r="AC485" s="21" t="n">
        <v>0</v>
      </c>
      <c r="AD485" s="21" t="n">
        <v>0</v>
      </c>
      <c r="AE485" s="21" t="n">
        <v>0</v>
      </c>
      <c r="AF485" s="21" t="n">
        <v>0</v>
      </c>
      <c r="AG485" s="21" t="n">
        <v>0</v>
      </c>
      <c r="AH485" s="21" t="n">
        <v>0</v>
      </c>
      <c r="AI485" s="21" t="n">
        <v>0</v>
      </c>
      <c r="AJ485" s="21" t="n">
        <v>0</v>
      </c>
      <c r="AK485" s="21" t="n">
        <v>0</v>
      </c>
      <c r="AL485" s="21" t="n">
        <v>0</v>
      </c>
      <c r="AM485" s="21" t="n">
        <v>0</v>
      </c>
      <c r="AN485" s="21" t="n">
        <v>0</v>
      </c>
      <c r="AO485" s="21" t="n">
        <v>0</v>
      </c>
      <c r="AP485" s="21" t="n">
        <v>0</v>
      </c>
      <c r="AQ485" s="21" t="n">
        <v>0</v>
      </c>
      <c r="AR485" s="21" t="n">
        <v>0</v>
      </c>
      <c r="AS485" s="21" t="n">
        <v>0</v>
      </c>
      <c r="AT485" s="19" t="n"/>
    </row>
    <row r="486">
      <c r="D486" s="21" t="n">
        <v>0</v>
      </c>
      <c r="E486" s="21" t="n">
        <v>0</v>
      </c>
      <c r="F486" s="21" t="n">
        <v>0</v>
      </c>
      <c r="G486" s="21" t="n">
        <v>0</v>
      </c>
      <c r="H486" s="21" t="n">
        <v>0</v>
      </c>
      <c r="I486" s="21" t="n">
        <v>0</v>
      </c>
      <c r="J486" s="21" t="n">
        <v>0</v>
      </c>
      <c r="K486" s="21" t="n">
        <v>0</v>
      </c>
      <c r="L486" s="21" t="n">
        <v>0</v>
      </c>
      <c r="M486" s="21" t="n">
        <v>0</v>
      </c>
      <c r="N486" s="21">
        <f>$B$19</f>
        <v/>
      </c>
      <c r="O486" s="21">
        <f>$B$21</f>
        <v/>
      </c>
      <c r="P486" s="21">
        <f>0</f>
        <v/>
      </c>
      <c r="Q486" s="21">
        <f>2*$B$20</f>
        <v/>
      </c>
      <c r="R486" s="21">
        <f>-$B$19</f>
        <v/>
      </c>
      <c r="S486" s="21">
        <f>$B$21</f>
        <v/>
      </c>
      <c r="T486" s="21" t="n">
        <v>0</v>
      </c>
      <c r="U486" s="21" t="n">
        <v>0</v>
      </c>
      <c r="V486" s="21" t="n">
        <v>0</v>
      </c>
      <c r="W486" s="21" t="n">
        <v>0</v>
      </c>
      <c r="X486" s="21" t="n">
        <v>0</v>
      </c>
      <c r="Y486" s="21" t="n">
        <v>0</v>
      </c>
      <c r="Z486" s="21" t="n">
        <v>0</v>
      </c>
      <c r="AA486" s="21" t="n">
        <v>0</v>
      </c>
      <c r="AB486" s="21" t="n">
        <v>0</v>
      </c>
      <c r="AC486" s="21" t="n">
        <v>0</v>
      </c>
      <c r="AD486" s="21" t="n">
        <v>0</v>
      </c>
      <c r="AE486" s="21" t="n">
        <v>0</v>
      </c>
      <c r="AF486" s="21" t="n">
        <v>0</v>
      </c>
      <c r="AG486" s="21" t="n">
        <v>0</v>
      </c>
      <c r="AH486" s="21" t="n">
        <v>0</v>
      </c>
      <c r="AI486" s="21" t="n">
        <v>0</v>
      </c>
      <c r="AJ486" s="21" t="n">
        <v>0</v>
      </c>
      <c r="AK486" s="21" t="n">
        <v>0</v>
      </c>
      <c r="AL486" s="21" t="n">
        <v>0</v>
      </c>
      <c r="AM486" s="21" t="n">
        <v>0</v>
      </c>
      <c r="AN486" s="21" t="n">
        <v>0</v>
      </c>
      <c r="AO486" s="21" t="n">
        <v>0</v>
      </c>
      <c r="AP486" s="21" t="n">
        <v>0</v>
      </c>
      <c r="AQ486" s="21" t="n">
        <v>0</v>
      </c>
      <c r="AR486" s="21" t="n">
        <v>0</v>
      </c>
      <c r="AS486" s="21" t="n">
        <v>0</v>
      </c>
      <c r="AT486" s="19" t="n"/>
    </row>
    <row r="487">
      <c r="D487" s="21" t="n">
        <v>0</v>
      </c>
      <c r="E487" s="21" t="n">
        <v>0</v>
      </c>
      <c r="F487" s="21" t="n">
        <v>0</v>
      </c>
      <c r="G487" s="21" t="n">
        <v>0</v>
      </c>
      <c r="H487" s="21" t="n">
        <v>0</v>
      </c>
      <c r="I487" s="21" t="n">
        <v>0</v>
      </c>
      <c r="J487" s="21" t="n">
        <v>0</v>
      </c>
      <c r="K487" s="21" t="n">
        <v>0</v>
      </c>
      <c r="L487" s="21" t="n">
        <v>0</v>
      </c>
      <c r="M487" s="21" t="n">
        <v>0</v>
      </c>
      <c r="N487" s="21" t="n">
        <v>0</v>
      </c>
      <c r="O487" s="21" t="n">
        <v>0</v>
      </c>
      <c r="P487" s="21">
        <f>-$B$18</f>
        <v/>
      </c>
      <c r="Q487" s="21">
        <f>-$B$19</f>
        <v/>
      </c>
      <c r="R487" s="21">
        <f>2*$B$18+$D$458</f>
        <v/>
      </c>
      <c r="S487" s="21">
        <f>0</f>
        <v/>
      </c>
      <c r="T487" s="21">
        <f>-$B$18</f>
        <v/>
      </c>
      <c r="U487" s="21">
        <f>$B$19</f>
        <v/>
      </c>
      <c r="V487" s="21" t="n">
        <v>0</v>
      </c>
      <c r="W487" s="21" t="n">
        <v>0</v>
      </c>
      <c r="X487" s="21" t="n">
        <v>0</v>
      </c>
      <c r="Y487" s="21" t="n">
        <v>0</v>
      </c>
      <c r="Z487" s="21" t="n">
        <v>0</v>
      </c>
      <c r="AA487" s="21" t="n">
        <v>0</v>
      </c>
      <c r="AB487" s="21" t="n">
        <v>0</v>
      </c>
      <c r="AC487" s="21" t="n">
        <v>0</v>
      </c>
      <c r="AD487" s="21" t="n">
        <v>0</v>
      </c>
      <c r="AE487" s="21" t="n">
        <v>0</v>
      </c>
      <c r="AF487" s="21" t="n">
        <v>0</v>
      </c>
      <c r="AG487" s="21" t="n">
        <v>0</v>
      </c>
      <c r="AH487" s="21" t="n">
        <v>0</v>
      </c>
      <c r="AI487" s="21" t="n">
        <v>0</v>
      </c>
      <c r="AJ487" s="21" t="n">
        <v>0</v>
      </c>
      <c r="AK487" s="21" t="n">
        <v>0</v>
      </c>
      <c r="AL487" s="21" t="n">
        <v>0</v>
      </c>
      <c r="AM487" s="21" t="n">
        <v>0</v>
      </c>
      <c r="AN487" s="21" t="n">
        <v>0</v>
      </c>
      <c r="AO487" s="21" t="n">
        <v>0</v>
      </c>
      <c r="AP487" s="21" t="n">
        <v>0</v>
      </c>
      <c r="AQ487" s="21" t="n">
        <v>0</v>
      </c>
      <c r="AR487" s="21" t="n">
        <v>0</v>
      </c>
      <c r="AS487" s="21" t="n">
        <v>0</v>
      </c>
      <c r="AT487" s="19" t="n"/>
    </row>
    <row r="488">
      <c r="D488" s="21" t="n">
        <v>0</v>
      </c>
      <c r="E488" s="21" t="n">
        <v>0</v>
      </c>
      <c r="F488" s="21" t="n">
        <v>0</v>
      </c>
      <c r="G488" s="21" t="n">
        <v>0</v>
      </c>
      <c r="H488" s="21" t="n">
        <v>0</v>
      </c>
      <c r="I488" s="21" t="n">
        <v>0</v>
      </c>
      <c r="J488" s="21" t="n">
        <v>0</v>
      </c>
      <c r="K488" s="21" t="n">
        <v>0</v>
      </c>
      <c r="L488" s="21" t="n">
        <v>0</v>
      </c>
      <c r="M488" s="21" t="n">
        <v>0</v>
      </c>
      <c r="N488" s="21" t="n">
        <v>0</v>
      </c>
      <c r="O488" s="21" t="n">
        <v>0</v>
      </c>
      <c r="P488" s="21">
        <f>$B$19</f>
        <v/>
      </c>
      <c r="Q488" s="21">
        <f>$B$21</f>
        <v/>
      </c>
      <c r="R488" s="21">
        <f>0</f>
        <v/>
      </c>
      <c r="S488" s="21">
        <f>2*$B$20</f>
        <v/>
      </c>
      <c r="T488" s="21">
        <f>-$B$19</f>
        <v/>
      </c>
      <c r="U488" s="21">
        <f>$B$21</f>
        <v/>
      </c>
      <c r="V488" s="21" t="n">
        <v>0</v>
      </c>
      <c r="W488" s="21" t="n">
        <v>0</v>
      </c>
      <c r="X488" s="21" t="n">
        <v>0</v>
      </c>
      <c r="Y488" s="21" t="n">
        <v>0</v>
      </c>
      <c r="Z488" s="21" t="n">
        <v>0</v>
      </c>
      <c r="AA488" s="21" t="n">
        <v>0</v>
      </c>
      <c r="AB488" s="21" t="n">
        <v>0</v>
      </c>
      <c r="AC488" s="21" t="n">
        <v>0</v>
      </c>
      <c r="AD488" s="21" t="n">
        <v>0</v>
      </c>
      <c r="AE488" s="21" t="n">
        <v>0</v>
      </c>
      <c r="AF488" s="21" t="n">
        <v>0</v>
      </c>
      <c r="AG488" s="21" t="n">
        <v>0</v>
      </c>
      <c r="AH488" s="21" t="n">
        <v>0</v>
      </c>
      <c r="AI488" s="21" t="n">
        <v>0</v>
      </c>
      <c r="AJ488" s="21" t="n">
        <v>0</v>
      </c>
      <c r="AK488" s="21" t="n">
        <v>0</v>
      </c>
      <c r="AL488" s="21" t="n">
        <v>0</v>
      </c>
      <c r="AM488" s="21" t="n">
        <v>0</v>
      </c>
      <c r="AN488" s="21" t="n">
        <v>0</v>
      </c>
      <c r="AO488" s="21" t="n">
        <v>0</v>
      </c>
      <c r="AP488" s="21" t="n">
        <v>0</v>
      </c>
      <c r="AQ488" s="21" t="n">
        <v>0</v>
      </c>
      <c r="AR488" s="21" t="n">
        <v>0</v>
      </c>
      <c r="AS488" s="21" t="n">
        <v>0</v>
      </c>
      <c r="AT488" s="19" t="n"/>
    </row>
    <row r="489">
      <c r="D489" s="21" t="n">
        <v>0</v>
      </c>
      <c r="E489" s="21" t="n">
        <v>0</v>
      </c>
      <c r="F489" s="21" t="n">
        <v>0</v>
      </c>
      <c r="G489" s="21" t="n">
        <v>0</v>
      </c>
      <c r="H489" s="21" t="n">
        <v>0</v>
      </c>
      <c r="I489" s="21" t="n">
        <v>0</v>
      </c>
      <c r="J489" s="21" t="n">
        <v>0</v>
      </c>
      <c r="K489" s="21" t="n">
        <v>0</v>
      </c>
      <c r="L489" s="21" t="n">
        <v>0</v>
      </c>
      <c r="M489" s="21" t="n">
        <v>0</v>
      </c>
      <c r="N489" s="21" t="n">
        <v>0</v>
      </c>
      <c r="O489" s="21" t="n">
        <v>0</v>
      </c>
      <c r="P489" s="21" t="n">
        <v>0</v>
      </c>
      <c r="Q489" s="21" t="n">
        <v>0</v>
      </c>
      <c r="R489" s="21">
        <f>-$B$18</f>
        <v/>
      </c>
      <c r="S489" s="21">
        <f>-$B$19</f>
        <v/>
      </c>
      <c r="T489" s="21">
        <f>2*$B$18+$D$459</f>
        <v/>
      </c>
      <c r="U489" s="21">
        <f>0</f>
        <v/>
      </c>
      <c r="V489" s="21">
        <f>-$B$18</f>
        <v/>
      </c>
      <c r="W489" s="21">
        <f>$B$19</f>
        <v/>
      </c>
      <c r="X489" s="21" t="n">
        <v>0</v>
      </c>
      <c r="Y489" s="21" t="n">
        <v>0</v>
      </c>
      <c r="Z489" s="21" t="n">
        <v>0</v>
      </c>
      <c r="AA489" s="21" t="n">
        <v>0</v>
      </c>
      <c r="AB489" s="21" t="n">
        <v>0</v>
      </c>
      <c r="AC489" s="21" t="n">
        <v>0</v>
      </c>
      <c r="AD489" s="21" t="n">
        <v>0</v>
      </c>
      <c r="AE489" s="21" t="n">
        <v>0</v>
      </c>
      <c r="AF489" s="21" t="n">
        <v>0</v>
      </c>
      <c r="AG489" s="21" t="n">
        <v>0</v>
      </c>
      <c r="AH489" s="21" t="n">
        <v>0</v>
      </c>
      <c r="AI489" s="21" t="n">
        <v>0</v>
      </c>
      <c r="AJ489" s="21" t="n">
        <v>0</v>
      </c>
      <c r="AK489" s="21" t="n">
        <v>0</v>
      </c>
      <c r="AL489" s="21" t="n">
        <v>0</v>
      </c>
      <c r="AM489" s="21" t="n">
        <v>0</v>
      </c>
      <c r="AN489" s="21" t="n">
        <v>0</v>
      </c>
      <c r="AO489" s="21" t="n">
        <v>0</v>
      </c>
      <c r="AP489" s="21" t="n">
        <v>0</v>
      </c>
      <c r="AQ489" s="21" t="n">
        <v>0</v>
      </c>
      <c r="AR489" s="21" t="n">
        <v>0</v>
      </c>
      <c r="AS489" s="21" t="n">
        <v>0</v>
      </c>
      <c r="AT489" s="19" t="n"/>
    </row>
    <row r="490">
      <c r="D490" s="21" t="n">
        <v>0</v>
      </c>
      <c r="E490" s="21" t="n">
        <v>0</v>
      </c>
      <c r="F490" s="21" t="n">
        <v>0</v>
      </c>
      <c r="G490" s="21" t="n">
        <v>0</v>
      </c>
      <c r="H490" s="21" t="n">
        <v>0</v>
      </c>
      <c r="I490" s="21" t="n">
        <v>0</v>
      </c>
      <c r="J490" s="21" t="n">
        <v>0</v>
      </c>
      <c r="K490" s="21" t="n">
        <v>0</v>
      </c>
      <c r="L490" s="21" t="n">
        <v>0</v>
      </c>
      <c r="M490" s="21" t="n">
        <v>0</v>
      </c>
      <c r="N490" s="21" t="n">
        <v>0</v>
      </c>
      <c r="O490" s="21" t="n">
        <v>0</v>
      </c>
      <c r="P490" s="21" t="n">
        <v>0</v>
      </c>
      <c r="Q490" s="21" t="n">
        <v>0</v>
      </c>
      <c r="R490" s="21">
        <f>$B$19</f>
        <v/>
      </c>
      <c r="S490" s="21">
        <f>$B$21</f>
        <v/>
      </c>
      <c r="T490" s="21">
        <f>0</f>
        <v/>
      </c>
      <c r="U490" s="21">
        <f>2*$B$20</f>
        <v/>
      </c>
      <c r="V490" s="21">
        <f>-$B$19</f>
        <v/>
      </c>
      <c r="W490" s="21">
        <f>$B$21</f>
        <v/>
      </c>
      <c r="X490" s="21" t="n">
        <v>0</v>
      </c>
      <c r="Y490" s="21" t="n">
        <v>0</v>
      </c>
      <c r="Z490" s="21" t="n">
        <v>0</v>
      </c>
      <c r="AA490" s="21" t="n">
        <v>0</v>
      </c>
      <c r="AB490" s="21" t="n">
        <v>0</v>
      </c>
      <c r="AC490" s="21" t="n">
        <v>0</v>
      </c>
      <c r="AD490" s="21" t="n">
        <v>0</v>
      </c>
      <c r="AE490" s="21" t="n">
        <v>0</v>
      </c>
      <c r="AF490" s="21" t="n">
        <v>0</v>
      </c>
      <c r="AG490" s="21" t="n">
        <v>0</v>
      </c>
      <c r="AH490" s="21" t="n">
        <v>0</v>
      </c>
      <c r="AI490" s="21" t="n">
        <v>0</v>
      </c>
      <c r="AJ490" s="21" t="n">
        <v>0</v>
      </c>
      <c r="AK490" s="21" t="n">
        <v>0</v>
      </c>
      <c r="AL490" s="21" t="n">
        <v>0</v>
      </c>
      <c r="AM490" s="21" t="n">
        <v>0</v>
      </c>
      <c r="AN490" s="21" t="n">
        <v>0</v>
      </c>
      <c r="AO490" s="21" t="n">
        <v>0</v>
      </c>
      <c r="AP490" s="21" t="n">
        <v>0</v>
      </c>
      <c r="AQ490" s="21" t="n">
        <v>0</v>
      </c>
      <c r="AR490" s="21" t="n">
        <v>0</v>
      </c>
      <c r="AS490" s="21" t="n">
        <v>0</v>
      </c>
      <c r="AT490" s="19" t="n"/>
    </row>
    <row r="491">
      <c r="D491" s="21" t="n">
        <v>0</v>
      </c>
      <c r="E491" s="21" t="n">
        <v>0</v>
      </c>
      <c r="F491" s="21" t="n">
        <v>0</v>
      </c>
      <c r="G491" s="21" t="n">
        <v>0</v>
      </c>
      <c r="H491" s="21" t="n">
        <v>0</v>
      </c>
      <c r="I491" s="21" t="n">
        <v>0</v>
      </c>
      <c r="J491" s="21" t="n">
        <v>0</v>
      </c>
      <c r="K491" s="21" t="n">
        <v>0</v>
      </c>
      <c r="L491" s="21" t="n">
        <v>0</v>
      </c>
      <c r="M491" s="21" t="n">
        <v>0</v>
      </c>
      <c r="N491" s="21" t="n">
        <v>0</v>
      </c>
      <c r="O491" s="21" t="n">
        <v>0</v>
      </c>
      <c r="P491" s="21" t="n">
        <v>0</v>
      </c>
      <c r="Q491" s="21" t="n">
        <v>0</v>
      </c>
      <c r="R491" s="21" t="n">
        <v>0</v>
      </c>
      <c r="S491" s="21" t="n">
        <v>0</v>
      </c>
      <c r="T491" s="21">
        <f>-$B$18</f>
        <v/>
      </c>
      <c r="U491" s="21">
        <f>-$B$19</f>
        <v/>
      </c>
      <c r="V491" s="21">
        <f>2*$B$18+$D$460</f>
        <v/>
      </c>
      <c r="W491" s="21">
        <f>0</f>
        <v/>
      </c>
      <c r="X491" s="21">
        <f>-$B$18</f>
        <v/>
      </c>
      <c r="Y491" s="21">
        <f>$B$19</f>
        <v/>
      </c>
      <c r="Z491" s="21" t="n">
        <v>0</v>
      </c>
      <c r="AA491" s="21" t="n">
        <v>0</v>
      </c>
      <c r="AB491" s="21" t="n">
        <v>0</v>
      </c>
      <c r="AC491" s="21" t="n">
        <v>0</v>
      </c>
      <c r="AD491" s="21" t="n">
        <v>0</v>
      </c>
      <c r="AE491" s="21" t="n">
        <v>0</v>
      </c>
      <c r="AF491" s="21" t="n">
        <v>0</v>
      </c>
      <c r="AG491" s="21" t="n">
        <v>0</v>
      </c>
      <c r="AH491" s="21" t="n">
        <v>0</v>
      </c>
      <c r="AI491" s="21" t="n">
        <v>0</v>
      </c>
      <c r="AJ491" s="21" t="n">
        <v>0</v>
      </c>
      <c r="AK491" s="21" t="n">
        <v>0</v>
      </c>
      <c r="AL491" s="21" t="n">
        <v>0</v>
      </c>
      <c r="AM491" s="21" t="n">
        <v>0</v>
      </c>
      <c r="AN491" s="21" t="n">
        <v>0</v>
      </c>
      <c r="AO491" s="21" t="n">
        <v>0</v>
      </c>
      <c r="AP491" s="21" t="n">
        <v>0</v>
      </c>
      <c r="AQ491" s="21" t="n">
        <v>0</v>
      </c>
      <c r="AR491" s="21" t="n">
        <v>0</v>
      </c>
      <c r="AS491" s="21" t="n">
        <v>0</v>
      </c>
      <c r="AT491" s="19" t="n"/>
    </row>
    <row r="492">
      <c r="D492" s="21" t="n">
        <v>0</v>
      </c>
      <c r="E492" s="21" t="n">
        <v>0</v>
      </c>
      <c r="F492" s="21" t="n">
        <v>0</v>
      </c>
      <c r="G492" s="21" t="n">
        <v>0</v>
      </c>
      <c r="H492" s="21" t="n">
        <v>0</v>
      </c>
      <c r="I492" s="21" t="n">
        <v>0</v>
      </c>
      <c r="J492" s="21" t="n">
        <v>0</v>
      </c>
      <c r="K492" s="21" t="n">
        <v>0</v>
      </c>
      <c r="L492" s="21" t="n">
        <v>0</v>
      </c>
      <c r="M492" s="21" t="n">
        <v>0</v>
      </c>
      <c r="N492" s="21" t="n">
        <v>0</v>
      </c>
      <c r="O492" s="21" t="n">
        <v>0</v>
      </c>
      <c r="P492" s="21" t="n">
        <v>0</v>
      </c>
      <c r="Q492" s="21" t="n">
        <v>0</v>
      </c>
      <c r="R492" s="21" t="n">
        <v>0</v>
      </c>
      <c r="S492" s="21" t="n">
        <v>0</v>
      </c>
      <c r="T492" s="21">
        <f>$B$19</f>
        <v/>
      </c>
      <c r="U492" s="21">
        <f>$B$21</f>
        <v/>
      </c>
      <c r="V492" s="21">
        <f>0</f>
        <v/>
      </c>
      <c r="W492" s="21">
        <f>2*$B$20</f>
        <v/>
      </c>
      <c r="X492" s="21">
        <f>-$B$19</f>
        <v/>
      </c>
      <c r="Y492" s="21">
        <f>$B$21</f>
        <v/>
      </c>
      <c r="Z492" s="21" t="n">
        <v>0</v>
      </c>
      <c r="AA492" s="21" t="n">
        <v>0</v>
      </c>
      <c r="AB492" s="21" t="n">
        <v>0</v>
      </c>
      <c r="AC492" s="21" t="n">
        <v>0</v>
      </c>
      <c r="AD492" s="21" t="n">
        <v>0</v>
      </c>
      <c r="AE492" s="21" t="n">
        <v>0</v>
      </c>
      <c r="AF492" s="21" t="n">
        <v>0</v>
      </c>
      <c r="AG492" s="21" t="n">
        <v>0</v>
      </c>
      <c r="AH492" s="21" t="n">
        <v>0</v>
      </c>
      <c r="AI492" s="21" t="n">
        <v>0</v>
      </c>
      <c r="AJ492" s="21" t="n">
        <v>0</v>
      </c>
      <c r="AK492" s="21" t="n">
        <v>0</v>
      </c>
      <c r="AL492" s="21" t="n">
        <v>0</v>
      </c>
      <c r="AM492" s="21" t="n">
        <v>0</v>
      </c>
      <c r="AN492" s="21" t="n">
        <v>0</v>
      </c>
      <c r="AO492" s="21" t="n">
        <v>0</v>
      </c>
      <c r="AP492" s="21" t="n">
        <v>0</v>
      </c>
      <c r="AQ492" s="21" t="n">
        <v>0</v>
      </c>
      <c r="AR492" s="21" t="n">
        <v>0</v>
      </c>
      <c r="AS492" s="21" t="n">
        <v>0</v>
      </c>
      <c r="AT492" s="19" t="n"/>
    </row>
    <row r="493">
      <c r="D493" s="21" t="n">
        <v>0</v>
      </c>
      <c r="E493" s="21" t="n">
        <v>0</v>
      </c>
      <c r="F493" s="21" t="n">
        <v>0</v>
      </c>
      <c r="G493" s="21" t="n">
        <v>0</v>
      </c>
      <c r="H493" s="21" t="n">
        <v>0</v>
      </c>
      <c r="I493" s="21" t="n">
        <v>0</v>
      </c>
      <c r="J493" s="21" t="n">
        <v>0</v>
      </c>
      <c r="K493" s="21" t="n">
        <v>0</v>
      </c>
      <c r="L493" s="21" t="n">
        <v>0</v>
      </c>
      <c r="M493" s="21" t="n">
        <v>0</v>
      </c>
      <c r="N493" s="21" t="n">
        <v>0</v>
      </c>
      <c r="O493" s="21" t="n">
        <v>0</v>
      </c>
      <c r="P493" s="21" t="n">
        <v>0</v>
      </c>
      <c r="Q493" s="21" t="n">
        <v>0</v>
      </c>
      <c r="R493" s="21" t="n">
        <v>0</v>
      </c>
      <c r="S493" s="21" t="n">
        <v>0</v>
      </c>
      <c r="T493" s="21" t="n">
        <v>0</v>
      </c>
      <c r="U493" s="21" t="n">
        <v>0</v>
      </c>
      <c r="V493" s="21">
        <f>-$B$18</f>
        <v/>
      </c>
      <c r="W493" s="21">
        <f>-$B$19</f>
        <v/>
      </c>
      <c r="X493" s="21">
        <f>2*$B$18+$D$461</f>
        <v/>
      </c>
      <c r="Y493" s="21">
        <f>0</f>
        <v/>
      </c>
      <c r="Z493" s="21">
        <f>-$B$18</f>
        <v/>
      </c>
      <c r="AA493" s="21">
        <f>$B$19</f>
        <v/>
      </c>
      <c r="AB493" s="21" t="n">
        <v>0</v>
      </c>
      <c r="AC493" s="21" t="n">
        <v>0</v>
      </c>
      <c r="AD493" s="21" t="n">
        <v>0</v>
      </c>
      <c r="AE493" s="21" t="n">
        <v>0</v>
      </c>
      <c r="AF493" s="21" t="n">
        <v>0</v>
      </c>
      <c r="AG493" s="21" t="n">
        <v>0</v>
      </c>
      <c r="AH493" s="21" t="n">
        <v>0</v>
      </c>
      <c r="AI493" s="21" t="n">
        <v>0</v>
      </c>
      <c r="AJ493" s="21" t="n">
        <v>0</v>
      </c>
      <c r="AK493" s="21" t="n">
        <v>0</v>
      </c>
      <c r="AL493" s="21" t="n">
        <v>0</v>
      </c>
      <c r="AM493" s="21" t="n">
        <v>0</v>
      </c>
      <c r="AN493" s="21" t="n">
        <v>0</v>
      </c>
      <c r="AO493" s="21" t="n">
        <v>0</v>
      </c>
      <c r="AP493" s="21" t="n">
        <v>0</v>
      </c>
      <c r="AQ493" s="21" t="n">
        <v>0</v>
      </c>
      <c r="AR493" s="21" t="n">
        <v>0</v>
      </c>
      <c r="AS493" s="21" t="n">
        <v>0</v>
      </c>
      <c r="AT493" s="19" t="n"/>
    </row>
    <row r="494">
      <c r="D494" s="21" t="n">
        <v>0</v>
      </c>
      <c r="E494" s="21" t="n">
        <v>0</v>
      </c>
      <c r="F494" s="21" t="n">
        <v>0</v>
      </c>
      <c r="G494" s="21" t="n">
        <v>0</v>
      </c>
      <c r="H494" s="21" t="n">
        <v>0</v>
      </c>
      <c r="I494" s="21" t="n">
        <v>0</v>
      </c>
      <c r="J494" s="21" t="n">
        <v>0</v>
      </c>
      <c r="K494" s="21" t="n">
        <v>0</v>
      </c>
      <c r="L494" s="21" t="n">
        <v>0</v>
      </c>
      <c r="M494" s="21" t="n">
        <v>0</v>
      </c>
      <c r="N494" s="21" t="n">
        <v>0</v>
      </c>
      <c r="O494" s="21" t="n">
        <v>0</v>
      </c>
      <c r="P494" s="21" t="n">
        <v>0</v>
      </c>
      <c r="Q494" s="21" t="n">
        <v>0</v>
      </c>
      <c r="R494" s="21" t="n">
        <v>0</v>
      </c>
      <c r="S494" s="21" t="n">
        <v>0</v>
      </c>
      <c r="T494" s="21" t="n">
        <v>0</v>
      </c>
      <c r="U494" s="21" t="n">
        <v>0</v>
      </c>
      <c r="V494" s="21">
        <f>$B$19</f>
        <v/>
      </c>
      <c r="W494" s="21">
        <f>$B$21</f>
        <v/>
      </c>
      <c r="X494" s="21">
        <f>0</f>
        <v/>
      </c>
      <c r="Y494" s="21">
        <f>2*$B$20</f>
        <v/>
      </c>
      <c r="Z494" s="21">
        <f>-$B$19</f>
        <v/>
      </c>
      <c r="AA494" s="21">
        <f>$B$21</f>
        <v/>
      </c>
      <c r="AB494" s="21" t="n">
        <v>0</v>
      </c>
      <c r="AC494" s="21" t="n">
        <v>0</v>
      </c>
      <c r="AD494" s="21" t="n">
        <v>0</v>
      </c>
      <c r="AE494" s="21" t="n">
        <v>0</v>
      </c>
      <c r="AF494" s="21" t="n">
        <v>0</v>
      </c>
      <c r="AG494" s="21" t="n">
        <v>0</v>
      </c>
      <c r="AH494" s="21" t="n">
        <v>0</v>
      </c>
      <c r="AI494" s="21" t="n">
        <v>0</v>
      </c>
      <c r="AJ494" s="21" t="n">
        <v>0</v>
      </c>
      <c r="AK494" s="21" t="n">
        <v>0</v>
      </c>
      <c r="AL494" s="21" t="n">
        <v>0</v>
      </c>
      <c r="AM494" s="21" t="n">
        <v>0</v>
      </c>
      <c r="AN494" s="21" t="n">
        <v>0</v>
      </c>
      <c r="AO494" s="21" t="n">
        <v>0</v>
      </c>
      <c r="AP494" s="21" t="n">
        <v>0</v>
      </c>
      <c r="AQ494" s="21" t="n">
        <v>0</v>
      </c>
      <c r="AR494" s="21" t="n">
        <v>0</v>
      </c>
      <c r="AS494" s="21" t="n">
        <v>0</v>
      </c>
      <c r="AT494" s="19" t="n"/>
    </row>
    <row r="495">
      <c r="D495" s="21" t="n">
        <v>0</v>
      </c>
      <c r="E495" s="21" t="n">
        <v>0</v>
      </c>
      <c r="F495" s="21" t="n">
        <v>0</v>
      </c>
      <c r="G495" s="21" t="n">
        <v>0</v>
      </c>
      <c r="H495" s="21" t="n">
        <v>0</v>
      </c>
      <c r="I495" s="21" t="n">
        <v>0</v>
      </c>
      <c r="J495" s="21" t="n">
        <v>0</v>
      </c>
      <c r="K495" s="21" t="n">
        <v>0</v>
      </c>
      <c r="L495" s="21" t="n">
        <v>0</v>
      </c>
      <c r="M495" s="21" t="n">
        <v>0</v>
      </c>
      <c r="N495" s="21" t="n">
        <v>0</v>
      </c>
      <c r="O495" s="21" t="n">
        <v>0</v>
      </c>
      <c r="P495" s="21" t="n">
        <v>0</v>
      </c>
      <c r="Q495" s="21" t="n">
        <v>0</v>
      </c>
      <c r="R495" s="21" t="n">
        <v>0</v>
      </c>
      <c r="S495" s="21" t="n">
        <v>0</v>
      </c>
      <c r="T495" s="21" t="n">
        <v>0</v>
      </c>
      <c r="U495" s="21" t="n">
        <v>0</v>
      </c>
      <c r="V495" s="21" t="n">
        <v>0</v>
      </c>
      <c r="W495" s="21" t="n">
        <v>0</v>
      </c>
      <c r="X495" s="21">
        <f>-$B$18</f>
        <v/>
      </c>
      <c r="Y495" s="21">
        <f>-$B$19</f>
        <v/>
      </c>
      <c r="Z495" s="21">
        <f>2*$B$18+$D$462</f>
        <v/>
      </c>
      <c r="AA495" s="21">
        <f>0</f>
        <v/>
      </c>
      <c r="AB495" s="21">
        <f>-$B$18</f>
        <v/>
      </c>
      <c r="AC495" s="21">
        <f>$B$19</f>
        <v/>
      </c>
      <c r="AD495" s="21" t="n">
        <v>0</v>
      </c>
      <c r="AE495" s="21" t="n">
        <v>0</v>
      </c>
      <c r="AF495" s="21" t="n">
        <v>0</v>
      </c>
      <c r="AG495" s="21" t="n">
        <v>0</v>
      </c>
      <c r="AH495" s="21" t="n">
        <v>0</v>
      </c>
      <c r="AI495" s="21" t="n">
        <v>0</v>
      </c>
      <c r="AJ495" s="21" t="n">
        <v>0</v>
      </c>
      <c r="AK495" s="21" t="n">
        <v>0</v>
      </c>
      <c r="AL495" s="21" t="n">
        <v>0</v>
      </c>
      <c r="AM495" s="21" t="n">
        <v>0</v>
      </c>
      <c r="AN495" s="21" t="n">
        <v>0</v>
      </c>
      <c r="AO495" s="21" t="n">
        <v>0</v>
      </c>
      <c r="AP495" s="21" t="n">
        <v>0</v>
      </c>
      <c r="AQ495" s="21" t="n">
        <v>0</v>
      </c>
      <c r="AR495" s="21" t="n">
        <v>0</v>
      </c>
      <c r="AS495" s="21" t="n">
        <v>0</v>
      </c>
      <c r="AT495" s="19" t="n"/>
    </row>
    <row r="496">
      <c r="D496" s="21" t="n">
        <v>0</v>
      </c>
      <c r="E496" s="21" t="n">
        <v>0</v>
      </c>
      <c r="F496" s="21" t="n">
        <v>0</v>
      </c>
      <c r="G496" s="21" t="n">
        <v>0</v>
      </c>
      <c r="H496" s="21" t="n">
        <v>0</v>
      </c>
      <c r="I496" s="21" t="n">
        <v>0</v>
      </c>
      <c r="J496" s="21" t="n">
        <v>0</v>
      </c>
      <c r="K496" s="21" t="n">
        <v>0</v>
      </c>
      <c r="L496" s="21" t="n">
        <v>0</v>
      </c>
      <c r="M496" s="21" t="n">
        <v>0</v>
      </c>
      <c r="N496" s="21" t="n">
        <v>0</v>
      </c>
      <c r="O496" s="21" t="n">
        <v>0</v>
      </c>
      <c r="P496" s="21" t="n">
        <v>0</v>
      </c>
      <c r="Q496" s="21" t="n">
        <v>0</v>
      </c>
      <c r="R496" s="21" t="n">
        <v>0</v>
      </c>
      <c r="S496" s="21" t="n">
        <v>0</v>
      </c>
      <c r="T496" s="21" t="n">
        <v>0</v>
      </c>
      <c r="U496" s="21" t="n">
        <v>0</v>
      </c>
      <c r="V496" s="21" t="n">
        <v>0</v>
      </c>
      <c r="W496" s="21" t="n">
        <v>0</v>
      </c>
      <c r="X496" s="21">
        <f>$B$19</f>
        <v/>
      </c>
      <c r="Y496" s="21">
        <f>$B$21</f>
        <v/>
      </c>
      <c r="Z496" s="21">
        <f>0</f>
        <v/>
      </c>
      <c r="AA496" s="21">
        <f>2*$B$20</f>
        <v/>
      </c>
      <c r="AB496" s="21">
        <f>-$B$19</f>
        <v/>
      </c>
      <c r="AC496" s="21">
        <f>$B$21</f>
        <v/>
      </c>
      <c r="AD496" s="21" t="n">
        <v>0</v>
      </c>
      <c r="AE496" s="21" t="n">
        <v>0</v>
      </c>
      <c r="AF496" s="21" t="n">
        <v>0</v>
      </c>
      <c r="AG496" s="21" t="n">
        <v>0</v>
      </c>
      <c r="AH496" s="21" t="n">
        <v>0</v>
      </c>
      <c r="AI496" s="21" t="n">
        <v>0</v>
      </c>
      <c r="AJ496" s="21" t="n">
        <v>0</v>
      </c>
      <c r="AK496" s="21" t="n">
        <v>0</v>
      </c>
      <c r="AL496" s="21" t="n">
        <v>0</v>
      </c>
      <c r="AM496" s="21" t="n">
        <v>0</v>
      </c>
      <c r="AN496" s="21" t="n">
        <v>0</v>
      </c>
      <c r="AO496" s="21" t="n">
        <v>0</v>
      </c>
      <c r="AP496" s="21" t="n">
        <v>0</v>
      </c>
      <c r="AQ496" s="21" t="n">
        <v>0</v>
      </c>
      <c r="AR496" s="21" t="n">
        <v>0</v>
      </c>
      <c r="AS496" s="21" t="n">
        <v>0</v>
      </c>
      <c r="AT496" s="19" t="n"/>
    </row>
    <row r="497">
      <c r="D497" s="21" t="n">
        <v>0</v>
      </c>
      <c r="E497" s="21" t="n">
        <v>0</v>
      </c>
      <c r="F497" s="21" t="n">
        <v>0</v>
      </c>
      <c r="G497" s="21" t="n">
        <v>0</v>
      </c>
      <c r="H497" s="21" t="n">
        <v>0</v>
      </c>
      <c r="I497" s="21" t="n">
        <v>0</v>
      </c>
      <c r="J497" s="21" t="n">
        <v>0</v>
      </c>
      <c r="K497" s="21" t="n">
        <v>0</v>
      </c>
      <c r="L497" s="21" t="n">
        <v>0</v>
      </c>
      <c r="M497" s="21" t="n">
        <v>0</v>
      </c>
      <c r="N497" s="21" t="n">
        <v>0</v>
      </c>
      <c r="O497" s="21" t="n">
        <v>0</v>
      </c>
      <c r="P497" s="21" t="n">
        <v>0</v>
      </c>
      <c r="Q497" s="21" t="n">
        <v>0</v>
      </c>
      <c r="R497" s="21" t="n">
        <v>0</v>
      </c>
      <c r="S497" s="21" t="n">
        <v>0</v>
      </c>
      <c r="T497" s="21" t="n">
        <v>0</v>
      </c>
      <c r="U497" s="21" t="n">
        <v>0</v>
      </c>
      <c r="V497" s="21" t="n">
        <v>0</v>
      </c>
      <c r="W497" s="21" t="n">
        <v>0</v>
      </c>
      <c r="X497" s="21" t="n">
        <v>0</v>
      </c>
      <c r="Y497" s="21" t="n">
        <v>0</v>
      </c>
      <c r="Z497" s="21">
        <f>-$B$18</f>
        <v/>
      </c>
      <c r="AA497" s="21">
        <f>-$B$19</f>
        <v/>
      </c>
      <c r="AB497" s="21">
        <f>2*$B$18+$D$463</f>
        <v/>
      </c>
      <c r="AC497" s="21">
        <f>0</f>
        <v/>
      </c>
      <c r="AD497" s="21">
        <f>-$B$18</f>
        <v/>
      </c>
      <c r="AE497" s="21">
        <f>$B$19</f>
        <v/>
      </c>
      <c r="AF497" s="21" t="n">
        <v>0</v>
      </c>
      <c r="AG497" s="21" t="n">
        <v>0</v>
      </c>
      <c r="AH497" s="21" t="n">
        <v>0</v>
      </c>
      <c r="AI497" s="21" t="n">
        <v>0</v>
      </c>
      <c r="AJ497" s="21" t="n">
        <v>0</v>
      </c>
      <c r="AK497" s="21" t="n">
        <v>0</v>
      </c>
      <c r="AL497" s="21" t="n">
        <v>0</v>
      </c>
      <c r="AM497" s="21" t="n">
        <v>0</v>
      </c>
      <c r="AN497" s="21" t="n">
        <v>0</v>
      </c>
      <c r="AO497" s="21" t="n">
        <v>0</v>
      </c>
      <c r="AP497" s="21" t="n">
        <v>0</v>
      </c>
      <c r="AQ497" s="21" t="n">
        <v>0</v>
      </c>
      <c r="AR497" s="21" t="n">
        <v>0</v>
      </c>
      <c r="AS497" s="21" t="n">
        <v>0</v>
      </c>
      <c r="AT497" s="19" t="n"/>
    </row>
    <row r="498">
      <c r="D498" s="21" t="n">
        <v>0</v>
      </c>
      <c r="E498" s="21" t="n">
        <v>0</v>
      </c>
      <c r="F498" s="21" t="n">
        <v>0</v>
      </c>
      <c r="G498" s="21" t="n">
        <v>0</v>
      </c>
      <c r="H498" s="21" t="n">
        <v>0</v>
      </c>
      <c r="I498" s="21" t="n">
        <v>0</v>
      </c>
      <c r="J498" s="21" t="n">
        <v>0</v>
      </c>
      <c r="K498" s="21" t="n">
        <v>0</v>
      </c>
      <c r="L498" s="21" t="n">
        <v>0</v>
      </c>
      <c r="M498" s="21" t="n">
        <v>0</v>
      </c>
      <c r="N498" s="21" t="n">
        <v>0</v>
      </c>
      <c r="O498" s="21" t="n">
        <v>0</v>
      </c>
      <c r="P498" s="21" t="n">
        <v>0</v>
      </c>
      <c r="Q498" s="21" t="n">
        <v>0</v>
      </c>
      <c r="R498" s="21" t="n">
        <v>0</v>
      </c>
      <c r="S498" s="21" t="n">
        <v>0</v>
      </c>
      <c r="T498" s="21" t="n">
        <v>0</v>
      </c>
      <c r="U498" s="21" t="n">
        <v>0</v>
      </c>
      <c r="V498" s="21" t="n">
        <v>0</v>
      </c>
      <c r="W498" s="21" t="n">
        <v>0</v>
      </c>
      <c r="X498" s="21" t="n">
        <v>0</v>
      </c>
      <c r="Y498" s="21" t="n">
        <v>0</v>
      </c>
      <c r="Z498" s="21">
        <f>$B$19</f>
        <v/>
      </c>
      <c r="AA498" s="21">
        <f>$B$21</f>
        <v/>
      </c>
      <c r="AB498" s="21">
        <f>0</f>
        <v/>
      </c>
      <c r="AC498" s="21">
        <f>2*$B$20</f>
        <v/>
      </c>
      <c r="AD498" s="21">
        <f>-$B$19</f>
        <v/>
      </c>
      <c r="AE498" s="21">
        <f>$B$21</f>
        <v/>
      </c>
      <c r="AF498" s="21" t="n">
        <v>0</v>
      </c>
      <c r="AG498" s="21" t="n">
        <v>0</v>
      </c>
      <c r="AH498" s="21" t="n">
        <v>0</v>
      </c>
      <c r="AI498" s="21" t="n">
        <v>0</v>
      </c>
      <c r="AJ498" s="21" t="n">
        <v>0</v>
      </c>
      <c r="AK498" s="21" t="n">
        <v>0</v>
      </c>
      <c r="AL498" s="21" t="n">
        <v>0</v>
      </c>
      <c r="AM498" s="21" t="n">
        <v>0</v>
      </c>
      <c r="AN498" s="21" t="n">
        <v>0</v>
      </c>
      <c r="AO498" s="21" t="n">
        <v>0</v>
      </c>
      <c r="AP498" s="21" t="n">
        <v>0</v>
      </c>
      <c r="AQ498" s="21" t="n">
        <v>0</v>
      </c>
      <c r="AR498" s="21" t="n">
        <v>0</v>
      </c>
      <c r="AS498" s="21" t="n">
        <v>0</v>
      </c>
      <c r="AT498" s="19" t="n"/>
    </row>
    <row r="499">
      <c r="D499" s="21" t="n">
        <v>0</v>
      </c>
      <c r="E499" s="21" t="n">
        <v>0</v>
      </c>
      <c r="F499" s="21" t="n">
        <v>0</v>
      </c>
      <c r="G499" s="21" t="n">
        <v>0</v>
      </c>
      <c r="H499" s="21" t="n">
        <v>0</v>
      </c>
      <c r="I499" s="21" t="n">
        <v>0</v>
      </c>
      <c r="J499" s="21" t="n">
        <v>0</v>
      </c>
      <c r="K499" s="21" t="n">
        <v>0</v>
      </c>
      <c r="L499" s="21" t="n">
        <v>0</v>
      </c>
      <c r="M499" s="21" t="n">
        <v>0</v>
      </c>
      <c r="N499" s="21" t="n">
        <v>0</v>
      </c>
      <c r="O499" s="21" t="n">
        <v>0</v>
      </c>
      <c r="P499" s="21" t="n">
        <v>0</v>
      </c>
      <c r="Q499" s="21" t="n">
        <v>0</v>
      </c>
      <c r="R499" s="21" t="n">
        <v>0</v>
      </c>
      <c r="S499" s="21" t="n">
        <v>0</v>
      </c>
      <c r="T499" s="21" t="n">
        <v>0</v>
      </c>
      <c r="U499" s="21" t="n">
        <v>0</v>
      </c>
      <c r="V499" s="21" t="n">
        <v>0</v>
      </c>
      <c r="W499" s="21" t="n">
        <v>0</v>
      </c>
      <c r="X499" s="21" t="n">
        <v>0</v>
      </c>
      <c r="Y499" s="21" t="n">
        <v>0</v>
      </c>
      <c r="Z499" s="21" t="n">
        <v>0</v>
      </c>
      <c r="AA499" s="21" t="n">
        <v>0</v>
      </c>
      <c r="AB499" s="21">
        <f>-$B$18</f>
        <v/>
      </c>
      <c r="AC499" s="21">
        <f>-$B$19</f>
        <v/>
      </c>
      <c r="AD499" s="21">
        <f>2*$B$18+$D$464</f>
        <v/>
      </c>
      <c r="AE499" s="21">
        <f>0</f>
        <v/>
      </c>
      <c r="AF499" s="21">
        <f>-$B$18</f>
        <v/>
      </c>
      <c r="AG499" s="21">
        <f>$B$19</f>
        <v/>
      </c>
      <c r="AH499" s="21" t="n">
        <v>0</v>
      </c>
      <c r="AI499" s="21" t="n">
        <v>0</v>
      </c>
      <c r="AJ499" s="21" t="n">
        <v>0</v>
      </c>
      <c r="AK499" s="21" t="n">
        <v>0</v>
      </c>
      <c r="AL499" s="21" t="n">
        <v>0</v>
      </c>
      <c r="AM499" s="21" t="n">
        <v>0</v>
      </c>
      <c r="AN499" s="21" t="n">
        <v>0</v>
      </c>
      <c r="AO499" s="21" t="n">
        <v>0</v>
      </c>
      <c r="AP499" s="21" t="n">
        <v>0</v>
      </c>
      <c r="AQ499" s="21" t="n">
        <v>0</v>
      </c>
      <c r="AR499" s="21" t="n">
        <v>0</v>
      </c>
      <c r="AS499" s="21" t="n">
        <v>0</v>
      </c>
      <c r="AT499" s="19" t="n"/>
    </row>
    <row r="500">
      <c r="D500" s="21" t="n">
        <v>0</v>
      </c>
      <c r="E500" s="21" t="n">
        <v>0</v>
      </c>
      <c r="F500" s="21" t="n">
        <v>0</v>
      </c>
      <c r="G500" s="21" t="n">
        <v>0</v>
      </c>
      <c r="H500" s="21" t="n">
        <v>0</v>
      </c>
      <c r="I500" s="21" t="n">
        <v>0</v>
      </c>
      <c r="J500" s="21" t="n">
        <v>0</v>
      </c>
      <c r="K500" s="21" t="n">
        <v>0</v>
      </c>
      <c r="L500" s="21" t="n">
        <v>0</v>
      </c>
      <c r="M500" s="21" t="n">
        <v>0</v>
      </c>
      <c r="N500" s="21" t="n">
        <v>0</v>
      </c>
      <c r="O500" s="21" t="n">
        <v>0</v>
      </c>
      <c r="P500" s="21" t="n">
        <v>0</v>
      </c>
      <c r="Q500" s="21" t="n">
        <v>0</v>
      </c>
      <c r="R500" s="21" t="n">
        <v>0</v>
      </c>
      <c r="S500" s="21" t="n">
        <v>0</v>
      </c>
      <c r="T500" s="21" t="n">
        <v>0</v>
      </c>
      <c r="U500" s="21" t="n">
        <v>0</v>
      </c>
      <c r="V500" s="21" t="n">
        <v>0</v>
      </c>
      <c r="W500" s="21" t="n">
        <v>0</v>
      </c>
      <c r="X500" s="21" t="n">
        <v>0</v>
      </c>
      <c r="Y500" s="21" t="n">
        <v>0</v>
      </c>
      <c r="Z500" s="21" t="n">
        <v>0</v>
      </c>
      <c r="AA500" s="21" t="n">
        <v>0</v>
      </c>
      <c r="AB500" s="21">
        <f>$B$19</f>
        <v/>
      </c>
      <c r="AC500" s="21">
        <f>$B$21</f>
        <v/>
      </c>
      <c r="AD500" s="21">
        <f>0</f>
        <v/>
      </c>
      <c r="AE500" s="21">
        <f>2*$B$20</f>
        <v/>
      </c>
      <c r="AF500" s="21">
        <f>-$B$19</f>
        <v/>
      </c>
      <c r="AG500" s="21">
        <f>$B$21</f>
        <v/>
      </c>
      <c r="AH500" s="21" t="n">
        <v>0</v>
      </c>
      <c r="AI500" s="21" t="n">
        <v>0</v>
      </c>
      <c r="AJ500" s="21" t="n">
        <v>0</v>
      </c>
      <c r="AK500" s="21" t="n">
        <v>0</v>
      </c>
      <c r="AL500" s="21" t="n">
        <v>0</v>
      </c>
      <c r="AM500" s="21" t="n">
        <v>0</v>
      </c>
      <c r="AN500" s="21" t="n">
        <v>0</v>
      </c>
      <c r="AO500" s="21" t="n">
        <v>0</v>
      </c>
      <c r="AP500" s="21" t="n">
        <v>0</v>
      </c>
      <c r="AQ500" s="21" t="n">
        <v>0</v>
      </c>
      <c r="AR500" s="21" t="n">
        <v>0</v>
      </c>
      <c r="AS500" s="21" t="n">
        <v>0</v>
      </c>
      <c r="AT500" s="19" t="n"/>
    </row>
    <row r="501">
      <c r="D501" s="21" t="n">
        <v>0</v>
      </c>
      <c r="E501" s="21" t="n">
        <v>0</v>
      </c>
      <c r="F501" s="21" t="n">
        <v>0</v>
      </c>
      <c r="G501" s="21" t="n">
        <v>0</v>
      </c>
      <c r="H501" s="21" t="n">
        <v>0</v>
      </c>
      <c r="I501" s="21" t="n">
        <v>0</v>
      </c>
      <c r="J501" s="21" t="n">
        <v>0</v>
      </c>
      <c r="K501" s="21" t="n">
        <v>0</v>
      </c>
      <c r="L501" s="21" t="n">
        <v>0</v>
      </c>
      <c r="M501" s="21" t="n">
        <v>0</v>
      </c>
      <c r="N501" s="21" t="n">
        <v>0</v>
      </c>
      <c r="O501" s="21" t="n">
        <v>0</v>
      </c>
      <c r="P501" s="21" t="n">
        <v>0</v>
      </c>
      <c r="Q501" s="21" t="n">
        <v>0</v>
      </c>
      <c r="R501" s="21" t="n">
        <v>0</v>
      </c>
      <c r="S501" s="21" t="n">
        <v>0</v>
      </c>
      <c r="T501" s="21" t="n">
        <v>0</v>
      </c>
      <c r="U501" s="21" t="n">
        <v>0</v>
      </c>
      <c r="V501" s="21" t="n">
        <v>0</v>
      </c>
      <c r="W501" s="21" t="n">
        <v>0</v>
      </c>
      <c r="X501" s="21" t="n">
        <v>0</v>
      </c>
      <c r="Y501" s="21" t="n">
        <v>0</v>
      </c>
      <c r="Z501" s="21" t="n">
        <v>0</v>
      </c>
      <c r="AA501" s="21" t="n">
        <v>0</v>
      </c>
      <c r="AB501" s="21" t="n">
        <v>0</v>
      </c>
      <c r="AC501" s="21" t="n">
        <v>0</v>
      </c>
      <c r="AD501" s="21">
        <f>-$B$18</f>
        <v/>
      </c>
      <c r="AE501" s="21">
        <f>-$B$19</f>
        <v/>
      </c>
      <c r="AF501" s="21">
        <f>2*$B$18+$D$465</f>
        <v/>
      </c>
      <c r="AG501" s="21">
        <f>0</f>
        <v/>
      </c>
      <c r="AH501" s="21">
        <f>-$B$18</f>
        <v/>
      </c>
      <c r="AI501" s="21">
        <f>$B$19</f>
        <v/>
      </c>
      <c r="AJ501" s="21" t="n">
        <v>0</v>
      </c>
      <c r="AK501" s="21" t="n">
        <v>0</v>
      </c>
      <c r="AL501" s="21" t="n">
        <v>0</v>
      </c>
      <c r="AM501" s="21" t="n">
        <v>0</v>
      </c>
      <c r="AN501" s="21" t="n">
        <v>0</v>
      </c>
      <c r="AO501" s="21" t="n">
        <v>0</v>
      </c>
      <c r="AP501" s="21" t="n">
        <v>0</v>
      </c>
      <c r="AQ501" s="21" t="n">
        <v>0</v>
      </c>
      <c r="AR501" s="21" t="n">
        <v>0</v>
      </c>
      <c r="AS501" s="21" t="n">
        <v>0</v>
      </c>
      <c r="AT501" s="19" t="n"/>
    </row>
    <row r="502">
      <c r="D502" s="21" t="n">
        <v>0</v>
      </c>
      <c r="E502" s="21" t="n">
        <v>0</v>
      </c>
      <c r="F502" s="21" t="n">
        <v>0</v>
      </c>
      <c r="G502" s="21" t="n">
        <v>0</v>
      </c>
      <c r="H502" s="21" t="n">
        <v>0</v>
      </c>
      <c r="I502" s="21" t="n">
        <v>0</v>
      </c>
      <c r="J502" s="21" t="n">
        <v>0</v>
      </c>
      <c r="K502" s="21" t="n">
        <v>0</v>
      </c>
      <c r="L502" s="21" t="n">
        <v>0</v>
      </c>
      <c r="M502" s="21" t="n">
        <v>0</v>
      </c>
      <c r="N502" s="21" t="n">
        <v>0</v>
      </c>
      <c r="O502" s="21" t="n">
        <v>0</v>
      </c>
      <c r="P502" s="21" t="n">
        <v>0</v>
      </c>
      <c r="Q502" s="21" t="n">
        <v>0</v>
      </c>
      <c r="R502" s="21" t="n">
        <v>0</v>
      </c>
      <c r="S502" s="21" t="n">
        <v>0</v>
      </c>
      <c r="T502" s="21" t="n">
        <v>0</v>
      </c>
      <c r="U502" s="21" t="n">
        <v>0</v>
      </c>
      <c r="V502" s="21" t="n">
        <v>0</v>
      </c>
      <c r="W502" s="21" t="n">
        <v>0</v>
      </c>
      <c r="X502" s="21" t="n">
        <v>0</v>
      </c>
      <c r="Y502" s="21" t="n">
        <v>0</v>
      </c>
      <c r="Z502" s="21" t="n">
        <v>0</v>
      </c>
      <c r="AA502" s="21" t="n">
        <v>0</v>
      </c>
      <c r="AB502" s="21" t="n">
        <v>0</v>
      </c>
      <c r="AC502" s="21" t="n">
        <v>0</v>
      </c>
      <c r="AD502" s="21">
        <f>$B$19</f>
        <v/>
      </c>
      <c r="AE502" s="21">
        <f>$B$21</f>
        <v/>
      </c>
      <c r="AF502" s="21">
        <f>0</f>
        <v/>
      </c>
      <c r="AG502" s="21">
        <f>2*$B$20</f>
        <v/>
      </c>
      <c r="AH502" s="21">
        <f>-$B$19</f>
        <v/>
      </c>
      <c r="AI502" s="21">
        <f>$B$21</f>
        <v/>
      </c>
      <c r="AJ502" s="21" t="n">
        <v>0</v>
      </c>
      <c r="AK502" s="21" t="n">
        <v>0</v>
      </c>
      <c r="AL502" s="21" t="n">
        <v>0</v>
      </c>
      <c r="AM502" s="21" t="n">
        <v>0</v>
      </c>
      <c r="AN502" s="21" t="n">
        <v>0</v>
      </c>
      <c r="AO502" s="21" t="n">
        <v>0</v>
      </c>
      <c r="AP502" s="21" t="n">
        <v>0</v>
      </c>
      <c r="AQ502" s="21" t="n">
        <v>0</v>
      </c>
      <c r="AR502" s="21" t="n">
        <v>0</v>
      </c>
      <c r="AS502" s="21" t="n">
        <v>0</v>
      </c>
      <c r="AT502" s="19" t="n"/>
    </row>
    <row r="503">
      <c r="D503" s="21" t="n">
        <v>0</v>
      </c>
      <c r="E503" s="21" t="n">
        <v>0</v>
      </c>
      <c r="F503" s="21" t="n">
        <v>0</v>
      </c>
      <c r="G503" s="21" t="n">
        <v>0</v>
      </c>
      <c r="H503" s="21" t="n">
        <v>0</v>
      </c>
      <c r="I503" s="21" t="n">
        <v>0</v>
      </c>
      <c r="J503" s="21" t="n">
        <v>0</v>
      </c>
      <c r="K503" s="21" t="n">
        <v>0</v>
      </c>
      <c r="L503" s="21" t="n">
        <v>0</v>
      </c>
      <c r="M503" s="21" t="n">
        <v>0</v>
      </c>
      <c r="N503" s="21" t="n">
        <v>0</v>
      </c>
      <c r="O503" s="21" t="n">
        <v>0</v>
      </c>
      <c r="P503" s="21" t="n">
        <v>0</v>
      </c>
      <c r="Q503" s="21" t="n">
        <v>0</v>
      </c>
      <c r="R503" s="21" t="n">
        <v>0</v>
      </c>
      <c r="S503" s="21" t="n">
        <v>0</v>
      </c>
      <c r="T503" s="21" t="n">
        <v>0</v>
      </c>
      <c r="U503" s="21" t="n">
        <v>0</v>
      </c>
      <c r="V503" s="21" t="n">
        <v>0</v>
      </c>
      <c r="W503" s="21" t="n">
        <v>0</v>
      </c>
      <c r="X503" s="21" t="n">
        <v>0</v>
      </c>
      <c r="Y503" s="21" t="n">
        <v>0</v>
      </c>
      <c r="Z503" s="21" t="n">
        <v>0</v>
      </c>
      <c r="AA503" s="21" t="n">
        <v>0</v>
      </c>
      <c r="AB503" s="21" t="n">
        <v>0</v>
      </c>
      <c r="AC503" s="21" t="n">
        <v>0</v>
      </c>
      <c r="AD503" s="21" t="n">
        <v>0</v>
      </c>
      <c r="AE503" s="21" t="n">
        <v>0</v>
      </c>
      <c r="AF503" s="21">
        <f>-$B$18</f>
        <v/>
      </c>
      <c r="AG503" s="21">
        <f>-$B$19</f>
        <v/>
      </c>
      <c r="AH503" s="21">
        <f>2*$B$18+$D$466</f>
        <v/>
      </c>
      <c r="AI503" s="21">
        <f>0</f>
        <v/>
      </c>
      <c r="AJ503" s="21">
        <f>-$B$18</f>
        <v/>
      </c>
      <c r="AK503" s="21">
        <f>$B$19</f>
        <v/>
      </c>
      <c r="AL503" s="21" t="n">
        <v>0</v>
      </c>
      <c r="AM503" s="21" t="n">
        <v>0</v>
      </c>
      <c r="AN503" s="21" t="n">
        <v>0</v>
      </c>
      <c r="AO503" s="21" t="n">
        <v>0</v>
      </c>
      <c r="AP503" s="21" t="n">
        <v>0</v>
      </c>
      <c r="AQ503" s="21" t="n">
        <v>0</v>
      </c>
      <c r="AR503" s="21" t="n">
        <v>0</v>
      </c>
      <c r="AS503" s="21" t="n">
        <v>0</v>
      </c>
      <c r="AT503" s="19" t="n"/>
    </row>
    <row r="504">
      <c r="D504" s="21" t="n">
        <v>0</v>
      </c>
      <c r="E504" s="21" t="n">
        <v>0</v>
      </c>
      <c r="F504" s="21" t="n">
        <v>0</v>
      </c>
      <c r="G504" s="21" t="n">
        <v>0</v>
      </c>
      <c r="H504" s="21" t="n">
        <v>0</v>
      </c>
      <c r="I504" s="21" t="n">
        <v>0</v>
      </c>
      <c r="J504" s="21" t="n">
        <v>0</v>
      </c>
      <c r="K504" s="21" t="n">
        <v>0</v>
      </c>
      <c r="L504" s="21" t="n">
        <v>0</v>
      </c>
      <c r="M504" s="21" t="n">
        <v>0</v>
      </c>
      <c r="N504" s="21" t="n">
        <v>0</v>
      </c>
      <c r="O504" s="21" t="n">
        <v>0</v>
      </c>
      <c r="P504" s="21" t="n">
        <v>0</v>
      </c>
      <c r="Q504" s="21" t="n">
        <v>0</v>
      </c>
      <c r="R504" s="21" t="n">
        <v>0</v>
      </c>
      <c r="S504" s="21" t="n">
        <v>0</v>
      </c>
      <c r="T504" s="21" t="n">
        <v>0</v>
      </c>
      <c r="U504" s="21" t="n">
        <v>0</v>
      </c>
      <c r="V504" s="21" t="n">
        <v>0</v>
      </c>
      <c r="W504" s="21" t="n">
        <v>0</v>
      </c>
      <c r="X504" s="21" t="n">
        <v>0</v>
      </c>
      <c r="Y504" s="21" t="n">
        <v>0</v>
      </c>
      <c r="Z504" s="21" t="n">
        <v>0</v>
      </c>
      <c r="AA504" s="21" t="n">
        <v>0</v>
      </c>
      <c r="AB504" s="21" t="n">
        <v>0</v>
      </c>
      <c r="AC504" s="21" t="n">
        <v>0</v>
      </c>
      <c r="AD504" s="21" t="n">
        <v>0</v>
      </c>
      <c r="AE504" s="21" t="n">
        <v>0</v>
      </c>
      <c r="AF504" s="21">
        <f>$B$19</f>
        <v/>
      </c>
      <c r="AG504" s="21">
        <f>$B$21</f>
        <v/>
      </c>
      <c r="AH504" s="21">
        <f>0</f>
        <v/>
      </c>
      <c r="AI504" s="21">
        <f>2*$B$20</f>
        <v/>
      </c>
      <c r="AJ504" s="21">
        <f>-$B$19</f>
        <v/>
      </c>
      <c r="AK504" s="21">
        <f>$B$21</f>
        <v/>
      </c>
      <c r="AL504" s="21" t="n">
        <v>0</v>
      </c>
      <c r="AM504" s="21" t="n">
        <v>0</v>
      </c>
      <c r="AN504" s="21" t="n">
        <v>0</v>
      </c>
      <c r="AO504" s="21" t="n">
        <v>0</v>
      </c>
      <c r="AP504" s="21" t="n">
        <v>0</v>
      </c>
      <c r="AQ504" s="21" t="n">
        <v>0</v>
      </c>
      <c r="AR504" s="21" t="n">
        <v>0</v>
      </c>
      <c r="AS504" s="21" t="n">
        <v>0</v>
      </c>
      <c r="AT504" s="19" t="n"/>
    </row>
    <row r="505">
      <c r="D505" s="21" t="n">
        <v>0</v>
      </c>
      <c r="E505" s="21" t="n">
        <v>0</v>
      </c>
      <c r="F505" s="21" t="n">
        <v>0</v>
      </c>
      <c r="G505" s="21" t="n">
        <v>0</v>
      </c>
      <c r="H505" s="21" t="n">
        <v>0</v>
      </c>
      <c r="I505" s="21" t="n">
        <v>0</v>
      </c>
      <c r="J505" s="21" t="n">
        <v>0</v>
      </c>
      <c r="K505" s="21" t="n">
        <v>0</v>
      </c>
      <c r="L505" s="21" t="n">
        <v>0</v>
      </c>
      <c r="M505" s="21" t="n">
        <v>0</v>
      </c>
      <c r="N505" s="21" t="n">
        <v>0</v>
      </c>
      <c r="O505" s="21" t="n">
        <v>0</v>
      </c>
      <c r="P505" s="21" t="n">
        <v>0</v>
      </c>
      <c r="Q505" s="21" t="n">
        <v>0</v>
      </c>
      <c r="R505" s="21" t="n">
        <v>0</v>
      </c>
      <c r="S505" s="21" t="n">
        <v>0</v>
      </c>
      <c r="T505" s="21" t="n">
        <v>0</v>
      </c>
      <c r="U505" s="21" t="n">
        <v>0</v>
      </c>
      <c r="V505" s="21" t="n">
        <v>0</v>
      </c>
      <c r="W505" s="21" t="n">
        <v>0</v>
      </c>
      <c r="X505" s="21" t="n">
        <v>0</v>
      </c>
      <c r="Y505" s="21" t="n">
        <v>0</v>
      </c>
      <c r="Z505" s="21" t="n">
        <v>0</v>
      </c>
      <c r="AA505" s="21" t="n">
        <v>0</v>
      </c>
      <c r="AB505" s="21" t="n">
        <v>0</v>
      </c>
      <c r="AC505" s="21" t="n">
        <v>0</v>
      </c>
      <c r="AD505" s="21" t="n">
        <v>0</v>
      </c>
      <c r="AE505" s="21" t="n">
        <v>0</v>
      </c>
      <c r="AF505" s="21" t="n">
        <v>0</v>
      </c>
      <c r="AG505" s="21" t="n">
        <v>0</v>
      </c>
      <c r="AH505" s="21">
        <f>-$B$18</f>
        <v/>
      </c>
      <c r="AI505" s="21">
        <f>-$B$19</f>
        <v/>
      </c>
      <c r="AJ505" s="21">
        <f>2*$B$18+$D$467</f>
        <v/>
      </c>
      <c r="AK505" s="21">
        <f>0</f>
        <v/>
      </c>
      <c r="AL505" s="21">
        <f>-$B$18</f>
        <v/>
      </c>
      <c r="AM505" s="21">
        <f>$B$19</f>
        <v/>
      </c>
      <c r="AN505" s="21" t="n">
        <v>0</v>
      </c>
      <c r="AO505" s="21" t="n">
        <v>0</v>
      </c>
      <c r="AP505" s="21" t="n">
        <v>0</v>
      </c>
      <c r="AQ505" s="21" t="n">
        <v>0</v>
      </c>
      <c r="AR505" s="21" t="n">
        <v>0</v>
      </c>
      <c r="AS505" s="21" t="n">
        <v>0</v>
      </c>
      <c r="AT505" s="19" t="n"/>
    </row>
    <row r="506">
      <c r="D506" s="21" t="n">
        <v>0</v>
      </c>
      <c r="E506" s="21" t="n">
        <v>0</v>
      </c>
      <c r="F506" s="21" t="n">
        <v>0</v>
      </c>
      <c r="G506" s="21" t="n">
        <v>0</v>
      </c>
      <c r="H506" s="21" t="n">
        <v>0</v>
      </c>
      <c r="I506" s="21" t="n">
        <v>0</v>
      </c>
      <c r="J506" s="21" t="n">
        <v>0</v>
      </c>
      <c r="K506" s="21" t="n">
        <v>0</v>
      </c>
      <c r="L506" s="21" t="n">
        <v>0</v>
      </c>
      <c r="M506" s="21" t="n">
        <v>0</v>
      </c>
      <c r="N506" s="21" t="n">
        <v>0</v>
      </c>
      <c r="O506" s="21" t="n">
        <v>0</v>
      </c>
      <c r="P506" s="21" t="n">
        <v>0</v>
      </c>
      <c r="Q506" s="21" t="n">
        <v>0</v>
      </c>
      <c r="R506" s="21" t="n">
        <v>0</v>
      </c>
      <c r="S506" s="21" t="n">
        <v>0</v>
      </c>
      <c r="T506" s="21" t="n">
        <v>0</v>
      </c>
      <c r="U506" s="21" t="n">
        <v>0</v>
      </c>
      <c r="V506" s="21" t="n">
        <v>0</v>
      </c>
      <c r="W506" s="21" t="n">
        <v>0</v>
      </c>
      <c r="X506" s="21" t="n">
        <v>0</v>
      </c>
      <c r="Y506" s="21" t="n">
        <v>0</v>
      </c>
      <c r="Z506" s="21" t="n">
        <v>0</v>
      </c>
      <c r="AA506" s="21" t="n">
        <v>0</v>
      </c>
      <c r="AB506" s="21" t="n">
        <v>0</v>
      </c>
      <c r="AC506" s="21" t="n">
        <v>0</v>
      </c>
      <c r="AD506" s="21" t="n">
        <v>0</v>
      </c>
      <c r="AE506" s="21" t="n">
        <v>0</v>
      </c>
      <c r="AF506" s="21" t="n">
        <v>0</v>
      </c>
      <c r="AG506" s="21" t="n">
        <v>0</v>
      </c>
      <c r="AH506" s="21">
        <f>$B$19</f>
        <v/>
      </c>
      <c r="AI506" s="21">
        <f>$B$21</f>
        <v/>
      </c>
      <c r="AJ506" s="21">
        <f>0</f>
        <v/>
      </c>
      <c r="AK506" s="21">
        <f>2*$B$20</f>
        <v/>
      </c>
      <c r="AL506" s="21">
        <f>-$B$19</f>
        <v/>
      </c>
      <c r="AM506" s="21">
        <f>$B$21</f>
        <v/>
      </c>
      <c r="AN506" s="21" t="n">
        <v>0</v>
      </c>
      <c r="AO506" s="21" t="n">
        <v>0</v>
      </c>
      <c r="AP506" s="21" t="n">
        <v>0</v>
      </c>
      <c r="AQ506" s="21" t="n">
        <v>0</v>
      </c>
      <c r="AR506" s="21" t="n">
        <v>0</v>
      </c>
      <c r="AS506" s="21" t="n">
        <v>0</v>
      </c>
      <c r="AT506" s="19" t="n"/>
    </row>
    <row r="507">
      <c r="D507" s="21" t="n">
        <v>0</v>
      </c>
      <c r="E507" s="21" t="n">
        <v>0</v>
      </c>
      <c r="F507" s="21" t="n">
        <v>0</v>
      </c>
      <c r="G507" s="21" t="n">
        <v>0</v>
      </c>
      <c r="H507" s="21" t="n">
        <v>0</v>
      </c>
      <c r="I507" s="21" t="n">
        <v>0</v>
      </c>
      <c r="J507" s="21" t="n">
        <v>0</v>
      </c>
      <c r="K507" s="21" t="n">
        <v>0</v>
      </c>
      <c r="L507" s="21" t="n">
        <v>0</v>
      </c>
      <c r="M507" s="21" t="n">
        <v>0</v>
      </c>
      <c r="N507" s="21" t="n">
        <v>0</v>
      </c>
      <c r="O507" s="21" t="n">
        <v>0</v>
      </c>
      <c r="P507" s="21" t="n">
        <v>0</v>
      </c>
      <c r="Q507" s="21" t="n">
        <v>0</v>
      </c>
      <c r="R507" s="21" t="n">
        <v>0</v>
      </c>
      <c r="S507" s="21" t="n">
        <v>0</v>
      </c>
      <c r="T507" s="21" t="n">
        <v>0</v>
      </c>
      <c r="U507" s="21" t="n">
        <v>0</v>
      </c>
      <c r="V507" s="21" t="n">
        <v>0</v>
      </c>
      <c r="W507" s="21" t="n">
        <v>0</v>
      </c>
      <c r="X507" s="21" t="n">
        <v>0</v>
      </c>
      <c r="Y507" s="21" t="n">
        <v>0</v>
      </c>
      <c r="Z507" s="21" t="n">
        <v>0</v>
      </c>
      <c r="AA507" s="21" t="n">
        <v>0</v>
      </c>
      <c r="AB507" s="21" t="n">
        <v>0</v>
      </c>
      <c r="AC507" s="21" t="n">
        <v>0</v>
      </c>
      <c r="AD507" s="21" t="n">
        <v>0</v>
      </c>
      <c r="AE507" s="21" t="n">
        <v>0</v>
      </c>
      <c r="AF507" s="21" t="n">
        <v>0</v>
      </c>
      <c r="AG507" s="21" t="n">
        <v>0</v>
      </c>
      <c r="AH507" s="21" t="n">
        <v>0</v>
      </c>
      <c r="AI507" s="21" t="n">
        <v>0</v>
      </c>
      <c r="AJ507" s="21">
        <f>-$B$18</f>
        <v/>
      </c>
      <c r="AK507" s="21">
        <f>-$B$19</f>
        <v/>
      </c>
      <c r="AL507" s="21">
        <f>2*$B$18+$D$468</f>
        <v/>
      </c>
      <c r="AM507" s="21">
        <f>0</f>
        <v/>
      </c>
      <c r="AN507" s="21">
        <f>-$B$18</f>
        <v/>
      </c>
      <c r="AO507" s="21">
        <f>$B$19</f>
        <v/>
      </c>
      <c r="AP507" s="21" t="n">
        <v>0</v>
      </c>
      <c r="AQ507" s="21" t="n">
        <v>0</v>
      </c>
      <c r="AR507" s="21" t="n">
        <v>0</v>
      </c>
      <c r="AS507" s="21" t="n">
        <v>0</v>
      </c>
      <c r="AT507" s="19" t="n"/>
    </row>
    <row r="508">
      <c r="D508" s="21" t="n">
        <v>0</v>
      </c>
      <c r="E508" s="21" t="n">
        <v>0</v>
      </c>
      <c r="F508" s="21" t="n">
        <v>0</v>
      </c>
      <c r="G508" s="21" t="n">
        <v>0</v>
      </c>
      <c r="H508" s="21" t="n">
        <v>0</v>
      </c>
      <c r="I508" s="21" t="n">
        <v>0</v>
      </c>
      <c r="J508" s="21" t="n">
        <v>0</v>
      </c>
      <c r="K508" s="21" t="n">
        <v>0</v>
      </c>
      <c r="L508" s="21" t="n">
        <v>0</v>
      </c>
      <c r="M508" s="21" t="n">
        <v>0</v>
      </c>
      <c r="N508" s="21" t="n">
        <v>0</v>
      </c>
      <c r="O508" s="21" t="n">
        <v>0</v>
      </c>
      <c r="P508" s="21" t="n">
        <v>0</v>
      </c>
      <c r="Q508" s="21" t="n">
        <v>0</v>
      </c>
      <c r="R508" s="21" t="n">
        <v>0</v>
      </c>
      <c r="S508" s="21" t="n">
        <v>0</v>
      </c>
      <c r="T508" s="21" t="n">
        <v>0</v>
      </c>
      <c r="U508" s="21" t="n">
        <v>0</v>
      </c>
      <c r="V508" s="21" t="n">
        <v>0</v>
      </c>
      <c r="W508" s="21" t="n">
        <v>0</v>
      </c>
      <c r="X508" s="21" t="n">
        <v>0</v>
      </c>
      <c r="Y508" s="21" t="n">
        <v>0</v>
      </c>
      <c r="Z508" s="21" t="n">
        <v>0</v>
      </c>
      <c r="AA508" s="21" t="n">
        <v>0</v>
      </c>
      <c r="AB508" s="21" t="n">
        <v>0</v>
      </c>
      <c r="AC508" s="21" t="n">
        <v>0</v>
      </c>
      <c r="AD508" s="21" t="n">
        <v>0</v>
      </c>
      <c r="AE508" s="21" t="n">
        <v>0</v>
      </c>
      <c r="AF508" s="21" t="n">
        <v>0</v>
      </c>
      <c r="AG508" s="21" t="n">
        <v>0</v>
      </c>
      <c r="AH508" s="21" t="n">
        <v>0</v>
      </c>
      <c r="AI508" s="21" t="n">
        <v>0</v>
      </c>
      <c r="AJ508" s="21">
        <f>$B$19</f>
        <v/>
      </c>
      <c r="AK508" s="21">
        <f>$B$21</f>
        <v/>
      </c>
      <c r="AL508" s="21">
        <f>0</f>
        <v/>
      </c>
      <c r="AM508" s="21">
        <f>2*$B$20</f>
        <v/>
      </c>
      <c r="AN508" s="21">
        <f>-$B$19</f>
        <v/>
      </c>
      <c r="AO508" s="21">
        <f>$B$21</f>
        <v/>
      </c>
      <c r="AP508" s="21" t="n">
        <v>0</v>
      </c>
      <c r="AQ508" s="21" t="n">
        <v>0</v>
      </c>
      <c r="AR508" s="21" t="n">
        <v>0</v>
      </c>
      <c r="AS508" s="21" t="n">
        <v>0</v>
      </c>
      <c r="AT508" s="19" t="n"/>
    </row>
    <row r="509">
      <c r="D509" s="21" t="n">
        <v>0</v>
      </c>
      <c r="E509" s="21" t="n">
        <v>0</v>
      </c>
      <c r="F509" s="21" t="n">
        <v>0</v>
      </c>
      <c r="G509" s="21" t="n">
        <v>0</v>
      </c>
      <c r="H509" s="21" t="n">
        <v>0</v>
      </c>
      <c r="I509" s="21" t="n">
        <v>0</v>
      </c>
      <c r="J509" s="21" t="n">
        <v>0</v>
      </c>
      <c r="K509" s="21" t="n">
        <v>0</v>
      </c>
      <c r="L509" s="21" t="n">
        <v>0</v>
      </c>
      <c r="M509" s="21" t="n">
        <v>0</v>
      </c>
      <c r="N509" s="21" t="n">
        <v>0</v>
      </c>
      <c r="O509" s="21" t="n">
        <v>0</v>
      </c>
      <c r="P509" s="21" t="n">
        <v>0</v>
      </c>
      <c r="Q509" s="21" t="n">
        <v>0</v>
      </c>
      <c r="R509" s="21" t="n">
        <v>0</v>
      </c>
      <c r="S509" s="21" t="n">
        <v>0</v>
      </c>
      <c r="T509" s="21" t="n">
        <v>0</v>
      </c>
      <c r="U509" s="21" t="n">
        <v>0</v>
      </c>
      <c r="V509" s="21" t="n">
        <v>0</v>
      </c>
      <c r="W509" s="21" t="n">
        <v>0</v>
      </c>
      <c r="X509" s="21" t="n">
        <v>0</v>
      </c>
      <c r="Y509" s="21" t="n">
        <v>0</v>
      </c>
      <c r="Z509" s="21" t="n">
        <v>0</v>
      </c>
      <c r="AA509" s="21" t="n">
        <v>0</v>
      </c>
      <c r="AB509" s="21" t="n">
        <v>0</v>
      </c>
      <c r="AC509" s="21" t="n">
        <v>0</v>
      </c>
      <c r="AD509" s="21" t="n">
        <v>0</v>
      </c>
      <c r="AE509" s="21" t="n">
        <v>0</v>
      </c>
      <c r="AF509" s="21" t="n">
        <v>0</v>
      </c>
      <c r="AG509" s="21" t="n">
        <v>0</v>
      </c>
      <c r="AH509" s="21" t="n">
        <v>0</v>
      </c>
      <c r="AI509" s="21" t="n">
        <v>0</v>
      </c>
      <c r="AJ509" s="21" t="n">
        <v>0</v>
      </c>
      <c r="AK509" s="21" t="n">
        <v>0</v>
      </c>
      <c r="AL509" s="21">
        <f>-$B$18</f>
        <v/>
      </c>
      <c r="AM509" s="21">
        <f>-$B$19</f>
        <v/>
      </c>
      <c r="AN509" s="21">
        <f>2*$B$18+$D$469</f>
        <v/>
      </c>
      <c r="AO509" s="21">
        <f>0</f>
        <v/>
      </c>
      <c r="AP509" s="21">
        <f>-$B$18</f>
        <v/>
      </c>
      <c r="AQ509" s="21">
        <f>$B$19</f>
        <v/>
      </c>
      <c r="AR509" s="21" t="n">
        <v>0</v>
      </c>
      <c r="AS509" s="21" t="n">
        <v>0</v>
      </c>
      <c r="AT509" s="19" t="n"/>
    </row>
    <row r="510">
      <c r="D510" s="21" t="n">
        <v>0</v>
      </c>
      <c r="E510" s="21" t="n">
        <v>0</v>
      </c>
      <c r="F510" s="21" t="n">
        <v>0</v>
      </c>
      <c r="G510" s="21" t="n">
        <v>0</v>
      </c>
      <c r="H510" s="21" t="n">
        <v>0</v>
      </c>
      <c r="I510" s="21" t="n">
        <v>0</v>
      </c>
      <c r="J510" s="21" t="n">
        <v>0</v>
      </c>
      <c r="K510" s="21" t="n">
        <v>0</v>
      </c>
      <c r="L510" s="21" t="n">
        <v>0</v>
      </c>
      <c r="M510" s="21" t="n">
        <v>0</v>
      </c>
      <c r="N510" s="21" t="n">
        <v>0</v>
      </c>
      <c r="O510" s="21" t="n">
        <v>0</v>
      </c>
      <c r="P510" s="21" t="n">
        <v>0</v>
      </c>
      <c r="Q510" s="21" t="n">
        <v>0</v>
      </c>
      <c r="R510" s="21" t="n">
        <v>0</v>
      </c>
      <c r="S510" s="21" t="n">
        <v>0</v>
      </c>
      <c r="T510" s="21" t="n">
        <v>0</v>
      </c>
      <c r="U510" s="21" t="n">
        <v>0</v>
      </c>
      <c r="V510" s="21" t="n">
        <v>0</v>
      </c>
      <c r="W510" s="21" t="n">
        <v>0</v>
      </c>
      <c r="X510" s="21" t="n">
        <v>0</v>
      </c>
      <c r="Y510" s="21" t="n">
        <v>0</v>
      </c>
      <c r="Z510" s="21" t="n">
        <v>0</v>
      </c>
      <c r="AA510" s="21" t="n">
        <v>0</v>
      </c>
      <c r="AB510" s="21" t="n">
        <v>0</v>
      </c>
      <c r="AC510" s="21" t="n">
        <v>0</v>
      </c>
      <c r="AD510" s="21" t="n">
        <v>0</v>
      </c>
      <c r="AE510" s="21" t="n">
        <v>0</v>
      </c>
      <c r="AF510" s="21" t="n">
        <v>0</v>
      </c>
      <c r="AG510" s="21" t="n">
        <v>0</v>
      </c>
      <c r="AH510" s="21" t="n">
        <v>0</v>
      </c>
      <c r="AI510" s="21" t="n">
        <v>0</v>
      </c>
      <c r="AJ510" s="21" t="n">
        <v>0</v>
      </c>
      <c r="AK510" s="21" t="n">
        <v>0</v>
      </c>
      <c r="AL510" s="21">
        <f>$B$19</f>
        <v/>
      </c>
      <c r="AM510" s="21">
        <f>$B$21</f>
        <v/>
      </c>
      <c r="AN510" s="21">
        <f>0</f>
        <v/>
      </c>
      <c r="AO510" s="21">
        <f>2*$B$20</f>
        <v/>
      </c>
      <c r="AP510" s="21">
        <f>-$B$19</f>
        <v/>
      </c>
      <c r="AQ510" s="21">
        <f>$B$21</f>
        <v/>
      </c>
      <c r="AR510" s="21" t="n">
        <v>0</v>
      </c>
      <c r="AS510" s="21" t="n">
        <v>0</v>
      </c>
      <c r="AT510" s="19" t="n"/>
    </row>
    <row r="511">
      <c r="D511" s="21" t="n">
        <v>0</v>
      </c>
      <c r="E511" s="21" t="n">
        <v>0</v>
      </c>
      <c r="F511" s="21" t="n">
        <v>0</v>
      </c>
      <c r="G511" s="21" t="n">
        <v>0</v>
      </c>
      <c r="H511" s="21" t="n">
        <v>0</v>
      </c>
      <c r="I511" s="21" t="n">
        <v>0</v>
      </c>
      <c r="J511" s="21" t="n">
        <v>0</v>
      </c>
      <c r="K511" s="21" t="n">
        <v>0</v>
      </c>
      <c r="L511" s="21" t="n">
        <v>0</v>
      </c>
      <c r="M511" s="21" t="n">
        <v>0</v>
      </c>
      <c r="N511" s="21" t="n">
        <v>0</v>
      </c>
      <c r="O511" s="21" t="n">
        <v>0</v>
      </c>
      <c r="P511" s="21" t="n">
        <v>0</v>
      </c>
      <c r="Q511" s="21" t="n">
        <v>0</v>
      </c>
      <c r="R511" s="21" t="n">
        <v>0</v>
      </c>
      <c r="S511" s="21" t="n">
        <v>0</v>
      </c>
      <c r="T511" s="21" t="n">
        <v>0</v>
      </c>
      <c r="U511" s="21" t="n">
        <v>0</v>
      </c>
      <c r="V511" s="21" t="n">
        <v>0</v>
      </c>
      <c r="W511" s="21" t="n">
        <v>0</v>
      </c>
      <c r="X511" s="21" t="n">
        <v>0</v>
      </c>
      <c r="Y511" s="21" t="n">
        <v>0</v>
      </c>
      <c r="Z511" s="21" t="n">
        <v>0</v>
      </c>
      <c r="AA511" s="21" t="n">
        <v>0</v>
      </c>
      <c r="AB511" s="21" t="n">
        <v>0</v>
      </c>
      <c r="AC511" s="21" t="n">
        <v>0</v>
      </c>
      <c r="AD511" s="21" t="n">
        <v>0</v>
      </c>
      <c r="AE511" s="21" t="n">
        <v>0</v>
      </c>
      <c r="AF511" s="21" t="n">
        <v>0</v>
      </c>
      <c r="AG511" s="21" t="n">
        <v>0</v>
      </c>
      <c r="AH511" s="21" t="n">
        <v>0</v>
      </c>
      <c r="AI511" s="21" t="n">
        <v>0</v>
      </c>
      <c r="AJ511" s="21" t="n">
        <v>0</v>
      </c>
      <c r="AK511" s="21" t="n">
        <v>0</v>
      </c>
      <c r="AL511" s="21" t="n">
        <v>0</v>
      </c>
      <c r="AM511" s="21" t="n">
        <v>0</v>
      </c>
      <c r="AN511" s="21">
        <f>-$B$18</f>
        <v/>
      </c>
      <c r="AO511" s="21">
        <f>-$B$19</f>
        <v/>
      </c>
      <c r="AP511" s="21">
        <f>2*$B$18+$D$470</f>
        <v/>
      </c>
      <c r="AQ511" s="21">
        <f>0</f>
        <v/>
      </c>
      <c r="AR511" s="21">
        <f>-$B$18</f>
        <v/>
      </c>
      <c r="AS511" s="21">
        <f>$B$19</f>
        <v/>
      </c>
      <c r="AT511" s="19" t="n"/>
    </row>
    <row r="512">
      <c r="D512" s="21" t="n">
        <v>0</v>
      </c>
      <c r="E512" s="21" t="n">
        <v>0</v>
      </c>
      <c r="F512" s="21" t="n">
        <v>0</v>
      </c>
      <c r="G512" s="21" t="n">
        <v>0</v>
      </c>
      <c r="H512" s="21" t="n">
        <v>0</v>
      </c>
      <c r="I512" s="21" t="n">
        <v>0</v>
      </c>
      <c r="J512" s="21" t="n">
        <v>0</v>
      </c>
      <c r="K512" s="21" t="n">
        <v>0</v>
      </c>
      <c r="L512" s="21" t="n">
        <v>0</v>
      </c>
      <c r="M512" s="21" t="n">
        <v>0</v>
      </c>
      <c r="N512" s="21" t="n">
        <v>0</v>
      </c>
      <c r="O512" s="21" t="n">
        <v>0</v>
      </c>
      <c r="P512" s="21" t="n">
        <v>0</v>
      </c>
      <c r="Q512" s="21" t="n">
        <v>0</v>
      </c>
      <c r="R512" s="21" t="n">
        <v>0</v>
      </c>
      <c r="S512" s="21" t="n">
        <v>0</v>
      </c>
      <c r="T512" s="21" t="n">
        <v>0</v>
      </c>
      <c r="U512" s="21" t="n">
        <v>0</v>
      </c>
      <c r="V512" s="21" t="n">
        <v>0</v>
      </c>
      <c r="W512" s="21" t="n">
        <v>0</v>
      </c>
      <c r="X512" s="21" t="n">
        <v>0</v>
      </c>
      <c r="Y512" s="21" t="n">
        <v>0</v>
      </c>
      <c r="Z512" s="21" t="n">
        <v>0</v>
      </c>
      <c r="AA512" s="21" t="n">
        <v>0</v>
      </c>
      <c r="AB512" s="21" t="n">
        <v>0</v>
      </c>
      <c r="AC512" s="21" t="n">
        <v>0</v>
      </c>
      <c r="AD512" s="21" t="n">
        <v>0</v>
      </c>
      <c r="AE512" s="21" t="n">
        <v>0</v>
      </c>
      <c r="AF512" s="21" t="n">
        <v>0</v>
      </c>
      <c r="AG512" s="21" t="n">
        <v>0</v>
      </c>
      <c r="AH512" s="21" t="n">
        <v>0</v>
      </c>
      <c r="AI512" s="21" t="n">
        <v>0</v>
      </c>
      <c r="AJ512" s="21" t="n">
        <v>0</v>
      </c>
      <c r="AK512" s="21" t="n">
        <v>0</v>
      </c>
      <c r="AL512" s="21" t="n">
        <v>0</v>
      </c>
      <c r="AM512" s="21" t="n">
        <v>0</v>
      </c>
      <c r="AN512" s="21">
        <f>$B$19</f>
        <v/>
      </c>
      <c r="AO512" s="21">
        <f>$B$21</f>
        <v/>
      </c>
      <c r="AP512" s="21">
        <f>0</f>
        <v/>
      </c>
      <c r="AQ512" s="21">
        <f>2*$B$20</f>
        <v/>
      </c>
      <c r="AR512" s="21">
        <f>-$B$19</f>
        <v/>
      </c>
      <c r="AS512" s="21">
        <f>$B$21</f>
        <v/>
      </c>
      <c r="AT512" s="19" t="n"/>
    </row>
    <row r="513">
      <c r="D513" s="21" t="n">
        <v>0</v>
      </c>
      <c r="E513" s="21" t="n">
        <v>0</v>
      </c>
      <c r="F513" s="21" t="n">
        <v>0</v>
      </c>
      <c r="G513" s="21" t="n">
        <v>0</v>
      </c>
      <c r="H513" s="21" t="n">
        <v>0</v>
      </c>
      <c r="I513" s="21" t="n">
        <v>0</v>
      </c>
      <c r="J513" s="21" t="n">
        <v>0</v>
      </c>
      <c r="K513" s="21" t="n">
        <v>0</v>
      </c>
      <c r="L513" s="21" t="n">
        <v>0</v>
      </c>
      <c r="M513" s="21" t="n">
        <v>0</v>
      </c>
      <c r="N513" s="21" t="n">
        <v>0</v>
      </c>
      <c r="O513" s="21" t="n">
        <v>0</v>
      </c>
      <c r="P513" s="21" t="n">
        <v>0</v>
      </c>
      <c r="Q513" s="21" t="n">
        <v>0</v>
      </c>
      <c r="R513" s="21" t="n">
        <v>0</v>
      </c>
      <c r="S513" s="21" t="n">
        <v>0</v>
      </c>
      <c r="T513" s="21" t="n">
        <v>0</v>
      </c>
      <c r="U513" s="21" t="n">
        <v>0</v>
      </c>
      <c r="V513" s="21" t="n">
        <v>0</v>
      </c>
      <c r="W513" s="21" t="n">
        <v>0</v>
      </c>
      <c r="X513" s="21" t="n">
        <v>0</v>
      </c>
      <c r="Y513" s="21" t="n">
        <v>0</v>
      </c>
      <c r="Z513" s="21" t="n">
        <v>0</v>
      </c>
      <c r="AA513" s="21" t="n">
        <v>0</v>
      </c>
      <c r="AB513" s="21" t="n">
        <v>0</v>
      </c>
      <c r="AC513" s="21" t="n">
        <v>0</v>
      </c>
      <c r="AD513" s="21" t="n">
        <v>0</v>
      </c>
      <c r="AE513" s="21" t="n">
        <v>0</v>
      </c>
      <c r="AF513" s="21" t="n">
        <v>0</v>
      </c>
      <c r="AG513" s="21" t="n">
        <v>0</v>
      </c>
      <c r="AH513" s="21" t="n">
        <v>0</v>
      </c>
      <c r="AI513" s="21" t="n">
        <v>0</v>
      </c>
      <c r="AJ513" s="21" t="n">
        <v>0</v>
      </c>
      <c r="AK513" s="21" t="n">
        <v>0</v>
      </c>
      <c r="AL513" s="21" t="n">
        <v>0</v>
      </c>
      <c r="AM513" s="21" t="n">
        <v>0</v>
      </c>
      <c r="AN513" s="21" t="n">
        <v>0</v>
      </c>
      <c r="AO513" s="21" t="n">
        <v>0</v>
      </c>
      <c r="AP513" s="21">
        <f>-$B$18</f>
        <v/>
      </c>
      <c r="AQ513" s="21">
        <f>-$B$19</f>
        <v/>
      </c>
      <c r="AR513" s="21">
        <f>$B$18+$D$471</f>
        <v/>
      </c>
      <c r="AS513" s="21">
        <f>-$B$19</f>
        <v/>
      </c>
      <c r="AT513" s="19" t="n"/>
    </row>
    <row r="514">
      <c r="D514" s="21" t="n">
        <v>0</v>
      </c>
      <c r="E514" s="21" t="n">
        <v>0</v>
      </c>
      <c r="F514" s="21" t="n">
        <v>0</v>
      </c>
      <c r="G514" s="21" t="n">
        <v>0</v>
      </c>
      <c r="H514" s="21" t="n">
        <v>0</v>
      </c>
      <c r="I514" s="21" t="n">
        <v>0</v>
      </c>
      <c r="J514" s="21" t="n">
        <v>0</v>
      </c>
      <c r="K514" s="21" t="n">
        <v>0</v>
      </c>
      <c r="L514" s="21" t="n">
        <v>0</v>
      </c>
      <c r="M514" s="21" t="n">
        <v>0</v>
      </c>
      <c r="N514" s="21" t="n">
        <v>0</v>
      </c>
      <c r="O514" s="21" t="n">
        <v>0</v>
      </c>
      <c r="P514" s="21" t="n">
        <v>0</v>
      </c>
      <c r="Q514" s="21" t="n">
        <v>0</v>
      </c>
      <c r="R514" s="21" t="n">
        <v>0</v>
      </c>
      <c r="S514" s="21" t="n">
        <v>0</v>
      </c>
      <c r="T514" s="21" t="n">
        <v>0</v>
      </c>
      <c r="U514" s="21" t="n">
        <v>0</v>
      </c>
      <c r="V514" s="21" t="n">
        <v>0</v>
      </c>
      <c r="W514" s="21" t="n">
        <v>0</v>
      </c>
      <c r="X514" s="21" t="n">
        <v>0</v>
      </c>
      <c r="Y514" s="21" t="n">
        <v>0</v>
      </c>
      <c r="Z514" s="21" t="n">
        <v>0</v>
      </c>
      <c r="AA514" s="21" t="n">
        <v>0</v>
      </c>
      <c r="AB514" s="21" t="n">
        <v>0</v>
      </c>
      <c r="AC514" s="21" t="n">
        <v>0</v>
      </c>
      <c r="AD514" s="21" t="n">
        <v>0</v>
      </c>
      <c r="AE514" s="21" t="n">
        <v>0</v>
      </c>
      <c r="AF514" s="21" t="n">
        <v>0</v>
      </c>
      <c r="AG514" s="21" t="n">
        <v>0</v>
      </c>
      <c r="AH514" s="21" t="n">
        <v>0</v>
      </c>
      <c r="AI514" s="21" t="n">
        <v>0</v>
      </c>
      <c r="AJ514" s="21" t="n">
        <v>0</v>
      </c>
      <c r="AK514" s="21" t="n">
        <v>0</v>
      </c>
      <c r="AL514" s="21" t="n">
        <v>0</v>
      </c>
      <c r="AM514" s="21" t="n">
        <v>0</v>
      </c>
      <c r="AN514" s="21" t="n">
        <v>0</v>
      </c>
      <c r="AO514" s="21" t="n">
        <v>0</v>
      </c>
      <c r="AP514" s="21">
        <f>$B$19</f>
        <v/>
      </c>
      <c r="AQ514" s="21">
        <f>$B$21</f>
        <v/>
      </c>
      <c r="AR514" s="21">
        <f>-$B$19</f>
        <v/>
      </c>
      <c r="AS514" s="21">
        <f>$B$20</f>
        <v/>
      </c>
      <c r="AT514" s="19" t="n"/>
    </row>
    <row r="516">
      <c r="A516" s="8" t="inlineStr">
        <is>
          <t>gen 7</t>
        </is>
      </c>
    </row>
    <row r="517">
      <c r="D517" s="19">
        <f>IF(ABS(IF(ABS($E$451)&gt;0.000000001,$E$451,0.000000001))=0,0,IF($E$33&lt;=$B$27,0,IF(ABS(IF(ABS($E$451)&gt;0.000000001,$E$451,0.000000001))&gt;=8*$B$29,$H$33,0.5*$H$33*(ABS(IF(ABS($E$451)&gt;0.000000001,$E$451,0.000000001))/$B$29)^(1/3)))/ABS(IF(ABS($E$451)&gt;0.000000001,$E$451,0.000000001))*$I$33)</f>
        <v/>
      </c>
      <c r="E517" s="19">
        <f>0.5*$E$451+0.5*$AT$539</f>
        <v/>
      </c>
      <c r="F517" s="19">
        <f>$AT$540</f>
        <v/>
      </c>
    </row>
    <row r="518">
      <c r="D518" s="19">
        <f>IF(ABS(IF(ABS($E$452)&gt;0.000000001,$E$452,0.000000001))=0,0,IF($E$34&lt;=$B$27,0,IF(ABS(IF(ABS($E$452)&gt;0.000000001,$E$452,0.000000001))&gt;=8*$B$29,$H$34,0.5*$H$34*(ABS(IF(ABS($E$452)&gt;0.000000001,$E$452,0.000000001))/$B$29)^(1/3)))/ABS(IF(ABS($E$452)&gt;0.000000001,$E$452,0.000000001))*$I$34)</f>
        <v/>
      </c>
      <c r="E518" s="19">
        <f>0.5*$E$452+0.5*$AT$541</f>
        <v/>
      </c>
      <c r="F518" s="19">
        <f>$AT$542</f>
        <v/>
      </c>
    </row>
    <row r="519">
      <c r="D519" s="19">
        <f>IF(ABS(IF(ABS($E$453)&gt;0.000000001,$E$453,0.000000001))=0,0,IF($E$35&lt;=$B$27,0,IF(ABS(IF(ABS($E$453)&gt;0.000000001,$E$453,0.000000001))&gt;=8*$B$29,$H$35,0.5*$H$35*(ABS(IF(ABS($E$453)&gt;0.000000001,$E$453,0.000000001))/$B$29)^(1/3)))/ABS(IF(ABS($E$453)&gt;0.000000001,$E$453,0.000000001))*$I$35)</f>
        <v/>
      </c>
      <c r="E519" s="19">
        <f>0.5*$E$453+0.5*$AT$543</f>
        <v/>
      </c>
      <c r="F519" s="19">
        <f>$AT$544</f>
        <v/>
      </c>
    </row>
    <row r="520">
      <c r="D520" s="19">
        <f>IF(ABS(IF(ABS($E$454)&gt;0.000000001,$E$454,0.000000001))=0,0,IF($E$36&lt;=$B$27,0,IF(ABS(IF(ABS($E$454)&gt;0.000000001,$E$454,0.000000001))&gt;=8*$B$29,$H$36,0.5*$H$36*(ABS(IF(ABS($E$454)&gt;0.000000001,$E$454,0.000000001))/$B$29)^(1/3)))/ABS(IF(ABS($E$454)&gt;0.000000001,$E$454,0.000000001))*$I$36)</f>
        <v/>
      </c>
      <c r="E520" s="19">
        <f>0.5*$E$454+0.5*$AT$545</f>
        <v/>
      </c>
      <c r="F520" s="19">
        <f>$AT$546</f>
        <v/>
      </c>
    </row>
    <row r="521">
      <c r="D521" s="19">
        <f>IF(ABS(IF(ABS($E$455)&gt;0.000000001,$E$455,0.000000001))=0,0,IF($E$37&lt;=$B$27,0,IF(ABS(IF(ABS($E$455)&gt;0.000000001,$E$455,0.000000001))&gt;=8*$B$29,$H$37,0.5*$H$37*(ABS(IF(ABS($E$455)&gt;0.000000001,$E$455,0.000000001))/$B$29)^(1/3)))/ABS(IF(ABS($E$455)&gt;0.000000001,$E$455,0.000000001))*$I$37)</f>
        <v/>
      </c>
      <c r="E521" s="19">
        <f>0.5*$E$455+0.5*$AT$547</f>
        <v/>
      </c>
      <c r="F521" s="19">
        <f>$AT$548</f>
        <v/>
      </c>
    </row>
    <row r="522">
      <c r="D522" s="19">
        <f>IF(ABS(IF(ABS($E$456)&gt;0.000000001,$E$456,0.000000001))=0,0,IF($E$38&lt;=$B$27,0,IF(ABS(IF(ABS($E$456)&gt;0.000000001,$E$456,0.000000001))&gt;=8*$B$29,$H$38,0.5*$H$38*(ABS(IF(ABS($E$456)&gt;0.000000001,$E$456,0.000000001))/$B$29)^(1/3)))/ABS(IF(ABS($E$456)&gt;0.000000001,$E$456,0.000000001))*$I$38)</f>
        <v/>
      </c>
      <c r="E522" s="19">
        <f>0.5*$E$456+0.5*$AT$549</f>
        <v/>
      </c>
      <c r="F522" s="19">
        <f>$AT$550</f>
        <v/>
      </c>
    </row>
    <row r="523">
      <c r="D523" s="19">
        <f>IF(ABS(IF(ABS($E$457)&gt;0.000000001,$E$457,0.000000001))=0,0,IF($E$39&lt;=$B$27,0,IF(ABS(IF(ABS($E$457)&gt;0.000000001,$E$457,0.000000001))&gt;=8*$B$29,$H$39,0.5*$H$39*(ABS(IF(ABS($E$457)&gt;0.000000001,$E$457,0.000000001))/$B$29)^(1/3)))/ABS(IF(ABS($E$457)&gt;0.000000001,$E$457,0.000000001))*$I$39)</f>
        <v/>
      </c>
      <c r="E523" s="19">
        <f>0.5*$E$457+0.5*$AT$551</f>
        <v/>
      </c>
      <c r="F523" s="19">
        <f>$AT$552</f>
        <v/>
      </c>
    </row>
    <row r="524">
      <c r="D524" s="19">
        <f>IF(ABS(IF(ABS($E$458)&gt;0.000000001,$E$458,0.000000001))=0,0,IF($E$40&lt;=$B$27,0,IF(ABS(IF(ABS($E$458)&gt;0.000000001,$E$458,0.000000001))&gt;=8*$B$29,$H$40,0.5*$H$40*(ABS(IF(ABS($E$458)&gt;0.000000001,$E$458,0.000000001))/$B$29)^(1/3)))/ABS(IF(ABS($E$458)&gt;0.000000001,$E$458,0.000000001))*$I$40)</f>
        <v/>
      </c>
      <c r="E524" s="19">
        <f>0.5*$E$458+0.5*$AT$553</f>
        <v/>
      </c>
      <c r="F524" s="19">
        <f>$AT$554</f>
        <v/>
      </c>
    </row>
    <row r="525">
      <c r="D525" s="19">
        <f>IF(ABS(IF(ABS($E$459)&gt;0.000000001,$E$459,0.000000001))=0,0,IF($E$41&lt;=$B$27,0,IF(ABS(IF(ABS($E$459)&gt;0.000000001,$E$459,0.000000001))&gt;=8*$B$29,$H$41,0.5*$H$41*(ABS(IF(ABS($E$459)&gt;0.000000001,$E$459,0.000000001))/$B$29)^(1/3)))/ABS(IF(ABS($E$459)&gt;0.000000001,$E$459,0.000000001))*$I$41)</f>
        <v/>
      </c>
      <c r="E525" s="19">
        <f>0.5*$E$459+0.5*$AT$555</f>
        <v/>
      </c>
      <c r="F525" s="19">
        <f>$AT$556</f>
        <v/>
      </c>
    </row>
    <row r="526">
      <c r="D526" s="19">
        <f>IF(ABS(IF(ABS($E$460)&gt;0.000000001,$E$460,0.000000001))=0,0,IF($E$42&lt;=$B$27,0,IF(ABS(IF(ABS($E$460)&gt;0.000000001,$E$460,0.000000001))&gt;=8*$B$29,$H$42,0.5*$H$42*(ABS(IF(ABS($E$460)&gt;0.000000001,$E$460,0.000000001))/$B$29)^(1/3)))/ABS(IF(ABS($E$460)&gt;0.000000001,$E$460,0.000000001))*$I$42)</f>
        <v/>
      </c>
      <c r="E526" s="19">
        <f>0.5*$E$460+0.5*$AT$557</f>
        <v/>
      </c>
      <c r="F526" s="19">
        <f>$AT$558</f>
        <v/>
      </c>
    </row>
    <row r="527">
      <c r="D527" s="19">
        <f>IF(ABS(IF(ABS($E$461)&gt;0.000000001,$E$461,0.000000001))=0,0,IF($E$43&lt;=$B$27,0,IF(ABS(IF(ABS($E$461)&gt;0.000000001,$E$461,0.000000001))&gt;=8*$B$29,$H$43,0.5*$H$43*(ABS(IF(ABS($E$461)&gt;0.000000001,$E$461,0.000000001))/$B$29)^(1/3)))/ABS(IF(ABS($E$461)&gt;0.000000001,$E$461,0.000000001))*$I$43)</f>
        <v/>
      </c>
      <c r="E527" s="19">
        <f>0.5*$E$461+0.5*$AT$559</f>
        <v/>
      </c>
      <c r="F527" s="19">
        <f>$AT$560</f>
        <v/>
      </c>
    </row>
    <row r="528">
      <c r="D528" s="19">
        <f>IF(ABS(IF(ABS($E$462)&gt;0.000000001,$E$462,0.000000001))=0,0,IF($E$44&lt;=$B$27,0,IF(ABS(IF(ABS($E$462)&gt;0.000000001,$E$462,0.000000001))&gt;=8*$B$29,$H$44,0.5*$H$44*(ABS(IF(ABS($E$462)&gt;0.000000001,$E$462,0.000000001))/$B$29)^(1/3)))/ABS(IF(ABS($E$462)&gt;0.000000001,$E$462,0.000000001))*$I$44)</f>
        <v/>
      </c>
      <c r="E528" s="19">
        <f>0.5*$E$462+0.5*$AT$561</f>
        <v/>
      </c>
      <c r="F528" s="19">
        <f>$AT$562</f>
        <v/>
      </c>
    </row>
    <row r="529">
      <c r="D529" s="19">
        <f>IF(ABS(IF(ABS($E$463)&gt;0.000000001,$E$463,0.000000001))=0,0,IF($E$45&lt;=$B$27,0,IF(ABS(IF(ABS($E$463)&gt;0.000000001,$E$463,0.000000001))&gt;=8*$B$29,$H$45,0.5*$H$45*(ABS(IF(ABS($E$463)&gt;0.000000001,$E$463,0.000000001))/$B$29)^(1/3)))/ABS(IF(ABS($E$463)&gt;0.000000001,$E$463,0.000000001))*$I$45)</f>
        <v/>
      </c>
      <c r="E529" s="19">
        <f>0.5*$E$463+0.5*$AT$563</f>
        <v/>
      </c>
      <c r="F529" s="19">
        <f>$AT$564</f>
        <v/>
      </c>
    </row>
    <row r="530">
      <c r="D530" s="19">
        <f>IF(ABS(IF(ABS($E$464)&gt;0.000000001,$E$464,0.000000001))=0,0,IF($E$46&lt;=$B$27,0,IF(ABS(IF(ABS($E$464)&gt;0.000000001,$E$464,0.000000001))&gt;=8*$B$29,$H$46,0.5*$H$46*(ABS(IF(ABS($E$464)&gt;0.000000001,$E$464,0.000000001))/$B$29)^(1/3)))/ABS(IF(ABS($E$464)&gt;0.000000001,$E$464,0.000000001))*$I$46)</f>
        <v/>
      </c>
      <c r="E530" s="19">
        <f>0.5*$E$464+0.5*$AT$565</f>
        <v/>
      </c>
      <c r="F530" s="19">
        <f>$AT$566</f>
        <v/>
      </c>
    </row>
    <row r="531">
      <c r="D531" s="19">
        <f>IF(ABS(IF(ABS($E$465)&gt;0.000000001,$E$465,0.000000001))=0,0,IF($E$47&lt;=$B$27,0,IF(ABS(IF(ABS($E$465)&gt;0.000000001,$E$465,0.000000001))&gt;=8*$B$29,$H$47,0.5*$H$47*(ABS(IF(ABS($E$465)&gt;0.000000001,$E$465,0.000000001))/$B$29)^(1/3)))/ABS(IF(ABS($E$465)&gt;0.000000001,$E$465,0.000000001))*$I$47)</f>
        <v/>
      </c>
      <c r="E531" s="19">
        <f>0.5*$E$465+0.5*$AT$567</f>
        <v/>
      </c>
      <c r="F531" s="19">
        <f>$AT$568</f>
        <v/>
      </c>
    </row>
    <row r="532">
      <c r="D532" s="19">
        <f>IF(ABS(IF(ABS($E$466)&gt;0.000000001,$E$466,0.000000001))=0,0,IF($E$48&lt;=$B$27,0,IF(ABS(IF(ABS($E$466)&gt;0.000000001,$E$466,0.000000001))&gt;=8*$B$29,$H$48,0.5*$H$48*(ABS(IF(ABS($E$466)&gt;0.000000001,$E$466,0.000000001))/$B$29)^(1/3)))/ABS(IF(ABS($E$466)&gt;0.000000001,$E$466,0.000000001))*$I$48)</f>
        <v/>
      </c>
      <c r="E532" s="19">
        <f>0.5*$E$466+0.5*$AT$569</f>
        <v/>
      </c>
      <c r="F532" s="19">
        <f>$AT$570</f>
        <v/>
      </c>
    </row>
    <row r="533">
      <c r="D533" s="19">
        <f>IF(ABS(IF(ABS($E$467)&gt;0.000000001,$E$467,0.000000001))=0,0,IF($E$49&lt;=$B$27,0,IF(ABS(IF(ABS($E$467)&gt;0.000000001,$E$467,0.000000001))&gt;=8*$B$29,$H$49,0.5*$H$49*(ABS(IF(ABS($E$467)&gt;0.000000001,$E$467,0.000000001))/$B$29)^(1/3)))/ABS(IF(ABS($E$467)&gt;0.000000001,$E$467,0.000000001))*$I$49)</f>
        <v/>
      </c>
      <c r="E533" s="19">
        <f>0.5*$E$467+0.5*$AT$571</f>
        <v/>
      </c>
      <c r="F533" s="19">
        <f>$AT$572</f>
        <v/>
      </c>
    </row>
    <row r="534">
      <c r="D534" s="19">
        <f>IF(ABS(IF(ABS($E$468)&gt;0.000000001,$E$468,0.000000001))=0,0,IF($E$50&lt;=$B$27,0,IF(ABS(IF(ABS($E$468)&gt;0.000000001,$E$468,0.000000001))&gt;=8*$B$29,$H$50,0.5*$H$50*(ABS(IF(ABS($E$468)&gt;0.000000001,$E$468,0.000000001))/$B$29)^(1/3)))/ABS(IF(ABS($E$468)&gt;0.000000001,$E$468,0.000000001))*$I$50)</f>
        <v/>
      </c>
      <c r="E534" s="19">
        <f>0.5*$E$468+0.5*$AT$573</f>
        <v/>
      </c>
      <c r="F534" s="19">
        <f>$AT$574</f>
        <v/>
      </c>
    </row>
    <row r="535">
      <c r="D535" s="19">
        <f>IF(ABS(IF(ABS($E$469)&gt;0.000000001,$E$469,0.000000001))=0,0,IF($E$51&lt;=$B$27,0,IF(ABS(IF(ABS($E$469)&gt;0.000000001,$E$469,0.000000001))&gt;=8*$B$29,$H$51,0.5*$H$51*(ABS(IF(ABS($E$469)&gt;0.000000001,$E$469,0.000000001))/$B$29)^(1/3)))/ABS(IF(ABS($E$469)&gt;0.000000001,$E$469,0.000000001))*$I$51)</f>
        <v/>
      </c>
      <c r="E535" s="19">
        <f>0.5*$E$469+0.5*$AT$575</f>
        <v/>
      </c>
      <c r="F535" s="19">
        <f>$AT$576</f>
        <v/>
      </c>
    </row>
    <row r="536">
      <c r="D536" s="19">
        <f>IF(ABS(IF(ABS($E$470)&gt;0.000000001,$E$470,0.000000001))=0,0,IF($E$52&lt;=$B$27,0,IF(ABS(IF(ABS($E$470)&gt;0.000000001,$E$470,0.000000001))&gt;=8*$B$29,$H$52,0.5*$H$52*(ABS(IF(ABS($E$470)&gt;0.000000001,$E$470,0.000000001))/$B$29)^(1/3)))/ABS(IF(ABS($E$470)&gt;0.000000001,$E$470,0.000000001))*$I$52)</f>
        <v/>
      </c>
      <c r="E536" s="19">
        <f>0.5*$E$470+0.5*$AT$577</f>
        <v/>
      </c>
      <c r="F536" s="19">
        <f>$AT$578</f>
        <v/>
      </c>
    </row>
    <row r="537">
      <c r="D537" s="19">
        <f>IF(ABS(IF(ABS($E$471)&gt;0.000000001,$E$471,0.000000001))=0,0,IF($E$53&lt;=$B$27,0,IF(ABS(IF(ABS($E$471)&gt;0.000000001,$E$471,0.000000001))&gt;=8*$B$29,$H$53,0.5*$H$53*(ABS(IF(ABS($E$471)&gt;0.000000001,$E$471,0.000000001))/$B$29)^(1/3)))/ABS(IF(ABS($E$471)&gt;0.000000001,$E$471,0.000000001))*$I$53)</f>
        <v/>
      </c>
      <c r="E537" s="19">
        <f>0.5*$E$471+0.5*$AT$579</f>
        <v/>
      </c>
      <c r="F537" s="19">
        <f>$AT$580</f>
        <v/>
      </c>
    </row>
    <row r="539">
      <c r="D539" s="21">
        <f>$B$18+$D$517</f>
        <v/>
      </c>
      <c r="E539" s="21">
        <f>$B$19</f>
        <v/>
      </c>
      <c r="F539" s="21">
        <f>-$B$18</f>
        <v/>
      </c>
      <c r="G539" s="21">
        <f>$B$19</f>
        <v/>
      </c>
      <c r="H539" s="21" t="n">
        <v>0</v>
      </c>
      <c r="I539" s="21" t="n">
        <v>0</v>
      </c>
      <c r="J539" s="21" t="n">
        <v>0</v>
      </c>
      <c r="K539" s="21" t="n">
        <v>0</v>
      </c>
      <c r="L539" s="21" t="n">
        <v>0</v>
      </c>
      <c r="M539" s="21" t="n">
        <v>0</v>
      </c>
      <c r="N539" s="21" t="n">
        <v>0</v>
      </c>
      <c r="O539" s="21" t="n">
        <v>0</v>
      </c>
      <c r="P539" s="21" t="n">
        <v>0</v>
      </c>
      <c r="Q539" s="21" t="n">
        <v>0</v>
      </c>
      <c r="R539" s="21" t="n">
        <v>0</v>
      </c>
      <c r="S539" s="21" t="n">
        <v>0</v>
      </c>
      <c r="T539" s="21" t="n">
        <v>0</v>
      </c>
      <c r="U539" s="21" t="n">
        <v>0</v>
      </c>
      <c r="V539" s="21" t="n">
        <v>0</v>
      </c>
      <c r="W539" s="21" t="n">
        <v>0</v>
      </c>
      <c r="X539" s="21" t="n">
        <v>0</v>
      </c>
      <c r="Y539" s="21" t="n">
        <v>0</v>
      </c>
      <c r="Z539" s="21" t="n">
        <v>0</v>
      </c>
      <c r="AA539" s="21" t="n">
        <v>0</v>
      </c>
      <c r="AB539" s="21" t="n">
        <v>0</v>
      </c>
      <c r="AC539" s="21" t="n">
        <v>0</v>
      </c>
      <c r="AD539" s="21" t="n">
        <v>0</v>
      </c>
      <c r="AE539" s="21" t="n">
        <v>0</v>
      </c>
      <c r="AF539" s="21" t="n">
        <v>0</v>
      </c>
      <c r="AG539" s="21" t="n">
        <v>0</v>
      </c>
      <c r="AH539" s="21" t="n">
        <v>0</v>
      </c>
      <c r="AI539" s="21" t="n">
        <v>0</v>
      </c>
      <c r="AJ539" s="21" t="n">
        <v>0</v>
      </c>
      <c r="AK539" s="21" t="n">
        <v>0</v>
      </c>
      <c r="AL539" s="21" t="n">
        <v>0</v>
      </c>
      <c r="AM539" s="21" t="n">
        <v>0</v>
      </c>
      <c r="AN539" s="21" t="n">
        <v>0</v>
      </c>
      <c r="AO539" s="21" t="n">
        <v>0</v>
      </c>
      <c r="AP539" s="21" t="n">
        <v>0</v>
      </c>
      <c r="AQ539" s="21" t="n">
        <v>0</v>
      </c>
      <c r="AR539" s="21" t="n">
        <v>0</v>
      </c>
      <c r="AS539" s="21" t="n">
        <v>0</v>
      </c>
      <c r="AT539" s="19">
        <f t="array" ref="AT539:AT580">MMULT(MINVERSE($D$539:$AS$580),$D$55:$D$96)</f>
        <v/>
      </c>
    </row>
    <row r="540">
      <c r="D540" s="21">
        <f>$B$19</f>
        <v/>
      </c>
      <c r="E540" s="21">
        <f>$B$20</f>
        <v/>
      </c>
      <c r="F540" s="21">
        <f>-$B$19</f>
        <v/>
      </c>
      <c r="G540" s="21">
        <f>$B$21</f>
        <v/>
      </c>
      <c r="H540" s="21" t="n">
        <v>0</v>
      </c>
      <c r="I540" s="21" t="n">
        <v>0</v>
      </c>
      <c r="J540" s="21" t="n">
        <v>0</v>
      </c>
      <c r="K540" s="21" t="n">
        <v>0</v>
      </c>
      <c r="L540" s="21" t="n">
        <v>0</v>
      </c>
      <c r="M540" s="21" t="n">
        <v>0</v>
      </c>
      <c r="N540" s="21" t="n">
        <v>0</v>
      </c>
      <c r="O540" s="21" t="n">
        <v>0</v>
      </c>
      <c r="P540" s="21" t="n">
        <v>0</v>
      </c>
      <c r="Q540" s="21" t="n">
        <v>0</v>
      </c>
      <c r="R540" s="21" t="n">
        <v>0</v>
      </c>
      <c r="S540" s="21" t="n">
        <v>0</v>
      </c>
      <c r="T540" s="21" t="n">
        <v>0</v>
      </c>
      <c r="U540" s="21" t="n">
        <v>0</v>
      </c>
      <c r="V540" s="21" t="n">
        <v>0</v>
      </c>
      <c r="W540" s="21" t="n">
        <v>0</v>
      </c>
      <c r="X540" s="21" t="n">
        <v>0</v>
      </c>
      <c r="Y540" s="21" t="n">
        <v>0</v>
      </c>
      <c r="Z540" s="21" t="n">
        <v>0</v>
      </c>
      <c r="AA540" s="21" t="n">
        <v>0</v>
      </c>
      <c r="AB540" s="21" t="n">
        <v>0</v>
      </c>
      <c r="AC540" s="21" t="n">
        <v>0</v>
      </c>
      <c r="AD540" s="21" t="n">
        <v>0</v>
      </c>
      <c r="AE540" s="21" t="n">
        <v>0</v>
      </c>
      <c r="AF540" s="21" t="n">
        <v>0</v>
      </c>
      <c r="AG540" s="21" t="n">
        <v>0</v>
      </c>
      <c r="AH540" s="21" t="n">
        <v>0</v>
      </c>
      <c r="AI540" s="21" t="n">
        <v>0</v>
      </c>
      <c r="AJ540" s="21" t="n">
        <v>0</v>
      </c>
      <c r="AK540" s="21" t="n">
        <v>0</v>
      </c>
      <c r="AL540" s="21" t="n">
        <v>0</v>
      </c>
      <c r="AM540" s="21" t="n">
        <v>0</v>
      </c>
      <c r="AN540" s="21" t="n">
        <v>0</v>
      </c>
      <c r="AO540" s="21" t="n">
        <v>0</v>
      </c>
      <c r="AP540" s="21" t="n">
        <v>0</v>
      </c>
      <c r="AQ540" s="21" t="n">
        <v>0</v>
      </c>
      <c r="AR540" s="21" t="n">
        <v>0</v>
      </c>
      <c r="AS540" s="21" t="n">
        <v>0</v>
      </c>
      <c r="AT540" s="19" t="n"/>
    </row>
    <row r="541">
      <c r="D541" s="21">
        <f>-$B$18</f>
        <v/>
      </c>
      <c r="E541" s="21">
        <f>-$B$19</f>
        <v/>
      </c>
      <c r="F541" s="21">
        <f>2*$B$18+$D$518</f>
        <v/>
      </c>
      <c r="G541" s="21">
        <f>0</f>
        <v/>
      </c>
      <c r="H541" s="21">
        <f>-$B$18</f>
        <v/>
      </c>
      <c r="I541" s="21">
        <f>$B$19</f>
        <v/>
      </c>
      <c r="J541" s="21" t="n">
        <v>0</v>
      </c>
      <c r="K541" s="21" t="n">
        <v>0</v>
      </c>
      <c r="L541" s="21" t="n">
        <v>0</v>
      </c>
      <c r="M541" s="21" t="n">
        <v>0</v>
      </c>
      <c r="N541" s="21" t="n">
        <v>0</v>
      </c>
      <c r="O541" s="21" t="n">
        <v>0</v>
      </c>
      <c r="P541" s="21" t="n">
        <v>0</v>
      </c>
      <c r="Q541" s="21" t="n">
        <v>0</v>
      </c>
      <c r="R541" s="21" t="n">
        <v>0</v>
      </c>
      <c r="S541" s="21" t="n">
        <v>0</v>
      </c>
      <c r="T541" s="21" t="n">
        <v>0</v>
      </c>
      <c r="U541" s="21" t="n">
        <v>0</v>
      </c>
      <c r="V541" s="21" t="n">
        <v>0</v>
      </c>
      <c r="W541" s="21" t="n">
        <v>0</v>
      </c>
      <c r="X541" s="21" t="n">
        <v>0</v>
      </c>
      <c r="Y541" s="21" t="n">
        <v>0</v>
      </c>
      <c r="Z541" s="21" t="n">
        <v>0</v>
      </c>
      <c r="AA541" s="21" t="n">
        <v>0</v>
      </c>
      <c r="AB541" s="21" t="n">
        <v>0</v>
      </c>
      <c r="AC541" s="21" t="n">
        <v>0</v>
      </c>
      <c r="AD541" s="21" t="n">
        <v>0</v>
      </c>
      <c r="AE541" s="21" t="n">
        <v>0</v>
      </c>
      <c r="AF541" s="21" t="n">
        <v>0</v>
      </c>
      <c r="AG541" s="21" t="n">
        <v>0</v>
      </c>
      <c r="AH541" s="21" t="n">
        <v>0</v>
      </c>
      <c r="AI541" s="21" t="n">
        <v>0</v>
      </c>
      <c r="AJ541" s="21" t="n">
        <v>0</v>
      </c>
      <c r="AK541" s="21" t="n">
        <v>0</v>
      </c>
      <c r="AL541" s="21" t="n">
        <v>0</v>
      </c>
      <c r="AM541" s="21" t="n">
        <v>0</v>
      </c>
      <c r="AN541" s="21" t="n">
        <v>0</v>
      </c>
      <c r="AO541" s="21" t="n">
        <v>0</v>
      </c>
      <c r="AP541" s="21" t="n">
        <v>0</v>
      </c>
      <c r="AQ541" s="21" t="n">
        <v>0</v>
      </c>
      <c r="AR541" s="21" t="n">
        <v>0</v>
      </c>
      <c r="AS541" s="21" t="n">
        <v>0</v>
      </c>
      <c r="AT541" s="19" t="n"/>
    </row>
    <row r="542">
      <c r="D542" s="21">
        <f>$B$19</f>
        <v/>
      </c>
      <c r="E542" s="21">
        <f>$B$21</f>
        <v/>
      </c>
      <c r="F542" s="21">
        <f>0</f>
        <v/>
      </c>
      <c r="G542" s="21">
        <f>2*$B$20</f>
        <v/>
      </c>
      <c r="H542" s="21">
        <f>-$B$19</f>
        <v/>
      </c>
      <c r="I542" s="21">
        <f>$B$21</f>
        <v/>
      </c>
      <c r="J542" s="21" t="n">
        <v>0</v>
      </c>
      <c r="K542" s="21" t="n">
        <v>0</v>
      </c>
      <c r="L542" s="21" t="n">
        <v>0</v>
      </c>
      <c r="M542" s="21" t="n">
        <v>0</v>
      </c>
      <c r="N542" s="21" t="n">
        <v>0</v>
      </c>
      <c r="O542" s="21" t="n">
        <v>0</v>
      </c>
      <c r="P542" s="21" t="n">
        <v>0</v>
      </c>
      <c r="Q542" s="21" t="n">
        <v>0</v>
      </c>
      <c r="R542" s="21" t="n">
        <v>0</v>
      </c>
      <c r="S542" s="21" t="n">
        <v>0</v>
      </c>
      <c r="T542" s="21" t="n">
        <v>0</v>
      </c>
      <c r="U542" s="21" t="n">
        <v>0</v>
      </c>
      <c r="V542" s="21" t="n">
        <v>0</v>
      </c>
      <c r="W542" s="21" t="n">
        <v>0</v>
      </c>
      <c r="X542" s="21" t="n">
        <v>0</v>
      </c>
      <c r="Y542" s="21" t="n">
        <v>0</v>
      </c>
      <c r="Z542" s="21" t="n">
        <v>0</v>
      </c>
      <c r="AA542" s="21" t="n">
        <v>0</v>
      </c>
      <c r="AB542" s="21" t="n">
        <v>0</v>
      </c>
      <c r="AC542" s="21" t="n">
        <v>0</v>
      </c>
      <c r="AD542" s="21" t="n">
        <v>0</v>
      </c>
      <c r="AE542" s="21" t="n">
        <v>0</v>
      </c>
      <c r="AF542" s="21" t="n">
        <v>0</v>
      </c>
      <c r="AG542" s="21" t="n">
        <v>0</v>
      </c>
      <c r="AH542" s="21" t="n">
        <v>0</v>
      </c>
      <c r="AI542" s="21" t="n">
        <v>0</v>
      </c>
      <c r="AJ542" s="21" t="n">
        <v>0</v>
      </c>
      <c r="AK542" s="21" t="n">
        <v>0</v>
      </c>
      <c r="AL542" s="21" t="n">
        <v>0</v>
      </c>
      <c r="AM542" s="21" t="n">
        <v>0</v>
      </c>
      <c r="AN542" s="21" t="n">
        <v>0</v>
      </c>
      <c r="AO542" s="21" t="n">
        <v>0</v>
      </c>
      <c r="AP542" s="21" t="n">
        <v>0</v>
      </c>
      <c r="AQ542" s="21" t="n">
        <v>0</v>
      </c>
      <c r="AR542" s="21" t="n">
        <v>0</v>
      </c>
      <c r="AS542" s="21" t="n">
        <v>0</v>
      </c>
      <c r="AT542" s="19" t="n"/>
    </row>
    <row r="543">
      <c r="D543" s="21" t="n">
        <v>0</v>
      </c>
      <c r="E543" s="21" t="n">
        <v>0</v>
      </c>
      <c r="F543" s="21">
        <f>-$B$18</f>
        <v/>
      </c>
      <c r="G543" s="21">
        <f>-$B$19</f>
        <v/>
      </c>
      <c r="H543" s="21">
        <f>2*$B$18+$D$519</f>
        <v/>
      </c>
      <c r="I543" s="21">
        <f>0</f>
        <v/>
      </c>
      <c r="J543" s="21">
        <f>-$B$18</f>
        <v/>
      </c>
      <c r="K543" s="21">
        <f>$B$19</f>
        <v/>
      </c>
      <c r="L543" s="21" t="n">
        <v>0</v>
      </c>
      <c r="M543" s="21" t="n">
        <v>0</v>
      </c>
      <c r="N543" s="21" t="n">
        <v>0</v>
      </c>
      <c r="O543" s="21" t="n">
        <v>0</v>
      </c>
      <c r="P543" s="21" t="n">
        <v>0</v>
      </c>
      <c r="Q543" s="21" t="n">
        <v>0</v>
      </c>
      <c r="R543" s="21" t="n">
        <v>0</v>
      </c>
      <c r="S543" s="21" t="n">
        <v>0</v>
      </c>
      <c r="T543" s="21" t="n">
        <v>0</v>
      </c>
      <c r="U543" s="21" t="n">
        <v>0</v>
      </c>
      <c r="V543" s="21" t="n">
        <v>0</v>
      </c>
      <c r="W543" s="21" t="n">
        <v>0</v>
      </c>
      <c r="X543" s="21" t="n">
        <v>0</v>
      </c>
      <c r="Y543" s="21" t="n">
        <v>0</v>
      </c>
      <c r="Z543" s="21" t="n">
        <v>0</v>
      </c>
      <c r="AA543" s="21" t="n">
        <v>0</v>
      </c>
      <c r="AB543" s="21" t="n">
        <v>0</v>
      </c>
      <c r="AC543" s="21" t="n">
        <v>0</v>
      </c>
      <c r="AD543" s="21" t="n">
        <v>0</v>
      </c>
      <c r="AE543" s="21" t="n">
        <v>0</v>
      </c>
      <c r="AF543" s="21" t="n">
        <v>0</v>
      </c>
      <c r="AG543" s="21" t="n">
        <v>0</v>
      </c>
      <c r="AH543" s="21" t="n">
        <v>0</v>
      </c>
      <c r="AI543" s="21" t="n">
        <v>0</v>
      </c>
      <c r="AJ543" s="21" t="n">
        <v>0</v>
      </c>
      <c r="AK543" s="21" t="n">
        <v>0</v>
      </c>
      <c r="AL543" s="21" t="n">
        <v>0</v>
      </c>
      <c r="AM543" s="21" t="n">
        <v>0</v>
      </c>
      <c r="AN543" s="21" t="n">
        <v>0</v>
      </c>
      <c r="AO543" s="21" t="n">
        <v>0</v>
      </c>
      <c r="AP543" s="21" t="n">
        <v>0</v>
      </c>
      <c r="AQ543" s="21" t="n">
        <v>0</v>
      </c>
      <c r="AR543" s="21" t="n">
        <v>0</v>
      </c>
      <c r="AS543" s="21" t="n">
        <v>0</v>
      </c>
      <c r="AT543" s="19" t="n"/>
    </row>
    <row r="544">
      <c r="D544" s="21" t="n">
        <v>0</v>
      </c>
      <c r="E544" s="21" t="n">
        <v>0</v>
      </c>
      <c r="F544" s="21">
        <f>$B$19</f>
        <v/>
      </c>
      <c r="G544" s="21">
        <f>$B$21</f>
        <v/>
      </c>
      <c r="H544" s="21">
        <f>0</f>
        <v/>
      </c>
      <c r="I544" s="21">
        <f>2*$B$20</f>
        <v/>
      </c>
      <c r="J544" s="21">
        <f>-$B$19</f>
        <v/>
      </c>
      <c r="K544" s="21">
        <f>$B$21</f>
        <v/>
      </c>
      <c r="L544" s="21" t="n">
        <v>0</v>
      </c>
      <c r="M544" s="21" t="n">
        <v>0</v>
      </c>
      <c r="N544" s="21" t="n">
        <v>0</v>
      </c>
      <c r="O544" s="21" t="n">
        <v>0</v>
      </c>
      <c r="P544" s="21" t="n">
        <v>0</v>
      </c>
      <c r="Q544" s="21" t="n">
        <v>0</v>
      </c>
      <c r="R544" s="21" t="n">
        <v>0</v>
      </c>
      <c r="S544" s="21" t="n">
        <v>0</v>
      </c>
      <c r="T544" s="21" t="n">
        <v>0</v>
      </c>
      <c r="U544" s="21" t="n">
        <v>0</v>
      </c>
      <c r="V544" s="21" t="n">
        <v>0</v>
      </c>
      <c r="W544" s="21" t="n">
        <v>0</v>
      </c>
      <c r="X544" s="21" t="n">
        <v>0</v>
      </c>
      <c r="Y544" s="21" t="n">
        <v>0</v>
      </c>
      <c r="Z544" s="21" t="n">
        <v>0</v>
      </c>
      <c r="AA544" s="21" t="n">
        <v>0</v>
      </c>
      <c r="AB544" s="21" t="n">
        <v>0</v>
      </c>
      <c r="AC544" s="21" t="n">
        <v>0</v>
      </c>
      <c r="AD544" s="21" t="n">
        <v>0</v>
      </c>
      <c r="AE544" s="21" t="n">
        <v>0</v>
      </c>
      <c r="AF544" s="21" t="n">
        <v>0</v>
      </c>
      <c r="AG544" s="21" t="n">
        <v>0</v>
      </c>
      <c r="AH544" s="21" t="n">
        <v>0</v>
      </c>
      <c r="AI544" s="21" t="n">
        <v>0</v>
      </c>
      <c r="AJ544" s="21" t="n">
        <v>0</v>
      </c>
      <c r="AK544" s="21" t="n">
        <v>0</v>
      </c>
      <c r="AL544" s="21" t="n">
        <v>0</v>
      </c>
      <c r="AM544" s="21" t="n">
        <v>0</v>
      </c>
      <c r="AN544" s="21" t="n">
        <v>0</v>
      </c>
      <c r="AO544" s="21" t="n">
        <v>0</v>
      </c>
      <c r="AP544" s="21" t="n">
        <v>0</v>
      </c>
      <c r="AQ544" s="21" t="n">
        <v>0</v>
      </c>
      <c r="AR544" s="21" t="n">
        <v>0</v>
      </c>
      <c r="AS544" s="21" t="n">
        <v>0</v>
      </c>
      <c r="AT544" s="19" t="n"/>
    </row>
    <row r="545">
      <c r="D545" s="21" t="n">
        <v>0</v>
      </c>
      <c r="E545" s="21" t="n">
        <v>0</v>
      </c>
      <c r="F545" s="21" t="n">
        <v>0</v>
      </c>
      <c r="G545" s="21" t="n">
        <v>0</v>
      </c>
      <c r="H545" s="21">
        <f>-$B$18</f>
        <v/>
      </c>
      <c r="I545" s="21">
        <f>-$B$19</f>
        <v/>
      </c>
      <c r="J545" s="21">
        <f>2*$B$18+$D$520</f>
        <v/>
      </c>
      <c r="K545" s="21">
        <f>0</f>
        <v/>
      </c>
      <c r="L545" s="21">
        <f>-$B$18</f>
        <v/>
      </c>
      <c r="M545" s="21">
        <f>$B$19</f>
        <v/>
      </c>
      <c r="N545" s="21" t="n">
        <v>0</v>
      </c>
      <c r="O545" s="21" t="n">
        <v>0</v>
      </c>
      <c r="P545" s="21" t="n">
        <v>0</v>
      </c>
      <c r="Q545" s="21" t="n">
        <v>0</v>
      </c>
      <c r="R545" s="21" t="n">
        <v>0</v>
      </c>
      <c r="S545" s="21" t="n">
        <v>0</v>
      </c>
      <c r="T545" s="21" t="n">
        <v>0</v>
      </c>
      <c r="U545" s="21" t="n">
        <v>0</v>
      </c>
      <c r="V545" s="21" t="n">
        <v>0</v>
      </c>
      <c r="W545" s="21" t="n">
        <v>0</v>
      </c>
      <c r="X545" s="21" t="n">
        <v>0</v>
      </c>
      <c r="Y545" s="21" t="n">
        <v>0</v>
      </c>
      <c r="Z545" s="21" t="n">
        <v>0</v>
      </c>
      <c r="AA545" s="21" t="n">
        <v>0</v>
      </c>
      <c r="AB545" s="21" t="n">
        <v>0</v>
      </c>
      <c r="AC545" s="21" t="n">
        <v>0</v>
      </c>
      <c r="AD545" s="21" t="n">
        <v>0</v>
      </c>
      <c r="AE545" s="21" t="n">
        <v>0</v>
      </c>
      <c r="AF545" s="21" t="n">
        <v>0</v>
      </c>
      <c r="AG545" s="21" t="n">
        <v>0</v>
      </c>
      <c r="AH545" s="21" t="n">
        <v>0</v>
      </c>
      <c r="AI545" s="21" t="n">
        <v>0</v>
      </c>
      <c r="AJ545" s="21" t="n">
        <v>0</v>
      </c>
      <c r="AK545" s="21" t="n">
        <v>0</v>
      </c>
      <c r="AL545" s="21" t="n">
        <v>0</v>
      </c>
      <c r="AM545" s="21" t="n">
        <v>0</v>
      </c>
      <c r="AN545" s="21" t="n">
        <v>0</v>
      </c>
      <c r="AO545" s="21" t="n">
        <v>0</v>
      </c>
      <c r="AP545" s="21" t="n">
        <v>0</v>
      </c>
      <c r="AQ545" s="21" t="n">
        <v>0</v>
      </c>
      <c r="AR545" s="21" t="n">
        <v>0</v>
      </c>
      <c r="AS545" s="21" t="n">
        <v>0</v>
      </c>
      <c r="AT545" s="19" t="n"/>
    </row>
    <row r="546">
      <c r="D546" s="21" t="n">
        <v>0</v>
      </c>
      <c r="E546" s="21" t="n">
        <v>0</v>
      </c>
      <c r="F546" s="21" t="n">
        <v>0</v>
      </c>
      <c r="G546" s="21" t="n">
        <v>0</v>
      </c>
      <c r="H546" s="21">
        <f>$B$19</f>
        <v/>
      </c>
      <c r="I546" s="21">
        <f>$B$21</f>
        <v/>
      </c>
      <c r="J546" s="21">
        <f>0</f>
        <v/>
      </c>
      <c r="K546" s="21">
        <f>2*$B$20</f>
        <v/>
      </c>
      <c r="L546" s="21">
        <f>-$B$19</f>
        <v/>
      </c>
      <c r="M546" s="21">
        <f>$B$21</f>
        <v/>
      </c>
      <c r="N546" s="21" t="n">
        <v>0</v>
      </c>
      <c r="O546" s="21" t="n">
        <v>0</v>
      </c>
      <c r="P546" s="21" t="n">
        <v>0</v>
      </c>
      <c r="Q546" s="21" t="n">
        <v>0</v>
      </c>
      <c r="R546" s="21" t="n">
        <v>0</v>
      </c>
      <c r="S546" s="21" t="n">
        <v>0</v>
      </c>
      <c r="T546" s="21" t="n">
        <v>0</v>
      </c>
      <c r="U546" s="21" t="n">
        <v>0</v>
      </c>
      <c r="V546" s="21" t="n">
        <v>0</v>
      </c>
      <c r="W546" s="21" t="n">
        <v>0</v>
      </c>
      <c r="X546" s="21" t="n">
        <v>0</v>
      </c>
      <c r="Y546" s="21" t="n">
        <v>0</v>
      </c>
      <c r="Z546" s="21" t="n">
        <v>0</v>
      </c>
      <c r="AA546" s="21" t="n">
        <v>0</v>
      </c>
      <c r="AB546" s="21" t="n">
        <v>0</v>
      </c>
      <c r="AC546" s="21" t="n">
        <v>0</v>
      </c>
      <c r="AD546" s="21" t="n">
        <v>0</v>
      </c>
      <c r="AE546" s="21" t="n">
        <v>0</v>
      </c>
      <c r="AF546" s="21" t="n">
        <v>0</v>
      </c>
      <c r="AG546" s="21" t="n">
        <v>0</v>
      </c>
      <c r="AH546" s="21" t="n">
        <v>0</v>
      </c>
      <c r="AI546" s="21" t="n">
        <v>0</v>
      </c>
      <c r="AJ546" s="21" t="n">
        <v>0</v>
      </c>
      <c r="AK546" s="21" t="n">
        <v>0</v>
      </c>
      <c r="AL546" s="21" t="n">
        <v>0</v>
      </c>
      <c r="AM546" s="21" t="n">
        <v>0</v>
      </c>
      <c r="AN546" s="21" t="n">
        <v>0</v>
      </c>
      <c r="AO546" s="21" t="n">
        <v>0</v>
      </c>
      <c r="AP546" s="21" t="n">
        <v>0</v>
      </c>
      <c r="AQ546" s="21" t="n">
        <v>0</v>
      </c>
      <c r="AR546" s="21" t="n">
        <v>0</v>
      </c>
      <c r="AS546" s="21" t="n">
        <v>0</v>
      </c>
      <c r="AT546" s="19" t="n"/>
    </row>
    <row r="547">
      <c r="D547" s="21" t="n">
        <v>0</v>
      </c>
      <c r="E547" s="21" t="n">
        <v>0</v>
      </c>
      <c r="F547" s="21" t="n">
        <v>0</v>
      </c>
      <c r="G547" s="21" t="n">
        <v>0</v>
      </c>
      <c r="H547" s="21" t="n">
        <v>0</v>
      </c>
      <c r="I547" s="21" t="n">
        <v>0</v>
      </c>
      <c r="J547" s="21">
        <f>-$B$18</f>
        <v/>
      </c>
      <c r="K547" s="21">
        <f>-$B$19</f>
        <v/>
      </c>
      <c r="L547" s="21">
        <f>2*$B$18+$D$521</f>
        <v/>
      </c>
      <c r="M547" s="21">
        <f>0</f>
        <v/>
      </c>
      <c r="N547" s="21">
        <f>-$B$18</f>
        <v/>
      </c>
      <c r="O547" s="21">
        <f>$B$19</f>
        <v/>
      </c>
      <c r="P547" s="21" t="n">
        <v>0</v>
      </c>
      <c r="Q547" s="21" t="n">
        <v>0</v>
      </c>
      <c r="R547" s="21" t="n">
        <v>0</v>
      </c>
      <c r="S547" s="21" t="n">
        <v>0</v>
      </c>
      <c r="T547" s="21" t="n">
        <v>0</v>
      </c>
      <c r="U547" s="21" t="n">
        <v>0</v>
      </c>
      <c r="V547" s="21" t="n">
        <v>0</v>
      </c>
      <c r="W547" s="21" t="n">
        <v>0</v>
      </c>
      <c r="X547" s="21" t="n">
        <v>0</v>
      </c>
      <c r="Y547" s="21" t="n">
        <v>0</v>
      </c>
      <c r="Z547" s="21" t="n">
        <v>0</v>
      </c>
      <c r="AA547" s="21" t="n">
        <v>0</v>
      </c>
      <c r="AB547" s="21" t="n">
        <v>0</v>
      </c>
      <c r="AC547" s="21" t="n">
        <v>0</v>
      </c>
      <c r="AD547" s="21" t="n">
        <v>0</v>
      </c>
      <c r="AE547" s="21" t="n">
        <v>0</v>
      </c>
      <c r="AF547" s="21" t="n">
        <v>0</v>
      </c>
      <c r="AG547" s="21" t="n">
        <v>0</v>
      </c>
      <c r="AH547" s="21" t="n">
        <v>0</v>
      </c>
      <c r="AI547" s="21" t="n">
        <v>0</v>
      </c>
      <c r="AJ547" s="21" t="n">
        <v>0</v>
      </c>
      <c r="AK547" s="21" t="n">
        <v>0</v>
      </c>
      <c r="AL547" s="21" t="n">
        <v>0</v>
      </c>
      <c r="AM547" s="21" t="n">
        <v>0</v>
      </c>
      <c r="AN547" s="21" t="n">
        <v>0</v>
      </c>
      <c r="AO547" s="21" t="n">
        <v>0</v>
      </c>
      <c r="AP547" s="21" t="n">
        <v>0</v>
      </c>
      <c r="AQ547" s="21" t="n">
        <v>0</v>
      </c>
      <c r="AR547" s="21" t="n">
        <v>0</v>
      </c>
      <c r="AS547" s="21" t="n">
        <v>0</v>
      </c>
      <c r="AT547" s="19" t="n"/>
    </row>
    <row r="548">
      <c r="D548" s="21" t="n">
        <v>0</v>
      </c>
      <c r="E548" s="21" t="n">
        <v>0</v>
      </c>
      <c r="F548" s="21" t="n">
        <v>0</v>
      </c>
      <c r="G548" s="21" t="n">
        <v>0</v>
      </c>
      <c r="H548" s="21" t="n">
        <v>0</v>
      </c>
      <c r="I548" s="21" t="n">
        <v>0</v>
      </c>
      <c r="J548" s="21">
        <f>$B$19</f>
        <v/>
      </c>
      <c r="K548" s="21">
        <f>$B$21</f>
        <v/>
      </c>
      <c r="L548" s="21">
        <f>0</f>
        <v/>
      </c>
      <c r="M548" s="21">
        <f>2*$B$20</f>
        <v/>
      </c>
      <c r="N548" s="21">
        <f>-$B$19</f>
        <v/>
      </c>
      <c r="O548" s="21">
        <f>$B$21</f>
        <v/>
      </c>
      <c r="P548" s="21" t="n">
        <v>0</v>
      </c>
      <c r="Q548" s="21" t="n">
        <v>0</v>
      </c>
      <c r="R548" s="21" t="n">
        <v>0</v>
      </c>
      <c r="S548" s="21" t="n">
        <v>0</v>
      </c>
      <c r="T548" s="21" t="n">
        <v>0</v>
      </c>
      <c r="U548" s="21" t="n">
        <v>0</v>
      </c>
      <c r="V548" s="21" t="n">
        <v>0</v>
      </c>
      <c r="W548" s="21" t="n">
        <v>0</v>
      </c>
      <c r="X548" s="21" t="n">
        <v>0</v>
      </c>
      <c r="Y548" s="21" t="n">
        <v>0</v>
      </c>
      <c r="Z548" s="21" t="n">
        <v>0</v>
      </c>
      <c r="AA548" s="21" t="n">
        <v>0</v>
      </c>
      <c r="AB548" s="21" t="n">
        <v>0</v>
      </c>
      <c r="AC548" s="21" t="n">
        <v>0</v>
      </c>
      <c r="AD548" s="21" t="n">
        <v>0</v>
      </c>
      <c r="AE548" s="21" t="n">
        <v>0</v>
      </c>
      <c r="AF548" s="21" t="n">
        <v>0</v>
      </c>
      <c r="AG548" s="21" t="n">
        <v>0</v>
      </c>
      <c r="AH548" s="21" t="n">
        <v>0</v>
      </c>
      <c r="AI548" s="21" t="n">
        <v>0</v>
      </c>
      <c r="AJ548" s="21" t="n">
        <v>0</v>
      </c>
      <c r="AK548" s="21" t="n">
        <v>0</v>
      </c>
      <c r="AL548" s="21" t="n">
        <v>0</v>
      </c>
      <c r="AM548" s="21" t="n">
        <v>0</v>
      </c>
      <c r="AN548" s="21" t="n">
        <v>0</v>
      </c>
      <c r="AO548" s="21" t="n">
        <v>0</v>
      </c>
      <c r="AP548" s="21" t="n">
        <v>0</v>
      </c>
      <c r="AQ548" s="21" t="n">
        <v>0</v>
      </c>
      <c r="AR548" s="21" t="n">
        <v>0</v>
      </c>
      <c r="AS548" s="21" t="n">
        <v>0</v>
      </c>
      <c r="AT548" s="19" t="n"/>
    </row>
    <row r="549">
      <c r="D549" s="21" t="n">
        <v>0</v>
      </c>
      <c r="E549" s="21" t="n">
        <v>0</v>
      </c>
      <c r="F549" s="21" t="n">
        <v>0</v>
      </c>
      <c r="G549" s="21" t="n">
        <v>0</v>
      </c>
      <c r="H549" s="21" t="n">
        <v>0</v>
      </c>
      <c r="I549" s="21" t="n">
        <v>0</v>
      </c>
      <c r="J549" s="21" t="n">
        <v>0</v>
      </c>
      <c r="K549" s="21" t="n">
        <v>0</v>
      </c>
      <c r="L549" s="21">
        <f>-$B$18</f>
        <v/>
      </c>
      <c r="M549" s="21">
        <f>-$B$19</f>
        <v/>
      </c>
      <c r="N549" s="21">
        <f>2*$B$18+$D$522</f>
        <v/>
      </c>
      <c r="O549" s="21">
        <f>0</f>
        <v/>
      </c>
      <c r="P549" s="21">
        <f>-$B$18</f>
        <v/>
      </c>
      <c r="Q549" s="21">
        <f>$B$19</f>
        <v/>
      </c>
      <c r="R549" s="21" t="n">
        <v>0</v>
      </c>
      <c r="S549" s="21" t="n">
        <v>0</v>
      </c>
      <c r="T549" s="21" t="n">
        <v>0</v>
      </c>
      <c r="U549" s="21" t="n">
        <v>0</v>
      </c>
      <c r="V549" s="21" t="n">
        <v>0</v>
      </c>
      <c r="W549" s="21" t="n">
        <v>0</v>
      </c>
      <c r="X549" s="21" t="n">
        <v>0</v>
      </c>
      <c r="Y549" s="21" t="n">
        <v>0</v>
      </c>
      <c r="Z549" s="21" t="n">
        <v>0</v>
      </c>
      <c r="AA549" s="21" t="n">
        <v>0</v>
      </c>
      <c r="AB549" s="21" t="n">
        <v>0</v>
      </c>
      <c r="AC549" s="21" t="n">
        <v>0</v>
      </c>
      <c r="AD549" s="21" t="n">
        <v>0</v>
      </c>
      <c r="AE549" s="21" t="n">
        <v>0</v>
      </c>
      <c r="AF549" s="21" t="n">
        <v>0</v>
      </c>
      <c r="AG549" s="21" t="n">
        <v>0</v>
      </c>
      <c r="AH549" s="21" t="n">
        <v>0</v>
      </c>
      <c r="AI549" s="21" t="n">
        <v>0</v>
      </c>
      <c r="AJ549" s="21" t="n">
        <v>0</v>
      </c>
      <c r="AK549" s="21" t="n">
        <v>0</v>
      </c>
      <c r="AL549" s="21" t="n">
        <v>0</v>
      </c>
      <c r="AM549" s="21" t="n">
        <v>0</v>
      </c>
      <c r="AN549" s="21" t="n">
        <v>0</v>
      </c>
      <c r="AO549" s="21" t="n">
        <v>0</v>
      </c>
      <c r="AP549" s="21" t="n">
        <v>0</v>
      </c>
      <c r="AQ549" s="21" t="n">
        <v>0</v>
      </c>
      <c r="AR549" s="21" t="n">
        <v>0</v>
      </c>
      <c r="AS549" s="21" t="n">
        <v>0</v>
      </c>
      <c r="AT549" s="19" t="n"/>
    </row>
    <row r="550">
      <c r="D550" s="21" t="n">
        <v>0</v>
      </c>
      <c r="E550" s="21" t="n">
        <v>0</v>
      </c>
      <c r="F550" s="21" t="n">
        <v>0</v>
      </c>
      <c r="G550" s="21" t="n">
        <v>0</v>
      </c>
      <c r="H550" s="21" t="n">
        <v>0</v>
      </c>
      <c r="I550" s="21" t="n">
        <v>0</v>
      </c>
      <c r="J550" s="21" t="n">
        <v>0</v>
      </c>
      <c r="K550" s="21" t="n">
        <v>0</v>
      </c>
      <c r="L550" s="21">
        <f>$B$19</f>
        <v/>
      </c>
      <c r="M550" s="21">
        <f>$B$21</f>
        <v/>
      </c>
      <c r="N550" s="21">
        <f>0</f>
        <v/>
      </c>
      <c r="O550" s="21">
        <f>2*$B$20</f>
        <v/>
      </c>
      <c r="P550" s="21">
        <f>-$B$19</f>
        <v/>
      </c>
      <c r="Q550" s="21">
        <f>$B$21</f>
        <v/>
      </c>
      <c r="R550" s="21" t="n">
        <v>0</v>
      </c>
      <c r="S550" s="21" t="n">
        <v>0</v>
      </c>
      <c r="T550" s="21" t="n">
        <v>0</v>
      </c>
      <c r="U550" s="21" t="n">
        <v>0</v>
      </c>
      <c r="V550" s="21" t="n">
        <v>0</v>
      </c>
      <c r="W550" s="21" t="n">
        <v>0</v>
      </c>
      <c r="X550" s="21" t="n">
        <v>0</v>
      </c>
      <c r="Y550" s="21" t="n">
        <v>0</v>
      </c>
      <c r="Z550" s="21" t="n">
        <v>0</v>
      </c>
      <c r="AA550" s="21" t="n">
        <v>0</v>
      </c>
      <c r="AB550" s="21" t="n">
        <v>0</v>
      </c>
      <c r="AC550" s="21" t="n">
        <v>0</v>
      </c>
      <c r="AD550" s="21" t="n">
        <v>0</v>
      </c>
      <c r="AE550" s="21" t="n">
        <v>0</v>
      </c>
      <c r="AF550" s="21" t="n">
        <v>0</v>
      </c>
      <c r="AG550" s="21" t="n">
        <v>0</v>
      </c>
      <c r="AH550" s="21" t="n">
        <v>0</v>
      </c>
      <c r="AI550" s="21" t="n">
        <v>0</v>
      </c>
      <c r="AJ550" s="21" t="n">
        <v>0</v>
      </c>
      <c r="AK550" s="21" t="n">
        <v>0</v>
      </c>
      <c r="AL550" s="21" t="n">
        <v>0</v>
      </c>
      <c r="AM550" s="21" t="n">
        <v>0</v>
      </c>
      <c r="AN550" s="21" t="n">
        <v>0</v>
      </c>
      <c r="AO550" s="21" t="n">
        <v>0</v>
      </c>
      <c r="AP550" s="21" t="n">
        <v>0</v>
      </c>
      <c r="AQ550" s="21" t="n">
        <v>0</v>
      </c>
      <c r="AR550" s="21" t="n">
        <v>0</v>
      </c>
      <c r="AS550" s="21" t="n">
        <v>0</v>
      </c>
      <c r="AT550" s="19" t="n"/>
    </row>
    <row r="551">
      <c r="D551" s="21" t="n">
        <v>0</v>
      </c>
      <c r="E551" s="21" t="n">
        <v>0</v>
      </c>
      <c r="F551" s="21" t="n">
        <v>0</v>
      </c>
      <c r="G551" s="21" t="n">
        <v>0</v>
      </c>
      <c r="H551" s="21" t="n">
        <v>0</v>
      </c>
      <c r="I551" s="21" t="n">
        <v>0</v>
      </c>
      <c r="J551" s="21" t="n">
        <v>0</v>
      </c>
      <c r="K551" s="21" t="n">
        <v>0</v>
      </c>
      <c r="L551" s="21" t="n">
        <v>0</v>
      </c>
      <c r="M551" s="21" t="n">
        <v>0</v>
      </c>
      <c r="N551" s="21">
        <f>-$B$18</f>
        <v/>
      </c>
      <c r="O551" s="21">
        <f>-$B$19</f>
        <v/>
      </c>
      <c r="P551" s="21">
        <f>2*$B$18+$D$523</f>
        <v/>
      </c>
      <c r="Q551" s="21">
        <f>0</f>
        <v/>
      </c>
      <c r="R551" s="21">
        <f>-$B$18</f>
        <v/>
      </c>
      <c r="S551" s="21">
        <f>$B$19</f>
        <v/>
      </c>
      <c r="T551" s="21" t="n">
        <v>0</v>
      </c>
      <c r="U551" s="21" t="n">
        <v>0</v>
      </c>
      <c r="V551" s="21" t="n">
        <v>0</v>
      </c>
      <c r="W551" s="21" t="n">
        <v>0</v>
      </c>
      <c r="X551" s="21" t="n">
        <v>0</v>
      </c>
      <c r="Y551" s="21" t="n">
        <v>0</v>
      </c>
      <c r="Z551" s="21" t="n">
        <v>0</v>
      </c>
      <c r="AA551" s="21" t="n">
        <v>0</v>
      </c>
      <c r="AB551" s="21" t="n">
        <v>0</v>
      </c>
      <c r="AC551" s="21" t="n">
        <v>0</v>
      </c>
      <c r="AD551" s="21" t="n">
        <v>0</v>
      </c>
      <c r="AE551" s="21" t="n">
        <v>0</v>
      </c>
      <c r="AF551" s="21" t="n">
        <v>0</v>
      </c>
      <c r="AG551" s="21" t="n">
        <v>0</v>
      </c>
      <c r="AH551" s="21" t="n">
        <v>0</v>
      </c>
      <c r="AI551" s="21" t="n">
        <v>0</v>
      </c>
      <c r="AJ551" s="21" t="n">
        <v>0</v>
      </c>
      <c r="AK551" s="21" t="n">
        <v>0</v>
      </c>
      <c r="AL551" s="21" t="n">
        <v>0</v>
      </c>
      <c r="AM551" s="21" t="n">
        <v>0</v>
      </c>
      <c r="AN551" s="21" t="n">
        <v>0</v>
      </c>
      <c r="AO551" s="21" t="n">
        <v>0</v>
      </c>
      <c r="AP551" s="21" t="n">
        <v>0</v>
      </c>
      <c r="AQ551" s="21" t="n">
        <v>0</v>
      </c>
      <c r="AR551" s="21" t="n">
        <v>0</v>
      </c>
      <c r="AS551" s="21" t="n">
        <v>0</v>
      </c>
      <c r="AT551" s="19" t="n"/>
    </row>
    <row r="552">
      <c r="D552" s="21" t="n">
        <v>0</v>
      </c>
      <c r="E552" s="21" t="n">
        <v>0</v>
      </c>
      <c r="F552" s="21" t="n">
        <v>0</v>
      </c>
      <c r="G552" s="21" t="n">
        <v>0</v>
      </c>
      <c r="H552" s="21" t="n">
        <v>0</v>
      </c>
      <c r="I552" s="21" t="n">
        <v>0</v>
      </c>
      <c r="J552" s="21" t="n">
        <v>0</v>
      </c>
      <c r="K552" s="21" t="n">
        <v>0</v>
      </c>
      <c r="L552" s="21" t="n">
        <v>0</v>
      </c>
      <c r="M552" s="21" t="n">
        <v>0</v>
      </c>
      <c r="N552" s="21">
        <f>$B$19</f>
        <v/>
      </c>
      <c r="O552" s="21">
        <f>$B$21</f>
        <v/>
      </c>
      <c r="P552" s="21">
        <f>0</f>
        <v/>
      </c>
      <c r="Q552" s="21">
        <f>2*$B$20</f>
        <v/>
      </c>
      <c r="R552" s="21">
        <f>-$B$19</f>
        <v/>
      </c>
      <c r="S552" s="21">
        <f>$B$21</f>
        <v/>
      </c>
      <c r="T552" s="21" t="n">
        <v>0</v>
      </c>
      <c r="U552" s="21" t="n">
        <v>0</v>
      </c>
      <c r="V552" s="21" t="n">
        <v>0</v>
      </c>
      <c r="W552" s="21" t="n">
        <v>0</v>
      </c>
      <c r="X552" s="21" t="n">
        <v>0</v>
      </c>
      <c r="Y552" s="21" t="n">
        <v>0</v>
      </c>
      <c r="Z552" s="21" t="n">
        <v>0</v>
      </c>
      <c r="AA552" s="21" t="n">
        <v>0</v>
      </c>
      <c r="AB552" s="21" t="n">
        <v>0</v>
      </c>
      <c r="AC552" s="21" t="n">
        <v>0</v>
      </c>
      <c r="AD552" s="21" t="n">
        <v>0</v>
      </c>
      <c r="AE552" s="21" t="n">
        <v>0</v>
      </c>
      <c r="AF552" s="21" t="n">
        <v>0</v>
      </c>
      <c r="AG552" s="21" t="n">
        <v>0</v>
      </c>
      <c r="AH552" s="21" t="n">
        <v>0</v>
      </c>
      <c r="AI552" s="21" t="n">
        <v>0</v>
      </c>
      <c r="AJ552" s="21" t="n">
        <v>0</v>
      </c>
      <c r="AK552" s="21" t="n">
        <v>0</v>
      </c>
      <c r="AL552" s="21" t="n">
        <v>0</v>
      </c>
      <c r="AM552" s="21" t="n">
        <v>0</v>
      </c>
      <c r="AN552" s="21" t="n">
        <v>0</v>
      </c>
      <c r="AO552" s="21" t="n">
        <v>0</v>
      </c>
      <c r="AP552" s="21" t="n">
        <v>0</v>
      </c>
      <c r="AQ552" s="21" t="n">
        <v>0</v>
      </c>
      <c r="AR552" s="21" t="n">
        <v>0</v>
      </c>
      <c r="AS552" s="21" t="n">
        <v>0</v>
      </c>
      <c r="AT552" s="19" t="n"/>
    </row>
    <row r="553">
      <c r="D553" s="21" t="n">
        <v>0</v>
      </c>
      <c r="E553" s="21" t="n">
        <v>0</v>
      </c>
      <c r="F553" s="21" t="n">
        <v>0</v>
      </c>
      <c r="G553" s="21" t="n">
        <v>0</v>
      </c>
      <c r="H553" s="21" t="n">
        <v>0</v>
      </c>
      <c r="I553" s="21" t="n">
        <v>0</v>
      </c>
      <c r="J553" s="21" t="n">
        <v>0</v>
      </c>
      <c r="K553" s="21" t="n">
        <v>0</v>
      </c>
      <c r="L553" s="21" t="n">
        <v>0</v>
      </c>
      <c r="M553" s="21" t="n">
        <v>0</v>
      </c>
      <c r="N553" s="21" t="n">
        <v>0</v>
      </c>
      <c r="O553" s="21" t="n">
        <v>0</v>
      </c>
      <c r="P553" s="21">
        <f>-$B$18</f>
        <v/>
      </c>
      <c r="Q553" s="21">
        <f>-$B$19</f>
        <v/>
      </c>
      <c r="R553" s="21">
        <f>2*$B$18+$D$524</f>
        <v/>
      </c>
      <c r="S553" s="21">
        <f>0</f>
        <v/>
      </c>
      <c r="T553" s="21">
        <f>-$B$18</f>
        <v/>
      </c>
      <c r="U553" s="21">
        <f>$B$19</f>
        <v/>
      </c>
      <c r="V553" s="21" t="n">
        <v>0</v>
      </c>
      <c r="W553" s="21" t="n">
        <v>0</v>
      </c>
      <c r="X553" s="21" t="n">
        <v>0</v>
      </c>
      <c r="Y553" s="21" t="n">
        <v>0</v>
      </c>
      <c r="Z553" s="21" t="n">
        <v>0</v>
      </c>
      <c r="AA553" s="21" t="n">
        <v>0</v>
      </c>
      <c r="AB553" s="21" t="n">
        <v>0</v>
      </c>
      <c r="AC553" s="21" t="n">
        <v>0</v>
      </c>
      <c r="AD553" s="21" t="n">
        <v>0</v>
      </c>
      <c r="AE553" s="21" t="n">
        <v>0</v>
      </c>
      <c r="AF553" s="21" t="n">
        <v>0</v>
      </c>
      <c r="AG553" s="21" t="n">
        <v>0</v>
      </c>
      <c r="AH553" s="21" t="n">
        <v>0</v>
      </c>
      <c r="AI553" s="21" t="n">
        <v>0</v>
      </c>
      <c r="AJ553" s="21" t="n">
        <v>0</v>
      </c>
      <c r="AK553" s="21" t="n">
        <v>0</v>
      </c>
      <c r="AL553" s="21" t="n">
        <v>0</v>
      </c>
      <c r="AM553" s="21" t="n">
        <v>0</v>
      </c>
      <c r="AN553" s="21" t="n">
        <v>0</v>
      </c>
      <c r="AO553" s="21" t="n">
        <v>0</v>
      </c>
      <c r="AP553" s="21" t="n">
        <v>0</v>
      </c>
      <c r="AQ553" s="21" t="n">
        <v>0</v>
      </c>
      <c r="AR553" s="21" t="n">
        <v>0</v>
      </c>
      <c r="AS553" s="21" t="n">
        <v>0</v>
      </c>
      <c r="AT553" s="19" t="n"/>
    </row>
    <row r="554">
      <c r="D554" s="21" t="n">
        <v>0</v>
      </c>
      <c r="E554" s="21" t="n">
        <v>0</v>
      </c>
      <c r="F554" s="21" t="n">
        <v>0</v>
      </c>
      <c r="G554" s="21" t="n">
        <v>0</v>
      </c>
      <c r="H554" s="21" t="n">
        <v>0</v>
      </c>
      <c r="I554" s="21" t="n">
        <v>0</v>
      </c>
      <c r="J554" s="21" t="n">
        <v>0</v>
      </c>
      <c r="K554" s="21" t="n">
        <v>0</v>
      </c>
      <c r="L554" s="21" t="n">
        <v>0</v>
      </c>
      <c r="M554" s="21" t="n">
        <v>0</v>
      </c>
      <c r="N554" s="21" t="n">
        <v>0</v>
      </c>
      <c r="O554" s="21" t="n">
        <v>0</v>
      </c>
      <c r="P554" s="21">
        <f>$B$19</f>
        <v/>
      </c>
      <c r="Q554" s="21">
        <f>$B$21</f>
        <v/>
      </c>
      <c r="R554" s="21">
        <f>0</f>
        <v/>
      </c>
      <c r="S554" s="21">
        <f>2*$B$20</f>
        <v/>
      </c>
      <c r="T554" s="21">
        <f>-$B$19</f>
        <v/>
      </c>
      <c r="U554" s="21">
        <f>$B$21</f>
        <v/>
      </c>
      <c r="V554" s="21" t="n">
        <v>0</v>
      </c>
      <c r="W554" s="21" t="n">
        <v>0</v>
      </c>
      <c r="X554" s="21" t="n">
        <v>0</v>
      </c>
      <c r="Y554" s="21" t="n">
        <v>0</v>
      </c>
      <c r="Z554" s="21" t="n">
        <v>0</v>
      </c>
      <c r="AA554" s="21" t="n">
        <v>0</v>
      </c>
      <c r="AB554" s="21" t="n">
        <v>0</v>
      </c>
      <c r="AC554" s="21" t="n">
        <v>0</v>
      </c>
      <c r="AD554" s="21" t="n">
        <v>0</v>
      </c>
      <c r="AE554" s="21" t="n">
        <v>0</v>
      </c>
      <c r="AF554" s="21" t="n">
        <v>0</v>
      </c>
      <c r="AG554" s="21" t="n">
        <v>0</v>
      </c>
      <c r="AH554" s="21" t="n">
        <v>0</v>
      </c>
      <c r="AI554" s="21" t="n">
        <v>0</v>
      </c>
      <c r="AJ554" s="21" t="n">
        <v>0</v>
      </c>
      <c r="AK554" s="21" t="n">
        <v>0</v>
      </c>
      <c r="AL554" s="21" t="n">
        <v>0</v>
      </c>
      <c r="AM554" s="21" t="n">
        <v>0</v>
      </c>
      <c r="AN554" s="21" t="n">
        <v>0</v>
      </c>
      <c r="AO554" s="21" t="n">
        <v>0</v>
      </c>
      <c r="AP554" s="21" t="n">
        <v>0</v>
      </c>
      <c r="AQ554" s="21" t="n">
        <v>0</v>
      </c>
      <c r="AR554" s="21" t="n">
        <v>0</v>
      </c>
      <c r="AS554" s="21" t="n">
        <v>0</v>
      </c>
      <c r="AT554" s="19" t="n"/>
    </row>
    <row r="555">
      <c r="D555" s="21" t="n">
        <v>0</v>
      </c>
      <c r="E555" s="21" t="n">
        <v>0</v>
      </c>
      <c r="F555" s="21" t="n">
        <v>0</v>
      </c>
      <c r="G555" s="21" t="n">
        <v>0</v>
      </c>
      <c r="H555" s="21" t="n">
        <v>0</v>
      </c>
      <c r="I555" s="21" t="n">
        <v>0</v>
      </c>
      <c r="J555" s="21" t="n">
        <v>0</v>
      </c>
      <c r="K555" s="21" t="n">
        <v>0</v>
      </c>
      <c r="L555" s="21" t="n">
        <v>0</v>
      </c>
      <c r="M555" s="21" t="n">
        <v>0</v>
      </c>
      <c r="N555" s="21" t="n">
        <v>0</v>
      </c>
      <c r="O555" s="21" t="n">
        <v>0</v>
      </c>
      <c r="P555" s="21" t="n">
        <v>0</v>
      </c>
      <c r="Q555" s="21" t="n">
        <v>0</v>
      </c>
      <c r="R555" s="21">
        <f>-$B$18</f>
        <v/>
      </c>
      <c r="S555" s="21">
        <f>-$B$19</f>
        <v/>
      </c>
      <c r="T555" s="21">
        <f>2*$B$18+$D$525</f>
        <v/>
      </c>
      <c r="U555" s="21">
        <f>0</f>
        <v/>
      </c>
      <c r="V555" s="21">
        <f>-$B$18</f>
        <v/>
      </c>
      <c r="W555" s="21">
        <f>$B$19</f>
        <v/>
      </c>
      <c r="X555" s="21" t="n">
        <v>0</v>
      </c>
      <c r="Y555" s="21" t="n">
        <v>0</v>
      </c>
      <c r="Z555" s="21" t="n">
        <v>0</v>
      </c>
      <c r="AA555" s="21" t="n">
        <v>0</v>
      </c>
      <c r="AB555" s="21" t="n">
        <v>0</v>
      </c>
      <c r="AC555" s="21" t="n">
        <v>0</v>
      </c>
      <c r="AD555" s="21" t="n">
        <v>0</v>
      </c>
      <c r="AE555" s="21" t="n">
        <v>0</v>
      </c>
      <c r="AF555" s="21" t="n">
        <v>0</v>
      </c>
      <c r="AG555" s="21" t="n">
        <v>0</v>
      </c>
      <c r="AH555" s="21" t="n">
        <v>0</v>
      </c>
      <c r="AI555" s="21" t="n">
        <v>0</v>
      </c>
      <c r="AJ555" s="21" t="n">
        <v>0</v>
      </c>
      <c r="AK555" s="21" t="n">
        <v>0</v>
      </c>
      <c r="AL555" s="21" t="n">
        <v>0</v>
      </c>
      <c r="AM555" s="21" t="n">
        <v>0</v>
      </c>
      <c r="AN555" s="21" t="n">
        <v>0</v>
      </c>
      <c r="AO555" s="21" t="n">
        <v>0</v>
      </c>
      <c r="AP555" s="21" t="n">
        <v>0</v>
      </c>
      <c r="AQ555" s="21" t="n">
        <v>0</v>
      </c>
      <c r="AR555" s="21" t="n">
        <v>0</v>
      </c>
      <c r="AS555" s="21" t="n">
        <v>0</v>
      </c>
      <c r="AT555" s="19" t="n"/>
    </row>
    <row r="556">
      <c r="D556" s="21" t="n">
        <v>0</v>
      </c>
      <c r="E556" s="21" t="n">
        <v>0</v>
      </c>
      <c r="F556" s="21" t="n">
        <v>0</v>
      </c>
      <c r="G556" s="21" t="n">
        <v>0</v>
      </c>
      <c r="H556" s="21" t="n">
        <v>0</v>
      </c>
      <c r="I556" s="21" t="n">
        <v>0</v>
      </c>
      <c r="J556" s="21" t="n">
        <v>0</v>
      </c>
      <c r="K556" s="21" t="n">
        <v>0</v>
      </c>
      <c r="L556" s="21" t="n">
        <v>0</v>
      </c>
      <c r="M556" s="21" t="n">
        <v>0</v>
      </c>
      <c r="N556" s="21" t="n">
        <v>0</v>
      </c>
      <c r="O556" s="21" t="n">
        <v>0</v>
      </c>
      <c r="P556" s="21" t="n">
        <v>0</v>
      </c>
      <c r="Q556" s="21" t="n">
        <v>0</v>
      </c>
      <c r="R556" s="21">
        <f>$B$19</f>
        <v/>
      </c>
      <c r="S556" s="21">
        <f>$B$21</f>
        <v/>
      </c>
      <c r="T556" s="21">
        <f>0</f>
        <v/>
      </c>
      <c r="U556" s="21">
        <f>2*$B$20</f>
        <v/>
      </c>
      <c r="V556" s="21">
        <f>-$B$19</f>
        <v/>
      </c>
      <c r="W556" s="21">
        <f>$B$21</f>
        <v/>
      </c>
      <c r="X556" s="21" t="n">
        <v>0</v>
      </c>
      <c r="Y556" s="21" t="n">
        <v>0</v>
      </c>
      <c r="Z556" s="21" t="n">
        <v>0</v>
      </c>
      <c r="AA556" s="21" t="n">
        <v>0</v>
      </c>
      <c r="AB556" s="21" t="n">
        <v>0</v>
      </c>
      <c r="AC556" s="21" t="n">
        <v>0</v>
      </c>
      <c r="AD556" s="21" t="n">
        <v>0</v>
      </c>
      <c r="AE556" s="21" t="n">
        <v>0</v>
      </c>
      <c r="AF556" s="21" t="n">
        <v>0</v>
      </c>
      <c r="AG556" s="21" t="n">
        <v>0</v>
      </c>
      <c r="AH556" s="21" t="n">
        <v>0</v>
      </c>
      <c r="AI556" s="21" t="n">
        <v>0</v>
      </c>
      <c r="AJ556" s="21" t="n">
        <v>0</v>
      </c>
      <c r="AK556" s="21" t="n">
        <v>0</v>
      </c>
      <c r="AL556" s="21" t="n">
        <v>0</v>
      </c>
      <c r="AM556" s="21" t="n">
        <v>0</v>
      </c>
      <c r="AN556" s="21" t="n">
        <v>0</v>
      </c>
      <c r="AO556" s="21" t="n">
        <v>0</v>
      </c>
      <c r="AP556" s="21" t="n">
        <v>0</v>
      </c>
      <c r="AQ556" s="21" t="n">
        <v>0</v>
      </c>
      <c r="AR556" s="21" t="n">
        <v>0</v>
      </c>
      <c r="AS556" s="21" t="n">
        <v>0</v>
      </c>
      <c r="AT556" s="19" t="n"/>
    </row>
    <row r="557">
      <c r="D557" s="21" t="n">
        <v>0</v>
      </c>
      <c r="E557" s="21" t="n">
        <v>0</v>
      </c>
      <c r="F557" s="21" t="n">
        <v>0</v>
      </c>
      <c r="G557" s="21" t="n">
        <v>0</v>
      </c>
      <c r="H557" s="21" t="n">
        <v>0</v>
      </c>
      <c r="I557" s="21" t="n">
        <v>0</v>
      </c>
      <c r="J557" s="21" t="n">
        <v>0</v>
      </c>
      <c r="K557" s="21" t="n">
        <v>0</v>
      </c>
      <c r="L557" s="21" t="n">
        <v>0</v>
      </c>
      <c r="M557" s="21" t="n">
        <v>0</v>
      </c>
      <c r="N557" s="21" t="n">
        <v>0</v>
      </c>
      <c r="O557" s="21" t="n">
        <v>0</v>
      </c>
      <c r="P557" s="21" t="n">
        <v>0</v>
      </c>
      <c r="Q557" s="21" t="n">
        <v>0</v>
      </c>
      <c r="R557" s="21" t="n">
        <v>0</v>
      </c>
      <c r="S557" s="21" t="n">
        <v>0</v>
      </c>
      <c r="T557" s="21">
        <f>-$B$18</f>
        <v/>
      </c>
      <c r="U557" s="21">
        <f>-$B$19</f>
        <v/>
      </c>
      <c r="V557" s="21">
        <f>2*$B$18+$D$526</f>
        <v/>
      </c>
      <c r="W557" s="21">
        <f>0</f>
        <v/>
      </c>
      <c r="X557" s="21">
        <f>-$B$18</f>
        <v/>
      </c>
      <c r="Y557" s="21">
        <f>$B$19</f>
        <v/>
      </c>
      <c r="Z557" s="21" t="n">
        <v>0</v>
      </c>
      <c r="AA557" s="21" t="n">
        <v>0</v>
      </c>
      <c r="AB557" s="21" t="n">
        <v>0</v>
      </c>
      <c r="AC557" s="21" t="n">
        <v>0</v>
      </c>
      <c r="AD557" s="21" t="n">
        <v>0</v>
      </c>
      <c r="AE557" s="21" t="n">
        <v>0</v>
      </c>
      <c r="AF557" s="21" t="n">
        <v>0</v>
      </c>
      <c r="AG557" s="21" t="n">
        <v>0</v>
      </c>
      <c r="AH557" s="21" t="n">
        <v>0</v>
      </c>
      <c r="AI557" s="21" t="n">
        <v>0</v>
      </c>
      <c r="AJ557" s="21" t="n">
        <v>0</v>
      </c>
      <c r="AK557" s="21" t="n">
        <v>0</v>
      </c>
      <c r="AL557" s="21" t="n">
        <v>0</v>
      </c>
      <c r="AM557" s="21" t="n">
        <v>0</v>
      </c>
      <c r="AN557" s="21" t="n">
        <v>0</v>
      </c>
      <c r="AO557" s="21" t="n">
        <v>0</v>
      </c>
      <c r="AP557" s="21" t="n">
        <v>0</v>
      </c>
      <c r="AQ557" s="21" t="n">
        <v>0</v>
      </c>
      <c r="AR557" s="21" t="n">
        <v>0</v>
      </c>
      <c r="AS557" s="21" t="n">
        <v>0</v>
      </c>
      <c r="AT557" s="19" t="n"/>
    </row>
    <row r="558">
      <c r="D558" s="21" t="n">
        <v>0</v>
      </c>
      <c r="E558" s="21" t="n">
        <v>0</v>
      </c>
      <c r="F558" s="21" t="n">
        <v>0</v>
      </c>
      <c r="G558" s="21" t="n">
        <v>0</v>
      </c>
      <c r="H558" s="21" t="n">
        <v>0</v>
      </c>
      <c r="I558" s="21" t="n">
        <v>0</v>
      </c>
      <c r="J558" s="21" t="n">
        <v>0</v>
      </c>
      <c r="K558" s="21" t="n">
        <v>0</v>
      </c>
      <c r="L558" s="21" t="n">
        <v>0</v>
      </c>
      <c r="M558" s="21" t="n">
        <v>0</v>
      </c>
      <c r="N558" s="21" t="n">
        <v>0</v>
      </c>
      <c r="O558" s="21" t="n">
        <v>0</v>
      </c>
      <c r="P558" s="21" t="n">
        <v>0</v>
      </c>
      <c r="Q558" s="21" t="n">
        <v>0</v>
      </c>
      <c r="R558" s="21" t="n">
        <v>0</v>
      </c>
      <c r="S558" s="21" t="n">
        <v>0</v>
      </c>
      <c r="T558" s="21">
        <f>$B$19</f>
        <v/>
      </c>
      <c r="U558" s="21">
        <f>$B$21</f>
        <v/>
      </c>
      <c r="V558" s="21">
        <f>0</f>
        <v/>
      </c>
      <c r="W558" s="21">
        <f>2*$B$20</f>
        <v/>
      </c>
      <c r="X558" s="21">
        <f>-$B$19</f>
        <v/>
      </c>
      <c r="Y558" s="21">
        <f>$B$21</f>
        <v/>
      </c>
      <c r="Z558" s="21" t="n">
        <v>0</v>
      </c>
      <c r="AA558" s="21" t="n">
        <v>0</v>
      </c>
      <c r="AB558" s="21" t="n">
        <v>0</v>
      </c>
      <c r="AC558" s="21" t="n">
        <v>0</v>
      </c>
      <c r="AD558" s="21" t="n">
        <v>0</v>
      </c>
      <c r="AE558" s="21" t="n">
        <v>0</v>
      </c>
      <c r="AF558" s="21" t="n">
        <v>0</v>
      </c>
      <c r="AG558" s="21" t="n">
        <v>0</v>
      </c>
      <c r="AH558" s="21" t="n">
        <v>0</v>
      </c>
      <c r="AI558" s="21" t="n">
        <v>0</v>
      </c>
      <c r="AJ558" s="21" t="n">
        <v>0</v>
      </c>
      <c r="AK558" s="21" t="n">
        <v>0</v>
      </c>
      <c r="AL558" s="21" t="n">
        <v>0</v>
      </c>
      <c r="AM558" s="21" t="n">
        <v>0</v>
      </c>
      <c r="AN558" s="21" t="n">
        <v>0</v>
      </c>
      <c r="AO558" s="21" t="n">
        <v>0</v>
      </c>
      <c r="AP558" s="21" t="n">
        <v>0</v>
      </c>
      <c r="AQ558" s="21" t="n">
        <v>0</v>
      </c>
      <c r="AR558" s="21" t="n">
        <v>0</v>
      </c>
      <c r="AS558" s="21" t="n">
        <v>0</v>
      </c>
      <c r="AT558" s="19" t="n"/>
    </row>
    <row r="559">
      <c r="D559" s="21" t="n">
        <v>0</v>
      </c>
      <c r="E559" s="21" t="n">
        <v>0</v>
      </c>
      <c r="F559" s="21" t="n">
        <v>0</v>
      </c>
      <c r="G559" s="21" t="n">
        <v>0</v>
      </c>
      <c r="H559" s="21" t="n">
        <v>0</v>
      </c>
      <c r="I559" s="21" t="n">
        <v>0</v>
      </c>
      <c r="J559" s="21" t="n">
        <v>0</v>
      </c>
      <c r="K559" s="21" t="n">
        <v>0</v>
      </c>
      <c r="L559" s="21" t="n">
        <v>0</v>
      </c>
      <c r="M559" s="21" t="n">
        <v>0</v>
      </c>
      <c r="N559" s="21" t="n">
        <v>0</v>
      </c>
      <c r="O559" s="21" t="n">
        <v>0</v>
      </c>
      <c r="P559" s="21" t="n">
        <v>0</v>
      </c>
      <c r="Q559" s="21" t="n">
        <v>0</v>
      </c>
      <c r="R559" s="21" t="n">
        <v>0</v>
      </c>
      <c r="S559" s="21" t="n">
        <v>0</v>
      </c>
      <c r="T559" s="21" t="n">
        <v>0</v>
      </c>
      <c r="U559" s="21" t="n">
        <v>0</v>
      </c>
      <c r="V559" s="21">
        <f>-$B$18</f>
        <v/>
      </c>
      <c r="W559" s="21">
        <f>-$B$19</f>
        <v/>
      </c>
      <c r="X559" s="21">
        <f>2*$B$18+$D$527</f>
        <v/>
      </c>
      <c r="Y559" s="21">
        <f>0</f>
        <v/>
      </c>
      <c r="Z559" s="21">
        <f>-$B$18</f>
        <v/>
      </c>
      <c r="AA559" s="21">
        <f>$B$19</f>
        <v/>
      </c>
      <c r="AB559" s="21" t="n">
        <v>0</v>
      </c>
      <c r="AC559" s="21" t="n">
        <v>0</v>
      </c>
      <c r="AD559" s="21" t="n">
        <v>0</v>
      </c>
      <c r="AE559" s="21" t="n">
        <v>0</v>
      </c>
      <c r="AF559" s="21" t="n">
        <v>0</v>
      </c>
      <c r="AG559" s="21" t="n">
        <v>0</v>
      </c>
      <c r="AH559" s="21" t="n">
        <v>0</v>
      </c>
      <c r="AI559" s="21" t="n">
        <v>0</v>
      </c>
      <c r="AJ559" s="21" t="n">
        <v>0</v>
      </c>
      <c r="AK559" s="21" t="n">
        <v>0</v>
      </c>
      <c r="AL559" s="21" t="n">
        <v>0</v>
      </c>
      <c r="AM559" s="21" t="n">
        <v>0</v>
      </c>
      <c r="AN559" s="21" t="n">
        <v>0</v>
      </c>
      <c r="AO559" s="21" t="n">
        <v>0</v>
      </c>
      <c r="AP559" s="21" t="n">
        <v>0</v>
      </c>
      <c r="AQ559" s="21" t="n">
        <v>0</v>
      </c>
      <c r="AR559" s="21" t="n">
        <v>0</v>
      </c>
      <c r="AS559" s="21" t="n">
        <v>0</v>
      </c>
      <c r="AT559" s="19" t="n"/>
    </row>
    <row r="560">
      <c r="D560" s="21" t="n">
        <v>0</v>
      </c>
      <c r="E560" s="21" t="n">
        <v>0</v>
      </c>
      <c r="F560" s="21" t="n">
        <v>0</v>
      </c>
      <c r="G560" s="21" t="n">
        <v>0</v>
      </c>
      <c r="H560" s="21" t="n">
        <v>0</v>
      </c>
      <c r="I560" s="21" t="n">
        <v>0</v>
      </c>
      <c r="J560" s="21" t="n">
        <v>0</v>
      </c>
      <c r="K560" s="21" t="n">
        <v>0</v>
      </c>
      <c r="L560" s="21" t="n">
        <v>0</v>
      </c>
      <c r="M560" s="21" t="n">
        <v>0</v>
      </c>
      <c r="N560" s="21" t="n">
        <v>0</v>
      </c>
      <c r="O560" s="21" t="n">
        <v>0</v>
      </c>
      <c r="P560" s="21" t="n">
        <v>0</v>
      </c>
      <c r="Q560" s="21" t="n">
        <v>0</v>
      </c>
      <c r="R560" s="21" t="n">
        <v>0</v>
      </c>
      <c r="S560" s="21" t="n">
        <v>0</v>
      </c>
      <c r="T560" s="21" t="n">
        <v>0</v>
      </c>
      <c r="U560" s="21" t="n">
        <v>0</v>
      </c>
      <c r="V560" s="21">
        <f>$B$19</f>
        <v/>
      </c>
      <c r="W560" s="21">
        <f>$B$21</f>
        <v/>
      </c>
      <c r="X560" s="21">
        <f>0</f>
        <v/>
      </c>
      <c r="Y560" s="21">
        <f>2*$B$20</f>
        <v/>
      </c>
      <c r="Z560" s="21">
        <f>-$B$19</f>
        <v/>
      </c>
      <c r="AA560" s="21">
        <f>$B$21</f>
        <v/>
      </c>
      <c r="AB560" s="21" t="n">
        <v>0</v>
      </c>
      <c r="AC560" s="21" t="n">
        <v>0</v>
      </c>
      <c r="AD560" s="21" t="n">
        <v>0</v>
      </c>
      <c r="AE560" s="21" t="n">
        <v>0</v>
      </c>
      <c r="AF560" s="21" t="n">
        <v>0</v>
      </c>
      <c r="AG560" s="21" t="n">
        <v>0</v>
      </c>
      <c r="AH560" s="21" t="n">
        <v>0</v>
      </c>
      <c r="AI560" s="21" t="n">
        <v>0</v>
      </c>
      <c r="AJ560" s="21" t="n">
        <v>0</v>
      </c>
      <c r="AK560" s="21" t="n">
        <v>0</v>
      </c>
      <c r="AL560" s="21" t="n">
        <v>0</v>
      </c>
      <c r="AM560" s="21" t="n">
        <v>0</v>
      </c>
      <c r="AN560" s="21" t="n">
        <v>0</v>
      </c>
      <c r="AO560" s="21" t="n">
        <v>0</v>
      </c>
      <c r="AP560" s="21" t="n">
        <v>0</v>
      </c>
      <c r="AQ560" s="21" t="n">
        <v>0</v>
      </c>
      <c r="AR560" s="21" t="n">
        <v>0</v>
      </c>
      <c r="AS560" s="21" t="n">
        <v>0</v>
      </c>
      <c r="AT560" s="19" t="n"/>
    </row>
    <row r="561">
      <c r="D561" s="21" t="n">
        <v>0</v>
      </c>
      <c r="E561" s="21" t="n">
        <v>0</v>
      </c>
      <c r="F561" s="21" t="n">
        <v>0</v>
      </c>
      <c r="G561" s="21" t="n">
        <v>0</v>
      </c>
      <c r="H561" s="21" t="n">
        <v>0</v>
      </c>
      <c r="I561" s="21" t="n">
        <v>0</v>
      </c>
      <c r="J561" s="21" t="n">
        <v>0</v>
      </c>
      <c r="K561" s="21" t="n">
        <v>0</v>
      </c>
      <c r="L561" s="21" t="n">
        <v>0</v>
      </c>
      <c r="M561" s="21" t="n">
        <v>0</v>
      </c>
      <c r="N561" s="21" t="n">
        <v>0</v>
      </c>
      <c r="O561" s="21" t="n">
        <v>0</v>
      </c>
      <c r="P561" s="21" t="n">
        <v>0</v>
      </c>
      <c r="Q561" s="21" t="n">
        <v>0</v>
      </c>
      <c r="R561" s="21" t="n">
        <v>0</v>
      </c>
      <c r="S561" s="21" t="n">
        <v>0</v>
      </c>
      <c r="T561" s="21" t="n">
        <v>0</v>
      </c>
      <c r="U561" s="21" t="n">
        <v>0</v>
      </c>
      <c r="V561" s="21" t="n">
        <v>0</v>
      </c>
      <c r="W561" s="21" t="n">
        <v>0</v>
      </c>
      <c r="X561" s="21">
        <f>-$B$18</f>
        <v/>
      </c>
      <c r="Y561" s="21">
        <f>-$B$19</f>
        <v/>
      </c>
      <c r="Z561" s="21">
        <f>2*$B$18+$D$528</f>
        <v/>
      </c>
      <c r="AA561" s="21">
        <f>0</f>
        <v/>
      </c>
      <c r="AB561" s="21">
        <f>-$B$18</f>
        <v/>
      </c>
      <c r="AC561" s="21">
        <f>$B$19</f>
        <v/>
      </c>
      <c r="AD561" s="21" t="n">
        <v>0</v>
      </c>
      <c r="AE561" s="21" t="n">
        <v>0</v>
      </c>
      <c r="AF561" s="21" t="n">
        <v>0</v>
      </c>
      <c r="AG561" s="21" t="n">
        <v>0</v>
      </c>
      <c r="AH561" s="21" t="n">
        <v>0</v>
      </c>
      <c r="AI561" s="21" t="n">
        <v>0</v>
      </c>
      <c r="AJ561" s="21" t="n">
        <v>0</v>
      </c>
      <c r="AK561" s="21" t="n">
        <v>0</v>
      </c>
      <c r="AL561" s="21" t="n">
        <v>0</v>
      </c>
      <c r="AM561" s="21" t="n">
        <v>0</v>
      </c>
      <c r="AN561" s="21" t="n">
        <v>0</v>
      </c>
      <c r="AO561" s="21" t="n">
        <v>0</v>
      </c>
      <c r="AP561" s="21" t="n">
        <v>0</v>
      </c>
      <c r="AQ561" s="21" t="n">
        <v>0</v>
      </c>
      <c r="AR561" s="21" t="n">
        <v>0</v>
      </c>
      <c r="AS561" s="21" t="n">
        <v>0</v>
      </c>
      <c r="AT561" s="19" t="n"/>
    </row>
    <row r="562">
      <c r="D562" s="21" t="n">
        <v>0</v>
      </c>
      <c r="E562" s="21" t="n">
        <v>0</v>
      </c>
      <c r="F562" s="21" t="n">
        <v>0</v>
      </c>
      <c r="G562" s="21" t="n">
        <v>0</v>
      </c>
      <c r="H562" s="21" t="n">
        <v>0</v>
      </c>
      <c r="I562" s="21" t="n">
        <v>0</v>
      </c>
      <c r="J562" s="21" t="n">
        <v>0</v>
      </c>
      <c r="K562" s="21" t="n">
        <v>0</v>
      </c>
      <c r="L562" s="21" t="n">
        <v>0</v>
      </c>
      <c r="M562" s="21" t="n">
        <v>0</v>
      </c>
      <c r="N562" s="21" t="n">
        <v>0</v>
      </c>
      <c r="O562" s="21" t="n">
        <v>0</v>
      </c>
      <c r="P562" s="21" t="n">
        <v>0</v>
      </c>
      <c r="Q562" s="21" t="n">
        <v>0</v>
      </c>
      <c r="R562" s="21" t="n">
        <v>0</v>
      </c>
      <c r="S562" s="21" t="n">
        <v>0</v>
      </c>
      <c r="T562" s="21" t="n">
        <v>0</v>
      </c>
      <c r="U562" s="21" t="n">
        <v>0</v>
      </c>
      <c r="V562" s="21" t="n">
        <v>0</v>
      </c>
      <c r="W562" s="21" t="n">
        <v>0</v>
      </c>
      <c r="X562" s="21">
        <f>$B$19</f>
        <v/>
      </c>
      <c r="Y562" s="21">
        <f>$B$21</f>
        <v/>
      </c>
      <c r="Z562" s="21">
        <f>0</f>
        <v/>
      </c>
      <c r="AA562" s="21">
        <f>2*$B$20</f>
        <v/>
      </c>
      <c r="AB562" s="21">
        <f>-$B$19</f>
        <v/>
      </c>
      <c r="AC562" s="21">
        <f>$B$21</f>
        <v/>
      </c>
      <c r="AD562" s="21" t="n">
        <v>0</v>
      </c>
      <c r="AE562" s="21" t="n">
        <v>0</v>
      </c>
      <c r="AF562" s="21" t="n">
        <v>0</v>
      </c>
      <c r="AG562" s="21" t="n">
        <v>0</v>
      </c>
      <c r="AH562" s="21" t="n">
        <v>0</v>
      </c>
      <c r="AI562" s="21" t="n">
        <v>0</v>
      </c>
      <c r="AJ562" s="21" t="n">
        <v>0</v>
      </c>
      <c r="AK562" s="21" t="n">
        <v>0</v>
      </c>
      <c r="AL562" s="21" t="n">
        <v>0</v>
      </c>
      <c r="AM562" s="21" t="n">
        <v>0</v>
      </c>
      <c r="AN562" s="21" t="n">
        <v>0</v>
      </c>
      <c r="AO562" s="21" t="n">
        <v>0</v>
      </c>
      <c r="AP562" s="21" t="n">
        <v>0</v>
      </c>
      <c r="AQ562" s="21" t="n">
        <v>0</v>
      </c>
      <c r="AR562" s="21" t="n">
        <v>0</v>
      </c>
      <c r="AS562" s="21" t="n">
        <v>0</v>
      </c>
      <c r="AT562" s="19" t="n"/>
    </row>
    <row r="563">
      <c r="D563" s="21" t="n">
        <v>0</v>
      </c>
      <c r="E563" s="21" t="n">
        <v>0</v>
      </c>
      <c r="F563" s="21" t="n">
        <v>0</v>
      </c>
      <c r="G563" s="21" t="n">
        <v>0</v>
      </c>
      <c r="H563" s="21" t="n">
        <v>0</v>
      </c>
      <c r="I563" s="21" t="n">
        <v>0</v>
      </c>
      <c r="J563" s="21" t="n">
        <v>0</v>
      </c>
      <c r="K563" s="21" t="n">
        <v>0</v>
      </c>
      <c r="L563" s="21" t="n">
        <v>0</v>
      </c>
      <c r="M563" s="21" t="n">
        <v>0</v>
      </c>
      <c r="N563" s="21" t="n">
        <v>0</v>
      </c>
      <c r="O563" s="21" t="n">
        <v>0</v>
      </c>
      <c r="P563" s="21" t="n">
        <v>0</v>
      </c>
      <c r="Q563" s="21" t="n">
        <v>0</v>
      </c>
      <c r="R563" s="21" t="n">
        <v>0</v>
      </c>
      <c r="S563" s="21" t="n">
        <v>0</v>
      </c>
      <c r="T563" s="21" t="n">
        <v>0</v>
      </c>
      <c r="U563" s="21" t="n">
        <v>0</v>
      </c>
      <c r="V563" s="21" t="n">
        <v>0</v>
      </c>
      <c r="W563" s="21" t="n">
        <v>0</v>
      </c>
      <c r="X563" s="21" t="n">
        <v>0</v>
      </c>
      <c r="Y563" s="21" t="n">
        <v>0</v>
      </c>
      <c r="Z563" s="21">
        <f>-$B$18</f>
        <v/>
      </c>
      <c r="AA563" s="21">
        <f>-$B$19</f>
        <v/>
      </c>
      <c r="AB563" s="21">
        <f>2*$B$18+$D$529</f>
        <v/>
      </c>
      <c r="AC563" s="21">
        <f>0</f>
        <v/>
      </c>
      <c r="AD563" s="21">
        <f>-$B$18</f>
        <v/>
      </c>
      <c r="AE563" s="21">
        <f>$B$19</f>
        <v/>
      </c>
      <c r="AF563" s="21" t="n">
        <v>0</v>
      </c>
      <c r="AG563" s="21" t="n">
        <v>0</v>
      </c>
      <c r="AH563" s="21" t="n">
        <v>0</v>
      </c>
      <c r="AI563" s="21" t="n">
        <v>0</v>
      </c>
      <c r="AJ563" s="21" t="n">
        <v>0</v>
      </c>
      <c r="AK563" s="21" t="n">
        <v>0</v>
      </c>
      <c r="AL563" s="21" t="n">
        <v>0</v>
      </c>
      <c r="AM563" s="21" t="n">
        <v>0</v>
      </c>
      <c r="AN563" s="21" t="n">
        <v>0</v>
      </c>
      <c r="AO563" s="21" t="n">
        <v>0</v>
      </c>
      <c r="AP563" s="21" t="n">
        <v>0</v>
      </c>
      <c r="AQ563" s="21" t="n">
        <v>0</v>
      </c>
      <c r="AR563" s="21" t="n">
        <v>0</v>
      </c>
      <c r="AS563" s="21" t="n">
        <v>0</v>
      </c>
      <c r="AT563" s="19" t="n"/>
    </row>
    <row r="564">
      <c r="D564" s="21" t="n">
        <v>0</v>
      </c>
      <c r="E564" s="21" t="n">
        <v>0</v>
      </c>
      <c r="F564" s="21" t="n">
        <v>0</v>
      </c>
      <c r="G564" s="21" t="n">
        <v>0</v>
      </c>
      <c r="H564" s="21" t="n">
        <v>0</v>
      </c>
      <c r="I564" s="21" t="n">
        <v>0</v>
      </c>
      <c r="J564" s="21" t="n">
        <v>0</v>
      </c>
      <c r="K564" s="21" t="n">
        <v>0</v>
      </c>
      <c r="L564" s="21" t="n">
        <v>0</v>
      </c>
      <c r="M564" s="21" t="n">
        <v>0</v>
      </c>
      <c r="N564" s="21" t="n">
        <v>0</v>
      </c>
      <c r="O564" s="21" t="n">
        <v>0</v>
      </c>
      <c r="P564" s="21" t="n">
        <v>0</v>
      </c>
      <c r="Q564" s="21" t="n">
        <v>0</v>
      </c>
      <c r="R564" s="21" t="n">
        <v>0</v>
      </c>
      <c r="S564" s="21" t="n">
        <v>0</v>
      </c>
      <c r="T564" s="21" t="n">
        <v>0</v>
      </c>
      <c r="U564" s="21" t="n">
        <v>0</v>
      </c>
      <c r="V564" s="21" t="n">
        <v>0</v>
      </c>
      <c r="W564" s="21" t="n">
        <v>0</v>
      </c>
      <c r="X564" s="21" t="n">
        <v>0</v>
      </c>
      <c r="Y564" s="21" t="n">
        <v>0</v>
      </c>
      <c r="Z564" s="21">
        <f>$B$19</f>
        <v/>
      </c>
      <c r="AA564" s="21">
        <f>$B$21</f>
        <v/>
      </c>
      <c r="AB564" s="21">
        <f>0</f>
        <v/>
      </c>
      <c r="AC564" s="21">
        <f>2*$B$20</f>
        <v/>
      </c>
      <c r="AD564" s="21">
        <f>-$B$19</f>
        <v/>
      </c>
      <c r="AE564" s="21">
        <f>$B$21</f>
        <v/>
      </c>
      <c r="AF564" s="21" t="n">
        <v>0</v>
      </c>
      <c r="AG564" s="21" t="n">
        <v>0</v>
      </c>
      <c r="AH564" s="21" t="n">
        <v>0</v>
      </c>
      <c r="AI564" s="21" t="n">
        <v>0</v>
      </c>
      <c r="AJ564" s="21" t="n">
        <v>0</v>
      </c>
      <c r="AK564" s="21" t="n">
        <v>0</v>
      </c>
      <c r="AL564" s="21" t="n">
        <v>0</v>
      </c>
      <c r="AM564" s="21" t="n">
        <v>0</v>
      </c>
      <c r="AN564" s="21" t="n">
        <v>0</v>
      </c>
      <c r="AO564" s="21" t="n">
        <v>0</v>
      </c>
      <c r="AP564" s="21" t="n">
        <v>0</v>
      </c>
      <c r="AQ564" s="21" t="n">
        <v>0</v>
      </c>
      <c r="AR564" s="21" t="n">
        <v>0</v>
      </c>
      <c r="AS564" s="21" t="n">
        <v>0</v>
      </c>
      <c r="AT564" s="19" t="n"/>
    </row>
    <row r="565">
      <c r="D565" s="21" t="n">
        <v>0</v>
      </c>
      <c r="E565" s="21" t="n">
        <v>0</v>
      </c>
      <c r="F565" s="21" t="n">
        <v>0</v>
      </c>
      <c r="G565" s="21" t="n">
        <v>0</v>
      </c>
      <c r="H565" s="21" t="n">
        <v>0</v>
      </c>
      <c r="I565" s="21" t="n">
        <v>0</v>
      </c>
      <c r="J565" s="21" t="n">
        <v>0</v>
      </c>
      <c r="K565" s="21" t="n">
        <v>0</v>
      </c>
      <c r="L565" s="21" t="n">
        <v>0</v>
      </c>
      <c r="M565" s="21" t="n">
        <v>0</v>
      </c>
      <c r="N565" s="21" t="n">
        <v>0</v>
      </c>
      <c r="O565" s="21" t="n">
        <v>0</v>
      </c>
      <c r="P565" s="21" t="n">
        <v>0</v>
      </c>
      <c r="Q565" s="21" t="n">
        <v>0</v>
      </c>
      <c r="R565" s="21" t="n">
        <v>0</v>
      </c>
      <c r="S565" s="21" t="n">
        <v>0</v>
      </c>
      <c r="T565" s="21" t="n">
        <v>0</v>
      </c>
      <c r="U565" s="21" t="n">
        <v>0</v>
      </c>
      <c r="V565" s="21" t="n">
        <v>0</v>
      </c>
      <c r="W565" s="21" t="n">
        <v>0</v>
      </c>
      <c r="X565" s="21" t="n">
        <v>0</v>
      </c>
      <c r="Y565" s="21" t="n">
        <v>0</v>
      </c>
      <c r="Z565" s="21" t="n">
        <v>0</v>
      </c>
      <c r="AA565" s="21" t="n">
        <v>0</v>
      </c>
      <c r="AB565" s="21">
        <f>-$B$18</f>
        <v/>
      </c>
      <c r="AC565" s="21">
        <f>-$B$19</f>
        <v/>
      </c>
      <c r="AD565" s="21">
        <f>2*$B$18+$D$530</f>
        <v/>
      </c>
      <c r="AE565" s="21">
        <f>0</f>
        <v/>
      </c>
      <c r="AF565" s="21">
        <f>-$B$18</f>
        <v/>
      </c>
      <c r="AG565" s="21">
        <f>$B$19</f>
        <v/>
      </c>
      <c r="AH565" s="21" t="n">
        <v>0</v>
      </c>
      <c r="AI565" s="21" t="n">
        <v>0</v>
      </c>
      <c r="AJ565" s="21" t="n">
        <v>0</v>
      </c>
      <c r="AK565" s="21" t="n">
        <v>0</v>
      </c>
      <c r="AL565" s="21" t="n">
        <v>0</v>
      </c>
      <c r="AM565" s="21" t="n">
        <v>0</v>
      </c>
      <c r="AN565" s="21" t="n">
        <v>0</v>
      </c>
      <c r="AO565" s="21" t="n">
        <v>0</v>
      </c>
      <c r="AP565" s="21" t="n">
        <v>0</v>
      </c>
      <c r="AQ565" s="21" t="n">
        <v>0</v>
      </c>
      <c r="AR565" s="21" t="n">
        <v>0</v>
      </c>
      <c r="AS565" s="21" t="n">
        <v>0</v>
      </c>
      <c r="AT565" s="19" t="n"/>
    </row>
    <row r="566">
      <c r="D566" s="21" t="n">
        <v>0</v>
      </c>
      <c r="E566" s="21" t="n">
        <v>0</v>
      </c>
      <c r="F566" s="21" t="n">
        <v>0</v>
      </c>
      <c r="G566" s="21" t="n">
        <v>0</v>
      </c>
      <c r="H566" s="21" t="n">
        <v>0</v>
      </c>
      <c r="I566" s="21" t="n">
        <v>0</v>
      </c>
      <c r="J566" s="21" t="n">
        <v>0</v>
      </c>
      <c r="K566" s="21" t="n">
        <v>0</v>
      </c>
      <c r="L566" s="21" t="n">
        <v>0</v>
      </c>
      <c r="M566" s="21" t="n">
        <v>0</v>
      </c>
      <c r="N566" s="21" t="n">
        <v>0</v>
      </c>
      <c r="O566" s="21" t="n">
        <v>0</v>
      </c>
      <c r="P566" s="21" t="n">
        <v>0</v>
      </c>
      <c r="Q566" s="21" t="n">
        <v>0</v>
      </c>
      <c r="R566" s="21" t="n">
        <v>0</v>
      </c>
      <c r="S566" s="21" t="n">
        <v>0</v>
      </c>
      <c r="T566" s="21" t="n">
        <v>0</v>
      </c>
      <c r="U566" s="21" t="n">
        <v>0</v>
      </c>
      <c r="V566" s="21" t="n">
        <v>0</v>
      </c>
      <c r="W566" s="21" t="n">
        <v>0</v>
      </c>
      <c r="X566" s="21" t="n">
        <v>0</v>
      </c>
      <c r="Y566" s="21" t="n">
        <v>0</v>
      </c>
      <c r="Z566" s="21" t="n">
        <v>0</v>
      </c>
      <c r="AA566" s="21" t="n">
        <v>0</v>
      </c>
      <c r="AB566" s="21">
        <f>$B$19</f>
        <v/>
      </c>
      <c r="AC566" s="21">
        <f>$B$21</f>
        <v/>
      </c>
      <c r="AD566" s="21">
        <f>0</f>
        <v/>
      </c>
      <c r="AE566" s="21">
        <f>2*$B$20</f>
        <v/>
      </c>
      <c r="AF566" s="21">
        <f>-$B$19</f>
        <v/>
      </c>
      <c r="AG566" s="21">
        <f>$B$21</f>
        <v/>
      </c>
      <c r="AH566" s="21" t="n">
        <v>0</v>
      </c>
      <c r="AI566" s="21" t="n">
        <v>0</v>
      </c>
      <c r="AJ566" s="21" t="n">
        <v>0</v>
      </c>
      <c r="AK566" s="21" t="n">
        <v>0</v>
      </c>
      <c r="AL566" s="21" t="n">
        <v>0</v>
      </c>
      <c r="AM566" s="21" t="n">
        <v>0</v>
      </c>
      <c r="AN566" s="21" t="n">
        <v>0</v>
      </c>
      <c r="AO566" s="21" t="n">
        <v>0</v>
      </c>
      <c r="AP566" s="21" t="n">
        <v>0</v>
      </c>
      <c r="AQ566" s="21" t="n">
        <v>0</v>
      </c>
      <c r="AR566" s="21" t="n">
        <v>0</v>
      </c>
      <c r="AS566" s="21" t="n">
        <v>0</v>
      </c>
      <c r="AT566" s="19" t="n"/>
    </row>
    <row r="567">
      <c r="D567" s="21" t="n">
        <v>0</v>
      </c>
      <c r="E567" s="21" t="n">
        <v>0</v>
      </c>
      <c r="F567" s="21" t="n">
        <v>0</v>
      </c>
      <c r="G567" s="21" t="n">
        <v>0</v>
      </c>
      <c r="H567" s="21" t="n">
        <v>0</v>
      </c>
      <c r="I567" s="21" t="n">
        <v>0</v>
      </c>
      <c r="J567" s="21" t="n">
        <v>0</v>
      </c>
      <c r="K567" s="21" t="n">
        <v>0</v>
      </c>
      <c r="L567" s="21" t="n">
        <v>0</v>
      </c>
      <c r="M567" s="21" t="n">
        <v>0</v>
      </c>
      <c r="N567" s="21" t="n">
        <v>0</v>
      </c>
      <c r="O567" s="21" t="n">
        <v>0</v>
      </c>
      <c r="P567" s="21" t="n">
        <v>0</v>
      </c>
      <c r="Q567" s="21" t="n">
        <v>0</v>
      </c>
      <c r="R567" s="21" t="n">
        <v>0</v>
      </c>
      <c r="S567" s="21" t="n">
        <v>0</v>
      </c>
      <c r="T567" s="21" t="n">
        <v>0</v>
      </c>
      <c r="U567" s="21" t="n">
        <v>0</v>
      </c>
      <c r="V567" s="21" t="n">
        <v>0</v>
      </c>
      <c r="W567" s="21" t="n">
        <v>0</v>
      </c>
      <c r="X567" s="21" t="n">
        <v>0</v>
      </c>
      <c r="Y567" s="21" t="n">
        <v>0</v>
      </c>
      <c r="Z567" s="21" t="n">
        <v>0</v>
      </c>
      <c r="AA567" s="21" t="n">
        <v>0</v>
      </c>
      <c r="AB567" s="21" t="n">
        <v>0</v>
      </c>
      <c r="AC567" s="21" t="n">
        <v>0</v>
      </c>
      <c r="AD567" s="21">
        <f>-$B$18</f>
        <v/>
      </c>
      <c r="AE567" s="21">
        <f>-$B$19</f>
        <v/>
      </c>
      <c r="AF567" s="21">
        <f>2*$B$18+$D$531</f>
        <v/>
      </c>
      <c r="AG567" s="21">
        <f>0</f>
        <v/>
      </c>
      <c r="AH567" s="21">
        <f>-$B$18</f>
        <v/>
      </c>
      <c r="AI567" s="21">
        <f>$B$19</f>
        <v/>
      </c>
      <c r="AJ567" s="21" t="n">
        <v>0</v>
      </c>
      <c r="AK567" s="21" t="n">
        <v>0</v>
      </c>
      <c r="AL567" s="21" t="n">
        <v>0</v>
      </c>
      <c r="AM567" s="21" t="n">
        <v>0</v>
      </c>
      <c r="AN567" s="21" t="n">
        <v>0</v>
      </c>
      <c r="AO567" s="21" t="n">
        <v>0</v>
      </c>
      <c r="AP567" s="21" t="n">
        <v>0</v>
      </c>
      <c r="AQ567" s="21" t="n">
        <v>0</v>
      </c>
      <c r="AR567" s="21" t="n">
        <v>0</v>
      </c>
      <c r="AS567" s="21" t="n">
        <v>0</v>
      </c>
      <c r="AT567" s="19" t="n"/>
    </row>
    <row r="568">
      <c r="D568" s="21" t="n">
        <v>0</v>
      </c>
      <c r="E568" s="21" t="n">
        <v>0</v>
      </c>
      <c r="F568" s="21" t="n">
        <v>0</v>
      </c>
      <c r="G568" s="21" t="n">
        <v>0</v>
      </c>
      <c r="H568" s="21" t="n">
        <v>0</v>
      </c>
      <c r="I568" s="21" t="n">
        <v>0</v>
      </c>
      <c r="J568" s="21" t="n">
        <v>0</v>
      </c>
      <c r="K568" s="21" t="n">
        <v>0</v>
      </c>
      <c r="L568" s="21" t="n">
        <v>0</v>
      </c>
      <c r="M568" s="21" t="n">
        <v>0</v>
      </c>
      <c r="N568" s="21" t="n">
        <v>0</v>
      </c>
      <c r="O568" s="21" t="n">
        <v>0</v>
      </c>
      <c r="P568" s="21" t="n">
        <v>0</v>
      </c>
      <c r="Q568" s="21" t="n">
        <v>0</v>
      </c>
      <c r="R568" s="21" t="n">
        <v>0</v>
      </c>
      <c r="S568" s="21" t="n">
        <v>0</v>
      </c>
      <c r="T568" s="21" t="n">
        <v>0</v>
      </c>
      <c r="U568" s="21" t="n">
        <v>0</v>
      </c>
      <c r="V568" s="21" t="n">
        <v>0</v>
      </c>
      <c r="W568" s="21" t="n">
        <v>0</v>
      </c>
      <c r="X568" s="21" t="n">
        <v>0</v>
      </c>
      <c r="Y568" s="21" t="n">
        <v>0</v>
      </c>
      <c r="Z568" s="21" t="n">
        <v>0</v>
      </c>
      <c r="AA568" s="21" t="n">
        <v>0</v>
      </c>
      <c r="AB568" s="21" t="n">
        <v>0</v>
      </c>
      <c r="AC568" s="21" t="n">
        <v>0</v>
      </c>
      <c r="AD568" s="21">
        <f>$B$19</f>
        <v/>
      </c>
      <c r="AE568" s="21">
        <f>$B$21</f>
        <v/>
      </c>
      <c r="AF568" s="21">
        <f>0</f>
        <v/>
      </c>
      <c r="AG568" s="21">
        <f>2*$B$20</f>
        <v/>
      </c>
      <c r="AH568" s="21">
        <f>-$B$19</f>
        <v/>
      </c>
      <c r="AI568" s="21">
        <f>$B$21</f>
        <v/>
      </c>
      <c r="AJ568" s="21" t="n">
        <v>0</v>
      </c>
      <c r="AK568" s="21" t="n">
        <v>0</v>
      </c>
      <c r="AL568" s="21" t="n">
        <v>0</v>
      </c>
      <c r="AM568" s="21" t="n">
        <v>0</v>
      </c>
      <c r="AN568" s="21" t="n">
        <v>0</v>
      </c>
      <c r="AO568" s="21" t="n">
        <v>0</v>
      </c>
      <c r="AP568" s="21" t="n">
        <v>0</v>
      </c>
      <c r="AQ568" s="21" t="n">
        <v>0</v>
      </c>
      <c r="AR568" s="21" t="n">
        <v>0</v>
      </c>
      <c r="AS568" s="21" t="n">
        <v>0</v>
      </c>
      <c r="AT568" s="19" t="n"/>
    </row>
    <row r="569">
      <c r="D569" s="21" t="n">
        <v>0</v>
      </c>
      <c r="E569" s="21" t="n">
        <v>0</v>
      </c>
      <c r="F569" s="21" t="n">
        <v>0</v>
      </c>
      <c r="G569" s="21" t="n">
        <v>0</v>
      </c>
      <c r="H569" s="21" t="n">
        <v>0</v>
      </c>
      <c r="I569" s="21" t="n">
        <v>0</v>
      </c>
      <c r="J569" s="21" t="n">
        <v>0</v>
      </c>
      <c r="K569" s="21" t="n">
        <v>0</v>
      </c>
      <c r="L569" s="21" t="n">
        <v>0</v>
      </c>
      <c r="M569" s="21" t="n">
        <v>0</v>
      </c>
      <c r="N569" s="21" t="n">
        <v>0</v>
      </c>
      <c r="O569" s="21" t="n">
        <v>0</v>
      </c>
      <c r="P569" s="21" t="n">
        <v>0</v>
      </c>
      <c r="Q569" s="21" t="n">
        <v>0</v>
      </c>
      <c r="R569" s="21" t="n">
        <v>0</v>
      </c>
      <c r="S569" s="21" t="n">
        <v>0</v>
      </c>
      <c r="T569" s="21" t="n">
        <v>0</v>
      </c>
      <c r="U569" s="21" t="n">
        <v>0</v>
      </c>
      <c r="V569" s="21" t="n">
        <v>0</v>
      </c>
      <c r="W569" s="21" t="n">
        <v>0</v>
      </c>
      <c r="X569" s="21" t="n">
        <v>0</v>
      </c>
      <c r="Y569" s="21" t="n">
        <v>0</v>
      </c>
      <c r="Z569" s="21" t="n">
        <v>0</v>
      </c>
      <c r="AA569" s="21" t="n">
        <v>0</v>
      </c>
      <c r="AB569" s="21" t="n">
        <v>0</v>
      </c>
      <c r="AC569" s="21" t="n">
        <v>0</v>
      </c>
      <c r="AD569" s="21" t="n">
        <v>0</v>
      </c>
      <c r="AE569" s="21" t="n">
        <v>0</v>
      </c>
      <c r="AF569" s="21">
        <f>-$B$18</f>
        <v/>
      </c>
      <c r="AG569" s="21">
        <f>-$B$19</f>
        <v/>
      </c>
      <c r="AH569" s="21">
        <f>2*$B$18+$D$532</f>
        <v/>
      </c>
      <c r="AI569" s="21">
        <f>0</f>
        <v/>
      </c>
      <c r="AJ569" s="21">
        <f>-$B$18</f>
        <v/>
      </c>
      <c r="AK569" s="21">
        <f>$B$19</f>
        <v/>
      </c>
      <c r="AL569" s="21" t="n">
        <v>0</v>
      </c>
      <c r="AM569" s="21" t="n">
        <v>0</v>
      </c>
      <c r="AN569" s="21" t="n">
        <v>0</v>
      </c>
      <c r="AO569" s="21" t="n">
        <v>0</v>
      </c>
      <c r="AP569" s="21" t="n">
        <v>0</v>
      </c>
      <c r="AQ569" s="21" t="n">
        <v>0</v>
      </c>
      <c r="AR569" s="21" t="n">
        <v>0</v>
      </c>
      <c r="AS569" s="21" t="n">
        <v>0</v>
      </c>
      <c r="AT569" s="19" t="n"/>
    </row>
    <row r="570">
      <c r="D570" s="21" t="n">
        <v>0</v>
      </c>
      <c r="E570" s="21" t="n">
        <v>0</v>
      </c>
      <c r="F570" s="21" t="n">
        <v>0</v>
      </c>
      <c r="G570" s="21" t="n">
        <v>0</v>
      </c>
      <c r="H570" s="21" t="n">
        <v>0</v>
      </c>
      <c r="I570" s="21" t="n">
        <v>0</v>
      </c>
      <c r="J570" s="21" t="n">
        <v>0</v>
      </c>
      <c r="K570" s="21" t="n">
        <v>0</v>
      </c>
      <c r="L570" s="21" t="n">
        <v>0</v>
      </c>
      <c r="M570" s="21" t="n">
        <v>0</v>
      </c>
      <c r="N570" s="21" t="n">
        <v>0</v>
      </c>
      <c r="O570" s="21" t="n">
        <v>0</v>
      </c>
      <c r="P570" s="21" t="n">
        <v>0</v>
      </c>
      <c r="Q570" s="21" t="n">
        <v>0</v>
      </c>
      <c r="R570" s="21" t="n">
        <v>0</v>
      </c>
      <c r="S570" s="21" t="n">
        <v>0</v>
      </c>
      <c r="T570" s="21" t="n">
        <v>0</v>
      </c>
      <c r="U570" s="21" t="n">
        <v>0</v>
      </c>
      <c r="V570" s="21" t="n">
        <v>0</v>
      </c>
      <c r="W570" s="21" t="n">
        <v>0</v>
      </c>
      <c r="X570" s="21" t="n">
        <v>0</v>
      </c>
      <c r="Y570" s="21" t="n">
        <v>0</v>
      </c>
      <c r="Z570" s="21" t="n">
        <v>0</v>
      </c>
      <c r="AA570" s="21" t="n">
        <v>0</v>
      </c>
      <c r="AB570" s="21" t="n">
        <v>0</v>
      </c>
      <c r="AC570" s="21" t="n">
        <v>0</v>
      </c>
      <c r="AD570" s="21" t="n">
        <v>0</v>
      </c>
      <c r="AE570" s="21" t="n">
        <v>0</v>
      </c>
      <c r="AF570" s="21">
        <f>$B$19</f>
        <v/>
      </c>
      <c r="AG570" s="21">
        <f>$B$21</f>
        <v/>
      </c>
      <c r="AH570" s="21">
        <f>0</f>
        <v/>
      </c>
      <c r="AI570" s="21">
        <f>2*$B$20</f>
        <v/>
      </c>
      <c r="AJ570" s="21">
        <f>-$B$19</f>
        <v/>
      </c>
      <c r="AK570" s="21">
        <f>$B$21</f>
        <v/>
      </c>
      <c r="AL570" s="21" t="n">
        <v>0</v>
      </c>
      <c r="AM570" s="21" t="n">
        <v>0</v>
      </c>
      <c r="AN570" s="21" t="n">
        <v>0</v>
      </c>
      <c r="AO570" s="21" t="n">
        <v>0</v>
      </c>
      <c r="AP570" s="21" t="n">
        <v>0</v>
      </c>
      <c r="AQ570" s="21" t="n">
        <v>0</v>
      </c>
      <c r="AR570" s="21" t="n">
        <v>0</v>
      </c>
      <c r="AS570" s="21" t="n">
        <v>0</v>
      </c>
      <c r="AT570" s="19" t="n"/>
    </row>
    <row r="571">
      <c r="D571" s="21" t="n">
        <v>0</v>
      </c>
      <c r="E571" s="21" t="n">
        <v>0</v>
      </c>
      <c r="F571" s="21" t="n">
        <v>0</v>
      </c>
      <c r="G571" s="21" t="n">
        <v>0</v>
      </c>
      <c r="H571" s="21" t="n">
        <v>0</v>
      </c>
      <c r="I571" s="21" t="n">
        <v>0</v>
      </c>
      <c r="J571" s="21" t="n">
        <v>0</v>
      </c>
      <c r="K571" s="21" t="n">
        <v>0</v>
      </c>
      <c r="L571" s="21" t="n">
        <v>0</v>
      </c>
      <c r="M571" s="21" t="n">
        <v>0</v>
      </c>
      <c r="N571" s="21" t="n">
        <v>0</v>
      </c>
      <c r="O571" s="21" t="n">
        <v>0</v>
      </c>
      <c r="P571" s="21" t="n">
        <v>0</v>
      </c>
      <c r="Q571" s="21" t="n">
        <v>0</v>
      </c>
      <c r="R571" s="21" t="n">
        <v>0</v>
      </c>
      <c r="S571" s="21" t="n">
        <v>0</v>
      </c>
      <c r="T571" s="21" t="n">
        <v>0</v>
      </c>
      <c r="U571" s="21" t="n">
        <v>0</v>
      </c>
      <c r="V571" s="21" t="n">
        <v>0</v>
      </c>
      <c r="W571" s="21" t="n">
        <v>0</v>
      </c>
      <c r="X571" s="21" t="n">
        <v>0</v>
      </c>
      <c r="Y571" s="21" t="n">
        <v>0</v>
      </c>
      <c r="Z571" s="21" t="n">
        <v>0</v>
      </c>
      <c r="AA571" s="21" t="n">
        <v>0</v>
      </c>
      <c r="AB571" s="21" t="n">
        <v>0</v>
      </c>
      <c r="AC571" s="21" t="n">
        <v>0</v>
      </c>
      <c r="AD571" s="21" t="n">
        <v>0</v>
      </c>
      <c r="AE571" s="21" t="n">
        <v>0</v>
      </c>
      <c r="AF571" s="21" t="n">
        <v>0</v>
      </c>
      <c r="AG571" s="21" t="n">
        <v>0</v>
      </c>
      <c r="AH571" s="21">
        <f>-$B$18</f>
        <v/>
      </c>
      <c r="AI571" s="21">
        <f>-$B$19</f>
        <v/>
      </c>
      <c r="AJ571" s="21">
        <f>2*$B$18+$D$533</f>
        <v/>
      </c>
      <c r="AK571" s="21">
        <f>0</f>
        <v/>
      </c>
      <c r="AL571" s="21">
        <f>-$B$18</f>
        <v/>
      </c>
      <c r="AM571" s="21">
        <f>$B$19</f>
        <v/>
      </c>
      <c r="AN571" s="21" t="n">
        <v>0</v>
      </c>
      <c r="AO571" s="21" t="n">
        <v>0</v>
      </c>
      <c r="AP571" s="21" t="n">
        <v>0</v>
      </c>
      <c r="AQ571" s="21" t="n">
        <v>0</v>
      </c>
      <c r="AR571" s="21" t="n">
        <v>0</v>
      </c>
      <c r="AS571" s="21" t="n">
        <v>0</v>
      </c>
      <c r="AT571" s="19" t="n"/>
    </row>
    <row r="572">
      <c r="D572" s="21" t="n">
        <v>0</v>
      </c>
      <c r="E572" s="21" t="n">
        <v>0</v>
      </c>
      <c r="F572" s="21" t="n">
        <v>0</v>
      </c>
      <c r="G572" s="21" t="n">
        <v>0</v>
      </c>
      <c r="H572" s="21" t="n">
        <v>0</v>
      </c>
      <c r="I572" s="21" t="n">
        <v>0</v>
      </c>
      <c r="J572" s="21" t="n">
        <v>0</v>
      </c>
      <c r="K572" s="21" t="n">
        <v>0</v>
      </c>
      <c r="L572" s="21" t="n">
        <v>0</v>
      </c>
      <c r="M572" s="21" t="n">
        <v>0</v>
      </c>
      <c r="N572" s="21" t="n">
        <v>0</v>
      </c>
      <c r="O572" s="21" t="n">
        <v>0</v>
      </c>
      <c r="P572" s="21" t="n">
        <v>0</v>
      </c>
      <c r="Q572" s="21" t="n">
        <v>0</v>
      </c>
      <c r="R572" s="21" t="n">
        <v>0</v>
      </c>
      <c r="S572" s="21" t="n">
        <v>0</v>
      </c>
      <c r="T572" s="21" t="n">
        <v>0</v>
      </c>
      <c r="U572" s="21" t="n">
        <v>0</v>
      </c>
      <c r="V572" s="21" t="n">
        <v>0</v>
      </c>
      <c r="W572" s="21" t="n">
        <v>0</v>
      </c>
      <c r="X572" s="21" t="n">
        <v>0</v>
      </c>
      <c r="Y572" s="21" t="n">
        <v>0</v>
      </c>
      <c r="Z572" s="21" t="n">
        <v>0</v>
      </c>
      <c r="AA572" s="21" t="n">
        <v>0</v>
      </c>
      <c r="AB572" s="21" t="n">
        <v>0</v>
      </c>
      <c r="AC572" s="21" t="n">
        <v>0</v>
      </c>
      <c r="AD572" s="21" t="n">
        <v>0</v>
      </c>
      <c r="AE572" s="21" t="n">
        <v>0</v>
      </c>
      <c r="AF572" s="21" t="n">
        <v>0</v>
      </c>
      <c r="AG572" s="21" t="n">
        <v>0</v>
      </c>
      <c r="AH572" s="21">
        <f>$B$19</f>
        <v/>
      </c>
      <c r="AI572" s="21">
        <f>$B$21</f>
        <v/>
      </c>
      <c r="AJ572" s="21">
        <f>0</f>
        <v/>
      </c>
      <c r="AK572" s="21">
        <f>2*$B$20</f>
        <v/>
      </c>
      <c r="AL572" s="21">
        <f>-$B$19</f>
        <v/>
      </c>
      <c r="AM572" s="21">
        <f>$B$21</f>
        <v/>
      </c>
      <c r="AN572" s="21" t="n">
        <v>0</v>
      </c>
      <c r="AO572" s="21" t="n">
        <v>0</v>
      </c>
      <c r="AP572" s="21" t="n">
        <v>0</v>
      </c>
      <c r="AQ572" s="21" t="n">
        <v>0</v>
      </c>
      <c r="AR572" s="21" t="n">
        <v>0</v>
      </c>
      <c r="AS572" s="21" t="n">
        <v>0</v>
      </c>
      <c r="AT572" s="19" t="n"/>
    </row>
    <row r="573">
      <c r="D573" s="21" t="n">
        <v>0</v>
      </c>
      <c r="E573" s="21" t="n">
        <v>0</v>
      </c>
      <c r="F573" s="21" t="n">
        <v>0</v>
      </c>
      <c r="G573" s="21" t="n">
        <v>0</v>
      </c>
      <c r="H573" s="21" t="n">
        <v>0</v>
      </c>
      <c r="I573" s="21" t="n">
        <v>0</v>
      </c>
      <c r="J573" s="21" t="n">
        <v>0</v>
      </c>
      <c r="K573" s="21" t="n">
        <v>0</v>
      </c>
      <c r="L573" s="21" t="n">
        <v>0</v>
      </c>
      <c r="M573" s="21" t="n">
        <v>0</v>
      </c>
      <c r="N573" s="21" t="n">
        <v>0</v>
      </c>
      <c r="O573" s="21" t="n">
        <v>0</v>
      </c>
      <c r="P573" s="21" t="n">
        <v>0</v>
      </c>
      <c r="Q573" s="21" t="n">
        <v>0</v>
      </c>
      <c r="R573" s="21" t="n">
        <v>0</v>
      </c>
      <c r="S573" s="21" t="n">
        <v>0</v>
      </c>
      <c r="T573" s="21" t="n">
        <v>0</v>
      </c>
      <c r="U573" s="21" t="n">
        <v>0</v>
      </c>
      <c r="V573" s="21" t="n">
        <v>0</v>
      </c>
      <c r="W573" s="21" t="n">
        <v>0</v>
      </c>
      <c r="X573" s="21" t="n">
        <v>0</v>
      </c>
      <c r="Y573" s="21" t="n">
        <v>0</v>
      </c>
      <c r="Z573" s="21" t="n">
        <v>0</v>
      </c>
      <c r="AA573" s="21" t="n">
        <v>0</v>
      </c>
      <c r="AB573" s="21" t="n">
        <v>0</v>
      </c>
      <c r="AC573" s="21" t="n">
        <v>0</v>
      </c>
      <c r="AD573" s="21" t="n">
        <v>0</v>
      </c>
      <c r="AE573" s="21" t="n">
        <v>0</v>
      </c>
      <c r="AF573" s="21" t="n">
        <v>0</v>
      </c>
      <c r="AG573" s="21" t="n">
        <v>0</v>
      </c>
      <c r="AH573" s="21" t="n">
        <v>0</v>
      </c>
      <c r="AI573" s="21" t="n">
        <v>0</v>
      </c>
      <c r="AJ573" s="21">
        <f>-$B$18</f>
        <v/>
      </c>
      <c r="AK573" s="21">
        <f>-$B$19</f>
        <v/>
      </c>
      <c r="AL573" s="21">
        <f>2*$B$18+$D$534</f>
        <v/>
      </c>
      <c r="AM573" s="21">
        <f>0</f>
        <v/>
      </c>
      <c r="AN573" s="21">
        <f>-$B$18</f>
        <v/>
      </c>
      <c r="AO573" s="21">
        <f>$B$19</f>
        <v/>
      </c>
      <c r="AP573" s="21" t="n">
        <v>0</v>
      </c>
      <c r="AQ573" s="21" t="n">
        <v>0</v>
      </c>
      <c r="AR573" s="21" t="n">
        <v>0</v>
      </c>
      <c r="AS573" s="21" t="n">
        <v>0</v>
      </c>
      <c r="AT573" s="19" t="n"/>
    </row>
    <row r="574">
      <c r="D574" s="21" t="n">
        <v>0</v>
      </c>
      <c r="E574" s="21" t="n">
        <v>0</v>
      </c>
      <c r="F574" s="21" t="n">
        <v>0</v>
      </c>
      <c r="G574" s="21" t="n">
        <v>0</v>
      </c>
      <c r="H574" s="21" t="n">
        <v>0</v>
      </c>
      <c r="I574" s="21" t="n">
        <v>0</v>
      </c>
      <c r="J574" s="21" t="n">
        <v>0</v>
      </c>
      <c r="K574" s="21" t="n">
        <v>0</v>
      </c>
      <c r="L574" s="21" t="n">
        <v>0</v>
      </c>
      <c r="M574" s="21" t="n">
        <v>0</v>
      </c>
      <c r="N574" s="21" t="n">
        <v>0</v>
      </c>
      <c r="O574" s="21" t="n">
        <v>0</v>
      </c>
      <c r="P574" s="21" t="n">
        <v>0</v>
      </c>
      <c r="Q574" s="21" t="n">
        <v>0</v>
      </c>
      <c r="R574" s="21" t="n">
        <v>0</v>
      </c>
      <c r="S574" s="21" t="n">
        <v>0</v>
      </c>
      <c r="T574" s="21" t="n">
        <v>0</v>
      </c>
      <c r="U574" s="21" t="n">
        <v>0</v>
      </c>
      <c r="V574" s="21" t="n">
        <v>0</v>
      </c>
      <c r="W574" s="21" t="n">
        <v>0</v>
      </c>
      <c r="X574" s="21" t="n">
        <v>0</v>
      </c>
      <c r="Y574" s="21" t="n">
        <v>0</v>
      </c>
      <c r="Z574" s="21" t="n">
        <v>0</v>
      </c>
      <c r="AA574" s="21" t="n">
        <v>0</v>
      </c>
      <c r="AB574" s="21" t="n">
        <v>0</v>
      </c>
      <c r="AC574" s="21" t="n">
        <v>0</v>
      </c>
      <c r="AD574" s="21" t="n">
        <v>0</v>
      </c>
      <c r="AE574" s="21" t="n">
        <v>0</v>
      </c>
      <c r="AF574" s="21" t="n">
        <v>0</v>
      </c>
      <c r="AG574" s="21" t="n">
        <v>0</v>
      </c>
      <c r="AH574" s="21" t="n">
        <v>0</v>
      </c>
      <c r="AI574" s="21" t="n">
        <v>0</v>
      </c>
      <c r="AJ574" s="21">
        <f>$B$19</f>
        <v/>
      </c>
      <c r="AK574" s="21">
        <f>$B$21</f>
        <v/>
      </c>
      <c r="AL574" s="21">
        <f>0</f>
        <v/>
      </c>
      <c r="AM574" s="21">
        <f>2*$B$20</f>
        <v/>
      </c>
      <c r="AN574" s="21">
        <f>-$B$19</f>
        <v/>
      </c>
      <c r="AO574" s="21">
        <f>$B$21</f>
        <v/>
      </c>
      <c r="AP574" s="21" t="n">
        <v>0</v>
      </c>
      <c r="AQ574" s="21" t="n">
        <v>0</v>
      </c>
      <c r="AR574" s="21" t="n">
        <v>0</v>
      </c>
      <c r="AS574" s="21" t="n">
        <v>0</v>
      </c>
      <c r="AT574" s="19" t="n"/>
    </row>
    <row r="575">
      <c r="D575" s="21" t="n">
        <v>0</v>
      </c>
      <c r="E575" s="21" t="n">
        <v>0</v>
      </c>
      <c r="F575" s="21" t="n">
        <v>0</v>
      </c>
      <c r="G575" s="21" t="n">
        <v>0</v>
      </c>
      <c r="H575" s="21" t="n">
        <v>0</v>
      </c>
      <c r="I575" s="21" t="n">
        <v>0</v>
      </c>
      <c r="J575" s="21" t="n">
        <v>0</v>
      </c>
      <c r="K575" s="21" t="n">
        <v>0</v>
      </c>
      <c r="L575" s="21" t="n">
        <v>0</v>
      </c>
      <c r="M575" s="21" t="n">
        <v>0</v>
      </c>
      <c r="N575" s="21" t="n">
        <v>0</v>
      </c>
      <c r="O575" s="21" t="n">
        <v>0</v>
      </c>
      <c r="P575" s="21" t="n">
        <v>0</v>
      </c>
      <c r="Q575" s="21" t="n">
        <v>0</v>
      </c>
      <c r="R575" s="21" t="n">
        <v>0</v>
      </c>
      <c r="S575" s="21" t="n">
        <v>0</v>
      </c>
      <c r="T575" s="21" t="n">
        <v>0</v>
      </c>
      <c r="U575" s="21" t="n">
        <v>0</v>
      </c>
      <c r="V575" s="21" t="n">
        <v>0</v>
      </c>
      <c r="W575" s="21" t="n">
        <v>0</v>
      </c>
      <c r="X575" s="21" t="n">
        <v>0</v>
      </c>
      <c r="Y575" s="21" t="n">
        <v>0</v>
      </c>
      <c r="Z575" s="21" t="n">
        <v>0</v>
      </c>
      <c r="AA575" s="21" t="n">
        <v>0</v>
      </c>
      <c r="AB575" s="21" t="n">
        <v>0</v>
      </c>
      <c r="AC575" s="21" t="n">
        <v>0</v>
      </c>
      <c r="AD575" s="21" t="n">
        <v>0</v>
      </c>
      <c r="AE575" s="21" t="n">
        <v>0</v>
      </c>
      <c r="AF575" s="21" t="n">
        <v>0</v>
      </c>
      <c r="AG575" s="21" t="n">
        <v>0</v>
      </c>
      <c r="AH575" s="21" t="n">
        <v>0</v>
      </c>
      <c r="AI575" s="21" t="n">
        <v>0</v>
      </c>
      <c r="AJ575" s="21" t="n">
        <v>0</v>
      </c>
      <c r="AK575" s="21" t="n">
        <v>0</v>
      </c>
      <c r="AL575" s="21">
        <f>-$B$18</f>
        <v/>
      </c>
      <c r="AM575" s="21">
        <f>-$B$19</f>
        <v/>
      </c>
      <c r="AN575" s="21">
        <f>2*$B$18+$D$535</f>
        <v/>
      </c>
      <c r="AO575" s="21">
        <f>0</f>
        <v/>
      </c>
      <c r="AP575" s="21">
        <f>-$B$18</f>
        <v/>
      </c>
      <c r="AQ575" s="21">
        <f>$B$19</f>
        <v/>
      </c>
      <c r="AR575" s="21" t="n">
        <v>0</v>
      </c>
      <c r="AS575" s="21" t="n">
        <v>0</v>
      </c>
      <c r="AT575" s="19" t="n"/>
    </row>
    <row r="576">
      <c r="D576" s="21" t="n">
        <v>0</v>
      </c>
      <c r="E576" s="21" t="n">
        <v>0</v>
      </c>
      <c r="F576" s="21" t="n">
        <v>0</v>
      </c>
      <c r="G576" s="21" t="n">
        <v>0</v>
      </c>
      <c r="H576" s="21" t="n">
        <v>0</v>
      </c>
      <c r="I576" s="21" t="n">
        <v>0</v>
      </c>
      <c r="J576" s="21" t="n">
        <v>0</v>
      </c>
      <c r="K576" s="21" t="n">
        <v>0</v>
      </c>
      <c r="L576" s="21" t="n">
        <v>0</v>
      </c>
      <c r="M576" s="21" t="n">
        <v>0</v>
      </c>
      <c r="N576" s="21" t="n">
        <v>0</v>
      </c>
      <c r="O576" s="21" t="n">
        <v>0</v>
      </c>
      <c r="P576" s="21" t="n">
        <v>0</v>
      </c>
      <c r="Q576" s="21" t="n">
        <v>0</v>
      </c>
      <c r="R576" s="21" t="n">
        <v>0</v>
      </c>
      <c r="S576" s="21" t="n">
        <v>0</v>
      </c>
      <c r="T576" s="21" t="n">
        <v>0</v>
      </c>
      <c r="U576" s="21" t="n">
        <v>0</v>
      </c>
      <c r="V576" s="21" t="n">
        <v>0</v>
      </c>
      <c r="W576" s="21" t="n">
        <v>0</v>
      </c>
      <c r="X576" s="21" t="n">
        <v>0</v>
      </c>
      <c r="Y576" s="21" t="n">
        <v>0</v>
      </c>
      <c r="Z576" s="21" t="n">
        <v>0</v>
      </c>
      <c r="AA576" s="21" t="n">
        <v>0</v>
      </c>
      <c r="AB576" s="21" t="n">
        <v>0</v>
      </c>
      <c r="AC576" s="21" t="n">
        <v>0</v>
      </c>
      <c r="AD576" s="21" t="n">
        <v>0</v>
      </c>
      <c r="AE576" s="21" t="n">
        <v>0</v>
      </c>
      <c r="AF576" s="21" t="n">
        <v>0</v>
      </c>
      <c r="AG576" s="21" t="n">
        <v>0</v>
      </c>
      <c r="AH576" s="21" t="n">
        <v>0</v>
      </c>
      <c r="AI576" s="21" t="n">
        <v>0</v>
      </c>
      <c r="AJ576" s="21" t="n">
        <v>0</v>
      </c>
      <c r="AK576" s="21" t="n">
        <v>0</v>
      </c>
      <c r="AL576" s="21">
        <f>$B$19</f>
        <v/>
      </c>
      <c r="AM576" s="21">
        <f>$B$21</f>
        <v/>
      </c>
      <c r="AN576" s="21">
        <f>0</f>
        <v/>
      </c>
      <c r="AO576" s="21">
        <f>2*$B$20</f>
        <v/>
      </c>
      <c r="AP576" s="21">
        <f>-$B$19</f>
        <v/>
      </c>
      <c r="AQ576" s="21">
        <f>$B$21</f>
        <v/>
      </c>
      <c r="AR576" s="21" t="n">
        <v>0</v>
      </c>
      <c r="AS576" s="21" t="n">
        <v>0</v>
      </c>
      <c r="AT576" s="19" t="n"/>
    </row>
    <row r="577">
      <c r="D577" s="21" t="n">
        <v>0</v>
      </c>
      <c r="E577" s="21" t="n">
        <v>0</v>
      </c>
      <c r="F577" s="21" t="n">
        <v>0</v>
      </c>
      <c r="G577" s="21" t="n">
        <v>0</v>
      </c>
      <c r="H577" s="21" t="n">
        <v>0</v>
      </c>
      <c r="I577" s="21" t="n">
        <v>0</v>
      </c>
      <c r="J577" s="21" t="n">
        <v>0</v>
      </c>
      <c r="K577" s="21" t="n">
        <v>0</v>
      </c>
      <c r="L577" s="21" t="n">
        <v>0</v>
      </c>
      <c r="M577" s="21" t="n">
        <v>0</v>
      </c>
      <c r="N577" s="21" t="n">
        <v>0</v>
      </c>
      <c r="O577" s="21" t="n">
        <v>0</v>
      </c>
      <c r="P577" s="21" t="n">
        <v>0</v>
      </c>
      <c r="Q577" s="21" t="n">
        <v>0</v>
      </c>
      <c r="R577" s="21" t="n">
        <v>0</v>
      </c>
      <c r="S577" s="21" t="n">
        <v>0</v>
      </c>
      <c r="T577" s="21" t="n">
        <v>0</v>
      </c>
      <c r="U577" s="21" t="n">
        <v>0</v>
      </c>
      <c r="V577" s="21" t="n">
        <v>0</v>
      </c>
      <c r="W577" s="21" t="n">
        <v>0</v>
      </c>
      <c r="X577" s="21" t="n">
        <v>0</v>
      </c>
      <c r="Y577" s="21" t="n">
        <v>0</v>
      </c>
      <c r="Z577" s="21" t="n">
        <v>0</v>
      </c>
      <c r="AA577" s="21" t="n">
        <v>0</v>
      </c>
      <c r="AB577" s="21" t="n">
        <v>0</v>
      </c>
      <c r="AC577" s="21" t="n">
        <v>0</v>
      </c>
      <c r="AD577" s="21" t="n">
        <v>0</v>
      </c>
      <c r="AE577" s="21" t="n">
        <v>0</v>
      </c>
      <c r="AF577" s="21" t="n">
        <v>0</v>
      </c>
      <c r="AG577" s="21" t="n">
        <v>0</v>
      </c>
      <c r="AH577" s="21" t="n">
        <v>0</v>
      </c>
      <c r="AI577" s="21" t="n">
        <v>0</v>
      </c>
      <c r="AJ577" s="21" t="n">
        <v>0</v>
      </c>
      <c r="AK577" s="21" t="n">
        <v>0</v>
      </c>
      <c r="AL577" s="21" t="n">
        <v>0</v>
      </c>
      <c r="AM577" s="21" t="n">
        <v>0</v>
      </c>
      <c r="AN577" s="21">
        <f>-$B$18</f>
        <v/>
      </c>
      <c r="AO577" s="21">
        <f>-$B$19</f>
        <v/>
      </c>
      <c r="AP577" s="21">
        <f>2*$B$18+$D$536</f>
        <v/>
      </c>
      <c r="AQ577" s="21">
        <f>0</f>
        <v/>
      </c>
      <c r="AR577" s="21">
        <f>-$B$18</f>
        <v/>
      </c>
      <c r="AS577" s="21">
        <f>$B$19</f>
        <v/>
      </c>
      <c r="AT577" s="19" t="n"/>
    </row>
    <row r="578">
      <c r="D578" s="21" t="n">
        <v>0</v>
      </c>
      <c r="E578" s="21" t="n">
        <v>0</v>
      </c>
      <c r="F578" s="21" t="n">
        <v>0</v>
      </c>
      <c r="G578" s="21" t="n">
        <v>0</v>
      </c>
      <c r="H578" s="21" t="n">
        <v>0</v>
      </c>
      <c r="I578" s="21" t="n">
        <v>0</v>
      </c>
      <c r="J578" s="21" t="n">
        <v>0</v>
      </c>
      <c r="K578" s="21" t="n">
        <v>0</v>
      </c>
      <c r="L578" s="21" t="n">
        <v>0</v>
      </c>
      <c r="M578" s="21" t="n">
        <v>0</v>
      </c>
      <c r="N578" s="21" t="n">
        <v>0</v>
      </c>
      <c r="O578" s="21" t="n">
        <v>0</v>
      </c>
      <c r="P578" s="21" t="n">
        <v>0</v>
      </c>
      <c r="Q578" s="21" t="n">
        <v>0</v>
      </c>
      <c r="R578" s="21" t="n">
        <v>0</v>
      </c>
      <c r="S578" s="21" t="n">
        <v>0</v>
      </c>
      <c r="T578" s="21" t="n">
        <v>0</v>
      </c>
      <c r="U578" s="21" t="n">
        <v>0</v>
      </c>
      <c r="V578" s="21" t="n">
        <v>0</v>
      </c>
      <c r="W578" s="21" t="n">
        <v>0</v>
      </c>
      <c r="X578" s="21" t="n">
        <v>0</v>
      </c>
      <c r="Y578" s="21" t="n">
        <v>0</v>
      </c>
      <c r="Z578" s="21" t="n">
        <v>0</v>
      </c>
      <c r="AA578" s="21" t="n">
        <v>0</v>
      </c>
      <c r="AB578" s="21" t="n">
        <v>0</v>
      </c>
      <c r="AC578" s="21" t="n">
        <v>0</v>
      </c>
      <c r="AD578" s="21" t="n">
        <v>0</v>
      </c>
      <c r="AE578" s="21" t="n">
        <v>0</v>
      </c>
      <c r="AF578" s="21" t="n">
        <v>0</v>
      </c>
      <c r="AG578" s="21" t="n">
        <v>0</v>
      </c>
      <c r="AH578" s="21" t="n">
        <v>0</v>
      </c>
      <c r="AI578" s="21" t="n">
        <v>0</v>
      </c>
      <c r="AJ578" s="21" t="n">
        <v>0</v>
      </c>
      <c r="AK578" s="21" t="n">
        <v>0</v>
      </c>
      <c r="AL578" s="21" t="n">
        <v>0</v>
      </c>
      <c r="AM578" s="21" t="n">
        <v>0</v>
      </c>
      <c r="AN578" s="21">
        <f>$B$19</f>
        <v/>
      </c>
      <c r="AO578" s="21">
        <f>$B$21</f>
        <v/>
      </c>
      <c r="AP578" s="21">
        <f>0</f>
        <v/>
      </c>
      <c r="AQ578" s="21">
        <f>2*$B$20</f>
        <v/>
      </c>
      <c r="AR578" s="21">
        <f>-$B$19</f>
        <v/>
      </c>
      <c r="AS578" s="21">
        <f>$B$21</f>
        <v/>
      </c>
      <c r="AT578" s="19" t="n"/>
    </row>
    <row r="579">
      <c r="D579" s="21" t="n">
        <v>0</v>
      </c>
      <c r="E579" s="21" t="n">
        <v>0</v>
      </c>
      <c r="F579" s="21" t="n">
        <v>0</v>
      </c>
      <c r="G579" s="21" t="n">
        <v>0</v>
      </c>
      <c r="H579" s="21" t="n">
        <v>0</v>
      </c>
      <c r="I579" s="21" t="n">
        <v>0</v>
      </c>
      <c r="J579" s="21" t="n">
        <v>0</v>
      </c>
      <c r="K579" s="21" t="n">
        <v>0</v>
      </c>
      <c r="L579" s="21" t="n">
        <v>0</v>
      </c>
      <c r="M579" s="21" t="n">
        <v>0</v>
      </c>
      <c r="N579" s="21" t="n">
        <v>0</v>
      </c>
      <c r="O579" s="21" t="n">
        <v>0</v>
      </c>
      <c r="P579" s="21" t="n">
        <v>0</v>
      </c>
      <c r="Q579" s="21" t="n">
        <v>0</v>
      </c>
      <c r="R579" s="21" t="n">
        <v>0</v>
      </c>
      <c r="S579" s="21" t="n">
        <v>0</v>
      </c>
      <c r="T579" s="21" t="n">
        <v>0</v>
      </c>
      <c r="U579" s="21" t="n">
        <v>0</v>
      </c>
      <c r="V579" s="21" t="n">
        <v>0</v>
      </c>
      <c r="W579" s="21" t="n">
        <v>0</v>
      </c>
      <c r="X579" s="21" t="n">
        <v>0</v>
      </c>
      <c r="Y579" s="21" t="n">
        <v>0</v>
      </c>
      <c r="Z579" s="21" t="n">
        <v>0</v>
      </c>
      <c r="AA579" s="21" t="n">
        <v>0</v>
      </c>
      <c r="AB579" s="21" t="n">
        <v>0</v>
      </c>
      <c r="AC579" s="21" t="n">
        <v>0</v>
      </c>
      <c r="AD579" s="21" t="n">
        <v>0</v>
      </c>
      <c r="AE579" s="21" t="n">
        <v>0</v>
      </c>
      <c r="AF579" s="21" t="n">
        <v>0</v>
      </c>
      <c r="AG579" s="21" t="n">
        <v>0</v>
      </c>
      <c r="AH579" s="21" t="n">
        <v>0</v>
      </c>
      <c r="AI579" s="21" t="n">
        <v>0</v>
      </c>
      <c r="AJ579" s="21" t="n">
        <v>0</v>
      </c>
      <c r="AK579" s="21" t="n">
        <v>0</v>
      </c>
      <c r="AL579" s="21" t="n">
        <v>0</v>
      </c>
      <c r="AM579" s="21" t="n">
        <v>0</v>
      </c>
      <c r="AN579" s="21" t="n">
        <v>0</v>
      </c>
      <c r="AO579" s="21" t="n">
        <v>0</v>
      </c>
      <c r="AP579" s="21">
        <f>-$B$18</f>
        <v/>
      </c>
      <c r="AQ579" s="21">
        <f>-$B$19</f>
        <v/>
      </c>
      <c r="AR579" s="21">
        <f>$B$18+$D$537</f>
        <v/>
      </c>
      <c r="AS579" s="21">
        <f>-$B$19</f>
        <v/>
      </c>
      <c r="AT579" s="19" t="n"/>
    </row>
    <row r="580">
      <c r="D580" s="21" t="n">
        <v>0</v>
      </c>
      <c r="E580" s="21" t="n">
        <v>0</v>
      </c>
      <c r="F580" s="21" t="n">
        <v>0</v>
      </c>
      <c r="G580" s="21" t="n">
        <v>0</v>
      </c>
      <c r="H580" s="21" t="n">
        <v>0</v>
      </c>
      <c r="I580" s="21" t="n">
        <v>0</v>
      </c>
      <c r="J580" s="21" t="n">
        <v>0</v>
      </c>
      <c r="K580" s="21" t="n">
        <v>0</v>
      </c>
      <c r="L580" s="21" t="n">
        <v>0</v>
      </c>
      <c r="M580" s="21" t="n">
        <v>0</v>
      </c>
      <c r="N580" s="21" t="n">
        <v>0</v>
      </c>
      <c r="O580" s="21" t="n">
        <v>0</v>
      </c>
      <c r="P580" s="21" t="n">
        <v>0</v>
      </c>
      <c r="Q580" s="21" t="n">
        <v>0</v>
      </c>
      <c r="R580" s="21" t="n">
        <v>0</v>
      </c>
      <c r="S580" s="21" t="n">
        <v>0</v>
      </c>
      <c r="T580" s="21" t="n">
        <v>0</v>
      </c>
      <c r="U580" s="21" t="n">
        <v>0</v>
      </c>
      <c r="V580" s="21" t="n">
        <v>0</v>
      </c>
      <c r="W580" s="21" t="n">
        <v>0</v>
      </c>
      <c r="X580" s="21" t="n">
        <v>0</v>
      </c>
      <c r="Y580" s="21" t="n">
        <v>0</v>
      </c>
      <c r="Z580" s="21" t="n">
        <v>0</v>
      </c>
      <c r="AA580" s="21" t="n">
        <v>0</v>
      </c>
      <c r="AB580" s="21" t="n">
        <v>0</v>
      </c>
      <c r="AC580" s="21" t="n">
        <v>0</v>
      </c>
      <c r="AD580" s="21" t="n">
        <v>0</v>
      </c>
      <c r="AE580" s="21" t="n">
        <v>0</v>
      </c>
      <c r="AF580" s="21" t="n">
        <v>0</v>
      </c>
      <c r="AG580" s="21" t="n">
        <v>0</v>
      </c>
      <c r="AH580" s="21" t="n">
        <v>0</v>
      </c>
      <c r="AI580" s="21" t="n">
        <v>0</v>
      </c>
      <c r="AJ580" s="21" t="n">
        <v>0</v>
      </c>
      <c r="AK580" s="21" t="n">
        <v>0</v>
      </c>
      <c r="AL580" s="21" t="n">
        <v>0</v>
      </c>
      <c r="AM580" s="21" t="n">
        <v>0</v>
      </c>
      <c r="AN580" s="21" t="n">
        <v>0</v>
      </c>
      <c r="AO580" s="21" t="n">
        <v>0</v>
      </c>
      <c r="AP580" s="21">
        <f>$B$19</f>
        <v/>
      </c>
      <c r="AQ580" s="21">
        <f>$B$21</f>
        <v/>
      </c>
      <c r="AR580" s="21">
        <f>-$B$19</f>
        <v/>
      </c>
      <c r="AS580" s="21">
        <f>$B$20</f>
        <v/>
      </c>
      <c r="AT580" s="19" t="n"/>
    </row>
    <row r="582">
      <c r="A582" s="8" t="inlineStr">
        <is>
          <t>gen 8</t>
        </is>
      </c>
    </row>
    <row r="583">
      <c r="D583" s="19">
        <f>IF(ABS(IF(ABS($E$517)&gt;0.000000001,$E$517,0.000000001))=0,0,IF($E$33&lt;=$B$27,0,IF(ABS(IF(ABS($E$517)&gt;0.000000001,$E$517,0.000000001))&gt;=8*$B$29,$H$33,0.5*$H$33*(ABS(IF(ABS($E$517)&gt;0.000000001,$E$517,0.000000001))/$B$29)^(1/3)))/ABS(IF(ABS($E$517)&gt;0.000000001,$E$517,0.000000001))*$I$33)</f>
        <v/>
      </c>
      <c r="E583" s="19">
        <f>0.5*$E$517+0.5*$AT$605</f>
        <v/>
      </c>
      <c r="F583" s="19">
        <f>$AT$606</f>
        <v/>
      </c>
    </row>
    <row r="584">
      <c r="D584" s="19">
        <f>IF(ABS(IF(ABS($E$518)&gt;0.000000001,$E$518,0.000000001))=0,0,IF($E$34&lt;=$B$27,0,IF(ABS(IF(ABS($E$518)&gt;0.000000001,$E$518,0.000000001))&gt;=8*$B$29,$H$34,0.5*$H$34*(ABS(IF(ABS($E$518)&gt;0.000000001,$E$518,0.000000001))/$B$29)^(1/3)))/ABS(IF(ABS($E$518)&gt;0.000000001,$E$518,0.000000001))*$I$34)</f>
        <v/>
      </c>
      <c r="E584" s="19">
        <f>0.5*$E$518+0.5*$AT$607</f>
        <v/>
      </c>
      <c r="F584" s="19">
        <f>$AT$608</f>
        <v/>
      </c>
    </row>
    <row r="585">
      <c r="D585" s="19">
        <f>IF(ABS(IF(ABS($E$519)&gt;0.000000001,$E$519,0.000000001))=0,0,IF($E$35&lt;=$B$27,0,IF(ABS(IF(ABS($E$519)&gt;0.000000001,$E$519,0.000000001))&gt;=8*$B$29,$H$35,0.5*$H$35*(ABS(IF(ABS($E$519)&gt;0.000000001,$E$519,0.000000001))/$B$29)^(1/3)))/ABS(IF(ABS($E$519)&gt;0.000000001,$E$519,0.000000001))*$I$35)</f>
        <v/>
      </c>
      <c r="E585" s="19">
        <f>0.5*$E$519+0.5*$AT$609</f>
        <v/>
      </c>
      <c r="F585" s="19">
        <f>$AT$610</f>
        <v/>
      </c>
    </row>
    <row r="586">
      <c r="D586" s="19">
        <f>IF(ABS(IF(ABS($E$520)&gt;0.000000001,$E$520,0.000000001))=0,0,IF($E$36&lt;=$B$27,0,IF(ABS(IF(ABS($E$520)&gt;0.000000001,$E$520,0.000000001))&gt;=8*$B$29,$H$36,0.5*$H$36*(ABS(IF(ABS($E$520)&gt;0.000000001,$E$520,0.000000001))/$B$29)^(1/3)))/ABS(IF(ABS($E$520)&gt;0.000000001,$E$520,0.000000001))*$I$36)</f>
        <v/>
      </c>
      <c r="E586" s="19">
        <f>0.5*$E$520+0.5*$AT$611</f>
        <v/>
      </c>
      <c r="F586" s="19">
        <f>$AT$612</f>
        <v/>
      </c>
    </row>
    <row r="587">
      <c r="D587" s="19">
        <f>IF(ABS(IF(ABS($E$521)&gt;0.000000001,$E$521,0.000000001))=0,0,IF($E$37&lt;=$B$27,0,IF(ABS(IF(ABS($E$521)&gt;0.000000001,$E$521,0.000000001))&gt;=8*$B$29,$H$37,0.5*$H$37*(ABS(IF(ABS($E$521)&gt;0.000000001,$E$521,0.000000001))/$B$29)^(1/3)))/ABS(IF(ABS($E$521)&gt;0.000000001,$E$521,0.000000001))*$I$37)</f>
        <v/>
      </c>
      <c r="E587" s="19">
        <f>0.5*$E$521+0.5*$AT$613</f>
        <v/>
      </c>
      <c r="F587" s="19">
        <f>$AT$614</f>
        <v/>
      </c>
    </row>
    <row r="588">
      <c r="D588" s="19">
        <f>IF(ABS(IF(ABS($E$522)&gt;0.000000001,$E$522,0.000000001))=0,0,IF($E$38&lt;=$B$27,0,IF(ABS(IF(ABS($E$522)&gt;0.000000001,$E$522,0.000000001))&gt;=8*$B$29,$H$38,0.5*$H$38*(ABS(IF(ABS($E$522)&gt;0.000000001,$E$522,0.000000001))/$B$29)^(1/3)))/ABS(IF(ABS($E$522)&gt;0.000000001,$E$522,0.000000001))*$I$38)</f>
        <v/>
      </c>
      <c r="E588" s="19">
        <f>0.5*$E$522+0.5*$AT$615</f>
        <v/>
      </c>
      <c r="F588" s="19">
        <f>$AT$616</f>
        <v/>
      </c>
    </row>
    <row r="589">
      <c r="D589" s="19">
        <f>IF(ABS(IF(ABS($E$523)&gt;0.000000001,$E$523,0.000000001))=0,0,IF($E$39&lt;=$B$27,0,IF(ABS(IF(ABS($E$523)&gt;0.000000001,$E$523,0.000000001))&gt;=8*$B$29,$H$39,0.5*$H$39*(ABS(IF(ABS($E$523)&gt;0.000000001,$E$523,0.000000001))/$B$29)^(1/3)))/ABS(IF(ABS($E$523)&gt;0.000000001,$E$523,0.000000001))*$I$39)</f>
        <v/>
      </c>
      <c r="E589" s="19">
        <f>0.5*$E$523+0.5*$AT$617</f>
        <v/>
      </c>
      <c r="F589" s="19">
        <f>$AT$618</f>
        <v/>
      </c>
    </row>
    <row r="590">
      <c r="D590" s="19">
        <f>IF(ABS(IF(ABS($E$524)&gt;0.000000001,$E$524,0.000000001))=0,0,IF($E$40&lt;=$B$27,0,IF(ABS(IF(ABS($E$524)&gt;0.000000001,$E$524,0.000000001))&gt;=8*$B$29,$H$40,0.5*$H$40*(ABS(IF(ABS($E$524)&gt;0.000000001,$E$524,0.000000001))/$B$29)^(1/3)))/ABS(IF(ABS($E$524)&gt;0.000000001,$E$524,0.000000001))*$I$40)</f>
        <v/>
      </c>
      <c r="E590" s="19">
        <f>0.5*$E$524+0.5*$AT$619</f>
        <v/>
      </c>
      <c r="F590" s="19">
        <f>$AT$620</f>
        <v/>
      </c>
    </row>
    <row r="591">
      <c r="D591" s="19">
        <f>IF(ABS(IF(ABS($E$525)&gt;0.000000001,$E$525,0.000000001))=0,0,IF($E$41&lt;=$B$27,0,IF(ABS(IF(ABS($E$525)&gt;0.000000001,$E$525,0.000000001))&gt;=8*$B$29,$H$41,0.5*$H$41*(ABS(IF(ABS($E$525)&gt;0.000000001,$E$525,0.000000001))/$B$29)^(1/3)))/ABS(IF(ABS($E$525)&gt;0.000000001,$E$525,0.000000001))*$I$41)</f>
        <v/>
      </c>
      <c r="E591" s="19">
        <f>0.5*$E$525+0.5*$AT$621</f>
        <v/>
      </c>
      <c r="F591" s="19">
        <f>$AT$622</f>
        <v/>
      </c>
    </row>
    <row r="592">
      <c r="D592" s="19">
        <f>IF(ABS(IF(ABS($E$526)&gt;0.000000001,$E$526,0.000000001))=0,0,IF($E$42&lt;=$B$27,0,IF(ABS(IF(ABS($E$526)&gt;0.000000001,$E$526,0.000000001))&gt;=8*$B$29,$H$42,0.5*$H$42*(ABS(IF(ABS($E$526)&gt;0.000000001,$E$526,0.000000001))/$B$29)^(1/3)))/ABS(IF(ABS($E$526)&gt;0.000000001,$E$526,0.000000001))*$I$42)</f>
        <v/>
      </c>
      <c r="E592" s="19">
        <f>0.5*$E$526+0.5*$AT$623</f>
        <v/>
      </c>
      <c r="F592" s="19">
        <f>$AT$624</f>
        <v/>
      </c>
    </row>
    <row r="593">
      <c r="D593" s="19">
        <f>IF(ABS(IF(ABS($E$527)&gt;0.000000001,$E$527,0.000000001))=0,0,IF($E$43&lt;=$B$27,0,IF(ABS(IF(ABS($E$527)&gt;0.000000001,$E$527,0.000000001))&gt;=8*$B$29,$H$43,0.5*$H$43*(ABS(IF(ABS($E$527)&gt;0.000000001,$E$527,0.000000001))/$B$29)^(1/3)))/ABS(IF(ABS($E$527)&gt;0.000000001,$E$527,0.000000001))*$I$43)</f>
        <v/>
      </c>
      <c r="E593" s="19">
        <f>0.5*$E$527+0.5*$AT$625</f>
        <v/>
      </c>
      <c r="F593" s="19">
        <f>$AT$626</f>
        <v/>
      </c>
    </row>
    <row r="594">
      <c r="D594" s="19">
        <f>IF(ABS(IF(ABS($E$528)&gt;0.000000001,$E$528,0.000000001))=0,0,IF($E$44&lt;=$B$27,0,IF(ABS(IF(ABS($E$528)&gt;0.000000001,$E$528,0.000000001))&gt;=8*$B$29,$H$44,0.5*$H$44*(ABS(IF(ABS($E$528)&gt;0.000000001,$E$528,0.000000001))/$B$29)^(1/3)))/ABS(IF(ABS($E$528)&gt;0.000000001,$E$528,0.000000001))*$I$44)</f>
        <v/>
      </c>
      <c r="E594" s="19">
        <f>0.5*$E$528+0.5*$AT$627</f>
        <v/>
      </c>
      <c r="F594" s="19">
        <f>$AT$628</f>
        <v/>
      </c>
    </row>
    <row r="595">
      <c r="D595" s="19">
        <f>IF(ABS(IF(ABS($E$529)&gt;0.000000001,$E$529,0.000000001))=0,0,IF($E$45&lt;=$B$27,0,IF(ABS(IF(ABS($E$529)&gt;0.000000001,$E$529,0.000000001))&gt;=8*$B$29,$H$45,0.5*$H$45*(ABS(IF(ABS($E$529)&gt;0.000000001,$E$529,0.000000001))/$B$29)^(1/3)))/ABS(IF(ABS($E$529)&gt;0.000000001,$E$529,0.000000001))*$I$45)</f>
        <v/>
      </c>
      <c r="E595" s="19">
        <f>0.5*$E$529+0.5*$AT$629</f>
        <v/>
      </c>
      <c r="F595" s="19">
        <f>$AT$630</f>
        <v/>
      </c>
    </row>
    <row r="596">
      <c r="D596" s="19">
        <f>IF(ABS(IF(ABS($E$530)&gt;0.000000001,$E$530,0.000000001))=0,0,IF($E$46&lt;=$B$27,0,IF(ABS(IF(ABS($E$530)&gt;0.000000001,$E$530,0.000000001))&gt;=8*$B$29,$H$46,0.5*$H$46*(ABS(IF(ABS($E$530)&gt;0.000000001,$E$530,0.000000001))/$B$29)^(1/3)))/ABS(IF(ABS($E$530)&gt;0.000000001,$E$530,0.000000001))*$I$46)</f>
        <v/>
      </c>
      <c r="E596" s="19">
        <f>0.5*$E$530+0.5*$AT$631</f>
        <v/>
      </c>
      <c r="F596" s="19">
        <f>$AT$632</f>
        <v/>
      </c>
    </row>
    <row r="597">
      <c r="D597" s="19">
        <f>IF(ABS(IF(ABS($E$531)&gt;0.000000001,$E$531,0.000000001))=0,0,IF($E$47&lt;=$B$27,0,IF(ABS(IF(ABS($E$531)&gt;0.000000001,$E$531,0.000000001))&gt;=8*$B$29,$H$47,0.5*$H$47*(ABS(IF(ABS($E$531)&gt;0.000000001,$E$531,0.000000001))/$B$29)^(1/3)))/ABS(IF(ABS($E$531)&gt;0.000000001,$E$531,0.000000001))*$I$47)</f>
        <v/>
      </c>
      <c r="E597" s="19">
        <f>0.5*$E$531+0.5*$AT$633</f>
        <v/>
      </c>
      <c r="F597" s="19">
        <f>$AT$634</f>
        <v/>
      </c>
    </row>
    <row r="598">
      <c r="D598" s="19">
        <f>IF(ABS(IF(ABS($E$532)&gt;0.000000001,$E$532,0.000000001))=0,0,IF($E$48&lt;=$B$27,0,IF(ABS(IF(ABS($E$532)&gt;0.000000001,$E$532,0.000000001))&gt;=8*$B$29,$H$48,0.5*$H$48*(ABS(IF(ABS($E$532)&gt;0.000000001,$E$532,0.000000001))/$B$29)^(1/3)))/ABS(IF(ABS($E$532)&gt;0.000000001,$E$532,0.000000001))*$I$48)</f>
        <v/>
      </c>
      <c r="E598" s="19">
        <f>0.5*$E$532+0.5*$AT$635</f>
        <v/>
      </c>
      <c r="F598" s="19">
        <f>$AT$636</f>
        <v/>
      </c>
    </row>
    <row r="599">
      <c r="D599" s="19">
        <f>IF(ABS(IF(ABS($E$533)&gt;0.000000001,$E$533,0.000000001))=0,0,IF($E$49&lt;=$B$27,0,IF(ABS(IF(ABS($E$533)&gt;0.000000001,$E$533,0.000000001))&gt;=8*$B$29,$H$49,0.5*$H$49*(ABS(IF(ABS($E$533)&gt;0.000000001,$E$533,0.000000001))/$B$29)^(1/3)))/ABS(IF(ABS($E$533)&gt;0.000000001,$E$533,0.000000001))*$I$49)</f>
        <v/>
      </c>
      <c r="E599" s="19">
        <f>0.5*$E$533+0.5*$AT$637</f>
        <v/>
      </c>
      <c r="F599" s="19">
        <f>$AT$638</f>
        <v/>
      </c>
    </row>
    <row r="600">
      <c r="D600" s="19">
        <f>IF(ABS(IF(ABS($E$534)&gt;0.000000001,$E$534,0.000000001))=0,0,IF($E$50&lt;=$B$27,0,IF(ABS(IF(ABS($E$534)&gt;0.000000001,$E$534,0.000000001))&gt;=8*$B$29,$H$50,0.5*$H$50*(ABS(IF(ABS($E$534)&gt;0.000000001,$E$534,0.000000001))/$B$29)^(1/3)))/ABS(IF(ABS($E$534)&gt;0.000000001,$E$534,0.000000001))*$I$50)</f>
        <v/>
      </c>
      <c r="E600" s="19">
        <f>0.5*$E$534+0.5*$AT$639</f>
        <v/>
      </c>
      <c r="F600" s="19">
        <f>$AT$640</f>
        <v/>
      </c>
    </row>
    <row r="601">
      <c r="D601" s="19">
        <f>IF(ABS(IF(ABS($E$535)&gt;0.000000001,$E$535,0.000000001))=0,0,IF($E$51&lt;=$B$27,0,IF(ABS(IF(ABS($E$535)&gt;0.000000001,$E$535,0.000000001))&gt;=8*$B$29,$H$51,0.5*$H$51*(ABS(IF(ABS($E$535)&gt;0.000000001,$E$535,0.000000001))/$B$29)^(1/3)))/ABS(IF(ABS($E$535)&gt;0.000000001,$E$535,0.000000001))*$I$51)</f>
        <v/>
      </c>
      <c r="E601" s="19">
        <f>0.5*$E$535+0.5*$AT$641</f>
        <v/>
      </c>
      <c r="F601" s="19">
        <f>$AT$642</f>
        <v/>
      </c>
    </row>
    <row r="602">
      <c r="D602" s="19">
        <f>IF(ABS(IF(ABS($E$536)&gt;0.000000001,$E$536,0.000000001))=0,0,IF($E$52&lt;=$B$27,0,IF(ABS(IF(ABS($E$536)&gt;0.000000001,$E$536,0.000000001))&gt;=8*$B$29,$H$52,0.5*$H$52*(ABS(IF(ABS($E$536)&gt;0.000000001,$E$536,0.000000001))/$B$29)^(1/3)))/ABS(IF(ABS($E$536)&gt;0.000000001,$E$536,0.000000001))*$I$52)</f>
        <v/>
      </c>
      <c r="E602" s="19">
        <f>0.5*$E$536+0.5*$AT$643</f>
        <v/>
      </c>
      <c r="F602" s="19">
        <f>$AT$644</f>
        <v/>
      </c>
    </row>
    <row r="603">
      <c r="D603" s="19">
        <f>IF(ABS(IF(ABS($E$537)&gt;0.000000001,$E$537,0.000000001))=0,0,IF($E$53&lt;=$B$27,0,IF(ABS(IF(ABS($E$537)&gt;0.000000001,$E$537,0.000000001))&gt;=8*$B$29,$H$53,0.5*$H$53*(ABS(IF(ABS($E$537)&gt;0.000000001,$E$537,0.000000001))/$B$29)^(1/3)))/ABS(IF(ABS($E$537)&gt;0.000000001,$E$537,0.000000001))*$I$53)</f>
        <v/>
      </c>
      <c r="E603" s="19">
        <f>0.5*$E$537+0.5*$AT$645</f>
        <v/>
      </c>
      <c r="F603" s="19">
        <f>$AT$646</f>
        <v/>
      </c>
    </row>
    <row r="605">
      <c r="D605" s="21">
        <f>$B$18+$D$583</f>
        <v/>
      </c>
      <c r="E605" s="21">
        <f>$B$19</f>
        <v/>
      </c>
      <c r="F605" s="21">
        <f>-$B$18</f>
        <v/>
      </c>
      <c r="G605" s="21">
        <f>$B$19</f>
        <v/>
      </c>
      <c r="H605" s="21" t="n">
        <v>0</v>
      </c>
      <c r="I605" s="21" t="n">
        <v>0</v>
      </c>
      <c r="J605" s="21" t="n">
        <v>0</v>
      </c>
      <c r="K605" s="21" t="n">
        <v>0</v>
      </c>
      <c r="L605" s="21" t="n">
        <v>0</v>
      </c>
      <c r="M605" s="21" t="n">
        <v>0</v>
      </c>
      <c r="N605" s="21" t="n">
        <v>0</v>
      </c>
      <c r="O605" s="21" t="n">
        <v>0</v>
      </c>
      <c r="P605" s="21" t="n">
        <v>0</v>
      </c>
      <c r="Q605" s="21" t="n">
        <v>0</v>
      </c>
      <c r="R605" s="21" t="n">
        <v>0</v>
      </c>
      <c r="S605" s="21" t="n">
        <v>0</v>
      </c>
      <c r="T605" s="21" t="n">
        <v>0</v>
      </c>
      <c r="U605" s="21" t="n">
        <v>0</v>
      </c>
      <c r="V605" s="21" t="n">
        <v>0</v>
      </c>
      <c r="W605" s="21" t="n">
        <v>0</v>
      </c>
      <c r="X605" s="21" t="n">
        <v>0</v>
      </c>
      <c r="Y605" s="21" t="n">
        <v>0</v>
      </c>
      <c r="Z605" s="21" t="n">
        <v>0</v>
      </c>
      <c r="AA605" s="21" t="n">
        <v>0</v>
      </c>
      <c r="AB605" s="21" t="n">
        <v>0</v>
      </c>
      <c r="AC605" s="21" t="n">
        <v>0</v>
      </c>
      <c r="AD605" s="21" t="n">
        <v>0</v>
      </c>
      <c r="AE605" s="21" t="n">
        <v>0</v>
      </c>
      <c r="AF605" s="21" t="n">
        <v>0</v>
      </c>
      <c r="AG605" s="21" t="n">
        <v>0</v>
      </c>
      <c r="AH605" s="21" t="n">
        <v>0</v>
      </c>
      <c r="AI605" s="21" t="n">
        <v>0</v>
      </c>
      <c r="AJ605" s="21" t="n">
        <v>0</v>
      </c>
      <c r="AK605" s="21" t="n">
        <v>0</v>
      </c>
      <c r="AL605" s="21" t="n">
        <v>0</v>
      </c>
      <c r="AM605" s="21" t="n">
        <v>0</v>
      </c>
      <c r="AN605" s="21" t="n">
        <v>0</v>
      </c>
      <c r="AO605" s="21" t="n">
        <v>0</v>
      </c>
      <c r="AP605" s="21" t="n">
        <v>0</v>
      </c>
      <c r="AQ605" s="21" t="n">
        <v>0</v>
      </c>
      <c r="AR605" s="21" t="n">
        <v>0</v>
      </c>
      <c r="AS605" s="21" t="n">
        <v>0</v>
      </c>
      <c r="AT605" s="19">
        <f t="array" ref="AT605:AT646">MMULT(MINVERSE($D$605:$AS$646),$D$55:$D$96)</f>
        <v/>
      </c>
    </row>
    <row r="606">
      <c r="D606" s="21">
        <f>$B$19</f>
        <v/>
      </c>
      <c r="E606" s="21">
        <f>$B$20</f>
        <v/>
      </c>
      <c r="F606" s="21">
        <f>-$B$19</f>
        <v/>
      </c>
      <c r="G606" s="21">
        <f>$B$21</f>
        <v/>
      </c>
      <c r="H606" s="21" t="n">
        <v>0</v>
      </c>
      <c r="I606" s="21" t="n">
        <v>0</v>
      </c>
      <c r="J606" s="21" t="n">
        <v>0</v>
      </c>
      <c r="K606" s="21" t="n">
        <v>0</v>
      </c>
      <c r="L606" s="21" t="n">
        <v>0</v>
      </c>
      <c r="M606" s="21" t="n">
        <v>0</v>
      </c>
      <c r="N606" s="21" t="n">
        <v>0</v>
      </c>
      <c r="O606" s="21" t="n">
        <v>0</v>
      </c>
      <c r="P606" s="21" t="n">
        <v>0</v>
      </c>
      <c r="Q606" s="21" t="n">
        <v>0</v>
      </c>
      <c r="R606" s="21" t="n">
        <v>0</v>
      </c>
      <c r="S606" s="21" t="n">
        <v>0</v>
      </c>
      <c r="T606" s="21" t="n">
        <v>0</v>
      </c>
      <c r="U606" s="21" t="n">
        <v>0</v>
      </c>
      <c r="V606" s="21" t="n">
        <v>0</v>
      </c>
      <c r="W606" s="21" t="n">
        <v>0</v>
      </c>
      <c r="X606" s="21" t="n">
        <v>0</v>
      </c>
      <c r="Y606" s="21" t="n">
        <v>0</v>
      </c>
      <c r="Z606" s="21" t="n">
        <v>0</v>
      </c>
      <c r="AA606" s="21" t="n">
        <v>0</v>
      </c>
      <c r="AB606" s="21" t="n">
        <v>0</v>
      </c>
      <c r="AC606" s="21" t="n">
        <v>0</v>
      </c>
      <c r="AD606" s="21" t="n">
        <v>0</v>
      </c>
      <c r="AE606" s="21" t="n">
        <v>0</v>
      </c>
      <c r="AF606" s="21" t="n">
        <v>0</v>
      </c>
      <c r="AG606" s="21" t="n">
        <v>0</v>
      </c>
      <c r="AH606" s="21" t="n">
        <v>0</v>
      </c>
      <c r="AI606" s="21" t="n">
        <v>0</v>
      </c>
      <c r="AJ606" s="21" t="n">
        <v>0</v>
      </c>
      <c r="AK606" s="21" t="n">
        <v>0</v>
      </c>
      <c r="AL606" s="21" t="n">
        <v>0</v>
      </c>
      <c r="AM606" s="21" t="n">
        <v>0</v>
      </c>
      <c r="AN606" s="21" t="n">
        <v>0</v>
      </c>
      <c r="AO606" s="21" t="n">
        <v>0</v>
      </c>
      <c r="AP606" s="21" t="n">
        <v>0</v>
      </c>
      <c r="AQ606" s="21" t="n">
        <v>0</v>
      </c>
      <c r="AR606" s="21" t="n">
        <v>0</v>
      </c>
      <c r="AS606" s="21" t="n">
        <v>0</v>
      </c>
      <c r="AT606" s="19" t="n"/>
    </row>
    <row r="607">
      <c r="D607" s="21">
        <f>-$B$18</f>
        <v/>
      </c>
      <c r="E607" s="21">
        <f>-$B$19</f>
        <v/>
      </c>
      <c r="F607" s="21">
        <f>2*$B$18+$D$584</f>
        <v/>
      </c>
      <c r="G607" s="21">
        <f>0</f>
        <v/>
      </c>
      <c r="H607" s="21">
        <f>-$B$18</f>
        <v/>
      </c>
      <c r="I607" s="21">
        <f>$B$19</f>
        <v/>
      </c>
      <c r="J607" s="21" t="n">
        <v>0</v>
      </c>
      <c r="K607" s="21" t="n">
        <v>0</v>
      </c>
      <c r="L607" s="21" t="n">
        <v>0</v>
      </c>
      <c r="M607" s="21" t="n">
        <v>0</v>
      </c>
      <c r="N607" s="21" t="n">
        <v>0</v>
      </c>
      <c r="O607" s="21" t="n">
        <v>0</v>
      </c>
      <c r="P607" s="21" t="n">
        <v>0</v>
      </c>
      <c r="Q607" s="21" t="n">
        <v>0</v>
      </c>
      <c r="R607" s="21" t="n">
        <v>0</v>
      </c>
      <c r="S607" s="21" t="n">
        <v>0</v>
      </c>
      <c r="T607" s="21" t="n">
        <v>0</v>
      </c>
      <c r="U607" s="21" t="n">
        <v>0</v>
      </c>
      <c r="V607" s="21" t="n">
        <v>0</v>
      </c>
      <c r="W607" s="21" t="n">
        <v>0</v>
      </c>
      <c r="X607" s="21" t="n">
        <v>0</v>
      </c>
      <c r="Y607" s="21" t="n">
        <v>0</v>
      </c>
      <c r="Z607" s="21" t="n">
        <v>0</v>
      </c>
      <c r="AA607" s="21" t="n">
        <v>0</v>
      </c>
      <c r="AB607" s="21" t="n">
        <v>0</v>
      </c>
      <c r="AC607" s="21" t="n">
        <v>0</v>
      </c>
      <c r="AD607" s="21" t="n">
        <v>0</v>
      </c>
      <c r="AE607" s="21" t="n">
        <v>0</v>
      </c>
      <c r="AF607" s="21" t="n">
        <v>0</v>
      </c>
      <c r="AG607" s="21" t="n">
        <v>0</v>
      </c>
      <c r="AH607" s="21" t="n">
        <v>0</v>
      </c>
      <c r="AI607" s="21" t="n">
        <v>0</v>
      </c>
      <c r="AJ607" s="21" t="n">
        <v>0</v>
      </c>
      <c r="AK607" s="21" t="n">
        <v>0</v>
      </c>
      <c r="AL607" s="21" t="n">
        <v>0</v>
      </c>
      <c r="AM607" s="21" t="n">
        <v>0</v>
      </c>
      <c r="AN607" s="21" t="n">
        <v>0</v>
      </c>
      <c r="AO607" s="21" t="n">
        <v>0</v>
      </c>
      <c r="AP607" s="21" t="n">
        <v>0</v>
      </c>
      <c r="AQ607" s="21" t="n">
        <v>0</v>
      </c>
      <c r="AR607" s="21" t="n">
        <v>0</v>
      </c>
      <c r="AS607" s="21" t="n">
        <v>0</v>
      </c>
      <c r="AT607" s="19" t="n"/>
    </row>
    <row r="608">
      <c r="D608" s="21">
        <f>$B$19</f>
        <v/>
      </c>
      <c r="E608" s="21">
        <f>$B$21</f>
        <v/>
      </c>
      <c r="F608" s="21">
        <f>0</f>
        <v/>
      </c>
      <c r="G608" s="21">
        <f>2*$B$20</f>
        <v/>
      </c>
      <c r="H608" s="21">
        <f>-$B$19</f>
        <v/>
      </c>
      <c r="I608" s="21">
        <f>$B$21</f>
        <v/>
      </c>
      <c r="J608" s="21" t="n">
        <v>0</v>
      </c>
      <c r="K608" s="21" t="n">
        <v>0</v>
      </c>
      <c r="L608" s="21" t="n">
        <v>0</v>
      </c>
      <c r="M608" s="21" t="n">
        <v>0</v>
      </c>
      <c r="N608" s="21" t="n">
        <v>0</v>
      </c>
      <c r="O608" s="21" t="n">
        <v>0</v>
      </c>
      <c r="P608" s="21" t="n">
        <v>0</v>
      </c>
      <c r="Q608" s="21" t="n">
        <v>0</v>
      </c>
      <c r="R608" s="21" t="n">
        <v>0</v>
      </c>
      <c r="S608" s="21" t="n">
        <v>0</v>
      </c>
      <c r="T608" s="21" t="n">
        <v>0</v>
      </c>
      <c r="U608" s="21" t="n">
        <v>0</v>
      </c>
      <c r="V608" s="21" t="n">
        <v>0</v>
      </c>
      <c r="W608" s="21" t="n">
        <v>0</v>
      </c>
      <c r="X608" s="21" t="n">
        <v>0</v>
      </c>
      <c r="Y608" s="21" t="n">
        <v>0</v>
      </c>
      <c r="Z608" s="21" t="n">
        <v>0</v>
      </c>
      <c r="AA608" s="21" t="n">
        <v>0</v>
      </c>
      <c r="AB608" s="21" t="n">
        <v>0</v>
      </c>
      <c r="AC608" s="21" t="n">
        <v>0</v>
      </c>
      <c r="AD608" s="21" t="n">
        <v>0</v>
      </c>
      <c r="AE608" s="21" t="n">
        <v>0</v>
      </c>
      <c r="AF608" s="21" t="n">
        <v>0</v>
      </c>
      <c r="AG608" s="21" t="n">
        <v>0</v>
      </c>
      <c r="AH608" s="21" t="n">
        <v>0</v>
      </c>
      <c r="AI608" s="21" t="n">
        <v>0</v>
      </c>
      <c r="AJ608" s="21" t="n">
        <v>0</v>
      </c>
      <c r="AK608" s="21" t="n">
        <v>0</v>
      </c>
      <c r="AL608" s="21" t="n">
        <v>0</v>
      </c>
      <c r="AM608" s="21" t="n">
        <v>0</v>
      </c>
      <c r="AN608" s="21" t="n">
        <v>0</v>
      </c>
      <c r="AO608" s="21" t="n">
        <v>0</v>
      </c>
      <c r="AP608" s="21" t="n">
        <v>0</v>
      </c>
      <c r="AQ608" s="21" t="n">
        <v>0</v>
      </c>
      <c r="AR608" s="21" t="n">
        <v>0</v>
      </c>
      <c r="AS608" s="21" t="n">
        <v>0</v>
      </c>
      <c r="AT608" s="19" t="n"/>
    </row>
    <row r="609">
      <c r="D609" s="21" t="n">
        <v>0</v>
      </c>
      <c r="E609" s="21" t="n">
        <v>0</v>
      </c>
      <c r="F609" s="21">
        <f>-$B$18</f>
        <v/>
      </c>
      <c r="G609" s="21">
        <f>-$B$19</f>
        <v/>
      </c>
      <c r="H609" s="21">
        <f>2*$B$18+$D$585</f>
        <v/>
      </c>
      <c r="I609" s="21">
        <f>0</f>
        <v/>
      </c>
      <c r="J609" s="21">
        <f>-$B$18</f>
        <v/>
      </c>
      <c r="K609" s="21">
        <f>$B$19</f>
        <v/>
      </c>
      <c r="L609" s="21" t="n">
        <v>0</v>
      </c>
      <c r="M609" s="21" t="n">
        <v>0</v>
      </c>
      <c r="N609" s="21" t="n">
        <v>0</v>
      </c>
      <c r="O609" s="21" t="n">
        <v>0</v>
      </c>
      <c r="P609" s="21" t="n">
        <v>0</v>
      </c>
      <c r="Q609" s="21" t="n">
        <v>0</v>
      </c>
      <c r="R609" s="21" t="n">
        <v>0</v>
      </c>
      <c r="S609" s="21" t="n">
        <v>0</v>
      </c>
      <c r="T609" s="21" t="n">
        <v>0</v>
      </c>
      <c r="U609" s="21" t="n">
        <v>0</v>
      </c>
      <c r="V609" s="21" t="n">
        <v>0</v>
      </c>
      <c r="W609" s="21" t="n">
        <v>0</v>
      </c>
      <c r="X609" s="21" t="n">
        <v>0</v>
      </c>
      <c r="Y609" s="21" t="n">
        <v>0</v>
      </c>
      <c r="Z609" s="21" t="n">
        <v>0</v>
      </c>
      <c r="AA609" s="21" t="n">
        <v>0</v>
      </c>
      <c r="AB609" s="21" t="n">
        <v>0</v>
      </c>
      <c r="AC609" s="21" t="n">
        <v>0</v>
      </c>
      <c r="AD609" s="21" t="n">
        <v>0</v>
      </c>
      <c r="AE609" s="21" t="n">
        <v>0</v>
      </c>
      <c r="AF609" s="21" t="n">
        <v>0</v>
      </c>
      <c r="AG609" s="21" t="n">
        <v>0</v>
      </c>
      <c r="AH609" s="21" t="n">
        <v>0</v>
      </c>
      <c r="AI609" s="21" t="n">
        <v>0</v>
      </c>
      <c r="AJ609" s="21" t="n">
        <v>0</v>
      </c>
      <c r="AK609" s="21" t="n">
        <v>0</v>
      </c>
      <c r="AL609" s="21" t="n">
        <v>0</v>
      </c>
      <c r="AM609" s="21" t="n">
        <v>0</v>
      </c>
      <c r="AN609" s="21" t="n">
        <v>0</v>
      </c>
      <c r="AO609" s="21" t="n">
        <v>0</v>
      </c>
      <c r="AP609" s="21" t="n">
        <v>0</v>
      </c>
      <c r="AQ609" s="21" t="n">
        <v>0</v>
      </c>
      <c r="AR609" s="21" t="n">
        <v>0</v>
      </c>
      <c r="AS609" s="21" t="n">
        <v>0</v>
      </c>
      <c r="AT609" s="19" t="n"/>
    </row>
    <row r="610">
      <c r="D610" s="21" t="n">
        <v>0</v>
      </c>
      <c r="E610" s="21" t="n">
        <v>0</v>
      </c>
      <c r="F610" s="21">
        <f>$B$19</f>
        <v/>
      </c>
      <c r="G610" s="21">
        <f>$B$21</f>
        <v/>
      </c>
      <c r="H610" s="21">
        <f>0</f>
        <v/>
      </c>
      <c r="I610" s="21">
        <f>2*$B$20</f>
        <v/>
      </c>
      <c r="J610" s="21">
        <f>-$B$19</f>
        <v/>
      </c>
      <c r="K610" s="21">
        <f>$B$21</f>
        <v/>
      </c>
      <c r="L610" s="21" t="n">
        <v>0</v>
      </c>
      <c r="M610" s="21" t="n">
        <v>0</v>
      </c>
      <c r="N610" s="21" t="n">
        <v>0</v>
      </c>
      <c r="O610" s="21" t="n">
        <v>0</v>
      </c>
      <c r="P610" s="21" t="n">
        <v>0</v>
      </c>
      <c r="Q610" s="21" t="n">
        <v>0</v>
      </c>
      <c r="R610" s="21" t="n">
        <v>0</v>
      </c>
      <c r="S610" s="21" t="n">
        <v>0</v>
      </c>
      <c r="T610" s="21" t="n">
        <v>0</v>
      </c>
      <c r="U610" s="21" t="n">
        <v>0</v>
      </c>
      <c r="V610" s="21" t="n">
        <v>0</v>
      </c>
      <c r="W610" s="21" t="n">
        <v>0</v>
      </c>
      <c r="X610" s="21" t="n">
        <v>0</v>
      </c>
      <c r="Y610" s="21" t="n">
        <v>0</v>
      </c>
      <c r="Z610" s="21" t="n">
        <v>0</v>
      </c>
      <c r="AA610" s="21" t="n">
        <v>0</v>
      </c>
      <c r="AB610" s="21" t="n">
        <v>0</v>
      </c>
      <c r="AC610" s="21" t="n">
        <v>0</v>
      </c>
      <c r="AD610" s="21" t="n">
        <v>0</v>
      </c>
      <c r="AE610" s="21" t="n">
        <v>0</v>
      </c>
      <c r="AF610" s="21" t="n">
        <v>0</v>
      </c>
      <c r="AG610" s="21" t="n">
        <v>0</v>
      </c>
      <c r="AH610" s="21" t="n">
        <v>0</v>
      </c>
      <c r="AI610" s="21" t="n">
        <v>0</v>
      </c>
      <c r="AJ610" s="21" t="n">
        <v>0</v>
      </c>
      <c r="AK610" s="21" t="n">
        <v>0</v>
      </c>
      <c r="AL610" s="21" t="n">
        <v>0</v>
      </c>
      <c r="AM610" s="21" t="n">
        <v>0</v>
      </c>
      <c r="AN610" s="21" t="n">
        <v>0</v>
      </c>
      <c r="AO610" s="21" t="n">
        <v>0</v>
      </c>
      <c r="AP610" s="21" t="n">
        <v>0</v>
      </c>
      <c r="AQ610" s="21" t="n">
        <v>0</v>
      </c>
      <c r="AR610" s="21" t="n">
        <v>0</v>
      </c>
      <c r="AS610" s="21" t="n">
        <v>0</v>
      </c>
      <c r="AT610" s="19" t="n"/>
    </row>
    <row r="611">
      <c r="D611" s="21" t="n">
        <v>0</v>
      </c>
      <c r="E611" s="21" t="n">
        <v>0</v>
      </c>
      <c r="F611" s="21" t="n">
        <v>0</v>
      </c>
      <c r="G611" s="21" t="n">
        <v>0</v>
      </c>
      <c r="H611" s="21">
        <f>-$B$18</f>
        <v/>
      </c>
      <c r="I611" s="21">
        <f>-$B$19</f>
        <v/>
      </c>
      <c r="J611" s="21">
        <f>2*$B$18+$D$586</f>
        <v/>
      </c>
      <c r="K611" s="21">
        <f>0</f>
        <v/>
      </c>
      <c r="L611" s="21">
        <f>-$B$18</f>
        <v/>
      </c>
      <c r="M611" s="21">
        <f>$B$19</f>
        <v/>
      </c>
      <c r="N611" s="21" t="n">
        <v>0</v>
      </c>
      <c r="O611" s="21" t="n">
        <v>0</v>
      </c>
      <c r="P611" s="21" t="n">
        <v>0</v>
      </c>
      <c r="Q611" s="21" t="n">
        <v>0</v>
      </c>
      <c r="R611" s="21" t="n">
        <v>0</v>
      </c>
      <c r="S611" s="21" t="n">
        <v>0</v>
      </c>
      <c r="T611" s="21" t="n">
        <v>0</v>
      </c>
      <c r="U611" s="21" t="n">
        <v>0</v>
      </c>
      <c r="V611" s="21" t="n">
        <v>0</v>
      </c>
      <c r="W611" s="21" t="n">
        <v>0</v>
      </c>
      <c r="X611" s="21" t="n">
        <v>0</v>
      </c>
      <c r="Y611" s="21" t="n">
        <v>0</v>
      </c>
      <c r="Z611" s="21" t="n">
        <v>0</v>
      </c>
      <c r="AA611" s="21" t="n">
        <v>0</v>
      </c>
      <c r="AB611" s="21" t="n">
        <v>0</v>
      </c>
      <c r="AC611" s="21" t="n">
        <v>0</v>
      </c>
      <c r="AD611" s="21" t="n">
        <v>0</v>
      </c>
      <c r="AE611" s="21" t="n">
        <v>0</v>
      </c>
      <c r="AF611" s="21" t="n">
        <v>0</v>
      </c>
      <c r="AG611" s="21" t="n">
        <v>0</v>
      </c>
      <c r="AH611" s="21" t="n">
        <v>0</v>
      </c>
      <c r="AI611" s="21" t="n">
        <v>0</v>
      </c>
      <c r="AJ611" s="21" t="n">
        <v>0</v>
      </c>
      <c r="AK611" s="21" t="n">
        <v>0</v>
      </c>
      <c r="AL611" s="21" t="n">
        <v>0</v>
      </c>
      <c r="AM611" s="21" t="n">
        <v>0</v>
      </c>
      <c r="AN611" s="21" t="n">
        <v>0</v>
      </c>
      <c r="AO611" s="21" t="n">
        <v>0</v>
      </c>
      <c r="AP611" s="21" t="n">
        <v>0</v>
      </c>
      <c r="AQ611" s="21" t="n">
        <v>0</v>
      </c>
      <c r="AR611" s="21" t="n">
        <v>0</v>
      </c>
      <c r="AS611" s="21" t="n">
        <v>0</v>
      </c>
      <c r="AT611" s="19" t="n"/>
    </row>
    <row r="612">
      <c r="D612" s="21" t="n">
        <v>0</v>
      </c>
      <c r="E612" s="21" t="n">
        <v>0</v>
      </c>
      <c r="F612" s="21" t="n">
        <v>0</v>
      </c>
      <c r="G612" s="21" t="n">
        <v>0</v>
      </c>
      <c r="H612" s="21">
        <f>$B$19</f>
        <v/>
      </c>
      <c r="I612" s="21">
        <f>$B$21</f>
        <v/>
      </c>
      <c r="J612" s="21">
        <f>0</f>
        <v/>
      </c>
      <c r="K612" s="21">
        <f>2*$B$20</f>
        <v/>
      </c>
      <c r="L612" s="21">
        <f>-$B$19</f>
        <v/>
      </c>
      <c r="M612" s="21">
        <f>$B$21</f>
        <v/>
      </c>
      <c r="N612" s="21" t="n">
        <v>0</v>
      </c>
      <c r="O612" s="21" t="n">
        <v>0</v>
      </c>
      <c r="P612" s="21" t="n">
        <v>0</v>
      </c>
      <c r="Q612" s="21" t="n">
        <v>0</v>
      </c>
      <c r="R612" s="21" t="n">
        <v>0</v>
      </c>
      <c r="S612" s="21" t="n">
        <v>0</v>
      </c>
      <c r="T612" s="21" t="n">
        <v>0</v>
      </c>
      <c r="U612" s="21" t="n">
        <v>0</v>
      </c>
      <c r="V612" s="21" t="n">
        <v>0</v>
      </c>
      <c r="W612" s="21" t="n">
        <v>0</v>
      </c>
      <c r="X612" s="21" t="n">
        <v>0</v>
      </c>
      <c r="Y612" s="21" t="n">
        <v>0</v>
      </c>
      <c r="Z612" s="21" t="n">
        <v>0</v>
      </c>
      <c r="AA612" s="21" t="n">
        <v>0</v>
      </c>
      <c r="AB612" s="21" t="n">
        <v>0</v>
      </c>
      <c r="AC612" s="21" t="n">
        <v>0</v>
      </c>
      <c r="AD612" s="21" t="n">
        <v>0</v>
      </c>
      <c r="AE612" s="21" t="n">
        <v>0</v>
      </c>
      <c r="AF612" s="21" t="n">
        <v>0</v>
      </c>
      <c r="AG612" s="21" t="n">
        <v>0</v>
      </c>
      <c r="AH612" s="21" t="n">
        <v>0</v>
      </c>
      <c r="AI612" s="21" t="n">
        <v>0</v>
      </c>
      <c r="AJ612" s="21" t="n">
        <v>0</v>
      </c>
      <c r="AK612" s="21" t="n">
        <v>0</v>
      </c>
      <c r="AL612" s="21" t="n">
        <v>0</v>
      </c>
      <c r="AM612" s="21" t="n">
        <v>0</v>
      </c>
      <c r="AN612" s="21" t="n">
        <v>0</v>
      </c>
      <c r="AO612" s="21" t="n">
        <v>0</v>
      </c>
      <c r="AP612" s="21" t="n">
        <v>0</v>
      </c>
      <c r="AQ612" s="21" t="n">
        <v>0</v>
      </c>
      <c r="AR612" s="21" t="n">
        <v>0</v>
      </c>
      <c r="AS612" s="21" t="n">
        <v>0</v>
      </c>
      <c r="AT612" s="19" t="n"/>
    </row>
    <row r="613">
      <c r="D613" s="21" t="n">
        <v>0</v>
      </c>
      <c r="E613" s="21" t="n">
        <v>0</v>
      </c>
      <c r="F613" s="21" t="n">
        <v>0</v>
      </c>
      <c r="G613" s="21" t="n">
        <v>0</v>
      </c>
      <c r="H613" s="21" t="n">
        <v>0</v>
      </c>
      <c r="I613" s="21" t="n">
        <v>0</v>
      </c>
      <c r="J613" s="21">
        <f>-$B$18</f>
        <v/>
      </c>
      <c r="K613" s="21">
        <f>-$B$19</f>
        <v/>
      </c>
      <c r="L613" s="21">
        <f>2*$B$18+$D$587</f>
        <v/>
      </c>
      <c r="M613" s="21">
        <f>0</f>
        <v/>
      </c>
      <c r="N613" s="21">
        <f>-$B$18</f>
        <v/>
      </c>
      <c r="O613" s="21">
        <f>$B$19</f>
        <v/>
      </c>
      <c r="P613" s="21" t="n">
        <v>0</v>
      </c>
      <c r="Q613" s="21" t="n">
        <v>0</v>
      </c>
      <c r="R613" s="21" t="n">
        <v>0</v>
      </c>
      <c r="S613" s="21" t="n">
        <v>0</v>
      </c>
      <c r="T613" s="21" t="n">
        <v>0</v>
      </c>
      <c r="U613" s="21" t="n">
        <v>0</v>
      </c>
      <c r="V613" s="21" t="n">
        <v>0</v>
      </c>
      <c r="W613" s="21" t="n">
        <v>0</v>
      </c>
      <c r="X613" s="21" t="n">
        <v>0</v>
      </c>
      <c r="Y613" s="21" t="n">
        <v>0</v>
      </c>
      <c r="Z613" s="21" t="n">
        <v>0</v>
      </c>
      <c r="AA613" s="21" t="n">
        <v>0</v>
      </c>
      <c r="AB613" s="21" t="n">
        <v>0</v>
      </c>
      <c r="AC613" s="21" t="n">
        <v>0</v>
      </c>
      <c r="AD613" s="21" t="n">
        <v>0</v>
      </c>
      <c r="AE613" s="21" t="n">
        <v>0</v>
      </c>
      <c r="AF613" s="21" t="n">
        <v>0</v>
      </c>
      <c r="AG613" s="21" t="n">
        <v>0</v>
      </c>
      <c r="AH613" s="21" t="n">
        <v>0</v>
      </c>
      <c r="AI613" s="21" t="n">
        <v>0</v>
      </c>
      <c r="AJ613" s="21" t="n">
        <v>0</v>
      </c>
      <c r="AK613" s="21" t="n">
        <v>0</v>
      </c>
      <c r="AL613" s="21" t="n">
        <v>0</v>
      </c>
      <c r="AM613" s="21" t="n">
        <v>0</v>
      </c>
      <c r="AN613" s="21" t="n">
        <v>0</v>
      </c>
      <c r="AO613" s="21" t="n">
        <v>0</v>
      </c>
      <c r="AP613" s="21" t="n">
        <v>0</v>
      </c>
      <c r="AQ613" s="21" t="n">
        <v>0</v>
      </c>
      <c r="AR613" s="21" t="n">
        <v>0</v>
      </c>
      <c r="AS613" s="21" t="n">
        <v>0</v>
      </c>
      <c r="AT613" s="19" t="n"/>
    </row>
    <row r="614">
      <c r="D614" s="21" t="n">
        <v>0</v>
      </c>
      <c r="E614" s="21" t="n">
        <v>0</v>
      </c>
      <c r="F614" s="21" t="n">
        <v>0</v>
      </c>
      <c r="G614" s="21" t="n">
        <v>0</v>
      </c>
      <c r="H614" s="21" t="n">
        <v>0</v>
      </c>
      <c r="I614" s="21" t="n">
        <v>0</v>
      </c>
      <c r="J614" s="21">
        <f>$B$19</f>
        <v/>
      </c>
      <c r="K614" s="21">
        <f>$B$21</f>
        <v/>
      </c>
      <c r="L614" s="21">
        <f>0</f>
        <v/>
      </c>
      <c r="M614" s="21">
        <f>2*$B$20</f>
        <v/>
      </c>
      <c r="N614" s="21">
        <f>-$B$19</f>
        <v/>
      </c>
      <c r="O614" s="21">
        <f>$B$21</f>
        <v/>
      </c>
      <c r="P614" s="21" t="n">
        <v>0</v>
      </c>
      <c r="Q614" s="21" t="n">
        <v>0</v>
      </c>
      <c r="R614" s="21" t="n">
        <v>0</v>
      </c>
      <c r="S614" s="21" t="n">
        <v>0</v>
      </c>
      <c r="T614" s="21" t="n">
        <v>0</v>
      </c>
      <c r="U614" s="21" t="n">
        <v>0</v>
      </c>
      <c r="V614" s="21" t="n">
        <v>0</v>
      </c>
      <c r="W614" s="21" t="n">
        <v>0</v>
      </c>
      <c r="X614" s="21" t="n">
        <v>0</v>
      </c>
      <c r="Y614" s="21" t="n">
        <v>0</v>
      </c>
      <c r="Z614" s="21" t="n">
        <v>0</v>
      </c>
      <c r="AA614" s="21" t="n">
        <v>0</v>
      </c>
      <c r="AB614" s="21" t="n">
        <v>0</v>
      </c>
      <c r="AC614" s="21" t="n">
        <v>0</v>
      </c>
      <c r="AD614" s="21" t="n">
        <v>0</v>
      </c>
      <c r="AE614" s="21" t="n">
        <v>0</v>
      </c>
      <c r="AF614" s="21" t="n">
        <v>0</v>
      </c>
      <c r="AG614" s="21" t="n">
        <v>0</v>
      </c>
      <c r="AH614" s="21" t="n">
        <v>0</v>
      </c>
      <c r="AI614" s="21" t="n">
        <v>0</v>
      </c>
      <c r="AJ614" s="21" t="n">
        <v>0</v>
      </c>
      <c r="AK614" s="21" t="n">
        <v>0</v>
      </c>
      <c r="AL614" s="21" t="n">
        <v>0</v>
      </c>
      <c r="AM614" s="21" t="n">
        <v>0</v>
      </c>
      <c r="AN614" s="21" t="n">
        <v>0</v>
      </c>
      <c r="AO614" s="21" t="n">
        <v>0</v>
      </c>
      <c r="AP614" s="21" t="n">
        <v>0</v>
      </c>
      <c r="AQ614" s="21" t="n">
        <v>0</v>
      </c>
      <c r="AR614" s="21" t="n">
        <v>0</v>
      </c>
      <c r="AS614" s="21" t="n">
        <v>0</v>
      </c>
      <c r="AT614" s="19" t="n"/>
    </row>
    <row r="615">
      <c r="D615" s="21" t="n">
        <v>0</v>
      </c>
      <c r="E615" s="21" t="n">
        <v>0</v>
      </c>
      <c r="F615" s="21" t="n">
        <v>0</v>
      </c>
      <c r="G615" s="21" t="n">
        <v>0</v>
      </c>
      <c r="H615" s="21" t="n">
        <v>0</v>
      </c>
      <c r="I615" s="21" t="n">
        <v>0</v>
      </c>
      <c r="J615" s="21" t="n">
        <v>0</v>
      </c>
      <c r="K615" s="21" t="n">
        <v>0</v>
      </c>
      <c r="L615" s="21">
        <f>-$B$18</f>
        <v/>
      </c>
      <c r="M615" s="21">
        <f>-$B$19</f>
        <v/>
      </c>
      <c r="N615" s="21">
        <f>2*$B$18+$D$588</f>
        <v/>
      </c>
      <c r="O615" s="21">
        <f>0</f>
        <v/>
      </c>
      <c r="P615" s="21">
        <f>-$B$18</f>
        <v/>
      </c>
      <c r="Q615" s="21">
        <f>$B$19</f>
        <v/>
      </c>
      <c r="R615" s="21" t="n">
        <v>0</v>
      </c>
      <c r="S615" s="21" t="n">
        <v>0</v>
      </c>
      <c r="T615" s="21" t="n">
        <v>0</v>
      </c>
      <c r="U615" s="21" t="n">
        <v>0</v>
      </c>
      <c r="V615" s="21" t="n">
        <v>0</v>
      </c>
      <c r="W615" s="21" t="n">
        <v>0</v>
      </c>
      <c r="X615" s="21" t="n">
        <v>0</v>
      </c>
      <c r="Y615" s="21" t="n">
        <v>0</v>
      </c>
      <c r="Z615" s="21" t="n">
        <v>0</v>
      </c>
      <c r="AA615" s="21" t="n">
        <v>0</v>
      </c>
      <c r="AB615" s="21" t="n">
        <v>0</v>
      </c>
      <c r="AC615" s="21" t="n">
        <v>0</v>
      </c>
      <c r="AD615" s="21" t="n">
        <v>0</v>
      </c>
      <c r="AE615" s="21" t="n">
        <v>0</v>
      </c>
      <c r="AF615" s="21" t="n">
        <v>0</v>
      </c>
      <c r="AG615" s="21" t="n">
        <v>0</v>
      </c>
      <c r="AH615" s="21" t="n">
        <v>0</v>
      </c>
      <c r="AI615" s="21" t="n">
        <v>0</v>
      </c>
      <c r="AJ615" s="21" t="n">
        <v>0</v>
      </c>
      <c r="AK615" s="21" t="n">
        <v>0</v>
      </c>
      <c r="AL615" s="21" t="n">
        <v>0</v>
      </c>
      <c r="AM615" s="21" t="n">
        <v>0</v>
      </c>
      <c r="AN615" s="21" t="n">
        <v>0</v>
      </c>
      <c r="AO615" s="21" t="n">
        <v>0</v>
      </c>
      <c r="AP615" s="21" t="n">
        <v>0</v>
      </c>
      <c r="AQ615" s="21" t="n">
        <v>0</v>
      </c>
      <c r="AR615" s="21" t="n">
        <v>0</v>
      </c>
      <c r="AS615" s="21" t="n">
        <v>0</v>
      </c>
      <c r="AT615" s="19" t="n"/>
    </row>
    <row r="616">
      <c r="D616" s="21" t="n">
        <v>0</v>
      </c>
      <c r="E616" s="21" t="n">
        <v>0</v>
      </c>
      <c r="F616" s="21" t="n">
        <v>0</v>
      </c>
      <c r="G616" s="21" t="n">
        <v>0</v>
      </c>
      <c r="H616" s="21" t="n">
        <v>0</v>
      </c>
      <c r="I616" s="21" t="n">
        <v>0</v>
      </c>
      <c r="J616" s="21" t="n">
        <v>0</v>
      </c>
      <c r="K616" s="21" t="n">
        <v>0</v>
      </c>
      <c r="L616" s="21">
        <f>$B$19</f>
        <v/>
      </c>
      <c r="M616" s="21">
        <f>$B$21</f>
        <v/>
      </c>
      <c r="N616" s="21">
        <f>0</f>
        <v/>
      </c>
      <c r="O616" s="21">
        <f>2*$B$20</f>
        <v/>
      </c>
      <c r="P616" s="21">
        <f>-$B$19</f>
        <v/>
      </c>
      <c r="Q616" s="21">
        <f>$B$21</f>
        <v/>
      </c>
      <c r="R616" s="21" t="n">
        <v>0</v>
      </c>
      <c r="S616" s="21" t="n">
        <v>0</v>
      </c>
      <c r="T616" s="21" t="n">
        <v>0</v>
      </c>
      <c r="U616" s="21" t="n">
        <v>0</v>
      </c>
      <c r="V616" s="21" t="n">
        <v>0</v>
      </c>
      <c r="W616" s="21" t="n">
        <v>0</v>
      </c>
      <c r="X616" s="21" t="n">
        <v>0</v>
      </c>
      <c r="Y616" s="21" t="n">
        <v>0</v>
      </c>
      <c r="Z616" s="21" t="n">
        <v>0</v>
      </c>
      <c r="AA616" s="21" t="n">
        <v>0</v>
      </c>
      <c r="AB616" s="21" t="n">
        <v>0</v>
      </c>
      <c r="AC616" s="21" t="n">
        <v>0</v>
      </c>
      <c r="AD616" s="21" t="n">
        <v>0</v>
      </c>
      <c r="AE616" s="21" t="n">
        <v>0</v>
      </c>
      <c r="AF616" s="21" t="n">
        <v>0</v>
      </c>
      <c r="AG616" s="21" t="n">
        <v>0</v>
      </c>
      <c r="AH616" s="21" t="n">
        <v>0</v>
      </c>
      <c r="AI616" s="21" t="n">
        <v>0</v>
      </c>
      <c r="AJ616" s="21" t="n">
        <v>0</v>
      </c>
      <c r="AK616" s="21" t="n">
        <v>0</v>
      </c>
      <c r="AL616" s="21" t="n">
        <v>0</v>
      </c>
      <c r="AM616" s="21" t="n">
        <v>0</v>
      </c>
      <c r="AN616" s="21" t="n">
        <v>0</v>
      </c>
      <c r="AO616" s="21" t="n">
        <v>0</v>
      </c>
      <c r="AP616" s="21" t="n">
        <v>0</v>
      </c>
      <c r="AQ616" s="21" t="n">
        <v>0</v>
      </c>
      <c r="AR616" s="21" t="n">
        <v>0</v>
      </c>
      <c r="AS616" s="21" t="n">
        <v>0</v>
      </c>
      <c r="AT616" s="19" t="n"/>
    </row>
    <row r="617">
      <c r="D617" s="21" t="n">
        <v>0</v>
      </c>
      <c r="E617" s="21" t="n">
        <v>0</v>
      </c>
      <c r="F617" s="21" t="n">
        <v>0</v>
      </c>
      <c r="G617" s="21" t="n">
        <v>0</v>
      </c>
      <c r="H617" s="21" t="n">
        <v>0</v>
      </c>
      <c r="I617" s="21" t="n">
        <v>0</v>
      </c>
      <c r="J617" s="21" t="n">
        <v>0</v>
      </c>
      <c r="K617" s="21" t="n">
        <v>0</v>
      </c>
      <c r="L617" s="21" t="n">
        <v>0</v>
      </c>
      <c r="M617" s="21" t="n">
        <v>0</v>
      </c>
      <c r="N617" s="21">
        <f>-$B$18</f>
        <v/>
      </c>
      <c r="O617" s="21">
        <f>-$B$19</f>
        <v/>
      </c>
      <c r="P617" s="21">
        <f>2*$B$18+$D$589</f>
        <v/>
      </c>
      <c r="Q617" s="21">
        <f>0</f>
        <v/>
      </c>
      <c r="R617" s="21">
        <f>-$B$18</f>
        <v/>
      </c>
      <c r="S617" s="21">
        <f>$B$19</f>
        <v/>
      </c>
      <c r="T617" s="21" t="n">
        <v>0</v>
      </c>
      <c r="U617" s="21" t="n">
        <v>0</v>
      </c>
      <c r="V617" s="21" t="n">
        <v>0</v>
      </c>
      <c r="W617" s="21" t="n">
        <v>0</v>
      </c>
      <c r="X617" s="21" t="n">
        <v>0</v>
      </c>
      <c r="Y617" s="21" t="n">
        <v>0</v>
      </c>
      <c r="Z617" s="21" t="n">
        <v>0</v>
      </c>
      <c r="AA617" s="21" t="n">
        <v>0</v>
      </c>
      <c r="AB617" s="21" t="n">
        <v>0</v>
      </c>
      <c r="AC617" s="21" t="n">
        <v>0</v>
      </c>
      <c r="AD617" s="21" t="n">
        <v>0</v>
      </c>
      <c r="AE617" s="21" t="n">
        <v>0</v>
      </c>
      <c r="AF617" s="21" t="n">
        <v>0</v>
      </c>
      <c r="AG617" s="21" t="n">
        <v>0</v>
      </c>
      <c r="AH617" s="21" t="n">
        <v>0</v>
      </c>
      <c r="AI617" s="21" t="n">
        <v>0</v>
      </c>
      <c r="AJ617" s="21" t="n">
        <v>0</v>
      </c>
      <c r="AK617" s="21" t="n">
        <v>0</v>
      </c>
      <c r="AL617" s="21" t="n">
        <v>0</v>
      </c>
      <c r="AM617" s="21" t="n">
        <v>0</v>
      </c>
      <c r="AN617" s="21" t="n">
        <v>0</v>
      </c>
      <c r="AO617" s="21" t="n">
        <v>0</v>
      </c>
      <c r="AP617" s="21" t="n">
        <v>0</v>
      </c>
      <c r="AQ617" s="21" t="n">
        <v>0</v>
      </c>
      <c r="AR617" s="21" t="n">
        <v>0</v>
      </c>
      <c r="AS617" s="21" t="n">
        <v>0</v>
      </c>
      <c r="AT617" s="19" t="n"/>
    </row>
    <row r="618">
      <c r="D618" s="21" t="n">
        <v>0</v>
      </c>
      <c r="E618" s="21" t="n">
        <v>0</v>
      </c>
      <c r="F618" s="21" t="n">
        <v>0</v>
      </c>
      <c r="G618" s="21" t="n">
        <v>0</v>
      </c>
      <c r="H618" s="21" t="n">
        <v>0</v>
      </c>
      <c r="I618" s="21" t="n">
        <v>0</v>
      </c>
      <c r="J618" s="21" t="n">
        <v>0</v>
      </c>
      <c r="K618" s="21" t="n">
        <v>0</v>
      </c>
      <c r="L618" s="21" t="n">
        <v>0</v>
      </c>
      <c r="M618" s="21" t="n">
        <v>0</v>
      </c>
      <c r="N618" s="21">
        <f>$B$19</f>
        <v/>
      </c>
      <c r="O618" s="21">
        <f>$B$21</f>
        <v/>
      </c>
      <c r="P618" s="21">
        <f>0</f>
        <v/>
      </c>
      <c r="Q618" s="21">
        <f>2*$B$20</f>
        <v/>
      </c>
      <c r="R618" s="21">
        <f>-$B$19</f>
        <v/>
      </c>
      <c r="S618" s="21">
        <f>$B$21</f>
        <v/>
      </c>
      <c r="T618" s="21" t="n">
        <v>0</v>
      </c>
      <c r="U618" s="21" t="n">
        <v>0</v>
      </c>
      <c r="V618" s="21" t="n">
        <v>0</v>
      </c>
      <c r="W618" s="21" t="n">
        <v>0</v>
      </c>
      <c r="X618" s="21" t="n">
        <v>0</v>
      </c>
      <c r="Y618" s="21" t="n">
        <v>0</v>
      </c>
      <c r="Z618" s="21" t="n">
        <v>0</v>
      </c>
      <c r="AA618" s="21" t="n">
        <v>0</v>
      </c>
      <c r="AB618" s="21" t="n">
        <v>0</v>
      </c>
      <c r="AC618" s="21" t="n">
        <v>0</v>
      </c>
      <c r="AD618" s="21" t="n">
        <v>0</v>
      </c>
      <c r="AE618" s="21" t="n">
        <v>0</v>
      </c>
      <c r="AF618" s="21" t="n">
        <v>0</v>
      </c>
      <c r="AG618" s="21" t="n">
        <v>0</v>
      </c>
      <c r="AH618" s="21" t="n">
        <v>0</v>
      </c>
      <c r="AI618" s="21" t="n">
        <v>0</v>
      </c>
      <c r="AJ618" s="21" t="n">
        <v>0</v>
      </c>
      <c r="AK618" s="21" t="n">
        <v>0</v>
      </c>
      <c r="AL618" s="21" t="n">
        <v>0</v>
      </c>
      <c r="AM618" s="21" t="n">
        <v>0</v>
      </c>
      <c r="AN618" s="21" t="n">
        <v>0</v>
      </c>
      <c r="AO618" s="21" t="n">
        <v>0</v>
      </c>
      <c r="AP618" s="21" t="n">
        <v>0</v>
      </c>
      <c r="AQ618" s="21" t="n">
        <v>0</v>
      </c>
      <c r="AR618" s="21" t="n">
        <v>0</v>
      </c>
      <c r="AS618" s="21" t="n">
        <v>0</v>
      </c>
      <c r="AT618" s="19" t="n"/>
    </row>
    <row r="619">
      <c r="D619" s="21" t="n">
        <v>0</v>
      </c>
      <c r="E619" s="21" t="n">
        <v>0</v>
      </c>
      <c r="F619" s="21" t="n">
        <v>0</v>
      </c>
      <c r="G619" s="21" t="n">
        <v>0</v>
      </c>
      <c r="H619" s="21" t="n">
        <v>0</v>
      </c>
      <c r="I619" s="21" t="n">
        <v>0</v>
      </c>
      <c r="J619" s="21" t="n">
        <v>0</v>
      </c>
      <c r="K619" s="21" t="n">
        <v>0</v>
      </c>
      <c r="L619" s="21" t="n">
        <v>0</v>
      </c>
      <c r="M619" s="21" t="n">
        <v>0</v>
      </c>
      <c r="N619" s="21" t="n">
        <v>0</v>
      </c>
      <c r="O619" s="21" t="n">
        <v>0</v>
      </c>
      <c r="P619" s="21">
        <f>-$B$18</f>
        <v/>
      </c>
      <c r="Q619" s="21">
        <f>-$B$19</f>
        <v/>
      </c>
      <c r="R619" s="21">
        <f>2*$B$18+$D$590</f>
        <v/>
      </c>
      <c r="S619" s="21">
        <f>0</f>
        <v/>
      </c>
      <c r="T619" s="21">
        <f>-$B$18</f>
        <v/>
      </c>
      <c r="U619" s="21">
        <f>$B$19</f>
        <v/>
      </c>
      <c r="V619" s="21" t="n">
        <v>0</v>
      </c>
      <c r="W619" s="21" t="n">
        <v>0</v>
      </c>
      <c r="X619" s="21" t="n">
        <v>0</v>
      </c>
      <c r="Y619" s="21" t="n">
        <v>0</v>
      </c>
      <c r="Z619" s="21" t="n">
        <v>0</v>
      </c>
      <c r="AA619" s="21" t="n">
        <v>0</v>
      </c>
      <c r="AB619" s="21" t="n">
        <v>0</v>
      </c>
      <c r="AC619" s="21" t="n">
        <v>0</v>
      </c>
      <c r="AD619" s="21" t="n">
        <v>0</v>
      </c>
      <c r="AE619" s="21" t="n">
        <v>0</v>
      </c>
      <c r="AF619" s="21" t="n">
        <v>0</v>
      </c>
      <c r="AG619" s="21" t="n">
        <v>0</v>
      </c>
      <c r="AH619" s="21" t="n">
        <v>0</v>
      </c>
      <c r="AI619" s="21" t="n">
        <v>0</v>
      </c>
      <c r="AJ619" s="21" t="n">
        <v>0</v>
      </c>
      <c r="AK619" s="21" t="n">
        <v>0</v>
      </c>
      <c r="AL619" s="21" t="n">
        <v>0</v>
      </c>
      <c r="AM619" s="21" t="n">
        <v>0</v>
      </c>
      <c r="AN619" s="21" t="n">
        <v>0</v>
      </c>
      <c r="AO619" s="21" t="n">
        <v>0</v>
      </c>
      <c r="AP619" s="21" t="n">
        <v>0</v>
      </c>
      <c r="AQ619" s="21" t="n">
        <v>0</v>
      </c>
      <c r="AR619" s="21" t="n">
        <v>0</v>
      </c>
      <c r="AS619" s="21" t="n">
        <v>0</v>
      </c>
      <c r="AT619" s="19" t="n"/>
    </row>
    <row r="620">
      <c r="D620" s="21" t="n">
        <v>0</v>
      </c>
      <c r="E620" s="21" t="n">
        <v>0</v>
      </c>
      <c r="F620" s="21" t="n">
        <v>0</v>
      </c>
      <c r="G620" s="21" t="n">
        <v>0</v>
      </c>
      <c r="H620" s="21" t="n">
        <v>0</v>
      </c>
      <c r="I620" s="21" t="n">
        <v>0</v>
      </c>
      <c r="J620" s="21" t="n">
        <v>0</v>
      </c>
      <c r="K620" s="21" t="n">
        <v>0</v>
      </c>
      <c r="L620" s="21" t="n">
        <v>0</v>
      </c>
      <c r="M620" s="21" t="n">
        <v>0</v>
      </c>
      <c r="N620" s="21" t="n">
        <v>0</v>
      </c>
      <c r="O620" s="21" t="n">
        <v>0</v>
      </c>
      <c r="P620" s="21">
        <f>$B$19</f>
        <v/>
      </c>
      <c r="Q620" s="21">
        <f>$B$21</f>
        <v/>
      </c>
      <c r="R620" s="21">
        <f>0</f>
        <v/>
      </c>
      <c r="S620" s="21">
        <f>2*$B$20</f>
        <v/>
      </c>
      <c r="T620" s="21">
        <f>-$B$19</f>
        <v/>
      </c>
      <c r="U620" s="21">
        <f>$B$21</f>
        <v/>
      </c>
      <c r="V620" s="21" t="n">
        <v>0</v>
      </c>
      <c r="W620" s="21" t="n">
        <v>0</v>
      </c>
      <c r="X620" s="21" t="n">
        <v>0</v>
      </c>
      <c r="Y620" s="21" t="n">
        <v>0</v>
      </c>
      <c r="Z620" s="21" t="n">
        <v>0</v>
      </c>
      <c r="AA620" s="21" t="n">
        <v>0</v>
      </c>
      <c r="AB620" s="21" t="n">
        <v>0</v>
      </c>
      <c r="AC620" s="21" t="n">
        <v>0</v>
      </c>
      <c r="AD620" s="21" t="n">
        <v>0</v>
      </c>
      <c r="AE620" s="21" t="n">
        <v>0</v>
      </c>
      <c r="AF620" s="21" t="n">
        <v>0</v>
      </c>
      <c r="AG620" s="21" t="n">
        <v>0</v>
      </c>
      <c r="AH620" s="21" t="n">
        <v>0</v>
      </c>
      <c r="AI620" s="21" t="n">
        <v>0</v>
      </c>
      <c r="AJ620" s="21" t="n">
        <v>0</v>
      </c>
      <c r="AK620" s="21" t="n">
        <v>0</v>
      </c>
      <c r="AL620" s="21" t="n">
        <v>0</v>
      </c>
      <c r="AM620" s="21" t="n">
        <v>0</v>
      </c>
      <c r="AN620" s="21" t="n">
        <v>0</v>
      </c>
      <c r="AO620" s="21" t="n">
        <v>0</v>
      </c>
      <c r="AP620" s="21" t="n">
        <v>0</v>
      </c>
      <c r="AQ620" s="21" t="n">
        <v>0</v>
      </c>
      <c r="AR620" s="21" t="n">
        <v>0</v>
      </c>
      <c r="AS620" s="21" t="n">
        <v>0</v>
      </c>
      <c r="AT620" s="19" t="n"/>
    </row>
    <row r="621">
      <c r="D621" s="21" t="n">
        <v>0</v>
      </c>
      <c r="E621" s="21" t="n">
        <v>0</v>
      </c>
      <c r="F621" s="21" t="n">
        <v>0</v>
      </c>
      <c r="G621" s="21" t="n">
        <v>0</v>
      </c>
      <c r="H621" s="21" t="n">
        <v>0</v>
      </c>
      <c r="I621" s="21" t="n">
        <v>0</v>
      </c>
      <c r="J621" s="21" t="n">
        <v>0</v>
      </c>
      <c r="K621" s="21" t="n">
        <v>0</v>
      </c>
      <c r="L621" s="21" t="n">
        <v>0</v>
      </c>
      <c r="M621" s="21" t="n">
        <v>0</v>
      </c>
      <c r="N621" s="21" t="n">
        <v>0</v>
      </c>
      <c r="O621" s="21" t="n">
        <v>0</v>
      </c>
      <c r="P621" s="21" t="n">
        <v>0</v>
      </c>
      <c r="Q621" s="21" t="n">
        <v>0</v>
      </c>
      <c r="R621" s="21">
        <f>-$B$18</f>
        <v/>
      </c>
      <c r="S621" s="21">
        <f>-$B$19</f>
        <v/>
      </c>
      <c r="T621" s="21">
        <f>2*$B$18+$D$591</f>
        <v/>
      </c>
      <c r="U621" s="21">
        <f>0</f>
        <v/>
      </c>
      <c r="V621" s="21">
        <f>-$B$18</f>
        <v/>
      </c>
      <c r="W621" s="21">
        <f>$B$19</f>
        <v/>
      </c>
      <c r="X621" s="21" t="n">
        <v>0</v>
      </c>
      <c r="Y621" s="21" t="n">
        <v>0</v>
      </c>
      <c r="Z621" s="21" t="n">
        <v>0</v>
      </c>
      <c r="AA621" s="21" t="n">
        <v>0</v>
      </c>
      <c r="AB621" s="21" t="n">
        <v>0</v>
      </c>
      <c r="AC621" s="21" t="n">
        <v>0</v>
      </c>
      <c r="AD621" s="21" t="n">
        <v>0</v>
      </c>
      <c r="AE621" s="21" t="n">
        <v>0</v>
      </c>
      <c r="AF621" s="21" t="n">
        <v>0</v>
      </c>
      <c r="AG621" s="21" t="n">
        <v>0</v>
      </c>
      <c r="AH621" s="21" t="n">
        <v>0</v>
      </c>
      <c r="AI621" s="21" t="n">
        <v>0</v>
      </c>
      <c r="AJ621" s="21" t="n">
        <v>0</v>
      </c>
      <c r="AK621" s="21" t="n">
        <v>0</v>
      </c>
      <c r="AL621" s="21" t="n">
        <v>0</v>
      </c>
      <c r="AM621" s="21" t="n">
        <v>0</v>
      </c>
      <c r="AN621" s="21" t="n">
        <v>0</v>
      </c>
      <c r="AO621" s="21" t="n">
        <v>0</v>
      </c>
      <c r="AP621" s="21" t="n">
        <v>0</v>
      </c>
      <c r="AQ621" s="21" t="n">
        <v>0</v>
      </c>
      <c r="AR621" s="21" t="n">
        <v>0</v>
      </c>
      <c r="AS621" s="21" t="n">
        <v>0</v>
      </c>
      <c r="AT621" s="19" t="n"/>
    </row>
    <row r="622">
      <c r="D622" s="21" t="n">
        <v>0</v>
      </c>
      <c r="E622" s="21" t="n">
        <v>0</v>
      </c>
      <c r="F622" s="21" t="n">
        <v>0</v>
      </c>
      <c r="G622" s="21" t="n">
        <v>0</v>
      </c>
      <c r="H622" s="21" t="n">
        <v>0</v>
      </c>
      <c r="I622" s="21" t="n">
        <v>0</v>
      </c>
      <c r="J622" s="21" t="n">
        <v>0</v>
      </c>
      <c r="K622" s="21" t="n">
        <v>0</v>
      </c>
      <c r="L622" s="21" t="n">
        <v>0</v>
      </c>
      <c r="M622" s="21" t="n">
        <v>0</v>
      </c>
      <c r="N622" s="21" t="n">
        <v>0</v>
      </c>
      <c r="O622" s="21" t="n">
        <v>0</v>
      </c>
      <c r="P622" s="21" t="n">
        <v>0</v>
      </c>
      <c r="Q622" s="21" t="n">
        <v>0</v>
      </c>
      <c r="R622" s="21">
        <f>$B$19</f>
        <v/>
      </c>
      <c r="S622" s="21">
        <f>$B$21</f>
        <v/>
      </c>
      <c r="T622" s="21">
        <f>0</f>
        <v/>
      </c>
      <c r="U622" s="21">
        <f>2*$B$20</f>
        <v/>
      </c>
      <c r="V622" s="21">
        <f>-$B$19</f>
        <v/>
      </c>
      <c r="W622" s="21">
        <f>$B$21</f>
        <v/>
      </c>
      <c r="X622" s="21" t="n">
        <v>0</v>
      </c>
      <c r="Y622" s="21" t="n">
        <v>0</v>
      </c>
      <c r="Z622" s="21" t="n">
        <v>0</v>
      </c>
      <c r="AA622" s="21" t="n">
        <v>0</v>
      </c>
      <c r="AB622" s="21" t="n">
        <v>0</v>
      </c>
      <c r="AC622" s="21" t="n">
        <v>0</v>
      </c>
      <c r="AD622" s="21" t="n">
        <v>0</v>
      </c>
      <c r="AE622" s="21" t="n">
        <v>0</v>
      </c>
      <c r="AF622" s="21" t="n">
        <v>0</v>
      </c>
      <c r="AG622" s="21" t="n">
        <v>0</v>
      </c>
      <c r="AH622" s="21" t="n">
        <v>0</v>
      </c>
      <c r="AI622" s="21" t="n">
        <v>0</v>
      </c>
      <c r="AJ622" s="21" t="n">
        <v>0</v>
      </c>
      <c r="AK622" s="21" t="n">
        <v>0</v>
      </c>
      <c r="AL622" s="21" t="n">
        <v>0</v>
      </c>
      <c r="AM622" s="21" t="n">
        <v>0</v>
      </c>
      <c r="AN622" s="21" t="n">
        <v>0</v>
      </c>
      <c r="AO622" s="21" t="n">
        <v>0</v>
      </c>
      <c r="AP622" s="21" t="n">
        <v>0</v>
      </c>
      <c r="AQ622" s="21" t="n">
        <v>0</v>
      </c>
      <c r="AR622" s="21" t="n">
        <v>0</v>
      </c>
      <c r="AS622" s="21" t="n">
        <v>0</v>
      </c>
      <c r="AT622" s="19" t="n"/>
    </row>
    <row r="623">
      <c r="D623" s="21" t="n">
        <v>0</v>
      </c>
      <c r="E623" s="21" t="n">
        <v>0</v>
      </c>
      <c r="F623" s="21" t="n">
        <v>0</v>
      </c>
      <c r="G623" s="21" t="n">
        <v>0</v>
      </c>
      <c r="H623" s="21" t="n">
        <v>0</v>
      </c>
      <c r="I623" s="21" t="n">
        <v>0</v>
      </c>
      <c r="J623" s="21" t="n">
        <v>0</v>
      </c>
      <c r="K623" s="21" t="n">
        <v>0</v>
      </c>
      <c r="L623" s="21" t="n">
        <v>0</v>
      </c>
      <c r="M623" s="21" t="n">
        <v>0</v>
      </c>
      <c r="N623" s="21" t="n">
        <v>0</v>
      </c>
      <c r="O623" s="21" t="n">
        <v>0</v>
      </c>
      <c r="P623" s="21" t="n">
        <v>0</v>
      </c>
      <c r="Q623" s="21" t="n">
        <v>0</v>
      </c>
      <c r="R623" s="21" t="n">
        <v>0</v>
      </c>
      <c r="S623" s="21" t="n">
        <v>0</v>
      </c>
      <c r="T623" s="21">
        <f>-$B$18</f>
        <v/>
      </c>
      <c r="U623" s="21">
        <f>-$B$19</f>
        <v/>
      </c>
      <c r="V623" s="21">
        <f>2*$B$18+$D$592</f>
        <v/>
      </c>
      <c r="W623" s="21">
        <f>0</f>
        <v/>
      </c>
      <c r="X623" s="21">
        <f>-$B$18</f>
        <v/>
      </c>
      <c r="Y623" s="21">
        <f>$B$19</f>
        <v/>
      </c>
      <c r="Z623" s="21" t="n">
        <v>0</v>
      </c>
      <c r="AA623" s="21" t="n">
        <v>0</v>
      </c>
      <c r="AB623" s="21" t="n">
        <v>0</v>
      </c>
      <c r="AC623" s="21" t="n">
        <v>0</v>
      </c>
      <c r="AD623" s="21" t="n">
        <v>0</v>
      </c>
      <c r="AE623" s="21" t="n">
        <v>0</v>
      </c>
      <c r="AF623" s="21" t="n">
        <v>0</v>
      </c>
      <c r="AG623" s="21" t="n">
        <v>0</v>
      </c>
      <c r="AH623" s="21" t="n">
        <v>0</v>
      </c>
      <c r="AI623" s="21" t="n">
        <v>0</v>
      </c>
      <c r="AJ623" s="21" t="n">
        <v>0</v>
      </c>
      <c r="AK623" s="21" t="n">
        <v>0</v>
      </c>
      <c r="AL623" s="21" t="n">
        <v>0</v>
      </c>
      <c r="AM623" s="21" t="n">
        <v>0</v>
      </c>
      <c r="AN623" s="21" t="n">
        <v>0</v>
      </c>
      <c r="AO623" s="21" t="n">
        <v>0</v>
      </c>
      <c r="AP623" s="21" t="n">
        <v>0</v>
      </c>
      <c r="AQ623" s="21" t="n">
        <v>0</v>
      </c>
      <c r="AR623" s="21" t="n">
        <v>0</v>
      </c>
      <c r="AS623" s="21" t="n">
        <v>0</v>
      </c>
      <c r="AT623" s="19" t="n"/>
    </row>
    <row r="624">
      <c r="D624" s="21" t="n">
        <v>0</v>
      </c>
      <c r="E624" s="21" t="n">
        <v>0</v>
      </c>
      <c r="F624" s="21" t="n">
        <v>0</v>
      </c>
      <c r="G624" s="21" t="n">
        <v>0</v>
      </c>
      <c r="H624" s="21" t="n">
        <v>0</v>
      </c>
      <c r="I624" s="21" t="n">
        <v>0</v>
      </c>
      <c r="J624" s="21" t="n">
        <v>0</v>
      </c>
      <c r="K624" s="21" t="n">
        <v>0</v>
      </c>
      <c r="L624" s="21" t="n">
        <v>0</v>
      </c>
      <c r="M624" s="21" t="n">
        <v>0</v>
      </c>
      <c r="N624" s="21" t="n">
        <v>0</v>
      </c>
      <c r="O624" s="21" t="n">
        <v>0</v>
      </c>
      <c r="P624" s="21" t="n">
        <v>0</v>
      </c>
      <c r="Q624" s="21" t="n">
        <v>0</v>
      </c>
      <c r="R624" s="21" t="n">
        <v>0</v>
      </c>
      <c r="S624" s="21" t="n">
        <v>0</v>
      </c>
      <c r="T624" s="21">
        <f>$B$19</f>
        <v/>
      </c>
      <c r="U624" s="21">
        <f>$B$21</f>
        <v/>
      </c>
      <c r="V624" s="21">
        <f>0</f>
        <v/>
      </c>
      <c r="W624" s="21">
        <f>2*$B$20</f>
        <v/>
      </c>
      <c r="X624" s="21">
        <f>-$B$19</f>
        <v/>
      </c>
      <c r="Y624" s="21">
        <f>$B$21</f>
        <v/>
      </c>
      <c r="Z624" s="21" t="n">
        <v>0</v>
      </c>
      <c r="AA624" s="21" t="n">
        <v>0</v>
      </c>
      <c r="AB624" s="21" t="n">
        <v>0</v>
      </c>
      <c r="AC624" s="21" t="n">
        <v>0</v>
      </c>
      <c r="AD624" s="21" t="n">
        <v>0</v>
      </c>
      <c r="AE624" s="21" t="n">
        <v>0</v>
      </c>
      <c r="AF624" s="21" t="n">
        <v>0</v>
      </c>
      <c r="AG624" s="21" t="n">
        <v>0</v>
      </c>
      <c r="AH624" s="21" t="n">
        <v>0</v>
      </c>
      <c r="AI624" s="21" t="n">
        <v>0</v>
      </c>
      <c r="AJ624" s="21" t="n">
        <v>0</v>
      </c>
      <c r="AK624" s="21" t="n">
        <v>0</v>
      </c>
      <c r="AL624" s="21" t="n">
        <v>0</v>
      </c>
      <c r="AM624" s="21" t="n">
        <v>0</v>
      </c>
      <c r="AN624" s="21" t="n">
        <v>0</v>
      </c>
      <c r="AO624" s="21" t="n">
        <v>0</v>
      </c>
      <c r="AP624" s="21" t="n">
        <v>0</v>
      </c>
      <c r="AQ624" s="21" t="n">
        <v>0</v>
      </c>
      <c r="AR624" s="21" t="n">
        <v>0</v>
      </c>
      <c r="AS624" s="21" t="n">
        <v>0</v>
      </c>
      <c r="AT624" s="19" t="n"/>
    </row>
    <row r="625">
      <c r="D625" s="21" t="n">
        <v>0</v>
      </c>
      <c r="E625" s="21" t="n">
        <v>0</v>
      </c>
      <c r="F625" s="21" t="n">
        <v>0</v>
      </c>
      <c r="G625" s="21" t="n">
        <v>0</v>
      </c>
      <c r="H625" s="21" t="n">
        <v>0</v>
      </c>
      <c r="I625" s="21" t="n">
        <v>0</v>
      </c>
      <c r="J625" s="21" t="n">
        <v>0</v>
      </c>
      <c r="K625" s="21" t="n">
        <v>0</v>
      </c>
      <c r="L625" s="21" t="n">
        <v>0</v>
      </c>
      <c r="M625" s="21" t="n">
        <v>0</v>
      </c>
      <c r="N625" s="21" t="n">
        <v>0</v>
      </c>
      <c r="O625" s="21" t="n">
        <v>0</v>
      </c>
      <c r="P625" s="21" t="n">
        <v>0</v>
      </c>
      <c r="Q625" s="21" t="n">
        <v>0</v>
      </c>
      <c r="R625" s="21" t="n">
        <v>0</v>
      </c>
      <c r="S625" s="21" t="n">
        <v>0</v>
      </c>
      <c r="T625" s="21" t="n">
        <v>0</v>
      </c>
      <c r="U625" s="21" t="n">
        <v>0</v>
      </c>
      <c r="V625" s="21">
        <f>-$B$18</f>
        <v/>
      </c>
      <c r="W625" s="21">
        <f>-$B$19</f>
        <v/>
      </c>
      <c r="X625" s="21">
        <f>2*$B$18+$D$593</f>
        <v/>
      </c>
      <c r="Y625" s="21">
        <f>0</f>
        <v/>
      </c>
      <c r="Z625" s="21">
        <f>-$B$18</f>
        <v/>
      </c>
      <c r="AA625" s="21">
        <f>$B$19</f>
        <v/>
      </c>
      <c r="AB625" s="21" t="n">
        <v>0</v>
      </c>
      <c r="AC625" s="21" t="n">
        <v>0</v>
      </c>
      <c r="AD625" s="21" t="n">
        <v>0</v>
      </c>
      <c r="AE625" s="21" t="n">
        <v>0</v>
      </c>
      <c r="AF625" s="21" t="n">
        <v>0</v>
      </c>
      <c r="AG625" s="21" t="n">
        <v>0</v>
      </c>
      <c r="AH625" s="21" t="n">
        <v>0</v>
      </c>
      <c r="AI625" s="21" t="n">
        <v>0</v>
      </c>
      <c r="AJ625" s="21" t="n">
        <v>0</v>
      </c>
      <c r="AK625" s="21" t="n">
        <v>0</v>
      </c>
      <c r="AL625" s="21" t="n">
        <v>0</v>
      </c>
      <c r="AM625" s="21" t="n">
        <v>0</v>
      </c>
      <c r="AN625" s="21" t="n">
        <v>0</v>
      </c>
      <c r="AO625" s="21" t="n">
        <v>0</v>
      </c>
      <c r="AP625" s="21" t="n">
        <v>0</v>
      </c>
      <c r="AQ625" s="21" t="n">
        <v>0</v>
      </c>
      <c r="AR625" s="21" t="n">
        <v>0</v>
      </c>
      <c r="AS625" s="21" t="n">
        <v>0</v>
      </c>
      <c r="AT625" s="19" t="n"/>
    </row>
    <row r="626">
      <c r="D626" s="21" t="n">
        <v>0</v>
      </c>
      <c r="E626" s="21" t="n">
        <v>0</v>
      </c>
      <c r="F626" s="21" t="n">
        <v>0</v>
      </c>
      <c r="G626" s="21" t="n">
        <v>0</v>
      </c>
      <c r="H626" s="21" t="n">
        <v>0</v>
      </c>
      <c r="I626" s="21" t="n">
        <v>0</v>
      </c>
      <c r="J626" s="21" t="n">
        <v>0</v>
      </c>
      <c r="K626" s="21" t="n">
        <v>0</v>
      </c>
      <c r="L626" s="21" t="n">
        <v>0</v>
      </c>
      <c r="M626" s="21" t="n">
        <v>0</v>
      </c>
      <c r="N626" s="21" t="n">
        <v>0</v>
      </c>
      <c r="O626" s="21" t="n">
        <v>0</v>
      </c>
      <c r="P626" s="21" t="n">
        <v>0</v>
      </c>
      <c r="Q626" s="21" t="n">
        <v>0</v>
      </c>
      <c r="R626" s="21" t="n">
        <v>0</v>
      </c>
      <c r="S626" s="21" t="n">
        <v>0</v>
      </c>
      <c r="T626" s="21" t="n">
        <v>0</v>
      </c>
      <c r="U626" s="21" t="n">
        <v>0</v>
      </c>
      <c r="V626" s="21">
        <f>$B$19</f>
        <v/>
      </c>
      <c r="W626" s="21">
        <f>$B$21</f>
        <v/>
      </c>
      <c r="X626" s="21">
        <f>0</f>
        <v/>
      </c>
      <c r="Y626" s="21">
        <f>2*$B$20</f>
        <v/>
      </c>
      <c r="Z626" s="21">
        <f>-$B$19</f>
        <v/>
      </c>
      <c r="AA626" s="21">
        <f>$B$21</f>
        <v/>
      </c>
      <c r="AB626" s="21" t="n">
        <v>0</v>
      </c>
      <c r="AC626" s="21" t="n">
        <v>0</v>
      </c>
      <c r="AD626" s="21" t="n">
        <v>0</v>
      </c>
      <c r="AE626" s="21" t="n">
        <v>0</v>
      </c>
      <c r="AF626" s="21" t="n">
        <v>0</v>
      </c>
      <c r="AG626" s="21" t="n">
        <v>0</v>
      </c>
      <c r="AH626" s="21" t="n">
        <v>0</v>
      </c>
      <c r="AI626" s="21" t="n">
        <v>0</v>
      </c>
      <c r="AJ626" s="21" t="n">
        <v>0</v>
      </c>
      <c r="AK626" s="21" t="n">
        <v>0</v>
      </c>
      <c r="AL626" s="21" t="n">
        <v>0</v>
      </c>
      <c r="AM626" s="21" t="n">
        <v>0</v>
      </c>
      <c r="AN626" s="21" t="n">
        <v>0</v>
      </c>
      <c r="AO626" s="21" t="n">
        <v>0</v>
      </c>
      <c r="AP626" s="21" t="n">
        <v>0</v>
      </c>
      <c r="AQ626" s="21" t="n">
        <v>0</v>
      </c>
      <c r="AR626" s="21" t="n">
        <v>0</v>
      </c>
      <c r="AS626" s="21" t="n">
        <v>0</v>
      </c>
      <c r="AT626" s="19" t="n"/>
    </row>
    <row r="627">
      <c r="D627" s="21" t="n">
        <v>0</v>
      </c>
      <c r="E627" s="21" t="n">
        <v>0</v>
      </c>
      <c r="F627" s="21" t="n">
        <v>0</v>
      </c>
      <c r="G627" s="21" t="n">
        <v>0</v>
      </c>
      <c r="H627" s="21" t="n">
        <v>0</v>
      </c>
      <c r="I627" s="21" t="n">
        <v>0</v>
      </c>
      <c r="J627" s="21" t="n">
        <v>0</v>
      </c>
      <c r="K627" s="21" t="n">
        <v>0</v>
      </c>
      <c r="L627" s="21" t="n">
        <v>0</v>
      </c>
      <c r="M627" s="21" t="n">
        <v>0</v>
      </c>
      <c r="N627" s="21" t="n">
        <v>0</v>
      </c>
      <c r="O627" s="21" t="n">
        <v>0</v>
      </c>
      <c r="P627" s="21" t="n">
        <v>0</v>
      </c>
      <c r="Q627" s="21" t="n">
        <v>0</v>
      </c>
      <c r="R627" s="21" t="n">
        <v>0</v>
      </c>
      <c r="S627" s="21" t="n">
        <v>0</v>
      </c>
      <c r="T627" s="21" t="n">
        <v>0</v>
      </c>
      <c r="U627" s="21" t="n">
        <v>0</v>
      </c>
      <c r="V627" s="21" t="n">
        <v>0</v>
      </c>
      <c r="W627" s="21" t="n">
        <v>0</v>
      </c>
      <c r="X627" s="21">
        <f>-$B$18</f>
        <v/>
      </c>
      <c r="Y627" s="21">
        <f>-$B$19</f>
        <v/>
      </c>
      <c r="Z627" s="21">
        <f>2*$B$18+$D$594</f>
        <v/>
      </c>
      <c r="AA627" s="21">
        <f>0</f>
        <v/>
      </c>
      <c r="AB627" s="21">
        <f>-$B$18</f>
        <v/>
      </c>
      <c r="AC627" s="21">
        <f>$B$19</f>
        <v/>
      </c>
      <c r="AD627" s="21" t="n">
        <v>0</v>
      </c>
      <c r="AE627" s="21" t="n">
        <v>0</v>
      </c>
      <c r="AF627" s="21" t="n">
        <v>0</v>
      </c>
      <c r="AG627" s="21" t="n">
        <v>0</v>
      </c>
      <c r="AH627" s="21" t="n">
        <v>0</v>
      </c>
      <c r="AI627" s="21" t="n">
        <v>0</v>
      </c>
      <c r="AJ627" s="21" t="n">
        <v>0</v>
      </c>
      <c r="AK627" s="21" t="n">
        <v>0</v>
      </c>
      <c r="AL627" s="21" t="n">
        <v>0</v>
      </c>
      <c r="AM627" s="21" t="n">
        <v>0</v>
      </c>
      <c r="AN627" s="21" t="n">
        <v>0</v>
      </c>
      <c r="AO627" s="21" t="n">
        <v>0</v>
      </c>
      <c r="AP627" s="21" t="n">
        <v>0</v>
      </c>
      <c r="AQ627" s="21" t="n">
        <v>0</v>
      </c>
      <c r="AR627" s="21" t="n">
        <v>0</v>
      </c>
      <c r="AS627" s="21" t="n">
        <v>0</v>
      </c>
      <c r="AT627" s="19" t="n"/>
    </row>
    <row r="628">
      <c r="D628" s="21" t="n">
        <v>0</v>
      </c>
      <c r="E628" s="21" t="n">
        <v>0</v>
      </c>
      <c r="F628" s="21" t="n">
        <v>0</v>
      </c>
      <c r="G628" s="21" t="n">
        <v>0</v>
      </c>
      <c r="H628" s="21" t="n">
        <v>0</v>
      </c>
      <c r="I628" s="21" t="n">
        <v>0</v>
      </c>
      <c r="J628" s="21" t="n">
        <v>0</v>
      </c>
      <c r="K628" s="21" t="n">
        <v>0</v>
      </c>
      <c r="L628" s="21" t="n">
        <v>0</v>
      </c>
      <c r="M628" s="21" t="n">
        <v>0</v>
      </c>
      <c r="N628" s="21" t="n">
        <v>0</v>
      </c>
      <c r="O628" s="21" t="n">
        <v>0</v>
      </c>
      <c r="P628" s="21" t="n">
        <v>0</v>
      </c>
      <c r="Q628" s="21" t="n">
        <v>0</v>
      </c>
      <c r="R628" s="21" t="n">
        <v>0</v>
      </c>
      <c r="S628" s="21" t="n">
        <v>0</v>
      </c>
      <c r="T628" s="21" t="n">
        <v>0</v>
      </c>
      <c r="U628" s="21" t="n">
        <v>0</v>
      </c>
      <c r="V628" s="21" t="n">
        <v>0</v>
      </c>
      <c r="W628" s="21" t="n">
        <v>0</v>
      </c>
      <c r="X628" s="21">
        <f>$B$19</f>
        <v/>
      </c>
      <c r="Y628" s="21">
        <f>$B$21</f>
        <v/>
      </c>
      <c r="Z628" s="21">
        <f>0</f>
        <v/>
      </c>
      <c r="AA628" s="21">
        <f>2*$B$20</f>
        <v/>
      </c>
      <c r="AB628" s="21">
        <f>-$B$19</f>
        <v/>
      </c>
      <c r="AC628" s="21">
        <f>$B$21</f>
        <v/>
      </c>
      <c r="AD628" s="21" t="n">
        <v>0</v>
      </c>
      <c r="AE628" s="21" t="n">
        <v>0</v>
      </c>
      <c r="AF628" s="21" t="n">
        <v>0</v>
      </c>
      <c r="AG628" s="21" t="n">
        <v>0</v>
      </c>
      <c r="AH628" s="21" t="n">
        <v>0</v>
      </c>
      <c r="AI628" s="21" t="n">
        <v>0</v>
      </c>
      <c r="AJ628" s="21" t="n">
        <v>0</v>
      </c>
      <c r="AK628" s="21" t="n">
        <v>0</v>
      </c>
      <c r="AL628" s="21" t="n">
        <v>0</v>
      </c>
      <c r="AM628" s="21" t="n">
        <v>0</v>
      </c>
      <c r="AN628" s="21" t="n">
        <v>0</v>
      </c>
      <c r="AO628" s="21" t="n">
        <v>0</v>
      </c>
      <c r="AP628" s="21" t="n">
        <v>0</v>
      </c>
      <c r="AQ628" s="21" t="n">
        <v>0</v>
      </c>
      <c r="AR628" s="21" t="n">
        <v>0</v>
      </c>
      <c r="AS628" s="21" t="n">
        <v>0</v>
      </c>
      <c r="AT628" s="19" t="n"/>
    </row>
    <row r="629">
      <c r="D629" s="21" t="n">
        <v>0</v>
      </c>
      <c r="E629" s="21" t="n">
        <v>0</v>
      </c>
      <c r="F629" s="21" t="n">
        <v>0</v>
      </c>
      <c r="G629" s="21" t="n">
        <v>0</v>
      </c>
      <c r="H629" s="21" t="n">
        <v>0</v>
      </c>
      <c r="I629" s="21" t="n">
        <v>0</v>
      </c>
      <c r="J629" s="21" t="n">
        <v>0</v>
      </c>
      <c r="K629" s="21" t="n">
        <v>0</v>
      </c>
      <c r="L629" s="21" t="n">
        <v>0</v>
      </c>
      <c r="M629" s="21" t="n">
        <v>0</v>
      </c>
      <c r="N629" s="21" t="n">
        <v>0</v>
      </c>
      <c r="O629" s="21" t="n">
        <v>0</v>
      </c>
      <c r="P629" s="21" t="n">
        <v>0</v>
      </c>
      <c r="Q629" s="21" t="n">
        <v>0</v>
      </c>
      <c r="R629" s="21" t="n">
        <v>0</v>
      </c>
      <c r="S629" s="21" t="n">
        <v>0</v>
      </c>
      <c r="T629" s="21" t="n">
        <v>0</v>
      </c>
      <c r="U629" s="21" t="n">
        <v>0</v>
      </c>
      <c r="V629" s="21" t="n">
        <v>0</v>
      </c>
      <c r="W629" s="21" t="n">
        <v>0</v>
      </c>
      <c r="X629" s="21" t="n">
        <v>0</v>
      </c>
      <c r="Y629" s="21" t="n">
        <v>0</v>
      </c>
      <c r="Z629" s="21">
        <f>-$B$18</f>
        <v/>
      </c>
      <c r="AA629" s="21">
        <f>-$B$19</f>
        <v/>
      </c>
      <c r="AB629" s="21">
        <f>2*$B$18+$D$595</f>
        <v/>
      </c>
      <c r="AC629" s="21">
        <f>0</f>
        <v/>
      </c>
      <c r="AD629" s="21">
        <f>-$B$18</f>
        <v/>
      </c>
      <c r="AE629" s="21">
        <f>$B$19</f>
        <v/>
      </c>
      <c r="AF629" s="21" t="n">
        <v>0</v>
      </c>
      <c r="AG629" s="21" t="n">
        <v>0</v>
      </c>
      <c r="AH629" s="21" t="n">
        <v>0</v>
      </c>
      <c r="AI629" s="21" t="n">
        <v>0</v>
      </c>
      <c r="AJ629" s="21" t="n">
        <v>0</v>
      </c>
      <c r="AK629" s="21" t="n">
        <v>0</v>
      </c>
      <c r="AL629" s="21" t="n">
        <v>0</v>
      </c>
      <c r="AM629" s="21" t="n">
        <v>0</v>
      </c>
      <c r="AN629" s="21" t="n">
        <v>0</v>
      </c>
      <c r="AO629" s="21" t="n">
        <v>0</v>
      </c>
      <c r="AP629" s="21" t="n">
        <v>0</v>
      </c>
      <c r="AQ629" s="21" t="n">
        <v>0</v>
      </c>
      <c r="AR629" s="21" t="n">
        <v>0</v>
      </c>
      <c r="AS629" s="21" t="n">
        <v>0</v>
      </c>
      <c r="AT629" s="19" t="n"/>
    </row>
    <row r="630">
      <c r="D630" s="21" t="n">
        <v>0</v>
      </c>
      <c r="E630" s="21" t="n">
        <v>0</v>
      </c>
      <c r="F630" s="21" t="n">
        <v>0</v>
      </c>
      <c r="G630" s="21" t="n">
        <v>0</v>
      </c>
      <c r="H630" s="21" t="n">
        <v>0</v>
      </c>
      <c r="I630" s="21" t="n">
        <v>0</v>
      </c>
      <c r="J630" s="21" t="n">
        <v>0</v>
      </c>
      <c r="K630" s="21" t="n">
        <v>0</v>
      </c>
      <c r="L630" s="21" t="n">
        <v>0</v>
      </c>
      <c r="M630" s="21" t="n">
        <v>0</v>
      </c>
      <c r="N630" s="21" t="n">
        <v>0</v>
      </c>
      <c r="O630" s="21" t="n">
        <v>0</v>
      </c>
      <c r="P630" s="21" t="n">
        <v>0</v>
      </c>
      <c r="Q630" s="21" t="n">
        <v>0</v>
      </c>
      <c r="R630" s="21" t="n">
        <v>0</v>
      </c>
      <c r="S630" s="21" t="n">
        <v>0</v>
      </c>
      <c r="T630" s="21" t="n">
        <v>0</v>
      </c>
      <c r="U630" s="21" t="n">
        <v>0</v>
      </c>
      <c r="V630" s="21" t="n">
        <v>0</v>
      </c>
      <c r="W630" s="21" t="n">
        <v>0</v>
      </c>
      <c r="X630" s="21" t="n">
        <v>0</v>
      </c>
      <c r="Y630" s="21" t="n">
        <v>0</v>
      </c>
      <c r="Z630" s="21">
        <f>$B$19</f>
        <v/>
      </c>
      <c r="AA630" s="21">
        <f>$B$21</f>
        <v/>
      </c>
      <c r="AB630" s="21">
        <f>0</f>
        <v/>
      </c>
      <c r="AC630" s="21">
        <f>2*$B$20</f>
        <v/>
      </c>
      <c r="AD630" s="21">
        <f>-$B$19</f>
        <v/>
      </c>
      <c r="AE630" s="21">
        <f>$B$21</f>
        <v/>
      </c>
      <c r="AF630" s="21" t="n">
        <v>0</v>
      </c>
      <c r="AG630" s="21" t="n">
        <v>0</v>
      </c>
      <c r="AH630" s="21" t="n">
        <v>0</v>
      </c>
      <c r="AI630" s="21" t="n">
        <v>0</v>
      </c>
      <c r="AJ630" s="21" t="n">
        <v>0</v>
      </c>
      <c r="AK630" s="21" t="n">
        <v>0</v>
      </c>
      <c r="AL630" s="21" t="n">
        <v>0</v>
      </c>
      <c r="AM630" s="21" t="n">
        <v>0</v>
      </c>
      <c r="AN630" s="21" t="n">
        <v>0</v>
      </c>
      <c r="AO630" s="21" t="n">
        <v>0</v>
      </c>
      <c r="AP630" s="21" t="n">
        <v>0</v>
      </c>
      <c r="AQ630" s="21" t="n">
        <v>0</v>
      </c>
      <c r="AR630" s="21" t="n">
        <v>0</v>
      </c>
      <c r="AS630" s="21" t="n">
        <v>0</v>
      </c>
      <c r="AT630" s="19" t="n"/>
    </row>
    <row r="631">
      <c r="D631" s="21" t="n">
        <v>0</v>
      </c>
      <c r="E631" s="21" t="n">
        <v>0</v>
      </c>
      <c r="F631" s="21" t="n">
        <v>0</v>
      </c>
      <c r="G631" s="21" t="n">
        <v>0</v>
      </c>
      <c r="H631" s="21" t="n">
        <v>0</v>
      </c>
      <c r="I631" s="21" t="n">
        <v>0</v>
      </c>
      <c r="J631" s="21" t="n">
        <v>0</v>
      </c>
      <c r="K631" s="21" t="n">
        <v>0</v>
      </c>
      <c r="L631" s="21" t="n">
        <v>0</v>
      </c>
      <c r="M631" s="21" t="n">
        <v>0</v>
      </c>
      <c r="N631" s="21" t="n">
        <v>0</v>
      </c>
      <c r="O631" s="21" t="n">
        <v>0</v>
      </c>
      <c r="P631" s="21" t="n">
        <v>0</v>
      </c>
      <c r="Q631" s="21" t="n">
        <v>0</v>
      </c>
      <c r="R631" s="21" t="n">
        <v>0</v>
      </c>
      <c r="S631" s="21" t="n">
        <v>0</v>
      </c>
      <c r="T631" s="21" t="n">
        <v>0</v>
      </c>
      <c r="U631" s="21" t="n">
        <v>0</v>
      </c>
      <c r="V631" s="21" t="n">
        <v>0</v>
      </c>
      <c r="W631" s="21" t="n">
        <v>0</v>
      </c>
      <c r="X631" s="21" t="n">
        <v>0</v>
      </c>
      <c r="Y631" s="21" t="n">
        <v>0</v>
      </c>
      <c r="Z631" s="21" t="n">
        <v>0</v>
      </c>
      <c r="AA631" s="21" t="n">
        <v>0</v>
      </c>
      <c r="AB631" s="21">
        <f>-$B$18</f>
        <v/>
      </c>
      <c r="AC631" s="21">
        <f>-$B$19</f>
        <v/>
      </c>
      <c r="AD631" s="21">
        <f>2*$B$18+$D$596</f>
        <v/>
      </c>
      <c r="AE631" s="21">
        <f>0</f>
        <v/>
      </c>
      <c r="AF631" s="21">
        <f>-$B$18</f>
        <v/>
      </c>
      <c r="AG631" s="21">
        <f>$B$19</f>
        <v/>
      </c>
      <c r="AH631" s="21" t="n">
        <v>0</v>
      </c>
      <c r="AI631" s="21" t="n">
        <v>0</v>
      </c>
      <c r="AJ631" s="21" t="n">
        <v>0</v>
      </c>
      <c r="AK631" s="21" t="n">
        <v>0</v>
      </c>
      <c r="AL631" s="21" t="n">
        <v>0</v>
      </c>
      <c r="AM631" s="21" t="n">
        <v>0</v>
      </c>
      <c r="AN631" s="21" t="n">
        <v>0</v>
      </c>
      <c r="AO631" s="21" t="n">
        <v>0</v>
      </c>
      <c r="AP631" s="21" t="n">
        <v>0</v>
      </c>
      <c r="AQ631" s="21" t="n">
        <v>0</v>
      </c>
      <c r="AR631" s="21" t="n">
        <v>0</v>
      </c>
      <c r="AS631" s="21" t="n">
        <v>0</v>
      </c>
      <c r="AT631" s="19" t="n"/>
    </row>
    <row r="632">
      <c r="D632" s="21" t="n">
        <v>0</v>
      </c>
      <c r="E632" s="21" t="n">
        <v>0</v>
      </c>
      <c r="F632" s="21" t="n">
        <v>0</v>
      </c>
      <c r="G632" s="21" t="n">
        <v>0</v>
      </c>
      <c r="H632" s="21" t="n">
        <v>0</v>
      </c>
      <c r="I632" s="21" t="n">
        <v>0</v>
      </c>
      <c r="J632" s="21" t="n">
        <v>0</v>
      </c>
      <c r="K632" s="21" t="n">
        <v>0</v>
      </c>
      <c r="L632" s="21" t="n">
        <v>0</v>
      </c>
      <c r="M632" s="21" t="n">
        <v>0</v>
      </c>
      <c r="N632" s="21" t="n">
        <v>0</v>
      </c>
      <c r="O632" s="21" t="n">
        <v>0</v>
      </c>
      <c r="P632" s="21" t="n">
        <v>0</v>
      </c>
      <c r="Q632" s="21" t="n">
        <v>0</v>
      </c>
      <c r="R632" s="21" t="n">
        <v>0</v>
      </c>
      <c r="S632" s="21" t="n">
        <v>0</v>
      </c>
      <c r="T632" s="21" t="n">
        <v>0</v>
      </c>
      <c r="U632" s="21" t="n">
        <v>0</v>
      </c>
      <c r="V632" s="21" t="n">
        <v>0</v>
      </c>
      <c r="W632" s="21" t="n">
        <v>0</v>
      </c>
      <c r="X632" s="21" t="n">
        <v>0</v>
      </c>
      <c r="Y632" s="21" t="n">
        <v>0</v>
      </c>
      <c r="Z632" s="21" t="n">
        <v>0</v>
      </c>
      <c r="AA632" s="21" t="n">
        <v>0</v>
      </c>
      <c r="AB632" s="21">
        <f>$B$19</f>
        <v/>
      </c>
      <c r="AC632" s="21">
        <f>$B$21</f>
        <v/>
      </c>
      <c r="AD632" s="21">
        <f>0</f>
        <v/>
      </c>
      <c r="AE632" s="21">
        <f>2*$B$20</f>
        <v/>
      </c>
      <c r="AF632" s="21">
        <f>-$B$19</f>
        <v/>
      </c>
      <c r="AG632" s="21">
        <f>$B$21</f>
        <v/>
      </c>
      <c r="AH632" s="21" t="n">
        <v>0</v>
      </c>
      <c r="AI632" s="21" t="n">
        <v>0</v>
      </c>
      <c r="AJ632" s="21" t="n">
        <v>0</v>
      </c>
      <c r="AK632" s="21" t="n">
        <v>0</v>
      </c>
      <c r="AL632" s="21" t="n">
        <v>0</v>
      </c>
      <c r="AM632" s="21" t="n">
        <v>0</v>
      </c>
      <c r="AN632" s="21" t="n">
        <v>0</v>
      </c>
      <c r="AO632" s="21" t="n">
        <v>0</v>
      </c>
      <c r="AP632" s="21" t="n">
        <v>0</v>
      </c>
      <c r="AQ632" s="21" t="n">
        <v>0</v>
      </c>
      <c r="AR632" s="21" t="n">
        <v>0</v>
      </c>
      <c r="AS632" s="21" t="n">
        <v>0</v>
      </c>
      <c r="AT632" s="19" t="n"/>
    </row>
    <row r="633">
      <c r="D633" s="21" t="n">
        <v>0</v>
      </c>
      <c r="E633" s="21" t="n">
        <v>0</v>
      </c>
      <c r="F633" s="21" t="n">
        <v>0</v>
      </c>
      <c r="G633" s="21" t="n">
        <v>0</v>
      </c>
      <c r="H633" s="21" t="n">
        <v>0</v>
      </c>
      <c r="I633" s="21" t="n">
        <v>0</v>
      </c>
      <c r="J633" s="21" t="n">
        <v>0</v>
      </c>
      <c r="K633" s="21" t="n">
        <v>0</v>
      </c>
      <c r="L633" s="21" t="n">
        <v>0</v>
      </c>
      <c r="M633" s="21" t="n">
        <v>0</v>
      </c>
      <c r="N633" s="21" t="n">
        <v>0</v>
      </c>
      <c r="O633" s="21" t="n">
        <v>0</v>
      </c>
      <c r="P633" s="21" t="n">
        <v>0</v>
      </c>
      <c r="Q633" s="21" t="n">
        <v>0</v>
      </c>
      <c r="R633" s="21" t="n">
        <v>0</v>
      </c>
      <c r="S633" s="21" t="n">
        <v>0</v>
      </c>
      <c r="T633" s="21" t="n">
        <v>0</v>
      </c>
      <c r="U633" s="21" t="n">
        <v>0</v>
      </c>
      <c r="V633" s="21" t="n">
        <v>0</v>
      </c>
      <c r="W633" s="21" t="n">
        <v>0</v>
      </c>
      <c r="X633" s="21" t="n">
        <v>0</v>
      </c>
      <c r="Y633" s="21" t="n">
        <v>0</v>
      </c>
      <c r="Z633" s="21" t="n">
        <v>0</v>
      </c>
      <c r="AA633" s="21" t="n">
        <v>0</v>
      </c>
      <c r="AB633" s="21" t="n">
        <v>0</v>
      </c>
      <c r="AC633" s="21" t="n">
        <v>0</v>
      </c>
      <c r="AD633" s="21">
        <f>-$B$18</f>
        <v/>
      </c>
      <c r="AE633" s="21">
        <f>-$B$19</f>
        <v/>
      </c>
      <c r="AF633" s="21">
        <f>2*$B$18+$D$597</f>
        <v/>
      </c>
      <c r="AG633" s="21">
        <f>0</f>
        <v/>
      </c>
      <c r="AH633" s="21">
        <f>-$B$18</f>
        <v/>
      </c>
      <c r="AI633" s="21">
        <f>$B$19</f>
        <v/>
      </c>
      <c r="AJ633" s="21" t="n">
        <v>0</v>
      </c>
      <c r="AK633" s="21" t="n">
        <v>0</v>
      </c>
      <c r="AL633" s="21" t="n">
        <v>0</v>
      </c>
      <c r="AM633" s="21" t="n">
        <v>0</v>
      </c>
      <c r="AN633" s="21" t="n">
        <v>0</v>
      </c>
      <c r="AO633" s="21" t="n">
        <v>0</v>
      </c>
      <c r="AP633" s="21" t="n">
        <v>0</v>
      </c>
      <c r="AQ633" s="21" t="n">
        <v>0</v>
      </c>
      <c r="AR633" s="21" t="n">
        <v>0</v>
      </c>
      <c r="AS633" s="21" t="n">
        <v>0</v>
      </c>
      <c r="AT633" s="19" t="n"/>
    </row>
    <row r="634">
      <c r="D634" s="21" t="n">
        <v>0</v>
      </c>
      <c r="E634" s="21" t="n">
        <v>0</v>
      </c>
      <c r="F634" s="21" t="n">
        <v>0</v>
      </c>
      <c r="G634" s="21" t="n">
        <v>0</v>
      </c>
      <c r="H634" s="21" t="n">
        <v>0</v>
      </c>
      <c r="I634" s="21" t="n">
        <v>0</v>
      </c>
      <c r="J634" s="21" t="n">
        <v>0</v>
      </c>
      <c r="K634" s="21" t="n">
        <v>0</v>
      </c>
      <c r="L634" s="21" t="n">
        <v>0</v>
      </c>
      <c r="M634" s="21" t="n">
        <v>0</v>
      </c>
      <c r="N634" s="21" t="n">
        <v>0</v>
      </c>
      <c r="O634" s="21" t="n">
        <v>0</v>
      </c>
      <c r="P634" s="21" t="n">
        <v>0</v>
      </c>
      <c r="Q634" s="21" t="n">
        <v>0</v>
      </c>
      <c r="R634" s="21" t="n">
        <v>0</v>
      </c>
      <c r="S634" s="21" t="n">
        <v>0</v>
      </c>
      <c r="T634" s="21" t="n">
        <v>0</v>
      </c>
      <c r="U634" s="21" t="n">
        <v>0</v>
      </c>
      <c r="V634" s="21" t="n">
        <v>0</v>
      </c>
      <c r="W634" s="21" t="n">
        <v>0</v>
      </c>
      <c r="X634" s="21" t="n">
        <v>0</v>
      </c>
      <c r="Y634" s="21" t="n">
        <v>0</v>
      </c>
      <c r="Z634" s="21" t="n">
        <v>0</v>
      </c>
      <c r="AA634" s="21" t="n">
        <v>0</v>
      </c>
      <c r="AB634" s="21" t="n">
        <v>0</v>
      </c>
      <c r="AC634" s="21" t="n">
        <v>0</v>
      </c>
      <c r="AD634" s="21">
        <f>$B$19</f>
        <v/>
      </c>
      <c r="AE634" s="21">
        <f>$B$21</f>
        <v/>
      </c>
      <c r="AF634" s="21">
        <f>0</f>
        <v/>
      </c>
      <c r="AG634" s="21">
        <f>2*$B$20</f>
        <v/>
      </c>
      <c r="AH634" s="21">
        <f>-$B$19</f>
        <v/>
      </c>
      <c r="AI634" s="21">
        <f>$B$21</f>
        <v/>
      </c>
      <c r="AJ634" s="21" t="n">
        <v>0</v>
      </c>
      <c r="AK634" s="21" t="n">
        <v>0</v>
      </c>
      <c r="AL634" s="21" t="n">
        <v>0</v>
      </c>
      <c r="AM634" s="21" t="n">
        <v>0</v>
      </c>
      <c r="AN634" s="21" t="n">
        <v>0</v>
      </c>
      <c r="AO634" s="21" t="n">
        <v>0</v>
      </c>
      <c r="AP634" s="21" t="n">
        <v>0</v>
      </c>
      <c r="AQ634" s="21" t="n">
        <v>0</v>
      </c>
      <c r="AR634" s="21" t="n">
        <v>0</v>
      </c>
      <c r="AS634" s="21" t="n">
        <v>0</v>
      </c>
      <c r="AT634" s="19" t="n"/>
    </row>
    <row r="635">
      <c r="D635" s="21" t="n">
        <v>0</v>
      </c>
      <c r="E635" s="21" t="n">
        <v>0</v>
      </c>
      <c r="F635" s="21" t="n">
        <v>0</v>
      </c>
      <c r="G635" s="21" t="n">
        <v>0</v>
      </c>
      <c r="H635" s="21" t="n">
        <v>0</v>
      </c>
      <c r="I635" s="21" t="n">
        <v>0</v>
      </c>
      <c r="J635" s="21" t="n">
        <v>0</v>
      </c>
      <c r="K635" s="21" t="n">
        <v>0</v>
      </c>
      <c r="L635" s="21" t="n">
        <v>0</v>
      </c>
      <c r="M635" s="21" t="n">
        <v>0</v>
      </c>
      <c r="N635" s="21" t="n">
        <v>0</v>
      </c>
      <c r="O635" s="21" t="n">
        <v>0</v>
      </c>
      <c r="P635" s="21" t="n">
        <v>0</v>
      </c>
      <c r="Q635" s="21" t="n">
        <v>0</v>
      </c>
      <c r="R635" s="21" t="n">
        <v>0</v>
      </c>
      <c r="S635" s="21" t="n">
        <v>0</v>
      </c>
      <c r="T635" s="21" t="n">
        <v>0</v>
      </c>
      <c r="U635" s="21" t="n">
        <v>0</v>
      </c>
      <c r="V635" s="21" t="n">
        <v>0</v>
      </c>
      <c r="W635" s="21" t="n">
        <v>0</v>
      </c>
      <c r="X635" s="21" t="n">
        <v>0</v>
      </c>
      <c r="Y635" s="21" t="n">
        <v>0</v>
      </c>
      <c r="Z635" s="21" t="n">
        <v>0</v>
      </c>
      <c r="AA635" s="21" t="n">
        <v>0</v>
      </c>
      <c r="AB635" s="21" t="n">
        <v>0</v>
      </c>
      <c r="AC635" s="21" t="n">
        <v>0</v>
      </c>
      <c r="AD635" s="21" t="n">
        <v>0</v>
      </c>
      <c r="AE635" s="21" t="n">
        <v>0</v>
      </c>
      <c r="AF635" s="21">
        <f>-$B$18</f>
        <v/>
      </c>
      <c r="AG635" s="21">
        <f>-$B$19</f>
        <v/>
      </c>
      <c r="AH635" s="21">
        <f>2*$B$18+$D$598</f>
        <v/>
      </c>
      <c r="AI635" s="21">
        <f>0</f>
        <v/>
      </c>
      <c r="AJ635" s="21">
        <f>-$B$18</f>
        <v/>
      </c>
      <c r="AK635" s="21">
        <f>$B$19</f>
        <v/>
      </c>
      <c r="AL635" s="21" t="n">
        <v>0</v>
      </c>
      <c r="AM635" s="21" t="n">
        <v>0</v>
      </c>
      <c r="AN635" s="21" t="n">
        <v>0</v>
      </c>
      <c r="AO635" s="21" t="n">
        <v>0</v>
      </c>
      <c r="AP635" s="21" t="n">
        <v>0</v>
      </c>
      <c r="AQ635" s="21" t="n">
        <v>0</v>
      </c>
      <c r="AR635" s="21" t="n">
        <v>0</v>
      </c>
      <c r="AS635" s="21" t="n">
        <v>0</v>
      </c>
      <c r="AT635" s="19" t="n"/>
    </row>
    <row r="636">
      <c r="D636" s="21" t="n">
        <v>0</v>
      </c>
      <c r="E636" s="21" t="n">
        <v>0</v>
      </c>
      <c r="F636" s="21" t="n">
        <v>0</v>
      </c>
      <c r="G636" s="21" t="n">
        <v>0</v>
      </c>
      <c r="H636" s="21" t="n">
        <v>0</v>
      </c>
      <c r="I636" s="21" t="n">
        <v>0</v>
      </c>
      <c r="J636" s="21" t="n">
        <v>0</v>
      </c>
      <c r="K636" s="21" t="n">
        <v>0</v>
      </c>
      <c r="L636" s="21" t="n">
        <v>0</v>
      </c>
      <c r="M636" s="21" t="n">
        <v>0</v>
      </c>
      <c r="N636" s="21" t="n">
        <v>0</v>
      </c>
      <c r="O636" s="21" t="n">
        <v>0</v>
      </c>
      <c r="P636" s="21" t="n">
        <v>0</v>
      </c>
      <c r="Q636" s="21" t="n">
        <v>0</v>
      </c>
      <c r="R636" s="21" t="n">
        <v>0</v>
      </c>
      <c r="S636" s="21" t="n">
        <v>0</v>
      </c>
      <c r="T636" s="21" t="n">
        <v>0</v>
      </c>
      <c r="U636" s="21" t="n">
        <v>0</v>
      </c>
      <c r="V636" s="21" t="n">
        <v>0</v>
      </c>
      <c r="W636" s="21" t="n">
        <v>0</v>
      </c>
      <c r="X636" s="21" t="n">
        <v>0</v>
      </c>
      <c r="Y636" s="21" t="n">
        <v>0</v>
      </c>
      <c r="Z636" s="21" t="n">
        <v>0</v>
      </c>
      <c r="AA636" s="21" t="n">
        <v>0</v>
      </c>
      <c r="AB636" s="21" t="n">
        <v>0</v>
      </c>
      <c r="AC636" s="21" t="n">
        <v>0</v>
      </c>
      <c r="AD636" s="21" t="n">
        <v>0</v>
      </c>
      <c r="AE636" s="21" t="n">
        <v>0</v>
      </c>
      <c r="AF636" s="21">
        <f>$B$19</f>
        <v/>
      </c>
      <c r="AG636" s="21">
        <f>$B$21</f>
        <v/>
      </c>
      <c r="AH636" s="21">
        <f>0</f>
        <v/>
      </c>
      <c r="AI636" s="21">
        <f>2*$B$20</f>
        <v/>
      </c>
      <c r="AJ636" s="21">
        <f>-$B$19</f>
        <v/>
      </c>
      <c r="AK636" s="21">
        <f>$B$21</f>
        <v/>
      </c>
      <c r="AL636" s="21" t="n">
        <v>0</v>
      </c>
      <c r="AM636" s="21" t="n">
        <v>0</v>
      </c>
      <c r="AN636" s="21" t="n">
        <v>0</v>
      </c>
      <c r="AO636" s="21" t="n">
        <v>0</v>
      </c>
      <c r="AP636" s="21" t="n">
        <v>0</v>
      </c>
      <c r="AQ636" s="21" t="n">
        <v>0</v>
      </c>
      <c r="AR636" s="21" t="n">
        <v>0</v>
      </c>
      <c r="AS636" s="21" t="n">
        <v>0</v>
      </c>
      <c r="AT636" s="19" t="n"/>
    </row>
    <row r="637">
      <c r="D637" s="21" t="n">
        <v>0</v>
      </c>
      <c r="E637" s="21" t="n">
        <v>0</v>
      </c>
      <c r="F637" s="21" t="n">
        <v>0</v>
      </c>
      <c r="G637" s="21" t="n">
        <v>0</v>
      </c>
      <c r="H637" s="21" t="n">
        <v>0</v>
      </c>
      <c r="I637" s="21" t="n">
        <v>0</v>
      </c>
      <c r="J637" s="21" t="n">
        <v>0</v>
      </c>
      <c r="K637" s="21" t="n">
        <v>0</v>
      </c>
      <c r="L637" s="21" t="n">
        <v>0</v>
      </c>
      <c r="M637" s="21" t="n">
        <v>0</v>
      </c>
      <c r="N637" s="21" t="n">
        <v>0</v>
      </c>
      <c r="O637" s="21" t="n">
        <v>0</v>
      </c>
      <c r="P637" s="21" t="n">
        <v>0</v>
      </c>
      <c r="Q637" s="21" t="n">
        <v>0</v>
      </c>
      <c r="R637" s="21" t="n">
        <v>0</v>
      </c>
      <c r="S637" s="21" t="n">
        <v>0</v>
      </c>
      <c r="T637" s="21" t="n">
        <v>0</v>
      </c>
      <c r="U637" s="21" t="n">
        <v>0</v>
      </c>
      <c r="V637" s="21" t="n">
        <v>0</v>
      </c>
      <c r="W637" s="21" t="n">
        <v>0</v>
      </c>
      <c r="X637" s="21" t="n">
        <v>0</v>
      </c>
      <c r="Y637" s="21" t="n">
        <v>0</v>
      </c>
      <c r="Z637" s="21" t="n">
        <v>0</v>
      </c>
      <c r="AA637" s="21" t="n">
        <v>0</v>
      </c>
      <c r="AB637" s="21" t="n">
        <v>0</v>
      </c>
      <c r="AC637" s="21" t="n">
        <v>0</v>
      </c>
      <c r="AD637" s="21" t="n">
        <v>0</v>
      </c>
      <c r="AE637" s="21" t="n">
        <v>0</v>
      </c>
      <c r="AF637" s="21" t="n">
        <v>0</v>
      </c>
      <c r="AG637" s="21" t="n">
        <v>0</v>
      </c>
      <c r="AH637" s="21">
        <f>-$B$18</f>
        <v/>
      </c>
      <c r="AI637" s="21">
        <f>-$B$19</f>
        <v/>
      </c>
      <c r="AJ637" s="21">
        <f>2*$B$18+$D$599</f>
        <v/>
      </c>
      <c r="AK637" s="21">
        <f>0</f>
        <v/>
      </c>
      <c r="AL637" s="21">
        <f>-$B$18</f>
        <v/>
      </c>
      <c r="AM637" s="21">
        <f>$B$19</f>
        <v/>
      </c>
      <c r="AN637" s="21" t="n">
        <v>0</v>
      </c>
      <c r="AO637" s="21" t="n">
        <v>0</v>
      </c>
      <c r="AP637" s="21" t="n">
        <v>0</v>
      </c>
      <c r="AQ637" s="21" t="n">
        <v>0</v>
      </c>
      <c r="AR637" s="21" t="n">
        <v>0</v>
      </c>
      <c r="AS637" s="21" t="n">
        <v>0</v>
      </c>
      <c r="AT637" s="19" t="n"/>
    </row>
    <row r="638">
      <c r="D638" s="21" t="n">
        <v>0</v>
      </c>
      <c r="E638" s="21" t="n">
        <v>0</v>
      </c>
      <c r="F638" s="21" t="n">
        <v>0</v>
      </c>
      <c r="G638" s="21" t="n">
        <v>0</v>
      </c>
      <c r="H638" s="21" t="n">
        <v>0</v>
      </c>
      <c r="I638" s="21" t="n">
        <v>0</v>
      </c>
      <c r="J638" s="21" t="n">
        <v>0</v>
      </c>
      <c r="K638" s="21" t="n">
        <v>0</v>
      </c>
      <c r="L638" s="21" t="n">
        <v>0</v>
      </c>
      <c r="M638" s="21" t="n">
        <v>0</v>
      </c>
      <c r="N638" s="21" t="n">
        <v>0</v>
      </c>
      <c r="O638" s="21" t="n">
        <v>0</v>
      </c>
      <c r="P638" s="21" t="n">
        <v>0</v>
      </c>
      <c r="Q638" s="21" t="n">
        <v>0</v>
      </c>
      <c r="R638" s="21" t="n">
        <v>0</v>
      </c>
      <c r="S638" s="21" t="n">
        <v>0</v>
      </c>
      <c r="T638" s="21" t="n">
        <v>0</v>
      </c>
      <c r="U638" s="21" t="n">
        <v>0</v>
      </c>
      <c r="V638" s="21" t="n">
        <v>0</v>
      </c>
      <c r="W638" s="21" t="n">
        <v>0</v>
      </c>
      <c r="X638" s="21" t="n">
        <v>0</v>
      </c>
      <c r="Y638" s="21" t="n">
        <v>0</v>
      </c>
      <c r="Z638" s="21" t="n">
        <v>0</v>
      </c>
      <c r="AA638" s="21" t="n">
        <v>0</v>
      </c>
      <c r="AB638" s="21" t="n">
        <v>0</v>
      </c>
      <c r="AC638" s="21" t="n">
        <v>0</v>
      </c>
      <c r="AD638" s="21" t="n">
        <v>0</v>
      </c>
      <c r="AE638" s="21" t="n">
        <v>0</v>
      </c>
      <c r="AF638" s="21" t="n">
        <v>0</v>
      </c>
      <c r="AG638" s="21" t="n">
        <v>0</v>
      </c>
      <c r="AH638" s="21">
        <f>$B$19</f>
        <v/>
      </c>
      <c r="AI638" s="21">
        <f>$B$21</f>
        <v/>
      </c>
      <c r="AJ638" s="21">
        <f>0</f>
        <v/>
      </c>
      <c r="AK638" s="21">
        <f>2*$B$20</f>
        <v/>
      </c>
      <c r="AL638" s="21">
        <f>-$B$19</f>
        <v/>
      </c>
      <c r="AM638" s="21">
        <f>$B$21</f>
        <v/>
      </c>
      <c r="AN638" s="21" t="n">
        <v>0</v>
      </c>
      <c r="AO638" s="21" t="n">
        <v>0</v>
      </c>
      <c r="AP638" s="21" t="n">
        <v>0</v>
      </c>
      <c r="AQ638" s="21" t="n">
        <v>0</v>
      </c>
      <c r="AR638" s="21" t="n">
        <v>0</v>
      </c>
      <c r="AS638" s="21" t="n">
        <v>0</v>
      </c>
      <c r="AT638" s="19" t="n"/>
    </row>
    <row r="639">
      <c r="D639" s="21" t="n">
        <v>0</v>
      </c>
      <c r="E639" s="21" t="n">
        <v>0</v>
      </c>
      <c r="F639" s="21" t="n">
        <v>0</v>
      </c>
      <c r="G639" s="21" t="n">
        <v>0</v>
      </c>
      <c r="H639" s="21" t="n">
        <v>0</v>
      </c>
      <c r="I639" s="21" t="n">
        <v>0</v>
      </c>
      <c r="J639" s="21" t="n">
        <v>0</v>
      </c>
      <c r="K639" s="21" t="n">
        <v>0</v>
      </c>
      <c r="L639" s="21" t="n">
        <v>0</v>
      </c>
      <c r="M639" s="21" t="n">
        <v>0</v>
      </c>
      <c r="N639" s="21" t="n">
        <v>0</v>
      </c>
      <c r="O639" s="21" t="n">
        <v>0</v>
      </c>
      <c r="P639" s="21" t="n">
        <v>0</v>
      </c>
      <c r="Q639" s="21" t="n">
        <v>0</v>
      </c>
      <c r="R639" s="21" t="n">
        <v>0</v>
      </c>
      <c r="S639" s="21" t="n">
        <v>0</v>
      </c>
      <c r="T639" s="21" t="n">
        <v>0</v>
      </c>
      <c r="U639" s="21" t="n">
        <v>0</v>
      </c>
      <c r="V639" s="21" t="n">
        <v>0</v>
      </c>
      <c r="W639" s="21" t="n">
        <v>0</v>
      </c>
      <c r="X639" s="21" t="n">
        <v>0</v>
      </c>
      <c r="Y639" s="21" t="n">
        <v>0</v>
      </c>
      <c r="Z639" s="21" t="n">
        <v>0</v>
      </c>
      <c r="AA639" s="21" t="n">
        <v>0</v>
      </c>
      <c r="AB639" s="21" t="n">
        <v>0</v>
      </c>
      <c r="AC639" s="21" t="n">
        <v>0</v>
      </c>
      <c r="AD639" s="21" t="n">
        <v>0</v>
      </c>
      <c r="AE639" s="21" t="n">
        <v>0</v>
      </c>
      <c r="AF639" s="21" t="n">
        <v>0</v>
      </c>
      <c r="AG639" s="21" t="n">
        <v>0</v>
      </c>
      <c r="AH639" s="21" t="n">
        <v>0</v>
      </c>
      <c r="AI639" s="21" t="n">
        <v>0</v>
      </c>
      <c r="AJ639" s="21">
        <f>-$B$18</f>
        <v/>
      </c>
      <c r="AK639" s="21">
        <f>-$B$19</f>
        <v/>
      </c>
      <c r="AL639" s="21">
        <f>2*$B$18+$D$600</f>
        <v/>
      </c>
      <c r="AM639" s="21">
        <f>0</f>
        <v/>
      </c>
      <c r="AN639" s="21">
        <f>-$B$18</f>
        <v/>
      </c>
      <c r="AO639" s="21">
        <f>$B$19</f>
        <v/>
      </c>
      <c r="AP639" s="21" t="n">
        <v>0</v>
      </c>
      <c r="AQ639" s="21" t="n">
        <v>0</v>
      </c>
      <c r="AR639" s="21" t="n">
        <v>0</v>
      </c>
      <c r="AS639" s="21" t="n">
        <v>0</v>
      </c>
      <c r="AT639" s="19" t="n"/>
    </row>
    <row r="640">
      <c r="D640" s="21" t="n">
        <v>0</v>
      </c>
      <c r="E640" s="21" t="n">
        <v>0</v>
      </c>
      <c r="F640" s="21" t="n">
        <v>0</v>
      </c>
      <c r="G640" s="21" t="n">
        <v>0</v>
      </c>
      <c r="H640" s="21" t="n">
        <v>0</v>
      </c>
      <c r="I640" s="21" t="n">
        <v>0</v>
      </c>
      <c r="J640" s="21" t="n">
        <v>0</v>
      </c>
      <c r="K640" s="21" t="n">
        <v>0</v>
      </c>
      <c r="L640" s="21" t="n">
        <v>0</v>
      </c>
      <c r="M640" s="21" t="n">
        <v>0</v>
      </c>
      <c r="N640" s="21" t="n">
        <v>0</v>
      </c>
      <c r="O640" s="21" t="n">
        <v>0</v>
      </c>
      <c r="P640" s="21" t="n">
        <v>0</v>
      </c>
      <c r="Q640" s="21" t="n">
        <v>0</v>
      </c>
      <c r="R640" s="21" t="n">
        <v>0</v>
      </c>
      <c r="S640" s="21" t="n">
        <v>0</v>
      </c>
      <c r="T640" s="21" t="n">
        <v>0</v>
      </c>
      <c r="U640" s="21" t="n">
        <v>0</v>
      </c>
      <c r="V640" s="21" t="n">
        <v>0</v>
      </c>
      <c r="W640" s="21" t="n">
        <v>0</v>
      </c>
      <c r="X640" s="21" t="n">
        <v>0</v>
      </c>
      <c r="Y640" s="21" t="n">
        <v>0</v>
      </c>
      <c r="Z640" s="21" t="n">
        <v>0</v>
      </c>
      <c r="AA640" s="21" t="n">
        <v>0</v>
      </c>
      <c r="AB640" s="21" t="n">
        <v>0</v>
      </c>
      <c r="AC640" s="21" t="n">
        <v>0</v>
      </c>
      <c r="AD640" s="21" t="n">
        <v>0</v>
      </c>
      <c r="AE640" s="21" t="n">
        <v>0</v>
      </c>
      <c r="AF640" s="21" t="n">
        <v>0</v>
      </c>
      <c r="AG640" s="21" t="n">
        <v>0</v>
      </c>
      <c r="AH640" s="21" t="n">
        <v>0</v>
      </c>
      <c r="AI640" s="21" t="n">
        <v>0</v>
      </c>
      <c r="AJ640" s="21">
        <f>$B$19</f>
        <v/>
      </c>
      <c r="AK640" s="21">
        <f>$B$21</f>
        <v/>
      </c>
      <c r="AL640" s="21">
        <f>0</f>
        <v/>
      </c>
      <c r="AM640" s="21">
        <f>2*$B$20</f>
        <v/>
      </c>
      <c r="AN640" s="21">
        <f>-$B$19</f>
        <v/>
      </c>
      <c r="AO640" s="21">
        <f>$B$21</f>
        <v/>
      </c>
      <c r="AP640" s="21" t="n">
        <v>0</v>
      </c>
      <c r="AQ640" s="21" t="n">
        <v>0</v>
      </c>
      <c r="AR640" s="21" t="n">
        <v>0</v>
      </c>
      <c r="AS640" s="21" t="n">
        <v>0</v>
      </c>
      <c r="AT640" s="19" t="n"/>
    </row>
    <row r="641">
      <c r="D641" s="21" t="n">
        <v>0</v>
      </c>
      <c r="E641" s="21" t="n">
        <v>0</v>
      </c>
      <c r="F641" s="21" t="n">
        <v>0</v>
      </c>
      <c r="G641" s="21" t="n">
        <v>0</v>
      </c>
      <c r="H641" s="21" t="n">
        <v>0</v>
      </c>
      <c r="I641" s="21" t="n">
        <v>0</v>
      </c>
      <c r="J641" s="21" t="n">
        <v>0</v>
      </c>
      <c r="K641" s="21" t="n">
        <v>0</v>
      </c>
      <c r="L641" s="21" t="n">
        <v>0</v>
      </c>
      <c r="M641" s="21" t="n">
        <v>0</v>
      </c>
      <c r="N641" s="21" t="n">
        <v>0</v>
      </c>
      <c r="O641" s="21" t="n">
        <v>0</v>
      </c>
      <c r="P641" s="21" t="n">
        <v>0</v>
      </c>
      <c r="Q641" s="21" t="n">
        <v>0</v>
      </c>
      <c r="R641" s="21" t="n">
        <v>0</v>
      </c>
      <c r="S641" s="21" t="n">
        <v>0</v>
      </c>
      <c r="T641" s="21" t="n">
        <v>0</v>
      </c>
      <c r="U641" s="21" t="n">
        <v>0</v>
      </c>
      <c r="V641" s="21" t="n">
        <v>0</v>
      </c>
      <c r="W641" s="21" t="n">
        <v>0</v>
      </c>
      <c r="X641" s="21" t="n">
        <v>0</v>
      </c>
      <c r="Y641" s="21" t="n">
        <v>0</v>
      </c>
      <c r="Z641" s="21" t="n">
        <v>0</v>
      </c>
      <c r="AA641" s="21" t="n">
        <v>0</v>
      </c>
      <c r="AB641" s="21" t="n">
        <v>0</v>
      </c>
      <c r="AC641" s="21" t="n">
        <v>0</v>
      </c>
      <c r="AD641" s="21" t="n">
        <v>0</v>
      </c>
      <c r="AE641" s="21" t="n">
        <v>0</v>
      </c>
      <c r="AF641" s="21" t="n">
        <v>0</v>
      </c>
      <c r="AG641" s="21" t="n">
        <v>0</v>
      </c>
      <c r="AH641" s="21" t="n">
        <v>0</v>
      </c>
      <c r="AI641" s="21" t="n">
        <v>0</v>
      </c>
      <c r="AJ641" s="21" t="n">
        <v>0</v>
      </c>
      <c r="AK641" s="21" t="n">
        <v>0</v>
      </c>
      <c r="AL641" s="21">
        <f>-$B$18</f>
        <v/>
      </c>
      <c r="AM641" s="21">
        <f>-$B$19</f>
        <v/>
      </c>
      <c r="AN641" s="21">
        <f>2*$B$18+$D$601</f>
        <v/>
      </c>
      <c r="AO641" s="21">
        <f>0</f>
        <v/>
      </c>
      <c r="AP641" s="21">
        <f>-$B$18</f>
        <v/>
      </c>
      <c r="AQ641" s="21">
        <f>$B$19</f>
        <v/>
      </c>
      <c r="AR641" s="21" t="n">
        <v>0</v>
      </c>
      <c r="AS641" s="21" t="n">
        <v>0</v>
      </c>
      <c r="AT641" s="19" t="n"/>
    </row>
    <row r="642">
      <c r="D642" s="21" t="n">
        <v>0</v>
      </c>
      <c r="E642" s="21" t="n">
        <v>0</v>
      </c>
      <c r="F642" s="21" t="n">
        <v>0</v>
      </c>
      <c r="G642" s="21" t="n">
        <v>0</v>
      </c>
      <c r="H642" s="21" t="n">
        <v>0</v>
      </c>
      <c r="I642" s="21" t="n">
        <v>0</v>
      </c>
      <c r="J642" s="21" t="n">
        <v>0</v>
      </c>
      <c r="K642" s="21" t="n">
        <v>0</v>
      </c>
      <c r="L642" s="21" t="n">
        <v>0</v>
      </c>
      <c r="M642" s="21" t="n">
        <v>0</v>
      </c>
      <c r="N642" s="21" t="n">
        <v>0</v>
      </c>
      <c r="O642" s="21" t="n">
        <v>0</v>
      </c>
      <c r="P642" s="21" t="n">
        <v>0</v>
      </c>
      <c r="Q642" s="21" t="n">
        <v>0</v>
      </c>
      <c r="R642" s="21" t="n">
        <v>0</v>
      </c>
      <c r="S642" s="21" t="n">
        <v>0</v>
      </c>
      <c r="T642" s="21" t="n">
        <v>0</v>
      </c>
      <c r="U642" s="21" t="n">
        <v>0</v>
      </c>
      <c r="V642" s="21" t="n">
        <v>0</v>
      </c>
      <c r="W642" s="21" t="n">
        <v>0</v>
      </c>
      <c r="X642" s="21" t="n">
        <v>0</v>
      </c>
      <c r="Y642" s="21" t="n">
        <v>0</v>
      </c>
      <c r="Z642" s="21" t="n">
        <v>0</v>
      </c>
      <c r="AA642" s="21" t="n">
        <v>0</v>
      </c>
      <c r="AB642" s="21" t="n">
        <v>0</v>
      </c>
      <c r="AC642" s="21" t="n">
        <v>0</v>
      </c>
      <c r="AD642" s="21" t="n">
        <v>0</v>
      </c>
      <c r="AE642" s="21" t="n">
        <v>0</v>
      </c>
      <c r="AF642" s="21" t="n">
        <v>0</v>
      </c>
      <c r="AG642" s="21" t="n">
        <v>0</v>
      </c>
      <c r="AH642" s="21" t="n">
        <v>0</v>
      </c>
      <c r="AI642" s="21" t="n">
        <v>0</v>
      </c>
      <c r="AJ642" s="21" t="n">
        <v>0</v>
      </c>
      <c r="AK642" s="21" t="n">
        <v>0</v>
      </c>
      <c r="AL642" s="21">
        <f>$B$19</f>
        <v/>
      </c>
      <c r="AM642" s="21">
        <f>$B$21</f>
        <v/>
      </c>
      <c r="AN642" s="21">
        <f>0</f>
        <v/>
      </c>
      <c r="AO642" s="21">
        <f>2*$B$20</f>
        <v/>
      </c>
      <c r="AP642" s="21">
        <f>-$B$19</f>
        <v/>
      </c>
      <c r="AQ642" s="21">
        <f>$B$21</f>
        <v/>
      </c>
      <c r="AR642" s="21" t="n">
        <v>0</v>
      </c>
      <c r="AS642" s="21" t="n">
        <v>0</v>
      </c>
      <c r="AT642" s="19" t="n"/>
    </row>
    <row r="643">
      <c r="D643" s="21" t="n">
        <v>0</v>
      </c>
      <c r="E643" s="21" t="n">
        <v>0</v>
      </c>
      <c r="F643" s="21" t="n">
        <v>0</v>
      </c>
      <c r="G643" s="21" t="n">
        <v>0</v>
      </c>
      <c r="H643" s="21" t="n">
        <v>0</v>
      </c>
      <c r="I643" s="21" t="n">
        <v>0</v>
      </c>
      <c r="J643" s="21" t="n">
        <v>0</v>
      </c>
      <c r="K643" s="21" t="n">
        <v>0</v>
      </c>
      <c r="L643" s="21" t="n">
        <v>0</v>
      </c>
      <c r="M643" s="21" t="n">
        <v>0</v>
      </c>
      <c r="N643" s="21" t="n">
        <v>0</v>
      </c>
      <c r="O643" s="21" t="n">
        <v>0</v>
      </c>
      <c r="P643" s="21" t="n">
        <v>0</v>
      </c>
      <c r="Q643" s="21" t="n">
        <v>0</v>
      </c>
      <c r="R643" s="21" t="n">
        <v>0</v>
      </c>
      <c r="S643" s="21" t="n">
        <v>0</v>
      </c>
      <c r="T643" s="21" t="n">
        <v>0</v>
      </c>
      <c r="U643" s="21" t="n">
        <v>0</v>
      </c>
      <c r="V643" s="21" t="n">
        <v>0</v>
      </c>
      <c r="W643" s="21" t="n">
        <v>0</v>
      </c>
      <c r="X643" s="21" t="n">
        <v>0</v>
      </c>
      <c r="Y643" s="21" t="n">
        <v>0</v>
      </c>
      <c r="Z643" s="21" t="n">
        <v>0</v>
      </c>
      <c r="AA643" s="21" t="n">
        <v>0</v>
      </c>
      <c r="AB643" s="21" t="n">
        <v>0</v>
      </c>
      <c r="AC643" s="21" t="n">
        <v>0</v>
      </c>
      <c r="AD643" s="21" t="n">
        <v>0</v>
      </c>
      <c r="AE643" s="21" t="n">
        <v>0</v>
      </c>
      <c r="AF643" s="21" t="n">
        <v>0</v>
      </c>
      <c r="AG643" s="21" t="n">
        <v>0</v>
      </c>
      <c r="AH643" s="21" t="n">
        <v>0</v>
      </c>
      <c r="AI643" s="21" t="n">
        <v>0</v>
      </c>
      <c r="AJ643" s="21" t="n">
        <v>0</v>
      </c>
      <c r="AK643" s="21" t="n">
        <v>0</v>
      </c>
      <c r="AL643" s="21" t="n">
        <v>0</v>
      </c>
      <c r="AM643" s="21" t="n">
        <v>0</v>
      </c>
      <c r="AN643" s="21">
        <f>-$B$18</f>
        <v/>
      </c>
      <c r="AO643" s="21">
        <f>-$B$19</f>
        <v/>
      </c>
      <c r="AP643" s="21">
        <f>2*$B$18+$D$602</f>
        <v/>
      </c>
      <c r="AQ643" s="21">
        <f>0</f>
        <v/>
      </c>
      <c r="AR643" s="21">
        <f>-$B$18</f>
        <v/>
      </c>
      <c r="AS643" s="21">
        <f>$B$19</f>
        <v/>
      </c>
      <c r="AT643" s="19" t="n"/>
    </row>
    <row r="644">
      <c r="D644" s="21" t="n">
        <v>0</v>
      </c>
      <c r="E644" s="21" t="n">
        <v>0</v>
      </c>
      <c r="F644" s="21" t="n">
        <v>0</v>
      </c>
      <c r="G644" s="21" t="n">
        <v>0</v>
      </c>
      <c r="H644" s="21" t="n">
        <v>0</v>
      </c>
      <c r="I644" s="21" t="n">
        <v>0</v>
      </c>
      <c r="J644" s="21" t="n">
        <v>0</v>
      </c>
      <c r="K644" s="21" t="n">
        <v>0</v>
      </c>
      <c r="L644" s="21" t="n">
        <v>0</v>
      </c>
      <c r="M644" s="21" t="n">
        <v>0</v>
      </c>
      <c r="N644" s="21" t="n">
        <v>0</v>
      </c>
      <c r="O644" s="21" t="n">
        <v>0</v>
      </c>
      <c r="P644" s="21" t="n">
        <v>0</v>
      </c>
      <c r="Q644" s="21" t="n">
        <v>0</v>
      </c>
      <c r="R644" s="21" t="n">
        <v>0</v>
      </c>
      <c r="S644" s="21" t="n">
        <v>0</v>
      </c>
      <c r="T644" s="21" t="n">
        <v>0</v>
      </c>
      <c r="U644" s="21" t="n">
        <v>0</v>
      </c>
      <c r="V644" s="21" t="n">
        <v>0</v>
      </c>
      <c r="W644" s="21" t="n">
        <v>0</v>
      </c>
      <c r="X644" s="21" t="n">
        <v>0</v>
      </c>
      <c r="Y644" s="21" t="n">
        <v>0</v>
      </c>
      <c r="Z644" s="21" t="n">
        <v>0</v>
      </c>
      <c r="AA644" s="21" t="n">
        <v>0</v>
      </c>
      <c r="AB644" s="21" t="n">
        <v>0</v>
      </c>
      <c r="AC644" s="21" t="n">
        <v>0</v>
      </c>
      <c r="AD644" s="21" t="n">
        <v>0</v>
      </c>
      <c r="AE644" s="21" t="n">
        <v>0</v>
      </c>
      <c r="AF644" s="21" t="n">
        <v>0</v>
      </c>
      <c r="AG644" s="21" t="n">
        <v>0</v>
      </c>
      <c r="AH644" s="21" t="n">
        <v>0</v>
      </c>
      <c r="AI644" s="21" t="n">
        <v>0</v>
      </c>
      <c r="AJ644" s="21" t="n">
        <v>0</v>
      </c>
      <c r="AK644" s="21" t="n">
        <v>0</v>
      </c>
      <c r="AL644" s="21" t="n">
        <v>0</v>
      </c>
      <c r="AM644" s="21" t="n">
        <v>0</v>
      </c>
      <c r="AN644" s="21">
        <f>$B$19</f>
        <v/>
      </c>
      <c r="AO644" s="21">
        <f>$B$21</f>
        <v/>
      </c>
      <c r="AP644" s="21">
        <f>0</f>
        <v/>
      </c>
      <c r="AQ644" s="21">
        <f>2*$B$20</f>
        <v/>
      </c>
      <c r="AR644" s="21">
        <f>-$B$19</f>
        <v/>
      </c>
      <c r="AS644" s="21">
        <f>$B$21</f>
        <v/>
      </c>
      <c r="AT644" s="19" t="n"/>
    </row>
    <row r="645">
      <c r="D645" s="21" t="n">
        <v>0</v>
      </c>
      <c r="E645" s="21" t="n">
        <v>0</v>
      </c>
      <c r="F645" s="21" t="n">
        <v>0</v>
      </c>
      <c r="G645" s="21" t="n">
        <v>0</v>
      </c>
      <c r="H645" s="21" t="n">
        <v>0</v>
      </c>
      <c r="I645" s="21" t="n">
        <v>0</v>
      </c>
      <c r="J645" s="21" t="n">
        <v>0</v>
      </c>
      <c r="K645" s="21" t="n">
        <v>0</v>
      </c>
      <c r="L645" s="21" t="n">
        <v>0</v>
      </c>
      <c r="M645" s="21" t="n">
        <v>0</v>
      </c>
      <c r="N645" s="21" t="n">
        <v>0</v>
      </c>
      <c r="O645" s="21" t="n">
        <v>0</v>
      </c>
      <c r="P645" s="21" t="n">
        <v>0</v>
      </c>
      <c r="Q645" s="21" t="n">
        <v>0</v>
      </c>
      <c r="R645" s="21" t="n">
        <v>0</v>
      </c>
      <c r="S645" s="21" t="n">
        <v>0</v>
      </c>
      <c r="T645" s="21" t="n">
        <v>0</v>
      </c>
      <c r="U645" s="21" t="n">
        <v>0</v>
      </c>
      <c r="V645" s="21" t="n">
        <v>0</v>
      </c>
      <c r="W645" s="21" t="n">
        <v>0</v>
      </c>
      <c r="X645" s="21" t="n">
        <v>0</v>
      </c>
      <c r="Y645" s="21" t="n">
        <v>0</v>
      </c>
      <c r="Z645" s="21" t="n">
        <v>0</v>
      </c>
      <c r="AA645" s="21" t="n">
        <v>0</v>
      </c>
      <c r="AB645" s="21" t="n">
        <v>0</v>
      </c>
      <c r="AC645" s="21" t="n">
        <v>0</v>
      </c>
      <c r="AD645" s="21" t="n">
        <v>0</v>
      </c>
      <c r="AE645" s="21" t="n">
        <v>0</v>
      </c>
      <c r="AF645" s="21" t="n">
        <v>0</v>
      </c>
      <c r="AG645" s="21" t="n">
        <v>0</v>
      </c>
      <c r="AH645" s="21" t="n">
        <v>0</v>
      </c>
      <c r="AI645" s="21" t="n">
        <v>0</v>
      </c>
      <c r="AJ645" s="21" t="n">
        <v>0</v>
      </c>
      <c r="AK645" s="21" t="n">
        <v>0</v>
      </c>
      <c r="AL645" s="21" t="n">
        <v>0</v>
      </c>
      <c r="AM645" s="21" t="n">
        <v>0</v>
      </c>
      <c r="AN645" s="21" t="n">
        <v>0</v>
      </c>
      <c r="AO645" s="21" t="n">
        <v>0</v>
      </c>
      <c r="AP645" s="21">
        <f>-$B$18</f>
        <v/>
      </c>
      <c r="AQ645" s="21">
        <f>-$B$19</f>
        <v/>
      </c>
      <c r="AR645" s="21">
        <f>$B$18+$D$603</f>
        <v/>
      </c>
      <c r="AS645" s="21">
        <f>-$B$19</f>
        <v/>
      </c>
      <c r="AT645" s="19" t="n"/>
    </row>
    <row r="646">
      <c r="D646" s="21" t="n">
        <v>0</v>
      </c>
      <c r="E646" s="21" t="n">
        <v>0</v>
      </c>
      <c r="F646" s="21" t="n">
        <v>0</v>
      </c>
      <c r="G646" s="21" t="n">
        <v>0</v>
      </c>
      <c r="H646" s="21" t="n">
        <v>0</v>
      </c>
      <c r="I646" s="21" t="n">
        <v>0</v>
      </c>
      <c r="J646" s="21" t="n">
        <v>0</v>
      </c>
      <c r="K646" s="21" t="n">
        <v>0</v>
      </c>
      <c r="L646" s="21" t="n">
        <v>0</v>
      </c>
      <c r="M646" s="21" t="n">
        <v>0</v>
      </c>
      <c r="N646" s="21" t="n">
        <v>0</v>
      </c>
      <c r="O646" s="21" t="n">
        <v>0</v>
      </c>
      <c r="P646" s="21" t="n">
        <v>0</v>
      </c>
      <c r="Q646" s="21" t="n">
        <v>0</v>
      </c>
      <c r="R646" s="21" t="n">
        <v>0</v>
      </c>
      <c r="S646" s="21" t="n">
        <v>0</v>
      </c>
      <c r="T646" s="21" t="n">
        <v>0</v>
      </c>
      <c r="U646" s="21" t="n">
        <v>0</v>
      </c>
      <c r="V646" s="21" t="n">
        <v>0</v>
      </c>
      <c r="W646" s="21" t="n">
        <v>0</v>
      </c>
      <c r="X646" s="21" t="n">
        <v>0</v>
      </c>
      <c r="Y646" s="21" t="n">
        <v>0</v>
      </c>
      <c r="Z646" s="21" t="n">
        <v>0</v>
      </c>
      <c r="AA646" s="21" t="n">
        <v>0</v>
      </c>
      <c r="AB646" s="21" t="n">
        <v>0</v>
      </c>
      <c r="AC646" s="21" t="n">
        <v>0</v>
      </c>
      <c r="AD646" s="21" t="n">
        <v>0</v>
      </c>
      <c r="AE646" s="21" t="n">
        <v>0</v>
      </c>
      <c r="AF646" s="21" t="n">
        <v>0</v>
      </c>
      <c r="AG646" s="21" t="n">
        <v>0</v>
      </c>
      <c r="AH646" s="21" t="n">
        <v>0</v>
      </c>
      <c r="AI646" s="21" t="n">
        <v>0</v>
      </c>
      <c r="AJ646" s="21" t="n">
        <v>0</v>
      </c>
      <c r="AK646" s="21" t="n">
        <v>0</v>
      </c>
      <c r="AL646" s="21" t="n">
        <v>0</v>
      </c>
      <c r="AM646" s="21" t="n">
        <v>0</v>
      </c>
      <c r="AN646" s="21" t="n">
        <v>0</v>
      </c>
      <c r="AO646" s="21" t="n">
        <v>0</v>
      </c>
      <c r="AP646" s="21">
        <f>$B$19</f>
        <v/>
      </c>
      <c r="AQ646" s="21">
        <f>$B$21</f>
        <v/>
      </c>
      <c r="AR646" s="21">
        <f>-$B$19</f>
        <v/>
      </c>
      <c r="AS646" s="21">
        <f>$B$20</f>
        <v/>
      </c>
      <c r="AT646" s="19" t="n"/>
    </row>
    <row r="648">
      <c r="A648" s="8" t="inlineStr">
        <is>
          <t>gen 9</t>
        </is>
      </c>
    </row>
    <row r="649">
      <c r="D649" s="19">
        <f>IF(ABS(IF(ABS($E$583)&gt;0.000000001,$E$583,0.000000001))=0,0,IF($E$33&lt;=$B$27,0,IF(ABS(IF(ABS($E$583)&gt;0.000000001,$E$583,0.000000001))&gt;=8*$B$29,$H$33,0.5*$H$33*(ABS(IF(ABS($E$583)&gt;0.000000001,$E$583,0.000000001))/$B$29)^(1/3)))/ABS(IF(ABS($E$583)&gt;0.000000001,$E$583,0.000000001))*$I$33)</f>
        <v/>
      </c>
      <c r="E649" s="19">
        <f>0.5*$E$583+0.5*$AT$671</f>
        <v/>
      </c>
      <c r="F649" s="19">
        <f>$AT$672</f>
        <v/>
      </c>
    </row>
    <row r="650">
      <c r="D650" s="19">
        <f>IF(ABS(IF(ABS($E$584)&gt;0.000000001,$E$584,0.000000001))=0,0,IF($E$34&lt;=$B$27,0,IF(ABS(IF(ABS($E$584)&gt;0.000000001,$E$584,0.000000001))&gt;=8*$B$29,$H$34,0.5*$H$34*(ABS(IF(ABS($E$584)&gt;0.000000001,$E$584,0.000000001))/$B$29)^(1/3)))/ABS(IF(ABS($E$584)&gt;0.000000001,$E$584,0.000000001))*$I$34)</f>
        <v/>
      </c>
      <c r="E650" s="19">
        <f>0.5*$E$584+0.5*$AT$673</f>
        <v/>
      </c>
      <c r="F650" s="19">
        <f>$AT$674</f>
        <v/>
      </c>
    </row>
    <row r="651">
      <c r="D651" s="19">
        <f>IF(ABS(IF(ABS($E$585)&gt;0.000000001,$E$585,0.000000001))=0,0,IF($E$35&lt;=$B$27,0,IF(ABS(IF(ABS($E$585)&gt;0.000000001,$E$585,0.000000001))&gt;=8*$B$29,$H$35,0.5*$H$35*(ABS(IF(ABS($E$585)&gt;0.000000001,$E$585,0.000000001))/$B$29)^(1/3)))/ABS(IF(ABS($E$585)&gt;0.000000001,$E$585,0.000000001))*$I$35)</f>
        <v/>
      </c>
      <c r="E651" s="19">
        <f>0.5*$E$585+0.5*$AT$675</f>
        <v/>
      </c>
      <c r="F651" s="19">
        <f>$AT$676</f>
        <v/>
      </c>
    </row>
    <row r="652">
      <c r="D652" s="19">
        <f>IF(ABS(IF(ABS($E$586)&gt;0.000000001,$E$586,0.000000001))=0,0,IF($E$36&lt;=$B$27,0,IF(ABS(IF(ABS($E$586)&gt;0.000000001,$E$586,0.000000001))&gt;=8*$B$29,$H$36,0.5*$H$36*(ABS(IF(ABS($E$586)&gt;0.000000001,$E$586,0.000000001))/$B$29)^(1/3)))/ABS(IF(ABS($E$586)&gt;0.000000001,$E$586,0.000000001))*$I$36)</f>
        <v/>
      </c>
      <c r="E652" s="19">
        <f>0.5*$E$586+0.5*$AT$677</f>
        <v/>
      </c>
      <c r="F652" s="19">
        <f>$AT$678</f>
        <v/>
      </c>
    </row>
    <row r="653">
      <c r="D653" s="19">
        <f>IF(ABS(IF(ABS($E$587)&gt;0.000000001,$E$587,0.000000001))=0,0,IF($E$37&lt;=$B$27,0,IF(ABS(IF(ABS($E$587)&gt;0.000000001,$E$587,0.000000001))&gt;=8*$B$29,$H$37,0.5*$H$37*(ABS(IF(ABS($E$587)&gt;0.000000001,$E$587,0.000000001))/$B$29)^(1/3)))/ABS(IF(ABS($E$587)&gt;0.000000001,$E$587,0.000000001))*$I$37)</f>
        <v/>
      </c>
      <c r="E653" s="19">
        <f>0.5*$E$587+0.5*$AT$679</f>
        <v/>
      </c>
      <c r="F653" s="19">
        <f>$AT$680</f>
        <v/>
      </c>
    </row>
    <row r="654">
      <c r="D654" s="19">
        <f>IF(ABS(IF(ABS($E$588)&gt;0.000000001,$E$588,0.000000001))=0,0,IF($E$38&lt;=$B$27,0,IF(ABS(IF(ABS($E$588)&gt;0.000000001,$E$588,0.000000001))&gt;=8*$B$29,$H$38,0.5*$H$38*(ABS(IF(ABS($E$588)&gt;0.000000001,$E$588,0.000000001))/$B$29)^(1/3)))/ABS(IF(ABS($E$588)&gt;0.000000001,$E$588,0.000000001))*$I$38)</f>
        <v/>
      </c>
      <c r="E654" s="19">
        <f>0.5*$E$588+0.5*$AT$681</f>
        <v/>
      </c>
      <c r="F654" s="19">
        <f>$AT$682</f>
        <v/>
      </c>
    </row>
    <row r="655">
      <c r="D655" s="19">
        <f>IF(ABS(IF(ABS($E$589)&gt;0.000000001,$E$589,0.000000001))=0,0,IF($E$39&lt;=$B$27,0,IF(ABS(IF(ABS($E$589)&gt;0.000000001,$E$589,0.000000001))&gt;=8*$B$29,$H$39,0.5*$H$39*(ABS(IF(ABS($E$589)&gt;0.000000001,$E$589,0.000000001))/$B$29)^(1/3)))/ABS(IF(ABS($E$589)&gt;0.000000001,$E$589,0.000000001))*$I$39)</f>
        <v/>
      </c>
      <c r="E655" s="19">
        <f>0.5*$E$589+0.5*$AT$683</f>
        <v/>
      </c>
      <c r="F655" s="19">
        <f>$AT$684</f>
        <v/>
      </c>
    </row>
    <row r="656">
      <c r="D656" s="19">
        <f>IF(ABS(IF(ABS($E$590)&gt;0.000000001,$E$590,0.000000001))=0,0,IF($E$40&lt;=$B$27,0,IF(ABS(IF(ABS($E$590)&gt;0.000000001,$E$590,0.000000001))&gt;=8*$B$29,$H$40,0.5*$H$40*(ABS(IF(ABS($E$590)&gt;0.000000001,$E$590,0.000000001))/$B$29)^(1/3)))/ABS(IF(ABS($E$590)&gt;0.000000001,$E$590,0.000000001))*$I$40)</f>
        <v/>
      </c>
      <c r="E656" s="19">
        <f>0.5*$E$590+0.5*$AT$685</f>
        <v/>
      </c>
      <c r="F656" s="19">
        <f>$AT$686</f>
        <v/>
      </c>
    </row>
    <row r="657">
      <c r="D657" s="19">
        <f>IF(ABS(IF(ABS($E$591)&gt;0.000000001,$E$591,0.000000001))=0,0,IF($E$41&lt;=$B$27,0,IF(ABS(IF(ABS($E$591)&gt;0.000000001,$E$591,0.000000001))&gt;=8*$B$29,$H$41,0.5*$H$41*(ABS(IF(ABS($E$591)&gt;0.000000001,$E$591,0.000000001))/$B$29)^(1/3)))/ABS(IF(ABS($E$591)&gt;0.000000001,$E$591,0.000000001))*$I$41)</f>
        <v/>
      </c>
      <c r="E657" s="19">
        <f>0.5*$E$591+0.5*$AT$687</f>
        <v/>
      </c>
      <c r="F657" s="19">
        <f>$AT$688</f>
        <v/>
      </c>
    </row>
    <row r="658">
      <c r="D658" s="19">
        <f>IF(ABS(IF(ABS($E$592)&gt;0.000000001,$E$592,0.000000001))=0,0,IF($E$42&lt;=$B$27,0,IF(ABS(IF(ABS($E$592)&gt;0.000000001,$E$592,0.000000001))&gt;=8*$B$29,$H$42,0.5*$H$42*(ABS(IF(ABS($E$592)&gt;0.000000001,$E$592,0.000000001))/$B$29)^(1/3)))/ABS(IF(ABS($E$592)&gt;0.000000001,$E$592,0.000000001))*$I$42)</f>
        <v/>
      </c>
      <c r="E658" s="19">
        <f>0.5*$E$592+0.5*$AT$689</f>
        <v/>
      </c>
      <c r="F658" s="19">
        <f>$AT$690</f>
        <v/>
      </c>
    </row>
    <row r="659">
      <c r="D659" s="19">
        <f>IF(ABS(IF(ABS($E$593)&gt;0.000000001,$E$593,0.000000001))=0,0,IF($E$43&lt;=$B$27,0,IF(ABS(IF(ABS($E$593)&gt;0.000000001,$E$593,0.000000001))&gt;=8*$B$29,$H$43,0.5*$H$43*(ABS(IF(ABS($E$593)&gt;0.000000001,$E$593,0.000000001))/$B$29)^(1/3)))/ABS(IF(ABS($E$593)&gt;0.000000001,$E$593,0.000000001))*$I$43)</f>
        <v/>
      </c>
      <c r="E659" s="19">
        <f>0.5*$E$593+0.5*$AT$691</f>
        <v/>
      </c>
      <c r="F659" s="19">
        <f>$AT$692</f>
        <v/>
      </c>
    </row>
    <row r="660">
      <c r="D660" s="19">
        <f>IF(ABS(IF(ABS($E$594)&gt;0.000000001,$E$594,0.000000001))=0,0,IF($E$44&lt;=$B$27,0,IF(ABS(IF(ABS($E$594)&gt;0.000000001,$E$594,0.000000001))&gt;=8*$B$29,$H$44,0.5*$H$44*(ABS(IF(ABS($E$594)&gt;0.000000001,$E$594,0.000000001))/$B$29)^(1/3)))/ABS(IF(ABS($E$594)&gt;0.000000001,$E$594,0.000000001))*$I$44)</f>
        <v/>
      </c>
      <c r="E660" s="19">
        <f>0.5*$E$594+0.5*$AT$693</f>
        <v/>
      </c>
      <c r="F660" s="19">
        <f>$AT$694</f>
        <v/>
      </c>
    </row>
    <row r="661">
      <c r="D661" s="19">
        <f>IF(ABS(IF(ABS($E$595)&gt;0.000000001,$E$595,0.000000001))=0,0,IF($E$45&lt;=$B$27,0,IF(ABS(IF(ABS($E$595)&gt;0.000000001,$E$595,0.000000001))&gt;=8*$B$29,$H$45,0.5*$H$45*(ABS(IF(ABS($E$595)&gt;0.000000001,$E$595,0.000000001))/$B$29)^(1/3)))/ABS(IF(ABS($E$595)&gt;0.000000001,$E$595,0.000000001))*$I$45)</f>
        <v/>
      </c>
      <c r="E661" s="19">
        <f>0.5*$E$595+0.5*$AT$695</f>
        <v/>
      </c>
      <c r="F661" s="19">
        <f>$AT$696</f>
        <v/>
      </c>
    </row>
    <row r="662">
      <c r="D662" s="19">
        <f>IF(ABS(IF(ABS($E$596)&gt;0.000000001,$E$596,0.000000001))=0,0,IF($E$46&lt;=$B$27,0,IF(ABS(IF(ABS($E$596)&gt;0.000000001,$E$596,0.000000001))&gt;=8*$B$29,$H$46,0.5*$H$46*(ABS(IF(ABS($E$596)&gt;0.000000001,$E$596,0.000000001))/$B$29)^(1/3)))/ABS(IF(ABS($E$596)&gt;0.000000001,$E$596,0.000000001))*$I$46)</f>
        <v/>
      </c>
      <c r="E662" s="19">
        <f>0.5*$E$596+0.5*$AT$697</f>
        <v/>
      </c>
      <c r="F662" s="19">
        <f>$AT$698</f>
        <v/>
      </c>
    </row>
    <row r="663">
      <c r="D663" s="19">
        <f>IF(ABS(IF(ABS($E$597)&gt;0.000000001,$E$597,0.000000001))=0,0,IF($E$47&lt;=$B$27,0,IF(ABS(IF(ABS($E$597)&gt;0.000000001,$E$597,0.000000001))&gt;=8*$B$29,$H$47,0.5*$H$47*(ABS(IF(ABS($E$597)&gt;0.000000001,$E$597,0.000000001))/$B$29)^(1/3)))/ABS(IF(ABS($E$597)&gt;0.000000001,$E$597,0.000000001))*$I$47)</f>
        <v/>
      </c>
      <c r="E663" s="19">
        <f>0.5*$E$597+0.5*$AT$699</f>
        <v/>
      </c>
      <c r="F663" s="19">
        <f>$AT$700</f>
        <v/>
      </c>
    </row>
    <row r="664">
      <c r="D664" s="19">
        <f>IF(ABS(IF(ABS($E$598)&gt;0.000000001,$E$598,0.000000001))=0,0,IF($E$48&lt;=$B$27,0,IF(ABS(IF(ABS($E$598)&gt;0.000000001,$E$598,0.000000001))&gt;=8*$B$29,$H$48,0.5*$H$48*(ABS(IF(ABS($E$598)&gt;0.000000001,$E$598,0.000000001))/$B$29)^(1/3)))/ABS(IF(ABS($E$598)&gt;0.000000001,$E$598,0.000000001))*$I$48)</f>
        <v/>
      </c>
      <c r="E664" s="19">
        <f>0.5*$E$598+0.5*$AT$701</f>
        <v/>
      </c>
      <c r="F664" s="19">
        <f>$AT$702</f>
        <v/>
      </c>
    </row>
    <row r="665">
      <c r="D665" s="19">
        <f>IF(ABS(IF(ABS($E$599)&gt;0.000000001,$E$599,0.000000001))=0,0,IF($E$49&lt;=$B$27,0,IF(ABS(IF(ABS($E$599)&gt;0.000000001,$E$599,0.000000001))&gt;=8*$B$29,$H$49,0.5*$H$49*(ABS(IF(ABS($E$599)&gt;0.000000001,$E$599,0.000000001))/$B$29)^(1/3)))/ABS(IF(ABS($E$599)&gt;0.000000001,$E$599,0.000000001))*$I$49)</f>
        <v/>
      </c>
      <c r="E665" s="19">
        <f>0.5*$E$599+0.5*$AT$703</f>
        <v/>
      </c>
      <c r="F665" s="19">
        <f>$AT$704</f>
        <v/>
      </c>
    </row>
    <row r="666">
      <c r="D666" s="19">
        <f>IF(ABS(IF(ABS($E$600)&gt;0.000000001,$E$600,0.000000001))=0,0,IF($E$50&lt;=$B$27,0,IF(ABS(IF(ABS($E$600)&gt;0.000000001,$E$600,0.000000001))&gt;=8*$B$29,$H$50,0.5*$H$50*(ABS(IF(ABS($E$600)&gt;0.000000001,$E$600,0.000000001))/$B$29)^(1/3)))/ABS(IF(ABS($E$600)&gt;0.000000001,$E$600,0.000000001))*$I$50)</f>
        <v/>
      </c>
      <c r="E666" s="19">
        <f>0.5*$E$600+0.5*$AT$705</f>
        <v/>
      </c>
      <c r="F666" s="19">
        <f>$AT$706</f>
        <v/>
      </c>
    </row>
    <row r="667">
      <c r="D667" s="19">
        <f>IF(ABS(IF(ABS($E$601)&gt;0.000000001,$E$601,0.000000001))=0,0,IF($E$51&lt;=$B$27,0,IF(ABS(IF(ABS($E$601)&gt;0.000000001,$E$601,0.000000001))&gt;=8*$B$29,$H$51,0.5*$H$51*(ABS(IF(ABS($E$601)&gt;0.000000001,$E$601,0.000000001))/$B$29)^(1/3)))/ABS(IF(ABS($E$601)&gt;0.000000001,$E$601,0.000000001))*$I$51)</f>
        <v/>
      </c>
      <c r="E667" s="19">
        <f>0.5*$E$601+0.5*$AT$707</f>
        <v/>
      </c>
      <c r="F667" s="19">
        <f>$AT$708</f>
        <v/>
      </c>
    </row>
    <row r="668">
      <c r="D668" s="19">
        <f>IF(ABS(IF(ABS($E$602)&gt;0.000000001,$E$602,0.000000001))=0,0,IF($E$52&lt;=$B$27,0,IF(ABS(IF(ABS($E$602)&gt;0.000000001,$E$602,0.000000001))&gt;=8*$B$29,$H$52,0.5*$H$52*(ABS(IF(ABS($E$602)&gt;0.000000001,$E$602,0.000000001))/$B$29)^(1/3)))/ABS(IF(ABS($E$602)&gt;0.000000001,$E$602,0.000000001))*$I$52)</f>
        <v/>
      </c>
      <c r="E668" s="19">
        <f>0.5*$E$602+0.5*$AT$709</f>
        <v/>
      </c>
      <c r="F668" s="19">
        <f>$AT$710</f>
        <v/>
      </c>
    </row>
    <row r="669">
      <c r="D669" s="19">
        <f>IF(ABS(IF(ABS($E$603)&gt;0.000000001,$E$603,0.000000001))=0,0,IF($E$53&lt;=$B$27,0,IF(ABS(IF(ABS($E$603)&gt;0.000000001,$E$603,0.000000001))&gt;=8*$B$29,$H$53,0.5*$H$53*(ABS(IF(ABS($E$603)&gt;0.000000001,$E$603,0.000000001))/$B$29)^(1/3)))/ABS(IF(ABS($E$603)&gt;0.000000001,$E$603,0.000000001))*$I$53)</f>
        <v/>
      </c>
      <c r="E669" s="19">
        <f>0.5*$E$603+0.5*$AT$711</f>
        <v/>
      </c>
      <c r="F669" s="19">
        <f>$AT$712</f>
        <v/>
      </c>
    </row>
    <row r="671">
      <c r="D671" s="21">
        <f>$B$18+$D$649</f>
        <v/>
      </c>
      <c r="E671" s="21">
        <f>$B$19</f>
        <v/>
      </c>
      <c r="F671" s="21">
        <f>-$B$18</f>
        <v/>
      </c>
      <c r="G671" s="21">
        <f>$B$19</f>
        <v/>
      </c>
      <c r="H671" s="21" t="n">
        <v>0</v>
      </c>
      <c r="I671" s="21" t="n">
        <v>0</v>
      </c>
      <c r="J671" s="21" t="n">
        <v>0</v>
      </c>
      <c r="K671" s="21" t="n">
        <v>0</v>
      </c>
      <c r="L671" s="21" t="n">
        <v>0</v>
      </c>
      <c r="M671" s="21" t="n">
        <v>0</v>
      </c>
      <c r="N671" s="21" t="n">
        <v>0</v>
      </c>
      <c r="O671" s="21" t="n">
        <v>0</v>
      </c>
      <c r="P671" s="21" t="n">
        <v>0</v>
      </c>
      <c r="Q671" s="21" t="n">
        <v>0</v>
      </c>
      <c r="R671" s="21" t="n">
        <v>0</v>
      </c>
      <c r="S671" s="21" t="n">
        <v>0</v>
      </c>
      <c r="T671" s="21" t="n">
        <v>0</v>
      </c>
      <c r="U671" s="21" t="n">
        <v>0</v>
      </c>
      <c r="V671" s="21" t="n">
        <v>0</v>
      </c>
      <c r="W671" s="21" t="n">
        <v>0</v>
      </c>
      <c r="X671" s="21" t="n">
        <v>0</v>
      </c>
      <c r="Y671" s="21" t="n">
        <v>0</v>
      </c>
      <c r="Z671" s="21" t="n">
        <v>0</v>
      </c>
      <c r="AA671" s="21" t="n">
        <v>0</v>
      </c>
      <c r="AB671" s="21" t="n">
        <v>0</v>
      </c>
      <c r="AC671" s="21" t="n">
        <v>0</v>
      </c>
      <c r="AD671" s="21" t="n">
        <v>0</v>
      </c>
      <c r="AE671" s="21" t="n">
        <v>0</v>
      </c>
      <c r="AF671" s="21" t="n">
        <v>0</v>
      </c>
      <c r="AG671" s="21" t="n">
        <v>0</v>
      </c>
      <c r="AH671" s="21" t="n">
        <v>0</v>
      </c>
      <c r="AI671" s="21" t="n">
        <v>0</v>
      </c>
      <c r="AJ671" s="21" t="n">
        <v>0</v>
      </c>
      <c r="AK671" s="21" t="n">
        <v>0</v>
      </c>
      <c r="AL671" s="21" t="n">
        <v>0</v>
      </c>
      <c r="AM671" s="21" t="n">
        <v>0</v>
      </c>
      <c r="AN671" s="21" t="n">
        <v>0</v>
      </c>
      <c r="AO671" s="21" t="n">
        <v>0</v>
      </c>
      <c r="AP671" s="21" t="n">
        <v>0</v>
      </c>
      <c r="AQ671" s="21" t="n">
        <v>0</v>
      </c>
      <c r="AR671" s="21" t="n">
        <v>0</v>
      </c>
      <c r="AS671" s="21" t="n">
        <v>0</v>
      </c>
      <c r="AT671" s="19">
        <f t="array" ref="AT671:AT712">MMULT(MINVERSE($D$671:$AS$712),$D$55:$D$96)</f>
        <v/>
      </c>
    </row>
    <row r="672">
      <c r="D672" s="21">
        <f>$B$19</f>
        <v/>
      </c>
      <c r="E672" s="21">
        <f>$B$20</f>
        <v/>
      </c>
      <c r="F672" s="21">
        <f>-$B$19</f>
        <v/>
      </c>
      <c r="G672" s="21">
        <f>$B$21</f>
        <v/>
      </c>
      <c r="H672" s="21" t="n">
        <v>0</v>
      </c>
      <c r="I672" s="21" t="n">
        <v>0</v>
      </c>
      <c r="J672" s="21" t="n">
        <v>0</v>
      </c>
      <c r="K672" s="21" t="n">
        <v>0</v>
      </c>
      <c r="L672" s="21" t="n">
        <v>0</v>
      </c>
      <c r="M672" s="21" t="n">
        <v>0</v>
      </c>
      <c r="N672" s="21" t="n">
        <v>0</v>
      </c>
      <c r="O672" s="21" t="n">
        <v>0</v>
      </c>
      <c r="P672" s="21" t="n">
        <v>0</v>
      </c>
      <c r="Q672" s="21" t="n">
        <v>0</v>
      </c>
      <c r="R672" s="21" t="n">
        <v>0</v>
      </c>
      <c r="S672" s="21" t="n">
        <v>0</v>
      </c>
      <c r="T672" s="21" t="n">
        <v>0</v>
      </c>
      <c r="U672" s="21" t="n">
        <v>0</v>
      </c>
      <c r="V672" s="21" t="n">
        <v>0</v>
      </c>
      <c r="W672" s="21" t="n">
        <v>0</v>
      </c>
      <c r="X672" s="21" t="n">
        <v>0</v>
      </c>
      <c r="Y672" s="21" t="n">
        <v>0</v>
      </c>
      <c r="Z672" s="21" t="n">
        <v>0</v>
      </c>
      <c r="AA672" s="21" t="n">
        <v>0</v>
      </c>
      <c r="AB672" s="21" t="n">
        <v>0</v>
      </c>
      <c r="AC672" s="21" t="n">
        <v>0</v>
      </c>
      <c r="AD672" s="21" t="n">
        <v>0</v>
      </c>
      <c r="AE672" s="21" t="n">
        <v>0</v>
      </c>
      <c r="AF672" s="21" t="n">
        <v>0</v>
      </c>
      <c r="AG672" s="21" t="n">
        <v>0</v>
      </c>
      <c r="AH672" s="21" t="n">
        <v>0</v>
      </c>
      <c r="AI672" s="21" t="n">
        <v>0</v>
      </c>
      <c r="AJ672" s="21" t="n">
        <v>0</v>
      </c>
      <c r="AK672" s="21" t="n">
        <v>0</v>
      </c>
      <c r="AL672" s="21" t="n">
        <v>0</v>
      </c>
      <c r="AM672" s="21" t="n">
        <v>0</v>
      </c>
      <c r="AN672" s="21" t="n">
        <v>0</v>
      </c>
      <c r="AO672" s="21" t="n">
        <v>0</v>
      </c>
      <c r="AP672" s="21" t="n">
        <v>0</v>
      </c>
      <c r="AQ672" s="21" t="n">
        <v>0</v>
      </c>
      <c r="AR672" s="21" t="n">
        <v>0</v>
      </c>
      <c r="AS672" s="21" t="n">
        <v>0</v>
      </c>
      <c r="AT672" s="19" t="n"/>
    </row>
    <row r="673">
      <c r="D673" s="21">
        <f>-$B$18</f>
        <v/>
      </c>
      <c r="E673" s="21">
        <f>-$B$19</f>
        <v/>
      </c>
      <c r="F673" s="21">
        <f>2*$B$18+$D$650</f>
        <v/>
      </c>
      <c r="G673" s="21">
        <f>0</f>
        <v/>
      </c>
      <c r="H673" s="21">
        <f>-$B$18</f>
        <v/>
      </c>
      <c r="I673" s="21">
        <f>$B$19</f>
        <v/>
      </c>
      <c r="J673" s="21" t="n">
        <v>0</v>
      </c>
      <c r="K673" s="21" t="n">
        <v>0</v>
      </c>
      <c r="L673" s="21" t="n">
        <v>0</v>
      </c>
      <c r="M673" s="21" t="n">
        <v>0</v>
      </c>
      <c r="N673" s="21" t="n">
        <v>0</v>
      </c>
      <c r="O673" s="21" t="n">
        <v>0</v>
      </c>
      <c r="P673" s="21" t="n">
        <v>0</v>
      </c>
      <c r="Q673" s="21" t="n">
        <v>0</v>
      </c>
      <c r="R673" s="21" t="n">
        <v>0</v>
      </c>
      <c r="S673" s="21" t="n">
        <v>0</v>
      </c>
      <c r="T673" s="21" t="n">
        <v>0</v>
      </c>
      <c r="U673" s="21" t="n">
        <v>0</v>
      </c>
      <c r="V673" s="21" t="n">
        <v>0</v>
      </c>
      <c r="W673" s="21" t="n">
        <v>0</v>
      </c>
      <c r="X673" s="21" t="n">
        <v>0</v>
      </c>
      <c r="Y673" s="21" t="n">
        <v>0</v>
      </c>
      <c r="Z673" s="21" t="n">
        <v>0</v>
      </c>
      <c r="AA673" s="21" t="n">
        <v>0</v>
      </c>
      <c r="AB673" s="21" t="n">
        <v>0</v>
      </c>
      <c r="AC673" s="21" t="n">
        <v>0</v>
      </c>
      <c r="AD673" s="21" t="n">
        <v>0</v>
      </c>
      <c r="AE673" s="21" t="n">
        <v>0</v>
      </c>
      <c r="AF673" s="21" t="n">
        <v>0</v>
      </c>
      <c r="AG673" s="21" t="n">
        <v>0</v>
      </c>
      <c r="AH673" s="21" t="n">
        <v>0</v>
      </c>
      <c r="AI673" s="21" t="n">
        <v>0</v>
      </c>
      <c r="AJ673" s="21" t="n">
        <v>0</v>
      </c>
      <c r="AK673" s="21" t="n">
        <v>0</v>
      </c>
      <c r="AL673" s="21" t="n">
        <v>0</v>
      </c>
      <c r="AM673" s="21" t="n">
        <v>0</v>
      </c>
      <c r="AN673" s="21" t="n">
        <v>0</v>
      </c>
      <c r="AO673" s="21" t="n">
        <v>0</v>
      </c>
      <c r="AP673" s="21" t="n">
        <v>0</v>
      </c>
      <c r="AQ673" s="21" t="n">
        <v>0</v>
      </c>
      <c r="AR673" s="21" t="n">
        <v>0</v>
      </c>
      <c r="AS673" s="21" t="n">
        <v>0</v>
      </c>
      <c r="AT673" s="19" t="n"/>
    </row>
    <row r="674">
      <c r="D674" s="21">
        <f>$B$19</f>
        <v/>
      </c>
      <c r="E674" s="21">
        <f>$B$21</f>
        <v/>
      </c>
      <c r="F674" s="21">
        <f>0</f>
        <v/>
      </c>
      <c r="G674" s="21">
        <f>2*$B$20</f>
        <v/>
      </c>
      <c r="H674" s="21">
        <f>-$B$19</f>
        <v/>
      </c>
      <c r="I674" s="21">
        <f>$B$21</f>
        <v/>
      </c>
      <c r="J674" s="21" t="n">
        <v>0</v>
      </c>
      <c r="K674" s="21" t="n">
        <v>0</v>
      </c>
      <c r="L674" s="21" t="n">
        <v>0</v>
      </c>
      <c r="M674" s="21" t="n">
        <v>0</v>
      </c>
      <c r="N674" s="21" t="n">
        <v>0</v>
      </c>
      <c r="O674" s="21" t="n">
        <v>0</v>
      </c>
      <c r="P674" s="21" t="n">
        <v>0</v>
      </c>
      <c r="Q674" s="21" t="n">
        <v>0</v>
      </c>
      <c r="R674" s="21" t="n">
        <v>0</v>
      </c>
      <c r="S674" s="21" t="n">
        <v>0</v>
      </c>
      <c r="T674" s="21" t="n">
        <v>0</v>
      </c>
      <c r="U674" s="21" t="n">
        <v>0</v>
      </c>
      <c r="V674" s="21" t="n">
        <v>0</v>
      </c>
      <c r="W674" s="21" t="n">
        <v>0</v>
      </c>
      <c r="X674" s="21" t="n">
        <v>0</v>
      </c>
      <c r="Y674" s="21" t="n">
        <v>0</v>
      </c>
      <c r="Z674" s="21" t="n">
        <v>0</v>
      </c>
      <c r="AA674" s="21" t="n">
        <v>0</v>
      </c>
      <c r="AB674" s="21" t="n">
        <v>0</v>
      </c>
      <c r="AC674" s="21" t="n">
        <v>0</v>
      </c>
      <c r="AD674" s="21" t="n">
        <v>0</v>
      </c>
      <c r="AE674" s="21" t="n">
        <v>0</v>
      </c>
      <c r="AF674" s="21" t="n">
        <v>0</v>
      </c>
      <c r="AG674" s="21" t="n">
        <v>0</v>
      </c>
      <c r="AH674" s="21" t="n">
        <v>0</v>
      </c>
      <c r="AI674" s="21" t="n">
        <v>0</v>
      </c>
      <c r="AJ674" s="21" t="n">
        <v>0</v>
      </c>
      <c r="AK674" s="21" t="n">
        <v>0</v>
      </c>
      <c r="AL674" s="21" t="n">
        <v>0</v>
      </c>
      <c r="AM674" s="21" t="n">
        <v>0</v>
      </c>
      <c r="AN674" s="21" t="n">
        <v>0</v>
      </c>
      <c r="AO674" s="21" t="n">
        <v>0</v>
      </c>
      <c r="AP674" s="21" t="n">
        <v>0</v>
      </c>
      <c r="AQ674" s="21" t="n">
        <v>0</v>
      </c>
      <c r="AR674" s="21" t="n">
        <v>0</v>
      </c>
      <c r="AS674" s="21" t="n">
        <v>0</v>
      </c>
      <c r="AT674" s="19" t="n"/>
    </row>
    <row r="675">
      <c r="D675" s="21" t="n">
        <v>0</v>
      </c>
      <c r="E675" s="21" t="n">
        <v>0</v>
      </c>
      <c r="F675" s="21">
        <f>-$B$18</f>
        <v/>
      </c>
      <c r="G675" s="21">
        <f>-$B$19</f>
        <v/>
      </c>
      <c r="H675" s="21">
        <f>2*$B$18+$D$651</f>
        <v/>
      </c>
      <c r="I675" s="21">
        <f>0</f>
        <v/>
      </c>
      <c r="J675" s="21">
        <f>-$B$18</f>
        <v/>
      </c>
      <c r="K675" s="21">
        <f>$B$19</f>
        <v/>
      </c>
      <c r="L675" s="21" t="n">
        <v>0</v>
      </c>
      <c r="M675" s="21" t="n">
        <v>0</v>
      </c>
      <c r="N675" s="21" t="n">
        <v>0</v>
      </c>
      <c r="O675" s="21" t="n">
        <v>0</v>
      </c>
      <c r="P675" s="21" t="n">
        <v>0</v>
      </c>
      <c r="Q675" s="21" t="n">
        <v>0</v>
      </c>
      <c r="R675" s="21" t="n">
        <v>0</v>
      </c>
      <c r="S675" s="21" t="n">
        <v>0</v>
      </c>
      <c r="T675" s="21" t="n">
        <v>0</v>
      </c>
      <c r="U675" s="21" t="n">
        <v>0</v>
      </c>
      <c r="V675" s="21" t="n">
        <v>0</v>
      </c>
      <c r="W675" s="21" t="n">
        <v>0</v>
      </c>
      <c r="X675" s="21" t="n">
        <v>0</v>
      </c>
      <c r="Y675" s="21" t="n">
        <v>0</v>
      </c>
      <c r="Z675" s="21" t="n">
        <v>0</v>
      </c>
      <c r="AA675" s="21" t="n">
        <v>0</v>
      </c>
      <c r="AB675" s="21" t="n">
        <v>0</v>
      </c>
      <c r="AC675" s="21" t="n">
        <v>0</v>
      </c>
      <c r="AD675" s="21" t="n">
        <v>0</v>
      </c>
      <c r="AE675" s="21" t="n">
        <v>0</v>
      </c>
      <c r="AF675" s="21" t="n">
        <v>0</v>
      </c>
      <c r="AG675" s="21" t="n">
        <v>0</v>
      </c>
      <c r="AH675" s="21" t="n">
        <v>0</v>
      </c>
      <c r="AI675" s="21" t="n">
        <v>0</v>
      </c>
      <c r="AJ675" s="21" t="n">
        <v>0</v>
      </c>
      <c r="AK675" s="21" t="n">
        <v>0</v>
      </c>
      <c r="AL675" s="21" t="n">
        <v>0</v>
      </c>
      <c r="AM675" s="21" t="n">
        <v>0</v>
      </c>
      <c r="AN675" s="21" t="n">
        <v>0</v>
      </c>
      <c r="AO675" s="21" t="n">
        <v>0</v>
      </c>
      <c r="AP675" s="21" t="n">
        <v>0</v>
      </c>
      <c r="AQ675" s="21" t="n">
        <v>0</v>
      </c>
      <c r="AR675" s="21" t="n">
        <v>0</v>
      </c>
      <c r="AS675" s="21" t="n">
        <v>0</v>
      </c>
      <c r="AT675" s="19" t="n"/>
    </row>
    <row r="676">
      <c r="D676" s="21" t="n">
        <v>0</v>
      </c>
      <c r="E676" s="21" t="n">
        <v>0</v>
      </c>
      <c r="F676" s="21">
        <f>$B$19</f>
        <v/>
      </c>
      <c r="G676" s="21">
        <f>$B$21</f>
        <v/>
      </c>
      <c r="H676" s="21">
        <f>0</f>
        <v/>
      </c>
      <c r="I676" s="21">
        <f>2*$B$20</f>
        <v/>
      </c>
      <c r="J676" s="21">
        <f>-$B$19</f>
        <v/>
      </c>
      <c r="K676" s="21">
        <f>$B$21</f>
        <v/>
      </c>
      <c r="L676" s="21" t="n">
        <v>0</v>
      </c>
      <c r="M676" s="21" t="n">
        <v>0</v>
      </c>
      <c r="N676" s="21" t="n">
        <v>0</v>
      </c>
      <c r="O676" s="21" t="n">
        <v>0</v>
      </c>
      <c r="P676" s="21" t="n">
        <v>0</v>
      </c>
      <c r="Q676" s="21" t="n">
        <v>0</v>
      </c>
      <c r="R676" s="21" t="n">
        <v>0</v>
      </c>
      <c r="S676" s="21" t="n">
        <v>0</v>
      </c>
      <c r="T676" s="21" t="n">
        <v>0</v>
      </c>
      <c r="U676" s="21" t="n">
        <v>0</v>
      </c>
      <c r="V676" s="21" t="n">
        <v>0</v>
      </c>
      <c r="W676" s="21" t="n">
        <v>0</v>
      </c>
      <c r="X676" s="21" t="n">
        <v>0</v>
      </c>
      <c r="Y676" s="21" t="n">
        <v>0</v>
      </c>
      <c r="Z676" s="21" t="n">
        <v>0</v>
      </c>
      <c r="AA676" s="21" t="n">
        <v>0</v>
      </c>
      <c r="AB676" s="21" t="n">
        <v>0</v>
      </c>
      <c r="AC676" s="21" t="n">
        <v>0</v>
      </c>
      <c r="AD676" s="21" t="n">
        <v>0</v>
      </c>
      <c r="AE676" s="21" t="n">
        <v>0</v>
      </c>
      <c r="AF676" s="21" t="n">
        <v>0</v>
      </c>
      <c r="AG676" s="21" t="n">
        <v>0</v>
      </c>
      <c r="AH676" s="21" t="n">
        <v>0</v>
      </c>
      <c r="AI676" s="21" t="n">
        <v>0</v>
      </c>
      <c r="AJ676" s="21" t="n">
        <v>0</v>
      </c>
      <c r="AK676" s="21" t="n">
        <v>0</v>
      </c>
      <c r="AL676" s="21" t="n">
        <v>0</v>
      </c>
      <c r="AM676" s="21" t="n">
        <v>0</v>
      </c>
      <c r="AN676" s="21" t="n">
        <v>0</v>
      </c>
      <c r="AO676" s="21" t="n">
        <v>0</v>
      </c>
      <c r="AP676" s="21" t="n">
        <v>0</v>
      </c>
      <c r="AQ676" s="21" t="n">
        <v>0</v>
      </c>
      <c r="AR676" s="21" t="n">
        <v>0</v>
      </c>
      <c r="AS676" s="21" t="n">
        <v>0</v>
      </c>
      <c r="AT676" s="19" t="n"/>
    </row>
    <row r="677">
      <c r="D677" s="21" t="n">
        <v>0</v>
      </c>
      <c r="E677" s="21" t="n">
        <v>0</v>
      </c>
      <c r="F677" s="21" t="n">
        <v>0</v>
      </c>
      <c r="G677" s="21" t="n">
        <v>0</v>
      </c>
      <c r="H677" s="21">
        <f>-$B$18</f>
        <v/>
      </c>
      <c r="I677" s="21">
        <f>-$B$19</f>
        <v/>
      </c>
      <c r="J677" s="21">
        <f>2*$B$18+$D$652</f>
        <v/>
      </c>
      <c r="K677" s="21">
        <f>0</f>
        <v/>
      </c>
      <c r="L677" s="21">
        <f>-$B$18</f>
        <v/>
      </c>
      <c r="M677" s="21">
        <f>$B$19</f>
        <v/>
      </c>
      <c r="N677" s="21" t="n">
        <v>0</v>
      </c>
      <c r="O677" s="21" t="n">
        <v>0</v>
      </c>
      <c r="P677" s="21" t="n">
        <v>0</v>
      </c>
      <c r="Q677" s="21" t="n">
        <v>0</v>
      </c>
      <c r="R677" s="21" t="n">
        <v>0</v>
      </c>
      <c r="S677" s="21" t="n">
        <v>0</v>
      </c>
      <c r="T677" s="21" t="n">
        <v>0</v>
      </c>
      <c r="U677" s="21" t="n">
        <v>0</v>
      </c>
      <c r="V677" s="21" t="n">
        <v>0</v>
      </c>
      <c r="W677" s="21" t="n">
        <v>0</v>
      </c>
      <c r="X677" s="21" t="n">
        <v>0</v>
      </c>
      <c r="Y677" s="21" t="n">
        <v>0</v>
      </c>
      <c r="Z677" s="21" t="n">
        <v>0</v>
      </c>
      <c r="AA677" s="21" t="n">
        <v>0</v>
      </c>
      <c r="AB677" s="21" t="n">
        <v>0</v>
      </c>
      <c r="AC677" s="21" t="n">
        <v>0</v>
      </c>
      <c r="AD677" s="21" t="n">
        <v>0</v>
      </c>
      <c r="AE677" s="21" t="n">
        <v>0</v>
      </c>
      <c r="AF677" s="21" t="n">
        <v>0</v>
      </c>
      <c r="AG677" s="21" t="n">
        <v>0</v>
      </c>
      <c r="AH677" s="21" t="n">
        <v>0</v>
      </c>
      <c r="AI677" s="21" t="n">
        <v>0</v>
      </c>
      <c r="AJ677" s="21" t="n">
        <v>0</v>
      </c>
      <c r="AK677" s="21" t="n">
        <v>0</v>
      </c>
      <c r="AL677" s="21" t="n">
        <v>0</v>
      </c>
      <c r="AM677" s="21" t="n">
        <v>0</v>
      </c>
      <c r="AN677" s="21" t="n">
        <v>0</v>
      </c>
      <c r="AO677" s="21" t="n">
        <v>0</v>
      </c>
      <c r="AP677" s="21" t="n">
        <v>0</v>
      </c>
      <c r="AQ677" s="21" t="n">
        <v>0</v>
      </c>
      <c r="AR677" s="21" t="n">
        <v>0</v>
      </c>
      <c r="AS677" s="21" t="n">
        <v>0</v>
      </c>
      <c r="AT677" s="19" t="n"/>
    </row>
    <row r="678">
      <c r="D678" s="21" t="n">
        <v>0</v>
      </c>
      <c r="E678" s="21" t="n">
        <v>0</v>
      </c>
      <c r="F678" s="21" t="n">
        <v>0</v>
      </c>
      <c r="G678" s="21" t="n">
        <v>0</v>
      </c>
      <c r="H678" s="21">
        <f>$B$19</f>
        <v/>
      </c>
      <c r="I678" s="21">
        <f>$B$21</f>
        <v/>
      </c>
      <c r="J678" s="21">
        <f>0</f>
        <v/>
      </c>
      <c r="K678" s="21">
        <f>2*$B$20</f>
        <v/>
      </c>
      <c r="L678" s="21">
        <f>-$B$19</f>
        <v/>
      </c>
      <c r="M678" s="21">
        <f>$B$21</f>
        <v/>
      </c>
      <c r="N678" s="21" t="n">
        <v>0</v>
      </c>
      <c r="O678" s="21" t="n">
        <v>0</v>
      </c>
      <c r="P678" s="21" t="n">
        <v>0</v>
      </c>
      <c r="Q678" s="21" t="n">
        <v>0</v>
      </c>
      <c r="R678" s="21" t="n">
        <v>0</v>
      </c>
      <c r="S678" s="21" t="n">
        <v>0</v>
      </c>
      <c r="T678" s="21" t="n">
        <v>0</v>
      </c>
      <c r="U678" s="21" t="n">
        <v>0</v>
      </c>
      <c r="V678" s="21" t="n">
        <v>0</v>
      </c>
      <c r="W678" s="21" t="n">
        <v>0</v>
      </c>
      <c r="X678" s="21" t="n">
        <v>0</v>
      </c>
      <c r="Y678" s="21" t="n">
        <v>0</v>
      </c>
      <c r="Z678" s="21" t="n">
        <v>0</v>
      </c>
      <c r="AA678" s="21" t="n">
        <v>0</v>
      </c>
      <c r="AB678" s="21" t="n">
        <v>0</v>
      </c>
      <c r="AC678" s="21" t="n">
        <v>0</v>
      </c>
      <c r="AD678" s="21" t="n">
        <v>0</v>
      </c>
      <c r="AE678" s="21" t="n">
        <v>0</v>
      </c>
      <c r="AF678" s="21" t="n">
        <v>0</v>
      </c>
      <c r="AG678" s="21" t="n">
        <v>0</v>
      </c>
      <c r="AH678" s="21" t="n">
        <v>0</v>
      </c>
      <c r="AI678" s="21" t="n">
        <v>0</v>
      </c>
      <c r="AJ678" s="21" t="n">
        <v>0</v>
      </c>
      <c r="AK678" s="21" t="n">
        <v>0</v>
      </c>
      <c r="AL678" s="21" t="n">
        <v>0</v>
      </c>
      <c r="AM678" s="21" t="n">
        <v>0</v>
      </c>
      <c r="AN678" s="21" t="n">
        <v>0</v>
      </c>
      <c r="AO678" s="21" t="n">
        <v>0</v>
      </c>
      <c r="AP678" s="21" t="n">
        <v>0</v>
      </c>
      <c r="AQ678" s="21" t="n">
        <v>0</v>
      </c>
      <c r="AR678" s="21" t="n">
        <v>0</v>
      </c>
      <c r="AS678" s="21" t="n">
        <v>0</v>
      </c>
      <c r="AT678" s="19" t="n"/>
    </row>
    <row r="679">
      <c r="D679" s="21" t="n">
        <v>0</v>
      </c>
      <c r="E679" s="21" t="n">
        <v>0</v>
      </c>
      <c r="F679" s="21" t="n">
        <v>0</v>
      </c>
      <c r="G679" s="21" t="n">
        <v>0</v>
      </c>
      <c r="H679" s="21" t="n">
        <v>0</v>
      </c>
      <c r="I679" s="21" t="n">
        <v>0</v>
      </c>
      <c r="J679" s="21">
        <f>-$B$18</f>
        <v/>
      </c>
      <c r="K679" s="21">
        <f>-$B$19</f>
        <v/>
      </c>
      <c r="L679" s="21">
        <f>2*$B$18+$D$653</f>
        <v/>
      </c>
      <c r="M679" s="21">
        <f>0</f>
        <v/>
      </c>
      <c r="N679" s="21">
        <f>-$B$18</f>
        <v/>
      </c>
      <c r="O679" s="21">
        <f>$B$19</f>
        <v/>
      </c>
      <c r="P679" s="21" t="n">
        <v>0</v>
      </c>
      <c r="Q679" s="21" t="n">
        <v>0</v>
      </c>
      <c r="R679" s="21" t="n">
        <v>0</v>
      </c>
      <c r="S679" s="21" t="n">
        <v>0</v>
      </c>
      <c r="T679" s="21" t="n">
        <v>0</v>
      </c>
      <c r="U679" s="21" t="n">
        <v>0</v>
      </c>
      <c r="V679" s="21" t="n">
        <v>0</v>
      </c>
      <c r="W679" s="21" t="n">
        <v>0</v>
      </c>
      <c r="X679" s="21" t="n">
        <v>0</v>
      </c>
      <c r="Y679" s="21" t="n">
        <v>0</v>
      </c>
      <c r="Z679" s="21" t="n">
        <v>0</v>
      </c>
      <c r="AA679" s="21" t="n">
        <v>0</v>
      </c>
      <c r="AB679" s="21" t="n">
        <v>0</v>
      </c>
      <c r="AC679" s="21" t="n">
        <v>0</v>
      </c>
      <c r="AD679" s="21" t="n">
        <v>0</v>
      </c>
      <c r="AE679" s="21" t="n">
        <v>0</v>
      </c>
      <c r="AF679" s="21" t="n">
        <v>0</v>
      </c>
      <c r="AG679" s="21" t="n">
        <v>0</v>
      </c>
      <c r="AH679" s="21" t="n">
        <v>0</v>
      </c>
      <c r="AI679" s="21" t="n">
        <v>0</v>
      </c>
      <c r="AJ679" s="21" t="n">
        <v>0</v>
      </c>
      <c r="AK679" s="21" t="n">
        <v>0</v>
      </c>
      <c r="AL679" s="21" t="n">
        <v>0</v>
      </c>
      <c r="AM679" s="21" t="n">
        <v>0</v>
      </c>
      <c r="AN679" s="21" t="n">
        <v>0</v>
      </c>
      <c r="AO679" s="21" t="n">
        <v>0</v>
      </c>
      <c r="AP679" s="21" t="n">
        <v>0</v>
      </c>
      <c r="AQ679" s="21" t="n">
        <v>0</v>
      </c>
      <c r="AR679" s="21" t="n">
        <v>0</v>
      </c>
      <c r="AS679" s="21" t="n">
        <v>0</v>
      </c>
      <c r="AT679" s="19" t="n"/>
    </row>
    <row r="680">
      <c r="D680" s="21" t="n">
        <v>0</v>
      </c>
      <c r="E680" s="21" t="n">
        <v>0</v>
      </c>
      <c r="F680" s="21" t="n">
        <v>0</v>
      </c>
      <c r="G680" s="21" t="n">
        <v>0</v>
      </c>
      <c r="H680" s="21" t="n">
        <v>0</v>
      </c>
      <c r="I680" s="21" t="n">
        <v>0</v>
      </c>
      <c r="J680" s="21">
        <f>$B$19</f>
        <v/>
      </c>
      <c r="K680" s="21">
        <f>$B$21</f>
        <v/>
      </c>
      <c r="L680" s="21">
        <f>0</f>
        <v/>
      </c>
      <c r="M680" s="21">
        <f>2*$B$20</f>
        <v/>
      </c>
      <c r="N680" s="21">
        <f>-$B$19</f>
        <v/>
      </c>
      <c r="O680" s="21">
        <f>$B$21</f>
        <v/>
      </c>
      <c r="P680" s="21" t="n">
        <v>0</v>
      </c>
      <c r="Q680" s="21" t="n">
        <v>0</v>
      </c>
      <c r="R680" s="21" t="n">
        <v>0</v>
      </c>
      <c r="S680" s="21" t="n">
        <v>0</v>
      </c>
      <c r="T680" s="21" t="n">
        <v>0</v>
      </c>
      <c r="U680" s="21" t="n">
        <v>0</v>
      </c>
      <c r="V680" s="21" t="n">
        <v>0</v>
      </c>
      <c r="W680" s="21" t="n">
        <v>0</v>
      </c>
      <c r="X680" s="21" t="n">
        <v>0</v>
      </c>
      <c r="Y680" s="21" t="n">
        <v>0</v>
      </c>
      <c r="Z680" s="21" t="n">
        <v>0</v>
      </c>
      <c r="AA680" s="21" t="n">
        <v>0</v>
      </c>
      <c r="AB680" s="21" t="n">
        <v>0</v>
      </c>
      <c r="AC680" s="21" t="n">
        <v>0</v>
      </c>
      <c r="AD680" s="21" t="n">
        <v>0</v>
      </c>
      <c r="AE680" s="21" t="n">
        <v>0</v>
      </c>
      <c r="AF680" s="21" t="n">
        <v>0</v>
      </c>
      <c r="AG680" s="21" t="n">
        <v>0</v>
      </c>
      <c r="AH680" s="21" t="n">
        <v>0</v>
      </c>
      <c r="AI680" s="21" t="n">
        <v>0</v>
      </c>
      <c r="AJ680" s="21" t="n">
        <v>0</v>
      </c>
      <c r="AK680" s="21" t="n">
        <v>0</v>
      </c>
      <c r="AL680" s="21" t="n">
        <v>0</v>
      </c>
      <c r="AM680" s="21" t="n">
        <v>0</v>
      </c>
      <c r="AN680" s="21" t="n">
        <v>0</v>
      </c>
      <c r="AO680" s="21" t="n">
        <v>0</v>
      </c>
      <c r="AP680" s="21" t="n">
        <v>0</v>
      </c>
      <c r="AQ680" s="21" t="n">
        <v>0</v>
      </c>
      <c r="AR680" s="21" t="n">
        <v>0</v>
      </c>
      <c r="AS680" s="21" t="n">
        <v>0</v>
      </c>
      <c r="AT680" s="19" t="n"/>
    </row>
    <row r="681">
      <c r="D681" s="21" t="n">
        <v>0</v>
      </c>
      <c r="E681" s="21" t="n">
        <v>0</v>
      </c>
      <c r="F681" s="21" t="n">
        <v>0</v>
      </c>
      <c r="G681" s="21" t="n">
        <v>0</v>
      </c>
      <c r="H681" s="21" t="n">
        <v>0</v>
      </c>
      <c r="I681" s="21" t="n">
        <v>0</v>
      </c>
      <c r="J681" s="21" t="n">
        <v>0</v>
      </c>
      <c r="K681" s="21" t="n">
        <v>0</v>
      </c>
      <c r="L681" s="21">
        <f>-$B$18</f>
        <v/>
      </c>
      <c r="M681" s="21">
        <f>-$B$19</f>
        <v/>
      </c>
      <c r="N681" s="21">
        <f>2*$B$18+$D$654</f>
        <v/>
      </c>
      <c r="O681" s="21">
        <f>0</f>
        <v/>
      </c>
      <c r="P681" s="21">
        <f>-$B$18</f>
        <v/>
      </c>
      <c r="Q681" s="21">
        <f>$B$19</f>
        <v/>
      </c>
      <c r="R681" s="21" t="n">
        <v>0</v>
      </c>
      <c r="S681" s="21" t="n">
        <v>0</v>
      </c>
      <c r="T681" s="21" t="n">
        <v>0</v>
      </c>
      <c r="U681" s="21" t="n">
        <v>0</v>
      </c>
      <c r="V681" s="21" t="n">
        <v>0</v>
      </c>
      <c r="W681" s="21" t="n">
        <v>0</v>
      </c>
      <c r="X681" s="21" t="n">
        <v>0</v>
      </c>
      <c r="Y681" s="21" t="n">
        <v>0</v>
      </c>
      <c r="Z681" s="21" t="n">
        <v>0</v>
      </c>
      <c r="AA681" s="21" t="n">
        <v>0</v>
      </c>
      <c r="AB681" s="21" t="n">
        <v>0</v>
      </c>
      <c r="AC681" s="21" t="n">
        <v>0</v>
      </c>
      <c r="AD681" s="21" t="n">
        <v>0</v>
      </c>
      <c r="AE681" s="21" t="n">
        <v>0</v>
      </c>
      <c r="AF681" s="21" t="n">
        <v>0</v>
      </c>
      <c r="AG681" s="21" t="n">
        <v>0</v>
      </c>
      <c r="AH681" s="21" t="n">
        <v>0</v>
      </c>
      <c r="AI681" s="21" t="n">
        <v>0</v>
      </c>
      <c r="AJ681" s="21" t="n">
        <v>0</v>
      </c>
      <c r="AK681" s="21" t="n">
        <v>0</v>
      </c>
      <c r="AL681" s="21" t="n">
        <v>0</v>
      </c>
      <c r="AM681" s="21" t="n">
        <v>0</v>
      </c>
      <c r="AN681" s="21" t="n">
        <v>0</v>
      </c>
      <c r="AO681" s="21" t="n">
        <v>0</v>
      </c>
      <c r="AP681" s="21" t="n">
        <v>0</v>
      </c>
      <c r="AQ681" s="21" t="n">
        <v>0</v>
      </c>
      <c r="AR681" s="21" t="n">
        <v>0</v>
      </c>
      <c r="AS681" s="21" t="n">
        <v>0</v>
      </c>
      <c r="AT681" s="19" t="n"/>
    </row>
    <row r="682">
      <c r="D682" s="21" t="n">
        <v>0</v>
      </c>
      <c r="E682" s="21" t="n">
        <v>0</v>
      </c>
      <c r="F682" s="21" t="n">
        <v>0</v>
      </c>
      <c r="G682" s="21" t="n">
        <v>0</v>
      </c>
      <c r="H682" s="21" t="n">
        <v>0</v>
      </c>
      <c r="I682" s="21" t="n">
        <v>0</v>
      </c>
      <c r="J682" s="21" t="n">
        <v>0</v>
      </c>
      <c r="K682" s="21" t="n">
        <v>0</v>
      </c>
      <c r="L682" s="21">
        <f>$B$19</f>
        <v/>
      </c>
      <c r="M682" s="21">
        <f>$B$21</f>
        <v/>
      </c>
      <c r="N682" s="21">
        <f>0</f>
        <v/>
      </c>
      <c r="O682" s="21">
        <f>2*$B$20</f>
        <v/>
      </c>
      <c r="P682" s="21">
        <f>-$B$19</f>
        <v/>
      </c>
      <c r="Q682" s="21">
        <f>$B$21</f>
        <v/>
      </c>
      <c r="R682" s="21" t="n">
        <v>0</v>
      </c>
      <c r="S682" s="21" t="n">
        <v>0</v>
      </c>
      <c r="T682" s="21" t="n">
        <v>0</v>
      </c>
      <c r="U682" s="21" t="n">
        <v>0</v>
      </c>
      <c r="V682" s="21" t="n">
        <v>0</v>
      </c>
      <c r="W682" s="21" t="n">
        <v>0</v>
      </c>
      <c r="X682" s="21" t="n">
        <v>0</v>
      </c>
      <c r="Y682" s="21" t="n">
        <v>0</v>
      </c>
      <c r="Z682" s="21" t="n">
        <v>0</v>
      </c>
      <c r="AA682" s="21" t="n">
        <v>0</v>
      </c>
      <c r="AB682" s="21" t="n">
        <v>0</v>
      </c>
      <c r="AC682" s="21" t="n">
        <v>0</v>
      </c>
      <c r="AD682" s="21" t="n">
        <v>0</v>
      </c>
      <c r="AE682" s="21" t="n">
        <v>0</v>
      </c>
      <c r="AF682" s="21" t="n">
        <v>0</v>
      </c>
      <c r="AG682" s="21" t="n">
        <v>0</v>
      </c>
      <c r="AH682" s="21" t="n">
        <v>0</v>
      </c>
      <c r="AI682" s="21" t="n">
        <v>0</v>
      </c>
      <c r="AJ682" s="21" t="n">
        <v>0</v>
      </c>
      <c r="AK682" s="21" t="n">
        <v>0</v>
      </c>
      <c r="AL682" s="21" t="n">
        <v>0</v>
      </c>
      <c r="AM682" s="21" t="n">
        <v>0</v>
      </c>
      <c r="AN682" s="21" t="n">
        <v>0</v>
      </c>
      <c r="AO682" s="21" t="n">
        <v>0</v>
      </c>
      <c r="AP682" s="21" t="n">
        <v>0</v>
      </c>
      <c r="AQ682" s="21" t="n">
        <v>0</v>
      </c>
      <c r="AR682" s="21" t="n">
        <v>0</v>
      </c>
      <c r="AS682" s="21" t="n">
        <v>0</v>
      </c>
      <c r="AT682" s="19" t="n"/>
    </row>
    <row r="683">
      <c r="D683" s="21" t="n">
        <v>0</v>
      </c>
      <c r="E683" s="21" t="n">
        <v>0</v>
      </c>
      <c r="F683" s="21" t="n">
        <v>0</v>
      </c>
      <c r="G683" s="21" t="n">
        <v>0</v>
      </c>
      <c r="H683" s="21" t="n">
        <v>0</v>
      </c>
      <c r="I683" s="21" t="n">
        <v>0</v>
      </c>
      <c r="J683" s="21" t="n">
        <v>0</v>
      </c>
      <c r="K683" s="21" t="n">
        <v>0</v>
      </c>
      <c r="L683" s="21" t="n">
        <v>0</v>
      </c>
      <c r="M683" s="21" t="n">
        <v>0</v>
      </c>
      <c r="N683" s="21">
        <f>-$B$18</f>
        <v/>
      </c>
      <c r="O683" s="21">
        <f>-$B$19</f>
        <v/>
      </c>
      <c r="P683" s="21">
        <f>2*$B$18+$D$655</f>
        <v/>
      </c>
      <c r="Q683" s="21">
        <f>0</f>
        <v/>
      </c>
      <c r="R683" s="21">
        <f>-$B$18</f>
        <v/>
      </c>
      <c r="S683" s="21">
        <f>$B$19</f>
        <v/>
      </c>
      <c r="T683" s="21" t="n">
        <v>0</v>
      </c>
      <c r="U683" s="21" t="n">
        <v>0</v>
      </c>
      <c r="V683" s="21" t="n">
        <v>0</v>
      </c>
      <c r="W683" s="21" t="n">
        <v>0</v>
      </c>
      <c r="X683" s="21" t="n">
        <v>0</v>
      </c>
      <c r="Y683" s="21" t="n">
        <v>0</v>
      </c>
      <c r="Z683" s="21" t="n">
        <v>0</v>
      </c>
      <c r="AA683" s="21" t="n">
        <v>0</v>
      </c>
      <c r="AB683" s="21" t="n">
        <v>0</v>
      </c>
      <c r="AC683" s="21" t="n">
        <v>0</v>
      </c>
      <c r="AD683" s="21" t="n">
        <v>0</v>
      </c>
      <c r="AE683" s="21" t="n">
        <v>0</v>
      </c>
      <c r="AF683" s="21" t="n">
        <v>0</v>
      </c>
      <c r="AG683" s="21" t="n">
        <v>0</v>
      </c>
      <c r="AH683" s="21" t="n">
        <v>0</v>
      </c>
      <c r="AI683" s="21" t="n">
        <v>0</v>
      </c>
      <c r="AJ683" s="21" t="n">
        <v>0</v>
      </c>
      <c r="AK683" s="21" t="n">
        <v>0</v>
      </c>
      <c r="AL683" s="21" t="n">
        <v>0</v>
      </c>
      <c r="AM683" s="21" t="n">
        <v>0</v>
      </c>
      <c r="AN683" s="21" t="n">
        <v>0</v>
      </c>
      <c r="AO683" s="21" t="n">
        <v>0</v>
      </c>
      <c r="AP683" s="21" t="n">
        <v>0</v>
      </c>
      <c r="AQ683" s="21" t="n">
        <v>0</v>
      </c>
      <c r="AR683" s="21" t="n">
        <v>0</v>
      </c>
      <c r="AS683" s="21" t="n">
        <v>0</v>
      </c>
      <c r="AT683" s="19" t="n"/>
    </row>
    <row r="684">
      <c r="D684" s="21" t="n">
        <v>0</v>
      </c>
      <c r="E684" s="21" t="n">
        <v>0</v>
      </c>
      <c r="F684" s="21" t="n">
        <v>0</v>
      </c>
      <c r="G684" s="21" t="n">
        <v>0</v>
      </c>
      <c r="H684" s="21" t="n">
        <v>0</v>
      </c>
      <c r="I684" s="21" t="n">
        <v>0</v>
      </c>
      <c r="J684" s="21" t="n">
        <v>0</v>
      </c>
      <c r="K684" s="21" t="n">
        <v>0</v>
      </c>
      <c r="L684" s="21" t="n">
        <v>0</v>
      </c>
      <c r="M684" s="21" t="n">
        <v>0</v>
      </c>
      <c r="N684" s="21">
        <f>$B$19</f>
        <v/>
      </c>
      <c r="O684" s="21">
        <f>$B$21</f>
        <v/>
      </c>
      <c r="P684" s="21">
        <f>0</f>
        <v/>
      </c>
      <c r="Q684" s="21">
        <f>2*$B$20</f>
        <v/>
      </c>
      <c r="R684" s="21">
        <f>-$B$19</f>
        <v/>
      </c>
      <c r="S684" s="21">
        <f>$B$21</f>
        <v/>
      </c>
      <c r="T684" s="21" t="n">
        <v>0</v>
      </c>
      <c r="U684" s="21" t="n">
        <v>0</v>
      </c>
      <c r="V684" s="21" t="n">
        <v>0</v>
      </c>
      <c r="W684" s="21" t="n">
        <v>0</v>
      </c>
      <c r="X684" s="21" t="n">
        <v>0</v>
      </c>
      <c r="Y684" s="21" t="n">
        <v>0</v>
      </c>
      <c r="Z684" s="21" t="n">
        <v>0</v>
      </c>
      <c r="AA684" s="21" t="n">
        <v>0</v>
      </c>
      <c r="AB684" s="21" t="n">
        <v>0</v>
      </c>
      <c r="AC684" s="21" t="n">
        <v>0</v>
      </c>
      <c r="AD684" s="21" t="n">
        <v>0</v>
      </c>
      <c r="AE684" s="21" t="n">
        <v>0</v>
      </c>
      <c r="AF684" s="21" t="n">
        <v>0</v>
      </c>
      <c r="AG684" s="21" t="n">
        <v>0</v>
      </c>
      <c r="AH684" s="21" t="n">
        <v>0</v>
      </c>
      <c r="AI684" s="21" t="n">
        <v>0</v>
      </c>
      <c r="AJ684" s="21" t="n">
        <v>0</v>
      </c>
      <c r="AK684" s="21" t="n">
        <v>0</v>
      </c>
      <c r="AL684" s="21" t="n">
        <v>0</v>
      </c>
      <c r="AM684" s="21" t="n">
        <v>0</v>
      </c>
      <c r="AN684" s="21" t="n">
        <v>0</v>
      </c>
      <c r="AO684" s="21" t="n">
        <v>0</v>
      </c>
      <c r="AP684" s="21" t="n">
        <v>0</v>
      </c>
      <c r="AQ684" s="21" t="n">
        <v>0</v>
      </c>
      <c r="AR684" s="21" t="n">
        <v>0</v>
      </c>
      <c r="AS684" s="21" t="n">
        <v>0</v>
      </c>
      <c r="AT684" s="19" t="n"/>
    </row>
    <row r="685">
      <c r="D685" s="21" t="n">
        <v>0</v>
      </c>
      <c r="E685" s="21" t="n">
        <v>0</v>
      </c>
      <c r="F685" s="21" t="n">
        <v>0</v>
      </c>
      <c r="G685" s="21" t="n">
        <v>0</v>
      </c>
      <c r="H685" s="21" t="n">
        <v>0</v>
      </c>
      <c r="I685" s="21" t="n">
        <v>0</v>
      </c>
      <c r="J685" s="21" t="n">
        <v>0</v>
      </c>
      <c r="K685" s="21" t="n">
        <v>0</v>
      </c>
      <c r="L685" s="21" t="n">
        <v>0</v>
      </c>
      <c r="M685" s="21" t="n">
        <v>0</v>
      </c>
      <c r="N685" s="21" t="n">
        <v>0</v>
      </c>
      <c r="O685" s="21" t="n">
        <v>0</v>
      </c>
      <c r="P685" s="21">
        <f>-$B$18</f>
        <v/>
      </c>
      <c r="Q685" s="21">
        <f>-$B$19</f>
        <v/>
      </c>
      <c r="R685" s="21">
        <f>2*$B$18+$D$656</f>
        <v/>
      </c>
      <c r="S685" s="21">
        <f>0</f>
        <v/>
      </c>
      <c r="T685" s="21">
        <f>-$B$18</f>
        <v/>
      </c>
      <c r="U685" s="21">
        <f>$B$19</f>
        <v/>
      </c>
      <c r="V685" s="21" t="n">
        <v>0</v>
      </c>
      <c r="W685" s="21" t="n">
        <v>0</v>
      </c>
      <c r="X685" s="21" t="n">
        <v>0</v>
      </c>
      <c r="Y685" s="21" t="n">
        <v>0</v>
      </c>
      <c r="Z685" s="21" t="n">
        <v>0</v>
      </c>
      <c r="AA685" s="21" t="n">
        <v>0</v>
      </c>
      <c r="AB685" s="21" t="n">
        <v>0</v>
      </c>
      <c r="AC685" s="21" t="n">
        <v>0</v>
      </c>
      <c r="AD685" s="21" t="n">
        <v>0</v>
      </c>
      <c r="AE685" s="21" t="n">
        <v>0</v>
      </c>
      <c r="AF685" s="21" t="n">
        <v>0</v>
      </c>
      <c r="AG685" s="21" t="n">
        <v>0</v>
      </c>
      <c r="AH685" s="21" t="n">
        <v>0</v>
      </c>
      <c r="AI685" s="21" t="n">
        <v>0</v>
      </c>
      <c r="AJ685" s="21" t="n">
        <v>0</v>
      </c>
      <c r="AK685" s="21" t="n">
        <v>0</v>
      </c>
      <c r="AL685" s="21" t="n">
        <v>0</v>
      </c>
      <c r="AM685" s="21" t="n">
        <v>0</v>
      </c>
      <c r="AN685" s="21" t="n">
        <v>0</v>
      </c>
      <c r="AO685" s="21" t="n">
        <v>0</v>
      </c>
      <c r="AP685" s="21" t="n">
        <v>0</v>
      </c>
      <c r="AQ685" s="21" t="n">
        <v>0</v>
      </c>
      <c r="AR685" s="21" t="n">
        <v>0</v>
      </c>
      <c r="AS685" s="21" t="n">
        <v>0</v>
      </c>
      <c r="AT685" s="19" t="n"/>
    </row>
    <row r="686">
      <c r="D686" s="21" t="n">
        <v>0</v>
      </c>
      <c r="E686" s="21" t="n">
        <v>0</v>
      </c>
      <c r="F686" s="21" t="n">
        <v>0</v>
      </c>
      <c r="G686" s="21" t="n">
        <v>0</v>
      </c>
      <c r="H686" s="21" t="n">
        <v>0</v>
      </c>
      <c r="I686" s="21" t="n">
        <v>0</v>
      </c>
      <c r="J686" s="21" t="n">
        <v>0</v>
      </c>
      <c r="K686" s="21" t="n">
        <v>0</v>
      </c>
      <c r="L686" s="21" t="n">
        <v>0</v>
      </c>
      <c r="M686" s="21" t="n">
        <v>0</v>
      </c>
      <c r="N686" s="21" t="n">
        <v>0</v>
      </c>
      <c r="O686" s="21" t="n">
        <v>0</v>
      </c>
      <c r="P686" s="21">
        <f>$B$19</f>
        <v/>
      </c>
      <c r="Q686" s="21">
        <f>$B$21</f>
        <v/>
      </c>
      <c r="R686" s="21">
        <f>0</f>
        <v/>
      </c>
      <c r="S686" s="21">
        <f>2*$B$20</f>
        <v/>
      </c>
      <c r="T686" s="21">
        <f>-$B$19</f>
        <v/>
      </c>
      <c r="U686" s="21">
        <f>$B$21</f>
        <v/>
      </c>
      <c r="V686" s="21" t="n">
        <v>0</v>
      </c>
      <c r="W686" s="21" t="n">
        <v>0</v>
      </c>
      <c r="X686" s="21" t="n">
        <v>0</v>
      </c>
      <c r="Y686" s="21" t="n">
        <v>0</v>
      </c>
      <c r="Z686" s="21" t="n">
        <v>0</v>
      </c>
      <c r="AA686" s="21" t="n">
        <v>0</v>
      </c>
      <c r="AB686" s="21" t="n">
        <v>0</v>
      </c>
      <c r="AC686" s="21" t="n">
        <v>0</v>
      </c>
      <c r="AD686" s="21" t="n">
        <v>0</v>
      </c>
      <c r="AE686" s="21" t="n">
        <v>0</v>
      </c>
      <c r="AF686" s="21" t="n">
        <v>0</v>
      </c>
      <c r="AG686" s="21" t="n">
        <v>0</v>
      </c>
      <c r="AH686" s="21" t="n">
        <v>0</v>
      </c>
      <c r="AI686" s="21" t="n">
        <v>0</v>
      </c>
      <c r="AJ686" s="21" t="n">
        <v>0</v>
      </c>
      <c r="AK686" s="21" t="n">
        <v>0</v>
      </c>
      <c r="AL686" s="21" t="n">
        <v>0</v>
      </c>
      <c r="AM686" s="21" t="n">
        <v>0</v>
      </c>
      <c r="AN686" s="21" t="n">
        <v>0</v>
      </c>
      <c r="AO686" s="21" t="n">
        <v>0</v>
      </c>
      <c r="AP686" s="21" t="n">
        <v>0</v>
      </c>
      <c r="AQ686" s="21" t="n">
        <v>0</v>
      </c>
      <c r="AR686" s="21" t="n">
        <v>0</v>
      </c>
      <c r="AS686" s="21" t="n">
        <v>0</v>
      </c>
      <c r="AT686" s="19" t="n"/>
    </row>
    <row r="687">
      <c r="D687" s="21" t="n">
        <v>0</v>
      </c>
      <c r="E687" s="21" t="n">
        <v>0</v>
      </c>
      <c r="F687" s="21" t="n">
        <v>0</v>
      </c>
      <c r="G687" s="21" t="n">
        <v>0</v>
      </c>
      <c r="H687" s="21" t="n">
        <v>0</v>
      </c>
      <c r="I687" s="21" t="n">
        <v>0</v>
      </c>
      <c r="J687" s="21" t="n">
        <v>0</v>
      </c>
      <c r="K687" s="21" t="n">
        <v>0</v>
      </c>
      <c r="L687" s="21" t="n">
        <v>0</v>
      </c>
      <c r="M687" s="21" t="n">
        <v>0</v>
      </c>
      <c r="N687" s="21" t="n">
        <v>0</v>
      </c>
      <c r="O687" s="21" t="n">
        <v>0</v>
      </c>
      <c r="P687" s="21" t="n">
        <v>0</v>
      </c>
      <c r="Q687" s="21" t="n">
        <v>0</v>
      </c>
      <c r="R687" s="21">
        <f>-$B$18</f>
        <v/>
      </c>
      <c r="S687" s="21">
        <f>-$B$19</f>
        <v/>
      </c>
      <c r="T687" s="21">
        <f>2*$B$18+$D$657</f>
        <v/>
      </c>
      <c r="U687" s="21">
        <f>0</f>
        <v/>
      </c>
      <c r="V687" s="21">
        <f>-$B$18</f>
        <v/>
      </c>
      <c r="W687" s="21">
        <f>$B$19</f>
        <v/>
      </c>
      <c r="X687" s="21" t="n">
        <v>0</v>
      </c>
      <c r="Y687" s="21" t="n">
        <v>0</v>
      </c>
      <c r="Z687" s="21" t="n">
        <v>0</v>
      </c>
      <c r="AA687" s="21" t="n">
        <v>0</v>
      </c>
      <c r="AB687" s="21" t="n">
        <v>0</v>
      </c>
      <c r="AC687" s="21" t="n">
        <v>0</v>
      </c>
      <c r="AD687" s="21" t="n">
        <v>0</v>
      </c>
      <c r="AE687" s="21" t="n">
        <v>0</v>
      </c>
      <c r="AF687" s="21" t="n">
        <v>0</v>
      </c>
      <c r="AG687" s="21" t="n">
        <v>0</v>
      </c>
      <c r="AH687" s="21" t="n">
        <v>0</v>
      </c>
      <c r="AI687" s="21" t="n">
        <v>0</v>
      </c>
      <c r="AJ687" s="21" t="n">
        <v>0</v>
      </c>
      <c r="AK687" s="21" t="n">
        <v>0</v>
      </c>
      <c r="AL687" s="21" t="n">
        <v>0</v>
      </c>
      <c r="AM687" s="21" t="n">
        <v>0</v>
      </c>
      <c r="AN687" s="21" t="n">
        <v>0</v>
      </c>
      <c r="AO687" s="21" t="n">
        <v>0</v>
      </c>
      <c r="AP687" s="21" t="n">
        <v>0</v>
      </c>
      <c r="AQ687" s="21" t="n">
        <v>0</v>
      </c>
      <c r="AR687" s="21" t="n">
        <v>0</v>
      </c>
      <c r="AS687" s="21" t="n">
        <v>0</v>
      </c>
      <c r="AT687" s="19" t="n"/>
    </row>
    <row r="688">
      <c r="D688" s="21" t="n">
        <v>0</v>
      </c>
      <c r="E688" s="21" t="n">
        <v>0</v>
      </c>
      <c r="F688" s="21" t="n">
        <v>0</v>
      </c>
      <c r="G688" s="21" t="n">
        <v>0</v>
      </c>
      <c r="H688" s="21" t="n">
        <v>0</v>
      </c>
      <c r="I688" s="21" t="n">
        <v>0</v>
      </c>
      <c r="J688" s="21" t="n">
        <v>0</v>
      </c>
      <c r="K688" s="21" t="n">
        <v>0</v>
      </c>
      <c r="L688" s="21" t="n">
        <v>0</v>
      </c>
      <c r="M688" s="21" t="n">
        <v>0</v>
      </c>
      <c r="N688" s="21" t="n">
        <v>0</v>
      </c>
      <c r="O688" s="21" t="n">
        <v>0</v>
      </c>
      <c r="P688" s="21" t="n">
        <v>0</v>
      </c>
      <c r="Q688" s="21" t="n">
        <v>0</v>
      </c>
      <c r="R688" s="21">
        <f>$B$19</f>
        <v/>
      </c>
      <c r="S688" s="21">
        <f>$B$21</f>
        <v/>
      </c>
      <c r="T688" s="21">
        <f>0</f>
        <v/>
      </c>
      <c r="U688" s="21">
        <f>2*$B$20</f>
        <v/>
      </c>
      <c r="V688" s="21">
        <f>-$B$19</f>
        <v/>
      </c>
      <c r="W688" s="21">
        <f>$B$21</f>
        <v/>
      </c>
      <c r="X688" s="21" t="n">
        <v>0</v>
      </c>
      <c r="Y688" s="21" t="n">
        <v>0</v>
      </c>
      <c r="Z688" s="21" t="n">
        <v>0</v>
      </c>
      <c r="AA688" s="21" t="n">
        <v>0</v>
      </c>
      <c r="AB688" s="21" t="n">
        <v>0</v>
      </c>
      <c r="AC688" s="21" t="n">
        <v>0</v>
      </c>
      <c r="AD688" s="21" t="n">
        <v>0</v>
      </c>
      <c r="AE688" s="21" t="n">
        <v>0</v>
      </c>
      <c r="AF688" s="21" t="n">
        <v>0</v>
      </c>
      <c r="AG688" s="21" t="n">
        <v>0</v>
      </c>
      <c r="AH688" s="21" t="n">
        <v>0</v>
      </c>
      <c r="AI688" s="21" t="n">
        <v>0</v>
      </c>
      <c r="AJ688" s="21" t="n">
        <v>0</v>
      </c>
      <c r="AK688" s="21" t="n">
        <v>0</v>
      </c>
      <c r="AL688" s="21" t="n">
        <v>0</v>
      </c>
      <c r="AM688" s="21" t="n">
        <v>0</v>
      </c>
      <c r="AN688" s="21" t="n">
        <v>0</v>
      </c>
      <c r="AO688" s="21" t="n">
        <v>0</v>
      </c>
      <c r="AP688" s="21" t="n">
        <v>0</v>
      </c>
      <c r="AQ688" s="21" t="n">
        <v>0</v>
      </c>
      <c r="AR688" s="21" t="n">
        <v>0</v>
      </c>
      <c r="AS688" s="21" t="n">
        <v>0</v>
      </c>
      <c r="AT688" s="19" t="n"/>
    </row>
    <row r="689">
      <c r="D689" s="21" t="n">
        <v>0</v>
      </c>
      <c r="E689" s="21" t="n">
        <v>0</v>
      </c>
      <c r="F689" s="21" t="n">
        <v>0</v>
      </c>
      <c r="G689" s="21" t="n">
        <v>0</v>
      </c>
      <c r="H689" s="21" t="n">
        <v>0</v>
      </c>
      <c r="I689" s="21" t="n">
        <v>0</v>
      </c>
      <c r="J689" s="21" t="n">
        <v>0</v>
      </c>
      <c r="K689" s="21" t="n">
        <v>0</v>
      </c>
      <c r="L689" s="21" t="n">
        <v>0</v>
      </c>
      <c r="M689" s="21" t="n">
        <v>0</v>
      </c>
      <c r="N689" s="21" t="n">
        <v>0</v>
      </c>
      <c r="O689" s="21" t="n">
        <v>0</v>
      </c>
      <c r="P689" s="21" t="n">
        <v>0</v>
      </c>
      <c r="Q689" s="21" t="n">
        <v>0</v>
      </c>
      <c r="R689" s="21" t="n">
        <v>0</v>
      </c>
      <c r="S689" s="21" t="n">
        <v>0</v>
      </c>
      <c r="T689" s="21">
        <f>-$B$18</f>
        <v/>
      </c>
      <c r="U689" s="21">
        <f>-$B$19</f>
        <v/>
      </c>
      <c r="V689" s="21">
        <f>2*$B$18+$D$658</f>
        <v/>
      </c>
      <c r="W689" s="21">
        <f>0</f>
        <v/>
      </c>
      <c r="X689" s="21">
        <f>-$B$18</f>
        <v/>
      </c>
      <c r="Y689" s="21">
        <f>$B$19</f>
        <v/>
      </c>
      <c r="Z689" s="21" t="n">
        <v>0</v>
      </c>
      <c r="AA689" s="21" t="n">
        <v>0</v>
      </c>
      <c r="AB689" s="21" t="n">
        <v>0</v>
      </c>
      <c r="AC689" s="21" t="n">
        <v>0</v>
      </c>
      <c r="AD689" s="21" t="n">
        <v>0</v>
      </c>
      <c r="AE689" s="21" t="n">
        <v>0</v>
      </c>
      <c r="AF689" s="21" t="n">
        <v>0</v>
      </c>
      <c r="AG689" s="21" t="n">
        <v>0</v>
      </c>
      <c r="AH689" s="21" t="n">
        <v>0</v>
      </c>
      <c r="AI689" s="21" t="n">
        <v>0</v>
      </c>
      <c r="AJ689" s="21" t="n">
        <v>0</v>
      </c>
      <c r="AK689" s="21" t="n">
        <v>0</v>
      </c>
      <c r="AL689" s="21" t="n">
        <v>0</v>
      </c>
      <c r="AM689" s="21" t="n">
        <v>0</v>
      </c>
      <c r="AN689" s="21" t="n">
        <v>0</v>
      </c>
      <c r="AO689" s="21" t="n">
        <v>0</v>
      </c>
      <c r="AP689" s="21" t="n">
        <v>0</v>
      </c>
      <c r="AQ689" s="21" t="n">
        <v>0</v>
      </c>
      <c r="AR689" s="21" t="n">
        <v>0</v>
      </c>
      <c r="AS689" s="21" t="n">
        <v>0</v>
      </c>
      <c r="AT689" s="19" t="n"/>
    </row>
    <row r="690">
      <c r="D690" s="21" t="n">
        <v>0</v>
      </c>
      <c r="E690" s="21" t="n">
        <v>0</v>
      </c>
      <c r="F690" s="21" t="n">
        <v>0</v>
      </c>
      <c r="G690" s="21" t="n">
        <v>0</v>
      </c>
      <c r="H690" s="21" t="n">
        <v>0</v>
      </c>
      <c r="I690" s="21" t="n">
        <v>0</v>
      </c>
      <c r="J690" s="21" t="n">
        <v>0</v>
      </c>
      <c r="K690" s="21" t="n">
        <v>0</v>
      </c>
      <c r="L690" s="21" t="n">
        <v>0</v>
      </c>
      <c r="M690" s="21" t="n">
        <v>0</v>
      </c>
      <c r="N690" s="21" t="n">
        <v>0</v>
      </c>
      <c r="O690" s="21" t="n">
        <v>0</v>
      </c>
      <c r="P690" s="21" t="n">
        <v>0</v>
      </c>
      <c r="Q690" s="21" t="n">
        <v>0</v>
      </c>
      <c r="R690" s="21" t="n">
        <v>0</v>
      </c>
      <c r="S690" s="21" t="n">
        <v>0</v>
      </c>
      <c r="T690" s="21">
        <f>$B$19</f>
        <v/>
      </c>
      <c r="U690" s="21">
        <f>$B$21</f>
        <v/>
      </c>
      <c r="V690" s="21">
        <f>0</f>
        <v/>
      </c>
      <c r="W690" s="21">
        <f>2*$B$20</f>
        <v/>
      </c>
      <c r="X690" s="21">
        <f>-$B$19</f>
        <v/>
      </c>
      <c r="Y690" s="21">
        <f>$B$21</f>
        <v/>
      </c>
      <c r="Z690" s="21" t="n">
        <v>0</v>
      </c>
      <c r="AA690" s="21" t="n">
        <v>0</v>
      </c>
      <c r="AB690" s="21" t="n">
        <v>0</v>
      </c>
      <c r="AC690" s="21" t="n">
        <v>0</v>
      </c>
      <c r="AD690" s="21" t="n">
        <v>0</v>
      </c>
      <c r="AE690" s="21" t="n">
        <v>0</v>
      </c>
      <c r="AF690" s="21" t="n">
        <v>0</v>
      </c>
      <c r="AG690" s="21" t="n">
        <v>0</v>
      </c>
      <c r="AH690" s="21" t="n">
        <v>0</v>
      </c>
      <c r="AI690" s="21" t="n">
        <v>0</v>
      </c>
      <c r="AJ690" s="21" t="n">
        <v>0</v>
      </c>
      <c r="AK690" s="21" t="n">
        <v>0</v>
      </c>
      <c r="AL690" s="21" t="n">
        <v>0</v>
      </c>
      <c r="AM690" s="21" t="n">
        <v>0</v>
      </c>
      <c r="AN690" s="21" t="n">
        <v>0</v>
      </c>
      <c r="AO690" s="21" t="n">
        <v>0</v>
      </c>
      <c r="AP690" s="21" t="n">
        <v>0</v>
      </c>
      <c r="AQ690" s="21" t="n">
        <v>0</v>
      </c>
      <c r="AR690" s="21" t="n">
        <v>0</v>
      </c>
      <c r="AS690" s="21" t="n">
        <v>0</v>
      </c>
      <c r="AT690" s="19" t="n"/>
    </row>
    <row r="691">
      <c r="D691" s="21" t="n">
        <v>0</v>
      </c>
      <c r="E691" s="21" t="n">
        <v>0</v>
      </c>
      <c r="F691" s="21" t="n">
        <v>0</v>
      </c>
      <c r="G691" s="21" t="n">
        <v>0</v>
      </c>
      <c r="H691" s="21" t="n">
        <v>0</v>
      </c>
      <c r="I691" s="21" t="n">
        <v>0</v>
      </c>
      <c r="J691" s="21" t="n">
        <v>0</v>
      </c>
      <c r="K691" s="21" t="n">
        <v>0</v>
      </c>
      <c r="L691" s="21" t="n">
        <v>0</v>
      </c>
      <c r="M691" s="21" t="n">
        <v>0</v>
      </c>
      <c r="N691" s="21" t="n">
        <v>0</v>
      </c>
      <c r="O691" s="21" t="n">
        <v>0</v>
      </c>
      <c r="P691" s="21" t="n">
        <v>0</v>
      </c>
      <c r="Q691" s="21" t="n">
        <v>0</v>
      </c>
      <c r="R691" s="21" t="n">
        <v>0</v>
      </c>
      <c r="S691" s="21" t="n">
        <v>0</v>
      </c>
      <c r="T691" s="21" t="n">
        <v>0</v>
      </c>
      <c r="U691" s="21" t="n">
        <v>0</v>
      </c>
      <c r="V691" s="21">
        <f>-$B$18</f>
        <v/>
      </c>
      <c r="W691" s="21">
        <f>-$B$19</f>
        <v/>
      </c>
      <c r="X691" s="21">
        <f>2*$B$18+$D$659</f>
        <v/>
      </c>
      <c r="Y691" s="21">
        <f>0</f>
        <v/>
      </c>
      <c r="Z691" s="21">
        <f>-$B$18</f>
        <v/>
      </c>
      <c r="AA691" s="21">
        <f>$B$19</f>
        <v/>
      </c>
      <c r="AB691" s="21" t="n">
        <v>0</v>
      </c>
      <c r="AC691" s="21" t="n">
        <v>0</v>
      </c>
      <c r="AD691" s="21" t="n">
        <v>0</v>
      </c>
      <c r="AE691" s="21" t="n">
        <v>0</v>
      </c>
      <c r="AF691" s="21" t="n">
        <v>0</v>
      </c>
      <c r="AG691" s="21" t="n">
        <v>0</v>
      </c>
      <c r="AH691" s="21" t="n">
        <v>0</v>
      </c>
      <c r="AI691" s="21" t="n">
        <v>0</v>
      </c>
      <c r="AJ691" s="21" t="n">
        <v>0</v>
      </c>
      <c r="AK691" s="21" t="n">
        <v>0</v>
      </c>
      <c r="AL691" s="21" t="n">
        <v>0</v>
      </c>
      <c r="AM691" s="21" t="n">
        <v>0</v>
      </c>
      <c r="AN691" s="21" t="n">
        <v>0</v>
      </c>
      <c r="AO691" s="21" t="n">
        <v>0</v>
      </c>
      <c r="AP691" s="21" t="n">
        <v>0</v>
      </c>
      <c r="AQ691" s="21" t="n">
        <v>0</v>
      </c>
      <c r="AR691" s="21" t="n">
        <v>0</v>
      </c>
      <c r="AS691" s="21" t="n">
        <v>0</v>
      </c>
      <c r="AT691" s="19" t="n"/>
    </row>
    <row r="692">
      <c r="D692" s="21" t="n">
        <v>0</v>
      </c>
      <c r="E692" s="21" t="n">
        <v>0</v>
      </c>
      <c r="F692" s="21" t="n">
        <v>0</v>
      </c>
      <c r="G692" s="21" t="n">
        <v>0</v>
      </c>
      <c r="H692" s="21" t="n">
        <v>0</v>
      </c>
      <c r="I692" s="21" t="n">
        <v>0</v>
      </c>
      <c r="J692" s="21" t="n">
        <v>0</v>
      </c>
      <c r="K692" s="21" t="n">
        <v>0</v>
      </c>
      <c r="L692" s="21" t="n">
        <v>0</v>
      </c>
      <c r="M692" s="21" t="n">
        <v>0</v>
      </c>
      <c r="N692" s="21" t="n">
        <v>0</v>
      </c>
      <c r="O692" s="21" t="n">
        <v>0</v>
      </c>
      <c r="P692" s="21" t="n">
        <v>0</v>
      </c>
      <c r="Q692" s="21" t="n">
        <v>0</v>
      </c>
      <c r="R692" s="21" t="n">
        <v>0</v>
      </c>
      <c r="S692" s="21" t="n">
        <v>0</v>
      </c>
      <c r="T692" s="21" t="n">
        <v>0</v>
      </c>
      <c r="U692" s="21" t="n">
        <v>0</v>
      </c>
      <c r="V692" s="21">
        <f>$B$19</f>
        <v/>
      </c>
      <c r="W692" s="21">
        <f>$B$21</f>
        <v/>
      </c>
      <c r="X692" s="21">
        <f>0</f>
        <v/>
      </c>
      <c r="Y692" s="21">
        <f>2*$B$20</f>
        <v/>
      </c>
      <c r="Z692" s="21">
        <f>-$B$19</f>
        <v/>
      </c>
      <c r="AA692" s="21">
        <f>$B$21</f>
        <v/>
      </c>
      <c r="AB692" s="21" t="n">
        <v>0</v>
      </c>
      <c r="AC692" s="21" t="n">
        <v>0</v>
      </c>
      <c r="AD692" s="21" t="n">
        <v>0</v>
      </c>
      <c r="AE692" s="21" t="n">
        <v>0</v>
      </c>
      <c r="AF692" s="21" t="n">
        <v>0</v>
      </c>
      <c r="AG692" s="21" t="n">
        <v>0</v>
      </c>
      <c r="AH692" s="21" t="n">
        <v>0</v>
      </c>
      <c r="AI692" s="21" t="n">
        <v>0</v>
      </c>
      <c r="AJ692" s="21" t="n">
        <v>0</v>
      </c>
      <c r="AK692" s="21" t="n">
        <v>0</v>
      </c>
      <c r="AL692" s="21" t="n">
        <v>0</v>
      </c>
      <c r="AM692" s="21" t="n">
        <v>0</v>
      </c>
      <c r="AN692" s="21" t="n">
        <v>0</v>
      </c>
      <c r="AO692" s="21" t="n">
        <v>0</v>
      </c>
      <c r="AP692" s="21" t="n">
        <v>0</v>
      </c>
      <c r="AQ692" s="21" t="n">
        <v>0</v>
      </c>
      <c r="AR692" s="21" t="n">
        <v>0</v>
      </c>
      <c r="AS692" s="21" t="n">
        <v>0</v>
      </c>
      <c r="AT692" s="19" t="n"/>
    </row>
    <row r="693">
      <c r="D693" s="21" t="n">
        <v>0</v>
      </c>
      <c r="E693" s="21" t="n">
        <v>0</v>
      </c>
      <c r="F693" s="21" t="n">
        <v>0</v>
      </c>
      <c r="G693" s="21" t="n">
        <v>0</v>
      </c>
      <c r="H693" s="21" t="n">
        <v>0</v>
      </c>
      <c r="I693" s="21" t="n">
        <v>0</v>
      </c>
      <c r="J693" s="21" t="n">
        <v>0</v>
      </c>
      <c r="K693" s="21" t="n">
        <v>0</v>
      </c>
      <c r="L693" s="21" t="n">
        <v>0</v>
      </c>
      <c r="M693" s="21" t="n">
        <v>0</v>
      </c>
      <c r="N693" s="21" t="n">
        <v>0</v>
      </c>
      <c r="O693" s="21" t="n">
        <v>0</v>
      </c>
      <c r="P693" s="21" t="n">
        <v>0</v>
      </c>
      <c r="Q693" s="21" t="n">
        <v>0</v>
      </c>
      <c r="R693" s="21" t="n">
        <v>0</v>
      </c>
      <c r="S693" s="21" t="n">
        <v>0</v>
      </c>
      <c r="T693" s="21" t="n">
        <v>0</v>
      </c>
      <c r="U693" s="21" t="n">
        <v>0</v>
      </c>
      <c r="V693" s="21" t="n">
        <v>0</v>
      </c>
      <c r="W693" s="21" t="n">
        <v>0</v>
      </c>
      <c r="X693" s="21">
        <f>-$B$18</f>
        <v/>
      </c>
      <c r="Y693" s="21">
        <f>-$B$19</f>
        <v/>
      </c>
      <c r="Z693" s="21">
        <f>2*$B$18+$D$660</f>
        <v/>
      </c>
      <c r="AA693" s="21">
        <f>0</f>
        <v/>
      </c>
      <c r="AB693" s="21">
        <f>-$B$18</f>
        <v/>
      </c>
      <c r="AC693" s="21">
        <f>$B$19</f>
        <v/>
      </c>
      <c r="AD693" s="21" t="n">
        <v>0</v>
      </c>
      <c r="AE693" s="21" t="n">
        <v>0</v>
      </c>
      <c r="AF693" s="21" t="n">
        <v>0</v>
      </c>
      <c r="AG693" s="21" t="n">
        <v>0</v>
      </c>
      <c r="AH693" s="21" t="n">
        <v>0</v>
      </c>
      <c r="AI693" s="21" t="n">
        <v>0</v>
      </c>
      <c r="AJ693" s="21" t="n">
        <v>0</v>
      </c>
      <c r="AK693" s="21" t="n">
        <v>0</v>
      </c>
      <c r="AL693" s="21" t="n">
        <v>0</v>
      </c>
      <c r="AM693" s="21" t="n">
        <v>0</v>
      </c>
      <c r="AN693" s="21" t="n">
        <v>0</v>
      </c>
      <c r="AO693" s="21" t="n">
        <v>0</v>
      </c>
      <c r="AP693" s="21" t="n">
        <v>0</v>
      </c>
      <c r="AQ693" s="21" t="n">
        <v>0</v>
      </c>
      <c r="AR693" s="21" t="n">
        <v>0</v>
      </c>
      <c r="AS693" s="21" t="n">
        <v>0</v>
      </c>
      <c r="AT693" s="19" t="n"/>
    </row>
    <row r="694">
      <c r="D694" s="21" t="n">
        <v>0</v>
      </c>
      <c r="E694" s="21" t="n">
        <v>0</v>
      </c>
      <c r="F694" s="21" t="n">
        <v>0</v>
      </c>
      <c r="G694" s="21" t="n">
        <v>0</v>
      </c>
      <c r="H694" s="21" t="n">
        <v>0</v>
      </c>
      <c r="I694" s="21" t="n">
        <v>0</v>
      </c>
      <c r="J694" s="21" t="n">
        <v>0</v>
      </c>
      <c r="K694" s="21" t="n">
        <v>0</v>
      </c>
      <c r="L694" s="21" t="n">
        <v>0</v>
      </c>
      <c r="M694" s="21" t="n">
        <v>0</v>
      </c>
      <c r="N694" s="21" t="n">
        <v>0</v>
      </c>
      <c r="O694" s="21" t="n">
        <v>0</v>
      </c>
      <c r="P694" s="21" t="n">
        <v>0</v>
      </c>
      <c r="Q694" s="21" t="n">
        <v>0</v>
      </c>
      <c r="R694" s="21" t="n">
        <v>0</v>
      </c>
      <c r="S694" s="21" t="n">
        <v>0</v>
      </c>
      <c r="T694" s="21" t="n">
        <v>0</v>
      </c>
      <c r="U694" s="21" t="n">
        <v>0</v>
      </c>
      <c r="V694" s="21" t="n">
        <v>0</v>
      </c>
      <c r="W694" s="21" t="n">
        <v>0</v>
      </c>
      <c r="X694" s="21">
        <f>$B$19</f>
        <v/>
      </c>
      <c r="Y694" s="21">
        <f>$B$21</f>
        <v/>
      </c>
      <c r="Z694" s="21">
        <f>0</f>
        <v/>
      </c>
      <c r="AA694" s="21">
        <f>2*$B$20</f>
        <v/>
      </c>
      <c r="AB694" s="21">
        <f>-$B$19</f>
        <v/>
      </c>
      <c r="AC694" s="21">
        <f>$B$21</f>
        <v/>
      </c>
      <c r="AD694" s="21" t="n">
        <v>0</v>
      </c>
      <c r="AE694" s="21" t="n">
        <v>0</v>
      </c>
      <c r="AF694" s="21" t="n">
        <v>0</v>
      </c>
      <c r="AG694" s="21" t="n">
        <v>0</v>
      </c>
      <c r="AH694" s="21" t="n">
        <v>0</v>
      </c>
      <c r="AI694" s="21" t="n">
        <v>0</v>
      </c>
      <c r="AJ694" s="21" t="n">
        <v>0</v>
      </c>
      <c r="AK694" s="21" t="n">
        <v>0</v>
      </c>
      <c r="AL694" s="21" t="n">
        <v>0</v>
      </c>
      <c r="AM694" s="21" t="n">
        <v>0</v>
      </c>
      <c r="AN694" s="21" t="n">
        <v>0</v>
      </c>
      <c r="AO694" s="21" t="n">
        <v>0</v>
      </c>
      <c r="AP694" s="21" t="n">
        <v>0</v>
      </c>
      <c r="AQ694" s="21" t="n">
        <v>0</v>
      </c>
      <c r="AR694" s="21" t="n">
        <v>0</v>
      </c>
      <c r="AS694" s="21" t="n">
        <v>0</v>
      </c>
      <c r="AT694" s="19" t="n"/>
    </row>
    <row r="695">
      <c r="D695" s="21" t="n">
        <v>0</v>
      </c>
      <c r="E695" s="21" t="n">
        <v>0</v>
      </c>
      <c r="F695" s="21" t="n">
        <v>0</v>
      </c>
      <c r="G695" s="21" t="n">
        <v>0</v>
      </c>
      <c r="H695" s="21" t="n">
        <v>0</v>
      </c>
      <c r="I695" s="21" t="n">
        <v>0</v>
      </c>
      <c r="J695" s="21" t="n">
        <v>0</v>
      </c>
      <c r="K695" s="21" t="n">
        <v>0</v>
      </c>
      <c r="L695" s="21" t="n">
        <v>0</v>
      </c>
      <c r="M695" s="21" t="n">
        <v>0</v>
      </c>
      <c r="N695" s="21" t="n">
        <v>0</v>
      </c>
      <c r="O695" s="21" t="n">
        <v>0</v>
      </c>
      <c r="P695" s="21" t="n">
        <v>0</v>
      </c>
      <c r="Q695" s="21" t="n">
        <v>0</v>
      </c>
      <c r="R695" s="21" t="n">
        <v>0</v>
      </c>
      <c r="S695" s="21" t="n">
        <v>0</v>
      </c>
      <c r="T695" s="21" t="n">
        <v>0</v>
      </c>
      <c r="U695" s="21" t="n">
        <v>0</v>
      </c>
      <c r="V695" s="21" t="n">
        <v>0</v>
      </c>
      <c r="W695" s="21" t="n">
        <v>0</v>
      </c>
      <c r="X695" s="21" t="n">
        <v>0</v>
      </c>
      <c r="Y695" s="21" t="n">
        <v>0</v>
      </c>
      <c r="Z695" s="21">
        <f>-$B$18</f>
        <v/>
      </c>
      <c r="AA695" s="21">
        <f>-$B$19</f>
        <v/>
      </c>
      <c r="AB695" s="21">
        <f>2*$B$18+$D$661</f>
        <v/>
      </c>
      <c r="AC695" s="21">
        <f>0</f>
        <v/>
      </c>
      <c r="AD695" s="21">
        <f>-$B$18</f>
        <v/>
      </c>
      <c r="AE695" s="21">
        <f>$B$19</f>
        <v/>
      </c>
      <c r="AF695" s="21" t="n">
        <v>0</v>
      </c>
      <c r="AG695" s="21" t="n">
        <v>0</v>
      </c>
      <c r="AH695" s="21" t="n">
        <v>0</v>
      </c>
      <c r="AI695" s="21" t="n">
        <v>0</v>
      </c>
      <c r="AJ695" s="21" t="n">
        <v>0</v>
      </c>
      <c r="AK695" s="21" t="n">
        <v>0</v>
      </c>
      <c r="AL695" s="21" t="n">
        <v>0</v>
      </c>
      <c r="AM695" s="21" t="n">
        <v>0</v>
      </c>
      <c r="AN695" s="21" t="n">
        <v>0</v>
      </c>
      <c r="AO695" s="21" t="n">
        <v>0</v>
      </c>
      <c r="AP695" s="21" t="n">
        <v>0</v>
      </c>
      <c r="AQ695" s="21" t="n">
        <v>0</v>
      </c>
      <c r="AR695" s="21" t="n">
        <v>0</v>
      </c>
      <c r="AS695" s="21" t="n">
        <v>0</v>
      </c>
      <c r="AT695" s="19" t="n"/>
    </row>
    <row r="696">
      <c r="D696" s="21" t="n">
        <v>0</v>
      </c>
      <c r="E696" s="21" t="n">
        <v>0</v>
      </c>
      <c r="F696" s="21" t="n">
        <v>0</v>
      </c>
      <c r="G696" s="21" t="n">
        <v>0</v>
      </c>
      <c r="H696" s="21" t="n">
        <v>0</v>
      </c>
      <c r="I696" s="21" t="n">
        <v>0</v>
      </c>
      <c r="J696" s="21" t="n">
        <v>0</v>
      </c>
      <c r="K696" s="21" t="n">
        <v>0</v>
      </c>
      <c r="L696" s="21" t="n">
        <v>0</v>
      </c>
      <c r="M696" s="21" t="n">
        <v>0</v>
      </c>
      <c r="N696" s="21" t="n">
        <v>0</v>
      </c>
      <c r="O696" s="21" t="n">
        <v>0</v>
      </c>
      <c r="P696" s="21" t="n">
        <v>0</v>
      </c>
      <c r="Q696" s="21" t="n">
        <v>0</v>
      </c>
      <c r="R696" s="21" t="n">
        <v>0</v>
      </c>
      <c r="S696" s="21" t="n">
        <v>0</v>
      </c>
      <c r="T696" s="21" t="n">
        <v>0</v>
      </c>
      <c r="U696" s="21" t="n">
        <v>0</v>
      </c>
      <c r="V696" s="21" t="n">
        <v>0</v>
      </c>
      <c r="W696" s="21" t="n">
        <v>0</v>
      </c>
      <c r="X696" s="21" t="n">
        <v>0</v>
      </c>
      <c r="Y696" s="21" t="n">
        <v>0</v>
      </c>
      <c r="Z696" s="21">
        <f>$B$19</f>
        <v/>
      </c>
      <c r="AA696" s="21">
        <f>$B$21</f>
        <v/>
      </c>
      <c r="AB696" s="21">
        <f>0</f>
        <v/>
      </c>
      <c r="AC696" s="21">
        <f>2*$B$20</f>
        <v/>
      </c>
      <c r="AD696" s="21">
        <f>-$B$19</f>
        <v/>
      </c>
      <c r="AE696" s="21">
        <f>$B$21</f>
        <v/>
      </c>
      <c r="AF696" s="21" t="n">
        <v>0</v>
      </c>
      <c r="AG696" s="21" t="n">
        <v>0</v>
      </c>
      <c r="AH696" s="21" t="n">
        <v>0</v>
      </c>
      <c r="AI696" s="21" t="n">
        <v>0</v>
      </c>
      <c r="AJ696" s="21" t="n">
        <v>0</v>
      </c>
      <c r="AK696" s="21" t="n">
        <v>0</v>
      </c>
      <c r="AL696" s="21" t="n">
        <v>0</v>
      </c>
      <c r="AM696" s="21" t="n">
        <v>0</v>
      </c>
      <c r="AN696" s="21" t="n">
        <v>0</v>
      </c>
      <c r="AO696" s="21" t="n">
        <v>0</v>
      </c>
      <c r="AP696" s="21" t="n">
        <v>0</v>
      </c>
      <c r="AQ696" s="21" t="n">
        <v>0</v>
      </c>
      <c r="AR696" s="21" t="n">
        <v>0</v>
      </c>
      <c r="AS696" s="21" t="n">
        <v>0</v>
      </c>
      <c r="AT696" s="19" t="n"/>
    </row>
    <row r="697">
      <c r="D697" s="21" t="n">
        <v>0</v>
      </c>
      <c r="E697" s="21" t="n">
        <v>0</v>
      </c>
      <c r="F697" s="21" t="n">
        <v>0</v>
      </c>
      <c r="G697" s="21" t="n">
        <v>0</v>
      </c>
      <c r="H697" s="21" t="n">
        <v>0</v>
      </c>
      <c r="I697" s="21" t="n">
        <v>0</v>
      </c>
      <c r="J697" s="21" t="n">
        <v>0</v>
      </c>
      <c r="K697" s="21" t="n">
        <v>0</v>
      </c>
      <c r="L697" s="21" t="n">
        <v>0</v>
      </c>
      <c r="M697" s="21" t="n">
        <v>0</v>
      </c>
      <c r="N697" s="21" t="n">
        <v>0</v>
      </c>
      <c r="O697" s="21" t="n">
        <v>0</v>
      </c>
      <c r="P697" s="21" t="n">
        <v>0</v>
      </c>
      <c r="Q697" s="21" t="n">
        <v>0</v>
      </c>
      <c r="R697" s="21" t="n">
        <v>0</v>
      </c>
      <c r="S697" s="21" t="n">
        <v>0</v>
      </c>
      <c r="T697" s="21" t="n">
        <v>0</v>
      </c>
      <c r="U697" s="21" t="n">
        <v>0</v>
      </c>
      <c r="V697" s="21" t="n">
        <v>0</v>
      </c>
      <c r="W697" s="21" t="n">
        <v>0</v>
      </c>
      <c r="X697" s="21" t="n">
        <v>0</v>
      </c>
      <c r="Y697" s="21" t="n">
        <v>0</v>
      </c>
      <c r="Z697" s="21" t="n">
        <v>0</v>
      </c>
      <c r="AA697" s="21" t="n">
        <v>0</v>
      </c>
      <c r="AB697" s="21">
        <f>-$B$18</f>
        <v/>
      </c>
      <c r="AC697" s="21">
        <f>-$B$19</f>
        <v/>
      </c>
      <c r="AD697" s="21">
        <f>2*$B$18+$D$662</f>
        <v/>
      </c>
      <c r="AE697" s="21">
        <f>0</f>
        <v/>
      </c>
      <c r="AF697" s="21">
        <f>-$B$18</f>
        <v/>
      </c>
      <c r="AG697" s="21">
        <f>$B$19</f>
        <v/>
      </c>
      <c r="AH697" s="21" t="n">
        <v>0</v>
      </c>
      <c r="AI697" s="21" t="n">
        <v>0</v>
      </c>
      <c r="AJ697" s="21" t="n">
        <v>0</v>
      </c>
      <c r="AK697" s="21" t="n">
        <v>0</v>
      </c>
      <c r="AL697" s="21" t="n">
        <v>0</v>
      </c>
      <c r="AM697" s="21" t="n">
        <v>0</v>
      </c>
      <c r="AN697" s="21" t="n">
        <v>0</v>
      </c>
      <c r="AO697" s="21" t="n">
        <v>0</v>
      </c>
      <c r="AP697" s="21" t="n">
        <v>0</v>
      </c>
      <c r="AQ697" s="21" t="n">
        <v>0</v>
      </c>
      <c r="AR697" s="21" t="n">
        <v>0</v>
      </c>
      <c r="AS697" s="21" t="n">
        <v>0</v>
      </c>
      <c r="AT697" s="19" t="n"/>
    </row>
    <row r="698">
      <c r="D698" s="21" t="n">
        <v>0</v>
      </c>
      <c r="E698" s="21" t="n">
        <v>0</v>
      </c>
      <c r="F698" s="21" t="n">
        <v>0</v>
      </c>
      <c r="G698" s="21" t="n">
        <v>0</v>
      </c>
      <c r="H698" s="21" t="n">
        <v>0</v>
      </c>
      <c r="I698" s="21" t="n">
        <v>0</v>
      </c>
      <c r="J698" s="21" t="n">
        <v>0</v>
      </c>
      <c r="K698" s="21" t="n">
        <v>0</v>
      </c>
      <c r="L698" s="21" t="n">
        <v>0</v>
      </c>
      <c r="M698" s="21" t="n">
        <v>0</v>
      </c>
      <c r="N698" s="21" t="n">
        <v>0</v>
      </c>
      <c r="O698" s="21" t="n">
        <v>0</v>
      </c>
      <c r="P698" s="21" t="n">
        <v>0</v>
      </c>
      <c r="Q698" s="21" t="n">
        <v>0</v>
      </c>
      <c r="R698" s="21" t="n">
        <v>0</v>
      </c>
      <c r="S698" s="21" t="n">
        <v>0</v>
      </c>
      <c r="T698" s="21" t="n">
        <v>0</v>
      </c>
      <c r="U698" s="21" t="n">
        <v>0</v>
      </c>
      <c r="V698" s="21" t="n">
        <v>0</v>
      </c>
      <c r="W698" s="21" t="n">
        <v>0</v>
      </c>
      <c r="X698" s="21" t="n">
        <v>0</v>
      </c>
      <c r="Y698" s="21" t="n">
        <v>0</v>
      </c>
      <c r="Z698" s="21" t="n">
        <v>0</v>
      </c>
      <c r="AA698" s="21" t="n">
        <v>0</v>
      </c>
      <c r="AB698" s="21">
        <f>$B$19</f>
        <v/>
      </c>
      <c r="AC698" s="21">
        <f>$B$21</f>
        <v/>
      </c>
      <c r="AD698" s="21">
        <f>0</f>
        <v/>
      </c>
      <c r="AE698" s="21">
        <f>2*$B$20</f>
        <v/>
      </c>
      <c r="AF698" s="21">
        <f>-$B$19</f>
        <v/>
      </c>
      <c r="AG698" s="21">
        <f>$B$21</f>
        <v/>
      </c>
      <c r="AH698" s="21" t="n">
        <v>0</v>
      </c>
      <c r="AI698" s="21" t="n">
        <v>0</v>
      </c>
      <c r="AJ698" s="21" t="n">
        <v>0</v>
      </c>
      <c r="AK698" s="21" t="n">
        <v>0</v>
      </c>
      <c r="AL698" s="21" t="n">
        <v>0</v>
      </c>
      <c r="AM698" s="21" t="n">
        <v>0</v>
      </c>
      <c r="AN698" s="21" t="n">
        <v>0</v>
      </c>
      <c r="AO698" s="21" t="n">
        <v>0</v>
      </c>
      <c r="AP698" s="21" t="n">
        <v>0</v>
      </c>
      <c r="AQ698" s="21" t="n">
        <v>0</v>
      </c>
      <c r="AR698" s="21" t="n">
        <v>0</v>
      </c>
      <c r="AS698" s="21" t="n">
        <v>0</v>
      </c>
      <c r="AT698" s="19" t="n"/>
    </row>
    <row r="699">
      <c r="D699" s="21" t="n">
        <v>0</v>
      </c>
      <c r="E699" s="21" t="n">
        <v>0</v>
      </c>
      <c r="F699" s="21" t="n">
        <v>0</v>
      </c>
      <c r="G699" s="21" t="n">
        <v>0</v>
      </c>
      <c r="H699" s="21" t="n">
        <v>0</v>
      </c>
      <c r="I699" s="21" t="n">
        <v>0</v>
      </c>
      <c r="J699" s="21" t="n">
        <v>0</v>
      </c>
      <c r="K699" s="21" t="n">
        <v>0</v>
      </c>
      <c r="L699" s="21" t="n">
        <v>0</v>
      </c>
      <c r="M699" s="21" t="n">
        <v>0</v>
      </c>
      <c r="N699" s="21" t="n">
        <v>0</v>
      </c>
      <c r="O699" s="21" t="n">
        <v>0</v>
      </c>
      <c r="P699" s="21" t="n">
        <v>0</v>
      </c>
      <c r="Q699" s="21" t="n">
        <v>0</v>
      </c>
      <c r="R699" s="21" t="n">
        <v>0</v>
      </c>
      <c r="S699" s="21" t="n">
        <v>0</v>
      </c>
      <c r="T699" s="21" t="n">
        <v>0</v>
      </c>
      <c r="U699" s="21" t="n">
        <v>0</v>
      </c>
      <c r="V699" s="21" t="n">
        <v>0</v>
      </c>
      <c r="W699" s="21" t="n">
        <v>0</v>
      </c>
      <c r="X699" s="21" t="n">
        <v>0</v>
      </c>
      <c r="Y699" s="21" t="n">
        <v>0</v>
      </c>
      <c r="Z699" s="21" t="n">
        <v>0</v>
      </c>
      <c r="AA699" s="21" t="n">
        <v>0</v>
      </c>
      <c r="AB699" s="21" t="n">
        <v>0</v>
      </c>
      <c r="AC699" s="21" t="n">
        <v>0</v>
      </c>
      <c r="AD699" s="21">
        <f>-$B$18</f>
        <v/>
      </c>
      <c r="AE699" s="21">
        <f>-$B$19</f>
        <v/>
      </c>
      <c r="AF699" s="21">
        <f>2*$B$18+$D$663</f>
        <v/>
      </c>
      <c r="AG699" s="21">
        <f>0</f>
        <v/>
      </c>
      <c r="AH699" s="21">
        <f>-$B$18</f>
        <v/>
      </c>
      <c r="AI699" s="21">
        <f>$B$19</f>
        <v/>
      </c>
      <c r="AJ699" s="21" t="n">
        <v>0</v>
      </c>
      <c r="AK699" s="21" t="n">
        <v>0</v>
      </c>
      <c r="AL699" s="21" t="n">
        <v>0</v>
      </c>
      <c r="AM699" s="21" t="n">
        <v>0</v>
      </c>
      <c r="AN699" s="21" t="n">
        <v>0</v>
      </c>
      <c r="AO699" s="21" t="n">
        <v>0</v>
      </c>
      <c r="AP699" s="21" t="n">
        <v>0</v>
      </c>
      <c r="AQ699" s="21" t="n">
        <v>0</v>
      </c>
      <c r="AR699" s="21" t="n">
        <v>0</v>
      </c>
      <c r="AS699" s="21" t="n">
        <v>0</v>
      </c>
      <c r="AT699" s="19" t="n"/>
    </row>
    <row r="700">
      <c r="D700" s="21" t="n">
        <v>0</v>
      </c>
      <c r="E700" s="21" t="n">
        <v>0</v>
      </c>
      <c r="F700" s="21" t="n">
        <v>0</v>
      </c>
      <c r="G700" s="21" t="n">
        <v>0</v>
      </c>
      <c r="H700" s="21" t="n">
        <v>0</v>
      </c>
      <c r="I700" s="21" t="n">
        <v>0</v>
      </c>
      <c r="J700" s="21" t="n">
        <v>0</v>
      </c>
      <c r="K700" s="21" t="n">
        <v>0</v>
      </c>
      <c r="L700" s="21" t="n">
        <v>0</v>
      </c>
      <c r="M700" s="21" t="n">
        <v>0</v>
      </c>
      <c r="N700" s="21" t="n">
        <v>0</v>
      </c>
      <c r="O700" s="21" t="n">
        <v>0</v>
      </c>
      <c r="P700" s="21" t="n">
        <v>0</v>
      </c>
      <c r="Q700" s="21" t="n">
        <v>0</v>
      </c>
      <c r="R700" s="21" t="n">
        <v>0</v>
      </c>
      <c r="S700" s="21" t="n">
        <v>0</v>
      </c>
      <c r="T700" s="21" t="n">
        <v>0</v>
      </c>
      <c r="U700" s="21" t="n">
        <v>0</v>
      </c>
      <c r="V700" s="21" t="n">
        <v>0</v>
      </c>
      <c r="W700" s="21" t="n">
        <v>0</v>
      </c>
      <c r="X700" s="21" t="n">
        <v>0</v>
      </c>
      <c r="Y700" s="21" t="n">
        <v>0</v>
      </c>
      <c r="Z700" s="21" t="n">
        <v>0</v>
      </c>
      <c r="AA700" s="21" t="n">
        <v>0</v>
      </c>
      <c r="AB700" s="21" t="n">
        <v>0</v>
      </c>
      <c r="AC700" s="21" t="n">
        <v>0</v>
      </c>
      <c r="AD700" s="21">
        <f>$B$19</f>
        <v/>
      </c>
      <c r="AE700" s="21">
        <f>$B$21</f>
        <v/>
      </c>
      <c r="AF700" s="21">
        <f>0</f>
        <v/>
      </c>
      <c r="AG700" s="21">
        <f>2*$B$20</f>
        <v/>
      </c>
      <c r="AH700" s="21">
        <f>-$B$19</f>
        <v/>
      </c>
      <c r="AI700" s="21">
        <f>$B$21</f>
        <v/>
      </c>
      <c r="AJ700" s="21" t="n">
        <v>0</v>
      </c>
      <c r="AK700" s="21" t="n">
        <v>0</v>
      </c>
      <c r="AL700" s="21" t="n">
        <v>0</v>
      </c>
      <c r="AM700" s="21" t="n">
        <v>0</v>
      </c>
      <c r="AN700" s="21" t="n">
        <v>0</v>
      </c>
      <c r="AO700" s="21" t="n">
        <v>0</v>
      </c>
      <c r="AP700" s="21" t="n">
        <v>0</v>
      </c>
      <c r="AQ700" s="21" t="n">
        <v>0</v>
      </c>
      <c r="AR700" s="21" t="n">
        <v>0</v>
      </c>
      <c r="AS700" s="21" t="n">
        <v>0</v>
      </c>
      <c r="AT700" s="19" t="n"/>
    </row>
    <row r="701">
      <c r="D701" s="21" t="n">
        <v>0</v>
      </c>
      <c r="E701" s="21" t="n">
        <v>0</v>
      </c>
      <c r="F701" s="21" t="n">
        <v>0</v>
      </c>
      <c r="G701" s="21" t="n">
        <v>0</v>
      </c>
      <c r="H701" s="21" t="n">
        <v>0</v>
      </c>
      <c r="I701" s="21" t="n">
        <v>0</v>
      </c>
      <c r="J701" s="21" t="n">
        <v>0</v>
      </c>
      <c r="K701" s="21" t="n">
        <v>0</v>
      </c>
      <c r="L701" s="21" t="n">
        <v>0</v>
      </c>
      <c r="M701" s="21" t="n">
        <v>0</v>
      </c>
      <c r="N701" s="21" t="n">
        <v>0</v>
      </c>
      <c r="O701" s="21" t="n">
        <v>0</v>
      </c>
      <c r="P701" s="21" t="n">
        <v>0</v>
      </c>
      <c r="Q701" s="21" t="n">
        <v>0</v>
      </c>
      <c r="R701" s="21" t="n">
        <v>0</v>
      </c>
      <c r="S701" s="21" t="n">
        <v>0</v>
      </c>
      <c r="T701" s="21" t="n">
        <v>0</v>
      </c>
      <c r="U701" s="21" t="n">
        <v>0</v>
      </c>
      <c r="V701" s="21" t="n">
        <v>0</v>
      </c>
      <c r="W701" s="21" t="n">
        <v>0</v>
      </c>
      <c r="X701" s="21" t="n">
        <v>0</v>
      </c>
      <c r="Y701" s="21" t="n">
        <v>0</v>
      </c>
      <c r="Z701" s="21" t="n">
        <v>0</v>
      </c>
      <c r="AA701" s="21" t="n">
        <v>0</v>
      </c>
      <c r="AB701" s="21" t="n">
        <v>0</v>
      </c>
      <c r="AC701" s="21" t="n">
        <v>0</v>
      </c>
      <c r="AD701" s="21" t="n">
        <v>0</v>
      </c>
      <c r="AE701" s="21" t="n">
        <v>0</v>
      </c>
      <c r="AF701" s="21">
        <f>-$B$18</f>
        <v/>
      </c>
      <c r="AG701" s="21">
        <f>-$B$19</f>
        <v/>
      </c>
      <c r="AH701" s="21">
        <f>2*$B$18+$D$664</f>
        <v/>
      </c>
      <c r="AI701" s="21">
        <f>0</f>
        <v/>
      </c>
      <c r="AJ701" s="21">
        <f>-$B$18</f>
        <v/>
      </c>
      <c r="AK701" s="21">
        <f>$B$19</f>
        <v/>
      </c>
      <c r="AL701" s="21" t="n">
        <v>0</v>
      </c>
      <c r="AM701" s="21" t="n">
        <v>0</v>
      </c>
      <c r="AN701" s="21" t="n">
        <v>0</v>
      </c>
      <c r="AO701" s="21" t="n">
        <v>0</v>
      </c>
      <c r="AP701" s="21" t="n">
        <v>0</v>
      </c>
      <c r="AQ701" s="21" t="n">
        <v>0</v>
      </c>
      <c r="AR701" s="21" t="n">
        <v>0</v>
      </c>
      <c r="AS701" s="21" t="n">
        <v>0</v>
      </c>
      <c r="AT701" s="19" t="n"/>
    </row>
    <row r="702">
      <c r="D702" s="21" t="n">
        <v>0</v>
      </c>
      <c r="E702" s="21" t="n">
        <v>0</v>
      </c>
      <c r="F702" s="21" t="n">
        <v>0</v>
      </c>
      <c r="G702" s="21" t="n">
        <v>0</v>
      </c>
      <c r="H702" s="21" t="n">
        <v>0</v>
      </c>
      <c r="I702" s="21" t="n">
        <v>0</v>
      </c>
      <c r="J702" s="21" t="n">
        <v>0</v>
      </c>
      <c r="K702" s="21" t="n">
        <v>0</v>
      </c>
      <c r="L702" s="21" t="n">
        <v>0</v>
      </c>
      <c r="M702" s="21" t="n">
        <v>0</v>
      </c>
      <c r="N702" s="21" t="n">
        <v>0</v>
      </c>
      <c r="O702" s="21" t="n">
        <v>0</v>
      </c>
      <c r="P702" s="21" t="n">
        <v>0</v>
      </c>
      <c r="Q702" s="21" t="n">
        <v>0</v>
      </c>
      <c r="R702" s="21" t="n">
        <v>0</v>
      </c>
      <c r="S702" s="21" t="n">
        <v>0</v>
      </c>
      <c r="T702" s="21" t="n">
        <v>0</v>
      </c>
      <c r="U702" s="21" t="n">
        <v>0</v>
      </c>
      <c r="V702" s="21" t="n">
        <v>0</v>
      </c>
      <c r="W702" s="21" t="n">
        <v>0</v>
      </c>
      <c r="X702" s="21" t="n">
        <v>0</v>
      </c>
      <c r="Y702" s="21" t="n">
        <v>0</v>
      </c>
      <c r="Z702" s="21" t="n">
        <v>0</v>
      </c>
      <c r="AA702" s="21" t="n">
        <v>0</v>
      </c>
      <c r="AB702" s="21" t="n">
        <v>0</v>
      </c>
      <c r="AC702" s="21" t="n">
        <v>0</v>
      </c>
      <c r="AD702" s="21" t="n">
        <v>0</v>
      </c>
      <c r="AE702" s="21" t="n">
        <v>0</v>
      </c>
      <c r="AF702" s="21">
        <f>$B$19</f>
        <v/>
      </c>
      <c r="AG702" s="21">
        <f>$B$21</f>
        <v/>
      </c>
      <c r="AH702" s="21">
        <f>0</f>
        <v/>
      </c>
      <c r="AI702" s="21">
        <f>2*$B$20</f>
        <v/>
      </c>
      <c r="AJ702" s="21">
        <f>-$B$19</f>
        <v/>
      </c>
      <c r="AK702" s="21">
        <f>$B$21</f>
        <v/>
      </c>
      <c r="AL702" s="21" t="n">
        <v>0</v>
      </c>
      <c r="AM702" s="21" t="n">
        <v>0</v>
      </c>
      <c r="AN702" s="21" t="n">
        <v>0</v>
      </c>
      <c r="AO702" s="21" t="n">
        <v>0</v>
      </c>
      <c r="AP702" s="21" t="n">
        <v>0</v>
      </c>
      <c r="AQ702" s="21" t="n">
        <v>0</v>
      </c>
      <c r="AR702" s="21" t="n">
        <v>0</v>
      </c>
      <c r="AS702" s="21" t="n">
        <v>0</v>
      </c>
      <c r="AT702" s="19" t="n"/>
    </row>
    <row r="703">
      <c r="D703" s="21" t="n">
        <v>0</v>
      </c>
      <c r="E703" s="21" t="n">
        <v>0</v>
      </c>
      <c r="F703" s="21" t="n">
        <v>0</v>
      </c>
      <c r="G703" s="21" t="n">
        <v>0</v>
      </c>
      <c r="H703" s="21" t="n">
        <v>0</v>
      </c>
      <c r="I703" s="21" t="n">
        <v>0</v>
      </c>
      <c r="J703" s="21" t="n">
        <v>0</v>
      </c>
      <c r="K703" s="21" t="n">
        <v>0</v>
      </c>
      <c r="L703" s="21" t="n">
        <v>0</v>
      </c>
      <c r="M703" s="21" t="n">
        <v>0</v>
      </c>
      <c r="N703" s="21" t="n">
        <v>0</v>
      </c>
      <c r="O703" s="21" t="n">
        <v>0</v>
      </c>
      <c r="P703" s="21" t="n">
        <v>0</v>
      </c>
      <c r="Q703" s="21" t="n">
        <v>0</v>
      </c>
      <c r="R703" s="21" t="n">
        <v>0</v>
      </c>
      <c r="S703" s="21" t="n">
        <v>0</v>
      </c>
      <c r="T703" s="21" t="n">
        <v>0</v>
      </c>
      <c r="U703" s="21" t="n">
        <v>0</v>
      </c>
      <c r="V703" s="21" t="n">
        <v>0</v>
      </c>
      <c r="W703" s="21" t="n">
        <v>0</v>
      </c>
      <c r="X703" s="21" t="n">
        <v>0</v>
      </c>
      <c r="Y703" s="21" t="n">
        <v>0</v>
      </c>
      <c r="Z703" s="21" t="n">
        <v>0</v>
      </c>
      <c r="AA703" s="21" t="n">
        <v>0</v>
      </c>
      <c r="AB703" s="21" t="n">
        <v>0</v>
      </c>
      <c r="AC703" s="21" t="n">
        <v>0</v>
      </c>
      <c r="AD703" s="21" t="n">
        <v>0</v>
      </c>
      <c r="AE703" s="21" t="n">
        <v>0</v>
      </c>
      <c r="AF703" s="21" t="n">
        <v>0</v>
      </c>
      <c r="AG703" s="21" t="n">
        <v>0</v>
      </c>
      <c r="AH703" s="21">
        <f>-$B$18</f>
        <v/>
      </c>
      <c r="AI703" s="21">
        <f>-$B$19</f>
        <v/>
      </c>
      <c r="AJ703" s="21">
        <f>2*$B$18+$D$665</f>
        <v/>
      </c>
      <c r="AK703" s="21">
        <f>0</f>
        <v/>
      </c>
      <c r="AL703" s="21">
        <f>-$B$18</f>
        <v/>
      </c>
      <c r="AM703" s="21">
        <f>$B$19</f>
        <v/>
      </c>
      <c r="AN703" s="21" t="n">
        <v>0</v>
      </c>
      <c r="AO703" s="21" t="n">
        <v>0</v>
      </c>
      <c r="AP703" s="21" t="n">
        <v>0</v>
      </c>
      <c r="AQ703" s="21" t="n">
        <v>0</v>
      </c>
      <c r="AR703" s="21" t="n">
        <v>0</v>
      </c>
      <c r="AS703" s="21" t="n">
        <v>0</v>
      </c>
      <c r="AT703" s="19" t="n"/>
    </row>
    <row r="704">
      <c r="D704" s="21" t="n">
        <v>0</v>
      </c>
      <c r="E704" s="21" t="n">
        <v>0</v>
      </c>
      <c r="F704" s="21" t="n">
        <v>0</v>
      </c>
      <c r="G704" s="21" t="n">
        <v>0</v>
      </c>
      <c r="H704" s="21" t="n">
        <v>0</v>
      </c>
      <c r="I704" s="21" t="n">
        <v>0</v>
      </c>
      <c r="J704" s="21" t="n">
        <v>0</v>
      </c>
      <c r="K704" s="21" t="n">
        <v>0</v>
      </c>
      <c r="L704" s="21" t="n">
        <v>0</v>
      </c>
      <c r="M704" s="21" t="n">
        <v>0</v>
      </c>
      <c r="N704" s="21" t="n">
        <v>0</v>
      </c>
      <c r="O704" s="21" t="n">
        <v>0</v>
      </c>
      <c r="P704" s="21" t="n">
        <v>0</v>
      </c>
      <c r="Q704" s="21" t="n">
        <v>0</v>
      </c>
      <c r="R704" s="21" t="n">
        <v>0</v>
      </c>
      <c r="S704" s="21" t="n">
        <v>0</v>
      </c>
      <c r="T704" s="21" t="n">
        <v>0</v>
      </c>
      <c r="U704" s="21" t="n">
        <v>0</v>
      </c>
      <c r="V704" s="21" t="n">
        <v>0</v>
      </c>
      <c r="W704" s="21" t="n">
        <v>0</v>
      </c>
      <c r="X704" s="21" t="n">
        <v>0</v>
      </c>
      <c r="Y704" s="21" t="n">
        <v>0</v>
      </c>
      <c r="Z704" s="21" t="n">
        <v>0</v>
      </c>
      <c r="AA704" s="21" t="n">
        <v>0</v>
      </c>
      <c r="AB704" s="21" t="n">
        <v>0</v>
      </c>
      <c r="AC704" s="21" t="n">
        <v>0</v>
      </c>
      <c r="AD704" s="21" t="n">
        <v>0</v>
      </c>
      <c r="AE704" s="21" t="n">
        <v>0</v>
      </c>
      <c r="AF704" s="21" t="n">
        <v>0</v>
      </c>
      <c r="AG704" s="21" t="n">
        <v>0</v>
      </c>
      <c r="AH704" s="21">
        <f>$B$19</f>
        <v/>
      </c>
      <c r="AI704" s="21">
        <f>$B$21</f>
        <v/>
      </c>
      <c r="AJ704" s="21">
        <f>0</f>
        <v/>
      </c>
      <c r="AK704" s="21">
        <f>2*$B$20</f>
        <v/>
      </c>
      <c r="AL704" s="21">
        <f>-$B$19</f>
        <v/>
      </c>
      <c r="AM704" s="21">
        <f>$B$21</f>
        <v/>
      </c>
      <c r="AN704" s="21" t="n">
        <v>0</v>
      </c>
      <c r="AO704" s="21" t="n">
        <v>0</v>
      </c>
      <c r="AP704" s="21" t="n">
        <v>0</v>
      </c>
      <c r="AQ704" s="21" t="n">
        <v>0</v>
      </c>
      <c r="AR704" s="21" t="n">
        <v>0</v>
      </c>
      <c r="AS704" s="21" t="n">
        <v>0</v>
      </c>
      <c r="AT704" s="19" t="n"/>
    </row>
    <row r="705">
      <c r="D705" s="21" t="n">
        <v>0</v>
      </c>
      <c r="E705" s="21" t="n">
        <v>0</v>
      </c>
      <c r="F705" s="21" t="n">
        <v>0</v>
      </c>
      <c r="G705" s="21" t="n">
        <v>0</v>
      </c>
      <c r="H705" s="21" t="n">
        <v>0</v>
      </c>
      <c r="I705" s="21" t="n">
        <v>0</v>
      </c>
      <c r="J705" s="21" t="n">
        <v>0</v>
      </c>
      <c r="K705" s="21" t="n">
        <v>0</v>
      </c>
      <c r="L705" s="21" t="n">
        <v>0</v>
      </c>
      <c r="M705" s="21" t="n">
        <v>0</v>
      </c>
      <c r="N705" s="21" t="n">
        <v>0</v>
      </c>
      <c r="O705" s="21" t="n">
        <v>0</v>
      </c>
      <c r="P705" s="21" t="n">
        <v>0</v>
      </c>
      <c r="Q705" s="21" t="n">
        <v>0</v>
      </c>
      <c r="R705" s="21" t="n">
        <v>0</v>
      </c>
      <c r="S705" s="21" t="n">
        <v>0</v>
      </c>
      <c r="T705" s="21" t="n">
        <v>0</v>
      </c>
      <c r="U705" s="21" t="n">
        <v>0</v>
      </c>
      <c r="V705" s="21" t="n">
        <v>0</v>
      </c>
      <c r="W705" s="21" t="n">
        <v>0</v>
      </c>
      <c r="X705" s="21" t="n">
        <v>0</v>
      </c>
      <c r="Y705" s="21" t="n">
        <v>0</v>
      </c>
      <c r="Z705" s="21" t="n">
        <v>0</v>
      </c>
      <c r="AA705" s="21" t="n">
        <v>0</v>
      </c>
      <c r="AB705" s="21" t="n">
        <v>0</v>
      </c>
      <c r="AC705" s="21" t="n">
        <v>0</v>
      </c>
      <c r="AD705" s="21" t="n">
        <v>0</v>
      </c>
      <c r="AE705" s="21" t="n">
        <v>0</v>
      </c>
      <c r="AF705" s="21" t="n">
        <v>0</v>
      </c>
      <c r="AG705" s="21" t="n">
        <v>0</v>
      </c>
      <c r="AH705" s="21" t="n">
        <v>0</v>
      </c>
      <c r="AI705" s="21" t="n">
        <v>0</v>
      </c>
      <c r="AJ705" s="21">
        <f>-$B$18</f>
        <v/>
      </c>
      <c r="AK705" s="21">
        <f>-$B$19</f>
        <v/>
      </c>
      <c r="AL705" s="21">
        <f>2*$B$18+$D$666</f>
        <v/>
      </c>
      <c r="AM705" s="21">
        <f>0</f>
        <v/>
      </c>
      <c r="AN705" s="21">
        <f>-$B$18</f>
        <v/>
      </c>
      <c r="AO705" s="21">
        <f>$B$19</f>
        <v/>
      </c>
      <c r="AP705" s="21" t="n">
        <v>0</v>
      </c>
      <c r="AQ705" s="21" t="n">
        <v>0</v>
      </c>
      <c r="AR705" s="21" t="n">
        <v>0</v>
      </c>
      <c r="AS705" s="21" t="n">
        <v>0</v>
      </c>
      <c r="AT705" s="19" t="n"/>
    </row>
    <row r="706">
      <c r="D706" s="21" t="n">
        <v>0</v>
      </c>
      <c r="E706" s="21" t="n">
        <v>0</v>
      </c>
      <c r="F706" s="21" t="n">
        <v>0</v>
      </c>
      <c r="G706" s="21" t="n">
        <v>0</v>
      </c>
      <c r="H706" s="21" t="n">
        <v>0</v>
      </c>
      <c r="I706" s="21" t="n">
        <v>0</v>
      </c>
      <c r="J706" s="21" t="n">
        <v>0</v>
      </c>
      <c r="K706" s="21" t="n">
        <v>0</v>
      </c>
      <c r="L706" s="21" t="n">
        <v>0</v>
      </c>
      <c r="M706" s="21" t="n">
        <v>0</v>
      </c>
      <c r="N706" s="21" t="n">
        <v>0</v>
      </c>
      <c r="O706" s="21" t="n">
        <v>0</v>
      </c>
      <c r="P706" s="21" t="n">
        <v>0</v>
      </c>
      <c r="Q706" s="21" t="n">
        <v>0</v>
      </c>
      <c r="R706" s="21" t="n">
        <v>0</v>
      </c>
      <c r="S706" s="21" t="n">
        <v>0</v>
      </c>
      <c r="T706" s="21" t="n">
        <v>0</v>
      </c>
      <c r="U706" s="21" t="n">
        <v>0</v>
      </c>
      <c r="V706" s="21" t="n">
        <v>0</v>
      </c>
      <c r="W706" s="21" t="n">
        <v>0</v>
      </c>
      <c r="X706" s="21" t="n">
        <v>0</v>
      </c>
      <c r="Y706" s="21" t="n">
        <v>0</v>
      </c>
      <c r="Z706" s="21" t="n">
        <v>0</v>
      </c>
      <c r="AA706" s="21" t="n">
        <v>0</v>
      </c>
      <c r="AB706" s="21" t="n">
        <v>0</v>
      </c>
      <c r="AC706" s="21" t="n">
        <v>0</v>
      </c>
      <c r="AD706" s="21" t="n">
        <v>0</v>
      </c>
      <c r="AE706" s="21" t="n">
        <v>0</v>
      </c>
      <c r="AF706" s="21" t="n">
        <v>0</v>
      </c>
      <c r="AG706" s="21" t="n">
        <v>0</v>
      </c>
      <c r="AH706" s="21" t="n">
        <v>0</v>
      </c>
      <c r="AI706" s="21" t="n">
        <v>0</v>
      </c>
      <c r="AJ706" s="21">
        <f>$B$19</f>
        <v/>
      </c>
      <c r="AK706" s="21">
        <f>$B$21</f>
        <v/>
      </c>
      <c r="AL706" s="21">
        <f>0</f>
        <v/>
      </c>
      <c r="AM706" s="21">
        <f>2*$B$20</f>
        <v/>
      </c>
      <c r="AN706" s="21">
        <f>-$B$19</f>
        <v/>
      </c>
      <c r="AO706" s="21">
        <f>$B$21</f>
        <v/>
      </c>
      <c r="AP706" s="21" t="n">
        <v>0</v>
      </c>
      <c r="AQ706" s="21" t="n">
        <v>0</v>
      </c>
      <c r="AR706" s="21" t="n">
        <v>0</v>
      </c>
      <c r="AS706" s="21" t="n">
        <v>0</v>
      </c>
      <c r="AT706" s="19" t="n"/>
    </row>
    <row r="707">
      <c r="D707" s="21" t="n">
        <v>0</v>
      </c>
      <c r="E707" s="21" t="n">
        <v>0</v>
      </c>
      <c r="F707" s="21" t="n">
        <v>0</v>
      </c>
      <c r="G707" s="21" t="n">
        <v>0</v>
      </c>
      <c r="H707" s="21" t="n">
        <v>0</v>
      </c>
      <c r="I707" s="21" t="n">
        <v>0</v>
      </c>
      <c r="J707" s="21" t="n">
        <v>0</v>
      </c>
      <c r="K707" s="21" t="n">
        <v>0</v>
      </c>
      <c r="L707" s="21" t="n">
        <v>0</v>
      </c>
      <c r="M707" s="21" t="n">
        <v>0</v>
      </c>
      <c r="N707" s="21" t="n">
        <v>0</v>
      </c>
      <c r="O707" s="21" t="n">
        <v>0</v>
      </c>
      <c r="P707" s="21" t="n">
        <v>0</v>
      </c>
      <c r="Q707" s="21" t="n">
        <v>0</v>
      </c>
      <c r="R707" s="21" t="n">
        <v>0</v>
      </c>
      <c r="S707" s="21" t="n">
        <v>0</v>
      </c>
      <c r="T707" s="21" t="n">
        <v>0</v>
      </c>
      <c r="U707" s="21" t="n">
        <v>0</v>
      </c>
      <c r="V707" s="21" t="n">
        <v>0</v>
      </c>
      <c r="W707" s="21" t="n">
        <v>0</v>
      </c>
      <c r="X707" s="21" t="n">
        <v>0</v>
      </c>
      <c r="Y707" s="21" t="n">
        <v>0</v>
      </c>
      <c r="Z707" s="21" t="n">
        <v>0</v>
      </c>
      <c r="AA707" s="21" t="n">
        <v>0</v>
      </c>
      <c r="AB707" s="21" t="n">
        <v>0</v>
      </c>
      <c r="AC707" s="21" t="n">
        <v>0</v>
      </c>
      <c r="AD707" s="21" t="n">
        <v>0</v>
      </c>
      <c r="AE707" s="21" t="n">
        <v>0</v>
      </c>
      <c r="AF707" s="21" t="n">
        <v>0</v>
      </c>
      <c r="AG707" s="21" t="n">
        <v>0</v>
      </c>
      <c r="AH707" s="21" t="n">
        <v>0</v>
      </c>
      <c r="AI707" s="21" t="n">
        <v>0</v>
      </c>
      <c r="AJ707" s="21" t="n">
        <v>0</v>
      </c>
      <c r="AK707" s="21" t="n">
        <v>0</v>
      </c>
      <c r="AL707" s="21">
        <f>-$B$18</f>
        <v/>
      </c>
      <c r="AM707" s="21">
        <f>-$B$19</f>
        <v/>
      </c>
      <c r="AN707" s="21">
        <f>2*$B$18+$D$667</f>
        <v/>
      </c>
      <c r="AO707" s="21">
        <f>0</f>
        <v/>
      </c>
      <c r="AP707" s="21">
        <f>-$B$18</f>
        <v/>
      </c>
      <c r="AQ707" s="21">
        <f>$B$19</f>
        <v/>
      </c>
      <c r="AR707" s="21" t="n">
        <v>0</v>
      </c>
      <c r="AS707" s="21" t="n">
        <v>0</v>
      </c>
      <c r="AT707" s="19" t="n"/>
    </row>
    <row r="708">
      <c r="D708" s="21" t="n">
        <v>0</v>
      </c>
      <c r="E708" s="21" t="n">
        <v>0</v>
      </c>
      <c r="F708" s="21" t="n">
        <v>0</v>
      </c>
      <c r="G708" s="21" t="n">
        <v>0</v>
      </c>
      <c r="H708" s="21" t="n">
        <v>0</v>
      </c>
      <c r="I708" s="21" t="n">
        <v>0</v>
      </c>
      <c r="J708" s="21" t="n">
        <v>0</v>
      </c>
      <c r="K708" s="21" t="n">
        <v>0</v>
      </c>
      <c r="L708" s="21" t="n">
        <v>0</v>
      </c>
      <c r="M708" s="21" t="n">
        <v>0</v>
      </c>
      <c r="N708" s="21" t="n">
        <v>0</v>
      </c>
      <c r="O708" s="21" t="n">
        <v>0</v>
      </c>
      <c r="P708" s="21" t="n">
        <v>0</v>
      </c>
      <c r="Q708" s="21" t="n">
        <v>0</v>
      </c>
      <c r="R708" s="21" t="n">
        <v>0</v>
      </c>
      <c r="S708" s="21" t="n">
        <v>0</v>
      </c>
      <c r="T708" s="21" t="n">
        <v>0</v>
      </c>
      <c r="U708" s="21" t="n">
        <v>0</v>
      </c>
      <c r="V708" s="21" t="n">
        <v>0</v>
      </c>
      <c r="W708" s="21" t="n">
        <v>0</v>
      </c>
      <c r="X708" s="21" t="n">
        <v>0</v>
      </c>
      <c r="Y708" s="21" t="n">
        <v>0</v>
      </c>
      <c r="Z708" s="21" t="n">
        <v>0</v>
      </c>
      <c r="AA708" s="21" t="n">
        <v>0</v>
      </c>
      <c r="AB708" s="21" t="n">
        <v>0</v>
      </c>
      <c r="AC708" s="21" t="n">
        <v>0</v>
      </c>
      <c r="AD708" s="21" t="n">
        <v>0</v>
      </c>
      <c r="AE708" s="21" t="n">
        <v>0</v>
      </c>
      <c r="AF708" s="21" t="n">
        <v>0</v>
      </c>
      <c r="AG708" s="21" t="n">
        <v>0</v>
      </c>
      <c r="AH708" s="21" t="n">
        <v>0</v>
      </c>
      <c r="AI708" s="21" t="n">
        <v>0</v>
      </c>
      <c r="AJ708" s="21" t="n">
        <v>0</v>
      </c>
      <c r="AK708" s="21" t="n">
        <v>0</v>
      </c>
      <c r="AL708" s="21">
        <f>$B$19</f>
        <v/>
      </c>
      <c r="AM708" s="21">
        <f>$B$21</f>
        <v/>
      </c>
      <c r="AN708" s="21">
        <f>0</f>
        <v/>
      </c>
      <c r="AO708" s="21">
        <f>2*$B$20</f>
        <v/>
      </c>
      <c r="AP708" s="21">
        <f>-$B$19</f>
        <v/>
      </c>
      <c r="AQ708" s="21">
        <f>$B$21</f>
        <v/>
      </c>
      <c r="AR708" s="21" t="n">
        <v>0</v>
      </c>
      <c r="AS708" s="21" t="n">
        <v>0</v>
      </c>
      <c r="AT708" s="19" t="n"/>
    </row>
    <row r="709">
      <c r="D709" s="21" t="n">
        <v>0</v>
      </c>
      <c r="E709" s="21" t="n">
        <v>0</v>
      </c>
      <c r="F709" s="21" t="n">
        <v>0</v>
      </c>
      <c r="G709" s="21" t="n">
        <v>0</v>
      </c>
      <c r="H709" s="21" t="n">
        <v>0</v>
      </c>
      <c r="I709" s="21" t="n">
        <v>0</v>
      </c>
      <c r="J709" s="21" t="n">
        <v>0</v>
      </c>
      <c r="K709" s="21" t="n">
        <v>0</v>
      </c>
      <c r="L709" s="21" t="n">
        <v>0</v>
      </c>
      <c r="M709" s="21" t="n">
        <v>0</v>
      </c>
      <c r="N709" s="21" t="n">
        <v>0</v>
      </c>
      <c r="O709" s="21" t="n">
        <v>0</v>
      </c>
      <c r="P709" s="21" t="n">
        <v>0</v>
      </c>
      <c r="Q709" s="21" t="n">
        <v>0</v>
      </c>
      <c r="R709" s="21" t="n">
        <v>0</v>
      </c>
      <c r="S709" s="21" t="n">
        <v>0</v>
      </c>
      <c r="T709" s="21" t="n">
        <v>0</v>
      </c>
      <c r="U709" s="21" t="n">
        <v>0</v>
      </c>
      <c r="V709" s="21" t="n">
        <v>0</v>
      </c>
      <c r="W709" s="21" t="n">
        <v>0</v>
      </c>
      <c r="X709" s="21" t="n">
        <v>0</v>
      </c>
      <c r="Y709" s="21" t="n">
        <v>0</v>
      </c>
      <c r="Z709" s="21" t="n">
        <v>0</v>
      </c>
      <c r="AA709" s="21" t="n">
        <v>0</v>
      </c>
      <c r="AB709" s="21" t="n">
        <v>0</v>
      </c>
      <c r="AC709" s="21" t="n">
        <v>0</v>
      </c>
      <c r="AD709" s="21" t="n">
        <v>0</v>
      </c>
      <c r="AE709" s="21" t="n">
        <v>0</v>
      </c>
      <c r="AF709" s="21" t="n">
        <v>0</v>
      </c>
      <c r="AG709" s="21" t="n">
        <v>0</v>
      </c>
      <c r="AH709" s="21" t="n">
        <v>0</v>
      </c>
      <c r="AI709" s="21" t="n">
        <v>0</v>
      </c>
      <c r="AJ709" s="21" t="n">
        <v>0</v>
      </c>
      <c r="AK709" s="21" t="n">
        <v>0</v>
      </c>
      <c r="AL709" s="21" t="n">
        <v>0</v>
      </c>
      <c r="AM709" s="21" t="n">
        <v>0</v>
      </c>
      <c r="AN709" s="21">
        <f>-$B$18</f>
        <v/>
      </c>
      <c r="AO709" s="21">
        <f>-$B$19</f>
        <v/>
      </c>
      <c r="AP709" s="21">
        <f>2*$B$18+$D$668</f>
        <v/>
      </c>
      <c r="AQ709" s="21">
        <f>0</f>
        <v/>
      </c>
      <c r="AR709" s="21">
        <f>-$B$18</f>
        <v/>
      </c>
      <c r="AS709" s="21">
        <f>$B$19</f>
        <v/>
      </c>
      <c r="AT709" s="19" t="n"/>
    </row>
    <row r="710">
      <c r="D710" s="21" t="n">
        <v>0</v>
      </c>
      <c r="E710" s="21" t="n">
        <v>0</v>
      </c>
      <c r="F710" s="21" t="n">
        <v>0</v>
      </c>
      <c r="G710" s="21" t="n">
        <v>0</v>
      </c>
      <c r="H710" s="21" t="n">
        <v>0</v>
      </c>
      <c r="I710" s="21" t="n">
        <v>0</v>
      </c>
      <c r="J710" s="21" t="n">
        <v>0</v>
      </c>
      <c r="K710" s="21" t="n">
        <v>0</v>
      </c>
      <c r="L710" s="21" t="n">
        <v>0</v>
      </c>
      <c r="M710" s="21" t="n">
        <v>0</v>
      </c>
      <c r="N710" s="21" t="n">
        <v>0</v>
      </c>
      <c r="O710" s="21" t="n">
        <v>0</v>
      </c>
      <c r="P710" s="21" t="n">
        <v>0</v>
      </c>
      <c r="Q710" s="21" t="n">
        <v>0</v>
      </c>
      <c r="R710" s="21" t="n">
        <v>0</v>
      </c>
      <c r="S710" s="21" t="n">
        <v>0</v>
      </c>
      <c r="T710" s="21" t="n">
        <v>0</v>
      </c>
      <c r="U710" s="21" t="n">
        <v>0</v>
      </c>
      <c r="V710" s="21" t="n">
        <v>0</v>
      </c>
      <c r="W710" s="21" t="n">
        <v>0</v>
      </c>
      <c r="X710" s="21" t="n">
        <v>0</v>
      </c>
      <c r="Y710" s="21" t="n">
        <v>0</v>
      </c>
      <c r="Z710" s="21" t="n">
        <v>0</v>
      </c>
      <c r="AA710" s="21" t="n">
        <v>0</v>
      </c>
      <c r="AB710" s="21" t="n">
        <v>0</v>
      </c>
      <c r="AC710" s="21" t="n">
        <v>0</v>
      </c>
      <c r="AD710" s="21" t="n">
        <v>0</v>
      </c>
      <c r="AE710" s="21" t="n">
        <v>0</v>
      </c>
      <c r="AF710" s="21" t="n">
        <v>0</v>
      </c>
      <c r="AG710" s="21" t="n">
        <v>0</v>
      </c>
      <c r="AH710" s="21" t="n">
        <v>0</v>
      </c>
      <c r="AI710" s="21" t="n">
        <v>0</v>
      </c>
      <c r="AJ710" s="21" t="n">
        <v>0</v>
      </c>
      <c r="AK710" s="21" t="n">
        <v>0</v>
      </c>
      <c r="AL710" s="21" t="n">
        <v>0</v>
      </c>
      <c r="AM710" s="21" t="n">
        <v>0</v>
      </c>
      <c r="AN710" s="21">
        <f>$B$19</f>
        <v/>
      </c>
      <c r="AO710" s="21">
        <f>$B$21</f>
        <v/>
      </c>
      <c r="AP710" s="21">
        <f>0</f>
        <v/>
      </c>
      <c r="AQ710" s="21">
        <f>2*$B$20</f>
        <v/>
      </c>
      <c r="AR710" s="21">
        <f>-$B$19</f>
        <v/>
      </c>
      <c r="AS710" s="21">
        <f>$B$21</f>
        <v/>
      </c>
      <c r="AT710" s="19" t="n"/>
    </row>
    <row r="711">
      <c r="D711" s="21" t="n">
        <v>0</v>
      </c>
      <c r="E711" s="21" t="n">
        <v>0</v>
      </c>
      <c r="F711" s="21" t="n">
        <v>0</v>
      </c>
      <c r="G711" s="21" t="n">
        <v>0</v>
      </c>
      <c r="H711" s="21" t="n">
        <v>0</v>
      </c>
      <c r="I711" s="21" t="n">
        <v>0</v>
      </c>
      <c r="J711" s="21" t="n">
        <v>0</v>
      </c>
      <c r="K711" s="21" t="n">
        <v>0</v>
      </c>
      <c r="L711" s="21" t="n">
        <v>0</v>
      </c>
      <c r="M711" s="21" t="n">
        <v>0</v>
      </c>
      <c r="N711" s="21" t="n">
        <v>0</v>
      </c>
      <c r="O711" s="21" t="n">
        <v>0</v>
      </c>
      <c r="P711" s="21" t="n">
        <v>0</v>
      </c>
      <c r="Q711" s="21" t="n">
        <v>0</v>
      </c>
      <c r="R711" s="21" t="n">
        <v>0</v>
      </c>
      <c r="S711" s="21" t="n">
        <v>0</v>
      </c>
      <c r="T711" s="21" t="n">
        <v>0</v>
      </c>
      <c r="U711" s="21" t="n">
        <v>0</v>
      </c>
      <c r="V711" s="21" t="n">
        <v>0</v>
      </c>
      <c r="W711" s="21" t="n">
        <v>0</v>
      </c>
      <c r="X711" s="21" t="n">
        <v>0</v>
      </c>
      <c r="Y711" s="21" t="n">
        <v>0</v>
      </c>
      <c r="Z711" s="21" t="n">
        <v>0</v>
      </c>
      <c r="AA711" s="21" t="n">
        <v>0</v>
      </c>
      <c r="AB711" s="21" t="n">
        <v>0</v>
      </c>
      <c r="AC711" s="21" t="n">
        <v>0</v>
      </c>
      <c r="AD711" s="21" t="n">
        <v>0</v>
      </c>
      <c r="AE711" s="21" t="n">
        <v>0</v>
      </c>
      <c r="AF711" s="21" t="n">
        <v>0</v>
      </c>
      <c r="AG711" s="21" t="n">
        <v>0</v>
      </c>
      <c r="AH711" s="21" t="n">
        <v>0</v>
      </c>
      <c r="AI711" s="21" t="n">
        <v>0</v>
      </c>
      <c r="AJ711" s="21" t="n">
        <v>0</v>
      </c>
      <c r="AK711" s="21" t="n">
        <v>0</v>
      </c>
      <c r="AL711" s="21" t="n">
        <v>0</v>
      </c>
      <c r="AM711" s="21" t="n">
        <v>0</v>
      </c>
      <c r="AN711" s="21" t="n">
        <v>0</v>
      </c>
      <c r="AO711" s="21" t="n">
        <v>0</v>
      </c>
      <c r="AP711" s="21">
        <f>-$B$18</f>
        <v/>
      </c>
      <c r="AQ711" s="21">
        <f>-$B$19</f>
        <v/>
      </c>
      <c r="AR711" s="21">
        <f>$B$18+$D$669</f>
        <v/>
      </c>
      <c r="AS711" s="21">
        <f>-$B$19</f>
        <v/>
      </c>
      <c r="AT711" s="19" t="n"/>
    </row>
    <row r="712">
      <c r="D712" s="21" t="n">
        <v>0</v>
      </c>
      <c r="E712" s="21" t="n">
        <v>0</v>
      </c>
      <c r="F712" s="21" t="n">
        <v>0</v>
      </c>
      <c r="G712" s="21" t="n">
        <v>0</v>
      </c>
      <c r="H712" s="21" t="n">
        <v>0</v>
      </c>
      <c r="I712" s="21" t="n">
        <v>0</v>
      </c>
      <c r="J712" s="21" t="n">
        <v>0</v>
      </c>
      <c r="K712" s="21" t="n">
        <v>0</v>
      </c>
      <c r="L712" s="21" t="n">
        <v>0</v>
      </c>
      <c r="M712" s="21" t="n">
        <v>0</v>
      </c>
      <c r="N712" s="21" t="n">
        <v>0</v>
      </c>
      <c r="O712" s="21" t="n">
        <v>0</v>
      </c>
      <c r="P712" s="21" t="n">
        <v>0</v>
      </c>
      <c r="Q712" s="21" t="n">
        <v>0</v>
      </c>
      <c r="R712" s="21" t="n">
        <v>0</v>
      </c>
      <c r="S712" s="21" t="n">
        <v>0</v>
      </c>
      <c r="T712" s="21" t="n">
        <v>0</v>
      </c>
      <c r="U712" s="21" t="n">
        <v>0</v>
      </c>
      <c r="V712" s="21" t="n">
        <v>0</v>
      </c>
      <c r="W712" s="21" t="n">
        <v>0</v>
      </c>
      <c r="X712" s="21" t="n">
        <v>0</v>
      </c>
      <c r="Y712" s="21" t="n">
        <v>0</v>
      </c>
      <c r="Z712" s="21" t="n">
        <v>0</v>
      </c>
      <c r="AA712" s="21" t="n">
        <v>0</v>
      </c>
      <c r="AB712" s="21" t="n">
        <v>0</v>
      </c>
      <c r="AC712" s="21" t="n">
        <v>0</v>
      </c>
      <c r="AD712" s="21" t="n">
        <v>0</v>
      </c>
      <c r="AE712" s="21" t="n">
        <v>0</v>
      </c>
      <c r="AF712" s="21" t="n">
        <v>0</v>
      </c>
      <c r="AG712" s="21" t="n">
        <v>0</v>
      </c>
      <c r="AH712" s="21" t="n">
        <v>0</v>
      </c>
      <c r="AI712" s="21" t="n">
        <v>0</v>
      </c>
      <c r="AJ712" s="21" t="n">
        <v>0</v>
      </c>
      <c r="AK712" s="21" t="n">
        <v>0</v>
      </c>
      <c r="AL712" s="21" t="n">
        <v>0</v>
      </c>
      <c r="AM712" s="21" t="n">
        <v>0</v>
      </c>
      <c r="AN712" s="21" t="n">
        <v>0</v>
      </c>
      <c r="AO712" s="21" t="n">
        <v>0</v>
      </c>
      <c r="AP712" s="21">
        <f>$B$19</f>
        <v/>
      </c>
      <c r="AQ712" s="21">
        <f>$B$21</f>
        <v/>
      </c>
      <c r="AR712" s="21">
        <f>-$B$19</f>
        <v/>
      </c>
      <c r="AS712" s="21">
        <f>$B$20</f>
        <v/>
      </c>
      <c r="AT712" s="19" t="n"/>
    </row>
    <row r="714">
      <c r="A714" s="8" t="inlineStr">
        <is>
          <t>gen 10</t>
        </is>
      </c>
    </row>
    <row r="715">
      <c r="D715" s="19">
        <f>IF(ABS(IF(ABS($E$649)&gt;0.000000001,$E$649,0.000000001))=0,0,IF($E$33&lt;=$B$27,0,IF(ABS(IF(ABS($E$649)&gt;0.000000001,$E$649,0.000000001))&gt;=8*$B$29,$H$33,0.5*$H$33*(ABS(IF(ABS($E$649)&gt;0.000000001,$E$649,0.000000001))/$B$29)^(1/3)))/ABS(IF(ABS($E$649)&gt;0.000000001,$E$649,0.000000001))*$I$33)</f>
        <v/>
      </c>
      <c r="E715" s="19">
        <f>0.5*$E$649+0.5*$AT$737</f>
        <v/>
      </c>
      <c r="F715" s="19">
        <f>$AT$738</f>
        <v/>
      </c>
    </row>
    <row r="716">
      <c r="D716" s="19">
        <f>IF(ABS(IF(ABS($E$650)&gt;0.000000001,$E$650,0.000000001))=0,0,IF($E$34&lt;=$B$27,0,IF(ABS(IF(ABS($E$650)&gt;0.000000001,$E$650,0.000000001))&gt;=8*$B$29,$H$34,0.5*$H$34*(ABS(IF(ABS($E$650)&gt;0.000000001,$E$650,0.000000001))/$B$29)^(1/3)))/ABS(IF(ABS($E$650)&gt;0.000000001,$E$650,0.000000001))*$I$34)</f>
        <v/>
      </c>
      <c r="E716" s="19">
        <f>0.5*$E$650+0.5*$AT$739</f>
        <v/>
      </c>
      <c r="F716" s="19">
        <f>$AT$740</f>
        <v/>
      </c>
    </row>
    <row r="717">
      <c r="D717" s="19">
        <f>IF(ABS(IF(ABS($E$651)&gt;0.000000001,$E$651,0.000000001))=0,0,IF($E$35&lt;=$B$27,0,IF(ABS(IF(ABS($E$651)&gt;0.000000001,$E$651,0.000000001))&gt;=8*$B$29,$H$35,0.5*$H$35*(ABS(IF(ABS($E$651)&gt;0.000000001,$E$651,0.000000001))/$B$29)^(1/3)))/ABS(IF(ABS($E$651)&gt;0.000000001,$E$651,0.000000001))*$I$35)</f>
        <v/>
      </c>
      <c r="E717" s="19">
        <f>0.5*$E$651+0.5*$AT$741</f>
        <v/>
      </c>
      <c r="F717" s="19">
        <f>$AT$742</f>
        <v/>
      </c>
    </row>
    <row r="718">
      <c r="D718" s="19">
        <f>IF(ABS(IF(ABS($E$652)&gt;0.000000001,$E$652,0.000000001))=0,0,IF($E$36&lt;=$B$27,0,IF(ABS(IF(ABS($E$652)&gt;0.000000001,$E$652,0.000000001))&gt;=8*$B$29,$H$36,0.5*$H$36*(ABS(IF(ABS($E$652)&gt;0.000000001,$E$652,0.000000001))/$B$29)^(1/3)))/ABS(IF(ABS($E$652)&gt;0.000000001,$E$652,0.000000001))*$I$36)</f>
        <v/>
      </c>
      <c r="E718" s="19">
        <f>0.5*$E$652+0.5*$AT$743</f>
        <v/>
      </c>
      <c r="F718" s="19">
        <f>$AT$744</f>
        <v/>
      </c>
    </row>
    <row r="719">
      <c r="D719" s="19">
        <f>IF(ABS(IF(ABS($E$653)&gt;0.000000001,$E$653,0.000000001))=0,0,IF($E$37&lt;=$B$27,0,IF(ABS(IF(ABS($E$653)&gt;0.000000001,$E$653,0.000000001))&gt;=8*$B$29,$H$37,0.5*$H$37*(ABS(IF(ABS($E$653)&gt;0.000000001,$E$653,0.000000001))/$B$29)^(1/3)))/ABS(IF(ABS($E$653)&gt;0.000000001,$E$653,0.000000001))*$I$37)</f>
        <v/>
      </c>
      <c r="E719" s="19">
        <f>0.5*$E$653+0.5*$AT$745</f>
        <v/>
      </c>
      <c r="F719" s="19">
        <f>$AT$746</f>
        <v/>
      </c>
    </row>
    <row r="720">
      <c r="D720" s="19">
        <f>IF(ABS(IF(ABS($E$654)&gt;0.000000001,$E$654,0.000000001))=0,0,IF($E$38&lt;=$B$27,0,IF(ABS(IF(ABS($E$654)&gt;0.000000001,$E$654,0.000000001))&gt;=8*$B$29,$H$38,0.5*$H$38*(ABS(IF(ABS($E$654)&gt;0.000000001,$E$654,0.000000001))/$B$29)^(1/3)))/ABS(IF(ABS($E$654)&gt;0.000000001,$E$654,0.000000001))*$I$38)</f>
        <v/>
      </c>
      <c r="E720" s="19">
        <f>0.5*$E$654+0.5*$AT$747</f>
        <v/>
      </c>
      <c r="F720" s="19">
        <f>$AT$748</f>
        <v/>
      </c>
    </row>
    <row r="721">
      <c r="D721" s="19">
        <f>IF(ABS(IF(ABS($E$655)&gt;0.000000001,$E$655,0.000000001))=0,0,IF($E$39&lt;=$B$27,0,IF(ABS(IF(ABS($E$655)&gt;0.000000001,$E$655,0.000000001))&gt;=8*$B$29,$H$39,0.5*$H$39*(ABS(IF(ABS($E$655)&gt;0.000000001,$E$655,0.000000001))/$B$29)^(1/3)))/ABS(IF(ABS($E$655)&gt;0.000000001,$E$655,0.000000001))*$I$39)</f>
        <v/>
      </c>
      <c r="E721" s="19">
        <f>0.5*$E$655+0.5*$AT$749</f>
        <v/>
      </c>
      <c r="F721" s="19">
        <f>$AT$750</f>
        <v/>
      </c>
    </row>
    <row r="722">
      <c r="D722" s="19">
        <f>IF(ABS(IF(ABS($E$656)&gt;0.000000001,$E$656,0.000000001))=0,0,IF($E$40&lt;=$B$27,0,IF(ABS(IF(ABS($E$656)&gt;0.000000001,$E$656,0.000000001))&gt;=8*$B$29,$H$40,0.5*$H$40*(ABS(IF(ABS($E$656)&gt;0.000000001,$E$656,0.000000001))/$B$29)^(1/3)))/ABS(IF(ABS($E$656)&gt;0.000000001,$E$656,0.000000001))*$I$40)</f>
        <v/>
      </c>
      <c r="E722" s="19">
        <f>0.5*$E$656+0.5*$AT$751</f>
        <v/>
      </c>
      <c r="F722" s="19">
        <f>$AT$752</f>
        <v/>
      </c>
    </row>
    <row r="723">
      <c r="D723" s="19">
        <f>IF(ABS(IF(ABS($E$657)&gt;0.000000001,$E$657,0.000000001))=0,0,IF($E$41&lt;=$B$27,0,IF(ABS(IF(ABS($E$657)&gt;0.000000001,$E$657,0.000000001))&gt;=8*$B$29,$H$41,0.5*$H$41*(ABS(IF(ABS($E$657)&gt;0.000000001,$E$657,0.000000001))/$B$29)^(1/3)))/ABS(IF(ABS($E$657)&gt;0.000000001,$E$657,0.000000001))*$I$41)</f>
        <v/>
      </c>
      <c r="E723" s="19">
        <f>0.5*$E$657+0.5*$AT$753</f>
        <v/>
      </c>
      <c r="F723" s="19">
        <f>$AT$754</f>
        <v/>
      </c>
    </row>
    <row r="724">
      <c r="D724" s="19">
        <f>IF(ABS(IF(ABS($E$658)&gt;0.000000001,$E$658,0.000000001))=0,0,IF($E$42&lt;=$B$27,0,IF(ABS(IF(ABS($E$658)&gt;0.000000001,$E$658,0.000000001))&gt;=8*$B$29,$H$42,0.5*$H$42*(ABS(IF(ABS($E$658)&gt;0.000000001,$E$658,0.000000001))/$B$29)^(1/3)))/ABS(IF(ABS($E$658)&gt;0.000000001,$E$658,0.000000001))*$I$42)</f>
        <v/>
      </c>
      <c r="E724" s="19">
        <f>0.5*$E$658+0.5*$AT$755</f>
        <v/>
      </c>
      <c r="F724" s="19">
        <f>$AT$756</f>
        <v/>
      </c>
    </row>
    <row r="725">
      <c r="D725" s="19">
        <f>IF(ABS(IF(ABS($E$659)&gt;0.000000001,$E$659,0.000000001))=0,0,IF($E$43&lt;=$B$27,0,IF(ABS(IF(ABS($E$659)&gt;0.000000001,$E$659,0.000000001))&gt;=8*$B$29,$H$43,0.5*$H$43*(ABS(IF(ABS($E$659)&gt;0.000000001,$E$659,0.000000001))/$B$29)^(1/3)))/ABS(IF(ABS($E$659)&gt;0.000000001,$E$659,0.000000001))*$I$43)</f>
        <v/>
      </c>
      <c r="E725" s="19">
        <f>0.5*$E$659+0.5*$AT$757</f>
        <v/>
      </c>
      <c r="F725" s="19">
        <f>$AT$758</f>
        <v/>
      </c>
    </row>
    <row r="726">
      <c r="D726" s="19">
        <f>IF(ABS(IF(ABS($E$660)&gt;0.000000001,$E$660,0.000000001))=0,0,IF($E$44&lt;=$B$27,0,IF(ABS(IF(ABS($E$660)&gt;0.000000001,$E$660,0.000000001))&gt;=8*$B$29,$H$44,0.5*$H$44*(ABS(IF(ABS($E$660)&gt;0.000000001,$E$660,0.000000001))/$B$29)^(1/3)))/ABS(IF(ABS($E$660)&gt;0.000000001,$E$660,0.000000001))*$I$44)</f>
        <v/>
      </c>
      <c r="E726" s="19">
        <f>0.5*$E$660+0.5*$AT$759</f>
        <v/>
      </c>
      <c r="F726" s="19">
        <f>$AT$760</f>
        <v/>
      </c>
    </row>
    <row r="727">
      <c r="D727" s="19">
        <f>IF(ABS(IF(ABS($E$661)&gt;0.000000001,$E$661,0.000000001))=0,0,IF($E$45&lt;=$B$27,0,IF(ABS(IF(ABS($E$661)&gt;0.000000001,$E$661,0.000000001))&gt;=8*$B$29,$H$45,0.5*$H$45*(ABS(IF(ABS($E$661)&gt;0.000000001,$E$661,0.000000001))/$B$29)^(1/3)))/ABS(IF(ABS($E$661)&gt;0.000000001,$E$661,0.000000001))*$I$45)</f>
        <v/>
      </c>
      <c r="E727" s="19">
        <f>0.5*$E$661+0.5*$AT$761</f>
        <v/>
      </c>
      <c r="F727" s="19">
        <f>$AT$762</f>
        <v/>
      </c>
    </row>
    <row r="728">
      <c r="D728" s="19">
        <f>IF(ABS(IF(ABS($E$662)&gt;0.000000001,$E$662,0.000000001))=0,0,IF($E$46&lt;=$B$27,0,IF(ABS(IF(ABS($E$662)&gt;0.000000001,$E$662,0.000000001))&gt;=8*$B$29,$H$46,0.5*$H$46*(ABS(IF(ABS($E$662)&gt;0.000000001,$E$662,0.000000001))/$B$29)^(1/3)))/ABS(IF(ABS($E$662)&gt;0.000000001,$E$662,0.000000001))*$I$46)</f>
        <v/>
      </c>
      <c r="E728" s="19">
        <f>0.5*$E$662+0.5*$AT$763</f>
        <v/>
      </c>
      <c r="F728" s="19">
        <f>$AT$764</f>
        <v/>
      </c>
    </row>
    <row r="729">
      <c r="D729" s="19">
        <f>IF(ABS(IF(ABS($E$663)&gt;0.000000001,$E$663,0.000000001))=0,0,IF($E$47&lt;=$B$27,0,IF(ABS(IF(ABS($E$663)&gt;0.000000001,$E$663,0.000000001))&gt;=8*$B$29,$H$47,0.5*$H$47*(ABS(IF(ABS($E$663)&gt;0.000000001,$E$663,0.000000001))/$B$29)^(1/3)))/ABS(IF(ABS($E$663)&gt;0.000000001,$E$663,0.000000001))*$I$47)</f>
        <v/>
      </c>
      <c r="E729" s="19">
        <f>0.5*$E$663+0.5*$AT$765</f>
        <v/>
      </c>
      <c r="F729" s="19">
        <f>$AT$766</f>
        <v/>
      </c>
    </row>
    <row r="730">
      <c r="D730" s="19">
        <f>IF(ABS(IF(ABS($E$664)&gt;0.000000001,$E$664,0.000000001))=0,0,IF($E$48&lt;=$B$27,0,IF(ABS(IF(ABS($E$664)&gt;0.000000001,$E$664,0.000000001))&gt;=8*$B$29,$H$48,0.5*$H$48*(ABS(IF(ABS($E$664)&gt;0.000000001,$E$664,0.000000001))/$B$29)^(1/3)))/ABS(IF(ABS($E$664)&gt;0.000000001,$E$664,0.000000001))*$I$48)</f>
        <v/>
      </c>
      <c r="E730" s="19">
        <f>0.5*$E$664+0.5*$AT$767</f>
        <v/>
      </c>
      <c r="F730" s="19">
        <f>$AT$768</f>
        <v/>
      </c>
    </row>
    <row r="731">
      <c r="D731" s="19">
        <f>IF(ABS(IF(ABS($E$665)&gt;0.000000001,$E$665,0.000000001))=0,0,IF($E$49&lt;=$B$27,0,IF(ABS(IF(ABS($E$665)&gt;0.000000001,$E$665,0.000000001))&gt;=8*$B$29,$H$49,0.5*$H$49*(ABS(IF(ABS($E$665)&gt;0.000000001,$E$665,0.000000001))/$B$29)^(1/3)))/ABS(IF(ABS($E$665)&gt;0.000000001,$E$665,0.000000001))*$I$49)</f>
        <v/>
      </c>
      <c r="E731" s="19">
        <f>0.5*$E$665+0.5*$AT$769</f>
        <v/>
      </c>
      <c r="F731" s="19">
        <f>$AT$770</f>
        <v/>
      </c>
    </row>
    <row r="732">
      <c r="D732" s="19">
        <f>IF(ABS(IF(ABS($E$666)&gt;0.000000001,$E$666,0.000000001))=0,0,IF($E$50&lt;=$B$27,0,IF(ABS(IF(ABS($E$666)&gt;0.000000001,$E$666,0.000000001))&gt;=8*$B$29,$H$50,0.5*$H$50*(ABS(IF(ABS($E$666)&gt;0.000000001,$E$666,0.000000001))/$B$29)^(1/3)))/ABS(IF(ABS($E$666)&gt;0.000000001,$E$666,0.000000001))*$I$50)</f>
        <v/>
      </c>
      <c r="E732" s="19">
        <f>0.5*$E$666+0.5*$AT$771</f>
        <v/>
      </c>
      <c r="F732" s="19">
        <f>$AT$772</f>
        <v/>
      </c>
    </row>
    <row r="733">
      <c r="D733" s="19">
        <f>IF(ABS(IF(ABS($E$667)&gt;0.000000001,$E$667,0.000000001))=0,0,IF($E$51&lt;=$B$27,0,IF(ABS(IF(ABS($E$667)&gt;0.000000001,$E$667,0.000000001))&gt;=8*$B$29,$H$51,0.5*$H$51*(ABS(IF(ABS($E$667)&gt;0.000000001,$E$667,0.000000001))/$B$29)^(1/3)))/ABS(IF(ABS($E$667)&gt;0.000000001,$E$667,0.000000001))*$I$51)</f>
        <v/>
      </c>
      <c r="E733" s="19">
        <f>0.5*$E$667+0.5*$AT$773</f>
        <v/>
      </c>
      <c r="F733" s="19">
        <f>$AT$774</f>
        <v/>
      </c>
    </row>
    <row r="734">
      <c r="D734" s="19">
        <f>IF(ABS(IF(ABS($E$668)&gt;0.000000001,$E$668,0.000000001))=0,0,IF($E$52&lt;=$B$27,0,IF(ABS(IF(ABS($E$668)&gt;0.000000001,$E$668,0.000000001))&gt;=8*$B$29,$H$52,0.5*$H$52*(ABS(IF(ABS($E$668)&gt;0.000000001,$E$668,0.000000001))/$B$29)^(1/3)))/ABS(IF(ABS($E$668)&gt;0.000000001,$E$668,0.000000001))*$I$52)</f>
        <v/>
      </c>
      <c r="E734" s="19">
        <f>0.5*$E$668+0.5*$AT$775</f>
        <v/>
      </c>
      <c r="F734" s="19">
        <f>$AT$776</f>
        <v/>
      </c>
    </row>
    <row r="735">
      <c r="D735" s="19">
        <f>IF(ABS(IF(ABS($E$669)&gt;0.000000001,$E$669,0.000000001))=0,0,IF($E$53&lt;=$B$27,0,IF(ABS(IF(ABS($E$669)&gt;0.000000001,$E$669,0.000000001))&gt;=8*$B$29,$H$53,0.5*$H$53*(ABS(IF(ABS($E$669)&gt;0.000000001,$E$669,0.000000001))/$B$29)^(1/3)))/ABS(IF(ABS($E$669)&gt;0.000000001,$E$669,0.000000001))*$I$53)</f>
        <v/>
      </c>
      <c r="E735" s="19">
        <f>0.5*$E$669+0.5*$AT$777</f>
        <v/>
      </c>
      <c r="F735" s="19">
        <f>$AT$778</f>
        <v/>
      </c>
    </row>
    <row r="737">
      <c r="D737" s="21">
        <f>$B$18+$D$715</f>
        <v/>
      </c>
      <c r="E737" s="21">
        <f>$B$19</f>
        <v/>
      </c>
      <c r="F737" s="21">
        <f>-$B$18</f>
        <v/>
      </c>
      <c r="G737" s="21">
        <f>$B$19</f>
        <v/>
      </c>
      <c r="H737" s="21" t="n">
        <v>0</v>
      </c>
      <c r="I737" s="21" t="n">
        <v>0</v>
      </c>
      <c r="J737" s="21" t="n">
        <v>0</v>
      </c>
      <c r="K737" s="21" t="n">
        <v>0</v>
      </c>
      <c r="L737" s="21" t="n">
        <v>0</v>
      </c>
      <c r="M737" s="21" t="n">
        <v>0</v>
      </c>
      <c r="N737" s="21" t="n">
        <v>0</v>
      </c>
      <c r="O737" s="21" t="n">
        <v>0</v>
      </c>
      <c r="P737" s="21" t="n">
        <v>0</v>
      </c>
      <c r="Q737" s="21" t="n">
        <v>0</v>
      </c>
      <c r="R737" s="21" t="n">
        <v>0</v>
      </c>
      <c r="S737" s="21" t="n">
        <v>0</v>
      </c>
      <c r="T737" s="21" t="n">
        <v>0</v>
      </c>
      <c r="U737" s="21" t="n">
        <v>0</v>
      </c>
      <c r="V737" s="21" t="n">
        <v>0</v>
      </c>
      <c r="W737" s="21" t="n">
        <v>0</v>
      </c>
      <c r="X737" s="21" t="n">
        <v>0</v>
      </c>
      <c r="Y737" s="21" t="n">
        <v>0</v>
      </c>
      <c r="Z737" s="21" t="n">
        <v>0</v>
      </c>
      <c r="AA737" s="21" t="n">
        <v>0</v>
      </c>
      <c r="AB737" s="21" t="n">
        <v>0</v>
      </c>
      <c r="AC737" s="21" t="n">
        <v>0</v>
      </c>
      <c r="AD737" s="21" t="n">
        <v>0</v>
      </c>
      <c r="AE737" s="21" t="n">
        <v>0</v>
      </c>
      <c r="AF737" s="21" t="n">
        <v>0</v>
      </c>
      <c r="AG737" s="21" t="n">
        <v>0</v>
      </c>
      <c r="AH737" s="21" t="n">
        <v>0</v>
      </c>
      <c r="AI737" s="21" t="n">
        <v>0</v>
      </c>
      <c r="AJ737" s="21" t="n">
        <v>0</v>
      </c>
      <c r="AK737" s="21" t="n">
        <v>0</v>
      </c>
      <c r="AL737" s="21" t="n">
        <v>0</v>
      </c>
      <c r="AM737" s="21" t="n">
        <v>0</v>
      </c>
      <c r="AN737" s="21" t="n">
        <v>0</v>
      </c>
      <c r="AO737" s="21" t="n">
        <v>0</v>
      </c>
      <c r="AP737" s="21" t="n">
        <v>0</v>
      </c>
      <c r="AQ737" s="21" t="n">
        <v>0</v>
      </c>
      <c r="AR737" s="21" t="n">
        <v>0</v>
      </c>
      <c r="AS737" s="21" t="n">
        <v>0</v>
      </c>
      <c r="AT737" s="19">
        <f t="array" ref="AT737:AT778">MMULT(MINVERSE($D$737:$AS$778),$D$55:$D$96)</f>
        <v/>
      </c>
    </row>
    <row r="738">
      <c r="D738" s="21">
        <f>$B$19</f>
        <v/>
      </c>
      <c r="E738" s="21">
        <f>$B$20</f>
        <v/>
      </c>
      <c r="F738" s="21">
        <f>-$B$19</f>
        <v/>
      </c>
      <c r="G738" s="21">
        <f>$B$21</f>
        <v/>
      </c>
      <c r="H738" s="21" t="n">
        <v>0</v>
      </c>
      <c r="I738" s="21" t="n">
        <v>0</v>
      </c>
      <c r="J738" s="21" t="n">
        <v>0</v>
      </c>
      <c r="K738" s="21" t="n">
        <v>0</v>
      </c>
      <c r="L738" s="21" t="n">
        <v>0</v>
      </c>
      <c r="M738" s="21" t="n">
        <v>0</v>
      </c>
      <c r="N738" s="21" t="n">
        <v>0</v>
      </c>
      <c r="O738" s="21" t="n">
        <v>0</v>
      </c>
      <c r="P738" s="21" t="n">
        <v>0</v>
      </c>
      <c r="Q738" s="21" t="n">
        <v>0</v>
      </c>
      <c r="R738" s="21" t="n">
        <v>0</v>
      </c>
      <c r="S738" s="21" t="n">
        <v>0</v>
      </c>
      <c r="T738" s="21" t="n">
        <v>0</v>
      </c>
      <c r="U738" s="21" t="n">
        <v>0</v>
      </c>
      <c r="V738" s="21" t="n">
        <v>0</v>
      </c>
      <c r="W738" s="21" t="n">
        <v>0</v>
      </c>
      <c r="X738" s="21" t="n">
        <v>0</v>
      </c>
      <c r="Y738" s="21" t="n">
        <v>0</v>
      </c>
      <c r="Z738" s="21" t="n">
        <v>0</v>
      </c>
      <c r="AA738" s="21" t="n">
        <v>0</v>
      </c>
      <c r="AB738" s="21" t="n">
        <v>0</v>
      </c>
      <c r="AC738" s="21" t="n">
        <v>0</v>
      </c>
      <c r="AD738" s="21" t="n">
        <v>0</v>
      </c>
      <c r="AE738" s="21" t="n">
        <v>0</v>
      </c>
      <c r="AF738" s="21" t="n">
        <v>0</v>
      </c>
      <c r="AG738" s="21" t="n">
        <v>0</v>
      </c>
      <c r="AH738" s="21" t="n">
        <v>0</v>
      </c>
      <c r="AI738" s="21" t="n">
        <v>0</v>
      </c>
      <c r="AJ738" s="21" t="n">
        <v>0</v>
      </c>
      <c r="AK738" s="21" t="n">
        <v>0</v>
      </c>
      <c r="AL738" s="21" t="n">
        <v>0</v>
      </c>
      <c r="AM738" s="21" t="n">
        <v>0</v>
      </c>
      <c r="AN738" s="21" t="n">
        <v>0</v>
      </c>
      <c r="AO738" s="21" t="n">
        <v>0</v>
      </c>
      <c r="AP738" s="21" t="n">
        <v>0</v>
      </c>
      <c r="AQ738" s="21" t="n">
        <v>0</v>
      </c>
      <c r="AR738" s="21" t="n">
        <v>0</v>
      </c>
      <c r="AS738" s="21" t="n">
        <v>0</v>
      </c>
      <c r="AT738" s="19" t="n"/>
    </row>
    <row r="739">
      <c r="D739" s="21">
        <f>-$B$18</f>
        <v/>
      </c>
      <c r="E739" s="21">
        <f>-$B$19</f>
        <v/>
      </c>
      <c r="F739" s="21">
        <f>2*$B$18+$D$716</f>
        <v/>
      </c>
      <c r="G739" s="21">
        <f>0</f>
        <v/>
      </c>
      <c r="H739" s="21">
        <f>-$B$18</f>
        <v/>
      </c>
      <c r="I739" s="21">
        <f>$B$19</f>
        <v/>
      </c>
      <c r="J739" s="21" t="n">
        <v>0</v>
      </c>
      <c r="K739" s="21" t="n">
        <v>0</v>
      </c>
      <c r="L739" s="21" t="n">
        <v>0</v>
      </c>
      <c r="M739" s="21" t="n">
        <v>0</v>
      </c>
      <c r="N739" s="21" t="n">
        <v>0</v>
      </c>
      <c r="O739" s="21" t="n">
        <v>0</v>
      </c>
      <c r="P739" s="21" t="n">
        <v>0</v>
      </c>
      <c r="Q739" s="21" t="n">
        <v>0</v>
      </c>
      <c r="R739" s="21" t="n">
        <v>0</v>
      </c>
      <c r="S739" s="21" t="n">
        <v>0</v>
      </c>
      <c r="T739" s="21" t="n">
        <v>0</v>
      </c>
      <c r="U739" s="21" t="n">
        <v>0</v>
      </c>
      <c r="V739" s="21" t="n">
        <v>0</v>
      </c>
      <c r="W739" s="21" t="n">
        <v>0</v>
      </c>
      <c r="X739" s="21" t="n">
        <v>0</v>
      </c>
      <c r="Y739" s="21" t="n">
        <v>0</v>
      </c>
      <c r="Z739" s="21" t="n">
        <v>0</v>
      </c>
      <c r="AA739" s="21" t="n">
        <v>0</v>
      </c>
      <c r="AB739" s="21" t="n">
        <v>0</v>
      </c>
      <c r="AC739" s="21" t="n">
        <v>0</v>
      </c>
      <c r="AD739" s="21" t="n">
        <v>0</v>
      </c>
      <c r="AE739" s="21" t="n">
        <v>0</v>
      </c>
      <c r="AF739" s="21" t="n">
        <v>0</v>
      </c>
      <c r="AG739" s="21" t="n">
        <v>0</v>
      </c>
      <c r="AH739" s="21" t="n">
        <v>0</v>
      </c>
      <c r="AI739" s="21" t="n">
        <v>0</v>
      </c>
      <c r="AJ739" s="21" t="n">
        <v>0</v>
      </c>
      <c r="AK739" s="21" t="n">
        <v>0</v>
      </c>
      <c r="AL739" s="21" t="n">
        <v>0</v>
      </c>
      <c r="AM739" s="21" t="n">
        <v>0</v>
      </c>
      <c r="AN739" s="21" t="n">
        <v>0</v>
      </c>
      <c r="AO739" s="21" t="n">
        <v>0</v>
      </c>
      <c r="AP739" s="21" t="n">
        <v>0</v>
      </c>
      <c r="AQ739" s="21" t="n">
        <v>0</v>
      </c>
      <c r="AR739" s="21" t="n">
        <v>0</v>
      </c>
      <c r="AS739" s="21" t="n">
        <v>0</v>
      </c>
      <c r="AT739" s="19" t="n"/>
    </row>
    <row r="740">
      <c r="D740" s="21">
        <f>$B$19</f>
        <v/>
      </c>
      <c r="E740" s="21">
        <f>$B$21</f>
        <v/>
      </c>
      <c r="F740" s="21">
        <f>0</f>
        <v/>
      </c>
      <c r="G740" s="21">
        <f>2*$B$20</f>
        <v/>
      </c>
      <c r="H740" s="21">
        <f>-$B$19</f>
        <v/>
      </c>
      <c r="I740" s="21">
        <f>$B$21</f>
        <v/>
      </c>
      <c r="J740" s="21" t="n">
        <v>0</v>
      </c>
      <c r="K740" s="21" t="n">
        <v>0</v>
      </c>
      <c r="L740" s="21" t="n">
        <v>0</v>
      </c>
      <c r="M740" s="21" t="n">
        <v>0</v>
      </c>
      <c r="N740" s="21" t="n">
        <v>0</v>
      </c>
      <c r="O740" s="21" t="n">
        <v>0</v>
      </c>
      <c r="P740" s="21" t="n">
        <v>0</v>
      </c>
      <c r="Q740" s="21" t="n">
        <v>0</v>
      </c>
      <c r="R740" s="21" t="n">
        <v>0</v>
      </c>
      <c r="S740" s="21" t="n">
        <v>0</v>
      </c>
      <c r="T740" s="21" t="n">
        <v>0</v>
      </c>
      <c r="U740" s="21" t="n">
        <v>0</v>
      </c>
      <c r="V740" s="21" t="n">
        <v>0</v>
      </c>
      <c r="W740" s="21" t="n">
        <v>0</v>
      </c>
      <c r="X740" s="21" t="n">
        <v>0</v>
      </c>
      <c r="Y740" s="21" t="n">
        <v>0</v>
      </c>
      <c r="Z740" s="21" t="n">
        <v>0</v>
      </c>
      <c r="AA740" s="21" t="n">
        <v>0</v>
      </c>
      <c r="AB740" s="21" t="n">
        <v>0</v>
      </c>
      <c r="AC740" s="21" t="n">
        <v>0</v>
      </c>
      <c r="AD740" s="21" t="n">
        <v>0</v>
      </c>
      <c r="AE740" s="21" t="n">
        <v>0</v>
      </c>
      <c r="AF740" s="21" t="n">
        <v>0</v>
      </c>
      <c r="AG740" s="21" t="n">
        <v>0</v>
      </c>
      <c r="AH740" s="21" t="n">
        <v>0</v>
      </c>
      <c r="AI740" s="21" t="n">
        <v>0</v>
      </c>
      <c r="AJ740" s="21" t="n">
        <v>0</v>
      </c>
      <c r="AK740" s="21" t="n">
        <v>0</v>
      </c>
      <c r="AL740" s="21" t="n">
        <v>0</v>
      </c>
      <c r="AM740" s="21" t="n">
        <v>0</v>
      </c>
      <c r="AN740" s="21" t="n">
        <v>0</v>
      </c>
      <c r="AO740" s="21" t="n">
        <v>0</v>
      </c>
      <c r="AP740" s="21" t="n">
        <v>0</v>
      </c>
      <c r="AQ740" s="21" t="n">
        <v>0</v>
      </c>
      <c r="AR740" s="21" t="n">
        <v>0</v>
      </c>
      <c r="AS740" s="21" t="n">
        <v>0</v>
      </c>
      <c r="AT740" s="19" t="n"/>
    </row>
    <row r="741">
      <c r="D741" s="21" t="n">
        <v>0</v>
      </c>
      <c r="E741" s="21" t="n">
        <v>0</v>
      </c>
      <c r="F741" s="21">
        <f>-$B$18</f>
        <v/>
      </c>
      <c r="G741" s="21">
        <f>-$B$19</f>
        <v/>
      </c>
      <c r="H741" s="21">
        <f>2*$B$18+$D$717</f>
        <v/>
      </c>
      <c r="I741" s="21">
        <f>0</f>
        <v/>
      </c>
      <c r="J741" s="21">
        <f>-$B$18</f>
        <v/>
      </c>
      <c r="K741" s="21">
        <f>$B$19</f>
        <v/>
      </c>
      <c r="L741" s="21" t="n">
        <v>0</v>
      </c>
      <c r="M741" s="21" t="n">
        <v>0</v>
      </c>
      <c r="N741" s="21" t="n">
        <v>0</v>
      </c>
      <c r="O741" s="21" t="n">
        <v>0</v>
      </c>
      <c r="P741" s="21" t="n">
        <v>0</v>
      </c>
      <c r="Q741" s="21" t="n">
        <v>0</v>
      </c>
      <c r="R741" s="21" t="n">
        <v>0</v>
      </c>
      <c r="S741" s="21" t="n">
        <v>0</v>
      </c>
      <c r="T741" s="21" t="n">
        <v>0</v>
      </c>
      <c r="U741" s="21" t="n">
        <v>0</v>
      </c>
      <c r="V741" s="21" t="n">
        <v>0</v>
      </c>
      <c r="W741" s="21" t="n">
        <v>0</v>
      </c>
      <c r="X741" s="21" t="n">
        <v>0</v>
      </c>
      <c r="Y741" s="21" t="n">
        <v>0</v>
      </c>
      <c r="Z741" s="21" t="n">
        <v>0</v>
      </c>
      <c r="AA741" s="21" t="n">
        <v>0</v>
      </c>
      <c r="AB741" s="21" t="n">
        <v>0</v>
      </c>
      <c r="AC741" s="21" t="n">
        <v>0</v>
      </c>
      <c r="AD741" s="21" t="n">
        <v>0</v>
      </c>
      <c r="AE741" s="21" t="n">
        <v>0</v>
      </c>
      <c r="AF741" s="21" t="n">
        <v>0</v>
      </c>
      <c r="AG741" s="21" t="n">
        <v>0</v>
      </c>
      <c r="AH741" s="21" t="n">
        <v>0</v>
      </c>
      <c r="AI741" s="21" t="n">
        <v>0</v>
      </c>
      <c r="AJ741" s="21" t="n">
        <v>0</v>
      </c>
      <c r="AK741" s="21" t="n">
        <v>0</v>
      </c>
      <c r="AL741" s="21" t="n">
        <v>0</v>
      </c>
      <c r="AM741" s="21" t="n">
        <v>0</v>
      </c>
      <c r="AN741" s="21" t="n">
        <v>0</v>
      </c>
      <c r="AO741" s="21" t="n">
        <v>0</v>
      </c>
      <c r="AP741" s="21" t="n">
        <v>0</v>
      </c>
      <c r="AQ741" s="21" t="n">
        <v>0</v>
      </c>
      <c r="AR741" s="21" t="n">
        <v>0</v>
      </c>
      <c r="AS741" s="21" t="n">
        <v>0</v>
      </c>
      <c r="AT741" s="19" t="n"/>
    </row>
    <row r="742">
      <c r="D742" s="21" t="n">
        <v>0</v>
      </c>
      <c r="E742" s="21" t="n">
        <v>0</v>
      </c>
      <c r="F742" s="21">
        <f>$B$19</f>
        <v/>
      </c>
      <c r="G742" s="21">
        <f>$B$21</f>
        <v/>
      </c>
      <c r="H742" s="21">
        <f>0</f>
        <v/>
      </c>
      <c r="I742" s="21">
        <f>2*$B$20</f>
        <v/>
      </c>
      <c r="J742" s="21">
        <f>-$B$19</f>
        <v/>
      </c>
      <c r="K742" s="21">
        <f>$B$21</f>
        <v/>
      </c>
      <c r="L742" s="21" t="n">
        <v>0</v>
      </c>
      <c r="M742" s="21" t="n">
        <v>0</v>
      </c>
      <c r="N742" s="21" t="n">
        <v>0</v>
      </c>
      <c r="O742" s="21" t="n">
        <v>0</v>
      </c>
      <c r="P742" s="21" t="n">
        <v>0</v>
      </c>
      <c r="Q742" s="21" t="n">
        <v>0</v>
      </c>
      <c r="R742" s="21" t="n">
        <v>0</v>
      </c>
      <c r="S742" s="21" t="n">
        <v>0</v>
      </c>
      <c r="T742" s="21" t="n">
        <v>0</v>
      </c>
      <c r="U742" s="21" t="n">
        <v>0</v>
      </c>
      <c r="V742" s="21" t="n">
        <v>0</v>
      </c>
      <c r="W742" s="21" t="n">
        <v>0</v>
      </c>
      <c r="X742" s="21" t="n">
        <v>0</v>
      </c>
      <c r="Y742" s="21" t="n">
        <v>0</v>
      </c>
      <c r="Z742" s="21" t="n">
        <v>0</v>
      </c>
      <c r="AA742" s="21" t="n">
        <v>0</v>
      </c>
      <c r="AB742" s="21" t="n">
        <v>0</v>
      </c>
      <c r="AC742" s="21" t="n">
        <v>0</v>
      </c>
      <c r="AD742" s="21" t="n">
        <v>0</v>
      </c>
      <c r="AE742" s="21" t="n">
        <v>0</v>
      </c>
      <c r="AF742" s="21" t="n">
        <v>0</v>
      </c>
      <c r="AG742" s="21" t="n">
        <v>0</v>
      </c>
      <c r="AH742" s="21" t="n">
        <v>0</v>
      </c>
      <c r="AI742" s="21" t="n">
        <v>0</v>
      </c>
      <c r="AJ742" s="21" t="n">
        <v>0</v>
      </c>
      <c r="AK742" s="21" t="n">
        <v>0</v>
      </c>
      <c r="AL742" s="21" t="n">
        <v>0</v>
      </c>
      <c r="AM742" s="21" t="n">
        <v>0</v>
      </c>
      <c r="AN742" s="21" t="n">
        <v>0</v>
      </c>
      <c r="AO742" s="21" t="n">
        <v>0</v>
      </c>
      <c r="AP742" s="21" t="n">
        <v>0</v>
      </c>
      <c r="AQ742" s="21" t="n">
        <v>0</v>
      </c>
      <c r="AR742" s="21" t="n">
        <v>0</v>
      </c>
      <c r="AS742" s="21" t="n">
        <v>0</v>
      </c>
      <c r="AT742" s="19" t="n"/>
    </row>
    <row r="743">
      <c r="D743" s="21" t="n">
        <v>0</v>
      </c>
      <c r="E743" s="21" t="n">
        <v>0</v>
      </c>
      <c r="F743" s="21" t="n">
        <v>0</v>
      </c>
      <c r="G743" s="21" t="n">
        <v>0</v>
      </c>
      <c r="H743" s="21">
        <f>-$B$18</f>
        <v/>
      </c>
      <c r="I743" s="21">
        <f>-$B$19</f>
        <v/>
      </c>
      <c r="J743" s="21">
        <f>2*$B$18+$D$718</f>
        <v/>
      </c>
      <c r="K743" s="21">
        <f>0</f>
        <v/>
      </c>
      <c r="L743" s="21">
        <f>-$B$18</f>
        <v/>
      </c>
      <c r="M743" s="21">
        <f>$B$19</f>
        <v/>
      </c>
      <c r="N743" s="21" t="n">
        <v>0</v>
      </c>
      <c r="O743" s="21" t="n">
        <v>0</v>
      </c>
      <c r="P743" s="21" t="n">
        <v>0</v>
      </c>
      <c r="Q743" s="21" t="n">
        <v>0</v>
      </c>
      <c r="R743" s="21" t="n">
        <v>0</v>
      </c>
      <c r="S743" s="21" t="n">
        <v>0</v>
      </c>
      <c r="T743" s="21" t="n">
        <v>0</v>
      </c>
      <c r="U743" s="21" t="n">
        <v>0</v>
      </c>
      <c r="V743" s="21" t="n">
        <v>0</v>
      </c>
      <c r="W743" s="21" t="n">
        <v>0</v>
      </c>
      <c r="X743" s="21" t="n">
        <v>0</v>
      </c>
      <c r="Y743" s="21" t="n">
        <v>0</v>
      </c>
      <c r="Z743" s="21" t="n">
        <v>0</v>
      </c>
      <c r="AA743" s="21" t="n">
        <v>0</v>
      </c>
      <c r="AB743" s="21" t="n">
        <v>0</v>
      </c>
      <c r="AC743" s="21" t="n">
        <v>0</v>
      </c>
      <c r="AD743" s="21" t="n">
        <v>0</v>
      </c>
      <c r="AE743" s="21" t="n">
        <v>0</v>
      </c>
      <c r="AF743" s="21" t="n">
        <v>0</v>
      </c>
      <c r="AG743" s="21" t="n">
        <v>0</v>
      </c>
      <c r="AH743" s="21" t="n">
        <v>0</v>
      </c>
      <c r="AI743" s="21" t="n">
        <v>0</v>
      </c>
      <c r="AJ743" s="21" t="n">
        <v>0</v>
      </c>
      <c r="AK743" s="21" t="n">
        <v>0</v>
      </c>
      <c r="AL743" s="21" t="n">
        <v>0</v>
      </c>
      <c r="AM743" s="21" t="n">
        <v>0</v>
      </c>
      <c r="AN743" s="21" t="n">
        <v>0</v>
      </c>
      <c r="AO743" s="21" t="n">
        <v>0</v>
      </c>
      <c r="AP743" s="21" t="n">
        <v>0</v>
      </c>
      <c r="AQ743" s="21" t="n">
        <v>0</v>
      </c>
      <c r="AR743" s="21" t="n">
        <v>0</v>
      </c>
      <c r="AS743" s="21" t="n">
        <v>0</v>
      </c>
      <c r="AT743" s="19" t="n"/>
    </row>
    <row r="744">
      <c r="D744" s="21" t="n">
        <v>0</v>
      </c>
      <c r="E744" s="21" t="n">
        <v>0</v>
      </c>
      <c r="F744" s="21" t="n">
        <v>0</v>
      </c>
      <c r="G744" s="21" t="n">
        <v>0</v>
      </c>
      <c r="H744" s="21">
        <f>$B$19</f>
        <v/>
      </c>
      <c r="I744" s="21">
        <f>$B$21</f>
        <v/>
      </c>
      <c r="J744" s="21">
        <f>0</f>
        <v/>
      </c>
      <c r="K744" s="21">
        <f>2*$B$20</f>
        <v/>
      </c>
      <c r="L744" s="21">
        <f>-$B$19</f>
        <v/>
      </c>
      <c r="M744" s="21">
        <f>$B$21</f>
        <v/>
      </c>
      <c r="N744" s="21" t="n">
        <v>0</v>
      </c>
      <c r="O744" s="21" t="n">
        <v>0</v>
      </c>
      <c r="P744" s="21" t="n">
        <v>0</v>
      </c>
      <c r="Q744" s="21" t="n">
        <v>0</v>
      </c>
      <c r="R744" s="21" t="n">
        <v>0</v>
      </c>
      <c r="S744" s="21" t="n">
        <v>0</v>
      </c>
      <c r="T744" s="21" t="n">
        <v>0</v>
      </c>
      <c r="U744" s="21" t="n">
        <v>0</v>
      </c>
      <c r="V744" s="21" t="n">
        <v>0</v>
      </c>
      <c r="W744" s="21" t="n">
        <v>0</v>
      </c>
      <c r="X744" s="21" t="n">
        <v>0</v>
      </c>
      <c r="Y744" s="21" t="n">
        <v>0</v>
      </c>
      <c r="Z744" s="21" t="n">
        <v>0</v>
      </c>
      <c r="AA744" s="21" t="n">
        <v>0</v>
      </c>
      <c r="AB744" s="21" t="n">
        <v>0</v>
      </c>
      <c r="AC744" s="21" t="n">
        <v>0</v>
      </c>
      <c r="AD744" s="21" t="n">
        <v>0</v>
      </c>
      <c r="AE744" s="21" t="n">
        <v>0</v>
      </c>
      <c r="AF744" s="21" t="n">
        <v>0</v>
      </c>
      <c r="AG744" s="21" t="n">
        <v>0</v>
      </c>
      <c r="AH744" s="21" t="n">
        <v>0</v>
      </c>
      <c r="AI744" s="21" t="n">
        <v>0</v>
      </c>
      <c r="AJ744" s="21" t="n">
        <v>0</v>
      </c>
      <c r="AK744" s="21" t="n">
        <v>0</v>
      </c>
      <c r="AL744" s="21" t="n">
        <v>0</v>
      </c>
      <c r="AM744" s="21" t="n">
        <v>0</v>
      </c>
      <c r="AN744" s="21" t="n">
        <v>0</v>
      </c>
      <c r="AO744" s="21" t="n">
        <v>0</v>
      </c>
      <c r="AP744" s="21" t="n">
        <v>0</v>
      </c>
      <c r="AQ744" s="21" t="n">
        <v>0</v>
      </c>
      <c r="AR744" s="21" t="n">
        <v>0</v>
      </c>
      <c r="AS744" s="21" t="n">
        <v>0</v>
      </c>
      <c r="AT744" s="19" t="n"/>
    </row>
    <row r="745">
      <c r="D745" s="21" t="n">
        <v>0</v>
      </c>
      <c r="E745" s="21" t="n">
        <v>0</v>
      </c>
      <c r="F745" s="21" t="n">
        <v>0</v>
      </c>
      <c r="G745" s="21" t="n">
        <v>0</v>
      </c>
      <c r="H745" s="21" t="n">
        <v>0</v>
      </c>
      <c r="I745" s="21" t="n">
        <v>0</v>
      </c>
      <c r="J745" s="21">
        <f>-$B$18</f>
        <v/>
      </c>
      <c r="K745" s="21">
        <f>-$B$19</f>
        <v/>
      </c>
      <c r="L745" s="21">
        <f>2*$B$18+$D$719</f>
        <v/>
      </c>
      <c r="M745" s="21">
        <f>0</f>
        <v/>
      </c>
      <c r="N745" s="21">
        <f>-$B$18</f>
        <v/>
      </c>
      <c r="O745" s="21">
        <f>$B$19</f>
        <v/>
      </c>
      <c r="P745" s="21" t="n">
        <v>0</v>
      </c>
      <c r="Q745" s="21" t="n">
        <v>0</v>
      </c>
      <c r="R745" s="21" t="n">
        <v>0</v>
      </c>
      <c r="S745" s="21" t="n">
        <v>0</v>
      </c>
      <c r="T745" s="21" t="n">
        <v>0</v>
      </c>
      <c r="U745" s="21" t="n">
        <v>0</v>
      </c>
      <c r="V745" s="21" t="n">
        <v>0</v>
      </c>
      <c r="W745" s="21" t="n">
        <v>0</v>
      </c>
      <c r="X745" s="21" t="n">
        <v>0</v>
      </c>
      <c r="Y745" s="21" t="n">
        <v>0</v>
      </c>
      <c r="Z745" s="21" t="n">
        <v>0</v>
      </c>
      <c r="AA745" s="21" t="n">
        <v>0</v>
      </c>
      <c r="AB745" s="21" t="n">
        <v>0</v>
      </c>
      <c r="AC745" s="21" t="n">
        <v>0</v>
      </c>
      <c r="AD745" s="21" t="n">
        <v>0</v>
      </c>
      <c r="AE745" s="21" t="n">
        <v>0</v>
      </c>
      <c r="AF745" s="21" t="n">
        <v>0</v>
      </c>
      <c r="AG745" s="21" t="n">
        <v>0</v>
      </c>
      <c r="AH745" s="21" t="n">
        <v>0</v>
      </c>
      <c r="AI745" s="21" t="n">
        <v>0</v>
      </c>
      <c r="AJ745" s="21" t="n">
        <v>0</v>
      </c>
      <c r="AK745" s="21" t="n">
        <v>0</v>
      </c>
      <c r="AL745" s="21" t="n">
        <v>0</v>
      </c>
      <c r="AM745" s="21" t="n">
        <v>0</v>
      </c>
      <c r="AN745" s="21" t="n">
        <v>0</v>
      </c>
      <c r="AO745" s="21" t="n">
        <v>0</v>
      </c>
      <c r="AP745" s="21" t="n">
        <v>0</v>
      </c>
      <c r="AQ745" s="21" t="n">
        <v>0</v>
      </c>
      <c r="AR745" s="21" t="n">
        <v>0</v>
      </c>
      <c r="AS745" s="21" t="n">
        <v>0</v>
      </c>
      <c r="AT745" s="19" t="n"/>
    </row>
    <row r="746">
      <c r="D746" s="21" t="n">
        <v>0</v>
      </c>
      <c r="E746" s="21" t="n">
        <v>0</v>
      </c>
      <c r="F746" s="21" t="n">
        <v>0</v>
      </c>
      <c r="G746" s="21" t="n">
        <v>0</v>
      </c>
      <c r="H746" s="21" t="n">
        <v>0</v>
      </c>
      <c r="I746" s="21" t="n">
        <v>0</v>
      </c>
      <c r="J746" s="21">
        <f>$B$19</f>
        <v/>
      </c>
      <c r="K746" s="21">
        <f>$B$21</f>
        <v/>
      </c>
      <c r="L746" s="21">
        <f>0</f>
        <v/>
      </c>
      <c r="M746" s="21">
        <f>2*$B$20</f>
        <v/>
      </c>
      <c r="N746" s="21">
        <f>-$B$19</f>
        <v/>
      </c>
      <c r="O746" s="21">
        <f>$B$21</f>
        <v/>
      </c>
      <c r="P746" s="21" t="n">
        <v>0</v>
      </c>
      <c r="Q746" s="21" t="n">
        <v>0</v>
      </c>
      <c r="R746" s="21" t="n">
        <v>0</v>
      </c>
      <c r="S746" s="21" t="n">
        <v>0</v>
      </c>
      <c r="T746" s="21" t="n">
        <v>0</v>
      </c>
      <c r="U746" s="21" t="n">
        <v>0</v>
      </c>
      <c r="V746" s="21" t="n">
        <v>0</v>
      </c>
      <c r="W746" s="21" t="n">
        <v>0</v>
      </c>
      <c r="X746" s="21" t="n">
        <v>0</v>
      </c>
      <c r="Y746" s="21" t="n">
        <v>0</v>
      </c>
      <c r="Z746" s="21" t="n">
        <v>0</v>
      </c>
      <c r="AA746" s="21" t="n">
        <v>0</v>
      </c>
      <c r="AB746" s="21" t="n">
        <v>0</v>
      </c>
      <c r="AC746" s="21" t="n">
        <v>0</v>
      </c>
      <c r="AD746" s="21" t="n">
        <v>0</v>
      </c>
      <c r="AE746" s="21" t="n">
        <v>0</v>
      </c>
      <c r="AF746" s="21" t="n">
        <v>0</v>
      </c>
      <c r="AG746" s="21" t="n">
        <v>0</v>
      </c>
      <c r="AH746" s="21" t="n">
        <v>0</v>
      </c>
      <c r="AI746" s="21" t="n">
        <v>0</v>
      </c>
      <c r="AJ746" s="21" t="n">
        <v>0</v>
      </c>
      <c r="AK746" s="21" t="n">
        <v>0</v>
      </c>
      <c r="AL746" s="21" t="n">
        <v>0</v>
      </c>
      <c r="AM746" s="21" t="n">
        <v>0</v>
      </c>
      <c r="AN746" s="21" t="n">
        <v>0</v>
      </c>
      <c r="AO746" s="21" t="n">
        <v>0</v>
      </c>
      <c r="AP746" s="21" t="n">
        <v>0</v>
      </c>
      <c r="AQ746" s="21" t="n">
        <v>0</v>
      </c>
      <c r="AR746" s="21" t="n">
        <v>0</v>
      </c>
      <c r="AS746" s="21" t="n">
        <v>0</v>
      </c>
      <c r="AT746" s="19" t="n"/>
    </row>
    <row r="747">
      <c r="D747" s="21" t="n">
        <v>0</v>
      </c>
      <c r="E747" s="21" t="n">
        <v>0</v>
      </c>
      <c r="F747" s="21" t="n">
        <v>0</v>
      </c>
      <c r="G747" s="21" t="n">
        <v>0</v>
      </c>
      <c r="H747" s="21" t="n">
        <v>0</v>
      </c>
      <c r="I747" s="21" t="n">
        <v>0</v>
      </c>
      <c r="J747" s="21" t="n">
        <v>0</v>
      </c>
      <c r="K747" s="21" t="n">
        <v>0</v>
      </c>
      <c r="L747" s="21">
        <f>-$B$18</f>
        <v/>
      </c>
      <c r="M747" s="21">
        <f>-$B$19</f>
        <v/>
      </c>
      <c r="N747" s="21">
        <f>2*$B$18+$D$720</f>
        <v/>
      </c>
      <c r="O747" s="21">
        <f>0</f>
        <v/>
      </c>
      <c r="P747" s="21">
        <f>-$B$18</f>
        <v/>
      </c>
      <c r="Q747" s="21">
        <f>$B$19</f>
        <v/>
      </c>
      <c r="R747" s="21" t="n">
        <v>0</v>
      </c>
      <c r="S747" s="21" t="n">
        <v>0</v>
      </c>
      <c r="T747" s="21" t="n">
        <v>0</v>
      </c>
      <c r="U747" s="21" t="n">
        <v>0</v>
      </c>
      <c r="V747" s="21" t="n">
        <v>0</v>
      </c>
      <c r="W747" s="21" t="n">
        <v>0</v>
      </c>
      <c r="X747" s="21" t="n">
        <v>0</v>
      </c>
      <c r="Y747" s="21" t="n">
        <v>0</v>
      </c>
      <c r="Z747" s="21" t="n">
        <v>0</v>
      </c>
      <c r="AA747" s="21" t="n">
        <v>0</v>
      </c>
      <c r="AB747" s="21" t="n">
        <v>0</v>
      </c>
      <c r="AC747" s="21" t="n">
        <v>0</v>
      </c>
      <c r="AD747" s="21" t="n">
        <v>0</v>
      </c>
      <c r="AE747" s="21" t="n">
        <v>0</v>
      </c>
      <c r="AF747" s="21" t="n">
        <v>0</v>
      </c>
      <c r="AG747" s="21" t="n">
        <v>0</v>
      </c>
      <c r="AH747" s="21" t="n">
        <v>0</v>
      </c>
      <c r="AI747" s="21" t="n">
        <v>0</v>
      </c>
      <c r="AJ747" s="21" t="n">
        <v>0</v>
      </c>
      <c r="AK747" s="21" t="n">
        <v>0</v>
      </c>
      <c r="AL747" s="21" t="n">
        <v>0</v>
      </c>
      <c r="AM747" s="21" t="n">
        <v>0</v>
      </c>
      <c r="AN747" s="21" t="n">
        <v>0</v>
      </c>
      <c r="AO747" s="21" t="n">
        <v>0</v>
      </c>
      <c r="AP747" s="21" t="n">
        <v>0</v>
      </c>
      <c r="AQ747" s="21" t="n">
        <v>0</v>
      </c>
      <c r="AR747" s="21" t="n">
        <v>0</v>
      </c>
      <c r="AS747" s="21" t="n">
        <v>0</v>
      </c>
      <c r="AT747" s="19" t="n"/>
    </row>
    <row r="748">
      <c r="D748" s="21" t="n">
        <v>0</v>
      </c>
      <c r="E748" s="21" t="n">
        <v>0</v>
      </c>
      <c r="F748" s="21" t="n">
        <v>0</v>
      </c>
      <c r="G748" s="21" t="n">
        <v>0</v>
      </c>
      <c r="H748" s="21" t="n">
        <v>0</v>
      </c>
      <c r="I748" s="21" t="n">
        <v>0</v>
      </c>
      <c r="J748" s="21" t="n">
        <v>0</v>
      </c>
      <c r="K748" s="21" t="n">
        <v>0</v>
      </c>
      <c r="L748" s="21">
        <f>$B$19</f>
        <v/>
      </c>
      <c r="M748" s="21">
        <f>$B$21</f>
        <v/>
      </c>
      <c r="N748" s="21">
        <f>0</f>
        <v/>
      </c>
      <c r="O748" s="21">
        <f>2*$B$20</f>
        <v/>
      </c>
      <c r="P748" s="21">
        <f>-$B$19</f>
        <v/>
      </c>
      <c r="Q748" s="21">
        <f>$B$21</f>
        <v/>
      </c>
      <c r="R748" s="21" t="n">
        <v>0</v>
      </c>
      <c r="S748" s="21" t="n">
        <v>0</v>
      </c>
      <c r="T748" s="21" t="n">
        <v>0</v>
      </c>
      <c r="U748" s="21" t="n">
        <v>0</v>
      </c>
      <c r="V748" s="21" t="n">
        <v>0</v>
      </c>
      <c r="W748" s="21" t="n">
        <v>0</v>
      </c>
      <c r="X748" s="21" t="n">
        <v>0</v>
      </c>
      <c r="Y748" s="21" t="n">
        <v>0</v>
      </c>
      <c r="Z748" s="21" t="n">
        <v>0</v>
      </c>
      <c r="AA748" s="21" t="n">
        <v>0</v>
      </c>
      <c r="AB748" s="21" t="n">
        <v>0</v>
      </c>
      <c r="AC748" s="21" t="n">
        <v>0</v>
      </c>
      <c r="AD748" s="21" t="n">
        <v>0</v>
      </c>
      <c r="AE748" s="21" t="n">
        <v>0</v>
      </c>
      <c r="AF748" s="21" t="n">
        <v>0</v>
      </c>
      <c r="AG748" s="21" t="n">
        <v>0</v>
      </c>
      <c r="AH748" s="21" t="n">
        <v>0</v>
      </c>
      <c r="AI748" s="21" t="n">
        <v>0</v>
      </c>
      <c r="AJ748" s="21" t="n">
        <v>0</v>
      </c>
      <c r="AK748" s="21" t="n">
        <v>0</v>
      </c>
      <c r="AL748" s="21" t="n">
        <v>0</v>
      </c>
      <c r="AM748" s="21" t="n">
        <v>0</v>
      </c>
      <c r="AN748" s="21" t="n">
        <v>0</v>
      </c>
      <c r="AO748" s="21" t="n">
        <v>0</v>
      </c>
      <c r="AP748" s="21" t="n">
        <v>0</v>
      </c>
      <c r="AQ748" s="21" t="n">
        <v>0</v>
      </c>
      <c r="AR748" s="21" t="n">
        <v>0</v>
      </c>
      <c r="AS748" s="21" t="n">
        <v>0</v>
      </c>
      <c r="AT748" s="19" t="n"/>
    </row>
    <row r="749">
      <c r="D749" s="21" t="n">
        <v>0</v>
      </c>
      <c r="E749" s="21" t="n">
        <v>0</v>
      </c>
      <c r="F749" s="21" t="n">
        <v>0</v>
      </c>
      <c r="G749" s="21" t="n">
        <v>0</v>
      </c>
      <c r="H749" s="21" t="n">
        <v>0</v>
      </c>
      <c r="I749" s="21" t="n">
        <v>0</v>
      </c>
      <c r="J749" s="21" t="n">
        <v>0</v>
      </c>
      <c r="K749" s="21" t="n">
        <v>0</v>
      </c>
      <c r="L749" s="21" t="n">
        <v>0</v>
      </c>
      <c r="M749" s="21" t="n">
        <v>0</v>
      </c>
      <c r="N749" s="21">
        <f>-$B$18</f>
        <v/>
      </c>
      <c r="O749" s="21">
        <f>-$B$19</f>
        <v/>
      </c>
      <c r="P749" s="21">
        <f>2*$B$18+$D$721</f>
        <v/>
      </c>
      <c r="Q749" s="21">
        <f>0</f>
        <v/>
      </c>
      <c r="R749" s="21">
        <f>-$B$18</f>
        <v/>
      </c>
      <c r="S749" s="21">
        <f>$B$19</f>
        <v/>
      </c>
      <c r="T749" s="21" t="n">
        <v>0</v>
      </c>
      <c r="U749" s="21" t="n">
        <v>0</v>
      </c>
      <c r="V749" s="21" t="n">
        <v>0</v>
      </c>
      <c r="W749" s="21" t="n">
        <v>0</v>
      </c>
      <c r="X749" s="21" t="n">
        <v>0</v>
      </c>
      <c r="Y749" s="21" t="n">
        <v>0</v>
      </c>
      <c r="Z749" s="21" t="n">
        <v>0</v>
      </c>
      <c r="AA749" s="21" t="n">
        <v>0</v>
      </c>
      <c r="AB749" s="21" t="n">
        <v>0</v>
      </c>
      <c r="AC749" s="21" t="n">
        <v>0</v>
      </c>
      <c r="AD749" s="21" t="n">
        <v>0</v>
      </c>
      <c r="AE749" s="21" t="n">
        <v>0</v>
      </c>
      <c r="AF749" s="21" t="n">
        <v>0</v>
      </c>
      <c r="AG749" s="21" t="n">
        <v>0</v>
      </c>
      <c r="AH749" s="21" t="n">
        <v>0</v>
      </c>
      <c r="AI749" s="21" t="n">
        <v>0</v>
      </c>
      <c r="AJ749" s="21" t="n">
        <v>0</v>
      </c>
      <c r="AK749" s="21" t="n">
        <v>0</v>
      </c>
      <c r="AL749" s="21" t="n">
        <v>0</v>
      </c>
      <c r="AM749" s="21" t="n">
        <v>0</v>
      </c>
      <c r="AN749" s="21" t="n">
        <v>0</v>
      </c>
      <c r="AO749" s="21" t="n">
        <v>0</v>
      </c>
      <c r="AP749" s="21" t="n">
        <v>0</v>
      </c>
      <c r="AQ749" s="21" t="n">
        <v>0</v>
      </c>
      <c r="AR749" s="21" t="n">
        <v>0</v>
      </c>
      <c r="AS749" s="21" t="n">
        <v>0</v>
      </c>
      <c r="AT749" s="19" t="n"/>
    </row>
    <row r="750">
      <c r="D750" s="21" t="n">
        <v>0</v>
      </c>
      <c r="E750" s="21" t="n">
        <v>0</v>
      </c>
      <c r="F750" s="21" t="n">
        <v>0</v>
      </c>
      <c r="G750" s="21" t="n">
        <v>0</v>
      </c>
      <c r="H750" s="21" t="n">
        <v>0</v>
      </c>
      <c r="I750" s="21" t="n">
        <v>0</v>
      </c>
      <c r="J750" s="21" t="n">
        <v>0</v>
      </c>
      <c r="K750" s="21" t="n">
        <v>0</v>
      </c>
      <c r="L750" s="21" t="n">
        <v>0</v>
      </c>
      <c r="M750" s="21" t="n">
        <v>0</v>
      </c>
      <c r="N750" s="21">
        <f>$B$19</f>
        <v/>
      </c>
      <c r="O750" s="21">
        <f>$B$21</f>
        <v/>
      </c>
      <c r="P750" s="21">
        <f>0</f>
        <v/>
      </c>
      <c r="Q750" s="21">
        <f>2*$B$20</f>
        <v/>
      </c>
      <c r="R750" s="21">
        <f>-$B$19</f>
        <v/>
      </c>
      <c r="S750" s="21">
        <f>$B$21</f>
        <v/>
      </c>
      <c r="T750" s="21" t="n">
        <v>0</v>
      </c>
      <c r="U750" s="21" t="n">
        <v>0</v>
      </c>
      <c r="V750" s="21" t="n">
        <v>0</v>
      </c>
      <c r="W750" s="21" t="n">
        <v>0</v>
      </c>
      <c r="X750" s="21" t="n">
        <v>0</v>
      </c>
      <c r="Y750" s="21" t="n">
        <v>0</v>
      </c>
      <c r="Z750" s="21" t="n">
        <v>0</v>
      </c>
      <c r="AA750" s="21" t="n">
        <v>0</v>
      </c>
      <c r="AB750" s="21" t="n">
        <v>0</v>
      </c>
      <c r="AC750" s="21" t="n">
        <v>0</v>
      </c>
      <c r="AD750" s="21" t="n">
        <v>0</v>
      </c>
      <c r="AE750" s="21" t="n">
        <v>0</v>
      </c>
      <c r="AF750" s="21" t="n">
        <v>0</v>
      </c>
      <c r="AG750" s="21" t="n">
        <v>0</v>
      </c>
      <c r="AH750" s="21" t="n">
        <v>0</v>
      </c>
      <c r="AI750" s="21" t="n">
        <v>0</v>
      </c>
      <c r="AJ750" s="21" t="n">
        <v>0</v>
      </c>
      <c r="AK750" s="21" t="n">
        <v>0</v>
      </c>
      <c r="AL750" s="21" t="n">
        <v>0</v>
      </c>
      <c r="AM750" s="21" t="n">
        <v>0</v>
      </c>
      <c r="AN750" s="21" t="n">
        <v>0</v>
      </c>
      <c r="AO750" s="21" t="n">
        <v>0</v>
      </c>
      <c r="AP750" s="21" t="n">
        <v>0</v>
      </c>
      <c r="AQ750" s="21" t="n">
        <v>0</v>
      </c>
      <c r="AR750" s="21" t="n">
        <v>0</v>
      </c>
      <c r="AS750" s="21" t="n">
        <v>0</v>
      </c>
      <c r="AT750" s="19" t="n"/>
    </row>
    <row r="751">
      <c r="D751" s="21" t="n">
        <v>0</v>
      </c>
      <c r="E751" s="21" t="n">
        <v>0</v>
      </c>
      <c r="F751" s="21" t="n">
        <v>0</v>
      </c>
      <c r="G751" s="21" t="n">
        <v>0</v>
      </c>
      <c r="H751" s="21" t="n">
        <v>0</v>
      </c>
      <c r="I751" s="21" t="n">
        <v>0</v>
      </c>
      <c r="J751" s="21" t="n">
        <v>0</v>
      </c>
      <c r="K751" s="21" t="n">
        <v>0</v>
      </c>
      <c r="L751" s="21" t="n">
        <v>0</v>
      </c>
      <c r="M751" s="21" t="n">
        <v>0</v>
      </c>
      <c r="N751" s="21" t="n">
        <v>0</v>
      </c>
      <c r="O751" s="21" t="n">
        <v>0</v>
      </c>
      <c r="P751" s="21">
        <f>-$B$18</f>
        <v/>
      </c>
      <c r="Q751" s="21">
        <f>-$B$19</f>
        <v/>
      </c>
      <c r="R751" s="21">
        <f>2*$B$18+$D$722</f>
        <v/>
      </c>
      <c r="S751" s="21">
        <f>0</f>
        <v/>
      </c>
      <c r="T751" s="21">
        <f>-$B$18</f>
        <v/>
      </c>
      <c r="U751" s="21">
        <f>$B$19</f>
        <v/>
      </c>
      <c r="V751" s="21" t="n">
        <v>0</v>
      </c>
      <c r="W751" s="21" t="n">
        <v>0</v>
      </c>
      <c r="X751" s="21" t="n">
        <v>0</v>
      </c>
      <c r="Y751" s="21" t="n">
        <v>0</v>
      </c>
      <c r="Z751" s="21" t="n">
        <v>0</v>
      </c>
      <c r="AA751" s="21" t="n">
        <v>0</v>
      </c>
      <c r="AB751" s="21" t="n">
        <v>0</v>
      </c>
      <c r="AC751" s="21" t="n">
        <v>0</v>
      </c>
      <c r="AD751" s="21" t="n">
        <v>0</v>
      </c>
      <c r="AE751" s="21" t="n">
        <v>0</v>
      </c>
      <c r="AF751" s="21" t="n">
        <v>0</v>
      </c>
      <c r="AG751" s="21" t="n">
        <v>0</v>
      </c>
      <c r="AH751" s="21" t="n">
        <v>0</v>
      </c>
      <c r="AI751" s="21" t="n">
        <v>0</v>
      </c>
      <c r="AJ751" s="21" t="n">
        <v>0</v>
      </c>
      <c r="AK751" s="21" t="n">
        <v>0</v>
      </c>
      <c r="AL751" s="21" t="n">
        <v>0</v>
      </c>
      <c r="AM751" s="21" t="n">
        <v>0</v>
      </c>
      <c r="AN751" s="21" t="n">
        <v>0</v>
      </c>
      <c r="AO751" s="21" t="n">
        <v>0</v>
      </c>
      <c r="AP751" s="21" t="n">
        <v>0</v>
      </c>
      <c r="AQ751" s="21" t="n">
        <v>0</v>
      </c>
      <c r="AR751" s="21" t="n">
        <v>0</v>
      </c>
      <c r="AS751" s="21" t="n">
        <v>0</v>
      </c>
      <c r="AT751" s="19" t="n"/>
    </row>
    <row r="752">
      <c r="D752" s="21" t="n">
        <v>0</v>
      </c>
      <c r="E752" s="21" t="n">
        <v>0</v>
      </c>
      <c r="F752" s="21" t="n">
        <v>0</v>
      </c>
      <c r="G752" s="21" t="n">
        <v>0</v>
      </c>
      <c r="H752" s="21" t="n">
        <v>0</v>
      </c>
      <c r="I752" s="21" t="n">
        <v>0</v>
      </c>
      <c r="J752" s="21" t="n">
        <v>0</v>
      </c>
      <c r="K752" s="21" t="n">
        <v>0</v>
      </c>
      <c r="L752" s="21" t="n">
        <v>0</v>
      </c>
      <c r="M752" s="21" t="n">
        <v>0</v>
      </c>
      <c r="N752" s="21" t="n">
        <v>0</v>
      </c>
      <c r="O752" s="21" t="n">
        <v>0</v>
      </c>
      <c r="P752" s="21">
        <f>$B$19</f>
        <v/>
      </c>
      <c r="Q752" s="21">
        <f>$B$21</f>
        <v/>
      </c>
      <c r="R752" s="21">
        <f>0</f>
        <v/>
      </c>
      <c r="S752" s="21">
        <f>2*$B$20</f>
        <v/>
      </c>
      <c r="T752" s="21">
        <f>-$B$19</f>
        <v/>
      </c>
      <c r="U752" s="21">
        <f>$B$21</f>
        <v/>
      </c>
      <c r="V752" s="21" t="n">
        <v>0</v>
      </c>
      <c r="W752" s="21" t="n">
        <v>0</v>
      </c>
      <c r="X752" s="21" t="n">
        <v>0</v>
      </c>
      <c r="Y752" s="21" t="n">
        <v>0</v>
      </c>
      <c r="Z752" s="21" t="n">
        <v>0</v>
      </c>
      <c r="AA752" s="21" t="n">
        <v>0</v>
      </c>
      <c r="AB752" s="21" t="n">
        <v>0</v>
      </c>
      <c r="AC752" s="21" t="n">
        <v>0</v>
      </c>
      <c r="AD752" s="21" t="n">
        <v>0</v>
      </c>
      <c r="AE752" s="21" t="n">
        <v>0</v>
      </c>
      <c r="AF752" s="21" t="n">
        <v>0</v>
      </c>
      <c r="AG752" s="21" t="n">
        <v>0</v>
      </c>
      <c r="AH752" s="21" t="n">
        <v>0</v>
      </c>
      <c r="AI752" s="21" t="n">
        <v>0</v>
      </c>
      <c r="AJ752" s="21" t="n">
        <v>0</v>
      </c>
      <c r="AK752" s="21" t="n">
        <v>0</v>
      </c>
      <c r="AL752" s="21" t="n">
        <v>0</v>
      </c>
      <c r="AM752" s="21" t="n">
        <v>0</v>
      </c>
      <c r="AN752" s="21" t="n">
        <v>0</v>
      </c>
      <c r="AO752" s="21" t="n">
        <v>0</v>
      </c>
      <c r="AP752" s="21" t="n">
        <v>0</v>
      </c>
      <c r="AQ752" s="21" t="n">
        <v>0</v>
      </c>
      <c r="AR752" s="21" t="n">
        <v>0</v>
      </c>
      <c r="AS752" s="21" t="n">
        <v>0</v>
      </c>
      <c r="AT752" s="19" t="n"/>
    </row>
    <row r="753">
      <c r="D753" s="21" t="n">
        <v>0</v>
      </c>
      <c r="E753" s="21" t="n">
        <v>0</v>
      </c>
      <c r="F753" s="21" t="n">
        <v>0</v>
      </c>
      <c r="G753" s="21" t="n">
        <v>0</v>
      </c>
      <c r="H753" s="21" t="n">
        <v>0</v>
      </c>
      <c r="I753" s="21" t="n">
        <v>0</v>
      </c>
      <c r="J753" s="21" t="n">
        <v>0</v>
      </c>
      <c r="K753" s="21" t="n">
        <v>0</v>
      </c>
      <c r="L753" s="21" t="n">
        <v>0</v>
      </c>
      <c r="M753" s="21" t="n">
        <v>0</v>
      </c>
      <c r="N753" s="21" t="n">
        <v>0</v>
      </c>
      <c r="O753" s="21" t="n">
        <v>0</v>
      </c>
      <c r="P753" s="21" t="n">
        <v>0</v>
      </c>
      <c r="Q753" s="21" t="n">
        <v>0</v>
      </c>
      <c r="R753" s="21">
        <f>-$B$18</f>
        <v/>
      </c>
      <c r="S753" s="21">
        <f>-$B$19</f>
        <v/>
      </c>
      <c r="T753" s="21">
        <f>2*$B$18+$D$723</f>
        <v/>
      </c>
      <c r="U753" s="21">
        <f>0</f>
        <v/>
      </c>
      <c r="V753" s="21">
        <f>-$B$18</f>
        <v/>
      </c>
      <c r="W753" s="21">
        <f>$B$19</f>
        <v/>
      </c>
      <c r="X753" s="21" t="n">
        <v>0</v>
      </c>
      <c r="Y753" s="21" t="n">
        <v>0</v>
      </c>
      <c r="Z753" s="21" t="n">
        <v>0</v>
      </c>
      <c r="AA753" s="21" t="n">
        <v>0</v>
      </c>
      <c r="AB753" s="21" t="n">
        <v>0</v>
      </c>
      <c r="AC753" s="21" t="n">
        <v>0</v>
      </c>
      <c r="AD753" s="21" t="n">
        <v>0</v>
      </c>
      <c r="AE753" s="21" t="n">
        <v>0</v>
      </c>
      <c r="AF753" s="21" t="n">
        <v>0</v>
      </c>
      <c r="AG753" s="21" t="n">
        <v>0</v>
      </c>
      <c r="AH753" s="21" t="n">
        <v>0</v>
      </c>
      <c r="AI753" s="21" t="n">
        <v>0</v>
      </c>
      <c r="AJ753" s="21" t="n">
        <v>0</v>
      </c>
      <c r="AK753" s="21" t="n">
        <v>0</v>
      </c>
      <c r="AL753" s="21" t="n">
        <v>0</v>
      </c>
      <c r="AM753" s="21" t="n">
        <v>0</v>
      </c>
      <c r="AN753" s="21" t="n">
        <v>0</v>
      </c>
      <c r="AO753" s="21" t="n">
        <v>0</v>
      </c>
      <c r="AP753" s="21" t="n">
        <v>0</v>
      </c>
      <c r="AQ753" s="21" t="n">
        <v>0</v>
      </c>
      <c r="AR753" s="21" t="n">
        <v>0</v>
      </c>
      <c r="AS753" s="21" t="n">
        <v>0</v>
      </c>
      <c r="AT753" s="19" t="n"/>
    </row>
    <row r="754">
      <c r="D754" s="21" t="n">
        <v>0</v>
      </c>
      <c r="E754" s="21" t="n">
        <v>0</v>
      </c>
      <c r="F754" s="21" t="n">
        <v>0</v>
      </c>
      <c r="G754" s="21" t="n">
        <v>0</v>
      </c>
      <c r="H754" s="21" t="n">
        <v>0</v>
      </c>
      <c r="I754" s="21" t="n">
        <v>0</v>
      </c>
      <c r="J754" s="21" t="n">
        <v>0</v>
      </c>
      <c r="K754" s="21" t="n">
        <v>0</v>
      </c>
      <c r="L754" s="21" t="n">
        <v>0</v>
      </c>
      <c r="M754" s="21" t="n">
        <v>0</v>
      </c>
      <c r="N754" s="21" t="n">
        <v>0</v>
      </c>
      <c r="O754" s="21" t="n">
        <v>0</v>
      </c>
      <c r="P754" s="21" t="n">
        <v>0</v>
      </c>
      <c r="Q754" s="21" t="n">
        <v>0</v>
      </c>
      <c r="R754" s="21">
        <f>$B$19</f>
        <v/>
      </c>
      <c r="S754" s="21">
        <f>$B$21</f>
        <v/>
      </c>
      <c r="T754" s="21">
        <f>0</f>
        <v/>
      </c>
      <c r="U754" s="21">
        <f>2*$B$20</f>
        <v/>
      </c>
      <c r="V754" s="21">
        <f>-$B$19</f>
        <v/>
      </c>
      <c r="W754" s="21">
        <f>$B$21</f>
        <v/>
      </c>
      <c r="X754" s="21" t="n">
        <v>0</v>
      </c>
      <c r="Y754" s="21" t="n">
        <v>0</v>
      </c>
      <c r="Z754" s="21" t="n">
        <v>0</v>
      </c>
      <c r="AA754" s="21" t="n">
        <v>0</v>
      </c>
      <c r="AB754" s="21" t="n">
        <v>0</v>
      </c>
      <c r="AC754" s="21" t="n">
        <v>0</v>
      </c>
      <c r="AD754" s="21" t="n">
        <v>0</v>
      </c>
      <c r="AE754" s="21" t="n">
        <v>0</v>
      </c>
      <c r="AF754" s="21" t="n">
        <v>0</v>
      </c>
      <c r="AG754" s="21" t="n">
        <v>0</v>
      </c>
      <c r="AH754" s="21" t="n">
        <v>0</v>
      </c>
      <c r="AI754" s="21" t="n">
        <v>0</v>
      </c>
      <c r="AJ754" s="21" t="n">
        <v>0</v>
      </c>
      <c r="AK754" s="21" t="n">
        <v>0</v>
      </c>
      <c r="AL754" s="21" t="n">
        <v>0</v>
      </c>
      <c r="AM754" s="21" t="n">
        <v>0</v>
      </c>
      <c r="AN754" s="21" t="n">
        <v>0</v>
      </c>
      <c r="AO754" s="21" t="n">
        <v>0</v>
      </c>
      <c r="AP754" s="21" t="n">
        <v>0</v>
      </c>
      <c r="AQ754" s="21" t="n">
        <v>0</v>
      </c>
      <c r="AR754" s="21" t="n">
        <v>0</v>
      </c>
      <c r="AS754" s="21" t="n">
        <v>0</v>
      </c>
      <c r="AT754" s="19" t="n"/>
    </row>
    <row r="755">
      <c r="D755" s="21" t="n">
        <v>0</v>
      </c>
      <c r="E755" s="21" t="n">
        <v>0</v>
      </c>
      <c r="F755" s="21" t="n">
        <v>0</v>
      </c>
      <c r="G755" s="21" t="n">
        <v>0</v>
      </c>
      <c r="H755" s="21" t="n">
        <v>0</v>
      </c>
      <c r="I755" s="21" t="n">
        <v>0</v>
      </c>
      <c r="J755" s="21" t="n">
        <v>0</v>
      </c>
      <c r="K755" s="21" t="n">
        <v>0</v>
      </c>
      <c r="L755" s="21" t="n">
        <v>0</v>
      </c>
      <c r="M755" s="21" t="n">
        <v>0</v>
      </c>
      <c r="N755" s="21" t="n">
        <v>0</v>
      </c>
      <c r="O755" s="21" t="n">
        <v>0</v>
      </c>
      <c r="P755" s="21" t="n">
        <v>0</v>
      </c>
      <c r="Q755" s="21" t="n">
        <v>0</v>
      </c>
      <c r="R755" s="21" t="n">
        <v>0</v>
      </c>
      <c r="S755" s="21" t="n">
        <v>0</v>
      </c>
      <c r="T755" s="21">
        <f>-$B$18</f>
        <v/>
      </c>
      <c r="U755" s="21">
        <f>-$B$19</f>
        <v/>
      </c>
      <c r="V755" s="21">
        <f>2*$B$18+$D$724</f>
        <v/>
      </c>
      <c r="W755" s="21">
        <f>0</f>
        <v/>
      </c>
      <c r="X755" s="21">
        <f>-$B$18</f>
        <v/>
      </c>
      <c r="Y755" s="21">
        <f>$B$19</f>
        <v/>
      </c>
      <c r="Z755" s="21" t="n">
        <v>0</v>
      </c>
      <c r="AA755" s="21" t="n">
        <v>0</v>
      </c>
      <c r="AB755" s="21" t="n">
        <v>0</v>
      </c>
      <c r="AC755" s="21" t="n">
        <v>0</v>
      </c>
      <c r="AD755" s="21" t="n">
        <v>0</v>
      </c>
      <c r="AE755" s="21" t="n">
        <v>0</v>
      </c>
      <c r="AF755" s="21" t="n">
        <v>0</v>
      </c>
      <c r="AG755" s="21" t="n">
        <v>0</v>
      </c>
      <c r="AH755" s="21" t="n">
        <v>0</v>
      </c>
      <c r="AI755" s="21" t="n">
        <v>0</v>
      </c>
      <c r="AJ755" s="21" t="n">
        <v>0</v>
      </c>
      <c r="AK755" s="21" t="n">
        <v>0</v>
      </c>
      <c r="AL755" s="21" t="n">
        <v>0</v>
      </c>
      <c r="AM755" s="21" t="n">
        <v>0</v>
      </c>
      <c r="AN755" s="21" t="n">
        <v>0</v>
      </c>
      <c r="AO755" s="21" t="n">
        <v>0</v>
      </c>
      <c r="AP755" s="21" t="n">
        <v>0</v>
      </c>
      <c r="AQ755" s="21" t="n">
        <v>0</v>
      </c>
      <c r="AR755" s="21" t="n">
        <v>0</v>
      </c>
      <c r="AS755" s="21" t="n">
        <v>0</v>
      </c>
      <c r="AT755" s="19" t="n"/>
    </row>
    <row r="756">
      <c r="D756" s="21" t="n">
        <v>0</v>
      </c>
      <c r="E756" s="21" t="n">
        <v>0</v>
      </c>
      <c r="F756" s="21" t="n">
        <v>0</v>
      </c>
      <c r="G756" s="21" t="n">
        <v>0</v>
      </c>
      <c r="H756" s="21" t="n">
        <v>0</v>
      </c>
      <c r="I756" s="21" t="n">
        <v>0</v>
      </c>
      <c r="J756" s="21" t="n">
        <v>0</v>
      </c>
      <c r="K756" s="21" t="n">
        <v>0</v>
      </c>
      <c r="L756" s="21" t="n">
        <v>0</v>
      </c>
      <c r="M756" s="21" t="n">
        <v>0</v>
      </c>
      <c r="N756" s="21" t="n">
        <v>0</v>
      </c>
      <c r="O756" s="21" t="n">
        <v>0</v>
      </c>
      <c r="P756" s="21" t="n">
        <v>0</v>
      </c>
      <c r="Q756" s="21" t="n">
        <v>0</v>
      </c>
      <c r="R756" s="21" t="n">
        <v>0</v>
      </c>
      <c r="S756" s="21" t="n">
        <v>0</v>
      </c>
      <c r="T756" s="21">
        <f>$B$19</f>
        <v/>
      </c>
      <c r="U756" s="21">
        <f>$B$21</f>
        <v/>
      </c>
      <c r="V756" s="21">
        <f>0</f>
        <v/>
      </c>
      <c r="W756" s="21">
        <f>2*$B$20</f>
        <v/>
      </c>
      <c r="X756" s="21">
        <f>-$B$19</f>
        <v/>
      </c>
      <c r="Y756" s="21">
        <f>$B$21</f>
        <v/>
      </c>
      <c r="Z756" s="21" t="n">
        <v>0</v>
      </c>
      <c r="AA756" s="21" t="n">
        <v>0</v>
      </c>
      <c r="AB756" s="21" t="n">
        <v>0</v>
      </c>
      <c r="AC756" s="21" t="n">
        <v>0</v>
      </c>
      <c r="AD756" s="21" t="n">
        <v>0</v>
      </c>
      <c r="AE756" s="21" t="n">
        <v>0</v>
      </c>
      <c r="AF756" s="21" t="n">
        <v>0</v>
      </c>
      <c r="AG756" s="21" t="n">
        <v>0</v>
      </c>
      <c r="AH756" s="21" t="n">
        <v>0</v>
      </c>
      <c r="AI756" s="21" t="n">
        <v>0</v>
      </c>
      <c r="AJ756" s="21" t="n">
        <v>0</v>
      </c>
      <c r="AK756" s="21" t="n">
        <v>0</v>
      </c>
      <c r="AL756" s="21" t="n">
        <v>0</v>
      </c>
      <c r="AM756" s="21" t="n">
        <v>0</v>
      </c>
      <c r="AN756" s="21" t="n">
        <v>0</v>
      </c>
      <c r="AO756" s="21" t="n">
        <v>0</v>
      </c>
      <c r="AP756" s="21" t="n">
        <v>0</v>
      </c>
      <c r="AQ756" s="21" t="n">
        <v>0</v>
      </c>
      <c r="AR756" s="21" t="n">
        <v>0</v>
      </c>
      <c r="AS756" s="21" t="n">
        <v>0</v>
      </c>
      <c r="AT756" s="19" t="n"/>
    </row>
    <row r="757">
      <c r="D757" s="21" t="n">
        <v>0</v>
      </c>
      <c r="E757" s="21" t="n">
        <v>0</v>
      </c>
      <c r="F757" s="21" t="n">
        <v>0</v>
      </c>
      <c r="G757" s="21" t="n">
        <v>0</v>
      </c>
      <c r="H757" s="21" t="n">
        <v>0</v>
      </c>
      <c r="I757" s="21" t="n">
        <v>0</v>
      </c>
      <c r="J757" s="21" t="n">
        <v>0</v>
      </c>
      <c r="K757" s="21" t="n">
        <v>0</v>
      </c>
      <c r="L757" s="21" t="n">
        <v>0</v>
      </c>
      <c r="M757" s="21" t="n">
        <v>0</v>
      </c>
      <c r="N757" s="21" t="n">
        <v>0</v>
      </c>
      <c r="O757" s="21" t="n">
        <v>0</v>
      </c>
      <c r="P757" s="21" t="n">
        <v>0</v>
      </c>
      <c r="Q757" s="21" t="n">
        <v>0</v>
      </c>
      <c r="R757" s="21" t="n">
        <v>0</v>
      </c>
      <c r="S757" s="21" t="n">
        <v>0</v>
      </c>
      <c r="T757" s="21" t="n">
        <v>0</v>
      </c>
      <c r="U757" s="21" t="n">
        <v>0</v>
      </c>
      <c r="V757" s="21">
        <f>-$B$18</f>
        <v/>
      </c>
      <c r="W757" s="21">
        <f>-$B$19</f>
        <v/>
      </c>
      <c r="X757" s="21">
        <f>2*$B$18+$D$725</f>
        <v/>
      </c>
      <c r="Y757" s="21">
        <f>0</f>
        <v/>
      </c>
      <c r="Z757" s="21">
        <f>-$B$18</f>
        <v/>
      </c>
      <c r="AA757" s="21">
        <f>$B$19</f>
        <v/>
      </c>
      <c r="AB757" s="21" t="n">
        <v>0</v>
      </c>
      <c r="AC757" s="21" t="n">
        <v>0</v>
      </c>
      <c r="AD757" s="21" t="n">
        <v>0</v>
      </c>
      <c r="AE757" s="21" t="n">
        <v>0</v>
      </c>
      <c r="AF757" s="21" t="n">
        <v>0</v>
      </c>
      <c r="AG757" s="21" t="n">
        <v>0</v>
      </c>
      <c r="AH757" s="21" t="n">
        <v>0</v>
      </c>
      <c r="AI757" s="21" t="n">
        <v>0</v>
      </c>
      <c r="AJ757" s="21" t="n">
        <v>0</v>
      </c>
      <c r="AK757" s="21" t="n">
        <v>0</v>
      </c>
      <c r="AL757" s="21" t="n">
        <v>0</v>
      </c>
      <c r="AM757" s="21" t="n">
        <v>0</v>
      </c>
      <c r="AN757" s="21" t="n">
        <v>0</v>
      </c>
      <c r="AO757" s="21" t="n">
        <v>0</v>
      </c>
      <c r="AP757" s="21" t="n">
        <v>0</v>
      </c>
      <c r="AQ757" s="21" t="n">
        <v>0</v>
      </c>
      <c r="AR757" s="21" t="n">
        <v>0</v>
      </c>
      <c r="AS757" s="21" t="n">
        <v>0</v>
      </c>
      <c r="AT757" s="19" t="n"/>
    </row>
    <row r="758">
      <c r="D758" s="21" t="n">
        <v>0</v>
      </c>
      <c r="E758" s="21" t="n">
        <v>0</v>
      </c>
      <c r="F758" s="21" t="n">
        <v>0</v>
      </c>
      <c r="G758" s="21" t="n">
        <v>0</v>
      </c>
      <c r="H758" s="21" t="n">
        <v>0</v>
      </c>
      <c r="I758" s="21" t="n">
        <v>0</v>
      </c>
      <c r="J758" s="21" t="n">
        <v>0</v>
      </c>
      <c r="K758" s="21" t="n">
        <v>0</v>
      </c>
      <c r="L758" s="21" t="n">
        <v>0</v>
      </c>
      <c r="M758" s="21" t="n">
        <v>0</v>
      </c>
      <c r="N758" s="21" t="n">
        <v>0</v>
      </c>
      <c r="O758" s="21" t="n">
        <v>0</v>
      </c>
      <c r="P758" s="21" t="n">
        <v>0</v>
      </c>
      <c r="Q758" s="21" t="n">
        <v>0</v>
      </c>
      <c r="R758" s="21" t="n">
        <v>0</v>
      </c>
      <c r="S758" s="21" t="n">
        <v>0</v>
      </c>
      <c r="T758" s="21" t="n">
        <v>0</v>
      </c>
      <c r="U758" s="21" t="n">
        <v>0</v>
      </c>
      <c r="V758" s="21">
        <f>$B$19</f>
        <v/>
      </c>
      <c r="W758" s="21">
        <f>$B$21</f>
        <v/>
      </c>
      <c r="X758" s="21">
        <f>0</f>
        <v/>
      </c>
      <c r="Y758" s="21">
        <f>2*$B$20</f>
        <v/>
      </c>
      <c r="Z758" s="21">
        <f>-$B$19</f>
        <v/>
      </c>
      <c r="AA758" s="21">
        <f>$B$21</f>
        <v/>
      </c>
      <c r="AB758" s="21" t="n">
        <v>0</v>
      </c>
      <c r="AC758" s="21" t="n">
        <v>0</v>
      </c>
      <c r="AD758" s="21" t="n">
        <v>0</v>
      </c>
      <c r="AE758" s="21" t="n">
        <v>0</v>
      </c>
      <c r="AF758" s="21" t="n">
        <v>0</v>
      </c>
      <c r="AG758" s="21" t="n">
        <v>0</v>
      </c>
      <c r="AH758" s="21" t="n">
        <v>0</v>
      </c>
      <c r="AI758" s="21" t="n">
        <v>0</v>
      </c>
      <c r="AJ758" s="21" t="n">
        <v>0</v>
      </c>
      <c r="AK758" s="21" t="n">
        <v>0</v>
      </c>
      <c r="AL758" s="21" t="n">
        <v>0</v>
      </c>
      <c r="AM758" s="21" t="n">
        <v>0</v>
      </c>
      <c r="AN758" s="21" t="n">
        <v>0</v>
      </c>
      <c r="AO758" s="21" t="n">
        <v>0</v>
      </c>
      <c r="AP758" s="21" t="n">
        <v>0</v>
      </c>
      <c r="AQ758" s="21" t="n">
        <v>0</v>
      </c>
      <c r="AR758" s="21" t="n">
        <v>0</v>
      </c>
      <c r="AS758" s="21" t="n">
        <v>0</v>
      </c>
      <c r="AT758" s="19" t="n"/>
    </row>
    <row r="759">
      <c r="D759" s="21" t="n">
        <v>0</v>
      </c>
      <c r="E759" s="21" t="n">
        <v>0</v>
      </c>
      <c r="F759" s="21" t="n">
        <v>0</v>
      </c>
      <c r="G759" s="21" t="n">
        <v>0</v>
      </c>
      <c r="H759" s="21" t="n">
        <v>0</v>
      </c>
      <c r="I759" s="21" t="n">
        <v>0</v>
      </c>
      <c r="J759" s="21" t="n">
        <v>0</v>
      </c>
      <c r="K759" s="21" t="n">
        <v>0</v>
      </c>
      <c r="L759" s="21" t="n">
        <v>0</v>
      </c>
      <c r="M759" s="21" t="n">
        <v>0</v>
      </c>
      <c r="N759" s="21" t="n">
        <v>0</v>
      </c>
      <c r="O759" s="21" t="n">
        <v>0</v>
      </c>
      <c r="P759" s="21" t="n">
        <v>0</v>
      </c>
      <c r="Q759" s="21" t="n">
        <v>0</v>
      </c>
      <c r="R759" s="21" t="n">
        <v>0</v>
      </c>
      <c r="S759" s="21" t="n">
        <v>0</v>
      </c>
      <c r="T759" s="21" t="n">
        <v>0</v>
      </c>
      <c r="U759" s="21" t="n">
        <v>0</v>
      </c>
      <c r="V759" s="21" t="n">
        <v>0</v>
      </c>
      <c r="W759" s="21" t="n">
        <v>0</v>
      </c>
      <c r="X759" s="21">
        <f>-$B$18</f>
        <v/>
      </c>
      <c r="Y759" s="21">
        <f>-$B$19</f>
        <v/>
      </c>
      <c r="Z759" s="21">
        <f>2*$B$18+$D$726</f>
        <v/>
      </c>
      <c r="AA759" s="21">
        <f>0</f>
        <v/>
      </c>
      <c r="AB759" s="21">
        <f>-$B$18</f>
        <v/>
      </c>
      <c r="AC759" s="21">
        <f>$B$19</f>
        <v/>
      </c>
      <c r="AD759" s="21" t="n">
        <v>0</v>
      </c>
      <c r="AE759" s="21" t="n">
        <v>0</v>
      </c>
      <c r="AF759" s="21" t="n">
        <v>0</v>
      </c>
      <c r="AG759" s="21" t="n">
        <v>0</v>
      </c>
      <c r="AH759" s="21" t="n">
        <v>0</v>
      </c>
      <c r="AI759" s="21" t="n">
        <v>0</v>
      </c>
      <c r="AJ759" s="21" t="n">
        <v>0</v>
      </c>
      <c r="AK759" s="21" t="n">
        <v>0</v>
      </c>
      <c r="AL759" s="21" t="n">
        <v>0</v>
      </c>
      <c r="AM759" s="21" t="n">
        <v>0</v>
      </c>
      <c r="AN759" s="21" t="n">
        <v>0</v>
      </c>
      <c r="AO759" s="21" t="n">
        <v>0</v>
      </c>
      <c r="AP759" s="21" t="n">
        <v>0</v>
      </c>
      <c r="AQ759" s="21" t="n">
        <v>0</v>
      </c>
      <c r="AR759" s="21" t="n">
        <v>0</v>
      </c>
      <c r="AS759" s="21" t="n">
        <v>0</v>
      </c>
      <c r="AT759" s="19" t="n"/>
    </row>
    <row r="760">
      <c r="D760" s="21" t="n">
        <v>0</v>
      </c>
      <c r="E760" s="21" t="n">
        <v>0</v>
      </c>
      <c r="F760" s="21" t="n">
        <v>0</v>
      </c>
      <c r="G760" s="21" t="n">
        <v>0</v>
      </c>
      <c r="H760" s="21" t="n">
        <v>0</v>
      </c>
      <c r="I760" s="21" t="n">
        <v>0</v>
      </c>
      <c r="J760" s="21" t="n">
        <v>0</v>
      </c>
      <c r="K760" s="21" t="n">
        <v>0</v>
      </c>
      <c r="L760" s="21" t="n">
        <v>0</v>
      </c>
      <c r="M760" s="21" t="n">
        <v>0</v>
      </c>
      <c r="N760" s="21" t="n">
        <v>0</v>
      </c>
      <c r="O760" s="21" t="n">
        <v>0</v>
      </c>
      <c r="P760" s="21" t="n">
        <v>0</v>
      </c>
      <c r="Q760" s="21" t="n">
        <v>0</v>
      </c>
      <c r="R760" s="21" t="n">
        <v>0</v>
      </c>
      <c r="S760" s="21" t="n">
        <v>0</v>
      </c>
      <c r="T760" s="21" t="n">
        <v>0</v>
      </c>
      <c r="U760" s="21" t="n">
        <v>0</v>
      </c>
      <c r="V760" s="21" t="n">
        <v>0</v>
      </c>
      <c r="W760" s="21" t="n">
        <v>0</v>
      </c>
      <c r="X760" s="21">
        <f>$B$19</f>
        <v/>
      </c>
      <c r="Y760" s="21">
        <f>$B$21</f>
        <v/>
      </c>
      <c r="Z760" s="21">
        <f>0</f>
        <v/>
      </c>
      <c r="AA760" s="21">
        <f>2*$B$20</f>
        <v/>
      </c>
      <c r="AB760" s="21">
        <f>-$B$19</f>
        <v/>
      </c>
      <c r="AC760" s="21">
        <f>$B$21</f>
        <v/>
      </c>
      <c r="AD760" s="21" t="n">
        <v>0</v>
      </c>
      <c r="AE760" s="21" t="n">
        <v>0</v>
      </c>
      <c r="AF760" s="21" t="n">
        <v>0</v>
      </c>
      <c r="AG760" s="21" t="n">
        <v>0</v>
      </c>
      <c r="AH760" s="21" t="n">
        <v>0</v>
      </c>
      <c r="AI760" s="21" t="n">
        <v>0</v>
      </c>
      <c r="AJ760" s="21" t="n">
        <v>0</v>
      </c>
      <c r="AK760" s="21" t="n">
        <v>0</v>
      </c>
      <c r="AL760" s="21" t="n">
        <v>0</v>
      </c>
      <c r="AM760" s="21" t="n">
        <v>0</v>
      </c>
      <c r="AN760" s="21" t="n">
        <v>0</v>
      </c>
      <c r="AO760" s="21" t="n">
        <v>0</v>
      </c>
      <c r="AP760" s="21" t="n">
        <v>0</v>
      </c>
      <c r="AQ760" s="21" t="n">
        <v>0</v>
      </c>
      <c r="AR760" s="21" t="n">
        <v>0</v>
      </c>
      <c r="AS760" s="21" t="n">
        <v>0</v>
      </c>
      <c r="AT760" s="19" t="n"/>
    </row>
    <row r="761">
      <c r="D761" s="21" t="n">
        <v>0</v>
      </c>
      <c r="E761" s="21" t="n">
        <v>0</v>
      </c>
      <c r="F761" s="21" t="n">
        <v>0</v>
      </c>
      <c r="G761" s="21" t="n">
        <v>0</v>
      </c>
      <c r="H761" s="21" t="n">
        <v>0</v>
      </c>
      <c r="I761" s="21" t="n">
        <v>0</v>
      </c>
      <c r="J761" s="21" t="n">
        <v>0</v>
      </c>
      <c r="K761" s="21" t="n">
        <v>0</v>
      </c>
      <c r="L761" s="21" t="n">
        <v>0</v>
      </c>
      <c r="M761" s="21" t="n">
        <v>0</v>
      </c>
      <c r="N761" s="21" t="n">
        <v>0</v>
      </c>
      <c r="O761" s="21" t="n">
        <v>0</v>
      </c>
      <c r="P761" s="21" t="n">
        <v>0</v>
      </c>
      <c r="Q761" s="21" t="n">
        <v>0</v>
      </c>
      <c r="R761" s="21" t="n">
        <v>0</v>
      </c>
      <c r="S761" s="21" t="n">
        <v>0</v>
      </c>
      <c r="T761" s="21" t="n">
        <v>0</v>
      </c>
      <c r="U761" s="21" t="n">
        <v>0</v>
      </c>
      <c r="V761" s="21" t="n">
        <v>0</v>
      </c>
      <c r="W761" s="21" t="n">
        <v>0</v>
      </c>
      <c r="X761" s="21" t="n">
        <v>0</v>
      </c>
      <c r="Y761" s="21" t="n">
        <v>0</v>
      </c>
      <c r="Z761" s="21">
        <f>-$B$18</f>
        <v/>
      </c>
      <c r="AA761" s="21">
        <f>-$B$19</f>
        <v/>
      </c>
      <c r="AB761" s="21">
        <f>2*$B$18+$D$727</f>
        <v/>
      </c>
      <c r="AC761" s="21">
        <f>0</f>
        <v/>
      </c>
      <c r="AD761" s="21">
        <f>-$B$18</f>
        <v/>
      </c>
      <c r="AE761" s="21">
        <f>$B$19</f>
        <v/>
      </c>
      <c r="AF761" s="21" t="n">
        <v>0</v>
      </c>
      <c r="AG761" s="21" t="n">
        <v>0</v>
      </c>
      <c r="AH761" s="21" t="n">
        <v>0</v>
      </c>
      <c r="AI761" s="21" t="n">
        <v>0</v>
      </c>
      <c r="AJ761" s="21" t="n">
        <v>0</v>
      </c>
      <c r="AK761" s="21" t="n">
        <v>0</v>
      </c>
      <c r="AL761" s="21" t="n">
        <v>0</v>
      </c>
      <c r="AM761" s="21" t="n">
        <v>0</v>
      </c>
      <c r="AN761" s="21" t="n">
        <v>0</v>
      </c>
      <c r="AO761" s="21" t="n">
        <v>0</v>
      </c>
      <c r="AP761" s="21" t="n">
        <v>0</v>
      </c>
      <c r="AQ761" s="21" t="n">
        <v>0</v>
      </c>
      <c r="AR761" s="21" t="n">
        <v>0</v>
      </c>
      <c r="AS761" s="21" t="n">
        <v>0</v>
      </c>
      <c r="AT761" s="19" t="n"/>
    </row>
    <row r="762">
      <c r="D762" s="21" t="n">
        <v>0</v>
      </c>
      <c r="E762" s="21" t="n">
        <v>0</v>
      </c>
      <c r="F762" s="21" t="n">
        <v>0</v>
      </c>
      <c r="G762" s="21" t="n">
        <v>0</v>
      </c>
      <c r="H762" s="21" t="n">
        <v>0</v>
      </c>
      <c r="I762" s="21" t="n">
        <v>0</v>
      </c>
      <c r="J762" s="21" t="n">
        <v>0</v>
      </c>
      <c r="K762" s="21" t="n">
        <v>0</v>
      </c>
      <c r="L762" s="21" t="n">
        <v>0</v>
      </c>
      <c r="M762" s="21" t="n">
        <v>0</v>
      </c>
      <c r="N762" s="21" t="n">
        <v>0</v>
      </c>
      <c r="O762" s="21" t="n">
        <v>0</v>
      </c>
      <c r="P762" s="21" t="n">
        <v>0</v>
      </c>
      <c r="Q762" s="21" t="n">
        <v>0</v>
      </c>
      <c r="R762" s="21" t="n">
        <v>0</v>
      </c>
      <c r="S762" s="21" t="n">
        <v>0</v>
      </c>
      <c r="T762" s="21" t="n">
        <v>0</v>
      </c>
      <c r="U762" s="21" t="n">
        <v>0</v>
      </c>
      <c r="V762" s="21" t="n">
        <v>0</v>
      </c>
      <c r="W762" s="21" t="n">
        <v>0</v>
      </c>
      <c r="X762" s="21" t="n">
        <v>0</v>
      </c>
      <c r="Y762" s="21" t="n">
        <v>0</v>
      </c>
      <c r="Z762" s="21">
        <f>$B$19</f>
        <v/>
      </c>
      <c r="AA762" s="21">
        <f>$B$21</f>
        <v/>
      </c>
      <c r="AB762" s="21">
        <f>0</f>
        <v/>
      </c>
      <c r="AC762" s="21">
        <f>2*$B$20</f>
        <v/>
      </c>
      <c r="AD762" s="21">
        <f>-$B$19</f>
        <v/>
      </c>
      <c r="AE762" s="21">
        <f>$B$21</f>
        <v/>
      </c>
      <c r="AF762" s="21" t="n">
        <v>0</v>
      </c>
      <c r="AG762" s="21" t="n">
        <v>0</v>
      </c>
      <c r="AH762" s="21" t="n">
        <v>0</v>
      </c>
      <c r="AI762" s="21" t="n">
        <v>0</v>
      </c>
      <c r="AJ762" s="21" t="n">
        <v>0</v>
      </c>
      <c r="AK762" s="21" t="n">
        <v>0</v>
      </c>
      <c r="AL762" s="21" t="n">
        <v>0</v>
      </c>
      <c r="AM762" s="21" t="n">
        <v>0</v>
      </c>
      <c r="AN762" s="21" t="n">
        <v>0</v>
      </c>
      <c r="AO762" s="21" t="n">
        <v>0</v>
      </c>
      <c r="AP762" s="21" t="n">
        <v>0</v>
      </c>
      <c r="AQ762" s="21" t="n">
        <v>0</v>
      </c>
      <c r="AR762" s="21" t="n">
        <v>0</v>
      </c>
      <c r="AS762" s="21" t="n">
        <v>0</v>
      </c>
      <c r="AT762" s="19" t="n"/>
    </row>
    <row r="763">
      <c r="D763" s="21" t="n">
        <v>0</v>
      </c>
      <c r="E763" s="21" t="n">
        <v>0</v>
      </c>
      <c r="F763" s="21" t="n">
        <v>0</v>
      </c>
      <c r="G763" s="21" t="n">
        <v>0</v>
      </c>
      <c r="H763" s="21" t="n">
        <v>0</v>
      </c>
      <c r="I763" s="21" t="n">
        <v>0</v>
      </c>
      <c r="J763" s="21" t="n">
        <v>0</v>
      </c>
      <c r="K763" s="21" t="n">
        <v>0</v>
      </c>
      <c r="L763" s="21" t="n">
        <v>0</v>
      </c>
      <c r="M763" s="21" t="n">
        <v>0</v>
      </c>
      <c r="N763" s="21" t="n">
        <v>0</v>
      </c>
      <c r="O763" s="21" t="n">
        <v>0</v>
      </c>
      <c r="P763" s="21" t="n">
        <v>0</v>
      </c>
      <c r="Q763" s="21" t="n">
        <v>0</v>
      </c>
      <c r="R763" s="21" t="n">
        <v>0</v>
      </c>
      <c r="S763" s="21" t="n">
        <v>0</v>
      </c>
      <c r="T763" s="21" t="n">
        <v>0</v>
      </c>
      <c r="U763" s="21" t="n">
        <v>0</v>
      </c>
      <c r="V763" s="21" t="n">
        <v>0</v>
      </c>
      <c r="W763" s="21" t="n">
        <v>0</v>
      </c>
      <c r="X763" s="21" t="n">
        <v>0</v>
      </c>
      <c r="Y763" s="21" t="n">
        <v>0</v>
      </c>
      <c r="Z763" s="21" t="n">
        <v>0</v>
      </c>
      <c r="AA763" s="21" t="n">
        <v>0</v>
      </c>
      <c r="AB763" s="21">
        <f>-$B$18</f>
        <v/>
      </c>
      <c r="AC763" s="21">
        <f>-$B$19</f>
        <v/>
      </c>
      <c r="AD763" s="21">
        <f>2*$B$18+$D$728</f>
        <v/>
      </c>
      <c r="AE763" s="21">
        <f>0</f>
        <v/>
      </c>
      <c r="AF763" s="21">
        <f>-$B$18</f>
        <v/>
      </c>
      <c r="AG763" s="21">
        <f>$B$19</f>
        <v/>
      </c>
      <c r="AH763" s="21" t="n">
        <v>0</v>
      </c>
      <c r="AI763" s="21" t="n">
        <v>0</v>
      </c>
      <c r="AJ763" s="21" t="n">
        <v>0</v>
      </c>
      <c r="AK763" s="21" t="n">
        <v>0</v>
      </c>
      <c r="AL763" s="21" t="n">
        <v>0</v>
      </c>
      <c r="AM763" s="21" t="n">
        <v>0</v>
      </c>
      <c r="AN763" s="21" t="n">
        <v>0</v>
      </c>
      <c r="AO763" s="21" t="n">
        <v>0</v>
      </c>
      <c r="AP763" s="21" t="n">
        <v>0</v>
      </c>
      <c r="AQ763" s="21" t="n">
        <v>0</v>
      </c>
      <c r="AR763" s="21" t="n">
        <v>0</v>
      </c>
      <c r="AS763" s="21" t="n">
        <v>0</v>
      </c>
      <c r="AT763" s="19" t="n"/>
    </row>
    <row r="764">
      <c r="D764" s="21" t="n">
        <v>0</v>
      </c>
      <c r="E764" s="21" t="n">
        <v>0</v>
      </c>
      <c r="F764" s="21" t="n">
        <v>0</v>
      </c>
      <c r="G764" s="21" t="n">
        <v>0</v>
      </c>
      <c r="H764" s="21" t="n">
        <v>0</v>
      </c>
      <c r="I764" s="21" t="n">
        <v>0</v>
      </c>
      <c r="J764" s="21" t="n">
        <v>0</v>
      </c>
      <c r="K764" s="21" t="n">
        <v>0</v>
      </c>
      <c r="L764" s="21" t="n">
        <v>0</v>
      </c>
      <c r="M764" s="21" t="n">
        <v>0</v>
      </c>
      <c r="N764" s="21" t="n">
        <v>0</v>
      </c>
      <c r="O764" s="21" t="n">
        <v>0</v>
      </c>
      <c r="P764" s="21" t="n">
        <v>0</v>
      </c>
      <c r="Q764" s="21" t="n">
        <v>0</v>
      </c>
      <c r="R764" s="21" t="n">
        <v>0</v>
      </c>
      <c r="S764" s="21" t="n">
        <v>0</v>
      </c>
      <c r="T764" s="21" t="n">
        <v>0</v>
      </c>
      <c r="U764" s="21" t="n">
        <v>0</v>
      </c>
      <c r="V764" s="21" t="n">
        <v>0</v>
      </c>
      <c r="W764" s="21" t="n">
        <v>0</v>
      </c>
      <c r="X764" s="21" t="n">
        <v>0</v>
      </c>
      <c r="Y764" s="21" t="n">
        <v>0</v>
      </c>
      <c r="Z764" s="21" t="n">
        <v>0</v>
      </c>
      <c r="AA764" s="21" t="n">
        <v>0</v>
      </c>
      <c r="AB764" s="21">
        <f>$B$19</f>
        <v/>
      </c>
      <c r="AC764" s="21">
        <f>$B$21</f>
        <v/>
      </c>
      <c r="AD764" s="21">
        <f>0</f>
        <v/>
      </c>
      <c r="AE764" s="21">
        <f>2*$B$20</f>
        <v/>
      </c>
      <c r="AF764" s="21">
        <f>-$B$19</f>
        <v/>
      </c>
      <c r="AG764" s="21">
        <f>$B$21</f>
        <v/>
      </c>
      <c r="AH764" s="21" t="n">
        <v>0</v>
      </c>
      <c r="AI764" s="21" t="n">
        <v>0</v>
      </c>
      <c r="AJ764" s="21" t="n">
        <v>0</v>
      </c>
      <c r="AK764" s="21" t="n">
        <v>0</v>
      </c>
      <c r="AL764" s="21" t="n">
        <v>0</v>
      </c>
      <c r="AM764" s="21" t="n">
        <v>0</v>
      </c>
      <c r="AN764" s="21" t="n">
        <v>0</v>
      </c>
      <c r="AO764" s="21" t="n">
        <v>0</v>
      </c>
      <c r="AP764" s="21" t="n">
        <v>0</v>
      </c>
      <c r="AQ764" s="21" t="n">
        <v>0</v>
      </c>
      <c r="AR764" s="21" t="n">
        <v>0</v>
      </c>
      <c r="AS764" s="21" t="n">
        <v>0</v>
      </c>
      <c r="AT764" s="19" t="n"/>
    </row>
    <row r="765">
      <c r="D765" s="21" t="n">
        <v>0</v>
      </c>
      <c r="E765" s="21" t="n">
        <v>0</v>
      </c>
      <c r="F765" s="21" t="n">
        <v>0</v>
      </c>
      <c r="G765" s="21" t="n">
        <v>0</v>
      </c>
      <c r="H765" s="21" t="n">
        <v>0</v>
      </c>
      <c r="I765" s="21" t="n">
        <v>0</v>
      </c>
      <c r="J765" s="21" t="n">
        <v>0</v>
      </c>
      <c r="K765" s="21" t="n">
        <v>0</v>
      </c>
      <c r="L765" s="21" t="n">
        <v>0</v>
      </c>
      <c r="M765" s="21" t="n">
        <v>0</v>
      </c>
      <c r="N765" s="21" t="n">
        <v>0</v>
      </c>
      <c r="O765" s="21" t="n">
        <v>0</v>
      </c>
      <c r="P765" s="21" t="n">
        <v>0</v>
      </c>
      <c r="Q765" s="21" t="n">
        <v>0</v>
      </c>
      <c r="R765" s="21" t="n">
        <v>0</v>
      </c>
      <c r="S765" s="21" t="n">
        <v>0</v>
      </c>
      <c r="T765" s="21" t="n">
        <v>0</v>
      </c>
      <c r="U765" s="21" t="n">
        <v>0</v>
      </c>
      <c r="V765" s="21" t="n">
        <v>0</v>
      </c>
      <c r="W765" s="21" t="n">
        <v>0</v>
      </c>
      <c r="X765" s="21" t="n">
        <v>0</v>
      </c>
      <c r="Y765" s="21" t="n">
        <v>0</v>
      </c>
      <c r="Z765" s="21" t="n">
        <v>0</v>
      </c>
      <c r="AA765" s="21" t="n">
        <v>0</v>
      </c>
      <c r="AB765" s="21" t="n">
        <v>0</v>
      </c>
      <c r="AC765" s="21" t="n">
        <v>0</v>
      </c>
      <c r="AD765" s="21">
        <f>-$B$18</f>
        <v/>
      </c>
      <c r="AE765" s="21">
        <f>-$B$19</f>
        <v/>
      </c>
      <c r="AF765" s="21">
        <f>2*$B$18+$D$729</f>
        <v/>
      </c>
      <c r="AG765" s="21">
        <f>0</f>
        <v/>
      </c>
      <c r="AH765" s="21">
        <f>-$B$18</f>
        <v/>
      </c>
      <c r="AI765" s="21">
        <f>$B$19</f>
        <v/>
      </c>
      <c r="AJ765" s="21" t="n">
        <v>0</v>
      </c>
      <c r="AK765" s="21" t="n">
        <v>0</v>
      </c>
      <c r="AL765" s="21" t="n">
        <v>0</v>
      </c>
      <c r="AM765" s="21" t="n">
        <v>0</v>
      </c>
      <c r="AN765" s="21" t="n">
        <v>0</v>
      </c>
      <c r="AO765" s="21" t="n">
        <v>0</v>
      </c>
      <c r="AP765" s="21" t="n">
        <v>0</v>
      </c>
      <c r="AQ765" s="21" t="n">
        <v>0</v>
      </c>
      <c r="AR765" s="21" t="n">
        <v>0</v>
      </c>
      <c r="AS765" s="21" t="n">
        <v>0</v>
      </c>
      <c r="AT765" s="19" t="n"/>
    </row>
    <row r="766">
      <c r="D766" s="21" t="n">
        <v>0</v>
      </c>
      <c r="E766" s="21" t="n">
        <v>0</v>
      </c>
      <c r="F766" s="21" t="n">
        <v>0</v>
      </c>
      <c r="G766" s="21" t="n">
        <v>0</v>
      </c>
      <c r="H766" s="21" t="n">
        <v>0</v>
      </c>
      <c r="I766" s="21" t="n">
        <v>0</v>
      </c>
      <c r="J766" s="21" t="n">
        <v>0</v>
      </c>
      <c r="K766" s="21" t="n">
        <v>0</v>
      </c>
      <c r="L766" s="21" t="n">
        <v>0</v>
      </c>
      <c r="M766" s="21" t="n">
        <v>0</v>
      </c>
      <c r="N766" s="21" t="n">
        <v>0</v>
      </c>
      <c r="O766" s="21" t="n">
        <v>0</v>
      </c>
      <c r="P766" s="21" t="n">
        <v>0</v>
      </c>
      <c r="Q766" s="21" t="n">
        <v>0</v>
      </c>
      <c r="R766" s="21" t="n">
        <v>0</v>
      </c>
      <c r="S766" s="21" t="n">
        <v>0</v>
      </c>
      <c r="T766" s="21" t="n">
        <v>0</v>
      </c>
      <c r="U766" s="21" t="n">
        <v>0</v>
      </c>
      <c r="V766" s="21" t="n">
        <v>0</v>
      </c>
      <c r="W766" s="21" t="n">
        <v>0</v>
      </c>
      <c r="X766" s="21" t="n">
        <v>0</v>
      </c>
      <c r="Y766" s="21" t="n">
        <v>0</v>
      </c>
      <c r="Z766" s="21" t="n">
        <v>0</v>
      </c>
      <c r="AA766" s="21" t="n">
        <v>0</v>
      </c>
      <c r="AB766" s="21" t="n">
        <v>0</v>
      </c>
      <c r="AC766" s="21" t="n">
        <v>0</v>
      </c>
      <c r="AD766" s="21">
        <f>$B$19</f>
        <v/>
      </c>
      <c r="AE766" s="21">
        <f>$B$21</f>
        <v/>
      </c>
      <c r="AF766" s="21">
        <f>0</f>
        <v/>
      </c>
      <c r="AG766" s="21">
        <f>2*$B$20</f>
        <v/>
      </c>
      <c r="AH766" s="21">
        <f>-$B$19</f>
        <v/>
      </c>
      <c r="AI766" s="21">
        <f>$B$21</f>
        <v/>
      </c>
      <c r="AJ766" s="21" t="n">
        <v>0</v>
      </c>
      <c r="AK766" s="21" t="n">
        <v>0</v>
      </c>
      <c r="AL766" s="21" t="n">
        <v>0</v>
      </c>
      <c r="AM766" s="21" t="n">
        <v>0</v>
      </c>
      <c r="AN766" s="21" t="n">
        <v>0</v>
      </c>
      <c r="AO766" s="21" t="n">
        <v>0</v>
      </c>
      <c r="AP766" s="21" t="n">
        <v>0</v>
      </c>
      <c r="AQ766" s="21" t="n">
        <v>0</v>
      </c>
      <c r="AR766" s="21" t="n">
        <v>0</v>
      </c>
      <c r="AS766" s="21" t="n">
        <v>0</v>
      </c>
      <c r="AT766" s="19" t="n"/>
    </row>
    <row r="767">
      <c r="D767" s="21" t="n">
        <v>0</v>
      </c>
      <c r="E767" s="21" t="n">
        <v>0</v>
      </c>
      <c r="F767" s="21" t="n">
        <v>0</v>
      </c>
      <c r="G767" s="21" t="n">
        <v>0</v>
      </c>
      <c r="H767" s="21" t="n">
        <v>0</v>
      </c>
      <c r="I767" s="21" t="n">
        <v>0</v>
      </c>
      <c r="J767" s="21" t="n">
        <v>0</v>
      </c>
      <c r="K767" s="21" t="n">
        <v>0</v>
      </c>
      <c r="L767" s="21" t="n">
        <v>0</v>
      </c>
      <c r="M767" s="21" t="n">
        <v>0</v>
      </c>
      <c r="N767" s="21" t="n">
        <v>0</v>
      </c>
      <c r="O767" s="21" t="n">
        <v>0</v>
      </c>
      <c r="P767" s="21" t="n">
        <v>0</v>
      </c>
      <c r="Q767" s="21" t="n">
        <v>0</v>
      </c>
      <c r="R767" s="21" t="n">
        <v>0</v>
      </c>
      <c r="S767" s="21" t="n">
        <v>0</v>
      </c>
      <c r="T767" s="21" t="n">
        <v>0</v>
      </c>
      <c r="U767" s="21" t="n">
        <v>0</v>
      </c>
      <c r="V767" s="21" t="n">
        <v>0</v>
      </c>
      <c r="W767" s="21" t="n">
        <v>0</v>
      </c>
      <c r="X767" s="21" t="n">
        <v>0</v>
      </c>
      <c r="Y767" s="21" t="n">
        <v>0</v>
      </c>
      <c r="Z767" s="21" t="n">
        <v>0</v>
      </c>
      <c r="AA767" s="21" t="n">
        <v>0</v>
      </c>
      <c r="AB767" s="21" t="n">
        <v>0</v>
      </c>
      <c r="AC767" s="21" t="n">
        <v>0</v>
      </c>
      <c r="AD767" s="21" t="n">
        <v>0</v>
      </c>
      <c r="AE767" s="21" t="n">
        <v>0</v>
      </c>
      <c r="AF767" s="21">
        <f>-$B$18</f>
        <v/>
      </c>
      <c r="AG767" s="21">
        <f>-$B$19</f>
        <v/>
      </c>
      <c r="AH767" s="21">
        <f>2*$B$18+$D$730</f>
        <v/>
      </c>
      <c r="AI767" s="21">
        <f>0</f>
        <v/>
      </c>
      <c r="AJ767" s="21">
        <f>-$B$18</f>
        <v/>
      </c>
      <c r="AK767" s="21">
        <f>$B$19</f>
        <v/>
      </c>
      <c r="AL767" s="21" t="n">
        <v>0</v>
      </c>
      <c r="AM767" s="21" t="n">
        <v>0</v>
      </c>
      <c r="AN767" s="21" t="n">
        <v>0</v>
      </c>
      <c r="AO767" s="21" t="n">
        <v>0</v>
      </c>
      <c r="AP767" s="21" t="n">
        <v>0</v>
      </c>
      <c r="AQ767" s="21" t="n">
        <v>0</v>
      </c>
      <c r="AR767" s="21" t="n">
        <v>0</v>
      </c>
      <c r="AS767" s="21" t="n">
        <v>0</v>
      </c>
      <c r="AT767" s="19" t="n"/>
    </row>
    <row r="768">
      <c r="D768" s="21" t="n">
        <v>0</v>
      </c>
      <c r="E768" s="21" t="n">
        <v>0</v>
      </c>
      <c r="F768" s="21" t="n">
        <v>0</v>
      </c>
      <c r="G768" s="21" t="n">
        <v>0</v>
      </c>
      <c r="H768" s="21" t="n">
        <v>0</v>
      </c>
      <c r="I768" s="21" t="n">
        <v>0</v>
      </c>
      <c r="J768" s="21" t="n">
        <v>0</v>
      </c>
      <c r="K768" s="21" t="n">
        <v>0</v>
      </c>
      <c r="L768" s="21" t="n">
        <v>0</v>
      </c>
      <c r="M768" s="21" t="n">
        <v>0</v>
      </c>
      <c r="N768" s="21" t="n">
        <v>0</v>
      </c>
      <c r="O768" s="21" t="n">
        <v>0</v>
      </c>
      <c r="P768" s="21" t="n">
        <v>0</v>
      </c>
      <c r="Q768" s="21" t="n">
        <v>0</v>
      </c>
      <c r="R768" s="21" t="n">
        <v>0</v>
      </c>
      <c r="S768" s="21" t="n">
        <v>0</v>
      </c>
      <c r="T768" s="21" t="n">
        <v>0</v>
      </c>
      <c r="U768" s="21" t="n">
        <v>0</v>
      </c>
      <c r="V768" s="21" t="n">
        <v>0</v>
      </c>
      <c r="W768" s="21" t="n">
        <v>0</v>
      </c>
      <c r="X768" s="21" t="n">
        <v>0</v>
      </c>
      <c r="Y768" s="21" t="n">
        <v>0</v>
      </c>
      <c r="Z768" s="21" t="n">
        <v>0</v>
      </c>
      <c r="AA768" s="21" t="n">
        <v>0</v>
      </c>
      <c r="AB768" s="21" t="n">
        <v>0</v>
      </c>
      <c r="AC768" s="21" t="n">
        <v>0</v>
      </c>
      <c r="AD768" s="21" t="n">
        <v>0</v>
      </c>
      <c r="AE768" s="21" t="n">
        <v>0</v>
      </c>
      <c r="AF768" s="21">
        <f>$B$19</f>
        <v/>
      </c>
      <c r="AG768" s="21">
        <f>$B$21</f>
        <v/>
      </c>
      <c r="AH768" s="21">
        <f>0</f>
        <v/>
      </c>
      <c r="AI768" s="21">
        <f>2*$B$20</f>
        <v/>
      </c>
      <c r="AJ768" s="21">
        <f>-$B$19</f>
        <v/>
      </c>
      <c r="AK768" s="21">
        <f>$B$21</f>
        <v/>
      </c>
      <c r="AL768" s="21" t="n">
        <v>0</v>
      </c>
      <c r="AM768" s="21" t="n">
        <v>0</v>
      </c>
      <c r="AN768" s="21" t="n">
        <v>0</v>
      </c>
      <c r="AO768" s="21" t="n">
        <v>0</v>
      </c>
      <c r="AP768" s="21" t="n">
        <v>0</v>
      </c>
      <c r="AQ768" s="21" t="n">
        <v>0</v>
      </c>
      <c r="AR768" s="21" t="n">
        <v>0</v>
      </c>
      <c r="AS768" s="21" t="n">
        <v>0</v>
      </c>
      <c r="AT768" s="19" t="n"/>
    </row>
    <row r="769">
      <c r="D769" s="21" t="n">
        <v>0</v>
      </c>
      <c r="E769" s="21" t="n">
        <v>0</v>
      </c>
      <c r="F769" s="21" t="n">
        <v>0</v>
      </c>
      <c r="G769" s="21" t="n">
        <v>0</v>
      </c>
      <c r="H769" s="21" t="n">
        <v>0</v>
      </c>
      <c r="I769" s="21" t="n">
        <v>0</v>
      </c>
      <c r="J769" s="21" t="n">
        <v>0</v>
      </c>
      <c r="K769" s="21" t="n">
        <v>0</v>
      </c>
      <c r="L769" s="21" t="n">
        <v>0</v>
      </c>
      <c r="M769" s="21" t="n">
        <v>0</v>
      </c>
      <c r="N769" s="21" t="n">
        <v>0</v>
      </c>
      <c r="O769" s="21" t="n">
        <v>0</v>
      </c>
      <c r="P769" s="21" t="n">
        <v>0</v>
      </c>
      <c r="Q769" s="21" t="n">
        <v>0</v>
      </c>
      <c r="R769" s="21" t="n">
        <v>0</v>
      </c>
      <c r="S769" s="21" t="n">
        <v>0</v>
      </c>
      <c r="T769" s="21" t="n">
        <v>0</v>
      </c>
      <c r="U769" s="21" t="n">
        <v>0</v>
      </c>
      <c r="V769" s="21" t="n">
        <v>0</v>
      </c>
      <c r="W769" s="21" t="n">
        <v>0</v>
      </c>
      <c r="X769" s="21" t="n">
        <v>0</v>
      </c>
      <c r="Y769" s="21" t="n">
        <v>0</v>
      </c>
      <c r="Z769" s="21" t="n">
        <v>0</v>
      </c>
      <c r="AA769" s="21" t="n">
        <v>0</v>
      </c>
      <c r="AB769" s="21" t="n">
        <v>0</v>
      </c>
      <c r="AC769" s="21" t="n">
        <v>0</v>
      </c>
      <c r="AD769" s="21" t="n">
        <v>0</v>
      </c>
      <c r="AE769" s="21" t="n">
        <v>0</v>
      </c>
      <c r="AF769" s="21" t="n">
        <v>0</v>
      </c>
      <c r="AG769" s="21" t="n">
        <v>0</v>
      </c>
      <c r="AH769" s="21">
        <f>-$B$18</f>
        <v/>
      </c>
      <c r="AI769" s="21">
        <f>-$B$19</f>
        <v/>
      </c>
      <c r="AJ769" s="21">
        <f>2*$B$18+$D$731</f>
        <v/>
      </c>
      <c r="AK769" s="21">
        <f>0</f>
        <v/>
      </c>
      <c r="AL769" s="21">
        <f>-$B$18</f>
        <v/>
      </c>
      <c r="AM769" s="21">
        <f>$B$19</f>
        <v/>
      </c>
      <c r="AN769" s="21" t="n">
        <v>0</v>
      </c>
      <c r="AO769" s="21" t="n">
        <v>0</v>
      </c>
      <c r="AP769" s="21" t="n">
        <v>0</v>
      </c>
      <c r="AQ769" s="21" t="n">
        <v>0</v>
      </c>
      <c r="AR769" s="21" t="n">
        <v>0</v>
      </c>
      <c r="AS769" s="21" t="n">
        <v>0</v>
      </c>
      <c r="AT769" s="19" t="n"/>
    </row>
    <row r="770">
      <c r="D770" s="21" t="n">
        <v>0</v>
      </c>
      <c r="E770" s="21" t="n">
        <v>0</v>
      </c>
      <c r="F770" s="21" t="n">
        <v>0</v>
      </c>
      <c r="G770" s="21" t="n">
        <v>0</v>
      </c>
      <c r="H770" s="21" t="n">
        <v>0</v>
      </c>
      <c r="I770" s="21" t="n">
        <v>0</v>
      </c>
      <c r="J770" s="21" t="n">
        <v>0</v>
      </c>
      <c r="K770" s="21" t="n">
        <v>0</v>
      </c>
      <c r="L770" s="21" t="n">
        <v>0</v>
      </c>
      <c r="M770" s="21" t="n">
        <v>0</v>
      </c>
      <c r="N770" s="21" t="n">
        <v>0</v>
      </c>
      <c r="O770" s="21" t="n">
        <v>0</v>
      </c>
      <c r="P770" s="21" t="n">
        <v>0</v>
      </c>
      <c r="Q770" s="21" t="n">
        <v>0</v>
      </c>
      <c r="R770" s="21" t="n">
        <v>0</v>
      </c>
      <c r="S770" s="21" t="n">
        <v>0</v>
      </c>
      <c r="T770" s="21" t="n">
        <v>0</v>
      </c>
      <c r="U770" s="21" t="n">
        <v>0</v>
      </c>
      <c r="V770" s="21" t="n">
        <v>0</v>
      </c>
      <c r="W770" s="21" t="n">
        <v>0</v>
      </c>
      <c r="X770" s="21" t="n">
        <v>0</v>
      </c>
      <c r="Y770" s="21" t="n">
        <v>0</v>
      </c>
      <c r="Z770" s="21" t="n">
        <v>0</v>
      </c>
      <c r="AA770" s="21" t="n">
        <v>0</v>
      </c>
      <c r="AB770" s="21" t="n">
        <v>0</v>
      </c>
      <c r="AC770" s="21" t="n">
        <v>0</v>
      </c>
      <c r="AD770" s="21" t="n">
        <v>0</v>
      </c>
      <c r="AE770" s="21" t="n">
        <v>0</v>
      </c>
      <c r="AF770" s="21" t="n">
        <v>0</v>
      </c>
      <c r="AG770" s="21" t="n">
        <v>0</v>
      </c>
      <c r="AH770" s="21">
        <f>$B$19</f>
        <v/>
      </c>
      <c r="AI770" s="21">
        <f>$B$21</f>
        <v/>
      </c>
      <c r="AJ770" s="21">
        <f>0</f>
        <v/>
      </c>
      <c r="AK770" s="21">
        <f>2*$B$20</f>
        <v/>
      </c>
      <c r="AL770" s="21">
        <f>-$B$19</f>
        <v/>
      </c>
      <c r="AM770" s="21">
        <f>$B$21</f>
        <v/>
      </c>
      <c r="AN770" s="21" t="n">
        <v>0</v>
      </c>
      <c r="AO770" s="21" t="n">
        <v>0</v>
      </c>
      <c r="AP770" s="21" t="n">
        <v>0</v>
      </c>
      <c r="AQ770" s="21" t="n">
        <v>0</v>
      </c>
      <c r="AR770" s="21" t="n">
        <v>0</v>
      </c>
      <c r="AS770" s="21" t="n">
        <v>0</v>
      </c>
      <c r="AT770" s="19" t="n"/>
    </row>
    <row r="771">
      <c r="D771" s="21" t="n">
        <v>0</v>
      </c>
      <c r="E771" s="21" t="n">
        <v>0</v>
      </c>
      <c r="F771" s="21" t="n">
        <v>0</v>
      </c>
      <c r="G771" s="21" t="n">
        <v>0</v>
      </c>
      <c r="H771" s="21" t="n">
        <v>0</v>
      </c>
      <c r="I771" s="21" t="n">
        <v>0</v>
      </c>
      <c r="J771" s="21" t="n">
        <v>0</v>
      </c>
      <c r="K771" s="21" t="n">
        <v>0</v>
      </c>
      <c r="L771" s="21" t="n">
        <v>0</v>
      </c>
      <c r="M771" s="21" t="n">
        <v>0</v>
      </c>
      <c r="N771" s="21" t="n">
        <v>0</v>
      </c>
      <c r="O771" s="21" t="n">
        <v>0</v>
      </c>
      <c r="P771" s="21" t="n">
        <v>0</v>
      </c>
      <c r="Q771" s="21" t="n">
        <v>0</v>
      </c>
      <c r="R771" s="21" t="n">
        <v>0</v>
      </c>
      <c r="S771" s="21" t="n">
        <v>0</v>
      </c>
      <c r="T771" s="21" t="n">
        <v>0</v>
      </c>
      <c r="U771" s="21" t="n">
        <v>0</v>
      </c>
      <c r="V771" s="21" t="n">
        <v>0</v>
      </c>
      <c r="W771" s="21" t="n">
        <v>0</v>
      </c>
      <c r="X771" s="21" t="n">
        <v>0</v>
      </c>
      <c r="Y771" s="21" t="n">
        <v>0</v>
      </c>
      <c r="Z771" s="21" t="n">
        <v>0</v>
      </c>
      <c r="AA771" s="21" t="n">
        <v>0</v>
      </c>
      <c r="AB771" s="21" t="n">
        <v>0</v>
      </c>
      <c r="AC771" s="21" t="n">
        <v>0</v>
      </c>
      <c r="AD771" s="21" t="n">
        <v>0</v>
      </c>
      <c r="AE771" s="21" t="n">
        <v>0</v>
      </c>
      <c r="AF771" s="21" t="n">
        <v>0</v>
      </c>
      <c r="AG771" s="21" t="n">
        <v>0</v>
      </c>
      <c r="AH771" s="21" t="n">
        <v>0</v>
      </c>
      <c r="AI771" s="21" t="n">
        <v>0</v>
      </c>
      <c r="AJ771" s="21">
        <f>-$B$18</f>
        <v/>
      </c>
      <c r="AK771" s="21">
        <f>-$B$19</f>
        <v/>
      </c>
      <c r="AL771" s="21">
        <f>2*$B$18+$D$732</f>
        <v/>
      </c>
      <c r="AM771" s="21">
        <f>0</f>
        <v/>
      </c>
      <c r="AN771" s="21">
        <f>-$B$18</f>
        <v/>
      </c>
      <c r="AO771" s="21">
        <f>$B$19</f>
        <v/>
      </c>
      <c r="AP771" s="21" t="n">
        <v>0</v>
      </c>
      <c r="AQ771" s="21" t="n">
        <v>0</v>
      </c>
      <c r="AR771" s="21" t="n">
        <v>0</v>
      </c>
      <c r="AS771" s="21" t="n">
        <v>0</v>
      </c>
      <c r="AT771" s="19" t="n"/>
    </row>
    <row r="772">
      <c r="D772" s="21" t="n">
        <v>0</v>
      </c>
      <c r="E772" s="21" t="n">
        <v>0</v>
      </c>
      <c r="F772" s="21" t="n">
        <v>0</v>
      </c>
      <c r="G772" s="21" t="n">
        <v>0</v>
      </c>
      <c r="H772" s="21" t="n">
        <v>0</v>
      </c>
      <c r="I772" s="21" t="n">
        <v>0</v>
      </c>
      <c r="J772" s="21" t="n">
        <v>0</v>
      </c>
      <c r="K772" s="21" t="n">
        <v>0</v>
      </c>
      <c r="L772" s="21" t="n">
        <v>0</v>
      </c>
      <c r="M772" s="21" t="n">
        <v>0</v>
      </c>
      <c r="N772" s="21" t="n">
        <v>0</v>
      </c>
      <c r="O772" s="21" t="n">
        <v>0</v>
      </c>
      <c r="P772" s="21" t="n">
        <v>0</v>
      </c>
      <c r="Q772" s="21" t="n">
        <v>0</v>
      </c>
      <c r="R772" s="21" t="n">
        <v>0</v>
      </c>
      <c r="S772" s="21" t="n">
        <v>0</v>
      </c>
      <c r="T772" s="21" t="n">
        <v>0</v>
      </c>
      <c r="U772" s="21" t="n">
        <v>0</v>
      </c>
      <c r="V772" s="21" t="n">
        <v>0</v>
      </c>
      <c r="W772" s="21" t="n">
        <v>0</v>
      </c>
      <c r="X772" s="21" t="n">
        <v>0</v>
      </c>
      <c r="Y772" s="21" t="n">
        <v>0</v>
      </c>
      <c r="Z772" s="21" t="n">
        <v>0</v>
      </c>
      <c r="AA772" s="21" t="n">
        <v>0</v>
      </c>
      <c r="AB772" s="21" t="n">
        <v>0</v>
      </c>
      <c r="AC772" s="21" t="n">
        <v>0</v>
      </c>
      <c r="AD772" s="21" t="n">
        <v>0</v>
      </c>
      <c r="AE772" s="21" t="n">
        <v>0</v>
      </c>
      <c r="AF772" s="21" t="n">
        <v>0</v>
      </c>
      <c r="AG772" s="21" t="n">
        <v>0</v>
      </c>
      <c r="AH772" s="21" t="n">
        <v>0</v>
      </c>
      <c r="AI772" s="21" t="n">
        <v>0</v>
      </c>
      <c r="AJ772" s="21">
        <f>$B$19</f>
        <v/>
      </c>
      <c r="AK772" s="21">
        <f>$B$21</f>
        <v/>
      </c>
      <c r="AL772" s="21">
        <f>0</f>
        <v/>
      </c>
      <c r="AM772" s="21">
        <f>2*$B$20</f>
        <v/>
      </c>
      <c r="AN772" s="21">
        <f>-$B$19</f>
        <v/>
      </c>
      <c r="AO772" s="21">
        <f>$B$21</f>
        <v/>
      </c>
      <c r="AP772" s="21" t="n">
        <v>0</v>
      </c>
      <c r="AQ772" s="21" t="n">
        <v>0</v>
      </c>
      <c r="AR772" s="21" t="n">
        <v>0</v>
      </c>
      <c r="AS772" s="21" t="n">
        <v>0</v>
      </c>
      <c r="AT772" s="19" t="n"/>
    </row>
    <row r="773">
      <c r="D773" s="21" t="n">
        <v>0</v>
      </c>
      <c r="E773" s="21" t="n">
        <v>0</v>
      </c>
      <c r="F773" s="21" t="n">
        <v>0</v>
      </c>
      <c r="G773" s="21" t="n">
        <v>0</v>
      </c>
      <c r="H773" s="21" t="n">
        <v>0</v>
      </c>
      <c r="I773" s="21" t="n">
        <v>0</v>
      </c>
      <c r="J773" s="21" t="n">
        <v>0</v>
      </c>
      <c r="K773" s="21" t="n">
        <v>0</v>
      </c>
      <c r="L773" s="21" t="n">
        <v>0</v>
      </c>
      <c r="M773" s="21" t="n">
        <v>0</v>
      </c>
      <c r="N773" s="21" t="n">
        <v>0</v>
      </c>
      <c r="O773" s="21" t="n">
        <v>0</v>
      </c>
      <c r="P773" s="21" t="n">
        <v>0</v>
      </c>
      <c r="Q773" s="21" t="n">
        <v>0</v>
      </c>
      <c r="R773" s="21" t="n">
        <v>0</v>
      </c>
      <c r="S773" s="21" t="n">
        <v>0</v>
      </c>
      <c r="T773" s="21" t="n">
        <v>0</v>
      </c>
      <c r="U773" s="21" t="n">
        <v>0</v>
      </c>
      <c r="V773" s="21" t="n">
        <v>0</v>
      </c>
      <c r="W773" s="21" t="n">
        <v>0</v>
      </c>
      <c r="X773" s="21" t="n">
        <v>0</v>
      </c>
      <c r="Y773" s="21" t="n">
        <v>0</v>
      </c>
      <c r="Z773" s="21" t="n">
        <v>0</v>
      </c>
      <c r="AA773" s="21" t="n">
        <v>0</v>
      </c>
      <c r="AB773" s="21" t="n">
        <v>0</v>
      </c>
      <c r="AC773" s="21" t="n">
        <v>0</v>
      </c>
      <c r="AD773" s="21" t="n">
        <v>0</v>
      </c>
      <c r="AE773" s="21" t="n">
        <v>0</v>
      </c>
      <c r="AF773" s="21" t="n">
        <v>0</v>
      </c>
      <c r="AG773" s="21" t="n">
        <v>0</v>
      </c>
      <c r="AH773" s="21" t="n">
        <v>0</v>
      </c>
      <c r="AI773" s="21" t="n">
        <v>0</v>
      </c>
      <c r="AJ773" s="21" t="n">
        <v>0</v>
      </c>
      <c r="AK773" s="21" t="n">
        <v>0</v>
      </c>
      <c r="AL773" s="21">
        <f>-$B$18</f>
        <v/>
      </c>
      <c r="AM773" s="21">
        <f>-$B$19</f>
        <v/>
      </c>
      <c r="AN773" s="21">
        <f>2*$B$18+$D$733</f>
        <v/>
      </c>
      <c r="AO773" s="21">
        <f>0</f>
        <v/>
      </c>
      <c r="AP773" s="21">
        <f>-$B$18</f>
        <v/>
      </c>
      <c r="AQ773" s="21">
        <f>$B$19</f>
        <v/>
      </c>
      <c r="AR773" s="21" t="n">
        <v>0</v>
      </c>
      <c r="AS773" s="21" t="n">
        <v>0</v>
      </c>
      <c r="AT773" s="19" t="n"/>
    </row>
    <row r="774">
      <c r="D774" s="21" t="n">
        <v>0</v>
      </c>
      <c r="E774" s="21" t="n">
        <v>0</v>
      </c>
      <c r="F774" s="21" t="n">
        <v>0</v>
      </c>
      <c r="G774" s="21" t="n">
        <v>0</v>
      </c>
      <c r="H774" s="21" t="n">
        <v>0</v>
      </c>
      <c r="I774" s="21" t="n">
        <v>0</v>
      </c>
      <c r="J774" s="21" t="n">
        <v>0</v>
      </c>
      <c r="K774" s="21" t="n">
        <v>0</v>
      </c>
      <c r="L774" s="21" t="n">
        <v>0</v>
      </c>
      <c r="M774" s="21" t="n">
        <v>0</v>
      </c>
      <c r="N774" s="21" t="n">
        <v>0</v>
      </c>
      <c r="O774" s="21" t="n">
        <v>0</v>
      </c>
      <c r="P774" s="21" t="n">
        <v>0</v>
      </c>
      <c r="Q774" s="21" t="n">
        <v>0</v>
      </c>
      <c r="R774" s="21" t="n">
        <v>0</v>
      </c>
      <c r="S774" s="21" t="n">
        <v>0</v>
      </c>
      <c r="T774" s="21" t="n">
        <v>0</v>
      </c>
      <c r="U774" s="21" t="n">
        <v>0</v>
      </c>
      <c r="V774" s="21" t="n">
        <v>0</v>
      </c>
      <c r="W774" s="21" t="n">
        <v>0</v>
      </c>
      <c r="X774" s="21" t="n">
        <v>0</v>
      </c>
      <c r="Y774" s="21" t="n">
        <v>0</v>
      </c>
      <c r="Z774" s="21" t="n">
        <v>0</v>
      </c>
      <c r="AA774" s="21" t="n">
        <v>0</v>
      </c>
      <c r="AB774" s="21" t="n">
        <v>0</v>
      </c>
      <c r="AC774" s="21" t="n">
        <v>0</v>
      </c>
      <c r="AD774" s="21" t="n">
        <v>0</v>
      </c>
      <c r="AE774" s="21" t="n">
        <v>0</v>
      </c>
      <c r="AF774" s="21" t="n">
        <v>0</v>
      </c>
      <c r="AG774" s="21" t="n">
        <v>0</v>
      </c>
      <c r="AH774" s="21" t="n">
        <v>0</v>
      </c>
      <c r="AI774" s="21" t="n">
        <v>0</v>
      </c>
      <c r="AJ774" s="21" t="n">
        <v>0</v>
      </c>
      <c r="AK774" s="21" t="n">
        <v>0</v>
      </c>
      <c r="AL774" s="21">
        <f>$B$19</f>
        <v/>
      </c>
      <c r="AM774" s="21">
        <f>$B$21</f>
        <v/>
      </c>
      <c r="AN774" s="21">
        <f>0</f>
        <v/>
      </c>
      <c r="AO774" s="21">
        <f>2*$B$20</f>
        <v/>
      </c>
      <c r="AP774" s="21">
        <f>-$B$19</f>
        <v/>
      </c>
      <c r="AQ774" s="21">
        <f>$B$21</f>
        <v/>
      </c>
      <c r="AR774" s="21" t="n">
        <v>0</v>
      </c>
      <c r="AS774" s="21" t="n">
        <v>0</v>
      </c>
      <c r="AT774" s="19" t="n"/>
    </row>
    <row r="775">
      <c r="D775" s="21" t="n">
        <v>0</v>
      </c>
      <c r="E775" s="21" t="n">
        <v>0</v>
      </c>
      <c r="F775" s="21" t="n">
        <v>0</v>
      </c>
      <c r="G775" s="21" t="n">
        <v>0</v>
      </c>
      <c r="H775" s="21" t="n">
        <v>0</v>
      </c>
      <c r="I775" s="21" t="n">
        <v>0</v>
      </c>
      <c r="J775" s="21" t="n">
        <v>0</v>
      </c>
      <c r="K775" s="21" t="n">
        <v>0</v>
      </c>
      <c r="L775" s="21" t="n">
        <v>0</v>
      </c>
      <c r="M775" s="21" t="n">
        <v>0</v>
      </c>
      <c r="N775" s="21" t="n">
        <v>0</v>
      </c>
      <c r="O775" s="21" t="n">
        <v>0</v>
      </c>
      <c r="P775" s="21" t="n">
        <v>0</v>
      </c>
      <c r="Q775" s="21" t="n">
        <v>0</v>
      </c>
      <c r="R775" s="21" t="n">
        <v>0</v>
      </c>
      <c r="S775" s="21" t="n">
        <v>0</v>
      </c>
      <c r="T775" s="21" t="n">
        <v>0</v>
      </c>
      <c r="U775" s="21" t="n">
        <v>0</v>
      </c>
      <c r="V775" s="21" t="n">
        <v>0</v>
      </c>
      <c r="W775" s="21" t="n">
        <v>0</v>
      </c>
      <c r="X775" s="21" t="n">
        <v>0</v>
      </c>
      <c r="Y775" s="21" t="n">
        <v>0</v>
      </c>
      <c r="Z775" s="21" t="n">
        <v>0</v>
      </c>
      <c r="AA775" s="21" t="n">
        <v>0</v>
      </c>
      <c r="AB775" s="21" t="n">
        <v>0</v>
      </c>
      <c r="AC775" s="21" t="n">
        <v>0</v>
      </c>
      <c r="AD775" s="21" t="n">
        <v>0</v>
      </c>
      <c r="AE775" s="21" t="n">
        <v>0</v>
      </c>
      <c r="AF775" s="21" t="n">
        <v>0</v>
      </c>
      <c r="AG775" s="21" t="n">
        <v>0</v>
      </c>
      <c r="AH775" s="21" t="n">
        <v>0</v>
      </c>
      <c r="AI775" s="21" t="n">
        <v>0</v>
      </c>
      <c r="AJ775" s="21" t="n">
        <v>0</v>
      </c>
      <c r="AK775" s="21" t="n">
        <v>0</v>
      </c>
      <c r="AL775" s="21" t="n">
        <v>0</v>
      </c>
      <c r="AM775" s="21" t="n">
        <v>0</v>
      </c>
      <c r="AN775" s="21">
        <f>-$B$18</f>
        <v/>
      </c>
      <c r="AO775" s="21">
        <f>-$B$19</f>
        <v/>
      </c>
      <c r="AP775" s="21">
        <f>2*$B$18+$D$734</f>
        <v/>
      </c>
      <c r="AQ775" s="21">
        <f>0</f>
        <v/>
      </c>
      <c r="AR775" s="21">
        <f>-$B$18</f>
        <v/>
      </c>
      <c r="AS775" s="21">
        <f>$B$19</f>
        <v/>
      </c>
      <c r="AT775" s="19" t="n"/>
    </row>
    <row r="776">
      <c r="D776" s="21" t="n">
        <v>0</v>
      </c>
      <c r="E776" s="21" t="n">
        <v>0</v>
      </c>
      <c r="F776" s="21" t="n">
        <v>0</v>
      </c>
      <c r="G776" s="21" t="n">
        <v>0</v>
      </c>
      <c r="H776" s="21" t="n">
        <v>0</v>
      </c>
      <c r="I776" s="21" t="n">
        <v>0</v>
      </c>
      <c r="J776" s="21" t="n">
        <v>0</v>
      </c>
      <c r="K776" s="21" t="n">
        <v>0</v>
      </c>
      <c r="L776" s="21" t="n">
        <v>0</v>
      </c>
      <c r="M776" s="21" t="n">
        <v>0</v>
      </c>
      <c r="N776" s="21" t="n">
        <v>0</v>
      </c>
      <c r="O776" s="21" t="n">
        <v>0</v>
      </c>
      <c r="P776" s="21" t="n">
        <v>0</v>
      </c>
      <c r="Q776" s="21" t="n">
        <v>0</v>
      </c>
      <c r="R776" s="21" t="n">
        <v>0</v>
      </c>
      <c r="S776" s="21" t="n">
        <v>0</v>
      </c>
      <c r="T776" s="21" t="n">
        <v>0</v>
      </c>
      <c r="U776" s="21" t="n">
        <v>0</v>
      </c>
      <c r="V776" s="21" t="n">
        <v>0</v>
      </c>
      <c r="W776" s="21" t="n">
        <v>0</v>
      </c>
      <c r="X776" s="21" t="n">
        <v>0</v>
      </c>
      <c r="Y776" s="21" t="n">
        <v>0</v>
      </c>
      <c r="Z776" s="21" t="n">
        <v>0</v>
      </c>
      <c r="AA776" s="21" t="n">
        <v>0</v>
      </c>
      <c r="AB776" s="21" t="n">
        <v>0</v>
      </c>
      <c r="AC776" s="21" t="n">
        <v>0</v>
      </c>
      <c r="AD776" s="21" t="n">
        <v>0</v>
      </c>
      <c r="AE776" s="21" t="n">
        <v>0</v>
      </c>
      <c r="AF776" s="21" t="n">
        <v>0</v>
      </c>
      <c r="AG776" s="21" t="n">
        <v>0</v>
      </c>
      <c r="AH776" s="21" t="n">
        <v>0</v>
      </c>
      <c r="AI776" s="21" t="n">
        <v>0</v>
      </c>
      <c r="AJ776" s="21" t="n">
        <v>0</v>
      </c>
      <c r="AK776" s="21" t="n">
        <v>0</v>
      </c>
      <c r="AL776" s="21" t="n">
        <v>0</v>
      </c>
      <c r="AM776" s="21" t="n">
        <v>0</v>
      </c>
      <c r="AN776" s="21">
        <f>$B$19</f>
        <v/>
      </c>
      <c r="AO776" s="21">
        <f>$B$21</f>
        <v/>
      </c>
      <c r="AP776" s="21">
        <f>0</f>
        <v/>
      </c>
      <c r="AQ776" s="21">
        <f>2*$B$20</f>
        <v/>
      </c>
      <c r="AR776" s="21">
        <f>-$B$19</f>
        <v/>
      </c>
      <c r="AS776" s="21">
        <f>$B$21</f>
        <v/>
      </c>
      <c r="AT776" s="19" t="n"/>
    </row>
    <row r="777">
      <c r="D777" s="21" t="n">
        <v>0</v>
      </c>
      <c r="E777" s="21" t="n">
        <v>0</v>
      </c>
      <c r="F777" s="21" t="n">
        <v>0</v>
      </c>
      <c r="G777" s="21" t="n">
        <v>0</v>
      </c>
      <c r="H777" s="21" t="n">
        <v>0</v>
      </c>
      <c r="I777" s="21" t="n">
        <v>0</v>
      </c>
      <c r="J777" s="21" t="n">
        <v>0</v>
      </c>
      <c r="K777" s="21" t="n">
        <v>0</v>
      </c>
      <c r="L777" s="21" t="n">
        <v>0</v>
      </c>
      <c r="M777" s="21" t="n">
        <v>0</v>
      </c>
      <c r="N777" s="21" t="n">
        <v>0</v>
      </c>
      <c r="O777" s="21" t="n">
        <v>0</v>
      </c>
      <c r="P777" s="21" t="n">
        <v>0</v>
      </c>
      <c r="Q777" s="21" t="n">
        <v>0</v>
      </c>
      <c r="R777" s="21" t="n">
        <v>0</v>
      </c>
      <c r="S777" s="21" t="n">
        <v>0</v>
      </c>
      <c r="T777" s="21" t="n">
        <v>0</v>
      </c>
      <c r="U777" s="21" t="n">
        <v>0</v>
      </c>
      <c r="V777" s="21" t="n">
        <v>0</v>
      </c>
      <c r="W777" s="21" t="n">
        <v>0</v>
      </c>
      <c r="X777" s="21" t="n">
        <v>0</v>
      </c>
      <c r="Y777" s="21" t="n">
        <v>0</v>
      </c>
      <c r="Z777" s="21" t="n">
        <v>0</v>
      </c>
      <c r="AA777" s="21" t="n">
        <v>0</v>
      </c>
      <c r="AB777" s="21" t="n">
        <v>0</v>
      </c>
      <c r="AC777" s="21" t="n">
        <v>0</v>
      </c>
      <c r="AD777" s="21" t="n">
        <v>0</v>
      </c>
      <c r="AE777" s="21" t="n">
        <v>0</v>
      </c>
      <c r="AF777" s="21" t="n">
        <v>0</v>
      </c>
      <c r="AG777" s="21" t="n">
        <v>0</v>
      </c>
      <c r="AH777" s="21" t="n">
        <v>0</v>
      </c>
      <c r="AI777" s="21" t="n">
        <v>0</v>
      </c>
      <c r="AJ777" s="21" t="n">
        <v>0</v>
      </c>
      <c r="AK777" s="21" t="n">
        <v>0</v>
      </c>
      <c r="AL777" s="21" t="n">
        <v>0</v>
      </c>
      <c r="AM777" s="21" t="n">
        <v>0</v>
      </c>
      <c r="AN777" s="21" t="n">
        <v>0</v>
      </c>
      <c r="AO777" s="21" t="n">
        <v>0</v>
      </c>
      <c r="AP777" s="21">
        <f>-$B$18</f>
        <v/>
      </c>
      <c r="AQ777" s="21">
        <f>-$B$19</f>
        <v/>
      </c>
      <c r="AR777" s="21">
        <f>$B$18+$D$735</f>
        <v/>
      </c>
      <c r="AS777" s="21">
        <f>-$B$19</f>
        <v/>
      </c>
      <c r="AT777" s="19" t="n"/>
    </row>
    <row r="778">
      <c r="D778" s="21" t="n">
        <v>0</v>
      </c>
      <c r="E778" s="21" t="n">
        <v>0</v>
      </c>
      <c r="F778" s="21" t="n">
        <v>0</v>
      </c>
      <c r="G778" s="21" t="n">
        <v>0</v>
      </c>
      <c r="H778" s="21" t="n">
        <v>0</v>
      </c>
      <c r="I778" s="21" t="n">
        <v>0</v>
      </c>
      <c r="J778" s="21" t="n">
        <v>0</v>
      </c>
      <c r="K778" s="21" t="n">
        <v>0</v>
      </c>
      <c r="L778" s="21" t="n">
        <v>0</v>
      </c>
      <c r="M778" s="21" t="n">
        <v>0</v>
      </c>
      <c r="N778" s="21" t="n">
        <v>0</v>
      </c>
      <c r="O778" s="21" t="n">
        <v>0</v>
      </c>
      <c r="P778" s="21" t="n">
        <v>0</v>
      </c>
      <c r="Q778" s="21" t="n">
        <v>0</v>
      </c>
      <c r="R778" s="21" t="n">
        <v>0</v>
      </c>
      <c r="S778" s="21" t="n">
        <v>0</v>
      </c>
      <c r="T778" s="21" t="n">
        <v>0</v>
      </c>
      <c r="U778" s="21" t="n">
        <v>0</v>
      </c>
      <c r="V778" s="21" t="n">
        <v>0</v>
      </c>
      <c r="W778" s="21" t="n">
        <v>0</v>
      </c>
      <c r="X778" s="21" t="n">
        <v>0</v>
      </c>
      <c r="Y778" s="21" t="n">
        <v>0</v>
      </c>
      <c r="Z778" s="21" t="n">
        <v>0</v>
      </c>
      <c r="AA778" s="21" t="n">
        <v>0</v>
      </c>
      <c r="AB778" s="21" t="n">
        <v>0</v>
      </c>
      <c r="AC778" s="21" t="n">
        <v>0</v>
      </c>
      <c r="AD778" s="21" t="n">
        <v>0</v>
      </c>
      <c r="AE778" s="21" t="n">
        <v>0</v>
      </c>
      <c r="AF778" s="21" t="n">
        <v>0</v>
      </c>
      <c r="AG778" s="21" t="n">
        <v>0</v>
      </c>
      <c r="AH778" s="21" t="n">
        <v>0</v>
      </c>
      <c r="AI778" s="21" t="n">
        <v>0</v>
      </c>
      <c r="AJ778" s="21" t="n">
        <v>0</v>
      </c>
      <c r="AK778" s="21" t="n">
        <v>0</v>
      </c>
      <c r="AL778" s="21" t="n">
        <v>0</v>
      </c>
      <c r="AM778" s="21" t="n">
        <v>0</v>
      </c>
      <c r="AN778" s="21" t="n">
        <v>0</v>
      </c>
      <c r="AO778" s="21" t="n">
        <v>0</v>
      </c>
      <c r="AP778" s="21">
        <f>$B$19</f>
        <v/>
      </c>
      <c r="AQ778" s="21">
        <f>$B$21</f>
        <v/>
      </c>
      <c r="AR778" s="21">
        <f>-$B$19</f>
        <v/>
      </c>
      <c r="AS778" s="21">
        <f>$B$20</f>
        <v/>
      </c>
      <c r="AT778" s="19" t="n"/>
    </row>
    <row r="780">
      <c r="A780" s="8" t="inlineStr">
        <is>
          <t>gen 11</t>
        </is>
      </c>
    </row>
    <row r="781">
      <c r="D781" s="19">
        <f>IF(ABS(IF(ABS($E$715)&gt;0.000000001,$E$715,0.000000001))=0,0,IF($E$33&lt;=$B$27,0,IF(ABS(IF(ABS($E$715)&gt;0.000000001,$E$715,0.000000001))&gt;=8*$B$29,$H$33,0.5*$H$33*(ABS(IF(ABS($E$715)&gt;0.000000001,$E$715,0.000000001))/$B$29)^(1/3)))/ABS(IF(ABS($E$715)&gt;0.000000001,$E$715,0.000000001))*$I$33)</f>
        <v/>
      </c>
      <c r="E781" s="19">
        <f>0.5*$E$715+0.5*$AT$803</f>
        <v/>
      </c>
      <c r="F781" s="19">
        <f>$AT$804</f>
        <v/>
      </c>
    </row>
    <row r="782">
      <c r="D782" s="19">
        <f>IF(ABS(IF(ABS($E$716)&gt;0.000000001,$E$716,0.000000001))=0,0,IF($E$34&lt;=$B$27,0,IF(ABS(IF(ABS($E$716)&gt;0.000000001,$E$716,0.000000001))&gt;=8*$B$29,$H$34,0.5*$H$34*(ABS(IF(ABS($E$716)&gt;0.000000001,$E$716,0.000000001))/$B$29)^(1/3)))/ABS(IF(ABS($E$716)&gt;0.000000001,$E$716,0.000000001))*$I$34)</f>
        <v/>
      </c>
      <c r="E782" s="19">
        <f>0.5*$E$716+0.5*$AT$805</f>
        <v/>
      </c>
      <c r="F782" s="19">
        <f>$AT$806</f>
        <v/>
      </c>
    </row>
    <row r="783">
      <c r="D783" s="19">
        <f>IF(ABS(IF(ABS($E$717)&gt;0.000000001,$E$717,0.000000001))=0,0,IF($E$35&lt;=$B$27,0,IF(ABS(IF(ABS($E$717)&gt;0.000000001,$E$717,0.000000001))&gt;=8*$B$29,$H$35,0.5*$H$35*(ABS(IF(ABS($E$717)&gt;0.000000001,$E$717,0.000000001))/$B$29)^(1/3)))/ABS(IF(ABS($E$717)&gt;0.000000001,$E$717,0.000000001))*$I$35)</f>
        <v/>
      </c>
      <c r="E783" s="19">
        <f>0.5*$E$717+0.5*$AT$807</f>
        <v/>
      </c>
      <c r="F783" s="19">
        <f>$AT$808</f>
        <v/>
      </c>
    </row>
    <row r="784">
      <c r="D784" s="19">
        <f>IF(ABS(IF(ABS($E$718)&gt;0.000000001,$E$718,0.000000001))=0,0,IF($E$36&lt;=$B$27,0,IF(ABS(IF(ABS($E$718)&gt;0.000000001,$E$718,0.000000001))&gt;=8*$B$29,$H$36,0.5*$H$36*(ABS(IF(ABS($E$718)&gt;0.000000001,$E$718,0.000000001))/$B$29)^(1/3)))/ABS(IF(ABS($E$718)&gt;0.000000001,$E$718,0.000000001))*$I$36)</f>
        <v/>
      </c>
      <c r="E784" s="19">
        <f>0.5*$E$718+0.5*$AT$809</f>
        <v/>
      </c>
      <c r="F784" s="19">
        <f>$AT$810</f>
        <v/>
      </c>
    </row>
    <row r="785">
      <c r="D785" s="19">
        <f>IF(ABS(IF(ABS($E$719)&gt;0.000000001,$E$719,0.000000001))=0,0,IF($E$37&lt;=$B$27,0,IF(ABS(IF(ABS($E$719)&gt;0.000000001,$E$719,0.000000001))&gt;=8*$B$29,$H$37,0.5*$H$37*(ABS(IF(ABS($E$719)&gt;0.000000001,$E$719,0.000000001))/$B$29)^(1/3)))/ABS(IF(ABS($E$719)&gt;0.000000001,$E$719,0.000000001))*$I$37)</f>
        <v/>
      </c>
      <c r="E785" s="19">
        <f>0.5*$E$719+0.5*$AT$811</f>
        <v/>
      </c>
      <c r="F785" s="19">
        <f>$AT$812</f>
        <v/>
      </c>
    </row>
    <row r="786">
      <c r="D786" s="19">
        <f>IF(ABS(IF(ABS($E$720)&gt;0.000000001,$E$720,0.000000001))=0,0,IF($E$38&lt;=$B$27,0,IF(ABS(IF(ABS($E$720)&gt;0.000000001,$E$720,0.000000001))&gt;=8*$B$29,$H$38,0.5*$H$38*(ABS(IF(ABS($E$720)&gt;0.000000001,$E$720,0.000000001))/$B$29)^(1/3)))/ABS(IF(ABS($E$720)&gt;0.000000001,$E$720,0.000000001))*$I$38)</f>
        <v/>
      </c>
      <c r="E786" s="19">
        <f>0.5*$E$720+0.5*$AT$813</f>
        <v/>
      </c>
      <c r="F786" s="19">
        <f>$AT$814</f>
        <v/>
      </c>
    </row>
    <row r="787">
      <c r="D787" s="19">
        <f>IF(ABS(IF(ABS($E$721)&gt;0.000000001,$E$721,0.000000001))=0,0,IF($E$39&lt;=$B$27,0,IF(ABS(IF(ABS($E$721)&gt;0.000000001,$E$721,0.000000001))&gt;=8*$B$29,$H$39,0.5*$H$39*(ABS(IF(ABS($E$721)&gt;0.000000001,$E$721,0.000000001))/$B$29)^(1/3)))/ABS(IF(ABS($E$721)&gt;0.000000001,$E$721,0.000000001))*$I$39)</f>
        <v/>
      </c>
      <c r="E787" s="19">
        <f>0.5*$E$721+0.5*$AT$815</f>
        <v/>
      </c>
      <c r="F787" s="19">
        <f>$AT$816</f>
        <v/>
      </c>
    </row>
    <row r="788">
      <c r="D788" s="19">
        <f>IF(ABS(IF(ABS($E$722)&gt;0.000000001,$E$722,0.000000001))=0,0,IF($E$40&lt;=$B$27,0,IF(ABS(IF(ABS($E$722)&gt;0.000000001,$E$722,0.000000001))&gt;=8*$B$29,$H$40,0.5*$H$40*(ABS(IF(ABS($E$722)&gt;0.000000001,$E$722,0.000000001))/$B$29)^(1/3)))/ABS(IF(ABS($E$722)&gt;0.000000001,$E$722,0.000000001))*$I$40)</f>
        <v/>
      </c>
      <c r="E788" s="19">
        <f>0.5*$E$722+0.5*$AT$817</f>
        <v/>
      </c>
      <c r="F788" s="19">
        <f>$AT$818</f>
        <v/>
      </c>
    </row>
    <row r="789">
      <c r="D789" s="19">
        <f>IF(ABS(IF(ABS($E$723)&gt;0.000000001,$E$723,0.000000001))=0,0,IF($E$41&lt;=$B$27,0,IF(ABS(IF(ABS($E$723)&gt;0.000000001,$E$723,0.000000001))&gt;=8*$B$29,$H$41,0.5*$H$41*(ABS(IF(ABS($E$723)&gt;0.000000001,$E$723,0.000000001))/$B$29)^(1/3)))/ABS(IF(ABS($E$723)&gt;0.000000001,$E$723,0.000000001))*$I$41)</f>
        <v/>
      </c>
      <c r="E789" s="19">
        <f>0.5*$E$723+0.5*$AT$819</f>
        <v/>
      </c>
      <c r="F789" s="19">
        <f>$AT$820</f>
        <v/>
      </c>
    </row>
    <row r="790">
      <c r="D790" s="19">
        <f>IF(ABS(IF(ABS($E$724)&gt;0.000000001,$E$724,0.000000001))=0,0,IF($E$42&lt;=$B$27,0,IF(ABS(IF(ABS($E$724)&gt;0.000000001,$E$724,0.000000001))&gt;=8*$B$29,$H$42,0.5*$H$42*(ABS(IF(ABS($E$724)&gt;0.000000001,$E$724,0.000000001))/$B$29)^(1/3)))/ABS(IF(ABS($E$724)&gt;0.000000001,$E$724,0.000000001))*$I$42)</f>
        <v/>
      </c>
      <c r="E790" s="19">
        <f>0.5*$E$724+0.5*$AT$821</f>
        <v/>
      </c>
      <c r="F790" s="19">
        <f>$AT$822</f>
        <v/>
      </c>
    </row>
    <row r="791">
      <c r="D791" s="19">
        <f>IF(ABS(IF(ABS($E$725)&gt;0.000000001,$E$725,0.000000001))=0,0,IF($E$43&lt;=$B$27,0,IF(ABS(IF(ABS($E$725)&gt;0.000000001,$E$725,0.000000001))&gt;=8*$B$29,$H$43,0.5*$H$43*(ABS(IF(ABS($E$725)&gt;0.000000001,$E$725,0.000000001))/$B$29)^(1/3)))/ABS(IF(ABS($E$725)&gt;0.000000001,$E$725,0.000000001))*$I$43)</f>
        <v/>
      </c>
      <c r="E791" s="19">
        <f>0.5*$E$725+0.5*$AT$823</f>
        <v/>
      </c>
      <c r="F791" s="19">
        <f>$AT$824</f>
        <v/>
      </c>
    </row>
    <row r="792">
      <c r="D792" s="19">
        <f>IF(ABS(IF(ABS($E$726)&gt;0.000000001,$E$726,0.000000001))=0,0,IF($E$44&lt;=$B$27,0,IF(ABS(IF(ABS($E$726)&gt;0.000000001,$E$726,0.000000001))&gt;=8*$B$29,$H$44,0.5*$H$44*(ABS(IF(ABS($E$726)&gt;0.000000001,$E$726,0.000000001))/$B$29)^(1/3)))/ABS(IF(ABS($E$726)&gt;0.000000001,$E$726,0.000000001))*$I$44)</f>
        <v/>
      </c>
      <c r="E792" s="19">
        <f>0.5*$E$726+0.5*$AT$825</f>
        <v/>
      </c>
      <c r="F792" s="19">
        <f>$AT$826</f>
        <v/>
      </c>
    </row>
    <row r="793">
      <c r="D793" s="19">
        <f>IF(ABS(IF(ABS($E$727)&gt;0.000000001,$E$727,0.000000001))=0,0,IF($E$45&lt;=$B$27,0,IF(ABS(IF(ABS($E$727)&gt;0.000000001,$E$727,0.000000001))&gt;=8*$B$29,$H$45,0.5*$H$45*(ABS(IF(ABS($E$727)&gt;0.000000001,$E$727,0.000000001))/$B$29)^(1/3)))/ABS(IF(ABS($E$727)&gt;0.000000001,$E$727,0.000000001))*$I$45)</f>
        <v/>
      </c>
      <c r="E793" s="19">
        <f>0.5*$E$727+0.5*$AT$827</f>
        <v/>
      </c>
      <c r="F793" s="19">
        <f>$AT$828</f>
        <v/>
      </c>
    </row>
    <row r="794">
      <c r="D794" s="19">
        <f>IF(ABS(IF(ABS($E$728)&gt;0.000000001,$E$728,0.000000001))=0,0,IF($E$46&lt;=$B$27,0,IF(ABS(IF(ABS($E$728)&gt;0.000000001,$E$728,0.000000001))&gt;=8*$B$29,$H$46,0.5*$H$46*(ABS(IF(ABS($E$728)&gt;0.000000001,$E$728,0.000000001))/$B$29)^(1/3)))/ABS(IF(ABS($E$728)&gt;0.000000001,$E$728,0.000000001))*$I$46)</f>
        <v/>
      </c>
      <c r="E794" s="19">
        <f>0.5*$E$728+0.5*$AT$829</f>
        <v/>
      </c>
      <c r="F794" s="19">
        <f>$AT$830</f>
        <v/>
      </c>
    </row>
    <row r="795">
      <c r="D795" s="19">
        <f>IF(ABS(IF(ABS($E$729)&gt;0.000000001,$E$729,0.000000001))=0,0,IF($E$47&lt;=$B$27,0,IF(ABS(IF(ABS($E$729)&gt;0.000000001,$E$729,0.000000001))&gt;=8*$B$29,$H$47,0.5*$H$47*(ABS(IF(ABS($E$729)&gt;0.000000001,$E$729,0.000000001))/$B$29)^(1/3)))/ABS(IF(ABS($E$729)&gt;0.000000001,$E$729,0.000000001))*$I$47)</f>
        <v/>
      </c>
      <c r="E795" s="19">
        <f>0.5*$E$729+0.5*$AT$831</f>
        <v/>
      </c>
      <c r="F795" s="19">
        <f>$AT$832</f>
        <v/>
      </c>
    </row>
    <row r="796">
      <c r="D796" s="19">
        <f>IF(ABS(IF(ABS($E$730)&gt;0.000000001,$E$730,0.000000001))=0,0,IF($E$48&lt;=$B$27,0,IF(ABS(IF(ABS($E$730)&gt;0.000000001,$E$730,0.000000001))&gt;=8*$B$29,$H$48,0.5*$H$48*(ABS(IF(ABS($E$730)&gt;0.000000001,$E$730,0.000000001))/$B$29)^(1/3)))/ABS(IF(ABS($E$730)&gt;0.000000001,$E$730,0.000000001))*$I$48)</f>
        <v/>
      </c>
      <c r="E796" s="19">
        <f>0.5*$E$730+0.5*$AT$833</f>
        <v/>
      </c>
      <c r="F796" s="19">
        <f>$AT$834</f>
        <v/>
      </c>
    </row>
    <row r="797">
      <c r="D797" s="19">
        <f>IF(ABS(IF(ABS($E$731)&gt;0.000000001,$E$731,0.000000001))=0,0,IF($E$49&lt;=$B$27,0,IF(ABS(IF(ABS($E$731)&gt;0.000000001,$E$731,0.000000001))&gt;=8*$B$29,$H$49,0.5*$H$49*(ABS(IF(ABS($E$731)&gt;0.000000001,$E$731,0.000000001))/$B$29)^(1/3)))/ABS(IF(ABS($E$731)&gt;0.000000001,$E$731,0.000000001))*$I$49)</f>
        <v/>
      </c>
      <c r="E797" s="19">
        <f>0.5*$E$731+0.5*$AT$835</f>
        <v/>
      </c>
      <c r="F797" s="19">
        <f>$AT$836</f>
        <v/>
      </c>
    </row>
    <row r="798">
      <c r="D798" s="19">
        <f>IF(ABS(IF(ABS($E$732)&gt;0.000000001,$E$732,0.000000001))=0,0,IF($E$50&lt;=$B$27,0,IF(ABS(IF(ABS($E$732)&gt;0.000000001,$E$732,0.000000001))&gt;=8*$B$29,$H$50,0.5*$H$50*(ABS(IF(ABS($E$732)&gt;0.000000001,$E$732,0.000000001))/$B$29)^(1/3)))/ABS(IF(ABS($E$732)&gt;0.000000001,$E$732,0.000000001))*$I$50)</f>
        <v/>
      </c>
      <c r="E798" s="19">
        <f>0.5*$E$732+0.5*$AT$837</f>
        <v/>
      </c>
      <c r="F798" s="19">
        <f>$AT$838</f>
        <v/>
      </c>
    </row>
    <row r="799">
      <c r="D799" s="19">
        <f>IF(ABS(IF(ABS($E$733)&gt;0.000000001,$E$733,0.000000001))=0,0,IF($E$51&lt;=$B$27,0,IF(ABS(IF(ABS($E$733)&gt;0.000000001,$E$733,0.000000001))&gt;=8*$B$29,$H$51,0.5*$H$51*(ABS(IF(ABS($E$733)&gt;0.000000001,$E$733,0.000000001))/$B$29)^(1/3)))/ABS(IF(ABS($E$733)&gt;0.000000001,$E$733,0.000000001))*$I$51)</f>
        <v/>
      </c>
      <c r="E799" s="19">
        <f>0.5*$E$733+0.5*$AT$839</f>
        <v/>
      </c>
      <c r="F799" s="19">
        <f>$AT$840</f>
        <v/>
      </c>
    </row>
    <row r="800">
      <c r="D800" s="19">
        <f>IF(ABS(IF(ABS($E$734)&gt;0.000000001,$E$734,0.000000001))=0,0,IF($E$52&lt;=$B$27,0,IF(ABS(IF(ABS($E$734)&gt;0.000000001,$E$734,0.000000001))&gt;=8*$B$29,$H$52,0.5*$H$52*(ABS(IF(ABS($E$734)&gt;0.000000001,$E$734,0.000000001))/$B$29)^(1/3)))/ABS(IF(ABS($E$734)&gt;0.000000001,$E$734,0.000000001))*$I$52)</f>
        <v/>
      </c>
      <c r="E800" s="19">
        <f>0.5*$E$734+0.5*$AT$841</f>
        <v/>
      </c>
      <c r="F800" s="19">
        <f>$AT$842</f>
        <v/>
      </c>
    </row>
    <row r="801">
      <c r="D801" s="19">
        <f>IF(ABS(IF(ABS($E$735)&gt;0.000000001,$E$735,0.000000001))=0,0,IF($E$53&lt;=$B$27,0,IF(ABS(IF(ABS($E$735)&gt;0.000000001,$E$735,0.000000001))&gt;=8*$B$29,$H$53,0.5*$H$53*(ABS(IF(ABS($E$735)&gt;0.000000001,$E$735,0.000000001))/$B$29)^(1/3)))/ABS(IF(ABS($E$735)&gt;0.000000001,$E$735,0.000000001))*$I$53)</f>
        <v/>
      </c>
      <c r="E801" s="19">
        <f>0.5*$E$735+0.5*$AT$843</f>
        <v/>
      </c>
      <c r="F801" s="19">
        <f>$AT$844</f>
        <v/>
      </c>
    </row>
    <row r="803">
      <c r="D803" s="21">
        <f>$B$18+$D$781</f>
        <v/>
      </c>
      <c r="E803" s="21">
        <f>$B$19</f>
        <v/>
      </c>
      <c r="F803" s="21">
        <f>-$B$18</f>
        <v/>
      </c>
      <c r="G803" s="21">
        <f>$B$19</f>
        <v/>
      </c>
      <c r="H803" s="21" t="n">
        <v>0</v>
      </c>
      <c r="I803" s="21" t="n">
        <v>0</v>
      </c>
      <c r="J803" s="21" t="n">
        <v>0</v>
      </c>
      <c r="K803" s="21" t="n">
        <v>0</v>
      </c>
      <c r="L803" s="21" t="n">
        <v>0</v>
      </c>
      <c r="M803" s="21" t="n">
        <v>0</v>
      </c>
      <c r="N803" s="21" t="n">
        <v>0</v>
      </c>
      <c r="O803" s="21" t="n">
        <v>0</v>
      </c>
      <c r="P803" s="21" t="n">
        <v>0</v>
      </c>
      <c r="Q803" s="21" t="n">
        <v>0</v>
      </c>
      <c r="R803" s="21" t="n">
        <v>0</v>
      </c>
      <c r="S803" s="21" t="n">
        <v>0</v>
      </c>
      <c r="T803" s="21" t="n">
        <v>0</v>
      </c>
      <c r="U803" s="21" t="n">
        <v>0</v>
      </c>
      <c r="V803" s="21" t="n">
        <v>0</v>
      </c>
      <c r="W803" s="21" t="n">
        <v>0</v>
      </c>
      <c r="X803" s="21" t="n">
        <v>0</v>
      </c>
      <c r="Y803" s="21" t="n">
        <v>0</v>
      </c>
      <c r="Z803" s="21" t="n">
        <v>0</v>
      </c>
      <c r="AA803" s="21" t="n">
        <v>0</v>
      </c>
      <c r="AB803" s="21" t="n">
        <v>0</v>
      </c>
      <c r="AC803" s="21" t="n">
        <v>0</v>
      </c>
      <c r="AD803" s="21" t="n">
        <v>0</v>
      </c>
      <c r="AE803" s="21" t="n">
        <v>0</v>
      </c>
      <c r="AF803" s="21" t="n">
        <v>0</v>
      </c>
      <c r="AG803" s="21" t="n">
        <v>0</v>
      </c>
      <c r="AH803" s="21" t="n">
        <v>0</v>
      </c>
      <c r="AI803" s="21" t="n">
        <v>0</v>
      </c>
      <c r="AJ803" s="21" t="n">
        <v>0</v>
      </c>
      <c r="AK803" s="21" t="n">
        <v>0</v>
      </c>
      <c r="AL803" s="21" t="n">
        <v>0</v>
      </c>
      <c r="AM803" s="21" t="n">
        <v>0</v>
      </c>
      <c r="AN803" s="21" t="n">
        <v>0</v>
      </c>
      <c r="AO803" s="21" t="n">
        <v>0</v>
      </c>
      <c r="AP803" s="21" t="n">
        <v>0</v>
      </c>
      <c r="AQ803" s="21" t="n">
        <v>0</v>
      </c>
      <c r="AR803" s="21" t="n">
        <v>0</v>
      </c>
      <c r="AS803" s="21" t="n">
        <v>0</v>
      </c>
      <c r="AT803" s="19">
        <f t="array" ref="AT803:AT844">MMULT(MINVERSE($D$803:$AS$844),$D$55:$D$96)</f>
        <v/>
      </c>
    </row>
    <row r="804">
      <c r="D804" s="21">
        <f>$B$19</f>
        <v/>
      </c>
      <c r="E804" s="21">
        <f>$B$20</f>
        <v/>
      </c>
      <c r="F804" s="21">
        <f>-$B$19</f>
        <v/>
      </c>
      <c r="G804" s="21">
        <f>$B$21</f>
        <v/>
      </c>
      <c r="H804" s="21" t="n">
        <v>0</v>
      </c>
      <c r="I804" s="21" t="n">
        <v>0</v>
      </c>
      <c r="J804" s="21" t="n">
        <v>0</v>
      </c>
      <c r="K804" s="21" t="n">
        <v>0</v>
      </c>
      <c r="L804" s="21" t="n">
        <v>0</v>
      </c>
      <c r="M804" s="21" t="n">
        <v>0</v>
      </c>
      <c r="N804" s="21" t="n">
        <v>0</v>
      </c>
      <c r="O804" s="21" t="n">
        <v>0</v>
      </c>
      <c r="P804" s="21" t="n">
        <v>0</v>
      </c>
      <c r="Q804" s="21" t="n">
        <v>0</v>
      </c>
      <c r="R804" s="21" t="n">
        <v>0</v>
      </c>
      <c r="S804" s="21" t="n">
        <v>0</v>
      </c>
      <c r="T804" s="21" t="n">
        <v>0</v>
      </c>
      <c r="U804" s="21" t="n">
        <v>0</v>
      </c>
      <c r="V804" s="21" t="n">
        <v>0</v>
      </c>
      <c r="W804" s="21" t="n">
        <v>0</v>
      </c>
      <c r="X804" s="21" t="n">
        <v>0</v>
      </c>
      <c r="Y804" s="21" t="n">
        <v>0</v>
      </c>
      <c r="Z804" s="21" t="n">
        <v>0</v>
      </c>
      <c r="AA804" s="21" t="n">
        <v>0</v>
      </c>
      <c r="AB804" s="21" t="n">
        <v>0</v>
      </c>
      <c r="AC804" s="21" t="n">
        <v>0</v>
      </c>
      <c r="AD804" s="21" t="n">
        <v>0</v>
      </c>
      <c r="AE804" s="21" t="n">
        <v>0</v>
      </c>
      <c r="AF804" s="21" t="n">
        <v>0</v>
      </c>
      <c r="AG804" s="21" t="n">
        <v>0</v>
      </c>
      <c r="AH804" s="21" t="n">
        <v>0</v>
      </c>
      <c r="AI804" s="21" t="n">
        <v>0</v>
      </c>
      <c r="AJ804" s="21" t="n">
        <v>0</v>
      </c>
      <c r="AK804" s="21" t="n">
        <v>0</v>
      </c>
      <c r="AL804" s="21" t="n">
        <v>0</v>
      </c>
      <c r="AM804" s="21" t="n">
        <v>0</v>
      </c>
      <c r="AN804" s="21" t="n">
        <v>0</v>
      </c>
      <c r="AO804" s="21" t="n">
        <v>0</v>
      </c>
      <c r="AP804" s="21" t="n">
        <v>0</v>
      </c>
      <c r="AQ804" s="21" t="n">
        <v>0</v>
      </c>
      <c r="AR804" s="21" t="n">
        <v>0</v>
      </c>
      <c r="AS804" s="21" t="n">
        <v>0</v>
      </c>
      <c r="AT804" s="19" t="n"/>
    </row>
    <row r="805">
      <c r="D805" s="21">
        <f>-$B$18</f>
        <v/>
      </c>
      <c r="E805" s="21">
        <f>-$B$19</f>
        <v/>
      </c>
      <c r="F805" s="21">
        <f>2*$B$18+$D$782</f>
        <v/>
      </c>
      <c r="G805" s="21">
        <f>0</f>
        <v/>
      </c>
      <c r="H805" s="21">
        <f>-$B$18</f>
        <v/>
      </c>
      <c r="I805" s="21">
        <f>$B$19</f>
        <v/>
      </c>
      <c r="J805" s="21" t="n">
        <v>0</v>
      </c>
      <c r="K805" s="21" t="n">
        <v>0</v>
      </c>
      <c r="L805" s="21" t="n">
        <v>0</v>
      </c>
      <c r="M805" s="21" t="n">
        <v>0</v>
      </c>
      <c r="N805" s="21" t="n">
        <v>0</v>
      </c>
      <c r="O805" s="21" t="n">
        <v>0</v>
      </c>
      <c r="P805" s="21" t="n">
        <v>0</v>
      </c>
      <c r="Q805" s="21" t="n">
        <v>0</v>
      </c>
      <c r="R805" s="21" t="n">
        <v>0</v>
      </c>
      <c r="S805" s="21" t="n">
        <v>0</v>
      </c>
      <c r="T805" s="21" t="n">
        <v>0</v>
      </c>
      <c r="U805" s="21" t="n">
        <v>0</v>
      </c>
      <c r="V805" s="21" t="n">
        <v>0</v>
      </c>
      <c r="W805" s="21" t="n">
        <v>0</v>
      </c>
      <c r="X805" s="21" t="n">
        <v>0</v>
      </c>
      <c r="Y805" s="21" t="n">
        <v>0</v>
      </c>
      <c r="Z805" s="21" t="n">
        <v>0</v>
      </c>
      <c r="AA805" s="21" t="n">
        <v>0</v>
      </c>
      <c r="AB805" s="21" t="n">
        <v>0</v>
      </c>
      <c r="AC805" s="21" t="n">
        <v>0</v>
      </c>
      <c r="AD805" s="21" t="n">
        <v>0</v>
      </c>
      <c r="AE805" s="21" t="n">
        <v>0</v>
      </c>
      <c r="AF805" s="21" t="n">
        <v>0</v>
      </c>
      <c r="AG805" s="21" t="n">
        <v>0</v>
      </c>
      <c r="AH805" s="21" t="n">
        <v>0</v>
      </c>
      <c r="AI805" s="21" t="n">
        <v>0</v>
      </c>
      <c r="AJ805" s="21" t="n">
        <v>0</v>
      </c>
      <c r="AK805" s="21" t="n">
        <v>0</v>
      </c>
      <c r="AL805" s="21" t="n">
        <v>0</v>
      </c>
      <c r="AM805" s="21" t="n">
        <v>0</v>
      </c>
      <c r="AN805" s="21" t="n">
        <v>0</v>
      </c>
      <c r="AO805" s="21" t="n">
        <v>0</v>
      </c>
      <c r="AP805" s="21" t="n">
        <v>0</v>
      </c>
      <c r="AQ805" s="21" t="n">
        <v>0</v>
      </c>
      <c r="AR805" s="21" t="n">
        <v>0</v>
      </c>
      <c r="AS805" s="21" t="n">
        <v>0</v>
      </c>
      <c r="AT805" s="19" t="n"/>
    </row>
    <row r="806">
      <c r="D806" s="21">
        <f>$B$19</f>
        <v/>
      </c>
      <c r="E806" s="21">
        <f>$B$21</f>
        <v/>
      </c>
      <c r="F806" s="21">
        <f>0</f>
        <v/>
      </c>
      <c r="G806" s="21">
        <f>2*$B$20</f>
        <v/>
      </c>
      <c r="H806" s="21">
        <f>-$B$19</f>
        <v/>
      </c>
      <c r="I806" s="21">
        <f>$B$21</f>
        <v/>
      </c>
      <c r="J806" s="21" t="n">
        <v>0</v>
      </c>
      <c r="K806" s="21" t="n">
        <v>0</v>
      </c>
      <c r="L806" s="21" t="n">
        <v>0</v>
      </c>
      <c r="M806" s="21" t="n">
        <v>0</v>
      </c>
      <c r="N806" s="21" t="n">
        <v>0</v>
      </c>
      <c r="O806" s="21" t="n">
        <v>0</v>
      </c>
      <c r="P806" s="21" t="n">
        <v>0</v>
      </c>
      <c r="Q806" s="21" t="n">
        <v>0</v>
      </c>
      <c r="R806" s="21" t="n">
        <v>0</v>
      </c>
      <c r="S806" s="21" t="n">
        <v>0</v>
      </c>
      <c r="T806" s="21" t="n">
        <v>0</v>
      </c>
      <c r="U806" s="21" t="n">
        <v>0</v>
      </c>
      <c r="V806" s="21" t="n">
        <v>0</v>
      </c>
      <c r="W806" s="21" t="n">
        <v>0</v>
      </c>
      <c r="X806" s="21" t="n">
        <v>0</v>
      </c>
      <c r="Y806" s="21" t="n">
        <v>0</v>
      </c>
      <c r="Z806" s="21" t="n">
        <v>0</v>
      </c>
      <c r="AA806" s="21" t="n">
        <v>0</v>
      </c>
      <c r="AB806" s="21" t="n">
        <v>0</v>
      </c>
      <c r="AC806" s="21" t="n">
        <v>0</v>
      </c>
      <c r="AD806" s="21" t="n">
        <v>0</v>
      </c>
      <c r="AE806" s="21" t="n">
        <v>0</v>
      </c>
      <c r="AF806" s="21" t="n">
        <v>0</v>
      </c>
      <c r="AG806" s="21" t="n">
        <v>0</v>
      </c>
      <c r="AH806" s="21" t="n">
        <v>0</v>
      </c>
      <c r="AI806" s="21" t="n">
        <v>0</v>
      </c>
      <c r="AJ806" s="21" t="n">
        <v>0</v>
      </c>
      <c r="AK806" s="21" t="n">
        <v>0</v>
      </c>
      <c r="AL806" s="21" t="n">
        <v>0</v>
      </c>
      <c r="AM806" s="21" t="n">
        <v>0</v>
      </c>
      <c r="AN806" s="21" t="n">
        <v>0</v>
      </c>
      <c r="AO806" s="21" t="n">
        <v>0</v>
      </c>
      <c r="AP806" s="21" t="n">
        <v>0</v>
      </c>
      <c r="AQ806" s="21" t="n">
        <v>0</v>
      </c>
      <c r="AR806" s="21" t="n">
        <v>0</v>
      </c>
      <c r="AS806" s="21" t="n">
        <v>0</v>
      </c>
      <c r="AT806" s="19" t="n"/>
    </row>
    <row r="807">
      <c r="D807" s="21" t="n">
        <v>0</v>
      </c>
      <c r="E807" s="21" t="n">
        <v>0</v>
      </c>
      <c r="F807" s="21">
        <f>-$B$18</f>
        <v/>
      </c>
      <c r="G807" s="21">
        <f>-$B$19</f>
        <v/>
      </c>
      <c r="H807" s="21">
        <f>2*$B$18+$D$783</f>
        <v/>
      </c>
      <c r="I807" s="21">
        <f>0</f>
        <v/>
      </c>
      <c r="J807" s="21">
        <f>-$B$18</f>
        <v/>
      </c>
      <c r="K807" s="21">
        <f>$B$19</f>
        <v/>
      </c>
      <c r="L807" s="21" t="n">
        <v>0</v>
      </c>
      <c r="M807" s="21" t="n">
        <v>0</v>
      </c>
      <c r="N807" s="21" t="n">
        <v>0</v>
      </c>
      <c r="O807" s="21" t="n">
        <v>0</v>
      </c>
      <c r="P807" s="21" t="n">
        <v>0</v>
      </c>
      <c r="Q807" s="21" t="n">
        <v>0</v>
      </c>
      <c r="R807" s="21" t="n">
        <v>0</v>
      </c>
      <c r="S807" s="21" t="n">
        <v>0</v>
      </c>
      <c r="T807" s="21" t="n">
        <v>0</v>
      </c>
      <c r="U807" s="21" t="n">
        <v>0</v>
      </c>
      <c r="V807" s="21" t="n">
        <v>0</v>
      </c>
      <c r="W807" s="21" t="n">
        <v>0</v>
      </c>
      <c r="X807" s="21" t="n">
        <v>0</v>
      </c>
      <c r="Y807" s="21" t="n">
        <v>0</v>
      </c>
      <c r="Z807" s="21" t="n">
        <v>0</v>
      </c>
      <c r="AA807" s="21" t="n">
        <v>0</v>
      </c>
      <c r="AB807" s="21" t="n">
        <v>0</v>
      </c>
      <c r="AC807" s="21" t="n">
        <v>0</v>
      </c>
      <c r="AD807" s="21" t="n">
        <v>0</v>
      </c>
      <c r="AE807" s="21" t="n">
        <v>0</v>
      </c>
      <c r="AF807" s="21" t="n">
        <v>0</v>
      </c>
      <c r="AG807" s="21" t="n">
        <v>0</v>
      </c>
      <c r="AH807" s="21" t="n">
        <v>0</v>
      </c>
      <c r="AI807" s="21" t="n">
        <v>0</v>
      </c>
      <c r="AJ807" s="21" t="n">
        <v>0</v>
      </c>
      <c r="AK807" s="21" t="n">
        <v>0</v>
      </c>
      <c r="AL807" s="21" t="n">
        <v>0</v>
      </c>
      <c r="AM807" s="21" t="n">
        <v>0</v>
      </c>
      <c r="AN807" s="21" t="n">
        <v>0</v>
      </c>
      <c r="AO807" s="21" t="n">
        <v>0</v>
      </c>
      <c r="AP807" s="21" t="n">
        <v>0</v>
      </c>
      <c r="AQ807" s="21" t="n">
        <v>0</v>
      </c>
      <c r="AR807" s="21" t="n">
        <v>0</v>
      </c>
      <c r="AS807" s="21" t="n">
        <v>0</v>
      </c>
      <c r="AT807" s="19" t="n"/>
    </row>
    <row r="808">
      <c r="D808" s="21" t="n">
        <v>0</v>
      </c>
      <c r="E808" s="21" t="n">
        <v>0</v>
      </c>
      <c r="F808" s="21">
        <f>$B$19</f>
        <v/>
      </c>
      <c r="G808" s="21">
        <f>$B$21</f>
        <v/>
      </c>
      <c r="H808" s="21">
        <f>0</f>
        <v/>
      </c>
      <c r="I808" s="21">
        <f>2*$B$20</f>
        <v/>
      </c>
      <c r="J808" s="21">
        <f>-$B$19</f>
        <v/>
      </c>
      <c r="K808" s="21">
        <f>$B$21</f>
        <v/>
      </c>
      <c r="L808" s="21" t="n">
        <v>0</v>
      </c>
      <c r="M808" s="21" t="n">
        <v>0</v>
      </c>
      <c r="N808" s="21" t="n">
        <v>0</v>
      </c>
      <c r="O808" s="21" t="n">
        <v>0</v>
      </c>
      <c r="P808" s="21" t="n">
        <v>0</v>
      </c>
      <c r="Q808" s="21" t="n">
        <v>0</v>
      </c>
      <c r="R808" s="21" t="n">
        <v>0</v>
      </c>
      <c r="S808" s="21" t="n">
        <v>0</v>
      </c>
      <c r="T808" s="21" t="n">
        <v>0</v>
      </c>
      <c r="U808" s="21" t="n">
        <v>0</v>
      </c>
      <c r="V808" s="21" t="n">
        <v>0</v>
      </c>
      <c r="W808" s="21" t="n">
        <v>0</v>
      </c>
      <c r="X808" s="21" t="n">
        <v>0</v>
      </c>
      <c r="Y808" s="21" t="n">
        <v>0</v>
      </c>
      <c r="Z808" s="21" t="n">
        <v>0</v>
      </c>
      <c r="AA808" s="21" t="n">
        <v>0</v>
      </c>
      <c r="AB808" s="21" t="n">
        <v>0</v>
      </c>
      <c r="AC808" s="21" t="n">
        <v>0</v>
      </c>
      <c r="AD808" s="21" t="n">
        <v>0</v>
      </c>
      <c r="AE808" s="21" t="n">
        <v>0</v>
      </c>
      <c r="AF808" s="21" t="n">
        <v>0</v>
      </c>
      <c r="AG808" s="21" t="n">
        <v>0</v>
      </c>
      <c r="AH808" s="21" t="n">
        <v>0</v>
      </c>
      <c r="AI808" s="21" t="n">
        <v>0</v>
      </c>
      <c r="AJ808" s="21" t="n">
        <v>0</v>
      </c>
      <c r="AK808" s="21" t="n">
        <v>0</v>
      </c>
      <c r="AL808" s="21" t="n">
        <v>0</v>
      </c>
      <c r="AM808" s="21" t="n">
        <v>0</v>
      </c>
      <c r="AN808" s="21" t="n">
        <v>0</v>
      </c>
      <c r="AO808" s="21" t="n">
        <v>0</v>
      </c>
      <c r="AP808" s="21" t="n">
        <v>0</v>
      </c>
      <c r="AQ808" s="21" t="n">
        <v>0</v>
      </c>
      <c r="AR808" s="21" t="n">
        <v>0</v>
      </c>
      <c r="AS808" s="21" t="n">
        <v>0</v>
      </c>
      <c r="AT808" s="19" t="n"/>
    </row>
    <row r="809">
      <c r="D809" s="21" t="n">
        <v>0</v>
      </c>
      <c r="E809" s="21" t="n">
        <v>0</v>
      </c>
      <c r="F809" s="21" t="n">
        <v>0</v>
      </c>
      <c r="G809" s="21" t="n">
        <v>0</v>
      </c>
      <c r="H809" s="21">
        <f>-$B$18</f>
        <v/>
      </c>
      <c r="I809" s="21">
        <f>-$B$19</f>
        <v/>
      </c>
      <c r="J809" s="21">
        <f>2*$B$18+$D$784</f>
        <v/>
      </c>
      <c r="K809" s="21">
        <f>0</f>
        <v/>
      </c>
      <c r="L809" s="21">
        <f>-$B$18</f>
        <v/>
      </c>
      <c r="M809" s="21">
        <f>$B$19</f>
        <v/>
      </c>
      <c r="N809" s="21" t="n">
        <v>0</v>
      </c>
      <c r="O809" s="21" t="n">
        <v>0</v>
      </c>
      <c r="P809" s="21" t="n">
        <v>0</v>
      </c>
      <c r="Q809" s="21" t="n">
        <v>0</v>
      </c>
      <c r="R809" s="21" t="n">
        <v>0</v>
      </c>
      <c r="S809" s="21" t="n">
        <v>0</v>
      </c>
      <c r="T809" s="21" t="n">
        <v>0</v>
      </c>
      <c r="U809" s="21" t="n">
        <v>0</v>
      </c>
      <c r="V809" s="21" t="n">
        <v>0</v>
      </c>
      <c r="W809" s="21" t="n">
        <v>0</v>
      </c>
      <c r="X809" s="21" t="n">
        <v>0</v>
      </c>
      <c r="Y809" s="21" t="n">
        <v>0</v>
      </c>
      <c r="Z809" s="21" t="n">
        <v>0</v>
      </c>
      <c r="AA809" s="21" t="n">
        <v>0</v>
      </c>
      <c r="AB809" s="21" t="n">
        <v>0</v>
      </c>
      <c r="AC809" s="21" t="n">
        <v>0</v>
      </c>
      <c r="AD809" s="21" t="n">
        <v>0</v>
      </c>
      <c r="AE809" s="21" t="n">
        <v>0</v>
      </c>
      <c r="AF809" s="21" t="n">
        <v>0</v>
      </c>
      <c r="AG809" s="21" t="n">
        <v>0</v>
      </c>
      <c r="AH809" s="21" t="n">
        <v>0</v>
      </c>
      <c r="AI809" s="21" t="n">
        <v>0</v>
      </c>
      <c r="AJ809" s="21" t="n">
        <v>0</v>
      </c>
      <c r="AK809" s="21" t="n">
        <v>0</v>
      </c>
      <c r="AL809" s="21" t="n">
        <v>0</v>
      </c>
      <c r="AM809" s="21" t="n">
        <v>0</v>
      </c>
      <c r="AN809" s="21" t="n">
        <v>0</v>
      </c>
      <c r="AO809" s="21" t="n">
        <v>0</v>
      </c>
      <c r="AP809" s="21" t="n">
        <v>0</v>
      </c>
      <c r="AQ809" s="21" t="n">
        <v>0</v>
      </c>
      <c r="AR809" s="21" t="n">
        <v>0</v>
      </c>
      <c r="AS809" s="21" t="n">
        <v>0</v>
      </c>
      <c r="AT809" s="19" t="n"/>
    </row>
    <row r="810">
      <c r="D810" s="21" t="n">
        <v>0</v>
      </c>
      <c r="E810" s="21" t="n">
        <v>0</v>
      </c>
      <c r="F810" s="21" t="n">
        <v>0</v>
      </c>
      <c r="G810" s="21" t="n">
        <v>0</v>
      </c>
      <c r="H810" s="21">
        <f>$B$19</f>
        <v/>
      </c>
      <c r="I810" s="21">
        <f>$B$21</f>
        <v/>
      </c>
      <c r="J810" s="21">
        <f>0</f>
        <v/>
      </c>
      <c r="K810" s="21">
        <f>2*$B$20</f>
        <v/>
      </c>
      <c r="L810" s="21">
        <f>-$B$19</f>
        <v/>
      </c>
      <c r="M810" s="21">
        <f>$B$21</f>
        <v/>
      </c>
      <c r="N810" s="21" t="n">
        <v>0</v>
      </c>
      <c r="O810" s="21" t="n">
        <v>0</v>
      </c>
      <c r="P810" s="21" t="n">
        <v>0</v>
      </c>
      <c r="Q810" s="21" t="n">
        <v>0</v>
      </c>
      <c r="R810" s="21" t="n">
        <v>0</v>
      </c>
      <c r="S810" s="21" t="n">
        <v>0</v>
      </c>
      <c r="T810" s="21" t="n">
        <v>0</v>
      </c>
      <c r="U810" s="21" t="n">
        <v>0</v>
      </c>
      <c r="V810" s="21" t="n">
        <v>0</v>
      </c>
      <c r="W810" s="21" t="n">
        <v>0</v>
      </c>
      <c r="X810" s="21" t="n">
        <v>0</v>
      </c>
      <c r="Y810" s="21" t="n">
        <v>0</v>
      </c>
      <c r="Z810" s="21" t="n">
        <v>0</v>
      </c>
      <c r="AA810" s="21" t="n">
        <v>0</v>
      </c>
      <c r="AB810" s="21" t="n">
        <v>0</v>
      </c>
      <c r="AC810" s="21" t="n">
        <v>0</v>
      </c>
      <c r="AD810" s="21" t="n">
        <v>0</v>
      </c>
      <c r="AE810" s="21" t="n">
        <v>0</v>
      </c>
      <c r="AF810" s="21" t="n">
        <v>0</v>
      </c>
      <c r="AG810" s="21" t="n">
        <v>0</v>
      </c>
      <c r="AH810" s="21" t="n">
        <v>0</v>
      </c>
      <c r="AI810" s="21" t="n">
        <v>0</v>
      </c>
      <c r="AJ810" s="21" t="n">
        <v>0</v>
      </c>
      <c r="AK810" s="21" t="n">
        <v>0</v>
      </c>
      <c r="AL810" s="21" t="n">
        <v>0</v>
      </c>
      <c r="AM810" s="21" t="n">
        <v>0</v>
      </c>
      <c r="AN810" s="21" t="n">
        <v>0</v>
      </c>
      <c r="AO810" s="21" t="n">
        <v>0</v>
      </c>
      <c r="AP810" s="21" t="n">
        <v>0</v>
      </c>
      <c r="AQ810" s="21" t="n">
        <v>0</v>
      </c>
      <c r="AR810" s="21" t="n">
        <v>0</v>
      </c>
      <c r="AS810" s="21" t="n">
        <v>0</v>
      </c>
      <c r="AT810" s="19" t="n"/>
    </row>
    <row r="811">
      <c r="D811" s="21" t="n">
        <v>0</v>
      </c>
      <c r="E811" s="21" t="n">
        <v>0</v>
      </c>
      <c r="F811" s="21" t="n">
        <v>0</v>
      </c>
      <c r="G811" s="21" t="n">
        <v>0</v>
      </c>
      <c r="H811" s="21" t="n">
        <v>0</v>
      </c>
      <c r="I811" s="21" t="n">
        <v>0</v>
      </c>
      <c r="J811" s="21">
        <f>-$B$18</f>
        <v/>
      </c>
      <c r="K811" s="21">
        <f>-$B$19</f>
        <v/>
      </c>
      <c r="L811" s="21">
        <f>2*$B$18+$D$785</f>
        <v/>
      </c>
      <c r="M811" s="21">
        <f>0</f>
        <v/>
      </c>
      <c r="N811" s="21">
        <f>-$B$18</f>
        <v/>
      </c>
      <c r="O811" s="21">
        <f>$B$19</f>
        <v/>
      </c>
      <c r="P811" s="21" t="n">
        <v>0</v>
      </c>
      <c r="Q811" s="21" t="n">
        <v>0</v>
      </c>
      <c r="R811" s="21" t="n">
        <v>0</v>
      </c>
      <c r="S811" s="21" t="n">
        <v>0</v>
      </c>
      <c r="T811" s="21" t="n">
        <v>0</v>
      </c>
      <c r="U811" s="21" t="n">
        <v>0</v>
      </c>
      <c r="V811" s="21" t="n">
        <v>0</v>
      </c>
      <c r="W811" s="21" t="n">
        <v>0</v>
      </c>
      <c r="X811" s="21" t="n">
        <v>0</v>
      </c>
      <c r="Y811" s="21" t="n">
        <v>0</v>
      </c>
      <c r="Z811" s="21" t="n">
        <v>0</v>
      </c>
      <c r="AA811" s="21" t="n">
        <v>0</v>
      </c>
      <c r="AB811" s="21" t="n">
        <v>0</v>
      </c>
      <c r="AC811" s="21" t="n">
        <v>0</v>
      </c>
      <c r="AD811" s="21" t="n">
        <v>0</v>
      </c>
      <c r="AE811" s="21" t="n">
        <v>0</v>
      </c>
      <c r="AF811" s="21" t="n">
        <v>0</v>
      </c>
      <c r="AG811" s="21" t="n">
        <v>0</v>
      </c>
      <c r="AH811" s="21" t="n">
        <v>0</v>
      </c>
      <c r="AI811" s="21" t="n">
        <v>0</v>
      </c>
      <c r="AJ811" s="21" t="n">
        <v>0</v>
      </c>
      <c r="AK811" s="21" t="n">
        <v>0</v>
      </c>
      <c r="AL811" s="21" t="n">
        <v>0</v>
      </c>
      <c r="AM811" s="21" t="n">
        <v>0</v>
      </c>
      <c r="AN811" s="21" t="n">
        <v>0</v>
      </c>
      <c r="AO811" s="21" t="n">
        <v>0</v>
      </c>
      <c r="AP811" s="21" t="n">
        <v>0</v>
      </c>
      <c r="AQ811" s="21" t="n">
        <v>0</v>
      </c>
      <c r="AR811" s="21" t="n">
        <v>0</v>
      </c>
      <c r="AS811" s="21" t="n">
        <v>0</v>
      </c>
      <c r="AT811" s="19" t="n"/>
    </row>
    <row r="812">
      <c r="D812" s="21" t="n">
        <v>0</v>
      </c>
      <c r="E812" s="21" t="n">
        <v>0</v>
      </c>
      <c r="F812" s="21" t="n">
        <v>0</v>
      </c>
      <c r="G812" s="21" t="n">
        <v>0</v>
      </c>
      <c r="H812" s="21" t="n">
        <v>0</v>
      </c>
      <c r="I812" s="21" t="n">
        <v>0</v>
      </c>
      <c r="J812" s="21">
        <f>$B$19</f>
        <v/>
      </c>
      <c r="K812" s="21">
        <f>$B$21</f>
        <v/>
      </c>
      <c r="L812" s="21">
        <f>0</f>
        <v/>
      </c>
      <c r="M812" s="21">
        <f>2*$B$20</f>
        <v/>
      </c>
      <c r="N812" s="21">
        <f>-$B$19</f>
        <v/>
      </c>
      <c r="O812" s="21">
        <f>$B$21</f>
        <v/>
      </c>
      <c r="P812" s="21" t="n">
        <v>0</v>
      </c>
      <c r="Q812" s="21" t="n">
        <v>0</v>
      </c>
      <c r="R812" s="21" t="n">
        <v>0</v>
      </c>
      <c r="S812" s="21" t="n">
        <v>0</v>
      </c>
      <c r="T812" s="21" t="n">
        <v>0</v>
      </c>
      <c r="U812" s="21" t="n">
        <v>0</v>
      </c>
      <c r="V812" s="21" t="n">
        <v>0</v>
      </c>
      <c r="W812" s="21" t="n">
        <v>0</v>
      </c>
      <c r="X812" s="21" t="n">
        <v>0</v>
      </c>
      <c r="Y812" s="21" t="n">
        <v>0</v>
      </c>
      <c r="Z812" s="21" t="n">
        <v>0</v>
      </c>
      <c r="AA812" s="21" t="n">
        <v>0</v>
      </c>
      <c r="AB812" s="21" t="n">
        <v>0</v>
      </c>
      <c r="AC812" s="21" t="n">
        <v>0</v>
      </c>
      <c r="AD812" s="21" t="n">
        <v>0</v>
      </c>
      <c r="AE812" s="21" t="n">
        <v>0</v>
      </c>
      <c r="AF812" s="21" t="n">
        <v>0</v>
      </c>
      <c r="AG812" s="21" t="n">
        <v>0</v>
      </c>
      <c r="AH812" s="21" t="n">
        <v>0</v>
      </c>
      <c r="AI812" s="21" t="n">
        <v>0</v>
      </c>
      <c r="AJ812" s="21" t="n">
        <v>0</v>
      </c>
      <c r="AK812" s="21" t="n">
        <v>0</v>
      </c>
      <c r="AL812" s="21" t="n">
        <v>0</v>
      </c>
      <c r="AM812" s="21" t="n">
        <v>0</v>
      </c>
      <c r="AN812" s="21" t="n">
        <v>0</v>
      </c>
      <c r="AO812" s="21" t="n">
        <v>0</v>
      </c>
      <c r="AP812" s="21" t="n">
        <v>0</v>
      </c>
      <c r="AQ812" s="21" t="n">
        <v>0</v>
      </c>
      <c r="AR812" s="21" t="n">
        <v>0</v>
      </c>
      <c r="AS812" s="21" t="n">
        <v>0</v>
      </c>
      <c r="AT812" s="19" t="n"/>
    </row>
    <row r="813">
      <c r="D813" s="21" t="n">
        <v>0</v>
      </c>
      <c r="E813" s="21" t="n">
        <v>0</v>
      </c>
      <c r="F813" s="21" t="n">
        <v>0</v>
      </c>
      <c r="G813" s="21" t="n">
        <v>0</v>
      </c>
      <c r="H813" s="21" t="n">
        <v>0</v>
      </c>
      <c r="I813" s="21" t="n">
        <v>0</v>
      </c>
      <c r="J813" s="21" t="n">
        <v>0</v>
      </c>
      <c r="K813" s="21" t="n">
        <v>0</v>
      </c>
      <c r="L813" s="21">
        <f>-$B$18</f>
        <v/>
      </c>
      <c r="M813" s="21">
        <f>-$B$19</f>
        <v/>
      </c>
      <c r="N813" s="21">
        <f>2*$B$18+$D$786</f>
        <v/>
      </c>
      <c r="O813" s="21">
        <f>0</f>
        <v/>
      </c>
      <c r="P813" s="21">
        <f>-$B$18</f>
        <v/>
      </c>
      <c r="Q813" s="21">
        <f>$B$19</f>
        <v/>
      </c>
      <c r="R813" s="21" t="n">
        <v>0</v>
      </c>
      <c r="S813" s="21" t="n">
        <v>0</v>
      </c>
      <c r="T813" s="21" t="n">
        <v>0</v>
      </c>
      <c r="U813" s="21" t="n">
        <v>0</v>
      </c>
      <c r="V813" s="21" t="n">
        <v>0</v>
      </c>
      <c r="W813" s="21" t="n">
        <v>0</v>
      </c>
      <c r="X813" s="21" t="n">
        <v>0</v>
      </c>
      <c r="Y813" s="21" t="n">
        <v>0</v>
      </c>
      <c r="Z813" s="21" t="n">
        <v>0</v>
      </c>
      <c r="AA813" s="21" t="n">
        <v>0</v>
      </c>
      <c r="AB813" s="21" t="n">
        <v>0</v>
      </c>
      <c r="AC813" s="21" t="n">
        <v>0</v>
      </c>
      <c r="AD813" s="21" t="n">
        <v>0</v>
      </c>
      <c r="AE813" s="21" t="n">
        <v>0</v>
      </c>
      <c r="AF813" s="21" t="n">
        <v>0</v>
      </c>
      <c r="AG813" s="21" t="n">
        <v>0</v>
      </c>
      <c r="AH813" s="21" t="n">
        <v>0</v>
      </c>
      <c r="AI813" s="21" t="n">
        <v>0</v>
      </c>
      <c r="AJ813" s="21" t="n">
        <v>0</v>
      </c>
      <c r="AK813" s="21" t="n">
        <v>0</v>
      </c>
      <c r="AL813" s="21" t="n">
        <v>0</v>
      </c>
      <c r="AM813" s="21" t="n">
        <v>0</v>
      </c>
      <c r="AN813" s="21" t="n">
        <v>0</v>
      </c>
      <c r="AO813" s="21" t="n">
        <v>0</v>
      </c>
      <c r="AP813" s="21" t="n">
        <v>0</v>
      </c>
      <c r="AQ813" s="21" t="n">
        <v>0</v>
      </c>
      <c r="AR813" s="21" t="n">
        <v>0</v>
      </c>
      <c r="AS813" s="21" t="n">
        <v>0</v>
      </c>
      <c r="AT813" s="19" t="n"/>
    </row>
    <row r="814">
      <c r="D814" s="21" t="n">
        <v>0</v>
      </c>
      <c r="E814" s="21" t="n">
        <v>0</v>
      </c>
      <c r="F814" s="21" t="n">
        <v>0</v>
      </c>
      <c r="G814" s="21" t="n">
        <v>0</v>
      </c>
      <c r="H814" s="21" t="n">
        <v>0</v>
      </c>
      <c r="I814" s="21" t="n">
        <v>0</v>
      </c>
      <c r="J814" s="21" t="n">
        <v>0</v>
      </c>
      <c r="K814" s="21" t="n">
        <v>0</v>
      </c>
      <c r="L814" s="21">
        <f>$B$19</f>
        <v/>
      </c>
      <c r="M814" s="21">
        <f>$B$21</f>
        <v/>
      </c>
      <c r="N814" s="21">
        <f>0</f>
        <v/>
      </c>
      <c r="O814" s="21">
        <f>2*$B$20</f>
        <v/>
      </c>
      <c r="P814" s="21">
        <f>-$B$19</f>
        <v/>
      </c>
      <c r="Q814" s="21">
        <f>$B$21</f>
        <v/>
      </c>
      <c r="R814" s="21" t="n">
        <v>0</v>
      </c>
      <c r="S814" s="21" t="n">
        <v>0</v>
      </c>
      <c r="T814" s="21" t="n">
        <v>0</v>
      </c>
      <c r="U814" s="21" t="n">
        <v>0</v>
      </c>
      <c r="V814" s="21" t="n">
        <v>0</v>
      </c>
      <c r="W814" s="21" t="n">
        <v>0</v>
      </c>
      <c r="X814" s="21" t="n">
        <v>0</v>
      </c>
      <c r="Y814" s="21" t="n">
        <v>0</v>
      </c>
      <c r="Z814" s="21" t="n">
        <v>0</v>
      </c>
      <c r="AA814" s="21" t="n">
        <v>0</v>
      </c>
      <c r="AB814" s="21" t="n">
        <v>0</v>
      </c>
      <c r="AC814" s="21" t="n">
        <v>0</v>
      </c>
      <c r="AD814" s="21" t="n">
        <v>0</v>
      </c>
      <c r="AE814" s="21" t="n">
        <v>0</v>
      </c>
      <c r="AF814" s="21" t="n">
        <v>0</v>
      </c>
      <c r="AG814" s="21" t="n">
        <v>0</v>
      </c>
      <c r="AH814" s="21" t="n">
        <v>0</v>
      </c>
      <c r="AI814" s="21" t="n">
        <v>0</v>
      </c>
      <c r="AJ814" s="21" t="n">
        <v>0</v>
      </c>
      <c r="AK814" s="21" t="n">
        <v>0</v>
      </c>
      <c r="AL814" s="21" t="n">
        <v>0</v>
      </c>
      <c r="AM814" s="21" t="n">
        <v>0</v>
      </c>
      <c r="AN814" s="21" t="n">
        <v>0</v>
      </c>
      <c r="AO814" s="21" t="n">
        <v>0</v>
      </c>
      <c r="AP814" s="21" t="n">
        <v>0</v>
      </c>
      <c r="AQ814" s="21" t="n">
        <v>0</v>
      </c>
      <c r="AR814" s="21" t="n">
        <v>0</v>
      </c>
      <c r="AS814" s="21" t="n">
        <v>0</v>
      </c>
      <c r="AT814" s="19" t="n"/>
    </row>
    <row r="815">
      <c r="D815" s="21" t="n">
        <v>0</v>
      </c>
      <c r="E815" s="21" t="n">
        <v>0</v>
      </c>
      <c r="F815" s="21" t="n">
        <v>0</v>
      </c>
      <c r="G815" s="21" t="n">
        <v>0</v>
      </c>
      <c r="H815" s="21" t="n">
        <v>0</v>
      </c>
      <c r="I815" s="21" t="n">
        <v>0</v>
      </c>
      <c r="J815" s="21" t="n">
        <v>0</v>
      </c>
      <c r="K815" s="21" t="n">
        <v>0</v>
      </c>
      <c r="L815" s="21" t="n">
        <v>0</v>
      </c>
      <c r="M815" s="21" t="n">
        <v>0</v>
      </c>
      <c r="N815" s="21">
        <f>-$B$18</f>
        <v/>
      </c>
      <c r="O815" s="21">
        <f>-$B$19</f>
        <v/>
      </c>
      <c r="P815" s="21">
        <f>2*$B$18+$D$787</f>
        <v/>
      </c>
      <c r="Q815" s="21">
        <f>0</f>
        <v/>
      </c>
      <c r="R815" s="21">
        <f>-$B$18</f>
        <v/>
      </c>
      <c r="S815" s="21">
        <f>$B$19</f>
        <v/>
      </c>
      <c r="T815" s="21" t="n">
        <v>0</v>
      </c>
      <c r="U815" s="21" t="n">
        <v>0</v>
      </c>
      <c r="V815" s="21" t="n">
        <v>0</v>
      </c>
      <c r="W815" s="21" t="n">
        <v>0</v>
      </c>
      <c r="X815" s="21" t="n">
        <v>0</v>
      </c>
      <c r="Y815" s="21" t="n">
        <v>0</v>
      </c>
      <c r="Z815" s="21" t="n">
        <v>0</v>
      </c>
      <c r="AA815" s="21" t="n">
        <v>0</v>
      </c>
      <c r="AB815" s="21" t="n">
        <v>0</v>
      </c>
      <c r="AC815" s="21" t="n">
        <v>0</v>
      </c>
      <c r="AD815" s="21" t="n">
        <v>0</v>
      </c>
      <c r="AE815" s="21" t="n">
        <v>0</v>
      </c>
      <c r="AF815" s="21" t="n">
        <v>0</v>
      </c>
      <c r="AG815" s="21" t="n">
        <v>0</v>
      </c>
      <c r="AH815" s="21" t="n">
        <v>0</v>
      </c>
      <c r="AI815" s="21" t="n">
        <v>0</v>
      </c>
      <c r="AJ815" s="21" t="n">
        <v>0</v>
      </c>
      <c r="AK815" s="21" t="n">
        <v>0</v>
      </c>
      <c r="AL815" s="21" t="n">
        <v>0</v>
      </c>
      <c r="AM815" s="21" t="n">
        <v>0</v>
      </c>
      <c r="AN815" s="21" t="n">
        <v>0</v>
      </c>
      <c r="AO815" s="21" t="n">
        <v>0</v>
      </c>
      <c r="AP815" s="21" t="n">
        <v>0</v>
      </c>
      <c r="AQ815" s="21" t="n">
        <v>0</v>
      </c>
      <c r="AR815" s="21" t="n">
        <v>0</v>
      </c>
      <c r="AS815" s="21" t="n">
        <v>0</v>
      </c>
      <c r="AT815" s="19" t="n"/>
    </row>
    <row r="816">
      <c r="D816" s="21" t="n">
        <v>0</v>
      </c>
      <c r="E816" s="21" t="n">
        <v>0</v>
      </c>
      <c r="F816" s="21" t="n">
        <v>0</v>
      </c>
      <c r="G816" s="21" t="n">
        <v>0</v>
      </c>
      <c r="H816" s="21" t="n">
        <v>0</v>
      </c>
      <c r="I816" s="21" t="n">
        <v>0</v>
      </c>
      <c r="J816" s="21" t="n">
        <v>0</v>
      </c>
      <c r="K816" s="21" t="n">
        <v>0</v>
      </c>
      <c r="L816" s="21" t="n">
        <v>0</v>
      </c>
      <c r="M816" s="21" t="n">
        <v>0</v>
      </c>
      <c r="N816" s="21">
        <f>$B$19</f>
        <v/>
      </c>
      <c r="O816" s="21">
        <f>$B$21</f>
        <v/>
      </c>
      <c r="P816" s="21">
        <f>0</f>
        <v/>
      </c>
      <c r="Q816" s="21">
        <f>2*$B$20</f>
        <v/>
      </c>
      <c r="R816" s="21">
        <f>-$B$19</f>
        <v/>
      </c>
      <c r="S816" s="21">
        <f>$B$21</f>
        <v/>
      </c>
      <c r="T816" s="21" t="n">
        <v>0</v>
      </c>
      <c r="U816" s="21" t="n">
        <v>0</v>
      </c>
      <c r="V816" s="21" t="n">
        <v>0</v>
      </c>
      <c r="W816" s="21" t="n">
        <v>0</v>
      </c>
      <c r="X816" s="21" t="n">
        <v>0</v>
      </c>
      <c r="Y816" s="21" t="n">
        <v>0</v>
      </c>
      <c r="Z816" s="21" t="n">
        <v>0</v>
      </c>
      <c r="AA816" s="21" t="n">
        <v>0</v>
      </c>
      <c r="AB816" s="21" t="n">
        <v>0</v>
      </c>
      <c r="AC816" s="21" t="n">
        <v>0</v>
      </c>
      <c r="AD816" s="21" t="n">
        <v>0</v>
      </c>
      <c r="AE816" s="21" t="n">
        <v>0</v>
      </c>
      <c r="AF816" s="21" t="n">
        <v>0</v>
      </c>
      <c r="AG816" s="21" t="n">
        <v>0</v>
      </c>
      <c r="AH816" s="21" t="n">
        <v>0</v>
      </c>
      <c r="AI816" s="21" t="n">
        <v>0</v>
      </c>
      <c r="AJ816" s="21" t="n">
        <v>0</v>
      </c>
      <c r="AK816" s="21" t="n">
        <v>0</v>
      </c>
      <c r="AL816" s="21" t="n">
        <v>0</v>
      </c>
      <c r="AM816" s="21" t="n">
        <v>0</v>
      </c>
      <c r="AN816" s="21" t="n">
        <v>0</v>
      </c>
      <c r="AO816" s="21" t="n">
        <v>0</v>
      </c>
      <c r="AP816" s="21" t="n">
        <v>0</v>
      </c>
      <c r="AQ816" s="21" t="n">
        <v>0</v>
      </c>
      <c r="AR816" s="21" t="n">
        <v>0</v>
      </c>
      <c r="AS816" s="21" t="n">
        <v>0</v>
      </c>
      <c r="AT816" s="19" t="n"/>
    </row>
    <row r="817">
      <c r="D817" s="21" t="n">
        <v>0</v>
      </c>
      <c r="E817" s="21" t="n">
        <v>0</v>
      </c>
      <c r="F817" s="21" t="n">
        <v>0</v>
      </c>
      <c r="G817" s="21" t="n">
        <v>0</v>
      </c>
      <c r="H817" s="21" t="n">
        <v>0</v>
      </c>
      <c r="I817" s="21" t="n">
        <v>0</v>
      </c>
      <c r="J817" s="21" t="n">
        <v>0</v>
      </c>
      <c r="K817" s="21" t="n">
        <v>0</v>
      </c>
      <c r="L817" s="21" t="n">
        <v>0</v>
      </c>
      <c r="M817" s="21" t="n">
        <v>0</v>
      </c>
      <c r="N817" s="21" t="n">
        <v>0</v>
      </c>
      <c r="O817" s="21" t="n">
        <v>0</v>
      </c>
      <c r="P817" s="21">
        <f>-$B$18</f>
        <v/>
      </c>
      <c r="Q817" s="21">
        <f>-$B$19</f>
        <v/>
      </c>
      <c r="R817" s="21">
        <f>2*$B$18+$D$788</f>
        <v/>
      </c>
      <c r="S817" s="21">
        <f>0</f>
        <v/>
      </c>
      <c r="T817" s="21">
        <f>-$B$18</f>
        <v/>
      </c>
      <c r="U817" s="21">
        <f>$B$19</f>
        <v/>
      </c>
      <c r="V817" s="21" t="n">
        <v>0</v>
      </c>
      <c r="W817" s="21" t="n">
        <v>0</v>
      </c>
      <c r="X817" s="21" t="n">
        <v>0</v>
      </c>
      <c r="Y817" s="21" t="n">
        <v>0</v>
      </c>
      <c r="Z817" s="21" t="n">
        <v>0</v>
      </c>
      <c r="AA817" s="21" t="n">
        <v>0</v>
      </c>
      <c r="AB817" s="21" t="n">
        <v>0</v>
      </c>
      <c r="AC817" s="21" t="n">
        <v>0</v>
      </c>
      <c r="AD817" s="21" t="n">
        <v>0</v>
      </c>
      <c r="AE817" s="21" t="n">
        <v>0</v>
      </c>
      <c r="AF817" s="21" t="n">
        <v>0</v>
      </c>
      <c r="AG817" s="21" t="n">
        <v>0</v>
      </c>
      <c r="AH817" s="21" t="n">
        <v>0</v>
      </c>
      <c r="AI817" s="21" t="n">
        <v>0</v>
      </c>
      <c r="AJ817" s="21" t="n">
        <v>0</v>
      </c>
      <c r="AK817" s="21" t="n">
        <v>0</v>
      </c>
      <c r="AL817" s="21" t="n">
        <v>0</v>
      </c>
      <c r="AM817" s="21" t="n">
        <v>0</v>
      </c>
      <c r="AN817" s="21" t="n">
        <v>0</v>
      </c>
      <c r="AO817" s="21" t="n">
        <v>0</v>
      </c>
      <c r="AP817" s="21" t="n">
        <v>0</v>
      </c>
      <c r="AQ817" s="21" t="n">
        <v>0</v>
      </c>
      <c r="AR817" s="21" t="n">
        <v>0</v>
      </c>
      <c r="AS817" s="21" t="n">
        <v>0</v>
      </c>
      <c r="AT817" s="19" t="n"/>
    </row>
    <row r="818">
      <c r="D818" s="21" t="n">
        <v>0</v>
      </c>
      <c r="E818" s="21" t="n">
        <v>0</v>
      </c>
      <c r="F818" s="21" t="n">
        <v>0</v>
      </c>
      <c r="G818" s="21" t="n">
        <v>0</v>
      </c>
      <c r="H818" s="21" t="n">
        <v>0</v>
      </c>
      <c r="I818" s="21" t="n">
        <v>0</v>
      </c>
      <c r="J818" s="21" t="n">
        <v>0</v>
      </c>
      <c r="K818" s="21" t="n">
        <v>0</v>
      </c>
      <c r="L818" s="21" t="n">
        <v>0</v>
      </c>
      <c r="M818" s="21" t="n">
        <v>0</v>
      </c>
      <c r="N818" s="21" t="n">
        <v>0</v>
      </c>
      <c r="O818" s="21" t="n">
        <v>0</v>
      </c>
      <c r="P818" s="21">
        <f>$B$19</f>
        <v/>
      </c>
      <c r="Q818" s="21">
        <f>$B$21</f>
        <v/>
      </c>
      <c r="R818" s="21">
        <f>0</f>
        <v/>
      </c>
      <c r="S818" s="21">
        <f>2*$B$20</f>
        <v/>
      </c>
      <c r="T818" s="21">
        <f>-$B$19</f>
        <v/>
      </c>
      <c r="U818" s="21">
        <f>$B$21</f>
        <v/>
      </c>
      <c r="V818" s="21" t="n">
        <v>0</v>
      </c>
      <c r="W818" s="21" t="n">
        <v>0</v>
      </c>
      <c r="X818" s="21" t="n">
        <v>0</v>
      </c>
      <c r="Y818" s="21" t="n">
        <v>0</v>
      </c>
      <c r="Z818" s="21" t="n">
        <v>0</v>
      </c>
      <c r="AA818" s="21" t="n">
        <v>0</v>
      </c>
      <c r="AB818" s="21" t="n">
        <v>0</v>
      </c>
      <c r="AC818" s="21" t="n">
        <v>0</v>
      </c>
      <c r="AD818" s="21" t="n">
        <v>0</v>
      </c>
      <c r="AE818" s="21" t="n">
        <v>0</v>
      </c>
      <c r="AF818" s="21" t="n">
        <v>0</v>
      </c>
      <c r="AG818" s="21" t="n">
        <v>0</v>
      </c>
      <c r="AH818" s="21" t="n">
        <v>0</v>
      </c>
      <c r="AI818" s="21" t="n">
        <v>0</v>
      </c>
      <c r="AJ818" s="21" t="n">
        <v>0</v>
      </c>
      <c r="AK818" s="21" t="n">
        <v>0</v>
      </c>
      <c r="AL818" s="21" t="n">
        <v>0</v>
      </c>
      <c r="AM818" s="21" t="n">
        <v>0</v>
      </c>
      <c r="AN818" s="21" t="n">
        <v>0</v>
      </c>
      <c r="AO818" s="21" t="n">
        <v>0</v>
      </c>
      <c r="AP818" s="21" t="n">
        <v>0</v>
      </c>
      <c r="AQ818" s="21" t="n">
        <v>0</v>
      </c>
      <c r="AR818" s="21" t="n">
        <v>0</v>
      </c>
      <c r="AS818" s="21" t="n">
        <v>0</v>
      </c>
      <c r="AT818" s="19" t="n"/>
    </row>
    <row r="819">
      <c r="D819" s="21" t="n">
        <v>0</v>
      </c>
      <c r="E819" s="21" t="n">
        <v>0</v>
      </c>
      <c r="F819" s="21" t="n">
        <v>0</v>
      </c>
      <c r="G819" s="21" t="n">
        <v>0</v>
      </c>
      <c r="H819" s="21" t="n">
        <v>0</v>
      </c>
      <c r="I819" s="21" t="n">
        <v>0</v>
      </c>
      <c r="J819" s="21" t="n">
        <v>0</v>
      </c>
      <c r="K819" s="21" t="n">
        <v>0</v>
      </c>
      <c r="L819" s="21" t="n">
        <v>0</v>
      </c>
      <c r="M819" s="21" t="n">
        <v>0</v>
      </c>
      <c r="N819" s="21" t="n">
        <v>0</v>
      </c>
      <c r="O819" s="21" t="n">
        <v>0</v>
      </c>
      <c r="P819" s="21" t="n">
        <v>0</v>
      </c>
      <c r="Q819" s="21" t="n">
        <v>0</v>
      </c>
      <c r="R819" s="21">
        <f>-$B$18</f>
        <v/>
      </c>
      <c r="S819" s="21">
        <f>-$B$19</f>
        <v/>
      </c>
      <c r="T819" s="21">
        <f>2*$B$18+$D$789</f>
        <v/>
      </c>
      <c r="U819" s="21">
        <f>0</f>
        <v/>
      </c>
      <c r="V819" s="21">
        <f>-$B$18</f>
        <v/>
      </c>
      <c r="W819" s="21">
        <f>$B$19</f>
        <v/>
      </c>
      <c r="X819" s="21" t="n">
        <v>0</v>
      </c>
      <c r="Y819" s="21" t="n">
        <v>0</v>
      </c>
      <c r="Z819" s="21" t="n">
        <v>0</v>
      </c>
      <c r="AA819" s="21" t="n">
        <v>0</v>
      </c>
      <c r="AB819" s="21" t="n">
        <v>0</v>
      </c>
      <c r="AC819" s="21" t="n">
        <v>0</v>
      </c>
      <c r="AD819" s="21" t="n">
        <v>0</v>
      </c>
      <c r="AE819" s="21" t="n">
        <v>0</v>
      </c>
      <c r="AF819" s="21" t="n">
        <v>0</v>
      </c>
      <c r="AG819" s="21" t="n">
        <v>0</v>
      </c>
      <c r="AH819" s="21" t="n">
        <v>0</v>
      </c>
      <c r="AI819" s="21" t="n">
        <v>0</v>
      </c>
      <c r="AJ819" s="21" t="n">
        <v>0</v>
      </c>
      <c r="AK819" s="21" t="n">
        <v>0</v>
      </c>
      <c r="AL819" s="21" t="n">
        <v>0</v>
      </c>
      <c r="AM819" s="21" t="n">
        <v>0</v>
      </c>
      <c r="AN819" s="21" t="n">
        <v>0</v>
      </c>
      <c r="AO819" s="21" t="n">
        <v>0</v>
      </c>
      <c r="AP819" s="21" t="n">
        <v>0</v>
      </c>
      <c r="AQ819" s="21" t="n">
        <v>0</v>
      </c>
      <c r="AR819" s="21" t="n">
        <v>0</v>
      </c>
      <c r="AS819" s="21" t="n">
        <v>0</v>
      </c>
      <c r="AT819" s="19" t="n"/>
    </row>
    <row r="820">
      <c r="D820" s="21" t="n">
        <v>0</v>
      </c>
      <c r="E820" s="21" t="n">
        <v>0</v>
      </c>
      <c r="F820" s="21" t="n">
        <v>0</v>
      </c>
      <c r="G820" s="21" t="n">
        <v>0</v>
      </c>
      <c r="H820" s="21" t="n">
        <v>0</v>
      </c>
      <c r="I820" s="21" t="n">
        <v>0</v>
      </c>
      <c r="J820" s="21" t="n">
        <v>0</v>
      </c>
      <c r="K820" s="21" t="n">
        <v>0</v>
      </c>
      <c r="L820" s="21" t="n">
        <v>0</v>
      </c>
      <c r="M820" s="21" t="n">
        <v>0</v>
      </c>
      <c r="N820" s="21" t="n">
        <v>0</v>
      </c>
      <c r="O820" s="21" t="n">
        <v>0</v>
      </c>
      <c r="P820" s="21" t="n">
        <v>0</v>
      </c>
      <c r="Q820" s="21" t="n">
        <v>0</v>
      </c>
      <c r="R820" s="21">
        <f>$B$19</f>
        <v/>
      </c>
      <c r="S820" s="21">
        <f>$B$21</f>
        <v/>
      </c>
      <c r="T820" s="21">
        <f>0</f>
        <v/>
      </c>
      <c r="U820" s="21">
        <f>2*$B$20</f>
        <v/>
      </c>
      <c r="V820" s="21">
        <f>-$B$19</f>
        <v/>
      </c>
      <c r="W820" s="21">
        <f>$B$21</f>
        <v/>
      </c>
      <c r="X820" s="21" t="n">
        <v>0</v>
      </c>
      <c r="Y820" s="21" t="n">
        <v>0</v>
      </c>
      <c r="Z820" s="21" t="n">
        <v>0</v>
      </c>
      <c r="AA820" s="21" t="n">
        <v>0</v>
      </c>
      <c r="AB820" s="21" t="n">
        <v>0</v>
      </c>
      <c r="AC820" s="21" t="n">
        <v>0</v>
      </c>
      <c r="AD820" s="21" t="n">
        <v>0</v>
      </c>
      <c r="AE820" s="21" t="n">
        <v>0</v>
      </c>
      <c r="AF820" s="21" t="n">
        <v>0</v>
      </c>
      <c r="AG820" s="21" t="n">
        <v>0</v>
      </c>
      <c r="AH820" s="21" t="n">
        <v>0</v>
      </c>
      <c r="AI820" s="21" t="n">
        <v>0</v>
      </c>
      <c r="AJ820" s="21" t="n">
        <v>0</v>
      </c>
      <c r="AK820" s="21" t="n">
        <v>0</v>
      </c>
      <c r="AL820" s="21" t="n">
        <v>0</v>
      </c>
      <c r="AM820" s="21" t="n">
        <v>0</v>
      </c>
      <c r="AN820" s="21" t="n">
        <v>0</v>
      </c>
      <c r="AO820" s="21" t="n">
        <v>0</v>
      </c>
      <c r="AP820" s="21" t="n">
        <v>0</v>
      </c>
      <c r="AQ820" s="21" t="n">
        <v>0</v>
      </c>
      <c r="AR820" s="21" t="n">
        <v>0</v>
      </c>
      <c r="AS820" s="21" t="n">
        <v>0</v>
      </c>
      <c r="AT820" s="19" t="n"/>
    </row>
    <row r="821">
      <c r="D821" s="21" t="n">
        <v>0</v>
      </c>
      <c r="E821" s="21" t="n">
        <v>0</v>
      </c>
      <c r="F821" s="21" t="n">
        <v>0</v>
      </c>
      <c r="G821" s="21" t="n">
        <v>0</v>
      </c>
      <c r="H821" s="21" t="n">
        <v>0</v>
      </c>
      <c r="I821" s="21" t="n">
        <v>0</v>
      </c>
      <c r="J821" s="21" t="n">
        <v>0</v>
      </c>
      <c r="K821" s="21" t="n">
        <v>0</v>
      </c>
      <c r="L821" s="21" t="n">
        <v>0</v>
      </c>
      <c r="M821" s="21" t="n">
        <v>0</v>
      </c>
      <c r="N821" s="21" t="n">
        <v>0</v>
      </c>
      <c r="O821" s="21" t="n">
        <v>0</v>
      </c>
      <c r="P821" s="21" t="n">
        <v>0</v>
      </c>
      <c r="Q821" s="21" t="n">
        <v>0</v>
      </c>
      <c r="R821" s="21" t="n">
        <v>0</v>
      </c>
      <c r="S821" s="21" t="n">
        <v>0</v>
      </c>
      <c r="T821" s="21">
        <f>-$B$18</f>
        <v/>
      </c>
      <c r="U821" s="21">
        <f>-$B$19</f>
        <v/>
      </c>
      <c r="V821" s="21">
        <f>2*$B$18+$D$790</f>
        <v/>
      </c>
      <c r="W821" s="21">
        <f>0</f>
        <v/>
      </c>
      <c r="X821" s="21">
        <f>-$B$18</f>
        <v/>
      </c>
      <c r="Y821" s="21">
        <f>$B$19</f>
        <v/>
      </c>
      <c r="Z821" s="21" t="n">
        <v>0</v>
      </c>
      <c r="AA821" s="21" t="n">
        <v>0</v>
      </c>
      <c r="AB821" s="21" t="n">
        <v>0</v>
      </c>
      <c r="AC821" s="21" t="n">
        <v>0</v>
      </c>
      <c r="AD821" s="21" t="n">
        <v>0</v>
      </c>
      <c r="AE821" s="21" t="n">
        <v>0</v>
      </c>
      <c r="AF821" s="21" t="n">
        <v>0</v>
      </c>
      <c r="AG821" s="21" t="n">
        <v>0</v>
      </c>
      <c r="AH821" s="21" t="n">
        <v>0</v>
      </c>
      <c r="AI821" s="21" t="n">
        <v>0</v>
      </c>
      <c r="AJ821" s="21" t="n">
        <v>0</v>
      </c>
      <c r="AK821" s="21" t="n">
        <v>0</v>
      </c>
      <c r="AL821" s="21" t="n">
        <v>0</v>
      </c>
      <c r="AM821" s="21" t="n">
        <v>0</v>
      </c>
      <c r="AN821" s="21" t="n">
        <v>0</v>
      </c>
      <c r="AO821" s="21" t="n">
        <v>0</v>
      </c>
      <c r="AP821" s="21" t="n">
        <v>0</v>
      </c>
      <c r="AQ821" s="21" t="n">
        <v>0</v>
      </c>
      <c r="AR821" s="21" t="n">
        <v>0</v>
      </c>
      <c r="AS821" s="21" t="n">
        <v>0</v>
      </c>
      <c r="AT821" s="19" t="n"/>
    </row>
    <row r="822">
      <c r="D822" s="21" t="n">
        <v>0</v>
      </c>
      <c r="E822" s="21" t="n">
        <v>0</v>
      </c>
      <c r="F822" s="21" t="n">
        <v>0</v>
      </c>
      <c r="G822" s="21" t="n">
        <v>0</v>
      </c>
      <c r="H822" s="21" t="n">
        <v>0</v>
      </c>
      <c r="I822" s="21" t="n">
        <v>0</v>
      </c>
      <c r="J822" s="21" t="n">
        <v>0</v>
      </c>
      <c r="K822" s="21" t="n">
        <v>0</v>
      </c>
      <c r="L822" s="21" t="n">
        <v>0</v>
      </c>
      <c r="M822" s="21" t="n">
        <v>0</v>
      </c>
      <c r="N822" s="21" t="n">
        <v>0</v>
      </c>
      <c r="O822" s="21" t="n">
        <v>0</v>
      </c>
      <c r="P822" s="21" t="n">
        <v>0</v>
      </c>
      <c r="Q822" s="21" t="n">
        <v>0</v>
      </c>
      <c r="R822" s="21" t="n">
        <v>0</v>
      </c>
      <c r="S822" s="21" t="n">
        <v>0</v>
      </c>
      <c r="T822" s="21">
        <f>$B$19</f>
        <v/>
      </c>
      <c r="U822" s="21">
        <f>$B$21</f>
        <v/>
      </c>
      <c r="V822" s="21">
        <f>0</f>
        <v/>
      </c>
      <c r="W822" s="21">
        <f>2*$B$20</f>
        <v/>
      </c>
      <c r="X822" s="21">
        <f>-$B$19</f>
        <v/>
      </c>
      <c r="Y822" s="21">
        <f>$B$21</f>
        <v/>
      </c>
      <c r="Z822" s="21" t="n">
        <v>0</v>
      </c>
      <c r="AA822" s="21" t="n">
        <v>0</v>
      </c>
      <c r="AB822" s="21" t="n">
        <v>0</v>
      </c>
      <c r="AC822" s="21" t="n">
        <v>0</v>
      </c>
      <c r="AD822" s="21" t="n">
        <v>0</v>
      </c>
      <c r="AE822" s="21" t="n">
        <v>0</v>
      </c>
      <c r="AF822" s="21" t="n">
        <v>0</v>
      </c>
      <c r="AG822" s="21" t="n">
        <v>0</v>
      </c>
      <c r="AH822" s="21" t="n">
        <v>0</v>
      </c>
      <c r="AI822" s="21" t="n">
        <v>0</v>
      </c>
      <c r="AJ822" s="21" t="n">
        <v>0</v>
      </c>
      <c r="AK822" s="21" t="n">
        <v>0</v>
      </c>
      <c r="AL822" s="21" t="n">
        <v>0</v>
      </c>
      <c r="AM822" s="21" t="n">
        <v>0</v>
      </c>
      <c r="AN822" s="21" t="n">
        <v>0</v>
      </c>
      <c r="AO822" s="21" t="n">
        <v>0</v>
      </c>
      <c r="AP822" s="21" t="n">
        <v>0</v>
      </c>
      <c r="AQ822" s="21" t="n">
        <v>0</v>
      </c>
      <c r="AR822" s="21" t="n">
        <v>0</v>
      </c>
      <c r="AS822" s="21" t="n">
        <v>0</v>
      </c>
      <c r="AT822" s="19" t="n"/>
    </row>
    <row r="823">
      <c r="D823" s="21" t="n">
        <v>0</v>
      </c>
      <c r="E823" s="21" t="n">
        <v>0</v>
      </c>
      <c r="F823" s="21" t="n">
        <v>0</v>
      </c>
      <c r="G823" s="21" t="n">
        <v>0</v>
      </c>
      <c r="H823" s="21" t="n">
        <v>0</v>
      </c>
      <c r="I823" s="21" t="n">
        <v>0</v>
      </c>
      <c r="J823" s="21" t="n">
        <v>0</v>
      </c>
      <c r="K823" s="21" t="n">
        <v>0</v>
      </c>
      <c r="L823" s="21" t="n">
        <v>0</v>
      </c>
      <c r="M823" s="21" t="n">
        <v>0</v>
      </c>
      <c r="N823" s="21" t="n">
        <v>0</v>
      </c>
      <c r="O823" s="21" t="n">
        <v>0</v>
      </c>
      <c r="P823" s="21" t="n">
        <v>0</v>
      </c>
      <c r="Q823" s="21" t="n">
        <v>0</v>
      </c>
      <c r="R823" s="21" t="n">
        <v>0</v>
      </c>
      <c r="S823" s="21" t="n">
        <v>0</v>
      </c>
      <c r="T823" s="21" t="n">
        <v>0</v>
      </c>
      <c r="U823" s="21" t="n">
        <v>0</v>
      </c>
      <c r="V823" s="21">
        <f>-$B$18</f>
        <v/>
      </c>
      <c r="W823" s="21">
        <f>-$B$19</f>
        <v/>
      </c>
      <c r="X823" s="21">
        <f>2*$B$18+$D$791</f>
        <v/>
      </c>
      <c r="Y823" s="21">
        <f>0</f>
        <v/>
      </c>
      <c r="Z823" s="21">
        <f>-$B$18</f>
        <v/>
      </c>
      <c r="AA823" s="21">
        <f>$B$19</f>
        <v/>
      </c>
      <c r="AB823" s="21" t="n">
        <v>0</v>
      </c>
      <c r="AC823" s="21" t="n">
        <v>0</v>
      </c>
      <c r="AD823" s="21" t="n">
        <v>0</v>
      </c>
      <c r="AE823" s="21" t="n">
        <v>0</v>
      </c>
      <c r="AF823" s="21" t="n">
        <v>0</v>
      </c>
      <c r="AG823" s="21" t="n">
        <v>0</v>
      </c>
      <c r="AH823" s="21" t="n">
        <v>0</v>
      </c>
      <c r="AI823" s="21" t="n">
        <v>0</v>
      </c>
      <c r="AJ823" s="21" t="n">
        <v>0</v>
      </c>
      <c r="AK823" s="21" t="n">
        <v>0</v>
      </c>
      <c r="AL823" s="21" t="n">
        <v>0</v>
      </c>
      <c r="AM823" s="21" t="n">
        <v>0</v>
      </c>
      <c r="AN823" s="21" t="n">
        <v>0</v>
      </c>
      <c r="AO823" s="21" t="n">
        <v>0</v>
      </c>
      <c r="AP823" s="21" t="n">
        <v>0</v>
      </c>
      <c r="AQ823" s="21" t="n">
        <v>0</v>
      </c>
      <c r="AR823" s="21" t="n">
        <v>0</v>
      </c>
      <c r="AS823" s="21" t="n">
        <v>0</v>
      </c>
      <c r="AT823" s="19" t="n"/>
    </row>
    <row r="824">
      <c r="D824" s="21" t="n">
        <v>0</v>
      </c>
      <c r="E824" s="21" t="n">
        <v>0</v>
      </c>
      <c r="F824" s="21" t="n">
        <v>0</v>
      </c>
      <c r="G824" s="21" t="n">
        <v>0</v>
      </c>
      <c r="H824" s="21" t="n">
        <v>0</v>
      </c>
      <c r="I824" s="21" t="n">
        <v>0</v>
      </c>
      <c r="J824" s="21" t="n">
        <v>0</v>
      </c>
      <c r="K824" s="21" t="n">
        <v>0</v>
      </c>
      <c r="L824" s="21" t="n">
        <v>0</v>
      </c>
      <c r="M824" s="21" t="n">
        <v>0</v>
      </c>
      <c r="N824" s="21" t="n">
        <v>0</v>
      </c>
      <c r="O824" s="21" t="n">
        <v>0</v>
      </c>
      <c r="P824" s="21" t="n">
        <v>0</v>
      </c>
      <c r="Q824" s="21" t="n">
        <v>0</v>
      </c>
      <c r="R824" s="21" t="n">
        <v>0</v>
      </c>
      <c r="S824" s="21" t="n">
        <v>0</v>
      </c>
      <c r="T824" s="21" t="n">
        <v>0</v>
      </c>
      <c r="U824" s="21" t="n">
        <v>0</v>
      </c>
      <c r="V824" s="21">
        <f>$B$19</f>
        <v/>
      </c>
      <c r="W824" s="21">
        <f>$B$21</f>
        <v/>
      </c>
      <c r="X824" s="21">
        <f>0</f>
        <v/>
      </c>
      <c r="Y824" s="21">
        <f>2*$B$20</f>
        <v/>
      </c>
      <c r="Z824" s="21">
        <f>-$B$19</f>
        <v/>
      </c>
      <c r="AA824" s="21">
        <f>$B$21</f>
        <v/>
      </c>
      <c r="AB824" s="21" t="n">
        <v>0</v>
      </c>
      <c r="AC824" s="21" t="n">
        <v>0</v>
      </c>
      <c r="AD824" s="21" t="n">
        <v>0</v>
      </c>
      <c r="AE824" s="21" t="n">
        <v>0</v>
      </c>
      <c r="AF824" s="21" t="n">
        <v>0</v>
      </c>
      <c r="AG824" s="21" t="n">
        <v>0</v>
      </c>
      <c r="AH824" s="21" t="n">
        <v>0</v>
      </c>
      <c r="AI824" s="21" t="n">
        <v>0</v>
      </c>
      <c r="AJ824" s="21" t="n">
        <v>0</v>
      </c>
      <c r="AK824" s="21" t="n">
        <v>0</v>
      </c>
      <c r="AL824" s="21" t="n">
        <v>0</v>
      </c>
      <c r="AM824" s="21" t="n">
        <v>0</v>
      </c>
      <c r="AN824" s="21" t="n">
        <v>0</v>
      </c>
      <c r="AO824" s="21" t="n">
        <v>0</v>
      </c>
      <c r="AP824" s="21" t="n">
        <v>0</v>
      </c>
      <c r="AQ824" s="21" t="n">
        <v>0</v>
      </c>
      <c r="AR824" s="21" t="n">
        <v>0</v>
      </c>
      <c r="AS824" s="21" t="n">
        <v>0</v>
      </c>
      <c r="AT824" s="19" t="n"/>
    </row>
    <row r="825">
      <c r="D825" s="21" t="n">
        <v>0</v>
      </c>
      <c r="E825" s="21" t="n">
        <v>0</v>
      </c>
      <c r="F825" s="21" t="n">
        <v>0</v>
      </c>
      <c r="G825" s="21" t="n">
        <v>0</v>
      </c>
      <c r="H825" s="21" t="n">
        <v>0</v>
      </c>
      <c r="I825" s="21" t="n">
        <v>0</v>
      </c>
      <c r="J825" s="21" t="n">
        <v>0</v>
      </c>
      <c r="K825" s="21" t="n">
        <v>0</v>
      </c>
      <c r="L825" s="21" t="n">
        <v>0</v>
      </c>
      <c r="M825" s="21" t="n">
        <v>0</v>
      </c>
      <c r="N825" s="21" t="n">
        <v>0</v>
      </c>
      <c r="O825" s="21" t="n">
        <v>0</v>
      </c>
      <c r="P825" s="21" t="n">
        <v>0</v>
      </c>
      <c r="Q825" s="21" t="n">
        <v>0</v>
      </c>
      <c r="R825" s="21" t="n">
        <v>0</v>
      </c>
      <c r="S825" s="21" t="n">
        <v>0</v>
      </c>
      <c r="T825" s="21" t="n">
        <v>0</v>
      </c>
      <c r="U825" s="21" t="n">
        <v>0</v>
      </c>
      <c r="V825" s="21" t="n">
        <v>0</v>
      </c>
      <c r="W825" s="21" t="n">
        <v>0</v>
      </c>
      <c r="X825" s="21">
        <f>-$B$18</f>
        <v/>
      </c>
      <c r="Y825" s="21">
        <f>-$B$19</f>
        <v/>
      </c>
      <c r="Z825" s="21">
        <f>2*$B$18+$D$792</f>
        <v/>
      </c>
      <c r="AA825" s="21">
        <f>0</f>
        <v/>
      </c>
      <c r="AB825" s="21">
        <f>-$B$18</f>
        <v/>
      </c>
      <c r="AC825" s="21">
        <f>$B$19</f>
        <v/>
      </c>
      <c r="AD825" s="21" t="n">
        <v>0</v>
      </c>
      <c r="AE825" s="21" t="n">
        <v>0</v>
      </c>
      <c r="AF825" s="21" t="n">
        <v>0</v>
      </c>
      <c r="AG825" s="21" t="n">
        <v>0</v>
      </c>
      <c r="AH825" s="21" t="n">
        <v>0</v>
      </c>
      <c r="AI825" s="21" t="n">
        <v>0</v>
      </c>
      <c r="AJ825" s="21" t="n">
        <v>0</v>
      </c>
      <c r="AK825" s="21" t="n">
        <v>0</v>
      </c>
      <c r="AL825" s="21" t="n">
        <v>0</v>
      </c>
      <c r="AM825" s="21" t="n">
        <v>0</v>
      </c>
      <c r="AN825" s="21" t="n">
        <v>0</v>
      </c>
      <c r="AO825" s="21" t="n">
        <v>0</v>
      </c>
      <c r="AP825" s="21" t="n">
        <v>0</v>
      </c>
      <c r="AQ825" s="21" t="n">
        <v>0</v>
      </c>
      <c r="AR825" s="21" t="n">
        <v>0</v>
      </c>
      <c r="AS825" s="21" t="n">
        <v>0</v>
      </c>
      <c r="AT825" s="19" t="n"/>
    </row>
    <row r="826">
      <c r="D826" s="21" t="n">
        <v>0</v>
      </c>
      <c r="E826" s="21" t="n">
        <v>0</v>
      </c>
      <c r="F826" s="21" t="n">
        <v>0</v>
      </c>
      <c r="G826" s="21" t="n">
        <v>0</v>
      </c>
      <c r="H826" s="21" t="n">
        <v>0</v>
      </c>
      <c r="I826" s="21" t="n">
        <v>0</v>
      </c>
      <c r="J826" s="21" t="n">
        <v>0</v>
      </c>
      <c r="K826" s="21" t="n">
        <v>0</v>
      </c>
      <c r="L826" s="21" t="n">
        <v>0</v>
      </c>
      <c r="M826" s="21" t="n">
        <v>0</v>
      </c>
      <c r="N826" s="21" t="n">
        <v>0</v>
      </c>
      <c r="O826" s="21" t="n">
        <v>0</v>
      </c>
      <c r="P826" s="21" t="n">
        <v>0</v>
      </c>
      <c r="Q826" s="21" t="n">
        <v>0</v>
      </c>
      <c r="R826" s="21" t="n">
        <v>0</v>
      </c>
      <c r="S826" s="21" t="n">
        <v>0</v>
      </c>
      <c r="T826" s="21" t="n">
        <v>0</v>
      </c>
      <c r="U826" s="21" t="n">
        <v>0</v>
      </c>
      <c r="V826" s="21" t="n">
        <v>0</v>
      </c>
      <c r="W826" s="21" t="n">
        <v>0</v>
      </c>
      <c r="X826" s="21">
        <f>$B$19</f>
        <v/>
      </c>
      <c r="Y826" s="21">
        <f>$B$21</f>
        <v/>
      </c>
      <c r="Z826" s="21">
        <f>0</f>
        <v/>
      </c>
      <c r="AA826" s="21">
        <f>2*$B$20</f>
        <v/>
      </c>
      <c r="AB826" s="21">
        <f>-$B$19</f>
        <v/>
      </c>
      <c r="AC826" s="21">
        <f>$B$21</f>
        <v/>
      </c>
      <c r="AD826" s="21" t="n">
        <v>0</v>
      </c>
      <c r="AE826" s="21" t="n">
        <v>0</v>
      </c>
      <c r="AF826" s="21" t="n">
        <v>0</v>
      </c>
      <c r="AG826" s="21" t="n">
        <v>0</v>
      </c>
      <c r="AH826" s="21" t="n">
        <v>0</v>
      </c>
      <c r="AI826" s="21" t="n">
        <v>0</v>
      </c>
      <c r="AJ826" s="21" t="n">
        <v>0</v>
      </c>
      <c r="AK826" s="21" t="n">
        <v>0</v>
      </c>
      <c r="AL826" s="21" t="n">
        <v>0</v>
      </c>
      <c r="AM826" s="21" t="n">
        <v>0</v>
      </c>
      <c r="AN826" s="21" t="n">
        <v>0</v>
      </c>
      <c r="AO826" s="21" t="n">
        <v>0</v>
      </c>
      <c r="AP826" s="21" t="n">
        <v>0</v>
      </c>
      <c r="AQ826" s="21" t="n">
        <v>0</v>
      </c>
      <c r="AR826" s="21" t="n">
        <v>0</v>
      </c>
      <c r="AS826" s="21" t="n">
        <v>0</v>
      </c>
      <c r="AT826" s="19" t="n"/>
    </row>
    <row r="827">
      <c r="D827" s="21" t="n">
        <v>0</v>
      </c>
      <c r="E827" s="21" t="n">
        <v>0</v>
      </c>
      <c r="F827" s="21" t="n">
        <v>0</v>
      </c>
      <c r="G827" s="21" t="n">
        <v>0</v>
      </c>
      <c r="H827" s="21" t="n">
        <v>0</v>
      </c>
      <c r="I827" s="21" t="n">
        <v>0</v>
      </c>
      <c r="J827" s="21" t="n">
        <v>0</v>
      </c>
      <c r="K827" s="21" t="n">
        <v>0</v>
      </c>
      <c r="L827" s="21" t="n">
        <v>0</v>
      </c>
      <c r="M827" s="21" t="n">
        <v>0</v>
      </c>
      <c r="N827" s="21" t="n">
        <v>0</v>
      </c>
      <c r="O827" s="21" t="n">
        <v>0</v>
      </c>
      <c r="P827" s="21" t="n">
        <v>0</v>
      </c>
      <c r="Q827" s="21" t="n">
        <v>0</v>
      </c>
      <c r="R827" s="21" t="n">
        <v>0</v>
      </c>
      <c r="S827" s="21" t="n">
        <v>0</v>
      </c>
      <c r="T827" s="21" t="n">
        <v>0</v>
      </c>
      <c r="U827" s="21" t="n">
        <v>0</v>
      </c>
      <c r="V827" s="21" t="n">
        <v>0</v>
      </c>
      <c r="W827" s="21" t="n">
        <v>0</v>
      </c>
      <c r="X827" s="21" t="n">
        <v>0</v>
      </c>
      <c r="Y827" s="21" t="n">
        <v>0</v>
      </c>
      <c r="Z827" s="21">
        <f>-$B$18</f>
        <v/>
      </c>
      <c r="AA827" s="21">
        <f>-$B$19</f>
        <v/>
      </c>
      <c r="AB827" s="21">
        <f>2*$B$18+$D$793</f>
        <v/>
      </c>
      <c r="AC827" s="21">
        <f>0</f>
        <v/>
      </c>
      <c r="AD827" s="21">
        <f>-$B$18</f>
        <v/>
      </c>
      <c r="AE827" s="21">
        <f>$B$19</f>
        <v/>
      </c>
      <c r="AF827" s="21" t="n">
        <v>0</v>
      </c>
      <c r="AG827" s="21" t="n">
        <v>0</v>
      </c>
      <c r="AH827" s="21" t="n">
        <v>0</v>
      </c>
      <c r="AI827" s="21" t="n">
        <v>0</v>
      </c>
      <c r="AJ827" s="21" t="n">
        <v>0</v>
      </c>
      <c r="AK827" s="21" t="n">
        <v>0</v>
      </c>
      <c r="AL827" s="21" t="n">
        <v>0</v>
      </c>
      <c r="AM827" s="21" t="n">
        <v>0</v>
      </c>
      <c r="AN827" s="21" t="n">
        <v>0</v>
      </c>
      <c r="AO827" s="21" t="n">
        <v>0</v>
      </c>
      <c r="AP827" s="21" t="n">
        <v>0</v>
      </c>
      <c r="AQ827" s="21" t="n">
        <v>0</v>
      </c>
      <c r="AR827" s="21" t="n">
        <v>0</v>
      </c>
      <c r="AS827" s="21" t="n">
        <v>0</v>
      </c>
      <c r="AT827" s="19" t="n"/>
    </row>
    <row r="828">
      <c r="D828" s="21" t="n">
        <v>0</v>
      </c>
      <c r="E828" s="21" t="n">
        <v>0</v>
      </c>
      <c r="F828" s="21" t="n">
        <v>0</v>
      </c>
      <c r="G828" s="21" t="n">
        <v>0</v>
      </c>
      <c r="H828" s="21" t="n">
        <v>0</v>
      </c>
      <c r="I828" s="21" t="n">
        <v>0</v>
      </c>
      <c r="J828" s="21" t="n">
        <v>0</v>
      </c>
      <c r="K828" s="21" t="n">
        <v>0</v>
      </c>
      <c r="L828" s="21" t="n">
        <v>0</v>
      </c>
      <c r="M828" s="21" t="n">
        <v>0</v>
      </c>
      <c r="N828" s="21" t="n">
        <v>0</v>
      </c>
      <c r="O828" s="21" t="n">
        <v>0</v>
      </c>
      <c r="P828" s="21" t="n">
        <v>0</v>
      </c>
      <c r="Q828" s="21" t="n">
        <v>0</v>
      </c>
      <c r="R828" s="21" t="n">
        <v>0</v>
      </c>
      <c r="S828" s="21" t="n">
        <v>0</v>
      </c>
      <c r="T828" s="21" t="n">
        <v>0</v>
      </c>
      <c r="U828" s="21" t="n">
        <v>0</v>
      </c>
      <c r="V828" s="21" t="n">
        <v>0</v>
      </c>
      <c r="W828" s="21" t="n">
        <v>0</v>
      </c>
      <c r="X828" s="21" t="n">
        <v>0</v>
      </c>
      <c r="Y828" s="21" t="n">
        <v>0</v>
      </c>
      <c r="Z828" s="21">
        <f>$B$19</f>
        <v/>
      </c>
      <c r="AA828" s="21">
        <f>$B$21</f>
        <v/>
      </c>
      <c r="AB828" s="21">
        <f>0</f>
        <v/>
      </c>
      <c r="AC828" s="21">
        <f>2*$B$20</f>
        <v/>
      </c>
      <c r="AD828" s="21">
        <f>-$B$19</f>
        <v/>
      </c>
      <c r="AE828" s="21">
        <f>$B$21</f>
        <v/>
      </c>
      <c r="AF828" s="21" t="n">
        <v>0</v>
      </c>
      <c r="AG828" s="21" t="n">
        <v>0</v>
      </c>
      <c r="AH828" s="21" t="n">
        <v>0</v>
      </c>
      <c r="AI828" s="21" t="n">
        <v>0</v>
      </c>
      <c r="AJ828" s="21" t="n">
        <v>0</v>
      </c>
      <c r="AK828" s="21" t="n">
        <v>0</v>
      </c>
      <c r="AL828" s="21" t="n">
        <v>0</v>
      </c>
      <c r="AM828" s="21" t="n">
        <v>0</v>
      </c>
      <c r="AN828" s="21" t="n">
        <v>0</v>
      </c>
      <c r="AO828" s="21" t="n">
        <v>0</v>
      </c>
      <c r="AP828" s="21" t="n">
        <v>0</v>
      </c>
      <c r="AQ828" s="21" t="n">
        <v>0</v>
      </c>
      <c r="AR828" s="21" t="n">
        <v>0</v>
      </c>
      <c r="AS828" s="21" t="n">
        <v>0</v>
      </c>
      <c r="AT828" s="19" t="n"/>
    </row>
    <row r="829">
      <c r="D829" s="21" t="n">
        <v>0</v>
      </c>
      <c r="E829" s="21" t="n">
        <v>0</v>
      </c>
      <c r="F829" s="21" t="n">
        <v>0</v>
      </c>
      <c r="G829" s="21" t="n">
        <v>0</v>
      </c>
      <c r="H829" s="21" t="n">
        <v>0</v>
      </c>
      <c r="I829" s="21" t="n">
        <v>0</v>
      </c>
      <c r="J829" s="21" t="n">
        <v>0</v>
      </c>
      <c r="K829" s="21" t="n">
        <v>0</v>
      </c>
      <c r="L829" s="21" t="n">
        <v>0</v>
      </c>
      <c r="M829" s="21" t="n">
        <v>0</v>
      </c>
      <c r="N829" s="21" t="n">
        <v>0</v>
      </c>
      <c r="O829" s="21" t="n">
        <v>0</v>
      </c>
      <c r="P829" s="21" t="n">
        <v>0</v>
      </c>
      <c r="Q829" s="21" t="n">
        <v>0</v>
      </c>
      <c r="R829" s="21" t="n">
        <v>0</v>
      </c>
      <c r="S829" s="21" t="n">
        <v>0</v>
      </c>
      <c r="T829" s="21" t="n">
        <v>0</v>
      </c>
      <c r="U829" s="21" t="n">
        <v>0</v>
      </c>
      <c r="V829" s="21" t="n">
        <v>0</v>
      </c>
      <c r="W829" s="21" t="n">
        <v>0</v>
      </c>
      <c r="X829" s="21" t="n">
        <v>0</v>
      </c>
      <c r="Y829" s="21" t="n">
        <v>0</v>
      </c>
      <c r="Z829" s="21" t="n">
        <v>0</v>
      </c>
      <c r="AA829" s="21" t="n">
        <v>0</v>
      </c>
      <c r="AB829" s="21">
        <f>-$B$18</f>
        <v/>
      </c>
      <c r="AC829" s="21">
        <f>-$B$19</f>
        <v/>
      </c>
      <c r="AD829" s="21">
        <f>2*$B$18+$D$794</f>
        <v/>
      </c>
      <c r="AE829" s="21">
        <f>0</f>
        <v/>
      </c>
      <c r="AF829" s="21">
        <f>-$B$18</f>
        <v/>
      </c>
      <c r="AG829" s="21">
        <f>$B$19</f>
        <v/>
      </c>
      <c r="AH829" s="21" t="n">
        <v>0</v>
      </c>
      <c r="AI829" s="21" t="n">
        <v>0</v>
      </c>
      <c r="AJ829" s="21" t="n">
        <v>0</v>
      </c>
      <c r="AK829" s="21" t="n">
        <v>0</v>
      </c>
      <c r="AL829" s="21" t="n">
        <v>0</v>
      </c>
      <c r="AM829" s="21" t="n">
        <v>0</v>
      </c>
      <c r="AN829" s="21" t="n">
        <v>0</v>
      </c>
      <c r="AO829" s="21" t="n">
        <v>0</v>
      </c>
      <c r="AP829" s="21" t="n">
        <v>0</v>
      </c>
      <c r="AQ829" s="21" t="n">
        <v>0</v>
      </c>
      <c r="AR829" s="21" t="n">
        <v>0</v>
      </c>
      <c r="AS829" s="21" t="n">
        <v>0</v>
      </c>
      <c r="AT829" s="19" t="n"/>
    </row>
    <row r="830">
      <c r="D830" s="21" t="n">
        <v>0</v>
      </c>
      <c r="E830" s="21" t="n">
        <v>0</v>
      </c>
      <c r="F830" s="21" t="n">
        <v>0</v>
      </c>
      <c r="G830" s="21" t="n">
        <v>0</v>
      </c>
      <c r="H830" s="21" t="n">
        <v>0</v>
      </c>
      <c r="I830" s="21" t="n">
        <v>0</v>
      </c>
      <c r="J830" s="21" t="n">
        <v>0</v>
      </c>
      <c r="K830" s="21" t="n">
        <v>0</v>
      </c>
      <c r="L830" s="21" t="n">
        <v>0</v>
      </c>
      <c r="M830" s="21" t="n">
        <v>0</v>
      </c>
      <c r="N830" s="21" t="n">
        <v>0</v>
      </c>
      <c r="O830" s="21" t="n">
        <v>0</v>
      </c>
      <c r="P830" s="21" t="n">
        <v>0</v>
      </c>
      <c r="Q830" s="21" t="n">
        <v>0</v>
      </c>
      <c r="R830" s="21" t="n">
        <v>0</v>
      </c>
      <c r="S830" s="21" t="n">
        <v>0</v>
      </c>
      <c r="T830" s="21" t="n">
        <v>0</v>
      </c>
      <c r="U830" s="21" t="n">
        <v>0</v>
      </c>
      <c r="V830" s="21" t="n">
        <v>0</v>
      </c>
      <c r="W830" s="21" t="n">
        <v>0</v>
      </c>
      <c r="X830" s="21" t="n">
        <v>0</v>
      </c>
      <c r="Y830" s="21" t="n">
        <v>0</v>
      </c>
      <c r="Z830" s="21" t="n">
        <v>0</v>
      </c>
      <c r="AA830" s="21" t="n">
        <v>0</v>
      </c>
      <c r="AB830" s="21">
        <f>$B$19</f>
        <v/>
      </c>
      <c r="AC830" s="21">
        <f>$B$21</f>
        <v/>
      </c>
      <c r="AD830" s="21">
        <f>0</f>
        <v/>
      </c>
      <c r="AE830" s="21">
        <f>2*$B$20</f>
        <v/>
      </c>
      <c r="AF830" s="21">
        <f>-$B$19</f>
        <v/>
      </c>
      <c r="AG830" s="21">
        <f>$B$21</f>
        <v/>
      </c>
      <c r="AH830" s="21" t="n">
        <v>0</v>
      </c>
      <c r="AI830" s="21" t="n">
        <v>0</v>
      </c>
      <c r="AJ830" s="21" t="n">
        <v>0</v>
      </c>
      <c r="AK830" s="21" t="n">
        <v>0</v>
      </c>
      <c r="AL830" s="21" t="n">
        <v>0</v>
      </c>
      <c r="AM830" s="21" t="n">
        <v>0</v>
      </c>
      <c r="AN830" s="21" t="n">
        <v>0</v>
      </c>
      <c r="AO830" s="21" t="n">
        <v>0</v>
      </c>
      <c r="AP830" s="21" t="n">
        <v>0</v>
      </c>
      <c r="AQ830" s="21" t="n">
        <v>0</v>
      </c>
      <c r="AR830" s="21" t="n">
        <v>0</v>
      </c>
      <c r="AS830" s="21" t="n">
        <v>0</v>
      </c>
      <c r="AT830" s="19" t="n"/>
    </row>
    <row r="831">
      <c r="D831" s="21" t="n">
        <v>0</v>
      </c>
      <c r="E831" s="21" t="n">
        <v>0</v>
      </c>
      <c r="F831" s="21" t="n">
        <v>0</v>
      </c>
      <c r="G831" s="21" t="n">
        <v>0</v>
      </c>
      <c r="H831" s="21" t="n">
        <v>0</v>
      </c>
      <c r="I831" s="21" t="n">
        <v>0</v>
      </c>
      <c r="J831" s="21" t="n">
        <v>0</v>
      </c>
      <c r="K831" s="21" t="n">
        <v>0</v>
      </c>
      <c r="L831" s="21" t="n">
        <v>0</v>
      </c>
      <c r="M831" s="21" t="n">
        <v>0</v>
      </c>
      <c r="N831" s="21" t="n">
        <v>0</v>
      </c>
      <c r="O831" s="21" t="n">
        <v>0</v>
      </c>
      <c r="P831" s="21" t="n">
        <v>0</v>
      </c>
      <c r="Q831" s="21" t="n">
        <v>0</v>
      </c>
      <c r="R831" s="21" t="n">
        <v>0</v>
      </c>
      <c r="S831" s="21" t="n">
        <v>0</v>
      </c>
      <c r="T831" s="21" t="n">
        <v>0</v>
      </c>
      <c r="U831" s="21" t="n">
        <v>0</v>
      </c>
      <c r="V831" s="21" t="n">
        <v>0</v>
      </c>
      <c r="W831" s="21" t="n">
        <v>0</v>
      </c>
      <c r="X831" s="21" t="n">
        <v>0</v>
      </c>
      <c r="Y831" s="21" t="n">
        <v>0</v>
      </c>
      <c r="Z831" s="21" t="n">
        <v>0</v>
      </c>
      <c r="AA831" s="21" t="n">
        <v>0</v>
      </c>
      <c r="AB831" s="21" t="n">
        <v>0</v>
      </c>
      <c r="AC831" s="21" t="n">
        <v>0</v>
      </c>
      <c r="AD831" s="21">
        <f>-$B$18</f>
        <v/>
      </c>
      <c r="AE831" s="21">
        <f>-$B$19</f>
        <v/>
      </c>
      <c r="AF831" s="21">
        <f>2*$B$18+$D$795</f>
        <v/>
      </c>
      <c r="AG831" s="21">
        <f>0</f>
        <v/>
      </c>
      <c r="AH831" s="21">
        <f>-$B$18</f>
        <v/>
      </c>
      <c r="AI831" s="21">
        <f>$B$19</f>
        <v/>
      </c>
      <c r="AJ831" s="21" t="n">
        <v>0</v>
      </c>
      <c r="AK831" s="21" t="n">
        <v>0</v>
      </c>
      <c r="AL831" s="21" t="n">
        <v>0</v>
      </c>
      <c r="AM831" s="21" t="n">
        <v>0</v>
      </c>
      <c r="AN831" s="21" t="n">
        <v>0</v>
      </c>
      <c r="AO831" s="21" t="n">
        <v>0</v>
      </c>
      <c r="AP831" s="21" t="n">
        <v>0</v>
      </c>
      <c r="AQ831" s="21" t="n">
        <v>0</v>
      </c>
      <c r="AR831" s="21" t="n">
        <v>0</v>
      </c>
      <c r="AS831" s="21" t="n">
        <v>0</v>
      </c>
      <c r="AT831" s="19" t="n"/>
    </row>
    <row r="832">
      <c r="D832" s="21" t="n">
        <v>0</v>
      </c>
      <c r="E832" s="21" t="n">
        <v>0</v>
      </c>
      <c r="F832" s="21" t="n">
        <v>0</v>
      </c>
      <c r="G832" s="21" t="n">
        <v>0</v>
      </c>
      <c r="H832" s="21" t="n">
        <v>0</v>
      </c>
      <c r="I832" s="21" t="n">
        <v>0</v>
      </c>
      <c r="J832" s="21" t="n">
        <v>0</v>
      </c>
      <c r="K832" s="21" t="n">
        <v>0</v>
      </c>
      <c r="L832" s="21" t="n">
        <v>0</v>
      </c>
      <c r="M832" s="21" t="n">
        <v>0</v>
      </c>
      <c r="N832" s="21" t="n">
        <v>0</v>
      </c>
      <c r="O832" s="21" t="n">
        <v>0</v>
      </c>
      <c r="P832" s="21" t="n">
        <v>0</v>
      </c>
      <c r="Q832" s="21" t="n">
        <v>0</v>
      </c>
      <c r="R832" s="21" t="n">
        <v>0</v>
      </c>
      <c r="S832" s="21" t="n">
        <v>0</v>
      </c>
      <c r="T832" s="21" t="n">
        <v>0</v>
      </c>
      <c r="U832" s="21" t="n">
        <v>0</v>
      </c>
      <c r="V832" s="21" t="n">
        <v>0</v>
      </c>
      <c r="W832" s="21" t="n">
        <v>0</v>
      </c>
      <c r="X832" s="21" t="n">
        <v>0</v>
      </c>
      <c r="Y832" s="21" t="n">
        <v>0</v>
      </c>
      <c r="Z832" s="21" t="n">
        <v>0</v>
      </c>
      <c r="AA832" s="21" t="n">
        <v>0</v>
      </c>
      <c r="AB832" s="21" t="n">
        <v>0</v>
      </c>
      <c r="AC832" s="21" t="n">
        <v>0</v>
      </c>
      <c r="AD832" s="21">
        <f>$B$19</f>
        <v/>
      </c>
      <c r="AE832" s="21">
        <f>$B$21</f>
        <v/>
      </c>
      <c r="AF832" s="21">
        <f>0</f>
        <v/>
      </c>
      <c r="AG832" s="21">
        <f>2*$B$20</f>
        <v/>
      </c>
      <c r="AH832" s="21">
        <f>-$B$19</f>
        <v/>
      </c>
      <c r="AI832" s="21">
        <f>$B$21</f>
        <v/>
      </c>
      <c r="AJ832" s="21" t="n">
        <v>0</v>
      </c>
      <c r="AK832" s="21" t="n">
        <v>0</v>
      </c>
      <c r="AL832" s="21" t="n">
        <v>0</v>
      </c>
      <c r="AM832" s="21" t="n">
        <v>0</v>
      </c>
      <c r="AN832" s="21" t="n">
        <v>0</v>
      </c>
      <c r="AO832" s="21" t="n">
        <v>0</v>
      </c>
      <c r="AP832" s="21" t="n">
        <v>0</v>
      </c>
      <c r="AQ832" s="21" t="n">
        <v>0</v>
      </c>
      <c r="AR832" s="21" t="n">
        <v>0</v>
      </c>
      <c r="AS832" s="21" t="n">
        <v>0</v>
      </c>
      <c r="AT832" s="19" t="n"/>
    </row>
    <row r="833">
      <c r="D833" s="21" t="n">
        <v>0</v>
      </c>
      <c r="E833" s="21" t="n">
        <v>0</v>
      </c>
      <c r="F833" s="21" t="n">
        <v>0</v>
      </c>
      <c r="G833" s="21" t="n">
        <v>0</v>
      </c>
      <c r="H833" s="21" t="n">
        <v>0</v>
      </c>
      <c r="I833" s="21" t="n">
        <v>0</v>
      </c>
      <c r="J833" s="21" t="n">
        <v>0</v>
      </c>
      <c r="K833" s="21" t="n">
        <v>0</v>
      </c>
      <c r="L833" s="21" t="n">
        <v>0</v>
      </c>
      <c r="M833" s="21" t="n">
        <v>0</v>
      </c>
      <c r="N833" s="21" t="n">
        <v>0</v>
      </c>
      <c r="O833" s="21" t="n">
        <v>0</v>
      </c>
      <c r="P833" s="21" t="n">
        <v>0</v>
      </c>
      <c r="Q833" s="21" t="n">
        <v>0</v>
      </c>
      <c r="R833" s="21" t="n">
        <v>0</v>
      </c>
      <c r="S833" s="21" t="n">
        <v>0</v>
      </c>
      <c r="T833" s="21" t="n">
        <v>0</v>
      </c>
      <c r="U833" s="21" t="n">
        <v>0</v>
      </c>
      <c r="V833" s="21" t="n">
        <v>0</v>
      </c>
      <c r="W833" s="21" t="n">
        <v>0</v>
      </c>
      <c r="X833" s="21" t="n">
        <v>0</v>
      </c>
      <c r="Y833" s="21" t="n">
        <v>0</v>
      </c>
      <c r="Z833" s="21" t="n">
        <v>0</v>
      </c>
      <c r="AA833" s="21" t="n">
        <v>0</v>
      </c>
      <c r="AB833" s="21" t="n">
        <v>0</v>
      </c>
      <c r="AC833" s="21" t="n">
        <v>0</v>
      </c>
      <c r="AD833" s="21" t="n">
        <v>0</v>
      </c>
      <c r="AE833" s="21" t="n">
        <v>0</v>
      </c>
      <c r="AF833" s="21">
        <f>-$B$18</f>
        <v/>
      </c>
      <c r="AG833" s="21">
        <f>-$B$19</f>
        <v/>
      </c>
      <c r="AH833" s="21">
        <f>2*$B$18+$D$796</f>
        <v/>
      </c>
      <c r="AI833" s="21">
        <f>0</f>
        <v/>
      </c>
      <c r="AJ833" s="21">
        <f>-$B$18</f>
        <v/>
      </c>
      <c r="AK833" s="21">
        <f>$B$19</f>
        <v/>
      </c>
      <c r="AL833" s="21" t="n">
        <v>0</v>
      </c>
      <c r="AM833" s="21" t="n">
        <v>0</v>
      </c>
      <c r="AN833" s="21" t="n">
        <v>0</v>
      </c>
      <c r="AO833" s="21" t="n">
        <v>0</v>
      </c>
      <c r="AP833" s="21" t="n">
        <v>0</v>
      </c>
      <c r="AQ833" s="21" t="n">
        <v>0</v>
      </c>
      <c r="AR833" s="21" t="n">
        <v>0</v>
      </c>
      <c r="AS833" s="21" t="n">
        <v>0</v>
      </c>
      <c r="AT833" s="19" t="n"/>
    </row>
    <row r="834">
      <c r="D834" s="21" t="n">
        <v>0</v>
      </c>
      <c r="E834" s="21" t="n">
        <v>0</v>
      </c>
      <c r="F834" s="21" t="n">
        <v>0</v>
      </c>
      <c r="G834" s="21" t="n">
        <v>0</v>
      </c>
      <c r="H834" s="21" t="n">
        <v>0</v>
      </c>
      <c r="I834" s="21" t="n">
        <v>0</v>
      </c>
      <c r="J834" s="21" t="n">
        <v>0</v>
      </c>
      <c r="K834" s="21" t="n">
        <v>0</v>
      </c>
      <c r="L834" s="21" t="n">
        <v>0</v>
      </c>
      <c r="M834" s="21" t="n">
        <v>0</v>
      </c>
      <c r="N834" s="21" t="n">
        <v>0</v>
      </c>
      <c r="O834" s="21" t="n">
        <v>0</v>
      </c>
      <c r="P834" s="21" t="n">
        <v>0</v>
      </c>
      <c r="Q834" s="21" t="n">
        <v>0</v>
      </c>
      <c r="R834" s="21" t="n">
        <v>0</v>
      </c>
      <c r="S834" s="21" t="n">
        <v>0</v>
      </c>
      <c r="T834" s="21" t="n">
        <v>0</v>
      </c>
      <c r="U834" s="21" t="n">
        <v>0</v>
      </c>
      <c r="V834" s="21" t="n">
        <v>0</v>
      </c>
      <c r="W834" s="21" t="n">
        <v>0</v>
      </c>
      <c r="X834" s="21" t="n">
        <v>0</v>
      </c>
      <c r="Y834" s="21" t="n">
        <v>0</v>
      </c>
      <c r="Z834" s="21" t="n">
        <v>0</v>
      </c>
      <c r="AA834" s="21" t="n">
        <v>0</v>
      </c>
      <c r="AB834" s="21" t="n">
        <v>0</v>
      </c>
      <c r="AC834" s="21" t="n">
        <v>0</v>
      </c>
      <c r="AD834" s="21" t="n">
        <v>0</v>
      </c>
      <c r="AE834" s="21" t="n">
        <v>0</v>
      </c>
      <c r="AF834" s="21">
        <f>$B$19</f>
        <v/>
      </c>
      <c r="AG834" s="21">
        <f>$B$21</f>
        <v/>
      </c>
      <c r="AH834" s="21">
        <f>0</f>
        <v/>
      </c>
      <c r="AI834" s="21">
        <f>2*$B$20</f>
        <v/>
      </c>
      <c r="AJ834" s="21">
        <f>-$B$19</f>
        <v/>
      </c>
      <c r="AK834" s="21">
        <f>$B$21</f>
        <v/>
      </c>
      <c r="AL834" s="21" t="n">
        <v>0</v>
      </c>
      <c r="AM834" s="21" t="n">
        <v>0</v>
      </c>
      <c r="AN834" s="21" t="n">
        <v>0</v>
      </c>
      <c r="AO834" s="21" t="n">
        <v>0</v>
      </c>
      <c r="AP834" s="21" t="n">
        <v>0</v>
      </c>
      <c r="AQ834" s="21" t="n">
        <v>0</v>
      </c>
      <c r="AR834" s="21" t="n">
        <v>0</v>
      </c>
      <c r="AS834" s="21" t="n">
        <v>0</v>
      </c>
      <c r="AT834" s="19" t="n"/>
    </row>
    <row r="835">
      <c r="D835" s="21" t="n">
        <v>0</v>
      </c>
      <c r="E835" s="21" t="n">
        <v>0</v>
      </c>
      <c r="F835" s="21" t="n">
        <v>0</v>
      </c>
      <c r="G835" s="21" t="n">
        <v>0</v>
      </c>
      <c r="H835" s="21" t="n">
        <v>0</v>
      </c>
      <c r="I835" s="21" t="n">
        <v>0</v>
      </c>
      <c r="J835" s="21" t="n">
        <v>0</v>
      </c>
      <c r="K835" s="21" t="n">
        <v>0</v>
      </c>
      <c r="L835" s="21" t="n">
        <v>0</v>
      </c>
      <c r="M835" s="21" t="n">
        <v>0</v>
      </c>
      <c r="N835" s="21" t="n">
        <v>0</v>
      </c>
      <c r="O835" s="21" t="n">
        <v>0</v>
      </c>
      <c r="P835" s="21" t="n">
        <v>0</v>
      </c>
      <c r="Q835" s="21" t="n">
        <v>0</v>
      </c>
      <c r="R835" s="21" t="n">
        <v>0</v>
      </c>
      <c r="S835" s="21" t="n">
        <v>0</v>
      </c>
      <c r="T835" s="21" t="n">
        <v>0</v>
      </c>
      <c r="U835" s="21" t="n">
        <v>0</v>
      </c>
      <c r="V835" s="21" t="n">
        <v>0</v>
      </c>
      <c r="W835" s="21" t="n">
        <v>0</v>
      </c>
      <c r="X835" s="21" t="n">
        <v>0</v>
      </c>
      <c r="Y835" s="21" t="n">
        <v>0</v>
      </c>
      <c r="Z835" s="21" t="n">
        <v>0</v>
      </c>
      <c r="AA835" s="21" t="n">
        <v>0</v>
      </c>
      <c r="AB835" s="21" t="n">
        <v>0</v>
      </c>
      <c r="AC835" s="21" t="n">
        <v>0</v>
      </c>
      <c r="AD835" s="21" t="n">
        <v>0</v>
      </c>
      <c r="AE835" s="21" t="n">
        <v>0</v>
      </c>
      <c r="AF835" s="21" t="n">
        <v>0</v>
      </c>
      <c r="AG835" s="21" t="n">
        <v>0</v>
      </c>
      <c r="AH835" s="21">
        <f>-$B$18</f>
        <v/>
      </c>
      <c r="AI835" s="21">
        <f>-$B$19</f>
        <v/>
      </c>
      <c r="AJ835" s="21">
        <f>2*$B$18+$D$797</f>
        <v/>
      </c>
      <c r="AK835" s="21">
        <f>0</f>
        <v/>
      </c>
      <c r="AL835" s="21">
        <f>-$B$18</f>
        <v/>
      </c>
      <c r="AM835" s="21">
        <f>$B$19</f>
        <v/>
      </c>
      <c r="AN835" s="21" t="n">
        <v>0</v>
      </c>
      <c r="AO835" s="21" t="n">
        <v>0</v>
      </c>
      <c r="AP835" s="21" t="n">
        <v>0</v>
      </c>
      <c r="AQ835" s="21" t="n">
        <v>0</v>
      </c>
      <c r="AR835" s="21" t="n">
        <v>0</v>
      </c>
      <c r="AS835" s="21" t="n">
        <v>0</v>
      </c>
      <c r="AT835" s="19" t="n"/>
    </row>
    <row r="836">
      <c r="D836" s="21" t="n">
        <v>0</v>
      </c>
      <c r="E836" s="21" t="n">
        <v>0</v>
      </c>
      <c r="F836" s="21" t="n">
        <v>0</v>
      </c>
      <c r="G836" s="21" t="n">
        <v>0</v>
      </c>
      <c r="H836" s="21" t="n">
        <v>0</v>
      </c>
      <c r="I836" s="21" t="n">
        <v>0</v>
      </c>
      <c r="J836" s="21" t="n">
        <v>0</v>
      </c>
      <c r="K836" s="21" t="n">
        <v>0</v>
      </c>
      <c r="L836" s="21" t="n">
        <v>0</v>
      </c>
      <c r="M836" s="21" t="n">
        <v>0</v>
      </c>
      <c r="N836" s="21" t="n">
        <v>0</v>
      </c>
      <c r="O836" s="21" t="n">
        <v>0</v>
      </c>
      <c r="P836" s="21" t="n">
        <v>0</v>
      </c>
      <c r="Q836" s="21" t="n">
        <v>0</v>
      </c>
      <c r="R836" s="21" t="n">
        <v>0</v>
      </c>
      <c r="S836" s="21" t="n">
        <v>0</v>
      </c>
      <c r="T836" s="21" t="n">
        <v>0</v>
      </c>
      <c r="U836" s="21" t="n">
        <v>0</v>
      </c>
      <c r="V836" s="21" t="n">
        <v>0</v>
      </c>
      <c r="W836" s="21" t="n">
        <v>0</v>
      </c>
      <c r="X836" s="21" t="n">
        <v>0</v>
      </c>
      <c r="Y836" s="21" t="n">
        <v>0</v>
      </c>
      <c r="Z836" s="21" t="n">
        <v>0</v>
      </c>
      <c r="AA836" s="21" t="n">
        <v>0</v>
      </c>
      <c r="AB836" s="21" t="n">
        <v>0</v>
      </c>
      <c r="AC836" s="21" t="n">
        <v>0</v>
      </c>
      <c r="AD836" s="21" t="n">
        <v>0</v>
      </c>
      <c r="AE836" s="21" t="n">
        <v>0</v>
      </c>
      <c r="AF836" s="21" t="n">
        <v>0</v>
      </c>
      <c r="AG836" s="21" t="n">
        <v>0</v>
      </c>
      <c r="AH836" s="21">
        <f>$B$19</f>
        <v/>
      </c>
      <c r="AI836" s="21">
        <f>$B$21</f>
        <v/>
      </c>
      <c r="AJ836" s="21">
        <f>0</f>
        <v/>
      </c>
      <c r="AK836" s="21">
        <f>2*$B$20</f>
        <v/>
      </c>
      <c r="AL836" s="21">
        <f>-$B$19</f>
        <v/>
      </c>
      <c r="AM836" s="21">
        <f>$B$21</f>
        <v/>
      </c>
      <c r="AN836" s="21" t="n">
        <v>0</v>
      </c>
      <c r="AO836" s="21" t="n">
        <v>0</v>
      </c>
      <c r="AP836" s="21" t="n">
        <v>0</v>
      </c>
      <c r="AQ836" s="21" t="n">
        <v>0</v>
      </c>
      <c r="AR836" s="21" t="n">
        <v>0</v>
      </c>
      <c r="AS836" s="21" t="n">
        <v>0</v>
      </c>
      <c r="AT836" s="19" t="n"/>
    </row>
    <row r="837">
      <c r="D837" s="21" t="n">
        <v>0</v>
      </c>
      <c r="E837" s="21" t="n">
        <v>0</v>
      </c>
      <c r="F837" s="21" t="n">
        <v>0</v>
      </c>
      <c r="G837" s="21" t="n">
        <v>0</v>
      </c>
      <c r="H837" s="21" t="n">
        <v>0</v>
      </c>
      <c r="I837" s="21" t="n">
        <v>0</v>
      </c>
      <c r="J837" s="21" t="n">
        <v>0</v>
      </c>
      <c r="K837" s="21" t="n">
        <v>0</v>
      </c>
      <c r="L837" s="21" t="n">
        <v>0</v>
      </c>
      <c r="M837" s="21" t="n">
        <v>0</v>
      </c>
      <c r="N837" s="21" t="n">
        <v>0</v>
      </c>
      <c r="O837" s="21" t="n">
        <v>0</v>
      </c>
      <c r="P837" s="21" t="n">
        <v>0</v>
      </c>
      <c r="Q837" s="21" t="n">
        <v>0</v>
      </c>
      <c r="R837" s="21" t="n">
        <v>0</v>
      </c>
      <c r="S837" s="21" t="n">
        <v>0</v>
      </c>
      <c r="T837" s="21" t="n">
        <v>0</v>
      </c>
      <c r="U837" s="21" t="n">
        <v>0</v>
      </c>
      <c r="V837" s="21" t="n">
        <v>0</v>
      </c>
      <c r="W837" s="21" t="n">
        <v>0</v>
      </c>
      <c r="X837" s="21" t="n">
        <v>0</v>
      </c>
      <c r="Y837" s="21" t="n">
        <v>0</v>
      </c>
      <c r="Z837" s="21" t="n">
        <v>0</v>
      </c>
      <c r="AA837" s="21" t="n">
        <v>0</v>
      </c>
      <c r="AB837" s="21" t="n">
        <v>0</v>
      </c>
      <c r="AC837" s="21" t="n">
        <v>0</v>
      </c>
      <c r="AD837" s="21" t="n">
        <v>0</v>
      </c>
      <c r="AE837" s="21" t="n">
        <v>0</v>
      </c>
      <c r="AF837" s="21" t="n">
        <v>0</v>
      </c>
      <c r="AG837" s="21" t="n">
        <v>0</v>
      </c>
      <c r="AH837" s="21" t="n">
        <v>0</v>
      </c>
      <c r="AI837" s="21" t="n">
        <v>0</v>
      </c>
      <c r="AJ837" s="21">
        <f>-$B$18</f>
        <v/>
      </c>
      <c r="AK837" s="21">
        <f>-$B$19</f>
        <v/>
      </c>
      <c r="AL837" s="21">
        <f>2*$B$18+$D$798</f>
        <v/>
      </c>
      <c r="AM837" s="21">
        <f>0</f>
        <v/>
      </c>
      <c r="AN837" s="21">
        <f>-$B$18</f>
        <v/>
      </c>
      <c r="AO837" s="21">
        <f>$B$19</f>
        <v/>
      </c>
      <c r="AP837" s="21" t="n">
        <v>0</v>
      </c>
      <c r="AQ837" s="21" t="n">
        <v>0</v>
      </c>
      <c r="AR837" s="21" t="n">
        <v>0</v>
      </c>
      <c r="AS837" s="21" t="n">
        <v>0</v>
      </c>
      <c r="AT837" s="19" t="n"/>
    </row>
    <row r="838">
      <c r="D838" s="21" t="n">
        <v>0</v>
      </c>
      <c r="E838" s="21" t="n">
        <v>0</v>
      </c>
      <c r="F838" s="21" t="n">
        <v>0</v>
      </c>
      <c r="G838" s="21" t="n">
        <v>0</v>
      </c>
      <c r="H838" s="21" t="n">
        <v>0</v>
      </c>
      <c r="I838" s="21" t="n">
        <v>0</v>
      </c>
      <c r="J838" s="21" t="n">
        <v>0</v>
      </c>
      <c r="K838" s="21" t="n">
        <v>0</v>
      </c>
      <c r="L838" s="21" t="n">
        <v>0</v>
      </c>
      <c r="M838" s="21" t="n">
        <v>0</v>
      </c>
      <c r="N838" s="21" t="n">
        <v>0</v>
      </c>
      <c r="O838" s="21" t="n">
        <v>0</v>
      </c>
      <c r="P838" s="21" t="n">
        <v>0</v>
      </c>
      <c r="Q838" s="21" t="n">
        <v>0</v>
      </c>
      <c r="R838" s="21" t="n">
        <v>0</v>
      </c>
      <c r="S838" s="21" t="n">
        <v>0</v>
      </c>
      <c r="T838" s="21" t="n">
        <v>0</v>
      </c>
      <c r="U838" s="21" t="n">
        <v>0</v>
      </c>
      <c r="V838" s="21" t="n">
        <v>0</v>
      </c>
      <c r="W838" s="21" t="n">
        <v>0</v>
      </c>
      <c r="X838" s="21" t="n">
        <v>0</v>
      </c>
      <c r="Y838" s="21" t="n">
        <v>0</v>
      </c>
      <c r="Z838" s="21" t="n">
        <v>0</v>
      </c>
      <c r="AA838" s="21" t="n">
        <v>0</v>
      </c>
      <c r="AB838" s="21" t="n">
        <v>0</v>
      </c>
      <c r="AC838" s="21" t="n">
        <v>0</v>
      </c>
      <c r="AD838" s="21" t="n">
        <v>0</v>
      </c>
      <c r="AE838" s="21" t="n">
        <v>0</v>
      </c>
      <c r="AF838" s="21" t="n">
        <v>0</v>
      </c>
      <c r="AG838" s="21" t="n">
        <v>0</v>
      </c>
      <c r="AH838" s="21" t="n">
        <v>0</v>
      </c>
      <c r="AI838" s="21" t="n">
        <v>0</v>
      </c>
      <c r="AJ838" s="21">
        <f>$B$19</f>
        <v/>
      </c>
      <c r="AK838" s="21">
        <f>$B$21</f>
        <v/>
      </c>
      <c r="AL838" s="21">
        <f>0</f>
        <v/>
      </c>
      <c r="AM838" s="21">
        <f>2*$B$20</f>
        <v/>
      </c>
      <c r="AN838" s="21">
        <f>-$B$19</f>
        <v/>
      </c>
      <c r="AO838" s="21">
        <f>$B$21</f>
        <v/>
      </c>
      <c r="AP838" s="21" t="n">
        <v>0</v>
      </c>
      <c r="AQ838" s="21" t="n">
        <v>0</v>
      </c>
      <c r="AR838" s="21" t="n">
        <v>0</v>
      </c>
      <c r="AS838" s="21" t="n">
        <v>0</v>
      </c>
      <c r="AT838" s="19" t="n"/>
    </row>
    <row r="839">
      <c r="D839" s="21" t="n">
        <v>0</v>
      </c>
      <c r="E839" s="21" t="n">
        <v>0</v>
      </c>
      <c r="F839" s="21" t="n">
        <v>0</v>
      </c>
      <c r="G839" s="21" t="n">
        <v>0</v>
      </c>
      <c r="H839" s="21" t="n">
        <v>0</v>
      </c>
      <c r="I839" s="21" t="n">
        <v>0</v>
      </c>
      <c r="J839" s="21" t="n">
        <v>0</v>
      </c>
      <c r="K839" s="21" t="n">
        <v>0</v>
      </c>
      <c r="L839" s="21" t="n">
        <v>0</v>
      </c>
      <c r="M839" s="21" t="n">
        <v>0</v>
      </c>
      <c r="N839" s="21" t="n">
        <v>0</v>
      </c>
      <c r="O839" s="21" t="n">
        <v>0</v>
      </c>
      <c r="P839" s="21" t="n">
        <v>0</v>
      </c>
      <c r="Q839" s="21" t="n">
        <v>0</v>
      </c>
      <c r="R839" s="21" t="n">
        <v>0</v>
      </c>
      <c r="S839" s="21" t="n">
        <v>0</v>
      </c>
      <c r="T839" s="21" t="n">
        <v>0</v>
      </c>
      <c r="U839" s="21" t="n">
        <v>0</v>
      </c>
      <c r="V839" s="21" t="n">
        <v>0</v>
      </c>
      <c r="W839" s="21" t="n">
        <v>0</v>
      </c>
      <c r="X839" s="21" t="n">
        <v>0</v>
      </c>
      <c r="Y839" s="21" t="n">
        <v>0</v>
      </c>
      <c r="Z839" s="21" t="n">
        <v>0</v>
      </c>
      <c r="AA839" s="21" t="n">
        <v>0</v>
      </c>
      <c r="AB839" s="21" t="n">
        <v>0</v>
      </c>
      <c r="AC839" s="21" t="n">
        <v>0</v>
      </c>
      <c r="AD839" s="21" t="n">
        <v>0</v>
      </c>
      <c r="AE839" s="21" t="n">
        <v>0</v>
      </c>
      <c r="AF839" s="21" t="n">
        <v>0</v>
      </c>
      <c r="AG839" s="21" t="n">
        <v>0</v>
      </c>
      <c r="AH839" s="21" t="n">
        <v>0</v>
      </c>
      <c r="AI839" s="21" t="n">
        <v>0</v>
      </c>
      <c r="AJ839" s="21" t="n">
        <v>0</v>
      </c>
      <c r="AK839" s="21" t="n">
        <v>0</v>
      </c>
      <c r="AL839" s="21">
        <f>-$B$18</f>
        <v/>
      </c>
      <c r="AM839" s="21">
        <f>-$B$19</f>
        <v/>
      </c>
      <c r="AN839" s="21">
        <f>2*$B$18+$D$799</f>
        <v/>
      </c>
      <c r="AO839" s="21">
        <f>0</f>
        <v/>
      </c>
      <c r="AP839" s="21">
        <f>-$B$18</f>
        <v/>
      </c>
      <c r="AQ839" s="21">
        <f>$B$19</f>
        <v/>
      </c>
      <c r="AR839" s="21" t="n">
        <v>0</v>
      </c>
      <c r="AS839" s="21" t="n">
        <v>0</v>
      </c>
      <c r="AT839" s="19" t="n"/>
    </row>
    <row r="840">
      <c r="D840" s="21" t="n">
        <v>0</v>
      </c>
      <c r="E840" s="21" t="n">
        <v>0</v>
      </c>
      <c r="F840" s="21" t="n">
        <v>0</v>
      </c>
      <c r="G840" s="21" t="n">
        <v>0</v>
      </c>
      <c r="H840" s="21" t="n">
        <v>0</v>
      </c>
      <c r="I840" s="21" t="n">
        <v>0</v>
      </c>
      <c r="J840" s="21" t="n">
        <v>0</v>
      </c>
      <c r="K840" s="21" t="n">
        <v>0</v>
      </c>
      <c r="L840" s="21" t="n">
        <v>0</v>
      </c>
      <c r="M840" s="21" t="n">
        <v>0</v>
      </c>
      <c r="N840" s="21" t="n">
        <v>0</v>
      </c>
      <c r="O840" s="21" t="n">
        <v>0</v>
      </c>
      <c r="P840" s="21" t="n">
        <v>0</v>
      </c>
      <c r="Q840" s="21" t="n">
        <v>0</v>
      </c>
      <c r="R840" s="21" t="n">
        <v>0</v>
      </c>
      <c r="S840" s="21" t="n">
        <v>0</v>
      </c>
      <c r="T840" s="21" t="n">
        <v>0</v>
      </c>
      <c r="U840" s="21" t="n">
        <v>0</v>
      </c>
      <c r="V840" s="21" t="n">
        <v>0</v>
      </c>
      <c r="W840" s="21" t="n">
        <v>0</v>
      </c>
      <c r="X840" s="21" t="n">
        <v>0</v>
      </c>
      <c r="Y840" s="21" t="n">
        <v>0</v>
      </c>
      <c r="Z840" s="21" t="n">
        <v>0</v>
      </c>
      <c r="AA840" s="21" t="n">
        <v>0</v>
      </c>
      <c r="AB840" s="21" t="n">
        <v>0</v>
      </c>
      <c r="AC840" s="21" t="n">
        <v>0</v>
      </c>
      <c r="AD840" s="21" t="n">
        <v>0</v>
      </c>
      <c r="AE840" s="21" t="n">
        <v>0</v>
      </c>
      <c r="AF840" s="21" t="n">
        <v>0</v>
      </c>
      <c r="AG840" s="21" t="n">
        <v>0</v>
      </c>
      <c r="AH840" s="21" t="n">
        <v>0</v>
      </c>
      <c r="AI840" s="21" t="n">
        <v>0</v>
      </c>
      <c r="AJ840" s="21" t="n">
        <v>0</v>
      </c>
      <c r="AK840" s="21" t="n">
        <v>0</v>
      </c>
      <c r="AL840" s="21">
        <f>$B$19</f>
        <v/>
      </c>
      <c r="AM840" s="21">
        <f>$B$21</f>
        <v/>
      </c>
      <c r="AN840" s="21">
        <f>0</f>
        <v/>
      </c>
      <c r="AO840" s="21">
        <f>2*$B$20</f>
        <v/>
      </c>
      <c r="AP840" s="21">
        <f>-$B$19</f>
        <v/>
      </c>
      <c r="AQ840" s="21">
        <f>$B$21</f>
        <v/>
      </c>
      <c r="AR840" s="21" t="n">
        <v>0</v>
      </c>
      <c r="AS840" s="21" t="n">
        <v>0</v>
      </c>
      <c r="AT840" s="19" t="n"/>
    </row>
    <row r="841">
      <c r="D841" s="21" t="n">
        <v>0</v>
      </c>
      <c r="E841" s="21" t="n">
        <v>0</v>
      </c>
      <c r="F841" s="21" t="n">
        <v>0</v>
      </c>
      <c r="G841" s="21" t="n">
        <v>0</v>
      </c>
      <c r="H841" s="21" t="n">
        <v>0</v>
      </c>
      <c r="I841" s="21" t="n">
        <v>0</v>
      </c>
      <c r="J841" s="21" t="n">
        <v>0</v>
      </c>
      <c r="K841" s="21" t="n">
        <v>0</v>
      </c>
      <c r="L841" s="21" t="n">
        <v>0</v>
      </c>
      <c r="M841" s="21" t="n">
        <v>0</v>
      </c>
      <c r="N841" s="21" t="n">
        <v>0</v>
      </c>
      <c r="O841" s="21" t="n">
        <v>0</v>
      </c>
      <c r="P841" s="21" t="n">
        <v>0</v>
      </c>
      <c r="Q841" s="21" t="n">
        <v>0</v>
      </c>
      <c r="R841" s="21" t="n">
        <v>0</v>
      </c>
      <c r="S841" s="21" t="n">
        <v>0</v>
      </c>
      <c r="T841" s="21" t="n">
        <v>0</v>
      </c>
      <c r="U841" s="21" t="n">
        <v>0</v>
      </c>
      <c r="V841" s="21" t="n">
        <v>0</v>
      </c>
      <c r="W841" s="21" t="n">
        <v>0</v>
      </c>
      <c r="X841" s="21" t="n">
        <v>0</v>
      </c>
      <c r="Y841" s="21" t="n">
        <v>0</v>
      </c>
      <c r="Z841" s="21" t="n">
        <v>0</v>
      </c>
      <c r="AA841" s="21" t="n">
        <v>0</v>
      </c>
      <c r="AB841" s="21" t="n">
        <v>0</v>
      </c>
      <c r="AC841" s="21" t="n">
        <v>0</v>
      </c>
      <c r="AD841" s="21" t="n">
        <v>0</v>
      </c>
      <c r="AE841" s="21" t="n">
        <v>0</v>
      </c>
      <c r="AF841" s="21" t="n">
        <v>0</v>
      </c>
      <c r="AG841" s="21" t="n">
        <v>0</v>
      </c>
      <c r="AH841" s="21" t="n">
        <v>0</v>
      </c>
      <c r="AI841" s="21" t="n">
        <v>0</v>
      </c>
      <c r="AJ841" s="21" t="n">
        <v>0</v>
      </c>
      <c r="AK841" s="21" t="n">
        <v>0</v>
      </c>
      <c r="AL841" s="21" t="n">
        <v>0</v>
      </c>
      <c r="AM841" s="21" t="n">
        <v>0</v>
      </c>
      <c r="AN841" s="21">
        <f>-$B$18</f>
        <v/>
      </c>
      <c r="AO841" s="21">
        <f>-$B$19</f>
        <v/>
      </c>
      <c r="AP841" s="21">
        <f>2*$B$18+$D$800</f>
        <v/>
      </c>
      <c r="AQ841" s="21">
        <f>0</f>
        <v/>
      </c>
      <c r="AR841" s="21">
        <f>-$B$18</f>
        <v/>
      </c>
      <c r="AS841" s="21">
        <f>$B$19</f>
        <v/>
      </c>
      <c r="AT841" s="19" t="n"/>
    </row>
    <row r="842">
      <c r="D842" s="21" t="n">
        <v>0</v>
      </c>
      <c r="E842" s="21" t="n">
        <v>0</v>
      </c>
      <c r="F842" s="21" t="n">
        <v>0</v>
      </c>
      <c r="G842" s="21" t="n">
        <v>0</v>
      </c>
      <c r="H842" s="21" t="n">
        <v>0</v>
      </c>
      <c r="I842" s="21" t="n">
        <v>0</v>
      </c>
      <c r="J842" s="21" t="n">
        <v>0</v>
      </c>
      <c r="K842" s="21" t="n">
        <v>0</v>
      </c>
      <c r="L842" s="21" t="n">
        <v>0</v>
      </c>
      <c r="M842" s="21" t="n">
        <v>0</v>
      </c>
      <c r="N842" s="21" t="n">
        <v>0</v>
      </c>
      <c r="O842" s="21" t="n">
        <v>0</v>
      </c>
      <c r="P842" s="21" t="n">
        <v>0</v>
      </c>
      <c r="Q842" s="21" t="n">
        <v>0</v>
      </c>
      <c r="R842" s="21" t="n">
        <v>0</v>
      </c>
      <c r="S842" s="21" t="n">
        <v>0</v>
      </c>
      <c r="T842" s="21" t="n">
        <v>0</v>
      </c>
      <c r="U842" s="21" t="n">
        <v>0</v>
      </c>
      <c r="V842" s="21" t="n">
        <v>0</v>
      </c>
      <c r="W842" s="21" t="n">
        <v>0</v>
      </c>
      <c r="X842" s="21" t="n">
        <v>0</v>
      </c>
      <c r="Y842" s="21" t="n">
        <v>0</v>
      </c>
      <c r="Z842" s="21" t="n">
        <v>0</v>
      </c>
      <c r="AA842" s="21" t="n">
        <v>0</v>
      </c>
      <c r="AB842" s="21" t="n">
        <v>0</v>
      </c>
      <c r="AC842" s="21" t="n">
        <v>0</v>
      </c>
      <c r="AD842" s="21" t="n">
        <v>0</v>
      </c>
      <c r="AE842" s="21" t="n">
        <v>0</v>
      </c>
      <c r="AF842" s="21" t="n">
        <v>0</v>
      </c>
      <c r="AG842" s="21" t="n">
        <v>0</v>
      </c>
      <c r="AH842" s="21" t="n">
        <v>0</v>
      </c>
      <c r="AI842" s="21" t="n">
        <v>0</v>
      </c>
      <c r="AJ842" s="21" t="n">
        <v>0</v>
      </c>
      <c r="AK842" s="21" t="n">
        <v>0</v>
      </c>
      <c r="AL842" s="21" t="n">
        <v>0</v>
      </c>
      <c r="AM842" s="21" t="n">
        <v>0</v>
      </c>
      <c r="AN842" s="21">
        <f>$B$19</f>
        <v/>
      </c>
      <c r="AO842" s="21">
        <f>$B$21</f>
        <v/>
      </c>
      <c r="AP842" s="21">
        <f>0</f>
        <v/>
      </c>
      <c r="AQ842" s="21">
        <f>2*$B$20</f>
        <v/>
      </c>
      <c r="AR842" s="21">
        <f>-$B$19</f>
        <v/>
      </c>
      <c r="AS842" s="21">
        <f>$B$21</f>
        <v/>
      </c>
      <c r="AT842" s="19" t="n"/>
    </row>
    <row r="843">
      <c r="D843" s="21" t="n">
        <v>0</v>
      </c>
      <c r="E843" s="21" t="n">
        <v>0</v>
      </c>
      <c r="F843" s="21" t="n">
        <v>0</v>
      </c>
      <c r="G843" s="21" t="n">
        <v>0</v>
      </c>
      <c r="H843" s="21" t="n">
        <v>0</v>
      </c>
      <c r="I843" s="21" t="n">
        <v>0</v>
      </c>
      <c r="J843" s="21" t="n">
        <v>0</v>
      </c>
      <c r="K843" s="21" t="n">
        <v>0</v>
      </c>
      <c r="L843" s="21" t="n">
        <v>0</v>
      </c>
      <c r="M843" s="21" t="n">
        <v>0</v>
      </c>
      <c r="N843" s="21" t="n">
        <v>0</v>
      </c>
      <c r="O843" s="21" t="n">
        <v>0</v>
      </c>
      <c r="P843" s="21" t="n">
        <v>0</v>
      </c>
      <c r="Q843" s="21" t="n">
        <v>0</v>
      </c>
      <c r="R843" s="21" t="n">
        <v>0</v>
      </c>
      <c r="S843" s="21" t="n">
        <v>0</v>
      </c>
      <c r="T843" s="21" t="n">
        <v>0</v>
      </c>
      <c r="U843" s="21" t="n">
        <v>0</v>
      </c>
      <c r="V843" s="21" t="n">
        <v>0</v>
      </c>
      <c r="W843" s="21" t="n">
        <v>0</v>
      </c>
      <c r="X843" s="21" t="n">
        <v>0</v>
      </c>
      <c r="Y843" s="21" t="n">
        <v>0</v>
      </c>
      <c r="Z843" s="21" t="n">
        <v>0</v>
      </c>
      <c r="AA843" s="21" t="n">
        <v>0</v>
      </c>
      <c r="AB843" s="21" t="n">
        <v>0</v>
      </c>
      <c r="AC843" s="21" t="n">
        <v>0</v>
      </c>
      <c r="AD843" s="21" t="n">
        <v>0</v>
      </c>
      <c r="AE843" s="21" t="n">
        <v>0</v>
      </c>
      <c r="AF843" s="21" t="n">
        <v>0</v>
      </c>
      <c r="AG843" s="21" t="n">
        <v>0</v>
      </c>
      <c r="AH843" s="21" t="n">
        <v>0</v>
      </c>
      <c r="AI843" s="21" t="n">
        <v>0</v>
      </c>
      <c r="AJ843" s="21" t="n">
        <v>0</v>
      </c>
      <c r="AK843" s="21" t="n">
        <v>0</v>
      </c>
      <c r="AL843" s="21" t="n">
        <v>0</v>
      </c>
      <c r="AM843" s="21" t="n">
        <v>0</v>
      </c>
      <c r="AN843" s="21" t="n">
        <v>0</v>
      </c>
      <c r="AO843" s="21" t="n">
        <v>0</v>
      </c>
      <c r="AP843" s="21">
        <f>-$B$18</f>
        <v/>
      </c>
      <c r="AQ843" s="21">
        <f>-$B$19</f>
        <v/>
      </c>
      <c r="AR843" s="21">
        <f>$B$18+$D$801</f>
        <v/>
      </c>
      <c r="AS843" s="21">
        <f>-$B$19</f>
        <v/>
      </c>
      <c r="AT843" s="19" t="n"/>
    </row>
    <row r="844">
      <c r="D844" s="21" t="n">
        <v>0</v>
      </c>
      <c r="E844" s="21" t="n">
        <v>0</v>
      </c>
      <c r="F844" s="21" t="n">
        <v>0</v>
      </c>
      <c r="G844" s="21" t="n">
        <v>0</v>
      </c>
      <c r="H844" s="21" t="n">
        <v>0</v>
      </c>
      <c r="I844" s="21" t="n">
        <v>0</v>
      </c>
      <c r="J844" s="21" t="n">
        <v>0</v>
      </c>
      <c r="K844" s="21" t="n">
        <v>0</v>
      </c>
      <c r="L844" s="21" t="n">
        <v>0</v>
      </c>
      <c r="M844" s="21" t="n">
        <v>0</v>
      </c>
      <c r="N844" s="21" t="n">
        <v>0</v>
      </c>
      <c r="O844" s="21" t="n">
        <v>0</v>
      </c>
      <c r="P844" s="21" t="n">
        <v>0</v>
      </c>
      <c r="Q844" s="21" t="n">
        <v>0</v>
      </c>
      <c r="R844" s="21" t="n">
        <v>0</v>
      </c>
      <c r="S844" s="21" t="n">
        <v>0</v>
      </c>
      <c r="T844" s="21" t="n">
        <v>0</v>
      </c>
      <c r="U844" s="21" t="n">
        <v>0</v>
      </c>
      <c r="V844" s="21" t="n">
        <v>0</v>
      </c>
      <c r="W844" s="21" t="n">
        <v>0</v>
      </c>
      <c r="X844" s="21" t="n">
        <v>0</v>
      </c>
      <c r="Y844" s="21" t="n">
        <v>0</v>
      </c>
      <c r="Z844" s="21" t="n">
        <v>0</v>
      </c>
      <c r="AA844" s="21" t="n">
        <v>0</v>
      </c>
      <c r="AB844" s="21" t="n">
        <v>0</v>
      </c>
      <c r="AC844" s="21" t="n">
        <v>0</v>
      </c>
      <c r="AD844" s="21" t="n">
        <v>0</v>
      </c>
      <c r="AE844" s="21" t="n">
        <v>0</v>
      </c>
      <c r="AF844" s="21" t="n">
        <v>0</v>
      </c>
      <c r="AG844" s="21" t="n">
        <v>0</v>
      </c>
      <c r="AH844" s="21" t="n">
        <v>0</v>
      </c>
      <c r="AI844" s="21" t="n">
        <v>0</v>
      </c>
      <c r="AJ844" s="21" t="n">
        <v>0</v>
      </c>
      <c r="AK844" s="21" t="n">
        <v>0</v>
      </c>
      <c r="AL844" s="21" t="n">
        <v>0</v>
      </c>
      <c r="AM844" s="21" t="n">
        <v>0</v>
      </c>
      <c r="AN844" s="21" t="n">
        <v>0</v>
      </c>
      <c r="AO844" s="21" t="n">
        <v>0</v>
      </c>
      <c r="AP844" s="21">
        <f>$B$19</f>
        <v/>
      </c>
      <c r="AQ844" s="21">
        <f>$B$21</f>
        <v/>
      </c>
      <c r="AR844" s="21">
        <f>-$B$19</f>
        <v/>
      </c>
      <c r="AS844" s="21">
        <f>$B$20</f>
        <v/>
      </c>
      <c r="AT844" s="19" t="n"/>
    </row>
    <row r="846">
      <c r="A846" s="8" t="inlineStr">
        <is>
          <t>gen 12</t>
        </is>
      </c>
    </row>
    <row r="847">
      <c r="D847" s="19">
        <f>IF(ABS(IF(ABS($E$781)&gt;0.000000001,$E$781,0.000000001))=0,0,IF($E$33&lt;=$B$27,0,IF(ABS(IF(ABS($E$781)&gt;0.000000001,$E$781,0.000000001))&gt;=8*$B$29,$H$33,0.5*$H$33*(ABS(IF(ABS($E$781)&gt;0.000000001,$E$781,0.000000001))/$B$29)^(1/3)))/ABS(IF(ABS($E$781)&gt;0.000000001,$E$781,0.000000001))*$I$33)</f>
        <v/>
      </c>
      <c r="E847" s="19">
        <f>0.5*$E$781+0.5*$AT$869</f>
        <v/>
      </c>
      <c r="F847" s="19">
        <f>$AT$870</f>
        <v/>
      </c>
    </row>
    <row r="848">
      <c r="D848" s="19">
        <f>IF(ABS(IF(ABS($E$782)&gt;0.000000001,$E$782,0.000000001))=0,0,IF($E$34&lt;=$B$27,0,IF(ABS(IF(ABS($E$782)&gt;0.000000001,$E$782,0.000000001))&gt;=8*$B$29,$H$34,0.5*$H$34*(ABS(IF(ABS($E$782)&gt;0.000000001,$E$782,0.000000001))/$B$29)^(1/3)))/ABS(IF(ABS($E$782)&gt;0.000000001,$E$782,0.000000001))*$I$34)</f>
        <v/>
      </c>
      <c r="E848" s="19">
        <f>0.5*$E$782+0.5*$AT$871</f>
        <v/>
      </c>
      <c r="F848" s="19">
        <f>$AT$872</f>
        <v/>
      </c>
    </row>
    <row r="849">
      <c r="D849" s="19">
        <f>IF(ABS(IF(ABS($E$783)&gt;0.000000001,$E$783,0.000000001))=0,0,IF($E$35&lt;=$B$27,0,IF(ABS(IF(ABS($E$783)&gt;0.000000001,$E$783,0.000000001))&gt;=8*$B$29,$H$35,0.5*$H$35*(ABS(IF(ABS($E$783)&gt;0.000000001,$E$783,0.000000001))/$B$29)^(1/3)))/ABS(IF(ABS($E$783)&gt;0.000000001,$E$783,0.000000001))*$I$35)</f>
        <v/>
      </c>
      <c r="E849" s="19">
        <f>0.5*$E$783+0.5*$AT$873</f>
        <v/>
      </c>
      <c r="F849" s="19">
        <f>$AT$874</f>
        <v/>
      </c>
    </row>
    <row r="850">
      <c r="D850" s="19">
        <f>IF(ABS(IF(ABS($E$784)&gt;0.000000001,$E$784,0.000000001))=0,0,IF($E$36&lt;=$B$27,0,IF(ABS(IF(ABS($E$784)&gt;0.000000001,$E$784,0.000000001))&gt;=8*$B$29,$H$36,0.5*$H$36*(ABS(IF(ABS($E$784)&gt;0.000000001,$E$784,0.000000001))/$B$29)^(1/3)))/ABS(IF(ABS($E$784)&gt;0.000000001,$E$784,0.000000001))*$I$36)</f>
        <v/>
      </c>
      <c r="E850" s="19">
        <f>0.5*$E$784+0.5*$AT$875</f>
        <v/>
      </c>
      <c r="F850" s="19">
        <f>$AT$876</f>
        <v/>
      </c>
    </row>
    <row r="851">
      <c r="D851" s="19">
        <f>IF(ABS(IF(ABS($E$785)&gt;0.000000001,$E$785,0.000000001))=0,0,IF($E$37&lt;=$B$27,0,IF(ABS(IF(ABS($E$785)&gt;0.000000001,$E$785,0.000000001))&gt;=8*$B$29,$H$37,0.5*$H$37*(ABS(IF(ABS($E$785)&gt;0.000000001,$E$785,0.000000001))/$B$29)^(1/3)))/ABS(IF(ABS($E$785)&gt;0.000000001,$E$785,0.000000001))*$I$37)</f>
        <v/>
      </c>
      <c r="E851" s="19">
        <f>0.5*$E$785+0.5*$AT$877</f>
        <v/>
      </c>
      <c r="F851" s="19">
        <f>$AT$878</f>
        <v/>
      </c>
    </row>
    <row r="852">
      <c r="D852" s="19">
        <f>IF(ABS(IF(ABS($E$786)&gt;0.000000001,$E$786,0.000000001))=0,0,IF($E$38&lt;=$B$27,0,IF(ABS(IF(ABS($E$786)&gt;0.000000001,$E$786,0.000000001))&gt;=8*$B$29,$H$38,0.5*$H$38*(ABS(IF(ABS($E$786)&gt;0.000000001,$E$786,0.000000001))/$B$29)^(1/3)))/ABS(IF(ABS($E$786)&gt;0.000000001,$E$786,0.000000001))*$I$38)</f>
        <v/>
      </c>
      <c r="E852" s="19">
        <f>0.5*$E$786+0.5*$AT$879</f>
        <v/>
      </c>
      <c r="F852" s="19">
        <f>$AT$880</f>
        <v/>
      </c>
    </row>
    <row r="853">
      <c r="D853" s="19">
        <f>IF(ABS(IF(ABS($E$787)&gt;0.000000001,$E$787,0.000000001))=0,0,IF($E$39&lt;=$B$27,0,IF(ABS(IF(ABS($E$787)&gt;0.000000001,$E$787,0.000000001))&gt;=8*$B$29,$H$39,0.5*$H$39*(ABS(IF(ABS($E$787)&gt;0.000000001,$E$787,0.000000001))/$B$29)^(1/3)))/ABS(IF(ABS($E$787)&gt;0.000000001,$E$787,0.000000001))*$I$39)</f>
        <v/>
      </c>
      <c r="E853" s="19">
        <f>0.5*$E$787+0.5*$AT$881</f>
        <v/>
      </c>
      <c r="F853" s="19">
        <f>$AT$882</f>
        <v/>
      </c>
    </row>
    <row r="854">
      <c r="D854" s="19">
        <f>IF(ABS(IF(ABS($E$788)&gt;0.000000001,$E$788,0.000000001))=0,0,IF($E$40&lt;=$B$27,0,IF(ABS(IF(ABS($E$788)&gt;0.000000001,$E$788,0.000000001))&gt;=8*$B$29,$H$40,0.5*$H$40*(ABS(IF(ABS($E$788)&gt;0.000000001,$E$788,0.000000001))/$B$29)^(1/3)))/ABS(IF(ABS($E$788)&gt;0.000000001,$E$788,0.000000001))*$I$40)</f>
        <v/>
      </c>
      <c r="E854" s="19">
        <f>0.5*$E$788+0.5*$AT$883</f>
        <v/>
      </c>
      <c r="F854" s="19">
        <f>$AT$884</f>
        <v/>
      </c>
    </row>
    <row r="855">
      <c r="D855" s="19">
        <f>IF(ABS(IF(ABS($E$789)&gt;0.000000001,$E$789,0.000000001))=0,0,IF($E$41&lt;=$B$27,0,IF(ABS(IF(ABS($E$789)&gt;0.000000001,$E$789,0.000000001))&gt;=8*$B$29,$H$41,0.5*$H$41*(ABS(IF(ABS($E$789)&gt;0.000000001,$E$789,0.000000001))/$B$29)^(1/3)))/ABS(IF(ABS($E$789)&gt;0.000000001,$E$789,0.000000001))*$I$41)</f>
        <v/>
      </c>
      <c r="E855" s="19">
        <f>0.5*$E$789+0.5*$AT$885</f>
        <v/>
      </c>
      <c r="F855" s="19">
        <f>$AT$886</f>
        <v/>
      </c>
    </row>
    <row r="856">
      <c r="D856" s="19">
        <f>IF(ABS(IF(ABS($E$790)&gt;0.000000001,$E$790,0.000000001))=0,0,IF($E$42&lt;=$B$27,0,IF(ABS(IF(ABS($E$790)&gt;0.000000001,$E$790,0.000000001))&gt;=8*$B$29,$H$42,0.5*$H$42*(ABS(IF(ABS($E$790)&gt;0.000000001,$E$790,0.000000001))/$B$29)^(1/3)))/ABS(IF(ABS($E$790)&gt;0.000000001,$E$790,0.000000001))*$I$42)</f>
        <v/>
      </c>
      <c r="E856" s="19">
        <f>0.5*$E$790+0.5*$AT$887</f>
        <v/>
      </c>
      <c r="F856" s="19">
        <f>$AT$888</f>
        <v/>
      </c>
    </row>
    <row r="857">
      <c r="D857" s="19">
        <f>IF(ABS(IF(ABS($E$791)&gt;0.000000001,$E$791,0.000000001))=0,0,IF($E$43&lt;=$B$27,0,IF(ABS(IF(ABS($E$791)&gt;0.000000001,$E$791,0.000000001))&gt;=8*$B$29,$H$43,0.5*$H$43*(ABS(IF(ABS($E$791)&gt;0.000000001,$E$791,0.000000001))/$B$29)^(1/3)))/ABS(IF(ABS($E$791)&gt;0.000000001,$E$791,0.000000001))*$I$43)</f>
        <v/>
      </c>
      <c r="E857" s="19">
        <f>0.5*$E$791+0.5*$AT$889</f>
        <v/>
      </c>
      <c r="F857" s="19">
        <f>$AT$890</f>
        <v/>
      </c>
    </row>
    <row r="858">
      <c r="D858" s="19">
        <f>IF(ABS(IF(ABS($E$792)&gt;0.000000001,$E$792,0.000000001))=0,0,IF($E$44&lt;=$B$27,0,IF(ABS(IF(ABS($E$792)&gt;0.000000001,$E$792,0.000000001))&gt;=8*$B$29,$H$44,0.5*$H$44*(ABS(IF(ABS($E$792)&gt;0.000000001,$E$792,0.000000001))/$B$29)^(1/3)))/ABS(IF(ABS($E$792)&gt;0.000000001,$E$792,0.000000001))*$I$44)</f>
        <v/>
      </c>
      <c r="E858" s="19">
        <f>0.5*$E$792+0.5*$AT$891</f>
        <v/>
      </c>
      <c r="F858" s="19">
        <f>$AT$892</f>
        <v/>
      </c>
    </row>
    <row r="859">
      <c r="D859" s="19">
        <f>IF(ABS(IF(ABS($E$793)&gt;0.000000001,$E$793,0.000000001))=0,0,IF($E$45&lt;=$B$27,0,IF(ABS(IF(ABS($E$793)&gt;0.000000001,$E$793,0.000000001))&gt;=8*$B$29,$H$45,0.5*$H$45*(ABS(IF(ABS($E$793)&gt;0.000000001,$E$793,0.000000001))/$B$29)^(1/3)))/ABS(IF(ABS($E$793)&gt;0.000000001,$E$793,0.000000001))*$I$45)</f>
        <v/>
      </c>
      <c r="E859" s="19">
        <f>0.5*$E$793+0.5*$AT$893</f>
        <v/>
      </c>
      <c r="F859" s="19">
        <f>$AT$894</f>
        <v/>
      </c>
    </row>
    <row r="860">
      <c r="D860" s="19">
        <f>IF(ABS(IF(ABS($E$794)&gt;0.000000001,$E$794,0.000000001))=0,0,IF($E$46&lt;=$B$27,0,IF(ABS(IF(ABS($E$794)&gt;0.000000001,$E$794,0.000000001))&gt;=8*$B$29,$H$46,0.5*$H$46*(ABS(IF(ABS($E$794)&gt;0.000000001,$E$794,0.000000001))/$B$29)^(1/3)))/ABS(IF(ABS($E$794)&gt;0.000000001,$E$794,0.000000001))*$I$46)</f>
        <v/>
      </c>
      <c r="E860" s="19">
        <f>0.5*$E$794+0.5*$AT$895</f>
        <v/>
      </c>
      <c r="F860" s="19">
        <f>$AT$896</f>
        <v/>
      </c>
    </row>
    <row r="861">
      <c r="D861" s="19">
        <f>IF(ABS(IF(ABS($E$795)&gt;0.000000001,$E$795,0.000000001))=0,0,IF($E$47&lt;=$B$27,0,IF(ABS(IF(ABS($E$795)&gt;0.000000001,$E$795,0.000000001))&gt;=8*$B$29,$H$47,0.5*$H$47*(ABS(IF(ABS($E$795)&gt;0.000000001,$E$795,0.000000001))/$B$29)^(1/3)))/ABS(IF(ABS($E$795)&gt;0.000000001,$E$795,0.000000001))*$I$47)</f>
        <v/>
      </c>
      <c r="E861" s="19">
        <f>0.5*$E$795+0.5*$AT$897</f>
        <v/>
      </c>
      <c r="F861" s="19">
        <f>$AT$898</f>
        <v/>
      </c>
    </row>
    <row r="862">
      <c r="D862" s="19">
        <f>IF(ABS(IF(ABS($E$796)&gt;0.000000001,$E$796,0.000000001))=0,0,IF($E$48&lt;=$B$27,0,IF(ABS(IF(ABS($E$796)&gt;0.000000001,$E$796,0.000000001))&gt;=8*$B$29,$H$48,0.5*$H$48*(ABS(IF(ABS($E$796)&gt;0.000000001,$E$796,0.000000001))/$B$29)^(1/3)))/ABS(IF(ABS($E$796)&gt;0.000000001,$E$796,0.000000001))*$I$48)</f>
        <v/>
      </c>
      <c r="E862" s="19">
        <f>0.5*$E$796+0.5*$AT$899</f>
        <v/>
      </c>
      <c r="F862" s="19">
        <f>$AT$900</f>
        <v/>
      </c>
    </row>
    <row r="863">
      <c r="D863" s="19">
        <f>IF(ABS(IF(ABS($E$797)&gt;0.000000001,$E$797,0.000000001))=0,0,IF($E$49&lt;=$B$27,0,IF(ABS(IF(ABS($E$797)&gt;0.000000001,$E$797,0.000000001))&gt;=8*$B$29,$H$49,0.5*$H$49*(ABS(IF(ABS($E$797)&gt;0.000000001,$E$797,0.000000001))/$B$29)^(1/3)))/ABS(IF(ABS($E$797)&gt;0.000000001,$E$797,0.000000001))*$I$49)</f>
        <v/>
      </c>
      <c r="E863" s="19">
        <f>0.5*$E$797+0.5*$AT$901</f>
        <v/>
      </c>
      <c r="F863" s="19">
        <f>$AT$902</f>
        <v/>
      </c>
    </row>
    <row r="864">
      <c r="D864" s="19">
        <f>IF(ABS(IF(ABS($E$798)&gt;0.000000001,$E$798,0.000000001))=0,0,IF($E$50&lt;=$B$27,0,IF(ABS(IF(ABS($E$798)&gt;0.000000001,$E$798,0.000000001))&gt;=8*$B$29,$H$50,0.5*$H$50*(ABS(IF(ABS($E$798)&gt;0.000000001,$E$798,0.000000001))/$B$29)^(1/3)))/ABS(IF(ABS($E$798)&gt;0.000000001,$E$798,0.000000001))*$I$50)</f>
        <v/>
      </c>
      <c r="E864" s="19">
        <f>0.5*$E$798+0.5*$AT$903</f>
        <v/>
      </c>
      <c r="F864" s="19">
        <f>$AT$904</f>
        <v/>
      </c>
    </row>
    <row r="865">
      <c r="D865" s="19">
        <f>IF(ABS(IF(ABS($E$799)&gt;0.000000001,$E$799,0.000000001))=0,0,IF($E$51&lt;=$B$27,0,IF(ABS(IF(ABS($E$799)&gt;0.000000001,$E$799,0.000000001))&gt;=8*$B$29,$H$51,0.5*$H$51*(ABS(IF(ABS($E$799)&gt;0.000000001,$E$799,0.000000001))/$B$29)^(1/3)))/ABS(IF(ABS($E$799)&gt;0.000000001,$E$799,0.000000001))*$I$51)</f>
        <v/>
      </c>
      <c r="E865" s="19">
        <f>0.5*$E$799+0.5*$AT$905</f>
        <v/>
      </c>
      <c r="F865" s="19">
        <f>$AT$906</f>
        <v/>
      </c>
    </row>
    <row r="866">
      <c r="D866" s="19">
        <f>IF(ABS(IF(ABS($E$800)&gt;0.000000001,$E$800,0.000000001))=0,0,IF($E$52&lt;=$B$27,0,IF(ABS(IF(ABS($E$800)&gt;0.000000001,$E$800,0.000000001))&gt;=8*$B$29,$H$52,0.5*$H$52*(ABS(IF(ABS($E$800)&gt;0.000000001,$E$800,0.000000001))/$B$29)^(1/3)))/ABS(IF(ABS($E$800)&gt;0.000000001,$E$800,0.000000001))*$I$52)</f>
        <v/>
      </c>
      <c r="E866" s="19">
        <f>0.5*$E$800+0.5*$AT$907</f>
        <v/>
      </c>
      <c r="F866" s="19">
        <f>$AT$908</f>
        <v/>
      </c>
    </row>
    <row r="867">
      <c r="D867" s="19">
        <f>IF(ABS(IF(ABS($E$801)&gt;0.000000001,$E$801,0.000000001))=0,0,IF($E$53&lt;=$B$27,0,IF(ABS(IF(ABS($E$801)&gt;0.000000001,$E$801,0.000000001))&gt;=8*$B$29,$H$53,0.5*$H$53*(ABS(IF(ABS($E$801)&gt;0.000000001,$E$801,0.000000001))/$B$29)^(1/3)))/ABS(IF(ABS($E$801)&gt;0.000000001,$E$801,0.000000001))*$I$53)</f>
        <v/>
      </c>
      <c r="E867" s="19">
        <f>0.5*$E$801+0.5*$AT$909</f>
        <v/>
      </c>
      <c r="F867" s="19">
        <f>$AT$910</f>
        <v/>
      </c>
    </row>
    <row r="869">
      <c r="D869" s="21">
        <f>$B$18+$D$847</f>
        <v/>
      </c>
      <c r="E869" s="21">
        <f>$B$19</f>
        <v/>
      </c>
      <c r="F869" s="21">
        <f>-$B$18</f>
        <v/>
      </c>
      <c r="G869" s="21">
        <f>$B$19</f>
        <v/>
      </c>
      <c r="H869" s="21" t="n">
        <v>0</v>
      </c>
      <c r="I869" s="21" t="n">
        <v>0</v>
      </c>
      <c r="J869" s="21" t="n">
        <v>0</v>
      </c>
      <c r="K869" s="21" t="n">
        <v>0</v>
      </c>
      <c r="L869" s="21" t="n">
        <v>0</v>
      </c>
      <c r="M869" s="21" t="n">
        <v>0</v>
      </c>
      <c r="N869" s="21" t="n">
        <v>0</v>
      </c>
      <c r="O869" s="21" t="n">
        <v>0</v>
      </c>
      <c r="P869" s="21" t="n">
        <v>0</v>
      </c>
      <c r="Q869" s="21" t="n">
        <v>0</v>
      </c>
      <c r="R869" s="21" t="n">
        <v>0</v>
      </c>
      <c r="S869" s="21" t="n">
        <v>0</v>
      </c>
      <c r="T869" s="21" t="n">
        <v>0</v>
      </c>
      <c r="U869" s="21" t="n">
        <v>0</v>
      </c>
      <c r="V869" s="21" t="n">
        <v>0</v>
      </c>
      <c r="W869" s="21" t="n">
        <v>0</v>
      </c>
      <c r="X869" s="21" t="n">
        <v>0</v>
      </c>
      <c r="Y869" s="21" t="n">
        <v>0</v>
      </c>
      <c r="Z869" s="21" t="n">
        <v>0</v>
      </c>
      <c r="AA869" s="21" t="n">
        <v>0</v>
      </c>
      <c r="AB869" s="21" t="n">
        <v>0</v>
      </c>
      <c r="AC869" s="21" t="n">
        <v>0</v>
      </c>
      <c r="AD869" s="21" t="n">
        <v>0</v>
      </c>
      <c r="AE869" s="21" t="n">
        <v>0</v>
      </c>
      <c r="AF869" s="21" t="n">
        <v>0</v>
      </c>
      <c r="AG869" s="21" t="n">
        <v>0</v>
      </c>
      <c r="AH869" s="21" t="n">
        <v>0</v>
      </c>
      <c r="AI869" s="21" t="n">
        <v>0</v>
      </c>
      <c r="AJ869" s="21" t="n">
        <v>0</v>
      </c>
      <c r="AK869" s="21" t="n">
        <v>0</v>
      </c>
      <c r="AL869" s="21" t="n">
        <v>0</v>
      </c>
      <c r="AM869" s="21" t="n">
        <v>0</v>
      </c>
      <c r="AN869" s="21" t="n">
        <v>0</v>
      </c>
      <c r="AO869" s="21" t="n">
        <v>0</v>
      </c>
      <c r="AP869" s="21" t="n">
        <v>0</v>
      </c>
      <c r="AQ869" s="21" t="n">
        <v>0</v>
      </c>
      <c r="AR869" s="21" t="n">
        <v>0</v>
      </c>
      <c r="AS869" s="21" t="n">
        <v>0</v>
      </c>
      <c r="AT869" s="19">
        <f t="array" ref="AT869:AT910">MMULT(MINVERSE($D$869:$AS$910),$D$55:$D$96)</f>
        <v/>
      </c>
    </row>
    <row r="870">
      <c r="D870" s="21">
        <f>$B$19</f>
        <v/>
      </c>
      <c r="E870" s="21">
        <f>$B$20</f>
        <v/>
      </c>
      <c r="F870" s="21">
        <f>-$B$19</f>
        <v/>
      </c>
      <c r="G870" s="21">
        <f>$B$21</f>
        <v/>
      </c>
      <c r="H870" s="21" t="n">
        <v>0</v>
      </c>
      <c r="I870" s="21" t="n">
        <v>0</v>
      </c>
      <c r="J870" s="21" t="n">
        <v>0</v>
      </c>
      <c r="K870" s="21" t="n">
        <v>0</v>
      </c>
      <c r="L870" s="21" t="n">
        <v>0</v>
      </c>
      <c r="M870" s="21" t="n">
        <v>0</v>
      </c>
      <c r="N870" s="21" t="n">
        <v>0</v>
      </c>
      <c r="O870" s="21" t="n">
        <v>0</v>
      </c>
      <c r="P870" s="21" t="n">
        <v>0</v>
      </c>
      <c r="Q870" s="21" t="n">
        <v>0</v>
      </c>
      <c r="R870" s="21" t="n">
        <v>0</v>
      </c>
      <c r="S870" s="21" t="n">
        <v>0</v>
      </c>
      <c r="T870" s="21" t="n">
        <v>0</v>
      </c>
      <c r="U870" s="21" t="n">
        <v>0</v>
      </c>
      <c r="V870" s="21" t="n">
        <v>0</v>
      </c>
      <c r="W870" s="21" t="n">
        <v>0</v>
      </c>
      <c r="X870" s="21" t="n">
        <v>0</v>
      </c>
      <c r="Y870" s="21" t="n">
        <v>0</v>
      </c>
      <c r="Z870" s="21" t="n">
        <v>0</v>
      </c>
      <c r="AA870" s="21" t="n">
        <v>0</v>
      </c>
      <c r="AB870" s="21" t="n">
        <v>0</v>
      </c>
      <c r="AC870" s="21" t="n">
        <v>0</v>
      </c>
      <c r="AD870" s="21" t="n">
        <v>0</v>
      </c>
      <c r="AE870" s="21" t="n">
        <v>0</v>
      </c>
      <c r="AF870" s="21" t="n">
        <v>0</v>
      </c>
      <c r="AG870" s="21" t="n">
        <v>0</v>
      </c>
      <c r="AH870" s="21" t="n">
        <v>0</v>
      </c>
      <c r="AI870" s="21" t="n">
        <v>0</v>
      </c>
      <c r="AJ870" s="21" t="n">
        <v>0</v>
      </c>
      <c r="AK870" s="21" t="n">
        <v>0</v>
      </c>
      <c r="AL870" s="21" t="n">
        <v>0</v>
      </c>
      <c r="AM870" s="21" t="n">
        <v>0</v>
      </c>
      <c r="AN870" s="21" t="n">
        <v>0</v>
      </c>
      <c r="AO870" s="21" t="n">
        <v>0</v>
      </c>
      <c r="AP870" s="21" t="n">
        <v>0</v>
      </c>
      <c r="AQ870" s="21" t="n">
        <v>0</v>
      </c>
      <c r="AR870" s="21" t="n">
        <v>0</v>
      </c>
      <c r="AS870" s="21" t="n">
        <v>0</v>
      </c>
      <c r="AT870" s="19" t="n"/>
    </row>
    <row r="871">
      <c r="D871" s="21">
        <f>-$B$18</f>
        <v/>
      </c>
      <c r="E871" s="21">
        <f>-$B$19</f>
        <v/>
      </c>
      <c r="F871" s="21">
        <f>2*$B$18+$D$848</f>
        <v/>
      </c>
      <c r="G871" s="21">
        <f>0</f>
        <v/>
      </c>
      <c r="H871" s="21">
        <f>-$B$18</f>
        <v/>
      </c>
      <c r="I871" s="21">
        <f>$B$19</f>
        <v/>
      </c>
      <c r="J871" s="21" t="n">
        <v>0</v>
      </c>
      <c r="K871" s="21" t="n">
        <v>0</v>
      </c>
      <c r="L871" s="21" t="n">
        <v>0</v>
      </c>
      <c r="M871" s="21" t="n">
        <v>0</v>
      </c>
      <c r="N871" s="21" t="n">
        <v>0</v>
      </c>
      <c r="O871" s="21" t="n">
        <v>0</v>
      </c>
      <c r="P871" s="21" t="n">
        <v>0</v>
      </c>
      <c r="Q871" s="21" t="n">
        <v>0</v>
      </c>
      <c r="R871" s="21" t="n">
        <v>0</v>
      </c>
      <c r="S871" s="21" t="n">
        <v>0</v>
      </c>
      <c r="T871" s="21" t="n">
        <v>0</v>
      </c>
      <c r="U871" s="21" t="n">
        <v>0</v>
      </c>
      <c r="V871" s="21" t="n">
        <v>0</v>
      </c>
      <c r="W871" s="21" t="n">
        <v>0</v>
      </c>
      <c r="X871" s="21" t="n">
        <v>0</v>
      </c>
      <c r="Y871" s="21" t="n">
        <v>0</v>
      </c>
      <c r="Z871" s="21" t="n">
        <v>0</v>
      </c>
      <c r="AA871" s="21" t="n">
        <v>0</v>
      </c>
      <c r="AB871" s="21" t="n">
        <v>0</v>
      </c>
      <c r="AC871" s="21" t="n">
        <v>0</v>
      </c>
      <c r="AD871" s="21" t="n">
        <v>0</v>
      </c>
      <c r="AE871" s="21" t="n">
        <v>0</v>
      </c>
      <c r="AF871" s="21" t="n">
        <v>0</v>
      </c>
      <c r="AG871" s="21" t="n">
        <v>0</v>
      </c>
      <c r="AH871" s="21" t="n">
        <v>0</v>
      </c>
      <c r="AI871" s="21" t="n">
        <v>0</v>
      </c>
      <c r="AJ871" s="21" t="n">
        <v>0</v>
      </c>
      <c r="AK871" s="21" t="n">
        <v>0</v>
      </c>
      <c r="AL871" s="21" t="n">
        <v>0</v>
      </c>
      <c r="AM871" s="21" t="n">
        <v>0</v>
      </c>
      <c r="AN871" s="21" t="n">
        <v>0</v>
      </c>
      <c r="AO871" s="21" t="n">
        <v>0</v>
      </c>
      <c r="AP871" s="21" t="n">
        <v>0</v>
      </c>
      <c r="AQ871" s="21" t="n">
        <v>0</v>
      </c>
      <c r="AR871" s="21" t="n">
        <v>0</v>
      </c>
      <c r="AS871" s="21" t="n">
        <v>0</v>
      </c>
      <c r="AT871" s="19" t="n"/>
    </row>
    <row r="872">
      <c r="D872" s="21">
        <f>$B$19</f>
        <v/>
      </c>
      <c r="E872" s="21">
        <f>$B$21</f>
        <v/>
      </c>
      <c r="F872" s="21">
        <f>0</f>
        <v/>
      </c>
      <c r="G872" s="21">
        <f>2*$B$20</f>
        <v/>
      </c>
      <c r="H872" s="21">
        <f>-$B$19</f>
        <v/>
      </c>
      <c r="I872" s="21">
        <f>$B$21</f>
        <v/>
      </c>
      <c r="J872" s="21" t="n">
        <v>0</v>
      </c>
      <c r="K872" s="21" t="n">
        <v>0</v>
      </c>
      <c r="L872" s="21" t="n">
        <v>0</v>
      </c>
      <c r="M872" s="21" t="n">
        <v>0</v>
      </c>
      <c r="N872" s="21" t="n">
        <v>0</v>
      </c>
      <c r="O872" s="21" t="n">
        <v>0</v>
      </c>
      <c r="P872" s="21" t="n">
        <v>0</v>
      </c>
      <c r="Q872" s="21" t="n">
        <v>0</v>
      </c>
      <c r="R872" s="21" t="n">
        <v>0</v>
      </c>
      <c r="S872" s="21" t="n">
        <v>0</v>
      </c>
      <c r="T872" s="21" t="n">
        <v>0</v>
      </c>
      <c r="U872" s="21" t="n">
        <v>0</v>
      </c>
      <c r="V872" s="21" t="n">
        <v>0</v>
      </c>
      <c r="W872" s="21" t="n">
        <v>0</v>
      </c>
      <c r="X872" s="21" t="n">
        <v>0</v>
      </c>
      <c r="Y872" s="21" t="n">
        <v>0</v>
      </c>
      <c r="Z872" s="21" t="n">
        <v>0</v>
      </c>
      <c r="AA872" s="21" t="n">
        <v>0</v>
      </c>
      <c r="AB872" s="21" t="n">
        <v>0</v>
      </c>
      <c r="AC872" s="21" t="n">
        <v>0</v>
      </c>
      <c r="AD872" s="21" t="n">
        <v>0</v>
      </c>
      <c r="AE872" s="21" t="n">
        <v>0</v>
      </c>
      <c r="AF872" s="21" t="n">
        <v>0</v>
      </c>
      <c r="AG872" s="21" t="n">
        <v>0</v>
      </c>
      <c r="AH872" s="21" t="n">
        <v>0</v>
      </c>
      <c r="AI872" s="21" t="n">
        <v>0</v>
      </c>
      <c r="AJ872" s="21" t="n">
        <v>0</v>
      </c>
      <c r="AK872" s="21" t="n">
        <v>0</v>
      </c>
      <c r="AL872" s="21" t="n">
        <v>0</v>
      </c>
      <c r="AM872" s="21" t="n">
        <v>0</v>
      </c>
      <c r="AN872" s="21" t="n">
        <v>0</v>
      </c>
      <c r="AO872" s="21" t="n">
        <v>0</v>
      </c>
      <c r="AP872" s="21" t="n">
        <v>0</v>
      </c>
      <c r="AQ872" s="21" t="n">
        <v>0</v>
      </c>
      <c r="AR872" s="21" t="n">
        <v>0</v>
      </c>
      <c r="AS872" s="21" t="n">
        <v>0</v>
      </c>
      <c r="AT872" s="19" t="n"/>
    </row>
    <row r="873">
      <c r="D873" s="21" t="n">
        <v>0</v>
      </c>
      <c r="E873" s="21" t="n">
        <v>0</v>
      </c>
      <c r="F873" s="21">
        <f>-$B$18</f>
        <v/>
      </c>
      <c r="G873" s="21">
        <f>-$B$19</f>
        <v/>
      </c>
      <c r="H873" s="21">
        <f>2*$B$18+$D$849</f>
        <v/>
      </c>
      <c r="I873" s="21">
        <f>0</f>
        <v/>
      </c>
      <c r="J873" s="21">
        <f>-$B$18</f>
        <v/>
      </c>
      <c r="K873" s="21">
        <f>$B$19</f>
        <v/>
      </c>
      <c r="L873" s="21" t="n">
        <v>0</v>
      </c>
      <c r="M873" s="21" t="n">
        <v>0</v>
      </c>
      <c r="N873" s="21" t="n">
        <v>0</v>
      </c>
      <c r="O873" s="21" t="n">
        <v>0</v>
      </c>
      <c r="P873" s="21" t="n">
        <v>0</v>
      </c>
      <c r="Q873" s="21" t="n">
        <v>0</v>
      </c>
      <c r="R873" s="21" t="n">
        <v>0</v>
      </c>
      <c r="S873" s="21" t="n">
        <v>0</v>
      </c>
      <c r="T873" s="21" t="n">
        <v>0</v>
      </c>
      <c r="U873" s="21" t="n">
        <v>0</v>
      </c>
      <c r="V873" s="21" t="n">
        <v>0</v>
      </c>
      <c r="W873" s="21" t="n">
        <v>0</v>
      </c>
      <c r="X873" s="21" t="n">
        <v>0</v>
      </c>
      <c r="Y873" s="21" t="n">
        <v>0</v>
      </c>
      <c r="Z873" s="21" t="n">
        <v>0</v>
      </c>
      <c r="AA873" s="21" t="n">
        <v>0</v>
      </c>
      <c r="AB873" s="21" t="n">
        <v>0</v>
      </c>
      <c r="AC873" s="21" t="n">
        <v>0</v>
      </c>
      <c r="AD873" s="21" t="n">
        <v>0</v>
      </c>
      <c r="AE873" s="21" t="n">
        <v>0</v>
      </c>
      <c r="AF873" s="21" t="n">
        <v>0</v>
      </c>
      <c r="AG873" s="21" t="n">
        <v>0</v>
      </c>
      <c r="AH873" s="21" t="n">
        <v>0</v>
      </c>
      <c r="AI873" s="21" t="n">
        <v>0</v>
      </c>
      <c r="AJ873" s="21" t="n">
        <v>0</v>
      </c>
      <c r="AK873" s="21" t="n">
        <v>0</v>
      </c>
      <c r="AL873" s="21" t="n">
        <v>0</v>
      </c>
      <c r="AM873" s="21" t="n">
        <v>0</v>
      </c>
      <c r="AN873" s="21" t="n">
        <v>0</v>
      </c>
      <c r="AO873" s="21" t="n">
        <v>0</v>
      </c>
      <c r="AP873" s="21" t="n">
        <v>0</v>
      </c>
      <c r="AQ873" s="21" t="n">
        <v>0</v>
      </c>
      <c r="AR873" s="21" t="n">
        <v>0</v>
      </c>
      <c r="AS873" s="21" t="n">
        <v>0</v>
      </c>
      <c r="AT873" s="19" t="n"/>
    </row>
    <row r="874">
      <c r="D874" s="21" t="n">
        <v>0</v>
      </c>
      <c r="E874" s="21" t="n">
        <v>0</v>
      </c>
      <c r="F874" s="21">
        <f>$B$19</f>
        <v/>
      </c>
      <c r="G874" s="21">
        <f>$B$21</f>
        <v/>
      </c>
      <c r="H874" s="21">
        <f>0</f>
        <v/>
      </c>
      <c r="I874" s="21">
        <f>2*$B$20</f>
        <v/>
      </c>
      <c r="J874" s="21">
        <f>-$B$19</f>
        <v/>
      </c>
      <c r="K874" s="21">
        <f>$B$21</f>
        <v/>
      </c>
      <c r="L874" s="21" t="n">
        <v>0</v>
      </c>
      <c r="M874" s="21" t="n">
        <v>0</v>
      </c>
      <c r="N874" s="21" t="n">
        <v>0</v>
      </c>
      <c r="O874" s="21" t="n">
        <v>0</v>
      </c>
      <c r="P874" s="21" t="n">
        <v>0</v>
      </c>
      <c r="Q874" s="21" t="n">
        <v>0</v>
      </c>
      <c r="R874" s="21" t="n">
        <v>0</v>
      </c>
      <c r="S874" s="21" t="n">
        <v>0</v>
      </c>
      <c r="T874" s="21" t="n">
        <v>0</v>
      </c>
      <c r="U874" s="21" t="n">
        <v>0</v>
      </c>
      <c r="V874" s="21" t="n">
        <v>0</v>
      </c>
      <c r="W874" s="21" t="n">
        <v>0</v>
      </c>
      <c r="X874" s="21" t="n">
        <v>0</v>
      </c>
      <c r="Y874" s="21" t="n">
        <v>0</v>
      </c>
      <c r="Z874" s="21" t="n">
        <v>0</v>
      </c>
      <c r="AA874" s="21" t="n">
        <v>0</v>
      </c>
      <c r="AB874" s="21" t="n">
        <v>0</v>
      </c>
      <c r="AC874" s="21" t="n">
        <v>0</v>
      </c>
      <c r="AD874" s="21" t="n">
        <v>0</v>
      </c>
      <c r="AE874" s="21" t="n">
        <v>0</v>
      </c>
      <c r="AF874" s="21" t="n">
        <v>0</v>
      </c>
      <c r="AG874" s="21" t="n">
        <v>0</v>
      </c>
      <c r="AH874" s="21" t="n">
        <v>0</v>
      </c>
      <c r="AI874" s="21" t="n">
        <v>0</v>
      </c>
      <c r="AJ874" s="21" t="n">
        <v>0</v>
      </c>
      <c r="AK874" s="21" t="n">
        <v>0</v>
      </c>
      <c r="AL874" s="21" t="n">
        <v>0</v>
      </c>
      <c r="AM874" s="21" t="n">
        <v>0</v>
      </c>
      <c r="AN874" s="21" t="n">
        <v>0</v>
      </c>
      <c r="AO874" s="21" t="n">
        <v>0</v>
      </c>
      <c r="AP874" s="21" t="n">
        <v>0</v>
      </c>
      <c r="AQ874" s="21" t="n">
        <v>0</v>
      </c>
      <c r="AR874" s="21" t="n">
        <v>0</v>
      </c>
      <c r="AS874" s="21" t="n">
        <v>0</v>
      </c>
      <c r="AT874" s="19" t="n"/>
    </row>
    <row r="875">
      <c r="D875" s="21" t="n">
        <v>0</v>
      </c>
      <c r="E875" s="21" t="n">
        <v>0</v>
      </c>
      <c r="F875" s="21" t="n">
        <v>0</v>
      </c>
      <c r="G875" s="21" t="n">
        <v>0</v>
      </c>
      <c r="H875" s="21">
        <f>-$B$18</f>
        <v/>
      </c>
      <c r="I875" s="21">
        <f>-$B$19</f>
        <v/>
      </c>
      <c r="J875" s="21">
        <f>2*$B$18+$D$850</f>
        <v/>
      </c>
      <c r="K875" s="21">
        <f>0</f>
        <v/>
      </c>
      <c r="L875" s="21">
        <f>-$B$18</f>
        <v/>
      </c>
      <c r="M875" s="21">
        <f>$B$19</f>
        <v/>
      </c>
      <c r="N875" s="21" t="n">
        <v>0</v>
      </c>
      <c r="O875" s="21" t="n">
        <v>0</v>
      </c>
      <c r="P875" s="21" t="n">
        <v>0</v>
      </c>
      <c r="Q875" s="21" t="n">
        <v>0</v>
      </c>
      <c r="R875" s="21" t="n">
        <v>0</v>
      </c>
      <c r="S875" s="21" t="n">
        <v>0</v>
      </c>
      <c r="T875" s="21" t="n">
        <v>0</v>
      </c>
      <c r="U875" s="21" t="n">
        <v>0</v>
      </c>
      <c r="V875" s="21" t="n">
        <v>0</v>
      </c>
      <c r="W875" s="21" t="n">
        <v>0</v>
      </c>
      <c r="X875" s="21" t="n">
        <v>0</v>
      </c>
      <c r="Y875" s="21" t="n">
        <v>0</v>
      </c>
      <c r="Z875" s="21" t="n">
        <v>0</v>
      </c>
      <c r="AA875" s="21" t="n">
        <v>0</v>
      </c>
      <c r="AB875" s="21" t="n">
        <v>0</v>
      </c>
      <c r="AC875" s="21" t="n">
        <v>0</v>
      </c>
      <c r="AD875" s="21" t="n">
        <v>0</v>
      </c>
      <c r="AE875" s="21" t="n">
        <v>0</v>
      </c>
      <c r="AF875" s="21" t="n">
        <v>0</v>
      </c>
      <c r="AG875" s="21" t="n">
        <v>0</v>
      </c>
      <c r="AH875" s="21" t="n">
        <v>0</v>
      </c>
      <c r="AI875" s="21" t="n">
        <v>0</v>
      </c>
      <c r="AJ875" s="21" t="n">
        <v>0</v>
      </c>
      <c r="AK875" s="21" t="n">
        <v>0</v>
      </c>
      <c r="AL875" s="21" t="n">
        <v>0</v>
      </c>
      <c r="AM875" s="21" t="n">
        <v>0</v>
      </c>
      <c r="AN875" s="21" t="n">
        <v>0</v>
      </c>
      <c r="AO875" s="21" t="n">
        <v>0</v>
      </c>
      <c r="AP875" s="21" t="n">
        <v>0</v>
      </c>
      <c r="AQ875" s="21" t="n">
        <v>0</v>
      </c>
      <c r="AR875" s="21" t="n">
        <v>0</v>
      </c>
      <c r="AS875" s="21" t="n">
        <v>0</v>
      </c>
      <c r="AT875" s="19" t="n"/>
    </row>
    <row r="876">
      <c r="D876" s="21" t="n">
        <v>0</v>
      </c>
      <c r="E876" s="21" t="n">
        <v>0</v>
      </c>
      <c r="F876" s="21" t="n">
        <v>0</v>
      </c>
      <c r="G876" s="21" t="n">
        <v>0</v>
      </c>
      <c r="H876" s="21">
        <f>$B$19</f>
        <v/>
      </c>
      <c r="I876" s="21">
        <f>$B$21</f>
        <v/>
      </c>
      <c r="J876" s="21">
        <f>0</f>
        <v/>
      </c>
      <c r="K876" s="21">
        <f>2*$B$20</f>
        <v/>
      </c>
      <c r="L876" s="21">
        <f>-$B$19</f>
        <v/>
      </c>
      <c r="M876" s="21">
        <f>$B$21</f>
        <v/>
      </c>
      <c r="N876" s="21" t="n">
        <v>0</v>
      </c>
      <c r="O876" s="21" t="n">
        <v>0</v>
      </c>
      <c r="P876" s="21" t="n">
        <v>0</v>
      </c>
      <c r="Q876" s="21" t="n">
        <v>0</v>
      </c>
      <c r="R876" s="21" t="n">
        <v>0</v>
      </c>
      <c r="S876" s="21" t="n">
        <v>0</v>
      </c>
      <c r="T876" s="21" t="n">
        <v>0</v>
      </c>
      <c r="U876" s="21" t="n">
        <v>0</v>
      </c>
      <c r="V876" s="21" t="n">
        <v>0</v>
      </c>
      <c r="W876" s="21" t="n">
        <v>0</v>
      </c>
      <c r="X876" s="21" t="n">
        <v>0</v>
      </c>
      <c r="Y876" s="21" t="n">
        <v>0</v>
      </c>
      <c r="Z876" s="21" t="n">
        <v>0</v>
      </c>
      <c r="AA876" s="21" t="n">
        <v>0</v>
      </c>
      <c r="AB876" s="21" t="n">
        <v>0</v>
      </c>
      <c r="AC876" s="21" t="n">
        <v>0</v>
      </c>
      <c r="AD876" s="21" t="n">
        <v>0</v>
      </c>
      <c r="AE876" s="21" t="n">
        <v>0</v>
      </c>
      <c r="AF876" s="21" t="n">
        <v>0</v>
      </c>
      <c r="AG876" s="21" t="n">
        <v>0</v>
      </c>
      <c r="AH876" s="21" t="n">
        <v>0</v>
      </c>
      <c r="AI876" s="21" t="n">
        <v>0</v>
      </c>
      <c r="AJ876" s="21" t="n">
        <v>0</v>
      </c>
      <c r="AK876" s="21" t="n">
        <v>0</v>
      </c>
      <c r="AL876" s="21" t="n">
        <v>0</v>
      </c>
      <c r="AM876" s="21" t="n">
        <v>0</v>
      </c>
      <c r="AN876" s="21" t="n">
        <v>0</v>
      </c>
      <c r="AO876" s="21" t="n">
        <v>0</v>
      </c>
      <c r="AP876" s="21" t="n">
        <v>0</v>
      </c>
      <c r="AQ876" s="21" t="n">
        <v>0</v>
      </c>
      <c r="AR876" s="21" t="n">
        <v>0</v>
      </c>
      <c r="AS876" s="21" t="n">
        <v>0</v>
      </c>
      <c r="AT876" s="19" t="n"/>
    </row>
    <row r="877">
      <c r="D877" s="21" t="n">
        <v>0</v>
      </c>
      <c r="E877" s="21" t="n">
        <v>0</v>
      </c>
      <c r="F877" s="21" t="n">
        <v>0</v>
      </c>
      <c r="G877" s="21" t="n">
        <v>0</v>
      </c>
      <c r="H877" s="21" t="n">
        <v>0</v>
      </c>
      <c r="I877" s="21" t="n">
        <v>0</v>
      </c>
      <c r="J877" s="21">
        <f>-$B$18</f>
        <v/>
      </c>
      <c r="K877" s="21">
        <f>-$B$19</f>
        <v/>
      </c>
      <c r="L877" s="21">
        <f>2*$B$18+$D$851</f>
        <v/>
      </c>
      <c r="M877" s="21">
        <f>0</f>
        <v/>
      </c>
      <c r="N877" s="21">
        <f>-$B$18</f>
        <v/>
      </c>
      <c r="O877" s="21">
        <f>$B$19</f>
        <v/>
      </c>
      <c r="P877" s="21" t="n">
        <v>0</v>
      </c>
      <c r="Q877" s="21" t="n">
        <v>0</v>
      </c>
      <c r="R877" s="21" t="n">
        <v>0</v>
      </c>
      <c r="S877" s="21" t="n">
        <v>0</v>
      </c>
      <c r="T877" s="21" t="n">
        <v>0</v>
      </c>
      <c r="U877" s="21" t="n">
        <v>0</v>
      </c>
      <c r="V877" s="21" t="n">
        <v>0</v>
      </c>
      <c r="W877" s="21" t="n">
        <v>0</v>
      </c>
      <c r="X877" s="21" t="n">
        <v>0</v>
      </c>
      <c r="Y877" s="21" t="n">
        <v>0</v>
      </c>
      <c r="Z877" s="21" t="n">
        <v>0</v>
      </c>
      <c r="AA877" s="21" t="n">
        <v>0</v>
      </c>
      <c r="AB877" s="21" t="n">
        <v>0</v>
      </c>
      <c r="AC877" s="21" t="n">
        <v>0</v>
      </c>
      <c r="AD877" s="21" t="n">
        <v>0</v>
      </c>
      <c r="AE877" s="21" t="n">
        <v>0</v>
      </c>
      <c r="AF877" s="21" t="n">
        <v>0</v>
      </c>
      <c r="AG877" s="21" t="n">
        <v>0</v>
      </c>
      <c r="AH877" s="21" t="n">
        <v>0</v>
      </c>
      <c r="AI877" s="21" t="n">
        <v>0</v>
      </c>
      <c r="AJ877" s="21" t="n">
        <v>0</v>
      </c>
      <c r="AK877" s="21" t="n">
        <v>0</v>
      </c>
      <c r="AL877" s="21" t="n">
        <v>0</v>
      </c>
      <c r="AM877" s="21" t="n">
        <v>0</v>
      </c>
      <c r="AN877" s="21" t="n">
        <v>0</v>
      </c>
      <c r="AO877" s="21" t="n">
        <v>0</v>
      </c>
      <c r="AP877" s="21" t="n">
        <v>0</v>
      </c>
      <c r="AQ877" s="21" t="n">
        <v>0</v>
      </c>
      <c r="AR877" s="21" t="n">
        <v>0</v>
      </c>
      <c r="AS877" s="21" t="n">
        <v>0</v>
      </c>
      <c r="AT877" s="19" t="n"/>
    </row>
    <row r="878">
      <c r="D878" s="21" t="n">
        <v>0</v>
      </c>
      <c r="E878" s="21" t="n">
        <v>0</v>
      </c>
      <c r="F878" s="21" t="n">
        <v>0</v>
      </c>
      <c r="G878" s="21" t="n">
        <v>0</v>
      </c>
      <c r="H878" s="21" t="n">
        <v>0</v>
      </c>
      <c r="I878" s="21" t="n">
        <v>0</v>
      </c>
      <c r="J878" s="21">
        <f>$B$19</f>
        <v/>
      </c>
      <c r="K878" s="21">
        <f>$B$21</f>
        <v/>
      </c>
      <c r="L878" s="21">
        <f>0</f>
        <v/>
      </c>
      <c r="M878" s="21">
        <f>2*$B$20</f>
        <v/>
      </c>
      <c r="N878" s="21">
        <f>-$B$19</f>
        <v/>
      </c>
      <c r="O878" s="21">
        <f>$B$21</f>
        <v/>
      </c>
      <c r="P878" s="21" t="n">
        <v>0</v>
      </c>
      <c r="Q878" s="21" t="n">
        <v>0</v>
      </c>
      <c r="R878" s="21" t="n">
        <v>0</v>
      </c>
      <c r="S878" s="21" t="n">
        <v>0</v>
      </c>
      <c r="T878" s="21" t="n">
        <v>0</v>
      </c>
      <c r="U878" s="21" t="n">
        <v>0</v>
      </c>
      <c r="V878" s="21" t="n">
        <v>0</v>
      </c>
      <c r="W878" s="21" t="n">
        <v>0</v>
      </c>
      <c r="X878" s="21" t="n">
        <v>0</v>
      </c>
      <c r="Y878" s="21" t="n">
        <v>0</v>
      </c>
      <c r="Z878" s="21" t="n">
        <v>0</v>
      </c>
      <c r="AA878" s="21" t="n">
        <v>0</v>
      </c>
      <c r="AB878" s="21" t="n">
        <v>0</v>
      </c>
      <c r="AC878" s="21" t="n">
        <v>0</v>
      </c>
      <c r="AD878" s="21" t="n">
        <v>0</v>
      </c>
      <c r="AE878" s="21" t="n">
        <v>0</v>
      </c>
      <c r="AF878" s="21" t="n">
        <v>0</v>
      </c>
      <c r="AG878" s="21" t="n">
        <v>0</v>
      </c>
      <c r="AH878" s="21" t="n">
        <v>0</v>
      </c>
      <c r="AI878" s="21" t="n">
        <v>0</v>
      </c>
      <c r="AJ878" s="21" t="n">
        <v>0</v>
      </c>
      <c r="AK878" s="21" t="n">
        <v>0</v>
      </c>
      <c r="AL878" s="21" t="n">
        <v>0</v>
      </c>
      <c r="AM878" s="21" t="n">
        <v>0</v>
      </c>
      <c r="AN878" s="21" t="n">
        <v>0</v>
      </c>
      <c r="AO878" s="21" t="n">
        <v>0</v>
      </c>
      <c r="AP878" s="21" t="n">
        <v>0</v>
      </c>
      <c r="AQ878" s="21" t="n">
        <v>0</v>
      </c>
      <c r="AR878" s="21" t="n">
        <v>0</v>
      </c>
      <c r="AS878" s="21" t="n">
        <v>0</v>
      </c>
      <c r="AT878" s="19" t="n"/>
    </row>
    <row r="879">
      <c r="D879" s="21" t="n">
        <v>0</v>
      </c>
      <c r="E879" s="21" t="n">
        <v>0</v>
      </c>
      <c r="F879" s="21" t="n">
        <v>0</v>
      </c>
      <c r="G879" s="21" t="n">
        <v>0</v>
      </c>
      <c r="H879" s="21" t="n">
        <v>0</v>
      </c>
      <c r="I879" s="21" t="n">
        <v>0</v>
      </c>
      <c r="J879" s="21" t="n">
        <v>0</v>
      </c>
      <c r="K879" s="21" t="n">
        <v>0</v>
      </c>
      <c r="L879" s="21">
        <f>-$B$18</f>
        <v/>
      </c>
      <c r="M879" s="21">
        <f>-$B$19</f>
        <v/>
      </c>
      <c r="N879" s="21">
        <f>2*$B$18+$D$852</f>
        <v/>
      </c>
      <c r="O879" s="21">
        <f>0</f>
        <v/>
      </c>
      <c r="P879" s="21">
        <f>-$B$18</f>
        <v/>
      </c>
      <c r="Q879" s="21">
        <f>$B$19</f>
        <v/>
      </c>
      <c r="R879" s="21" t="n">
        <v>0</v>
      </c>
      <c r="S879" s="21" t="n">
        <v>0</v>
      </c>
      <c r="T879" s="21" t="n">
        <v>0</v>
      </c>
      <c r="U879" s="21" t="n">
        <v>0</v>
      </c>
      <c r="V879" s="21" t="n">
        <v>0</v>
      </c>
      <c r="W879" s="21" t="n">
        <v>0</v>
      </c>
      <c r="X879" s="21" t="n">
        <v>0</v>
      </c>
      <c r="Y879" s="21" t="n">
        <v>0</v>
      </c>
      <c r="Z879" s="21" t="n">
        <v>0</v>
      </c>
      <c r="AA879" s="21" t="n">
        <v>0</v>
      </c>
      <c r="AB879" s="21" t="n">
        <v>0</v>
      </c>
      <c r="AC879" s="21" t="n">
        <v>0</v>
      </c>
      <c r="AD879" s="21" t="n">
        <v>0</v>
      </c>
      <c r="AE879" s="21" t="n">
        <v>0</v>
      </c>
      <c r="AF879" s="21" t="n">
        <v>0</v>
      </c>
      <c r="AG879" s="21" t="n">
        <v>0</v>
      </c>
      <c r="AH879" s="21" t="n">
        <v>0</v>
      </c>
      <c r="AI879" s="21" t="n">
        <v>0</v>
      </c>
      <c r="AJ879" s="21" t="n">
        <v>0</v>
      </c>
      <c r="AK879" s="21" t="n">
        <v>0</v>
      </c>
      <c r="AL879" s="21" t="n">
        <v>0</v>
      </c>
      <c r="AM879" s="21" t="n">
        <v>0</v>
      </c>
      <c r="AN879" s="21" t="n">
        <v>0</v>
      </c>
      <c r="AO879" s="21" t="n">
        <v>0</v>
      </c>
      <c r="AP879" s="21" t="n">
        <v>0</v>
      </c>
      <c r="AQ879" s="21" t="n">
        <v>0</v>
      </c>
      <c r="AR879" s="21" t="n">
        <v>0</v>
      </c>
      <c r="AS879" s="21" t="n">
        <v>0</v>
      </c>
      <c r="AT879" s="19" t="n"/>
    </row>
    <row r="880">
      <c r="D880" s="21" t="n">
        <v>0</v>
      </c>
      <c r="E880" s="21" t="n">
        <v>0</v>
      </c>
      <c r="F880" s="21" t="n">
        <v>0</v>
      </c>
      <c r="G880" s="21" t="n">
        <v>0</v>
      </c>
      <c r="H880" s="21" t="n">
        <v>0</v>
      </c>
      <c r="I880" s="21" t="n">
        <v>0</v>
      </c>
      <c r="J880" s="21" t="n">
        <v>0</v>
      </c>
      <c r="K880" s="21" t="n">
        <v>0</v>
      </c>
      <c r="L880" s="21">
        <f>$B$19</f>
        <v/>
      </c>
      <c r="M880" s="21">
        <f>$B$21</f>
        <v/>
      </c>
      <c r="N880" s="21">
        <f>0</f>
        <v/>
      </c>
      <c r="O880" s="21">
        <f>2*$B$20</f>
        <v/>
      </c>
      <c r="P880" s="21">
        <f>-$B$19</f>
        <v/>
      </c>
      <c r="Q880" s="21">
        <f>$B$21</f>
        <v/>
      </c>
      <c r="R880" s="21" t="n">
        <v>0</v>
      </c>
      <c r="S880" s="21" t="n">
        <v>0</v>
      </c>
      <c r="T880" s="21" t="n">
        <v>0</v>
      </c>
      <c r="U880" s="21" t="n">
        <v>0</v>
      </c>
      <c r="V880" s="21" t="n">
        <v>0</v>
      </c>
      <c r="W880" s="21" t="n">
        <v>0</v>
      </c>
      <c r="X880" s="21" t="n">
        <v>0</v>
      </c>
      <c r="Y880" s="21" t="n">
        <v>0</v>
      </c>
      <c r="Z880" s="21" t="n">
        <v>0</v>
      </c>
      <c r="AA880" s="21" t="n">
        <v>0</v>
      </c>
      <c r="AB880" s="21" t="n">
        <v>0</v>
      </c>
      <c r="AC880" s="21" t="n">
        <v>0</v>
      </c>
      <c r="AD880" s="21" t="n">
        <v>0</v>
      </c>
      <c r="AE880" s="21" t="n">
        <v>0</v>
      </c>
      <c r="AF880" s="21" t="n">
        <v>0</v>
      </c>
      <c r="AG880" s="21" t="n">
        <v>0</v>
      </c>
      <c r="AH880" s="21" t="n">
        <v>0</v>
      </c>
      <c r="AI880" s="21" t="n">
        <v>0</v>
      </c>
      <c r="AJ880" s="21" t="n">
        <v>0</v>
      </c>
      <c r="AK880" s="21" t="n">
        <v>0</v>
      </c>
      <c r="AL880" s="21" t="n">
        <v>0</v>
      </c>
      <c r="AM880" s="21" t="n">
        <v>0</v>
      </c>
      <c r="AN880" s="21" t="n">
        <v>0</v>
      </c>
      <c r="AO880" s="21" t="n">
        <v>0</v>
      </c>
      <c r="AP880" s="21" t="n">
        <v>0</v>
      </c>
      <c r="AQ880" s="21" t="n">
        <v>0</v>
      </c>
      <c r="AR880" s="21" t="n">
        <v>0</v>
      </c>
      <c r="AS880" s="21" t="n">
        <v>0</v>
      </c>
      <c r="AT880" s="19" t="n"/>
    </row>
    <row r="881">
      <c r="D881" s="21" t="n">
        <v>0</v>
      </c>
      <c r="E881" s="21" t="n">
        <v>0</v>
      </c>
      <c r="F881" s="21" t="n">
        <v>0</v>
      </c>
      <c r="G881" s="21" t="n">
        <v>0</v>
      </c>
      <c r="H881" s="21" t="n">
        <v>0</v>
      </c>
      <c r="I881" s="21" t="n">
        <v>0</v>
      </c>
      <c r="J881" s="21" t="n">
        <v>0</v>
      </c>
      <c r="K881" s="21" t="n">
        <v>0</v>
      </c>
      <c r="L881" s="21" t="n">
        <v>0</v>
      </c>
      <c r="M881" s="21" t="n">
        <v>0</v>
      </c>
      <c r="N881" s="21">
        <f>-$B$18</f>
        <v/>
      </c>
      <c r="O881" s="21">
        <f>-$B$19</f>
        <v/>
      </c>
      <c r="P881" s="21">
        <f>2*$B$18+$D$853</f>
        <v/>
      </c>
      <c r="Q881" s="21">
        <f>0</f>
        <v/>
      </c>
      <c r="R881" s="21">
        <f>-$B$18</f>
        <v/>
      </c>
      <c r="S881" s="21">
        <f>$B$19</f>
        <v/>
      </c>
      <c r="T881" s="21" t="n">
        <v>0</v>
      </c>
      <c r="U881" s="21" t="n">
        <v>0</v>
      </c>
      <c r="V881" s="21" t="n">
        <v>0</v>
      </c>
      <c r="W881" s="21" t="n">
        <v>0</v>
      </c>
      <c r="X881" s="21" t="n">
        <v>0</v>
      </c>
      <c r="Y881" s="21" t="n">
        <v>0</v>
      </c>
      <c r="Z881" s="21" t="n">
        <v>0</v>
      </c>
      <c r="AA881" s="21" t="n">
        <v>0</v>
      </c>
      <c r="AB881" s="21" t="n">
        <v>0</v>
      </c>
      <c r="AC881" s="21" t="n">
        <v>0</v>
      </c>
      <c r="AD881" s="21" t="n">
        <v>0</v>
      </c>
      <c r="AE881" s="21" t="n">
        <v>0</v>
      </c>
      <c r="AF881" s="21" t="n">
        <v>0</v>
      </c>
      <c r="AG881" s="21" t="n">
        <v>0</v>
      </c>
      <c r="AH881" s="21" t="n">
        <v>0</v>
      </c>
      <c r="AI881" s="21" t="n">
        <v>0</v>
      </c>
      <c r="AJ881" s="21" t="n">
        <v>0</v>
      </c>
      <c r="AK881" s="21" t="n">
        <v>0</v>
      </c>
      <c r="AL881" s="21" t="n">
        <v>0</v>
      </c>
      <c r="AM881" s="21" t="n">
        <v>0</v>
      </c>
      <c r="AN881" s="21" t="n">
        <v>0</v>
      </c>
      <c r="AO881" s="21" t="n">
        <v>0</v>
      </c>
      <c r="AP881" s="21" t="n">
        <v>0</v>
      </c>
      <c r="AQ881" s="21" t="n">
        <v>0</v>
      </c>
      <c r="AR881" s="21" t="n">
        <v>0</v>
      </c>
      <c r="AS881" s="21" t="n">
        <v>0</v>
      </c>
      <c r="AT881" s="19" t="n"/>
    </row>
    <row r="882">
      <c r="D882" s="21" t="n">
        <v>0</v>
      </c>
      <c r="E882" s="21" t="n">
        <v>0</v>
      </c>
      <c r="F882" s="21" t="n">
        <v>0</v>
      </c>
      <c r="G882" s="21" t="n">
        <v>0</v>
      </c>
      <c r="H882" s="21" t="n">
        <v>0</v>
      </c>
      <c r="I882" s="21" t="n">
        <v>0</v>
      </c>
      <c r="J882" s="21" t="n">
        <v>0</v>
      </c>
      <c r="K882" s="21" t="n">
        <v>0</v>
      </c>
      <c r="L882" s="21" t="n">
        <v>0</v>
      </c>
      <c r="M882" s="21" t="n">
        <v>0</v>
      </c>
      <c r="N882" s="21">
        <f>$B$19</f>
        <v/>
      </c>
      <c r="O882" s="21">
        <f>$B$21</f>
        <v/>
      </c>
      <c r="P882" s="21">
        <f>0</f>
        <v/>
      </c>
      <c r="Q882" s="21">
        <f>2*$B$20</f>
        <v/>
      </c>
      <c r="R882" s="21">
        <f>-$B$19</f>
        <v/>
      </c>
      <c r="S882" s="21">
        <f>$B$21</f>
        <v/>
      </c>
      <c r="T882" s="21" t="n">
        <v>0</v>
      </c>
      <c r="U882" s="21" t="n">
        <v>0</v>
      </c>
      <c r="V882" s="21" t="n">
        <v>0</v>
      </c>
      <c r="W882" s="21" t="n">
        <v>0</v>
      </c>
      <c r="X882" s="21" t="n">
        <v>0</v>
      </c>
      <c r="Y882" s="21" t="n">
        <v>0</v>
      </c>
      <c r="Z882" s="21" t="n">
        <v>0</v>
      </c>
      <c r="AA882" s="21" t="n">
        <v>0</v>
      </c>
      <c r="AB882" s="21" t="n">
        <v>0</v>
      </c>
      <c r="AC882" s="21" t="n">
        <v>0</v>
      </c>
      <c r="AD882" s="21" t="n">
        <v>0</v>
      </c>
      <c r="AE882" s="21" t="n">
        <v>0</v>
      </c>
      <c r="AF882" s="21" t="n">
        <v>0</v>
      </c>
      <c r="AG882" s="21" t="n">
        <v>0</v>
      </c>
      <c r="AH882" s="21" t="n">
        <v>0</v>
      </c>
      <c r="AI882" s="21" t="n">
        <v>0</v>
      </c>
      <c r="AJ882" s="21" t="n">
        <v>0</v>
      </c>
      <c r="AK882" s="21" t="n">
        <v>0</v>
      </c>
      <c r="AL882" s="21" t="n">
        <v>0</v>
      </c>
      <c r="AM882" s="21" t="n">
        <v>0</v>
      </c>
      <c r="AN882" s="21" t="n">
        <v>0</v>
      </c>
      <c r="AO882" s="21" t="n">
        <v>0</v>
      </c>
      <c r="AP882" s="21" t="n">
        <v>0</v>
      </c>
      <c r="AQ882" s="21" t="n">
        <v>0</v>
      </c>
      <c r="AR882" s="21" t="n">
        <v>0</v>
      </c>
      <c r="AS882" s="21" t="n">
        <v>0</v>
      </c>
      <c r="AT882" s="19" t="n"/>
    </row>
    <row r="883">
      <c r="D883" s="21" t="n">
        <v>0</v>
      </c>
      <c r="E883" s="21" t="n">
        <v>0</v>
      </c>
      <c r="F883" s="21" t="n">
        <v>0</v>
      </c>
      <c r="G883" s="21" t="n">
        <v>0</v>
      </c>
      <c r="H883" s="21" t="n">
        <v>0</v>
      </c>
      <c r="I883" s="21" t="n">
        <v>0</v>
      </c>
      <c r="J883" s="21" t="n">
        <v>0</v>
      </c>
      <c r="K883" s="21" t="n">
        <v>0</v>
      </c>
      <c r="L883" s="21" t="n">
        <v>0</v>
      </c>
      <c r="M883" s="21" t="n">
        <v>0</v>
      </c>
      <c r="N883" s="21" t="n">
        <v>0</v>
      </c>
      <c r="O883" s="21" t="n">
        <v>0</v>
      </c>
      <c r="P883" s="21">
        <f>-$B$18</f>
        <v/>
      </c>
      <c r="Q883" s="21">
        <f>-$B$19</f>
        <v/>
      </c>
      <c r="R883" s="21">
        <f>2*$B$18+$D$854</f>
        <v/>
      </c>
      <c r="S883" s="21">
        <f>0</f>
        <v/>
      </c>
      <c r="T883" s="21">
        <f>-$B$18</f>
        <v/>
      </c>
      <c r="U883" s="21">
        <f>$B$19</f>
        <v/>
      </c>
      <c r="V883" s="21" t="n">
        <v>0</v>
      </c>
      <c r="W883" s="21" t="n">
        <v>0</v>
      </c>
      <c r="X883" s="21" t="n">
        <v>0</v>
      </c>
      <c r="Y883" s="21" t="n">
        <v>0</v>
      </c>
      <c r="Z883" s="21" t="n">
        <v>0</v>
      </c>
      <c r="AA883" s="21" t="n">
        <v>0</v>
      </c>
      <c r="AB883" s="21" t="n">
        <v>0</v>
      </c>
      <c r="AC883" s="21" t="n">
        <v>0</v>
      </c>
      <c r="AD883" s="21" t="n">
        <v>0</v>
      </c>
      <c r="AE883" s="21" t="n">
        <v>0</v>
      </c>
      <c r="AF883" s="21" t="n">
        <v>0</v>
      </c>
      <c r="AG883" s="21" t="n">
        <v>0</v>
      </c>
      <c r="AH883" s="21" t="n">
        <v>0</v>
      </c>
      <c r="AI883" s="21" t="n">
        <v>0</v>
      </c>
      <c r="AJ883" s="21" t="n">
        <v>0</v>
      </c>
      <c r="AK883" s="21" t="n">
        <v>0</v>
      </c>
      <c r="AL883" s="21" t="n">
        <v>0</v>
      </c>
      <c r="AM883" s="21" t="n">
        <v>0</v>
      </c>
      <c r="AN883" s="21" t="n">
        <v>0</v>
      </c>
      <c r="AO883" s="21" t="n">
        <v>0</v>
      </c>
      <c r="AP883" s="21" t="n">
        <v>0</v>
      </c>
      <c r="AQ883" s="21" t="n">
        <v>0</v>
      </c>
      <c r="AR883" s="21" t="n">
        <v>0</v>
      </c>
      <c r="AS883" s="21" t="n">
        <v>0</v>
      </c>
      <c r="AT883" s="19" t="n"/>
    </row>
    <row r="884">
      <c r="D884" s="21" t="n">
        <v>0</v>
      </c>
      <c r="E884" s="21" t="n">
        <v>0</v>
      </c>
      <c r="F884" s="21" t="n">
        <v>0</v>
      </c>
      <c r="G884" s="21" t="n">
        <v>0</v>
      </c>
      <c r="H884" s="21" t="n">
        <v>0</v>
      </c>
      <c r="I884" s="21" t="n">
        <v>0</v>
      </c>
      <c r="J884" s="21" t="n">
        <v>0</v>
      </c>
      <c r="K884" s="21" t="n">
        <v>0</v>
      </c>
      <c r="L884" s="21" t="n">
        <v>0</v>
      </c>
      <c r="M884" s="21" t="n">
        <v>0</v>
      </c>
      <c r="N884" s="21" t="n">
        <v>0</v>
      </c>
      <c r="O884" s="21" t="n">
        <v>0</v>
      </c>
      <c r="P884" s="21">
        <f>$B$19</f>
        <v/>
      </c>
      <c r="Q884" s="21">
        <f>$B$21</f>
        <v/>
      </c>
      <c r="R884" s="21">
        <f>0</f>
        <v/>
      </c>
      <c r="S884" s="21">
        <f>2*$B$20</f>
        <v/>
      </c>
      <c r="T884" s="21">
        <f>-$B$19</f>
        <v/>
      </c>
      <c r="U884" s="21">
        <f>$B$21</f>
        <v/>
      </c>
      <c r="V884" s="21" t="n">
        <v>0</v>
      </c>
      <c r="W884" s="21" t="n">
        <v>0</v>
      </c>
      <c r="X884" s="21" t="n">
        <v>0</v>
      </c>
      <c r="Y884" s="21" t="n">
        <v>0</v>
      </c>
      <c r="Z884" s="21" t="n">
        <v>0</v>
      </c>
      <c r="AA884" s="21" t="n">
        <v>0</v>
      </c>
      <c r="AB884" s="21" t="n">
        <v>0</v>
      </c>
      <c r="AC884" s="21" t="n">
        <v>0</v>
      </c>
      <c r="AD884" s="21" t="n">
        <v>0</v>
      </c>
      <c r="AE884" s="21" t="n">
        <v>0</v>
      </c>
      <c r="AF884" s="21" t="n">
        <v>0</v>
      </c>
      <c r="AG884" s="21" t="n">
        <v>0</v>
      </c>
      <c r="AH884" s="21" t="n">
        <v>0</v>
      </c>
      <c r="AI884" s="21" t="n">
        <v>0</v>
      </c>
      <c r="AJ884" s="21" t="n">
        <v>0</v>
      </c>
      <c r="AK884" s="21" t="n">
        <v>0</v>
      </c>
      <c r="AL884" s="21" t="n">
        <v>0</v>
      </c>
      <c r="AM884" s="21" t="n">
        <v>0</v>
      </c>
      <c r="AN884" s="21" t="n">
        <v>0</v>
      </c>
      <c r="AO884" s="21" t="n">
        <v>0</v>
      </c>
      <c r="AP884" s="21" t="n">
        <v>0</v>
      </c>
      <c r="AQ884" s="21" t="n">
        <v>0</v>
      </c>
      <c r="AR884" s="21" t="n">
        <v>0</v>
      </c>
      <c r="AS884" s="21" t="n">
        <v>0</v>
      </c>
      <c r="AT884" s="19" t="n"/>
    </row>
    <row r="885">
      <c r="D885" s="21" t="n">
        <v>0</v>
      </c>
      <c r="E885" s="21" t="n">
        <v>0</v>
      </c>
      <c r="F885" s="21" t="n">
        <v>0</v>
      </c>
      <c r="G885" s="21" t="n">
        <v>0</v>
      </c>
      <c r="H885" s="21" t="n">
        <v>0</v>
      </c>
      <c r="I885" s="21" t="n">
        <v>0</v>
      </c>
      <c r="J885" s="21" t="n">
        <v>0</v>
      </c>
      <c r="K885" s="21" t="n">
        <v>0</v>
      </c>
      <c r="L885" s="21" t="n">
        <v>0</v>
      </c>
      <c r="M885" s="21" t="n">
        <v>0</v>
      </c>
      <c r="N885" s="21" t="n">
        <v>0</v>
      </c>
      <c r="O885" s="21" t="n">
        <v>0</v>
      </c>
      <c r="P885" s="21" t="n">
        <v>0</v>
      </c>
      <c r="Q885" s="21" t="n">
        <v>0</v>
      </c>
      <c r="R885" s="21">
        <f>-$B$18</f>
        <v/>
      </c>
      <c r="S885" s="21">
        <f>-$B$19</f>
        <v/>
      </c>
      <c r="T885" s="21">
        <f>2*$B$18+$D$855</f>
        <v/>
      </c>
      <c r="U885" s="21">
        <f>0</f>
        <v/>
      </c>
      <c r="V885" s="21">
        <f>-$B$18</f>
        <v/>
      </c>
      <c r="W885" s="21">
        <f>$B$19</f>
        <v/>
      </c>
      <c r="X885" s="21" t="n">
        <v>0</v>
      </c>
      <c r="Y885" s="21" t="n">
        <v>0</v>
      </c>
      <c r="Z885" s="21" t="n">
        <v>0</v>
      </c>
      <c r="AA885" s="21" t="n">
        <v>0</v>
      </c>
      <c r="AB885" s="21" t="n">
        <v>0</v>
      </c>
      <c r="AC885" s="21" t="n">
        <v>0</v>
      </c>
      <c r="AD885" s="21" t="n">
        <v>0</v>
      </c>
      <c r="AE885" s="21" t="n">
        <v>0</v>
      </c>
      <c r="AF885" s="21" t="n">
        <v>0</v>
      </c>
      <c r="AG885" s="21" t="n">
        <v>0</v>
      </c>
      <c r="AH885" s="21" t="n">
        <v>0</v>
      </c>
      <c r="AI885" s="21" t="n">
        <v>0</v>
      </c>
      <c r="AJ885" s="21" t="n">
        <v>0</v>
      </c>
      <c r="AK885" s="21" t="n">
        <v>0</v>
      </c>
      <c r="AL885" s="21" t="n">
        <v>0</v>
      </c>
      <c r="AM885" s="21" t="n">
        <v>0</v>
      </c>
      <c r="AN885" s="21" t="n">
        <v>0</v>
      </c>
      <c r="AO885" s="21" t="n">
        <v>0</v>
      </c>
      <c r="AP885" s="21" t="n">
        <v>0</v>
      </c>
      <c r="AQ885" s="21" t="n">
        <v>0</v>
      </c>
      <c r="AR885" s="21" t="n">
        <v>0</v>
      </c>
      <c r="AS885" s="21" t="n">
        <v>0</v>
      </c>
      <c r="AT885" s="19" t="n"/>
    </row>
    <row r="886">
      <c r="D886" s="21" t="n">
        <v>0</v>
      </c>
      <c r="E886" s="21" t="n">
        <v>0</v>
      </c>
      <c r="F886" s="21" t="n">
        <v>0</v>
      </c>
      <c r="G886" s="21" t="n">
        <v>0</v>
      </c>
      <c r="H886" s="21" t="n">
        <v>0</v>
      </c>
      <c r="I886" s="21" t="n">
        <v>0</v>
      </c>
      <c r="J886" s="21" t="n">
        <v>0</v>
      </c>
      <c r="K886" s="21" t="n">
        <v>0</v>
      </c>
      <c r="L886" s="21" t="n">
        <v>0</v>
      </c>
      <c r="M886" s="21" t="n">
        <v>0</v>
      </c>
      <c r="N886" s="21" t="n">
        <v>0</v>
      </c>
      <c r="O886" s="21" t="n">
        <v>0</v>
      </c>
      <c r="P886" s="21" t="n">
        <v>0</v>
      </c>
      <c r="Q886" s="21" t="n">
        <v>0</v>
      </c>
      <c r="R886" s="21">
        <f>$B$19</f>
        <v/>
      </c>
      <c r="S886" s="21">
        <f>$B$21</f>
        <v/>
      </c>
      <c r="T886" s="21">
        <f>0</f>
        <v/>
      </c>
      <c r="U886" s="21">
        <f>2*$B$20</f>
        <v/>
      </c>
      <c r="V886" s="21">
        <f>-$B$19</f>
        <v/>
      </c>
      <c r="W886" s="21">
        <f>$B$21</f>
        <v/>
      </c>
      <c r="X886" s="21" t="n">
        <v>0</v>
      </c>
      <c r="Y886" s="21" t="n">
        <v>0</v>
      </c>
      <c r="Z886" s="21" t="n">
        <v>0</v>
      </c>
      <c r="AA886" s="21" t="n">
        <v>0</v>
      </c>
      <c r="AB886" s="21" t="n">
        <v>0</v>
      </c>
      <c r="AC886" s="21" t="n">
        <v>0</v>
      </c>
      <c r="AD886" s="21" t="n">
        <v>0</v>
      </c>
      <c r="AE886" s="21" t="n">
        <v>0</v>
      </c>
      <c r="AF886" s="21" t="n">
        <v>0</v>
      </c>
      <c r="AG886" s="21" t="n">
        <v>0</v>
      </c>
      <c r="AH886" s="21" t="n">
        <v>0</v>
      </c>
      <c r="AI886" s="21" t="n">
        <v>0</v>
      </c>
      <c r="AJ886" s="21" t="n">
        <v>0</v>
      </c>
      <c r="AK886" s="21" t="n">
        <v>0</v>
      </c>
      <c r="AL886" s="21" t="n">
        <v>0</v>
      </c>
      <c r="AM886" s="21" t="n">
        <v>0</v>
      </c>
      <c r="AN886" s="21" t="n">
        <v>0</v>
      </c>
      <c r="AO886" s="21" t="n">
        <v>0</v>
      </c>
      <c r="AP886" s="21" t="n">
        <v>0</v>
      </c>
      <c r="AQ886" s="21" t="n">
        <v>0</v>
      </c>
      <c r="AR886" s="21" t="n">
        <v>0</v>
      </c>
      <c r="AS886" s="21" t="n">
        <v>0</v>
      </c>
      <c r="AT886" s="19" t="n"/>
    </row>
    <row r="887">
      <c r="D887" s="21" t="n">
        <v>0</v>
      </c>
      <c r="E887" s="21" t="n">
        <v>0</v>
      </c>
      <c r="F887" s="21" t="n">
        <v>0</v>
      </c>
      <c r="G887" s="21" t="n">
        <v>0</v>
      </c>
      <c r="H887" s="21" t="n">
        <v>0</v>
      </c>
      <c r="I887" s="21" t="n">
        <v>0</v>
      </c>
      <c r="J887" s="21" t="n">
        <v>0</v>
      </c>
      <c r="K887" s="21" t="n">
        <v>0</v>
      </c>
      <c r="L887" s="21" t="n">
        <v>0</v>
      </c>
      <c r="M887" s="21" t="n">
        <v>0</v>
      </c>
      <c r="N887" s="21" t="n">
        <v>0</v>
      </c>
      <c r="O887" s="21" t="n">
        <v>0</v>
      </c>
      <c r="P887" s="21" t="n">
        <v>0</v>
      </c>
      <c r="Q887" s="21" t="n">
        <v>0</v>
      </c>
      <c r="R887" s="21" t="n">
        <v>0</v>
      </c>
      <c r="S887" s="21" t="n">
        <v>0</v>
      </c>
      <c r="T887" s="21">
        <f>-$B$18</f>
        <v/>
      </c>
      <c r="U887" s="21">
        <f>-$B$19</f>
        <v/>
      </c>
      <c r="V887" s="21">
        <f>2*$B$18+$D$856</f>
        <v/>
      </c>
      <c r="W887" s="21">
        <f>0</f>
        <v/>
      </c>
      <c r="X887" s="21">
        <f>-$B$18</f>
        <v/>
      </c>
      <c r="Y887" s="21">
        <f>$B$19</f>
        <v/>
      </c>
      <c r="Z887" s="21" t="n">
        <v>0</v>
      </c>
      <c r="AA887" s="21" t="n">
        <v>0</v>
      </c>
      <c r="AB887" s="21" t="n">
        <v>0</v>
      </c>
      <c r="AC887" s="21" t="n">
        <v>0</v>
      </c>
      <c r="AD887" s="21" t="n">
        <v>0</v>
      </c>
      <c r="AE887" s="21" t="n">
        <v>0</v>
      </c>
      <c r="AF887" s="21" t="n">
        <v>0</v>
      </c>
      <c r="AG887" s="21" t="n">
        <v>0</v>
      </c>
      <c r="AH887" s="21" t="n">
        <v>0</v>
      </c>
      <c r="AI887" s="21" t="n">
        <v>0</v>
      </c>
      <c r="AJ887" s="21" t="n">
        <v>0</v>
      </c>
      <c r="AK887" s="21" t="n">
        <v>0</v>
      </c>
      <c r="AL887" s="21" t="n">
        <v>0</v>
      </c>
      <c r="AM887" s="21" t="n">
        <v>0</v>
      </c>
      <c r="AN887" s="21" t="n">
        <v>0</v>
      </c>
      <c r="AO887" s="21" t="n">
        <v>0</v>
      </c>
      <c r="AP887" s="21" t="n">
        <v>0</v>
      </c>
      <c r="AQ887" s="21" t="n">
        <v>0</v>
      </c>
      <c r="AR887" s="21" t="n">
        <v>0</v>
      </c>
      <c r="AS887" s="21" t="n">
        <v>0</v>
      </c>
      <c r="AT887" s="19" t="n"/>
    </row>
    <row r="888">
      <c r="D888" s="21" t="n">
        <v>0</v>
      </c>
      <c r="E888" s="21" t="n">
        <v>0</v>
      </c>
      <c r="F888" s="21" t="n">
        <v>0</v>
      </c>
      <c r="G888" s="21" t="n">
        <v>0</v>
      </c>
      <c r="H888" s="21" t="n">
        <v>0</v>
      </c>
      <c r="I888" s="21" t="n">
        <v>0</v>
      </c>
      <c r="J888" s="21" t="n">
        <v>0</v>
      </c>
      <c r="K888" s="21" t="n">
        <v>0</v>
      </c>
      <c r="L888" s="21" t="n">
        <v>0</v>
      </c>
      <c r="M888" s="21" t="n">
        <v>0</v>
      </c>
      <c r="N888" s="21" t="n">
        <v>0</v>
      </c>
      <c r="O888" s="21" t="n">
        <v>0</v>
      </c>
      <c r="P888" s="21" t="n">
        <v>0</v>
      </c>
      <c r="Q888" s="21" t="n">
        <v>0</v>
      </c>
      <c r="R888" s="21" t="n">
        <v>0</v>
      </c>
      <c r="S888" s="21" t="n">
        <v>0</v>
      </c>
      <c r="T888" s="21">
        <f>$B$19</f>
        <v/>
      </c>
      <c r="U888" s="21">
        <f>$B$21</f>
        <v/>
      </c>
      <c r="V888" s="21">
        <f>0</f>
        <v/>
      </c>
      <c r="W888" s="21">
        <f>2*$B$20</f>
        <v/>
      </c>
      <c r="X888" s="21">
        <f>-$B$19</f>
        <v/>
      </c>
      <c r="Y888" s="21">
        <f>$B$21</f>
        <v/>
      </c>
      <c r="Z888" s="21" t="n">
        <v>0</v>
      </c>
      <c r="AA888" s="21" t="n">
        <v>0</v>
      </c>
      <c r="AB888" s="21" t="n">
        <v>0</v>
      </c>
      <c r="AC888" s="21" t="n">
        <v>0</v>
      </c>
      <c r="AD888" s="21" t="n">
        <v>0</v>
      </c>
      <c r="AE888" s="21" t="n">
        <v>0</v>
      </c>
      <c r="AF888" s="21" t="n">
        <v>0</v>
      </c>
      <c r="AG888" s="21" t="n">
        <v>0</v>
      </c>
      <c r="AH888" s="21" t="n">
        <v>0</v>
      </c>
      <c r="AI888" s="21" t="n">
        <v>0</v>
      </c>
      <c r="AJ888" s="21" t="n">
        <v>0</v>
      </c>
      <c r="AK888" s="21" t="n">
        <v>0</v>
      </c>
      <c r="AL888" s="21" t="n">
        <v>0</v>
      </c>
      <c r="AM888" s="21" t="n">
        <v>0</v>
      </c>
      <c r="AN888" s="21" t="n">
        <v>0</v>
      </c>
      <c r="AO888" s="21" t="n">
        <v>0</v>
      </c>
      <c r="AP888" s="21" t="n">
        <v>0</v>
      </c>
      <c r="AQ888" s="21" t="n">
        <v>0</v>
      </c>
      <c r="AR888" s="21" t="n">
        <v>0</v>
      </c>
      <c r="AS888" s="21" t="n">
        <v>0</v>
      </c>
      <c r="AT888" s="19" t="n"/>
    </row>
    <row r="889">
      <c r="D889" s="21" t="n">
        <v>0</v>
      </c>
      <c r="E889" s="21" t="n">
        <v>0</v>
      </c>
      <c r="F889" s="21" t="n">
        <v>0</v>
      </c>
      <c r="G889" s="21" t="n">
        <v>0</v>
      </c>
      <c r="H889" s="21" t="n">
        <v>0</v>
      </c>
      <c r="I889" s="21" t="n">
        <v>0</v>
      </c>
      <c r="J889" s="21" t="n">
        <v>0</v>
      </c>
      <c r="K889" s="21" t="n">
        <v>0</v>
      </c>
      <c r="L889" s="21" t="n">
        <v>0</v>
      </c>
      <c r="M889" s="21" t="n">
        <v>0</v>
      </c>
      <c r="N889" s="21" t="n">
        <v>0</v>
      </c>
      <c r="O889" s="21" t="n">
        <v>0</v>
      </c>
      <c r="P889" s="21" t="n">
        <v>0</v>
      </c>
      <c r="Q889" s="21" t="n">
        <v>0</v>
      </c>
      <c r="R889" s="21" t="n">
        <v>0</v>
      </c>
      <c r="S889" s="21" t="n">
        <v>0</v>
      </c>
      <c r="T889" s="21" t="n">
        <v>0</v>
      </c>
      <c r="U889" s="21" t="n">
        <v>0</v>
      </c>
      <c r="V889" s="21">
        <f>-$B$18</f>
        <v/>
      </c>
      <c r="W889" s="21">
        <f>-$B$19</f>
        <v/>
      </c>
      <c r="X889" s="21">
        <f>2*$B$18+$D$857</f>
        <v/>
      </c>
      <c r="Y889" s="21">
        <f>0</f>
        <v/>
      </c>
      <c r="Z889" s="21">
        <f>-$B$18</f>
        <v/>
      </c>
      <c r="AA889" s="21">
        <f>$B$19</f>
        <v/>
      </c>
      <c r="AB889" s="21" t="n">
        <v>0</v>
      </c>
      <c r="AC889" s="21" t="n">
        <v>0</v>
      </c>
      <c r="AD889" s="21" t="n">
        <v>0</v>
      </c>
      <c r="AE889" s="21" t="n">
        <v>0</v>
      </c>
      <c r="AF889" s="21" t="n">
        <v>0</v>
      </c>
      <c r="AG889" s="21" t="n">
        <v>0</v>
      </c>
      <c r="AH889" s="21" t="n">
        <v>0</v>
      </c>
      <c r="AI889" s="21" t="n">
        <v>0</v>
      </c>
      <c r="AJ889" s="21" t="n">
        <v>0</v>
      </c>
      <c r="AK889" s="21" t="n">
        <v>0</v>
      </c>
      <c r="AL889" s="21" t="n">
        <v>0</v>
      </c>
      <c r="AM889" s="21" t="n">
        <v>0</v>
      </c>
      <c r="AN889" s="21" t="n">
        <v>0</v>
      </c>
      <c r="AO889" s="21" t="n">
        <v>0</v>
      </c>
      <c r="AP889" s="21" t="n">
        <v>0</v>
      </c>
      <c r="AQ889" s="21" t="n">
        <v>0</v>
      </c>
      <c r="AR889" s="21" t="n">
        <v>0</v>
      </c>
      <c r="AS889" s="21" t="n">
        <v>0</v>
      </c>
      <c r="AT889" s="19" t="n"/>
    </row>
    <row r="890">
      <c r="D890" s="21" t="n">
        <v>0</v>
      </c>
      <c r="E890" s="21" t="n">
        <v>0</v>
      </c>
      <c r="F890" s="21" t="n">
        <v>0</v>
      </c>
      <c r="G890" s="21" t="n">
        <v>0</v>
      </c>
      <c r="H890" s="21" t="n">
        <v>0</v>
      </c>
      <c r="I890" s="21" t="n">
        <v>0</v>
      </c>
      <c r="J890" s="21" t="n">
        <v>0</v>
      </c>
      <c r="K890" s="21" t="n">
        <v>0</v>
      </c>
      <c r="L890" s="21" t="n">
        <v>0</v>
      </c>
      <c r="M890" s="21" t="n">
        <v>0</v>
      </c>
      <c r="N890" s="21" t="n">
        <v>0</v>
      </c>
      <c r="O890" s="21" t="n">
        <v>0</v>
      </c>
      <c r="P890" s="21" t="n">
        <v>0</v>
      </c>
      <c r="Q890" s="21" t="n">
        <v>0</v>
      </c>
      <c r="R890" s="21" t="n">
        <v>0</v>
      </c>
      <c r="S890" s="21" t="n">
        <v>0</v>
      </c>
      <c r="T890" s="21" t="n">
        <v>0</v>
      </c>
      <c r="U890" s="21" t="n">
        <v>0</v>
      </c>
      <c r="V890" s="21">
        <f>$B$19</f>
        <v/>
      </c>
      <c r="W890" s="21">
        <f>$B$21</f>
        <v/>
      </c>
      <c r="X890" s="21">
        <f>0</f>
        <v/>
      </c>
      <c r="Y890" s="21">
        <f>2*$B$20</f>
        <v/>
      </c>
      <c r="Z890" s="21">
        <f>-$B$19</f>
        <v/>
      </c>
      <c r="AA890" s="21">
        <f>$B$21</f>
        <v/>
      </c>
      <c r="AB890" s="21" t="n">
        <v>0</v>
      </c>
      <c r="AC890" s="21" t="n">
        <v>0</v>
      </c>
      <c r="AD890" s="21" t="n">
        <v>0</v>
      </c>
      <c r="AE890" s="21" t="n">
        <v>0</v>
      </c>
      <c r="AF890" s="21" t="n">
        <v>0</v>
      </c>
      <c r="AG890" s="21" t="n">
        <v>0</v>
      </c>
      <c r="AH890" s="21" t="n">
        <v>0</v>
      </c>
      <c r="AI890" s="21" t="n">
        <v>0</v>
      </c>
      <c r="AJ890" s="21" t="n">
        <v>0</v>
      </c>
      <c r="AK890" s="21" t="n">
        <v>0</v>
      </c>
      <c r="AL890" s="21" t="n">
        <v>0</v>
      </c>
      <c r="AM890" s="21" t="n">
        <v>0</v>
      </c>
      <c r="AN890" s="21" t="n">
        <v>0</v>
      </c>
      <c r="AO890" s="21" t="n">
        <v>0</v>
      </c>
      <c r="AP890" s="21" t="n">
        <v>0</v>
      </c>
      <c r="AQ890" s="21" t="n">
        <v>0</v>
      </c>
      <c r="AR890" s="21" t="n">
        <v>0</v>
      </c>
      <c r="AS890" s="21" t="n">
        <v>0</v>
      </c>
      <c r="AT890" s="19" t="n"/>
    </row>
    <row r="891">
      <c r="D891" s="21" t="n">
        <v>0</v>
      </c>
      <c r="E891" s="21" t="n">
        <v>0</v>
      </c>
      <c r="F891" s="21" t="n">
        <v>0</v>
      </c>
      <c r="G891" s="21" t="n">
        <v>0</v>
      </c>
      <c r="H891" s="21" t="n">
        <v>0</v>
      </c>
      <c r="I891" s="21" t="n">
        <v>0</v>
      </c>
      <c r="J891" s="21" t="n">
        <v>0</v>
      </c>
      <c r="K891" s="21" t="n">
        <v>0</v>
      </c>
      <c r="L891" s="21" t="n">
        <v>0</v>
      </c>
      <c r="M891" s="21" t="n">
        <v>0</v>
      </c>
      <c r="N891" s="21" t="n">
        <v>0</v>
      </c>
      <c r="O891" s="21" t="n">
        <v>0</v>
      </c>
      <c r="P891" s="21" t="n">
        <v>0</v>
      </c>
      <c r="Q891" s="21" t="n">
        <v>0</v>
      </c>
      <c r="R891" s="21" t="n">
        <v>0</v>
      </c>
      <c r="S891" s="21" t="n">
        <v>0</v>
      </c>
      <c r="T891" s="21" t="n">
        <v>0</v>
      </c>
      <c r="U891" s="21" t="n">
        <v>0</v>
      </c>
      <c r="V891" s="21" t="n">
        <v>0</v>
      </c>
      <c r="W891" s="21" t="n">
        <v>0</v>
      </c>
      <c r="X891" s="21">
        <f>-$B$18</f>
        <v/>
      </c>
      <c r="Y891" s="21">
        <f>-$B$19</f>
        <v/>
      </c>
      <c r="Z891" s="21">
        <f>2*$B$18+$D$858</f>
        <v/>
      </c>
      <c r="AA891" s="21">
        <f>0</f>
        <v/>
      </c>
      <c r="AB891" s="21">
        <f>-$B$18</f>
        <v/>
      </c>
      <c r="AC891" s="21">
        <f>$B$19</f>
        <v/>
      </c>
      <c r="AD891" s="21" t="n">
        <v>0</v>
      </c>
      <c r="AE891" s="21" t="n">
        <v>0</v>
      </c>
      <c r="AF891" s="21" t="n">
        <v>0</v>
      </c>
      <c r="AG891" s="21" t="n">
        <v>0</v>
      </c>
      <c r="AH891" s="21" t="n">
        <v>0</v>
      </c>
      <c r="AI891" s="21" t="n">
        <v>0</v>
      </c>
      <c r="AJ891" s="21" t="n">
        <v>0</v>
      </c>
      <c r="AK891" s="21" t="n">
        <v>0</v>
      </c>
      <c r="AL891" s="21" t="n">
        <v>0</v>
      </c>
      <c r="AM891" s="21" t="n">
        <v>0</v>
      </c>
      <c r="AN891" s="21" t="n">
        <v>0</v>
      </c>
      <c r="AO891" s="21" t="n">
        <v>0</v>
      </c>
      <c r="AP891" s="21" t="n">
        <v>0</v>
      </c>
      <c r="AQ891" s="21" t="n">
        <v>0</v>
      </c>
      <c r="AR891" s="21" t="n">
        <v>0</v>
      </c>
      <c r="AS891" s="21" t="n">
        <v>0</v>
      </c>
      <c r="AT891" s="19" t="n"/>
    </row>
    <row r="892">
      <c r="D892" s="21" t="n">
        <v>0</v>
      </c>
      <c r="E892" s="21" t="n">
        <v>0</v>
      </c>
      <c r="F892" s="21" t="n">
        <v>0</v>
      </c>
      <c r="G892" s="21" t="n">
        <v>0</v>
      </c>
      <c r="H892" s="21" t="n">
        <v>0</v>
      </c>
      <c r="I892" s="21" t="n">
        <v>0</v>
      </c>
      <c r="J892" s="21" t="n">
        <v>0</v>
      </c>
      <c r="K892" s="21" t="n">
        <v>0</v>
      </c>
      <c r="L892" s="21" t="n">
        <v>0</v>
      </c>
      <c r="M892" s="21" t="n">
        <v>0</v>
      </c>
      <c r="N892" s="21" t="n">
        <v>0</v>
      </c>
      <c r="O892" s="21" t="n">
        <v>0</v>
      </c>
      <c r="P892" s="21" t="n">
        <v>0</v>
      </c>
      <c r="Q892" s="21" t="n">
        <v>0</v>
      </c>
      <c r="R892" s="21" t="n">
        <v>0</v>
      </c>
      <c r="S892" s="21" t="n">
        <v>0</v>
      </c>
      <c r="T892" s="21" t="n">
        <v>0</v>
      </c>
      <c r="U892" s="21" t="n">
        <v>0</v>
      </c>
      <c r="V892" s="21" t="n">
        <v>0</v>
      </c>
      <c r="W892" s="21" t="n">
        <v>0</v>
      </c>
      <c r="X892" s="21">
        <f>$B$19</f>
        <v/>
      </c>
      <c r="Y892" s="21">
        <f>$B$21</f>
        <v/>
      </c>
      <c r="Z892" s="21">
        <f>0</f>
        <v/>
      </c>
      <c r="AA892" s="21">
        <f>2*$B$20</f>
        <v/>
      </c>
      <c r="AB892" s="21">
        <f>-$B$19</f>
        <v/>
      </c>
      <c r="AC892" s="21">
        <f>$B$21</f>
        <v/>
      </c>
      <c r="AD892" s="21" t="n">
        <v>0</v>
      </c>
      <c r="AE892" s="21" t="n">
        <v>0</v>
      </c>
      <c r="AF892" s="21" t="n">
        <v>0</v>
      </c>
      <c r="AG892" s="21" t="n">
        <v>0</v>
      </c>
      <c r="AH892" s="21" t="n">
        <v>0</v>
      </c>
      <c r="AI892" s="21" t="n">
        <v>0</v>
      </c>
      <c r="AJ892" s="21" t="n">
        <v>0</v>
      </c>
      <c r="AK892" s="21" t="n">
        <v>0</v>
      </c>
      <c r="AL892" s="21" t="n">
        <v>0</v>
      </c>
      <c r="AM892" s="21" t="n">
        <v>0</v>
      </c>
      <c r="AN892" s="21" t="n">
        <v>0</v>
      </c>
      <c r="AO892" s="21" t="n">
        <v>0</v>
      </c>
      <c r="AP892" s="21" t="n">
        <v>0</v>
      </c>
      <c r="AQ892" s="21" t="n">
        <v>0</v>
      </c>
      <c r="AR892" s="21" t="n">
        <v>0</v>
      </c>
      <c r="AS892" s="21" t="n">
        <v>0</v>
      </c>
      <c r="AT892" s="19" t="n"/>
    </row>
    <row r="893">
      <c r="D893" s="21" t="n">
        <v>0</v>
      </c>
      <c r="E893" s="21" t="n">
        <v>0</v>
      </c>
      <c r="F893" s="21" t="n">
        <v>0</v>
      </c>
      <c r="G893" s="21" t="n">
        <v>0</v>
      </c>
      <c r="H893" s="21" t="n">
        <v>0</v>
      </c>
      <c r="I893" s="21" t="n">
        <v>0</v>
      </c>
      <c r="J893" s="21" t="n">
        <v>0</v>
      </c>
      <c r="K893" s="21" t="n">
        <v>0</v>
      </c>
      <c r="L893" s="21" t="n">
        <v>0</v>
      </c>
      <c r="M893" s="21" t="n">
        <v>0</v>
      </c>
      <c r="N893" s="21" t="n">
        <v>0</v>
      </c>
      <c r="O893" s="21" t="n">
        <v>0</v>
      </c>
      <c r="P893" s="21" t="n">
        <v>0</v>
      </c>
      <c r="Q893" s="21" t="n">
        <v>0</v>
      </c>
      <c r="R893" s="21" t="n">
        <v>0</v>
      </c>
      <c r="S893" s="21" t="n">
        <v>0</v>
      </c>
      <c r="T893" s="21" t="n">
        <v>0</v>
      </c>
      <c r="U893" s="21" t="n">
        <v>0</v>
      </c>
      <c r="V893" s="21" t="n">
        <v>0</v>
      </c>
      <c r="W893" s="21" t="n">
        <v>0</v>
      </c>
      <c r="X893" s="21" t="n">
        <v>0</v>
      </c>
      <c r="Y893" s="21" t="n">
        <v>0</v>
      </c>
      <c r="Z893" s="21">
        <f>-$B$18</f>
        <v/>
      </c>
      <c r="AA893" s="21">
        <f>-$B$19</f>
        <v/>
      </c>
      <c r="AB893" s="21">
        <f>2*$B$18+$D$859</f>
        <v/>
      </c>
      <c r="AC893" s="21">
        <f>0</f>
        <v/>
      </c>
      <c r="AD893" s="21">
        <f>-$B$18</f>
        <v/>
      </c>
      <c r="AE893" s="21">
        <f>$B$19</f>
        <v/>
      </c>
      <c r="AF893" s="21" t="n">
        <v>0</v>
      </c>
      <c r="AG893" s="21" t="n">
        <v>0</v>
      </c>
      <c r="AH893" s="21" t="n">
        <v>0</v>
      </c>
      <c r="AI893" s="21" t="n">
        <v>0</v>
      </c>
      <c r="AJ893" s="21" t="n">
        <v>0</v>
      </c>
      <c r="AK893" s="21" t="n">
        <v>0</v>
      </c>
      <c r="AL893" s="21" t="n">
        <v>0</v>
      </c>
      <c r="AM893" s="21" t="n">
        <v>0</v>
      </c>
      <c r="AN893" s="21" t="n">
        <v>0</v>
      </c>
      <c r="AO893" s="21" t="n">
        <v>0</v>
      </c>
      <c r="AP893" s="21" t="n">
        <v>0</v>
      </c>
      <c r="AQ893" s="21" t="n">
        <v>0</v>
      </c>
      <c r="AR893" s="21" t="n">
        <v>0</v>
      </c>
      <c r="AS893" s="21" t="n">
        <v>0</v>
      </c>
      <c r="AT893" s="19" t="n"/>
    </row>
    <row r="894">
      <c r="D894" s="21" t="n">
        <v>0</v>
      </c>
      <c r="E894" s="21" t="n">
        <v>0</v>
      </c>
      <c r="F894" s="21" t="n">
        <v>0</v>
      </c>
      <c r="G894" s="21" t="n">
        <v>0</v>
      </c>
      <c r="H894" s="21" t="n">
        <v>0</v>
      </c>
      <c r="I894" s="21" t="n">
        <v>0</v>
      </c>
      <c r="J894" s="21" t="n">
        <v>0</v>
      </c>
      <c r="K894" s="21" t="n">
        <v>0</v>
      </c>
      <c r="L894" s="21" t="n">
        <v>0</v>
      </c>
      <c r="M894" s="21" t="n">
        <v>0</v>
      </c>
      <c r="N894" s="21" t="n">
        <v>0</v>
      </c>
      <c r="O894" s="21" t="n">
        <v>0</v>
      </c>
      <c r="P894" s="21" t="n">
        <v>0</v>
      </c>
      <c r="Q894" s="21" t="n">
        <v>0</v>
      </c>
      <c r="R894" s="21" t="n">
        <v>0</v>
      </c>
      <c r="S894" s="21" t="n">
        <v>0</v>
      </c>
      <c r="T894" s="21" t="n">
        <v>0</v>
      </c>
      <c r="U894" s="21" t="n">
        <v>0</v>
      </c>
      <c r="V894" s="21" t="n">
        <v>0</v>
      </c>
      <c r="W894" s="21" t="n">
        <v>0</v>
      </c>
      <c r="X894" s="21" t="n">
        <v>0</v>
      </c>
      <c r="Y894" s="21" t="n">
        <v>0</v>
      </c>
      <c r="Z894" s="21">
        <f>$B$19</f>
        <v/>
      </c>
      <c r="AA894" s="21">
        <f>$B$21</f>
        <v/>
      </c>
      <c r="AB894" s="21">
        <f>0</f>
        <v/>
      </c>
      <c r="AC894" s="21">
        <f>2*$B$20</f>
        <v/>
      </c>
      <c r="AD894" s="21">
        <f>-$B$19</f>
        <v/>
      </c>
      <c r="AE894" s="21">
        <f>$B$21</f>
        <v/>
      </c>
      <c r="AF894" s="21" t="n">
        <v>0</v>
      </c>
      <c r="AG894" s="21" t="n">
        <v>0</v>
      </c>
      <c r="AH894" s="21" t="n">
        <v>0</v>
      </c>
      <c r="AI894" s="21" t="n">
        <v>0</v>
      </c>
      <c r="AJ894" s="21" t="n">
        <v>0</v>
      </c>
      <c r="AK894" s="21" t="n">
        <v>0</v>
      </c>
      <c r="AL894" s="21" t="n">
        <v>0</v>
      </c>
      <c r="AM894" s="21" t="n">
        <v>0</v>
      </c>
      <c r="AN894" s="21" t="n">
        <v>0</v>
      </c>
      <c r="AO894" s="21" t="n">
        <v>0</v>
      </c>
      <c r="AP894" s="21" t="n">
        <v>0</v>
      </c>
      <c r="AQ894" s="21" t="n">
        <v>0</v>
      </c>
      <c r="AR894" s="21" t="n">
        <v>0</v>
      </c>
      <c r="AS894" s="21" t="n">
        <v>0</v>
      </c>
      <c r="AT894" s="19" t="n"/>
    </row>
    <row r="895">
      <c r="D895" s="21" t="n">
        <v>0</v>
      </c>
      <c r="E895" s="21" t="n">
        <v>0</v>
      </c>
      <c r="F895" s="21" t="n">
        <v>0</v>
      </c>
      <c r="G895" s="21" t="n">
        <v>0</v>
      </c>
      <c r="H895" s="21" t="n">
        <v>0</v>
      </c>
      <c r="I895" s="21" t="n">
        <v>0</v>
      </c>
      <c r="J895" s="21" t="n">
        <v>0</v>
      </c>
      <c r="K895" s="21" t="n">
        <v>0</v>
      </c>
      <c r="L895" s="21" t="n">
        <v>0</v>
      </c>
      <c r="M895" s="21" t="n">
        <v>0</v>
      </c>
      <c r="N895" s="21" t="n">
        <v>0</v>
      </c>
      <c r="O895" s="21" t="n">
        <v>0</v>
      </c>
      <c r="P895" s="21" t="n">
        <v>0</v>
      </c>
      <c r="Q895" s="21" t="n">
        <v>0</v>
      </c>
      <c r="R895" s="21" t="n">
        <v>0</v>
      </c>
      <c r="S895" s="21" t="n">
        <v>0</v>
      </c>
      <c r="T895" s="21" t="n">
        <v>0</v>
      </c>
      <c r="U895" s="21" t="n">
        <v>0</v>
      </c>
      <c r="V895" s="21" t="n">
        <v>0</v>
      </c>
      <c r="W895" s="21" t="n">
        <v>0</v>
      </c>
      <c r="X895" s="21" t="n">
        <v>0</v>
      </c>
      <c r="Y895" s="21" t="n">
        <v>0</v>
      </c>
      <c r="Z895" s="21" t="n">
        <v>0</v>
      </c>
      <c r="AA895" s="21" t="n">
        <v>0</v>
      </c>
      <c r="AB895" s="21">
        <f>-$B$18</f>
        <v/>
      </c>
      <c r="AC895" s="21">
        <f>-$B$19</f>
        <v/>
      </c>
      <c r="AD895" s="21">
        <f>2*$B$18+$D$860</f>
        <v/>
      </c>
      <c r="AE895" s="21">
        <f>0</f>
        <v/>
      </c>
      <c r="AF895" s="21">
        <f>-$B$18</f>
        <v/>
      </c>
      <c r="AG895" s="21">
        <f>$B$19</f>
        <v/>
      </c>
      <c r="AH895" s="21" t="n">
        <v>0</v>
      </c>
      <c r="AI895" s="21" t="n">
        <v>0</v>
      </c>
      <c r="AJ895" s="21" t="n">
        <v>0</v>
      </c>
      <c r="AK895" s="21" t="n">
        <v>0</v>
      </c>
      <c r="AL895" s="21" t="n">
        <v>0</v>
      </c>
      <c r="AM895" s="21" t="n">
        <v>0</v>
      </c>
      <c r="AN895" s="21" t="n">
        <v>0</v>
      </c>
      <c r="AO895" s="21" t="n">
        <v>0</v>
      </c>
      <c r="AP895" s="21" t="n">
        <v>0</v>
      </c>
      <c r="AQ895" s="21" t="n">
        <v>0</v>
      </c>
      <c r="AR895" s="21" t="n">
        <v>0</v>
      </c>
      <c r="AS895" s="21" t="n">
        <v>0</v>
      </c>
      <c r="AT895" s="19" t="n"/>
    </row>
    <row r="896">
      <c r="D896" s="21" t="n">
        <v>0</v>
      </c>
      <c r="E896" s="21" t="n">
        <v>0</v>
      </c>
      <c r="F896" s="21" t="n">
        <v>0</v>
      </c>
      <c r="G896" s="21" t="n">
        <v>0</v>
      </c>
      <c r="H896" s="21" t="n">
        <v>0</v>
      </c>
      <c r="I896" s="21" t="n">
        <v>0</v>
      </c>
      <c r="J896" s="21" t="n">
        <v>0</v>
      </c>
      <c r="K896" s="21" t="n">
        <v>0</v>
      </c>
      <c r="L896" s="21" t="n">
        <v>0</v>
      </c>
      <c r="M896" s="21" t="n">
        <v>0</v>
      </c>
      <c r="N896" s="21" t="n">
        <v>0</v>
      </c>
      <c r="O896" s="21" t="n">
        <v>0</v>
      </c>
      <c r="P896" s="21" t="n">
        <v>0</v>
      </c>
      <c r="Q896" s="21" t="n">
        <v>0</v>
      </c>
      <c r="R896" s="21" t="n">
        <v>0</v>
      </c>
      <c r="S896" s="21" t="n">
        <v>0</v>
      </c>
      <c r="T896" s="21" t="n">
        <v>0</v>
      </c>
      <c r="U896" s="21" t="n">
        <v>0</v>
      </c>
      <c r="V896" s="21" t="n">
        <v>0</v>
      </c>
      <c r="W896" s="21" t="n">
        <v>0</v>
      </c>
      <c r="X896" s="21" t="n">
        <v>0</v>
      </c>
      <c r="Y896" s="21" t="n">
        <v>0</v>
      </c>
      <c r="Z896" s="21" t="n">
        <v>0</v>
      </c>
      <c r="AA896" s="21" t="n">
        <v>0</v>
      </c>
      <c r="AB896" s="21">
        <f>$B$19</f>
        <v/>
      </c>
      <c r="AC896" s="21">
        <f>$B$21</f>
        <v/>
      </c>
      <c r="AD896" s="21">
        <f>0</f>
        <v/>
      </c>
      <c r="AE896" s="21">
        <f>2*$B$20</f>
        <v/>
      </c>
      <c r="AF896" s="21">
        <f>-$B$19</f>
        <v/>
      </c>
      <c r="AG896" s="21">
        <f>$B$21</f>
        <v/>
      </c>
      <c r="AH896" s="21" t="n">
        <v>0</v>
      </c>
      <c r="AI896" s="21" t="n">
        <v>0</v>
      </c>
      <c r="AJ896" s="21" t="n">
        <v>0</v>
      </c>
      <c r="AK896" s="21" t="n">
        <v>0</v>
      </c>
      <c r="AL896" s="21" t="n">
        <v>0</v>
      </c>
      <c r="AM896" s="21" t="n">
        <v>0</v>
      </c>
      <c r="AN896" s="21" t="n">
        <v>0</v>
      </c>
      <c r="AO896" s="21" t="n">
        <v>0</v>
      </c>
      <c r="AP896" s="21" t="n">
        <v>0</v>
      </c>
      <c r="AQ896" s="21" t="n">
        <v>0</v>
      </c>
      <c r="AR896" s="21" t="n">
        <v>0</v>
      </c>
      <c r="AS896" s="21" t="n">
        <v>0</v>
      </c>
      <c r="AT896" s="19" t="n"/>
    </row>
    <row r="897">
      <c r="D897" s="21" t="n">
        <v>0</v>
      </c>
      <c r="E897" s="21" t="n">
        <v>0</v>
      </c>
      <c r="F897" s="21" t="n">
        <v>0</v>
      </c>
      <c r="G897" s="21" t="n">
        <v>0</v>
      </c>
      <c r="H897" s="21" t="n">
        <v>0</v>
      </c>
      <c r="I897" s="21" t="n">
        <v>0</v>
      </c>
      <c r="J897" s="21" t="n">
        <v>0</v>
      </c>
      <c r="K897" s="21" t="n">
        <v>0</v>
      </c>
      <c r="L897" s="21" t="n">
        <v>0</v>
      </c>
      <c r="M897" s="21" t="n">
        <v>0</v>
      </c>
      <c r="N897" s="21" t="n">
        <v>0</v>
      </c>
      <c r="O897" s="21" t="n">
        <v>0</v>
      </c>
      <c r="P897" s="21" t="n">
        <v>0</v>
      </c>
      <c r="Q897" s="21" t="n">
        <v>0</v>
      </c>
      <c r="R897" s="21" t="n">
        <v>0</v>
      </c>
      <c r="S897" s="21" t="n">
        <v>0</v>
      </c>
      <c r="T897" s="21" t="n">
        <v>0</v>
      </c>
      <c r="U897" s="21" t="n">
        <v>0</v>
      </c>
      <c r="V897" s="21" t="n">
        <v>0</v>
      </c>
      <c r="W897" s="21" t="n">
        <v>0</v>
      </c>
      <c r="X897" s="21" t="n">
        <v>0</v>
      </c>
      <c r="Y897" s="21" t="n">
        <v>0</v>
      </c>
      <c r="Z897" s="21" t="n">
        <v>0</v>
      </c>
      <c r="AA897" s="21" t="n">
        <v>0</v>
      </c>
      <c r="AB897" s="21" t="n">
        <v>0</v>
      </c>
      <c r="AC897" s="21" t="n">
        <v>0</v>
      </c>
      <c r="AD897" s="21">
        <f>-$B$18</f>
        <v/>
      </c>
      <c r="AE897" s="21">
        <f>-$B$19</f>
        <v/>
      </c>
      <c r="AF897" s="21">
        <f>2*$B$18+$D$861</f>
        <v/>
      </c>
      <c r="AG897" s="21">
        <f>0</f>
        <v/>
      </c>
      <c r="AH897" s="21">
        <f>-$B$18</f>
        <v/>
      </c>
      <c r="AI897" s="21">
        <f>$B$19</f>
        <v/>
      </c>
      <c r="AJ897" s="21" t="n">
        <v>0</v>
      </c>
      <c r="AK897" s="21" t="n">
        <v>0</v>
      </c>
      <c r="AL897" s="21" t="n">
        <v>0</v>
      </c>
      <c r="AM897" s="21" t="n">
        <v>0</v>
      </c>
      <c r="AN897" s="21" t="n">
        <v>0</v>
      </c>
      <c r="AO897" s="21" t="n">
        <v>0</v>
      </c>
      <c r="AP897" s="21" t="n">
        <v>0</v>
      </c>
      <c r="AQ897" s="21" t="n">
        <v>0</v>
      </c>
      <c r="AR897" s="21" t="n">
        <v>0</v>
      </c>
      <c r="AS897" s="21" t="n">
        <v>0</v>
      </c>
      <c r="AT897" s="19" t="n"/>
    </row>
    <row r="898">
      <c r="D898" s="21" t="n">
        <v>0</v>
      </c>
      <c r="E898" s="21" t="n">
        <v>0</v>
      </c>
      <c r="F898" s="21" t="n">
        <v>0</v>
      </c>
      <c r="G898" s="21" t="n">
        <v>0</v>
      </c>
      <c r="H898" s="21" t="n">
        <v>0</v>
      </c>
      <c r="I898" s="21" t="n">
        <v>0</v>
      </c>
      <c r="J898" s="21" t="n">
        <v>0</v>
      </c>
      <c r="K898" s="21" t="n">
        <v>0</v>
      </c>
      <c r="L898" s="21" t="n">
        <v>0</v>
      </c>
      <c r="M898" s="21" t="n">
        <v>0</v>
      </c>
      <c r="N898" s="21" t="n">
        <v>0</v>
      </c>
      <c r="O898" s="21" t="n">
        <v>0</v>
      </c>
      <c r="P898" s="21" t="n">
        <v>0</v>
      </c>
      <c r="Q898" s="21" t="n">
        <v>0</v>
      </c>
      <c r="R898" s="21" t="n">
        <v>0</v>
      </c>
      <c r="S898" s="21" t="n">
        <v>0</v>
      </c>
      <c r="T898" s="21" t="n">
        <v>0</v>
      </c>
      <c r="U898" s="21" t="n">
        <v>0</v>
      </c>
      <c r="V898" s="21" t="n">
        <v>0</v>
      </c>
      <c r="W898" s="21" t="n">
        <v>0</v>
      </c>
      <c r="X898" s="21" t="n">
        <v>0</v>
      </c>
      <c r="Y898" s="21" t="n">
        <v>0</v>
      </c>
      <c r="Z898" s="21" t="n">
        <v>0</v>
      </c>
      <c r="AA898" s="21" t="n">
        <v>0</v>
      </c>
      <c r="AB898" s="21" t="n">
        <v>0</v>
      </c>
      <c r="AC898" s="21" t="n">
        <v>0</v>
      </c>
      <c r="AD898" s="21">
        <f>$B$19</f>
        <v/>
      </c>
      <c r="AE898" s="21">
        <f>$B$21</f>
        <v/>
      </c>
      <c r="AF898" s="21">
        <f>0</f>
        <v/>
      </c>
      <c r="AG898" s="21">
        <f>2*$B$20</f>
        <v/>
      </c>
      <c r="AH898" s="21">
        <f>-$B$19</f>
        <v/>
      </c>
      <c r="AI898" s="21">
        <f>$B$21</f>
        <v/>
      </c>
      <c r="AJ898" s="21" t="n">
        <v>0</v>
      </c>
      <c r="AK898" s="21" t="n">
        <v>0</v>
      </c>
      <c r="AL898" s="21" t="n">
        <v>0</v>
      </c>
      <c r="AM898" s="21" t="n">
        <v>0</v>
      </c>
      <c r="AN898" s="21" t="n">
        <v>0</v>
      </c>
      <c r="AO898" s="21" t="n">
        <v>0</v>
      </c>
      <c r="AP898" s="21" t="n">
        <v>0</v>
      </c>
      <c r="AQ898" s="21" t="n">
        <v>0</v>
      </c>
      <c r="AR898" s="21" t="n">
        <v>0</v>
      </c>
      <c r="AS898" s="21" t="n">
        <v>0</v>
      </c>
      <c r="AT898" s="19" t="n"/>
    </row>
    <row r="899">
      <c r="D899" s="21" t="n">
        <v>0</v>
      </c>
      <c r="E899" s="21" t="n">
        <v>0</v>
      </c>
      <c r="F899" s="21" t="n">
        <v>0</v>
      </c>
      <c r="G899" s="21" t="n">
        <v>0</v>
      </c>
      <c r="H899" s="21" t="n">
        <v>0</v>
      </c>
      <c r="I899" s="21" t="n">
        <v>0</v>
      </c>
      <c r="J899" s="21" t="n">
        <v>0</v>
      </c>
      <c r="K899" s="21" t="n">
        <v>0</v>
      </c>
      <c r="L899" s="21" t="n">
        <v>0</v>
      </c>
      <c r="M899" s="21" t="n">
        <v>0</v>
      </c>
      <c r="N899" s="21" t="n">
        <v>0</v>
      </c>
      <c r="O899" s="21" t="n">
        <v>0</v>
      </c>
      <c r="P899" s="21" t="n">
        <v>0</v>
      </c>
      <c r="Q899" s="21" t="n">
        <v>0</v>
      </c>
      <c r="R899" s="21" t="n">
        <v>0</v>
      </c>
      <c r="S899" s="21" t="n">
        <v>0</v>
      </c>
      <c r="T899" s="21" t="n">
        <v>0</v>
      </c>
      <c r="U899" s="21" t="n">
        <v>0</v>
      </c>
      <c r="V899" s="21" t="n">
        <v>0</v>
      </c>
      <c r="W899" s="21" t="n">
        <v>0</v>
      </c>
      <c r="X899" s="21" t="n">
        <v>0</v>
      </c>
      <c r="Y899" s="21" t="n">
        <v>0</v>
      </c>
      <c r="Z899" s="21" t="n">
        <v>0</v>
      </c>
      <c r="AA899" s="21" t="n">
        <v>0</v>
      </c>
      <c r="AB899" s="21" t="n">
        <v>0</v>
      </c>
      <c r="AC899" s="21" t="n">
        <v>0</v>
      </c>
      <c r="AD899" s="21" t="n">
        <v>0</v>
      </c>
      <c r="AE899" s="21" t="n">
        <v>0</v>
      </c>
      <c r="AF899" s="21">
        <f>-$B$18</f>
        <v/>
      </c>
      <c r="AG899" s="21">
        <f>-$B$19</f>
        <v/>
      </c>
      <c r="AH899" s="21">
        <f>2*$B$18+$D$862</f>
        <v/>
      </c>
      <c r="AI899" s="21">
        <f>0</f>
        <v/>
      </c>
      <c r="AJ899" s="21">
        <f>-$B$18</f>
        <v/>
      </c>
      <c r="AK899" s="21">
        <f>$B$19</f>
        <v/>
      </c>
      <c r="AL899" s="21" t="n">
        <v>0</v>
      </c>
      <c r="AM899" s="21" t="n">
        <v>0</v>
      </c>
      <c r="AN899" s="21" t="n">
        <v>0</v>
      </c>
      <c r="AO899" s="21" t="n">
        <v>0</v>
      </c>
      <c r="AP899" s="21" t="n">
        <v>0</v>
      </c>
      <c r="AQ899" s="21" t="n">
        <v>0</v>
      </c>
      <c r="AR899" s="21" t="n">
        <v>0</v>
      </c>
      <c r="AS899" s="21" t="n">
        <v>0</v>
      </c>
      <c r="AT899" s="19" t="n"/>
    </row>
    <row r="900">
      <c r="D900" s="21" t="n">
        <v>0</v>
      </c>
      <c r="E900" s="21" t="n">
        <v>0</v>
      </c>
      <c r="F900" s="21" t="n">
        <v>0</v>
      </c>
      <c r="G900" s="21" t="n">
        <v>0</v>
      </c>
      <c r="H900" s="21" t="n">
        <v>0</v>
      </c>
      <c r="I900" s="21" t="n">
        <v>0</v>
      </c>
      <c r="J900" s="21" t="n">
        <v>0</v>
      </c>
      <c r="K900" s="21" t="n">
        <v>0</v>
      </c>
      <c r="L900" s="21" t="n">
        <v>0</v>
      </c>
      <c r="M900" s="21" t="n">
        <v>0</v>
      </c>
      <c r="N900" s="21" t="n">
        <v>0</v>
      </c>
      <c r="O900" s="21" t="n">
        <v>0</v>
      </c>
      <c r="P900" s="21" t="n">
        <v>0</v>
      </c>
      <c r="Q900" s="21" t="n">
        <v>0</v>
      </c>
      <c r="R900" s="21" t="n">
        <v>0</v>
      </c>
      <c r="S900" s="21" t="n">
        <v>0</v>
      </c>
      <c r="T900" s="21" t="n">
        <v>0</v>
      </c>
      <c r="U900" s="21" t="n">
        <v>0</v>
      </c>
      <c r="V900" s="21" t="n">
        <v>0</v>
      </c>
      <c r="W900" s="21" t="n">
        <v>0</v>
      </c>
      <c r="X900" s="21" t="n">
        <v>0</v>
      </c>
      <c r="Y900" s="21" t="n">
        <v>0</v>
      </c>
      <c r="Z900" s="21" t="n">
        <v>0</v>
      </c>
      <c r="AA900" s="21" t="n">
        <v>0</v>
      </c>
      <c r="AB900" s="21" t="n">
        <v>0</v>
      </c>
      <c r="AC900" s="21" t="n">
        <v>0</v>
      </c>
      <c r="AD900" s="21" t="n">
        <v>0</v>
      </c>
      <c r="AE900" s="21" t="n">
        <v>0</v>
      </c>
      <c r="AF900" s="21">
        <f>$B$19</f>
        <v/>
      </c>
      <c r="AG900" s="21">
        <f>$B$21</f>
        <v/>
      </c>
      <c r="AH900" s="21">
        <f>0</f>
        <v/>
      </c>
      <c r="AI900" s="21">
        <f>2*$B$20</f>
        <v/>
      </c>
      <c r="AJ900" s="21">
        <f>-$B$19</f>
        <v/>
      </c>
      <c r="AK900" s="21">
        <f>$B$21</f>
        <v/>
      </c>
      <c r="AL900" s="21" t="n">
        <v>0</v>
      </c>
      <c r="AM900" s="21" t="n">
        <v>0</v>
      </c>
      <c r="AN900" s="21" t="n">
        <v>0</v>
      </c>
      <c r="AO900" s="21" t="n">
        <v>0</v>
      </c>
      <c r="AP900" s="21" t="n">
        <v>0</v>
      </c>
      <c r="AQ900" s="21" t="n">
        <v>0</v>
      </c>
      <c r="AR900" s="21" t="n">
        <v>0</v>
      </c>
      <c r="AS900" s="21" t="n">
        <v>0</v>
      </c>
      <c r="AT900" s="19" t="n"/>
    </row>
    <row r="901">
      <c r="D901" s="21" t="n">
        <v>0</v>
      </c>
      <c r="E901" s="21" t="n">
        <v>0</v>
      </c>
      <c r="F901" s="21" t="n">
        <v>0</v>
      </c>
      <c r="G901" s="21" t="n">
        <v>0</v>
      </c>
      <c r="H901" s="21" t="n">
        <v>0</v>
      </c>
      <c r="I901" s="21" t="n">
        <v>0</v>
      </c>
      <c r="J901" s="21" t="n">
        <v>0</v>
      </c>
      <c r="K901" s="21" t="n">
        <v>0</v>
      </c>
      <c r="L901" s="21" t="n">
        <v>0</v>
      </c>
      <c r="M901" s="21" t="n">
        <v>0</v>
      </c>
      <c r="N901" s="21" t="n">
        <v>0</v>
      </c>
      <c r="O901" s="21" t="n">
        <v>0</v>
      </c>
      <c r="P901" s="21" t="n">
        <v>0</v>
      </c>
      <c r="Q901" s="21" t="n">
        <v>0</v>
      </c>
      <c r="R901" s="21" t="n">
        <v>0</v>
      </c>
      <c r="S901" s="21" t="n">
        <v>0</v>
      </c>
      <c r="T901" s="21" t="n">
        <v>0</v>
      </c>
      <c r="U901" s="21" t="n">
        <v>0</v>
      </c>
      <c r="V901" s="21" t="n">
        <v>0</v>
      </c>
      <c r="W901" s="21" t="n">
        <v>0</v>
      </c>
      <c r="X901" s="21" t="n">
        <v>0</v>
      </c>
      <c r="Y901" s="21" t="n">
        <v>0</v>
      </c>
      <c r="Z901" s="21" t="n">
        <v>0</v>
      </c>
      <c r="AA901" s="21" t="n">
        <v>0</v>
      </c>
      <c r="AB901" s="21" t="n">
        <v>0</v>
      </c>
      <c r="AC901" s="21" t="n">
        <v>0</v>
      </c>
      <c r="AD901" s="21" t="n">
        <v>0</v>
      </c>
      <c r="AE901" s="21" t="n">
        <v>0</v>
      </c>
      <c r="AF901" s="21" t="n">
        <v>0</v>
      </c>
      <c r="AG901" s="21" t="n">
        <v>0</v>
      </c>
      <c r="AH901" s="21">
        <f>-$B$18</f>
        <v/>
      </c>
      <c r="AI901" s="21">
        <f>-$B$19</f>
        <v/>
      </c>
      <c r="AJ901" s="21">
        <f>2*$B$18+$D$863</f>
        <v/>
      </c>
      <c r="AK901" s="21">
        <f>0</f>
        <v/>
      </c>
      <c r="AL901" s="21">
        <f>-$B$18</f>
        <v/>
      </c>
      <c r="AM901" s="21">
        <f>$B$19</f>
        <v/>
      </c>
      <c r="AN901" s="21" t="n">
        <v>0</v>
      </c>
      <c r="AO901" s="21" t="n">
        <v>0</v>
      </c>
      <c r="AP901" s="21" t="n">
        <v>0</v>
      </c>
      <c r="AQ901" s="21" t="n">
        <v>0</v>
      </c>
      <c r="AR901" s="21" t="n">
        <v>0</v>
      </c>
      <c r="AS901" s="21" t="n">
        <v>0</v>
      </c>
      <c r="AT901" s="19" t="n"/>
    </row>
    <row r="902">
      <c r="D902" s="21" t="n">
        <v>0</v>
      </c>
      <c r="E902" s="21" t="n">
        <v>0</v>
      </c>
      <c r="F902" s="21" t="n">
        <v>0</v>
      </c>
      <c r="G902" s="21" t="n">
        <v>0</v>
      </c>
      <c r="H902" s="21" t="n">
        <v>0</v>
      </c>
      <c r="I902" s="21" t="n">
        <v>0</v>
      </c>
      <c r="J902" s="21" t="n">
        <v>0</v>
      </c>
      <c r="K902" s="21" t="n">
        <v>0</v>
      </c>
      <c r="L902" s="21" t="n">
        <v>0</v>
      </c>
      <c r="M902" s="21" t="n">
        <v>0</v>
      </c>
      <c r="N902" s="21" t="n">
        <v>0</v>
      </c>
      <c r="O902" s="21" t="n">
        <v>0</v>
      </c>
      <c r="P902" s="21" t="n">
        <v>0</v>
      </c>
      <c r="Q902" s="21" t="n">
        <v>0</v>
      </c>
      <c r="R902" s="21" t="n">
        <v>0</v>
      </c>
      <c r="S902" s="21" t="n">
        <v>0</v>
      </c>
      <c r="T902" s="21" t="n">
        <v>0</v>
      </c>
      <c r="U902" s="21" t="n">
        <v>0</v>
      </c>
      <c r="V902" s="21" t="n">
        <v>0</v>
      </c>
      <c r="W902" s="21" t="n">
        <v>0</v>
      </c>
      <c r="X902" s="21" t="n">
        <v>0</v>
      </c>
      <c r="Y902" s="21" t="n">
        <v>0</v>
      </c>
      <c r="Z902" s="21" t="n">
        <v>0</v>
      </c>
      <c r="AA902" s="21" t="n">
        <v>0</v>
      </c>
      <c r="AB902" s="21" t="n">
        <v>0</v>
      </c>
      <c r="AC902" s="21" t="n">
        <v>0</v>
      </c>
      <c r="AD902" s="21" t="n">
        <v>0</v>
      </c>
      <c r="AE902" s="21" t="n">
        <v>0</v>
      </c>
      <c r="AF902" s="21" t="n">
        <v>0</v>
      </c>
      <c r="AG902" s="21" t="n">
        <v>0</v>
      </c>
      <c r="AH902" s="21">
        <f>$B$19</f>
        <v/>
      </c>
      <c r="AI902" s="21">
        <f>$B$21</f>
        <v/>
      </c>
      <c r="AJ902" s="21">
        <f>0</f>
        <v/>
      </c>
      <c r="AK902" s="21">
        <f>2*$B$20</f>
        <v/>
      </c>
      <c r="AL902" s="21">
        <f>-$B$19</f>
        <v/>
      </c>
      <c r="AM902" s="21">
        <f>$B$21</f>
        <v/>
      </c>
      <c r="AN902" s="21" t="n">
        <v>0</v>
      </c>
      <c r="AO902" s="21" t="n">
        <v>0</v>
      </c>
      <c r="AP902" s="21" t="n">
        <v>0</v>
      </c>
      <c r="AQ902" s="21" t="n">
        <v>0</v>
      </c>
      <c r="AR902" s="21" t="n">
        <v>0</v>
      </c>
      <c r="AS902" s="21" t="n">
        <v>0</v>
      </c>
      <c r="AT902" s="19" t="n"/>
    </row>
    <row r="903">
      <c r="D903" s="21" t="n">
        <v>0</v>
      </c>
      <c r="E903" s="21" t="n">
        <v>0</v>
      </c>
      <c r="F903" s="21" t="n">
        <v>0</v>
      </c>
      <c r="G903" s="21" t="n">
        <v>0</v>
      </c>
      <c r="H903" s="21" t="n">
        <v>0</v>
      </c>
      <c r="I903" s="21" t="n">
        <v>0</v>
      </c>
      <c r="J903" s="21" t="n">
        <v>0</v>
      </c>
      <c r="K903" s="21" t="n">
        <v>0</v>
      </c>
      <c r="L903" s="21" t="n">
        <v>0</v>
      </c>
      <c r="M903" s="21" t="n">
        <v>0</v>
      </c>
      <c r="N903" s="21" t="n">
        <v>0</v>
      </c>
      <c r="O903" s="21" t="n">
        <v>0</v>
      </c>
      <c r="P903" s="21" t="n">
        <v>0</v>
      </c>
      <c r="Q903" s="21" t="n">
        <v>0</v>
      </c>
      <c r="R903" s="21" t="n">
        <v>0</v>
      </c>
      <c r="S903" s="21" t="n">
        <v>0</v>
      </c>
      <c r="T903" s="21" t="n">
        <v>0</v>
      </c>
      <c r="U903" s="21" t="n">
        <v>0</v>
      </c>
      <c r="V903" s="21" t="n">
        <v>0</v>
      </c>
      <c r="W903" s="21" t="n">
        <v>0</v>
      </c>
      <c r="X903" s="21" t="n">
        <v>0</v>
      </c>
      <c r="Y903" s="21" t="n">
        <v>0</v>
      </c>
      <c r="Z903" s="21" t="n">
        <v>0</v>
      </c>
      <c r="AA903" s="21" t="n">
        <v>0</v>
      </c>
      <c r="AB903" s="21" t="n">
        <v>0</v>
      </c>
      <c r="AC903" s="21" t="n">
        <v>0</v>
      </c>
      <c r="AD903" s="21" t="n">
        <v>0</v>
      </c>
      <c r="AE903" s="21" t="n">
        <v>0</v>
      </c>
      <c r="AF903" s="21" t="n">
        <v>0</v>
      </c>
      <c r="AG903" s="21" t="n">
        <v>0</v>
      </c>
      <c r="AH903" s="21" t="n">
        <v>0</v>
      </c>
      <c r="AI903" s="21" t="n">
        <v>0</v>
      </c>
      <c r="AJ903" s="21">
        <f>-$B$18</f>
        <v/>
      </c>
      <c r="AK903" s="21">
        <f>-$B$19</f>
        <v/>
      </c>
      <c r="AL903" s="21">
        <f>2*$B$18+$D$864</f>
        <v/>
      </c>
      <c r="AM903" s="21">
        <f>0</f>
        <v/>
      </c>
      <c r="AN903" s="21">
        <f>-$B$18</f>
        <v/>
      </c>
      <c r="AO903" s="21">
        <f>$B$19</f>
        <v/>
      </c>
      <c r="AP903" s="21" t="n">
        <v>0</v>
      </c>
      <c r="AQ903" s="21" t="n">
        <v>0</v>
      </c>
      <c r="AR903" s="21" t="n">
        <v>0</v>
      </c>
      <c r="AS903" s="21" t="n">
        <v>0</v>
      </c>
      <c r="AT903" s="19" t="n"/>
    </row>
    <row r="904">
      <c r="D904" s="21" t="n">
        <v>0</v>
      </c>
      <c r="E904" s="21" t="n">
        <v>0</v>
      </c>
      <c r="F904" s="21" t="n">
        <v>0</v>
      </c>
      <c r="G904" s="21" t="n">
        <v>0</v>
      </c>
      <c r="H904" s="21" t="n">
        <v>0</v>
      </c>
      <c r="I904" s="21" t="n">
        <v>0</v>
      </c>
      <c r="J904" s="21" t="n">
        <v>0</v>
      </c>
      <c r="K904" s="21" t="n">
        <v>0</v>
      </c>
      <c r="L904" s="21" t="n">
        <v>0</v>
      </c>
      <c r="M904" s="21" t="n">
        <v>0</v>
      </c>
      <c r="N904" s="21" t="n">
        <v>0</v>
      </c>
      <c r="O904" s="21" t="n">
        <v>0</v>
      </c>
      <c r="P904" s="21" t="n">
        <v>0</v>
      </c>
      <c r="Q904" s="21" t="n">
        <v>0</v>
      </c>
      <c r="R904" s="21" t="n">
        <v>0</v>
      </c>
      <c r="S904" s="21" t="n">
        <v>0</v>
      </c>
      <c r="T904" s="21" t="n">
        <v>0</v>
      </c>
      <c r="U904" s="21" t="n">
        <v>0</v>
      </c>
      <c r="V904" s="21" t="n">
        <v>0</v>
      </c>
      <c r="W904" s="21" t="n">
        <v>0</v>
      </c>
      <c r="X904" s="21" t="n">
        <v>0</v>
      </c>
      <c r="Y904" s="21" t="n">
        <v>0</v>
      </c>
      <c r="Z904" s="21" t="n">
        <v>0</v>
      </c>
      <c r="AA904" s="21" t="n">
        <v>0</v>
      </c>
      <c r="AB904" s="21" t="n">
        <v>0</v>
      </c>
      <c r="AC904" s="21" t="n">
        <v>0</v>
      </c>
      <c r="AD904" s="21" t="n">
        <v>0</v>
      </c>
      <c r="AE904" s="21" t="n">
        <v>0</v>
      </c>
      <c r="AF904" s="21" t="n">
        <v>0</v>
      </c>
      <c r="AG904" s="21" t="n">
        <v>0</v>
      </c>
      <c r="AH904" s="21" t="n">
        <v>0</v>
      </c>
      <c r="AI904" s="21" t="n">
        <v>0</v>
      </c>
      <c r="AJ904" s="21">
        <f>$B$19</f>
        <v/>
      </c>
      <c r="AK904" s="21">
        <f>$B$21</f>
        <v/>
      </c>
      <c r="AL904" s="21">
        <f>0</f>
        <v/>
      </c>
      <c r="AM904" s="21">
        <f>2*$B$20</f>
        <v/>
      </c>
      <c r="AN904" s="21">
        <f>-$B$19</f>
        <v/>
      </c>
      <c r="AO904" s="21">
        <f>$B$21</f>
        <v/>
      </c>
      <c r="AP904" s="21" t="n">
        <v>0</v>
      </c>
      <c r="AQ904" s="21" t="n">
        <v>0</v>
      </c>
      <c r="AR904" s="21" t="n">
        <v>0</v>
      </c>
      <c r="AS904" s="21" t="n">
        <v>0</v>
      </c>
      <c r="AT904" s="19" t="n"/>
    </row>
    <row r="905">
      <c r="D905" s="21" t="n">
        <v>0</v>
      </c>
      <c r="E905" s="21" t="n">
        <v>0</v>
      </c>
      <c r="F905" s="21" t="n">
        <v>0</v>
      </c>
      <c r="G905" s="21" t="n">
        <v>0</v>
      </c>
      <c r="H905" s="21" t="n">
        <v>0</v>
      </c>
      <c r="I905" s="21" t="n">
        <v>0</v>
      </c>
      <c r="J905" s="21" t="n">
        <v>0</v>
      </c>
      <c r="K905" s="21" t="n">
        <v>0</v>
      </c>
      <c r="L905" s="21" t="n">
        <v>0</v>
      </c>
      <c r="M905" s="21" t="n">
        <v>0</v>
      </c>
      <c r="N905" s="21" t="n">
        <v>0</v>
      </c>
      <c r="O905" s="21" t="n">
        <v>0</v>
      </c>
      <c r="P905" s="21" t="n">
        <v>0</v>
      </c>
      <c r="Q905" s="21" t="n">
        <v>0</v>
      </c>
      <c r="R905" s="21" t="n">
        <v>0</v>
      </c>
      <c r="S905" s="21" t="n">
        <v>0</v>
      </c>
      <c r="T905" s="21" t="n">
        <v>0</v>
      </c>
      <c r="U905" s="21" t="n">
        <v>0</v>
      </c>
      <c r="V905" s="21" t="n">
        <v>0</v>
      </c>
      <c r="W905" s="21" t="n">
        <v>0</v>
      </c>
      <c r="X905" s="21" t="n">
        <v>0</v>
      </c>
      <c r="Y905" s="21" t="n">
        <v>0</v>
      </c>
      <c r="Z905" s="21" t="n">
        <v>0</v>
      </c>
      <c r="AA905" s="21" t="n">
        <v>0</v>
      </c>
      <c r="AB905" s="21" t="n">
        <v>0</v>
      </c>
      <c r="AC905" s="21" t="n">
        <v>0</v>
      </c>
      <c r="AD905" s="21" t="n">
        <v>0</v>
      </c>
      <c r="AE905" s="21" t="n">
        <v>0</v>
      </c>
      <c r="AF905" s="21" t="n">
        <v>0</v>
      </c>
      <c r="AG905" s="21" t="n">
        <v>0</v>
      </c>
      <c r="AH905" s="21" t="n">
        <v>0</v>
      </c>
      <c r="AI905" s="21" t="n">
        <v>0</v>
      </c>
      <c r="AJ905" s="21" t="n">
        <v>0</v>
      </c>
      <c r="AK905" s="21" t="n">
        <v>0</v>
      </c>
      <c r="AL905" s="21">
        <f>-$B$18</f>
        <v/>
      </c>
      <c r="AM905" s="21">
        <f>-$B$19</f>
        <v/>
      </c>
      <c r="AN905" s="21">
        <f>2*$B$18+$D$865</f>
        <v/>
      </c>
      <c r="AO905" s="21">
        <f>0</f>
        <v/>
      </c>
      <c r="AP905" s="21">
        <f>-$B$18</f>
        <v/>
      </c>
      <c r="AQ905" s="21">
        <f>$B$19</f>
        <v/>
      </c>
      <c r="AR905" s="21" t="n">
        <v>0</v>
      </c>
      <c r="AS905" s="21" t="n">
        <v>0</v>
      </c>
      <c r="AT905" s="19" t="n"/>
    </row>
    <row r="906">
      <c r="D906" s="21" t="n">
        <v>0</v>
      </c>
      <c r="E906" s="21" t="n">
        <v>0</v>
      </c>
      <c r="F906" s="21" t="n">
        <v>0</v>
      </c>
      <c r="G906" s="21" t="n">
        <v>0</v>
      </c>
      <c r="H906" s="21" t="n">
        <v>0</v>
      </c>
      <c r="I906" s="21" t="n">
        <v>0</v>
      </c>
      <c r="J906" s="21" t="n">
        <v>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1" t="n">
        <v>0</v>
      </c>
      <c r="R906" s="21" t="n">
        <v>0</v>
      </c>
      <c r="S906" s="21" t="n">
        <v>0</v>
      </c>
      <c r="T906" s="21" t="n">
        <v>0</v>
      </c>
      <c r="U906" s="21" t="n">
        <v>0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1" t="n">
        <v>0</v>
      </c>
      <c r="AC906" s="21" t="n">
        <v>0</v>
      </c>
      <c r="AD906" s="21" t="n">
        <v>0</v>
      </c>
      <c r="AE906" s="21" t="n">
        <v>0</v>
      </c>
      <c r="AF906" s="21" t="n">
        <v>0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>
        <f>$B$19</f>
        <v/>
      </c>
      <c r="AM906" s="21">
        <f>$B$21</f>
        <v/>
      </c>
      <c r="AN906" s="21">
        <f>0</f>
        <v/>
      </c>
      <c r="AO906" s="21">
        <f>2*$B$20</f>
        <v/>
      </c>
      <c r="AP906" s="21">
        <f>-$B$19</f>
        <v/>
      </c>
      <c r="AQ906" s="21">
        <f>$B$21</f>
        <v/>
      </c>
      <c r="AR906" s="21" t="n">
        <v>0</v>
      </c>
      <c r="AS906" s="21" t="n">
        <v>0</v>
      </c>
      <c r="AT906" s="19" t="n"/>
    </row>
    <row r="907">
      <c r="D907" s="21" t="n">
        <v>0</v>
      </c>
      <c r="E907" s="21" t="n">
        <v>0</v>
      </c>
      <c r="F907" s="21" t="n">
        <v>0</v>
      </c>
      <c r="G907" s="21" t="n">
        <v>0</v>
      </c>
      <c r="H907" s="21" t="n">
        <v>0</v>
      </c>
      <c r="I907" s="21" t="n">
        <v>0</v>
      </c>
      <c r="J907" s="21" t="n">
        <v>0</v>
      </c>
      <c r="K907" s="21" t="n">
        <v>0</v>
      </c>
      <c r="L907" s="21" t="n">
        <v>0</v>
      </c>
      <c r="M907" s="21" t="n">
        <v>0</v>
      </c>
      <c r="N907" s="21" t="n">
        <v>0</v>
      </c>
      <c r="O907" s="21" t="n">
        <v>0</v>
      </c>
      <c r="P907" s="21" t="n">
        <v>0</v>
      </c>
      <c r="Q907" s="21" t="n">
        <v>0</v>
      </c>
      <c r="R907" s="21" t="n">
        <v>0</v>
      </c>
      <c r="S907" s="21" t="n">
        <v>0</v>
      </c>
      <c r="T907" s="21" t="n">
        <v>0</v>
      </c>
      <c r="U907" s="21" t="n">
        <v>0</v>
      </c>
      <c r="V907" s="21" t="n">
        <v>0</v>
      </c>
      <c r="W907" s="21" t="n">
        <v>0</v>
      </c>
      <c r="X907" s="21" t="n">
        <v>0</v>
      </c>
      <c r="Y907" s="21" t="n">
        <v>0</v>
      </c>
      <c r="Z907" s="21" t="n">
        <v>0</v>
      </c>
      <c r="AA907" s="21" t="n">
        <v>0</v>
      </c>
      <c r="AB907" s="21" t="n">
        <v>0</v>
      </c>
      <c r="AC907" s="21" t="n">
        <v>0</v>
      </c>
      <c r="AD907" s="21" t="n">
        <v>0</v>
      </c>
      <c r="AE907" s="21" t="n">
        <v>0</v>
      </c>
      <c r="AF907" s="21" t="n">
        <v>0</v>
      </c>
      <c r="AG907" s="21" t="n">
        <v>0</v>
      </c>
      <c r="AH907" s="21" t="n">
        <v>0</v>
      </c>
      <c r="AI907" s="21" t="n">
        <v>0</v>
      </c>
      <c r="AJ907" s="21" t="n">
        <v>0</v>
      </c>
      <c r="AK907" s="21" t="n">
        <v>0</v>
      </c>
      <c r="AL907" s="21" t="n">
        <v>0</v>
      </c>
      <c r="AM907" s="21" t="n">
        <v>0</v>
      </c>
      <c r="AN907" s="21">
        <f>-$B$18</f>
        <v/>
      </c>
      <c r="AO907" s="21">
        <f>-$B$19</f>
        <v/>
      </c>
      <c r="AP907" s="21">
        <f>2*$B$18+$D$866</f>
        <v/>
      </c>
      <c r="AQ907" s="21">
        <f>0</f>
        <v/>
      </c>
      <c r="AR907" s="21">
        <f>-$B$18</f>
        <v/>
      </c>
      <c r="AS907" s="21">
        <f>$B$19</f>
        <v/>
      </c>
      <c r="AT907" s="19" t="n"/>
    </row>
    <row r="908">
      <c r="D908" s="21" t="n">
        <v>0</v>
      </c>
      <c r="E908" s="21" t="n">
        <v>0</v>
      </c>
      <c r="F908" s="21" t="n">
        <v>0</v>
      </c>
      <c r="G908" s="21" t="n">
        <v>0</v>
      </c>
      <c r="H908" s="21" t="n">
        <v>0</v>
      </c>
      <c r="I908" s="21" t="n">
        <v>0</v>
      </c>
      <c r="J908" s="21" t="n">
        <v>0</v>
      </c>
      <c r="K908" s="21" t="n">
        <v>0</v>
      </c>
      <c r="L908" s="21" t="n">
        <v>0</v>
      </c>
      <c r="M908" s="21" t="n">
        <v>0</v>
      </c>
      <c r="N908" s="21" t="n">
        <v>0</v>
      </c>
      <c r="O908" s="21" t="n">
        <v>0</v>
      </c>
      <c r="P908" s="21" t="n">
        <v>0</v>
      </c>
      <c r="Q908" s="21" t="n">
        <v>0</v>
      </c>
      <c r="R908" s="21" t="n">
        <v>0</v>
      </c>
      <c r="S908" s="21" t="n">
        <v>0</v>
      </c>
      <c r="T908" s="21" t="n">
        <v>0</v>
      </c>
      <c r="U908" s="21" t="n">
        <v>0</v>
      </c>
      <c r="V908" s="21" t="n">
        <v>0</v>
      </c>
      <c r="W908" s="21" t="n">
        <v>0</v>
      </c>
      <c r="X908" s="21" t="n">
        <v>0</v>
      </c>
      <c r="Y908" s="21" t="n">
        <v>0</v>
      </c>
      <c r="Z908" s="21" t="n">
        <v>0</v>
      </c>
      <c r="AA908" s="21" t="n">
        <v>0</v>
      </c>
      <c r="AB908" s="21" t="n">
        <v>0</v>
      </c>
      <c r="AC908" s="21" t="n">
        <v>0</v>
      </c>
      <c r="AD908" s="21" t="n">
        <v>0</v>
      </c>
      <c r="AE908" s="21" t="n">
        <v>0</v>
      </c>
      <c r="AF908" s="21" t="n">
        <v>0</v>
      </c>
      <c r="AG908" s="21" t="n">
        <v>0</v>
      </c>
      <c r="AH908" s="21" t="n">
        <v>0</v>
      </c>
      <c r="AI908" s="21" t="n">
        <v>0</v>
      </c>
      <c r="AJ908" s="21" t="n">
        <v>0</v>
      </c>
      <c r="AK908" s="21" t="n">
        <v>0</v>
      </c>
      <c r="AL908" s="21" t="n">
        <v>0</v>
      </c>
      <c r="AM908" s="21" t="n">
        <v>0</v>
      </c>
      <c r="AN908" s="21">
        <f>$B$19</f>
        <v/>
      </c>
      <c r="AO908" s="21">
        <f>$B$21</f>
        <v/>
      </c>
      <c r="AP908" s="21">
        <f>0</f>
        <v/>
      </c>
      <c r="AQ908" s="21">
        <f>2*$B$20</f>
        <v/>
      </c>
      <c r="AR908" s="21">
        <f>-$B$19</f>
        <v/>
      </c>
      <c r="AS908" s="21">
        <f>$B$21</f>
        <v/>
      </c>
      <c r="AT908" s="19" t="n"/>
    </row>
    <row r="909">
      <c r="D909" s="21" t="n">
        <v>0</v>
      </c>
      <c r="E909" s="21" t="n">
        <v>0</v>
      </c>
      <c r="F909" s="21" t="n">
        <v>0</v>
      </c>
      <c r="G909" s="21" t="n">
        <v>0</v>
      </c>
      <c r="H909" s="21" t="n">
        <v>0</v>
      </c>
      <c r="I909" s="21" t="n">
        <v>0</v>
      </c>
      <c r="J909" s="21" t="n">
        <v>0</v>
      </c>
      <c r="K909" s="21" t="n">
        <v>0</v>
      </c>
      <c r="L909" s="21" t="n">
        <v>0</v>
      </c>
      <c r="M909" s="21" t="n">
        <v>0</v>
      </c>
      <c r="N909" s="21" t="n">
        <v>0</v>
      </c>
      <c r="O909" s="21" t="n">
        <v>0</v>
      </c>
      <c r="P909" s="21" t="n">
        <v>0</v>
      </c>
      <c r="Q909" s="21" t="n">
        <v>0</v>
      </c>
      <c r="R909" s="21" t="n">
        <v>0</v>
      </c>
      <c r="S909" s="21" t="n">
        <v>0</v>
      </c>
      <c r="T909" s="21" t="n">
        <v>0</v>
      </c>
      <c r="U909" s="21" t="n">
        <v>0</v>
      </c>
      <c r="V909" s="21" t="n">
        <v>0</v>
      </c>
      <c r="W909" s="21" t="n">
        <v>0</v>
      </c>
      <c r="X909" s="21" t="n">
        <v>0</v>
      </c>
      <c r="Y909" s="21" t="n">
        <v>0</v>
      </c>
      <c r="Z909" s="21" t="n">
        <v>0</v>
      </c>
      <c r="AA909" s="21" t="n">
        <v>0</v>
      </c>
      <c r="AB909" s="21" t="n">
        <v>0</v>
      </c>
      <c r="AC909" s="21" t="n">
        <v>0</v>
      </c>
      <c r="AD909" s="21" t="n">
        <v>0</v>
      </c>
      <c r="AE909" s="21" t="n">
        <v>0</v>
      </c>
      <c r="AF909" s="21" t="n">
        <v>0</v>
      </c>
      <c r="AG909" s="21" t="n">
        <v>0</v>
      </c>
      <c r="AH909" s="21" t="n">
        <v>0</v>
      </c>
      <c r="AI909" s="21" t="n">
        <v>0</v>
      </c>
      <c r="AJ909" s="21" t="n">
        <v>0</v>
      </c>
      <c r="AK909" s="21" t="n">
        <v>0</v>
      </c>
      <c r="AL909" s="21" t="n">
        <v>0</v>
      </c>
      <c r="AM909" s="21" t="n">
        <v>0</v>
      </c>
      <c r="AN909" s="21" t="n">
        <v>0</v>
      </c>
      <c r="AO909" s="21" t="n">
        <v>0</v>
      </c>
      <c r="AP909" s="21">
        <f>-$B$18</f>
        <v/>
      </c>
      <c r="AQ909" s="21">
        <f>-$B$19</f>
        <v/>
      </c>
      <c r="AR909" s="21">
        <f>$B$18+$D$867</f>
        <v/>
      </c>
      <c r="AS909" s="21">
        <f>-$B$19</f>
        <v/>
      </c>
      <c r="AT909" s="19" t="n"/>
    </row>
    <row r="910">
      <c r="D910" s="21" t="n">
        <v>0</v>
      </c>
      <c r="E910" s="21" t="n">
        <v>0</v>
      </c>
      <c r="F910" s="21" t="n">
        <v>0</v>
      </c>
      <c r="G910" s="21" t="n">
        <v>0</v>
      </c>
      <c r="H910" s="21" t="n">
        <v>0</v>
      </c>
      <c r="I910" s="21" t="n">
        <v>0</v>
      </c>
      <c r="J910" s="21" t="n">
        <v>0</v>
      </c>
      <c r="K910" s="21" t="n">
        <v>0</v>
      </c>
      <c r="L910" s="21" t="n">
        <v>0</v>
      </c>
      <c r="M910" s="21" t="n">
        <v>0</v>
      </c>
      <c r="N910" s="21" t="n">
        <v>0</v>
      </c>
      <c r="O910" s="21" t="n">
        <v>0</v>
      </c>
      <c r="P910" s="21" t="n">
        <v>0</v>
      </c>
      <c r="Q910" s="21" t="n">
        <v>0</v>
      </c>
      <c r="R910" s="21" t="n">
        <v>0</v>
      </c>
      <c r="S910" s="21" t="n">
        <v>0</v>
      </c>
      <c r="T910" s="21" t="n">
        <v>0</v>
      </c>
      <c r="U910" s="21" t="n">
        <v>0</v>
      </c>
      <c r="V910" s="21" t="n">
        <v>0</v>
      </c>
      <c r="W910" s="21" t="n">
        <v>0</v>
      </c>
      <c r="X910" s="21" t="n">
        <v>0</v>
      </c>
      <c r="Y910" s="21" t="n">
        <v>0</v>
      </c>
      <c r="Z910" s="21" t="n">
        <v>0</v>
      </c>
      <c r="AA910" s="21" t="n">
        <v>0</v>
      </c>
      <c r="AB910" s="21" t="n">
        <v>0</v>
      </c>
      <c r="AC910" s="21" t="n">
        <v>0</v>
      </c>
      <c r="AD910" s="21" t="n">
        <v>0</v>
      </c>
      <c r="AE910" s="21" t="n">
        <v>0</v>
      </c>
      <c r="AF910" s="21" t="n">
        <v>0</v>
      </c>
      <c r="AG910" s="21" t="n">
        <v>0</v>
      </c>
      <c r="AH910" s="21" t="n">
        <v>0</v>
      </c>
      <c r="AI910" s="21" t="n">
        <v>0</v>
      </c>
      <c r="AJ910" s="21" t="n">
        <v>0</v>
      </c>
      <c r="AK910" s="21" t="n">
        <v>0</v>
      </c>
      <c r="AL910" s="21" t="n">
        <v>0</v>
      </c>
      <c r="AM910" s="21" t="n">
        <v>0</v>
      </c>
      <c r="AN910" s="21" t="n">
        <v>0</v>
      </c>
      <c r="AO910" s="21" t="n">
        <v>0</v>
      </c>
      <c r="AP910" s="21">
        <f>$B$19</f>
        <v/>
      </c>
      <c r="AQ910" s="21">
        <f>$B$21</f>
        <v/>
      </c>
      <c r="AR910" s="21">
        <f>-$B$19</f>
        <v/>
      </c>
      <c r="AS910" s="21">
        <f>$B$20</f>
        <v/>
      </c>
      <c r="AT910" s="19" t="n"/>
    </row>
    <row r="912">
      <c r="A912" s="8" t="inlineStr">
        <is>
          <t>gen 13</t>
        </is>
      </c>
    </row>
    <row r="913">
      <c r="D913" s="19">
        <f>IF(ABS(IF(ABS($E$847)&gt;0.000000001,$E$847,0.000000001))=0,0,IF($E$33&lt;=$B$27,0,IF(ABS(IF(ABS($E$847)&gt;0.000000001,$E$847,0.000000001))&gt;=8*$B$29,$H$33,0.5*$H$33*(ABS(IF(ABS($E$847)&gt;0.000000001,$E$847,0.000000001))/$B$29)^(1/3)))/ABS(IF(ABS($E$847)&gt;0.000000001,$E$847,0.000000001))*$I$33)</f>
        <v/>
      </c>
      <c r="E913" s="19">
        <f>0.5*$E$847+0.5*$AT$935</f>
        <v/>
      </c>
      <c r="F913" s="19">
        <f>$AT$936</f>
        <v/>
      </c>
    </row>
    <row r="914">
      <c r="D914" s="19">
        <f>IF(ABS(IF(ABS($E$848)&gt;0.000000001,$E$848,0.000000001))=0,0,IF($E$34&lt;=$B$27,0,IF(ABS(IF(ABS($E$848)&gt;0.000000001,$E$848,0.000000001))&gt;=8*$B$29,$H$34,0.5*$H$34*(ABS(IF(ABS($E$848)&gt;0.000000001,$E$848,0.000000001))/$B$29)^(1/3)))/ABS(IF(ABS($E$848)&gt;0.000000001,$E$848,0.000000001))*$I$34)</f>
        <v/>
      </c>
      <c r="E914" s="19">
        <f>0.5*$E$848+0.5*$AT$937</f>
        <v/>
      </c>
      <c r="F914" s="19">
        <f>$AT$938</f>
        <v/>
      </c>
    </row>
    <row r="915">
      <c r="D915" s="19">
        <f>IF(ABS(IF(ABS($E$849)&gt;0.000000001,$E$849,0.000000001))=0,0,IF($E$35&lt;=$B$27,0,IF(ABS(IF(ABS($E$849)&gt;0.000000001,$E$849,0.000000001))&gt;=8*$B$29,$H$35,0.5*$H$35*(ABS(IF(ABS($E$849)&gt;0.000000001,$E$849,0.000000001))/$B$29)^(1/3)))/ABS(IF(ABS($E$849)&gt;0.000000001,$E$849,0.000000001))*$I$35)</f>
        <v/>
      </c>
      <c r="E915" s="19">
        <f>0.5*$E$849+0.5*$AT$939</f>
        <v/>
      </c>
      <c r="F915" s="19">
        <f>$AT$940</f>
        <v/>
      </c>
    </row>
    <row r="916">
      <c r="D916" s="19">
        <f>IF(ABS(IF(ABS($E$850)&gt;0.000000001,$E$850,0.000000001))=0,0,IF($E$36&lt;=$B$27,0,IF(ABS(IF(ABS($E$850)&gt;0.000000001,$E$850,0.000000001))&gt;=8*$B$29,$H$36,0.5*$H$36*(ABS(IF(ABS($E$850)&gt;0.000000001,$E$850,0.000000001))/$B$29)^(1/3)))/ABS(IF(ABS($E$850)&gt;0.000000001,$E$850,0.000000001))*$I$36)</f>
        <v/>
      </c>
      <c r="E916" s="19">
        <f>0.5*$E$850+0.5*$AT$941</f>
        <v/>
      </c>
      <c r="F916" s="19">
        <f>$AT$942</f>
        <v/>
      </c>
    </row>
    <row r="917">
      <c r="D917" s="19">
        <f>IF(ABS(IF(ABS($E$851)&gt;0.000000001,$E$851,0.000000001))=0,0,IF($E$37&lt;=$B$27,0,IF(ABS(IF(ABS($E$851)&gt;0.000000001,$E$851,0.000000001))&gt;=8*$B$29,$H$37,0.5*$H$37*(ABS(IF(ABS($E$851)&gt;0.000000001,$E$851,0.000000001))/$B$29)^(1/3)))/ABS(IF(ABS($E$851)&gt;0.000000001,$E$851,0.000000001))*$I$37)</f>
        <v/>
      </c>
      <c r="E917" s="19">
        <f>0.5*$E$851+0.5*$AT$943</f>
        <v/>
      </c>
      <c r="F917" s="19">
        <f>$AT$944</f>
        <v/>
      </c>
    </row>
    <row r="918">
      <c r="D918" s="19">
        <f>IF(ABS(IF(ABS($E$852)&gt;0.000000001,$E$852,0.000000001))=0,0,IF($E$38&lt;=$B$27,0,IF(ABS(IF(ABS($E$852)&gt;0.000000001,$E$852,0.000000001))&gt;=8*$B$29,$H$38,0.5*$H$38*(ABS(IF(ABS($E$852)&gt;0.000000001,$E$852,0.000000001))/$B$29)^(1/3)))/ABS(IF(ABS($E$852)&gt;0.000000001,$E$852,0.000000001))*$I$38)</f>
        <v/>
      </c>
      <c r="E918" s="19">
        <f>0.5*$E$852+0.5*$AT$945</f>
        <v/>
      </c>
      <c r="F918" s="19">
        <f>$AT$946</f>
        <v/>
      </c>
    </row>
    <row r="919">
      <c r="D919" s="19">
        <f>IF(ABS(IF(ABS($E$853)&gt;0.000000001,$E$853,0.000000001))=0,0,IF($E$39&lt;=$B$27,0,IF(ABS(IF(ABS($E$853)&gt;0.000000001,$E$853,0.000000001))&gt;=8*$B$29,$H$39,0.5*$H$39*(ABS(IF(ABS($E$853)&gt;0.000000001,$E$853,0.000000001))/$B$29)^(1/3)))/ABS(IF(ABS($E$853)&gt;0.000000001,$E$853,0.000000001))*$I$39)</f>
        <v/>
      </c>
      <c r="E919" s="19">
        <f>0.5*$E$853+0.5*$AT$947</f>
        <v/>
      </c>
      <c r="F919" s="19">
        <f>$AT$948</f>
        <v/>
      </c>
    </row>
    <row r="920">
      <c r="D920" s="19">
        <f>IF(ABS(IF(ABS($E$854)&gt;0.000000001,$E$854,0.000000001))=0,0,IF($E$40&lt;=$B$27,0,IF(ABS(IF(ABS($E$854)&gt;0.000000001,$E$854,0.000000001))&gt;=8*$B$29,$H$40,0.5*$H$40*(ABS(IF(ABS($E$854)&gt;0.000000001,$E$854,0.000000001))/$B$29)^(1/3)))/ABS(IF(ABS($E$854)&gt;0.000000001,$E$854,0.000000001))*$I$40)</f>
        <v/>
      </c>
      <c r="E920" s="19">
        <f>0.5*$E$854+0.5*$AT$949</f>
        <v/>
      </c>
      <c r="F920" s="19">
        <f>$AT$950</f>
        <v/>
      </c>
    </row>
    <row r="921">
      <c r="D921" s="19">
        <f>IF(ABS(IF(ABS($E$855)&gt;0.000000001,$E$855,0.000000001))=0,0,IF($E$41&lt;=$B$27,0,IF(ABS(IF(ABS($E$855)&gt;0.000000001,$E$855,0.000000001))&gt;=8*$B$29,$H$41,0.5*$H$41*(ABS(IF(ABS($E$855)&gt;0.000000001,$E$855,0.000000001))/$B$29)^(1/3)))/ABS(IF(ABS($E$855)&gt;0.000000001,$E$855,0.000000001))*$I$41)</f>
        <v/>
      </c>
      <c r="E921" s="19">
        <f>0.5*$E$855+0.5*$AT$951</f>
        <v/>
      </c>
      <c r="F921" s="19">
        <f>$AT$952</f>
        <v/>
      </c>
    </row>
    <row r="922">
      <c r="D922" s="19">
        <f>IF(ABS(IF(ABS($E$856)&gt;0.000000001,$E$856,0.000000001))=0,0,IF($E$42&lt;=$B$27,0,IF(ABS(IF(ABS($E$856)&gt;0.000000001,$E$856,0.000000001))&gt;=8*$B$29,$H$42,0.5*$H$42*(ABS(IF(ABS($E$856)&gt;0.000000001,$E$856,0.000000001))/$B$29)^(1/3)))/ABS(IF(ABS($E$856)&gt;0.000000001,$E$856,0.000000001))*$I$42)</f>
        <v/>
      </c>
      <c r="E922" s="19">
        <f>0.5*$E$856+0.5*$AT$953</f>
        <v/>
      </c>
      <c r="F922" s="19">
        <f>$AT$954</f>
        <v/>
      </c>
    </row>
    <row r="923">
      <c r="D923" s="19">
        <f>IF(ABS(IF(ABS($E$857)&gt;0.000000001,$E$857,0.000000001))=0,0,IF($E$43&lt;=$B$27,0,IF(ABS(IF(ABS($E$857)&gt;0.000000001,$E$857,0.000000001))&gt;=8*$B$29,$H$43,0.5*$H$43*(ABS(IF(ABS($E$857)&gt;0.000000001,$E$857,0.000000001))/$B$29)^(1/3)))/ABS(IF(ABS($E$857)&gt;0.000000001,$E$857,0.000000001))*$I$43)</f>
        <v/>
      </c>
      <c r="E923" s="19">
        <f>0.5*$E$857+0.5*$AT$955</f>
        <v/>
      </c>
      <c r="F923" s="19">
        <f>$AT$956</f>
        <v/>
      </c>
    </row>
    <row r="924">
      <c r="D924" s="19">
        <f>IF(ABS(IF(ABS($E$858)&gt;0.000000001,$E$858,0.000000001))=0,0,IF($E$44&lt;=$B$27,0,IF(ABS(IF(ABS($E$858)&gt;0.000000001,$E$858,0.000000001))&gt;=8*$B$29,$H$44,0.5*$H$44*(ABS(IF(ABS($E$858)&gt;0.000000001,$E$858,0.000000001))/$B$29)^(1/3)))/ABS(IF(ABS($E$858)&gt;0.000000001,$E$858,0.000000001))*$I$44)</f>
        <v/>
      </c>
      <c r="E924" s="19">
        <f>0.5*$E$858+0.5*$AT$957</f>
        <v/>
      </c>
      <c r="F924" s="19">
        <f>$AT$958</f>
        <v/>
      </c>
    </row>
    <row r="925">
      <c r="D925" s="19">
        <f>IF(ABS(IF(ABS($E$859)&gt;0.000000001,$E$859,0.000000001))=0,0,IF($E$45&lt;=$B$27,0,IF(ABS(IF(ABS($E$859)&gt;0.000000001,$E$859,0.000000001))&gt;=8*$B$29,$H$45,0.5*$H$45*(ABS(IF(ABS($E$859)&gt;0.000000001,$E$859,0.000000001))/$B$29)^(1/3)))/ABS(IF(ABS($E$859)&gt;0.000000001,$E$859,0.000000001))*$I$45)</f>
        <v/>
      </c>
      <c r="E925" s="19">
        <f>0.5*$E$859+0.5*$AT$959</f>
        <v/>
      </c>
      <c r="F925" s="19">
        <f>$AT$960</f>
        <v/>
      </c>
    </row>
    <row r="926">
      <c r="D926" s="19">
        <f>IF(ABS(IF(ABS($E$860)&gt;0.000000001,$E$860,0.000000001))=0,0,IF($E$46&lt;=$B$27,0,IF(ABS(IF(ABS($E$860)&gt;0.000000001,$E$860,0.000000001))&gt;=8*$B$29,$H$46,0.5*$H$46*(ABS(IF(ABS($E$860)&gt;0.000000001,$E$860,0.000000001))/$B$29)^(1/3)))/ABS(IF(ABS($E$860)&gt;0.000000001,$E$860,0.000000001))*$I$46)</f>
        <v/>
      </c>
      <c r="E926" s="19">
        <f>0.5*$E$860+0.5*$AT$961</f>
        <v/>
      </c>
      <c r="F926" s="19">
        <f>$AT$962</f>
        <v/>
      </c>
    </row>
    <row r="927">
      <c r="D927" s="19">
        <f>IF(ABS(IF(ABS($E$861)&gt;0.000000001,$E$861,0.000000001))=0,0,IF($E$47&lt;=$B$27,0,IF(ABS(IF(ABS($E$861)&gt;0.000000001,$E$861,0.000000001))&gt;=8*$B$29,$H$47,0.5*$H$47*(ABS(IF(ABS($E$861)&gt;0.000000001,$E$861,0.000000001))/$B$29)^(1/3)))/ABS(IF(ABS($E$861)&gt;0.000000001,$E$861,0.000000001))*$I$47)</f>
        <v/>
      </c>
      <c r="E927" s="19">
        <f>0.5*$E$861+0.5*$AT$963</f>
        <v/>
      </c>
      <c r="F927" s="19">
        <f>$AT$964</f>
        <v/>
      </c>
    </row>
    <row r="928">
      <c r="D928" s="19">
        <f>IF(ABS(IF(ABS($E$862)&gt;0.000000001,$E$862,0.000000001))=0,0,IF($E$48&lt;=$B$27,0,IF(ABS(IF(ABS($E$862)&gt;0.000000001,$E$862,0.000000001))&gt;=8*$B$29,$H$48,0.5*$H$48*(ABS(IF(ABS($E$862)&gt;0.000000001,$E$862,0.000000001))/$B$29)^(1/3)))/ABS(IF(ABS($E$862)&gt;0.000000001,$E$862,0.000000001))*$I$48)</f>
        <v/>
      </c>
      <c r="E928" s="19">
        <f>0.5*$E$862+0.5*$AT$965</f>
        <v/>
      </c>
      <c r="F928" s="19">
        <f>$AT$966</f>
        <v/>
      </c>
    </row>
    <row r="929">
      <c r="D929" s="19">
        <f>IF(ABS(IF(ABS($E$863)&gt;0.000000001,$E$863,0.000000001))=0,0,IF($E$49&lt;=$B$27,0,IF(ABS(IF(ABS($E$863)&gt;0.000000001,$E$863,0.000000001))&gt;=8*$B$29,$H$49,0.5*$H$49*(ABS(IF(ABS($E$863)&gt;0.000000001,$E$863,0.000000001))/$B$29)^(1/3)))/ABS(IF(ABS($E$863)&gt;0.000000001,$E$863,0.000000001))*$I$49)</f>
        <v/>
      </c>
      <c r="E929" s="19">
        <f>0.5*$E$863+0.5*$AT$967</f>
        <v/>
      </c>
      <c r="F929" s="19">
        <f>$AT$968</f>
        <v/>
      </c>
    </row>
    <row r="930">
      <c r="D930" s="19">
        <f>IF(ABS(IF(ABS($E$864)&gt;0.000000001,$E$864,0.000000001))=0,0,IF($E$50&lt;=$B$27,0,IF(ABS(IF(ABS($E$864)&gt;0.000000001,$E$864,0.000000001))&gt;=8*$B$29,$H$50,0.5*$H$50*(ABS(IF(ABS($E$864)&gt;0.000000001,$E$864,0.000000001))/$B$29)^(1/3)))/ABS(IF(ABS($E$864)&gt;0.000000001,$E$864,0.000000001))*$I$50)</f>
        <v/>
      </c>
      <c r="E930" s="19">
        <f>0.5*$E$864+0.5*$AT$969</f>
        <v/>
      </c>
      <c r="F930" s="19">
        <f>$AT$970</f>
        <v/>
      </c>
    </row>
    <row r="931">
      <c r="D931" s="19">
        <f>IF(ABS(IF(ABS($E$865)&gt;0.000000001,$E$865,0.000000001))=0,0,IF($E$51&lt;=$B$27,0,IF(ABS(IF(ABS($E$865)&gt;0.000000001,$E$865,0.000000001))&gt;=8*$B$29,$H$51,0.5*$H$51*(ABS(IF(ABS($E$865)&gt;0.000000001,$E$865,0.000000001))/$B$29)^(1/3)))/ABS(IF(ABS($E$865)&gt;0.000000001,$E$865,0.000000001))*$I$51)</f>
        <v/>
      </c>
      <c r="E931" s="19">
        <f>0.5*$E$865+0.5*$AT$971</f>
        <v/>
      </c>
      <c r="F931" s="19">
        <f>$AT$972</f>
        <v/>
      </c>
    </row>
    <row r="932">
      <c r="D932" s="19">
        <f>IF(ABS(IF(ABS($E$866)&gt;0.000000001,$E$866,0.000000001))=0,0,IF($E$52&lt;=$B$27,0,IF(ABS(IF(ABS($E$866)&gt;0.000000001,$E$866,0.000000001))&gt;=8*$B$29,$H$52,0.5*$H$52*(ABS(IF(ABS($E$866)&gt;0.000000001,$E$866,0.000000001))/$B$29)^(1/3)))/ABS(IF(ABS($E$866)&gt;0.000000001,$E$866,0.000000001))*$I$52)</f>
        <v/>
      </c>
      <c r="E932" s="19">
        <f>0.5*$E$866+0.5*$AT$973</f>
        <v/>
      </c>
      <c r="F932" s="19">
        <f>$AT$974</f>
        <v/>
      </c>
    </row>
    <row r="933">
      <c r="D933" s="19">
        <f>IF(ABS(IF(ABS($E$867)&gt;0.000000001,$E$867,0.000000001))=0,0,IF($E$53&lt;=$B$27,0,IF(ABS(IF(ABS($E$867)&gt;0.000000001,$E$867,0.000000001))&gt;=8*$B$29,$H$53,0.5*$H$53*(ABS(IF(ABS($E$867)&gt;0.000000001,$E$867,0.000000001))/$B$29)^(1/3)))/ABS(IF(ABS($E$867)&gt;0.000000001,$E$867,0.000000001))*$I$53)</f>
        <v/>
      </c>
      <c r="E933" s="19">
        <f>0.5*$E$867+0.5*$AT$975</f>
        <v/>
      </c>
      <c r="F933" s="19">
        <f>$AT$976</f>
        <v/>
      </c>
    </row>
    <row r="935">
      <c r="D935" s="21">
        <f>$B$18+$D$913</f>
        <v/>
      </c>
      <c r="E935" s="21">
        <f>$B$19</f>
        <v/>
      </c>
      <c r="F935" s="21">
        <f>-$B$18</f>
        <v/>
      </c>
      <c r="G935" s="21">
        <f>$B$19</f>
        <v/>
      </c>
      <c r="H935" s="21" t="n">
        <v>0</v>
      </c>
      <c r="I935" s="21" t="n">
        <v>0</v>
      </c>
      <c r="J935" s="21" t="n">
        <v>0</v>
      </c>
      <c r="K935" s="21" t="n">
        <v>0</v>
      </c>
      <c r="L935" s="21" t="n">
        <v>0</v>
      </c>
      <c r="M935" s="21" t="n">
        <v>0</v>
      </c>
      <c r="N935" s="21" t="n">
        <v>0</v>
      </c>
      <c r="O935" s="21" t="n">
        <v>0</v>
      </c>
      <c r="P935" s="21" t="n">
        <v>0</v>
      </c>
      <c r="Q935" s="21" t="n">
        <v>0</v>
      </c>
      <c r="R935" s="21" t="n">
        <v>0</v>
      </c>
      <c r="S935" s="21" t="n">
        <v>0</v>
      </c>
      <c r="T935" s="21" t="n">
        <v>0</v>
      </c>
      <c r="U935" s="21" t="n">
        <v>0</v>
      </c>
      <c r="V935" s="21" t="n">
        <v>0</v>
      </c>
      <c r="W935" s="21" t="n">
        <v>0</v>
      </c>
      <c r="X935" s="21" t="n">
        <v>0</v>
      </c>
      <c r="Y935" s="21" t="n">
        <v>0</v>
      </c>
      <c r="Z935" s="21" t="n">
        <v>0</v>
      </c>
      <c r="AA935" s="21" t="n">
        <v>0</v>
      </c>
      <c r="AB935" s="21" t="n">
        <v>0</v>
      </c>
      <c r="AC935" s="21" t="n">
        <v>0</v>
      </c>
      <c r="AD935" s="21" t="n">
        <v>0</v>
      </c>
      <c r="AE935" s="21" t="n">
        <v>0</v>
      </c>
      <c r="AF935" s="21" t="n">
        <v>0</v>
      </c>
      <c r="AG935" s="21" t="n">
        <v>0</v>
      </c>
      <c r="AH935" s="21" t="n">
        <v>0</v>
      </c>
      <c r="AI935" s="21" t="n">
        <v>0</v>
      </c>
      <c r="AJ935" s="21" t="n">
        <v>0</v>
      </c>
      <c r="AK935" s="21" t="n">
        <v>0</v>
      </c>
      <c r="AL935" s="21" t="n">
        <v>0</v>
      </c>
      <c r="AM935" s="21" t="n">
        <v>0</v>
      </c>
      <c r="AN935" s="21" t="n">
        <v>0</v>
      </c>
      <c r="AO935" s="21" t="n">
        <v>0</v>
      </c>
      <c r="AP935" s="21" t="n">
        <v>0</v>
      </c>
      <c r="AQ935" s="21" t="n">
        <v>0</v>
      </c>
      <c r="AR935" s="21" t="n">
        <v>0</v>
      </c>
      <c r="AS935" s="21" t="n">
        <v>0</v>
      </c>
      <c r="AT935" s="19">
        <f t="array" ref="AT935:AT976">MMULT(MINVERSE($D$935:$AS$976),$D$55:$D$96)</f>
        <v/>
      </c>
    </row>
    <row r="936">
      <c r="D936" s="21">
        <f>$B$19</f>
        <v/>
      </c>
      <c r="E936" s="21">
        <f>$B$20</f>
        <v/>
      </c>
      <c r="F936" s="21">
        <f>-$B$19</f>
        <v/>
      </c>
      <c r="G936" s="21">
        <f>$B$21</f>
        <v/>
      </c>
      <c r="H936" s="21" t="n">
        <v>0</v>
      </c>
      <c r="I936" s="21" t="n">
        <v>0</v>
      </c>
      <c r="J936" s="21" t="n">
        <v>0</v>
      </c>
      <c r="K936" s="21" t="n">
        <v>0</v>
      </c>
      <c r="L936" s="21" t="n">
        <v>0</v>
      </c>
      <c r="M936" s="21" t="n">
        <v>0</v>
      </c>
      <c r="N936" s="21" t="n">
        <v>0</v>
      </c>
      <c r="O936" s="21" t="n">
        <v>0</v>
      </c>
      <c r="P936" s="21" t="n">
        <v>0</v>
      </c>
      <c r="Q936" s="21" t="n">
        <v>0</v>
      </c>
      <c r="R936" s="21" t="n">
        <v>0</v>
      </c>
      <c r="S936" s="21" t="n">
        <v>0</v>
      </c>
      <c r="T936" s="21" t="n">
        <v>0</v>
      </c>
      <c r="U936" s="21" t="n">
        <v>0</v>
      </c>
      <c r="V936" s="21" t="n">
        <v>0</v>
      </c>
      <c r="W936" s="21" t="n">
        <v>0</v>
      </c>
      <c r="X936" s="21" t="n">
        <v>0</v>
      </c>
      <c r="Y936" s="21" t="n">
        <v>0</v>
      </c>
      <c r="Z936" s="21" t="n">
        <v>0</v>
      </c>
      <c r="AA936" s="21" t="n">
        <v>0</v>
      </c>
      <c r="AB936" s="21" t="n">
        <v>0</v>
      </c>
      <c r="AC936" s="21" t="n">
        <v>0</v>
      </c>
      <c r="AD936" s="21" t="n">
        <v>0</v>
      </c>
      <c r="AE936" s="21" t="n">
        <v>0</v>
      </c>
      <c r="AF936" s="21" t="n">
        <v>0</v>
      </c>
      <c r="AG936" s="21" t="n">
        <v>0</v>
      </c>
      <c r="AH936" s="21" t="n">
        <v>0</v>
      </c>
      <c r="AI936" s="21" t="n">
        <v>0</v>
      </c>
      <c r="AJ936" s="21" t="n">
        <v>0</v>
      </c>
      <c r="AK936" s="21" t="n">
        <v>0</v>
      </c>
      <c r="AL936" s="21" t="n">
        <v>0</v>
      </c>
      <c r="AM936" s="21" t="n">
        <v>0</v>
      </c>
      <c r="AN936" s="21" t="n">
        <v>0</v>
      </c>
      <c r="AO936" s="21" t="n">
        <v>0</v>
      </c>
      <c r="AP936" s="21" t="n">
        <v>0</v>
      </c>
      <c r="AQ936" s="21" t="n">
        <v>0</v>
      </c>
      <c r="AR936" s="21" t="n">
        <v>0</v>
      </c>
      <c r="AS936" s="21" t="n">
        <v>0</v>
      </c>
      <c r="AT936" s="19" t="n"/>
    </row>
    <row r="937">
      <c r="D937" s="21">
        <f>-$B$18</f>
        <v/>
      </c>
      <c r="E937" s="21">
        <f>-$B$19</f>
        <v/>
      </c>
      <c r="F937" s="21">
        <f>2*$B$18+$D$914</f>
        <v/>
      </c>
      <c r="G937" s="21">
        <f>0</f>
        <v/>
      </c>
      <c r="H937" s="21">
        <f>-$B$18</f>
        <v/>
      </c>
      <c r="I937" s="21">
        <f>$B$19</f>
        <v/>
      </c>
      <c r="J937" s="21" t="n">
        <v>0</v>
      </c>
      <c r="K937" s="21" t="n">
        <v>0</v>
      </c>
      <c r="L937" s="21" t="n">
        <v>0</v>
      </c>
      <c r="M937" s="21" t="n">
        <v>0</v>
      </c>
      <c r="N937" s="21" t="n">
        <v>0</v>
      </c>
      <c r="O937" s="21" t="n">
        <v>0</v>
      </c>
      <c r="P937" s="21" t="n">
        <v>0</v>
      </c>
      <c r="Q937" s="21" t="n">
        <v>0</v>
      </c>
      <c r="R937" s="21" t="n">
        <v>0</v>
      </c>
      <c r="S937" s="21" t="n">
        <v>0</v>
      </c>
      <c r="T937" s="21" t="n">
        <v>0</v>
      </c>
      <c r="U937" s="21" t="n">
        <v>0</v>
      </c>
      <c r="V937" s="21" t="n">
        <v>0</v>
      </c>
      <c r="W937" s="21" t="n">
        <v>0</v>
      </c>
      <c r="X937" s="21" t="n">
        <v>0</v>
      </c>
      <c r="Y937" s="21" t="n">
        <v>0</v>
      </c>
      <c r="Z937" s="21" t="n">
        <v>0</v>
      </c>
      <c r="AA937" s="21" t="n">
        <v>0</v>
      </c>
      <c r="AB937" s="21" t="n">
        <v>0</v>
      </c>
      <c r="AC937" s="21" t="n">
        <v>0</v>
      </c>
      <c r="AD937" s="21" t="n">
        <v>0</v>
      </c>
      <c r="AE937" s="21" t="n">
        <v>0</v>
      </c>
      <c r="AF937" s="21" t="n">
        <v>0</v>
      </c>
      <c r="AG937" s="21" t="n">
        <v>0</v>
      </c>
      <c r="AH937" s="21" t="n">
        <v>0</v>
      </c>
      <c r="AI937" s="21" t="n">
        <v>0</v>
      </c>
      <c r="AJ937" s="21" t="n">
        <v>0</v>
      </c>
      <c r="AK937" s="21" t="n">
        <v>0</v>
      </c>
      <c r="AL937" s="21" t="n">
        <v>0</v>
      </c>
      <c r="AM937" s="21" t="n">
        <v>0</v>
      </c>
      <c r="AN937" s="21" t="n">
        <v>0</v>
      </c>
      <c r="AO937" s="21" t="n">
        <v>0</v>
      </c>
      <c r="AP937" s="21" t="n">
        <v>0</v>
      </c>
      <c r="AQ937" s="21" t="n">
        <v>0</v>
      </c>
      <c r="AR937" s="21" t="n">
        <v>0</v>
      </c>
      <c r="AS937" s="21" t="n">
        <v>0</v>
      </c>
      <c r="AT937" s="19" t="n"/>
    </row>
    <row r="938">
      <c r="D938" s="21">
        <f>$B$19</f>
        <v/>
      </c>
      <c r="E938" s="21">
        <f>$B$21</f>
        <v/>
      </c>
      <c r="F938" s="21">
        <f>0</f>
        <v/>
      </c>
      <c r="G938" s="21">
        <f>2*$B$20</f>
        <v/>
      </c>
      <c r="H938" s="21">
        <f>-$B$19</f>
        <v/>
      </c>
      <c r="I938" s="21">
        <f>$B$21</f>
        <v/>
      </c>
      <c r="J938" s="21" t="n">
        <v>0</v>
      </c>
      <c r="K938" s="21" t="n">
        <v>0</v>
      </c>
      <c r="L938" s="21" t="n">
        <v>0</v>
      </c>
      <c r="M938" s="21" t="n">
        <v>0</v>
      </c>
      <c r="N938" s="21" t="n">
        <v>0</v>
      </c>
      <c r="O938" s="21" t="n">
        <v>0</v>
      </c>
      <c r="P938" s="21" t="n">
        <v>0</v>
      </c>
      <c r="Q938" s="21" t="n">
        <v>0</v>
      </c>
      <c r="R938" s="21" t="n">
        <v>0</v>
      </c>
      <c r="S938" s="21" t="n">
        <v>0</v>
      </c>
      <c r="T938" s="21" t="n">
        <v>0</v>
      </c>
      <c r="U938" s="21" t="n">
        <v>0</v>
      </c>
      <c r="V938" s="21" t="n">
        <v>0</v>
      </c>
      <c r="W938" s="21" t="n">
        <v>0</v>
      </c>
      <c r="X938" s="21" t="n">
        <v>0</v>
      </c>
      <c r="Y938" s="21" t="n">
        <v>0</v>
      </c>
      <c r="Z938" s="21" t="n">
        <v>0</v>
      </c>
      <c r="AA938" s="21" t="n">
        <v>0</v>
      </c>
      <c r="AB938" s="21" t="n">
        <v>0</v>
      </c>
      <c r="AC938" s="21" t="n">
        <v>0</v>
      </c>
      <c r="AD938" s="21" t="n">
        <v>0</v>
      </c>
      <c r="AE938" s="21" t="n">
        <v>0</v>
      </c>
      <c r="AF938" s="21" t="n">
        <v>0</v>
      </c>
      <c r="AG938" s="21" t="n">
        <v>0</v>
      </c>
      <c r="AH938" s="21" t="n">
        <v>0</v>
      </c>
      <c r="AI938" s="21" t="n">
        <v>0</v>
      </c>
      <c r="AJ938" s="21" t="n">
        <v>0</v>
      </c>
      <c r="AK938" s="21" t="n">
        <v>0</v>
      </c>
      <c r="AL938" s="21" t="n">
        <v>0</v>
      </c>
      <c r="AM938" s="21" t="n">
        <v>0</v>
      </c>
      <c r="AN938" s="21" t="n">
        <v>0</v>
      </c>
      <c r="AO938" s="21" t="n">
        <v>0</v>
      </c>
      <c r="AP938" s="21" t="n">
        <v>0</v>
      </c>
      <c r="AQ938" s="21" t="n">
        <v>0</v>
      </c>
      <c r="AR938" s="21" t="n">
        <v>0</v>
      </c>
      <c r="AS938" s="21" t="n">
        <v>0</v>
      </c>
      <c r="AT938" s="19" t="n"/>
    </row>
    <row r="939">
      <c r="D939" s="21" t="n">
        <v>0</v>
      </c>
      <c r="E939" s="21" t="n">
        <v>0</v>
      </c>
      <c r="F939" s="21">
        <f>-$B$18</f>
        <v/>
      </c>
      <c r="G939" s="21">
        <f>-$B$19</f>
        <v/>
      </c>
      <c r="H939" s="21">
        <f>2*$B$18+$D$915</f>
        <v/>
      </c>
      <c r="I939" s="21">
        <f>0</f>
        <v/>
      </c>
      <c r="J939" s="21">
        <f>-$B$18</f>
        <v/>
      </c>
      <c r="K939" s="21">
        <f>$B$19</f>
        <v/>
      </c>
      <c r="L939" s="21" t="n">
        <v>0</v>
      </c>
      <c r="M939" s="21" t="n">
        <v>0</v>
      </c>
      <c r="N939" s="21" t="n">
        <v>0</v>
      </c>
      <c r="O939" s="21" t="n">
        <v>0</v>
      </c>
      <c r="P939" s="21" t="n">
        <v>0</v>
      </c>
      <c r="Q939" s="21" t="n">
        <v>0</v>
      </c>
      <c r="R939" s="21" t="n">
        <v>0</v>
      </c>
      <c r="S939" s="21" t="n">
        <v>0</v>
      </c>
      <c r="T939" s="21" t="n">
        <v>0</v>
      </c>
      <c r="U939" s="21" t="n">
        <v>0</v>
      </c>
      <c r="V939" s="21" t="n">
        <v>0</v>
      </c>
      <c r="W939" s="21" t="n">
        <v>0</v>
      </c>
      <c r="X939" s="21" t="n">
        <v>0</v>
      </c>
      <c r="Y939" s="21" t="n">
        <v>0</v>
      </c>
      <c r="Z939" s="21" t="n">
        <v>0</v>
      </c>
      <c r="AA939" s="21" t="n">
        <v>0</v>
      </c>
      <c r="AB939" s="21" t="n">
        <v>0</v>
      </c>
      <c r="AC939" s="21" t="n">
        <v>0</v>
      </c>
      <c r="AD939" s="21" t="n">
        <v>0</v>
      </c>
      <c r="AE939" s="21" t="n">
        <v>0</v>
      </c>
      <c r="AF939" s="21" t="n">
        <v>0</v>
      </c>
      <c r="AG939" s="21" t="n">
        <v>0</v>
      </c>
      <c r="AH939" s="21" t="n">
        <v>0</v>
      </c>
      <c r="AI939" s="21" t="n">
        <v>0</v>
      </c>
      <c r="AJ939" s="21" t="n">
        <v>0</v>
      </c>
      <c r="AK939" s="21" t="n">
        <v>0</v>
      </c>
      <c r="AL939" s="21" t="n">
        <v>0</v>
      </c>
      <c r="AM939" s="21" t="n">
        <v>0</v>
      </c>
      <c r="AN939" s="21" t="n">
        <v>0</v>
      </c>
      <c r="AO939" s="21" t="n">
        <v>0</v>
      </c>
      <c r="AP939" s="21" t="n">
        <v>0</v>
      </c>
      <c r="AQ939" s="21" t="n">
        <v>0</v>
      </c>
      <c r="AR939" s="21" t="n">
        <v>0</v>
      </c>
      <c r="AS939" s="21" t="n">
        <v>0</v>
      </c>
      <c r="AT939" s="19" t="n"/>
    </row>
    <row r="940">
      <c r="D940" s="21" t="n">
        <v>0</v>
      </c>
      <c r="E940" s="21" t="n">
        <v>0</v>
      </c>
      <c r="F940" s="21">
        <f>$B$19</f>
        <v/>
      </c>
      <c r="G940" s="21">
        <f>$B$21</f>
        <v/>
      </c>
      <c r="H940" s="21">
        <f>0</f>
        <v/>
      </c>
      <c r="I940" s="21">
        <f>2*$B$20</f>
        <v/>
      </c>
      <c r="J940" s="21">
        <f>-$B$19</f>
        <v/>
      </c>
      <c r="K940" s="21">
        <f>$B$21</f>
        <v/>
      </c>
      <c r="L940" s="21" t="n">
        <v>0</v>
      </c>
      <c r="M940" s="21" t="n">
        <v>0</v>
      </c>
      <c r="N940" s="21" t="n">
        <v>0</v>
      </c>
      <c r="O940" s="21" t="n">
        <v>0</v>
      </c>
      <c r="P940" s="21" t="n">
        <v>0</v>
      </c>
      <c r="Q940" s="21" t="n">
        <v>0</v>
      </c>
      <c r="R940" s="21" t="n">
        <v>0</v>
      </c>
      <c r="S940" s="21" t="n">
        <v>0</v>
      </c>
      <c r="T940" s="21" t="n">
        <v>0</v>
      </c>
      <c r="U940" s="21" t="n">
        <v>0</v>
      </c>
      <c r="V940" s="21" t="n">
        <v>0</v>
      </c>
      <c r="W940" s="21" t="n">
        <v>0</v>
      </c>
      <c r="X940" s="21" t="n">
        <v>0</v>
      </c>
      <c r="Y940" s="21" t="n">
        <v>0</v>
      </c>
      <c r="Z940" s="21" t="n">
        <v>0</v>
      </c>
      <c r="AA940" s="21" t="n">
        <v>0</v>
      </c>
      <c r="AB940" s="21" t="n">
        <v>0</v>
      </c>
      <c r="AC940" s="21" t="n">
        <v>0</v>
      </c>
      <c r="AD940" s="21" t="n">
        <v>0</v>
      </c>
      <c r="AE940" s="21" t="n">
        <v>0</v>
      </c>
      <c r="AF940" s="21" t="n">
        <v>0</v>
      </c>
      <c r="AG940" s="21" t="n">
        <v>0</v>
      </c>
      <c r="AH940" s="21" t="n">
        <v>0</v>
      </c>
      <c r="AI940" s="21" t="n">
        <v>0</v>
      </c>
      <c r="AJ940" s="21" t="n">
        <v>0</v>
      </c>
      <c r="AK940" s="21" t="n">
        <v>0</v>
      </c>
      <c r="AL940" s="21" t="n">
        <v>0</v>
      </c>
      <c r="AM940" s="21" t="n">
        <v>0</v>
      </c>
      <c r="AN940" s="21" t="n">
        <v>0</v>
      </c>
      <c r="AO940" s="21" t="n">
        <v>0</v>
      </c>
      <c r="AP940" s="21" t="n">
        <v>0</v>
      </c>
      <c r="AQ940" s="21" t="n">
        <v>0</v>
      </c>
      <c r="AR940" s="21" t="n">
        <v>0</v>
      </c>
      <c r="AS940" s="21" t="n">
        <v>0</v>
      </c>
      <c r="AT940" s="19" t="n"/>
    </row>
    <row r="941">
      <c r="D941" s="21" t="n">
        <v>0</v>
      </c>
      <c r="E941" s="21" t="n">
        <v>0</v>
      </c>
      <c r="F941" s="21" t="n">
        <v>0</v>
      </c>
      <c r="G941" s="21" t="n">
        <v>0</v>
      </c>
      <c r="H941" s="21">
        <f>-$B$18</f>
        <v/>
      </c>
      <c r="I941" s="21">
        <f>-$B$19</f>
        <v/>
      </c>
      <c r="J941" s="21">
        <f>2*$B$18+$D$916</f>
        <v/>
      </c>
      <c r="K941" s="21">
        <f>0</f>
        <v/>
      </c>
      <c r="L941" s="21">
        <f>-$B$18</f>
        <v/>
      </c>
      <c r="M941" s="21">
        <f>$B$19</f>
        <v/>
      </c>
      <c r="N941" s="21" t="n">
        <v>0</v>
      </c>
      <c r="O941" s="21" t="n">
        <v>0</v>
      </c>
      <c r="P941" s="21" t="n">
        <v>0</v>
      </c>
      <c r="Q941" s="21" t="n">
        <v>0</v>
      </c>
      <c r="R941" s="21" t="n">
        <v>0</v>
      </c>
      <c r="S941" s="21" t="n">
        <v>0</v>
      </c>
      <c r="T941" s="21" t="n">
        <v>0</v>
      </c>
      <c r="U941" s="21" t="n">
        <v>0</v>
      </c>
      <c r="V941" s="21" t="n">
        <v>0</v>
      </c>
      <c r="W941" s="21" t="n">
        <v>0</v>
      </c>
      <c r="X941" s="21" t="n">
        <v>0</v>
      </c>
      <c r="Y941" s="21" t="n">
        <v>0</v>
      </c>
      <c r="Z941" s="21" t="n">
        <v>0</v>
      </c>
      <c r="AA941" s="21" t="n">
        <v>0</v>
      </c>
      <c r="AB941" s="21" t="n">
        <v>0</v>
      </c>
      <c r="AC941" s="21" t="n">
        <v>0</v>
      </c>
      <c r="AD941" s="21" t="n">
        <v>0</v>
      </c>
      <c r="AE941" s="21" t="n">
        <v>0</v>
      </c>
      <c r="AF941" s="21" t="n">
        <v>0</v>
      </c>
      <c r="AG941" s="21" t="n">
        <v>0</v>
      </c>
      <c r="AH941" s="21" t="n">
        <v>0</v>
      </c>
      <c r="AI941" s="21" t="n">
        <v>0</v>
      </c>
      <c r="AJ941" s="21" t="n">
        <v>0</v>
      </c>
      <c r="AK941" s="21" t="n">
        <v>0</v>
      </c>
      <c r="AL941" s="21" t="n">
        <v>0</v>
      </c>
      <c r="AM941" s="21" t="n">
        <v>0</v>
      </c>
      <c r="AN941" s="21" t="n">
        <v>0</v>
      </c>
      <c r="AO941" s="21" t="n">
        <v>0</v>
      </c>
      <c r="AP941" s="21" t="n">
        <v>0</v>
      </c>
      <c r="AQ941" s="21" t="n">
        <v>0</v>
      </c>
      <c r="AR941" s="21" t="n">
        <v>0</v>
      </c>
      <c r="AS941" s="21" t="n">
        <v>0</v>
      </c>
      <c r="AT941" s="19" t="n"/>
    </row>
    <row r="942">
      <c r="D942" s="21" t="n">
        <v>0</v>
      </c>
      <c r="E942" s="21" t="n">
        <v>0</v>
      </c>
      <c r="F942" s="21" t="n">
        <v>0</v>
      </c>
      <c r="G942" s="21" t="n">
        <v>0</v>
      </c>
      <c r="H942" s="21">
        <f>$B$19</f>
        <v/>
      </c>
      <c r="I942" s="21">
        <f>$B$21</f>
        <v/>
      </c>
      <c r="J942" s="21">
        <f>0</f>
        <v/>
      </c>
      <c r="K942" s="21">
        <f>2*$B$20</f>
        <v/>
      </c>
      <c r="L942" s="21">
        <f>-$B$19</f>
        <v/>
      </c>
      <c r="M942" s="21">
        <f>$B$21</f>
        <v/>
      </c>
      <c r="N942" s="21" t="n">
        <v>0</v>
      </c>
      <c r="O942" s="21" t="n">
        <v>0</v>
      </c>
      <c r="P942" s="21" t="n">
        <v>0</v>
      </c>
      <c r="Q942" s="21" t="n">
        <v>0</v>
      </c>
      <c r="R942" s="21" t="n">
        <v>0</v>
      </c>
      <c r="S942" s="21" t="n">
        <v>0</v>
      </c>
      <c r="T942" s="21" t="n">
        <v>0</v>
      </c>
      <c r="U942" s="21" t="n">
        <v>0</v>
      </c>
      <c r="V942" s="21" t="n">
        <v>0</v>
      </c>
      <c r="W942" s="21" t="n">
        <v>0</v>
      </c>
      <c r="X942" s="21" t="n">
        <v>0</v>
      </c>
      <c r="Y942" s="21" t="n">
        <v>0</v>
      </c>
      <c r="Z942" s="21" t="n">
        <v>0</v>
      </c>
      <c r="AA942" s="21" t="n">
        <v>0</v>
      </c>
      <c r="AB942" s="21" t="n">
        <v>0</v>
      </c>
      <c r="AC942" s="21" t="n">
        <v>0</v>
      </c>
      <c r="AD942" s="21" t="n">
        <v>0</v>
      </c>
      <c r="AE942" s="21" t="n">
        <v>0</v>
      </c>
      <c r="AF942" s="21" t="n">
        <v>0</v>
      </c>
      <c r="AG942" s="21" t="n">
        <v>0</v>
      </c>
      <c r="AH942" s="21" t="n">
        <v>0</v>
      </c>
      <c r="AI942" s="21" t="n">
        <v>0</v>
      </c>
      <c r="AJ942" s="21" t="n">
        <v>0</v>
      </c>
      <c r="AK942" s="21" t="n">
        <v>0</v>
      </c>
      <c r="AL942" s="21" t="n">
        <v>0</v>
      </c>
      <c r="AM942" s="21" t="n">
        <v>0</v>
      </c>
      <c r="AN942" s="21" t="n">
        <v>0</v>
      </c>
      <c r="AO942" s="21" t="n">
        <v>0</v>
      </c>
      <c r="AP942" s="21" t="n">
        <v>0</v>
      </c>
      <c r="AQ942" s="21" t="n">
        <v>0</v>
      </c>
      <c r="AR942" s="21" t="n">
        <v>0</v>
      </c>
      <c r="AS942" s="21" t="n">
        <v>0</v>
      </c>
      <c r="AT942" s="19" t="n"/>
    </row>
    <row r="943">
      <c r="D943" s="21" t="n">
        <v>0</v>
      </c>
      <c r="E943" s="21" t="n">
        <v>0</v>
      </c>
      <c r="F943" s="21" t="n">
        <v>0</v>
      </c>
      <c r="G943" s="21" t="n">
        <v>0</v>
      </c>
      <c r="H943" s="21" t="n">
        <v>0</v>
      </c>
      <c r="I943" s="21" t="n">
        <v>0</v>
      </c>
      <c r="J943" s="21">
        <f>-$B$18</f>
        <v/>
      </c>
      <c r="K943" s="21">
        <f>-$B$19</f>
        <v/>
      </c>
      <c r="L943" s="21">
        <f>2*$B$18+$D$917</f>
        <v/>
      </c>
      <c r="M943" s="21">
        <f>0</f>
        <v/>
      </c>
      <c r="N943" s="21">
        <f>-$B$18</f>
        <v/>
      </c>
      <c r="O943" s="21">
        <f>$B$19</f>
        <v/>
      </c>
      <c r="P943" s="21" t="n">
        <v>0</v>
      </c>
      <c r="Q943" s="21" t="n">
        <v>0</v>
      </c>
      <c r="R943" s="21" t="n">
        <v>0</v>
      </c>
      <c r="S943" s="21" t="n">
        <v>0</v>
      </c>
      <c r="T943" s="21" t="n">
        <v>0</v>
      </c>
      <c r="U943" s="21" t="n">
        <v>0</v>
      </c>
      <c r="V943" s="21" t="n">
        <v>0</v>
      </c>
      <c r="W943" s="21" t="n">
        <v>0</v>
      </c>
      <c r="X943" s="21" t="n">
        <v>0</v>
      </c>
      <c r="Y943" s="21" t="n">
        <v>0</v>
      </c>
      <c r="Z943" s="21" t="n">
        <v>0</v>
      </c>
      <c r="AA943" s="21" t="n">
        <v>0</v>
      </c>
      <c r="AB943" s="21" t="n">
        <v>0</v>
      </c>
      <c r="AC943" s="21" t="n">
        <v>0</v>
      </c>
      <c r="AD943" s="21" t="n">
        <v>0</v>
      </c>
      <c r="AE943" s="21" t="n">
        <v>0</v>
      </c>
      <c r="AF943" s="21" t="n">
        <v>0</v>
      </c>
      <c r="AG943" s="21" t="n">
        <v>0</v>
      </c>
      <c r="AH943" s="21" t="n">
        <v>0</v>
      </c>
      <c r="AI943" s="21" t="n">
        <v>0</v>
      </c>
      <c r="AJ943" s="21" t="n">
        <v>0</v>
      </c>
      <c r="AK943" s="21" t="n">
        <v>0</v>
      </c>
      <c r="AL943" s="21" t="n">
        <v>0</v>
      </c>
      <c r="AM943" s="21" t="n">
        <v>0</v>
      </c>
      <c r="AN943" s="21" t="n">
        <v>0</v>
      </c>
      <c r="AO943" s="21" t="n">
        <v>0</v>
      </c>
      <c r="AP943" s="21" t="n">
        <v>0</v>
      </c>
      <c r="AQ943" s="21" t="n">
        <v>0</v>
      </c>
      <c r="AR943" s="21" t="n">
        <v>0</v>
      </c>
      <c r="AS943" s="21" t="n">
        <v>0</v>
      </c>
      <c r="AT943" s="19" t="n"/>
    </row>
    <row r="944">
      <c r="D944" s="21" t="n">
        <v>0</v>
      </c>
      <c r="E944" s="21" t="n">
        <v>0</v>
      </c>
      <c r="F944" s="21" t="n">
        <v>0</v>
      </c>
      <c r="G944" s="21" t="n">
        <v>0</v>
      </c>
      <c r="H944" s="21" t="n">
        <v>0</v>
      </c>
      <c r="I944" s="21" t="n">
        <v>0</v>
      </c>
      <c r="J944" s="21">
        <f>$B$19</f>
        <v/>
      </c>
      <c r="K944" s="21">
        <f>$B$21</f>
        <v/>
      </c>
      <c r="L944" s="21">
        <f>0</f>
        <v/>
      </c>
      <c r="M944" s="21">
        <f>2*$B$20</f>
        <v/>
      </c>
      <c r="N944" s="21">
        <f>-$B$19</f>
        <v/>
      </c>
      <c r="O944" s="21">
        <f>$B$21</f>
        <v/>
      </c>
      <c r="P944" s="21" t="n">
        <v>0</v>
      </c>
      <c r="Q944" s="21" t="n">
        <v>0</v>
      </c>
      <c r="R944" s="21" t="n">
        <v>0</v>
      </c>
      <c r="S944" s="21" t="n">
        <v>0</v>
      </c>
      <c r="T944" s="21" t="n">
        <v>0</v>
      </c>
      <c r="U944" s="21" t="n">
        <v>0</v>
      </c>
      <c r="V944" s="21" t="n">
        <v>0</v>
      </c>
      <c r="W944" s="21" t="n">
        <v>0</v>
      </c>
      <c r="X944" s="21" t="n">
        <v>0</v>
      </c>
      <c r="Y944" s="21" t="n">
        <v>0</v>
      </c>
      <c r="Z944" s="21" t="n">
        <v>0</v>
      </c>
      <c r="AA944" s="21" t="n">
        <v>0</v>
      </c>
      <c r="AB944" s="21" t="n">
        <v>0</v>
      </c>
      <c r="AC944" s="21" t="n">
        <v>0</v>
      </c>
      <c r="AD944" s="21" t="n">
        <v>0</v>
      </c>
      <c r="AE944" s="21" t="n">
        <v>0</v>
      </c>
      <c r="AF944" s="21" t="n">
        <v>0</v>
      </c>
      <c r="AG944" s="21" t="n">
        <v>0</v>
      </c>
      <c r="AH944" s="21" t="n">
        <v>0</v>
      </c>
      <c r="AI944" s="21" t="n">
        <v>0</v>
      </c>
      <c r="AJ944" s="21" t="n">
        <v>0</v>
      </c>
      <c r="AK944" s="21" t="n">
        <v>0</v>
      </c>
      <c r="AL944" s="21" t="n">
        <v>0</v>
      </c>
      <c r="AM944" s="21" t="n">
        <v>0</v>
      </c>
      <c r="AN944" s="21" t="n">
        <v>0</v>
      </c>
      <c r="AO944" s="21" t="n">
        <v>0</v>
      </c>
      <c r="AP944" s="21" t="n">
        <v>0</v>
      </c>
      <c r="AQ944" s="21" t="n">
        <v>0</v>
      </c>
      <c r="AR944" s="21" t="n">
        <v>0</v>
      </c>
      <c r="AS944" s="21" t="n">
        <v>0</v>
      </c>
      <c r="AT944" s="19" t="n"/>
    </row>
    <row r="945">
      <c r="D945" s="21" t="n">
        <v>0</v>
      </c>
      <c r="E945" s="21" t="n">
        <v>0</v>
      </c>
      <c r="F945" s="21" t="n">
        <v>0</v>
      </c>
      <c r="G945" s="21" t="n">
        <v>0</v>
      </c>
      <c r="H945" s="21" t="n">
        <v>0</v>
      </c>
      <c r="I945" s="21" t="n">
        <v>0</v>
      </c>
      <c r="J945" s="21" t="n">
        <v>0</v>
      </c>
      <c r="K945" s="21" t="n">
        <v>0</v>
      </c>
      <c r="L945" s="21">
        <f>-$B$18</f>
        <v/>
      </c>
      <c r="M945" s="21">
        <f>-$B$19</f>
        <v/>
      </c>
      <c r="N945" s="21">
        <f>2*$B$18+$D$918</f>
        <v/>
      </c>
      <c r="O945" s="21">
        <f>0</f>
        <v/>
      </c>
      <c r="P945" s="21">
        <f>-$B$18</f>
        <v/>
      </c>
      <c r="Q945" s="21">
        <f>$B$19</f>
        <v/>
      </c>
      <c r="R945" s="21" t="n">
        <v>0</v>
      </c>
      <c r="S945" s="21" t="n">
        <v>0</v>
      </c>
      <c r="T945" s="21" t="n">
        <v>0</v>
      </c>
      <c r="U945" s="21" t="n">
        <v>0</v>
      </c>
      <c r="V945" s="21" t="n">
        <v>0</v>
      </c>
      <c r="W945" s="21" t="n">
        <v>0</v>
      </c>
      <c r="X945" s="21" t="n">
        <v>0</v>
      </c>
      <c r="Y945" s="21" t="n">
        <v>0</v>
      </c>
      <c r="Z945" s="21" t="n">
        <v>0</v>
      </c>
      <c r="AA945" s="21" t="n">
        <v>0</v>
      </c>
      <c r="AB945" s="21" t="n">
        <v>0</v>
      </c>
      <c r="AC945" s="21" t="n">
        <v>0</v>
      </c>
      <c r="AD945" s="21" t="n">
        <v>0</v>
      </c>
      <c r="AE945" s="21" t="n">
        <v>0</v>
      </c>
      <c r="AF945" s="21" t="n">
        <v>0</v>
      </c>
      <c r="AG945" s="21" t="n">
        <v>0</v>
      </c>
      <c r="AH945" s="21" t="n">
        <v>0</v>
      </c>
      <c r="AI945" s="21" t="n">
        <v>0</v>
      </c>
      <c r="AJ945" s="21" t="n">
        <v>0</v>
      </c>
      <c r="AK945" s="21" t="n">
        <v>0</v>
      </c>
      <c r="AL945" s="21" t="n">
        <v>0</v>
      </c>
      <c r="AM945" s="21" t="n">
        <v>0</v>
      </c>
      <c r="AN945" s="21" t="n">
        <v>0</v>
      </c>
      <c r="AO945" s="21" t="n">
        <v>0</v>
      </c>
      <c r="AP945" s="21" t="n">
        <v>0</v>
      </c>
      <c r="AQ945" s="21" t="n">
        <v>0</v>
      </c>
      <c r="AR945" s="21" t="n">
        <v>0</v>
      </c>
      <c r="AS945" s="21" t="n">
        <v>0</v>
      </c>
      <c r="AT945" s="19" t="n"/>
    </row>
    <row r="946">
      <c r="D946" s="21" t="n">
        <v>0</v>
      </c>
      <c r="E946" s="21" t="n">
        <v>0</v>
      </c>
      <c r="F946" s="21" t="n">
        <v>0</v>
      </c>
      <c r="G946" s="21" t="n">
        <v>0</v>
      </c>
      <c r="H946" s="21" t="n">
        <v>0</v>
      </c>
      <c r="I946" s="21" t="n">
        <v>0</v>
      </c>
      <c r="J946" s="21" t="n">
        <v>0</v>
      </c>
      <c r="K946" s="21" t="n">
        <v>0</v>
      </c>
      <c r="L946" s="21">
        <f>$B$19</f>
        <v/>
      </c>
      <c r="M946" s="21">
        <f>$B$21</f>
        <v/>
      </c>
      <c r="N946" s="21">
        <f>0</f>
        <v/>
      </c>
      <c r="O946" s="21">
        <f>2*$B$20</f>
        <v/>
      </c>
      <c r="P946" s="21">
        <f>-$B$19</f>
        <v/>
      </c>
      <c r="Q946" s="21">
        <f>$B$21</f>
        <v/>
      </c>
      <c r="R946" s="21" t="n">
        <v>0</v>
      </c>
      <c r="S946" s="21" t="n">
        <v>0</v>
      </c>
      <c r="T946" s="21" t="n">
        <v>0</v>
      </c>
      <c r="U946" s="21" t="n">
        <v>0</v>
      </c>
      <c r="V946" s="21" t="n">
        <v>0</v>
      </c>
      <c r="W946" s="21" t="n">
        <v>0</v>
      </c>
      <c r="X946" s="21" t="n">
        <v>0</v>
      </c>
      <c r="Y946" s="21" t="n">
        <v>0</v>
      </c>
      <c r="Z946" s="21" t="n">
        <v>0</v>
      </c>
      <c r="AA946" s="21" t="n">
        <v>0</v>
      </c>
      <c r="AB946" s="21" t="n">
        <v>0</v>
      </c>
      <c r="AC946" s="21" t="n">
        <v>0</v>
      </c>
      <c r="AD946" s="21" t="n">
        <v>0</v>
      </c>
      <c r="AE946" s="21" t="n">
        <v>0</v>
      </c>
      <c r="AF946" s="21" t="n">
        <v>0</v>
      </c>
      <c r="AG946" s="21" t="n">
        <v>0</v>
      </c>
      <c r="AH946" s="21" t="n">
        <v>0</v>
      </c>
      <c r="AI946" s="21" t="n">
        <v>0</v>
      </c>
      <c r="AJ946" s="21" t="n">
        <v>0</v>
      </c>
      <c r="AK946" s="21" t="n">
        <v>0</v>
      </c>
      <c r="AL946" s="21" t="n">
        <v>0</v>
      </c>
      <c r="AM946" s="21" t="n">
        <v>0</v>
      </c>
      <c r="AN946" s="21" t="n">
        <v>0</v>
      </c>
      <c r="AO946" s="21" t="n">
        <v>0</v>
      </c>
      <c r="AP946" s="21" t="n">
        <v>0</v>
      </c>
      <c r="AQ946" s="21" t="n">
        <v>0</v>
      </c>
      <c r="AR946" s="21" t="n">
        <v>0</v>
      </c>
      <c r="AS946" s="21" t="n">
        <v>0</v>
      </c>
      <c r="AT946" s="19" t="n"/>
    </row>
    <row r="947">
      <c r="D947" s="21" t="n">
        <v>0</v>
      </c>
      <c r="E947" s="21" t="n">
        <v>0</v>
      </c>
      <c r="F947" s="21" t="n">
        <v>0</v>
      </c>
      <c r="G947" s="21" t="n">
        <v>0</v>
      </c>
      <c r="H947" s="21" t="n">
        <v>0</v>
      </c>
      <c r="I947" s="21" t="n">
        <v>0</v>
      </c>
      <c r="J947" s="21" t="n">
        <v>0</v>
      </c>
      <c r="K947" s="21" t="n">
        <v>0</v>
      </c>
      <c r="L947" s="21" t="n">
        <v>0</v>
      </c>
      <c r="M947" s="21" t="n">
        <v>0</v>
      </c>
      <c r="N947" s="21">
        <f>-$B$18</f>
        <v/>
      </c>
      <c r="O947" s="21">
        <f>-$B$19</f>
        <v/>
      </c>
      <c r="P947" s="21">
        <f>2*$B$18+$D$919</f>
        <v/>
      </c>
      <c r="Q947" s="21">
        <f>0</f>
        <v/>
      </c>
      <c r="R947" s="21">
        <f>-$B$18</f>
        <v/>
      </c>
      <c r="S947" s="21">
        <f>$B$19</f>
        <v/>
      </c>
      <c r="T947" s="21" t="n">
        <v>0</v>
      </c>
      <c r="U947" s="21" t="n">
        <v>0</v>
      </c>
      <c r="V947" s="21" t="n">
        <v>0</v>
      </c>
      <c r="W947" s="21" t="n">
        <v>0</v>
      </c>
      <c r="X947" s="21" t="n">
        <v>0</v>
      </c>
      <c r="Y947" s="21" t="n">
        <v>0</v>
      </c>
      <c r="Z947" s="21" t="n">
        <v>0</v>
      </c>
      <c r="AA947" s="21" t="n">
        <v>0</v>
      </c>
      <c r="AB947" s="21" t="n">
        <v>0</v>
      </c>
      <c r="AC947" s="21" t="n">
        <v>0</v>
      </c>
      <c r="AD947" s="21" t="n">
        <v>0</v>
      </c>
      <c r="AE947" s="21" t="n">
        <v>0</v>
      </c>
      <c r="AF947" s="21" t="n">
        <v>0</v>
      </c>
      <c r="AG947" s="21" t="n">
        <v>0</v>
      </c>
      <c r="AH947" s="21" t="n">
        <v>0</v>
      </c>
      <c r="AI947" s="21" t="n">
        <v>0</v>
      </c>
      <c r="AJ947" s="21" t="n">
        <v>0</v>
      </c>
      <c r="AK947" s="21" t="n">
        <v>0</v>
      </c>
      <c r="AL947" s="21" t="n">
        <v>0</v>
      </c>
      <c r="AM947" s="21" t="n">
        <v>0</v>
      </c>
      <c r="AN947" s="21" t="n">
        <v>0</v>
      </c>
      <c r="AO947" s="21" t="n">
        <v>0</v>
      </c>
      <c r="AP947" s="21" t="n">
        <v>0</v>
      </c>
      <c r="AQ947" s="21" t="n">
        <v>0</v>
      </c>
      <c r="AR947" s="21" t="n">
        <v>0</v>
      </c>
      <c r="AS947" s="21" t="n">
        <v>0</v>
      </c>
      <c r="AT947" s="19" t="n"/>
    </row>
    <row r="948">
      <c r="D948" s="21" t="n">
        <v>0</v>
      </c>
      <c r="E948" s="21" t="n">
        <v>0</v>
      </c>
      <c r="F948" s="21" t="n">
        <v>0</v>
      </c>
      <c r="G948" s="21" t="n">
        <v>0</v>
      </c>
      <c r="H948" s="21" t="n">
        <v>0</v>
      </c>
      <c r="I948" s="21" t="n">
        <v>0</v>
      </c>
      <c r="J948" s="21" t="n">
        <v>0</v>
      </c>
      <c r="K948" s="21" t="n">
        <v>0</v>
      </c>
      <c r="L948" s="21" t="n">
        <v>0</v>
      </c>
      <c r="M948" s="21" t="n">
        <v>0</v>
      </c>
      <c r="N948" s="21">
        <f>$B$19</f>
        <v/>
      </c>
      <c r="O948" s="21">
        <f>$B$21</f>
        <v/>
      </c>
      <c r="P948" s="21">
        <f>0</f>
        <v/>
      </c>
      <c r="Q948" s="21">
        <f>2*$B$20</f>
        <v/>
      </c>
      <c r="R948" s="21">
        <f>-$B$19</f>
        <v/>
      </c>
      <c r="S948" s="21">
        <f>$B$21</f>
        <v/>
      </c>
      <c r="T948" s="21" t="n">
        <v>0</v>
      </c>
      <c r="U948" s="21" t="n">
        <v>0</v>
      </c>
      <c r="V948" s="21" t="n">
        <v>0</v>
      </c>
      <c r="W948" s="21" t="n">
        <v>0</v>
      </c>
      <c r="X948" s="21" t="n">
        <v>0</v>
      </c>
      <c r="Y948" s="21" t="n">
        <v>0</v>
      </c>
      <c r="Z948" s="21" t="n">
        <v>0</v>
      </c>
      <c r="AA948" s="21" t="n">
        <v>0</v>
      </c>
      <c r="AB948" s="21" t="n">
        <v>0</v>
      </c>
      <c r="AC948" s="21" t="n">
        <v>0</v>
      </c>
      <c r="AD948" s="21" t="n">
        <v>0</v>
      </c>
      <c r="AE948" s="21" t="n">
        <v>0</v>
      </c>
      <c r="AF948" s="21" t="n">
        <v>0</v>
      </c>
      <c r="AG948" s="21" t="n">
        <v>0</v>
      </c>
      <c r="AH948" s="21" t="n">
        <v>0</v>
      </c>
      <c r="AI948" s="21" t="n">
        <v>0</v>
      </c>
      <c r="AJ948" s="21" t="n">
        <v>0</v>
      </c>
      <c r="AK948" s="21" t="n">
        <v>0</v>
      </c>
      <c r="AL948" s="21" t="n">
        <v>0</v>
      </c>
      <c r="AM948" s="21" t="n">
        <v>0</v>
      </c>
      <c r="AN948" s="21" t="n">
        <v>0</v>
      </c>
      <c r="AO948" s="21" t="n">
        <v>0</v>
      </c>
      <c r="AP948" s="21" t="n">
        <v>0</v>
      </c>
      <c r="AQ948" s="21" t="n">
        <v>0</v>
      </c>
      <c r="AR948" s="21" t="n">
        <v>0</v>
      </c>
      <c r="AS948" s="21" t="n">
        <v>0</v>
      </c>
      <c r="AT948" s="19" t="n"/>
    </row>
    <row r="949">
      <c r="D949" s="21" t="n">
        <v>0</v>
      </c>
      <c r="E949" s="21" t="n">
        <v>0</v>
      </c>
      <c r="F949" s="21" t="n">
        <v>0</v>
      </c>
      <c r="G949" s="21" t="n">
        <v>0</v>
      </c>
      <c r="H949" s="21" t="n">
        <v>0</v>
      </c>
      <c r="I949" s="21" t="n">
        <v>0</v>
      </c>
      <c r="J949" s="21" t="n">
        <v>0</v>
      </c>
      <c r="K949" s="21" t="n">
        <v>0</v>
      </c>
      <c r="L949" s="21" t="n">
        <v>0</v>
      </c>
      <c r="M949" s="21" t="n">
        <v>0</v>
      </c>
      <c r="N949" s="21" t="n">
        <v>0</v>
      </c>
      <c r="O949" s="21" t="n">
        <v>0</v>
      </c>
      <c r="P949" s="21">
        <f>-$B$18</f>
        <v/>
      </c>
      <c r="Q949" s="21">
        <f>-$B$19</f>
        <v/>
      </c>
      <c r="R949" s="21">
        <f>2*$B$18+$D$920</f>
        <v/>
      </c>
      <c r="S949" s="21">
        <f>0</f>
        <v/>
      </c>
      <c r="T949" s="21">
        <f>-$B$18</f>
        <v/>
      </c>
      <c r="U949" s="21">
        <f>$B$19</f>
        <v/>
      </c>
      <c r="V949" s="21" t="n">
        <v>0</v>
      </c>
      <c r="W949" s="21" t="n">
        <v>0</v>
      </c>
      <c r="X949" s="21" t="n">
        <v>0</v>
      </c>
      <c r="Y949" s="21" t="n">
        <v>0</v>
      </c>
      <c r="Z949" s="21" t="n">
        <v>0</v>
      </c>
      <c r="AA949" s="21" t="n">
        <v>0</v>
      </c>
      <c r="AB949" s="21" t="n">
        <v>0</v>
      </c>
      <c r="AC949" s="21" t="n">
        <v>0</v>
      </c>
      <c r="AD949" s="21" t="n">
        <v>0</v>
      </c>
      <c r="AE949" s="21" t="n">
        <v>0</v>
      </c>
      <c r="AF949" s="21" t="n">
        <v>0</v>
      </c>
      <c r="AG949" s="21" t="n">
        <v>0</v>
      </c>
      <c r="AH949" s="21" t="n">
        <v>0</v>
      </c>
      <c r="AI949" s="21" t="n">
        <v>0</v>
      </c>
      <c r="AJ949" s="21" t="n">
        <v>0</v>
      </c>
      <c r="AK949" s="21" t="n">
        <v>0</v>
      </c>
      <c r="AL949" s="21" t="n">
        <v>0</v>
      </c>
      <c r="AM949" s="21" t="n">
        <v>0</v>
      </c>
      <c r="AN949" s="21" t="n">
        <v>0</v>
      </c>
      <c r="AO949" s="21" t="n">
        <v>0</v>
      </c>
      <c r="AP949" s="21" t="n">
        <v>0</v>
      </c>
      <c r="AQ949" s="21" t="n">
        <v>0</v>
      </c>
      <c r="AR949" s="21" t="n">
        <v>0</v>
      </c>
      <c r="AS949" s="21" t="n">
        <v>0</v>
      </c>
      <c r="AT949" s="19" t="n"/>
    </row>
    <row r="950">
      <c r="D950" s="21" t="n">
        <v>0</v>
      </c>
      <c r="E950" s="21" t="n">
        <v>0</v>
      </c>
      <c r="F950" s="21" t="n">
        <v>0</v>
      </c>
      <c r="G950" s="21" t="n">
        <v>0</v>
      </c>
      <c r="H950" s="21" t="n">
        <v>0</v>
      </c>
      <c r="I950" s="21" t="n">
        <v>0</v>
      </c>
      <c r="J950" s="21" t="n">
        <v>0</v>
      </c>
      <c r="K950" s="21" t="n">
        <v>0</v>
      </c>
      <c r="L950" s="21" t="n">
        <v>0</v>
      </c>
      <c r="M950" s="21" t="n">
        <v>0</v>
      </c>
      <c r="N950" s="21" t="n">
        <v>0</v>
      </c>
      <c r="O950" s="21" t="n">
        <v>0</v>
      </c>
      <c r="P950" s="21">
        <f>$B$19</f>
        <v/>
      </c>
      <c r="Q950" s="21">
        <f>$B$21</f>
        <v/>
      </c>
      <c r="R950" s="21">
        <f>0</f>
        <v/>
      </c>
      <c r="S950" s="21">
        <f>2*$B$20</f>
        <v/>
      </c>
      <c r="T950" s="21">
        <f>-$B$19</f>
        <v/>
      </c>
      <c r="U950" s="21">
        <f>$B$21</f>
        <v/>
      </c>
      <c r="V950" s="21" t="n">
        <v>0</v>
      </c>
      <c r="W950" s="21" t="n">
        <v>0</v>
      </c>
      <c r="X950" s="21" t="n">
        <v>0</v>
      </c>
      <c r="Y950" s="21" t="n">
        <v>0</v>
      </c>
      <c r="Z950" s="21" t="n">
        <v>0</v>
      </c>
      <c r="AA950" s="21" t="n">
        <v>0</v>
      </c>
      <c r="AB950" s="21" t="n">
        <v>0</v>
      </c>
      <c r="AC950" s="21" t="n">
        <v>0</v>
      </c>
      <c r="AD950" s="21" t="n">
        <v>0</v>
      </c>
      <c r="AE950" s="21" t="n">
        <v>0</v>
      </c>
      <c r="AF950" s="21" t="n">
        <v>0</v>
      </c>
      <c r="AG950" s="21" t="n">
        <v>0</v>
      </c>
      <c r="AH950" s="21" t="n">
        <v>0</v>
      </c>
      <c r="AI950" s="21" t="n">
        <v>0</v>
      </c>
      <c r="AJ950" s="21" t="n">
        <v>0</v>
      </c>
      <c r="AK950" s="21" t="n">
        <v>0</v>
      </c>
      <c r="AL950" s="21" t="n">
        <v>0</v>
      </c>
      <c r="AM950" s="21" t="n">
        <v>0</v>
      </c>
      <c r="AN950" s="21" t="n">
        <v>0</v>
      </c>
      <c r="AO950" s="21" t="n">
        <v>0</v>
      </c>
      <c r="AP950" s="21" t="n">
        <v>0</v>
      </c>
      <c r="AQ950" s="21" t="n">
        <v>0</v>
      </c>
      <c r="AR950" s="21" t="n">
        <v>0</v>
      </c>
      <c r="AS950" s="21" t="n">
        <v>0</v>
      </c>
      <c r="AT950" s="19" t="n"/>
    </row>
    <row r="951">
      <c r="D951" s="21" t="n">
        <v>0</v>
      </c>
      <c r="E951" s="21" t="n">
        <v>0</v>
      </c>
      <c r="F951" s="21" t="n">
        <v>0</v>
      </c>
      <c r="G951" s="21" t="n">
        <v>0</v>
      </c>
      <c r="H951" s="21" t="n">
        <v>0</v>
      </c>
      <c r="I951" s="21" t="n">
        <v>0</v>
      </c>
      <c r="J951" s="21" t="n">
        <v>0</v>
      </c>
      <c r="K951" s="21" t="n">
        <v>0</v>
      </c>
      <c r="L951" s="21" t="n">
        <v>0</v>
      </c>
      <c r="M951" s="21" t="n">
        <v>0</v>
      </c>
      <c r="N951" s="21" t="n">
        <v>0</v>
      </c>
      <c r="O951" s="21" t="n">
        <v>0</v>
      </c>
      <c r="P951" s="21" t="n">
        <v>0</v>
      </c>
      <c r="Q951" s="21" t="n">
        <v>0</v>
      </c>
      <c r="R951" s="21">
        <f>-$B$18</f>
        <v/>
      </c>
      <c r="S951" s="21">
        <f>-$B$19</f>
        <v/>
      </c>
      <c r="T951" s="21">
        <f>2*$B$18+$D$921</f>
        <v/>
      </c>
      <c r="U951" s="21">
        <f>0</f>
        <v/>
      </c>
      <c r="V951" s="21">
        <f>-$B$18</f>
        <v/>
      </c>
      <c r="W951" s="21">
        <f>$B$19</f>
        <v/>
      </c>
      <c r="X951" s="21" t="n">
        <v>0</v>
      </c>
      <c r="Y951" s="21" t="n">
        <v>0</v>
      </c>
      <c r="Z951" s="21" t="n">
        <v>0</v>
      </c>
      <c r="AA951" s="21" t="n">
        <v>0</v>
      </c>
      <c r="AB951" s="21" t="n">
        <v>0</v>
      </c>
      <c r="AC951" s="21" t="n">
        <v>0</v>
      </c>
      <c r="AD951" s="21" t="n">
        <v>0</v>
      </c>
      <c r="AE951" s="21" t="n">
        <v>0</v>
      </c>
      <c r="AF951" s="21" t="n">
        <v>0</v>
      </c>
      <c r="AG951" s="21" t="n">
        <v>0</v>
      </c>
      <c r="AH951" s="21" t="n">
        <v>0</v>
      </c>
      <c r="AI951" s="21" t="n">
        <v>0</v>
      </c>
      <c r="AJ951" s="21" t="n">
        <v>0</v>
      </c>
      <c r="AK951" s="21" t="n">
        <v>0</v>
      </c>
      <c r="AL951" s="21" t="n">
        <v>0</v>
      </c>
      <c r="AM951" s="21" t="n">
        <v>0</v>
      </c>
      <c r="AN951" s="21" t="n">
        <v>0</v>
      </c>
      <c r="AO951" s="21" t="n">
        <v>0</v>
      </c>
      <c r="AP951" s="21" t="n">
        <v>0</v>
      </c>
      <c r="AQ951" s="21" t="n">
        <v>0</v>
      </c>
      <c r="AR951" s="21" t="n">
        <v>0</v>
      </c>
      <c r="AS951" s="21" t="n">
        <v>0</v>
      </c>
      <c r="AT951" s="19" t="n"/>
    </row>
    <row r="952">
      <c r="D952" s="21" t="n">
        <v>0</v>
      </c>
      <c r="E952" s="21" t="n">
        <v>0</v>
      </c>
      <c r="F952" s="21" t="n">
        <v>0</v>
      </c>
      <c r="G952" s="21" t="n">
        <v>0</v>
      </c>
      <c r="H952" s="21" t="n">
        <v>0</v>
      </c>
      <c r="I952" s="21" t="n">
        <v>0</v>
      </c>
      <c r="J952" s="21" t="n">
        <v>0</v>
      </c>
      <c r="K952" s="21" t="n">
        <v>0</v>
      </c>
      <c r="L952" s="21" t="n">
        <v>0</v>
      </c>
      <c r="M952" s="21" t="n">
        <v>0</v>
      </c>
      <c r="N952" s="21" t="n">
        <v>0</v>
      </c>
      <c r="O952" s="21" t="n">
        <v>0</v>
      </c>
      <c r="P952" s="21" t="n">
        <v>0</v>
      </c>
      <c r="Q952" s="21" t="n">
        <v>0</v>
      </c>
      <c r="R952" s="21">
        <f>$B$19</f>
        <v/>
      </c>
      <c r="S952" s="21">
        <f>$B$21</f>
        <v/>
      </c>
      <c r="T952" s="21">
        <f>0</f>
        <v/>
      </c>
      <c r="U952" s="21">
        <f>2*$B$20</f>
        <v/>
      </c>
      <c r="V952" s="21">
        <f>-$B$19</f>
        <v/>
      </c>
      <c r="W952" s="21">
        <f>$B$21</f>
        <v/>
      </c>
      <c r="X952" s="21" t="n">
        <v>0</v>
      </c>
      <c r="Y952" s="21" t="n">
        <v>0</v>
      </c>
      <c r="Z952" s="21" t="n">
        <v>0</v>
      </c>
      <c r="AA952" s="21" t="n">
        <v>0</v>
      </c>
      <c r="AB952" s="21" t="n">
        <v>0</v>
      </c>
      <c r="AC952" s="21" t="n">
        <v>0</v>
      </c>
      <c r="AD952" s="21" t="n">
        <v>0</v>
      </c>
      <c r="AE952" s="21" t="n">
        <v>0</v>
      </c>
      <c r="AF952" s="21" t="n">
        <v>0</v>
      </c>
      <c r="AG952" s="21" t="n">
        <v>0</v>
      </c>
      <c r="AH952" s="21" t="n">
        <v>0</v>
      </c>
      <c r="AI952" s="21" t="n">
        <v>0</v>
      </c>
      <c r="AJ952" s="21" t="n">
        <v>0</v>
      </c>
      <c r="AK952" s="21" t="n">
        <v>0</v>
      </c>
      <c r="AL952" s="21" t="n">
        <v>0</v>
      </c>
      <c r="AM952" s="21" t="n">
        <v>0</v>
      </c>
      <c r="AN952" s="21" t="n">
        <v>0</v>
      </c>
      <c r="AO952" s="21" t="n">
        <v>0</v>
      </c>
      <c r="AP952" s="21" t="n">
        <v>0</v>
      </c>
      <c r="AQ952" s="21" t="n">
        <v>0</v>
      </c>
      <c r="AR952" s="21" t="n">
        <v>0</v>
      </c>
      <c r="AS952" s="21" t="n">
        <v>0</v>
      </c>
      <c r="AT952" s="19" t="n"/>
    </row>
    <row r="953">
      <c r="D953" s="21" t="n">
        <v>0</v>
      </c>
      <c r="E953" s="21" t="n">
        <v>0</v>
      </c>
      <c r="F953" s="21" t="n">
        <v>0</v>
      </c>
      <c r="G953" s="21" t="n">
        <v>0</v>
      </c>
      <c r="H953" s="21" t="n">
        <v>0</v>
      </c>
      <c r="I953" s="21" t="n">
        <v>0</v>
      </c>
      <c r="J953" s="21" t="n">
        <v>0</v>
      </c>
      <c r="K953" s="21" t="n">
        <v>0</v>
      </c>
      <c r="L953" s="21" t="n">
        <v>0</v>
      </c>
      <c r="M953" s="21" t="n">
        <v>0</v>
      </c>
      <c r="N953" s="21" t="n">
        <v>0</v>
      </c>
      <c r="O953" s="21" t="n">
        <v>0</v>
      </c>
      <c r="P953" s="21" t="n">
        <v>0</v>
      </c>
      <c r="Q953" s="21" t="n">
        <v>0</v>
      </c>
      <c r="R953" s="21" t="n">
        <v>0</v>
      </c>
      <c r="S953" s="21" t="n">
        <v>0</v>
      </c>
      <c r="T953" s="21">
        <f>-$B$18</f>
        <v/>
      </c>
      <c r="U953" s="21">
        <f>-$B$19</f>
        <v/>
      </c>
      <c r="V953" s="21">
        <f>2*$B$18+$D$922</f>
        <v/>
      </c>
      <c r="W953" s="21">
        <f>0</f>
        <v/>
      </c>
      <c r="X953" s="21">
        <f>-$B$18</f>
        <v/>
      </c>
      <c r="Y953" s="21">
        <f>$B$19</f>
        <v/>
      </c>
      <c r="Z953" s="21" t="n">
        <v>0</v>
      </c>
      <c r="AA953" s="21" t="n">
        <v>0</v>
      </c>
      <c r="AB953" s="21" t="n">
        <v>0</v>
      </c>
      <c r="AC953" s="21" t="n">
        <v>0</v>
      </c>
      <c r="AD953" s="21" t="n">
        <v>0</v>
      </c>
      <c r="AE953" s="21" t="n">
        <v>0</v>
      </c>
      <c r="AF953" s="21" t="n">
        <v>0</v>
      </c>
      <c r="AG953" s="21" t="n">
        <v>0</v>
      </c>
      <c r="AH953" s="21" t="n">
        <v>0</v>
      </c>
      <c r="AI953" s="21" t="n">
        <v>0</v>
      </c>
      <c r="AJ953" s="21" t="n">
        <v>0</v>
      </c>
      <c r="AK953" s="21" t="n">
        <v>0</v>
      </c>
      <c r="AL953" s="21" t="n">
        <v>0</v>
      </c>
      <c r="AM953" s="21" t="n">
        <v>0</v>
      </c>
      <c r="AN953" s="21" t="n">
        <v>0</v>
      </c>
      <c r="AO953" s="21" t="n">
        <v>0</v>
      </c>
      <c r="AP953" s="21" t="n">
        <v>0</v>
      </c>
      <c r="AQ953" s="21" t="n">
        <v>0</v>
      </c>
      <c r="AR953" s="21" t="n">
        <v>0</v>
      </c>
      <c r="AS953" s="21" t="n">
        <v>0</v>
      </c>
      <c r="AT953" s="19" t="n"/>
    </row>
    <row r="954">
      <c r="D954" s="21" t="n">
        <v>0</v>
      </c>
      <c r="E954" s="21" t="n">
        <v>0</v>
      </c>
      <c r="F954" s="21" t="n">
        <v>0</v>
      </c>
      <c r="G954" s="21" t="n">
        <v>0</v>
      </c>
      <c r="H954" s="21" t="n">
        <v>0</v>
      </c>
      <c r="I954" s="21" t="n">
        <v>0</v>
      </c>
      <c r="J954" s="21" t="n">
        <v>0</v>
      </c>
      <c r="K954" s="21" t="n">
        <v>0</v>
      </c>
      <c r="L954" s="21" t="n">
        <v>0</v>
      </c>
      <c r="M954" s="21" t="n">
        <v>0</v>
      </c>
      <c r="N954" s="21" t="n">
        <v>0</v>
      </c>
      <c r="O954" s="21" t="n">
        <v>0</v>
      </c>
      <c r="P954" s="21" t="n">
        <v>0</v>
      </c>
      <c r="Q954" s="21" t="n">
        <v>0</v>
      </c>
      <c r="R954" s="21" t="n">
        <v>0</v>
      </c>
      <c r="S954" s="21" t="n">
        <v>0</v>
      </c>
      <c r="T954" s="21">
        <f>$B$19</f>
        <v/>
      </c>
      <c r="U954" s="21">
        <f>$B$21</f>
        <v/>
      </c>
      <c r="V954" s="21">
        <f>0</f>
        <v/>
      </c>
      <c r="W954" s="21">
        <f>2*$B$20</f>
        <v/>
      </c>
      <c r="X954" s="21">
        <f>-$B$19</f>
        <v/>
      </c>
      <c r="Y954" s="21">
        <f>$B$21</f>
        <v/>
      </c>
      <c r="Z954" s="21" t="n">
        <v>0</v>
      </c>
      <c r="AA954" s="21" t="n">
        <v>0</v>
      </c>
      <c r="AB954" s="21" t="n">
        <v>0</v>
      </c>
      <c r="AC954" s="21" t="n">
        <v>0</v>
      </c>
      <c r="AD954" s="21" t="n">
        <v>0</v>
      </c>
      <c r="AE954" s="21" t="n">
        <v>0</v>
      </c>
      <c r="AF954" s="21" t="n">
        <v>0</v>
      </c>
      <c r="AG954" s="21" t="n">
        <v>0</v>
      </c>
      <c r="AH954" s="21" t="n">
        <v>0</v>
      </c>
      <c r="AI954" s="21" t="n">
        <v>0</v>
      </c>
      <c r="AJ954" s="21" t="n">
        <v>0</v>
      </c>
      <c r="AK954" s="21" t="n">
        <v>0</v>
      </c>
      <c r="AL954" s="21" t="n">
        <v>0</v>
      </c>
      <c r="AM954" s="21" t="n">
        <v>0</v>
      </c>
      <c r="AN954" s="21" t="n">
        <v>0</v>
      </c>
      <c r="AO954" s="21" t="n">
        <v>0</v>
      </c>
      <c r="AP954" s="21" t="n">
        <v>0</v>
      </c>
      <c r="AQ954" s="21" t="n">
        <v>0</v>
      </c>
      <c r="AR954" s="21" t="n">
        <v>0</v>
      </c>
      <c r="AS954" s="21" t="n">
        <v>0</v>
      </c>
      <c r="AT954" s="19" t="n"/>
    </row>
    <row r="955">
      <c r="D955" s="21" t="n">
        <v>0</v>
      </c>
      <c r="E955" s="21" t="n">
        <v>0</v>
      </c>
      <c r="F955" s="21" t="n">
        <v>0</v>
      </c>
      <c r="G955" s="21" t="n">
        <v>0</v>
      </c>
      <c r="H955" s="21" t="n">
        <v>0</v>
      </c>
      <c r="I955" s="21" t="n">
        <v>0</v>
      </c>
      <c r="J955" s="21" t="n">
        <v>0</v>
      </c>
      <c r="K955" s="21" t="n">
        <v>0</v>
      </c>
      <c r="L955" s="21" t="n">
        <v>0</v>
      </c>
      <c r="M955" s="21" t="n">
        <v>0</v>
      </c>
      <c r="N955" s="21" t="n">
        <v>0</v>
      </c>
      <c r="O955" s="21" t="n">
        <v>0</v>
      </c>
      <c r="P955" s="21" t="n">
        <v>0</v>
      </c>
      <c r="Q955" s="21" t="n">
        <v>0</v>
      </c>
      <c r="R955" s="21" t="n">
        <v>0</v>
      </c>
      <c r="S955" s="21" t="n">
        <v>0</v>
      </c>
      <c r="T955" s="21" t="n">
        <v>0</v>
      </c>
      <c r="U955" s="21" t="n">
        <v>0</v>
      </c>
      <c r="V955" s="21">
        <f>-$B$18</f>
        <v/>
      </c>
      <c r="W955" s="21">
        <f>-$B$19</f>
        <v/>
      </c>
      <c r="X955" s="21">
        <f>2*$B$18+$D$923</f>
        <v/>
      </c>
      <c r="Y955" s="21">
        <f>0</f>
        <v/>
      </c>
      <c r="Z955" s="21">
        <f>-$B$18</f>
        <v/>
      </c>
      <c r="AA955" s="21">
        <f>$B$19</f>
        <v/>
      </c>
      <c r="AB955" s="21" t="n">
        <v>0</v>
      </c>
      <c r="AC955" s="21" t="n">
        <v>0</v>
      </c>
      <c r="AD955" s="21" t="n">
        <v>0</v>
      </c>
      <c r="AE955" s="21" t="n">
        <v>0</v>
      </c>
      <c r="AF955" s="21" t="n">
        <v>0</v>
      </c>
      <c r="AG955" s="21" t="n">
        <v>0</v>
      </c>
      <c r="AH955" s="21" t="n">
        <v>0</v>
      </c>
      <c r="AI955" s="21" t="n">
        <v>0</v>
      </c>
      <c r="AJ955" s="21" t="n">
        <v>0</v>
      </c>
      <c r="AK955" s="21" t="n">
        <v>0</v>
      </c>
      <c r="AL955" s="21" t="n">
        <v>0</v>
      </c>
      <c r="AM955" s="21" t="n">
        <v>0</v>
      </c>
      <c r="AN955" s="21" t="n">
        <v>0</v>
      </c>
      <c r="AO955" s="21" t="n">
        <v>0</v>
      </c>
      <c r="AP955" s="21" t="n">
        <v>0</v>
      </c>
      <c r="AQ955" s="21" t="n">
        <v>0</v>
      </c>
      <c r="AR955" s="21" t="n">
        <v>0</v>
      </c>
      <c r="AS955" s="21" t="n">
        <v>0</v>
      </c>
      <c r="AT955" s="19" t="n"/>
    </row>
    <row r="956">
      <c r="D956" s="21" t="n">
        <v>0</v>
      </c>
      <c r="E956" s="21" t="n">
        <v>0</v>
      </c>
      <c r="F956" s="21" t="n">
        <v>0</v>
      </c>
      <c r="G956" s="21" t="n">
        <v>0</v>
      </c>
      <c r="H956" s="21" t="n">
        <v>0</v>
      </c>
      <c r="I956" s="21" t="n">
        <v>0</v>
      </c>
      <c r="J956" s="21" t="n">
        <v>0</v>
      </c>
      <c r="K956" s="21" t="n">
        <v>0</v>
      </c>
      <c r="L956" s="21" t="n">
        <v>0</v>
      </c>
      <c r="M956" s="21" t="n">
        <v>0</v>
      </c>
      <c r="N956" s="21" t="n">
        <v>0</v>
      </c>
      <c r="O956" s="21" t="n">
        <v>0</v>
      </c>
      <c r="P956" s="21" t="n">
        <v>0</v>
      </c>
      <c r="Q956" s="21" t="n">
        <v>0</v>
      </c>
      <c r="R956" s="21" t="n">
        <v>0</v>
      </c>
      <c r="S956" s="21" t="n">
        <v>0</v>
      </c>
      <c r="T956" s="21" t="n">
        <v>0</v>
      </c>
      <c r="U956" s="21" t="n">
        <v>0</v>
      </c>
      <c r="V956" s="21">
        <f>$B$19</f>
        <v/>
      </c>
      <c r="W956" s="21">
        <f>$B$21</f>
        <v/>
      </c>
      <c r="X956" s="21">
        <f>0</f>
        <v/>
      </c>
      <c r="Y956" s="21">
        <f>2*$B$20</f>
        <v/>
      </c>
      <c r="Z956" s="21">
        <f>-$B$19</f>
        <v/>
      </c>
      <c r="AA956" s="21">
        <f>$B$21</f>
        <v/>
      </c>
      <c r="AB956" s="21" t="n">
        <v>0</v>
      </c>
      <c r="AC956" s="21" t="n">
        <v>0</v>
      </c>
      <c r="AD956" s="21" t="n">
        <v>0</v>
      </c>
      <c r="AE956" s="21" t="n">
        <v>0</v>
      </c>
      <c r="AF956" s="21" t="n">
        <v>0</v>
      </c>
      <c r="AG956" s="21" t="n">
        <v>0</v>
      </c>
      <c r="AH956" s="21" t="n">
        <v>0</v>
      </c>
      <c r="AI956" s="21" t="n">
        <v>0</v>
      </c>
      <c r="AJ956" s="21" t="n">
        <v>0</v>
      </c>
      <c r="AK956" s="21" t="n">
        <v>0</v>
      </c>
      <c r="AL956" s="21" t="n">
        <v>0</v>
      </c>
      <c r="AM956" s="21" t="n">
        <v>0</v>
      </c>
      <c r="AN956" s="21" t="n">
        <v>0</v>
      </c>
      <c r="AO956" s="21" t="n">
        <v>0</v>
      </c>
      <c r="AP956" s="21" t="n">
        <v>0</v>
      </c>
      <c r="AQ956" s="21" t="n">
        <v>0</v>
      </c>
      <c r="AR956" s="21" t="n">
        <v>0</v>
      </c>
      <c r="AS956" s="21" t="n">
        <v>0</v>
      </c>
      <c r="AT956" s="19" t="n"/>
    </row>
    <row r="957">
      <c r="D957" s="21" t="n">
        <v>0</v>
      </c>
      <c r="E957" s="21" t="n">
        <v>0</v>
      </c>
      <c r="F957" s="21" t="n">
        <v>0</v>
      </c>
      <c r="G957" s="21" t="n">
        <v>0</v>
      </c>
      <c r="H957" s="21" t="n">
        <v>0</v>
      </c>
      <c r="I957" s="21" t="n">
        <v>0</v>
      </c>
      <c r="J957" s="21" t="n">
        <v>0</v>
      </c>
      <c r="K957" s="21" t="n">
        <v>0</v>
      </c>
      <c r="L957" s="21" t="n">
        <v>0</v>
      </c>
      <c r="M957" s="21" t="n">
        <v>0</v>
      </c>
      <c r="N957" s="21" t="n">
        <v>0</v>
      </c>
      <c r="O957" s="21" t="n">
        <v>0</v>
      </c>
      <c r="P957" s="21" t="n">
        <v>0</v>
      </c>
      <c r="Q957" s="21" t="n">
        <v>0</v>
      </c>
      <c r="R957" s="21" t="n">
        <v>0</v>
      </c>
      <c r="S957" s="21" t="n">
        <v>0</v>
      </c>
      <c r="T957" s="21" t="n">
        <v>0</v>
      </c>
      <c r="U957" s="21" t="n">
        <v>0</v>
      </c>
      <c r="V957" s="21" t="n">
        <v>0</v>
      </c>
      <c r="W957" s="21" t="n">
        <v>0</v>
      </c>
      <c r="X957" s="21">
        <f>-$B$18</f>
        <v/>
      </c>
      <c r="Y957" s="21">
        <f>-$B$19</f>
        <v/>
      </c>
      <c r="Z957" s="21">
        <f>2*$B$18+$D$924</f>
        <v/>
      </c>
      <c r="AA957" s="21">
        <f>0</f>
        <v/>
      </c>
      <c r="AB957" s="21">
        <f>-$B$18</f>
        <v/>
      </c>
      <c r="AC957" s="21">
        <f>$B$19</f>
        <v/>
      </c>
      <c r="AD957" s="21" t="n">
        <v>0</v>
      </c>
      <c r="AE957" s="21" t="n">
        <v>0</v>
      </c>
      <c r="AF957" s="21" t="n">
        <v>0</v>
      </c>
      <c r="AG957" s="21" t="n">
        <v>0</v>
      </c>
      <c r="AH957" s="21" t="n">
        <v>0</v>
      </c>
      <c r="AI957" s="21" t="n">
        <v>0</v>
      </c>
      <c r="AJ957" s="21" t="n">
        <v>0</v>
      </c>
      <c r="AK957" s="21" t="n">
        <v>0</v>
      </c>
      <c r="AL957" s="21" t="n">
        <v>0</v>
      </c>
      <c r="AM957" s="21" t="n">
        <v>0</v>
      </c>
      <c r="AN957" s="21" t="n">
        <v>0</v>
      </c>
      <c r="AO957" s="21" t="n">
        <v>0</v>
      </c>
      <c r="AP957" s="21" t="n">
        <v>0</v>
      </c>
      <c r="AQ957" s="21" t="n">
        <v>0</v>
      </c>
      <c r="AR957" s="21" t="n">
        <v>0</v>
      </c>
      <c r="AS957" s="21" t="n">
        <v>0</v>
      </c>
      <c r="AT957" s="19" t="n"/>
    </row>
    <row r="958">
      <c r="D958" s="21" t="n">
        <v>0</v>
      </c>
      <c r="E958" s="21" t="n">
        <v>0</v>
      </c>
      <c r="F958" s="21" t="n">
        <v>0</v>
      </c>
      <c r="G958" s="21" t="n">
        <v>0</v>
      </c>
      <c r="H958" s="21" t="n">
        <v>0</v>
      </c>
      <c r="I958" s="21" t="n">
        <v>0</v>
      </c>
      <c r="J958" s="21" t="n">
        <v>0</v>
      </c>
      <c r="K958" s="21" t="n">
        <v>0</v>
      </c>
      <c r="L958" s="21" t="n">
        <v>0</v>
      </c>
      <c r="M958" s="21" t="n">
        <v>0</v>
      </c>
      <c r="N958" s="21" t="n">
        <v>0</v>
      </c>
      <c r="O958" s="21" t="n">
        <v>0</v>
      </c>
      <c r="P958" s="21" t="n">
        <v>0</v>
      </c>
      <c r="Q958" s="21" t="n">
        <v>0</v>
      </c>
      <c r="R958" s="21" t="n">
        <v>0</v>
      </c>
      <c r="S958" s="21" t="n">
        <v>0</v>
      </c>
      <c r="T958" s="21" t="n">
        <v>0</v>
      </c>
      <c r="U958" s="21" t="n">
        <v>0</v>
      </c>
      <c r="V958" s="21" t="n">
        <v>0</v>
      </c>
      <c r="W958" s="21" t="n">
        <v>0</v>
      </c>
      <c r="X958" s="21">
        <f>$B$19</f>
        <v/>
      </c>
      <c r="Y958" s="21">
        <f>$B$21</f>
        <v/>
      </c>
      <c r="Z958" s="21">
        <f>0</f>
        <v/>
      </c>
      <c r="AA958" s="21">
        <f>2*$B$20</f>
        <v/>
      </c>
      <c r="AB958" s="21">
        <f>-$B$19</f>
        <v/>
      </c>
      <c r="AC958" s="21">
        <f>$B$21</f>
        <v/>
      </c>
      <c r="AD958" s="21" t="n">
        <v>0</v>
      </c>
      <c r="AE958" s="21" t="n">
        <v>0</v>
      </c>
      <c r="AF958" s="21" t="n">
        <v>0</v>
      </c>
      <c r="AG958" s="21" t="n">
        <v>0</v>
      </c>
      <c r="AH958" s="21" t="n">
        <v>0</v>
      </c>
      <c r="AI958" s="21" t="n">
        <v>0</v>
      </c>
      <c r="AJ958" s="21" t="n">
        <v>0</v>
      </c>
      <c r="AK958" s="21" t="n">
        <v>0</v>
      </c>
      <c r="AL958" s="21" t="n">
        <v>0</v>
      </c>
      <c r="AM958" s="21" t="n">
        <v>0</v>
      </c>
      <c r="AN958" s="21" t="n">
        <v>0</v>
      </c>
      <c r="AO958" s="21" t="n">
        <v>0</v>
      </c>
      <c r="AP958" s="21" t="n">
        <v>0</v>
      </c>
      <c r="AQ958" s="21" t="n">
        <v>0</v>
      </c>
      <c r="AR958" s="21" t="n">
        <v>0</v>
      </c>
      <c r="AS958" s="21" t="n">
        <v>0</v>
      </c>
      <c r="AT958" s="19" t="n"/>
    </row>
    <row r="959">
      <c r="D959" s="21" t="n">
        <v>0</v>
      </c>
      <c r="E959" s="21" t="n">
        <v>0</v>
      </c>
      <c r="F959" s="21" t="n">
        <v>0</v>
      </c>
      <c r="G959" s="21" t="n">
        <v>0</v>
      </c>
      <c r="H959" s="21" t="n">
        <v>0</v>
      </c>
      <c r="I959" s="21" t="n">
        <v>0</v>
      </c>
      <c r="J959" s="21" t="n">
        <v>0</v>
      </c>
      <c r="K959" s="21" t="n">
        <v>0</v>
      </c>
      <c r="L959" s="21" t="n">
        <v>0</v>
      </c>
      <c r="M959" s="21" t="n">
        <v>0</v>
      </c>
      <c r="N959" s="21" t="n">
        <v>0</v>
      </c>
      <c r="O959" s="21" t="n">
        <v>0</v>
      </c>
      <c r="P959" s="21" t="n">
        <v>0</v>
      </c>
      <c r="Q959" s="21" t="n">
        <v>0</v>
      </c>
      <c r="R959" s="21" t="n">
        <v>0</v>
      </c>
      <c r="S959" s="21" t="n">
        <v>0</v>
      </c>
      <c r="T959" s="21" t="n">
        <v>0</v>
      </c>
      <c r="U959" s="21" t="n">
        <v>0</v>
      </c>
      <c r="V959" s="21" t="n">
        <v>0</v>
      </c>
      <c r="W959" s="21" t="n">
        <v>0</v>
      </c>
      <c r="X959" s="21" t="n">
        <v>0</v>
      </c>
      <c r="Y959" s="21" t="n">
        <v>0</v>
      </c>
      <c r="Z959" s="21">
        <f>-$B$18</f>
        <v/>
      </c>
      <c r="AA959" s="21">
        <f>-$B$19</f>
        <v/>
      </c>
      <c r="AB959" s="21">
        <f>2*$B$18+$D$925</f>
        <v/>
      </c>
      <c r="AC959" s="21">
        <f>0</f>
        <v/>
      </c>
      <c r="AD959" s="21">
        <f>-$B$18</f>
        <v/>
      </c>
      <c r="AE959" s="21">
        <f>$B$19</f>
        <v/>
      </c>
      <c r="AF959" s="21" t="n">
        <v>0</v>
      </c>
      <c r="AG959" s="21" t="n">
        <v>0</v>
      </c>
      <c r="AH959" s="21" t="n">
        <v>0</v>
      </c>
      <c r="AI959" s="21" t="n">
        <v>0</v>
      </c>
      <c r="AJ959" s="21" t="n">
        <v>0</v>
      </c>
      <c r="AK959" s="21" t="n">
        <v>0</v>
      </c>
      <c r="AL959" s="21" t="n">
        <v>0</v>
      </c>
      <c r="AM959" s="21" t="n">
        <v>0</v>
      </c>
      <c r="AN959" s="21" t="n">
        <v>0</v>
      </c>
      <c r="AO959" s="21" t="n">
        <v>0</v>
      </c>
      <c r="AP959" s="21" t="n">
        <v>0</v>
      </c>
      <c r="AQ959" s="21" t="n">
        <v>0</v>
      </c>
      <c r="AR959" s="21" t="n">
        <v>0</v>
      </c>
      <c r="AS959" s="21" t="n">
        <v>0</v>
      </c>
      <c r="AT959" s="19" t="n"/>
    </row>
    <row r="960">
      <c r="D960" s="21" t="n">
        <v>0</v>
      </c>
      <c r="E960" s="21" t="n">
        <v>0</v>
      </c>
      <c r="F960" s="21" t="n">
        <v>0</v>
      </c>
      <c r="G960" s="21" t="n">
        <v>0</v>
      </c>
      <c r="H960" s="21" t="n">
        <v>0</v>
      </c>
      <c r="I960" s="21" t="n">
        <v>0</v>
      </c>
      <c r="J960" s="21" t="n">
        <v>0</v>
      </c>
      <c r="K960" s="21" t="n">
        <v>0</v>
      </c>
      <c r="L960" s="21" t="n">
        <v>0</v>
      </c>
      <c r="M960" s="21" t="n">
        <v>0</v>
      </c>
      <c r="N960" s="21" t="n">
        <v>0</v>
      </c>
      <c r="O960" s="21" t="n">
        <v>0</v>
      </c>
      <c r="P960" s="21" t="n">
        <v>0</v>
      </c>
      <c r="Q960" s="21" t="n">
        <v>0</v>
      </c>
      <c r="R960" s="21" t="n">
        <v>0</v>
      </c>
      <c r="S960" s="21" t="n">
        <v>0</v>
      </c>
      <c r="T960" s="21" t="n">
        <v>0</v>
      </c>
      <c r="U960" s="21" t="n">
        <v>0</v>
      </c>
      <c r="V960" s="21" t="n">
        <v>0</v>
      </c>
      <c r="W960" s="21" t="n">
        <v>0</v>
      </c>
      <c r="X960" s="21" t="n">
        <v>0</v>
      </c>
      <c r="Y960" s="21" t="n">
        <v>0</v>
      </c>
      <c r="Z960" s="21">
        <f>$B$19</f>
        <v/>
      </c>
      <c r="AA960" s="21">
        <f>$B$21</f>
        <v/>
      </c>
      <c r="AB960" s="21">
        <f>0</f>
        <v/>
      </c>
      <c r="AC960" s="21">
        <f>2*$B$20</f>
        <v/>
      </c>
      <c r="AD960" s="21">
        <f>-$B$19</f>
        <v/>
      </c>
      <c r="AE960" s="21">
        <f>$B$21</f>
        <v/>
      </c>
      <c r="AF960" s="21" t="n">
        <v>0</v>
      </c>
      <c r="AG960" s="21" t="n">
        <v>0</v>
      </c>
      <c r="AH960" s="21" t="n">
        <v>0</v>
      </c>
      <c r="AI960" s="21" t="n">
        <v>0</v>
      </c>
      <c r="AJ960" s="21" t="n">
        <v>0</v>
      </c>
      <c r="AK960" s="21" t="n">
        <v>0</v>
      </c>
      <c r="AL960" s="21" t="n">
        <v>0</v>
      </c>
      <c r="AM960" s="21" t="n">
        <v>0</v>
      </c>
      <c r="AN960" s="21" t="n">
        <v>0</v>
      </c>
      <c r="AO960" s="21" t="n">
        <v>0</v>
      </c>
      <c r="AP960" s="21" t="n">
        <v>0</v>
      </c>
      <c r="AQ960" s="21" t="n">
        <v>0</v>
      </c>
      <c r="AR960" s="21" t="n">
        <v>0</v>
      </c>
      <c r="AS960" s="21" t="n">
        <v>0</v>
      </c>
      <c r="AT960" s="19" t="n"/>
    </row>
    <row r="961">
      <c r="D961" s="21" t="n">
        <v>0</v>
      </c>
      <c r="E961" s="21" t="n">
        <v>0</v>
      </c>
      <c r="F961" s="21" t="n">
        <v>0</v>
      </c>
      <c r="G961" s="21" t="n">
        <v>0</v>
      </c>
      <c r="H961" s="21" t="n">
        <v>0</v>
      </c>
      <c r="I961" s="21" t="n">
        <v>0</v>
      </c>
      <c r="J961" s="21" t="n">
        <v>0</v>
      </c>
      <c r="K961" s="21" t="n">
        <v>0</v>
      </c>
      <c r="L961" s="21" t="n">
        <v>0</v>
      </c>
      <c r="M961" s="21" t="n">
        <v>0</v>
      </c>
      <c r="N961" s="21" t="n">
        <v>0</v>
      </c>
      <c r="O961" s="21" t="n">
        <v>0</v>
      </c>
      <c r="P961" s="21" t="n">
        <v>0</v>
      </c>
      <c r="Q961" s="21" t="n">
        <v>0</v>
      </c>
      <c r="R961" s="21" t="n">
        <v>0</v>
      </c>
      <c r="S961" s="21" t="n">
        <v>0</v>
      </c>
      <c r="T961" s="21" t="n">
        <v>0</v>
      </c>
      <c r="U961" s="21" t="n">
        <v>0</v>
      </c>
      <c r="V961" s="21" t="n">
        <v>0</v>
      </c>
      <c r="W961" s="21" t="n">
        <v>0</v>
      </c>
      <c r="X961" s="21" t="n">
        <v>0</v>
      </c>
      <c r="Y961" s="21" t="n">
        <v>0</v>
      </c>
      <c r="Z961" s="21" t="n">
        <v>0</v>
      </c>
      <c r="AA961" s="21" t="n">
        <v>0</v>
      </c>
      <c r="AB961" s="21">
        <f>-$B$18</f>
        <v/>
      </c>
      <c r="AC961" s="21">
        <f>-$B$19</f>
        <v/>
      </c>
      <c r="AD961" s="21">
        <f>2*$B$18+$D$926</f>
        <v/>
      </c>
      <c r="AE961" s="21">
        <f>0</f>
        <v/>
      </c>
      <c r="AF961" s="21">
        <f>-$B$18</f>
        <v/>
      </c>
      <c r="AG961" s="21">
        <f>$B$19</f>
        <v/>
      </c>
      <c r="AH961" s="21" t="n">
        <v>0</v>
      </c>
      <c r="AI961" s="21" t="n">
        <v>0</v>
      </c>
      <c r="AJ961" s="21" t="n">
        <v>0</v>
      </c>
      <c r="AK961" s="21" t="n">
        <v>0</v>
      </c>
      <c r="AL961" s="21" t="n">
        <v>0</v>
      </c>
      <c r="AM961" s="21" t="n">
        <v>0</v>
      </c>
      <c r="AN961" s="21" t="n">
        <v>0</v>
      </c>
      <c r="AO961" s="21" t="n">
        <v>0</v>
      </c>
      <c r="AP961" s="21" t="n">
        <v>0</v>
      </c>
      <c r="AQ961" s="21" t="n">
        <v>0</v>
      </c>
      <c r="AR961" s="21" t="n">
        <v>0</v>
      </c>
      <c r="AS961" s="21" t="n">
        <v>0</v>
      </c>
      <c r="AT961" s="19" t="n"/>
    </row>
    <row r="962">
      <c r="D962" s="21" t="n">
        <v>0</v>
      </c>
      <c r="E962" s="21" t="n">
        <v>0</v>
      </c>
      <c r="F962" s="21" t="n">
        <v>0</v>
      </c>
      <c r="G962" s="21" t="n">
        <v>0</v>
      </c>
      <c r="H962" s="21" t="n">
        <v>0</v>
      </c>
      <c r="I962" s="21" t="n">
        <v>0</v>
      </c>
      <c r="J962" s="21" t="n">
        <v>0</v>
      </c>
      <c r="K962" s="21" t="n">
        <v>0</v>
      </c>
      <c r="L962" s="21" t="n">
        <v>0</v>
      </c>
      <c r="M962" s="21" t="n">
        <v>0</v>
      </c>
      <c r="N962" s="21" t="n">
        <v>0</v>
      </c>
      <c r="O962" s="21" t="n">
        <v>0</v>
      </c>
      <c r="P962" s="21" t="n">
        <v>0</v>
      </c>
      <c r="Q962" s="21" t="n">
        <v>0</v>
      </c>
      <c r="R962" s="21" t="n">
        <v>0</v>
      </c>
      <c r="S962" s="21" t="n">
        <v>0</v>
      </c>
      <c r="T962" s="21" t="n">
        <v>0</v>
      </c>
      <c r="U962" s="21" t="n">
        <v>0</v>
      </c>
      <c r="V962" s="21" t="n">
        <v>0</v>
      </c>
      <c r="W962" s="21" t="n">
        <v>0</v>
      </c>
      <c r="X962" s="21" t="n">
        <v>0</v>
      </c>
      <c r="Y962" s="21" t="n">
        <v>0</v>
      </c>
      <c r="Z962" s="21" t="n">
        <v>0</v>
      </c>
      <c r="AA962" s="21" t="n">
        <v>0</v>
      </c>
      <c r="AB962" s="21">
        <f>$B$19</f>
        <v/>
      </c>
      <c r="AC962" s="21">
        <f>$B$21</f>
        <v/>
      </c>
      <c r="AD962" s="21">
        <f>0</f>
        <v/>
      </c>
      <c r="AE962" s="21">
        <f>2*$B$20</f>
        <v/>
      </c>
      <c r="AF962" s="21">
        <f>-$B$19</f>
        <v/>
      </c>
      <c r="AG962" s="21">
        <f>$B$21</f>
        <v/>
      </c>
      <c r="AH962" s="21" t="n">
        <v>0</v>
      </c>
      <c r="AI962" s="21" t="n">
        <v>0</v>
      </c>
      <c r="AJ962" s="21" t="n">
        <v>0</v>
      </c>
      <c r="AK962" s="21" t="n">
        <v>0</v>
      </c>
      <c r="AL962" s="21" t="n">
        <v>0</v>
      </c>
      <c r="AM962" s="21" t="n">
        <v>0</v>
      </c>
      <c r="AN962" s="21" t="n">
        <v>0</v>
      </c>
      <c r="AO962" s="21" t="n">
        <v>0</v>
      </c>
      <c r="AP962" s="21" t="n">
        <v>0</v>
      </c>
      <c r="AQ962" s="21" t="n">
        <v>0</v>
      </c>
      <c r="AR962" s="21" t="n">
        <v>0</v>
      </c>
      <c r="AS962" s="21" t="n">
        <v>0</v>
      </c>
      <c r="AT962" s="19" t="n"/>
    </row>
    <row r="963">
      <c r="D963" s="21" t="n">
        <v>0</v>
      </c>
      <c r="E963" s="21" t="n">
        <v>0</v>
      </c>
      <c r="F963" s="21" t="n">
        <v>0</v>
      </c>
      <c r="G963" s="21" t="n">
        <v>0</v>
      </c>
      <c r="H963" s="21" t="n">
        <v>0</v>
      </c>
      <c r="I963" s="21" t="n">
        <v>0</v>
      </c>
      <c r="J963" s="21" t="n">
        <v>0</v>
      </c>
      <c r="K963" s="21" t="n">
        <v>0</v>
      </c>
      <c r="L963" s="21" t="n">
        <v>0</v>
      </c>
      <c r="M963" s="21" t="n">
        <v>0</v>
      </c>
      <c r="N963" s="21" t="n">
        <v>0</v>
      </c>
      <c r="O963" s="21" t="n">
        <v>0</v>
      </c>
      <c r="P963" s="21" t="n">
        <v>0</v>
      </c>
      <c r="Q963" s="21" t="n">
        <v>0</v>
      </c>
      <c r="R963" s="21" t="n">
        <v>0</v>
      </c>
      <c r="S963" s="21" t="n">
        <v>0</v>
      </c>
      <c r="T963" s="21" t="n">
        <v>0</v>
      </c>
      <c r="U963" s="21" t="n">
        <v>0</v>
      </c>
      <c r="V963" s="21" t="n">
        <v>0</v>
      </c>
      <c r="W963" s="21" t="n">
        <v>0</v>
      </c>
      <c r="X963" s="21" t="n">
        <v>0</v>
      </c>
      <c r="Y963" s="21" t="n">
        <v>0</v>
      </c>
      <c r="Z963" s="21" t="n">
        <v>0</v>
      </c>
      <c r="AA963" s="21" t="n">
        <v>0</v>
      </c>
      <c r="AB963" s="21" t="n">
        <v>0</v>
      </c>
      <c r="AC963" s="21" t="n">
        <v>0</v>
      </c>
      <c r="AD963" s="21">
        <f>-$B$18</f>
        <v/>
      </c>
      <c r="AE963" s="21">
        <f>-$B$19</f>
        <v/>
      </c>
      <c r="AF963" s="21">
        <f>2*$B$18+$D$927</f>
        <v/>
      </c>
      <c r="AG963" s="21">
        <f>0</f>
        <v/>
      </c>
      <c r="AH963" s="21">
        <f>-$B$18</f>
        <v/>
      </c>
      <c r="AI963" s="21">
        <f>$B$19</f>
        <v/>
      </c>
      <c r="AJ963" s="21" t="n">
        <v>0</v>
      </c>
      <c r="AK963" s="21" t="n">
        <v>0</v>
      </c>
      <c r="AL963" s="21" t="n">
        <v>0</v>
      </c>
      <c r="AM963" s="21" t="n">
        <v>0</v>
      </c>
      <c r="AN963" s="21" t="n">
        <v>0</v>
      </c>
      <c r="AO963" s="21" t="n">
        <v>0</v>
      </c>
      <c r="AP963" s="21" t="n">
        <v>0</v>
      </c>
      <c r="AQ963" s="21" t="n">
        <v>0</v>
      </c>
      <c r="AR963" s="21" t="n">
        <v>0</v>
      </c>
      <c r="AS963" s="21" t="n">
        <v>0</v>
      </c>
      <c r="AT963" s="19" t="n"/>
    </row>
    <row r="964">
      <c r="D964" s="21" t="n">
        <v>0</v>
      </c>
      <c r="E964" s="21" t="n">
        <v>0</v>
      </c>
      <c r="F964" s="21" t="n">
        <v>0</v>
      </c>
      <c r="G964" s="21" t="n">
        <v>0</v>
      </c>
      <c r="H964" s="21" t="n">
        <v>0</v>
      </c>
      <c r="I964" s="21" t="n">
        <v>0</v>
      </c>
      <c r="J964" s="21" t="n">
        <v>0</v>
      </c>
      <c r="K964" s="21" t="n">
        <v>0</v>
      </c>
      <c r="L964" s="21" t="n">
        <v>0</v>
      </c>
      <c r="M964" s="21" t="n">
        <v>0</v>
      </c>
      <c r="N964" s="21" t="n">
        <v>0</v>
      </c>
      <c r="O964" s="21" t="n">
        <v>0</v>
      </c>
      <c r="P964" s="21" t="n">
        <v>0</v>
      </c>
      <c r="Q964" s="21" t="n">
        <v>0</v>
      </c>
      <c r="R964" s="21" t="n">
        <v>0</v>
      </c>
      <c r="S964" s="21" t="n">
        <v>0</v>
      </c>
      <c r="T964" s="21" t="n">
        <v>0</v>
      </c>
      <c r="U964" s="21" t="n">
        <v>0</v>
      </c>
      <c r="V964" s="21" t="n">
        <v>0</v>
      </c>
      <c r="W964" s="21" t="n">
        <v>0</v>
      </c>
      <c r="X964" s="21" t="n">
        <v>0</v>
      </c>
      <c r="Y964" s="21" t="n">
        <v>0</v>
      </c>
      <c r="Z964" s="21" t="n">
        <v>0</v>
      </c>
      <c r="AA964" s="21" t="n">
        <v>0</v>
      </c>
      <c r="AB964" s="21" t="n">
        <v>0</v>
      </c>
      <c r="AC964" s="21" t="n">
        <v>0</v>
      </c>
      <c r="AD964" s="21">
        <f>$B$19</f>
        <v/>
      </c>
      <c r="AE964" s="21">
        <f>$B$21</f>
        <v/>
      </c>
      <c r="AF964" s="21">
        <f>0</f>
        <v/>
      </c>
      <c r="AG964" s="21">
        <f>2*$B$20</f>
        <v/>
      </c>
      <c r="AH964" s="21">
        <f>-$B$19</f>
        <v/>
      </c>
      <c r="AI964" s="21">
        <f>$B$21</f>
        <v/>
      </c>
      <c r="AJ964" s="21" t="n">
        <v>0</v>
      </c>
      <c r="AK964" s="21" t="n">
        <v>0</v>
      </c>
      <c r="AL964" s="21" t="n">
        <v>0</v>
      </c>
      <c r="AM964" s="21" t="n">
        <v>0</v>
      </c>
      <c r="AN964" s="21" t="n">
        <v>0</v>
      </c>
      <c r="AO964" s="21" t="n">
        <v>0</v>
      </c>
      <c r="AP964" s="21" t="n">
        <v>0</v>
      </c>
      <c r="AQ964" s="21" t="n">
        <v>0</v>
      </c>
      <c r="AR964" s="21" t="n">
        <v>0</v>
      </c>
      <c r="AS964" s="21" t="n">
        <v>0</v>
      </c>
      <c r="AT964" s="19" t="n"/>
    </row>
    <row r="965">
      <c r="D965" s="21" t="n">
        <v>0</v>
      </c>
      <c r="E965" s="21" t="n">
        <v>0</v>
      </c>
      <c r="F965" s="21" t="n">
        <v>0</v>
      </c>
      <c r="G965" s="21" t="n">
        <v>0</v>
      </c>
      <c r="H965" s="21" t="n">
        <v>0</v>
      </c>
      <c r="I965" s="21" t="n">
        <v>0</v>
      </c>
      <c r="J965" s="21" t="n">
        <v>0</v>
      </c>
      <c r="K965" s="21" t="n">
        <v>0</v>
      </c>
      <c r="L965" s="21" t="n">
        <v>0</v>
      </c>
      <c r="M965" s="21" t="n">
        <v>0</v>
      </c>
      <c r="N965" s="21" t="n">
        <v>0</v>
      </c>
      <c r="O965" s="21" t="n">
        <v>0</v>
      </c>
      <c r="P965" s="21" t="n">
        <v>0</v>
      </c>
      <c r="Q965" s="21" t="n">
        <v>0</v>
      </c>
      <c r="R965" s="21" t="n">
        <v>0</v>
      </c>
      <c r="S965" s="21" t="n">
        <v>0</v>
      </c>
      <c r="T965" s="21" t="n">
        <v>0</v>
      </c>
      <c r="U965" s="21" t="n">
        <v>0</v>
      </c>
      <c r="V965" s="21" t="n">
        <v>0</v>
      </c>
      <c r="W965" s="21" t="n">
        <v>0</v>
      </c>
      <c r="X965" s="21" t="n">
        <v>0</v>
      </c>
      <c r="Y965" s="21" t="n">
        <v>0</v>
      </c>
      <c r="Z965" s="21" t="n">
        <v>0</v>
      </c>
      <c r="AA965" s="21" t="n">
        <v>0</v>
      </c>
      <c r="AB965" s="21" t="n">
        <v>0</v>
      </c>
      <c r="AC965" s="21" t="n">
        <v>0</v>
      </c>
      <c r="AD965" s="21" t="n">
        <v>0</v>
      </c>
      <c r="AE965" s="21" t="n">
        <v>0</v>
      </c>
      <c r="AF965" s="21">
        <f>-$B$18</f>
        <v/>
      </c>
      <c r="AG965" s="21">
        <f>-$B$19</f>
        <v/>
      </c>
      <c r="AH965" s="21">
        <f>2*$B$18+$D$928</f>
        <v/>
      </c>
      <c r="AI965" s="21">
        <f>0</f>
        <v/>
      </c>
      <c r="AJ965" s="21">
        <f>-$B$18</f>
        <v/>
      </c>
      <c r="AK965" s="21">
        <f>$B$19</f>
        <v/>
      </c>
      <c r="AL965" s="21" t="n">
        <v>0</v>
      </c>
      <c r="AM965" s="21" t="n">
        <v>0</v>
      </c>
      <c r="AN965" s="21" t="n">
        <v>0</v>
      </c>
      <c r="AO965" s="21" t="n">
        <v>0</v>
      </c>
      <c r="AP965" s="21" t="n">
        <v>0</v>
      </c>
      <c r="AQ965" s="21" t="n">
        <v>0</v>
      </c>
      <c r="AR965" s="21" t="n">
        <v>0</v>
      </c>
      <c r="AS965" s="21" t="n">
        <v>0</v>
      </c>
      <c r="AT965" s="19" t="n"/>
    </row>
    <row r="966">
      <c r="D966" s="21" t="n">
        <v>0</v>
      </c>
      <c r="E966" s="21" t="n">
        <v>0</v>
      </c>
      <c r="F966" s="21" t="n">
        <v>0</v>
      </c>
      <c r="G966" s="21" t="n">
        <v>0</v>
      </c>
      <c r="H966" s="21" t="n">
        <v>0</v>
      </c>
      <c r="I966" s="21" t="n">
        <v>0</v>
      </c>
      <c r="J966" s="21" t="n">
        <v>0</v>
      </c>
      <c r="K966" s="21" t="n">
        <v>0</v>
      </c>
      <c r="L966" s="21" t="n">
        <v>0</v>
      </c>
      <c r="M966" s="21" t="n">
        <v>0</v>
      </c>
      <c r="N966" s="21" t="n">
        <v>0</v>
      </c>
      <c r="O966" s="21" t="n">
        <v>0</v>
      </c>
      <c r="P966" s="21" t="n">
        <v>0</v>
      </c>
      <c r="Q966" s="21" t="n">
        <v>0</v>
      </c>
      <c r="R966" s="21" t="n">
        <v>0</v>
      </c>
      <c r="S966" s="21" t="n">
        <v>0</v>
      </c>
      <c r="T966" s="21" t="n">
        <v>0</v>
      </c>
      <c r="U966" s="21" t="n">
        <v>0</v>
      </c>
      <c r="V966" s="21" t="n">
        <v>0</v>
      </c>
      <c r="W966" s="21" t="n">
        <v>0</v>
      </c>
      <c r="X966" s="21" t="n">
        <v>0</v>
      </c>
      <c r="Y966" s="21" t="n">
        <v>0</v>
      </c>
      <c r="Z966" s="21" t="n">
        <v>0</v>
      </c>
      <c r="AA966" s="21" t="n">
        <v>0</v>
      </c>
      <c r="AB966" s="21" t="n">
        <v>0</v>
      </c>
      <c r="AC966" s="21" t="n">
        <v>0</v>
      </c>
      <c r="AD966" s="21" t="n">
        <v>0</v>
      </c>
      <c r="AE966" s="21" t="n">
        <v>0</v>
      </c>
      <c r="AF966" s="21">
        <f>$B$19</f>
        <v/>
      </c>
      <c r="AG966" s="21">
        <f>$B$21</f>
        <v/>
      </c>
      <c r="AH966" s="21">
        <f>0</f>
        <v/>
      </c>
      <c r="AI966" s="21">
        <f>2*$B$20</f>
        <v/>
      </c>
      <c r="AJ966" s="21">
        <f>-$B$19</f>
        <v/>
      </c>
      <c r="AK966" s="21">
        <f>$B$21</f>
        <v/>
      </c>
      <c r="AL966" s="21" t="n">
        <v>0</v>
      </c>
      <c r="AM966" s="21" t="n">
        <v>0</v>
      </c>
      <c r="AN966" s="21" t="n">
        <v>0</v>
      </c>
      <c r="AO966" s="21" t="n">
        <v>0</v>
      </c>
      <c r="AP966" s="21" t="n">
        <v>0</v>
      </c>
      <c r="AQ966" s="21" t="n">
        <v>0</v>
      </c>
      <c r="AR966" s="21" t="n">
        <v>0</v>
      </c>
      <c r="AS966" s="21" t="n">
        <v>0</v>
      </c>
      <c r="AT966" s="19" t="n"/>
    </row>
    <row r="967">
      <c r="D967" s="21" t="n">
        <v>0</v>
      </c>
      <c r="E967" s="21" t="n">
        <v>0</v>
      </c>
      <c r="F967" s="21" t="n">
        <v>0</v>
      </c>
      <c r="G967" s="21" t="n">
        <v>0</v>
      </c>
      <c r="H967" s="21" t="n">
        <v>0</v>
      </c>
      <c r="I967" s="21" t="n">
        <v>0</v>
      </c>
      <c r="J967" s="21" t="n">
        <v>0</v>
      </c>
      <c r="K967" s="21" t="n">
        <v>0</v>
      </c>
      <c r="L967" s="21" t="n">
        <v>0</v>
      </c>
      <c r="M967" s="21" t="n">
        <v>0</v>
      </c>
      <c r="N967" s="21" t="n">
        <v>0</v>
      </c>
      <c r="O967" s="21" t="n">
        <v>0</v>
      </c>
      <c r="P967" s="21" t="n">
        <v>0</v>
      </c>
      <c r="Q967" s="21" t="n">
        <v>0</v>
      </c>
      <c r="R967" s="21" t="n">
        <v>0</v>
      </c>
      <c r="S967" s="21" t="n">
        <v>0</v>
      </c>
      <c r="T967" s="21" t="n">
        <v>0</v>
      </c>
      <c r="U967" s="21" t="n">
        <v>0</v>
      </c>
      <c r="V967" s="21" t="n">
        <v>0</v>
      </c>
      <c r="W967" s="21" t="n">
        <v>0</v>
      </c>
      <c r="X967" s="21" t="n">
        <v>0</v>
      </c>
      <c r="Y967" s="21" t="n">
        <v>0</v>
      </c>
      <c r="Z967" s="21" t="n">
        <v>0</v>
      </c>
      <c r="AA967" s="21" t="n">
        <v>0</v>
      </c>
      <c r="AB967" s="21" t="n">
        <v>0</v>
      </c>
      <c r="AC967" s="21" t="n">
        <v>0</v>
      </c>
      <c r="AD967" s="21" t="n">
        <v>0</v>
      </c>
      <c r="AE967" s="21" t="n">
        <v>0</v>
      </c>
      <c r="AF967" s="21" t="n">
        <v>0</v>
      </c>
      <c r="AG967" s="21" t="n">
        <v>0</v>
      </c>
      <c r="AH967" s="21">
        <f>-$B$18</f>
        <v/>
      </c>
      <c r="AI967" s="21">
        <f>-$B$19</f>
        <v/>
      </c>
      <c r="AJ967" s="21">
        <f>2*$B$18+$D$929</f>
        <v/>
      </c>
      <c r="AK967" s="21">
        <f>0</f>
        <v/>
      </c>
      <c r="AL967" s="21">
        <f>-$B$18</f>
        <v/>
      </c>
      <c r="AM967" s="21">
        <f>$B$19</f>
        <v/>
      </c>
      <c r="AN967" s="21" t="n">
        <v>0</v>
      </c>
      <c r="AO967" s="21" t="n">
        <v>0</v>
      </c>
      <c r="AP967" s="21" t="n">
        <v>0</v>
      </c>
      <c r="AQ967" s="21" t="n">
        <v>0</v>
      </c>
      <c r="AR967" s="21" t="n">
        <v>0</v>
      </c>
      <c r="AS967" s="21" t="n">
        <v>0</v>
      </c>
      <c r="AT967" s="19" t="n"/>
    </row>
    <row r="968">
      <c r="D968" s="21" t="n">
        <v>0</v>
      </c>
      <c r="E968" s="21" t="n">
        <v>0</v>
      </c>
      <c r="F968" s="21" t="n">
        <v>0</v>
      </c>
      <c r="G968" s="21" t="n">
        <v>0</v>
      </c>
      <c r="H968" s="21" t="n">
        <v>0</v>
      </c>
      <c r="I968" s="21" t="n">
        <v>0</v>
      </c>
      <c r="J968" s="21" t="n">
        <v>0</v>
      </c>
      <c r="K968" s="21" t="n">
        <v>0</v>
      </c>
      <c r="L968" s="21" t="n">
        <v>0</v>
      </c>
      <c r="M968" s="21" t="n">
        <v>0</v>
      </c>
      <c r="N968" s="21" t="n">
        <v>0</v>
      </c>
      <c r="O968" s="21" t="n">
        <v>0</v>
      </c>
      <c r="P968" s="21" t="n">
        <v>0</v>
      </c>
      <c r="Q968" s="21" t="n">
        <v>0</v>
      </c>
      <c r="R968" s="21" t="n">
        <v>0</v>
      </c>
      <c r="S968" s="21" t="n">
        <v>0</v>
      </c>
      <c r="T968" s="21" t="n">
        <v>0</v>
      </c>
      <c r="U968" s="21" t="n">
        <v>0</v>
      </c>
      <c r="V968" s="21" t="n">
        <v>0</v>
      </c>
      <c r="W968" s="21" t="n">
        <v>0</v>
      </c>
      <c r="X968" s="21" t="n">
        <v>0</v>
      </c>
      <c r="Y968" s="21" t="n">
        <v>0</v>
      </c>
      <c r="Z968" s="21" t="n">
        <v>0</v>
      </c>
      <c r="AA968" s="21" t="n">
        <v>0</v>
      </c>
      <c r="AB968" s="21" t="n">
        <v>0</v>
      </c>
      <c r="AC968" s="21" t="n">
        <v>0</v>
      </c>
      <c r="AD968" s="21" t="n">
        <v>0</v>
      </c>
      <c r="AE968" s="21" t="n">
        <v>0</v>
      </c>
      <c r="AF968" s="21" t="n">
        <v>0</v>
      </c>
      <c r="AG968" s="21" t="n">
        <v>0</v>
      </c>
      <c r="AH968" s="21">
        <f>$B$19</f>
        <v/>
      </c>
      <c r="AI968" s="21">
        <f>$B$21</f>
        <v/>
      </c>
      <c r="AJ968" s="21">
        <f>0</f>
        <v/>
      </c>
      <c r="AK968" s="21">
        <f>2*$B$20</f>
        <v/>
      </c>
      <c r="AL968" s="21">
        <f>-$B$19</f>
        <v/>
      </c>
      <c r="AM968" s="21">
        <f>$B$21</f>
        <v/>
      </c>
      <c r="AN968" s="21" t="n">
        <v>0</v>
      </c>
      <c r="AO968" s="21" t="n">
        <v>0</v>
      </c>
      <c r="AP968" s="21" t="n">
        <v>0</v>
      </c>
      <c r="AQ968" s="21" t="n">
        <v>0</v>
      </c>
      <c r="AR968" s="21" t="n">
        <v>0</v>
      </c>
      <c r="AS968" s="21" t="n">
        <v>0</v>
      </c>
      <c r="AT968" s="19" t="n"/>
    </row>
    <row r="969">
      <c r="D969" s="21" t="n">
        <v>0</v>
      </c>
      <c r="E969" s="21" t="n">
        <v>0</v>
      </c>
      <c r="F969" s="21" t="n">
        <v>0</v>
      </c>
      <c r="G969" s="21" t="n">
        <v>0</v>
      </c>
      <c r="H969" s="21" t="n">
        <v>0</v>
      </c>
      <c r="I969" s="21" t="n">
        <v>0</v>
      </c>
      <c r="J969" s="21" t="n">
        <v>0</v>
      </c>
      <c r="K969" s="21" t="n">
        <v>0</v>
      </c>
      <c r="L969" s="21" t="n">
        <v>0</v>
      </c>
      <c r="M969" s="21" t="n">
        <v>0</v>
      </c>
      <c r="N969" s="21" t="n">
        <v>0</v>
      </c>
      <c r="O969" s="21" t="n">
        <v>0</v>
      </c>
      <c r="P969" s="21" t="n">
        <v>0</v>
      </c>
      <c r="Q969" s="21" t="n">
        <v>0</v>
      </c>
      <c r="R969" s="21" t="n">
        <v>0</v>
      </c>
      <c r="S969" s="21" t="n">
        <v>0</v>
      </c>
      <c r="T969" s="21" t="n">
        <v>0</v>
      </c>
      <c r="U969" s="21" t="n">
        <v>0</v>
      </c>
      <c r="V969" s="21" t="n">
        <v>0</v>
      </c>
      <c r="W969" s="21" t="n">
        <v>0</v>
      </c>
      <c r="X969" s="21" t="n">
        <v>0</v>
      </c>
      <c r="Y969" s="21" t="n">
        <v>0</v>
      </c>
      <c r="Z969" s="21" t="n">
        <v>0</v>
      </c>
      <c r="AA969" s="21" t="n">
        <v>0</v>
      </c>
      <c r="AB969" s="21" t="n">
        <v>0</v>
      </c>
      <c r="AC969" s="21" t="n">
        <v>0</v>
      </c>
      <c r="AD969" s="21" t="n">
        <v>0</v>
      </c>
      <c r="AE969" s="21" t="n">
        <v>0</v>
      </c>
      <c r="AF969" s="21" t="n">
        <v>0</v>
      </c>
      <c r="AG969" s="21" t="n">
        <v>0</v>
      </c>
      <c r="AH969" s="21" t="n">
        <v>0</v>
      </c>
      <c r="AI969" s="21" t="n">
        <v>0</v>
      </c>
      <c r="AJ969" s="21">
        <f>-$B$18</f>
        <v/>
      </c>
      <c r="AK969" s="21">
        <f>-$B$19</f>
        <v/>
      </c>
      <c r="AL969" s="21">
        <f>2*$B$18+$D$930</f>
        <v/>
      </c>
      <c r="AM969" s="21">
        <f>0</f>
        <v/>
      </c>
      <c r="AN969" s="21">
        <f>-$B$18</f>
        <v/>
      </c>
      <c r="AO969" s="21">
        <f>$B$19</f>
        <v/>
      </c>
      <c r="AP969" s="21" t="n">
        <v>0</v>
      </c>
      <c r="AQ969" s="21" t="n">
        <v>0</v>
      </c>
      <c r="AR969" s="21" t="n">
        <v>0</v>
      </c>
      <c r="AS969" s="21" t="n">
        <v>0</v>
      </c>
      <c r="AT969" s="19" t="n"/>
    </row>
    <row r="970">
      <c r="D970" s="21" t="n">
        <v>0</v>
      </c>
      <c r="E970" s="21" t="n">
        <v>0</v>
      </c>
      <c r="F970" s="21" t="n">
        <v>0</v>
      </c>
      <c r="G970" s="21" t="n">
        <v>0</v>
      </c>
      <c r="H970" s="21" t="n">
        <v>0</v>
      </c>
      <c r="I970" s="21" t="n">
        <v>0</v>
      </c>
      <c r="J970" s="21" t="n">
        <v>0</v>
      </c>
      <c r="K970" s="21" t="n">
        <v>0</v>
      </c>
      <c r="L970" s="21" t="n">
        <v>0</v>
      </c>
      <c r="M970" s="21" t="n">
        <v>0</v>
      </c>
      <c r="N970" s="21" t="n">
        <v>0</v>
      </c>
      <c r="O970" s="21" t="n">
        <v>0</v>
      </c>
      <c r="P970" s="21" t="n">
        <v>0</v>
      </c>
      <c r="Q970" s="21" t="n">
        <v>0</v>
      </c>
      <c r="R970" s="21" t="n">
        <v>0</v>
      </c>
      <c r="S970" s="21" t="n">
        <v>0</v>
      </c>
      <c r="T970" s="21" t="n">
        <v>0</v>
      </c>
      <c r="U970" s="21" t="n">
        <v>0</v>
      </c>
      <c r="V970" s="21" t="n">
        <v>0</v>
      </c>
      <c r="W970" s="21" t="n">
        <v>0</v>
      </c>
      <c r="X970" s="21" t="n">
        <v>0</v>
      </c>
      <c r="Y970" s="21" t="n">
        <v>0</v>
      </c>
      <c r="Z970" s="21" t="n">
        <v>0</v>
      </c>
      <c r="AA970" s="21" t="n">
        <v>0</v>
      </c>
      <c r="AB970" s="21" t="n">
        <v>0</v>
      </c>
      <c r="AC970" s="21" t="n">
        <v>0</v>
      </c>
      <c r="AD970" s="21" t="n">
        <v>0</v>
      </c>
      <c r="AE970" s="21" t="n">
        <v>0</v>
      </c>
      <c r="AF970" s="21" t="n">
        <v>0</v>
      </c>
      <c r="AG970" s="21" t="n">
        <v>0</v>
      </c>
      <c r="AH970" s="21" t="n">
        <v>0</v>
      </c>
      <c r="AI970" s="21" t="n">
        <v>0</v>
      </c>
      <c r="AJ970" s="21">
        <f>$B$19</f>
        <v/>
      </c>
      <c r="AK970" s="21">
        <f>$B$21</f>
        <v/>
      </c>
      <c r="AL970" s="21">
        <f>0</f>
        <v/>
      </c>
      <c r="AM970" s="21">
        <f>2*$B$20</f>
        <v/>
      </c>
      <c r="AN970" s="21">
        <f>-$B$19</f>
        <v/>
      </c>
      <c r="AO970" s="21">
        <f>$B$21</f>
        <v/>
      </c>
      <c r="AP970" s="21" t="n">
        <v>0</v>
      </c>
      <c r="AQ970" s="21" t="n">
        <v>0</v>
      </c>
      <c r="AR970" s="21" t="n">
        <v>0</v>
      </c>
      <c r="AS970" s="21" t="n">
        <v>0</v>
      </c>
      <c r="AT970" s="19" t="n"/>
    </row>
    <row r="971">
      <c r="D971" s="21" t="n">
        <v>0</v>
      </c>
      <c r="E971" s="21" t="n">
        <v>0</v>
      </c>
      <c r="F971" s="21" t="n">
        <v>0</v>
      </c>
      <c r="G971" s="21" t="n">
        <v>0</v>
      </c>
      <c r="H971" s="21" t="n">
        <v>0</v>
      </c>
      <c r="I971" s="21" t="n">
        <v>0</v>
      </c>
      <c r="J971" s="21" t="n">
        <v>0</v>
      </c>
      <c r="K971" s="21" t="n">
        <v>0</v>
      </c>
      <c r="L971" s="21" t="n">
        <v>0</v>
      </c>
      <c r="M971" s="21" t="n">
        <v>0</v>
      </c>
      <c r="N971" s="21" t="n">
        <v>0</v>
      </c>
      <c r="O971" s="21" t="n">
        <v>0</v>
      </c>
      <c r="P971" s="21" t="n">
        <v>0</v>
      </c>
      <c r="Q971" s="21" t="n">
        <v>0</v>
      </c>
      <c r="R971" s="21" t="n">
        <v>0</v>
      </c>
      <c r="S971" s="21" t="n">
        <v>0</v>
      </c>
      <c r="T971" s="21" t="n">
        <v>0</v>
      </c>
      <c r="U971" s="21" t="n">
        <v>0</v>
      </c>
      <c r="V971" s="21" t="n">
        <v>0</v>
      </c>
      <c r="W971" s="21" t="n">
        <v>0</v>
      </c>
      <c r="X971" s="21" t="n">
        <v>0</v>
      </c>
      <c r="Y971" s="21" t="n">
        <v>0</v>
      </c>
      <c r="Z971" s="21" t="n">
        <v>0</v>
      </c>
      <c r="AA971" s="21" t="n">
        <v>0</v>
      </c>
      <c r="AB971" s="21" t="n">
        <v>0</v>
      </c>
      <c r="AC971" s="21" t="n">
        <v>0</v>
      </c>
      <c r="AD971" s="21" t="n">
        <v>0</v>
      </c>
      <c r="AE971" s="21" t="n">
        <v>0</v>
      </c>
      <c r="AF971" s="21" t="n">
        <v>0</v>
      </c>
      <c r="AG971" s="21" t="n">
        <v>0</v>
      </c>
      <c r="AH971" s="21" t="n">
        <v>0</v>
      </c>
      <c r="AI971" s="21" t="n">
        <v>0</v>
      </c>
      <c r="AJ971" s="21" t="n">
        <v>0</v>
      </c>
      <c r="AK971" s="21" t="n">
        <v>0</v>
      </c>
      <c r="AL971" s="21">
        <f>-$B$18</f>
        <v/>
      </c>
      <c r="AM971" s="21">
        <f>-$B$19</f>
        <v/>
      </c>
      <c r="AN971" s="21">
        <f>2*$B$18+$D$931</f>
        <v/>
      </c>
      <c r="AO971" s="21">
        <f>0</f>
        <v/>
      </c>
      <c r="AP971" s="21">
        <f>-$B$18</f>
        <v/>
      </c>
      <c r="AQ971" s="21">
        <f>$B$19</f>
        <v/>
      </c>
      <c r="AR971" s="21" t="n">
        <v>0</v>
      </c>
      <c r="AS971" s="21" t="n">
        <v>0</v>
      </c>
      <c r="AT971" s="19" t="n"/>
    </row>
    <row r="972">
      <c r="D972" s="21" t="n">
        <v>0</v>
      </c>
      <c r="E972" s="21" t="n">
        <v>0</v>
      </c>
      <c r="F972" s="21" t="n">
        <v>0</v>
      </c>
      <c r="G972" s="21" t="n">
        <v>0</v>
      </c>
      <c r="H972" s="21" t="n">
        <v>0</v>
      </c>
      <c r="I972" s="21" t="n">
        <v>0</v>
      </c>
      <c r="J972" s="21" t="n">
        <v>0</v>
      </c>
      <c r="K972" s="21" t="n">
        <v>0</v>
      </c>
      <c r="L972" s="21" t="n">
        <v>0</v>
      </c>
      <c r="M972" s="21" t="n">
        <v>0</v>
      </c>
      <c r="N972" s="21" t="n">
        <v>0</v>
      </c>
      <c r="O972" s="21" t="n">
        <v>0</v>
      </c>
      <c r="P972" s="21" t="n">
        <v>0</v>
      </c>
      <c r="Q972" s="21" t="n">
        <v>0</v>
      </c>
      <c r="R972" s="21" t="n">
        <v>0</v>
      </c>
      <c r="S972" s="21" t="n">
        <v>0</v>
      </c>
      <c r="T972" s="21" t="n">
        <v>0</v>
      </c>
      <c r="U972" s="21" t="n">
        <v>0</v>
      </c>
      <c r="V972" s="21" t="n">
        <v>0</v>
      </c>
      <c r="W972" s="21" t="n">
        <v>0</v>
      </c>
      <c r="X972" s="21" t="n">
        <v>0</v>
      </c>
      <c r="Y972" s="21" t="n">
        <v>0</v>
      </c>
      <c r="Z972" s="21" t="n">
        <v>0</v>
      </c>
      <c r="AA972" s="21" t="n">
        <v>0</v>
      </c>
      <c r="AB972" s="21" t="n">
        <v>0</v>
      </c>
      <c r="AC972" s="21" t="n">
        <v>0</v>
      </c>
      <c r="AD972" s="21" t="n">
        <v>0</v>
      </c>
      <c r="AE972" s="21" t="n">
        <v>0</v>
      </c>
      <c r="AF972" s="21" t="n">
        <v>0</v>
      </c>
      <c r="AG972" s="21" t="n">
        <v>0</v>
      </c>
      <c r="AH972" s="21" t="n">
        <v>0</v>
      </c>
      <c r="AI972" s="21" t="n">
        <v>0</v>
      </c>
      <c r="AJ972" s="21" t="n">
        <v>0</v>
      </c>
      <c r="AK972" s="21" t="n">
        <v>0</v>
      </c>
      <c r="AL972" s="21">
        <f>$B$19</f>
        <v/>
      </c>
      <c r="AM972" s="21">
        <f>$B$21</f>
        <v/>
      </c>
      <c r="AN972" s="21">
        <f>0</f>
        <v/>
      </c>
      <c r="AO972" s="21">
        <f>2*$B$20</f>
        <v/>
      </c>
      <c r="AP972" s="21">
        <f>-$B$19</f>
        <v/>
      </c>
      <c r="AQ972" s="21">
        <f>$B$21</f>
        <v/>
      </c>
      <c r="AR972" s="21" t="n">
        <v>0</v>
      </c>
      <c r="AS972" s="21" t="n">
        <v>0</v>
      </c>
      <c r="AT972" s="19" t="n"/>
    </row>
    <row r="973">
      <c r="D973" s="21" t="n">
        <v>0</v>
      </c>
      <c r="E973" s="21" t="n">
        <v>0</v>
      </c>
      <c r="F973" s="21" t="n">
        <v>0</v>
      </c>
      <c r="G973" s="21" t="n">
        <v>0</v>
      </c>
      <c r="H973" s="21" t="n">
        <v>0</v>
      </c>
      <c r="I973" s="21" t="n">
        <v>0</v>
      </c>
      <c r="J973" s="21" t="n">
        <v>0</v>
      </c>
      <c r="K973" s="21" t="n">
        <v>0</v>
      </c>
      <c r="L973" s="21" t="n">
        <v>0</v>
      </c>
      <c r="M973" s="21" t="n">
        <v>0</v>
      </c>
      <c r="N973" s="21" t="n">
        <v>0</v>
      </c>
      <c r="O973" s="21" t="n">
        <v>0</v>
      </c>
      <c r="P973" s="21" t="n">
        <v>0</v>
      </c>
      <c r="Q973" s="21" t="n">
        <v>0</v>
      </c>
      <c r="R973" s="21" t="n">
        <v>0</v>
      </c>
      <c r="S973" s="21" t="n">
        <v>0</v>
      </c>
      <c r="T973" s="21" t="n">
        <v>0</v>
      </c>
      <c r="U973" s="21" t="n">
        <v>0</v>
      </c>
      <c r="V973" s="21" t="n">
        <v>0</v>
      </c>
      <c r="W973" s="21" t="n">
        <v>0</v>
      </c>
      <c r="X973" s="21" t="n">
        <v>0</v>
      </c>
      <c r="Y973" s="21" t="n">
        <v>0</v>
      </c>
      <c r="Z973" s="21" t="n">
        <v>0</v>
      </c>
      <c r="AA973" s="21" t="n">
        <v>0</v>
      </c>
      <c r="AB973" s="21" t="n">
        <v>0</v>
      </c>
      <c r="AC973" s="21" t="n">
        <v>0</v>
      </c>
      <c r="AD973" s="21" t="n">
        <v>0</v>
      </c>
      <c r="AE973" s="21" t="n">
        <v>0</v>
      </c>
      <c r="AF973" s="21" t="n">
        <v>0</v>
      </c>
      <c r="AG973" s="21" t="n">
        <v>0</v>
      </c>
      <c r="AH973" s="21" t="n">
        <v>0</v>
      </c>
      <c r="AI973" s="21" t="n">
        <v>0</v>
      </c>
      <c r="AJ973" s="21" t="n">
        <v>0</v>
      </c>
      <c r="AK973" s="21" t="n">
        <v>0</v>
      </c>
      <c r="AL973" s="21" t="n">
        <v>0</v>
      </c>
      <c r="AM973" s="21" t="n">
        <v>0</v>
      </c>
      <c r="AN973" s="21">
        <f>-$B$18</f>
        <v/>
      </c>
      <c r="AO973" s="21">
        <f>-$B$19</f>
        <v/>
      </c>
      <c r="AP973" s="21">
        <f>2*$B$18+$D$932</f>
        <v/>
      </c>
      <c r="AQ973" s="21">
        <f>0</f>
        <v/>
      </c>
      <c r="AR973" s="21">
        <f>-$B$18</f>
        <v/>
      </c>
      <c r="AS973" s="21">
        <f>$B$19</f>
        <v/>
      </c>
      <c r="AT973" s="19" t="n"/>
    </row>
    <row r="974">
      <c r="D974" s="21" t="n">
        <v>0</v>
      </c>
      <c r="E974" s="21" t="n">
        <v>0</v>
      </c>
      <c r="F974" s="21" t="n">
        <v>0</v>
      </c>
      <c r="G974" s="21" t="n">
        <v>0</v>
      </c>
      <c r="H974" s="21" t="n">
        <v>0</v>
      </c>
      <c r="I974" s="21" t="n">
        <v>0</v>
      </c>
      <c r="J974" s="21" t="n">
        <v>0</v>
      </c>
      <c r="K974" s="21" t="n">
        <v>0</v>
      </c>
      <c r="L974" s="21" t="n">
        <v>0</v>
      </c>
      <c r="M974" s="21" t="n">
        <v>0</v>
      </c>
      <c r="N974" s="21" t="n">
        <v>0</v>
      </c>
      <c r="O974" s="21" t="n">
        <v>0</v>
      </c>
      <c r="P974" s="21" t="n">
        <v>0</v>
      </c>
      <c r="Q974" s="21" t="n">
        <v>0</v>
      </c>
      <c r="R974" s="21" t="n">
        <v>0</v>
      </c>
      <c r="S974" s="21" t="n">
        <v>0</v>
      </c>
      <c r="T974" s="21" t="n">
        <v>0</v>
      </c>
      <c r="U974" s="21" t="n">
        <v>0</v>
      </c>
      <c r="V974" s="21" t="n">
        <v>0</v>
      </c>
      <c r="W974" s="21" t="n">
        <v>0</v>
      </c>
      <c r="X974" s="21" t="n">
        <v>0</v>
      </c>
      <c r="Y974" s="21" t="n">
        <v>0</v>
      </c>
      <c r="Z974" s="21" t="n">
        <v>0</v>
      </c>
      <c r="AA974" s="21" t="n">
        <v>0</v>
      </c>
      <c r="AB974" s="21" t="n">
        <v>0</v>
      </c>
      <c r="AC974" s="21" t="n">
        <v>0</v>
      </c>
      <c r="AD974" s="21" t="n">
        <v>0</v>
      </c>
      <c r="AE974" s="21" t="n">
        <v>0</v>
      </c>
      <c r="AF974" s="21" t="n">
        <v>0</v>
      </c>
      <c r="AG974" s="21" t="n">
        <v>0</v>
      </c>
      <c r="AH974" s="21" t="n">
        <v>0</v>
      </c>
      <c r="AI974" s="21" t="n">
        <v>0</v>
      </c>
      <c r="AJ974" s="21" t="n">
        <v>0</v>
      </c>
      <c r="AK974" s="21" t="n">
        <v>0</v>
      </c>
      <c r="AL974" s="21" t="n">
        <v>0</v>
      </c>
      <c r="AM974" s="21" t="n">
        <v>0</v>
      </c>
      <c r="AN974" s="21">
        <f>$B$19</f>
        <v/>
      </c>
      <c r="AO974" s="21">
        <f>$B$21</f>
        <v/>
      </c>
      <c r="AP974" s="21">
        <f>0</f>
        <v/>
      </c>
      <c r="AQ974" s="21">
        <f>2*$B$20</f>
        <v/>
      </c>
      <c r="AR974" s="21">
        <f>-$B$19</f>
        <v/>
      </c>
      <c r="AS974" s="21">
        <f>$B$21</f>
        <v/>
      </c>
      <c r="AT974" s="19" t="n"/>
    </row>
    <row r="975">
      <c r="D975" s="21" t="n">
        <v>0</v>
      </c>
      <c r="E975" s="21" t="n">
        <v>0</v>
      </c>
      <c r="F975" s="21" t="n">
        <v>0</v>
      </c>
      <c r="G975" s="21" t="n">
        <v>0</v>
      </c>
      <c r="H975" s="21" t="n">
        <v>0</v>
      </c>
      <c r="I975" s="21" t="n">
        <v>0</v>
      </c>
      <c r="J975" s="21" t="n">
        <v>0</v>
      </c>
      <c r="K975" s="21" t="n">
        <v>0</v>
      </c>
      <c r="L975" s="21" t="n">
        <v>0</v>
      </c>
      <c r="M975" s="21" t="n">
        <v>0</v>
      </c>
      <c r="N975" s="21" t="n">
        <v>0</v>
      </c>
      <c r="O975" s="21" t="n">
        <v>0</v>
      </c>
      <c r="P975" s="21" t="n">
        <v>0</v>
      </c>
      <c r="Q975" s="21" t="n">
        <v>0</v>
      </c>
      <c r="R975" s="21" t="n">
        <v>0</v>
      </c>
      <c r="S975" s="21" t="n">
        <v>0</v>
      </c>
      <c r="T975" s="21" t="n">
        <v>0</v>
      </c>
      <c r="U975" s="21" t="n">
        <v>0</v>
      </c>
      <c r="V975" s="21" t="n">
        <v>0</v>
      </c>
      <c r="W975" s="21" t="n">
        <v>0</v>
      </c>
      <c r="X975" s="21" t="n">
        <v>0</v>
      </c>
      <c r="Y975" s="21" t="n">
        <v>0</v>
      </c>
      <c r="Z975" s="21" t="n">
        <v>0</v>
      </c>
      <c r="AA975" s="21" t="n">
        <v>0</v>
      </c>
      <c r="AB975" s="21" t="n">
        <v>0</v>
      </c>
      <c r="AC975" s="21" t="n">
        <v>0</v>
      </c>
      <c r="AD975" s="21" t="n">
        <v>0</v>
      </c>
      <c r="AE975" s="21" t="n">
        <v>0</v>
      </c>
      <c r="AF975" s="21" t="n">
        <v>0</v>
      </c>
      <c r="AG975" s="21" t="n">
        <v>0</v>
      </c>
      <c r="AH975" s="21" t="n">
        <v>0</v>
      </c>
      <c r="AI975" s="21" t="n">
        <v>0</v>
      </c>
      <c r="AJ975" s="21" t="n">
        <v>0</v>
      </c>
      <c r="AK975" s="21" t="n">
        <v>0</v>
      </c>
      <c r="AL975" s="21" t="n">
        <v>0</v>
      </c>
      <c r="AM975" s="21" t="n">
        <v>0</v>
      </c>
      <c r="AN975" s="21" t="n">
        <v>0</v>
      </c>
      <c r="AO975" s="21" t="n">
        <v>0</v>
      </c>
      <c r="AP975" s="21">
        <f>-$B$18</f>
        <v/>
      </c>
      <c r="AQ975" s="21">
        <f>-$B$19</f>
        <v/>
      </c>
      <c r="AR975" s="21">
        <f>$B$18+$D$933</f>
        <v/>
      </c>
      <c r="AS975" s="21">
        <f>-$B$19</f>
        <v/>
      </c>
      <c r="AT975" s="19" t="n"/>
    </row>
    <row r="976">
      <c r="D976" s="21" t="n">
        <v>0</v>
      </c>
      <c r="E976" s="21" t="n">
        <v>0</v>
      </c>
      <c r="F976" s="21" t="n">
        <v>0</v>
      </c>
      <c r="G976" s="21" t="n">
        <v>0</v>
      </c>
      <c r="H976" s="21" t="n">
        <v>0</v>
      </c>
      <c r="I976" s="21" t="n">
        <v>0</v>
      </c>
      <c r="J976" s="21" t="n">
        <v>0</v>
      </c>
      <c r="K976" s="21" t="n">
        <v>0</v>
      </c>
      <c r="L976" s="21" t="n">
        <v>0</v>
      </c>
      <c r="M976" s="21" t="n">
        <v>0</v>
      </c>
      <c r="N976" s="21" t="n">
        <v>0</v>
      </c>
      <c r="O976" s="21" t="n">
        <v>0</v>
      </c>
      <c r="P976" s="21" t="n">
        <v>0</v>
      </c>
      <c r="Q976" s="21" t="n">
        <v>0</v>
      </c>
      <c r="R976" s="21" t="n">
        <v>0</v>
      </c>
      <c r="S976" s="21" t="n">
        <v>0</v>
      </c>
      <c r="T976" s="21" t="n">
        <v>0</v>
      </c>
      <c r="U976" s="21" t="n">
        <v>0</v>
      </c>
      <c r="V976" s="21" t="n">
        <v>0</v>
      </c>
      <c r="W976" s="21" t="n">
        <v>0</v>
      </c>
      <c r="X976" s="21" t="n">
        <v>0</v>
      </c>
      <c r="Y976" s="21" t="n">
        <v>0</v>
      </c>
      <c r="Z976" s="21" t="n">
        <v>0</v>
      </c>
      <c r="AA976" s="21" t="n">
        <v>0</v>
      </c>
      <c r="AB976" s="21" t="n">
        <v>0</v>
      </c>
      <c r="AC976" s="21" t="n">
        <v>0</v>
      </c>
      <c r="AD976" s="21" t="n">
        <v>0</v>
      </c>
      <c r="AE976" s="21" t="n">
        <v>0</v>
      </c>
      <c r="AF976" s="21" t="n">
        <v>0</v>
      </c>
      <c r="AG976" s="21" t="n">
        <v>0</v>
      </c>
      <c r="AH976" s="21" t="n">
        <v>0</v>
      </c>
      <c r="AI976" s="21" t="n">
        <v>0</v>
      </c>
      <c r="AJ976" s="21" t="n">
        <v>0</v>
      </c>
      <c r="AK976" s="21" t="n">
        <v>0</v>
      </c>
      <c r="AL976" s="21" t="n">
        <v>0</v>
      </c>
      <c r="AM976" s="21" t="n">
        <v>0</v>
      </c>
      <c r="AN976" s="21" t="n">
        <v>0</v>
      </c>
      <c r="AO976" s="21" t="n">
        <v>0</v>
      </c>
      <c r="AP976" s="21">
        <f>$B$19</f>
        <v/>
      </c>
      <c r="AQ976" s="21">
        <f>$B$21</f>
        <v/>
      </c>
      <c r="AR976" s="21">
        <f>-$B$19</f>
        <v/>
      </c>
      <c r="AS976" s="21">
        <f>$B$20</f>
        <v/>
      </c>
      <c r="AT976" s="19" t="n"/>
    </row>
    <row r="978">
      <c r="A978" s="8" t="inlineStr">
        <is>
          <t>gen 14</t>
        </is>
      </c>
    </row>
    <row r="979">
      <c r="D979" s="19">
        <f>IF(ABS(IF(ABS($E$913)&gt;0.000000001,$E$913,0.000000001))=0,0,IF($E$33&lt;=$B$27,0,IF(ABS(IF(ABS($E$913)&gt;0.000000001,$E$913,0.000000001))&gt;=8*$B$29,$H$33,0.5*$H$33*(ABS(IF(ABS($E$913)&gt;0.000000001,$E$913,0.000000001))/$B$29)^(1/3)))/ABS(IF(ABS($E$913)&gt;0.000000001,$E$913,0.000000001))*$I$33)</f>
        <v/>
      </c>
      <c r="E979" s="19">
        <f>0.5*$E$913+0.5*$AT$1001</f>
        <v/>
      </c>
      <c r="F979" s="19">
        <f>$AT$1002</f>
        <v/>
      </c>
    </row>
    <row r="980">
      <c r="D980" s="19">
        <f>IF(ABS(IF(ABS($E$914)&gt;0.000000001,$E$914,0.000000001))=0,0,IF($E$34&lt;=$B$27,0,IF(ABS(IF(ABS($E$914)&gt;0.000000001,$E$914,0.000000001))&gt;=8*$B$29,$H$34,0.5*$H$34*(ABS(IF(ABS($E$914)&gt;0.000000001,$E$914,0.000000001))/$B$29)^(1/3)))/ABS(IF(ABS($E$914)&gt;0.000000001,$E$914,0.000000001))*$I$34)</f>
        <v/>
      </c>
      <c r="E980" s="19">
        <f>0.5*$E$914+0.5*$AT$1003</f>
        <v/>
      </c>
      <c r="F980" s="19">
        <f>$AT$1004</f>
        <v/>
      </c>
    </row>
    <row r="981">
      <c r="D981" s="19">
        <f>IF(ABS(IF(ABS($E$915)&gt;0.000000001,$E$915,0.000000001))=0,0,IF($E$35&lt;=$B$27,0,IF(ABS(IF(ABS($E$915)&gt;0.000000001,$E$915,0.000000001))&gt;=8*$B$29,$H$35,0.5*$H$35*(ABS(IF(ABS($E$915)&gt;0.000000001,$E$915,0.000000001))/$B$29)^(1/3)))/ABS(IF(ABS($E$915)&gt;0.000000001,$E$915,0.000000001))*$I$35)</f>
        <v/>
      </c>
      <c r="E981" s="19">
        <f>0.5*$E$915+0.5*$AT$1005</f>
        <v/>
      </c>
      <c r="F981" s="19">
        <f>$AT$1006</f>
        <v/>
      </c>
    </row>
    <row r="982">
      <c r="D982" s="19">
        <f>IF(ABS(IF(ABS($E$916)&gt;0.000000001,$E$916,0.000000001))=0,0,IF($E$36&lt;=$B$27,0,IF(ABS(IF(ABS($E$916)&gt;0.000000001,$E$916,0.000000001))&gt;=8*$B$29,$H$36,0.5*$H$36*(ABS(IF(ABS($E$916)&gt;0.000000001,$E$916,0.000000001))/$B$29)^(1/3)))/ABS(IF(ABS($E$916)&gt;0.000000001,$E$916,0.000000001))*$I$36)</f>
        <v/>
      </c>
      <c r="E982" s="19">
        <f>0.5*$E$916+0.5*$AT$1007</f>
        <v/>
      </c>
      <c r="F982" s="19">
        <f>$AT$1008</f>
        <v/>
      </c>
    </row>
    <row r="983">
      <c r="D983" s="19">
        <f>IF(ABS(IF(ABS($E$917)&gt;0.000000001,$E$917,0.000000001))=0,0,IF($E$37&lt;=$B$27,0,IF(ABS(IF(ABS($E$917)&gt;0.000000001,$E$917,0.000000001))&gt;=8*$B$29,$H$37,0.5*$H$37*(ABS(IF(ABS($E$917)&gt;0.000000001,$E$917,0.000000001))/$B$29)^(1/3)))/ABS(IF(ABS($E$917)&gt;0.000000001,$E$917,0.000000001))*$I$37)</f>
        <v/>
      </c>
      <c r="E983" s="19">
        <f>0.5*$E$917+0.5*$AT$1009</f>
        <v/>
      </c>
      <c r="F983" s="19">
        <f>$AT$1010</f>
        <v/>
      </c>
    </row>
    <row r="984">
      <c r="D984" s="19">
        <f>IF(ABS(IF(ABS($E$918)&gt;0.000000001,$E$918,0.000000001))=0,0,IF($E$38&lt;=$B$27,0,IF(ABS(IF(ABS($E$918)&gt;0.000000001,$E$918,0.000000001))&gt;=8*$B$29,$H$38,0.5*$H$38*(ABS(IF(ABS($E$918)&gt;0.000000001,$E$918,0.000000001))/$B$29)^(1/3)))/ABS(IF(ABS($E$918)&gt;0.000000001,$E$918,0.000000001))*$I$38)</f>
        <v/>
      </c>
      <c r="E984" s="19">
        <f>0.5*$E$918+0.5*$AT$1011</f>
        <v/>
      </c>
      <c r="F984" s="19">
        <f>$AT$1012</f>
        <v/>
      </c>
    </row>
    <row r="985">
      <c r="D985" s="19">
        <f>IF(ABS(IF(ABS($E$919)&gt;0.000000001,$E$919,0.000000001))=0,0,IF($E$39&lt;=$B$27,0,IF(ABS(IF(ABS($E$919)&gt;0.000000001,$E$919,0.000000001))&gt;=8*$B$29,$H$39,0.5*$H$39*(ABS(IF(ABS($E$919)&gt;0.000000001,$E$919,0.000000001))/$B$29)^(1/3)))/ABS(IF(ABS($E$919)&gt;0.000000001,$E$919,0.000000001))*$I$39)</f>
        <v/>
      </c>
      <c r="E985" s="19">
        <f>0.5*$E$919+0.5*$AT$1013</f>
        <v/>
      </c>
      <c r="F985" s="19">
        <f>$AT$1014</f>
        <v/>
      </c>
    </row>
    <row r="986">
      <c r="D986" s="19">
        <f>IF(ABS(IF(ABS($E$920)&gt;0.000000001,$E$920,0.000000001))=0,0,IF($E$40&lt;=$B$27,0,IF(ABS(IF(ABS($E$920)&gt;0.000000001,$E$920,0.000000001))&gt;=8*$B$29,$H$40,0.5*$H$40*(ABS(IF(ABS($E$920)&gt;0.000000001,$E$920,0.000000001))/$B$29)^(1/3)))/ABS(IF(ABS($E$920)&gt;0.000000001,$E$920,0.000000001))*$I$40)</f>
        <v/>
      </c>
      <c r="E986" s="19">
        <f>0.5*$E$920+0.5*$AT$1015</f>
        <v/>
      </c>
      <c r="F986" s="19">
        <f>$AT$1016</f>
        <v/>
      </c>
    </row>
    <row r="987">
      <c r="D987" s="19">
        <f>IF(ABS(IF(ABS($E$921)&gt;0.000000001,$E$921,0.000000001))=0,0,IF($E$41&lt;=$B$27,0,IF(ABS(IF(ABS($E$921)&gt;0.000000001,$E$921,0.000000001))&gt;=8*$B$29,$H$41,0.5*$H$41*(ABS(IF(ABS($E$921)&gt;0.000000001,$E$921,0.000000001))/$B$29)^(1/3)))/ABS(IF(ABS($E$921)&gt;0.000000001,$E$921,0.000000001))*$I$41)</f>
        <v/>
      </c>
      <c r="E987" s="19">
        <f>0.5*$E$921+0.5*$AT$1017</f>
        <v/>
      </c>
      <c r="F987" s="19">
        <f>$AT$1018</f>
        <v/>
      </c>
    </row>
    <row r="988">
      <c r="D988" s="19">
        <f>IF(ABS(IF(ABS($E$922)&gt;0.000000001,$E$922,0.000000001))=0,0,IF($E$42&lt;=$B$27,0,IF(ABS(IF(ABS($E$922)&gt;0.000000001,$E$922,0.000000001))&gt;=8*$B$29,$H$42,0.5*$H$42*(ABS(IF(ABS($E$922)&gt;0.000000001,$E$922,0.000000001))/$B$29)^(1/3)))/ABS(IF(ABS($E$922)&gt;0.000000001,$E$922,0.000000001))*$I$42)</f>
        <v/>
      </c>
      <c r="E988" s="19">
        <f>0.5*$E$922+0.5*$AT$1019</f>
        <v/>
      </c>
      <c r="F988" s="19">
        <f>$AT$1020</f>
        <v/>
      </c>
    </row>
    <row r="989">
      <c r="D989" s="19">
        <f>IF(ABS(IF(ABS($E$923)&gt;0.000000001,$E$923,0.000000001))=0,0,IF($E$43&lt;=$B$27,0,IF(ABS(IF(ABS($E$923)&gt;0.000000001,$E$923,0.000000001))&gt;=8*$B$29,$H$43,0.5*$H$43*(ABS(IF(ABS($E$923)&gt;0.000000001,$E$923,0.000000001))/$B$29)^(1/3)))/ABS(IF(ABS($E$923)&gt;0.000000001,$E$923,0.000000001))*$I$43)</f>
        <v/>
      </c>
      <c r="E989" s="19">
        <f>0.5*$E$923+0.5*$AT$1021</f>
        <v/>
      </c>
      <c r="F989" s="19">
        <f>$AT$1022</f>
        <v/>
      </c>
    </row>
    <row r="990">
      <c r="D990" s="19">
        <f>IF(ABS(IF(ABS($E$924)&gt;0.000000001,$E$924,0.000000001))=0,0,IF($E$44&lt;=$B$27,0,IF(ABS(IF(ABS($E$924)&gt;0.000000001,$E$924,0.000000001))&gt;=8*$B$29,$H$44,0.5*$H$44*(ABS(IF(ABS($E$924)&gt;0.000000001,$E$924,0.000000001))/$B$29)^(1/3)))/ABS(IF(ABS($E$924)&gt;0.000000001,$E$924,0.000000001))*$I$44)</f>
        <v/>
      </c>
      <c r="E990" s="19">
        <f>0.5*$E$924+0.5*$AT$1023</f>
        <v/>
      </c>
      <c r="F990" s="19">
        <f>$AT$1024</f>
        <v/>
      </c>
    </row>
    <row r="991">
      <c r="D991" s="19">
        <f>IF(ABS(IF(ABS($E$925)&gt;0.000000001,$E$925,0.000000001))=0,0,IF($E$45&lt;=$B$27,0,IF(ABS(IF(ABS($E$925)&gt;0.000000001,$E$925,0.000000001))&gt;=8*$B$29,$H$45,0.5*$H$45*(ABS(IF(ABS($E$925)&gt;0.000000001,$E$925,0.000000001))/$B$29)^(1/3)))/ABS(IF(ABS($E$925)&gt;0.000000001,$E$925,0.000000001))*$I$45)</f>
        <v/>
      </c>
      <c r="E991" s="19">
        <f>0.5*$E$925+0.5*$AT$1025</f>
        <v/>
      </c>
      <c r="F991" s="19">
        <f>$AT$1026</f>
        <v/>
      </c>
    </row>
    <row r="992">
      <c r="D992" s="19">
        <f>IF(ABS(IF(ABS($E$926)&gt;0.000000001,$E$926,0.000000001))=0,0,IF($E$46&lt;=$B$27,0,IF(ABS(IF(ABS($E$926)&gt;0.000000001,$E$926,0.000000001))&gt;=8*$B$29,$H$46,0.5*$H$46*(ABS(IF(ABS($E$926)&gt;0.000000001,$E$926,0.000000001))/$B$29)^(1/3)))/ABS(IF(ABS($E$926)&gt;0.000000001,$E$926,0.000000001))*$I$46)</f>
        <v/>
      </c>
      <c r="E992" s="19">
        <f>0.5*$E$926+0.5*$AT$1027</f>
        <v/>
      </c>
      <c r="F992" s="19">
        <f>$AT$1028</f>
        <v/>
      </c>
    </row>
    <row r="993">
      <c r="D993" s="19">
        <f>IF(ABS(IF(ABS($E$927)&gt;0.000000001,$E$927,0.000000001))=0,0,IF($E$47&lt;=$B$27,0,IF(ABS(IF(ABS($E$927)&gt;0.000000001,$E$927,0.000000001))&gt;=8*$B$29,$H$47,0.5*$H$47*(ABS(IF(ABS($E$927)&gt;0.000000001,$E$927,0.000000001))/$B$29)^(1/3)))/ABS(IF(ABS($E$927)&gt;0.000000001,$E$927,0.000000001))*$I$47)</f>
        <v/>
      </c>
      <c r="E993" s="19">
        <f>0.5*$E$927+0.5*$AT$1029</f>
        <v/>
      </c>
      <c r="F993" s="19">
        <f>$AT$1030</f>
        <v/>
      </c>
    </row>
    <row r="994">
      <c r="D994" s="19">
        <f>IF(ABS(IF(ABS($E$928)&gt;0.000000001,$E$928,0.000000001))=0,0,IF($E$48&lt;=$B$27,0,IF(ABS(IF(ABS($E$928)&gt;0.000000001,$E$928,0.000000001))&gt;=8*$B$29,$H$48,0.5*$H$48*(ABS(IF(ABS($E$928)&gt;0.000000001,$E$928,0.000000001))/$B$29)^(1/3)))/ABS(IF(ABS($E$928)&gt;0.000000001,$E$928,0.000000001))*$I$48)</f>
        <v/>
      </c>
      <c r="E994" s="19">
        <f>0.5*$E$928+0.5*$AT$1031</f>
        <v/>
      </c>
      <c r="F994" s="19">
        <f>$AT$1032</f>
        <v/>
      </c>
    </row>
    <row r="995">
      <c r="D995" s="19">
        <f>IF(ABS(IF(ABS($E$929)&gt;0.000000001,$E$929,0.000000001))=0,0,IF($E$49&lt;=$B$27,0,IF(ABS(IF(ABS($E$929)&gt;0.000000001,$E$929,0.000000001))&gt;=8*$B$29,$H$49,0.5*$H$49*(ABS(IF(ABS($E$929)&gt;0.000000001,$E$929,0.000000001))/$B$29)^(1/3)))/ABS(IF(ABS($E$929)&gt;0.000000001,$E$929,0.000000001))*$I$49)</f>
        <v/>
      </c>
      <c r="E995" s="19">
        <f>0.5*$E$929+0.5*$AT$1033</f>
        <v/>
      </c>
      <c r="F995" s="19">
        <f>$AT$1034</f>
        <v/>
      </c>
    </row>
    <row r="996">
      <c r="D996" s="19">
        <f>IF(ABS(IF(ABS($E$930)&gt;0.000000001,$E$930,0.000000001))=0,0,IF($E$50&lt;=$B$27,0,IF(ABS(IF(ABS($E$930)&gt;0.000000001,$E$930,0.000000001))&gt;=8*$B$29,$H$50,0.5*$H$50*(ABS(IF(ABS($E$930)&gt;0.000000001,$E$930,0.000000001))/$B$29)^(1/3)))/ABS(IF(ABS($E$930)&gt;0.000000001,$E$930,0.000000001))*$I$50)</f>
        <v/>
      </c>
      <c r="E996" s="19">
        <f>0.5*$E$930+0.5*$AT$1035</f>
        <v/>
      </c>
      <c r="F996" s="19">
        <f>$AT$1036</f>
        <v/>
      </c>
    </row>
    <row r="997">
      <c r="D997" s="19">
        <f>IF(ABS(IF(ABS($E$931)&gt;0.000000001,$E$931,0.000000001))=0,0,IF($E$51&lt;=$B$27,0,IF(ABS(IF(ABS($E$931)&gt;0.000000001,$E$931,0.000000001))&gt;=8*$B$29,$H$51,0.5*$H$51*(ABS(IF(ABS($E$931)&gt;0.000000001,$E$931,0.000000001))/$B$29)^(1/3)))/ABS(IF(ABS($E$931)&gt;0.000000001,$E$931,0.000000001))*$I$51)</f>
        <v/>
      </c>
      <c r="E997" s="19">
        <f>0.5*$E$931+0.5*$AT$1037</f>
        <v/>
      </c>
      <c r="F997" s="19">
        <f>$AT$1038</f>
        <v/>
      </c>
    </row>
    <row r="998">
      <c r="D998" s="19">
        <f>IF(ABS(IF(ABS($E$932)&gt;0.000000001,$E$932,0.000000001))=0,0,IF($E$52&lt;=$B$27,0,IF(ABS(IF(ABS($E$932)&gt;0.000000001,$E$932,0.000000001))&gt;=8*$B$29,$H$52,0.5*$H$52*(ABS(IF(ABS($E$932)&gt;0.000000001,$E$932,0.000000001))/$B$29)^(1/3)))/ABS(IF(ABS($E$932)&gt;0.000000001,$E$932,0.000000001))*$I$52)</f>
        <v/>
      </c>
      <c r="E998" s="19">
        <f>0.5*$E$932+0.5*$AT$1039</f>
        <v/>
      </c>
      <c r="F998" s="19">
        <f>$AT$1040</f>
        <v/>
      </c>
    </row>
    <row r="999">
      <c r="D999" s="19">
        <f>IF(ABS(IF(ABS($E$933)&gt;0.000000001,$E$933,0.000000001))=0,0,IF($E$53&lt;=$B$27,0,IF(ABS(IF(ABS($E$933)&gt;0.000000001,$E$933,0.000000001))&gt;=8*$B$29,$H$53,0.5*$H$53*(ABS(IF(ABS($E$933)&gt;0.000000001,$E$933,0.000000001))/$B$29)^(1/3)))/ABS(IF(ABS($E$933)&gt;0.000000001,$E$933,0.000000001))*$I$53)</f>
        <v/>
      </c>
      <c r="E999" s="19">
        <f>0.5*$E$933+0.5*$AT$1041</f>
        <v/>
      </c>
      <c r="F999" s="19">
        <f>$AT$1042</f>
        <v/>
      </c>
    </row>
    <row r="1001">
      <c r="D1001" s="21">
        <f>$B$18+$D$979</f>
        <v/>
      </c>
      <c r="E1001" s="21">
        <f>$B$19</f>
        <v/>
      </c>
      <c r="F1001" s="21">
        <f>-$B$18</f>
        <v/>
      </c>
      <c r="G1001" s="21">
        <f>$B$19</f>
        <v/>
      </c>
      <c r="H1001" s="21" t="n">
        <v>0</v>
      </c>
      <c r="I1001" s="21" t="n">
        <v>0</v>
      </c>
      <c r="J1001" s="21" t="n">
        <v>0</v>
      </c>
      <c r="K1001" s="21" t="n">
        <v>0</v>
      </c>
      <c r="L1001" s="21" t="n">
        <v>0</v>
      </c>
      <c r="M1001" s="21" t="n">
        <v>0</v>
      </c>
      <c r="N1001" s="21" t="n">
        <v>0</v>
      </c>
      <c r="O1001" s="21" t="n">
        <v>0</v>
      </c>
      <c r="P1001" s="21" t="n">
        <v>0</v>
      </c>
      <c r="Q1001" s="21" t="n">
        <v>0</v>
      </c>
      <c r="R1001" s="21" t="n">
        <v>0</v>
      </c>
      <c r="S1001" s="21" t="n">
        <v>0</v>
      </c>
      <c r="T1001" s="21" t="n">
        <v>0</v>
      </c>
      <c r="U1001" s="21" t="n">
        <v>0</v>
      </c>
      <c r="V1001" s="21" t="n">
        <v>0</v>
      </c>
      <c r="W1001" s="21" t="n">
        <v>0</v>
      </c>
      <c r="X1001" s="21" t="n">
        <v>0</v>
      </c>
      <c r="Y1001" s="21" t="n">
        <v>0</v>
      </c>
      <c r="Z1001" s="21" t="n">
        <v>0</v>
      </c>
      <c r="AA1001" s="21" t="n">
        <v>0</v>
      </c>
      <c r="AB1001" s="21" t="n">
        <v>0</v>
      </c>
      <c r="AC1001" s="21" t="n">
        <v>0</v>
      </c>
      <c r="AD1001" s="21" t="n">
        <v>0</v>
      </c>
      <c r="AE1001" s="21" t="n">
        <v>0</v>
      </c>
      <c r="AF1001" s="21" t="n">
        <v>0</v>
      </c>
      <c r="AG1001" s="21" t="n">
        <v>0</v>
      </c>
      <c r="AH1001" s="21" t="n">
        <v>0</v>
      </c>
      <c r="AI1001" s="21" t="n">
        <v>0</v>
      </c>
      <c r="AJ1001" s="21" t="n">
        <v>0</v>
      </c>
      <c r="AK1001" s="21" t="n">
        <v>0</v>
      </c>
      <c r="AL1001" s="21" t="n">
        <v>0</v>
      </c>
      <c r="AM1001" s="21" t="n">
        <v>0</v>
      </c>
      <c r="AN1001" s="21" t="n">
        <v>0</v>
      </c>
      <c r="AO1001" s="21" t="n">
        <v>0</v>
      </c>
      <c r="AP1001" s="21" t="n">
        <v>0</v>
      </c>
      <c r="AQ1001" s="21" t="n">
        <v>0</v>
      </c>
      <c r="AR1001" s="21" t="n">
        <v>0</v>
      </c>
      <c r="AS1001" s="21" t="n">
        <v>0</v>
      </c>
      <c r="AT1001" s="19">
        <f t="array" ref="AT1001:AT1042">MMULT(MINVERSE($D$1001:$AS$1042),$D$55:$D$96)</f>
        <v/>
      </c>
    </row>
    <row r="1002">
      <c r="D1002" s="21">
        <f>$B$19</f>
        <v/>
      </c>
      <c r="E1002" s="21">
        <f>$B$20</f>
        <v/>
      </c>
      <c r="F1002" s="21">
        <f>-$B$19</f>
        <v/>
      </c>
      <c r="G1002" s="21">
        <f>$B$21</f>
        <v/>
      </c>
      <c r="H1002" s="21" t="n">
        <v>0</v>
      </c>
      <c r="I1002" s="21" t="n">
        <v>0</v>
      </c>
      <c r="J1002" s="21" t="n">
        <v>0</v>
      </c>
      <c r="K1002" s="21" t="n">
        <v>0</v>
      </c>
      <c r="L1002" s="21" t="n">
        <v>0</v>
      </c>
      <c r="M1002" s="21" t="n">
        <v>0</v>
      </c>
      <c r="N1002" s="21" t="n">
        <v>0</v>
      </c>
      <c r="O1002" s="21" t="n">
        <v>0</v>
      </c>
      <c r="P1002" s="21" t="n">
        <v>0</v>
      </c>
      <c r="Q1002" s="21" t="n">
        <v>0</v>
      </c>
      <c r="R1002" s="21" t="n">
        <v>0</v>
      </c>
      <c r="S1002" s="21" t="n">
        <v>0</v>
      </c>
      <c r="T1002" s="21" t="n">
        <v>0</v>
      </c>
      <c r="U1002" s="21" t="n">
        <v>0</v>
      </c>
      <c r="V1002" s="21" t="n">
        <v>0</v>
      </c>
      <c r="W1002" s="21" t="n">
        <v>0</v>
      </c>
      <c r="X1002" s="21" t="n">
        <v>0</v>
      </c>
      <c r="Y1002" s="21" t="n">
        <v>0</v>
      </c>
      <c r="Z1002" s="21" t="n">
        <v>0</v>
      </c>
      <c r="AA1002" s="21" t="n">
        <v>0</v>
      </c>
      <c r="AB1002" s="21" t="n">
        <v>0</v>
      </c>
      <c r="AC1002" s="21" t="n">
        <v>0</v>
      </c>
      <c r="AD1002" s="21" t="n">
        <v>0</v>
      </c>
      <c r="AE1002" s="21" t="n">
        <v>0</v>
      </c>
      <c r="AF1002" s="21" t="n">
        <v>0</v>
      </c>
      <c r="AG1002" s="21" t="n">
        <v>0</v>
      </c>
      <c r="AH1002" s="21" t="n">
        <v>0</v>
      </c>
      <c r="AI1002" s="21" t="n">
        <v>0</v>
      </c>
      <c r="AJ1002" s="21" t="n">
        <v>0</v>
      </c>
      <c r="AK1002" s="21" t="n">
        <v>0</v>
      </c>
      <c r="AL1002" s="21" t="n">
        <v>0</v>
      </c>
      <c r="AM1002" s="21" t="n">
        <v>0</v>
      </c>
      <c r="AN1002" s="21" t="n">
        <v>0</v>
      </c>
      <c r="AO1002" s="21" t="n">
        <v>0</v>
      </c>
      <c r="AP1002" s="21" t="n">
        <v>0</v>
      </c>
      <c r="AQ1002" s="21" t="n">
        <v>0</v>
      </c>
      <c r="AR1002" s="21" t="n">
        <v>0</v>
      </c>
      <c r="AS1002" s="21" t="n">
        <v>0</v>
      </c>
      <c r="AT1002" s="19" t="n"/>
    </row>
    <row r="1003">
      <c r="D1003" s="21">
        <f>-$B$18</f>
        <v/>
      </c>
      <c r="E1003" s="21">
        <f>-$B$19</f>
        <v/>
      </c>
      <c r="F1003" s="21">
        <f>2*$B$18+$D$980</f>
        <v/>
      </c>
      <c r="G1003" s="21">
        <f>0</f>
        <v/>
      </c>
      <c r="H1003" s="21">
        <f>-$B$18</f>
        <v/>
      </c>
      <c r="I1003" s="21">
        <f>$B$19</f>
        <v/>
      </c>
      <c r="J1003" s="21" t="n">
        <v>0</v>
      </c>
      <c r="K1003" s="21" t="n">
        <v>0</v>
      </c>
      <c r="L1003" s="21" t="n">
        <v>0</v>
      </c>
      <c r="M1003" s="21" t="n">
        <v>0</v>
      </c>
      <c r="N1003" s="21" t="n">
        <v>0</v>
      </c>
      <c r="O1003" s="21" t="n">
        <v>0</v>
      </c>
      <c r="P1003" s="21" t="n">
        <v>0</v>
      </c>
      <c r="Q1003" s="21" t="n">
        <v>0</v>
      </c>
      <c r="R1003" s="21" t="n">
        <v>0</v>
      </c>
      <c r="S1003" s="21" t="n">
        <v>0</v>
      </c>
      <c r="T1003" s="21" t="n">
        <v>0</v>
      </c>
      <c r="U1003" s="21" t="n">
        <v>0</v>
      </c>
      <c r="V1003" s="21" t="n">
        <v>0</v>
      </c>
      <c r="W1003" s="21" t="n">
        <v>0</v>
      </c>
      <c r="X1003" s="21" t="n">
        <v>0</v>
      </c>
      <c r="Y1003" s="21" t="n">
        <v>0</v>
      </c>
      <c r="Z1003" s="21" t="n">
        <v>0</v>
      </c>
      <c r="AA1003" s="21" t="n">
        <v>0</v>
      </c>
      <c r="AB1003" s="21" t="n">
        <v>0</v>
      </c>
      <c r="AC1003" s="21" t="n">
        <v>0</v>
      </c>
      <c r="AD1003" s="21" t="n">
        <v>0</v>
      </c>
      <c r="AE1003" s="21" t="n">
        <v>0</v>
      </c>
      <c r="AF1003" s="21" t="n">
        <v>0</v>
      </c>
      <c r="AG1003" s="21" t="n">
        <v>0</v>
      </c>
      <c r="AH1003" s="21" t="n">
        <v>0</v>
      </c>
      <c r="AI1003" s="21" t="n">
        <v>0</v>
      </c>
      <c r="AJ1003" s="21" t="n">
        <v>0</v>
      </c>
      <c r="AK1003" s="21" t="n">
        <v>0</v>
      </c>
      <c r="AL1003" s="21" t="n">
        <v>0</v>
      </c>
      <c r="AM1003" s="21" t="n">
        <v>0</v>
      </c>
      <c r="AN1003" s="21" t="n">
        <v>0</v>
      </c>
      <c r="AO1003" s="21" t="n">
        <v>0</v>
      </c>
      <c r="AP1003" s="21" t="n">
        <v>0</v>
      </c>
      <c r="AQ1003" s="21" t="n">
        <v>0</v>
      </c>
      <c r="AR1003" s="21" t="n">
        <v>0</v>
      </c>
      <c r="AS1003" s="21" t="n">
        <v>0</v>
      </c>
      <c r="AT1003" s="19" t="n"/>
    </row>
    <row r="1004">
      <c r="D1004" s="21">
        <f>$B$19</f>
        <v/>
      </c>
      <c r="E1004" s="21">
        <f>$B$21</f>
        <v/>
      </c>
      <c r="F1004" s="21">
        <f>0</f>
        <v/>
      </c>
      <c r="G1004" s="21">
        <f>2*$B$20</f>
        <v/>
      </c>
      <c r="H1004" s="21">
        <f>-$B$19</f>
        <v/>
      </c>
      <c r="I1004" s="21">
        <f>$B$21</f>
        <v/>
      </c>
      <c r="J1004" s="21" t="n">
        <v>0</v>
      </c>
      <c r="K1004" s="21" t="n">
        <v>0</v>
      </c>
      <c r="L1004" s="21" t="n">
        <v>0</v>
      </c>
      <c r="M1004" s="21" t="n">
        <v>0</v>
      </c>
      <c r="N1004" s="21" t="n">
        <v>0</v>
      </c>
      <c r="O1004" s="21" t="n">
        <v>0</v>
      </c>
      <c r="P1004" s="21" t="n">
        <v>0</v>
      </c>
      <c r="Q1004" s="21" t="n">
        <v>0</v>
      </c>
      <c r="R1004" s="21" t="n">
        <v>0</v>
      </c>
      <c r="S1004" s="21" t="n">
        <v>0</v>
      </c>
      <c r="T1004" s="21" t="n">
        <v>0</v>
      </c>
      <c r="U1004" s="21" t="n">
        <v>0</v>
      </c>
      <c r="V1004" s="21" t="n">
        <v>0</v>
      </c>
      <c r="W1004" s="21" t="n">
        <v>0</v>
      </c>
      <c r="X1004" s="21" t="n">
        <v>0</v>
      </c>
      <c r="Y1004" s="21" t="n">
        <v>0</v>
      </c>
      <c r="Z1004" s="21" t="n">
        <v>0</v>
      </c>
      <c r="AA1004" s="21" t="n">
        <v>0</v>
      </c>
      <c r="AB1004" s="21" t="n">
        <v>0</v>
      </c>
      <c r="AC1004" s="21" t="n">
        <v>0</v>
      </c>
      <c r="AD1004" s="21" t="n">
        <v>0</v>
      </c>
      <c r="AE1004" s="21" t="n">
        <v>0</v>
      </c>
      <c r="AF1004" s="21" t="n">
        <v>0</v>
      </c>
      <c r="AG1004" s="21" t="n">
        <v>0</v>
      </c>
      <c r="AH1004" s="21" t="n">
        <v>0</v>
      </c>
      <c r="AI1004" s="21" t="n">
        <v>0</v>
      </c>
      <c r="AJ1004" s="21" t="n">
        <v>0</v>
      </c>
      <c r="AK1004" s="21" t="n">
        <v>0</v>
      </c>
      <c r="AL1004" s="21" t="n">
        <v>0</v>
      </c>
      <c r="AM1004" s="21" t="n">
        <v>0</v>
      </c>
      <c r="AN1004" s="21" t="n">
        <v>0</v>
      </c>
      <c r="AO1004" s="21" t="n">
        <v>0</v>
      </c>
      <c r="AP1004" s="21" t="n">
        <v>0</v>
      </c>
      <c r="AQ1004" s="21" t="n">
        <v>0</v>
      </c>
      <c r="AR1004" s="21" t="n">
        <v>0</v>
      </c>
      <c r="AS1004" s="21" t="n">
        <v>0</v>
      </c>
      <c r="AT1004" s="19" t="n"/>
    </row>
    <row r="1005">
      <c r="D1005" s="21" t="n">
        <v>0</v>
      </c>
      <c r="E1005" s="21" t="n">
        <v>0</v>
      </c>
      <c r="F1005" s="21">
        <f>-$B$18</f>
        <v/>
      </c>
      <c r="G1005" s="21">
        <f>-$B$19</f>
        <v/>
      </c>
      <c r="H1005" s="21">
        <f>2*$B$18+$D$981</f>
        <v/>
      </c>
      <c r="I1005" s="21">
        <f>0</f>
        <v/>
      </c>
      <c r="J1005" s="21">
        <f>-$B$18</f>
        <v/>
      </c>
      <c r="K1005" s="21">
        <f>$B$19</f>
        <v/>
      </c>
      <c r="L1005" s="21" t="n">
        <v>0</v>
      </c>
      <c r="M1005" s="21" t="n">
        <v>0</v>
      </c>
      <c r="N1005" s="21" t="n">
        <v>0</v>
      </c>
      <c r="O1005" s="21" t="n">
        <v>0</v>
      </c>
      <c r="P1005" s="21" t="n">
        <v>0</v>
      </c>
      <c r="Q1005" s="21" t="n">
        <v>0</v>
      </c>
      <c r="R1005" s="21" t="n">
        <v>0</v>
      </c>
      <c r="S1005" s="21" t="n">
        <v>0</v>
      </c>
      <c r="T1005" s="21" t="n">
        <v>0</v>
      </c>
      <c r="U1005" s="21" t="n">
        <v>0</v>
      </c>
      <c r="V1005" s="21" t="n">
        <v>0</v>
      </c>
      <c r="W1005" s="21" t="n">
        <v>0</v>
      </c>
      <c r="X1005" s="21" t="n">
        <v>0</v>
      </c>
      <c r="Y1005" s="21" t="n">
        <v>0</v>
      </c>
      <c r="Z1005" s="21" t="n">
        <v>0</v>
      </c>
      <c r="AA1005" s="21" t="n">
        <v>0</v>
      </c>
      <c r="AB1005" s="21" t="n">
        <v>0</v>
      </c>
      <c r="AC1005" s="21" t="n">
        <v>0</v>
      </c>
      <c r="AD1005" s="21" t="n">
        <v>0</v>
      </c>
      <c r="AE1005" s="21" t="n">
        <v>0</v>
      </c>
      <c r="AF1005" s="21" t="n">
        <v>0</v>
      </c>
      <c r="AG1005" s="21" t="n">
        <v>0</v>
      </c>
      <c r="AH1005" s="21" t="n">
        <v>0</v>
      </c>
      <c r="AI1005" s="21" t="n">
        <v>0</v>
      </c>
      <c r="AJ1005" s="21" t="n">
        <v>0</v>
      </c>
      <c r="AK1005" s="21" t="n">
        <v>0</v>
      </c>
      <c r="AL1005" s="21" t="n">
        <v>0</v>
      </c>
      <c r="AM1005" s="21" t="n">
        <v>0</v>
      </c>
      <c r="AN1005" s="21" t="n">
        <v>0</v>
      </c>
      <c r="AO1005" s="21" t="n">
        <v>0</v>
      </c>
      <c r="AP1005" s="21" t="n">
        <v>0</v>
      </c>
      <c r="AQ1005" s="21" t="n">
        <v>0</v>
      </c>
      <c r="AR1005" s="21" t="n">
        <v>0</v>
      </c>
      <c r="AS1005" s="21" t="n">
        <v>0</v>
      </c>
      <c r="AT1005" s="19" t="n"/>
    </row>
    <row r="1006">
      <c r="D1006" s="21" t="n">
        <v>0</v>
      </c>
      <c r="E1006" s="21" t="n">
        <v>0</v>
      </c>
      <c r="F1006" s="21">
        <f>$B$19</f>
        <v/>
      </c>
      <c r="G1006" s="21">
        <f>$B$21</f>
        <v/>
      </c>
      <c r="H1006" s="21">
        <f>0</f>
        <v/>
      </c>
      <c r="I1006" s="21">
        <f>2*$B$20</f>
        <v/>
      </c>
      <c r="J1006" s="21">
        <f>-$B$19</f>
        <v/>
      </c>
      <c r="K1006" s="21">
        <f>$B$21</f>
        <v/>
      </c>
      <c r="L1006" s="21" t="n">
        <v>0</v>
      </c>
      <c r="M1006" s="21" t="n">
        <v>0</v>
      </c>
      <c r="N1006" s="21" t="n">
        <v>0</v>
      </c>
      <c r="O1006" s="21" t="n">
        <v>0</v>
      </c>
      <c r="P1006" s="21" t="n">
        <v>0</v>
      </c>
      <c r="Q1006" s="21" t="n">
        <v>0</v>
      </c>
      <c r="R1006" s="21" t="n">
        <v>0</v>
      </c>
      <c r="S1006" s="21" t="n">
        <v>0</v>
      </c>
      <c r="T1006" s="21" t="n">
        <v>0</v>
      </c>
      <c r="U1006" s="21" t="n">
        <v>0</v>
      </c>
      <c r="V1006" s="21" t="n">
        <v>0</v>
      </c>
      <c r="W1006" s="21" t="n">
        <v>0</v>
      </c>
      <c r="X1006" s="21" t="n">
        <v>0</v>
      </c>
      <c r="Y1006" s="21" t="n">
        <v>0</v>
      </c>
      <c r="Z1006" s="21" t="n">
        <v>0</v>
      </c>
      <c r="AA1006" s="21" t="n">
        <v>0</v>
      </c>
      <c r="AB1006" s="21" t="n">
        <v>0</v>
      </c>
      <c r="AC1006" s="21" t="n">
        <v>0</v>
      </c>
      <c r="AD1006" s="21" t="n">
        <v>0</v>
      </c>
      <c r="AE1006" s="21" t="n">
        <v>0</v>
      </c>
      <c r="AF1006" s="21" t="n">
        <v>0</v>
      </c>
      <c r="AG1006" s="21" t="n">
        <v>0</v>
      </c>
      <c r="AH1006" s="21" t="n">
        <v>0</v>
      </c>
      <c r="AI1006" s="21" t="n">
        <v>0</v>
      </c>
      <c r="AJ1006" s="21" t="n">
        <v>0</v>
      </c>
      <c r="AK1006" s="21" t="n">
        <v>0</v>
      </c>
      <c r="AL1006" s="21" t="n">
        <v>0</v>
      </c>
      <c r="AM1006" s="21" t="n">
        <v>0</v>
      </c>
      <c r="AN1006" s="21" t="n">
        <v>0</v>
      </c>
      <c r="AO1006" s="21" t="n">
        <v>0</v>
      </c>
      <c r="AP1006" s="21" t="n">
        <v>0</v>
      </c>
      <c r="AQ1006" s="21" t="n">
        <v>0</v>
      </c>
      <c r="AR1006" s="21" t="n">
        <v>0</v>
      </c>
      <c r="AS1006" s="21" t="n">
        <v>0</v>
      </c>
      <c r="AT1006" s="19" t="n"/>
    </row>
    <row r="1007">
      <c r="D1007" s="21" t="n">
        <v>0</v>
      </c>
      <c r="E1007" s="21" t="n">
        <v>0</v>
      </c>
      <c r="F1007" s="21" t="n">
        <v>0</v>
      </c>
      <c r="G1007" s="21" t="n">
        <v>0</v>
      </c>
      <c r="H1007" s="21">
        <f>-$B$18</f>
        <v/>
      </c>
      <c r="I1007" s="21">
        <f>-$B$19</f>
        <v/>
      </c>
      <c r="J1007" s="21">
        <f>2*$B$18+$D$982</f>
        <v/>
      </c>
      <c r="K1007" s="21">
        <f>0</f>
        <v/>
      </c>
      <c r="L1007" s="21">
        <f>-$B$18</f>
        <v/>
      </c>
      <c r="M1007" s="21">
        <f>$B$19</f>
        <v/>
      </c>
      <c r="N1007" s="21" t="n">
        <v>0</v>
      </c>
      <c r="O1007" s="21" t="n">
        <v>0</v>
      </c>
      <c r="P1007" s="21" t="n">
        <v>0</v>
      </c>
      <c r="Q1007" s="21" t="n">
        <v>0</v>
      </c>
      <c r="R1007" s="21" t="n">
        <v>0</v>
      </c>
      <c r="S1007" s="21" t="n">
        <v>0</v>
      </c>
      <c r="T1007" s="21" t="n">
        <v>0</v>
      </c>
      <c r="U1007" s="21" t="n">
        <v>0</v>
      </c>
      <c r="V1007" s="21" t="n">
        <v>0</v>
      </c>
      <c r="W1007" s="21" t="n">
        <v>0</v>
      </c>
      <c r="X1007" s="21" t="n">
        <v>0</v>
      </c>
      <c r="Y1007" s="21" t="n">
        <v>0</v>
      </c>
      <c r="Z1007" s="21" t="n">
        <v>0</v>
      </c>
      <c r="AA1007" s="21" t="n">
        <v>0</v>
      </c>
      <c r="AB1007" s="21" t="n">
        <v>0</v>
      </c>
      <c r="AC1007" s="21" t="n">
        <v>0</v>
      </c>
      <c r="AD1007" s="21" t="n">
        <v>0</v>
      </c>
      <c r="AE1007" s="21" t="n">
        <v>0</v>
      </c>
      <c r="AF1007" s="21" t="n">
        <v>0</v>
      </c>
      <c r="AG1007" s="21" t="n">
        <v>0</v>
      </c>
      <c r="AH1007" s="21" t="n">
        <v>0</v>
      </c>
      <c r="AI1007" s="21" t="n">
        <v>0</v>
      </c>
      <c r="AJ1007" s="21" t="n">
        <v>0</v>
      </c>
      <c r="AK1007" s="21" t="n">
        <v>0</v>
      </c>
      <c r="AL1007" s="21" t="n">
        <v>0</v>
      </c>
      <c r="AM1007" s="21" t="n">
        <v>0</v>
      </c>
      <c r="AN1007" s="21" t="n">
        <v>0</v>
      </c>
      <c r="AO1007" s="21" t="n">
        <v>0</v>
      </c>
      <c r="AP1007" s="21" t="n">
        <v>0</v>
      </c>
      <c r="AQ1007" s="21" t="n">
        <v>0</v>
      </c>
      <c r="AR1007" s="21" t="n">
        <v>0</v>
      </c>
      <c r="AS1007" s="21" t="n">
        <v>0</v>
      </c>
      <c r="AT1007" s="19" t="n"/>
    </row>
    <row r="1008">
      <c r="D1008" s="21" t="n">
        <v>0</v>
      </c>
      <c r="E1008" s="21" t="n">
        <v>0</v>
      </c>
      <c r="F1008" s="21" t="n">
        <v>0</v>
      </c>
      <c r="G1008" s="21" t="n">
        <v>0</v>
      </c>
      <c r="H1008" s="21">
        <f>$B$19</f>
        <v/>
      </c>
      <c r="I1008" s="21">
        <f>$B$21</f>
        <v/>
      </c>
      <c r="J1008" s="21">
        <f>0</f>
        <v/>
      </c>
      <c r="K1008" s="21">
        <f>2*$B$20</f>
        <v/>
      </c>
      <c r="L1008" s="21">
        <f>-$B$19</f>
        <v/>
      </c>
      <c r="M1008" s="21">
        <f>$B$21</f>
        <v/>
      </c>
      <c r="N1008" s="21" t="n">
        <v>0</v>
      </c>
      <c r="O1008" s="21" t="n">
        <v>0</v>
      </c>
      <c r="P1008" s="21" t="n">
        <v>0</v>
      </c>
      <c r="Q1008" s="21" t="n">
        <v>0</v>
      </c>
      <c r="R1008" s="21" t="n">
        <v>0</v>
      </c>
      <c r="S1008" s="21" t="n">
        <v>0</v>
      </c>
      <c r="T1008" s="21" t="n">
        <v>0</v>
      </c>
      <c r="U1008" s="21" t="n">
        <v>0</v>
      </c>
      <c r="V1008" s="21" t="n">
        <v>0</v>
      </c>
      <c r="W1008" s="21" t="n">
        <v>0</v>
      </c>
      <c r="X1008" s="21" t="n">
        <v>0</v>
      </c>
      <c r="Y1008" s="21" t="n">
        <v>0</v>
      </c>
      <c r="Z1008" s="21" t="n">
        <v>0</v>
      </c>
      <c r="AA1008" s="21" t="n">
        <v>0</v>
      </c>
      <c r="AB1008" s="21" t="n">
        <v>0</v>
      </c>
      <c r="AC1008" s="21" t="n">
        <v>0</v>
      </c>
      <c r="AD1008" s="21" t="n">
        <v>0</v>
      </c>
      <c r="AE1008" s="21" t="n">
        <v>0</v>
      </c>
      <c r="AF1008" s="21" t="n">
        <v>0</v>
      </c>
      <c r="AG1008" s="21" t="n">
        <v>0</v>
      </c>
      <c r="AH1008" s="21" t="n">
        <v>0</v>
      </c>
      <c r="AI1008" s="21" t="n">
        <v>0</v>
      </c>
      <c r="AJ1008" s="21" t="n">
        <v>0</v>
      </c>
      <c r="AK1008" s="21" t="n">
        <v>0</v>
      </c>
      <c r="AL1008" s="21" t="n">
        <v>0</v>
      </c>
      <c r="AM1008" s="21" t="n">
        <v>0</v>
      </c>
      <c r="AN1008" s="21" t="n">
        <v>0</v>
      </c>
      <c r="AO1008" s="21" t="n">
        <v>0</v>
      </c>
      <c r="AP1008" s="21" t="n">
        <v>0</v>
      </c>
      <c r="AQ1008" s="21" t="n">
        <v>0</v>
      </c>
      <c r="AR1008" s="21" t="n">
        <v>0</v>
      </c>
      <c r="AS1008" s="21" t="n">
        <v>0</v>
      </c>
      <c r="AT1008" s="19" t="n"/>
    </row>
    <row r="1009">
      <c r="D1009" s="21" t="n">
        <v>0</v>
      </c>
      <c r="E1009" s="21" t="n">
        <v>0</v>
      </c>
      <c r="F1009" s="21" t="n">
        <v>0</v>
      </c>
      <c r="G1009" s="21" t="n">
        <v>0</v>
      </c>
      <c r="H1009" s="21" t="n">
        <v>0</v>
      </c>
      <c r="I1009" s="21" t="n">
        <v>0</v>
      </c>
      <c r="J1009" s="21">
        <f>-$B$18</f>
        <v/>
      </c>
      <c r="K1009" s="21">
        <f>-$B$19</f>
        <v/>
      </c>
      <c r="L1009" s="21">
        <f>2*$B$18+$D$983</f>
        <v/>
      </c>
      <c r="M1009" s="21">
        <f>0</f>
        <v/>
      </c>
      <c r="N1009" s="21">
        <f>-$B$18</f>
        <v/>
      </c>
      <c r="O1009" s="21">
        <f>$B$19</f>
        <v/>
      </c>
      <c r="P1009" s="21" t="n">
        <v>0</v>
      </c>
      <c r="Q1009" s="21" t="n">
        <v>0</v>
      </c>
      <c r="R1009" s="21" t="n">
        <v>0</v>
      </c>
      <c r="S1009" s="21" t="n">
        <v>0</v>
      </c>
      <c r="T1009" s="21" t="n">
        <v>0</v>
      </c>
      <c r="U1009" s="21" t="n">
        <v>0</v>
      </c>
      <c r="V1009" s="21" t="n">
        <v>0</v>
      </c>
      <c r="W1009" s="21" t="n">
        <v>0</v>
      </c>
      <c r="X1009" s="21" t="n">
        <v>0</v>
      </c>
      <c r="Y1009" s="21" t="n">
        <v>0</v>
      </c>
      <c r="Z1009" s="21" t="n">
        <v>0</v>
      </c>
      <c r="AA1009" s="21" t="n">
        <v>0</v>
      </c>
      <c r="AB1009" s="21" t="n">
        <v>0</v>
      </c>
      <c r="AC1009" s="21" t="n">
        <v>0</v>
      </c>
      <c r="AD1009" s="21" t="n">
        <v>0</v>
      </c>
      <c r="AE1009" s="21" t="n">
        <v>0</v>
      </c>
      <c r="AF1009" s="21" t="n">
        <v>0</v>
      </c>
      <c r="AG1009" s="21" t="n">
        <v>0</v>
      </c>
      <c r="AH1009" s="21" t="n">
        <v>0</v>
      </c>
      <c r="AI1009" s="21" t="n">
        <v>0</v>
      </c>
      <c r="AJ1009" s="21" t="n">
        <v>0</v>
      </c>
      <c r="AK1009" s="21" t="n">
        <v>0</v>
      </c>
      <c r="AL1009" s="21" t="n">
        <v>0</v>
      </c>
      <c r="AM1009" s="21" t="n">
        <v>0</v>
      </c>
      <c r="AN1009" s="21" t="n">
        <v>0</v>
      </c>
      <c r="AO1009" s="21" t="n">
        <v>0</v>
      </c>
      <c r="AP1009" s="21" t="n">
        <v>0</v>
      </c>
      <c r="AQ1009" s="21" t="n">
        <v>0</v>
      </c>
      <c r="AR1009" s="21" t="n">
        <v>0</v>
      </c>
      <c r="AS1009" s="21" t="n">
        <v>0</v>
      </c>
      <c r="AT1009" s="19" t="n"/>
    </row>
    <row r="1010">
      <c r="D1010" s="21" t="n">
        <v>0</v>
      </c>
      <c r="E1010" s="21" t="n">
        <v>0</v>
      </c>
      <c r="F1010" s="21" t="n">
        <v>0</v>
      </c>
      <c r="G1010" s="21" t="n">
        <v>0</v>
      </c>
      <c r="H1010" s="21" t="n">
        <v>0</v>
      </c>
      <c r="I1010" s="21" t="n">
        <v>0</v>
      </c>
      <c r="J1010" s="21">
        <f>$B$19</f>
        <v/>
      </c>
      <c r="K1010" s="21">
        <f>$B$21</f>
        <v/>
      </c>
      <c r="L1010" s="21">
        <f>0</f>
        <v/>
      </c>
      <c r="M1010" s="21">
        <f>2*$B$20</f>
        <v/>
      </c>
      <c r="N1010" s="21">
        <f>-$B$19</f>
        <v/>
      </c>
      <c r="O1010" s="21">
        <f>$B$21</f>
        <v/>
      </c>
      <c r="P1010" s="21" t="n">
        <v>0</v>
      </c>
      <c r="Q1010" s="21" t="n">
        <v>0</v>
      </c>
      <c r="R1010" s="21" t="n">
        <v>0</v>
      </c>
      <c r="S1010" s="21" t="n">
        <v>0</v>
      </c>
      <c r="T1010" s="21" t="n">
        <v>0</v>
      </c>
      <c r="U1010" s="21" t="n">
        <v>0</v>
      </c>
      <c r="V1010" s="21" t="n">
        <v>0</v>
      </c>
      <c r="W1010" s="21" t="n">
        <v>0</v>
      </c>
      <c r="X1010" s="21" t="n">
        <v>0</v>
      </c>
      <c r="Y1010" s="21" t="n">
        <v>0</v>
      </c>
      <c r="Z1010" s="21" t="n">
        <v>0</v>
      </c>
      <c r="AA1010" s="21" t="n">
        <v>0</v>
      </c>
      <c r="AB1010" s="21" t="n">
        <v>0</v>
      </c>
      <c r="AC1010" s="21" t="n">
        <v>0</v>
      </c>
      <c r="AD1010" s="21" t="n">
        <v>0</v>
      </c>
      <c r="AE1010" s="21" t="n">
        <v>0</v>
      </c>
      <c r="AF1010" s="21" t="n">
        <v>0</v>
      </c>
      <c r="AG1010" s="21" t="n">
        <v>0</v>
      </c>
      <c r="AH1010" s="21" t="n">
        <v>0</v>
      </c>
      <c r="AI1010" s="21" t="n">
        <v>0</v>
      </c>
      <c r="AJ1010" s="21" t="n">
        <v>0</v>
      </c>
      <c r="AK1010" s="21" t="n">
        <v>0</v>
      </c>
      <c r="AL1010" s="21" t="n">
        <v>0</v>
      </c>
      <c r="AM1010" s="21" t="n">
        <v>0</v>
      </c>
      <c r="AN1010" s="21" t="n">
        <v>0</v>
      </c>
      <c r="AO1010" s="21" t="n">
        <v>0</v>
      </c>
      <c r="AP1010" s="21" t="n">
        <v>0</v>
      </c>
      <c r="AQ1010" s="21" t="n">
        <v>0</v>
      </c>
      <c r="AR1010" s="21" t="n">
        <v>0</v>
      </c>
      <c r="AS1010" s="21" t="n">
        <v>0</v>
      </c>
      <c r="AT1010" s="19" t="n"/>
    </row>
    <row r="1011">
      <c r="D1011" s="21" t="n">
        <v>0</v>
      </c>
      <c r="E1011" s="21" t="n">
        <v>0</v>
      </c>
      <c r="F1011" s="21" t="n">
        <v>0</v>
      </c>
      <c r="G1011" s="21" t="n">
        <v>0</v>
      </c>
      <c r="H1011" s="21" t="n">
        <v>0</v>
      </c>
      <c r="I1011" s="21" t="n">
        <v>0</v>
      </c>
      <c r="J1011" s="21" t="n">
        <v>0</v>
      </c>
      <c r="K1011" s="21" t="n">
        <v>0</v>
      </c>
      <c r="L1011" s="21">
        <f>-$B$18</f>
        <v/>
      </c>
      <c r="M1011" s="21">
        <f>-$B$19</f>
        <v/>
      </c>
      <c r="N1011" s="21">
        <f>2*$B$18+$D$984</f>
        <v/>
      </c>
      <c r="O1011" s="21">
        <f>0</f>
        <v/>
      </c>
      <c r="P1011" s="21">
        <f>-$B$18</f>
        <v/>
      </c>
      <c r="Q1011" s="21">
        <f>$B$19</f>
        <v/>
      </c>
      <c r="R1011" s="21" t="n">
        <v>0</v>
      </c>
      <c r="S1011" s="21" t="n">
        <v>0</v>
      </c>
      <c r="T1011" s="21" t="n">
        <v>0</v>
      </c>
      <c r="U1011" s="21" t="n">
        <v>0</v>
      </c>
      <c r="V1011" s="21" t="n">
        <v>0</v>
      </c>
      <c r="W1011" s="21" t="n">
        <v>0</v>
      </c>
      <c r="X1011" s="21" t="n">
        <v>0</v>
      </c>
      <c r="Y1011" s="21" t="n">
        <v>0</v>
      </c>
      <c r="Z1011" s="21" t="n">
        <v>0</v>
      </c>
      <c r="AA1011" s="21" t="n">
        <v>0</v>
      </c>
      <c r="AB1011" s="21" t="n">
        <v>0</v>
      </c>
      <c r="AC1011" s="21" t="n">
        <v>0</v>
      </c>
      <c r="AD1011" s="21" t="n">
        <v>0</v>
      </c>
      <c r="AE1011" s="21" t="n">
        <v>0</v>
      </c>
      <c r="AF1011" s="21" t="n">
        <v>0</v>
      </c>
      <c r="AG1011" s="21" t="n">
        <v>0</v>
      </c>
      <c r="AH1011" s="21" t="n">
        <v>0</v>
      </c>
      <c r="AI1011" s="21" t="n">
        <v>0</v>
      </c>
      <c r="AJ1011" s="21" t="n">
        <v>0</v>
      </c>
      <c r="AK1011" s="21" t="n">
        <v>0</v>
      </c>
      <c r="AL1011" s="21" t="n">
        <v>0</v>
      </c>
      <c r="AM1011" s="21" t="n">
        <v>0</v>
      </c>
      <c r="AN1011" s="21" t="n">
        <v>0</v>
      </c>
      <c r="AO1011" s="21" t="n">
        <v>0</v>
      </c>
      <c r="AP1011" s="21" t="n">
        <v>0</v>
      </c>
      <c r="AQ1011" s="21" t="n">
        <v>0</v>
      </c>
      <c r="AR1011" s="21" t="n">
        <v>0</v>
      </c>
      <c r="AS1011" s="21" t="n">
        <v>0</v>
      </c>
      <c r="AT1011" s="19" t="n"/>
    </row>
    <row r="1012">
      <c r="D1012" s="21" t="n">
        <v>0</v>
      </c>
      <c r="E1012" s="21" t="n">
        <v>0</v>
      </c>
      <c r="F1012" s="21" t="n">
        <v>0</v>
      </c>
      <c r="G1012" s="21" t="n">
        <v>0</v>
      </c>
      <c r="H1012" s="21" t="n">
        <v>0</v>
      </c>
      <c r="I1012" s="21" t="n">
        <v>0</v>
      </c>
      <c r="J1012" s="21" t="n">
        <v>0</v>
      </c>
      <c r="K1012" s="21" t="n">
        <v>0</v>
      </c>
      <c r="L1012" s="21">
        <f>$B$19</f>
        <v/>
      </c>
      <c r="M1012" s="21">
        <f>$B$21</f>
        <v/>
      </c>
      <c r="N1012" s="21">
        <f>0</f>
        <v/>
      </c>
      <c r="O1012" s="21">
        <f>2*$B$20</f>
        <v/>
      </c>
      <c r="P1012" s="21">
        <f>-$B$19</f>
        <v/>
      </c>
      <c r="Q1012" s="21">
        <f>$B$21</f>
        <v/>
      </c>
      <c r="R1012" s="21" t="n">
        <v>0</v>
      </c>
      <c r="S1012" s="21" t="n">
        <v>0</v>
      </c>
      <c r="T1012" s="21" t="n">
        <v>0</v>
      </c>
      <c r="U1012" s="21" t="n">
        <v>0</v>
      </c>
      <c r="V1012" s="21" t="n">
        <v>0</v>
      </c>
      <c r="W1012" s="21" t="n">
        <v>0</v>
      </c>
      <c r="X1012" s="21" t="n">
        <v>0</v>
      </c>
      <c r="Y1012" s="21" t="n">
        <v>0</v>
      </c>
      <c r="Z1012" s="21" t="n">
        <v>0</v>
      </c>
      <c r="AA1012" s="21" t="n">
        <v>0</v>
      </c>
      <c r="AB1012" s="21" t="n">
        <v>0</v>
      </c>
      <c r="AC1012" s="21" t="n">
        <v>0</v>
      </c>
      <c r="AD1012" s="21" t="n">
        <v>0</v>
      </c>
      <c r="AE1012" s="21" t="n">
        <v>0</v>
      </c>
      <c r="AF1012" s="21" t="n">
        <v>0</v>
      </c>
      <c r="AG1012" s="21" t="n">
        <v>0</v>
      </c>
      <c r="AH1012" s="21" t="n">
        <v>0</v>
      </c>
      <c r="AI1012" s="21" t="n">
        <v>0</v>
      </c>
      <c r="AJ1012" s="21" t="n">
        <v>0</v>
      </c>
      <c r="AK1012" s="21" t="n">
        <v>0</v>
      </c>
      <c r="AL1012" s="21" t="n">
        <v>0</v>
      </c>
      <c r="AM1012" s="21" t="n">
        <v>0</v>
      </c>
      <c r="AN1012" s="21" t="n">
        <v>0</v>
      </c>
      <c r="AO1012" s="21" t="n">
        <v>0</v>
      </c>
      <c r="AP1012" s="21" t="n">
        <v>0</v>
      </c>
      <c r="AQ1012" s="21" t="n">
        <v>0</v>
      </c>
      <c r="AR1012" s="21" t="n">
        <v>0</v>
      </c>
      <c r="AS1012" s="21" t="n">
        <v>0</v>
      </c>
      <c r="AT1012" s="19" t="n"/>
    </row>
    <row r="1013">
      <c r="D1013" s="21" t="n">
        <v>0</v>
      </c>
      <c r="E1013" s="21" t="n">
        <v>0</v>
      </c>
      <c r="F1013" s="21" t="n">
        <v>0</v>
      </c>
      <c r="G1013" s="21" t="n">
        <v>0</v>
      </c>
      <c r="H1013" s="21" t="n">
        <v>0</v>
      </c>
      <c r="I1013" s="21" t="n">
        <v>0</v>
      </c>
      <c r="J1013" s="21" t="n">
        <v>0</v>
      </c>
      <c r="K1013" s="21" t="n">
        <v>0</v>
      </c>
      <c r="L1013" s="21" t="n">
        <v>0</v>
      </c>
      <c r="M1013" s="21" t="n">
        <v>0</v>
      </c>
      <c r="N1013" s="21">
        <f>-$B$18</f>
        <v/>
      </c>
      <c r="O1013" s="21">
        <f>-$B$19</f>
        <v/>
      </c>
      <c r="P1013" s="21">
        <f>2*$B$18+$D$985</f>
        <v/>
      </c>
      <c r="Q1013" s="21">
        <f>0</f>
        <v/>
      </c>
      <c r="R1013" s="21">
        <f>-$B$18</f>
        <v/>
      </c>
      <c r="S1013" s="21">
        <f>$B$19</f>
        <v/>
      </c>
      <c r="T1013" s="21" t="n">
        <v>0</v>
      </c>
      <c r="U1013" s="21" t="n">
        <v>0</v>
      </c>
      <c r="V1013" s="21" t="n">
        <v>0</v>
      </c>
      <c r="W1013" s="21" t="n">
        <v>0</v>
      </c>
      <c r="X1013" s="21" t="n">
        <v>0</v>
      </c>
      <c r="Y1013" s="21" t="n">
        <v>0</v>
      </c>
      <c r="Z1013" s="21" t="n">
        <v>0</v>
      </c>
      <c r="AA1013" s="21" t="n">
        <v>0</v>
      </c>
      <c r="AB1013" s="21" t="n">
        <v>0</v>
      </c>
      <c r="AC1013" s="21" t="n">
        <v>0</v>
      </c>
      <c r="AD1013" s="21" t="n">
        <v>0</v>
      </c>
      <c r="AE1013" s="21" t="n">
        <v>0</v>
      </c>
      <c r="AF1013" s="21" t="n">
        <v>0</v>
      </c>
      <c r="AG1013" s="21" t="n">
        <v>0</v>
      </c>
      <c r="AH1013" s="21" t="n">
        <v>0</v>
      </c>
      <c r="AI1013" s="21" t="n">
        <v>0</v>
      </c>
      <c r="AJ1013" s="21" t="n">
        <v>0</v>
      </c>
      <c r="AK1013" s="21" t="n">
        <v>0</v>
      </c>
      <c r="AL1013" s="21" t="n">
        <v>0</v>
      </c>
      <c r="AM1013" s="21" t="n">
        <v>0</v>
      </c>
      <c r="AN1013" s="21" t="n">
        <v>0</v>
      </c>
      <c r="AO1013" s="21" t="n">
        <v>0</v>
      </c>
      <c r="AP1013" s="21" t="n">
        <v>0</v>
      </c>
      <c r="AQ1013" s="21" t="n">
        <v>0</v>
      </c>
      <c r="AR1013" s="21" t="n">
        <v>0</v>
      </c>
      <c r="AS1013" s="21" t="n">
        <v>0</v>
      </c>
      <c r="AT1013" s="19" t="n"/>
    </row>
    <row r="1014">
      <c r="D1014" s="21" t="n">
        <v>0</v>
      </c>
      <c r="E1014" s="21" t="n">
        <v>0</v>
      </c>
      <c r="F1014" s="21" t="n">
        <v>0</v>
      </c>
      <c r="G1014" s="21" t="n">
        <v>0</v>
      </c>
      <c r="H1014" s="21" t="n">
        <v>0</v>
      </c>
      <c r="I1014" s="21" t="n">
        <v>0</v>
      </c>
      <c r="J1014" s="21" t="n">
        <v>0</v>
      </c>
      <c r="K1014" s="21" t="n">
        <v>0</v>
      </c>
      <c r="L1014" s="21" t="n">
        <v>0</v>
      </c>
      <c r="M1014" s="21" t="n">
        <v>0</v>
      </c>
      <c r="N1014" s="21">
        <f>$B$19</f>
        <v/>
      </c>
      <c r="O1014" s="21">
        <f>$B$21</f>
        <v/>
      </c>
      <c r="P1014" s="21">
        <f>0</f>
        <v/>
      </c>
      <c r="Q1014" s="21">
        <f>2*$B$20</f>
        <v/>
      </c>
      <c r="R1014" s="21">
        <f>-$B$19</f>
        <v/>
      </c>
      <c r="S1014" s="21">
        <f>$B$21</f>
        <v/>
      </c>
      <c r="T1014" s="21" t="n">
        <v>0</v>
      </c>
      <c r="U1014" s="21" t="n">
        <v>0</v>
      </c>
      <c r="V1014" s="21" t="n">
        <v>0</v>
      </c>
      <c r="W1014" s="21" t="n">
        <v>0</v>
      </c>
      <c r="X1014" s="21" t="n">
        <v>0</v>
      </c>
      <c r="Y1014" s="21" t="n">
        <v>0</v>
      </c>
      <c r="Z1014" s="21" t="n">
        <v>0</v>
      </c>
      <c r="AA1014" s="21" t="n">
        <v>0</v>
      </c>
      <c r="AB1014" s="21" t="n">
        <v>0</v>
      </c>
      <c r="AC1014" s="21" t="n">
        <v>0</v>
      </c>
      <c r="AD1014" s="21" t="n">
        <v>0</v>
      </c>
      <c r="AE1014" s="21" t="n">
        <v>0</v>
      </c>
      <c r="AF1014" s="21" t="n">
        <v>0</v>
      </c>
      <c r="AG1014" s="21" t="n">
        <v>0</v>
      </c>
      <c r="AH1014" s="21" t="n">
        <v>0</v>
      </c>
      <c r="AI1014" s="21" t="n">
        <v>0</v>
      </c>
      <c r="AJ1014" s="21" t="n">
        <v>0</v>
      </c>
      <c r="AK1014" s="21" t="n">
        <v>0</v>
      </c>
      <c r="AL1014" s="21" t="n">
        <v>0</v>
      </c>
      <c r="AM1014" s="21" t="n">
        <v>0</v>
      </c>
      <c r="AN1014" s="21" t="n">
        <v>0</v>
      </c>
      <c r="AO1014" s="21" t="n">
        <v>0</v>
      </c>
      <c r="AP1014" s="21" t="n">
        <v>0</v>
      </c>
      <c r="AQ1014" s="21" t="n">
        <v>0</v>
      </c>
      <c r="AR1014" s="21" t="n">
        <v>0</v>
      </c>
      <c r="AS1014" s="21" t="n">
        <v>0</v>
      </c>
      <c r="AT1014" s="19" t="n"/>
    </row>
    <row r="1015">
      <c r="D1015" s="21" t="n">
        <v>0</v>
      </c>
      <c r="E1015" s="21" t="n">
        <v>0</v>
      </c>
      <c r="F1015" s="21" t="n">
        <v>0</v>
      </c>
      <c r="G1015" s="21" t="n">
        <v>0</v>
      </c>
      <c r="H1015" s="21" t="n">
        <v>0</v>
      </c>
      <c r="I1015" s="21" t="n">
        <v>0</v>
      </c>
      <c r="J1015" s="21" t="n">
        <v>0</v>
      </c>
      <c r="K1015" s="21" t="n">
        <v>0</v>
      </c>
      <c r="L1015" s="21" t="n">
        <v>0</v>
      </c>
      <c r="M1015" s="21" t="n">
        <v>0</v>
      </c>
      <c r="N1015" s="21" t="n">
        <v>0</v>
      </c>
      <c r="O1015" s="21" t="n">
        <v>0</v>
      </c>
      <c r="P1015" s="21">
        <f>-$B$18</f>
        <v/>
      </c>
      <c r="Q1015" s="21">
        <f>-$B$19</f>
        <v/>
      </c>
      <c r="R1015" s="21">
        <f>2*$B$18+$D$986</f>
        <v/>
      </c>
      <c r="S1015" s="21">
        <f>0</f>
        <v/>
      </c>
      <c r="T1015" s="21">
        <f>-$B$18</f>
        <v/>
      </c>
      <c r="U1015" s="21">
        <f>$B$19</f>
        <v/>
      </c>
      <c r="V1015" s="21" t="n">
        <v>0</v>
      </c>
      <c r="W1015" s="21" t="n">
        <v>0</v>
      </c>
      <c r="X1015" s="21" t="n">
        <v>0</v>
      </c>
      <c r="Y1015" s="21" t="n">
        <v>0</v>
      </c>
      <c r="Z1015" s="21" t="n">
        <v>0</v>
      </c>
      <c r="AA1015" s="21" t="n">
        <v>0</v>
      </c>
      <c r="AB1015" s="21" t="n">
        <v>0</v>
      </c>
      <c r="AC1015" s="21" t="n">
        <v>0</v>
      </c>
      <c r="AD1015" s="21" t="n">
        <v>0</v>
      </c>
      <c r="AE1015" s="21" t="n">
        <v>0</v>
      </c>
      <c r="AF1015" s="21" t="n">
        <v>0</v>
      </c>
      <c r="AG1015" s="21" t="n">
        <v>0</v>
      </c>
      <c r="AH1015" s="21" t="n">
        <v>0</v>
      </c>
      <c r="AI1015" s="21" t="n">
        <v>0</v>
      </c>
      <c r="AJ1015" s="21" t="n">
        <v>0</v>
      </c>
      <c r="AK1015" s="21" t="n">
        <v>0</v>
      </c>
      <c r="AL1015" s="21" t="n">
        <v>0</v>
      </c>
      <c r="AM1015" s="21" t="n">
        <v>0</v>
      </c>
      <c r="AN1015" s="21" t="n">
        <v>0</v>
      </c>
      <c r="AO1015" s="21" t="n">
        <v>0</v>
      </c>
      <c r="AP1015" s="21" t="n">
        <v>0</v>
      </c>
      <c r="AQ1015" s="21" t="n">
        <v>0</v>
      </c>
      <c r="AR1015" s="21" t="n">
        <v>0</v>
      </c>
      <c r="AS1015" s="21" t="n">
        <v>0</v>
      </c>
      <c r="AT1015" s="19" t="n"/>
    </row>
    <row r="1016">
      <c r="D1016" s="21" t="n">
        <v>0</v>
      </c>
      <c r="E1016" s="21" t="n">
        <v>0</v>
      </c>
      <c r="F1016" s="21" t="n">
        <v>0</v>
      </c>
      <c r="G1016" s="21" t="n">
        <v>0</v>
      </c>
      <c r="H1016" s="21" t="n">
        <v>0</v>
      </c>
      <c r="I1016" s="21" t="n">
        <v>0</v>
      </c>
      <c r="J1016" s="21" t="n">
        <v>0</v>
      </c>
      <c r="K1016" s="21" t="n">
        <v>0</v>
      </c>
      <c r="L1016" s="21" t="n">
        <v>0</v>
      </c>
      <c r="M1016" s="21" t="n">
        <v>0</v>
      </c>
      <c r="N1016" s="21" t="n">
        <v>0</v>
      </c>
      <c r="O1016" s="21" t="n">
        <v>0</v>
      </c>
      <c r="P1016" s="21">
        <f>$B$19</f>
        <v/>
      </c>
      <c r="Q1016" s="21">
        <f>$B$21</f>
        <v/>
      </c>
      <c r="R1016" s="21">
        <f>0</f>
        <v/>
      </c>
      <c r="S1016" s="21">
        <f>2*$B$20</f>
        <v/>
      </c>
      <c r="T1016" s="21">
        <f>-$B$19</f>
        <v/>
      </c>
      <c r="U1016" s="21">
        <f>$B$21</f>
        <v/>
      </c>
      <c r="V1016" s="21" t="n">
        <v>0</v>
      </c>
      <c r="W1016" s="21" t="n">
        <v>0</v>
      </c>
      <c r="X1016" s="21" t="n">
        <v>0</v>
      </c>
      <c r="Y1016" s="21" t="n">
        <v>0</v>
      </c>
      <c r="Z1016" s="21" t="n">
        <v>0</v>
      </c>
      <c r="AA1016" s="21" t="n">
        <v>0</v>
      </c>
      <c r="AB1016" s="21" t="n">
        <v>0</v>
      </c>
      <c r="AC1016" s="21" t="n">
        <v>0</v>
      </c>
      <c r="AD1016" s="21" t="n">
        <v>0</v>
      </c>
      <c r="AE1016" s="21" t="n">
        <v>0</v>
      </c>
      <c r="AF1016" s="21" t="n">
        <v>0</v>
      </c>
      <c r="AG1016" s="21" t="n">
        <v>0</v>
      </c>
      <c r="AH1016" s="21" t="n">
        <v>0</v>
      </c>
      <c r="AI1016" s="21" t="n">
        <v>0</v>
      </c>
      <c r="AJ1016" s="21" t="n">
        <v>0</v>
      </c>
      <c r="AK1016" s="21" t="n">
        <v>0</v>
      </c>
      <c r="AL1016" s="21" t="n">
        <v>0</v>
      </c>
      <c r="AM1016" s="21" t="n">
        <v>0</v>
      </c>
      <c r="AN1016" s="21" t="n">
        <v>0</v>
      </c>
      <c r="AO1016" s="21" t="n">
        <v>0</v>
      </c>
      <c r="AP1016" s="21" t="n">
        <v>0</v>
      </c>
      <c r="AQ1016" s="21" t="n">
        <v>0</v>
      </c>
      <c r="AR1016" s="21" t="n">
        <v>0</v>
      </c>
      <c r="AS1016" s="21" t="n">
        <v>0</v>
      </c>
      <c r="AT1016" s="19" t="n"/>
    </row>
    <row r="1017">
      <c r="D1017" s="21" t="n">
        <v>0</v>
      </c>
      <c r="E1017" s="21" t="n">
        <v>0</v>
      </c>
      <c r="F1017" s="21" t="n">
        <v>0</v>
      </c>
      <c r="G1017" s="21" t="n">
        <v>0</v>
      </c>
      <c r="H1017" s="21" t="n">
        <v>0</v>
      </c>
      <c r="I1017" s="21" t="n">
        <v>0</v>
      </c>
      <c r="J1017" s="21" t="n">
        <v>0</v>
      </c>
      <c r="K1017" s="21" t="n">
        <v>0</v>
      </c>
      <c r="L1017" s="21" t="n">
        <v>0</v>
      </c>
      <c r="M1017" s="21" t="n">
        <v>0</v>
      </c>
      <c r="N1017" s="21" t="n">
        <v>0</v>
      </c>
      <c r="O1017" s="21" t="n">
        <v>0</v>
      </c>
      <c r="P1017" s="21" t="n">
        <v>0</v>
      </c>
      <c r="Q1017" s="21" t="n">
        <v>0</v>
      </c>
      <c r="R1017" s="21">
        <f>-$B$18</f>
        <v/>
      </c>
      <c r="S1017" s="21">
        <f>-$B$19</f>
        <v/>
      </c>
      <c r="T1017" s="21">
        <f>2*$B$18+$D$987</f>
        <v/>
      </c>
      <c r="U1017" s="21">
        <f>0</f>
        <v/>
      </c>
      <c r="V1017" s="21">
        <f>-$B$18</f>
        <v/>
      </c>
      <c r="W1017" s="21">
        <f>$B$19</f>
        <v/>
      </c>
      <c r="X1017" s="21" t="n">
        <v>0</v>
      </c>
      <c r="Y1017" s="21" t="n">
        <v>0</v>
      </c>
      <c r="Z1017" s="21" t="n">
        <v>0</v>
      </c>
      <c r="AA1017" s="21" t="n">
        <v>0</v>
      </c>
      <c r="AB1017" s="21" t="n">
        <v>0</v>
      </c>
      <c r="AC1017" s="21" t="n">
        <v>0</v>
      </c>
      <c r="AD1017" s="21" t="n">
        <v>0</v>
      </c>
      <c r="AE1017" s="21" t="n">
        <v>0</v>
      </c>
      <c r="AF1017" s="21" t="n">
        <v>0</v>
      </c>
      <c r="AG1017" s="21" t="n">
        <v>0</v>
      </c>
      <c r="AH1017" s="21" t="n">
        <v>0</v>
      </c>
      <c r="AI1017" s="21" t="n">
        <v>0</v>
      </c>
      <c r="AJ1017" s="21" t="n">
        <v>0</v>
      </c>
      <c r="AK1017" s="21" t="n">
        <v>0</v>
      </c>
      <c r="AL1017" s="21" t="n">
        <v>0</v>
      </c>
      <c r="AM1017" s="21" t="n">
        <v>0</v>
      </c>
      <c r="AN1017" s="21" t="n">
        <v>0</v>
      </c>
      <c r="AO1017" s="21" t="n">
        <v>0</v>
      </c>
      <c r="AP1017" s="21" t="n">
        <v>0</v>
      </c>
      <c r="AQ1017" s="21" t="n">
        <v>0</v>
      </c>
      <c r="AR1017" s="21" t="n">
        <v>0</v>
      </c>
      <c r="AS1017" s="21" t="n">
        <v>0</v>
      </c>
      <c r="AT1017" s="19" t="n"/>
    </row>
    <row r="1018">
      <c r="D1018" s="21" t="n">
        <v>0</v>
      </c>
      <c r="E1018" s="21" t="n">
        <v>0</v>
      </c>
      <c r="F1018" s="21" t="n">
        <v>0</v>
      </c>
      <c r="G1018" s="21" t="n">
        <v>0</v>
      </c>
      <c r="H1018" s="21" t="n">
        <v>0</v>
      </c>
      <c r="I1018" s="21" t="n">
        <v>0</v>
      </c>
      <c r="J1018" s="21" t="n">
        <v>0</v>
      </c>
      <c r="K1018" s="21" t="n">
        <v>0</v>
      </c>
      <c r="L1018" s="21" t="n">
        <v>0</v>
      </c>
      <c r="M1018" s="21" t="n">
        <v>0</v>
      </c>
      <c r="N1018" s="21" t="n">
        <v>0</v>
      </c>
      <c r="O1018" s="21" t="n">
        <v>0</v>
      </c>
      <c r="P1018" s="21" t="n">
        <v>0</v>
      </c>
      <c r="Q1018" s="21" t="n">
        <v>0</v>
      </c>
      <c r="R1018" s="21">
        <f>$B$19</f>
        <v/>
      </c>
      <c r="S1018" s="21">
        <f>$B$21</f>
        <v/>
      </c>
      <c r="T1018" s="21">
        <f>0</f>
        <v/>
      </c>
      <c r="U1018" s="21">
        <f>2*$B$20</f>
        <v/>
      </c>
      <c r="V1018" s="21">
        <f>-$B$19</f>
        <v/>
      </c>
      <c r="W1018" s="21">
        <f>$B$21</f>
        <v/>
      </c>
      <c r="X1018" s="21" t="n">
        <v>0</v>
      </c>
      <c r="Y1018" s="21" t="n">
        <v>0</v>
      </c>
      <c r="Z1018" s="21" t="n">
        <v>0</v>
      </c>
      <c r="AA1018" s="21" t="n">
        <v>0</v>
      </c>
      <c r="AB1018" s="21" t="n">
        <v>0</v>
      </c>
      <c r="AC1018" s="21" t="n">
        <v>0</v>
      </c>
      <c r="AD1018" s="21" t="n">
        <v>0</v>
      </c>
      <c r="AE1018" s="21" t="n">
        <v>0</v>
      </c>
      <c r="AF1018" s="21" t="n">
        <v>0</v>
      </c>
      <c r="AG1018" s="21" t="n">
        <v>0</v>
      </c>
      <c r="AH1018" s="21" t="n">
        <v>0</v>
      </c>
      <c r="AI1018" s="21" t="n">
        <v>0</v>
      </c>
      <c r="AJ1018" s="21" t="n">
        <v>0</v>
      </c>
      <c r="AK1018" s="21" t="n">
        <v>0</v>
      </c>
      <c r="AL1018" s="21" t="n">
        <v>0</v>
      </c>
      <c r="AM1018" s="21" t="n">
        <v>0</v>
      </c>
      <c r="AN1018" s="21" t="n">
        <v>0</v>
      </c>
      <c r="AO1018" s="21" t="n">
        <v>0</v>
      </c>
      <c r="AP1018" s="21" t="n">
        <v>0</v>
      </c>
      <c r="AQ1018" s="21" t="n">
        <v>0</v>
      </c>
      <c r="AR1018" s="21" t="n">
        <v>0</v>
      </c>
      <c r="AS1018" s="21" t="n">
        <v>0</v>
      </c>
      <c r="AT1018" s="19" t="n"/>
    </row>
    <row r="1019">
      <c r="D1019" s="21" t="n">
        <v>0</v>
      </c>
      <c r="E1019" s="21" t="n">
        <v>0</v>
      </c>
      <c r="F1019" s="21" t="n">
        <v>0</v>
      </c>
      <c r="G1019" s="21" t="n">
        <v>0</v>
      </c>
      <c r="H1019" s="21" t="n">
        <v>0</v>
      </c>
      <c r="I1019" s="21" t="n">
        <v>0</v>
      </c>
      <c r="J1019" s="21" t="n">
        <v>0</v>
      </c>
      <c r="K1019" s="21" t="n">
        <v>0</v>
      </c>
      <c r="L1019" s="21" t="n">
        <v>0</v>
      </c>
      <c r="M1019" s="21" t="n">
        <v>0</v>
      </c>
      <c r="N1019" s="21" t="n">
        <v>0</v>
      </c>
      <c r="O1019" s="21" t="n">
        <v>0</v>
      </c>
      <c r="P1019" s="21" t="n">
        <v>0</v>
      </c>
      <c r="Q1019" s="21" t="n">
        <v>0</v>
      </c>
      <c r="R1019" s="21" t="n">
        <v>0</v>
      </c>
      <c r="S1019" s="21" t="n">
        <v>0</v>
      </c>
      <c r="T1019" s="21">
        <f>-$B$18</f>
        <v/>
      </c>
      <c r="U1019" s="21">
        <f>-$B$19</f>
        <v/>
      </c>
      <c r="V1019" s="21">
        <f>2*$B$18+$D$988</f>
        <v/>
      </c>
      <c r="W1019" s="21">
        <f>0</f>
        <v/>
      </c>
      <c r="X1019" s="21">
        <f>-$B$18</f>
        <v/>
      </c>
      <c r="Y1019" s="21">
        <f>$B$19</f>
        <v/>
      </c>
      <c r="Z1019" s="21" t="n">
        <v>0</v>
      </c>
      <c r="AA1019" s="21" t="n">
        <v>0</v>
      </c>
      <c r="AB1019" s="21" t="n">
        <v>0</v>
      </c>
      <c r="AC1019" s="21" t="n">
        <v>0</v>
      </c>
      <c r="AD1019" s="21" t="n">
        <v>0</v>
      </c>
      <c r="AE1019" s="21" t="n">
        <v>0</v>
      </c>
      <c r="AF1019" s="21" t="n">
        <v>0</v>
      </c>
      <c r="AG1019" s="21" t="n">
        <v>0</v>
      </c>
      <c r="AH1019" s="21" t="n">
        <v>0</v>
      </c>
      <c r="AI1019" s="21" t="n">
        <v>0</v>
      </c>
      <c r="AJ1019" s="21" t="n">
        <v>0</v>
      </c>
      <c r="AK1019" s="21" t="n">
        <v>0</v>
      </c>
      <c r="AL1019" s="21" t="n">
        <v>0</v>
      </c>
      <c r="AM1019" s="21" t="n">
        <v>0</v>
      </c>
      <c r="AN1019" s="21" t="n">
        <v>0</v>
      </c>
      <c r="AO1019" s="21" t="n">
        <v>0</v>
      </c>
      <c r="AP1019" s="21" t="n">
        <v>0</v>
      </c>
      <c r="AQ1019" s="21" t="n">
        <v>0</v>
      </c>
      <c r="AR1019" s="21" t="n">
        <v>0</v>
      </c>
      <c r="AS1019" s="21" t="n">
        <v>0</v>
      </c>
      <c r="AT1019" s="19" t="n"/>
    </row>
    <row r="1020">
      <c r="D1020" s="21" t="n">
        <v>0</v>
      </c>
      <c r="E1020" s="21" t="n">
        <v>0</v>
      </c>
      <c r="F1020" s="21" t="n">
        <v>0</v>
      </c>
      <c r="G1020" s="21" t="n">
        <v>0</v>
      </c>
      <c r="H1020" s="21" t="n">
        <v>0</v>
      </c>
      <c r="I1020" s="21" t="n">
        <v>0</v>
      </c>
      <c r="J1020" s="21" t="n">
        <v>0</v>
      </c>
      <c r="K1020" s="21" t="n">
        <v>0</v>
      </c>
      <c r="L1020" s="21" t="n">
        <v>0</v>
      </c>
      <c r="M1020" s="21" t="n">
        <v>0</v>
      </c>
      <c r="N1020" s="21" t="n">
        <v>0</v>
      </c>
      <c r="O1020" s="21" t="n">
        <v>0</v>
      </c>
      <c r="P1020" s="21" t="n">
        <v>0</v>
      </c>
      <c r="Q1020" s="21" t="n">
        <v>0</v>
      </c>
      <c r="R1020" s="21" t="n">
        <v>0</v>
      </c>
      <c r="S1020" s="21" t="n">
        <v>0</v>
      </c>
      <c r="T1020" s="21">
        <f>$B$19</f>
        <v/>
      </c>
      <c r="U1020" s="21">
        <f>$B$21</f>
        <v/>
      </c>
      <c r="V1020" s="21">
        <f>0</f>
        <v/>
      </c>
      <c r="W1020" s="21">
        <f>2*$B$20</f>
        <v/>
      </c>
      <c r="X1020" s="21">
        <f>-$B$19</f>
        <v/>
      </c>
      <c r="Y1020" s="21">
        <f>$B$21</f>
        <v/>
      </c>
      <c r="Z1020" s="21" t="n">
        <v>0</v>
      </c>
      <c r="AA1020" s="21" t="n">
        <v>0</v>
      </c>
      <c r="AB1020" s="21" t="n">
        <v>0</v>
      </c>
      <c r="AC1020" s="21" t="n">
        <v>0</v>
      </c>
      <c r="AD1020" s="21" t="n">
        <v>0</v>
      </c>
      <c r="AE1020" s="21" t="n">
        <v>0</v>
      </c>
      <c r="AF1020" s="21" t="n">
        <v>0</v>
      </c>
      <c r="AG1020" s="21" t="n">
        <v>0</v>
      </c>
      <c r="AH1020" s="21" t="n">
        <v>0</v>
      </c>
      <c r="AI1020" s="21" t="n">
        <v>0</v>
      </c>
      <c r="AJ1020" s="21" t="n">
        <v>0</v>
      </c>
      <c r="AK1020" s="21" t="n">
        <v>0</v>
      </c>
      <c r="AL1020" s="21" t="n">
        <v>0</v>
      </c>
      <c r="AM1020" s="21" t="n">
        <v>0</v>
      </c>
      <c r="AN1020" s="21" t="n">
        <v>0</v>
      </c>
      <c r="AO1020" s="21" t="n">
        <v>0</v>
      </c>
      <c r="AP1020" s="21" t="n">
        <v>0</v>
      </c>
      <c r="AQ1020" s="21" t="n">
        <v>0</v>
      </c>
      <c r="AR1020" s="21" t="n">
        <v>0</v>
      </c>
      <c r="AS1020" s="21" t="n">
        <v>0</v>
      </c>
      <c r="AT1020" s="19" t="n"/>
    </row>
    <row r="1021">
      <c r="D1021" s="21" t="n">
        <v>0</v>
      </c>
      <c r="E1021" s="21" t="n">
        <v>0</v>
      </c>
      <c r="F1021" s="21" t="n">
        <v>0</v>
      </c>
      <c r="G1021" s="21" t="n">
        <v>0</v>
      </c>
      <c r="H1021" s="21" t="n">
        <v>0</v>
      </c>
      <c r="I1021" s="21" t="n">
        <v>0</v>
      </c>
      <c r="J1021" s="21" t="n">
        <v>0</v>
      </c>
      <c r="K1021" s="21" t="n">
        <v>0</v>
      </c>
      <c r="L1021" s="21" t="n">
        <v>0</v>
      </c>
      <c r="M1021" s="21" t="n">
        <v>0</v>
      </c>
      <c r="N1021" s="21" t="n">
        <v>0</v>
      </c>
      <c r="O1021" s="21" t="n">
        <v>0</v>
      </c>
      <c r="P1021" s="21" t="n">
        <v>0</v>
      </c>
      <c r="Q1021" s="21" t="n">
        <v>0</v>
      </c>
      <c r="R1021" s="21" t="n">
        <v>0</v>
      </c>
      <c r="S1021" s="21" t="n">
        <v>0</v>
      </c>
      <c r="T1021" s="21" t="n">
        <v>0</v>
      </c>
      <c r="U1021" s="21" t="n">
        <v>0</v>
      </c>
      <c r="V1021" s="21">
        <f>-$B$18</f>
        <v/>
      </c>
      <c r="W1021" s="21">
        <f>-$B$19</f>
        <v/>
      </c>
      <c r="X1021" s="21">
        <f>2*$B$18+$D$989</f>
        <v/>
      </c>
      <c r="Y1021" s="21">
        <f>0</f>
        <v/>
      </c>
      <c r="Z1021" s="21">
        <f>-$B$18</f>
        <v/>
      </c>
      <c r="AA1021" s="21">
        <f>$B$19</f>
        <v/>
      </c>
      <c r="AB1021" s="21" t="n">
        <v>0</v>
      </c>
      <c r="AC1021" s="21" t="n">
        <v>0</v>
      </c>
      <c r="AD1021" s="21" t="n">
        <v>0</v>
      </c>
      <c r="AE1021" s="21" t="n">
        <v>0</v>
      </c>
      <c r="AF1021" s="21" t="n">
        <v>0</v>
      </c>
      <c r="AG1021" s="21" t="n">
        <v>0</v>
      </c>
      <c r="AH1021" s="21" t="n">
        <v>0</v>
      </c>
      <c r="AI1021" s="21" t="n">
        <v>0</v>
      </c>
      <c r="AJ1021" s="21" t="n">
        <v>0</v>
      </c>
      <c r="AK1021" s="21" t="n">
        <v>0</v>
      </c>
      <c r="AL1021" s="21" t="n">
        <v>0</v>
      </c>
      <c r="AM1021" s="21" t="n">
        <v>0</v>
      </c>
      <c r="AN1021" s="21" t="n">
        <v>0</v>
      </c>
      <c r="AO1021" s="21" t="n">
        <v>0</v>
      </c>
      <c r="AP1021" s="21" t="n">
        <v>0</v>
      </c>
      <c r="AQ1021" s="21" t="n">
        <v>0</v>
      </c>
      <c r="AR1021" s="21" t="n">
        <v>0</v>
      </c>
      <c r="AS1021" s="21" t="n">
        <v>0</v>
      </c>
      <c r="AT1021" s="19" t="n"/>
    </row>
    <row r="1022">
      <c r="D1022" s="21" t="n">
        <v>0</v>
      </c>
      <c r="E1022" s="21" t="n">
        <v>0</v>
      </c>
      <c r="F1022" s="21" t="n">
        <v>0</v>
      </c>
      <c r="G1022" s="21" t="n">
        <v>0</v>
      </c>
      <c r="H1022" s="21" t="n">
        <v>0</v>
      </c>
      <c r="I1022" s="21" t="n">
        <v>0</v>
      </c>
      <c r="J1022" s="21" t="n">
        <v>0</v>
      </c>
      <c r="K1022" s="21" t="n">
        <v>0</v>
      </c>
      <c r="L1022" s="21" t="n">
        <v>0</v>
      </c>
      <c r="M1022" s="21" t="n">
        <v>0</v>
      </c>
      <c r="N1022" s="21" t="n">
        <v>0</v>
      </c>
      <c r="O1022" s="21" t="n">
        <v>0</v>
      </c>
      <c r="P1022" s="21" t="n">
        <v>0</v>
      </c>
      <c r="Q1022" s="21" t="n">
        <v>0</v>
      </c>
      <c r="R1022" s="21" t="n">
        <v>0</v>
      </c>
      <c r="S1022" s="21" t="n">
        <v>0</v>
      </c>
      <c r="T1022" s="21" t="n">
        <v>0</v>
      </c>
      <c r="U1022" s="21" t="n">
        <v>0</v>
      </c>
      <c r="V1022" s="21">
        <f>$B$19</f>
        <v/>
      </c>
      <c r="W1022" s="21">
        <f>$B$21</f>
        <v/>
      </c>
      <c r="X1022" s="21">
        <f>0</f>
        <v/>
      </c>
      <c r="Y1022" s="21">
        <f>2*$B$20</f>
        <v/>
      </c>
      <c r="Z1022" s="21">
        <f>-$B$19</f>
        <v/>
      </c>
      <c r="AA1022" s="21">
        <f>$B$21</f>
        <v/>
      </c>
      <c r="AB1022" s="21" t="n">
        <v>0</v>
      </c>
      <c r="AC1022" s="21" t="n">
        <v>0</v>
      </c>
      <c r="AD1022" s="21" t="n">
        <v>0</v>
      </c>
      <c r="AE1022" s="21" t="n">
        <v>0</v>
      </c>
      <c r="AF1022" s="21" t="n">
        <v>0</v>
      </c>
      <c r="AG1022" s="21" t="n">
        <v>0</v>
      </c>
      <c r="AH1022" s="21" t="n">
        <v>0</v>
      </c>
      <c r="AI1022" s="21" t="n">
        <v>0</v>
      </c>
      <c r="AJ1022" s="21" t="n">
        <v>0</v>
      </c>
      <c r="AK1022" s="21" t="n">
        <v>0</v>
      </c>
      <c r="AL1022" s="21" t="n">
        <v>0</v>
      </c>
      <c r="AM1022" s="21" t="n">
        <v>0</v>
      </c>
      <c r="AN1022" s="21" t="n">
        <v>0</v>
      </c>
      <c r="AO1022" s="21" t="n">
        <v>0</v>
      </c>
      <c r="AP1022" s="21" t="n">
        <v>0</v>
      </c>
      <c r="AQ1022" s="21" t="n">
        <v>0</v>
      </c>
      <c r="AR1022" s="21" t="n">
        <v>0</v>
      </c>
      <c r="AS1022" s="21" t="n">
        <v>0</v>
      </c>
      <c r="AT1022" s="19" t="n"/>
    </row>
    <row r="1023">
      <c r="D1023" s="21" t="n">
        <v>0</v>
      </c>
      <c r="E1023" s="21" t="n">
        <v>0</v>
      </c>
      <c r="F1023" s="21" t="n">
        <v>0</v>
      </c>
      <c r="G1023" s="21" t="n">
        <v>0</v>
      </c>
      <c r="H1023" s="21" t="n">
        <v>0</v>
      </c>
      <c r="I1023" s="21" t="n">
        <v>0</v>
      </c>
      <c r="J1023" s="21" t="n">
        <v>0</v>
      </c>
      <c r="K1023" s="21" t="n">
        <v>0</v>
      </c>
      <c r="L1023" s="21" t="n">
        <v>0</v>
      </c>
      <c r="M1023" s="21" t="n">
        <v>0</v>
      </c>
      <c r="N1023" s="21" t="n">
        <v>0</v>
      </c>
      <c r="O1023" s="21" t="n">
        <v>0</v>
      </c>
      <c r="P1023" s="21" t="n">
        <v>0</v>
      </c>
      <c r="Q1023" s="21" t="n">
        <v>0</v>
      </c>
      <c r="R1023" s="21" t="n">
        <v>0</v>
      </c>
      <c r="S1023" s="21" t="n">
        <v>0</v>
      </c>
      <c r="T1023" s="21" t="n">
        <v>0</v>
      </c>
      <c r="U1023" s="21" t="n">
        <v>0</v>
      </c>
      <c r="V1023" s="21" t="n">
        <v>0</v>
      </c>
      <c r="W1023" s="21" t="n">
        <v>0</v>
      </c>
      <c r="X1023" s="21">
        <f>-$B$18</f>
        <v/>
      </c>
      <c r="Y1023" s="21">
        <f>-$B$19</f>
        <v/>
      </c>
      <c r="Z1023" s="21">
        <f>2*$B$18+$D$990</f>
        <v/>
      </c>
      <c r="AA1023" s="21">
        <f>0</f>
        <v/>
      </c>
      <c r="AB1023" s="21">
        <f>-$B$18</f>
        <v/>
      </c>
      <c r="AC1023" s="21">
        <f>$B$19</f>
        <v/>
      </c>
      <c r="AD1023" s="21" t="n">
        <v>0</v>
      </c>
      <c r="AE1023" s="21" t="n">
        <v>0</v>
      </c>
      <c r="AF1023" s="21" t="n">
        <v>0</v>
      </c>
      <c r="AG1023" s="21" t="n">
        <v>0</v>
      </c>
      <c r="AH1023" s="21" t="n">
        <v>0</v>
      </c>
      <c r="AI1023" s="21" t="n">
        <v>0</v>
      </c>
      <c r="AJ1023" s="21" t="n">
        <v>0</v>
      </c>
      <c r="AK1023" s="21" t="n">
        <v>0</v>
      </c>
      <c r="AL1023" s="21" t="n">
        <v>0</v>
      </c>
      <c r="AM1023" s="21" t="n">
        <v>0</v>
      </c>
      <c r="AN1023" s="21" t="n">
        <v>0</v>
      </c>
      <c r="AO1023" s="21" t="n">
        <v>0</v>
      </c>
      <c r="AP1023" s="21" t="n">
        <v>0</v>
      </c>
      <c r="AQ1023" s="21" t="n">
        <v>0</v>
      </c>
      <c r="AR1023" s="21" t="n">
        <v>0</v>
      </c>
      <c r="AS1023" s="21" t="n">
        <v>0</v>
      </c>
      <c r="AT1023" s="19" t="n"/>
    </row>
    <row r="1024">
      <c r="D1024" s="21" t="n">
        <v>0</v>
      </c>
      <c r="E1024" s="21" t="n">
        <v>0</v>
      </c>
      <c r="F1024" s="21" t="n">
        <v>0</v>
      </c>
      <c r="G1024" s="21" t="n">
        <v>0</v>
      </c>
      <c r="H1024" s="21" t="n">
        <v>0</v>
      </c>
      <c r="I1024" s="21" t="n">
        <v>0</v>
      </c>
      <c r="J1024" s="21" t="n">
        <v>0</v>
      </c>
      <c r="K1024" s="21" t="n">
        <v>0</v>
      </c>
      <c r="L1024" s="21" t="n">
        <v>0</v>
      </c>
      <c r="M1024" s="21" t="n">
        <v>0</v>
      </c>
      <c r="N1024" s="21" t="n">
        <v>0</v>
      </c>
      <c r="O1024" s="21" t="n">
        <v>0</v>
      </c>
      <c r="P1024" s="21" t="n">
        <v>0</v>
      </c>
      <c r="Q1024" s="21" t="n">
        <v>0</v>
      </c>
      <c r="R1024" s="21" t="n">
        <v>0</v>
      </c>
      <c r="S1024" s="21" t="n">
        <v>0</v>
      </c>
      <c r="T1024" s="21" t="n">
        <v>0</v>
      </c>
      <c r="U1024" s="21" t="n">
        <v>0</v>
      </c>
      <c r="V1024" s="21" t="n">
        <v>0</v>
      </c>
      <c r="W1024" s="21" t="n">
        <v>0</v>
      </c>
      <c r="X1024" s="21">
        <f>$B$19</f>
        <v/>
      </c>
      <c r="Y1024" s="21">
        <f>$B$21</f>
        <v/>
      </c>
      <c r="Z1024" s="21">
        <f>0</f>
        <v/>
      </c>
      <c r="AA1024" s="21">
        <f>2*$B$20</f>
        <v/>
      </c>
      <c r="AB1024" s="21">
        <f>-$B$19</f>
        <v/>
      </c>
      <c r="AC1024" s="21">
        <f>$B$21</f>
        <v/>
      </c>
      <c r="AD1024" s="21" t="n">
        <v>0</v>
      </c>
      <c r="AE1024" s="21" t="n">
        <v>0</v>
      </c>
      <c r="AF1024" s="21" t="n">
        <v>0</v>
      </c>
      <c r="AG1024" s="21" t="n">
        <v>0</v>
      </c>
      <c r="AH1024" s="21" t="n">
        <v>0</v>
      </c>
      <c r="AI1024" s="21" t="n">
        <v>0</v>
      </c>
      <c r="AJ1024" s="21" t="n">
        <v>0</v>
      </c>
      <c r="AK1024" s="21" t="n">
        <v>0</v>
      </c>
      <c r="AL1024" s="21" t="n">
        <v>0</v>
      </c>
      <c r="AM1024" s="21" t="n">
        <v>0</v>
      </c>
      <c r="AN1024" s="21" t="n">
        <v>0</v>
      </c>
      <c r="AO1024" s="21" t="n">
        <v>0</v>
      </c>
      <c r="AP1024" s="21" t="n">
        <v>0</v>
      </c>
      <c r="AQ1024" s="21" t="n">
        <v>0</v>
      </c>
      <c r="AR1024" s="21" t="n">
        <v>0</v>
      </c>
      <c r="AS1024" s="21" t="n">
        <v>0</v>
      </c>
      <c r="AT1024" s="19" t="n"/>
    </row>
    <row r="1025">
      <c r="D1025" s="21" t="n">
        <v>0</v>
      </c>
      <c r="E1025" s="21" t="n">
        <v>0</v>
      </c>
      <c r="F1025" s="21" t="n">
        <v>0</v>
      </c>
      <c r="G1025" s="21" t="n">
        <v>0</v>
      </c>
      <c r="H1025" s="21" t="n">
        <v>0</v>
      </c>
      <c r="I1025" s="21" t="n">
        <v>0</v>
      </c>
      <c r="J1025" s="21" t="n">
        <v>0</v>
      </c>
      <c r="K1025" s="21" t="n">
        <v>0</v>
      </c>
      <c r="L1025" s="21" t="n">
        <v>0</v>
      </c>
      <c r="M1025" s="21" t="n">
        <v>0</v>
      </c>
      <c r="N1025" s="21" t="n">
        <v>0</v>
      </c>
      <c r="O1025" s="21" t="n">
        <v>0</v>
      </c>
      <c r="P1025" s="21" t="n">
        <v>0</v>
      </c>
      <c r="Q1025" s="21" t="n">
        <v>0</v>
      </c>
      <c r="R1025" s="21" t="n">
        <v>0</v>
      </c>
      <c r="S1025" s="21" t="n">
        <v>0</v>
      </c>
      <c r="T1025" s="21" t="n">
        <v>0</v>
      </c>
      <c r="U1025" s="21" t="n">
        <v>0</v>
      </c>
      <c r="V1025" s="21" t="n">
        <v>0</v>
      </c>
      <c r="W1025" s="21" t="n">
        <v>0</v>
      </c>
      <c r="X1025" s="21" t="n">
        <v>0</v>
      </c>
      <c r="Y1025" s="21" t="n">
        <v>0</v>
      </c>
      <c r="Z1025" s="21">
        <f>-$B$18</f>
        <v/>
      </c>
      <c r="AA1025" s="21">
        <f>-$B$19</f>
        <v/>
      </c>
      <c r="AB1025" s="21">
        <f>2*$B$18+$D$991</f>
        <v/>
      </c>
      <c r="AC1025" s="21">
        <f>0</f>
        <v/>
      </c>
      <c r="AD1025" s="21">
        <f>-$B$18</f>
        <v/>
      </c>
      <c r="AE1025" s="21">
        <f>$B$19</f>
        <v/>
      </c>
      <c r="AF1025" s="21" t="n">
        <v>0</v>
      </c>
      <c r="AG1025" s="21" t="n">
        <v>0</v>
      </c>
      <c r="AH1025" s="21" t="n">
        <v>0</v>
      </c>
      <c r="AI1025" s="21" t="n">
        <v>0</v>
      </c>
      <c r="AJ1025" s="21" t="n">
        <v>0</v>
      </c>
      <c r="AK1025" s="21" t="n">
        <v>0</v>
      </c>
      <c r="AL1025" s="21" t="n">
        <v>0</v>
      </c>
      <c r="AM1025" s="21" t="n">
        <v>0</v>
      </c>
      <c r="AN1025" s="21" t="n">
        <v>0</v>
      </c>
      <c r="AO1025" s="21" t="n">
        <v>0</v>
      </c>
      <c r="AP1025" s="21" t="n">
        <v>0</v>
      </c>
      <c r="AQ1025" s="21" t="n">
        <v>0</v>
      </c>
      <c r="AR1025" s="21" t="n">
        <v>0</v>
      </c>
      <c r="AS1025" s="21" t="n">
        <v>0</v>
      </c>
      <c r="AT1025" s="19" t="n"/>
    </row>
    <row r="1026">
      <c r="D1026" s="21" t="n">
        <v>0</v>
      </c>
      <c r="E1026" s="21" t="n">
        <v>0</v>
      </c>
      <c r="F1026" s="21" t="n">
        <v>0</v>
      </c>
      <c r="G1026" s="21" t="n">
        <v>0</v>
      </c>
      <c r="H1026" s="21" t="n">
        <v>0</v>
      </c>
      <c r="I1026" s="21" t="n">
        <v>0</v>
      </c>
      <c r="J1026" s="21" t="n">
        <v>0</v>
      </c>
      <c r="K1026" s="21" t="n">
        <v>0</v>
      </c>
      <c r="L1026" s="21" t="n">
        <v>0</v>
      </c>
      <c r="M1026" s="21" t="n">
        <v>0</v>
      </c>
      <c r="N1026" s="21" t="n">
        <v>0</v>
      </c>
      <c r="O1026" s="21" t="n">
        <v>0</v>
      </c>
      <c r="P1026" s="21" t="n">
        <v>0</v>
      </c>
      <c r="Q1026" s="21" t="n">
        <v>0</v>
      </c>
      <c r="R1026" s="21" t="n">
        <v>0</v>
      </c>
      <c r="S1026" s="21" t="n">
        <v>0</v>
      </c>
      <c r="T1026" s="21" t="n">
        <v>0</v>
      </c>
      <c r="U1026" s="21" t="n">
        <v>0</v>
      </c>
      <c r="V1026" s="21" t="n">
        <v>0</v>
      </c>
      <c r="W1026" s="21" t="n">
        <v>0</v>
      </c>
      <c r="X1026" s="21" t="n">
        <v>0</v>
      </c>
      <c r="Y1026" s="21" t="n">
        <v>0</v>
      </c>
      <c r="Z1026" s="21">
        <f>$B$19</f>
        <v/>
      </c>
      <c r="AA1026" s="21">
        <f>$B$21</f>
        <v/>
      </c>
      <c r="AB1026" s="21">
        <f>0</f>
        <v/>
      </c>
      <c r="AC1026" s="21">
        <f>2*$B$20</f>
        <v/>
      </c>
      <c r="AD1026" s="21">
        <f>-$B$19</f>
        <v/>
      </c>
      <c r="AE1026" s="21">
        <f>$B$21</f>
        <v/>
      </c>
      <c r="AF1026" s="21" t="n">
        <v>0</v>
      </c>
      <c r="AG1026" s="21" t="n">
        <v>0</v>
      </c>
      <c r="AH1026" s="21" t="n">
        <v>0</v>
      </c>
      <c r="AI1026" s="21" t="n">
        <v>0</v>
      </c>
      <c r="AJ1026" s="21" t="n">
        <v>0</v>
      </c>
      <c r="AK1026" s="21" t="n">
        <v>0</v>
      </c>
      <c r="AL1026" s="21" t="n">
        <v>0</v>
      </c>
      <c r="AM1026" s="21" t="n">
        <v>0</v>
      </c>
      <c r="AN1026" s="21" t="n">
        <v>0</v>
      </c>
      <c r="AO1026" s="21" t="n">
        <v>0</v>
      </c>
      <c r="AP1026" s="21" t="n">
        <v>0</v>
      </c>
      <c r="AQ1026" s="21" t="n">
        <v>0</v>
      </c>
      <c r="AR1026" s="21" t="n">
        <v>0</v>
      </c>
      <c r="AS1026" s="21" t="n">
        <v>0</v>
      </c>
      <c r="AT1026" s="19" t="n"/>
    </row>
    <row r="1027">
      <c r="D1027" s="21" t="n">
        <v>0</v>
      </c>
      <c r="E1027" s="21" t="n">
        <v>0</v>
      </c>
      <c r="F1027" s="21" t="n">
        <v>0</v>
      </c>
      <c r="G1027" s="21" t="n">
        <v>0</v>
      </c>
      <c r="H1027" s="21" t="n">
        <v>0</v>
      </c>
      <c r="I1027" s="21" t="n">
        <v>0</v>
      </c>
      <c r="J1027" s="21" t="n">
        <v>0</v>
      </c>
      <c r="K1027" s="21" t="n">
        <v>0</v>
      </c>
      <c r="L1027" s="21" t="n">
        <v>0</v>
      </c>
      <c r="M1027" s="21" t="n">
        <v>0</v>
      </c>
      <c r="N1027" s="21" t="n">
        <v>0</v>
      </c>
      <c r="O1027" s="21" t="n">
        <v>0</v>
      </c>
      <c r="P1027" s="21" t="n">
        <v>0</v>
      </c>
      <c r="Q1027" s="21" t="n">
        <v>0</v>
      </c>
      <c r="R1027" s="21" t="n">
        <v>0</v>
      </c>
      <c r="S1027" s="21" t="n">
        <v>0</v>
      </c>
      <c r="T1027" s="21" t="n">
        <v>0</v>
      </c>
      <c r="U1027" s="21" t="n">
        <v>0</v>
      </c>
      <c r="V1027" s="21" t="n">
        <v>0</v>
      </c>
      <c r="W1027" s="21" t="n">
        <v>0</v>
      </c>
      <c r="X1027" s="21" t="n">
        <v>0</v>
      </c>
      <c r="Y1027" s="21" t="n">
        <v>0</v>
      </c>
      <c r="Z1027" s="21" t="n">
        <v>0</v>
      </c>
      <c r="AA1027" s="21" t="n">
        <v>0</v>
      </c>
      <c r="AB1027" s="21">
        <f>-$B$18</f>
        <v/>
      </c>
      <c r="AC1027" s="21">
        <f>-$B$19</f>
        <v/>
      </c>
      <c r="AD1027" s="21">
        <f>2*$B$18+$D$992</f>
        <v/>
      </c>
      <c r="AE1027" s="21">
        <f>0</f>
        <v/>
      </c>
      <c r="AF1027" s="21">
        <f>-$B$18</f>
        <v/>
      </c>
      <c r="AG1027" s="21">
        <f>$B$19</f>
        <v/>
      </c>
      <c r="AH1027" s="21" t="n">
        <v>0</v>
      </c>
      <c r="AI1027" s="21" t="n">
        <v>0</v>
      </c>
      <c r="AJ1027" s="21" t="n">
        <v>0</v>
      </c>
      <c r="AK1027" s="21" t="n">
        <v>0</v>
      </c>
      <c r="AL1027" s="21" t="n">
        <v>0</v>
      </c>
      <c r="AM1027" s="21" t="n">
        <v>0</v>
      </c>
      <c r="AN1027" s="21" t="n">
        <v>0</v>
      </c>
      <c r="AO1027" s="21" t="n">
        <v>0</v>
      </c>
      <c r="AP1027" s="21" t="n">
        <v>0</v>
      </c>
      <c r="AQ1027" s="21" t="n">
        <v>0</v>
      </c>
      <c r="AR1027" s="21" t="n">
        <v>0</v>
      </c>
      <c r="AS1027" s="21" t="n">
        <v>0</v>
      </c>
      <c r="AT1027" s="19" t="n"/>
    </row>
    <row r="1028">
      <c r="D1028" s="21" t="n">
        <v>0</v>
      </c>
      <c r="E1028" s="21" t="n">
        <v>0</v>
      </c>
      <c r="F1028" s="21" t="n">
        <v>0</v>
      </c>
      <c r="G1028" s="21" t="n">
        <v>0</v>
      </c>
      <c r="H1028" s="21" t="n">
        <v>0</v>
      </c>
      <c r="I1028" s="21" t="n">
        <v>0</v>
      </c>
      <c r="J1028" s="21" t="n">
        <v>0</v>
      </c>
      <c r="K1028" s="21" t="n">
        <v>0</v>
      </c>
      <c r="L1028" s="21" t="n">
        <v>0</v>
      </c>
      <c r="M1028" s="21" t="n">
        <v>0</v>
      </c>
      <c r="N1028" s="21" t="n">
        <v>0</v>
      </c>
      <c r="O1028" s="21" t="n">
        <v>0</v>
      </c>
      <c r="P1028" s="21" t="n">
        <v>0</v>
      </c>
      <c r="Q1028" s="21" t="n">
        <v>0</v>
      </c>
      <c r="R1028" s="21" t="n">
        <v>0</v>
      </c>
      <c r="S1028" s="21" t="n">
        <v>0</v>
      </c>
      <c r="T1028" s="21" t="n">
        <v>0</v>
      </c>
      <c r="U1028" s="21" t="n">
        <v>0</v>
      </c>
      <c r="V1028" s="21" t="n">
        <v>0</v>
      </c>
      <c r="W1028" s="21" t="n">
        <v>0</v>
      </c>
      <c r="X1028" s="21" t="n">
        <v>0</v>
      </c>
      <c r="Y1028" s="21" t="n">
        <v>0</v>
      </c>
      <c r="Z1028" s="21" t="n">
        <v>0</v>
      </c>
      <c r="AA1028" s="21" t="n">
        <v>0</v>
      </c>
      <c r="AB1028" s="21">
        <f>$B$19</f>
        <v/>
      </c>
      <c r="AC1028" s="21">
        <f>$B$21</f>
        <v/>
      </c>
      <c r="AD1028" s="21">
        <f>0</f>
        <v/>
      </c>
      <c r="AE1028" s="21">
        <f>2*$B$20</f>
        <v/>
      </c>
      <c r="AF1028" s="21">
        <f>-$B$19</f>
        <v/>
      </c>
      <c r="AG1028" s="21">
        <f>$B$21</f>
        <v/>
      </c>
      <c r="AH1028" s="21" t="n">
        <v>0</v>
      </c>
      <c r="AI1028" s="21" t="n">
        <v>0</v>
      </c>
      <c r="AJ1028" s="21" t="n">
        <v>0</v>
      </c>
      <c r="AK1028" s="21" t="n">
        <v>0</v>
      </c>
      <c r="AL1028" s="21" t="n">
        <v>0</v>
      </c>
      <c r="AM1028" s="21" t="n">
        <v>0</v>
      </c>
      <c r="AN1028" s="21" t="n">
        <v>0</v>
      </c>
      <c r="AO1028" s="21" t="n">
        <v>0</v>
      </c>
      <c r="AP1028" s="21" t="n">
        <v>0</v>
      </c>
      <c r="AQ1028" s="21" t="n">
        <v>0</v>
      </c>
      <c r="AR1028" s="21" t="n">
        <v>0</v>
      </c>
      <c r="AS1028" s="21" t="n">
        <v>0</v>
      </c>
      <c r="AT1028" s="19" t="n"/>
    </row>
    <row r="1029">
      <c r="D1029" s="21" t="n">
        <v>0</v>
      </c>
      <c r="E1029" s="21" t="n">
        <v>0</v>
      </c>
      <c r="F1029" s="21" t="n">
        <v>0</v>
      </c>
      <c r="G1029" s="21" t="n">
        <v>0</v>
      </c>
      <c r="H1029" s="21" t="n">
        <v>0</v>
      </c>
      <c r="I1029" s="21" t="n">
        <v>0</v>
      </c>
      <c r="J1029" s="21" t="n">
        <v>0</v>
      </c>
      <c r="K1029" s="21" t="n">
        <v>0</v>
      </c>
      <c r="L1029" s="21" t="n">
        <v>0</v>
      </c>
      <c r="M1029" s="21" t="n">
        <v>0</v>
      </c>
      <c r="N1029" s="21" t="n">
        <v>0</v>
      </c>
      <c r="O1029" s="21" t="n">
        <v>0</v>
      </c>
      <c r="P1029" s="21" t="n">
        <v>0</v>
      </c>
      <c r="Q1029" s="21" t="n">
        <v>0</v>
      </c>
      <c r="R1029" s="21" t="n">
        <v>0</v>
      </c>
      <c r="S1029" s="21" t="n">
        <v>0</v>
      </c>
      <c r="T1029" s="21" t="n">
        <v>0</v>
      </c>
      <c r="U1029" s="21" t="n">
        <v>0</v>
      </c>
      <c r="V1029" s="21" t="n">
        <v>0</v>
      </c>
      <c r="W1029" s="21" t="n">
        <v>0</v>
      </c>
      <c r="X1029" s="21" t="n">
        <v>0</v>
      </c>
      <c r="Y1029" s="21" t="n">
        <v>0</v>
      </c>
      <c r="Z1029" s="21" t="n">
        <v>0</v>
      </c>
      <c r="AA1029" s="21" t="n">
        <v>0</v>
      </c>
      <c r="AB1029" s="21" t="n">
        <v>0</v>
      </c>
      <c r="AC1029" s="21" t="n">
        <v>0</v>
      </c>
      <c r="AD1029" s="21">
        <f>-$B$18</f>
        <v/>
      </c>
      <c r="AE1029" s="21">
        <f>-$B$19</f>
        <v/>
      </c>
      <c r="AF1029" s="21">
        <f>2*$B$18+$D$993</f>
        <v/>
      </c>
      <c r="AG1029" s="21">
        <f>0</f>
        <v/>
      </c>
      <c r="AH1029" s="21">
        <f>-$B$18</f>
        <v/>
      </c>
      <c r="AI1029" s="21">
        <f>$B$19</f>
        <v/>
      </c>
      <c r="AJ1029" s="21" t="n">
        <v>0</v>
      </c>
      <c r="AK1029" s="21" t="n">
        <v>0</v>
      </c>
      <c r="AL1029" s="21" t="n">
        <v>0</v>
      </c>
      <c r="AM1029" s="21" t="n">
        <v>0</v>
      </c>
      <c r="AN1029" s="21" t="n">
        <v>0</v>
      </c>
      <c r="AO1029" s="21" t="n">
        <v>0</v>
      </c>
      <c r="AP1029" s="21" t="n">
        <v>0</v>
      </c>
      <c r="AQ1029" s="21" t="n">
        <v>0</v>
      </c>
      <c r="AR1029" s="21" t="n">
        <v>0</v>
      </c>
      <c r="AS1029" s="21" t="n">
        <v>0</v>
      </c>
      <c r="AT1029" s="19" t="n"/>
    </row>
    <row r="1030">
      <c r="D1030" s="21" t="n">
        <v>0</v>
      </c>
      <c r="E1030" s="21" t="n">
        <v>0</v>
      </c>
      <c r="F1030" s="21" t="n">
        <v>0</v>
      </c>
      <c r="G1030" s="21" t="n">
        <v>0</v>
      </c>
      <c r="H1030" s="21" t="n">
        <v>0</v>
      </c>
      <c r="I1030" s="21" t="n">
        <v>0</v>
      </c>
      <c r="J1030" s="21" t="n">
        <v>0</v>
      </c>
      <c r="K1030" s="21" t="n">
        <v>0</v>
      </c>
      <c r="L1030" s="21" t="n">
        <v>0</v>
      </c>
      <c r="M1030" s="21" t="n">
        <v>0</v>
      </c>
      <c r="N1030" s="21" t="n">
        <v>0</v>
      </c>
      <c r="O1030" s="21" t="n">
        <v>0</v>
      </c>
      <c r="P1030" s="21" t="n">
        <v>0</v>
      </c>
      <c r="Q1030" s="21" t="n">
        <v>0</v>
      </c>
      <c r="R1030" s="21" t="n">
        <v>0</v>
      </c>
      <c r="S1030" s="21" t="n">
        <v>0</v>
      </c>
      <c r="T1030" s="21" t="n">
        <v>0</v>
      </c>
      <c r="U1030" s="21" t="n">
        <v>0</v>
      </c>
      <c r="V1030" s="21" t="n">
        <v>0</v>
      </c>
      <c r="W1030" s="21" t="n">
        <v>0</v>
      </c>
      <c r="X1030" s="21" t="n">
        <v>0</v>
      </c>
      <c r="Y1030" s="21" t="n">
        <v>0</v>
      </c>
      <c r="Z1030" s="21" t="n">
        <v>0</v>
      </c>
      <c r="AA1030" s="21" t="n">
        <v>0</v>
      </c>
      <c r="AB1030" s="21" t="n">
        <v>0</v>
      </c>
      <c r="AC1030" s="21" t="n">
        <v>0</v>
      </c>
      <c r="AD1030" s="21">
        <f>$B$19</f>
        <v/>
      </c>
      <c r="AE1030" s="21">
        <f>$B$21</f>
        <v/>
      </c>
      <c r="AF1030" s="21">
        <f>0</f>
        <v/>
      </c>
      <c r="AG1030" s="21">
        <f>2*$B$20</f>
        <v/>
      </c>
      <c r="AH1030" s="21">
        <f>-$B$19</f>
        <v/>
      </c>
      <c r="AI1030" s="21">
        <f>$B$21</f>
        <v/>
      </c>
      <c r="AJ1030" s="21" t="n">
        <v>0</v>
      </c>
      <c r="AK1030" s="21" t="n">
        <v>0</v>
      </c>
      <c r="AL1030" s="21" t="n">
        <v>0</v>
      </c>
      <c r="AM1030" s="21" t="n">
        <v>0</v>
      </c>
      <c r="AN1030" s="21" t="n">
        <v>0</v>
      </c>
      <c r="AO1030" s="21" t="n">
        <v>0</v>
      </c>
      <c r="AP1030" s="21" t="n">
        <v>0</v>
      </c>
      <c r="AQ1030" s="21" t="n">
        <v>0</v>
      </c>
      <c r="AR1030" s="21" t="n">
        <v>0</v>
      </c>
      <c r="AS1030" s="21" t="n">
        <v>0</v>
      </c>
      <c r="AT1030" s="19" t="n"/>
    </row>
    <row r="1031">
      <c r="D1031" s="21" t="n">
        <v>0</v>
      </c>
      <c r="E1031" s="21" t="n">
        <v>0</v>
      </c>
      <c r="F1031" s="21" t="n">
        <v>0</v>
      </c>
      <c r="G1031" s="21" t="n">
        <v>0</v>
      </c>
      <c r="H1031" s="21" t="n">
        <v>0</v>
      </c>
      <c r="I1031" s="21" t="n">
        <v>0</v>
      </c>
      <c r="J1031" s="21" t="n">
        <v>0</v>
      </c>
      <c r="K1031" s="21" t="n">
        <v>0</v>
      </c>
      <c r="L1031" s="21" t="n">
        <v>0</v>
      </c>
      <c r="M1031" s="21" t="n">
        <v>0</v>
      </c>
      <c r="N1031" s="21" t="n">
        <v>0</v>
      </c>
      <c r="O1031" s="21" t="n">
        <v>0</v>
      </c>
      <c r="P1031" s="21" t="n">
        <v>0</v>
      </c>
      <c r="Q1031" s="21" t="n">
        <v>0</v>
      </c>
      <c r="R1031" s="21" t="n">
        <v>0</v>
      </c>
      <c r="S1031" s="21" t="n">
        <v>0</v>
      </c>
      <c r="T1031" s="21" t="n">
        <v>0</v>
      </c>
      <c r="U1031" s="21" t="n">
        <v>0</v>
      </c>
      <c r="V1031" s="21" t="n">
        <v>0</v>
      </c>
      <c r="W1031" s="21" t="n">
        <v>0</v>
      </c>
      <c r="X1031" s="21" t="n">
        <v>0</v>
      </c>
      <c r="Y1031" s="21" t="n">
        <v>0</v>
      </c>
      <c r="Z1031" s="21" t="n">
        <v>0</v>
      </c>
      <c r="AA1031" s="21" t="n">
        <v>0</v>
      </c>
      <c r="AB1031" s="21" t="n">
        <v>0</v>
      </c>
      <c r="AC1031" s="21" t="n">
        <v>0</v>
      </c>
      <c r="AD1031" s="21" t="n">
        <v>0</v>
      </c>
      <c r="AE1031" s="21" t="n">
        <v>0</v>
      </c>
      <c r="AF1031" s="21">
        <f>-$B$18</f>
        <v/>
      </c>
      <c r="AG1031" s="21">
        <f>-$B$19</f>
        <v/>
      </c>
      <c r="AH1031" s="21">
        <f>2*$B$18+$D$994</f>
        <v/>
      </c>
      <c r="AI1031" s="21">
        <f>0</f>
        <v/>
      </c>
      <c r="AJ1031" s="21">
        <f>-$B$18</f>
        <v/>
      </c>
      <c r="AK1031" s="21">
        <f>$B$19</f>
        <v/>
      </c>
      <c r="AL1031" s="21" t="n">
        <v>0</v>
      </c>
      <c r="AM1031" s="21" t="n">
        <v>0</v>
      </c>
      <c r="AN1031" s="21" t="n">
        <v>0</v>
      </c>
      <c r="AO1031" s="21" t="n">
        <v>0</v>
      </c>
      <c r="AP1031" s="21" t="n">
        <v>0</v>
      </c>
      <c r="AQ1031" s="21" t="n">
        <v>0</v>
      </c>
      <c r="AR1031" s="21" t="n">
        <v>0</v>
      </c>
      <c r="AS1031" s="21" t="n">
        <v>0</v>
      </c>
      <c r="AT1031" s="19" t="n"/>
    </row>
    <row r="1032">
      <c r="D1032" s="21" t="n">
        <v>0</v>
      </c>
      <c r="E1032" s="21" t="n">
        <v>0</v>
      </c>
      <c r="F1032" s="21" t="n">
        <v>0</v>
      </c>
      <c r="G1032" s="21" t="n">
        <v>0</v>
      </c>
      <c r="H1032" s="21" t="n">
        <v>0</v>
      </c>
      <c r="I1032" s="21" t="n">
        <v>0</v>
      </c>
      <c r="J1032" s="21" t="n">
        <v>0</v>
      </c>
      <c r="K1032" s="21" t="n">
        <v>0</v>
      </c>
      <c r="L1032" s="21" t="n">
        <v>0</v>
      </c>
      <c r="M1032" s="21" t="n">
        <v>0</v>
      </c>
      <c r="N1032" s="21" t="n">
        <v>0</v>
      </c>
      <c r="O1032" s="21" t="n">
        <v>0</v>
      </c>
      <c r="P1032" s="21" t="n">
        <v>0</v>
      </c>
      <c r="Q1032" s="21" t="n">
        <v>0</v>
      </c>
      <c r="R1032" s="21" t="n">
        <v>0</v>
      </c>
      <c r="S1032" s="21" t="n">
        <v>0</v>
      </c>
      <c r="T1032" s="21" t="n">
        <v>0</v>
      </c>
      <c r="U1032" s="21" t="n">
        <v>0</v>
      </c>
      <c r="V1032" s="21" t="n">
        <v>0</v>
      </c>
      <c r="W1032" s="21" t="n">
        <v>0</v>
      </c>
      <c r="X1032" s="21" t="n">
        <v>0</v>
      </c>
      <c r="Y1032" s="21" t="n">
        <v>0</v>
      </c>
      <c r="Z1032" s="21" t="n">
        <v>0</v>
      </c>
      <c r="AA1032" s="21" t="n">
        <v>0</v>
      </c>
      <c r="AB1032" s="21" t="n">
        <v>0</v>
      </c>
      <c r="AC1032" s="21" t="n">
        <v>0</v>
      </c>
      <c r="AD1032" s="21" t="n">
        <v>0</v>
      </c>
      <c r="AE1032" s="21" t="n">
        <v>0</v>
      </c>
      <c r="AF1032" s="21">
        <f>$B$19</f>
        <v/>
      </c>
      <c r="AG1032" s="21">
        <f>$B$21</f>
        <v/>
      </c>
      <c r="AH1032" s="21">
        <f>0</f>
        <v/>
      </c>
      <c r="AI1032" s="21">
        <f>2*$B$20</f>
        <v/>
      </c>
      <c r="AJ1032" s="21">
        <f>-$B$19</f>
        <v/>
      </c>
      <c r="AK1032" s="21">
        <f>$B$21</f>
        <v/>
      </c>
      <c r="AL1032" s="21" t="n">
        <v>0</v>
      </c>
      <c r="AM1032" s="21" t="n">
        <v>0</v>
      </c>
      <c r="AN1032" s="21" t="n">
        <v>0</v>
      </c>
      <c r="AO1032" s="21" t="n">
        <v>0</v>
      </c>
      <c r="AP1032" s="21" t="n">
        <v>0</v>
      </c>
      <c r="AQ1032" s="21" t="n">
        <v>0</v>
      </c>
      <c r="AR1032" s="21" t="n">
        <v>0</v>
      </c>
      <c r="AS1032" s="21" t="n">
        <v>0</v>
      </c>
      <c r="AT1032" s="19" t="n"/>
    </row>
    <row r="1033">
      <c r="D1033" s="21" t="n">
        <v>0</v>
      </c>
      <c r="E1033" s="21" t="n">
        <v>0</v>
      </c>
      <c r="F1033" s="21" t="n">
        <v>0</v>
      </c>
      <c r="G1033" s="21" t="n">
        <v>0</v>
      </c>
      <c r="H1033" s="21" t="n">
        <v>0</v>
      </c>
      <c r="I1033" s="21" t="n">
        <v>0</v>
      </c>
      <c r="J1033" s="21" t="n">
        <v>0</v>
      </c>
      <c r="K1033" s="21" t="n">
        <v>0</v>
      </c>
      <c r="L1033" s="21" t="n">
        <v>0</v>
      </c>
      <c r="M1033" s="21" t="n">
        <v>0</v>
      </c>
      <c r="N1033" s="21" t="n">
        <v>0</v>
      </c>
      <c r="O1033" s="21" t="n">
        <v>0</v>
      </c>
      <c r="P1033" s="21" t="n">
        <v>0</v>
      </c>
      <c r="Q1033" s="21" t="n">
        <v>0</v>
      </c>
      <c r="R1033" s="21" t="n">
        <v>0</v>
      </c>
      <c r="S1033" s="21" t="n">
        <v>0</v>
      </c>
      <c r="T1033" s="21" t="n">
        <v>0</v>
      </c>
      <c r="U1033" s="21" t="n">
        <v>0</v>
      </c>
      <c r="V1033" s="21" t="n">
        <v>0</v>
      </c>
      <c r="W1033" s="21" t="n">
        <v>0</v>
      </c>
      <c r="X1033" s="21" t="n">
        <v>0</v>
      </c>
      <c r="Y1033" s="21" t="n">
        <v>0</v>
      </c>
      <c r="Z1033" s="21" t="n">
        <v>0</v>
      </c>
      <c r="AA1033" s="21" t="n">
        <v>0</v>
      </c>
      <c r="AB1033" s="21" t="n">
        <v>0</v>
      </c>
      <c r="AC1033" s="21" t="n">
        <v>0</v>
      </c>
      <c r="AD1033" s="21" t="n">
        <v>0</v>
      </c>
      <c r="AE1033" s="21" t="n">
        <v>0</v>
      </c>
      <c r="AF1033" s="21" t="n">
        <v>0</v>
      </c>
      <c r="AG1033" s="21" t="n">
        <v>0</v>
      </c>
      <c r="AH1033" s="21">
        <f>-$B$18</f>
        <v/>
      </c>
      <c r="AI1033" s="21">
        <f>-$B$19</f>
        <v/>
      </c>
      <c r="AJ1033" s="21">
        <f>2*$B$18+$D$995</f>
        <v/>
      </c>
      <c r="AK1033" s="21">
        <f>0</f>
        <v/>
      </c>
      <c r="AL1033" s="21">
        <f>-$B$18</f>
        <v/>
      </c>
      <c r="AM1033" s="21">
        <f>$B$19</f>
        <v/>
      </c>
      <c r="AN1033" s="21" t="n">
        <v>0</v>
      </c>
      <c r="AO1033" s="21" t="n">
        <v>0</v>
      </c>
      <c r="AP1033" s="21" t="n">
        <v>0</v>
      </c>
      <c r="AQ1033" s="21" t="n">
        <v>0</v>
      </c>
      <c r="AR1033" s="21" t="n">
        <v>0</v>
      </c>
      <c r="AS1033" s="21" t="n">
        <v>0</v>
      </c>
      <c r="AT1033" s="19" t="n"/>
    </row>
    <row r="1034">
      <c r="D1034" s="21" t="n">
        <v>0</v>
      </c>
      <c r="E1034" s="21" t="n">
        <v>0</v>
      </c>
      <c r="F1034" s="21" t="n">
        <v>0</v>
      </c>
      <c r="G1034" s="21" t="n">
        <v>0</v>
      </c>
      <c r="H1034" s="21" t="n">
        <v>0</v>
      </c>
      <c r="I1034" s="21" t="n">
        <v>0</v>
      </c>
      <c r="J1034" s="21" t="n">
        <v>0</v>
      </c>
      <c r="K1034" s="21" t="n">
        <v>0</v>
      </c>
      <c r="L1034" s="21" t="n">
        <v>0</v>
      </c>
      <c r="M1034" s="21" t="n">
        <v>0</v>
      </c>
      <c r="N1034" s="21" t="n">
        <v>0</v>
      </c>
      <c r="O1034" s="21" t="n">
        <v>0</v>
      </c>
      <c r="P1034" s="21" t="n">
        <v>0</v>
      </c>
      <c r="Q1034" s="21" t="n">
        <v>0</v>
      </c>
      <c r="R1034" s="21" t="n">
        <v>0</v>
      </c>
      <c r="S1034" s="21" t="n">
        <v>0</v>
      </c>
      <c r="T1034" s="21" t="n">
        <v>0</v>
      </c>
      <c r="U1034" s="21" t="n">
        <v>0</v>
      </c>
      <c r="V1034" s="21" t="n">
        <v>0</v>
      </c>
      <c r="W1034" s="21" t="n">
        <v>0</v>
      </c>
      <c r="X1034" s="21" t="n">
        <v>0</v>
      </c>
      <c r="Y1034" s="21" t="n">
        <v>0</v>
      </c>
      <c r="Z1034" s="21" t="n">
        <v>0</v>
      </c>
      <c r="AA1034" s="21" t="n">
        <v>0</v>
      </c>
      <c r="AB1034" s="21" t="n">
        <v>0</v>
      </c>
      <c r="AC1034" s="21" t="n">
        <v>0</v>
      </c>
      <c r="AD1034" s="21" t="n">
        <v>0</v>
      </c>
      <c r="AE1034" s="21" t="n">
        <v>0</v>
      </c>
      <c r="AF1034" s="21" t="n">
        <v>0</v>
      </c>
      <c r="AG1034" s="21" t="n">
        <v>0</v>
      </c>
      <c r="AH1034" s="21">
        <f>$B$19</f>
        <v/>
      </c>
      <c r="AI1034" s="21">
        <f>$B$21</f>
        <v/>
      </c>
      <c r="AJ1034" s="21">
        <f>0</f>
        <v/>
      </c>
      <c r="AK1034" s="21">
        <f>2*$B$20</f>
        <v/>
      </c>
      <c r="AL1034" s="21">
        <f>-$B$19</f>
        <v/>
      </c>
      <c r="AM1034" s="21">
        <f>$B$21</f>
        <v/>
      </c>
      <c r="AN1034" s="21" t="n">
        <v>0</v>
      </c>
      <c r="AO1034" s="21" t="n">
        <v>0</v>
      </c>
      <c r="AP1034" s="21" t="n">
        <v>0</v>
      </c>
      <c r="AQ1034" s="21" t="n">
        <v>0</v>
      </c>
      <c r="AR1034" s="21" t="n">
        <v>0</v>
      </c>
      <c r="AS1034" s="21" t="n">
        <v>0</v>
      </c>
      <c r="AT1034" s="19" t="n"/>
    </row>
    <row r="1035">
      <c r="D1035" s="21" t="n">
        <v>0</v>
      </c>
      <c r="E1035" s="21" t="n">
        <v>0</v>
      </c>
      <c r="F1035" s="21" t="n">
        <v>0</v>
      </c>
      <c r="G1035" s="21" t="n">
        <v>0</v>
      </c>
      <c r="H1035" s="21" t="n">
        <v>0</v>
      </c>
      <c r="I1035" s="21" t="n">
        <v>0</v>
      </c>
      <c r="J1035" s="21" t="n">
        <v>0</v>
      </c>
      <c r="K1035" s="21" t="n">
        <v>0</v>
      </c>
      <c r="L1035" s="21" t="n">
        <v>0</v>
      </c>
      <c r="M1035" s="21" t="n">
        <v>0</v>
      </c>
      <c r="N1035" s="21" t="n">
        <v>0</v>
      </c>
      <c r="O1035" s="21" t="n">
        <v>0</v>
      </c>
      <c r="P1035" s="21" t="n">
        <v>0</v>
      </c>
      <c r="Q1035" s="21" t="n">
        <v>0</v>
      </c>
      <c r="R1035" s="21" t="n">
        <v>0</v>
      </c>
      <c r="S1035" s="21" t="n">
        <v>0</v>
      </c>
      <c r="T1035" s="21" t="n">
        <v>0</v>
      </c>
      <c r="U1035" s="21" t="n">
        <v>0</v>
      </c>
      <c r="V1035" s="21" t="n">
        <v>0</v>
      </c>
      <c r="W1035" s="21" t="n">
        <v>0</v>
      </c>
      <c r="X1035" s="21" t="n">
        <v>0</v>
      </c>
      <c r="Y1035" s="21" t="n">
        <v>0</v>
      </c>
      <c r="Z1035" s="21" t="n">
        <v>0</v>
      </c>
      <c r="AA1035" s="21" t="n">
        <v>0</v>
      </c>
      <c r="AB1035" s="21" t="n">
        <v>0</v>
      </c>
      <c r="AC1035" s="21" t="n">
        <v>0</v>
      </c>
      <c r="AD1035" s="21" t="n">
        <v>0</v>
      </c>
      <c r="AE1035" s="21" t="n">
        <v>0</v>
      </c>
      <c r="AF1035" s="21" t="n">
        <v>0</v>
      </c>
      <c r="AG1035" s="21" t="n">
        <v>0</v>
      </c>
      <c r="AH1035" s="21" t="n">
        <v>0</v>
      </c>
      <c r="AI1035" s="21" t="n">
        <v>0</v>
      </c>
      <c r="AJ1035" s="21">
        <f>-$B$18</f>
        <v/>
      </c>
      <c r="AK1035" s="21">
        <f>-$B$19</f>
        <v/>
      </c>
      <c r="AL1035" s="21">
        <f>2*$B$18+$D$996</f>
        <v/>
      </c>
      <c r="AM1035" s="21">
        <f>0</f>
        <v/>
      </c>
      <c r="AN1035" s="21">
        <f>-$B$18</f>
        <v/>
      </c>
      <c r="AO1035" s="21">
        <f>$B$19</f>
        <v/>
      </c>
      <c r="AP1035" s="21" t="n">
        <v>0</v>
      </c>
      <c r="AQ1035" s="21" t="n">
        <v>0</v>
      </c>
      <c r="AR1035" s="21" t="n">
        <v>0</v>
      </c>
      <c r="AS1035" s="21" t="n">
        <v>0</v>
      </c>
      <c r="AT1035" s="19" t="n"/>
    </row>
    <row r="1036">
      <c r="D1036" s="21" t="n">
        <v>0</v>
      </c>
      <c r="E1036" s="21" t="n">
        <v>0</v>
      </c>
      <c r="F1036" s="21" t="n">
        <v>0</v>
      </c>
      <c r="G1036" s="21" t="n">
        <v>0</v>
      </c>
      <c r="H1036" s="21" t="n">
        <v>0</v>
      </c>
      <c r="I1036" s="21" t="n">
        <v>0</v>
      </c>
      <c r="J1036" s="21" t="n">
        <v>0</v>
      </c>
      <c r="K1036" s="21" t="n">
        <v>0</v>
      </c>
      <c r="L1036" s="21" t="n">
        <v>0</v>
      </c>
      <c r="M1036" s="21" t="n">
        <v>0</v>
      </c>
      <c r="N1036" s="21" t="n">
        <v>0</v>
      </c>
      <c r="O1036" s="21" t="n">
        <v>0</v>
      </c>
      <c r="P1036" s="21" t="n">
        <v>0</v>
      </c>
      <c r="Q1036" s="21" t="n">
        <v>0</v>
      </c>
      <c r="R1036" s="21" t="n">
        <v>0</v>
      </c>
      <c r="S1036" s="21" t="n">
        <v>0</v>
      </c>
      <c r="T1036" s="21" t="n">
        <v>0</v>
      </c>
      <c r="U1036" s="21" t="n">
        <v>0</v>
      </c>
      <c r="V1036" s="21" t="n">
        <v>0</v>
      </c>
      <c r="W1036" s="21" t="n">
        <v>0</v>
      </c>
      <c r="X1036" s="21" t="n">
        <v>0</v>
      </c>
      <c r="Y1036" s="21" t="n">
        <v>0</v>
      </c>
      <c r="Z1036" s="21" t="n">
        <v>0</v>
      </c>
      <c r="AA1036" s="21" t="n">
        <v>0</v>
      </c>
      <c r="AB1036" s="21" t="n">
        <v>0</v>
      </c>
      <c r="AC1036" s="21" t="n">
        <v>0</v>
      </c>
      <c r="AD1036" s="21" t="n">
        <v>0</v>
      </c>
      <c r="AE1036" s="21" t="n">
        <v>0</v>
      </c>
      <c r="AF1036" s="21" t="n">
        <v>0</v>
      </c>
      <c r="AG1036" s="21" t="n">
        <v>0</v>
      </c>
      <c r="AH1036" s="21" t="n">
        <v>0</v>
      </c>
      <c r="AI1036" s="21" t="n">
        <v>0</v>
      </c>
      <c r="AJ1036" s="21">
        <f>$B$19</f>
        <v/>
      </c>
      <c r="AK1036" s="21">
        <f>$B$21</f>
        <v/>
      </c>
      <c r="AL1036" s="21">
        <f>0</f>
        <v/>
      </c>
      <c r="AM1036" s="21">
        <f>2*$B$20</f>
        <v/>
      </c>
      <c r="AN1036" s="21">
        <f>-$B$19</f>
        <v/>
      </c>
      <c r="AO1036" s="21">
        <f>$B$21</f>
        <v/>
      </c>
      <c r="AP1036" s="21" t="n">
        <v>0</v>
      </c>
      <c r="AQ1036" s="21" t="n">
        <v>0</v>
      </c>
      <c r="AR1036" s="21" t="n">
        <v>0</v>
      </c>
      <c r="AS1036" s="21" t="n">
        <v>0</v>
      </c>
      <c r="AT1036" s="19" t="n"/>
    </row>
    <row r="1037">
      <c r="D1037" s="21" t="n">
        <v>0</v>
      </c>
      <c r="E1037" s="21" t="n">
        <v>0</v>
      </c>
      <c r="F1037" s="21" t="n">
        <v>0</v>
      </c>
      <c r="G1037" s="21" t="n">
        <v>0</v>
      </c>
      <c r="H1037" s="21" t="n">
        <v>0</v>
      </c>
      <c r="I1037" s="21" t="n">
        <v>0</v>
      </c>
      <c r="J1037" s="21" t="n">
        <v>0</v>
      </c>
      <c r="K1037" s="21" t="n">
        <v>0</v>
      </c>
      <c r="L1037" s="21" t="n">
        <v>0</v>
      </c>
      <c r="M1037" s="21" t="n">
        <v>0</v>
      </c>
      <c r="N1037" s="21" t="n">
        <v>0</v>
      </c>
      <c r="O1037" s="21" t="n">
        <v>0</v>
      </c>
      <c r="P1037" s="21" t="n">
        <v>0</v>
      </c>
      <c r="Q1037" s="21" t="n">
        <v>0</v>
      </c>
      <c r="R1037" s="21" t="n">
        <v>0</v>
      </c>
      <c r="S1037" s="21" t="n">
        <v>0</v>
      </c>
      <c r="T1037" s="21" t="n">
        <v>0</v>
      </c>
      <c r="U1037" s="21" t="n">
        <v>0</v>
      </c>
      <c r="V1037" s="21" t="n">
        <v>0</v>
      </c>
      <c r="W1037" s="21" t="n">
        <v>0</v>
      </c>
      <c r="X1037" s="21" t="n">
        <v>0</v>
      </c>
      <c r="Y1037" s="21" t="n">
        <v>0</v>
      </c>
      <c r="Z1037" s="21" t="n">
        <v>0</v>
      </c>
      <c r="AA1037" s="21" t="n">
        <v>0</v>
      </c>
      <c r="AB1037" s="21" t="n">
        <v>0</v>
      </c>
      <c r="AC1037" s="21" t="n">
        <v>0</v>
      </c>
      <c r="AD1037" s="21" t="n">
        <v>0</v>
      </c>
      <c r="AE1037" s="21" t="n">
        <v>0</v>
      </c>
      <c r="AF1037" s="21" t="n">
        <v>0</v>
      </c>
      <c r="AG1037" s="21" t="n">
        <v>0</v>
      </c>
      <c r="AH1037" s="21" t="n">
        <v>0</v>
      </c>
      <c r="AI1037" s="21" t="n">
        <v>0</v>
      </c>
      <c r="AJ1037" s="21" t="n">
        <v>0</v>
      </c>
      <c r="AK1037" s="21" t="n">
        <v>0</v>
      </c>
      <c r="AL1037" s="21">
        <f>-$B$18</f>
        <v/>
      </c>
      <c r="AM1037" s="21">
        <f>-$B$19</f>
        <v/>
      </c>
      <c r="AN1037" s="21">
        <f>2*$B$18+$D$997</f>
        <v/>
      </c>
      <c r="AO1037" s="21">
        <f>0</f>
        <v/>
      </c>
      <c r="AP1037" s="21">
        <f>-$B$18</f>
        <v/>
      </c>
      <c r="AQ1037" s="21">
        <f>$B$19</f>
        <v/>
      </c>
      <c r="AR1037" s="21" t="n">
        <v>0</v>
      </c>
      <c r="AS1037" s="21" t="n">
        <v>0</v>
      </c>
      <c r="AT1037" s="19" t="n"/>
    </row>
    <row r="1038">
      <c r="D1038" s="21" t="n">
        <v>0</v>
      </c>
      <c r="E1038" s="21" t="n">
        <v>0</v>
      </c>
      <c r="F1038" s="21" t="n">
        <v>0</v>
      </c>
      <c r="G1038" s="21" t="n">
        <v>0</v>
      </c>
      <c r="H1038" s="21" t="n">
        <v>0</v>
      </c>
      <c r="I1038" s="21" t="n">
        <v>0</v>
      </c>
      <c r="J1038" s="21" t="n">
        <v>0</v>
      </c>
      <c r="K1038" s="21" t="n">
        <v>0</v>
      </c>
      <c r="L1038" s="21" t="n">
        <v>0</v>
      </c>
      <c r="M1038" s="21" t="n">
        <v>0</v>
      </c>
      <c r="N1038" s="21" t="n">
        <v>0</v>
      </c>
      <c r="O1038" s="21" t="n">
        <v>0</v>
      </c>
      <c r="P1038" s="21" t="n">
        <v>0</v>
      </c>
      <c r="Q1038" s="21" t="n">
        <v>0</v>
      </c>
      <c r="R1038" s="21" t="n">
        <v>0</v>
      </c>
      <c r="S1038" s="21" t="n">
        <v>0</v>
      </c>
      <c r="T1038" s="21" t="n">
        <v>0</v>
      </c>
      <c r="U1038" s="21" t="n">
        <v>0</v>
      </c>
      <c r="V1038" s="21" t="n">
        <v>0</v>
      </c>
      <c r="W1038" s="21" t="n">
        <v>0</v>
      </c>
      <c r="X1038" s="21" t="n">
        <v>0</v>
      </c>
      <c r="Y1038" s="21" t="n">
        <v>0</v>
      </c>
      <c r="Z1038" s="21" t="n">
        <v>0</v>
      </c>
      <c r="AA1038" s="21" t="n">
        <v>0</v>
      </c>
      <c r="AB1038" s="21" t="n">
        <v>0</v>
      </c>
      <c r="AC1038" s="21" t="n">
        <v>0</v>
      </c>
      <c r="AD1038" s="21" t="n">
        <v>0</v>
      </c>
      <c r="AE1038" s="21" t="n">
        <v>0</v>
      </c>
      <c r="AF1038" s="21" t="n">
        <v>0</v>
      </c>
      <c r="AG1038" s="21" t="n">
        <v>0</v>
      </c>
      <c r="AH1038" s="21" t="n">
        <v>0</v>
      </c>
      <c r="AI1038" s="21" t="n">
        <v>0</v>
      </c>
      <c r="AJ1038" s="21" t="n">
        <v>0</v>
      </c>
      <c r="AK1038" s="21" t="n">
        <v>0</v>
      </c>
      <c r="AL1038" s="21">
        <f>$B$19</f>
        <v/>
      </c>
      <c r="AM1038" s="21">
        <f>$B$21</f>
        <v/>
      </c>
      <c r="AN1038" s="21">
        <f>0</f>
        <v/>
      </c>
      <c r="AO1038" s="21">
        <f>2*$B$20</f>
        <v/>
      </c>
      <c r="AP1038" s="21">
        <f>-$B$19</f>
        <v/>
      </c>
      <c r="AQ1038" s="21">
        <f>$B$21</f>
        <v/>
      </c>
      <c r="AR1038" s="21" t="n">
        <v>0</v>
      </c>
      <c r="AS1038" s="21" t="n">
        <v>0</v>
      </c>
      <c r="AT1038" s="19" t="n"/>
    </row>
    <row r="1039">
      <c r="D1039" s="21" t="n">
        <v>0</v>
      </c>
      <c r="E1039" s="21" t="n">
        <v>0</v>
      </c>
      <c r="F1039" s="21" t="n">
        <v>0</v>
      </c>
      <c r="G1039" s="21" t="n">
        <v>0</v>
      </c>
      <c r="H1039" s="21" t="n">
        <v>0</v>
      </c>
      <c r="I1039" s="21" t="n">
        <v>0</v>
      </c>
      <c r="J1039" s="21" t="n">
        <v>0</v>
      </c>
      <c r="K1039" s="21" t="n">
        <v>0</v>
      </c>
      <c r="L1039" s="21" t="n">
        <v>0</v>
      </c>
      <c r="M1039" s="21" t="n">
        <v>0</v>
      </c>
      <c r="N1039" s="21" t="n">
        <v>0</v>
      </c>
      <c r="O1039" s="21" t="n">
        <v>0</v>
      </c>
      <c r="P1039" s="21" t="n">
        <v>0</v>
      </c>
      <c r="Q1039" s="21" t="n">
        <v>0</v>
      </c>
      <c r="R1039" s="21" t="n">
        <v>0</v>
      </c>
      <c r="S1039" s="21" t="n">
        <v>0</v>
      </c>
      <c r="T1039" s="21" t="n">
        <v>0</v>
      </c>
      <c r="U1039" s="21" t="n">
        <v>0</v>
      </c>
      <c r="V1039" s="21" t="n">
        <v>0</v>
      </c>
      <c r="W1039" s="21" t="n">
        <v>0</v>
      </c>
      <c r="X1039" s="21" t="n">
        <v>0</v>
      </c>
      <c r="Y1039" s="21" t="n">
        <v>0</v>
      </c>
      <c r="Z1039" s="21" t="n">
        <v>0</v>
      </c>
      <c r="AA1039" s="21" t="n">
        <v>0</v>
      </c>
      <c r="AB1039" s="21" t="n">
        <v>0</v>
      </c>
      <c r="AC1039" s="21" t="n">
        <v>0</v>
      </c>
      <c r="AD1039" s="21" t="n">
        <v>0</v>
      </c>
      <c r="AE1039" s="21" t="n">
        <v>0</v>
      </c>
      <c r="AF1039" s="21" t="n">
        <v>0</v>
      </c>
      <c r="AG1039" s="21" t="n">
        <v>0</v>
      </c>
      <c r="AH1039" s="21" t="n">
        <v>0</v>
      </c>
      <c r="AI1039" s="21" t="n">
        <v>0</v>
      </c>
      <c r="AJ1039" s="21" t="n">
        <v>0</v>
      </c>
      <c r="AK1039" s="21" t="n">
        <v>0</v>
      </c>
      <c r="AL1039" s="21" t="n">
        <v>0</v>
      </c>
      <c r="AM1039" s="21" t="n">
        <v>0</v>
      </c>
      <c r="AN1039" s="21">
        <f>-$B$18</f>
        <v/>
      </c>
      <c r="AO1039" s="21">
        <f>-$B$19</f>
        <v/>
      </c>
      <c r="AP1039" s="21">
        <f>2*$B$18+$D$998</f>
        <v/>
      </c>
      <c r="AQ1039" s="21">
        <f>0</f>
        <v/>
      </c>
      <c r="AR1039" s="21">
        <f>-$B$18</f>
        <v/>
      </c>
      <c r="AS1039" s="21">
        <f>$B$19</f>
        <v/>
      </c>
      <c r="AT1039" s="19" t="n"/>
    </row>
    <row r="1040">
      <c r="D1040" s="21" t="n">
        <v>0</v>
      </c>
      <c r="E1040" s="21" t="n">
        <v>0</v>
      </c>
      <c r="F1040" s="21" t="n">
        <v>0</v>
      </c>
      <c r="G1040" s="21" t="n">
        <v>0</v>
      </c>
      <c r="H1040" s="21" t="n">
        <v>0</v>
      </c>
      <c r="I1040" s="21" t="n">
        <v>0</v>
      </c>
      <c r="J1040" s="21" t="n">
        <v>0</v>
      </c>
      <c r="K1040" s="21" t="n">
        <v>0</v>
      </c>
      <c r="L1040" s="21" t="n">
        <v>0</v>
      </c>
      <c r="M1040" s="21" t="n">
        <v>0</v>
      </c>
      <c r="N1040" s="21" t="n">
        <v>0</v>
      </c>
      <c r="O1040" s="21" t="n">
        <v>0</v>
      </c>
      <c r="P1040" s="21" t="n">
        <v>0</v>
      </c>
      <c r="Q1040" s="21" t="n">
        <v>0</v>
      </c>
      <c r="R1040" s="21" t="n">
        <v>0</v>
      </c>
      <c r="S1040" s="21" t="n">
        <v>0</v>
      </c>
      <c r="T1040" s="21" t="n">
        <v>0</v>
      </c>
      <c r="U1040" s="21" t="n">
        <v>0</v>
      </c>
      <c r="V1040" s="21" t="n">
        <v>0</v>
      </c>
      <c r="W1040" s="21" t="n">
        <v>0</v>
      </c>
      <c r="X1040" s="21" t="n">
        <v>0</v>
      </c>
      <c r="Y1040" s="21" t="n">
        <v>0</v>
      </c>
      <c r="Z1040" s="21" t="n">
        <v>0</v>
      </c>
      <c r="AA1040" s="21" t="n">
        <v>0</v>
      </c>
      <c r="AB1040" s="21" t="n">
        <v>0</v>
      </c>
      <c r="AC1040" s="21" t="n">
        <v>0</v>
      </c>
      <c r="AD1040" s="21" t="n">
        <v>0</v>
      </c>
      <c r="AE1040" s="21" t="n">
        <v>0</v>
      </c>
      <c r="AF1040" s="21" t="n">
        <v>0</v>
      </c>
      <c r="AG1040" s="21" t="n">
        <v>0</v>
      </c>
      <c r="AH1040" s="21" t="n">
        <v>0</v>
      </c>
      <c r="AI1040" s="21" t="n">
        <v>0</v>
      </c>
      <c r="AJ1040" s="21" t="n">
        <v>0</v>
      </c>
      <c r="AK1040" s="21" t="n">
        <v>0</v>
      </c>
      <c r="AL1040" s="21" t="n">
        <v>0</v>
      </c>
      <c r="AM1040" s="21" t="n">
        <v>0</v>
      </c>
      <c r="AN1040" s="21">
        <f>$B$19</f>
        <v/>
      </c>
      <c r="AO1040" s="21">
        <f>$B$21</f>
        <v/>
      </c>
      <c r="AP1040" s="21">
        <f>0</f>
        <v/>
      </c>
      <c r="AQ1040" s="21">
        <f>2*$B$20</f>
        <v/>
      </c>
      <c r="AR1040" s="21">
        <f>-$B$19</f>
        <v/>
      </c>
      <c r="AS1040" s="21">
        <f>$B$21</f>
        <v/>
      </c>
      <c r="AT1040" s="19" t="n"/>
    </row>
    <row r="1041">
      <c r="D1041" s="21" t="n">
        <v>0</v>
      </c>
      <c r="E1041" s="21" t="n">
        <v>0</v>
      </c>
      <c r="F1041" s="21" t="n">
        <v>0</v>
      </c>
      <c r="G1041" s="21" t="n">
        <v>0</v>
      </c>
      <c r="H1041" s="21" t="n">
        <v>0</v>
      </c>
      <c r="I1041" s="21" t="n">
        <v>0</v>
      </c>
      <c r="J1041" s="21" t="n">
        <v>0</v>
      </c>
      <c r="K1041" s="21" t="n">
        <v>0</v>
      </c>
      <c r="L1041" s="21" t="n">
        <v>0</v>
      </c>
      <c r="M1041" s="21" t="n">
        <v>0</v>
      </c>
      <c r="N1041" s="21" t="n">
        <v>0</v>
      </c>
      <c r="O1041" s="21" t="n">
        <v>0</v>
      </c>
      <c r="P1041" s="21" t="n">
        <v>0</v>
      </c>
      <c r="Q1041" s="21" t="n">
        <v>0</v>
      </c>
      <c r="R1041" s="21" t="n">
        <v>0</v>
      </c>
      <c r="S1041" s="21" t="n">
        <v>0</v>
      </c>
      <c r="T1041" s="21" t="n">
        <v>0</v>
      </c>
      <c r="U1041" s="21" t="n">
        <v>0</v>
      </c>
      <c r="V1041" s="21" t="n">
        <v>0</v>
      </c>
      <c r="W1041" s="21" t="n">
        <v>0</v>
      </c>
      <c r="X1041" s="21" t="n">
        <v>0</v>
      </c>
      <c r="Y1041" s="21" t="n">
        <v>0</v>
      </c>
      <c r="Z1041" s="21" t="n">
        <v>0</v>
      </c>
      <c r="AA1041" s="21" t="n">
        <v>0</v>
      </c>
      <c r="AB1041" s="21" t="n">
        <v>0</v>
      </c>
      <c r="AC1041" s="21" t="n">
        <v>0</v>
      </c>
      <c r="AD1041" s="21" t="n">
        <v>0</v>
      </c>
      <c r="AE1041" s="21" t="n">
        <v>0</v>
      </c>
      <c r="AF1041" s="21" t="n">
        <v>0</v>
      </c>
      <c r="AG1041" s="21" t="n">
        <v>0</v>
      </c>
      <c r="AH1041" s="21" t="n">
        <v>0</v>
      </c>
      <c r="AI1041" s="21" t="n">
        <v>0</v>
      </c>
      <c r="AJ1041" s="21" t="n">
        <v>0</v>
      </c>
      <c r="AK1041" s="21" t="n">
        <v>0</v>
      </c>
      <c r="AL1041" s="21" t="n">
        <v>0</v>
      </c>
      <c r="AM1041" s="21" t="n">
        <v>0</v>
      </c>
      <c r="AN1041" s="21" t="n">
        <v>0</v>
      </c>
      <c r="AO1041" s="21" t="n">
        <v>0</v>
      </c>
      <c r="AP1041" s="21">
        <f>-$B$18</f>
        <v/>
      </c>
      <c r="AQ1041" s="21">
        <f>-$B$19</f>
        <v/>
      </c>
      <c r="AR1041" s="21">
        <f>$B$18+$D$999</f>
        <v/>
      </c>
      <c r="AS1041" s="21">
        <f>-$B$19</f>
        <v/>
      </c>
      <c r="AT1041" s="19" t="n"/>
    </row>
    <row r="1042">
      <c r="D1042" s="21" t="n">
        <v>0</v>
      </c>
      <c r="E1042" s="21" t="n">
        <v>0</v>
      </c>
      <c r="F1042" s="21" t="n">
        <v>0</v>
      </c>
      <c r="G1042" s="21" t="n">
        <v>0</v>
      </c>
      <c r="H1042" s="21" t="n">
        <v>0</v>
      </c>
      <c r="I1042" s="21" t="n">
        <v>0</v>
      </c>
      <c r="J1042" s="21" t="n">
        <v>0</v>
      </c>
      <c r="K1042" s="21" t="n">
        <v>0</v>
      </c>
      <c r="L1042" s="21" t="n">
        <v>0</v>
      </c>
      <c r="M1042" s="21" t="n">
        <v>0</v>
      </c>
      <c r="N1042" s="21" t="n">
        <v>0</v>
      </c>
      <c r="O1042" s="21" t="n">
        <v>0</v>
      </c>
      <c r="P1042" s="21" t="n">
        <v>0</v>
      </c>
      <c r="Q1042" s="21" t="n">
        <v>0</v>
      </c>
      <c r="R1042" s="21" t="n">
        <v>0</v>
      </c>
      <c r="S1042" s="21" t="n">
        <v>0</v>
      </c>
      <c r="T1042" s="21" t="n">
        <v>0</v>
      </c>
      <c r="U1042" s="21" t="n">
        <v>0</v>
      </c>
      <c r="V1042" s="21" t="n">
        <v>0</v>
      </c>
      <c r="W1042" s="21" t="n">
        <v>0</v>
      </c>
      <c r="X1042" s="21" t="n">
        <v>0</v>
      </c>
      <c r="Y1042" s="21" t="n">
        <v>0</v>
      </c>
      <c r="Z1042" s="21" t="n">
        <v>0</v>
      </c>
      <c r="AA1042" s="21" t="n">
        <v>0</v>
      </c>
      <c r="AB1042" s="21" t="n">
        <v>0</v>
      </c>
      <c r="AC1042" s="21" t="n">
        <v>0</v>
      </c>
      <c r="AD1042" s="21" t="n">
        <v>0</v>
      </c>
      <c r="AE1042" s="21" t="n">
        <v>0</v>
      </c>
      <c r="AF1042" s="21" t="n">
        <v>0</v>
      </c>
      <c r="AG1042" s="21" t="n">
        <v>0</v>
      </c>
      <c r="AH1042" s="21" t="n">
        <v>0</v>
      </c>
      <c r="AI1042" s="21" t="n">
        <v>0</v>
      </c>
      <c r="AJ1042" s="21" t="n">
        <v>0</v>
      </c>
      <c r="AK1042" s="21" t="n">
        <v>0</v>
      </c>
      <c r="AL1042" s="21" t="n">
        <v>0</v>
      </c>
      <c r="AM1042" s="21" t="n">
        <v>0</v>
      </c>
      <c r="AN1042" s="21" t="n">
        <v>0</v>
      </c>
      <c r="AO1042" s="21" t="n">
        <v>0</v>
      </c>
      <c r="AP1042" s="21">
        <f>$B$19</f>
        <v/>
      </c>
      <c r="AQ1042" s="21">
        <f>$B$21</f>
        <v/>
      </c>
      <c r="AR1042" s="21">
        <f>-$B$19</f>
        <v/>
      </c>
      <c r="AS1042" s="21">
        <f>$B$20</f>
        <v/>
      </c>
      <c r="AT1042" s="19" t="n"/>
    </row>
    <row r="1044">
      <c r="A1044" s="8" t="inlineStr">
        <is>
          <t>gen 15</t>
        </is>
      </c>
    </row>
    <row r="1045">
      <c r="D1045" s="19">
        <f>IF(ABS(IF(ABS($E$979)&gt;0.000000001,$E$979,0.000000001))=0,0,IF($E$33&lt;=$B$27,0,IF(ABS(IF(ABS($E$979)&gt;0.000000001,$E$979,0.000000001))&gt;=8*$B$29,$H$33,0.5*$H$33*(ABS(IF(ABS($E$979)&gt;0.000000001,$E$979,0.000000001))/$B$29)^(1/3)))/ABS(IF(ABS($E$979)&gt;0.000000001,$E$979,0.000000001))*$I$33)</f>
        <v/>
      </c>
      <c r="E1045" s="19">
        <f>0.5*$E$979+0.5*$AT$1067</f>
        <v/>
      </c>
      <c r="F1045" s="19">
        <f>$AT$1068</f>
        <v/>
      </c>
    </row>
    <row r="1046">
      <c r="D1046" s="19">
        <f>IF(ABS(IF(ABS($E$980)&gt;0.000000001,$E$980,0.000000001))=0,0,IF($E$34&lt;=$B$27,0,IF(ABS(IF(ABS($E$980)&gt;0.000000001,$E$980,0.000000001))&gt;=8*$B$29,$H$34,0.5*$H$34*(ABS(IF(ABS($E$980)&gt;0.000000001,$E$980,0.000000001))/$B$29)^(1/3)))/ABS(IF(ABS($E$980)&gt;0.000000001,$E$980,0.000000001))*$I$34)</f>
        <v/>
      </c>
      <c r="E1046" s="19">
        <f>0.5*$E$980+0.5*$AT$1069</f>
        <v/>
      </c>
      <c r="F1046" s="19">
        <f>$AT$1070</f>
        <v/>
      </c>
    </row>
    <row r="1047">
      <c r="D1047" s="19">
        <f>IF(ABS(IF(ABS($E$981)&gt;0.000000001,$E$981,0.000000001))=0,0,IF($E$35&lt;=$B$27,0,IF(ABS(IF(ABS($E$981)&gt;0.000000001,$E$981,0.000000001))&gt;=8*$B$29,$H$35,0.5*$H$35*(ABS(IF(ABS($E$981)&gt;0.000000001,$E$981,0.000000001))/$B$29)^(1/3)))/ABS(IF(ABS($E$981)&gt;0.000000001,$E$981,0.000000001))*$I$35)</f>
        <v/>
      </c>
      <c r="E1047" s="19">
        <f>0.5*$E$981+0.5*$AT$1071</f>
        <v/>
      </c>
      <c r="F1047" s="19">
        <f>$AT$1072</f>
        <v/>
      </c>
    </row>
    <row r="1048">
      <c r="D1048" s="19">
        <f>IF(ABS(IF(ABS($E$982)&gt;0.000000001,$E$982,0.000000001))=0,0,IF($E$36&lt;=$B$27,0,IF(ABS(IF(ABS($E$982)&gt;0.000000001,$E$982,0.000000001))&gt;=8*$B$29,$H$36,0.5*$H$36*(ABS(IF(ABS($E$982)&gt;0.000000001,$E$982,0.000000001))/$B$29)^(1/3)))/ABS(IF(ABS($E$982)&gt;0.000000001,$E$982,0.000000001))*$I$36)</f>
        <v/>
      </c>
      <c r="E1048" s="19">
        <f>0.5*$E$982+0.5*$AT$1073</f>
        <v/>
      </c>
      <c r="F1048" s="19">
        <f>$AT$1074</f>
        <v/>
      </c>
    </row>
    <row r="1049">
      <c r="D1049" s="19">
        <f>IF(ABS(IF(ABS($E$983)&gt;0.000000001,$E$983,0.000000001))=0,0,IF($E$37&lt;=$B$27,0,IF(ABS(IF(ABS($E$983)&gt;0.000000001,$E$983,0.000000001))&gt;=8*$B$29,$H$37,0.5*$H$37*(ABS(IF(ABS($E$983)&gt;0.000000001,$E$983,0.000000001))/$B$29)^(1/3)))/ABS(IF(ABS($E$983)&gt;0.000000001,$E$983,0.000000001))*$I$37)</f>
        <v/>
      </c>
      <c r="E1049" s="19">
        <f>0.5*$E$983+0.5*$AT$1075</f>
        <v/>
      </c>
      <c r="F1049" s="19">
        <f>$AT$1076</f>
        <v/>
      </c>
    </row>
    <row r="1050">
      <c r="D1050" s="19">
        <f>IF(ABS(IF(ABS($E$984)&gt;0.000000001,$E$984,0.000000001))=0,0,IF($E$38&lt;=$B$27,0,IF(ABS(IF(ABS($E$984)&gt;0.000000001,$E$984,0.000000001))&gt;=8*$B$29,$H$38,0.5*$H$38*(ABS(IF(ABS($E$984)&gt;0.000000001,$E$984,0.000000001))/$B$29)^(1/3)))/ABS(IF(ABS($E$984)&gt;0.000000001,$E$984,0.000000001))*$I$38)</f>
        <v/>
      </c>
      <c r="E1050" s="19">
        <f>0.5*$E$984+0.5*$AT$1077</f>
        <v/>
      </c>
      <c r="F1050" s="19">
        <f>$AT$1078</f>
        <v/>
      </c>
    </row>
    <row r="1051">
      <c r="D1051" s="19">
        <f>IF(ABS(IF(ABS($E$985)&gt;0.000000001,$E$985,0.000000001))=0,0,IF($E$39&lt;=$B$27,0,IF(ABS(IF(ABS($E$985)&gt;0.000000001,$E$985,0.000000001))&gt;=8*$B$29,$H$39,0.5*$H$39*(ABS(IF(ABS($E$985)&gt;0.000000001,$E$985,0.000000001))/$B$29)^(1/3)))/ABS(IF(ABS($E$985)&gt;0.000000001,$E$985,0.000000001))*$I$39)</f>
        <v/>
      </c>
      <c r="E1051" s="19">
        <f>0.5*$E$985+0.5*$AT$1079</f>
        <v/>
      </c>
      <c r="F1051" s="19">
        <f>$AT$1080</f>
        <v/>
      </c>
    </row>
    <row r="1052">
      <c r="D1052" s="19">
        <f>IF(ABS(IF(ABS($E$986)&gt;0.000000001,$E$986,0.000000001))=0,0,IF($E$40&lt;=$B$27,0,IF(ABS(IF(ABS($E$986)&gt;0.000000001,$E$986,0.000000001))&gt;=8*$B$29,$H$40,0.5*$H$40*(ABS(IF(ABS($E$986)&gt;0.000000001,$E$986,0.000000001))/$B$29)^(1/3)))/ABS(IF(ABS($E$986)&gt;0.000000001,$E$986,0.000000001))*$I$40)</f>
        <v/>
      </c>
      <c r="E1052" s="19">
        <f>0.5*$E$986+0.5*$AT$1081</f>
        <v/>
      </c>
      <c r="F1052" s="19">
        <f>$AT$1082</f>
        <v/>
      </c>
    </row>
    <row r="1053">
      <c r="D1053" s="19">
        <f>IF(ABS(IF(ABS($E$987)&gt;0.000000001,$E$987,0.000000001))=0,0,IF($E$41&lt;=$B$27,0,IF(ABS(IF(ABS($E$987)&gt;0.000000001,$E$987,0.000000001))&gt;=8*$B$29,$H$41,0.5*$H$41*(ABS(IF(ABS($E$987)&gt;0.000000001,$E$987,0.000000001))/$B$29)^(1/3)))/ABS(IF(ABS($E$987)&gt;0.000000001,$E$987,0.000000001))*$I$41)</f>
        <v/>
      </c>
      <c r="E1053" s="19">
        <f>0.5*$E$987+0.5*$AT$1083</f>
        <v/>
      </c>
      <c r="F1053" s="19">
        <f>$AT$1084</f>
        <v/>
      </c>
    </row>
    <row r="1054">
      <c r="D1054" s="19">
        <f>IF(ABS(IF(ABS($E$988)&gt;0.000000001,$E$988,0.000000001))=0,0,IF($E$42&lt;=$B$27,0,IF(ABS(IF(ABS($E$988)&gt;0.000000001,$E$988,0.000000001))&gt;=8*$B$29,$H$42,0.5*$H$42*(ABS(IF(ABS($E$988)&gt;0.000000001,$E$988,0.000000001))/$B$29)^(1/3)))/ABS(IF(ABS($E$988)&gt;0.000000001,$E$988,0.000000001))*$I$42)</f>
        <v/>
      </c>
      <c r="E1054" s="19">
        <f>0.5*$E$988+0.5*$AT$1085</f>
        <v/>
      </c>
      <c r="F1054" s="19">
        <f>$AT$1086</f>
        <v/>
      </c>
    </row>
    <row r="1055">
      <c r="D1055" s="19">
        <f>IF(ABS(IF(ABS($E$989)&gt;0.000000001,$E$989,0.000000001))=0,0,IF($E$43&lt;=$B$27,0,IF(ABS(IF(ABS($E$989)&gt;0.000000001,$E$989,0.000000001))&gt;=8*$B$29,$H$43,0.5*$H$43*(ABS(IF(ABS($E$989)&gt;0.000000001,$E$989,0.000000001))/$B$29)^(1/3)))/ABS(IF(ABS($E$989)&gt;0.000000001,$E$989,0.000000001))*$I$43)</f>
        <v/>
      </c>
      <c r="E1055" s="19">
        <f>0.5*$E$989+0.5*$AT$1087</f>
        <v/>
      </c>
      <c r="F1055" s="19">
        <f>$AT$1088</f>
        <v/>
      </c>
    </row>
    <row r="1056">
      <c r="D1056" s="19">
        <f>IF(ABS(IF(ABS($E$990)&gt;0.000000001,$E$990,0.000000001))=0,0,IF($E$44&lt;=$B$27,0,IF(ABS(IF(ABS($E$990)&gt;0.000000001,$E$990,0.000000001))&gt;=8*$B$29,$H$44,0.5*$H$44*(ABS(IF(ABS($E$990)&gt;0.000000001,$E$990,0.000000001))/$B$29)^(1/3)))/ABS(IF(ABS($E$990)&gt;0.000000001,$E$990,0.000000001))*$I$44)</f>
        <v/>
      </c>
      <c r="E1056" s="19">
        <f>0.5*$E$990+0.5*$AT$1089</f>
        <v/>
      </c>
      <c r="F1056" s="19">
        <f>$AT$1090</f>
        <v/>
      </c>
    </row>
    <row r="1057">
      <c r="D1057" s="19">
        <f>IF(ABS(IF(ABS($E$991)&gt;0.000000001,$E$991,0.000000001))=0,0,IF($E$45&lt;=$B$27,0,IF(ABS(IF(ABS($E$991)&gt;0.000000001,$E$991,0.000000001))&gt;=8*$B$29,$H$45,0.5*$H$45*(ABS(IF(ABS($E$991)&gt;0.000000001,$E$991,0.000000001))/$B$29)^(1/3)))/ABS(IF(ABS($E$991)&gt;0.000000001,$E$991,0.000000001))*$I$45)</f>
        <v/>
      </c>
      <c r="E1057" s="19">
        <f>0.5*$E$991+0.5*$AT$1091</f>
        <v/>
      </c>
      <c r="F1057" s="19">
        <f>$AT$1092</f>
        <v/>
      </c>
    </row>
    <row r="1058">
      <c r="D1058" s="19">
        <f>IF(ABS(IF(ABS($E$992)&gt;0.000000001,$E$992,0.000000001))=0,0,IF($E$46&lt;=$B$27,0,IF(ABS(IF(ABS($E$992)&gt;0.000000001,$E$992,0.000000001))&gt;=8*$B$29,$H$46,0.5*$H$46*(ABS(IF(ABS($E$992)&gt;0.000000001,$E$992,0.000000001))/$B$29)^(1/3)))/ABS(IF(ABS($E$992)&gt;0.000000001,$E$992,0.000000001))*$I$46)</f>
        <v/>
      </c>
      <c r="E1058" s="19">
        <f>0.5*$E$992+0.5*$AT$1093</f>
        <v/>
      </c>
      <c r="F1058" s="19">
        <f>$AT$1094</f>
        <v/>
      </c>
    </row>
    <row r="1059">
      <c r="D1059" s="19">
        <f>IF(ABS(IF(ABS($E$993)&gt;0.000000001,$E$993,0.000000001))=0,0,IF($E$47&lt;=$B$27,0,IF(ABS(IF(ABS($E$993)&gt;0.000000001,$E$993,0.000000001))&gt;=8*$B$29,$H$47,0.5*$H$47*(ABS(IF(ABS($E$993)&gt;0.000000001,$E$993,0.000000001))/$B$29)^(1/3)))/ABS(IF(ABS($E$993)&gt;0.000000001,$E$993,0.000000001))*$I$47)</f>
        <v/>
      </c>
      <c r="E1059" s="19">
        <f>0.5*$E$993+0.5*$AT$1095</f>
        <v/>
      </c>
      <c r="F1059" s="19">
        <f>$AT$1096</f>
        <v/>
      </c>
    </row>
    <row r="1060">
      <c r="D1060" s="19">
        <f>IF(ABS(IF(ABS($E$994)&gt;0.000000001,$E$994,0.000000001))=0,0,IF($E$48&lt;=$B$27,0,IF(ABS(IF(ABS($E$994)&gt;0.000000001,$E$994,0.000000001))&gt;=8*$B$29,$H$48,0.5*$H$48*(ABS(IF(ABS($E$994)&gt;0.000000001,$E$994,0.000000001))/$B$29)^(1/3)))/ABS(IF(ABS($E$994)&gt;0.000000001,$E$994,0.000000001))*$I$48)</f>
        <v/>
      </c>
      <c r="E1060" s="19">
        <f>0.5*$E$994+0.5*$AT$1097</f>
        <v/>
      </c>
      <c r="F1060" s="19">
        <f>$AT$1098</f>
        <v/>
      </c>
    </row>
    <row r="1061">
      <c r="D1061" s="19">
        <f>IF(ABS(IF(ABS($E$995)&gt;0.000000001,$E$995,0.000000001))=0,0,IF($E$49&lt;=$B$27,0,IF(ABS(IF(ABS($E$995)&gt;0.000000001,$E$995,0.000000001))&gt;=8*$B$29,$H$49,0.5*$H$49*(ABS(IF(ABS($E$995)&gt;0.000000001,$E$995,0.000000001))/$B$29)^(1/3)))/ABS(IF(ABS($E$995)&gt;0.000000001,$E$995,0.000000001))*$I$49)</f>
        <v/>
      </c>
      <c r="E1061" s="19">
        <f>0.5*$E$995+0.5*$AT$1099</f>
        <v/>
      </c>
      <c r="F1061" s="19">
        <f>$AT$1100</f>
        <v/>
      </c>
    </row>
    <row r="1062">
      <c r="D1062" s="19">
        <f>IF(ABS(IF(ABS($E$996)&gt;0.000000001,$E$996,0.000000001))=0,0,IF($E$50&lt;=$B$27,0,IF(ABS(IF(ABS($E$996)&gt;0.000000001,$E$996,0.000000001))&gt;=8*$B$29,$H$50,0.5*$H$50*(ABS(IF(ABS($E$996)&gt;0.000000001,$E$996,0.000000001))/$B$29)^(1/3)))/ABS(IF(ABS($E$996)&gt;0.000000001,$E$996,0.000000001))*$I$50)</f>
        <v/>
      </c>
      <c r="E1062" s="19">
        <f>0.5*$E$996+0.5*$AT$1101</f>
        <v/>
      </c>
      <c r="F1062" s="19">
        <f>$AT$1102</f>
        <v/>
      </c>
    </row>
    <row r="1063">
      <c r="D1063" s="19">
        <f>IF(ABS(IF(ABS($E$997)&gt;0.000000001,$E$997,0.000000001))=0,0,IF($E$51&lt;=$B$27,0,IF(ABS(IF(ABS($E$997)&gt;0.000000001,$E$997,0.000000001))&gt;=8*$B$29,$H$51,0.5*$H$51*(ABS(IF(ABS($E$997)&gt;0.000000001,$E$997,0.000000001))/$B$29)^(1/3)))/ABS(IF(ABS($E$997)&gt;0.000000001,$E$997,0.000000001))*$I$51)</f>
        <v/>
      </c>
      <c r="E1063" s="19">
        <f>0.5*$E$997+0.5*$AT$1103</f>
        <v/>
      </c>
      <c r="F1063" s="19">
        <f>$AT$1104</f>
        <v/>
      </c>
    </row>
    <row r="1064">
      <c r="D1064" s="19">
        <f>IF(ABS(IF(ABS($E$998)&gt;0.000000001,$E$998,0.000000001))=0,0,IF($E$52&lt;=$B$27,0,IF(ABS(IF(ABS($E$998)&gt;0.000000001,$E$998,0.000000001))&gt;=8*$B$29,$H$52,0.5*$H$52*(ABS(IF(ABS($E$998)&gt;0.000000001,$E$998,0.000000001))/$B$29)^(1/3)))/ABS(IF(ABS($E$998)&gt;0.000000001,$E$998,0.000000001))*$I$52)</f>
        <v/>
      </c>
      <c r="E1064" s="19">
        <f>0.5*$E$998+0.5*$AT$1105</f>
        <v/>
      </c>
      <c r="F1064" s="19">
        <f>$AT$1106</f>
        <v/>
      </c>
    </row>
    <row r="1065">
      <c r="D1065" s="19">
        <f>IF(ABS(IF(ABS($E$999)&gt;0.000000001,$E$999,0.000000001))=0,0,IF($E$53&lt;=$B$27,0,IF(ABS(IF(ABS($E$999)&gt;0.000000001,$E$999,0.000000001))&gt;=8*$B$29,$H$53,0.5*$H$53*(ABS(IF(ABS($E$999)&gt;0.000000001,$E$999,0.000000001))/$B$29)^(1/3)))/ABS(IF(ABS($E$999)&gt;0.000000001,$E$999,0.000000001))*$I$53)</f>
        <v/>
      </c>
      <c r="E1065" s="19">
        <f>0.5*$E$999+0.5*$AT$1107</f>
        <v/>
      </c>
      <c r="F1065" s="19">
        <f>$AT$1108</f>
        <v/>
      </c>
    </row>
    <row r="1067">
      <c r="D1067" s="21">
        <f>$B$18+$D$1045</f>
        <v/>
      </c>
      <c r="E1067" s="21">
        <f>$B$19</f>
        <v/>
      </c>
      <c r="F1067" s="21">
        <f>-$B$18</f>
        <v/>
      </c>
      <c r="G1067" s="21">
        <f>$B$19</f>
        <v/>
      </c>
      <c r="H1067" s="21" t="n">
        <v>0</v>
      </c>
      <c r="I1067" s="21" t="n">
        <v>0</v>
      </c>
      <c r="J1067" s="21" t="n">
        <v>0</v>
      </c>
      <c r="K1067" s="21" t="n">
        <v>0</v>
      </c>
      <c r="L1067" s="21" t="n">
        <v>0</v>
      </c>
      <c r="M1067" s="21" t="n">
        <v>0</v>
      </c>
      <c r="N1067" s="21" t="n">
        <v>0</v>
      </c>
      <c r="O1067" s="21" t="n">
        <v>0</v>
      </c>
      <c r="P1067" s="21" t="n">
        <v>0</v>
      </c>
      <c r="Q1067" s="21" t="n">
        <v>0</v>
      </c>
      <c r="R1067" s="21" t="n">
        <v>0</v>
      </c>
      <c r="S1067" s="21" t="n">
        <v>0</v>
      </c>
      <c r="T1067" s="21" t="n">
        <v>0</v>
      </c>
      <c r="U1067" s="21" t="n">
        <v>0</v>
      </c>
      <c r="V1067" s="21" t="n">
        <v>0</v>
      </c>
      <c r="W1067" s="21" t="n">
        <v>0</v>
      </c>
      <c r="X1067" s="21" t="n">
        <v>0</v>
      </c>
      <c r="Y1067" s="21" t="n">
        <v>0</v>
      </c>
      <c r="Z1067" s="21" t="n">
        <v>0</v>
      </c>
      <c r="AA1067" s="21" t="n">
        <v>0</v>
      </c>
      <c r="AB1067" s="21" t="n">
        <v>0</v>
      </c>
      <c r="AC1067" s="21" t="n">
        <v>0</v>
      </c>
      <c r="AD1067" s="21" t="n">
        <v>0</v>
      </c>
      <c r="AE1067" s="21" t="n">
        <v>0</v>
      </c>
      <c r="AF1067" s="21" t="n">
        <v>0</v>
      </c>
      <c r="AG1067" s="21" t="n">
        <v>0</v>
      </c>
      <c r="AH1067" s="21" t="n">
        <v>0</v>
      </c>
      <c r="AI1067" s="21" t="n">
        <v>0</v>
      </c>
      <c r="AJ1067" s="21" t="n">
        <v>0</v>
      </c>
      <c r="AK1067" s="21" t="n">
        <v>0</v>
      </c>
      <c r="AL1067" s="21" t="n">
        <v>0</v>
      </c>
      <c r="AM1067" s="21" t="n">
        <v>0</v>
      </c>
      <c r="AN1067" s="21" t="n">
        <v>0</v>
      </c>
      <c r="AO1067" s="21" t="n">
        <v>0</v>
      </c>
      <c r="AP1067" s="21" t="n">
        <v>0</v>
      </c>
      <c r="AQ1067" s="21" t="n">
        <v>0</v>
      </c>
      <c r="AR1067" s="21" t="n">
        <v>0</v>
      </c>
      <c r="AS1067" s="21" t="n">
        <v>0</v>
      </c>
      <c r="AT1067" s="19">
        <f t="array" ref="AT1067:AT1108">MMULT(MINVERSE($D$1067:$AS$1108),$D$55:$D$96)</f>
        <v/>
      </c>
    </row>
    <row r="1068">
      <c r="D1068" s="21">
        <f>$B$19</f>
        <v/>
      </c>
      <c r="E1068" s="21">
        <f>$B$20</f>
        <v/>
      </c>
      <c r="F1068" s="21">
        <f>-$B$19</f>
        <v/>
      </c>
      <c r="G1068" s="21">
        <f>$B$21</f>
        <v/>
      </c>
      <c r="H1068" s="21" t="n">
        <v>0</v>
      </c>
      <c r="I1068" s="21" t="n">
        <v>0</v>
      </c>
      <c r="J1068" s="21" t="n">
        <v>0</v>
      </c>
      <c r="K1068" s="21" t="n">
        <v>0</v>
      </c>
      <c r="L1068" s="21" t="n">
        <v>0</v>
      </c>
      <c r="M1068" s="21" t="n">
        <v>0</v>
      </c>
      <c r="N1068" s="21" t="n">
        <v>0</v>
      </c>
      <c r="O1068" s="21" t="n">
        <v>0</v>
      </c>
      <c r="P1068" s="21" t="n">
        <v>0</v>
      </c>
      <c r="Q1068" s="21" t="n">
        <v>0</v>
      </c>
      <c r="R1068" s="21" t="n">
        <v>0</v>
      </c>
      <c r="S1068" s="21" t="n">
        <v>0</v>
      </c>
      <c r="T1068" s="21" t="n">
        <v>0</v>
      </c>
      <c r="U1068" s="21" t="n">
        <v>0</v>
      </c>
      <c r="V1068" s="21" t="n">
        <v>0</v>
      </c>
      <c r="W1068" s="21" t="n">
        <v>0</v>
      </c>
      <c r="X1068" s="21" t="n">
        <v>0</v>
      </c>
      <c r="Y1068" s="21" t="n">
        <v>0</v>
      </c>
      <c r="Z1068" s="21" t="n">
        <v>0</v>
      </c>
      <c r="AA1068" s="21" t="n">
        <v>0</v>
      </c>
      <c r="AB1068" s="21" t="n">
        <v>0</v>
      </c>
      <c r="AC1068" s="21" t="n">
        <v>0</v>
      </c>
      <c r="AD1068" s="21" t="n">
        <v>0</v>
      </c>
      <c r="AE1068" s="21" t="n">
        <v>0</v>
      </c>
      <c r="AF1068" s="21" t="n">
        <v>0</v>
      </c>
      <c r="AG1068" s="21" t="n">
        <v>0</v>
      </c>
      <c r="AH1068" s="21" t="n">
        <v>0</v>
      </c>
      <c r="AI1068" s="21" t="n">
        <v>0</v>
      </c>
      <c r="AJ1068" s="21" t="n">
        <v>0</v>
      </c>
      <c r="AK1068" s="21" t="n">
        <v>0</v>
      </c>
      <c r="AL1068" s="21" t="n">
        <v>0</v>
      </c>
      <c r="AM1068" s="21" t="n">
        <v>0</v>
      </c>
      <c r="AN1068" s="21" t="n">
        <v>0</v>
      </c>
      <c r="AO1068" s="21" t="n">
        <v>0</v>
      </c>
      <c r="AP1068" s="21" t="n">
        <v>0</v>
      </c>
      <c r="AQ1068" s="21" t="n">
        <v>0</v>
      </c>
      <c r="AR1068" s="21" t="n">
        <v>0</v>
      </c>
      <c r="AS1068" s="21" t="n">
        <v>0</v>
      </c>
      <c r="AT1068" s="19" t="n"/>
    </row>
    <row r="1069">
      <c r="D1069" s="21">
        <f>-$B$18</f>
        <v/>
      </c>
      <c r="E1069" s="21">
        <f>-$B$19</f>
        <v/>
      </c>
      <c r="F1069" s="21">
        <f>2*$B$18+$D$1046</f>
        <v/>
      </c>
      <c r="G1069" s="21">
        <f>0</f>
        <v/>
      </c>
      <c r="H1069" s="21">
        <f>-$B$18</f>
        <v/>
      </c>
      <c r="I1069" s="21">
        <f>$B$19</f>
        <v/>
      </c>
      <c r="J1069" s="21" t="n">
        <v>0</v>
      </c>
      <c r="K1069" s="21" t="n">
        <v>0</v>
      </c>
      <c r="L1069" s="21" t="n">
        <v>0</v>
      </c>
      <c r="M1069" s="21" t="n">
        <v>0</v>
      </c>
      <c r="N1069" s="21" t="n">
        <v>0</v>
      </c>
      <c r="O1069" s="21" t="n">
        <v>0</v>
      </c>
      <c r="P1069" s="21" t="n">
        <v>0</v>
      </c>
      <c r="Q1069" s="21" t="n">
        <v>0</v>
      </c>
      <c r="R1069" s="21" t="n">
        <v>0</v>
      </c>
      <c r="S1069" s="21" t="n">
        <v>0</v>
      </c>
      <c r="T1069" s="21" t="n">
        <v>0</v>
      </c>
      <c r="U1069" s="21" t="n">
        <v>0</v>
      </c>
      <c r="V1069" s="21" t="n">
        <v>0</v>
      </c>
      <c r="W1069" s="21" t="n">
        <v>0</v>
      </c>
      <c r="X1069" s="21" t="n">
        <v>0</v>
      </c>
      <c r="Y1069" s="21" t="n">
        <v>0</v>
      </c>
      <c r="Z1069" s="21" t="n">
        <v>0</v>
      </c>
      <c r="AA1069" s="21" t="n">
        <v>0</v>
      </c>
      <c r="AB1069" s="21" t="n">
        <v>0</v>
      </c>
      <c r="AC1069" s="21" t="n">
        <v>0</v>
      </c>
      <c r="AD1069" s="21" t="n">
        <v>0</v>
      </c>
      <c r="AE1069" s="21" t="n">
        <v>0</v>
      </c>
      <c r="AF1069" s="21" t="n">
        <v>0</v>
      </c>
      <c r="AG1069" s="21" t="n">
        <v>0</v>
      </c>
      <c r="AH1069" s="21" t="n">
        <v>0</v>
      </c>
      <c r="AI1069" s="21" t="n">
        <v>0</v>
      </c>
      <c r="AJ1069" s="21" t="n">
        <v>0</v>
      </c>
      <c r="AK1069" s="21" t="n">
        <v>0</v>
      </c>
      <c r="AL1069" s="21" t="n">
        <v>0</v>
      </c>
      <c r="AM1069" s="21" t="n">
        <v>0</v>
      </c>
      <c r="AN1069" s="21" t="n">
        <v>0</v>
      </c>
      <c r="AO1069" s="21" t="n">
        <v>0</v>
      </c>
      <c r="AP1069" s="21" t="n">
        <v>0</v>
      </c>
      <c r="AQ1069" s="21" t="n">
        <v>0</v>
      </c>
      <c r="AR1069" s="21" t="n">
        <v>0</v>
      </c>
      <c r="AS1069" s="21" t="n">
        <v>0</v>
      </c>
      <c r="AT1069" s="19" t="n"/>
    </row>
    <row r="1070">
      <c r="D1070" s="21">
        <f>$B$19</f>
        <v/>
      </c>
      <c r="E1070" s="21">
        <f>$B$21</f>
        <v/>
      </c>
      <c r="F1070" s="21">
        <f>0</f>
        <v/>
      </c>
      <c r="G1070" s="21">
        <f>2*$B$20</f>
        <v/>
      </c>
      <c r="H1070" s="21">
        <f>-$B$19</f>
        <v/>
      </c>
      <c r="I1070" s="21">
        <f>$B$21</f>
        <v/>
      </c>
      <c r="J1070" s="21" t="n">
        <v>0</v>
      </c>
      <c r="K1070" s="21" t="n">
        <v>0</v>
      </c>
      <c r="L1070" s="21" t="n">
        <v>0</v>
      </c>
      <c r="M1070" s="21" t="n">
        <v>0</v>
      </c>
      <c r="N1070" s="21" t="n">
        <v>0</v>
      </c>
      <c r="O1070" s="21" t="n">
        <v>0</v>
      </c>
      <c r="P1070" s="21" t="n">
        <v>0</v>
      </c>
      <c r="Q1070" s="21" t="n">
        <v>0</v>
      </c>
      <c r="R1070" s="21" t="n">
        <v>0</v>
      </c>
      <c r="S1070" s="21" t="n">
        <v>0</v>
      </c>
      <c r="T1070" s="21" t="n">
        <v>0</v>
      </c>
      <c r="U1070" s="21" t="n">
        <v>0</v>
      </c>
      <c r="V1070" s="21" t="n">
        <v>0</v>
      </c>
      <c r="W1070" s="21" t="n">
        <v>0</v>
      </c>
      <c r="X1070" s="21" t="n">
        <v>0</v>
      </c>
      <c r="Y1070" s="21" t="n">
        <v>0</v>
      </c>
      <c r="Z1070" s="21" t="n">
        <v>0</v>
      </c>
      <c r="AA1070" s="21" t="n">
        <v>0</v>
      </c>
      <c r="AB1070" s="21" t="n">
        <v>0</v>
      </c>
      <c r="AC1070" s="21" t="n">
        <v>0</v>
      </c>
      <c r="AD1070" s="21" t="n">
        <v>0</v>
      </c>
      <c r="AE1070" s="21" t="n">
        <v>0</v>
      </c>
      <c r="AF1070" s="21" t="n">
        <v>0</v>
      </c>
      <c r="AG1070" s="21" t="n">
        <v>0</v>
      </c>
      <c r="AH1070" s="21" t="n">
        <v>0</v>
      </c>
      <c r="AI1070" s="21" t="n">
        <v>0</v>
      </c>
      <c r="AJ1070" s="21" t="n">
        <v>0</v>
      </c>
      <c r="AK1070" s="21" t="n">
        <v>0</v>
      </c>
      <c r="AL1070" s="21" t="n">
        <v>0</v>
      </c>
      <c r="AM1070" s="21" t="n">
        <v>0</v>
      </c>
      <c r="AN1070" s="21" t="n">
        <v>0</v>
      </c>
      <c r="AO1070" s="21" t="n">
        <v>0</v>
      </c>
      <c r="AP1070" s="21" t="n">
        <v>0</v>
      </c>
      <c r="AQ1070" s="21" t="n">
        <v>0</v>
      </c>
      <c r="AR1070" s="21" t="n">
        <v>0</v>
      </c>
      <c r="AS1070" s="21" t="n">
        <v>0</v>
      </c>
      <c r="AT1070" s="19" t="n"/>
    </row>
    <row r="1071">
      <c r="D1071" s="21" t="n">
        <v>0</v>
      </c>
      <c r="E1071" s="21" t="n">
        <v>0</v>
      </c>
      <c r="F1071" s="21">
        <f>-$B$18</f>
        <v/>
      </c>
      <c r="G1071" s="21">
        <f>-$B$19</f>
        <v/>
      </c>
      <c r="H1071" s="21">
        <f>2*$B$18+$D$1047</f>
        <v/>
      </c>
      <c r="I1071" s="21">
        <f>0</f>
        <v/>
      </c>
      <c r="J1071" s="21">
        <f>-$B$18</f>
        <v/>
      </c>
      <c r="K1071" s="21">
        <f>$B$19</f>
        <v/>
      </c>
      <c r="L1071" s="21" t="n">
        <v>0</v>
      </c>
      <c r="M1071" s="21" t="n">
        <v>0</v>
      </c>
      <c r="N1071" s="21" t="n">
        <v>0</v>
      </c>
      <c r="O1071" s="21" t="n">
        <v>0</v>
      </c>
      <c r="P1071" s="21" t="n">
        <v>0</v>
      </c>
      <c r="Q1071" s="21" t="n">
        <v>0</v>
      </c>
      <c r="R1071" s="21" t="n">
        <v>0</v>
      </c>
      <c r="S1071" s="21" t="n">
        <v>0</v>
      </c>
      <c r="T1071" s="21" t="n">
        <v>0</v>
      </c>
      <c r="U1071" s="21" t="n">
        <v>0</v>
      </c>
      <c r="V1071" s="21" t="n">
        <v>0</v>
      </c>
      <c r="W1071" s="21" t="n">
        <v>0</v>
      </c>
      <c r="X1071" s="21" t="n">
        <v>0</v>
      </c>
      <c r="Y1071" s="21" t="n">
        <v>0</v>
      </c>
      <c r="Z1071" s="21" t="n">
        <v>0</v>
      </c>
      <c r="AA1071" s="21" t="n">
        <v>0</v>
      </c>
      <c r="AB1071" s="21" t="n">
        <v>0</v>
      </c>
      <c r="AC1071" s="21" t="n">
        <v>0</v>
      </c>
      <c r="AD1071" s="21" t="n">
        <v>0</v>
      </c>
      <c r="AE1071" s="21" t="n">
        <v>0</v>
      </c>
      <c r="AF1071" s="21" t="n">
        <v>0</v>
      </c>
      <c r="AG1071" s="21" t="n">
        <v>0</v>
      </c>
      <c r="AH1071" s="21" t="n">
        <v>0</v>
      </c>
      <c r="AI1071" s="21" t="n">
        <v>0</v>
      </c>
      <c r="AJ1071" s="21" t="n">
        <v>0</v>
      </c>
      <c r="AK1071" s="21" t="n">
        <v>0</v>
      </c>
      <c r="AL1071" s="21" t="n">
        <v>0</v>
      </c>
      <c r="AM1071" s="21" t="n">
        <v>0</v>
      </c>
      <c r="AN1071" s="21" t="n">
        <v>0</v>
      </c>
      <c r="AO1071" s="21" t="n">
        <v>0</v>
      </c>
      <c r="AP1071" s="21" t="n">
        <v>0</v>
      </c>
      <c r="AQ1071" s="21" t="n">
        <v>0</v>
      </c>
      <c r="AR1071" s="21" t="n">
        <v>0</v>
      </c>
      <c r="AS1071" s="21" t="n">
        <v>0</v>
      </c>
      <c r="AT1071" s="19" t="n"/>
    </row>
    <row r="1072">
      <c r="D1072" s="21" t="n">
        <v>0</v>
      </c>
      <c r="E1072" s="21" t="n">
        <v>0</v>
      </c>
      <c r="F1072" s="21">
        <f>$B$19</f>
        <v/>
      </c>
      <c r="G1072" s="21">
        <f>$B$21</f>
        <v/>
      </c>
      <c r="H1072" s="21">
        <f>0</f>
        <v/>
      </c>
      <c r="I1072" s="21">
        <f>2*$B$20</f>
        <v/>
      </c>
      <c r="J1072" s="21">
        <f>-$B$19</f>
        <v/>
      </c>
      <c r="K1072" s="21">
        <f>$B$21</f>
        <v/>
      </c>
      <c r="L1072" s="21" t="n">
        <v>0</v>
      </c>
      <c r="M1072" s="21" t="n">
        <v>0</v>
      </c>
      <c r="N1072" s="21" t="n">
        <v>0</v>
      </c>
      <c r="O1072" s="21" t="n">
        <v>0</v>
      </c>
      <c r="P1072" s="21" t="n">
        <v>0</v>
      </c>
      <c r="Q1072" s="21" t="n">
        <v>0</v>
      </c>
      <c r="R1072" s="21" t="n">
        <v>0</v>
      </c>
      <c r="S1072" s="21" t="n">
        <v>0</v>
      </c>
      <c r="T1072" s="21" t="n">
        <v>0</v>
      </c>
      <c r="U1072" s="21" t="n">
        <v>0</v>
      </c>
      <c r="V1072" s="21" t="n">
        <v>0</v>
      </c>
      <c r="W1072" s="21" t="n">
        <v>0</v>
      </c>
      <c r="X1072" s="21" t="n">
        <v>0</v>
      </c>
      <c r="Y1072" s="21" t="n">
        <v>0</v>
      </c>
      <c r="Z1072" s="21" t="n">
        <v>0</v>
      </c>
      <c r="AA1072" s="21" t="n">
        <v>0</v>
      </c>
      <c r="AB1072" s="21" t="n">
        <v>0</v>
      </c>
      <c r="AC1072" s="21" t="n">
        <v>0</v>
      </c>
      <c r="AD1072" s="21" t="n">
        <v>0</v>
      </c>
      <c r="AE1072" s="21" t="n">
        <v>0</v>
      </c>
      <c r="AF1072" s="21" t="n">
        <v>0</v>
      </c>
      <c r="AG1072" s="21" t="n">
        <v>0</v>
      </c>
      <c r="AH1072" s="21" t="n">
        <v>0</v>
      </c>
      <c r="AI1072" s="21" t="n">
        <v>0</v>
      </c>
      <c r="AJ1072" s="21" t="n">
        <v>0</v>
      </c>
      <c r="AK1072" s="21" t="n">
        <v>0</v>
      </c>
      <c r="AL1072" s="21" t="n">
        <v>0</v>
      </c>
      <c r="AM1072" s="21" t="n">
        <v>0</v>
      </c>
      <c r="AN1072" s="21" t="n">
        <v>0</v>
      </c>
      <c r="AO1072" s="21" t="n">
        <v>0</v>
      </c>
      <c r="AP1072" s="21" t="n">
        <v>0</v>
      </c>
      <c r="AQ1072" s="21" t="n">
        <v>0</v>
      </c>
      <c r="AR1072" s="21" t="n">
        <v>0</v>
      </c>
      <c r="AS1072" s="21" t="n">
        <v>0</v>
      </c>
      <c r="AT1072" s="19" t="n"/>
    </row>
    <row r="1073">
      <c r="D1073" s="21" t="n">
        <v>0</v>
      </c>
      <c r="E1073" s="21" t="n">
        <v>0</v>
      </c>
      <c r="F1073" s="21" t="n">
        <v>0</v>
      </c>
      <c r="G1073" s="21" t="n">
        <v>0</v>
      </c>
      <c r="H1073" s="21">
        <f>-$B$18</f>
        <v/>
      </c>
      <c r="I1073" s="21">
        <f>-$B$19</f>
        <v/>
      </c>
      <c r="J1073" s="21">
        <f>2*$B$18+$D$1048</f>
        <v/>
      </c>
      <c r="K1073" s="21">
        <f>0</f>
        <v/>
      </c>
      <c r="L1073" s="21">
        <f>-$B$18</f>
        <v/>
      </c>
      <c r="M1073" s="21">
        <f>$B$19</f>
        <v/>
      </c>
      <c r="N1073" s="21" t="n">
        <v>0</v>
      </c>
      <c r="O1073" s="21" t="n">
        <v>0</v>
      </c>
      <c r="P1073" s="21" t="n">
        <v>0</v>
      </c>
      <c r="Q1073" s="21" t="n">
        <v>0</v>
      </c>
      <c r="R1073" s="21" t="n">
        <v>0</v>
      </c>
      <c r="S1073" s="21" t="n">
        <v>0</v>
      </c>
      <c r="T1073" s="21" t="n">
        <v>0</v>
      </c>
      <c r="U1073" s="21" t="n">
        <v>0</v>
      </c>
      <c r="V1073" s="21" t="n">
        <v>0</v>
      </c>
      <c r="W1073" s="21" t="n">
        <v>0</v>
      </c>
      <c r="X1073" s="21" t="n">
        <v>0</v>
      </c>
      <c r="Y1073" s="21" t="n">
        <v>0</v>
      </c>
      <c r="Z1073" s="21" t="n">
        <v>0</v>
      </c>
      <c r="AA1073" s="21" t="n">
        <v>0</v>
      </c>
      <c r="AB1073" s="21" t="n">
        <v>0</v>
      </c>
      <c r="AC1073" s="21" t="n">
        <v>0</v>
      </c>
      <c r="AD1073" s="21" t="n">
        <v>0</v>
      </c>
      <c r="AE1073" s="21" t="n">
        <v>0</v>
      </c>
      <c r="AF1073" s="21" t="n">
        <v>0</v>
      </c>
      <c r="AG1073" s="21" t="n">
        <v>0</v>
      </c>
      <c r="AH1073" s="21" t="n">
        <v>0</v>
      </c>
      <c r="AI1073" s="21" t="n">
        <v>0</v>
      </c>
      <c r="AJ1073" s="21" t="n">
        <v>0</v>
      </c>
      <c r="AK1073" s="21" t="n">
        <v>0</v>
      </c>
      <c r="AL1073" s="21" t="n">
        <v>0</v>
      </c>
      <c r="AM1073" s="21" t="n">
        <v>0</v>
      </c>
      <c r="AN1073" s="21" t="n">
        <v>0</v>
      </c>
      <c r="AO1073" s="21" t="n">
        <v>0</v>
      </c>
      <c r="AP1073" s="21" t="n">
        <v>0</v>
      </c>
      <c r="AQ1073" s="21" t="n">
        <v>0</v>
      </c>
      <c r="AR1073" s="21" t="n">
        <v>0</v>
      </c>
      <c r="AS1073" s="21" t="n">
        <v>0</v>
      </c>
      <c r="AT1073" s="19" t="n"/>
    </row>
    <row r="1074">
      <c r="D1074" s="21" t="n">
        <v>0</v>
      </c>
      <c r="E1074" s="21" t="n">
        <v>0</v>
      </c>
      <c r="F1074" s="21" t="n">
        <v>0</v>
      </c>
      <c r="G1074" s="21" t="n">
        <v>0</v>
      </c>
      <c r="H1074" s="21">
        <f>$B$19</f>
        <v/>
      </c>
      <c r="I1074" s="21">
        <f>$B$21</f>
        <v/>
      </c>
      <c r="J1074" s="21">
        <f>0</f>
        <v/>
      </c>
      <c r="K1074" s="21">
        <f>2*$B$20</f>
        <v/>
      </c>
      <c r="L1074" s="21">
        <f>-$B$19</f>
        <v/>
      </c>
      <c r="M1074" s="21">
        <f>$B$21</f>
        <v/>
      </c>
      <c r="N1074" s="21" t="n">
        <v>0</v>
      </c>
      <c r="O1074" s="21" t="n">
        <v>0</v>
      </c>
      <c r="P1074" s="21" t="n">
        <v>0</v>
      </c>
      <c r="Q1074" s="21" t="n">
        <v>0</v>
      </c>
      <c r="R1074" s="21" t="n">
        <v>0</v>
      </c>
      <c r="S1074" s="21" t="n">
        <v>0</v>
      </c>
      <c r="T1074" s="21" t="n">
        <v>0</v>
      </c>
      <c r="U1074" s="21" t="n">
        <v>0</v>
      </c>
      <c r="V1074" s="21" t="n">
        <v>0</v>
      </c>
      <c r="W1074" s="21" t="n">
        <v>0</v>
      </c>
      <c r="X1074" s="21" t="n">
        <v>0</v>
      </c>
      <c r="Y1074" s="21" t="n">
        <v>0</v>
      </c>
      <c r="Z1074" s="21" t="n">
        <v>0</v>
      </c>
      <c r="AA1074" s="21" t="n">
        <v>0</v>
      </c>
      <c r="AB1074" s="21" t="n">
        <v>0</v>
      </c>
      <c r="AC1074" s="21" t="n">
        <v>0</v>
      </c>
      <c r="AD1074" s="21" t="n">
        <v>0</v>
      </c>
      <c r="AE1074" s="21" t="n">
        <v>0</v>
      </c>
      <c r="AF1074" s="21" t="n">
        <v>0</v>
      </c>
      <c r="AG1074" s="21" t="n">
        <v>0</v>
      </c>
      <c r="AH1074" s="21" t="n">
        <v>0</v>
      </c>
      <c r="AI1074" s="21" t="n">
        <v>0</v>
      </c>
      <c r="AJ1074" s="21" t="n">
        <v>0</v>
      </c>
      <c r="AK1074" s="21" t="n">
        <v>0</v>
      </c>
      <c r="AL1074" s="21" t="n">
        <v>0</v>
      </c>
      <c r="AM1074" s="21" t="n">
        <v>0</v>
      </c>
      <c r="AN1074" s="21" t="n">
        <v>0</v>
      </c>
      <c r="AO1074" s="21" t="n">
        <v>0</v>
      </c>
      <c r="AP1074" s="21" t="n">
        <v>0</v>
      </c>
      <c r="AQ1074" s="21" t="n">
        <v>0</v>
      </c>
      <c r="AR1074" s="21" t="n">
        <v>0</v>
      </c>
      <c r="AS1074" s="21" t="n">
        <v>0</v>
      </c>
      <c r="AT1074" s="19" t="n"/>
    </row>
    <row r="1075">
      <c r="D1075" s="21" t="n">
        <v>0</v>
      </c>
      <c r="E1075" s="21" t="n">
        <v>0</v>
      </c>
      <c r="F1075" s="21" t="n">
        <v>0</v>
      </c>
      <c r="G1075" s="21" t="n">
        <v>0</v>
      </c>
      <c r="H1075" s="21" t="n">
        <v>0</v>
      </c>
      <c r="I1075" s="21" t="n">
        <v>0</v>
      </c>
      <c r="J1075" s="21">
        <f>-$B$18</f>
        <v/>
      </c>
      <c r="K1075" s="21">
        <f>-$B$19</f>
        <v/>
      </c>
      <c r="L1075" s="21">
        <f>2*$B$18+$D$1049</f>
        <v/>
      </c>
      <c r="M1075" s="21">
        <f>0</f>
        <v/>
      </c>
      <c r="N1075" s="21">
        <f>-$B$18</f>
        <v/>
      </c>
      <c r="O1075" s="21">
        <f>$B$19</f>
        <v/>
      </c>
      <c r="P1075" s="21" t="n">
        <v>0</v>
      </c>
      <c r="Q1075" s="21" t="n">
        <v>0</v>
      </c>
      <c r="R1075" s="21" t="n">
        <v>0</v>
      </c>
      <c r="S1075" s="21" t="n">
        <v>0</v>
      </c>
      <c r="T1075" s="21" t="n">
        <v>0</v>
      </c>
      <c r="U1075" s="21" t="n">
        <v>0</v>
      </c>
      <c r="V1075" s="21" t="n">
        <v>0</v>
      </c>
      <c r="W1075" s="21" t="n">
        <v>0</v>
      </c>
      <c r="X1075" s="21" t="n">
        <v>0</v>
      </c>
      <c r="Y1075" s="21" t="n">
        <v>0</v>
      </c>
      <c r="Z1075" s="21" t="n">
        <v>0</v>
      </c>
      <c r="AA1075" s="21" t="n">
        <v>0</v>
      </c>
      <c r="AB1075" s="21" t="n">
        <v>0</v>
      </c>
      <c r="AC1075" s="21" t="n">
        <v>0</v>
      </c>
      <c r="AD1075" s="21" t="n">
        <v>0</v>
      </c>
      <c r="AE1075" s="21" t="n">
        <v>0</v>
      </c>
      <c r="AF1075" s="21" t="n">
        <v>0</v>
      </c>
      <c r="AG1075" s="21" t="n">
        <v>0</v>
      </c>
      <c r="AH1075" s="21" t="n">
        <v>0</v>
      </c>
      <c r="AI1075" s="21" t="n">
        <v>0</v>
      </c>
      <c r="AJ1075" s="21" t="n">
        <v>0</v>
      </c>
      <c r="AK1075" s="21" t="n">
        <v>0</v>
      </c>
      <c r="AL1075" s="21" t="n">
        <v>0</v>
      </c>
      <c r="AM1075" s="21" t="n">
        <v>0</v>
      </c>
      <c r="AN1075" s="21" t="n">
        <v>0</v>
      </c>
      <c r="AO1075" s="21" t="n">
        <v>0</v>
      </c>
      <c r="AP1075" s="21" t="n">
        <v>0</v>
      </c>
      <c r="AQ1075" s="21" t="n">
        <v>0</v>
      </c>
      <c r="AR1075" s="21" t="n">
        <v>0</v>
      </c>
      <c r="AS1075" s="21" t="n">
        <v>0</v>
      </c>
      <c r="AT1075" s="19" t="n"/>
    </row>
    <row r="1076">
      <c r="D1076" s="21" t="n">
        <v>0</v>
      </c>
      <c r="E1076" s="21" t="n">
        <v>0</v>
      </c>
      <c r="F1076" s="21" t="n">
        <v>0</v>
      </c>
      <c r="G1076" s="21" t="n">
        <v>0</v>
      </c>
      <c r="H1076" s="21" t="n">
        <v>0</v>
      </c>
      <c r="I1076" s="21" t="n">
        <v>0</v>
      </c>
      <c r="J1076" s="21">
        <f>$B$19</f>
        <v/>
      </c>
      <c r="K1076" s="21">
        <f>$B$21</f>
        <v/>
      </c>
      <c r="L1076" s="21">
        <f>0</f>
        <v/>
      </c>
      <c r="M1076" s="21">
        <f>2*$B$20</f>
        <v/>
      </c>
      <c r="N1076" s="21">
        <f>-$B$19</f>
        <v/>
      </c>
      <c r="O1076" s="21">
        <f>$B$21</f>
        <v/>
      </c>
      <c r="P1076" s="21" t="n">
        <v>0</v>
      </c>
      <c r="Q1076" s="21" t="n">
        <v>0</v>
      </c>
      <c r="R1076" s="21" t="n">
        <v>0</v>
      </c>
      <c r="S1076" s="21" t="n">
        <v>0</v>
      </c>
      <c r="T1076" s="21" t="n">
        <v>0</v>
      </c>
      <c r="U1076" s="21" t="n">
        <v>0</v>
      </c>
      <c r="V1076" s="21" t="n">
        <v>0</v>
      </c>
      <c r="W1076" s="21" t="n">
        <v>0</v>
      </c>
      <c r="X1076" s="21" t="n">
        <v>0</v>
      </c>
      <c r="Y1076" s="21" t="n">
        <v>0</v>
      </c>
      <c r="Z1076" s="21" t="n">
        <v>0</v>
      </c>
      <c r="AA1076" s="21" t="n">
        <v>0</v>
      </c>
      <c r="AB1076" s="21" t="n">
        <v>0</v>
      </c>
      <c r="AC1076" s="21" t="n">
        <v>0</v>
      </c>
      <c r="AD1076" s="21" t="n">
        <v>0</v>
      </c>
      <c r="AE1076" s="21" t="n">
        <v>0</v>
      </c>
      <c r="AF1076" s="21" t="n">
        <v>0</v>
      </c>
      <c r="AG1076" s="21" t="n">
        <v>0</v>
      </c>
      <c r="AH1076" s="21" t="n">
        <v>0</v>
      </c>
      <c r="AI1076" s="21" t="n">
        <v>0</v>
      </c>
      <c r="AJ1076" s="21" t="n">
        <v>0</v>
      </c>
      <c r="AK1076" s="21" t="n">
        <v>0</v>
      </c>
      <c r="AL1076" s="21" t="n">
        <v>0</v>
      </c>
      <c r="AM1076" s="21" t="n">
        <v>0</v>
      </c>
      <c r="AN1076" s="21" t="n">
        <v>0</v>
      </c>
      <c r="AO1076" s="21" t="n">
        <v>0</v>
      </c>
      <c r="AP1076" s="21" t="n">
        <v>0</v>
      </c>
      <c r="AQ1076" s="21" t="n">
        <v>0</v>
      </c>
      <c r="AR1076" s="21" t="n">
        <v>0</v>
      </c>
      <c r="AS1076" s="21" t="n">
        <v>0</v>
      </c>
      <c r="AT1076" s="19" t="n"/>
    </row>
    <row r="1077">
      <c r="D1077" s="21" t="n">
        <v>0</v>
      </c>
      <c r="E1077" s="21" t="n">
        <v>0</v>
      </c>
      <c r="F1077" s="21" t="n">
        <v>0</v>
      </c>
      <c r="G1077" s="21" t="n">
        <v>0</v>
      </c>
      <c r="H1077" s="21" t="n">
        <v>0</v>
      </c>
      <c r="I1077" s="21" t="n">
        <v>0</v>
      </c>
      <c r="J1077" s="21" t="n">
        <v>0</v>
      </c>
      <c r="K1077" s="21" t="n">
        <v>0</v>
      </c>
      <c r="L1077" s="21">
        <f>-$B$18</f>
        <v/>
      </c>
      <c r="M1077" s="21">
        <f>-$B$19</f>
        <v/>
      </c>
      <c r="N1077" s="21">
        <f>2*$B$18+$D$1050</f>
        <v/>
      </c>
      <c r="O1077" s="21">
        <f>0</f>
        <v/>
      </c>
      <c r="P1077" s="21">
        <f>-$B$18</f>
        <v/>
      </c>
      <c r="Q1077" s="21">
        <f>$B$19</f>
        <v/>
      </c>
      <c r="R1077" s="21" t="n">
        <v>0</v>
      </c>
      <c r="S1077" s="21" t="n">
        <v>0</v>
      </c>
      <c r="T1077" s="21" t="n">
        <v>0</v>
      </c>
      <c r="U1077" s="21" t="n">
        <v>0</v>
      </c>
      <c r="V1077" s="21" t="n">
        <v>0</v>
      </c>
      <c r="W1077" s="21" t="n">
        <v>0</v>
      </c>
      <c r="X1077" s="21" t="n">
        <v>0</v>
      </c>
      <c r="Y1077" s="21" t="n">
        <v>0</v>
      </c>
      <c r="Z1077" s="21" t="n">
        <v>0</v>
      </c>
      <c r="AA1077" s="21" t="n">
        <v>0</v>
      </c>
      <c r="AB1077" s="21" t="n">
        <v>0</v>
      </c>
      <c r="AC1077" s="21" t="n">
        <v>0</v>
      </c>
      <c r="AD1077" s="21" t="n">
        <v>0</v>
      </c>
      <c r="AE1077" s="21" t="n">
        <v>0</v>
      </c>
      <c r="AF1077" s="21" t="n">
        <v>0</v>
      </c>
      <c r="AG1077" s="21" t="n">
        <v>0</v>
      </c>
      <c r="AH1077" s="21" t="n">
        <v>0</v>
      </c>
      <c r="AI1077" s="21" t="n">
        <v>0</v>
      </c>
      <c r="AJ1077" s="21" t="n">
        <v>0</v>
      </c>
      <c r="AK1077" s="21" t="n">
        <v>0</v>
      </c>
      <c r="AL1077" s="21" t="n">
        <v>0</v>
      </c>
      <c r="AM1077" s="21" t="n">
        <v>0</v>
      </c>
      <c r="AN1077" s="21" t="n">
        <v>0</v>
      </c>
      <c r="AO1077" s="21" t="n">
        <v>0</v>
      </c>
      <c r="AP1077" s="21" t="n">
        <v>0</v>
      </c>
      <c r="AQ1077" s="21" t="n">
        <v>0</v>
      </c>
      <c r="AR1077" s="21" t="n">
        <v>0</v>
      </c>
      <c r="AS1077" s="21" t="n">
        <v>0</v>
      </c>
      <c r="AT1077" s="19" t="n"/>
    </row>
    <row r="1078">
      <c r="D1078" s="21" t="n">
        <v>0</v>
      </c>
      <c r="E1078" s="21" t="n">
        <v>0</v>
      </c>
      <c r="F1078" s="21" t="n">
        <v>0</v>
      </c>
      <c r="G1078" s="21" t="n">
        <v>0</v>
      </c>
      <c r="H1078" s="21" t="n">
        <v>0</v>
      </c>
      <c r="I1078" s="21" t="n">
        <v>0</v>
      </c>
      <c r="J1078" s="21" t="n">
        <v>0</v>
      </c>
      <c r="K1078" s="21" t="n">
        <v>0</v>
      </c>
      <c r="L1078" s="21">
        <f>$B$19</f>
        <v/>
      </c>
      <c r="M1078" s="21">
        <f>$B$21</f>
        <v/>
      </c>
      <c r="N1078" s="21">
        <f>0</f>
        <v/>
      </c>
      <c r="O1078" s="21">
        <f>2*$B$20</f>
        <v/>
      </c>
      <c r="P1078" s="21">
        <f>-$B$19</f>
        <v/>
      </c>
      <c r="Q1078" s="21">
        <f>$B$21</f>
        <v/>
      </c>
      <c r="R1078" s="21" t="n">
        <v>0</v>
      </c>
      <c r="S1078" s="21" t="n">
        <v>0</v>
      </c>
      <c r="T1078" s="21" t="n">
        <v>0</v>
      </c>
      <c r="U1078" s="21" t="n">
        <v>0</v>
      </c>
      <c r="V1078" s="21" t="n">
        <v>0</v>
      </c>
      <c r="W1078" s="21" t="n">
        <v>0</v>
      </c>
      <c r="X1078" s="21" t="n">
        <v>0</v>
      </c>
      <c r="Y1078" s="21" t="n">
        <v>0</v>
      </c>
      <c r="Z1078" s="21" t="n">
        <v>0</v>
      </c>
      <c r="AA1078" s="21" t="n">
        <v>0</v>
      </c>
      <c r="AB1078" s="21" t="n">
        <v>0</v>
      </c>
      <c r="AC1078" s="21" t="n">
        <v>0</v>
      </c>
      <c r="AD1078" s="21" t="n">
        <v>0</v>
      </c>
      <c r="AE1078" s="21" t="n">
        <v>0</v>
      </c>
      <c r="AF1078" s="21" t="n">
        <v>0</v>
      </c>
      <c r="AG1078" s="21" t="n">
        <v>0</v>
      </c>
      <c r="AH1078" s="21" t="n">
        <v>0</v>
      </c>
      <c r="AI1078" s="21" t="n">
        <v>0</v>
      </c>
      <c r="AJ1078" s="21" t="n">
        <v>0</v>
      </c>
      <c r="AK1078" s="21" t="n">
        <v>0</v>
      </c>
      <c r="AL1078" s="21" t="n">
        <v>0</v>
      </c>
      <c r="AM1078" s="21" t="n">
        <v>0</v>
      </c>
      <c r="AN1078" s="21" t="n">
        <v>0</v>
      </c>
      <c r="AO1078" s="21" t="n">
        <v>0</v>
      </c>
      <c r="AP1078" s="21" t="n">
        <v>0</v>
      </c>
      <c r="AQ1078" s="21" t="n">
        <v>0</v>
      </c>
      <c r="AR1078" s="21" t="n">
        <v>0</v>
      </c>
      <c r="AS1078" s="21" t="n">
        <v>0</v>
      </c>
      <c r="AT1078" s="19" t="n"/>
    </row>
    <row r="1079">
      <c r="D1079" s="21" t="n">
        <v>0</v>
      </c>
      <c r="E1079" s="21" t="n">
        <v>0</v>
      </c>
      <c r="F1079" s="21" t="n">
        <v>0</v>
      </c>
      <c r="G1079" s="21" t="n">
        <v>0</v>
      </c>
      <c r="H1079" s="21" t="n">
        <v>0</v>
      </c>
      <c r="I1079" s="21" t="n">
        <v>0</v>
      </c>
      <c r="J1079" s="21" t="n">
        <v>0</v>
      </c>
      <c r="K1079" s="21" t="n">
        <v>0</v>
      </c>
      <c r="L1079" s="21" t="n">
        <v>0</v>
      </c>
      <c r="M1079" s="21" t="n">
        <v>0</v>
      </c>
      <c r="N1079" s="21">
        <f>-$B$18</f>
        <v/>
      </c>
      <c r="O1079" s="21">
        <f>-$B$19</f>
        <v/>
      </c>
      <c r="P1079" s="21">
        <f>2*$B$18+$D$1051</f>
        <v/>
      </c>
      <c r="Q1079" s="21">
        <f>0</f>
        <v/>
      </c>
      <c r="R1079" s="21">
        <f>-$B$18</f>
        <v/>
      </c>
      <c r="S1079" s="21">
        <f>$B$19</f>
        <v/>
      </c>
      <c r="T1079" s="21" t="n">
        <v>0</v>
      </c>
      <c r="U1079" s="21" t="n">
        <v>0</v>
      </c>
      <c r="V1079" s="21" t="n">
        <v>0</v>
      </c>
      <c r="W1079" s="21" t="n">
        <v>0</v>
      </c>
      <c r="X1079" s="21" t="n">
        <v>0</v>
      </c>
      <c r="Y1079" s="21" t="n">
        <v>0</v>
      </c>
      <c r="Z1079" s="21" t="n">
        <v>0</v>
      </c>
      <c r="AA1079" s="21" t="n">
        <v>0</v>
      </c>
      <c r="AB1079" s="21" t="n">
        <v>0</v>
      </c>
      <c r="AC1079" s="21" t="n">
        <v>0</v>
      </c>
      <c r="AD1079" s="21" t="n">
        <v>0</v>
      </c>
      <c r="AE1079" s="21" t="n">
        <v>0</v>
      </c>
      <c r="AF1079" s="21" t="n">
        <v>0</v>
      </c>
      <c r="AG1079" s="21" t="n">
        <v>0</v>
      </c>
      <c r="AH1079" s="21" t="n">
        <v>0</v>
      </c>
      <c r="AI1079" s="21" t="n">
        <v>0</v>
      </c>
      <c r="AJ1079" s="21" t="n">
        <v>0</v>
      </c>
      <c r="AK1079" s="21" t="n">
        <v>0</v>
      </c>
      <c r="AL1079" s="21" t="n">
        <v>0</v>
      </c>
      <c r="AM1079" s="21" t="n">
        <v>0</v>
      </c>
      <c r="AN1079" s="21" t="n">
        <v>0</v>
      </c>
      <c r="AO1079" s="21" t="n">
        <v>0</v>
      </c>
      <c r="AP1079" s="21" t="n">
        <v>0</v>
      </c>
      <c r="AQ1079" s="21" t="n">
        <v>0</v>
      </c>
      <c r="AR1079" s="21" t="n">
        <v>0</v>
      </c>
      <c r="AS1079" s="21" t="n">
        <v>0</v>
      </c>
      <c r="AT1079" s="19" t="n"/>
    </row>
    <row r="1080">
      <c r="D1080" s="21" t="n">
        <v>0</v>
      </c>
      <c r="E1080" s="21" t="n">
        <v>0</v>
      </c>
      <c r="F1080" s="21" t="n">
        <v>0</v>
      </c>
      <c r="G1080" s="21" t="n">
        <v>0</v>
      </c>
      <c r="H1080" s="21" t="n">
        <v>0</v>
      </c>
      <c r="I1080" s="21" t="n">
        <v>0</v>
      </c>
      <c r="J1080" s="21" t="n">
        <v>0</v>
      </c>
      <c r="K1080" s="21" t="n">
        <v>0</v>
      </c>
      <c r="L1080" s="21" t="n">
        <v>0</v>
      </c>
      <c r="M1080" s="21" t="n">
        <v>0</v>
      </c>
      <c r="N1080" s="21">
        <f>$B$19</f>
        <v/>
      </c>
      <c r="O1080" s="21">
        <f>$B$21</f>
        <v/>
      </c>
      <c r="P1080" s="21">
        <f>0</f>
        <v/>
      </c>
      <c r="Q1080" s="21">
        <f>2*$B$20</f>
        <v/>
      </c>
      <c r="R1080" s="21">
        <f>-$B$19</f>
        <v/>
      </c>
      <c r="S1080" s="21">
        <f>$B$21</f>
        <v/>
      </c>
      <c r="T1080" s="21" t="n">
        <v>0</v>
      </c>
      <c r="U1080" s="21" t="n">
        <v>0</v>
      </c>
      <c r="V1080" s="21" t="n">
        <v>0</v>
      </c>
      <c r="W1080" s="21" t="n">
        <v>0</v>
      </c>
      <c r="X1080" s="21" t="n">
        <v>0</v>
      </c>
      <c r="Y1080" s="21" t="n">
        <v>0</v>
      </c>
      <c r="Z1080" s="21" t="n">
        <v>0</v>
      </c>
      <c r="AA1080" s="21" t="n">
        <v>0</v>
      </c>
      <c r="AB1080" s="21" t="n">
        <v>0</v>
      </c>
      <c r="AC1080" s="21" t="n">
        <v>0</v>
      </c>
      <c r="AD1080" s="21" t="n">
        <v>0</v>
      </c>
      <c r="AE1080" s="21" t="n">
        <v>0</v>
      </c>
      <c r="AF1080" s="21" t="n">
        <v>0</v>
      </c>
      <c r="AG1080" s="21" t="n">
        <v>0</v>
      </c>
      <c r="AH1080" s="21" t="n">
        <v>0</v>
      </c>
      <c r="AI1080" s="21" t="n">
        <v>0</v>
      </c>
      <c r="AJ1080" s="21" t="n">
        <v>0</v>
      </c>
      <c r="AK1080" s="21" t="n">
        <v>0</v>
      </c>
      <c r="AL1080" s="21" t="n">
        <v>0</v>
      </c>
      <c r="AM1080" s="21" t="n">
        <v>0</v>
      </c>
      <c r="AN1080" s="21" t="n">
        <v>0</v>
      </c>
      <c r="AO1080" s="21" t="n">
        <v>0</v>
      </c>
      <c r="AP1080" s="21" t="n">
        <v>0</v>
      </c>
      <c r="AQ1080" s="21" t="n">
        <v>0</v>
      </c>
      <c r="AR1080" s="21" t="n">
        <v>0</v>
      </c>
      <c r="AS1080" s="21" t="n">
        <v>0</v>
      </c>
      <c r="AT1080" s="19" t="n"/>
    </row>
    <row r="1081">
      <c r="D1081" s="21" t="n">
        <v>0</v>
      </c>
      <c r="E1081" s="21" t="n">
        <v>0</v>
      </c>
      <c r="F1081" s="21" t="n">
        <v>0</v>
      </c>
      <c r="G1081" s="21" t="n">
        <v>0</v>
      </c>
      <c r="H1081" s="21" t="n">
        <v>0</v>
      </c>
      <c r="I1081" s="21" t="n">
        <v>0</v>
      </c>
      <c r="J1081" s="21" t="n">
        <v>0</v>
      </c>
      <c r="K1081" s="21" t="n">
        <v>0</v>
      </c>
      <c r="L1081" s="21" t="n">
        <v>0</v>
      </c>
      <c r="M1081" s="21" t="n">
        <v>0</v>
      </c>
      <c r="N1081" s="21" t="n">
        <v>0</v>
      </c>
      <c r="O1081" s="21" t="n">
        <v>0</v>
      </c>
      <c r="P1081" s="21">
        <f>-$B$18</f>
        <v/>
      </c>
      <c r="Q1081" s="21">
        <f>-$B$19</f>
        <v/>
      </c>
      <c r="R1081" s="21">
        <f>2*$B$18+$D$1052</f>
        <v/>
      </c>
      <c r="S1081" s="21">
        <f>0</f>
        <v/>
      </c>
      <c r="T1081" s="21">
        <f>-$B$18</f>
        <v/>
      </c>
      <c r="U1081" s="21">
        <f>$B$19</f>
        <v/>
      </c>
      <c r="V1081" s="21" t="n">
        <v>0</v>
      </c>
      <c r="W1081" s="21" t="n">
        <v>0</v>
      </c>
      <c r="X1081" s="21" t="n">
        <v>0</v>
      </c>
      <c r="Y1081" s="21" t="n">
        <v>0</v>
      </c>
      <c r="Z1081" s="21" t="n">
        <v>0</v>
      </c>
      <c r="AA1081" s="21" t="n">
        <v>0</v>
      </c>
      <c r="AB1081" s="21" t="n">
        <v>0</v>
      </c>
      <c r="AC1081" s="21" t="n">
        <v>0</v>
      </c>
      <c r="AD1081" s="21" t="n">
        <v>0</v>
      </c>
      <c r="AE1081" s="21" t="n">
        <v>0</v>
      </c>
      <c r="AF1081" s="21" t="n">
        <v>0</v>
      </c>
      <c r="AG1081" s="21" t="n">
        <v>0</v>
      </c>
      <c r="AH1081" s="21" t="n">
        <v>0</v>
      </c>
      <c r="AI1081" s="21" t="n">
        <v>0</v>
      </c>
      <c r="AJ1081" s="21" t="n">
        <v>0</v>
      </c>
      <c r="AK1081" s="21" t="n">
        <v>0</v>
      </c>
      <c r="AL1081" s="21" t="n">
        <v>0</v>
      </c>
      <c r="AM1081" s="21" t="n">
        <v>0</v>
      </c>
      <c r="AN1081" s="21" t="n">
        <v>0</v>
      </c>
      <c r="AO1081" s="21" t="n">
        <v>0</v>
      </c>
      <c r="AP1081" s="21" t="n">
        <v>0</v>
      </c>
      <c r="AQ1081" s="21" t="n">
        <v>0</v>
      </c>
      <c r="AR1081" s="21" t="n">
        <v>0</v>
      </c>
      <c r="AS1081" s="21" t="n">
        <v>0</v>
      </c>
      <c r="AT1081" s="19" t="n"/>
    </row>
    <row r="1082">
      <c r="D1082" s="21" t="n">
        <v>0</v>
      </c>
      <c r="E1082" s="21" t="n">
        <v>0</v>
      </c>
      <c r="F1082" s="21" t="n">
        <v>0</v>
      </c>
      <c r="G1082" s="21" t="n">
        <v>0</v>
      </c>
      <c r="H1082" s="21" t="n">
        <v>0</v>
      </c>
      <c r="I1082" s="21" t="n">
        <v>0</v>
      </c>
      <c r="J1082" s="21" t="n">
        <v>0</v>
      </c>
      <c r="K1082" s="21" t="n">
        <v>0</v>
      </c>
      <c r="L1082" s="21" t="n">
        <v>0</v>
      </c>
      <c r="M1082" s="21" t="n">
        <v>0</v>
      </c>
      <c r="N1082" s="21" t="n">
        <v>0</v>
      </c>
      <c r="O1082" s="21" t="n">
        <v>0</v>
      </c>
      <c r="P1082" s="21">
        <f>$B$19</f>
        <v/>
      </c>
      <c r="Q1082" s="21">
        <f>$B$21</f>
        <v/>
      </c>
      <c r="R1082" s="21">
        <f>0</f>
        <v/>
      </c>
      <c r="S1082" s="21">
        <f>2*$B$20</f>
        <v/>
      </c>
      <c r="T1082" s="21">
        <f>-$B$19</f>
        <v/>
      </c>
      <c r="U1082" s="21">
        <f>$B$21</f>
        <v/>
      </c>
      <c r="V1082" s="21" t="n">
        <v>0</v>
      </c>
      <c r="W1082" s="21" t="n">
        <v>0</v>
      </c>
      <c r="X1082" s="21" t="n">
        <v>0</v>
      </c>
      <c r="Y1082" s="21" t="n">
        <v>0</v>
      </c>
      <c r="Z1082" s="21" t="n">
        <v>0</v>
      </c>
      <c r="AA1082" s="21" t="n">
        <v>0</v>
      </c>
      <c r="AB1082" s="21" t="n">
        <v>0</v>
      </c>
      <c r="AC1082" s="21" t="n">
        <v>0</v>
      </c>
      <c r="AD1082" s="21" t="n">
        <v>0</v>
      </c>
      <c r="AE1082" s="21" t="n">
        <v>0</v>
      </c>
      <c r="AF1082" s="21" t="n">
        <v>0</v>
      </c>
      <c r="AG1082" s="21" t="n">
        <v>0</v>
      </c>
      <c r="AH1082" s="21" t="n">
        <v>0</v>
      </c>
      <c r="AI1082" s="21" t="n">
        <v>0</v>
      </c>
      <c r="AJ1082" s="21" t="n">
        <v>0</v>
      </c>
      <c r="AK1082" s="21" t="n">
        <v>0</v>
      </c>
      <c r="AL1082" s="21" t="n">
        <v>0</v>
      </c>
      <c r="AM1082" s="21" t="n">
        <v>0</v>
      </c>
      <c r="AN1082" s="21" t="n">
        <v>0</v>
      </c>
      <c r="AO1082" s="21" t="n">
        <v>0</v>
      </c>
      <c r="AP1082" s="21" t="n">
        <v>0</v>
      </c>
      <c r="AQ1082" s="21" t="n">
        <v>0</v>
      </c>
      <c r="AR1082" s="21" t="n">
        <v>0</v>
      </c>
      <c r="AS1082" s="21" t="n">
        <v>0</v>
      </c>
      <c r="AT1082" s="19" t="n"/>
    </row>
    <row r="1083">
      <c r="D1083" s="21" t="n">
        <v>0</v>
      </c>
      <c r="E1083" s="21" t="n">
        <v>0</v>
      </c>
      <c r="F1083" s="21" t="n">
        <v>0</v>
      </c>
      <c r="G1083" s="21" t="n">
        <v>0</v>
      </c>
      <c r="H1083" s="21" t="n">
        <v>0</v>
      </c>
      <c r="I1083" s="21" t="n">
        <v>0</v>
      </c>
      <c r="J1083" s="21" t="n">
        <v>0</v>
      </c>
      <c r="K1083" s="21" t="n">
        <v>0</v>
      </c>
      <c r="L1083" s="21" t="n">
        <v>0</v>
      </c>
      <c r="M1083" s="21" t="n">
        <v>0</v>
      </c>
      <c r="N1083" s="21" t="n">
        <v>0</v>
      </c>
      <c r="O1083" s="21" t="n">
        <v>0</v>
      </c>
      <c r="P1083" s="21" t="n">
        <v>0</v>
      </c>
      <c r="Q1083" s="21" t="n">
        <v>0</v>
      </c>
      <c r="R1083" s="21">
        <f>-$B$18</f>
        <v/>
      </c>
      <c r="S1083" s="21">
        <f>-$B$19</f>
        <v/>
      </c>
      <c r="T1083" s="21">
        <f>2*$B$18+$D$1053</f>
        <v/>
      </c>
      <c r="U1083" s="21">
        <f>0</f>
        <v/>
      </c>
      <c r="V1083" s="21">
        <f>-$B$18</f>
        <v/>
      </c>
      <c r="W1083" s="21">
        <f>$B$19</f>
        <v/>
      </c>
      <c r="X1083" s="21" t="n">
        <v>0</v>
      </c>
      <c r="Y1083" s="21" t="n">
        <v>0</v>
      </c>
      <c r="Z1083" s="21" t="n">
        <v>0</v>
      </c>
      <c r="AA1083" s="21" t="n">
        <v>0</v>
      </c>
      <c r="AB1083" s="21" t="n">
        <v>0</v>
      </c>
      <c r="AC1083" s="21" t="n">
        <v>0</v>
      </c>
      <c r="AD1083" s="21" t="n">
        <v>0</v>
      </c>
      <c r="AE1083" s="21" t="n">
        <v>0</v>
      </c>
      <c r="AF1083" s="21" t="n">
        <v>0</v>
      </c>
      <c r="AG1083" s="21" t="n">
        <v>0</v>
      </c>
      <c r="AH1083" s="21" t="n">
        <v>0</v>
      </c>
      <c r="AI1083" s="21" t="n">
        <v>0</v>
      </c>
      <c r="AJ1083" s="21" t="n">
        <v>0</v>
      </c>
      <c r="AK1083" s="21" t="n">
        <v>0</v>
      </c>
      <c r="AL1083" s="21" t="n">
        <v>0</v>
      </c>
      <c r="AM1083" s="21" t="n">
        <v>0</v>
      </c>
      <c r="AN1083" s="21" t="n">
        <v>0</v>
      </c>
      <c r="AO1083" s="21" t="n">
        <v>0</v>
      </c>
      <c r="AP1083" s="21" t="n">
        <v>0</v>
      </c>
      <c r="AQ1083" s="21" t="n">
        <v>0</v>
      </c>
      <c r="AR1083" s="21" t="n">
        <v>0</v>
      </c>
      <c r="AS1083" s="21" t="n">
        <v>0</v>
      </c>
      <c r="AT1083" s="19" t="n"/>
    </row>
    <row r="1084">
      <c r="D1084" s="21" t="n">
        <v>0</v>
      </c>
      <c r="E1084" s="21" t="n">
        <v>0</v>
      </c>
      <c r="F1084" s="21" t="n">
        <v>0</v>
      </c>
      <c r="G1084" s="21" t="n">
        <v>0</v>
      </c>
      <c r="H1084" s="21" t="n">
        <v>0</v>
      </c>
      <c r="I1084" s="21" t="n">
        <v>0</v>
      </c>
      <c r="J1084" s="21" t="n">
        <v>0</v>
      </c>
      <c r="K1084" s="21" t="n">
        <v>0</v>
      </c>
      <c r="L1084" s="21" t="n">
        <v>0</v>
      </c>
      <c r="M1084" s="21" t="n">
        <v>0</v>
      </c>
      <c r="N1084" s="21" t="n">
        <v>0</v>
      </c>
      <c r="O1084" s="21" t="n">
        <v>0</v>
      </c>
      <c r="P1084" s="21" t="n">
        <v>0</v>
      </c>
      <c r="Q1084" s="21" t="n">
        <v>0</v>
      </c>
      <c r="R1084" s="21">
        <f>$B$19</f>
        <v/>
      </c>
      <c r="S1084" s="21">
        <f>$B$21</f>
        <v/>
      </c>
      <c r="T1084" s="21">
        <f>0</f>
        <v/>
      </c>
      <c r="U1084" s="21">
        <f>2*$B$20</f>
        <v/>
      </c>
      <c r="V1084" s="21">
        <f>-$B$19</f>
        <v/>
      </c>
      <c r="W1084" s="21">
        <f>$B$21</f>
        <v/>
      </c>
      <c r="X1084" s="21" t="n">
        <v>0</v>
      </c>
      <c r="Y1084" s="21" t="n">
        <v>0</v>
      </c>
      <c r="Z1084" s="21" t="n">
        <v>0</v>
      </c>
      <c r="AA1084" s="21" t="n">
        <v>0</v>
      </c>
      <c r="AB1084" s="21" t="n">
        <v>0</v>
      </c>
      <c r="AC1084" s="21" t="n">
        <v>0</v>
      </c>
      <c r="AD1084" s="21" t="n">
        <v>0</v>
      </c>
      <c r="AE1084" s="21" t="n">
        <v>0</v>
      </c>
      <c r="AF1084" s="21" t="n">
        <v>0</v>
      </c>
      <c r="AG1084" s="21" t="n">
        <v>0</v>
      </c>
      <c r="AH1084" s="21" t="n">
        <v>0</v>
      </c>
      <c r="AI1084" s="21" t="n">
        <v>0</v>
      </c>
      <c r="AJ1084" s="21" t="n">
        <v>0</v>
      </c>
      <c r="AK1084" s="21" t="n">
        <v>0</v>
      </c>
      <c r="AL1084" s="21" t="n">
        <v>0</v>
      </c>
      <c r="AM1084" s="21" t="n">
        <v>0</v>
      </c>
      <c r="AN1084" s="21" t="n">
        <v>0</v>
      </c>
      <c r="AO1084" s="21" t="n">
        <v>0</v>
      </c>
      <c r="AP1084" s="21" t="n">
        <v>0</v>
      </c>
      <c r="AQ1084" s="21" t="n">
        <v>0</v>
      </c>
      <c r="AR1084" s="21" t="n">
        <v>0</v>
      </c>
      <c r="AS1084" s="21" t="n">
        <v>0</v>
      </c>
      <c r="AT1084" s="19" t="n"/>
    </row>
    <row r="1085">
      <c r="D1085" s="21" t="n">
        <v>0</v>
      </c>
      <c r="E1085" s="21" t="n">
        <v>0</v>
      </c>
      <c r="F1085" s="21" t="n">
        <v>0</v>
      </c>
      <c r="G1085" s="21" t="n">
        <v>0</v>
      </c>
      <c r="H1085" s="21" t="n">
        <v>0</v>
      </c>
      <c r="I1085" s="21" t="n">
        <v>0</v>
      </c>
      <c r="J1085" s="21" t="n">
        <v>0</v>
      </c>
      <c r="K1085" s="21" t="n">
        <v>0</v>
      </c>
      <c r="L1085" s="21" t="n">
        <v>0</v>
      </c>
      <c r="M1085" s="21" t="n">
        <v>0</v>
      </c>
      <c r="N1085" s="21" t="n">
        <v>0</v>
      </c>
      <c r="O1085" s="21" t="n">
        <v>0</v>
      </c>
      <c r="P1085" s="21" t="n">
        <v>0</v>
      </c>
      <c r="Q1085" s="21" t="n">
        <v>0</v>
      </c>
      <c r="R1085" s="21" t="n">
        <v>0</v>
      </c>
      <c r="S1085" s="21" t="n">
        <v>0</v>
      </c>
      <c r="T1085" s="21">
        <f>-$B$18</f>
        <v/>
      </c>
      <c r="U1085" s="21">
        <f>-$B$19</f>
        <v/>
      </c>
      <c r="V1085" s="21">
        <f>2*$B$18+$D$1054</f>
        <v/>
      </c>
      <c r="W1085" s="21">
        <f>0</f>
        <v/>
      </c>
      <c r="X1085" s="21">
        <f>-$B$18</f>
        <v/>
      </c>
      <c r="Y1085" s="21">
        <f>$B$19</f>
        <v/>
      </c>
      <c r="Z1085" s="21" t="n">
        <v>0</v>
      </c>
      <c r="AA1085" s="21" t="n">
        <v>0</v>
      </c>
      <c r="AB1085" s="21" t="n">
        <v>0</v>
      </c>
      <c r="AC1085" s="21" t="n">
        <v>0</v>
      </c>
      <c r="AD1085" s="21" t="n">
        <v>0</v>
      </c>
      <c r="AE1085" s="21" t="n">
        <v>0</v>
      </c>
      <c r="AF1085" s="21" t="n">
        <v>0</v>
      </c>
      <c r="AG1085" s="21" t="n">
        <v>0</v>
      </c>
      <c r="AH1085" s="21" t="n">
        <v>0</v>
      </c>
      <c r="AI1085" s="21" t="n">
        <v>0</v>
      </c>
      <c r="AJ1085" s="21" t="n">
        <v>0</v>
      </c>
      <c r="AK1085" s="21" t="n">
        <v>0</v>
      </c>
      <c r="AL1085" s="21" t="n">
        <v>0</v>
      </c>
      <c r="AM1085" s="21" t="n">
        <v>0</v>
      </c>
      <c r="AN1085" s="21" t="n">
        <v>0</v>
      </c>
      <c r="AO1085" s="21" t="n">
        <v>0</v>
      </c>
      <c r="AP1085" s="21" t="n">
        <v>0</v>
      </c>
      <c r="AQ1085" s="21" t="n">
        <v>0</v>
      </c>
      <c r="AR1085" s="21" t="n">
        <v>0</v>
      </c>
      <c r="AS1085" s="21" t="n">
        <v>0</v>
      </c>
      <c r="AT1085" s="19" t="n"/>
    </row>
    <row r="1086">
      <c r="D1086" s="21" t="n">
        <v>0</v>
      </c>
      <c r="E1086" s="21" t="n">
        <v>0</v>
      </c>
      <c r="F1086" s="21" t="n">
        <v>0</v>
      </c>
      <c r="G1086" s="21" t="n">
        <v>0</v>
      </c>
      <c r="H1086" s="21" t="n">
        <v>0</v>
      </c>
      <c r="I1086" s="21" t="n">
        <v>0</v>
      </c>
      <c r="J1086" s="21" t="n">
        <v>0</v>
      </c>
      <c r="K1086" s="21" t="n">
        <v>0</v>
      </c>
      <c r="L1086" s="21" t="n">
        <v>0</v>
      </c>
      <c r="M1086" s="21" t="n">
        <v>0</v>
      </c>
      <c r="N1086" s="21" t="n">
        <v>0</v>
      </c>
      <c r="O1086" s="21" t="n">
        <v>0</v>
      </c>
      <c r="P1086" s="21" t="n">
        <v>0</v>
      </c>
      <c r="Q1086" s="21" t="n">
        <v>0</v>
      </c>
      <c r="R1086" s="21" t="n">
        <v>0</v>
      </c>
      <c r="S1086" s="21" t="n">
        <v>0</v>
      </c>
      <c r="T1086" s="21">
        <f>$B$19</f>
        <v/>
      </c>
      <c r="U1086" s="21">
        <f>$B$21</f>
        <v/>
      </c>
      <c r="V1086" s="21">
        <f>0</f>
        <v/>
      </c>
      <c r="W1086" s="21">
        <f>2*$B$20</f>
        <v/>
      </c>
      <c r="X1086" s="21">
        <f>-$B$19</f>
        <v/>
      </c>
      <c r="Y1086" s="21">
        <f>$B$21</f>
        <v/>
      </c>
      <c r="Z1086" s="21" t="n">
        <v>0</v>
      </c>
      <c r="AA1086" s="21" t="n">
        <v>0</v>
      </c>
      <c r="AB1086" s="21" t="n">
        <v>0</v>
      </c>
      <c r="AC1086" s="21" t="n">
        <v>0</v>
      </c>
      <c r="AD1086" s="21" t="n">
        <v>0</v>
      </c>
      <c r="AE1086" s="21" t="n">
        <v>0</v>
      </c>
      <c r="AF1086" s="21" t="n">
        <v>0</v>
      </c>
      <c r="AG1086" s="21" t="n">
        <v>0</v>
      </c>
      <c r="AH1086" s="21" t="n">
        <v>0</v>
      </c>
      <c r="AI1086" s="21" t="n">
        <v>0</v>
      </c>
      <c r="AJ1086" s="21" t="n">
        <v>0</v>
      </c>
      <c r="AK1086" s="21" t="n">
        <v>0</v>
      </c>
      <c r="AL1086" s="21" t="n">
        <v>0</v>
      </c>
      <c r="AM1086" s="21" t="n">
        <v>0</v>
      </c>
      <c r="AN1086" s="21" t="n">
        <v>0</v>
      </c>
      <c r="AO1086" s="21" t="n">
        <v>0</v>
      </c>
      <c r="AP1086" s="21" t="n">
        <v>0</v>
      </c>
      <c r="AQ1086" s="21" t="n">
        <v>0</v>
      </c>
      <c r="AR1086" s="21" t="n">
        <v>0</v>
      </c>
      <c r="AS1086" s="21" t="n">
        <v>0</v>
      </c>
      <c r="AT1086" s="19" t="n"/>
    </row>
    <row r="1087">
      <c r="D1087" s="21" t="n">
        <v>0</v>
      </c>
      <c r="E1087" s="21" t="n">
        <v>0</v>
      </c>
      <c r="F1087" s="21" t="n">
        <v>0</v>
      </c>
      <c r="G1087" s="21" t="n">
        <v>0</v>
      </c>
      <c r="H1087" s="21" t="n">
        <v>0</v>
      </c>
      <c r="I1087" s="21" t="n">
        <v>0</v>
      </c>
      <c r="J1087" s="21" t="n">
        <v>0</v>
      </c>
      <c r="K1087" s="21" t="n">
        <v>0</v>
      </c>
      <c r="L1087" s="21" t="n">
        <v>0</v>
      </c>
      <c r="M1087" s="21" t="n">
        <v>0</v>
      </c>
      <c r="N1087" s="21" t="n">
        <v>0</v>
      </c>
      <c r="O1087" s="21" t="n">
        <v>0</v>
      </c>
      <c r="P1087" s="21" t="n">
        <v>0</v>
      </c>
      <c r="Q1087" s="21" t="n">
        <v>0</v>
      </c>
      <c r="R1087" s="21" t="n">
        <v>0</v>
      </c>
      <c r="S1087" s="21" t="n">
        <v>0</v>
      </c>
      <c r="T1087" s="21" t="n">
        <v>0</v>
      </c>
      <c r="U1087" s="21" t="n">
        <v>0</v>
      </c>
      <c r="V1087" s="21">
        <f>-$B$18</f>
        <v/>
      </c>
      <c r="W1087" s="21">
        <f>-$B$19</f>
        <v/>
      </c>
      <c r="X1087" s="21">
        <f>2*$B$18+$D$1055</f>
        <v/>
      </c>
      <c r="Y1087" s="21">
        <f>0</f>
        <v/>
      </c>
      <c r="Z1087" s="21">
        <f>-$B$18</f>
        <v/>
      </c>
      <c r="AA1087" s="21">
        <f>$B$19</f>
        <v/>
      </c>
      <c r="AB1087" s="21" t="n">
        <v>0</v>
      </c>
      <c r="AC1087" s="21" t="n">
        <v>0</v>
      </c>
      <c r="AD1087" s="21" t="n">
        <v>0</v>
      </c>
      <c r="AE1087" s="21" t="n">
        <v>0</v>
      </c>
      <c r="AF1087" s="21" t="n">
        <v>0</v>
      </c>
      <c r="AG1087" s="21" t="n">
        <v>0</v>
      </c>
      <c r="AH1087" s="21" t="n">
        <v>0</v>
      </c>
      <c r="AI1087" s="21" t="n">
        <v>0</v>
      </c>
      <c r="AJ1087" s="21" t="n">
        <v>0</v>
      </c>
      <c r="AK1087" s="21" t="n">
        <v>0</v>
      </c>
      <c r="AL1087" s="21" t="n">
        <v>0</v>
      </c>
      <c r="AM1087" s="21" t="n">
        <v>0</v>
      </c>
      <c r="AN1087" s="21" t="n">
        <v>0</v>
      </c>
      <c r="AO1087" s="21" t="n">
        <v>0</v>
      </c>
      <c r="AP1087" s="21" t="n">
        <v>0</v>
      </c>
      <c r="AQ1087" s="21" t="n">
        <v>0</v>
      </c>
      <c r="AR1087" s="21" t="n">
        <v>0</v>
      </c>
      <c r="AS1087" s="21" t="n">
        <v>0</v>
      </c>
      <c r="AT1087" s="19" t="n"/>
    </row>
    <row r="1088">
      <c r="D1088" s="21" t="n">
        <v>0</v>
      </c>
      <c r="E1088" s="21" t="n">
        <v>0</v>
      </c>
      <c r="F1088" s="21" t="n">
        <v>0</v>
      </c>
      <c r="G1088" s="21" t="n">
        <v>0</v>
      </c>
      <c r="H1088" s="21" t="n">
        <v>0</v>
      </c>
      <c r="I1088" s="21" t="n">
        <v>0</v>
      </c>
      <c r="J1088" s="21" t="n">
        <v>0</v>
      </c>
      <c r="K1088" s="21" t="n">
        <v>0</v>
      </c>
      <c r="L1088" s="21" t="n">
        <v>0</v>
      </c>
      <c r="M1088" s="21" t="n">
        <v>0</v>
      </c>
      <c r="N1088" s="21" t="n">
        <v>0</v>
      </c>
      <c r="O1088" s="21" t="n">
        <v>0</v>
      </c>
      <c r="P1088" s="21" t="n">
        <v>0</v>
      </c>
      <c r="Q1088" s="21" t="n">
        <v>0</v>
      </c>
      <c r="R1088" s="21" t="n">
        <v>0</v>
      </c>
      <c r="S1088" s="21" t="n">
        <v>0</v>
      </c>
      <c r="T1088" s="21" t="n">
        <v>0</v>
      </c>
      <c r="U1088" s="21" t="n">
        <v>0</v>
      </c>
      <c r="V1088" s="21">
        <f>$B$19</f>
        <v/>
      </c>
      <c r="W1088" s="21">
        <f>$B$21</f>
        <v/>
      </c>
      <c r="X1088" s="21">
        <f>0</f>
        <v/>
      </c>
      <c r="Y1088" s="21">
        <f>2*$B$20</f>
        <v/>
      </c>
      <c r="Z1088" s="21">
        <f>-$B$19</f>
        <v/>
      </c>
      <c r="AA1088" s="21">
        <f>$B$21</f>
        <v/>
      </c>
      <c r="AB1088" s="21" t="n">
        <v>0</v>
      </c>
      <c r="AC1088" s="21" t="n">
        <v>0</v>
      </c>
      <c r="AD1088" s="21" t="n">
        <v>0</v>
      </c>
      <c r="AE1088" s="21" t="n">
        <v>0</v>
      </c>
      <c r="AF1088" s="21" t="n">
        <v>0</v>
      </c>
      <c r="AG1088" s="21" t="n">
        <v>0</v>
      </c>
      <c r="AH1088" s="21" t="n">
        <v>0</v>
      </c>
      <c r="AI1088" s="21" t="n">
        <v>0</v>
      </c>
      <c r="AJ1088" s="21" t="n">
        <v>0</v>
      </c>
      <c r="AK1088" s="21" t="n">
        <v>0</v>
      </c>
      <c r="AL1088" s="21" t="n">
        <v>0</v>
      </c>
      <c r="AM1088" s="21" t="n">
        <v>0</v>
      </c>
      <c r="AN1088" s="21" t="n">
        <v>0</v>
      </c>
      <c r="AO1088" s="21" t="n">
        <v>0</v>
      </c>
      <c r="AP1088" s="21" t="n">
        <v>0</v>
      </c>
      <c r="AQ1088" s="21" t="n">
        <v>0</v>
      </c>
      <c r="AR1088" s="21" t="n">
        <v>0</v>
      </c>
      <c r="AS1088" s="21" t="n">
        <v>0</v>
      </c>
      <c r="AT1088" s="19" t="n"/>
    </row>
    <row r="1089">
      <c r="D1089" s="21" t="n">
        <v>0</v>
      </c>
      <c r="E1089" s="21" t="n">
        <v>0</v>
      </c>
      <c r="F1089" s="21" t="n">
        <v>0</v>
      </c>
      <c r="G1089" s="21" t="n">
        <v>0</v>
      </c>
      <c r="H1089" s="21" t="n">
        <v>0</v>
      </c>
      <c r="I1089" s="21" t="n">
        <v>0</v>
      </c>
      <c r="J1089" s="21" t="n">
        <v>0</v>
      </c>
      <c r="K1089" s="21" t="n">
        <v>0</v>
      </c>
      <c r="L1089" s="21" t="n">
        <v>0</v>
      </c>
      <c r="M1089" s="21" t="n">
        <v>0</v>
      </c>
      <c r="N1089" s="21" t="n">
        <v>0</v>
      </c>
      <c r="O1089" s="21" t="n">
        <v>0</v>
      </c>
      <c r="P1089" s="21" t="n">
        <v>0</v>
      </c>
      <c r="Q1089" s="21" t="n">
        <v>0</v>
      </c>
      <c r="R1089" s="21" t="n">
        <v>0</v>
      </c>
      <c r="S1089" s="21" t="n">
        <v>0</v>
      </c>
      <c r="T1089" s="21" t="n">
        <v>0</v>
      </c>
      <c r="U1089" s="21" t="n">
        <v>0</v>
      </c>
      <c r="V1089" s="21" t="n">
        <v>0</v>
      </c>
      <c r="W1089" s="21" t="n">
        <v>0</v>
      </c>
      <c r="X1089" s="21">
        <f>-$B$18</f>
        <v/>
      </c>
      <c r="Y1089" s="21">
        <f>-$B$19</f>
        <v/>
      </c>
      <c r="Z1089" s="21">
        <f>2*$B$18+$D$1056</f>
        <v/>
      </c>
      <c r="AA1089" s="21">
        <f>0</f>
        <v/>
      </c>
      <c r="AB1089" s="21">
        <f>-$B$18</f>
        <v/>
      </c>
      <c r="AC1089" s="21">
        <f>$B$19</f>
        <v/>
      </c>
      <c r="AD1089" s="21" t="n">
        <v>0</v>
      </c>
      <c r="AE1089" s="21" t="n">
        <v>0</v>
      </c>
      <c r="AF1089" s="21" t="n">
        <v>0</v>
      </c>
      <c r="AG1089" s="21" t="n">
        <v>0</v>
      </c>
      <c r="AH1089" s="21" t="n">
        <v>0</v>
      </c>
      <c r="AI1089" s="21" t="n">
        <v>0</v>
      </c>
      <c r="AJ1089" s="21" t="n">
        <v>0</v>
      </c>
      <c r="AK1089" s="21" t="n">
        <v>0</v>
      </c>
      <c r="AL1089" s="21" t="n">
        <v>0</v>
      </c>
      <c r="AM1089" s="21" t="n">
        <v>0</v>
      </c>
      <c r="AN1089" s="21" t="n">
        <v>0</v>
      </c>
      <c r="AO1089" s="21" t="n">
        <v>0</v>
      </c>
      <c r="AP1089" s="21" t="n">
        <v>0</v>
      </c>
      <c r="AQ1089" s="21" t="n">
        <v>0</v>
      </c>
      <c r="AR1089" s="21" t="n">
        <v>0</v>
      </c>
      <c r="AS1089" s="21" t="n">
        <v>0</v>
      </c>
      <c r="AT1089" s="19" t="n"/>
    </row>
    <row r="1090">
      <c r="D1090" s="21" t="n">
        <v>0</v>
      </c>
      <c r="E1090" s="21" t="n">
        <v>0</v>
      </c>
      <c r="F1090" s="21" t="n">
        <v>0</v>
      </c>
      <c r="G1090" s="21" t="n">
        <v>0</v>
      </c>
      <c r="H1090" s="21" t="n">
        <v>0</v>
      </c>
      <c r="I1090" s="21" t="n">
        <v>0</v>
      </c>
      <c r="J1090" s="21" t="n">
        <v>0</v>
      </c>
      <c r="K1090" s="21" t="n">
        <v>0</v>
      </c>
      <c r="L1090" s="21" t="n">
        <v>0</v>
      </c>
      <c r="M1090" s="21" t="n">
        <v>0</v>
      </c>
      <c r="N1090" s="21" t="n">
        <v>0</v>
      </c>
      <c r="O1090" s="21" t="n">
        <v>0</v>
      </c>
      <c r="P1090" s="21" t="n">
        <v>0</v>
      </c>
      <c r="Q1090" s="21" t="n">
        <v>0</v>
      </c>
      <c r="R1090" s="21" t="n">
        <v>0</v>
      </c>
      <c r="S1090" s="21" t="n">
        <v>0</v>
      </c>
      <c r="T1090" s="21" t="n">
        <v>0</v>
      </c>
      <c r="U1090" s="21" t="n">
        <v>0</v>
      </c>
      <c r="V1090" s="21" t="n">
        <v>0</v>
      </c>
      <c r="W1090" s="21" t="n">
        <v>0</v>
      </c>
      <c r="X1090" s="21">
        <f>$B$19</f>
        <v/>
      </c>
      <c r="Y1090" s="21">
        <f>$B$21</f>
        <v/>
      </c>
      <c r="Z1090" s="21">
        <f>0</f>
        <v/>
      </c>
      <c r="AA1090" s="21">
        <f>2*$B$20</f>
        <v/>
      </c>
      <c r="AB1090" s="21">
        <f>-$B$19</f>
        <v/>
      </c>
      <c r="AC1090" s="21">
        <f>$B$21</f>
        <v/>
      </c>
      <c r="AD1090" s="21" t="n">
        <v>0</v>
      </c>
      <c r="AE1090" s="21" t="n">
        <v>0</v>
      </c>
      <c r="AF1090" s="21" t="n">
        <v>0</v>
      </c>
      <c r="AG1090" s="21" t="n">
        <v>0</v>
      </c>
      <c r="AH1090" s="21" t="n">
        <v>0</v>
      </c>
      <c r="AI1090" s="21" t="n">
        <v>0</v>
      </c>
      <c r="AJ1090" s="21" t="n">
        <v>0</v>
      </c>
      <c r="AK1090" s="21" t="n">
        <v>0</v>
      </c>
      <c r="AL1090" s="21" t="n">
        <v>0</v>
      </c>
      <c r="AM1090" s="21" t="n">
        <v>0</v>
      </c>
      <c r="AN1090" s="21" t="n">
        <v>0</v>
      </c>
      <c r="AO1090" s="21" t="n">
        <v>0</v>
      </c>
      <c r="AP1090" s="21" t="n">
        <v>0</v>
      </c>
      <c r="AQ1090" s="21" t="n">
        <v>0</v>
      </c>
      <c r="AR1090" s="21" t="n">
        <v>0</v>
      </c>
      <c r="AS1090" s="21" t="n">
        <v>0</v>
      </c>
      <c r="AT1090" s="19" t="n"/>
    </row>
    <row r="1091">
      <c r="D1091" s="21" t="n">
        <v>0</v>
      </c>
      <c r="E1091" s="21" t="n">
        <v>0</v>
      </c>
      <c r="F1091" s="21" t="n">
        <v>0</v>
      </c>
      <c r="G1091" s="21" t="n">
        <v>0</v>
      </c>
      <c r="H1091" s="21" t="n">
        <v>0</v>
      </c>
      <c r="I1091" s="21" t="n">
        <v>0</v>
      </c>
      <c r="J1091" s="21" t="n">
        <v>0</v>
      </c>
      <c r="K1091" s="21" t="n">
        <v>0</v>
      </c>
      <c r="L1091" s="21" t="n">
        <v>0</v>
      </c>
      <c r="M1091" s="21" t="n">
        <v>0</v>
      </c>
      <c r="N1091" s="21" t="n">
        <v>0</v>
      </c>
      <c r="O1091" s="21" t="n">
        <v>0</v>
      </c>
      <c r="P1091" s="21" t="n">
        <v>0</v>
      </c>
      <c r="Q1091" s="21" t="n">
        <v>0</v>
      </c>
      <c r="R1091" s="21" t="n">
        <v>0</v>
      </c>
      <c r="S1091" s="21" t="n">
        <v>0</v>
      </c>
      <c r="T1091" s="21" t="n">
        <v>0</v>
      </c>
      <c r="U1091" s="21" t="n">
        <v>0</v>
      </c>
      <c r="V1091" s="21" t="n">
        <v>0</v>
      </c>
      <c r="W1091" s="21" t="n">
        <v>0</v>
      </c>
      <c r="X1091" s="21" t="n">
        <v>0</v>
      </c>
      <c r="Y1091" s="21" t="n">
        <v>0</v>
      </c>
      <c r="Z1091" s="21">
        <f>-$B$18</f>
        <v/>
      </c>
      <c r="AA1091" s="21">
        <f>-$B$19</f>
        <v/>
      </c>
      <c r="AB1091" s="21">
        <f>2*$B$18+$D$1057</f>
        <v/>
      </c>
      <c r="AC1091" s="21">
        <f>0</f>
        <v/>
      </c>
      <c r="AD1091" s="21">
        <f>-$B$18</f>
        <v/>
      </c>
      <c r="AE1091" s="21">
        <f>$B$19</f>
        <v/>
      </c>
      <c r="AF1091" s="21" t="n">
        <v>0</v>
      </c>
      <c r="AG1091" s="21" t="n">
        <v>0</v>
      </c>
      <c r="AH1091" s="21" t="n">
        <v>0</v>
      </c>
      <c r="AI1091" s="21" t="n">
        <v>0</v>
      </c>
      <c r="AJ1091" s="21" t="n">
        <v>0</v>
      </c>
      <c r="AK1091" s="21" t="n">
        <v>0</v>
      </c>
      <c r="AL1091" s="21" t="n">
        <v>0</v>
      </c>
      <c r="AM1091" s="21" t="n">
        <v>0</v>
      </c>
      <c r="AN1091" s="21" t="n">
        <v>0</v>
      </c>
      <c r="AO1091" s="21" t="n">
        <v>0</v>
      </c>
      <c r="AP1091" s="21" t="n">
        <v>0</v>
      </c>
      <c r="AQ1091" s="21" t="n">
        <v>0</v>
      </c>
      <c r="AR1091" s="21" t="n">
        <v>0</v>
      </c>
      <c r="AS1091" s="21" t="n">
        <v>0</v>
      </c>
      <c r="AT1091" s="19" t="n"/>
    </row>
    <row r="1092">
      <c r="D1092" s="21" t="n">
        <v>0</v>
      </c>
      <c r="E1092" s="21" t="n">
        <v>0</v>
      </c>
      <c r="F1092" s="21" t="n">
        <v>0</v>
      </c>
      <c r="G1092" s="21" t="n">
        <v>0</v>
      </c>
      <c r="H1092" s="21" t="n">
        <v>0</v>
      </c>
      <c r="I1092" s="21" t="n">
        <v>0</v>
      </c>
      <c r="J1092" s="21" t="n">
        <v>0</v>
      </c>
      <c r="K1092" s="21" t="n">
        <v>0</v>
      </c>
      <c r="L1092" s="21" t="n">
        <v>0</v>
      </c>
      <c r="M1092" s="21" t="n">
        <v>0</v>
      </c>
      <c r="N1092" s="21" t="n">
        <v>0</v>
      </c>
      <c r="O1092" s="21" t="n">
        <v>0</v>
      </c>
      <c r="P1092" s="21" t="n">
        <v>0</v>
      </c>
      <c r="Q1092" s="21" t="n">
        <v>0</v>
      </c>
      <c r="R1092" s="21" t="n">
        <v>0</v>
      </c>
      <c r="S1092" s="21" t="n">
        <v>0</v>
      </c>
      <c r="T1092" s="21" t="n">
        <v>0</v>
      </c>
      <c r="U1092" s="21" t="n">
        <v>0</v>
      </c>
      <c r="V1092" s="21" t="n">
        <v>0</v>
      </c>
      <c r="W1092" s="21" t="n">
        <v>0</v>
      </c>
      <c r="X1092" s="21" t="n">
        <v>0</v>
      </c>
      <c r="Y1092" s="21" t="n">
        <v>0</v>
      </c>
      <c r="Z1092" s="21">
        <f>$B$19</f>
        <v/>
      </c>
      <c r="AA1092" s="21">
        <f>$B$21</f>
        <v/>
      </c>
      <c r="AB1092" s="21">
        <f>0</f>
        <v/>
      </c>
      <c r="AC1092" s="21">
        <f>2*$B$20</f>
        <v/>
      </c>
      <c r="AD1092" s="21">
        <f>-$B$19</f>
        <v/>
      </c>
      <c r="AE1092" s="21">
        <f>$B$21</f>
        <v/>
      </c>
      <c r="AF1092" s="21" t="n">
        <v>0</v>
      </c>
      <c r="AG1092" s="21" t="n">
        <v>0</v>
      </c>
      <c r="AH1092" s="21" t="n">
        <v>0</v>
      </c>
      <c r="AI1092" s="21" t="n">
        <v>0</v>
      </c>
      <c r="AJ1092" s="21" t="n">
        <v>0</v>
      </c>
      <c r="AK1092" s="21" t="n">
        <v>0</v>
      </c>
      <c r="AL1092" s="21" t="n">
        <v>0</v>
      </c>
      <c r="AM1092" s="21" t="n">
        <v>0</v>
      </c>
      <c r="AN1092" s="21" t="n">
        <v>0</v>
      </c>
      <c r="AO1092" s="21" t="n">
        <v>0</v>
      </c>
      <c r="AP1092" s="21" t="n">
        <v>0</v>
      </c>
      <c r="AQ1092" s="21" t="n">
        <v>0</v>
      </c>
      <c r="AR1092" s="21" t="n">
        <v>0</v>
      </c>
      <c r="AS1092" s="21" t="n">
        <v>0</v>
      </c>
      <c r="AT1092" s="19" t="n"/>
    </row>
    <row r="1093">
      <c r="D1093" s="21" t="n">
        <v>0</v>
      </c>
      <c r="E1093" s="21" t="n">
        <v>0</v>
      </c>
      <c r="F1093" s="21" t="n">
        <v>0</v>
      </c>
      <c r="G1093" s="21" t="n">
        <v>0</v>
      </c>
      <c r="H1093" s="21" t="n">
        <v>0</v>
      </c>
      <c r="I1093" s="21" t="n">
        <v>0</v>
      </c>
      <c r="J1093" s="21" t="n">
        <v>0</v>
      </c>
      <c r="K1093" s="21" t="n">
        <v>0</v>
      </c>
      <c r="L1093" s="21" t="n">
        <v>0</v>
      </c>
      <c r="M1093" s="21" t="n">
        <v>0</v>
      </c>
      <c r="N1093" s="21" t="n">
        <v>0</v>
      </c>
      <c r="O1093" s="21" t="n">
        <v>0</v>
      </c>
      <c r="P1093" s="21" t="n">
        <v>0</v>
      </c>
      <c r="Q1093" s="21" t="n">
        <v>0</v>
      </c>
      <c r="R1093" s="21" t="n">
        <v>0</v>
      </c>
      <c r="S1093" s="21" t="n">
        <v>0</v>
      </c>
      <c r="T1093" s="21" t="n">
        <v>0</v>
      </c>
      <c r="U1093" s="21" t="n">
        <v>0</v>
      </c>
      <c r="V1093" s="21" t="n">
        <v>0</v>
      </c>
      <c r="W1093" s="21" t="n">
        <v>0</v>
      </c>
      <c r="X1093" s="21" t="n">
        <v>0</v>
      </c>
      <c r="Y1093" s="21" t="n">
        <v>0</v>
      </c>
      <c r="Z1093" s="21" t="n">
        <v>0</v>
      </c>
      <c r="AA1093" s="21" t="n">
        <v>0</v>
      </c>
      <c r="AB1093" s="21">
        <f>-$B$18</f>
        <v/>
      </c>
      <c r="AC1093" s="21">
        <f>-$B$19</f>
        <v/>
      </c>
      <c r="AD1093" s="21">
        <f>2*$B$18+$D$1058</f>
        <v/>
      </c>
      <c r="AE1093" s="21">
        <f>0</f>
        <v/>
      </c>
      <c r="AF1093" s="21">
        <f>-$B$18</f>
        <v/>
      </c>
      <c r="AG1093" s="21">
        <f>$B$19</f>
        <v/>
      </c>
      <c r="AH1093" s="21" t="n">
        <v>0</v>
      </c>
      <c r="AI1093" s="21" t="n">
        <v>0</v>
      </c>
      <c r="AJ1093" s="21" t="n">
        <v>0</v>
      </c>
      <c r="AK1093" s="21" t="n">
        <v>0</v>
      </c>
      <c r="AL1093" s="21" t="n">
        <v>0</v>
      </c>
      <c r="AM1093" s="21" t="n">
        <v>0</v>
      </c>
      <c r="AN1093" s="21" t="n">
        <v>0</v>
      </c>
      <c r="AO1093" s="21" t="n">
        <v>0</v>
      </c>
      <c r="AP1093" s="21" t="n">
        <v>0</v>
      </c>
      <c r="AQ1093" s="21" t="n">
        <v>0</v>
      </c>
      <c r="AR1093" s="21" t="n">
        <v>0</v>
      </c>
      <c r="AS1093" s="21" t="n">
        <v>0</v>
      </c>
      <c r="AT1093" s="19" t="n"/>
    </row>
    <row r="1094">
      <c r="D1094" s="21" t="n">
        <v>0</v>
      </c>
      <c r="E1094" s="21" t="n">
        <v>0</v>
      </c>
      <c r="F1094" s="21" t="n">
        <v>0</v>
      </c>
      <c r="G1094" s="21" t="n">
        <v>0</v>
      </c>
      <c r="H1094" s="21" t="n">
        <v>0</v>
      </c>
      <c r="I1094" s="21" t="n">
        <v>0</v>
      </c>
      <c r="J1094" s="21" t="n">
        <v>0</v>
      </c>
      <c r="K1094" s="21" t="n">
        <v>0</v>
      </c>
      <c r="L1094" s="21" t="n">
        <v>0</v>
      </c>
      <c r="M1094" s="21" t="n">
        <v>0</v>
      </c>
      <c r="N1094" s="21" t="n">
        <v>0</v>
      </c>
      <c r="O1094" s="21" t="n">
        <v>0</v>
      </c>
      <c r="P1094" s="21" t="n">
        <v>0</v>
      </c>
      <c r="Q1094" s="21" t="n">
        <v>0</v>
      </c>
      <c r="R1094" s="21" t="n">
        <v>0</v>
      </c>
      <c r="S1094" s="21" t="n">
        <v>0</v>
      </c>
      <c r="T1094" s="21" t="n">
        <v>0</v>
      </c>
      <c r="U1094" s="21" t="n">
        <v>0</v>
      </c>
      <c r="V1094" s="21" t="n">
        <v>0</v>
      </c>
      <c r="W1094" s="21" t="n">
        <v>0</v>
      </c>
      <c r="X1094" s="21" t="n">
        <v>0</v>
      </c>
      <c r="Y1094" s="21" t="n">
        <v>0</v>
      </c>
      <c r="Z1094" s="21" t="n">
        <v>0</v>
      </c>
      <c r="AA1094" s="21" t="n">
        <v>0</v>
      </c>
      <c r="AB1094" s="21">
        <f>$B$19</f>
        <v/>
      </c>
      <c r="AC1094" s="21">
        <f>$B$21</f>
        <v/>
      </c>
      <c r="AD1094" s="21">
        <f>0</f>
        <v/>
      </c>
      <c r="AE1094" s="21">
        <f>2*$B$20</f>
        <v/>
      </c>
      <c r="AF1094" s="21">
        <f>-$B$19</f>
        <v/>
      </c>
      <c r="AG1094" s="21">
        <f>$B$21</f>
        <v/>
      </c>
      <c r="AH1094" s="21" t="n">
        <v>0</v>
      </c>
      <c r="AI1094" s="21" t="n">
        <v>0</v>
      </c>
      <c r="AJ1094" s="21" t="n">
        <v>0</v>
      </c>
      <c r="AK1094" s="21" t="n">
        <v>0</v>
      </c>
      <c r="AL1094" s="21" t="n">
        <v>0</v>
      </c>
      <c r="AM1094" s="21" t="n">
        <v>0</v>
      </c>
      <c r="AN1094" s="21" t="n">
        <v>0</v>
      </c>
      <c r="AO1094" s="21" t="n">
        <v>0</v>
      </c>
      <c r="AP1094" s="21" t="n">
        <v>0</v>
      </c>
      <c r="AQ1094" s="21" t="n">
        <v>0</v>
      </c>
      <c r="AR1094" s="21" t="n">
        <v>0</v>
      </c>
      <c r="AS1094" s="21" t="n">
        <v>0</v>
      </c>
      <c r="AT1094" s="19" t="n"/>
    </row>
    <row r="1095">
      <c r="D1095" s="21" t="n">
        <v>0</v>
      </c>
      <c r="E1095" s="21" t="n">
        <v>0</v>
      </c>
      <c r="F1095" s="21" t="n">
        <v>0</v>
      </c>
      <c r="G1095" s="21" t="n">
        <v>0</v>
      </c>
      <c r="H1095" s="21" t="n">
        <v>0</v>
      </c>
      <c r="I1095" s="21" t="n">
        <v>0</v>
      </c>
      <c r="J1095" s="21" t="n">
        <v>0</v>
      </c>
      <c r="K1095" s="21" t="n">
        <v>0</v>
      </c>
      <c r="L1095" s="21" t="n">
        <v>0</v>
      </c>
      <c r="M1095" s="21" t="n">
        <v>0</v>
      </c>
      <c r="N1095" s="21" t="n">
        <v>0</v>
      </c>
      <c r="O1095" s="21" t="n">
        <v>0</v>
      </c>
      <c r="P1095" s="21" t="n">
        <v>0</v>
      </c>
      <c r="Q1095" s="21" t="n">
        <v>0</v>
      </c>
      <c r="R1095" s="21" t="n">
        <v>0</v>
      </c>
      <c r="S1095" s="21" t="n">
        <v>0</v>
      </c>
      <c r="T1095" s="21" t="n">
        <v>0</v>
      </c>
      <c r="U1095" s="21" t="n">
        <v>0</v>
      </c>
      <c r="V1095" s="21" t="n">
        <v>0</v>
      </c>
      <c r="W1095" s="21" t="n">
        <v>0</v>
      </c>
      <c r="X1095" s="21" t="n">
        <v>0</v>
      </c>
      <c r="Y1095" s="21" t="n">
        <v>0</v>
      </c>
      <c r="Z1095" s="21" t="n">
        <v>0</v>
      </c>
      <c r="AA1095" s="21" t="n">
        <v>0</v>
      </c>
      <c r="AB1095" s="21" t="n">
        <v>0</v>
      </c>
      <c r="AC1095" s="21" t="n">
        <v>0</v>
      </c>
      <c r="AD1095" s="21">
        <f>-$B$18</f>
        <v/>
      </c>
      <c r="AE1095" s="21">
        <f>-$B$19</f>
        <v/>
      </c>
      <c r="AF1095" s="21">
        <f>2*$B$18+$D$1059</f>
        <v/>
      </c>
      <c r="AG1095" s="21">
        <f>0</f>
        <v/>
      </c>
      <c r="AH1095" s="21">
        <f>-$B$18</f>
        <v/>
      </c>
      <c r="AI1095" s="21">
        <f>$B$19</f>
        <v/>
      </c>
      <c r="AJ1095" s="21" t="n">
        <v>0</v>
      </c>
      <c r="AK1095" s="21" t="n">
        <v>0</v>
      </c>
      <c r="AL1095" s="21" t="n">
        <v>0</v>
      </c>
      <c r="AM1095" s="21" t="n">
        <v>0</v>
      </c>
      <c r="AN1095" s="21" t="n">
        <v>0</v>
      </c>
      <c r="AO1095" s="21" t="n">
        <v>0</v>
      </c>
      <c r="AP1095" s="21" t="n">
        <v>0</v>
      </c>
      <c r="AQ1095" s="21" t="n">
        <v>0</v>
      </c>
      <c r="AR1095" s="21" t="n">
        <v>0</v>
      </c>
      <c r="AS1095" s="21" t="n">
        <v>0</v>
      </c>
      <c r="AT1095" s="19" t="n"/>
    </row>
    <row r="1096">
      <c r="D1096" s="21" t="n">
        <v>0</v>
      </c>
      <c r="E1096" s="21" t="n">
        <v>0</v>
      </c>
      <c r="F1096" s="21" t="n">
        <v>0</v>
      </c>
      <c r="G1096" s="21" t="n">
        <v>0</v>
      </c>
      <c r="H1096" s="21" t="n">
        <v>0</v>
      </c>
      <c r="I1096" s="21" t="n">
        <v>0</v>
      </c>
      <c r="J1096" s="21" t="n">
        <v>0</v>
      </c>
      <c r="K1096" s="21" t="n">
        <v>0</v>
      </c>
      <c r="L1096" s="21" t="n">
        <v>0</v>
      </c>
      <c r="M1096" s="21" t="n">
        <v>0</v>
      </c>
      <c r="N1096" s="21" t="n">
        <v>0</v>
      </c>
      <c r="O1096" s="21" t="n">
        <v>0</v>
      </c>
      <c r="P1096" s="21" t="n">
        <v>0</v>
      </c>
      <c r="Q1096" s="21" t="n">
        <v>0</v>
      </c>
      <c r="R1096" s="21" t="n">
        <v>0</v>
      </c>
      <c r="S1096" s="21" t="n">
        <v>0</v>
      </c>
      <c r="T1096" s="21" t="n">
        <v>0</v>
      </c>
      <c r="U1096" s="21" t="n">
        <v>0</v>
      </c>
      <c r="V1096" s="21" t="n">
        <v>0</v>
      </c>
      <c r="W1096" s="21" t="n">
        <v>0</v>
      </c>
      <c r="X1096" s="21" t="n">
        <v>0</v>
      </c>
      <c r="Y1096" s="21" t="n">
        <v>0</v>
      </c>
      <c r="Z1096" s="21" t="n">
        <v>0</v>
      </c>
      <c r="AA1096" s="21" t="n">
        <v>0</v>
      </c>
      <c r="AB1096" s="21" t="n">
        <v>0</v>
      </c>
      <c r="AC1096" s="21" t="n">
        <v>0</v>
      </c>
      <c r="AD1096" s="21">
        <f>$B$19</f>
        <v/>
      </c>
      <c r="AE1096" s="21">
        <f>$B$21</f>
        <v/>
      </c>
      <c r="AF1096" s="21">
        <f>0</f>
        <v/>
      </c>
      <c r="AG1096" s="21">
        <f>2*$B$20</f>
        <v/>
      </c>
      <c r="AH1096" s="21">
        <f>-$B$19</f>
        <v/>
      </c>
      <c r="AI1096" s="21">
        <f>$B$21</f>
        <v/>
      </c>
      <c r="AJ1096" s="21" t="n">
        <v>0</v>
      </c>
      <c r="AK1096" s="21" t="n">
        <v>0</v>
      </c>
      <c r="AL1096" s="21" t="n">
        <v>0</v>
      </c>
      <c r="AM1096" s="21" t="n">
        <v>0</v>
      </c>
      <c r="AN1096" s="21" t="n">
        <v>0</v>
      </c>
      <c r="AO1096" s="21" t="n">
        <v>0</v>
      </c>
      <c r="AP1096" s="21" t="n">
        <v>0</v>
      </c>
      <c r="AQ1096" s="21" t="n">
        <v>0</v>
      </c>
      <c r="AR1096" s="21" t="n">
        <v>0</v>
      </c>
      <c r="AS1096" s="21" t="n">
        <v>0</v>
      </c>
      <c r="AT1096" s="19" t="n"/>
    </row>
    <row r="1097">
      <c r="D1097" s="21" t="n">
        <v>0</v>
      </c>
      <c r="E1097" s="21" t="n">
        <v>0</v>
      </c>
      <c r="F1097" s="21" t="n">
        <v>0</v>
      </c>
      <c r="G1097" s="21" t="n">
        <v>0</v>
      </c>
      <c r="H1097" s="21" t="n">
        <v>0</v>
      </c>
      <c r="I1097" s="21" t="n">
        <v>0</v>
      </c>
      <c r="J1097" s="21" t="n">
        <v>0</v>
      </c>
      <c r="K1097" s="21" t="n">
        <v>0</v>
      </c>
      <c r="L1097" s="21" t="n">
        <v>0</v>
      </c>
      <c r="M1097" s="21" t="n">
        <v>0</v>
      </c>
      <c r="N1097" s="21" t="n">
        <v>0</v>
      </c>
      <c r="O1097" s="21" t="n">
        <v>0</v>
      </c>
      <c r="P1097" s="21" t="n">
        <v>0</v>
      </c>
      <c r="Q1097" s="21" t="n">
        <v>0</v>
      </c>
      <c r="R1097" s="21" t="n">
        <v>0</v>
      </c>
      <c r="S1097" s="21" t="n">
        <v>0</v>
      </c>
      <c r="T1097" s="21" t="n">
        <v>0</v>
      </c>
      <c r="U1097" s="21" t="n">
        <v>0</v>
      </c>
      <c r="V1097" s="21" t="n">
        <v>0</v>
      </c>
      <c r="W1097" s="21" t="n">
        <v>0</v>
      </c>
      <c r="X1097" s="21" t="n">
        <v>0</v>
      </c>
      <c r="Y1097" s="21" t="n">
        <v>0</v>
      </c>
      <c r="Z1097" s="21" t="n">
        <v>0</v>
      </c>
      <c r="AA1097" s="21" t="n">
        <v>0</v>
      </c>
      <c r="AB1097" s="21" t="n">
        <v>0</v>
      </c>
      <c r="AC1097" s="21" t="n">
        <v>0</v>
      </c>
      <c r="AD1097" s="21" t="n">
        <v>0</v>
      </c>
      <c r="AE1097" s="21" t="n">
        <v>0</v>
      </c>
      <c r="AF1097" s="21">
        <f>-$B$18</f>
        <v/>
      </c>
      <c r="AG1097" s="21">
        <f>-$B$19</f>
        <v/>
      </c>
      <c r="AH1097" s="21">
        <f>2*$B$18+$D$1060</f>
        <v/>
      </c>
      <c r="AI1097" s="21">
        <f>0</f>
        <v/>
      </c>
      <c r="AJ1097" s="21">
        <f>-$B$18</f>
        <v/>
      </c>
      <c r="AK1097" s="21">
        <f>$B$19</f>
        <v/>
      </c>
      <c r="AL1097" s="21" t="n">
        <v>0</v>
      </c>
      <c r="AM1097" s="21" t="n">
        <v>0</v>
      </c>
      <c r="AN1097" s="21" t="n">
        <v>0</v>
      </c>
      <c r="AO1097" s="21" t="n">
        <v>0</v>
      </c>
      <c r="AP1097" s="21" t="n">
        <v>0</v>
      </c>
      <c r="AQ1097" s="21" t="n">
        <v>0</v>
      </c>
      <c r="AR1097" s="21" t="n">
        <v>0</v>
      </c>
      <c r="AS1097" s="21" t="n">
        <v>0</v>
      </c>
      <c r="AT1097" s="19" t="n"/>
    </row>
    <row r="1098">
      <c r="D1098" s="21" t="n">
        <v>0</v>
      </c>
      <c r="E1098" s="21" t="n">
        <v>0</v>
      </c>
      <c r="F1098" s="21" t="n">
        <v>0</v>
      </c>
      <c r="G1098" s="21" t="n">
        <v>0</v>
      </c>
      <c r="H1098" s="21" t="n">
        <v>0</v>
      </c>
      <c r="I1098" s="21" t="n">
        <v>0</v>
      </c>
      <c r="J1098" s="21" t="n">
        <v>0</v>
      </c>
      <c r="K1098" s="21" t="n">
        <v>0</v>
      </c>
      <c r="L1098" s="21" t="n">
        <v>0</v>
      </c>
      <c r="M1098" s="21" t="n">
        <v>0</v>
      </c>
      <c r="N1098" s="21" t="n">
        <v>0</v>
      </c>
      <c r="O1098" s="21" t="n">
        <v>0</v>
      </c>
      <c r="P1098" s="21" t="n">
        <v>0</v>
      </c>
      <c r="Q1098" s="21" t="n">
        <v>0</v>
      </c>
      <c r="R1098" s="21" t="n">
        <v>0</v>
      </c>
      <c r="S1098" s="21" t="n">
        <v>0</v>
      </c>
      <c r="T1098" s="21" t="n">
        <v>0</v>
      </c>
      <c r="U1098" s="21" t="n">
        <v>0</v>
      </c>
      <c r="V1098" s="21" t="n">
        <v>0</v>
      </c>
      <c r="W1098" s="21" t="n">
        <v>0</v>
      </c>
      <c r="X1098" s="21" t="n">
        <v>0</v>
      </c>
      <c r="Y1098" s="21" t="n">
        <v>0</v>
      </c>
      <c r="Z1098" s="21" t="n">
        <v>0</v>
      </c>
      <c r="AA1098" s="21" t="n">
        <v>0</v>
      </c>
      <c r="AB1098" s="21" t="n">
        <v>0</v>
      </c>
      <c r="AC1098" s="21" t="n">
        <v>0</v>
      </c>
      <c r="AD1098" s="21" t="n">
        <v>0</v>
      </c>
      <c r="AE1098" s="21" t="n">
        <v>0</v>
      </c>
      <c r="AF1098" s="21">
        <f>$B$19</f>
        <v/>
      </c>
      <c r="AG1098" s="21">
        <f>$B$21</f>
        <v/>
      </c>
      <c r="AH1098" s="21">
        <f>0</f>
        <v/>
      </c>
      <c r="AI1098" s="21">
        <f>2*$B$20</f>
        <v/>
      </c>
      <c r="AJ1098" s="21">
        <f>-$B$19</f>
        <v/>
      </c>
      <c r="AK1098" s="21">
        <f>$B$21</f>
        <v/>
      </c>
      <c r="AL1098" s="21" t="n">
        <v>0</v>
      </c>
      <c r="AM1098" s="21" t="n">
        <v>0</v>
      </c>
      <c r="AN1098" s="21" t="n">
        <v>0</v>
      </c>
      <c r="AO1098" s="21" t="n">
        <v>0</v>
      </c>
      <c r="AP1098" s="21" t="n">
        <v>0</v>
      </c>
      <c r="AQ1098" s="21" t="n">
        <v>0</v>
      </c>
      <c r="AR1098" s="21" t="n">
        <v>0</v>
      </c>
      <c r="AS1098" s="21" t="n">
        <v>0</v>
      </c>
      <c r="AT1098" s="19" t="n"/>
    </row>
    <row r="1099">
      <c r="D1099" s="21" t="n">
        <v>0</v>
      </c>
      <c r="E1099" s="21" t="n">
        <v>0</v>
      </c>
      <c r="F1099" s="21" t="n">
        <v>0</v>
      </c>
      <c r="G1099" s="21" t="n">
        <v>0</v>
      </c>
      <c r="H1099" s="21" t="n">
        <v>0</v>
      </c>
      <c r="I1099" s="21" t="n">
        <v>0</v>
      </c>
      <c r="J1099" s="21" t="n">
        <v>0</v>
      </c>
      <c r="K1099" s="21" t="n">
        <v>0</v>
      </c>
      <c r="L1099" s="21" t="n">
        <v>0</v>
      </c>
      <c r="M1099" s="21" t="n">
        <v>0</v>
      </c>
      <c r="N1099" s="21" t="n">
        <v>0</v>
      </c>
      <c r="O1099" s="21" t="n">
        <v>0</v>
      </c>
      <c r="P1099" s="21" t="n">
        <v>0</v>
      </c>
      <c r="Q1099" s="21" t="n">
        <v>0</v>
      </c>
      <c r="R1099" s="21" t="n">
        <v>0</v>
      </c>
      <c r="S1099" s="21" t="n">
        <v>0</v>
      </c>
      <c r="T1099" s="21" t="n">
        <v>0</v>
      </c>
      <c r="U1099" s="21" t="n">
        <v>0</v>
      </c>
      <c r="V1099" s="21" t="n">
        <v>0</v>
      </c>
      <c r="W1099" s="21" t="n">
        <v>0</v>
      </c>
      <c r="X1099" s="21" t="n">
        <v>0</v>
      </c>
      <c r="Y1099" s="21" t="n">
        <v>0</v>
      </c>
      <c r="Z1099" s="21" t="n">
        <v>0</v>
      </c>
      <c r="AA1099" s="21" t="n">
        <v>0</v>
      </c>
      <c r="AB1099" s="21" t="n">
        <v>0</v>
      </c>
      <c r="AC1099" s="21" t="n">
        <v>0</v>
      </c>
      <c r="AD1099" s="21" t="n">
        <v>0</v>
      </c>
      <c r="AE1099" s="21" t="n">
        <v>0</v>
      </c>
      <c r="AF1099" s="21" t="n">
        <v>0</v>
      </c>
      <c r="AG1099" s="21" t="n">
        <v>0</v>
      </c>
      <c r="AH1099" s="21">
        <f>-$B$18</f>
        <v/>
      </c>
      <c r="AI1099" s="21">
        <f>-$B$19</f>
        <v/>
      </c>
      <c r="AJ1099" s="21">
        <f>2*$B$18+$D$1061</f>
        <v/>
      </c>
      <c r="AK1099" s="21">
        <f>0</f>
        <v/>
      </c>
      <c r="AL1099" s="21">
        <f>-$B$18</f>
        <v/>
      </c>
      <c r="AM1099" s="21">
        <f>$B$19</f>
        <v/>
      </c>
      <c r="AN1099" s="21" t="n">
        <v>0</v>
      </c>
      <c r="AO1099" s="21" t="n">
        <v>0</v>
      </c>
      <c r="AP1099" s="21" t="n">
        <v>0</v>
      </c>
      <c r="AQ1099" s="21" t="n">
        <v>0</v>
      </c>
      <c r="AR1099" s="21" t="n">
        <v>0</v>
      </c>
      <c r="AS1099" s="21" t="n">
        <v>0</v>
      </c>
      <c r="AT1099" s="19" t="n"/>
    </row>
    <row r="1100">
      <c r="D1100" s="21" t="n">
        <v>0</v>
      </c>
      <c r="E1100" s="21" t="n">
        <v>0</v>
      </c>
      <c r="F1100" s="21" t="n">
        <v>0</v>
      </c>
      <c r="G1100" s="21" t="n">
        <v>0</v>
      </c>
      <c r="H1100" s="21" t="n">
        <v>0</v>
      </c>
      <c r="I1100" s="21" t="n">
        <v>0</v>
      </c>
      <c r="J1100" s="21" t="n">
        <v>0</v>
      </c>
      <c r="K1100" s="21" t="n">
        <v>0</v>
      </c>
      <c r="L1100" s="21" t="n">
        <v>0</v>
      </c>
      <c r="M1100" s="21" t="n">
        <v>0</v>
      </c>
      <c r="N1100" s="21" t="n">
        <v>0</v>
      </c>
      <c r="O1100" s="21" t="n">
        <v>0</v>
      </c>
      <c r="P1100" s="21" t="n">
        <v>0</v>
      </c>
      <c r="Q1100" s="21" t="n">
        <v>0</v>
      </c>
      <c r="R1100" s="21" t="n">
        <v>0</v>
      </c>
      <c r="S1100" s="21" t="n">
        <v>0</v>
      </c>
      <c r="T1100" s="21" t="n">
        <v>0</v>
      </c>
      <c r="U1100" s="21" t="n">
        <v>0</v>
      </c>
      <c r="V1100" s="21" t="n">
        <v>0</v>
      </c>
      <c r="W1100" s="21" t="n">
        <v>0</v>
      </c>
      <c r="X1100" s="21" t="n">
        <v>0</v>
      </c>
      <c r="Y1100" s="21" t="n">
        <v>0</v>
      </c>
      <c r="Z1100" s="21" t="n">
        <v>0</v>
      </c>
      <c r="AA1100" s="21" t="n">
        <v>0</v>
      </c>
      <c r="AB1100" s="21" t="n">
        <v>0</v>
      </c>
      <c r="AC1100" s="21" t="n">
        <v>0</v>
      </c>
      <c r="AD1100" s="21" t="n">
        <v>0</v>
      </c>
      <c r="AE1100" s="21" t="n">
        <v>0</v>
      </c>
      <c r="AF1100" s="21" t="n">
        <v>0</v>
      </c>
      <c r="AG1100" s="21" t="n">
        <v>0</v>
      </c>
      <c r="AH1100" s="21">
        <f>$B$19</f>
        <v/>
      </c>
      <c r="AI1100" s="21">
        <f>$B$21</f>
        <v/>
      </c>
      <c r="AJ1100" s="21">
        <f>0</f>
        <v/>
      </c>
      <c r="AK1100" s="21">
        <f>2*$B$20</f>
        <v/>
      </c>
      <c r="AL1100" s="21">
        <f>-$B$19</f>
        <v/>
      </c>
      <c r="AM1100" s="21">
        <f>$B$21</f>
        <v/>
      </c>
      <c r="AN1100" s="21" t="n">
        <v>0</v>
      </c>
      <c r="AO1100" s="21" t="n">
        <v>0</v>
      </c>
      <c r="AP1100" s="21" t="n">
        <v>0</v>
      </c>
      <c r="AQ1100" s="21" t="n">
        <v>0</v>
      </c>
      <c r="AR1100" s="21" t="n">
        <v>0</v>
      </c>
      <c r="AS1100" s="21" t="n">
        <v>0</v>
      </c>
      <c r="AT1100" s="19" t="n"/>
    </row>
    <row r="1101">
      <c r="D1101" s="21" t="n">
        <v>0</v>
      </c>
      <c r="E1101" s="21" t="n">
        <v>0</v>
      </c>
      <c r="F1101" s="21" t="n">
        <v>0</v>
      </c>
      <c r="G1101" s="21" t="n">
        <v>0</v>
      </c>
      <c r="H1101" s="21" t="n">
        <v>0</v>
      </c>
      <c r="I1101" s="21" t="n">
        <v>0</v>
      </c>
      <c r="J1101" s="21" t="n">
        <v>0</v>
      </c>
      <c r="K1101" s="21" t="n">
        <v>0</v>
      </c>
      <c r="L1101" s="21" t="n">
        <v>0</v>
      </c>
      <c r="M1101" s="21" t="n">
        <v>0</v>
      </c>
      <c r="N1101" s="21" t="n">
        <v>0</v>
      </c>
      <c r="O1101" s="21" t="n">
        <v>0</v>
      </c>
      <c r="P1101" s="21" t="n">
        <v>0</v>
      </c>
      <c r="Q1101" s="21" t="n">
        <v>0</v>
      </c>
      <c r="R1101" s="21" t="n">
        <v>0</v>
      </c>
      <c r="S1101" s="21" t="n">
        <v>0</v>
      </c>
      <c r="T1101" s="21" t="n">
        <v>0</v>
      </c>
      <c r="U1101" s="21" t="n">
        <v>0</v>
      </c>
      <c r="V1101" s="21" t="n">
        <v>0</v>
      </c>
      <c r="W1101" s="21" t="n">
        <v>0</v>
      </c>
      <c r="X1101" s="21" t="n">
        <v>0</v>
      </c>
      <c r="Y1101" s="21" t="n">
        <v>0</v>
      </c>
      <c r="Z1101" s="21" t="n">
        <v>0</v>
      </c>
      <c r="AA1101" s="21" t="n">
        <v>0</v>
      </c>
      <c r="AB1101" s="21" t="n">
        <v>0</v>
      </c>
      <c r="AC1101" s="21" t="n">
        <v>0</v>
      </c>
      <c r="AD1101" s="21" t="n">
        <v>0</v>
      </c>
      <c r="AE1101" s="21" t="n">
        <v>0</v>
      </c>
      <c r="AF1101" s="21" t="n">
        <v>0</v>
      </c>
      <c r="AG1101" s="21" t="n">
        <v>0</v>
      </c>
      <c r="AH1101" s="21" t="n">
        <v>0</v>
      </c>
      <c r="AI1101" s="21" t="n">
        <v>0</v>
      </c>
      <c r="AJ1101" s="21">
        <f>-$B$18</f>
        <v/>
      </c>
      <c r="AK1101" s="21">
        <f>-$B$19</f>
        <v/>
      </c>
      <c r="AL1101" s="21">
        <f>2*$B$18+$D$1062</f>
        <v/>
      </c>
      <c r="AM1101" s="21">
        <f>0</f>
        <v/>
      </c>
      <c r="AN1101" s="21">
        <f>-$B$18</f>
        <v/>
      </c>
      <c r="AO1101" s="21">
        <f>$B$19</f>
        <v/>
      </c>
      <c r="AP1101" s="21" t="n">
        <v>0</v>
      </c>
      <c r="AQ1101" s="21" t="n">
        <v>0</v>
      </c>
      <c r="AR1101" s="21" t="n">
        <v>0</v>
      </c>
      <c r="AS1101" s="21" t="n">
        <v>0</v>
      </c>
      <c r="AT1101" s="19" t="n"/>
    </row>
    <row r="1102">
      <c r="D1102" s="21" t="n">
        <v>0</v>
      </c>
      <c r="E1102" s="21" t="n">
        <v>0</v>
      </c>
      <c r="F1102" s="21" t="n">
        <v>0</v>
      </c>
      <c r="G1102" s="21" t="n">
        <v>0</v>
      </c>
      <c r="H1102" s="21" t="n">
        <v>0</v>
      </c>
      <c r="I1102" s="21" t="n">
        <v>0</v>
      </c>
      <c r="J1102" s="21" t="n">
        <v>0</v>
      </c>
      <c r="K1102" s="21" t="n">
        <v>0</v>
      </c>
      <c r="L1102" s="21" t="n">
        <v>0</v>
      </c>
      <c r="M1102" s="21" t="n">
        <v>0</v>
      </c>
      <c r="N1102" s="21" t="n">
        <v>0</v>
      </c>
      <c r="O1102" s="21" t="n">
        <v>0</v>
      </c>
      <c r="P1102" s="21" t="n">
        <v>0</v>
      </c>
      <c r="Q1102" s="21" t="n">
        <v>0</v>
      </c>
      <c r="R1102" s="21" t="n">
        <v>0</v>
      </c>
      <c r="S1102" s="21" t="n">
        <v>0</v>
      </c>
      <c r="T1102" s="21" t="n">
        <v>0</v>
      </c>
      <c r="U1102" s="21" t="n">
        <v>0</v>
      </c>
      <c r="V1102" s="21" t="n">
        <v>0</v>
      </c>
      <c r="W1102" s="21" t="n">
        <v>0</v>
      </c>
      <c r="X1102" s="21" t="n">
        <v>0</v>
      </c>
      <c r="Y1102" s="21" t="n">
        <v>0</v>
      </c>
      <c r="Z1102" s="21" t="n">
        <v>0</v>
      </c>
      <c r="AA1102" s="21" t="n">
        <v>0</v>
      </c>
      <c r="AB1102" s="21" t="n">
        <v>0</v>
      </c>
      <c r="AC1102" s="21" t="n">
        <v>0</v>
      </c>
      <c r="AD1102" s="21" t="n">
        <v>0</v>
      </c>
      <c r="AE1102" s="21" t="n">
        <v>0</v>
      </c>
      <c r="AF1102" s="21" t="n">
        <v>0</v>
      </c>
      <c r="AG1102" s="21" t="n">
        <v>0</v>
      </c>
      <c r="AH1102" s="21" t="n">
        <v>0</v>
      </c>
      <c r="AI1102" s="21" t="n">
        <v>0</v>
      </c>
      <c r="AJ1102" s="21">
        <f>$B$19</f>
        <v/>
      </c>
      <c r="AK1102" s="21">
        <f>$B$21</f>
        <v/>
      </c>
      <c r="AL1102" s="21">
        <f>0</f>
        <v/>
      </c>
      <c r="AM1102" s="21">
        <f>2*$B$20</f>
        <v/>
      </c>
      <c r="AN1102" s="21">
        <f>-$B$19</f>
        <v/>
      </c>
      <c r="AO1102" s="21">
        <f>$B$21</f>
        <v/>
      </c>
      <c r="AP1102" s="21" t="n">
        <v>0</v>
      </c>
      <c r="AQ1102" s="21" t="n">
        <v>0</v>
      </c>
      <c r="AR1102" s="21" t="n">
        <v>0</v>
      </c>
      <c r="AS1102" s="21" t="n">
        <v>0</v>
      </c>
      <c r="AT1102" s="19" t="n"/>
    </row>
    <row r="1103">
      <c r="D1103" s="21" t="n">
        <v>0</v>
      </c>
      <c r="E1103" s="21" t="n">
        <v>0</v>
      </c>
      <c r="F1103" s="21" t="n">
        <v>0</v>
      </c>
      <c r="G1103" s="21" t="n">
        <v>0</v>
      </c>
      <c r="H1103" s="21" t="n">
        <v>0</v>
      </c>
      <c r="I1103" s="21" t="n">
        <v>0</v>
      </c>
      <c r="J1103" s="21" t="n">
        <v>0</v>
      </c>
      <c r="K1103" s="21" t="n">
        <v>0</v>
      </c>
      <c r="L1103" s="21" t="n">
        <v>0</v>
      </c>
      <c r="M1103" s="21" t="n">
        <v>0</v>
      </c>
      <c r="N1103" s="21" t="n">
        <v>0</v>
      </c>
      <c r="O1103" s="21" t="n">
        <v>0</v>
      </c>
      <c r="P1103" s="21" t="n">
        <v>0</v>
      </c>
      <c r="Q1103" s="21" t="n">
        <v>0</v>
      </c>
      <c r="R1103" s="21" t="n">
        <v>0</v>
      </c>
      <c r="S1103" s="21" t="n">
        <v>0</v>
      </c>
      <c r="T1103" s="21" t="n">
        <v>0</v>
      </c>
      <c r="U1103" s="21" t="n">
        <v>0</v>
      </c>
      <c r="V1103" s="21" t="n">
        <v>0</v>
      </c>
      <c r="W1103" s="21" t="n">
        <v>0</v>
      </c>
      <c r="X1103" s="21" t="n">
        <v>0</v>
      </c>
      <c r="Y1103" s="21" t="n">
        <v>0</v>
      </c>
      <c r="Z1103" s="21" t="n">
        <v>0</v>
      </c>
      <c r="AA1103" s="21" t="n">
        <v>0</v>
      </c>
      <c r="AB1103" s="21" t="n">
        <v>0</v>
      </c>
      <c r="AC1103" s="21" t="n">
        <v>0</v>
      </c>
      <c r="AD1103" s="21" t="n">
        <v>0</v>
      </c>
      <c r="AE1103" s="21" t="n">
        <v>0</v>
      </c>
      <c r="AF1103" s="21" t="n">
        <v>0</v>
      </c>
      <c r="AG1103" s="21" t="n">
        <v>0</v>
      </c>
      <c r="AH1103" s="21" t="n">
        <v>0</v>
      </c>
      <c r="AI1103" s="21" t="n">
        <v>0</v>
      </c>
      <c r="AJ1103" s="21" t="n">
        <v>0</v>
      </c>
      <c r="AK1103" s="21" t="n">
        <v>0</v>
      </c>
      <c r="AL1103" s="21">
        <f>-$B$18</f>
        <v/>
      </c>
      <c r="AM1103" s="21">
        <f>-$B$19</f>
        <v/>
      </c>
      <c r="AN1103" s="21">
        <f>2*$B$18+$D$1063</f>
        <v/>
      </c>
      <c r="AO1103" s="21">
        <f>0</f>
        <v/>
      </c>
      <c r="AP1103" s="21">
        <f>-$B$18</f>
        <v/>
      </c>
      <c r="AQ1103" s="21">
        <f>$B$19</f>
        <v/>
      </c>
      <c r="AR1103" s="21" t="n">
        <v>0</v>
      </c>
      <c r="AS1103" s="21" t="n">
        <v>0</v>
      </c>
      <c r="AT1103" s="19" t="n"/>
    </row>
    <row r="1104">
      <c r="D1104" s="21" t="n">
        <v>0</v>
      </c>
      <c r="E1104" s="21" t="n">
        <v>0</v>
      </c>
      <c r="F1104" s="21" t="n">
        <v>0</v>
      </c>
      <c r="G1104" s="21" t="n">
        <v>0</v>
      </c>
      <c r="H1104" s="21" t="n">
        <v>0</v>
      </c>
      <c r="I1104" s="21" t="n">
        <v>0</v>
      </c>
      <c r="J1104" s="21" t="n">
        <v>0</v>
      </c>
      <c r="K1104" s="21" t="n">
        <v>0</v>
      </c>
      <c r="L1104" s="21" t="n">
        <v>0</v>
      </c>
      <c r="M1104" s="21" t="n">
        <v>0</v>
      </c>
      <c r="N1104" s="21" t="n">
        <v>0</v>
      </c>
      <c r="O1104" s="21" t="n">
        <v>0</v>
      </c>
      <c r="P1104" s="21" t="n">
        <v>0</v>
      </c>
      <c r="Q1104" s="21" t="n">
        <v>0</v>
      </c>
      <c r="R1104" s="21" t="n">
        <v>0</v>
      </c>
      <c r="S1104" s="21" t="n">
        <v>0</v>
      </c>
      <c r="T1104" s="21" t="n">
        <v>0</v>
      </c>
      <c r="U1104" s="21" t="n">
        <v>0</v>
      </c>
      <c r="V1104" s="21" t="n">
        <v>0</v>
      </c>
      <c r="W1104" s="21" t="n">
        <v>0</v>
      </c>
      <c r="X1104" s="21" t="n">
        <v>0</v>
      </c>
      <c r="Y1104" s="21" t="n">
        <v>0</v>
      </c>
      <c r="Z1104" s="21" t="n">
        <v>0</v>
      </c>
      <c r="AA1104" s="21" t="n">
        <v>0</v>
      </c>
      <c r="AB1104" s="21" t="n">
        <v>0</v>
      </c>
      <c r="AC1104" s="21" t="n">
        <v>0</v>
      </c>
      <c r="AD1104" s="21" t="n">
        <v>0</v>
      </c>
      <c r="AE1104" s="21" t="n">
        <v>0</v>
      </c>
      <c r="AF1104" s="21" t="n">
        <v>0</v>
      </c>
      <c r="AG1104" s="21" t="n">
        <v>0</v>
      </c>
      <c r="AH1104" s="21" t="n">
        <v>0</v>
      </c>
      <c r="AI1104" s="21" t="n">
        <v>0</v>
      </c>
      <c r="AJ1104" s="21" t="n">
        <v>0</v>
      </c>
      <c r="AK1104" s="21" t="n">
        <v>0</v>
      </c>
      <c r="AL1104" s="21">
        <f>$B$19</f>
        <v/>
      </c>
      <c r="AM1104" s="21">
        <f>$B$21</f>
        <v/>
      </c>
      <c r="AN1104" s="21">
        <f>0</f>
        <v/>
      </c>
      <c r="AO1104" s="21">
        <f>2*$B$20</f>
        <v/>
      </c>
      <c r="AP1104" s="21">
        <f>-$B$19</f>
        <v/>
      </c>
      <c r="AQ1104" s="21">
        <f>$B$21</f>
        <v/>
      </c>
      <c r="AR1104" s="21" t="n">
        <v>0</v>
      </c>
      <c r="AS1104" s="21" t="n">
        <v>0</v>
      </c>
      <c r="AT1104" s="19" t="n"/>
    </row>
    <row r="1105">
      <c r="D1105" s="21" t="n">
        <v>0</v>
      </c>
      <c r="E1105" s="21" t="n">
        <v>0</v>
      </c>
      <c r="F1105" s="21" t="n">
        <v>0</v>
      </c>
      <c r="G1105" s="21" t="n">
        <v>0</v>
      </c>
      <c r="H1105" s="21" t="n">
        <v>0</v>
      </c>
      <c r="I1105" s="21" t="n">
        <v>0</v>
      </c>
      <c r="J1105" s="21" t="n">
        <v>0</v>
      </c>
      <c r="K1105" s="21" t="n">
        <v>0</v>
      </c>
      <c r="L1105" s="21" t="n">
        <v>0</v>
      </c>
      <c r="M1105" s="21" t="n">
        <v>0</v>
      </c>
      <c r="N1105" s="21" t="n">
        <v>0</v>
      </c>
      <c r="O1105" s="21" t="n">
        <v>0</v>
      </c>
      <c r="P1105" s="21" t="n">
        <v>0</v>
      </c>
      <c r="Q1105" s="21" t="n">
        <v>0</v>
      </c>
      <c r="R1105" s="21" t="n">
        <v>0</v>
      </c>
      <c r="S1105" s="21" t="n">
        <v>0</v>
      </c>
      <c r="T1105" s="21" t="n">
        <v>0</v>
      </c>
      <c r="U1105" s="21" t="n">
        <v>0</v>
      </c>
      <c r="V1105" s="21" t="n">
        <v>0</v>
      </c>
      <c r="W1105" s="21" t="n">
        <v>0</v>
      </c>
      <c r="X1105" s="21" t="n">
        <v>0</v>
      </c>
      <c r="Y1105" s="21" t="n">
        <v>0</v>
      </c>
      <c r="Z1105" s="21" t="n">
        <v>0</v>
      </c>
      <c r="AA1105" s="21" t="n">
        <v>0</v>
      </c>
      <c r="AB1105" s="21" t="n">
        <v>0</v>
      </c>
      <c r="AC1105" s="21" t="n">
        <v>0</v>
      </c>
      <c r="AD1105" s="21" t="n">
        <v>0</v>
      </c>
      <c r="AE1105" s="21" t="n">
        <v>0</v>
      </c>
      <c r="AF1105" s="21" t="n">
        <v>0</v>
      </c>
      <c r="AG1105" s="21" t="n">
        <v>0</v>
      </c>
      <c r="AH1105" s="21" t="n">
        <v>0</v>
      </c>
      <c r="AI1105" s="21" t="n">
        <v>0</v>
      </c>
      <c r="AJ1105" s="21" t="n">
        <v>0</v>
      </c>
      <c r="AK1105" s="21" t="n">
        <v>0</v>
      </c>
      <c r="AL1105" s="21" t="n">
        <v>0</v>
      </c>
      <c r="AM1105" s="21" t="n">
        <v>0</v>
      </c>
      <c r="AN1105" s="21">
        <f>-$B$18</f>
        <v/>
      </c>
      <c r="AO1105" s="21">
        <f>-$B$19</f>
        <v/>
      </c>
      <c r="AP1105" s="21">
        <f>2*$B$18+$D$1064</f>
        <v/>
      </c>
      <c r="AQ1105" s="21">
        <f>0</f>
        <v/>
      </c>
      <c r="AR1105" s="21">
        <f>-$B$18</f>
        <v/>
      </c>
      <c r="AS1105" s="21">
        <f>$B$19</f>
        <v/>
      </c>
      <c r="AT1105" s="19" t="n"/>
    </row>
    <row r="1106">
      <c r="D1106" s="21" t="n">
        <v>0</v>
      </c>
      <c r="E1106" s="21" t="n">
        <v>0</v>
      </c>
      <c r="F1106" s="21" t="n">
        <v>0</v>
      </c>
      <c r="G1106" s="21" t="n">
        <v>0</v>
      </c>
      <c r="H1106" s="21" t="n">
        <v>0</v>
      </c>
      <c r="I1106" s="21" t="n">
        <v>0</v>
      </c>
      <c r="J1106" s="21" t="n">
        <v>0</v>
      </c>
      <c r="K1106" s="21" t="n">
        <v>0</v>
      </c>
      <c r="L1106" s="21" t="n">
        <v>0</v>
      </c>
      <c r="M1106" s="21" t="n">
        <v>0</v>
      </c>
      <c r="N1106" s="21" t="n">
        <v>0</v>
      </c>
      <c r="O1106" s="21" t="n">
        <v>0</v>
      </c>
      <c r="P1106" s="21" t="n">
        <v>0</v>
      </c>
      <c r="Q1106" s="21" t="n">
        <v>0</v>
      </c>
      <c r="R1106" s="21" t="n">
        <v>0</v>
      </c>
      <c r="S1106" s="21" t="n">
        <v>0</v>
      </c>
      <c r="T1106" s="21" t="n">
        <v>0</v>
      </c>
      <c r="U1106" s="21" t="n">
        <v>0</v>
      </c>
      <c r="V1106" s="21" t="n">
        <v>0</v>
      </c>
      <c r="W1106" s="21" t="n">
        <v>0</v>
      </c>
      <c r="X1106" s="21" t="n">
        <v>0</v>
      </c>
      <c r="Y1106" s="21" t="n">
        <v>0</v>
      </c>
      <c r="Z1106" s="21" t="n">
        <v>0</v>
      </c>
      <c r="AA1106" s="21" t="n">
        <v>0</v>
      </c>
      <c r="AB1106" s="21" t="n">
        <v>0</v>
      </c>
      <c r="AC1106" s="21" t="n">
        <v>0</v>
      </c>
      <c r="AD1106" s="21" t="n">
        <v>0</v>
      </c>
      <c r="AE1106" s="21" t="n">
        <v>0</v>
      </c>
      <c r="AF1106" s="21" t="n">
        <v>0</v>
      </c>
      <c r="AG1106" s="21" t="n">
        <v>0</v>
      </c>
      <c r="AH1106" s="21" t="n">
        <v>0</v>
      </c>
      <c r="AI1106" s="21" t="n">
        <v>0</v>
      </c>
      <c r="AJ1106" s="21" t="n">
        <v>0</v>
      </c>
      <c r="AK1106" s="21" t="n">
        <v>0</v>
      </c>
      <c r="AL1106" s="21" t="n">
        <v>0</v>
      </c>
      <c r="AM1106" s="21" t="n">
        <v>0</v>
      </c>
      <c r="AN1106" s="21">
        <f>$B$19</f>
        <v/>
      </c>
      <c r="AO1106" s="21">
        <f>$B$21</f>
        <v/>
      </c>
      <c r="AP1106" s="21">
        <f>0</f>
        <v/>
      </c>
      <c r="AQ1106" s="21">
        <f>2*$B$20</f>
        <v/>
      </c>
      <c r="AR1106" s="21">
        <f>-$B$19</f>
        <v/>
      </c>
      <c r="AS1106" s="21">
        <f>$B$21</f>
        <v/>
      </c>
      <c r="AT1106" s="19" t="n"/>
    </row>
    <row r="1107">
      <c r="D1107" s="21" t="n">
        <v>0</v>
      </c>
      <c r="E1107" s="21" t="n">
        <v>0</v>
      </c>
      <c r="F1107" s="21" t="n">
        <v>0</v>
      </c>
      <c r="G1107" s="21" t="n">
        <v>0</v>
      </c>
      <c r="H1107" s="21" t="n">
        <v>0</v>
      </c>
      <c r="I1107" s="21" t="n">
        <v>0</v>
      </c>
      <c r="J1107" s="21" t="n">
        <v>0</v>
      </c>
      <c r="K1107" s="21" t="n">
        <v>0</v>
      </c>
      <c r="L1107" s="21" t="n">
        <v>0</v>
      </c>
      <c r="M1107" s="21" t="n">
        <v>0</v>
      </c>
      <c r="N1107" s="21" t="n">
        <v>0</v>
      </c>
      <c r="O1107" s="21" t="n">
        <v>0</v>
      </c>
      <c r="P1107" s="21" t="n">
        <v>0</v>
      </c>
      <c r="Q1107" s="21" t="n">
        <v>0</v>
      </c>
      <c r="R1107" s="21" t="n">
        <v>0</v>
      </c>
      <c r="S1107" s="21" t="n">
        <v>0</v>
      </c>
      <c r="T1107" s="21" t="n">
        <v>0</v>
      </c>
      <c r="U1107" s="21" t="n">
        <v>0</v>
      </c>
      <c r="V1107" s="21" t="n">
        <v>0</v>
      </c>
      <c r="W1107" s="21" t="n">
        <v>0</v>
      </c>
      <c r="X1107" s="21" t="n">
        <v>0</v>
      </c>
      <c r="Y1107" s="21" t="n">
        <v>0</v>
      </c>
      <c r="Z1107" s="21" t="n">
        <v>0</v>
      </c>
      <c r="AA1107" s="21" t="n">
        <v>0</v>
      </c>
      <c r="AB1107" s="21" t="n">
        <v>0</v>
      </c>
      <c r="AC1107" s="21" t="n">
        <v>0</v>
      </c>
      <c r="AD1107" s="21" t="n">
        <v>0</v>
      </c>
      <c r="AE1107" s="21" t="n">
        <v>0</v>
      </c>
      <c r="AF1107" s="21" t="n">
        <v>0</v>
      </c>
      <c r="AG1107" s="21" t="n">
        <v>0</v>
      </c>
      <c r="AH1107" s="21" t="n">
        <v>0</v>
      </c>
      <c r="AI1107" s="21" t="n">
        <v>0</v>
      </c>
      <c r="AJ1107" s="21" t="n">
        <v>0</v>
      </c>
      <c r="AK1107" s="21" t="n">
        <v>0</v>
      </c>
      <c r="AL1107" s="21" t="n">
        <v>0</v>
      </c>
      <c r="AM1107" s="21" t="n">
        <v>0</v>
      </c>
      <c r="AN1107" s="21" t="n">
        <v>0</v>
      </c>
      <c r="AO1107" s="21" t="n">
        <v>0</v>
      </c>
      <c r="AP1107" s="21">
        <f>-$B$18</f>
        <v/>
      </c>
      <c r="AQ1107" s="21">
        <f>-$B$19</f>
        <v/>
      </c>
      <c r="AR1107" s="21">
        <f>$B$18+$D$1065</f>
        <v/>
      </c>
      <c r="AS1107" s="21">
        <f>-$B$19</f>
        <v/>
      </c>
      <c r="AT1107" s="19" t="n"/>
    </row>
    <row r="1108">
      <c r="D1108" s="21" t="n">
        <v>0</v>
      </c>
      <c r="E1108" s="21" t="n">
        <v>0</v>
      </c>
      <c r="F1108" s="21" t="n">
        <v>0</v>
      </c>
      <c r="G1108" s="21" t="n">
        <v>0</v>
      </c>
      <c r="H1108" s="21" t="n">
        <v>0</v>
      </c>
      <c r="I1108" s="21" t="n">
        <v>0</v>
      </c>
      <c r="J1108" s="21" t="n">
        <v>0</v>
      </c>
      <c r="K1108" s="21" t="n">
        <v>0</v>
      </c>
      <c r="L1108" s="21" t="n">
        <v>0</v>
      </c>
      <c r="M1108" s="21" t="n">
        <v>0</v>
      </c>
      <c r="N1108" s="21" t="n">
        <v>0</v>
      </c>
      <c r="O1108" s="21" t="n">
        <v>0</v>
      </c>
      <c r="P1108" s="21" t="n">
        <v>0</v>
      </c>
      <c r="Q1108" s="21" t="n">
        <v>0</v>
      </c>
      <c r="R1108" s="21" t="n">
        <v>0</v>
      </c>
      <c r="S1108" s="21" t="n">
        <v>0</v>
      </c>
      <c r="T1108" s="21" t="n">
        <v>0</v>
      </c>
      <c r="U1108" s="21" t="n">
        <v>0</v>
      </c>
      <c r="V1108" s="21" t="n">
        <v>0</v>
      </c>
      <c r="W1108" s="21" t="n">
        <v>0</v>
      </c>
      <c r="X1108" s="21" t="n">
        <v>0</v>
      </c>
      <c r="Y1108" s="21" t="n">
        <v>0</v>
      </c>
      <c r="Z1108" s="21" t="n">
        <v>0</v>
      </c>
      <c r="AA1108" s="21" t="n">
        <v>0</v>
      </c>
      <c r="AB1108" s="21" t="n">
        <v>0</v>
      </c>
      <c r="AC1108" s="21" t="n">
        <v>0</v>
      </c>
      <c r="AD1108" s="21" t="n">
        <v>0</v>
      </c>
      <c r="AE1108" s="21" t="n">
        <v>0</v>
      </c>
      <c r="AF1108" s="21" t="n">
        <v>0</v>
      </c>
      <c r="AG1108" s="21" t="n">
        <v>0</v>
      </c>
      <c r="AH1108" s="21" t="n">
        <v>0</v>
      </c>
      <c r="AI1108" s="21" t="n">
        <v>0</v>
      </c>
      <c r="AJ1108" s="21" t="n">
        <v>0</v>
      </c>
      <c r="AK1108" s="21" t="n">
        <v>0</v>
      </c>
      <c r="AL1108" s="21" t="n">
        <v>0</v>
      </c>
      <c r="AM1108" s="21" t="n">
        <v>0</v>
      </c>
      <c r="AN1108" s="21" t="n">
        <v>0</v>
      </c>
      <c r="AO1108" s="21" t="n">
        <v>0</v>
      </c>
      <c r="AP1108" s="21">
        <f>$B$19</f>
        <v/>
      </c>
      <c r="AQ1108" s="21">
        <f>$B$21</f>
        <v/>
      </c>
      <c r="AR1108" s="21">
        <f>-$B$19</f>
        <v/>
      </c>
      <c r="AS1108" s="21">
        <f>$B$20</f>
        <v/>
      </c>
      <c r="AT1108" s="19" t="n"/>
    </row>
    <row r="1110">
      <c r="A1110" s="8" t="inlineStr">
        <is>
          <t>gen 16</t>
        </is>
      </c>
    </row>
    <row r="1111">
      <c r="D1111" s="19">
        <f>IF(ABS(IF(ABS($E$1045)&gt;0.000000001,$E$1045,0.000000001))=0,0,IF($E$33&lt;=$B$27,0,IF(ABS(IF(ABS($E$1045)&gt;0.000000001,$E$1045,0.000000001))&gt;=8*$B$29,$H$33,0.5*$H$33*(ABS(IF(ABS($E$1045)&gt;0.000000001,$E$1045,0.000000001))/$B$29)^(1/3)))/ABS(IF(ABS($E$1045)&gt;0.000000001,$E$1045,0.000000001))*$I$33)</f>
        <v/>
      </c>
      <c r="E1111" s="19">
        <f>0.5*$E$1045+0.5*$AT$1133</f>
        <v/>
      </c>
      <c r="F1111" s="19">
        <f>$AT$1134</f>
        <v/>
      </c>
    </row>
    <row r="1112">
      <c r="D1112" s="19">
        <f>IF(ABS(IF(ABS($E$1046)&gt;0.000000001,$E$1046,0.000000001))=0,0,IF($E$34&lt;=$B$27,0,IF(ABS(IF(ABS($E$1046)&gt;0.000000001,$E$1046,0.000000001))&gt;=8*$B$29,$H$34,0.5*$H$34*(ABS(IF(ABS($E$1046)&gt;0.000000001,$E$1046,0.000000001))/$B$29)^(1/3)))/ABS(IF(ABS($E$1046)&gt;0.000000001,$E$1046,0.000000001))*$I$34)</f>
        <v/>
      </c>
      <c r="E1112" s="19">
        <f>0.5*$E$1046+0.5*$AT$1135</f>
        <v/>
      </c>
      <c r="F1112" s="19">
        <f>$AT$1136</f>
        <v/>
      </c>
    </row>
    <row r="1113">
      <c r="D1113" s="19">
        <f>IF(ABS(IF(ABS($E$1047)&gt;0.000000001,$E$1047,0.000000001))=0,0,IF($E$35&lt;=$B$27,0,IF(ABS(IF(ABS($E$1047)&gt;0.000000001,$E$1047,0.000000001))&gt;=8*$B$29,$H$35,0.5*$H$35*(ABS(IF(ABS($E$1047)&gt;0.000000001,$E$1047,0.000000001))/$B$29)^(1/3)))/ABS(IF(ABS($E$1047)&gt;0.000000001,$E$1047,0.000000001))*$I$35)</f>
        <v/>
      </c>
      <c r="E1113" s="19">
        <f>0.5*$E$1047+0.5*$AT$1137</f>
        <v/>
      </c>
      <c r="F1113" s="19">
        <f>$AT$1138</f>
        <v/>
      </c>
    </row>
    <row r="1114">
      <c r="D1114" s="19">
        <f>IF(ABS(IF(ABS($E$1048)&gt;0.000000001,$E$1048,0.000000001))=0,0,IF($E$36&lt;=$B$27,0,IF(ABS(IF(ABS($E$1048)&gt;0.000000001,$E$1048,0.000000001))&gt;=8*$B$29,$H$36,0.5*$H$36*(ABS(IF(ABS($E$1048)&gt;0.000000001,$E$1048,0.000000001))/$B$29)^(1/3)))/ABS(IF(ABS($E$1048)&gt;0.000000001,$E$1048,0.000000001))*$I$36)</f>
        <v/>
      </c>
      <c r="E1114" s="19">
        <f>0.5*$E$1048+0.5*$AT$1139</f>
        <v/>
      </c>
      <c r="F1114" s="19">
        <f>$AT$1140</f>
        <v/>
      </c>
    </row>
    <row r="1115">
      <c r="D1115" s="19">
        <f>IF(ABS(IF(ABS($E$1049)&gt;0.000000001,$E$1049,0.000000001))=0,0,IF($E$37&lt;=$B$27,0,IF(ABS(IF(ABS($E$1049)&gt;0.000000001,$E$1049,0.000000001))&gt;=8*$B$29,$H$37,0.5*$H$37*(ABS(IF(ABS($E$1049)&gt;0.000000001,$E$1049,0.000000001))/$B$29)^(1/3)))/ABS(IF(ABS($E$1049)&gt;0.000000001,$E$1049,0.000000001))*$I$37)</f>
        <v/>
      </c>
      <c r="E1115" s="19">
        <f>0.5*$E$1049+0.5*$AT$1141</f>
        <v/>
      </c>
      <c r="F1115" s="19">
        <f>$AT$1142</f>
        <v/>
      </c>
    </row>
    <row r="1116">
      <c r="D1116" s="19">
        <f>IF(ABS(IF(ABS($E$1050)&gt;0.000000001,$E$1050,0.000000001))=0,0,IF($E$38&lt;=$B$27,0,IF(ABS(IF(ABS($E$1050)&gt;0.000000001,$E$1050,0.000000001))&gt;=8*$B$29,$H$38,0.5*$H$38*(ABS(IF(ABS($E$1050)&gt;0.000000001,$E$1050,0.000000001))/$B$29)^(1/3)))/ABS(IF(ABS($E$1050)&gt;0.000000001,$E$1050,0.000000001))*$I$38)</f>
        <v/>
      </c>
      <c r="E1116" s="19">
        <f>0.5*$E$1050+0.5*$AT$1143</f>
        <v/>
      </c>
      <c r="F1116" s="19">
        <f>$AT$1144</f>
        <v/>
      </c>
    </row>
    <row r="1117">
      <c r="D1117" s="19">
        <f>IF(ABS(IF(ABS($E$1051)&gt;0.000000001,$E$1051,0.000000001))=0,0,IF($E$39&lt;=$B$27,0,IF(ABS(IF(ABS($E$1051)&gt;0.000000001,$E$1051,0.000000001))&gt;=8*$B$29,$H$39,0.5*$H$39*(ABS(IF(ABS($E$1051)&gt;0.000000001,$E$1051,0.000000001))/$B$29)^(1/3)))/ABS(IF(ABS($E$1051)&gt;0.000000001,$E$1051,0.000000001))*$I$39)</f>
        <v/>
      </c>
      <c r="E1117" s="19">
        <f>0.5*$E$1051+0.5*$AT$1145</f>
        <v/>
      </c>
      <c r="F1117" s="19">
        <f>$AT$1146</f>
        <v/>
      </c>
    </row>
    <row r="1118">
      <c r="D1118" s="19">
        <f>IF(ABS(IF(ABS($E$1052)&gt;0.000000001,$E$1052,0.000000001))=0,0,IF($E$40&lt;=$B$27,0,IF(ABS(IF(ABS($E$1052)&gt;0.000000001,$E$1052,0.000000001))&gt;=8*$B$29,$H$40,0.5*$H$40*(ABS(IF(ABS($E$1052)&gt;0.000000001,$E$1052,0.000000001))/$B$29)^(1/3)))/ABS(IF(ABS($E$1052)&gt;0.000000001,$E$1052,0.000000001))*$I$40)</f>
        <v/>
      </c>
      <c r="E1118" s="19">
        <f>0.5*$E$1052+0.5*$AT$1147</f>
        <v/>
      </c>
      <c r="F1118" s="19">
        <f>$AT$1148</f>
        <v/>
      </c>
    </row>
    <row r="1119">
      <c r="D1119" s="19">
        <f>IF(ABS(IF(ABS($E$1053)&gt;0.000000001,$E$1053,0.000000001))=0,0,IF($E$41&lt;=$B$27,0,IF(ABS(IF(ABS($E$1053)&gt;0.000000001,$E$1053,0.000000001))&gt;=8*$B$29,$H$41,0.5*$H$41*(ABS(IF(ABS($E$1053)&gt;0.000000001,$E$1053,0.000000001))/$B$29)^(1/3)))/ABS(IF(ABS($E$1053)&gt;0.000000001,$E$1053,0.000000001))*$I$41)</f>
        <v/>
      </c>
      <c r="E1119" s="19">
        <f>0.5*$E$1053+0.5*$AT$1149</f>
        <v/>
      </c>
      <c r="F1119" s="19">
        <f>$AT$1150</f>
        <v/>
      </c>
    </row>
    <row r="1120">
      <c r="D1120" s="19">
        <f>IF(ABS(IF(ABS($E$1054)&gt;0.000000001,$E$1054,0.000000001))=0,0,IF($E$42&lt;=$B$27,0,IF(ABS(IF(ABS($E$1054)&gt;0.000000001,$E$1054,0.000000001))&gt;=8*$B$29,$H$42,0.5*$H$42*(ABS(IF(ABS($E$1054)&gt;0.000000001,$E$1054,0.000000001))/$B$29)^(1/3)))/ABS(IF(ABS($E$1054)&gt;0.000000001,$E$1054,0.000000001))*$I$42)</f>
        <v/>
      </c>
      <c r="E1120" s="19">
        <f>0.5*$E$1054+0.5*$AT$1151</f>
        <v/>
      </c>
      <c r="F1120" s="19">
        <f>$AT$1152</f>
        <v/>
      </c>
    </row>
    <row r="1121">
      <c r="D1121" s="19">
        <f>IF(ABS(IF(ABS($E$1055)&gt;0.000000001,$E$1055,0.000000001))=0,0,IF($E$43&lt;=$B$27,0,IF(ABS(IF(ABS($E$1055)&gt;0.000000001,$E$1055,0.000000001))&gt;=8*$B$29,$H$43,0.5*$H$43*(ABS(IF(ABS($E$1055)&gt;0.000000001,$E$1055,0.000000001))/$B$29)^(1/3)))/ABS(IF(ABS($E$1055)&gt;0.000000001,$E$1055,0.000000001))*$I$43)</f>
        <v/>
      </c>
      <c r="E1121" s="19">
        <f>0.5*$E$1055+0.5*$AT$1153</f>
        <v/>
      </c>
      <c r="F1121" s="19">
        <f>$AT$1154</f>
        <v/>
      </c>
    </row>
    <row r="1122">
      <c r="D1122" s="19">
        <f>IF(ABS(IF(ABS($E$1056)&gt;0.000000001,$E$1056,0.000000001))=0,0,IF($E$44&lt;=$B$27,0,IF(ABS(IF(ABS($E$1056)&gt;0.000000001,$E$1056,0.000000001))&gt;=8*$B$29,$H$44,0.5*$H$44*(ABS(IF(ABS($E$1056)&gt;0.000000001,$E$1056,0.000000001))/$B$29)^(1/3)))/ABS(IF(ABS($E$1056)&gt;0.000000001,$E$1056,0.000000001))*$I$44)</f>
        <v/>
      </c>
      <c r="E1122" s="19">
        <f>0.5*$E$1056+0.5*$AT$1155</f>
        <v/>
      </c>
      <c r="F1122" s="19">
        <f>$AT$1156</f>
        <v/>
      </c>
    </row>
    <row r="1123">
      <c r="D1123" s="19">
        <f>IF(ABS(IF(ABS($E$1057)&gt;0.000000001,$E$1057,0.000000001))=0,0,IF($E$45&lt;=$B$27,0,IF(ABS(IF(ABS($E$1057)&gt;0.000000001,$E$1057,0.000000001))&gt;=8*$B$29,$H$45,0.5*$H$45*(ABS(IF(ABS($E$1057)&gt;0.000000001,$E$1057,0.000000001))/$B$29)^(1/3)))/ABS(IF(ABS($E$1057)&gt;0.000000001,$E$1057,0.000000001))*$I$45)</f>
        <v/>
      </c>
      <c r="E1123" s="19">
        <f>0.5*$E$1057+0.5*$AT$1157</f>
        <v/>
      </c>
      <c r="F1123" s="19">
        <f>$AT$1158</f>
        <v/>
      </c>
    </row>
    <row r="1124">
      <c r="D1124" s="19">
        <f>IF(ABS(IF(ABS($E$1058)&gt;0.000000001,$E$1058,0.000000001))=0,0,IF($E$46&lt;=$B$27,0,IF(ABS(IF(ABS($E$1058)&gt;0.000000001,$E$1058,0.000000001))&gt;=8*$B$29,$H$46,0.5*$H$46*(ABS(IF(ABS($E$1058)&gt;0.000000001,$E$1058,0.000000001))/$B$29)^(1/3)))/ABS(IF(ABS($E$1058)&gt;0.000000001,$E$1058,0.000000001))*$I$46)</f>
        <v/>
      </c>
      <c r="E1124" s="19">
        <f>0.5*$E$1058+0.5*$AT$1159</f>
        <v/>
      </c>
      <c r="F1124" s="19">
        <f>$AT$1160</f>
        <v/>
      </c>
    </row>
    <row r="1125">
      <c r="D1125" s="19">
        <f>IF(ABS(IF(ABS($E$1059)&gt;0.000000001,$E$1059,0.000000001))=0,0,IF($E$47&lt;=$B$27,0,IF(ABS(IF(ABS($E$1059)&gt;0.000000001,$E$1059,0.000000001))&gt;=8*$B$29,$H$47,0.5*$H$47*(ABS(IF(ABS($E$1059)&gt;0.000000001,$E$1059,0.000000001))/$B$29)^(1/3)))/ABS(IF(ABS($E$1059)&gt;0.000000001,$E$1059,0.000000001))*$I$47)</f>
        <v/>
      </c>
      <c r="E1125" s="19">
        <f>0.5*$E$1059+0.5*$AT$1161</f>
        <v/>
      </c>
      <c r="F1125" s="19">
        <f>$AT$1162</f>
        <v/>
      </c>
    </row>
    <row r="1126">
      <c r="D1126" s="19">
        <f>IF(ABS(IF(ABS($E$1060)&gt;0.000000001,$E$1060,0.000000001))=0,0,IF($E$48&lt;=$B$27,0,IF(ABS(IF(ABS($E$1060)&gt;0.000000001,$E$1060,0.000000001))&gt;=8*$B$29,$H$48,0.5*$H$48*(ABS(IF(ABS($E$1060)&gt;0.000000001,$E$1060,0.000000001))/$B$29)^(1/3)))/ABS(IF(ABS($E$1060)&gt;0.000000001,$E$1060,0.000000001))*$I$48)</f>
        <v/>
      </c>
      <c r="E1126" s="19">
        <f>0.5*$E$1060+0.5*$AT$1163</f>
        <v/>
      </c>
      <c r="F1126" s="19">
        <f>$AT$1164</f>
        <v/>
      </c>
    </row>
    <row r="1127">
      <c r="D1127" s="19">
        <f>IF(ABS(IF(ABS($E$1061)&gt;0.000000001,$E$1061,0.000000001))=0,0,IF($E$49&lt;=$B$27,0,IF(ABS(IF(ABS($E$1061)&gt;0.000000001,$E$1061,0.000000001))&gt;=8*$B$29,$H$49,0.5*$H$49*(ABS(IF(ABS($E$1061)&gt;0.000000001,$E$1061,0.000000001))/$B$29)^(1/3)))/ABS(IF(ABS($E$1061)&gt;0.000000001,$E$1061,0.000000001))*$I$49)</f>
        <v/>
      </c>
      <c r="E1127" s="19">
        <f>0.5*$E$1061+0.5*$AT$1165</f>
        <v/>
      </c>
      <c r="F1127" s="19">
        <f>$AT$1166</f>
        <v/>
      </c>
    </row>
    <row r="1128">
      <c r="D1128" s="19">
        <f>IF(ABS(IF(ABS($E$1062)&gt;0.000000001,$E$1062,0.000000001))=0,0,IF($E$50&lt;=$B$27,0,IF(ABS(IF(ABS($E$1062)&gt;0.000000001,$E$1062,0.000000001))&gt;=8*$B$29,$H$50,0.5*$H$50*(ABS(IF(ABS($E$1062)&gt;0.000000001,$E$1062,0.000000001))/$B$29)^(1/3)))/ABS(IF(ABS($E$1062)&gt;0.000000001,$E$1062,0.000000001))*$I$50)</f>
        <v/>
      </c>
      <c r="E1128" s="19">
        <f>0.5*$E$1062+0.5*$AT$1167</f>
        <v/>
      </c>
      <c r="F1128" s="19">
        <f>$AT$1168</f>
        <v/>
      </c>
    </row>
    <row r="1129">
      <c r="D1129" s="19">
        <f>IF(ABS(IF(ABS($E$1063)&gt;0.000000001,$E$1063,0.000000001))=0,0,IF($E$51&lt;=$B$27,0,IF(ABS(IF(ABS($E$1063)&gt;0.000000001,$E$1063,0.000000001))&gt;=8*$B$29,$H$51,0.5*$H$51*(ABS(IF(ABS($E$1063)&gt;0.000000001,$E$1063,0.000000001))/$B$29)^(1/3)))/ABS(IF(ABS($E$1063)&gt;0.000000001,$E$1063,0.000000001))*$I$51)</f>
        <v/>
      </c>
      <c r="E1129" s="19">
        <f>0.5*$E$1063+0.5*$AT$1169</f>
        <v/>
      </c>
      <c r="F1129" s="19">
        <f>$AT$1170</f>
        <v/>
      </c>
    </row>
    <row r="1130">
      <c r="D1130" s="19">
        <f>IF(ABS(IF(ABS($E$1064)&gt;0.000000001,$E$1064,0.000000001))=0,0,IF($E$52&lt;=$B$27,0,IF(ABS(IF(ABS($E$1064)&gt;0.000000001,$E$1064,0.000000001))&gt;=8*$B$29,$H$52,0.5*$H$52*(ABS(IF(ABS($E$1064)&gt;0.000000001,$E$1064,0.000000001))/$B$29)^(1/3)))/ABS(IF(ABS($E$1064)&gt;0.000000001,$E$1064,0.000000001))*$I$52)</f>
        <v/>
      </c>
      <c r="E1130" s="19">
        <f>0.5*$E$1064+0.5*$AT$1171</f>
        <v/>
      </c>
      <c r="F1130" s="19">
        <f>$AT$1172</f>
        <v/>
      </c>
    </row>
    <row r="1131">
      <c r="D1131" s="19">
        <f>IF(ABS(IF(ABS($E$1065)&gt;0.000000001,$E$1065,0.000000001))=0,0,IF($E$53&lt;=$B$27,0,IF(ABS(IF(ABS($E$1065)&gt;0.000000001,$E$1065,0.000000001))&gt;=8*$B$29,$H$53,0.5*$H$53*(ABS(IF(ABS($E$1065)&gt;0.000000001,$E$1065,0.000000001))/$B$29)^(1/3)))/ABS(IF(ABS($E$1065)&gt;0.000000001,$E$1065,0.000000001))*$I$53)</f>
        <v/>
      </c>
      <c r="E1131" s="19">
        <f>0.5*$E$1065+0.5*$AT$1173</f>
        <v/>
      </c>
      <c r="F1131" s="19">
        <f>$AT$1174</f>
        <v/>
      </c>
    </row>
    <row r="1133">
      <c r="D1133" s="21">
        <f>$B$18+$D$1111</f>
        <v/>
      </c>
      <c r="E1133" s="21">
        <f>$B$19</f>
        <v/>
      </c>
      <c r="F1133" s="21">
        <f>-$B$18</f>
        <v/>
      </c>
      <c r="G1133" s="21">
        <f>$B$19</f>
        <v/>
      </c>
      <c r="H1133" s="21" t="n">
        <v>0</v>
      </c>
      <c r="I1133" s="21" t="n">
        <v>0</v>
      </c>
      <c r="J1133" s="21" t="n">
        <v>0</v>
      </c>
      <c r="K1133" s="21" t="n">
        <v>0</v>
      </c>
      <c r="L1133" s="21" t="n">
        <v>0</v>
      </c>
      <c r="M1133" s="21" t="n">
        <v>0</v>
      </c>
      <c r="N1133" s="21" t="n">
        <v>0</v>
      </c>
      <c r="O1133" s="21" t="n">
        <v>0</v>
      </c>
      <c r="P1133" s="21" t="n">
        <v>0</v>
      </c>
      <c r="Q1133" s="21" t="n">
        <v>0</v>
      </c>
      <c r="R1133" s="21" t="n">
        <v>0</v>
      </c>
      <c r="S1133" s="21" t="n">
        <v>0</v>
      </c>
      <c r="T1133" s="21" t="n">
        <v>0</v>
      </c>
      <c r="U1133" s="21" t="n">
        <v>0</v>
      </c>
      <c r="V1133" s="21" t="n">
        <v>0</v>
      </c>
      <c r="W1133" s="21" t="n">
        <v>0</v>
      </c>
      <c r="X1133" s="21" t="n">
        <v>0</v>
      </c>
      <c r="Y1133" s="21" t="n">
        <v>0</v>
      </c>
      <c r="Z1133" s="21" t="n">
        <v>0</v>
      </c>
      <c r="AA1133" s="21" t="n">
        <v>0</v>
      </c>
      <c r="AB1133" s="21" t="n">
        <v>0</v>
      </c>
      <c r="AC1133" s="21" t="n">
        <v>0</v>
      </c>
      <c r="AD1133" s="21" t="n">
        <v>0</v>
      </c>
      <c r="AE1133" s="21" t="n">
        <v>0</v>
      </c>
      <c r="AF1133" s="21" t="n">
        <v>0</v>
      </c>
      <c r="AG1133" s="21" t="n">
        <v>0</v>
      </c>
      <c r="AH1133" s="21" t="n">
        <v>0</v>
      </c>
      <c r="AI1133" s="21" t="n">
        <v>0</v>
      </c>
      <c r="AJ1133" s="21" t="n">
        <v>0</v>
      </c>
      <c r="AK1133" s="21" t="n">
        <v>0</v>
      </c>
      <c r="AL1133" s="21" t="n">
        <v>0</v>
      </c>
      <c r="AM1133" s="21" t="n">
        <v>0</v>
      </c>
      <c r="AN1133" s="21" t="n">
        <v>0</v>
      </c>
      <c r="AO1133" s="21" t="n">
        <v>0</v>
      </c>
      <c r="AP1133" s="21" t="n">
        <v>0</v>
      </c>
      <c r="AQ1133" s="21" t="n">
        <v>0</v>
      </c>
      <c r="AR1133" s="21" t="n">
        <v>0</v>
      </c>
      <c r="AS1133" s="21" t="n">
        <v>0</v>
      </c>
      <c r="AT1133" s="19">
        <f t="array" ref="AT1133:AT1174">MMULT(MINVERSE($D$1133:$AS$1174),$D$55:$D$96)</f>
        <v/>
      </c>
    </row>
    <row r="1134">
      <c r="D1134" s="21">
        <f>$B$19</f>
        <v/>
      </c>
      <c r="E1134" s="21">
        <f>$B$20</f>
        <v/>
      </c>
      <c r="F1134" s="21">
        <f>-$B$19</f>
        <v/>
      </c>
      <c r="G1134" s="21">
        <f>$B$21</f>
        <v/>
      </c>
      <c r="H1134" s="21" t="n">
        <v>0</v>
      </c>
      <c r="I1134" s="21" t="n">
        <v>0</v>
      </c>
      <c r="J1134" s="21" t="n">
        <v>0</v>
      </c>
      <c r="K1134" s="21" t="n">
        <v>0</v>
      </c>
      <c r="L1134" s="21" t="n">
        <v>0</v>
      </c>
      <c r="M1134" s="21" t="n">
        <v>0</v>
      </c>
      <c r="N1134" s="21" t="n">
        <v>0</v>
      </c>
      <c r="O1134" s="21" t="n">
        <v>0</v>
      </c>
      <c r="P1134" s="21" t="n">
        <v>0</v>
      </c>
      <c r="Q1134" s="21" t="n">
        <v>0</v>
      </c>
      <c r="R1134" s="21" t="n">
        <v>0</v>
      </c>
      <c r="S1134" s="21" t="n">
        <v>0</v>
      </c>
      <c r="T1134" s="21" t="n">
        <v>0</v>
      </c>
      <c r="U1134" s="21" t="n">
        <v>0</v>
      </c>
      <c r="V1134" s="21" t="n">
        <v>0</v>
      </c>
      <c r="W1134" s="21" t="n">
        <v>0</v>
      </c>
      <c r="X1134" s="21" t="n">
        <v>0</v>
      </c>
      <c r="Y1134" s="21" t="n">
        <v>0</v>
      </c>
      <c r="Z1134" s="21" t="n">
        <v>0</v>
      </c>
      <c r="AA1134" s="21" t="n">
        <v>0</v>
      </c>
      <c r="AB1134" s="21" t="n">
        <v>0</v>
      </c>
      <c r="AC1134" s="21" t="n">
        <v>0</v>
      </c>
      <c r="AD1134" s="21" t="n">
        <v>0</v>
      </c>
      <c r="AE1134" s="21" t="n">
        <v>0</v>
      </c>
      <c r="AF1134" s="21" t="n">
        <v>0</v>
      </c>
      <c r="AG1134" s="21" t="n">
        <v>0</v>
      </c>
      <c r="AH1134" s="21" t="n">
        <v>0</v>
      </c>
      <c r="AI1134" s="21" t="n">
        <v>0</v>
      </c>
      <c r="AJ1134" s="21" t="n">
        <v>0</v>
      </c>
      <c r="AK1134" s="21" t="n">
        <v>0</v>
      </c>
      <c r="AL1134" s="21" t="n">
        <v>0</v>
      </c>
      <c r="AM1134" s="21" t="n">
        <v>0</v>
      </c>
      <c r="AN1134" s="21" t="n">
        <v>0</v>
      </c>
      <c r="AO1134" s="21" t="n">
        <v>0</v>
      </c>
      <c r="AP1134" s="21" t="n">
        <v>0</v>
      </c>
      <c r="AQ1134" s="21" t="n">
        <v>0</v>
      </c>
      <c r="AR1134" s="21" t="n">
        <v>0</v>
      </c>
      <c r="AS1134" s="21" t="n">
        <v>0</v>
      </c>
      <c r="AT1134" s="19" t="n"/>
    </row>
    <row r="1135">
      <c r="D1135" s="21">
        <f>-$B$18</f>
        <v/>
      </c>
      <c r="E1135" s="21">
        <f>-$B$19</f>
        <v/>
      </c>
      <c r="F1135" s="21">
        <f>2*$B$18+$D$1112</f>
        <v/>
      </c>
      <c r="G1135" s="21">
        <f>0</f>
        <v/>
      </c>
      <c r="H1135" s="21">
        <f>-$B$18</f>
        <v/>
      </c>
      <c r="I1135" s="21">
        <f>$B$19</f>
        <v/>
      </c>
      <c r="J1135" s="21" t="n">
        <v>0</v>
      </c>
      <c r="K1135" s="21" t="n">
        <v>0</v>
      </c>
      <c r="L1135" s="21" t="n">
        <v>0</v>
      </c>
      <c r="M1135" s="21" t="n">
        <v>0</v>
      </c>
      <c r="N1135" s="21" t="n">
        <v>0</v>
      </c>
      <c r="O1135" s="21" t="n">
        <v>0</v>
      </c>
      <c r="P1135" s="21" t="n">
        <v>0</v>
      </c>
      <c r="Q1135" s="21" t="n">
        <v>0</v>
      </c>
      <c r="R1135" s="21" t="n">
        <v>0</v>
      </c>
      <c r="S1135" s="21" t="n">
        <v>0</v>
      </c>
      <c r="T1135" s="21" t="n">
        <v>0</v>
      </c>
      <c r="U1135" s="21" t="n">
        <v>0</v>
      </c>
      <c r="V1135" s="21" t="n">
        <v>0</v>
      </c>
      <c r="W1135" s="21" t="n">
        <v>0</v>
      </c>
      <c r="X1135" s="21" t="n">
        <v>0</v>
      </c>
      <c r="Y1135" s="21" t="n">
        <v>0</v>
      </c>
      <c r="Z1135" s="21" t="n">
        <v>0</v>
      </c>
      <c r="AA1135" s="21" t="n">
        <v>0</v>
      </c>
      <c r="AB1135" s="21" t="n">
        <v>0</v>
      </c>
      <c r="AC1135" s="21" t="n">
        <v>0</v>
      </c>
      <c r="AD1135" s="21" t="n">
        <v>0</v>
      </c>
      <c r="AE1135" s="21" t="n">
        <v>0</v>
      </c>
      <c r="AF1135" s="21" t="n">
        <v>0</v>
      </c>
      <c r="AG1135" s="21" t="n">
        <v>0</v>
      </c>
      <c r="AH1135" s="21" t="n">
        <v>0</v>
      </c>
      <c r="AI1135" s="21" t="n">
        <v>0</v>
      </c>
      <c r="AJ1135" s="21" t="n">
        <v>0</v>
      </c>
      <c r="AK1135" s="21" t="n">
        <v>0</v>
      </c>
      <c r="AL1135" s="21" t="n">
        <v>0</v>
      </c>
      <c r="AM1135" s="21" t="n">
        <v>0</v>
      </c>
      <c r="AN1135" s="21" t="n">
        <v>0</v>
      </c>
      <c r="AO1135" s="21" t="n">
        <v>0</v>
      </c>
      <c r="AP1135" s="21" t="n">
        <v>0</v>
      </c>
      <c r="AQ1135" s="21" t="n">
        <v>0</v>
      </c>
      <c r="AR1135" s="21" t="n">
        <v>0</v>
      </c>
      <c r="AS1135" s="21" t="n">
        <v>0</v>
      </c>
      <c r="AT1135" s="19" t="n"/>
    </row>
    <row r="1136">
      <c r="D1136" s="21">
        <f>$B$19</f>
        <v/>
      </c>
      <c r="E1136" s="21">
        <f>$B$21</f>
        <v/>
      </c>
      <c r="F1136" s="21">
        <f>0</f>
        <v/>
      </c>
      <c r="G1136" s="21">
        <f>2*$B$20</f>
        <v/>
      </c>
      <c r="H1136" s="21">
        <f>-$B$19</f>
        <v/>
      </c>
      <c r="I1136" s="21">
        <f>$B$21</f>
        <v/>
      </c>
      <c r="J1136" s="21" t="n">
        <v>0</v>
      </c>
      <c r="K1136" s="21" t="n">
        <v>0</v>
      </c>
      <c r="L1136" s="21" t="n">
        <v>0</v>
      </c>
      <c r="M1136" s="21" t="n">
        <v>0</v>
      </c>
      <c r="N1136" s="21" t="n">
        <v>0</v>
      </c>
      <c r="O1136" s="21" t="n">
        <v>0</v>
      </c>
      <c r="P1136" s="21" t="n">
        <v>0</v>
      </c>
      <c r="Q1136" s="21" t="n">
        <v>0</v>
      </c>
      <c r="R1136" s="21" t="n">
        <v>0</v>
      </c>
      <c r="S1136" s="21" t="n">
        <v>0</v>
      </c>
      <c r="T1136" s="21" t="n">
        <v>0</v>
      </c>
      <c r="U1136" s="21" t="n">
        <v>0</v>
      </c>
      <c r="V1136" s="21" t="n">
        <v>0</v>
      </c>
      <c r="W1136" s="21" t="n">
        <v>0</v>
      </c>
      <c r="X1136" s="21" t="n">
        <v>0</v>
      </c>
      <c r="Y1136" s="21" t="n">
        <v>0</v>
      </c>
      <c r="Z1136" s="21" t="n">
        <v>0</v>
      </c>
      <c r="AA1136" s="21" t="n">
        <v>0</v>
      </c>
      <c r="AB1136" s="21" t="n">
        <v>0</v>
      </c>
      <c r="AC1136" s="21" t="n">
        <v>0</v>
      </c>
      <c r="AD1136" s="21" t="n">
        <v>0</v>
      </c>
      <c r="AE1136" s="21" t="n">
        <v>0</v>
      </c>
      <c r="AF1136" s="21" t="n">
        <v>0</v>
      </c>
      <c r="AG1136" s="21" t="n">
        <v>0</v>
      </c>
      <c r="AH1136" s="21" t="n">
        <v>0</v>
      </c>
      <c r="AI1136" s="21" t="n">
        <v>0</v>
      </c>
      <c r="AJ1136" s="21" t="n">
        <v>0</v>
      </c>
      <c r="AK1136" s="21" t="n">
        <v>0</v>
      </c>
      <c r="AL1136" s="21" t="n">
        <v>0</v>
      </c>
      <c r="AM1136" s="21" t="n">
        <v>0</v>
      </c>
      <c r="AN1136" s="21" t="n">
        <v>0</v>
      </c>
      <c r="AO1136" s="21" t="n">
        <v>0</v>
      </c>
      <c r="AP1136" s="21" t="n">
        <v>0</v>
      </c>
      <c r="AQ1136" s="21" t="n">
        <v>0</v>
      </c>
      <c r="AR1136" s="21" t="n">
        <v>0</v>
      </c>
      <c r="AS1136" s="21" t="n">
        <v>0</v>
      </c>
      <c r="AT1136" s="19" t="n"/>
    </row>
    <row r="1137">
      <c r="D1137" s="21" t="n">
        <v>0</v>
      </c>
      <c r="E1137" s="21" t="n">
        <v>0</v>
      </c>
      <c r="F1137" s="21">
        <f>-$B$18</f>
        <v/>
      </c>
      <c r="G1137" s="21">
        <f>-$B$19</f>
        <v/>
      </c>
      <c r="H1137" s="21">
        <f>2*$B$18+$D$1113</f>
        <v/>
      </c>
      <c r="I1137" s="21">
        <f>0</f>
        <v/>
      </c>
      <c r="J1137" s="21">
        <f>-$B$18</f>
        <v/>
      </c>
      <c r="K1137" s="21">
        <f>$B$19</f>
        <v/>
      </c>
      <c r="L1137" s="21" t="n">
        <v>0</v>
      </c>
      <c r="M1137" s="21" t="n">
        <v>0</v>
      </c>
      <c r="N1137" s="21" t="n">
        <v>0</v>
      </c>
      <c r="O1137" s="21" t="n">
        <v>0</v>
      </c>
      <c r="P1137" s="21" t="n">
        <v>0</v>
      </c>
      <c r="Q1137" s="21" t="n">
        <v>0</v>
      </c>
      <c r="R1137" s="21" t="n">
        <v>0</v>
      </c>
      <c r="S1137" s="21" t="n">
        <v>0</v>
      </c>
      <c r="T1137" s="21" t="n">
        <v>0</v>
      </c>
      <c r="U1137" s="21" t="n">
        <v>0</v>
      </c>
      <c r="V1137" s="21" t="n">
        <v>0</v>
      </c>
      <c r="W1137" s="21" t="n">
        <v>0</v>
      </c>
      <c r="X1137" s="21" t="n">
        <v>0</v>
      </c>
      <c r="Y1137" s="21" t="n">
        <v>0</v>
      </c>
      <c r="Z1137" s="21" t="n">
        <v>0</v>
      </c>
      <c r="AA1137" s="21" t="n">
        <v>0</v>
      </c>
      <c r="AB1137" s="21" t="n">
        <v>0</v>
      </c>
      <c r="AC1137" s="21" t="n">
        <v>0</v>
      </c>
      <c r="AD1137" s="21" t="n">
        <v>0</v>
      </c>
      <c r="AE1137" s="21" t="n">
        <v>0</v>
      </c>
      <c r="AF1137" s="21" t="n">
        <v>0</v>
      </c>
      <c r="AG1137" s="21" t="n">
        <v>0</v>
      </c>
      <c r="AH1137" s="21" t="n">
        <v>0</v>
      </c>
      <c r="AI1137" s="21" t="n">
        <v>0</v>
      </c>
      <c r="AJ1137" s="21" t="n">
        <v>0</v>
      </c>
      <c r="AK1137" s="21" t="n">
        <v>0</v>
      </c>
      <c r="AL1137" s="21" t="n">
        <v>0</v>
      </c>
      <c r="AM1137" s="21" t="n">
        <v>0</v>
      </c>
      <c r="AN1137" s="21" t="n">
        <v>0</v>
      </c>
      <c r="AO1137" s="21" t="n">
        <v>0</v>
      </c>
      <c r="AP1137" s="21" t="n">
        <v>0</v>
      </c>
      <c r="AQ1137" s="21" t="n">
        <v>0</v>
      </c>
      <c r="AR1137" s="21" t="n">
        <v>0</v>
      </c>
      <c r="AS1137" s="21" t="n">
        <v>0</v>
      </c>
      <c r="AT1137" s="19" t="n"/>
    </row>
    <row r="1138">
      <c r="D1138" s="21" t="n">
        <v>0</v>
      </c>
      <c r="E1138" s="21" t="n">
        <v>0</v>
      </c>
      <c r="F1138" s="21">
        <f>$B$19</f>
        <v/>
      </c>
      <c r="G1138" s="21">
        <f>$B$21</f>
        <v/>
      </c>
      <c r="H1138" s="21">
        <f>0</f>
        <v/>
      </c>
      <c r="I1138" s="21">
        <f>2*$B$20</f>
        <v/>
      </c>
      <c r="J1138" s="21">
        <f>-$B$19</f>
        <v/>
      </c>
      <c r="K1138" s="21">
        <f>$B$21</f>
        <v/>
      </c>
      <c r="L1138" s="21" t="n">
        <v>0</v>
      </c>
      <c r="M1138" s="21" t="n">
        <v>0</v>
      </c>
      <c r="N1138" s="21" t="n">
        <v>0</v>
      </c>
      <c r="O1138" s="21" t="n">
        <v>0</v>
      </c>
      <c r="P1138" s="21" t="n">
        <v>0</v>
      </c>
      <c r="Q1138" s="21" t="n">
        <v>0</v>
      </c>
      <c r="R1138" s="21" t="n">
        <v>0</v>
      </c>
      <c r="S1138" s="21" t="n">
        <v>0</v>
      </c>
      <c r="T1138" s="21" t="n">
        <v>0</v>
      </c>
      <c r="U1138" s="21" t="n">
        <v>0</v>
      </c>
      <c r="V1138" s="21" t="n">
        <v>0</v>
      </c>
      <c r="W1138" s="21" t="n">
        <v>0</v>
      </c>
      <c r="X1138" s="21" t="n">
        <v>0</v>
      </c>
      <c r="Y1138" s="21" t="n">
        <v>0</v>
      </c>
      <c r="Z1138" s="21" t="n">
        <v>0</v>
      </c>
      <c r="AA1138" s="21" t="n">
        <v>0</v>
      </c>
      <c r="AB1138" s="21" t="n">
        <v>0</v>
      </c>
      <c r="AC1138" s="21" t="n">
        <v>0</v>
      </c>
      <c r="AD1138" s="21" t="n">
        <v>0</v>
      </c>
      <c r="AE1138" s="21" t="n">
        <v>0</v>
      </c>
      <c r="AF1138" s="21" t="n">
        <v>0</v>
      </c>
      <c r="AG1138" s="21" t="n">
        <v>0</v>
      </c>
      <c r="AH1138" s="21" t="n">
        <v>0</v>
      </c>
      <c r="AI1138" s="21" t="n">
        <v>0</v>
      </c>
      <c r="AJ1138" s="21" t="n">
        <v>0</v>
      </c>
      <c r="AK1138" s="21" t="n">
        <v>0</v>
      </c>
      <c r="AL1138" s="21" t="n">
        <v>0</v>
      </c>
      <c r="AM1138" s="21" t="n">
        <v>0</v>
      </c>
      <c r="AN1138" s="21" t="n">
        <v>0</v>
      </c>
      <c r="AO1138" s="21" t="n">
        <v>0</v>
      </c>
      <c r="AP1138" s="21" t="n">
        <v>0</v>
      </c>
      <c r="AQ1138" s="21" t="n">
        <v>0</v>
      </c>
      <c r="AR1138" s="21" t="n">
        <v>0</v>
      </c>
      <c r="AS1138" s="21" t="n">
        <v>0</v>
      </c>
      <c r="AT1138" s="19" t="n"/>
    </row>
    <row r="1139">
      <c r="D1139" s="21" t="n">
        <v>0</v>
      </c>
      <c r="E1139" s="21" t="n">
        <v>0</v>
      </c>
      <c r="F1139" s="21" t="n">
        <v>0</v>
      </c>
      <c r="G1139" s="21" t="n">
        <v>0</v>
      </c>
      <c r="H1139" s="21">
        <f>-$B$18</f>
        <v/>
      </c>
      <c r="I1139" s="21">
        <f>-$B$19</f>
        <v/>
      </c>
      <c r="J1139" s="21">
        <f>2*$B$18+$D$1114</f>
        <v/>
      </c>
      <c r="K1139" s="21">
        <f>0</f>
        <v/>
      </c>
      <c r="L1139" s="21">
        <f>-$B$18</f>
        <v/>
      </c>
      <c r="M1139" s="21">
        <f>$B$19</f>
        <v/>
      </c>
      <c r="N1139" s="21" t="n">
        <v>0</v>
      </c>
      <c r="O1139" s="21" t="n">
        <v>0</v>
      </c>
      <c r="P1139" s="21" t="n">
        <v>0</v>
      </c>
      <c r="Q1139" s="21" t="n">
        <v>0</v>
      </c>
      <c r="R1139" s="21" t="n">
        <v>0</v>
      </c>
      <c r="S1139" s="21" t="n">
        <v>0</v>
      </c>
      <c r="T1139" s="21" t="n">
        <v>0</v>
      </c>
      <c r="U1139" s="21" t="n">
        <v>0</v>
      </c>
      <c r="V1139" s="21" t="n">
        <v>0</v>
      </c>
      <c r="W1139" s="21" t="n">
        <v>0</v>
      </c>
      <c r="X1139" s="21" t="n">
        <v>0</v>
      </c>
      <c r="Y1139" s="21" t="n">
        <v>0</v>
      </c>
      <c r="Z1139" s="21" t="n">
        <v>0</v>
      </c>
      <c r="AA1139" s="21" t="n">
        <v>0</v>
      </c>
      <c r="AB1139" s="21" t="n">
        <v>0</v>
      </c>
      <c r="AC1139" s="21" t="n">
        <v>0</v>
      </c>
      <c r="AD1139" s="21" t="n">
        <v>0</v>
      </c>
      <c r="AE1139" s="21" t="n">
        <v>0</v>
      </c>
      <c r="AF1139" s="21" t="n">
        <v>0</v>
      </c>
      <c r="AG1139" s="21" t="n">
        <v>0</v>
      </c>
      <c r="AH1139" s="21" t="n">
        <v>0</v>
      </c>
      <c r="AI1139" s="21" t="n">
        <v>0</v>
      </c>
      <c r="AJ1139" s="21" t="n">
        <v>0</v>
      </c>
      <c r="AK1139" s="21" t="n">
        <v>0</v>
      </c>
      <c r="AL1139" s="21" t="n">
        <v>0</v>
      </c>
      <c r="AM1139" s="21" t="n">
        <v>0</v>
      </c>
      <c r="AN1139" s="21" t="n">
        <v>0</v>
      </c>
      <c r="AO1139" s="21" t="n">
        <v>0</v>
      </c>
      <c r="AP1139" s="21" t="n">
        <v>0</v>
      </c>
      <c r="AQ1139" s="21" t="n">
        <v>0</v>
      </c>
      <c r="AR1139" s="21" t="n">
        <v>0</v>
      </c>
      <c r="AS1139" s="21" t="n">
        <v>0</v>
      </c>
      <c r="AT1139" s="19" t="n"/>
    </row>
    <row r="1140">
      <c r="D1140" s="21" t="n">
        <v>0</v>
      </c>
      <c r="E1140" s="21" t="n">
        <v>0</v>
      </c>
      <c r="F1140" s="21" t="n">
        <v>0</v>
      </c>
      <c r="G1140" s="21" t="n">
        <v>0</v>
      </c>
      <c r="H1140" s="21">
        <f>$B$19</f>
        <v/>
      </c>
      <c r="I1140" s="21">
        <f>$B$21</f>
        <v/>
      </c>
      <c r="J1140" s="21">
        <f>0</f>
        <v/>
      </c>
      <c r="K1140" s="21">
        <f>2*$B$20</f>
        <v/>
      </c>
      <c r="L1140" s="21">
        <f>-$B$19</f>
        <v/>
      </c>
      <c r="M1140" s="21">
        <f>$B$21</f>
        <v/>
      </c>
      <c r="N1140" s="21" t="n">
        <v>0</v>
      </c>
      <c r="O1140" s="21" t="n">
        <v>0</v>
      </c>
      <c r="P1140" s="21" t="n">
        <v>0</v>
      </c>
      <c r="Q1140" s="21" t="n">
        <v>0</v>
      </c>
      <c r="R1140" s="21" t="n">
        <v>0</v>
      </c>
      <c r="S1140" s="21" t="n">
        <v>0</v>
      </c>
      <c r="T1140" s="21" t="n">
        <v>0</v>
      </c>
      <c r="U1140" s="21" t="n">
        <v>0</v>
      </c>
      <c r="V1140" s="21" t="n">
        <v>0</v>
      </c>
      <c r="W1140" s="21" t="n">
        <v>0</v>
      </c>
      <c r="X1140" s="21" t="n">
        <v>0</v>
      </c>
      <c r="Y1140" s="21" t="n">
        <v>0</v>
      </c>
      <c r="Z1140" s="21" t="n">
        <v>0</v>
      </c>
      <c r="AA1140" s="21" t="n">
        <v>0</v>
      </c>
      <c r="AB1140" s="21" t="n">
        <v>0</v>
      </c>
      <c r="AC1140" s="21" t="n">
        <v>0</v>
      </c>
      <c r="AD1140" s="21" t="n">
        <v>0</v>
      </c>
      <c r="AE1140" s="21" t="n">
        <v>0</v>
      </c>
      <c r="AF1140" s="21" t="n">
        <v>0</v>
      </c>
      <c r="AG1140" s="21" t="n">
        <v>0</v>
      </c>
      <c r="AH1140" s="21" t="n">
        <v>0</v>
      </c>
      <c r="AI1140" s="21" t="n">
        <v>0</v>
      </c>
      <c r="AJ1140" s="21" t="n">
        <v>0</v>
      </c>
      <c r="AK1140" s="21" t="n">
        <v>0</v>
      </c>
      <c r="AL1140" s="21" t="n">
        <v>0</v>
      </c>
      <c r="AM1140" s="21" t="n">
        <v>0</v>
      </c>
      <c r="AN1140" s="21" t="n">
        <v>0</v>
      </c>
      <c r="AO1140" s="21" t="n">
        <v>0</v>
      </c>
      <c r="AP1140" s="21" t="n">
        <v>0</v>
      </c>
      <c r="AQ1140" s="21" t="n">
        <v>0</v>
      </c>
      <c r="AR1140" s="21" t="n">
        <v>0</v>
      </c>
      <c r="AS1140" s="21" t="n">
        <v>0</v>
      </c>
      <c r="AT1140" s="19" t="n"/>
    </row>
    <row r="1141">
      <c r="D1141" s="21" t="n">
        <v>0</v>
      </c>
      <c r="E1141" s="21" t="n">
        <v>0</v>
      </c>
      <c r="F1141" s="21" t="n">
        <v>0</v>
      </c>
      <c r="G1141" s="21" t="n">
        <v>0</v>
      </c>
      <c r="H1141" s="21" t="n">
        <v>0</v>
      </c>
      <c r="I1141" s="21" t="n">
        <v>0</v>
      </c>
      <c r="J1141" s="21">
        <f>-$B$18</f>
        <v/>
      </c>
      <c r="K1141" s="21">
        <f>-$B$19</f>
        <v/>
      </c>
      <c r="L1141" s="21">
        <f>2*$B$18+$D$1115</f>
        <v/>
      </c>
      <c r="M1141" s="21">
        <f>0</f>
        <v/>
      </c>
      <c r="N1141" s="21">
        <f>-$B$18</f>
        <v/>
      </c>
      <c r="O1141" s="21">
        <f>$B$19</f>
        <v/>
      </c>
      <c r="P1141" s="21" t="n">
        <v>0</v>
      </c>
      <c r="Q1141" s="21" t="n">
        <v>0</v>
      </c>
      <c r="R1141" s="21" t="n">
        <v>0</v>
      </c>
      <c r="S1141" s="21" t="n">
        <v>0</v>
      </c>
      <c r="T1141" s="21" t="n">
        <v>0</v>
      </c>
      <c r="U1141" s="21" t="n">
        <v>0</v>
      </c>
      <c r="V1141" s="21" t="n">
        <v>0</v>
      </c>
      <c r="W1141" s="21" t="n">
        <v>0</v>
      </c>
      <c r="X1141" s="21" t="n">
        <v>0</v>
      </c>
      <c r="Y1141" s="21" t="n">
        <v>0</v>
      </c>
      <c r="Z1141" s="21" t="n">
        <v>0</v>
      </c>
      <c r="AA1141" s="21" t="n">
        <v>0</v>
      </c>
      <c r="AB1141" s="21" t="n">
        <v>0</v>
      </c>
      <c r="AC1141" s="21" t="n">
        <v>0</v>
      </c>
      <c r="AD1141" s="21" t="n">
        <v>0</v>
      </c>
      <c r="AE1141" s="21" t="n">
        <v>0</v>
      </c>
      <c r="AF1141" s="21" t="n">
        <v>0</v>
      </c>
      <c r="AG1141" s="21" t="n">
        <v>0</v>
      </c>
      <c r="AH1141" s="21" t="n">
        <v>0</v>
      </c>
      <c r="AI1141" s="21" t="n">
        <v>0</v>
      </c>
      <c r="AJ1141" s="21" t="n">
        <v>0</v>
      </c>
      <c r="AK1141" s="21" t="n">
        <v>0</v>
      </c>
      <c r="AL1141" s="21" t="n">
        <v>0</v>
      </c>
      <c r="AM1141" s="21" t="n">
        <v>0</v>
      </c>
      <c r="AN1141" s="21" t="n">
        <v>0</v>
      </c>
      <c r="AO1141" s="21" t="n">
        <v>0</v>
      </c>
      <c r="AP1141" s="21" t="n">
        <v>0</v>
      </c>
      <c r="AQ1141" s="21" t="n">
        <v>0</v>
      </c>
      <c r="AR1141" s="21" t="n">
        <v>0</v>
      </c>
      <c r="AS1141" s="21" t="n">
        <v>0</v>
      </c>
      <c r="AT1141" s="19" t="n"/>
    </row>
    <row r="1142">
      <c r="D1142" s="21" t="n">
        <v>0</v>
      </c>
      <c r="E1142" s="21" t="n">
        <v>0</v>
      </c>
      <c r="F1142" s="21" t="n">
        <v>0</v>
      </c>
      <c r="G1142" s="21" t="n">
        <v>0</v>
      </c>
      <c r="H1142" s="21" t="n">
        <v>0</v>
      </c>
      <c r="I1142" s="21" t="n">
        <v>0</v>
      </c>
      <c r="J1142" s="21">
        <f>$B$19</f>
        <v/>
      </c>
      <c r="K1142" s="21">
        <f>$B$21</f>
        <v/>
      </c>
      <c r="L1142" s="21">
        <f>0</f>
        <v/>
      </c>
      <c r="M1142" s="21">
        <f>2*$B$20</f>
        <v/>
      </c>
      <c r="N1142" s="21">
        <f>-$B$19</f>
        <v/>
      </c>
      <c r="O1142" s="21">
        <f>$B$21</f>
        <v/>
      </c>
      <c r="P1142" s="21" t="n">
        <v>0</v>
      </c>
      <c r="Q1142" s="21" t="n">
        <v>0</v>
      </c>
      <c r="R1142" s="21" t="n">
        <v>0</v>
      </c>
      <c r="S1142" s="21" t="n">
        <v>0</v>
      </c>
      <c r="T1142" s="21" t="n">
        <v>0</v>
      </c>
      <c r="U1142" s="21" t="n">
        <v>0</v>
      </c>
      <c r="V1142" s="21" t="n">
        <v>0</v>
      </c>
      <c r="W1142" s="21" t="n">
        <v>0</v>
      </c>
      <c r="X1142" s="21" t="n">
        <v>0</v>
      </c>
      <c r="Y1142" s="21" t="n">
        <v>0</v>
      </c>
      <c r="Z1142" s="21" t="n">
        <v>0</v>
      </c>
      <c r="AA1142" s="21" t="n">
        <v>0</v>
      </c>
      <c r="AB1142" s="21" t="n">
        <v>0</v>
      </c>
      <c r="AC1142" s="21" t="n">
        <v>0</v>
      </c>
      <c r="AD1142" s="21" t="n">
        <v>0</v>
      </c>
      <c r="AE1142" s="21" t="n">
        <v>0</v>
      </c>
      <c r="AF1142" s="21" t="n">
        <v>0</v>
      </c>
      <c r="AG1142" s="21" t="n">
        <v>0</v>
      </c>
      <c r="AH1142" s="21" t="n">
        <v>0</v>
      </c>
      <c r="AI1142" s="21" t="n">
        <v>0</v>
      </c>
      <c r="AJ1142" s="21" t="n">
        <v>0</v>
      </c>
      <c r="AK1142" s="21" t="n">
        <v>0</v>
      </c>
      <c r="AL1142" s="21" t="n">
        <v>0</v>
      </c>
      <c r="AM1142" s="21" t="n">
        <v>0</v>
      </c>
      <c r="AN1142" s="21" t="n">
        <v>0</v>
      </c>
      <c r="AO1142" s="21" t="n">
        <v>0</v>
      </c>
      <c r="AP1142" s="21" t="n">
        <v>0</v>
      </c>
      <c r="AQ1142" s="21" t="n">
        <v>0</v>
      </c>
      <c r="AR1142" s="21" t="n">
        <v>0</v>
      </c>
      <c r="AS1142" s="21" t="n">
        <v>0</v>
      </c>
      <c r="AT1142" s="19" t="n"/>
    </row>
    <row r="1143">
      <c r="D1143" s="21" t="n">
        <v>0</v>
      </c>
      <c r="E1143" s="21" t="n">
        <v>0</v>
      </c>
      <c r="F1143" s="21" t="n">
        <v>0</v>
      </c>
      <c r="G1143" s="21" t="n">
        <v>0</v>
      </c>
      <c r="H1143" s="21" t="n">
        <v>0</v>
      </c>
      <c r="I1143" s="21" t="n">
        <v>0</v>
      </c>
      <c r="J1143" s="21" t="n">
        <v>0</v>
      </c>
      <c r="K1143" s="21" t="n">
        <v>0</v>
      </c>
      <c r="L1143" s="21">
        <f>-$B$18</f>
        <v/>
      </c>
      <c r="M1143" s="21">
        <f>-$B$19</f>
        <v/>
      </c>
      <c r="N1143" s="21">
        <f>2*$B$18+$D$1116</f>
        <v/>
      </c>
      <c r="O1143" s="21">
        <f>0</f>
        <v/>
      </c>
      <c r="P1143" s="21">
        <f>-$B$18</f>
        <v/>
      </c>
      <c r="Q1143" s="21">
        <f>$B$19</f>
        <v/>
      </c>
      <c r="R1143" s="21" t="n">
        <v>0</v>
      </c>
      <c r="S1143" s="21" t="n">
        <v>0</v>
      </c>
      <c r="T1143" s="21" t="n">
        <v>0</v>
      </c>
      <c r="U1143" s="21" t="n">
        <v>0</v>
      </c>
      <c r="V1143" s="21" t="n">
        <v>0</v>
      </c>
      <c r="W1143" s="21" t="n">
        <v>0</v>
      </c>
      <c r="X1143" s="21" t="n">
        <v>0</v>
      </c>
      <c r="Y1143" s="21" t="n">
        <v>0</v>
      </c>
      <c r="Z1143" s="21" t="n">
        <v>0</v>
      </c>
      <c r="AA1143" s="21" t="n">
        <v>0</v>
      </c>
      <c r="AB1143" s="21" t="n">
        <v>0</v>
      </c>
      <c r="AC1143" s="21" t="n">
        <v>0</v>
      </c>
      <c r="AD1143" s="21" t="n">
        <v>0</v>
      </c>
      <c r="AE1143" s="21" t="n">
        <v>0</v>
      </c>
      <c r="AF1143" s="21" t="n">
        <v>0</v>
      </c>
      <c r="AG1143" s="21" t="n">
        <v>0</v>
      </c>
      <c r="AH1143" s="21" t="n">
        <v>0</v>
      </c>
      <c r="AI1143" s="21" t="n">
        <v>0</v>
      </c>
      <c r="AJ1143" s="21" t="n">
        <v>0</v>
      </c>
      <c r="AK1143" s="21" t="n">
        <v>0</v>
      </c>
      <c r="AL1143" s="21" t="n">
        <v>0</v>
      </c>
      <c r="AM1143" s="21" t="n">
        <v>0</v>
      </c>
      <c r="AN1143" s="21" t="n">
        <v>0</v>
      </c>
      <c r="AO1143" s="21" t="n">
        <v>0</v>
      </c>
      <c r="AP1143" s="21" t="n">
        <v>0</v>
      </c>
      <c r="AQ1143" s="21" t="n">
        <v>0</v>
      </c>
      <c r="AR1143" s="21" t="n">
        <v>0</v>
      </c>
      <c r="AS1143" s="21" t="n">
        <v>0</v>
      </c>
      <c r="AT1143" s="19" t="n"/>
    </row>
    <row r="1144">
      <c r="D1144" s="21" t="n">
        <v>0</v>
      </c>
      <c r="E1144" s="21" t="n">
        <v>0</v>
      </c>
      <c r="F1144" s="21" t="n">
        <v>0</v>
      </c>
      <c r="G1144" s="21" t="n">
        <v>0</v>
      </c>
      <c r="H1144" s="21" t="n">
        <v>0</v>
      </c>
      <c r="I1144" s="21" t="n">
        <v>0</v>
      </c>
      <c r="J1144" s="21" t="n">
        <v>0</v>
      </c>
      <c r="K1144" s="21" t="n">
        <v>0</v>
      </c>
      <c r="L1144" s="21">
        <f>$B$19</f>
        <v/>
      </c>
      <c r="M1144" s="21">
        <f>$B$21</f>
        <v/>
      </c>
      <c r="N1144" s="21">
        <f>0</f>
        <v/>
      </c>
      <c r="O1144" s="21">
        <f>2*$B$20</f>
        <v/>
      </c>
      <c r="P1144" s="21">
        <f>-$B$19</f>
        <v/>
      </c>
      <c r="Q1144" s="21">
        <f>$B$21</f>
        <v/>
      </c>
      <c r="R1144" s="21" t="n">
        <v>0</v>
      </c>
      <c r="S1144" s="21" t="n">
        <v>0</v>
      </c>
      <c r="T1144" s="21" t="n">
        <v>0</v>
      </c>
      <c r="U1144" s="21" t="n">
        <v>0</v>
      </c>
      <c r="V1144" s="21" t="n">
        <v>0</v>
      </c>
      <c r="W1144" s="21" t="n">
        <v>0</v>
      </c>
      <c r="X1144" s="21" t="n">
        <v>0</v>
      </c>
      <c r="Y1144" s="21" t="n">
        <v>0</v>
      </c>
      <c r="Z1144" s="21" t="n">
        <v>0</v>
      </c>
      <c r="AA1144" s="21" t="n">
        <v>0</v>
      </c>
      <c r="AB1144" s="21" t="n">
        <v>0</v>
      </c>
      <c r="AC1144" s="21" t="n">
        <v>0</v>
      </c>
      <c r="AD1144" s="21" t="n">
        <v>0</v>
      </c>
      <c r="AE1144" s="21" t="n">
        <v>0</v>
      </c>
      <c r="AF1144" s="21" t="n">
        <v>0</v>
      </c>
      <c r="AG1144" s="21" t="n">
        <v>0</v>
      </c>
      <c r="AH1144" s="21" t="n">
        <v>0</v>
      </c>
      <c r="AI1144" s="21" t="n">
        <v>0</v>
      </c>
      <c r="AJ1144" s="21" t="n">
        <v>0</v>
      </c>
      <c r="AK1144" s="21" t="n">
        <v>0</v>
      </c>
      <c r="AL1144" s="21" t="n">
        <v>0</v>
      </c>
      <c r="AM1144" s="21" t="n">
        <v>0</v>
      </c>
      <c r="AN1144" s="21" t="n">
        <v>0</v>
      </c>
      <c r="AO1144" s="21" t="n">
        <v>0</v>
      </c>
      <c r="AP1144" s="21" t="n">
        <v>0</v>
      </c>
      <c r="AQ1144" s="21" t="n">
        <v>0</v>
      </c>
      <c r="AR1144" s="21" t="n">
        <v>0</v>
      </c>
      <c r="AS1144" s="21" t="n">
        <v>0</v>
      </c>
      <c r="AT1144" s="19" t="n"/>
    </row>
    <row r="1145">
      <c r="D1145" s="21" t="n">
        <v>0</v>
      </c>
      <c r="E1145" s="21" t="n">
        <v>0</v>
      </c>
      <c r="F1145" s="21" t="n">
        <v>0</v>
      </c>
      <c r="G1145" s="21" t="n">
        <v>0</v>
      </c>
      <c r="H1145" s="21" t="n">
        <v>0</v>
      </c>
      <c r="I1145" s="21" t="n">
        <v>0</v>
      </c>
      <c r="J1145" s="21" t="n">
        <v>0</v>
      </c>
      <c r="K1145" s="21" t="n">
        <v>0</v>
      </c>
      <c r="L1145" s="21" t="n">
        <v>0</v>
      </c>
      <c r="M1145" s="21" t="n">
        <v>0</v>
      </c>
      <c r="N1145" s="21">
        <f>-$B$18</f>
        <v/>
      </c>
      <c r="O1145" s="21">
        <f>-$B$19</f>
        <v/>
      </c>
      <c r="P1145" s="21">
        <f>2*$B$18+$D$1117</f>
        <v/>
      </c>
      <c r="Q1145" s="21">
        <f>0</f>
        <v/>
      </c>
      <c r="R1145" s="21">
        <f>-$B$18</f>
        <v/>
      </c>
      <c r="S1145" s="21">
        <f>$B$19</f>
        <v/>
      </c>
      <c r="T1145" s="21" t="n">
        <v>0</v>
      </c>
      <c r="U1145" s="21" t="n">
        <v>0</v>
      </c>
      <c r="V1145" s="21" t="n">
        <v>0</v>
      </c>
      <c r="W1145" s="21" t="n">
        <v>0</v>
      </c>
      <c r="X1145" s="21" t="n">
        <v>0</v>
      </c>
      <c r="Y1145" s="21" t="n">
        <v>0</v>
      </c>
      <c r="Z1145" s="21" t="n">
        <v>0</v>
      </c>
      <c r="AA1145" s="21" t="n">
        <v>0</v>
      </c>
      <c r="AB1145" s="21" t="n">
        <v>0</v>
      </c>
      <c r="AC1145" s="21" t="n">
        <v>0</v>
      </c>
      <c r="AD1145" s="21" t="n">
        <v>0</v>
      </c>
      <c r="AE1145" s="21" t="n">
        <v>0</v>
      </c>
      <c r="AF1145" s="21" t="n">
        <v>0</v>
      </c>
      <c r="AG1145" s="21" t="n">
        <v>0</v>
      </c>
      <c r="AH1145" s="21" t="n">
        <v>0</v>
      </c>
      <c r="AI1145" s="21" t="n">
        <v>0</v>
      </c>
      <c r="AJ1145" s="21" t="n">
        <v>0</v>
      </c>
      <c r="AK1145" s="21" t="n">
        <v>0</v>
      </c>
      <c r="AL1145" s="21" t="n">
        <v>0</v>
      </c>
      <c r="AM1145" s="21" t="n">
        <v>0</v>
      </c>
      <c r="AN1145" s="21" t="n">
        <v>0</v>
      </c>
      <c r="AO1145" s="21" t="n">
        <v>0</v>
      </c>
      <c r="AP1145" s="21" t="n">
        <v>0</v>
      </c>
      <c r="AQ1145" s="21" t="n">
        <v>0</v>
      </c>
      <c r="AR1145" s="21" t="n">
        <v>0</v>
      </c>
      <c r="AS1145" s="21" t="n">
        <v>0</v>
      </c>
      <c r="AT1145" s="19" t="n"/>
    </row>
    <row r="1146">
      <c r="D1146" s="21" t="n">
        <v>0</v>
      </c>
      <c r="E1146" s="21" t="n">
        <v>0</v>
      </c>
      <c r="F1146" s="21" t="n">
        <v>0</v>
      </c>
      <c r="G1146" s="21" t="n">
        <v>0</v>
      </c>
      <c r="H1146" s="21" t="n">
        <v>0</v>
      </c>
      <c r="I1146" s="21" t="n">
        <v>0</v>
      </c>
      <c r="J1146" s="21" t="n">
        <v>0</v>
      </c>
      <c r="K1146" s="21" t="n">
        <v>0</v>
      </c>
      <c r="L1146" s="21" t="n">
        <v>0</v>
      </c>
      <c r="M1146" s="21" t="n">
        <v>0</v>
      </c>
      <c r="N1146" s="21">
        <f>$B$19</f>
        <v/>
      </c>
      <c r="O1146" s="21">
        <f>$B$21</f>
        <v/>
      </c>
      <c r="P1146" s="21">
        <f>0</f>
        <v/>
      </c>
      <c r="Q1146" s="21">
        <f>2*$B$20</f>
        <v/>
      </c>
      <c r="R1146" s="21">
        <f>-$B$19</f>
        <v/>
      </c>
      <c r="S1146" s="21">
        <f>$B$21</f>
        <v/>
      </c>
      <c r="T1146" s="21" t="n">
        <v>0</v>
      </c>
      <c r="U1146" s="21" t="n">
        <v>0</v>
      </c>
      <c r="V1146" s="21" t="n">
        <v>0</v>
      </c>
      <c r="W1146" s="21" t="n">
        <v>0</v>
      </c>
      <c r="X1146" s="21" t="n">
        <v>0</v>
      </c>
      <c r="Y1146" s="21" t="n">
        <v>0</v>
      </c>
      <c r="Z1146" s="21" t="n">
        <v>0</v>
      </c>
      <c r="AA1146" s="21" t="n">
        <v>0</v>
      </c>
      <c r="AB1146" s="21" t="n">
        <v>0</v>
      </c>
      <c r="AC1146" s="21" t="n">
        <v>0</v>
      </c>
      <c r="AD1146" s="21" t="n">
        <v>0</v>
      </c>
      <c r="AE1146" s="21" t="n">
        <v>0</v>
      </c>
      <c r="AF1146" s="21" t="n">
        <v>0</v>
      </c>
      <c r="AG1146" s="21" t="n">
        <v>0</v>
      </c>
      <c r="AH1146" s="21" t="n">
        <v>0</v>
      </c>
      <c r="AI1146" s="21" t="n">
        <v>0</v>
      </c>
      <c r="AJ1146" s="21" t="n">
        <v>0</v>
      </c>
      <c r="AK1146" s="21" t="n">
        <v>0</v>
      </c>
      <c r="AL1146" s="21" t="n">
        <v>0</v>
      </c>
      <c r="AM1146" s="21" t="n">
        <v>0</v>
      </c>
      <c r="AN1146" s="21" t="n">
        <v>0</v>
      </c>
      <c r="AO1146" s="21" t="n">
        <v>0</v>
      </c>
      <c r="AP1146" s="21" t="n">
        <v>0</v>
      </c>
      <c r="AQ1146" s="21" t="n">
        <v>0</v>
      </c>
      <c r="AR1146" s="21" t="n">
        <v>0</v>
      </c>
      <c r="AS1146" s="21" t="n">
        <v>0</v>
      </c>
      <c r="AT1146" s="19" t="n"/>
    </row>
    <row r="1147">
      <c r="D1147" s="21" t="n">
        <v>0</v>
      </c>
      <c r="E1147" s="21" t="n">
        <v>0</v>
      </c>
      <c r="F1147" s="21" t="n">
        <v>0</v>
      </c>
      <c r="G1147" s="21" t="n">
        <v>0</v>
      </c>
      <c r="H1147" s="21" t="n">
        <v>0</v>
      </c>
      <c r="I1147" s="21" t="n">
        <v>0</v>
      </c>
      <c r="J1147" s="21" t="n">
        <v>0</v>
      </c>
      <c r="K1147" s="21" t="n">
        <v>0</v>
      </c>
      <c r="L1147" s="21" t="n">
        <v>0</v>
      </c>
      <c r="M1147" s="21" t="n">
        <v>0</v>
      </c>
      <c r="N1147" s="21" t="n">
        <v>0</v>
      </c>
      <c r="O1147" s="21" t="n">
        <v>0</v>
      </c>
      <c r="P1147" s="21">
        <f>-$B$18</f>
        <v/>
      </c>
      <c r="Q1147" s="21">
        <f>-$B$19</f>
        <v/>
      </c>
      <c r="R1147" s="21">
        <f>2*$B$18+$D$1118</f>
        <v/>
      </c>
      <c r="S1147" s="21">
        <f>0</f>
        <v/>
      </c>
      <c r="T1147" s="21">
        <f>-$B$18</f>
        <v/>
      </c>
      <c r="U1147" s="21">
        <f>$B$19</f>
        <v/>
      </c>
      <c r="V1147" s="21" t="n">
        <v>0</v>
      </c>
      <c r="W1147" s="21" t="n">
        <v>0</v>
      </c>
      <c r="X1147" s="21" t="n">
        <v>0</v>
      </c>
      <c r="Y1147" s="21" t="n">
        <v>0</v>
      </c>
      <c r="Z1147" s="21" t="n">
        <v>0</v>
      </c>
      <c r="AA1147" s="21" t="n">
        <v>0</v>
      </c>
      <c r="AB1147" s="21" t="n">
        <v>0</v>
      </c>
      <c r="AC1147" s="21" t="n">
        <v>0</v>
      </c>
      <c r="AD1147" s="21" t="n">
        <v>0</v>
      </c>
      <c r="AE1147" s="21" t="n">
        <v>0</v>
      </c>
      <c r="AF1147" s="21" t="n">
        <v>0</v>
      </c>
      <c r="AG1147" s="21" t="n">
        <v>0</v>
      </c>
      <c r="AH1147" s="21" t="n">
        <v>0</v>
      </c>
      <c r="AI1147" s="21" t="n">
        <v>0</v>
      </c>
      <c r="AJ1147" s="21" t="n">
        <v>0</v>
      </c>
      <c r="AK1147" s="21" t="n">
        <v>0</v>
      </c>
      <c r="AL1147" s="21" t="n">
        <v>0</v>
      </c>
      <c r="AM1147" s="21" t="n">
        <v>0</v>
      </c>
      <c r="AN1147" s="21" t="n">
        <v>0</v>
      </c>
      <c r="AO1147" s="21" t="n">
        <v>0</v>
      </c>
      <c r="AP1147" s="21" t="n">
        <v>0</v>
      </c>
      <c r="AQ1147" s="21" t="n">
        <v>0</v>
      </c>
      <c r="AR1147" s="21" t="n">
        <v>0</v>
      </c>
      <c r="AS1147" s="21" t="n">
        <v>0</v>
      </c>
      <c r="AT1147" s="19" t="n"/>
    </row>
    <row r="1148">
      <c r="D1148" s="21" t="n">
        <v>0</v>
      </c>
      <c r="E1148" s="21" t="n">
        <v>0</v>
      </c>
      <c r="F1148" s="21" t="n">
        <v>0</v>
      </c>
      <c r="G1148" s="21" t="n">
        <v>0</v>
      </c>
      <c r="H1148" s="21" t="n">
        <v>0</v>
      </c>
      <c r="I1148" s="21" t="n">
        <v>0</v>
      </c>
      <c r="J1148" s="21" t="n">
        <v>0</v>
      </c>
      <c r="K1148" s="21" t="n">
        <v>0</v>
      </c>
      <c r="L1148" s="21" t="n">
        <v>0</v>
      </c>
      <c r="M1148" s="21" t="n">
        <v>0</v>
      </c>
      <c r="N1148" s="21" t="n">
        <v>0</v>
      </c>
      <c r="O1148" s="21" t="n">
        <v>0</v>
      </c>
      <c r="P1148" s="21">
        <f>$B$19</f>
        <v/>
      </c>
      <c r="Q1148" s="21">
        <f>$B$21</f>
        <v/>
      </c>
      <c r="R1148" s="21">
        <f>0</f>
        <v/>
      </c>
      <c r="S1148" s="21">
        <f>2*$B$20</f>
        <v/>
      </c>
      <c r="T1148" s="21">
        <f>-$B$19</f>
        <v/>
      </c>
      <c r="U1148" s="21">
        <f>$B$21</f>
        <v/>
      </c>
      <c r="V1148" s="21" t="n">
        <v>0</v>
      </c>
      <c r="W1148" s="21" t="n">
        <v>0</v>
      </c>
      <c r="X1148" s="21" t="n">
        <v>0</v>
      </c>
      <c r="Y1148" s="21" t="n">
        <v>0</v>
      </c>
      <c r="Z1148" s="21" t="n">
        <v>0</v>
      </c>
      <c r="AA1148" s="21" t="n">
        <v>0</v>
      </c>
      <c r="AB1148" s="21" t="n">
        <v>0</v>
      </c>
      <c r="AC1148" s="21" t="n">
        <v>0</v>
      </c>
      <c r="AD1148" s="21" t="n">
        <v>0</v>
      </c>
      <c r="AE1148" s="21" t="n">
        <v>0</v>
      </c>
      <c r="AF1148" s="21" t="n">
        <v>0</v>
      </c>
      <c r="AG1148" s="21" t="n">
        <v>0</v>
      </c>
      <c r="AH1148" s="21" t="n">
        <v>0</v>
      </c>
      <c r="AI1148" s="21" t="n">
        <v>0</v>
      </c>
      <c r="AJ1148" s="21" t="n">
        <v>0</v>
      </c>
      <c r="AK1148" s="21" t="n">
        <v>0</v>
      </c>
      <c r="AL1148" s="21" t="n">
        <v>0</v>
      </c>
      <c r="AM1148" s="21" t="n">
        <v>0</v>
      </c>
      <c r="AN1148" s="21" t="n">
        <v>0</v>
      </c>
      <c r="AO1148" s="21" t="n">
        <v>0</v>
      </c>
      <c r="AP1148" s="21" t="n">
        <v>0</v>
      </c>
      <c r="AQ1148" s="21" t="n">
        <v>0</v>
      </c>
      <c r="AR1148" s="21" t="n">
        <v>0</v>
      </c>
      <c r="AS1148" s="21" t="n">
        <v>0</v>
      </c>
      <c r="AT1148" s="19" t="n"/>
    </row>
    <row r="1149">
      <c r="D1149" s="21" t="n">
        <v>0</v>
      </c>
      <c r="E1149" s="21" t="n">
        <v>0</v>
      </c>
      <c r="F1149" s="21" t="n">
        <v>0</v>
      </c>
      <c r="G1149" s="21" t="n">
        <v>0</v>
      </c>
      <c r="H1149" s="21" t="n">
        <v>0</v>
      </c>
      <c r="I1149" s="21" t="n">
        <v>0</v>
      </c>
      <c r="J1149" s="21" t="n">
        <v>0</v>
      </c>
      <c r="K1149" s="21" t="n">
        <v>0</v>
      </c>
      <c r="L1149" s="21" t="n">
        <v>0</v>
      </c>
      <c r="M1149" s="21" t="n">
        <v>0</v>
      </c>
      <c r="N1149" s="21" t="n">
        <v>0</v>
      </c>
      <c r="O1149" s="21" t="n">
        <v>0</v>
      </c>
      <c r="P1149" s="21" t="n">
        <v>0</v>
      </c>
      <c r="Q1149" s="21" t="n">
        <v>0</v>
      </c>
      <c r="R1149" s="21">
        <f>-$B$18</f>
        <v/>
      </c>
      <c r="S1149" s="21">
        <f>-$B$19</f>
        <v/>
      </c>
      <c r="T1149" s="21">
        <f>2*$B$18+$D$1119</f>
        <v/>
      </c>
      <c r="U1149" s="21">
        <f>0</f>
        <v/>
      </c>
      <c r="V1149" s="21">
        <f>-$B$18</f>
        <v/>
      </c>
      <c r="W1149" s="21">
        <f>$B$19</f>
        <v/>
      </c>
      <c r="X1149" s="21" t="n">
        <v>0</v>
      </c>
      <c r="Y1149" s="21" t="n">
        <v>0</v>
      </c>
      <c r="Z1149" s="21" t="n">
        <v>0</v>
      </c>
      <c r="AA1149" s="21" t="n">
        <v>0</v>
      </c>
      <c r="AB1149" s="21" t="n">
        <v>0</v>
      </c>
      <c r="AC1149" s="21" t="n">
        <v>0</v>
      </c>
      <c r="AD1149" s="21" t="n">
        <v>0</v>
      </c>
      <c r="AE1149" s="21" t="n">
        <v>0</v>
      </c>
      <c r="AF1149" s="21" t="n">
        <v>0</v>
      </c>
      <c r="AG1149" s="21" t="n">
        <v>0</v>
      </c>
      <c r="AH1149" s="21" t="n">
        <v>0</v>
      </c>
      <c r="AI1149" s="21" t="n">
        <v>0</v>
      </c>
      <c r="AJ1149" s="21" t="n">
        <v>0</v>
      </c>
      <c r="AK1149" s="21" t="n">
        <v>0</v>
      </c>
      <c r="AL1149" s="21" t="n">
        <v>0</v>
      </c>
      <c r="AM1149" s="21" t="n">
        <v>0</v>
      </c>
      <c r="AN1149" s="21" t="n">
        <v>0</v>
      </c>
      <c r="AO1149" s="21" t="n">
        <v>0</v>
      </c>
      <c r="AP1149" s="21" t="n">
        <v>0</v>
      </c>
      <c r="AQ1149" s="21" t="n">
        <v>0</v>
      </c>
      <c r="AR1149" s="21" t="n">
        <v>0</v>
      </c>
      <c r="AS1149" s="21" t="n">
        <v>0</v>
      </c>
      <c r="AT1149" s="19" t="n"/>
    </row>
    <row r="1150">
      <c r="D1150" s="21" t="n">
        <v>0</v>
      </c>
      <c r="E1150" s="21" t="n">
        <v>0</v>
      </c>
      <c r="F1150" s="21" t="n">
        <v>0</v>
      </c>
      <c r="G1150" s="21" t="n">
        <v>0</v>
      </c>
      <c r="H1150" s="21" t="n">
        <v>0</v>
      </c>
      <c r="I1150" s="21" t="n">
        <v>0</v>
      </c>
      <c r="J1150" s="21" t="n">
        <v>0</v>
      </c>
      <c r="K1150" s="21" t="n">
        <v>0</v>
      </c>
      <c r="L1150" s="21" t="n">
        <v>0</v>
      </c>
      <c r="M1150" s="21" t="n">
        <v>0</v>
      </c>
      <c r="N1150" s="21" t="n">
        <v>0</v>
      </c>
      <c r="O1150" s="21" t="n">
        <v>0</v>
      </c>
      <c r="P1150" s="21" t="n">
        <v>0</v>
      </c>
      <c r="Q1150" s="21" t="n">
        <v>0</v>
      </c>
      <c r="R1150" s="21">
        <f>$B$19</f>
        <v/>
      </c>
      <c r="S1150" s="21">
        <f>$B$21</f>
        <v/>
      </c>
      <c r="T1150" s="21">
        <f>0</f>
        <v/>
      </c>
      <c r="U1150" s="21">
        <f>2*$B$20</f>
        <v/>
      </c>
      <c r="V1150" s="21">
        <f>-$B$19</f>
        <v/>
      </c>
      <c r="W1150" s="21">
        <f>$B$21</f>
        <v/>
      </c>
      <c r="X1150" s="21" t="n">
        <v>0</v>
      </c>
      <c r="Y1150" s="21" t="n">
        <v>0</v>
      </c>
      <c r="Z1150" s="21" t="n">
        <v>0</v>
      </c>
      <c r="AA1150" s="21" t="n">
        <v>0</v>
      </c>
      <c r="AB1150" s="21" t="n">
        <v>0</v>
      </c>
      <c r="AC1150" s="21" t="n">
        <v>0</v>
      </c>
      <c r="AD1150" s="21" t="n">
        <v>0</v>
      </c>
      <c r="AE1150" s="21" t="n">
        <v>0</v>
      </c>
      <c r="AF1150" s="21" t="n">
        <v>0</v>
      </c>
      <c r="AG1150" s="21" t="n">
        <v>0</v>
      </c>
      <c r="AH1150" s="21" t="n">
        <v>0</v>
      </c>
      <c r="AI1150" s="21" t="n">
        <v>0</v>
      </c>
      <c r="AJ1150" s="21" t="n">
        <v>0</v>
      </c>
      <c r="AK1150" s="21" t="n">
        <v>0</v>
      </c>
      <c r="AL1150" s="21" t="n">
        <v>0</v>
      </c>
      <c r="AM1150" s="21" t="n">
        <v>0</v>
      </c>
      <c r="AN1150" s="21" t="n">
        <v>0</v>
      </c>
      <c r="AO1150" s="21" t="n">
        <v>0</v>
      </c>
      <c r="AP1150" s="21" t="n">
        <v>0</v>
      </c>
      <c r="AQ1150" s="21" t="n">
        <v>0</v>
      </c>
      <c r="AR1150" s="21" t="n">
        <v>0</v>
      </c>
      <c r="AS1150" s="21" t="n">
        <v>0</v>
      </c>
      <c r="AT1150" s="19" t="n"/>
    </row>
    <row r="1151">
      <c r="D1151" s="21" t="n">
        <v>0</v>
      </c>
      <c r="E1151" s="21" t="n">
        <v>0</v>
      </c>
      <c r="F1151" s="21" t="n">
        <v>0</v>
      </c>
      <c r="G1151" s="21" t="n">
        <v>0</v>
      </c>
      <c r="H1151" s="21" t="n">
        <v>0</v>
      </c>
      <c r="I1151" s="21" t="n">
        <v>0</v>
      </c>
      <c r="J1151" s="21" t="n">
        <v>0</v>
      </c>
      <c r="K1151" s="21" t="n">
        <v>0</v>
      </c>
      <c r="L1151" s="21" t="n">
        <v>0</v>
      </c>
      <c r="M1151" s="21" t="n">
        <v>0</v>
      </c>
      <c r="N1151" s="21" t="n">
        <v>0</v>
      </c>
      <c r="O1151" s="21" t="n">
        <v>0</v>
      </c>
      <c r="P1151" s="21" t="n">
        <v>0</v>
      </c>
      <c r="Q1151" s="21" t="n">
        <v>0</v>
      </c>
      <c r="R1151" s="21" t="n">
        <v>0</v>
      </c>
      <c r="S1151" s="21" t="n">
        <v>0</v>
      </c>
      <c r="T1151" s="21">
        <f>-$B$18</f>
        <v/>
      </c>
      <c r="U1151" s="21">
        <f>-$B$19</f>
        <v/>
      </c>
      <c r="V1151" s="21">
        <f>2*$B$18+$D$1120</f>
        <v/>
      </c>
      <c r="W1151" s="21">
        <f>0</f>
        <v/>
      </c>
      <c r="X1151" s="21">
        <f>-$B$18</f>
        <v/>
      </c>
      <c r="Y1151" s="21">
        <f>$B$19</f>
        <v/>
      </c>
      <c r="Z1151" s="21" t="n">
        <v>0</v>
      </c>
      <c r="AA1151" s="21" t="n">
        <v>0</v>
      </c>
      <c r="AB1151" s="21" t="n">
        <v>0</v>
      </c>
      <c r="AC1151" s="21" t="n">
        <v>0</v>
      </c>
      <c r="AD1151" s="21" t="n">
        <v>0</v>
      </c>
      <c r="AE1151" s="21" t="n">
        <v>0</v>
      </c>
      <c r="AF1151" s="21" t="n">
        <v>0</v>
      </c>
      <c r="AG1151" s="21" t="n">
        <v>0</v>
      </c>
      <c r="AH1151" s="21" t="n">
        <v>0</v>
      </c>
      <c r="AI1151" s="21" t="n">
        <v>0</v>
      </c>
      <c r="AJ1151" s="21" t="n">
        <v>0</v>
      </c>
      <c r="AK1151" s="21" t="n">
        <v>0</v>
      </c>
      <c r="AL1151" s="21" t="n">
        <v>0</v>
      </c>
      <c r="AM1151" s="21" t="n">
        <v>0</v>
      </c>
      <c r="AN1151" s="21" t="n">
        <v>0</v>
      </c>
      <c r="AO1151" s="21" t="n">
        <v>0</v>
      </c>
      <c r="AP1151" s="21" t="n">
        <v>0</v>
      </c>
      <c r="AQ1151" s="21" t="n">
        <v>0</v>
      </c>
      <c r="AR1151" s="21" t="n">
        <v>0</v>
      </c>
      <c r="AS1151" s="21" t="n">
        <v>0</v>
      </c>
      <c r="AT1151" s="19" t="n"/>
    </row>
    <row r="1152">
      <c r="D1152" s="21" t="n">
        <v>0</v>
      </c>
      <c r="E1152" s="21" t="n">
        <v>0</v>
      </c>
      <c r="F1152" s="21" t="n">
        <v>0</v>
      </c>
      <c r="G1152" s="21" t="n">
        <v>0</v>
      </c>
      <c r="H1152" s="21" t="n">
        <v>0</v>
      </c>
      <c r="I1152" s="21" t="n">
        <v>0</v>
      </c>
      <c r="J1152" s="21" t="n">
        <v>0</v>
      </c>
      <c r="K1152" s="21" t="n">
        <v>0</v>
      </c>
      <c r="L1152" s="21" t="n">
        <v>0</v>
      </c>
      <c r="M1152" s="21" t="n">
        <v>0</v>
      </c>
      <c r="N1152" s="21" t="n">
        <v>0</v>
      </c>
      <c r="O1152" s="21" t="n">
        <v>0</v>
      </c>
      <c r="P1152" s="21" t="n">
        <v>0</v>
      </c>
      <c r="Q1152" s="21" t="n">
        <v>0</v>
      </c>
      <c r="R1152" s="21" t="n">
        <v>0</v>
      </c>
      <c r="S1152" s="21" t="n">
        <v>0</v>
      </c>
      <c r="T1152" s="21">
        <f>$B$19</f>
        <v/>
      </c>
      <c r="U1152" s="21">
        <f>$B$21</f>
        <v/>
      </c>
      <c r="V1152" s="21">
        <f>0</f>
        <v/>
      </c>
      <c r="W1152" s="21">
        <f>2*$B$20</f>
        <v/>
      </c>
      <c r="X1152" s="21">
        <f>-$B$19</f>
        <v/>
      </c>
      <c r="Y1152" s="21">
        <f>$B$21</f>
        <v/>
      </c>
      <c r="Z1152" s="21" t="n">
        <v>0</v>
      </c>
      <c r="AA1152" s="21" t="n">
        <v>0</v>
      </c>
      <c r="AB1152" s="21" t="n">
        <v>0</v>
      </c>
      <c r="AC1152" s="21" t="n">
        <v>0</v>
      </c>
      <c r="AD1152" s="21" t="n">
        <v>0</v>
      </c>
      <c r="AE1152" s="21" t="n">
        <v>0</v>
      </c>
      <c r="AF1152" s="21" t="n">
        <v>0</v>
      </c>
      <c r="AG1152" s="21" t="n">
        <v>0</v>
      </c>
      <c r="AH1152" s="21" t="n">
        <v>0</v>
      </c>
      <c r="AI1152" s="21" t="n">
        <v>0</v>
      </c>
      <c r="AJ1152" s="21" t="n">
        <v>0</v>
      </c>
      <c r="AK1152" s="21" t="n">
        <v>0</v>
      </c>
      <c r="AL1152" s="21" t="n">
        <v>0</v>
      </c>
      <c r="AM1152" s="21" t="n">
        <v>0</v>
      </c>
      <c r="AN1152" s="21" t="n">
        <v>0</v>
      </c>
      <c r="AO1152" s="21" t="n">
        <v>0</v>
      </c>
      <c r="AP1152" s="21" t="n">
        <v>0</v>
      </c>
      <c r="AQ1152" s="21" t="n">
        <v>0</v>
      </c>
      <c r="AR1152" s="21" t="n">
        <v>0</v>
      </c>
      <c r="AS1152" s="21" t="n">
        <v>0</v>
      </c>
      <c r="AT1152" s="19" t="n"/>
    </row>
    <row r="1153">
      <c r="D1153" s="21" t="n">
        <v>0</v>
      </c>
      <c r="E1153" s="21" t="n">
        <v>0</v>
      </c>
      <c r="F1153" s="21" t="n">
        <v>0</v>
      </c>
      <c r="G1153" s="21" t="n">
        <v>0</v>
      </c>
      <c r="H1153" s="21" t="n">
        <v>0</v>
      </c>
      <c r="I1153" s="21" t="n">
        <v>0</v>
      </c>
      <c r="J1153" s="21" t="n">
        <v>0</v>
      </c>
      <c r="K1153" s="21" t="n">
        <v>0</v>
      </c>
      <c r="L1153" s="21" t="n">
        <v>0</v>
      </c>
      <c r="M1153" s="21" t="n">
        <v>0</v>
      </c>
      <c r="N1153" s="21" t="n">
        <v>0</v>
      </c>
      <c r="O1153" s="21" t="n">
        <v>0</v>
      </c>
      <c r="P1153" s="21" t="n">
        <v>0</v>
      </c>
      <c r="Q1153" s="21" t="n">
        <v>0</v>
      </c>
      <c r="R1153" s="21" t="n">
        <v>0</v>
      </c>
      <c r="S1153" s="21" t="n">
        <v>0</v>
      </c>
      <c r="T1153" s="21" t="n">
        <v>0</v>
      </c>
      <c r="U1153" s="21" t="n">
        <v>0</v>
      </c>
      <c r="V1153" s="21">
        <f>-$B$18</f>
        <v/>
      </c>
      <c r="W1153" s="21">
        <f>-$B$19</f>
        <v/>
      </c>
      <c r="X1153" s="21">
        <f>2*$B$18+$D$1121</f>
        <v/>
      </c>
      <c r="Y1153" s="21">
        <f>0</f>
        <v/>
      </c>
      <c r="Z1153" s="21">
        <f>-$B$18</f>
        <v/>
      </c>
      <c r="AA1153" s="21">
        <f>$B$19</f>
        <v/>
      </c>
      <c r="AB1153" s="21" t="n">
        <v>0</v>
      </c>
      <c r="AC1153" s="21" t="n">
        <v>0</v>
      </c>
      <c r="AD1153" s="21" t="n">
        <v>0</v>
      </c>
      <c r="AE1153" s="21" t="n">
        <v>0</v>
      </c>
      <c r="AF1153" s="21" t="n">
        <v>0</v>
      </c>
      <c r="AG1153" s="21" t="n">
        <v>0</v>
      </c>
      <c r="AH1153" s="21" t="n">
        <v>0</v>
      </c>
      <c r="AI1153" s="21" t="n">
        <v>0</v>
      </c>
      <c r="AJ1153" s="21" t="n">
        <v>0</v>
      </c>
      <c r="AK1153" s="21" t="n">
        <v>0</v>
      </c>
      <c r="AL1153" s="21" t="n">
        <v>0</v>
      </c>
      <c r="AM1153" s="21" t="n">
        <v>0</v>
      </c>
      <c r="AN1153" s="21" t="n">
        <v>0</v>
      </c>
      <c r="AO1153" s="21" t="n">
        <v>0</v>
      </c>
      <c r="AP1153" s="21" t="n">
        <v>0</v>
      </c>
      <c r="AQ1153" s="21" t="n">
        <v>0</v>
      </c>
      <c r="AR1153" s="21" t="n">
        <v>0</v>
      </c>
      <c r="AS1153" s="21" t="n">
        <v>0</v>
      </c>
      <c r="AT1153" s="19" t="n"/>
    </row>
    <row r="1154">
      <c r="D1154" s="21" t="n">
        <v>0</v>
      </c>
      <c r="E1154" s="21" t="n">
        <v>0</v>
      </c>
      <c r="F1154" s="21" t="n">
        <v>0</v>
      </c>
      <c r="G1154" s="21" t="n">
        <v>0</v>
      </c>
      <c r="H1154" s="21" t="n">
        <v>0</v>
      </c>
      <c r="I1154" s="21" t="n">
        <v>0</v>
      </c>
      <c r="J1154" s="21" t="n">
        <v>0</v>
      </c>
      <c r="K1154" s="21" t="n">
        <v>0</v>
      </c>
      <c r="L1154" s="21" t="n">
        <v>0</v>
      </c>
      <c r="M1154" s="21" t="n">
        <v>0</v>
      </c>
      <c r="N1154" s="21" t="n">
        <v>0</v>
      </c>
      <c r="O1154" s="21" t="n">
        <v>0</v>
      </c>
      <c r="P1154" s="21" t="n">
        <v>0</v>
      </c>
      <c r="Q1154" s="21" t="n">
        <v>0</v>
      </c>
      <c r="R1154" s="21" t="n">
        <v>0</v>
      </c>
      <c r="S1154" s="21" t="n">
        <v>0</v>
      </c>
      <c r="T1154" s="21" t="n">
        <v>0</v>
      </c>
      <c r="U1154" s="21" t="n">
        <v>0</v>
      </c>
      <c r="V1154" s="21">
        <f>$B$19</f>
        <v/>
      </c>
      <c r="W1154" s="21">
        <f>$B$21</f>
        <v/>
      </c>
      <c r="X1154" s="21">
        <f>0</f>
        <v/>
      </c>
      <c r="Y1154" s="21">
        <f>2*$B$20</f>
        <v/>
      </c>
      <c r="Z1154" s="21">
        <f>-$B$19</f>
        <v/>
      </c>
      <c r="AA1154" s="21">
        <f>$B$21</f>
        <v/>
      </c>
      <c r="AB1154" s="21" t="n">
        <v>0</v>
      </c>
      <c r="AC1154" s="21" t="n">
        <v>0</v>
      </c>
      <c r="AD1154" s="21" t="n">
        <v>0</v>
      </c>
      <c r="AE1154" s="21" t="n">
        <v>0</v>
      </c>
      <c r="AF1154" s="21" t="n">
        <v>0</v>
      </c>
      <c r="AG1154" s="21" t="n">
        <v>0</v>
      </c>
      <c r="AH1154" s="21" t="n">
        <v>0</v>
      </c>
      <c r="AI1154" s="21" t="n">
        <v>0</v>
      </c>
      <c r="AJ1154" s="21" t="n">
        <v>0</v>
      </c>
      <c r="AK1154" s="21" t="n">
        <v>0</v>
      </c>
      <c r="AL1154" s="21" t="n">
        <v>0</v>
      </c>
      <c r="AM1154" s="21" t="n">
        <v>0</v>
      </c>
      <c r="AN1154" s="21" t="n">
        <v>0</v>
      </c>
      <c r="AO1154" s="21" t="n">
        <v>0</v>
      </c>
      <c r="AP1154" s="21" t="n">
        <v>0</v>
      </c>
      <c r="AQ1154" s="21" t="n">
        <v>0</v>
      </c>
      <c r="AR1154" s="21" t="n">
        <v>0</v>
      </c>
      <c r="AS1154" s="21" t="n">
        <v>0</v>
      </c>
      <c r="AT1154" s="19" t="n"/>
    </row>
    <row r="1155">
      <c r="D1155" s="21" t="n">
        <v>0</v>
      </c>
      <c r="E1155" s="21" t="n">
        <v>0</v>
      </c>
      <c r="F1155" s="21" t="n">
        <v>0</v>
      </c>
      <c r="G1155" s="21" t="n">
        <v>0</v>
      </c>
      <c r="H1155" s="21" t="n">
        <v>0</v>
      </c>
      <c r="I1155" s="21" t="n">
        <v>0</v>
      </c>
      <c r="J1155" s="21" t="n">
        <v>0</v>
      </c>
      <c r="K1155" s="21" t="n">
        <v>0</v>
      </c>
      <c r="L1155" s="21" t="n">
        <v>0</v>
      </c>
      <c r="M1155" s="21" t="n">
        <v>0</v>
      </c>
      <c r="N1155" s="21" t="n">
        <v>0</v>
      </c>
      <c r="O1155" s="21" t="n">
        <v>0</v>
      </c>
      <c r="P1155" s="21" t="n">
        <v>0</v>
      </c>
      <c r="Q1155" s="21" t="n">
        <v>0</v>
      </c>
      <c r="R1155" s="21" t="n">
        <v>0</v>
      </c>
      <c r="S1155" s="21" t="n">
        <v>0</v>
      </c>
      <c r="T1155" s="21" t="n">
        <v>0</v>
      </c>
      <c r="U1155" s="21" t="n">
        <v>0</v>
      </c>
      <c r="V1155" s="21" t="n">
        <v>0</v>
      </c>
      <c r="W1155" s="21" t="n">
        <v>0</v>
      </c>
      <c r="X1155" s="21">
        <f>-$B$18</f>
        <v/>
      </c>
      <c r="Y1155" s="21">
        <f>-$B$19</f>
        <v/>
      </c>
      <c r="Z1155" s="21">
        <f>2*$B$18+$D$1122</f>
        <v/>
      </c>
      <c r="AA1155" s="21">
        <f>0</f>
        <v/>
      </c>
      <c r="AB1155" s="21">
        <f>-$B$18</f>
        <v/>
      </c>
      <c r="AC1155" s="21">
        <f>$B$19</f>
        <v/>
      </c>
      <c r="AD1155" s="21" t="n">
        <v>0</v>
      </c>
      <c r="AE1155" s="21" t="n">
        <v>0</v>
      </c>
      <c r="AF1155" s="21" t="n">
        <v>0</v>
      </c>
      <c r="AG1155" s="21" t="n">
        <v>0</v>
      </c>
      <c r="AH1155" s="21" t="n">
        <v>0</v>
      </c>
      <c r="AI1155" s="21" t="n">
        <v>0</v>
      </c>
      <c r="AJ1155" s="21" t="n">
        <v>0</v>
      </c>
      <c r="AK1155" s="21" t="n">
        <v>0</v>
      </c>
      <c r="AL1155" s="21" t="n">
        <v>0</v>
      </c>
      <c r="AM1155" s="21" t="n">
        <v>0</v>
      </c>
      <c r="AN1155" s="21" t="n">
        <v>0</v>
      </c>
      <c r="AO1155" s="21" t="n">
        <v>0</v>
      </c>
      <c r="AP1155" s="21" t="n">
        <v>0</v>
      </c>
      <c r="AQ1155" s="21" t="n">
        <v>0</v>
      </c>
      <c r="AR1155" s="21" t="n">
        <v>0</v>
      </c>
      <c r="AS1155" s="21" t="n">
        <v>0</v>
      </c>
      <c r="AT1155" s="19" t="n"/>
    </row>
    <row r="1156">
      <c r="D1156" s="21" t="n">
        <v>0</v>
      </c>
      <c r="E1156" s="21" t="n">
        <v>0</v>
      </c>
      <c r="F1156" s="21" t="n">
        <v>0</v>
      </c>
      <c r="G1156" s="21" t="n">
        <v>0</v>
      </c>
      <c r="H1156" s="21" t="n">
        <v>0</v>
      </c>
      <c r="I1156" s="21" t="n">
        <v>0</v>
      </c>
      <c r="J1156" s="21" t="n">
        <v>0</v>
      </c>
      <c r="K1156" s="21" t="n">
        <v>0</v>
      </c>
      <c r="L1156" s="21" t="n">
        <v>0</v>
      </c>
      <c r="M1156" s="21" t="n">
        <v>0</v>
      </c>
      <c r="N1156" s="21" t="n">
        <v>0</v>
      </c>
      <c r="O1156" s="21" t="n">
        <v>0</v>
      </c>
      <c r="P1156" s="21" t="n">
        <v>0</v>
      </c>
      <c r="Q1156" s="21" t="n">
        <v>0</v>
      </c>
      <c r="R1156" s="21" t="n">
        <v>0</v>
      </c>
      <c r="S1156" s="21" t="n">
        <v>0</v>
      </c>
      <c r="T1156" s="21" t="n">
        <v>0</v>
      </c>
      <c r="U1156" s="21" t="n">
        <v>0</v>
      </c>
      <c r="V1156" s="21" t="n">
        <v>0</v>
      </c>
      <c r="W1156" s="21" t="n">
        <v>0</v>
      </c>
      <c r="X1156" s="21">
        <f>$B$19</f>
        <v/>
      </c>
      <c r="Y1156" s="21">
        <f>$B$21</f>
        <v/>
      </c>
      <c r="Z1156" s="21">
        <f>0</f>
        <v/>
      </c>
      <c r="AA1156" s="21">
        <f>2*$B$20</f>
        <v/>
      </c>
      <c r="AB1156" s="21">
        <f>-$B$19</f>
        <v/>
      </c>
      <c r="AC1156" s="21">
        <f>$B$21</f>
        <v/>
      </c>
      <c r="AD1156" s="21" t="n">
        <v>0</v>
      </c>
      <c r="AE1156" s="21" t="n">
        <v>0</v>
      </c>
      <c r="AF1156" s="21" t="n">
        <v>0</v>
      </c>
      <c r="AG1156" s="21" t="n">
        <v>0</v>
      </c>
      <c r="AH1156" s="21" t="n">
        <v>0</v>
      </c>
      <c r="AI1156" s="21" t="n">
        <v>0</v>
      </c>
      <c r="AJ1156" s="21" t="n">
        <v>0</v>
      </c>
      <c r="AK1156" s="21" t="n">
        <v>0</v>
      </c>
      <c r="AL1156" s="21" t="n">
        <v>0</v>
      </c>
      <c r="AM1156" s="21" t="n">
        <v>0</v>
      </c>
      <c r="AN1156" s="21" t="n">
        <v>0</v>
      </c>
      <c r="AO1156" s="21" t="n">
        <v>0</v>
      </c>
      <c r="AP1156" s="21" t="n">
        <v>0</v>
      </c>
      <c r="AQ1156" s="21" t="n">
        <v>0</v>
      </c>
      <c r="AR1156" s="21" t="n">
        <v>0</v>
      </c>
      <c r="AS1156" s="21" t="n">
        <v>0</v>
      </c>
      <c r="AT1156" s="19" t="n"/>
    </row>
    <row r="1157">
      <c r="D1157" s="21" t="n">
        <v>0</v>
      </c>
      <c r="E1157" s="21" t="n">
        <v>0</v>
      </c>
      <c r="F1157" s="21" t="n">
        <v>0</v>
      </c>
      <c r="G1157" s="21" t="n">
        <v>0</v>
      </c>
      <c r="H1157" s="21" t="n">
        <v>0</v>
      </c>
      <c r="I1157" s="21" t="n">
        <v>0</v>
      </c>
      <c r="J1157" s="21" t="n">
        <v>0</v>
      </c>
      <c r="K1157" s="21" t="n">
        <v>0</v>
      </c>
      <c r="L1157" s="21" t="n">
        <v>0</v>
      </c>
      <c r="M1157" s="21" t="n">
        <v>0</v>
      </c>
      <c r="N1157" s="21" t="n">
        <v>0</v>
      </c>
      <c r="O1157" s="21" t="n">
        <v>0</v>
      </c>
      <c r="P1157" s="21" t="n">
        <v>0</v>
      </c>
      <c r="Q1157" s="21" t="n">
        <v>0</v>
      </c>
      <c r="R1157" s="21" t="n">
        <v>0</v>
      </c>
      <c r="S1157" s="21" t="n">
        <v>0</v>
      </c>
      <c r="T1157" s="21" t="n">
        <v>0</v>
      </c>
      <c r="U1157" s="21" t="n">
        <v>0</v>
      </c>
      <c r="V1157" s="21" t="n">
        <v>0</v>
      </c>
      <c r="W1157" s="21" t="n">
        <v>0</v>
      </c>
      <c r="X1157" s="21" t="n">
        <v>0</v>
      </c>
      <c r="Y1157" s="21" t="n">
        <v>0</v>
      </c>
      <c r="Z1157" s="21">
        <f>-$B$18</f>
        <v/>
      </c>
      <c r="AA1157" s="21">
        <f>-$B$19</f>
        <v/>
      </c>
      <c r="AB1157" s="21">
        <f>2*$B$18+$D$1123</f>
        <v/>
      </c>
      <c r="AC1157" s="21">
        <f>0</f>
        <v/>
      </c>
      <c r="AD1157" s="21">
        <f>-$B$18</f>
        <v/>
      </c>
      <c r="AE1157" s="21">
        <f>$B$19</f>
        <v/>
      </c>
      <c r="AF1157" s="21" t="n">
        <v>0</v>
      </c>
      <c r="AG1157" s="21" t="n">
        <v>0</v>
      </c>
      <c r="AH1157" s="21" t="n">
        <v>0</v>
      </c>
      <c r="AI1157" s="21" t="n">
        <v>0</v>
      </c>
      <c r="AJ1157" s="21" t="n">
        <v>0</v>
      </c>
      <c r="AK1157" s="21" t="n">
        <v>0</v>
      </c>
      <c r="AL1157" s="21" t="n">
        <v>0</v>
      </c>
      <c r="AM1157" s="21" t="n">
        <v>0</v>
      </c>
      <c r="AN1157" s="21" t="n">
        <v>0</v>
      </c>
      <c r="AO1157" s="21" t="n">
        <v>0</v>
      </c>
      <c r="AP1157" s="21" t="n">
        <v>0</v>
      </c>
      <c r="AQ1157" s="21" t="n">
        <v>0</v>
      </c>
      <c r="AR1157" s="21" t="n">
        <v>0</v>
      </c>
      <c r="AS1157" s="21" t="n">
        <v>0</v>
      </c>
      <c r="AT1157" s="19" t="n"/>
    </row>
    <row r="1158">
      <c r="D1158" s="21" t="n">
        <v>0</v>
      </c>
      <c r="E1158" s="21" t="n">
        <v>0</v>
      </c>
      <c r="F1158" s="21" t="n">
        <v>0</v>
      </c>
      <c r="G1158" s="21" t="n">
        <v>0</v>
      </c>
      <c r="H1158" s="21" t="n">
        <v>0</v>
      </c>
      <c r="I1158" s="21" t="n">
        <v>0</v>
      </c>
      <c r="J1158" s="21" t="n">
        <v>0</v>
      </c>
      <c r="K1158" s="21" t="n">
        <v>0</v>
      </c>
      <c r="L1158" s="21" t="n">
        <v>0</v>
      </c>
      <c r="M1158" s="21" t="n">
        <v>0</v>
      </c>
      <c r="N1158" s="21" t="n">
        <v>0</v>
      </c>
      <c r="O1158" s="21" t="n">
        <v>0</v>
      </c>
      <c r="P1158" s="21" t="n">
        <v>0</v>
      </c>
      <c r="Q1158" s="21" t="n">
        <v>0</v>
      </c>
      <c r="R1158" s="21" t="n">
        <v>0</v>
      </c>
      <c r="S1158" s="21" t="n">
        <v>0</v>
      </c>
      <c r="T1158" s="21" t="n">
        <v>0</v>
      </c>
      <c r="U1158" s="21" t="n">
        <v>0</v>
      </c>
      <c r="V1158" s="21" t="n">
        <v>0</v>
      </c>
      <c r="W1158" s="21" t="n">
        <v>0</v>
      </c>
      <c r="X1158" s="21" t="n">
        <v>0</v>
      </c>
      <c r="Y1158" s="21" t="n">
        <v>0</v>
      </c>
      <c r="Z1158" s="21">
        <f>$B$19</f>
        <v/>
      </c>
      <c r="AA1158" s="21">
        <f>$B$21</f>
        <v/>
      </c>
      <c r="AB1158" s="21">
        <f>0</f>
        <v/>
      </c>
      <c r="AC1158" s="21">
        <f>2*$B$20</f>
        <v/>
      </c>
      <c r="AD1158" s="21">
        <f>-$B$19</f>
        <v/>
      </c>
      <c r="AE1158" s="21">
        <f>$B$21</f>
        <v/>
      </c>
      <c r="AF1158" s="21" t="n">
        <v>0</v>
      </c>
      <c r="AG1158" s="21" t="n">
        <v>0</v>
      </c>
      <c r="AH1158" s="21" t="n">
        <v>0</v>
      </c>
      <c r="AI1158" s="21" t="n">
        <v>0</v>
      </c>
      <c r="AJ1158" s="21" t="n">
        <v>0</v>
      </c>
      <c r="AK1158" s="21" t="n">
        <v>0</v>
      </c>
      <c r="AL1158" s="21" t="n">
        <v>0</v>
      </c>
      <c r="AM1158" s="21" t="n">
        <v>0</v>
      </c>
      <c r="AN1158" s="21" t="n">
        <v>0</v>
      </c>
      <c r="AO1158" s="21" t="n">
        <v>0</v>
      </c>
      <c r="AP1158" s="21" t="n">
        <v>0</v>
      </c>
      <c r="AQ1158" s="21" t="n">
        <v>0</v>
      </c>
      <c r="AR1158" s="21" t="n">
        <v>0</v>
      </c>
      <c r="AS1158" s="21" t="n">
        <v>0</v>
      </c>
      <c r="AT1158" s="19" t="n"/>
    </row>
    <row r="1159">
      <c r="D1159" s="21" t="n">
        <v>0</v>
      </c>
      <c r="E1159" s="21" t="n">
        <v>0</v>
      </c>
      <c r="F1159" s="21" t="n">
        <v>0</v>
      </c>
      <c r="G1159" s="21" t="n">
        <v>0</v>
      </c>
      <c r="H1159" s="21" t="n">
        <v>0</v>
      </c>
      <c r="I1159" s="21" t="n">
        <v>0</v>
      </c>
      <c r="J1159" s="21" t="n">
        <v>0</v>
      </c>
      <c r="K1159" s="21" t="n">
        <v>0</v>
      </c>
      <c r="L1159" s="21" t="n">
        <v>0</v>
      </c>
      <c r="M1159" s="21" t="n">
        <v>0</v>
      </c>
      <c r="N1159" s="21" t="n">
        <v>0</v>
      </c>
      <c r="O1159" s="21" t="n">
        <v>0</v>
      </c>
      <c r="P1159" s="21" t="n">
        <v>0</v>
      </c>
      <c r="Q1159" s="21" t="n">
        <v>0</v>
      </c>
      <c r="R1159" s="21" t="n">
        <v>0</v>
      </c>
      <c r="S1159" s="21" t="n">
        <v>0</v>
      </c>
      <c r="T1159" s="21" t="n">
        <v>0</v>
      </c>
      <c r="U1159" s="21" t="n">
        <v>0</v>
      </c>
      <c r="V1159" s="21" t="n">
        <v>0</v>
      </c>
      <c r="W1159" s="21" t="n">
        <v>0</v>
      </c>
      <c r="X1159" s="21" t="n">
        <v>0</v>
      </c>
      <c r="Y1159" s="21" t="n">
        <v>0</v>
      </c>
      <c r="Z1159" s="21" t="n">
        <v>0</v>
      </c>
      <c r="AA1159" s="21" t="n">
        <v>0</v>
      </c>
      <c r="AB1159" s="21">
        <f>-$B$18</f>
        <v/>
      </c>
      <c r="AC1159" s="21">
        <f>-$B$19</f>
        <v/>
      </c>
      <c r="AD1159" s="21">
        <f>2*$B$18+$D$1124</f>
        <v/>
      </c>
      <c r="AE1159" s="21">
        <f>0</f>
        <v/>
      </c>
      <c r="AF1159" s="21">
        <f>-$B$18</f>
        <v/>
      </c>
      <c r="AG1159" s="21">
        <f>$B$19</f>
        <v/>
      </c>
      <c r="AH1159" s="21" t="n">
        <v>0</v>
      </c>
      <c r="AI1159" s="21" t="n">
        <v>0</v>
      </c>
      <c r="AJ1159" s="21" t="n">
        <v>0</v>
      </c>
      <c r="AK1159" s="21" t="n">
        <v>0</v>
      </c>
      <c r="AL1159" s="21" t="n">
        <v>0</v>
      </c>
      <c r="AM1159" s="21" t="n">
        <v>0</v>
      </c>
      <c r="AN1159" s="21" t="n">
        <v>0</v>
      </c>
      <c r="AO1159" s="21" t="n">
        <v>0</v>
      </c>
      <c r="AP1159" s="21" t="n">
        <v>0</v>
      </c>
      <c r="AQ1159" s="21" t="n">
        <v>0</v>
      </c>
      <c r="AR1159" s="21" t="n">
        <v>0</v>
      </c>
      <c r="AS1159" s="21" t="n">
        <v>0</v>
      </c>
      <c r="AT1159" s="19" t="n"/>
    </row>
    <row r="1160">
      <c r="D1160" s="21" t="n">
        <v>0</v>
      </c>
      <c r="E1160" s="21" t="n">
        <v>0</v>
      </c>
      <c r="F1160" s="21" t="n">
        <v>0</v>
      </c>
      <c r="G1160" s="21" t="n">
        <v>0</v>
      </c>
      <c r="H1160" s="21" t="n">
        <v>0</v>
      </c>
      <c r="I1160" s="21" t="n">
        <v>0</v>
      </c>
      <c r="J1160" s="21" t="n">
        <v>0</v>
      </c>
      <c r="K1160" s="21" t="n">
        <v>0</v>
      </c>
      <c r="L1160" s="21" t="n">
        <v>0</v>
      </c>
      <c r="M1160" s="21" t="n">
        <v>0</v>
      </c>
      <c r="N1160" s="21" t="n">
        <v>0</v>
      </c>
      <c r="O1160" s="21" t="n">
        <v>0</v>
      </c>
      <c r="P1160" s="21" t="n">
        <v>0</v>
      </c>
      <c r="Q1160" s="21" t="n">
        <v>0</v>
      </c>
      <c r="R1160" s="21" t="n">
        <v>0</v>
      </c>
      <c r="S1160" s="21" t="n">
        <v>0</v>
      </c>
      <c r="T1160" s="21" t="n">
        <v>0</v>
      </c>
      <c r="U1160" s="21" t="n">
        <v>0</v>
      </c>
      <c r="V1160" s="21" t="n">
        <v>0</v>
      </c>
      <c r="W1160" s="21" t="n">
        <v>0</v>
      </c>
      <c r="X1160" s="21" t="n">
        <v>0</v>
      </c>
      <c r="Y1160" s="21" t="n">
        <v>0</v>
      </c>
      <c r="Z1160" s="21" t="n">
        <v>0</v>
      </c>
      <c r="AA1160" s="21" t="n">
        <v>0</v>
      </c>
      <c r="AB1160" s="21">
        <f>$B$19</f>
        <v/>
      </c>
      <c r="AC1160" s="21">
        <f>$B$21</f>
        <v/>
      </c>
      <c r="AD1160" s="21">
        <f>0</f>
        <v/>
      </c>
      <c r="AE1160" s="21">
        <f>2*$B$20</f>
        <v/>
      </c>
      <c r="AF1160" s="21">
        <f>-$B$19</f>
        <v/>
      </c>
      <c r="AG1160" s="21">
        <f>$B$21</f>
        <v/>
      </c>
      <c r="AH1160" s="21" t="n">
        <v>0</v>
      </c>
      <c r="AI1160" s="21" t="n">
        <v>0</v>
      </c>
      <c r="AJ1160" s="21" t="n">
        <v>0</v>
      </c>
      <c r="AK1160" s="21" t="n">
        <v>0</v>
      </c>
      <c r="AL1160" s="21" t="n">
        <v>0</v>
      </c>
      <c r="AM1160" s="21" t="n">
        <v>0</v>
      </c>
      <c r="AN1160" s="21" t="n">
        <v>0</v>
      </c>
      <c r="AO1160" s="21" t="n">
        <v>0</v>
      </c>
      <c r="AP1160" s="21" t="n">
        <v>0</v>
      </c>
      <c r="AQ1160" s="21" t="n">
        <v>0</v>
      </c>
      <c r="AR1160" s="21" t="n">
        <v>0</v>
      </c>
      <c r="AS1160" s="21" t="n">
        <v>0</v>
      </c>
      <c r="AT1160" s="19" t="n"/>
    </row>
    <row r="1161">
      <c r="D1161" s="21" t="n">
        <v>0</v>
      </c>
      <c r="E1161" s="21" t="n">
        <v>0</v>
      </c>
      <c r="F1161" s="21" t="n">
        <v>0</v>
      </c>
      <c r="G1161" s="21" t="n">
        <v>0</v>
      </c>
      <c r="H1161" s="21" t="n">
        <v>0</v>
      </c>
      <c r="I1161" s="21" t="n">
        <v>0</v>
      </c>
      <c r="J1161" s="21" t="n">
        <v>0</v>
      </c>
      <c r="K1161" s="21" t="n">
        <v>0</v>
      </c>
      <c r="L1161" s="21" t="n">
        <v>0</v>
      </c>
      <c r="M1161" s="21" t="n">
        <v>0</v>
      </c>
      <c r="N1161" s="21" t="n">
        <v>0</v>
      </c>
      <c r="O1161" s="21" t="n">
        <v>0</v>
      </c>
      <c r="P1161" s="21" t="n">
        <v>0</v>
      </c>
      <c r="Q1161" s="21" t="n">
        <v>0</v>
      </c>
      <c r="R1161" s="21" t="n">
        <v>0</v>
      </c>
      <c r="S1161" s="21" t="n">
        <v>0</v>
      </c>
      <c r="T1161" s="21" t="n">
        <v>0</v>
      </c>
      <c r="U1161" s="21" t="n">
        <v>0</v>
      </c>
      <c r="V1161" s="21" t="n">
        <v>0</v>
      </c>
      <c r="W1161" s="21" t="n">
        <v>0</v>
      </c>
      <c r="X1161" s="21" t="n">
        <v>0</v>
      </c>
      <c r="Y1161" s="21" t="n">
        <v>0</v>
      </c>
      <c r="Z1161" s="21" t="n">
        <v>0</v>
      </c>
      <c r="AA1161" s="21" t="n">
        <v>0</v>
      </c>
      <c r="AB1161" s="21" t="n">
        <v>0</v>
      </c>
      <c r="AC1161" s="21" t="n">
        <v>0</v>
      </c>
      <c r="AD1161" s="21">
        <f>-$B$18</f>
        <v/>
      </c>
      <c r="AE1161" s="21">
        <f>-$B$19</f>
        <v/>
      </c>
      <c r="AF1161" s="21">
        <f>2*$B$18+$D$1125</f>
        <v/>
      </c>
      <c r="AG1161" s="21">
        <f>0</f>
        <v/>
      </c>
      <c r="AH1161" s="21">
        <f>-$B$18</f>
        <v/>
      </c>
      <c r="AI1161" s="21">
        <f>$B$19</f>
        <v/>
      </c>
      <c r="AJ1161" s="21" t="n">
        <v>0</v>
      </c>
      <c r="AK1161" s="21" t="n">
        <v>0</v>
      </c>
      <c r="AL1161" s="21" t="n">
        <v>0</v>
      </c>
      <c r="AM1161" s="21" t="n">
        <v>0</v>
      </c>
      <c r="AN1161" s="21" t="n">
        <v>0</v>
      </c>
      <c r="AO1161" s="21" t="n">
        <v>0</v>
      </c>
      <c r="AP1161" s="21" t="n">
        <v>0</v>
      </c>
      <c r="AQ1161" s="21" t="n">
        <v>0</v>
      </c>
      <c r="AR1161" s="21" t="n">
        <v>0</v>
      </c>
      <c r="AS1161" s="21" t="n">
        <v>0</v>
      </c>
      <c r="AT1161" s="19" t="n"/>
    </row>
    <row r="1162">
      <c r="D1162" s="21" t="n">
        <v>0</v>
      </c>
      <c r="E1162" s="21" t="n">
        <v>0</v>
      </c>
      <c r="F1162" s="21" t="n">
        <v>0</v>
      </c>
      <c r="G1162" s="21" t="n">
        <v>0</v>
      </c>
      <c r="H1162" s="21" t="n">
        <v>0</v>
      </c>
      <c r="I1162" s="21" t="n">
        <v>0</v>
      </c>
      <c r="J1162" s="21" t="n">
        <v>0</v>
      </c>
      <c r="K1162" s="21" t="n">
        <v>0</v>
      </c>
      <c r="L1162" s="21" t="n">
        <v>0</v>
      </c>
      <c r="M1162" s="21" t="n">
        <v>0</v>
      </c>
      <c r="N1162" s="21" t="n">
        <v>0</v>
      </c>
      <c r="O1162" s="21" t="n">
        <v>0</v>
      </c>
      <c r="P1162" s="21" t="n">
        <v>0</v>
      </c>
      <c r="Q1162" s="21" t="n">
        <v>0</v>
      </c>
      <c r="R1162" s="21" t="n">
        <v>0</v>
      </c>
      <c r="S1162" s="21" t="n">
        <v>0</v>
      </c>
      <c r="T1162" s="21" t="n">
        <v>0</v>
      </c>
      <c r="U1162" s="21" t="n">
        <v>0</v>
      </c>
      <c r="V1162" s="21" t="n">
        <v>0</v>
      </c>
      <c r="W1162" s="21" t="n">
        <v>0</v>
      </c>
      <c r="X1162" s="21" t="n">
        <v>0</v>
      </c>
      <c r="Y1162" s="21" t="n">
        <v>0</v>
      </c>
      <c r="Z1162" s="21" t="n">
        <v>0</v>
      </c>
      <c r="AA1162" s="21" t="n">
        <v>0</v>
      </c>
      <c r="AB1162" s="21" t="n">
        <v>0</v>
      </c>
      <c r="AC1162" s="21" t="n">
        <v>0</v>
      </c>
      <c r="AD1162" s="21">
        <f>$B$19</f>
        <v/>
      </c>
      <c r="AE1162" s="21">
        <f>$B$21</f>
        <v/>
      </c>
      <c r="AF1162" s="21">
        <f>0</f>
        <v/>
      </c>
      <c r="AG1162" s="21">
        <f>2*$B$20</f>
        <v/>
      </c>
      <c r="AH1162" s="21">
        <f>-$B$19</f>
        <v/>
      </c>
      <c r="AI1162" s="21">
        <f>$B$21</f>
        <v/>
      </c>
      <c r="AJ1162" s="21" t="n">
        <v>0</v>
      </c>
      <c r="AK1162" s="21" t="n">
        <v>0</v>
      </c>
      <c r="AL1162" s="21" t="n">
        <v>0</v>
      </c>
      <c r="AM1162" s="21" t="n">
        <v>0</v>
      </c>
      <c r="AN1162" s="21" t="n">
        <v>0</v>
      </c>
      <c r="AO1162" s="21" t="n">
        <v>0</v>
      </c>
      <c r="AP1162" s="21" t="n">
        <v>0</v>
      </c>
      <c r="AQ1162" s="21" t="n">
        <v>0</v>
      </c>
      <c r="AR1162" s="21" t="n">
        <v>0</v>
      </c>
      <c r="AS1162" s="21" t="n">
        <v>0</v>
      </c>
      <c r="AT1162" s="19" t="n"/>
    </row>
    <row r="1163">
      <c r="D1163" s="21" t="n">
        <v>0</v>
      </c>
      <c r="E1163" s="21" t="n">
        <v>0</v>
      </c>
      <c r="F1163" s="21" t="n">
        <v>0</v>
      </c>
      <c r="G1163" s="21" t="n">
        <v>0</v>
      </c>
      <c r="H1163" s="21" t="n">
        <v>0</v>
      </c>
      <c r="I1163" s="21" t="n">
        <v>0</v>
      </c>
      <c r="J1163" s="21" t="n">
        <v>0</v>
      </c>
      <c r="K1163" s="21" t="n">
        <v>0</v>
      </c>
      <c r="L1163" s="21" t="n">
        <v>0</v>
      </c>
      <c r="M1163" s="21" t="n">
        <v>0</v>
      </c>
      <c r="N1163" s="21" t="n">
        <v>0</v>
      </c>
      <c r="O1163" s="21" t="n">
        <v>0</v>
      </c>
      <c r="P1163" s="21" t="n">
        <v>0</v>
      </c>
      <c r="Q1163" s="21" t="n">
        <v>0</v>
      </c>
      <c r="R1163" s="21" t="n">
        <v>0</v>
      </c>
      <c r="S1163" s="21" t="n">
        <v>0</v>
      </c>
      <c r="T1163" s="21" t="n">
        <v>0</v>
      </c>
      <c r="U1163" s="21" t="n">
        <v>0</v>
      </c>
      <c r="V1163" s="21" t="n">
        <v>0</v>
      </c>
      <c r="W1163" s="21" t="n">
        <v>0</v>
      </c>
      <c r="X1163" s="21" t="n">
        <v>0</v>
      </c>
      <c r="Y1163" s="21" t="n">
        <v>0</v>
      </c>
      <c r="Z1163" s="21" t="n">
        <v>0</v>
      </c>
      <c r="AA1163" s="21" t="n">
        <v>0</v>
      </c>
      <c r="AB1163" s="21" t="n">
        <v>0</v>
      </c>
      <c r="AC1163" s="21" t="n">
        <v>0</v>
      </c>
      <c r="AD1163" s="21" t="n">
        <v>0</v>
      </c>
      <c r="AE1163" s="21" t="n">
        <v>0</v>
      </c>
      <c r="AF1163" s="21">
        <f>-$B$18</f>
        <v/>
      </c>
      <c r="AG1163" s="21">
        <f>-$B$19</f>
        <v/>
      </c>
      <c r="AH1163" s="21">
        <f>2*$B$18+$D$1126</f>
        <v/>
      </c>
      <c r="AI1163" s="21">
        <f>0</f>
        <v/>
      </c>
      <c r="AJ1163" s="21">
        <f>-$B$18</f>
        <v/>
      </c>
      <c r="AK1163" s="21">
        <f>$B$19</f>
        <v/>
      </c>
      <c r="AL1163" s="21" t="n">
        <v>0</v>
      </c>
      <c r="AM1163" s="21" t="n">
        <v>0</v>
      </c>
      <c r="AN1163" s="21" t="n">
        <v>0</v>
      </c>
      <c r="AO1163" s="21" t="n">
        <v>0</v>
      </c>
      <c r="AP1163" s="21" t="n">
        <v>0</v>
      </c>
      <c r="AQ1163" s="21" t="n">
        <v>0</v>
      </c>
      <c r="AR1163" s="21" t="n">
        <v>0</v>
      </c>
      <c r="AS1163" s="21" t="n">
        <v>0</v>
      </c>
      <c r="AT1163" s="19" t="n"/>
    </row>
    <row r="1164">
      <c r="D1164" s="21" t="n">
        <v>0</v>
      </c>
      <c r="E1164" s="21" t="n">
        <v>0</v>
      </c>
      <c r="F1164" s="21" t="n">
        <v>0</v>
      </c>
      <c r="G1164" s="21" t="n">
        <v>0</v>
      </c>
      <c r="H1164" s="21" t="n">
        <v>0</v>
      </c>
      <c r="I1164" s="21" t="n">
        <v>0</v>
      </c>
      <c r="J1164" s="21" t="n">
        <v>0</v>
      </c>
      <c r="K1164" s="21" t="n">
        <v>0</v>
      </c>
      <c r="L1164" s="21" t="n">
        <v>0</v>
      </c>
      <c r="M1164" s="21" t="n">
        <v>0</v>
      </c>
      <c r="N1164" s="21" t="n">
        <v>0</v>
      </c>
      <c r="O1164" s="21" t="n">
        <v>0</v>
      </c>
      <c r="P1164" s="21" t="n">
        <v>0</v>
      </c>
      <c r="Q1164" s="21" t="n">
        <v>0</v>
      </c>
      <c r="R1164" s="21" t="n">
        <v>0</v>
      </c>
      <c r="S1164" s="21" t="n">
        <v>0</v>
      </c>
      <c r="T1164" s="21" t="n">
        <v>0</v>
      </c>
      <c r="U1164" s="21" t="n">
        <v>0</v>
      </c>
      <c r="V1164" s="21" t="n">
        <v>0</v>
      </c>
      <c r="W1164" s="21" t="n">
        <v>0</v>
      </c>
      <c r="X1164" s="21" t="n">
        <v>0</v>
      </c>
      <c r="Y1164" s="21" t="n">
        <v>0</v>
      </c>
      <c r="Z1164" s="21" t="n">
        <v>0</v>
      </c>
      <c r="AA1164" s="21" t="n">
        <v>0</v>
      </c>
      <c r="AB1164" s="21" t="n">
        <v>0</v>
      </c>
      <c r="AC1164" s="21" t="n">
        <v>0</v>
      </c>
      <c r="AD1164" s="21" t="n">
        <v>0</v>
      </c>
      <c r="AE1164" s="21" t="n">
        <v>0</v>
      </c>
      <c r="AF1164" s="21">
        <f>$B$19</f>
        <v/>
      </c>
      <c r="AG1164" s="21">
        <f>$B$21</f>
        <v/>
      </c>
      <c r="AH1164" s="21">
        <f>0</f>
        <v/>
      </c>
      <c r="AI1164" s="21">
        <f>2*$B$20</f>
        <v/>
      </c>
      <c r="AJ1164" s="21">
        <f>-$B$19</f>
        <v/>
      </c>
      <c r="AK1164" s="21">
        <f>$B$21</f>
        <v/>
      </c>
      <c r="AL1164" s="21" t="n">
        <v>0</v>
      </c>
      <c r="AM1164" s="21" t="n">
        <v>0</v>
      </c>
      <c r="AN1164" s="21" t="n">
        <v>0</v>
      </c>
      <c r="AO1164" s="21" t="n">
        <v>0</v>
      </c>
      <c r="AP1164" s="21" t="n">
        <v>0</v>
      </c>
      <c r="AQ1164" s="21" t="n">
        <v>0</v>
      </c>
      <c r="AR1164" s="21" t="n">
        <v>0</v>
      </c>
      <c r="AS1164" s="21" t="n">
        <v>0</v>
      </c>
      <c r="AT1164" s="19" t="n"/>
    </row>
    <row r="1165">
      <c r="D1165" s="21" t="n">
        <v>0</v>
      </c>
      <c r="E1165" s="21" t="n">
        <v>0</v>
      </c>
      <c r="F1165" s="21" t="n">
        <v>0</v>
      </c>
      <c r="G1165" s="21" t="n">
        <v>0</v>
      </c>
      <c r="H1165" s="21" t="n">
        <v>0</v>
      </c>
      <c r="I1165" s="21" t="n">
        <v>0</v>
      </c>
      <c r="J1165" s="21" t="n">
        <v>0</v>
      </c>
      <c r="K1165" s="21" t="n">
        <v>0</v>
      </c>
      <c r="L1165" s="21" t="n">
        <v>0</v>
      </c>
      <c r="M1165" s="21" t="n">
        <v>0</v>
      </c>
      <c r="N1165" s="21" t="n">
        <v>0</v>
      </c>
      <c r="O1165" s="21" t="n">
        <v>0</v>
      </c>
      <c r="P1165" s="21" t="n">
        <v>0</v>
      </c>
      <c r="Q1165" s="21" t="n">
        <v>0</v>
      </c>
      <c r="R1165" s="21" t="n">
        <v>0</v>
      </c>
      <c r="S1165" s="21" t="n">
        <v>0</v>
      </c>
      <c r="T1165" s="21" t="n">
        <v>0</v>
      </c>
      <c r="U1165" s="21" t="n">
        <v>0</v>
      </c>
      <c r="V1165" s="21" t="n">
        <v>0</v>
      </c>
      <c r="W1165" s="21" t="n">
        <v>0</v>
      </c>
      <c r="X1165" s="21" t="n">
        <v>0</v>
      </c>
      <c r="Y1165" s="21" t="n">
        <v>0</v>
      </c>
      <c r="Z1165" s="21" t="n">
        <v>0</v>
      </c>
      <c r="AA1165" s="21" t="n">
        <v>0</v>
      </c>
      <c r="AB1165" s="21" t="n">
        <v>0</v>
      </c>
      <c r="AC1165" s="21" t="n">
        <v>0</v>
      </c>
      <c r="AD1165" s="21" t="n">
        <v>0</v>
      </c>
      <c r="AE1165" s="21" t="n">
        <v>0</v>
      </c>
      <c r="AF1165" s="21" t="n">
        <v>0</v>
      </c>
      <c r="AG1165" s="21" t="n">
        <v>0</v>
      </c>
      <c r="AH1165" s="21">
        <f>-$B$18</f>
        <v/>
      </c>
      <c r="AI1165" s="21">
        <f>-$B$19</f>
        <v/>
      </c>
      <c r="AJ1165" s="21">
        <f>2*$B$18+$D$1127</f>
        <v/>
      </c>
      <c r="AK1165" s="21">
        <f>0</f>
        <v/>
      </c>
      <c r="AL1165" s="21">
        <f>-$B$18</f>
        <v/>
      </c>
      <c r="AM1165" s="21">
        <f>$B$19</f>
        <v/>
      </c>
      <c r="AN1165" s="21" t="n">
        <v>0</v>
      </c>
      <c r="AO1165" s="21" t="n">
        <v>0</v>
      </c>
      <c r="AP1165" s="21" t="n">
        <v>0</v>
      </c>
      <c r="AQ1165" s="21" t="n">
        <v>0</v>
      </c>
      <c r="AR1165" s="21" t="n">
        <v>0</v>
      </c>
      <c r="AS1165" s="21" t="n">
        <v>0</v>
      </c>
      <c r="AT1165" s="19" t="n"/>
    </row>
    <row r="1166">
      <c r="D1166" s="21" t="n">
        <v>0</v>
      </c>
      <c r="E1166" s="21" t="n">
        <v>0</v>
      </c>
      <c r="F1166" s="21" t="n">
        <v>0</v>
      </c>
      <c r="G1166" s="21" t="n">
        <v>0</v>
      </c>
      <c r="H1166" s="21" t="n">
        <v>0</v>
      </c>
      <c r="I1166" s="21" t="n">
        <v>0</v>
      </c>
      <c r="J1166" s="21" t="n">
        <v>0</v>
      </c>
      <c r="K1166" s="21" t="n">
        <v>0</v>
      </c>
      <c r="L1166" s="21" t="n">
        <v>0</v>
      </c>
      <c r="M1166" s="21" t="n">
        <v>0</v>
      </c>
      <c r="N1166" s="21" t="n">
        <v>0</v>
      </c>
      <c r="O1166" s="21" t="n">
        <v>0</v>
      </c>
      <c r="P1166" s="21" t="n">
        <v>0</v>
      </c>
      <c r="Q1166" s="21" t="n">
        <v>0</v>
      </c>
      <c r="R1166" s="21" t="n">
        <v>0</v>
      </c>
      <c r="S1166" s="21" t="n">
        <v>0</v>
      </c>
      <c r="T1166" s="21" t="n">
        <v>0</v>
      </c>
      <c r="U1166" s="21" t="n">
        <v>0</v>
      </c>
      <c r="V1166" s="21" t="n">
        <v>0</v>
      </c>
      <c r="W1166" s="21" t="n">
        <v>0</v>
      </c>
      <c r="X1166" s="21" t="n">
        <v>0</v>
      </c>
      <c r="Y1166" s="21" t="n">
        <v>0</v>
      </c>
      <c r="Z1166" s="21" t="n">
        <v>0</v>
      </c>
      <c r="AA1166" s="21" t="n">
        <v>0</v>
      </c>
      <c r="AB1166" s="21" t="n">
        <v>0</v>
      </c>
      <c r="AC1166" s="21" t="n">
        <v>0</v>
      </c>
      <c r="AD1166" s="21" t="n">
        <v>0</v>
      </c>
      <c r="AE1166" s="21" t="n">
        <v>0</v>
      </c>
      <c r="AF1166" s="21" t="n">
        <v>0</v>
      </c>
      <c r="AG1166" s="21" t="n">
        <v>0</v>
      </c>
      <c r="AH1166" s="21">
        <f>$B$19</f>
        <v/>
      </c>
      <c r="AI1166" s="21">
        <f>$B$21</f>
        <v/>
      </c>
      <c r="AJ1166" s="21">
        <f>0</f>
        <v/>
      </c>
      <c r="AK1166" s="21">
        <f>2*$B$20</f>
        <v/>
      </c>
      <c r="AL1166" s="21">
        <f>-$B$19</f>
        <v/>
      </c>
      <c r="AM1166" s="21">
        <f>$B$21</f>
        <v/>
      </c>
      <c r="AN1166" s="21" t="n">
        <v>0</v>
      </c>
      <c r="AO1166" s="21" t="n">
        <v>0</v>
      </c>
      <c r="AP1166" s="21" t="n">
        <v>0</v>
      </c>
      <c r="AQ1166" s="21" t="n">
        <v>0</v>
      </c>
      <c r="AR1166" s="21" t="n">
        <v>0</v>
      </c>
      <c r="AS1166" s="21" t="n">
        <v>0</v>
      </c>
      <c r="AT1166" s="19" t="n"/>
    </row>
    <row r="1167">
      <c r="D1167" s="21" t="n">
        <v>0</v>
      </c>
      <c r="E1167" s="21" t="n">
        <v>0</v>
      </c>
      <c r="F1167" s="21" t="n">
        <v>0</v>
      </c>
      <c r="G1167" s="21" t="n">
        <v>0</v>
      </c>
      <c r="H1167" s="21" t="n">
        <v>0</v>
      </c>
      <c r="I1167" s="21" t="n">
        <v>0</v>
      </c>
      <c r="J1167" s="21" t="n">
        <v>0</v>
      </c>
      <c r="K1167" s="21" t="n">
        <v>0</v>
      </c>
      <c r="L1167" s="21" t="n">
        <v>0</v>
      </c>
      <c r="M1167" s="21" t="n">
        <v>0</v>
      </c>
      <c r="N1167" s="21" t="n">
        <v>0</v>
      </c>
      <c r="O1167" s="21" t="n">
        <v>0</v>
      </c>
      <c r="P1167" s="21" t="n">
        <v>0</v>
      </c>
      <c r="Q1167" s="21" t="n">
        <v>0</v>
      </c>
      <c r="R1167" s="21" t="n">
        <v>0</v>
      </c>
      <c r="S1167" s="21" t="n">
        <v>0</v>
      </c>
      <c r="T1167" s="21" t="n">
        <v>0</v>
      </c>
      <c r="U1167" s="21" t="n">
        <v>0</v>
      </c>
      <c r="V1167" s="21" t="n">
        <v>0</v>
      </c>
      <c r="W1167" s="21" t="n">
        <v>0</v>
      </c>
      <c r="X1167" s="21" t="n">
        <v>0</v>
      </c>
      <c r="Y1167" s="21" t="n">
        <v>0</v>
      </c>
      <c r="Z1167" s="21" t="n">
        <v>0</v>
      </c>
      <c r="AA1167" s="21" t="n">
        <v>0</v>
      </c>
      <c r="AB1167" s="21" t="n">
        <v>0</v>
      </c>
      <c r="AC1167" s="21" t="n">
        <v>0</v>
      </c>
      <c r="AD1167" s="21" t="n">
        <v>0</v>
      </c>
      <c r="AE1167" s="21" t="n">
        <v>0</v>
      </c>
      <c r="AF1167" s="21" t="n">
        <v>0</v>
      </c>
      <c r="AG1167" s="21" t="n">
        <v>0</v>
      </c>
      <c r="AH1167" s="21" t="n">
        <v>0</v>
      </c>
      <c r="AI1167" s="21" t="n">
        <v>0</v>
      </c>
      <c r="AJ1167" s="21">
        <f>-$B$18</f>
        <v/>
      </c>
      <c r="AK1167" s="21">
        <f>-$B$19</f>
        <v/>
      </c>
      <c r="AL1167" s="21">
        <f>2*$B$18+$D$1128</f>
        <v/>
      </c>
      <c r="AM1167" s="21">
        <f>0</f>
        <v/>
      </c>
      <c r="AN1167" s="21">
        <f>-$B$18</f>
        <v/>
      </c>
      <c r="AO1167" s="21">
        <f>$B$19</f>
        <v/>
      </c>
      <c r="AP1167" s="21" t="n">
        <v>0</v>
      </c>
      <c r="AQ1167" s="21" t="n">
        <v>0</v>
      </c>
      <c r="AR1167" s="21" t="n">
        <v>0</v>
      </c>
      <c r="AS1167" s="21" t="n">
        <v>0</v>
      </c>
      <c r="AT1167" s="19" t="n"/>
    </row>
    <row r="1168">
      <c r="D1168" s="21" t="n">
        <v>0</v>
      </c>
      <c r="E1168" s="21" t="n">
        <v>0</v>
      </c>
      <c r="F1168" s="21" t="n">
        <v>0</v>
      </c>
      <c r="G1168" s="21" t="n">
        <v>0</v>
      </c>
      <c r="H1168" s="21" t="n">
        <v>0</v>
      </c>
      <c r="I1168" s="21" t="n">
        <v>0</v>
      </c>
      <c r="J1168" s="21" t="n">
        <v>0</v>
      </c>
      <c r="K1168" s="21" t="n">
        <v>0</v>
      </c>
      <c r="L1168" s="21" t="n">
        <v>0</v>
      </c>
      <c r="M1168" s="21" t="n">
        <v>0</v>
      </c>
      <c r="N1168" s="21" t="n">
        <v>0</v>
      </c>
      <c r="O1168" s="21" t="n">
        <v>0</v>
      </c>
      <c r="P1168" s="21" t="n">
        <v>0</v>
      </c>
      <c r="Q1168" s="21" t="n">
        <v>0</v>
      </c>
      <c r="R1168" s="21" t="n">
        <v>0</v>
      </c>
      <c r="S1168" s="21" t="n">
        <v>0</v>
      </c>
      <c r="T1168" s="21" t="n">
        <v>0</v>
      </c>
      <c r="U1168" s="21" t="n">
        <v>0</v>
      </c>
      <c r="V1168" s="21" t="n">
        <v>0</v>
      </c>
      <c r="W1168" s="21" t="n">
        <v>0</v>
      </c>
      <c r="X1168" s="21" t="n">
        <v>0</v>
      </c>
      <c r="Y1168" s="21" t="n">
        <v>0</v>
      </c>
      <c r="Z1168" s="21" t="n">
        <v>0</v>
      </c>
      <c r="AA1168" s="21" t="n">
        <v>0</v>
      </c>
      <c r="AB1168" s="21" t="n">
        <v>0</v>
      </c>
      <c r="AC1168" s="21" t="n">
        <v>0</v>
      </c>
      <c r="AD1168" s="21" t="n">
        <v>0</v>
      </c>
      <c r="AE1168" s="21" t="n">
        <v>0</v>
      </c>
      <c r="AF1168" s="21" t="n">
        <v>0</v>
      </c>
      <c r="AG1168" s="21" t="n">
        <v>0</v>
      </c>
      <c r="AH1168" s="21" t="n">
        <v>0</v>
      </c>
      <c r="AI1168" s="21" t="n">
        <v>0</v>
      </c>
      <c r="AJ1168" s="21">
        <f>$B$19</f>
        <v/>
      </c>
      <c r="AK1168" s="21">
        <f>$B$21</f>
        <v/>
      </c>
      <c r="AL1168" s="21">
        <f>0</f>
        <v/>
      </c>
      <c r="AM1168" s="21">
        <f>2*$B$20</f>
        <v/>
      </c>
      <c r="AN1168" s="21">
        <f>-$B$19</f>
        <v/>
      </c>
      <c r="AO1168" s="21">
        <f>$B$21</f>
        <v/>
      </c>
      <c r="AP1168" s="21" t="n">
        <v>0</v>
      </c>
      <c r="AQ1168" s="21" t="n">
        <v>0</v>
      </c>
      <c r="AR1168" s="21" t="n">
        <v>0</v>
      </c>
      <c r="AS1168" s="21" t="n">
        <v>0</v>
      </c>
      <c r="AT1168" s="19" t="n"/>
    </row>
    <row r="1169">
      <c r="D1169" s="21" t="n">
        <v>0</v>
      </c>
      <c r="E1169" s="21" t="n">
        <v>0</v>
      </c>
      <c r="F1169" s="21" t="n">
        <v>0</v>
      </c>
      <c r="G1169" s="21" t="n">
        <v>0</v>
      </c>
      <c r="H1169" s="21" t="n">
        <v>0</v>
      </c>
      <c r="I1169" s="21" t="n">
        <v>0</v>
      </c>
      <c r="J1169" s="21" t="n">
        <v>0</v>
      </c>
      <c r="K1169" s="21" t="n">
        <v>0</v>
      </c>
      <c r="L1169" s="21" t="n">
        <v>0</v>
      </c>
      <c r="M1169" s="21" t="n">
        <v>0</v>
      </c>
      <c r="N1169" s="21" t="n">
        <v>0</v>
      </c>
      <c r="O1169" s="21" t="n">
        <v>0</v>
      </c>
      <c r="P1169" s="21" t="n">
        <v>0</v>
      </c>
      <c r="Q1169" s="21" t="n">
        <v>0</v>
      </c>
      <c r="R1169" s="21" t="n">
        <v>0</v>
      </c>
      <c r="S1169" s="21" t="n">
        <v>0</v>
      </c>
      <c r="T1169" s="21" t="n">
        <v>0</v>
      </c>
      <c r="U1169" s="21" t="n">
        <v>0</v>
      </c>
      <c r="V1169" s="21" t="n">
        <v>0</v>
      </c>
      <c r="W1169" s="21" t="n">
        <v>0</v>
      </c>
      <c r="X1169" s="21" t="n">
        <v>0</v>
      </c>
      <c r="Y1169" s="21" t="n">
        <v>0</v>
      </c>
      <c r="Z1169" s="21" t="n">
        <v>0</v>
      </c>
      <c r="AA1169" s="21" t="n">
        <v>0</v>
      </c>
      <c r="AB1169" s="21" t="n">
        <v>0</v>
      </c>
      <c r="AC1169" s="21" t="n">
        <v>0</v>
      </c>
      <c r="AD1169" s="21" t="n">
        <v>0</v>
      </c>
      <c r="AE1169" s="21" t="n">
        <v>0</v>
      </c>
      <c r="AF1169" s="21" t="n">
        <v>0</v>
      </c>
      <c r="AG1169" s="21" t="n">
        <v>0</v>
      </c>
      <c r="AH1169" s="21" t="n">
        <v>0</v>
      </c>
      <c r="AI1169" s="21" t="n">
        <v>0</v>
      </c>
      <c r="AJ1169" s="21" t="n">
        <v>0</v>
      </c>
      <c r="AK1169" s="21" t="n">
        <v>0</v>
      </c>
      <c r="AL1169" s="21">
        <f>-$B$18</f>
        <v/>
      </c>
      <c r="AM1169" s="21">
        <f>-$B$19</f>
        <v/>
      </c>
      <c r="AN1169" s="21">
        <f>2*$B$18+$D$1129</f>
        <v/>
      </c>
      <c r="AO1169" s="21">
        <f>0</f>
        <v/>
      </c>
      <c r="AP1169" s="21">
        <f>-$B$18</f>
        <v/>
      </c>
      <c r="AQ1169" s="21">
        <f>$B$19</f>
        <v/>
      </c>
      <c r="AR1169" s="21" t="n">
        <v>0</v>
      </c>
      <c r="AS1169" s="21" t="n">
        <v>0</v>
      </c>
      <c r="AT1169" s="19" t="n"/>
    </row>
    <row r="1170">
      <c r="D1170" s="21" t="n">
        <v>0</v>
      </c>
      <c r="E1170" s="21" t="n">
        <v>0</v>
      </c>
      <c r="F1170" s="21" t="n">
        <v>0</v>
      </c>
      <c r="G1170" s="21" t="n">
        <v>0</v>
      </c>
      <c r="H1170" s="21" t="n">
        <v>0</v>
      </c>
      <c r="I1170" s="21" t="n">
        <v>0</v>
      </c>
      <c r="J1170" s="21" t="n">
        <v>0</v>
      </c>
      <c r="K1170" s="21" t="n">
        <v>0</v>
      </c>
      <c r="L1170" s="21" t="n">
        <v>0</v>
      </c>
      <c r="M1170" s="21" t="n">
        <v>0</v>
      </c>
      <c r="N1170" s="21" t="n">
        <v>0</v>
      </c>
      <c r="O1170" s="21" t="n">
        <v>0</v>
      </c>
      <c r="P1170" s="21" t="n">
        <v>0</v>
      </c>
      <c r="Q1170" s="21" t="n">
        <v>0</v>
      </c>
      <c r="R1170" s="21" t="n">
        <v>0</v>
      </c>
      <c r="S1170" s="21" t="n">
        <v>0</v>
      </c>
      <c r="T1170" s="21" t="n">
        <v>0</v>
      </c>
      <c r="U1170" s="21" t="n">
        <v>0</v>
      </c>
      <c r="V1170" s="21" t="n">
        <v>0</v>
      </c>
      <c r="W1170" s="21" t="n">
        <v>0</v>
      </c>
      <c r="X1170" s="21" t="n">
        <v>0</v>
      </c>
      <c r="Y1170" s="21" t="n">
        <v>0</v>
      </c>
      <c r="Z1170" s="21" t="n">
        <v>0</v>
      </c>
      <c r="AA1170" s="21" t="n">
        <v>0</v>
      </c>
      <c r="AB1170" s="21" t="n">
        <v>0</v>
      </c>
      <c r="AC1170" s="21" t="n">
        <v>0</v>
      </c>
      <c r="AD1170" s="21" t="n">
        <v>0</v>
      </c>
      <c r="AE1170" s="21" t="n">
        <v>0</v>
      </c>
      <c r="AF1170" s="21" t="n">
        <v>0</v>
      </c>
      <c r="AG1170" s="21" t="n">
        <v>0</v>
      </c>
      <c r="AH1170" s="21" t="n">
        <v>0</v>
      </c>
      <c r="AI1170" s="21" t="n">
        <v>0</v>
      </c>
      <c r="AJ1170" s="21" t="n">
        <v>0</v>
      </c>
      <c r="AK1170" s="21" t="n">
        <v>0</v>
      </c>
      <c r="AL1170" s="21">
        <f>$B$19</f>
        <v/>
      </c>
      <c r="AM1170" s="21">
        <f>$B$21</f>
        <v/>
      </c>
      <c r="AN1170" s="21">
        <f>0</f>
        <v/>
      </c>
      <c r="AO1170" s="21">
        <f>2*$B$20</f>
        <v/>
      </c>
      <c r="AP1170" s="21">
        <f>-$B$19</f>
        <v/>
      </c>
      <c r="AQ1170" s="21">
        <f>$B$21</f>
        <v/>
      </c>
      <c r="AR1170" s="21" t="n">
        <v>0</v>
      </c>
      <c r="AS1170" s="21" t="n">
        <v>0</v>
      </c>
      <c r="AT1170" s="19" t="n"/>
    </row>
    <row r="1171">
      <c r="D1171" s="21" t="n">
        <v>0</v>
      </c>
      <c r="E1171" s="21" t="n">
        <v>0</v>
      </c>
      <c r="F1171" s="21" t="n">
        <v>0</v>
      </c>
      <c r="G1171" s="21" t="n">
        <v>0</v>
      </c>
      <c r="H1171" s="21" t="n">
        <v>0</v>
      </c>
      <c r="I1171" s="21" t="n">
        <v>0</v>
      </c>
      <c r="J1171" s="21" t="n">
        <v>0</v>
      </c>
      <c r="K1171" s="21" t="n">
        <v>0</v>
      </c>
      <c r="L1171" s="21" t="n">
        <v>0</v>
      </c>
      <c r="M1171" s="21" t="n">
        <v>0</v>
      </c>
      <c r="N1171" s="21" t="n">
        <v>0</v>
      </c>
      <c r="O1171" s="21" t="n">
        <v>0</v>
      </c>
      <c r="P1171" s="21" t="n">
        <v>0</v>
      </c>
      <c r="Q1171" s="21" t="n">
        <v>0</v>
      </c>
      <c r="R1171" s="21" t="n">
        <v>0</v>
      </c>
      <c r="S1171" s="21" t="n">
        <v>0</v>
      </c>
      <c r="T1171" s="21" t="n">
        <v>0</v>
      </c>
      <c r="U1171" s="21" t="n">
        <v>0</v>
      </c>
      <c r="V1171" s="21" t="n">
        <v>0</v>
      </c>
      <c r="W1171" s="21" t="n">
        <v>0</v>
      </c>
      <c r="X1171" s="21" t="n">
        <v>0</v>
      </c>
      <c r="Y1171" s="21" t="n">
        <v>0</v>
      </c>
      <c r="Z1171" s="21" t="n">
        <v>0</v>
      </c>
      <c r="AA1171" s="21" t="n">
        <v>0</v>
      </c>
      <c r="AB1171" s="21" t="n">
        <v>0</v>
      </c>
      <c r="AC1171" s="21" t="n">
        <v>0</v>
      </c>
      <c r="AD1171" s="21" t="n">
        <v>0</v>
      </c>
      <c r="AE1171" s="21" t="n">
        <v>0</v>
      </c>
      <c r="AF1171" s="21" t="n">
        <v>0</v>
      </c>
      <c r="AG1171" s="21" t="n">
        <v>0</v>
      </c>
      <c r="AH1171" s="21" t="n">
        <v>0</v>
      </c>
      <c r="AI1171" s="21" t="n">
        <v>0</v>
      </c>
      <c r="AJ1171" s="21" t="n">
        <v>0</v>
      </c>
      <c r="AK1171" s="21" t="n">
        <v>0</v>
      </c>
      <c r="AL1171" s="21" t="n">
        <v>0</v>
      </c>
      <c r="AM1171" s="21" t="n">
        <v>0</v>
      </c>
      <c r="AN1171" s="21">
        <f>-$B$18</f>
        <v/>
      </c>
      <c r="AO1171" s="21">
        <f>-$B$19</f>
        <v/>
      </c>
      <c r="AP1171" s="21">
        <f>2*$B$18+$D$1130</f>
        <v/>
      </c>
      <c r="AQ1171" s="21">
        <f>0</f>
        <v/>
      </c>
      <c r="AR1171" s="21">
        <f>-$B$18</f>
        <v/>
      </c>
      <c r="AS1171" s="21">
        <f>$B$19</f>
        <v/>
      </c>
      <c r="AT1171" s="19" t="n"/>
    </row>
    <row r="1172">
      <c r="D1172" s="21" t="n">
        <v>0</v>
      </c>
      <c r="E1172" s="21" t="n">
        <v>0</v>
      </c>
      <c r="F1172" s="21" t="n">
        <v>0</v>
      </c>
      <c r="G1172" s="21" t="n">
        <v>0</v>
      </c>
      <c r="H1172" s="21" t="n">
        <v>0</v>
      </c>
      <c r="I1172" s="21" t="n">
        <v>0</v>
      </c>
      <c r="J1172" s="21" t="n">
        <v>0</v>
      </c>
      <c r="K1172" s="21" t="n">
        <v>0</v>
      </c>
      <c r="L1172" s="21" t="n">
        <v>0</v>
      </c>
      <c r="M1172" s="21" t="n">
        <v>0</v>
      </c>
      <c r="N1172" s="21" t="n">
        <v>0</v>
      </c>
      <c r="O1172" s="21" t="n">
        <v>0</v>
      </c>
      <c r="P1172" s="21" t="n">
        <v>0</v>
      </c>
      <c r="Q1172" s="21" t="n">
        <v>0</v>
      </c>
      <c r="R1172" s="21" t="n">
        <v>0</v>
      </c>
      <c r="S1172" s="21" t="n">
        <v>0</v>
      </c>
      <c r="T1172" s="21" t="n">
        <v>0</v>
      </c>
      <c r="U1172" s="21" t="n">
        <v>0</v>
      </c>
      <c r="V1172" s="21" t="n">
        <v>0</v>
      </c>
      <c r="W1172" s="21" t="n">
        <v>0</v>
      </c>
      <c r="X1172" s="21" t="n">
        <v>0</v>
      </c>
      <c r="Y1172" s="21" t="n">
        <v>0</v>
      </c>
      <c r="Z1172" s="21" t="n">
        <v>0</v>
      </c>
      <c r="AA1172" s="21" t="n">
        <v>0</v>
      </c>
      <c r="AB1172" s="21" t="n">
        <v>0</v>
      </c>
      <c r="AC1172" s="21" t="n">
        <v>0</v>
      </c>
      <c r="AD1172" s="21" t="n">
        <v>0</v>
      </c>
      <c r="AE1172" s="21" t="n">
        <v>0</v>
      </c>
      <c r="AF1172" s="21" t="n">
        <v>0</v>
      </c>
      <c r="AG1172" s="21" t="n">
        <v>0</v>
      </c>
      <c r="AH1172" s="21" t="n">
        <v>0</v>
      </c>
      <c r="AI1172" s="21" t="n">
        <v>0</v>
      </c>
      <c r="AJ1172" s="21" t="n">
        <v>0</v>
      </c>
      <c r="AK1172" s="21" t="n">
        <v>0</v>
      </c>
      <c r="AL1172" s="21" t="n">
        <v>0</v>
      </c>
      <c r="AM1172" s="21" t="n">
        <v>0</v>
      </c>
      <c r="AN1172" s="21">
        <f>$B$19</f>
        <v/>
      </c>
      <c r="AO1172" s="21">
        <f>$B$21</f>
        <v/>
      </c>
      <c r="AP1172" s="21">
        <f>0</f>
        <v/>
      </c>
      <c r="AQ1172" s="21">
        <f>2*$B$20</f>
        <v/>
      </c>
      <c r="AR1172" s="21">
        <f>-$B$19</f>
        <v/>
      </c>
      <c r="AS1172" s="21">
        <f>$B$21</f>
        <v/>
      </c>
      <c r="AT1172" s="19" t="n"/>
    </row>
    <row r="1173">
      <c r="D1173" s="21" t="n">
        <v>0</v>
      </c>
      <c r="E1173" s="21" t="n">
        <v>0</v>
      </c>
      <c r="F1173" s="21" t="n">
        <v>0</v>
      </c>
      <c r="G1173" s="21" t="n">
        <v>0</v>
      </c>
      <c r="H1173" s="21" t="n">
        <v>0</v>
      </c>
      <c r="I1173" s="21" t="n">
        <v>0</v>
      </c>
      <c r="J1173" s="21" t="n">
        <v>0</v>
      </c>
      <c r="K1173" s="21" t="n">
        <v>0</v>
      </c>
      <c r="L1173" s="21" t="n">
        <v>0</v>
      </c>
      <c r="M1173" s="21" t="n">
        <v>0</v>
      </c>
      <c r="N1173" s="21" t="n">
        <v>0</v>
      </c>
      <c r="O1173" s="21" t="n">
        <v>0</v>
      </c>
      <c r="P1173" s="21" t="n">
        <v>0</v>
      </c>
      <c r="Q1173" s="21" t="n">
        <v>0</v>
      </c>
      <c r="R1173" s="21" t="n">
        <v>0</v>
      </c>
      <c r="S1173" s="21" t="n">
        <v>0</v>
      </c>
      <c r="T1173" s="21" t="n">
        <v>0</v>
      </c>
      <c r="U1173" s="21" t="n">
        <v>0</v>
      </c>
      <c r="V1173" s="21" t="n">
        <v>0</v>
      </c>
      <c r="W1173" s="21" t="n">
        <v>0</v>
      </c>
      <c r="X1173" s="21" t="n">
        <v>0</v>
      </c>
      <c r="Y1173" s="21" t="n">
        <v>0</v>
      </c>
      <c r="Z1173" s="21" t="n">
        <v>0</v>
      </c>
      <c r="AA1173" s="21" t="n">
        <v>0</v>
      </c>
      <c r="AB1173" s="21" t="n">
        <v>0</v>
      </c>
      <c r="AC1173" s="21" t="n">
        <v>0</v>
      </c>
      <c r="AD1173" s="21" t="n">
        <v>0</v>
      </c>
      <c r="AE1173" s="21" t="n">
        <v>0</v>
      </c>
      <c r="AF1173" s="21" t="n">
        <v>0</v>
      </c>
      <c r="AG1173" s="21" t="n">
        <v>0</v>
      </c>
      <c r="AH1173" s="21" t="n">
        <v>0</v>
      </c>
      <c r="AI1173" s="21" t="n">
        <v>0</v>
      </c>
      <c r="AJ1173" s="21" t="n">
        <v>0</v>
      </c>
      <c r="AK1173" s="21" t="n">
        <v>0</v>
      </c>
      <c r="AL1173" s="21" t="n">
        <v>0</v>
      </c>
      <c r="AM1173" s="21" t="n">
        <v>0</v>
      </c>
      <c r="AN1173" s="21" t="n">
        <v>0</v>
      </c>
      <c r="AO1173" s="21" t="n">
        <v>0</v>
      </c>
      <c r="AP1173" s="21">
        <f>-$B$18</f>
        <v/>
      </c>
      <c r="AQ1173" s="21">
        <f>-$B$19</f>
        <v/>
      </c>
      <c r="AR1173" s="21">
        <f>$B$18+$D$1131</f>
        <v/>
      </c>
      <c r="AS1173" s="21">
        <f>-$B$19</f>
        <v/>
      </c>
      <c r="AT1173" s="19" t="n"/>
    </row>
    <row r="1174">
      <c r="D1174" s="21" t="n">
        <v>0</v>
      </c>
      <c r="E1174" s="21" t="n">
        <v>0</v>
      </c>
      <c r="F1174" s="21" t="n">
        <v>0</v>
      </c>
      <c r="G1174" s="21" t="n">
        <v>0</v>
      </c>
      <c r="H1174" s="21" t="n">
        <v>0</v>
      </c>
      <c r="I1174" s="21" t="n">
        <v>0</v>
      </c>
      <c r="J1174" s="21" t="n">
        <v>0</v>
      </c>
      <c r="K1174" s="21" t="n">
        <v>0</v>
      </c>
      <c r="L1174" s="21" t="n">
        <v>0</v>
      </c>
      <c r="M1174" s="21" t="n">
        <v>0</v>
      </c>
      <c r="N1174" s="21" t="n">
        <v>0</v>
      </c>
      <c r="O1174" s="21" t="n">
        <v>0</v>
      </c>
      <c r="P1174" s="21" t="n">
        <v>0</v>
      </c>
      <c r="Q1174" s="21" t="n">
        <v>0</v>
      </c>
      <c r="R1174" s="21" t="n">
        <v>0</v>
      </c>
      <c r="S1174" s="21" t="n">
        <v>0</v>
      </c>
      <c r="T1174" s="21" t="n">
        <v>0</v>
      </c>
      <c r="U1174" s="21" t="n">
        <v>0</v>
      </c>
      <c r="V1174" s="21" t="n">
        <v>0</v>
      </c>
      <c r="W1174" s="21" t="n">
        <v>0</v>
      </c>
      <c r="X1174" s="21" t="n">
        <v>0</v>
      </c>
      <c r="Y1174" s="21" t="n">
        <v>0</v>
      </c>
      <c r="Z1174" s="21" t="n">
        <v>0</v>
      </c>
      <c r="AA1174" s="21" t="n">
        <v>0</v>
      </c>
      <c r="AB1174" s="21" t="n">
        <v>0</v>
      </c>
      <c r="AC1174" s="21" t="n">
        <v>0</v>
      </c>
      <c r="AD1174" s="21" t="n">
        <v>0</v>
      </c>
      <c r="AE1174" s="21" t="n">
        <v>0</v>
      </c>
      <c r="AF1174" s="21" t="n">
        <v>0</v>
      </c>
      <c r="AG1174" s="21" t="n">
        <v>0</v>
      </c>
      <c r="AH1174" s="21" t="n">
        <v>0</v>
      </c>
      <c r="AI1174" s="21" t="n">
        <v>0</v>
      </c>
      <c r="AJ1174" s="21" t="n">
        <v>0</v>
      </c>
      <c r="AK1174" s="21" t="n">
        <v>0</v>
      </c>
      <c r="AL1174" s="21" t="n">
        <v>0</v>
      </c>
      <c r="AM1174" s="21" t="n">
        <v>0</v>
      </c>
      <c r="AN1174" s="21" t="n">
        <v>0</v>
      </c>
      <c r="AO1174" s="21" t="n">
        <v>0</v>
      </c>
      <c r="AP1174" s="21">
        <f>$B$19</f>
        <v/>
      </c>
      <c r="AQ1174" s="21">
        <f>$B$21</f>
        <v/>
      </c>
      <c r="AR1174" s="21">
        <f>-$B$19</f>
        <v/>
      </c>
      <c r="AS1174" s="21">
        <f>$B$20</f>
        <v/>
      </c>
      <c r="AT1174" s="19" t="n"/>
    </row>
    <row r="1176">
      <c r="A1176" s="8" t="inlineStr">
        <is>
          <t>gen 17</t>
        </is>
      </c>
    </row>
    <row r="1177">
      <c r="D1177" s="19">
        <f>IF(ABS(IF(ABS($E$1111)&gt;0.000000001,$E$1111,0.000000001))=0,0,IF($E$33&lt;=$B$27,0,IF(ABS(IF(ABS($E$1111)&gt;0.000000001,$E$1111,0.000000001))&gt;=8*$B$29,$H$33,0.5*$H$33*(ABS(IF(ABS($E$1111)&gt;0.000000001,$E$1111,0.000000001))/$B$29)^(1/3)))/ABS(IF(ABS($E$1111)&gt;0.000000001,$E$1111,0.000000001))*$I$33)</f>
        <v/>
      </c>
      <c r="E1177" s="19">
        <f>0.5*$E$1111+0.5*$AT$1199</f>
        <v/>
      </c>
      <c r="F1177" s="19">
        <f>$AT$1200</f>
        <v/>
      </c>
    </row>
    <row r="1178">
      <c r="D1178" s="19">
        <f>IF(ABS(IF(ABS($E$1112)&gt;0.000000001,$E$1112,0.000000001))=0,0,IF($E$34&lt;=$B$27,0,IF(ABS(IF(ABS($E$1112)&gt;0.000000001,$E$1112,0.000000001))&gt;=8*$B$29,$H$34,0.5*$H$34*(ABS(IF(ABS($E$1112)&gt;0.000000001,$E$1112,0.000000001))/$B$29)^(1/3)))/ABS(IF(ABS($E$1112)&gt;0.000000001,$E$1112,0.000000001))*$I$34)</f>
        <v/>
      </c>
      <c r="E1178" s="19">
        <f>0.5*$E$1112+0.5*$AT$1201</f>
        <v/>
      </c>
      <c r="F1178" s="19">
        <f>$AT$1202</f>
        <v/>
      </c>
    </row>
    <row r="1179">
      <c r="D1179" s="19">
        <f>IF(ABS(IF(ABS($E$1113)&gt;0.000000001,$E$1113,0.000000001))=0,0,IF($E$35&lt;=$B$27,0,IF(ABS(IF(ABS($E$1113)&gt;0.000000001,$E$1113,0.000000001))&gt;=8*$B$29,$H$35,0.5*$H$35*(ABS(IF(ABS($E$1113)&gt;0.000000001,$E$1113,0.000000001))/$B$29)^(1/3)))/ABS(IF(ABS($E$1113)&gt;0.000000001,$E$1113,0.000000001))*$I$35)</f>
        <v/>
      </c>
      <c r="E1179" s="19">
        <f>0.5*$E$1113+0.5*$AT$1203</f>
        <v/>
      </c>
      <c r="F1179" s="19">
        <f>$AT$1204</f>
        <v/>
      </c>
    </row>
    <row r="1180">
      <c r="D1180" s="19">
        <f>IF(ABS(IF(ABS($E$1114)&gt;0.000000001,$E$1114,0.000000001))=0,0,IF($E$36&lt;=$B$27,0,IF(ABS(IF(ABS($E$1114)&gt;0.000000001,$E$1114,0.000000001))&gt;=8*$B$29,$H$36,0.5*$H$36*(ABS(IF(ABS($E$1114)&gt;0.000000001,$E$1114,0.000000001))/$B$29)^(1/3)))/ABS(IF(ABS($E$1114)&gt;0.000000001,$E$1114,0.000000001))*$I$36)</f>
        <v/>
      </c>
      <c r="E1180" s="19">
        <f>0.5*$E$1114+0.5*$AT$1205</f>
        <v/>
      </c>
      <c r="F1180" s="19">
        <f>$AT$1206</f>
        <v/>
      </c>
    </row>
    <row r="1181">
      <c r="D1181" s="19">
        <f>IF(ABS(IF(ABS($E$1115)&gt;0.000000001,$E$1115,0.000000001))=0,0,IF($E$37&lt;=$B$27,0,IF(ABS(IF(ABS($E$1115)&gt;0.000000001,$E$1115,0.000000001))&gt;=8*$B$29,$H$37,0.5*$H$37*(ABS(IF(ABS($E$1115)&gt;0.000000001,$E$1115,0.000000001))/$B$29)^(1/3)))/ABS(IF(ABS($E$1115)&gt;0.000000001,$E$1115,0.000000001))*$I$37)</f>
        <v/>
      </c>
      <c r="E1181" s="19">
        <f>0.5*$E$1115+0.5*$AT$1207</f>
        <v/>
      </c>
      <c r="F1181" s="19">
        <f>$AT$1208</f>
        <v/>
      </c>
    </row>
    <row r="1182">
      <c r="D1182" s="19">
        <f>IF(ABS(IF(ABS($E$1116)&gt;0.000000001,$E$1116,0.000000001))=0,0,IF($E$38&lt;=$B$27,0,IF(ABS(IF(ABS($E$1116)&gt;0.000000001,$E$1116,0.000000001))&gt;=8*$B$29,$H$38,0.5*$H$38*(ABS(IF(ABS($E$1116)&gt;0.000000001,$E$1116,0.000000001))/$B$29)^(1/3)))/ABS(IF(ABS($E$1116)&gt;0.000000001,$E$1116,0.000000001))*$I$38)</f>
        <v/>
      </c>
      <c r="E1182" s="19">
        <f>0.5*$E$1116+0.5*$AT$1209</f>
        <v/>
      </c>
      <c r="F1182" s="19">
        <f>$AT$1210</f>
        <v/>
      </c>
    </row>
    <row r="1183">
      <c r="D1183" s="19">
        <f>IF(ABS(IF(ABS($E$1117)&gt;0.000000001,$E$1117,0.000000001))=0,0,IF($E$39&lt;=$B$27,0,IF(ABS(IF(ABS($E$1117)&gt;0.000000001,$E$1117,0.000000001))&gt;=8*$B$29,$H$39,0.5*$H$39*(ABS(IF(ABS($E$1117)&gt;0.000000001,$E$1117,0.000000001))/$B$29)^(1/3)))/ABS(IF(ABS($E$1117)&gt;0.000000001,$E$1117,0.000000001))*$I$39)</f>
        <v/>
      </c>
      <c r="E1183" s="19">
        <f>0.5*$E$1117+0.5*$AT$1211</f>
        <v/>
      </c>
      <c r="F1183" s="19">
        <f>$AT$1212</f>
        <v/>
      </c>
    </row>
    <row r="1184">
      <c r="D1184" s="19">
        <f>IF(ABS(IF(ABS($E$1118)&gt;0.000000001,$E$1118,0.000000001))=0,0,IF($E$40&lt;=$B$27,0,IF(ABS(IF(ABS($E$1118)&gt;0.000000001,$E$1118,0.000000001))&gt;=8*$B$29,$H$40,0.5*$H$40*(ABS(IF(ABS($E$1118)&gt;0.000000001,$E$1118,0.000000001))/$B$29)^(1/3)))/ABS(IF(ABS($E$1118)&gt;0.000000001,$E$1118,0.000000001))*$I$40)</f>
        <v/>
      </c>
      <c r="E1184" s="19">
        <f>0.5*$E$1118+0.5*$AT$1213</f>
        <v/>
      </c>
      <c r="F1184" s="19">
        <f>$AT$1214</f>
        <v/>
      </c>
    </row>
    <row r="1185">
      <c r="D1185" s="19">
        <f>IF(ABS(IF(ABS($E$1119)&gt;0.000000001,$E$1119,0.000000001))=0,0,IF($E$41&lt;=$B$27,0,IF(ABS(IF(ABS($E$1119)&gt;0.000000001,$E$1119,0.000000001))&gt;=8*$B$29,$H$41,0.5*$H$41*(ABS(IF(ABS($E$1119)&gt;0.000000001,$E$1119,0.000000001))/$B$29)^(1/3)))/ABS(IF(ABS($E$1119)&gt;0.000000001,$E$1119,0.000000001))*$I$41)</f>
        <v/>
      </c>
      <c r="E1185" s="19">
        <f>0.5*$E$1119+0.5*$AT$1215</f>
        <v/>
      </c>
      <c r="F1185" s="19">
        <f>$AT$1216</f>
        <v/>
      </c>
    </row>
    <row r="1186">
      <c r="D1186" s="19">
        <f>IF(ABS(IF(ABS($E$1120)&gt;0.000000001,$E$1120,0.000000001))=0,0,IF($E$42&lt;=$B$27,0,IF(ABS(IF(ABS($E$1120)&gt;0.000000001,$E$1120,0.000000001))&gt;=8*$B$29,$H$42,0.5*$H$42*(ABS(IF(ABS($E$1120)&gt;0.000000001,$E$1120,0.000000001))/$B$29)^(1/3)))/ABS(IF(ABS($E$1120)&gt;0.000000001,$E$1120,0.000000001))*$I$42)</f>
        <v/>
      </c>
      <c r="E1186" s="19">
        <f>0.5*$E$1120+0.5*$AT$1217</f>
        <v/>
      </c>
      <c r="F1186" s="19">
        <f>$AT$1218</f>
        <v/>
      </c>
    </row>
    <row r="1187">
      <c r="D1187" s="19">
        <f>IF(ABS(IF(ABS($E$1121)&gt;0.000000001,$E$1121,0.000000001))=0,0,IF($E$43&lt;=$B$27,0,IF(ABS(IF(ABS($E$1121)&gt;0.000000001,$E$1121,0.000000001))&gt;=8*$B$29,$H$43,0.5*$H$43*(ABS(IF(ABS($E$1121)&gt;0.000000001,$E$1121,0.000000001))/$B$29)^(1/3)))/ABS(IF(ABS($E$1121)&gt;0.000000001,$E$1121,0.000000001))*$I$43)</f>
        <v/>
      </c>
      <c r="E1187" s="19">
        <f>0.5*$E$1121+0.5*$AT$1219</f>
        <v/>
      </c>
      <c r="F1187" s="19">
        <f>$AT$1220</f>
        <v/>
      </c>
    </row>
    <row r="1188">
      <c r="D1188" s="19">
        <f>IF(ABS(IF(ABS($E$1122)&gt;0.000000001,$E$1122,0.000000001))=0,0,IF($E$44&lt;=$B$27,0,IF(ABS(IF(ABS($E$1122)&gt;0.000000001,$E$1122,0.000000001))&gt;=8*$B$29,$H$44,0.5*$H$44*(ABS(IF(ABS($E$1122)&gt;0.000000001,$E$1122,0.000000001))/$B$29)^(1/3)))/ABS(IF(ABS($E$1122)&gt;0.000000001,$E$1122,0.000000001))*$I$44)</f>
        <v/>
      </c>
      <c r="E1188" s="19">
        <f>0.5*$E$1122+0.5*$AT$1221</f>
        <v/>
      </c>
      <c r="F1188" s="19">
        <f>$AT$1222</f>
        <v/>
      </c>
    </row>
    <row r="1189">
      <c r="D1189" s="19">
        <f>IF(ABS(IF(ABS($E$1123)&gt;0.000000001,$E$1123,0.000000001))=0,0,IF($E$45&lt;=$B$27,0,IF(ABS(IF(ABS($E$1123)&gt;0.000000001,$E$1123,0.000000001))&gt;=8*$B$29,$H$45,0.5*$H$45*(ABS(IF(ABS($E$1123)&gt;0.000000001,$E$1123,0.000000001))/$B$29)^(1/3)))/ABS(IF(ABS($E$1123)&gt;0.000000001,$E$1123,0.000000001))*$I$45)</f>
        <v/>
      </c>
      <c r="E1189" s="19">
        <f>0.5*$E$1123+0.5*$AT$1223</f>
        <v/>
      </c>
      <c r="F1189" s="19">
        <f>$AT$1224</f>
        <v/>
      </c>
    </row>
    <row r="1190">
      <c r="D1190" s="19">
        <f>IF(ABS(IF(ABS($E$1124)&gt;0.000000001,$E$1124,0.000000001))=0,0,IF($E$46&lt;=$B$27,0,IF(ABS(IF(ABS($E$1124)&gt;0.000000001,$E$1124,0.000000001))&gt;=8*$B$29,$H$46,0.5*$H$46*(ABS(IF(ABS($E$1124)&gt;0.000000001,$E$1124,0.000000001))/$B$29)^(1/3)))/ABS(IF(ABS($E$1124)&gt;0.000000001,$E$1124,0.000000001))*$I$46)</f>
        <v/>
      </c>
      <c r="E1190" s="19">
        <f>0.5*$E$1124+0.5*$AT$1225</f>
        <v/>
      </c>
      <c r="F1190" s="19">
        <f>$AT$1226</f>
        <v/>
      </c>
    </row>
    <row r="1191">
      <c r="D1191" s="19">
        <f>IF(ABS(IF(ABS($E$1125)&gt;0.000000001,$E$1125,0.000000001))=0,0,IF($E$47&lt;=$B$27,0,IF(ABS(IF(ABS($E$1125)&gt;0.000000001,$E$1125,0.000000001))&gt;=8*$B$29,$H$47,0.5*$H$47*(ABS(IF(ABS($E$1125)&gt;0.000000001,$E$1125,0.000000001))/$B$29)^(1/3)))/ABS(IF(ABS($E$1125)&gt;0.000000001,$E$1125,0.000000001))*$I$47)</f>
        <v/>
      </c>
      <c r="E1191" s="19">
        <f>0.5*$E$1125+0.5*$AT$1227</f>
        <v/>
      </c>
      <c r="F1191" s="19">
        <f>$AT$1228</f>
        <v/>
      </c>
    </row>
    <row r="1192">
      <c r="D1192" s="19">
        <f>IF(ABS(IF(ABS($E$1126)&gt;0.000000001,$E$1126,0.000000001))=0,0,IF($E$48&lt;=$B$27,0,IF(ABS(IF(ABS($E$1126)&gt;0.000000001,$E$1126,0.000000001))&gt;=8*$B$29,$H$48,0.5*$H$48*(ABS(IF(ABS($E$1126)&gt;0.000000001,$E$1126,0.000000001))/$B$29)^(1/3)))/ABS(IF(ABS($E$1126)&gt;0.000000001,$E$1126,0.000000001))*$I$48)</f>
        <v/>
      </c>
      <c r="E1192" s="19">
        <f>0.5*$E$1126+0.5*$AT$1229</f>
        <v/>
      </c>
      <c r="F1192" s="19">
        <f>$AT$1230</f>
        <v/>
      </c>
    </row>
    <row r="1193">
      <c r="D1193" s="19">
        <f>IF(ABS(IF(ABS($E$1127)&gt;0.000000001,$E$1127,0.000000001))=0,0,IF($E$49&lt;=$B$27,0,IF(ABS(IF(ABS($E$1127)&gt;0.000000001,$E$1127,0.000000001))&gt;=8*$B$29,$H$49,0.5*$H$49*(ABS(IF(ABS($E$1127)&gt;0.000000001,$E$1127,0.000000001))/$B$29)^(1/3)))/ABS(IF(ABS($E$1127)&gt;0.000000001,$E$1127,0.000000001))*$I$49)</f>
        <v/>
      </c>
      <c r="E1193" s="19">
        <f>0.5*$E$1127+0.5*$AT$1231</f>
        <v/>
      </c>
      <c r="F1193" s="19">
        <f>$AT$1232</f>
        <v/>
      </c>
    </row>
    <row r="1194">
      <c r="D1194" s="19">
        <f>IF(ABS(IF(ABS($E$1128)&gt;0.000000001,$E$1128,0.000000001))=0,0,IF($E$50&lt;=$B$27,0,IF(ABS(IF(ABS($E$1128)&gt;0.000000001,$E$1128,0.000000001))&gt;=8*$B$29,$H$50,0.5*$H$50*(ABS(IF(ABS($E$1128)&gt;0.000000001,$E$1128,0.000000001))/$B$29)^(1/3)))/ABS(IF(ABS($E$1128)&gt;0.000000001,$E$1128,0.000000001))*$I$50)</f>
        <v/>
      </c>
      <c r="E1194" s="19">
        <f>0.5*$E$1128+0.5*$AT$1233</f>
        <v/>
      </c>
      <c r="F1194" s="19">
        <f>$AT$1234</f>
        <v/>
      </c>
    </row>
    <row r="1195">
      <c r="D1195" s="19">
        <f>IF(ABS(IF(ABS($E$1129)&gt;0.000000001,$E$1129,0.000000001))=0,0,IF($E$51&lt;=$B$27,0,IF(ABS(IF(ABS($E$1129)&gt;0.000000001,$E$1129,0.000000001))&gt;=8*$B$29,$H$51,0.5*$H$51*(ABS(IF(ABS($E$1129)&gt;0.000000001,$E$1129,0.000000001))/$B$29)^(1/3)))/ABS(IF(ABS($E$1129)&gt;0.000000001,$E$1129,0.000000001))*$I$51)</f>
        <v/>
      </c>
      <c r="E1195" s="19">
        <f>0.5*$E$1129+0.5*$AT$1235</f>
        <v/>
      </c>
      <c r="F1195" s="19">
        <f>$AT$1236</f>
        <v/>
      </c>
    </row>
    <row r="1196">
      <c r="D1196" s="19">
        <f>IF(ABS(IF(ABS($E$1130)&gt;0.000000001,$E$1130,0.000000001))=0,0,IF($E$52&lt;=$B$27,0,IF(ABS(IF(ABS($E$1130)&gt;0.000000001,$E$1130,0.000000001))&gt;=8*$B$29,$H$52,0.5*$H$52*(ABS(IF(ABS($E$1130)&gt;0.000000001,$E$1130,0.000000001))/$B$29)^(1/3)))/ABS(IF(ABS($E$1130)&gt;0.000000001,$E$1130,0.000000001))*$I$52)</f>
        <v/>
      </c>
      <c r="E1196" s="19">
        <f>0.5*$E$1130+0.5*$AT$1237</f>
        <v/>
      </c>
      <c r="F1196" s="19">
        <f>$AT$1238</f>
        <v/>
      </c>
    </row>
    <row r="1197">
      <c r="D1197" s="19">
        <f>IF(ABS(IF(ABS($E$1131)&gt;0.000000001,$E$1131,0.000000001))=0,0,IF($E$53&lt;=$B$27,0,IF(ABS(IF(ABS($E$1131)&gt;0.000000001,$E$1131,0.000000001))&gt;=8*$B$29,$H$53,0.5*$H$53*(ABS(IF(ABS($E$1131)&gt;0.000000001,$E$1131,0.000000001))/$B$29)^(1/3)))/ABS(IF(ABS($E$1131)&gt;0.000000001,$E$1131,0.000000001))*$I$53)</f>
        <v/>
      </c>
      <c r="E1197" s="19">
        <f>0.5*$E$1131+0.5*$AT$1239</f>
        <v/>
      </c>
      <c r="F1197" s="19">
        <f>$AT$1240</f>
        <v/>
      </c>
    </row>
    <row r="1199">
      <c r="D1199" s="21">
        <f>$B$18+$D$1177</f>
        <v/>
      </c>
      <c r="E1199" s="21">
        <f>$B$19</f>
        <v/>
      </c>
      <c r="F1199" s="21">
        <f>-$B$18</f>
        <v/>
      </c>
      <c r="G1199" s="21">
        <f>$B$19</f>
        <v/>
      </c>
      <c r="H1199" s="21" t="n">
        <v>0</v>
      </c>
      <c r="I1199" s="21" t="n">
        <v>0</v>
      </c>
      <c r="J1199" s="21" t="n">
        <v>0</v>
      </c>
      <c r="K1199" s="21" t="n">
        <v>0</v>
      </c>
      <c r="L1199" s="21" t="n">
        <v>0</v>
      </c>
      <c r="M1199" s="21" t="n">
        <v>0</v>
      </c>
      <c r="N1199" s="21" t="n">
        <v>0</v>
      </c>
      <c r="O1199" s="21" t="n">
        <v>0</v>
      </c>
      <c r="P1199" s="21" t="n">
        <v>0</v>
      </c>
      <c r="Q1199" s="21" t="n">
        <v>0</v>
      </c>
      <c r="R1199" s="21" t="n">
        <v>0</v>
      </c>
      <c r="S1199" s="21" t="n">
        <v>0</v>
      </c>
      <c r="T1199" s="21" t="n">
        <v>0</v>
      </c>
      <c r="U1199" s="21" t="n">
        <v>0</v>
      </c>
      <c r="V1199" s="21" t="n">
        <v>0</v>
      </c>
      <c r="W1199" s="21" t="n">
        <v>0</v>
      </c>
      <c r="X1199" s="21" t="n">
        <v>0</v>
      </c>
      <c r="Y1199" s="21" t="n">
        <v>0</v>
      </c>
      <c r="Z1199" s="21" t="n">
        <v>0</v>
      </c>
      <c r="AA1199" s="21" t="n">
        <v>0</v>
      </c>
      <c r="AB1199" s="21" t="n">
        <v>0</v>
      </c>
      <c r="AC1199" s="21" t="n">
        <v>0</v>
      </c>
      <c r="AD1199" s="21" t="n">
        <v>0</v>
      </c>
      <c r="AE1199" s="21" t="n">
        <v>0</v>
      </c>
      <c r="AF1199" s="21" t="n">
        <v>0</v>
      </c>
      <c r="AG1199" s="21" t="n">
        <v>0</v>
      </c>
      <c r="AH1199" s="21" t="n">
        <v>0</v>
      </c>
      <c r="AI1199" s="21" t="n">
        <v>0</v>
      </c>
      <c r="AJ1199" s="21" t="n">
        <v>0</v>
      </c>
      <c r="AK1199" s="21" t="n">
        <v>0</v>
      </c>
      <c r="AL1199" s="21" t="n">
        <v>0</v>
      </c>
      <c r="AM1199" s="21" t="n">
        <v>0</v>
      </c>
      <c r="AN1199" s="21" t="n">
        <v>0</v>
      </c>
      <c r="AO1199" s="21" t="n">
        <v>0</v>
      </c>
      <c r="AP1199" s="21" t="n">
        <v>0</v>
      </c>
      <c r="AQ1199" s="21" t="n">
        <v>0</v>
      </c>
      <c r="AR1199" s="21" t="n">
        <v>0</v>
      </c>
      <c r="AS1199" s="21" t="n">
        <v>0</v>
      </c>
      <c r="AT1199" s="19">
        <f t="array" ref="AT1199:AT1240">MMULT(MINVERSE($D$1199:$AS$1240),$D$55:$D$96)</f>
        <v/>
      </c>
    </row>
    <row r="1200">
      <c r="D1200" s="21">
        <f>$B$19</f>
        <v/>
      </c>
      <c r="E1200" s="21">
        <f>$B$20</f>
        <v/>
      </c>
      <c r="F1200" s="21">
        <f>-$B$19</f>
        <v/>
      </c>
      <c r="G1200" s="21">
        <f>$B$21</f>
        <v/>
      </c>
      <c r="H1200" s="21" t="n">
        <v>0</v>
      </c>
      <c r="I1200" s="21" t="n">
        <v>0</v>
      </c>
      <c r="J1200" s="21" t="n">
        <v>0</v>
      </c>
      <c r="K1200" s="21" t="n">
        <v>0</v>
      </c>
      <c r="L1200" s="21" t="n">
        <v>0</v>
      </c>
      <c r="M1200" s="21" t="n">
        <v>0</v>
      </c>
      <c r="N1200" s="21" t="n">
        <v>0</v>
      </c>
      <c r="O1200" s="21" t="n">
        <v>0</v>
      </c>
      <c r="P1200" s="21" t="n">
        <v>0</v>
      </c>
      <c r="Q1200" s="21" t="n">
        <v>0</v>
      </c>
      <c r="R1200" s="21" t="n">
        <v>0</v>
      </c>
      <c r="S1200" s="21" t="n">
        <v>0</v>
      </c>
      <c r="T1200" s="21" t="n">
        <v>0</v>
      </c>
      <c r="U1200" s="21" t="n">
        <v>0</v>
      </c>
      <c r="V1200" s="21" t="n">
        <v>0</v>
      </c>
      <c r="W1200" s="21" t="n">
        <v>0</v>
      </c>
      <c r="X1200" s="21" t="n">
        <v>0</v>
      </c>
      <c r="Y1200" s="21" t="n">
        <v>0</v>
      </c>
      <c r="Z1200" s="21" t="n">
        <v>0</v>
      </c>
      <c r="AA1200" s="21" t="n">
        <v>0</v>
      </c>
      <c r="AB1200" s="21" t="n">
        <v>0</v>
      </c>
      <c r="AC1200" s="21" t="n">
        <v>0</v>
      </c>
      <c r="AD1200" s="21" t="n">
        <v>0</v>
      </c>
      <c r="AE1200" s="21" t="n">
        <v>0</v>
      </c>
      <c r="AF1200" s="21" t="n">
        <v>0</v>
      </c>
      <c r="AG1200" s="21" t="n">
        <v>0</v>
      </c>
      <c r="AH1200" s="21" t="n">
        <v>0</v>
      </c>
      <c r="AI1200" s="21" t="n">
        <v>0</v>
      </c>
      <c r="AJ1200" s="21" t="n">
        <v>0</v>
      </c>
      <c r="AK1200" s="21" t="n">
        <v>0</v>
      </c>
      <c r="AL1200" s="21" t="n">
        <v>0</v>
      </c>
      <c r="AM1200" s="21" t="n">
        <v>0</v>
      </c>
      <c r="AN1200" s="21" t="n">
        <v>0</v>
      </c>
      <c r="AO1200" s="21" t="n">
        <v>0</v>
      </c>
      <c r="AP1200" s="21" t="n">
        <v>0</v>
      </c>
      <c r="AQ1200" s="21" t="n">
        <v>0</v>
      </c>
      <c r="AR1200" s="21" t="n">
        <v>0</v>
      </c>
      <c r="AS1200" s="21" t="n">
        <v>0</v>
      </c>
      <c r="AT1200" s="19" t="n"/>
    </row>
    <row r="1201">
      <c r="D1201" s="21">
        <f>-$B$18</f>
        <v/>
      </c>
      <c r="E1201" s="21">
        <f>-$B$19</f>
        <v/>
      </c>
      <c r="F1201" s="21">
        <f>2*$B$18+$D$1178</f>
        <v/>
      </c>
      <c r="G1201" s="21">
        <f>0</f>
        <v/>
      </c>
      <c r="H1201" s="21">
        <f>-$B$18</f>
        <v/>
      </c>
      <c r="I1201" s="21">
        <f>$B$19</f>
        <v/>
      </c>
      <c r="J1201" s="21" t="n">
        <v>0</v>
      </c>
      <c r="K1201" s="21" t="n">
        <v>0</v>
      </c>
      <c r="L1201" s="21" t="n">
        <v>0</v>
      </c>
      <c r="M1201" s="21" t="n">
        <v>0</v>
      </c>
      <c r="N1201" s="21" t="n">
        <v>0</v>
      </c>
      <c r="O1201" s="21" t="n">
        <v>0</v>
      </c>
      <c r="P1201" s="21" t="n">
        <v>0</v>
      </c>
      <c r="Q1201" s="21" t="n">
        <v>0</v>
      </c>
      <c r="R1201" s="21" t="n">
        <v>0</v>
      </c>
      <c r="S1201" s="21" t="n">
        <v>0</v>
      </c>
      <c r="T1201" s="21" t="n">
        <v>0</v>
      </c>
      <c r="U1201" s="21" t="n">
        <v>0</v>
      </c>
      <c r="V1201" s="21" t="n">
        <v>0</v>
      </c>
      <c r="W1201" s="21" t="n">
        <v>0</v>
      </c>
      <c r="X1201" s="21" t="n">
        <v>0</v>
      </c>
      <c r="Y1201" s="21" t="n">
        <v>0</v>
      </c>
      <c r="Z1201" s="21" t="n">
        <v>0</v>
      </c>
      <c r="AA1201" s="21" t="n">
        <v>0</v>
      </c>
      <c r="AB1201" s="21" t="n">
        <v>0</v>
      </c>
      <c r="AC1201" s="21" t="n">
        <v>0</v>
      </c>
      <c r="AD1201" s="21" t="n">
        <v>0</v>
      </c>
      <c r="AE1201" s="21" t="n">
        <v>0</v>
      </c>
      <c r="AF1201" s="21" t="n">
        <v>0</v>
      </c>
      <c r="AG1201" s="21" t="n">
        <v>0</v>
      </c>
      <c r="AH1201" s="21" t="n">
        <v>0</v>
      </c>
      <c r="AI1201" s="21" t="n">
        <v>0</v>
      </c>
      <c r="AJ1201" s="21" t="n">
        <v>0</v>
      </c>
      <c r="AK1201" s="21" t="n">
        <v>0</v>
      </c>
      <c r="AL1201" s="21" t="n">
        <v>0</v>
      </c>
      <c r="AM1201" s="21" t="n">
        <v>0</v>
      </c>
      <c r="AN1201" s="21" t="n">
        <v>0</v>
      </c>
      <c r="AO1201" s="21" t="n">
        <v>0</v>
      </c>
      <c r="AP1201" s="21" t="n">
        <v>0</v>
      </c>
      <c r="AQ1201" s="21" t="n">
        <v>0</v>
      </c>
      <c r="AR1201" s="21" t="n">
        <v>0</v>
      </c>
      <c r="AS1201" s="21" t="n">
        <v>0</v>
      </c>
      <c r="AT1201" s="19" t="n"/>
    </row>
    <row r="1202">
      <c r="D1202" s="21">
        <f>$B$19</f>
        <v/>
      </c>
      <c r="E1202" s="21">
        <f>$B$21</f>
        <v/>
      </c>
      <c r="F1202" s="21">
        <f>0</f>
        <v/>
      </c>
      <c r="G1202" s="21">
        <f>2*$B$20</f>
        <v/>
      </c>
      <c r="H1202" s="21">
        <f>-$B$19</f>
        <v/>
      </c>
      <c r="I1202" s="21">
        <f>$B$21</f>
        <v/>
      </c>
      <c r="J1202" s="21" t="n">
        <v>0</v>
      </c>
      <c r="K1202" s="21" t="n">
        <v>0</v>
      </c>
      <c r="L1202" s="21" t="n">
        <v>0</v>
      </c>
      <c r="M1202" s="21" t="n">
        <v>0</v>
      </c>
      <c r="N1202" s="21" t="n">
        <v>0</v>
      </c>
      <c r="O1202" s="21" t="n">
        <v>0</v>
      </c>
      <c r="P1202" s="21" t="n">
        <v>0</v>
      </c>
      <c r="Q1202" s="21" t="n">
        <v>0</v>
      </c>
      <c r="R1202" s="21" t="n">
        <v>0</v>
      </c>
      <c r="S1202" s="21" t="n">
        <v>0</v>
      </c>
      <c r="T1202" s="21" t="n">
        <v>0</v>
      </c>
      <c r="U1202" s="21" t="n">
        <v>0</v>
      </c>
      <c r="V1202" s="21" t="n">
        <v>0</v>
      </c>
      <c r="W1202" s="21" t="n">
        <v>0</v>
      </c>
      <c r="X1202" s="21" t="n">
        <v>0</v>
      </c>
      <c r="Y1202" s="21" t="n">
        <v>0</v>
      </c>
      <c r="Z1202" s="21" t="n">
        <v>0</v>
      </c>
      <c r="AA1202" s="21" t="n">
        <v>0</v>
      </c>
      <c r="AB1202" s="21" t="n">
        <v>0</v>
      </c>
      <c r="AC1202" s="21" t="n">
        <v>0</v>
      </c>
      <c r="AD1202" s="21" t="n">
        <v>0</v>
      </c>
      <c r="AE1202" s="21" t="n">
        <v>0</v>
      </c>
      <c r="AF1202" s="21" t="n">
        <v>0</v>
      </c>
      <c r="AG1202" s="21" t="n">
        <v>0</v>
      </c>
      <c r="AH1202" s="21" t="n">
        <v>0</v>
      </c>
      <c r="AI1202" s="21" t="n">
        <v>0</v>
      </c>
      <c r="AJ1202" s="21" t="n">
        <v>0</v>
      </c>
      <c r="AK1202" s="21" t="n">
        <v>0</v>
      </c>
      <c r="AL1202" s="21" t="n">
        <v>0</v>
      </c>
      <c r="AM1202" s="21" t="n">
        <v>0</v>
      </c>
      <c r="AN1202" s="21" t="n">
        <v>0</v>
      </c>
      <c r="AO1202" s="21" t="n">
        <v>0</v>
      </c>
      <c r="AP1202" s="21" t="n">
        <v>0</v>
      </c>
      <c r="AQ1202" s="21" t="n">
        <v>0</v>
      </c>
      <c r="AR1202" s="21" t="n">
        <v>0</v>
      </c>
      <c r="AS1202" s="21" t="n">
        <v>0</v>
      </c>
      <c r="AT1202" s="19" t="n"/>
    </row>
    <row r="1203">
      <c r="D1203" s="21" t="n">
        <v>0</v>
      </c>
      <c r="E1203" s="21" t="n">
        <v>0</v>
      </c>
      <c r="F1203" s="21">
        <f>-$B$18</f>
        <v/>
      </c>
      <c r="G1203" s="21">
        <f>-$B$19</f>
        <v/>
      </c>
      <c r="H1203" s="21">
        <f>2*$B$18+$D$1179</f>
        <v/>
      </c>
      <c r="I1203" s="21">
        <f>0</f>
        <v/>
      </c>
      <c r="J1203" s="21">
        <f>-$B$18</f>
        <v/>
      </c>
      <c r="K1203" s="21">
        <f>$B$19</f>
        <v/>
      </c>
      <c r="L1203" s="21" t="n">
        <v>0</v>
      </c>
      <c r="M1203" s="21" t="n">
        <v>0</v>
      </c>
      <c r="N1203" s="21" t="n">
        <v>0</v>
      </c>
      <c r="O1203" s="21" t="n">
        <v>0</v>
      </c>
      <c r="P1203" s="21" t="n">
        <v>0</v>
      </c>
      <c r="Q1203" s="21" t="n">
        <v>0</v>
      </c>
      <c r="R1203" s="21" t="n">
        <v>0</v>
      </c>
      <c r="S1203" s="21" t="n">
        <v>0</v>
      </c>
      <c r="T1203" s="21" t="n">
        <v>0</v>
      </c>
      <c r="U1203" s="21" t="n">
        <v>0</v>
      </c>
      <c r="V1203" s="21" t="n">
        <v>0</v>
      </c>
      <c r="W1203" s="21" t="n">
        <v>0</v>
      </c>
      <c r="X1203" s="21" t="n">
        <v>0</v>
      </c>
      <c r="Y1203" s="21" t="n">
        <v>0</v>
      </c>
      <c r="Z1203" s="21" t="n">
        <v>0</v>
      </c>
      <c r="AA1203" s="21" t="n">
        <v>0</v>
      </c>
      <c r="AB1203" s="21" t="n">
        <v>0</v>
      </c>
      <c r="AC1203" s="21" t="n">
        <v>0</v>
      </c>
      <c r="AD1203" s="21" t="n">
        <v>0</v>
      </c>
      <c r="AE1203" s="21" t="n">
        <v>0</v>
      </c>
      <c r="AF1203" s="21" t="n">
        <v>0</v>
      </c>
      <c r="AG1203" s="21" t="n">
        <v>0</v>
      </c>
      <c r="AH1203" s="21" t="n">
        <v>0</v>
      </c>
      <c r="AI1203" s="21" t="n">
        <v>0</v>
      </c>
      <c r="AJ1203" s="21" t="n">
        <v>0</v>
      </c>
      <c r="AK1203" s="21" t="n">
        <v>0</v>
      </c>
      <c r="AL1203" s="21" t="n">
        <v>0</v>
      </c>
      <c r="AM1203" s="21" t="n">
        <v>0</v>
      </c>
      <c r="AN1203" s="21" t="n">
        <v>0</v>
      </c>
      <c r="AO1203" s="21" t="n">
        <v>0</v>
      </c>
      <c r="AP1203" s="21" t="n">
        <v>0</v>
      </c>
      <c r="AQ1203" s="21" t="n">
        <v>0</v>
      </c>
      <c r="AR1203" s="21" t="n">
        <v>0</v>
      </c>
      <c r="AS1203" s="21" t="n">
        <v>0</v>
      </c>
      <c r="AT1203" s="19" t="n"/>
    </row>
    <row r="1204">
      <c r="D1204" s="21" t="n">
        <v>0</v>
      </c>
      <c r="E1204" s="21" t="n">
        <v>0</v>
      </c>
      <c r="F1204" s="21">
        <f>$B$19</f>
        <v/>
      </c>
      <c r="G1204" s="21">
        <f>$B$21</f>
        <v/>
      </c>
      <c r="H1204" s="21">
        <f>0</f>
        <v/>
      </c>
      <c r="I1204" s="21">
        <f>2*$B$20</f>
        <v/>
      </c>
      <c r="J1204" s="21">
        <f>-$B$19</f>
        <v/>
      </c>
      <c r="K1204" s="21">
        <f>$B$21</f>
        <v/>
      </c>
      <c r="L1204" s="21" t="n">
        <v>0</v>
      </c>
      <c r="M1204" s="21" t="n">
        <v>0</v>
      </c>
      <c r="N1204" s="21" t="n">
        <v>0</v>
      </c>
      <c r="O1204" s="21" t="n">
        <v>0</v>
      </c>
      <c r="P1204" s="21" t="n">
        <v>0</v>
      </c>
      <c r="Q1204" s="21" t="n">
        <v>0</v>
      </c>
      <c r="R1204" s="21" t="n">
        <v>0</v>
      </c>
      <c r="S1204" s="21" t="n">
        <v>0</v>
      </c>
      <c r="T1204" s="21" t="n">
        <v>0</v>
      </c>
      <c r="U1204" s="21" t="n">
        <v>0</v>
      </c>
      <c r="V1204" s="21" t="n">
        <v>0</v>
      </c>
      <c r="W1204" s="21" t="n">
        <v>0</v>
      </c>
      <c r="X1204" s="21" t="n">
        <v>0</v>
      </c>
      <c r="Y1204" s="21" t="n">
        <v>0</v>
      </c>
      <c r="Z1204" s="21" t="n">
        <v>0</v>
      </c>
      <c r="AA1204" s="21" t="n">
        <v>0</v>
      </c>
      <c r="AB1204" s="21" t="n">
        <v>0</v>
      </c>
      <c r="AC1204" s="21" t="n">
        <v>0</v>
      </c>
      <c r="AD1204" s="21" t="n">
        <v>0</v>
      </c>
      <c r="AE1204" s="21" t="n">
        <v>0</v>
      </c>
      <c r="AF1204" s="21" t="n">
        <v>0</v>
      </c>
      <c r="AG1204" s="21" t="n">
        <v>0</v>
      </c>
      <c r="AH1204" s="21" t="n">
        <v>0</v>
      </c>
      <c r="AI1204" s="21" t="n">
        <v>0</v>
      </c>
      <c r="AJ1204" s="21" t="n">
        <v>0</v>
      </c>
      <c r="AK1204" s="21" t="n">
        <v>0</v>
      </c>
      <c r="AL1204" s="21" t="n">
        <v>0</v>
      </c>
      <c r="AM1204" s="21" t="n">
        <v>0</v>
      </c>
      <c r="AN1204" s="21" t="n">
        <v>0</v>
      </c>
      <c r="AO1204" s="21" t="n">
        <v>0</v>
      </c>
      <c r="AP1204" s="21" t="n">
        <v>0</v>
      </c>
      <c r="AQ1204" s="21" t="n">
        <v>0</v>
      </c>
      <c r="AR1204" s="21" t="n">
        <v>0</v>
      </c>
      <c r="AS1204" s="21" t="n">
        <v>0</v>
      </c>
      <c r="AT1204" s="19" t="n"/>
    </row>
    <row r="1205">
      <c r="D1205" s="21" t="n">
        <v>0</v>
      </c>
      <c r="E1205" s="21" t="n">
        <v>0</v>
      </c>
      <c r="F1205" s="21" t="n">
        <v>0</v>
      </c>
      <c r="G1205" s="21" t="n">
        <v>0</v>
      </c>
      <c r="H1205" s="21">
        <f>-$B$18</f>
        <v/>
      </c>
      <c r="I1205" s="21">
        <f>-$B$19</f>
        <v/>
      </c>
      <c r="J1205" s="21">
        <f>2*$B$18+$D$1180</f>
        <v/>
      </c>
      <c r="K1205" s="21">
        <f>0</f>
        <v/>
      </c>
      <c r="L1205" s="21">
        <f>-$B$18</f>
        <v/>
      </c>
      <c r="M1205" s="21">
        <f>$B$19</f>
        <v/>
      </c>
      <c r="N1205" s="21" t="n">
        <v>0</v>
      </c>
      <c r="O1205" s="21" t="n">
        <v>0</v>
      </c>
      <c r="P1205" s="21" t="n">
        <v>0</v>
      </c>
      <c r="Q1205" s="21" t="n">
        <v>0</v>
      </c>
      <c r="R1205" s="21" t="n">
        <v>0</v>
      </c>
      <c r="S1205" s="21" t="n">
        <v>0</v>
      </c>
      <c r="T1205" s="21" t="n">
        <v>0</v>
      </c>
      <c r="U1205" s="21" t="n">
        <v>0</v>
      </c>
      <c r="V1205" s="21" t="n">
        <v>0</v>
      </c>
      <c r="W1205" s="21" t="n">
        <v>0</v>
      </c>
      <c r="X1205" s="21" t="n">
        <v>0</v>
      </c>
      <c r="Y1205" s="21" t="n">
        <v>0</v>
      </c>
      <c r="Z1205" s="21" t="n">
        <v>0</v>
      </c>
      <c r="AA1205" s="21" t="n">
        <v>0</v>
      </c>
      <c r="AB1205" s="21" t="n">
        <v>0</v>
      </c>
      <c r="AC1205" s="21" t="n">
        <v>0</v>
      </c>
      <c r="AD1205" s="21" t="n">
        <v>0</v>
      </c>
      <c r="AE1205" s="21" t="n">
        <v>0</v>
      </c>
      <c r="AF1205" s="21" t="n">
        <v>0</v>
      </c>
      <c r="AG1205" s="21" t="n">
        <v>0</v>
      </c>
      <c r="AH1205" s="21" t="n">
        <v>0</v>
      </c>
      <c r="AI1205" s="21" t="n">
        <v>0</v>
      </c>
      <c r="AJ1205" s="21" t="n">
        <v>0</v>
      </c>
      <c r="AK1205" s="21" t="n">
        <v>0</v>
      </c>
      <c r="AL1205" s="21" t="n">
        <v>0</v>
      </c>
      <c r="AM1205" s="21" t="n">
        <v>0</v>
      </c>
      <c r="AN1205" s="21" t="n">
        <v>0</v>
      </c>
      <c r="AO1205" s="21" t="n">
        <v>0</v>
      </c>
      <c r="AP1205" s="21" t="n">
        <v>0</v>
      </c>
      <c r="AQ1205" s="21" t="n">
        <v>0</v>
      </c>
      <c r="AR1205" s="21" t="n">
        <v>0</v>
      </c>
      <c r="AS1205" s="21" t="n">
        <v>0</v>
      </c>
      <c r="AT1205" s="19" t="n"/>
    </row>
    <row r="1206">
      <c r="D1206" s="21" t="n">
        <v>0</v>
      </c>
      <c r="E1206" s="21" t="n">
        <v>0</v>
      </c>
      <c r="F1206" s="21" t="n">
        <v>0</v>
      </c>
      <c r="G1206" s="21" t="n">
        <v>0</v>
      </c>
      <c r="H1206" s="21">
        <f>$B$19</f>
        <v/>
      </c>
      <c r="I1206" s="21">
        <f>$B$21</f>
        <v/>
      </c>
      <c r="J1206" s="21">
        <f>0</f>
        <v/>
      </c>
      <c r="K1206" s="21">
        <f>2*$B$20</f>
        <v/>
      </c>
      <c r="L1206" s="21">
        <f>-$B$19</f>
        <v/>
      </c>
      <c r="M1206" s="21">
        <f>$B$21</f>
        <v/>
      </c>
      <c r="N1206" s="21" t="n">
        <v>0</v>
      </c>
      <c r="O1206" s="21" t="n">
        <v>0</v>
      </c>
      <c r="P1206" s="21" t="n">
        <v>0</v>
      </c>
      <c r="Q1206" s="21" t="n">
        <v>0</v>
      </c>
      <c r="R1206" s="21" t="n">
        <v>0</v>
      </c>
      <c r="S1206" s="21" t="n">
        <v>0</v>
      </c>
      <c r="T1206" s="21" t="n">
        <v>0</v>
      </c>
      <c r="U1206" s="21" t="n">
        <v>0</v>
      </c>
      <c r="V1206" s="21" t="n">
        <v>0</v>
      </c>
      <c r="W1206" s="21" t="n">
        <v>0</v>
      </c>
      <c r="X1206" s="21" t="n">
        <v>0</v>
      </c>
      <c r="Y1206" s="21" t="n">
        <v>0</v>
      </c>
      <c r="Z1206" s="21" t="n">
        <v>0</v>
      </c>
      <c r="AA1206" s="21" t="n">
        <v>0</v>
      </c>
      <c r="AB1206" s="21" t="n">
        <v>0</v>
      </c>
      <c r="AC1206" s="21" t="n">
        <v>0</v>
      </c>
      <c r="AD1206" s="21" t="n">
        <v>0</v>
      </c>
      <c r="AE1206" s="21" t="n">
        <v>0</v>
      </c>
      <c r="AF1206" s="21" t="n">
        <v>0</v>
      </c>
      <c r="AG1206" s="21" t="n">
        <v>0</v>
      </c>
      <c r="AH1206" s="21" t="n">
        <v>0</v>
      </c>
      <c r="AI1206" s="21" t="n">
        <v>0</v>
      </c>
      <c r="AJ1206" s="21" t="n">
        <v>0</v>
      </c>
      <c r="AK1206" s="21" t="n">
        <v>0</v>
      </c>
      <c r="AL1206" s="21" t="n">
        <v>0</v>
      </c>
      <c r="AM1206" s="21" t="n">
        <v>0</v>
      </c>
      <c r="AN1206" s="21" t="n">
        <v>0</v>
      </c>
      <c r="AO1206" s="21" t="n">
        <v>0</v>
      </c>
      <c r="AP1206" s="21" t="n">
        <v>0</v>
      </c>
      <c r="AQ1206" s="21" t="n">
        <v>0</v>
      </c>
      <c r="AR1206" s="21" t="n">
        <v>0</v>
      </c>
      <c r="AS1206" s="21" t="n">
        <v>0</v>
      </c>
      <c r="AT1206" s="19" t="n"/>
    </row>
    <row r="1207">
      <c r="D1207" s="21" t="n">
        <v>0</v>
      </c>
      <c r="E1207" s="21" t="n">
        <v>0</v>
      </c>
      <c r="F1207" s="21" t="n">
        <v>0</v>
      </c>
      <c r="G1207" s="21" t="n">
        <v>0</v>
      </c>
      <c r="H1207" s="21" t="n">
        <v>0</v>
      </c>
      <c r="I1207" s="21" t="n">
        <v>0</v>
      </c>
      <c r="J1207" s="21">
        <f>-$B$18</f>
        <v/>
      </c>
      <c r="K1207" s="21">
        <f>-$B$19</f>
        <v/>
      </c>
      <c r="L1207" s="21">
        <f>2*$B$18+$D$1181</f>
        <v/>
      </c>
      <c r="M1207" s="21">
        <f>0</f>
        <v/>
      </c>
      <c r="N1207" s="21">
        <f>-$B$18</f>
        <v/>
      </c>
      <c r="O1207" s="21">
        <f>$B$19</f>
        <v/>
      </c>
      <c r="P1207" s="21" t="n">
        <v>0</v>
      </c>
      <c r="Q1207" s="21" t="n">
        <v>0</v>
      </c>
      <c r="R1207" s="21" t="n">
        <v>0</v>
      </c>
      <c r="S1207" s="21" t="n">
        <v>0</v>
      </c>
      <c r="T1207" s="21" t="n">
        <v>0</v>
      </c>
      <c r="U1207" s="21" t="n">
        <v>0</v>
      </c>
      <c r="V1207" s="21" t="n">
        <v>0</v>
      </c>
      <c r="W1207" s="21" t="n">
        <v>0</v>
      </c>
      <c r="X1207" s="21" t="n">
        <v>0</v>
      </c>
      <c r="Y1207" s="21" t="n">
        <v>0</v>
      </c>
      <c r="Z1207" s="21" t="n">
        <v>0</v>
      </c>
      <c r="AA1207" s="21" t="n">
        <v>0</v>
      </c>
      <c r="AB1207" s="21" t="n">
        <v>0</v>
      </c>
      <c r="AC1207" s="21" t="n">
        <v>0</v>
      </c>
      <c r="AD1207" s="21" t="n">
        <v>0</v>
      </c>
      <c r="AE1207" s="21" t="n">
        <v>0</v>
      </c>
      <c r="AF1207" s="21" t="n">
        <v>0</v>
      </c>
      <c r="AG1207" s="21" t="n">
        <v>0</v>
      </c>
      <c r="AH1207" s="21" t="n">
        <v>0</v>
      </c>
      <c r="AI1207" s="21" t="n">
        <v>0</v>
      </c>
      <c r="AJ1207" s="21" t="n">
        <v>0</v>
      </c>
      <c r="AK1207" s="21" t="n">
        <v>0</v>
      </c>
      <c r="AL1207" s="21" t="n">
        <v>0</v>
      </c>
      <c r="AM1207" s="21" t="n">
        <v>0</v>
      </c>
      <c r="AN1207" s="21" t="n">
        <v>0</v>
      </c>
      <c r="AO1207" s="21" t="n">
        <v>0</v>
      </c>
      <c r="AP1207" s="21" t="n">
        <v>0</v>
      </c>
      <c r="AQ1207" s="21" t="n">
        <v>0</v>
      </c>
      <c r="AR1207" s="21" t="n">
        <v>0</v>
      </c>
      <c r="AS1207" s="21" t="n">
        <v>0</v>
      </c>
      <c r="AT1207" s="19" t="n"/>
    </row>
    <row r="1208">
      <c r="D1208" s="21" t="n">
        <v>0</v>
      </c>
      <c r="E1208" s="21" t="n">
        <v>0</v>
      </c>
      <c r="F1208" s="21" t="n">
        <v>0</v>
      </c>
      <c r="G1208" s="21" t="n">
        <v>0</v>
      </c>
      <c r="H1208" s="21" t="n">
        <v>0</v>
      </c>
      <c r="I1208" s="21" t="n">
        <v>0</v>
      </c>
      <c r="J1208" s="21">
        <f>$B$19</f>
        <v/>
      </c>
      <c r="K1208" s="21">
        <f>$B$21</f>
        <v/>
      </c>
      <c r="L1208" s="21">
        <f>0</f>
        <v/>
      </c>
      <c r="M1208" s="21">
        <f>2*$B$20</f>
        <v/>
      </c>
      <c r="N1208" s="21">
        <f>-$B$19</f>
        <v/>
      </c>
      <c r="O1208" s="21">
        <f>$B$21</f>
        <v/>
      </c>
      <c r="P1208" s="21" t="n">
        <v>0</v>
      </c>
      <c r="Q1208" s="21" t="n">
        <v>0</v>
      </c>
      <c r="R1208" s="21" t="n">
        <v>0</v>
      </c>
      <c r="S1208" s="21" t="n">
        <v>0</v>
      </c>
      <c r="T1208" s="21" t="n">
        <v>0</v>
      </c>
      <c r="U1208" s="21" t="n">
        <v>0</v>
      </c>
      <c r="V1208" s="21" t="n">
        <v>0</v>
      </c>
      <c r="W1208" s="21" t="n">
        <v>0</v>
      </c>
      <c r="X1208" s="21" t="n">
        <v>0</v>
      </c>
      <c r="Y1208" s="21" t="n">
        <v>0</v>
      </c>
      <c r="Z1208" s="21" t="n">
        <v>0</v>
      </c>
      <c r="AA1208" s="21" t="n">
        <v>0</v>
      </c>
      <c r="AB1208" s="21" t="n">
        <v>0</v>
      </c>
      <c r="AC1208" s="21" t="n">
        <v>0</v>
      </c>
      <c r="AD1208" s="21" t="n">
        <v>0</v>
      </c>
      <c r="AE1208" s="21" t="n">
        <v>0</v>
      </c>
      <c r="AF1208" s="21" t="n">
        <v>0</v>
      </c>
      <c r="AG1208" s="21" t="n">
        <v>0</v>
      </c>
      <c r="AH1208" s="21" t="n">
        <v>0</v>
      </c>
      <c r="AI1208" s="21" t="n">
        <v>0</v>
      </c>
      <c r="AJ1208" s="21" t="n">
        <v>0</v>
      </c>
      <c r="AK1208" s="21" t="n">
        <v>0</v>
      </c>
      <c r="AL1208" s="21" t="n">
        <v>0</v>
      </c>
      <c r="AM1208" s="21" t="n">
        <v>0</v>
      </c>
      <c r="AN1208" s="21" t="n">
        <v>0</v>
      </c>
      <c r="AO1208" s="21" t="n">
        <v>0</v>
      </c>
      <c r="AP1208" s="21" t="n">
        <v>0</v>
      </c>
      <c r="AQ1208" s="21" t="n">
        <v>0</v>
      </c>
      <c r="AR1208" s="21" t="n">
        <v>0</v>
      </c>
      <c r="AS1208" s="21" t="n">
        <v>0</v>
      </c>
      <c r="AT1208" s="19" t="n"/>
    </row>
    <row r="1209">
      <c r="D1209" s="21" t="n">
        <v>0</v>
      </c>
      <c r="E1209" s="21" t="n">
        <v>0</v>
      </c>
      <c r="F1209" s="21" t="n">
        <v>0</v>
      </c>
      <c r="G1209" s="21" t="n">
        <v>0</v>
      </c>
      <c r="H1209" s="21" t="n">
        <v>0</v>
      </c>
      <c r="I1209" s="21" t="n">
        <v>0</v>
      </c>
      <c r="J1209" s="21" t="n">
        <v>0</v>
      </c>
      <c r="K1209" s="21" t="n">
        <v>0</v>
      </c>
      <c r="L1209" s="21">
        <f>-$B$18</f>
        <v/>
      </c>
      <c r="M1209" s="21">
        <f>-$B$19</f>
        <v/>
      </c>
      <c r="N1209" s="21">
        <f>2*$B$18+$D$1182</f>
        <v/>
      </c>
      <c r="O1209" s="21">
        <f>0</f>
        <v/>
      </c>
      <c r="P1209" s="21">
        <f>-$B$18</f>
        <v/>
      </c>
      <c r="Q1209" s="21">
        <f>$B$19</f>
        <v/>
      </c>
      <c r="R1209" s="21" t="n">
        <v>0</v>
      </c>
      <c r="S1209" s="21" t="n">
        <v>0</v>
      </c>
      <c r="T1209" s="21" t="n">
        <v>0</v>
      </c>
      <c r="U1209" s="21" t="n">
        <v>0</v>
      </c>
      <c r="V1209" s="21" t="n">
        <v>0</v>
      </c>
      <c r="W1209" s="21" t="n">
        <v>0</v>
      </c>
      <c r="X1209" s="21" t="n">
        <v>0</v>
      </c>
      <c r="Y1209" s="21" t="n">
        <v>0</v>
      </c>
      <c r="Z1209" s="21" t="n">
        <v>0</v>
      </c>
      <c r="AA1209" s="21" t="n">
        <v>0</v>
      </c>
      <c r="AB1209" s="21" t="n">
        <v>0</v>
      </c>
      <c r="AC1209" s="21" t="n">
        <v>0</v>
      </c>
      <c r="AD1209" s="21" t="n">
        <v>0</v>
      </c>
      <c r="AE1209" s="21" t="n">
        <v>0</v>
      </c>
      <c r="AF1209" s="21" t="n">
        <v>0</v>
      </c>
      <c r="AG1209" s="21" t="n">
        <v>0</v>
      </c>
      <c r="AH1209" s="21" t="n">
        <v>0</v>
      </c>
      <c r="AI1209" s="21" t="n">
        <v>0</v>
      </c>
      <c r="AJ1209" s="21" t="n">
        <v>0</v>
      </c>
      <c r="AK1209" s="21" t="n">
        <v>0</v>
      </c>
      <c r="AL1209" s="21" t="n">
        <v>0</v>
      </c>
      <c r="AM1209" s="21" t="n">
        <v>0</v>
      </c>
      <c r="AN1209" s="21" t="n">
        <v>0</v>
      </c>
      <c r="AO1209" s="21" t="n">
        <v>0</v>
      </c>
      <c r="AP1209" s="21" t="n">
        <v>0</v>
      </c>
      <c r="AQ1209" s="21" t="n">
        <v>0</v>
      </c>
      <c r="AR1209" s="21" t="n">
        <v>0</v>
      </c>
      <c r="AS1209" s="21" t="n">
        <v>0</v>
      </c>
      <c r="AT1209" s="19" t="n"/>
    </row>
    <row r="1210">
      <c r="D1210" s="21" t="n">
        <v>0</v>
      </c>
      <c r="E1210" s="21" t="n">
        <v>0</v>
      </c>
      <c r="F1210" s="21" t="n">
        <v>0</v>
      </c>
      <c r="G1210" s="21" t="n">
        <v>0</v>
      </c>
      <c r="H1210" s="21" t="n">
        <v>0</v>
      </c>
      <c r="I1210" s="21" t="n">
        <v>0</v>
      </c>
      <c r="J1210" s="21" t="n">
        <v>0</v>
      </c>
      <c r="K1210" s="21" t="n">
        <v>0</v>
      </c>
      <c r="L1210" s="21">
        <f>$B$19</f>
        <v/>
      </c>
      <c r="M1210" s="21">
        <f>$B$21</f>
        <v/>
      </c>
      <c r="N1210" s="21">
        <f>0</f>
        <v/>
      </c>
      <c r="O1210" s="21">
        <f>2*$B$20</f>
        <v/>
      </c>
      <c r="P1210" s="21">
        <f>-$B$19</f>
        <v/>
      </c>
      <c r="Q1210" s="21">
        <f>$B$21</f>
        <v/>
      </c>
      <c r="R1210" s="21" t="n">
        <v>0</v>
      </c>
      <c r="S1210" s="21" t="n">
        <v>0</v>
      </c>
      <c r="T1210" s="21" t="n">
        <v>0</v>
      </c>
      <c r="U1210" s="21" t="n">
        <v>0</v>
      </c>
      <c r="V1210" s="21" t="n">
        <v>0</v>
      </c>
      <c r="W1210" s="21" t="n">
        <v>0</v>
      </c>
      <c r="X1210" s="21" t="n">
        <v>0</v>
      </c>
      <c r="Y1210" s="21" t="n">
        <v>0</v>
      </c>
      <c r="Z1210" s="21" t="n">
        <v>0</v>
      </c>
      <c r="AA1210" s="21" t="n">
        <v>0</v>
      </c>
      <c r="AB1210" s="21" t="n">
        <v>0</v>
      </c>
      <c r="AC1210" s="21" t="n">
        <v>0</v>
      </c>
      <c r="AD1210" s="21" t="n">
        <v>0</v>
      </c>
      <c r="AE1210" s="21" t="n">
        <v>0</v>
      </c>
      <c r="AF1210" s="21" t="n">
        <v>0</v>
      </c>
      <c r="AG1210" s="21" t="n">
        <v>0</v>
      </c>
      <c r="AH1210" s="21" t="n">
        <v>0</v>
      </c>
      <c r="AI1210" s="21" t="n">
        <v>0</v>
      </c>
      <c r="AJ1210" s="21" t="n">
        <v>0</v>
      </c>
      <c r="AK1210" s="21" t="n">
        <v>0</v>
      </c>
      <c r="AL1210" s="21" t="n">
        <v>0</v>
      </c>
      <c r="AM1210" s="21" t="n">
        <v>0</v>
      </c>
      <c r="AN1210" s="21" t="n">
        <v>0</v>
      </c>
      <c r="AO1210" s="21" t="n">
        <v>0</v>
      </c>
      <c r="AP1210" s="21" t="n">
        <v>0</v>
      </c>
      <c r="AQ1210" s="21" t="n">
        <v>0</v>
      </c>
      <c r="AR1210" s="21" t="n">
        <v>0</v>
      </c>
      <c r="AS1210" s="21" t="n">
        <v>0</v>
      </c>
      <c r="AT1210" s="19" t="n"/>
    </row>
    <row r="1211">
      <c r="D1211" s="21" t="n">
        <v>0</v>
      </c>
      <c r="E1211" s="21" t="n">
        <v>0</v>
      </c>
      <c r="F1211" s="21" t="n">
        <v>0</v>
      </c>
      <c r="G1211" s="21" t="n">
        <v>0</v>
      </c>
      <c r="H1211" s="21" t="n">
        <v>0</v>
      </c>
      <c r="I1211" s="21" t="n">
        <v>0</v>
      </c>
      <c r="J1211" s="21" t="n">
        <v>0</v>
      </c>
      <c r="K1211" s="21" t="n">
        <v>0</v>
      </c>
      <c r="L1211" s="21" t="n">
        <v>0</v>
      </c>
      <c r="M1211" s="21" t="n">
        <v>0</v>
      </c>
      <c r="N1211" s="21">
        <f>-$B$18</f>
        <v/>
      </c>
      <c r="O1211" s="21">
        <f>-$B$19</f>
        <v/>
      </c>
      <c r="P1211" s="21">
        <f>2*$B$18+$D$1183</f>
        <v/>
      </c>
      <c r="Q1211" s="21">
        <f>0</f>
        <v/>
      </c>
      <c r="R1211" s="21">
        <f>-$B$18</f>
        <v/>
      </c>
      <c r="S1211" s="21">
        <f>$B$19</f>
        <v/>
      </c>
      <c r="T1211" s="21" t="n">
        <v>0</v>
      </c>
      <c r="U1211" s="21" t="n">
        <v>0</v>
      </c>
      <c r="V1211" s="21" t="n">
        <v>0</v>
      </c>
      <c r="W1211" s="21" t="n">
        <v>0</v>
      </c>
      <c r="X1211" s="21" t="n">
        <v>0</v>
      </c>
      <c r="Y1211" s="21" t="n">
        <v>0</v>
      </c>
      <c r="Z1211" s="21" t="n">
        <v>0</v>
      </c>
      <c r="AA1211" s="21" t="n">
        <v>0</v>
      </c>
      <c r="AB1211" s="21" t="n">
        <v>0</v>
      </c>
      <c r="AC1211" s="21" t="n">
        <v>0</v>
      </c>
      <c r="AD1211" s="21" t="n">
        <v>0</v>
      </c>
      <c r="AE1211" s="21" t="n">
        <v>0</v>
      </c>
      <c r="AF1211" s="21" t="n">
        <v>0</v>
      </c>
      <c r="AG1211" s="21" t="n">
        <v>0</v>
      </c>
      <c r="AH1211" s="21" t="n">
        <v>0</v>
      </c>
      <c r="AI1211" s="21" t="n">
        <v>0</v>
      </c>
      <c r="AJ1211" s="21" t="n">
        <v>0</v>
      </c>
      <c r="AK1211" s="21" t="n">
        <v>0</v>
      </c>
      <c r="AL1211" s="21" t="n">
        <v>0</v>
      </c>
      <c r="AM1211" s="21" t="n">
        <v>0</v>
      </c>
      <c r="AN1211" s="21" t="n">
        <v>0</v>
      </c>
      <c r="AO1211" s="21" t="n">
        <v>0</v>
      </c>
      <c r="AP1211" s="21" t="n">
        <v>0</v>
      </c>
      <c r="AQ1211" s="21" t="n">
        <v>0</v>
      </c>
      <c r="AR1211" s="21" t="n">
        <v>0</v>
      </c>
      <c r="AS1211" s="21" t="n">
        <v>0</v>
      </c>
      <c r="AT1211" s="19" t="n"/>
    </row>
    <row r="1212">
      <c r="D1212" s="21" t="n">
        <v>0</v>
      </c>
      <c r="E1212" s="21" t="n">
        <v>0</v>
      </c>
      <c r="F1212" s="21" t="n">
        <v>0</v>
      </c>
      <c r="G1212" s="21" t="n">
        <v>0</v>
      </c>
      <c r="H1212" s="21" t="n">
        <v>0</v>
      </c>
      <c r="I1212" s="21" t="n">
        <v>0</v>
      </c>
      <c r="J1212" s="21" t="n">
        <v>0</v>
      </c>
      <c r="K1212" s="21" t="n">
        <v>0</v>
      </c>
      <c r="L1212" s="21" t="n">
        <v>0</v>
      </c>
      <c r="M1212" s="21" t="n">
        <v>0</v>
      </c>
      <c r="N1212" s="21">
        <f>$B$19</f>
        <v/>
      </c>
      <c r="O1212" s="21">
        <f>$B$21</f>
        <v/>
      </c>
      <c r="P1212" s="21">
        <f>0</f>
        <v/>
      </c>
      <c r="Q1212" s="21">
        <f>2*$B$20</f>
        <v/>
      </c>
      <c r="R1212" s="21">
        <f>-$B$19</f>
        <v/>
      </c>
      <c r="S1212" s="21">
        <f>$B$21</f>
        <v/>
      </c>
      <c r="T1212" s="21" t="n">
        <v>0</v>
      </c>
      <c r="U1212" s="21" t="n">
        <v>0</v>
      </c>
      <c r="V1212" s="21" t="n">
        <v>0</v>
      </c>
      <c r="W1212" s="21" t="n">
        <v>0</v>
      </c>
      <c r="X1212" s="21" t="n">
        <v>0</v>
      </c>
      <c r="Y1212" s="21" t="n">
        <v>0</v>
      </c>
      <c r="Z1212" s="21" t="n">
        <v>0</v>
      </c>
      <c r="AA1212" s="21" t="n">
        <v>0</v>
      </c>
      <c r="AB1212" s="21" t="n">
        <v>0</v>
      </c>
      <c r="AC1212" s="21" t="n">
        <v>0</v>
      </c>
      <c r="AD1212" s="21" t="n">
        <v>0</v>
      </c>
      <c r="AE1212" s="21" t="n">
        <v>0</v>
      </c>
      <c r="AF1212" s="21" t="n">
        <v>0</v>
      </c>
      <c r="AG1212" s="21" t="n">
        <v>0</v>
      </c>
      <c r="AH1212" s="21" t="n">
        <v>0</v>
      </c>
      <c r="AI1212" s="21" t="n">
        <v>0</v>
      </c>
      <c r="AJ1212" s="21" t="n">
        <v>0</v>
      </c>
      <c r="AK1212" s="21" t="n">
        <v>0</v>
      </c>
      <c r="AL1212" s="21" t="n">
        <v>0</v>
      </c>
      <c r="AM1212" s="21" t="n">
        <v>0</v>
      </c>
      <c r="AN1212" s="21" t="n">
        <v>0</v>
      </c>
      <c r="AO1212" s="21" t="n">
        <v>0</v>
      </c>
      <c r="AP1212" s="21" t="n">
        <v>0</v>
      </c>
      <c r="AQ1212" s="21" t="n">
        <v>0</v>
      </c>
      <c r="AR1212" s="21" t="n">
        <v>0</v>
      </c>
      <c r="AS1212" s="21" t="n">
        <v>0</v>
      </c>
      <c r="AT1212" s="19" t="n"/>
    </row>
    <row r="1213">
      <c r="D1213" s="21" t="n">
        <v>0</v>
      </c>
      <c r="E1213" s="21" t="n">
        <v>0</v>
      </c>
      <c r="F1213" s="21" t="n">
        <v>0</v>
      </c>
      <c r="G1213" s="21" t="n">
        <v>0</v>
      </c>
      <c r="H1213" s="21" t="n">
        <v>0</v>
      </c>
      <c r="I1213" s="21" t="n">
        <v>0</v>
      </c>
      <c r="J1213" s="21" t="n">
        <v>0</v>
      </c>
      <c r="K1213" s="21" t="n">
        <v>0</v>
      </c>
      <c r="L1213" s="21" t="n">
        <v>0</v>
      </c>
      <c r="M1213" s="21" t="n">
        <v>0</v>
      </c>
      <c r="N1213" s="21" t="n">
        <v>0</v>
      </c>
      <c r="O1213" s="21" t="n">
        <v>0</v>
      </c>
      <c r="P1213" s="21">
        <f>-$B$18</f>
        <v/>
      </c>
      <c r="Q1213" s="21">
        <f>-$B$19</f>
        <v/>
      </c>
      <c r="R1213" s="21">
        <f>2*$B$18+$D$1184</f>
        <v/>
      </c>
      <c r="S1213" s="21">
        <f>0</f>
        <v/>
      </c>
      <c r="T1213" s="21">
        <f>-$B$18</f>
        <v/>
      </c>
      <c r="U1213" s="21">
        <f>$B$19</f>
        <v/>
      </c>
      <c r="V1213" s="21" t="n">
        <v>0</v>
      </c>
      <c r="W1213" s="21" t="n">
        <v>0</v>
      </c>
      <c r="X1213" s="21" t="n">
        <v>0</v>
      </c>
      <c r="Y1213" s="21" t="n">
        <v>0</v>
      </c>
      <c r="Z1213" s="21" t="n">
        <v>0</v>
      </c>
      <c r="AA1213" s="21" t="n">
        <v>0</v>
      </c>
      <c r="AB1213" s="21" t="n">
        <v>0</v>
      </c>
      <c r="AC1213" s="21" t="n">
        <v>0</v>
      </c>
      <c r="AD1213" s="21" t="n">
        <v>0</v>
      </c>
      <c r="AE1213" s="21" t="n">
        <v>0</v>
      </c>
      <c r="AF1213" s="21" t="n">
        <v>0</v>
      </c>
      <c r="AG1213" s="21" t="n">
        <v>0</v>
      </c>
      <c r="AH1213" s="21" t="n">
        <v>0</v>
      </c>
      <c r="AI1213" s="21" t="n">
        <v>0</v>
      </c>
      <c r="AJ1213" s="21" t="n">
        <v>0</v>
      </c>
      <c r="AK1213" s="21" t="n">
        <v>0</v>
      </c>
      <c r="AL1213" s="21" t="n">
        <v>0</v>
      </c>
      <c r="AM1213" s="21" t="n">
        <v>0</v>
      </c>
      <c r="AN1213" s="21" t="n">
        <v>0</v>
      </c>
      <c r="AO1213" s="21" t="n">
        <v>0</v>
      </c>
      <c r="AP1213" s="21" t="n">
        <v>0</v>
      </c>
      <c r="AQ1213" s="21" t="n">
        <v>0</v>
      </c>
      <c r="AR1213" s="21" t="n">
        <v>0</v>
      </c>
      <c r="AS1213" s="21" t="n">
        <v>0</v>
      </c>
      <c r="AT1213" s="19" t="n"/>
    </row>
    <row r="1214">
      <c r="D1214" s="21" t="n">
        <v>0</v>
      </c>
      <c r="E1214" s="21" t="n">
        <v>0</v>
      </c>
      <c r="F1214" s="21" t="n">
        <v>0</v>
      </c>
      <c r="G1214" s="21" t="n">
        <v>0</v>
      </c>
      <c r="H1214" s="21" t="n">
        <v>0</v>
      </c>
      <c r="I1214" s="21" t="n">
        <v>0</v>
      </c>
      <c r="J1214" s="21" t="n">
        <v>0</v>
      </c>
      <c r="K1214" s="21" t="n">
        <v>0</v>
      </c>
      <c r="L1214" s="21" t="n">
        <v>0</v>
      </c>
      <c r="M1214" s="21" t="n">
        <v>0</v>
      </c>
      <c r="N1214" s="21" t="n">
        <v>0</v>
      </c>
      <c r="O1214" s="21" t="n">
        <v>0</v>
      </c>
      <c r="P1214" s="21">
        <f>$B$19</f>
        <v/>
      </c>
      <c r="Q1214" s="21">
        <f>$B$21</f>
        <v/>
      </c>
      <c r="R1214" s="21">
        <f>0</f>
        <v/>
      </c>
      <c r="S1214" s="21">
        <f>2*$B$20</f>
        <v/>
      </c>
      <c r="T1214" s="21">
        <f>-$B$19</f>
        <v/>
      </c>
      <c r="U1214" s="21">
        <f>$B$21</f>
        <v/>
      </c>
      <c r="V1214" s="21" t="n">
        <v>0</v>
      </c>
      <c r="W1214" s="21" t="n">
        <v>0</v>
      </c>
      <c r="X1214" s="21" t="n">
        <v>0</v>
      </c>
      <c r="Y1214" s="21" t="n">
        <v>0</v>
      </c>
      <c r="Z1214" s="21" t="n">
        <v>0</v>
      </c>
      <c r="AA1214" s="21" t="n">
        <v>0</v>
      </c>
      <c r="AB1214" s="21" t="n">
        <v>0</v>
      </c>
      <c r="AC1214" s="21" t="n">
        <v>0</v>
      </c>
      <c r="AD1214" s="21" t="n">
        <v>0</v>
      </c>
      <c r="AE1214" s="21" t="n">
        <v>0</v>
      </c>
      <c r="AF1214" s="21" t="n">
        <v>0</v>
      </c>
      <c r="AG1214" s="21" t="n">
        <v>0</v>
      </c>
      <c r="AH1214" s="21" t="n">
        <v>0</v>
      </c>
      <c r="AI1214" s="21" t="n">
        <v>0</v>
      </c>
      <c r="AJ1214" s="21" t="n">
        <v>0</v>
      </c>
      <c r="AK1214" s="21" t="n">
        <v>0</v>
      </c>
      <c r="AL1214" s="21" t="n">
        <v>0</v>
      </c>
      <c r="AM1214" s="21" t="n">
        <v>0</v>
      </c>
      <c r="AN1214" s="21" t="n">
        <v>0</v>
      </c>
      <c r="AO1214" s="21" t="n">
        <v>0</v>
      </c>
      <c r="AP1214" s="21" t="n">
        <v>0</v>
      </c>
      <c r="AQ1214" s="21" t="n">
        <v>0</v>
      </c>
      <c r="AR1214" s="21" t="n">
        <v>0</v>
      </c>
      <c r="AS1214" s="21" t="n">
        <v>0</v>
      </c>
      <c r="AT1214" s="19" t="n"/>
    </row>
    <row r="1215">
      <c r="D1215" s="21" t="n">
        <v>0</v>
      </c>
      <c r="E1215" s="21" t="n">
        <v>0</v>
      </c>
      <c r="F1215" s="21" t="n">
        <v>0</v>
      </c>
      <c r="G1215" s="21" t="n">
        <v>0</v>
      </c>
      <c r="H1215" s="21" t="n">
        <v>0</v>
      </c>
      <c r="I1215" s="21" t="n">
        <v>0</v>
      </c>
      <c r="J1215" s="21" t="n">
        <v>0</v>
      </c>
      <c r="K1215" s="21" t="n">
        <v>0</v>
      </c>
      <c r="L1215" s="21" t="n">
        <v>0</v>
      </c>
      <c r="M1215" s="21" t="n">
        <v>0</v>
      </c>
      <c r="N1215" s="21" t="n">
        <v>0</v>
      </c>
      <c r="O1215" s="21" t="n">
        <v>0</v>
      </c>
      <c r="P1215" s="21" t="n">
        <v>0</v>
      </c>
      <c r="Q1215" s="21" t="n">
        <v>0</v>
      </c>
      <c r="R1215" s="21">
        <f>-$B$18</f>
        <v/>
      </c>
      <c r="S1215" s="21">
        <f>-$B$19</f>
        <v/>
      </c>
      <c r="T1215" s="21">
        <f>2*$B$18+$D$1185</f>
        <v/>
      </c>
      <c r="U1215" s="21">
        <f>0</f>
        <v/>
      </c>
      <c r="V1215" s="21">
        <f>-$B$18</f>
        <v/>
      </c>
      <c r="W1215" s="21">
        <f>$B$19</f>
        <v/>
      </c>
      <c r="X1215" s="21" t="n">
        <v>0</v>
      </c>
      <c r="Y1215" s="21" t="n">
        <v>0</v>
      </c>
      <c r="Z1215" s="21" t="n">
        <v>0</v>
      </c>
      <c r="AA1215" s="21" t="n">
        <v>0</v>
      </c>
      <c r="AB1215" s="21" t="n">
        <v>0</v>
      </c>
      <c r="AC1215" s="21" t="n">
        <v>0</v>
      </c>
      <c r="AD1215" s="21" t="n">
        <v>0</v>
      </c>
      <c r="AE1215" s="21" t="n">
        <v>0</v>
      </c>
      <c r="AF1215" s="21" t="n">
        <v>0</v>
      </c>
      <c r="AG1215" s="21" t="n">
        <v>0</v>
      </c>
      <c r="AH1215" s="21" t="n">
        <v>0</v>
      </c>
      <c r="AI1215" s="21" t="n">
        <v>0</v>
      </c>
      <c r="AJ1215" s="21" t="n">
        <v>0</v>
      </c>
      <c r="AK1215" s="21" t="n">
        <v>0</v>
      </c>
      <c r="AL1215" s="21" t="n">
        <v>0</v>
      </c>
      <c r="AM1215" s="21" t="n">
        <v>0</v>
      </c>
      <c r="AN1215" s="21" t="n">
        <v>0</v>
      </c>
      <c r="AO1215" s="21" t="n">
        <v>0</v>
      </c>
      <c r="AP1215" s="21" t="n">
        <v>0</v>
      </c>
      <c r="AQ1215" s="21" t="n">
        <v>0</v>
      </c>
      <c r="AR1215" s="21" t="n">
        <v>0</v>
      </c>
      <c r="AS1215" s="21" t="n">
        <v>0</v>
      </c>
      <c r="AT1215" s="19" t="n"/>
    </row>
    <row r="1216">
      <c r="D1216" s="21" t="n">
        <v>0</v>
      </c>
      <c r="E1216" s="21" t="n">
        <v>0</v>
      </c>
      <c r="F1216" s="21" t="n">
        <v>0</v>
      </c>
      <c r="G1216" s="21" t="n">
        <v>0</v>
      </c>
      <c r="H1216" s="21" t="n">
        <v>0</v>
      </c>
      <c r="I1216" s="21" t="n">
        <v>0</v>
      </c>
      <c r="J1216" s="21" t="n">
        <v>0</v>
      </c>
      <c r="K1216" s="21" t="n">
        <v>0</v>
      </c>
      <c r="L1216" s="21" t="n">
        <v>0</v>
      </c>
      <c r="M1216" s="21" t="n">
        <v>0</v>
      </c>
      <c r="N1216" s="21" t="n">
        <v>0</v>
      </c>
      <c r="O1216" s="21" t="n">
        <v>0</v>
      </c>
      <c r="P1216" s="21" t="n">
        <v>0</v>
      </c>
      <c r="Q1216" s="21" t="n">
        <v>0</v>
      </c>
      <c r="R1216" s="21">
        <f>$B$19</f>
        <v/>
      </c>
      <c r="S1216" s="21">
        <f>$B$21</f>
        <v/>
      </c>
      <c r="T1216" s="21">
        <f>0</f>
        <v/>
      </c>
      <c r="U1216" s="21">
        <f>2*$B$20</f>
        <v/>
      </c>
      <c r="V1216" s="21">
        <f>-$B$19</f>
        <v/>
      </c>
      <c r="W1216" s="21">
        <f>$B$21</f>
        <v/>
      </c>
      <c r="X1216" s="21" t="n">
        <v>0</v>
      </c>
      <c r="Y1216" s="21" t="n">
        <v>0</v>
      </c>
      <c r="Z1216" s="21" t="n">
        <v>0</v>
      </c>
      <c r="AA1216" s="21" t="n">
        <v>0</v>
      </c>
      <c r="AB1216" s="21" t="n">
        <v>0</v>
      </c>
      <c r="AC1216" s="21" t="n">
        <v>0</v>
      </c>
      <c r="AD1216" s="21" t="n">
        <v>0</v>
      </c>
      <c r="AE1216" s="21" t="n">
        <v>0</v>
      </c>
      <c r="AF1216" s="21" t="n">
        <v>0</v>
      </c>
      <c r="AG1216" s="21" t="n">
        <v>0</v>
      </c>
      <c r="AH1216" s="21" t="n">
        <v>0</v>
      </c>
      <c r="AI1216" s="21" t="n">
        <v>0</v>
      </c>
      <c r="AJ1216" s="21" t="n">
        <v>0</v>
      </c>
      <c r="AK1216" s="21" t="n">
        <v>0</v>
      </c>
      <c r="AL1216" s="21" t="n">
        <v>0</v>
      </c>
      <c r="AM1216" s="21" t="n">
        <v>0</v>
      </c>
      <c r="AN1216" s="21" t="n">
        <v>0</v>
      </c>
      <c r="AO1216" s="21" t="n">
        <v>0</v>
      </c>
      <c r="AP1216" s="21" t="n">
        <v>0</v>
      </c>
      <c r="AQ1216" s="21" t="n">
        <v>0</v>
      </c>
      <c r="AR1216" s="21" t="n">
        <v>0</v>
      </c>
      <c r="AS1216" s="21" t="n">
        <v>0</v>
      </c>
      <c r="AT1216" s="19" t="n"/>
    </row>
    <row r="1217">
      <c r="D1217" s="21" t="n">
        <v>0</v>
      </c>
      <c r="E1217" s="21" t="n">
        <v>0</v>
      </c>
      <c r="F1217" s="21" t="n">
        <v>0</v>
      </c>
      <c r="G1217" s="21" t="n">
        <v>0</v>
      </c>
      <c r="H1217" s="21" t="n">
        <v>0</v>
      </c>
      <c r="I1217" s="21" t="n">
        <v>0</v>
      </c>
      <c r="J1217" s="21" t="n">
        <v>0</v>
      </c>
      <c r="K1217" s="21" t="n">
        <v>0</v>
      </c>
      <c r="L1217" s="21" t="n">
        <v>0</v>
      </c>
      <c r="M1217" s="21" t="n">
        <v>0</v>
      </c>
      <c r="N1217" s="21" t="n">
        <v>0</v>
      </c>
      <c r="O1217" s="21" t="n">
        <v>0</v>
      </c>
      <c r="P1217" s="21" t="n">
        <v>0</v>
      </c>
      <c r="Q1217" s="21" t="n">
        <v>0</v>
      </c>
      <c r="R1217" s="21" t="n">
        <v>0</v>
      </c>
      <c r="S1217" s="21" t="n">
        <v>0</v>
      </c>
      <c r="T1217" s="21">
        <f>-$B$18</f>
        <v/>
      </c>
      <c r="U1217" s="21">
        <f>-$B$19</f>
        <v/>
      </c>
      <c r="V1217" s="21">
        <f>2*$B$18+$D$1186</f>
        <v/>
      </c>
      <c r="W1217" s="21">
        <f>0</f>
        <v/>
      </c>
      <c r="X1217" s="21">
        <f>-$B$18</f>
        <v/>
      </c>
      <c r="Y1217" s="21">
        <f>$B$19</f>
        <v/>
      </c>
      <c r="Z1217" s="21" t="n">
        <v>0</v>
      </c>
      <c r="AA1217" s="21" t="n">
        <v>0</v>
      </c>
      <c r="AB1217" s="21" t="n">
        <v>0</v>
      </c>
      <c r="AC1217" s="21" t="n">
        <v>0</v>
      </c>
      <c r="AD1217" s="21" t="n">
        <v>0</v>
      </c>
      <c r="AE1217" s="21" t="n">
        <v>0</v>
      </c>
      <c r="AF1217" s="21" t="n">
        <v>0</v>
      </c>
      <c r="AG1217" s="21" t="n">
        <v>0</v>
      </c>
      <c r="AH1217" s="21" t="n">
        <v>0</v>
      </c>
      <c r="AI1217" s="21" t="n">
        <v>0</v>
      </c>
      <c r="AJ1217" s="21" t="n">
        <v>0</v>
      </c>
      <c r="AK1217" s="21" t="n">
        <v>0</v>
      </c>
      <c r="AL1217" s="21" t="n">
        <v>0</v>
      </c>
      <c r="AM1217" s="21" t="n">
        <v>0</v>
      </c>
      <c r="AN1217" s="21" t="n">
        <v>0</v>
      </c>
      <c r="AO1217" s="21" t="n">
        <v>0</v>
      </c>
      <c r="AP1217" s="21" t="n">
        <v>0</v>
      </c>
      <c r="AQ1217" s="21" t="n">
        <v>0</v>
      </c>
      <c r="AR1217" s="21" t="n">
        <v>0</v>
      </c>
      <c r="AS1217" s="21" t="n">
        <v>0</v>
      </c>
      <c r="AT1217" s="19" t="n"/>
    </row>
    <row r="1218">
      <c r="D1218" s="21" t="n">
        <v>0</v>
      </c>
      <c r="E1218" s="21" t="n">
        <v>0</v>
      </c>
      <c r="F1218" s="21" t="n">
        <v>0</v>
      </c>
      <c r="G1218" s="21" t="n">
        <v>0</v>
      </c>
      <c r="H1218" s="21" t="n">
        <v>0</v>
      </c>
      <c r="I1218" s="21" t="n">
        <v>0</v>
      </c>
      <c r="J1218" s="21" t="n">
        <v>0</v>
      </c>
      <c r="K1218" s="21" t="n">
        <v>0</v>
      </c>
      <c r="L1218" s="21" t="n">
        <v>0</v>
      </c>
      <c r="M1218" s="21" t="n">
        <v>0</v>
      </c>
      <c r="N1218" s="21" t="n">
        <v>0</v>
      </c>
      <c r="O1218" s="21" t="n">
        <v>0</v>
      </c>
      <c r="P1218" s="21" t="n">
        <v>0</v>
      </c>
      <c r="Q1218" s="21" t="n">
        <v>0</v>
      </c>
      <c r="R1218" s="21" t="n">
        <v>0</v>
      </c>
      <c r="S1218" s="21" t="n">
        <v>0</v>
      </c>
      <c r="T1218" s="21">
        <f>$B$19</f>
        <v/>
      </c>
      <c r="U1218" s="21">
        <f>$B$21</f>
        <v/>
      </c>
      <c r="V1218" s="21">
        <f>0</f>
        <v/>
      </c>
      <c r="W1218" s="21">
        <f>2*$B$20</f>
        <v/>
      </c>
      <c r="X1218" s="21">
        <f>-$B$19</f>
        <v/>
      </c>
      <c r="Y1218" s="21">
        <f>$B$21</f>
        <v/>
      </c>
      <c r="Z1218" s="21" t="n">
        <v>0</v>
      </c>
      <c r="AA1218" s="21" t="n">
        <v>0</v>
      </c>
      <c r="AB1218" s="21" t="n">
        <v>0</v>
      </c>
      <c r="AC1218" s="21" t="n">
        <v>0</v>
      </c>
      <c r="AD1218" s="21" t="n">
        <v>0</v>
      </c>
      <c r="AE1218" s="21" t="n">
        <v>0</v>
      </c>
      <c r="AF1218" s="21" t="n">
        <v>0</v>
      </c>
      <c r="AG1218" s="21" t="n">
        <v>0</v>
      </c>
      <c r="AH1218" s="21" t="n">
        <v>0</v>
      </c>
      <c r="AI1218" s="21" t="n">
        <v>0</v>
      </c>
      <c r="AJ1218" s="21" t="n">
        <v>0</v>
      </c>
      <c r="AK1218" s="21" t="n">
        <v>0</v>
      </c>
      <c r="AL1218" s="21" t="n">
        <v>0</v>
      </c>
      <c r="AM1218" s="21" t="n">
        <v>0</v>
      </c>
      <c r="AN1218" s="21" t="n">
        <v>0</v>
      </c>
      <c r="AO1218" s="21" t="n">
        <v>0</v>
      </c>
      <c r="AP1218" s="21" t="n">
        <v>0</v>
      </c>
      <c r="AQ1218" s="21" t="n">
        <v>0</v>
      </c>
      <c r="AR1218" s="21" t="n">
        <v>0</v>
      </c>
      <c r="AS1218" s="21" t="n">
        <v>0</v>
      </c>
      <c r="AT1218" s="19" t="n"/>
    </row>
    <row r="1219">
      <c r="D1219" s="21" t="n">
        <v>0</v>
      </c>
      <c r="E1219" s="21" t="n">
        <v>0</v>
      </c>
      <c r="F1219" s="21" t="n">
        <v>0</v>
      </c>
      <c r="G1219" s="21" t="n">
        <v>0</v>
      </c>
      <c r="H1219" s="21" t="n">
        <v>0</v>
      </c>
      <c r="I1219" s="21" t="n">
        <v>0</v>
      </c>
      <c r="J1219" s="21" t="n">
        <v>0</v>
      </c>
      <c r="K1219" s="21" t="n">
        <v>0</v>
      </c>
      <c r="L1219" s="21" t="n">
        <v>0</v>
      </c>
      <c r="M1219" s="21" t="n">
        <v>0</v>
      </c>
      <c r="N1219" s="21" t="n">
        <v>0</v>
      </c>
      <c r="O1219" s="21" t="n">
        <v>0</v>
      </c>
      <c r="P1219" s="21" t="n">
        <v>0</v>
      </c>
      <c r="Q1219" s="21" t="n">
        <v>0</v>
      </c>
      <c r="R1219" s="21" t="n">
        <v>0</v>
      </c>
      <c r="S1219" s="21" t="n">
        <v>0</v>
      </c>
      <c r="T1219" s="21" t="n">
        <v>0</v>
      </c>
      <c r="U1219" s="21" t="n">
        <v>0</v>
      </c>
      <c r="V1219" s="21">
        <f>-$B$18</f>
        <v/>
      </c>
      <c r="W1219" s="21">
        <f>-$B$19</f>
        <v/>
      </c>
      <c r="X1219" s="21">
        <f>2*$B$18+$D$1187</f>
        <v/>
      </c>
      <c r="Y1219" s="21">
        <f>0</f>
        <v/>
      </c>
      <c r="Z1219" s="21">
        <f>-$B$18</f>
        <v/>
      </c>
      <c r="AA1219" s="21">
        <f>$B$19</f>
        <v/>
      </c>
      <c r="AB1219" s="21" t="n">
        <v>0</v>
      </c>
      <c r="AC1219" s="21" t="n">
        <v>0</v>
      </c>
      <c r="AD1219" s="21" t="n">
        <v>0</v>
      </c>
      <c r="AE1219" s="21" t="n">
        <v>0</v>
      </c>
      <c r="AF1219" s="21" t="n">
        <v>0</v>
      </c>
      <c r="AG1219" s="21" t="n">
        <v>0</v>
      </c>
      <c r="AH1219" s="21" t="n">
        <v>0</v>
      </c>
      <c r="AI1219" s="21" t="n">
        <v>0</v>
      </c>
      <c r="AJ1219" s="21" t="n">
        <v>0</v>
      </c>
      <c r="AK1219" s="21" t="n">
        <v>0</v>
      </c>
      <c r="AL1219" s="21" t="n">
        <v>0</v>
      </c>
      <c r="AM1219" s="21" t="n">
        <v>0</v>
      </c>
      <c r="AN1219" s="21" t="n">
        <v>0</v>
      </c>
      <c r="AO1219" s="21" t="n">
        <v>0</v>
      </c>
      <c r="AP1219" s="21" t="n">
        <v>0</v>
      </c>
      <c r="AQ1219" s="21" t="n">
        <v>0</v>
      </c>
      <c r="AR1219" s="21" t="n">
        <v>0</v>
      </c>
      <c r="AS1219" s="21" t="n">
        <v>0</v>
      </c>
      <c r="AT1219" s="19" t="n"/>
    </row>
    <row r="1220">
      <c r="D1220" s="21" t="n">
        <v>0</v>
      </c>
      <c r="E1220" s="21" t="n">
        <v>0</v>
      </c>
      <c r="F1220" s="21" t="n">
        <v>0</v>
      </c>
      <c r="G1220" s="21" t="n">
        <v>0</v>
      </c>
      <c r="H1220" s="21" t="n">
        <v>0</v>
      </c>
      <c r="I1220" s="21" t="n">
        <v>0</v>
      </c>
      <c r="J1220" s="21" t="n">
        <v>0</v>
      </c>
      <c r="K1220" s="21" t="n">
        <v>0</v>
      </c>
      <c r="L1220" s="21" t="n">
        <v>0</v>
      </c>
      <c r="M1220" s="21" t="n">
        <v>0</v>
      </c>
      <c r="N1220" s="21" t="n">
        <v>0</v>
      </c>
      <c r="O1220" s="21" t="n">
        <v>0</v>
      </c>
      <c r="P1220" s="21" t="n">
        <v>0</v>
      </c>
      <c r="Q1220" s="21" t="n">
        <v>0</v>
      </c>
      <c r="R1220" s="21" t="n">
        <v>0</v>
      </c>
      <c r="S1220" s="21" t="n">
        <v>0</v>
      </c>
      <c r="T1220" s="21" t="n">
        <v>0</v>
      </c>
      <c r="U1220" s="21" t="n">
        <v>0</v>
      </c>
      <c r="V1220" s="21">
        <f>$B$19</f>
        <v/>
      </c>
      <c r="W1220" s="21">
        <f>$B$21</f>
        <v/>
      </c>
      <c r="X1220" s="21">
        <f>0</f>
        <v/>
      </c>
      <c r="Y1220" s="21">
        <f>2*$B$20</f>
        <v/>
      </c>
      <c r="Z1220" s="21">
        <f>-$B$19</f>
        <v/>
      </c>
      <c r="AA1220" s="21">
        <f>$B$21</f>
        <v/>
      </c>
      <c r="AB1220" s="21" t="n">
        <v>0</v>
      </c>
      <c r="AC1220" s="21" t="n">
        <v>0</v>
      </c>
      <c r="AD1220" s="21" t="n">
        <v>0</v>
      </c>
      <c r="AE1220" s="21" t="n">
        <v>0</v>
      </c>
      <c r="AF1220" s="21" t="n">
        <v>0</v>
      </c>
      <c r="AG1220" s="21" t="n">
        <v>0</v>
      </c>
      <c r="AH1220" s="21" t="n">
        <v>0</v>
      </c>
      <c r="AI1220" s="21" t="n">
        <v>0</v>
      </c>
      <c r="AJ1220" s="21" t="n">
        <v>0</v>
      </c>
      <c r="AK1220" s="21" t="n">
        <v>0</v>
      </c>
      <c r="AL1220" s="21" t="n">
        <v>0</v>
      </c>
      <c r="AM1220" s="21" t="n">
        <v>0</v>
      </c>
      <c r="AN1220" s="21" t="n">
        <v>0</v>
      </c>
      <c r="AO1220" s="21" t="n">
        <v>0</v>
      </c>
      <c r="AP1220" s="21" t="n">
        <v>0</v>
      </c>
      <c r="AQ1220" s="21" t="n">
        <v>0</v>
      </c>
      <c r="AR1220" s="21" t="n">
        <v>0</v>
      </c>
      <c r="AS1220" s="21" t="n">
        <v>0</v>
      </c>
      <c r="AT1220" s="19" t="n"/>
    </row>
    <row r="1221">
      <c r="D1221" s="21" t="n">
        <v>0</v>
      </c>
      <c r="E1221" s="21" t="n">
        <v>0</v>
      </c>
      <c r="F1221" s="21" t="n">
        <v>0</v>
      </c>
      <c r="G1221" s="21" t="n">
        <v>0</v>
      </c>
      <c r="H1221" s="21" t="n">
        <v>0</v>
      </c>
      <c r="I1221" s="21" t="n">
        <v>0</v>
      </c>
      <c r="J1221" s="21" t="n">
        <v>0</v>
      </c>
      <c r="K1221" s="21" t="n">
        <v>0</v>
      </c>
      <c r="L1221" s="21" t="n">
        <v>0</v>
      </c>
      <c r="M1221" s="21" t="n">
        <v>0</v>
      </c>
      <c r="N1221" s="21" t="n">
        <v>0</v>
      </c>
      <c r="O1221" s="21" t="n">
        <v>0</v>
      </c>
      <c r="P1221" s="21" t="n">
        <v>0</v>
      </c>
      <c r="Q1221" s="21" t="n">
        <v>0</v>
      </c>
      <c r="R1221" s="21" t="n">
        <v>0</v>
      </c>
      <c r="S1221" s="21" t="n">
        <v>0</v>
      </c>
      <c r="T1221" s="21" t="n">
        <v>0</v>
      </c>
      <c r="U1221" s="21" t="n">
        <v>0</v>
      </c>
      <c r="V1221" s="21" t="n">
        <v>0</v>
      </c>
      <c r="W1221" s="21" t="n">
        <v>0</v>
      </c>
      <c r="X1221" s="21">
        <f>-$B$18</f>
        <v/>
      </c>
      <c r="Y1221" s="21">
        <f>-$B$19</f>
        <v/>
      </c>
      <c r="Z1221" s="21">
        <f>2*$B$18+$D$1188</f>
        <v/>
      </c>
      <c r="AA1221" s="21">
        <f>0</f>
        <v/>
      </c>
      <c r="AB1221" s="21">
        <f>-$B$18</f>
        <v/>
      </c>
      <c r="AC1221" s="21">
        <f>$B$19</f>
        <v/>
      </c>
      <c r="AD1221" s="21" t="n">
        <v>0</v>
      </c>
      <c r="AE1221" s="21" t="n">
        <v>0</v>
      </c>
      <c r="AF1221" s="21" t="n">
        <v>0</v>
      </c>
      <c r="AG1221" s="21" t="n">
        <v>0</v>
      </c>
      <c r="AH1221" s="21" t="n">
        <v>0</v>
      </c>
      <c r="AI1221" s="21" t="n">
        <v>0</v>
      </c>
      <c r="AJ1221" s="21" t="n">
        <v>0</v>
      </c>
      <c r="AK1221" s="21" t="n">
        <v>0</v>
      </c>
      <c r="AL1221" s="21" t="n">
        <v>0</v>
      </c>
      <c r="AM1221" s="21" t="n">
        <v>0</v>
      </c>
      <c r="AN1221" s="21" t="n">
        <v>0</v>
      </c>
      <c r="AO1221" s="21" t="n">
        <v>0</v>
      </c>
      <c r="AP1221" s="21" t="n">
        <v>0</v>
      </c>
      <c r="AQ1221" s="21" t="n">
        <v>0</v>
      </c>
      <c r="AR1221" s="21" t="n">
        <v>0</v>
      </c>
      <c r="AS1221" s="21" t="n">
        <v>0</v>
      </c>
      <c r="AT1221" s="19" t="n"/>
    </row>
    <row r="1222">
      <c r="D1222" s="21" t="n">
        <v>0</v>
      </c>
      <c r="E1222" s="21" t="n">
        <v>0</v>
      </c>
      <c r="F1222" s="21" t="n">
        <v>0</v>
      </c>
      <c r="G1222" s="21" t="n">
        <v>0</v>
      </c>
      <c r="H1222" s="21" t="n">
        <v>0</v>
      </c>
      <c r="I1222" s="21" t="n">
        <v>0</v>
      </c>
      <c r="J1222" s="21" t="n">
        <v>0</v>
      </c>
      <c r="K1222" s="21" t="n">
        <v>0</v>
      </c>
      <c r="L1222" s="21" t="n">
        <v>0</v>
      </c>
      <c r="M1222" s="21" t="n">
        <v>0</v>
      </c>
      <c r="N1222" s="21" t="n">
        <v>0</v>
      </c>
      <c r="O1222" s="21" t="n">
        <v>0</v>
      </c>
      <c r="P1222" s="21" t="n">
        <v>0</v>
      </c>
      <c r="Q1222" s="21" t="n">
        <v>0</v>
      </c>
      <c r="R1222" s="21" t="n">
        <v>0</v>
      </c>
      <c r="S1222" s="21" t="n">
        <v>0</v>
      </c>
      <c r="T1222" s="21" t="n">
        <v>0</v>
      </c>
      <c r="U1222" s="21" t="n">
        <v>0</v>
      </c>
      <c r="V1222" s="21" t="n">
        <v>0</v>
      </c>
      <c r="W1222" s="21" t="n">
        <v>0</v>
      </c>
      <c r="X1222" s="21">
        <f>$B$19</f>
        <v/>
      </c>
      <c r="Y1222" s="21">
        <f>$B$21</f>
        <v/>
      </c>
      <c r="Z1222" s="21">
        <f>0</f>
        <v/>
      </c>
      <c r="AA1222" s="21">
        <f>2*$B$20</f>
        <v/>
      </c>
      <c r="AB1222" s="21">
        <f>-$B$19</f>
        <v/>
      </c>
      <c r="AC1222" s="21">
        <f>$B$21</f>
        <v/>
      </c>
      <c r="AD1222" s="21" t="n">
        <v>0</v>
      </c>
      <c r="AE1222" s="21" t="n">
        <v>0</v>
      </c>
      <c r="AF1222" s="21" t="n">
        <v>0</v>
      </c>
      <c r="AG1222" s="21" t="n">
        <v>0</v>
      </c>
      <c r="AH1222" s="21" t="n">
        <v>0</v>
      </c>
      <c r="AI1222" s="21" t="n">
        <v>0</v>
      </c>
      <c r="AJ1222" s="21" t="n">
        <v>0</v>
      </c>
      <c r="AK1222" s="21" t="n">
        <v>0</v>
      </c>
      <c r="AL1222" s="21" t="n">
        <v>0</v>
      </c>
      <c r="AM1222" s="21" t="n">
        <v>0</v>
      </c>
      <c r="AN1222" s="21" t="n">
        <v>0</v>
      </c>
      <c r="AO1222" s="21" t="n">
        <v>0</v>
      </c>
      <c r="AP1222" s="21" t="n">
        <v>0</v>
      </c>
      <c r="AQ1222" s="21" t="n">
        <v>0</v>
      </c>
      <c r="AR1222" s="21" t="n">
        <v>0</v>
      </c>
      <c r="AS1222" s="21" t="n">
        <v>0</v>
      </c>
      <c r="AT1222" s="19" t="n"/>
    </row>
    <row r="1223">
      <c r="D1223" s="21" t="n">
        <v>0</v>
      </c>
      <c r="E1223" s="21" t="n">
        <v>0</v>
      </c>
      <c r="F1223" s="21" t="n">
        <v>0</v>
      </c>
      <c r="G1223" s="21" t="n">
        <v>0</v>
      </c>
      <c r="H1223" s="21" t="n">
        <v>0</v>
      </c>
      <c r="I1223" s="21" t="n">
        <v>0</v>
      </c>
      <c r="J1223" s="21" t="n">
        <v>0</v>
      </c>
      <c r="K1223" s="21" t="n">
        <v>0</v>
      </c>
      <c r="L1223" s="21" t="n">
        <v>0</v>
      </c>
      <c r="M1223" s="21" t="n">
        <v>0</v>
      </c>
      <c r="N1223" s="21" t="n">
        <v>0</v>
      </c>
      <c r="O1223" s="21" t="n">
        <v>0</v>
      </c>
      <c r="P1223" s="21" t="n">
        <v>0</v>
      </c>
      <c r="Q1223" s="21" t="n">
        <v>0</v>
      </c>
      <c r="R1223" s="21" t="n">
        <v>0</v>
      </c>
      <c r="S1223" s="21" t="n">
        <v>0</v>
      </c>
      <c r="T1223" s="21" t="n">
        <v>0</v>
      </c>
      <c r="U1223" s="21" t="n">
        <v>0</v>
      </c>
      <c r="V1223" s="21" t="n">
        <v>0</v>
      </c>
      <c r="W1223" s="21" t="n">
        <v>0</v>
      </c>
      <c r="X1223" s="21" t="n">
        <v>0</v>
      </c>
      <c r="Y1223" s="21" t="n">
        <v>0</v>
      </c>
      <c r="Z1223" s="21">
        <f>-$B$18</f>
        <v/>
      </c>
      <c r="AA1223" s="21">
        <f>-$B$19</f>
        <v/>
      </c>
      <c r="AB1223" s="21">
        <f>2*$B$18+$D$1189</f>
        <v/>
      </c>
      <c r="AC1223" s="21">
        <f>0</f>
        <v/>
      </c>
      <c r="AD1223" s="21">
        <f>-$B$18</f>
        <v/>
      </c>
      <c r="AE1223" s="21">
        <f>$B$19</f>
        <v/>
      </c>
      <c r="AF1223" s="21" t="n">
        <v>0</v>
      </c>
      <c r="AG1223" s="21" t="n">
        <v>0</v>
      </c>
      <c r="AH1223" s="21" t="n">
        <v>0</v>
      </c>
      <c r="AI1223" s="21" t="n">
        <v>0</v>
      </c>
      <c r="AJ1223" s="21" t="n">
        <v>0</v>
      </c>
      <c r="AK1223" s="21" t="n">
        <v>0</v>
      </c>
      <c r="AL1223" s="21" t="n">
        <v>0</v>
      </c>
      <c r="AM1223" s="21" t="n">
        <v>0</v>
      </c>
      <c r="AN1223" s="21" t="n">
        <v>0</v>
      </c>
      <c r="AO1223" s="21" t="n">
        <v>0</v>
      </c>
      <c r="AP1223" s="21" t="n">
        <v>0</v>
      </c>
      <c r="AQ1223" s="21" t="n">
        <v>0</v>
      </c>
      <c r="AR1223" s="21" t="n">
        <v>0</v>
      </c>
      <c r="AS1223" s="21" t="n">
        <v>0</v>
      </c>
      <c r="AT1223" s="19" t="n"/>
    </row>
    <row r="1224">
      <c r="D1224" s="21" t="n">
        <v>0</v>
      </c>
      <c r="E1224" s="21" t="n">
        <v>0</v>
      </c>
      <c r="F1224" s="21" t="n">
        <v>0</v>
      </c>
      <c r="G1224" s="21" t="n">
        <v>0</v>
      </c>
      <c r="H1224" s="21" t="n">
        <v>0</v>
      </c>
      <c r="I1224" s="21" t="n">
        <v>0</v>
      </c>
      <c r="J1224" s="21" t="n">
        <v>0</v>
      </c>
      <c r="K1224" s="21" t="n">
        <v>0</v>
      </c>
      <c r="L1224" s="21" t="n">
        <v>0</v>
      </c>
      <c r="M1224" s="21" t="n">
        <v>0</v>
      </c>
      <c r="N1224" s="21" t="n">
        <v>0</v>
      </c>
      <c r="O1224" s="21" t="n">
        <v>0</v>
      </c>
      <c r="P1224" s="21" t="n">
        <v>0</v>
      </c>
      <c r="Q1224" s="21" t="n">
        <v>0</v>
      </c>
      <c r="R1224" s="21" t="n">
        <v>0</v>
      </c>
      <c r="S1224" s="21" t="n">
        <v>0</v>
      </c>
      <c r="T1224" s="21" t="n">
        <v>0</v>
      </c>
      <c r="U1224" s="21" t="n">
        <v>0</v>
      </c>
      <c r="V1224" s="21" t="n">
        <v>0</v>
      </c>
      <c r="W1224" s="21" t="n">
        <v>0</v>
      </c>
      <c r="X1224" s="21" t="n">
        <v>0</v>
      </c>
      <c r="Y1224" s="21" t="n">
        <v>0</v>
      </c>
      <c r="Z1224" s="21">
        <f>$B$19</f>
        <v/>
      </c>
      <c r="AA1224" s="21">
        <f>$B$21</f>
        <v/>
      </c>
      <c r="AB1224" s="21">
        <f>0</f>
        <v/>
      </c>
      <c r="AC1224" s="21">
        <f>2*$B$20</f>
        <v/>
      </c>
      <c r="AD1224" s="21">
        <f>-$B$19</f>
        <v/>
      </c>
      <c r="AE1224" s="21">
        <f>$B$21</f>
        <v/>
      </c>
      <c r="AF1224" s="21" t="n">
        <v>0</v>
      </c>
      <c r="AG1224" s="21" t="n">
        <v>0</v>
      </c>
      <c r="AH1224" s="21" t="n">
        <v>0</v>
      </c>
      <c r="AI1224" s="21" t="n">
        <v>0</v>
      </c>
      <c r="AJ1224" s="21" t="n">
        <v>0</v>
      </c>
      <c r="AK1224" s="21" t="n">
        <v>0</v>
      </c>
      <c r="AL1224" s="21" t="n">
        <v>0</v>
      </c>
      <c r="AM1224" s="21" t="n">
        <v>0</v>
      </c>
      <c r="AN1224" s="21" t="n">
        <v>0</v>
      </c>
      <c r="AO1224" s="21" t="n">
        <v>0</v>
      </c>
      <c r="AP1224" s="21" t="n">
        <v>0</v>
      </c>
      <c r="AQ1224" s="21" t="n">
        <v>0</v>
      </c>
      <c r="AR1224" s="21" t="n">
        <v>0</v>
      </c>
      <c r="AS1224" s="21" t="n">
        <v>0</v>
      </c>
      <c r="AT1224" s="19" t="n"/>
    </row>
    <row r="1225">
      <c r="D1225" s="21" t="n">
        <v>0</v>
      </c>
      <c r="E1225" s="21" t="n">
        <v>0</v>
      </c>
      <c r="F1225" s="21" t="n">
        <v>0</v>
      </c>
      <c r="G1225" s="21" t="n">
        <v>0</v>
      </c>
      <c r="H1225" s="21" t="n">
        <v>0</v>
      </c>
      <c r="I1225" s="21" t="n">
        <v>0</v>
      </c>
      <c r="J1225" s="21" t="n">
        <v>0</v>
      </c>
      <c r="K1225" s="21" t="n">
        <v>0</v>
      </c>
      <c r="L1225" s="21" t="n">
        <v>0</v>
      </c>
      <c r="M1225" s="21" t="n">
        <v>0</v>
      </c>
      <c r="N1225" s="21" t="n">
        <v>0</v>
      </c>
      <c r="O1225" s="21" t="n">
        <v>0</v>
      </c>
      <c r="P1225" s="21" t="n">
        <v>0</v>
      </c>
      <c r="Q1225" s="21" t="n">
        <v>0</v>
      </c>
      <c r="R1225" s="21" t="n">
        <v>0</v>
      </c>
      <c r="S1225" s="21" t="n">
        <v>0</v>
      </c>
      <c r="T1225" s="21" t="n">
        <v>0</v>
      </c>
      <c r="U1225" s="21" t="n">
        <v>0</v>
      </c>
      <c r="V1225" s="21" t="n">
        <v>0</v>
      </c>
      <c r="W1225" s="21" t="n">
        <v>0</v>
      </c>
      <c r="X1225" s="21" t="n">
        <v>0</v>
      </c>
      <c r="Y1225" s="21" t="n">
        <v>0</v>
      </c>
      <c r="Z1225" s="21" t="n">
        <v>0</v>
      </c>
      <c r="AA1225" s="21" t="n">
        <v>0</v>
      </c>
      <c r="AB1225" s="21">
        <f>-$B$18</f>
        <v/>
      </c>
      <c r="AC1225" s="21">
        <f>-$B$19</f>
        <v/>
      </c>
      <c r="AD1225" s="21">
        <f>2*$B$18+$D$1190</f>
        <v/>
      </c>
      <c r="AE1225" s="21">
        <f>0</f>
        <v/>
      </c>
      <c r="AF1225" s="21">
        <f>-$B$18</f>
        <v/>
      </c>
      <c r="AG1225" s="21">
        <f>$B$19</f>
        <v/>
      </c>
      <c r="AH1225" s="21" t="n">
        <v>0</v>
      </c>
      <c r="AI1225" s="21" t="n">
        <v>0</v>
      </c>
      <c r="AJ1225" s="21" t="n">
        <v>0</v>
      </c>
      <c r="AK1225" s="21" t="n">
        <v>0</v>
      </c>
      <c r="AL1225" s="21" t="n">
        <v>0</v>
      </c>
      <c r="AM1225" s="21" t="n">
        <v>0</v>
      </c>
      <c r="AN1225" s="21" t="n">
        <v>0</v>
      </c>
      <c r="AO1225" s="21" t="n">
        <v>0</v>
      </c>
      <c r="AP1225" s="21" t="n">
        <v>0</v>
      </c>
      <c r="AQ1225" s="21" t="n">
        <v>0</v>
      </c>
      <c r="AR1225" s="21" t="n">
        <v>0</v>
      </c>
      <c r="AS1225" s="21" t="n">
        <v>0</v>
      </c>
      <c r="AT1225" s="19" t="n"/>
    </row>
    <row r="1226">
      <c r="D1226" s="21" t="n">
        <v>0</v>
      </c>
      <c r="E1226" s="21" t="n">
        <v>0</v>
      </c>
      <c r="F1226" s="21" t="n">
        <v>0</v>
      </c>
      <c r="G1226" s="21" t="n">
        <v>0</v>
      </c>
      <c r="H1226" s="21" t="n">
        <v>0</v>
      </c>
      <c r="I1226" s="21" t="n">
        <v>0</v>
      </c>
      <c r="J1226" s="21" t="n">
        <v>0</v>
      </c>
      <c r="K1226" s="21" t="n">
        <v>0</v>
      </c>
      <c r="L1226" s="21" t="n">
        <v>0</v>
      </c>
      <c r="M1226" s="21" t="n">
        <v>0</v>
      </c>
      <c r="N1226" s="21" t="n">
        <v>0</v>
      </c>
      <c r="O1226" s="21" t="n">
        <v>0</v>
      </c>
      <c r="P1226" s="21" t="n">
        <v>0</v>
      </c>
      <c r="Q1226" s="21" t="n">
        <v>0</v>
      </c>
      <c r="R1226" s="21" t="n">
        <v>0</v>
      </c>
      <c r="S1226" s="21" t="n">
        <v>0</v>
      </c>
      <c r="T1226" s="21" t="n">
        <v>0</v>
      </c>
      <c r="U1226" s="21" t="n">
        <v>0</v>
      </c>
      <c r="V1226" s="21" t="n">
        <v>0</v>
      </c>
      <c r="W1226" s="21" t="n">
        <v>0</v>
      </c>
      <c r="X1226" s="21" t="n">
        <v>0</v>
      </c>
      <c r="Y1226" s="21" t="n">
        <v>0</v>
      </c>
      <c r="Z1226" s="21" t="n">
        <v>0</v>
      </c>
      <c r="AA1226" s="21" t="n">
        <v>0</v>
      </c>
      <c r="AB1226" s="21">
        <f>$B$19</f>
        <v/>
      </c>
      <c r="AC1226" s="21">
        <f>$B$21</f>
        <v/>
      </c>
      <c r="AD1226" s="21">
        <f>0</f>
        <v/>
      </c>
      <c r="AE1226" s="21">
        <f>2*$B$20</f>
        <v/>
      </c>
      <c r="AF1226" s="21">
        <f>-$B$19</f>
        <v/>
      </c>
      <c r="AG1226" s="21">
        <f>$B$21</f>
        <v/>
      </c>
      <c r="AH1226" s="21" t="n">
        <v>0</v>
      </c>
      <c r="AI1226" s="21" t="n">
        <v>0</v>
      </c>
      <c r="AJ1226" s="21" t="n">
        <v>0</v>
      </c>
      <c r="AK1226" s="21" t="n">
        <v>0</v>
      </c>
      <c r="AL1226" s="21" t="n">
        <v>0</v>
      </c>
      <c r="AM1226" s="21" t="n">
        <v>0</v>
      </c>
      <c r="AN1226" s="21" t="n">
        <v>0</v>
      </c>
      <c r="AO1226" s="21" t="n">
        <v>0</v>
      </c>
      <c r="AP1226" s="21" t="n">
        <v>0</v>
      </c>
      <c r="AQ1226" s="21" t="n">
        <v>0</v>
      </c>
      <c r="AR1226" s="21" t="n">
        <v>0</v>
      </c>
      <c r="AS1226" s="21" t="n">
        <v>0</v>
      </c>
      <c r="AT1226" s="19" t="n"/>
    </row>
    <row r="1227">
      <c r="D1227" s="21" t="n">
        <v>0</v>
      </c>
      <c r="E1227" s="21" t="n">
        <v>0</v>
      </c>
      <c r="F1227" s="21" t="n">
        <v>0</v>
      </c>
      <c r="G1227" s="21" t="n">
        <v>0</v>
      </c>
      <c r="H1227" s="21" t="n">
        <v>0</v>
      </c>
      <c r="I1227" s="21" t="n">
        <v>0</v>
      </c>
      <c r="J1227" s="21" t="n">
        <v>0</v>
      </c>
      <c r="K1227" s="21" t="n">
        <v>0</v>
      </c>
      <c r="L1227" s="21" t="n">
        <v>0</v>
      </c>
      <c r="M1227" s="21" t="n">
        <v>0</v>
      </c>
      <c r="N1227" s="21" t="n">
        <v>0</v>
      </c>
      <c r="O1227" s="21" t="n">
        <v>0</v>
      </c>
      <c r="P1227" s="21" t="n">
        <v>0</v>
      </c>
      <c r="Q1227" s="21" t="n">
        <v>0</v>
      </c>
      <c r="R1227" s="21" t="n">
        <v>0</v>
      </c>
      <c r="S1227" s="21" t="n">
        <v>0</v>
      </c>
      <c r="T1227" s="21" t="n">
        <v>0</v>
      </c>
      <c r="U1227" s="21" t="n">
        <v>0</v>
      </c>
      <c r="V1227" s="21" t="n">
        <v>0</v>
      </c>
      <c r="W1227" s="21" t="n">
        <v>0</v>
      </c>
      <c r="X1227" s="21" t="n">
        <v>0</v>
      </c>
      <c r="Y1227" s="21" t="n">
        <v>0</v>
      </c>
      <c r="Z1227" s="21" t="n">
        <v>0</v>
      </c>
      <c r="AA1227" s="21" t="n">
        <v>0</v>
      </c>
      <c r="AB1227" s="21" t="n">
        <v>0</v>
      </c>
      <c r="AC1227" s="21" t="n">
        <v>0</v>
      </c>
      <c r="AD1227" s="21">
        <f>-$B$18</f>
        <v/>
      </c>
      <c r="AE1227" s="21">
        <f>-$B$19</f>
        <v/>
      </c>
      <c r="AF1227" s="21">
        <f>2*$B$18+$D$1191</f>
        <v/>
      </c>
      <c r="AG1227" s="21">
        <f>0</f>
        <v/>
      </c>
      <c r="AH1227" s="21">
        <f>-$B$18</f>
        <v/>
      </c>
      <c r="AI1227" s="21">
        <f>$B$19</f>
        <v/>
      </c>
      <c r="AJ1227" s="21" t="n">
        <v>0</v>
      </c>
      <c r="AK1227" s="21" t="n">
        <v>0</v>
      </c>
      <c r="AL1227" s="21" t="n">
        <v>0</v>
      </c>
      <c r="AM1227" s="21" t="n">
        <v>0</v>
      </c>
      <c r="AN1227" s="21" t="n">
        <v>0</v>
      </c>
      <c r="AO1227" s="21" t="n">
        <v>0</v>
      </c>
      <c r="AP1227" s="21" t="n">
        <v>0</v>
      </c>
      <c r="AQ1227" s="21" t="n">
        <v>0</v>
      </c>
      <c r="AR1227" s="21" t="n">
        <v>0</v>
      </c>
      <c r="AS1227" s="21" t="n">
        <v>0</v>
      </c>
      <c r="AT1227" s="19" t="n"/>
    </row>
    <row r="1228">
      <c r="D1228" s="21" t="n">
        <v>0</v>
      </c>
      <c r="E1228" s="21" t="n">
        <v>0</v>
      </c>
      <c r="F1228" s="21" t="n">
        <v>0</v>
      </c>
      <c r="G1228" s="21" t="n">
        <v>0</v>
      </c>
      <c r="H1228" s="21" t="n">
        <v>0</v>
      </c>
      <c r="I1228" s="21" t="n">
        <v>0</v>
      </c>
      <c r="J1228" s="21" t="n">
        <v>0</v>
      </c>
      <c r="K1228" s="21" t="n">
        <v>0</v>
      </c>
      <c r="L1228" s="21" t="n">
        <v>0</v>
      </c>
      <c r="M1228" s="21" t="n">
        <v>0</v>
      </c>
      <c r="N1228" s="21" t="n">
        <v>0</v>
      </c>
      <c r="O1228" s="21" t="n">
        <v>0</v>
      </c>
      <c r="P1228" s="21" t="n">
        <v>0</v>
      </c>
      <c r="Q1228" s="21" t="n">
        <v>0</v>
      </c>
      <c r="R1228" s="21" t="n">
        <v>0</v>
      </c>
      <c r="S1228" s="21" t="n">
        <v>0</v>
      </c>
      <c r="T1228" s="21" t="n">
        <v>0</v>
      </c>
      <c r="U1228" s="21" t="n">
        <v>0</v>
      </c>
      <c r="V1228" s="21" t="n">
        <v>0</v>
      </c>
      <c r="W1228" s="21" t="n">
        <v>0</v>
      </c>
      <c r="X1228" s="21" t="n">
        <v>0</v>
      </c>
      <c r="Y1228" s="21" t="n">
        <v>0</v>
      </c>
      <c r="Z1228" s="21" t="n">
        <v>0</v>
      </c>
      <c r="AA1228" s="21" t="n">
        <v>0</v>
      </c>
      <c r="AB1228" s="21" t="n">
        <v>0</v>
      </c>
      <c r="AC1228" s="21" t="n">
        <v>0</v>
      </c>
      <c r="AD1228" s="21">
        <f>$B$19</f>
        <v/>
      </c>
      <c r="AE1228" s="21">
        <f>$B$21</f>
        <v/>
      </c>
      <c r="AF1228" s="21">
        <f>0</f>
        <v/>
      </c>
      <c r="AG1228" s="21">
        <f>2*$B$20</f>
        <v/>
      </c>
      <c r="AH1228" s="21">
        <f>-$B$19</f>
        <v/>
      </c>
      <c r="AI1228" s="21">
        <f>$B$21</f>
        <v/>
      </c>
      <c r="AJ1228" s="21" t="n">
        <v>0</v>
      </c>
      <c r="AK1228" s="21" t="n">
        <v>0</v>
      </c>
      <c r="AL1228" s="21" t="n">
        <v>0</v>
      </c>
      <c r="AM1228" s="21" t="n">
        <v>0</v>
      </c>
      <c r="AN1228" s="21" t="n">
        <v>0</v>
      </c>
      <c r="AO1228" s="21" t="n">
        <v>0</v>
      </c>
      <c r="AP1228" s="21" t="n">
        <v>0</v>
      </c>
      <c r="AQ1228" s="21" t="n">
        <v>0</v>
      </c>
      <c r="AR1228" s="21" t="n">
        <v>0</v>
      </c>
      <c r="AS1228" s="21" t="n">
        <v>0</v>
      </c>
      <c r="AT1228" s="19" t="n"/>
    </row>
    <row r="1229">
      <c r="D1229" s="21" t="n">
        <v>0</v>
      </c>
      <c r="E1229" s="21" t="n">
        <v>0</v>
      </c>
      <c r="F1229" s="21" t="n">
        <v>0</v>
      </c>
      <c r="G1229" s="21" t="n">
        <v>0</v>
      </c>
      <c r="H1229" s="21" t="n">
        <v>0</v>
      </c>
      <c r="I1229" s="21" t="n">
        <v>0</v>
      </c>
      <c r="J1229" s="21" t="n">
        <v>0</v>
      </c>
      <c r="K1229" s="21" t="n">
        <v>0</v>
      </c>
      <c r="L1229" s="21" t="n">
        <v>0</v>
      </c>
      <c r="M1229" s="21" t="n">
        <v>0</v>
      </c>
      <c r="N1229" s="21" t="n">
        <v>0</v>
      </c>
      <c r="O1229" s="21" t="n">
        <v>0</v>
      </c>
      <c r="P1229" s="21" t="n">
        <v>0</v>
      </c>
      <c r="Q1229" s="21" t="n">
        <v>0</v>
      </c>
      <c r="R1229" s="21" t="n">
        <v>0</v>
      </c>
      <c r="S1229" s="21" t="n">
        <v>0</v>
      </c>
      <c r="T1229" s="21" t="n">
        <v>0</v>
      </c>
      <c r="U1229" s="21" t="n">
        <v>0</v>
      </c>
      <c r="V1229" s="21" t="n">
        <v>0</v>
      </c>
      <c r="W1229" s="21" t="n">
        <v>0</v>
      </c>
      <c r="X1229" s="21" t="n">
        <v>0</v>
      </c>
      <c r="Y1229" s="21" t="n">
        <v>0</v>
      </c>
      <c r="Z1229" s="21" t="n">
        <v>0</v>
      </c>
      <c r="AA1229" s="21" t="n">
        <v>0</v>
      </c>
      <c r="AB1229" s="21" t="n">
        <v>0</v>
      </c>
      <c r="AC1229" s="21" t="n">
        <v>0</v>
      </c>
      <c r="AD1229" s="21" t="n">
        <v>0</v>
      </c>
      <c r="AE1229" s="21" t="n">
        <v>0</v>
      </c>
      <c r="AF1229" s="21">
        <f>-$B$18</f>
        <v/>
      </c>
      <c r="AG1229" s="21">
        <f>-$B$19</f>
        <v/>
      </c>
      <c r="AH1229" s="21">
        <f>2*$B$18+$D$1192</f>
        <v/>
      </c>
      <c r="AI1229" s="21">
        <f>0</f>
        <v/>
      </c>
      <c r="AJ1229" s="21">
        <f>-$B$18</f>
        <v/>
      </c>
      <c r="AK1229" s="21">
        <f>$B$19</f>
        <v/>
      </c>
      <c r="AL1229" s="21" t="n">
        <v>0</v>
      </c>
      <c r="AM1229" s="21" t="n">
        <v>0</v>
      </c>
      <c r="AN1229" s="21" t="n">
        <v>0</v>
      </c>
      <c r="AO1229" s="21" t="n">
        <v>0</v>
      </c>
      <c r="AP1229" s="21" t="n">
        <v>0</v>
      </c>
      <c r="AQ1229" s="21" t="n">
        <v>0</v>
      </c>
      <c r="AR1229" s="21" t="n">
        <v>0</v>
      </c>
      <c r="AS1229" s="21" t="n">
        <v>0</v>
      </c>
      <c r="AT1229" s="19" t="n"/>
    </row>
    <row r="1230">
      <c r="D1230" s="21" t="n">
        <v>0</v>
      </c>
      <c r="E1230" s="21" t="n">
        <v>0</v>
      </c>
      <c r="F1230" s="21" t="n">
        <v>0</v>
      </c>
      <c r="G1230" s="21" t="n">
        <v>0</v>
      </c>
      <c r="H1230" s="21" t="n">
        <v>0</v>
      </c>
      <c r="I1230" s="21" t="n">
        <v>0</v>
      </c>
      <c r="J1230" s="21" t="n">
        <v>0</v>
      </c>
      <c r="K1230" s="21" t="n">
        <v>0</v>
      </c>
      <c r="L1230" s="21" t="n">
        <v>0</v>
      </c>
      <c r="M1230" s="21" t="n">
        <v>0</v>
      </c>
      <c r="N1230" s="21" t="n">
        <v>0</v>
      </c>
      <c r="O1230" s="21" t="n">
        <v>0</v>
      </c>
      <c r="P1230" s="21" t="n">
        <v>0</v>
      </c>
      <c r="Q1230" s="21" t="n">
        <v>0</v>
      </c>
      <c r="R1230" s="21" t="n">
        <v>0</v>
      </c>
      <c r="S1230" s="21" t="n">
        <v>0</v>
      </c>
      <c r="T1230" s="21" t="n">
        <v>0</v>
      </c>
      <c r="U1230" s="21" t="n">
        <v>0</v>
      </c>
      <c r="V1230" s="21" t="n">
        <v>0</v>
      </c>
      <c r="W1230" s="21" t="n">
        <v>0</v>
      </c>
      <c r="X1230" s="21" t="n">
        <v>0</v>
      </c>
      <c r="Y1230" s="21" t="n">
        <v>0</v>
      </c>
      <c r="Z1230" s="21" t="n">
        <v>0</v>
      </c>
      <c r="AA1230" s="21" t="n">
        <v>0</v>
      </c>
      <c r="AB1230" s="21" t="n">
        <v>0</v>
      </c>
      <c r="AC1230" s="21" t="n">
        <v>0</v>
      </c>
      <c r="AD1230" s="21" t="n">
        <v>0</v>
      </c>
      <c r="AE1230" s="21" t="n">
        <v>0</v>
      </c>
      <c r="AF1230" s="21">
        <f>$B$19</f>
        <v/>
      </c>
      <c r="AG1230" s="21">
        <f>$B$21</f>
        <v/>
      </c>
      <c r="AH1230" s="21">
        <f>0</f>
        <v/>
      </c>
      <c r="AI1230" s="21">
        <f>2*$B$20</f>
        <v/>
      </c>
      <c r="AJ1230" s="21">
        <f>-$B$19</f>
        <v/>
      </c>
      <c r="AK1230" s="21">
        <f>$B$21</f>
        <v/>
      </c>
      <c r="AL1230" s="21" t="n">
        <v>0</v>
      </c>
      <c r="AM1230" s="21" t="n">
        <v>0</v>
      </c>
      <c r="AN1230" s="21" t="n">
        <v>0</v>
      </c>
      <c r="AO1230" s="21" t="n">
        <v>0</v>
      </c>
      <c r="AP1230" s="21" t="n">
        <v>0</v>
      </c>
      <c r="AQ1230" s="21" t="n">
        <v>0</v>
      </c>
      <c r="AR1230" s="21" t="n">
        <v>0</v>
      </c>
      <c r="AS1230" s="21" t="n">
        <v>0</v>
      </c>
      <c r="AT1230" s="19" t="n"/>
    </row>
    <row r="1231">
      <c r="D1231" s="21" t="n">
        <v>0</v>
      </c>
      <c r="E1231" s="21" t="n">
        <v>0</v>
      </c>
      <c r="F1231" s="21" t="n">
        <v>0</v>
      </c>
      <c r="G1231" s="21" t="n">
        <v>0</v>
      </c>
      <c r="H1231" s="21" t="n">
        <v>0</v>
      </c>
      <c r="I1231" s="21" t="n">
        <v>0</v>
      </c>
      <c r="J1231" s="21" t="n">
        <v>0</v>
      </c>
      <c r="K1231" s="21" t="n">
        <v>0</v>
      </c>
      <c r="L1231" s="21" t="n">
        <v>0</v>
      </c>
      <c r="M1231" s="21" t="n">
        <v>0</v>
      </c>
      <c r="N1231" s="21" t="n">
        <v>0</v>
      </c>
      <c r="O1231" s="21" t="n">
        <v>0</v>
      </c>
      <c r="P1231" s="21" t="n">
        <v>0</v>
      </c>
      <c r="Q1231" s="21" t="n">
        <v>0</v>
      </c>
      <c r="R1231" s="21" t="n">
        <v>0</v>
      </c>
      <c r="S1231" s="21" t="n">
        <v>0</v>
      </c>
      <c r="T1231" s="21" t="n">
        <v>0</v>
      </c>
      <c r="U1231" s="21" t="n">
        <v>0</v>
      </c>
      <c r="V1231" s="21" t="n">
        <v>0</v>
      </c>
      <c r="W1231" s="21" t="n">
        <v>0</v>
      </c>
      <c r="X1231" s="21" t="n">
        <v>0</v>
      </c>
      <c r="Y1231" s="21" t="n">
        <v>0</v>
      </c>
      <c r="Z1231" s="21" t="n">
        <v>0</v>
      </c>
      <c r="AA1231" s="21" t="n">
        <v>0</v>
      </c>
      <c r="AB1231" s="21" t="n">
        <v>0</v>
      </c>
      <c r="AC1231" s="21" t="n">
        <v>0</v>
      </c>
      <c r="AD1231" s="21" t="n">
        <v>0</v>
      </c>
      <c r="AE1231" s="21" t="n">
        <v>0</v>
      </c>
      <c r="AF1231" s="21" t="n">
        <v>0</v>
      </c>
      <c r="AG1231" s="21" t="n">
        <v>0</v>
      </c>
      <c r="AH1231" s="21">
        <f>-$B$18</f>
        <v/>
      </c>
      <c r="AI1231" s="21">
        <f>-$B$19</f>
        <v/>
      </c>
      <c r="AJ1231" s="21">
        <f>2*$B$18+$D$1193</f>
        <v/>
      </c>
      <c r="AK1231" s="21">
        <f>0</f>
        <v/>
      </c>
      <c r="AL1231" s="21">
        <f>-$B$18</f>
        <v/>
      </c>
      <c r="AM1231" s="21">
        <f>$B$19</f>
        <v/>
      </c>
      <c r="AN1231" s="21" t="n">
        <v>0</v>
      </c>
      <c r="AO1231" s="21" t="n">
        <v>0</v>
      </c>
      <c r="AP1231" s="21" t="n">
        <v>0</v>
      </c>
      <c r="AQ1231" s="21" t="n">
        <v>0</v>
      </c>
      <c r="AR1231" s="21" t="n">
        <v>0</v>
      </c>
      <c r="AS1231" s="21" t="n">
        <v>0</v>
      </c>
      <c r="AT1231" s="19" t="n"/>
    </row>
    <row r="1232">
      <c r="D1232" s="21" t="n">
        <v>0</v>
      </c>
      <c r="E1232" s="21" t="n">
        <v>0</v>
      </c>
      <c r="F1232" s="21" t="n">
        <v>0</v>
      </c>
      <c r="G1232" s="21" t="n">
        <v>0</v>
      </c>
      <c r="H1232" s="21" t="n">
        <v>0</v>
      </c>
      <c r="I1232" s="21" t="n">
        <v>0</v>
      </c>
      <c r="J1232" s="21" t="n">
        <v>0</v>
      </c>
      <c r="K1232" s="21" t="n">
        <v>0</v>
      </c>
      <c r="L1232" s="21" t="n">
        <v>0</v>
      </c>
      <c r="M1232" s="21" t="n">
        <v>0</v>
      </c>
      <c r="N1232" s="21" t="n">
        <v>0</v>
      </c>
      <c r="O1232" s="21" t="n">
        <v>0</v>
      </c>
      <c r="P1232" s="21" t="n">
        <v>0</v>
      </c>
      <c r="Q1232" s="21" t="n">
        <v>0</v>
      </c>
      <c r="R1232" s="21" t="n">
        <v>0</v>
      </c>
      <c r="S1232" s="21" t="n">
        <v>0</v>
      </c>
      <c r="T1232" s="21" t="n">
        <v>0</v>
      </c>
      <c r="U1232" s="21" t="n">
        <v>0</v>
      </c>
      <c r="V1232" s="21" t="n">
        <v>0</v>
      </c>
      <c r="W1232" s="21" t="n">
        <v>0</v>
      </c>
      <c r="X1232" s="21" t="n">
        <v>0</v>
      </c>
      <c r="Y1232" s="21" t="n">
        <v>0</v>
      </c>
      <c r="Z1232" s="21" t="n">
        <v>0</v>
      </c>
      <c r="AA1232" s="21" t="n">
        <v>0</v>
      </c>
      <c r="AB1232" s="21" t="n">
        <v>0</v>
      </c>
      <c r="AC1232" s="21" t="n">
        <v>0</v>
      </c>
      <c r="AD1232" s="21" t="n">
        <v>0</v>
      </c>
      <c r="AE1232" s="21" t="n">
        <v>0</v>
      </c>
      <c r="AF1232" s="21" t="n">
        <v>0</v>
      </c>
      <c r="AG1232" s="21" t="n">
        <v>0</v>
      </c>
      <c r="AH1232" s="21">
        <f>$B$19</f>
        <v/>
      </c>
      <c r="AI1232" s="21">
        <f>$B$21</f>
        <v/>
      </c>
      <c r="AJ1232" s="21">
        <f>0</f>
        <v/>
      </c>
      <c r="AK1232" s="21">
        <f>2*$B$20</f>
        <v/>
      </c>
      <c r="AL1232" s="21">
        <f>-$B$19</f>
        <v/>
      </c>
      <c r="AM1232" s="21">
        <f>$B$21</f>
        <v/>
      </c>
      <c r="AN1232" s="21" t="n">
        <v>0</v>
      </c>
      <c r="AO1232" s="21" t="n">
        <v>0</v>
      </c>
      <c r="AP1232" s="21" t="n">
        <v>0</v>
      </c>
      <c r="AQ1232" s="21" t="n">
        <v>0</v>
      </c>
      <c r="AR1232" s="21" t="n">
        <v>0</v>
      </c>
      <c r="AS1232" s="21" t="n">
        <v>0</v>
      </c>
      <c r="AT1232" s="19" t="n"/>
    </row>
    <row r="1233">
      <c r="D1233" s="21" t="n">
        <v>0</v>
      </c>
      <c r="E1233" s="21" t="n">
        <v>0</v>
      </c>
      <c r="F1233" s="21" t="n">
        <v>0</v>
      </c>
      <c r="G1233" s="21" t="n">
        <v>0</v>
      </c>
      <c r="H1233" s="21" t="n">
        <v>0</v>
      </c>
      <c r="I1233" s="21" t="n">
        <v>0</v>
      </c>
      <c r="J1233" s="21" t="n">
        <v>0</v>
      </c>
      <c r="K1233" s="21" t="n">
        <v>0</v>
      </c>
      <c r="L1233" s="21" t="n">
        <v>0</v>
      </c>
      <c r="M1233" s="21" t="n">
        <v>0</v>
      </c>
      <c r="N1233" s="21" t="n">
        <v>0</v>
      </c>
      <c r="O1233" s="21" t="n">
        <v>0</v>
      </c>
      <c r="P1233" s="21" t="n">
        <v>0</v>
      </c>
      <c r="Q1233" s="21" t="n">
        <v>0</v>
      </c>
      <c r="R1233" s="21" t="n">
        <v>0</v>
      </c>
      <c r="S1233" s="21" t="n">
        <v>0</v>
      </c>
      <c r="T1233" s="21" t="n">
        <v>0</v>
      </c>
      <c r="U1233" s="21" t="n">
        <v>0</v>
      </c>
      <c r="V1233" s="21" t="n">
        <v>0</v>
      </c>
      <c r="W1233" s="21" t="n">
        <v>0</v>
      </c>
      <c r="X1233" s="21" t="n">
        <v>0</v>
      </c>
      <c r="Y1233" s="21" t="n">
        <v>0</v>
      </c>
      <c r="Z1233" s="21" t="n">
        <v>0</v>
      </c>
      <c r="AA1233" s="21" t="n">
        <v>0</v>
      </c>
      <c r="AB1233" s="21" t="n">
        <v>0</v>
      </c>
      <c r="AC1233" s="21" t="n">
        <v>0</v>
      </c>
      <c r="AD1233" s="21" t="n">
        <v>0</v>
      </c>
      <c r="AE1233" s="21" t="n">
        <v>0</v>
      </c>
      <c r="AF1233" s="21" t="n">
        <v>0</v>
      </c>
      <c r="AG1233" s="21" t="n">
        <v>0</v>
      </c>
      <c r="AH1233" s="21" t="n">
        <v>0</v>
      </c>
      <c r="AI1233" s="21" t="n">
        <v>0</v>
      </c>
      <c r="AJ1233" s="21">
        <f>-$B$18</f>
        <v/>
      </c>
      <c r="AK1233" s="21">
        <f>-$B$19</f>
        <v/>
      </c>
      <c r="AL1233" s="21">
        <f>2*$B$18+$D$1194</f>
        <v/>
      </c>
      <c r="AM1233" s="21">
        <f>0</f>
        <v/>
      </c>
      <c r="AN1233" s="21">
        <f>-$B$18</f>
        <v/>
      </c>
      <c r="AO1233" s="21">
        <f>$B$19</f>
        <v/>
      </c>
      <c r="AP1233" s="21" t="n">
        <v>0</v>
      </c>
      <c r="AQ1233" s="21" t="n">
        <v>0</v>
      </c>
      <c r="AR1233" s="21" t="n">
        <v>0</v>
      </c>
      <c r="AS1233" s="21" t="n">
        <v>0</v>
      </c>
      <c r="AT1233" s="19" t="n"/>
    </row>
    <row r="1234">
      <c r="D1234" s="21" t="n">
        <v>0</v>
      </c>
      <c r="E1234" s="21" t="n">
        <v>0</v>
      </c>
      <c r="F1234" s="21" t="n">
        <v>0</v>
      </c>
      <c r="G1234" s="21" t="n">
        <v>0</v>
      </c>
      <c r="H1234" s="21" t="n">
        <v>0</v>
      </c>
      <c r="I1234" s="21" t="n">
        <v>0</v>
      </c>
      <c r="J1234" s="21" t="n">
        <v>0</v>
      </c>
      <c r="K1234" s="21" t="n">
        <v>0</v>
      </c>
      <c r="L1234" s="21" t="n">
        <v>0</v>
      </c>
      <c r="M1234" s="21" t="n">
        <v>0</v>
      </c>
      <c r="N1234" s="21" t="n">
        <v>0</v>
      </c>
      <c r="O1234" s="21" t="n">
        <v>0</v>
      </c>
      <c r="P1234" s="21" t="n">
        <v>0</v>
      </c>
      <c r="Q1234" s="21" t="n">
        <v>0</v>
      </c>
      <c r="R1234" s="21" t="n">
        <v>0</v>
      </c>
      <c r="S1234" s="21" t="n">
        <v>0</v>
      </c>
      <c r="T1234" s="21" t="n">
        <v>0</v>
      </c>
      <c r="U1234" s="21" t="n">
        <v>0</v>
      </c>
      <c r="V1234" s="21" t="n">
        <v>0</v>
      </c>
      <c r="W1234" s="21" t="n">
        <v>0</v>
      </c>
      <c r="X1234" s="21" t="n">
        <v>0</v>
      </c>
      <c r="Y1234" s="21" t="n">
        <v>0</v>
      </c>
      <c r="Z1234" s="21" t="n">
        <v>0</v>
      </c>
      <c r="AA1234" s="21" t="n">
        <v>0</v>
      </c>
      <c r="AB1234" s="21" t="n">
        <v>0</v>
      </c>
      <c r="AC1234" s="21" t="n">
        <v>0</v>
      </c>
      <c r="AD1234" s="21" t="n">
        <v>0</v>
      </c>
      <c r="AE1234" s="21" t="n">
        <v>0</v>
      </c>
      <c r="AF1234" s="21" t="n">
        <v>0</v>
      </c>
      <c r="AG1234" s="21" t="n">
        <v>0</v>
      </c>
      <c r="AH1234" s="21" t="n">
        <v>0</v>
      </c>
      <c r="AI1234" s="21" t="n">
        <v>0</v>
      </c>
      <c r="AJ1234" s="21">
        <f>$B$19</f>
        <v/>
      </c>
      <c r="AK1234" s="21">
        <f>$B$21</f>
        <v/>
      </c>
      <c r="AL1234" s="21">
        <f>0</f>
        <v/>
      </c>
      <c r="AM1234" s="21">
        <f>2*$B$20</f>
        <v/>
      </c>
      <c r="AN1234" s="21">
        <f>-$B$19</f>
        <v/>
      </c>
      <c r="AO1234" s="21">
        <f>$B$21</f>
        <v/>
      </c>
      <c r="AP1234" s="21" t="n">
        <v>0</v>
      </c>
      <c r="AQ1234" s="21" t="n">
        <v>0</v>
      </c>
      <c r="AR1234" s="21" t="n">
        <v>0</v>
      </c>
      <c r="AS1234" s="21" t="n">
        <v>0</v>
      </c>
      <c r="AT1234" s="19" t="n"/>
    </row>
    <row r="1235">
      <c r="D1235" s="21" t="n">
        <v>0</v>
      </c>
      <c r="E1235" s="21" t="n">
        <v>0</v>
      </c>
      <c r="F1235" s="21" t="n">
        <v>0</v>
      </c>
      <c r="G1235" s="21" t="n">
        <v>0</v>
      </c>
      <c r="H1235" s="21" t="n">
        <v>0</v>
      </c>
      <c r="I1235" s="21" t="n">
        <v>0</v>
      </c>
      <c r="J1235" s="21" t="n">
        <v>0</v>
      </c>
      <c r="K1235" s="21" t="n">
        <v>0</v>
      </c>
      <c r="L1235" s="21" t="n">
        <v>0</v>
      </c>
      <c r="M1235" s="21" t="n">
        <v>0</v>
      </c>
      <c r="N1235" s="21" t="n">
        <v>0</v>
      </c>
      <c r="O1235" s="21" t="n">
        <v>0</v>
      </c>
      <c r="P1235" s="21" t="n">
        <v>0</v>
      </c>
      <c r="Q1235" s="21" t="n">
        <v>0</v>
      </c>
      <c r="R1235" s="21" t="n">
        <v>0</v>
      </c>
      <c r="S1235" s="21" t="n">
        <v>0</v>
      </c>
      <c r="T1235" s="21" t="n">
        <v>0</v>
      </c>
      <c r="U1235" s="21" t="n">
        <v>0</v>
      </c>
      <c r="V1235" s="21" t="n">
        <v>0</v>
      </c>
      <c r="W1235" s="21" t="n">
        <v>0</v>
      </c>
      <c r="X1235" s="21" t="n">
        <v>0</v>
      </c>
      <c r="Y1235" s="21" t="n">
        <v>0</v>
      </c>
      <c r="Z1235" s="21" t="n">
        <v>0</v>
      </c>
      <c r="AA1235" s="21" t="n">
        <v>0</v>
      </c>
      <c r="AB1235" s="21" t="n">
        <v>0</v>
      </c>
      <c r="AC1235" s="21" t="n">
        <v>0</v>
      </c>
      <c r="AD1235" s="21" t="n">
        <v>0</v>
      </c>
      <c r="AE1235" s="21" t="n">
        <v>0</v>
      </c>
      <c r="AF1235" s="21" t="n">
        <v>0</v>
      </c>
      <c r="AG1235" s="21" t="n">
        <v>0</v>
      </c>
      <c r="AH1235" s="21" t="n">
        <v>0</v>
      </c>
      <c r="AI1235" s="21" t="n">
        <v>0</v>
      </c>
      <c r="AJ1235" s="21" t="n">
        <v>0</v>
      </c>
      <c r="AK1235" s="21" t="n">
        <v>0</v>
      </c>
      <c r="AL1235" s="21">
        <f>-$B$18</f>
        <v/>
      </c>
      <c r="AM1235" s="21">
        <f>-$B$19</f>
        <v/>
      </c>
      <c r="AN1235" s="21">
        <f>2*$B$18+$D$1195</f>
        <v/>
      </c>
      <c r="AO1235" s="21">
        <f>0</f>
        <v/>
      </c>
      <c r="AP1235" s="21">
        <f>-$B$18</f>
        <v/>
      </c>
      <c r="AQ1235" s="21">
        <f>$B$19</f>
        <v/>
      </c>
      <c r="AR1235" s="21" t="n">
        <v>0</v>
      </c>
      <c r="AS1235" s="21" t="n">
        <v>0</v>
      </c>
      <c r="AT1235" s="19" t="n"/>
    </row>
    <row r="1236">
      <c r="D1236" s="21" t="n">
        <v>0</v>
      </c>
      <c r="E1236" s="21" t="n">
        <v>0</v>
      </c>
      <c r="F1236" s="21" t="n">
        <v>0</v>
      </c>
      <c r="G1236" s="21" t="n">
        <v>0</v>
      </c>
      <c r="H1236" s="21" t="n">
        <v>0</v>
      </c>
      <c r="I1236" s="21" t="n">
        <v>0</v>
      </c>
      <c r="J1236" s="21" t="n">
        <v>0</v>
      </c>
      <c r="K1236" s="21" t="n">
        <v>0</v>
      </c>
      <c r="L1236" s="21" t="n">
        <v>0</v>
      </c>
      <c r="M1236" s="21" t="n">
        <v>0</v>
      </c>
      <c r="N1236" s="21" t="n">
        <v>0</v>
      </c>
      <c r="O1236" s="21" t="n">
        <v>0</v>
      </c>
      <c r="P1236" s="21" t="n">
        <v>0</v>
      </c>
      <c r="Q1236" s="21" t="n">
        <v>0</v>
      </c>
      <c r="R1236" s="21" t="n">
        <v>0</v>
      </c>
      <c r="S1236" s="21" t="n">
        <v>0</v>
      </c>
      <c r="T1236" s="21" t="n">
        <v>0</v>
      </c>
      <c r="U1236" s="21" t="n">
        <v>0</v>
      </c>
      <c r="V1236" s="21" t="n">
        <v>0</v>
      </c>
      <c r="W1236" s="21" t="n">
        <v>0</v>
      </c>
      <c r="X1236" s="21" t="n">
        <v>0</v>
      </c>
      <c r="Y1236" s="21" t="n">
        <v>0</v>
      </c>
      <c r="Z1236" s="21" t="n">
        <v>0</v>
      </c>
      <c r="AA1236" s="21" t="n">
        <v>0</v>
      </c>
      <c r="AB1236" s="21" t="n">
        <v>0</v>
      </c>
      <c r="AC1236" s="21" t="n">
        <v>0</v>
      </c>
      <c r="AD1236" s="21" t="n">
        <v>0</v>
      </c>
      <c r="AE1236" s="21" t="n">
        <v>0</v>
      </c>
      <c r="AF1236" s="21" t="n">
        <v>0</v>
      </c>
      <c r="AG1236" s="21" t="n">
        <v>0</v>
      </c>
      <c r="AH1236" s="21" t="n">
        <v>0</v>
      </c>
      <c r="AI1236" s="21" t="n">
        <v>0</v>
      </c>
      <c r="AJ1236" s="21" t="n">
        <v>0</v>
      </c>
      <c r="AK1236" s="21" t="n">
        <v>0</v>
      </c>
      <c r="AL1236" s="21">
        <f>$B$19</f>
        <v/>
      </c>
      <c r="AM1236" s="21">
        <f>$B$21</f>
        <v/>
      </c>
      <c r="AN1236" s="21">
        <f>0</f>
        <v/>
      </c>
      <c r="AO1236" s="21">
        <f>2*$B$20</f>
        <v/>
      </c>
      <c r="AP1236" s="21">
        <f>-$B$19</f>
        <v/>
      </c>
      <c r="AQ1236" s="21">
        <f>$B$21</f>
        <v/>
      </c>
      <c r="AR1236" s="21" t="n">
        <v>0</v>
      </c>
      <c r="AS1236" s="21" t="n">
        <v>0</v>
      </c>
      <c r="AT1236" s="19" t="n"/>
    </row>
    <row r="1237">
      <c r="D1237" s="21" t="n">
        <v>0</v>
      </c>
      <c r="E1237" s="21" t="n">
        <v>0</v>
      </c>
      <c r="F1237" s="21" t="n">
        <v>0</v>
      </c>
      <c r="G1237" s="21" t="n">
        <v>0</v>
      </c>
      <c r="H1237" s="21" t="n">
        <v>0</v>
      </c>
      <c r="I1237" s="21" t="n">
        <v>0</v>
      </c>
      <c r="J1237" s="21" t="n">
        <v>0</v>
      </c>
      <c r="K1237" s="21" t="n">
        <v>0</v>
      </c>
      <c r="L1237" s="21" t="n">
        <v>0</v>
      </c>
      <c r="M1237" s="21" t="n">
        <v>0</v>
      </c>
      <c r="N1237" s="21" t="n">
        <v>0</v>
      </c>
      <c r="O1237" s="21" t="n">
        <v>0</v>
      </c>
      <c r="P1237" s="21" t="n">
        <v>0</v>
      </c>
      <c r="Q1237" s="21" t="n">
        <v>0</v>
      </c>
      <c r="R1237" s="21" t="n">
        <v>0</v>
      </c>
      <c r="S1237" s="21" t="n">
        <v>0</v>
      </c>
      <c r="T1237" s="21" t="n">
        <v>0</v>
      </c>
      <c r="U1237" s="21" t="n">
        <v>0</v>
      </c>
      <c r="V1237" s="21" t="n">
        <v>0</v>
      </c>
      <c r="W1237" s="21" t="n">
        <v>0</v>
      </c>
      <c r="X1237" s="21" t="n">
        <v>0</v>
      </c>
      <c r="Y1237" s="21" t="n">
        <v>0</v>
      </c>
      <c r="Z1237" s="21" t="n">
        <v>0</v>
      </c>
      <c r="AA1237" s="21" t="n">
        <v>0</v>
      </c>
      <c r="AB1237" s="21" t="n">
        <v>0</v>
      </c>
      <c r="AC1237" s="21" t="n">
        <v>0</v>
      </c>
      <c r="AD1237" s="21" t="n">
        <v>0</v>
      </c>
      <c r="AE1237" s="21" t="n">
        <v>0</v>
      </c>
      <c r="AF1237" s="21" t="n">
        <v>0</v>
      </c>
      <c r="AG1237" s="21" t="n">
        <v>0</v>
      </c>
      <c r="AH1237" s="21" t="n">
        <v>0</v>
      </c>
      <c r="AI1237" s="21" t="n">
        <v>0</v>
      </c>
      <c r="AJ1237" s="21" t="n">
        <v>0</v>
      </c>
      <c r="AK1237" s="21" t="n">
        <v>0</v>
      </c>
      <c r="AL1237" s="21" t="n">
        <v>0</v>
      </c>
      <c r="AM1237" s="21" t="n">
        <v>0</v>
      </c>
      <c r="AN1237" s="21">
        <f>-$B$18</f>
        <v/>
      </c>
      <c r="AO1237" s="21">
        <f>-$B$19</f>
        <v/>
      </c>
      <c r="AP1237" s="21">
        <f>2*$B$18+$D$1196</f>
        <v/>
      </c>
      <c r="AQ1237" s="21">
        <f>0</f>
        <v/>
      </c>
      <c r="AR1237" s="21">
        <f>-$B$18</f>
        <v/>
      </c>
      <c r="AS1237" s="21">
        <f>$B$19</f>
        <v/>
      </c>
      <c r="AT1237" s="19" t="n"/>
    </row>
    <row r="1238">
      <c r="D1238" s="21" t="n">
        <v>0</v>
      </c>
      <c r="E1238" s="21" t="n">
        <v>0</v>
      </c>
      <c r="F1238" s="21" t="n">
        <v>0</v>
      </c>
      <c r="G1238" s="21" t="n">
        <v>0</v>
      </c>
      <c r="H1238" s="21" t="n">
        <v>0</v>
      </c>
      <c r="I1238" s="21" t="n">
        <v>0</v>
      </c>
      <c r="J1238" s="21" t="n">
        <v>0</v>
      </c>
      <c r="K1238" s="21" t="n">
        <v>0</v>
      </c>
      <c r="L1238" s="21" t="n">
        <v>0</v>
      </c>
      <c r="M1238" s="21" t="n">
        <v>0</v>
      </c>
      <c r="N1238" s="21" t="n">
        <v>0</v>
      </c>
      <c r="O1238" s="21" t="n">
        <v>0</v>
      </c>
      <c r="P1238" s="21" t="n">
        <v>0</v>
      </c>
      <c r="Q1238" s="21" t="n">
        <v>0</v>
      </c>
      <c r="R1238" s="21" t="n">
        <v>0</v>
      </c>
      <c r="S1238" s="21" t="n">
        <v>0</v>
      </c>
      <c r="T1238" s="21" t="n">
        <v>0</v>
      </c>
      <c r="U1238" s="21" t="n">
        <v>0</v>
      </c>
      <c r="V1238" s="21" t="n">
        <v>0</v>
      </c>
      <c r="W1238" s="21" t="n">
        <v>0</v>
      </c>
      <c r="X1238" s="21" t="n">
        <v>0</v>
      </c>
      <c r="Y1238" s="21" t="n">
        <v>0</v>
      </c>
      <c r="Z1238" s="21" t="n">
        <v>0</v>
      </c>
      <c r="AA1238" s="21" t="n">
        <v>0</v>
      </c>
      <c r="AB1238" s="21" t="n">
        <v>0</v>
      </c>
      <c r="AC1238" s="21" t="n">
        <v>0</v>
      </c>
      <c r="AD1238" s="21" t="n">
        <v>0</v>
      </c>
      <c r="AE1238" s="21" t="n">
        <v>0</v>
      </c>
      <c r="AF1238" s="21" t="n">
        <v>0</v>
      </c>
      <c r="AG1238" s="21" t="n">
        <v>0</v>
      </c>
      <c r="AH1238" s="21" t="n">
        <v>0</v>
      </c>
      <c r="AI1238" s="21" t="n">
        <v>0</v>
      </c>
      <c r="AJ1238" s="21" t="n">
        <v>0</v>
      </c>
      <c r="AK1238" s="21" t="n">
        <v>0</v>
      </c>
      <c r="AL1238" s="21" t="n">
        <v>0</v>
      </c>
      <c r="AM1238" s="21" t="n">
        <v>0</v>
      </c>
      <c r="AN1238" s="21">
        <f>$B$19</f>
        <v/>
      </c>
      <c r="AO1238" s="21">
        <f>$B$21</f>
        <v/>
      </c>
      <c r="AP1238" s="21">
        <f>0</f>
        <v/>
      </c>
      <c r="AQ1238" s="21">
        <f>2*$B$20</f>
        <v/>
      </c>
      <c r="AR1238" s="21">
        <f>-$B$19</f>
        <v/>
      </c>
      <c r="AS1238" s="21">
        <f>$B$21</f>
        <v/>
      </c>
      <c r="AT1238" s="19" t="n"/>
    </row>
    <row r="1239">
      <c r="D1239" s="21" t="n">
        <v>0</v>
      </c>
      <c r="E1239" s="21" t="n">
        <v>0</v>
      </c>
      <c r="F1239" s="21" t="n">
        <v>0</v>
      </c>
      <c r="G1239" s="21" t="n">
        <v>0</v>
      </c>
      <c r="H1239" s="21" t="n">
        <v>0</v>
      </c>
      <c r="I1239" s="21" t="n">
        <v>0</v>
      </c>
      <c r="J1239" s="21" t="n">
        <v>0</v>
      </c>
      <c r="K1239" s="21" t="n">
        <v>0</v>
      </c>
      <c r="L1239" s="21" t="n">
        <v>0</v>
      </c>
      <c r="M1239" s="21" t="n">
        <v>0</v>
      </c>
      <c r="N1239" s="21" t="n">
        <v>0</v>
      </c>
      <c r="O1239" s="21" t="n">
        <v>0</v>
      </c>
      <c r="P1239" s="21" t="n">
        <v>0</v>
      </c>
      <c r="Q1239" s="21" t="n">
        <v>0</v>
      </c>
      <c r="R1239" s="21" t="n">
        <v>0</v>
      </c>
      <c r="S1239" s="21" t="n">
        <v>0</v>
      </c>
      <c r="T1239" s="21" t="n">
        <v>0</v>
      </c>
      <c r="U1239" s="21" t="n">
        <v>0</v>
      </c>
      <c r="V1239" s="21" t="n">
        <v>0</v>
      </c>
      <c r="W1239" s="21" t="n">
        <v>0</v>
      </c>
      <c r="X1239" s="21" t="n">
        <v>0</v>
      </c>
      <c r="Y1239" s="21" t="n">
        <v>0</v>
      </c>
      <c r="Z1239" s="21" t="n">
        <v>0</v>
      </c>
      <c r="AA1239" s="21" t="n">
        <v>0</v>
      </c>
      <c r="AB1239" s="21" t="n">
        <v>0</v>
      </c>
      <c r="AC1239" s="21" t="n">
        <v>0</v>
      </c>
      <c r="AD1239" s="21" t="n">
        <v>0</v>
      </c>
      <c r="AE1239" s="21" t="n">
        <v>0</v>
      </c>
      <c r="AF1239" s="21" t="n">
        <v>0</v>
      </c>
      <c r="AG1239" s="21" t="n">
        <v>0</v>
      </c>
      <c r="AH1239" s="21" t="n">
        <v>0</v>
      </c>
      <c r="AI1239" s="21" t="n">
        <v>0</v>
      </c>
      <c r="AJ1239" s="21" t="n">
        <v>0</v>
      </c>
      <c r="AK1239" s="21" t="n">
        <v>0</v>
      </c>
      <c r="AL1239" s="21" t="n">
        <v>0</v>
      </c>
      <c r="AM1239" s="21" t="n">
        <v>0</v>
      </c>
      <c r="AN1239" s="21" t="n">
        <v>0</v>
      </c>
      <c r="AO1239" s="21" t="n">
        <v>0</v>
      </c>
      <c r="AP1239" s="21">
        <f>-$B$18</f>
        <v/>
      </c>
      <c r="AQ1239" s="21">
        <f>-$B$19</f>
        <v/>
      </c>
      <c r="AR1239" s="21">
        <f>$B$18+$D$1197</f>
        <v/>
      </c>
      <c r="AS1239" s="21">
        <f>-$B$19</f>
        <v/>
      </c>
      <c r="AT1239" s="19" t="n"/>
    </row>
    <row r="1240">
      <c r="D1240" s="21" t="n">
        <v>0</v>
      </c>
      <c r="E1240" s="21" t="n">
        <v>0</v>
      </c>
      <c r="F1240" s="21" t="n">
        <v>0</v>
      </c>
      <c r="G1240" s="21" t="n">
        <v>0</v>
      </c>
      <c r="H1240" s="21" t="n">
        <v>0</v>
      </c>
      <c r="I1240" s="21" t="n">
        <v>0</v>
      </c>
      <c r="J1240" s="21" t="n">
        <v>0</v>
      </c>
      <c r="K1240" s="21" t="n">
        <v>0</v>
      </c>
      <c r="L1240" s="21" t="n">
        <v>0</v>
      </c>
      <c r="M1240" s="21" t="n">
        <v>0</v>
      </c>
      <c r="N1240" s="21" t="n">
        <v>0</v>
      </c>
      <c r="O1240" s="21" t="n">
        <v>0</v>
      </c>
      <c r="P1240" s="21" t="n">
        <v>0</v>
      </c>
      <c r="Q1240" s="21" t="n">
        <v>0</v>
      </c>
      <c r="R1240" s="21" t="n">
        <v>0</v>
      </c>
      <c r="S1240" s="21" t="n">
        <v>0</v>
      </c>
      <c r="T1240" s="21" t="n">
        <v>0</v>
      </c>
      <c r="U1240" s="21" t="n">
        <v>0</v>
      </c>
      <c r="V1240" s="21" t="n">
        <v>0</v>
      </c>
      <c r="W1240" s="21" t="n">
        <v>0</v>
      </c>
      <c r="X1240" s="21" t="n">
        <v>0</v>
      </c>
      <c r="Y1240" s="21" t="n">
        <v>0</v>
      </c>
      <c r="Z1240" s="21" t="n">
        <v>0</v>
      </c>
      <c r="AA1240" s="21" t="n">
        <v>0</v>
      </c>
      <c r="AB1240" s="21" t="n">
        <v>0</v>
      </c>
      <c r="AC1240" s="21" t="n">
        <v>0</v>
      </c>
      <c r="AD1240" s="21" t="n">
        <v>0</v>
      </c>
      <c r="AE1240" s="21" t="n">
        <v>0</v>
      </c>
      <c r="AF1240" s="21" t="n">
        <v>0</v>
      </c>
      <c r="AG1240" s="21" t="n">
        <v>0</v>
      </c>
      <c r="AH1240" s="21" t="n">
        <v>0</v>
      </c>
      <c r="AI1240" s="21" t="n">
        <v>0</v>
      </c>
      <c r="AJ1240" s="21" t="n">
        <v>0</v>
      </c>
      <c r="AK1240" s="21" t="n">
        <v>0</v>
      </c>
      <c r="AL1240" s="21" t="n">
        <v>0</v>
      </c>
      <c r="AM1240" s="21" t="n">
        <v>0</v>
      </c>
      <c r="AN1240" s="21" t="n">
        <v>0</v>
      </c>
      <c r="AO1240" s="21" t="n">
        <v>0</v>
      </c>
      <c r="AP1240" s="21">
        <f>$B$19</f>
        <v/>
      </c>
      <c r="AQ1240" s="21">
        <f>$B$21</f>
        <v/>
      </c>
      <c r="AR1240" s="21">
        <f>-$B$19</f>
        <v/>
      </c>
      <c r="AS1240" s="21">
        <f>$B$20</f>
        <v/>
      </c>
      <c r="AT1240" s="19" t="n"/>
    </row>
    <row r="1242">
      <c r="A1242" s="8" t="inlineStr">
        <is>
          <t>gen 18</t>
        </is>
      </c>
    </row>
    <row r="1243">
      <c r="D1243" s="19">
        <f>IF(ABS(IF(ABS($E$1177)&gt;0.000000001,$E$1177,0.000000001))=0,0,IF($E$33&lt;=$B$27,0,IF(ABS(IF(ABS($E$1177)&gt;0.000000001,$E$1177,0.000000001))&gt;=8*$B$29,$H$33,0.5*$H$33*(ABS(IF(ABS($E$1177)&gt;0.000000001,$E$1177,0.000000001))/$B$29)^(1/3)))/ABS(IF(ABS($E$1177)&gt;0.000000001,$E$1177,0.000000001))*$I$33)</f>
        <v/>
      </c>
      <c r="E1243" s="19">
        <f>0.5*$E$1177+0.5*$AT$1265</f>
        <v/>
      </c>
      <c r="F1243" s="19">
        <f>$AT$1266</f>
        <v/>
      </c>
    </row>
    <row r="1244">
      <c r="D1244" s="19">
        <f>IF(ABS(IF(ABS($E$1178)&gt;0.000000001,$E$1178,0.000000001))=0,0,IF($E$34&lt;=$B$27,0,IF(ABS(IF(ABS($E$1178)&gt;0.000000001,$E$1178,0.000000001))&gt;=8*$B$29,$H$34,0.5*$H$34*(ABS(IF(ABS($E$1178)&gt;0.000000001,$E$1178,0.000000001))/$B$29)^(1/3)))/ABS(IF(ABS($E$1178)&gt;0.000000001,$E$1178,0.000000001))*$I$34)</f>
        <v/>
      </c>
      <c r="E1244" s="19">
        <f>0.5*$E$1178+0.5*$AT$1267</f>
        <v/>
      </c>
      <c r="F1244" s="19">
        <f>$AT$1268</f>
        <v/>
      </c>
    </row>
    <row r="1245">
      <c r="D1245" s="19">
        <f>IF(ABS(IF(ABS($E$1179)&gt;0.000000001,$E$1179,0.000000001))=0,0,IF($E$35&lt;=$B$27,0,IF(ABS(IF(ABS($E$1179)&gt;0.000000001,$E$1179,0.000000001))&gt;=8*$B$29,$H$35,0.5*$H$35*(ABS(IF(ABS($E$1179)&gt;0.000000001,$E$1179,0.000000001))/$B$29)^(1/3)))/ABS(IF(ABS($E$1179)&gt;0.000000001,$E$1179,0.000000001))*$I$35)</f>
        <v/>
      </c>
      <c r="E1245" s="19">
        <f>0.5*$E$1179+0.5*$AT$1269</f>
        <v/>
      </c>
      <c r="F1245" s="19">
        <f>$AT$1270</f>
        <v/>
      </c>
    </row>
    <row r="1246">
      <c r="D1246" s="19">
        <f>IF(ABS(IF(ABS($E$1180)&gt;0.000000001,$E$1180,0.000000001))=0,0,IF($E$36&lt;=$B$27,0,IF(ABS(IF(ABS($E$1180)&gt;0.000000001,$E$1180,0.000000001))&gt;=8*$B$29,$H$36,0.5*$H$36*(ABS(IF(ABS($E$1180)&gt;0.000000001,$E$1180,0.000000001))/$B$29)^(1/3)))/ABS(IF(ABS($E$1180)&gt;0.000000001,$E$1180,0.000000001))*$I$36)</f>
        <v/>
      </c>
      <c r="E1246" s="19">
        <f>0.5*$E$1180+0.5*$AT$1271</f>
        <v/>
      </c>
      <c r="F1246" s="19">
        <f>$AT$1272</f>
        <v/>
      </c>
    </row>
    <row r="1247">
      <c r="D1247" s="19">
        <f>IF(ABS(IF(ABS($E$1181)&gt;0.000000001,$E$1181,0.000000001))=0,0,IF($E$37&lt;=$B$27,0,IF(ABS(IF(ABS($E$1181)&gt;0.000000001,$E$1181,0.000000001))&gt;=8*$B$29,$H$37,0.5*$H$37*(ABS(IF(ABS($E$1181)&gt;0.000000001,$E$1181,0.000000001))/$B$29)^(1/3)))/ABS(IF(ABS($E$1181)&gt;0.000000001,$E$1181,0.000000001))*$I$37)</f>
        <v/>
      </c>
      <c r="E1247" s="19">
        <f>0.5*$E$1181+0.5*$AT$1273</f>
        <v/>
      </c>
      <c r="F1247" s="19">
        <f>$AT$1274</f>
        <v/>
      </c>
    </row>
    <row r="1248">
      <c r="D1248" s="19">
        <f>IF(ABS(IF(ABS($E$1182)&gt;0.000000001,$E$1182,0.000000001))=0,0,IF($E$38&lt;=$B$27,0,IF(ABS(IF(ABS($E$1182)&gt;0.000000001,$E$1182,0.000000001))&gt;=8*$B$29,$H$38,0.5*$H$38*(ABS(IF(ABS($E$1182)&gt;0.000000001,$E$1182,0.000000001))/$B$29)^(1/3)))/ABS(IF(ABS($E$1182)&gt;0.000000001,$E$1182,0.000000001))*$I$38)</f>
        <v/>
      </c>
      <c r="E1248" s="19">
        <f>0.5*$E$1182+0.5*$AT$1275</f>
        <v/>
      </c>
      <c r="F1248" s="19">
        <f>$AT$1276</f>
        <v/>
      </c>
    </row>
    <row r="1249">
      <c r="D1249" s="19">
        <f>IF(ABS(IF(ABS($E$1183)&gt;0.000000001,$E$1183,0.000000001))=0,0,IF($E$39&lt;=$B$27,0,IF(ABS(IF(ABS($E$1183)&gt;0.000000001,$E$1183,0.000000001))&gt;=8*$B$29,$H$39,0.5*$H$39*(ABS(IF(ABS($E$1183)&gt;0.000000001,$E$1183,0.000000001))/$B$29)^(1/3)))/ABS(IF(ABS($E$1183)&gt;0.000000001,$E$1183,0.000000001))*$I$39)</f>
        <v/>
      </c>
      <c r="E1249" s="19">
        <f>0.5*$E$1183+0.5*$AT$1277</f>
        <v/>
      </c>
      <c r="F1249" s="19">
        <f>$AT$1278</f>
        <v/>
      </c>
    </row>
    <row r="1250">
      <c r="D1250" s="19">
        <f>IF(ABS(IF(ABS($E$1184)&gt;0.000000001,$E$1184,0.000000001))=0,0,IF($E$40&lt;=$B$27,0,IF(ABS(IF(ABS($E$1184)&gt;0.000000001,$E$1184,0.000000001))&gt;=8*$B$29,$H$40,0.5*$H$40*(ABS(IF(ABS($E$1184)&gt;0.000000001,$E$1184,0.000000001))/$B$29)^(1/3)))/ABS(IF(ABS($E$1184)&gt;0.000000001,$E$1184,0.000000001))*$I$40)</f>
        <v/>
      </c>
      <c r="E1250" s="19">
        <f>0.5*$E$1184+0.5*$AT$1279</f>
        <v/>
      </c>
      <c r="F1250" s="19">
        <f>$AT$1280</f>
        <v/>
      </c>
    </row>
    <row r="1251">
      <c r="D1251" s="19">
        <f>IF(ABS(IF(ABS($E$1185)&gt;0.000000001,$E$1185,0.000000001))=0,0,IF($E$41&lt;=$B$27,0,IF(ABS(IF(ABS($E$1185)&gt;0.000000001,$E$1185,0.000000001))&gt;=8*$B$29,$H$41,0.5*$H$41*(ABS(IF(ABS($E$1185)&gt;0.000000001,$E$1185,0.000000001))/$B$29)^(1/3)))/ABS(IF(ABS($E$1185)&gt;0.000000001,$E$1185,0.000000001))*$I$41)</f>
        <v/>
      </c>
      <c r="E1251" s="19">
        <f>0.5*$E$1185+0.5*$AT$1281</f>
        <v/>
      </c>
      <c r="F1251" s="19">
        <f>$AT$1282</f>
        <v/>
      </c>
    </row>
    <row r="1252">
      <c r="D1252" s="19">
        <f>IF(ABS(IF(ABS($E$1186)&gt;0.000000001,$E$1186,0.000000001))=0,0,IF($E$42&lt;=$B$27,0,IF(ABS(IF(ABS($E$1186)&gt;0.000000001,$E$1186,0.000000001))&gt;=8*$B$29,$H$42,0.5*$H$42*(ABS(IF(ABS($E$1186)&gt;0.000000001,$E$1186,0.000000001))/$B$29)^(1/3)))/ABS(IF(ABS($E$1186)&gt;0.000000001,$E$1186,0.000000001))*$I$42)</f>
        <v/>
      </c>
      <c r="E1252" s="19">
        <f>0.5*$E$1186+0.5*$AT$1283</f>
        <v/>
      </c>
      <c r="F1252" s="19">
        <f>$AT$1284</f>
        <v/>
      </c>
    </row>
    <row r="1253">
      <c r="D1253" s="19">
        <f>IF(ABS(IF(ABS($E$1187)&gt;0.000000001,$E$1187,0.000000001))=0,0,IF($E$43&lt;=$B$27,0,IF(ABS(IF(ABS($E$1187)&gt;0.000000001,$E$1187,0.000000001))&gt;=8*$B$29,$H$43,0.5*$H$43*(ABS(IF(ABS($E$1187)&gt;0.000000001,$E$1187,0.000000001))/$B$29)^(1/3)))/ABS(IF(ABS($E$1187)&gt;0.000000001,$E$1187,0.000000001))*$I$43)</f>
        <v/>
      </c>
      <c r="E1253" s="19">
        <f>0.5*$E$1187+0.5*$AT$1285</f>
        <v/>
      </c>
      <c r="F1253" s="19">
        <f>$AT$1286</f>
        <v/>
      </c>
    </row>
    <row r="1254">
      <c r="D1254" s="19">
        <f>IF(ABS(IF(ABS($E$1188)&gt;0.000000001,$E$1188,0.000000001))=0,0,IF($E$44&lt;=$B$27,0,IF(ABS(IF(ABS($E$1188)&gt;0.000000001,$E$1188,0.000000001))&gt;=8*$B$29,$H$44,0.5*$H$44*(ABS(IF(ABS($E$1188)&gt;0.000000001,$E$1188,0.000000001))/$B$29)^(1/3)))/ABS(IF(ABS($E$1188)&gt;0.000000001,$E$1188,0.000000001))*$I$44)</f>
        <v/>
      </c>
      <c r="E1254" s="19">
        <f>0.5*$E$1188+0.5*$AT$1287</f>
        <v/>
      </c>
      <c r="F1254" s="19">
        <f>$AT$1288</f>
        <v/>
      </c>
    </row>
    <row r="1255">
      <c r="D1255" s="19">
        <f>IF(ABS(IF(ABS($E$1189)&gt;0.000000001,$E$1189,0.000000001))=0,0,IF($E$45&lt;=$B$27,0,IF(ABS(IF(ABS($E$1189)&gt;0.000000001,$E$1189,0.000000001))&gt;=8*$B$29,$H$45,0.5*$H$45*(ABS(IF(ABS($E$1189)&gt;0.000000001,$E$1189,0.000000001))/$B$29)^(1/3)))/ABS(IF(ABS($E$1189)&gt;0.000000001,$E$1189,0.000000001))*$I$45)</f>
        <v/>
      </c>
      <c r="E1255" s="19">
        <f>0.5*$E$1189+0.5*$AT$1289</f>
        <v/>
      </c>
      <c r="F1255" s="19">
        <f>$AT$1290</f>
        <v/>
      </c>
    </row>
    <row r="1256">
      <c r="D1256" s="19">
        <f>IF(ABS(IF(ABS($E$1190)&gt;0.000000001,$E$1190,0.000000001))=0,0,IF($E$46&lt;=$B$27,0,IF(ABS(IF(ABS($E$1190)&gt;0.000000001,$E$1190,0.000000001))&gt;=8*$B$29,$H$46,0.5*$H$46*(ABS(IF(ABS($E$1190)&gt;0.000000001,$E$1190,0.000000001))/$B$29)^(1/3)))/ABS(IF(ABS($E$1190)&gt;0.000000001,$E$1190,0.000000001))*$I$46)</f>
        <v/>
      </c>
      <c r="E1256" s="19">
        <f>0.5*$E$1190+0.5*$AT$1291</f>
        <v/>
      </c>
      <c r="F1256" s="19">
        <f>$AT$1292</f>
        <v/>
      </c>
    </row>
    <row r="1257">
      <c r="D1257" s="19">
        <f>IF(ABS(IF(ABS($E$1191)&gt;0.000000001,$E$1191,0.000000001))=0,0,IF($E$47&lt;=$B$27,0,IF(ABS(IF(ABS($E$1191)&gt;0.000000001,$E$1191,0.000000001))&gt;=8*$B$29,$H$47,0.5*$H$47*(ABS(IF(ABS($E$1191)&gt;0.000000001,$E$1191,0.000000001))/$B$29)^(1/3)))/ABS(IF(ABS($E$1191)&gt;0.000000001,$E$1191,0.000000001))*$I$47)</f>
        <v/>
      </c>
      <c r="E1257" s="19">
        <f>0.5*$E$1191+0.5*$AT$1293</f>
        <v/>
      </c>
      <c r="F1257" s="19">
        <f>$AT$1294</f>
        <v/>
      </c>
    </row>
    <row r="1258">
      <c r="D1258" s="19">
        <f>IF(ABS(IF(ABS($E$1192)&gt;0.000000001,$E$1192,0.000000001))=0,0,IF($E$48&lt;=$B$27,0,IF(ABS(IF(ABS($E$1192)&gt;0.000000001,$E$1192,0.000000001))&gt;=8*$B$29,$H$48,0.5*$H$48*(ABS(IF(ABS($E$1192)&gt;0.000000001,$E$1192,0.000000001))/$B$29)^(1/3)))/ABS(IF(ABS($E$1192)&gt;0.000000001,$E$1192,0.000000001))*$I$48)</f>
        <v/>
      </c>
      <c r="E1258" s="19">
        <f>0.5*$E$1192+0.5*$AT$1295</f>
        <v/>
      </c>
      <c r="F1258" s="19">
        <f>$AT$1296</f>
        <v/>
      </c>
    </row>
    <row r="1259">
      <c r="D1259" s="19">
        <f>IF(ABS(IF(ABS($E$1193)&gt;0.000000001,$E$1193,0.000000001))=0,0,IF($E$49&lt;=$B$27,0,IF(ABS(IF(ABS($E$1193)&gt;0.000000001,$E$1193,0.000000001))&gt;=8*$B$29,$H$49,0.5*$H$49*(ABS(IF(ABS($E$1193)&gt;0.000000001,$E$1193,0.000000001))/$B$29)^(1/3)))/ABS(IF(ABS($E$1193)&gt;0.000000001,$E$1193,0.000000001))*$I$49)</f>
        <v/>
      </c>
      <c r="E1259" s="19">
        <f>0.5*$E$1193+0.5*$AT$1297</f>
        <v/>
      </c>
      <c r="F1259" s="19">
        <f>$AT$1298</f>
        <v/>
      </c>
    </row>
    <row r="1260">
      <c r="D1260" s="19">
        <f>IF(ABS(IF(ABS($E$1194)&gt;0.000000001,$E$1194,0.000000001))=0,0,IF($E$50&lt;=$B$27,0,IF(ABS(IF(ABS($E$1194)&gt;0.000000001,$E$1194,0.000000001))&gt;=8*$B$29,$H$50,0.5*$H$50*(ABS(IF(ABS($E$1194)&gt;0.000000001,$E$1194,0.000000001))/$B$29)^(1/3)))/ABS(IF(ABS($E$1194)&gt;0.000000001,$E$1194,0.000000001))*$I$50)</f>
        <v/>
      </c>
      <c r="E1260" s="19">
        <f>0.5*$E$1194+0.5*$AT$1299</f>
        <v/>
      </c>
      <c r="F1260" s="19">
        <f>$AT$1300</f>
        <v/>
      </c>
    </row>
    <row r="1261">
      <c r="D1261" s="19">
        <f>IF(ABS(IF(ABS($E$1195)&gt;0.000000001,$E$1195,0.000000001))=0,0,IF($E$51&lt;=$B$27,0,IF(ABS(IF(ABS($E$1195)&gt;0.000000001,$E$1195,0.000000001))&gt;=8*$B$29,$H$51,0.5*$H$51*(ABS(IF(ABS($E$1195)&gt;0.000000001,$E$1195,0.000000001))/$B$29)^(1/3)))/ABS(IF(ABS($E$1195)&gt;0.000000001,$E$1195,0.000000001))*$I$51)</f>
        <v/>
      </c>
      <c r="E1261" s="19">
        <f>0.5*$E$1195+0.5*$AT$1301</f>
        <v/>
      </c>
      <c r="F1261" s="19">
        <f>$AT$1302</f>
        <v/>
      </c>
    </row>
    <row r="1262">
      <c r="D1262" s="19">
        <f>IF(ABS(IF(ABS($E$1196)&gt;0.000000001,$E$1196,0.000000001))=0,0,IF($E$52&lt;=$B$27,0,IF(ABS(IF(ABS($E$1196)&gt;0.000000001,$E$1196,0.000000001))&gt;=8*$B$29,$H$52,0.5*$H$52*(ABS(IF(ABS($E$1196)&gt;0.000000001,$E$1196,0.000000001))/$B$29)^(1/3)))/ABS(IF(ABS($E$1196)&gt;0.000000001,$E$1196,0.000000001))*$I$52)</f>
        <v/>
      </c>
      <c r="E1262" s="19">
        <f>0.5*$E$1196+0.5*$AT$1303</f>
        <v/>
      </c>
      <c r="F1262" s="19">
        <f>$AT$1304</f>
        <v/>
      </c>
    </row>
    <row r="1263">
      <c r="D1263" s="19">
        <f>IF(ABS(IF(ABS($E$1197)&gt;0.000000001,$E$1197,0.000000001))=0,0,IF($E$53&lt;=$B$27,0,IF(ABS(IF(ABS($E$1197)&gt;0.000000001,$E$1197,0.000000001))&gt;=8*$B$29,$H$53,0.5*$H$53*(ABS(IF(ABS($E$1197)&gt;0.000000001,$E$1197,0.000000001))/$B$29)^(1/3)))/ABS(IF(ABS($E$1197)&gt;0.000000001,$E$1197,0.000000001))*$I$53)</f>
        <v/>
      </c>
      <c r="E1263" s="19">
        <f>0.5*$E$1197+0.5*$AT$1305</f>
        <v/>
      </c>
      <c r="F1263" s="19">
        <f>$AT$1306</f>
        <v/>
      </c>
    </row>
    <row r="1265">
      <c r="D1265" s="21">
        <f>$B$18+$D$1243</f>
        <v/>
      </c>
      <c r="E1265" s="21">
        <f>$B$19</f>
        <v/>
      </c>
      <c r="F1265" s="21">
        <f>-$B$18</f>
        <v/>
      </c>
      <c r="G1265" s="21">
        <f>$B$19</f>
        <v/>
      </c>
      <c r="H1265" s="21" t="n">
        <v>0</v>
      </c>
      <c r="I1265" s="21" t="n">
        <v>0</v>
      </c>
      <c r="J1265" s="21" t="n">
        <v>0</v>
      </c>
      <c r="K1265" s="21" t="n">
        <v>0</v>
      </c>
      <c r="L1265" s="21" t="n">
        <v>0</v>
      </c>
      <c r="M1265" s="21" t="n">
        <v>0</v>
      </c>
      <c r="N1265" s="21" t="n">
        <v>0</v>
      </c>
      <c r="O1265" s="21" t="n">
        <v>0</v>
      </c>
      <c r="P1265" s="21" t="n">
        <v>0</v>
      </c>
      <c r="Q1265" s="21" t="n">
        <v>0</v>
      </c>
      <c r="R1265" s="21" t="n">
        <v>0</v>
      </c>
      <c r="S1265" s="21" t="n">
        <v>0</v>
      </c>
      <c r="T1265" s="21" t="n">
        <v>0</v>
      </c>
      <c r="U1265" s="21" t="n">
        <v>0</v>
      </c>
      <c r="V1265" s="21" t="n">
        <v>0</v>
      </c>
      <c r="W1265" s="21" t="n">
        <v>0</v>
      </c>
      <c r="X1265" s="21" t="n">
        <v>0</v>
      </c>
      <c r="Y1265" s="21" t="n">
        <v>0</v>
      </c>
      <c r="Z1265" s="21" t="n">
        <v>0</v>
      </c>
      <c r="AA1265" s="21" t="n">
        <v>0</v>
      </c>
      <c r="AB1265" s="21" t="n">
        <v>0</v>
      </c>
      <c r="AC1265" s="21" t="n">
        <v>0</v>
      </c>
      <c r="AD1265" s="21" t="n">
        <v>0</v>
      </c>
      <c r="AE1265" s="21" t="n">
        <v>0</v>
      </c>
      <c r="AF1265" s="21" t="n">
        <v>0</v>
      </c>
      <c r="AG1265" s="21" t="n">
        <v>0</v>
      </c>
      <c r="AH1265" s="21" t="n">
        <v>0</v>
      </c>
      <c r="AI1265" s="21" t="n">
        <v>0</v>
      </c>
      <c r="AJ1265" s="21" t="n">
        <v>0</v>
      </c>
      <c r="AK1265" s="21" t="n">
        <v>0</v>
      </c>
      <c r="AL1265" s="21" t="n">
        <v>0</v>
      </c>
      <c r="AM1265" s="21" t="n">
        <v>0</v>
      </c>
      <c r="AN1265" s="21" t="n">
        <v>0</v>
      </c>
      <c r="AO1265" s="21" t="n">
        <v>0</v>
      </c>
      <c r="AP1265" s="21" t="n">
        <v>0</v>
      </c>
      <c r="AQ1265" s="21" t="n">
        <v>0</v>
      </c>
      <c r="AR1265" s="21" t="n">
        <v>0</v>
      </c>
      <c r="AS1265" s="21" t="n">
        <v>0</v>
      </c>
      <c r="AT1265" s="19">
        <f t="array" ref="AT1265:AT1306">MMULT(MINVERSE($D$1265:$AS$1306),$D$55:$D$96)</f>
        <v/>
      </c>
    </row>
    <row r="1266">
      <c r="D1266" s="21">
        <f>$B$19</f>
        <v/>
      </c>
      <c r="E1266" s="21">
        <f>$B$20</f>
        <v/>
      </c>
      <c r="F1266" s="21">
        <f>-$B$19</f>
        <v/>
      </c>
      <c r="G1266" s="21">
        <f>$B$21</f>
        <v/>
      </c>
      <c r="H1266" s="21" t="n">
        <v>0</v>
      </c>
      <c r="I1266" s="21" t="n">
        <v>0</v>
      </c>
      <c r="J1266" s="21" t="n">
        <v>0</v>
      </c>
      <c r="K1266" s="21" t="n">
        <v>0</v>
      </c>
      <c r="L1266" s="21" t="n">
        <v>0</v>
      </c>
      <c r="M1266" s="21" t="n">
        <v>0</v>
      </c>
      <c r="N1266" s="21" t="n">
        <v>0</v>
      </c>
      <c r="O1266" s="21" t="n">
        <v>0</v>
      </c>
      <c r="P1266" s="21" t="n">
        <v>0</v>
      </c>
      <c r="Q1266" s="21" t="n">
        <v>0</v>
      </c>
      <c r="R1266" s="21" t="n">
        <v>0</v>
      </c>
      <c r="S1266" s="21" t="n">
        <v>0</v>
      </c>
      <c r="T1266" s="21" t="n">
        <v>0</v>
      </c>
      <c r="U1266" s="21" t="n">
        <v>0</v>
      </c>
      <c r="V1266" s="21" t="n">
        <v>0</v>
      </c>
      <c r="W1266" s="21" t="n">
        <v>0</v>
      </c>
      <c r="X1266" s="21" t="n">
        <v>0</v>
      </c>
      <c r="Y1266" s="21" t="n">
        <v>0</v>
      </c>
      <c r="Z1266" s="21" t="n">
        <v>0</v>
      </c>
      <c r="AA1266" s="21" t="n">
        <v>0</v>
      </c>
      <c r="AB1266" s="21" t="n">
        <v>0</v>
      </c>
      <c r="AC1266" s="21" t="n">
        <v>0</v>
      </c>
      <c r="AD1266" s="21" t="n">
        <v>0</v>
      </c>
      <c r="AE1266" s="21" t="n">
        <v>0</v>
      </c>
      <c r="AF1266" s="21" t="n">
        <v>0</v>
      </c>
      <c r="AG1266" s="21" t="n">
        <v>0</v>
      </c>
      <c r="AH1266" s="21" t="n">
        <v>0</v>
      </c>
      <c r="AI1266" s="21" t="n">
        <v>0</v>
      </c>
      <c r="AJ1266" s="21" t="n">
        <v>0</v>
      </c>
      <c r="AK1266" s="21" t="n">
        <v>0</v>
      </c>
      <c r="AL1266" s="21" t="n">
        <v>0</v>
      </c>
      <c r="AM1266" s="21" t="n">
        <v>0</v>
      </c>
      <c r="AN1266" s="21" t="n">
        <v>0</v>
      </c>
      <c r="AO1266" s="21" t="n">
        <v>0</v>
      </c>
      <c r="AP1266" s="21" t="n">
        <v>0</v>
      </c>
      <c r="AQ1266" s="21" t="n">
        <v>0</v>
      </c>
      <c r="AR1266" s="21" t="n">
        <v>0</v>
      </c>
      <c r="AS1266" s="21" t="n">
        <v>0</v>
      </c>
      <c r="AT1266" s="19" t="n"/>
    </row>
    <row r="1267">
      <c r="D1267" s="21">
        <f>-$B$18</f>
        <v/>
      </c>
      <c r="E1267" s="21">
        <f>-$B$19</f>
        <v/>
      </c>
      <c r="F1267" s="21">
        <f>2*$B$18+$D$1244</f>
        <v/>
      </c>
      <c r="G1267" s="21">
        <f>0</f>
        <v/>
      </c>
      <c r="H1267" s="21">
        <f>-$B$18</f>
        <v/>
      </c>
      <c r="I1267" s="21">
        <f>$B$19</f>
        <v/>
      </c>
      <c r="J1267" s="21" t="n">
        <v>0</v>
      </c>
      <c r="K1267" s="21" t="n">
        <v>0</v>
      </c>
      <c r="L1267" s="21" t="n">
        <v>0</v>
      </c>
      <c r="M1267" s="21" t="n">
        <v>0</v>
      </c>
      <c r="N1267" s="21" t="n">
        <v>0</v>
      </c>
      <c r="O1267" s="21" t="n">
        <v>0</v>
      </c>
      <c r="P1267" s="21" t="n">
        <v>0</v>
      </c>
      <c r="Q1267" s="21" t="n">
        <v>0</v>
      </c>
      <c r="R1267" s="21" t="n">
        <v>0</v>
      </c>
      <c r="S1267" s="21" t="n">
        <v>0</v>
      </c>
      <c r="T1267" s="21" t="n">
        <v>0</v>
      </c>
      <c r="U1267" s="21" t="n">
        <v>0</v>
      </c>
      <c r="V1267" s="21" t="n">
        <v>0</v>
      </c>
      <c r="W1267" s="21" t="n">
        <v>0</v>
      </c>
      <c r="X1267" s="21" t="n">
        <v>0</v>
      </c>
      <c r="Y1267" s="21" t="n">
        <v>0</v>
      </c>
      <c r="Z1267" s="21" t="n">
        <v>0</v>
      </c>
      <c r="AA1267" s="21" t="n">
        <v>0</v>
      </c>
      <c r="AB1267" s="21" t="n">
        <v>0</v>
      </c>
      <c r="AC1267" s="21" t="n">
        <v>0</v>
      </c>
      <c r="AD1267" s="21" t="n">
        <v>0</v>
      </c>
      <c r="AE1267" s="21" t="n">
        <v>0</v>
      </c>
      <c r="AF1267" s="21" t="n">
        <v>0</v>
      </c>
      <c r="AG1267" s="21" t="n">
        <v>0</v>
      </c>
      <c r="AH1267" s="21" t="n">
        <v>0</v>
      </c>
      <c r="AI1267" s="21" t="n">
        <v>0</v>
      </c>
      <c r="AJ1267" s="21" t="n">
        <v>0</v>
      </c>
      <c r="AK1267" s="21" t="n">
        <v>0</v>
      </c>
      <c r="AL1267" s="21" t="n">
        <v>0</v>
      </c>
      <c r="AM1267" s="21" t="n">
        <v>0</v>
      </c>
      <c r="AN1267" s="21" t="n">
        <v>0</v>
      </c>
      <c r="AO1267" s="21" t="n">
        <v>0</v>
      </c>
      <c r="AP1267" s="21" t="n">
        <v>0</v>
      </c>
      <c r="AQ1267" s="21" t="n">
        <v>0</v>
      </c>
      <c r="AR1267" s="21" t="n">
        <v>0</v>
      </c>
      <c r="AS1267" s="21" t="n">
        <v>0</v>
      </c>
      <c r="AT1267" s="19" t="n"/>
    </row>
    <row r="1268">
      <c r="D1268" s="21">
        <f>$B$19</f>
        <v/>
      </c>
      <c r="E1268" s="21">
        <f>$B$21</f>
        <v/>
      </c>
      <c r="F1268" s="21">
        <f>0</f>
        <v/>
      </c>
      <c r="G1268" s="21">
        <f>2*$B$20</f>
        <v/>
      </c>
      <c r="H1268" s="21">
        <f>-$B$19</f>
        <v/>
      </c>
      <c r="I1268" s="21">
        <f>$B$21</f>
        <v/>
      </c>
      <c r="J1268" s="21" t="n">
        <v>0</v>
      </c>
      <c r="K1268" s="21" t="n">
        <v>0</v>
      </c>
      <c r="L1268" s="21" t="n">
        <v>0</v>
      </c>
      <c r="M1268" s="21" t="n">
        <v>0</v>
      </c>
      <c r="N1268" s="21" t="n">
        <v>0</v>
      </c>
      <c r="O1268" s="21" t="n">
        <v>0</v>
      </c>
      <c r="P1268" s="21" t="n">
        <v>0</v>
      </c>
      <c r="Q1268" s="21" t="n">
        <v>0</v>
      </c>
      <c r="R1268" s="21" t="n">
        <v>0</v>
      </c>
      <c r="S1268" s="21" t="n">
        <v>0</v>
      </c>
      <c r="T1268" s="21" t="n">
        <v>0</v>
      </c>
      <c r="U1268" s="21" t="n">
        <v>0</v>
      </c>
      <c r="V1268" s="21" t="n">
        <v>0</v>
      </c>
      <c r="W1268" s="21" t="n">
        <v>0</v>
      </c>
      <c r="X1268" s="21" t="n">
        <v>0</v>
      </c>
      <c r="Y1268" s="21" t="n">
        <v>0</v>
      </c>
      <c r="Z1268" s="21" t="n">
        <v>0</v>
      </c>
      <c r="AA1268" s="21" t="n">
        <v>0</v>
      </c>
      <c r="AB1268" s="21" t="n">
        <v>0</v>
      </c>
      <c r="AC1268" s="21" t="n">
        <v>0</v>
      </c>
      <c r="AD1268" s="21" t="n">
        <v>0</v>
      </c>
      <c r="AE1268" s="21" t="n">
        <v>0</v>
      </c>
      <c r="AF1268" s="21" t="n">
        <v>0</v>
      </c>
      <c r="AG1268" s="21" t="n">
        <v>0</v>
      </c>
      <c r="AH1268" s="21" t="n">
        <v>0</v>
      </c>
      <c r="AI1268" s="21" t="n">
        <v>0</v>
      </c>
      <c r="AJ1268" s="21" t="n">
        <v>0</v>
      </c>
      <c r="AK1268" s="21" t="n">
        <v>0</v>
      </c>
      <c r="AL1268" s="21" t="n">
        <v>0</v>
      </c>
      <c r="AM1268" s="21" t="n">
        <v>0</v>
      </c>
      <c r="AN1268" s="21" t="n">
        <v>0</v>
      </c>
      <c r="AO1268" s="21" t="n">
        <v>0</v>
      </c>
      <c r="AP1268" s="21" t="n">
        <v>0</v>
      </c>
      <c r="AQ1268" s="21" t="n">
        <v>0</v>
      </c>
      <c r="AR1268" s="21" t="n">
        <v>0</v>
      </c>
      <c r="AS1268" s="21" t="n">
        <v>0</v>
      </c>
      <c r="AT1268" s="19" t="n"/>
    </row>
    <row r="1269">
      <c r="D1269" s="21" t="n">
        <v>0</v>
      </c>
      <c r="E1269" s="21" t="n">
        <v>0</v>
      </c>
      <c r="F1269" s="21">
        <f>-$B$18</f>
        <v/>
      </c>
      <c r="G1269" s="21">
        <f>-$B$19</f>
        <v/>
      </c>
      <c r="H1269" s="21">
        <f>2*$B$18+$D$1245</f>
        <v/>
      </c>
      <c r="I1269" s="21">
        <f>0</f>
        <v/>
      </c>
      <c r="J1269" s="21">
        <f>-$B$18</f>
        <v/>
      </c>
      <c r="K1269" s="21">
        <f>$B$19</f>
        <v/>
      </c>
      <c r="L1269" s="21" t="n">
        <v>0</v>
      </c>
      <c r="M1269" s="21" t="n">
        <v>0</v>
      </c>
      <c r="N1269" s="21" t="n">
        <v>0</v>
      </c>
      <c r="O1269" s="21" t="n">
        <v>0</v>
      </c>
      <c r="P1269" s="21" t="n">
        <v>0</v>
      </c>
      <c r="Q1269" s="21" t="n">
        <v>0</v>
      </c>
      <c r="R1269" s="21" t="n">
        <v>0</v>
      </c>
      <c r="S1269" s="21" t="n">
        <v>0</v>
      </c>
      <c r="T1269" s="21" t="n">
        <v>0</v>
      </c>
      <c r="U1269" s="21" t="n">
        <v>0</v>
      </c>
      <c r="V1269" s="21" t="n">
        <v>0</v>
      </c>
      <c r="W1269" s="21" t="n">
        <v>0</v>
      </c>
      <c r="X1269" s="21" t="n">
        <v>0</v>
      </c>
      <c r="Y1269" s="21" t="n">
        <v>0</v>
      </c>
      <c r="Z1269" s="21" t="n">
        <v>0</v>
      </c>
      <c r="AA1269" s="21" t="n">
        <v>0</v>
      </c>
      <c r="AB1269" s="21" t="n">
        <v>0</v>
      </c>
      <c r="AC1269" s="21" t="n">
        <v>0</v>
      </c>
      <c r="AD1269" s="21" t="n">
        <v>0</v>
      </c>
      <c r="AE1269" s="21" t="n">
        <v>0</v>
      </c>
      <c r="AF1269" s="21" t="n">
        <v>0</v>
      </c>
      <c r="AG1269" s="21" t="n">
        <v>0</v>
      </c>
      <c r="AH1269" s="21" t="n">
        <v>0</v>
      </c>
      <c r="AI1269" s="21" t="n">
        <v>0</v>
      </c>
      <c r="AJ1269" s="21" t="n">
        <v>0</v>
      </c>
      <c r="AK1269" s="21" t="n">
        <v>0</v>
      </c>
      <c r="AL1269" s="21" t="n">
        <v>0</v>
      </c>
      <c r="AM1269" s="21" t="n">
        <v>0</v>
      </c>
      <c r="AN1269" s="21" t="n">
        <v>0</v>
      </c>
      <c r="AO1269" s="21" t="n">
        <v>0</v>
      </c>
      <c r="AP1269" s="21" t="n">
        <v>0</v>
      </c>
      <c r="AQ1269" s="21" t="n">
        <v>0</v>
      </c>
      <c r="AR1269" s="21" t="n">
        <v>0</v>
      </c>
      <c r="AS1269" s="21" t="n">
        <v>0</v>
      </c>
      <c r="AT1269" s="19" t="n"/>
    </row>
    <row r="1270">
      <c r="D1270" s="21" t="n">
        <v>0</v>
      </c>
      <c r="E1270" s="21" t="n">
        <v>0</v>
      </c>
      <c r="F1270" s="21">
        <f>$B$19</f>
        <v/>
      </c>
      <c r="G1270" s="21">
        <f>$B$21</f>
        <v/>
      </c>
      <c r="H1270" s="21">
        <f>0</f>
        <v/>
      </c>
      <c r="I1270" s="21">
        <f>2*$B$20</f>
        <v/>
      </c>
      <c r="J1270" s="21">
        <f>-$B$19</f>
        <v/>
      </c>
      <c r="K1270" s="21">
        <f>$B$21</f>
        <v/>
      </c>
      <c r="L1270" s="21" t="n">
        <v>0</v>
      </c>
      <c r="M1270" s="21" t="n">
        <v>0</v>
      </c>
      <c r="N1270" s="21" t="n">
        <v>0</v>
      </c>
      <c r="O1270" s="21" t="n">
        <v>0</v>
      </c>
      <c r="P1270" s="21" t="n">
        <v>0</v>
      </c>
      <c r="Q1270" s="21" t="n">
        <v>0</v>
      </c>
      <c r="R1270" s="21" t="n">
        <v>0</v>
      </c>
      <c r="S1270" s="21" t="n">
        <v>0</v>
      </c>
      <c r="T1270" s="21" t="n">
        <v>0</v>
      </c>
      <c r="U1270" s="21" t="n">
        <v>0</v>
      </c>
      <c r="V1270" s="21" t="n">
        <v>0</v>
      </c>
      <c r="W1270" s="21" t="n">
        <v>0</v>
      </c>
      <c r="X1270" s="21" t="n">
        <v>0</v>
      </c>
      <c r="Y1270" s="21" t="n">
        <v>0</v>
      </c>
      <c r="Z1270" s="21" t="n">
        <v>0</v>
      </c>
      <c r="AA1270" s="21" t="n">
        <v>0</v>
      </c>
      <c r="AB1270" s="21" t="n">
        <v>0</v>
      </c>
      <c r="AC1270" s="21" t="n">
        <v>0</v>
      </c>
      <c r="AD1270" s="21" t="n">
        <v>0</v>
      </c>
      <c r="AE1270" s="21" t="n">
        <v>0</v>
      </c>
      <c r="AF1270" s="21" t="n">
        <v>0</v>
      </c>
      <c r="AG1270" s="21" t="n">
        <v>0</v>
      </c>
      <c r="AH1270" s="21" t="n">
        <v>0</v>
      </c>
      <c r="AI1270" s="21" t="n">
        <v>0</v>
      </c>
      <c r="AJ1270" s="21" t="n">
        <v>0</v>
      </c>
      <c r="AK1270" s="21" t="n">
        <v>0</v>
      </c>
      <c r="AL1270" s="21" t="n">
        <v>0</v>
      </c>
      <c r="AM1270" s="21" t="n">
        <v>0</v>
      </c>
      <c r="AN1270" s="21" t="n">
        <v>0</v>
      </c>
      <c r="AO1270" s="21" t="n">
        <v>0</v>
      </c>
      <c r="AP1270" s="21" t="n">
        <v>0</v>
      </c>
      <c r="AQ1270" s="21" t="n">
        <v>0</v>
      </c>
      <c r="AR1270" s="21" t="n">
        <v>0</v>
      </c>
      <c r="AS1270" s="21" t="n">
        <v>0</v>
      </c>
      <c r="AT1270" s="19" t="n"/>
    </row>
    <row r="1271">
      <c r="D1271" s="21" t="n">
        <v>0</v>
      </c>
      <c r="E1271" s="21" t="n">
        <v>0</v>
      </c>
      <c r="F1271" s="21" t="n">
        <v>0</v>
      </c>
      <c r="G1271" s="21" t="n">
        <v>0</v>
      </c>
      <c r="H1271" s="21">
        <f>-$B$18</f>
        <v/>
      </c>
      <c r="I1271" s="21">
        <f>-$B$19</f>
        <v/>
      </c>
      <c r="J1271" s="21">
        <f>2*$B$18+$D$1246</f>
        <v/>
      </c>
      <c r="K1271" s="21">
        <f>0</f>
        <v/>
      </c>
      <c r="L1271" s="21">
        <f>-$B$18</f>
        <v/>
      </c>
      <c r="M1271" s="21">
        <f>$B$19</f>
        <v/>
      </c>
      <c r="N1271" s="21" t="n">
        <v>0</v>
      </c>
      <c r="O1271" s="21" t="n">
        <v>0</v>
      </c>
      <c r="P1271" s="21" t="n">
        <v>0</v>
      </c>
      <c r="Q1271" s="21" t="n">
        <v>0</v>
      </c>
      <c r="R1271" s="21" t="n">
        <v>0</v>
      </c>
      <c r="S1271" s="21" t="n">
        <v>0</v>
      </c>
      <c r="T1271" s="21" t="n">
        <v>0</v>
      </c>
      <c r="U1271" s="21" t="n">
        <v>0</v>
      </c>
      <c r="V1271" s="21" t="n">
        <v>0</v>
      </c>
      <c r="W1271" s="21" t="n">
        <v>0</v>
      </c>
      <c r="X1271" s="21" t="n">
        <v>0</v>
      </c>
      <c r="Y1271" s="21" t="n">
        <v>0</v>
      </c>
      <c r="Z1271" s="21" t="n">
        <v>0</v>
      </c>
      <c r="AA1271" s="21" t="n">
        <v>0</v>
      </c>
      <c r="AB1271" s="21" t="n">
        <v>0</v>
      </c>
      <c r="AC1271" s="21" t="n">
        <v>0</v>
      </c>
      <c r="AD1271" s="21" t="n">
        <v>0</v>
      </c>
      <c r="AE1271" s="21" t="n">
        <v>0</v>
      </c>
      <c r="AF1271" s="21" t="n">
        <v>0</v>
      </c>
      <c r="AG1271" s="21" t="n">
        <v>0</v>
      </c>
      <c r="AH1271" s="21" t="n">
        <v>0</v>
      </c>
      <c r="AI1271" s="21" t="n">
        <v>0</v>
      </c>
      <c r="AJ1271" s="21" t="n">
        <v>0</v>
      </c>
      <c r="AK1271" s="21" t="n">
        <v>0</v>
      </c>
      <c r="AL1271" s="21" t="n">
        <v>0</v>
      </c>
      <c r="AM1271" s="21" t="n">
        <v>0</v>
      </c>
      <c r="AN1271" s="21" t="n">
        <v>0</v>
      </c>
      <c r="AO1271" s="21" t="n">
        <v>0</v>
      </c>
      <c r="AP1271" s="21" t="n">
        <v>0</v>
      </c>
      <c r="AQ1271" s="21" t="n">
        <v>0</v>
      </c>
      <c r="AR1271" s="21" t="n">
        <v>0</v>
      </c>
      <c r="AS1271" s="21" t="n">
        <v>0</v>
      </c>
      <c r="AT1271" s="19" t="n"/>
    </row>
    <row r="1272">
      <c r="D1272" s="21" t="n">
        <v>0</v>
      </c>
      <c r="E1272" s="21" t="n">
        <v>0</v>
      </c>
      <c r="F1272" s="21" t="n">
        <v>0</v>
      </c>
      <c r="G1272" s="21" t="n">
        <v>0</v>
      </c>
      <c r="H1272" s="21">
        <f>$B$19</f>
        <v/>
      </c>
      <c r="I1272" s="21">
        <f>$B$21</f>
        <v/>
      </c>
      <c r="J1272" s="21">
        <f>0</f>
        <v/>
      </c>
      <c r="K1272" s="21">
        <f>2*$B$20</f>
        <v/>
      </c>
      <c r="L1272" s="21">
        <f>-$B$19</f>
        <v/>
      </c>
      <c r="M1272" s="21">
        <f>$B$21</f>
        <v/>
      </c>
      <c r="N1272" s="21" t="n">
        <v>0</v>
      </c>
      <c r="O1272" s="21" t="n">
        <v>0</v>
      </c>
      <c r="P1272" s="21" t="n">
        <v>0</v>
      </c>
      <c r="Q1272" s="21" t="n">
        <v>0</v>
      </c>
      <c r="R1272" s="21" t="n">
        <v>0</v>
      </c>
      <c r="S1272" s="21" t="n">
        <v>0</v>
      </c>
      <c r="T1272" s="21" t="n">
        <v>0</v>
      </c>
      <c r="U1272" s="21" t="n">
        <v>0</v>
      </c>
      <c r="V1272" s="21" t="n">
        <v>0</v>
      </c>
      <c r="W1272" s="21" t="n">
        <v>0</v>
      </c>
      <c r="X1272" s="21" t="n">
        <v>0</v>
      </c>
      <c r="Y1272" s="21" t="n">
        <v>0</v>
      </c>
      <c r="Z1272" s="21" t="n">
        <v>0</v>
      </c>
      <c r="AA1272" s="21" t="n">
        <v>0</v>
      </c>
      <c r="AB1272" s="21" t="n">
        <v>0</v>
      </c>
      <c r="AC1272" s="21" t="n">
        <v>0</v>
      </c>
      <c r="AD1272" s="21" t="n">
        <v>0</v>
      </c>
      <c r="AE1272" s="21" t="n">
        <v>0</v>
      </c>
      <c r="AF1272" s="21" t="n">
        <v>0</v>
      </c>
      <c r="AG1272" s="21" t="n">
        <v>0</v>
      </c>
      <c r="AH1272" s="21" t="n">
        <v>0</v>
      </c>
      <c r="AI1272" s="21" t="n">
        <v>0</v>
      </c>
      <c r="AJ1272" s="21" t="n">
        <v>0</v>
      </c>
      <c r="AK1272" s="21" t="n">
        <v>0</v>
      </c>
      <c r="AL1272" s="21" t="n">
        <v>0</v>
      </c>
      <c r="AM1272" s="21" t="n">
        <v>0</v>
      </c>
      <c r="AN1272" s="21" t="n">
        <v>0</v>
      </c>
      <c r="AO1272" s="21" t="n">
        <v>0</v>
      </c>
      <c r="AP1272" s="21" t="n">
        <v>0</v>
      </c>
      <c r="AQ1272" s="21" t="n">
        <v>0</v>
      </c>
      <c r="AR1272" s="21" t="n">
        <v>0</v>
      </c>
      <c r="AS1272" s="21" t="n">
        <v>0</v>
      </c>
      <c r="AT1272" s="19" t="n"/>
    </row>
    <row r="1273">
      <c r="D1273" s="21" t="n">
        <v>0</v>
      </c>
      <c r="E1273" s="21" t="n">
        <v>0</v>
      </c>
      <c r="F1273" s="21" t="n">
        <v>0</v>
      </c>
      <c r="G1273" s="21" t="n">
        <v>0</v>
      </c>
      <c r="H1273" s="21" t="n">
        <v>0</v>
      </c>
      <c r="I1273" s="21" t="n">
        <v>0</v>
      </c>
      <c r="J1273" s="21">
        <f>-$B$18</f>
        <v/>
      </c>
      <c r="K1273" s="21">
        <f>-$B$19</f>
        <v/>
      </c>
      <c r="L1273" s="21">
        <f>2*$B$18+$D$1247</f>
        <v/>
      </c>
      <c r="M1273" s="21">
        <f>0</f>
        <v/>
      </c>
      <c r="N1273" s="21">
        <f>-$B$18</f>
        <v/>
      </c>
      <c r="O1273" s="21">
        <f>$B$19</f>
        <v/>
      </c>
      <c r="P1273" s="21" t="n">
        <v>0</v>
      </c>
      <c r="Q1273" s="21" t="n">
        <v>0</v>
      </c>
      <c r="R1273" s="21" t="n">
        <v>0</v>
      </c>
      <c r="S1273" s="21" t="n">
        <v>0</v>
      </c>
      <c r="T1273" s="21" t="n">
        <v>0</v>
      </c>
      <c r="U1273" s="21" t="n">
        <v>0</v>
      </c>
      <c r="V1273" s="21" t="n">
        <v>0</v>
      </c>
      <c r="W1273" s="21" t="n">
        <v>0</v>
      </c>
      <c r="X1273" s="21" t="n">
        <v>0</v>
      </c>
      <c r="Y1273" s="21" t="n">
        <v>0</v>
      </c>
      <c r="Z1273" s="21" t="n">
        <v>0</v>
      </c>
      <c r="AA1273" s="21" t="n">
        <v>0</v>
      </c>
      <c r="AB1273" s="21" t="n">
        <v>0</v>
      </c>
      <c r="AC1273" s="21" t="n">
        <v>0</v>
      </c>
      <c r="AD1273" s="21" t="n">
        <v>0</v>
      </c>
      <c r="AE1273" s="21" t="n">
        <v>0</v>
      </c>
      <c r="AF1273" s="21" t="n">
        <v>0</v>
      </c>
      <c r="AG1273" s="21" t="n">
        <v>0</v>
      </c>
      <c r="AH1273" s="21" t="n">
        <v>0</v>
      </c>
      <c r="AI1273" s="21" t="n">
        <v>0</v>
      </c>
      <c r="AJ1273" s="21" t="n">
        <v>0</v>
      </c>
      <c r="AK1273" s="21" t="n">
        <v>0</v>
      </c>
      <c r="AL1273" s="21" t="n">
        <v>0</v>
      </c>
      <c r="AM1273" s="21" t="n">
        <v>0</v>
      </c>
      <c r="AN1273" s="21" t="n">
        <v>0</v>
      </c>
      <c r="AO1273" s="21" t="n">
        <v>0</v>
      </c>
      <c r="AP1273" s="21" t="n">
        <v>0</v>
      </c>
      <c r="AQ1273" s="21" t="n">
        <v>0</v>
      </c>
      <c r="AR1273" s="21" t="n">
        <v>0</v>
      </c>
      <c r="AS1273" s="21" t="n">
        <v>0</v>
      </c>
      <c r="AT1273" s="19" t="n"/>
    </row>
    <row r="1274">
      <c r="D1274" s="21" t="n">
        <v>0</v>
      </c>
      <c r="E1274" s="21" t="n">
        <v>0</v>
      </c>
      <c r="F1274" s="21" t="n">
        <v>0</v>
      </c>
      <c r="G1274" s="21" t="n">
        <v>0</v>
      </c>
      <c r="H1274" s="21" t="n">
        <v>0</v>
      </c>
      <c r="I1274" s="21" t="n">
        <v>0</v>
      </c>
      <c r="J1274" s="21">
        <f>$B$19</f>
        <v/>
      </c>
      <c r="K1274" s="21">
        <f>$B$21</f>
        <v/>
      </c>
      <c r="L1274" s="21">
        <f>0</f>
        <v/>
      </c>
      <c r="M1274" s="21">
        <f>2*$B$20</f>
        <v/>
      </c>
      <c r="N1274" s="21">
        <f>-$B$19</f>
        <v/>
      </c>
      <c r="O1274" s="21">
        <f>$B$21</f>
        <v/>
      </c>
      <c r="P1274" s="21" t="n">
        <v>0</v>
      </c>
      <c r="Q1274" s="21" t="n">
        <v>0</v>
      </c>
      <c r="R1274" s="21" t="n">
        <v>0</v>
      </c>
      <c r="S1274" s="21" t="n">
        <v>0</v>
      </c>
      <c r="T1274" s="21" t="n">
        <v>0</v>
      </c>
      <c r="U1274" s="21" t="n">
        <v>0</v>
      </c>
      <c r="V1274" s="21" t="n">
        <v>0</v>
      </c>
      <c r="W1274" s="21" t="n">
        <v>0</v>
      </c>
      <c r="X1274" s="21" t="n">
        <v>0</v>
      </c>
      <c r="Y1274" s="21" t="n">
        <v>0</v>
      </c>
      <c r="Z1274" s="21" t="n">
        <v>0</v>
      </c>
      <c r="AA1274" s="21" t="n">
        <v>0</v>
      </c>
      <c r="AB1274" s="21" t="n">
        <v>0</v>
      </c>
      <c r="AC1274" s="21" t="n">
        <v>0</v>
      </c>
      <c r="AD1274" s="21" t="n">
        <v>0</v>
      </c>
      <c r="AE1274" s="21" t="n">
        <v>0</v>
      </c>
      <c r="AF1274" s="21" t="n">
        <v>0</v>
      </c>
      <c r="AG1274" s="21" t="n">
        <v>0</v>
      </c>
      <c r="AH1274" s="21" t="n">
        <v>0</v>
      </c>
      <c r="AI1274" s="21" t="n">
        <v>0</v>
      </c>
      <c r="AJ1274" s="21" t="n">
        <v>0</v>
      </c>
      <c r="AK1274" s="21" t="n">
        <v>0</v>
      </c>
      <c r="AL1274" s="21" t="n">
        <v>0</v>
      </c>
      <c r="AM1274" s="21" t="n">
        <v>0</v>
      </c>
      <c r="AN1274" s="21" t="n">
        <v>0</v>
      </c>
      <c r="AO1274" s="21" t="n">
        <v>0</v>
      </c>
      <c r="AP1274" s="21" t="n">
        <v>0</v>
      </c>
      <c r="AQ1274" s="21" t="n">
        <v>0</v>
      </c>
      <c r="AR1274" s="21" t="n">
        <v>0</v>
      </c>
      <c r="AS1274" s="21" t="n">
        <v>0</v>
      </c>
      <c r="AT1274" s="19" t="n"/>
    </row>
    <row r="1275">
      <c r="D1275" s="21" t="n">
        <v>0</v>
      </c>
      <c r="E1275" s="21" t="n">
        <v>0</v>
      </c>
      <c r="F1275" s="21" t="n">
        <v>0</v>
      </c>
      <c r="G1275" s="21" t="n">
        <v>0</v>
      </c>
      <c r="H1275" s="21" t="n">
        <v>0</v>
      </c>
      <c r="I1275" s="21" t="n">
        <v>0</v>
      </c>
      <c r="J1275" s="21" t="n">
        <v>0</v>
      </c>
      <c r="K1275" s="21" t="n">
        <v>0</v>
      </c>
      <c r="L1275" s="21">
        <f>-$B$18</f>
        <v/>
      </c>
      <c r="M1275" s="21">
        <f>-$B$19</f>
        <v/>
      </c>
      <c r="N1275" s="21">
        <f>2*$B$18+$D$1248</f>
        <v/>
      </c>
      <c r="O1275" s="21">
        <f>0</f>
        <v/>
      </c>
      <c r="P1275" s="21">
        <f>-$B$18</f>
        <v/>
      </c>
      <c r="Q1275" s="21">
        <f>$B$19</f>
        <v/>
      </c>
      <c r="R1275" s="21" t="n">
        <v>0</v>
      </c>
      <c r="S1275" s="21" t="n">
        <v>0</v>
      </c>
      <c r="T1275" s="21" t="n">
        <v>0</v>
      </c>
      <c r="U1275" s="21" t="n">
        <v>0</v>
      </c>
      <c r="V1275" s="21" t="n">
        <v>0</v>
      </c>
      <c r="W1275" s="21" t="n">
        <v>0</v>
      </c>
      <c r="X1275" s="21" t="n">
        <v>0</v>
      </c>
      <c r="Y1275" s="21" t="n">
        <v>0</v>
      </c>
      <c r="Z1275" s="21" t="n">
        <v>0</v>
      </c>
      <c r="AA1275" s="21" t="n">
        <v>0</v>
      </c>
      <c r="AB1275" s="21" t="n">
        <v>0</v>
      </c>
      <c r="AC1275" s="21" t="n">
        <v>0</v>
      </c>
      <c r="AD1275" s="21" t="n">
        <v>0</v>
      </c>
      <c r="AE1275" s="21" t="n">
        <v>0</v>
      </c>
      <c r="AF1275" s="21" t="n">
        <v>0</v>
      </c>
      <c r="AG1275" s="21" t="n">
        <v>0</v>
      </c>
      <c r="AH1275" s="21" t="n">
        <v>0</v>
      </c>
      <c r="AI1275" s="21" t="n">
        <v>0</v>
      </c>
      <c r="AJ1275" s="21" t="n">
        <v>0</v>
      </c>
      <c r="AK1275" s="21" t="n">
        <v>0</v>
      </c>
      <c r="AL1275" s="21" t="n">
        <v>0</v>
      </c>
      <c r="AM1275" s="21" t="n">
        <v>0</v>
      </c>
      <c r="AN1275" s="21" t="n">
        <v>0</v>
      </c>
      <c r="AO1275" s="21" t="n">
        <v>0</v>
      </c>
      <c r="AP1275" s="21" t="n">
        <v>0</v>
      </c>
      <c r="AQ1275" s="21" t="n">
        <v>0</v>
      </c>
      <c r="AR1275" s="21" t="n">
        <v>0</v>
      </c>
      <c r="AS1275" s="21" t="n">
        <v>0</v>
      </c>
      <c r="AT1275" s="19" t="n"/>
    </row>
    <row r="1276">
      <c r="D1276" s="21" t="n">
        <v>0</v>
      </c>
      <c r="E1276" s="21" t="n">
        <v>0</v>
      </c>
      <c r="F1276" s="21" t="n">
        <v>0</v>
      </c>
      <c r="G1276" s="21" t="n">
        <v>0</v>
      </c>
      <c r="H1276" s="21" t="n">
        <v>0</v>
      </c>
      <c r="I1276" s="21" t="n">
        <v>0</v>
      </c>
      <c r="J1276" s="21" t="n">
        <v>0</v>
      </c>
      <c r="K1276" s="21" t="n">
        <v>0</v>
      </c>
      <c r="L1276" s="21">
        <f>$B$19</f>
        <v/>
      </c>
      <c r="M1276" s="21">
        <f>$B$21</f>
        <v/>
      </c>
      <c r="N1276" s="21">
        <f>0</f>
        <v/>
      </c>
      <c r="O1276" s="21">
        <f>2*$B$20</f>
        <v/>
      </c>
      <c r="P1276" s="21">
        <f>-$B$19</f>
        <v/>
      </c>
      <c r="Q1276" s="21">
        <f>$B$21</f>
        <v/>
      </c>
      <c r="R1276" s="21" t="n">
        <v>0</v>
      </c>
      <c r="S1276" s="21" t="n">
        <v>0</v>
      </c>
      <c r="T1276" s="21" t="n">
        <v>0</v>
      </c>
      <c r="U1276" s="21" t="n">
        <v>0</v>
      </c>
      <c r="V1276" s="21" t="n">
        <v>0</v>
      </c>
      <c r="W1276" s="21" t="n">
        <v>0</v>
      </c>
      <c r="X1276" s="21" t="n">
        <v>0</v>
      </c>
      <c r="Y1276" s="21" t="n">
        <v>0</v>
      </c>
      <c r="Z1276" s="21" t="n">
        <v>0</v>
      </c>
      <c r="AA1276" s="21" t="n">
        <v>0</v>
      </c>
      <c r="AB1276" s="21" t="n">
        <v>0</v>
      </c>
      <c r="AC1276" s="21" t="n">
        <v>0</v>
      </c>
      <c r="AD1276" s="21" t="n">
        <v>0</v>
      </c>
      <c r="AE1276" s="21" t="n">
        <v>0</v>
      </c>
      <c r="AF1276" s="21" t="n">
        <v>0</v>
      </c>
      <c r="AG1276" s="21" t="n">
        <v>0</v>
      </c>
      <c r="AH1276" s="21" t="n">
        <v>0</v>
      </c>
      <c r="AI1276" s="21" t="n">
        <v>0</v>
      </c>
      <c r="AJ1276" s="21" t="n">
        <v>0</v>
      </c>
      <c r="AK1276" s="21" t="n">
        <v>0</v>
      </c>
      <c r="AL1276" s="21" t="n">
        <v>0</v>
      </c>
      <c r="AM1276" s="21" t="n">
        <v>0</v>
      </c>
      <c r="AN1276" s="21" t="n">
        <v>0</v>
      </c>
      <c r="AO1276" s="21" t="n">
        <v>0</v>
      </c>
      <c r="AP1276" s="21" t="n">
        <v>0</v>
      </c>
      <c r="AQ1276" s="21" t="n">
        <v>0</v>
      </c>
      <c r="AR1276" s="21" t="n">
        <v>0</v>
      </c>
      <c r="AS1276" s="21" t="n">
        <v>0</v>
      </c>
      <c r="AT1276" s="19" t="n"/>
    </row>
    <row r="1277">
      <c r="D1277" s="21" t="n">
        <v>0</v>
      </c>
      <c r="E1277" s="21" t="n">
        <v>0</v>
      </c>
      <c r="F1277" s="21" t="n">
        <v>0</v>
      </c>
      <c r="G1277" s="21" t="n">
        <v>0</v>
      </c>
      <c r="H1277" s="21" t="n">
        <v>0</v>
      </c>
      <c r="I1277" s="21" t="n">
        <v>0</v>
      </c>
      <c r="J1277" s="21" t="n">
        <v>0</v>
      </c>
      <c r="K1277" s="21" t="n">
        <v>0</v>
      </c>
      <c r="L1277" s="21" t="n">
        <v>0</v>
      </c>
      <c r="M1277" s="21" t="n">
        <v>0</v>
      </c>
      <c r="N1277" s="21">
        <f>-$B$18</f>
        <v/>
      </c>
      <c r="O1277" s="21">
        <f>-$B$19</f>
        <v/>
      </c>
      <c r="P1277" s="21">
        <f>2*$B$18+$D$1249</f>
        <v/>
      </c>
      <c r="Q1277" s="21">
        <f>0</f>
        <v/>
      </c>
      <c r="R1277" s="21">
        <f>-$B$18</f>
        <v/>
      </c>
      <c r="S1277" s="21">
        <f>$B$19</f>
        <v/>
      </c>
      <c r="T1277" s="21" t="n">
        <v>0</v>
      </c>
      <c r="U1277" s="21" t="n">
        <v>0</v>
      </c>
      <c r="V1277" s="21" t="n">
        <v>0</v>
      </c>
      <c r="W1277" s="21" t="n">
        <v>0</v>
      </c>
      <c r="X1277" s="21" t="n">
        <v>0</v>
      </c>
      <c r="Y1277" s="21" t="n">
        <v>0</v>
      </c>
      <c r="Z1277" s="21" t="n">
        <v>0</v>
      </c>
      <c r="AA1277" s="21" t="n">
        <v>0</v>
      </c>
      <c r="AB1277" s="21" t="n">
        <v>0</v>
      </c>
      <c r="AC1277" s="21" t="n">
        <v>0</v>
      </c>
      <c r="AD1277" s="21" t="n">
        <v>0</v>
      </c>
      <c r="AE1277" s="21" t="n">
        <v>0</v>
      </c>
      <c r="AF1277" s="21" t="n">
        <v>0</v>
      </c>
      <c r="AG1277" s="21" t="n">
        <v>0</v>
      </c>
      <c r="AH1277" s="21" t="n">
        <v>0</v>
      </c>
      <c r="AI1277" s="21" t="n">
        <v>0</v>
      </c>
      <c r="AJ1277" s="21" t="n">
        <v>0</v>
      </c>
      <c r="AK1277" s="21" t="n">
        <v>0</v>
      </c>
      <c r="AL1277" s="21" t="n">
        <v>0</v>
      </c>
      <c r="AM1277" s="21" t="n">
        <v>0</v>
      </c>
      <c r="AN1277" s="21" t="n">
        <v>0</v>
      </c>
      <c r="AO1277" s="21" t="n">
        <v>0</v>
      </c>
      <c r="AP1277" s="21" t="n">
        <v>0</v>
      </c>
      <c r="AQ1277" s="21" t="n">
        <v>0</v>
      </c>
      <c r="AR1277" s="21" t="n">
        <v>0</v>
      </c>
      <c r="AS1277" s="21" t="n">
        <v>0</v>
      </c>
      <c r="AT1277" s="19" t="n"/>
    </row>
    <row r="1278">
      <c r="D1278" s="21" t="n">
        <v>0</v>
      </c>
      <c r="E1278" s="21" t="n">
        <v>0</v>
      </c>
      <c r="F1278" s="21" t="n">
        <v>0</v>
      </c>
      <c r="G1278" s="21" t="n">
        <v>0</v>
      </c>
      <c r="H1278" s="21" t="n">
        <v>0</v>
      </c>
      <c r="I1278" s="21" t="n">
        <v>0</v>
      </c>
      <c r="J1278" s="21" t="n">
        <v>0</v>
      </c>
      <c r="K1278" s="21" t="n">
        <v>0</v>
      </c>
      <c r="L1278" s="21" t="n">
        <v>0</v>
      </c>
      <c r="M1278" s="21" t="n">
        <v>0</v>
      </c>
      <c r="N1278" s="21">
        <f>$B$19</f>
        <v/>
      </c>
      <c r="O1278" s="21">
        <f>$B$21</f>
        <v/>
      </c>
      <c r="P1278" s="21">
        <f>0</f>
        <v/>
      </c>
      <c r="Q1278" s="21">
        <f>2*$B$20</f>
        <v/>
      </c>
      <c r="R1278" s="21">
        <f>-$B$19</f>
        <v/>
      </c>
      <c r="S1278" s="21">
        <f>$B$21</f>
        <v/>
      </c>
      <c r="T1278" s="21" t="n">
        <v>0</v>
      </c>
      <c r="U1278" s="21" t="n">
        <v>0</v>
      </c>
      <c r="V1278" s="21" t="n">
        <v>0</v>
      </c>
      <c r="W1278" s="21" t="n">
        <v>0</v>
      </c>
      <c r="X1278" s="21" t="n">
        <v>0</v>
      </c>
      <c r="Y1278" s="21" t="n">
        <v>0</v>
      </c>
      <c r="Z1278" s="21" t="n">
        <v>0</v>
      </c>
      <c r="AA1278" s="21" t="n">
        <v>0</v>
      </c>
      <c r="AB1278" s="21" t="n">
        <v>0</v>
      </c>
      <c r="AC1278" s="21" t="n">
        <v>0</v>
      </c>
      <c r="AD1278" s="21" t="n">
        <v>0</v>
      </c>
      <c r="AE1278" s="21" t="n">
        <v>0</v>
      </c>
      <c r="AF1278" s="21" t="n">
        <v>0</v>
      </c>
      <c r="AG1278" s="21" t="n">
        <v>0</v>
      </c>
      <c r="AH1278" s="21" t="n">
        <v>0</v>
      </c>
      <c r="AI1278" s="21" t="n">
        <v>0</v>
      </c>
      <c r="AJ1278" s="21" t="n">
        <v>0</v>
      </c>
      <c r="AK1278" s="21" t="n">
        <v>0</v>
      </c>
      <c r="AL1278" s="21" t="n">
        <v>0</v>
      </c>
      <c r="AM1278" s="21" t="n">
        <v>0</v>
      </c>
      <c r="AN1278" s="21" t="n">
        <v>0</v>
      </c>
      <c r="AO1278" s="21" t="n">
        <v>0</v>
      </c>
      <c r="AP1278" s="21" t="n">
        <v>0</v>
      </c>
      <c r="AQ1278" s="21" t="n">
        <v>0</v>
      </c>
      <c r="AR1278" s="21" t="n">
        <v>0</v>
      </c>
      <c r="AS1278" s="21" t="n">
        <v>0</v>
      </c>
      <c r="AT1278" s="19" t="n"/>
    </row>
    <row r="1279">
      <c r="D1279" s="21" t="n">
        <v>0</v>
      </c>
      <c r="E1279" s="21" t="n">
        <v>0</v>
      </c>
      <c r="F1279" s="21" t="n">
        <v>0</v>
      </c>
      <c r="G1279" s="21" t="n">
        <v>0</v>
      </c>
      <c r="H1279" s="21" t="n">
        <v>0</v>
      </c>
      <c r="I1279" s="21" t="n">
        <v>0</v>
      </c>
      <c r="J1279" s="21" t="n">
        <v>0</v>
      </c>
      <c r="K1279" s="21" t="n">
        <v>0</v>
      </c>
      <c r="L1279" s="21" t="n">
        <v>0</v>
      </c>
      <c r="M1279" s="21" t="n">
        <v>0</v>
      </c>
      <c r="N1279" s="21" t="n">
        <v>0</v>
      </c>
      <c r="O1279" s="21" t="n">
        <v>0</v>
      </c>
      <c r="P1279" s="21">
        <f>-$B$18</f>
        <v/>
      </c>
      <c r="Q1279" s="21">
        <f>-$B$19</f>
        <v/>
      </c>
      <c r="R1279" s="21">
        <f>2*$B$18+$D$1250</f>
        <v/>
      </c>
      <c r="S1279" s="21">
        <f>0</f>
        <v/>
      </c>
      <c r="T1279" s="21">
        <f>-$B$18</f>
        <v/>
      </c>
      <c r="U1279" s="21">
        <f>$B$19</f>
        <v/>
      </c>
      <c r="V1279" s="21" t="n">
        <v>0</v>
      </c>
      <c r="W1279" s="21" t="n">
        <v>0</v>
      </c>
      <c r="X1279" s="21" t="n">
        <v>0</v>
      </c>
      <c r="Y1279" s="21" t="n">
        <v>0</v>
      </c>
      <c r="Z1279" s="21" t="n">
        <v>0</v>
      </c>
      <c r="AA1279" s="21" t="n">
        <v>0</v>
      </c>
      <c r="AB1279" s="21" t="n">
        <v>0</v>
      </c>
      <c r="AC1279" s="21" t="n">
        <v>0</v>
      </c>
      <c r="AD1279" s="21" t="n">
        <v>0</v>
      </c>
      <c r="AE1279" s="21" t="n">
        <v>0</v>
      </c>
      <c r="AF1279" s="21" t="n">
        <v>0</v>
      </c>
      <c r="AG1279" s="21" t="n">
        <v>0</v>
      </c>
      <c r="AH1279" s="21" t="n">
        <v>0</v>
      </c>
      <c r="AI1279" s="21" t="n">
        <v>0</v>
      </c>
      <c r="AJ1279" s="21" t="n">
        <v>0</v>
      </c>
      <c r="AK1279" s="21" t="n">
        <v>0</v>
      </c>
      <c r="AL1279" s="21" t="n">
        <v>0</v>
      </c>
      <c r="AM1279" s="21" t="n">
        <v>0</v>
      </c>
      <c r="AN1279" s="21" t="n">
        <v>0</v>
      </c>
      <c r="AO1279" s="21" t="n">
        <v>0</v>
      </c>
      <c r="AP1279" s="21" t="n">
        <v>0</v>
      </c>
      <c r="AQ1279" s="21" t="n">
        <v>0</v>
      </c>
      <c r="AR1279" s="21" t="n">
        <v>0</v>
      </c>
      <c r="AS1279" s="21" t="n">
        <v>0</v>
      </c>
      <c r="AT1279" s="19" t="n"/>
    </row>
    <row r="1280">
      <c r="D1280" s="21" t="n">
        <v>0</v>
      </c>
      <c r="E1280" s="21" t="n">
        <v>0</v>
      </c>
      <c r="F1280" s="21" t="n">
        <v>0</v>
      </c>
      <c r="G1280" s="21" t="n">
        <v>0</v>
      </c>
      <c r="H1280" s="21" t="n">
        <v>0</v>
      </c>
      <c r="I1280" s="21" t="n">
        <v>0</v>
      </c>
      <c r="J1280" s="21" t="n">
        <v>0</v>
      </c>
      <c r="K1280" s="21" t="n">
        <v>0</v>
      </c>
      <c r="L1280" s="21" t="n">
        <v>0</v>
      </c>
      <c r="M1280" s="21" t="n">
        <v>0</v>
      </c>
      <c r="N1280" s="21" t="n">
        <v>0</v>
      </c>
      <c r="O1280" s="21" t="n">
        <v>0</v>
      </c>
      <c r="P1280" s="21">
        <f>$B$19</f>
        <v/>
      </c>
      <c r="Q1280" s="21">
        <f>$B$21</f>
        <v/>
      </c>
      <c r="R1280" s="21">
        <f>0</f>
        <v/>
      </c>
      <c r="S1280" s="21">
        <f>2*$B$20</f>
        <v/>
      </c>
      <c r="T1280" s="21">
        <f>-$B$19</f>
        <v/>
      </c>
      <c r="U1280" s="21">
        <f>$B$21</f>
        <v/>
      </c>
      <c r="V1280" s="21" t="n">
        <v>0</v>
      </c>
      <c r="W1280" s="21" t="n">
        <v>0</v>
      </c>
      <c r="X1280" s="21" t="n">
        <v>0</v>
      </c>
      <c r="Y1280" s="21" t="n">
        <v>0</v>
      </c>
      <c r="Z1280" s="21" t="n">
        <v>0</v>
      </c>
      <c r="AA1280" s="21" t="n">
        <v>0</v>
      </c>
      <c r="AB1280" s="21" t="n">
        <v>0</v>
      </c>
      <c r="AC1280" s="21" t="n">
        <v>0</v>
      </c>
      <c r="AD1280" s="21" t="n">
        <v>0</v>
      </c>
      <c r="AE1280" s="21" t="n">
        <v>0</v>
      </c>
      <c r="AF1280" s="21" t="n">
        <v>0</v>
      </c>
      <c r="AG1280" s="21" t="n">
        <v>0</v>
      </c>
      <c r="AH1280" s="21" t="n">
        <v>0</v>
      </c>
      <c r="AI1280" s="21" t="n">
        <v>0</v>
      </c>
      <c r="AJ1280" s="21" t="n">
        <v>0</v>
      </c>
      <c r="AK1280" s="21" t="n">
        <v>0</v>
      </c>
      <c r="AL1280" s="21" t="n">
        <v>0</v>
      </c>
      <c r="AM1280" s="21" t="n">
        <v>0</v>
      </c>
      <c r="AN1280" s="21" t="n">
        <v>0</v>
      </c>
      <c r="AO1280" s="21" t="n">
        <v>0</v>
      </c>
      <c r="AP1280" s="21" t="n">
        <v>0</v>
      </c>
      <c r="AQ1280" s="21" t="n">
        <v>0</v>
      </c>
      <c r="AR1280" s="21" t="n">
        <v>0</v>
      </c>
      <c r="AS1280" s="21" t="n">
        <v>0</v>
      </c>
      <c r="AT1280" s="19" t="n"/>
    </row>
    <row r="1281">
      <c r="D1281" s="21" t="n">
        <v>0</v>
      </c>
      <c r="E1281" s="21" t="n">
        <v>0</v>
      </c>
      <c r="F1281" s="21" t="n">
        <v>0</v>
      </c>
      <c r="G1281" s="21" t="n">
        <v>0</v>
      </c>
      <c r="H1281" s="21" t="n">
        <v>0</v>
      </c>
      <c r="I1281" s="21" t="n">
        <v>0</v>
      </c>
      <c r="J1281" s="21" t="n">
        <v>0</v>
      </c>
      <c r="K1281" s="21" t="n">
        <v>0</v>
      </c>
      <c r="L1281" s="21" t="n">
        <v>0</v>
      </c>
      <c r="M1281" s="21" t="n">
        <v>0</v>
      </c>
      <c r="N1281" s="21" t="n">
        <v>0</v>
      </c>
      <c r="O1281" s="21" t="n">
        <v>0</v>
      </c>
      <c r="P1281" s="21" t="n">
        <v>0</v>
      </c>
      <c r="Q1281" s="21" t="n">
        <v>0</v>
      </c>
      <c r="R1281" s="21">
        <f>-$B$18</f>
        <v/>
      </c>
      <c r="S1281" s="21">
        <f>-$B$19</f>
        <v/>
      </c>
      <c r="T1281" s="21">
        <f>2*$B$18+$D$1251</f>
        <v/>
      </c>
      <c r="U1281" s="21">
        <f>0</f>
        <v/>
      </c>
      <c r="V1281" s="21">
        <f>-$B$18</f>
        <v/>
      </c>
      <c r="W1281" s="21">
        <f>$B$19</f>
        <v/>
      </c>
      <c r="X1281" s="21" t="n">
        <v>0</v>
      </c>
      <c r="Y1281" s="21" t="n">
        <v>0</v>
      </c>
      <c r="Z1281" s="21" t="n">
        <v>0</v>
      </c>
      <c r="AA1281" s="21" t="n">
        <v>0</v>
      </c>
      <c r="AB1281" s="21" t="n">
        <v>0</v>
      </c>
      <c r="AC1281" s="21" t="n">
        <v>0</v>
      </c>
      <c r="AD1281" s="21" t="n">
        <v>0</v>
      </c>
      <c r="AE1281" s="21" t="n">
        <v>0</v>
      </c>
      <c r="AF1281" s="21" t="n">
        <v>0</v>
      </c>
      <c r="AG1281" s="21" t="n">
        <v>0</v>
      </c>
      <c r="AH1281" s="21" t="n">
        <v>0</v>
      </c>
      <c r="AI1281" s="21" t="n">
        <v>0</v>
      </c>
      <c r="AJ1281" s="21" t="n">
        <v>0</v>
      </c>
      <c r="AK1281" s="21" t="n">
        <v>0</v>
      </c>
      <c r="AL1281" s="21" t="n">
        <v>0</v>
      </c>
      <c r="AM1281" s="21" t="n">
        <v>0</v>
      </c>
      <c r="AN1281" s="21" t="n">
        <v>0</v>
      </c>
      <c r="AO1281" s="21" t="n">
        <v>0</v>
      </c>
      <c r="AP1281" s="21" t="n">
        <v>0</v>
      </c>
      <c r="AQ1281" s="21" t="n">
        <v>0</v>
      </c>
      <c r="AR1281" s="21" t="n">
        <v>0</v>
      </c>
      <c r="AS1281" s="21" t="n">
        <v>0</v>
      </c>
      <c r="AT1281" s="19" t="n"/>
    </row>
    <row r="1282">
      <c r="D1282" s="21" t="n">
        <v>0</v>
      </c>
      <c r="E1282" s="21" t="n">
        <v>0</v>
      </c>
      <c r="F1282" s="21" t="n">
        <v>0</v>
      </c>
      <c r="G1282" s="21" t="n">
        <v>0</v>
      </c>
      <c r="H1282" s="21" t="n">
        <v>0</v>
      </c>
      <c r="I1282" s="21" t="n">
        <v>0</v>
      </c>
      <c r="J1282" s="21" t="n">
        <v>0</v>
      </c>
      <c r="K1282" s="21" t="n">
        <v>0</v>
      </c>
      <c r="L1282" s="21" t="n">
        <v>0</v>
      </c>
      <c r="M1282" s="21" t="n">
        <v>0</v>
      </c>
      <c r="N1282" s="21" t="n">
        <v>0</v>
      </c>
      <c r="O1282" s="21" t="n">
        <v>0</v>
      </c>
      <c r="P1282" s="21" t="n">
        <v>0</v>
      </c>
      <c r="Q1282" s="21" t="n">
        <v>0</v>
      </c>
      <c r="R1282" s="21">
        <f>$B$19</f>
        <v/>
      </c>
      <c r="S1282" s="21">
        <f>$B$21</f>
        <v/>
      </c>
      <c r="T1282" s="21">
        <f>0</f>
        <v/>
      </c>
      <c r="U1282" s="21">
        <f>2*$B$20</f>
        <v/>
      </c>
      <c r="V1282" s="21">
        <f>-$B$19</f>
        <v/>
      </c>
      <c r="W1282" s="21">
        <f>$B$21</f>
        <v/>
      </c>
      <c r="X1282" s="21" t="n">
        <v>0</v>
      </c>
      <c r="Y1282" s="21" t="n">
        <v>0</v>
      </c>
      <c r="Z1282" s="21" t="n">
        <v>0</v>
      </c>
      <c r="AA1282" s="21" t="n">
        <v>0</v>
      </c>
      <c r="AB1282" s="21" t="n">
        <v>0</v>
      </c>
      <c r="AC1282" s="21" t="n">
        <v>0</v>
      </c>
      <c r="AD1282" s="21" t="n">
        <v>0</v>
      </c>
      <c r="AE1282" s="21" t="n">
        <v>0</v>
      </c>
      <c r="AF1282" s="21" t="n">
        <v>0</v>
      </c>
      <c r="AG1282" s="21" t="n">
        <v>0</v>
      </c>
      <c r="AH1282" s="21" t="n">
        <v>0</v>
      </c>
      <c r="AI1282" s="21" t="n">
        <v>0</v>
      </c>
      <c r="AJ1282" s="21" t="n">
        <v>0</v>
      </c>
      <c r="AK1282" s="21" t="n">
        <v>0</v>
      </c>
      <c r="AL1282" s="21" t="n">
        <v>0</v>
      </c>
      <c r="AM1282" s="21" t="n">
        <v>0</v>
      </c>
      <c r="AN1282" s="21" t="n">
        <v>0</v>
      </c>
      <c r="AO1282" s="21" t="n">
        <v>0</v>
      </c>
      <c r="AP1282" s="21" t="n">
        <v>0</v>
      </c>
      <c r="AQ1282" s="21" t="n">
        <v>0</v>
      </c>
      <c r="AR1282" s="21" t="n">
        <v>0</v>
      </c>
      <c r="AS1282" s="21" t="n">
        <v>0</v>
      </c>
      <c r="AT1282" s="19" t="n"/>
    </row>
    <row r="1283">
      <c r="D1283" s="21" t="n">
        <v>0</v>
      </c>
      <c r="E1283" s="21" t="n">
        <v>0</v>
      </c>
      <c r="F1283" s="21" t="n">
        <v>0</v>
      </c>
      <c r="G1283" s="21" t="n">
        <v>0</v>
      </c>
      <c r="H1283" s="21" t="n">
        <v>0</v>
      </c>
      <c r="I1283" s="21" t="n">
        <v>0</v>
      </c>
      <c r="J1283" s="21" t="n">
        <v>0</v>
      </c>
      <c r="K1283" s="21" t="n">
        <v>0</v>
      </c>
      <c r="L1283" s="21" t="n">
        <v>0</v>
      </c>
      <c r="M1283" s="21" t="n">
        <v>0</v>
      </c>
      <c r="N1283" s="21" t="n">
        <v>0</v>
      </c>
      <c r="O1283" s="21" t="n">
        <v>0</v>
      </c>
      <c r="P1283" s="21" t="n">
        <v>0</v>
      </c>
      <c r="Q1283" s="21" t="n">
        <v>0</v>
      </c>
      <c r="R1283" s="21" t="n">
        <v>0</v>
      </c>
      <c r="S1283" s="21" t="n">
        <v>0</v>
      </c>
      <c r="T1283" s="21">
        <f>-$B$18</f>
        <v/>
      </c>
      <c r="U1283" s="21">
        <f>-$B$19</f>
        <v/>
      </c>
      <c r="V1283" s="21">
        <f>2*$B$18+$D$1252</f>
        <v/>
      </c>
      <c r="W1283" s="21">
        <f>0</f>
        <v/>
      </c>
      <c r="X1283" s="21">
        <f>-$B$18</f>
        <v/>
      </c>
      <c r="Y1283" s="21">
        <f>$B$19</f>
        <v/>
      </c>
      <c r="Z1283" s="21" t="n">
        <v>0</v>
      </c>
      <c r="AA1283" s="21" t="n">
        <v>0</v>
      </c>
      <c r="AB1283" s="21" t="n">
        <v>0</v>
      </c>
      <c r="AC1283" s="21" t="n">
        <v>0</v>
      </c>
      <c r="AD1283" s="21" t="n">
        <v>0</v>
      </c>
      <c r="AE1283" s="21" t="n">
        <v>0</v>
      </c>
      <c r="AF1283" s="21" t="n">
        <v>0</v>
      </c>
      <c r="AG1283" s="21" t="n">
        <v>0</v>
      </c>
      <c r="AH1283" s="21" t="n">
        <v>0</v>
      </c>
      <c r="AI1283" s="21" t="n">
        <v>0</v>
      </c>
      <c r="AJ1283" s="21" t="n">
        <v>0</v>
      </c>
      <c r="AK1283" s="21" t="n">
        <v>0</v>
      </c>
      <c r="AL1283" s="21" t="n">
        <v>0</v>
      </c>
      <c r="AM1283" s="21" t="n">
        <v>0</v>
      </c>
      <c r="AN1283" s="21" t="n">
        <v>0</v>
      </c>
      <c r="AO1283" s="21" t="n">
        <v>0</v>
      </c>
      <c r="AP1283" s="21" t="n">
        <v>0</v>
      </c>
      <c r="AQ1283" s="21" t="n">
        <v>0</v>
      </c>
      <c r="AR1283" s="21" t="n">
        <v>0</v>
      </c>
      <c r="AS1283" s="21" t="n">
        <v>0</v>
      </c>
      <c r="AT1283" s="19" t="n"/>
    </row>
    <row r="1284">
      <c r="D1284" s="21" t="n">
        <v>0</v>
      </c>
      <c r="E1284" s="21" t="n">
        <v>0</v>
      </c>
      <c r="F1284" s="21" t="n">
        <v>0</v>
      </c>
      <c r="G1284" s="21" t="n">
        <v>0</v>
      </c>
      <c r="H1284" s="21" t="n">
        <v>0</v>
      </c>
      <c r="I1284" s="21" t="n">
        <v>0</v>
      </c>
      <c r="J1284" s="21" t="n">
        <v>0</v>
      </c>
      <c r="K1284" s="21" t="n">
        <v>0</v>
      </c>
      <c r="L1284" s="21" t="n">
        <v>0</v>
      </c>
      <c r="M1284" s="21" t="n">
        <v>0</v>
      </c>
      <c r="N1284" s="21" t="n">
        <v>0</v>
      </c>
      <c r="O1284" s="21" t="n">
        <v>0</v>
      </c>
      <c r="P1284" s="21" t="n">
        <v>0</v>
      </c>
      <c r="Q1284" s="21" t="n">
        <v>0</v>
      </c>
      <c r="R1284" s="21" t="n">
        <v>0</v>
      </c>
      <c r="S1284" s="21" t="n">
        <v>0</v>
      </c>
      <c r="T1284" s="21">
        <f>$B$19</f>
        <v/>
      </c>
      <c r="U1284" s="21">
        <f>$B$21</f>
        <v/>
      </c>
      <c r="V1284" s="21">
        <f>0</f>
        <v/>
      </c>
      <c r="W1284" s="21">
        <f>2*$B$20</f>
        <v/>
      </c>
      <c r="X1284" s="21">
        <f>-$B$19</f>
        <v/>
      </c>
      <c r="Y1284" s="21">
        <f>$B$21</f>
        <v/>
      </c>
      <c r="Z1284" s="21" t="n">
        <v>0</v>
      </c>
      <c r="AA1284" s="21" t="n">
        <v>0</v>
      </c>
      <c r="AB1284" s="21" t="n">
        <v>0</v>
      </c>
      <c r="AC1284" s="21" t="n">
        <v>0</v>
      </c>
      <c r="AD1284" s="21" t="n">
        <v>0</v>
      </c>
      <c r="AE1284" s="21" t="n">
        <v>0</v>
      </c>
      <c r="AF1284" s="21" t="n">
        <v>0</v>
      </c>
      <c r="AG1284" s="21" t="n">
        <v>0</v>
      </c>
      <c r="AH1284" s="21" t="n">
        <v>0</v>
      </c>
      <c r="AI1284" s="21" t="n">
        <v>0</v>
      </c>
      <c r="AJ1284" s="21" t="n">
        <v>0</v>
      </c>
      <c r="AK1284" s="21" t="n">
        <v>0</v>
      </c>
      <c r="AL1284" s="21" t="n">
        <v>0</v>
      </c>
      <c r="AM1284" s="21" t="n">
        <v>0</v>
      </c>
      <c r="AN1284" s="21" t="n">
        <v>0</v>
      </c>
      <c r="AO1284" s="21" t="n">
        <v>0</v>
      </c>
      <c r="AP1284" s="21" t="n">
        <v>0</v>
      </c>
      <c r="AQ1284" s="21" t="n">
        <v>0</v>
      </c>
      <c r="AR1284" s="21" t="n">
        <v>0</v>
      </c>
      <c r="AS1284" s="21" t="n">
        <v>0</v>
      </c>
      <c r="AT1284" s="19" t="n"/>
    </row>
    <row r="1285">
      <c r="D1285" s="21" t="n">
        <v>0</v>
      </c>
      <c r="E1285" s="21" t="n">
        <v>0</v>
      </c>
      <c r="F1285" s="21" t="n">
        <v>0</v>
      </c>
      <c r="G1285" s="21" t="n">
        <v>0</v>
      </c>
      <c r="H1285" s="21" t="n">
        <v>0</v>
      </c>
      <c r="I1285" s="21" t="n">
        <v>0</v>
      </c>
      <c r="J1285" s="21" t="n">
        <v>0</v>
      </c>
      <c r="K1285" s="21" t="n">
        <v>0</v>
      </c>
      <c r="L1285" s="21" t="n">
        <v>0</v>
      </c>
      <c r="M1285" s="21" t="n">
        <v>0</v>
      </c>
      <c r="N1285" s="21" t="n">
        <v>0</v>
      </c>
      <c r="O1285" s="21" t="n">
        <v>0</v>
      </c>
      <c r="P1285" s="21" t="n">
        <v>0</v>
      </c>
      <c r="Q1285" s="21" t="n">
        <v>0</v>
      </c>
      <c r="R1285" s="21" t="n">
        <v>0</v>
      </c>
      <c r="S1285" s="21" t="n">
        <v>0</v>
      </c>
      <c r="T1285" s="21" t="n">
        <v>0</v>
      </c>
      <c r="U1285" s="21" t="n">
        <v>0</v>
      </c>
      <c r="V1285" s="21">
        <f>-$B$18</f>
        <v/>
      </c>
      <c r="W1285" s="21">
        <f>-$B$19</f>
        <v/>
      </c>
      <c r="X1285" s="21">
        <f>2*$B$18+$D$1253</f>
        <v/>
      </c>
      <c r="Y1285" s="21">
        <f>0</f>
        <v/>
      </c>
      <c r="Z1285" s="21">
        <f>-$B$18</f>
        <v/>
      </c>
      <c r="AA1285" s="21">
        <f>$B$19</f>
        <v/>
      </c>
      <c r="AB1285" s="21" t="n">
        <v>0</v>
      </c>
      <c r="AC1285" s="21" t="n">
        <v>0</v>
      </c>
      <c r="AD1285" s="21" t="n">
        <v>0</v>
      </c>
      <c r="AE1285" s="21" t="n">
        <v>0</v>
      </c>
      <c r="AF1285" s="21" t="n">
        <v>0</v>
      </c>
      <c r="AG1285" s="21" t="n">
        <v>0</v>
      </c>
      <c r="AH1285" s="21" t="n">
        <v>0</v>
      </c>
      <c r="AI1285" s="21" t="n">
        <v>0</v>
      </c>
      <c r="AJ1285" s="21" t="n">
        <v>0</v>
      </c>
      <c r="AK1285" s="21" t="n">
        <v>0</v>
      </c>
      <c r="AL1285" s="21" t="n">
        <v>0</v>
      </c>
      <c r="AM1285" s="21" t="n">
        <v>0</v>
      </c>
      <c r="AN1285" s="21" t="n">
        <v>0</v>
      </c>
      <c r="AO1285" s="21" t="n">
        <v>0</v>
      </c>
      <c r="AP1285" s="21" t="n">
        <v>0</v>
      </c>
      <c r="AQ1285" s="21" t="n">
        <v>0</v>
      </c>
      <c r="AR1285" s="21" t="n">
        <v>0</v>
      </c>
      <c r="AS1285" s="21" t="n">
        <v>0</v>
      </c>
      <c r="AT1285" s="19" t="n"/>
    </row>
    <row r="1286">
      <c r="D1286" s="21" t="n">
        <v>0</v>
      </c>
      <c r="E1286" s="21" t="n">
        <v>0</v>
      </c>
      <c r="F1286" s="21" t="n">
        <v>0</v>
      </c>
      <c r="G1286" s="21" t="n">
        <v>0</v>
      </c>
      <c r="H1286" s="21" t="n">
        <v>0</v>
      </c>
      <c r="I1286" s="21" t="n">
        <v>0</v>
      </c>
      <c r="J1286" s="21" t="n">
        <v>0</v>
      </c>
      <c r="K1286" s="21" t="n">
        <v>0</v>
      </c>
      <c r="L1286" s="21" t="n">
        <v>0</v>
      </c>
      <c r="M1286" s="21" t="n">
        <v>0</v>
      </c>
      <c r="N1286" s="21" t="n">
        <v>0</v>
      </c>
      <c r="O1286" s="21" t="n">
        <v>0</v>
      </c>
      <c r="P1286" s="21" t="n">
        <v>0</v>
      </c>
      <c r="Q1286" s="21" t="n">
        <v>0</v>
      </c>
      <c r="R1286" s="21" t="n">
        <v>0</v>
      </c>
      <c r="S1286" s="21" t="n">
        <v>0</v>
      </c>
      <c r="T1286" s="21" t="n">
        <v>0</v>
      </c>
      <c r="U1286" s="21" t="n">
        <v>0</v>
      </c>
      <c r="V1286" s="21">
        <f>$B$19</f>
        <v/>
      </c>
      <c r="W1286" s="21">
        <f>$B$21</f>
        <v/>
      </c>
      <c r="X1286" s="21">
        <f>0</f>
        <v/>
      </c>
      <c r="Y1286" s="21">
        <f>2*$B$20</f>
        <v/>
      </c>
      <c r="Z1286" s="21">
        <f>-$B$19</f>
        <v/>
      </c>
      <c r="AA1286" s="21">
        <f>$B$21</f>
        <v/>
      </c>
      <c r="AB1286" s="21" t="n">
        <v>0</v>
      </c>
      <c r="AC1286" s="21" t="n">
        <v>0</v>
      </c>
      <c r="AD1286" s="21" t="n">
        <v>0</v>
      </c>
      <c r="AE1286" s="21" t="n">
        <v>0</v>
      </c>
      <c r="AF1286" s="21" t="n">
        <v>0</v>
      </c>
      <c r="AG1286" s="21" t="n">
        <v>0</v>
      </c>
      <c r="AH1286" s="21" t="n">
        <v>0</v>
      </c>
      <c r="AI1286" s="21" t="n">
        <v>0</v>
      </c>
      <c r="AJ1286" s="21" t="n">
        <v>0</v>
      </c>
      <c r="AK1286" s="21" t="n">
        <v>0</v>
      </c>
      <c r="AL1286" s="21" t="n">
        <v>0</v>
      </c>
      <c r="AM1286" s="21" t="n">
        <v>0</v>
      </c>
      <c r="AN1286" s="21" t="n">
        <v>0</v>
      </c>
      <c r="AO1286" s="21" t="n">
        <v>0</v>
      </c>
      <c r="AP1286" s="21" t="n">
        <v>0</v>
      </c>
      <c r="AQ1286" s="21" t="n">
        <v>0</v>
      </c>
      <c r="AR1286" s="21" t="n">
        <v>0</v>
      </c>
      <c r="AS1286" s="21" t="n">
        <v>0</v>
      </c>
      <c r="AT1286" s="19" t="n"/>
    </row>
    <row r="1287">
      <c r="D1287" s="21" t="n">
        <v>0</v>
      </c>
      <c r="E1287" s="21" t="n">
        <v>0</v>
      </c>
      <c r="F1287" s="21" t="n">
        <v>0</v>
      </c>
      <c r="G1287" s="21" t="n">
        <v>0</v>
      </c>
      <c r="H1287" s="21" t="n">
        <v>0</v>
      </c>
      <c r="I1287" s="21" t="n">
        <v>0</v>
      </c>
      <c r="J1287" s="21" t="n">
        <v>0</v>
      </c>
      <c r="K1287" s="21" t="n">
        <v>0</v>
      </c>
      <c r="L1287" s="21" t="n">
        <v>0</v>
      </c>
      <c r="M1287" s="21" t="n">
        <v>0</v>
      </c>
      <c r="N1287" s="21" t="n">
        <v>0</v>
      </c>
      <c r="O1287" s="21" t="n">
        <v>0</v>
      </c>
      <c r="P1287" s="21" t="n">
        <v>0</v>
      </c>
      <c r="Q1287" s="21" t="n">
        <v>0</v>
      </c>
      <c r="R1287" s="21" t="n">
        <v>0</v>
      </c>
      <c r="S1287" s="21" t="n">
        <v>0</v>
      </c>
      <c r="T1287" s="21" t="n">
        <v>0</v>
      </c>
      <c r="U1287" s="21" t="n">
        <v>0</v>
      </c>
      <c r="V1287" s="21" t="n">
        <v>0</v>
      </c>
      <c r="W1287" s="21" t="n">
        <v>0</v>
      </c>
      <c r="X1287" s="21">
        <f>-$B$18</f>
        <v/>
      </c>
      <c r="Y1287" s="21">
        <f>-$B$19</f>
        <v/>
      </c>
      <c r="Z1287" s="21">
        <f>2*$B$18+$D$1254</f>
        <v/>
      </c>
      <c r="AA1287" s="21">
        <f>0</f>
        <v/>
      </c>
      <c r="AB1287" s="21">
        <f>-$B$18</f>
        <v/>
      </c>
      <c r="AC1287" s="21">
        <f>$B$19</f>
        <v/>
      </c>
      <c r="AD1287" s="21" t="n">
        <v>0</v>
      </c>
      <c r="AE1287" s="21" t="n">
        <v>0</v>
      </c>
      <c r="AF1287" s="21" t="n">
        <v>0</v>
      </c>
      <c r="AG1287" s="21" t="n">
        <v>0</v>
      </c>
      <c r="AH1287" s="21" t="n">
        <v>0</v>
      </c>
      <c r="AI1287" s="21" t="n">
        <v>0</v>
      </c>
      <c r="AJ1287" s="21" t="n">
        <v>0</v>
      </c>
      <c r="AK1287" s="21" t="n">
        <v>0</v>
      </c>
      <c r="AL1287" s="21" t="n">
        <v>0</v>
      </c>
      <c r="AM1287" s="21" t="n">
        <v>0</v>
      </c>
      <c r="AN1287" s="21" t="n">
        <v>0</v>
      </c>
      <c r="AO1287" s="21" t="n">
        <v>0</v>
      </c>
      <c r="AP1287" s="21" t="n">
        <v>0</v>
      </c>
      <c r="AQ1287" s="21" t="n">
        <v>0</v>
      </c>
      <c r="AR1287" s="21" t="n">
        <v>0</v>
      </c>
      <c r="AS1287" s="21" t="n">
        <v>0</v>
      </c>
      <c r="AT1287" s="19" t="n"/>
    </row>
    <row r="1288">
      <c r="D1288" s="21" t="n">
        <v>0</v>
      </c>
      <c r="E1288" s="21" t="n">
        <v>0</v>
      </c>
      <c r="F1288" s="21" t="n">
        <v>0</v>
      </c>
      <c r="G1288" s="21" t="n">
        <v>0</v>
      </c>
      <c r="H1288" s="21" t="n">
        <v>0</v>
      </c>
      <c r="I1288" s="21" t="n">
        <v>0</v>
      </c>
      <c r="J1288" s="21" t="n">
        <v>0</v>
      </c>
      <c r="K1288" s="21" t="n">
        <v>0</v>
      </c>
      <c r="L1288" s="21" t="n">
        <v>0</v>
      </c>
      <c r="M1288" s="21" t="n">
        <v>0</v>
      </c>
      <c r="N1288" s="21" t="n">
        <v>0</v>
      </c>
      <c r="O1288" s="21" t="n">
        <v>0</v>
      </c>
      <c r="P1288" s="21" t="n">
        <v>0</v>
      </c>
      <c r="Q1288" s="21" t="n">
        <v>0</v>
      </c>
      <c r="R1288" s="21" t="n">
        <v>0</v>
      </c>
      <c r="S1288" s="21" t="n">
        <v>0</v>
      </c>
      <c r="T1288" s="21" t="n">
        <v>0</v>
      </c>
      <c r="U1288" s="21" t="n">
        <v>0</v>
      </c>
      <c r="V1288" s="21" t="n">
        <v>0</v>
      </c>
      <c r="W1288" s="21" t="n">
        <v>0</v>
      </c>
      <c r="X1288" s="21">
        <f>$B$19</f>
        <v/>
      </c>
      <c r="Y1288" s="21">
        <f>$B$21</f>
        <v/>
      </c>
      <c r="Z1288" s="21">
        <f>0</f>
        <v/>
      </c>
      <c r="AA1288" s="21">
        <f>2*$B$20</f>
        <v/>
      </c>
      <c r="AB1288" s="21">
        <f>-$B$19</f>
        <v/>
      </c>
      <c r="AC1288" s="21">
        <f>$B$21</f>
        <v/>
      </c>
      <c r="AD1288" s="21" t="n">
        <v>0</v>
      </c>
      <c r="AE1288" s="21" t="n">
        <v>0</v>
      </c>
      <c r="AF1288" s="21" t="n">
        <v>0</v>
      </c>
      <c r="AG1288" s="21" t="n">
        <v>0</v>
      </c>
      <c r="AH1288" s="21" t="n">
        <v>0</v>
      </c>
      <c r="AI1288" s="21" t="n">
        <v>0</v>
      </c>
      <c r="AJ1288" s="21" t="n">
        <v>0</v>
      </c>
      <c r="AK1288" s="21" t="n">
        <v>0</v>
      </c>
      <c r="AL1288" s="21" t="n">
        <v>0</v>
      </c>
      <c r="AM1288" s="21" t="n">
        <v>0</v>
      </c>
      <c r="AN1288" s="21" t="n">
        <v>0</v>
      </c>
      <c r="AO1288" s="21" t="n">
        <v>0</v>
      </c>
      <c r="AP1288" s="21" t="n">
        <v>0</v>
      </c>
      <c r="AQ1288" s="21" t="n">
        <v>0</v>
      </c>
      <c r="AR1288" s="21" t="n">
        <v>0</v>
      </c>
      <c r="AS1288" s="21" t="n">
        <v>0</v>
      </c>
      <c r="AT1288" s="19" t="n"/>
    </row>
    <row r="1289">
      <c r="D1289" s="21" t="n">
        <v>0</v>
      </c>
      <c r="E1289" s="21" t="n">
        <v>0</v>
      </c>
      <c r="F1289" s="21" t="n">
        <v>0</v>
      </c>
      <c r="G1289" s="21" t="n">
        <v>0</v>
      </c>
      <c r="H1289" s="21" t="n">
        <v>0</v>
      </c>
      <c r="I1289" s="21" t="n">
        <v>0</v>
      </c>
      <c r="J1289" s="21" t="n">
        <v>0</v>
      </c>
      <c r="K1289" s="21" t="n">
        <v>0</v>
      </c>
      <c r="L1289" s="21" t="n">
        <v>0</v>
      </c>
      <c r="M1289" s="21" t="n">
        <v>0</v>
      </c>
      <c r="N1289" s="21" t="n">
        <v>0</v>
      </c>
      <c r="O1289" s="21" t="n">
        <v>0</v>
      </c>
      <c r="P1289" s="21" t="n">
        <v>0</v>
      </c>
      <c r="Q1289" s="21" t="n">
        <v>0</v>
      </c>
      <c r="R1289" s="21" t="n">
        <v>0</v>
      </c>
      <c r="S1289" s="21" t="n">
        <v>0</v>
      </c>
      <c r="T1289" s="21" t="n">
        <v>0</v>
      </c>
      <c r="U1289" s="21" t="n">
        <v>0</v>
      </c>
      <c r="V1289" s="21" t="n">
        <v>0</v>
      </c>
      <c r="W1289" s="21" t="n">
        <v>0</v>
      </c>
      <c r="X1289" s="21" t="n">
        <v>0</v>
      </c>
      <c r="Y1289" s="21" t="n">
        <v>0</v>
      </c>
      <c r="Z1289" s="21">
        <f>-$B$18</f>
        <v/>
      </c>
      <c r="AA1289" s="21">
        <f>-$B$19</f>
        <v/>
      </c>
      <c r="AB1289" s="21">
        <f>2*$B$18+$D$1255</f>
        <v/>
      </c>
      <c r="AC1289" s="21">
        <f>0</f>
        <v/>
      </c>
      <c r="AD1289" s="21">
        <f>-$B$18</f>
        <v/>
      </c>
      <c r="AE1289" s="21">
        <f>$B$19</f>
        <v/>
      </c>
      <c r="AF1289" s="21" t="n">
        <v>0</v>
      </c>
      <c r="AG1289" s="21" t="n">
        <v>0</v>
      </c>
      <c r="AH1289" s="21" t="n">
        <v>0</v>
      </c>
      <c r="AI1289" s="21" t="n">
        <v>0</v>
      </c>
      <c r="AJ1289" s="21" t="n">
        <v>0</v>
      </c>
      <c r="AK1289" s="21" t="n">
        <v>0</v>
      </c>
      <c r="AL1289" s="21" t="n">
        <v>0</v>
      </c>
      <c r="AM1289" s="21" t="n">
        <v>0</v>
      </c>
      <c r="AN1289" s="21" t="n">
        <v>0</v>
      </c>
      <c r="AO1289" s="21" t="n">
        <v>0</v>
      </c>
      <c r="AP1289" s="21" t="n">
        <v>0</v>
      </c>
      <c r="AQ1289" s="21" t="n">
        <v>0</v>
      </c>
      <c r="AR1289" s="21" t="n">
        <v>0</v>
      </c>
      <c r="AS1289" s="21" t="n">
        <v>0</v>
      </c>
      <c r="AT1289" s="19" t="n"/>
    </row>
    <row r="1290">
      <c r="D1290" s="21" t="n">
        <v>0</v>
      </c>
      <c r="E1290" s="21" t="n">
        <v>0</v>
      </c>
      <c r="F1290" s="21" t="n">
        <v>0</v>
      </c>
      <c r="G1290" s="21" t="n">
        <v>0</v>
      </c>
      <c r="H1290" s="21" t="n">
        <v>0</v>
      </c>
      <c r="I1290" s="21" t="n">
        <v>0</v>
      </c>
      <c r="J1290" s="21" t="n">
        <v>0</v>
      </c>
      <c r="K1290" s="21" t="n">
        <v>0</v>
      </c>
      <c r="L1290" s="21" t="n">
        <v>0</v>
      </c>
      <c r="M1290" s="21" t="n">
        <v>0</v>
      </c>
      <c r="N1290" s="21" t="n">
        <v>0</v>
      </c>
      <c r="O1290" s="21" t="n">
        <v>0</v>
      </c>
      <c r="P1290" s="21" t="n">
        <v>0</v>
      </c>
      <c r="Q1290" s="21" t="n">
        <v>0</v>
      </c>
      <c r="R1290" s="21" t="n">
        <v>0</v>
      </c>
      <c r="S1290" s="21" t="n">
        <v>0</v>
      </c>
      <c r="T1290" s="21" t="n">
        <v>0</v>
      </c>
      <c r="U1290" s="21" t="n">
        <v>0</v>
      </c>
      <c r="V1290" s="21" t="n">
        <v>0</v>
      </c>
      <c r="W1290" s="21" t="n">
        <v>0</v>
      </c>
      <c r="X1290" s="21" t="n">
        <v>0</v>
      </c>
      <c r="Y1290" s="21" t="n">
        <v>0</v>
      </c>
      <c r="Z1290" s="21">
        <f>$B$19</f>
        <v/>
      </c>
      <c r="AA1290" s="21">
        <f>$B$21</f>
        <v/>
      </c>
      <c r="AB1290" s="21">
        <f>0</f>
        <v/>
      </c>
      <c r="AC1290" s="21">
        <f>2*$B$20</f>
        <v/>
      </c>
      <c r="AD1290" s="21">
        <f>-$B$19</f>
        <v/>
      </c>
      <c r="AE1290" s="21">
        <f>$B$21</f>
        <v/>
      </c>
      <c r="AF1290" s="21" t="n">
        <v>0</v>
      </c>
      <c r="AG1290" s="21" t="n">
        <v>0</v>
      </c>
      <c r="AH1290" s="21" t="n">
        <v>0</v>
      </c>
      <c r="AI1290" s="21" t="n">
        <v>0</v>
      </c>
      <c r="AJ1290" s="21" t="n">
        <v>0</v>
      </c>
      <c r="AK1290" s="21" t="n">
        <v>0</v>
      </c>
      <c r="AL1290" s="21" t="n">
        <v>0</v>
      </c>
      <c r="AM1290" s="21" t="n">
        <v>0</v>
      </c>
      <c r="AN1290" s="21" t="n">
        <v>0</v>
      </c>
      <c r="AO1290" s="21" t="n">
        <v>0</v>
      </c>
      <c r="AP1290" s="21" t="n">
        <v>0</v>
      </c>
      <c r="AQ1290" s="21" t="n">
        <v>0</v>
      </c>
      <c r="AR1290" s="21" t="n">
        <v>0</v>
      </c>
      <c r="AS1290" s="21" t="n">
        <v>0</v>
      </c>
      <c r="AT1290" s="19" t="n"/>
    </row>
    <row r="1291">
      <c r="D1291" s="21" t="n">
        <v>0</v>
      </c>
      <c r="E1291" s="21" t="n">
        <v>0</v>
      </c>
      <c r="F1291" s="21" t="n">
        <v>0</v>
      </c>
      <c r="G1291" s="21" t="n">
        <v>0</v>
      </c>
      <c r="H1291" s="21" t="n">
        <v>0</v>
      </c>
      <c r="I1291" s="21" t="n">
        <v>0</v>
      </c>
      <c r="J1291" s="21" t="n">
        <v>0</v>
      </c>
      <c r="K1291" s="21" t="n">
        <v>0</v>
      </c>
      <c r="L1291" s="21" t="n">
        <v>0</v>
      </c>
      <c r="M1291" s="21" t="n">
        <v>0</v>
      </c>
      <c r="N1291" s="21" t="n">
        <v>0</v>
      </c>
      <c r="O1291" s="21" t="n">
        <v>0</v>
      </c>
      <c r="P1291" s="21" t="n">
        <v>0</v>
      </c>
      <c r="Q1291" s="21" t="n">
        <v>0</v>
      </c>
      <c r="R1291" s="21" t="n">
        <v>0</v>
      </c>
      <c r="S1291" s="21" t="n">
        <v>0</v>
      </c>
      <c r="T1291" s="21" t="n">
        <v>0</v>
      </c>
      <c r="U1291" s="21" t="n">
        <v>0</v>
      </c>
      <c r="V1291" s="21" t="n">
        <v>0</v>
      </c>
      <c r="W1291" s="21" t="n">
        <v>0</v>
      </c>
      <c r="X1291" s="21" t="n">
        <v>0</v>
      </c>
      <c r="Y1291" s="21" t="n">
        <v>0</v>
      </c>
      <c r="Z1291" s="21" t="n">
        <v>0</v>
      </c>
      <c r="AA1291" s="21" t="n">
        <v>0</v>
      </c>
      <c r="AB1291" s="21">
        <f>-$B$18</f>
        <v/>
      </c>
      <c r="AC1291" s="21">
        <f>-$B$19</f>
        <v/>
      </c>
      <c r="AD1291" s="21">
        <f>2*$B$18+$D$1256</f>
        <v/>
      </c>
      <c r="AE1291" s="21">
        <f>0</f>
        <v/>
      </c>
      <c r="AF1291" s="21">
        <f>-$B$18</f>
        <v/>
      </c>
      <c r="AG1291" s="21">
        <f>$B$19</f>
        <v/>
      </c>
      <c r="AH1291" s="21" t="n">
        <v>0</v>
      </c>
      <c r="AI1291" s="21" t="n">
        <v>0</v>
      </c>
      <c r="AJ1291" s="21" t="n">
        <v>0</v>
      </c>
      <c r="AK1291" s="21" t="n">
        <v>0</v>
      </c>
      <c r="AL1291" s="21" t="n">
        <v>0</v>
      </c>
      <c r="AM1291" s="21" t="n">
        <v>0</v>
      </c>
      <c r="AN1291" s="21" t="n">
        <v>0</v>
      </c>
      <c r="AO1291" s="21" t="n">
        <v>0</v>
      </c>
      <c r="AP1291" s="21" t="n">
        <v>0</v>
      </c>
      <c r="AQ1291" s="21" t="n">
        <v>0</v>
      </c>
      <c r="AR1291" s="21" t="n">
        <v>0</v>
      </c>
      <c r="AS1291" s="21" t="n">
        <v>0</v>
      </c>
      <c r="AT1291" s="19" t="n"/>
    </row>
    <row r="1292">
      <c r="D1292" s="21" t="n">
        <v>0</v>
      </c>
      <c r="E1292" s="21" t="n">
        <v>0</v>
      </c>
      <c r="F1292" s="21" t="n">
        <v>0</v>
      </c>
      <c r="G1292" s="21" t="n">
        <v>0</v>
      </c>
      <c r="H1292" s="21" t="n">
        <v>0</v>
      </c>
      <c r="I1292" s="21" t="n">
        <v>0</v>
      </c>
      <c r="J1292" s="21" t="n">
        <v>0</v>
      </c>
      <c r="K1292" s="21" t="n">
        <v>0</v>
      </c>
      <c r="L1292" s="21" t="n">
        <v>0</v>
      </c>
      <c r="M1292" s="21" t="n">
        <v>0</v>
      </c>
      <c r="N1292" s="21" t="n">
        <v>0</v>
      </c>
      <c r="O1292" s="21" t="n">
        <v>0</v>
      </c>
      <c r="P1292" s="21" t="n">
        <v>0</v>
      </c>
      <c r="Q1292" s="21" t="n">
        <v>0</v>
      </c>
      <c r="R1292" s="21" t="n">
        <v>0</v>
      </c>
      <c r="S1292" s="21" t="n">
        <v>0</v>
      </c>
      <c r="T1292" s="21" t="n">
        <v>0</v>
      </c>
      <c r="U1292" s="21" t="n">
        <v>0</v>
      </c>
      <c r="V1292" s="21" t="n">
        <v>0</v>
      </c>
      <c r="W1292" s="21" t="n">
        <v>0</v>
      </c>
      <c r="X1292" s="21" t="n">
        <v>0</v>
      </c>
      <c r="Y1292" s="21" t="n">
        <v>0</v>
      </c>
      <c r="Z1292" s="21" t="n">
        <v>0</v>
      </c>
      <c r="AA1292" s="21" t="n">
        <v>0</v>
      </c>
      <c r="AB1292" s="21">
        <f>$B$19</f>
        <v/>
      </c>
      <c r="AC1292" s="21">
        <f>$B$21</f>
        <v/>
      </c>
      <c r="AD1292" s="21">
        <f>0</f>
        <v/>
      </c>
      <c r="AE1292" s="21">
        <f>2*$B$20</f>
        <v/>
      </c>
      <c r="AF1292" s="21">
        <f>-$B$19</f>
        <v/>
      </c>
      <c r="AG1292" s="21">
        <f>$B$21</f>
        <v/>
      </c>
      <c r="AH1292" s="21" t="n">
        <v>0</v>
      </c>
      <c r="AI1292" s="21" t="n">
        <v>0</v>
      </c>
      <c r="AJ1292" s="21" t="n">
        <v>0</v>
      </c>
      <c r="AK1292" s="21" t="n">
        <v>0</v>
      </c>
      <c r="AL1292" s="21" t="n">
        <v>0</v>
      </c>
      <c r="AM1292" s="21" t="n">
        <v>0</v>
      </c>
      <c r="AN1292" s="21" t="n">
        <v>0</v>
      </c>
      <c r="AO1292" s="21" t="n">
        <v>0</v>
      </c>
      <c r="AP1292" s="21" t="n">
        <v>0</v>
      </c>
      <c r="AQ1292" s="21" t="n">
        <v>0</v>
      </c>
      <c r="AR1292" s="21" t="n">
        <v>0</v>
      </c>
      <c r="AS1292" s="21" t="n">
        <v>0</v>
      </c>
      <c r="AT1292" s="19" t="n"/>
    </row>
    <row r="1293">
      <c r="D1293" s="21" t="n">
        <v>0</v>
      </c>
      <c r="E1293" s="21" t="n">
        <v>0</v>
      </c>
      <c r="F1293" s="21" t="n">
        <v>0</v>
      </c>
      <c r="G1293" s="21" t="n">
        <v>0</v>
      </c>
      <c r="H1293" s="21" t="n">
        <v>0</v>
      </c>
      <c r="I1293" s="21" t="n">
        <v>0</v>
      </c>
      <c r="J1293" s="21" t="n">
        <v>0</v>
      </c>
      <c r="K1293" s="21" t="n">
        <v>0</v>
      </c>
      <c r="L1293" s="21" t="n">
        <v>0</v>
      </c>
      <c r="M1293" s="21" t="n">
        <v>0</v>
      </c>
      <c r="N1293" s="21" t="n">
        <v>0</v>
      </c>
      <c r="O1293" s="21" t="n">
        <v>0</v>
      </c>
      <c r="P1293" s="21" t="n">
        <v>0</v>
      </c>
      <c r="Q1293" s="21" t="n">
        <v>0</v>
      </c>
      <c r="R1293" s="21" t="n">
        <v>0</v>
      </c>
      <c r="S1293" s="21" t="n">
        <v>0</v>
      </c>
      <c r="T1293" s="21" t="n">
        <v>0</v>
      </c>
      <c r="U1293" s="21" t="n">
        <v>0</v>
      </c>
      <c r="V1293" s="21" t="n">
        <v>0</v>
      </c>
      <c r="W1293" s="21" t="n">
        <v>0</v>
      </c>
      <c r="X1293" s="21" t="n">
        <v>0</v>
      </c>
      <c r="Y1293" s="21" t="n">
        <v>0</v>
      </c>
      <c r="Z1293" s="21" t="n">
        <v>0</v>
      </c>
      <c r="AA1293" s="21" t="n">
        <v>0</v>
      </c>
      <c r="AB1293" s="21" t="n">
        <v>0</v>
      </c>
      <c r="AC1293" s="21" t="n">
        <v>0</v>
      </c>
      <c r="AD1293" s="21">
        <f>-$B$18</f>
        <v/>
      </c>
      <c r="AE1293" s="21">
        <f>-$B$19</f>
        <v/>
      </c>
      <c r="AF1293" s="21">
        <f>2*$B$18+$D$1257</f>
        <v/>
      </c>
      <c r="AG1293" s="21">
        <f>0</f>
        <v/>
      </c>
      <c r="AH1293" s="21">
        <f>-$B$18</f>
        <v/>
      </c>
      <c r="AI1293" s="21">
        <f>$B$19</f>
        <v/>
      </c>
      <c r="AJ1293" s="21" t="n">
        <v>0</v>
      </c>
      <c r="AK1293" s="21" t="n">
        <v>0</v>
      </c>
      <c r="AL1293" s="21" t="n">
        <v>0</v>
      </c>
      <c r="AM1293" s="21" t="n">
        <v>0</v>
      </c>
      <c r="AN1293" s="21" t="n">
        <v>0</v>
      </c>
      <c r="AO1293" s="21" t="n">
        <v>0</v>
      </c>
      <c r="AP1293" s="21" t="n">
        <v>0</v>
      </c>
      <c r="AQ1293" s="21" t="n">
        <v>0</v>
      </c>
      <c r="AR1293" s="21" t="n">
        <v>0</v>
      </c>
      <c r="AS1293" s="21" t="n">
        <v>0</v>
      </c>
      <c r="AT1293" s="19" t="n"/>
    </row>
    <row r="1294">
      <c r="D1294" s="21" t="n">
        <v>0</v>
      </c>
      <c r="E1294" s="21" t="n">
        <v>0</v>
      </c>
      <c r="F1294" s="21" t="n">
        <v>0</v>
      </c>
      <c r="G1294" s="21" t="n">
        <v>0</v>
      </c>
      <c r="H1294" s="21" t="n">
        <v>0</v>
      </c>
      <c r="I1294" s="21" t="n">
        <v>0</v>
      </c>
      <c r="J1294" s="21" t="n">
        <v>0</v>
      </c>
      <c r="K1294" s="21" t="n">
        <v>0</v>
      </c>
      <c r="L1294" s="21" t="n">
        <v>0</v>
      </c>
      <c r="M1294" s="21" t="n">
        <v>0</v>
      </c>
      <c r="N1294" s="21" t="n">
        <v>0</v>
      </c>
      <c r="O1294" s="21" t="n">
        <v>0</v>
      </c>
      <c r="P1294" s="21" t="n">
        <v>0</v>
      </c>
      <c r="Q1294" s="21" t="n">
        <v>0</v>
      </c>
      <c r="R1294" s="21" t="n">
        <v>0</v>
      </c>
      <c r="S1294" s="21" t="n">
        <v>0</v>
      </c>
      <c r="T1294" s="21" t="n">
        <v>0</v>
      </c>
      <c r="U1294" s="21" t="n">
        <v>0</v>
      </c>
      <c r="V1294" s="21" t="n">
        <v>0</v>
      </c>
      <c r="W1294" s="21" t="n">
        <v>0</v>
      </c>
      <c r="X1294" s="21" t="n">
        <v>0</v>
      </c>
      <c r="Y1294" s="21" t="n">
        <v>0</v>
      </c>
      <c r="Z1294" s="21" t="n">
        <v>0</v>
      </c>
      <c r="AA1294" s="21" t="n">
        <v>0</v>
      </c>
      <c r="AB1294" s="21" t="n">
        <v>0</v>
      </c>
      <c r="AC1294" s="21" t="n">
        <v>0</v>
      </c>
      <c r="AD1294" s="21">
        <f>$B$19</f>
        <v/>
      </c>
      <c r="AE1294" s="21">
        <f>$B$21</f>
        <v/>
      </c>
      <c r="AF1294" s="21">
        <f>0</f>
        <v/>
      </c>
      <c r="AG1294" s="21">
        <f>2*$B$20</f>
        <v/>
      </c>
      <c r="AH1294" s="21">
        <f>-$B$19</f>
        <v/>
      </c>
      <c r="AI1294" s="21">
        <f>$B$21</f>
        <v/>
      </c>
      <c r="AJ1294" s="21" t="n">
        <v>0</v>
      </c>
      <c r="AK1294" s="21" t="n">
        <v>0</v>
      </c>
      <c r="AL1294" s="21" t="n">
        <v>0</v>
      </c>
      <c r="AM1294" s="21" t="n">
        <v>0</v>
      </c>
      <c r="AN1294" s="21" t="n">
        <v>0</v>
      </c>
      <c r="AO1294" s="21" t="n">
        <v>0</v>
      </c>
      <c r="AP1294" s="21" t="n">
        <v>0</v>
      </c>
      <c r="AQ1294" s="21" t="n">
        <v>0</v>
      </c>
      <c r="AR1294" s="21" t="n">
        <v>0</v>
      </c>
      <c r="AS1294" s="21" t="n">
        <v>0</v>
      </c>
      <c r="AT1294" s="19" t="n"/>
    </row>
    <row r="1295">
      <c r="D1295" s="21" t="n">
        <v>0</v>
      </c>
      <c r="E1295" s="21" t="n">
        <v>0</v>
      </c>
      <c r="F1295" s="21" t="n">
        <v>0</v>
      </c>
      <c r="G1295" s="21" t="n">
        <v>0</v>
      </c>
      <c r="H1295" s="21" t="n">
        <v>0</v>
      </c>
      <c r="I1295" s="21" t="n">
        <v>0</v>
      </c>
      <c r="J1295" s="21" t="n">
        <v>0</v>
      </c>
      <c r="K1295" s="21" t="n">
        <v>0</v>
      </c>
      <c r="L1295" s="21" t="n">
        <v>0</v>
      </c>
      <c r="M1295" s="21" t="n">
        <v>0</v>
      </c>
      <c r="N1295" s="21" t="n">
        <v>0</v>
      </c>
      <c r="O1295" s="21" t="n">
        <v>0</v>
      </c>
      <c r="P1295" s="21" t="n">
        <v>0</v>
      </c>
      <c r="Q1295" s="21" t="n">
        <v>0</v>
      </c>
      <c r="R1295" s="21" t="n">
        <v>0</v>
      </c>
      <c r="S1295" s="21" t="n">
        <v>0</v>
      </c>
      <c r="T1295" s="21" t="n">
        <v>0</v>
      </c>
      <c r="U1295" s="21" t="n">
        <v>0</v>
      </c>
      <c r="V1295" s="21" t="n">
        <v>0</v>
      </c>
      <c r="W1295" s="21" t="n">
        <v>0</v>
      </c>
      <c r="X1295" s="21" t="n">
        <v>0</v>
      </c>
      <c r="Y1295" s="21" t="n">
        <v>0</v>
      </c>
      <c r="Z1295" s="21" t="n">
        <v>0</v>
      </c>
      <c r="AA1295" s="21" t="n">
        <v>0</v>
      </c>
      <c r="AB1295" s="21" t="n">
        <v>0</v>
      </c>
      <c r="AC1295" s="21" t="n">
        <v>0</v>
      </c>
      <c r="AD1295" s="21" t="n">
        <v>0</v>
      </c>
      <c r="AE1295" s="21" t="n">
        <v>0</v>
      </c>
      <c r="AF1295" s="21">
        <f>-$B$18</f>
        <v/>
      </c>
      <c r="AG1295" s="21">
        <f>-$B$19</f>
        <v/>
      </c>
      <c r="AH1295" s="21">
        <f>2*$B$18+$D$1258</f>
        <v/>
      </c>
      <c r="AI1295" s="21">
        <f>0</f>
        <v/>
      </c>
      <c r="AJ1295" s="21">
        <f>-$B$18</f>
        <v/>
      </c>
      <c r="AK1295" s="21">
        <f>$B$19</f>
        <v/>
      </c>
      <c r="AL1295" s="21" t="n">
        <v>0</v>
      </c>
      <c r="AM1295" s="21" t="n">
        <v>0</v>
      </c>
      <c r="AN1295" s="21" t="n">
        <v>0</v>
      </c>
      <c r="AO1295" s="21" t="n">
        <v>0</v>
      </c>
      <c r="AP1295" s="21" t="n">
        <v>0</v>
      </c>
      <c r="AQ1295" s="21" t="n">
        <v>0</v>
      </c>
      <c r="AR1295" s="21" t="n">
        <v>0</v>
      </c>
      <c r="AS1295" s="21" t="n">
        <v>0</v>
      </c>
      <c r="AT1295" s="19" t="n"/>
    </row>
    <row r="1296">
      <c r="D1296" s="21" t="n">
        <v>0</v>
      </c>
      <c r="E1296" s="21" t="n">
        <v>0</v>
      </c>
      <c r="F1296" s="21" t="n">
        <v>0</v>
      </c>
      <c r="G1296" s="21" t="n">
        <v>0</v>
      </c>
      <c r="H1296" s="21" t="n">
        <v>0</v>
      </c>
      <c r="I1296" s="21" t="n">
        <v>0</v>
      </c>
      <c r="J1296" s="21" t="n">
        <v>0</v>
      </c>
      <c r="K1296" s="21" t="n">
        <v>0</v>
      </c>
      <c r="L1296" s="21" t="n">
        <v>0</v>
      </c>
      <c r="M1296" s="21" t="n">
        <v>0</v>
      </c>
      <c r="N1296" s="21" t="n">
        <v>0</v>
      </c>
      <c r="O1296" s="21" t="n">
        <v>0</v>
      </c>
      <c r="P1296" s="21" t="n">
        <v>0</v>
      </c>
      <c r="Q1296" s="21" t="n">
        <v>0</v>
      </c>
      <c r="R1296" s="21" t="n">
        <v>0</v>
      </c>
      <c r="S1296" s="21" t="n">
        <v>0</v>
      </c>
      <c r="T1296" s="21" t="n">
        <v>0</v>
      </c>
      <c r="U1296" s="21" t="n">
        <v>0</v>
      </c>
      <c r="V1296" s="21" t="n">
        <v>0</v>
      </c>
      <c r="W1296" s="21" t="n">
        <v>0</v>
      </c>
      <c r="X1296" s="21" t="n">
        <v>0</v>
      </c>
      <c r="Y1296" s="21" t="n">
        <v>0</v>
      </c>
      <c r="Z1296" s="21" t="n">
        <v>0</v>
      </c>
      <c r="AA1296" s="21" t="n">
        <v>0</v>
      </c>
      <c r="AB1296" s="21" t="n">
        <v>0</v>
      </c>
      <c r="AC1296" s="21" t="n">
        <v>0</v>
      </c>
      <c r="AD1296" s="21" t="n">
        <v>0</v>
      </c>
      <c r="AE1296" s="21" t="n">
        <v>0</v>
      </c>
      <c r="AF1296" s="21">
        <f>$B$19</f>
        <v/>
      </c>
      <c r="AG1296" s="21">
        <f>$B$21</f>
        <v/>
      </c>
      <c r="AH1296" s="21">
        <f>0</f>
        <v/>
      </c>
      <c r="AI1296" s="21">
        <f>2*$B$20</f>
        <v/>
      </c>
      <c r="AJ1296" s="21">
        <f>-$B$19</f>
        <v/>
      </c>
      <c r="AK1296" s="21">
        <f>$B$21</f>
        <v/>
      </c>
      <c r="AL1296" s="21" t="n">
        <v>0</v>
      </c>
      <c r="AM1296" s="21" t="n">
        <v>0</v>
      </c>
      <c r="AN1296" s="21" t="n">
        <v>0</v>
      </c>
      <c r="AO1296" s="21" t="n">
        <v>0</v>
      </c>
      <c r="AP1296" s="21" t="n">
        <v>0</v>
      </c>
      <c r="AQ1296" s="21" t="n">
        <v>0</v>
      </c>
      <c r="AR1296" s="21" t="n">
        <v>0</v>
      </c>
      <c r="AS1296" s="21" t="n">
        <v>0</v>
      </c>
      <c r="AT1296" s="19" t="n"/>
    </row>
    <row r="1297">
      <c r="D1297" s="21" t="n">
        <v>0</v>
      </c>
      <c r="E1297" s="21" t="n">
        <v>0</v>
      </c>
      <c r="F1297" s="21" t="n">
        <v>0</v>
      </c>
      <c r="G1297" s="21" t="n">
        <v>0</v>
      </c>
      <c r="H1297" s="21" t="n">
        <v>0</v>
      </c>
      <c r="I1297" s="21" t="n">
        <v>0</v>
      </c>
      <c r="J1297" s="21" t="n">
        <v>0</v>
      </c>
      <c r="K1297" s="21" t="n">
        <v>0</v>
      </c>
      <c r="L1297" s="21" t="n">
        <v>0</v>
      </c>
      <c r="M1297" s="21" t="n">
        <v>0</v>
      </c>
      <c r="N1297" s="21" t="n">
        <v>0</v>
      </c>
      <c r="O1297" s="21" t="n">
        <v>0</v>
      </c>
      <c r="P1297" s="21" t="n">
        <v>0</v>
      </c>
      <c r="Q1297" s="21" t="n">
        <v>0</v>
      </c>
      <c r="R1297" s="21" t="n">
        <v>0</v>
      </c>
      <c r="S1297" s="21" t="n">
        <v>0</v>
      </c>
      <c r="T1297" s="21" t="n">
        <v>0</v>
      </c>
      <c r="U1297" s="21" t="n">
        <v>0</v>
      </c>
      <c r="V1297" s="21" t="n">
        <v>0</v>
      </c>
      <c r="W1297" s="21" t="n">
        <v>0</v>
      </c>
      <c r="X1297" s="21" t="n">
        <v>0</v>
      </c>
      <c r="Y1297" s="21" t="n">
        <v>0</v>
      </c>
      <c r="Z1297" s="21" t="n">
        <v>0</v>
      </c>
      <c r="AA1297" s="21" t="n">
        <v>0</v>
      </c>
      <c r="AB1297" s="21" t="n">
        <v>0</v>
      </c>
      <c r="AC1297" s="21" t="n">
        <v>0</v>
      </c>
      <c r="AD1297" s="21" t="n">
        <v>0</v>
      </c>
      <c r="AE1297" s="21" t="n">
        <v>0</v>
      </c>
      <c r="AF1297" s="21" t="n">
        <v>0</v>
      </c>
      <c r="AG1297" s="21" t="n">
        <v>0</v>
      </c>
      <c r="AH1297" s="21">
        <f>-$B$18</f>
        <v/>
      </c>
      <c r="AI1297" s="21">
        <f>-$B$19</f>
        <v/>
      </c>
      <c r="AJ1297" s="21">
        <f>2*$B$18+$D$1259</f>
        <v/>
      </c>
      <c r="AK1297" s="21">
        <f>0</f>
        <v/>
      </c>
      <c r="AL1297" s="21">
        <f>-$B$18</f>
        <v/>
      </c>
      <c r="AM1297" s="21">
        <f>$B$19</f>
        <v/>
      </c>
      <c r="AN1297" s="21" t="n">
        <v>0</v>
      </c>
      <c r="AO1297" s="21" t="n">
        <v>0</v>
      </c>
      <c r="AP1297" s="21" t="n">
        <v>0</v>
      </c>
      <c r="AQ1297" s="21" t="n">
        <v>0</v>
      </c>
      <c r="AR1297" s="21" t="n">
        <v>0</v>
      </c>
      <c r="AS1297" s="21" t="n">
        <v>0</v>
      </c>
      <c r="AT1297" s="19" t="n"/>
    </row>
    <row r="1298">
      <c r="D1298" s="21" t="n">
        <v>0</v>
      </c>
      <c r="E1298" s="21" t="n">
        <v>0</v>
      </c>
      <c r="F1298" s="21" t="n">
        <v>0</v>
      </c>
      <c r="G1298" s="21" t="n">
        <v>0</v>
      </c>
      <c r="H1298" s="21" t="n">
        <v>0</v>
      </c>
      <c r="I1298" s="21" t="n">
        <v>0</v>
      </c>
      <c r="J1298" s="21" t="n">
        <v>0</v>
      </c>
      <c r="K1298" s="21" t="n">
        <v>0</v>
      </c>
      <c r="L1298" s="21" t="n">
        <v>0</v>
      </c>
      <c r="M1298" s="21" t="n">
        <v>0</v>
      </c>
      <c r="N1298" s="21" t="n">
        <v>0</v>
      </c>
      <c r="O1298" s="21" t="n">
        <v>0</v>
      </c>
      <c r="P1298" s="21" t="n">
        <v>0</v>
      </c>
      <c r="Q1298" s="21" t="n">
        <v>0</v>
      </c>
      <c r="R1298" s="21" t="n">
        <v>0</v>
      </c>
      <c r="S1298" s="21" t="n">
        <v>0</v>
      </c>
      <c r="T1298" s="21" t="n">
        <v>0</v>
      </c>
      <c r="U1298" s="21" t="n">
        <v>0</v>
      </c>
      <c r="V1298" s="21" t="n">
        <v>0</v>
      </c>
      <c r="W1298" s="21" t="n">
        <v>0</v>
      </c>
      <c r="X1298" s="21" t="n">
        <v>0</v>
      </c>
      <c r="Y1298" s="21" t="n">
        <v>0</v>
      </c>
      <c r="Z1298" s="21" t="n">
        <v>0</v>
      </c>
      <c r="AA1298" s="21" t="n">
        <v>0</v>
      </c>
      <c r="AB1298" s="21" t="n">
        <v>0</v>
      </c>
      <c r="AC1298" s="21" t="n">
        <v>0</v>
      </c>
      <c r="AD1298" s="21" t="n">
        <v>0</v>
      </c>
      <c r="AE1298" s="21" t="n">
        <v>0</v>
      </c>
      <c r="AF1298" s="21" t="n">
        <v>0</v>
      </c>
      <c r="AG1298" s="21" t="n">
        <v>0</v>
      </c>
      <c r="AH1298" s="21">
        <f>$B$19</f>
        <v/>
      </c>
      <c r="AI1298" s="21">
        <f>$B$21</f>
        <v/>
      </c>
      <c r="AJ1298" s="21">
        <f>0</f>
        <v/>
      </c>
      <c r="AK1298" s="21">
        <f>2*$B$20</f>
        <v/>
      </c>
      <c r="AL1298" s="21">
        <f>-$B$19</f>
        <v/>
      </c>
      <c r="AM1298" s="21">
        <f>$B$21</f>
        <v/>
      </c>
      <c r="AN1298" s="21" t="n">
        <v>0</v>
      </c>
      <c r="AO1298" s="21" t="n">
        <v>0</v>
      </c>
      <c r="AP1298" s="21" t="n">
        <v>0</v>
      </c>
      <c r="AQ1298" s="21" t="n">
        <v>0</v>
      </c>
      <c r="AR1298" s="21" t="n">
        <v>0</v>
      </c>
      <c r="AS1298" s="21" t="n">
        <v>0</v>
      </c>
      <c r="AT1298" s="19" t="n"/>
    </row>
    <row r="1299">
      <c r="D1299" s="21" t="n">
        <v>0</v>
      </c>
      <c r="E1299" s="21" t="n">
        <v>0</v>
      </c>
      <c r="F1299" s="21" t="n">
        <v>0</v>
      </c>
      <c r="G1299" s="21" t="n">
        <v>0</v>
      </c>
      <c r="H1299" s="21" t="n">
        <v>0</v>
      </c>
      <c r="I1299" s="21" t="n">
        <v>0</v>
      </c>
      <c r="J1299" s="21" t="n">
        <v>0</v>
      </c>
      <c r="K1299" s="21" t="n">
        <v>0</v>
      </c>
      <c r="L1299" s="21" t="n">
        <v>0</v>
      </c>
      <c r="M1299" s="21" t="n">
        <v>0</v>
      </c>
      <c r="N1299" s="21" t="n">
        <v>0</v>
      </c>
      <c r="O1299" s="21" t="n">
        <v>0</v>
      </c>
      <c r="P1299" s="21" t="n">
        <v>0</v>
      </c>
      <c r="Q1299" s="21" t="n">
        <v>0</v>
      </c>
      <c r="R1299" s="21" t="n">
        <v>0</v>
      </c>
      <c r="S1299" s="21" t="n">
        <v>0</v>
      </c>
      <c r="T1299" s="21" t="n">
        <v>0</v>
      </c>
      <c r="U1299" s="21" t="n">
        <v>0</v>
      </c>
      <c r="V1299" s="21" t="n">
        <v>0</v>
      </c>
      <c r="W1299" s="21" t="n">
        <v>0</v>
      </c>
      <c r="X1299" s="21" t="n">
        <v>0</v>
      </c>
      <c r="Y1299" s="21" t="n">
        <v>0</v>
      </c>
      <c r="Z1299" s="21" t="n">
        <v>0</v>
      </c>
      <c r="AA1299" s="21" t="n">
        <v>0</v>
      </c>
      <c r="AB1299" s="21" t="n">
        <v>0</v>
      </c>
      <c r="AC1299" s="21" t="n">
        <v>0</v>
      </c>
      <c r="AD1299" s="21" t="n">
        <v>0</v>
      </c>
      <c r="AE1299" s="21" t="n">
        <v>0</v>
      </c>
      <c r="AF1299" s="21" t="n">
        <v>0</v>
      </c>
      <c r="AG1299" s="21" t="n">
        <v>0</v>
      </c>
      <c r="AH1299" s="21" t="n">
        <v>0</v>
      </c>
      <c r="AI1299" s="21" t="n">
        <v>0</v>
      </c>
      <c r="AJ1299" s="21">
        <f>-$B$18</f>
        <v/>
      </c>
      <c r="AK1299" s="21">
        <f>-$B$19</f>
        <v/>
      </c>
      <c r="AL1299" s="21">
        <f>2*$B$18+$D$1260</f>
        <v/>
      </c>
      <c r="AM1299" s="21">
        <f>0</f>
        <v/>
      </c>
      <c r="AN1299" s="21">
        <f>-$B$18</f>
        <v/>
      </c>
      <c r="AO1299" s="21">
        <f>$B$19</f>
        <v/>
      </c>
      <c r="AP1299" s="21" t="n">
        <v>0</v>
      </c>
      <c r="AQ1299" s="21" t="n">
        <v>0</v>
      </c>
      <c r="AR1299" s="21" t="n">
        <v>0</v>
      </c>
      <c r="AS1299" s="21" t="n">
        <v>0</v>
      </c>
      <c r="AT1299" s="19" t="n"/>
    </row>
    <row r="1300">
      <c r="D1300" s="21" t="n">
        <v>0</v>
      </c>
      <c r="E1300" s="21" t="n">
        <v>0</v>
      </c>
      <c r="F1300" s="21" t="n">
        <v>0</v>
      </c>
      <c r="G1300" s="21" t="n">
        <v>0</v>
      </c>
      <c r="H1300" s="21" t="n">
        <v>0</v>
      </c>
      <c r="I1300" s="21" t="n">
        <v>0</v>
      </c>
      <c r="J1300" s="21" t="n">
        <v>0</v>
      </c>
      <c r="K1300" s="21" t="n">
        <v>0</v>
      </c>
      <c r="L1300" s="21" t="n">
        <v>0</v>
      </c>
      <c r="M1300" s="21" t="n">
        <v>0</v>
      </c>
      <c r="N1300" s="21" t="n">
        <v>0</v>
      </c>
      <c r="O1300" s="21" t="n">
        <v>0</v>
      </c>
      <c r="P1300" s="21" t="n">
        <v>0</v>
      </c>
      <c r="Q1300" s="21" t="n">
        <v>0</v>
      </c>
      <c r="R1300" s="21" t="n">
        <v>0</v>
      </c>
      <c r="S1300" s="21" t="n">
        <v>0</v>
      </c>
      <c r="T1300" s="21" t="n">
        <v>0</v>
      </c>
      <c r="U1300" s="21" t="n">
        <v>0</v>
      </c>
      <c r="V1300" s="21" t="n">
        <v>0</v>
      </c>
      <c r="W1300" s="21" t="n">
        <v>0</v>
      </c>
      <c r="X1300" s="21" t="n">
        <v>0</v>
      </c>
      <c r="Y1300" s="21" t="n">
        <v>0</v>
      </c>
      <c r="Z1300" s="21" t="n">
        <v>0</v>
      </c>
      <c r="AA1300" s="21" t="n">
        <v>0</v>
      </c>
      <c r="AB1300" s="21" t="n">
        <v>0</v>
      </c>
      <c r="AC1300" s="21" t="n">
        <v>0</v>
      </c>
      <c r="AD1300" s="21" t="n">
        <v>0</v>
      </c>
      <c r="AE1300" s="21" t="n">
        <v>0</v>
      </c>
      <c r="AF1300" s="21" t="n">
        <v>0</v>
      </c>
      <c r="AG1300" s="21" t="n">
        <v>0</v>
      </c>
      <c r="AH1300" s="21" t="n">
        <v>0</v>
      </c>
      <c r="AI1300" s="21" t="n">
        <v>0</v>
      </c>
      <c r="AJ1300" s="21">
        <f>$B$19</f>
        <v/>
      </c>
      <c r="AK1300" s="21">
        <f>$B$21</f>
        <v/>
      </c>
      <c r="AL1300" s="21">
        <f>0</f>
        <v/>
      </c>
      <c r="AM1300" s="21">
        <f>2*$B$20</f>
        <v/>
      </c>
      <c r="AN1300" s="21">
        <f>-$B$19</f>
        <v/>
      </c>
      <c r="AO1300" s="21">
        <f>$B$21</f>
        <v/>
      </c>
      <c r="AP1300" s="21" t="n">
        <v>0</v>
      </c>
      <c r="AQ1300" s="21" t="n">
        <v>0</v>
      </c>
      <c r="AR1300" s="21" t="n">
        <v>0</v>
      </c>
      <c r="AS1300" s="21" t="n">
        <v>0</v>
      </c>
      <c r="AT1300" s="19" t="n"/>
    </row>
    <row r="1301">
      <c r="D1301" s="21" t="n">
        <v>0</v>
      </c>
      <c r="E1301" s="21" t="n">
        <v>0</v>
      </c>
      <c r="F1301" s="21" t="n">
        <v>0</v>
      </c>
      <c r="G1301" s="21" t="n">
        <v>0</v>
      </c>
      <c r="H1301" s="21" t="n">
        <v>0</v>
      </c>
      <c r="I1301" s="21" t="n">
        <v>0</v>
      </c>
      <c r="J1301" s="21" t="n">
        <v>0</v>
      </c>
      <c r="K1301" s="21" t="n">
        <v>0</v>
      </c>
      <c r="L1301" s="21" t="n">
        <v>0</v>
      </c>
      <c r="M1301" s="21" t="n">
        <v>0</v>
      </c>
      <c r="N1301" s="21" t="n">
        <v>0</v>
      </c>
      <c r="O1301" s="21" t="n">
        <v>0</v>
      </c>
      <c r="P1301" s="21" t="n">
        <v>0</v>
      </c>
      <c r="Q1301" s="21" t="n">
        <v>0</v>
      </c>
      <c r="R1301" s="21" t="n">
        <v>0</v>
      </c>
      <c r="S1301" s="21" t="n">
        <v>0</v>
      </c>
      <c r="T1301" s="21" t="n">
        <v>0</v>
      </c>
      <c r="U1301" s="21" t="n">
        <v>0</v>
      </c>
      <c r="V1301" s="21" t="n">
        <v>0</v>
      </c>
      <c r="W1301" s="21" t="n">
        <v>0</v>
      </c>
      <c r="X1301" s="21" t="n">
        <v>0</v>
      </c>
      <c r="Y1301" s="21" t="n">
        <v>0</v>
      </c>
      <c r="Z1301" s="21" t="n">
        <v>0</v>
      </c>
      <c r="AA1301" s="21" t="n">
        <v>0</v>
      </c>
      <c r="AB1301" s="21" t="n">
        <v>0</v>
      </c>
      <c r="AC1301" s="21" t="n">
        <v>0</v>
      </c>
      <c r="AD1301" s="21" t="n">
        <v>0</v>
      </c>
      <c r="AE1301" s="21" t="n">
        <v>0</v>
      </c>
      <c r="AF1301" s="21" t="n">
        <v>0</v>
      </c>
      <c r="AG1301" s="21" t="n">
        <v>0</v>
      </c>
      <c r="AH1301" s="21" t="n">
        <v>0</v>
      </c>
      <c r="AI1301" s="21" t="n">
        <v>0</v>
      </c>
      <c r="AJ1301" s="21" t="n">
        <v>0</v>
      </c>
      <c r="AK1301" s="21" t="n">
        <v>0</v>
      </c>
      <c r="AL1301" s="21">
        <f>-$B$18</f>
        <v/>
      </c>
      <c r="AM1301" s="21">
        <f>-$B$19</f>
        <v/>
      </c>
      <c r="AN1301" s="21">
        <f>2*$B$18+$D$1261</f>
        <v/>
      </c>
      <c r="AO1301" s="21">
        <f>0</f>
        <v/>
      </c>
      <c r="AP1301" s="21">
        <f>-$B$18</f>
        <v/>
      </c>
      <c r="AQ1301" s="21">
        <f>$B$19</f>
        <v/>
      </c>
      <c r="AR1301" s="21" t="n">
        <v>0</v>
      </c>
      <c r="AS1301" s="21" t="n">
        <v>0</v>
      </c>
      <c r="AT1301" s="19" t="n"/>
    </row>
    <row r="1302">
      <c r="D1302" s="21" t="n">
        <v>0</v>
      </c>
      <c r="E1302" s="21" t="n">
        <v>0</v>
      </c>
      <c r="F1302" s="21" t="n">
        <v>0</v>
      </c>
      <c r="G1302" s="21" t="n">
        <v>0</v>
      </c>
      <c r="H1302" s="21" t="n">
        <v>0</v>
      </c>
      <c r="I1302" s="21" t="n">
        <v>0</v>
      </c>
      <c r="J1302" s="21" t="n">
        <v>0</v>
      </c>
      <c r="K1302" s="21" t="n">
        <v>0</v>
      </c>
      <c r="L1302" s="21" t="n">
        <v>0</v>
      </c>
      <c r="M1302" s="21" t="n">
        <v>0</v>
      </c>
      <c r="N1302" s="21" t="n">
        <v>0</v>
      </c>
      <c r="O1302" s="21" t="n">
        <v>0</v>
      </c>
      <c r="P1302" s="21" t="n">
        <v>0</v>
      </c>
      <c r="Q1302" s="21" t="n">
        <v>0</v>
      </c>
      <c r="R1302" s="21" t="n">
        <v>0</v>
      </c>
      <c r="S1302" s="21" t="n">
        <v>0</v>
      </c>
      <c r="T1302" s="21" t="n">
        <v>0</v>
      </c>
      <c r="U1302" s="21" t="n">
        <v>0</v>
      </c>
      <c r="V1302" s="21" t="n">
        <v>0</v>
      </c>
      <c r="W1302" s="21" t="n">
        <v>0</v>
      </c>
      <c r="X1302" s="21" t="n">
        <v>0</v>
      </c>
      <c r="Y1302" s="21" t="n">
        <v>0</v>
      </c>
      <c r="Z1302" s="21" t="n">
        <v>0</v>
      </c>
      <c r="AA1302" s="21" t="n">
        <v>0</v>
      </c>
      <c r="AB1302" s="21" t="n">
        <v>0</v>
      </c>
      <c r="AC1302" s="21" t="n">
        <v>0</v>
      </c>
      <c r="AD1302" s="21" t="n">
        <v>0</v>
      </c>
      <c r="AE1302" s="21" t="n">
        <v>0</v>
      </c>
      <c r="AF1302" s="21" t="n">
        <v>0</v>
      </c>
      <c r="AG1302" s="21" t="n">
        <v>0</v>
      </c>
      <c r="AH1302" s="21" t="n">
        <v>0</v>
      </c>
      <c r="AI1302" s="21" t="n">
        <v>0</v>
      </c>
      <c r="AJ1302" s="21" t="n">
        <v>0</v>
      </c>
      <c r="AK1302" s="21" t="n">
        <v>0</v>
      </c>
      <c r="AL1302" s="21">
        <f>$B$19</f>
        <v/>
      </c>
      <c r="AM1302" s="21">
        <f>$B$21</f>
        <v/>
      </c>
      <c r="AN1302" s="21">
        <f>0</f>
        <v/>
      </c>
      <c r="AO1302" s="21">
        <f>2*$B$20</f>
        <v/>
      </c>
      <c r="AP1302" s="21">
        <f>-$B$19</f>
        <v/>
      </c>
      <c r="AQ1302" s="21">
        <f>$B$21</f>
        <v/>
      </c>
      <c r="AR1302" s="21" t="n">
        <v>0</v>
      </c>
      <c r="AS1302" s="21" t="n">
        <v>0</v>
      </c>
      <c r="AT1302" s="19" t="n"/>
    </row>
    <row r="1303">
      <c r="D1303" s="21" t="n">
        <v>0</v>
      </c>
      <c r="E1303" s="21" t="n">
        <v>0</v>
      </c>
      <c r="F1303" s="21" t="n">
        <v>0</v>
      </c>
      <c r="G1303" s="21" t="n">
        <v>0</v>
      </c>
      <c r="H1303" s="21" t="n">
        <v>0</v>
      </c>
      <c r="I1303" s="21" t="n">
        <v>0</v>
      </c>
      <c r="J1303" s="21" t="n">
        <v>0</v>
      </c>
      <c r="K1303" s="21" t="n">
        <v>0</v>
      </c>
      <c r="L1303" s="21" t="n">
        <v>0</v>
      </c>
      <c r="M1303" s="21" t="n">
        <v>0</v>
      </c>
      <c r="N1303" s="21" t="n">
        <v>0</v>
      </c>
      <c r="O1303" s="21" t="n">
        <v>0</v>
      </c>
      <c r="P1303" s="21" t="n">
        <v>0</v>
      </c>
      <c r="Q1303" s="21" t="n">
        <v>0</v>
      </c>
      <c r="R1303" s="21" t="n">
        <v>0</v>
      </c>
      <c r="S1303" s="21" t="n">
        <v>0</v>
      </c>
      <c r="T1303" s="21" t="n">
        <v>0</v>
      </c>
      <c r="U1303" s="21" t="n">
        <v>0</v>
      </c>
      <c r="V1303" s="21" t="n">
        <v>0</v>
      </c>
      <c r="W1303" s="21" t="n">
        <v>0</v>
      </c>
      <c r="X1303" s="21" t="n">
        <v>0</v>
      </c>
      <c r="Y1303" s="21" t="n">
        <v>0</v>
      </c>
      <c r="Z1303" s="21" t="n">
        <v>0</v>
      </c>
      <c r="AA1303" s="21" t="n">
        <v>0</v>
      </c>
      <c r="AB1303" s="21" t="n">
        <v>0</v>
      </c>
      <c r="AC1303" s="21" t="n">
        <v>0</v>
      </c>
      <c r="AD1303" s="21" t="n">
        <v>0</v>
      </c>
      <c r="AE1303" s="21" t="n">
        <v>0</v>
      </c>
      <c r="AF1303" s="21" t="n">
        <v>0</v>
      </c>
      <c r="AG1303" s="21" t="n">
        <v>0</v>
      </c>
      <c r="AH1303" s="21" t="n">
        <v>0</v>
      </c>
      <c r="AI1303" s="21" t="n">
        <v>0</v>
      </c>
      <c r="AJ1303" s="21" t="n">
        <v>0</v>
      </c>
      <c r="AK1303" s="21" t="n">
        <v>0</v>
      </c>
      <c r="AL1303" s="21" t="n">
        <v>0</v>
      </c>
      <c r="AM1303" s="21" t="n">
        <v>0</v>
      </c>
      <c r="AN1303" s="21">
        <f>-$B$18</f>
        <v/>
      </c>
      <c r="AO1303" s="21">
        <f>-$B$19</f>
        <v/>
      </c>
      <c r="AP1303" s="21">
        <f>2*$B$18+$D$1262</f>
        <v/>
      </c>
      <c r="AQ1303" s="21">
        <f>0</f>
        <v/>
      </c>
      <c r="AR1303" s="21">
        <f>-$B$18</f>
        <v/>
      </c>
      <c r="AS1303" s="21">
        <f>$B$19</f>
        <v/>
      </c>
      <c r="AT1303" s="19" t="n"/>
    </row>
    <row r="1304">
      <c r="D1304" s="21" t="n">
        <v>0</v>
      </c>
      <c r="E1304" s="21" t="n">
        <v>0</v>
      </c>
      <c r="F1304" s="21" t="n">
        <v>0</v>
      </c>
      <c r="G1304" s="21" t="n">
        <v>0</v>
      </c>
      <c r="H1304" s="21" t="n">
        <v>0</v>
      </c>
      <c r="I1304" s="21" t="n">
        <v>0</v>
      </c>
      <c r="J1304" s="21" t="n">
        <v>0</v>
      </c>
      <c r="K1304" s="21" t="n">
        <v>0</v>
      </c>
      <c r="L1304" s="21" t="n">
        <v>0</v>
      </c>
      <c r="M1304" s="21" t="n">
        <v>0</v>
      </c>
      <c r="N1304" s="21" t="n">
        <v>0</v>
      </c>
      <c r="O1304" s="21" t="n">
        <v>0</v>
      </c>
      <c r="P1304" s="21" t="n">
        <v>0</v>
      </c>
      <c r="Q1304" s="21" t="n">
        <v>0</v>
      </c>
      <c r="R1304" s="21" t="n">
        <v>0</v>
      </c>
      <c r="S1304" s="21" t="n">
        <v>0</v>
      </c>
      <c r="T1304" s="21" t="n">
        <v>0</v>
      </c>
      <c r="U1304" s="21" t="n">
        <v>0</v>
      </c>
      <c r="V1304" s="21" t="n">
        <v>0</v>
      </c>
      <c r="W1304" s="21" t="n">
        <v>0</v>
      </c>
      <c r="X1304" s="21" t="n">
        <v>0</v>
      </c>
      <c r="Y1304" s="21" t="n">
        <v>0</v>
      </c>
      <c r="Z1304" s="21" t="n">
        <v>0</v>
      </c>
      <c r="AA1304" s="21" t="n">
        <v>0</v>
      </c>
      <c r="AB1304" s="21" t="n">
        <v>0</v>
      </c>
      <c r="AC1304" s="21" t="n">
        <v>0</v>
      </c>
      <c r="AD1304" s="21" t="n">
        <v>0</v>
      </c>
      <c r="AE1304" s="21" t="n">
        <v>0</v>
      </c>
      <c r="AF1304" s="21" t="n">
        <v>0</v>
      </c>
      <c r="AG1304" s="21" t="n">
        <v>0</v>
      </c>
      <c r="AH1304" s="21" t="n">
        <v>0</v>
      </c>
      <c r="AI1304" s="21" t="n">
        <v>0</v>
      </c>
      <c r="AJ1304" s="21" t="n">
        <v>0</v>
      </c>
      <c r="AK1304" s="21" t="n">
        <v>0</v>
      </c>
      <c r="AL1304" s="21" t="n">
        <v>0</v>
      </c>
      <c r="AM1304" s="21" t="n">
        <v>0</v>
      </c>
      <c r="AN1304" s="21">
        <f>$B$19</f>
        <v/>
      </c>
      <c r="AO1304" s="21">
        <f>$B$21</f>
        <v/>
      </c>
      <c r="AP1304" s="21">
        <f>0</f>
        <v/>
      </c>
      <c r="AQ1304" s="21">
        <f>2*$B$20</f>
        <v/>
      </c>
      <c r="AR1304" s="21">
        <f>-$B$19</f>
        <v/>
      </c>
      <c r="AS1304" s="21">
        <f>$B$21</f>
        <v/>
      </c>
      <c r="AT1304" s="19" t="n"/>
    </row>
    <row r="1305">
      <c r="D1305" s="21" t="n">
        <v>0</v>
      </c>
      <c r="E1305" s="21" t="n">
        <v>0</v>
      </c>
      <c r="F1305" s="21" t="n">
        <v>0</v>
      </c>
      <c r="G1305" s="21" t="n">
        <v>0</v>
      </c>
      <c r="H1305" s="21" t="n">
        <v>0</v>
      </c>
      <c r="I1305" s="21" t="n">
        <v>0</v>
      </c>
      <c r="J1305" s="21" t="n">
        <v>0</v>
      </c>
      <c r="K1305" s="21" t="n">
        <v>0</v>
      </c>
      <c r="L1305" s="21" t="n">
        <v>0</v>
      </c>
      <c r="M1305" s="21" t="n">
        <v>0</v>
      </c>
      <c r="N1305" s="21" t="n">
        <v>0</v>
      </c>
      <c r="O1305" s="21" t="n">
        <v>0</v>
      </c>
      <c r="P1305" s="21" t="n">
        <v>0</v>
      </c>
      <c r="Q1305" s="21" t="n">
        <v>0</v>
      </c>
      <c r="R1305" s="21" t="n">
        <v>0</v>
      </c>
      <c r="S1305" s="21" t="n">
        <v>0</v>
      </c>
      <c r="T1305" s="21" t="n">
        <v>0</v>
      </c>
      <c r="U1305" s="21" t="n">
        <v>0</v>
      </c>
      <c r="V1305" s="21" t="n">
        <v>0</v>
      </c>
      <c r="W1305" s="21" t="n">
        <v>0</v>
      </c>
      <c r="X1305" s="21" t="n">
        <v>0</v>
      </c>
      <c r="Y1305" s="21" t="n">
        <v>0</v>
      </c>
      <c r="Z1305" s="21" t="n">
        <v>0</v>
      </c>
      <c r="AA1305" s="21" t="n">
        <v>0</v>
      </c>
      <c r="AB1305" s="21" t="n">
        <v>0</v>
      </c>
      <c r="AC1305" s="21" t="n">
        <v>0</v>
      </c>
      <c r="AD1305" s="21" t="n">
        <v>0</v>
      </c>
      <c r="AE1305" s="21" t="n">
        <v>0</v>
      </c>
      <c r="AF1305" s="21" t="n">
        <v>0</v>
      </c>
      <c r="AG1305" s="21" t="n">
        <v>0</v>
      </c>
      <c r="AH1305" s="21" t="n">
        <v>0</v>
      </c>
      <c r="AI1305" s="21" t="n">
        <v>0</v>
      </c>
      <c r="AJ1305" s="21" t="n">
        <v>0</v>
      </c>
      <c r="AK1305" s="21" t="n">
        <v>0</v>
      </c>
      <c r="AL1305" s="21" t="n">
        <v>0</v>
      </c>
      <c r="AM1305" s="21" t="n">
        <v>0</v>
      </c>
      <c r="AN1305" s="21" t="n">
        <v>0</v>
      </c>
      <c r="AO1305" s="21" t="n">
        <v>0</v>
      </c>
      <c r="AP1305" s="21">
        <f>-$B$18</f>
        <v/>
      </c>
      <c r="AQ1305" s="21">
        <f>-$B$19</f>
        <v/>
      </c>
      <c r="AR1305" s="21">
        <f>$B$18+$D$1263</f>
        <v/>
      </c>
      <c r="AS1305" s="21">
        <f>-$B$19</f>
        <v/>
      </c>
      <c r="AT1305" s="19" t="n"/>
    </row>
    <row r="1306">
      <c r="D1306" s="21" t="n">
        <v>0</v>
      </c>
      <c r="E1306" s="21" t="n">
        <v>0</v>
      </c>
      <c r="F1306" s="21" t="n">
        <v>0</v>
      </c>
      <c r="G1306" s="21" t="n">
        <v>0</v>
      </c>
      <c r="H1306" s="21" t="n">
        <v>0</v>
      </c>
      <c r="I1306" s="21" t="n">
        <v>0</v>
      </c>
      <c r="J1306" s="21" t="n">
        <v>0</v>
      </c>
      <c r="K1306" s="21" t="n">
        <v>0</v>
      </c>
      <c r="L1306" s="21" t="n">
        <v>0</v>
      </c>
      <c r="M1306" s="21" t="n">
        <v>0</v>
      </c>
      <c r="N1306" s="21" t="n">
        <v>0</v>
      </c>
      <c r="O1306" s="21" t="n">
        <v>0</v>
      </c>
      <c r="P1306" s="21" t="n">
        <v>0</v>
      </c>
      <c r="Q1306" s="21" t="n">
        <v>0</v>
      </c>
      <c r="R1306" s="21" t="n">
        <v>0</v>
      </c>
      <c r="S1306" s="21" t="n">
        <v>0</v>
      </c>
      <c r="T1306" s="21" t="n">
        <v>0</v>
      </c>
      <c r="U1306" s="21" t="n">
        <v>0</v>
      </c>
      <c r="V1306" s="21" t="n">
        <v>0</v>
      </c>
      <c r="W1306" s="21" t="n">
        <v>0</v>
      </c>
      <c r="X1306" s="21" t="n">
        <v>0</v>
      </c>
      <c r="Y1306" s="21" t="n">
        <v>0</v>
      </c>
      <c r="Z1306" s="21" t="n">
        <v>0</v>
      </c>
      <c r="AA1306" s="21" t="n">
        <v>0</v>
      </c>
      <c r="AB1306" s="21" t="n">
        <v>0</v>
      </c>
      <c r="AC1306" s="21" t="n">
        <v>0</v>
      </c>
      <c r="AD1306" s="21" t="n">
        <v>0</v>
      </c>
      <c r="AE1306" s="21" t="n">
        <v>0</v>
      </c>
      <c r="AF1306" s="21" t="n">
        <v>0</v>
      </c>
      <c r="AG1306" s="21" t="n">
        <v>0</v>
      </c>
      <c r="AH1306" s="21" t="n">
        <v>0</v>
      </c>
      <c r="AI1306" s="21" t="n">
        <v>0</v>
      </c>
      <c r="AJ1306" s="21" t="n">
        <v>0</v>
      </c>
      <c r="AK1306" s="21" t="n">
        <v>0</v>
      </c>
      <c r="AL1306" s="21" t="n">
        <v>0</v>
      </c>
      <c r="AM1306" s="21" t="n">
        <v>0</v>
      </c>
      <c r="AN1306" s="21" t="n">
        <v>0</v>
      </c>
      <c r="AO1306" s="21" t="n">
        <v>0</v>
      </c>
      <c r="AP1306" s="21">
        <f>$B$19</f>
        <v/>
      </c>
      <c r="AQ1306" s="21">
        <f>$B$21</f>
        <v/>
      </c>
      <c r="AR1306" s="21">
        <f>-$B$19</f>
        <v/>
      </c>
      <c r="AS1306" s="21">
        <f>$B$20</f>
        <v/>
      </c>
      <c r="AT1306" s="19" t="n"/>
    </row>
    <row r="1308">
      <c r="A1308" s="8" t="inlineStr">
        <is>
          <t>gen 19</t>
        </is>
      </c>
    </row>
    <row r="1309">
      <c r="D1309" s="19">
        <f>IF(ABS(IF(ABS($E$1243)&gt;0.000000001,$E$1243,0.000000001))=0,0,IF($E$33&lt;=$B$27,0,IF(ABS(IF(ABS($E$1243)&gt;0.000000001,$E$1243,0.000000001))&gt;=8*$B$29,$H$33,0.5*$H$33*(ABS(IF(ABS($E$1243)&gt;0.000000001,$E$1243,0.000000001))/$B$29)^(1/3)))/ABS(IF(ABS($E$1243)&gt;0.000000001,$E$1243,0.000000001))*$I$33)</f>
        <v/>
      </c>
      <c r="E1309" s="19">
        <f>0.5*$E$1243+0.5*$AT$1331</f>
        <v/>
      </c>
      <c r="F1309" s="19">
        <f>$AT$1332</f>
        <v/>
      </c>
    </row>
    <row r="1310">
      <c r="D1310" s="19">
        <f>IF(ABS(IF(ABS($E$1244)&gt;0.000000001,$E$1244,0.000000001))=0,0,IF($E$34&lt;=$B$27,0,IF(ABS(IF(ABS($E$1244)&gt;0.000000001,$E$1244,0.000000001))&gt;=8*$B$29,$H$34,0.5*$H$34*(ABS(IF(ABS($E$1244)&gt;0.000000001,$E$1244,0.000000001))/$B$29)^(1/3)))/ABS(IF(ABS($E$1244)&gt;0.000000001,$E$1244,0.000000001))*$I$34)</f>
        <v/>
      </c>
      <c r="E1310" s="19">
        <f>0.5*$E$1244+0.5*$AT$1333</f>
        <v/>
      </c>
      <c r="F1310" s="19">
        <f>$AT$1334</f>
        <v/>
      </c>
    </row>
    <row r="1311">
      <c r="D1311" s="19">
        <f>IF(ABS(IF(ABS($E$1245)&gt;0.000000001,$E$1245,0.000000001))=0,0,IF($E$35&lt;=$B$27,0,IF(ABS(IF(ABS($E$1245)&gt;0.000000001,$E$1245,0.000000001))&gt;=8*$B$29,$H$35,0.5*$H$35*(ABS(IF(ABS($E$1245)&gt;0.000000001,$E$1245,0.000000001))/$B$29)^(1/3)))/ABS(IF(ABS($E$1245)&gt;0.000000001,$E$1245,0.000000001))*$I$35)</f>
        <v/>
      </c>
      <c r="E1311" s="19">
        <f>0.5*$E$1245+0.5*$AT$1335</f>
        <v/>
      </c>
      <c r="F1311" s="19">
        <f>$AT$1336</f>
        <v/>
      </c>
    </row>
    <row r="1312">
      <c r="D1312" s="19">
        <f>IF(ABS(IF(ABS($E$1246)&gt;0.000000001,$E$1246,0.000000001))=0,0,IF($E$36&lt;=$B$27,0,IF(ABS(IF(ABS($E$1246)&gt;0.000000001,$E$1246,0.000000001))&gt;=8*$B$29,$H$36,0.5*$H$36*(ABS(IF(ABS($E$1246)&gt;0.000000001,$E$1246,0.000000001))/$B$29)^(1/3)))/ABS(IF(ABS($E$1246)&gt;0.000000001,$E$1246,0.000000001))*$I$36)</f>
        <v/>
      </c>
      <c r="E1312" s="19">
        <f>0.5*$E$1246+0.5*$AT$1337</f>
        <v/>
      </c>
      <c r="F1312" s="19">
        <f>$AT$1338</f>
        <v/>
      </c>
    </row>
    <row r="1313">
      <c r="D1313" s="19">
        <f>IF(ABS(IF(ABS($E$1247)&gt;0.000000001,$E$1247,0.000000001))=0,0,IF($E$37&lt;=$B$27,0,IF(ABS(IF(ABS($E$1247)&gt;0.000000001,$E$1247,0.000000001))&gt;=8*$B$29,$H$37,0.5*$H$37*(ABS(IF(ABS($E$1247)&gt;0.000000001,$E$1247,0.000000001))/$B$29)^(1/3)))/ABS(IF(ABS($E$1247)&gt;0.000000001,$E$1247,0.000000001))*$I$37)</f>
        <v/>
      </c>
      <c r="E1313" s="19">
        <f>0.5*$E$1247+0.5*$AT$1339</f>
        <v/>
      </c>
      <c r="F1313" s="19">
        <f>$AT$1340</f>
        <v/>
      </c>
    </row>
    <row r="1314">
      <c r="D1314" s="19">
        <f>IF(ABS(IF(ABS($E$1248)&gt;0.000000001,$E$1248,0.000000001))=0,0,IF($E$38&lt;=$B$27,0,IF(ABS(IF(ABS($E$1248)&gt;0.000000001,$E$1248,0.000000001))&gt;=8*$B$29,$H$38,0.5*$H$38*(ABS(IF(ABS($E$1248)&gt;0.000000001,$E$1248,0.000000001))/$B$29)^(1/3)))/ABS(IF(ABS($E$1248)&gt;0.000000001,$E$1248,0.000000001))*$I$38)</f>
        <v/>
      </c>
      <c r="E1314" s="19">
        <f>0.5*$E$1248+0.5*$AT$1341</f>
        <v/>
      </c>
      <c r="F1314" s="19">
        <f>$AT$1342</f>
        <v/>
      </c>
    </row>
    <row r="1315">
      <c r="D1315" s="19">
        <f>IF(ABS(IF(ABS($E$1249)&gt;0.000000001,$E$1249,0.000000001))=0,0,IF($E$39&lt;=$B$27,0,IF(ABS(IF(ABS($E$1249)&gt;0.000000001,$E$1249,0.000000001))&gt;=8*$B$29,$H$39,0.5*$H$39*(ABS(IF(ABS($E$1249)&gt;0.000000001,$E$1249,0.000000001))/$B$29)^(1/3)))/ABS(IF(ABS($E$1249)&gt;0.000000001,$E$1249,0.000000001))*$I$39)</f>
        <v/>
      </c>
      <c r="E1315" s="19">
        <f>0.5*$E$1249+0.5*$AT$1343</f>
        <v/>
      </c>
      <c r="F1315" s="19">
        <f>$AT$1344</f>
        <v/>
      </c>
    </row>
    <row r="1316">
      <c r="D1316" s="19">
        <f>IF(ABS(IF(ABS($E$1250)&gt;0.000000001,$E$1250,0.000000001))=0,0,IF($E$40&lt;=$B$27,0,IF(ABS(IF(ABS($E$1250)&gt;0.000000001,$E$1250,0.000000001))&gt;=8*$B$29,$H$40,0.5*$H$40*(ABS(IF(ABS($E$1250)&gt;0.000000001,$E$1250,0.000000001))/$B$29)^(1/3)))/ABS(IF(ABS($E$1250)&gt;0.000000001,$E$1250,0.000000001))*$I$40)</f>
        <v/>
      </c>
      <c r="E1316" s="19">
        <f>0.5*$E$1250+0.5*$AT$1345</f>
        <v/>
      </c>
      <c r="F1316" s="19">
        <f>$AT$1346</f>
        <v/>
      </c>
    </row>
    <row r="1317">
      <c r="D1317" s="19">
        <f>IF(ABS(IF(ABS($E$1251)&gt;0.000000001,$E$1251,0.000000001))=0,0,IF($E$41&lt;=$B$27,0,IF(ABS(IF(ABS($E$1251)&gt;0.000000001,$E$1251,0.000000001))&gt;=8*$B$29,$H$41,0.5*$H$41*(ABS(IF(ABS($E$1251)&gt;0.000000001,$E$1251,0.000000001))/$B$29)^(1/3)))/ABS(IF(ABS($E$1251)&gt;0.000000001,$E$1251,0.000000001))*$I$41)</f>
        <v/>
      </c>
      <c r="E1317" s="19">
        <f>0.5*$E$1251+0.5*$AT$1347</f>
        <v/>
      </c>
      <c r="F1317" s="19">
        <f>$AT$1348</f>
        <v/>
      </c>
    </row>
    <row r="1318">
      <c r="D1318" s="19">
        <f>IF(ABS(IF(ABS($E$1252)&gt;0.000000001,$E$1252,0.000000001))=0,0,IF($E$42&lt;=$B$27,0,IF(ABS(IF(ABS($E$1252)&gt;0.000000001,$E$1252,0.000000001))&gt;=8*$B$29,$H$42,0.5*$H$42*(ABS(IF(ABS($E$1252)&gt;0.000000001,$E$1252,0.000000001))/$B$29)^(1/3)))/ABS(IF(ABS($E$1252)&gt;0.000000001,$E$1252,0.000000001))*$I$42)</f>
        <v/>
      </c>
      <c r="E1318" s="19">
        <f>0.5*$E$1252+0.5*$AT$1349</f>
        <v/>
      </c>
      <c r="F1318" s="19">
        <f>$AT$1350</f>
        <v/>
      </c>
    </row>
    <row r="1319">
      <c r="D1319" s="19">
        <f>IF(ABS(IF(ABS($E$1253)&gt;0.000000001,$E$1253,0.000000001))=0,0,IF($E$43&lt;=$B$27,0,IF(ABS(IF(ABS($E$1253)&gt;0.000000001,$E$1253,0.000000001))&gt;=8*$B$29,$H$43,0.5*$H$43*(ABS(IF(ABS($E$1253)&gt;0.000000001,$E$1253,0.000000001))/$B$29)^(1/3)))/ABS(IF(ABS($E$1253)&gt;0.000000001,$E$1253,0.000000001))*$I$43)</f>
        <v/>
      </c>
      <c r="E1319" s="19">
        <f>0.5*$E$1253+0.5*$AT$1351</f>
        <v/>
      </c>
      <c r="F1319" s="19">
        <f>$AT$1352</f>
        <v/>
      </c>
    </row>
    <row r="1320">
      <c r="D1320" s="19">
        <f>IF(ABS(IF(ABS($E$1254)&gt;0.000000001,$E$1254,0.000000001))=0,0,IF($E$44&lt;=$B$27,0,IF(ABS(IF(ABS($E$1254)&gt;0.000000001,$E$1254,0.000000001))&gt;=8*$B$29,$H$44,0.5*$H$44*(ABS(IF(ABS($E$1254)&gt;0.000000001,$E$1254,0.000000001))/$B$29)^(1/3)))/ABS(IF(ABS($E$1254)&gt;0.000000001,$E$1254,0.000000001))*$I$44)</f>
        <v/>
      </c>
      <c r="E1320" s="19">
        <f>0.5*$E$1254+0.5*$AT$1353</f>
        <v/>
      </c>
      <c r="F1320" s="19">
        <f>$AT$1354</f>
        <v/>
      </c>
    </row>
    <row r="1321">
      <c r="D1321" s="19">
        <f>IF(ABS(IF(ABS($E$1255)&gt;0.000000001,$E$1255,0.000000001))=0,0,IF($E$45&lt;=$B$27,0,IF(ABS(IF(ABS($E$1255)&gt;0.000000001,$E$1255,0.000000001))&gt;=8*$B$29,$H$45,0.5*$H$45*(ABS(IF(ABS($E$1255)&gt;0.000000001,$E$1255,0.000000001))/$B$29)^(1/3)))/ABS(IF(ABS($E$1255)&gt;0.000000001,$E$1255,0.000000001))*$I$45)</f>
        <v/>
      </c>
      <c r="E1321" s="19">
        <f>0.5*$E$1255+0.5*$AT$1355</f>
        <v/>
      </c>
      <c r="F1321" s="19">
        <f>$AT$1356</f>
        <v/>
      </c>
    </row>
    <row r="1322">
      <c r="D1322" s="19">
        <f>IF(ABS(IF(ABS($E$1256)&gt;0.000000001,$E$1256,0.000000001))=0,0,IF($E$46&lt;=$B$27,0,IF(ABS(IF(ABS($E$1256)&gt;0.000000001,$E$1256,0.000000001))&gt;=8*$B$29,$H$46,0.5*$H$46*(ABS(IF(ABS($E$1256)&gt;0.000000001,$E$1256,0.000000001))/$B$29)^(1/3)))/ABS(IF(ABS($E$1256)&gt;0.000000001,$E$1256,0.000000001))*$I$46)</f>
        <v/>
      </c>
      <c r="E1322" s="19">
        <f>0.5*$E$1256+0.5*$AT$1357</f>
        <v/>
      </c>
      <c r="F1322" s="19">
        <f>$AT$1358</f>
        <v/>
      </c>
    </row>
    <row r="1323">
      <c r="D1323" s="19">
        <f>IF(ABS(IF(ABS($E$1257)&gt;0.000000001,$E$1257,0.000000001))=0,0,IF($E$47&lt;=$B$27,0,IF(ABS(IF(ABS($E$1257)&gt;0.000000001,$E$1257,0.000000001))&gt;=8*$B$29,$H$47,0.5*$H$47*(ABS(IF(ABS($E$1257)&gt;0.000000001,$E$1257,0.000000001))/$B$29)^(1/3)))/ABS(IF(ABS($E$1257)&gt;0.000000001,$E$1257,0.000000001))*$I$47)</f>
        <v/>
      </c>
      <c r="E1323" s="19">
        <f>0.5*$E$1257+0.5*$AT$1359</f>
        <v/>
      </c>
      <c r="F1323" s="19">
        <f>$AT$1360</f>
        <v/>
      </c>
    </row>
    <row r="1324">
      <c r="D1324" s="19">
        <f>IF(ABS(IF(ABS($E$1258)&gt;0.000000001,$E$1258,0.000000001))=0,0,IF($E$48&lt;=$B$27,0,IF(ABS(IF(ABS($E$1258)&gt;0.000000001,$E$1258,0.000000001))&gt;=8*$B$29,$H$48,0.5*$H$48*(ABS(IF(ABS($E$1258)&gt;0.000000001,$E$1258,0.000000001))/$B$29)^(1/3)))/ABS(IF(ABS($E$1258)&gt;0.000000001,$E$1258,0.000000001))*$I$48)</f>
        <v/>
      </c>
      <c r="E1324" s="19">
        <f>0.5*$E$1258+0.5*$AT$1361</f>
        <v/>
      </c>
      <c r="F1324" s="19">
        <f>$AT$1362</f>
        <v/>
      </c>
    </row>
    <row r="1325">
      <c r="D1325" s="19">
        <f>IF(ABS(IF(ABS($E$1259)&gt;0.000000001,$E$1259,0.000000001))=0,0,IF($E$49&lt;=$B$27,0,IF(ABS(IF(ABS($E$1259)&gt;0.000000001,$E$1259,0.000000001))&gt;=8*$B$29,$H$49,0.5*$H$49*(ABS(IF(ABS($E$1259)&gt;0.000000001,$E$1259,0.000000001))/$B$29)^(1/3)))/ABS(IF(ABS($E$1259)&gt;0.000000001,$E$1259,0.000000001))*$I$49)</f>
        <v/>
      </c>
      <c r="E1325" s="19">
        <f>0.5*$E$1259+0.5*$AT$1363</f>
        <v/>
      </c>
      <c r="F1325" s="19">
        <f>$AT$1364</f>
        <v/>
      </c>
    </row>
    <row r="1326">
      <c r="D1326" s="19">
        <f>IF(ABS(IF(ABS($E$1260)&gt;0.000000001,$E$1260,0.000000001))=0,0,IF($E$50&lt;=$B$27,0,IF(ABS(IF(ABS($E$1260)&gt;0.000000001,$E$1260,0.000000001))&gt;=8*$B$29,$H$50,0.5*$H$50*(ABS(IF(ABS($E$1260)&gt;0.000000001,$E$1260,0.000000001))/$B$29)^(1/3)))/ABS(IF(ABS($E$1260)&gt;0.000000001,$E$1260,0.000000001))*$I$50)</f>
        <v/>
      </c>
      <c r="E1326" s="19">
        <f>0.5*$E$1260+0.5*$AT$1365</f>
        <v/>
      </c>
      <c r="F1326" s="19">
        <f>$AT$1366</f>
        <v/>
      </c>
    </row>
    <row r="1327">
      <c r="D1327" s="19">
        <f>IF(ABS(IF(ABS($E$1261)&gt;0.000000001,$E$1261,0.000000001))=0,0,IF($E$51&lt;=$B$27,0,IF(ABS(IF(ABS($E$1261)&gt;0.000000001,$E$1261,0.000000001))&gt;=8*$B$29,$H$51,0.5*$H$51*(ABS(IF(ABS($E$1261)&gt;0.000000001,$E$1261,0.000000001))/$B$29)^(1/3)))/ABS(IF(ABS($E$1261)&gt;0.000000001,$E$1261,0.000000001))*$I$51)</f>
        <v/>
      </c>
      <c r="E1327" s="19">
        <f>0.5*$E$1261+0.5*$AT$1367</f>
        <v/>
      </c>
      <c r="F1327" s="19">
        <f>$AT$1368</f>
        <v/>
      </c>
    </row>
    <row r="1328">
      <c r="D1328" s="19">
        <f>IF(ABS(IF(ABS($E$1262)&gt;0.000000001,$E$1262,0.000000001))=0,0,IF($E$52&lt;=$B$27,0,IF(ABS(IF(ABS($E$1262)&gt;0.000000001,$E$1262,0.000000001))&gt;=8*$B$29,$H$52,0.5*$H$52*(ABS(IF(ABS($E$1262)&gt;0.000000001,$E$1262,0.000000001))/$B$29)^(1/3)))/ABS(IF(ABS($E$1262)&gt;0.000000001,$E$1262,0.000000001))*$I$52)</f>
        <v/>
      </c>
      <c r="E1328" s="19">
        <f>0.5*$E$1262+0.5*$AT$1369</f>
        <v/>
      </c>
      <c r="F1328" s="19">
        <f>$AT$1370</f>
        <v/>
      </c>
    </row>
    <row r="1329">
      <c r="D1329" s="19">
        <f>IF(ABS(IF(ABS($E$1263)&gt;0.000000001,$E$1263,0.000000001))=0,0,IF($E$53&lt;=$B$27,0,IF(ABS(IF(ABS($E$1263)&gt;0.000000001,$E$1263,0.000000001))&gt;=8*$B$29,$H$53,0.5*$H$53*(ABS(IF(ABS($E$1263)&gt;0.000000001,$E$1263,0.000000001))/$B$29)^(1/3)))/ABS(IF(ABS($E$1263)&gt;0.000000001,$E$1263,0.000000001))*$I$53)</f>
        <v/>
      </c>
      <c r="E1329" s="19">
        <f>0.5*$E$1263+0.5*$AT$1371</f>
        <v/>
      </c>
      <c r="F1329" s="19">
        <f>$AT$1372</f>
        <v/>
      </c>
    </row>
    <row r="1331">
      <c r="D1331" s="21">
        <f>$B$18+$D$1309</f>
        <v/>
      </c>
      <c r="E1331" s="21">
        <f>$B$19</f>
        <v/>
      </c>
      <c r="F1331" s="21">
        <f>-$B$18</f>
        <v/>
      </c>
      <c r="G1331" s="21">
        <f>$B$19</f>
        <v/>
      </c>
      <c r="H1331" s="21" t="n">
        <v>0</v>
      </c>
      <c r="I1331" s="21" t="n">
        <v>0</v>
      </c>
      <c r="J1331" s="21" t="n">
        <v>0</v>
      </c>
      <c r="K1331" s="21" t="n">
        <v>0</v>
      </c>
      <c r="L1331" s="21" t="n">
        <v>0</v>
      </c>
      <c r="M1331" s="21" t="n">
        <v>0</v>
      </c>
      <c r="N1331" s="21" t="n">
        <v>0</v>
      </c>
      <c r="O1331" s="21" t="n">
        <v>0</v>
      </c>
      <c r="P1331" s="21" t="n">
        <v>0</v>
      </c>
      <c r="Q1331" s="21" t="n">
        <v>0</v>
      </c>
      <c r="R1331" s="21" t="n">
        <v>0</v>
      </c>
      <c r="S1331" s="21" t="n">
        <v>0</v>
      </c>
      <c r="T1331" s="21" t="n">
        <v>0</v>
      </c>
      <c r="U1331" s="21" t="n">
        <v>0</v>
      </c>
      <c r="V1331" s="21" t="n">
        <v>0</v>
      </c>
      <c r="W1331" s="21" t="n">
        <v>0</v>
      </c>
      <c r="X1331" s="21" t="n">
        <v>0</v>
      </c>
      <c r="Y1331" s="21" t="n">
        <v>0</v>
      </c>
      <c r="Z1331" s="21" t="n">
        <v>0</v>
      </c>
      <c r="AA1331" s="21" t="n">
        <v>0</v>
      </c>
      <c r="AB1331" s="21" t="n">
        <v>0</v>
      </c>
      <c r="AC1331" s="21" t="n">
        <v>0</v>
      </c>
      <c r="AD1331" s="21" t="n">
        <v>0</v>
      </c>
      <c r="AE1331" s="21" t="n">
        <v>0</v>
      </c>
      <c r="AF1331" s="21" t="n">
        <v>0</v>
      </c>
      <c r="AG1331" s="21" t="n">
        <v>0</v>
      </c>
      <c r="AH1331" s="21" t="n">
        <v>0</v>
      </c>
      <c r="AI1331" s="21" t="n">
        <v>0</v>
      </c>
      <c r="AJ1331" s="21" t="n">
        <v>0</v>
      </c>
      <c r="AK1331" s="21" t="n">
        <v>0</v>
      </c>
      <c r="AL1331" s="21" t="n">
        <v>0</v>
      </c>
      <c r="AM1331" s="21" t="n">
        <v>0</v>
      </c>
      <c r="AN1331" s="21" t="n">
        <v>0</v>
      </c>
      <c r="AO1331" s="21" t="n">
        <v>0</v>
      </c>
      <c r="AP1331" s="21" t="n">
        <v>0</v>
      </c>
      <c r="AQ1331" s="21" t="n">
        <v>0</v>
      </c>
      <c r="AR1331" s="21" t="n">
        <v>0</v>
      </c>
      <c r="AS1331" s="21" t="n">
        <v>0</v>
      </c>
      <c r="AT1331" s="19">
        <f t="array" ref="AT1331:AT1372">MMULT(MINVERSE($D$1331:$AS$1372),$D$55:$D$96)</f>
        <v/>
      </c>
    </row>
    <row r="1332">
      <c r="D1332" s="21">
        <f>$B$19</f>
        <v/>
      </c>
      <c r="E1332" s="21">
        <f>$B$20</f>
        <v/>
      </c>
      <c r="F1332" s="21">
        <f>-$B$19</f>
        <v/>
      </c>
      <c r="G1332" s="21">
        <f>$B$21</f>
        <v/>
      </c>
      <c r="H1332" s="21" t="n">
        <v>0</v>
      </c>
      <c r="I1332" s="21" t="n">
        <v>0</v>
      </c>
      <c r="J1332" s="21" t="n">
        <v>0</v>
      </c>
      <c r="K1332" s="21" t="n">
        <v>0</v>
      </c>
      <c r="L1332" s="21" t="n">
        <v>0</v>
      </c>
      <c r="M1332" s="21" t="n">
        <v>0</v>
      </c>
      <c r="N1332" s="21" t="n">
        <v>0</v>
      </c>
      <c r="O1332" s="21" t="n">
        <v>0</v>
      </c>
      <c r="P1332" s="21" t="n">
        <v>0</v>
      </c>
      <c r="Q1332" s="21" t="n">
        <v>0</v>
      </c>
      <c r="R1332" s="21" t="n">
        <v>0</v>
      </c>
      <c r="S1332" s="21" t="n">
        <v>0</v>
      </c>
      <c r="T1332" s="21" t="n">
        <v>0</v>
      </c>
      <c r="U1332" s="21" t="n">
        <v>0</v>
      </c>
      <c r="V1332" s="21" t="n">
        <v>0</v>
      </c>
      <c r="W1332" s="21" t="n">
        <v>0</v>
      </c>
      <c r="X1332" s="21" t="n">
        <v>0</v>
      </c>
      <c r="Y1332" s="21" t="n">
        <v>0</v>
      </c>
      <c r="Z1332" s="21" t="n">
        <v>0</v>
      </c>
      <c r="AA1332" s="21" t="n">
        <v>0</v>
      </c>
      <c r="AB1332" s="21" t="n">
        <v>0</v>
      </c>
      <c r="AC1332" s="21" t="n">
        <v>0</v>
      </c>
      <c r="AD1332" s="21" t="n">
        <v>0</v>
      </c>
      <c r="AE1332" s="21" t="n">
        <v>0</v>
      </c>
      <c r="AF1332" s="21" t="n">
        <v>0</v>
      </c>
      <c r="AG1332" s="21" t="n">
        <v>0</v>
      </c>
      <c r="AH1332" s="21" t="n">
        <v>0</v>
      </c>
      <c r="AI1332" s="21" t="n">
        <v>0</v>
      </c>
      <c r="AJ1332" s="21" t="n">
        <v>0</v>
      </c>
      <c r="AK1332" s="21" t="n">
        <v>0</v>
      </c>
      <c r="AL1332" s="21" t="n">
        <v>0</v>
      </c>
      <c r="AM1332" s="21" t="n">
        <v>0</v>
      </c>
      <c r="AN1332" s="21" t="n">
        <v>0</v>
      </c>
      <c r="AO1332" s="21" t="n">
        <v>0</v>
      </c>
      <c r="AP1332" s="21" t="n">
        <v>0</v>
      </c>
      <c r="AQ1332" s="21" t="n">
        <v>0</v>
      </c>
      <c r="AR1332" s="21" t="n">
        <v>0</v>
      </c>
      <c r="AS1332" s="21" t="n">
        <v>0</v>
      </c>
      <c r="AT1332" s="19" t="n"/>
    </row>
    <row r="1333">
      <c r="D1333" s="21">
        <f>-$B$18</f>
        <v/>
      </c>
      <c r="E1333" s="21">
        <f>-$B$19</f>
        <v/>
      </c>
      <c r="F1333" s="21">
        <f>2*$B$18+$D$1310</f>
        <v/>
      </c>
      <c r="G1333" s="21">
        <f>0</f>
        <v/>
      </c>
      <c r="H1333" s="21">
        <f>-$B$18</f>
        <v/>
      </c>
      <c r="I1333" s="21">
        <f>$B$19</f>
        <v/>
      </c>
      <c r="J1333" s="21" t="n">
        <v>0</v>
      </c>
      <c r="K1333" s="21" t="n">
        <v>0</v>
      </c>
      <c r="L1333" s="21" t="n">
        <v>0</v>
      </c>
      <c r="M1333" s="21" t="n">
        <v>0</v>
      </c>
      <c r="N1333" s="21" t="n">
        <v>0</v>
      </c>
      <c r="O1333" s="21" t="n">
        <v>0</v>
      </c>
      <c r="P1333" s="21" t="n">
        <v>0</v>
      </c>
      <c r="Q1333" s="21" t="n">
        <v>0</v>
      </c>
      <c r="R1333" s="21" t="n">
        <v>0</v>
      </c>
      <c r="S1333" s="21" t="n">
        <v>0</v>
      </c>
      <c r="T1333" s="21" t="n">
        <v>0</v>
      </c>
      <c r="U1333" s="21" t="n">
        <v>0</v>
      </c>
      <c r="V1333" s="21" t="n">
        <v>0</v>
      </c>
      <c r="W1333" s="21" t="n">
        <v>0</v>
      </c>
      <c r="X1333" s="21" t="n">
        <v>0</v>
      </c>
      <c r="Y1333" s="21" t="n">
        <v>0</v>
      </c>
      <c r="Z1333" s="21" t="n">
        <v>0</v>
      </c>
      <c r="AA1333" s="21" t="n">
        <v>0</v>
      </c>
      <c r="AB1333" s="21" t="n">
        <v>0</v>
      </c>
      <c r="AC1333" s="21" t="n">
        <v>0</v>
      </c>
      <c r="AD1333" s="21" t="n">
        <v>0</v>
      </c>
      <c r="AE1333" s="21" t="n">
        <v>0</v>
      </c>
      <c r="AF1333" s="21" t="n">
        <v>0</v>
      </c>
      <c r="AG1333" s="21" t="n">
        <v>0</v>
      </c>
      <c r="AH1333" s="21" t="n">
        <v>0</v>
      </c>
      <c r="AI1333" s="21" t="n">
        <v>0</v>
      </c>
      <c r="AJ1333" s="21" t="n">
        <v>0</v>
      </c>
      <c r="AK1333" s="21" t="n">
        <v>0</v>
      </c>
      <c r="AL1333" s="21" t="n">
        <v>0</v>
      </c>
      <c r="AM1333" s="21" t="n">
        <v>0</v>
      </c>
      <c r="AN1333" s="21" t="n">
        <v>0</v>
      </c>
      <c r="AO1333" s="21" t="n">
        <v>0</v>
      </c>
      <c r="AP1333" s="21" t="n">
        <v>0</v>
      </c>
      <c r="AQ1333" s="21" t="n">
        <v>0</v>
      </c>
      <c r="AR1333" s="21" t="n">
        <v>0</v>
      </c>
      <c r="AS1333" s="21" t="n">
        <v>0</v>
      </c>
      <c r="AT1333" s="19" t="n"/>
    </row>
    <row r="1334">
      <c r="D1334" s="21">
        <f>$B$19</f>
        <v/>
      </c>
      <c r="E1334" s="21">
        <f>$B$21</f>
        <v/>
      </c>
      <c r="F1334" s="21">
        <f>0</f>
        <v/>
      </c>
      <c r="G1334" s="21">
        <f>2*$B$20</f>
        <v/>
      </c>
      <c r="H1334" s="21">
        <f>-$B$19</f>
        <v/>
      </c>
      <c r="I1334" s="21">
        <f>$B$21</f>
        <v/>
      </c>
      <c r="J1334" s="21" t="n">
        <v>0</v>
      </c>
      <c r="K1334" s="21" t="n">
        <v>0</v>
      </c>
      <c r="L1334" s="21" t="n">
        <v>0</v>
      </c>
      <c r="M1334" s="21" t="n">
        <v>0</v>
      </c>
      <c r="N1334" s="21" t="n">
        <v>0</v>
      </c>
      <c r="O1334" s="21" t="n">
        <v>0</v>
      </c>
      <c r="P1334" s="21" t="n">
        <v>0</v>
      </c>
      <c r="Q1334" s="21" t="n">
        <v>0</v>
      </c>
      <c r="R1334" s="21" t="n">
        <v>0</v>
      </c>
      <c r="S1334" s="21" t="n">
        <v>0</v>
      </c>
      <c r="T1334" s="21" t="n">
        <v>0</v>
      </c>
      <c r="U1334" s="21" t="n">
        <v>0</v>
      </c>
      <c r="V1334" s="21" t="n">
        <v>0</v>
      </c>
      <c r="W1334" s="21" t="n">
        <v>0</v>
      </c>
      <c r="X1334" s="21" t="n">
        <v>0</v>
      </c>
      <c r="Y1334" s="21" t="n">
        <v>0</v>
      </c>
      <c r="Z1334" s="21" t="n">
        <v>0</v>
      </c>
      <c r="AA1334" s="21" t="n">
        <v>0</v>
      </c>
      <c r="AB1334" s="21" t="n">
        <v>0</v>
      </c>
      <c r="AC1334" s="21" t="n">
        <v>0</v>
      </c>
      <c r="AD1334" s="21" t="n">
        <v>0</v>
      </c>
      <c r="AE1334" s="21" t="n">
        <v>0</v>
      </c>
      <c r="AF1334" s="21" t="n">
        <v>0</v>
      </c>
      <c r="AG1334" s="21" t="n">
        <v>0</v>
      </c>
      <c r="AH1334" s="21" t="n">
        <v>0</v>
      </c>
      <c r="AI1334" s="21" t="n">
        <v>0</v>
      </c>
      <c r="AJ1334" s="21" t="n">
        <v>0</v>
      </c>
      <c r="AK1334" s="21" t="n">
        <v>0</v>
      </c>
      <c r="AL1334" s="21" t="n">
        <v>0</v>
      </c>
      <c r="AM1334" s="21" t="n">
        <v>0</v>
      </c>
      <c r="AN1334" s="21" t="n">
        <v>0</v>
      </c>
      <c r="AO1334" s="21" t="n">
        <v>0</v>
      </c>
      <c r="AP1334" s="21" t="n">
        <v>0</v>
      </c>
      <c r="AQ1334" s="21" t="n">
        <v>0</v>
      </c>
      <c r="AR1334" s="21" t="n">
        <v>0</v>
      </c>
      <c r="AS1334" s="21" t="n">
        <v>0</v>
      </c>
      <c r="AT1334" s="19" t="n"/>
    </row>
    <row r="1335">
      <c r="D1335" s="21" t="n">
        <v>0</v>
      </c>
      <c r="E1335" s="21" t="n">
        <v>0</v>
      </c>
      <c r="F1335" s="21">
        <f>-$B$18</f>
        <v/>
      </c>
      <c r="G1335" s="21">
        <f>-$B$19</f>
        <v/>
      </c>
      <c r="H1335" s="21">
        <f>2*$B$18+$D$1311</f>
        <v/>
      </c>
      <c r="I1335" s="21">
        <f>0</f>
        <v/>
      </c>
      <c r="J1335" s="21">
        <f>-$B$18</f>
        <v/>
      </c>
      <c r="K1335" s="21">
        <f>$B$19</f>
        <v/>
      </c>
      <c r="L1335" s="21" t="n">
        <v>0</v>
      </c>
      <c r="M1335" s="21" t="n">
        <v>0</v>
      </c>
      <c r="N1335" s="21" t="n">
        <v>0</v>
      </c>
      <c r="O1335" s="21" t="n">
        <v>0</v>
      </c>
      <c r="P1335" s="21" t="n">
        <v>0</v>
      </c>
      <c r="Q1335" s="21" t="n">
        <v>0</v>
      </c>
      <c r="R1335" s="21" t="n">
        <v>0</v>
      </c>
      <c r="S1335" s="21" t="n">
        <v>0</v>
      </c>
      <c r="T1335" s="21" t="n">
        <v>0</v>
      </c>
      <c r="U1335" s="21" t="n">
        <v>0</v>
      </c>
      <c r="V1335" s="21" t="n">
        <v>0</v>
      </c>
      <c r="W1335" s="21" t="n">
        <v>0</v>
      </c>
      <c r="X1335" s="21" t="n">
        <v>0</v>
      </c>
      <c r="Y1335" s="21" t="n">
        <v>0</v>
      </c>
      <c r="Z1335" s="21" t="n">
        <v>0</v>
      </c>
      <c r="AA1335" s="21" t="n">
        <v>0</v>
      </c>
      <c r="AB1335" s="21" t="n">
        <v>0</v>
      </c>
      <c r="AC1335" s="21" t="n">
        <v>0</v>
      </c>
      <c r="AD1335" s="21" t="n">
        <v>0</v>
      </c>
      <c r="AE1335" s="21" t="n">
        <v>0</v>
      </c>
      <c r="AF1335" s="21" t="n">
        <v>0</v>
      </c>
      <c r="AG1335" s="21" t="n">
        <v>0</v>
      </c>
      <c r="AH1335" s="21" t="n">
        <v>0</v>
      </c>
      <c r="AI1335" s="21" t="n">
        <v>0</v>
      </c>
      <c r="AJ1335" s="21" t="n">
        <v>0</v>
      </c>
      <c r="AK1335" s="21" t="n">
        <v>0</v>
      </c>
      <c r="AL1335" s="21" t="n">
        <v>0</v>
      </c>
      <c r="AM1335" s="21" t="n">
        <v>0</v>
      </c>
      <c r="AN1335" s="21" t="n">
        <v>0</v>
      </c>
      <c r="AO1335" s="21" t="n">
        <v>0</v>
      </c>
      <c r="AP1335" s="21" t="n">
        <v>0</v>
      </c>
      <c r="AQ1335" s="21" t="n">
        <v>0</v>
      </c>
      <c r="AR1335" s="21" t="n">
        <v>0</v>
      </c>
      <c r="AS1335" s="21" t="n">
        <v>0</v>
      </c>
      <c r="AT1335" s="19" t="n"/>
    </row>
    <row r="1336">
      <c r="D1336" s="21" t="n">
        <v>0</v>
      </c>
      <c r="E1336" s="21" t="n">
        <v>0</v>
      </c>
      <c r="F1336" s="21">
        <f>$B$19</f>
        <v/>
      </c>
      <c r="G1336" s="21">
        <f>$B$21</f>
        <v/>
      </c>
      <c r="H1336" s="21">
        <f>0</f>
        <v/>
      </c>
      <c r="I1336" s="21">
        <f>2*$B$20</f>
        <v/>
      </c>
      <c r="J1336" s="21">
        <f>-$B$19</f>
        <v/>
      </c>
      <c r="K1336" s="21">
        <f>$B$21</f>
        <v/>
      </c>
      <c r="L1336" s="21" t="n">
        <v>0</v>
      </c>
      <c r="M1336" s="21" t="n">
        <v>0</v>
      </c>
      <c r="N1336" s="21" t="n">
        <v>0</v>
      </c>
      <c r="O1336" s="21" t="n">
        <v>0</v>
      </c>
      <c r="P1336" s="21" t="n">
        <v>0</v>
      </c>
      <c r="Q1336" s="21" t="n">
        <v>0</v>
      </c>
      <c r="R1336" s="21" t="n">
        <v>0</v>
      </c>
      <c r="S1336" s="21" t="n">
        <v>0</v>
      </c>
      <c r="T1336" s="21" t="n">
        <v>0</v>
      </c>
      <c r="U1336" s="21" t="n">
        <v>0</v>
      </c>
      <c r="V1336" s="21" t="n">
        <v>0</v>
      </c>
      <c r="W1336" s="21" t="n">
        <v>0</v>
      </c>
      <c r="X1336" s="21" t="n">
        <v>0</v>
      </c>
      <c r="Y1336" s="21" t="n">
        <v>0</v>
      </c>
      <c r="Z1336" s="21" t="n">
        <v>0</v>
      </c>
      <c r="AA1336" s="21" t="n">
        <v>0</v>
      </c>
      <c r="AB1336" s="21" t="n">
        <v>0</v>
      </c>
      <c r="AC1336" s="21" t="n">
        <v>0</v>
      </c>
      <c r="AD1336" s="21" t="n">
        <v>0</v>
      </c>
      <c r="AE1336" s="21" t="n">
        <v>0</v>
      </c>
      <c r="AF1336" s="21" t="n">
        <v>0</v>
      </c>
      <c r="AG1336" s="21" t="n">
        <v>0</v>
      </c>
      <c r="AH1336" s="21" t="n">
        <v>0</v>
      </c>
      <c r="AI1336" s="21" t="n">
        <v>0</v>
      </c>
      <c r="AJ1336" s="21" t="n">
        <v>0</v>
      </c>
      <c r="AK1336" s="21" t="n">
        <v>0</v>
      </c>
      <c r="AL1336" s="21" t="n">
        <v>0</v>
      </c>
      <c r="AM1336" s="21" t="n">
        <v>0</v>
      </c>
      <c r="AN1336" s="21" t="n">
        <v>0</v>
      </c>
      <c r="AO1336" s="21" t="n">
        <v>0</v>
      </c>
      <c r="AP1336" s="21" t="n">
        <v>0</v>
      </c>
      <c r="AQ1336" s="21" t="n">
        <v>0</v>
      </c>
      <c r="AR1336" s="21" t="n">
        <v>0</v>
      </c>
      <c r="AS1336" s="21" t="n">
        <v>0</v>
      </c>
      <c r="AT1336" s="19" t="n"/>
    </row>
    <row r="1337">
      <c r="D1337" s="21" t="n">
        <v>0</v>
      </c>
      <c r="E1337" s="21" t="n">
        <v>0</v>
      </c>
      <c r="F1337" s="21" t="n">
        <v>0</v>
      </c>
      <c r="G1337" s="21" t="n">
        <v>0</v>
      </c>
      <c r="H1337" s="21">
        <f>-$B$18</f>
        <v/>
      </c>
      <c r="I1337" s="21">
        <f>-$B$19</f>
        <v/>
      </c>
      <c r="J1337" s="21">
        <f>2*$B$18+$D$1312</f>
        <v/>
      </c>
      <c r="K1337" s="21">
        <f>0</f>
        <v/>
      </c>
      <c r="L1337" s="21">
        <f>-$B$18</f>
        <v/>
      </c>
      <c r="M1337" s="21">
        <f>$B$19</f>
        <v/>
      </c>
      <c r="N1337" s="21" t="n">
        <v>0</v>
      </c>
      <c r="O1337" s="21" t="n">
        <v>0</v>
      </c>
      <c r="P1337" s="21" t="n">
        <v>0</v>
      </c>
      <c r="Q1337" s="21" t="n">
        <v>0</v>
      </c>
      <c r="R1337" s="21" t="n">
        <v>0</v>
      </c>
      <c r="S1337" s="21" t="n">
        <v>0</v>
      </c>
      <c r="T1337" s="21" t="n">
        <v>0</v>
      </c>
      <c r="U1337" s="21" t="n">
        <v>0</v>
      </c>
      <c r="V1337" s="21" t="n">
        <v>0</v>
      </c>
      <c r="W1337" s="21" t="n">
        <v>0</v>
      </c>
      <c r="X1337" s="21" t="n">
        <v>0</v>
      </c>
      <c r="Y1337" s="21" t="n">
        <v>0</v>
      </c>
      <c r="Z1337" s="21" t="n">
        <v>0</v>
      </c>
      <c r="AA1337" s="21" t="n">
        <v>0</v>
      </c>
      <c r="AB1337" s="21" t="n">
        <v>0</v>
      </c>
      <c r="AC1337" s="21" t="n">
        <v>0</v>
      </c>
      <c r="AD1337" s="21" t="n">
        <v>0</v>
      </c>
      <c r="AE1337" s="21" t="n">
        <v>0</v>
      </c>
      <c r="AF1337" s="21" t="n">
        <v>0</v>
      </c>
      <c r="AG1337" s="21" t="n">
        <v>0</v>
      </c>
      <c r="AH1337" s="21" t="n">
        <v>0</v>
      </c>
      <c r="AI1337" s="21" t="n">
        <v>0</v>
      </c>
      <c r="AJ1337" s="21" t="n">
        <v>0</v>
      </c>
      <c r="AK1337" s="21" t="n">
        <v>0</v>
      </c>
      <c r="AL1337" s="21" t="n">
        <v>0</v>
      </c>
      <c r="AM1337" s="21" t="n">
        <v>0</v>
      </c>
      <c r="AN1337" s="21" t="n">
        <v>0</v>
      </c>
      <c r="AO1337" s="21" t="n">
        <v>0</v>
      </c>
      <c r="AP1337" s="21" t="n">
        <v>0</v>
      </c>
      <c r="AQ1337" s="21" t="n">
        <v>0</v>
      </c>
      <c r="AR1337" s="21" t="n">
        <v>0</v>
      </c>
      <c r="AS1337" s="21" t="n">
        <v>0</v>
      </c>
      <c r="AT1337" s="19" t="n"/>
    </row>
    <row r="1338">
      <c r="D1338" s="21" t="n">
        <v>0</v>
      </c>
      <c r="E1338" s="21" t="n">
        <v>0</v>
      </c>
      <c r="F1338" s="21" t="n">
        <v>0</v>
      </c>
      <c r="G1338" s="21" t="n">
        <v>0</v>
      </c>
      <c r="H1338" s="21">
        <f>$B$19</f>
        <v/>
      </c>
      <c r="I1338" s="21">
        <f>$B$21</f>
        <v/>
      </c>
      <c r="J1338" s="21">
        <f>0</f>
        <v/>
      </c>
      <c r="K1338" s="21">
        <f>2*$B$20</f>
        <v/>
      </c>
      <c r="L1338" s="21">
        <f>-$B$19</f>
        <v/>
      </c>
      <c r="M1338" s="21">
        <f>$B$21</f>
        <v/>
      </c>
      <c r="N1338" s="21" t="n">
        <v>0</v>
      </c>
      <c r="O1338" s="21" t="n">
        <v>0</v>
      </c>
      <c r="P1338" s="21" t="n">
        <v>0</v>
      </c>
      <c r="Q1338" s="21" t="n">
        <v>0</v>
      </c>
      <c r="R1338" s="21" t="n">
        <v>0</v>
      </c>
      <c r="S1338" s="21" t="n">
        <v>0</v>
      </c>
      <c r="T1338" s="21" t="n">
        <v>0</v>
      </c>
      <c r="U1338" s="21" t="n">
        <v>0</v>
      </c>
      <c r="V1338" s="21" t="n">
        <v>0</v>
      </c>
      <c r="W1338" s="21" t="n">
        <v>0</v>
      </c>
      <c r="X1338" s="21" t="n">
        <v>0</v>
      </c>
      <c r="Y1338" s="21" t="n">
        <v>0</v>
      </c>
      <c r="Z1338" s="21" t="n">
        <v>0</v>
      </c>
      <c r="AA1338" s="21" t="n">
        <v>0</v>
      </c>
      <c r="AB1338" s="21" t="n">
        <v>0</v>
      </c>
      <c r="AC1338" s="21" t="n">
        <v>0</v>
      </c>
      <c r="AD1338" s="21" t="n">
        <v>0</v>
      </c>
      <c r="AE1338" s="21" t="n">
        <v>0</v>
      </c>
      <c r="AF1338" s="21" t="n">
        <v>0</v>
      </c>
      <c r="AG1338" s="21" t="n">
        <v>0</v>
      </c>
      <c r="AH1338" s="21" t="n">
        <v>0</v>
      </c>
      <c r="AI1338" s="21" t="n">
        <v>0</v>
      </c>
      <c r="AJ1338" s="21" t="n">
        <v>0</v>
      </c>
      <c r="AK1338" s="21" t="n">
        <v>0</v>
      </c>
      <c r="AL1338" s="21" t="n">
        <v>0</v>
      </c>
      <c r="AM1338" s="21" t="n">
        <v>0</v>
      </c>
      <c r="AN1338" s="21" t="n">
        <v>0</v>
      </c>
      <c r="AO1338" s="21" t="n">
        <v>0</v>
      </c>
      <c r="AP1338" s="21" t="n">
        <v>0</v>
      </c>
      <c r="AQ1338" s="21" t="n">
        <v>0</v>
      </c>
      <c r="AR1338" s="21" t="n">
        <v>0</v>
      </c>
      <c r="AS1338" s="21" t="n">
        <v>0</v>
      </c>
      <c r="AT1338" s="19" t="n"/>
    </row>
    <row r="1339">
      <c r="D1339" s="21" t="n">
        <v>0</v>
      </c>
      <c r="E1339" s="21" t="n">
        <v>0</v>
      </c>
      <c r="F1339" s="21" t="n">
        <v>0</v>
      </c>
      <c r="G1339" s="21" t="n">
        <v>0</v>
      </c>
      <c r="H1339" s="21" t="n">
        <v>0</v>
      </c>
      <c r="I1339" s="21" t="n">
        <v>0</v>
      </c>
      <c r="J1339" s="21">
        <f>-$B$18</f>
        <v/>
      </c>
      <c r="K1339" s="21">
        <f>-$B$19</f>
        <v/>
      </c>
      <c r="L1339" s="21">
        <f>2*$B$18+$D$1313</f>
        <v/>
      </c>
      <c r="M1339" s="21">
        <f>0</f>
        <v/>
      </c>
      <c r="N1339" s="21">
        <f>-$B$18</f>
        <v/>
      </c>
      <c r="O1339" s="21">
        <f>$B$19</f>
        <v/>
      </c>
      <c r="P1339" s="21" t="n">
        <v>0</v>
      </c>
      <c r="Q1339" s="21" t="n">
        <v>0</v>
      </c>
      <c r="R1339" s="21" t="n">
        <v>0</v>
      </c>
      <c r="S1339" s="21" t="n">
        <v>0</v>
      </c>
      <c r="T1339" s="21" t="n">
        <v>0</v>
      </c>
      <c r="U1339" s="21" t="n">
        <v>0</v>
      </c>
      <c r="V1339" s="21" t="n">
        <v>0</v>
      </c>
      <c r="W1339" s="21" t="n">
        <v>0</v>
      </c>
      <c r="X1339" s="21" t="n">
        <v>0</v>
      </c>
      <c r="Y1339" s="21" t="n">
        <v>0</v>
      </c>
      <c r="Z1339" s="21" t="n">
        <v>0</v>
      </c>
      <c r="AA1339" s="21" t="n">
        <v>0</v>
      </c>
      <c r="AB1339" s="21" t="n">
        <v>0</v>
      </c>
      <c r="AC1339" s="21" t="n">
        <v>0</v>
      </c>
      <c r="AD1339" s="21" t="n">
        <v>0</v>
      </c>
      <c r="AE1339" s="21" t="n">
        <v>0</v>
      </c>
      <c r="AF1339" s="21" t="n">
        <v>0</v>
      </c>
      <c r="AG1339" s="21" t="n">
        <v>0</v>
      </c>
      <c r="AH1339" s="21" t="n">
        <v>0</v>
      </c>
      <c r="AI1339" s="21" t="n">
        <v>0</v>
      </c>
      <c r="AJ1339" s="21" t="n">
        <v>0</v>
      </c>
      <c r="AK1339" s="21" t="n">
        <v>0</v>
      </c>
      <c r="AL1339" s="21" t="n">
        <v>0</v>
      </c>
      <c r="AM1339" s="21" t="n">
        <v>0</v>
      </c>
      <c r="AN1339" s="21" t="n">
        <v>0</v>
      </c>
      <c r="AO1339" s="21" t="n">
        <v>0</v>
      </c>
      <c r="AP1339" s="21" t="n">
        <v>0</v>
      </c>
      <c r="AQ1339" s="21" t="n">
        <v>0</v>
      </c>
      <c r="AR1339" s="21" t="n">
        <v>0</v>
      </c>
      <c r="AS1339" s="21" t="n">
        <v>0</v>
      </c>
      <c r="AT1339" s="19" t="n"/>
    </row>
    <row r="1340">
      <c r="D1340" s="21" t="n">
        <v>0</v>
      </c>
      <c r="E1340" s="21" t="n">
        <v>0</v>
      </c>
      <c r="F1340" s="21" t="n">
        <v>0</v>
      </c>
      <c r="G1340" s="21" t="n">
        <v>0</v>
      </c>
      <c r="H1340" s="21" t="n">
        <v>0</v>
      </c>
      <c r="I1340" s="21" t="n">
        <v>0</v>
      </c>
      <c r="J1340" s="21">
        <f>$B$19</f>
        <v/>
      </c>
      <c r="K1340" s="21">
        <f>$B$21</f>
        <v/>
      </c>
      <c r="L1340" s="21">
        <f>0</f>
        <v/>
      </c>
      <c r="M1340" s="21">
        <f>2*$B$20</f>
        <v/>
      </c>
      <c r="N1340" s="21">
        <f>-$B$19</f>
        <v/>
      </c>
      <c r="O1340" s="21">
        <f>$B$21</f>
        <v/>
      </c>
      <c r="P1340" s="21" t="n">
        <v>0</v>
      </c>
      <c r="Q1340" s="21" t="n">
        <v>0</v>
      </c>
      <c r="R1340" s="21" t="n">
        <v>0</v>
      </c>
      <c r="S1340" s="21" t="n">
        <v>0</v>
      </c>
      <c r="T1340" s="21" t="n">
        <v>0</v>
      </c>
      <c r="U1340" s="21" t="n">
        <v>0</v>
      </c>
      <c r="V1340" s="21" t="n">
        <v>0</v>
      </c>
      <c r="W1340" s="21" t="n">
        <v>0</v>
      </c>
      <c r="X1340" s="21" t="n">
        <v>0</v>
      </c>
      <c r="Y1340" s="21" t="n">
        <v>0</v>
      </c>
      <c r="Z1340" s="21" t="n">
        <v>0</v>
      </c>
      <c r="AA1340" s="21" t="n">
        <v>0</v>
      </c>
      <c r="AB1340" s="21" t="n">
        <v>0</v>
      </c>
      <c r="AC1340" s="21" t="n">
        <v>0</v>
      </c>
      <c r="AD1340" s="21" t="n">
        <v>0</v>
      </c>
      <c r="AE1340" s="21" t="n">
        <v>0</v>
      </c>
      <c r="AF1340" s="21" t="n">
        <v>0</v>
      </c>
      <c r="AG1340" s="21" t="n">
        <v>0</v>
      </c>
      <c r="AH1340" s="21" t="n">
        <v>0</v>
      </c>
      <c r="AI1340" s="21" t="n">
        <v>0</v>
      </c>
      <c r="AJ1340" s="21" t="n">
        <v>0</v>
      </c>
      <c r="AK1340" s="21" t="n">
        <v>0</v>
      </c>
      <c r="AL1340" s="21" t="n">
        <v>0</v>
      </c>
      <c r="AM1340" s="21" t="n">
        <v>0</v>
      </c>
      <c r="AN1340" s="21" t="n">
        <v>0</v>
      </c>
      <c r="AO1340" s="21" t="n">
        <v>0</v>
      </c>
      <c r="AP1340" s="21" t="n">
        <v>0</v>
      </c>
      <c r="AQ1340" s="21" t="n">
        <v>0</v>
      </c>
      <c r="AR1340" s="21" t="n">
        <v>0</v>
      </c>
      <c r="AS1340" s="21" t="n">
        <v>0</v>
      </c>
      <c r="AT1340" s="19" t="n"/>
    </row>
    <row r="1341">
      <c r="D1341" s="21" t="n">
        <v>0</v>
      </c>
      <c r="E1341" s="21" t="n">
        <v>0</v>
      </c>
      <c r="F1341" s="21" t="n">
        <v>0</v>
      </c>
      <c r="G1341" s="21" t="n">
        <v>0</v>
      </c>
      <c r="H1341" s="21" t="n">
        <v>0</v>
      </c>
      <c r="I1341" s="21" t="n">
        <v>0</v>
      </c>
      <c r="J1341" s="21" t="n">
        <v>0</v>
      </c>
      <c r="K1341" s="21" t="n">
        <v>0</v>
      </c>
      <c r="L1341" s="21">
        <f>-$B$18</f>
        <v/>
      </c>
      <c r="M1341" s="21">
        <f>-$B$19</f>
        <v/>
      </c>
      <c r="N1341" s="21">
        <f>2*$B$18+$D$1314</f>
        <v/>
      </c>
      <c r="O1341" s="21">
        <f>0</f>
        <v/>
      </c>
      <c r="P1341" s="21">
        <f>-$B$18</f>
        <v/>
      </c>
      <c r="Q1341" s="21">
        <f>$B$19</f>
        <v/>
      </c>
      <c r="R1341" s="21" t="n">
        <v>0</v>
      </c>
      <c r="S1341" s="21" t="n">
        <v>0</v>
      </c>
      <c r="T1341" s="21" t="n">
        <v>0</v>
      </c>
      <c r="U1341" s="21" t="n">
        <v>0</v>
      </c>
      <c r="V1341" s="21" t="n">
        <v>0</v>
      </c>
      <c r="W1341" s="21" t="n">
        <v>0</v>
      </c>
      <c r="X1341" s="21" t="n">
        <v>0</v>
      </c>
      <c r="Y1341" s="21" t="n">
        <v>0</v>
      </c>
      <c r="Z1341" s="21" t="n">
        <v>0</v>
      </c>
      <c r="AA1341" s="21" t="n">
        <v>0</v>
      </c>
      <c r="AB1341" s="21" t="n">
        <v>0</v>
      </c>
      <c r="AC1341" s="21" t="n">
        <v>0</v>
      </c>
      <c r="AD1341" s="21" t="n">
        <v>0</v>
      </c>
      <c r="AE1341" s="21" t="n">
        <v>0</v>
      </c>
      <c r="AF1341" s="21" t="n">
        <v>0</v>
      </c>
      <c r="AG1341" s="21" t="n">
        <v>0</v>
      </c>
      <c r="AH1341" s="21" t="n">
        <v>0</v>
      </c>
      <c r="AI1341" s="21" t="n">
        <v>0</v>
      </c>
      <c r="AJ1341" s="21" t="n">
        <v>0</v>
      </c>
      <c r="AK1341" s="21" t="n">
        <v>0</v>
      </c>
      <c r="AL1341" s="21" t="n">
        <v>0</v>
      </c>
      <c r="AM1341" s="21" t="n">
        <v>0</v>
      </c>
      <c r="AN1341" s="21" t="n">
        <v>0</v>
      </c>
      <c r="AO1341" s="21" t="n">
        <v>0</v>
      </c>
      <c r="AP1341" s="21" t="n">
        <v>0</v>
      </c>
      <c r="AQ1341" s="21" t="n">
        <v>0</v>
      </c>
      <c r="AR1341" s="21" t="n">
        <v>0</v>
      </c>
      <c r="AS1341" s="21" t="n">
        <v>0</v>
      </c>
      <c r="AT1341" s="19" t="n"/>
    </row>
    <row r="1342">
      <c r="D1342" s="21" t="n">
        <v>0</v>
      </c>
      <c r="E1342" s="21" t="n">
        <v>0</v>
      </c>
      <c r="F1342" s="21" t="n">
        <v>0</v>
      </c>
      <c r="G1342" s="21" t="n">
        <v>0</v>
      </c>
      <c r="H1342" s="21" t="n">
        <v>0</v>
      </c>
      <c r="I1342" s="21" t="n">
        <v>0</v>
      </c>
      <c r="J1342" s="21" t="n">
        <v>0</v>
      </c>
      <c r="K1342" s="21" t="n">
        <v>0</v>
      </c>
      <c r="L1342" s="21">
        <f>$B$19</f>
        <v/>
      </c>
      <c r="M1342" s="21">
        <f>$B$21</f>
        <v/>
      </c>
      <c r="N1342" s="21">
        <f>0</f>
        <v/>
      </c>
      <c r="O1342" s="21">
        <f>2*$B$20</f>
        <v/>
      </c>
      <c r="P1342" s="21">
        <f>-$B$19</f>
        <v/>
      </c>
      <c r="Q1342" s="21">
        <f>$B$21</f>
        <v/>
      </c>
      <c r="R1342" s="21" t="n">
        <v>0</v>
      </c>
      <c r="S1342" s="21" t="n">
        <v>0</v>
      </c>
      <c r="T1342" s="21" t="n">
        <v>0</v>
      </c>
      <c r="U1342" s="21" t="n">
        <v>0</v>
      </c>
      <c r="V1342" s="21" t="n">
        <v>0</v>
      </c>
      <c r="W1342" s="21" t="n">
        <v>0</v>
      </c>
      <c r="X1342" s="21" t="n">
        <v>0</v>
      </c>
      <c r="Y1342" s="21" t="n">
        <v>0</v>
      </c>
      <c r="Z1342" s="21" t="n">
        <v>0</v>
      </c>
      <c r="AA1342" s="21" t="n">
        <v>0</v>
      </c>
      <c r="AB1342" s="21" t="n">
        <v>0</v>
      </c>
      <c r="AC1342" s="21" t="n">
        <v>0</v>
      </c>
      <c r="AD1342" s="21" t="n">
        <v>0</v>
      </c>
      <c r="AE1342" s="21" t="n">
        <v>0</v>
      </c>
      <c r="AF1342" s="21" t="n">
        <v>0</v>
      </c>
      <c r="AG1342" s="21" t="n">
        <v>0</v>
      </c>
      <c r="AH1342" s="21" t="n">
        <v>0</v>
      </c>
      <c r="AI1342" s="21" t="n">
        <v>0</v>
      </c>
      <c r="AJ1342" s="21" t="n">
        <v>0</v>
      </c>
      <c r="AK1342" s="21" t="n">
        <v>0</v>
      </c>
      <c r="AL1342" s="21" t="n">
        <v>0</v>
      </c>
      <c r="AM1342" s="21" t="n">
        <v>0</v>
      </c>
      <c r="AN1342" s="21" t="n">
        <v>0</v>
      </c>
      <c r="AO1342" s="21" t="n">
        <v>0</v>
      </c>
      <c r="AP1342" s="21" t="n">
        <v>0</v>
      </c>
      <c r="AQ1342" s="21" t="n">
        <v>0</v>
      </c>
      <c r="AR1342" s="21" t="n">
        <v>0</v>
      </c>
      <c r="AS1342" s="21" t="n">
        <v>0</v>
      </c>
      <c r="AT1342" s="19" t="n"/>
    </row>
    <row r="1343">
      <c r="D1343" s="21" t="n">
        <v>0</v>
      </c>
      <c r="E1343" s="21" t="n">
        <v>0</v>
      </c>
      <c r="F1343" s="21" t="n">
        <v>0</v>
      </c>
      <c r="G1343" s="21" t="n">
        <v>0</v>
      </c>
      <c r="H1343" s="21" t="n">
        <v>0</v>
      </c>
      <c r="I1343" s="21" t="n">
        <v>0</v>
      </c>
      <c r="J1343" s="21" t="n">
        <v>0</v>
      </c>
      <c r="K1343" s="21" t="n">
        <v>0</v>
      </c>
      <c r="L1343" s="21" t="n">
        <v>0</v>
      </c>
      <c r="M1343" s="21" t="n">
        <v>0</v>
      </c>
      <c r="N1343" s="21">
        <f>-$B$18</f>
        <v/>
      </c>
      <c r="O1343" s="21">
        <f>-$B$19</f>
        <v/>
      </c>
      <c r="P1343" s="21">
        <f>2*$B$18+$D$1315</f>
        <v/>
      </c>
      <c r="Q1343" s="21">
        <f>0</f>
        <v/>
      </c>
      <c r="R1343" s="21">
        <f>-$B$18</f>
        <v/>
      </c>
      <c r="S1343" s="21">
        <f>$B$19</f>
        <v/>
      </c>
      <c r="T1343" s="21" t="n">
        <v>0</v>
      </c>
      <c r="U1343" s="21" t="n">
        <v>0</v>
      </c>
      <c r="V1343" s="21" t="n">
        <v>0</v>
      </c>
      <c r="W1343" s="21" t="n">
        <v>0</v>
      </c>
      <c r="X1343" s="21" t="n">
        <v>0</v>
      </c>
      <c r="Y1343" s="21" t="n">
        <v>0</v>
      </c>
      <c r="Z1343" s="21" t="n">
        <v>0</v>
      </c>
      <c r="AA1343" s="21" t="n">
        <v>0</v>
      </c>
      <c r="AB1343" s="21" t="n">
        <v>0</v>
      </c>
      <c r="AC1343" s="21" t="n">
        <v>0</v>
      </c>
      <c r="AD1343" s="21" t="n">
        <v>0</v>
      </c>
      <c r="AE1343" s="21" t="n">
        <v>0</v>
      </c>
      <c r="AF1343" s="21" t="n">
        <v>0</v>
      </c>
      <c r="AG1343" s="21" t="n">
        <v>0</v>
      </c>
      <c r="AH1343" s="21" t="n">
        <v>0</v>
      </c>
      <c r="AI1343" s="21" t="n">
        <v>0</v>
      </c>
      <c r="AJ1343" s="21" t="n">
        <v>0</v>
      </c>
      <c r="AK1343" s="21" t="n">
        <v>0</v>
      </c>
      <c r="AL1343" s="21" t="n">
        <v>0</v>
      </c>
      <c r="AM1343" s="21" t="n">
        <v>0</v>
      </c>
      <c r="AN1343" s="21" t="n">
        <v>0</v>
      </c>
      <c r="AO1343" s="21" t="n">
        <v>0</v>
      </c>
      <c r="AP1343" s="21" t="n">
        <v>0</v>
      </c>
      <c r="AQ1343" s="21" t="n">
        <v>0</v>
      </c>
      <c r="AR1343" s="21" t="n">
        <v>0</v>
      </c>
      <c r="AS1343" s="21" t="n">
        <v>0</v>
      </c>
      <c r="AT1343" s="19" t="n"/>
    </row>
    <row r="1344">
      <c r="D1344" s="21" t="n">
        <v>0</v>
      </c>
      <c r="E1344" s="21" t="n">
        <v>0</v>
      </c>
      <c r="F1344" s="21" t="n">
        <v>0</v>
      </c>
      <c r="G1344" s="21" t="n">
        <v>0</v>
      </c>
      <c r="H1344" s="21" t="n">
        <v>0</v>
      </c>
      <c r="I1344" s="21" t="n">
        <v>0</v>
      </c>
      <c r="J1344" s="21" t="n">
        <v>0</v>
      </c>
      <c r="K1344" s="21" t="n">
        <v>0</v>
      </c>
      <c r="L1344" s="21" t="n">
        <v>0</v>
      </c>
      <c r="M1344" s="21" t="n">
        <v>0</v>
      </c>
      <c r="N1344" s="21">
        <f>$B$19</f>
        <v/>
      </c>
      <c r="O1344" s="21">
        <f>$B$21</f>
        <v/>
      </c>
      <c r="P1344" s="21">
        <f>0</f>
        <v/>
      </c>
      <c r="Q1344" s="21">
        <f>2*$B$20</f>
        <v/>
      </c>
      <c r="R1344" s="21">
        <f>-$B$19</f>
        <v/>
      </c>
      <c r="S1344" s="21">
        <f>$B$21</f>
        <v/>
      </c>
      <c r="T1344" s="21" t="n">
        <v>0</v>
      </c>
      <c r="U1344" s="21" t="n">
        <v>0</v>
      </c>
      <c r="V1344" s="21" t="n">
        <v>0</v>
      </c>
      <c r="W1344" s="21" t="n">
        <v>0</v>
      </c>
      <c r="X1344" s="21" t="n">
        <v>0</v>
      </c>
      <c r="Y1344" s="21" t="n">
        <v>0</v>
      </c>
      <c r="Z1344" s="21" t="n">
        <v>0</v>
      </c>
      <c r="AA1344" s="21" t="n">
        <v>0</v>
      </c>
      <c r="AB1344" s="21" t="n">
        <v>0</v>
      </c>
      <c r="AC1344" s="21" t="n">
        <v>0</v>
      </c>
      <c r="AD1344" s="21" t="n">
        <v>0</v>
      </c>
      <c r="AE1344" s="21" t="n">
        <v>0</v>
      </c>
      <c r="AF1344" s="21" t="n">
        <v>0</v>
      </c>
      <c r="AG1344" s="21" t="n">
        <v>0</v>
      </c>
      <c r="AH1344" s="21" t="n">
        <v>0</v>
      </c>
      <c r="AI1344" s="21" t="n">
        <v>0</v>
      </c>
      <c r="AJ1344" s="21" t="n">
        <v>0</v>
      </c>
      <c r="AK1344" s="21" t="n">
        <v>0</v>
      </c>
      <c r="AL1344" s="21" t="n">
        <v>0</v>
      </c>
      <c r="AM1344" s="21" t="n">
        <v>0</v>
      </c>
      <c r="AN1344" s="21" t="n">
        <v>0</v>
      </c>
      <c r="AO1344" s="21" t="n">
        <v>0</v>
      </c>
      <c r="AP1344" s="21" t="n">
        <v>0</v>
      </c>
      <c r="AQ1344" s="21" t="n">
        <v>0</v>
      </c>
      <c r="AR1344" s="21" t="n">
        <v>0</v>
      </c>
      <c r="AS1344" s="21" t="n">
        <v>0</v>
      </c>
      <c r="AT1344" s="19" t="n"/>
    </row>
    <row r="1345">
      <c r="D1345" s="21" t="n">
        <v>0</v>
      </c>
      <c r="E1345" s="21" t="n">
        <v>0</v>
      </c>
      <c r="F1345" s="21" t="n">
        <v>0</v>
      </c>
      <c r="G1345" s="21" t="n">
        <v>0</v>
      </c>
      <c r="H1345" s="21" t="n">
        <v>0</v>
      </c>
      <c r="I1345" s="21" t="n">
        <v>0</v>
      </c>
      <c r="J1345" s="21" t="n">
        <v>0</v>
      </c>
      <c r="K1345" s="21" t="n">
        <v>0</v>
      </c>
      <c r="L1345" s="21" t="n">
        <v>0</v>
      </c>
      <c r="M1345" s="21" t="n">
        <v>0</v>
      </c>
      <c r="N1345" s="21" t="n">
        <v>0</v>
      </c>
      <c r="O1345" s="21" t="n">
        <v>0</v>
      </c>
      <c r="P1345" s="21">
        <f>-$B$18</f>
        <v/>
      </c>
      <c r="Q1345" s="21">
        <f>-$B$19</f>
        <v/>
      </c>
      <c r="R1345" s="21">
        <f>2*$B$18+$D$1316</f>
        <v/>
      </c>
      <c r="S1345" s="21">
        <f>0</f>
        <v/>
      </c>
      <c r="T1345" s="21">
        <f>-$B$18</f>
        <v/>
      </c>
      <c r="U1345" s="21">
        <f>$B$19</f>
        <v/>
      </c>
      <c r="V1345" s="21" t="n">
        <v>0</v>
      </c>
      <c r="W1345" s="21" t="n">
        <v>0</v>
      </c>
      <c r="X1345" s="21" t="n">
        <v>0</v>
      </c>
      <c r="Y1345" s="21" t="n">
        <v>0</v>
      </c>
      <c r="Z1345" s="21" t="n">
        <v>0</v>
      </c>
      <c r="AA1345" s="21" t="n">
        <v>0</v>
      </c>
      <c r="AB1345" s="21" t="n">
        <v>0</v>
      </c>
      <c r="AC1345" s="21" t="n">
        <v>0</v>
      </c>
      <c r="AD1345" s="21" t="n">
        <v>0</v>
      </c>
      <c r="AE1345" s="21" t="n">
        <v>0</v>
      </c>
      <c r="AF1345" s="21" t="n">
        <v>0</v>
      </c>
      <c r="AG1345" s="21" t="n">
        <v>0</v>
      </c>
      <c r="AH1345" s="21" t="n">
        <v>0</v>
      </c>
      <c r="AI1345" s="21" t="n">
        <v>0</v>
      </c>
      <c r="AJ1345" s="21" t="n">
        <v>0</v>
      </c>
      <c r="AK1345" s="21" t="n">
        <v>0</v>
      </c>
      <c r="AL1345" s="21" t="n">
        <v>0</v>
      </c>
      <c r="AM1345" s="21" t="n">
        <v>0</v>
      </c>
      <c r="AN1345" s="21" t="n">
        <v>0</v>
      </c>
      <c r="AO1345" s="21" t="n">
        <v>0</v>
      </c>
      <c r="AP1345" s="21" t="n">
        <v>0</v>
      </c>
      <c r="AQ1345" s="21" t="n">
        <v>0</v>
      </c>
      <c r="AR1345" s="21" t="n">
        <v>0</v>
      </c>
      <c r="AS1345" s="21" t="n">
        <v>0</v>
      </c>
      <c r="AT1345" s="19" t="n"/>
    </row>
    <row r="1346">
      <c r="D1346" s="21" t="n">
        <v>0</v>
      </c>
      <c r="E1346" s="21" t="n">
        <v>0</v>
      </c>
      <c r="F1346" s="21" t="n">
        <v>0</v>
      </c>
      <c r="G1346" s="21" t="n">
        <v>0</v>
      </c>
      <c r="H1346" s="21" t="n">
        <v>0</v>
      </c>
      <c r="I1346" s="21" t="n">
        <v>0</v>
      </c>
      <c r="J1346" s="21" t="n">
        <v>0</v>
      </c>
      <c r="K1346" s="21" t="n">
        <v>0</v>
      </c>
      <c r="L1346" s="21" t="n">
        <v>0</v>
      </c>
      <c r="M1346" s="21" t="n">
        <v>0</v>
      </c>
      <c r="N1346" s="21" t="n">
        <v>0</v>
      </c>
      <c r="O1346" s="21" t="n">
        <v>0</v>
      </c>
      <c r="P1346" s="21">
        <f>$B$19</f>
        <v/>
      </c>
      <c r="Q1346" s="21">
        <f>$B$21</f>
        <v/>
      </c>
      <c r="R1346" s="21">
        <f>0</f>
        <v/>
      </c>
      <c r="S1346" s="21">
        <f>2*$B$20</f>
        <v/>
      </c>
      <c r="T1346" s="21">
        <f>-$B$19</f>
        <v/>
      </c>
      <c r="U1346" s="21">
        <f>$B$21</f>
        <v/>
      </c>
      <c r="V1346" s="21" t="n">
        <v>0</v>
      </c>
      <c r="W1346" s="21" t="n">
        <v>0</v>
      </c>
      <c r="X1346" s="21" t="n">
        <v>0</v>
      </c>
      <c r="Y1346" s="21" t="n">
        <v>0</v>
      </c>
      <c r="Z1346" s="21" t="n">
        <v>0</v>
      </c>
      <c r="AA1346" s="21" t="n">
        <v>0</v>
      </c>
      <c r="AB1346" s="21" t="n">
        <v>0</v>
      </c>
      <c r="AC1346" s="21" t="n">
        <v>0</v>
      </c>
      <c r="AD1346" s="21" t="n">
        <v>0</v>
      </c>
      <c r="AE1346" s="21" t="n">
        <v>0</v>
      </c>
      <c r="AF1346" s="21" t="n">
        <v>0</v>
      </c>
      <c r="AG1346" s="21" t="n">
        <v>0</v>
      </c>
      <c r="AH1346" s="21" t="n">
        <v>0</v>
      </c>
      <c r="AI1346" s="21" t="n">
        <v>0</v>
      </c>
      <c r="AJ1346" s="21" t="n">
        <v>0</v>
      </c>
      <c r="AK1346" s="21" t="n">
        <v>0</v>
      </c>
      <c r="AL1346" s="21" t="n">
        <v>0</v>
      </c>
      <c r="AM1346" s="21" t="n">
        <v>0</v>
      </c>
      <c r="AN1346" s="21" t="n">
        <v>0</v>
      </c>
      <c r="AO1346" s="21" t="n">
        <v>0</v>
      </c>
      <c r="AP1346" s="21" t="n">
        <v>0</v>
      </c>
      <c r="AQ1346" s="21" t="n">
        <v>0</v>
      </c>
      <c r="AR1346" s="21" t="n">
        <v>0</v>
      </c>
      <c r="AS1346" s="21" t="n">
        <v>0</v>
      </c>
      <c r="AT1346" s="19" t="n"/>
    </row>
    <row r="1347">
      <c r="D1347" s="21" t="n">
        <v>0</v>
      </c>
      <c r="E1347" s="21" t="n">
        <v>0</v>
      </c>
      <c r="F1347" s="21" t="n">
        <v>0</v>
      </c>
      <c r="G1347" s="21" t="n">
        <v>0</v>
      </c>
      <c r="H1347" s="21" t="n">
        <v>0</v>
      </c>
      <c r="I1347" s="21" t="n">
        <v>0</v>
      </c>
      <c r="J1347" s="21" t="n">
        <v>0</v>
      </c>
      <c r="K1347" s="21" t="n">
        <v>0</v>
      </c>
      <c r="L1347" s="21" t="n">
        <v>0</v>
      </c>
      <c r="M1347" s="21" t="n">
        <v>0</v>
      </c>
      <c r="N1347" s="21" t="n">
        <v>0</v>
      </c>
      <c r="O1347" s="21" t="n">
        <v>0</v>
      </c>
      <c r="P1347" s="21" t="n">
        <v>0</v>
      </c>
      <c r="Q1347" s="21" t="n">
        <v>0</v>
      </c>
      <c r="R1347" s="21">
        <f>-$B$18</f>
        <v/>
      </c>
      <c r="S1347" s="21">
        <f>-$B$19</f>
        <v/>
      </c>
      <c r="T1347" s="21">
        <f>2*$B$18+$D$1317</f>
        <v/>
      </c>
      <c r="U1347" s="21">
        <f>0</f>
        <v/>
      </c>
      <c r="V1347" s="21">
        <f>-$B$18</f>
        <v/>
      </c>
      <c r="W1347" s="21">
        <f>$B$19</f>
        <v/>
      </c>
      <c r="X1347" s="21" t="n">
        <v>0</v>
      </c>
      <c r="Y1347" s="21" t="n">
        <v>0</v>
      </c>
      <c r="Z1347" s="21" t="n">
        <v>0</v>
      </c>
      <c r="AA1347" s="21" t="n">
        <v>0</v>
      </c>
      <c r="AB1347" s="21" t="n">
        <v>0</v>
      </c>
      <c r="AC1347" s="21" t="n">
        <v>0</v>
      </c>
      <c r="AD1347" s="21" t="n">
        <v>0</v>
      </c>
      <c r="AE1347" s="21" t="n">
        <v>0</v>
      </c>
      <c r="AF1347" s="21" t="n">
        <v>0</v>
      </c>
      <c r="AG1347" s="21" t="n">
        <v>0</v>
      </c>
      <c r="AH1347" s="21" t="n">
        <v>0</v>
      </c>
      <c r="AI1347" s="21" t="n">
        <v>0</v>
      </c>
      <c r="AJ1347" s="21" t="n">
        <v>0</v>
      </c>
      <c r="AK1347" s="21" t="n">
        <v>0</v>
      </c>
      <c r="AL1347" s="21" t="n">
        <v>0</v>
      </c>
      <c r="AM1347" s="21" t="n">
        <v>0</v>
      </c>
      <c r="AN1347" s="21" t="n">
        <v>0</v>
      </c>
      <c r="AO1347" s="21" t="n">
        <v>0</v>
      </c>
      <c r="AP1347" s="21" t="n">
        <v>0</v>
      </c>
      <c r="AQ1347" s="21" t="n">
        <v>0</v>
      </c>
      <c r="AR1347" s="21" t="n">
        <v>0</v>
      </c>
      <c r="AS1347" s="21" t="n">
        <v>0</v>
      </c>
      <c r="AT1347" s="19" t="n"/>
    </row>
    <row r="1348">
      <c r="D1348" s="21" t="n">
        <v>0</v>
      </c>
      <c r="E1348" s="21" t="n">
        <v>0</v>
      </c>
      <c r="F1348" s="21" t="n">
        <v>0</v>
      </c>
      <c r="G1348" s="21" t="n">
        <v>0</v>
      </c>
      <c r="H1348" s="21" t="n">
        <v>0</v>
      </c>
      <c r="I1348" s="21" t="n">
        <v>0</v>
      </c>
      <c r="J1348" s="21" t="n">
        <v>0</v>
      </c>
      <c r="K1348" s="21" t="n">
        <v>0</v>
      </c>
      <c r="L1348" s="21" t="n">
        <v>0</v>
      </c>
      <c r="M1348" s="21" t="n">
        <v>0</v>
      </c>
      <c r="N1348" s="21" t="n">
        <v>0</v>
      </c>
      <c r="O1348" s="21" t="n">
        <v>0</v>
      </c>
      <c r="P1348" s="21" t="n">
        <v>0</v>
      </c>
      <c r="Q1348" s="21" t="n">
        <v>0</v>
      </c>
      <c r="R1348" s="21">
        <f>$B$19</f>
        <v/>
      </c>
      <c r="S1348" s="21">
        <f>$B$21</f>
        <v/>
      </c>
      <c r="T1348" s="21">
        <f>0</f>
        <v/>
      </c>
      <c r="U1348" s="21">
        <f>2*$B$20</f>
        <v/>
      </c>
      <c r="V1348" s="21">
        <f>-$B$19</f>
        <v/>
      </c>
      <c r="W1348" s="21">
        <f>$B$21</f>
        <v/>
      </c>
      <c r="X1348" s="21" t="n">
        <v>0</v>
      </c>
      <c r="Y1348" s="21" t="n">
        <v>0</v>
      </c>
      <c r="Z1348" s="21" t="n">
        <v>0</v>
      </c>
      <c r="AA1348" s="21" t="n">
        <v>0</v>
      </c>
      <c r="AB1348" s="21" t="n">
        <v>0</v>
      </c>
      <c r="AC1348" s="21" t="n">
        <v>0</v>
      </c>
      <c r="AD1348" s="21" t="n">
        <v>0</v>
      </c>
      <c r="AE1348" s="21" t="n">
        <v>0</v>
      </c>
      <c r="AF1348" s="21" t="n">
        <v>0</v>
      </c>
      <c r="AG1348" s="21" t="n">
        <v>0</v>
      </c>
      <c r="AH1348" s="21" t="n">
        <v>0</v>
      </c>
      <c r="AI1348" s="21" t="n">
        <v>0</v>
      </c>
      <c r="AJ1348" s="21" t="n">
        <v>0</v>
      </c>
      <c r="AK1348" s="21" t="n">
        <v>0</v>
      </c>
      <c r="AL1348" s="21" t="n">
        <v>0</v>
      </c>
      <c r="AM1348" s="21" t="n">
        <v>0</v>
      </c>
      <c r="AN1348" s="21" t="n">
        <v>0</v>
      </c>
      <c r="AO1348" s="21" t="n">
        <v>0</v>
      </c>
      <c r="AP1348" s="21" t="n">
        <v>0</v>
      </c>
      <c r="AQ1348" s="21" t="n">
        <v>0</v>
      </c>
      <c r="AR1348" s="21" t="n">
        <v>0</v>
      </c>
      <c r="AS1348" s="21" t="n">
        <v>0</v>
      </c>
      <c r="AT1348" s="19" t="n"/>
    </row>
    <row r="1349">
      <c r="D1349" s="21" t="n">
        <v>0</v>
      </c>
      <c r="E1349" s="21" t="n">
        <v>0</v>
      </c>
      <c r="F1349" s="21" t="n">
        <v>0</v>
      </c>
      <c r="G1349" s="21" t="n">
        <v>0</v>
      </c>
      <c r="H1349" s="21" t="n">
        <v>0</v>
      </c>
      <c r="I1349" s="21" t="n">
        <v>0</v>
      </c>
      <c r="J1349" s="21" t="n">
        <v>0</v>
      </c>
      <c r="K1349" s="21" t="n">
        <v>0</v>
      </c>
      <c r="L1349" s="21" t="n">
        <v>0</v>
      </c>
      <c r="M1349" s="21" t="n">
        <v>0</v>
      </c>
      <c r="N1349" s="21" t="n">
        <v>0</v>
      </c>
      <c r="O1349" s="21" t="n">
        <v>0</v>
      </c>
      <c r="P1349" s="21" t="n">
        <v>0</v>
      </c>
      <c r="Q1349" s="21" t="n">
        <v>0</v>
      </c>
      <c r="R1349" s="21" t="n">
        <v>0</v>
      </c>
      <c r="S1349" s="21" t="n">
        <v>0</v>
      </c>
      <c r="T1349" s="21">
        <f>-$B$18</f>
        <v/>
      </c>
      <c r="U1349" s="21">
        <f>-$B$19</f>
        <v/>
      </c>
      <c r="V1349" s="21">
        <f>2*$B$18+$D$1318</f>
        <v/>
      </c>
      <c r="W1349" s="21">
        <f>0</f>
        <v/>
      </c>
      <c r="X1349" s="21">
        <f>-$B$18</f>
        <v/>
      </c>
      <c r="Y1349" s="21">
        <f>$B$19</f>
        <v/>
      </c>
      <c r="Z1349" s="21" t="n">
        <v>0</v>
      </c>
      <c r="AA1349" s="21" t="n">
        <v>0</v>
      </c>
      <c r="AB1349" s="21" t="n">
        <v>0</v>
      </c>
      <c r="AC1349" s="21" t="n">
        <v>0</v>
      </c>
      <c r="AD1349" s="21" t="n">
        <v>0</v>
      </c>
      <c r="AE1349" s="21" t="n">
        <v>0</v>
      </c>
      <c r="AF1349" s="21" t="n">
        <v>0</v>
      </c>
      <c r="AG1349" s="21" t="n">
        <v>0</v>
      </c>
      <c r="AH1349" s="21" t="n">
        <v>0</v>
      </c>
      <c r="AI1349" s="21" t="n">
        <v>0</v>
      </c>
      <c r="AJ1349" s="21" t="n">
        <v>0</v>
      </c>
      <c r="AK1349" s="21" t="n">
        <v>0</v>
      </c>
      <c r="AL1349" s="21" t="n">
        <v>0</v>
      </c>
      <c r="AM1349" s="21" t="n">
        <v>0</v>
      </c>
      <c r="AN1349" s="21" t="n">
        <v>0</v>
      </c>
      <c r="AO1349" s="21" t="n">
        <v>0</v>
      </c>
      <c r="AP1349" s="21" t="n">
        <v>0</v>
      </c>
      <c r="AQ1349" s="21" t="n">
        <v>0</v>
      </c>
      <c r="AR1349" s="21" t="n">
        <v>0</v>
      </c>
      <c r="AS1349" s="21" t="n">
        <v>0</v>
      </c>
      <c r="AT1349" s="19" t="n"/>
    </row>
    <row r="1350">
      <c r="D1350" s="21" t="n">
        <v>0</v>
      </c>
      <c r="E1350" s="21" t="n">
        <v>0</v>
      </c>
      <c r="F1350" s="21" t="n">
        <v>0</v>
      </c>
      <c r="G1350" s="21" t="n">
        <v>0</v>
      </c>
      <c r="H1350" s="21" t="n">
        <v>0</v>
      </c>
      <c r="I1350" s="21" t="n">
        <v>0</v>
      </c>
      <c r="J1350" s="21" t="n">
        <v>0</v>
      </c>
      <c r="K1350" s="21" t="n">
        <v>0</v>
      </c>
      <c r="L1350" s="21" t="n">
        <v>0</v>
      </c>
      <c r="M1350" s="21" t="n">
        <v>0</v>
      </c>
      <c r="N1350" s="21" t="n">
        <v>0</v>
      </c>
      <c r="O1350" s="21" t="n">
        <v>0</v>
      </c>
      <c r="P1350" s="21" t="n">
        <v>0</v>
      </c>
      <c r="Q1350" s="21" t="n">
        <v>0</v>
      </c>
      <c r="R1350" s="21" t="n">
        <v>0</v>
      </c>
      <c r="S1350" s="21" t="n">
        <v>0</v>
      </c>
      <c r="T1350" s="21">
        <f>$B$19</f>
        <v/>
      </c>
      <c r="U1350" s="21">
        <f>$B$21</f>
        <v/>
      </c>
      <c r="V1350" s="21">
        <f>0</f>
        <v/>
      </c>
      <c r="W1350" s="21">
        <f>2*$B$20</f>
        <v/>
      </c>
      <c r="X1350" s="21">
        <f>-$B$19</f>
        <v/>
      </c>
      <c r="Y1350" s="21">
        <f>$B$21</f>
        <v/>
      </c>
      <c r="Z1350" s="21" t="n">
        <v>0</v>
      </c>
      <c r="AA1350" s="21" t="n">
        <v>0</v>
      </c>
      <c r="AB1350" s="21" t="n">
        <v>0</v>
      </c>
      <c r="AC1350" s="21" t="n">
        <v>0</v>
      </c>
      <c r="AD1350" s="21" t="n">
        <v>0</v>
      </c>
      <c r="AE1350" s="21" t="n">
        <v>0</v>
      </c>
      <c r="AF1350" s="21" t="n">
        <v>0</v>
      </c>
      <c r="AG1350" s="21" t="n">
        <v>0</v>
      </c>
      <c r="AH1350" s="21" t="n">
        <v>0</v>
      </c>
      <c r="AI1350" s="21" t="n">
        <v>0</v>
      </c>
      <c r="AJ1350" s="21" t="n">
        <v>0</v>
      </c>
      <c r="AK1350" s="21" t="n">
        <v>0</v>
      </c>
      <c r="AL1350" s="21" t="n">
        <v>0</v>
      </c>
      <c r="AM1350" s="21" t="n">
        <v>0</v>
      </c>
      <c r="AN1350" s="21" t="n">
        <v>0</v>
      </c>
      <c r="AO1350" s="21" t="n">
        <v>0</v>
      </c>
      <c r="AP1350" s="21" t="n">
        <v>0</v>
      </c>
      <c r="AQ1350" s="21" t="n">
        <v>0</v>
      </c>
      <c r="AR1350" s="21" t="n">
        <v>0</v>
      </c>
      <c r="AS1350" s="21" t="n">
        <v>0</v>
      </c>
      <c r="AT1350" s="19" t="n"/>
    </row>
    <row r="1351">
      <c r="D1351" s="21" t="n">
        <v>0</v>
      </c>
      <c r="E1351" s="21" t="n">
        <v>0</v>
      </c>
      <c r="F1351" s="21" t="n">
        <v>0</v>
      </c>
      <c r="G1351" s="21" t="n">
        <v>0</v>
      </c>
      <c r="H1351" s="21" t="n">
        <v>0</v>
      </c>
      <c r="I1351" s="21" t="n">
        <v>0</v>
      </c>
      <c r="J1351" s="21" t="n">
        <v>0</v>
      </c>
      <c r="K1351" s="21" t="n">
        <v>0</v>
      </c>
      <c r="L1351" s="21" t="n">
        <v>0</v>
      </c>
      <c r="M1351" s="21" t="n">
        <v>0</v>
      </c>
      <c r="N1351" s="21" t="n">
        <v>0</v>
      </c>
      <c r="O1351" s="21" t="n">
        <v>0</v>
      </c>
      <c r="P1351" s="21" t="n">
        <v>0</v>
      </c>
      <c r="Q1351" s="21" t="n">
        <v>0</v>
      </c>
      <c r="R1351" s="21" t="n">
        <v>0</v>
      </c>
      <c r="S1351" s="21" t="n">
        <v>0</v>
      </c>
      <c r="T1351" s="21" t="n">
        <v>0</v>
      </c>
      <c r="U1351" s="21" t="n">
        <v>0</v>
      </c>
      <c r="V1351" s="21">
        <f>-$B$18</f>
        <v/>
      </c>
      <c r="W1351" s="21">
        <f>-$B$19</f>
        <v/>
      </c>
      <c r="X1351" s="21">
        <f>2*$B$18+$D$1319</f>
        <v/>
      </c>
      <c r="Y1351" s="21">
        <f>0</f>
        <v/>
      </c>
      <c r="Z1351" s="21">
        <f>-$B$18</f>
        <v/>
      </c>
      <c r="AA1351" s="21">
        <f>$B$19</f>
        <v/>
      </c>
      <c r="AB1351" s="21" t="n">
        <v>0</v>
      </c>
      <c r="AC1351" s="21" t="n">
        <v>0</v>
      </c>
      <c r="AD1351" s="21" t="n">
        <v>0</v>
      </c>
      <c r="AE1351" s="21" t="n">
        <v>0</v>
      </c>
      <c r="AF1351" s="21" t="n">
        <v>0</v>
      </c>
      <c r="AG1351" s="21" t="n">
        <v>0</v>
      </c>
      <c r="AH1351" s="21" t="n">
        <v>0</v>
      </c>
      <c r="AI1351" s="21" t="n">
        <v>0</v>
      </c>
      <c r="AJ1351" s="21" t="n">
        <v>0</v>
      </c>
      <c r="AK1351" s="21" t="n">
        <v>0</v>
      </c>
      <c r="AL1351" s="21" t="n">
        <v>0</v>
      </c>
      <c r="AM1351" s="21" t="n">
        <v>0</v>
      </c>
      <c r="AN1351" s="21" t="n">
        <v>0</v>
      </c>
      <c r="AO1351" s="21" t="n">
        <v>0</v>
      </c>
      <c r="AP1351" s="21" t="n">
        <v>0</v>
      </c>
      <c r="AQ1351" s="21" t="n">
        <v>0</v>
      </c>
      <c r="AR1351" s="21" t="n">
        <v>0</v>
      </c>
      <c r="AS1351" s="21" t="n">
        <v>0</v>
      </c>
      <c r="AT1351" s="19" t="n"/>
    </row>
    <row r="1352">
      <c r="D1352" s="21" t="n">
        <v>0</v>
      </c>
      <c r="E1352" s="21" t="n">
        <v>0</v>
      </c>
      <c r="F1352" s="21" t="n">
        <v>0</v>
      </c>
      <c r="G1352" s="21" t="n">
        <v>0</v>
      </c>
      <c r="H1352" s="21" t="n">
        <v>0</v>
      </c>
      <c r="I1352" s="21" t="n">
        <v>0</v>
      </c>
      <c r="J1352" s="21" t="n">
        <v>0</v>
      </c>
      <c r="K1352" s="21" t="n">
        <v>0</v>
      </c>
      <c r="L1352" s="21" t="n">
        <v>0</v>
      </c>
      <c r="M1352" s="21" t="n">
        <v>0</v>
      </c>
      <c r="N1352" s="21" t="n">
        <v>0</v>
      </c>
      <c r="O1352" s="21" t="n">
        <v>0</v>
      </c>
      <c r="P1352" s="21" t="n">
        <v>0</v>
      </c>
      <c r="Q1352" s="21" t="n">
        <v>0</v>
      </c>
      <c r="R1352" s="21" t="n">
        <v>0</v>
      </c>
      <c r="S1352" s="21" t="n">
        <v>0</v>
      </c>
      <c r="T1352" s="21" t="n">
        <v>0</v>
      </c>
      <c r="U1352" s="21" t="n">
        <v>0</v>
      </c>
      <c r="V1352" s="21">
        <f>$B$19</f>
        <v/>
      </c>
      <c r="W1352" s="21">
        <f>$B$21</f>
        <v/>
      </c>
      <c r="X1352" s="21">
        <f>0</f>
        <v/>
      </c>
      <c r="Y1352" s="21">
        <f>2*$B$20</f>
        <v/>
      </c>
      <c r="Z1352" s="21">
        <f>-$B$19</f>
        <v/>
      </c>
      <c r="AA1352" s="21">
        <f>$B$21</f>
        <v/>
      </c>
      <c r="AB1352" s="21" t="n">
        <v>0</v>
      </c>
      <c r="AC1352" s="21" t="n">
        <v>0</v>
      </c>
      <c r="AD1352" s="21" t="n">
        <v>0</v>
      </c>
      <c r="AE1352" s="21" t="n">
        <v>0</v>
      </c>
      <c r="AF1352" s="21" t="n">
        <v>0</v>
      </c>
      <c r="AG1352" s="21" t="n">
        <v>0</v>
      </c>
      <c r="AH1352" s="21" t="n">
        <v>0</v>
      </c>
      <c r="AI1352" s="21" t="n">
        <v>0</v>
      </c>
      <c r="AJ1352" s="21" t="n">
        <v>0</v>
      </c>
      <c r="AK1352" s="21" t="n">
        <v>0</v>
      </c>
      <c r="AL1352" s="21" t="n">
        <v>0</v>
      </c>
      <c r="AM1352" s="21" t="n">
        <v>0</v>
      </c>
      <c r="AN1352" s="21" t="n">
        <v>0</v>
      </c>
      <c r="AO1352" s="21" t="n">
        <v>0</v>
      </c>
      <c r="AP1352" s="21" t="n">
        <v>0</v>
      </c>
      <c r="AQ1352" s="21" t="n">
        <v>0</v>
      </c>
      <c r="AR1352" s="21" t="n">
        <v>0</v>
      </c>
      <c r="AS1352" s="21" t="n">
        <v>0</v>
      </c>
      <c r="AT1352" s="19" t="n"/>
    </row>
    <row r="1353">
      <c r="D1353" s="21" t="n">
        <v>0</v>
      </c>
      <c r="E1353" s="21" t="n">
        <v>0</v>
      </c>
      <c r="F1353" s="21" t="n">
        <v>0</v>
      </c>
      <c r="G1353" s="21" t="n">
        <v>0</v>
      </c>
      <c r="H1353" s="21" t="n">
        <v>0</v>
      </c>
      <c r="I1353" s="21" t="n">
        <v>0</v>
      </c>
      <c r="J1353" s="21" t="n">
        <v>0</v>
      </c>
      <c r="K1353" s="21" t="n">
        <v>0</v>
      </c>
      <c r="L1353" s="21" t="n">
        <v>0</v>
      </c>
      <c r="M1353" s="21" t="n">
        <v>0</v>
      </c>
      <c r="N1353" s="21" t="n">
        <v>0</v>
      </c>
      <c r="O1353" s="21" t="n">
        <v>0</v>
      </c>
      <c r="P1353" s="21" t="n">
        <v>0</v>
      </c>
      <c r="Q1353" s="21" t="n">
        <v>0</v>
      </c>
      <c r="R1353" s="21" t="n">
        <v>0</v>
      </c>
      <c r="S1353" s="21" t="n">
        <v>0</v>
      </c>
      <c r="T1353" s="21" t="n">
        <v>0</v>
      </c>
      <c r="U1353" s="21" t="n">
        <v>0</v>
      </c>
      <c r="V1353" s="21" t="n">
        <v>0</v>
      </c>
      <c r="W1353" s="21" t="n">
        <v>0</v>
      </c>
      <c r="X1353" s="21">
        <f>-$B$18</f>
        <v/>
      </c>
      <c r="Y1353" s="21">
        <f>-$B$19</f>
        <v/>
      </c>
      <c r="Z1353" s="21">
        <f>2*$B$18+$D$1320</f>
        <v/>
      </c>
      <c r="AA1353" s="21">
        <f>0</f>
        <v/>
      </c>
      <c r="AB1353" s="21">
        <f>-$B$18</f>
        <v/>
      </c>
      <c r="AC1353" s="21">
        <f>$B$19</f>
        <v/>
      </c>
      <c r="AD1353" s="21" t="n">
        <v>0</v>
      </c>
      <c r="AE1353" s="21" t="n">
        <v>0</v>
      </c>
      <c r="AF1353" s="21" t="n">
        <v>0</v>
      </c>
      <c r="AG1353" s="21" t="n">
        <v>0</v>
      </c>
      <c r="AH1353" s="21" t="n">
        <v>0</v>
      </c>
      <c r="AI1353" s="21" t="n">
        <v>0</v>
      </c>
      <c r="AJ1353" s="21" t="n">
        <v>0</v>
      </c>
      <c r="AK1353" s="21" t="n">
        <v>0</v>
      </c>
      <c r="AL1353" s="21" t="n">
        <v>0</v>
      </c>
      <c r="AM1353" s="21" t="n">
        <v>0</v>
      </c>
      <c r="AN1353" s="21" t="n">
        <v>0</v>
      </c>
      <c r="AO1353" s="21" t="n">
        <v>0</v>
      </c>
      <c r="AP1353" s="21" t="n">
        <v>0</v>
      </c>
      <c r="AQ1353" s="21" t="n">
        <v>0</v>
      </c>
      <c r="AR1353" s="21" t="n">
        <v>0</v>
      </c>
      <c r="AS1353" s="21" t="n">
        <v>0</v>
      </c>
      <c r="AT1353" s="19" t="n"/>
    </row>
    <row r="1354">
      <c r="D1354" s="21" t="n">
        <v>0</v>
      </c>
      <c r="E1354" s="21" t="n">
        <v>0</v>
      </c>
      <c r="F1354" s="21" t="n">
        <v>0</v>
      </c>
      <c r="G1354" s="21" t="n">
        <v>0</v>
      </c>
      <c r="H1354" s="21" t="n">
        <v>0</v>
      </c>
      <c r="I1354" s="21" t="n">
        <v>0</v>
      </c>
      <c r="J1354" s="21" t="n">
        <v>0</v>
      </c>
      <c r="K1354" s="21" t="n">
        <v>0</v>
      </c>
      <c r="L1354" s="21" t="n">
        <v>0</v>
      </c>
      <c r="M1354" s="21" t="n">
        <v>0</v>
      </c>
      <c r="N1354" s="21" t="n">
        <v>0</v>
      </c>
      <c r="O1354" s="21" t="n">
        <v>0</v>
      </c>
      <c r="P1354" s="21" t="n">
        <v>0</v>
      </c>
      <c r="Q1354" s="21" t="n">
        <v>0</v>
      </c>
      <c r="R1354" s="21" t="n">
        <v>0</v>
      </c>
      <c r="S1354" s="21" t="n">
        <v>0</v>
      </c>
      <c r="T1354" s="21" t="n">
        <v>0</v>
      </c>
      <c r="U1354" s="21" t="n">
        <v>0</v>
      </c>
      <c r="V1354" s="21" t="n">
        <v>0</v>
      </c>
      <c r="W1354" s="21" t="n">
        <v>0</v>
      </c>
      <c r="X1354" s="21">
        <f>$B$19</f>
        <v/>
      </c>
      <c r="Y1354" s="21">
        <f>$B$21</f>
        <v/>
      </c>
      <c r="Z1354" s="21">
        <f>0</f>
        <v/>
      </c>
      <c r="AA1354" s="21">
        <f>2*$B$20</f>
        <v/>
      </c>
      <c r="AB1354" s="21">
        <f>-$B$19</f>
        <v/>
      </c>
      <c r="AC1354" s="21">
        <f>$B$21</f>
        <v/>
      </c>
      <c r="AD1354" s="21" t="n">
        <v>0</v>
      </c>
      <c r="AE1354" s="21" t="n">
        <v>0</v>
      </c>
      <c r="AF1354" s="21" t="n">
        <v>0</v>
      </c>
      <c r="AG1354" s="21" t="n">
        <v>0</v>
      </c>
      <c r="AH1354" s="21" t="n">
        <v>0</v>
      </c>
      <c r="AI1354" s="21" t="n">
        <v>0</v>
      </c>
      <c r="AJ1354" s="21" t="n">
        <v>0</v>
      </c>
      <c r="AK1354" s="21" t="n">
        <v>0</v>
      </c>
      <c r="AL1354" s="21" t="n">
        <v>0</v>
      </c>
      <c r="AM1354" s="21" t="n">
        <v>0</v>
      </c>
      <c r="AN1354" s="21" t="n">
        <v>0</v>
      </c>
      <c r="AO1354" s="21" t="n">
        <v>0</v>
      </c>
      <c r="AP1354" s="21" t="n">
        <v>0</v>
      </c>
      <c r="AQ1354" s="21" t="n">
        <v>0</v>
      </c>
      <c r="AR1354" s="21" t="n">
        <v>0</v>
      </c>
      <c r="AS1354" s="21" t="n">
        <v>0</v>
      </c>
      <c r="AT1354" s="19" t="n"/>
    </row>
    <row r="1355">
      <c r="D1355" s="21" t="n">
        <v>0</v>
      </c>
      <c r="E1355" s="21" t="n">
        <v>0</v>
      </c>
      <c r="F1355" s="21" t="n">
        <v>0</v>
      </c>
      <c r="G1355" s="21" t="n">
        <v>0</v>
      </c>
      <c r="H1355" s="21" t="n">
        <v>0</v>
      </c>
      <c r="I1355" s="21" t="n">
        <v>0</v>
      </c>
      <c r="J1355" s="21" t="n">
        <v>0</v>
      </c>
      <c r="K1355" s="21" t="n">
        <v>0</v>
      </c>
      <c r="L1355" s="21" t="n">
        <v>0</v>
      </c>
      <c r="M1355" s="21" t="n">
        <v>0</v>
      </c>
      <c r="N1355" s="21" t="n">
        <v>0</v>
      </c>
      <c r="O1355" s="21" t="n">
        <v>0</v>
      </c>
      <c r="P1355" s="21" t="n">
        <v>0</v>
      </c>
      <c r="Q1355" s="21" t="n">
        <v>0</v>
      </c>
      <c r="R1355" s="21" t="n">
        <v>0</v>
      </c>
      <c r="S1355" s="21" t="n">
        <v>0</v>
      </c>
      <c r="T1355" s="21" t="n">
        <v>0</v>
      </c>
      <c r="U1355" s="21" t="n">
        <v>0</v>
      </c>
      <c r="V1355" s="21" t="n">
        <v>0</v>
      </c>
      <c r="W1355" s="21" t="n">
        <v>0</v>
      </c>
      <c r="X1355" s="21" t="n">
        <v>0</v>
      </c>
      <c r="Y1355" s="21" t="n">
        <v>0</v>
      </c>
      <c r="Z1355" s="21">
        <f>-$B$18</f>
        <v/>
      </c>
      <c r="AA1355" s="21">
        <f>-$B$19</f>
        <v/>
      </c>
      <c r="AB1355" s="21">
        <f>2*$B$18+$D$1321</f>
        <v/>
      </c>
      <c r="AC1355" s="21">
        <f>0</f>
        <v/>
      </c>
      <c r="AD1355" s="21">
        <f>-$B$18</f>
        <v/>
      </c>
      <c r="AE1355" s="21">
        <f>$B$19</f>
        <v/>
      </c>
      <c r="AF1355" s="21" t="n">
        <v>0</v>
      </c>
      <c r="AG1355" s="21" t="n">
        <v>0</v>
      </c>
      <c r="AH1355" s="21" t="n">
        <v>0</v>
      </c>
      <c r="AI1355" s="21" t="n">
        <v>0</v>
      </c>
      <c r="AJ1355" s="21" t="n">
        <v>0</v>
      </c>
      <c r="AK1355" s="21" t="n">
        <v>0</v>
      </c>
      <c r="AL1355" s="21" t="n">
        <v>0</v>
      </c>
      <c r="AM1355" s="21" t="n">
        <v>0</v>
      </c>
      <c r="AN1355" s="21" t="n">
        <v>0</v>
      </c>
      <c r="AO1355" s="21" t="n">
        <v>0</v>
      </c>
      <c r="AP1355" s="21" t="n">
        <v>0</v>
      </c>
      <c r="AQ1355" s="21" t="n">
        <v>0</v>
      </c>
      <c r="AR1355" s="21" t="n">
        <v>0</v>
      </c>
      <c r="AS1355" s="21" t="n">
        <v>0</v>
      </c>
      <c r="AT1355" s="19" t="n"/>
    </row>
    <row r="1356">
      <c r="D1356" s="21" t="n">
        <v>0</v>
      </c>
      <c r="E1356" s="21" t="n">
        <v>0</v>
      </c>
      <c r="F1356" s="21" t="n">
        <v>0</v>
      </c>
      <c r="G1356" s="21" t="n">
        <v>0</v>
      </c>
      <c r="H1356" s="21" t="n">
        <v>0</v>
      </c>
      <c r="I1356" s="21" t="n">
        <v>0</v>
      </c>
      <c r="J1356" s="21" t="n">
        <v>0</v>
      </c>
      <c r="K1356" s="21" t="n">
        <v>0</v>
      </c>
      <c r="L1356" s="21" t="n">
        <v>0</v>
      </c>
      <c r="M1356" s="21" t="n">
        <v>0</v>
      </c>
      <c r="N1356" s="21" t="n">
        <v>0</v>
      </c>
      <c r="O1356" s="21" t="n">
        <v>0</v>
      </c>
      <c r="P1356" s="21" t="n">
        <v>0</v>
      </c>
      <c r="Q1356" s="21" t="n">
        <v>0</v>
      </c>
      <c r="R1356" s="21" t="n">
        <v>0</v>
      </c>
      <c r="S1356" s="21" t="n">
        <v>0</v>
      </c>
      <c r="T1356" s="21" t="n">
        <v>0</v>
      </c>
      <c r="U1356" s="21" t="n">
        <v>0</v>
      </c>
      <c r="V1356" s="21" t="n">
        <v>0</v>
      </c>
      <c r="W1356" s="21" t="n">
        <v>0</v>
      </c>
      <c r="X1356" s="21" t="n">
        <v>0</v>
      </c>
      <c r="Y1356" s="21" t="n">
        <v>0</v>
      </c>
      <c r="Z1356" s="21">
        <f>$B$19</f>
        <v/>
      </c>
      <c r="AA1356" s="21">
        <f>$B$21</f>
        <v/>
      </c>
      <c r="AB1356" s="21">
        <f>0</f>
        <v/>
      </c>
      <c r="AC1356" s="21">
        <f>2*$B$20</f>
        <v/>
      </c>
      <c r="AD1356" s="21">
        <f>-$B$19</f>
        <v/>
      </c>
      <c r="AE1356" s="21">
        <f>$B$21</f>
        <v/>
      </c>
      <c r="AF1356" s="21" t="n">
        <v>0</v>
      </c>
      <c r="AG1356" s="21" t="n">
        <v>0</v>
      </c>
      <c r="AH1356" s="21" t="n">
        <v>0</v>
      </c>
      <c r="AI1356" s="21" t="n">
        <v>0</v>
      </c>
      <c r="AJ1356" s="21" t="n">
        <v>0</v>
      </c>
      <c r="AK1356" s="21" t="n">
        <v>0</v>
      </c>
      <c r="AL1356" s="21" t="n">
        <v>0</v>
      </c>
      <c r="AM1356" s="21" t="n">
        <v>0</v>
      </c>
      <c r="AN1356" s="21" t="n">
        <v>0</v>
      </c>
      <c r="AO1356" s="21" t="n">
        <v>0</v>
      </c>
      <c r="AP1356" s="21" t="n">
        <v>0</v>
      </c>
      <c r="AQ1356" s="21" t="n">
        <v>0</v>
      </c>
      <c r="AR1356" s="21" t="n">
        <v>0</v>
      </c>
      <c r="AS1356" s="21" t="n">
        <v>0</v>
      </c>
      <c r="AT1356" s="19" t="n"/>
    </row>
    <row r="1357">
      <c r="D1357" s="21" t="n">
        <v>0</v>
      </c>
      <c r="E1357" s="21" t="n">
        <v>0</v>
      </c>
      <c r="F1357" s="21" t="n">
        <v>0</v>
      </c>
      <c r="G1357" s="21" t="n">
        <v>0</v>
      </c>
      <c r="H1357" s="21" t="n">
        <v>0</v>
      </c>
      <c r="I1357" s="21" t="n">
        <v>0</v>
      </c>
      <c r="J1357" s="21" t="n">
        <v>0</v>
      </c>
      <c r="K1357" s="21" t="n">
        <v>0</v>
      </c>
      <c r="L1357" s="21" t="n">
        <v>0</v>
      </c>
      <c r="M1357" s="21" t="n">
        <v>0</v>
      </c>
      <c r="N1357" s="21" t="n">
        <v>0</v>
      </c>
      <c r="O1357" s="21" t="n">
        <v>0</v>
      </c>
      <c r="P1357" s="21" t="n">
        <v>0</v>
      </c>
      <c r="Q1357" s="21" t="n">
        <v>0</v>
      </c>
      <c r="R1357" s="21" t="n">
        <v>0</v>
      </c>
      <c r="S1357" s="21" t="n">
        <v>0</v>
      </c>
      <c r="T1357" s="21" t="n">
        <v>0</v>
      </c>
      <c r="U1357" s="21" t="n">
        <v>0</v>
      </c>
      <c r="V1357" s="21" t="n">
        <v>0</v>
      </c>
      <c r="W1357" s="21" t="n">
        <v>0</v>
      </c>
      <c r="X1357" s="21" t="n">
        <v>0</v>
      </c>
      <c r="Y1357" s="21" t="n">
        <v>0</v>
      </c>
      <c r="Z1357" s="21" t="n">
        <v>0</v>
      </c>
      <c r="AA1357" s="21" t="n">
        <v>0</v>
      </c>
      <c r="AB1357" s="21">
        <f>-$B$18</f>
        <v/>
      </c>
      <c r="AC1357" s="21">
        <f>-$B$19</f>
        <v/>
      </c>
      <c r="AD1357" s="21">
        <f>2*$B$18+$D$1322</f>
        <v/>
      </c>
      <c r="AE1357" s="21">
        <f>0</f>
        <v/>
      </c>
      <c r="AF1357" s="21">
        <f>-$B$18</f>
        <v/>
      </c>
      <c r="AG1357" s="21">
        <f>$B$19</f>
        <v/>
      </c>
      <c r="AH1357" s="21" t="n">
        <v>0</v>
      </c>
      <c r="AI1357" s="21" t="n">
        <v>0</v>
      </c>
      <c r="AJ1357" s="21" t="n">
        <v>0</v>
      </c>
      <c r="AK1357" s="21" t="n">
        <v>0</v>
      </c>
      <c r="AL1357" s="21" t="n">
        <v>0</v>
      </c>
      <c r="AM1357" s="21" t="n">
        <v>0</v>
      </c>
      <c r="AN1357" s="21" t="n">
        <v>0</v>
      </c>
      <c r="AO1357" s="21" t="n">
        <v>0</v>
      </c>
      <c r="AP1357" s="21" t="n">
        <v>0</v>
      </c>
      <c r="AQ1357" s="21" t="n">
        <v>0</v>
      </c>
      <c r="AR1357" s="21" t="n">
        <v>0</v>
      </c>
      <c r="AS1357" s="21" t="n">
        <v>0</v>
      </c>
      <c r="AT1357" s="19" t="n"/>
    </row>
    <row r="1358">
      <c r="D1358" s="21" t="n">
        <v>0</v>
      </c>
      <c r="E1358" s="21" t="n">
        <v>0</v>
      </c>
      <c r="F1358" s="21" t="n">
        <v>0</v>
      </c>
      <c r="G1358" s="21" t="n">
        <v>0</v>
      </c>
      <c r="H1358" s="21" t="n">
        <v>0</v>
      </c>
      <c r="I1358" s="21" t="n">
        <v>0</v>
      </c>
      <c r="J1358" s="21" t="n">
        <v>0</v>
      </c>
      <c r="K1358" s="21" t="n">
        <v>0</v>
      </c>
      <c r="L1358" s="21" t="n">
        <v>0</v>
      </c>
      <c r="M1358" s="21" t="n">
        <v>0</v>
      </c>
      <c r="N1358" s="21" t="n">
        <v>0</v>
      </c>
      <c r="O1358" s="21" t="n">
        <v>0</v>
      </c>
      <c r="P1358" s="21" t="n">
        <v>0</v>
      </c>
      <c r="Q1358" s="21" t="n">
        <v>0</v>
      </c>
      <c r="R1358" s="21" t="n">
        <v>0</v>
      </c>
      <c r="S1358" s="21" t="n">
        <v>0</v>
      </c>
      <c r="T1358" s="21" t="n">
        <v>0</v>
      </c>
      <c r="U1358" s="21" t="n">
        <v>0</v>
      </c>
      <c r="V1358" s="21" t="n">
        <v>0</v>
      </c>
      <c r="W1358" s="21" t="n">
        <v>0</v>
      </c>
      <c r="X1358" s="21" t="n">
        <v>0</v>
      </c>
      <c r="Y1358" s="21" t="n">
        <v>0</v>
      </c>
      <c r="Z1358" s="21" t="n">
        <v>0</v>
      </c>
      <c r="AA1358" s="21" t="n">
        <v>0</v>
      </c>
      <c r="AB1358" s="21">
        <f>$B$19</f>
        <v/>
      </c>
      <c r="AC1358" s="21">
        <f>$B$21</f>
        <v/>
      </c>
      <c r="AD1358" s="21">
        <f>0</f>
        <v/>
      </c>
      <c r="AE1358" s="21">
        <f>2*$B$20</f>
        <v/>
      </c>
      <c r="AF1358" s="21">
        <f>-$B$19</f>
        <v/>
      </c>
      <c r="AG1358" s="21">
        <f>$B$21</f>
        <v/>
      </c>
      <c r="AH1358" s="21" t="n">
        <v>0</v>
      </c>
      <c r="AI1358" s="21" t="n">
        <v>0</v>
      </c>
      <c r="AJ1358" s="21" t="n">
        <v>0</v>
      </c>
      <c r="AK1358" s="21" t="n">
        <v>0</v>
      </c>
      <c r="AL1358" s="21" t="n">
        <v>0</v>
      </c>
      <c r="AM1358" s="21" t="n">
        <v>0</v>
      </c>
      <c r="AN1358" s="21" t="n">
        <v>0</v>
      </c>
      <c r="AO1358" s="21" t="n">
        <v>0</v>
      </c>
      <c r="AP1358" s="21" t="n">
        <v>0</v>
      </c>
      <c r="AQ1358" s="21" t="n">
        <v>0</v>
      </c>
      <c r="AR1358" s="21" t="n">
        <v>0</v>
      </c>
      <c r="AS1358" s="21" t="n">
        <v>0</v>
      </c>
      <c r="AT1358" s="19" t="n"/>
    </row>
    <row r="1359">
      <c r="D1359" s="21" t="n">
        <v>0</v>
      </c>
      <c r="E1359" s="21" t="n">
        <v>0</v>
      </c>
      <c r="F1359" s="21" t="n">
        <v>0</v>
      </c>
      <c r="G1359" s="21" t="n">
        <v>0</v>
      </c>
      <c r="H1359" s="21" t="n">
        <v>0</v>
      </c>
      <c r="I1359" s="21" t="n">
        <v>0</v>
      </c>
      <c r="J1359" s="21" t="n">
        <v>0</v>
      </c>
      <c r="K1359" s="21" t="n">
        <v>0</v>
      </c>
      <c r="L1359" s="21" t="n">
        <v>0</v>
      </c>
      <c r="M1359" s="21" t="n">
        <v>0</v>
      </c>
      <c r="N1359" s="21" t="n">
        <v>0</v>
      </c>
      <c r="O1359" s="21" t="n">
        <v>0</v>
      </c>
      <c r="P1359" s="21" t="n">
        <v>0</v>
      </c>
      <c r="Q1359" s="21" t="n">
        <v>0</v>
      </c>
      <c r="R1359" s="21" t="n">
        <v>0</v>
      </c>
      <c r="S1359" s="21" t="n">
        <v>0</v>
      </c>
      <c r="T1359" s="21" t="n">
        <v>0</v>
      </c>
      <c r="U1359" s="21" t="n">
        <v>0</v>
      </c>
      <c r="V1359" s="21" t="n">
        <v>0</v>
      </c>
      <c r="W1359" s="21" t="n">
        <v>0</v>
      </c>
      <c r="X1359" s="21" t="n">
        <v>0</v>
      </c>
      <c r="Y1359" s="21" t="n">
        <v>0</v>
      </c>
      <c r="Z1359" s="21" t="n">
        <v>0</v>
      </c>
      <c r="AA1359" s="21" t="n">
        <v>0</v>
      </c>
      <c r="AB1359" s="21" t="n">
        <v>0</v>
      </c>
      <c r="AC1359" s="21" t="n">
        <v>0</v>
      </c>
      <c r="AD1359" s="21">
        <f>-$B$18</f>
        <v/>
      </c>
      <c r="AE1359" s="21">
        <f>-$B$19</f>
        <v/>
      </c>
      <c r="AF1359" s="21">
        <f>2*$B$18+$D$1323</f>
        <v/>
      </c>
      <c r="AG1359" s="21">
        <f>0</f>
        <v/>
      </c>
      <c r="AH1359" s="21">
        <f>-$B$18</f>
        <v/>
      </c>
      <c r="AI1359" s="21">
        <f>$B$19</f>
        <v/>
      </c>
      <c r="AJ1359" s="21" t="n">
        <v>0</v>
      </c>
      <c r="AK1359" s="21" t="n">
        <v>0</v>
      </c>
      <c r="AL1359" s="21" t="n">
        <v>0</v>
      </c>
      <c r="AM1359" s="21" t="n">
        <v>0</v>
      </c>
      <c r="AN1359" s="21" t="n">
        <v>0</v>
      </c>
      <c r="AO1359" s="21" t="n">
        <v>0</v>
      </c>
      <c r="AP1359" s="21" t="n">
        <v>0</v>
      </c>
      <c r="AQ1359" s="21" t="n">
        <v>0</v>
      </c>
      <c r="AR1359" s="21" t="n">
        <v>0</v>
      </c>
      <c r="AS1359" s="21" t="n">
        <v>0</v>
      </c>
      <c r="AT1359" s="19" t="n"/>
    </row>
    <row r="1360">
      <c r="D1360" s="21" t="n">
        <v>0</v>
      </c>
      <c r="E1360" s="21" t="n">
        <v>0</v>
      </c>
      <c r="F1360" s="21" t="n">
        <v>0</v>
      </c>
      <c r="G1360" s="21" t="n">
        <v>0</v>
      </c>
      <c r="H1360" s="21" t="n">
        <v>0</v>
      </c>
      <c r="I1360" s="21" t="n">
        <v>0</v>
      </c>
      <c r="J1360" s="21" t="n">
        <v>0</v>
      </c>
      <c r="K1360" s="21" t="n">
        <v>0</v>
      </c>
      <c r="L1360" s="21" t="n">
        <v>0</v>
      </c>
      <c r="M1360" s="21" t="n">
        <v>0</v>
      </c>
      <c r="N1360" s="21" t="n">
        <v>0</v>
      </c>
      <c r="O1360" s="21" t="n">
        <v>0</v>
      </c>
      <c r="P1360" s="21" t="n">
        <v>0</v>
      </c>
      <c r="Q1360" s="21" t="n">
        <v>0</v>
      </c>
      <c r="R1360" s="21" t="n">
        <v>0</v>
      </c>
      <c r="S1360" s="21" t="n">
        <v>0</v>
      </c>
      <c r="T1360" s="21" t="n">
        <v>0</v>
      </c>
      <c r="U1360" s="21" t="n">
        <v>0</v>
      </c>
      <c r="V1360" s="21" t="n">
        <v>0</v>
      </c>
      <c r="W1360" s="21" t="n">
        <v>0</v>
      </c>
      <c r="X1360" s="21" t="n">
        <v>0</v>
      </c>
      <c r="Y1360" s="21" t="n">
        <v>0</v>
      </c>
      <c r="Z1360" s="21" t="n">
        <v>0</v>
      </c>
      <c r="AA1360" s="21" t="n">
        <v>0</v>
      </c>
      <c r="AB1360" s="21" t="n">
        <v>0</v>
      </c>
      <c r="AC1360" s="21" t="n">
        <v>0</v>
      </c>
      <c r="AD1360" s="21">
        <f>$B$19</f>
        <v/>
      </c>
      <c r="AE1360" s="21">
        <f>$B$21</f>
        <v/>
      </c>
      <c r="AF1360" s="21">
        <f>0</f>
        <v/>
      </c>
      <c r="AG1360" s="21">
        <f>2*$B$20</f>
        <v/>
      </c>
      <c r="AH1360" s="21">
        <f>-$B$19</f>
        <v/>
      </c>
      <c r="AI1360" s="21">
        <f>$B$21</f>
        <v/>
      </c>
      <c r="AJ1360" s="21" t="n">
        <v>0</v>
      </c>
      <c r="AK1360" s="21" t="n">
        <v>0</v>
      </c>
      <c r="AL1360" s="21" t="n">
        <v>0</v>
      </c>
      <c r="AM1360" s="21" t="n">
        <v>0</v>
      </c>
      <c r="AN1360" s="21" t="n">
        <v>0</v>
      </c>
      <c r="AO1360" s="21" t="n">
        <v>0</v>
      </c>
      <c r="AP1360" s="21" t="n">
        <v>0</v>
      </c>
      <c r="AQ1360" s="21" t="n">
        <v>0</v>
      </c>
      <c r="AR1360" s="21" t="n">
        <v>0</v>
      </c>
      <c r="AS1360" s="21" t="n">
        <v>0</v>
      </c>
      <c r="AT1360" s="19" t="n"/>
    </row>
    <row r="1361">
      <c r="D1361" s="21" t="n">
        <v>0</v>
      </c>
      <c r="E1361" s="21" t="n">
        <v>0</v>
      </c>
      <c r="F1361" s="21" t="n">
        <v>0</v>
      </c>
      <c r="G1361" s="21" t="n">
        <v>0</v>
      </c>
      <c r="H1361" s="21" t="n">
        <v>0</v>
      </c>
      <c r="I1361" s="21" t="n">
        <v>0</v>
      </c>
      <c r="J1361" s="21" t="n">
        <v>0</v>
      </c>
      <c r="K1361" s="21" t="n">
        <v>0</v>
      </c>
      <c r="L1361" s="21" t="n">
        <v>0</v>
      </c>
      <c r="M1361" s="21" t="n">
        <v>0</v>
      </c>
      <c r="N1361" s="21" t="n">
        <v>0</v>
      </c>
      <c r="O1361" s="21" t="n">
        <v>0</v>
      </c>
      <c r="P1361" s="21" t="n">
        <v>0</v>
      </c>
      <c r="Q1361" s="21" t="n">
        <v>0</v>
      </c>
      <c r="R1361" s="21" t="n">
        <v>0</v>
      </c>
      <c r="S1361" s="21" t="n">
        <v>0</v>
      </c>
      <c r="T1361" s="21" t="n">
        <v>0</v>
      </c>
      <c r="U1361" s="21" t="n">
        <v>0</v>
      </c>
      <c r="V1361" s="21" t="n">
        <v>0</v>
      </c>
      <c r="W1361" s="21" t="n">
        <v>0</v>
      </c>
      <c r="X1361" s="21" t="n">
        <v>0</v>
      </c>
      <c r="Y1361" s="21" t="n">
        <v>0</v>
      </c>
      <c r="Z1361" s="21" t="n">
        <v>0</v>
      </c>
      <c r="AA1361" s="21" t="n">
        <v>0</v>
      </c>
      <c r="AB1361" s="21" t="n">
        <v>0</v>
      </c>
      <c r="AC1361" s="21" t="n">
        <v>0</v>
      </c>
      <c r="AD1361" s="21" t="n">
        <v>0</v>
      </c>
      <c r="AE1361" s="21" t="n">
        <v>0</v>
      </c>
      <c r="AF1361" s="21">
        <f>-$B$18</f>
        <v/>
      </c>
      <c r="AG1361" s="21">
        <f>-$B$19</f>
        <v/>
      </c>
      <c r="AH1361" s="21">
        <f>2*$B$18+$D$1324</f>
        <v/>
      </c>
      <c r="AI1361" s="21">
        <f>0</f>
        <v/>
      </c>
      <c r="AJ1361" s="21">
        <f>-$B$18</f>
        <v/>
      </c>
      <c r="AK1361" s="21">
        <f>$B$19</f>
        <v/>
      </c>
      <c r="AL1361" s="21" t="n">
        <v>0</v>
      </c>
      <c r="AM1361" s="21" t="n">
        <v>0</v>
      </c>
      <c r="AN1361" s="21" t="n">
        <v>0</v>
      </c>
      <c r="AO1361" s="21" t="n">
        <v>0</v>
      </c>
      <c r="AP1361" s="21" t="n">
        <v>0</v>
      </c>
      <c r="AQ1361" s="21" t="n">
        <v>0</v>
      </c>
      <c r="AR1361" s="21" t="n">
        <v>0</v>
      </c>
      <c r="AS1361" s="21" t="n">
        <v>0</v>
      </c>
      <c r="AT1361" s="19" t="n"/>
    </row>
    <row r="1362">
      <c r="D1362" s="21" t="n">
        <v>0</v>
      </c>
      <c r="E1362" s="21" t="n">
        <v>0</v>
      </c>
      <c r="F1362" s="21" t="n">
        <v>0</v>
      </c>
      <c r="G1362" s="21" t="n">
        <v>0</v>
      </c>
      <c r="H1362" s="21" t="n">
        <v>0</v>
      </c>
      <c r="I1362" s="21" t="n">
        <v>0</v>
      </c>
      <c r="J1362" s="21" t="n">
        <v>0</v>
      </c>
      <c r="K1362" s="21" t="n">
        <v>0</v>
      </c>
      <c r="L1362" s="21" t="n">
        <v>0</v>
      </c>
      <c r="M1362" s="21" t="n">
        <v>0</v>
      </c>
      <c r="N1362" s="21" t="n">
        <v>0</v>
      </c>
      <c r="O1362" s="21" t="n">
        <v>0</v>
      </c>
      <c r="P1362" s="21" t="n">
        <v>0</v>
      </c>
      <c r="Q1362" s="21" t="n">
        <v>0</v>
      </c>
      <c r="R1362" s="21" t="n">
        <v>0</v>
      </c>
      <c r="S1362" s="21" t="n">
        <v>0</v>
      </c>
      <c r="T1362" s="21" t="n">
        <v>0</v>
      </c>
      <c r="U1362" s="21" t="n">
        <v>0</v>
      </c>
      <c r="V1362" s="21" t="n">
        <v>0</v>
      </c>
      <c r="W1362" s="21" t="n">
        <v>0</v>
      </c>
      <c r="X1362" s="21" t="n">
        <v>0</v>
      </c>
      <c r="Y1362" s="21" t="n">
        <v>0</v>
      </c>
      <c r="Z1362" s="21" t="n">
        <v>0</v>
      </c>
      <c r="AA1362" s="21" t="n">
        <v>0</v>
      </c>
      <c r="AB1362" s="21" t="n">
        <v>0</v>
      </c>
      <c r="AC1362" s="21" t="n">
        <v>0</v>
      </c>
      <c r="AD1362" s="21" t="n">
        <v>0</v>
      </c>
      <c r="AE1362" s="21" t="n">
        <v>0</v>
      </c>
      <c r="AF1362" s="21">
        <f>$B$19</f>
        <v/>
      </c>
      <c r="AG1362" s="21">
        <f>$B$21</f>
        <v/>
      </c>
      <c r="AH1362" s="21">
        <f>0</f>
        <v/>
      </c>
      <c r="AI1362" s="21">
        <f>2*$B$20</f>
        <v/>
      </c>
      <c r="AJ1362" s="21">
        <f>-$B$19</f>
        <v/>
      </c>
      <c r="AK1362" s="21">
        <f>$B$21</f>
        <v/>
      </c>
      <c r="AL1362" s="21" t="n">
        <v>0</v>
      </c>
      <c r="AM1362" s="21" t="n">
        <v>0</v>
      </c>
      <c r="AN1362" s="21" t="n">
        <v>0</v>
      </c>
      <c r="AO1362" s="21" t="n">
        <v>0</v>
      </c>
      <c r="AP1362" s="21" t="n">
        <v>0</v>
      </c>
      <c r="AQ1362" s="21" t="n">
        <v>0</v>
      </c>
      <c r="AR1362" s="21" t="n">
        <v>0</v>
      </c>
      <c r="AS1362" s="21" t="n">
        <v>0</v>
      </c>
      <c r="AT1362" s="19" t="n"/>
    </row>
    <row r="1363">
      <c r="D1363" s="21" t="n">
        <v>0</v>
      </c>
      <c r="E1363" s="21" t="n">
        <v>0</v>
      </c>
      <c r="F1363" s="21" t="n">
        <v>0</v>
      </c>
      <c r="G1363" s="21" t="n">
        <v>0</v>
      </c>
      <c r="H1363" s="21" t="n">
        <v>0</v>
      </c>
      <c r="I1363" s="21" t="n">
        <v>0</v>
      </c>
      <c r="J1363" s="21" t="n">
        <v>0</v>
      </c>
      <c r="K1363" s="21" t="n">
        <v>0</v>
      </c>
      <c r="L1363" s="21" t="n">
        <v>0</v>
      </c>
      <c r="M1363" s="21" t="n">
        <v>0</v>
      </c>
      <c r="N1363" s="21" t="n">
        <v>0</v>
      </c>
      <c r="O1363" s="21" t="n">
        <v>0</v>
      </c>
      <c r="P1363" s="21" t="n">
        <v>0</v>
      </c>
      <c r="Q1363" s="21" t="n">
        <v>0</v>
      </c>
      <c r="R1363" s="21" t="n">
        <v>0</v>
      </c>
      <c r="S1363" s="21" t="n">
        <v>0</v>
      </c>
      <c r="T1363" s="21" t="n">
        <v>0</v>
      </c>
      <c r="U1363" s="21" t="n">
        <v>0</v>
      </c>
      <c r="V1363" s="21" t="n">
        <v>0</v>
      </c>
      <c r="W1363" s="21" t="n">
        <v>0</v>
      </c>
      <c r="X1363" s="21" t="n">
        <v>0</v>
      </c>
      <c r="Y1363" s="21" t="n">
        <v>0</v>
      </c>
      <c r="Z1363" s="21" t="n">
        <v>0</v>
      </c>
      <c r="AA1363" s="21" t="n">
        <v>0</v>
      </c>
      <c r="AB1363" s="21" t="n">
        <v>0</v>
      </c>
      <c r="AC1363" s="21" t="n">
        <v>0</v>
      </c>
      <c r="AD1363" s="21" t="n">
        <v>0</v>
      </c>
      <c r="AE1363" s="21" t="n">
        <v>0</v>
      </c>
      <c r="AF1363" s="21" t="n">
        <v>0</v>
      </c>
      <c r="AG1363" s="21" t="n">
        <v>0</v>
      </c>
      <c r="AH1363" s="21">
        <f>-$B$18</f>
        <v/>
      </c>
      <c r="AI1363" s="21">
        <f>-$B$19</f>
        <v/>
      </c>
      <c r="AJ1363" s="21">
        <f>2*$B$18+$D$1325</f>
        <v/>
      </c>
      <c r="AK1363" s="21">
        <f>0</f>
        <v/>
      </c>
      <c r="AL1363" s="21">
        <f>-$B$18</f>
        <v/>
      </c>
      <c r="AM1363" s="21">
        <f>$B$19</f>
        <v/>
      </c>
      <c r="AN1363" s="21" t="n">
        <v>0</v>
      </c>
      <c r="AO1363" s="21" t="n">
        <v>0</v>
      </c>
      <c r="AP1363" s="21" t="n">
        <v>0</v>
      </c>
      <c r="AQ1363" s="21" t="n">
        <v>0</v>
      </c>
      <c r="AR1363" s="21" t="n">
        <v>0</v>
      </c>
      <c r="AS1363" s="21" t="n">
        <v>0</v>
      </c>
      <c r="AT1363" s="19" t="n"/>
    </row>
    <row r="1364">
      <c r="D1364" s="21" t="n">
        <v>0</v>
      </c>
      <c r="E1364" s="21" t="n">
        <v>0</v>
      </c>
      <c r="F1364" s="21" t="n">
        <v>0</v>
      </c>
      <c r="G1364" s="21" t="n">
        <v>0</v>
      </c>
      <c r="H1364" s="21" t="n">
        <v>0</v>
      </c>
      <c r="I1364" s="21" t="n">
        <v>0</v>
      </c>
      <c r="J1364" s="21" t="n">
        <v>0</v>
      </c>
      <c r="K1364" s="21" t="n">
        <v>0</v>
      </c>
      <c r="L1364" s="21" t="n">
        <v>0</v>
      </c>
      <c r="M1364" s="21" t="n">
        <v>0</v>
      </c>
      <c r="N1364" s="21" t="n">
        <v>0</v>
      </c>
      <c r="O1364" s="21" t="n">
        <v>0</v>
      </c>
      <c r="P1364" s="21" t="n">
        <v>0</v>
      </c>
      <c r="Q1364" s="21" t="n">
        <v>0</v>
      </c>
      <c r="R1364" s="21" t="n">
        <v>0</v>
      </c>
      <c r="S1364" s="21" t="n">
        <v>0</v>
      </c>
      <c r="T1364" s="21" t="n">
        <v>0</v>
      </c>
      <c r="U1364" s="21" t="n">
        <v>0</v>
      </c>
      <c r="V1364" s="21" t="n">
        <v>0</v>
      </c>
      <c r="W1364" s="21" t="n">
        <v>0</v>
      </c>
      <c r="X1364" s="21" t="n">
        <v>0</v>
      </c>
      <c r="Y1364" s="21" t="n">
        <v>0</v>
      </c>
      <c r="Z1364" s="21" t="n">
        <v>0</v>
      </c>
      <c r="AA1364" s="21" t="n">
        <v>0</v>
      </c>
      <c r="AB1364" s="21" t="n">
        <v>0</v>
      </c>
      <c r="AC1364" s="21" t="n">
        <v>0</v>
      </c>
      <c r="AD1364" s="21" t="n">
        <v>0</v>
      </c>
      <c r="AE1364" s="21" t="n">
        <v>0</v>
      </c>
      <c r="AF1364" s="21" t="n">
        <v>0</v>
      </c>
      <c r="AG1364" s="21" t="n">
        <v>0</v>
      </c>
      <c r="AH1364" s="21">
        <f>$B$19</f>
        <v/>
      </c>
      <c r="AI1364" s="21">
        <f>$B$21</f>
        <v/>
      </c>
      <c r="AJ1364" s="21">
        <f>0</f>
        <v/>
      </c>
      <c r="AK1364" s="21">
        <f>2*$B$20</f>
        <v/>
      </c>
      <c r="AL1364" s="21">
        <f>-$B$19</f>
        <v/>
      </c>
      <c r="AM1364" s="21">
        <f>$B$21</f>
        <v/>
      </c>
      <c r="AN1364" s="21" t="n">
        <v>0</v>
      </c>
      <c r="AO1364" s="21" t="n">
        <v>0</v>
      </c>
      <c r="AP1364" s="21" t="n">
        <v>0</v>
      </c>
      <c r="AQ1364" s="21" t="n">
        <v>0</v>
      </c>
      <c r="AR1364" s="21" t="n">
        <v>0</v>
      </c>
      <c r="AS1364" s="21" t="n">
        <v>0</v>
      </c>
      <c r="AT1364" s="19" t="n"/>
    </row>
    <row r="1365">
      <c r="D1365" s="21" t="n">
        <v>0</v>
      </c>
      <c r="E1365" s="21" t="n">
        <v>0</v>
      </c>
      <c r="F1365" s="21" t="n">
        <v>0</v>
      </c>
      <c r="G1365" s="21" t="n">
        <v>0</v>
      </c>
      <c r="H1365" s="21" t="n">
        <v>0</v>
      </c>
      <c r="I1365" s="21" t="n">
        <v>0</v>
      </c>
      <c r="J1365" s="21" t="n">
        <v>0</v>
      </c>
      <c r="K1365" s="21" t="n">
        <v>0</v>
      </c>
      <c r="L1365" s="21" t="n">
        <v>0</v>
      </c>
      <c r="M1365" s="21" t="n">
        <v>0</v>
      </c>
      <c r="N1365" s="21" t="n">
        <v>0</v>
      </c>
      <c r="O1365" s="21" t="n">
        <v>0</v>
      </c>
      <c r="P1365" s="21" t="n">
        <v>0</v>
      </c>
      <c r="Q1365" s="21" t="n">
        <v>0</v>
      </c>
      <c r="R1365" s="21" t="n">
        <v>0</v>
      </c>
      <c r="S1365" s="21" t="n">
        <v>0</v>
      </c>
      <c r="T1365" s="21" t="n">
        <v>0</v>
      </c>
      <c r="U1365" s="21" t="n">
        <v>0</v>
      </c>
      <c r="V1365" s="21" t="n">
        <v>0</v>
      </c>
      <c r="W1365" s="21" t="n">
        <v>0</v>
      </c>
      <c r="X1365" s="21" t="n">
        <v>0</v>
      </c>
      <c r="Y1365" s="21" t="n">
        <v>0</v>
      </c>
      <c r="Z1365" s="21" t="n">
        <v>0</v>
      </c>
      <c r="AA1365" s="21" t="n">
        <v>0</v>
      </c>
      <c r="AB1365" s="21" t="n">
        <v>0</v>
      </c>
      <c r="AC1365" s="21" t="n">
        <v>0</v>
      </c>
      <c r="AD1365" s="21" t="n">
        <v>0</v>
      </c>
      <c r="AE1365" s="21" t="n">
        <v>0</v>
      </c>
      <c r="AF1365" s="21" t="n">
        <v>0</v>
      </c>
      <c r="AG1365" s="21" t="n">
        <v>0</v>
      </c>
      <c r="AH1365" s="21" t="n">
        <v>0</v>
      </c>
      <c r="AI1365" s="21" t="n">
        <v>0</v>
      </c>
      <c r="AJ1365" s="21">
        <f>-$B$18</f>
        <v/>
      </c>
      <c r="AK1365" s="21">
        <f>-$B$19</f>
        <v/>
      </c>
      <c r="AL1365" s="21">
        <f>2*$B$18+$D$1326</f>
        <v/>
      </c>
      <c r="AM1365" s="21">
        <f>0</f>
        <v/>
      </c>
      <c r="AN1365" s="21">
        <f>-$B$18</f>
        <v/>
      </c>
      <c r="AO1365" s="21">
        <f>$B$19</f>
        <v/>
      </c>
      <c r="AP1365" s="21" t="n">
        <v>0</v>
      </c>
      <c r="AQ1365" s="21" t="n">
        <v>0</v>
      </c>
      <c r="AR1365" s="21" t="n">
        <v>0</v>
      </c>
      <c r="AS1365" s="21" t="n">
        <v>0</v>
      </c>
      <c r="AT1365" s="19" t="n"/>
    </row>
    <row r="1366">
      <c r="D1366" s="21" t="n">
        <v>0</v>
      </c>
      <c r="E1366" s="21" t="n">
        <v>0</v>
      </c>
      <c r="F1366" s="21" t="n">
        <v>0</v>
      </c>
      <c r="G1366" s="21" t="n">
        <v>0</v>
      </c>
      <c r="H1366" s="21" t="n">
        <v>0</v>
      </c>
      <c r="I1366" s="21" t="n">
        <v>0</v>
      </c>
      <c r="J1366" s="21" t="n">
        <v>0</v>
      </c>
      <c r="K1366" s="21" t="n">
        <v>0</v>
      </c>
      <c r="L1366" s="21" t="n">
        <v>0</v>
      </c>
      <c r="M1366" s="21" t="n">
        <v>0</v>
      </c>
      <c r="N1366" s="21" t="n">
        <v>0</v>
      </c>
      <c r="O1366" s="21" t="n">
        <v>0</v>
      </c>
      <c r="P1366" s="21" t="n">
        <v>0</v>
      </c>
      <c r="Q1366" s="21" t="n">
        <v>0</v>
      </c>
      <c r="R1366" s="21" t="n">
        <v>0</v>
      </c>
      <c r="S1366" s="21" t="n">
        <v>0</v>
      </c>
      <c r="T1366" s="21" t="n">
        <v>0</v>
      </c>
      <c r="U1366" s="21" t="n">
        <v>0</v>
      </c>
      <c r="V1366" s="21" t="n">
        <v>0</v>
      </c>
      <c r="W1366" s="21" t="n">
        <v>0</v>
      </c>
      <c r="X1366" s="21" t="n">
        <v>0</v>
      </c>
      <c r="Y1366" s="21" t="n">
        <v>0</v>
      </c>
      <c r="Z1366" s="21" t="n">
        <v>0</v>
      </c>
      <c r="AA1366" s="21" t="n">
        <v>0</v>
      </c>
      <c r="AB1366" s="21" t="n">
        <v>0</v>
      </c>
      <c r="AC1366" s="21" t="n">
        <v>0</v>
      </c>
      <c r="AD1366" s="21" t="n">
        <v>0</v>
      </c>
      <c r="AE1366" s="21" t="n">
        <v>0</v>
      </c>
      <c r="AF1366" s="21" t="n">
        <v>0</v>
      </c>
      <c r="AG1366" s="21" t="n">
        <v>0</v>
      </c>
      <c r="AH1366" s="21" t="n">
        <v>0</v>
      </c>
      <c r="AI1366" s="21" t="n">
        <v>0</v>
      </c>
      <c r="AJ1366" s="21">
        <f>$B$19</f>
        <v/>
      </c>
      <c r="AK1366" s="21">
        <f>$B$21</f>
        <v/>
      </c>
      <c r="AL1366" s="21">
        <f>0</f>
        <v/>
      </c>
      <c r="AM1366" s="21">
        <f>2*$B$20</f>
        <v/>
      </c>
      <c r="AN1366" s="21">
        <f>-$B$19</f>
        <v/>
      </c>
      <c r="AO1366" s="21">
        <f>$B$21</f>
        <v/>
      </c>
      <c r="AP1366" s="21" t="n">
        <v>0</v>
      </c>
      <c r="AQ1366" s="21" t="n">
        <v>0</v>
      </c>
      <c r="AR1366" s="21" t="n">
        <v>0</v>
      </c>
      <c r="AS1366" s="21" t="n">
        <v>0</v>
      </c>
      <c r="AT1366" s="19" t="n"/>
    </row>
    <row r="1367">
      <c r="D1367" s="21" t="n">
        <v>0</v>
      </c>
      <c r="E1367" s="21" t="n">
        <v>0</v>
      </c>
      <c r="F1367" s="21" t="n">
        <v>0</v>
      </c>
      <c r="G1367" s="21" t="n">
        <v>0</v>
      </c>
      <c r="H1367" s="21" t="n">
        <v>0</v>
      </c>
      <c r="I1367" s="21" t="n">
        <v>0</v>
      </c>
      <c r="J1367" s="21" t="n">
        <v>0</v>
      </c>
      <c r="K1367" s="21" t="n">
        <v>0</v>
      </c>
      <c r="L1367" s="21" t="n">
        <v>0</v>
      </c>
      <c r="M1367" s="21" t="n">
        <v>0</v>
      </c>
      <c r="N1367" s="21" t="n">
        <v>0</v>
      </c>
      <c r="O1367" s="21" t="n">
        <v>0</v>
      </c>
      <c r="P1367" s="21" t="n">
        <v>0</v>
      </c>
      <c r="Q1367" s="21" t="n">
        <v>0</v>
      </c>
      <c r="R1367" s="21" t="n">
        <v>0</v>
      </c>
      <c r="S1367" s="21" t="n">
        <v>0</v>
      </c>
      <c r="T1367" s="21" t="n">
        <v>0</v>
      </c>
      <c r="U1367" s="21" t="n">
        <v>0</v>
      </c>
      <c r="V1367" s="21" t="n">
        <v>0</v>
      </c>
      <c r="W1367" s="21" t="n">
        <v>0</v>
      </c>
      <c r="X1367" s="21" t="n">
        <v>0</v>
      </c>
      <c r="Y1367" s="21" t="n">
        <v>0</v>
      </c>
      <c r="Z1367" s="21" t="n">
        <v>0</v>
      </c>
      <c r="AA1367" s="21" t="n">
        <v>0</v>
      </c>
      <c r="AB1367" s="21" t="n">
        <v>0</v>
      </c>
      <c r="AC1367" s="21" t="n">
        <v>0</v>
      </c>
      <c r="AD1367" s="21" t="n">
        <v>0</v>
      </c>
      <c r="AE1367" s="21" t="n">
        <v>0</v>
      </c>
      <c r="AF1367" s="21" t="n">
        <v>0</v>
      </c>
      <c r="AG1367" s="21" t="n">
        <v>0</v>
      </c>
      <c r="AH1367" s="21" t="n">
        <v>0</v>
      </c>
      <c r="AI1367" s="21" t="n">
        <v>0</v>
      </c>
      <c r="AJ1367" s="21" t="n">
        <v>0</v>
      </c>
      <c r="AK1367" s="21" t="n">
        <v>0</v>
      </c>
      <c r="AL1367" s="21">
        <f>-$B$18</f>
        <v/>
      </c>
      <c r="AM1367" s="21">
        <f>-$B$19</f>
        <v/>
      </c>
      <c r="AN1367" s="21">
        <f>2*$B$18+$D$1327</f>
        <v/>
      </c>
      <c r="AO1367" s="21">
        <f>0</f>
        <v/>
      </c>
      <c r="AP1367" s="21">
        <f>-$B$18</f>
        <v/>
      </c>
      <c r="AQ1367" s="21">
        <f>$B$19</f>
        <v/>
      </c>
      <c r="AR1367" s="21" t="n">
        <v>0</v>
      </c>
      <c r="AS1367" s="21" t="n">
        <v>0</v>
      </c>
      <c r="AT1367" s="19" t="n"/>
    </row>
    <row r="1368">
      <c r="D1368" s="21" t="n">
        <v>0</v>
      </c>
      <c r="E1368" s="21" t="n">
        <v>0</v>
      </c>
      <c r="F1368" s="21" t="n">
        <v>0</v>
      </c>
      <c r="G1368" s="21" t="n">
        <v>0</v>
      </c>
      <c r="H1368" s="21" t="n">
        <v>0</v>
      </c>
      <c r="I1368" s="21" t="n">
        <v>0</v>
      </c>
      <c r="J1368" s="21" t="n">
        <v>0</v>
      </c>
      <c r="K1368" s="21" t="n">
        <v>0</v>
      </c>
      <c r="L1368" s="21" t="n">
        <v>0</v>
      </c>
      <c r="M1368" s="21" t="n">
        <v>0</v>
      </c>
      <c r="N1368" s="21" t="n">
        <v>0</v>
      </c>
      <c r="O1368" s="21" t="n">
        <v>0</v>
      </c>
      <c r="P1368" s="21" t="n">
        <v>0</v>
      </c>
      <c r="Q1368" s="21" t="n">
        <v>0</v>
      </c>
      <c r="R1368" s="21" t="n">
        <v>0</v>
      </c>
      <c r="S1368" s="21" t="n">
        <v>0</v>
      </c>
      <c r="T1368" s="21" t="n">
        <v>0</v>
      </c>
      <c r="U1368" s="21" t="n">
        <v>0</v>
      </c>
      <c r="V1368" s="21" t="n">
        <v>0</v>
      </c>
      <c r="W1368" s="21" t="n">
        <v>0</v>
      </c>
      <c r="X1368" s="21" t="n">
        <v>0</v>
      </c>
      <c r="Y1368" s="21" t="n">
        <v>0</v>
      </c>
      <c r="Z1368" s="21" t="n">
        <v>0</v>
      </c>
      <c r="AA1368" s="21" t="n">
        <v>0</v>
      </c>
      <c r="AB1368" s="21" t="n">
        <v>0</v>
      </c>
      <c r="AC1368" s="21" t="n">
        <v>0</v>
      </c>
      <c r="AD1368" s="21" t="n">
        <v>0</v>
      </c>
      <c r="AE1368" s="21" t="n">
        <v>0</v>
      </c>
      <c r="AF1368" s="21" t="n">
        <v>0</v>
      </c>
      <c r="AG1368" s="21" t="n">
        <v>0</v>
      </c>
      <c r="AH1368" s="21" t="n">
        <v>0</v>
      </c>
      <c r="AI1368" s="21" t="n">
        <v>0</v>
      </c>
      <c r="AJ1368" s="21" t="n">
        <v>0</v>
      </c>
      <c r="AK1368" s="21" t="n">
        <v>0</v>
      </c>
      <c r="AL1368" s="21">
        <f>$B$19</f>
        <v/>
      </c>
      <c r="AM1368" s="21">
        <f>$B$21</f>
        <v/>
      </c>
      <c r="AN1368" s="21">
        <f>0</f>
        <v/>
      </c>
      <c r="AO1368" s="21">
        <f>2*$B$20</f>
        <v/>
      </c>
      <c r="AP1368" s="21">
        <f>-$B$19</f>
        <v/>
      </c>
      <c r="AQ1368" s="21">
        <f>$B$21</f>
        <v/>
      </c>
      <c r="AR1368" s="21" t="n">
        <v>0</v>
      </c>
      <c r="AS1368" s="21" t="n">
        <v>0</v>
      </c>
      <c r="AT1368" s="19" t="n"/>
    </row>
    <row r="1369">
      <c r="D1369" s="21" t="n">
        <v>0</v>
      </c>
      <c r="E1369" s="21" t="n">
        <v>0</v>
      </c>
      <c r="F1369" s="21" t="n">
        <v>0</v>
      </c>
      <c r="G1369" s="21" t="n">
        <v>0</v>
      </c>
      <c r="H1369" s="21" t="n">
        <v>0</v>
      </c>
      <c r="I1369" s="21" t="n">
        <v>0</v>
      </c>
      <c r="J1369" s="21" t="n">
        <v>0</v>
      </c>
      <c r="K1369" s="21" t="n">
        <v>0</v>
      </c>
      <c r="L1369" s="21" t="n">
        <v>0</v>
      </c>
      <c r="M1369" s="21" t="n">
        <v>0</v>
      </c>
      <c r="N1369" s="21" t="n">
        <v>0</v>
      </c>
      <c r="O1369" s="21" t="n">
        <v>0</v>
      </c>
      <c r="P1369" s="21" t="n">
        <v>0</v>
      </c>
      <c r="Q1369" s="21" t="n">
        <v>0</v>
      </c>
      <c r="R1369" s="21" t="n">
        <v>0</v>
      </c>
      <c r="S1369" s="21" t="n">
        <v>0</v>
      </c>
      <c r="T1369" s="21" t="n">
        <v>0</v>
      </c>
      <c r="U1369" s="21" t="n">
        <v>0</v>
      </c>
      <c r="V1369" s="21" t="n">
        <v>0</v>
      </c>
      <c r="W1369" s="21" t="n">
        <v>0</v>
      </c>
      <c r="X1369" s="21" t="n">
        <v>0</v>
      </c>
      <c r="Y1369" s="21" t="n">
        <v>0</v>
      </c>
      <c r="Z1369" s="21" t="n">
        <v>0</v>
      </c>
      <c r="AA1369" s="21" t="n">
        <v>0</v>
      </c>
      <c r="AB1369" s="21" t="n">
        <v>0</v>
      </c>
      <c r="AC1369" s="21" t="n">
        <v>0</v>
      </c>
      <c r="AD1369" s="21" t="n">
        <v>0</v>
      </c>
      <c r="AE1369" s="21" t="n">
        <v>0</v>
      </c>
      <c r="AF1369" s="21" t="n">
        <v>0</v>
      </c>
      <c r="AG1369" s="21" t="n">
        <v>0</v>
      </c>
      <c r="AH1369" s="21" t="n">
        <v>0</v>
      </c>
      <c r="AI1369" s="21" t="n">
        <v>0</v>
      </c>
      <c r="AJ1369" s="21" t="n">
        <v>0</v>
      </c>
      <c r="AK1369" s="21" t="n">
        <v>0</v>
      </c>
      <c r="AL1369" s="21" t="n">
        <v>0</v>
      </c>
      <c r="AM1369" s="21" t="n">
        <v>0</v>
      </c>
      <c r="AN1369" s="21">
        <f>-$B$18</f>
        <v/>
      </c>
      <c r="AO1369" s="21">
        <f>-$B$19</f>
        <v/>
      </c>
      <c r="AP1369" s="21">
        <f>2*$B$18+$D$1328</f>
        <v/>
      </c>
      <c r="AQ1369" s="21">
        <f>0</f>
        <v/>
      </c>
      <c r="AR1369" s="21">
        <f>-$B$18</f>
        <v/>
      </c>
      <c r="AS1369" s="21">
        <f>$B$19</f>
        <v/>
      </c>
      <c r="AT1369" s="19" t="n"/>
    </row>
    <row r="1370">
      <c r="D1370" s="21" t="n">
        <v>0</v>
      </c>
      <c r="E1370" s="21" t="n">
        <v>0</v>
      </c>
      <c r="F1370" s="21" t="n">
        <v>0</v>
      </c>
      <c r="G1370" s="21" t="n">
        <v>0</v>
      </c>
      <c r="H1370" s="21" t="n">
        <v>0</v>
      </c>
      <c r="I1370" s="21" t="n">
        <v>0</v>
      </c>
      <c r="J1370" s="21" t="n">
        <v>0</v>
      </c>
      <c r="K1370" s="21" t="n">
        <v>0</v>
      </c>
      <c r="L1370" s="21" t="n">
        <v>0</v>
      </c>
      <c r="M1370" s="21" t="n">
        <v>0</v>
      </c>
      <c r="N1370" s="21" t="n">
        <v>0</v>
      </c>
      <c r="O1370" s="21" t="n">
        <v>0</v>
      </c>
      <c r="P1370" s="21" t="n">
        <v>0</v>
      </c>
      <c r="Q1370" s="21" t="n">
        <v>0</v>
      </c>
      <c r="R1370" s="21" t="n">
        <v>0</v>
      </c>
      <c r="S1370" s="21" t="n">
        <v>0</v>
      </c>
      <c r="T1370" s="21" t="n">
        <v>0</v>
      </c>
      <c r="U1370" s="21" t="n">
        <v>0</v>
      </c>
      <c r="V1370" s="21" t="n">
        <v>0</v>
      </c>
      <c r="W1370" s="21" t="n">
        <v>0</v>
      </c>
      <c r="X1370" s="21" t="n">
        <v>0</v>
      </c>
      <c r="Y1370" s="21" t="n">
        <v>0</v>
      </c>
      <c r="Z1370" s="21" t="n">
        <v>0</v>
      </c>
      <c r="AA1370" s="21" t="n">
        <v>0</v>
      </c>
      <c r="AB1370" s="21" t="n">
        <v>0</v>
      </c>
      <c r="AC1370" s="21" t="n">
        <v>0</v>
      </c>
      <c r="AD1370" s="21" t="n">
        <v>0</v>
      </c>
      <c r="AE1370" s="21" t="n">
        <v>0</v>
      </c>
      <c r="AF1370" s="21" t="n">
        <v>0</v>
      </c>
      <c r="AG1370" s="21" t="n">
        <v>0</v>
      </c>
      <c r="AH1370" s="21" t="n">
        <v>0</v>
      </c>
      <c r="AI1370" s="21" t="n">
        <v>0</v>
      </c>
      <c r="AJ1370" s="21" t="n">
        <v>0</v>
      </c>
      <c r="AK1370" s="21" t="n">
        <v>0</v>
      </c>
      <c r="AL1370" s="21" t="n">
        <v>0</v>
      </c>
      <c r="AM1370" s="21" t="n">
        <v>0</v>
      </c>
      <c r="AN1370" s="21">
        <f>$B$19</f>
        <v/>
      </c>
      <c r="AO1370" s="21">
        <f>$B$21</f>
        <v/>
      </c>
      <c r="AP1370" s="21">
        <f>0</f>
        <v/>
      </c>
      <c r="AQ1370" s="21">
        <f>2*$B$20</f>
        <v/>
      </c>
      <c r="AR1370" s="21">
        <f>-$B$19</f>
        <v/>
      </c>
      <c r="AS1370" s="21">
        <f>$B$21</f>
        <v/>
      </c>
      <c r="AT1370" s="19" t="n"/>
    </row>
    <row r="1371">
      <c r="D1371" s="21" t="n">
        <v>0</v>
      </c>
      <c r="E1371" s="21" t="n">
        <v>0</v>
      </c>
      <c r="F1371" s="21" t="n">
        <v>0</v>
      </c>
      <c r="G1371" s="21" t="n">
        <v>0</v>
      </c>
      <c r="H1371" s="21" t="n">
        <v>0</v>
      </c>
      <c r="I1371" s="21" t="n">
        <v>0</v>
      </c>
      <c r="J1371" s="21" t="n">
        <v>0</v>
      </c>
      <c r="K1371" s="21" t="n">
        <v>0</v>
      </c>
      <c r="L1371" s="21" t="n">
        <v>0</v>
      </c>
      <c r="M1371" s="21" t="n">
        <v>0</v>
      </c>
      <c r="N1371" s="21" t="n">
        <v>0</v>
      </c>
      <c r="O1371" s="21" t="n">
        <v>0</v>
      </c>
      <c r="P1371" s="21" t="n">
        <v>0</v>
      </c>
      <c r="Q1371" s="21" t="n">
        <v>0</v>
      </c>
      <c r="R1371" s="21" t="n">
        <v>0</v>
      </c>
      <c r="S1371" s="21" t="n">
        <v>0</v>
      </c>
      <c r="T1371" s="21" t="n">
        <v>0</v>
      </c>
      <c r="U1371" s="21" t="n">
        <v>0</v>
      </c>
      <c r="V1371" s="21" t="n">
        <v>0</v>
      </c>
      <c r="W1371" s="21" t="n">
        <v>0</v>
      </c>
      <c r="X1371" s="21" t="n">
        <v>0</v>
      </c>
      <c r="Y1371" s="21" t="n">
        <v>0</v>
      </c>
      <c r="Z1371" s="21" t="n">
        <v>0</v>
      </c>
      <c r="AA1371" s="21" t="n">
        <v>0</v>
      </c>
      <c r="AB1371" s="21" t="n">
        <v>0</v>
      </c>
      <c r="AC1371" s="21" t="n">
        <v>0</v>
      </c>
      <c r="AD1371" s="21" t="n">
        <v>0</v>
      </c>
      <c r="AE1371" s="21" t="n">
        <v>0</v>
      </c>
      <c r="AF1371" s="21" t="n">
        <v>0</v>
      </c>
      <c r="AG1371" s="21" t="n">
        <v>0</v>
      </c>
      <c r="AH1371" s="21" t="n">
        <v>0</v>
      </c>
      <c r="AI1371" s="21" t="n">
        <v>0</v>
      </c>
      <c r="AJ1371" s="21" t="n">
        <v>0</v>
      </c>
      <c r="AK1371" s="21" t="n">
        <v>0</v>
      </c>
      <c r="AL1371" s="21" t="n">
        <v>0</v>
      </c>
      <c r="AM1371" s="21" t="n">
        <v>0</v>
      </c>
      <c r="AN1371" s="21" t="n">
        <v>0</v>
      </c>
      <c r="AO1371" s="21" t="n">
        <v>0</v>
      </c>
      <c r="AP1371" s="21">
        <f>-$B$18</f>
        <v/>
      </c>
      <c r="AQ1371" s="21">
        <f>-$B$19</f>
        <v/>
      </c>
      <c r="AR1371" s="21">
        <f>$B$18+$D$1329</f>
        <v/>
      </c>
      <c r="AS1371" s="21">
        <f>-$B$19</f>
        <v/>
      </c>
      <c r="AT1371" s="19" t="n"/>
    </row>
    <row r="1372">
      <c r="D1372" s="21" t="n">
        <v>0</v>
      </c>
      <c r="E1372" s="21" t="n">
        <v>0</v>
      </c>
      <c r="F1372" s="21" t="n">
        <v>0</v>
      </c>
      <c r="G1372" s="21" t="n">
        <v>0</v>
      </c>
      <c r="H1372" s="21" t="n">
        <v>0</v>
      </c>
      <c r="I1372" s="21" t="n">
        <v>0</v>
      </c>
      <c r="J1372" s="21" t="n">
        <v>0</v>
      </c>
      <c r="K1372" s="21" t="n">
        <v>0</v>
      </c>
      <c r="L1372" s="21" t="n">
        <v>0</v>
      </c>
      <c r="M1372" s="21" t="n">
        <v>0</v>
      </c>
      <c r="N1372" s="21" t="n">
        <v>0</v>
      </c>
      <c r="O1372" s="21" t="n">
        <v>0</v>
      </c>
      <c r="P1372" s="21" t="n">
        <v>0</v>
      </c>
      <c r="Q1372" s="21" t="n">
        <v>0</v>
      </c>
      <c r="R1372" s="21" t="n">
        <v>0</v>
      </c>
      <c r="S1372" s="21" t="n">
        <v>0</v>
      </c>
      <c r="T1372" s="21" t="n">
        <v>0</v>
      </c>
      <c r="U1372" s="21" t="n">
        <v>0</v>
      </c>
      <c r="V1372" s="21" t="n">
        <v>0</v>
      </c>
      <c r="W1372" s="21" t="n">
        <v>0</v>
      </c>
      <c r="X1372" s="21" t="n">
        <v>0</v>
      </c>
      <c r="Y1372" s="21" t="n">
        <v>0</v>
      </c>
      <c r="Z1372" s="21" t="n">
        <v>0</v>
      </c>
      <c r="AA1372" s="21" t="n">
        <v>0</v>
      </c>
      <c r="AB1372" s="21" t="n">
        <v>0</v>
      </c>
      <c r="AC1372" s="21" t="n">
        <v>0</v>
      </c>
      <c r="AD1372" s="21" t="n">
        <v>0</v>
      </c>
      <c r="AE1372" s="21" t="n">
        <v>0</v>
      </c>
      <c r="AF1372" s="21" t="n">
        <v>0</v>
      </c>
      <c r="AG1372" s="21" t="n">
        <v>0</v>
      </c>
      <c r="AH1372" s="21" t="n">
        <v>0</v>
      </c>
      <c r="AI1372" s="21" t="n">
        <v>0</v>
      </c>
      <c r="AJ1372" s="21" t="n">
        <v>0</v>
      </c>
      <c r="AK1372" s="21" t="n">
        <v>0</v>
      </c>
      <c r="AL1372" s="21" t="n">
        <v>0</v>
      </c>
      <c r="AM1372" s="21" t="n">
        <v>0</v>
      </c>
      <c r="AN1372" s="21" t="n">
        <v>0</v>
      </c>
      <c r="AO1372" s="21" t="n">
        <v>0</v>
      </c>
      <c r="AP1372" s="21">
        <f>$B$19</f>
        <v/>
      </c>
      <c r="AQ1372" s="21">
        <f>$B$21</f>
        <v/>
      </c>
      <c r="AR1372" s="21">
        <f>-$B$19</f>
        <v/>
      </c>
      <c r="AS1372" s="21">
        <f>$B$20</f>
        <v/>
      </c>
      <c r="AT1372" s="19" t="n"/>
    </row>
    <row r="1374">
      <c r="A1374" s="8" t="inlineStr">
        <is>
          <t>gen 20</t>
        </is>
      </c>
    </row>
    <row r="1375">
      <c r="D1375" s="19">
        <f>IF(ABS(IF(ABS($E$1309)&gt;0.000000001,$E$1309,0.000000001))=0,0,IF($E$33&lt;=$B$27,0,IF(ABS(IF(ABS($E$1309)&gt;0.000000001,$E$1309,0.000000001))&gt;=8*$B$29,$H$33,0.5*$H$33*(ABS(IF(ABS($E$1309)&gt;0.000000001,$E$1309,0.000000001))/$B$29)^(1/3)))/ABS(IF(ABS($E$1309)&gt;0.000000001,$E$1309,0.000000001))*$I$33)</f>
        <v/>
      </c>
      <c r="E1375" s="19">
        <f>0.5*$E$1309+0.5*$AT$1397</f>
        <v/>
      </c>
      <c r="F1375" s="19">
        <f>$AT$1398</f>
        <v/>
      </c>
    </row>
    <row r="1376">
      <c r="D1376" s="19">
        <f>IF(ABS(IF(ABS($E$1310)&gt;0.000000001,$E$1310,0.000000001))=0,0,IF($E$34&lt;=$B$27,0,IF(ABS(IF(ABS($E$1310)&gt;0.000000001,$E$1310,0.000000001))&gt;=8*$B$29,$H$34,0.5*$H$34*(ABS(IF(ABS($E$1310)&gt;0.000000001,$E$1310,0.000000001))/$B$29)^(1/3)))/ABS(IF(ABS($E$1310)&gt;0.000000001,$E$1310,0.000000001))*$I$34)</f>
        <v/>
      </c>
      <c r="E1376" s="19">
        <f>0.5*$E$1310+0.5*$AT$1399</f>
        <v/>
      </c>
      <c r="F1376" s="19">
        <f>$AT$1400</f>
        <v/>
      </c>
    </row>
    <row r="1377">
      <c r="D1377" s="19">
        <f>IF(ABS(IF(ABS($E$1311)&gt;0.000000001,$E$1311,0.000000001))=0,0,IF($E$35&lt;=$B$27,0,IF(ABS(IF(ABS($E$1311)&gt;0.000000001,$E$1311,0.000000001))&gt;=8*$B$29,$H$35,0.5*$H$35*(ABS(IF(ABS($E$1311)&gt;0.000000001,$E$1311,0.000000001))/$B$29)^(1/3)))/ABS(IF(ABS($E$1311)&gt;0.000000001,$E$1311,0.000000001))*$I$35)</f>
        <v/>
      </c>
      <c r="E1377" s="19">
        <f>0.5*$E$1311+0.5*$AT$1401</f>
        <v/>
      </c>
      <c r="F1377" s="19">
        <f>$AT$1402</f>
        <v/>
      </c>
    </row>
    <row r="1378">
      <c r="D1378" s="19">
        <f>IF(ABS(IF(ABS($E$1312)&gt;0.000000001,$E$1312,0.000000001))=0,0,IF($E$36&lt;=$B$27,0,IF(ABS(IF(ABS($E$1312)&gt;0.000000001,$E$1312,0.000000001))&gt;=8*$B$29,$H$36,0.5*$H$36*(ABS(IF(ABS($E$1312)&gt;0.000000001,$E$1312,0.000000001))/$B$29)^(1/3)))/ABS(IF(ABS($E$1312)&gt;0.000000001,$E$1312,0.000000001))*$I$36)</f>
        <v/>
      </c>
      <c r="E1378" s="19">
        <f>0.5*$E$1312+0.5*$AT$1403</f>
        <v/>
      </c>
      <c r="F1378" s="19">
        <f>$AT$1404</f>
        <v/>
      </c>
    </row>
    <row r="1379">
      <c r="D1379" s="19">
        <f>IF(ABS(IF(ABS($E$1313)&gt;0.000000001,$E$1313,0.000000001))=0,0,IF($E$37&lt;=$B$27,0,IF(ABS(IF(ABS($E$1313)&gt;0.000000001,$E$1313,0.000000001))&gt;=8*$B$29,$H$37,0.5*$H$37*(ABS(IF(ABS($E$1313)&gt;0.000000001,$E$1313,0.000000001))/$B$29)^(1/3)))/ABS(IF(ABS($E$1313)&gt;0.000000001,$E$1313,0.000000001))*$I$37)</f>
        <v/>
      </c>
      <c r="E1379" s="19">
        <f>0.5*$E$1313+0.5*$AT$1405</f>
        <v/>
      </c>
      <c r="F1379" s="19">
        <f>$AT$1406</f>
        <v/>
      </c>
    </row>
    <row r="1380">
      <c r="D1380" s="19">
        <f>IF(ABS(IF(ABS($E$1314)&gt;0.000000001,$E$1314,0.000000001))=0,0,IF($E$38&lt;=$B$27,0,IF(ABS(IF(ABS($E$1314)&gt;0.000000001,$E$1314,0.000000001))&gt;=8*$B$29,$H$38,0.5*$H$38*(ABS(IF(ABS($E$1314)&gt;0.000000001,$E$1314,0.000000001))/$B$29)^(1/3)))/ABS(IF(ABS($E$1314)&gt;0.000000001,$E$1314,0.000000001))*$I$38)</f>
        <v/>
      </c>
      <c r="E1380" s="19">
        <f>0.5*$E$1314+0.5*$AT$1407</f>
        <v/>
      </c>
      <c r="F1380" s="19">
        <f>$AT$1408</f>
        <v/>
      </c>
    </row>
    <row r="1381">
      <c r="D1381" s="19">
        <f>IF(ABS(IF(ABS($E$1315)&gt;0.000000001,$E$1315,0.000000001))=0,0,IF($E$39&lt;=$B$27,0,IF(ABS(IF(ABS($E$1315)&gt;0.000000001,$E$1315,0.000000001))&gt;=8*$B$29,$H$39,0.5*$H$39*(ABS(IF(ABS($E$1315)&gt;0.000000001,$E$1315,0.000000001))/$B$29)^(1/3)))/ABS(IF(ABS($E$1315)&gt;0.000000001,$E$1315,0.000000001))*$I$39)</f>
        <v/>
      </c>
      <c r="E1381" s="19">
        <f>0.5*$E$1315+0.5*$AT$1409</f>
        <v/>
      </c>
      <c r="F1381" s="19">
        <f>$AT$1410</f>
        <v/>
      </c>
    </row>
    <row r="1382">
      <c r="D1382" s="19">
        <f>IF(ABS(IF(ABS($E$1316)&gt;0.000000001,$E$1316,0.000000001))=0,0,IF($E$40&lt;=$B$27,0,IF(ABS(IF(ABS($E$1316)&gt;0.000000001,$E$1316,0.000000001))&gt;=8*$B$29,$H$40,0.5*$H$40*(ABS(IF(ABS($E$1316)&gt;0.000000001,$E$1316,0.000000001))/$B$29)^(1/3)))/ABS(IF(ABS($E$1316)&gt;0.000000001,$E$1316,0.000000001))*$I$40)</f>
        <v/>
      </c>
      <c r="E1382" s="19">
        <f>0.5*$E$1316+0.5*$AT$1411</f>
        <v/>
      </c>
      <c r="F1382" s="19">
        <f>$AT$1412</f>
        <v/>
      </c>
    </row>
    <row r="1383">
      <c r="D1383" s="19">
        <f>IF(ABS(IF(ABS($E$1317)&gt;0.000000001,$E$1317,0.000000001))=0,0,IF($E$41&lt;=$B$27,0,IF(ABS(IF(ABS($E$1317)&gt;0.000000001,$E$1317,0.000000001))&gt;=8*$B$29,$H$41,0.5*$H$41*(ABS(IF(ABS($E$1317)&gt;0.000000001,$E$1317,0.000000001))/$B$29)^(1/3)))/ABS(IF(ABS($E$1317)&gt;0.000000001,$E$1317,0.000000001))*$I$41)</f>
        <v/>
      </c>
      <c r="E1383" s="19">
        <f>0.5*$E$1317+0.5*$AT$1413</f>
        <v/>
      </c>
      <c r="F1383" s="19">
        <f>$AT$1414</f>
        <v/>
      </c>
    </row>
    <row r="1384">
      <c r="D1384" s="19">
        <f>IF(ABS(IF(ABS($E$1318)&gt;0.000000001,$E$1318,0.000000001))=0,0,IF($E$42&lt;=$B$27,0,IF(ABS(IF(ABS($E$1318)&gt;0.000000001,$E$1318,0.000000001))&gt;=8*$B$29,$H$42,0.5*$H$42*(ABS(IF(ABS($E$1318)&gt;0.000000001,$E$1318,0.000000001))/$B$29)^(1/3)))/ABS(IF(ABS($E$1318)&gt;0.000000001,$E$1318,0.000000001))*$I$42)</f>
        <v/>
      </c>
      <c r="E1384" s="19">
        <f>0.5*$E$1318+0.5*$AT$1415</f>
        <v/>
      </c>
      <c r="F1384" s="19">
        <f>$AT$1416</f>
        <v/>
      </c>
    </row>
    <row r="1385">
      <c r="D1385" s="19">
        <f>IF(ABS(IF(ABS($E$1319)&gt;0.000000001,$E$1319,0.000000001))=0,0,IF($E$43&lt;=$B$27,0,IF(ABS(IF(ABS($E$1319)&gt;0.000000001,$E$1319,0.000000001))&gt;=8*$B$29,$H$43,0.5*$H$43*(ABS(IF(ABS($E$1319)&gt;0.000000001,$E$1319,0.000000001))/$B$29)^(1/3)))/ABS(IF(ABS($E$1319)&gt;0.000000001,$E$1319,0.000000001))*$I$43)</f>
        <v/>
      </c>
      <c r="E1385" s="19">
        <f>0.5*$E$1319+0.5*$AT$1417</f>
        <v/>
      </c>
      <c r="F1385" s="19">
        <f>$AT$1418</f>
        <v/>
      </c>
    </row>
    <row r="1386">
      <c r="D1386" s="19">
        <f>IF(ABS(IF(ABS($E$1320)&gt;0.000000001,$E$1320,0.000000001))=0,0,IF($E$44&lt;=$B$27,0,IF(ABS(IF(ABS($E$1320)&gt;0.000000001,$E$1320,0.000000001))&gt;=8*$B$29,$H$44,0.5*$H$44*(ABS(IF(ABS($E$1320)&gt;0.000000001,$E$1320,0.000000001))/$B$29)^(1/3)))/ABS(IF(ABS($E$1320)&gt;0.000000001,$E$1320,0.000000001))*$I$44)</f>
        <v/>
      </c>
      <c r="E1386" s="19">
        <f>0.5*$E$1320+0.5*$AT$1419</f>
        <v/>
      </c>
      <c r="F1386" s="19">
        <f>$AT$1420</f>
        <v/>
      </c>
    </row>
    <row r="1387">
      <c r="D1387" s="19">
        <f>IF(ABS(IF(ABS($E$1321)&gt;0.000000001,$E$1321,0.000000001))=0,0,IF($E$45&lt;=$B$27,0,IF(ABS(IF(ABS($E$1321)&gt;0.000000001,$E$1321,0.000000001))&gt;=8*$B$29,$H$45,0.5*$H$45*(ABS(IF(ABS($E$1321)&gt;0.000000001,$E$1321,0.000000001))/$B$29)^(1/3)))/ABS(IF(ABS($E$1321)&gt;0.000000001,$E$1321,0.000000001))*$I$45)</f>
        <v/>
      </c>
      <c r="E1387" s="19">
        <f>0.5*$E$1321+0.5*$AT$1421</f>
        <v/>
      </c>
      <c r="F1387" s="19">
        <f>$AT$1422</f>
        <v/>
      </c>
    </row>
    <row r="1388">
      <c r="D1388" s="19">
        <f>IF(ABS(IF(ABS($E$1322)&gt;0.000000001,$E$1322,0.000000001))=0,0,IF($E$46&lt;=$B$27,0,IF(ABS(IF(ABS($E$1322)&gt;0.000000001,$E$1322,0.000000001))&gt;=8*$B$29,$H$46,0.5*$H$46*(ABS(IF(ABS($E$1322)&gt;0.000000001,$E$1322,0.000000001))/$B$29)^(1/3)))/ABS(IF(ABS($E$1322)&gt;0.000000001,$E$1322,0.000000001))*$I$46)</f>
        <v/>
      </c>
      <c r="E1388" s="19">
        <f>0.5*$E$1322+0.5*$AT$1423</f>
        <v/>
      </c>
      <c r="F1388" s="19">
        <f>$AT$1424</f>
        <v/>
      </c>
    </row>
    <row r="1389">
      <c r="D1389" s="19">
        <f>IF(ABS(IF(ABS($E$1323)&gt;0.000000001,$E$1323,0.000000001))=0,0,IF($E$47&lt;=$B$27,0,IF(ABS(IF(ABS($E$1323)&gt;0.000000001,$E$1323,0.000000001))&gt;=8*$B$29,$H$47,0.5*$H$47*(ABS(IF(ABS($E$1323)&gt;0.000000001,$E$1323,0.000000001))/$B$29)^(1/3)))/ABS(IF(ABS($E$1323)&gt;0.000000001,$E$1323,0.000000001))*$I$47)</f>
        <v/>
      </c>
      <c r="E1389" s="19">
        <f>0.5*$E$1323+0.5*$AT$1425</f>
        <v/>
      </c>
      <c r="F1389" s="19">
        <f>$AT$1426</f>
        <v/>
      </c>
    </row>
    <row r="1390">
      <c r="D1390" s="19">
        <f>IF(ABS(IF(ABS($E$1324)&gt;0.000000001,$E$1324,0.000000001))=0,0,IF($E$48&lt;=$B$27,0,IF(ABS(IF(ABS($E$1324)&gt;0.000000001,$E$1324,0.000000001))&gt;=8*$B$29,$H$48,0.5*$H$48*(ABS(IF(ABS($E$1324)&gt;0.000000001,$E$1324,0.000000001))/$B$29)^(1/3)))/ABS(IF(ABS($E$1324)&gt;0.000000001,$E$1324,0.000000001))*$I$48)</f>
        <v/>
      </c>
      <c r="E1390" s="19">
        <f>0.5*$E$1324+0.5*$AT$1427</f>
        <v/>
      </c>
      <c r="F1390" s="19">
        <f>$AT$1428</f>
        <v/>
      </c>
    </row>
    <row r="1391">
      <c r="D1391" s="19">
        <f>IF(ABS(IF(ABS($E$1325)&gt;0.000000001,$E$1325,0.000000001))=0,0,IF($E$49&lt;=$B$27,0,IF(ABS(IF(ABS($E$1325)&gt;0.000000001,$E$1325,0.000000001))&gt;=8*$B$29,$H$49,0.5*$H$49*(ABS(IF(ABS($E$1325)&gt;0.000000001,$E$1325,0.000000001))/$B$29)^(1/3)))/ABS(IF(ABS($E$1325)&gt;0.000000001,$E$1325,0.000000001))*$I$49)</f>
        <v/>
      </c>
      <c r="E1391" s="19">
        <f>0.5*$E$1325+0.5*$AT$1429</f>
        <v/>
      </c>
      <c r="F1391" s="19">
        <f>$AT$1430</f>
        <v/>
      </c>
    </row>
    <row r="1392">
      <c r="D1392" s="19">
        <f>IF(ABS(IF(ABS($E$1326)&gt;0.000000001,$E$1326,0.000000001))=0,0,IF($E$50&lt;=$B$27,0,IF(ABS(IF(ABS($E$1326)&gt;0.000000001,$E$1326,0.000000001))&gt;=8*$B$29,$H$50,0.5*$H$50*(ABS(IF(ABS($E$1326)&gt;0.000000001,$E$1326,0.000000001))/$B$29)^(1/3)))/ABS(IF(ABS($E$1326)&gt;0.000000001,$E$1326,0.000000001))*$I$50)</f>
        <v/>
      </c>
      <c r="E1392" s="19">
        <f>0.5*$E$1326+0.5*$AT$1431</f>
        <v/>
      </c>
      <c r="F1392" s="19">
        <f>$AT$1432</f>
        <v/>
      </c>
    </row>
    <row r="1393">
      <c r="D1393" s="19">
        <f>IF(ABS(IF(ABS($E$1327)&gt;0.000000001,$E$1327,0.000000001))=0,0,IF($E$51&lt;=$B$27,0,IF(ABS(IF(ABS($E$1327)&gt;0.000000001,$E$1327,0.000000001))&gt;=8*$B$29,$H$51,0.5*$H$51*(ABS(IF(ABS($E$1327)&gt;0.000000001,$E$1327,0.000000001))/$B$29)^(1/3)))/ABS(IF(ABS($E$1327)&gt;0.000000001,$E$1327,0.000000001))*$I$51)</f>
        <v/>
      </c>
      <c r="E1393" s="19">
        <f>0.5*$E$1327+0.5*$AT$1433</f>
        <v/>
      </c>
      <c r="F1393" s="19">
        <f>$AT$1434</f>
        <v/>
      </c>
    </row>
    <row r="1394">
      <c r="D1394" s="19">
        <f>IF(ABS(IF(ABS($E$1328)&gt;0.000000001,$E$1328,0.000000001))=0,0,IF($E$52&lt;=$B$27,0,IF(ABS(IF(ABS($E$1328)&gt;0.000000001,$E$1328,0.000000001))&gt;=8*$B$29,$H$52,0.5*$H$52*(ABS(IF(ABS($E$1328)&gt;0.000000001,$E$1328,0.000000001))/$B$29)^(1/3)))/ABS(IF(ABS($E$1328)&gt;0.000000001,$E$1328,0.000000001))*$I$52)</f>
        <v/>
      </c>
      <c r="E1394" s="19">
        <f>0.5*$E$1328+0.5*$AT$1435</f>
        <v/>
      </c>
      <c r="F1394" s="19">
        <f>$AT$1436</f>
        <v/>
      </c>
    </row>
    <row r="1395">
      <c r="D1395" s="19">
        <f>IF(ABS(IF(ABS($E$1329)&gt;0.000000001,$E$1329,0.000000001))=0,0,IF($E$53&lt;=$B$27,0,IF(ABS(IF(ABS($E$1329)&gt;0.000000001,$E$1329,0.000000001))&gt;=8*$B$29,$H$53,0.5*$H$53*(ABS(IF(ABS($E$1329)&gt;0.000000001,$E$1329,0.000000001))/$B$29)^(1/3)))/ABS(IF(ABS($E$1329)&gt;0.000000001,$E$1329,0.000000001))*$I$53)</f>
        <v/>
      </c>
      <c r="E1395" s="19">
        <f>0.5*$E$1329+0.5*$AT$1437</f>
        <v/>
      </c>
      <c r="F1395" s="19">
        <f>$AT$1438</f>
        <v/>
      </c>
    </row>
    <row r="1397">
      <c r="D1397" s="21">
        <f>$B$18+$D$1375</f>
        <v/>
      </c>
      <c r="E1397" s="21">
        <f>$B$19</f>
        <v/>
      </c>
      <c r="F1397" s="21">
        <f>-$B$18</f>
        <v/>
      </c>
      <c r="G1397" s="21">
        <f>$B$19</f>
        <v/>
      </c>
      <c r="H1397" s="21" t="n">
        <v>0</v>
      </c>
      <c r="I1397" s="21" t="n">
        <v>0</v>
      </c>
      <c r="J1397" s="21" t="n">
        <v>0</v>
      </c>
      <c r="K1397" s="21" t="n">
        <v>0</v>
      </c>
      <c r="L1397" s="21" t="n">
        <v>0</v>
      </c>
      <c r="M1397" s="21" t="n">
        <v>0</v>
      </c>
      <c r="N1397" s="21" t="n">
        <v>0</v>
      </c>
      <c r="O1397" s="21" t="n">
        <v>0</v>
      </c>
      <c r="P1397" s="21" t="n">
        <v>0</v>
      </c>
      <c r="Q1397" s="21" t="n">
        <v>0</v>
      </c>
      <c r="R1397" s="21" t="n">
        <v>0</v>
      </c>
      <c r="S1397" s="21" t="n">
        <v>0</v>
      </c>
      <c r="T1397" s="21" t="n">
        <v>0</v>
      </c>
      <c r="U1397" s="21" t="n">
        <v>0</v>
      </c>
      <c r="V1397" s="21" t="n">
        <v>0</v>
      </c>
      <c r="W1397" s="21" t="n">
        <v>0</v>
      </c>
      <c r="X1397" s="21" t="n">
        <v>0</v>
      </c>
      <c r="Y1397" s="21" t="n">
        <v>0</v>
      </c>
      <c r="Z1397" s="21" t="n">
        <v>0</v>
      </c>
      <c r="AA1397" s="21" t="n">
        <v>0</v>
      </c>
      <c r="AB1397" s="21" t="n">
        <v>0</v>
      </c>
      <c r="AC1397" s="21" t="n">
        <v>0</v>
      </c>
      <c r="AD1397" s="21" t="n">
        <v>0</v>
      </c>
      <c r="AE1397" s="21" t="n">
        <v>0</v>
      </c>
      <c r="AF1397" s="21" t="n">
        <v>0</v>
      </c>
      <c r="AG1397" s="21" t="n">
        <v>0</v>
      </c>
      <c r="AH1397" s="21" t="n">
        <v>0</v>
      </c>
      <c r="AI1397" s="21" t="n">
        <v>0</v>
      </c>
      <c r="AJ1397" s="21" t="n">
        <v>0</v>
      </c>
      <c r="AK1397" s="21" t="n">
        <v>0</v>
      </c>
      <c r="AL1397" s="21" t="n">
        <v>0</v>
      </c>
      <c r="AM1397" s="21" t="n">
        <v>0</v>
      </c>
      <c r="AN1397" s="21" t="n">
        <v>0</v>
      </c>
      <c r="AO1397" s="21" t="n">
        <v>0</v>
      </c>
      <c r="AP1397" s="21" t="n">
        <v>0</v>
      </c>
      <c r="AQ1397" s="21" t="n">
        <v>0</v>
      </c>
      <c r="AR1397" s="21" t="n">
        <v>0</v>
      </c>
      <c r="AS1397" s="21" t="n">
        <v>0</v>
      </c>
      <c r="AT1397" s="19">
        <f t="array" ref="AT1397:AT1438">MMULT(MINVERSE($D$1397:$AS$1438),$D$55:$D$96)</f>
        <v/>
      </c>
    </row>
    <row r="1398">
      <c r="D1398" s="21">
        <f>$B$19</f>
        <v/>
      </c>
      <c r="E1398" s="21">
        <f>$B$20</f>
        <v/>
      </c>
      <c r="F1398" s="21">
        <f>-$B$19</f>
        <v/>
      </c>
      <c r="G1398" s="21">
        <f>$B$21</f>
        <v/>
      </c>
      <c r="H1398" s="21" t="n">
        <v>0</v>
      </c>
      <c r="I1398" s="21" t="n">
        <v>0</v>
      </c>
      <c r="J1398" s="21" t="n">
        <v>0</v>
      </c>
      <c r="K1398" s="21" t="n">
        <v>0</v>
      </c>
      <c r="L1398" s="21" t="n">
        <v>0</v>
      </c>
      <c r="M1398" s="21" t="n">
        <v>0</v>
      </c>
      <c r="N1398" s="21" t="n">
        <v>0</v>
      </c>
      <c r="O1398" s="21" t="n">
        <v>0</v>
      </c>
      <c r="P1398" s="21" t="n">
        <v>0</v>
      </c>
      <c r="Q1398" s="21" t="n">
        <v>0</v>
      </c>
      <c r="R1398" s="21" t="n">
        <v>0</v>
      </c>
      <c r="S1398" s="21" t="n">
        <v>0</v>
      </c>
      <c r="T1398" s="21" t="n">
        <v>0</v>
      </c>
      <c r="U1398" s="21" t="n">
        <v>0</v>
      </c>
      <c r="V1398" s="21" t="n">
        <v>0</v>
      </c>
      <c r="W1398" s="21" t="n">
        <v>0</v>
      </c>
      <c r="X1398" s="21" t="n">
        <v>0</v>
      </c>
      <c r="Y1398" s="21" t="n">
        <v>0</v>
      </c>
      <c r="Z1398" s="21" t="n">
        <v>0</v>
      </c>
      <c r="AA1398" s="21" t="n">
        <v>0</v>
      </c>
      <c r="AB1398" s="21" t="n">
        <v>0</v>
      </c>
      <c r="AC1398" s="21" t="n">
        <v>0</v>
      </c>
      <c r="AD1398" s="21" t="n">
        <v>0</v>
      </c>
      <c r="AE1398" s="21" t="n">
        <v>0</v>
      </c>
      <c r="AF1398" s="21" t="n">
        <v>0</v>
      </c>
      <c r="AG1398" s="21" t="n">
        <v>0</v>
      </c>
      <c r="AH1398" s="21" t="n">
        <v>0</v>
      </c>
      <c r="AI1398" s="21" t="n">
        <v>0</v>
      </c>
      <c r="AJ1398" s="21" t="n">
        <v>0</v>
      </c>
      <c r="AK1398" s="21" t="n">
        <v>0</v>
      </c>
      <c r="AL1398" s="21" t="n">
        <v>0</v>
      </c>
      <c r="AM1398" s="21" t="n">
        <v>0</v>
      </c>
      <c r="AN1398" s="21" t="n">
        <v>0</v>
      </c>
      <c r="AO1398" s="21" t="n">
        <v>0</v>
      </c>
      <c r="AP1398" s="21" t="n">
        <v>0</v>
      </c>
      <c r="AQ1398" s="21" t="n">
        <v>0</v>
      </c>
      <c r="AR1398" s="21" t="n">
        <v>0</v>
      </c>
      <c r="AS1398" s="21" t="n">
        <v>0</v>
      </c>
      <c r="AT1398" s="19" t="n"/>
    </row>
    <row r="1399">
      <c r="D1399" s="21">
        <f>-$B$18</f>
        <v/>
      </c>
      <c r="E1399" s="21">
        <f>-$B$19</f>
        <v/>
      </c>
      <c r="F1399" s="21">
        <f>2*$B$18+$D$1376</f>
        <v/>
      </c>
      <c r="G1399" s="21">
        <f>0</f>
        <v/>
      </c>
      <c r="H1399" s="21">
        <f>-$B$18</f>
        <v/>
      </c>
      <c r="I1399" s="21">
        <f>$B$19</f>
        <v/>
      </c>
      <c r="J1399" s="21" t="n">
        <v>0</v>
      </c>
      <c r="K1399" s="21" t="n">
        <v>0</v>
      </c>
      <c r="L1399" s="21" t="n">
        <v>0</v>
      </c>
      <c r="M1399" s="21" t="n">
        <v>0</v>
      </c>
      <c r="N1399" s="21" t="n">
        <v>0</v>
      </c>
      <c r="O1399" s="21" t="n">
        <v>0</v>
      </c>
      <c r="P1399" s="21" t="n">
        <v>0</v>
      </c>
      <c r="Q1399" s="21" t="n">
        <v>0</v>
      </c>
      <c r="R1399" s="21" t="n">
        <v>0</v>
      </c>
      <c r="S1399" s="21" t="n">
        <v>0</v>
      </c>
      <c r="T1399" s="21" t="n">
        <v>0</v>
      </c>
      <c r="U1399" s="21" t="n">
        <v>0</v>
      </c>
      <c r="V1399" s="21" t="n">
        <v>0</v>
      </c>
      <c r="W1399" s="21" t="n">
        <v>0</v>
      </c>
      <c r="X1399" s="21" t="n">
        <v>0</v>
      </c>
      <c r="Y1399" s="21" t="n">
        <v>0</v>
      </c>
      <c r="Z1399" s="21" t="n">
        <v>0</v>
      </c>
      <c r="AA1399" s="21" t="n">
        <v>0</v>
      </c>
      <c r="AB1399" s="21" t="n">
        <v>0</v>
      </c>
      <c r="AC1399" s="21" t="n">
        <v>0</v>
      </c>
      <c r="AD1399" s="21" t="n">
        <v>0</v>
      </c>
      <c r="AE1399" s="21" t="n">
        <v>0</v>
      </c>
      <c r="AF1399" s="21" t="n">
        <v>0</v>
      </c>
      <c r="AG1399" s="21" t="n">
        <v>0</v>
      </c>
      <c r="AH1399" s="21" t="n">
        <v>0</v>
      </c>
      <c r="AI1399" s="21" t="n">
        <v>0</v>
      </c>
      <c r="AJ1399" s="21" t="n">
        <v>0</v>
      </c>
      <c r="AK1399" s="21" t="n">
        <v>0</v>
      </c>
      <c r="AL1399" s="21" t="n">
        <v>0</v>
      </c>
      <c r="AM1399" s="21" t="n">
        <v>0</v>
      </c>
      <c r="AN1399" s="21" t="n">
        <v>0</v>
      </c>
      <c r="AO1399" s="21" t="n">
        <v>0</v>
      </c>
      <c r="AP1399" s="21" t="n">
        <v>0</v>
      </c>
      <c r="AQ1399" s="21" t="n">
        <v>0</v>
      </c>
      <c r="AR1399" s="21" t="n">
        <v>0</v>
      </c>
      <c r="AS1399" s="21" t="n">
        <v>0</v>
      </c>
      <c r="AT1399" s="19" t="n"/>
    </row>
    <row r="1400">
      <c r="D1400" s="21">
        <f>$B$19</f>
        <v/>
      </c>
      <c r="E1400" s="21">
        <f>$B$21</f>
        <v/>
      </c>
      <c r="F1400" s="21">
        <f>0</f>
        <v/>
      </c>
      <c r="G1400" s="21">
        <f>2*$B$20</f>
        <v/>
      </c>
      <c r="H1400" s="21">
        <f>-$B$19</f>
        <v/>
      </c>
      <c r="I1400" s="21">
        <f>$B$21</f>
        <v/>
      </c>
      <c r="J1400" s="21" t="n">
        <v>0</v>
      </c>
      <c r="K1400" s="21" t="n">
        <v>0</v>
      </c>
      <c r="L1400" s="21" t="n">
        <v>0</v>
      </c>
      <c r="M1400" s="21" t="n">
        <v>0</v>
      </c>
      <c r="N1400" s="21" t="n">
        <v>0</v>
      </c>
      <c r="O1400" s="21" t="n">
        <v>0</v>
      </c>
      <c r="P1400" s="21" t="n">
        <v>0</v>
      </c>
      <c r="Q1400" s="21" t="n">
        <v>0</v>
      </c>
      <c r="R1400" s="21" t="n">
        <v>0</v>
      </c>
      <c r="S1400" s="21" t="n">
        <v>0</v>
      </c>
      <c r="T1400" s="21" t="n">
        <v>0</v>
      </c>
      <c r="U1400" s="21" t="n">
        <v>0</v>
      </c>
      <c r="V1400" s="21" t="n">
        <v>0</v>
      </c>
      <c r="W1400" s="21" t="n">
        <v>0</v>
      </c>
      <c r="X1400" s="21" t="n">
        <v>0</v>
      </c>
      <c r="Y1400" s="21" t="n">
        <v>0</v>
      </c>
      <c r="Z1400" s="21" t="n">
        <v>0</v>
      </c>
      <c r="AA1400" s="21" t="n">
        <v>0</v>
      </c>
      <c r="AB1400" s="21" t="n">
        <v>0</v>
      </c>
      <c r="AC1400" s="21" t="n">
        <v>0</v>
      </c>
      <c r="AD1400" s="21" t="n">
        <v>0</v>
      </c>
      <c r="AE1400" s="21" t="n">
        <v>0</v>
      </c>
      <c r="AF1400" s="21" t="n">
        <v>0</v>
      </c>
      <c r="AG1400" s="21" t="n">
        <v>0</v>
      </c>
      <c r="AH1400" s="21" t="n">
        <v>0</v>
      </c>
      <c r="AI1400" s="21" t="n">
        <v>0</v>
      </c>
      <c r="AJ1400" s="21" t="n">
        <v>0</v>
      </c>
      <c r="AK1400" s="21" t="n">
        <v>0</v>
      </c>
      <c r="AL1400" s="21" t="n">
        <v>0</v>
      </c>
      <c r="AM1400" s="21" t="n">
        <v>0</v>
      </c>
      <c r="AN1400" s="21" t="n">
        <v>0</v>
      </c>
      <c r="AO1400" s="21" t="n">
        <v>0</v>
      </c>
      <c r="AP1400" s="21" t="n">
        <v>0</v>
      </c>
      <c r="AQ1400" s="21" t="n">
        <v>0</v>
      </c>
      <c r="AR1400" s="21" t="n">
        <v>0</v>
      </c>
      <c r="AS1400" s="21" t="n">
        <v>0</v>
      </c>
      <c r="AT1400" s="19" t="n"/>
    </row>
    <row r="1401">
      <c r="D1401" s="21" t="n">
        <v>0</v>
      </c>
      <c r="E1401" s="21" t="n">
        <v>0</v>
      </c>
      <c r="F1401" s="21">
        <f>-$B$18</f>
        <v/>
      </c>
      <c r="G1401" s="21">
        <f>-$B$19</f>
        <v/>
      </c>
      <c r="H1401" s="21">
        <f>2*$B$18+$D$1377</f>
        <v/>
      </c>
      <c r="I1401" s="21">
        <f>0</f>
        <v/>
      </c>
      <c r="J1401" s="21">
        <f>-$B$18</f>
        <v/>
      </c>
      <c r="K1401" s="21">
        <f>$B$19</f>
        <v/>
      </c>
      <c r="L1401" s="21" t="n">
        <v>0</v>
      </c>
      <c r="M1401" s="21" t="n">
        <v>0</v>
      </c>
      <c r="N1401" s="21" t="n">
        <v>0</v>
      </c>
      <c r="O1401" s="21" t="n">
        <v>0</v>
      </c>
      <c r="P1401" s="21" t="n">
        <v>0</v>
      </c>
      <c r="Q1401" s="21" t="n">
        <v>0</v>
      </c>
      <c r="R1401" s="21" t="n">
        <v>0</v>
      </c>
      <c r="S1401" s="21" t="n">
        <v>0</v>
      </c>
      <c r="T1401" s="21" t="n">
        <v>0</v>
      </c>
      <c r="U1401" s="21" t="n">
        <v>0</v>
      </c>
      <c r="V1401" s="21" t="n">
        <v>0</v>
      </c>
      <c r="W1401" s="21" t="n">
        <v>0</v>
      </c>
      <c r="X1401" s="21" t="n">
        <v>0</v>
      </c>
      <c r="Y1401" s="21" t="n">
        <v>0</v>
      </c>
      <c r="Z1401" s="21" t="n">
        <v>0</v>
      </c>
      <c r="AA1401" s="21" t="n">
        <v>0</v>
      </c>
      <c r="AB1401" s="21" t="n">
        <v>0</v>
      </c>
      <c r="AC1401" s="21" t="n">
        <v>0</v>
      </c>
      <c r="AD1401" s="21" t="n">
        <v>0</v>
      </c>
      <c r="AE1401" s="21" t="n">
        <v>0</v>
      </c>
      <c r="AF1401" s="21" t="n">
        <v>0</v>
      </c>
      <c r="AG1401" s="21" t="n">
        <v>0</v>
      </c>
      <c r="AH1401" s="21" t="n">
        <v>0</v>
      </c>
      <c r="AI1401" s="21" t="n">
        <v>0</v>
      </c>
      <c r="AJ1401" s="21" t="n">
        <v>0</v>
      </c>
      <c r="AK1401" s="21" t="n">
        <v>0</v>
      </c>
      <c r="AL1401" s="21" t="n">
        <v>0</v>
      </c>
      <c r="AM1401" s="21" t="n">
        <v>0</v>
      </c>
      <c r="AN1401" s="21" t="n">
        <v>0</v>
      </c>
      <c r="AO1401" s="21" t="n">
        <v>0</v>
      </c>
      <c r="AP1401" s="21" t="n">
        <v>0</v>
      </c>
      <c r="AQ1401" s="21" t="n">
        <v>0</v>
      </c>
      <c r="AR1401" s="21" t="n">
        <v>0</v>
      </c>
      <c r="AS1401" s="21" t="n">
        <v>0</v>
      </c>
      <c r="AT1401" s="19" t="n"/>
    </row>
    <row r="1402">
      <c r="D1402" s="21" t="n">
        <v>0</v>
      </c>
      <c r="E1402" s="21" t="n">
        <v>0</v>
      </c>
      <c r="F1402" s="21">
        <f>$B$19</f>
        <v/>
      </c>
      <c r="G1402" s="21">
        <f>$B$21</f>
        <v/>
      </c>
      <c r="H1402" s="21">
        <f>0</f>
        <v/>
      </c>
      <c r="I1402" s="21">
        <f>2*$B$20</f>
        <v/>
      </c>
      <c r="J1402" s="21">
        <f>-$B$19</f>
        <v/>
      </c>
      <c r="K1402" s="21">
        <f>$B$21</f>
        <v/>
      </c>
      <c r="L1402" s="21" t="n">
        <v>0</v>
      </c>
      <c r="M1402" s="21" t="n">
        <v>0</v>
      </c>
      <c r="N1402" s="21" t="n">
        <v>0</v>
      </c>
      <c r="O1402" s="21" t="n">
        <v>0</v>
      </c>
      <c r="P1402" s="21" t="n">
        <v>0</v>
      </c>
      <c r="Q1402" s="21" t="n">
        <v>0</v>
      </c>
      <c r="R1402" s="21" t="n">
        <v>0</v>
      </c>
      <c r="S1402" s="21" t="n">
        <v>0</v>
      </c>
      <c r="T1402" s="21" t="n">
        <v>0</v>
      </c>
      <c r="U1402" s="21" t="n">
        <v>0</v>
      </c>
      <c r="V1402" s="21" t="n">
        <v>0</v>
      </c>
      <c r="W1402" s="21" t="n">
        <v>0</v>
      </c>
      <c r="X1402" s="21" t="n">
        <v>0</v>
      </c>
      <c r="Y1402" s="21" t="n">
        <v>0</v>
      </c>
      <c r="Z1402" s="21" t="n">
        <v>0</v>
      </c>
      <c r="AA1402" s="21" t="n">
        <v>0</v>
      </c>
      <c r="AB1402" s="21" t="n">
        <v>0</v>
      </c>
      <c r="AC1402" s="21" t="n">
        <v>0</v>
      </c>
      <c r="AD1402" s="21" t="n">
        <v>0</v>
      </c>
      <c r="AE1402" s="21" t="n">
        <v>0</v>
      </c>
      <c r="AF1402" s="21" t="n">
        <v>0</v>
      </c>
      <c r="AG1402" s="21" t="n">
        <v>0</v>
      </c>
      <c r="AH1402" s="21" t="n">
        <v>0</v>
      </c>
      <c r="AI1402" s="21" t="n">
        <v>0</v>
      </c>
      <c r="AJ1402" s="21" t="n">
        <v>0</v>
      </c>
      <c r="AK1402" s="21" t="n">
        <v>0</v>
      </c>
      <c r="AL1402" s="21" t="n">
        <v>0</v>
      </c>
      <c r="AM1402" s="21" t="n">
        <v>0</v>
      </c>
      <c r="AN1402" s="21" t="n">
        <v>0</v>
      </c>
      <c r="AO1402" s="21" t="n">
        <v>0</v>
      </c>
      <c r="AP1402" s="21" t="n">
        <v>0</v>
      </c>
      <c r="AQ1402" s="21" t="n">
        <v>0</v>
      </c>
      <c r="AR1402" s="21" t="n">
        <v>0</v>
      </c>
      <c r="AS1402" s="21" t="n">
        <v>0</v>
      </c>
      <c r="AT1402" s="19" t="n"/>
    </row>
    <row r="1403">
      <c r="D1403" s="21" t="n">
        <v>0</v>
      </c>
      <c r="E1403" s="21" t="n">
        <v>0</v>
      </c>
      <c r="F1403" s="21" t="n">
        <v>0</v>
      </c>
      <c r="G1403" s="21" t="n">
        <v>0</v>
      </c>
      <c r="H1403" s="21">
        <f>-$B$18</f>
        <v/>
      </c>
      <c r="I1403" s="21">
        <f>-$B$19</f>
        <v/>
      </c>
      <c r="J1403" s="21">
        <f>2*$B$18+$D$1378</f>
        <v/>
      </c>
      <c r="K1403" s="21">
        <f>0</f>
        <v/>
      </c>
      <c r="L1403" s="21">
        <f>-$B$18</f>
        <v/>
      </c>
      <c r="M1403" s="21">
        <f>$B$19</f>
        <v/>
      </c>
      <c r="N1403" s="21" t="n">
        <v>0</v>
      </c>
      <c r="O1403" s="21" t="n">
        <v>0</v>
      </c>
      <c r="P1403" s="21" t="n">
        <v>0</v>
      </c>
      <c r="Q1403" s="21" t="n">
        <v>0</v>
      </c>
      <c r="R1403" s="21" t="n">
        <v>0</v>
      </c>
      <c r="S1403" s="21" t="n">
        <v>0</v>
      </c>
      <c r="T1403" s="21" t="n">
        <v>0</v>
      </c>
      <c r="U1403" s="21" t="n">
        <v>0</v>
      </c>
      <c r="V1403" s="21" t="n">
        <v>0</v>
      </c>
      <c r="W1403" s="21" t="n">
        <v>0</v>
      </c>
      <c r="X1403" s="21" t="n">
        <v>0</v>
      </c>
      <c r="Y1403" s="21" t="n">
        <v>0</v>
      </c>
      <c r="Z1403" s="21" t="n">
        <v>0</v>
      </c>
      <c r="AA1403" s="21" t="n">
        <v>0</v>
      </c>
      <c r="AB1403" s="21" t="n">
        <v>0</v>
      </c>
      <c r="AC1403" s="21" t="n">
        <v>0</v>
      </c>
      <c r="AD1403" s="21" t="n">
        <v>0</v>
      </c>
      <c r="AE1403" s="21" t="n">
        <v>0</v>
      </c>
      <c r="AF1403" s="21" t="n">
        <v>0</v>
      </c>
      <c r="AG1403" s="21" t="n">
        <v>0</v>
      </c>
      <c r="AH1403" s="21" t="n">
        <v>0</v>
      </c>
      <c r="AI1403" s="21" t="n">
        <v>0</v>
      </c>
      <c r="AJ1403" s="21" t="n">
        <v>0</v>
      </c>
      <c r="AK1403" s="21" t="n">
        <v>0</v>
      </c>
      <c r="AL1403" s="21" t="n">
        <v>0</v>
      </c>
      <c r="AM1403" s="21" t="n">
        <v>0</v>
      </c>
      <c r="AN1403" s="21" t="n">
        <v>0</v>
      </c>
      <c r="AO1403" s="21" t="n">
        <v>0</v>
      </c>
      <c r="AP1403" s="21" t="n">
        <v>0</v>
      </c>
      <c r="AQ1403" s="21" t="n">
        <v>0</v>
      </c>
      <c r="AR1403" s="21" t="n">
        <v>0</v>
      </c>
      <c r="AS1403" s="21" t="n">
        <v>0</v>
      </c>
      <c r="AT1403" s="19" t="n"/>
    </row>
    <row r="1404">
      <c r="D1404" s="21" t="n">
        <v>0</v>
      </c>
      <c r="E1404" s="21" t="n">
        <v>0</v>
      </c>
      <c r="F1404" s="21" t="n">
        <v>0</v>
      </c>
      <c r="G1404" s="21" t="n">
        <v>0</v>
      </c>
      <c r="H1404" s="21">
        <f>$B$19</f>
        <v/>
      </c>
      <c r="I1404" s="21">
        <f>$B$21</f>
        <v/>
      </c>
      <c r="J1404" s="21">
        <f>0</f>
        <v/>
      </c>
      <c r="K1404" s="21">
        <f>2*$B$20</f>
        <v/>
      </c>
      <c r="L1404" s="21">
        <f>-$B$19</f>
        <v/>
      </c>
      <c r="M1404" s="21">
        <f>$B$21</f>
        <v/>
      </c>
      <c r="N1404" s="21" t="n">
        <v>0</v>
      </c>
      <c r="O1404" s="21" t="n">
        <v>0</v>
      </c>
      <c r="P1404" s="21" t="n">
        <v>0</v>
      </c>
      <c r="Q1404" s="21" t="n">
        <v>0</v>
      </c>
      <c r="R1404" s="21" t="n">
        <v>0</v>
      </c>
      <c r="S1404" s="21" t="n">
        <v>0</v>
      </c>
      <c r="T1404" s="21" t="n">
        <v>0</v>
      </c>
      <c r="U1404" s="21" t="n">
        <v>0</v>
      </c>
      <c r="V1404" s="21" t="n">
        <v>0</v>
      </c>
      <c r="W1404" s="21" t="n">
        <v>0</v>
      </c>
      <c r="X1404" s="21" t="n">
        <v>0</v>
      </c>
      <c r="Y1404" s="21" t="n">
        <v>0</v>
      </c>
      <c r="Z1404" s="21" t="n">
        <v>0</v>
      </c>
      <c r="AA1404" s="21" t="n">
        <v>0</v>
      </c>
      <c r="AB1404" s="21" t="n">
        <v>0</v>
      </c>
      <c r="AC1404" s="21" t="n">
        <v>0</v>
      </c>
      <c r="AD1404" s="21" t="n">
        <v>0</v>
      </c>
      <c r="AE1404" s="21" t="n">
        <v>0</v>
      </c>
      <c r="AF1404" s="21" t="n">
        <v>0</v>
      </c>
      <c r="AG1404" s="21" t="n">
        <v>0</v>
      </c>
      <c r="AH1404" s="21" t="n">
        <v>0</v>
      </c>
      <c r="AI1404" s="21" t="n">
        <v>0</v>
      </c>
      <c r="AJ1404" s="21" t="n">
        <v>0</v>
      </c>
      <c r="AK1404" s="21" t="n">
        <v>0</v>
      </c>
      <c r="AL1404" s="21" t="n">
        <v>0</v>
      </c>
      <c r="AM1404" s="21" t="n">
        <v>0</v>
      </c>
      <c r="AN1404" s="21" t="n">
        <v>0</v>
      </c>
      <c r="AO1404" s="21" t="n">
        <v>0</v>
      </c>
      <c r="AP1404" s="21" t="n">
        <v>0</v>
      </c>
      <c r="AQ1404" s="21" t="n">
        <v>0</v>
      </c>
      <c r="AR1404" s="21" t="n">
        <v>0</v>
      </c>
      <c r="AS1404" s="21" t="n">
        <v>0</v>
      </c>
      <c r="AT1404" s="19" t="n"/>
    </row>
    <row r="1405">
      <c r="D1405" s="21" t="n">
        <v>0</v>
      </c>
      <c r="E1405" s="21" t="n">
        <v>0</v>
      </c>
      <c r="F1405" s="21" t="n">
        <v>0</v>
      </c>
      <c r="G1405" s="21" t="n">
        <v>0</v>
      </c>
      <c r="H1405" s="21" t="n">
        <v>0</v>
      </c>
      <c r="I1405" s="21" t="n">
        <v>0</v>
      </c>
      <c r="J1405" s="21">
        <f>-$B$18</f>
        <v/>
      </c>
      <c r="K1405" s="21">
        <f>-$B$19</f>
        <v/>
      </c>
      <c r="L1405" s="21">
        <f>2*$B$18+$D$1379</f>
        <v/>
      </c>
      <c r="M1405" s="21">
        <f>0</f>
        <v/>
      </c>
      <c r="N1405" s="21">
        <f>-$B$18</f>
        <v/>
      </c>
      <c r="O1405" s="21">
        <f>$B$19</f>
        <v/>
      </c>
      <c r="P1405" s="21" t="n">
        <v>0</v>
      </c>
      <c r="Q1405" s="21" t="n">
        <v>0</v>
      </c>
      <c r="R1405" s="21" t="n">
        <v>0</v>
      </c>
      <c r="S1405" s="21" t="n">
        <v>0</v>
      </c>
      <c r="T1405" s="21" t="n">
        <v>0</v>
      </c>
      <c r="U1405" s="21" t="n">
        <v>0</v>
      </c>
      <c r="V1405" s="21" t="n">
        <v>0</v>
      </c>
      <c r="W1405" s="21" t="n">
        <v>0</v>
      </c>
      <c r="X1405" s="21" t="n">
        <v>0</v>
      </c>
      <c r="Y1405" s="21" t="n">
        <v>0</v>
      </c>
      <c r="Z1405" s="21" t="n">
        <v>0</v>
      </c>
      <c r="AA1405" s="21" t="n">
        <v>0</v>
      </c>
      <c r="AB1405" s="21" t="n">
        <v>0</v>
      </c>
      <c r="AC1405" s="21" t="n">
        <v>0</v>
      </c>
      <c r="AD1405" s="21" t="n">
        <v>0</v>
      </c>
      <c r="AE1405" s="21" t="n">
        <v>0</v>
      </c>
      <c r="AF1405" s="21" t="n">
        <v>0</v>
      </c>
      <c r="AG1405" s="21" t="n">
        <v>0</v>
      </c>
      <c r="AH1405" s="21" t="n">
        <v>0</v>
      </c>
      <c r="AI1405" s="21" t="n">
        <v>0</v>
      </c>
      <c r="AJ1405" s="21" t="n">
        <v>0</v>
      </c>
      <c r="AK1405" s="21" t="n">
        <v>0</v>
      </c>
      <c r="AL1405" s="21" t="n">
        <v>0</v>
      </c>
      <c r="AM1405" s="21" t="n">
        <v>0</v>
      </c>
      <c r="AN1405" s="21" t="n">
        <v>0</v>
      </c>
      <c r="AO1405" s="21" t="n">
        <v>0</v>
      </c>
      <c r="AP1405" s="21" t="n">
        <v>0</v>
      </c>
      <c r="AQ1405" s="21" t="n">
        <v>0</v>
      </c>
      <c r="AR1405" s="21" t="n">
        <v>0</v>
      </c>
      <c r="AS1405" s="21" t="n">
        <v>0</v>
      </c>
      <c r="AT1405" s="19" t="n"/>
    </row>
    <row r="1406">
      <c r="D1406" s="21" t="n">
        <v>0</v>
      </c>
      <c r="E1406" s="21" t="n">
        <v>0</v>
      </c>
      <c r="F1406" s="21" t="n">
        <v>0</v>
      </c>
      <c r="G1406" s="21" t="n">
        <v>0</v>
      </c>
      <c r="H1406" s="21" t="n">
        <v>0</v>
      </c>
      <c r="I1406" s="21" t="n">
        <v>0</v>
      </c>
      <c r="J1406" s="21">
        <f>$B$19</f>
        <v/>
      </c>
      <c r="K1406" s="21">
        <f>$B$21</f>
        <v/>
      </c>
      <c r="L1406" s="21">
        <f>0</f>
        <v/>
      </c>
      <c r="M1406" s="21">
        <f>2*$B$20</f>
        <v/>
      </c>
      <c r="N1406" s="21">
        <f>-$B$19</f>
        <v/>
      </c>
      <c r="O1406" s="21">
        <f>$B$21</f>
        <v/>
      </c>
      <c r="P1406" s="21" t="n">
        <v>0</v>
      </c>
      <c r="Q1406" s="21" t="n">
        <v>0</v>
      </c>
      <c r="R1406" s="21" t="n">
        <v>0</v>
      </c>
      <c r="S1406" s="21" t="n">
        <v>0</v>
      </c>
      <c r="T1406" s="21" t="n">
        <v>0</v>
      </c>
      <c r="U1406" s="21" t="n">
        <v>0</v>
      </c>
      <c r="V1406" s="21" t="n">
        <v>0</v>
      </c>
      <c r="W1406" s="21" t="n">
        <v>0</v>
      </c>
      <c r="X1406" s="21" t="n">
        <v>0</v>
      </c>
      <c r="Y1406" s="21" t="n">
        <v>0</v>
      </c>
      <c r="Z1406" s="21" t="n">
        <v>0</v>
      </c>
      <c r="AA1406" s="21" t="n">
        <v>0</v>
      </c>
      <c r="AB1406" s="21" t="n">
        <v>0</v>
      </c>
      <c r="AC1406" s="21" t="n">
        <v>0</v>
      </c>
      <c r="AD1406" s="21" t="n">
        <v>0</v>
      </c>
      <c r="AE1406" s="21" t="n">
        <v>0</v>
      </c>
      <c r="AF1406" s="21" t="n">
        <v>0</v>
      </c>
      <c r="AG1406" s="21" t="n">
        <v>0</v>
      </c>
      <c r="AH1406" s="21" t="n">
        <v>0</v>
      </c>
      <c r="AI1406" s="21" t="n">
        <v>0</v>
      </c>
      <c r="AJ1406" s="21" t="n">
        <v>0</v>
      </c>
      <c r="AK1406" s="21" t="n">
        <v>0</v>
      </c>
      <c r="AL1406" s="21" t="n">
        <v>0</v>
      </c>
      <c r="AM1406" s="21" t="n">
        <v>0</v>
      </c>
      <c r="AN1406" s="21" t="n">
        <v>0</v>
      </c>
      <c r="AO1406" s="21" t="n">
        <v>0</v>
      </c>
      <c r="AP1406" s="21" t="n">
        <v>0</v>
      </c>
      <c r="AQ1406" s="21" t="n">
        <v>0</v>
      </c>
      <c r="AR1406" s="21" t="n">
        <v>0</v>
      </c>
      <c r="AS1406" s="21" t="n">
        <v>0</v>
      </c>
      <c r="AT1406" s="19" t="n"/>
    </row>
    <row r="1407">
      <c r="D1407" s="21" t="n">
        <v>0</v>
      </c>
      <c r="E1407" s="21" t="n">
        <v>0</v>
      </c>
      <c r="F1407" s="21" t="n">
        <v>0</v>
      </c>
      <c r="G1407" s="21" t="n">
        <v>0</v>
      </c>
      <c r="H1407" s="21" t="n">
        <v>0</v>
      </c>
      <c r="I1407" s="21" t="n">
        <v>0</v>
      </c>
      <c r="J1407" s="21" t="n">
        <v>0</v>
      </c>
      <c r="K1407" s="21" t="n">
        <v>0</v>
      </c>
      <c r="L1407" s="21">
        <f>-$B$18</f>
        <v/>
      </c>
      <c r="M1407" s="21">
        <f>-$B$19</f>
        <v/>
      </c>
      <c r="N1407" s="21">
        <f>2*$B$18+$D$1380</f>
        <v/>
      </c>
      <c r="O1407" s="21">
        <f>0</f>
        <v/>
      </c>
      <c r="P1407" s="21">
        <f>-$B$18</f>
        <v/>
      </c>
      <c r="Q1407" s="21">
        <f>$B$19</f>
        <v/>
      </c>
      <c r="R1407" s="21" t="n">
        <v>0</v>
      </c>
      <c r="S1407" s="21" t="n">
        <v>0</v>
      </c>
      <c r="T1407" s="21" t="n">
        <v>0</v>
      </c>
      <c r="U1407" s="21" t="n">
        <v>0</v>
      </c>
      <c r="V1407" s="21" t="n">
        <v>0</v>
      </c>
      <c r="W1407" s="21" t="n">
        <v>0</v>
      </c>
      <c r="X1407" s="21" t="n">
        <v>0</v>
      </c>
      <c r="Y1407" s="21" t="n">
        <v>0</v>
      </c>
      <c r="Z1407" s="21" t="n">
        <v>0</v>
      </c>
      <c r="AA1407" s="21" t="n">
        <v>0</v>
      </c>
      <c r="AB1407" s="21" t="n">
        <v>0</v>
      </c>
      <c r="AC1407" s="21" t="n">
        <v>0</v>
      </c>
      <c r="AD1407" s="21" t="n">
        <v>0</v>
      </c>
      <c r="AE1407" s="21" t="n">
        <v>0</v>
      </c>
      <c r="AF1407" s="21" t="n">
        <v>0</v>
      </c>
      <c r="AG1407" s="21" t="n">
        <v>0</v>
      </c>
      <c r="AH1407" s="21" t="n">
        <v>0</v>
      </c>
      <c r="AI1407" s="21" t="n">
        <v>0</v>
      </c>
      <c r="AJ1407" s="21" t="n">
        <v>0</v>
      </c>
      <c r="AK1407" s="21" t="n">
        <v>0</v>
      </c>
      <c r="AL1407" s="21" t="n">
        <v>0</v>
      </c>
      <c r="AM1407" s="21" t="n">
        <v>0</v>
      </c>
      <c r="AN1407" s="21" t="n">
        <v>0</v>
      </c>
      <c r="AO1407" s="21" t="n">
        <v>0</v>
      </c>
      <c r="AP1407" s="21" t="n">
        <v>0</v>
      </c>
      <c r="AQ1407" s="21" t="n">
        <v>0</v>
      </c>
      <c r="AR1407" s="21" t="n">
        <v>0</v>
      </c>
      <c r="AS1407" s="21" t="n">
        <v>0</v>
      </c>
      <c r="AT1407" s="19" t="n"/>
    </row>
    <row r="1408">
      <c r="D1408" s="21" t="n">
        <v>0</v>
      </c>
      <c r="E1408" s="21" t="n">
        <v>0</v>
      </c>
      <c r="F1408" s="21" t="n">
        <v>0</v>
      </c>
      <c r="G1408" s="21" t="n">
        <v>0</v>
      </c>
      <c r="H1408" s="21" t="n">
        <v>0</v>
      </c>
      <c r="I1408" s="21" t="n">
        <v>0</v>
      </c>
      <c r="J1408" s="21" t="n">
        <v>0</v>
      </c>
      <c r="K1408" s="21" t="n">
        <v>0</v>
      </c>
      <c r="L1408" s="21">
        <f>$B$19</f>
        <v/>
      </c>
      <c r="M1408" s="21">
        <f>$B$21</f>
        <v/>
      </c>
      <c r="N1408" s="21">
        <f>0</f>
        <v/>
      </c>
      <c r="O1408" s="21">
        <f>2*$B$20</f>
        <v/>
      </c>
      <c r="P1408" s="21">
        <f>-$B$19</f>
        <v/>
      </c>
      <c r="Q1408" s="21">
        <f>$B$21</f>
        <v/>
      </c>
      <c r="R1408" s="21" t="n">
        <v>0</v>
      </c>
      <c r="S1408" s="21" t="n">
        <v>0</v>
      </c>
      <c r="T1408" s="21" t="n">
        <v>0</v>
      </c>
      <c r="U1408" s="21" t="n">
        <v>0</v>
      </c>
      <c r="V1408" s="21" t="n">
        <v>0</v>
      </c>
      <c r="W1408" s="21" t="n">
        <v>0</v>
      </c>
      <c r="X1408" s="21" t="n">
        <v>0</v>
      </c>
      <c r="Y1408" s="21" t="n">
        <v>0</v>
      </c>
      <c r="Z1408" s="21" t="n">
        <v>0</v>
      </c>
      <c r="AA1408" s="21" t="n">
        <v>0</v>
      </c>
      <c r="AB1408" s="21" t="n">
        <v>0</v>
      </c>
      <c r="AC1408" s="21" t="n">
        <v>0</v>
      </c>
      <c r="AD1408" s="21" t="n">
        <v>0</v>
      </c>
      <c r="AE1408" s="21" t="n">
        <v>0</v>
      </c>
      <c r="AF1408" s="21" t="n">
        <v>0</v>
      </c>
      <c r="AG1408" s="21" t="n">
        <v>0</v>
      </c>
      <c r="AH1408" s="21" t="n">
        <v>0</v>
      </c>
      <c r="AI1408" s="21" t="n">
        <v>0</v>
      </c>
      <c r="AJ1408" s="21" t="n">
        <v>0</v>
      </c>
      <c r="AK1408" s="21" t="n">
        <v>0</v>
      </c>
      <c r="AL1408" s="21" t="n">
        <v>0</v>
      </c>
      <c r="AM1408" s="21" t="n">
        <v>0</v>
      </c>
      <c r="AN1408" s="21" t="n">
        <v>0</v>
      </c>
      <c r="AO1408" s="21" t="n">
        <v>0</v>
      </c>
      <c r="AP1408" s="21" t="n">
        <v>0</v>
      </c>
      <c r="AQ1408" s="21" t="n">
        <v>0</v>
      </c>
      <c r="AR1408" s="21" t="n">
        <v>0</v>
      </c>
      <c r="AS1408" s="21" t="n">
        <v>0</v>
      </c>
      <c r="AT1408" s="19" t="n"/>
    </row>
    <row r="1409">
      <c r="D1409" s="21" t="n">
        <v>0</v>
      </c>
      <c r="E1409" s="21" t="n">
        <v>0</v>
      </c>
      <c r="F1409" s="21" t="n">
        <v>0</v>
      </c>
      <c r="G1409" s="21" t="n">
        <v>0</v>
      </c>
      <c r="H1409" s="21" t="n">
        <v>0</v>
      </c>
      <c r="I1409" s="21" t="n">
        <v>0</v>
      </c>
      <c r="J1409" s="21" t="n">
        <v>0</v>
      </c>
      <c r="K1409" s="21" t="n">
        <v>0</v>
      </c>
      <c r="L1409" s="21" t="n">
        <v>0</v>
      </c>
      <c r="M1409" s="21" t="n">
        <v>0</v>
      </c>
      <c r="N1409" s="21">
        <f>-$B$18</f>
        <v/>
      </c>
      <c r="O1409" s="21">
        <f>-$B$19</f>
        <v/>
      </c>
      <c r="P1409" s="21">
        <f>2*$B$18+$D$1381</f>
        <v/>
      </c>
      <c r="Q1409" s="21">
        <f>0</f>
        <v/>
      </c>
      <c r="R1409" s="21">
        <f>-$B$18</f>
        <v/>
      </c>
      <c r="S1409" s="21">
        <f>$B$19</f>
        <v/>
      </c>
      <c r="T1409" s="21" t="n">
        <v>0</v>
      </c>
      <c r="U1409" s="21" t="n">
        <v>0</v>
      </c>
      <c r="V1409" s="21" t="n">
        <v>0</v>
      </c>
      <c r="W1409" s="21" t="n">
        <v>0</v>
      </c>
      <c r="X1409" s="21" t="n">
        <v>0</v>
      </c>
      <c r="Y1409" s="21" t="n">
        <v>0</v>
      </c>
      <c r="Z1409" s="21" t="n">
        <v>0</v>
      </c>
      <c r="AA1409" s="21" t="n">
        <v>0</v>
      </c>
      <c r="AB1409" s="21" t="n">
        <v>0</v>
      </c>
      <c r="AC1409" s="21" t="n">
        <v>0</v>
      </c>
      <c r="AD1409" s="21" t="n">
        <v>0</v>
      </c>
      <c r="AE1409" s="21" t="n">
        <v>0</v>
      </c>
      <c r="AF1409" s="21" t="n">
        <v>0</v>
      </c>
      <c r="AG1409" s="21" t="n">
        <v>0</v>
      </c>
      <c r="AH1409" s="21" t="n">
        <v>0</v>
      </c>
      <c r="AI1409" s="21" t="n">
        <v>0</v>
      </c>
      <c r="AJ1409" s="21" t="n">
        <v>0</v>
      </c>
      <c r="AK1409" s="21" t="n">
        <v>0</v>
      </c>
      <c r="AL1409" s="21" t="n">
        <v>0</v>
      </c>
      <c r="AM1409" s="21" t="n">
        <v>0</v>
      </c>
      <c r="AN1409" s="21" t="n">
        <v>0</v>
      </c>
      <c r="AO1409" s="21" t="n">
        <v>0</v>
      </c>
      <c r="AP1409" s="21" t="n">
        <v>0</v>
      </c>
      <c r="AQ1409" s="21" t="n">
        <v>0</v>
      </c>
      <c r="AR1409" s="21" t="n">
        <v>0</v>
      </c>
      <c r="AS1409" s="21" t="n">
        <v>0</v>
      </c>
      <c r="AT1409" s="19" t="n"/>
    </row>
    <row r="1410">
      <c r="D1410" s="21" t="n">
        <v>0</v>
      </c>
      <c r="E1410" s="21" t="n">
        <v>0</v>
      </c>
      <c r="F1410" s="21" t="n">
        <v>0</v>
      </c>
      <c r="G1410" s="21" t="n">
        <v>0</v>
      </c>
      <c r="H1410" s="21" t="n">
        <v>0</v>
      </c>
      <c r="I1410" s="21" t="n">
        <v>0</v>
      </c>
      <c r="J1410" s="21" t="n">
        <v>0</v>
      </c>
      <c r="K1410" s="21" t="n">
        <v>0</v>
      </c>
      <c r="L1410" s="21" t="n">
        <v>0</v>
      </c>
      <c r="M1410" s="21" t="n">
        <v>0</v>
      </c>
      <c r="N1410" s="21">
        <f>$B$19</f>
        <v/>
      </c>
      <c r="O1410" s="21">
        <f>$B$21</f>
        <v/>
      </c>
      <c r="P1410" s="21">
        <f>0</f>
        <v/>
      </c>
      <c r="Q1410" s="21">
        <f>2*$B$20</f>
        <v/>
      </c>
      <c r="R1410" s="21">
        <f>-$B$19</f>
        <v/>
      </c>
      <c r="S1410" s="21">
        <f>$B$21</f>
        <v/>
      </c>
      <c r="T1410" s="21" t="n">
        <v>0</v>
      </c>
      <c r="U1410" s="21" t="n">
        <v>0</v>
      </c>
      <c r="V1410" s="21" t="n">
        <v>0</v>
      </c>
      <c r="W1410" s="21" t="n">
        <v>0</v>
      </c>
      <c r="X1410" s="21" t="n">
        <v>0</v>
      </c>
      <c r="Y1410" s="21" t="n">
        <v>0</v>
      </c>
      <c r="Z1410" s="21" t="n">
        <v>0</v>
      </c>
      <c r="AA1410" s="21" t="n">
        <v>0</v>
      </c>
      <c r="AB1410" s="21" t="n">
        <v>0</v>
      </c>
      <c r="AC1410" s="21" t="n">
        <v>0</v>
      </c>
      <c r="AD1410" s="21" t="n">
        <v>0</v>
      </c>
      <c r="AE1410" s="21" t="n">
        <v>0</v>
      </c>
      <c r="AF1410" s="21" t="n">
        <v>0</v>
      </c>
      <c r="AG1410" s="21" t="n">
        <v>0</v>
      </c>
      <c r="AH1410" s="21" t="n">
        <v>0</v>
      </c>
      <c r="AI1410" s="21" t="n">
        <v>0</v>
      </c>
      <c r="AJ1410" s="21" t="n">
        <v>0</v>
      </c>
      <c r="AK1410" s="21" t="n">
        <v>0</v>
      </c>
      <c r="AL1410" s="21" t="n">
        <v>0</v>
      </c>
      <c r="AM1410" s="21" t="n">
        <v>0</v>
      </c>
      <c r="AN1410" s="21" t="n">
        <v>0</v>
      </c>
      <c r="AO1410" s="21" t="n">
        <v>0</v>
      </c>
      <c r="AP1410" s="21" t="n">
        <v>0</v>
      </c>
      <c r="AQ1410" s="21" t="n">
        <v>0</v>
      </c>
      <c r="AR1410" s="21" t="n">
        <v>0</v>
      </c>
      <c r="AS1410" s="21" t="n">
        <v>0</v>
      </c>
      <c r="AT1410" s="19" t="n"/>
    </row>
    <row r="1411">
      <c r="D1411" s="21" t="n">
        <v>0</v>
      </c>
      <c r="E1411" s="21" t="n">
        <v>0</v>
      </c>
      <c r="F1411" s="21" t="n">
        <v>0</v>
      </c>
      <c r="G1411" s="21" t="n">
        <v>0</v>
      </c>
      <c r="H1411" s="21" t="n">
        <v>0</v>
      </c>
      <c r="I1411" s="21" t="n">
        <v>0</v>
      </c>
      <c r="J1411" s="21" t="n">
        <v>0</v>
      </c>
      <c r="K1411" s="21" t="n">
        <v>0</v>
      </c>
      <c r="L1411" s="21" t="n">
        <v>0</v>
      </c>
      <c r="M1411" s="21" t="n">
        <v>0</v>
      </c>
      <c r="N1411" s="21" t="n">
        <v>0</v>
      </c>
      <c r="O1411" s="21" t="n">
        <v>0</v>
      </c>
      <c r="P1411" s="21">
        <f>-$B$18</f>
        <v/>
      </c>
      <c r="Q1411" s="21">
        <f>-$B$19</f>
        <v/>
      </c>
      <c r="R1411" s="21">
        <f>2*$B$18+$D$1382</f>
        <v/>
      </c>
      <c r="S1411" s="21">
        <f>0</f>
        <v/>
      </c>
      <c r="T1411" s="21">
        <f>-$B$18</f>
        <v/>
      </c>
      <c r="U1411" s="21">
        <f>$B$19</f>
        <v/>
      </c>
      <c r="V1411" s="21" t="n">
        <v>0</v>
      </c>
      <c r="W1411" s="21" t="n">
        <v>0</v>
      </c>
      <c r="X1411" s="21" t="n">
        <v>0</v>
      </c>
      <c r="Y1411" s="21" t="n">
        <v>0</v>
      </c>
      <c r="Z1411" s="21" t="n">
        <v>0</v>
      </c>
      <c r="AA1411" s="21" t="n">
        <v>0</v>
      </c>
      <c r="AB1411" s="21" t="n">
        <v>0</v>
      </c>
      <c r="AC1411" s="21" t="n">
        <v>0</v>
      </c>
      <c r="AD1411" s="21" t="n">
        <v>0</v>
      </c>
      <c r="AE1411" s="21" t="n">
        <v>0</v>
      </c>
      <c r="AF1411" s="21" t="n">
        <v>0</v>
      </c>
      <c r="AG1411" s="21" t="n">
        <v>0</v>
      </c>
      <c r="AH1411" s="21" t="n">
        <v>0</v>
      </c>
      <c r="AI1411" s="21" t="n">
        <v>0</v>
      </c>
      <c r="AJ1411" s="21" t="n">
        <v>0</v>
      </c>
      <c r="AK1411" s="21" t="n">
        <v>0</v>
      </c>
      <c r="AL1411" s="21" t="n">
        <v>0</v>
      </c>
      <c r="AM1411" s="21" t="n">
        <v>0</v>
      </c>
      <c r="AN1411" s="21" t="n">
        <v>0</v>
      </c>
      <c r="AO1411" s="21" t="n">
        <v>0</v>
      </c>
      <c r="AP1411" s="21" t="n">
        <v>0</v>
      </c>
      <c r="AQ1411" s="21" t="n">
        <v>0</v>
      </c>
      <c r="AR1411" s="21" t="n">
        <v>0</v>
      </c>
      <c r="AS1411" s="21" t="n">
        <v>0</v>
      </c>
      <c r="AT1411" s="19" t="n"/>
    </row>
    <row r="1412">
      <c r="D1412" s="21" t="n">
        <v>0</v>
      </c>
      <c r="E1412" s="21" t="n">
        <v>0</v>
      </c>
      <c r="F1412" s="21" t="n">
        <v>0</v>
      </c>
      <c r="G1412" s="21" t="n">
        <v>0</v>
      </c>
      <c r="H1412" s="21" t="n">
        <v>0</v>
      </c>
      <c r="I1412" s="21" t="n">
        <v>0</v>
      </c>
      <c r="J1412" s="21" t="n">
        <v>0</v>
      </c>
      <c r="K1412" s="21" t="n">
        <v>0</v>
      </c>
      <c r="L1412" s="21" t="n">
        <v>0</v>
      </c>
      <c r="M1412" s="21" t="n">
        <v>0</v>
      </c>
      <c r="N1412" s="21" t="n">
        <v>0</v>
      </c>
      <c r="O1412" s="21" t="n">
        <v>0</v>
      </c>
      <c r="P1412" s="21">
        <f>$B$19</f>
        <v/>
      </c>
      <c r="Q1412" s="21">
        <f>$B$21</f>
        <v/>
      </c>
      <c r="R1412" s="21">
        <f>0</f>
        <v/>
      </c>
      <c r="S1412" s="21">
        <f>2*$B$20</f>
        <v/>
      </c>
      <c r="T1412" s="21">
        <f>-$B$19</f>
        <v/>
      </c>
      <c r="U1412" s="21">
        <f>$B$21</f>
        <v/>
      </c>
      <c r="V1412" s="21" t="n">
        <v>0</v>
      </c>
      <c r="W1412" s="21" t="n">
        <v>0</v>
      </c>
      <c r="X1412" s="21" t="n">
        <v>0</v>
      </c>
      <c r="Y1412" s="21" t="n">
        <v>0</v>
      </c>
      <c r="Z1412" s="21" t="n">
        <v>0</v>
      </c>
      <c r="AA1412" s="21" t="n">
        <v>0</v>
      </c>
      <c r="AB1412" s="21" t="n">
        <v>0</v>
      </c>
      <c r="AC1412" s="21" t="n">
        <v>0</v>
      </c>
      <c r="AD1412" s="21" t="n">
        <v>0</v>
      </c>
      <c r="AE1412" s="21" t="n">
        <v>0</v>
      </c>
      <c r="AF1412" s="21" t="n">
        <v>0</v>
      </c>
      <c r="AG1412" s="21" t="n">
        <v>0</v>
      </c>
      <c r="AH1412" s="21" t="n">
        <v>0</v>
      </c>
      <c r="AI1412" s="21" t="n">
        <v>0</v>
      </c>
      <c r="AJ1412" s="21" t="n">
        <v>0</v>
      </c>
      <c r="AK1412" s="21" t="n">
        <v>0</v>
      </c>
      <c r="AL1412" s="21" t="n">
        <v>0</v>
      </c>
      <c r="AM1412" s="21" t="n">
        <v>0</v>
      </c>
      <c r="AN1412" s="21" t="n">
        <v>0</v>
      </c>
      <c r="AO1412" s="21" t="n">
        <v>0</v>
      </c>
      <c r="AP1412" s="21" t="n">
        <v>0</v>
      </c>
      <c r="AQ1412" s="21" t="n">
        <v>0</v>
      </c>
      <c r="AR1412" s="21" t="n">
        <v>0</v>
      </c>
      <c r="AS1412" s="21" t="n">
        <v>0</v>
      </c>
      <c r="AT1412" s="19" t="n"/>
    </row>
    <row r="1413">
      <c r="D1413" s="21" t="n">
        <v>0</v>
      </c>
      <c r="E1413" s="21" t="n">
        <v>0</v>
      </c>
      <c r="F1413" s="21" t="n">
        <v>0</v>
      </c>
      <c r="G1413" s="21" t="n">
        <v>0</v>
      </c>
      <c r="H1413" s="21" t="n">
        <v>0</v>
      </c>
      <c r="I1413" s="21" t="n">
        <v>0</v>
      </c>
      <c r="J1413" s="21" t="n">
        <v>0</v>
      </c>
      <c r="K1413" s="21" t="n">
        <v>0</v>
      </c>
      <c r="L1413" s="21" t="n">
        <v>0</v>
      </c>
      <c r="M1413" s="21" t="n">
        <v>0</v>
      </c>
      <c r="N1413" s="21" t="n">
        <v>0</v>
      </c>
      <c r="O1413" s="21" t="n">
        <v>0</v>
      </c>
      <c r="P1413" s="21" t="n">
        <v>0</v>
      </c>
      <c r="Q1413" s="21" t="n">
        <v>0</v>
      </c>
      <c r="R1413" s="21">
        <f>-$B$18</f>
        <v/>
      </c>
      <c r="S1413" s="21">
        <f>-$B$19</f>
        <v/>
      </c>
      <c r="T1413" s="21">
        <f>2*$B$18+$D$1383</f>
        <v/>
      </c>
      <c r="U1413" s="21">
        <f>0</f>
        <v/>
      </c>
      <c r="V1413" s="21">
        <f>-$B$18</f>
        <v/>
      </c>
      <c r="W1413" s="21">
        <f>$B$19</f>
        <v/>
      </c>
      <c r="X1413" s="21" t="n">
        <v>0</v>
      </c>
      <c r="Y1413" s="21" t="n">
        <v>0</v>
      </c>
      <c r="Z1413" s="21" t="n">
        <v>0</v>
      </c>
      <c r="AA1413" s="21" t="n">
        <v>0</v>
      </c>
      <c r="AB1413" s="21" t="n">
        <v>0</v>
      </c>
      <c r="AC1413" s="21" t="n">
        <v>0</v>
      </c>
      <c r="AD1413" s="21" t="n">
        <v>0</v>
      </c>
      <c r="AE1413" s="21" t="n">
        <v>0</v>
      </c>
      <c r="AF1413" s="21" t="n">
        <v>0</v>
      </c>
      <c r="AG1413" s="21" t="n">
        <v>0</v>
      </c>
      <c r="AH1413" s="21" t="n">
        <v>0</v>
      </c>
      <c r="AI1413" s="21" t="n">
        <v>0</v>
      </c>
      <c r="AJ1413" s="21" t="n">
        <v>0</v>
      </c>
      <c r="AK1413" s="21" t="n">
        <v>0</v>
      </c>
      <c r="AL1413" s="21" t="n">
        <v>0</v>
      </c>
      <c r="AM1413" s="21" t="n">
        <v>0</v>
      </c>
      <c r="AN1413" s="21" t="n">
        <v>0</v>
      </c>
      <c r="AO1413" s="21" t="n">
        <v>0</v>
      </c>
      <c r="AP1413" s="21" t="n">
        <v>0</v>
      </c>
      <c r="AQ1413" s="21" t="n">
        <v>0</v>
      </c>
      <c r="AR1413" s="21" t="n">
        <v>0</v>
      </c>
      <c r="AS1413" s="21" t="n">
        <v>0</v>
      </c>
      <c r="AT1413" s="19" t="n"/>
    </row>
    <row r="1414">
      <c r="D1414" s="21" t="n">
        <v>0</v>
      </c>
      <c r="E1414" s="21" t="n">
        <v>0</v>
      </c>
      <c r="F1414" s="21" t="n">
        <v>0</v>
      </c>
      <c r="G1414" s="21" t="n">
        <v>0</v>
      </c>
      <c r="H1414" s="21" t="n">
        <v>0</v>
      </c>
      <c r="I1414" s="21" t="n">
        <v>0</v>
      </c>
      <c r="J1414" s="21" t="n">
        <v>0</v>
      </c>
      <c r="K1414" s="21" t="n">
        <v>0</v>
      </c>
      <c r="L1414" s="21" t="n">
        <v>0</v>
      </c>
      <c r="M1414" s="21" t="n">
        <v>0</v>
      </c>
      <c r="N1414" s="21" t="n">
        <v>0</v>
      </c>
      <c r="O1414" s="21" t="n">
        <v>0</v>
      </c>
      <c r="P1414" s="21" t="n">
        <v>0</v>
      </c>
      <c r="Q1414" s="21" t="n">
        <v>0</v>
      </c>
      <c r="R1414" s="21">
        <f>$B$19</f>
        <v/>
      </c>
      <c r="S1414" s="21">
        <f>$B$21</f>
        <v/>
      </c>
      <c r="T1414" s="21">
        <f>0</f>
        <v/>
      </c>
      <c r="U1414" s="21">
        <f>2*$B$20</f>
        <v/>
      </c>
      <c r="V1414" s="21">
        <f>-$B$19</f>
        <v/>
      </c>
      <c r="W1414" s="21">
        <f>$B$21</f>
        <v/>
      </c>
      <c r="X1414" s="21" t="n">
        <v>0</v>
      </c>
      <c r="Y1414" s="21" t="n">
        <v>0</v>
      </c>
      <c r="Z1414" s="21" t="n">
        <v>0</v>
      </c>
      <c r="AA1414" s="21" t="n">
        <v>0</v>
      </c>
      <c r="AB1414" s="21" t="n">
        <v>0</v>
      </c>
      <c r="AC1414" s="21" t="n">
        <v>0</v>
      </c>
      <c r="AD1414" s="21" t="n">
        <v>0</v>
      </c>
      <c r="AE1414" s="21" t="n">
        <v>0</v>
      </c>
      <c r="AF1414" s="21" t="n">
        <v>0</v>
      </c>
      <c r="AG1414" s="21" t="n">
        <v>0</v>
      </c>
      <c r="AH1414" s="21" t="n">
        <v>0</v>
      </c>
      <c r="AI1414" s="21" t="n">
        <v>0</v>
      </c>
      <c r="AJ1414" s="21" t="n">
        <v>0</v>
      </c>
      <c r="AK1414" s="21" t="n">
        <v>0</v>
      </c>
      <c r="AL1414" s="21" t="n">
        <v>0</v>
      </c>
      <c r="AM1414" s="21" t="n">
        <v>0</v>
      </c>
      <c r="AN1414" s="21" t="n">
        <v>0</v>
      </c>
      <c r="AO1414" s="21" t="n">
        <v>0</v>
      </c>
      <c r="AP1414" s="21" t="n">
        <v>0</v>
      </c>
      <c r="AQ1414" s="21" t="n">
        <v>0</v>
      </c>
      <c r="AR1414" s="21" t="n">
        <v>0</v>
      </c>
      <c r="AS1414" s="21" t="n">
        <v>0</v>
      </c>
      <c r="AT1414" s="19" t="n"/>
    </row>
    <row r="1415">
      <c r="D1415" s="21" t="n">
        <v>0</v>
      </c>
      <c r="E1415" s="21" t="n">
        <v>0</v>
      </c>
      <c r="F1415" s="21" t="n">
        <v>0</v>
      </c>
      <c r="G1415" s="21" t="n">
        <v>0</v>
      </c>
      <c r="H1415" s="21" t="n">
        <v>0</v>
      </c>
      <c r="I1415" s="21" t="n">
        <v>0</v>
      </c>
      <c r="J1415" s="21" t="n">
        <v>0</v>
      </c>
      <c r="K1415" s="21" t="n">
        <v>0</v>
      </c>
      <c r="L1415" s="21" t="n">
        <v>0</v>
      </c>
      <c r="M1415" s="21" t="n">
        <v>0</v>
      </c>
      <c r="N1415" s="21" t="n">
        <v>0</v>
      </c>
      <c r="O1415" s="21" t="n">
        <v>0</v>
      </c>
      <c r="P1415" s="21" t="n">
        <v>0</v>
      </c>
      <c r="Q1415" s="21" t="n">
        <v>0</v>
      </c>
      <c r="R1415" s="21" t="n">
        <v>0</v>
      </c>
      <c r="S1415" s="21" t="n">
        <v>0</v>
      </c>
      <c r="T1415" s="21">
        <f>-$B$18</f>
        <v/>
      </c>
      <c r="U1415" s="21">
        <f>-$B$19</f>
        <v/>
      </c>
      <c r="V1415" s="21">
        <f>2*$B$18+$D$1384</f>
        <v/>
      </c>
      <c r="W1415" s="21">
        <f>0</f>
        <v/>
      </c>
      <c r="X1415" s="21">
        <f>-$B$18</f>
        <v/>
      </c>
      <c r="Y1415" s="21">
        <f>$B$19</f>
        <v/>
      </c>
      <c r="Z1415" s="21" t="n">
        <v>0</v>
      </c>
      <c r="AA1415" s="21" t="n">
        <v>0</v>
      </c>
      <c r="AB1415" s="21" t="n">
        <v>0</v>
      </c>
      <c r="AC1415" s="21" t="n">
        <v>0</v>
      </c>
      <c r="AD1415" s="21" t="n">
        <v>0</v>
      </c>
      <c r="AE1415" s="21" t="n">
        <v>0</v>
      </c>
      <c r="AF1415" s="21" t="n">
        <v>0</v>
      </c>
      <c r="AG1415" s="21" t="n">
        <v>0</v>
      </c>
      <c r="AH1415" s="21" t="n">
        <v>0</v>
      </c>
      <c r="AI1415" s="21" t="n">
        <v>0</v>
      </c>
      <c r="AJ1415" s="21" t="n">
        <v>0</v>
      </c>
      <c r="AK1415" s="21" t="n">
        <v>0</v>
      </c>
      <c r="AL1415" s="21" t="n">
        <v>0</v>
      </c>
      <c r="AM1415" s="21" t="n">
        <v>0</v>
      </c>
      <c r="AN1415" s="21" t="n">
        <v>0</v>
      </c>
      <c r="AO1415" s="21" t="n">
        <v>0</v>
      </c>
      <c r="AP1415" s="21" t="n">
        <v>0</v>
      </c>
      <c r="AQ1415" s="21" t="n">
        <v>0</v>
      </c>
      <c r="AR1415" s="21" t="n">
        <v>0</v>
      </c>
      <c r="AS1415" s="21" t="n">
        <v>0</v>
      </c>
      <c r="AT1415" s="19" t="n"/>
    </row>
    <row r="1416">
      <c r="D1416" s="21" t="n">
        <v>0</v>
      </c>
      <c r="E1416" s="21" t="n">
        <v>0</v>
      </c>
      <c r="F1416" s="21" t="n">
        <v>0</v>
      </c>
      <c r="G1416" s="21" t="n">
        <v>0</v>
      </c>
      <c r="H1416" s="21" t="n">
        <v>0</v>
      </c>
      <c r="I1416" s="21" t="n">
        <v>0</v>
      </c>
      <c r="J1416" s="21" t="n">
        <v>0</v>
      </c>
      <c r="K1416" s="21" t="n">
        <v>0</v>
      </c>
      <c r="L1416" s="21" t="n">
        <v>0</v>
      </c>
      <c r="M1416" s="21" t="n">
        <v>0</v>
      </c>
      <c r="N1416" s="21" t="n">
        <v>0</v>
      </c>
      <c r="O1416" s="21" t="n">
        <v>0</v>
      </c>
      <c r="P1416" s="21" t="n">
        <v>0</v>
      </c>
      <c r="Q1416" s="21" t="n">
        <v>0</v>
      </c>
      <c r="R1416" s="21" t="n">
        <v>0</v>
      </c>
      <c r="S1416" s="21" t="n">
        <v>0</v>
      </c>
      <c r="T1416" s="21">
        <f>$B$19</f>
        <v/>
      </c>
      <c r="U1416" s="21">
        <f>$B$21</f>
        <v/>
      </c>
      <c r="V1416" s="21">
        <f>0</f>
        <v/>
      </c>
      <c r="W1416" s="21">
        <f>2*$B$20</f>
        <v/>
      </c>
      <c r="X1416" s="21">
        <f>-$B$19</f>
        <v/>
      </c>
      <c r="Y1416" s="21">
        <f>$B$21</f>
        <v/>
      </c>
      <c r="Z1416" s="21" t="n">
        <v>0</v>
      </c>
      <c r="AA1416" s="21" t="n">
        <v>0</v>
      </c>
      <c r="AB1416" s="21" t="n">
        <v>0</v>
      </c>
      <c r="AC1416" s="21" t="n">
        <v>0</v>
      </c>
      <c r="AD1416" s="21" t="n">
        <v>0</v>
      </c>
      <c r="AE1416" s="21" t="n">
        <v>0</v>
      </c>
      <c r="AF1416" s="21" t="n">
        <v>0</v>
      </c>
      <c r="AG1416" s="21" t="n">
        <v>0</v>
      </c>
      <c r="AH1416" s="21" t="n">
        <v>0</v>
      </c>
      <c r="AI1416" s="21" t="n">
        <v>0</v>
      </c>
      <c r="AJ1416" s="21" t="n">
        <v>0</v>
      </c>
      <c r="AK1416" s="21" t="n">
        <v>0</v>
      </c>
      <c r="AL1416" s="21" t="n">
        <v>0</v>
      </c>
      <c r="AM1416" s="21" t="n">
        <v>0</v>
      </c>
      <c r="AN1416" s="21" t="n">
        <v>0</v>
      </c>
      <c r="AO1416" s="21" t="n">
        <v>0</v>
      </c>
      <c r="AP1416" s="21" t="n">
        <v>0</v>
      </c>
      <c r="AQ1416" s="21" t="n">
        <v>0</v>
      </c>
      <c r="AR1416" s="21" t="n">
        <v>0</v>
      </c>
      <c r="AS1416" s="21" t="n">
        <v>0</v>
      </c>
      <c r="AT1416" s="19" t="n"/>
    </row>
    <row r="1417">
      <c r="D1417" s="21" t="n">
        <v>0</v>
      </c>
      <c r="E1417" s="21" t="n">
        <v>0</v>
      </c>
      <c r="F1417" s="21" t="n">
        <v>0</v>
      </c>
      <c r="G1417" s="21" t="n">
        <v>0</v>
      </c>
      <c r="H1417" s="21" t="n">
        <v>0</v>
      </c>
      <c r="I1417" s="21" t="n">
        <v>0</v>
      </c>
      <c r="J1417" s="21" t="n">
        <v>0</v>
      </c>
      <c r="K1417" s="21" t="n">
        <v>0</v>
      </c>
      <c r="L1417" s="21" t="n">
        <v>0</v>
      </c>
      <c r="M1417" s="21" t="n">
        <v>0</v>
      </c>
      <c r="N1417" s="21" t="n">
        <v>0</v>
      </c>
      <c r="O1417" s="21" t="n">
        <v>0</v>
      </c>
      <c r="P1417" s="21" t="n">
        <v>0</v>
      </c>
      <c r="Q1417" s="21" t="n">
        <v>0</v>
      </c>
      <c r="R1417" s="21" t="n">
        <v>0</v>
      </c>
      <c r="S1417" s="21" t="n">
        <v>0</v>
      </c>
      <c r="T1417" s="21" t="n">
        <v>0</v>
      </c>
      <c r="U1417" s="21" t="n">
        <v>0</v>
      </c>
      <c r="V1417" s="21">
        <f>-$B$18</f>
        <v/>
      </c>
      <c r="W1417" s="21">
        <f>-$B$19</f>
        <v/>
      </c>
      <c r="X1417" s="21">
        <f>2*$B$18+$D$1385</f>
        <v/>
      </c>
      <c r="Y1417" s="21">
        <f>0</f>
        <v/>
      </c>
      <c r="Z1417" s="21">
        <f>-$B$18</f>
        <v/>
      </c>
      <c r="AA1417" s="21">
        <f>$B$19</f>
        <v/>
      </c>
      <c r="AB1417" s="21" t="n">
        <v>0</v>
      </c>
      <c r="AC1417" s="21" t="n">
        <v>0</v>
      </c>
      <c r="AD1417" s="21" t="n">
        <v>0</v>
      </c>
      <c r="AE1417" s="21" t="n">
        <v>0</v>
      </c>
      <c r="AF1417" s="21" t="n">
        <v>0</v>
      </c>
      <c r="AG1417" s="21" t="n">
        <v>0</v>
      </c>
      <c r="AH1417" s="21" t="n">
        <v>0</v>
      </c>
      <c r="AI1417" s="21" t="n">
        <v>0</v>
      </c>
      <c r="AJ1417" s="21" t="n">
        <v>0</v>
      </c>
      <c r="AK1417" s="21" t="n">
        <v>0</v>
      </c>
      <c r="AL1417" s="21" t="n">
        <v>0</v>
      </c>
      <c r="AM1417" s="21" t="n">
        <v>0</v>
      </c>
      <c r="AN1417" s="21" t="n">
        <v>0</v>
      </c>
      <c r="AO1417" s="21" t="n">
        <v>0</v>
      </c>
      <c r="AP1417" s="21" t="n">
        <v>0</v>
      </c>
      <c r="AQ1417" s="21" t="n">
        <v>0</v>
      </c>
      <c r="AR1417" s="21" t="n">
        <v>0</v>
      </c>
      <c r="AS1417" s="21" t="n">
        <v>0</v>
      </c>
      <c r="AT1417" s="19" t="n"/>
    </row>
    <row r="1418">
      <c r="D1418" s="21" t="n">
        <v>0</v>
      </c>
      <c r="E1418" s="21" t="n">
        <v>0</v>
      </c>
      <c r="F1418" s="21" t="n">
        <v>0</v>
      </c>
      <c r="G1418" s="21" t="n">
        <v>0</v>
      </c>
      <c r="H1418" s="21" t="n">
        <v>0</v>
      </c>
      <c r="I1418" s="21" t="n">
        <v>0</v>
      </c>
      <c r="J1418" s="21" t="n">
        <v>0</v>
      </c>
      <c r="K1418" s="21" t="n">
        <v>0</v>
      </c>
      <c r="L1418" s="21" t="n">
        <v>0</v>
      </c>
      <c r="M1418" s="21" t="n">
        <v>0</v>
      </c>
      <c r="N1418" s="21" t="n">
        <v>0</v>
      </c>
      <c r="O1418" s="21" t="n">
        <v>0</v>
      </c>
      <c r="P1418" s="21" t="n">
        <v>0</v>
      </c>
      <c r="Q1418" s="21" t="n">
        <v>0</v>
      </c>
      <c r="R1418" s="21" t="n">
        <v>0</v>
      </c>
      <c r="S1418" s="21" t="n">
        <v>0</v>
      </c>
      <c r="T1418" s="21" t="n">
        <v>0</v>
      </c>
      <c r="U1418" s="21" t="n">
        <v>0</v>
      </c>
      <c r="V1418" s="21">
        <f>$B$19</f>
        <v/>
      </c>
      <c r="W1418" s="21">
        <f>$B$21</f>
        <v/>
      </c>
      <c r="X1418" s="21">
        <f>0</f>
        <v/>
      </c>
      <c r="Y1418" s="21">
        <f>2*$B$20</f>
        <v/>
      </c>
      <c r="Z1418" s="21">
        <f>-$B$19</f>
        <v/>
      </c>
      <c r="AA1418" s="21">
        <f>$B$21</f>
        <v/>
      </c>
      <c r="AB1418" s="21" t="n">
        <v>0</v>
      </c>
      <c r="AC1418" s="21" t="n">
        <v>0</v>
      </c>
      <c r="AD1418" s="21" t="n">
        <v>0</v>
      </c>
      <c r="AE1418" s="21" t="n">
        <v>0</v>
      </c>
      <c r="AF1418" s="21" t="n">
        <v>0</v>
      </c>
      <c r="AG1418" s="21" t="n">
        <v>0</v>
      </c>
      <c r="AH1418" s="21" t="n">
        <v>0</v>
      </c>
      <c r="AI1418" s="21" t="n">
        <v>0</v>
      </c>
      <c r="AJ1418" s="21" t="n">
        <v>0</v>
      </c>
      <c r="AK1418" s="21" t="n">
        <v>0</v>
      </c>
      <c r="AL1418" s="21" t="n">
        <v>0</v>
      </c>
      <c r="AM1418" s="21" t="n">
        <v>0</v>
      </c>
      <c r="AN1418" s="21" t="n">
        <v>0</v>
      </c>
      <c r="AO1418" s="21" t="n">
        <v>0</v>
      </c>
      <c r="AP1418" s="21" t="n">
        <v>0</v>
      </c>
      <c r="AQ1418" s="21" t="n">
        <v>0</v>
      </c>
      <c r="AR1418" s="21" t="n">
        <v>0</v>
      </c>
      <c r="AS1418" s="21" t="n">
        <v>0</v>
      </c>
      <c r="AT1418" s="19" t="n"/>
    </row>
    <row r="1419">
      <c r="D1419" s="21" t="n">
        <v>0</v>
      </c>
      <c r="E1419" s="21" t="n">
        <v>0</v>
      </c>
      <c r="F1419" s="21" t="n">
        <v>0</v>
      </c>
      <c r="G1419" s="21" t="n">
        <v>0</v>
      </c>
      <c r="H1419" s="21" t="n">
        <v>0</v>
      </c>
      <c r="I1419" s="21" t="n">
        <v>0</v>
      </c>
      <c r="J1419" s="21" t="n">
        <v>0</v>
      </c>
      <c r="K1419" s="21" t="n">
        <v>0</v>
      </c>
      <c r="L1419" s="21" t="n">
        <v>0</v>
      </c>
      <c r="M1419" s="21" t="n">
        <v>0</v>
      </c>
      <c r="N1419" s="21" t="n">
        <v>0</v>
      </c>
      <c r="O1419" s="21" t="n">
        <v>0</v>
      </c>
      <c r="P1419" s="21" t="n">
        <v>0</v>
      </c>
      <c r="Q1419" s="21" t="n">
        <v>0</v>
      </c>
      <c r="R1419" s="21" t="n">
        <v>0</v>
      </c>
      <c r="S1419" s="21" t="n">
        <v>0</v>
      </c>
      <c r="T1419" s="21" t="n">
        <v>0</v>
      </c>
      <c r="U1419" s="21" t="n">
        <v>0</v>
      </c>
      <c r="V1419" s="21" t="n">
        <v>0</v>
      </c>
      <c r="W1419" s="21" t="n">
        <v>0</v>
      </c>
      <c r="X1419" s="21">
        <f>-$B$18</f>
        <v/>
      </c>
      <c r="Y1419" s="21">
        <f>-$B$19</f>
        <v/>
      </c>
      <c r="Z1419" s="21">
        <f>2*$B$18+$D$1386</f>
        <v/>
      </c>
      <c r="AA1419" s="21">
        <f>0</f>
        <v/>
      </c>
      <c r="AB1419" s="21">
        <f>-$B$18</f>
        <v/>
      </c>
      <c r="AC1419" s="21">
        <f>$B$19</f>
        <v/>
      </c>
      <c r="AD1419" s="21" t="n">
        <v>0</v>
      </c>
      <c r="AE1419" s="21" t="n">
        <v>0</v>
      </c>
      <c r="AF1419" s="21" t="n">
        <v>0</v>
      </c>
      <c r="AG1419" s="21" t="n">
        <v>0</v>
      </c>
      <c r="AH1419" s="21" t="n">
        <v>0</v>
      </c>
      <c r="AI1419" s="21" t="n">
        <v>0</v>
      </c>
      <c r="AJ1419" s="21" t="n">
        <v>0</v>
      </c>
      <c r="AK1419" s="21" t="n">
        <v>0</v>
      </c>
      <c r="AL1419" s="21" t="n">
        <v>0</v>
      </c>
      <c r="AM1419" s="21" t="n">
        <v>0</v>
      </c>
      <c r="AN1419" s="21" t="n">
        <v>0</v>
      </c>
      <c r="AO1419" s="21" t="n">
        <v>0</v>
      </c>
      <c r="AP1419" s="21" t="n">
        <v>0</v>
      </c>
      <c r="AQ1419" s="21" t="n">
        <v>0</v>
      </c>
      <c r="AR1419" s="21" t="n">
        <v>0</v>
      </c>
      <c r="AS1419" s="21" t="n">
        <v>0</v>
      </c>
      <c r="AT1419" s="19" t="n"/>
    </row>
    <row r="1420">
      <c r="D1420" s="21" t="n">
        <v>0</v>
      </c>
      <c r="E1420" s="21" t="n">
        <v>0</v>
      </c>
      <c r="F1420" s="21" t="n">
        <v>0</v>
      </c>
      <c r="G1420" s="21" t="n">
        <v>0</v>
      </c>
      <c r="H1420" s="21" t="n">
        <v>0</v>
      </c>
      <c r="I1420" s="21" t="n">
        <v>0</v>
      </c>
      <c r="J1420" s="21" t="n">
        <v>0</v>
      </c>
      <c r="K1420" s="21" t="n">
        <v>0</v>
      </c>
      <c r="L1420" s="21" t="n">
        <v>0</v>
      </c>
      <c r="M1420" s="21" t="n">
        <v>0</v>
      </c>
      <c r="N1420" s="21" t="n">
        <v>0</v>
      </c>
      <c r="O1420" s="21" t="n">
        <v>0</v>
      </c>
      <c r="P1420" s="21" t="n">
        <v>0</v>
      </c>
      <c r="Q1420" s="21" t="n">
        <v>0</v>
      </c>
      <c r="R1420" s="21" t="n">
        <v>0</v>
      </c>
      <c r="S1420" s="21" t="n">
        <v>0</v>
      </c>
      <c r="T1420" s="21" t="n">
        <v>0</v>
      </c>
      <c r="U1420" s="21" t="n">
        <v>0</v>
      </c>
      <c r="V1420" s="21" t="n">
        <v>0</v>
      </c>
      <c r="W1420" s="21" t="n">
        <v>0</v>
      </c>
      <c r="X1420" s="21">
        <f>$B$19</f>
        <v/>
      </c>
      <c r="Y1420" s="21">
        <f>$B$21</f>
        <v/>
      </c>
      <c r="Z1420" s="21">
        <f>0</f>
        <v/>
      </c>
      <c r="AA1420" s="21">
        <f>2*$B$20</f>
        <v/>
      </c>
      <c r="AB1420" s="21">
        <f>-$B$19</f>
        <v/>
      </c>
      <c r="AC1420" s="21">
        <f>$B$21</f>
        <v/>
      </c>
      <c r="AD1420" s="21" t="n">
        <v>0</v>
      </c>
      <c r="AE1420" s="21" t="n">
        <v>0</v>
      </c>
      <c r="AF1420" s="21" t="n">
        <v>0</v>
      </c>
      <c r="AG1420" s="21" t="n">
        <v>0</v>
      </c>
      <c r="AH1420" s="21" t="n">
        <v>0</v>
      </c>
      <c r="AI1420" s="21" t="n">
        <v>0</v>
      </c>
      <c r="AJ1420" s="21" t="n">
        <v>0</v>
      </c>
      <c r="AK1420" s="21" t="n">
        <v>0</v>
      </c>
      <c r="AL1420" s="21" t="n">
        <v>0</v>
      </c>
      <c r="AM1420" s="21" t="n">
        <v>0</v>
      </c>
      <c r="AN1420" s="21" t="n">
        <v>0</v>
      </c>
      <c r="AO1420" s="21" t="n">
        <v>0</v>
      </c>
      <c r="AP1420" s="21" t="n">
        <v>0</v>
      </c>
      <c r="AQ1420" s="21" t="n">
        <v>0</v>
      </c>
      <c r="AR1420" s="21" t="n">
        <v>0</v>
      </c>
      <c r="AS1420" s="21" t="n">
        <v>0</v>
      </c>
      <c r="AT1420" s="19" t="n"/>
    </row>
    <row r="1421">
      <c r="D1421" s="21" t="n">
        <v>0</v>
      </c>
      <c r="E1421" s="21" t="n">
        <v>0</v>
      </c>
      <c r="F1421" s="21" t="n">
        <v>0</v>
      </c>
      <c r="G1421" s="21" t="n">
        <v>0</v>
      </c>
      <c r="H1421" s="21" t="n">
        <v>0</v>
      </c>
      <c r="I1421" s="21" t="n">
        <v>0</v>
      </c>
      <c r="J1421" s="21" t="n">
        <v>0</v>
      </c>
      <c r="K1421" s="21" t="n">
        <v>0</v>
      </c>
      <c r="L1421" s="21" t="n">
        <v>0</v>
      </c>
      <c r="M1421" s="21" t="n">
        <v>0</v>
      </c>
      <c r="N1421" s="21" t="n">
        <v>0</v>
      </c>
      <c r="O1421" s="21" t="n">
        <v>0</v>
      </c>
      <c r="P1421" s="21" t="n">
        <v>0</v>
      </c>
      <c r="Q1421" s="21" t="n">
        <v>0</v>
      </c>
      <c r="R1421" s="21" t="n">
        <v>0</v>
      </c>
      <c r="S1421" s="21" t="n">
        <v>0</v>
      </c>
      <c r="T1421" s="21" t="n">
        <v>0</v>
      </c>
      <c r="U1421" s="21" t="n">
        <v>0</v>
      </c>
      <c r="V1421" s="21" t="n">
        <v>0</v>
      </c>
      <c r="W1421" s="21" t="n">
        <v>0</v>
      </c>
      <c r="X1421" s="21" t="n">
        <v>0</v>
      </c>
      <c r="Y1421" s="21" t="n">
        <v>0</v>
      </c>
      <c r="Z1421" s="21">
        <f>-$B$18</f>
        <v/>
      </c>
      <c r="AA1421" s="21">
        <f>-$B$19</f>
        <v/>
      </c>
      <c r="AB1421" s="21">
        <f>2*$B$18+$D$1387</f>
        <v/>
      </c>
      <c r="AC1421" s="21">
        <f>0</f>
        <v/>
      </c>
      <c r="AD1421" s="21">
        <f>-$B$18</f>
        <v/>
      </c>
      <c r="AE1421" s="21">
        <f>$B$19</f>
        <v/>
      </c>
      <c r="AF1421" s="21" t="n">
        <v>0</v>
      </c>
      <c r="AG1421" s="21" t="n">
        <v>0</v>
      </c>
      <c r="AH1421" s="21" t="n">
        <v>0</v>
      </c>
      <c r="AI1421" s="21" t="n">
        <v>0</v>
      </c>
      <c r="AJ1421" s="21" t="n">
        <v>0</v>
      </c>
      <c r="AK1421" s="21" t="n">
        <v>0</v>
      </c>
      <c r="AL1421" s="21" t="n">
        <v>0</v>
      </c>
      <c r="AM1421" s="21" t="n">
        <v>0</v>
      </c>
      <c r="AN1421" s="21" t="n">
        <v>0</v>
      </c>
      <c r="AO1421" s="21" t="n">
        <v>0</v>
      </c>
      <c r="AP1421" s="21" t="n">
        <v>0</v>
      </c>
      <c r="AQ1421" s="21" t="n">
        <v>0</v>
      </c>
      <c r="AR1421" s="21" t="n">
        <v>0</v>
      </c>
      <c r="AS1421" s="21" t="n">
        <v>0</v>
      </c>
      <c r="AT1421" s="19" t="n"/>
    </row>
    <row r="1422">
      <c r="D1422" s="21" t="n">
        <v>0</v>
      </c>
      <c r="E1422" s="21" t="n">
        <v>0</v>
      </c>
      <c r="F1422" s="21" t="n">
        <v>0</v>
      </c>
      <c r="G1422" s="21" t="n">
        <v>0</v>
      </c>
      <c r="H1422" s="21" t="n">
        <v>0</v>
      </c>
      <c r="I1422" s="21" t="n">
        <v>0</v>
      </c>
      <c r="J1422" s="21" t="n">
        <v>0</v>
      </c>
      <c r="K1422" s="21" t="n">
        <v>0</v>
      </c>
      <c r="L1422" s="21" t="n">
        <v>0</v>
      </c>
      <c r="M1422" s="21" t="n">
        <v>0</v>
      </c>
      <c r="N1422" s="21" t="n">
        <v>0</v>
      </c>
      <c r="O1422" s="21" t="n">
        <v>0</v>
      </c>
      <c r="P1422" s="21" t="n">
        <v>0</v>
      </c>
      <c r="Q1422" s="21" t="n">
        <v>0</v>
      </c>
      <c r="R1422" s="21" t="n">
        <v>0</v>
      </c>
      <c r="S1422" s="21" t="n">
        <v>0</v>
      </c>
      <c r="T1422" s="21" t="n">
        <v>0</v>
      </c>
      <c r="U1422" s="21" t="n">
        <v>0</v>
      </c>
      <c r="V1422" s="21" t="n">
        <v>0</v>
      </c>
      <c r="W1422" s="21" t="n">
        <v>0</v>
      </c>
      <c r="X1422" s="21" t="n">
        <v>0</v>
      </c>
      <c r="Y1422" s="21" t="n">
        <v>0</v>
      </c>
      <c r="Z1422" s="21">
        <f>$B$19</f>
        <v/>
      </c>
      <c r="AA1422" s="21">
        <f>$B$21</f>
        <v/>
      </c>
      <c r="AB1422" s="21">
        <f>0</f>
        <v/>
      </c>
      <c r="AC1422" s="21">
        <f>2*$B$20</f>
        <v/>
      </c>
      <c r="AD1422" s="21">
        <f>-$B$19</f>
        <v/>
      </c>
      <c r="AE1422" s="21">
        <f>$B$21</f>
        <v/>
      </c>
      <c r="AF1422" s="21" t="n">
        <v>0</v>
      </c>
      <c r="AG1422" s="21" t="n">
        <v>0</v>
      </c>
      <c r="AH1422" s="21" t="n">
        <v>0</v>
      </c>
      <c r="AI1422" s="21" t="n">
        <v>0</v>
      </c>
      <c r="AJ1422" s="21" t="n">
        <v>0</v>
      </c>
      <c r="AK1422" s="21" t="n">
        <v>0</v>
      </c>
      <c r="AL1422" s="21" t="n">
        <v>0</v>
      </c>
      <c r="AM1422" s="21" t="n">
        <v>0</v>
      </c>
      <c r="AN1422" s="21" t="n">
        <v>0</v>
      </c>
      <c r="AO1422" s="21" t="n">
        <v>0</v>
      </c>
      <c r="AP1422" s="21" t="n">
        <v>0</v>
      </c>
      <c r="AQ1422" s="21" t="n">
        <v>0</v>
      </c>
      <c r="AR1422" s="21" t="n">
        <v>0</v>
      </c>
      <c r="AS1422" s="21" t="n">
        <v>0</v>
      </c>
      <c r="AT1422" s="19" t="n"/>
    </row>
    <row r="1423">
      <c r="D1423" s="21" t="n">
        <v>0</v>
      </c>
      <c r="E1423" s="21" t="n">
        <v>0</v>
      </c>
      <c r="F1423" s="21" t="n">
        <v>0</v>
      </c>
      <c r="G1423" s="21" t="n">
        <v>0</v>
      </c>
      <c r="H1423" s="21" t="n">
        <v>0</v>
      </c>
      <c r="I1423" s="21" t="n">
        <v>0</v>
      </c>
      <c r="J1423" s="21" t="n">
        <v>0</v>
      </c>
      <c r="K1423" s="21" t="n">
        <v>0</v>
      </c>
      <c r="L1423" s="21" t="n">
        <v>0</v>
      </c>
      <c r="M1423" s="21" t="n">
        <v>0</v>
      </c>
      <c r="N1423" s="21" t="n">
        <v>0</v>
      </c>
      <c r="O1423" s="21" t="n">
        <v>0</v>
      </c>
      <c r="P1423" s="21" t="n">
        <v>0</v>
      </c>
      <c r="Q1423" s="21" t="n">
        <v>0</v>
      </c>
      <c r="R1423" s="21" t="n">
        <v>0</v>
      </c>
      <c r="S1423" s="21" t="n">
        <v>0</v>
      </c>
      <c r="T1423" s="21" t="n">
        <v>0</v>
      </c>
      <c r="U1423" s="21" t="n">
        <v>0</v>
      </c>
      <c r="V1423" s="21" t="n">
        <v>0</v>
      </c>
      <c r="W1423" s="21" t="n">
        <v>0</v>
      </c>
      <c r="X1423" s="21" t="n">
        <v>0</v>
      </c>
      <c r="Y1423" s="21" t="n">
        <v>0</v>
      </c>
      <c r="Z1423" s="21" t="n">
        <v>0</v>
      </c>
      <c r="AA1423" s="21" t="n">
        <v>0</v>
      </c>
      <c r="AB1423" s="21">
        <f>-$B$18</f>
        <v/>
      </c>
      <c r="AC1423" s="21">
        <f>-$B$19</f>
        <v/>
      </c>
      <c r="AD1423" s="21">
        <f>2*$B$18+$D$1388</f>
        <v/>
      </c>
      <c r="AE1423" s="21">
        <f>0</f>
        <v/>
      </c>
      <c r="AF1423" s="21">
        <f>-$B$18</f>
        <v/>
      </c>
      <c r="AG1423" s="21">
        <f>$B$19</f>
        <v/>
      </c>
      <c r="AH1423" s="21" t="n">
        <v>0</v>
      </c>
      <c r="AI1423" s="21" t="n">
        <v>0</v>
      </c>
      <c r="AJ1423" s="21" t="n">
        <v>0</v>
      </c>
      <c r="AK1423" s="21" t="n">
        <v>0</v>
      </c>
      <c r="AL1423" s="21" t="n">
        <v>0</v>
      </c>
      <c r="AM1423" s="21" t="n">
        <v>0</v>
      </c>
      <c r="AN1423" s="21" t="n">
        <v>0</v>
      </c>
      <c r="AO1423" s="21" t="n">
        <v>0</v>
      </c>
      <c r="AP1423" s="21" t="n">
        <v>0</v>
      </c>
      <c r="AQ1423" s="21" t="n">
        <v>0</v>
      </c>
      <c r="AR1423" s="21" t="n">
        <v>0</v>
      </c>
      <c r="AS1423" s="21" t="n">
        <v>0</v>
      </c>
      <c r="AT1423" s="19" t="n"/>
    </row>
    <row r="1424">
      <c r="D1424" s="21" t="n">
        <v>0</v>
      </c>
      <c r="E1424" s="21" t="n">
        <v>0</v>
      </c>
      <c r="F1424" s="21" t="n">
        <v>0</v>
      </c>
      <c r="G1424" s="21" t="n">
        <v>0</v>
      </c>
      <c r="H1424" s="21" t="n">
        <v>0</v>
      </c>
      <c r="I1424" s="21" t="n">
        <v>0</v>
      </c>
      <c r="J1424" s="21" t="n">
        <v>0</v>
      </c>
      <c r="K1424" s="21" t="n">
        <v>0</v>
      </c>
      <c r="L1424" s="21" t="n">
        <v>0</v>
      </c>
      <c r="M1424" s="21" t="n">
        <v>0</v>
      </c>
      <c r="N1424" s="21" t="n">
        <v>0</v>
      </c>
      <c r="O1424" s="21" t="n">
        <v>0</v>
      </c>
      <c r="P1424" s="21" t="n">
        <v>0</v>
      </c>
      <c r="Q1424" s="21" t="n">
        <v>0</v>
      </c>
      <c r="R1424" s="21" t="n">
        <v>0</v>
      </c>
      <c r="S1424" s="21" t="n">
        <v>0</v>
      </c>
      <c r="T1424" s="21" t="n">
        <v>0</v>
      </c>
      <c r="U1424" s="21" t="n">
        <v>0</v>
      </c>
      <c r="V1424" s="21" t="n">
        <v>0</v>
      </c>
      <c r="W1424" s="21" t="n">
        <v>0</v>
      </c>
      <c r="X1424" s="21" t="n">
        <v>0</v>
      </c>
      <c r="Y1424" s="21" t="n">
        <v>0</v>
      </c>
      <c r="Z1424" s="21" t="n">
        <v>0</v>
      </c>
      <c r="AA1424" s="21" t="n">
        <v>0</v>
      </c>
      <c r="AB1424" s="21">
        <f>$B$19</f>
        <v/>
      </c>
      <c r="AC1424" s="21">
        <f>$B$21</f>
        <v/>
      </c>
      <c r="AD1424" s="21">
        <f>0</f>
        <v/>
      </c>
      <c r="AE1424" s="21">
        <f>2*$B$20</f>
        <v/>
      </c>
      <c r="AF1424" s="21">
        <f>-$B$19</f>
        <v/>
      </c>
      <c r="AG1424" s="21">
        <f>$B$21</f>
        <v/>
      </c>
      <c r="AH1424" s="21" t="n">
        <v>0</v>
      </c>
      <c r="AI1424" s="21" t="n">
        <v>0</v>
      </c>
      <c r="AJ1424" s="21" t="n">
        <v>0</v>
      </c>
      <c r="AK1424" s="21" t="n">
        <v>0</v>
      </c>
      <c r="AL1424" s="21" t="n">
        <v>0</v>
      </c>
      <c r="AM1424" s="21" t="n">
        <v>0</v>
      </c>
      <c r="AN1424" s="21" t="n">
        <v>0</v>
      </c>
      <c r="AO1424" s="21" t="n">
        <v>0</v>
      </c>
      <c r="AP1424" s="21" t="n">
        <v>0</v>
      </c>
      <c r="AQ1424" s="21" t="n">
        <v>0</v>
      </c>
      <c r="AR1424" s="21" t="n">
        <v>0</v>
      </c>
      <c r="AS1424" s="21" t="n">
        <v>0</v>
      </c>
      <c r="AT1424" s="19" t="n"/>
    </row>
    <row r="1425">
      <c r="D1425" s="21" t="n">
        <v>0</v>
      </c>
      <c r="E1425" s="21" t="n">
        <v>0</v>
      </c>
      <c r="F1425" s="21" t="n">
        <v>0</v>
      </c>
      <c r="G1425" s="21" t="n">
        <v>0</v>
      </c>
      <c r="H1425" s="21" t="n">
        <v>0</v>
      </c>
      <c r="I1425" s="21" t="n">
        <v>0</v>
      </c>
      <c r="J1425" s="21" t="n">
        <v>0</v>
      </c>
      <c r="K1425" s="21" t="n">
        <v>0</v>
      </c>
      <c r="L1425" s="21" t="n">
        <v>0</v>
      </c>
      <c r="M1425" s="21" t="n">
        <v>0</v>
      </c>
      <c r="N1425" s="21" t="n">
        <v>0</v>
      </c>
      <c r="O1425" s="21" t="n">
        <v>0</v>
      </c>
      <c r="P1425" s="21" t="n">
        <v>0</v>
      </c>
      <c r="Q1425" s="21" t="n">
        <v>0</v>
      </c>
      <c r="R1425" s="21" t="n">
        <v>0</v>
      </c>
      <c r="S1425" s="21" t="n">
        <v>0</v>
      </c>
      <c r="T1425" s="21" t="n">
        <v>0</v>
      </c>
      <c r="U1425" s="21" t="n">
        <v>0</v>
      </c>
      <c r="V1425" s="21" t="n">
        <v>0</v>
      </c>
      <c r="W1425" s="21" t="n">
        <v>0</v>
      </c>
      <c r="X1425" s="21" t="n">
        <v>0</v>
      </c>
      <c r="Y1425" s="21" t="n">
        <v>0</v>
      </c>
      <c r="Z1425" s="21" t="n">
        <v>0</v>
      </c>
      <c r="AA1425" s="21" t="n">
        <v>0</v>
      </c>
      <c r="AB1425" s="21" t="n">
        <v>0</v>
      </c>
      <c r="AC1425" s="21" t="n">
        <v>0</v>
      </c>
      <c r="AD1425" s="21">
        <f>-$B$18</f>
        <v/>
      </c>
      <c r="AE1425" s="21">
        <f>-$B$19</f>
        <v/>
      </c>
      <c r="AF1425" s="21">
        <f>2*$B$18+$D$1389</f>
        <v/>
      </c>
      <c r="AG1425" s="21">
        <f>0</f>
        <v/>
      </c>
      <c r="AH1425" s="21">
        <f>-$B$18</f>
        <v/>
      </c>
      <c r="AI1425" s="21">
        <f>$B$19</f>
        <v/>
      </c>
      <c r="AJ1425" s="21" t="n">
        <v>0</v>
      </c>
      <c r="AK1425" s="21" t="n">
        <v>0</v>
      </c>
      <c r="AL1425" s="21" t="n">
        <v>0</v>
      </c>
      <c r="AM1425" s="21" t="n">
        <v>0</v>
      </c>
      <c r="AN1425" s="21" t="n">
        <v>0</v>
      </c>
      <c r="AO1425" s="21" t="n">
        <v>0</v>
      </c>
      <c r="AP1425" s="21" t="n">
        <v>0</v>
      </c>
      <c r="AQ1425" s="21" t="n">
        <v>0</v>
      </c>
      <c r="AR1425" s="21" t="n">
        <v>0</v>
      </c>
      <c r="AS1425" s="21" t="n">
        <v>0</v>
      </c>
      <c r="AT1425" s="19" t="n"/>
    </row>
    <row r="1426">
      <c r="D1426" s="21" t="n">
        <v>0</v>
      </c>
      <c r="E1426" s="21" t="n">
        <v>0</v>
      </c>
      <c r="F1426" s="21" t="n">
        <v>0</v>
      </c>
      <c r="G1426" s="21" t="n">
        <v>0</v>
      </c>
      <c r="H1426" s="21" t="n">
        <v>0</v>
      </c>
      <c r="I1426" s="21" t="n">
        <v>0</v>
      </c>
      <c r="J1426" s="21" t="n">
        <v>0</v>
      </c>
      <c r="K1426" s="21" t="n">
        <v>0</v>
      </c>
      <c r="L1426" s="21" t="n">
        <v>0</v>
      </c>
      <c r="M1426" s="21" t="n">
        <v>0</v>
      </c>
      <c r="N1426" s="21" t="n">
        <v>0</v>
      </c>
      <c r="O1426" s="21" t="n">
        <v>0</v>
      </c>
      <c r="P1426" s="21" t="n">
        <v>0</v>
      </c>
      <c r="Q1426" s="21" t="n">
        <v>0</v>
      </c>
      <c r="R1426" s="21" t="n">
        <v>0</v>
      </c>
      <c r="S1426" s="21" t="n">
        <v>0</v>
      </c>
      <c r="T1426" s="21" t="n">
        <v>0</v>
      </c>
      <c r="U1426" s="21" t="n">
        <v>0</v>
      </c>
      <c r="V1426" s="21" t="n">
        <v>0</v>
      </c>
      <c r="W1426" s="21" t="n">
        <v>0</v>
      </c>
      <c r="X1426" s="21" t="n">
        <v>0</v>
      </c>
      <c r="Y1426" s="21" t="n">
        <v>0</v>
      </c>
      <c r="Z1426" s="21" t="n">
        <v>0</v>
      </c>
      <c r="AA1426" s="21" t="n">
        <v>0</v>
      </c>
      <c r="AB1426" s="21" t="n">
        <v>0</v>
      </c>
      <c r="AC1426" s="21" t="n">
        <v>0</v>
      </c>
      <c r="AD1426" s="21">
        <f>$B$19</f>
        <v/>
      </c>
      <c r="AE1426" s="21">
        <f>$B$21</f>
        <v/>
      </c>
      <c r="AF1426" s="21">
        <f>0</f>
        <v/>
      </c>
      <c r="AG1426" s="21">
        <f>2*$B$20</f>
        <v/>
      </c>
      <c r="AH1426" s="21">
        <f>-$B$19</f>
        <v/>
      </c>
      <c r="AI1426" s="21">
        <f>$B$21</f>
        <v/>
      </c>
      <c r="AJ1426" s="21" t="n">
        <v>0</v>
      </c>
      <c r="AK1426" s="21" t="n">
        <v>0</v>
      </c>
      <c r="AL1426" s="21" t="n">
        <v>0</v>
      </c>
      <c r="AM1426" s="21" t="n">
        <v>0</v>
      </c>
      <c r="AN1426" s="21" t="n">
        <v>0</v>
      </c>
      <c r="AO1426" s="21" t="n">
        <v>0</v>
      </c>
      <c r="AP1426" s="21" t="n">
        <v>0</v>
      </c>
      <c r="AQ1426" s="21" t="n">
        <v>0</v>
      </c>
      <c r="AR1426" s="21" t="n">
        <v>0</v>
      </c>
      <c r="AS1426" s="21" t="n">
        <v>0</v>
      </c>
      <c r="AT1426" s="19" t="n"/>
    </row>
    <row r="1427">
      <c r="D1427" s="21" t="n">
        <v>0</v>
      </c>
      <c r="E1427" s="21" t="n">
        <v>0</v>
      </c>
      <c r="F1427" s="21" t="n">
        <v>0</v>
      </c>
      <c r="G1427" s="21" t="n">
        <v>0</v>
      </c>
      <c r="H1427" s="21" t="n">
        <v>0</v>
      </c>
      <c r="I1427" s="21" t="n">
        <v>0</v>
      </c>
      <c r="J1427" s="21" t="n">
        <v>0</v>
      </c>
      <c r="K1427" s="21" t="n">
        <v>0</v>
      </c>
      <c r="L1427" s="21" t="n">
        <v>0</v>
      </c>
      <c r="M1427" s="21" t="n">
        <v>0</v>
      </c>
      <c r="N1427" s="21" t="n">
        <v>0</v>
      </c>
      <c r="O1427" s="21" t="n">
        <v>0</v>
      </c>
      <c r="P1427" s="21" t="n">
        <v>0</v>
      </c>
      <c r="Q1427" s="21" t="n">
        <v>0</v>
      </c>
      <c r="R1427" s="21" t="n">
        <v>0</v>
      </c>
      <c r="S1427" s="21" t="n">
        <v>0</v>
      </c>
      <c r="T1427" s="21" t="n">
        <v>0</v>
      </c>
      <c r="U1427" s="21" t="n">
        <v>0</v>
      </c>
      <c r="V1427" s="21" t="n">
        <v>0</v>
      </c>
      <c r="W1427" s="21" t="n">
        <v>0</v>
      </c>
      <c r="X1427" s="21" t="n">
        <v>0</v>
      </c>
      <c r="Y1427" s="21" t="n">
        <v>0</v>
      </c>
      <c r="Z1427" s="21" t="n">
        <v>0</v>
      </c>
      <c r="AA1427" s="21" t="n">
        <v>0</v>
      </c>
      <c r="AB1427" s="21" t="n">
        <v>0</v>
      </c>
      <c r="AC1427" s="21" t="n">
        <v>0</v>
      </c>
      <c r="AD1427" s="21" t="n">
        <v>0</v>
      </c>
      <c r="AE1427" s="21" t="n">
        <v>0</v>
      </c>
      <c r="AF1427" s="21">
        <f>-$B$18</f>
        <v/>
      </c>
      <c r="AG1427" s="21">
        <f>-$B$19</f>
        <v/>
      </c>
      <c r="AH1427" s="21">
        <f>2*$B$18+$D$1390</f>
        <v/>
      </c>
      <c r="AI1427" s="21">
        <f>0</f>
        <v/>
      </c>
      <c r="AJ1427" s="21">
        <f>-$B$18</f>
        <v/>
      </c>
      <c r="AK1427" s="21">
        <f>$B$19</f>
        <v/>
      </c>
      <c r="AL1427" s="21" t="n">
        <v>0</v>
      </c>
      <c r="AM1427" s="21" t="n">
        <v>0</v>
      </c>
      <c r="AN1427" s="21" t="n">
        <v>0</v>
      </c>
      <c r="AO1427" s="21" t="n">
        <v>0</v>
      </c>
      <c r="AP1427" s="21" t="n">
        <v>0</v>
      </c>
      <c r="AQ1427" s="21" t="n">
        <v>0</v>
      </c>
      <c r="AR1427" s="21" t="n">
        <v>0</v>
      </c>
      <c r="AS1427" s="21" t="n">
        <v>0</v>
      </c>
      <c r="AT1427" s="19" t="n"/>
    </row>
    <row r="1428">
      <c r="D1428" s="21" t="n">
        <v>0</v>
      </c>
      <c r="E1428" s="21" t="n">
        <v>0</v>
      </c>
      <c r="F1428" s="21" t="n">
        <v>0</v>
      </c>
      <c r="G1428" s="21" t="n">
        <v>0</v>
      </c>
      <c r="H1428" s="21" t="n">
        <v>0</v>
      </c>
      <c r="I1428" s="21" t="n">
        <v>0</v>
      </c>
      <c r="J1428" s="21" t="n">
        <v>0</v>
      </c>
      <c r="K1428" s="21" t="n">
        <v>0</v>
      </c>
      <c r="L1428" s="21" t="n">
        <v>0</v>
      </c>
      <c r="M1428" s="21" t="n">
        <v>0</v>
      </c>
      <c r="N1428" s="21" t="n">
        <v>0</v>
      </c>
      <c r="O1428" s="21" t="n">
        <v>0</v>
      </c>
      <c r="P1428" s="21" t="n">
        <v>0</v>
      </c>
      <c r="Q1428" s="21" t="n">
        <v>0</v>
      </c>
      <c r="R1428" s="21" t="n">
        <v>0</v>
      </c>
      <c r="S1428" s="21" t="n">
        <v>0</v>
      </c>
      <c r="T1428" s="21" t="n">
        <v>0</v>
      </c>
      <c r="U1428" s="21" t="n">
        <v>0</v>
      </c>
      <c r="V1428" s="21" t="n">
        <v>0</v>
      </c>
      <c r="W1428" s="21" t="n">
        <v>0</v>
      </c>
      <c r="X1428" s="21" t="n">
        <v>0</v>
      </c>
      <c r="Y1428" s="21" t="n">
        <v>0</v>
      </c>
      <c r="Z1428" s="21" t="n">
        <v>0</v>
      </c>
      <c r="AA1428" s="21" t="n">
        <v>0</v>
      </c>
      <c r="AB1428" s="21" t="n">
        <v>0</v>
      </c>
      <c r="AC1428" s="21" t="n">
        <v>0</v>
      </c>
      <c r="AD1428" s="21" t="n">
        <v>0</v>
      </c>
      <c r="AE1428" s="21" t="n">
        <v>0</v>
      </c>
      <c r="AF1428" s="21">
        <f>$B$19</f>
        <v/>
      </c>
      <c r="AG1428" s="21">
        <f>$B$21</f>
        <v/>
      </c>
      <c r="AH1428" s="21">
        <f>0</f>
        <v/>
      </c>
      <c r="AI1428" s="21">
        <f>2*$B$20</f>
        <v/>
      </c>
      <c r="AJ1428" s="21">
        <f>-$B$19</f>
        <v/>
      </c>
      <c r="AK1428" s="21">
        <f>$B$21</f>
        <v/>
      </c>
      <c r="AL1428" s="21" t="n">
        <v>0</v>
      </c>
      <c r="AM1428" s="21" t="n">
        <v>0</v>
      </c>
      <c r="AN1428" s="21" t="n">
        <v>0</v>
      </c>
      <c r="AO1428" s="21" t="n">
        <v>0</v>
      </c>
      <c r="AP1428" s="21" t="n">
        <v>0</v>
      </c>
      <c r="AQ1428" s="21" t="n">
        <v>0</v>
      </c>
      <c r="AR1428" s="21" t="n">
        <v>0</v>
      </c>
      <c r="AS1428" s="21" t="n">
        <v>0</v>
      </c>
      <c r="AT1428" s="19" t="n"/>
    </row>
    <row r="1429">
      <c r="D1429" s="21" t="n">
        <v>0</v>
      </c>
      <c r="E1429" s="21" t="n">
        <v>0</v>
      </c>
      <c r="F1429" s="21" t="n">
        <v>0</v>
      </c>
      <c r="G1429" s="21" t="n">
        <v>0</v>
      </c>
      <c r="H1429" s="21" t="n">
        <v>0</v>
      </c>
      <c r="I1429" s="21" t="n">
        <v>0</v>
      </c>
      <c r="J1429" s="21" t="n">
        <v>0</v>
      </c>
      <c r="K1429" s="21" t="n">
        <v>0</v>
      </c>
      <c r="L1429" s="21" t="n">
        <v>0</v>
      </c>
      <c r="M1429" s="21" t="n">
        <v>0</v>
      </c>
      <c r="N1429" s="21" t="n">
        <v>0</v>
      </c>
      <c r="O1429" s="21" t="n">
        <v>0</v>
      </c>
      <c r="P1429" s="21" t="n">
        <v>0</v>
      </c>
      <c r="Q1429" s="21" t="n">
        <v>0</v>
      </c>
      <c r="R1429" s="21" t="n">
        <v>0</v>
      </c>
      <c r="S1429" s="21" t="n">
        <v>0</v>
      </c>
      <c r="T1429" s="21" t="n">
        <v>0</v>
      </c>
      <c r="U1429" s="21" t="n">
        <v>0</v>
      </c>
      <c r="V1429" s="21" t="n">
        <v>0</v>
      </c>
      <c r="W1429" s="21" t="n">
        <v>0</v>
      </c>
      <c r="X1429" s="21" t="n">
        <v>0</v>
      </c>
      <c r="Y1429" s="21" t="n">
        <v>0</v>
      </c>
      <c r="Z1429" s="21" t="n">
        <v>0</v>
      </c>
      <c r="AA1429" s="21" t="n">
        <v>0</v>
      </c>
      <c r="AB1429" s="21" t="n">
        <v>0</v>
      </c>
      <c r="AC1429" s="21" t="n">
        <v>0</v>
      </c>
      <c r="AD1429" s="21" t="n">
        <v>0</v>
      </c>
      <c r="AE1429" s="21" t="n">
        <v>0</v>
      </c>
      <c r="AF1429" s="21" t="n">
        <v>0</v>
      </c>
      <c r="AG1429" s="21" t="n">
        <v>0</v>
      </c>
      <c r="AH1429" s="21">
        <f>-$B$18</f>
        <v/>
      </c>
      <c r="AI1429" s="21">
        <f>-$B$19</f>
        <v/>
      </c>
      <c r="AJ1429" s="21">
        <f>2*$B$18+$D$1391</f>
        <v/>
      </c>
      <c r="AK1429" s="21">
        <f>0</f>
        <v/>
      </c>
      <c r="AL1429" s="21">
        <f>-$B$18</f>
        <v/>
      </c>
      <c r="AM1429" s="21">
        <f>$B$19</f>
        <v/>
      </c>
      <c r="AN1429" s="21" t="n">
        <v>0</v>
      </c>
      <c r="AO1429" s="21" t="n">
        <v>0</v>
      </c>
      <c r="AP1429" s="21" t="n">
        <v>0</v>
      </c>
      <c r="AQ1429" s="21" t="n">
        <v>0</v>
      </c>
      <c r="AR1429" s="21" t="n">
        <v>0</v>
      </c>
      <c r="AS1429" s="21" t="n">
        <v>0</v>
      </c>
      <c r="AT1429" s="19" t="n"/>
    </row>
    <row r="1430">
      <c r="D1430" s="21" t="n">
        <v>0</v>
      </c>
      <c r="E1430" s="21" t="n">
        <v>0</v>
      </c>
      <c r="F1430" s="21" t="n">
        <v>0</v>
      </c>
      <c r="G1430" s="21" t="n">
        <v>0</v>
      </c>
      <c r="H1430" s="21" t="n">
        <v>0</v>
      </c>
      <c r="I1430" s="21" t="n">
        <v>0</v>
      </c>
      <c r="J1430" s="21" t="n">
        <v>0</v>
      </c>
      <c r="K1430" s="21" t="n">
        <v>0</v>
      </c>
      <c r="L1430" s="21" t="n">
        <v>0</v>
      </c>
      <c r="M1430" s="21" t="n">
        <v>0</v>
      </c>
      <c r="N1430" s="21" t="n">
        <v>0</v>
      </c>
      <c r="O1430" s="21" t="n">
        <v>0</v>
      </c>
      <c r="P1430" s="21" t="n">
        <v>0</v>
      </c>
      <c r="Q1430" s="21" t="n">
        <v>0</v>
      </c>
      <c r="R1430" s="21" t="n">
        <v>0</v>
      </c>
      <c r="S1430" s="21" t="n">
        <v>0</v>
      </c>
      <c r="T1430" s="21" t="n">
        <v>0</v>
      </c>
      <c r="U1430" s="21" t="n">
        <v>0</v>
      </c>
      <c r="V1430" s="21" t="n">
        <v>0</v>
      </c>
      <c r="W1430" s="21" t="n">
        <v>0</v>
      </c>
      <c r="X1430" s="21" t="n">
        <v>0</v>
      </c>
      <c r="Y1430" s="21" t="n">
        <v>0</v>
      </c>
      <c r="Z1430" s="21" t="n">
        <v>0</v>
      </c>
      <c r="AA1430" s="21" t="n">
        <v>0</v>
      </c>
      <c r="AB1430" s="21" t="n">
        <v>0</v>
      </c>
      <c r="AC1430" s="21" t="n">
        <v>0</v>
      </c>
      <c r="AD1430" s="21" t="n">
        <v>0</v>
      </c>
      <c r="AE1430" s="21" t="n">
        <v>0</v>
      </c>
      <c r="AF1430" s="21" t="n">
        <v>0</v>
      </c>
      <c r="AG1430" s="21" t="n">
        <v>0</v>
      </c>
      <c r="AH1430" s="21">
        <f>$B$19</f>
        <v/>
      </c>
      <c r="AI1430" s="21">
        <f>$B$21</f>
        <v/>
      </c>
      <c r="AJ1430" s="21">
        <f>0</f>
        <v/>
      </c>
      <c r="AK1430" s="21">
        <f>2*$B$20</f>
        <v/>
      </c>
      <c r="AL1430" s="21">
        <f>-$B$19</f>
        <v/>
      </c>
      <c r="AM1430" s="21">
        <f>$B$21</f>
        <v/>
      </c>
      <c r="AN1430" s="21" t="n">
        <v>0</v>
      </c>
      <c r="AO1430" s="21" t="n">
        <v>0</v>
      </c>
      <c r="AP1430" s="21" t="n">
        <v>0</v>
      </c>
      <c r="AQ1430" s="21" t="n">
        <v>0</v>
      </c>
      <c r="AR1430" s="21" t="n">
        <v>0</v>
      </c>
      <c r="AS1430" s="21" t="n">
        <v>0</v>
      </c>
      <c r="AT1430" s="19" t="n"/>
    </row>
    <row r="1431">
      <c r="D1431" s="21" t="n">
        <v>0</v>
      </c>
      <c r="E1431" s="21" t="n">
        <v>0</v>
      </c>
      <c r="F1431" s="21" t="n">
        <v>0</v>
      </c>
      <c r="G1431" s="21" t="n">
        <v>0</v>
      </c>
      <c r="H1431" s="21" t="n">
        <v>0</v>
      </c>
      <c r="I1431" s="21" t="n">
        <v>0</v>
      </c>
      <c r="J1431" s="21" t="n">
        <v>0</v>
      </c>
      <c r="K1431" s="21" t="n">
        <v>0</v>
      </c>
      <c r="L1431" s="21" t="n">
        <v>0</v>
      </c>
      <c r="M1431" s="21" t="n">
        <v>0</v>
      </c>
      <c r="N1431" s="21" t="n">
        <v>0</v>
      </c>
      <c r="O1431" s="21" t="n">
        <v>0</v>
      </c>
      <c r="P1431" s="21" t="n">
        <v>0</v>
      </c>
      <c r="Q1431" s="21" t="n">
        <v>0</v>
      </c>
      <c r="R1431" s="21" t="n">
        <v>0</v>
      </c>
      <c r="S1431" s="21" t="n">
        <v>0</v>
      </c>
      <c r="T1431" s="21" t="n">
        <v>0</v>
      </c>
      <c r="U1431" s="21" t="n">
        <v>0</v>
      </c>
      <c r="V1431" s="21" t="n">
        <v>0</v>
      </c>
      <c r="W1431" s="21" t="n">
        <v>0</v>
      </c>
      <c r="X1431" s="21" t="n">
        <v>0</v>
      </c>
      <c r="Y1431" s="21" t="n">
        <v>0</v>
      </c>
      <c r="Z1431" s="21" t="n">
        <v>0</v>
      </c>
      <c r="AA1431" s="21" t="n">
        <v>0</v>
      </c>
      <c r="AB1431" s="21" t="n">
        <v>0</v>
      </c>
      <c r="AC1431" s="21" t="n">
        <v>0</v>
      </c>
      <c r="AD1431" s="21" t="n">
        <v>0</v>
      </c>
      <c r="AE1431" s="21" t="n">
        <v>0</v>
      </c>
      <c r="AF1431" s="21" t="n">
        <v>0</v>
      </c>
      <c r="AG1431" s="21" t="n">
        <v>0</v>
      </c>
      <c r="AH1431" s="21" t="n">
        <v>0</v>
      </c>
      <c r="AI1431" s="21" t="n">
        <v>0</v>
      </c>
      <c r="AJ1431" s="21">
        <f>-$B$18</f>
        <v/>
      </c>
      <c r="AK1431" s="21">
        <f>-$B$19</f>
        <v/>
      </c>
      <c r="AL1431" s="21">
        <f>2*$B$18+$D$1392</f>
        <v/>
      </c>
      <c r="AM1431" s="21">
        <f>0</f>
        <v/>
      </c>
      <c r="AN1431" s="21">
        <f>-$B$18</f>
        <v/>
      </c>
      <c r="AO1431" s="21">
        <f>$B$19</f>
        <v/>
      </c>
      <c r="AP1431" s="21" t="n">
        <v>0</v>
      </c>
      <c r="AQ1431" s="21" t="n">
        <v>0</v>
      </c>
      <c r="AR1431" s="21" t="n">
        <v>0</v>
      </c>
      <c r="AS1431" s="21" t="n">
        <v>0</v>
      </c>
      <c r="AT1431" s="19" t="n"/>
    </row>
    <row r="1432">
      <c r="D1432" s="21" t="n">
        <v>0</v>
      </c>
      <c r="E1432" s="21" t="n">
        <v>0</v>
      </c>
      <c r="F1432" s="21" t="n">
        <v>0</v>
      </c>
      <c r="G1432" s="21" t="n">
        <v>0</v>
      </c>
      <c r="H1432" s="21" t="n">
        <v>0</v>
      </c>
      <c r="I1432" s="21" t="n">
        <v>0</v>
      </c>
      <c r="J1432" s="21" t="n">
        <v>0</v>
      </c>
      <c r="K1432" s="21" t="n">
        <v>0</v>
      </c>
      <c r="L1432" s="21" t="n">
        <v>0</v>
      </c>
      <c r="M1432" s="21" t="n">
        <v>0</v>
      </c>
      <c r="N1432" s="21" t="n">
        <v>0</v>
      </c>
      <c r="O1432" s="21" t="n">
        <v>0</v>
      </c>
      <c r="P1432" s="21" t="n">
        <v>0</v>
      </c>
      <c r="Q1432" s="21" t="n">
        <v>0</v>
      </c>
      <c r="R1432" s="21" t="n">
        <v>0</v>
      </c>
      <c r="S1432" s="21" t="n">
        <v>0</v>
      </c>
      <c r="T1432" s="21" t="n">
        <v>0</v>
      </c>
      <c r="U1432" s="21" t="n">
        <v>0</v>
      </c>
      <c r="V1432" s="21" t="n">
        <v>0</v>
      </c>
      <c r="W1432" s="21" t="n">
        <v>0</v>
      </c>
      <c r="X1432" s="21" t="n">
        <v>0</v>
      </c>
      <c r="Y1432" s="21" t="n">
        <v>0</v>
      </c>
      <c r="Z1432" s="21" t="n">
        <v>0</v>
      </c>
      <c r="AA1432" s="21" t="n">
        <v>0</v>
      </c>
      <c r="AB1432" s="21" t="n">
        <v>0</v>
      </c>
      <c r="AC1432" s="21" t="n">
        <v>0</v>
      </c>
      <c r="AD1432" s="21" t="n">
        <v>0</v>
      </c>
      <c r="AE1432" s="21" t="n">
        <v>0</v>
      </c>
      <c r="AF1432" s="21" t="n">
        <v>0</v>
      </c>
      <c r="AG1432" s="21" t="n">
        <v>0</v>
      </c>
      <c r="AH1432" s="21" t="n">
        <v>0</v>
      </c>
      <c r="AI1432" s="21" t="n">
        <v>0</v>
      </c>
      <c r="AJ1432" s="21">
        <f>$B$19</f>
        <v/>
      </c>
      <c r="AK1432" s="21">
        <f>$B$21</f>
        <v/>
      </c>
      <c r="AL1432" s="21">
        <f>0</f>
        <v/>
      </c>
      <c r="AM1432" s="21">
        <f>2*$B$20</f>
        <v/>
      </c>
      <c r="AN1432" s="21">
        <f>-$B$19</f>
        <v/>
      </c>
      <c r="AO1432" s="21">
        <f>$B$21</f>
        <v/>
      </c>
      <c r="AP1432" s="21" t="n">
        <v>0</v>
      </c>
      <c r="AQ1432" s="21" t="n">
        <v>0</v>
      </c>
      <c r="AR1432" s="21" t="n">
        <v>0</v>
      </c>
      <c r="AS1432" s="21" t="n">
        <v>0</v>
      </c>
      <c r="AT1432" s="19" t="n"/>
    </row>
    <row r="1433">
      <c r="D1433" s="21" t="n">
        <v>0</v>
      </c>
      <c r="E1433" s="21" t="n">
        <v>0</v>
      </c>
      <c r="F1433" s="21" t="n">
        <v>0</v>
      </c>
      <c r="G1433" s="21" t="n">
        <v>0</v>
      </c>
      <c r="H1433" s="21" t="n">
        <v>0</v>
      </c>
      <c r="I1433" s="21" t="n">
        <v>0</v>
      </c>
      <c r="J1433" s="21" t="n">
        <v>0</v>
      </c>
      <c r="K1433" s="21" t="n">
        <v>0</v>
      </c>
      <c r="L1433" s="21" t="n">
        <v>0</v>
      </c>
      <c r="M1433" s="21" t="n">
        <v>0</v>
      </c>
      <c r="N1433" s="21" t="n">
        <v>0</v>
      </c>
      <c r="O1433" s="21" t="n">
        <v>0</v>
      </c>
      <c r="P1433" s="21" t="n">
        <v>0</v>
      </c>
      <c r="Q1433" s="21" t="n">
        <v>0</v>
      </c>
      <c r="R1433" s="21" t="n">
        <v>0</v>
      </c>
      <c r="S1433" s="21" t="n">
        <v>0</v>
      </c>
      <c r="T1433" s="21" t="n">
        <v>0</v>
      </c>
      <c r="U1433" s="21" t="n">
        <v>0</v>
      </c>
      <c r="V1433" s="21" t="n">
        <v>0</v>
      </c>
      <c r="W1433" s="21" t="n">
        <v>0</v>
      </c>
      <c r="X1433" s="21" t="n">
        <v>0</v>
      </c>
      <c r="Y1433" s="21" t="n">
        <v>0</v>
      </c>
      <c r="Z1433" s="21" t="n">
        <v>0</v>
      </c>
      <c r="AA1433" s="21" t="n">
        <v>0</v>
      </c>
      <c r="AB1433" s="21" t="n">
        <v>0</v>
      </c>
      <c r="AC1433" s="21" t="n">
        <v>0</v>
      </c>
      <c r="AD1433" s="21" t="n">
        <v>0</v>
      </c>
      <c r="AE1433" s="21" t="n">
        <v>0</v>
      </c>
      <c r="AF1433" s="21" t="n">
        <v>0</v>
      </c>
      <c r="AG1433" s="21" t="n">
        <v>0</v>
      </c>
      <c r="AH1433" s="21" t="n">
        <v>0</v>
      </c>
      <c r="AI1433" s="21" t="n">
        <v>0</v>
      </c>
      <c r="AJ1433" s="21" t="n">
        <v>0</v>
      </c>
      <c r="AK1433" s="21" t="n">
        <v>0</v>
      </c>
      <c r="AL1433" s="21">
        <f>-$B$18</f>
        <v/>
      </c>
      <c r="AM1433" s="21">
        <f>-$B$19</f>
        <v/>
      </c>
      <c r="AN1433" s="21">
        <f>2*$B$18+$D$1393</f>
        <v/>
      </c>
      <c r="AO1433" s="21">
        <f>0</f>
        <v/>
      </c>
      <c r="AP1433" s="21">
        <f>-$B$18</f>
        <v/>
      </c>
      <c r="AQ1433" s="21">
        <f>$B$19</f>
        <v/>
      </c>
      <c r="AR1433" s="21" t="n">
        <v>0</v>
      </c>
      <c r="AS1433" s="21" t="n">
        <v>0</v>
      </c>
      <c r="AT1433" s="19" t="n"/>
    </row>
    <row r="1434">
      <c r="D1434" s="21" t="n">
        <v>0</v>
      </c>
      <c r="E1434" s="21" t="n">
        <v>0</v>
      </c>
      <c r="F1434" s="21" t="n">
        <v>0</v>
      </c>
      <c r="G1434" s="21" t="n">
        <v>0</v>
      </c>
      <c r="H1434" s="21" t="n">
        <v>0</v>
      </c>
      <c r="I1434" s="21" t="n">
        <v>0</v>
      </c>
      <c r="J1434" s="21" t="n">
        <v>0</v>
      </c>
      <c r="K1434" s="21" t="n">
        <v>0</v>
      </c>
      <c r="L1434" s="21" t="n">
        <v>0</v>
      </c>
      <c r="M1434" s="21" t="n">
        <v>0</v>
      </c>
      <c r="N1434" s="21" t="n">
        <v>0</v>
      </c>
      <c r="O1434" s="21" t="n">
        <v>0</v>
      </c>
      <c r="P1434" s="21" t="n">
        <v>0</v>
      </c>
      <c r="Q1434" s="21" t="n">
        <v>0</v>
      </c>
      <c r="R1434" s="21" t="n">
        <v>0</v>
      </c>
      <c r="S1434" s="21" t="n">
        <v>0</v>
      </c>
      <c r="T1434" s="21" t="n">
        <v>0</v>
      </c>
      <c r="U1434" s="21" t="n">
        <v>0</v>
      </c>
      <c r="V1434" s="21" t="n">
        <v>0</v>
      </c>
      <c r="W1434" s="21" t="n">
        <v>0</v>
      </c>
      <c r="X1434" s="21" t="n">
        <v>0</v>
      </c>
      <c r="Y1434" s="21" t="n">
        <v>0</v>
      </c>
      <c r="Z1434" s="21" t="n">
        <v>0</v>
      </c>
      <c r="AA1434" s="21" t="n">
        <v>0</v>
      </c>
      <c r="AB1434" s="21" t="n">
        <v>0</v>
      </c>
      <c r="AC1434" s="21" t="n">
        <v>0</v>
      </c>
      <c r="AD1434" s="21" t="n">
        <v>0</v>
      </c>
      <c r="AE1434" s="21" t="n">
        <v>0</v>
      </c>
      <c r="AF1434" s="21" t="n">
        <v>0</v>
      </c>
      <c r="AG1434" s="21" t="n">
        <v>0</v>
      </c>
      <c r="AH1434" s="21" t="n">
        <v>0</v>
      </c>
      <c r="AI1434" s="21" t="n">
        <v>0</v>
      </c>
      <c r="AJ1434" s="21" t="n">
        <v>0</v>
      </c>
      <c r="AK1434" s="21" t="n">
        <v>0</v>
      </c>
      <c r="AL1434" s="21">
        <f>$B$19</f>
        <v/>
      </c>
      <c r="AM1434" s="21">
        <f>$B$21</f>
        <v/>
      </c>
      <c r="AN1434" s="21">
        <f>0</f>
        <v/>
      </c>
      <c r="AO1434" s="21">
        <f>2*$B$20</f>
        <v/>
      </c>
      <c r="AP1434" s="21">
        <f>-$B$19</f>
        <v/>
      </c>
      <c r="AQ1434" s="21">
        <f>$B$21</f>
        <v/>
      </c>
      <c r="AR1434" s="21" t="n">
        <v>0</v>
      </c>
      <c r="AS1434" s="21" t="n">
        <v>0</v>
      </c>
      <c r="AT1434" s="19" t="n"/>
    </row>
    <row r="1435">
      <c r="D1435" s="21" t="n">
        <v>0</v>
      </c>
      <c r="E1435" s="21" t="n">
        <v>0</v>
      </c>
      <c r="F1435" s="21" t="n">
        <v>0</v>
      </c>
      <c r="G1435" s="21" t="n">
        <v>0</v>
      </c>
      <c r="H1435" s="21" t="n">
        <v>0</v>
      </c>
      <c r="I1435" s="21" t="n">
        <v>0</v>
      </c>
      <c r="J1435" s="21" t="n">
        <v>0</v>
      </c>
      <c r="K1435" s="21" t="n">
        <v>0</v>
      </c>
      <c r="L1435" s="21" t="n">
        <v>0</v>
      </c>
      <c r="M1435" s="21" t="n">
        <v>0</v>
      </c>
      <c r="N1435" s="21" t="n">
        <v>0</v>
      </c>
      <c r="O1435" s="21" t="n">
        <v>0</v>
      </c>
      <c r="P1435" s="21" t="n">
        <v>0</v>
      </c>
      <c r="Q1435" s="21" t="n">
        <v>0</v>
      </c>
      <c r="R1435" s="21" t="n">
        <v>0</v>
      </c>
      <c r="S1435" s="21" t="n">
        <v>0</v>
      </c>
      <c r="T1435" s="21" t="n">
        <v>0</v>
      </c>
      <c r="U1435" s="21" t="n">
        <v>0</v>
      </c>
      <c r="V1435" s="21" t="n">
        <v>0</v>
      </c>
      <c r="W1435" s="21" t="n">
        <v>0</v>
      </c>
      <c r="X1435" s="21" t="n">
        <v>0</v>
      </c>
      <c r="Y1435" s="21" t="n">
        <v>0</v>
      </c>
      <c r="Z1435" s="21" t="n">
        <v>0</v>
      </c>
      <c r="AA1435" s="21" t="n">
        <v>0</v>
      </c>
      <c r="AB1435" s="21" t="n">
        <v>0</v>
      </c>
      <c r="AC1435" s="21" t="n">
        <v>0</v>
      </c>
      <c r="AD1435" s="21" t="n">
        <v>0</v>
      </c>
      <c r="AE1435" s="21" t="n">
        <v>0</v>
      </c>
      <c r="AF1435" s="21" t="n">
        <v>0</v>
      </c>
      <c r="AG1435" s="21" t="n">
        <v>0</v>
      </c>
      <c r="AH1435" s="21" t="n">
        <v>0</v>
      </c>
      <c r="AI1435" s="21" t="n">
        <v>0</v>
      </c>
      <c r="AJ1435" s="21" t="n">
        <v>0</v>
      </c>
      <c r="AK1435" s="21" t="n">
        <v>0</v>
      </c>
      <c r="AL1435" s="21" t="n">
        <v>0</v>
      </c>
      <c r="AM1435" s="21" t="n">
        <v>0</v>
      </c>
      <c r="AN1435" s="21">
        <f>-$B$18</f>
        <v/>
      </c>
      <c r="AO1435" s="21">
        <f>-$B$19</f>
        <v/>
      </c>
      <c r="AP1435" s="21">
        <f>2*$B$18+$D$1394</f>
        <v/>
      </c>
      <c r="AQ1435" s="21">
        <f>0</f>
        <v/>
      </c>
      <c r="AR1435" s="21">
        <f>-$B$18</f>
        <v/>
      </c>
      <c r="AS1435" s="21">
        <f>$B$19</f>
        <v/>
      </c>
      <c r="AT1435" s="19" t="n"/>
    </row>
    <row r="1436">
      <c r="D1436" s="21" t="n">
        <v>0</v>
      </c>
      <c r="E1436" s="21" t="n">
        <v>0</v>
      </c>
      <c r="F1436" s="21" t="n">
        <v>0</v>
      </c>
      <c r="G1436" s="21" t="n">
        <v>0</v>
      </c>
      <c r="H1436" s="21" t="n">
        <v>0</v>
      </c>
      <c r="I1436" s="21" t="n">
        <v>0</v>
      </c>
      <c r="J1436" s="21" t="n">
        <v>0</v>
      </c>
      <c r="K1436" s="21" t="n">
        <v>0</v>
      </c>
      <c r="L1436" s="21" t="n">
        <v>0</v>
      </c>
      <c r="M1436" s="21" t="n">
        <v>0</v>
      </c>
      <c r="N1436" s="21" t="n">
        <v>0</v>
      </c>
      <c r="O1436" s="21" t="n">
        <v>0</v>
      </c>
      <c r="P1436" s="21" t="n">
        <v>0</v>
      </c>
      <c r="Q1436" s="21" t="n">
        <v>0</v>
      </c>
      <c r="R1436" s="21" t="n">
        <v>0</v>
      </c>
      <c r="S1436" s="21" t="n">
        <v>0</v>
      </c>
      <c r="T1436" s="21" t="n">
        <v>0</v>
      </c>
      <c r="U1436" s="21" t="n">
        <v>0</v>
      </c>
      <c r="V1436" s="21" t="n">
        <v>0</v>
      </c>
      <c r="W1436" s="21" t="n">
        <v>0</v>
      </c>
      <c r="X1436" s="21" t="n">
        <v>0</v>
      </c>
      <c r="Y1436" s="21" t="n">
        <v>0</v>
      </c>
      <c r="Z1436" s="21" t="n">
        <v>0</v>
      </c>
      <c r="AA1436" s="21" t="n">
        <v>0</v>
      </c>
      <c r="AB1436" s="21" t="n">
        <v>0</v>
      </c>
      <c r="AC1436" s="21" t="n">
        <v>0</v>
      </c>
      <c r="AD1436" s="21" t="n">
        <v>0</v>
      </c>
      <c r="AE1436" s="21" t="n">
        <v>0</v>
      </c>
      <c r="AF1436" s="21" t="n">
        <v>0</v>
      </c>
      <c r="AG1436" s="21" t="n">
        <v>0</v>
      </c>
      <c r="AH1436" s="21" t="n">
        <v>0</v>
      </c>
      <c r="AI1436" s="21" t="n">
        <v>0</v>
      </c>
      <c r="AJ1436" s="21" t="n">
        <v>0</v>
      </c>
      <c r="AK1436" s="21" t="n">
        <v>0</v>
      </c>
      <c r="AL1436" s="21" t="n">
        <v>0</v>
      </c>
      <c r="AM1436" s="21" t="n">
        <v>0</v>
      </c>
      <c r="AN1436" s="21">
        <f>$B$19</f>
        <v/>
      </c>
      <c r="AO1436" s="21">
        <f>$B$21</f>
        <v/>
      </c>
      <c r="AP1436" s="21">
        <f>0</f>
        <v/>
      </c>
      <c r="AQ1436" s="21">
        <f>2*$B$20</f>
        <v/>
      </c>
      <c r="AR1436" s="21">
        <f>-$B$19</f>
        <v/>
      </c>
      <c r="AS1436" s="21">
        <f>$B$21</f>
        <v/>
      </c>
      <c r="AT1436" s="19" t="n"/>
    </row>
    <row r="1437">
      <c r="D1437" s="21" t="n">
        <v>0</v>
      </c>
      <c r="E1437" s="21" t="n">
        <v>0</v>
      </c>
      <c r="F1437" s="21" t="n">
        <v>0</v>
      </c>
      <c r="G1437" s="21" t="n">
        <v>0</v>
      </c>
      <c r="H1437" s="21" t="n">
        <v>0</v>
      </c>
      <c r="I1437" s="21" t="n">
        <v>0</v>
      </c>
      <c r="J1437" s="21" t="n">
        <v>0</v>
      </c>
      <c r="K1437" s="21" t="n">
        <v>0</v>
      </c>
      <c r="L1437" s="21" t="n">
        <v>0</v>
      </c>
      <c r="M1437" s="21" t="n">
        <v>0</v>
      </c>
      <c r="N1437" s="21" t="n">
        <v>0</v>
      </c>
      <c r="O1437" s="21" t="n">
        <v>0</v>
      </c>
      <c r="P1437" s="21" t="n">
        <v>0</v>
      </c>
      <c r="Q1437" s="21" t="n">
        <v>0</v>
      </c>
      <c r="R1437" s="21" t="n">
        <v>0</v>
      </c>
      <c r="S1437" s="21" t="n">
        <v>0</v>
      </c>
      <c r="T1437" s="21" t="n">
        <v>0</v>
      </c>
      <c r="U1437" s="21" t="n">
        <v>0</v>
      </c>
      <c r="V1437" s="21" t="n">
        <v>0</v>
      </c>
      <c r="W1437" s="21" t="n">
        <v>0</v>
      </c>
      <c r="X1437" s="21" t="n">
        <v>0</v>
      </c>
      <c r="Y1437" s="21" t="n">
        <v>0</v>
      </c>
      <c r="Z1437" s="21" t="n">
        <v>0</v>
      </c>
      <c r="AA1437" s="21" t="n">
        <v>0</v>
      </c>
      <c r="AB1437" s="21" t="n">
        <v>0</v>
      </c>
      <c r="AC1437" s="21" t="n">
        <v>0</v>
      </c>
      <c r="AD1437" s="21" t="n">
        <v>0</v>
      </c>
      <c r="AE1437" s="21" t="n">
        <v>0</v>
      </c>
      <c r="AF1437" s="21" t="n">
        <v>0</v>
      </c>
      <c r="AG1437" s="21" t="n">
        <v>0</v>
      </c>
      <c r="AH1437" s="21" t="n">
        <v>0</v>
      </c>
      <c r="AI1437" s="21" t="n">
        <v>0</v>
      </c>
      <c r="AJ1437" s="21" t="n">
        <v>0</v>
      </c>
      <c r="AK1437" s="21" t="n">
        <v>0</v>
      </c>
      <c r="AL1437" s="21" t="n">
        <v>0</v>
      </c>
      <c r="AM1437" s="21" t="n">
        <v>0</v>
      </c>
      <c r="AN1437" s="21" t="n">
        <v>0</v>
      </c>
      <c r="AO1437" s="21" t="n">
        <v>0</v>
      </c>
      <c r="AP1437" s="21">
        <f>-$B$18</f>
        <v/>
      </c>
      <c r="AQ1437" s="21">
        <f>-$B$19</f>
        <v/>
      </c>
      <c r="AR1437" s="21">
        <f>$B$18+$D$1395</f>
        <v/>
      </c>
      <c r="AS1437" s="21">
        <f>-$B$19</f>
        <v/>
      </c>
      <c r="AT1437" s="19" t="n"/>
    </row>
    <row r="1438">
      <c r="D1438" s="21" t="n">
        <v>0</v>
      </c>
      <c r="E1438" s="21" t="n">
        <v>0</v>
      </c>
      <c r="F1438" s="21" t="n">
        <v>0</v>
      </c>
      <c r="G1438" s="21" t="n">
        <v>0</v>
      </c>
      <c r="H1438" s="21" t="n">
        <v>0</v>
      </c>
      <c r="I1438" s="21" t="n">
        <v>0</v>
      </c>
      <c r="J1438" s="21" t="n">
        <v>0</v>
      </c>
      <c r="K1438" s="21" t="n">
        <v>0</v>
      </c>
      <c r="L1438" s="21" t="n">
        <v>0</v>
      </c>
      <c r="M1438" s="21" t="n">
        <v>0</v>
      </c>
      <c r="N1438" s="21" t="n">
        <v>0</v>
      </c>
      <c r="O1438" s="21" t="n">
        <v>0</v>
      </c>
      <c r="P1438" s="21" t="n">
        <v>0</v>
      </c>
      <c r="Q1438" s="21" t="n">
        <v>0</v>
      </c>
      <c r="R1438" s="21" t="n">
        <v>0</v>
      </c>
      <c r="S1438" s="21" t="n">
        <v>0</v>
      </c>
      <c r="T1438" s="21" t="n">
        <v>0</v>
      </c>
      <c r="U1438" s="21" t="n">
        <v>0</v>
      </c>
      <c r="V1438" s="21" t="n">
        <v>0</v>
      </c>
      <c r="W1438" s="21" t="n">
        <v>0</v>
      </c>
      <c r="X1438" s="21" t="n">
        <v>0</v>
      </c>
      <c r="Y1438" s="21" t="n">
        <v>0</v>
      </c>
      <c r="Z1438" s="21" t="n">
        <v>0</v>
      </c>
      <c r="AA1438" s="21" t="n">
        <v>0</v>
      </c>
      <c r="AB1438" s="21" t="n">
        <v>0</v>
      </c>
      <c r="AC1438" s="21" t="n">
        <v>0</v>
      </c>
      <c r="AD1438" s="21" t="n">
        <v>0</v>
      </c>
      <c r="AE1438" s="21" t="n">
        <v>0</v>
      </c>
      <c r="AF1438" s="21" t="n">
        <v>0</v>
      </c>
      <c r="AG1438" s="21" t="n">
        <v>0</v>
      </c>
      <c r="AH1438" s="21" t="n">
        <v>0</v>
      </c>
      <c r="AI1438" s="21" t="n">
        <v>0</v>
      </c>
      <c r="AJ1438" s="21" t="n">
        <v>0</v>
      </c>
      <c r="AK1438" s="21" t="n">
        <v>0</v>
      </c>
      <c r="AL1438" s="21" t="n">
        <v>0</v>
      </c>
      <c r="AM1438" s="21" t="n">
        <v>0</v>
      </c>
      <c r="AN1438" s="21" t="n">
        <v>0</v>
      </c>
      <c r="AO1438" s="21" t="n">
        <v>0</v>
      </c>
      <c r="AP1438" s="21">
        <f>$B$19</f>
        <v/>
      </c>
      <c r="AQ1438" s="21">
        <f>$B$21</f>
        <v/>
      </c>
      <c r="AR1438" s="21">
        <f>-$B$19</f>
        <v/>
      </c>
      <c r="AS1438" s="21">
        <f>$B$20</f>
        <v/>
      </c>
      <c r="AT1438" s="19" t="n"/>
    </row>
    <row r="1440">
      <c r="A1440" s="8" t="inlineStr">
        <is>
          <t>gen 21</t>
        </is>
      </c>
    </row>
    <row r="1441">
      <c r="D1441" s="19">
        <f>IF(ABS(IF(ABS($E$1375)&gt;0.000000001,$E$1375,0.000000001))=0,0,IF($E$33&lt;=$B$27,0,IF(ABS(IF(ABS($E$1375)&gt;0.000000001,$E$1375,0.000000001))&gt;=8*$B$29,$H$33,0.5*$H$33*(ABS(IF(ABS($E$1375)&gt;0.000000001,$E$1375,0.000000001))/$B$29)^(1/3)))/ABS(IF(ABS($E$1375)&gt;0.000000001,$E$1375,0.000000001))*$I$33)</f>
        <v/>
      </c>
      <c r="E1441" s="19">
        <f>0.5*$E$1375+0.5*$AT$1463</f>
        <v/>
      </c>
      <c r="F1441" s="19">
        <f>$AT$1464</f>
        <v/>
      </c>
    </row>
    <row r="1442">
      <c r="D1442" s="19">
        <f>IF(ABS(IF(ABS($E$1376)&gt;0.000000001,$E$1376,0.000000001))=0,0,IF($E$34&lt;=$B$27,0,IF(ABS(IF(ABS($E$1376)&gt;0.000000001,$E$1376,0.000000001))&gt;=8*$B$29,$H$34,0.5*$H$34*(ABS(IF(ABS($E$1376)&gt;0.000000001,$E$1376,0.000000001))/$B$29)^(1/3)))/ABS(IF(ABS($E$1376)&gt;0.000000001,$E$1376,0.000000001))*$I$34)</f>
        <v/>
      </c>
      <c r="E1442" s="19">
        <f>0.5*$E$1376+0.5*$AT$1465</f>
        <v/>
      </c>
      <c r="F1442" s="19">
        <f>$AT$1466</f>
        <v/>
      </c>
    </row>
    <row r="1443">
      <c r="D1443" s="19">
        <f>IF(ABS(IF(ABS($E$1377)&gt;0.000000001,$E$1377,0.000000001))=0,0,IF($E$35&lt;=$B$27,0,IF(ABS(IF(ABS($E$1377)&gt;0.000000001,$E$1377,0.000000001))&gt;=8*$B$29,$H$35,0.5*$H$35*(ABS(IF(ABS($E$1377)&gt;0.000000001,$E$1377,0.000000001))/$B$29)^(1/3)))/ABS(IF(ABS($E$1377)&gt;0.000000001,$E$1377,0.000000001))*$I$35)</f>
        <v/>
      </c>
      <c r="E1443" s="19">
        <f>0.5*$E$1377+0.5*$AT$1467</f>
        <v/>
      </c>
      <c r="F1443" s="19">
        <f>$AT$1468</f>
        <v/>
      </c>
    </row>
    <row r="1444">
      <c r="D1444" s="19">
        <f>IF(ABS(IF(ABS($E$1378)&gt;0.000000001,$E$1378,0.000000001))=0,0,IF($E$36&lt;=$B$27,0,IF(ABS(IF(ABS($E$1378)&gt;0.000000001,$E$1378,0.000000001))&gt;=8*$B$29,$H$36,0.5*$H$36*(ABS(IF(ABS($E$1378)&gt;0.000000001,$E$1378,0.000000001))/$B$29)^(1/3)))/ABS(IF(ABS($E$1378)&gt;0.000000001,$E$1378,0.000000001))*$I$36)</f>
        <v/>
      </c>
      <c r="E1444" s="19">
        <f>0.5*$E$1378+0.5*$AT$1469</f>
        <v/>
      </c>
      <c r="F1444" s="19">
        <f>$AT$1470</f>
        <v/>
      </c>
    </row>
    <row r="1445">
      <c r="D1445" s="19">
        <f>IF(ABS(IF(ABS($E$1379)&gt;0.000000001,$E$1379,0.000000001))=0,0,IF($E$37&lt;=$B$27,0,IF(ABS(IF(ABS($E$1379)&gt;0.000000001,$E$1379,0.000000001))&gt;=8*$B$29,$H$37,0.5*$H$37*(ABS(IF(ABS($E$1379)&gt;0.000000001,$E$1379,0.000000001))/$B$29)^(1/3)))/ABS(IF(ABS($E$1379)&gt;0.000000001,$E$1379,0.000000001))*$I$37)</f>
        <v/>
      </c>
      <c r="E1445" s="19">
        <f>0.5*$E$1379+0.5*$AT$1471</f>
        <v/>
      </c>
      <c r="F1445" s="19">
        <f>$AT$1472</f>
        <v/>
      </c>
    </row>
    <row r="1446">
      <c r="D1446" s="19">
        <f>IF(ABS(IF(ABS($E$1380)&gt;0.000000001,$E$1380,0.000000001))=0,0,IF($E$38&lt;=$B$27,0,IF(ABS(IF(ABS($E$1380)&gt;0.000000001,$E$1380,0.000000001))&gt;=8*$B$29,$H$38,0.5*$H$38*(ABS(IF(ABS($E$1380)&gt;0.000000001,$E$1380,0.000000001))/$B$29)^(1/3)))/ABS(IF(ABS($E$1380)&gt;0.000000001,$E$1380,0.000000001))*$I$38)</f>
        <v/>
      </c>
      <c r="E1446" s="19">
        <f>0.5*$E$1380+0.5*$AT$1473</f>
        <v/>
      </c>
      <c r="F1446" s="19">
        <f>$AT$1474</f>
        <v/>
      </c>
    </row>
    <row r="1447">
      <c r="D1447" s="19">
        <f>IF(ABS(IF(ABS($E$1381)&gt;0.000000001,$E$1381,0.000000001))=0,0,IF($E$39&lt;=$B$27,0,IF(ABS(IF(ABS($E$1381)&gt;0.000000001,$E$1381,0.000000001))&gt;=8*$B$29,$H$39,0.5*$H$39*(ABS(IF(ABS($E$1381)&gt;0.000000001,$E$1381,0.000000001))/$B$29)^(1/3)))/ABS(IF(ABS($E$1381)&gt;0.000000001,$E$1381,0.000000001))*$I$39)</f>
        <v/>
      </c>
      <c r="E1447" s="19">
        <f>0.5*$E$1381+0.5*$AT$1475</f>
        <v/>
      </c>
      <c r="F1447" s="19">
        <f>$AT$1476</f>
        <v/>
      </c>
    </row>
    <row r="1448">
      <c r="D1448" s="19">
        <f>IF(ABS(IF(ABS($E$1382)&gt;0.000000001,$E$1382,0.000000001))=0,0,IF($E$40&lt;=$B$27,0,IF(ABS(IF(ABS($E$1382)&gt;0.000000001,$E$1382,0.000000001))&gt;=8*$B$29,$H$40,0.5*$H$40*(ABS(IF(ABS($E$1382)&gt;0.000000001,$E$1382,0.000000001))/$B$29)^(1/3)))/ABS(IF(ABS($E$1382)&gt;0.000000001,$E$1382,0.000000001))*$I$40)</f>
        <v/>
      </c>
      <c r="E1448" s="19">
        <f>0.5*$E$1382+0.5*$AT$1477</f>
        <v/>
      </c>
      <c r="F1448" s="19">
        <f>$AT$1478</f>
        <v/>
      </c>
    </row>
    <row r="1449">
      <c r="D1449" s="19">
        <f>IF(ABS(IF(ABS($E$1383)&gt;0.000000001,$E$1383,0.000000001))=0,0,IF($E$41&lt;=$B$27,0,IF(ABS(IF(ABS($E$1383)&gt;0.000000001,$E$1383,0.000000001))&gt;=8*$B$29,$H$41,0.5*$H$41*(ABS(IF(ABS($E$1383)&gt;0.000000001,$E$1383,0.000000001))/$B$29)^(1/3)))/ABS(IF(ABS($E$1383)&gt;0.000000001,$E$1383,0.000000001))*$I$41)</f>
        <v/>
      </c>
      <c r="E1449" s="19">
        <f>0.5*$E$1383+0.5*$AT$1479</f>
        <v/>
      </c>
      <c r="F1449" s="19">
        <f>$AT$1480</f>
        <v/>
      </c>
    </row>
    <row r="1450">
      <c r="D1450" s="19">
        <f>IF(ABS(IF(ABS($E$1384)&gt;0.000000001,$E$1384,0.000000001))=0,0,IF($E$42&lt;=$B$27,0,IF(ABS(IF(ABS($E$1384)&gt;0.000000001,$E$1384,0.000000001))&gt;=8*$B$29,$H$42,0.5*$H$42*(ABS(IF(ABS($E$1384)&gt;0.000000001,$E$1384,0.000000001))/$B$29)^(1/3)))/ABS(IF(ABS($E$1384)&gt;0.000000001,$E$1384,0.000000001))*$I$42)</f>
        <v/>
      </c>
      <c r="E1450" s="19">
        <f>0.5*$E$1384+0.5*$AT$1481</f>
        <v/>
      </c>
      <c r="F1450" s="19">
        <f>$AT$1482</f>
        <v/>
      </c>
    </row>
    <row r="1451">
      <c r="D1451" s="19">
        <f>IF(ABS(IF(ABS($E$1385)&gt;0.000000001,$E$1385,0.000000001))=0,0,IF($E$43&lt;=$B$27,0,IF(ABS(IF(ABS($E$1385)&gt;0.000000001,$E$1385,0.000000001))&gt;=8*$B$29,$H$43,0.5*$H$43*(ABS(IF(ABS($E$1385)&gt;0.000000001,$E$1385,0.000000001))/$B$29)^(1/3)))/ABS(IF(ABS($E$1385)&gt;0.000000001,$E$1385,0.000000001))*$I$43)</f>
        <v/>
      </c>
      <c r="E1451" s="19">
        <f>0.5*$E$1385+0.5*$AT$1483</f>
        <v/>
      </c>
      <c r="F1451" s="19">
        <f>$AT$1484</f>
        <v/>
      </c>
    </row>
    <row r="1452">
      <c r="D1452" s="19">
        <f>IF(ABS(IF(ABS($E$1386)&gt;0.000000001,$E$1386,0.000000001))=0,0,IF($E$44&lt;=$B$27,0,IF(ABS(IF(ABS($E$1386)&gt;0.000000001,$E$1386,0.000000001))&gt;=8*$B$29,$H$44,0.5*$H$44*(ABS(IF(ABS($E$1386)&gt;0.000000001,$E$1386,0.000000001))/$B$29)^(1/3)))/ABS(IF(ABS($E$1386)&gt;0.000000001,$E$1386,0.000000001))*$I$44)</f>
        <v/>
      </c>
      <c r="E1452" s="19">
        <f>0.5*$E$1386+0.5*$AT$1485</f>
        <v/>
      </c>
      <c r="F1452" s="19">
        <f>$AT$1486</f>
        <v/>
      </c>
    </row>
    <row r="1453">
      <c r="D1453" s="19">
        <f>IF(ABS(IF(ABS($E$1387)&gt;0.000000001,$E$1387,0.000000001))=0,0,IF($E$45&lt;=$B$27,0,IF(ABS(IF(ABS($E$1387)&gt;0.000000001,$E$1387,0.000000001))&gt;=8*$B$29,$H$45,0.5*$H$45*(ABS(IF(ABS($E$1387)&gt;0.000000001,$E$1387,0.000000001))/$B$29)^(1/3)))/ABS(IF(ABS($E$1387)&gt;0.000000001,$E$1387,0.000000001))*$I$45)</f>
        <v/>
      </c>
      <c r="E1453" s="19">
        <f>0.5*$E$1387+0.5*$AT$1487</f>
        <v/>
      </c>
      <c r="F1453" s="19">
        <f>$AT$1488</f>
        <v/>
      </c>
    </row>
    <row r="1454">
      <c r="D1454" s="19">
        <f>IF(ABS(IF(ABS($E$1388)&gt;0.000000001,$E$1388,0.000000001))=0,0,IF($E$46&lt;=$B$27,0,IF(ABS(IF(ABS($E$1388)&gt;0.000000001,$E$1388,0.000000001))&gt;=8*$B$29,$H$46,0.5*$H$46*(ABS(IF(ABS($E$1388)&gt;0.000000001,$E$1388,0.000000001))/$B$29)^(1/3)))/ABS(IF(ABS($E$1388)&gt;0.000000001,$E$1388,0.000000001))*$I$46)</f>
        <v/>
      </c>
      <c r="E1454" s="19">
        <f>0.5*$E$1388+0.5*$AT$1489</f>
        <v/>
      </c>
      <c r="F1454" s="19">
        <f>$AT$1490</f>
        <v/>
      </c>
    </row>
    <row r="1455">
      <c r="D1455" s="19">
        <f>IF(ABS(IF(ABS($E$1389)&gt;0.000000001,$E$1389,0.000000001))=0,0,IF($E$47&lt;=$B$27,0,IF(ABS(IF(ABS($E$1389)&gt;0.000000001,$E$1389,0.000000001))&gt;=8*$B$29,$H$47,0.5*$H$47*(ABS(IF(ABS($E$1389)&gt;0.000000001,$E$1389,0.000000001))/$B$29)^(1/3)))/ABS(IF(ABS($E$1389)&gt;0.000000001,$E$1389,0.000000001))*$I$47)</f>
        <v/>
      </c>
      <c r="E1455" s="19">
        <f>0.5*$E$1389+0.5*$AT$1491</f>
        <v/>
      </c>
      <c r="F1455" s="19">
        <f>$AT$1492</f>
        <v/>
      </c>
    </row>
    <row r="1456">
      <c r="D1456" s="19">
        <f>IF(ABS(IF(ABS($E$1390)&gt;0.000000001,$E$1390,0.000000001))=0,0,IF($E$48&lt;=$B$27,0,IF(ABS(IF(ABS($E$1390)&gt;0.000000001,$E$1390,0.000000001))&gt;=8*$B$29,$H$48,0.5*$H$48*(ABS(IF(ABS($E$1390)&gt;0.000000001,$E$1390,0.000000001))/$B$29)^(1/3)))/ABS(IF(ABS($E$1390)&gt;0.000000001,$E$1390,0.000000001))*$I$48)</f>
        <v/>
      </c>
      <c r="E1456" s="19">
        <f>0.5*$E$1390+0.5*$AT$1493</f>
        <v/>
      </c>
      <c r="F1456" s="19">
        <f>$AT$1494</f>
        <v/>
      </c>
    </row>
    <row r="1457">
      <c r="D1457" s="19">
        <f>IF(ABS(IF(ABS($E$1391)&gt;0.000000001,$E$1391,0.000000001))=0,0,IF($E$49&lt;=$B$27,0,IF(ABS(IF(ABS($E$1391)&gt;0.000000001,$E$1391,0.000000001))&gt;=8*$B$29,$H$49,0.5*$H$49*(ABS(IF(ABS($E$1391)&gt;0.000000001,$E$1391,0.000000001))/$B$29)^(1/3)))/ABS(IF(ABS($E$1391)&gt;0.000000001,$E$1391,0.000000001))*$I$49)</f>
        <v/>
      </c>
      <c r="E1457" s="19">
        <f>0.5*$E$1391+0.5*$AT$1495</f>
        <v/>
      </c>
      <c r="F1457" s="19">
        <f>$AT$1496</f>
        <v/>
      </c>
    </row>
    <row r="1458">
      <c r="D1458" s="19">
        <f>IF(ABS(IF(ABS($E$1392)&gt;0.000000001,$E$1392,0.000000001))=0,0,IF($E$50&lt;=$B$27,0,IF(ABS(IF(ABS($E$1392)&gt;0.000000001,$E$1392,0.000000001))&gt;=8*$B$29,$H$50,0.5*$H$50*(ABS(IF(ABS($E$1392)&gt;0.000000001,$E$1392,0.000000001))/$B$29)^(1/3)))/ABS(IF(ABS($E$1392)&gt;0.000000001,$E$1392,0.000000001))*$I$50)</f>
        <v/>
      </c>
      <c r="E1458" s="19">
        <f>0.5*$E$1392+0.5*$AT$1497</f>
        <v/>
      </c>
      <c r="F1458" s="19">
        <f>$AT$1498</f>
        <v/>
      </c>
    </row>
    <row r="1459">
      <c r="D1459" s="19">
        <f>IF(ABS(IF(ABS($E$1393)&gt;0.000000001,$E$1393,0.000000001))=0,0,IF($E$51&lt;=$B$27,0,IF(ABS(IF(ABS($E$1393)&gt;0.000000001,$E$1393,0.000000001))&gt;=8*$B$29,$H$51,0.5*$H$51*(ABS(IF(ABS($E$1393)&gt;0.000000001,$E$1393,0.000000001))/$B$29)^(1/3)))/ABS(IF(ABS($E$1393)&gt;0.000000001,$E$1393,0.000000001))*$I$51)</f>
        <v/>
      </c>
      <c r="E1459" s="19">
        <f>0.5*$E$1393+0.5*$AT$1499</f>
        <v/>
      </c>
      <c r="F1459" s="19">
        <f>$AT$1500</f>
        <v/>
      </c>
    </row>
    <row r="1460">
      <c r="D1460" s="19">
        <f>IF(ABS(IF(ABS($E$1394)&gt;0.000000001,$E$1394,0.000000001))=0,0,IF($E$52&lt;=$B$27,0,IF(ABS(IF(ABS($E$1394)&gt;0.000000001,$E$1394,0.000000001))&gt;=8*$B$29,$H$52,0.5*$H$52*(ABS(IF(ABS($E$1394)&gt;0.000000001,$E$1394,0.000000001))/$B$29)^(1/3)))/ABS(IF(ABS($E$1394)&gt;0.000000001,$E$1394,0.000000001))*$I$52)</f>
        <v/>
      </c>
      <c r="E1460" s="19">
        <f>0.5*$E$1394+0.5*$AT$1501</f>
        <v/>
      </c>
      <c r="F1460" s="19">
        <f>$AT$1502</f>
        <v/>
      </c>
    </row>
    <row r="1461">
      <c r="D1461" s="19">
        <f>IF(ABS(IF(ABS($E$1395)&gt;0.000000001,$E$1395,0.000000001))=0,0,IF($E$53&lt;=$B$27,0,IF(ABS(IF(ABS($E$1395)&gt;0.000000001,$E$1395,0.000000001))&gt;=8*$B$29,$H$53,0.5*$H$53*(ABS(IF(ABS($E$1395)&gt;0.000000001,$E$1395,0.000000001))/$B$29)^(1/3)))/ABS(IF(ABS($E$1395)&gt;0.000000001,$E$1395,0.000000001))*$I$53)</f>
        <v/>
      </c>
      <c r="E1461" s="19">
        <f>0.5*$E$1395+0.5*$AT$1503</f>
        <v/>
      </c>
      <c r="F1461" s="19">
        <f>$AT$1504</f>
        <v/>
      </c>
    </row>
    <row r="1463">
      <c r="D1463" s="21">
        <f>$B$18+$D$1441</f>
        <v/>
      </c>
      <c r="E1463" s="21">
        <f>$B$19</f>
        <v/>
      </c>
      <c r="F1463" s="21">
        <f>-$B$18</f>
        <v/>
      </c>
      <c r="G1463" s="21">
        <f>$B$19</f>
        <v/>
      </c>
      <c r="H1463" s="21" t="n">
        <v>0</v>
      </c>
      <c r="I1463" s="21" t="n">
        <v>0</v>
      </c>
      <c r="J1463" s="21" t="n">
        <v>0</v>
      </c>
      <c r="K1463" s="21" t="n">
        <v>0</v>
      </c>
      <c r="L1463" s="21" t="n">
        <v>0</v>
      </c>
      <c r="M1463" s="21" t="n">
        <v>0</v>
      </c>
      <c r="N1463" s="21" t="n">
        <v>0</v>
      </c>
      <c r="O1463" s="21" t="n">
        <v>0</v>
      </c>
      <c r="P1463" s="21" t="n">
        <v>0</v>
      </c>
      <c r="Q1463" s="21" t="n">
        <v>0</v>
      </c>
      <c r="R1463" s="21" t="n">
        <v>0</v>
      </c>
      <c r="S1463" s="21" t="n">
        <v>0</v>
      </c>
      <c r="T1463" s="21" t="n">
        <v>0</v>
      </c>
      <c r="U1463" s="21" t="n">
        <v>0</v>
      </c>
      <c r="V1463" s="21" t="n">
        <v>0</v>
      </c>
      <c r="W1463" s="21" t="n">
        <v>0</v>
      </c>
      <c r="X1463" s="21" t="n">
        <v>0</v>
      </c>
      <c r="Y1463" s="21" t="n">
        <v>0</v>
      </c>
      <c r="Z1463" s="21" t="n">
        <v>0</v>
      </c>
      <c r="AA1463" s="21" t="n">
        <v>0</v>
      </c>
      <c r="AB1463" s="21" t="n">
        <v>0</v>
      </c>
      <c r="AC1463" s="21" t="n">
        <v>0</v>
      </c>
      <c r="AD1463" s="21" t="n">
        <v>0</v>
      </c>
      <c r="AE1463" s="21" t="n">
        <v>0</v>
      </c>
      <c r="AF1463" s="21" t="n">
        <v>0</v>
      </c>
      <c r="AG1463" s="21" t="n">
        <v>0</v>
      </c>
      <c r="AH1463" s="21" t="n">
        <v>0</v>
      </c>
      <c r="AI1463" s="21" t="n">
        <v>0</v>
      </c>
      <c r="AJ1463" s="21" t="n">
        <v>0</v>
      </c>
      <c r="AK1463" s="21" t="n">
        <v>0</v>
      </c>
      <c r="AL1463" s="21" t="n">
        <v>0</v>
      </c>
      <c r="AM1463" s="21" t="n">
        <v>0</v>
      </c>
      <c r="AN1463" s="21" t="n">
        <v>0</v>
      </c>
      <c r="AO1463" s="21" t="n">
        <v>0</v>
      </c>
      <c r="AP1463" s="21" t="n">
        <v>0</v>
      </c>
      <c r="AQ1463" s="21" t="n">
        <v>0</v>
      </c>
      <c r="AR1463" s="21" t="n">
        <v>0</v>
      </c>
      <c r="AS1463" s="21" t="n">
        <v>0</v>
      </c>
      <c r="AT1463" s="19">
        <f t="array" ref="AT1463:AT1504">MMULT(MINVERSE($D$1463:$AS$1504),$D$55:$D$96)</f>
        <v/>
      </c>
    </row>
    <row r="1464">
      <c r="D1464" s="21">
        <f>$B$19</f>
        <v/>
      </c>
      <c r="E1464" s="21">
        <f>$B$20</f>
        <v/>
      </c>
      <c r="F1464" s="21">
        <f>-$B$19</f>
        <v/>
      </c>
      <c r="G1464" s="21">
        <f>$B$21</f>
        <v/>
      </c>
      <c r="H1464" s="21" t="n">
        <v>0</v>
      </c>
      <c r="I1464" s="21" t="n">
        <v>0</v>
      </c>
      <c r="J1464" s="21" t="n">
        <v>0</v>
      </c>
      <c r="K1464" s="21" t="n">
        <v>0</v>
      </c>
      <c r="L1464" s="21" t="n">
        <v>0</v>
      </c>
      <c r="M1464" s="21" t="n">
        <v>0</v>
      </c>
      <c r="N1464" s="21" t="n">
        <v>0</v>
      </c>
      <c r="O1464" s="21" t="n">
        <v>0</v>
      </c>
      <c r="P1464" s="21" t="n">
        <v>0</v>
      </c>
      <c r="Q1464" s="21" t="n">
        <v>0</v>
      </c>
      <c r="R1464" s="21" t="n">
        <v>0</v>
      </c>
      <c r="S1464" s="21" t="n">
        <v>0</v>
      </c>
      <c r="T1464" s="21" t="n">
        <v>0</v>
      </c>
      <c r="U1464" s="21" t="n">
        <v>0</v>
      </c>
      <c r="V1464" s="21" t="n">
        <v>0</v>
      </c>
      <c r="W1464" s="21" t="n">
        <v>0</v>
      </c>
      <c r="X1464" s="21" t="n">
        <v>0</v>
      </c>
      <c r="Y1464" s="21" t="n">
        <v>0</v>
      </c>
      <c r="Z1464" s="21" t="n">
        <v>0</v>
      </c>
      <c r="AA1464" s="21" t="n">
        <v>0</v>
      </c>
      <c r="AB1464" s="21" t="n">
        <v>0</v>
      </c>
      <c r="AC1464" s="21" t="n">
        <v>0</v>
      </c>
      <c r="AD1464" s="21" t="n">
        <v>0</v>
      </c>
      <c r="AE1464" s="21" t="n">
        <v>0</v>
      </c>
      <c r="AF1464" s="21" t="n">
        <v>0</v>
      </c>
      <c r="AG1464" s="21" t="n">
        <v>0</v>
      </c>
      <c r="AH1464" s="21" t="n">
        <v>0</v>
      </c>
      <c r="AI1464" s="21" t="n">
        <v>0</v>
      </c>
      <c r="AJ1464" s="21" t="n">
        <v>0</v>
      </c>
      <c r="AK1464" s="21" t="n">
        <v>0</v>
      </c>
      <c r="AL1464" s="21" t="n">
        <v>0</v>
      </c>
      <c r="AM1464" s="21" t="n">
        <v>0</v>
      </c>
      <c r="AN1464" s="21" t="n">
        <v>0</v>
      </c>
      <c r="AO1464" s="21" t="n">
        <v>0</v>
      </c>
      <c r="AP1464" s="21" t="n">
        <v>0</v>
      </c>
      <c r="AQ1464" s="21" t="n">
        <v>0</v>
      </c>
      <c r="AR1464" s="21" t="n">
        <v>0</v>
      </c>
      <c r="AS1464" s="21" t="n">
        <v>0</v>
      </c>
      <c r="AT1464" s="19" t="n"/>
    </row>
    <row r="1465">
      <c r="D1465" s="21">
        <f>-$B$18</f>
        <v/>
      </c>
      <c r="E1465" s="21">
        <f>-$B$19</f>
        <v/>
      </c>
      <c r="F1465" s="21">
        <f>2*$B$18+$D$1442</f>
        <v/>
      </c>
      <c r="G1465" s="21">
        <f>0</f>
        <v/>
      </c>
      <c r="H1465" s="21">
        <f>-$B$18</f>
        <v/>
      </c>
      <c r="I1465" s="21">
        <f>$B$19</f>
        <v/>
      </c>
      <c r="J1465" s="21" t="n">
        <v>0</v>
      </c>
      <c r="K1465" s="21" t="n">
        <v>0</v>
      </c>
      <c r="L1465" s="21" t="n">
        <v>0</v>
      </c>
      <c r="M1465" s="21" t="n">
        <v>0</v>
      </c>
      <c r="N1465" s="21" t="n">
        <v>0</v>
      </c>
      <c r="O1465" s="21" t="n">
        <v>0</v>
      </c>
      <c r="P1465" s="21" t="n">
        <v>0</v>
      </c>
      <c r="Q1465" s="21" t="n">
        <v>0</v>
      </c>
      <c r="R1465" s="21" t="n">
        <v>0</v>
      </c>
      <c r="S1465" s="21" t="n">
        <v>0</v>
      </c>
      <c r="T1465" s="21" t="n">
        <v>0</v>
      </c>
      <c r="U1465" s="21" t="n">
        <v>0</v>
      </c>
      <c r="V1465" s="21" t="n">
        <v>0</v>
      </c>
      <c r="W1465" s="21" t="n">
        <v>0</v>
      </c>
      <c r="X1465" s="21" t="n">
        <v>0</v>
      </c>
      <c r="Y1465" s="21" t="n">
        <v>0</v>
      </c>
      <c r="Z1465" s="21" t="n">
        <v>0</v>
      </c>
      <c r="AA1465" s="21" t="n">
        <v>0</v>
      </c>
      <c r="AB1465" s="21" t="n">
        <v>0</v>
      </c>
      <c r="AC1465" s="21" t="n">
        <v>0</v>
      </c>
      <c r="AD1465" s="21" t="n">
        <v>0</v>
      </c>
      <c r="AE1465" s="21" t="n">
        <v>0</v>
      </c>
      <c r="AF1465" s="21" t="n">
        <v>0</v>
      </c>
      <c r="AG1465" s="21" t="n">
        <v>0</v>
      </c>
      <c r="AH1465" s="21" t="n">
        <v>0</v>
      </c>
      <c r="AI1465" s="21" t="n">
        <v>0</v>
      </c>
      <c r="AJ1465" s="21" t="n">
        <v>0</v>
      </c>
      <c r="AK1465" s="21" t="n">
        <v>0</v>
      </c>
      <c r="AL1465" s="21" t="n">
        <v>0</v>
      </c>
      <c r="AM1465" s="21" t="n">
        <v>0</v>
      </c>
      <c r="AN1465" s="21" t="n">
        <v>0</v>
      </c>
      <c r="AO1465" s="21" t="n">
        <v>0</v>
      </c>
      <c r="AP1465" s="21" t="n">
        <v>0</v>
      </c>
      <c r="AQ1465" s="21" t="n">
        <v>0</v>
      </c>
      <c r="AR1465" s="21" t="n">
        <v>0</v>
      </c>
      <c r="AS1465" s="21" t="n">
        <v>0</v>
      </c>
      <c r="AT1465" s="19" t="n"/>
    </row>
    <row r="1466">
      <c r="D1466" s="21">
        <f>$B$19</f>
        <v/>
      </c>
      <c r="E1466" s="21">
        <f>$B$21</f>
        <v/>
      </c>
      <c r="F1466" s="21">
        <f>0</f>
        <v/>
      </c>
      <c r="G1466" s="21">
        <f>2*$B$20</f>
        <v/>
      </c>
      <c r="H1466" s="21">
        <f>-$B$19</f>
        <v/>
      </c>
      <c r="I1466" s="21">
        <f>$B$21</f>
        <v/>
      </c>
      <c r="J1466" s="21" t="n">
        <v>0</v>
      </c>
      <c r="K1466" s="21" t="n">
        <v>0</v>
      </c>
      <c r="L1466" s="21" t="n">
        <v>0</v>
      </c>
      <c r="M1466" s="21" t="n">
        <v>0</v>
      </c>
      <c r="N1466" s="21" t="n">
        <v>0</v>
      </c>
      <c r="O1466" s="21" t="n">
        <v>0</v>
      </c>
      <c r="P1466" s="21" t="n">
        <v>0</v>
      </c>
      <c r="Q1466" s="21" t="n">
        <v>0</v>
      </c>
      <c r="R1466" s="21" t="n">
        <v>0</v>
      </c>
      <c r="S1466" s="21" t="n">
        <v>0</v>
      </c>
      <c r="T1466" s="21" t="n">
        <v>0</v>
      </c>
      <c r="U1466" s="21" t="n">
        <v>0</v>
      </c>
      <c r="V1466" s="21" t="n">
        <v>0</v>
      </c>
      <c r="W1466" s="21" t="n">
        <v>0</v>
      </c>
      <c r="X1466" s="21" t="n">
        <v>0</v>
      </c>
      <c r="Y1466" s="21" t="n">
        <v>0</v>
      </c>
      <c r="Z1466" s="21" t="n">
        <v>0</v>
      </c>
      <c r="AA1466" s="21" t="n">
        <v>0</v>
      </c>
      <c r="AB1466" s="21" t="n">
        <v>0</v>
      </c>
      <c r="AC1466" s="21" t="n">
        <v>0</v>
      </c>
      <c r="AD1466" s="21" t="n">
        <v>0</v>
      </c>
      <c r="AE1466" s="21" t="n">
        <v>0</v>
      </c>
      <c r="AF1466" s="21" t="n">
        <v>0</v>
      </c>
      <c r="AG1466" s="21" t="n">
        <v>0</v>
      </c>
      <c r="AH1466" s="21" t="n">
        <v>0</v>
      </c>
      <c r="AI1466" s="21" t="n">
        <v>0</v>
      </c>
      <c r="AJ1466" s="21" t="n">
        <v>0</v>
      </c>
      <c r="AK1466" s="21" t="n">
        <v>0</v>
      </c>
      <c r="AL1466" s="21" t="n">
        <v>0</v>
      </c>
      <c r="AM1466" s="21" t="n">
        <v>0</v>
      </c>
      <c r="AN1466" s="21" t="n">
        <v>0</v>
      </c>
      <c r="AO1466" s="21" t="n">
        <v>0</v>
      </c>
      <c r="AP1466" s="21" t="n">
        <v>0</v>
      </c>
      <c r="AQ1466" s="21" t="n">
        <v>0</v>
      </c>
      <c r="AR1466" s="21" t="n">
        <v>0</v>
      </c>
      <c r="AS1466" s="21" t="n">
        <v>0</v>
      </c>
      <c r="AT1466" s="19" t="n"/>
    </row>
    <row r="1467">
      <c r="D1467" s="21" t="n">
        <v>0</v>
      </c>
      <c r="E1467" s="21" t="n">
        <v>0</v>
      </c>
      <c r="F1467" s="21">
        <f>-$B$18</f>
        <v/>
      </c>
      <c r="G1467" s="21">
        <f>-$B$19</f>
        <v/>
      </c>
      <c r="H1467" s="21">
        <f>2*$B$18+$D$1443</f>
        <v/>
      </c>
      <c r="I1467" s="21">
        <f>0</f>
        <v/>
      </c>
      <c r="J1467" s="21">
        <f>-$B$18</f>
        <v/>
      </c>
      <c r="K1467" s="21">
        <f>$B$19</f>
        <v/>
      </c>
      <c r="L1467" s="21" t="n">
        <v>0</v>
      </c>
      <c r="M1467" s="21" t="n">
        <v>0</v>
      </c>
      <c r="N1467" s="21" t="n">
        <v>0</v>
      </c>
      <c r="O1467" s="21" t="n">
        <v>0</v>
      </c>
      <c r="P1467" s="21" t="n">
        <v>0</v>
      </c>
      <c r="Q1467" s="21" t="n">
        <v>0</v>
      </c>
      <c r="R1467" s="21" t="n">
        <v>0</v>
      </c>
      <c r="S1467" s="21" t="n">
        <v>0</v>
      </c>
      <c r="T1467" s="21" t="n">
        <v>0</v>
      </c>
      <c r="U1467" s="21" t="n">
        <v>0</v>
      </c>
      <c r="V1467" s="21" t="n">
        <v>0</v>
      </c>
      <c r="W1467" s="21" t="n">
        <v>0</v>
      </c>
      <c r="X1467" s="21" t="n">
        <v>0</v>
      </c>
      <c r="Y1467" s="21" t="n">
        <v>0</v>
      </c>
      <c r="Z1467" s="21" t="n">
        <v>0</v>
      </c>
      <c r="AA1467" s="21" t="n">
        <v>0</v>
      </c>
      <c r="AB1467" s="21" t="n">
        <v>0</v>
      </c>
      <c r="AC1467" s="21" t="n">
        <v>0</v>
      </c>
      <c r="AD1467" s="21" t="n">
        <v>0</v>
      </c>
      <c r="AE1467" s="21" t="n">
        <v>0</v>
      </c>
      <c r="AF1467" s="21" t="n">
        <v>0</v>
      </c>
      <c r="AG1467" s="21" t="n">
        <v>0</v>
      </c>
      <c r="AH1467" s="21" t="n">
        <v>0</v>
      </c>
      <c r="AI1467" s="21" t="n">
        <v>0</v>
      </c>
      <c r="AJ1467" s="21" t="n">
        <v>0</v>
      </c>
      <c r="AK1467" s="21" t="n">
        <v>0</v>
      </c>
      <c r="AL1467" s="21" t="n">
        <v>0</v>
      </c>
      <c r="AM1467" s="21" t="n">
        <v>0</v>
      </c>
      <c r="AN1467" s="21" t="n">
        <v>0</v>
      </c>
      <c r="AO1467" s="21" t="n">
        <v>0</v>
      </c>
      <c r="AP1467" s="21" t="n">
        <v>0</v>
      </c>
      <c r="AQ1467" s="21" t="n">
        <v>0</v>
      </c>
      <c r="AR1467" s="21" t="n">
        <v>0</v>
      </c>
      <c r="AS1467" s="21" t="n">
        <v>0</v>
      </c>
      <c r="AT1467" s="19" t="n"/>
    </row>
    <row r="1468">
      <c r="D1468" s="21" t="n">
        <v>0</v>
      </c>
      <c r="E1468" s="21" t="n">
        <v>0</v>
      </c>
      <c r="F1468" s="21">
        <f>$B$19</f>
        <v/>
      </c>
      <c r="G1468" s="21">
        <f>$B$21</f>
        <v/>
      </c>
      <c r="H1468" s="21">
        <f>0</f>
        <v/>
      </c>
      <c r="I1468" s="21">
        <f>2*$B$20</f>
        <v/>
      </c>
      <c r="J1468" s="21">
        <f>-$B$19</f>
        <v/>
      </c>
      <c r="K1468" s="21">
        <f>$B$21</f>
        <v/>
      </c>
      <c r="L1468" s="21" t="n">
        <v>0</v>
      </c>
      <c r="M1468" s="21" t="n">
        <v>0</v>
      </c>
      <c r="N1468" s="21" t="n">
        <v>0</v>
      </c>
      <c r="O1468" s="21" t="n">
        <v>0</v>
      </c>
      <c r="P1468" s="21" t="n">
        <v>0</v>
      </c>
      <c r="Q1468" s="21" t="n">
        <v>0</v>
      </c>
      <c r="R1468" s="21" t="n">
        <v>0</v>
      </c>
      <c r="S1468" s="21" t="n">
        <v>0</v>
      </c>
      <c r="T1468" s="21" t="n">
        <v>0</v>
      </c>
      <c r="U1468" s="21" t="n">
        <v>0</v>
      </c>
      <c r="V1468" s="21" t="n">
        <v>0</v>
      </c>
      <c r="W1468" s="21" t="n">
        <v>0</v>
      </c>
      <c r="X1468" s="21" t="n">
        <v>0</v>
      </c>
      <c r="Y1468" s="21" t="n">
        <v>0</v>
      </c>
      <c r="Z1468" s="21" t="n">
        <v>0</v>
      </c>
      <c r="AA1468" s="21" t="n">
        <v>0</v>
      </c>
      <c r="AB1468" s="21" t="n">
        <v>0</v>
      </c>
      <c r="AC1468" s="21" t="n">
        <v>0</v>
      </c>
      <c r="AD1468" s="21" t="n">
        <v>0</v>
      </c>
      <c r="AE1468" s="21" t="n">
        <v>0</v>
      </c>
      <c r="AF1468" s="21" t="n">
        <v>0</v>
      </c>
      <c r="AG1468" s="21" t="n">
        <v>0</v>
      </c>
      <c r="AH1468" s="21" t="n">
        <v>0</v>
      </c>
      <c r="AI1468" s="21" t="n">
        <v>0</v>
      </c>
      <c r="AJ1468" s="21" t="n">
        <v>0</v>
      </c>
      <c r="AK1468" s="21" t="n">
        <v>0</v>
      </c>
      <c r="AL1468" s="21" t="n">
        <v>0</v>
      </c>
      <c r="AM1468" s="21" t="n">
        <v>0</v>
      </c>
      <c r="AN1468" s="21" t="n">
        <v>0</v>
      </c>
      <c r="AO1468" s="21" t="n">
        <v>0</v>
      </c>
      <c r="AP1468" s="21" t="n">
        <v>0</v>
      </c>
      <c r="AQ1468" s="21" t="n">
        <v>0</v>
      </c>
      <c r="AR1468" s="21" t="n">
        <v>0</v>
      </c>
      <c r="AS1468" s="21" t="n">
        <v>0</v>
      </c>
      <c r="AT1468" s="19" t="n"/>
    </row>
    <row r="1469">
      <c r="D1469" s="21" t="n">
        <v>0</v>
      </c>
      <c r="E1469" s="21" t="n">
        <v>0</v>
      </c>
      <c r="F1469" s="21" t="n">
        <v>0</v>
      </c>
      <c r="G1469" s="21" t="n">
        <v>0</v>
      </c>
      <c r="H1469" s="21">
        <f>-$B$18</f>
        <v/>
      </c>
      <c r="I1469" s="21">
        <f>-$B$19</f>
        <v/>
      </c>
      <c r="J1469" s="21">
        <f>2*$B$18+$D$1444</f>
        <v/>
      </c>
      <c r="K1469" s="21">
        <f>0</f>
        <v/>
      </c>
      <c r="L1469" s="21">
        <f>-$B$18</f>
        <v/>
      </c>
      <c r="M1469" s="21">
        <f>$B$19</f>
        <v/>
      </c>
      <c r="N1469" s="21" t="n">
        <v>0</v>
      </c>
      <c r="O1469" s="21" t="n">
        <v>0</v>
      </c>
      <c r="P1469" s="21" t="n">
        <v>0</v>
      </c>
      <c r="Q1469" s="21" t="n">
        <v>0</v>
      </c>
      <c r="R1469" s="21" t="n">
        <v>0</v>
      </c>
      <c r="S1469" s="21" t="n">
        <v>0</v>
      </c>
      <c r="T1469" s="21" t="n">
        <v>0</v>
      </c>
      <c r="U1469" s="21" t="n">
        <v>0</v>
      </c>
      <c r="V1469" s="21" t="n">
        <v>0</v>
      </c>
      <c r="W1469" s="21" t="n">
        <v>0</v>
      </c>
      <c r="X1469" s="21" t="n">
        <v>0</v>
      </c>
      <c r="Y1469" s="21" t="n">
        <v>0</v>
      </c>
      <c r="Z1469" s="21" t="n">
        <v>0</v>
      </c>
      <c r="AA1469" s="21" t="n">
        <v>0</v>
      </c>
      <c r="AB1469" s="21" t="n">
        <v>0</v>
      </c>
      <c r="AC1469" s="21" t="n">
        <v>0</v>
      </c>
      <c r="AD1469" s="21" t="n">
        <v>0</v>
      </c>
      <c r="AE1469" s="21" t="n">
        <v>0</v>
      </c>
      <c r="AF1469" s="21" t="n">
        <v>0</v>
      </c>
      <c r="AG1469" s="21" t="n">
        <v>0</v>
      </c>
      <c r="AH1469" s="21" t="n">
        <v>0</v>
      </c>
      <c r="AI1469" s="21" t="n">
        <v>0</v>
      </c>
      <c r="AJ1469" s="21" t="n">
        <v>0</v>
      </c>
      <c r="AK1469" s="21" t="n">
        <v>0</v>
      </c>
      <c r="AL1469" s="21" t="n">
        <v>0</v>
      </c>
      <c r="AM1469" s="21" t="n">
        <v>0</v>
      </c>
      <c r="AN1469" s="21" t="n">
        <v>0</v>
      </c>
      <c r="AO1469" s="21" t="n">
        <v>0</v>
      </c>
      <c r="AP1469" s="21" t="n">
        <v>0</v>
      </c>
      <c r="AQ1469" s="21" t="n">
        <v>0</v>
      </c>
      <c r="AR1469" s="21" t="n">
        <v>0</v>
      </c>
      <c r="AS1469" s="21" t="n">
        <v>0</v>
      </c>
      <c r="AT1469" s="19" t="n"/>
    </row>
    <row r="1470">
      <c r="D1470" s="21" t="n">
        <v>0</v>
      </c>
      <c r="E1470" s="21" t="n">
        <v>0</v>
      </c>
      <c r="F1470" s="21" t="n">
        <v>0</v>
      </c>
      <c r="G1470" s="21" t="n">
        <v>0</v>
      </c>
      <c r="H1470" s="21">
        <f>$B$19</f>
        <v/>
      </c>
      <c r="I1470" s="21">
        <f>$B$21</f>
        <v/>
      </c>
      <c r="J1470" s="21">
        <f>0</f>
        <v/>
      </c>
      <c r="K1470" s="21">
        <f>2*$B$20</f>
        <v/>
      </c>
      <c r="L1470" s="21">
        <f>-$B$19</f>
        <v/>
      </c>
      <c r="M1470" s="21">
        <f>$B$21</f>
        <v/>
      </c>
      <c r="N1470" s="21" t="n">
        <v>0</v>
      </c>
      <c r="O1470" s="21" t="n">
        <v>0</v>
      </c>
      <c r="P1470" s="21" t="n">
        <v>0</v>
      </c>
      <c r="Q1470" s="21" t="n">
        <v>0</v>
      </c>
      <c r="R1470" s="21" t="n">
        <v>0</v>
      </c>
      <c r="S1470" s="21" t="n">
        <v>0</v>
      </c>
      <c r="T1470" s="21" t="n">
        <v>0</v>
      </c>
      <c r="U1470" s="21" t="n">
        <v>0</v>
      </c>
      <c r="V1470" s="21" t="n">
        <v>0</v>
      </c>
      <c r="W1470" s="21" t="n">
        <v>0</v>
      </c>
      <c r="X1470" s="21" t="n">
        <v>0</v>
      </c>
      <c r="Y1470" s="21" t="n">
        <v>0</v>
      </c>
      <c r="Z1470" s="21" t="n">
        <v>0</v>
      </c>
      <c r="AA1470" s="21" t="n">
        <v>0</v>
      </c>
      <c r="AB1470" s="21" t="n">
        <v>0</v>
      </c>
      <c r="AC1470" s="21" t="n">
        <v>0</v>
      </c>
      <c r="AD1470" s="21" t="n">
        <v>0</v>
      </c>
      <c r="AE1470" s="21" t="n">
        <v>0</v>
      </c>
      <c r="AF1470" s="21" t="n">
        <v>0</v>
      </c>
      <c r="AG1470" s="21" t="n">
        <v>0</v>
      </c>
      <c r="AH1470" s="21" t="n">
        <v>0</v>
      </c>
      <c r="AI1470" s="21" t="n">
        <v>0</v>
      </c>
      <c r="AJ1470" s="21" t="n">
        <v>0</v>
      </c>
      <c r="AK1470" s="21" t="n">
        <v>0</v>
      </c>
      <c r="AL1470" s="21" t="n">
        <v>0</v>
      </c>
      <c r="AM1470" s="21" t="n">
        <v>0</v>
      </c>
      <c r="AN1470" s="21" t="n">
        <v>0</v>
      </c>
      <c r="AO1470" s="21" t="n">
        <v>0</v>
      </c>
      <c r="AP1470" s="21" t="n">
        <v>0</v>
      </c>
      <c r="AQ1470" s="21" t="n">
        <v>0</v>
      </c>
      <c r="AR1470" s="21" t="n">
        <v>0</v>
      </c>
      <c r="AS1470" s="21" t="n">
        <v>0</v>
      </c>
      <c r="AT1470" s="19" t="n"/>
    </row>
    <row r="1471">
      <c r="D1471" s="21" t="n">
        <v>0</v>
      </c>
      <c r="E1471" s="21" t="n">
        <v>0</v>
      </c>
      <c r="F1471" s="21" t="n">
        <v>0</v>
      </c>
      <c r="G1471" s="21" t="n">
        <v>0</v>
      </c>
      <c r="H1471" s="21" t="n">
        <v>0</v>
      </c>
      <c r="I1471" s="21" t="n">
        <v>0</v>
      </c>
      <c r="J1471" s="21">
        <f>-$B$18</f>
        <v/>
      </c>
      <c r="K1471" s="21">
        <f>-$B$19</f>
        <v/>
      </c>
      <c r="L1471" s="21">
        <f>2*$B$18+$D$1445</f>
        <v/>
      </c>
      <c r="M1471" s="21">
        <f>0</f>
        <v/>
      </c>
      <c r="N1471" s="21">
        <f>-$B$18</f>
        <v/>
      </c>
      <c r="O1471" s="21">
        <f>$B$19</f>
        <v/>
      </c>
      <c r="P1471" s="21" t="n">
        <v>0</v>
      </c>
      <c r="Q1471" s="21" t="n">
        <v>0</v>
      </c>
      <c r="R1471" s="21" t="n">
        <v>0</v>
      </c>
      <c r="S1471" s="21" t="n">
        <v>0</v>
      </c>
      <c r="T1471" s="21" t="n">
        <v>0</v>
      </c>
      <c r="U1471" s="21" t="n">
        <v>0</v>
      </c>
      <c r="V1471" s="21" t="n">
        <v>0</v>
      </c>
      <c r="W1471" s="21" t="n">
        <v>0</v>
      </c>
      <c r="X1471" s="21" t="n">
        <v>0</v>
      </c>
      <c r="Y1471" s="21" t="n">
        <v>0</v>
      </c>
      <c r="Z1471" s="21" t="n">
        <v>0</v>
      </c>
      <c r="AA1471" s="21" t="n">
        <v>0</v>
      </c>
      <c r="AB1471" s="21" t="n">
        <v>0</v>
      </c>
      <c r="AC1471" s="21" t="n">
        <v>0</v>
      </c>
      <c r="AD1471" s="21" t="n">
        <v>0</v>
      </c>
      <c r="AE1471" s="21" t="n">
        <v>0</v>
      </c>
      <c r="AF1471" s="21" t="n">
        <v>0</v>
      </c>
      <c r="AG1471" s="21" t="n">
        <v>0</v>
      </c>
      <c r="AH1471" s="21" t="n">
        <v>0</v>
      </c>
      <c r="AI1471" s="21" t="n">
        <v>0</v>
      </c>
      <c r="AJ1471" s="21" t="n">
        <v>0</v>
      </c>
      <c r="AK1471" s="21" t="n">
        <v>0</v>
      </c>
      <c r="AL1471" s="21" t="n">
        <v>0</v>
      </c>
      <c r="AM1471" s="21" t="n">
        <v>0</v>
      </c>
      <c r="AN1471" s="21" t="n">
        <v>0</v>
      </c>
      <c r="AO1471" s="21" t="n">
        <v>0</v>
      </c>
      <c r="AP1471" s="21" t="n">
        <v>0</v>
      </c>
      <c r="AQ1471" s="21" t="n">
        <v>0</v>
      </c>
      <c r="AR1471" s="21" t="n">
        <v>0</v>
      </c>
      <c r="AS1471" s="21" t="n">
        <v>0</v>
      </c>
      <c r="AT1471" s="19" t="n"/>
    </row>
    <row r="1472">
      <c r="D1472" s="21" t="n">
        <v>0</v>
      </c>
      <c r="E1472" s="21" t="n">
        <v>0</v>
      </c>
      <c r="F1472" s="21" t="n">
        <v>0</v>
      </c>
      <c r="G1472" s="21" t="n">
        <v>0</v>
      </c>
      <c r="H1472" s="21" t="n">
        <v>0</v>
      </c>
      <c r="I1472" s="21" t="n">
        <v>0</v>
      </c>
      <c r="J1472" s="21">
        <f>$B$19</f>
        <v/>
      </c>
      <c r="K1472" s="21">
        <f>$B$21</f>
        <v/>
      </c>
      <c r="L1472" s="21">
        <f>0</f>
        <v/>
      </c>
      <c r="M1472" s="21">
        <f>2*$B$20</f>
        <v/>
      </c>
      <c r="N1472" s="21">
        <f>-$B$19</f>
        <v/>
      </c>
      <c r="O1472" s="21">
        <f>$B$21</f>
        <v/>
      </c>
      <c r="P1472" s="21" t="n">
        <v>0</v>
      </c>
      <c r="Q1472" s="21" t="n">
        <v>0</v>
      </c>
      <c r="R1472" s="21" t="n">
        <v>0</v>
      </c>
      <c r="S1472" s="21" t="n">
        <v>0</v>
      </c>
      <c r="T1472" s="21" t="n">
        <v>0</v>
      </c>
      <c r="U1472" s="21" t="n">
        <v>0</v>
      </c>
      <c r="V1472" s="21" t="n">
        <v>0</v>
      </c>
      <c r="W1472" s="21" t="n">
        <v>0</v>
      </c>
      <c r="X1472" s="21" t="n">
        <v>0</v>
      </c>
      <c r="Y1472" s="21" t="n">
        <v>0</v>
      </c>
      <c r="Z1472" s="21" t="n">
        <v>0</v>
      </c>
      <c r="AA1472" s="21" t="n">
        <v>0</v>
      </c>
      <c r="AB1472" s="21" t="n">
        <v>0</v>
      </c>
      <c r="AC1472" s="21" t="n">
        <v>0</v>
      </c>
      <c r="AD1472" s="21" t="n">
        <v>0</v>
      </c>
      <c r="AE1472" s="21" t="n">
        <v>0</v>
      </c>
      <c r="AF1472" s="21" t="n">
        <v>0</v>
      </c>
      <c r="AG1472" s="21" t="n">
        <v>0</v>
      </c>
      <c r="AH1472" s="21" t="n">
        <v>0</v>
      </c>
      <c r="AI1472" s="21" t="n">
        <v>0</v>
      </c>
      <c r="AJ1472" s="21" t="n">
        <v>0</v>
      </c>
      <c r="AK1472" s="21" t="n">
        <v>0</v>
      </c>
      <c r="AL1472" s="21" t="n">
        <v>0</v>
      </c>
      <c r="AM1472" s="21" t="n">
        <v>0</v>
      </c>
      <c r="AN1472" s="21" t="n">
        <v>0</v>
      </c>
      <c r="AO1472" s="21" t="n">
        <v>0</v>
      </c>
      <c r="AP1472" s="21" t="n">
        <v>0</v>
      </c>
      <c r="AQ1472" s="21" t="n">
        <v>0</v>
      </c>
      <c r="AR1472" s="21" t="n">
        <v>0</v>
      </c>
      <c r="AS1472" s="21" t="n">
        <v>0</v>
      </c>
      <c r="AT1472" s="19" t="n"/>
    </row>
    <row r="1473">
      <c r="D1473" s="21" t="n">
        <v>0</v>
      </c>
      <c r="E1473" s="21" t="n">
        <v>0</v>
      </c>
      <c r="F1473" s="21" t="n">
        <v>0</v>
      </c>
      <c r="G1473" s="21" t="n">
        <v>0</v>
      </c>
      <c r="H1473" s="21" t="n">
        <v>0</v>
      </c>
      <c r="I1473" s="21" t="n">
        <v>0</v>
      </c>
      <c r="J1473" s="21" t="n">
        <v>0</v>
      </c>
      <c r="K1473" s="21" t="n">
        <v>0</v>
      </c>
      <c r="L1473" s="21">
        <f>-$B$18</f>
        <v/>
      </c>
      <c r="M1473" s="21">
        <f>-$B$19</f>
        <v/>
      </c>
      <c r="N1473" s="21">
        <f>2*$B$18+$D$1446</f>
        <v/>
      </c>
      <c r="O1473" s="21">
        <f>0</f>
        <v/>
      </c>
      <c r="P1473" s="21">
        <f>-$B$18</f>
        <v/>
      </c>
      <c r="Q1473" s="21">
        <f>$B$19</f>
        <v/>
      </c>
      <c r="R1473" s="21" t="n">
        <v>0</v>
      </c>
      <c r="S1473" s="21" t="n">
        <v>0</v>
      </c>
      <c r="T1473" s="21" t="n">
        <v>0</v>
      </c>
      <c r="U1473" s="21" t="n">
        <v>0</v>
      </c>
      <c r="V1473" s="21" t="n">
        <v>0</v>
      </c>
      <c r="W1473" s="21" t="n">
        <v>0</v>
      </c>
      <c r="X1473" s="21" t="n">
        <v>0</v>
      </c>
      <c r="Y1473" s="21" t="n">
        <v>0</v>
      </c>
      <c r="Z1473" s="21" t="n">
        <v>0</v>
      </c>
      <c r="AA1473" s="21" t="n">
        <v>0</v>
      </c>
      <c r="AB1473" s="21" t="n">
        <v>0</v>
      </c>
      <c r="AC1473" s="21" t="n">
        <v>0</v>
      </c>
      <c r="AD1473" s="21" t="n">
        <v>0</v>
      </c>
      <c r="AE1473" s="21" t="n">
        <v>0</v>
      </c>
      <c r="AF1473" s="21" t="n">
        <v>0</v>
      </c>
      <c r="AG1473" s="21" t="n">
        <v>0</v>
      </c>
      <c r="AH1473" s="21" t="n">
        <v>0</v>
      </c>
      <c r="AI1473" s="21" t="n">
        <v>0</v>
      </c>
      <c r="AJ1473" s="21" t="n">
        <v>0</v>
      </c>
      <c r="AK1473" s="21" t="n">
        <v>0</v>
      </c>
      <c r="AL1473" s="21" t="n">
        <v>0</v>
      </c>
      <c r="AM1473" s="21" t="n">
        <v>0</v>
      </c>
      <c r="AN1473" s="21" t="n">
        <v>0</v>
      </c>
      <c r="AO1473" s="21" t="n">
        <v>0</v>
      </c>
      <c r="AP1473" s="21" t="n">
        <v>0</v>
      </c>
      <c r="AQ1473" s="21" t="n">
        <v>0</v>
      </c>
      <c r="AR1473" s="21" t="n">
        <v>0</v>
      </c>
      <c r="AS1473" s="21" t="n">
        <v>0</v>
      </c>
      <c r="AT1473" s="19" t="n"/>
    </row>
    <row r="1474">
      <c r="D1474" s="21" t="n">
        <v>0</v>
      </c>
      <c r="E1474" s="21" t="n">
        <v>0</v>
      </c>
      <c r="F1474" s="21" t="n">
        <v>0</v>
      </c>
      <c r="G1474" s="21" t="n">
        <v>0</v>
      </c>
      <c r="H1474" s="21" t="n">
        <v>0</v>
      </c>
      <c r="I1474" s="21" t="n">
        <v>0</v>
      </c>
      <c r="J1474" s="21" t="n">
        <v>0</v>
      </c>
      <c r="K1474" s="21" t="n">
        <v>0</v>
      </c>
      <c r="L1474" s="21">
        <f>$B$19</f>
        <v/>
      </c>
      <c r="M1474" s="21">
        <f>$B$21</f>
        <v/>
      </c>
      <c r="N1474" s="21">
        <f>0</f>
        <v/>
      </c>
      <c r="O1474" s="21">
        <f>2*$B$20</f>
        <v/>
      </c>
      <c r="P1474" s="21">
        <f>-$B$19</f>
        <v/>
      </c>
      <c r="Q1474" s="21">
        <f>$B$21</f>
        <v/>
      </c>
      <c r="R1474" s="21" t="n">
        <v>0</v>
      </c>
      <c r="S1474" s="21" t="n">
        <v>0</v>
      </c>
      <c r="T1474" s="21" t="n">
        <v>0</v>
      </c>
      <c r="U1474" s="21" t="n">
        <v>0</v>
      </c>
      <c r="V1474" s="21" t="n">
        <v>0</v>
      </c>
      <c r="W1474" s="21" t="n">
        <v>0</v>
      </c>
      <c r="X1474" s="21" t="n">
        <v>0</v>
      </c>
      <c r="Y1474" s="21" t="n">
        <v>0</v>
      </c>
      <c r="Z1474" s="21" t="n">
        <v>0</v>
      </c>
      <c r="AA1474" s="21" t="n">
        <v>0</v>
      </c>
      <c r="AB1474" s="21" t="n">
        <v>0</v>
      </c>
      <c r="AC1474" s="21" t="n">
        <v>0</v>
      </c>
      <c r="AD1474" s="21" t="n">
        <v>0</v>
      </c>
      <c r="AE1474" s="21" t="n">
        <v>0</v>
      </c>
      <c r="AF1474" s="21" t="n">
        <v>0</v>
      </c>
      <c r="AG1474" s="21" t="n">
        <v>0</v>
      </c>
      <c r="AH1474" s="21" t="n">
        <v>0</v>
      </c>
      <c r="AI1474" s="21" t="n">
        <v>0</v>
      </c>
      <c r="AJ1474" s="21" t="n">
        <v>0</v>
      </c>
      <c r="AK1474" s="21" t="n">
        <v>0</v>
      </c>
      <c r="AL1474" s="21" t="n">
        <v>0</v>
      </c>
      <c r="AM1474" s="21" t="n">
        <v>0</v>
      </c>
      <c r="AN1474" s="21" t="n">
        <v>0</v>
      </c>
      <c r="AO1474" s="21" t="n">
        <v>0</v>
      </c>
      <c r="AP1474" s="21" t="n">
        <v>0</v>
      </c>
      <c r="AQ1474" s="21" t="n">
        <v>0</v>
      </c>
      <c r="AR1474" s="21" t="n">
        <v>0</v>
      </c>
      <c r="AS1474" s="21" t="n">
        <v>0</v>
      </c>
      <c r="AT1474" s="19" t="n"/>
    </row>
    <row r="1475">
      <c r="D1475" s="21" t="n">
        <v>0</v>
      </c>
      <c r="E1475" s="21" t="n">
        <v>0</v>
      </c>
      <c r="F1475" s="21" t="n">
        <v>0</v>
      </c>
      <c r="G1475" s="21" t="n">
        <v>0</v>
      </c>
      <c r="H1475" s="21" t="n">
        <v>0</v>
      </c>
      <c r="I1475" s="21" t="n">
        <v>0</v>
      </c>
      <c r="J1475" s="21" t="n">
        <v>0</v>
      </c>
      <c r="K1475" s="21" t="n">
        <v>0</v>
      </c>
      <c r="L1475" s="21" t="n">
        <v>0</v>
      </c>
      <c r="M1475" s="21" t="n">
        <v>0</v>
      </c>
      <c r="N1475" s="21">
        <f>-$B$18</f>
        <v/>
      </c>
      <c r="O1475" s="21">
        <f>-$B$19</f>
        <v/>
      </c>
      <c r="P1475" s="21">
        <f>2*$B$18+$D$1447</f>
        <v/>
      </c>
      <c r="Q1475" s="21">
        <f>0</f>
        <v/>
      </c>
      <c r="R1475" s="21">
        <f>-$B$18</f>
        <v/>
      </c>
      <c r="S1475" s="21">
        <f>$B$19</f>
        <v/>
      </c>
      <c r="T1475" s="21" t="n">
        <v>0</v>
      </c>
      <c r="U1475" s="21" t="n">
        <v>0</v>
      </c>
      <c r="V1475" s="21" t="n">
        <v>0</v>
      </c>
      <c r="W1475" s="21" t="n">
        <v>0</v>
      </c>
      <c r="X1475" s="21" t="n">
        <v>0</v>
      </c>
      <c r="Y1475" s="21" t="n">
        <v>0</v>
      </c>
      <c r="Z1475" s="21" t="n">
        <v>0</v>
      </c>
      <c r="AA1475" s="21" t="n">
        <v>0</v>
      </c>
      <c r="AB1475" s="21" t="n">
        <v>0</v>
      </c>
      <c r="AC1475" s="21" t="n">
        <v>0</v>
      </c>
      <c r="AD1475" s="21" t="n">
        <v>0</v>
      </c>
      <c r="AE1475" s="21" t="n">
        <v>0</v>
      </c>
      <c r="AF1475" s="21" t="n">
        <v>0</v>
      </c>
      <c r="AG1475" s="21" t="n">
        <v>0</v>
      </c>
      <c r="AH1475" s="21" t="n">
        <v>0</v>
      </c>
      <c r="AI1475" s="21" t="n">
        <v>0</v>
      </c>
      <c r="AJ1475" s="21" t="n">
        <v>0</v>
      </c>
      <c r="AK1475" s="21" t="n">
        <v>0</v>
      </c>
      <c r="AL1475" s="21" t="n">
        <v>0</v>
      </c>
      <c r="AM1475" s="21" t="n">
        <v>0</v>
      </c>
      <c r="AN1475" s="21" t="n">
        <v>0</v>
      </c>
      <c r="AO1475" s="21" t="n">
        <v>0</v>
      </c>
      <c r="AP1475" s="21" t="n">
        <v>0</v>
      </c>
      <c r="AQ1475" s="21" t="n">
        <v>0</v>
      </c>
      <c r="AR1475" s="21" t="n">
        <v>0</v>
      </c>
      <c r="AS1475" s="21" t="n">
        <v>0</v>
      </c>
      <c r="AT1475" s="19" t="n"/>
    </row>
    <row r="1476">
      <c r="D1476" s="21" t="n">
        <v>0</v>
      </c>
      <c r="E1476" s="21" t="n">
        <v>0</v>
      </c>
      <c r="F1476" s="21" t="n">
        <v>0</v>
      </c>
      <c r="G1476" s="21" t="n">
        <v>0</v>
      </c>
      <c r="H1476" s="21" t="n">
        <v>0</v>
      </c>
      <c r="I1476" s="21" t="n">
        <v>0</v>
      </c>
      <c r="J1476" s="21" t="n">
        <v>0</v>
      </c>
      <c r="K1476" s="21" t="n">
        <v>0</v>
      </c>
      <c r="L1476" s="21" t="n">
        <v>0</v>
      </c>
      <c r="M1476" s="21" t="n">
        <v>0</v>
      </c>
      <c r="N1476" s="21">
        <f>$B$19</f>
        <v/>
      </c>
      <c r="O1476" s="21">
        <f>$B$21</f>
        <v/>
      </c>
      <c r="P1476" s="21">
        <f>0</f>
        <v/>
      </c>
      <c r="Q1476" s="21">
        <f>2*$B$20</f>
        <v/>
      </c>
      <c r="R1476" s="21">
        <f>-$B$19</f>
        <v/>
      </c>
      <c r="S1476" s="21">
        <f>$B$21</f>
        <v/>
      </c>
      <c r="T1476" s="21" t="n">
        <v>0</v>
      </c>
      <c r="U1476" s="21" t="n">
        <v>0</v>
      </c>
      <c r="V1476" s="21" t="n">
        <v>0</v>
      </c>
      <c r="W1476" s="21" t="n">
        <v>0</v>
      </c>
      <c r="X1476" s="21" t="n">
        <v>0</v>
      </c>
      <c r="Y1476" s="21" t="n">
        <v>0</v>
      </c>
      <c r="Z1476" s="21" t="n">
        <v>0</v>
      </c>
      <c r="AA1476" s="21" t="n">
        <v>0</v>
      </c>
      <c r="AB1476" s="21" t="n">
        <v>0</v>
      </c>
      <c r="AC1476" s="21" t="n">
        <v>0</v>
      </c>
      <c r="AD1476" s="21" t="n">
        <v>0</v>
      </c>
      <c r="AE1476" s="21" t="n">
        <v>0</v>
      </c>
      <c r="AF1476" s="21" t="n">
        <v>0</v>
      </c>
      <c r="AG1476" s="21" t="n">
        <v>0</v>
      </c>
      <c r="AH1476" s="21" t="n">
        <v>0</v>
      </c>
      <c r="AI1476" s="21" t="n">
        <v>0</v>
      </c>
      <c r="AJ1476" s="21" t="n">
        <v>0</v>
      </c>
      <c r="AK1476" s="21" t="n">
        <v>0</v>
      </c>
      <c r="AL1476" s="21" t="n">
        <v>0</v>
      </c>
      <c r="AM1476" s="21" t="n">
        <v>0</v>
      </c>
      <c r="AN1476" s="21" t="n">
        <v>0</v>
      </c>
      <c r="AO1476" s="21" t="n">
        <v>0</v>
      </c>
      <c r="AP1476" s="21" t="n">
        <v>0</v>
      </c>
      <c r="AQ1476" s="21" t="n">
        <v>0</v>
      </c>
      <c r="AR1476" s="21" t="n">
        <v>0</v>
      </c>
      <c r="AS1476" s="21" t="n">
        <v>0</v>
      </c>
      <c r="AT1476" s="19" t="n"/>
    </row>
    <row r="1477">
      <c r="D1477" s="21" t="n">
        <v>0</v>
      </c>
      <c r="E1477" s="21" t="n">
        <v>0</v>
      </c>
      <c r="F1477" s="21" t="n">
        <v>0</v>
      </c>
      <c r="G1477" s="21" t="n">
        <v>0</v>
      </c>
      <c r="H1477" s="21" t="n">
        <v>0</v>
      </c>
      <c r="I1477" s="21" t="n">
        <v>0</v>
      </c>
      <c r="J1477" s="21" t="n">
        <v>0</v>
      </c>
      <c r="K1477" s="21" t="n">
        <v>0</v>
      </c>
      <c r="L1477" s="21" t="n">
        <v>0</v>
      </c>
      <c r="M1477" s="21" t="n">
        <v>0</v>
      </c>
      <c r="N1477" s="21" t="n">
        <v>0</v>
      </c>
      <c r="O1477" s="21" t="n">
        <v>0</v>
      </c>
      <c r="P1477" s="21">
        <f>-$B$18</f>
        <v/>
      </c>
      <c r="Q1477" s="21">
        <f>-$B$19</f>
        <v/>
      </c>
      <c r="R1477" s="21">
        <f>2*$B$18+$D$1448</f>
        <v/>
      </c>
      <c r="S1477" s="21">
        <f>0</f>
        <v/>
      </c>
      <c r="T1477" s="21">
        <f>-$B$18</f>
        <v/>
      </c>
      <c r="U1477" s="21">
        <f>$B$19</f>
        <v/>
      </c>
      <c r="V1477" s="21" t="n">
        <v>0</v>
      </c>
      <c r="W1477" s="21" t="n">
        <v>0</v>
      </c>
      <c r="X1477" s="21" t="n">
        <v>0</v>
      </c>
      <c r="Y1477" s="21" t="n">
        <v>0</v>
      </c>
      <c r="Z1477" s="21" t="n">
        <v>0</v>
      </c>
      <c r="AA1477" s="21" t="n">
        <v>0</v>
      </c>
      <c r="AB1477" s="21" t="n">
        <v>0</v>
      </c>
      <c r="AC1477" s="21" t="n">
        <v>0</v>
      </c>
      <c r="AD1477" s="21" t="n">
        <v>0</v>
      </c>
      <c r="AE1477" s="21" t="n">
        <v>0</v>
      </c>
      <c r="AF1477" s="21" t="n">
        <v>0</v>
      </c>
      <c r="AG1477" s="21" t="n">
        <v>0</v>
      </c>
      <c r="AH1477" s="21" t="n">
        <v>0</v>
      </c>
      <c r="AI1477" s="21" t="n">
        <v>0</v>
      </c>
      <c r="AJ1477" s="21" t="n">
        <v>0</v>
      </c>
      <c r="AK1477" s="21" t="n">
        <v>0</v>
      </c>
      <c r="AL1477" s="21" t="n">
        <v>0</v>
      </c>
      <c r="AM1477" s="21" t="n">
        <v>0</v>
      </c>
      <c r="AN1477" s="21" t="n">
        <v>0</v>
      </c>
      <c r="AO1477" s="21" t="n">
        <v>0</v>
      </c>
      <c r="AP1477" s="21" t="n">
        <v>0</v>
      </c>
      <c r="AQ1477" s="21" t="n">
        <v>0</v>
      </c>
      <c r="AR1477" s="21" t="n">
        <v>0</v>
      </c>
      <c r="AS1477" s="21" t="n">
        <v>0</v>
      </c>
      <c r="AT1477" s="19" t="n"/>
    </row>
    <row r="1478">
      <c r="D1478" s="21" t="n">
        <v>0</v>
      </c>
      <c r="E1478" s="21" t="n">
        <v>0</v>
      </c>
      <c r="F1478" s="21" t="n">
        <v>0</v>
      </c>
      <c r="G1478" s="21" t="n">
        <v>0</v>
      </c>
      <c r="H1478" s="21" t="n">
        <v>0</v>
      </c>
      <c r="I1478" s="21" t="n">
        <v>0</v>
      </c>
      <c r="J1478" s="21" t="n">
        <v>0</v>
      </c>
      <c r="K1478" s="21" t="n">
        <v>0</v>
      </c>
      <c r="L1478" s="21" t="n">
        <v>0</v>
      </c>
      <c r="M1478" s="21" t="n">
        <v>0</v>
      </c>
      <c r="N1478" s="21" t="n">
        <v>0</v>
      </c>
      <c r="O1478" s="21" t="n">
        <v>0</v>
      </c>
      <c r="P1478" s="21">
        <f>$B$19</f>
        <v/>
      </c>
      <c r="Q1478" s="21">
        <f>$B$21</f>
        <v/>
      </c>
      <c r="R1478" s="21">
        <f>0</f>
        <v/>
      </c>
      <c r="S1478" s="21">
        <f>2*$B$20</f>
        <v/>
      </c>
      <c r="T1478" s="21">
        <f>-$B$19</f>
        <v/>
      </c>
      <c r="U1478" s="21">
        <f>$B$21</f>
        <v/>
      </c>
      <c r="V1478" s="21" t="n">
        <v>0</v>
      </c>
      <c r="W1478" s="21" t="n">
        <v>0</v>
      </c>
      <c r="X1478" s="21" t="n">
        <v>0</v>
      </c>
      <c r="Y1478" s="21" t="n">
        <v>0</v>
      </c>
      <c r="Z1478" s="21" t="n">
        <v>0</v>
      </c>
      <c r="AA1478" s="21" t="n">
        <v>0</v>
      </c>
      <c r="AB1478" s="21" t="n">
        <v>0</v>
      </c>
      <c r="AC1478" s="21" t="n">
        <v>0</v>
      </c>
      <c r="AD1478" s="21" t="n">
        <v>0</v>
      </c>
      <c r="AE1478" s="21" t="n">
        <v>0</v>
      </c>
      <c r="AF1478" s="21" t="n">
        <v>0</v>
      </c>
      <c r="AG1478" s="21" t="n">
        <v>0</v>
      </c>
      <c r="AH1478" s="21" t="n">
        <v>0</v>
      </c>
      <c r="AI1478" s="21" t="n">
        <v>0</v>
      </c>
      <c r="AJ1478" s="21" t="n">
        <v>0</v>
      </c>
      <c r="AK1478" s="21" t="n">
        <v>0</v>
      </c>
      <c r="AL1478" s="21" t="n">
        <v>0</v>
      </c>
      <c r="AM1478" s="21" t="n">
        <v>0</v>
      </c>
      <c r="AN1478" s="21" t="n">
        <v>0</v>
      </c>
      <c r="AO1478" s="21" t="n">
        <v>0</v>
      </c>
      <c r="AP1478" s="21" t="n">
        <v>0</v>
      </c>
      <c r="AQ1478" s="21" t="n">
        <v>0</v>
      </c>
      <c r="AR1478" s="21" t="n">
        <v>0</v>
      </c>
      <c r="AS1478" s="21" t="n">
        <v>0</v>
      </c>
      <c r="AT1478" s="19" t="n"/>
    </row>
    <row r="1479">
      <c r="D1479" s="21" t="n">
        <v>0</v>
      </c>
      <c r="E1479" s="21" t="n">
        <v>0</v>
      </c>
      <c r="F1479" s="21" t="n">
        <v>0</v>
      </c>
      <c r="G1479" s="21" t="n">
        <v>0</v>
      </c>
      <c r="H1479" s="21" t="n">
        <v>0</v>
      </c>
      <c r="I1479" s="21" t="n">
        <v>0</v>
      </c>
      <c r="J1479" s="21" t="n">
        <v>0</v>
      </c>
      <c r="K1479" s="21" t="n">
        <v>0</v>
      </c>
      <c r="L1479" s="21" t="n">
        <v>0</v>
      </c>
      <c r="M1479" s="21" t="n">
        <v>0</v>
      </c>
      <c r="N1479" s="21" t="n">
        <v>0</v>
      </c>
      <c r="O1479" s="21" t="n">
        <v>0</v>
      </c>
      <c r="P1479" s="21" t="n">
        <v>0</v>
      </c>
      <c r="Q1479" s="21" t="n">
        <v>0</v>
      </c>
      <c r="R1479" s="21">
        <f>-$B$18</f>
        <v/>
      </c>
      <c r="S1479" s="21">
        <f>-$B$19</f>
        <v/>
      </c>
      <c r="T1479" s="21">
        <f>2*$B$18+$D$1449</f>
        <v/>
      </c>
      <c r="U1479" s="21">
        <f>0</f>
        <v/>
      </c>
      <c r="V1479" s="21">
        <f>-$B$18</f>
        <v/>
      </c>
      <c r="W1479" s="21">
        <f>$B$19</f>
        <v/>
      </c>
      <c r="X1479" s="21" t="n">
        <v>0</v>
      </c>
      <c r="Y1479" s="21" t="n">
        <v>0</v>
      </c>
      <c r="Z1479" s="21" t="n">
        <v>0</v>
      </c>
      <c r="AA1479" s="21" t="n">
        <v>0</v>
      </c>
      <c r="AB1479" s="21" t="n">
        <v>0</v>
      </c>
      <c r="AC1479" s="21" t="n">
        <v>0</v>
      </c>
      <c r="AD1479" s="21" t="n">
        <v>0</v>
      </c>
      <c r="AE1479" s="21" t="n">
        <v>0</v>
      </c>
      <c r="AF1479" s="21" t="n">
        <v>0</v>
      </c>
      <c r="AG1479" s="21" t="n">
        <v>0</v>
      </c>
      <c r="AH1479" s="21" t="n">
        <v>0</v>
      </c>
      <c r="AI1479" s="21" t="n">
        <v>0</v>
      </c>
      <c r="AJ1479" s="21" t="n">
        <v>0</v>
      </c>
      <c r="AK1479" s="21" t="n">
        <v>0</v>
      </c>
      <c r="AL1479" s="21" t="n">
        <v>0</v>
      </c>
      <c r="AM1479" s="21" t="n">
        <v>0</v>
      </c>
      <c r="AN1479" s="21" t="n">
        <v>0</v>
      </c>
      <c r="AO1479" s="21" t="n">
        <v>0</v>
      </c>
      <c r="AP1479" s="21" t="n">
        <v>0</v>
      </c>
      <c r="AQ1479" s="21" t="n">
        <v>0</v>
      </c>
      <c r="AR1479" s="21" t="n">
        <v>0</v>
      </c>
      <c r="AS1479" s="21" t="n">
        <v>0</v>
      </c>
      <c r="AT1479" s="19" t="n"/>
    </row>
    <row r="1480">
      <c r="D1480" s="21" t="n">
        <v>0</v>
      </c>
      <c r="E1480" s="21" t="n">
        <v>0</v>
      </c>
      <c r="F1480" s="21" t="n">
        <v>0</v>
      </c>
      <c r="G1480" s="21" t="n">
        <v>0</v>
      </c>
      <c r="H1480" s="21" t="n">
        <v>0</v>
      </c>
      <c r="I1480" s="21" t="n">
        <v>0</v>
      </c>
      <c r="J1480" s="21" t="n">
        <v>0</v>
      </c>
      <c r="K1480" s="21" t="n">
        <v>0</v>
      </c>
      <c r="L1480" s="21" t="n">
        <v>0</v>
      </c>
      <c r="M1480" s="21" t="n">
        <v>0</v>
      </c>
      <c r="N1480" s="21" t="n">
        <v>0</v>
      </c>
      <c r="O1480" s="21" t="n">
        <v>0</v>
      </c>
      <c r="P1480" s="21" t="n">
        <v>0</v>
      </c>
      <c r="Q1480" s="21" t="n">
        <v>0</v>
      </c>
      <c r="R1480" s="21">
        <f>$B$19</f>
        <v/>
      </c>
      <c r="S1480" s="21">
        <f>$B$21</f>
        <v/>
      </c>
      <c r="T1480" s="21">
        <f>0</f>
        <v/>
      </c>
      <c r="U1480" s="21">
        <f>2*$B$20</f>
        <v/>
      </c>
      <c r="V1480" s="21">
        <f>-$B$19</f>
        <v/>
      </c>
      <c r="W1480" s="21">
        <f>$B$21</f>
        <v/>
      </c>
      <c r="X1480" s="21" t="n">
        <v>0</v>
      </c>
      <c r="Y1480" s="21" t="n">
        <v>0</v>
      </c>
      <c r="Z1480" s="21" t="n">
        <v>0</v>
      </c>
      <c r="AA1480" s="21" t="n">
        <v>0</v>
      </c>
      <c r="AB1480" s="21" t="n">
        <v>0</v>
      </c>
      <c r="AC1480" s="21" t="n">
        <v>0</v>
      </c>
      <c r="AD1480" s="21" t="n">
        <v>0</v>
      </c>
      <c r="AE1480" s="21" t="n">
        <v>0</v>
      </c>
      <c r="AF1480" s="21" t="n">
        <v>0</v>
      </c>
      <c r="AG1480" s="21" t="n">
        <v>0</v>
      </c>
      <c r="AH1480" s="21" t="n">
        <v>0</v>
      </c>
      <c r="AI1480" s="21" t="n">
        <v>0</v>
      </c>
      <c r="AJ1480" s="21" t="n">
        <v>0</v>
      </c>
      <c r="AK1480" s="21" t="n">
        <v>0</v>
      </c>
      <c r="AL1480" s="21" t="n">
        <v>0</v>
      </c>
      <c r="AM1480" s="21" t="n">
        <v>0</v>
      </c>
      <c r="AN1480" s="21" t="n">
        <v>0</v>
      </c>
      <c r="AO1480" s="21" t="n">
        <v>0</v>
      </c>
      <c r="AP1480" s="21" t="n">
        <v>0</v>
      </c>
      <c r="AQ1480" s="21" t="n">
        <v>0</v>
      </c>
      <c r="AR1480" s="21" t="n">
        <v>0</v>
      </c>
      <c r="AS1480" s="21" t="n">
        <v>0</v>
      </c>
      <c r="AT1480" s="19" t="n"/>
    </row>
    <row r="1481">
      <c r="D1481" s="21" t="n">
        <v>0</v>
      </c>
      <c r="E1481" s="21" t="n">
        <v>0</v>
      </c>
      <c r="F1481" s="21" t="n">
        <v>0</v>
      </c>
      <c r="G1481" s="21" t="n">
        <v>0</v>
      </c>
      <c r="H1481" s="21" t="n">
        <v>0</v>
      </c>
      <c r="I1481" s="21" t="n">
        <v>0</v>
      </c>
      <c r="J1481" s="21" t="n">
        <v>0</v>
      </c>
      <c r="K1481" s="21" t="n">
        <v>0</v>
      </c>
      <c r="L1481" s="21" t="n">
        <v>0</v>
      </c>
      <c r="M1481" s="21" t="n">
        <v>0</v>
      </c>
      <c r="N1481" s="21" t="n">
        <v>0</v>
      </c>
      <c r="O1481" s="21" t="n">
        <v>0</v>
      </c>
      <c r="P1481" s="21" t="n">
        <v>0</v>
      </c>
      <c r="Q1481" s="21" t="n">
        <v>0</v>
      </c>
      <c r="R1481" s="21" t="n">
        <v>0</v>
      </c>
      <c r="S1481" s="21" t="n">
        <v>0</v>
      </c>
      <c r="T1481" s="21">
        <f>-$B$18</f>
        <v/>
      </c>
      <c r="U1481" s="21">
        <f>-$B$19</f>
        <v/>
      </c>
      <c r="V1481" s="21">
        <f>2*$B$18+$D$1450</f>
        <v/>
      </c>
      <c r="W1481" s="21">
        <f>0</f>
        <v/>
      </c>
      <c r="X1481" s="21">
        <f>-$B$18</f>
        <v/>
      </c>
      <c r="Y1481" s="21">
        <f>$B$19</f>
        <v/>
      </c>
      <c r="Z1481" s="21" t="n">
        <v>0</v>
      </c>
      <c r="AA1481" s="21" t="n">
        <v>0</v>
      </c>
      <c r="AB1481" s="21" t="n">
        <v>0</v>
      </c>
      <c r="AC1481" s="21" t="n">
        <v>0</v>
      </c>
      <c r="AD1481" s="21" t="n">
        <v>0</v>
      </c>
      <c r="AE1481" s="21" t="n">
        <v>0</v>
      </c>
      <c r="AF1481" s="21" t="n">
        <v>0</v>
      </c>
      <c r="AG1481" s="21" t="n">
        <v>0</v>
      </c>
      <c r="AH1481" s="21" t="n">
        <v>0</v>
      </c>
      <c r="AI1481" s="21" t="n">
        <v>0</v>
      </c>
      <c r="AJ1481" s="21" t="n">
        <v>0</v>
      </c>
      <c r="AK1481" s="21" t="n">
        <v>0</v>
      </c>
      <c r="AL1481" s="21" t="n">
        <v>0</v>
      </c>
      <c r="AM1481" s="21" t="n">
        <v>0</v>
      </c>
      <c r="AN1481" s="21" t="n">
        <v>0</v>
      </c>
      <c r="AO1481" s="21" t="n">
        <v>0</v>
      </c>
      <c r="AP1481" s="21" t="n">
        <v>0</v>
      </c>
      <c r="AQ1481" s="21" t="n">
        <v>0</v>
      </c>
      <c r="AR1481" s="21" t="n">
        <v>0</v>
      </c>
      <c r="AS1481" s="21" t="n">
        <v>0</v>
      </c>
      <c r="AT1481" s="19" t="n"/>
    </row>
    <row r="1482">
      <c r="D1482" s="21" t="n">
        <v>0</v>
      </c>
      <c r="E1482" s="21" t="n">
        <v>0</v>
      </c>
      <c r="F1482" s="21" t="n">
        <v>0</v>
      </c>
      <c r="G1482" s="21" t="n">
        <v>0</v>
      </c>
      <c r="H1482" s="21" t="n">
        <v>0</v>
      </c>
      <c r="I1482" s="21" t="n">
        <v>0</v>
      </c>
      <c r="J1482" s="21" t="n">
        <v>0</v>
      </c>
      <c r="K1482" s="21" t="n">
        <v>0</v>
      </c>
      <c r="L1482" s="21" t="n">
        <v>0</v>
      </c>
      <c r="M1482" s="21" t="n">
        <v>0</v>
      </c>
      <c r="N1482" s="21" t="n">
        <v>0</v>
      </c>
      <c r="O1482" s="21" t="n">
        <v>0</v>
      </c>
      <c r="P1482" s="21" t="n">
        <v>0</v>
      </c>
      <c r="Q1482" s="21" t="n">
        <v>0</v>
      </c>
      <c r="R1482" s="21" t="n">
        <v>0</v>
      </c>
      <c r="S1482" s="21" t="n">
        <v>0</v>
      </c>
      <c r="T1482" s="21">
        <f>$B$19</f>
        <v/>
      </c>
      <c r="U1482" s="21">
        <f>$B$21</f>
        <v/>
      </c>
      <c r="V1482" s="21">
        <f>0</f>
        <v/>
      </c>
      <c r="W1482" s="21">
        <f>2*$B$20</f>
        <v/>
      </c>
      <c r="X1482" s="21">
        <f>-$B$19</f>
        <v/>
      </c>
      <c r="Y1482" s="21">
        <f>$B$21</f>
        <v/>
      </c>
      <c r="Z1482" s="21" t="n">
        <v>0</v>
      </c>
      <c r="AA1482" s="21" t="n">
        <v>0</v>
      </c>
      <c r="AB1482" s="21" t="n">
        <v>0</v>
      </c>
      <c r="AC1482" s="21" t="n">
        <v>0</v>
      </c>
      <c r="AD1482" s="21" t="n">
        <v>0</v>
      </c>
      <c r="AE1482" s="21" t="n">
        <v>0</v>
      </c>
      <c r="AF1482" s="21" t="n">
        <v>0</v>
      </c>
      <c r="AG1482" s="21" t="n">
        <v>0</v>
      </c>
      <c r="AH1482" s="21" t="n">
        <v>0</v>
      </c>
      <c r="AI1482" s="21" t="n">
        <v>0</v>
      </c>
      <c r="AJ1482" s="21" t="n">
        <v>0</v>
      </c>
      <c r="AK1482" s="21" t="n">
        <v>0</v>
      </c>
      <c r="AL1482" s="21" t="n">
        <v>0</v>
      </c>
      <c r="AM1482" s="21" t="n">
        <v>0</v>
      </c>
      <c r="AN1482" s="21" t="n">
        <v>0</v>
      </c>
      <c r="AO1482" s="21" t="n">
        <v>0</v>
      </c>
      <c r="AP1482" s="21" t="n">
        <v>0</v>
      </c>
      <c r="AQ1482" s="21" t="n">
        <v>0</v>
      </c>
      <c r="AR1482" s="21" t="n">
        <v>0</v>
      </c>
      <c r="AS1482" s="21" t="n">
        <v>0</v>
      </c>
      <c r="AT1482" s="19" t="n"/>
    </row>
    <row r="1483">
      <c r="D1483" s="21" t="n">
        <v>0</v>
      </c>
      <c r="E1483" s="21" t="n">
        <v>0</v>
      </c>
      <c r="F1483" s="21" t="n">
        <v>0</v>
      </c>
      <c r="G1483" s="21" t="n">
        <v>0</v>
      </c>
      <c r="H1483" s="21" t="n">
        <v>0</v>
      </c>
      <c r="I1483" s="21" t="n">
        <v>0</v>
      </c>
      <c r="J1483" s="21" t="n">
        <v>0</v>
      </c>
      <c r="K1483" s="21" t="n">
        <v>0</v>
      </c>
      <c r="L1483" s="21" t="n">
        <v>0</v>
      </c>
      <c r="M1483" s="21" t="n">
        <v>0</v>
      </c>
      <c r="N1483" s="21" t="n">
        <v>0</v>
      </c>
      <c r="O1483" s="21" t="n">
        <v>0</v>
      </c>
      <c r="P1483" s="21" t="n">
        <v>0</v>
      </c>
      <c r="Q1483" s="21" t="n">
        <v>0</v>
      </c>
      <c r="R1483" s="21" t="n">
        <v>0</v>
      </c>
      <c r="S1483" s="21" t="n">
        <v>0</v>
      </c>
      <c r="T1483" s="21" t="n">
        <v>0</v>
      </c>
      <c r="U1483" s="21" t="n">
        <v>0</v>
      </c>
      <c r="V1483" s="21">
        <f>-$B$18</f>
        <v/>
      </c>
      <c r="W1483" s="21">
        <f>-$B$19</f>
        <v/>
      </c>
      <c r="X1483" s="21">
        <f>2*$B$18+$D$1451</f>
        <v/>
      </c>
      <c r="Y1483" s="21">
        <f>0</f>
        <v/>
      </c>
      <c r="Z1483" s="21">
        <f>-$B$18</f>
        <v/>
      </c>
      <c r="AA1483" s="21">
        <f>$B$19</f>
        <v/>
      </c>
      <c r="AB1483" s="21" t="n">
        <v>0</v>
      </c>
      <c r="AC1483" s="21" t="n">
        <v>0</v>
      </c>
      <c r="AD1483" s="21" t="n">
        <v>0</v>
      </c>
      <c r="AE1483" s="21" t="n">
        <v>0</v>
      </c>
      <c r="AF1483" s="21" t="n">
        <v>0</v>
      </c>
      <c r="AG1483" s="21" t="n">
        <v>0</v>
      </c>
      <c r="AH1483" s="21" t="n">
        <v>0</v>
      </c>
      <c r="AI1483" s="21" t="n">
        <v>0</v>
      </c>
      <c r="AJ1483" s="21" t="n">
        <v>0</v>
      </c>
      <c r="AK1483" s="21" t="n">
        <v>0</v>
      </c>
      <c r="AL1483" s="21" t="n">
        <v>0</v>
      </c>
      <c r="AM1483" s="21" t="n">
        <v>0</v>
      </c>
      <c r="AN1483" s="21" t="n">
        <v>0</v>
      </c>
      <c r="AO1483" s="21" t="n">
        <v>0</v>
      </c>
      <c r="AP1483" s="21" t="n">
        <v>0</v>
      </c>
      <c r="AQ1483" s="21" t="n">
        <v>0</v>
      </c>
      <c r="AR1483" s="21" t="n">
        <v>0</v>
      </c>
      <c r="AS1483" s="21" t="n">
        <v>0</v>
      </c>
      <c r="AT1483" s="19" t="n"/>
    </row>
    <row r="1484">
      <c r="D1484" s="21" t="n">
        <v>0</v>
      </c>
      <c r="E1484" s="21" t="n">
        <v>0</v>
      </c>
      <c r="F1484" s="21" t="n">
        <v>0</v>
      </c>
      <c r="G1484" s="21" t="n">
        <v>0</v>
      </c>
      <c r="H1484" s="21" t="n">
        <v>0</v>
      </c>
      <c r="I1484" s="21" t="n">
        <v>0</v>
      </c>
      <c r="J1484" s="21" t="n">
        <v>0</v>
      </c>
      <c r="K1484" s="21" t="n">
        <v>0</v>
      </c>
      <c r="L1484" s="21" t="n">
        <v>0</v>
      </c>
      <c r="M1484" s="21" t="n">
        <v>0</v>
      </c>
      <c r="N1484" s="21" t="n">
        <v>0</v>
      </c>
      <c r="O1484" s="21" t="n">
        <v>0</v>
      </c>
      <c r="P1484" s="21" t="n">
        <v>0</v>
      </c>
      <c r="Q1484" s="21" t="n">
        <v>0</v>
      </c>
      <c r="R1484" s="21" t="n">
        <v>0</v>
      </c>
      <c r="S1484" s="21" t="n">
        <v>0</v>
      </c>
      <c r="T1484" s="21" t="n">
        <v>0</v>
      </c>
      <c r="U1484" s="21" t="n">
        <v>0</v>
      </c>
      <c r="V1484" s="21">
        <f>$B$19</f>
        <v/>
      </c>
      <c r="W1484" s="21">
        <f>$B$21</f>
        <v/>
      </c>
      <c r="X1484" s="21">
        <f>0</f>
        <v/>
      </c>
      <c r="Y1484" s="21">
        <f>2*$B$20</f>
        <v/>
      </c>
      <c r="Z1484" s="21">
        <f>-$B$19</f>
        <v/>
      </c>
      <c r="AA1484" s="21">
        <f>$B$21</f>
        <v/>
      </c>
      <c r="AB1484" s="21" t="n">
        <v>0</v>
      </c>
      <c r="AC1484" s="21" t="n">
        <v>0</v>
      </c>
      <c r="AD1484" s="21" t="n">
        <v>0</v>
      </c>
      <c r="AE1484" s="21" t="n">
        <v>0</v>
      </c>
      <c r="AF1484" s="21" t="n">
        <v>0</v>
      </c>
      <c r="AG1484" s="21" t="n">
        <v>0</v>
      </c>
      <c r="AH1484" s="21" t="n">
        <v>0</v>
      </c>
      <c r="AI1484" s="21" t="n">
        <v>0</v>
      </c>
      <c r="AJ1484" s="21" t="n">
        <v>0</v>
      </c>
      <c r="AK1484" s="21" t="n">
        <v>0</v>
      </c>
      <c r="AL1484" s="21" t="n">
        <v>0</v>
      </c>
      <c r="AM1484" s="21" t="n">
        <v>0</v>
      </c>
      <c r="AN1484" s="21" t="n">
        <v>0</v>
      </c>
      <c r="AO1484" s="21" t="n">
        <v>0</v>
      </c>
      <c r="AP1484" s="21" t="n">
        <v>0</v>
      </c>
      <c r="AQ1484" s="21" t="n">
        <v>0</v>
      </c>
      <c r="AR1484" s="21" t="n">
        <v>0</v>
      </c>
      <c r="AS1484" s="21" t="n">
        <v>0</v>
      </c>
      <c r="AT1484" s="19" t="n"/>
    </row>
    <row r="1485">
      <c r="D1485" s="21" t="n">
        <v>0</v>
      </c>
      <c r="E1485" s="21" t="n">
        <v>0</v>
      </c>
      <c r="F1485" s="21" t="n">
        <v>0</v>
      </c>
      <c r="G1485" s="21" t="n">
        <v>0</v>
      </c>
      <c r="H1485" s="21" t="n">
        <v>0</v>
      </c>
      <c r="I1485" s="21" t="n">
        <v>0</v>
      </c>
      <c r="J1485" s="21" t="n">
        <v>0</v>
      </c>
      <c r="K1485" s="21" t="n">
        <v>0</v>
      </c>
      <c r="L1485" s="21" t="n">
        <v>0</v>
      </c>
      <c r="M1485" s="21" t="n">
        <v>0</v>
      </c>
      <c r="N1485" s="21" t="n">
        <v>0</v>
      </c>
      <c r="O1485" s="21" t="n">
        <v>0</v>
      </c>
      <c r="P1485" s="21" t="n">
        <v>0</v>
      </c>
      <c r="Q1485" s="21" t="n">
        <v>0</v>
      </c>
      <c r="R1485" s="21" t="n">
        <v>0</v>
      </c>
      <c r="S1485" s="21" t="n">
        <v>0</v>
      </c>
      <c r="T1485" s="21" t="n">
        <v>0</v>
      </c>
      <c r="U1485" s="21" t="n">
        <v>0</v>
      </c>
      <c r="V1485" s="21" t="n">
        <v>0</v>
      </c>
      <c r="W1485" s="21" t="n">
        <v>0</v>
      </c>
      <c r="X1485" s="21">
        <f>-$B$18</f>
        <v/>
      </c>
      <c r="Y1485" s="21">
        <f>-$B$19</f>
        <v/>
      </c>
      <c r="Z1485" s="21">
        <f>2*$B$18+$D$1452</f>
        <v/>
      </c>
      <c r="AA1485" s="21">
        <f>0</f>
        <v/>
      </c>
      <c r="AB1485" s="21">
        <f>-$B$18</f>
        <v/>
      </c>
      <c r="AC1485" s="21">
        <f>$B$19</f>
        <v/>
      </c>
      <c r="AD1485" s="21" t="n">
        <v>0</v>
      </c>
      <c r="AE1485" s="21" t="n">
        <v>0</v>
      </c>
      <c r="AF1485" s="21" t="n">
        <v>0</v>
      </c>
      <c r="AG1485" s="21" t="n">
        <v>0</v>
      </c>
      <c r="AH1485" s="21" t="n">
        <v>0</v>
      </c>
      <c r="AI1485" s="21" t="n">
        <v>0</v>
      </c>
      <c r="AJ1485" s="21" t="n">
        <v>0</v>
      </c>
      <c r="AK1485" s="21" t="n">
        <v>0</v>
      </c>
      <c r="AL1485" s="21" t="n">
        <v>0</v>
      </c>
      <c r="AM1485" s="21" t="n">
        <v>0</v>
      </c>
      <c r="AN1485" s="21" t="n">
        <v>0</v>
      </c>
      <c r="AO1485" s="21" t="n">
        <v>0</v>
      </c>
      <c r="AP1485" s="21" t="n">
        <v>0</v>
      </c>
      <c r="AQ1485" s="21" t="n">
        <v>0</v>
      </c>
      <c r="AR1485" s="21" t="n">
        <v>0</v>
      </c>
      <c r="AS1485" s="21" t="n">
        <v>0</v>
      </c>
      <c r="AT1485" s="19" t="n"/>
    </row>
    <row r="1486">
      <c r="D1486" s="21" t="n">
        <v>0</v>
      </c>
      <c r="E1486" s="21" t="n">
        <v>0</v>
      </c>
      <c r="F1486" s="21" t="n">
        <v>0</v>
      </c>
      <c r="G1486" s="21" t="n">
        <v>0</v>
      </c>
      <c r="H1486" s="21" t="n">
        <v>0</v>
      </c>
      <c r="I1486" s="21" t="n">
        <v>0</v>
      </c>
      <c r="J1486" s="21" t="n">
        <v>0</v>
      </c>
      <c r="K1486" s="21" t="n">
        <v>0</v>
      </c>
      <c r="L1486" s="21" t="n">
        <v>0</v>
      </c>
      <c r="M1486" s="21" t="n">
        <v>0</v>
      </c>
      <c r="N1486" s="21" t="n">
        <v>0</v>
      </c>
      <c r="O1486" s="21" t="n">
        <v>0</v>
      </c>
      <c r="P1486" s="21" t="n">
        <v>0</v>
      </c>
      <c r="Q1486" s="21" t="n">
        <v>0</v>
      </c>
      <c r="R1486" s="21" t="n">
        <v>0</v>
      </c>
      <c r="S1486" s="21" t="n">
        <v>0</v>
      </c>
      <c r="T1486" s="21" t="n">
        <v>0</v>
      </c>
      <c r="U1486" s="21" t="n">
        <v>0</v>
      </c>
      <c r="V1486" s="21" t="n">
        <v>0</v>
      </c>
      <c r="W1486" s="21" t="n">
        <v>0</v>
      </c>
      <c r="X1486" s="21">
        <f>$B$19</f>
        <v/>
      </c>
      <c r="Y1486" s="21">
        <f>$B$21</f>
        <v/>
      </c>
      <c r="Z1486" s="21">
        <f>0</f>
        <v/>
      </c>
      <c r="AA1486" s="21">
        <f>2*$B$20</f>
        <v/>
      </c>
      <c r="AB1486" s="21">
        <f>-$B$19</f>
        <v/>
      </c>
      <c r="AC1486" s="21">
        <f>$B$21</f>
        <v/>
      </c>
      <c r="AD1486" s="21" t="n">
        <v>0</v>
      </c>
      <c r="AE1486" s="21" t="n">
        <v>0</v>
      </c>
      <c r="AF1486" s="21" t="n">
        <v>0</v>
      </c>
      <c r="AG1486" s="21" t="n">
        <v>0</v>
      </c>
      <c r="AH1486" s="21" t="n">
        <v>0</v>
      </c>
      <c r="AI1486" s="21" t="n">
        <v>0</v>
      </c>
      <c r="AJ1486" s="21" t="n">
        <v>0</v>
      </c>
      <c r="AK1486" s="21" t="n">
        <v>0</v>
      </c>
      <c r="AL1486" s="21" t="n">
        <v>0</v>
      </c>
      <c r="AM1486" s="21" t="n">
        <v>0</v>
      </c>
      <c r="AN1486" s="21" t="n">
        <v>0</v>
      </c>
      <c r="AO1486" s="21" t="n">
        <v>0</v>
      </c>
      <c r="AP1486" s="21" t="n">
        <v>0</v>
      </c>
      <c r="AQ1486" s="21" t="n">
        <v>0</v>
      </c>
      <c r="AR1486" s="21" t="n">
        <v>0</v>
      </c>
      <c r="AS1486" s="21" t="n">
        <v>0</v>
      </c>
      <c r="AT1486" s="19" t="n"/>
    </row>
    <row r="1487">
      <c r="D1487" s="21" t="n">
        <v>0</v>
      </c>
      <c r="E1487" s="21" t="n">
        <v>0</v>
      </c>
      <c r="F1487" s="21" t="n">
        <v>0</v>
      </c>
      <c r="G1487" s="21" t="n">
        <v>0</v>
      </c>
      <c r="H1487" s="21" t="n">
        <v>0</v>
      </c>
      <c r="I1487" s="21" t="n">
        <v>0</v>
      </c>
      <c r="J1487" s="21" t="n">
        <v>0</v>
      </c>
      <c r="K1487" s="21" t="n">
        <v>0</v>
      </c>
      <c r="L1487" s="21" t="n">
        <v>0</v>
      </c>
      <c r="M1487" s="21" t="n">
        <v>0</v>
      </c>
      <c r="N1487" s="21" t="n">
        <v>0</v>
      </c>
      <c r="O1487" s="21" t="n">
        <v>0</v>
      </c>
      <c r="P1487" s="21" t="n">
        <v>0</v>
      </c>
      <c r="Q1487" s="21" t="n">
        <v>0</v>
      </c>
      <c r="R1487" s="21" t="n">
        <v>0</v>
      </c>
      <c r="S1487" s="21" t="n">
        <v>0</v>
      </c>
      <c r="T1487" s="21" t="n">
        <v>0</v>
      </c>
      <c r="U1487" s="21" t="n">
        <v>0</v>
      </c>
      <c r="V1487" s="21" t="n">
        <v>0</v>
      </c>
      <c r="W1487" s="21" t="n">
        <v>0</v>
      </c>
      <c r="X1487" s="21" t="n">
        <v>0</v>
      </c>
      <c r="Y1487" s="21" t="n">
        <v>0</v>
      </c>
      <c r="Z1487" s="21">
        <f>-$B$18</f>
        <v/>
      </c>
      <c r="AA1487" s="21">
        <f>-$B$19</f>
        <v/>
      </c>
      <c r="AB1487" s="21">
        <f>2*$B$18+$D$1453</f>
        <v/>
      </c>
      <c r="AC1487" s="21">
        <f>0</f>
        <v/>
      </c>
      <c r="AD1487" s="21">
        <f>-$B$18</f>
        <v/>
      </c>
      <c r="AE1487" s="21">
        <f>$B$19</f>
        <v/>
      </c>
      <c r="AF1487" s="21" t="n">
        <v>0</v>
      </c>
      <c r="AG1487" s="21" t="n">
        <v>0</v>
      </c>
      <c r="AH1487" s="21" t="n">
        <v>0</v>
      </c>
      <c r="AI1487" s="21" t="n">
        <v>0</v>
      </c>
      <c r="AJ1487" s="21" t="n">
        <v>0</v>
      </c>
      <c r="AK1487" s="21" t="n">
        <v>0</v>
      </c>
      <c r="AL1487" s="21" t="n">
        <v>0</v>
      </c>
      <c r="AM1487" s="21" t="n">
        <v>0</v>
      </c>
      <c r="AN1487" s="21" t="n">
        <v>0</v>
      </c>
      <c r="AO1487" s="21" t="n">
        <v>0</v>
      </c>
      <c r="AP1487" s="21" t="n">
        <v>0</v>
      </c>
      <c r="AQ1487" s="21" t="n">
        <v>0</v>
      </c>
      <c r="AR1487" s="21" t="n">
        <v>0</v>
      </c>
      <c r="AS1487" s="21" t="n">
        <v>0</v>
      </c>
      <c r="AT1487" s="19" t="n"/>
    </row>
    <row r="1488">
      <c r="D1488" s="21" t="n">
        <v>0</v>
      </c>
      <c r="E1488" s="21" t="n">
        <v>0</v>
      </c>
      <c r="F1488" s="21" t="n">
        <v>0</v>
      </c>
      <c r="G1488" s="21" t="n">
        <v>0</v>
      </c>
      <c r="H1488" s="21" t="n">
        <v>0</v>
      </c>
      <c r="I1488" s="21" t="n">
        <v>0</v>
      </c>
      <c r="J1488" s="21" t="n">
        <v>0</v>
      </c>
      <c r="K1488" s="21" t="n">
        <v>0</v>
      </c>
      <c r="L1488" s="21" t="n">
        <v>0</v>
      </c>
      <c r="M1488" s="21" t="n">
        <v>0</v>
      </c>
      <c r="N1488" s="21" t="n">
        <v>0</v>
      </c>
      <c r="O1488" s="21" t="n">
        <v>0</v>
      </c>
      <c r="P1488" s="21" t="n">
        <v>0</v>
      </c>
      <c r="Q1488" s="21" t="n">
        <v>0</v>
      </c>
      <c r="R1488" s="21" t="n">
        <v>0</v>
      </c>
      <c r="S1488" s="21" t="n">
        <v>0</v>
      </c>
      <c r="T1488" s="21" t="n">
        <v>0</v>
      </c>
      <c r="U1488" s="21" t="n">
        <v>0</v>
      </c>
      <c r="V1488" s="21" t="n">
        <v>0</v>
      </c>
      <c r="W1488" s="21" t="n">
        <v>0</v>
      </c>
      <c r="X1488" s="21" t="n">
        <v>0</v>
      </c>
      <c r="Y1488" s="21" t="n">
        <v>0</v>
      </c>
      <c r="Z1488" s="21">
        <f>$B$19</f>
        <v/>
      </c>
      <c r="AA1488" s="21">
        <f>$B$21</f>
        <v/>
      </c>
      <c r="AB1488" s="21">
        <f>0</f>
        <v/>
      </c>
      <c r="AC1488" s="21">
        <f>2*$B$20</f>
        <v/>
      </c>
      <c r="AD1488" s="21">
        <f>-$B$19</f>
        <v/>
      </c>
      <c r="AE1488" s="21">
        <f>$B$21</f>
        <v/>
      </c>
      <c r="AF1488" s="21" t="n">
        <v>0</v>
      </c>
      <c r="AG1488" s="21" t="n">
        <v>0</v>
      </c>
      <c r="AH1488" s="21" t="n">
        <v>0</v>
      </c>
      <c r="AI1488" s="21" t="n">
        <v>0</v>
      </c>
      <c r="AJ1488" s="21" t="n">
        <v>0</v>
      </c>
      <c r="AK1488" s="21" t="n">
        <v>0</v>
      </c>
      <c r="AL1488" s="21" t="n">
        <v>0</v>
      </c>
      <c r="AM1488" s="21" t="n">
        <v>0</v>
      </c>
      <c r="AN1488" s="21" t="n">
        <v>0</v>
      </c>
      <c r="AO1488" s="21" t="n">
        <v>0</v>
      </c>
      <c r="AP1488" s="21" t="n">
        <v>0</v>
      </c>
      <c r="AQ1488" s="21" t="n">
        <v>0</v>
      </c>
      <c r="AR1488" s="21" t="n">
        <v>0</v>
      </c>
      <c r="AS1488" s="21" t="n">
        <v>0</v>
      </c>
      <c r="AT1488" s="19" t="n"/>
    </row>
    <row r="1489">
      <c r="D1489" s="21" t="n">
        <v>0</v>
      </c>
      <c r="E1489" s="21" t="n">
        <v>0</v>
      </c>
      <c r="F1489" s="21" t="n">
        <v>0</v>
      </c>
      <c r="G1489" s="21" t="n">
        <v>0</v>
      </c>
      <c r="H1489" s="21" t="n">
        <v>0</v>
      </c>
      <c r="I1489" s="21" t="n">
        <v>0</v>
      </c>
      <c r="J1489" s="21" t="n">
        <v>0</v>
      </c>
      <c r="K1489" s="21" t="n">
        <v>0</v>
      </c>
      <c r="L1489" s="21" t="n">
        <v>0</v>
      </c>
      <c r="M1489" s="21" t="n">
        <v>0</v>
      </c>
      <c r="N1489" s="21" t="n">
        <v>0</v>
      </c>
      <c r="O1489" s="21" t="n">
        <v>0</v>
      </c>
      <c r="P1489" s="21" t="n">
        <v>0</v>
      </c>
      <c r="Q1489" s="21" t="n">
        <v>0</v>
      </c>
      <c r="R1489" s="21" t="n">
        <v>0</v>
      </c>
      <c r="S1489" s="21" t="n">
        <v>0</v>
      </c>
      <c r="T1489" s="21" t="n">
        <v>0</v>
      </c>
      <c r="U1489" s="21" t="n">
        <v>0</v>
      </c>
      <c r="V1489" s="21" t="n">
        <v>0</v>
      </c>
      <c r="W1489" s="21" t="n">
        <v>0</v>
      </c>
      <c r="X1489" s="21" t="n">
        <v>0</v>
      </c>
      <c r="Y1489" s="21" t="n">
        <v>0</v>
      </c>
      <c r="Z1489" s="21" t="n">
        <v>0</v>
      </c>
      <c r="AA1489" s="21" t="n">
        <v>0</v>
      </c>
      <c r="AB1489" s="21">
        <f>-$B$18</f>
        <v/>
      </c>
      <c r="AC1489" s="21">
        <f>-$B$19</f>
        <v/>
      </c>
      <c r="AD1489" s="21">
        <f>2*$B$18+$D$1454</f>
        <v/>
      </c>
      <c r="AE1489" s="21">
        <f>0</f>
        <v/>
      </c>
      <c r="AF1489" s="21">
        <f>-$B$18</f>
        <v/>
      </c>
      <c r="AG1489" s="21">
        <f>$B$19</f>
        <v/>
      </c>
      <c r="AH1489" s="21" t="n">
        <v>0</v>
      </c>
      <c r="AI1489" s="21" t="n">
        <v>0</v>
      </c>
      <c r="AJ1489" s="21" t="n">
        <v>0</v>
      </c>
      <c r="AK1489" s="21" t="n">
        <v>0</v>
      </c>
      <c r="AL1489" s="21" t="n">
        <v>0</v>
      </c>
      <c r="AM1489" s="21" t="n">
        <v>0</v>
      </c>
      <c r="AN1489" s="21" t="n">
        <v>0</v>
      </c>
      <c r="AO1489" s="21" t="n">
        <v>0</v>
      </c>
      <c r="AP1489" s="21" t="n">
        <v>0</v>
      </c>
      <c r="AQ1489" s="21" t="n">
        <v>0</v>
      </c>
      <c r="AR1489" s="21" t="n">
        <v>0</v>
      </c>
      <c r="AS1489" s="21" t="n">
        <v>0</v>
      </c>
      <c r="AT1489" s="19" t="n"/>
    </row>
    <row r="1490">
      <c r="D1490" s="21" t="n">
        <v>0</v>
      </c>
      <c r="E1490" s="21" t="n">
        <v>0</v>
      </c>
      <c r="F1490" s="21" t="n">
        <v>0</v>
      </c>
      <c r="G1490" s="21" t="n">
        <v>0</v>
      </c>
      <c r="H1490" s="21" t="n">
        <v>0</v>
      </c>
      <c r="I1490" s="21" t="n">
        <v>0</v>
      </c>
      <c r="J1490" s="21" t="n">
        <v>0</v>
      </c>
      <c r="K1490" s="21" t="n">
        <v>0</v>
      </c>
      <c r="L1490" s="21" t="n">
        <v>0</v>
      </c>
      <c r="M1490" s="21" t="n">
        <v>0</v>
      </c>
      <c r="N1490" s="21" t="n">
        <v>0</v>
      </c>
      <c r="O1490" s="21" t="n">
        <v>0</v>
      </c>
      <c r="P1490" s="21" t="n">
        <v>0</v>
      </c>
      <c r="Q1490" s="21" t="n">
        <v>0</v>
      </c>
      <c r="R1490" s="21" t="n">
        <v>0</v>
      </c>
      <c r="S1490" s="21" t="n">
        <v>0</v>
      </c>
      <c r="T1490" s="21" t="n">
        <v>0</v>
      </c>
      <c r="U1490" s="21" t="n">
        <v>0</v>
      </c>
      <c r="V1490" s="21" t="n">
        <v>0</v>
      </c>
      <c r="W1490" s="21" t="n">
        <v>0</v>
      </c>
      <c r="X1490" s="21" t="n">
        <v>0</v>
      </c>
      <c r="Y1490" s="21" t="n">
        <v>0</v>
      </c>
      <c r="Z1490" s="21" t="n">
        <v>0</v>
      </c>
      <c r="AA1490" s="21" t="n">
        <v>0</v>
      </c>
      <c r="AB1490" s="21">
        <f>$B$19</f>
        <v/>
      </c>
      <c r="AC1490" s="21">
        <f>$B$21</f>
        <v/>
      </c>
      <c r="AD1490" s="21">
        <f>0</f>
        <v/>
      </c>
      <c r="AE1490" s="21">
        <f>2*$B$20</f>
        <v/>
      </c>
      <c r="AF1490" s="21">
        <f>-$B$19</f>
        <v/>
      </c>
      <c r="AG1490" s="21">
        <f>$B$21</f>
        <v/>
      </c>
      <c r="AH1490" s="21" t="n">
        <v>0</v>
      </c>
      <c r="AI1490" s="21" t="n">
        <v>0</v>
      </c>
      <c r="AJ1490" s="21" t="n">
        <v>0</v>
      </c>
      <c r="AK1490" s="21" t="n">
        <v>0</v>
      </c>
      <c r="AL1490" s="21" t="n">
        <v>0</v>
      </c>
      <c r="AM1490" s="21" t="n">
        <v>0</v>
      </c>
      <c r="AN1490" s="21" t="n">
        <v>0</v>
      </c>
      <c r="AO1490" s="21" t="n">
        <v>0</v>
      </c>
      <c r="AP1490" s="21" t="n">
        <v>0</v>
      </c>
      <c r="AQ1490" s="21" t="n">
        <v>0</v>
      </c>
      <c r="AR1490" s="21" t="n">
        <v>0</v>
      </c>
      <c r="AS1490" s="21" t="n">
        <v>0</v>
      </c>
      <c r="AT1490" s="19" t="n"/>
    </row>
    <row r="1491">
      <c r="D1491" s="21" t="n">
        <v>0</v>
      </c>
      <c r="E1491" s="21" t="n">
        <v>0</v>
      </c>
      <c r="F1491" s="21" t="n">
        <v>0</v>
      </c>
      <c r="G1491" s="21" t="n">
        <v>0</v>
      </c>
      <c r="H1491" s="21" t="n">
        <v>0</v>
      </c>
      <c r="I1491" s="21" t="n">
        <v>0</v>
      </c>
      <c r="J1491" s="21" t="n">
        <v>0</v>
      </c>
      <c r="K1491" s="21" t="n">
        <v>0</v>
      </c>
      <c r="L1491" s="21" t="n">
        <v>0</v>
      </c>
      <c r="M1491" s="21" t="n">
        <v>0</v>
      </c>
      <c r="N1491" s="21" t="n">
        <v>0</v>
      </c>
      <c r="O1491" s="21" t="n">
        <v>0</v>
      </c>
      <c r="P1491" s="21" t="n">
        <v>0</v>
      </c>
      <c r="Q1491" s="21" t="n">
        <v>0</v>
      </c>
      <c r="R1491" s="21" t="n">
        <v>0</v>
      </c>
      <c r="S1491" s="21" t="n">
        <v>0</v>
      </c>
      <c r="T1491" s="21" t="n">
        <v>0</v>
      </c>
      <c r="U1491" s="21" t="n">
        <v>0</v>
      </c>
      <c r="V1491" s="21" t="n">
        <v>0</v>
      </c>
      <c r="W1491" s="21" t="n">
        <v>0</v>
      </c>
      <c r="X1491" s="21" t="n">
        <v>0</v>
      </c>
      <c r="Y1491" s="21" t="n">
        <v>0</v>
      </c>
      <c r="Z1491" s="21" t="n">
        <v>0</v>
      </c>
      <c r="AA1491" s="21" t="n">
        <v>0</v>
      </c>
      <c r="AB1491" s="21" t="n">
        <v>0</v>
      </c>
      <c r="AC1491" s="21" t="n">
        <v>0</v>
      </c>
      <c r="AD1491" s="21">
        <f>-$B$18</f>
        <v/>
      </c>
      <c r="AE1491" s="21">
        <f>-$B$19</f>
        <v/>
      </c>
      <c r="AF1491" s="21">
        <f>2*$B$18+$D$1455</f>
        <v/>
      </c>
      <c r="AG1491" s="21">
        <f>0</f>
        <v/>
      </c>
      <c r="AH1491" s="21">
        <f>-$B$18</f>
        <v/>
      </c>
      <c r="AI1491" s="21">
        <f>$B$19</f>
        <v/>
      </c>
      <c r="AJ1491" s="21" t="n">
        <v>0</v>
      </c>
      <c r="AK1491" s="21" t="n">
        <v>0</v>
      </c>
      <c r="AL1491" s="21" t="n">
        <v>0</v>
      </c>
      <c r="AM1491" s="21" t="n">
        <v>0</v>
      </c>
      <c r="AN1491" s="21" t="n">
        <v>0</v>
      </c>
      <c r="AO1491" s="21" t="n">
        <v>0</v>
      </c>
      <c r="AP1491" s="21" t="n">
        <v>0</v>
      </c>
      <c r="AQ1491" s="21" t="n">
        <v>0</v>
      </c>
      <c r="AR1491" s="21" t="n">
        <v>0</v>
      </c>
      <c r="AS1491" s="21" t="n">
        <v>0</v>
      </c>
      <c r="AT1491" s="19" t="n"/>
    </row>
    <row r="1492">
      <c r="D1492" s="21" t="n">
        <v>0</v>
      </c>
      <c r="E1492" s="21" t="n">
        <v>0</v>
      </c>
      <c r="F1492" s="21" t="n">
        <v>0</v>
      </c>
      <c r="G1492" s="21" t="n">
        <v>0</v>
      </c>
      <c r="H1492" s="21" t="n">
        <v>0</v>
      </c>
      <c r="I1492" s="21" t="n">
        <v>0</v>
      </c>
      <c r="J1492" s="21" t="n">
        <v>0</v>
      </c>
      <c r="K1492" s="21" t="n">
        <v>0</v>
      </c>
      <c r="L1492" s="21" t="n">
        <v>0</v>
      </c>
      <c r="M1492" s="21" t="n">
        <v>0</v>
      </c>
      <c r="N1492" s="21" t="n">
        <v>0</v>
      </c>
      <c r="O1492" s="21" t="n">
        <v>0</v>
      </c>
      <c r="P1492" s="21" t="n">
        <v>0</v>
      </c>
      <c r="Q1492" s="21" t="n">
        <v>0</v>
      </c>
      <c r="R1492" s="21" t="n">
        <v>0</v>
      </c>
      <c r="S1492" s="21" t="n">
        <v>0</v>
      </c>
      <c r="T1492" s="21" t="n">
        <v>0</v>
      </c>
      <c r="U1492" s="21" t="n">
        <v>0</v>
      </c>
      <c r="V1492" s="21" t="n">
        <v>0</v>
      </c>
      <c r="W1492" s="21" t="n">
        <v>0</v>
      </c>
      <c r="X1492" s="21" t="n">
        <v>0</v>
      </c>
      <c r="Y1492" s="21" t="n">
        <v>0</v>
      </c>
      <c r="Z1492" s="21" t="n">
        <v>0</v>
      </c>
      <c r="AA1492" s="21" t="n">
        <v>0</v>
      </c>
      <c r="AB1492" s="21" t="n">
        <v>0</v>
      </c>
      <c r="AC1492" s="21" t="n">
        <v>0</v>
      </c>
      <c r="AD1492" s="21">
        <f>$B$19</f>
        <v/>
      </c>
      <c r="AE1492" s="21">
        <f>$B$21</f>
        <v/>
      </c>
      <c r="AF1492" s="21">
        <f>0</f>
        <v/>
      </c>
      <c r="AG1492" s="21">
        <f>2*$B$20</f>
        <v/>
      </c>
      <c r="AH1492" s="21">
        <f>-$B$19</f>
        <v/>
      </c>
      <c r="AI1492" s="21">
        <f>$B$21</f>
        <v/>
      </c>
      <c r="AJ1492" s="21" t="n">
        <v>0</v>
      </c>
      <c r="AK1492" s="21" t="n">
        <v>0</v>
      </c>
      <c r="AL1492" s="21" t="n">
        <v>0</v>
      </c>
      <c r="AM1492" s="21" t="n">
        <v>0</v>
      </c>
      <c r="AN1492" s="21" t="n">
        <v>0</v>
      </c>
      <c r="AO1492" s="21" t="n">
        <v>0</v>
      </c>
      <c r="AP1492" s="21" t="n">
        <v>0</v>
      </c>
      <c r="AQ1492" s="21" t="n">
        <v>0</v>
      </c>
      <c r="AR1492" s="21" t="n">
        <v>0</v>
      </c>
      <c r="AS1492" s="21" t="n">
        <v>0</v>
      </c>
      <c r="AT1492" s="19" t="n"/>
    </row>
    <row r="1493">
      <c r="D1493" s="21" t="n">
        <v>0</v>
      </c>
      <c r="E1493" s="21" t="n">
        <v>0</v>
      </c>
      <c r="F1493" s="21" t="n">
        <v>0</v>
      </c>
      <c r="G1493" s="21" t="n">
        <v>0</v>
      </c>
      <c r="H1493" s="21" t="n">
        <v>0</v>
      </c>
      <c r="I1493" s="21" t="n">
        <v>0</v>
      </c>
      <c r="J1493" s="21" t="n">
        <v>0</v>
      </c>
      <c r="K1493" s="21" t="n">
        <v>0</v>
      </c>
      <c r="L1493" s="21" t="n">
        <v>0</v>
      </c>
      <c r="M1493" s="21" t="n">
        <v>0</v>
      </c>
      <c r="N1493" s="21" t="n">
        <v>0</v>
      </c>
      <c r="O1493" s="21" t="n">
        <v>0</v>
      </c>
      <c r="P1493" s="21" t="n">
        <v>0</v>
      </c>
      <c r="Q1493" s="21" t="n">
        <v>0</v>
      </c>
      <c r="R1493" s="21" t="n">
        <v>0</v>
      </c>
      <c r="S1493" s="21" t="n">
        <v>0</v>
      </c>
      <c r="T1493" s="21" t="n">
        <v>0</v>
      </c>
      <c r="U1493" s="21" t="n">
        <v>0</v>
      </c>
      <c r="V1493" s="21" t="n">
        <v>0</v>
      </c>
      <c r="W1493" s="21" t="n">
        <v>0</v>
      </c>
      <c r="X1493" s="21" t="n">
        <v>0</v>
      </c>
      <c r="Y1493" s="21" t="n">
        <v>0</v>
      </c>
      <c r="Z1493" s="21" t="n">
        <v>0</v>
      </c>
      <c r="AA1493" s="21" t="n">
        <v>0</v>
      </c>
      <c r="AB1493" s="21" t="n">
        <v>0</v>
      </c>
      <c r="AC1493" s="21" t="n">
        <v>0</v>
      </c>
      <c r="AD1493" s="21" t="n">
        <v>0</v>
      </c>
      <c r="AE1493" s="21" t="n">
        <v>0</v>
      </c>
      <c r="AF1493" s="21">
        <f>-$B$18</f>
        <v/>
      </c>
      <c r="AG1493" s="21">
        <f>-$B$19</f>
        <v/>
      </c>
      <c r="AH1493" s="21">
        <f>2*$B$18+$D$1456</f>
        <v/>
      </c>
      <c r="AI1493" s="21">
        <f>0</f>
        <v/>
      </c>
      <c r="AJ1493" s="21">
        <f>-$B$18</f>
        <v/>
      </c>
      <c r="AK1493" s="21">
        <f>$B$19</f>
        <v/>
      </c>
      <c r="AL1493" s="21" t="n">
        <v>0</v>
      </c>
      <c r="AM1493" s="21" t="n">
        <v>0</v>
      </c>
      <c r="AN1493" s="21" t="n">
        <v>0</v>
      </c>
      <c r="AO1493" s="21" t="n">
        <v>0</v>
      </c>
      <c r="AP1493" s="21" t="n">
        <v>0</v>
      </c>
      <c r="AQ1493" s="21" t="n">
        <v>0</v>
      </c>
      <c r="AR1493" s="21" t="n">
        <v>0</v>
      </c>
      <c r="AS1493" s="21" t="n">
        <v>0</v>
      </c>
      <c r="AT1493" s="19" t="n"/>
    </row>
    <row r="1494">
      <c r="D1494" s="21" t="n">
        <v>0</v>
      </c>
      <c r="E1494" s="21" t="n">
        <v>0</v>
      </c>
      <c r="F1494" s="21" t="n">
        <v>0</v>
      </c>
      <c r="G1494" s="21" t="n">
        <v>0</v>
      </c>
      <c r="H1494" s="21" t="n">
        <v>0</v>
      </c>
      <c r="I1494" s="21" t="n">
        <v>0</v>
      </c>
      <c r="J1494" s="21" t="n">
        <v>0</v>
      </c>
      <c r="K1494" s="21" t="n">
        <v>0</v>
      </c>
      <c r="L1494" s="21" t="n">
        <v>0</v>
      </c>
      <c r="M1494" s="21" t="n">
        <v>0</v>
      </c>
      <c r="N1494" s="21" t="n">
        <v>0</v>
      </c>
      <c r="O1494" s="21" t="n">
        <v>0</v>
      </c>
      <c r="P1494" s="21" t="n">
        <v>0</v>
      </c>
      <c r="Q1494" s="21" t="n">
        <v>0</v>
      </c>
      <c r="R1494" s="21" t="n">
        <v>0</v>
      </c>
      <c r="S1494" s="21" t="n">
        <v>0</v>
      </c>
      <c r="T1494" s="21" t="n">
        <v>0</v>
      </c>
      <c r="U1494" s="21" t="n">
        <v>0</v>
      </c>
      <c r="V1494" s="21" t="n">
        <v>0</v>
      </c>
      <c r="W1494" s="21" t="n">
        <v>0</v>
      </c>
      <c r="X1494" s="21" t="n">
        <v>0</v>
      </c>
      <c r="Y1494" s="21" t="n">
        <v>0</v>
      </c>
      <c r="Z1494" s="21" t="n">
        <v>0</v>
      </c>
      <c r="AA1494" s="21" t="n">
        <v>0</v>
      </c>
      <c r="AB1494" s="21" t="n">
        <v>0</v>
      </c>
      <c r="AC1494" s="21" t="n">
        <v>0</v>
      </c>
      <c r="AD1494" s="21" t="n">
        <v>0</v>
      </c>
      <c r="AE1494" s="21" t="n">
        <v>0</v>
      </c>
      <c r="AF1494" s="21">
        <f>$B$19</f>
        <v/>
      </c>
      <c r="AG1494" s="21">
        <f>$B$21</f>
        <v/>
      </c>
      <c r="AH1494" s="21">
        <f>0</f>
        <v/>
      </c>
      <c r="AI1494" s="21">
        <f>2*$B$20</f>
        <v/>
      </c>
      <c r="AJ1494" s="21">
        <f>-$B$19</f>
        <v/>
      </c>
      <c r="AK1494" s="21">
        <f>$B$21</f>
        <v/>
      </c>
      <c r="AL1494" s="21" t="n">
        <v>0</v>
      </c>
      <c r="AM1494" s="21" t="n">
        <v>0</v>
      </c>
      <c r="AN1494" s="21" t="n">
        <v>0</v>
      </c>
      <c r="AO1494" s="21" t="n">
        <v>0</v>
      </c>
      <c r="AP1494" s="21" t="n">
        <v>0</v>
      </c>
      <c r="AQ1494" s="21" t="n">
        <v>0</v>
      </c>
      <c r="AR1494" s="21" t="n">
        <v>0</v>
      </c>
      <c r="AS1494" s="21" t="n">
        <v>0</v>
      </c>
      <c r="AT1494" s="19" t="n"/>
    </row>
    <row r="1495">
      <c r="D1495" s="21" t="n">
        <v>0</v>
      </c>
      <c r="E1495" s="21" t="n">
        <v>0</v>
      </c>
      <c r="F1495" s="21" t="n">
        <v>0</v>
      </c>
      <c r="G1495" s="21" t="n">
        <v>0</v>
      </c>
      <c r="H1495" s="21" t="n">
        <v>0</v>
      </c>
      <c r="I1495" s="21" t="n">
        <v>0</v>
      </c>
      <c r="J1495" s="21" t="n">
        <v>0</v>
      </c>
      <c r="K1495" s="21" t="n">
        <v>0</v>
      </c>
      <c r="L1495" s="21" t="n">
        <v>0</v>
      </c>
      <c r="M1495" s="21" t="n">
        <v>0</v>
      </c>
      <c r="N1495" s="21" t="n">
        <v>0</v>
      </c>
      <c r="O1495" s="21" t="n">
        <v>0</v>
      </c>
      <c r="P1495" s="21" t="n">
        <v>0</v>
      </c>
      <c r="Q1495" s="21" t="n">
        <v>0</v>
      </c>
      <c r="R1495" s="21" t="n">
        <v>0</v>
      </c>
      <c r="S1495" s="21" t="n">
        <v>0</v>
      </c>
      <c r="T1495" s="21" t="n">
        <v>0</v>
      </c>
      <c r="U1495" s="21" t="n">
        <v>0</v>
      </c>
      <c r="V1495" s="21" t="n">
        <v>0</v>
      </c>
      <c r="W1495" s="21" t="n">
        <v>0</v>
      </c>
      <c r="X1495" s="21" t="n">
        <v>0</v>
      </c>
      <c r="Y1495" s="21" t="n">
        <v>0</v>
      </c>
      <c r="Z1495" s="21" t="n">
        <v>0</v>
      </c>
      <c r="AA1495" s="21" t="n">
        <v>0</v>
      </c>
      <c r="AB1495" s="21" t="n">
        <v>0</v>
      </c>
      <c r="AC1495" s="21" t="n">
        <v>0</v>
      </c>
      <c r="AD1495" s="21" t="n">
        <v>0</v>
      </c>
      <c r="AE1495" s="21" t="n">
        <v>0</v>
      </c>
      <c r="AF1495" s="21" t="n">
        <v>0</v>
      </c>
      <c r="AG1495" s="21" t="n">
        <v>0</v>
      </c>
      <c r="AH1495" s="21">
        <f>-$B$18</f>
        <v/>
      </c>
      <c r="AI1495" s="21">
        <f>-$B$19</f>
        <v/>
      </c>
      <c r="AJ1495" s="21">
        <f>2*$B$18+$D$1457</f>
        <v/>
      </c>
      <c r="AK1495" s="21">
        <f>0</f>
        <v/>
      </c>
      <c r="AL1495" s="21">
        <f>-$B$18</f>
        <v/>
      </c>
      <c r="AM1495" s="21">
        <f>$B$19</f>
        <v/>
      </c>
      <c r="AN1495" s="21" t="n">
        <v>0</v>
      </c>
      <c r="AO1495" s="21" t="n">
        <v>0</v>
      </c>
      <c r="AP1495" s="21" t="n">
        <v>0</v>
      </c>
      <c r="AQ1495" s="21" t="n">
        <v>0</v>
      </c>
      <c r="AR1495" s="21" t="n">
        <v>0</v>
      </c>
      <c r="AS1495" s="21" t="n">
        <v>0</v>
      </c>
      <c r="AT1495" s="19" t="n"/>
    </row>
    <row r="1496">
      <c r="D1496" s="21" t="n">
        <v>0</v>
      </c>
      <c r="E1496" s="21" t="n">
        <v>0</v>
      </c>
      <c r="F1496" s="21" t="n">
        <v>0</v>
      </c>
      <c r="G1496" s="21" t="n">
        <v>0</v>
      </c>
      <c r="H1496" s="21" t="n">
        <v>0</v>
      </c>
      <c r="I1496" s="21" t="n">
        <v>0</v>
      </c>
      <c r="J1496" s="21" t="n">
        <v>0</v>
      </c>
      <c r="K1496" s="21" t="n">
        <v>0</v>
      </c>
      <c r="L1496" s="21" t="n">
        <v>0</v>
      </c>
      <c r="M1496" s="21" t="n">
        <v>0</v>
      </c>
      <c r="N1496" s="21" t="n">
        <v>0</v>
      </c>
      <c r="O1496" s="21" t="n">
        <v>0</v>
      </c>
      <c r="P1496" s="21" t="n">
        <v>0</v>
      </c>
      <c r="Q1496" s="21" t="n">
        <v>0</v>
      </c>
      <c r="R1496" s="21" t="n">
        <v>0</v>
      </c>
      <c r="S1496" s="21" t="n">
        <v>0</v>
      </c>
      <c r="T1496" s="21" t="n">
        <v>0</v>
      </c>
      <c r="U1496" s="21" t="n">
        <v>0</v>
      </c>
      <c r="V1496" s="21" t="n">
        <v>0</v>
      </c>
      <c r="W1496" s="21" t="n">
        <v>0</v>
      </c>
      <c r="X1496" s="21" t="n">
        <v>0</v>
      </c>
      <c r="Y1496" s="21" t="n">
        <v>0</v>
      </c>
      <c r="Z1496" s="21" t="n">
        <v>0</v>
      </c>
      <c r="AA1496" s="21" t="n">
        <v>0</v>
      </c>
      <c r="AB1496" s="21" t="n">
        <v>0</v>
      </c>
      <c r="AC1496" s="21" t="n">
        <v>0</v>
      </c>
      <c r="AD1496" s="21" t="n">
        <v>0</v>
      </c>
      <c r="AE1496" s="21" t="n">
        <v>0</v>
      </c>
      <c r="AF1496" s="21" t="n">
        <v>0</v>
      </c>
      <c r="AG1496" s="21" t="n">
        <v>0</v>
      </c>
      <c r="AH1496" s="21">
        <f>$B$19</f>
        <v/>
      </c>
      <c r="AI1496" s="21">
        <f>$B$21</f>
        <v/>
      </c>
      <c r="AJ1496" s="21">
        <f>0</f>
        <v/>
      </c>
      <c r="AK1496" s="21">
        <f>2*$B$20</f>
        <v/>
      </c>
      <c r="AL1496" s="21">
        <f>-$B$19</f>
        <v/>
      </c>
      <c r="AM1496" s="21">
        <f>$B$21</f>
        <v/>
      </c>
      <c r="AN1496" s="21" t="n">
        <v>0</v>
      </c>
      <c r="AO1496" s="21" t="n">
        <v>0</v>
      </c>
      <c r="AP1496" s="21" t="n">
        <v>0</v>
      </c>
      <c r="AQ1496" s="21" t="n">
        <v>0</v>
      </c>
      <c r="AR1496" s="21" t="n">
        <v>0</v>
      </c>
      <c r="AS1496" s="21" t="n">
        <v>0</v>
      </c>
      <c r="AT1496" s="19" t="n"/>
    </row>
    <row r="1497">
      <c r="D1497" s="21" t="n">
        <v>0</v>
      </c>
      <c r="E1497" s="21" t="n">
        <v>0</v>
      </c>
      <c r="F1497" s="21" t="n">
        <v>0</v>
      </c>
      <c r="G1497" s="21" t="n">
        <v>0</v>
      </c>
      <c r="H1497" s="21" t="n">
        <v>0</v>
      </c>
      <c r="I1497" s="21" t="n">
        <v>0</v>
      </c>
      <c r="J1497" s="21" t="n">
        <v>0</v>
      </c>
      <c r="K1497" s="21" t="n">
        <v>0</v>
      </c>
      <c r="L1497" s="21" t="n">
        <v>0</v>
      </c>
      <c r="M1497" s="21" t="n">
        <v>0</v>
      </c>
      <c r="N1497" s="21" t="n">
        <v>0</v>
      </c>
      <c r="O1497" s="21" t="n">
        <v>0</v>
      </c>
      <c r="P1497" s="21" t="n">
        <v>0</v>
      </c>
      <c r="Q1497" s="21" t="n">
        <v>0</v>
      </c>
      <c r="R1497" s="21" t="n">
        <v>0</v>
      </c>
      <c r="S1497" s="21" t="n">
        <v>0</v>
      </c>
      <c r="T1497" s="21" t="n">
        <v>0</v>
      </c>
      <c r="U1497" s="21" t="n">
        <v>0</v>
      </c>
      <c r="V1497" s="21" t="n">
        <v>0</v>
      </c>
      <c r="W1497" s="21" t="n">
        <v>0</v>
      </c>
      <c r="X1497" s="21" t="n">
        <v>0</v>
      </c>
      <c r="Y1497" s="21" t="n">
        <v>0</v>
      </c>
      <c r="Z1497" s="21" t="n">
        <v>0</v>
      </c>
      <c r="AA1497" s="21" t="n">
        <v>0</v>
      </c>
      <c r="AB1497" s="21" t="n">
        <v>0</v>
      </c>
      <c r="AC1497" s="21" t="n">
        <v>0</v>
      </c>
      <c r="AD1497" s="21" t="n">
        <v>0</v>
      </c>
      <c r="AE1497" s="21" t="n">
        <v>0</v>
      </c>
      <c r="AF1497" s="21" t="n">
        <v>0</v>
      </c>
      <c r="AG1497" s="21" t="n">
        <v>0</v>
      </c>
      <c r="AH1497" s="21" t="n">
        <v>0</v>
      </c>
      <c r="AI1497" s="21" t="n">
        <v>0</v>
      </c>
      <c r="AJ1497" s="21">
        <f>-$B$18</f>
        <v/>
      </c>
      <c r="AK1497" s="21">
        <f>-$B$19</f>
        <v/>
      </c>
      <c r="AL1497" s="21">
        <f>2*$B$18+$D$1458</f>
        <v/>
      </c>
      <c r="AM1497" s="21">
        <f>0</f>
        <v/>
      </c>
      <c r="AN1497" s="21">
        <f>-$B$18</f>
        <v/>
      </c>
      <c r="AO1497" s="21">
        <f>$B$19</f>
        <v/>
      </c>
      <c r="AP1497" s="21" t="n">
        <v>0</v>
      </c>
      <c r="AQ1497" s="21" t="n">
        <v>0</v>
      </c>
      <c r="AR1497" s="21" t="n">
        <v>0</v>
      </c>
      <c r="AS1497" s="21" t="n">
        <v>0</v>
      </c>
      <c r="AT1497" s="19" t="n"/>
    </row>
    <row r="1498">
      <c r="D1498" s="21" t="n">
        <v>0</v>
      </c>
      <c r="E1498" s="21" t="n">
        <v>0</v>
      </c>
      <c r="F1498" s="21" t="n">
        <v>0</v>
      </c>
      <c r="G1498" s="21" t="n">
        <v>0</v>
      </c>
      <c r="H1498" s="21" t="n">
        <v>0</v>
      </c>
      <c r="I1498" s="21" t="n">
        <v>0</v>
      </c>
      <c r="J1498" s="21" t="n">
        <v>0</v>
      </c>
      <c r="K1498" s="21" t="n">
        <v>0</v>
      </c>
      <c r="L1498" s="21" t="n">
        <v>0</v>
      </c>
      <c r="M1498" s="21" t="n">
        <v>0</v>
      </c>
      <c r="N1498" s="21" t="n">
        <v>0</v>
      </c>
      <c r="O1498" s="21" t="n">
        <v>0</v>
      </c>
      <c r="P1498" s="21" t="n">
        <v>0</v>
      </c>
      <c r="Q1498" s="21" t="n">
        <v>0</v>
      </c>
      <c r="R1498" s="21" t="n">
        <v>0</v>
      </c>
      <c r="S1498" s="21" t="n">
        <v>0</v>
      </c>
      <c r="T1498" s="21" t="n">
        <v>0</v>
      </c>
      <c r="U1498" s="21" t="n">
        <v>0</v>
      </c>
      <c r="V1498" s="21" t="n">
        <v>0</v>
      </c>
      <c r="W1498" s="21" t="n">
        <v>0</v>
      </c>
      <c r="X1498" s="21" t="n">
        <v>0</v>
      </c>
      <c r="Y1498" s="21" t="n">
        <v>0</v>
      </c>
      <c r="Z1498" s="21" t="n">
        <v>0</v>
      </c>
      <c r="AA1498" s="21" t="n">
        <v>0</v>
      </c>
      <c r="AB1498" s="21" t="n">
        <v>0</v>
      </c>
      <c r="AC1498" s="21" t="n">
        <v>0</v>
      </c>
      <c r="AD1498" s="21" t="n">
        <v>0</v>
      </c>
      <c r="AE1498" s="21" t="n">
        <v>0</v>
      </c>
      <c r="AF1498" s="21" t="n">
        <v>0</v>
      </c>
      <c r="AG1498" s="21" t="n">
        <v>0</v>
      </c>
      <c r="AH1498" s="21" t="n">
        <v>0</v>
      </c>
      <c r="AI1498" s="21" t="n">
        <v>0</v>
      </c>
      <c r="AJ1498" s="21">
        <f>$B$19</f>
        <v/>
      </c>
      <c r="AK1498" s="21">
        <f>$B$21</f>
        <v/>
      </c>
      <c r="AL1498" s="21">
        <f>0</f>
        <v/>
      </c>
      <c r="AM1498" s="21">
        <f>2*$B$20</f>
        <v/>
      </c>
      <c r="AN1498" s="21">
        <f>-$B$19</f>
        <v/>
      </c>
      <c r="AO1498" s="21">
        <f>$B$21</f>
        <v/>
      </c>
      <c r="AP1498" s="21" t="n">
        <v>0</v>
      </c>
      <c r="AQ1498" s="21" t="n">
        <v>0</v>
      </c>
      <c r="AR1498" s="21" t="n">
        <v>0</v>
      </c>
      <c r="AS1498" s="21" t="n">
        <v>0</v>
      </c>
      <c r="AT1498" s="19" t="n"/>
    </row>
    <row r="1499">
      <c r="D1499" s="21" t="n">
        <v>0</v>
      </c>
      <c r="E1499" s="21" t="n">
        <v>0</v>
      </c>
      <c r="F1499" s="21" t="n">
        <v>0</v>
      </c>
      <c r="G1499" s="21" t="n">
        <v>0</v>
      </c>
      <c r="H1499" s="21" t="n">
        <v>0</v>
      </c>
      <c r="I1499" s="21" t="n">
        <v>0</v>
      </c>
      <c r="J1499" s="21" t="n">
        <v>0</v>
      </c>
      <c r="K1499" s="21" t="n">
        <v>0</v>
      </c>
      <c r="L1499" s="21" t="n">
        <v>0</v>
      </c>
      <c r="M1499" s="21" t="n">
        <v>0</v>
      </c>
      <c r="N1499" s="21" t="n">
        <v>0</v>
      </c>
      <c r="O1499" s="21" t="n">
        <v>0</v>
      </c>
      <c r="P1499" s="21" t="n">
        <v>0</v>
      </c>
      <c r="Q1499" s="21" t="n">
        <v>0</v>
      </c>
      <c r="R1499" s="21" t="n">
        <v>0</v>
      </c>
      <c r="S1499" s="21" t="n">
        <v>0</v>
      </c>
      <c r="T1499" s="21" t="n">
        <v>0</v>
      </c>
      <c r="U1499" s="21" t="n">
        <v>0</v>
      </c>
      <c r="V1499" s="21" t="n">
        <v>0</v>
      </c>
      <c r="W1499" s="21" t="n">
        <v>0</v>
      </c>
      <c r="X1499" s="21" t="n">
        <v>0</v>
      </c>
      <c r="Y1499" s="21" t="n">
        <v>0</v>
      </c>
      <c r="Z1499" s="21" t="n">
        <v>0</v>
      </c>
      <c r="AA1499" s="21" t="n">
        <v>0</v>
      </c>
      <c r="AB1499" s="21" t="n">
        <v>0</v>
      </c>
      <c r="AC1499" s="21" t="n">
        <v>0</v>
      </c>
      <c r="AD1499" s="21" t="n">
        <v>0</v>
      </c>
      <c r="AE1499" s="21" t="n">
        <v>0</v>
      </c>
      <c r="AF1499" s="21" t="n">
        <v>0</v>
      </c>
      <c r="AG1499" s="21" t="n">
        <v>0</v>
      </c>
      <c r="AH1499" s="21" t="n">
        <v>0</v>
      </c>
      <c r="AI1499" s="21" t="n">
        <v>0</v>
      </c>
      <c r="AJ1499" s="21" t="n">
        <v>0</v>
      </c>
      <c r="AK1499" s="21" t="n">
        <v>0</v>
      </c>
      <c r="AL1499" s="21">
        <f>-$B$18</f>
        <v/>
      </c>
      <c r="AM1499" s="21">
        <f>-$B$19</f>
        <v/>
      </c>
      <c r="AN1499" s="21">
        <f>2*$B$18+$D$1459</f>
        <v/>
      </c>
      <c r="AO1499" s="21">
        <f>0</f>
        <v/>
      </c>
      <c r="AP1499" s="21">
        <f>-$B$18</f>
        <v/>
      </c>
      <c r="AQ1499" s="21">
        <f>$B$19</f>
        <v/>
      </c>
      <c r="AR1499" s="21" t="n">
        <v>0</v>
      </c>
      <c r="AS1499" s="21" t="n">
        <v>0</v>
      </c>
      <c r="AT1499" s="19" t="n"/>
    </row>
    <row r="1500">
      <c r="D1500" s="21" t="n">
        <v>0</v>
      </c>
      <c r="E1500" s="21" t="n">
        <v>0</v>
      </c>
      <c r="F1500" s="21" t="n">
        <v>0</v>
      </c>
      <c r="G1500" s="21" t="n">
        <v>0</v>
      </c>
      <c r="H1500" s="21" t="n">
        <v>0</v>
      </c>
      <c r="I1500" s="21" t="n">
        <v>0</v>
      </c>
      <c r="J1500" s="21" t="n">
        <v>0</v>
      </c>
      <c r="K1500" s="21" t="n">
        <v>0</v>
      </c>
      <c r="L1500" s="21" t="n">
        <v>0</v>
      </c>
      <c r="M1500" s="21" t="n">
        <v>0</v>
      </c>
      <c r="N1500" s="21" t="n">
        <v>0</v>
      </c>
      <c r="O1500" s="21" t="n">
        <v>0</v>
      </c>
      <c r="P1500" s="21" t="n">
        <v>0</v>
      </c>
      <c r="Q1500" s="21" t="n">
        <v>0</v>
      </c>
      <c r="R1500" s="21" t="n">
        <v>0</v>
      </c>
      <c r="S1500" s="21" t="n">
        <v>0</v>
      </c>
      <c r="T1500" s="21" t="n">
        <v>0</v>
      </c>
      <c r="U1500" s="21" t="n">
        <v>0</v>
      </c>
      <c r="V1500" s="21" t="n">
        <v>0</v>
      </c>
      <c r="W1500" s="21" t="n">
        <v>0</v>
      </c>
      <c r="X1500" s="21" t="n">
        <v>0</v>
      </c>
      <c r="Y1500" s="21" t="n">
        <v>0</v>
      </c>
      <c r="Z1500" s="21" t="n">
        <v>0</v>
      </c>
      <c r="AA1500" s="21" t="n">
        <v>0</v>
      </c>
      <c r="AB1500" s="21" t="n">
        <v>0</v>
      </c>
      <c r="AC1500" s="21" t="n">
        <v>0</v>
      </c>
      <c r="AD1500" s="21" t="n">
        <v>0</v>
      </c>
      <c r="AE1500" s="21" t="n">
        <v>0</v>
      </c>
      <c r="AF1500" s="21" t="n">
        <v>0</v>
      </c>
      <c r="AG1500" s="21" t="n">
        <v>0</v>
      </c>
      <c r="AH1500" s="21" t="n">
        <v>0</v>
      </c>
      <c r="AI1500" s="21" t="n">
        <v>0</v>
      </c>
      <c r="AJ1500" s="21" t="n">
        <v>0</v>
      </c>
      <c r="AK1500" s="21" t="n">
        <v>0</v>
      </c>
      <c r="AL1500" s="21">
        <f>$B$19</f>
        <v/>
      </c>
      <c r="AM1500" s="21">
        <f>$B$21</f>
        <v/>
      </c>
      <c r="AN1500" s="21">
        <f>0</f>
        <v/>
      </c>
      <c r="AO1500" s="21">
        <f>2*$B$20</f>
        <v/>
      </c>
      <c r="AP1500" s="21">
        <f>-$B$19</f>
        <v/>
      </c>
      <c r="AQ1500" s="21">
        <f>$B$21</f>
        <v/>
      </c>
      <c r="AR1500" s="21" t="n">
        <v>0</v>
      </c>
      <c r="AS1500" s="21" t="n">
        <v>0</v>
      </c>
      <c r="AT1500" s="19" t="n"/>
    </row>
    <row r="1501">
      <c r="D1501" s="21" t="n">
        <v>0</v>
      </c>
      <c r="E1501" s="21" t="n">
        <v>0</v>
      </c>
      <c r="F1501" s="21" t="n">
        <v>0</v>
      </c>
      <c r="G1501" s="21" t="n">
        <v>0</v>
      </c>
      <c r="H1501" s="21" t="n">
        <v>0</v>
      </c>
      <c r="I1501" s="21" t="n">
        <v>0</v>
      </c>
      <c r="J1501" s="21" t="n">
        <v>0</v>
      </c>
      <c r="K1501" s="21" t="n">
        <v>0</v>
      </c>
      <c r="L1501" s="21" t="n">
        <v>0</v>
      </c>
      <c r="M1501" s="21" t="n">
        <v>0</v>
      </c>
      <c r="N1501" s="21" t="n">
        <v>0</v>
      </c>
      <c r="O1501" s="21" t="n">
        <v>0</v>
      </c>
      <c r="P1501" s="21" t="n">
        <v>0</v>
      </c>
      <c r="Q1501" s="21" t="n">
        <v>0</v>
      </c>
      <c r="R1501" s="21" t="n">
        <v>0</v>
      </c>
      <c r="S1501" s="21" t="n">
        <v>0</v>
      </c>
      <c r="T1501" s="21" t="n">
        <v>0</v>
      </c>
      <c r="U1501" s="21" t="n">
        <v>0</v>
      </c>
      <c r="V1501" s="21" t="n">
        <v>0</v>
      </c>
      <c r="W1501" s="21" t="n">
        <v>0</v>
      </c>
      <c r="X1501" s="21" t="n">
        <v>0</v>
      </c>
      <c r="Y1501" s="21" t="n">
        <v>0</v>
      </c>
      <c r="Z1501" s="21" t="n">
        <v>0</v>
      </c>
      <c r="AA1501" s="21" t="n">
        <v>0</v>
      </c>
      <c r="AB1501" s="21" t="n">
        <v>0</v>
      </c>
      <c r="AC1501" s="21" t="n">
        <v>0</v>
      </c>
      <c r="AD1501" s="21" t="n">
        <v>0</v>
      </c>
      <c r="AE1501" s="21" t="n">
        <v>0</v>
      </c>
      <c r="AF1501" s="21" t="n">
        <v>0</v>
      </c>
      <c r="AG1501" s="21" t="n">
        <v>0</v>
      </c>
      <c r="AH1501" s="21" t="n">
        <v>0</v>
      </c>
      <c r="AI1501" s="21" t="n">
        <v>0</v>
      </c>
      <c r="AJ1501" s="21" t="n">
        <v>0</v>
      </c>
      <c r="AK1501" s="21" t="n">
        <v>0</v>
      </c>
      <c r="AL1501" s="21" t="n">
        <v>0</v>
      </c>
      <c r="AM1501" s="21" t="n">
        <v>0</v>
      </c>
      <c r="AN1501" s="21">
        <f>-$B$18</f>
        <v/>
      </c>
      <c r="AO1501" s="21">
        <f>-$B$19</f>
        <v/>
      </c>
      <c r="AP1501" s="21">
        <f>2*$B$18+$D$1460</f>
        <v/>
      </c>
      <c r="AQ1501" s="21">
        <f>0</f>
        <v/>
      </c>
      <c r="AR1501" s="21">
        <f>-$B$18</f>
        <v/>
      </c>
      <c r="AS1501" s="21">
        <f>$B$19</f>
        <v/>
      </c>
      <c r="AT1501" s="19" t="n"/>
    </row>
    <row r="1502">
      <c r="D1502" s="21" t="n">
        <v>0</v>
      </c>
      <c r="E1502" s="21" t="n">
        <v>0</v>
      </c>
      <c r="F1502" s="21" t="n">
        <v>0</v>
      </c>
      <c r="G1502" s="21" t="n">
        <v>0</v>
      </c>
      <c r="H1502" s="21" t="n">
        <v>0</v>
      </c>
      <c r="I1502" s="21" t="n">
        <v>0</v>
      </c>
      <c r="J1502" s="21" t="n">
        <v>0</v>
      </c>
      <c r="K1502" s="21" t="n">
        <v>0</v>
      </c>
      <c r="L1502" s="21" t="n">
        <v>0</v>
      </c>
      <c r="M1502" s="21" t="n">
        <v>0</v>
      </c>
      <c r="N1502" s="21" t="n">
        <v>0</v>
      </c>
      <c r="O1502" s="21" t="n">
        <v>0</v>
      </c>
      <c r="P1502" s="21" t="n">
        <v>0</v>
      </c>
      <c r="Q1502" s="21" t="n">
        <v>0</v>
      </c>
      <c r="R1502" s="21" t="n">
        <v>0</v>
      </c>
      <c r="S1502" s="21" t="n">
        <v>0</v>
      </c>
      <c r="T1502" s="21" t="n">
        <v>0</v>
      </c>
      <c r="U1502" s="21" t="n">
        <v>0</v>
      </c>
      <c r="V1502" s="21" t="n">
        <v>0</v>
      </c>
      <c r="W1502" s="21" t="n">
        <v>0</v>
      </c>
      <c r="X1502" s="21" t="n">
        <v>0</v>
      </c>
      <c r="Y1502" s="21" t="n">
        <v>0</v>
      </c>
      <c r="Z1502" s="21" t="n">
        <v>0</v>
      </c>
      <c r="AA1502" s="21" t="n">
        <v>0</v>
      </c>
      <c r="AB1502" s="21" t="n">
        <v>0</v>
      </c>
      <c r="AC1502" s="21" t="n">
        <v>0</v>
      </c>
      <c r="AD1502" s="21" t="n">
        <v>0</v>
      </c>
      <c r="AE1502" s="21" t="n">
        <v>0</v>
      </c>
      <c r="AF1502" s="21" t="n">
        <v>0</v>
      </c>
      <c r="AG1502" s="21" t="n">
        <v>0</v>
      </c>
      <c r="AH1502" s="21" t="n">
        <v>0</v>
      </c>
      <c r="AI1502" s="21" t="n">
        <v>0</v>
      </c>
      <c r="AJ1502" s="21" t="n">
        <v>0</v>
      </c>
      <c r="AK1502" s="21" t="n">
        <v>0</v>
      </c>
      <c r="AL1502" s="21" t="n">
        <v>0</v>
      </c>
      <c r="AM1502" s="21" t="n">
        <v>0</v>
      </c>
      <c r="AN1502" s="21">
        <f>$B$19</f>
        <v/>
      </c>
      <c r="AO1502" s="21">
        <f>$B$21</f>
        <v/>
      </c>
      <c r="AP1502" s="21">
        <f>0</f>
        <v/>
      </c>
      <c r="AQ1502" s="21">
        <f>2*$B$20</f>
        <v/>
      </c>
      <c r="AR1502" s="21">
        <f>-$B$19</f>
        <v/>
      </c>
      <c r="AS1502" s="21">
        <f>$B$21</f>
        <v/>
      </c>
      <c r="AT1502" s="19" t="n"/>
    </row>
    <row r="1503">
      <c r="D1503" s="21" t="n">
        <v>0</v>
      </c>
      <c r="E1503" s="21" t="n">
        <v>0</v>
      </c>
      <c r="F1503" s="21" t="n">
        <v>0</v>
      </c>
      <c r="G1503" s="21" t="n">
        <v>0</v>
      </c>
      <c r="H1503" s="21" t="n">
        <v>0</v>
      </c>
      <c r="I1503" s="21" t="n">
        <v>0</v>
      </c>
      <c r="J1503" s="21" t="n">
        <v>0</v>
      </c>
      <c r="K1503" s="21" t="n">
        <v>0</v>
      </c>
      <c r="L1503" s="21" t="n">
        <v>0</v>
      </c>
      <c r="M1503" s="21" t="n">
        <v>0</v>
      </c>
      <c r="N1503" s="21" t="n">
        <v>0</v>
      </c>
      <c r="O1503" s="21" t="n">
        <v>0</v>
      </c>
      <c r="P1503" s="21" t="n">
        <v>0</v>
      </c>
      <c r="Q1503" s="21" t="n">
        <v>0</v>
      </c>
      <c r="R1503" s="21" t="n">
        <v>0</v>
      </c>
      <c r="S1503" s="21" t="n">
        <v>0</v>
      </c>
      <c r="T1503" s="21" t="n">
        <v>0</v>
      </c>
      <c r="U1503" s="21" t="n">
        <v>0</v>
      </c>
      <c r="V1503" s="21" t="n">
        <v>0</v>
      </c>
      <c r="W1503" s="21" t="n">
        <v>0</v>
      </c>
      <c r="X1503" s="21" t="n">
        <v>0</v>
      </c>
      <c r="Y1503" s="21" t="n">
        <v>0</v>
      </c>
      <c r="Z1503" s="21" t="n">
        <v>0</v>
      </c>
      <c r="AA1503" s="21" t="n">
        <v>0</v>
      </c>
      <c r="AB1503" s="21" t="n">
        <v>0</v>
      </c>
      <c r="AC1503" s="21" t="n">
        <v>0</v>
      </c>
      <c r="AD1503" s="21" t="n">
        <v>0</v>
      </c>
      <c r="AE1503" s="21" t="n">
        <v>0</v>
      </c>
      <c r="AF1503" s="21" t="n">
        <v>0</v>
      </c>
      <c r="AG1503" s="21" t="n">
        <v>0</v>
      </c>
      <c r="AH1503" s="21" t="n">
        <v>0</v>
      </c>
      <c r="AI1503" s="21" t="n">
        <v>0</v>
      </c>
      <c r="AJ1503" s="21" t="n">
        <v>0</v>
      </c>
      <c r="AK1503" s="21" t="n">
        <v>0</v>
      </c>
      <c r="AL1503" s="21" t="n">
        <v>0</v>
      </c>
      <c r="AM1503" s="21" t="n">
        <v>0</v>
      </c>
      <c r="AN1503" s="21" t="n">
        <v>0</v>
      </c>
      <c r="AO1503" s="21" t="n">
        <v>0</v>
      </c>
      <c r="AP1503" s="21">
        <f>-$B$18</f>
        <v/>
      </c>
      <c r="AQ1503" s="21">
        <f>-$B$19</f>
        <v/>
      </c>
      <c r="AR1503" s="21">
        <f>$B$18+$D$1461</f>
        <v/>
      </c>
      <c r="AS1503" s="21">
        <f>-$B$19</f>
        <v/>
      </c>
      <c r="AT1503" s="19" t="n"/>
    </row>
    <row r="1504">
      <c r="D1504" s="21" t="n">
        <v>0</v>
      </c>
      <c r="E1504" s="21" t="n">
        <v>0</v>
      </c>
      <c r="F1504" s="21" t="n">
        <v>0</v>
      </c>
      <c r="G1504" s="21" t="n">
        <v>0</v>
      </c>
      <c r="H1504" s="21" t="n">
        <v>0</v>
      </c>
      <c r="I1504" s="21" t="n">
        <v>0</v>
      </c>
      <c r="J1504" s="21" t="n">
        <v>0</v>
      </c>
      <c r="K1504" s="21" t="n">
        <v>0</v>
      </c>
      <c r="L1504" s="21" t="n">
        <v>0</v>
      </c>
      <c r="M1504" s="21" t="n">
        <v>0</v>
      </c>
      <c r="N1504" s="21" t="n">
        <v>0</v>
      </c>
      <c r="O1504" s="21" t="n">
        <v>0</v>
      </c>
      <c r="P1504" s="21" t="n">
        <v>0</v>
      </c>
      <c r="Q1504" s="21" t="n">
        <v>0</v>
      </c>
      <c r="R1504" s="21" t="n">
        <v>0</v>
      </c>
      <c r="S1504" s="21" t="n">
        <v>0</v>
      </c>
      <c r="T1504" s="21" t="n">
        <v>0</v>
      </c>
      <c r="U1504" s="21" t="n">
        <v>0</v>
      </c>
      <c r="V1504" s="21" t="n">
        <v>0</v>
      </c>
      <c r="W1504" s="21" t="n">
        <v>0</v>
      </c>
      <c r="X1504" s="21" t="n">
        <v>0</v>
      </c>
      <c r="Y1504" s="21" t="n">
        <v>0</v>
      </c>
      <c r="Z1504" s="21" t="n">
        <v>0</v>
      </c>
      <c r="AA1504" s="21" t="n">
        <v>0</v>
      </c>
      <c r="AB1504" s="21" t="n">
        <v>0</v>
      </c>
      <c r="AC1504" s="21" t="n">
        <v>0</v>
      </c>
      <c r="AD1504" s="21" t="n">
        <v>0</v>
      </c>
      <c r="AE1504" s="21" t="n">
        <v>0</v>
      </c>
      <c r="AF1504" s="21" t="n">
        <v>0</v>
      </c>
      <c r="AG1504" s="21" t="n">
        <v>0</v>
      </c>
      <c r="AH1504" s="21" t="n">
        <v>0</v>
      </c>
      <c r="AI1504" s="21" t="n">
        <v>0</v>
      </c>
      <c r="AJ1504" s="21" t="n">
        <v>0</v>
      </c>
      <c r="AK1504" s="21" t="n">
        <v>0</v>
      </c>
      <c r="AL1504" s="21" t="n">
        <v>0</v>
      </c>
      <c r="AM1504" s="21" t="n">
        <v>0</v>
      </c>
      <c r="AN1504" s="21" t="n">
        <v>0</v>
      </c>
      <c r="AO1504" s="21" t="n">
        <v>0</v>
      </c>
      <c r="AP1504" s="21">
        <f>$B$19</f>
        <v/>
      </c>
      <c r="AQ1504" s="21">
        <f>$B$21</f>
        <v/>
      </c>
      <c r="AR1504" s="21">
        <f>-$B$19</f>
        <v/>
      </c>
      <c r="AS1504" s="21">
        <f>$B$20</f>
        <v/>
      </c>
      <c r="AT1504" s="19" t="n"/>
    </row>
    <row r="1506">
      <c r="A1506" s="8" t="inlineStr">
        <is>
          <t>gen 22</t>
        </is>
      </c>
    </row>
    <row r="1507">
      <c r="D1507" s="19">
        <f>IF(ABS(IF(ABS($E$1441)&gt;0.000000001,$E$1441,0.000000001))=0,0,IF($E$33&lt;=$B$27,0,IF(ABS(IF(ABS($E$1441)&gt;0.000000001,$E$1441,0.000000001))&gt;=8*$B$29,$H$33,0.5*$H$33*(ABS(IF(ABS($E$1441)&gt;0.000000001,$E$1441,0.000000001))/$B$29)^(1/3)))/ABS(IF(ABS($E$1441)&gt;0.000000001,$E$1441,0.000000001))*$I$33)</f>
        <v/>
      </c>
      <c r="E1507" s="19">
        <f>0.5*$E$1441+0.5*$AT$1529</f>
        <v/>
      </c>
      <c r="F1507" s="19">
        <f>$AT$1530</f>
        <v/>
      </c>
    </row>
    <row r="1508">
      <c r="D1508" s="19">
        <f>IF(ABS(IF(ABS($E$1442)&gt;0.000000001,$E$1442,0.000000001))=0,0,IF($E$34&lt;=$B$27,0,IF(ABS(IF(ABS($E$1442)&gt;0.000000001,$E$1442,0.000000001))&gt;=8*$B$29,$H$34,0.5*$H$34*(ABS(IF(ABS($E$1442)&gt;0.000000001,$E$1442,0.000000001))/$B$29)^(1/3)))/ABS(IF(ABS($E$1442)&gt;0.000000001,$E$1442,0.000000001))*$I$34)</f>
        <v/>
      </c>
      <c r="E1508" s="19">
        <f>0.5*$E$1442+0.5*$AT$1531</f>
        <v/>
      </c>
      <c r="F1508" s="19">
        <f>$AT$1532</f>
        <v/>
      </c>
    </row>
    <row r="1509">
      <c r="D1509" s="19">
        <f>IF(ABS(IF(ABS($E$1443)&gt;0.000000001,$E$1443,0.000000001))=0,0,IF($E$35&lt;=$B$27,0,IF(ABS(IF(ABS($E$1443)&gt;0.000000001,$E$1443,0.000000001))&gt;=8*$B$29,$H$35,0.5*$H$35*(ABS(IF(ABS($E$1443)&gt;0.000000001,$E$1443,0.000000001))/$B$29)^(1/3)))/ABS(IF(ABS($E$1443)&gt;0.000000001,$E$1443,0.000000001))*$I$35)</f>
        <v/>
      </c>
      <c r="E1509" s="19">
        <f>0.5*$E$1443+0.5*$AT$1533</f>
        <v/>
      </c>
      <c r="F1509" s="19">
        <f>$AT$1534</f>
        <v/>
      </c>
    </row>
    <row r="1510">
      <c r="D1510" s="19">
        <f>IF(ABS(IF(ABS($E$1444)&gt;0.000000001,$E$1444,0.000000001))=0,0,IF($E$36&lt;=$B$27,0,IF(ABS(IF(ABS($E$1444)&gt;0.000000001,$E$1444,0.000000001))&gt;=8*$B$29,$H$36,0.5*$H$36*(ABS(IF(ABS($E$1444)&gt;0.000000001,$E$1444,0.000000001))/$B$29)^(1/3)))/ABS(IF(ABS($E$1444)&gt;0.000000001,$E$1444,0.000000001))*$I$36)</f>
        <v/>
      </c>
      <c r="E1510" s="19">
        <f>0.5*$E$1444+0.5*$AT$1535</f>
        <v/>
      </c>
      <c r="F1510" s="19">
        <f>$AT$1536</f>
        <v/>
      </c>
    </row>
    <row r="1511">
      <c r="D1511" s="19">
        <f>IF(ABS(IF(ABS($E$1445)&gt;0.000000001,$E$1445,0.000000001))=0,0,IF($E$37&lt;=$B$27,0,IF(ABS(IF(ABS($E$1445)&gt;0.000000001,$E$1445,0.000000001))&gt;=8*$B$29,$H$37,0.5*$H$37*(ABS(IF(ABS($E$1445)&gt;0.000000001,$E$1445,0.000000001))/$B$29)^(1/3)))/ABS(IF(ABS($E$1445)&gt;0.000000001,$E$1445,0.000000001))*$I$37)</f>
        <v/>
      </c>
      <c r="E1511" s="19">
        <f>0.5*$E$1445+0.5*$AT$1537</f>
        <v/>
      </c>
      <c r="F1511" s="19">
        <f>$AT$1538</f>
        <v/>
      </c>
    </row>
    <row r="1512">
      <c r="D1512" s="19">
        <f>IF(ABS(IF(ABS($E$1446)&gt;0.000000001,$E$1446,0.000000001))=0,0,IF($E$38&lt;=$B$27,0,IF(ABS(IF(ABS($E$1446)&gt;0.000000001,$E$1446,0.000000001))&gt;=8*$B$29,$H$38,0.5*$H$38*(ABS(IF(ABS($E$1446)&gt;0.000000001,$E$1446,0.000000001))/$B$29)^(1/3)))/ABS(IF(ABS($E$1446)&gt;0.000000001,$E$1446,0.000000001))*$I$38)</f>
        <v/>
      </c>
      <c r="E1512" s="19">
        <f>0.5*$E$1446+0.5*$AT$1539</f>
        <v/>
      </c>
      <c r="F1512" s="19">
        <f>$AT$1540</f>
        <v/>
      </c>
    </row>
    <row r="1513">
      <c r="D1513" s="19">
        <f>IF(ABS(IF(ABS($E$1447)&gt;0.000000001,$E$1447,0.000000001))=0,0,IF($E$39&lt;=$B$27,0,IF(ABS(IF(ABS($E$1447)&gt;0.000000001,$E$1447,0.000000001))&gt;=8*$B$29,$H$39,0.5*$H$39*(ABS(IF(ABS($E$1447)&gt;0.000000001,$E$1447,0.000000001))/$B$29)^(1/3)))/ABS(IF(ABS($E$1447)&gt;0.000000001,$E$1447,0.000000001))*$I$39)</f>
        <v/>
      </c>
      <c r="E1513" s="19">
        <f>0.5*$E$1447+0.5*$AT$1541</f>
        <v/>
      </c>
      <c r="F1513" s="19">
        <f>$AT$1542</f>
        <v/>
      </c>
    </row>
    <row r="1514">
      <c r="D1514" s="19">
        <f>IF(ABS(IF(ABS($E$1448)&gt;0.000000001,$E$1448,0.000000001))=0,0,IF($E$40&lt;=$B$27,0,IF(ABS(IF(ABS($E$1448)&gt;0.000000001,$E$1448,0.000000001))&gt;=8*$B$29,$H$40,0.5*$H$40*(ABS(IF(ABS($E$1448)&gt;0.000000001,$E$1448,0.000000001))/$B$29)^(1/3)))/ABS(IF(ABS($E$1448)&gt;0.000000001,$E$1448,0.000000001))*$I$40)</f>
        <v/>
      </c>
      <c r="E1514" s="19">
        <f>0.5*$E$1448+0.5*$AT$1543</f>
        <v/>
      </c>
      <c r="F1514" s="19">
        <f>$AT$1544</f>
        <v/>
      </c>
    </row>
    <row r="1515">
      <c r="D1515" s="19">
        <f>IF(ABS(IF(ABS($E$1449)&gt;0.000000001,$E$1449,0.000000001))=0,0,IF($E$41&lt;=$B$27,0,IF(ABS(IF(ABS($E$1449)&gt;0.000000001,$E$1449,0.000000001))&gt;=8*$B$29,$H$41,0.5*$H$41*(ABS(IF(ABS($E$1449)&gt;0.000000001,$E$1449,0.000000001))/$B$29)^(1/3)))/ABS(IF(ABS($E$1449)&gt;0.000000001,$E$1449,0.000000001))*$I$41)</f>
        <v/>
      </c>
      <c r="E1515" s="19">
        <f>0.5*$E$1449+0.5*$AT$1545</f>
        <v/>
      </c>
      <c r="F1515" s="19">
        <f>$AT$1546</f>
        <v/>
      </c>
    </row>
    <row r="1516">
      <c r="D1516" s="19">
        <f>IF(ABS(IF(ABS($E$1450)&gt;0.000000001,$E$1450,0.000000001))=0,0,IF($E$42&lt;=$B$27,0,IF(ABS(IF(ABS($E$1450)&gt;0.000000001,$E$1450,0.000000001))&gt;=8*$B$29,$H$42,0.5*$H$42*(ABS(IF(ABS($E$1450)&gt;0.000000001,$E$1450,0.000000001))/$B$29)^(1/3)))/ABS(IF(ABS($E$1450)&gt;0.000000001,$E$1450,0.000000001))*$I$42)</f>
        <v/>
      </c>
      <c r="E1516" s="19">
        <f>0.5*$E$1450+0.5*$AT$1547</f>
        <v/>
      </c>
      <c r="F1516" s="19">
        <f>$AT$1548</f>
        <v/>
      </c>
    </row>
    <row r="1517">
      <c r="D1517" s="19">
        <f>IF(ABS(IF(ABS($E$1451)&gt;0.000000001,$E$1451,0.000000001))=0,0,IF($E$43&lt;=$B$27,0,IF(ABS(IF(ABS($E$1451)&gt;0.000000001,$E$1451,0.000000001))&gt;=8*$B$29,$H$43,0.5*$H$43*(ABS(IF(ABS($E$1451)&gt;0.000000001,$E$1451,0.000000001))/$B$29)^(1/3)))/ABS(IF(ABS($E$1451)&gt;0.000000001,$E$1451,0.000000001))*$I$43)</f>
        <v/>
      </c>
      <c r="E1517" s="19">
        <f>0.5*$E$1451+0.5*$AT$1549</f>
        <v/>
      </c>
      <c r="F1517" s="19">
        <f>$AT$1550</f>
        <v/>
      </c>
    </row>
    <row r="1518">
      <c r="D1518" s="19">
        <f>IF(ABS(IF(ABS($E$1452)&gt;0.000000001,$E$1452,0.000000001))=0,0,IF($E$44&lt;=$B$27,0,IF(ABS(IF(ABS($E$1452)&gt;0.000000001,$E$1452,0.000000001))&gt;=8*$B$29,$H$44,0.5*$H$44*(ABS(IF(ABS($E$1452)&gt;0.000000001,$E$1452,0.000000001))/$B$29)^(1/3)))/ABS(IF(ABS($E$1452)&gt;0.000000001,$E$1452,0.000000001))*$I$44)</f>
        <v/>
      </c>
      <c r="E1518" s="19">
        <f>0.5*$E$1452+0.5*$AT$1551</f>
        <v/>
      </c>
      <c r="F1518" s="19">
        <f>$AT$1552</f>
        <v/>
      </c>
    </row>
    <row r="1519">
      <c r="D1519" s="19">
        <f>IF(ABS(IF(ABS($E$1453)&gt;0.000000001,$E$1453,0.000000001))=0,0,IF($E$45&lt;=$B$27,0,IF(ABS(IF(ABS($E$1453)&gt;0.000000001,$E$1453,0.000000001))&gt;=8*$B$29,$H$45,0.5*$H$45*(ABS(IF(ABS($E$1453)&gt;0.000000001,$E$1453,0.000000001))/$B$29)^(1/3)))/ABS(IF(ABS($E$1453)&gt;0.000000001,$E$1453,0.000000001))*$I$45)</f>
        <v/>
      </c>
      <c r="E1519" s="19">
        <f>0.5*$E$1453+0.5*$AT$1553</f>
        <v/>
      </c>
      <c r="F1519" s="19">
        <f>$AT$1554</f>
        <v/>
      </c>
    </row>
    <row r="1520">
      <c r="D1520" s="19">
        <f>IF(ABS(IF(ABS($E$1454)&gt;0.000000001,$E$1454,0.000000001))=0,0,IF($E$46&lt;=$B$27,0,IF(ABS(IF(ABS($E$1454)&gt;0.000000001,$E$1454,0.000000001))&gt;=8*$B$29,$H$46,0.5*$H$46*(ABS(IF(ABS($E$1454)&gt;0.000000001,$E$1454,0.000000001))/$B$29)^(1/3)))/ABS(IF(ABS($E$1454)&gt;0.000000001,$E$1454,0.000000001))*$I$46)</f>
        <v/>
      </c>
      <c r="E1520" s="19">
        <f>0.5*$E$1454+0.5*$AT$1555</f>
        <v/>
      </c>
      <c r="F1520" s="19">
        <f>$AT$1556</f>
        <v/>
      </c>
    </row>
    <row r="1521">
      <c r="D1521" s="19">
        <f>IF(ABS(IF(ABS($E$1455)&gt;0.000000001,$E$1455,0.000000001))=0,0,IF($E$47&lt;=$B$27,0,IF(ABS(IF(ABS($E$1455)&gt;0.000000001,$E$1455,0.000000001))&gt;=8*$B$29,$H$47,0.5*$H$47*(ABS(IF(ABS($E$1455)&gt;0.000000001,$E$1455,0.000000001))/$B$29)^(1/3)))/ABS(IF(ABS($E$1455)&gt;0.000000001,$E$1455,0.000000001))*$I$47)</f>
        <v/>
      </c>
      <c r="E1521" s="19">
        <f>0.5*$E$1455+0.5*$AT$1557</f>
        <v/>
      </c>
      <c r="F1521" s="19">
        <f>$AT$1558</f>
        <v/>
      </c>
    </row>
    <row r="1522">
      <c r="D1522" s="19">
        <f>IF(ABS(IF(ABS($E$1456)&gt;0.000000001,$E$1456,0.000000001))=0,0,IF($E$48&lt;=$B$27,0,IF(ABS(IF(ABS($E$1456)&gt;0.000000001,$E$1456,0.000000001))&gt;=8*$B$29,$H$48,0.5*$H$48*(ABS(IF(ABS($E$1456)&gt;0.000000001,$E$1456,0.000000001))/$B$29)^(1/3)))/ABS(IF(ABS($E$1456)&gt;0.000000001,$E$1456,0.000000001))*$I$48)</f>
        <v/>
      </c>
      <c r="E1522" s="19">
        <f>0.5*$E$1456+0.5*$AT$1559</f>
        <v/>
      </c>
      <c r="F1522" s="19">
        <f>$AT$1560</f>
        <v/>
      </c>
    </row>
    <row r="1523">
      <c r="D1523" s="19">
        <f>IF(ABS(IF(ABS($E$1457)&gt;0.000000001,$E$1457,0.000000001))=0,0,IF($E$49&lt;=$B$27,0,IF(ABS(IF(ABS($E$1457)&gt;0.000000001,$E$1457,0.000000001))&gt;=8*$B$29,$H$49,0.5*$H$49*(ABS(IF(ABS($E$1457)&gt;0.000000001,$E$1457,0.000000001))/$B$29)^(1/3)))/ABS(IF(ABS($E$1457)&gt;0.000000001,$E$1457,0.000000001))*$I$49)</f>
        <v/>
      </c>
      <c r="E1523" s="19">
        <f>0.5*$E$1457+0.5*$AT$1561</f>
        <v/>
      </c>
      <c r="F1523" s="19">
        <f>$AT$1562</f>
        <v/>
      </c>
    </row>
    <row r="1524">
      <c r="D1524" s="19">
        <f>IF(ABS(IF(ABS($E$1458)&gt;0.000000001,$E$1458,0.000000001))=0,0,IF($E$50&lt;=$B$27,0,IF(ABS(IF(ABS($E$1458)&gt;0.000000001,$E$1458,0.000000001))&gt;=8*$B$29,$H$50,0.5*$H$50*(ABS(IF(ABS($E$1458)&gt;0.000000001,$E$1458,0.000000001))/$B$29)^(1/3)))/ABS(IF(ABS($E$1458)&gt;0.000000001,$E$1458,0.000000001))*$I$50)</f>
        <v/>
      </c>
      <c r="E1524" s="19">
        <f>0.5*$E$1458+0.5*$AT$1563</f>
        <v/>
      </c>
      <c r="F1524" s="19">
        <f>$AT$1564</f>
        <v/>
      </c>
    </row>
    <row r="1525">
      <c r="D1525" s="19">
        <f>IF(ABS(IF(ABS($E$1459)&gt;0.000000001,$E$1459,0.000000001))=0,0,IF($E$51&lt;=$B$27,0,IF(ABS(IF(ABS($E$1459)&gt;0.000000001,$E$1459,0.000000001))&gt;=8*$B$29,$H$51,0.5*$H$51*(ABS(IF(ABS($E$1459)&gt;0.000000001,$E$1459,0.000000001))/$B$29)^(1/3)))/ABS(IF(ABS($E$1459)&gt;0.000000001,$E$1459,0.000000001))*$I$51)</f>
        <v/>
      </c>
      <c r="E1525" s="19">
        <f>0.5*$E$1459+0.5*$AT$1565</f>
        <v/>
      </c>
      <c r="F1525" s="19">
        <f>$AT$1566</f>
        <v/>
      </c>
    </row>
    <row r="1526">
      <c r="D1526" s="19">
        <f>IF(ABS(IF(ABS($E$1460)&gt;0.000000001,$E$1460,0.000000001))=0,0,IF($E$52&lt;=$B$27,0,IF(ABS(IF(ABS($E$1460)&gt;0.000000001,$E$1460,0.000000001))&gt;=8*$B$29,$H$52,0.5*$H$52*(ABS(IF(ABS($E$1460)&gt;0.000000001,$E$1460,0.000000001))/$B$29)^(1/3)))/ABS(IF(ABS($E$1460)&gt;0.000000001,$E$1460,0.000000001))*$I$52)</f>
        <v/>
      </c>
      <c r="E1526" s="19">
        <f>0.5*$E$1460+0.5*$AT$1567</f>
        <v/>
      </c>
      <c r="F1526" s="19">
        <f>$AT$1568</f>
        <v/>
      </c>
    </row>
    <row r="1527">
      <c r="D1527" s="19">
        <f>IF(ABS(IF(ABS($E$1461)&gt;0.000000001,$E$1461,0.000000001))=0,0,IF($E$53&lt;=$B$27,0,IF(ABS(IF(ABS($E$1461)&gt;0.000000001,$E$1461,0.000000001))&gt;=8*$B$29,$H$53,0.5*$H$53*(ABS(IF(ABS($E$1461)&gt;0.000000001,$E$1461,0.000000001))/$B$29)^(1/3)))/ABS(IF(ABS($E$1461)&gt;0.000000001,$E$1461,0.000000001))*$I$53)</f>
        <v/>
      </c>
      <c r="E1527" s="19">
        <f>0.5*$E$1461+0.5*$AT$1569</f>
        <v/>
      </c>
      <c r="F1527" s="19">
        <f>$AT$1570</f>
        <v/>
      </c>
    </row>
    <row r="1529">
      <c r="D1529" s="21">
        <f>$B$18+$D$1507</f>
        <v/>
      </c>
      <c r="E1529" s="21">
        <f>$B$19</f>
        <v/>
      </c>
      <c r="F1529" s="21">
        <f>-$B$18</f>
        <v/>
      </c>
      <c r="G1529" s="21">
        <f>$B$19</f>
        <v/>
      </c>
      <c r="H1529" s="21" t="n">
        <v>0</v>
      </c>
      <c r="I1529" s="21" t="n">
        <v>0</v>
      </c>
      <c r="J1529" s="21" t="n">
        <v>0</v>
      </c>
      <c r="K1529" s="21" t="n">
        <v>0</v>
      </c>
      <c r="L1529" s="21" t="n">
        <v>0</v>
      </c>
      <c r="M1529" s="21" t="n">
        <v>0</v>
      </c>
      <c r="N1529" s="21" t="n">
        <v>0</v>
      </c>
      <c r="O1529" s="21" t="n">
        <v>0</v>
      </c>
      <c r="P1529" s="21" t="n">
        <v>0</v>
      </c>
      <c r="Q1529" s="21" t="n">
        <v>0</v>
      </c>
      <c r="R1529" s="21" t="n">
        <v>0</v>
      </c>
      <c r="S1529" s="21" t="n">
        <v>0</v>
      </c>
      <c r="T1529" s="21" t="n">
        <v>0</v>
      </c>
      <c r="U1529" s="21" t="n">
        <v>0</v>
      </c>
      <c r="V1529" s="21" t="n">
        <v>0</v>
      </c>
      <c r="W1529" s="21" t="n">
        <v>0</v>
      </c>
      <c r="X1529" s="21" t="n">
        <v>0</v>
      </c>
      <c r="Y1529" s="21" t="n">
        <v>0</v>
      </c>
      <c r="Z1529" s="21" t="n">
        <v>0</v>
      </c>
      <c r="AA1529" s="21" t="n">
        <v>0</v>
      </c>
      <c r="AB1529" s="21" t="n">
        <v>0</v>
      </c>
      <c r="AC1529" s="21" t="n">
        <v>0</v>
      </c>
      <c r="AD1529" s="21" t="n">
        <v>0</v>
      </c>
      <c r="AE1529" s="21" t="n">
        <v>0</v>
      </c>
      <c r="AF1529" s="21" t="n">
        <v>0</v>
      </c>
      <c r="AG1529" s="21" t="n">
        <v>0</v>
      </c>
      <c r="AH1529" s="21" t="n">
        <v>0</v>
      </c>
      <c r="AI1529" s="21" t="n">
        <v>0</v>
      </c>
      <c r="AJ1529" s="21" t="n">
        <v>0</v>
      </c>
      <c r="AK1529" s="21" t="n">
        <v>0</v>
      </c>
      <c r="AL1529" s="21" t="n">
        <v>0</v>
      </c>
      <c r="AM1529" s="21" t="n">
        <v>0</v>
      </c>
      <c r="AN1529" s="21" t="n">
        <v>0</v>
      </c>
      <c r="AO1529" s="21" t="n">
        <v>0</v>
      </c>
      <c r="AP1529" s="21" t="n">
        <v>0</v>
      </c>
      <c r="AQ1529" s="21" t="n">
        <v>0</v>
      </c>
      <c r="AR1529" s="21" t="n">
        <v>0</v>
      </c>
      <c r="AS1529" s="21" t="n">
        <v>0</v>
      </c>
      <c r="AT1529" s="19">
        <f t="array" ref="AT1529:AT1570">MMULT(MINVERSE($D$1529:$AS$1570),$D$55:$D$96)</f>
        <v/>
      </c>
    </row>
    <row r="1530">
      <c r="D1530" s="21">
        <f>$B$19</f>
        <v/>
      </c>
      <c r="E1530" s="21">
        <f>$B$20</f>
        <v/>
      </c>
      <c r="F1530" s="21">
        <f>-$B$19</f>
        <v/>
      </c>
      <c r="G1530" s="21">
        <f>$B$21</f>
        <v/>
      </c>
      <c r="H1530" s="21" t="n">
        <v>0</v>
      </c>
      <c r="I1530" s="21" t="n">
        <v>0</v>
      </c>
      <c r="J1530" s="21" t="n">
        <v>0</v>
      </c>
      <c r="K1530" s="21" t="n">
        <v>0</v>
      </c>
      <c r="L1530" s="21" t="n">
        <v>0</v>
      </c>
      <c r="M1530" s="21" t="n">
        <v>0</v>
      </c>
      <c r="N1530" s="21" t="n">
        <v>0</v>
      </c>
      <c r="O1530" s="21" t="n">
        <v>0</v>
      </c>
      <c r="P1530" s="21" t="n">
        <v>0</v>
      </c>
      <c r="Q1530" s="21" t="n">
        <v>0</v>
      </c>
      <c r="R1530" s="21" t="n">
        <v>0</v>
      </c>
      <c r="S1530" s="21" t="n">
        <v>0</v>
      </c>
      <c r="T1530" s="21" t="n">
        <v>0</v>
      </c>
      <c r="U1530" s="21" t="n">
        <v>0</v>
      </c>
      <c r="V1530" s="21" t="n">
        <v>0</v>
      </c>
      <c r="W1530" s="21" t="n">
        <v>0</v>
      </c>
      <c r="X1530" s="21" t="n">
        <v>0</v>
      </c>
      <c r="Y1530" s="21" t="n">
        <v>0</v>
      </c>
      <c r="Z1530" s="21" t="n">
        <v>0</v>
      </c>
      <c r="AA1530" s="21" t="n">
        <v>0</v>
      </c>
      <c r="AB1530" s="21" t="n">
        <v>0</v>
      </c>
      <c r="AC1530" s="21" t="n">
        <v>0</v>
      </c>
      <c r="AD1530" s="21" t="n">
        <v>0</v>
      </c>
      <c r="AE1530" s="21" t="n">
        <v>0</v>
      </c>
      <c r="AF1530" s="21" t="n">
        <v>0</v>
      </c>
      <c r="AG1530" s="21" t="n">
        <v>0</v>
      </c>
      <c r="AH1530" s="21" t="n">
        <v>0</v>
      </c>
      <c r="AI1530" s="21" t="n">
        <v>0</v>
      </c>
      <c r="AJ1530" s="21" t="n">
        <v>0</v>
      </c>
      <c r="AK1530" s="21" t="n">
        <v>0</v>
      </c>
      <c r="AL1530" s="21" t="n">
        <v>0</v>
      </c>
      <c r="AM1530" s="21" t="n">
        <v>0</v>
      </c>
      <c r="AN1530" s="21" t="n">
        <v>0</v>
      </c>
      <c r="AO1530" s="21" t="n">
        <v>0</v>
      </c>
      <c r="AP1530" s="21" t="n">
        <v>0</v>
      </c>
      <c r="AQ1530" s="21" t="n">
        <v>0</v>
      </c>
      <c r="AR1530" s="21" t="n">
        <v>0</v>
      </c>
      <c r="AS1530" s="21" t="n">
        <v>0</v>
      </c>
      <c r="AT1530" s="19" t="n"/>
    </row>
    <row r="1531">
      <c r="D1531" s="21">
        <f>-$B$18</f>
        <v/>
      </c>
      <c r="E1531" s="21">
        <f>-$B$19</f>
        <v/>
      </c>
      <c r="F1531" s="21">
        <f>2*$B$18+$D$1508</f>
        <v/>
      </c>
      <c r="G1531" s="21">
        <f>0</f>
        <v/>
      </c>
      <c r="H1531" s="21">
        <f>-$B$18</f>
        <v/>
      </c>
      <c r="I1531" s="21">
        <f>$B$19</f>
        <v/>
      </c>
      <c r="J1531" s="21" t="n">
        <v>0</v>
      </c>
      <c r="K1531" s="21" t="n">
        <v>0</v>
      </c>
      <c r="L1531" s="21" t="n">
        <v>0</v>
      </c>
      <c r="M1531" s="21" t="n">
        <v>0</v>
      </c>
      <c r="N1531" s="21" t="n">
        <v>0</v>
      </c>
      <c r="O1531" s="21" t="n">
        <v>0</v>
      </c>
      <c r="P1531" s="21" t="n">
        <v>0</v>
      </c>
      <c r="Q1531" s="21" t="n">
        <v>0</v>
      </c>
      <c r="R1531" s="21" t="n">
        <v>0</v>
      </c>
      <c r="S1531" s="21" t="n">
        <v>0</v>
      </c>
      <c r="T1531" s="21" t="n">
        <v>0</v>
      </c>
      <c r="U1531" s="21" t="n">
        <v>0</v>
      </c>
      <c r="V1531" s="21" t="n">
        <v>0</v>
      </c>
      <c r="W1531" s="21" t="n">
        <v>0</v>
      </c>
      <c r="X1531" s="21" t="n">
        <v>0</v>
      </c>
      <c r="Y1531" s="21" t="n">
        <v>0</v>
      </c>
      <c r="Z1531" s="21" t="n">
        <v>0</v>
      </c>
      <c r="AA1531" s="21" t="n">
        <v>0</v>
      </c>
      <c r="AB1531" s="21" t="n">
        <v>0</v>
      </c>
      <c r="AC1531" s="21" t="n">
        <v>0</v>
      </c>
      <c r="AD1531" s="21" t="n">
        <v>0</v>
      </c>
      <c r="AE1531" s="21" t="n">
        <v>0</v>
      </c>
      <c r="AF1531" s="21" t="n">
        <v>0</v>
      </c>
      <c r="AG1531" s="21" t="n">
        <v>0</v>
      </c>
      <c r="AH1531" s="21" t="n">
        <v>0</v>
      </c>
      <c r="AI1531" s="21" t="n">
        <v>0</v>
      </c>
      <c r="AJ1531" s="21" t="n">
        <v>0</v>
      </c>
      <c r="AK1531" s="21" t="n">
        <v>0</v>
      </c>
      <c r="AL1531" s="21" t="n">
        <v>0</v>
      </c>
      <c r="AM1531" s="21" t="n">
        <v>0</v>
      </c>
      <c r="AN1531" s="21" t="n">
        <v>0</v>
      </c>
      <c r="AO1531" s="21" t="n">
        <v>0</v>
      </c>
      <c r="AP1531" s="21" t="n">
        <v>0</v>
      </c>
      <c r="AQ1531" s="21" t="n">
        <v>0</v>
      </c>
      <c r="AR1531" s="21" t="n">
        <v>0</v>
      </c>
      <c r="AS1531" s="21" t="n">
        <v>0</v>
      </c>
      <c r="AT1531" s="19" t="n"/>
    </row>
    <row r="1532">
      <c r="D1532" s="21">
        <f>$B$19</f>
        <v/>
      </c>
      <c r="E1532" s="21">
        <f>$B$21</f>
        <v/>
      </c>
      <c r="F1532" s="21">
        <f>0</f>
        <v/>
      </c>
      <c r="G1532" s="21">
        <f>2*$B$20</f>
        <v/>
      </c>
      <c r="H1532" s="21">
        <f>-$B$19</f>
        <v/>
      </c>
      <c r="I1532" s="21">
        <f>$B$21</f>
        <v/>
      </c>
      <c r="J1532" s="21" t="n">
        <v>0</v>
      </c>
      <c r="K1532" s="21" t="n">
        <v>0</v>
      </c>
      <c r="L1532" s="21" t="n">
        <v>0</v>
      </c>
      <c r="M1532" s="21" t="n">
        <v>0</v>
      </c>
      <c r="N1532" s="21" t="n">
        <v>0</v>
      </c>
      <c r="O1532" s="21" t="n">
        <v>0</v>
      </c>
      <c r="P1532" s="21" t="n">
        <v>0</v>
      </c>
      <c r="Q1532" s="21" t="n">
        <v>0</v>
      </c>
      <c r="R1532" s="21" t="n">
        <v>0</v>
      </c>
      <c r="S1532" s="21" t="n">
        <v>0</v>
      </c>
      <c r="T1532" s="21" t="n">
        <v>0</v>
      </c>
      <c r="U1532" s="21" t="n">
        <v>0</v>
      </c>
      <c r="V1532" s="21" t="n">
        <v>0</v>
      </c>
      <c r="W1532" s="21" t="n">
        <v>0</v>
      </c>
      <c r="X1532" s="21" t="n">
        <v>0</v>
      </c>
      <c r="Y1532" s="21" t="n">
        <v>0</v>
      </c>
      <c r="Z1532" s="21" t="n">
        <v>0</v>
      </c>
      <c r="AA1532" s="21" t="n">
        <v>0</v>
      </c>
      <c r="AB1532" s="21" t="n">
        <v>0</v>
      </c>
      <c r="AC1532" s="21" t="n">
        <v>0</v>
      </c>
      <c r="AD1532" s="21" t="n">
        <v>0</v>
      </c>
      <c r="AE1532" s="21" t="n">
        <v>0</v>
      </c>
      <c r="AF1532" s="21" t="n">
        <v>0</v>
      </c>
      <c r="AG1532" s="21" t="n">
        <v>0</v>
      </c>
      <c r="AH1532" s="21" t="n">
        <v>0</v>
      </c>
      <c r="AI1532" s="21" t="n">
        <v>0</v>
      </c>
      <c r="AJ1532" s="21" t="n">
        <v>0</v>
      </c>
      <c r="AK1532" s="21" t="n">
        <v>0</v>
      </c>
      <c r="AL1532" s="21" t="n">
        <v>0</v>
      </c>
      <c r="AM1532" s="21" t="n">
        <v>0</v>
      </c>
      <c r="AN1532" s="21" t="n">
        <v>0</v>
      </c>
      <c r="AO1532" s="21" t="n">
        <v>0</v>
      </c>
      <c r="AP1532" s="21" t="n">
        <v>0</v>
      </c>
      <c r="AQ1532" s="21" t="n">
        <v>0</v>
      </c>
      <c r="AR1532" s="21" t="n">
        <v>0</v>
      </c>
      <c r="AS1532" s="21" t="n">
        <v>0</v>
      </c>
      <c r="AT1532" s="19" t="n"/>
    </row>
    <row r="1533">
      <c r="D1533" s="21" t="n">
        <v>0</v>
      </c>
      <c r="E1533" s="21" t="n">
        <v>0</v>
      </c>
      <c r="F1533" s="21">
        <f>-$B$18</f>
        <v/>
      </c>
      <c r="G1533" s="21">
        <f>-$B$19</f>
        <v/>
      </c>
      <c r="H1533" s="21">
        <f>2*$B$18+$D$1509</f>
        <v/>
      </c>
      <c r="I1533" s="21">
        <f>0</f>
        <v/>
      </c>
      <c r="J1533" s="21">
        <f>-$B$18</f>
        <v/>
      </c>
      <c r="K1533" s="21">
        <f>$B$19</f>
        <v/>
      </c>
      <c r="L1533" s="21" t="n">
        <v>0</v>
      </c>
      <c r="M1533" s="21" t="n">
        <v>0</v>
      </c>
      <c r="N1533" s="21" t="n">
        <v>0</v>
      </c>
      <c r="O1533" s="21" t="n">
        <v>0</v>
      </c>
      <c r="P1533" s="21" t="n">
        <v>0</v>
      </c>
      <c r="Q1533" s="21" t="n">
        <v>0</v>
      </c>
      <c r="R1533" s="21" t="n">
        <v>0</v>
      </c>
      <c r="S1533" s="21" t="n">
        <v>0</v>
      </c>
      <c r="T1533" s="21" t="n">
        <v>0</v>
      </c>
      <c r="U1533" s="21" t="n">
        <v>0</v>
      </c>
      <c r="V1533" s="21" t="n">
        <v>0</v>
      </c>
      <c r="W1533" s="21" t="n">
        <v>0</v>
      </c>
      <c r="X1533" s="21" t="n">
        <v>0</v>
      </c>
      <c r="Y1533" s="21" t="n">
        <v>0</v>
      </c>
      <c r="Z1533" s="21" t="n">
        <v>0</v>
      </c>
      <c r="AA1533" s="21" t="n">
        <v>0</v>
      </c>
      <c r="AB1533" s="21" t="n">
        <v>0</v>
      </c>
      <c r="AC1533" s="21" t="n">
        <v>0</v>
      </c>
      <c r="AD1533" s="21" t="n">
        <v>0</v>
      </c>
      <c r="AE1533" s="21" t="n">
        <v>0</v>
      </c>
      <c r="AF1533" s="21" t="n">
        <v>0</v>
      </c>
      <c r="AG1533" s="21" t="n">
        <v>0</v>
      </c>
      <c r="AH1533" s="21" t="n">
        <v>0</v>
      </c>
      <c r="AI1533" s="21" t="n">
        <v>0</v>
      </c>
      <c r="AJ1533" s="21" t="n">
        <v>0</v>
      </c>
      <c r="AK1533" s="21" t="n">
        <v>0</v>
      </c>
      <c r="AL1533" s="21" t="n">
        <v>0</v>
      </c>
      <c r="AM1533" s="21" t="n">
        <v>0</v>
      </c>
      <c r="AN1533" s="21" t="n">
        <v>0</v>
      </c>
      <c r="AO1533" s="21" t="n">
        <v>0</v>
      </c>
      <c r="AP1533" s="21" t="n">
        <v>0</v>
      </c>
      <c r="AQ1533" s="21" t="n">
        <v>0</v>
      </c>
      <c r="AR1533" s="21" t="n">
        <v>0</v>
      </c>
      <c r="AS1533" s="21" t="n">
        <v>0</v>
      </c>
      <c r="AT1533" s="19" t="n"/>
    </row>
    <row r="1534">
      <c r="D1534" s="21" t="n">
        <v>0</v>
      </c>
      <c r="E1534" s="21" t="n">
        <v>0</v>
      </c>
      <c r="F1534" s="21">
        <f>$B$19</f>
        <v/>
      </c>
      <c r="G1534" s="21">
        <f>$B$21</f>
        <v/>
      </c>
      <c r="H1534" s="21">
        <f>0</f>
        <v/>
      </c>
      <c r="I1534" s="21">
        <f>2*$B$20</f>
        <v/>
      </c>
      <c r="J1534" s="21">
        <f>-$B$19</f>
        <v/>
      </c>
      <c r="K1534" s="21">
        <f>$B$21</f>
        <v/>
      </c>
      <c r="L1534" s="21" t="n">
        <v>0</v>
      </c>
      <c r="M1534" s="21" t="n">
        <v>0</v>
      </c>
      <c r="N1534" s="21" t="n">
        <v>0</v>
      </c>
      <c r="O1534" s="21" t="n">
        <v>0</v>
      </c>
      <c r="P1534" s="21" t="n">
        <v>0</v>
      </c>
      <c r="Q1534" s="21" t="n">
        <v>0</v>
      </c>
      <c r="R1534" s="21" t="n">
        <v>0</v>
      </c>
      <c r="S1534" s="21" t="n">
        <v>0</v>
      </c>
      <c r="T1534" s="21" t="n">
        <v>0</v>
      </c>
      <c r="U1534" s="21" t="n">
        <v>0</v>
      </c>
      <c r="V1534" s="21" t="n">
        <v>0</v>
      </c>
      <c r="W1534" s="21" t="n">
        <v>0</v>
      </c>
      <c r="X1534" s="21" t="n">
        <v>0</v>
      </c>
      <c r="Y1534" s="21" t="n">
        <v>0</v>
      </c>
      <c r="Z1534" s="21" t="n">
        <v>0</v>
      </c>
      <c r="AA1534" s="21" t="n">
        <v>0</v>
      </c>
      <c r="AB1534" s="21" t="n">
        <v>0</v>
      </c>
      <c r="AC1534" s="21" t="n">
        <v>0</v>
      </c>
      <c r="AD1534" s="21" t="n">
        <v>0</v>
      </c>
      <c r="AE1534" s="21" t="n">
        <v>0</v>
      </c>
      <c r="AF1534" s="21" t="n">
        <v>0</v>
      </c>
      <c r="AG1534" s="21" t="n">
        <v>0</v>
      </c>
      <c r="AH1534" s="21" t="n">
        <v>0</v>
      </c>
      <c r="AI1534" s="21" t="n">
        <v>0</v>
      </c>
      <c r="AJ1534" s="21" t="n">
        <v>0</v>
      </c>
      <c r="AK1534" s="21" t="n">
        <v>0</v>
      </c>
      <c r="AL1534" s="21" t="n">
        <v>0</v>
      </c>
      <c r="AM1534" s="21" t="n">
        <v>0</v>
      </c>
      <c r="AN1534" s="21" t="n">
        <v>0</v>
      </c>
      <c r="AO1534" s="21" t="n">
        <v>0</v>
      </c>
      <c r="AP1534" s="21" t="n">
        <v>0</v>
      </c>
      <c r="AQ1534" s="21" t="n">
        <v>0</v>
      </c>
      <c r="AR1534" s="21" t="n">
        <v>0</v>
      </c>
      <c r="AS1534" s="21" t="n">
        <v>0</v>
      </c>
      <c r="AT1534" s="19" t="n"/>
    </row>
    <row r="1535">
      <c r="D1535" s="21" t="n">
        <v>0</v>
      </c>
      <c r="E1535" s="21" t="n">
        <v>0</v>
      </c>
      <c r="F1535" s="21" t="n">
        <v>0</v>
      </c>
      <c r="G1535" s="21" t="n">
        <v>0</v>
      </c>
      <c r="H1535" s="21">
        <f>-$B$18</f>
        <v/>
      </c>
      <c r="I1535" s="21">
        <f>-$B$19</f>
        <v/>
      </c>
      <c r="J1535" s="21">
        <f>2*$B$18+$D$1510</f>
        <v/>
      </c>
      <c r="K1535" s="21">
        <f>0</f>
        <v/>
      </c>
      <c r="L1535" s="21">
        <f>-$B$18</f>
        <v/>
      </c>
      <c r="M1535" s="21">
        <f>$B$19</f>
        <v/>
      </c>
      <c r="N1535" s="21" t="n">
        <v>0</v>
      </c>
      <c r="O1535" s="21" t="n">
        <v>0</v>
      </c>
      <c r="P1535" s="21" t="n">
        <v>0</v>
      </c>
      <c r="Q1535" s="21" t="n">
        <v>0</v>
      </c>
      <c r="R1535" s="21" t="n">
        <v>0</v>
      </c>
      <c r="S1535" s="21" t="n">
        <v>0</v>
      </c>
      <c r="T1535" s="21" t="n">
        <v>0</v>
      </c>
      <c r="U1535" s="21" t="n">
        <v>0</v>
      </c>
      <c r="V1535" s="21" t="n">
        <v>0</v>
      </c>
      <c r="W1535" s="21" t="n">
        <v>0</v>
      </c>
      <c r="X1535" s="21" t="n">
        <v>0</v>
      </c>
      <c r="Y1535" s="21" t="n">
        <v>0</v>
      </c>
      <c r="Z1535" s="21" t="n">
        <v>0</v>
      </c>
      <c r="AA1535" s="21" t="n">
        <v>0</v>
      </c>
      <c r="AB1535" s="21" t="n">
        <v>0</v>
      </c>
      <c r="AC1535" s="21" t="n">
        <v>0</v>
      </c>
      <c r="AD1535" s="21" t="n">
        <v>0</v>
      </c>
      <c r="AE1535" s="21" t="n">
        <v>0</v>
      </c>
      <c r="AF1535" s="21" t="n">
        <v>0</v>
      </c>
      <c r="AG1535" s="21" t="n">
        <v>0</v>
      </c>
      <c r="AH1535" s="21" t="n">
        <v>0</v>
      </c>
      <c r="AI1535" s="21" t="n">
        <v>0</v>
      </c>
      <c r="AJ1535" s="21" t="n">
        <v>0</v>
      </c>
      <c r="AK1535" s="21" t="n">
        <v>0</v>
      </c>
      <c r="AL1535" s="21" t="n">
        <v>0</v>
      </c>
      <c r="AM1535" s="21" t="n">
        <v>0</v>
      </c>
      <c r="AN1535" s="21" t="n">
        <v>0</v>
      </c>
      <c r="AO1535" s="21" t="n">
        <v>0</v>
      </c>
      <c r="AP1535" s="21" t="n">
        <v>0</v>
      </c>
      <c r="AQ1535" s="21" t="n">
        <v>0</v>
      </c>
      <c r="AR1535" s="21" t="n">
        <v>0</v>
      </c>
      <c r="AS1535" s="21" t="n">
        <v>0</v>
      </c>
      <c r="AT1535" s="19" t="n"/>
    </row>
    <row r="1536">
      <c r="D1536" s="21" t="n">
        <v>0</v>
      </c>
      <c r="E1536" s="21" t="n">
        <v>0</v>
      </c>
      <c r="F1536" s="21" t="n">
        <v>0</v>
      </c>
      <c r="G1536" s="21" t="n">
        <v>0</v>
      </c>
      <c r="H1536" s="21">
        <f>$B$19</f>
        <v/>
      </c>
      <c r="I1536" s="21">
        <f>$B$21</f>
        <v/>
      </c>
      <c r="J1536" s="21">
        <f>0</f>
        <v/>
      </c>
      <c r="K1536" s="21">
        <f>2*$B$20</f>
        <v/>
      </c>
      <c r="L1536" s="21">
        <f>-$B$19</f>
        <v/>
      </c>
      <c r="M1536" s="21">
        <f>$B$21</f>
        <v/>
      </c>
      <c r="N1536" s="21" t="n">
        <v>0</v>
      </c>
      <c r="O1536" s="21" t="n">
        <v>0</v>
      </c>
      <c r="P1536" s="21" t="n">
        <v>0</v>
      </c>
      <c r="Q1536" s="21" t="n">
        <v>0</v>
      </c>
      <c r="R1536" s="21" t="n">
        <v>0</v>
      </c>
      <c r="S1536" s="21" t="n">
        <v>0</v>
      </c>
      <c r="T1536" s="21" t="n">
        <v>0</v>
      </c>
      <c r="U1536" s="21" t="n">
        <v>0</v>
      </c>
      <c r="V1536" s="21" t="n">
        <v>0</v>
      </c>
      <c r="W1536" s="21" t="n">
        <v>0</v>
      </c>
      <c r="X1536" s="21" t="n">
        <v>0</v>
      </c>
      <c r="Y1536" s="21" t="n">
        <v>0</v>
      </c>
      <c r="Z1536" s="21" t="n">
        <v>0</v>
      </c>
      <c r="AA1536" s="21" t="n">
        <v>0</v>
      </c>
      <c r="AB1536" s="21" t="n">
        <v>0</v>
      </c>
      <c r="AC1536" s="21" t="n">
        <v>0</v>
      </c>
      <c r="AD1536" s="21" t="n">
        <v>0</v>
      </c>
      <c r="AE1536" s="21" t="n">
        <v>0</v>
      </c>
      <c r="AF1536" s="21" t="n">
        <v>0</v>
      </c>
      <c r="AG1536" s="21" t="n">
        <v>0</v>
      </c>
      <c r="AH1536" s="21" t="n">
        <v>0</v>
      </c>
      <c r="AI1536" s="21" t="n">
        <v>0</v>
      </c>
      <c r="AJ1536" s="21" t="n">
        <v>0</v>
      </c>
      <c r="AK1536" s="21" t="n">
        <v>0</v>
      </c>
      <c r="AL1536" s="21" t="n">
        <v>0</v>
      </c>
      <c r="AM1536" s="21" t="n">
        <v>0</v>
      </c>
      <c r="AN1536" s="21" t="n">
        <v>0</v>
      </c>
      <c r="AO1536" s="21" t="n">
        <v>0</v>
      </c>
      <c r="AP1536" s="21" t="n">
        <v>0</v>
      </c>
      <c r="AQ1536" s="21" t="n">
        <v>0</v>
      </c>
      <c r="AR1536" s="21" t="n">
        <v>0</v>
      </c>
      <c r="AS1536" s="21" t="n">
        <v>0</v>
      </c>
      <c r="AT1536" s="19" t="n"/>
    </row>
    <row r="1537">
      <c r="D1537" s="21" t="n">
        <v>0</v>
      </c>
      <c r="E1537" s="21" t="n">
        <v>0</v>
      </c>
      <c r="F1537" s="21" t="n">
        <v>0</v>
      </c>
      <c r="G1537" s="21" t="n">
        <v>0</v>
      </c>
      <c r="H1537" s="21" t="n">
        <v>0</v>
      </c>
      <c r="I1537" s="21" t="n">
        <v>0</v>
      </c>
      <c r="J1537" s="21">
        <f>-$B$18</f>
        <v/>
      </c>
      <c r="K1537" s="21">
        <f>-$B$19</f>
        <v/>
      </c>
      <c r="L1537" s="21">
        <f>2*$B$18+$D$1511</f>
        <v/>
      </c>
      <c r="M1537" s="21">
        <f>0</f>
        <v/>
      </c>
      <c r="N1537" s="21">
        <f>-$B$18</f>
        <v/>
      </c>
      <c r="O1537" s="21">
        <f>$B$19</f>
        <v/>
      </c>
      <c r="P1537" s="21" t="n">
        <v>0</v>
      </c>
      <c r="Q1537" s="21" t="n">
        <v>0</v>
      </c>
      <c r="R1537" s="21" t="n">
        <v>0</v>
      </c>
      <c r="S1537" s="21" t="n">
        <v>0</v>
      </c>
      <c r="T1537" s="21" t="n">
        <v>0</v>
      </c>
      <c r="U1537" s="21" t="n">
        <v>0</v>
      </c>
      <c r="V1537" s="21" t="n">
        <v>0</v>
      </c>
      <c r="W1537" s="21" t="n">
        <v>0</v>
      </c>
      <c r="X1537" s="21" t="n">
        <v>0</v>
      </c>
      <c r="Y1537" s="21" t="n">
        <v>0</v>
      </c>
      <c r="Z1537" s="21" t="n">
        <v>0</v>
      </c>
      <c r="AA1537" s="21" t="n">
        <v>0</v>
      </c>
      <c r="AB1537" s="21" t="n">
        <v>0</v>
      </c>
      <c r="AC1537" s="21" t="n">
        <v>0</v>
      </c>
      <c r="AD1537" s="21" t="n">
        <v>0</v>
      </c>
      <c r="AE1537" s="21" t="n">
        <v>0</v>
      </c>
      <c r="AF1537" s="21" t="n">
        <v>0</v>
      </c>
      <c r="AG1537" s="21" t="n">
        <v>0</v>
      </c>
      <c r="AH1537" s="21" t="n">
        <v>0</v>
      </c>
      <c r="AI1537" s="21" t="n">
        <v>0</v>
      </c>
      <c r="AJ1537" s="21" t="n">
        <v>0</v>
      </c>
      <c r="AK1537" s="21" t="n">
        <v>0</v>
      </c>
      <c r="AL1537" s="21" t="n">
        <v>0</v>
      </c>
      <c r="AM1537" s="21" t="n">
        <v>0</v>
      </c>
      <c r="AN1537" s="21" t="n">
        <v>0</v>
      </c>
      <c r="AO1537" s="21" t="n">
        <v>0</v>
      </c>
      <c r="AP1537" s="21" t="n">
        <v>0</v>
      </c>
      <c r="AQ1537" s="21" t="n">
        <v>0</v>
      </c>
      <c r="AR1537" s="21" t="n">
        <v>0</v>
      </c>
      <c r="AS1537" s="21" t="n">
        <v>0</v>
      </c>
      <c r="AT1537" s="19" t="n"/>
    </row>
    <row r="1538">
      <c r="D1538" s="21" t="n">
        <v>0</v>
      </c>
      <c r="E1538" s="21" t="n">
        <v>0</v>
      </c>
      <c r="F1538" s="21" t="n">
        <v>0</v>
      </c>
      <c r="G1538" s="21" t="n">
        <v>0</v>
      </c>
      <c r="H1538" s="21" t="n">
        <v>0</v>
      </c>
      <c r="I1538" s="21" t="n">
        <v>0</v>
      </c>
      <c r="J1538" s="21">
        <f>$B$19</f>
        <v/>
      </c>
      <c r="K1538" s="21">
        <f>$B$21</f>
        <v/>
      </c>
      <c r="L1538" s="21">
        <f>0</f>
        <v/>
      </c>
      <c r="M1538" s="21">
        <f>2*$B$20</f>
        <v/>
      </c>
      <c r="N1538" s="21">
        <f>-$B$19</f>
        <v/>
      </c>
      <c r="O1538" s="21">
        <f>$B$21</f>
        <v/>
      </c>
      <c r="P1538" s="21" t="n">
        <v>0</v>
      </c>
      <c r="Q1538" s="21" t="n">
        <v>0</v>
      </c>
      <c r="R1538" s="21" t="n">
        <v>0</v>
      </c>
      <c r="S1538" s="21" t="n">
        <v>0</v>
      </c>
      <c r="T1538" s="21" t="n">
        <v>0</v>
      </c>
      <c r="U1538" s="21" t="n">
        <v>0</v>
      </c>
      <c r="V1538" s="21" t="n">
        <v>0</v>
      </c>
      <c r="W1538" s="21" t="n">
        <v>0</v>
      </c>
      <c r="X1538" s="21" t="n">
        <v>0</v>
      </c>
      <c r="Y1538" s="21" t="n">
        <v>0</v>
      </c>
      <c r="Z1538" s="21" t="n">
        <v>0</v>
      </c>
      <c r="AA1538" s="21" t="n">
        <v>0</v>
      </c>
      <c r="AB1538" s="21" t="n">
        <v>0</v>
      </c>
      <c r="AC1538" s="21" t="n">
        <v>0</v>
      </c>
      <c r="AD1538" s="21" t="n">
        <v>0</v>
      </c>
      <c r="AE1538" s="21" t="n">
        <v>0</v>
      </c>
      <c r="AF1538" s="21" t="n">
        <v>0</v>
      </c>
      <c r="AG1538" s="21" t="n">
        <v>0</v>
      </c>
      <c r="AH1538" s="21" t="n">
        <v>0</v>
      </c>
      <c r="AI1538" s="21" t="n">
        <v>0</v>
      </c>
      <c r="AJ1538" s="21" t="n">
        <v>0</v>
      </c>
      <c r="AK1538" s="21" t="n">
        <v>0</v>
      </c>
      <c r="AL1538" s="21" t="n">
        <v>0</v>
      </c>
      <c r="AM1538" s="21" t="n">
        <v>0</v>
      </c>
      <c r="AN1538" s="21" t="n">
        <v>0</v>
      </c>
      <c r="AO1538" s="21" t="n">
        <v>0</v>
      </c>
      <c r="AP1538" s="21" t="n">
        <v>0</v>
      </c>
      <c r="AQ1538" s="21" t="n">
        <v>0</v>
      </c>
      <c r="AR1538" s="21" t="n">
        <v>0</v>
      </c>
      <c r="AS1538" s="21" t="n">
        <v>0</v>
      </c>
      <c r="AT1538" s="19" t="n"/>
    </row>
    <row r="1539">
      <c r="D1539" s="21" t="n">
        <v>0</v>
      </c>
      <c r="E1539" s="21" t="n">
        <v>0</v>
      </c>
      <c r="F1539" s="21" t="n">
        <v>0</v>
      </c>
      <c r="G1539" s="21" t="n">
        <v>0</v>
      </c>
      <c r="H1539" s="21" t="n">
        <v>0</v>
      </c>
      <c r="I1539" s="21" t="n">
        <v>0</v>
      </c>
      <c r="J1539" s="21" t="n">
        <v>0</v>
      </c>
      <c r="K1539" s="21" t="n">
        <v>0</v>
      </c>
      <c r="L1539" s="21">
        <f>-$B$18</f>
        <v/>
      </c>
      <c r="M1539" s="21">
        <f>-$B$19</f>
        <v/>
      </c>
      <c r="N1539" s="21">
        <f>2*$B$18+$D$1512</f>
        <v/>
      </c>
      <c r="O1539" s="21">
        <f>0</f>
        <v/>
      </c>
      <c r="P1539" s="21">
        <f>-$B$18</f>
        <v/>
      </c>
      <c r="Q1539" s="21">
        <f>$B$19</f>
        <v/>
      </c>
      <c r="R1539" s="21" t="n">
        <v>0</v>
      </c>
      <c r="S1539" s="21" t="n">
        <v>0</v>
      </c>
      <c r="T1539" s="21" t="n">
        <v>0</v>
      </c>
      <c r="U1539" s="21" t="n">
        <v>0</v>
      </c>
      <c r="V1539" s="21" t="n">
        <v>0</v>
      </c>
      <c r="W1539" s="21" t="n">
        <v>0</v>
      </c>
      <c r="X1539" s="21" t="n">
        <v>0</v>
      </c>
      <c r="Y1539" s="21" t="n">
        <v>0</v>
      </c>
      <c r="Z1539" s="21" t="n">
        <v>0</v>
      </c>
      <c r="AA1539" s="21" t="n">
        <v>0</v>
      </c>
      <c r="AB1539" s="21" t="n">
        <v>0</v>
      </c>
      <c r="AC1539" s="21" t="n">
        <v>0</v>
      </c>
      <c r="AD1539" s="21" t="n">
        <v>0</v>
      </c>
      <c r="AE1539" s="21" t="n">
        <v>0</v>
      </c>
      <c r="AF1539" s="21" t="n">
        <v>0</v>
      </c>
      <c r="AG1539" s="21" t="n">
        <v>0</v>
      </c>
      <c r="AH1539" s="21" t="n">
        <v>0</v>
      </c>
      <c r="AI1539" s="21" t="n">
        <v>0</v>
      </c>
      <c r="AJ1539" s="21" t="n">
        <v>0</v>
      </c>
      <c r="AK1539" s="21" t="n">
        <v>0</v>
      </c>
      <c r="AL1539" s="21" t="n">
        <v>0</v>
      </c>
      <c r="AM1539" s="21" t="n">
        <v>0</v>
      </c>
      <c r="AN1539" s="21" t="n">
        <v>0</v>
      </c>
      <c r="AO1539" s="21" t="n">
        <v>0</v>
      </c>
      <c r="AP1539" s="21" t="n">
        <v>0</v>
      </c>
      <c r="AQ1539" s="21" t="n">
        <v>0</v>
      </c>
      <c r="AR1539" s="21" t="n">
        <v>0</v>
      </c>
      <c r="AS1539" s="21" t="n">
        <v>0</v>
      </c>
      <c r="AT1539" s="19" t="n"/>
    </row>
    <row r="1540">
      <c r="D1540" s="21" t="n">
        <v>0</v>
      </c>
      <c r="E1540" s="21" t="n">
        <v>0</v>
      </c>
      <c r="F1540" s="21" t="n">
        <v>0</v>
      </c>
      <c r="G1540" s="21" t="n">
        <v>0</v>
      </c>
      <c r="H1540" s="21" t="n">
        <v>0</v>
      </c>
      <c r="I1540" s="21" t="n">
        <v>0</v>
      </c>
      <c r="J1540" s="21" t="n">
        <v>0</v>
      </c>
      <c r="K1540" s="21" t="n">
        <v>0</v>
      </c>
      <c r="L1540" s="21">
        <f>$B$19</f>
        <v/>
      </c>
      <c r="M1540" s="21">
        <f>$B$21</f>
        <v/>
      </c>
      <c r="N1540" s="21">
        <f>0</f>
        <v/>
      </c>
      <c r="O1540" s="21">
        <f>2*$B$20</f>
        <v/>
      </c>
      <c r="P1540" s="21">
        <f>-$B$19</f>
        <v/>
      </c>
      <c r="Q1540" s="21">
        <f>$B$21</f>
        <v/>
      </c>
      <c r="R1540" s="21" t="n">
        <v>0</v>
      </c>
      <c r="S1540" s="21" t="n">
        <v>0</v>
      </c>
      <c r="T1540" s="21" t="n">
        <v>0</v>
      </c>
      <c r="U1540" s="21" t="n">
        <v>0</v>
      </c>
      <c r="V1540" s="21" t="n">
        <v>0</v>
      </c>
      <c r="W1540" s="21" t="n">
        <v>0</v>
      </c>
      <c r="X1540" s="21" t="n">
        <v>0</v>
      </c>
      <c r="Y1540" s="21" t="n">
        <v>0</v>
      </c>
      <c r="Z1540" s="21" t="n">
        <v>0</v>
      </c>
      <c r="AA1540" s="21" t="n">
        <v>0</v>
      </c>
      <c r="AB1540" s="21" t="n">
        <v>0</v>
      </c>
      <c r="AC1540" s="21" t="n">
        <v>0</v>
      </c>
      <c r="AD1540" s="21" t="n">
        <v>0</v>
      </c>
      <c r="AE1540" s="21" t="n">
        <v>0</v>
      </c>
      <c r="AF1540" s="21" t="n">
        <v>0</v>
      </c>
      <c r="AG1540" s="21" t="n">
        <v>0</v>
      </c>
      <c r="AH1540" s="21" t="n">
        <v>0</v>
      </c>
      <c r="AI1540" s="21" t="n">
        <v>0</v>
      </c>
      <c r="AJ1540" s="21" t="n">
        <v>0</v>
      </c>
      <c r="AK1540" s="21" t="n">
        <v>0</v>
      </c>
      <c r="AL1540" s="21" t="n">
        <v>0</v>
      </c>
      <c r="AM1540" s="21" t="n">
        <v>0</v>
      </c>
      <c r="AN1540" s="21" t="n">
        <v>0</v>
      </c>
      <c r="AO1540" s="21" t="n">
        <v>0</v>
      </c>
      <c r="AP1540" s="21" t="n">
        <v>0</v>
      </c>
      <c r="AQ1540" s="21" t="n">
        <v>0</v>
      </c>
      <c r="AR1540" s="21" t="n">
        <v>0</v>
      </c>
      <c r="AS1540" s="21" t="n">
        <v>0</v>
      </c>
      <c r="AT1540" s="19" t="n"/>
    </row>
    <row r="1541">
      <c r="D1541" s="21" t="n">
        <v>0</v>
      </c>
      <c r="E1541" s="21" t="n">
        <v>0</v>
      </c>
      <c r="F1541" s="21" t="n">
        <v>0</v>
      </c>
      <c r="G1541" s="21" t="n">
        <v>0</v>
      </c>
      <c r="H1541" s="21" t="n">
        <v>0</v>
      </c>
      <c r="I1541" s="21" t="n">
        <v>0</v>
      </c>
      <c r="J1541" s="21" t="n">
        <v>0</v>
      </c>
      <c r="K1541" s="21" t="n">
        <v>0</v>
      </c>
      <c r="L1541" s="21" t="n">
        <v>0</v>
      </c>
      <c r="M1541" s="21" t="n">
        <v>0</v>
      </c>
      <c r="N1541" s="21">
        <f>-$B$18</f>
        <v/>
      </c>
      <c r="O1541" s="21">
        <f>-$B$19</f>
        <v/>
      </c>
      <c r="P1541" s="21">
        <f>2*$B$18+$D$1513</f>
        <v/>
      </c>
      <c r="Q1541" s="21">
        <f>0</f>
        <v/>
      </c>
      <c r="R1541" s="21">
        <f>-$B$18</f>
        <v/>
      </c>
      <c r="S1541" s="21">
        <f>$B$19</f>
        <v/>
      </c>
      <c r="T1541" s="21" t="n">
        <v>0</v>
      </c>
      <c r="U1541" s="21" t="n">
        <v>0</v>
      </c>
      <c r="V1541" s="21" t="n">
        <v>0</v>
      </c>
      <c r="W1541" s="21" t="n">
        <v>0</v>
      </c>
      <c r="X1541" s="21" t="n">
        <v>0</v>
      </c>
      <c r="Y1541" s="21" t="n">
        <v>0</v>
      </c>
      <c r="Z1541" s="21" t="n">
        <v>0</v>
      </c>
      <c r="AA1541" s="21" t="n">
        <v>0</v>
      </c>
      <c r="AB1541" s="21" t="n">
        <v>0</v>
      </c>
      <c r="AC1541" s="21" t="n">
        <v>0</v>
      </c>
      <c r="AD1541" s="21" t="n">
        <v>0</v>
      </c>
      <c r="AE1541" s="21" t="n">
        <v>0</v>
      </c>
      <c r="AF1541" s="21" t="n">
        <v>0</v>
      </c>
      <c r="AG1541" s="21" t="n">
        <v>0</v>
      </c>
      <c r="AH1541" s="21" t="n">
        <v>0</v>
      </c>
      <c r="AI1541" s="21" t="n">
        <v>0</v>
      </c>
      <c r="AJ1541" s="21" t="n">
        <v>0</v>
      </c>
      <c r="AK1541" s="21" t="n">
        <v>0</v>
      </c>
      <c r="AL1541" s="21" t="n">
        <v>0</v>
      </c>
      <c r="AM1541" s="21" t="n">
        <v>0</v>
      </c>
      <c r="AN1541" s="21" t="n">
        <v>0</v>
      </c>
      <c r="AO1541" s="21" t="n">
        <v>0</v>
      </c>
      <c r="AP1541" s="21" t="n">
        <v>0</v>
      </c>
      <c r="AQ1541" s="21" t="n">
        <v>0</v>
      </c>
      <c r="AR1541" s="21" t="n">
        <v>0</v>
      </c>
      <c r="AS1541" s="21" t="n">
        <v>0</v>
      </c>
      <c r="AT1541" s="19" t="n"/>
    </row>
    <row r="1542">
      <c r="D1542" s="21" t="n">
        <v>0</v>
      </c>
      <c r="E1542" s="21" t="n">
        <v>0</v>
      </c>
      <c r="F1542" s="21" t="n">
        <v>0</v>
      </c>
      <c r="G1542" s="21" t="n">
        <v>0</v>
      </c>
      <c r="H1542" s="21" t="n">
        <v>0</v>
      </c>
      <c r="I1542" s="21" t="n">
        <v>0</v>
      </c>
      <c r="J1542" s="21" t="n">
        <v>0</v>
      </c>
      <c r="K1542" s="21" t="n">
        <v>0</v>
      </c>
      <c r="L1542" s="21" t="n">
        <v>0</v>
      </c>
      <c r="M1542" s="21" t="n">
        <v>0</v>
      </c>
      <c r="N1542" s="21">
        <f>$B$19</f>
        <v/>
      </c>
      <c r="O1542" s="21">
        <f>$B$21</f>
        <v/>
      </c>
      <c r="P1542" s="21">
        <f>0</f>
        <v/>
      </c>
      <c r="Q1542" s="21">
        <f>2*$B$20</f>
        <v/>
      </c>
      <c r="R1542" s="21">
        <f>-$B$19</f>
        <v/>
      </c>
      <c r="S1542" s="21">
        <f>$B$21</f>
        <v/>
      </c>
      <c r="T1542" s="21" t="n">
        <v>0</v>
      </c>
      <c r="U1542" s="21" t="n">
        <v>0</v>
      </c>
      <c r="V1542" s="21" t="n">
        <v>0</v>
      </c>
      <c r="W1542" s="21" t="n">
        <v>0</v>
      </c>
      <c r="X1542" s="21" t="n">
        <v>0</v>
      </c>
      <c r="Y1542" s="21" t="n">
        <v>0</v>
      </c>
      <c r="Z1542" s="21" t="n">
        <v>0</v>
      </c>
      <c r="AA1542" s="21" t="n">
        <v>0</v>
      </c>
      <c r="AB1542" s="21" t="n">
        <v>0</v>
      </c>
      <c r="AC1542" s="21" t="n">
        <v>0</v>
      </c>
      <c r="AD1542" s="21" t="n">
        <v>0</v>
      </c>
      <c r="AE1542" s="21" t="n">
        <v>0</v>
      </c>
      <c r="AF1542" s="21" t="n">
        <v>0</v>
      </c>
      <c r="AG1542" s="21" t="n">
        <v>0</v>
      </c>
      <c r="AH1542" s="21" t="n">
        <v>0</v>
      </c>
      <c r="AI1542" s="21" t="n">
        <v>0</v>
      </c>
      <c r="AJ1542" s="21" t="n">
        <v>0</v>
      </c>
      <c r="AK1542" s="21" t="n">
        <v>0</v>
      </c>
      <c r="AL1542" s="21" t="n">
        <v>0</v>
      </c>
      <c r="AM1542" s="21" t="n">
        <v>0</v>
      </c>
      <c r="AN1542" s="21" t="n">
        <v>0</v>
      </c>
      <c r="AO1542" s="21" t="n">
        <v>0</v>
      </c>
      <c r="AP1542" s="21" t="n">
        <v>0</v>
      </c>
      <c r="AQ1542" s="21" t="n">
        <v>0</v>
      </c>
      <c r="AR1542" s="21" t="n">
        <v>0</v>
      </c>
      <c r="AS1542" s="21" t="n">
        <v>0</v>
      </c>
      <c r="AT1542" s="19" t="n"/>
    </row>
    <row r="1543">
      <c r="D1543" s="21" t="n">
        <v>0</v>
      </c>
      <c r="E1543" s="21" t="n">
        <v>0</v>
      </c>
      <c r="F1543" s="21" t="n">
        <v>0</v>
      </c>
      <c r="G1543" s="21" t="n">
        <v>0</v>
      </c>
      <c r="H1543" s="21" t="n">
        <v>0</v>
      </c>
      <c r="I1543" s="21" t="n">
        <v>0</v>
      </c>
      <c r="J1543" s="21" t="n">
        <v>0</v>
      </c>
      <c r="K1543" s="21" t="n">
        <v>0</v>
      </c>
      <c r="L1543" s="21" t="n">
        <v>0</v>
      </c>
      <c r="M1543" s="21" t="n">
        <v>0</v>
      </c>
      <c r="N1543" s="21" t="n">
        <v>0</v>
      </c>
      <c r="O1543" s="21" t="n">
        <v>0</v>
      </c>
      <c r="P1543" s="21">
        <f>-$B$18</f>
        <v/>
      </c>
      <c r="Q1543" s="21">
        <f>-$B$19</f>
        <v/>
      </c>
      <c r="R1543" s="21">
        <f>2*$B$18+$D$1514</f>
        <v/>
      </c>
      <c r="S1543" s="21">
        <f>0</f>
        <v/>
      </c>
      <c r="T1543" s="21">
        <f>-$B$18</f>
        <v/>
      </c>
      <c r="U1543" s="21">
        <f>$B$19</f>
        <v/>
      </c>
      <c r="V1543" s="21" t="n">
        <v>0</v>
      </c>
      <c r="W1543" s="21" t="n">
        <v>0</v>
      </c>
      <c r="X1543" s="21" t="n">
        <v>0</v>
      </c>
      <c r="Y1543" s="21" t="n">
        <v>0</v>
      </c>
      <c r="Z1543" s="21" t="n">
        <v>0</v>
      </c>
      <c r="AA1543" s="21" t="n">
        <v>0</v>
      </c>
      <c r="AB1543" s="21" t="n">
        <v>0</v>
      </c>
      <c r="AC1543" s="21" t="n">
        <v>0</v>
      </c>
      <c r="AD1543" s="21" t="n">
        <v>0</v>
      </c>
      <c r="AE1543" s="21" t="n">
        <v>0</v>
      </c>
      <c r="AF1543" s="21" t="n">
        <v>0</v>
      </c>
      <c r="AG1543" s="21" t="n">
        <v>0</v>
      </c>
      <c r="AH1543" s="21" t="n">
        <v>0</v>
      </c>
      <c r="AI1543" s="21" t="n">
        <v>0</v>
      </c>
      <c r="AJ1543" s="21" t="n">
        <v>0</v>
      </c>
      <c r="AK1543" s="21" t="n">
        <v>0</v>
      </c>
      <c r="AL1543" s="21" t="n">
        <v>0</v>
      </c>
      <c r="AM1543" s="21" t="n">
        <v>0</v>
      </c>
      <c r="AN1543" s="21" t="n">
        <v>0</v>
      </c>
      <c r="AO1543" s="21" t="n">
        <v>0</v>
      </c>
      <c r="AP1543" s="21" t="n">
        <v>0</v>
      </c>
      <c r="AQ1543" s="21" t="n">
        <v>0</v>
      </c>
      <c r="AR1543" s="21" t="n">
        <v>0</v>
      </c>
      <c r="AS1543" s="21" t="n">
        <v>0</v>
      </c>
      <c r="AT1543" s="19" t="n"/>
    </row>
    <row r="1544">
      <c r="D1544" s="21" t="n">
        <v>0</v>
      </c>
      <c r="E1544" s="21" t="n">
        <v>0</v>
      </c>
      <c r="F1544" s="21" t="n">
        <v>0</v>
      </c>
      <c r="G1544" s="21" t="n">
        <v>0</v>
      </c>
      <c r="H1544" s="21" t="n">
        <v>0</v>
      </c>
      <c r="I1544" s="21" t="n">
        <v>0</v>
      </c>
      <c r="J1544" s="21" t="n">
        <v>0</v>
      </c>
      <c r="K1544" s="21" t="n">
        <v>0</v>
      </c>
      <c r="L1544" s="21" t="n">
        <v>0</v>
      </c>
      <c r="M1544" s="21" t="n">
        <v>0</v>
      </c>
      <c r="N1544" s="21" t="n">
        <v>0</v>
      </c>
      <c r="O1544" s="21" t="n">
        <v>0</v>
      </c>
      <c r="P1544" s="21">
        <f>$B$19</f>
        <v/>
      </c>
      <c r="Q1544" s="21">
        <f>$B$21</f>
        <v/>
      </c>
      <c r="R1544" s="21">
        <f>0</f>
        <v/>
      </c>
      <c r="S1544" s="21">
        <f>2*$B$20</f>
        <v/>
      </c>
      <c r="T1544" s="21">
        <f>-$B$19</f>
        <v/>
      </c>
      <c r="U1544" s="21">
        <f>$B$21</f>
        <v/>
      </c>
      <c r="V1544" s="21" t="n">
        <v>0</v>
      </c>
      <c r="W1544" s="21" t="n">
        <v>0</v>
      </c>
      <c r="X1544" s="21" t="n">
        <v>0</v>
      </c>
      <c r="Y1544" s="21" t="n">
        <v>0</v>
      </c>
      <c r="Z1544" s="21" t="n">
        <v>0</v>
      </c>
      <c r="AA1544" s="21" t="n">
        <v>0</v>
      </c>
      <c r="AB1544" s="21" t="n">
        <v>0</v>
      </c>
      <c r="AC1544" s="21" t="n">
        <v>0</v>
      </c>
      <c r="AD1544" s="21" t="n">
        <v>0</v>
      </c>
      <c r="AE1544" s="21" t="n">
        <v>0</v>
      </c>
      <c r="AF1544" s="21" t="n">
        <v>0</v>
      </c>
      <c r="AG1544" s="21" t="n">
        <v>0</v>
      </c>
      <c r="AH1544" s="21" t="n">
        <v>0</v>
      </c>
      <c r="AI1544" s="21" t="n">
        <v>0</v>
      </c>
      <c r="AJ1544" s="21" t="n">
        <v>0</v>
      </c>
      <c r="AK1544" s="21" t="n">
        <v>0</v>
      </c>
      <c r="AL1544" s="21" t="n">
        <v>0</v>
      </c>
      <c r="AM1544" s="21" t="n">
        <v>0</v>
      </c>
      <c r="AN1544" s="21" t="n">
        <v>0</v>
      </c>
      <c r="AO1544" s="21" t="n">
        <v>0</v>
      </c>
      <c r="AP1544" s="21" t="n">
        <v>0</v>
      </c>
      <c r="AQ1544" s="21" t="n">
        <v>0</v>
      </c>
      <c r="AR1544" s="21" t="n">
        <v>0</v>
      </c>
      <c r="AS1544" s="21" t="n">
        <v>0</v>
      </c>
      <c r="AT1544" s="19" t="n"/>
    </row>
    <row r="1545">
      <c r="D1545" s="21" t="n">
        <v>0</v>
      </c>
      <c r="E1545" s="21" t="n">
        <v>0</v>
      </c>
      <c r="F1545" s="21" t="n">
        <v>0</v>
      </c>
      <c r="G1545" s="21" t="n">
        <v>0</v>
      </c>
      <c r="H1545" s="21" t="n">
        <v>0</v>
      </c>
      <c r="I1545" s="21" t="n">
        <v>0</v>
      </c>
      <c r="J1545" s="21" t="n">
        <v>0</v>
      </c>
      <c r="K1545" s="21" t="n">
        <v>0</v>
      </c>
      <c r="L1545" s="21" t="n">
        <v>0</v>
      </c>
      <c r="M1545" s="21" t="n">
        <v>0</v>
      </c>
      <c r="N1545" s="21" t="n">
        <v>0</v>
      </c>
      <c r="O1545" s="21" t="n">
        <v>0</v>
      </c>
      <c r="P1545" s="21" t="n">
        <v>0</v>
      </c>
      <c r="Q1545" s="21" t="n">
        <v>0</v>
      </c>
      <c r="R1545" s="21">
        <f>-$B$18</f>
        <v/>
      </c>
      <c r="S1545" s="21">
        <f>-$B$19</f>
        <v/>
      </c>
      <c r="T1545" s="21">
        <f>2*$B$18+$D$1515</f>
        <v/>
      </c>
      <c r="U1545" s="21">
        <f>0</f>
        <v/>
      </c>
      <c r="V1545" s="21">
        <f>-$B$18</f>
        <v/>
      </c>
      <c r="W1545" s="21">
        <f>$B$19</f>
        <v/>
      </c>
      <c r="X1545" s="21" t="n">
        <v>0</v>
      </c>
      <c r="Y1545" s="21" t="n">
        <v>0</v>
      </c>
      <c r="Z1545" s="21" t="n">
        <v>0</v>
      </c>
      <c r="AA1545" s="21" t="n">
        <v>0</v>
      </c>
      <c r="AB1545" s="21" t="n">
        <v>0</v>
      </c>
      <c r="AC1545" s="21" t="n">
        <v>0</v>
      </c>
      <c r="AD1545" s="21" t="n">
        <v>0</v>
      </c>
      <c r="AE1545" s="21" t="n">
        <v>0</v>
      </c>
      <c r="AF1545" s="21" t="n">
        <v>0</v>
      </c>
      <c r="AG1545" s="21" t="n">
        <v>0</v>
      </c>
      <c r="AH1545" s="21" t="n">
        <v>0</v>
      </c>
      <c r="AI1545" s="21" t="n">
        <v>0</v>
      </c>
      <c r="AJ1545" s="21" t="n">
        <v>0</v>
      </c>
      <c r="AK1545" s="21" t="n">
        <v>0</v>
      </c>
      <c r="AL1545" s="21" t="n">
        <v>0</v>
      </c>
      <c r="AM1545" s="21" t="n">
        <v>0</v>
      </c>
      <c r="AN1545" s="21" t="n">
        <v>0</v>
      </c>
      <c r="AO1545" s="21" t="n">
        <v>0</v>
      </c>
      <c r="AP1545" s="21" t="n">
        <v>0</v>
      </c>
      <c r="AQ1545" s="21" t="n">
        <v>0</v>
      </c>
      <c r="AR1545" s="21" t="n">
        <v>0</v>
      </c>
      <c r="AS1545" s="21" t="n">
        <v>0</v>
      </c>
      <c r="AT1545" s="19" t="n"/>
    </row>
    <row r="1546">
      <c r="D1546" s="21" t="n">
        <v>0</v>
      </c>
      <c r="E1546" s="21" t="n">
        <v>0</v>
      </c>
      <c r="F1546" s="21" t="n">
        <v>0</v>
      </c>
      <c r="G1546" s="21" t="n">
        <v>0</v>
      </c>
      <c r="H1546" s="21" t="n">
        <v>0</v>
      </c>
      <c r="I1546" s="21" t="n">
        <v>0</v>
      </c>
      <c r="J1546" s="21" t="n">
        <v>0</v>
      </c>
      <c r="K1546" s="21" t="n">
        <v>0</v>
      </c>
      <c r="L1546" s="21" t="n">
        <v>0</v>
      </c>
      <c r="M1546" s="21" t="n">
        <v>0</v>
      </c>
      <c r="N1546" s="21" t="n">
        <v>0</v>
      </c>
      <c r="O1546" s="21" t="n">
        <v>0</v>
      </c>
      <c r="P1546" s="21" t="n">
        <v>0</v>
      </c>
      <c r="Q1546" s="21" t="n">
        <v>0</v>
      </c>
      <c r="R1546" s="21">
        <f>$B$19</f>
        <v/>
      </c>
      <c r="S1546" s="21">
        <f>$B$21</f>
        <v/>
      </c>
      <c r="T1546" s="21">
        <f>0</f>
        <v/>
      </c>
      <c r="U1546" s="21">
        <f>2*$B$20</f>
        <v/>
      </c>
      <c r="V1546" s="21">
        <f>-$B$19</f>
        <v/>
      </c>
      <c r="W1546" s="21">
        <f>$B$21</f>
        <v/>
      </c>
      <c r="X1546" s="21" t="n">
        <v>0</v>
      </c>
      <c r="Y1546" s="21" t="n">
        <v>0</v>
      </c>
      <c r="Z1546" s="21" t="n">
        <v>0</v>
      </c>
      <c r="AA1546" s="21" t="n">
        <v>0</v>
      </c>
      <c r="AB1546" s="21" t="n">
        <v>0</v>
      </c>
      <c r="AC1546" s="21" t="n">
        <v>0</v>
      </c>
      <c r="AD1546" s="21" t="n">
        <v>0</v>
      </c>
      <c r="AE1546" s="21" t="n">
        <v>0</v>
      </c>
      <c r="AF1546" s="21" t="n">
        <v>0</v>
      </c>
      <c r="AG1546" s="21" t="n">
        <v>0</v>
      </c>
      <c r="AH1546" s="21" t="n">
        <v>0</v>
      </c>
      <c r="AI1546" s="21" t="n">
        <v>0</v>
      </c>
      <c r="AJ1546" s="21" t="n">
        <v>0</v>
      </c>
      <c r="AK1546" s="21" t="n">
        <v>0</v>
      </c>
      <c r="AL1546" s="21" t="n">
        <v>0</v>
      </c>
      <c r="AM1546" s="21" t="n">
        <v>0</v>
      </c>
      <c r="AN1546" s="21" t="n">
        <v>0</v>
      </c>
      <c r="AO1546" s="21" t="n">
        <v>0</v>
      </c>
      <c r="AP1546" s="21" t="n">
        <v>0</v>
      </c>
      <c r="AQ1546" s="21" t="n">
        <v>0</v>
      </c>
      <c r="AR1546" s="21" t="n">
        <v>0</v>
      </c>
      <c r="AS1546" s="21" t="n">
        <v>0</v>
      </c>
      <c r="AT1546" s="19" t="n"/>
    </row>
    <row r="1547">
      <c r="D1547" s="21" t="n">
        <v>0</v>
      </c>
      <c r="E1547" s="21" t="n">
        <v>0</v>
      </c>
      <c r="F1547" s="21" t="n">
        <v>0</v>
      </c>
      <c r="G1547" s="21" t="n">
        <v>0</v>
      </c>
      <c r="H1547" s="21" t="n">
        <v>0</v>
      </c>
      <c r="I1547" s="21" t="n">
        <v>0</v>
      </c>
      <c r="J1547" s="21" t="n">
        <v>0</v>
      </c>
      <c r="K1547" s="21" t="n">
        <v>0</v>
      </c>
      <c r="L1547" s="21" t="n">
        <v>0</v>
      </c>
      <c r="M1547" s="21" t="n">
        <v>0</v>
      </c>
      <c r="N1547" s="21" t="n">
        <v>0</v>
      </c>
      <c r="O1547" s="21" t="n">
        <v>0</v>
      </c>
      <c r="P1547" s="21" t="n">
        <v>0</v>
      </c>
      <c r="Q1547" s="21" t="n">
        <v>0</v>
      </c>
      <c r="R1547" s="21" t="n">
        <v>0</v>
      </c>
      <c r="S1547" s="21" t="n">
        <v>0</v>
      </c>
      <c r="T1547" s="21">
        <f>-$B$18</f>
        <v/>
      </c>
      <c r="U1547" s="21">
        <f>-$B$19</f>
        <v/>
      </c>
      <c r="V1547" s="21">
        <f>2*$B$18+$D$1516</f>
        <v/>
      </c>
      <c r="W1547" s="21">
        <f>0</f>
        <v/>
      </c>
      <c r="X1547" s="21">
        <f>-$B$18</f>
        <v/>
      </c>
      <c r="Y1547" s="21">
        <f>$B$19</f>
        <v/>
      </c>
      <c r="Z1547" s="21" t="n">
        <v>0</v>
      </c>
      <c r="AA1547" s="21" t="n">
        <v>0</v>
      </c>
      <c r="AB1547" s="21" t="n">
        <v>0</v>
      </c>
      <c r="AC1547" s="21" t="n">
        <v>0</v>
      </c>
      <c r="AD1547" s="21" t="n">
        <v>0</v>
      </c>
      <c r="AE1547" s="21" t="n">
        <v>0</v>
      </c>
      <c r="AF1547" s="21" t="n">
        <v>0</v>
      </c>
      <c r="AG1547" s="21" t="n">
        <v>0</v>
      </c>
      <c r="AH1547" s="21" t="n">
        <v>0</v>
      </c>
      <c r="AI1547" s="21" t="n">
        <v>0</v>
      </c>
      <c r="AJ1547" s="21" t="n">
        <v>0</v>
      </c>
      <c r="AK1547" s="21" t="n">
        <v>0</v>
      </c>
      <c r="AL1547" s="21" t="n">
        <v>0</v>
      </c>
      <c r="AM1547" s="21" t="n">
        <v>0</v>
      </c>
      <c r="AN1547" s="21" t="n">
        <v>0</v>
      </c>
      <c r="AO1547" s="21" t="n">
        <v>0</v>
      </c>
      <c r="AP1547" s="21" t="n">
        <v>0</v>
      </c>
      <c r="AQ1547" s="21" t="n">
        <v>0</v>
      </c>
      <c r="AR1547" s="21" t="n">
        <v>0</v>
      </c>
      <c r="AS1547" s="21" t="n">
        <v>0</v>
      </c>
      <c r="AT1547" s="19" t="n"/>
    </row>
    <row r="1548">
      <c r="D1548" s="21" t="n">
        <v>0</v>
      </c>
      <c r="E1548" s="21" t="n">
        <v>0</v>
      </c>
      <c r="F1548" s="21" t="n">
        <v>0</v>
      </c>
      <c r="G1548" s="21" t="n">
        <v>0</v>
      </c>
      <c r="H1548" s="21" t="n">
        <v>0</v>
      </c>
      <c r="I1548" s="21" t="n">
        <v>0</v>
      </c>
      <c r="J1548" s="21" t="n">
        <v>0</v>
      </c>
      <c r="K1548" s="21" t="n">
        <v>0</v>
      </c>
      <c r="L1548" s="21" t="n">
        <v>0</v>
      </c>
      <c r="M1548" s="21" t="n">
        <v>0</v>
      </c>
      <c r="N1548" s="21" t="n">
        <v>0</v>
      </c>
      <c r="O1548" s="21" t="n">
        <v>0</v>
      </c>
      <c r="P1548" s="21" t="n">
        <v>0</v>
      </c>
      <c r="Q1548" s="21" t="n">
        <v>0</v>
      </c>
      <c r="R1548" s="21" t="n">
        <v>0</v>
      </c>
      <c r="S1548" s="21" t="n">
        <v>0</v>
      </c>
      <c r="T1548" s="21">
        <f>$B$19</f>
        <v/>
      </c>
      <c r="U1548" s="21">
        <f>$B$21</f>
        <v/>
      </c>
      <c r="V1548" s="21">
        <f>0</f>
        <v/>
      </c>
      <c r="W1548" s="21">
        <f>2*$B$20</f>
        <v/>
      </c>
      <c r="X1548" s="21">
        <f>-$B$19</f>
        <v/>
      </c>
      <c r="Y1548" s="21">
        <f>$B$21</f>
        <v/>
      </c>
      <c r="Z1548" s="21" t="n">
        <v>0</v>
      </c>
      <c r="AA1548" s="21" t="n">
        <v>0</v>
      </c>
      <c r="AB1548" s="21" t="n">
        <v>0</v>
      </c>
      <c r="AC1548" s="21" t="n">
        <v>0</v>
      </c>
      <c r="AD1548" s="21" t="n">
        <v>0</v>
      </c>
      <c r="AE1548" s="21" t="n">
        <v>0</v>
      </c>
      <c r="AF1548" s="21" t="n">
        <v>0</v>
      </c>
      <c r="AG1548" s="21" t="n">
        <v>0</v>
      </c>
      <c r="AH1548" s="21" t="n">
        <v>0</v>
      </c>
      <c r="AI1548" s="21" t="n">
        <v>0</v>
      </c>
      <c r="AJ1548" s="21" t="n">
        <v>0</v>
      </c>
      <c r="AK1548" s="21" t="n">
        <v>0</v>
      </c>
      <c r="AL1548" s="21" t="n">
        <v>0</v>
      </c>
      <c r="AM1548" s="21" t="n">
        <v>0</v>
      </c>
      <c r="AN1548" s="21" t="n">
        <v>0</v>
      </c>
      <c r="AO1548" s="21" t="n">
        <v>0</v>
      </c>
      <c r="AP1548" s="21" t="n">
        <v>0</v>
      </c>
      <c r="AQ1548" s="21" t="n">
        <v>0</v>
      </c>
      <c r="AR1548" s="21" t="n">
        <v>0</v>
      </c>
      <c r="AS1548" s="21" t="n">
        <v>0</v>
      </c>
      <c r="AT1548" s="19" t="n"/>
    </row>
    <row r="1549">
      <c r="D1549" s="21" t="n">
        <v>0</v>
      </c>
      <c r="E1549" s="21" t="n">
        <v>0</v>
      </c>
      <c r="F1549" s="21" t="n">
        <v>0</v>
      </c>
      <c r="G1549" s="21" t="n">
        <v>0</v>
      </c>
      <c r="H1549" s="21" t="n">
        <v>0</v>
      </c>
      <c r="I1549" s="21" t="n">
        <v>0</v>
      </c>
      <c r="J1549" s="21" t="n">
        <v>0</v>
      </c>
      <c r="K1549" s="21" t="n">
        <v>0</v>
      </c>
      <c r="L1549" s="21" t="n">
        <v>0</v>
      </c>
      <c r="M1549" s="21" t="n">
        <v>0</v>
      </c>
      <c r="N1549" s="21" t="n">
        <v>0</v>
      </c>
      <c r="O1549" s="21" t="n">
        <v>0</v>
      </c>
      <c r="P1549" s="21" t="n">
        <v>0</v>
      </c>
      <c r="Q1549" s="21" t="n">
        <v>0</v>
      </c>
      <c r="R1549" s="21" t="n">
        <v>0</v>
      </c>
      <c r="S1549" s="21" t="n">
        <v>0</v>
      </c>
      <c r="T1549" s="21" t="n">
        <v>0</v>
      </c>
      <c r="U1549" s="21" t="n">
        <v>0</v>
      </c>
      <c r="V1549" s="21">
        <f>-$B$18</f>
        <v/>
      </c>
      <c r="W1549" s="21">
        <f>-$B$19</f>
        <v/>
      </c>
      <c r="X1549" s="21">
        <f>2*$B$18+$D$1517</f>
        <v/>
      </c>
      <c r="Y1549" s="21">
        <f>0</f>
        <v/>
      </c>
      <c r="Z1549" s="21">
        <f>-$B$18</f>
        <v/>
      </c>
      <c r="AA1549" s="21">
        <f>$B$19</f>
        <v/>
      </c>
      <c r="AB1549" s="21" t="n">
        <v>0</v>
      </c>
      <c r="AC1549" s="21" t="n">
        <v>0</v>
      </c>
      <c r="AD1549" s="21" t="n">
        <v>0</v>
      </c>
      <c r="AE1549" s="21" t="n">
        <v>0</v>
      </c>
      <c r="AF1549" s="21" t="n">
        <v>0</v>
      </c>
      <c r="AG1549" s="21" t="n">
        <v>0</v>
      </c>
      <c r="AH1549" s="21" t="n">
        <v>0</v>
      </c>
      <c r="AI1549" s="21" t="n">
        <v>0</v>
      </c>
      <c r="AJ1549" s="21" t="n">
        <v>0</v>
      </c>
      <c r="AK1549" s="21" t="n">
        <v>0</v>
      </c>
      <c r="AL1549" s="21" t="n">
        <v>0</v>
      </c>
      <c r="AM1549" s="21" t="n">
        <v>0</v>
      </c>
      <c r="AN1549" s="21" t="n">
        <v>0</v>
      </c>
      <c r="AO1549" s="21" t="n">
        <v>0</v>
      </c>
      <c r="AP1549" s="21" t="n">
        <v>0</v>
      </c>
      <c r="AQ1549" s="21" t="n">
        <v>0</v>
      </c>
      <c r="AR1549" s="21" t="n">
        <v>0</v>
      </c>
      <c r="AS1549" s="21" t="n">
        <v>0</v>
      </c>
      <c r="AT1549" s="19" t="n"/>
    </row>
    <row r="1550">
      <c r="D1550" s="21" t="n">
        <v>0</v>
      </c>
      <c r="E1550" s="21" t="n">
        <v>0</v>
      </c>
      <c r="F1550" s="21" t="n">
        <v>0</v>
      </c>
      <c r="G1550" s="21" t="n">
        <v>0</v>
      </c>
      <c r="H1550" s="21" t="n">
        <v>0</v>
      </c>
      <c r="I1550" s="21" t="n">
        <v>0</v>
      </c>
      <c r="J1550" s="21" t="n">
        <v>0</v>
      </c>
      <c r="K1550" s="21" t="n">
        <v>0</v>
      </c>
      <c r="L1550" s="21" t="n">
        <v>0</v>
      </c>
      <c r="M1550" s="21" t="n">
        <v>0</v>
      </c>
      <c r="N1550" s="21" t="n">
        <v>0</v>
      </c>
      <c r="O1550" s="21" t="n">
        <v>0</v>
      </c>
      <c r="P1550" s="21" t="n">
        <v>0</v>
      </c>
      <c r="Q1550" s="21" t="n">
        <v>0</v>
      </c>
      <c r="R1550" s="21" t="n">
        <v>0</v>
      </c>
      <c r="S1550" s="21" t="n">
        <v>0</v>
      </c>
      <c r="T1550" s="21" t="n">
        <v>0</v>
      </c>
      <c r="U1550" s="21" t="n">
        <v>0</v>
      </c>
      <c r="V1550" s="21">
        <f>$B$19</f>
        <v/>
      </c>
      <c r="W1550" s="21">
        <f>$B$21</f>
        <v/>
      </c>
      <c r="X1550" s="21">
        <f>0</f>
        <v/>
      </c>
      <c r="Y1550" s="21">
        <f>2*$B$20</f>
        <v/>
      </c>
      <c r="Z1550" s="21">
        <f>-$B$19</f>
        <v/>
      </c>
      <c r="AA1550" s="21">
        <f>$B$21</f>
        <v/>
      </c>
      <c r="AB1550" s="21" t="n">
        <v>0</v>
      </c>
      <c r="AC1550" s="21" t="n">
        <v>0</v>
      </c>
      <c r="AD1550" s="21" t="n">
        <v>0</v>
      </c>
      <c r="AE1550" s="21" t="n">
        <v>0</v>
      </c>
      <c r="AF1550" s="21" t="n">
        <v>0</v>
      </c>
      <c r="AG1550" s="21" t="n">
        <v>0</v>
      </c>
      <c r="AH1550" s="21" t="n">
        <v>0</v>
      </c>
      <c r="AI1550" s="21" t="n">
        <v>0</v>
      </c>
      <c r="AJ1550" s="21" t="n">
        <v>0</v>
      </c>
      <c r="AK1550" s="21" t="n">
        <v>0</v>
      </c>
      <c r="AL1550" s="21" t="n">
        <v>0</v>
      </c>
      <c r="AM1550" s="21" t="n">
        <v>0</v>
      </c>
      <c r="AN1550" s="21" t="n">
        <v>0</v>
      </c>
      <c r="AO1550" s="21" t="n">
        <v>0</v>
      </c>
      <c r="AP1550" s="21" t="n">
        <v>0</v>
      </c>
      <c r="AQ1550" s="21" t="n">
        <v>0</v>
      </c>
      <c r="AR1550" s="21" t="n">
        <v>0</v>
      </c>
      <c r="AS1550" s="21" t="n">
        <v>0</v>
      </c>
      <c r="AT1550" s="19" t="n"/>
    </row>
    <row r="1551">
      <c r="D1551" s="21" t="n">
        <v>0</v>
      </c>
      <c r="E1551" s="21" t="n">
        <v>0</v>
      </c>
      <c r="F1551" s="21" t="n">
        <v>0</v>
      </c>
      <c r="G1551" s="21" t="n">
        <v>0</v>
      </c>
      <c r="H1551" s="21" t="n">
        <v>0</v>
      </c>
      <c r="I1551" s="21" t="n">
        <v>0</v>
      </c>
      <c r="J1551" s="21" t="n">
        <v>0</v>
      </c>
      <c r="K1551" s="21" t="n">
        <v>0</v>
      </c>
      <c r="L1551" s="21" t="n">
        <v>0</v>
      </c>
      <c r="M1551" s="21" t="n">
        <v>0</v>
      </c>
      <c r="N1551" s="21" t="n">
        <v>0</v>
      </c>
      <c r="O1551" s="21" t="n">
        <v>0</v>
      </c>
      <c r="P1551" s="21" t="n">
        <v>0</v>
      </c>
      <c r="Q1551" s="21" t="n">
        <v>0</v>
      </c>
      <c r="R1551" s="21" t="n">
        <v>0</v>
      </c>
      <c r="S1551" s="21" t="n">
        <v>0</v>
      </c>
      <c r="T1551" s="21" t="n">
        <v>0</v>
      </c>
      <c r="U1551" s="21" t="n">
        <v>0</v>
      </c>
      <c r="V1551" s="21" t="n">
        <v>0</v>
      </c>
      <c r="W1551" s="21" t="n">
        <v>0</v>
      </c>
      <c r="X1551" s="21">
        <f>-$B$18</f>
        <v/>
      </c>
      <c r="Y1551" s="21">
        <f>-$B$19</f>
        <v/>
      </c>
      <c r="Z1551" s="21">
        <f>2*$B$18+$D$1518</f>
        <v/>
      </c>
      <c r="AA1551" s="21">
        <f>0</f>
        <v/>
      </c>
      <c r="AB1551" s="21">
        <f>-$B$18</f>
        <v/>
      </c>
      <c r="AC1551" s="21">
        <f>$B$19</f>
        <v/>
      </c>
      <c r="AD1551" s="21" t="n">
        <v>0</v>
      </c>
      <c r="AE1551" s="21" t="n">
        <v>0</v>
      </c>
      <c r="AF1551" s="21" t="n">
        <v>0</v>
      </c>
      <c r="AG1551" s="21" t="n">
        <v>0</v>
      </c>
      <c r="AH1551" s="21" t="n">
        <v>0</v>
      </c>
      <c r="AI1551" s="21" t="n">
        <v>0</v>
      </c>
      <c r="AJ1551" s="21" t="n">
        <v>0</v>
      </c>
      <c r="AK1551" s="21" t="n">
        <v>0</v>
      </c>
      <c r="AL1551" s="21" t="n">
        <v>0</v>
      </c>
      <c r="AM1551" s="21" t="n">
        <v>0</v>
      </c>
      <c r="AN1551" s="21" t="n">
        <v>0</v>
      </c>
      <c r="AO1551" s="21" t="n">
        <v>0</v>
      </c>
      <c r="AP1551" s="21" t="n">
        <v>0</v>
      </c>
      <c r="AQ1551" s="21" t="n">
        <v>0</v>
      </c>
      <c r="AR1551" s="21" t="n">
        <v>0</v>
      </c>
      <c r="AS1551" s="21" t="n">
        <v>0</v>
      </c>
      <c r="AT1551" s="19" t="n"/>
    </row>
    <row r="1552">
      <c r="D1552" s="21" t="n">
        <v>0</v>
      </c>
      <c r="E1552" s="21" t="n">
        <v>0</v>
      </c>
      <c r="F1552" s="21" t="n">
        <v>0</v>
      </c>
      <c r="G1552" s="21" t="n">
        <v>0</v>
      </c>
      <c r="H1552" s="21" t="n">
        <v>0</v>
      </c>
      <c r="I1552" s="21" t="n">
        <v>0</v>
      </c>
      <c r="J1552" s="21" t="n">
        <v>0</v>
      </c>
      <c r="K1552" s="21" t="n">
        <v>0</v>
      </c>
      <c r="L1552" s="21" t="n">
        <v>0</v>
      </c>
      <c r="M1552" s="21" t="n">
        <v>0</v>
      </c>
      <c r="N1552" s="21" t="n">
        <v>0</v>
      </c>
      <c r="O1552" s="21" t="n">
        <v>0</v>
      </c>
      <c r="P1552" s="21" t="n">
        <v>0</v>
      </c>
      <c r="Q1552" s="21" t="n">
        <v>0</v>
      </c>
      <c r="R1552" s="21" t="n">
        <v>0</v>
      </c>
      <c r="S1552" s="21" t="n">
        <v>0</v>
      </c>
      <c r="T1552" s="21" t="n">
        <v>0</v>
      </c>
      <c r="U1552" s="21" t="n">
        <v>0</v>
      </c>
      <c r="V1552" s="21" t="n">
        <v>0</v>
      </c>
      <c r="W1552" s="21" t="n">
        <v>0</v>
      </c>
      <c r="X1552" s="21">
        <f>$B$19</f>
        <v/>
      </c>
      <c r="Y1552" s="21">
        <f>$B$21</f>
        <v/>
      </c>
      <c r="Z1552" s="21">
        <f>0</f>
        <v/>
      </c>
      <c r="AA1552" s="21">
        <f>2*$B$20</f>
        <v/>
      </c>
      <c r="AB1552" s="21">
        <f>-$B$19</f>
        <v/>
      </c>
      <c r="AC1552" s="21">
        <f>$B$21</f>
        <v/>
      </c>
      <c r="AD1552" s="21" t="n">
        <v>0</v>
      </c>
      <c r="AE1552" s="21" t="n">
        <v>0</v>
      </c>
      <c r="AF1552" s="21" t="n">
        <v>0</v>
      </c>
      <c r="AG1552" s="21" t="n">
        <v>0</v>
      </c>
      <c r="AH1552" s="21" t="n">
        <v>0</v>
      </c>
      <c r="AI1552" s="21" t="n">
        <v>0</v>
      </c>
      <c r="AJ1552" s="21" t="n">
        <v>0</v>
      </c>
      <c r="AK1552" s="21" t="n">
        <v>0</v>
      </c>
      <c r="AL1552" s="21" t="n">
        <v>0</v>
      </c>
      <c r="AM1552" s="21" t="n">
        <v>0</v>
      </c>
      <c r="AN1552" s="21" t="n">
        <v>0</v>
      </c>
      <c r="AO1552" s="21" t="n">
        <v>0</v>
      </c>
      <c r="AP1552" s="21" t="n">
        <v>0</v>
      </c>
      <c r="AQ1552" s="21" t="n">
        <v>0</v>
      </c>
      <c r="AR1552" s="21" t="n">
        <v>0</v>
      </c>
      <c r="AS1552" s="21" t="n">
        <v>0</v>
      </c>
      <c r="AT1552" s="19" t="n"/>
    </row>
    <row r="1553">
      <c r="D1553" s="21" t="n">
        <v>0</v>
      </c>
      <c r="E1553" s="21" t="n">
        <v>0</v>
      </c>
      <c r="F1553" s="21" t="n">
        <v>0</v>
      </c>
      <c r="G1553" s="21" t="n">
        <v>0</v>
      </c>
      <c r="H1553" s="21" t="n">
        <v>0</v>
      </c>
      <c r="I1553" s="21" t="n">
        <v>0</v>
      </c>
      <c r="J1553" s="21" t="n">
        <v>0</v>
      </c>
      <c r="K1553" s="21" t="n">
        <v>0</v>
      </c>
      <c r="L1553" s="21" t="n">
        <v>0</v>
      </c>
      <c r="M1553" s="21" t="n">
        <v>0</v>
      </c>
      <c r="N1553" s="21" t="n">
        <v>0</v>
      </c>
      <c r="O1553" s="21" t="n">
        <v>0</v>
      </c>
      <c r="P1553" s="21" t="n">
        <v>0</v>
      </c>
      <c r="Q1553" s="21" t="n">
        <v>0</v>
      </c>
      <c r="R1553" s="21" t="n">
        <v>0</v>
      </c>
      <c r="S1553" s="21" t="n">
        <v>0</v>
      </c>
      <c r="T1553" s="21" t="n">
        <v>0</v>
      </c>
      <c r="U1553" s="21" t="n">
        <v>0</v>
      </c>
      <c r="V1553" s="21" t="n">
        <v>0</v>
      </c>
      <c r="W1553" s="21" t="n">
        <v>0</v>
      </c>
      <c r="X1553" s="21" t="n">
        <v>0</v>
      </c>
      <c r="Y1553" s="21" t="n">
        <v>0</v>
      </c>
      <c r="Z1553" s="21">
        <f>-$B$18</f>
        <v/>
      </c>
      <c r="AA1553" s="21">
        <f>-$B$19</f>
        <v/>
      </c>
      <c r="AB1553" s="21">
        <f>2*$B$18+$D$1519</f>
        <v/>
      </c>
      <c r="AC1553" s="21">
        <f>0</f>
        <v/>
      </c>
      <c r="AD1553" s="21">
        <f>-$B$18</f>
        <v/>
      </c>
      <c r="AE1553" s="21">
        <f>$B$19</f>
        <v/>
      </c>
      <c r="AF1553" s="21" t="n">
        <v>0</v>
      </c>
      <c r="AG1553" s="21" t="n">
        <v>0</v>
      </c>
      <c r="AH1553" s="21" t="n">
        <v>0</v>
      </c>
      <c r="AI1553" s="21" t="n">
        <v>0</v>
      </c>
      <c r="AJ1553" s="21" t="n">
        <v>0</v>
      </c>
      <c r="AK1553" s="21" t="n">
        <v>0</v>
      </c>
      <c r="AL1553" s="21" t="n">
        <v>0</v>
      </c>
      <c r="AM1553" s="21" t="n">
        <v>0</v>
      </c>
      <c r="AN1553" s="21" t="n">
        <v>0</v>
      </c>
      <c r="AO1553" s="21" t="n">
        <v>0</v>
      </c>
      <c r="AP1553" s="21" t="n">
        <v>0</v>
      </c>
      <c r="AQ1553" s="21" t="n">
        <v>0</v>
      </c>
      <c r="AR1553" s="21" t="n">
        <v>0</v>
      </c>
      <c r="AS1553" s="21" t="n">
        <v>0</v>
      </c>
      <c r="AT1553" s="19" t="n"/>
    </row>
    <row r="1554">
      <c r="D1554" s="21" t="n">
        <v>0</v>
      </c>
      <c r="E1554" s="21" t="n">
        <v>0</v>
      </c>
      <c r="F1554" s="21" t="n">
        <v>0</v>
      </c>
      <c r="G1554" s="21" t="n">
        <v>0</v>
      </c>
      <c r="H1554" s="21" t="n">
        <v>0</v>
      </c>
      <c r="I1554" s="21" t="n">
        <v>0</v>
      </c>
      <c r="J1554" s="21" t="n">
        <v>0</v>
      </c>
      <c r="K1554" s="21" t="n">
        <v>0</v>
      </c>
      <c r="L1554" s="21" t="n">
        <v>0</v>
      </c>
      <c r="M1554" s="21" t="n">
        <v>0</v>
      </c>
      <c r="N1554" s="21" t="n">
        <v>0</v>
      </c>
      <c r="O1554" s="21" t="n">
        <v>0</v>
      </c>
      <c r="P1554" s="21" t="n">
        <v>0</v>
      </c>
      <c r="Q1554" s="21" t="n">
        <v>0</v>
      </c>
      <c r="R1554" s="21" t="n">
        <v>0</v>
      </c>
      <c r="S1554" s="21" t="n">
        <v>0</v>
      </c>
      <c r="T1554" s="21" t="n">
        <v>0</v>
      </c>
      <c r="U1554" s="21" t="n">
        <v>0</v>
      </c>
      <c r="V1554" s="21" t="n">
        <v>0</v>
      </c>
      <c r="W1554" s="21" t="n">
        <v>0</v>
      </c>
      <c r="X1554" s="21" t="n">
        <v>0</v>
      </c>
      <c r="Y1554" s="21" t="n">
        <v>0</v>
      </c>
      <c r="Z1554" s="21">
        <f>$B$19</f>
        <v/>
      </c>
      <c r="AA1554" s="21">
        <f>$B$21</f>
        <v/>
      </c>
      <c r="AB1554" s="21">
        <f>0</f>
        <v/>
      </c>
      <c r="AC1554" s="21">
        <f>2*$B$20</f>
        <v/>
      </c>
      <c r="AD1554" s="21">
        <f>-$B$19</f>
        <v/>
      </c>
      <c r="AE1554" s="21">
        <f>$B$21</f>
        <v/>
      </c>
      <c r="AF1554" s="21" t="n">
        <v>0</v>
      </c>
      <c r="AG1554" s="21" t="n">
        <v>0</v>
      </c>
      <c r="AH1554" s="21" t="n">
        <v>0</v>
      </c>
      <c r="AI1554" s="21" t="n">
        <v>0</v>
      </c>
      <c r="AJ1554" s="21" t="n">
        <v>0</v>
      </c>
      <c r="AK1554" s="21" t="n">
        <v>0</v>
      </c>
      <c r="AL1554" s="21" t="n">
        <v>0</v>
      </c>
      <c r="AM1554" s="21" t="n">
        <v>0</v>
      </c>
      <c r="AN1554" s="21" t="n">
        <v>0</v>
      </c>
      <c r="AO1554" s="21" t="n">
        <v>0</v>
      </c>
      <c r="AP1554" s="21" t="n">
        <v>0</v>
      </c>
      <c r="AQ1554" s="21" t="n">
        <v>0</v>
      </c>
      <c r="AR1554" s="21" t="n">
        <v>0</v>
      </c>
      <c r="AS1554" s="21" t="n">
        <v>0</v>
      </c>
      <c r="AT1554" s="19" t="n"/>
    </row>
    <row r="1555">
      <c r="D1555" s="21" t="n">
        <v>0</v>
      </c>
      <c r="E1555" s="21" t="n">
        <v>0</v>
      </c>
      <c r="F1555" s="21" t="n">
        <v>0</v>
      </c>
      <c r="G1555" s="21" t="n">
        <v>0</v>
      </c>
      <c r="H1555" s="21" t="n">
        <v>0</v>
      </c>
      <c r="I1555" s="21" t="n">
        <v>0</v>
      </c>
      <c r="J1555" s="21" t="n">
        <v>0</v>
      </c>
      <c r="K1555" s="21" t="n">
        <v>0</v>
      </c>
      <c r="L1555" s="21" t="n">
        <v>0</v>
      </c>
      <c r="M1555" s="21" t="n">
        <v>0</v>
      </c>
      <c r="N1555" s="21" t="n">
        <v>0</v>
      </c>
      <c r="O1555" s="21" t="n">
        <v>0</v>
      </c>
      <c r="P1555" s="21" t="n">
        <v>0</v>
      </c>
      <c r="Q1555" s="21" t="n">
        <v>0</v>
      </c>
      <c r="R1555" s="21" t="n">
        <v>0</v>
      </c>
      <c r="S1555" s="21" t="n">
        <v>0</v>
      </c>
      <c r="T1555" s="21" t="n">
        <v>0</v>
      </c>
      <c r="U1555" s="21" t="n">
        <v>0</v>
      </c>
      <c r="V1555" s="21" t="n">
        <v>0</v>
      </c>
      <c r="W1555" s="21" t="n">
        <v>0</v>
      </c>
      <c r="X1555" s="21" t="n">
        <v>0</v>
      </c>
      <c r="Y1555" s="21" t="n">
        <v>0</v>
      </c>
      <c r="Z1555" s="21" t="n">
        <v>0</v>
      </c>
      <c r="AA1555" s="21" t="n">
        <v>0</v>
      </c>
      <c r="AB1555" s="21">
        <f>-$B$18</f>
        <v/>
      </c>
      <c r="AC1555" s="21">
        <f>-$B$19</f>
        <v/>
      </c>
      <c r="AD1555" s="21">
        <f>2*$B$18+$D$1520</f>
        <v/>
      </c>
      <c r="AE1555" s="21">
        <f>0</f>
        <v/>
      </c>
      <c r="AF1555" s="21">
        <f>-$B$18</f>
        <v/>
      </c>
      <c r="AG1555" s="21">
        <f>$B$19</f>
        <v/>
      </c>
      <c r="AH1555" s="21" t="n">
        <v>0</v>
      </c>
      <c r="AI1555" s="21" t="n">
        <v>0</v>
      </c>
      <c r="AJ1555" s="21" t="n">
        <v>0</v>
      </c>
      <c r="AK1555" s="21" t="n">
        <v>0</v>
      </c>
      <c r="AL1555" s="21" t="n">
        <v>0</v>
      </c>
      <c r="AM1555" s="21" t="n">
        <v>0</v>
      </c>
      <c r="AN1555" s="21" t="n">
        <v>0</v>
      </c>
      <c r="AO1555" s="21" t="n">
        <v>0</v>
      </c>
      <c r="AP1555" s="21" t="n">
        <v>0</v>
      </c>
      <c r="AQ1555" s="21" t="n">
        <v>0</v>
      </c>
      <c r="AR1555" s="21" t="n">
        <v>0</v>
      </c>
      <c r="AS1555" s="21" t="n">
        <v>0</v>
      </c>
      <c r="AT1555" s="19" t="n"/>
    </row>
    <row r="1556">
      <c r="D1556" s="21" t="n">
        <v>0</v>
      </c>
      <c r="E1556" s="21" t="n">
        <v>0</v>
      </c>
      <c r="F1556" s="21" t="n">
        <v>0</v>
      </c>
      <c r="G1556" s="21" t="n">
        <v>0</v>
      </c>
      <c r="H1556" s="21" t="n">
        <v>0</v>
      </c>
      <c r="I1556" s="21" t="n">
        <v>0</v>
      </c>
      <c r="J1556" s="21" t="n">
        <v>0</v>
      </c>
      <c r="K1556" s="21" t="n">
        <v>0</v>
      </c>
      <c r="L1556" s="21" t="n">
        <v>0</v>
      </c>
      <c r="M1556" s="21" t="n">
        <v>0</v>
      </c>
      <c r="N1556" s="21" t="n">
        <v>0</v>
      </c>
      <c r="O1556" s="21" t="n">
        <v>0</v>
      </c>
      <c r="P1556" s="21" t="n">
        <v>0</v>
      </c>
      <c r="Q1556" s="21" t="n">
        <v>0</v>
      </c>
      <c r="R1556" s="21" t="n">
        <v>0</v>
      </c>
      <c r="S1556" s="21" t="n">
        <v>0</v>
      </c>
      <c r="T1556" s="21" t="n">
        <v>0</v>
      </c>
      <c r="U1556" s="21" t="n">
        <v>0</v>
      </c>
      <c r="V1556" s="21" t="n">
        <v>0</v>
      </c>
      <c r="W1556" s="21" t="n">
        <v>0</v>
      </c>
      <c r="X1556" s="21" t="n">
        <v>0</v>
      </c>
      <c r="Y1556" s="21" t="n">
        <v>0</v>
      </c>
      <c r="Z1556" s="21" t="n">
        <v>0</v>
      </c>
      <c r="AA1556" s="21" t="n">
        <v>0</v>
      </c>
      <c r="AB1556" s="21">
        <f>$B$19</f>
        <v/>
      </c>
      <c r="AC1556" s="21">
        <f>$B$21</f>
        <v/>
      </c>
      <c r="AD1556" s="21">
        <f>0</f>
        <v/>
      </c>
      <c r="AE1556" s="21">
        <f>2*$B$20</f>
        <v/>
      </c>
      <c r="AF1556" s="21">
        <f>-$B$19</f>
        <v/>
      </c>
      <c r="AG1556" s="21">
        <f>$B$21</f>
        <v/>
      </c>
      <c r="AH1556" s="21" t="n">
        <v>0</v>
      </c>
      <c r="AI1556" s="21" t="n">
        <v>0</v>
      </c>
      <c r="AJ1556" s="21" t="n">
        <v>0</v>
      </c>
      <c r="AK1556" s="21" t="n">
        <v>0</v>
      </c>
      <c r="AL1556" s="21" t="n">
        <v>0</v>
      </c>
      <c r="AM1556" s="21" t="n">
        <v>0</v>
      </c>
      <c r="AN1556" s="21" t="n">
        <v>0</v>
      </c>
      <c r="AO1556" s="21" t="n">
        <v>0</v>
      </c>
      <c r="AP1556" s="21" t="n">
        <v>0</v>
      </c>
      <c r="AQ1556" s="21" t="n">
        <v>0</v>
      </c>
      <c r="AR1556" s="21" t="n">
        <v>0</v>
      </c>
      <c r="AS1556" s="21" t="n">
        <v>0</v>
      </c>
      <c r="AT1556" s="19" t="n"/>
    </row>
    <row r="1557">
      <c r="D1557" s="21" t="n">
        <v>0</v>
      </c>
      <c r="E1557" s="21" t="n">
        <v>0</v>
      </c>
      <c r="F1557" s="21" t="n">
        <v>0</v>
      </c>
      <c r="G1557" s="21" t="n">
        <v>0</v>
      </c>
      <c r="H1557" s="21" t="n">
        <v>0</v>
      </c>
      <c r="I1557" s="21" t="n">
        <v>0</v>
      </c>
      <c r="J1557" s="21" t="n">
        <v>0</v>
      </c>
      <c r="K1557" s="21" t="n">
        <v>0</v>
      </c>
      <c r="L1557" s="21" t="n">
        <v>0</v>
      </c>
      <c r="M1557" s="21" t="n">
        <v>0</v>
      </c>
      <c r="N1557" s="21" t="n">
        <v>0</v>
      </c>
      <c r="O1557" s="21" t="n">
        <v>0</v>
      </c>
      <c r="P1557" s="21" t="n">
        <v>0</v>
      </c>
      <c r="Q1557" s="21" t="n">
        <v>0</v>
      </c>
      <c r="R1557" s="21" t="n">
        <v>0</v>
      </c>
      <c r="S1557" s="21" t="n">
        <v>0</v>
      </c>
      <c r="T1557" s="21" t="n">
        <v>0</v>
      </c>
      <c r="U1557" s="21" t="n">
        <v>0</v>
      </c>
      <c r="V1557" s="21" t="n">
        <v>0</v>
      </c>
      <c r="W1557" s="21" t="n">
        <v>0</v>
      </c>
      <c r="X1557" s="21" t="n">
        <v>0</v>
      </c>
      <c r="Y1557" s="21" t="n">
        <v>0</v>
      </c>
      <c r="Z1557" s="21" t="n">
        <v>0</v>
      </c>
      <c r="AA1557" s="21" t="n">
        <v>0</v>
      </c>
      <c r="AB1557" s="21" t="n">
        <v>0</v>
      </c>
      <c r="AC1557" s="21" t="n">
        <v>0</v>
      </c>
      <c r="AD1557" s="21">
        <f>-$B$18</f>
        <v/>
      </c>
      <c r="AE1557" s="21">
        <f>-$B$19</f>
        <v/>
      </c>
      <c r="AF1557" s="21">
        <f>2*$B$18+$D$1521</f>
        <v/>
      </c>
      <c r="AG1557" s="21">
        <f>0</f>
        <v/>
      </c>
      <c r="AH1557" s="21">
        <f>-$B$18</f>
        <v/>
      </c>
      <c r="AI1557" s="21">
        <f>$B$19</f>
        <v/>
      </c>
      <c r="AJ1557" s="21" t="n">
        <v>0</v>
      </c>
      <c r="AK1557" s="21" t="n">
        <v>0</v>
      </c>
      <c r="AL1557" s="21" t="n">
        <v>0</v>
      </c>
      <c r="AM1557" s="21" t="n">
        <v>0</v>
      </c>
      <c r="AN1557" s="21" t="n">
        <v>0</v>
      </c>
      <c r="AO1557" s="21" t="n">
        <v>0</v>
      </c>
      <c r="AP1557" s="21" t="n">
        <v>0</v>
      </c>
      <c r="AQ1557" s="21" t="n">
        <v>0</v>
      </c>
      <c r="AR1557" s="21" t="n">
        <v>0</v>
      </c>
      <c r="AS1557" s="21" t="n">
        <v>0</v>
      </c>
      <c r="AT1557" s="19" t="n"/>
    </row>
    <row r="1558">
      <c r="D1558" s="21" t="n">
        <v>0</v>
      </c>
      <c r="E1558" s="21" t="n">
        <v>0</v>
      </c>
      <c r="F1558" s="21" t="n">
        <v>0</v>
      </c>
      <c r="G1558" s="21" t="n">
        <v>0</v>
      </c>
      <c r="H1558" s="21" t="n">
        <v>0</v>
      </c>
      <c r="I1558" s="21" t="n">
        <v>0</v>
      </c>
      <c r="J1558" s="21" t="n">
        <v>0</v>
      </c>
      <c r="K1558" s="21" t="n">
        <v>0</v>
      </c>
      <c r="L1558" s="21" t="n">
        <v>0</v>
      </c>
      <c r="M1558" s="21" t="n">
        <v>0</v>
      </c>
      <c r="N1558" s="21" t="n">
        <v>0</v>
      </c>
      <c r="O1558" s="21" t="n">
        <v>0</v>
      </c>
      <c r="P1558" s="21" t="n">
        <v>0</v>
      </c>
      <c r="Q1558" s="21" t="n">
        <v>0</v>
      </c>
      <c r="R1558" s="21" t="n">
        <v>0</v>
      </c>
      <c r="S1558" s="21" t="n">
        <v>0</v>
      </c>
      <c r="T1558" s="21" t="n">
        <v>0</v>
      </c>
      <c r="U1558" s="21" t="n">
        <v>0</v>
      </c>
      <c r="V1558" s="21" t="n">
        <v>0</v>
      </c>
      <c r="W1558" s="21" t="n">
        <v>0</v>
      </c>
      <c r="X1558" s="21" t="n">
        <v>0</v>
      </c>
      <c r="Y1558" s="21" t="n">
        <v>0</v>
      </c>
      <c r="Z1558" s="21" t="n">
        <v>0</v>
      </c>
      <c r="AA1558" s="21" t="n">
        <v>0</v>
      </c>
      <c r="AB1558" s="21" t="n">
        <v>0</v>
      </c>
      <c r="AC1558" s="21" t="n">
        <v>0</v>
      </c>
      <c r="AD1558" s="21">
        <f>$B$19</f>
        <v/>
      </c>
      <c r="AE1558" s="21">
        <f>$B$21</f>
        <v/>
      </c>
      <c r="AF1558" s="21">
        <f>0</f>
        <v/>
      </c>
      <c r="AG1558" s="21">
        <f>2*$B$20</f>
        <v/>
      </c>
      <c r="AH1558" s="21">
        <f>-$B$19</f>
        <v/>
      </c>
      <c r="AI1558" s="21">
        <f>$B$21</f>
        <v/>
      </c>
      <c r="AJ1558" s="21" t="n">
        <v>0</v>
      </c>
      <c r="AK1558" s="21" t="n">
        <v>0</v>
      </c>
      <c r="AL1558" s="21" t="n">
        <v>0</v>
      </c>
      <c r="AM1558" s="21" t="n">
        <v>0</v>
      </c>
      <c r="AN1558" s="21" t="n">
        <v>0</v>
      </c>
      <c r="AO1558" s="21" t="n">
        <v>0</v>
      </c>
      <c r="AP1558" s="21" t="n">
        <v>0</v>
      </c>
      <c r="AQ1558" s="21" t="n">
        <v>0</v>
      </c>
      <c r="AR1558" s="21" t="n">
        <v>0</v>
      </c>
      <c r="AS1558" s="21" t="n">
        <v>0</v>
      </c>
      <c r="AT1558" s="19" t="n"/>
    </row>
    <row r="1559">
      <c r="D1559" s="21" t="n">
        <v>0</v>
      </c>
      <c r="E1559" s="21" t="n">
        <v>0</v>
      </c>
      <c r="F1559" s="21" t="n">
        <v>0</v>
      </c>
      <c r="G1559" s="21" t="n">
        <v>0</v>
      </c>
      <c r="H1559" s="21" t="n">
        <v>0</v>
      </c>
      <c r="I1559" s="21" t="n">
        <v>0</v>
      </c>
      <c r="J1559" s="21" t="n">
        <v>0</v>
      </c>
      <c r="K1559" s="21" t="n">
        <v>0</v>
      </c>
      <c r="L1559" s="21" t="n">
        <v>0</v>
      </c>
      <c r="M1559" s="21" t="n">
        <v>0</v>
      </c>
      <c r="N1559" s="21" t="n">
        <v>0</v>
      </c>
      <c r="O1559" s="21" t="n">
        <v>0</v>
      </c>
      <c r="P1559" s="21" t="n">
        <v>0</v>
      </c>
      <c r="Q1559" s="21" t="n">
        <v>0</v>
      </c>
      <c r="R1559" s="21" t="n">
        <v>0</v>
      </c>
      <c r="S1559" s="21" t="n">
        <v>0</v>
      </c>
      <c r="T1559" s="21" t="n">
        <v>0</v>
      </c>
      <c r="U1559" s="21" t="n">
        <v>0</v>
      </c>
      <c r="V1559" s="21" t="n">
        <v>0</v>
      </c>
      <c r="W1559" s="21" t="n">
        <v>0</v>
      </c>
      <c r="X1559" s="21" t="n">
        <v>0</v>
      </c>
      <c r="Y1559" s="21" t="n">
        <v>0</v>
      </c>
      <c r="Z1559" s="21" t="n">
        <v>0</v>
      </c>
      <c r="AA1559" s="21" t="n">
        <v>0</v>
      </c>
      <c r="AB1559" s="21" t="n">
        <v>0</v>
      </c>
      <c r="AC1559" s="21" t="n">
        <v>0</v>
      </c>
      <c r="AD1559" s="21" t="n">
        <v>0</v>
      </c>
      <c r="AE1559" s="21" t="n">
        <v>0</v>
      </c>
      <c r="AF1559" s="21">
        <f>-$B$18</f>
        <v/>
      </c>
      <c r="AG1559" s="21">
        <f>-$B$19</f>
        <v/>
      </c>
      <c r="AH1559" s="21">
        <f>2*$B$18+$D$1522</f>
        <v/>
      </c>
      <c r="AI1559" s="21">
        <f>0</f>
        <v/>
      </c>
      <c r="AJ1559" s="21">
        <f>-$B$18</f>
        <v/>
      </c>
      <c r="AK1559" s="21">
        <f>$B$19</f>
        <v/>
      </c>
      <c r="AL1559" s="21" t="n">
        <v>0</v>
      </c>
      <c r="AM1559" s="21" t="n">
        <v>0</v>
      </c>
      <c r="AN1559" s="21" t="n">
        <v>0</v>
      </c>
      <c r="AO1559" s="21" t="n">
        <v>0</v>
      </c>
      <c r="AP1559" s="21" t="n">
        <v>0</v>
      </c>
      <c r="AQ1559" s="21" t="n">
        <v>0</v>
      </c>
      <c r="AR1559" s="21" t="n">
        <v>0</v>
      </c>
      <c r="AS1559" s="21" t="n">
        <v>0</v>
      </c>
      <c r="AT1559" s="19" t="n"/>
    </row>
    <row r="1560">
      <c r="D1560" s="21" t="n">
        <v>0</v>
      </c>
      <c r="E1560" s="21" t="n">
        <v>0</v>
      </c>
      <c r="F1560" s="21" t="n">
        <v>0</v>
      </c>
      <c r="G1560" s="21" t="n">
        <v>0</v>
      </c>
      <c r="H1560" s="21" t="n">
        <v>0</v>
      </c>
      <c r="I1560" s="21" t="n">
        <v>0</v>
      </c>
      <c r="J1560" s="21" t="n">
        <v>0</v>
      </c>
      <c r="K1560" s="21" t="n">
        <v>0</v>
      </c>
      <c r="L1560" s="21" t="n">
        <v>0</v>
      </c>
      <c r="M1560" s="21" t="n">
        <v>0</v>
      </c>
      <c r="N1560" s="21" t="n">
        <v>0</v>
      </c>
      <c r="O1560" s="21" t="n">
        <v>0</v>
      </c>
      <c r="P1560" s="21" t="n">
        <v>0</v>
      </c>
      <c r="Q1560" s="21" t="n">
        <v>0</v>
      </c>
      <c r="R1560" s="21" t="n">
        <v>0</v>
      </c>
      <c r="S1560" s="21" t="n">
        <v>0</v>
      </c>
      <c r="T1560" s="21" t="n">
        <v>0</v>
      </c>
      <c r="U1560" s="21" t="n">
        <v>0</v>
      </c>
      <c r="V1560" s="21" t="n">
        <v>0</v>
      </c>
      <c r="W1560" s="21" t="n">
        <v>0</v>
      </c>
      <c r="X1560" s="21" t="n">
        <v>0</v>
      </c>
      <c r="Y1560" s="21" t="n">
        <v>0</v>
      </c>
      <c r="Z1560" s="21" t="n">
        <v>0</v>
      </c>
      <c r="AA1560" s="21" t="n">
        <v>0</v>
      </c>
      <c r="AB1560" s="21" t="n">
        <v>0</v>
      </c>
      <c r="AC1560" s="21" t="n">
        <v>0</v>
      </c>
      <c r="AD1560" s="21" t="n">
        <v>0</v>
      </c>
      <c r="AE1560" s="21" t="n">
        <v>0</v>
      </c>
      <c r="AF1560" s="21">
        <f>$B$19</f>
        <v/>
      </c>
      <c r="AG1560" s="21">
        <f>$B$21</f>
        <v/>
      </c>
      <c r="AH1560" s="21">
        <f>0</f>
        <v/>
      </c>
      <c r="AI1560" s="21">
        <f>2*$B$20</f>
        <v/>
      </c>
      <c r="AJ1560" s="21">
        <f>-$B$19</f>
        <v/>
      </c>
      <c r="AK1560" s="21">
        <f>$B$21</f>
        <v/>
      </c>
      <c r="AL1560" s="21" t="n">
        <v>0</v>
      </c>
      <c r="AM1560" s="21" t="n">
        <v>0</v>
      </c>
      <c r="AN1560" s="21" t="n">
        <v>0</v>
      </c>
      <c r="AO1560" s="21" t="n">
        <v>0</v>
      </c>
      <c r="AP1560" s="21" t="n">
        <v>0</v>
      </c>
      <c r="AQ1560" s="21" t="n">
        <v>0</v>
      </c>
      <c r="AR1560" s="21" t="n">
        <v>0</v>
      </c>
      <c r="AS1560" s="21" t="n">
        <v>0</v>
      </c>
      <c r="AT1560" s="19" t="n"/>
    </row>
    <row r="1561">
      <c r="D1561" s="21" t="n">
        <v>0</v>
      </c>
      <c r="E1561" s="21" t="n">
        <v>0</v>
      </c>
      <c r="F1561" s="21" t="n">
        <v>0</v>
      </c>
      <c r="G1561" s="21" t="n">
        <v>0</v>
      </c>
      <c r="H1561" s="21" t="n">
        <v>0</v>
      </c>
      <c r="I1561" s="21" t="n">
        <v>0</v>
      </c>
      <c r="J1561" s="21" t="n">
        <v>0</v>
      </c>
      <c r="K1561" s="21" t="n">
        <v>0</v>
      </c>
      <c r="L1561" s="21" t="n">
        <v>0</v>
      </c>
      <c r="M1561" s="21" t="n">
        <v>0</v>
      </c>
      <c r="N1561" s="21" t="n">
        <v>0</v>
      </c>
      <c r="O1561" s="21" t="n">
        <v>0</v>
      </c>
      <c r="P1561" s="21" t="n">
        <v>0</v>
      </c>
      <c r="Q1561" s="21" t="n">
        <v>0</v>
      </c>
      <c r="R1561" s="21" t="n">
        <v>0</v>
      </c>
      <c r="S1561" s="21" t="n">
        <v>0</v>
      </c>
      <c r="T1561" s="21" t="n">
        <v>0</v>
      </c>
      <c r="U1561" s="21" t="n">
        <v>0</v>
      </c>
      <c r="V1561" s="21" t="n">
        <v>0</v>
      </c>
      <c r="W1561" s="21" t="n">
        <v>0</v>
      </c>
      <c r="X1561" s="21" t="n">
        <v>0</v>
      </c>
      <c r="Y1561" s="21" t="n">
        <v>0</v>
      </c>
      <c r="Z1561" s="21" t="n">
        <v>0</v>
      </c>
      <c r="AA1561" s="21" t="n">
        <v>0</v>
      </c>
      <c r="AB1561" s="21" t="n">
        <v>0</v>
      </c>
      <c r="AC1561" s="21" t="n">
        <v>0</v>
      </c>
      <c r="AD1561" s="21" t="n">
        <v>0</v>
      </c>
      <c r="AE1561" s="21" t="n">
        <v>0</v>
      </c>
      <c r="AF1561" s="21" t="n">
        <v>0</v>
      </c>
      <c r="AG1561" s="21" t="n">
        <v>0</v>
      </c>
      <c r="AH1561" s="21">
        <f>-$B$18</f>
        <v/>
      </c>
      <c r="AI1561" s="21">
        <f>-$B$19</f>
        <v/>
      </c>
      <c r="AJ1561" s="21">
        <f>2*$B$18+$D$1523</f>
        <v/>
      </c>
      <c r="AK1561" s="21">
        <f>0</f>
        <v/>
      </c>
      <c r="AL1561" s="21">
        <f>-$B$18</f>
        <v/>
      </c>
      <c r="AM1561" s="21">
        <f>$B$19</f>
        <v/>
      </c>
      <c r="AN1561" s="21" t="n">
        <v>0</v>
      </c>
      <c r="AO1561" s="21" t="n">
        <v>0</v>
      </c>
      <c r="AP1561" s="21" t="n">
        <v>0</v>
      </c>
      <c r="AQ1561" s="21" t="n">
        <v>0</v>
      </c>
      <c r="AR1561" s="21" t="n">
        <v>0</v>
      </c>
      <c r="AS1561" s="21" t="n">
        <v>0</v>
      </c>
      <c r="AT1561" s="19" t="n"/>
    </row>
    <row r="1562">
      <c r="D1562" s="21" t="n">
        <v>0</v>
      </c>
      <c r="E1562" s="21" t="n">
        <v>0</v>
      </c>
      <c r="F1562" s="21" t="n">
        <v>0</v>
      </c>
      <c r="G1562" s="21" t="n">
        <v>0</v>
      </c>
      <c r="H1562" s="21" t="n">
        <v>0</v>
      </c>
      <c r="I1562" s="21" t="n">
        <v>0</v>
      </c>
      <c r="J1562" s="21" t="n">
        <v>0</v>
      </c>
      <c r="K1562" s="21" t="n">
        <v>0</v>
      </c>
      <c r="L1562" s="21" t="n">
        <v>0</v>
      </c>
      <c r="M1562" s="21" t="n">
        <v>0</v>
      </c>
      <c r="N1562" s="21" t="n">
        <v>0</v>
      </c>
      <c r="O1562" s="21" t="n">
        <v>0</v>
      </c>
      <c r="P1562" s="21" t="n">
        <v>0</v>
      </c>
      <c r="Q1562" s="21" t="n">
        <v>0</v>
      </c>
      <c r="R1562" s="21" t="n">
        <v>0</v>
      </c>
      <c r="S1562" s="21" t="n">
        <v>0</v>
      </c>
      <c r="T1562" s="21" t="n">
        <v>0</v>
      </c>
      <c r="U1562" s="21" t="n">
        <v>0</v>
      </c>
      <c r="V1562" s="21" t="n">
        <v>0</v>
      </c>
      <c r="W1562" s="21" t="n">
        <v>0</v>
      </c>
      <c r="X1562" s="21" t="n">
        <v>0</v>
      </c>
      <c r="Y1562" s="21" t="n">
        <v>0</v>
      </c>
      <c r="Z1562" s="21" t="n">
        <v>0</v>
      </c>
      <c r="AA1562" s="21" t="n">
        <v>0</v>
      </c>
      <c r="AB1562" s="21" t="n">
        <v>0</v>
      </c>
      <c r="AC1562" s="21" t="n">
        <v>0</v>
      </c>
      <c r="AD1562" s="21" t="n">
        <v>0</v>
      </c>
      <c r="AE1562" s="21" t="n">
        <v>0</v>
      </c>
      <c r="AF1562" s="21" t="n">
        <v>0</v>
      </c>
      <c r="AG1562" s="21" t="n">
        <v>0</v>
      </c>
      <c r="AH1562" s="21">
        <f>$B$19</f>
        <v/>
      </c>
      <c r="AI1562" s="21">
        <f>$B$21</f>
        <v/>
      </c>
      <c r="AJ1562" s="21">
        <f>0</f>
        <v/>
      </c>
      <c r="AK1562" s="21">
        <f>2*$B$20</f>
        <v/>
      </c>
      <c r="AL1562" s="21">
        <f>-$B$19</f>
        <v/>
      </c>
      <c r="AM1562" s="21">
        <f>$B$21</f>
        <v/>
      </c>
      <c r="AN1562" s="21" t="n">
        <v>0</v>
      </c>
      <c r="AO1562" s="21" t="n">
        <v>0</v>
      </c>
      <c r="AP1562" s="21" t="n">
        <v>0</v>
      </c>
      <c r="AQ1562" s="21" t="n">
        <v>0</v>
      </c>
      <c r="AR1562" s="21" t="n">
        <v>0</v>
      </c>
      <c r="AS1562" s="21" t="n">
        <v>0</v>
      </c>
      <c r="AT1562" s="19" t="n"/>
    </row>
    <row r="1563">
      <c r="D1563" s="21" t="n">
        <v>0</v>
      </c>
      <c r="E1563" s="21" t="n">
        <v>0</v>
      </c>
      <c r="F1563" s="21" t="n">
        <v>0</v>
      </c>
      <c r="G1563" s="21" t="n">
        <v>0</v>
      </c>
      <c r="H1563" s="21" t="n">
        <v>0</v>
      </c>
      <c r="I1563" s="21" t="n">
        <v>0</v>
      </c>
      <c r="J1563" s="21" t="n">
        <v>0</v>
      </c>
      <c r="K1563" s="21" t="n">
        <v>0</v>
      </c>
      <c r="L1563" s="21" t="n">
        <v>0</v>
      </c>
      <c r="M1563" s="21" t="n">
        <v>0</v>
      </c>
      <c r="N1563" s="21" t="n">
        <v>0</v>
      </c>
      <c r="O1563" s="21" t="n">
        <v>0</v>
      </c>
      <c r="P1563" s="21" t="n">
        <v>0</v>
      </c>
      <c r="Q1563" s="21" t="n">
        <v>0</v>
      </c>
      <c r="R1563" s="21" t="n">
        <v>0</v>
      </c>
      <c r="S1563" s="21" t="n">
        <v>0</v>
      </c>
      <c r="T1563" s="21" t="n">
        <v>0</v>
      </c>
      <c r="U1563" s="21" t="n">
        <v>0</v>
      </c>
      <c r="V1563" s="21" t="n">
        <v>0</v>
      </c>
      <c r="W1563" s="21" t="n">
        <v>0</v>
      </c>
      <c r="X1563" s="21" t="n">
        <v>0</v>
      </c>
      <c r="Y1563" s="21" t="n">
        <v>0</v>
      </c>
      <c r="Z1563" s="21" t="n">
        <v>0</v>
      </c>
      <c r="AA1563" s="21" t="n">
        <v>0</v>
      </c>
      <c r="AB1563" s="21" t="n">
        <v>0</v>
      </c>
      <c r="AC1563" s="21" t="n">
        <v>0</v>
      </c>
      <c r="AD1563" s="21" t="n">
        <v>0</v>
      </c>
      <c r="AE1563" s="21" t="n">
        <v>0</v>
      </c>
      <c r="AF1563" s="21" t="n">
        <v>0</v>
      </c>
      <c r="AG1563" s="21" t="n">
        <v>0</v>
      </c>
      <c r="AH1563" s="21" t="n">
        <v>0</v>
      </c>
      <c r="AI1563" s="21" t="n">
        <v>0</v>
      </c>
      <c r="AJ1563" s="21">
        <f>-$B$18</f>
        <v/>
      </c>
      <c r="AK1563" s="21">
        <f>-$B$19</f>
        <v/>
      </c>
      <c r="AL1563" s="21">
        <f>2*$B$18+$D$1524</f>
        <v/>
      </c>
      <c r="AM1563" s="21">
        <f>0</f>
        <v/>
      </c>
      <c r="AN1563" s="21">
        <f>-$B$18</f>
        <v/>
      </c>
      <c r="AO1563" s="21">
        <f>$B$19</f>
        <v/>
      </c>
      <c r="AP1563" s="21" t="n">
        <v>0</v>
      </c>
      <c r="AQ1563" s="21" t="n">
        <v>0</v>
      </c>
      <c r="AR1563" s="21" t="n">
        <v>0</v>
      </c>
      <c r="AS1563" s="21" t="n">
        <v>0</v>
      </c>
      <c r="AT1563" s="19" t="n"/>
    </row>
    <row r="1564">
      <c r="D1564" s="21" t="n">
        <v>0</v>
      </c>
      <c r="E1564" s="21" t="n">
        <v>0</v>
      </c>
      <c r="F1564" s="21" t="n">
        <v>0</v>
      </c>
      <c r="G1564" s="21" t="n">
        <v>0</v>
      </c>
      <c r="H1564" s="21" t="n">
        <v>0</v>
      </c>
      <c r="I1564" s="21" t="n">
        <v>0</v>
      </c>
      <c r="J1564" s="21" t="n">
        <v>0</v>
      </c>
      <c r="K1564" s="21" t="n">
        <v>0</v>
      </c>
      <c r="L1564" s="21" t="n">
        <v>0</v>
      </c>
      <c r="M1564" s="21" t="n">
        <v>0</v>
      </c>
      <c r="N1564" s="21" t="n">
        <v>0</v>
      </c>
      <c r="O1564" s="21" t="n">
        <v>0</v>
      </c>
      <c r="P1564" s="21" t="n">
        <v>0</v>
      </c>
      <c r="Q1564" s="21" t="n">
        <v>0</v>
      </c>
      <c r="R1564" s="21" t="n">
        <v>0</v>
      </c>
      <c r="S1564" s="21" t="n">
        <v>0</v>
      </c>
      <c r="T1564" s="21" t="n">
        <v>0</v>
      </c>
      <c r="U1564" s="21" t="n">
        <v>0</v>
      </c>
      <c r="V1564" s="21" t="n">
        <v>0</v>
      </c>
      <c r="W1564" s="21" t="n">
        <v>0</v>
      </c>
      <c r="X1564" s="21" t="n">
        <v>0</v>
      </c>
      <c r="Y1564" s="21" t="n">
        <v>0</v>
      </c>
      <c r="Z1564" s="21" t="n">
        <v>0</v>
      </c>
      <c r="AA1564" s="21" t="n">
        <v>0</v>
      </c>
      <c r="AB1564" s="21" t="n">
        <v>0</v>
      </c>
      <c r="AC1564" s="21" t="n">
        <v>0</v>
      </c>
      <c r="AD1564" s="21" t="n">
        <v>0</v>
      </c>
      <c r="AE1564" s="21" t="n">
        <v>0</v>
      </c>
      <c r="AF1564" s="21" t="n">
        <v>0</v>
      </c>
      <c r="AG1564" s="21" t="n">
        <v>0</v>
      </c>
      <c r="AH1564" s="21" t="n">
        <v>0</v>
      </c>
      <c r="AI1564" s="21" t="n">
        <v>0</v>
      </c>
      <c r="AJ1564" s="21">
        <f>$B$19</f>
        <v/>
      </c>
      <c r="AK1564" s="21">
        <f>$B$21</f>
        <v/>
      </c>
      <c r="AL1564" s="21">
        <f>0</f>
        <v/>
      </c>
      <c r="AM1564" s="21">
        <f>2*$B$20</f>
        <v/>
      </c>
      <c r="AN1564" s="21">
        <f>-$B$19</f>
        <v/>
      </c>
      <c r="AO1564" s="21">
        <f>$B$21</f>
        <v/>
      </c>
      <c r="AP1564" s="21" t="n">
        <v>0</v>
      </c>
      <c r="AQ1564" s="21" t="n">
        <v>0</v>
      </c>
      <c r="AR1564" s="21" t="n">
        <v>0</v>
      </c>
      <c r="AS1564" s="21" t="n">
        <v>0</v>
      </c>
      <c r="AT1564" s="19" t="n"/>
    </row>
    <row r="1565">
      <c r="D1565" s="21" t="n">
        <v>0</v>
      </c>
      <c r="E1565" s="21" t="n">
        <v>0</v>
      </c>
      <c r="F1565" s="21" t="n">
        <v>0</v>
      </c>
      <c r="G1565" s="21" t="n">
        <v>0</v>
      </c>
      <c r="H1565" s="21" t="n">
        <v>0</v>
      </c>
      <c r="I1565" s="21" t="n">
        <v>0</v>
      </c>
      <c r="J1565" s="21" t="n">
        <v>0</v>
      </c>
      <c r="K1565" s="21" t="n">
        <v>0</v>
      </c>
      <c r="L1565" s="21" t="n">
        <v>0</v>
      </c>
      <c r="M1565" s="21" t="n">
        <v>0</v>
      </c>
      <c r="N1565" s="21" t="n">
        <v>0</v>
      </c>
      <c r="O1565" s="21" t="n">
        <v>0</v>
      </c>
      <c r="P1565" s="21" t="n">
        <v>0</v>
      </c>
      <c r="Q1565" s="21" t="n">
        <v>0</v>
      </c>
      <c r="R1565" s="21" t="n">
        <v>0</v>
      </c>
      <c r="S1565" s="21" t="n">
        <v>0</v>
      </c>
      <c r="T1565" s="21" t="n">
        <v>0</v>
      </c>
      <c r="U1565" s="21" t="n">
        <v>0</v>
      </c>
      <c r="V1565" s="21" t="n">
        <v>0</v>
      </c>
      <c r="W1565" s="21" t="n">
        <v>0</v>
      </c>
      <c r="X1565" s="21" t="n">
        <v>0</v>
      </c>
      <c r="Y1565" s="21" t="n">
        <v>0</v>
      </c>
      <c r="Z1565" s="21" t="n">
        <v>0</v>
      </c>
      <c r="AA1565" s="21" t="n">
        <v>0</v>
      </c>
      <c r="AB1565" s="21" t="n">
        <v>0</v>
      </c>
      <c r="AC1565" s="21" t="n">
        <v>0</v>
      </c>
      <c r="AD1565" s="21" t="n">
        <v>0</v>
      </c>
      <c r="AE1565" s="21" t="n">
        <v>0</v>
      </c>
      <c r="AF1565" s="21" t="n">
        <v>0</v>
      </c>
      <c r="AG1565" s="21" t="n">
        <v>0</v>
      </c>
      <c r="AH1565" s="21" t="n">
        <v>0</v>
      </c>
      <c r="AI1565" s="21" t="n">
        <v>0</v>
      </c>
      <c r="AJ1565" s="21" t="n">
        <v>0</v>
      </c>
      <c r="AK1565" s="21" t="n">
        <v>0</v>
      </c>
      <c r="AL1565" s="21">
        <f>-$B$18</f>
        <v/>
      </c>
      <c r="AM1565" s="21">
        <f>-$B$19</f>
        <v/>
      </c>
      <c r="AN1565" s="21">
        <f>2*$B$18+$D$1525</f>
        <v/>
      </c>
      <c r="AO1565" s="21">
        <f>0</f>
        <v/>
      </c>
      <c r="AP1565" s="21">
        <f>-$B$18</f>
        <v/>
      </c>
      <c r="AQ1565" s="21">
        <f>$B$19</f>
        <v/>
      </c>
      <c r="AR1565" s="21" t="n">
        <v>0</v>
      </c>
      <c r="AS1565" s="21" t="n">
        <v>0</v>
      </c>
      <c r="AT1565" s="19" t="n"/>
    </row>
    <row r="1566">
      <c r="D1566" s="21" t="n">
        <v>0</v>
      </c>
      <c r="E1566" s="21" t="n">
        <v>0</v>
      </c>
      <c r="F1566" s="21" t="n">
        <v>0</v>
      </c>
      <c r="G1566" s="21" t="n">
        <v>0</v>
      </c>
      <c r="H1566" s="21" t="n">
        <v>0</v>
      </c>
      <c r="I1566" s="21" t="n">
        <v>0</v>
      </c>
      <c r="J1566" s="21" t="n">
        <v>0</v>
      </c>
      <c r="K1566" s="21" t="n">
        <v>0</v>
      </c>
      <c r="L1566" s="21" t="n">
        <v>0</v>
      </c>
      <c r="M1566" s="21" t="n">
        <v>0</v>
      </c>
      <c r="N1566" s="21" t="n">
        <v>0</v>
      </c>
      <c r="O1566" s="21" t="n">
        <v>0</v>
      </c>
      <c r="P1566" s="21" t="n">
        <v>0</v>
      </c>
      <c r="Q1566" s="21" t="n">
        <v>0</v>
      </c>
      <c r="R1566" s="21" t="n">
        <v>0</v>
      </c>
      <c r="S1566" s="21" t="n">
        <v>0</v>
      </c>
      <c r="T1566" s="21" t="n">
        <v>0</v>
      </c>
      <c r="U1566" s="21" t="n">
        <v>0</v>
      </c>
      <c r="V1566" s="21" t="n">
        <v>0</v>
      </c>
      <c r="W1566" s="21" t="n">
        <v>0</v>
      </c>
      <c r="X1566" s="21" t="n">
        <v>0</v>
      </c>
      <c r="Y1566" s="21" t="n">
        <v>0</v>
      </c>
      <c r="Z1566" s="21" t="n">
        <v>0</v>
      </c>
      <c r="AA1566" s="21" t="n">
        <v>0</v>
      </c>
      <c r="AB1566" s="21" t="n">
        <v>0</v>
      </c>
      <c r="AC1566" s="21" t="n">
        <v>0</v>
      </c>
      <c r="AD1566" s="21" t="n">
        <v>0</v>
      </c>
      <c r="AE1566" s="21" t="n">
        <v>0</v>
      </c>
      <c r="AF1566" s="21" t="n">
        <v>0</v>
      </c>
      <c r="AG1566" s="21" t="n">
        <v>0</v>
      </c>
      <c r="AH1566" s="21" t="n">
        <v>0</v>
      </c>
      <c r="AI1566" s="21" t="n">
        <v>0</v>
      </c>
      <c r="AJ1566" s="21" t="n">
        <v>0</v>
      </c>
      <c r="AK1566" s="21" t="n">
        <v>0</v>
      </c>
      <c r="AL1566" s="21">
        <f>$B$19</f>
        <v/>
      </c>
      <c r="AM1566" s="21">
        <f>$B$21</f>
        <v/>
      </c>
      <c r="AN1566" s="21">
        <f>0</f>
        <v/>
      </c>
      <c r="AO1566" s="21">
        <f>2*$B$20</f>
        <v/>
      </c>
      <c r="AP1566" s="21">
        <f>-$B$19</f>
        <v/>
      </c>
      <c r="AQ1566" s="21">
        <f>$B$21</f>
        <v/>
      </c>
      <c r="AR1566" s="21" t="n">
        <v>0</v>
      </c>
      <c r="AS1566" s="21" t="n">
        <v>0</v>
      </c>
      <c r="AT1566" s="19" t="n"/>
    </row>
    <row r="1567">
      <c r="D1567" s="21" t="n">
        <v>0</v>
      </c>
      <c r="E1567" s="21" t="n">
        <v>0</v>
      </c>
      <c r="F1567" s="21" t="n">
        <v>0</v>
      </c>
      <c r="G1567" s="21" t="n">
        <v>0</v>
      </c>
      <c r="H1567" s="21" t="n">
        <v>0</v>
      </c>
      <c r="I1567" s="21" t="n">
        <v>0</v>
      </c>
      <c r="J1567" s="21" t="n">
        <v>0</v>
      </c>
      <c r="K1567" s="21" t="n">
        <v>0</v>
      </c>
      <c r="L1567" s="21" t="n">
        <v>0</v>
      </c>
      <c r="M1567" s="21" t="n">
        <v>0</v>
      </c>
      <c r="N1567" s="21" t="n">
        <v>0</v>
      </c>
      <c r="O1567" s="21" t="n">
        <v>0</v>
      </c>
      <c r="P1567" s="21" t="n">
        <v>0</v>
      </c>
      <c r="Q1567" s="21" t="n">
        <v>0</v>
      </c>
      <c r="R1567" s="21" t="n">
        <v>0</v>
      </c>
      <c r="S1567" s="21" t="n">
        <v>0</v>
      </c>
      <c r="T1567" s="21" t="n">
        <v>0</v>
      </c>
      <c r="U1567" s="21" t="n">
        <v>0</v>
      </c>
      <c r="V1567" s="21" t="n">
        <v>0</v>
      </c>
      <c r="W1567" s="21" t="n">
        <v>0</v>
      </c>
      <c r="X1567" s="21" t="n">
        <v>0</v>
      </c>
      <c r="Y1567" s="21" t="n">
        <v>0</v>
      </c>
      <c r="Z1567" s="21" t="n">
        <v>0</v>
      </c>
      <c r="AA1567" s="21" t="n">
        <v>0</v>
      </c>
      <c r="AB1567" s="21" t="n">
        <v>0</v>
      </c>
      <c r="AC1567" s="21" t="n">
        <v>0</v>
      </c>
      <c r="AD1567" s="21" t="n">
        <v>0</v>
      </c>
      <c r="AE1567" s="21" t="n">
        <v>0</v>
      </c>
      <c r="AF1567" s="21" t="n">
        <v>0</v>
      </c>
      <c r="AG1567" s="21" t="n">
        <v>0</v>
      </c>
      <c r="AH1567" s="21" t="n">
        <v>0</v>
      </c>
      <c r="AI1567" s="21" t="n">
        <v>0</v>
      </c>
      <c r="AJ1567" s="21" t="n">
        <v>0</v>
      </c>
      <c r="AK1567" s="21" t="n">
        <v>0</v>
      </c>
      <c r="AL1567" s="21" t="n">
        <v>0</v>
      </c>
      <c r="AM1567" s="21" t="n">
        <v>0</v>
      </c>
      <c r="AN1567" s="21">
        <f>-$B$18</f>
        <v/>
      </c>
      <c r="AO1567" s="21">
        <f>-$B$19</f>
        <v/>
      </c>
      <c r="AP1567" s="21">
        <f>2*$B$18+$D$1526</f>
        <v/>
      </c>
      <c r="AQ1567" s="21">
        <f>0</f>
        <v/>
      </c>
      <c r="AR1567" s="21">
        <f>-$B$18</f>
        <v/>
      </c>
      <c r="AS1567" s="21">
        <f>$B$19</f>
        <v/>
      </c>
      <c r="AT1567" s="19" t="n"/>
    </row>
    <row r="1568">
      <c r="D1568" s="21" t="n">
        <v>0</v>
      </c>
      <c r="E1568" s="21" t="n">
        <v>0</v>
      </c>
      <c r="F1568" s="21" t="n">
        <v>0</v>
      </c>
      <c r="G1568" s="21" t="n">
        <v>0</v>
      </c>
      <c r="H1568" s="21" t="n">
        <v>0</v>
      </c>
      <c r="I1568" s="21" t="n">
        <v>0</v>
      </c>
      <c r="J1568" s="21" t="n">
        <v>0</v>
      </c>
      <c r="K1568" s="21" t="n">
        <v>0</v>
      </c>
      <c r="L1568" s="21" t="n">
        <v>0</v>
      </c>
      <c r="M1568" s="21" t="n">
        <v>0</v>
      </c>
      <c r="N1568" s="21" t="n">
        <v>0</v>
      </c>
      <c r="O1568" s="21" t="n">
        <v>0</v>
      </c>
      <c r="P1568" s="21" t="n">
        <v>0</v>
      </c>
      <c r="Q1568" s="21" t="n">
        <v>0</v>
      </c>
      <c r="R1568" s="21" t="n">
        <v>0</v>
      </c>
      <c r="S1568" s="21" t="n">
        <v>0</v>
      </c>
      <c r="T1568" s="21" t="n">
        <v>0</v>
      </c>
      <c r="U1568" s="21" t="n">
        <v>0</v>
      </c>
      <c r="V1568" s="21" t="n">
        <v>0</v>
      </c>
      <c r="W1568" s="21" t="n">
        <v>0</v>
      </c>
      <c r="X1568" s="21" t="n">
        <v>0</v>
      </c>
      <c r="Y1568" s="21" t="n">
        <v>0</v>
      </c>
      <c r="Z1568" s="21" t="n">
        <v>0</v>
      </c>
      <c r="AA1568" s="21" t="n">
        <v>0</v>
      </c>
      <c r="AB1568" s="21" t="n">
        <v>0</v>
      </c>
      <c r="AC1568" s="21" t="n">
        <v>0</v>
      </c>
      <c r="AD1568" s="21" t="n">
        <v>0</v>
      </c>
      <c r="AE1568" s="21" t="n">
        <v>0</v>
      </c>
      <c r="AF1568" s="21" t="n">
        <v>0</v>
      </c>
      <c r="AG1568" s="21" t="n">
        <v>0</v>
      </c>
      <c r="AH1568" s="21" t="n">
        <v>0</v>
      </c>
      <c r="AI1568" s="21" t="n">
        <v>0</v>
      </c>
      <c r="AJ1568" s="21" t="n">
        <v>0</v>
      </c>
      <c r="AK1568" s="21" t="n">
        <v>0</v>
      </c>
      <c r="AL1568" s="21" t="n">
        <v>0</v>
      </c>
      <c r="AM1568" s="21" t="n">
        <v>0</v>
      </c>
      <c r="AN1568" s="21">
        <f>$B$19</f>
        <v/>
      </c>
      <c r="AO1568" s="21">
        <f>$B$21</f>
        <v/>
      </c>
      <c r="AP1568" s="21">
        <f>0</f>
        <v/>
      </c>
      <c r="AQ1568" s="21">
        <f>2*$B$20</f>
        <v/>
      </c>
      <c r="AR1568" s="21">
        <f>-$B$19</f>
        <v/>
      </c>
      <c r="AS1568" s="21">
        <f>$B$21</f>
        <v/>
      </c>
      <c r="AT1568" s="19" t="n"/>
    </row>
    <row r="1569">
      <c r="D1569" s="21" t="n">
        <v>0</v>
      </c>
      <c r="E1569" s="21" t="n">
        <v>0</v>
      </c>
      <c r="F1569" s="21" t="n">
        <v>0</v>
      </c>
      <c r="G1569" s="21" t="n">
        <v>0</v>
      </c>
      <c r="H1569" s="21" t="n">
        <v>0</v>
      </c>
      <c r="I1569" s="21" t="n">
        <v>0</v>
      </c>
      <c r="J1569" s="21" t="n">
        <v>0</v>
      </c>
      <c r="K1569" s="21" t="n">
        <v>0</v>
      </c>
      <c r="L1569" s="21" t="n">
        <v>0</v>
      </c>
      <c r="M1569" s="21" t="n">
        <v>0</v>
      </c>
      <c r="N1569" s="21" t="n">
        <v>0</v>
      </c>
      <c r="O1569" s="21" t="n">
        <v>0</v>
      </c>
      <c r="P1569" s="21" t="n">
        <v>0</v>
      </c>
      <c r="Q1569" s="21" t="n">
        <v>0</v>
      </c>
      <c r="R1569" s="21" t="n">
        <v>0</v>
      </c>
      <c r="S1569" s="21" t="n">
        <v>0</v>
      </c>
      <c r="T1569" s="21" t="n">
        <v>0</v>
      </c>
      <c r="U1569" s="21" t="n">
        <v>0</v>
      </c>
      <c r="V1569" s="21" t="n">
        <v>0</v>
      </c>
      <c r="W1569" s="21" t="n">
        <v>0</v>
      </c>
      <c r="X1569" s="21" t="n">
        <v>0</v>
      </c>
      <c r="Y1569" s="21" t="n">
        <v>0</v>
      </c>
      <c r="Z1569" s="21" t="n">
        <v>0</v>
      </c>
      <c r="AA1569" s="21" t="n">
        <v>0</v>
      </c>
      <c r="AB1569" s="21" t="n">
        <v>0</v>
      </c>
      <c r="AC1569" s="21" t="n">
        <v>0</v>
      </c>
      <c r="AD1569" s="21" t="n">
        <v>0</v>
      </c>
      <c r="AE1569" s="21" t="n">
        <v>0</v>
      </c>
      <c r="AF1569" s="21" t="n">
        <v>0</v>
      </c>
      <c r="AG1569" s="21" t="n">
        <v>0</v>
      </c>
      <c r="AH1569" s="21" t="n">
        <v>0</v>
      </c>
      <c r="AI1569" s="21" t="n">
        <v>0</v>
      </c>
      <c r="AJ1569" s="21" t="n">
        <v>0</v>
      </c>
      <c r="AK1569" s="21" t="n">
        <v>0</v>
      </c>
      <c r="AL1569" s="21" t="n">
        <v>0</v>
      </c>
      <c r="AM1569" s="21" t="n">
        <v>0</v>
      </c>
      <c r="AN1569" s="21" t="n">
        <v>0</v>
      </c>
      <c r="AO1569" s="21" t="n">
        <v>0</v>
      </c>
      <c r="AP1569" s="21">
        <f>-$B$18</f>
        <v/>
      </c>
      <c r="AQ1569" s="21">
        <f>-$B$19</f>
        <v/>
      </c>
      <c r="AR1569" s="21">
        <f>$B$18+$D$1527</f>
        <v/>
      </c>
      <c r="AS1569" s="21">
        <f>-$B$19</f>
        <v/>
      </c>
      <c r="AT1569" s="19" t="n"/>
    </row>
    <row r="1570">
      <c r="D1570" s="21" t="n">
        <v>0</v>
      </c>
      <c r="E1570" s="21" t="n">
        <v>0</v>
      </c>
      <c r="F1570" s="21" t="n">
        <v>0</v>
      </c>
      <c r="G1570" s="21" t="n">
        <v>0</v>
      </c>
      <c r="H1570" s="21" t="n">
        <v>0</v>
      </c>
      <c r="I1570" s="21" t="n">
        <v>0</v>
      </c>
      <c r="J1570" s="21" t="n">
        <v>0</v>
      </c>
      <c r="K1570" s="21" t="n">
        <v>0</v>
      </c>
      <c r="L1570" s="21" t="n">
        <v>0</v>
      </c>
      <c r="M1570" s="21" t="n">
        <v>0</v>
      </c>
      <c r="N1570" s="21" t="n">
        <v>0</v>
      </c>
      <c r="O1570" s="21" t="n">
        <v>0</v>
      </c>
      <c r="P1570" s="21" t="n">
        <v>0</v>
      </c>
      <c r="Q1570" s="21" t="n">
        <v>0</v>
      </c>
      <c r="R1570" s="21" t="n">
        <v>0</v>
      </c>
      <c r="S1570" s="21" t="n">
        <v>0</v>
      </c>
      <c r="T1570" s="21" t="n">
        <v>0</v>
      </c>
      <c r="U1570" s="21" t="n">
        <v>0</v>
      </c>
      <c r="V1570" s="21" t="n">
        <v>0</v>
      </c>
      <c r="W1570" s="21" t="n">
        <v>0</v>
      </c>
      <c r="X1570" s="21" t="n">
        <v>0</v>
      </c>
      <c r="Y1570" s="21" t="n">
        <v>0</v>
      </c>
      <c r="Z1570" s="21" t="n">
        <v>0</v>
      </c>
      <c r="AA1570" s="21" t="n">
        <v>0</v>
      </c>
      <c r="AB1570" s="21" t="n">
        <v>0</v>
      </c>
      <c r="AC1570" s="21" t="n">
        <v>0</v>
      </c>
      <c r="AD1570" s="21" t="n">
        <v>0</v>
      </c>
      <c r="AE1570" s="21" t="n">
        <v>0</v>
      </c>
      <c r="AF1570" s="21" t="n">
        <v>0</v>
      </c>
      <c r="AG1570" s="21" t="n">
        <v>0</v>
      </c>
      <c r="AH1570" s="21" t="n">
        <v>0</v>
      </c>
      <c r="AI1570" s="21" t="n">
        <v>0</v>
      </c>
      <c r="AJ1570" s="21" t="n">
        <v>0</v>
      </c>
      <c r="AK1570" s="21" t="n">
        <v>0</v>
      </c>
      <c r="AL1570" s="21" t="n">
        <v>0</v>
      </c>
      <c r="AM1570" s="21" t="n">
        <v>0</v>
      </c>
      <c r="AN1570" s="21" t="n">
        <v>0</v>
      </c>
      <c r="AO1570" s="21" t="n">
        <v>0</v>
      </c>
      <c r="AP1570" s="21">
        <f>$B$19</f>
        <v/>
      </c>
      <c r="AQ1570" s="21">
        <f>$B$21</f>
        <v/>
      </c>
      <c r="AR1570" s="21">
        <f>-$B$19</f>
        <v/>
      </c>
      <c r="AS1570" s="21">
        <f>$B$20</f>
        <v/>
      </c>
      <c r="AT1570" s="19" t="n"/>
    </row>
    <row r="1572">
      <c r="A1572" s="8" t="inlineStr">
        <is>
          <t>gen 23</t>
        </is>
      </c>
    </row>
    <row r="1573">
      <c r="D1573" s="19">
        <f>IF(ABS(IF(ABS($E$1507)&gt;0.000000001,$E$1507,0.000000001))=0,0,IF($E$33&lt;=$B$27,0,IF(ABS(IF(ABS($E$1507)&gt;0.000000001,$E$1507,0.000000001))&gt;=8*$B$29,$H$33,0.5*$H$33*(ABS(IF(ABS($E$1507)&gt;0.000000001,$E$1507,0.000000001))/$B$29)^(1/3)))/ABS(IF(ABS($E$1507)&gt;0.000000001,$E$1507,0.000000001))*$I$33)</f>
        <v/>
      </c>
      <c r="E1573" s="19">
        <f>0.5*$E$1507+0.5*$AT$1595</f>
        <v/>
      </c>
      <c r="F1573" s="19">
        <f>$AT$1596</f>
        <v/>
      </c>
    </row>
    <row r="1574">
      <c r="D1574" s="19">
        <f>IF(ABS(IF(ABS($E$1508)&gt;0.000000001,$E$1508,0.000000001))=0,0,IF($E$34&lt;=$B$27,0,IF(ABS(IF(ABS($E$1508)&gt;0.000000001,$E$1508,0.000000001))&gt;=8*$B$29,$H$34,0.5*$H$34*(ABS(IF(ABS($E$1508)&gt;0.000000001,$E$1508,0.000000001))/$B$29)^(1/3)))/ABS(IF(ABS($E$1508)&gt;0.000000001,$E$1508,0.000000001))*$I$34)</f>
        <v/>
      </c>
      <c r="E1574" s="19">
        <f>0.5*$E$1508+0.5*$AT$1597</f>
        <v/>
      </c>
      <c r="F1574" s="19">
        <f>$AT$1598</f>
        <v/>
      </c>
    </row>
    <row r="1575">
      <c r="D1575" s="19">
        <f>IF(ABS(IF(ABS($E$1509)&gt;0.000000001,$E$1509,0.000000001))=0,0,IF($E$35&lt;=$B$27,0,IF(ABS(IF(ABS($E$1509)&gt;0.000000001,$E$1509,0.000000001))&gt;=8*$B$29,$H$35,0.5*$H$35*(ABS(IF(ABS($E$1509)&gt;0.000000001,$E$1509,0.000000001))/$B$29)^(1/3)))/ABS(IF(ABS($E$1509)&gt;0.000000001,$E$1509,0.000000001))*$I$35)</f>
        <v/>
      </c>
      <c r="E1575" s="19">
        <f>0.5*$E$1509+0.5*$AT$1599</f>
        <v/>
      </c>
      <c r="F1575" s="19">
        <f>$AT$1600</f>
        <v/>
      </c>
    </row>
    <row r="1576">
      <c r="D1576" s="19">
        <f>IF(ABS(IF(ABS($E$1510)&gt;0.000000001,$E$1510,0.000000001))=0,0,IF($E$36&lt;=$B$27,0,IF(ABS(IF(ABS($E$1510)&gt;0.000000001,$E$1510,0.000000001))&gt;=8*$B$29,$H$36,0.5*$H$36*(ABS(IF(ABS($E$1510)&gt;0.000000001,$E$1510,0.000000001))/$B$29)^(1/3)))/ABS(IF(ABS($E$1510)&gt;0.000000001,$E$1510,0.000000001))*$I$36)</f>
        <v/>
      </c>
      <c r="E1576" s="19">
        <f>0.5*$E$1510+0.5*$AT$1601</f>
        <v/>
      </c>
      <c r="F1576" s="19">
        <f>$AT$1602</f>
        <v/>
      </c>
    </row>
    <row r="1577">
      <c r="D1577" s="19">
        <f>IF(ABS(IF(ABS($E$1511)&gt;0.000000001,$E$1511,0.000000001))=0,0,IF($E$37&lt;=$B$27,0,IF(ABS(IF(ABS($E$1511)&gt;0.000000001,$E$1511,0.000000001))&gt;=8*$B$29,$H$37,0.5*$H$37*(ABS(IF(ABS($E$1511)&gt;0.000000001,$E$1511,0.000000001))/$B$29)^(1/3)))/ABS(IF(ABS($E$1511)&gt;0.000000001,$E$1511,0.000000001))*$I$37)</f>
        <v/>
      </c>
      <c r="E1577" s="19">
        <f>0.5*$E$1511+0.5*$AT$1603</f>
        <v/>
      </c>
      <c r="F1577" s="19">
        <f>$AT$1604</f>
        <v/>
      </c>
    </row>
    <row r="1578">
      <c r="D1578" s="19">
        <f>IF(ABS(IF(ABS($E$1512)&gt;0.000000001,$E$1512,0.000000001))=0,0,IF($E$38&lt;=$B$27,0,IF(ABS(IF(ABS($E$1512)&gt;0.000000001,$E$1512,0.000000001))&gt;=8*$B$29,$H$38,0.5*$H$38*(ABS(IF(ABS($E$1512)&gt;0.000000001,$E$1512,0.000000001))/$B$29)^(1/3)))/ABS(IF(ABS($E$1512)&gt;0.000000001,$E$1512,0.000000001))*$I$38)</f>
        <v/>
      </c>
      <c r="E1578" s="19">
        <f>0.5*$E$1512+0.5*$AT$1605</f>
        <v/>
      </c>
      <c r="F1578" s="19">
        <f>$AT$1606</f>
        <v/>
      </c>
    </row>
    <row r="1579">
      <c r="D1579" s="19">
        <f>IF(ABS(IF(ABS($E$1513)&gt;0.000000001,$E$1513,0.000000001))=0,0,IF($E$39&lt;=$B$27,0,IF(ABS(IF(ABS($E$1513)&gt;0.000000001,$E$1513,0.000000001))&gt;=8*$B$29,$H$39,0.5*$H$39*(ABS(IF(ABS($E$1513)&gt;0.000000001,$E$1513,0.000000001))/$B$29)^(1/3)))/ABS(IF(ABS($E$1513)&gt;0.000000001,$E$1513,0.000000001))*$I$39)</f>
        <v/>
      </c>
      <c r="E1579" s="19">
        <f>0.5*$E$1513+0.5*$AT$1607</f>
        <v/>
      </c>
      <c r="F1579" s="19">
        <f>$AT$1608</f>
        <v/>
      </c>
    </row>
    <row r="1580">
      <c r="D1580" s="19">
        <f>IF(ABS(IF(ABS($E$1514)&gt;0.000000001,$E$1514,0.000000001))=0,0,IF($E$40&lt;=$B$27,0,IF(ABS(IF(ABS($E$1514)&gt;0.000000001,$E$1514,0.000000001))&gt;=8*$B$29,$H$40,0.5*$H$40*(ABS(IF(ABS($E$1514)&gt;0.000000001,$E$1514,0.000000001))/$B$29)^(1/3)))/ABS(IF(ABS($E$1514)&gt;0.000000001,$E$1514,0.000000001))*$I$40)</f>
        <v/>
      </c>
      <c r="E1580" s="19">
        <f>0.5*$E$1514+0.5*$AT$1609</f>
        <v/>
      </c>
      <c r="F1580" s="19">
        <f>$AT$1610</f>
        <v/>
      </c>
    </row>
    <row r="1581">
      <c r="D1581" s="19">
        <f>IF(ABS(IF(ABS($E$1515)&gt;0.000000001,$E$1515,0.000000001))=0,0,IF($E$41&lt;=$B$27,0,IF(ABS(IF(ABS($E$1515)&gt;0.000000001,$E$1515,0.000000001))&gt;=8*$B$29,$H$41,0.5*$H$41*(ABS(IF(ABS($E$1515)&gt;0.000000001,$E$1515,0.000000001))/$B$29)^(1/3)))/ABS(IF(ABS($E$1515)&gt;0.000000001,$E$1515,0.000000001))*$I$41)</f>
        <v/>
      </c>
      <c r="E1581" s="19">
        <f>0.5*$E$1515+0.5*$AT$1611</f>
        <v/>
      </c>
      <c r="F1581" s="19">
        <f>$AT$1612</f>
        <v/>
      </c>
    </row>
    <row r="1582">
      <c r="D1582" s="19">
        <f>IF(ABS(IF(ABS($E$1516)&gt;0.000000001,$E$1516,0.000000001))=0,0,IF($E$42&lt;=$B$27,0,IF(ABS(IF(ABS($E$1516)&gt;0.000000001,$E$1516,0.000000001))&gt;=8*$B$29,$H$42,0.5*$H$42*(ABS(IF(ABS($E$1516)&gt;0.000000001,$E$1516,0.000000001))/$B$29)^(1/3)))/ABS(IF(ABS($E$1516)&gt;0.000000001,$E$1516,0.000000001))*$I$42)</f>
        <v/>
      </c>
      <c r="E1582" s="19">
        <f>0.5*$E$1516+0.5*$AT$1613</f>
        <v/>
      </c>
      <c r="F1582" s="19">
        <f>$AT$1614</f>
        <v/>
      </c>
    </row>
    <row r="1583">
      <c r="D1583" s="19">
        <f>IF(ABS(IF(ABS($E$1517)&gt;0.000000001,$E$1517,0.000000001))=0,0,IF($E$43&lt;=$B$27,0,IF(ABS(IF(ABS($E$1517)&gt;0.000000001,$E$1517,0.000000001))&gt;=8*$B$29,$H$43,0.5*$H$43*(ABS(IF(ABS($E$1517)&gt;0.000000001,$E$1517,0.000000001))/$B$29)^(1/3)))/ABS(IF(ABS($E$1517)&gt;0.000000001,$E$1517,0.000000001))*$I$43)</f>
        <v/>
      </c>
      <c r="E1583" s="19">
        <f>0.5*$E$1517+0.5*$AT$1615</f>
        <v/>
      </c>
      <c r="F1583" s="19">
        <f>$AT$1616</f>
        <v/>
      </c>
    </row>
    <row r="1584">
      <c r="D1584" s="19">
        <f>IF(ABS(IF(ABS($E$1518)&gt;0.000000001,$E$1518,0.000000001))=0,0,IF($E$44&lt;=$B$27,0,IF(ABS(IF(ABS($E$1518)&gt;0.000000001,$E$1518,0.000000001))&gt;=8*$B$29,$H$44,0.5*$H$44*(ABS(IF(ABS($E$1518)&gt;0.000000001,$E$1518,0.000000001))/$B$29)^(1/3)))/ABS(IF(ABS($E$1518)&gt;0.000000001,$E$1518,0.000000001))*$I$44)</f>
        <v/>
      </c>
      <c r="E1584" s="19">
        <f>0.5*$E$1518+0.5*$AT$1617</f>
        <v/>
      </c>
      <c r="F1584" s="19">
        <f>$AT$1618</f>
        <v/>
      </c>
    </row>
    <row r="1585">
      <c r="D1585" s="19">
        <f>IF(ABS(IF(ABS($E$1519)&gt;0.000000001,$E$1519,0.000000001))=0,0,IF($E$45&lt;=$B$27,0,IF(ABS(IF(ABS($E$1519)&gt;0.000000001,$E$1519,0.000000001))&gt;=8*$B$29,$H$45,0.5*$H$45*(ABS(IF(ABS($E$1519)&gt;0.000000001,$E$1519,0.000000001))/$B$29)^(1/3)))/ABS(IF(ABS($E$1519)&gt;0.000000001,$E$1519,0.000000001))*$I$45)</f>
        <v/>
      </c>
      <c r="E1585" s="19">
        <f>0.5*$E$1519+0.5*$AT$1619</f>
        <v/>
      </c>
      <c r="F1585" s="19">
        <f>$AT$1620</f>
        <v/>
      </c>
    </row>
    <row r="1586">
      <c r="D1586" s="19">
        <f>IF(ABS(IF(ABS($E$1520)&gt;0.000000001,$E$1520,0.000000001))=0,0,IF($E$46&lt;=$B$27,0,IF(ABS(IF(ABS($E$1520)&gt;0.000000001,$E$1520,0.000000001))&gt;=8*$B$29,$H$46,0.5*$H$46*(ABS(IF(ABS($E$1520)&gt;0.000000001,$E$1520,0.000000001))/$B$29)^(1/3)))/ABS(IF(ABS($E$1520)&gt;0.000000001,$E$1520,0.000000001))*$I$46)</f>
        <v/>
      </c>
      <c r="E1586" s="19">
        <f>0.5*$E$1520+0.5*$AT$1621</f>
        <v/>
      </c>
      <c r="F1586" s="19">
        <f>$AT$1622</f>
        <v/>
      </c>
    </row>
    <row r="1587">
      <c r="D1587" s="19">
        <f>IF(ABS(IF(ABS($E$1521)&gt;0.000000001,$E$1521,0.000000001))=0,0,IF($E$47&lt;=$B$27,0,IF(ABS(IF(ABS($E$1521)&gt;0.000000001,$E$1521,0.000000001))&gt;=8*$B$29,$H$47,0.5*$H$47*(ABS(IF(ABS($E$1521)&gt;0.000000001,$E$1521,0.000000001))/$B$29)^(1/3)))/ABS(IF(ABS($E$1521)&gt;0.000000001,$E$1521,0.000000001))*$I$47)</f>
        <v/>
      </c>
      <c r="E1587" s="19">
        <f>0.5*$E$1521+0.5*$AT$1623</f>
        <v/>
      </c>
      <c r="F1587" s="19">
        <f>$AT$1624</f>
        <v/>
      </c>
    </row>
    <row r="1588">
      <c r="D1588" s="19">
        <f>IF(ABS(IF(ABS($E$1522)&gt;0.000000001,$E$1522,0.000000001))=0,0,IF($E$48&lt;=$B$27,0,IF(ABS(IF(ABS($E$1522)&gt;0.000000001,$E$1522,0.000000001))&gt;=8*$B$29,$H$48,0.5*$H$48*(ABS(IF(ABS($E$1522)&gt;0.000000001,$E$1522,0.000000001))/$B$29)^(1/3)))/ABS(IF(ABS($E$1522)&gt;0.000000001,$E$1522,0.000000001))*$I$48)</f>
        <v/>
      </c>
      <c r="E1588" s="19">
        <f>0.5*$E$1522+0.5*$AT$1625</f>
        <v/>
      </c>
      <c r="F1588" s="19">
        <f>$AT$1626</f>
        <v/>
      </c>
    </row>
    <row r="1589">
      <c r="D1589" s="19">
        <f>IF(ABS(IF(ABS($E$1523)&gt;0.000000001,$E$1523,0.000000001))=0,0,IF($E$49&lt;=$B$27,0,IF(ABS(IF(ABS($E$1523)&gt;0.000000001,$E$1523,0.000000001))&gt;=8*$B$29,$H$49,0.5*$H$49*(ABS(IF(ABS($E$1523)&gt;0.000000001,$E$1523,0.000000001))/$B$29)^(1/3)))/ABS(IF(ABS($E$1523)&gt;0.000000001,$E$1523,0.000000001))*$I$49)</f>
        <v/>
      </c>
      <c r="E1589" s="19">
        <f>0.5*$E$1523+0.5*$AT$1627</f>
        <v/>
      </c>
      <c r="F1589" s="19">
        <f>$AT$1628</f>
        <v/>
      </c>
    </row>
    <row r="1590">
      <c r="D1590" s="19">
        <f>IF(ABS(IF(ABS($E$1524)&gt;0.000000001,$E$1524,0.000000001))=0,0,IF($E$50&lt;=$B$27,0,IF(ABS(IF(ABS($E$1524)&gt;0.000000001,$E$1524,0.000000001))&gt;=8*$B$29,$H$50,0.5*$H$50*(ABS(IF(ABS($E$1524)&gt;0.000000001,$E$1524,0.000000001))/$B$29)^(1/3)))/ABS(IF(ABS($E$1524)&gt;0.000000001,$E$1524,0.000000001))*$I$50)</f>
        <v/>
      </c>
      <c r="E1590" s="19">
        <f>0.5*$E$1524+0.5*$AT$1629</f>
        <v/>
      </c>
      <c r="F1590" s="19">
        <f>$AT$1630</f>
        <v/>
      </c>
    </row>
    <row r="1591">
      <c r="D1591" s="19">
        <f>IF(ABS(IF(ABS($E$1525)&gt;0.000000001,$E$1525,0.000000001))=0,0,IF($E$51&lt;=$B$27,0,IF(ABS(IF(ABS($E$1525)&gt;0.000000001,$E$1525,0.000000001))&gt;=8*$B$29,$H$51,0.5*$H$51*(ABS(IF(ABS($E$1525)&gt;0.000000001,$E$1525,0.000000001))/$B$29)^(1/3)))/ABS(IF(ABS($E$1525)&gt;0.000000001,$E$1525,0.000000001))*$I$51)</f>
        <v/>
      </c>
      <c r="E1591" s="19">
        <f>0.5*$E$1525+0.5*$AT$1631</f>
        <v/>
      </c>
      <c r="F1591" s="19">
        <f>$AT$1632</f>
        <v/>
      </c>
    </row>
    <row r="1592">
      <c r="D1592" s="19">
        <f>IF(ABS(IF(ABS($E$1526)&gt;0.000000001,$E$1526,0.000000001))=0,0,IF($E$52&lt;=$B$27,0,IF(ABS(IF(ABS($E$1526)&gt;0.000000001,$E$1526,0.000000001))&gt;=8*$B$29,$H$52,0.5*$H$52*(ABS(IF(ABS($E$1526)&gt;0.000000001,$E$1526,0.000000001))/$B$29)^(1/3)))/ABS(IF(ABS($E$1526)&gt;0.000000001,$E$1526,0.000000001))*$I$52)</f>
        <v/>
      </c>
      <c r="E1592" s="19">
        <f>0.5*$E$1526+0.5*$AT$1633</f>
        <v/>
      </c>
      <c r="F1592" s="19">
        <f>$AT$1634</f>
        <v/>
      </c>
    </row>
    <row r="1593">
      <c r="D1593" s="19">
        <f>IF(ABS(IF(ABS($E$1527)&gt;0.000000001,$E$1527,0.000000001))=0,0,IF($E$53&lt;=$B$27,0,IF(ABS(IF(ABS($E$1527)&gt;0.000000001,$E$1527,0.000000001))&gt;=8*$B$29,$H$53,0.5*$H$53*(ABS(IF(ABS($E$1527)&gt;0.000000001,$E$1527,0.000000001))/$B$29)^(1/3)))/ABS(IF(ABS($E$1527)&gt;0.000000001,$E$1527,0.000000001))*$I$53)</f>
        <v/>
      </c>
      <c r="E1593" s="19">
        <f>0.5*$E$1527+0.5*$AT$1635</f>
        <v/>
      </c>
      <c r="F1593" s="19">
        <f>$AT$1636</f>
        <v/>
      </c>
    </row>
    <row r="1595">
      <c r="D1595" s="21">
        <f>$B$18+$D$1573</f>
        <v/>
      </c>
      <c r="E1595" s="21">
        <f>$B$19</f>
        <v/>
      </c>
      <c r="F1595" s="21">
        <f>-$B$18</f>
        <v/>
      </c>
      <c r="G1595" s="21">
        <f>$B$19</f>
        <v/>
      </c>
      <c r="H1595" s="21" t="n">
        <v>0</v>
      </c>
      <c r="I1595" s="21" t="n">
        <v>0</v>
      </c>
      <c r="J1595" s="21" t="n">
        <v>0</v>
      </c>
      <c r="K1595" s="21" t="n">
        <v>0</v>
      </c>
      <c r="L1595" s="21" t="n">
        <v>0</v>
      </c>
      <c r="M1595" s="21" t="n">
        <v>0</v>
      </c>
      <c r="N1595" s="21" t="n">
        <v>0</v>
      </c>
      <c r="O1595" s="21" t="n">
        <v>0</v>
      </c>
      <c r="P1595" s="21" t="n">
        <v>0</v>
      </c>
      <c r="Q1595" s="21" t="n">
        <v>0</v>
      </c>
      <c r="R1595" s="21" t="n">
        <v>0</v>
      </c>
      <c r="S1595" s="21" t="n">
        <v>0</v>
      </c>
      <c r="T1595" s="21" t="n">
        <v>0</v>
      </c>
      <c r="U1595" s="21" t="n">
        <v>0</v>
      </c>
      <c r="V1595" s="21" t="n">
        <v>0</v>
      </c>
      <c r="W1595" s="21" t="n">
        <v>0</v>
      </c>
      <c r="X1595" s="21" t="n">
        <v>0</v>
      </c>
      <c r="Y1595" s="21" t="n">
        <v>0</v>
      </c>
      <c r="Z1595" s="21" t="n">
        <v>0</v>
      </c>
      <c r="AA1595" s="21" t="n">
        <v>0</v>
      </c>
      <c r="AB1595" s="21" t="n">
        <v>0</v>
      </c>
      <c r="AC1595" s="21" t="n">
        <v>0</v>
      </c>
      <c r="AD1595" s="21" t="n">
        <v>0</v>
      </c>
      <c r="AE1595" s="21" t="n">
        <v>0</v>
      </c>
      <c r="AF1595" s="21" t="n">
        <v>0</v>
      </c>
      <c r="AG1595" s="21" t="n">
        <v>0</v>
      </c>
      <c r="AH1595" s="21" t="n">
        <v>0</v>
      </c>
      <c r="AI1595" s="21" t="n">
        <v>0</v>
      </c>
      <c r="AJ1595" s="21" t="n">
        <v>0</v>
      </c>
      <c r="AK1595" s="21" t="n">
        <v>0</v>
      </c>
      <c r="AL1595" s="21" t="n">
        <v>0</v>
      </c>
      <c r="AM1595" s="21" t="n">
        <v>0</v>
      </c>
      <c r="AN1595" s="21" t="n">
        <v>0</v>
      </c>
      <c r="AO1595" s="21" t="n">
        <v>0</v>
      </c>
      <c r="AP1595" s="21" t="n">
        <v>0</v>
      </c>
      <c r="AQ1595" s="21" t="n">
        <v>0</v>
      </c>
      <c r="AR1595" s="21" t="n">
        <v>0</v>
      </c>
      <c r="AS1595" s="21" t="n">
        <v>0</v>
      </c>
      <c r="AT1595" s="19">
        <f t="array" ref="AT1595:AT1636">MMULT(MINVERSE($D$1595:$AS$1636),$D$55:$D$96)</f>
        <v/>
      </c>
    </row>
    <row r="1596">
      <c r="D1596" s="21">
        <f>$B$19</f>
        <v/>
      </c>
      <c r="E1596" s="21">
        <f>$B$20</f>
        <v/>
      </c>
      <c r="F1596" s="21">
        <f>-$B$19</f>
        <v/>
      </c>
      <c r="G1596" s="21">
        <f>$B$21</f>
        <v/>
      </c>
      <c r="H1596" s="21" t="n">
        <v>0</v>
      </c>
      <c r="I1596" s="21" t="n">
        <v>0</v>
      </c>
      <c r="J1596" s="21" t="n">
        <v>0</v>
      </c>
      <c r="K1596" s="21" t="n">
        <v>0</v>
      </c>
      <c r="L1596" s="21" t="n">
        <v>0</v>
      </c>
      <c r="M1596" s="21" t="n">
        <v>0</v>
      </c>
      <c r="N1596" s="21" t="n">
        <v>0</v>
      </c>
      <c r="O1596" s="21" t="n">
        <v>0</v>
      </c>
      <c r="P1596" s="21" t="n">
        <v>0</v>
      </c>
      <c r="Q1596" s="21" t="n">
        <v>0</v>
      </c>
      <c r="R1596" s="21" t="n">
        <v>0</v>
      </c>
      <c r="S1596" s="21" t="n">
        <v>0</v>
      </c>
      <c r="T1596" s="21" t="n">
        <v>0</v>
      </c>
      <c r="U1596" s="21" t="n">
        <v>0</v>
      </c>
      <c r="V1596" s="21" t="n">
        <v>0</v>
      </c>
      <c r="W1596" s="21" t="n">
        <v>0</v>
      </c>
      <c r="X1596" s="21" t="n">
        <v>0</v>
      </c>
      <c r="Y1596" s="21" t="n">
        <v>0</v>
      </c>
      <c r="Z1596" s="21" t="n">
        <v>0</v>
      </c>
      <c r="AA1596" s="21" t="n">
        <v>0</v>
      </c>
      <c r="AB1596" s="21" t="n">
        <v>0</v>
      </c>
      <c r="AC1596" s="21" t="n">
        <v>0</v>
      </c>
      <c r="AD1596" s="21" t="n">
        <v>0</v>
      </c>
      <c r="AE1596" s="21" t="n">
        <v>0</v>
      </c>
      <c r="AF1596" s="21" t="n">
        <v>0</v>
      </c>
      <c r="AG1596" s="21" t="n">
        <v>0</v>
      </c>
      <c r="AH1596" s="21" t="n">
        <v>0</v>
      </c>
      <c r="AI1596" s="21" t="n">
        <v>0</v>
      </c>
      <c r="AJ1596" s="21" t="n">
        <v>0</v>
      </c>
      <c r="AK1596" s="21" t="n">
        <v>0</v>
      </c>
      <c r="AL1596" s="21" t="n">
        <v>0</v>
      </c>
      <c r="AM1596" s="21" t="n">
        <v>0</v>
      </c>
      <c r="AN1596" s="21" t="n">
        <v>0</v>
      </c>
      <c r="AO1596" s="21" t="n">
        <v>0</v>
      </c>
      <c r="AP1596" s="21" t="n">
        <v>0</v>
      </c>
      <c r="AQ1596" s="21" t="n">
        <v>0</v>
      </c>
      <c r="AR1596" s="21" t="n">
        <v>0</v>
      </c>
      <c r="AS1596" s="21" t="n">
        <v>0</v>
      </c>
      <c r="AT1596" s="19" t="n"/>
    </row>
    <row r="1597">
      <c r="D1597" s="21">
        <f>-$B$18</f>
        <v/>
      </c>
      <c r="E1597" s="21">
        <f>-$B$19</f>
        <v/>
      </c>
      <c r="F1597" s="21">
        <f>2*$B$18+$D$1574</f>
        <v/>
      </c>
      <c r="G1597" s="21">
        <f>0</f>
        <v/>
      </c>
      <c r="H1597" s="21">
        <f>-$B$18</f>
        <v/>
      </c>
      <c r="I1597" s="21">
        <f>$B$19</f>
        <v/>
      </c>
      <c r="J1597" s="21" t="n">
        <v>0</v>
      </c>
      <c r="K1597" s="21" t="n">
        <v>0</v>
      </c>
      <c r="L1597" s="21" t="n">
        <v>0</v>
      </c>
      <c r="M1597" s="21" t="n">
        <v>0</v>
      </c>
      <c r="N1597" s="21" t="n">
        <v>0</v>
      </c>
      <c r="O1597" s="21" t="n">
        <v>0</v>
      </c>
      <c r="P1597" s="21" t="n">
        <v>0</v>
      </c>
      <c r="Q1597" s="21" t="n">
        <v>0</v>
      </c>
      <c r="R1597" s="21" t="n">
        <v>0</v>
      </c>
      <c r="S1597" s="21" t="n">
        <v>0</v>
      </c>
      <c r="T1597" s="21" t="n">
        <v>0</v>
      </c>
      <c r="U1597" s="21" t="n">
        <v>0</v>
      </c>
      <c r="V1597" s="21" t="n">
        <v>0</v>
      </c>
      <c r="W1597" s="21" t="n">
        <v>0</v>
      </c>
      <c r="X1597" s="21" t="n">
        <v>0</v>
      </c>
      <c r="Y1597" s="21" t="n">
        <v>0</v>
      </c>
      <c r="Z1597" s="21" t="n">
        <v>0</v>
      </c>
      <c r="AA1597" s="21" t="n">
        <v>0</v>
      </c>
      <c r="AB1597" s="21" t="n">
        <v>0</v>
      </c>
      <c r="AC1597" s="21" t="n">
        <v>0</v>
      </c>
      <c r="AD1597" s="21" t="n">
        <v>0</v>
      </c>
      <c r="AE1597" s="21" t="n">
        <v>0</v>
      </c>
      <c r="AF1597" s="21" t="n">
        <v>0</v>
      </c>
      <c r="AG1597" s="21" t="n">
        <v>0</v>
      </c>
      <c r="AH1597" s="21" t="n">
        <v>0</v>
      </c>
      <c r="AI1597" s="21" t="n">
        <v>0</v>
      </c>
      <c r="AJ1597" s="21" t="n">
        <v>0</v>
      </c>
      <c r="AK1597" s="21" t="n">
        <v>0</v>
      </c>
      <c r="AL1597" s="21" t="n">
        <v>0</v>
      </c>
      <c r="AM1597" s="21" t="n">
        <v>0</v>
      </c>
      <c r="AN1597" s="21" t="n">
        <v>0</v>
      </c>
      <c r="AO1597" s="21" t="n">
        <v>0</v>
      </c>
      <c r="AP1597" s="21" t="n">
        <v>0</v>
      </c>
      <c r="AQ1597" s="21" t="n">
        <v>0</v>
      </c>
      <c r="AR1597" s="21" t="n">
        <v>0</v>
      </c>
      <c r="AS1597" s="21" t="n">
        <v>0</v>
      </c>
      <c r="AT1597" s="19" t="n"/>
    </row>
    <row r="1598">
      <c r="D1598" s="21">
        <f>$B$19</f>
        <v/>
      </c>
      <c r="E1598" s="21">
        <f>$B$21</f>
        <v/>
      </c>
      <c r="F1598" s="21">
        <f>0</f>
        <v/>
      </c>
      <c r="G1598" s="21">
        <f>2*$B$20</f>
        <v/>
      </c>
      <c r="H1598" s="21">
        <f>-$B$19</f>
        <v/>
      </c>
      <c r="I1598" s="21">
        <f>$B$21</f>
        <v/>
      </c>
      <c r="J1598" s="21" t="n">
        <v>0</v>
      </c>
      <c r="K1598" s="21" t="n">
        <v>0</v>
      </c>
      <c r="L1598" s="21" t="n">
        <v>0</v>
      </c>
      <c r="M1598" s="21" t="n">
        <v>0</v>
      </c>
      <c r="N1598" s="21" t="n">
        <v>0</v>
      </c>
      <c r="O1598" s="21" t="n">
        <v>0</v>
      </c>
      <c r="P1598" s="21" t="n">
        <v>0</v>
      </c>
      <c r="Q1598" s="21" t="n">
        <v>0</v>
      </c>
      <c r="R1598" s="21" t="n">
        <v>0</v>
      </c>
      <c r="S1598" s="21" t="n">
        <v>0</v>
      </c>
      <c r="T1598" s="21" t="n">
        <v>0</v>
      </c>
      <c r="U1598" s="21" t="n">
        <v>0</v>
      </c>
      <c r="V1598" s="21" t="n">
        <v>0</v>
      </c>
      <c r="W1598" s="21" t="n">
        <v>0</v>
      </c>
      <c r="X1598" s="21" t="n">
        <v>0</v>
      </c>
      <c r="Y1598" s="21" t="n">
        <v>0</v>
      </c>
      <c r="Z1598" s="21" t="n">
        <v>0</v>
      </c>
      <c r="AA1598" s="21" t="n">
        <v>0</v>
      </c>
      <c r="AB1598" s="21" t="n">
        <v>0</v>
      </c>
      <c r="AC1598" s="21" t="n">
        <v>0</v>
      </c>
      <c r="AD1598" s="21" t="n">
        <v>0</v>
      </c>
      <c r="AE1598" s="21" t="n">
        <v>0</v>
      </c>
      <c r="AF1598" s="21" t="n">
        <v>0</v>
      </c>
      <c r="AG1598" s="21" t="n">
        <v>0</v>
      </c>
      <c r="AH1598" s="21" t="n">
        <v>0</v>
      </c>
      <c r="AI1598" s="21" t="n">
        <v>0</v>
      </c>
      <c r="AJ1598" s="21" t="n">
        <v>0</v>
      </c>
      <c r="AK1598" s="21" t="n">
        <v>0</v>
      </c>
      <c r="AL1598" s="21" t="n">
        <v>0</v>
      </c>
      <c r="AM1598" s="21" t="n">
        <v>0</v>
      </c>
      <c r="AN1598" s="21" t="n">
        <v>0</v>
      </c>
      <c r="AO1598" s="21" t="n">
        <v>0</v>
      </c>
      <c r="AP1598" s="21" t="n">
        <v>0</v>
      </c>
      <c r="AQ1598" s="21" t="n">
        <v>0</v>
      </c>
      <c r="AR1598" s="21" t="n">
        <v>0</v>
      </c>
      <c r="AS1598" s="21" t="n">
        <v>0</v>
      </c>
      <c r="AT1598" s="19" t="n"/>
    </row>
    <row r="1599">
      <c r="D1599" s="21" t="n">
        <v>0</v>
      </c>
      <c r="E1599" s="21" t="n">
        <v>0</v>
      </c>
      <c r="F1599" s="21">
        <f>-$B$18</f>
        <v/>
      </c>
      <c r="G1599" s="21">
        <f>-$B$19</f>
        <v/>
      </c>
      <c r="H1599" s="21">
        <f>2*$B$18+$D$1575</f>
        <v/>
      </c>
      <c r="I1599" s="21">
        <f>0</f>
        <v/>
      </c>
      <c r="J1599" s="21">
        <f>-$B$18</f>
        <v/>
      </c>
      <c r="K1599" s="21">
        <f>$B$19</f>
        <v/>
      </c>
      <c r="L1599" s="21" t="n">
        <v>0</v>
      </c>
      <c r="M1599" s="21" t="n">
        <v>0</v>
      </c>
      <c r="N1599" s="21" t="n">
        <v>0</v>
      </c>
      <c r="O1599" s="21" t="n">
        <v>0</v>
      </c>
      <c r="P1599" s="21" t="n">
        <v>0</v>
      </c>
      <c r="Q1599" s="21" t="n">
        <v>0</v>
      </c>
      <c r="R1599" s="21" t="n">
        <v>0</v>
      </c>
      <c r="S1599" s="21" t="n">
        <v>0</v>
      </c>
      <c r="T1599" s="21" t="n">
        <v>0</v>
      </c>
      <c r="U1599" s="21" t="n">
        <v>0</v>
      </c>
      <c r="V1599" s="21" t="n">
        <v>0</v>
      </c>
      <c r="W1599" s="21" t="n">
        <v>0</v>
      </c>
      <c r="X1599" s="21" t="n">
        <v>0</v>
      </c>
      <c r="Y1599" s="21" t="n">
        <v>0</v>
      </c>
      <c r="Z1599" s="21" t="n">
        <v>0</v>
      </c>
      <c r="AA1599" s="21" t="n">
        <v>0</v>
      </c>
      <c r="AB1599" s="21" t="n">
        <v>0</v>
      </c>
      <c r="AC1599" s="21" t="n">
        <v>0</v>
      </c>
      <c r="AD1599" s="21" t="n">
        <v>0</v>
      </c>
      <c r="AE1599" s="21" t="n">
        <v>0</v>
      </c>
      <c r="AF1599" s="21" t="n">
        <v>0</v>
      </c>
      <c r="AG1599" s="21" t="n">
        <v>0</v>
      </c>
      <c r="AH1599" s="21" t="n">
        <v>0</v>
      </c>
      <c r="AI1599" s="21" t="n">
        <v>0</v>
      </c>
      <c r="AJ1599" s="21" t="n">
        <v>0</v>
      </c>
      <c r="AK1599" s="21" t="n">
        <v>0</v>
      </c>
      <c r="AL1599" s="21" t="n">
        <v>0</v>
      </c>
      <c r="AM1599" s="21" t="n">
        <v>0</v>
      </c>
      <c r="AN1599" s="21" t="n">
        <v>0</v>
      </c>
      <c r="AO1599" s="21" t="n">
        <v>0</v>
      </c>
      <c r="AP1599" s="21" t="n">
        <v>0</v>
      </c>
      <c r="AQ1599" s="21" t="n">
        <v>0</v>
      </c>
      <c r="AR1599" s="21" t="n">
        <v>0</v>
      </c>
      <c r="AS1599" s="21" t="n">
        <v>0</v>
      </c>
      <c r="AT1599" s="19" t="n"/>
    </row>
    <row r="1600">
      <c r="D1600" s="21" t="n">
        <v>0</v>
      </c>
      <c r="E1600" s="21" t="n">
        <v>0</v>
      </c>
      <c r="F1600" s="21">
        <f>$B$19</f>
        <v/>
      </c>
      <c r="G1600" s="21">
        <f>$B$21</f>
        <v/>
      </c>
      <c r="H1600" s="21">
        <f>0</f>
        <v/>
      </c>
      <c r="I1600" s="21">
        <f>2*$B$20</f>
        <v/>
      </c>
      <c r="J1600" s="21">
        <f>-$B$19</f>
        <v/>
      </c>
      <c r="K1600" s="21">
        <f>$B$21</f>
        <v/>
      </c>
      <c r="L1600" s="21" t="n">
        <v>0</v>
      </c>
      <c r="M1600" s="21" t="n">
        <v>0</v>
      </c>
      <c r="N1600" s="21" t="n">
        <v>0</v>
      </c>
      <c r="O1600" s="21" t="n">
        <v>0</v>
      </c>
      <c r="P1600" s="21" t="n">
        <v>0</v>
      </c>
      <c r="Q1600" s="21" t="n">
        <v>0</v>
      </c>
      <c r="R1600" s="21" t="n">
        <v>0</v>
      </c>
      <c r="S1600" s="21" t="n">
        <v>0</v>
      </c>
      <c r="T1600" s="21" t="n">
        <v>0</v>
      </c>
      <c r="U1600" s="21" t="n">
        <v>0</v>
      </c>
      <c r="V1600" s="21" t="n">
        <v>0</v>
      </c>
      <c r="W1600" s="21" t="n">
        <v>0</v>
      </c>
      <c r="X1600" s="21" t="n">
        <v>0</v>
      </c>
      <c r="Y1600" s="21" t="n">
        <v>0</v>
      </c>
      <c r="Z1600" s="21" t="n">
        <v>0</v>
      </c>
      <c r="AA1600" s="21" t="n">
        <v>0</v>
      </c>
      <c r="AB1600" s="21" t="n">
        <v>0</v>
      </c>
      <c r="AC1600" s="21" t="n">
        <v>0</v>
      </c>
      <c r="AD1600" s="21" t="n">
        <v>0</v>
      </c>
      <c r="AE1600" s="21" t="n">
        <v>0</v>
      </c>
      <c r="AF1600" s="21" t="n">
        <v>0</v>
      </c>
      <c r="AG1600" s="21" t="n">
        <v>0</v>
      </c>
      <c r="AH1600" s="21" t="n">
        <v>0</v>
      </c>
      <c r="AI1600" s="21" t="n">
        <v>0</v>
      </c>
      <c r="AJ1600" s="21" t="n">
        <v>0</v>
      </c>
      <c r="AK1600" s="21" t="n">
        <v>0</v>
      </c>
      <c r="AL1600" s="21" t="n">
        <v>0</v>
      </c>
      <c r="AM1600" s="21" t="n">
        <v>0</v>
      </c>
      <c r="AN1600" s="21" t="n">
        <v>0</v>
      </c>
      <c r="AO1600" s="21" t="n">
        <v>0</v>
      </c>
      <c r="AP1600" s="21" t="n">
        <v>0</v>
      </c>
      <c r="AQ1600" s="21" t="n">
        <v>0</v>
      </c>
      <c r="AR1600" s="21" t="n">
        <v>0</v>
      </c>
      <c r="AS1600" s="21" t="n">
        <v>0</v>
      </c>
      <c r="AT1600" s="19" t="n"/>
    </row>
    <row r="1601">
      <c r="D1601" s="21" t="n">
        <v>0</v>
      </c>
      <c r="E1601" s="21" t="n">
        <v>0</v>
      </c>
      <c r="F1601" s="21" t="n">
        <v>0</v>
      </c>
      <c r="G1601" s="21" t="n">
        <v>0</v>
      </c>
      <c r="H1601" s="21">
        <f>-$B$18</f>
        <v/>
      </c>
      <c r="I1601" s="21">
        <f>-$B$19</f>
        <v/>
      </c>
      <c r="J1601" s="21">
        <f>2*$B$18+$D$1576</f>
        <v/>
      </c>
      <c r="K1601" s="21">
        <f>0</f>
        <v/>
      </c>
      <c r="L1601" s="21">
        <f>-$B$18</f>
        <v/>
      </c>
      <c r="M1601" s="21">
        <f>$B$19</f>
        <v/>
      </c>
      <c r="N1601" s="21" t="n">
        <v>0</v>
      </c>
      <c r="O1601" s="21" t="n">
        <v>0</v>
      </c>
      <c r="P1601" s="21" t="n">
        <v>0</v>
      </c>
      <c r="Q1601" s="21" t="n">
        <v>0</v>
      </c>
      <c r="R1601" s="21" t="n">
        <v>0</v>
      </c>
      <c r="S1601" s="21" t="n">
        <v>0</v>
      </c>
      <c r="T1601" s="21" t="n">
        <v>0</v>
      </c>
      <c r="U1601" s="21" t="n">
        <v>0</v>
      </c>
      <c r="V1601" s="21" t="n">
        <v>0</v>
      </c>
      <c r="W1601" s="21" t="n">
        <v>0</v>
      </c>
      <c r="X1601" s="21" t="n">
        <v>0</v>
      </c>
      <c r="Y1601" s="21" t="n">
        <v>0</v>
      </c>
      <c r="Z1601" s="21" t="n">
        <v>0</v>
      </c>
      <c r="AA1601" s="21" t="n">
        <v>0</v>
      </c>
      <c r="AB1601" s="21" t="n">
        <v>0</v>
      </c>
      <c r="AC1601" s="21" t="n">
        <v>0</v>
      </c>
      <c r="AD1601" s="21" t="n">
        <v>0</v>
      </c>
      <c r="AE1601" s="21" t="n">
        <v>0</v>
      </c>
      <c r="AF1601" s="21" t="n">
        <v>0</v>
      </c>
      <c r="AG1601" s="21" t="n">
        <v>0</v>
      </c>
      <c r="AH1601" s="21" t="n">
        <v>0</v>
      </c>
      <c r="AI1601" s="21" t="n">
        <v>0</v>
      </c>
      <c r="AJ1601" s="21" t="n">
        <v>0</v>
      </c>
      <c r="AK1601" s="21" t="n">
        <v>0</v>
      </c>
      <c r="AL1601" s="21" t="n">
        <v>0</v>
      </c>
      <c r="AM1601" s="21" t="n">
        <v>0</v>
      </c>
      <c r="AN1601" s="21" t="n">
        <v>0</v>
      </c>
      <c r="AO1601" s="21" t="n">
        <v>0</v>
      </c>
      <c r="AP1601" s="21" t="n">
        <v>0</v>
      </c>
      <c r="AQ1601" s="21" t="n">
        <v>0</v>
      </c>
      <c r="AR1601" s="21" t="n">
        <v>0</v>
      </c>
      <c r="AS1601" s="21" t="n">
        <v>0</v>
      </c>
      <c r="AT1601" s="19" t="n"/>
    </row>
    <row r="1602">
      <c r="D1602" s="21" t="n">
        <v>0</v>
      </c>
      <c r="E1602" s="21" t="n">
        <v>0</v>
      </c>
      <c r="F1602" s="21" t="n">
        <v>0</v>
      </c>
      <c r="G1602" s="21" t="n">
        <v>0</v>
      </c>
      <c r="H1602" s="21">
        <f>$B$19</f>
        <v/>
      </c>
      <c r="I1602" s="21">
        <f>$B$21</f>
        <v/>
      </c>
      <c r="J1602" s="21">
        <f>0</f>
        <v/>
      </c>
      <c r="K1602" s="21">
        <f>2*$B$20</f>
        <v/>
      </c>
      <c r="L1602" s="21">
        <f>-$B$19</f>
        <v/>
      </c>
      <c r="M1602" s="21">
        <f>$B$21</f>
        <v/>
      </c>
      <c r="N1602" s="21" t="n">
        <v>0</v>
      </c>
      <c r="O1602" s="21" t="n">
        <v>0</v>
      </c>
      <c r="P1602" s="21" t="n">
        <v>0</v>
      </c>
      <c r="Q1602" s="21" t="n">
        <v>0</v>
      </c>
      <c r="R1602" s="21" t="n">
        <v>0</v>
      </c>
      <c r="S1602" s="21" t="n">
        <v>0</v>
      </c>
      <c r="T1602" s="21" t="n">
        <v>0</v>
      </c>
      <c r="U1602" s="21" t="n">
        <v>0</v>
      </c>
      <c r="V1602" s="21" t="n">
        <v>0</v>
      </c>
      <c r="W1602" s="21" t="n">
        <v>0</v>
      </c>
      <c r="X1602" s="21" t="n">
        <v>0</v>
      </c>
      <c r="Y1602" s="21" t="n">
        <v>0</v>
      </c>
      <c r="Z1602" s="21" t="n">
        <v>0</v>
      </c>
      <c r="AA1602" s="21" t="n">
        <v>0</v>
      </c>
      <c r="AB1602" s="21" t="n">
        <v>0</v>
      </c>
      <c r="AC1602" s="21" t="n">
        <v>0</v>
      </c>
      <c r="AD1602" s="21" t="n">
        <v>0</v>
      </c>
      <c r="AE1602" s="21" t="n">
        <v>0</v>
      </c>
      <c r="AF1602" s="21" t="n">
        <v>0</v>
      </c>
      <c r="AG1602" s="21" t="n">
        <v>0</v>
      </c>
      <c r="AH1602" s="21" t="n">
        <v>0</v>
      </c>
      <c r="AI1602" s="21" t="n">
        <v>0</v>
      </c>
      <c r="AJ1602" s="21" t="n">
        <v>0</v>
      </c>
      <c r="AK1602" s="21" t="n">
        <v>0</v>
      </c>
      <c r="AL1602" s="21" t="n">
        <v>0</v>
      </c>
      <c r="AM1602" s="21" t="n">
        <v>0</v>
      </c>
      <c r="AN1602" s="21" t="n">
        <v>0</v>
      </c>
      <c r="AO1602" s="21" t="n">
        <v>0</v>
      </c>
      <c r="AP1602" s="21" t="n">
        <v>0</v>
      </c>
      <c r="AQ1602" s="21" t="n">
        <v>0</v>
      </c>
      <c r="AR1602" s="21" t="n">
        <v>0</v>
      </c>
      <c r="AS1602" s="21" t="n">
        <v>0</v>
      </c>
      <c r="AT1602" s="19" t="n"/>
    </row>
    <row r="1603">
      <c r="D1603" s="21" t="n">
        <v>0</v>
      </c>
      <c r="E1603" s="21" t="n">
        <v>0</v>
      </c>
      <c r="F1603" s="21" t="n">
        <v>0</v>
      </c>
      <c r="G1603" s="21" t="n">
        <v>0</v>
      </c>
      <c r="H1603" s="21" t="n">
        <v>0</v>
      </c>
      <c r="I1603" s="21" t="n">
        <v>0</v>
      </c>
      <c r="J1603" s="21">
        <f>-$B$18</f>
        <v/>
      </c>
      <c r="K1603" s="21">
        <f>-$B$19</f>
        <v/>
      </c>
      <c r="L1603" s="21">
        <f>2*$B$18+$D$1577</f>
        <v/>
      </c>
      <c r="M1603" s="21">
        <f>0</f>
        <v/>
      </c>
      <c r="N1603" s="21">
        <f>-$B$18</f>
        <v/>
      </c>
      <c r="O1603" s="21">
        <f>$B$19</f>
        <v/>
      </c>
      <c r="P1603" s="21" t="n">
        <v>0</v>
      </c>
      <c r="Q1603" s="21" t="n">
        <v>0</v>
      </c>
      <c r="R1603" s="21" t="n">
        <v>0</v>
      </c>
      <c r="S1603" s="21" t="n">
        <v>0</v>
      </c>
      <c r="T1603" s="21" t="n">
        <v>0</v>
      </c>
      <c r="U1603" s="21" t="n">
        <v>0</v>
      </c>
      <c r="V1603" s="21" t="n">
        <v>0</v>
      </c>
      <c r="W1603" s="21" t="n">
        <v>0</v>
      </c>
      <c r="X1603" s="21" t="n">
        <v>0</v>
      </c>
      <c r="Y1603" s="21" t="n">
        <v>0</v>
      </c>
      <c r="Z1603" s="21" t="n">
        <v>0</v>
      </c>
      <c r="AA1603" s="21" t="n">
        <v>0</v>
      </c>
      <c r="AB1603" s="21" t="n">
        <v>0</v>
      </c>
      <c r="AC1603" s="21" t="n">
        <v>0</v>
      </c>
      <c r="AD1603" s="21" t="n">
        <v>0</v>
      </c>
      <c r="AE1603" s="21" t="n">
        <v>0</v>
      </c>
      <c r="AF1603" s="21" t="n">
        <v>0</v>
      </c>
      <c r="AG1603" s="21" t="n">
        <v>0</v>
      </c>
      <c r="AH1603" s="21" t="n">
        <v>0</v>
      </c>
      <c r="AI1603" s="21" t="n">
        <v>0</v>
      </c>
      <c r="AJ1603" s="21" t="n">
        <v>0</v>
      </c>
      <c r="AK1603" s="21" t="n">
        <v>0</v>
      </c>
      <c r="AL1603" s="21" t="n">
        <v>0</v>
      </c>
      <c r="AM1603" s="21" t="n">
        <v>0</v>
      </c>
      <c r="AN1603" s="21" t="n">
        <v>0</v>
      </c>
      <c r="AO1603" s="21" t="n">
        <v>0</v>
      </c>
      <c r="AP1603" s="21" t="n">
        <v>0</v>
      </c>
      <c r="AQ1603" s="21" t="n">
        <v>0</v>
      </c>
      <c r="AR1603" s="21" t="n">
        <v>0</v>
      </c>
      <c r="AS1603" s="21" t="n">
        <v>0</v>
      </c>
      <c r="AT1603" s="19" t="n"/>
    </row>
    <row r="1604">
      <c r="D1604" s="21" t="n">
        <v>0</v>
      </c>
      <c r="E1604" s="21" t="n">
        <v>0</v>
      </c>
      <c r="F1604" s="21" t="n">
        <v>0</v>
      </c>
      <c r="G1604" s="21" t="n">
        <v>0</v>
      </c>
      <c r="H1604" s="21" t="n">
        <v>0</v>
      </c>
      <c r="I1604" s="21" t="n">
        <v>0</v>
      </c>
      <c r="J1604" s="21">
        <f>$B$19</f>
        <v/>
      </c>
      <c r="K1604" s="21">
        <f>$B$21</f>
        <v/>
      </c>
      <c r="L1604" s="21">
        <f>0</f>
        <v/>
      </c>
      <c r="M1604" s="21">
        <f>2*$B$20</f>
        <v/>
      </c>
      <c r="N1604" s="21">
        <f>-$B$19</f>
        <v/>
      </c>
      <c r="O1604" s="21">
        <f>$B$21</f>
        <v/>
      </c>
      <c r="P1604" s="21" t="n">
        <v>0</v>
      </c>
      <c r="Q1604" s="21" t="n">
        <v>0</v>
      </c>
      <c r="R1604" s="21" t="n">
        <v>0</v>
      </c>
      <c r="S1604" s="21" t="n">
        <v>0</v>
      </c>
      <c r="T1604" s="21" t="n">
        <v>0</v>
      </c>
      <c r="U1604" s="21" t="n">
        <v>0</v>
      </c>
      <c r="V1604" s="21" t="n">
        <v>0</v>
      </c>
      <c r="W1604" s="21" t="n">
        <v>0</v>
      </c>
      <c r="X1604" s="21" t="n">
        <v>0</v>
      </c>
      <c r="Y1604" s="21" t="n">
        <v>0</v>
      </c>
      <c r="Z1604" s="21" t="n">
        <v>0</v>
      </c>
      <c r="AA1604" s="21" t="n">
        <v>0</v>
      </c>
      <c r="AB1604" s="21" t="n">
        <v>0</v>
      </c>
      <c r="AC1604" s="21" t="n">
        <v>0</v>
      </c>
      <c r="AD1604" s="21" t="n">
        <v>0</v>
      </c>
      <c r="AE1604" s="21" t="n">
        <v>0</v>
      </c>
      <c r="AF1604" s="21" t="n">
        <v>0</v>
      </c>
      <c r="AG1604" s="21" t="n">
        <v>0</v>
      </c>
      <c r="AH1604" s="21" t="n">
        <v>0</v>
      </c>
      <c r="AI1604" s="21" t="n">
        <v>0</v>
      </c>
      <c r="AJ1604" s="21" t="n">
        <v>0</v>
      </c>
      <c r="AK1604" s="21" t="n">
        <v>0</v>
      </c>
      <c r="AL1604" s="21" t="n">
        <v>0</v>
      </c>
      <c r="AM1604" s="21" t="n">
        <v>0</v>
      </c>
      <c r="AN1604" s="21" t="n">
        <v>0</v>
      </c>
      <c r="AO1604" s="21" t="n">
        <v>0</v>
      </c>
      <c r="AP1604" s="21" t="n">
        <v>0</v>
      </c>
      <c r="AQ1604" s="21" t="n">
        <v>0</v>
      </c>
      <c r="AR1604" s="21" t="n">
        <v>0</v>
      </c>
      <c r="AS1604" s="21" t="n">
        <v>0</v>
      </c>
      <c r="AT1604" s="19" t="n"/>
    </row>
    <row r="1605">
      <c r="D1605" s="21" t="n">
        <v>0</v>
      </c>
      <c r="E1605" s="21" t="n">
        <v>0</v>
      </c>
      <c r="F1605" s="21" t="n">
        <v>0</v>
      </c>
      <c r="G1605" s="21" t="n">
        <v>0</v>
      </c>
      <c r="H1605" s="21" t="n">
        <v>0</v>
      </c>
      <c r="I1605" s="21" t="n">
        <v>0</v>
      </c>
      <c r="J1605" s="21" t="n">
        <v>0</v>
      </c>
      <c r="K1605" s="21" t="n">
        <v>0</v>
      </c>
      <c r="L1605" s="21">
        <f>-$B$18</f>
        <v/>
      </c>
      <c r="M1605" s="21">
        <f>-$B$19</f>
        <v/>
      </c>
      <c r="N1605" s="21">
        <f>2*$B$18+$D$1578</f>
        <v/>
      </c>
      <c r="O1605" s="21">
        <f>0</f>
        <v/>
      </c>
      <c r="P1605" s="21">
        <f>-$B$18</f>
        <v/>
      </c>
      <c r="Q1605" s="21">
        <f>$B$19</f>
        <v/>
      </c>
      <c r="R1605" s="21" t="n">
        <v>0</v>
      </c>
      <c r="S1605" s="21" t="n">
        <v>0</v>
      </c>
      <c r="T1605" s="21" t="n">
        <v>0</v>
      </c>
      <c r="U1605" s="21" t="n">
        <v>0</v>
      </c>
      <c r="V1605" s="21" t="n">
        <v>0</v>
      </c>
      <c r="W1605" s="21" t="n">
        <v>0</v>
      </c>
      <c r="X1605" s="21" t="n">
        <v>0</v>
      </c>
      <c r="Y1605" s="21" t="n">
        <v>0</v>
      </c>
      <c r="Z1605" s="21" t="n">
        <v>0</v>
      </c>
      <c r="AA1605" s="21" t="n">
        <v>0</v>
      </c>
      <c r="AB1605" s="21" t="n">
        <v>0</v>
      </c>
      <c r="AC1605" s="21" t="n">
        <v>0</v>
      </c>
      <c r="AD1605" s="21" t="n">
        <v>0</v>
      </c>
      <c r="AE1605" s="21" t="n">
        <v>0</v>
      </c>
      <c r="AF1605" s="21" t="n">
        <v>0</v>
      </c>
      <c r="AG1605" s="21" t="n">
        <v>0</v>
      </c>
      <c r="AH1605" s="21" t="n">
        <v>0</v>
      </c>
      <c r="AI1605" s="21" t="n">
        <v>0</v>
      </c>
      <c r="AJ1605" s="21" t="n">
        <v>0</v>
      </c>
      <c r="AK1605" s="21" t="n">
        <v>0</v>
      </c>
      <c r="AL1605" s="21" t="n">
        <v>0</v>
      </c>
      <c r="AM1605" s="21" t="n">
        <v>0</v>
      </c>
      <c r="AN1605" s="21" t="n">
        <v>0</v>
      </c>
      <c r="AO1605" s="21" t="n">
        <v>0</v>
      </c>
      <c r="AP1605" s="21" t="n">
        <v>0</v>
      </c>
      <c r="AQ1605" s="21" t="n">
        <v>0</v>
      </c>
      <c r="AR1605" s="21" t="n">
        <v>0</v>
      </c>
      <c r="AS1605" s="21" t="n">
        <v>0</v>
      </c>
      <c r="AT1605" s="19" t="n"/>
    </row>
    <row r="1606">
      <c r="D1606" s="21" t="n">
        <v>0</v>
      </c>
      <c r="E1606" s="21" t="n">
        <v>0</v>
      </c>
      <c r="F1606" s="21" t="n">
        <v>0</v>
      </c>
      <c r="G1606" s="21" t="n">
        <v>0</v>
      </c>
      <c r="H1606" s="21" t="n">
        <v>0</v>
      </c>
      <c r="I1606" s="21" t="n">
        <v>0</v>
      </c>
      <c r="J1606" s="21" t="n">
        <v>0</v>
      </c>
      <c r="K1606" s="21" t="n">
        <v>0</v>
      </c>
      <c r="L1606" s="21">
        <f>$B$19</f>
        <v/>
      </c>
      <c r="M1606" s="21">
        <f>$B$21</f>
        <v/>
      </c>
      <c r="N1606" s="21">
        <f>0</f>
        <v/>
      </c>
      <c r="O1606" s="21">
        <f>2*$B$20</f>
        <v/>
      </c>
      <c r="P1606" s="21">
        <f>-$B$19</f>
        <v/>
      </c>
      <c r="Q1606" s="21">
        <f>$B$21</f>
        <v/>
      </c>
      <c r="R1606" s="21" t="n">
        <v>0</v>
      </c>
      <c r="S1606" s="21" t="n">
        <v>0</v>
      </c>
      <c r="T1606" s="21" t="n">
        <v>0</v>
      </c>
      <c r="U1606" s="21" t="n">
        <v>0</v>
      </c>
      <c r="V1606" s="21" t="n">
        <v>0</v>
      </c>
      <c r="W1606" s="21" t="n">
        <v>0</v>
      </c>
      <c r="X1606" s="21" t="n">
        <v>0</v>
      </c>
      <c r="Y1606" s="21" t="n">
        <v>0</v>
      </c>
      <c r="Z1606" s="21" t="n">
        <v>0</v>
      </c>
      <c r="AA1606" s="21" t="n">
        <v>0</v>
      </c>
      <c r="AB1606" s="21" t="n">
        <v>0</v>
      </c>
      <c r="AC1606" s="21" t="n">
        <v>0</v>
      </c>
      <c r="AD1606" s="21" t="n">
        <v>0</v>
      </c>
      <c r="AE1606" s="21" t="n">
        <v>0</v>
      </c>
      <c r="AF1606" s="21" t="n">
        <v>0</v>
      </c>
      <c r="AG1606" s="21" t="n">
        <v>0</v>
      </c>
      <c r="AH1606" s="21" t="n">
        <v>0</v>
      </c>
      <c r="AI1606" s="21" t="n">
        <v>0</v>
      </c>
      <c r="AJ1606" s="21" t="n">
        <v>0</v>
      </c>
      <c r="AK1606" s="21" t="n">
        <v>0</v>
      </c>
      <c r="AL1606" s="21" t="n">
        <v>0</v>
      </c>
      <c r="AM1606" s="21" t="n">
        <v>0</v>
      </c>
      <c r="AN1606" s="21" t="n">
        <v>0</v>
      </c>
      <c r="AO1606" s="21" t="n">
        <v>0</v>
      </c>
      <c r="AP1606" s="21" t="n">
        <v>0</v>
      </c>
      <c r="AQ1606" s="21" t="n">
        <v>0</v>
      </c>
      <c r="AR1606" s="21" t="n">
        <v>0</v>
      </c>
      <c r="AS1606" s="21" t="n">
        <v>0</v>
      </c>
      <c r="AT1606" s="19" t="n"/>
    </row>
    <row r="1607">
      <c r="D1607" s="21" t="n">
        <v>0</v>
      </c>
      <c r="E1607" s="21" t="n">
        <v>0</v>
      </c>
      <c r="F1607" s="21" t="n">
        <v>0</v>
      </c>
      <c r="G1607" s="21" t="n">
        <v>0</v>
      </c>
      <c r="H1607" s="21" t="n">
        <v>0</v>
      </c>
      <c r="I1607" s="21" t="n">
        <v>0</v>
      </c>
      <c r="J1607" s="21" t="n">
        <v>0</v>
      </c>
      <c r="K1607" s="21" t="n">
        <v>0</v>
      </c>
      <c r="L1607" s="21" t="n">
        <v>0</v>
      </c>
      <c r="M1607" s="21" t="n">
        <v>0</v>
      </c>
      <c r="N1607" s="21">
        <f>-$B$18</f>
        <v/>
      </c>
      <c r="O1607" s="21">
        <f>-$B$19</f>
        <v/>
      </c>
      <c r="P1607" s="21">
        <f>2*$B$18+$D$1579</f>
        <v/>
      </c>
      <c r="Q1607" s="21">
        <f>0</f>
        <v/>
      </c>
      <c r="R1607" s="21">
        <f>-$B$18</f>
        <v/>
      </c>
      <c r="S1607" s="21">
        <f>$B$19</f>
        <v/>
      </c>
      <c r="T1607" s="21" t="n">
        <v>0</v>
      </c>
      <c r="U1607" s="21" t="n">
        <v>0</v>
      </c>
      <c r="V1607" s="21" t="n">
        <v>0</v>
      </c>
      <c r="W1607" s="21" t="n">
        <v>0</v>
      </c>
      <c r="X1607" s="21" t="n">
        <v>0</v>
      </c>
      <c r="Y1607" s="21" t="n">
        <v>0</v>
      </c>
      <c r="Z1607" s="21" t="n">
        <v>0</v>
      </c>
      <c r="AA1607" s="21" t="n">
        <v>0</v>
      </c>
      <c r="AB1607" s="21" t="n">
        <v>0</v>
      </c>
      <c r="AC1607" s="21" t="n">
        <v>0</v>
      </c>
      <c r="AD1607" s="21" t="n">
        <v>0</v>
      </c>
      <c r="AE1607" s="21" t="n">
        <v>0</v>
      </c>
      <c r="AF1607" s="21" t="n">
        <v>0</v>
      </c>
      <c r="AG1607" s="21" t="n">
        <v>0</v>
      </c>
      <c r="AH1607" s="21" t="n">
        <v>0</v>
      </c>
      <c r="AI1607" s="21" t="n">
        <v>0</v>
      </c>
      <c r="AJ1607" s="21" t="n">
        <v>0</v>
      </c>
      <c r="AK1607" s="21" t="n">
        <v>0</v>
      </c>
      <c r="AL1607" s="21" t="n">
        <v>0</v>
      </c>
      <c r="AM1607" s="21" t="n">
        <v>0</v>
      </c>
      <c r="AN1607" s="21" t="n">
        <v>0</v>
      </c>
      <c r="AO1607" s="21" t="n">
        <v>0</v>
      </c>
      <c r="AP1607" s="21" t="n">
        <v>0</v>
      </c>
      <c r="AQ1607" s="21" t="n">
        <v>0</v>
      </c>
      <c r="AR1607" s="21" t="n">
        <v>0</v>
      </c>
      <c r="AS1607" s="21" t="n">
        <v>0</v>
      </c>
      <c r="AT1607" s="19" t="n"/>
    </row>
    <row r="1608">
      <c r="D1608" s="21" t="n">
        <v>0</v>
      </c>
      <c r="E1608" s="21" t="n">
        <v>0</v>
      </c>
      <c r="F1608" s="21" t="n">
        <v>0</v>
      </c>
      <c r="G1608" s="21" t="n">
        <v>0</v>
      </c>
      <c r="H1608" s="21" t="n">
        <v>0</v>
      </c>
      <c r="I1608" s="21" t="n">
        <v>0</v>
      </c>
      <c r="J1608" s="21" t="n">
        <v>0</v>
      </c>
      <c r="K1608" s="21" t="n">
        <v>0</v>
      </c>
      <c r="L1608" s="21" t="n">
        <v>0</v>
      </c>
      <c r="M1608" s="21" t="n">
        <v>0</v>
      </c>
      <c r="N1608" s="21">
        <f>$B$19</f>
        <v/>
      </c>
      <c r="O1608" s="21">
        <f>$B$21</f>
        <v/>
      </c>
      <c r="P1608" s="21">
        <f>0</f>
        <v/>
      </c>
      <c r="Q1608" s="21">
        <f>2*$B$20</f>
        <v/>
      </c>
      <c r="R1608" s="21">
        <f>-$B$19</f>
        <v/>
      </c>
      <c r="S1608" s="21">
        <f>$B$21</f>
        <v/>
      </c>
      <c r="T1608" s="21" t="n">
        <v>0</v>
      </c>
      <c r="U1608" s="21" t="n">
        <v>0</v>
      </c>
      <c r="V1608" s="21" t="n">
        <v>0</v>
      </c>
      <c r="W1608" s="21" t="n">
        <v>0</v>
      </c>
      <c r="X1608" s="21" t="n">
        <v>0</v>
      </c>
      <c r="Y1608" s="21" t="n">
        <v>0</v>
      </c>
      <c r="Z1608" s="21" t="n">
        <v>0</v>
      </c>
      <c r="AA1608" s="21" t="n">
        <v>0</v>
      </c>
      <c r="AB1608" s="21" t="n">
        <v>0</v>
      </c>
      <c r="AC1608" s="21" t="n">
        <v>0</v>
      </c>
      <c r="AD1608" s="21" t="n">
        <v>0</v>
      </c>
      <c r="AE1608" s="21" t="n">
        <v>0</v>
      </c>
      <c r="AF1608" s="21" t="n">
        <v>0</v>
      </c>
      <c r="AG1608" s="21" t="n">
        <v>0</v>
      </c>
      <c r="AH1608" s="21" t="n">
        <v>0</v>
      </c>
      <c r="AI1608" s="21" t="n">
        <v>0</v>
      </c>
      <c r="AJ1608" s="21" t="n">
        <v>0</v>
      </c>
      <c r="AK1608" s="21" t="n">
        <v>0</v>
      </c>
      <c r="AL1608" s="21" t="n">
        <v>0</v>
      </c>
      <c r="AM1608" s="21" t="n">
        <v>0</v>
      </c>
      <c r="AN1608" s="21" t="n">
        <v>0</v>
      </c>
      <c r="AO1608" s="21" t="n">
        <v>0</v>
      </c>
      <c r="AP1608" s="21" t="n">
        <v>0</v>
      </c>
      <c r="AQ1608" s="21" t="n">
        <v>0</v>
      </c>
      <c r="AR1608" s="21" t="n">
        <v>0</v>
      </c>
      <c r="AS1608" s="21" t="n">
        <v>0</v>
      </c>
      <c r="AT1608" s="19" t="n"/>
    </row>
    <row r="1609">
      <c r="D1609" s="21" t="n">
        <v>0</v>
      </c>
      <c r="E1609" s="21" t="n">
        <v>0</v>
      </c>
      <c r="F1609" s="21" t="n">
        <v>0</v>
      </c>
      <c r="G1609" s="21" t="n">
        <v>0</v>
      </c>
      <c r="H1609" s="21" t="n">
        <v>0</v>
      </c>
      <c r="I1609" s="21" t="n">
        <v>0</v>
      </c>
      <c r="J1609" s="21" t="n">
        <v>0</v>
      </c>
      <c r="K1609" s="21" t="n">
        <v>0</v>
      </c>
      <c r="L1609" s="21" t="n">
        <v>0</v>
      </c>
      <c r="M1609" s="21" t="n">
        <v>0</v>
      </c>
      <c r="N1609" s="21" t="n">
        <v>0</v>
      </c>
      <c r="O1609" s="21" t="n">
        <v>0</v>
      </c>
      <c r="P1609" s="21">
        <f>-$B$18</f>
        <v/>
      </c>
      <c r="Q1609" s="21">
        <f>-$B$19</f>
        <v/>
      </c>
      <c r="R1609" s="21">
        <f>2*$B$18+$D$1580</f>
        <v/>
      </c>
      <c r="S1609" s="21">
        <f>0</f>
        <v/>
      </c>
      <c r="T1609" s="21">
        <f>-$B$18</f>
        <v/>
      </c>
      <c r="U1609" s="21">
        <f>$B$19</f>
        <v/>
      </c>
      <c r="V1609" s="21" t="n">
        <v>0</v>
      </c>
      <c r="W1609" s="21" t="n">
        <v>0</v>
      </c>
      <c r="X1609" s="21" t="n">
        <v>0</v>
      </c>
      <c r="Y1609" s="21" t="n">
        <v>0</v>
      </c>
      <c r="Z1609" s="21" t="n">
        <v>0</v>
      </c>
      <c r="AA1609" s="21" t="n">
        <v>0</v>
      </c>
      <c r="AB1609" s="21" t="n">
        <v>0</v>
      </c>
      <c r="AC1609" s="21" t="n">
        <v>0</v>
      </c>
      <c r="AD1609" s="21" t="n">
        <v>0</v>
      </c>
      <c r="AE1609" s="21" t="n">
        <v>0</v>
      </c>
      <c r="AF1609" s="21" t="n">
        <v>0</v>
      </c>
      <c r="AG1609" s="21" t="n">
        <v>0</v>
      </c>
      <c r="AH1609" s="21" t="n">
        <v>0</v>
      </c>
      <c r="AI1609" s="21" t="n">
        <v>0</v>
      </c>
      <c r="AJ1609" s="21" t="n">
        <v>0</v>
      </c>
      <c r="AK1609" s="21" t="n">
        <v>0</v>
      </c>
      <c r="AL1609" s="21" t="n">
        <v>0</v>
      </c>
      <c r="AM1609" s="21" t="n">
        <v>0</v>
      </c>
      <c r="AN1609" s="21" t="n">
        <v>0</v>
      </c>
      <c r="AO1609" s="21" t="n">
        <v>0</v>
      </c>
      <c r="AP1609" s="21" t="n">
        <v>0</v>
      </c>
      <c r="AQ1609" s="21" t="n">
        <v>0</v>
      </c>
      <c r="AR1609" s="21" t="n">
        <v>0</v>
      </c>
      <c r="AS1609" s="21" t="n">
        <v>0</v>
      </c>
      <c r="AT1609" s="19" t="n"/>
    </row>
    <row r="1610">
      <c r="D1610" s="21" t="n">
        <v>0</v>
      </c>
      <c r="E1610" s="21" t="n">
        <v>0</v>
      </c>
      <c r="F1610" s="21" t="n">
        <v>0</v>
      </c>
      <c r="G1610" s="21" t="n">
        <v>0</v>
      </c>
      <c r="H1610" s="21" t="n">
        <v>0</v>
      </c>
      <c r="I1610" s="21" t="n">
        <v>0</v>
      </c>
      <c r="J1610" s="21" t="n">
        <v>0</v>
      </c>
      <c r="K1610" s="21" t="n">
        <v>0</v>
      </c>
      <c r="L1610" s="21" t="n">
        <v>0</v>
      </c>
      <c r="M1610" s="21" t="n">
        <v>0</v>
      </c>
      <c r="N1610" s="21" t="n">
        <v>0</v>
      </c>
      <c r="O1610" s="21" t="n">
        <v>0</v>
      </c>
      <c r="P1610" s="21">
        <f>$B$19</f>
        <v/>
      </c>
      <c r="Q1610" s="21">
        <f>$B$21</f>
        <v/>
      </c>
      <c r="R1610" s="21">
        <f>0</f>
        <v/>
      </c>
      <c r="S1610" s="21">
        <f>2*$B$20</f>
        <v/>
      </c>
      <c r="T1610" s="21">
        <f>-$B$19</f>
        <v/>
      </c>
      <c r="U1610" s="21">
        <f>$B$21</f>
        <v/>
      </c>
      <c r="V1610" s="21" t="n">
        <v>0</v>
      </c>
      <c r="W1610" s="21" t="n">
        <v>0</v>
      </c>
      <c r="X1610" s="21" t="n">
        <v>0</v>
      </c>
      <c r="Y1610" s="21" t="n">
        <v>0</v>
      </c>
      <c r="Z1610" s="21" t="n">
        <v>0</v>
      </c>
      <c r="AA1610" s="21" t="n">
        <v>0</v>
      </c>
      <c r="AB1610" s="21" t="n">
        <v>0</v>
      </c>
      <c r="AC1610" s="21" t="n">
        <v>0</v>
      </c>
      <c r="AD1610" s="21" t="n">
        <v>0</v>
      </c>
      <c r="AE1610" s="21" t="n">
        <v>0</v>
      </c>
      <c r="AF1610" s="21" t="n">
        <v>0</v>
      </c>
      <c r="AG1610" s="21" t="n">
        <v>0</v>
      </c>
      <c r="AH1610" s="21" t="n">
        <v>0</v>
      </c>
      <c r="AI1610" s="21" t="n">
        <v>0</v>
      </c>
      <c r="AJ1610" s="21" t="n">
        <v>0</v>
      </c>
      <c r="AK1610" s="21" t="n">
        <v>0</v>
      </c>
      <c r="AL1610" s="21" t="n">
        <v>0</v>
      </c>
      <c r="AM1610" s="21" t="n">
        <v>0</v>
      </c>
      <c r="AN1610" s="21" t="n">
        <v>0</v>
      </c>
      <c r="AO1610" s="21" t="n">
        <v>0</v>
      </c>
      <c r="AP1610" s="21" t="n">
        <v>0</v>
      </c>
      <c r="AQ1610" s="21" t="n">
        <v>0</v>
      </c>
      <c r="AR1610" s="21" t="n">
        <v>0</v>
      </c>
      <c r="AS1610" s="21" t="n">
        <v>0</v>
      </c>
      <c r="AT1610" s="19" t="n"/>
    </row>
    <row r="1611">
      <c r="D1611" s="21" t="n">
        <v>0</v>
      </c>
      <c r="E1611" s="21" t="n">
        <v>0</v>
      </c>
      <c r="F1611" s="21" t="n">
        <v>0</v>
      </c>
      <c r="G1611" s="21" t="n">
        <v>0</v>
      </c>
      <c r="H1611" s="21" t="n">
        <v>0</v>
      </c>
      <c r="I1611" s="21" t="n">
        <v>0</v>
      </c>
      <c r="J1611" s="21" t="n">
        <v>0</v>
      </c>
      <c r="K1611" s="21" t="n">
        <v>0</v>
      </c>
      <c r="L1611" s="21" t="n">
        <v>0</v>
      </c>
      <c r="M1611" s="21" t="n">
        <v>0</v>
      </c>
      <c r="N1611" s="21" t="n">
        <v>0</v>
      </c>
      <c r="O1611" s="21" t="n">
        <v>0</v>
      </c>
      <c r="P1611" s="21" t="n">
        <v>0</v>
      </c>
      <c r="Q1611" s="21" t="n">
        <v>0</v>
      </c>
      <c r="R1611" s="21">
        <f>-$B$18</f>
        <v/>
      </c>
      <c r="S1611" s="21">
        <f>-$B$19</f>
        <v/>
      </c>
      <c r="T1611" s="21">
        <f>2*$B$18+$D$1581</f>
        <v/>
      </c>
      <c r="U1611" s="21">
        <f>0</f>
        <v/>
      </c>
      <c r="V1611" s="21">
        <f>-$B$18</f>
        <v/>
      </c>
      <c r="W1611" s="21">
        <f>$B$19</f>
        <v/>
      </c>
      <c r="X1611" s="21" t="n">
        <v>0</v>
      </c>
      <c r="Y1611" s="21" t="n">
        <v>0</v>
      </c>
      <c r="Z1611" s="21" t="n">
        <v>0</v>
      </c>
      <c r="AA1611" s="21" t="n">
        <v>0</v>
      </c>
      <c r="AB1611" s="21" t="n">
        <v>0</v>
      </c>
      <c r="AC1611" s="21" t="n">
        <v>0</v>
      </c>
      <c r="AD1611" s="21" t="n">
        <v>0</v>
      </c>
      <c r="AE1611" s="21" t="n">
        <v>0</v>
      </c>
      <c r="AF1611" s="21" t="n">
        <v>0</v>
      </c>
      <c r="AG1611" s="21" t="n">
        <v>0</v>
      </c>
      <c r="AH1611" s="21" t="n">
        <v>0</v>
      </c>
      <c r="AI1611" s="21" t="n">
        <v>0</v>
      </c>
      <c r="AJ1611" s="21" t="n">
        <v>0</v>
      </c>
      <c r="AK1611" s="21" t="n">
        <v>0</v>
      </c>
      <c r="AL1611" s="21" t="n">
        <v>0</v>
      </c>
      <c r="AM1611" s="21" t="n">
        <v>0</v>
      </c>
      <c r="AN1611" s="21" t="n">
        <v>0</v>
      </c>
      <c r="AO1611" s="21" t="n">
        <v>0</v>
      </c>
      <c r="AP1611" s="21" t="n">
        <v>0</v>
      </c>
      <c r="AQ1611" s="21" t="n">
        <v>0</v>
      </c>
      <c r="AR1611" s="21" t="n">
        <v>0</v>
      </c>
      <c r="AS1611" s="21" t="n">
        <v>0</v>
      </c>
      <c r="AT1611" s="19" t="n"/>
    </row>
    <row r="1612">
      <c r="D1612" s="21" t="n">
        <v>0</v>
      </c>
      <c r="E1612" s="21" t="n">
        <v>0</v>
      </c>
      <c r="F1612" s="21" t="n">
        <v>0</v>
      </c>
      <c r="G1612" s="21" t="n">
        <v>0</v>
      </c>
      <c r="H1612" s="21" t="n">
        <v>0</v>
      </c>
      <c r="I1612" s="21" t="n">
        <v>0</v>
      </c>
      <c r="J1612" s="21" t="n">
        <v>0</v>
      </c>
      <c r="K1612" s="21" t="n">
        <v>0</v>
      </c>
      <c r="L1612" s="21" t="n">
        <v>0</v>
      </c>
      <c r="M1612" s="21" t="n">
        <v>0</v>
      </c>
      <c r="N1612" s="21" t="n">
        <v>0</v>
      </c>
      <c r="O1612" s="21" t="n">
        <v>0</v>
      </c>
      <c r="P1612" s="21" t="n">
        <v>0</v>
      </c>
      <c r="Q1612" s="21" t="n">
        <v>0</v>
      </c>
      <c r="R1612" s="21">
        <f>$B$19</f>
        <v/>
      </c>
      <c r="S1612" s="21">
        <f>$B$21</f>
        <v/>
      </c>
      <c r="T1612" s="21">
        <f>0</f>
        <v/>
      </c>
      <c r="U1612" s="21">
        <f>2*$B$20</f>
        <v/>
      </c>
      <c r="V1612" s="21">
        <f>-$B$19</f>
        <v/>
      </c>
      <c r="W1612" s="21">
        <f>$B$21</f>
        <v/>
      </c>
      <c r="X1612" s="21" t="n">
        <v>0</v>
      </c>
      <c r="Y1612" s="21" t="n">
        <v>0</v>
      </c>
      <c r="Z1612" s="21" t="n">
        <v>0</v>
      </c>
      <c r="AA1612" s="21" t="n">
        <v>0</v>
      </c>
      <c r="AB1612" s="21" t="n">
        <v>0</v>
      </c>
      <c r="AC1612" s="21" t="n">
        <v>0</v>
      </c>
      <c r="AD1612" s="21" t="n">
        <v>0</v>
      </c>
      <c r="AE1612" s="21" t="n">
        <v>0</v>
      </c>
      <c r="AF1612" s="21" t="n">
        <v>0</v>
      </c>
      <c r="AG1612" s="21" t="n">
        <v>0</v>
      </c>
      <c r="AH1612" s="21" t="n">
        <v>0</v>
      </c>
      <c r="AI1612" s="21" t="n">
        <v>0</v>
      </c>
      <c r="AJ1612" s="21" t="n">
        <v>0</v>
      </c>
      <c r="AK1612" s="21" t="n">
        <v>0</v>
      </c>
      <c r="AL1612" s="21" t="n">
        <v>0</v>
      </c>
      <c r="AM1612" s="21" t="n">
        <v>0</v>
      </c>
      <c r="AN1612" s="21" t="n">
        <v>0</v>
      </c>
      <c r="AO1612" s="21" t="n">
        <v>0</v>
      </c>
      <c r="AP1612" s="21" t="n">
        <v>0</v>
      </c>
      <c r="AQ1612" s="21" t="n">
        <v>0</v>
      </c>
      <c r="AR1612" s="21" t="n">
        <v>0</v>
      </c>
      <c r="AS1612" s="21" t="n">
        <v>0</v>
      </c>
      <c r="AT1612" s="19" t="n"/>
    </row>
    <row r="1613">
      <c r="D1613" s="21" t="n">
        <v>0</v>
      </c>
      <c r="E1613" s="21" t="n">
        <v>0</v>
      </c>
      <c r="F1613" s="21" t="n">
        <v>0</v>
      </c>
      <c r="G1613" s="21" t="n">
        <v>0</v>
      </c>
      <c r="H1613" s="21" t="n">
        <v>0</v>
      </c>
      <c r="I1613" s="21" t="n">
        <v>0</v>
      </c>
      <c r="J1613" s="21" t="n">
        <v>0</v>
      </c>
      <c r="K1613" s="21" t="n">
        <v>0</v>
      </c>
      <c r="L1613" s="21" t="n">
        <v>0</v>
      </c>
      <c r="M1613" s="21" t="n">
        <v>0</v>
      </c>
      <c r="N1613" s="21" t="n">
        <v>0</v>
      </c>
      <c r="O1613" s="21" t="n">
        <v>0</v>
      </c>
      <c r="P1613" s="21" t="n">
        <v>0</v>
      </c>
      <c r="Q1613" s="21" t="n">
        <v>0</v>
      </c>
      <c r="R1613" s="21" t="n">
        <v>0</v>
      </c>
      <c r="S1613" s="21" t="n">
        <v>0</v>
      </c>
      <c r="T1613" s="21">
        <f>-$B$18</f>
        <v/>
      </c>
      <c r="U1613" s="21">
        <f>-$B$19</f>
        <v/>
      </c>
      <c r="V1613" s="21">
        <f>2*$B$18+$D$1582</f>
        <v/>
      </c>
      <c r="W1613" s="21">
        <f>0</f>
        <v/>
      </c>
      <c r="X1613" s="21">
        <f>-$B$18</f>
        <v/>
      </c>
      <c r="Y1613" s="21">
        <f>$B$19</f>
        <v/>
      </c>
      <c r="Z1613" s="21" t="n">
        <v>0</v>
      </c>
      <c r="AA1613" s="21" t="n">
        <v>0</v>
      </c>
      <c r="AB1613" s="21" t="n">
        <v>0</v>
      </c>
      <c r="AC1613" s="21" t="n">
        <v>0</v>
      </c>
      <c r="AD1613" s="21" t="n">
        <v>0</v>
      </c>
      <c r="AE1613" s="21" t="n">
        <v>0</v>
      </c>
      <c r="AF1613" s="21" t="n">
        <v>0</v>
      </c>
      <c r="AG1613" s="21" t="n">
        <v>0</v>
      </c>
      <c r="AH1613" s="21" t="n">
        <v>0</v>
      </c>
      <c r="AI1613" s="21" t="n">
        <v>0</v>
      </c>
      <c r="AJ1613" s="21" t="n">
        <v>0</v>
      </c>
      <c r="AK1613" s="21" t="n">
        <v>0</v>
      </c>
      <c r="AL1613" s="21" t="n">
        <v>0</v>
      </c>
      <c r="AM1613" s="21" t="n">
        <v>0</v>
      </c>
      <c r="AN1613" s="21" t="n">
        <v>0</v>
      </c>
      <c r="AO1613" s="21" t="n">
        <v>0</v>
      </c>
      <c r="AP1613" s="21" t="n">
        <v>0</v>
      </c>
      <c r="AQ1613" s="21" t="n">
        <v>0</v>
      </c>
      <c r="AR1613" s="21" t="n">
        <v>0</v>
      </c>
      <c r="AS1613" s="21" t="n">
        <v>0</v>
      </c>
      <c r="AT1613" s="19" t="n"/>
    </row>
    <row r="1614">
      <c r="D1614" s="21" t="n">
        <v>0</v>
      </c>
      <c r="E1614" s="21" t="n">
        <v>0</v>
      </c>
      <c r="F1614" s="21" t="n">
        <v>0</v>
      </c>
      <c r="G1614" s="21" t="n">
        <v>0</v>
      </c>
      <c r="H1614" s="21" t="n">
        <v>0</v>
      </c>
      <c r="I1614" s="21" t="n">
        <v>0</v>
      </c>
      <c r="J1614" s="21" t="n">
        <v>0</v>
      </c>
      <c r="K1614" s="21" t="n">
        <v>0</v>
      </c>
      <c r="L1614" s="21" t="n">
        <v>0</v>
      </c>
      <c r="M1614" s="21" t="n">
        <v>0</v>
      </c>
      <c r="N1614" s="21" t="n">
        <v>0</v>
      </c>
      <c r="O1614" s="21" t="n">
        <v>0</v>
      </c>
      <c r="P1614" s="21" t="n">
        <v>0</v>
      </c>
      <c r="Q1614" s="21" t="n">
        <v>0</v>
      </c>
      <c r="R1614" s="21" t="n">
        <v>0</v>
      </c>
      <c r="S1614" s="21" t="n">
        <v>0</v>
      </c>
      <c r="T1614" s="21">
        <f>$B$19</f>
        <v/>
      </c>
      <c r="U1614" s="21">
        <f>$B$21</f>
        <v/>
      </c>
      <c r="V1614" s="21">
        <f>0</f>
        <v/>
      </c>
      <c r="W1614" s="21">
        <f>2*$B$20</f>
        <v/>
      </c>
      <c r="X1614" s="21">
        <f>-$B$19</f>
        <v/>
      </c>
      <c r="Y1614" s="21">
        <f>$B$21</f>
        <v/>
      </c>
      <c r="Z1614" s="21" t="n">
        <v>0</v>
      </c>
      <c r="AA1614" s="21" t="n">
        <v>0</v>
      </c>
      <c r="AB1614" s="21" t="n">
        <v>0</v>
      </c>
      <c r="AC1614" s="21" t="n">
        <v>0</v>
      </c>
      <c r="AD1614" s="21" t="n">
        <v>0</v>
      </c>
      <c r="AE1614" s="21" t="n">
        <v>0</v>
      </c>
      <c r="AF1614" s="21" t="n">
        <v>0</v>
      </c>
      <c r="AG1614" s="21" t="n">
        <v>0</v>
      </c>
      <c r="AH1614" s="21" t="n">
        <v>0</v>
      </c>
      <c r="AI1614" s="21" t="n">
        <v>0</v>
      </c>
      <c r="AJ1614" s="21" t="n">
        <v>0</v>
      </c>
      <c r="AK1614" s="21" t="n">
        <v>0</v>
      </c>
      <c r="AL1614" s="21" t="n">
        <v>0</v>
      </c>
      <c r="AM1614" s="21" t="n">
        <v>0</v>
      </c>
      <c r="AN1614" s="21" t="n">
        <v>0</v>
      </c>
      <c r="AO1614" s="21" t="n">
        <v>0</v>
      </c>
      <c r="AP1614" s="21" t="n">
        <v>0</v>
      </c>
      <c r="AQ1614" s="21" t="n">
        <v>0</v>
      </c>
      <c r="AR1614" s="21" t="n">
        <v>0</v>
      </c>
      <c r="AS1614" s="21" t="n">
        <v>0</v>
      </c>
      <c r="AT1614" s="19" t="n"/>
    </row>
    <row r="1615">
      <c r="D1615" s="21" t="n">
        <v>0</v>
      </c>
      <c r="E1615" s="21" t="n">
        <v>0</v>
      </c>
      <c r="F1615" s="21" t="n">
        <v>0</v>
      </c>
      <c r="G1615" s="21" t="n">
        <v>0</v>
      </c>
      <c r="H1615" s="21" t="n">
        <v>0</v>
      </c>
      <c r="I1615" s="21" t="n">
        <v>0</v>
      </c>
      <c r="J1615" s="21" t="n">
        <v>0</v>
      </c>
      <c r="K1615" s="21" t="n">
        <v>0</v>
      </c>
      <c r="L1615" s="21" t="n">
        <v>0</v>
      </c>
      <c r="M1615" s="21" t="n">
        <v>0</v>
      </c>
      <c r="N1615" s="21" t="n">
        <v>0</v>
      </c>
      <c r="O1615" s="21" t="n">
        <v>0</v>
      </c>
      <c r="P1615" s="21" t="n">
        <v>0</v>
      </c>
      <c r="Q1615" s="21" t="n">
        <v>0</v>
      </c>
      <c r="R1615" s="21" t="n">
        <v>0</v>
      </c>
      <c r="S1615" s="21" t="n">
        <v>0</v>
      </c>
      <c r="T1615" s="21" t="n">
        <v>0</v>
      </c>
      <c r="U1615" s="21" t="n">
        <v>0</v>
      </c>
      <c r="V1615" s="21">
        <f>-$B$18</f>
        <v/>
      </c>
      <c r="W1615" s="21">
        <f>-$B$19</f>
        <v/>
      </c>
      <c r="X1615" s="21">
        <f>2*$B$18+$D$1583</f>
        <v/>
      </c>
      <c r="Y1615" s="21">
        <f>0</f>
        <v/>
      </c>
      <c r="Z1615" s="21">
        <f>-$B$18</f>
        <v/>
      </c>
      <c r="AA1615" s="21">
        <f>$B$19</f>
        <v/>
      </c>
      <c r="AB1615" s="21" t="n">
        <v>0</v>
      </c>
      <c r="AC1615" s="21" t="n">
        <v>0</v>
      </c>
      <c r="AD1615" s="21" t="n">
        <v>0</v>
      </c>
      <c r="AE1615" s="21" t="n">
        <v>0</v>
      </c>
      <c r="AF1615" s="21" t="n">
        <v>0</v>
      </c>
      <c r="AG1615" s="21" t="n">
        <v>0</v>
      </c>
      <c r="AH1615" s="21" t="n">
        <v>0</v>
      </c>
      <c r="AI1615" s="21" t="n">
        <v>0</v>
      </c>
      <c r="AJ1615" s="21" t="n">
        <v>0</v>
      </c>
      <c r="AK1615" s="21" t="n">
        <v>0</v>
      </c>
      <c r="AL1615" s="21" t="n">
        <v>0</v>
      </c>
      <c r="AM1615" s="21" t="n">
        <v>0</v>
      </c>
      <c r="AN1615" s="21" t="n">
        <v>0</v>
      </c>
      <c r="AO1615" s="21" t="n">
        <v>0</v>
      </c>
      <c r="AP1615" s="21" t="n">
        <v>0</v>
      </c>
      <c r="AQ1615" s="21" t="n">
        <v>0</v>
      </c>
      <c r="AR1615" s="21" t="n">
        <v>0</v>
      </c>
      <c r="AS1615" s="21" t="n">
        <v>0</v>
      </c>
      <c r="AT1615" s="19" t="n"/>
    </row>
    <row r="1616">
      <c r="D1616" s="21" t="n">
        <v>0</v>
      </c>
      <c r="E1616" s="21" t="n">
        <v>0</v>
      </c>
      <c r="F1616" s="21" t="n">
        <v>0</v>
      </c>
      <c r="G1616" s="21" t="n">
        <v>0</v>
      </c>
      <c r="H1616" s="21" t="n">
        <v>0</v>
      </c>
      <c r="I1616" s="21" t="n">
        <v>0</v>
      </c>
      <c r="J1616" s="21" t="n">
        <v>0</v>
      </c>
      <c r="K1616" s="21" t="n">
        <v>0</v>
      </c>
      <c r="L1616" s="21" t="n">
        <v>0</v>
      </c>
      <c r="M1616" s="21" t="n">
        <v>0</v>
      </c>
      <c r="N1616" s="21" t="n">
        <v>0</v>
      </c>
      <c r="O1616" s="21" t="n">
        <v>0</v>
      </c>
      <c r="P1616" s="21" t="n">
        <v>0</v>
      </c>
      <c r="Q1616" s="21" t="n">
        <v>0</v>
      </c>
      <c r="R1616" s="21" t="n">
        <v>0</v>
      </c>
      <c r="S1616" s="21" t="n">
        <v>0</v>
      </c>
      <c r="T1616" s="21" t="n">
        <v>0</v>
      </c>
      <c r="U1616" s="21" t="n">
        <v>0</v>
      </c>
      <c r="V1616" s="21">
        <f>$B$19</f>
        <v/>
      </c>
      <c r="W1616" s="21">
        <f>$B$21</f>
        <v/>
      </c>
      <c r="X1616" s="21">
        <f>0</f>
        <v/>
      </c>
      <c r="Y1616" s="21">
        <f>2*$B$20</f>
        <v/>
      </c>
      <c r="Z1616" s="21">
        <f>-$B$19</f>
        <v/>
      </c>
      <c r="AA1616" s="21">
        <f>$B$21</f>
        <v/>
      </c>
      <c r="AB1616" s="21" t="n">
        <v>0</v>
      </c>
      <c r="AC1616" s="21" t="n">
        <v>0</v>
      </c>
      <c r="AD1616" s="21" t="n">
        <v>0</v>
      </c>
      <c r="AE1616" s="21" t="n">
        <v>0</v>
      </c>
      <c r="AF1616" s="21" t="n">
        <v>0</v>
      </c>
      <c r="AG1616" s="21" t="n">
        <v>0</v>
      </c>
      <c r="AH1616" s="21" t="n">
        <v>0</v>
      </c>
      <c r="AI1616" s="21" t="n">
        <v>0</v>
      </c>
      <c r="AJ1616" s="21" t="n">
        <v>0</v>
      </c>
      <c r="AK1616" s="21" t="n">
        <v>0</v>
      </c>
      <c r="AL1616" s="21" t="n">
        <v>0</v>
      </c>
      <c r="AM1616" s="21" t="n">
        <v>0</v>
      </c>
      <c r="AN1616" s="21" t="n">
        <v>0</v>
      </c>
      <c r="AO1616" s="21" t="n">
        <v>0</v>
      </c>
      <c r="AP1616" s="21" t="n">
        <v>0</v>
      </c>
      <c r="AQ1616" s="21" t="n">
        <v>0</v>
      </c>
      <c r="AR1616" s="21" t="n">
        <v>0</v>
      </c>
      <c r="AS1616" s="21" t="n">
        <v>0</v>
      </c>
      <c r="AT1616" s="19" t="n"/>
    </row>
    <row r="1617">
      <c r="D1617" s="21" t="n">
        <v>0</v>
      </c>
      <c r="E1617" s="21" t="n">
        <v>0</v>
      </c>
      <c r="F1617" s="21" t="n">
        <v>0</v>
      </c>
      <c r="G1617" s="21" t="n">
        <v>0</v>
      </c>
      <c r="H1617" s="21" t="n">
        <v>0</v>
      </c>
      <c r="I1617" s="21" t="n">
        <v>0</v>
      </c>
      <c r="J1617" s="21" t="n">
        <v>0</v>
      </c>
      <c r="K1617" s="21" t="n">
        <v>0</v>
      </c>
      <c r="L1617" s="21" t="n">
        <v>0</v>
      </c>
      <c r="M1617" s="21" t="n">
        <v>0</v>
      </c>
      <c r="N1617" s="21" t="n">
        <v>0</v>
      </c>
      <c r="O1617" s="21" t="n">
        <v>0</v>
      </c>
      <c r="P1617" s="21" t="n">
        <v>0</v>
      </c>
      <c r="Q1617" s="21" t="n">
        <v>0</v>
      </c>
      <c r="R1617" s="21" t="n">
        <v>0</v>
      </c>
      <c r="S1617" s="21" t="n">
        <v>0</v>
      </c>
      <c r="T1617" s="21" t="n">
        <v>0</v>
      </c>
      <c r="U1617" s="21" t="n">
        <v>0</v>
      </c>
      <c r="V1617" s="21" t="n">
        <v>0</v>
      </c>
      <c r="W1617" s="21" t="n">
        <v>0</v>
      </c>
      <c r="X1617" s="21">
        <f>-$B$18</f>
        <v/>
      </c>
      <c r="Y1617" s="21">
        <f>-$B$19</f>
        <v/>
      </c>
      <c r="Z1617" s="21">
        <f>2*$B$18+$D$1584</f>
        <v/>
      </c>
      <c r="AA1617" s="21">
        <f>0</f>
        <v/>
      </c>
      <c r="AB1617" s="21">
        <f>-$B$18</f>
        <v/>
      </c>
      <c r="AC1617" s="21">
        <f>$B$19</f>
        <v/>
      </c>
      <c r="AD1617" s="21" t="n">
        <v>0</v>
      </c>
      <c r="AE1617" s="21" t="n">
        <v>0</v>
      </c>
      <c r="AF1617" s="21" t="n">
        <v>0</v>
      </c>
      <c r="AG1617" s="21" t="n">
        <v>0</v>
      </c>
      <c r="AH1617" s="21" t="n">
        <v>0</v>
      </c>
      <c r="AI1617" s="21" t="n">
        <v>0</v>
      </c>
      <c r="AJ1617" s="21" t="n">
        <v>0</v>
      </c>
      <c r="AK1617" s="21" t="n">
        <v>0</v>
      </c>
      <c r="AL1617" s="21" t="n">
        <v>0</v>
      </c>
      <c r="AM1617" s="21" t="n">
        <v>0</v>
      </c>
      <c r="AN1617" s="21" t="n">
        <v>0</v>
      </c>
      <c r="AO1617" s="21" t="n">
        <v>0</v>
      </c>
      <c r="AP1617" s="21" t="n">
        <v>0</v>
      </c>
      <c r="AQ1617" s="21" t="n">
        <v>0</v>
      </c>
      <c r="AR1617" s="21" t="n">
        <v>0</v>
      </c>
      <c r="AS1617" s="21" t="n">
        <v>0</v>
      </c>
      <c r="AT1617" s="19" t="n"/>
    </row>
    <row r="1618">
      <c r="D1618" s="21" t="n">
        <v>0</v>
      </c>
      <c r="E1618" s="21" t="n">
        <v>0</v>
      </c>
      <c r="F1618" s="21" t="n">
        <v>0</v>
      </c>
      <c r="G1618" s="21" t="n">
        <v>0</v>
      </c>
      <c r="H1618" s="21" t="n">
        <v>0</v>
      </c>
      <c r="I1618" s="21" t="n">
        <v>0</v>
      </c>
      <c r="J1618" s="21" t="n">
        <v>0</v>
      </c>
      <c r="K1618" s="21" t="n">
        <v>0</v>
      </c>
      <c r="L1618" s="21" t="n">
        <v>0</v>
      </c>
      <c r="M1618" s="21" t="n">
        <v>0</v>
      </c>
      <c r="N1618" s="21" t="n">
        <v>0</v>
      </c>
      <c r="O1618" s="21" t="n">
        <v>0</v>
      </c>
      <c r="P1618" s="21" t="n">
        <v>0</v>
      </c>
      <c r="Q1618" s="21" t="n">
        <v>0</v>
      </c>
      <c r="R1618" s="21" t="n">
        <v>0</v>
      </c>
      <c r="S1618" s="21" t="n">
        <v>0</v>
      </c>
      <c r="T1618" s="21" t="n">
        <v>0</v>
      </c>
      <c r="U1618" s="21" t="n">
        <v>0</v>
      </c>
      <c r="V1618" s="21" t="n">
        <v>0</v>
      </c>
      <c r="W1618" s="21" t="n">
        <v>0</v>
      </c>
      <c r="X1618" s="21">
        <f>$B$19</f>
        <v/>
      </c>
      <c r="Y1618" s="21">
        <f>$B$21</f>
        <v/>
      </c>
      <c r="Z1618" s="21">
        <f>0</f>
        <v/>
      </c>
      <c r="AA1618" s="21">
        <f>2*$B$20</f>
        <v/>
      </c>
      <c r="AB1618" s="21">
        <f>-$B$19</f>
        <v/>
      </c>
      <c r="AC1618" s="21">
        <f>$B$21</f>
        <v/>
      </c>
      <c r="AD1618" s="21" t="n">
        <v>0</v>
      </c>
      <c r="AE1618" s="21" t="n">
        <v>0</v>
      </c>
      <c r="AF1618" s="21" t="n">
        <v>0</v>
      </c>
      <c r="AG1618" s="21" t="n">
        <v>0</v>
      </c>
      <c r="AH1618" s="21" t="n">
        <v>0</v>
      </c>
      <c r="AI1618" s="21" t="n">
        <v>0</v>
      </c>
      <c r="AJ1618" s="21" t="n">
        <v>0</v>
      </c>
      <c r="AK1618" s="21" t="n">
        <v>0</v>
      </c>
      <c r="AL1618" s="21" t="n">
        <v>0</v>
      </c>
      <c r="AM1618" s="21" t="n">
        <v>0</v>
      </c>
      <c r="AN1618" s="21" t="n">
        <v>0</v>
      </c>
      <c r="AO1618" s="21" t="n">
        <v>0</v>
      </c>
      <c r="AP1618" s="21" t="n">
        <v>0</v>
      </c>
      <c r="AQ1618" s="21" t="n">
        <v>0</v>
      </c>
      <c r="AR1618" s="21" t="n">
        <v>0</v>
      </c>
      <c r="AS1618" s="21" t="n">
        <v>0</v>
      </c>
      <c r="AT1618" s="19" t="n"/>
    </row>
    <row r="1619">
      <c r="D1619" s="21" t="n">
        <v>0</v>
      </c>
      <c r="E1619" s="21" t="n">
        <v>0</v>
      </c>
      <c r="F1619" s="21" t="n">
        <v>0</v>
      </c>
      <c r="G1619" s="21" t="n">
        <v>0</v>
      </c>
      <c r="H1619" s="21" t="n">
        <v>0</v>
      </c>
      <c r="I1619" s="21" t="n">
        <v>0</v>
      </c>
      <c r="J1619" s="21" t="n">
        <v>0</v>
      </c>
      <c r="K1619" s="21" t="n">
        <v>0</v>
      </c>
      <c r="L1619" s="21" t="n">
        <v>0</v>
      </c>
      <c r="M1619" s="21" t="n">
        <v>0</v>
      </c>
      <c r="N1619" s="21" t="n">
        <v>0</v>
      </c>
      <c r="O1619" s="21" t="n">
        <v>0</v>
      </c>
      <c r="P1619" s="21" t="n">
        <v>0</v>
      </c>
      <c r="Q1619" s="21" t="n">
        <v>0</v>
      </c>
      <c r="R1619" s="21" t="n">
        <v>0</v>
      </c>
      <c r="S1619" s="21" t="n">
        <v>0</v>
      </c>
      <c r="T1619" s="21" t="n">
        <v>0</v>
      </c>
      <c r="U1619" s="21" t="n">
        <v>0</v>
      </c>
      <c r="V1619" s="21" t="n">
        <v>0</v>
      </c>
      <c r="W1619" s="21" t="n">
        <v>0</v>
      </c>
      <c r="X1619" s="21" t="n">
        <v>0</v>
      </c>
      <c r="Y1619" s="21" t="n">
        <v>0</v>
      </c>
      <c r="Z1619" s="21">
        <f>-$B$18</f>
        <v/>
      </c>
      <c r="AA1619" s="21">
        <f>-$B$19</f>
        <v/>
      </c>
      <c r="AB1619" s="21">
        <f>2*$B$18+$D$1585</f>
        <v/>
      </c>
      <c r="AC1619" s="21">
        <f>0</f>
        <v/>
      </c>
      <c r="AD1619" s="21">
        <f>-$B$18</f>
        <v/>
      </c>
      <c r="AE1619" s="21">
        <f>$B$19</f>
        <v/>
      </c>
      <c r="AF1619" s="21" t="n">
        <v>0</v>
      </c>
      <c r="AG1619" s="21" t="n">
        <v>0</v>
      </c>
      <c r="AH1619" s="21" t="n">
        <v>0</v>
      </c>
      <c r="AI1619" s="21" t="n">
        <v>0</v>
      </c>
      <c r="AJ1619" s="21" t="n">
        <v>0</v>
      </c>
      <c r="AK1619" s="21" t="n">
        <v>0</v>
      </c>
      <c r="AL1619" s="21" t="n">
        <v>0</v>
      </c>
      <c r="AM1619" s="21" t="n">
        <v>0</v>
      </c>
      <c r="AN1619" s="21" t="n">
        <v>0</v>
      </c>
      <c r="AO1619" s="21" t="n">
        <v>0</v>
      </c>
      <c r="AP1619" s="21" t="n">
        <v>0</v>
      </c>
      <c r="AQ1619" s="21" t="n">
        <v>0</v>
      </c>
      <c r="AR1619" s="21" t="n">
        <v>0</v>
      </c>
      <c r="AS1619" s="21" t="n">
        <v>0</v>
      </c>
      <c r="AT1619" s="19" t="n"/>
    </row>
    <row r="1620">
      <c r="D1620" s="21" t="n">
        <v>0</v>
      </c>
      <c r="E1620" s="21" t="n">
        <v>0</v>
      </c>
      <c r="F1620" s="21" t="n">
        <v>0</v>
      </c>
      <c r="G1620" s="21" t="n">
        <v>0</v>
      </c>
      <c r="H1620" s="21" t="n">
        <v>0</v>
      </c>
      <c r="I1620" s="21" t="n">
        <v>0</v>
      </c>
      <c r="J1620" s="21" t="n">
        <v>0</v>
      </c>
      <c r="K1620" s="21" t="n">
        <v>0</v>
      </c>
      <c r="L1620" s="21" t="n">
        <v>0</v>
      </c>
      <c r="M1620" s="21" t="n">
        <v>0</v>
      </c>
      <c r="N1620" s="21" t="n">
        <v>0</v>
      </c>
      <c r="O1620" s="21" t="n">
        <v>0</v>
      </c>
      <c r="P1620" s="21" t="n">
        <v>0</v>
      </c>
      <c r="Q1620" s="21" t="n">
        <v>0</v>
      </c>
      <c r="R1620" s="21" t="n">
        <v>0</v>
      </c>
      <c r="S1620" s="21" t="n">
        <v>0</v>
      </c>
      <c r="T1620" s="21" t="n">
        <v>0</v>
      </c>
      <c r="U1620" s="21" t="n">
        <v>0</v>
      </c>
      <c r="V1620" s="21" t="n">
        <v>0</v>
      </c>
      <c r="W1620" s="21" t="n">
        <v>0</v>
      </c>
      <c r="X1620" s="21" t="n">
        <v>0</v>
      </c>
      <c r="Y1620" s="21" t="n">
        <v>0</v>
      </c>
      <c r="Z1620" s="21">
        <f>$B$19</f>
        <v/>
      </c>
      <c r="AA1620" s="21">
        <f>$B$21</f>
        <v/>
      </c>
      <c r="AB1620" s="21">
        <f>0</f>
        <v/>
      </c>
      <c r="AC1620" s="21">
        <f>2*$B$20</f>
        <v/>
      </c>
      <c r="AD1620" s="21">
        <f>-$B$19</f>
        <v/>
      </c>
      <c r="AE1620" s="21">
        <f>$B$21</f>
        <v/>
      </c>
      <c r="AF1620" s="21" t="n">
        <v>0</v>
      </c>
      <c r="AG1620" s="21" t="n">
        <v>0</v>
      </c>
      <c r="AH1620" s="21" t="n">
        <v>0</v>
      </c>
      <c r="AI1620" s="21" t="n">
        <v>0</v>
      </c>
      <c r="AJ1620" s="21" t="n">
        <v>0</v>
      </c>
      <c r="AK1620" s="21" t="n">
        <v>0</v>
      </c>
      <c r="AL1620" s="21" t="n">
        <v>0</v>
      </c>
      <c r="AM1620" s="21" t="n">
        <v>0</v>
      </c>
      <c r="AN1620" s="21" t="n">
        <v>0</v>
      </c>
      <c r="AO1620" s="21" t="n">
        <v>0</v>
      </c>
      <c r="AP1620" s="21" t="n">
        <v>0</v>
      </c>
      <c r="AQ1620" s="21" t="n">
        <v>0</v>
      </c>
      <c r="AR1620" s="21" t="n">
        <v>0</v>
      </c>
      <c r="AS1620" s="21" t="n">
        <v>0</v>
      </c>
      <c r="AT1620" s="19" t="n"/>
    </row>
    <row r="1621">
      <c r="D1621" s="21" t="n">
        <v>0</v>
      </c>
      <c r="E1621" s="21" t="n">
        <v>0</v>
      </c>
      <c r="F1621" s="21" t="n">
        <v>0</v>
      </c>
      <c r="G1621" s="21" t="n">
        <v>0</v>
      </c>
      <c r="H1621" s="21" t="n">
        <v>0</v>
      </c>
      <c r="I1621" s="21" t="n">
        <v>0</v>
      </c>
      <c r="J1621" s="21" t="n">
        <v>0</v>
      </c>
      <c r="K1621" s="21" t="n">
        <v>0</v>
      </c>
      <c r="L1621" s="21" t="n">
        <v>0</v>
      </c>
      <c r="M1621" s="21" t="n">
        <v>0</v>
      </c>
      <c r="N1621" s="21" t="n">
        <v>0</v>
      </c>
      <c r="O1621" s="21" t="n">
        <v>0</v>
      </c>
      <c r="P1621" s="21" t="n">
        <v>0</v>
      </c>
      <c r="Q1621" s="21" t="n">
        <v>0</v>
      </c>
      <c r="R1621" s="21" t="n">
        <v>0</v>
      </c>
      <c r="S1621" s="21" t="n">
        <v>0</v>
      </c>
      <c r="T1621" s="21" t="n">
        <v>0</v>
      </c>
      <c r="U1621" s="21" t="n">
        <v>0</v>
      </c>
      <c r="V1621" s="21" t="n">
        <v>0</v>
      </c>
      <c r="W1621" s="21" t="n">
        <v>0</v>
      </c>
      <c r="X1621" s="21" t="n">
        <v>0</v>
      </c>
      <c r="Y1621" s="21" t="n">
        <v>0</v>
      </c>
      <c r="Z1621" s="21" t="n">
        <v>0</v>
      </c>
      <c r="AA1621" s="21" t="n">
        <v>0</v>
      </c>
      <c r="AB1621" s="21">
        <f>-$B$18</f>
        <v/>
      </c>
      <c r="AC1621" s="21">
        <f>-$B$19</f>
        <v/>
      </c>
      <c r="AD1621" s="21">
        <f>2*$B$18+$D$1586</f>
        <v/>
      </c>
      <c r="AE1621" s="21">
        <f>0</f>
        <v/>
      </c>
      <c r="AF1621" s="21">
        <f>-$B$18</f>
        <v/>
      </c>
      <c r="AG1621" s="21">
        <f>$B$19</f>
        <v/>
      </c>
      <c r="AH1621" s="21" t="n">
        <v>0</v>
      </c>
      <c r="AI1621" s="21" t="n">
        <v>0</v>
      </c>
      <c r="AJ1621" s="21" t="n">
        <v>0</v>
      </c>
      <c r="AK1621" s="21" t="n">
        <v>0</v>
      </c>
      <c r="AL1621" s="21" t="n">
        <v>0</v>
      </c>
      <c r="AM1621" s="21" t="n">
        <v>0</v>
      </c>
      <c r="AN1621" s="21" t="n">
        <v>0</v>
      </c>
      <c r="AO1621" s="21" t="n">
        <v>0</v>
      </c>
      <c r="AP1621" s="21" t="n">
        <v>0</v>
      </c>
      <c r="AQ1621" s="21" t="n">
        <v>0</v>
      </c>
      <c r="AR1621" s="21" t="n">
        <v>0</v>
      </c>
      <c r="AS1621" s="21" t="n">
        <v>0</v>
      </c>
      <c r="AT1621" s="19" t="n"/>
    </row>
    <row r="1622">
      <c r="D1622" s="21" t="n">
        <v>0</v>
      </c>
      <c r="E1622" s="21" t="n">
        <v>0</v>
      </c>
      <c r="F1622" s="21" t="n">
        <v>0</v>
      </c>
      <c r="G1622" s="21" t="n">
        <v>0</v>
      </c>
      <c r="H1622" s="21" t="n">
        <v>0</v>
      </c>
      <c r="I1622" s="21" t="n">
        <v>0</v>
      </c>
      <c r="J1622" s="21" t="n">
        <v>0</v>
      </c>
      <c r="K1622" s="21" t="n">
        <v>0</v>
      </c>
      <c r="L1622" s="21" t="n">
        <v>0</v>
      </c>
      <c r="M1622" s="21" t="n">
        <v>0</v>
      </c>
      <c r="N1622" s="21" t="n">
        <v>0</v>
      </c>
      <c r="O1622" s="21" t="n">
        <v>0</v>
      </c>
      <c r="P1622" s="21" t="n">
        <v>0</v>
      </c>
      <c r="Q1622" s="21" t="n">
        <v>0</v>
      </c>
      <c r="R1622" s="21" t="n">
        <v>0</v>
      </c>
      <c r="S1622" s="21" t="n">
        <v>0</v>
      </c>
      <c r="T1622" s="21" t="n">
        <v>0</v>
      </c>
      <c r="U1622" s="21" t="n">
        <v>0</v>
      </c>
      <c r="V1622" s="21" t="n">
        <v>0</v>
      </c>
      <c r="W1622" s="21" t="n">
        <v>0</v>
      </c>
      <c r="X1622" s="21" t="n">
        <v>0</v>
      </c>
      <c r="Y1622" s="21" t="n">
        <v>0</v>
      </c>
      <c r="Z1622" s="21" t="n">
        <v>0</v>
      </c>
      <c r="AA1622" s="21" t="n">
        <v>0</v>
      </c>
      <c r="AB1622" s="21">
        <f>$B$19</f>
        <v/>
      </c>
      <c r="AC1622" s="21">
        <f>$B$21</f>
        <v/>
      </c>
      <c r="AD1622" s="21">
        <f>0</f>
        <v/>
      </c>
      <c r="AE1622" s="21">
        <f>2*$B$20</f>
        <v/>
      </c>
      <c r="AF1622" s="21">
        <f>-$B$19</f>
        <v/>
      </c>
      <c r="AG1622" s="21">
        <f>$B$21</f>
        <v/>
      </c>
      <c r="AH1622" s="21" t="n">
        <v>0</v>
      </c>
      <c r="AI1622" s="21" t="n">
        <v>0</v>
      </c>
      <c r="AJ1622" s="21" t="n">
        <v>0</v>
      </c>
      <c r="AK1622" s="21" t="n">
        <v>0</v>
      </c>
      <c r="AL1622" s="21" t="n">
        <v>0</v>
      </c>
      <c r="AM1622" s="21" t="n">
        <v>0</v>
      </c>
      <c r="AN1622" s="21" t="n">
        <v>0</v>
      </c>
      <c r="AO1622" s="21" t="n">
        <v>0</v>
      </c>
      <c r="AP1622" s="21" t="n">
        <v>0</v>
      </c>
      <c r="AQ1622" s="21" t="n">
        <v>0</v>
      </c>
      <c r="AR1622" s="21" t="n">
        <v>0</v>
      </c>
      <c r="AS1622" s="21" t="n">
        <v>0</v>
      </c>
      <c r="AT1622" s="19" t="n"/>
    </row>
    <row r="1623">
      <c r="D1623" s="21" t="n">
        <v>0</v>
      </c>
      <c r="E1623" s="21" t="n">
        <v>0</v>
      </c>
      <c r="F1623" s="21" t="n">
        <v>0</v>
      </c>
      <c r="G1623" s="21" t="n">
        <v>0</v>
      </c>
      <c r="H1623" s="21" t="n">
        <v>0</v>
      </c>
      <c r="I1623" s="21" t="n">
        <v>0</v>
      </c>
      <c r="J1623" s="21" t="n">
        <v>0</v>
      </c>
      <c r="K1623" s="21" t="n">
        <v>0</v>
      </c>
      <c r="L1623" s="21" t="n">
        <v>0</v>
      </c>
      <c r="M1623" s="21" t="n">
        <v>0</v>
      </c>
      <c r="N1623" s="21" t="n">
        <v>0</v>
      </c>
      <c r="O1623" s="21" t="n">
        <v>0</v>
      </c>
      <c r="P1623" s="21" t="n">
        <v>0</v>
      </c>
      <c r="Q1623" s="21" t="n">
        <v>0</v>
      </c>
      <c r="R1623" s="21" t="n">
        <v>0</v>
      </c>
      <c r="S1623" s="21" t="n">
        <v>0</v>
      </c>
      <c r="T1623" s="21" t="n">
        <v>0</v>
      </c>
      <c r="U1623" s="21" t="n">
        <v>0</v>
      </c>
      <c r="V1623" s="21" t="n">
        <v>0</v>
      </c>
      <c r="W1623" s="21" t="n">
        <v>0</v>
      </c>
      <c r="X1623" s="21" t="n">
        <v>0</v>
      </c>
      <c r="Y1623" s="21" t="n">
        <v>0</v>
      </c>
      <c r="Z1623" s="21" t="n">
        <v>0</v>
      </c>
      <c r="AA1623" s="21" t="n">
        <v>0</v>
      </c>
      <c r="AB1623" s="21" t="n">
        <v>0</v>
      </c>
      <c r="AC1623" s="21" t="n">
        <v>0</v>
      </c>
      <c r="AD1623" s="21">
        <f>-$B$18</f>
        <v/>
      </c>
      <c r="AE1623" s="21">
        <f>-$B$19</f>
        <v/>
      </c>
      <c r="AF1623" s="21">
        <f>2*$B$18+$D$1587</f>
        <v/>
      </c>
      <c r="AG1623" s="21">
        <f>0</f>
        <v/>
      </c>
      <c r="AH1623" s="21">
        <f>-$B$18</f>
        <v/>
      </c>
      <c r="AI1623" s="21">
        <f>$B$19</f>
        <v/>
      </c>
      <c r="AJ1623" s="21" t="n">
        <v>0</v>
      </c>
      <c r="AK1623" s="21" t="n">
        <v>0</v>
      </c>
      <c r="AL1623" s="21" t="n">
        <v>0</v>
      </c>
      <c r="AM1623" s="21" t="n">
        <v>0</v>
      </c>
      <c r="AN1623" s="21" t="n">
        <v>0</v>
      </c>
      <c r="AO1623" s="21" t="n">
        <v>0</v>
      </c>
      <c r="AP1623" s="21" t="n">
        <v>0</v>
      </c>
      <c r="AQ1623" s="21" t="n">
        <v>0</v>
      </c>
      <c r="AR1623" s="21" t="n">
        <v>0</v>
      </c>
      <c r="AS1623" s="21" t="n">
        <v>0</v>
      </c>
      <c r="AT1623" s="19" t="n"/>
    </row>
    <row r="1624">
      <c r="D1624" s="21" t="n">
        <v>0</v>
      </c>
      <c r="E1624" s="21" t="n">
        <v>0</v>
      </c>
      <c r="F1624" s="21" t="n">
        <v>0</v>
      </c>
      <c r="G1624" s="21" t="n">
        <v>0</v>
      </c>
      <c r="H1624" s="21" t="n">
        <v>0</v>
      </c>
      <c r="I1624" s="21" t="n">
        <v>0</v>
      </c>
      <c r="J1624" s="21" t="n">
        <v>0</v>
      </c>
      <c r="K1624" s="21" t="n">
        <v>0</v>
      </c>
      <c r="L1624" s="21" t="n">
        <v>0</v>
      </c>
      <c r="M1624" s="21" t="n">
        <v>0</v>
      </c>
      <c r="N1624" s="21" t="n">
        <v>0</v>
      </c>
      <c r="O1624" s="21" t="n">
        <v>0</v>
      </c>
      <c r="P1624" s="21" t="n">
        <v>0</v>
      </c>
      <c r="Q1624" s="21" t="n">
        <v>0</v>
      </c>
      <c r="R1624" s="21" t="n">
        <v>0</v>
      </c>
      <c r="S1624" s="21" t="n">
        <v>0</v>
      </c>
      <c r="T1624" s="21" t="n">
        <v>0</v>
      </c>
      <c r="U1624" s="21" t="n">
        <v>0</v>
      </c>
      <c r="V1624" s="21" t="n">
        <v>0</v>
      </c>
      <c r="W1624" s="21" t="n">
        <v>0</v>
      </c>
      <c r="X1624" s="21" t="n">
        <v>0</v>
      </c>
      <c r="Y1624" s="21" t="n">
        <v>0</v>
      </c>
      <c r="Z1624" s="21" t="n">
        <v>0</v>
      </c>
      <c r="AA1624" s="21" t="n">
        <v>0</v>
      </c>
      <c r="AB1624" s="21" t="n">
        <v>0</v>
      </c>
      <c r="AC1624" s="21" t="n">
        <v>0</v>
      </c>
      <c r="AD1624" s="21">
        <f>$B$19</f>
        <v/>
      </c>
      <c r="AE1624" s="21">
        <f>$B$21</f>
        <v/>
      </c>
      <c r="AF1624" s="21">
        <f>0</f>
        <v/>
      </c>
      <c r="AG1624" s="21">
        <f>2*$B$20</f>
        <v/>
      </c>
      <c r="AH1624" s="21">
        <f>-$B$19</f>
        <v/>
      </c>
      <c r="AI1624" s="21">
        <f>$B$21</f>
        <v/>
      </c>
      <c r="AJ1624" s="21" t="n">
        <v>0</v>
      </c>
      <c r="AK1624" s="21" t="n">
        <v>0</v>
      </c>
      <c r="AL1624" s="21" t="n">
        <v>0</v>
      </c>
      <c r="AM1624" s="21" t="n">
        <v>0</v>
      </c>
      <c r="AN1624" s="21" t="n">
        <v>0</v>
      </c>
      <c r="AO1624" s="21" t="n">
        <v>0</v>
      </c>
      <c r="AP1624" s="21" t="n">
        <v>0</v>
      </c>
      <c r="AQ1624" s="21" t="n">
        <v>0</v>
      </c>
      <c r="AR1624" s="21" t="n">
        <v>0</v>
      </c>
      <c r="AS1624" s="21" t="n">
        <v>0</v>
      </c>
      <c r="AT1624" s="19" t="n"/>
    </row>
    <row r="1625">
      <c r="D1625" s="21" t="n">
        <v>0</v>
      </c>
      <c r="E1625" s="21" t="n">
        <v>0</v>
      </c>
      <c r="F1625" s="21" t="n">
        <v>0</v>
      </c>
      <c r="G1625" s="21" t="n">
        <v>0</v>
      </c>
      <c r="H1625" s="21" t="n">
        <v>0</v>
      </c>
      <c r="I1625" s="21" t="n">
        <v>0</v>
      </c>
      <c r="J1625" s="21" t="n">
        <v>0</v>
      </c>
      <c r="K1625" s="21" t="n">
        <v>0</v>
      </c>
      <c r="L1625" s="21" t="n">
        <v>0</v>
      </c>
      <c r="M1625" s="21" t="n">
        <v>0</v>
      </c>
      <c r="N1625" s="21" t="n">
        <v>0</v>
      </c>
      <c r="O1625" s="21" t="n">
        <v>0</v>
      </c>
      <c r="P1625" s="21" t="n">
        <v>0</v>
      </c>
      <c r="Q1625" s="21" t="n">
        <v>0</v>
      </c>
      <c r="R1625" s="21" t="n">
        <v>0</v>
      </c>
      <c r="S1625" s="21" t="n">
        <v>0</v>
      </c>
      <c r="T1625" s="21" t="n">
        <v>0</v>
      </c>
      <c r="U1625" s="21" t="n">
        <v>0</v>
      </c>
      <c r="V1625" s="21" t="n">
        <v>0</v>
      </c>
      <c r="W1625" s="21" t="n">
        <v>0</v>
      </c>
      <c r="X1625" s="21" t="n">
        <v>0</v>
      </c>
      <c r="Y1625" s="21" t="n">
        <v>0</v>
      </c>
      <c r="Z1625" s="21" t="n">
        <v>0</v>
      </c>
      <c r="AA1625" s="21" t="n">
        <v>0</v>
      </c>
      <c r="AB1625" s="21" t="n">
        <v>0</v>
      </c>
      <c r="AC1625" s="21" t="n">
        <v>0</v>
      </c>
      <c r="AD1625" s="21" t="n">
        <v>0</v>
      </c>
      <c r="AE1625" s="21" t="n">
        <v>0</v>
      </c>
      <c r="AF1625" s="21">
        <f>-$B$18</f>
        <v/>
      </c>
      <c r="AG1625" s="21">
        <f>-$B$19</f>
        <v/>
      </c>
      <c r="AH1625" s="21">
        <f>2*$B$18+$D$1588</f>
        <v/>
      </c>
      <c r="AI1625" s="21">
        <f>0</f>
        <v/>
      </c>
      <c r="AJ1625" s="21">
        <f>-$B$18</f>
        <v/>
      </c>
      <c r="AK1625" s="21">
        <f>$B$19</f>
        <v/>
      </c>
      <c r="AL1625" s="21" t="n">
        <v>0</v>
      </c>
      <c r="AM1625" s="21" t="n">
        <v>0</v>
      </c>
      <c r="AN1625" s="21" t="n">
        <v>0</v>
      </c>
      <c r="AO1625" s="21" t="n">
        <v>0</v>
      </c>
      <c r="AP1625" s="21" t="n">
        <v>0</v>
      </c>
      <c r="AQ1625" s="21" t="n">
        <v>0</v>
      </c>
      <c r="AR1625" s="21" t="n">
        <v>0</v>
      </c>
      <c r="AS1625" s="21" t="n">
        <v>0</v>
      </c>
      <c r="AT1625" s="19" t="n"/>
    </row>
    <row r="1626">
      <c r="D1626" s="21" t="n">
        <v>0</v>
      </c>
      <c r="E1626" s="21" t="n">
        <v>0</v>
      </c>
      <c r="F1626" s="21" t="n">
        <v>0</v>
      </c>
      <c r="G1626" s="21" t="n">
        <v>0</v>
      </c>
      <c r="H1626" s="21" t="n">
        <v>0</v>
      </c>
      <c r="I1626" s="21" t="n">
        <v>0</v>
      </c>
      <c r="J1626" s="21" t="n">
        <v>0</v>
      </c>
      <c r="K1626" s="21" t="n">
        <v>0</v>
      </c>
      <c r="L1626" s="21" t="n">
        <v>0</v>
      </c>
      <c r="M1626" s="21" t="n">
        <v>0</v>
      </c>
      <c r="N1626" s="21" t="n">
        <v>0</v>
      </c>
      <c r="O1626" s="21" t="n">
        <v>0</v>
      </c>
      <c r="P1626" s="21" t="n">
        <v>0</v>
      </c>
      <c r="Q1626" s="21" t="n">
        <v>0</v>
      </c>
      <c r="R1626" s="21" t="n">
        <v>0</v>
      </c>
      <c r="S1626" s="21" t="n">
        <v>0</v>
      </c>
      <c r="T1626" s="21" t="n">
        <v>0</v>
      </c>
      <c r="U1626" s="21" t="n">
        <v>0</v>
      </c>
      <c r="V1626" s="21" t="n">
        <v>0</v>
      </c>
      <c r="W1626" s="21" t="n">
        <v>0</v>
      </c>
      <c r="X1626" s="21" t="n">
        <v>0</v>
      </c>
      <c r="Y1626" s="21" t="n">
        <v>0</v>
      </c>
      <c r="Z1626" s="21" t="n">
        <v>0</v>
      </c>
      <c r="AA1626" s="21" t="n">
        <v>0</v>
      </c>
      <c r="AB1626" s="21" t="n">
        <v>0</v>
      </c>
      <c r="AC1626" s="21" t="n">
        <v>0</v>
      </c>
      <c r="AD1626" s="21" t="n">
        <v>0</v>
      </c>
      <c r="AE1626" s="21" t="n">
        <v>0</v>
      </c>
      <c r="AF1626" s="21">
        <f>$B$19</f>
        <v/>
      </c>
      <c r="AG1626" s="21">
        <f>$B$21</f>
        <v/>
      </c>
      <c r="AH1626" s="21">
        <f>0</f>
        <v/>
      </c>
      <c r="AI1626" s="21">
        <f>2*$B$20</f>
        <v/>
      </c>
      <c r="AJ1626" s="21">
        <f>-$B$19</f>
        <v/>
      </c>
      <c r="AK1626" s="21">
        <f>$B$21</f>
        <v/>
      </c>
      <c r="AL1626" s="21" t="n">
        <v>0</v>
      </c>
      <c r="AM1626" s="21" t="n">
        <v>0</v>
      </c>
      <c r="AN1626" s="21" t="n">
        <v>0</v>
      </c>
      <c r="AO1626" s="21" t="n">
        <v>0</v>
      </c>
      <c r="AP1626" s="21" t="n">
        <v>0</v>
      </c>
      <c r="AQ1626" s="21" t="n">
        <v>0</v>
      </c>
      <c r="AR1626" s="21" t="n">
        <v>0</v>
      </c>
      <c r="AS1626" s="21" t="n">
        <v>0</v>
      </c>
      <c r="AT1626" s="19" t="n"/>
    </row>
    <row r="1627">
      <c r="D1627" s="21" t="n">
        <v>0</v>
      </c>
      <c r="E1627" s="21" t="n">
        <v>0</v>
      </c>
      <c r="F1627" s="21" t="n">
        <v>0</v>
      </c>
      <c r="G1627" s="21" t="n">
        <v>0</v>
      </c>
      <c r="H1627" s="21" t="n">
        <v>0</v>
      </c>
      <c r="I1627" s="21" t="n">
        <v>0</v>
      </c>
      <c r="J1627" s="21" t="n">
        <v>0</v>
      </c>
      <c r="K1627" s="21" t="n">
        <v>0</v>
      </c>
      <c r="L1627" s="21" t="n">
        <v>0</v>
      </c>
      <c r="M1627" s="21" t="n">
        <v>0</v>
      </c>
      <c r="N1627" s="21" t="n">
        <v>0</v>
      </c>
      <c r="O1627" s="21" t="n">
        <v>0</v>
      </c>
      <c r="P1627" s="21" t="n">
        <v>0</v>
      </c>
      <c r="Q1627" s="21" t="n">
        <v>0</v>
      </c>
      <c r="R1627" s="21" t="n">
        <v>0</v>
      </c>
      <c r="S1627" s="21" t="n">
        <v>0</v>
      </c>
      <c r="T1627" s="21" t="n">
        <v>0</v>
      </c>
      <c r="U1627" s="21" t="n">
        <v>0</v>
      </c>
      <c r="V1627" s="21" t="n">
        <v>0</v>
      </c>
      <c r="W1627" s="21" t="n">
        <v>0</v>
      </c>
      <c r="X1627" s="21" t="n">
        <v>0</v>
      </c>
      <c r="Y1627" s="21" t="n">
        <v>0</v>
      </c>
      <c r="Z1627" s="21" t="n">
        <v>0</v>
      </c>
      <c r="AA1627" s="21" t="n">
        <v>0</v>
      </c>
      <c r="AB1627" s="21" t="n">
        <v>0</v>
      </c>
      <c r="AC1627" s="21" t="n">
        <v>0</v>
      </c>
      <c r="AD1627" s="21" t="n">
        <v>0</v>
      </c>
      <c r="AE1627" s="21" t="n">
        <v>0</v>
      </c>
      <c r="AF1627" s="21" t="n">
        <v>0</v>
      </c>
      <c r="AG1627" s="21" t="n">
        <v>0</v>
      </c>
      <c r="AH1627" s="21">
        <f>-$B$18</f>
        <v/>
      </c>
      <c r="AI1627" s="21">
        <f>-$B$19</f>
        <v/>
      </c>
      <c r="AJ1627" s="21">
        <f>2*$B$18+$D$1589</f>
        <v/>
      </c>
      <c r="AK1627" s="21">
        <f>0</f>
        <v/>
      </c>
      <c r="AL1627" s="21">
        <f>-$B$18</f>
        <v/>
      </c>
      <c r="AM1627" s="21">
        <f>$B$19</f>
        <v/>
      </c>
      <c r="AN1627" s="21" t="n">
        <v>0</v>
      </c>
      <c r="AO1627" s="21" t="n">
        <v>0</v>
      </c>
      <c r="AP1627" s="21" t="n">
        <v>0</v>
      </c>
      <c r="AQ1627" s="21" t="n">
        <v>0</v>
      </c>
      <c r="AR1627" s="21" t="n">
        <v>0</v>
      </c>
      <c r="AS1627" s="21" t="n">
        <v>0</v>
      </c>
      <c r="AT1627" s="19" t="n"/>
    </row>
    <row r="1628">
      <c r="D1628" s="21" t="n">
        <v>0</v>
      </c>
      <c r="E1628" s="21" t="n">
        <v>0</v>
      </c>
      <c r="F1628" s="21" t="n">
        <v>0</v>
      </c>
      <c r="G1628" s="21" t="n">
        <v>0</v>
      </c>
      <c r="H1628" s="21" t="n">
        <v>0</v>
      </c>
      <c r="I1628" s="21" t="n">
        <v>0</v>
      </c>
      <c r="J1628" s="21" t="n">
        <v>0</v>
      </c>
      <c r="K1628" s="21" t="n">
        <v>0</v>
      </c>
      <c r="L1628" s="21" t="n">
        <v>0</v>
      </c>
      <c r="M1628" s="21" t="n">
        <v>0</v>
      </c>
      <c r="N1628" s="21" t="n">
        <v>0</v>
      </c>
      <c r="O1628" s="21" t="n">
        <v>0</v>
      </c>
      <c r="P1628" s="21" t="n">
        <v>0</v>
      </c>
      <c r="Q1628" s="21" t="n">
        <v>0</v>
      </c>
      <c r="R1628" s="21" t="n">
        <v>0</v>
      </c>
      <c r="S1628" s="21" t="n">
        <v>0</v>
      </c>
      <c r="T1628" s="21" t="n">
        <v>0</v>
      </c>
      <c r="U1628" s="21" t="n">
        <v>0</v>
      </c>
      <c r="V1628" s="21" t="n">
        <v>0</v>
      </c>
      <c r="W1628" s="21" t="n">
        <v>0</v>
      </c>
      <c r="X1628" s="21" t="n">
        <v>0</v>
      </c>
      <c r="Y1628" s="21" t="n">
        <v>0</v>
      </c>
      <c r="Z1628" s="21" t="n">
        <v>0</v>
      </c>
      <c r="AA1628" s="21" t="n">
        <v>0</v>
      </c>
      <c r="AB1628" s="21" t="n">
        <v>0</v>
      </c>
      <c r="AC1628" s="21" t="n">
        <v>0</v>
      </c>
      <c r="AD1628" s="21" t="n">
        <v>0</v>
      </c>
      <c r="AE1628" s="21" t="n">
        <v>0</v>
      </c>
      <c r="AF1628" s="21" t="n">
        <v>0</v>
      </c>
      <c r="AG1628" s="21" t="n">
        <v>0</v>
      </c>
      <c r="AH1628" s="21">
        <f>$B$19</f>
        <v/>
      </c>
      <c r="AI1628" s="21">
        <f>$B$21</f>
        <v/>
      </c>
      <c r="AJ1628" s="21">
        <f>0</f>
        <v/>
      </c>
      <c r="AK1628" s="21">
        <f>2*$B$20</f>
        <v/>
      </c>
      <c r="AL1628" s="21">
        <f>-$B$19</f>
        <v/>
      </c>
      <c r="AM1628" s="21">
        <f>$B$21</f>
        <v/>
      </c>
      <c r="AN1628" s="21" t="n">
        <v>0</v>
      </c>
      <c r="AO1628" s="21" t="n">
        <v>0</v>
      </c>
      <c r="AP1628" s="21" t="n">
        <v>0</v>
      </c>
      <c r="AQ1628" s="21" t="n">
        <v>0</v>
      </c>
      <c r="AR1628" s="21" t="n">
        <v>0</v>
      </c>
      <c r="AS1628" s="21" t="n">
        <v>0</v>
      </c>
      <c r="AT1628" s="19" t="n"/>
    </row>
    <row r="1629">
      <c r="D1629" s="21" t="n">
        <v>0</v>
      </c>
      <c r="E1629" s="21" t="n">
        <v>0</v>
      </c>
      <c r="F1629" s="21" t="n">
        <v>0</v>
      </c>
      <c r="G1629" s="21" t="n">
        <v>0</v>
      </c>
      <c r="H1629" s="21" t="n">
        <v>0</v>
      </c>
      <c r="I1629" s="21" t="n">
        <v>0</v>
      </c>
      <c r="J1629" s="21" t="n">
        <v>0</v>
      </c>
      <c r="K1629" s="21" t="n">
        <v>0</v>
      </c>
      <c r="L1629" s="21" t="n">
        <v>0</v>
      </c>
      <c r="M1629" s="21" t="n">
        <v>0</v>
      </c>
      <c r="N1629" s="21" t="n">
        <v>0</v>
      </c>
      <c r="O1629" s="21" t="n">
        <v>0</v>
      </c>
      <c r="P1629" s="21" t="n">
        <v>0</v>
      </c>
      <c r="Q1629" s="21" t="n">
        <v>0</v>
      </c>
      <c r="R1629" s="21" t="n">
        <v>0</v>
      </c>
      <c r="S1629" s="21" t="n">
        <v>0</v>
      </c>
      <c r="T1629" s="21" t="n">
        <v>0</v>
      </c>
      <c r="U1629" s="21" t="n">
        <v>0</v>
      </c>
      <c r="V1629" s="21" t="n">
        <v>0</v>
      </c>
      <c r="W1629" s="21" t="n">
        <v>0</v>
      </c>
      <c r="X1629" s="21" t="n">
        <v>0</v>
      </c>
      <c r="Y1629" s="21" t="n">
        <v>0</v>
      </c>
      <c r="Z1629" s="21" t="n">
        <v>0</v>
      </c>
      <c r="AA1629" s="21" t="n">
        <v>0</v>
      </c>
      <c r="AB1629" s="21" t="n">
        <v>0</v>
      </c>
      <c r="AC1629" s="21" t="n">
        <v>0</v>
      </c>
      <c r="AD1629" s="21" t="n">
        <v>0</v>
      </c>
      <c r="AE1629" s="21" t="n">
        <v>0</v>
      </c>
      <c r="AF1629" s="21" t="n">
        <v>0</v>
      </c>
      <c r="AG1629" s="21" t="n">
        <v>0</v>
      </c>
      <c r="AH1629" s="21" t="n">
        <v>0</v>
      </c>
      <c r="AI1629" s="21" t="n">
        <v>0</v>
      </c>
      <c r="AJ1629" s="21">
        <f>-$B$18</f>
        <v/>
      </c>
      <c r="AK1629" s="21">
        <f>-$B$19</f>
        <v/>
      </c>
      <c r="AL1629" s="21">
        <f>2*$B$18+$D$1590</f>
        <v/>
      </c>
      <c r="AM1629" s="21">
        <f>0</f>
        <v/>
      </c>
      <c r="AN1629" s="21">
        <f>-$B$18</f>
        <v/>
      </c>
      <c r="AO1629" s="21">
        <f>$B$19</f>
        <v/>
      </c>
      <c r="AP1629" s="21" t="n">
        <v>0</v>
      </c>
      <c r="AQ1629" s="21" t="n">
        <v>0</v>
      </c>
      <c r="AR1629" s="21" t="n">
        <v>0</v>
      </c>
      <c r="AS1629" s="21" t="n">
        <v>0</v>
      </c>
      <c r="AT1629" s="19" t="n"/>
    </row>
    <row r="1630">
      <c r="D1630" s="21" t="n">
        <v>0</v>
      </c>
      <c r="E1630" s="21" t="n">
        <v>0</v>
      </c>
      <c r="F1630" s="21" t="n">
        <v>0</v>
      </c>
      <c r="G1630" s="21" t="n">
        <v>0</v>
      </c>
      <c r="H1630" s="21" t="n">
        <v>0</v>
      </c>
      <c r="I1630" s="21" t="n">
        <v>0</v>
      </c>
      <c r="J1630" s="21" t="n">
        <v>0</v>
      </c>
      <c r="K1630" s="21" t="n">
        <v>0</v>
      </c>
      <c r="L1630" s="21" t="n">
        <v>0</v>
      </c>
      <c r="M1630" s="21" t="n">
        <v>0</v>
      </c>
      <c r="N1630" s="21" t="n">
        <v>0</v>
      </c>
      <c r="O1630" s="21" t="n">
        <v>0</v>
      </c>
      <c r="P1630" s="21" t="n">
        <v>0</v>
      </c>
      <c r="Q1630" s="21" t="n">
        <v>0</v>
      </c>
      <c r="R1630" s="21" t="n">
        <v>0</v>
      </c>
      <c r="S1630" s="21" t="n">
        <v>0</v>
      </c>
      <c r="T1630" s="21" t="n">
        <v>0</v>
      </c>
      <c r="U1630" s="21" t="n">
        <v>0</v>
      </c>
      <c r="V1630" s="21" t="n">
        <v>0</v>
      </c>
      <c r="W1630" s="21" t="n">
        <v>0</v>
      </c>
      <c r="X1630" s="21" t="n">
        <v>0</v>
      </c>
      <c r="Y1630" s="21" t="n">
        <v>0</v>
      </c>
      <c r="Z1630" s="21" t="n">
        <v>0</v>
      </c>
      <c r="AA1630" s="21" t="n">
        <v>0</v>
      </c>
      <c r="AB1630" s="21" t="n">
        <v>0</v>
      </c>
      <c r="AC1630" s="21" t="n">
        <v>0</v>
      </c>
      <c r="AD1630" s="21" t="n">
        <v>0</v>
      </c>
      <c r="AE1630" s="21" t="n">
        <v>0</v>
      </c>
      <c r="AF1630" s="21" t="n">
        <v>0</v>
      </c>
      <c r="AG1630" s="21" t="n">
        <v>0</v>
      </c>
      <c r="AH1630" s="21" t="n">
        <v>0</v>
      </c>
      <c r="AI1630" s="21" t="n">
        <v>0</v>
      </c>
      <c r="AJ1630" s="21">
        <f>$B$19</f>
        <v/>
      </c>
      <c r="AK1630" s="21">
        <f>$B$21</f>
        <v/>
      </c>
      <c r="AL1630" s="21">
        <f>0</f>
        <v/>
      </c>
      <c r="AM1630" s="21">
        <f>2*$B$20</f>
        <v/>
      </c>
      <c r="AN1630" s="21">
        <f>-$B$19</f>
        <v/>
      </c>
      <c r="AO1630" s="21">
        <f>$B$21</f>
        <v/>
      </c>
      <c r="AP1630" s="21" t="n">
        <v>0</v>
      </c>
      <c r="AQ1630" s="21" t="n">
        <v>0</v>
      </c>
      <c r="AR1630" s="21" t="n">
        <v>0</v>
      </c>
      <c r="AS1630" s="21" t="n">
        <v>0</v>
      </c>
      <c r="AT1630" s="19" t="n"/>
    </row>
    <row r="1631">
      <c r="D1631" s="21" t="n">
        <v>0</v>
      </c>
      <c r="E1631" s="21" t="n">
        <v>0</v>
      </c>
      <c r="F1631" s="21" t="n">
        <v>0</v>
      </c>
      <c r="G1631" s="21" t="n">
        <v>0</v>
      </c>
      <c r="H1631" s="21" t="n">
        <v>0</v>
      </c>
      <c r="I1631" s="21" t="n">
        <v>0</v>
      </c>
      <c r="J1631" s="21" t="n">
        <v>0</v>
      </c>
      <c r="K1631" s="21" t="n">
        <v>0</v>
      </c>
      <c r="L1631" s="21" t="n">
        <v>0</v>
      </c>
      <c r="M1631" s="21" t="n">
        <v>0</v>
      </c>
      <c r="N1631" s="21" t="n">
        <v>0</v>
      </c>
      <c r="O1631" s="21" t="n">
        <v>0</v>
      </c>
      <c r="P1631" s="21" t="n">
        <v>0</v>
      </c>
      <c r="Q1631" s="21" t="n">
        <v>0</v>
      </c>
      <c r="R1631" s="21" t="n">
        <v>0</v>
      </c>
      <c r="S1631" s="21" t="n">
        <v>0</v>
      </c>
      <c r="T1631" s="21" t="n">
        <v>0</v>
      </c>
      <c r="U1631" s="21" t="n">
        <v>0</v>
      </c>
      <c r="V1631" s="21" t="n">
        <v>0</v>
      </c>
      <c r="W1631" s="21" t="n">
        <v>0</v>
      </c>
      <c r="X1631" s="21" t="n">
        <v>0</v>
      </c>
      <c r="Y1631" s="21" t="n">
        <v>0</v>
      </c>
      <c r="Z1631" s="21" t="n">
        <v>0</v>
      </c>
      <c r="AA1631" s="21" t="n">
        <v>0</v>
      </c>
      <c r="AB1631" s="21" t="n">
        <v>0</v>
      </c>
      <c r="AC1631" s="21" t="n">
        <v>0</v>
      </c>
      <c r="AD1631" s="21" t="n">
        <v>0</v>
      </c>
      <c r="AE1631" s="21" t="n">
        <v>0</v>
      </c>
      <c r="AF1631" s="21" t="n">
        <v>0</v>
      </c>
      <c r="AG1631" s="21" t="n">
        <v>0</v>
      </c>
      <c r="AH1631" s="21" t="n">
        <v>0</v>
      </c>
      <c r="AI1631" s="21" t="n">
        <v>0</v>
      </c>
      <c r="AJ1631" s="21" t="n">
        <v>0</v>
      </c>
      <c r="AK1631" s="21" t="n">
        <v>0</v>
      </c>
      <c r="AL1631" s="21">
        <f>-$B$18</f>
        <v/>
      </c>
      <c r="AM1631" s="21">
        <f>-$B$19</f>
        <v/>
      </c>
      <c r="AN1631" s="21">
        <f>2*$B$18+$D$1591</f>
        <v/>
      </c>
      <c r="AO1631" s="21">
        <f>0</f>
        <v/>
      </c>
      <c r="AP1631" s="21">
        <f>-$B$18</f>
        <v/>
      </c>
      <c r="AQ1631" s="21">
        <f>$B$19</f>
        <v/>
      </c>
      <c r="AR1631" s="21" t="n">
        <v>0</v>
      </c>
      <c r="AS1631" s="21" t="n">
        <v>0</v>
      </c>
      <c r="AT1631" s="19" t="n"/>
    </row>
    <row r="1632">
      <c r="D1632" s="21" t="n">
        <v>0</v>
      </c>
      <c r="E1632" s="21" t="n">
        <v>0</v>
      </c>
      <c r="F1632" s="21" t="n">
        <v>0</v>
      </c>
      <c r="G1632" s="21" t="n">
        <v>0</v>
      </c>
      <c r="H1632" s="21" t="n">
        <v>0</v>
      </c>
      <c r="I1632" s="21" t="n">
        <v>0</v>
      </c>
      <c r="J1632" s="21" t="n">
        <v>0</v>
      </c>
      <c r="K1632" s="21" t="n">
        <v>0</v>
      </c>
      <c r="L1632" s="21" t="n">
        <v>0</v>
      </c>
      <c r="M1632" s="21" t="n">
        <v>0</v>
      </c>
      <c r="N1632" s="21" t="n">
        <v>0</v>
      </c>
      <c r="O1632" s="21" t="n">
        <v>0</v>
      </c>
      <c r="P1632" s="21" t="n">
        <v>0</v>
      </c>
      <c r="Q1632" s="21" t="n">
        <v>0</v>
      </c>
      <c r="R1632" s="21" t="n">
        <v>0</v>
      </c>
      <c r="S1632" s="21" t="n">
        <v>0</v>
      </c>
      <c r="T1632" s="21" t="n">
        <v>0</v>
      </c>
      <c r="U1632" s="21" t="n">
        <v>0</v>
      </c>
      <c r="V1632" s="21" t="n">
        <v>0</v>
      </c>
      <c r="W1632" s="21" t="n">
        <v>0</v>
      </c>
      <c r="X1632" s="21" t="n">
        <v>0</v>
      </c>
      <c r="Y1632" s="21" t="n">
        <v>0</v>
      </c>
      <c r="Z1632" s="21" t="n">
        <v>0</v>
      </c>
      <c r="AA1632" s="21" t="n">
        <v>0</v>
      </c>
      <c r="AB1632" s="21" t="n">
        <v>0</v>
      </c>
      <c r="AC1632" s="21" t="n">
        <v>0</v>
      </c>
      <c r="AD1632" s="21" t="n">
        <v>0</v>
      </c>
      <c r="AE1632" s="21" t="n">
        <v>0</v>
      </c>
      <c r="AF1632" s="21" t="n">
        <v>0</v>
      </c>
      <c r="AG1632" s="21" t="n">
        <v>0</v>
      </c>
      <c r="AH1632" s="21" t="n">
        <v>0</v>
      </c>
      <c r="AI1632" s="21" t="n">
        <v>0</v>
      </c>
      <c r="AJ1632" s="21" t="n">
        <v>0</v>
      </c>
      <c r="AK1632" s="21" t="n">
        <v>0</v>
      </c>
      <c r="AL1632" s="21">
        <f>$B$19</f>
        <v/>
      </c>
      <c r="AM1632" s="21">
        <f>$B$21</f>
        <v/>
      </c>
      <c r="AN1632" s="21">
        <f>0</f>
        <v/>
      </c>
      <c r="AO1632" s="21">
        <f>2*$B$20</f>
        <v/>
      </c>
      <c r="AP1632" s="21">
        <f>-$B$19</f>
        <v/>
      </c>
      <c r="AQ1632" s="21">
        <f>$B$21</f>
        <v/>
      </c>
      <c r="AR1632" s="21" t="n">
        <v>0</v>
      </c>
      <c r="AS1632" s="21" t="n">
        <v>0</v>
      </c>
      <c r="AT1632" s="19" t="n"/>
    </row>
    <row r="1633">
      <c r="D1633" s="21" t="n">
        <v>0</v>
      </c>
      <c r="E1633" s="21" t="n">
        <v>0</v>
      </c>
      <c r="F1633" s="21" t="n">
        <v>0</v>
      </c>
      <c r="G1633" s="21" t="n">
        <v>0</v>
      </c>
      <c r="H1633" s="21" t="n">
        <v>0</v>
      </c>
      <c r="I1633" s="21" t="n">
        <v>0</v>
      </c>
      <c r="J1633" s="21" t="n">
        <v>0</v>
      </c>
      <c r="K1633" s="21" t="n">
        <v>0</v>
      </c>
      <c r="L1633" s="21" t="n">
        <v>0</v>
      </c>
      <c r="M1633" s="21" t="n">
        <v>0</v>
      </c>
      <c r="N1633" s="21" t="n">
        <v>0</v>
      </c>
      <c r="O1633" s="21" t="n">
        <v>0</v>
      </c>
      <c r="P1633" s="21" t="n">
        <v>0</v>
      </c>
      <c r="Q1633" s="21" t="n">
        <v>0</v>
      </c>
      <c r="R1633" s="21" t="n">
        <v>0</v>
      </c>
      <c r="S1633" s="21" t="n">
        <v>0</v>
      </c>
      <c r="T1633" s="21" t="n">
        <v>0</v>
      </c>
      <c r="U1633" s="21" t="n">
        <v>0</v>
      </c>
      <c r="V1633" s="21" t="n">
        <v>0</v>
      </c>
      <c r="W1633" s="21" t="n">
        <v>0</v>
      </c>
      <c r="X1633" s="21" t="n">
        <v>0</v>
      </c>
      <c r="Y1633" s="21" t="n">
        <v>0</v>
      </c>
      <c r="Z1633" s="21" t="n">
        <v>0</v>
      </c>
      <c r="AA1633" s="21" t="n">
        <v>0</v>
      </c>
      <c r="AB1633" s="21" t="n">
        <v>0</v>
      </c>
      <c r="AC1633" s="21" t="n">
        <v>0</v>
      </c>
      <c r="AD1633" s="21" t="n">
        <v>0</v>
      </c>
      <c r="AE1633" s="21" t="n">
        <v>0</v>
      </c>
      <c r="AF1633" s="21" t="n">
        <v>0</v>
      </c>
      <c r="AG1633" s="21" t="n">
        <v>0</v>
      </c>
      <c r="AH1633" s="21" t="n">
        <v>0</v>
      </c>
      <c r="AI1633" s="21" t="n">
        <v>0</v>
      </c>
      <c r="AJ1633" s="21" t="n">
        <v>0</v>
      </c>
      <c r="AK1633" s="21" t="n">
        <v>0</v>
      </c>
      <c r="AL1633" s="21" t="n">
        <v>0</v>
      </c>
      <c r="AM1633" s="21" t="n">
        <v>0</v>
      </c>
      <c r="AN1633" s="21">
        <f>-$B$18</f>
        <v/>
      </c>
      <c r="AO1633" s="21">
        <f>-$B$19</f>
        <v/>
      </c>
      <c r="AP1633" s="21">
        <f>2*$B$18+$D$1592</f>
        <v/>
      </c>
      <c r="AQ1633" s="21">
        <f>0</f>
        <v/>
      </c>
      <c r="AR1633" s="21">
        <f>-$B$18</f>
        <v/>
      </c>
      <c r="AS1633" s="21">
        <f>$B$19</f>
        <v/>
      </c>
      <c r="AT1633" s="19" t="n"/>
    </row>
    <row r="1634">
      <c r="D1634" s="21" t="n">
        <v>0</v>
      </c>
      <c r="E1634" s="21" t="n">
        <v>0</v>
      </c>
      <c r="F1634" s="21" t="n">
        <v>0</v>
      </c>
      <c r="G1634" s="21" t="n">
        <v>0</v>
      </c>
      <c r="H1634" s="21" t="n">
        <v>0</v>
      </c>
      <c r="I1634" s="21" t="n">
        <v>0</v>
      </c>
      <c r="J1634" s="21" t="n">
        <v>0</v>
      </c>
      <c r="K1634" s="21" t="n">
        <v>0</v>
      </c>
      <c r="L1634" s="21" t="n">
        <v>0</v>
      </c>
      <c r="M1634" s="21" t="n">
        <v>0</v>
      </c>
      <c r="N1634" s="21" t="n">
        <v>0</v>
      </c>
      <c r="O1634" s="21" t="n">
        <v>0</v>
      </c>
      <c r="P1634" s="21" t="n">
        <v>0</v>
      </c>
      <c r="Q1634" s="21" t="n">
        <v>0</v>
      </c>
      <c r="R1634" s="21" t="n">
        <v>0</v>
      </c>
      <c r="S1634" s="21" t="n">
        <v>0</v>
      </c>
      <c r="T1634" s="21" t="n">
        <v>0</v>
      </c>
      <c r="U1634" s="21" t="n">
        <v>0</v>
      </c>
      <c r="V1634" s="21" t="n">
        <v>0</v>
      </c>
      <c r="W1634" s="21" t="n">
        <v>0</v>
      </c>
      <c r="X1634" s="21" t="n">
        <v>0</v>
      </c>
      <c r="Y1634" s="21" t="n">
        <v>0</v>
      </c>
      <c r="Z1634" s="21" t="n">
        <v>0</v>
      </c>
      <c r="AA1634" s="21" t="n">
        <v>0</v>
      </c>
      <c r="AB1634" s="21" t="n">
        <v>0</v>
      </c>
      <c r="AC1634" s="21" t="n">
        <v>0</v>
      </c>
      <c r="AD1634" s="21" t="n">
        <v>0</v>
      </c>
      <c r="AE1634" s="21" t="n">
        <v>0</v>
      </c>
      <c r="AF1634" s="21" t="n">
        <v>0</v>
      </c>
      <c r="AG1634" s="21" t="n">
        <v>0</v>
      </c>
      <c r="AH1634" s="21" t="n">
        <v>0</v>
      </c>
      <c r="AI1634" s="21" t="n">
        <v>0</v>
      </c>
      <c r="AJ1634" s="21" t="n">
        <v>0</v>
      </c>
      <c r="AK1634" s="21" t="n">
        <v>0</v>
      </c>
      <c r="AL1634" s="21" t="n">
        <v>0</v>
      </c>
      <c r="AM1634" s="21" t="n">
        <v>0</v>
      </c>
      <c r="AN1634" s="21">
        <f>$B$19</f>
        <v/>
      </c>
      <c r="AO1634" s="21">
        <f>$B$21</f>
        <v/>
      </c>
      <c r="AP1634" s="21">
        <f>0</f>
        <v/>
      </c>
      <c r="AQ1634" s="21">
        <f>2*$B$20</f>
        <v/>
      </c>
      <c r="AR1634" s="21">
        <f>-$B$19</f>
        <v/>
      </c>
      <c r="AS1634" s="21">
        <f>$B$21</f>
        <v/>
      </c>
      <c r="AT1634" s="19" t="n"/>
    </row>
    <row r="1635">
      <c r="D1635" s="21" t="n">
        <v>0</v>
      </c>
      <c r="E1635" s="21" t="n">
        <v>0</v>
      </c>
      <c r="F1635" s="21" t="n">
        <v>0</v>
      </c>
      <c r="G1635" s="21" t="n">
        <v>0</v>
      </c>
      <c r="H1635" s="21" t="n">
        <v>0</v>
      </c>
      <c r="I1635" s="21" t="n">
        <v>0</v>
      </c>
      <c r="J1635" s="21" t="n">
        <v>0</v>
      </c>
      <c r="K1635" s="21" t="n">
        <v>0</v>
      </c>
      <c r="L1635" s="21" t="n">
        <v>0</v>
      </c>
      <c r="M1635" s="21" t="n">
        <v>0</v>
      </c>
      <c r="N1635" s="21" t="n">
        <v>0</v>
      </c>
      <c r="O1635" s="21" t="n">
        <v>0</v>
      </c>
      <c r="P1635" s="21" t="n">
        <v>0</v>
      </c>
      <c r="Q1635" s="21" t="n">
        <v>0</v>
      </c>
      <c r="R1635" s="21" t="n">
        <v>0</v>
      </c>
      <c r="S1635" s="21" t="n">
        <v>0</v>
      </c>
      <c r="T1635" s="21" t="n">
        <v>0</v>
      </c>
      <c r="U1635" s="21" t="n">
        <v>0</v>
      </c>
      <c r="V1635" s="21" t="n">
        <v>0</v>
      </c>
      <c r="W1635" s="21" t="n">
        <v>0</v>
      </c>
      <c r="X1635" s="21" t="n">
        <v>0</v>
      </c>
      <c r="Y1635" s="21" t="n">
        <v>0</v>
      </c>
      <c r="Z1635" s="21" t="n">
        <v>0</v>
      </c>
      <c r="AA1635" s="21" t="n">
        <v>0</v>
      </c>
      <c r="AB1635" s="21" t="n">
        <v>0</v>
      </c>
      <c r="AC1635" s="21" t="n">
        <v>0</v>
      </c>
      <c r="AD1635" s="21" t="n">
        <v>0</v>
      </c>
      <c r="AE1635" s="21" t="n">
        <v>0</v>
      </c>
      <c r="AF1635" s="21" t="n">
        <v>0</v>
      </c>
      <c r="AG1635" s="21" t="n">
        <v>0</v>
      </c>
      <c r="AH1635" s="21" t="n">
        <v>0</v>
      </c>
      <c r="AI1635" s="21" t="n">
        <v>0</v>
      </c>
      <c r="AJ1635" s="21" t="n">
        <v>0</v>
      </c>
      <c r="AK1635" s="21" t="n">
        <v>0</v>
      </c>
      <c r="AL1635" s="21" t="n">
        <v>0</v>
      </c>
      <c r="AM1635" s="21" t="n">
        <v>0</v>
      </c>
      <c r="AN1635" s="21" t="n">
        <v>0</v>
      </c>
      <c r="AO1635" s="21" t="n">
        <v>0</v>
      </c>
      <c r="AP1635" s="21">
        <f>-$B$18</f>
        <v/>
      </c>
      <c r="AQ1635" s="21">
        <f>-$B$19</f>
        <v/>
      </c>
      <c r="AR1635" s="21">
        <f>$B$18+$D$1593</f>
        <v/>
      </c>
      <c r="AS1635" s="21">
        <f>-$B$19</f>
        <v/>
      </c>
      <c r="AT1635" s="19" t="n"/>
    </row>
    <row r="1636">
      <c r="D1636" s="21" t="n">
        <v>0</v>
      </c>
      <c r="E1636" s="21" t="n">
        <v>0</v>
      </c>
      <c r="F1636" s="21" t="n">
        <v>0</v>
      </c>
      <c r="G1636" s="21" t="n">
        <v>0</v>
      </c>
      <c r="H1636" s="21" t="n">
        <v>0</v>
      </c>
      <c r="I1636" s="21" t="n">
        <v>0</v>
      </c>
      <c r="J1636" s="21" t="n">
        <v>0</v>
      </c>
      <c r="K1636" s="21" t="n">
        <v>0</v>
      </c>
      <c r="L1636" s="21" t="n">
        <v>0</v>
      </c>
      <c r="M1636" s="21" t="n">
        <v>0</v>
      </c>
      <c r="N1636" s="21" t="n">
        <v>0</v>
      </c>
      <c r="O1636" s="21" t="n">
        <v>0</v>
      </c>
      <c r="P1636" s="21" t="n">
        <v>0</v>
      </c>
      <c r="Q1636" s="21" t="n">
        <v>0</v>
      </c>
      <c r="R1636" s="21" t="n">
        <v>0</v>
      </c>
      <c r="S1636" s="21" t="n">
        <v>0</v>
      </c>
      <c r="T1636" s="21" t="n">
        <v>0</v>
      </c>
      <c r="U1636" s="21" t="n">
        <v>0</v>
      </c>
      <c r="V1636" s="21" t="n">
        <v>0</v>
      </c>
      <c r="W1636" s="21" t="n">
        <v>0</v>
      </c>
      <c r="X1636" s="21" t="n">
        <v>0</v>
      </c>
      <c r="Y1636" s="21" t="n">
        <v>0</v>
      </c>
      <c r="Z1636" s="21" t="n">
        <v>0</v>
      </c>
      <c r="AA1636" s="21" t="n">
        <v>0</v>
      </c>
      <c r="AB1636" s="21" t="n">
        <v>0</v>
      </c>
      <c r="AC1636" s="21" t="n">
        <v>0</v>
      </c>
      <c r="AD1636" s="21" t="n">
        <v>0</v>
      </c>
      <c r="AE1636" s="21" t="n">
        <v>0</v>
      </c>
      <c r="AF1636" s="21" t="n">
        <v>0</v>
      </c>
      <c r="AG1636" s="21" t="n">
        <v>0</v>
      </c>
      <c r="AH1636" s="21" t="n">
        <v>0</v>
      </c>
      <c r="AI1636" s="21" t="n">
        <v>0</v>
      </c>
      <c r="AJ1636" s="21" t="n">
        <v>0</v>
      </c>
      <c r="AK1636" s="21" t="n">
        <v>0</v>
      </c>
      <c r="AL1636" s="21" t="n">
        <v>0</v>
      </c>
      <c r="AM1636" s="21" t="n">
        <v>0</v>
      </c>
      <c r="AN1636" s="21" t="n">
        <v>0</v>
      </c>
      <c r="AO1636" s="21" t="n">
        <v>0</v>
      </c>
      <c r="AP1636" s="21">
        <f>$B$19</f>
        <v/>
      </c>
      <c r="AQ1636" s="21">
        <f>$B$21</f>
        <v/>
      </c>
      <c r="AR1636" s="21">
        <f>-$B$19</f>
        <v/>
      </c>
      <c r="AS1636" s="21">
        <f>$B$20</f>
        <v/>
      </c>
      <c r="AT1636" s="19" t="n"/>
    </row>
    <row r="1638">
      <c r="A1638" s="8" t="inlineStr">
        <is>
          <t>gen 24</t>
        </is>
      </c>
    </row>
    <row r="1639">
      <c r="D1639" s="19">
        <f>IF(ABS(IF(ABS($E$1573)&gt;0.000000001,$E$1573,0.000000001))=0,0,IF($E$33&lt;=$B$27,0,IF(ABS(IF(ABS($E$1573)&gt;0.000000001,$E$1573,0.000000001))&gt;=8*$B$29,$H$33,0.5*$H$33*(ABS(IF(ABS($E$1573)&gt;0.000000001,$E$1573,0.000000001))/$B$29)^(1/3)))/ABS(IF(ABS($E$1573)&gt;0.000000001,$E$1573,0.000000001))*$I$33)</f>
        <v/>
      </c>
      <c r="E1639" s="19">
        <f>0.5*$E$1573+0.5*$AT$1661</f>
        <v/>
      </c>
      <c r="F1639" s="19">
        <f>$AT$1662</f>
        <v/>
      </c>
    </row>
    <row r="1640">
      <c r="D1640" s="19">
        <f>IF(ABS(IF(ABS($E$1574)&gt;0.000000001,$E$1574,0.000000001))=0,0,IF($E$34&lt;=$B$27,0,IF(ABS(IF(ABS($E$1574)&gt;0.000000001,$E$1574,0.000000001))&gt;=8*$B$29,$H$34,0.5*$H$34*(ABS(IF(ABS($E$1574)&gt;0.000000001,$E$1574,0.000000001))/$B$29)^(1/3)))/ABS(IF(ABS($E$1574)&gt;0.000000001,$E$1574,0.000000001))*$I$34)</f>
        <v/>
      </c>
      <c r="E1640" s="19">
        <f>0.5*$E$1574+0.5*$AT$1663</f>
        <v/>
      </c>
      <c r="F1640" s="19">
        <f>$AT$1664</f>
        <v/>
      </c>
    </row>
    <row r="1641">
      <c r="D1641" s="19">
        <f>IF(ABS(IF(ABS($E$1575)&gt;0.000000001,$E$1575,0.000000001))=0,0,IF($E$35&lt;=$B$27,0,IF(ABS(IF(ABS($E$1575)&gt;0.000000001,$E$1575,0.000000001))&gt;=8*$B$29,$H$35,0.5*$H$35*(ABS(IF(ABS($E$1575)&gt;0.000000001,$E$1575,0.000000001))/$B$29)^(1/3)))/ABS(IF(ABS($E$1575)&gt;0.000000001,$E$1575,0.000000001))*$I$35)</f>
        <v/>
      </c>
      <c r="E1641" s="19">
        <f>0.5*$E$1575+0.5*$AT$1665</f>
        <v/>
      </c>
      <c r="F1641" s="19">
        <f>$AT$1666</f>
        <v/>
      </c>
    </row>
    <row r="1642">
      <c r="D1642" s="19">
        <f>IF(ABS(IF(ABS($E$1576)&gt;0.000000001,$E$1576,0.000000001))=0,0,IF($E$36&lt;=$B$27,0,IF(ABS(IF(ABS($E$1576)&gt;0.000000001,$E$1576,0.000000001))&gt;=8*$B$29,$H$36,0.5*$H$36*(ABS(IF(ABS($E$1576)&gt;0.000000001,$E$1576,0.000000001))/$B$29)^(1/3)))/ABS(IF(ABS($E$1576)&gt;0.000000001,$E$1576,0.000000001))*$I$36)</f>
        <v/>
      </c>
      <c r="E1642" s="19">
        <f>0.5*$E$1576+0.5*$AT$1667</f>
        <v/>
      </c>
      <c r="F1642" s="19">
        <f>$AT$1668</f>
        <v/>
      </c>
    </row>
    <row r="1643">
      <c r="D1643" s="19">
        <f>IF(ABS(IF(ABS($E$1577)&gt;0.000000001,$E$1577,0.000000001))=0,0,IF($E$37&lt;=$B$27,0,IF(ABS(IF(ABS($E$1577)&gt;0.000000001,$E$1577,0.000000001))&gt;=8*$B$29,$H$37,0.5*$H$37*(ABS(IF(ABS($E$1577)&gt;0.000000001,$E$1577,0.000000001))/$B$29)^(1/3)))/ABS(IF(ABS($E$1577)&gt;0.000000001,$E$1577,0.000000001))*$I$37)</f>
        <v/>
      </c>
      <c r="E1643" s="19">
        <f>0.5*$E$1577+0.5*$AT$1669</f>
        <v/>
      </c>
      <c r="F1643" s="19">
        <f>$AT$1670</f>
        <v/>
      </c>
    </row>
    <row r="1644">
      <c r="D1644" s="19">
        <f>IF(ABS(IF(ABS($E$1578)&gt;0.000000001,$E$1578,0.000000001))=0,0,IF($E$38&lt;=$B$27,0,IF(ABS(IF(ABS($E$1578)&gt;0.000000001,$E$1578,0.000000001))&gt;=8*$B$29,$H$38,0.5*$H$38*(ABS(IF(ABS($E$1578)&gt;0.000000001,$E$1578,0.000000001))/$B$29)^(1/3)))/ABS(IF(ABS($E$1578)&gt;0.000000001,$E$1578,0.000000001))*$I$38)</f>
        <v/>
      </c>
      <c r="E1644" s="19">
        <f>0.5*$E$1578+0.5*$AT$1671</f>
        <v/>
      </c>
      <c r="F1644" s="19">
        <f>$AT$1672</f>
        <v/>
      </c>
    </row>
    <row r="1645">
      <c r="D1645" s="19">
        <f>IF(ABS(IF(ABS($E$1579)&gt;0.000000001,$E$1579,0.000000001))=0,0,IF($E$39&lt;=$B$27,0,IF(ABS(IF(ABS($E$1579)&gt;0.000000001,$E$1579,0.000000001))&gt;=8*$B$29,$H$39,0.5*$H$39*(ABS(IF(ABS($E$1579)&gt;0.000000001,$E$1579,0.000000001))/$B$29)^(1/3)))/ABS(IF(ABS($E$1579)&gt;0.000000001,$E$1579,0.000000001))*$I$39)</f>
        <v/>
      </c>
      <c r="E1645" s="19">
        <f>0.5*$E$1579+0.5*$AT$1673</f>
        <v/>
      </c>
      <c r="F1645" s="19">
        <f>$AT$1674</f>
        <v/>
      </c>
    </row>
    <row r="1646">
      <c r="D1646" s="19">
        <f>IF(ABS(IF(ABS($E$1580)&gt;0.000000001,$E$1580,0.000000001))=0,0,IF($E$40&lt;=$B$27,0,IF(ABS(IF(ABS($E$1580)&gt;0.000000001,$E$1580,0.000000001))&gt;=8*$B$29,$H$40,0.5*$H$40*(ABS(IF(ABS($E$1580)&gt;0.000000001,$E$1580,0.000000001))/$B$29)^(1/3)))/ABS(IF(ABS($E$1580)&gt;0.000000001,$E$1580,0.000000001))*$I$40)</f>
        <v/>
      </c>
      <c r="E1646" s="19">
        <f>0.5*$E$1580+0.5*$AT$1675</f>
        <v/>
      </c>
      <c r="F1646" s="19">
        <f>$AT$1676</f>
        <v/>
      </c>
    </row>
    <row r="1647">
      <c r="D1647" s="19">
        <f>IF(ABS(IF(ABS($E$1581)&gt;0.000000001,$E$1581,0.000000001))=0,0,IF($E$41&lt;=$B$27,0,IF(ABS(IF(ABS($E$1581)&gt;0.000000001,$E$1581,0.000000001))&gt;=8*$B$29,$H$41,0.5*$H$41*(ABS(IF(ABS($E$1581)&gt;0.000000001,$E$1581,0.000000001))/$B$29)^(1/3)))/ABS(IF(ABS($E$1581)&gt;0.000000001,$E$1581,0.000000001))*$I$41)</f>
        <v/>
      </c>
      <c r="E1647" s="19">
        <f>0.5*$E$1581+0.5*$AT$1677</f>
        <v/>
      </c>
      <c r="F1647" s="19">
        <f>$AT$1678</f>
        <v/>
      </c>
    </row>
    <row r="1648">
      <c r="D1648" s="19">
        <f>IF(ABS(IF(ABS($E$1582)&gt;0.000000001,$E$1582,0.000000001))=0,0,IF($E$42&lt;=$B$27,0,IF(ABS(IF(ABS($E$1582)&gt;0.000000001,$E$1582,0.000000001))&gt;=8*$B$29,$H$42,0.5*$H$42*(ABS(IF(ABS($E$1582)&gt;0.000000001,$E$1582,0.000000001))/$B$29)^(1/3)))/ABS(IF(ABS($E$1582)&gt;0.000000001,$E$1582,0.000000001))*$I$42)</f>
        <v/>
      </c>
      <c r="E1648" s="19">
        <f>0.5*$E$1582+0.5*$AT$1679</f>
        <v/>
      </c>
      <c r="F1648" s="19">
        <f>$AT$1680</f>
        <v/>
      </c>
    </row>
    <row r="1649">
      <c r="D1649" s="19">
        <f>IF(ABS(IF(ABS($E$1583)&gt;0.000000001,$E$1583,0.000000001))=0,0,IF($E$43&lt;=$B$27,0,IF(ABS(IF(ABS($E$1583)&gt;0.000000001,$E$1583,0.000000001))&gt;=8*$B$29,$H$43,0.5*$H$43*(ABS(IF(ABS($E$1583)&gt;0.000000001,$E$1583,0.000000001))/$B$29)^(1/3)))/ABS(IF(ABS($E$1583)&gt;0.000000001,$E$1583,0.000000001))*$I$43)</f>
        <v/>
      </c>
      <c r="E1649" s="19">
        <f>0.5*$E$1583+0.5*$AT$1681</f>
        <v/>
      </c>
      <c r="F1649" s="19">
        <f>$AT$1682</f>
        <v/>
      </c>
    </row>
    <row r="1650">
      <c r="D1650" s="19">
        <f>IF(ABS(IF(ABS($E$1584)&gt;0.000000001,$E$1584,0.000000001))=0,0,IF($E$44&lt;=$B$27,0,IF(ABS(IF(ABS($E$1584)&gt;0.000000001,$E$1584,0.000000001))&gt;=8*$B$29,$H$44,0.5*$H$44*(ABS(IF(ABS($E$1584)&gt;0.000000001,$E$1584,0.000000001))/$B$29)^(1/3)))/ABS(IF(ABS($E$1584)&gt;0.000000001,$E$1584,0.000000001))*$I$44)</f>
        <v/>
      </c>
      <c r="E1650" s="19">
        <f>0.5*$E$1584+0.5*$AT$1683</f>
        <v/>
      </c>
      <c r="F1650" s="19">
        <f>$AT$1684</f>
        <v/>
      </c>
    </row>
    <row r="1651">
      <c r="D1651" s="19">
        <f>IF(ABS(IF(ABS($E$1585)&gt;0.000000001,$E$1585,0.000000001))=0,0,IF($E$45&lt;=$B$27,0,IF(ABS(IF(ABS($E$1585)&gt;0.000000001,$E$1585,0.000000001))&gt;=8*$B$29,$H$45,0.5*$H$45*(ABS(IF(ABS($E$1585)&gt;0.000000001,$E$1585,0.000000001))/$B$29)^(1/3)))/ABS(IF(ABS($E$1585)&gt;0.000000001,$E$1585,0.000000001))*$I$45)</f>
        <v/>
      </c>
      <c r="E1651" s="19">
        <f>0.5*$E$1585+0.5*$AT$1685</f>
        <v/>
      </c>
      <c r="F1651" s="19">
        <f>$AT$1686</f>
        <v/>
      </c>
    </row>
    <row r="1652">
      <c r="D1652" s="19">
        <f>IF(ABS(IF(ABS($E$1586)&gt;0.000000001,$E$1586,0.000000001))=0,0,IF($E$46&lt;=$B$27,0,IF(ABS(IF(ABS($E$1586)&gt;0.000000001,$E$1586,0.000000001))&gt;=8*$B$29,$H$46,0.5*$H$46*(ABS(IF(ABS($E$1586)&gt;0.000000001,$E$1586,0.000000001))/$B$29)^(1/3)))/ABS(IF(ABS($E$1586)&gt;0.000000001,$E$1586,0.000000001))*$I$46)</f>
        <v/>
      </c>
      <c r="E1652" s="19">
        <f>0.5*$E$1586+0.5*$AT$1687</f>
        <v/>
      </c>
      <c r="F1652" s="19">
        <f>$AT$1688</f>
        <v/>
      </c>
    </row>
    <row r="1653">
      <c r="D1653" s="19">
        <f>IF(ABS(IF(ABS($E$1587)&gt;0.000000001,$E$1587,0.000000001))=0,0,IF($E$47&lt;=$B$27,0,IF(ABS(IF(ABS($E$1587)&gt;0.000000001,$E$1587,0.000000001))&gt;=8*$B$29,$H$47,0.5*$H$47*(ABS(IF(ABS($E$1587)&gt;0.000000001,$E$1587,0.000000001))/$B$29)^(1/3)))/ABS(IF(ABS($E$1587)&gt;0.000000001,$E$1587,0.000000001))*$I$47)</f>
        <v/>
      </c>
      <c r="E1653" s="19">
        <f>0.5*$E$1587+0.5*$AT$1689</f>
        <v/>
      </c>
      <c r="F1653" s="19">
        <f>$AT$1690</f>
        <v/>
      </c>
    </row>
    <row r="1654">
      <c r="D1654" s="19">
        <f>IF(ABS(IF(ABS($E$1588)&gt;0.000000001,$E$1588,0.000000001))=0,0,IF($E$48&lt;=$B$27,0,IF(ABS(IF(ABS($E$1588)&gt;0.000000001,$E$1588,0.000000001))&gt;=8*$B$29,$H$48,0.5*$H$48*(ABS(IF(ABS($E$1588)&gt;0.000000001,$E$1588,0.000000001))/$B$29)^(1/3)))/ABS(IF(ABS($E$1588)&gt;0.000000001,$E$1588,0.000000001))*$I$48)</f>
        <v/>
      </c>
      <c r="E1654" s="19">
        <f>0.5*$E$1588+0.5*$AT$1691</f>
        <v/>
      </c>
      <c r="F1654" s="19">
        <f>$AT$1692</f>
        <v/>
      </c>
    </row>
    <row r="1655">
      <c r="D1655" s="19">
        <f>IF(ABS(IF(ABS($E$1589)&gt;0.000000001,$E$1589,0.000000001))=0,0,IF($E$49&lt;=$B$27,0,IF(ABS(IF(ABS($E$1589)&gt;0.000000001,$E$1589,0.000000001))&gt;=8*$B$29,$H$49,0.5*$H$49*(ABS(IF(ABS($E$1589)&gt;0.000000001,$E$1589,0.000000001))/$B$29)^(1/3)))/ABS(IF(ABS($E$1589)&gt;0.000000001,$E$1589,0.000000001))*$I$49)</f>
        <v/>
      </c>
      <c r="E1655" s="19">
        <f>0.5*$E$1589+0.5*$AT$1693</f>
        <v/>
      </c>
      <c r="F1655" s="19">
        <f>$AT$1694</f>
        <v/>
      </c>
    </row>
    <row r="1656">
      <c r="D1656" s="19">
        <f>IF(ABS(IF(ABS($E$1590)&gt;0.000000001,$E$1590,0.000000001))=0,0,IF($E$50&lt;=$B$27,0,IF(ABS(IF(ABS($E$1590)&gt;0.000000001,$E$1590,0.000000001))&gt;=8*$B$29,$H$50,0.5*$H$50*(ABS(IF(ABS($E$1590)&gt;0.000000001,$E$1590,0.000000001))/$B$29)^(1/3)))/ABS(IF(ABS($E$1590)&gt;0.000000001,$E$1590,0.000000001))*$I$50)</f>
        <v/>
      </c>
      <c r="E1656" s="19">
        <f>0.5*$E$1590+0.5*$AT$1695</f>
        <v/>
      </c>
      <c r="F1656" s="19">
        <f>$AT$1696</f>
        <v/>
      </c>
    </row>
    <row r="1657">
      <c r="D1657" s="19">
        <f>IF(ABS(IF(ABS($E$1591)&gt;0.000000001,$E$1591,0.000000001))=0,0,IF($E$51&lt;=$B$27,0,IF(ABS(IF(ABS($E$1591)&gt;0.000000001,$E$1591,0.000000001))&gt;=8*$B$29,$H$51,0.5*$H$51*(ABS(IF(ABS($E$1591)&gt;0.000000001,$E$1591,0.000000001))/$B$29)^(1/3)))/ABS(IF(ABS($E$1591)&gt;0.000000001,$E$1591,0.000000001))*$I$51)</f>
        <v/>
      </c>
      <c r="E1657" s="19">
        <f>0.5*$E$1591+0.5*$AT$1697</f>
        <v/>
      </c>
      <c r="F1657" s="19">
        <f>$AT$1698</f>
        <v/>
      </c>
    </row>
    <row r="1658">
      <c r="D1658" s="19">
        <f>IF(ABS(IF(ABS($E$1592)&gt;0.000000001,$E$1592,0.000000001))=0,0,IF($E$52&lt;=$B$27,0,IF(ABS(IF(ABS($E$1592)&gt;0.000000001,$E$1592,0.000000001))&gt;=8*$B$29,$H$52,0.5*$H$52*(ABS(IF(ABS($E$1592)&gt;0.000000001,$E$1592,0.000000001))/$B$29)^(1/3)))/ABS(IF(ABS($E$1592)&gt;0.000000001,$E$1592,0.000000001))*$I$52)</f>
        <v/>
      </c>
      <c r="E1658" s="19">
        <f>0.5*$E$1592+0.5*$AT$1699</f>
        <v/>
      </c>
      <c r="F1658" s="19">
        <f>$AT$1700</f>
        <v/>
      </c>
    </row>
    <row r="1659">
      <c r="D1659" s="19">
        <f>IF(ABS(IF(ABS($E$1593)&gt;0.000000001,$E$1593,0.000000001))=0,0,IF($E$53&lt;=$B$27,0,IF(ABS(IF(ABS($E$1593)&gt;0.000000001,$E$1593,0.000000001))&gt;=8*$B$29,$H$53,0.5*$H$53*(ABS(IF(ABS($E$1593)&gt;0.000000001,$E$1593,0.000000001))/$B$29)^(1/3)))/ABS(IF(ABS($E$1593)&gt;0.000000001,$E$1593,0.000000001))*$I$53)</f>
        <v/>
      </c>
      <c r="E1659" s="19">
        <f>0.5*$E$1593+0.5*$AT$1701</f>
        <v/>
      </c>
      <c r="F1659" s="19">
        <f>$AT$1702</f>
        <v/>
      </c>
    </row>
    <row r="1661">
      <c r="D1661" s="21">
        <f>$B$18+$D$1639</f>
        <v/>
      </c>
      <c r="E1661" s="21">
        <f>$B$19</f>
        <v/>
      </c>
      <c r="F1661" s="21">
        <f>-$B$18</f>
        <v/>
      </c>
      <c r="G1661" s="21">
        <f>$B$19</f>
        <v/>
      </c>
      <c r="H1661" s="21" t="n">
        <v>0</v>
      </c>
      <c r="I1661" s="21" t="n">
        <v>0</v>
      </c>
      <c r="J1661" s="21" t="n">
        <v>0</v>
      </c>
      <c r="K1661" s="21" t="n">
        <v>0</v>
      </c>
      <c r="L1661" s="21" t="n">
        <v>0</v>
      </c>
      <c r="M1661" s="21" t="n">
        <v>0</v>
      </c>
      <c r="N1661" s="21" t="n">
        <v>0</v>
      </c>
      <c r="O1661" s="21" t="n">
        <v>0</v>
      </c>
      <c r="P1661" s="21" t="n">
        <v>0</v>
      </c>
      <c r="Q1661" s="21" t="n">
        <v>0</v>
      </c>
      <c r="R1661" s="21" t="n">
        <v>0</v>
      </c>
      <c r="S1661" s="21" t="n">
        <v>0</v>
      </c>
      <c r="T1661" s="21" t="n">
        <v>0</v>
      </c>
      <c r="U1661" s="21" t="n">
        <v>0</v>
      </c>
      <c r="V1661" s="21" t="n">
        <v>0</v>
      </c>
      <c r="W1661" s="21" t="n">
        <v>0</v>
      </c>
      <c r="X1661" s="21" t="n">
        <v>0</v>
      </c>
      <c r="Y1661" s="21" t="n">
        <v>0</v>
      </c>
      <c r="Z1661" s="21" t="n">
        <v>0</v>
      </c>
      <c r="AA1661" s="21" t="n">
        <v>0</v>
      </c>
      <c r="AB1661" s="21" t="n">
        <v>0</v>
      </c>
      <c r="AC1661" s="21" t="n">
        <v>0</v>
      </c>
      <c r="AD1661" s="21" t="n">
        <v>0</v>
      </c>
      <c r="AE1661" s="21" t="n">
        <v>0</v>
      </c>
      <c r="AF1661" s="21" t="n">
        <v>0</v>
      </c>
      <c r="AG1661" s="21" t="n">
        <v>0</v>
      </c>
      <c r="AH1661" s="21" t="n">
        <v>0</v>
      </c>
      <c r="AI1661" s="21" t="n">
        <v>0</v>
      </c>
      <c r="AJ1661" s="21" t="n">
        <v>0</v>
      </c>
      <c r="AK1661" s="21" t="n">
        <v>0</v>
      </c>
      <c r="AL1661" s="21" t="n">
        <v>0</v>
      </c>
      <c r="AM1661" s="21" t="n">
        <v>0</v>
      </c>
      <c r="AN1661" s="21" t="n">
        <v>0</v>
      </c>
      <c r="AO1661" s="21" t="n">
        <v>0</v>
      </c>
      <c r="AP1661" s="21" t="n">
        <v>0</v>
      </c>
      <c r="AQ1661" s="21" t="n">
        <v>0</v>
      </c>
      <c r="AR1661" s="21" t="n">
        <v>0</v>
      </c>
      <c r="AS1661" s="21" t="n">
        <v>0</v>
      </c>
      <c r="AT1661" s="19">
        <f t="array" ref="AT1661:AT1702">MMULT(MINVERSE($D$1661:$AS$1702),$D$55:$D$96)</f>
        <v/>
      </c>
    </row>
    <row r="1662">
      <c r="D1662" s="21">
        <f>$B$19</f>
        <v/>
      </c>
      <c r="E1662" s="21">
        <f>$B$20</f>
        <v/>
      </c>
      <c r="F1662" s="21">
        <f>-$B$19</f>
        <v/>
      </c>
      <c r="G1662" s="21">
        <f>$B$21</f>
        <v/>
      </c>
      <c r="H1662" s="21" t="n">
        <v>0</v>
      </c>
      <c r="I1662" s="21" t="n">
        <v>0</v>
      </c>
      <c r="J1662" s="21" t="n">
        <v>0</v>
      </c>
      <c r="K1662" s="21" t="n">
        <v>0</v>
      </c>
      <c r="L1662" s="21" t="n">
        <v>0</v>
      </c>
      <c r="M1662" s="21" t="n">
        <v>0</v>
      </c>
      <c r="N1662" s="21" t="n">
        <v>0</v>
      </c>
      <c r="O1662" s="21" t="n">
        <v>0</v>
      </c>
      <c r="P1662" s="21" t="n">
        <v>0</v>
      </c>
      <c r="Q1662" s="21" t="n">
        <v>0</v>
      </c>
      <c r="R1662" s="21" t="n">
        <v>0</v>
      </c>
      <c r="S1662" s="21" t="n">
        <v>0</v>
      </c>
      <c r="T1662" s="21" t="n">
        <v>0</v>
      </c>
      <c r="U1662" s="21" t="n">
        <v>0</v>
      </c>
      <c r="V1662" s="21" t="n">
        <v>0</v>
      </c>
      <c r="W1662" s="21" t="n">
        <v>0</v>
      </c>
      <c r="X1662" s="21" t="n">
        <v>0</v>
      </c>
      <c r="Y1662" s="21" t="n">
        <v>0</v>
      </c>
      <c r="Z1662" s="21" t="n">
        <v>0</v>
      </c>
      <c r="AA1662" s="21" t="n">
        <v>0</v>
      </c>
      <c r="AB1662" s="21" t="n">
        <v>0</v>
      </c>
      <c r="AC1662" s="21" t="n">
        <v>0</v>
      </c>
      <c r="AD1662" s="21" t="n">
        <v>0</v>
      </c>
      <c r="AE1662" s="21" t="n">
        <v>0</v>
      </c>
      <c r="AF1662" s="21" t="n">
        <v>0</v>
      </c>
      <c r="AG1662" s="21" t="n">
        <v>0</v>
      </c>
      <c r="AH1662" s="21" t="n">
        <v>0</v>
      </c>
      <c r="AI1662" s="21" t="n">
        <v>0</v>
      </c>
      <c r="AJ1662" s="21" t="n">
        <v>0</v>
      </c>
      <c r="AK1662" s="21" t="n">
        <v>0</v>
      </c>
      <c r="AL1662" s="21" t="n">
        <v>0</v>
      </c>
      <c r="AM1662" s="21" t="n">
        <v>0</v>
      </c>
      <c r="AN1662" s="21" t="n">
        <v>0</v>
      </c>
      <c r="AO1662" s="21" t="n">
        <v>0</v>
      </c>
      <c r="AP1662" s="21" t="n">
        <v>0</v>
      </c>
      <c r="AQ1662" s="21" t="n">
        <v>0</v>
      </c>
      <c r="AR1662" s="21" t="n">
        <v>0</v>
      </c>
      <c r="AS1662" s="21" t="n">
        <v>0</v>
      </c>
      <c r="AT1662" s="19" t="n"/>
    </row>
    <row r="1663">
      <c r="D1663" s="21">
        <f>-$B$18</f>
        <v/>
      </c>
      <c r="E1663" s="21">
        <f>-$B$19</f>
        <v/>
      </c>
      <c r="F1663" s="21">
        <f>2*$B$18+$D$1640</f>
        <v/>
      </c>
      <c r="G1663" s="21">
        <f>0</f>
        <v/>
      </c>
      <c r="H1663" s="21">
        <f>-$B$18</f>
        <v/>
      </c>
      <c r="I1663" s="21">
        <f>$B$19</f>
        <v/>
      </c>
      <c r="J1663" s="21" t="n">
        <v>0</v>
      </c>
      <c r="K1663" s="21" t="n">
        <v>0</v>
      </c>
      <c r="L1663" s="21" t="n">
        <v>0</v>
      </c>
      <c r="M1663" s="21" t="n">
        <v>0</v>
      </c>
      <c r="N1663" s="21" t="n">
        <v>0</v>
      </c>
      <c r="O1663" s="21" t="n">
        <v>0</v>
      </c>
      <c r="P1663" s="21" t="n">
        <v>0</v>
      </c>
      <c r="Q1663" s="21" t="n">
        <v>0</v>
      </c>
      <c r="R1663" s="21" t="n">
        <v>0</v>
      </c>
      <c r="S1663" s="21" t="n">
        <v>0</v>
      </c>
      <c r="T1663" s="21" t="n">
        <v>0</v>
      </c>
      <c r="U1663" s="21" t="n">
        <v>0</v>
      </c>
      <c r="V1663" s="21" t="n">
        <v>0</v>
      </c>
      <c r="W1663" s="21" t="n">
        <v>0</v>
      </c>
      <c r="X1663" s="21" t="n">
        <v>0</v>
      </c>
      <c r="Y1663" s="21" t="n">
        <v>0</v>
      </c>
      <c r="Z1663" s="21" t="n">
        <v>0</v>
      </c>
      <c r="AA1663" s="21" t="n">
        <v>0</v>
      </c>
      <c r="AB1663" s="21" t="n">
        <v>0</v>
      </c>
      <c r="AC1663" s="21" t="n">
        <v>0</v>
      </c>
      <c r="AD1663" s="21" t="n">
        <v>0</v>
      </c>
      <c r="AE1663" s="21" t="n">
        <v>0</v>
      </c>
      <c r="AF1663" s="21" t="n">
        <v>0</v>
      </c>
      <c r="AG1663" s="21" t="n">
        <v>0</v>
      </c>
      <c r="AH1663" s="21" t="n">
        <v>0</v>
      </c>
      <c r="AI1663" s="21" t="n">
        <v>0</v>
      </c>
      <c r="AJ1663" s="21" t="n">
        <v>0</v>
      </c>
      <c r="AK1663" s="21" t="n">
        <v>0</v>
      </c>
      <c r="AL1663" s="21" t="n">
        <v>0</v>
      </c>
      <c r="AM1663" s="21" t="n">
        <v>0</v>
      </c>
      <c r="AN1663" s="21" t="n">
        <v>0</v>
      </c>
      <c r="AO1663" s="21" t="n">
        <v>0</v>
      </c>
      <c r="AP1663" s="21" t="n">
        <v>0</v>
      </c>
      <c r="AQ1663" s="21" t="n">
        <v>0</v>
      </c>
      <c r="AR1663" s="21" t="n">
        <v>0</v>
      </c>
      <c r="AS1663" s="21" t="n">
        <v>0</v>
      </c>
      <c r="AT1663" s="19" t="n"/>
    </row>
    <row r="1664">
      <c r="D1664" s="21">
        <f>$B$19</f>
        <v/>
      </c>
      <c r="E1664" s="21">
        <f>$B$21</f>
        <v/>
      </c>
      <c r="F1664" s="21">
        <f>0</f>
        <v/>
      </c>
      <c r="G1664" s="21">
        <f>2*$B$20</f>
        <v/>
      </c>
      <c r="H1664" s="21">
        <f>-$B$19</f>
        <v/>
      </c>
      <c r="I1664" s="21">
        <f>$B$21</f>
        <v/>
      </c>
      <c r="J1664" s="21" t="n">
        <v>0</v>
      </c>
      <c r="K1664" s="21" t="n">
        <v>0</v>
      </c>
      <c r="L1664" s="21" t="n">
        <v>0</v>
      </c>
      <c r="M1664" s="21" t="n">
        <v>0</v>
      </c>
      <c r="N1664" s="21" t="n">
        <v>0</v>
      </c>
      <c r="O1664" s="21" t="n">
        <v>0</v>
      </c>
      <c r="P1664" s="21" t="n">
        <v>0</v>
      </c>
      <c r="Q1664" s="21" t="n">
        <v>0</v>
      </c>
      <c r="R1664" s="21" t="n">
        <v>0</v>
      </c>
      <c r="S1664" s="21" t="n">
        <v>0</v>
      </c>
      <c r="T1664" s="21" t="n">
        <v>0</v>
      </c>
      <c r="U1664" s="21" t="n">
        <v>0</v>
      </c>
      <c r="V1664" s="21" t="n">
        <v>0</v>
      </c>
      <c r="W1664" s="21" t="n">
        <v>0</v>
      </c>
      <c r="X1664" s="21" t="n">
        <v>0</v>
      </c>
      <c r="Y1664" s="21" t="n">
        <v>0</v>
      </c>
      <c r="Z1664" s="21" t="n">
        <v>0</v>
      </c>
      <c r="AA1664" s="21" t="n">
        <v>0</v>
      </c>
      <c r="AB1664" s="21" t="n">
        <v>0</v>
      </c>
      <c r="AC1664" s="21" t="n">
        <v>0</v>
      </c>
      <c r="AD1664" s="21" t="n">
        <v>0</v>
      </c>
      <c r="AE1664" s="21" t="n">
        <v>0</v>
      </c>
      <c r="AF1664" s="21" t="n">
        <v>0</v>
      </c>
      <c r="AG1664" s="21" t="n">
        <v>0</v>
      </c>
      <c r="AH1664" s="21" t="n">
        <v>0</v>
      </c>
      <c r="AI1664" s="21" t="n">
        <v>0</v>
      </c>
      <c r="AJ1664" s="21" t="n">
        <v>0</v>
      </c>
      <c r="AK1664" s="21" t="n">
        <v>0</v>
      </c>
      <c r="AL1664" s="21" t="n">
        <v>0</v>
      </c>
      <c r="AM1664" s="21" t="n">
        <v>0</v>
      </c>
      <c r="AN1664" s="21" t="n">
        <v>0</v>
      </c>
      <c r="AO1664" s="21" t="n">
        <v>0</v>
      </c>
      <c r="AP1664" s="21" t="n">
        <v>0</v>
      </c>
      <c r="AQ1664" s="21" t="n">
        <v>0</v>
      </c>
      <c r="AR1664" s="21" t="n">
        <v>0</v>
      </c>
      <c r="AS1664" s="21" t="n">
        <v>0</v>
      </c>
      <c r="AT1664" s="19" t="n"/>
    </row>
    <row r="1665">
      <c r="D1665" s="21" t="n">
        <v>0</v>
      </c>
      <c r="E1665" s="21" t="n">
        <v>0</v>
      </c>
      <c r="F1665" s="21">
        <f>-$B$18</f>
        <v/>
      </c>
      <c r="G1665" s="21">
        <f>-$B$19</f>
        <v/>
      </c>
      <c r="H1665" s="21">
        <f>2*$B$18+$D$1641</f>
        <v/>
      </c>
      <c r="I1665" s="21">
        <f>0</f>
        <v/>
      </c>
      <c r="J1665" s="21">
        <f>-$B$18</f>
        <v/>
      </c>
      <c r="K1665" s="21">
        <f>$B$19</f>
        <v/>
      </c>
      <c r="L1665" s="21" t="n">
        <v>0</v>
      </c>
      <c r="M1665" s="21" t="n">
        <v>0</v>
      </c>
      <c r="N1665" s="21" t="n">
        <v>0</v>
      </c>
      <c r="O1665" s="21" t="n">
        <v>0</v>
      </c>
      <c r="P1665" s="21" t="n">
        <v>0</v>
      </c>
      <c r="Q1665" s="21" t="n">
        <v>0</v>
      </c>
      <c r="R1665" s="21" t="n">
        <v>0</v>
      </c>
      <c r="S1665" s="21" t="n">
        <v>0</v>
      </c>
      <c r="T1665" s="21" t="n">
        <v>0</v>
      </c>
      <c r="U1665" s="21" t="n">
        <v>0</v>
      </c>
      <c r="V1665" s="21" t="n">
        <v>0</v>
      </c>
      <c r="W1665" s="21" t="n">
        <v>0</v>
      </c>
      <c r="X1665" s="21" t="n">
        <v>0</v>
      </c>
      <c r="Y1665" s="21" t="n">
        <v>0</v>
      </c>
      <c r="Z1665" s="21" t="n">
        <v>0</v>
      </c>
      <c r="AA1665" s="21" t="n">
        <v>0</v>
      </c>
      <c r="AB1665" s="21" t="n">
        <v>0</v>
      </c>
      <c r="AC1665" s="21" t="n">
        <v>0</v>
      </c>
      <c r="AD1665" s="21" t="n">
        <v>0</v>
      </c>
      <c r="AE1665" s="21" t="n">
        <v>0</v>
      </c>
      <c r="AF1665" s="21" t="n">
        <v>0</v>
      </c>
      <c r="AG1665" s="21" t="n">
        <v>0</v>
      </c>
      <c r="AH1665" s="21" t="n">
        <v>0</v>
      </c>
      <c r="AI1665" s="21" t="n">
        <v>0</v>
      </c>
      <c r="AJ1665" s="21" t="n">
        <v>0</v>
      </c>
      <c r="AK1665" s="21" t="n">
        <v>0</v>
      </c>
      <c r="AL1665" s="21" t="n">
        <v>0</v>
      </c>
      <c r="AM1665" s="21" t="n">
        <v>0</v>
      </c>
      <c r="AN1665" s="21" t="n">
        <v>0</v>
      </c>
      <c r="AO1665" s="21" t="n">
        <v>0</v>
      </c>
      <c r="AP1665" s="21" t="n">
        <v>0</v>
      </c>
      <c r="AQ1665" s="21" t="n">
        <v>0</v>
      </c>
      <c r="AR1665" s="21" t="n">
        <v>0</v>
      </c>
      <c r="AS1665" s="21" t="n">
        <v>0</v>
      </c>
      <c r="AT1665" s="19" t="n"/>
    </row>
    <row r="1666">
      <c r="D1666" s="21" t="n">
        <v>0</v>
      </c>
      <c r="E1666" s="21" t="n">
        <v>0</v>
      </c>
      <c r="F1666" s="21">
        <f>$B$19</f>
        <v/>
      </c>
      <c r="G1666" s="21">
        <f>$B$21</f>
        <v/>
      </c>
      <c r="H1666" s="21">
        <f>0</f>
        <v/>
      </c>
      <c r="I1666" s="21">
        <f>2*$B$20</f>
        <v/>
      </c>
      <c r="J1666" s="21">
        <f>-$B$19</f>
        <v/>
      </c>
      <c r="K1666" s="21">
        <f>$B$21</f>
        <v/>
      </c>
      <c r="L1666" s="21" t="n">
        <v>0</v>
      </c>
      <c r="M1666" s="21" t="n">
        <v>0</v>
      </c>
      <c r="N1666" s="21" t="n">
        <v>0</v>
      </c>
      <c r="O1666" s="21" t="n">
        <v>0</v>
      </c>
      <c r="P1666" s="21" t="n">
        <v>0</v>
      </c>
      <c r="Q1666" s="21" t="n">
        <v>0</v>
      </c>
      <c r="R1666" s="21" t="n">
        <v>0</v>
      </c>
      <c r="S1666" s="21" t="n">
        <v>0</v>
      </c>
      <c r="T1666" s="21" t="n">
        <v>0</v>
      </c>
      <c r="U1666" s="21" t="n">
        <v>0</v>
      </c>
      <c r="V1666" s="21" t="n">
        <v>0</v>
      </c>
      <c r="W1666" s="21" t="n">
        <v>0</v>
      </c>
      <c r="X1666" s="21" t="n">
        <v>0</v>
      </c>
      <c r="Y1666" s="21" t="n">
        <v>0</v>
      </c>
      <c r="Z1666" s="21" t="n">
        <v>0</v>
      </c>
      <c r="AA1666" s="21" t="n">
        <v>0</v>
      </c>
      <c r="AB1666" s="21" t="n">
        <v>0</v>
      </c>
      <c r="AC1666" s="21" t="n">
        <v>0</v>
      </c>
      <c r="AD1666" s="21" t="n">
        <v>0</v>
      </c>
      <c r="AE1666" s="21" t="n">
        <v>0</v>
      </c>
      <c r="AF1666" s="21" t="n">
        <v>0</v>
      </c>
      <c r="AG1666" s="21" t="n">
        <v>0</v>
      </c>
      <c r="AH1666" s="21" t="n">
        <v>0</v>
      </c>
      <c r="AI1666" s="21" t="n">
        <v>0</v>
      </c>
      <c r="AJ1666" s="21" t="n">
        <v>0</v>
      </c>
      <c r="AK1666" s="21" t="n">
        <v>0</v>
      </c>
      <c r="AL1666" s="21" t="n">
        <v>0</v>
      </c>
      <c r="AM1666" s="21" t="n">
        <v>0</v>
      </c>
      <c r="AN1666" s="21" t="n">
        <v>0</v>
      </c>
      <c r="AO1666" s="21" t="n">
        <v>0</v>
      </c>
      <c r="AP1666" s="21" t="n">
        <v>0</v>
      </c>
      <c r="AQ1666" s="21" t="n">
        <v>0</v>
      </c>
      <c r="AR1666" s="21" t="n">
        <v>0</v>
      </c>
      <c r="AS1666" s="21" t="n">
        <v>0</v>
      </c>
      <c r="AT1666" s="19" t="n"/>
    </row>
    <row r="1667">
      <c r="D1667" s="21" t="n">
        <v>0</v>
      </c>
      <c r="E1667" s="21" t="n">
        <v>0</v>
      </c>
      <c r="F1667" s="21" t="n">
        <v>0</v>
      </c>
      <c r="G1667" s="21" t="n">
        <v>0</v>
      </c>
      <c r="H1667" s="21">
        <f>-$B$18</f>
        <v/>
      </c>
      <c r="I1667" s="21">
        <f>-$B$19</f>
        <v/>
      </c>
      <c r="J1667" s="21">
        <f>2*$B$18+$D$1642</f>
        <v/>
      </c>
      <c r="K1667" s="21">
        <f>0</f>
        <v/>
      </c>
      <c r="L1667" s="21">
        <f>-$B$18</f>
        <v/>
      </c>
      <c r="M1667" s="21">
        <f>$B$19</f>
        <v/>
      </c>
      <c r="N1667" s="21" t="n">
        <v>0</v>
      </c>
      <c r="O1667" s="21" t="n">
        <v>0</v>
      </c>
      <c r="P1667" s="21" t="n">
        <v>0</v>
      </c>
      <c r="Q1667" s="21" t="n">
        <v>0</v>
      </c>
      <c r="R1667" s="21" t="n">
        <v>0</v>
      </c>
      <c r="S1667" s="21" t="n">
        <v>0</v>
      </c>
      <c r="T1667" s="21" t="n">
        <v>0</v>
      </c>
      <c r="U1667" s="21" t="n">
        <v>0</v>
      </c>
      <c r="V1667" s="21" t="n">
        <v>0</v>
      </c>
      <c r="W1667" s="21" t="n">
        <v>0</v>
      </c>
      <c r="X1667" s="21" t="n">
        <v>0</v>
      </c>
      <c r="Y1667" s="21" t="n">
        <v>0</v>
      </c>
      <c r="Z1667" s="21" t="n">
        <v>0</v>
      </c>
      <c r="AA1667" s="21" t="n">
        <v>0</v>
      </c>
      <c r="AB1667" s="21" t="n">
        <v>0</v>
      </c>
      <c r="AC1667" s="21" t="n">
        <v>0</v>
      </c>
      <c r="AD1667" s="21" t="n">
        <v>0</v>
      </c>
      <c r="AE1667" s="21" t="n">
        <v>0</v>
      </c>
      <c r="AF1667" s="21" t="n">
        <v>0</v>
      </c>
      <c r="AG1667" s="21" t="n">
        <v>0</v>
      </c>
      <c r="AH1667" s="21" t="n">
        <v>0</v>
      </c>
      <c r="AI1667" s="21" t="n">
        <v>0</v>
      </c>
      <c r="AJ1667" s="21" t="n">
        <v>0</v>
      </c>
      <c r="AK1667" s="21" t="n">
        <v>0</v>
      </c>
      <c r="AL1667" s="21" t="n">
        <v>0</v>
      </c>
      <c r="AM1667" s="21" t="n">
        <v>0</v>
      </c>
      <c r="AN1667" s="21" t="n">
        <v>0</v>
      </c>
      <c r="AO1667" s="21" t="n">
        <v>0</v>
      </c>
      <c r="AP1667" s="21" t="n">
        <v>0</v>
      </c>
      <c r="AQ1667" s="21" t="n">
        <v>0</v>
      </c>
      <c r="AR1667" s="21" t="n">
        <v>0</v>
      </c>
      <c r="AS1667" s="21" t="n">
        <v>0</v>
      </c>
      <c r="AT1667" s="19" t="n"/>
    </row>
    <row r="1668">
      <c r="D1668" s="21" t="n">
        <v>0</v>
      </c>
      <c r="E1668" s="21" t="n">
        <v>0</v>
      </c>
      <c r="F1668" s="21" t="n">
        <v>0</v>
      </c>
      <c r="G1668" s="21" t="n">
        <v>0</v>
      </c>
      <c r="H1668" s="21">
        <f>$B$19</f>
        <v/>
      </c>
      <c r="I1668" s="21">
        <f>$B$21</f>
        <v/>
      </c>
      <c r="J1668" s="21">
        <f>0</f>
        <v/>
      </c>
      <c r="K1668" s="21">
        <f>2*$B$20</f>
        <v/>
      </c>
      <c r="L1668" s="21">
        <f>-$B$19</f>
        <v/>
      </c>
      <c r="M1668" s="21">
        <f>$B$21</f>
        <v/>
      </c>
      <c r="N1668" s="21" t="n">
        <v>0</v>
      </c>
      <c r="O1668" s="21" t="n">
        <v>0</v>
      </c>
      <c r="P1668" s="21" t="n">
        <v>0</v>
      </c>
      <c r="Q1668" s="21" t="n">
        <v>0</v>
      </c>
      <c r="R1668" s="21" t="n">
        <v>0</v>
      </c>
      <c r="S1668" s="21" t="n">
        <v>0</v>
      </c>
      <c r="T1668" s="21" t="n">
        <v>0</v>
      </c>
      <c r="U1668" s="21" t="n">
        <v>0</v>
      </c>
      <c r="V1668" s="21" t="n">
        <v>0</v>
      </c>
      <c r="W1668" s="21" t="n">
        <v>0</v>
      </c>
      <c r="X1668" s="21" t="n">
        <v>0</v>
      </c>
      <c r="Y1668" s="21" t="n">
        <v>0</v>
      </c>
      <c r="Z1668" s="21" t="n">
        <v>0</v>
      </c>
      <c r="AA1668" s="21" t="n">
        <v>0</v>
      </c>
      <c r="AB1668" s="21" t="n">
        <v>0</v>
      </c>
      <c r="AC1668" s="21" t="n">
        <v>0</v>
      </c>
      <c r="AD1668" s="21" t="n">
        <v>0</v>
      </c>
      <c r="AE1668" s="21" t="n">
        <v>0</v>
      </c>
      <c r="AF1668" s="21" t="n">
        <v>0</v>
      </c>
      <c r="AG1668" s="21" t="n">
        <v>0</v>
      </c>
      <c r="AH1668" s="21" t="n">
        <v>0</v>
      </c>
      <c r="AI1668" s="21" t="n">
        <v>0</v>
      </c>
      <c r="AJ1668" s="21" t="n">
        <v>0</v>
      </c>
      <c r="AK1668" s="21" t="n">
        <v>0</v>
      </c>
      <c r="AL1668" s="21" t="n">
        <v>0</v>
      </c>
      <c r="AM1668" s="21" t="n">
        <v>0</v>
      </c>
      <c r="AN1668" s="21" t="n">
        <v>0</v>
      </c>
      <c r="AO1668" s="21" t="n">
        <v>0</v>
      </c>
      <c r="AP1668" s="21" t="n">
        <v>0</v>
      </c>
      <c r="AQ1668" s="21" t="n">
        <v>0</v>
      </c>
      <c r="AR1668" s="21" t="n">
        <v>0</v>
      </c>
      <c r="AS1668" s="21" t="n">
        <v>0</v>
      </c>
      <c r="AT1668" s="19" t="n"/>
    </row>
    <row r="1669">
      <c r="D1669" s="21" t="n">
        <v>0</v>
      </c>
      <c r="E1669" s="21" t="n">
        <v>0</v>
      </c>
      <c r="F1669" s="21" t="n">
        <v>0</v>
      </c>
      <c r="G1669" s="21" t="n">
        <v>0</v>
      </c>
      <c r="H1669" s="21" t="n">
        <v>0</v>
      </c>
      <c r="I1669" s="21" t="n">
        <v>0</v>
      </c>
      <c r="J1669" s="21">
        <f>-$B$18</f>
        <v/>
      </c>
      <c r="K1669" s="21">
        <f>-$B$19</f>
        <v/>
      </c>
      <c r="L1669" s="21">
        <f>2*$B$18+$D$1643</f>
        <v/>
      </c>
      <c r="M1669" s="21">
        <f>0</f>
        <v/>
      </c>
      <c r="N1669" s="21">
        <f>-$B$18</f>
        <v/>
      </c>
      <c r="O1669" s="21">
        <f>$B$19</f>
        <v/>
      </c>
      <c r="P1669" s="21" t="n">
        <v>0</v>
      </c>
      <c r="Q1669" s="21" t="n">
        <v>0</v>
      </c>
      <c r="R1669" s="21" t="n">
        <v>0</v>
      </c>
      <c r="S1669" s="21" t="n">
        <v>0</v>
      </c>
      <c r="T1669" s="21" t="n">
        <v>0</v>
      </c>
      <c r="U1669" s="21" t="n">
        <v>0</v>
      </c>
      <c r="V1669" s="21" t="n">
        <v>0</v>
      </c>
      <c r="W1669" s="21" t="n">
        <v>0</v>
      </c>
      <c r="X1669" s="21" t="n">
        <v>0</v>
      </c>
      <c r="Y1669" s="21" t="n">
        <v>0</v>
      </c>
      <c r="Z1669" s="21" t="n">
        <v>0</v>
      </c>
      <c r="AA1669" s="21" t="n">
        <v>0</v>
      </c>
      <c r="AB1669" s="21" t="n">
        <v>0</v>
      </c>
      <c r="AC1669" s="21" t="n">
        <v>0</v>
      </c>
      <c r="AD1669" s="21" t="n">
        <v>0</v>
      </c>
      <c r="AE1669" s="21" t="n">
        <v>0</v>
      </c>
      <c r="AF1669" s="21" t="n">
        <v>0</v>
      </c>
      <c r="AG1669" s="21" t="n">
        <v>0</v>
      </c>
      <c r="AH1669" s="21" t="n">
        <v>0</v>
      </c>
      <c r="AI1669" s="21" t="n">
        <v>0</v>
      </c>
      <c r="AJ1669" s="21" t="n">
        <v>0</v>
      </c>
      <c r="AK1669" s="21" t="n">
        <v>0</v>
      </c>
      <c r="AL1669" s="21" t="n">
        <v>0</v>
      </c>
      <c r="AM1669" s="21" t="n">
        <v>0</v>
      </c>
      <c r="AN1669" s="21" t="n">
        <v>0</v>
      </c>
      <c r="AO1669" s="21" t="n">
        <v>0</v>
      </c>
      <c r="AP1669" s="21" t="n">
        <v>0</v>
      </c>
      <c r="AQ1669" s="21" t="n">
        <v>0</v>
      </c>
      <c r="AR1669" s="21" t="n">
        <v>0</v>
      </c>
      <c r="AS1669" s="21" t="n">
        <v>0</v>
      </c>
      <c r="AT1669" s="19" t="n"/>
    </row>
    <row r="1670">
      <c r="D1670" s="21" t="n">
        <v>0</v>
      </c>
      <c r="E1670" s="21" t="n">
        <v>0</v>
      </c>
      <c r="F1670" s="21" t="n">
        <v>0</v>
      </c>
      <c r="G1670" s="21" t="n">
        <v>0</v>
      </c>
      <c r="H1670" s="21" t="n">
        <v>0</v>
      </c>
      <c r="I1670" s="21" t="n">
        <v>0</v>
      </c>
      <c r="J1670" s="21">
        <f>$B$19</f>
        <v/>
      </c>
      <c r="K1670" s="21">
        <f>$B$21</f>
        <v/>
      </c>
      <c r="L1670" s="21">
        <f>0</f>
        <v/>
      </c>
      <c r="M1670" s="21">
        <f>2*$B$20</f>
        <v/>
      </c>
      <c r="N1670" s="21">
        <f>-$B$19</f>
        <v/>
      </c>
      <c r="O1670" s="21">
        <f>$B$21</f>
        <v/>
      </c>
      <c r="P1670" s="21" t="n">
        <v>0</v>
      </c>
      <c r="Q1670" s="21" t="n">
        <v>0</v>
      </c>
      <c r="R1670" s="21" t="n">
        <v>0</v>
      </c>
      <c r="S1670" s="21" t="n">
        <v>0</v>
      </c>
      <c r="T1670" s="21" t="n">
        <v>0</v>
      </c>
      <c r="U1670" s="21" t="n">
        <v>0</v>
      </c>
      <c r="V1670" s="21" t="n">
        <v>0</v>
      </c>
      <c r="W1670" s="21" t="n">
        <v>0</v>
      </c>
      <c r="X1670" s="21" t="n">
        <v>0</v>
      </c>
      <c r="Y1670" s="21" t="n">
        <v>0</v>
      </c>
      <c r="Z1670" s="21" t="n">
        <v>0</v>
      </c>
      <c r="AA1670" s="21" t="n">
        <v>0</v>
      </c>
      <c r="AB1670" s="21" t="n">
        <v>0</v>
      </c>
      <c r="AC1670" s="21" t="n">
        <v>0</v>
      </c>
      <c r="AD1670" s="21" t="n">
        <v>0</v>
      </c>
      <c r="AE1670" s="21" t="n">
        <v>0</v>
      </c>
      <c r="AF1670" s="21" t="n">
        <v>0</v>
      </c>
      <c r="AG1670" s="21" t="n">
        <v>0</v>
      </c>
      <c r="AH1670" s="21" t="n">
        <v>0</v>
      </c>
      <c r="AI1670" s="21" t="n">
        <v>0</v>
      </c>
      <c r="AJ1670" s="21" t="n">
        <v>0</v>
      </c>
      <c r="AK1670" s="21" t="n">
        <v>0</v>
      </c>
      <c r="AL1670" s="21" t="n">
        <v>0</v>
      </c>
      <c r="AM1670" s="21" t="n">
        <v>0</v>
      </c>
      <c r="AN1670" s="21" t="n">
        <v>0</v>
      </c>
      <c r="AO1670" s="21" t="n">
        <v>0</v>
      </c>
      <c r="AP1670" s="21" t="n">
        <v>0</v>
      </c>
      <c r="AQ1670" s="21" t="n">
        <v>0</v>
      </c>
      <c r="AR1670" s="21" t="n">
        <v>0</v>
      </c>
      <c r="AS1670" s="21" t="n">
        <v>0</v>
      </c>
      <c r="AT1670" s="19" t="n"/>
    </row>
    <row r="1671">
      <c r="D1671" s="21" t="n">
        <v>0</v>
      </c>
      <c r="E1671" s="21" t="n">
        <v>0</v>
      </c>
      <c r="F1671" s="21" t="n">
        <v>0</v>
      </c>
      <c r="G1671" s="21" t="n">
        <v>0</v>
      </c>
      <c r="H1671" s="21" t="n">
        <v>0</v>
      </c>
      <c r="I1671" s="21" t="n">
        <v>0</v>
      </c>
      <c r="J1671" s="21" t="n">
        <v>0</v>
      </c>
      <c r="K1671" s="21" t="n">
        <v>0</v>
      </c>
      <c r="L1671" s="21">
        <f>-$B$18</f>
        <v/>
      </c>
      <c r="M1671" s="21">
        <f>-$B$19</f>
        <v/>
      </c>
      <c r="N1671" s="21">
        <f>2*$B$18+$D$1644</f>
        <v/>
      </c>
      <c r="O1671" s="21">
        <f>0</f>
        <v/>
      </c>
      <c r="P1671" s="21">
        <f>-$B$18</f>
        <v/>
      </c>
      <c r="Q1671" s="21">
        <f>$B$19</f>
        <v/>
      </c>
      <c r="R1671" s="21" t="n">
        <v>0</v>
      </c>
      <c r="S1671" s="21" t="n">
        <v>0</v>
      </c>
      <c r="T1671" s="21" t="n">
        <v>0</v>
      </c>
      <c r="U1671" s="21" t="n">
        <v>0</v>
      </c>
      <c r="V1671" s="21" t="n">
        <v>0</v>
      </c>
      <c r="W1671" s="21" t="n">
        <v>0</v>
      </c>
      <c r="X1671" s="21" t="n">
        <v>0</v>
      </c>
      <c r="Y1671" s="21" t="n">
        <v>0</v>
      </c>
      <c r="Z1671" s="21" t="n">
        <v>0</v>
      </c>
      <c r="AA1671" s="21" t="n">
        <v>0</v>
      </c>
      <c r="AB1671" s="21" t="n">
        <v>0</v>
      </c>
      <c r="AC1671" s="21" t="n">
        <v>0</v>
      </c>
      <c r="AD1671" s="21" t="n">
        <v>0</v>
      </c>
      <c r="AE1671" s="21" t="n">
        <v>0</v>
      </c>
      <c r="AF1671" s="21" t="n">
        <v>0</v>
      </c>
      <c r="AG1671" s="21" t="n">
        <v>0</v>
      </c>
      <c r="AH1671" s="21" t="n">
        <v>0</v>
      </c>
      <c r="AI1671" s="21" t="n">
        <v>0</v>
      </c>
      <c r="AJ1671" s="21" t="n">
        <v>0</v>
      </c>
      <c r="AK1671" s="21" t="n">
        <v>0</v>
      </c>
      <c r="AL1671" s="21" t="n">
        <v>0</v>
      </c>
      <c r="AM1671" s="21" t="n">
        <v>0</v>
      </c>
      <c r="AN1671" s="21" t="n">
        <v>0</v>
      </c>
      <c r="AO1671" s="21" t="n">
        <v>0</v>
      </c>
      <c r="AP1671" s="21" t="n">
        <v>0</v>
      </c>
      <c r="AQ1671" s="21" t="n">
        <v>0</v>
      </c>
      <c r="AR1671" s="21" t="n">
        <v>0</v>
      </c>
      <c r="AS1671" s="21" t="n">
        <v>0</v>
      </c>
      <c r="AT1671" s="19" t="n"/>
    </row>
    <row r="1672">
      <c r="D1672" s="21" t="n">
        <v>0</v>
      </c>
      <c r="E1672" s="21" t="n">
        <v>0</v>
      </c>
      <c r="F1672" s="21" t="n">
        <v>0</v>
      </c>
      <c r="G1672" s="21" t="n">
        <v>0</v>
      </c>
      <c r="H1672" s="21" t="n">
        <v>0</v>
      </c>
      <c r="I1672" s="21" t="n">
        <v>0</v>
      </c>
      <c r="J1672" s="21" t="n">
        <v>0</v>
      </c>
      <c r="K1672" s="21" t="n">
        <v>0</v>
      </c>
      <c r="L1672" s="21">
        <f>$B$19</f>
        <v/>
      </c>
      <c r="M1672" s="21">
        <f>$B$21</f>
        <v/>
      </c>
      <c r="N1672" s="21">
        <f>0</f>
        <v/>
      </c>
      <c r="O1672" s="21">
        <f>2*$B$20</f>
        <v/>
      </c>
      <c r="P1672" s="21">
        <f>-$B$19</f>
        <v/>
      </c>
      <c r="Q1672" s="21">
        <f>$B$21</f>
        <v/>
      </c>
      <c r="R1672" s="21" t="n">
        <v>0</v>
      </c>
      <c r="S1672" s="21" t="n">
        <v>0</v>
      </c>
      <c r="T1672" s="21" t="n">
        <v>0</v>
      </c>
      <c r="U1672" s="21" t="n">
        <v>0</v>
      </c>
      <c r="V1672" s="21" t="n">
        <v>0</v>
      </c>
      <c r="W1672" s="21" t="n">
        <v>0</v>
      </c>
      <c r="X1672" s="21" t="n">
        <v>0</v>
      </c>
      <c r="Y1672" s="21" t="n">
        <v>0</v>
      </c>
      <c r="Z1672" s="21" t="n">
        <v>0</v>
      </c>
      <c r="AA1672" s="21" t="n">
        <v>0</v>
      </c>
      <c r="AB1672" s="21" t="n">
        <v>0</v>
      </c>
      <c r="AC1672" s="21" t="n">
        <v>0</v>
      </c>
      <c r="AD1672" s="21" t="n">
        <v>0</v>
      </c>
      <c r="AE1672" s="21" t="n">
        <v>0</v>
      </c>
      <c r="AF1672" s="21" t="n">
        <v>0</v>
      </c>
      <c r="AG1672" s="21" t="n">
        <v>0</v>
      </c>
      <c r="AH1672" s="21" t="n">
        <v>0</v>
      </c>
      <c r="AI1672" s="21" t="n">
        <v>0</v>
      </c>
      <c r="AJ1672" s="21" t="n">
        <v>0</v>
      </c>
      <c r="AK1672" s="21" t="n">
        <v>0</v>
      </c>
      <c r="AL1672" s="21" t="n">
        <v>0</v>
      </c>
      <c r="AM1672" s="21" t="n">
        <v>0</v>
      </c>
      <c r="AN1672" s="21" t="n">
        <v>0</v>
      </c>
      <c r="AO1672" s="21" t="n">
        <v>0</v>
      </c>
      <c r="AP1672" s="21" t="n">
        <v>0</v>
      </c>
      <c r="AQ1672" s="21" t="n">
        <v>0</v>
      </c>
      <c r="AR1672" s="21" t="n">
        <v>0</v>
      </c>
      <c r="AS1672" s="21" t="n">
        <v>0</v>
      </c>
      <c r="AT1672" s="19" t="n"/>
    </row>
    <row r="1673">
      <c r="D1673" s="21" t="n">
        <v>0</v>
      </c>
      <c r="E1673" s="21" t="n">
        <v>0</v>
      </c>
      <c r="F1673" s="21" t="n">
        <v>0</v>
      </c>
      <c r="G1673" s="21" t="n">
        <v>0</v>
      </c>
      <c r="H1673" s="21" t="n">
        <v>0</v>
      </c>
      <c r="I1673" s="21" t="n">
        <v>0</v>
      </c>
      <c r="J1673" s="21" t="n">
        <v>0</v>
      </c>
      <c r="K1673" s="21" t="n">
        <v>0</v>
      </c>
      <c r="L1673" s="21" t="n">
        <v>0</v>
      </c>
      <c r="M1673" s="21" t="n">
        <v>0</v>
      </c>
      <c r="N1673" s="21">
        <f>-$B$18</f>
        <v/>
      </c>
      <c r="O1673" s="21">
        <f>-$B$19</f>
        <v/>
      </c>
      <c r="P1673" s="21">
        <f>2*$B$18+$D$1645</f>
        <v/>
      </c>
      <c r="Q1673" s="21">
        <f>0</f>
        <v/>
      </c>
      <c r="R1673" s="21">
        <f>-$B$18</f>
        <v/>
      </c>
      <c r="S1673" s="21">
        <f>$B$19</f>
        <v/>
      </c>
      <c r="T1673" s="21" t="n">
        <v>0</v>
      </c>
      <c r="U1673" s="21" t="n">
        <v>0</v>
      </c>
      <c r="V1673" s="21" t="n">
        <v>0</v>
      </c>
      <c r="W1673" s="21" t="n">
        <v>0</v>
      </c>
      <c r="X1673" s="21" t="n">
        <v>0</v>
      </c>
      <c r="Y1673" s="21" t="n">
        <v>0</v>
      </c>
      <c r="Z1673" s="21" t="n">
        <v>0</v>
      </c>
      <c r="AA1673" s="21" t="n">
        <v>0</v>
      </c>
      <c r="AB1673" s="21" t="n">
        <v>0</v>
      </c>
      <c r="AC1673" s="21" t="n">
        <v>0</v>
      </c>
      <c r="AD1673" s="21" t="n">
        <v>0</v>
      </c>
      <c r="AE1673" s="21" t="n">
        <v>0</v>
      </c>
      <c r="AF1673" s="21" t="n">
        <v>0</v>
      </c>
      <c r="AG1673" s="21" t="n">
        <v>0</v>
      </c>
      <c r="AH1673" s="21" t="n">
        <v>0</v>
      </c>
      <c r="AI1673" s="21" t="n">
        <v>0</v>
      </c>
      <c r="AJ1673" s="21" t="n">
        <v>0</v>
      </c>
      <c r="AK1673" s="21" t="n">
        <v>0</v>
      </c>
      <c r="AL1673" s="21" t="n">
        <v>0</v>
      </c>
      <c r="AM1673" s="21" t="n">
        <v>0</v>
      </c>
      <c r="AN1673" s="21" t="n">
        <v>0</v>
      </c>
      <c r="AO1673" s="21" t="n">
        <v>0</v>
      </c>
      <c r="AP1673" s="21" t="n">
        <v>0</v>
      </c>
      <c r="AQ1673" s="21" t="n">
        <v>0</v>
      </c>
      <c r="AR1673" s="21" t="n">
        <v>0</v>
      </c>
      <c r="AS1673" s="21" t="n">
        <v>0</v>
      </c>
      <c r="AT1673" s="19" t="n"/>
    </row>
    <row r="1674">
      <c r="D1674" s="21" t="n">
        <v>0</v>
      </c>
      <c r="E1674" s="21" t="n">
        <v>0</v>
      </c>
      <c r="F1674" s="21" t="n">
        <v>0</v>
      </c>
      <c r="G1674" s="21" t="n">
        <v>0</v>
      </c>
      <c r="H1674" s="21" t="n">
        <v>0</v>
      </c>
      <c r="I1674" s="21" t="n">
        <v>0</v>
      </c>
      <c r="J1674" s="21" t="n">
        <v>0</v>
      </c>
      <c r="K1674" s="21" t="n">
        <v>0</v>
      </c>
      <c r="L1674" s="21" t="n">
        <v>0</v>
      </c>
      <c r="M1674" s="21" t="n">
        <v>0</v>
      </c>
      <c r="N1674" s="21">
        <f>$B$19</f>
        <v/>
      </c>
      <c r="O1674" s="21">
        <f>$B$21</f>
        <v/>
      </c>
      <c r="P1674" s="21">
        <f>0</f>
        <v/>
      </c>
      <c r="Q1674" s="21">
        <f>2*$B$20</f>
        <v/>
      </c>
      <c r="R1674" s="21">
        <f>-$B$19</f>
        <v/>
      </c>
      <c r="S1674" s="21">
        <f>$B$21</f>
        <v/>
      </c>
      <c r="T1674" s="21" t="n">
        <v>0</v>
      </c>
      <c r="U1674" s="21" t="n">
        <v>0</v>
      </c>
      <c r="V1674" s="21" t="n">
        <v>0</v>
      </c>
      <c r="W1674" s="21" t="n">
        <v>0</v>
      </c>
      <c r="X1674" s="21" t="n">
        <v>0</v>
      </c>
      <c r="Y1674" s="21" t="n">
        <v>0</v>
      </c>
      <c r="Z1674" s="21" t="n">
        <v>0</v>
      </c>
      <c r="AA1674" s="21" t="n">
        <v>0</v>
      </c>
      <c r="AB1674" s="21" t="n">
        <v>0</v>
      </c>
      <c r="AC1674" s="21" t="n">
        <v>0</v>
      </c>
      <c r="AD1674" s="21" t="n">
        <v>0</v>
      </c>
      <c r="AE1674" s="21" t="n">
        <v>0</v>
      </c>
      <c r="AF1674" s="21" t="n">
        <v>0</v>
      </c>
      <c r="AG1674" s="21" t="n">
        <v>0</v>
      </c>
      <c r="AH1674" s="21" t="n">
        <v>0</v>
      </c>
      <c r="AI1674" s="21" t="n">
        <v>0</v>
      </c>
      <c r="AJ1674" s="21" t="n">
        <v>0</v>
      </c>
      <c r="AK1674" s="21" t="n">
        <v>0</v>
      </c>
      <c r="AL1674" s="21" t="n">
        <v>0</v>
      </c>
      <c r="AM1674" s="21" t="n">
        <v>0</v>
      </c>
      <c r="AN1674" s="21" t="n">
        <v>0</v>
      </c>
      <c r="AO1674" s="21" t="n">
        <v>0</v>
      </c>
      <c r="AP1674" s="21" t="n">
        <v>0</v>
      </c>
      <c r="AQ1674" s="21" t="n">
        <v>0</v>
      </c>
      <c r="AR1674" s="21" t="n">
        <v>0</v>
      </c>
      <c r="AS1674" s="21" t="n">
        <v>0</v>
      </c>
      <c r="AT1674" s="19" t="n"/>
    </row>
    <row r="1675">
      <c r="D1675" s="21" t="n">
        <v>0</v>
      </c>
      <c r="E1675" s="21" t="n">
        <v>0</v>
      </c>
      <c r="F1675" s="21" t="n">
        <v>0</v>
      </c>
      <c r="G1675" s="21" t="n">
        <v>0</v>
      </c>
      <c r="H1675" s="21" t="n">
        <v>0</v>
      </c>
      <c r="I1675" s="21" t="n">
        <v>0</v>
      </c>
      <c r="J1675" s="21" t="n">
        <v>0</v>
      </c>
      <c r="K1675" s="21" t="n">
        <v>0</v>
      </c>
      <c r="L1675" s="21" t="n">
        <v>0</v>
      </c>
      <c r="M1675" s="21" t="n">
        <v>0</v>
      </c>
      <c r="N1675" s="21" t="n">
        <v>0</v>
      </c>
      <c r="O1675" s="21" t="n">
        <v>0</v>
      </c>
      <c r="P1675" s="21">
        <f>-$B$18</f>
        <v/>
      </c>
      <c r="Q1675" s="21">
        <f>-$B$19</f>
        <v/>
      </c>
      <c r="R1675" s="21">
        <f>2*$B$18+$D$1646</f>
        <v/>
      </c>
      <c r="S1675" s="21">
        <f>0</f>
        <v/>
      </c>
      <c r="T1675" s="21">
        <f>-$B$18</f>
        <v/>
      </c>
      <c r="U1675" s="21">
        <f>$B$19</f>
        <v/>
      </c>
      <c r="V1675" s="21" t="n">
        <v>0</v>
      </c>
      <c r="W1675" s="21" t="n">
        <v>0</v>
      </c>
      <c r="X1675" s="21" t="n">
        <v>0</v>
      </c>
      <c r="Y1675" s="21" t="n">
        <v>0</v>
      </c>
      <c r="Z1675" s="21" t="n">
        <v>0</v>
      </c>
      <c r="AA1675" s="21" t="n">
        <v>0</v>
      </c>
      <c r="AB1675" s="21" t="n">
        <v>0</v>
      </c>
      <c r="AC1675" s="21" t="n">
        <v>0</v>
      </c>
      <c r="AD1675" s="21" t="n">
        <v>0</v>
      </c>
      <c r="AE1675" s="21" t="n">
        <v>0</v>
      </c>
      <c r="AF1675" s="21" t="n">
        <v>0</v>
      </c>
      <c r="AG1675" s="21" t="n">
        <v>0</v>
      </c>
      <c r="AH1675" s="21" t="n">
        <v>0</v>
      </c>
      <c r="AI1675" s="21" t="n">
        <v>0</v>
      </c>
      <c r="AJ1675" s="21" t="n">
        <v>0</v>
      </c>
      <c r="AK1675" s="21" t="n">
        <v>0</v>
      </c>
      <c r="AL1675" s="21" t="n">
        <v>0</v>
      </c>
      <c r="AM1675" s="21" t="n">
        <v>0</v>
      </c>
      <c r="AN1675" s="21" t="n">
        <v>0</v>
      </c>
      <c r="AO1675" s="21" t="n">
        <v>0</v>
      </c>
      <c r="AP1675" s="21" t="n">
        <v>0</v>
      </c>
      <c r="AQ1675" s="21" t="n">
        <v>0</v>
      </c>
      <c r="AR1675" s="21" t="n">
        <v>0</v>
      </c>
      <c r="AS1675" s="21" t="n">
        <v>0</v>
      </c>
      <c r="AT1675" s="19" t="n"/>
    </row>
    <row r="1676">
      <c r="D1676" s="21" t="n">
        <v>0</v>
      </c>
      <c r="E1676" s="21" t="n">
        <v>0</v>
      </c>
      <c r="F1676" s="21" t="n">
        <v>0</v>
      </c>
      <c r="G1676" s="21" t="n">
        <v>0</v>
      </c>
      <c r="H1676" s="21" t="n">
        <v>0</v>
      </c>
      <c r="I1676" s="21" t="n">
        <v>0</v>
      </c>
      <c r="J1676" s="21" t="n">
        <v>0</v>
      </c>
      <c r="K1676" s="21" t="n">
        <v>0</v>
      </c>
      <c r="L1676" s="21" t="n">
        <v>0</v>
      </c>
      <c r="M1676" s="21" t="n">
        <v>0</v>
      </c>
      <c r="N1676" s="21" t="n">
        <v>0</v>
      </c>
      <c r="O1676" s="21" t="n">
        <v>0</v>
      </c>
      <c r="P1676" s="21">
        <f>$B$19</f>
        <v/>
      </c>
      <c r="Q1676" s="21">
        <f>$B$21</f>
        <v/>
      </c>
      <c r="R1676" s="21">
        <f>0</f>
        <v/>
      </c>
      <c r="S1676" s="21">
        <f>2*$B$20</f>
        <v/>
      </c>
      <c r="T1676" s="21">
        <f>-$B$19</f>
        <v/>
      </c>
      <c r="U1676" s="21">
        <f>$B$21</f>
        <v/>
      </c>
      <c r="V1676" s="21" t="n">
        <v>0</v>
      </c>
      <c r="W1676" s="21" t="n">
        <v>0</v>
      </c>
      <c r="X1676" s="21" t="n">
        <v>0</v>
      </c>
      <c r="Y1676" s="21" t="n">
        <v>0</v>
      </c>
      <c r="Z1676" s="21" t="n">
        <v>0</v>
      </c>
      <c r="AA1676" s="21" t="n">
        <v>0</v>
      </c>
      <c r="AB1676" s="21" t="n">
        <v>0</v>
      </c>
      <c r="AC1676" s="21" t="n">
        <v>0</v>
      </c>
      <c r="AD1676" s="21" t="n">
        <v>0</v>
      </c>
      <c r="AE1676" s="21" t="n">
        <v>0</v>
      </c>
      <c r="AF1676" s="21" t="n">
        <v>0</v>
      </c>
      <c r="AG1676" s="21" t="n">
        <v>0</v>
      </c>
      <c r="AH1676" s="21" t="n">
        <v>0</v>
      </c>
      <c r="AI1676" s="21" t="n">
        <v>0</v>
      </c>
      <c r="AJ1676" s="21" t="n">
        <v>0</v>
      </c>
      <c r="AK1676" s="21" t="n">
        <v>0</v>
      </c>
      <c r="AL1676" s="21" t="n">
        <v>0</v>
      </c>
      <c r="AM1676" s="21" t="n">
        <v>0</v>
      </c>
      <c r="AN1676" s="21" t="n">
        <v>0</v>
      </c>
      <c r="AO1676" s="21" t="n">
        <v>0</v>
      </c>
      <c r="AP1676" s="21" t="n">
        <v>0</v>
      </c>
      <c r="AQ1676" s="21" t="n">
        <v>0</v>
      </c>
      <c r="AR1676" s="21" t="n">
        <v>0</v>
      </c>
      <c r="AS1676" s="21" t="n">
        <v>0</v>
      </c>
      <c r="AT1676" s="19" t="n"/>
    </row>
    <row r="1677">
      <c r="D1677" s="21" t="n">
        <v>0</v>
      </c>
      <c r="E1677" s="21" t="n">
        <v>0</v>
      </c>
      <c r="F1677" s="21" t="n">
        <v>0</v>
      </c>
      <c r="G1677" s="21" t="n">
        <v>0</v>
      </c>
      <c r="H1677" s="21" t="n">
        <v>0</v>
      </c>
      <c r="I1677" s="21" t="n">
        <v>0</v>
      </c>
      <c r="J1677" s="21" t="n">
        <v>0</v>
      </c>
      <c r="K1677" s="21" t="n">
        <v>0</v>
      </c>
      <c r="L1677" s="21" t="n">
        <v>0</v>
      </c>
      <c r="M1677" s="21" t="n">
        <v>0</v>
      </c>
      <c r="N1677" s="21" t="n">
        <v>0</v>
      </c>
      <c r="O1677" s="21" t="n">
        <v>0</v>
      </c>
      <c r="P1677" s="21" t="n">
        <v>0</v>
      </c>
      <c r="Q1677" s="21" t="n">
        <v>0</v>
      </c>
      <c r="R1677" s="21">
        <f>-$B$18</f>
        <v/>
      </c>
      <c r="S1677" s="21">
        <f>-$B$19</f>
        <v/>
      </c>
      <c r="T1677" s="21">
        <f>2*$B$18+$D$1647</f>
        <v/>
      </c>
      <c r="U1677" s="21">
        <f>0</f>
        <v/>
      </c>
      <c r="V1677" s="21">
        <f>-$B$18</f>
        <v/>
      </c>
      <c r="W1677" s="21">
        <f>$B$19</f>
        <v/>
      </c>
      <c r="X1677" s="21" t="n">
        <v>0</v>
      </c>
      <c r="Y1677" s="21" t="n">
        <v>0</v>
      </c>
      <c r="Z1677" s="21" t="n">
        <v>0</v>
      </c>
      <c r="AA1677" s="21" t="n">
        <v>0</v>
      </c>
      <c r="AB1677" s="21" t="n">
        <v>0</v>
      </c>
      <c r="AC1677" s="21" t="n">
        <v>0</v>
      </c>
      <c r="AD1677" s="21" t="n">
        <v>0</v>
      </c>
      <c r="AE1677" s="21" t="n">
        <v>0</v>
      </c>
      <c r="AF1677" s="21" t="n">
        <v>0</v>
      </c>
      <c r="AG1677" s="21" t="n">
        <v>0</v>
      </c>
      <c r="AH1677" s="21" t="n">
        <v>0</v>
      </c>
      <c r="AI1677" s="21" t="n">
        <v>0</v>
      </c>
      <c r="AJ1677" s="21" t="n">
        <v>0</v>
      </c>
      <c r="AK1677" s="21" t="n">
        <v>0</v>
      </c>
      <c r="AL1677" s="21" t="n">
        <v>0</v>
      </c>
      <c r="AM1677" s="21" t="n">
        <v>0</v>
      </c>
      <c r="AN1677" s="21" t="n">
        <v>0</v>
      </c>
      <c r="AO1677" s="21" t="n">
        <v>0</v>
      </c>
      <c r="AP1677" s="21" t="n">
        <v>0</v>
      </c>
      <c r="AQ1677" s="21" t="n">
        <v>0</v>
      </c>
      <c r="AR1677" s="21" t="n">
        <v>0</v>
      </c>
      <c r="AS1677" s="21" t="n">
        <v>0</v>
      </c>
      <c r="AT1677" s="19" t="n"/>
    </row>
    <row r="1678">
      <c r="D1678" s="21" t="n">
        <v>0</v>
      </c>
      <c r="E1678" s="21" t="n">
        <v>0</v>
      </c>
      <c r="F1678" s="21" t="n">
        <v>0</v>
      </c>
      <c r="G1678" s="21" t="n">
        <v>0</v>
      </c>
      <c r="H1678" s="21" t="n">
        <v>0</v>
      </c>
      <c r="I1678" s="21" t="n">
        <v>0</v>
      </c>
      <c r="J1678" s="21" t="n">
        <v>0</v>
      </c>
      <c r="K1678" s="21" t="n">
        <v>0</v>
      </c>
      <c r="L1678" s="21" t="n">
        <v>0</v>
      </c>
      <c r="M1678" s="21" t="n">
        <v>0</v>
      </c>
      <c r="N1678" s="21" t="n">
        <v>0</v>
      </c>
      <c r="O1678" s="21" t="n">
        <v>0</v>
      </c>
      <c r="P1678" s="21" t="n">
        <v>0</v>
      </c>
      <c r="Q1678" s="21" t="n">
        <v>0</v>
      </c>
      <c r="R1678" s="21">
        <f>$B$19</f>
        <v/>
      </c>
      <c r="S1678" s="21">
        <f>$B$21</f>
        <v/>
      </c>
      <c r="T1678" s="21">
        <f>0</f>
        <v/>
      </c>
      <c r="U1678" s="21">
        <f>2*$B$20</f>
        <v/>
      </c>
      <c r="V1678" s="21">
        <f>-$B$19</f>
        <v/>
      </c>
      <c r="W1678" s="21">
        <f>$B$21</f>
        <v/>
      </c>
      <c r="X1678" s="21" t="n">
        <v>0</v>
      </c>
      <c r="Y1678" s="21" t="n">
        <v>0</v>
      </c>
      <c r="Z1678" s="21" t="n">
        <v>0</v>
      </c>
      <c r="AA1678" s="21" t="n">
        <v>0</v>
      </c>
      <c r="AB1678" s="21" t="n">
        <v>0</v>
      </c>
      <c r="AC1678" s="21" t="n">
        <v>0</v>
      </c>
      <c r="AD1678" s="21" t="n">
        <v>0</v>
      </c>
      <c r="AE1678" s="21" t="n">
        <v>0</v>
      </c>
      <c r="AF1678" s="21" t="n">
        <v>0</v>
      </c>
      <c r="AG1678" s="21" t="n">
        <v>0</v>
      </c>
      <c r="AH1678" s="21" t="n">
        <v>0</v>
      </c>
      <c r="AI1678" s="21" t="n">
        <v>0</v>
      </c>
      <c r="AJ1678" s="21" t="n">
        <v>0</v>
      </c>
      <c r="AK1678" s="21" t="n">
        <v>0</v>
      </c>
      <c r="AL1678" s="21" t="n">
        <v>0</v>
      </c>
      <c r="AM1678" s="21" t="n">
        <v>0</v>
      </c>
      <c r="AN1678" s="21" t="n">
        <v>0</v>
      </c>
      <c r="AO1678" s="21" t="n">
        <v>0</v>
      </c>
      <c r="AP1678" s="21" t="n">
        <v>0</v>
      </c>
      <c r="AQ1678" s="21" t="n">
        <v>0</v>
      </c>
      <c r="AR1678" s="21" t="n">
        <v>0</v>
      </c>
      <c r="AS1678" s="21" t="n">
        <v>0</v>
      </c>
      <c r="AT1678" s="19" t="n"/>
    </row>
    <row r="1679">
      <c r="D1679" s="21" t="n">
        <v>0</v>
      </c>
      <c r="E1679" s="21" t="n">
        <v>0</v>
      </c>
      <c r="F1679" s="21" t="n">
        <v>0</v>
      </c>
      <c r="G1679" s="21" t="n">
        <v>0</v>
      </c>
      <c r="H1679" s="21" t="n">
        <v>0</v>
      </c>
      <c r="I1679" s="21" t="n">
        <v>0</v>
      </c>
      <c r="J1679" s="21" t="n">
        <v>0</v>
      </c>
      <c r="K1679" s="21" t="n">
        <v>0</v>
      </c>
      <c r="L1679" s="21" t="n">
        <v>0</v>
      </c>
      <c r="M1679" s="21" t="n">
        <v>0</v>
      </c>
      <c r="N1679" s="21" t="n">
        <v>0</v>
      </c>
      <c r="O1679" s="21" t="n">
        <v>0</v>
      </c>
      <c r="P1679" s="21" t="n">
        <v>0</v>
      </c>
      <c r="Q1679" s="21" t="n">
        <v>0</v>
      </c>
      <c r="R1679" s="21" t="n">
        <v>0</v>
      </c>
      <c r="S1679" s="21" t="n">
        <v>0</v>
      </c>
      <c r="T1679" s="21">
        <f>-$B$18</f>
        <v/>
      </c>
      <c r="U1679" s="21">
        <f>-$B$19</f>
        <v/>
      </c>
      <c r="V1679" s="21">
        <f>2*$B$18+$D$1648</f>
        <v/>
      </c>
      <c r="W1679" s="21">
        <f>0</f>
        <v/>
      </c>
      <c r="X1679" s="21">
        <f>-$B$18</f>
        <v/>
      </c>
      <c r="Y1679" s="21">
        <f>$B$19</f>
        <v/>
      </c>
      <c r="Z1679" s="21" t="n">
        <v>0</v>
      </c>
      <c r="AA1679" s="21" t="n">
        <v>0</v>
      </c>
      <c r="AB1679" s="21" t="n">
        <v>0</v>
      </c>
      <c r="AC1679" s="21" t="n">
        <v>0</v>
      </c>
      <c r="AD1679" s="21" t="n">
        <v>0</v>
      </c>
      <c r="AE1679" s="21" t="n">
        <v>0</v>
      </c>
      <c r="AF1679" s="21" t="n">
        <v>0</v>
      </c>
      <c r="AG1679" s="21" t="n">
        <v>0</v>
      </c>
      <c r="AH1679" s="21" t="n">
        <v>0</v>
      </c>
      <c r="AI1679" s="21" t="n">
        <v>0</v>
      </c>
      <c r="AJ1679" s="21" t="n">
        <v>0</v>
      </c>
      <c r="AK1679" s="21" t="n">
        <v>0</v>
      </c>
      <c r="AL1679" s="21" t="n">
        <v>0</v>
      </c>
      <c r="AM1679" s="21" t="n">
        <v>0</v>
      </c>
      <c r="AN1679" s="21" t="n">
        <v>0</v>
      </c>
      <c r="AO1679" s="21" t="n">
        <v>0</v>
      </c>
      <c r="AP1679" s="21" t="n">
        <v>0</v>
      </c>
      <c r="AQ1679" s="21" t="n">
        <v>0</v>
      </c>
      <c r="AR1679" s="21" t="n">
        <v>0</v>
      </c>
      <c r="AS1679" s="21" t="n">
        <v>0</v>
      </c>
      <c r="AT1679" s="19" t="n"/>
    </row>
    <row r="1680">
      <c r="D1680" s="21" t="n">
        <v>0</v>
      </c>
      <c r="E1680" s="21" t="n">
        <v>0</v>
      </c>
      <c r="F1680" s="21" t="n">
        <v>0</v>
      </c>
      <c r="G1680" s="21" t="n">
        <v>0</v>
      </c>
      <c r="H1680" s="21" t="n">
        <v>0</v>
      </c>
      <c r="I1680" s="21" t="n">
        <v>0</v>
      </c>
      <c r="J1680" s="21" t="n">
        <v>0</v>
      </c>
      <c r="K1680" s="21" t="n">
        <v>0</v>
      </c>
      <c r="L1680" s="21" t="n">
        <v>0</v>
      </c>
      <c r="M1680" s="21" t="n">
        <v>0</v>
      </c>
      <c r="N1680" s="21" t="n">
        <v>0</v>
      </c>
      <c r="O1680" s="21" t="n">
        <v>0</v>
      </c>
      <c r="P1680" s="21" t="n">
        <v>0</v>
      </c>
      <c r="Q1680" s="21" t="n">
        <v>0</v>
      </c>
      <c r="R1680" s="21" t="n">
        <v>0</v>
      </c>
      <c r="S1680" s="21" t="n">
        <v>0</v>
      </c>
      <c r="T1680" s="21">
        <f>$B$19</f>
        <v/>
      </c>
      <c r="U1680" s="21">
        <f>$B$21</f>
        <v/>
      </c>
      <c r="V1680" s="21">
        <f>0</f>
        <v/>
      </c>
      <c r="W1680" s="21">
        <f>2*$B$20</f>
        <v/>
      </c>
      <c r="X1680" s="21">
        <f>-$B$19</f>
        <v/>
      </c>
      <c r="Y1680" s="21">
        <f>$B$21</f>
        <v/>
      </c>
      <c r="Z1680" s="21" t="n">
        <v>0</v>
      </c>
      <c r="AA1680" s="21" t="n">
        <v>0</v>
      </c>
      <c r="AB1680" s="21" t="n">
        <v>0</v>
      </c>
      <c r="AC1680" s="21" t="n">
        <v>0</v>
      </c>
      <c r="AD1680" s="21" t="n">
        <v>0</v>
      </c>
      <c r="AE1680" s="21" t="n">
        <v>0</v>
      </c>
      <c r="AF1680" s="21" t="n">
        <v>0</v>
      </c>
      <c r="AG1680" s="21" t="n">
        <v>0</v>
      </c>
      <c r="AH1680" s="21" t="n">
        <v>0</v>
      </c>
      <c r="AI1680" s="21" t="n">
        <v>0</v>
      </c>
      <c r="AJ1680" s="21" t="n">
        <v>0</v>
      </c>
      <c r="AK1680" s="21" t="n">
        <v>0</v>
      </c>
      <c r="AL1680" s="21" t="n">
        <v>0</v>
      </c>
      <c r="AM1680" s="21" t="n">
        <v>0</v>
      </c>
      <c r="AN1680" s="21" t="n">
        <v>0</v>
      </c>
      <c r="AO1680" s="21" t="n">
        <v>0</v>
      </c>
      <c r="AP1680" s="21" t="n">
        <v>0</v>
      </c>
      <c r="AQ1680" s="21" t="n">
        <v>0</v>
      </c>
      <c r="AR1680" s="21" t="n">
        <v>0</v>
      </c>
      <c r="AS1680" s="21" t="n">
        <v>0</v>
      </c>
      <c r="AT1680" s="19" t="n"/>
    </row>
    <row r="1681">
      <c r="D1681" s="21" t="n">
        <v>0</v>
      </c>
      <c r="E1681" s="21" t="n">
        <v>0</v>
      </c>
      <c r="F1681" s="21" t="n">
        <v>0</v>
      </c>
      <c r="G1681" s="21" t="n">
        <v>0</v>
      </c>
      <c r="H1681" s="21" t="n">
        <v>0</v>
      </c>
      <c r="I1681" s="21" t="n">
        <v>0</v>
      </c>
      <c r="J1681" s="21" t="n">
        <v>0</v>
      </c>
      <c r="K1681" s="21" t="n">
        <v>0</v>
      </c>
      <c r="L1681" s="21" t="n">
        <v>0</v>
      </c>
      <c r="M1681" s="21" t="n">
        <v>0</v>
      </c>
      <c r="N1681" s="21" t="n">
        <v>0</v>
      </c>
      <c r="O1681" s="21" t="n">
        <v>0</v>
      </c>
      <c r="P1681" s="21" t="n">
        <v>0</v>
      </c>
      <c r="Q1681" s="21" t="n">
        <v>0</v>
      </c>
      <c r="R1681" s="21" t="n">
        <v>0</v>
      </c>
      <c r="S1681" s="21" t="n">
        <v>0</v>
      </c>
      <c r="T1681" s="21" t="n">
        <v>0</v>
      </c>
      <c r="U1681" s="21" t="n">
        <v>0</v>
      </c>
      <c r="V1681" s="21">
        <f>-$B$18</f>
        <v/>
      </c>
      <c r="W1681" s="21">
        <f>-$B$19</f>
        <v/>
      </c>
      <c r="X1681" s="21">
        <f>2*$B$18+$D$1649</f>
        <v/>
      </c>
      <c r="Y1681" s="21">
        <f>0</f>
        <v/>
      </c>
      <c r="Z1681" s="21">
        <f>-$B$18</f>
        <v/>
      </c>
      <c r="AA1681" s="21">
        <f>$B$19</f>
        <v/>
      </c>
      <c r="AB1681" s="21" t="n">
        <v>0</v>
      </c>
      <c r="AC1681" s="21" t="n">
        <v>0</v>
      </c>
      <c r="AD1681" s="21" t="n">
        <v>0</v>
      </c>
      <c r="AE1681" s="21" t="n">
        <v>0</v>
      </c>
      <c r="AF1681" s="21" t="n">
        <v>0</v>
      </c>
      <c r="AG1681" s="21" t="n">
        <v>0</v>
      </c>
      <c r="AH1681" s="21" t="n">
        <v>0</v>
      </c>
      <c r="AI1681" s="21" t="n">
        <v>0</v>
      </c>
      <c r="AJ1681" s="21" t="n">
        <v>0</v>
      </c>
      <c r="AK1681" s="21" t="n">
        <v>0</v>
      </c>
      <c r="AL1681" s="21" t="n">
        <v>0</v>
      </c>
      <c r="AM1681" s="21" t="n">
        <v>0</v>
      </c>
      <c r="AN1681" s="21" t="n">
        <v>0</v>
      </c>
      <c r="AO1681" s="21" t="n">
        <v>0</v>
      </c>
      <c r="AP1681" s="21" t="n">
        <v>0</v>
      </c>
      <c r="AQ1681" s="21" t="n">
        <v>0</v>
      </c>
      <c r="AR1681" s="21" t="n">
        <v>0</v>
      </c>
      <c r="AS1681" s="21" t="n">
        <v>0</v>
      </c>
      <c r="AT1681" s="19" t="n"/>
    </row>
    <row r="1682">
      <c r="D1682" s="21" t="n">
        <v>0</v>
      </c>
      <c r="E1682" s="21" t="n">
        <v>0</v>
      </c>
      <c r="F1682" s="21" t="n">
        <v>0</v>
      </c>
      <c r="G1682" s="21" t="n">
        <v>0</v>
      </c>
      <c r="H1682" s="21" t="n">
        <v>0</v>
      </c>
      <c r="I1682" s="21" t="n">
        <v>0</v>
      </c>
      <c r="J1682" s="21" t="n">
        <v>0</v>
      </c>
      <c r="K1682" s="21" t="n">
        <v>0</v>
      </c>
      <c r="L1682" s="21" t="n">
        <v>0</v>
      </c>
      <c r="M1682" s="21" t="n">
        <v>0</v>
      </c>
      <c r="N1682" s="21" t="n">
        <v>0</v>
      </c>
      <c r="O1682" s="21" t="n">
        <v>0</v>
      </c>
      <c r="P1682" s="21" t="n">
        <v>0</v>
      </c>
      <c r="Q1682" s="21" t="n">
        <v>0</v>
      </c>
      <c r="R1682" s="21" t="n">
        <v>0</v>
      </c>
      <c r="S1682" s="21" t="n">
        <v>0</v>
      </c>
      <c r="T1682" s="21" t="n">
        <v>0</v>
      </c>
      <c r="U1682" s="21" t="n">
        <v>0</v>
      </c>
      <c r="V1682" s="21">
        <f>$B$19</f>
        <v/>
      </c>
      <c r="W1682" s="21">
        <f>$B$21</f>
        <v/>
      </c>
      <c r="X1682" s="21">
        <f>0</f>
        <v/>
      </c>
      <c r="Y1682" s="21">
        <f>2*$B$20</f>
        <v/>
      </c>
      <c r="Z1682" s="21">
        <f>-$B$19</f>
        <v/>
      </c>
      <c r="AA1682" s="21">
        <f>$B$21</f>
        <v/>
      </c>
      <c r="AB1682" s="21" t="n">
        <v>0</v>
      </c>
      <c r="AC1682" s="21" t="n">
        <v>0</v>
      </c>
      <c r="AD1682" s="21" t="n">
        <v>0</v>
      </c>
      <c r="AE1682" s="21" t="n">
        <v>0</v>
      </c>
      <c r="AF1682" s="21" t="n">
        <v>0</v>
      </c>
      <c r="AG1682" s="21" t="n">
        <v>0</v>
      </c>
      <c r="AH1682" s="21" t="n">
        <v>0</v>
      </c>
      <c r="AI1682" s="21" t="n">
        <v>0</v>
      </c>
      <c r="AJ1682" s="21" t="n">
        <v>0</v>
      </c>
      <c r="AK1682" s="21" t="n">
        <v>0</v>
      </c>
      <c r="AL1682" s="21" t="n">
        <v>0</v>
      </c>
      <c r="AM1682" s="21" t="n">
        <v>0</v>
      </c>
      <c r="AN1682" s="21" t="n">
        <v>0</v>
      </c>
      <c r="AO1682" s="21" t="n">
        <v>0</v>
      </c>
      <c r="AP1682" s="21" t="n">
        <v>0</v>
      </c>
      <c r="AQ1682" s="21" t="n">
        <v>0</v>
      </c>
      <c r="AR1682" s="21" t="n">
        <v>0</v>
      </c>
      <c r="AS1682" s="21" t="n">
        <v>0</v>
      </c>
      <c r="AT1682" s="19" t="n"/>
    </row>
    <row r="1683">
      <c r="D1683" s="21" t="n">
        <v>0</v>
      </c>
      <c r="E1683" s="21" t="n">
        <v>0</v>
      </c>
      <c r="F1683" s="21" t="n">
        <v>0</v>
      </c>
      <c r="G1683" s="21" t="n">
        <v>0</v>
      </c>
      <c r="H1683" s="21" t="n">
        <v>0</v>
      </c>
      <c r="I1683" s="21" t="n">
        <v>0</v>
      </c>
      <c r="J1683" s="21" t="n">
        <v>0</v>
      </c>
      <c r="K1683" s="21" t="n">
        <v>0</v>
      </c>
      <c r="L1683" s="21" t="n">
        <v>0</v>
      </c>
      <c r="M1683" s="21" t="n">
        <v>0</v>
      </c>
      <c r="N1683" s="21" t="n">
        <v>0</v>
      </c>
      <c r="O1683" s="21" t="n">
        <v>0</v>
      </c>
      <c r="P1683" s="21" t="n">
        <v>0</v>
      </c>
      <c r="Q1683" s="21" t="n">
        <v>0</v>
      </c>
      <c r="R1683" s="21" t="n">
        <v>0</v>
      </c>
      <c r="S1683" s="21" t="n">
        <v>0</v>
      </c>
      <c r="T1683" s="21" t="n">
        <v>0</v>
      </c>
      <c r="U1683" s="21" t="n">
        <v>0</v>
      </c>
      <c r="V1683" s="21" t="n">
        <v>0</v>
      </c>
      <c r="W1683" s="21" t="n">
        <v>0</v>
      </c>
      <c r="X1683" s="21">
        <f>-$B$18</f>
        <v/>
      </c>
      <c r="Y1683" s="21">
        <f>-$B$19</f>
        <v/>
      </c>
      <c r="Z1683" s="21">
        <f>2*$B$18+$D$1650</f>
        <v/>
      </c>
      <c r="AA1683" s="21">
        <f>0</f>
        <v/>
      </c>
      <c r="AB1683" s="21">
        <f>-$B$18</f>
        <v/>
      </c>
      <c r="AC1683" s="21">
        <f>$B$19</f>
        <v/>
      </c>
      <c r="AD1683" s="21" t="n">
        <v>0</v>
      </c>
      <c r="AE1683" s="21" t="n">
        <v>0</v>
      </c>
      <c r="AF1683" s="21" t="n">
        <v>0</v>
      </c>
      <c r="AG1683" s="21" t="n">
        <v>0</v>
      </c>
      <c r="AH1683" s="21" t="n">
        <v>0</v>
      </c>
      <c r="AI1683" s="21" t="n">
        <v>0</v>
      </c>
      <c r="AJ1683" s="21" t="n">
        <v>0</v>
      </c>
      <c r="AK1683" s="21" t="n">
        <v>0</v>
      </c>
      <c r="AL1683" s="21" t="n">
        <v>0</v>
      </c>
      <c r="AM1683" s="21" t="n">
        <v>0</v>
      </c>
      <c r="AN1683" s="21" t="n">
        <v>0</v>
      </c>
      <c r="AO1683" s="21" t="n">
        <v>0</v>
      </c>
      <c r="AP1683" s="21" t="n">
        <v>0</v>
      </c>
      <c r="AQ1683" s="21" t="n">
        <v>0</v>
      </c>
      <c r="AR1683" s="21" t="n">
        <v>0</v>
      </c>
      <c r="AS1683" s="21" t="n">
        <v>0</v>
      </c>
      <c r="AT1683" s="19" t="n"/>
    </row>
    <row r="1684">
      <c r="D1684" s="21" t="n">
        <v>0</v>
      </c>
      <c r="E1684" s="21" t="n">
        <v>0</v>
      </c>
      <c r="F1684" s="21" t="n">
        <v>0</v>
      </c>
      <c r="G1684" s="21" t="n">
        <v>0</v>
      </c>
      <c r="H1684" s="21" t="n">
        <v>0</v>
      </c>
      <c r="I1684" s="21" t="n">
        <v>0</v>
      </c>
      <c r="J1684" s="21" t="n">
        <v>0</v>
      </c>
      <c r="K1684" s="21" t="n">
        <v>0</v>
      </c>
      <c r="L1684" s="21" t="n">
        <v>0</v>
      </c>
      <c r="M1684" s="21" t="n">
        <v>0</v>
      </c>
      <c r="N1684" s="21" t="n">
        <v>0</v>
      </c>
      <c r="O1684" s="21" t="n">
        <v>0</v>
      </c>
      <c r="P1684" s="21" t="n">
        <v>0</v>
      </c>
      <c r="Q1684" s="21" t="n">
        <v>0</v>
      </c>
      <c r="R1684" s="21" t="n">
        <v>0</v>
      </c>
      <c r="S1684" s="21" t="n">
        <v>0</v>
      </c>
      <c r="T1684" s="21" t="n">
        <v>0</v>
      </c>
      <c r="U1684" s="21" t="n">
        <v>0</v>
      </c>
      <c r="V1684" s="21" t="n">
        <v>0</v>
      </c>
      <c r="W1684" s="21" t="n">
        <v>0</v>
      </c>
      <c r="X1684" s="21">
        <f>$B$19</f>
        <v/>
      </c>
      <c r="Y1684" s="21">
        <f>$B$21</f>
        <v/>
      </c>
      <c r="Z1684" s="21">
        <f>0</f>
        <v/>
      </c>
      <c r="AA1684" s="21">
        <f>2*$B$20</f>
        <v/>
      </c>
      <c r="AB1684" s="21">
        <f>-$B$19</f>
        <v/>
      </c>
      <c r="AC1684" s="21">
        <f>$B$21</f>
        <v/>
      </c>
      <c r="AD1684" s="21" t="n">
        <v>0</v>
      </c>
      <c r="AE1684" s="21" t="n">
        <v>0</v>
      </c>
      <c r="AF1684" s="21" t="n">
        <v>0</v>
      </c>
      <c r="AG1684" s="21" t="n">
        <v>0</v>
      </c>
      <c r="AH1684" s="21" t="n">
        <v>0</v>
      </c>
      <c r="AI1684" s="21" t="n">
        <v>0</v>
      </c>
      <c r="AJ1684" s="21" t="n">
        <v>0</v>
      </c>
      <c r="AK1684" s="21" t="n">
        <v>0</v>
      </c>
      <c r="AL1684" s="21" t="n">
        <v>0</v>
      </c>
      <c r="AM1684" s="21" t="n">
        <v>0</v>
      </c>
      <c r="AN1684" s="21" t="n">
        <v>0</v>
      </c>
      <c r="AO1684" s="21" t="n">
        <v>0</v>
      </c>
      <c r="AP1684" s="21" t="n">
        <v>0</v>
      </c>
      <c r="AQ1684" s="21" t="n">
        <v>0</v>
      </c>
      <c r="AR1684" s="21" t="n">
        <v>0</v>
      </c>
      <c r="AS1684" s="21" t="n">
        <v>0</v>
      </c>
      <c r="AT1684" s="19" t="n"/>
    </row>
    <row r="1685">
      <c r="D1685" s="21" t="n">
        <v>0</v>
      </c>
      <c r="E1685" s="21" t="n">
        <v>0</v>
      </c>
      <c r="F1685" s="21" t="n">
        <v>0</v>
      </c>
      <c r="G1685" s="21" t="n">
        <v>0</v>
      </c>
      <c r="H1685" s="21" t="n">
        <v>0</v>
      </c>
      <c r="I1685" s="21" t="n">
        <v>0</v>
      </c>
      <c r="J1685" s="21" t="n">
        <v>0</v>
      </c>
      <c r="K1685" s="21" t="n">
        <v>0</v>
      </c>
      <c r="L1685" s="21" t="n">
        <v>0</v>
      </c>
      <c r="M1685" s="21" t="n">
        <v>0</v>
      </c>
      <c r="N1685" s="21" t="n">
        <v>0</v>
      </c>
      <c r="O1685" s="21" t="n">
        <v>0</v>
      </c>
      <c r="P1685" s="21" t="n">
        <v>0</v>
      </c>
      <c r="Q1685" s="21" t="n">
        <v>0</v>
      </c>
      <c r="R1685" s="21" t="n">
        <v>0</v>
      </c>
      <c r="S1685" s="21" t="n">
        <v>0</v>
      </c>
      <c r="T1685" s="21" t="n">
        <v>0</v>
      </c>
      <c r="U1685" s="21" t="n">
        <v>0</v>
      </c>
      <c r="V1685" s="21" t="n">
        <v>0</v>
      </c>
      <c r="W1685" s="21" t="n">
        <v>0</v>
      </c>
      <c r="X1685" s="21" t="n">
        <v>0</v>
      </c>
      <c r="Y1685" s="21" t="n">
        <v>0</v>
      </c>
      <c r="Z1685" s="21">
        <f>-$B$18</f>
        <v/>
      </c>
      <c r="AA1685" s="21">
        <f>-$B$19</f>
        <v/>
      </c>
      <c r="AB1685" s="21">
        <f>2*$B$18+$D$1651</f>
        <v/>
      </c>
      <c r="AC1685" s="21">
        <f>0</f>
        <v/>
      </c>
      <c r="AD1685" s="21">
        <f>-$B$18</f>
        <v/>
      </c>
      <c r="AE1685" s="21">
        <f>$B$19</f>
        <v/>
      </c>
      <c r="AF1685" s="21" t="n">
        <v>0</v>
      </c>
      <c r="AG1685" s="21" t="n">
        <v>0</v>
      </c>
      <c r="AH1685" s="21" t="n">
        <v>0</v>
      </c>
      <c r="AI1685" s="21" t="n">
        <v>0</v>
      </c>
      <c r="AJ1685" s="21" t="n">
        <v>0</v>
      </c>
      <c r="AK1685" s="21" t="n">
        <v>0</v>
      </c>
      <c r="AL1685" s="21" t="n">
        <v>0</v>
      </c>
      <c r="AM1685" s="21" t="n">
        <v>0</v>
      </c>
      <c r="AN1685" s="21" t="n">
        <v>0</v>
      </c>
      <c r="AO1685" s="21" t="n">
        <v>0</v>
      </c>
      <c r="AP1685" s="21" t="n">
        <v>0</v>
      </c>
      <c r="AQ1685" s="21" t="n">
        <v>0</v>
      </c>
      <c r="AR1685" s="21" t="n">
        <v>0</v>
      </c>
      <c r="AS1685" s="21" t="n">
        <v>0</v>
      </c>
      <c r="AT1685" s="19" t="n"/>
    </row>
    <row r="1686">
      <c r="D1686" s="21" t="n">
        <v>0</v>
      </c>
      <c r="E1686" s="21" t="n">
        <v>0</v>
      </c>
      <c r="F1686" s="21" t="n">
        <v>0</v>
      </c>
      <c r="G1686" s="21" t="n">
        <v>0</v>
      </c>
      <c r="H1686" s="21" t="n">
        <v>0</v>
      </c>
      <c r="I1686" s="21" t="n">
        <v>0</v>
      </c>
      <c r="J1686" s="21" t="n">
        <v>0</v>
      </c>
      <c r="K1686" s="21" t="n">
        <v>0</v>
      </c>
      <c r="L1686" s="21" t="n">
        <v>0</v>
      </c>
      <c r="M1686" s="21" t="n">
        <v>0</v>
      </c>
      <c r="N1686" s="21" t="n">
        <v>0</v>
      </c>
      <c r="O1686" s="21" t="n">
        <v>0</v>
      </c>
      <c r="P1686" s="21" t="n">
        <v>0</v>
      </c>
      <c r="Q1686" s="21" t="n">
        <v>0</v>
      </c>
      <c r="R1686" s="21" t="n">
        <v>0</v>
      </c>
      <c r="S1686" s="21" t="n">
        <v>0</v>
      </c>
      <c r="T1686" s="21" t="n">
        <v>0</v>
      </c>
      <c r="U1686" s="21" t="n">
        <v>0</v>
      </c>
      <c r="V1686" s="21" t="n">
        <v>0</v>
      </c>
      <c r="W1686" s="21" t="n">
        <v>0</v>
      </c>
      <c r="X1686" s="21" t="n">
        <v>0</v>
      </c>
      <c r="Y1686" s="21" t="n">
        <v>0</v>
      </c>
      <c r="Z1686" s="21">
        <f>$B$19</f>
        <v/>
      </c>
      <c r="AA1686" s="21">
        <f>$B$21</f>
        <v/>
      </c>
      <c r="AB1686" s="21">
        <f>0</f>
        <v/>
      </c>
      <c r="AC1686" s="21">
        <f>2*$B$20</f>
        <v/>
      </c>
      <c r="AD1686" s="21">
        <f>-$B$19</f>
        <v/>
      </c>
      <c r="AE1686" s="21">
        <f>$B$21</f>
        <v/>
      </c>
      <c r="AF1686" s="21" t="n">
        <v>0</v>
      </c>
      <c r="AG1686" s="21" t="n">
        <v>0</v>
      </c>
      <c r="AH1686" s="21" t="n">
        <v>0</v>
      </c>
      <c r="AI1686" s="21" t="n">
        <v>0</v>
      </c>
      <c r="AJ1686" s="21" t="n">
        <v>0</v>
      </c>
      <c r="AK1686" s="21" t="n">
        <v>0</v>
      </c>
      <c r="AL1686" s="21" t="n">
        <v>0</v>
      </c>
      <c r="AM1686" s="21" t="n">
        <v>0</v>
      </c>
      <c r="AN1686" s="21" t="n">
        <v>0</v>
      </c>
      <c r="AO1686" s="21" t="n">
        <v>0</v>
      </c>
      <c r="AP1686" s="21" t="n">
        <v>0</v>
      </c>
      <c r="AQ1686" s="21" t="n">
        <v>0</v>
      </c>
      <c r="AR1686" s="21" t="n">
        <v>0</v>
      </c>
      <c r="AS1686" s="21" t="n">
        <v>0</v>
      </c>
      <c r="AT1686" s="19" t="n"/>
    </row>
    <row r="1687">
      <c r="D1687" s="21" t="n">
        <v>0</v>
      </c>
      <c r="E1687" s="21" t="n">
        <v>0</v>
      </c>
      <c r="F1687" s="21" t="n">
        <v>0</v>
      </c>
      <c r="G1687" s="21" t="n">
        <v>0</v>
      </c>
      <c r="H1687" s="21" t="n">
        <v>0</v>
      </c>
      <c r="I1687" s="21" t="n">
        <v>0</v>
      </c>
      <c r="J1687" s="21" t="n">
        <v>0</v>
      </c>
      <c r="K1687" s="21" t="n">
        <v>0</v>
      </c>
      <c r="L1687" s="21" t="n">
        <v>0</v>
      </c>
      <c r="M1687" s="21" t="n">
        <v>0</v>
      </c>
      <c r="N1687" s="21" t="n">
        <v>0</v>
      </c>
      <c r="O1687" s="21" t="n">
        <v>0</v>
      </c>
      <c r="P1687" s="21" t="n">
        <v>0</v>
      </c>
      <c r="Q1687" s="21" t="n">
        <v>0</v>
      </c>
      <c r="R1687" s="21" t="n">
        <v>0</v>
      </c>
      <c r="S1687" s="21" t="n">
        <v>0</v>
      </c>
      <c r="T1687" s="21" t="n">
        <v>0</v>
      </c>
      <c r="U1687" s="21" t="n">
        <v>0</v>
      </c>
      <c r="V1687" s="21" t="n">
        <v>0</v>
      </c>
      <c r="W1687" s="21" t="n">
        <v>0</v>
      </c>
      <c r="X1687" s="21" t="n">
        <v>0</v>
      </c>
      <c r="Y1687" s="21" t="n">
        <v>0</v>
      </c>
      <c r="Z1687" s="21" t="n">
        <v>0</v>
      </c>
      <c r="AA1687" s="21" t="n">
        <v>0</v>
      </c>
      <c r="AB1687" s="21">
        <f>-$B$18</f>
        <v/>
      </c>
      <c r="AC1687" s="21">
        <f>-$B$19</f>
        <v/>
      </c>
      <c r="AD1687" s="21">
        <f>2*$B$18+$D$1652</f>
        <v/>
      </c>
      <c r="AE1687" s="21">
        <f>0</f>
        <v/>
      </c>
      <c r="AF1687" s="21">
        <f>-$B$18</f>
        <v/>
      </c>
      <c r="AG1687" s="21">
        <f>$B$19</f>
        <v/>
      </c>
      <c r="AH1687" s="21" t="n">
        <v>0</v>
      </c>
      <c r="AI1687" s="21" t="n">
        <v>0</v>
      </c>
      <c r="AJ1687" s="21" t="n">
        <v>0</v>
      </c>
      <c r="AK1687" s="21" t="n">
        <v>0</v>
      </c>
      <c r="AL1687" s="21" t="n">
        <v>0</v>
      </c>
      <c r="AM1687" s="21" t="n">
        <v>0</v>
      </c>
      <c r="AN1687" s="21" t="n">
        <v>0</v>
      </c>
      <c r="AO1687" s="21" t="n">
        <v>0</v>
      </c>
      <c r="AP1687" s="21" t="n">
        <v>0</v>
      </c>
      <c r="AQ1687" s="21" t="n">
        <v>0</v>
      </c>
      <c r="AR1687" s="21" t="n">
        <v>0</v>
      </c>
      <c r="AS1687" s="21" t="n">
        <v>0</v>
      </c>
      <c r="AT1687" s="19" t="n"/>
    </row>
    <row r="1688">
      <c r="D1688" s="21" t="n">
        <v>0</v>
      </c>
      <c r="E1688" s="21" t="n">
        <v>0</v>
      </c>
      <c r="F1688" s="21" t="n">
        <v>0</v>
      </c>
      <c r="G1688" s="21" t="n">
        <v>0</v>
      </c>
      <c r="H1688" s="21" t="n">
        <v>0</v>
      </c>
      <c r="I1688" s="21" t="n">
        <v>0</v>
      </c>
      <c r="J1688" s="21" t="n">
        <v>0</v>
      </c>
      <c r="K1688" s="21" t="n">
        <v>0</v>
      </c>
      <c r="L1688" s="21" t="n">
        <v>0</v>
      </c>
      <c r="M1688" s="21" t="n">
        <v>0</v>
      </c>
      <c r="N1688" s="21" t="n">
        <v>0</v>
      </c>
      <c r="O1688" s="21" t="n">
        <v>0</v>
      </c>
      <c r="P1688" s="21" t="n">
        <v>0</v>
      </c>
      <c r="Q1688" s="21" t="n">
        <v>0</v>
      </c>
      <c r="R1688" s="21" t="n">
        <v>0</v>
      </c>
      <c r="S1688" s="21" t="n">
        <v>0</v>
      </c>
      <c r="T1688" s="21" t="n">
        <v>0</v>
      </c>
      <c r="U1688" s="21" t="n">
        <v>0</v>
      </c>
      <c r="V1688" s="21" t="n">
        <v>0</v>
      </c>
      <c r="W1688" s="21" t="n">
        <v>0</v>
      </c>
      <c r="X1688" s="21" t="n">
        <v>0</v>
      </c>
      <c r="Y1688" s="21" t="n">
        <v>0</v>
      </c>
      <c r="Z1688" s="21" t="n">
        <v>0</v>
      </c>
      <c r="AA1688" s="21" t="n">
        <v>0</v>
      </c>
      <c r="AB1688" s="21">
        <f>$B$19</f>
        <v/>
      </c>
      <c r="AC1688" s="21">
        <f>$B$21</f>
        <v/>
      </c>
      <c r="AD1688" s="21">
        <f>0</f>
        <v/>
      </c>
      <c r="AE1688" s="21">
        <f>2*$B$20</f>
        <v/>
      </c>
      <c r="AF1688" s="21">
        <f>-$B$19</f>
        <v/>
      </c>
      <c r="AG1688" s="21">
        <f>$B$21</f>
        <v/>
      </c>
      <c r="AH1688" s="21" t="n">
        <v>0</v>
      </c>
      <c r="AI1688" s="21" t="n">
        <v>0</v>
      </c>
      <c r="AJ1688" s="21" t="n">
        <v>0</v>
      </c>
      <c r="AK1688" s="21" t="n">
        <v>0</v>
      </c>
      <c r="AL1688" s="21" t="n">
        <v>0</v>
      </c>
      <c r="AM1688" s="21" t="n">
        <v>0</v>
      </c>
      <c r="AN1688" s="21" t="n">
        <v>0</v>
      </c>
      <c r="AO1688" s="21" t="n">
        <v>0</v>
      </c>
      <c r="AP1688" s="21" t="n">
        <v>0</v>
      </c>
      <c r="AQ1688" s="21" t="n">
        <v>0</v>
      </c>
      <c r="AR1688" s="21" t="n">
        <v>0</v>
      </c>
      <c r="AS1688" s="21" t="n">
        <v>0</v>
      </c>
      <c r="AT1688" s="19" t="n"/>
    </row>
    <row r="1689">
      <c r="D1689" s="21" t="n">
        <v>0</v>
      </c>
      <c r="E1689" s="21" t="n">
        <v>0</v>
      </c>
      <c r="F1689" s="21" t="n">
        <v>0</v>
      </c>
      <c r="G1689" s="21" t="n">
        <v>0</v>
      </c>
      <c r="H1689" s="21" t="n">
        <v>0</v>
      </c>
      <c r="I1689" s="21" t="n">
        <v>0</v>
      </c>
      <c r="J1689" s="21" t="n">
        <v>0</v>
      </c>
      <c r="K1689" s="21" t="n">
        <v>0</v>
      </c>
      <c r="L1689" s="21" t="n">
        <v>0</v>
      </c>
      <c r="M1689" s="21" t="n">
        <v>0</v>
      </c>
      <c r="N1689" s="21" t="n">
        <v>0</v>
      </c>
      <c r="O1689" s="21" t="n">
        <v>0</v>
      </c>
      <c r="P1689" s="21" t="n">
        <v>0</v>
      </c>
      <c r="Q1689" s="21" t="n">
        <v>0</v>
      </c>
      <c r="R1689" s="21" t="n">
        <v>0</v>
      </c>
      <c r="S1689" s="21" t="n">
        <v>0</v>
      </c>
      <c r="T1689" s="21" t="n">
        <v>0</v>
      </c>
      <c r="U1689" s="21" t="n">
        <v>0</v>
      </c>
      <c r="V1689" s="21" t="n">
        <v>0</v>
      </c>
      <c r="W1689" s="21" t="n">
        <v>0</v>
      </c>
      <c r="X1689" s="21" t="n">
        <v>0</v>
      </c>
      <c r="Y1689" s="21" t="n">
        <v>0</v>
      </c>
      <c r="Z1689" s="21" t="n">
        <v>0</v>
      </c>
      <c r="AA1689" s="21" t="n">
        <v>0</v>
      </c>
      <c r="AB1689" s="21" t="n">
        <v>0</v>
      </c>
      <c r="AC1689" s="21" t="n">
        <v>0</v>
      </c>
      <c r="AD1689" s="21">
        <f>-$B$18</f>
        <v/>
      </c>
      <c r="AE1689" s="21">
        <f>-$B$19</f>
        <v/>
      </c>
      <c r="AF1689" s="21">
        <f>2*$B$18+$D$1653</f>
        <v/>
      </c>
      <c r="AG1689" s="21">
        <f>0</f>
        <v/>
      </c>
      <c r="AH1689" s="21">
        <f>-$B$18</f>
        <v/>
      </c>
      <c r="AI1689" s="21">
        <f>$B$19</f>
        <v/>
      </c>
      <c r="AJ1689" s="21" t="n">
        <v>0</v>
      </c>
      <c r="AK1689" s="21" t="n">
        <v>0</v>
      </c>
      <c r="AL1689" s="21" t="n">
        <v>0</v>
      </c>
      <c r="AM1689" s="21" t="n">
        <v>0</v>
      </c>
      <c r="AN1689" s="21" t="n">
        <v>0</v>
      </c>
      <c r="AO1689" s="21" t="n">
        <v>0</v>
      </c>
      <c r="AP1689" s="21" t="n">
        <v>0</v>
      </c>
      <c r="AQ1689" s="21" t="n">
        <v>0</v>
      </c>
      <c r="AR1689" s="21" t="n">
        <v>0</v>
      </c>
      <c r="AS1689" s="21" t="n">
        <v>0</v>
      </c>
      <c r="AT1689" s="19" t="n"/>
    </row>
    <row r="1690">
      <c r="D1690" s="21" t="n">
        <v>0</v>
      </c>
      <c r="E1690" s="21" t="n">
        <v>0</v>
      </c>
      <c r="F1690" s="21" t="n">
        <v>0</v>
      </c>
      <c r="G1690" s="21" t="n">
        <v>0</v>
      </c>
      <c r="H1690" s="21" t="n">
        <v>0</v>
      </c>
      <c r="I1690" s="21" t="n">
        <v>0</v>
      </c>
      <c r="J1690" s="21" t="n">
        <v>0</v>
      </c>
      <c r="K1690" s="21" t="n">
        <v>0</v>
      </c>
      <c r="L1690" s="21" t="n">
        <v>0</v>
      </c>
      <c r="M1690" s="21" t="n">
        <v>0</v>
      </c>
      <c r="N1690" s="21" t="n">
        <v>0</v>
      </c>
      <c r="O1690" s="21" t="n">
        <v>0</v>
      </c>
      <c r="P1690" s="21" t="n">
        <v>0</v>
      </c>
      <c r="Q1690" s="21" t="n">
        <v>0</v>
      </c>
      <c r="R1690" s="21" t="n">
        <v>0</v>
      </c>
      <c r="S1690" s="21" t="n">
        <v>0</v>
      </c>
      <c r="T1690" s="21" t="n">
        <v>0</v>
      </c>
      <c r="U1690" s="21" t="n">
        <v>0</v>
      </c>
      <c r="V1690" s="21" t="n">
        <v>0</v>
      </c>
      <c r="W1690" s="21" t="n">
        <v>0</v>
      </c>
      <c r="X1690" s="21" t="n">
        <v>0</v>
      </c>
      <c r="Y1690" s="21" t="n">
        <v>0</v>
      </c>
      <c r="Z1690" s="21" t="n">
        <v>0</v>
      </c>
      <c r="AA1690" s="21" t="n">
        <v>0</v>
      </c>
      <c r="AB1690" s="21" t="n">
        <v>0</v>
      </c>
      <c r="AC1690" s="21" t="n">
        <v>0</v>
      </c>
      <c r="AD1690" s="21">
        <f>$B$19</f>
        <v/>
      </c>
      <c r="AE1690" s="21">
        <f>$B$21</f>
        <v/>
      </c>
      <c r="AF1690" s="21">
        <f>0</f>
        <v/>
      </c>
      <c r="AG1690" s="21">
        <f>2*$B$20</f>
        <v/>
      </c>
      <c r="AH1690" s="21">
        <f>-$B$19</f>
        <v/>
      </c>
      <c r="AI1690" s="21">
        <f>$B$21</f>
        <v/>
      </c>
      <c r="AJ1690" s="21" t="n">
        <v>0</v>
      </c>
      <c r="AK1690" s="21" t="n">
        <v>0</v>
      </c>
      <c r="AL1690" s="21" t="n">
        <v>0</v>
      </c>
      <c r="AM1690" s="21" t="n">
        <v>0</v>
      </c>
      <c r="AN1690" s="21" t="n">
        <v>0</v>
      </c>
      <c r="AO1690" s="21" t="n">
        <v>0</v>
      </c>
      <c r="AP1690" s="21" t="n">
        <v>0</v>
      </c>
      <c r="AQ1690" s="21" t="n">
        <v>0</v>
      </c>
      <c r="AR1690" s="21" t="n">
        <v>0</v>
      </c>
      <c r="AS1690" s="21" t="n">
        <v>0</v>
      </c>
      <c r="AT1690" s="19" t="n"/>
    </row>
    <row r="1691">
      <c r="D1691" s="21" t="n">
        <v>0</v>
      </c>
      <c r="E1691" s="21" t="n">
        <v>0</v>
      </c>
      <c r="F1691" s="21" t="n">
        <v>0</v>
      </c>
      <c r="G1691" s="21" t="n">
        <v>0</v>
      </c>
      <c r="H1691" s="21" t="n">
        <v>0</v>
      </c>
      <c r="I1691" s="21" t="n">
        <v>0</v>
      </c>
      <c r="J1691" s="21" t="n">
        <v>0</v>
      </c>
      <c r="K1691" s="21" t="n">
        <v>0</v>
      </c>
      <c r="L1691" s="21" t="n">
        <v>0</v>
      </c>
      <c r="M1691" s="21" t="n">
        <v>0</v>
      </c>
      <c r="N1691" s="21" t="n">
        <v>0</v>
      </c>
      <c r="O1691" s="21" t="n">
        <v>0</v>
      </c>
      <c r="P1691" s="21" t="n">
        <v>0</v>
      </c>
      <c r="Q1691" s="21" t="n">
        <v>0</v>
      </c>
      <c r="R1691" s="21" t="n">
        <v>0</v>
      </c>
      <c r="S1691" s="21" t="n">
        <v>0</v>
      </c>
      <c r="T1691" s="21" t="n">
        <v>0</v>
      </c>
      <c r="U1691" s="21" t="n">
        <v>0</v>
      </c>
      <c r="V1691" s="21" t="n">
        <v>0</v>
      </c>
      <c r="W1691" s="21" t="n">
        <v>0</v>
      </c>
      <c r="X1691" s="21" t="n">
        <v>0</v>
      </c>
      <c r="Y1691" s="21" t="n">
        <v>0</v>
      </c>
      <c r="Z1691" s="21" t="n">
        <v>0</v>
      </c>
      <c r="AA1691" s="21" t="n">
        <v>0</v>
      </c>
      <c r="AB1691" s="21" t="n">
        <v>0</v>
      </c>
      <c r="AC1691" s="21" t="n">
        <v>0</v>
      </c>
      <c r="AD1691" s="21" t="n">
        <v>0</v>
      </c>
      <c r="AE1691" s="21" t="n">
        <v>0</v>
      </c>
      <c r="AF1691" s="21">
        <f>-$B$18</f>
        <v/>
      </c>
      <c r="AG1691" s="21">
        <f>-$B$19</f>
        <v/>
      </c>
      <c r="AH1691" s="21">
        <f>2*$B$18+$D$1654</f>
        <v/>
      </c>
      <c r="AI1691" s="21">
        <f>0</f>
        <v/>
      </c>
      <c r="AJ1691" s="21">
        <f>-$B$18</f>
        <v/>
      </c>
      <c r="AK1691" s="21">
        <f>$B$19</f>
        <v/>
      </c>
      <c r="AL1691" s="21" t="n">
        <v>0</v>
      </c>
      <c r="AM1691" s="21" t="n">
        <v>0</v>
      </c>
      <c r="AN1691" s="21" t="n">
        <v>0</v>
      </c>
      <c r="AO1691" s="21" t="n">
        <v>0</v>
      </c>
      <c r="AP1691" s="21" t="n">
        <v>0</v>
      </c>
      <c r="AQ1691" s="21" t="n">
        <v>0</v>
      </c>
      <c r="AR1691" s="21" t="n">
        <v>0</v>
      </c>
      <c r="AS1691" s="21" t="n">
        <v>0</v>
      </c>
      <c r="AT1691" s="19" t="n"/>
    </row>
    <row r="1692">
      <c r="D1692" s="21" t="n">
        <v>0</v>
      </c>
      <c r="E1692" s="21" t="n">
        <v>0</v>
      </c>
      <c r="F1692" s="21" t="n">
        <v>0</v>
      </c>
      <c r="G1692" s="21" t="n">
        <v>0</v>
      </c>
      <c r="H1692" s="21" t="n">
        <v>0</v>
      </c>
      <c r="I1692" s="21" t="n">
        <v>0</v>
      </c>
      <c r="J1692" s="21" t="n">
        <v>0</v>
      </c>
      <c r="K1692" s="21" t="n">
        <v>0</v>
      </c>
      <c r="L1692" s="21" t="n">
        <v>0</v>
      </c>
      <c r="M1692" s="21" t="n">
        <v>0</v>
      </c>
      <c r="N1692" s="21" t="n">
        <v>0</v>
      </c>
      <c r="O1692" s="21" t="n">
        <v>0</v>
      </c>
      <c r="P1692" s="21" t="n">
        <v>0</v>
      </c>
      <c r="Q1692" s="21" t="n">
        <v>0</v>
      </c>
      <c r="R1692" s="21" t="n">
        <v>0</v>
      </c>
      <c r="S1692" s="21" t="n">
        <v>0</v>
      </c>
      <c r="T1692" s="21" t="n">
        <v>0</v>
      </c>
      <c r="U1692" s="21" t="n">
        <v>0</v>
      </c>
      <c r="V1692" s="21" t="n">
        <v>0</v>
      </c>
      <c r="W1692" s="21" t="n">
        <v>0</v>
      </c>
      <c r="X1692" s="21" t="n">
        <v>0</v>
      </c>
      <c r="Y1692" s="21" t="n">
        <v>0</v>
      </c>
      <c r="Z1692" s="21" t="n">
        <v>0</v>
      </c>
      <c r="AA1692" s="21" t="n">
        <v>0</v>
      </c>
      <c r="AB1692" s="21" t="n">
        <v>0</v>
      </c>
      <c r="AC1692" s="21" t="n">
        <v>0</v>
      </c>
      <c r="AD1692" s="21" t="n">
        <v>0</v>
      </c>
      <c r="AE1692" s="21" t="n">
        <v>0</v>
      </c>
      <c r="AF1692" s="21">
        <f>$B$19</f>
        <v/>
      </c>
      <c r="AG1692" s="21">
        <f>$B$21</f>
        <v/>
      </c>
      <c r="AH1692" s="21">
        <f>0</f>
        <v/>
      </c>
      <c r="AI1692" s="21">
        <f>2*$B$20</f>
        <v/>
      </c>
      <c r="AJ1692" s="21">
        <f>-$B$19</f>
        <v/>
      </c>
      <c r="AK1692" s="21">
        <f>$B$21</f>
        <v/>
      </c>
      <c r="AL1692" s="21" t="n">
        <v>0</v>
      </c>
      <c r="AM1692" s="21" t="n">
        <v>0</v>
      </c>
      <c r="AN1692" s="21" t="n">
        <v>0</v>
      </c>
      <c r="AO1692" s="21" t="n">
        <v>0</v>
      </c>
      <c r="AP1692" s="21" t="n">
        <v>0</v>
      </c>
      <c r="AQ1692" s="21" t="n">
        <v>0</v>
      </c>
      <c r="AR1692" s="21" t="n">
        <v>0</v>
      </c>
      <c r="AS1692" s="21" t="n">
        <v>0</v>
      </c>
      <c r="AT1692" s="19" t="n"/>
    </row>
    <row r="1693">
      <c r="D1693" s="21" t="n">
        <v>0</v>
      </c>
      <c r="E1693" s="21" t="n">
        <v>0</v>
      </c>
      <c r="F1693" s="21" t="n">
        <v>0</v>
      </c>
      <c r="G1693" s="21" t="n">
        <v>0</v>
      </c>
      <c r="H1693" s="21" t="n">
        <v>0</v>
      </c>
      <c r="I1693" s="21" t="n">
        <v>0</v>
      </c>
      <c r="J1693" s="21" t="n">
        <v>0</v>
      </c>
      <c r="K1693" s="21" t="n">
        <v>0</v>
      </c>
      <c r="L1693" s="21" t="n">
        <v>0</v>
      </c>
      <c r="M1693" s="21" t="n">
        <v>0</v>
      </c>
      <c r="N1693" s="21" t="n">
        <v>0</v>
      </c>
      <c r="O1693" s="21" t="n">
        <v>0</v>
      </c>
      <c r="P1693" s="21" t="n">
        <v>0</v>
      </c>
      <c r="Q1693" s="21" t="n">
        <v>0</v>
      </c>
      <c r="R1693" s="21" t="n">
        <v>0</v>
      </c>
      <c r="S1693" s="21" t="n">
        <v>0</v>
      </c>
      <c r="T1693" s="21" t="n">
        <v>0</v>
      </c>
      <c r="U1693" s="21" t="n">
        <v>0</v>
      </c>
      <c r="V1693" s="21" t="n">
        <v>0</v>
      </c>
      <c r="W1693" s="21" t="n">
        <v>0</v>
      </c>
      <c r="X1693" s="21" t="n">
        <v>0</v>
      </c>
      <c r="Y1693" s="21" t="n">
        <v>0</v>
      </c>
      <c r="Z1693" s="21" t="n">
        <v>0</v>
      </c>
      <c r="AA1693" s="21" t="n">
        <v>0</v>
      </c>
      <c r="AB1693" s="21" t="n">
        <v>0</v>
      </c>
      <c r="AC1693" s="21" t="n">
        <v>0</v>
      </c>
      <c r="AD1693" s="21" t="n">
        <v>0</v>
      </c>
      <c r="AE1693" s="21" t="n">
        <v>0</v>
      </c>
      <c r="AF1693" s="21" t="n">
        <v>0</v>
      </c>
      <c r="AG1693" s="21" t="n">
        <v>0</v>
      </c>
      <c r="AH1693" s="21">
        <f>-$B$18</f>
        <v/>
      </c>
      <c r="AI1693" s="21">
        <f>-$B$19</f>
        <v/>
      </c>
      <c r="AJ1693" s="21">
        <f>2*$B$18+$D$1655</f>
        <v/>
      </c>
      <c r="AK1693" s="21">
        <f>0</f>
        <v/>
      </c>
      <c r="AL1693" s="21">
        <f>-$B$18</f>
        <v/>
      </c>
      <c r="AM1693" s="21">
        <f>$B$19</f>
        <v/>
      </c>
      <c r="AN1693" s="21" t="n">
        <v>0</v>
      </c>
      <c r="AO1693" s="21" t="n">
        <v>0</v>
      </c>
      <c r="AP1693" s="21" t="n">
        <v>0</v>
      </c>
      <c r="AQ1693" s="21" t="n">
        <v>0</v>
      </c>
      <c r="AR1693" s="21" t="n">
        <v>0</v>
      </c>
      <c r="AS1693" s="21" t="n">
        <v>0</v>
      </c>
      <c r="AT1693" s="19" t="n"/>
    </row>
    <row r="1694">
      <c r="D1694" s="21" t="n">
        <v>0</v>
      </c>
      <c r="E1694" s="21" t="n">
        <v>0</v>
      </c>
      <c r="F1694" s="21" t="n">
        <v>0</v>
      </c>
      <c r="G1694" s="21" t="n">
        <v>0</v>
      </c>
      <c r="H1694" s="21" t="n">
        <v>0</v>
      </c>
      <c r="I1694" s="21" t="n">
        <v>0</v>
      </c>
      <c r="J1694" s="21" t="n">
        <v>0</v>
      </c>
      <c r="K1694" s="21" t="n">
        <v>0</v>
      </c>
      <c r="L1694" s="21" t="n">
        <v>0</v>
      </c>
      <c r="M1694" s="21" t="n">
        <v>0</v>
      </c>
      <c r="N1694" s="21" t="n">
        <v>0</v>
      </c>
      <c r="O1694" s="21" t="n">
        <v>0</v>
      </c>
      <c r="P1694" s="21" t="n">
        <v>0</v>
      </c>
      <c r="Q1694" s="21" t="n">
        <v>0</v>
      </c>
      <c r="R1694" s="21" t="n">
        <v>0</v>
      </c>
      <c r="S1694" s="21" t="n">
        <v>0</v>
      </c>
      <c r="T1694" s="21" t="n">
        <v>0</v>
      </c>
      <c r="U1694" s="21" t="n">
        <v>0</v>
      </c>
      <c r="V1694" s="21" t="n">
        <v>0</v>
      </c>
      <c r="W1694" s="21" t="n">
        <v>0</v>
      </c>
      <c r="X1694" s="21" t="n">
        <v>0</v>
      </c>
      <c r="Y1694" s="21" t="n">
        <v>0</v>
      </c>
      <c r="Z1694" s="21" t="n">
        <v>0</v>
      </c>
      <c r="AA1694" s="21" t="n">
        <v>0</v>
      </c>
      <c r="AB1694" s="21" t="n">
        <v>0</v>
      </c>
      <c r="AC1694" s="21" t="n">
        <v>0</v>
      </c>
      <c r="AD1694" s="21" t="n">
        <v>0</v>
      </c>
      <c r="AE1694" s="21" t="n">
        <v>0</v>
      </c>
      <c r="AF1694" s="21" t="n">
        <v>0</v>
      </c>
      <c r="AG1694" s="21" t="n">
        <v>0</v>
      </c>
      <c r="AH1694" s="21">
        <f>$B$19</f>
        <v/>
      </c>
      <c r="AI1694" s="21">
        <f>$B$21</f>
        <v/>
      </c>
      <c r="AJ1694" s="21">
        <f>0</f>
        <v/>
      </c>
      <c r="AK1694" s="21">
        <f>2*$B$20</f>
        <v/>
      </c>
      <c r="AL1694" s="21">
        <f>-$B$19</f>
        <v/>
      </c>
      <c r="AM1694" s="21">
        <f>$B$21</f>
        <v/>
      </c>
      <c r="AN1694" s="21" t="n">
        <v>0</v>
      </c>
      <c r="AO1694" s="21" t="n">
        <v>0</v>
      </c>
      <c r="AP1694" s="21" t="n">
        <v>0</v>
      </c>
      <c r="AQ1694" s="21" t="n">
        <v>0</v>
      </c>
      <c r="AR1694" s="21" t="n">
        <v>0</v>
      </c>
      <c r="AS1694" s="21" t="n">
        <v>0</v>
      </c>
      <c r="AT1694" s="19" t="n"/>
    </row>
    <row r="1695">
      <c r="D1695" s="21" t="n">
        <v>0</v>
      </c>
      <c r="E1695" s="21" t="n">
        <v>0</v>
      </c>
      <c r="F1695" s="21" t="n">
        <v>0</v>
      </c>
      <c r="G1695" s="21" t="n">
        <v>0</v>
      </c>
      <c r="H1695" s="21" t="n">
        <v>0</v>
      </c>
      <c r="I1695" s="21" t="n">
        <v>0</v>
      </c>
      <c r="J1695" s="21" t="n">
        <v>0</v>
      </c>
      <c r="K1695" s="21" t="n">
        <v>0</v>
      </c>
      <c r="L1695" s="21" t="n">
        <v>0</v>
      </c>
      <c r="M1695" s="21" t="n">
        <v>0</v>
      </c>
      <c r="N1695" s="21" t="n">
        <v>0</v>
      </c>
      <c r="O1695" s="21" t="n">
        <v>0</v>
      </c>
      <c r="P1695" s="21" t="n">
        <v>0</v>
      </c>
      <c r="Q1695" s="21" t="n">
        <v>0</v>
      </c>
      <c r="R1695" s="21" t="n">
        <v>0</v>
      </c>
      <c r="S1695" s="21" t="n">
        <v>0</v>
      </c>
      <c r="T1695" s="21" t="n">
        <v>0</v>
      </c>
      <c r="U1695" s="21" t="n">
        <v>0</v>
      </c>
      <c r="V1695" s="21" t="n">
        <v>0</v>
      </c>
      <c r="W1695" s="21" t="n">
        <v>0</v>
      </c>
      <c r="X1695" s="21" t="n">
        <v>0</v>
      </c>
      <c r="Y1695" s="21" t="n">
        <v>0</v>
      </c>
      <c r="Z1695" s="21" t="n">
        <v>0</v>
      </c>
      <c r="AA1695" s="21" t="n">
        <v>0</v>
      </c>
      <c r="AB1695" s="21" t="n">
        <v>0</v>
      </c>
      <c r="AC1695" s="21" t="n">
        <v>0</v>
      </c>
      <c r="AD1695" s="21" t="n">
        <v>0</v>
      </c>
      <c r="AE1695" s="21" t="n">
        <v>0</v>
      </c>
      <c r="AF1695" s="21" t="n">
        <v>0</v>
      </c>
      <c r="AG1695" s="21" t="n">
        <v>0</v>
      </c>
      <c r="AH1695" s="21" t="n">
        <v>0</v>
      </c>
      <c r="AI1695" s="21" t="n">
        <v>0</v>
      </c>
      <c r="AJ1695" s="21">
        <f>-$B$18</f>
        <v/>
      </c>
      <c r="AK1695" s="21">
        <f>-$B$19</f>
        <v/>
      </c>
      <c r="AL1695" s="21">
        <f>2*$B$18+$D$1656</f>
        <v/>
      </c>
      <c r="AM1695" s="21">
        <f>0</f>
        <v/>
      </c>
      <c r="AN1695" s="21">
        <f>-$B$18</f>
        <v/>
      </c>
      <c r="AO1695" s="21">
        <f>$B$19</f>
        <v/>
      </c>
      <c r="AP1695" s="21" t="n">
        <v>0</v>
      </c>
      <c r="AQ1695" s="21" t="n">
        <v>0</v>
      </c>
      <c r="AR1695" s="21" t="n">
        <v>0</v>
      </c>
      <c r="AS1695" s="21" t="n">
        <v>0</v>
      </c>
      <c r="AT1695" s="19" t="n"/>
    </row>
    <row r="1696">
      <c r="D1696" s="21" t="n">
        <v>0</v>
      </c>
      <c r="E1696" s="21" t="n">
        <v>0</v>
      </c>
      <c r="F1696" s="21" t="n">
        <v>0</v>
      </c>
      <c r="G1696" s="21" t="n">
        <v>0</v>
      </c>
      <c r="H1696" s="21" t="n">
        <v>0</v>
      </c>
      <c r="I1696" s="21" t="n">
        <v>0</v>
      </c>
      <c r="J1696" s="21" t="n">
        <v>0</v>
      </c>
      <c r="K1696" s="21" t="n">
        <v>0</v>
      </c>
      <c r="L1696" s="21" t="n">
        <v>0</v>
      </c>
      <c r="M1696" s="21" t="n">
        <v>0</v>
      </c>
      <c r="N1696" s="21" t="n">
        <v>0</v>
      </c>
      <c r="O1696" s="21" t="n">
        <v>0</v>
      </c>
      <c r="P1696" s="21" t="n">
        <v>0</v>
      </c>
      <c r="Q1696" s="21" t="n">
        <v>0</v>
      </c>
      <c r="R1696" s="21" t="n">
        <v>0</v>
      </c>
      <c r="S1696" s="21" t="n">
        <v>0</v>
      </c>
      <c r="T1696" s="21" t="n">
        <v>0</v>
      </c>
      <c r="U1696" s="21" t="n">
        <v>0</v>
      </c>
      <c r="V1696" s="21" t="n">
        <v>0</v>
      </c>
      <c r="W1696" s="21" t="n">
        <v>0</v>
      </c>
      <c r="X1696" s="21" t="n">
        <v>0</v>
      </c>
      <c r="Y1696" s="21" t="n">
        <v>0</v>
      </c>
      <c r="Z1696" s="21" t="n">
        <v>0</v>
      </c>
      <c r="AA1696" s="21" t="n">
        <v>0</v>
      </c>
      <c r="AB1696" s="21" t="n">
        <v>0</v>
      </c>
      <c r="AC1696" s="21" t="n">
        <v>0</v>
      </c>
      <c r="AD1696" s="21" t="n">
        <v>0</v>
      </c>
      <c r="AE1696" s="21" t="n">
        <v>0</v>
      </c>
      <c r="AF1696" s="21" t="n">
        <v>0</v>
      </c>
      <c r="AG1696" s="21" t="n">
        <v>0</v>
      </c>
      <c r="AH1696" s="21" t="n">
        <v>0</v>
      </c>
      <c r="AI1696" s="21" t="n">
        <v>0</v>
      </c>
      <c r="AJ1696" s="21">
        <f>$B$19</f>
        <v/>
      </c>
      <c r="AK1696" s="21">
        <f>$B$21</f>
        <v/>
      </c>
      <c r="AL1696" s="21">
        <f>0</f>
        <v/>
      </c>
      <c r="AM1696" s="21">
        <f>2*$B$20</f>
        <v/>
      </c>
      <c r="AN1696" s="21">
        <f>-$B$19</f>
        <v/>
      </c>
      <c r="AO1696" s="21">
        <f>$B$21</f>
        <v/>
      </c>
      <c r="AP1696" s="21" t="n">
        <v>0</v>
      </c>
      <c r="AQ1696" s="21" t="n">
        <v>0</v>
      </c>
      <c r="AR1696" s="21" t="n">
        <v>0</v>
      </c>
      <c r="AS1696" s="21" t="n">
        <v>0</v>
      </c>
      <c r="AT1696" s="19" t="n"/>
    </row>
    <row r="1697">
      <c r="D1697" s="21" t="n">
        <v>0</v>
      </c>
      <c r="E1697" s="21" t="n">
        <v>0</v>
      </c>
      <c r="F1697" s="21" t="n">
        <v>0</v>
      </c>
      <c r="G1697" s="21" t="n">
        <v>0</v>
      </c>
      <c r="H1697" s="21" t="n">
        <v>0</v>
      </c>
      <c r="I1697" s="21" t="n">
        <v>0</v>
      </c>
      <c r="J1697" s="21" t="n">
        <v>0</v>
      </c>
      <c r="K1697" s="21" t="n">
        <v>0</v>
      </c>
      <c r="L1697" s="21" t="n">
        <v>0</v>
      </c>
      <c r="M1697" s="21" t="n">
        <v>0</v>
      </c>
      <c r="N1697" s="21" t="n">
        <v>0</v>
      </c>
      <c r="O1697" s="21" t="n">
        <v>0</v>
      </c>
      <c r="P1697" s="21" t="n">
        <v>0</v>
      </c>
      <c r="Q1697" s="21" t="n">
        <v>0</v>
      </c>
      <c r="R1697" s="21" t="n">
        <v>0</v>
      </c>
      <c r="S1697" s="21" t="n">
        <v>0</v>
      </c>
      <c r="T1697" s="21" t="n">
        <v>0</v>
      </c>
      <c r="U1697" s="21" t="n">
        <v>0</v>
      </c>
      <c r="V1697" s="21" t="n">
        <v>0</v>
      </c>
      <c r="W1697" s="21" t="n">
        <v>0</v>
      </c>
      <c r="X1697" s="21" t="n">
        <v>0</v>
      </c>
      <c r="Y1697" s="21" t="n">
        <v>0</v>
      </c>
      <c r="Z1697" s="21" t="n">
        <v>0</v>
      </c>
      <c r="AA1697" s="21" t="n">
        <v>0</v>
      </c>
      <c r="AB1697" s="21" t="n">
        <v>0</v>
      </c>
      <c r="AC1697" s="21" t="n">
        <v>0</v>
      </c>
      <c r="AD1697" s="21" t="n">
        <v>0</v>
      </c>
      <c r="AE1697" s="21" t="n">
        <v>0</v>
      </c>
      <c r="AF1697" s="21" t="n">
        <v>0</v>
      </c>
      <c r="AG1697" s="21" t="n">
        <v>0</v>
      </c>
      <c r="AH1697" s="21" t="n">
        <v>0</v>
      </c>
      <c r="AI1697" s="21" t="n">
        <v>0</v>
      </c>
      <c r="AJ1697" s="21" t="n">
        <v>0</v>
      </c>
      <c r="AK1697" s="21" t="n">
        <v>0</v>
      </c>
      <c r="AL1697" s="21">
        <f>-$B$18</f>
        <v/>
      </c>
      <c r="AM1697" s="21">
        <f>-$B$19</f>
        <v/>
      </c>
      <c r="AN1697" s="21">
        <f>2*$B$18+$D$1657</f>
        <v/>
      </c>
      <c r="AO1697" s="21">
        <f>0</f>
        <v/>
      </c>
      <c r="AP1697" s="21">
        <f>-$B$18</f>
        <v/>
      </c>
      <c r="AQ1697" s="21">
        <f>$B$19</f>
        <v/>
      </c>
      <c r="AR1697" s="21" t="n">
        <v>0</v>
      </c>
      <c r="AS1697" s="21" t="n">
        <v>0</v>
      </c>
      <c r="AT1697" s="19" t="n"/>
    </row>
    <row r="1698">
      <c r="D1698" s="21" t="n">
        <v>0</v>
      </c>
      <c r="E1698" s="21" t="n">
        <v>0</v>
      </c>
      <c r="F1698" s="21" t="n">
        <v>0</v>
      </c>
      <c r="G1698" s="21" t="n">
        <v>0</v>
      </c>
      <c r="H1698" s="21" t="n">
        <v>0</v>
      </c>
      <c r="I1698" s="21" t="n">
        <v>0</v>
      </c>
      <c r="J1698" s="21" t="n">
        <v>0</v>
      </c>
      <c r="K1698" s="21" t="n">
        <v>0</v>
      </c>
      <c r="L1698" s="21" t="n">
        <v>0</v>
      </c>
      <c r="M1698" s="21" t="n">
        <v>0</v>
      </c>
      <c r="N1698" s="21" t="n">
        <v>0</v>
      </c>
      <c r="O1698" s="21" t="n">
        <v>0</v>
      </c>
      <c r="P1698" s="21" t="n">
        <v>0</v>
      </c>
      <c r="Q1698" s="21" t="n">
        <v>0</v>
      </c>
      <c r="R1698" s="21" t="n">
        <v>0</v>
      </c>
      <c r="S1698" s="21" t="n">
        <v>0</v>
      </c>
      <c r="T1698" s="21" t="n">
        <v>0</v>
      </c>
      <c r="U1698" s="21" t="n">
        <v>0</v>
      </c>
      <c r="V1698" s="21" t="n">
        <v>0</v>
      </c>
      <c r="W1698" s="21" t="n">
        <v>0</v>
      </c>
      <c r="X1698" s="21" t="n">
        <v>0</v>
      </c>
      <c r="Y1698" s="21" t="n">
        <v>0</v>
      </c>
      <c r="Z1698" s="21" t="n">
        <v>0</v>
      </c>
      <c r="AA1698" s="21" t="n">
        <v>0</v>
      </c>
      <c r="AB1698" s="21" t="n">
        <v>0</v>
      </c>
      <c r="AC1698" s="21" t="n">
        <v>0</v>
      </c>
      <c r="AD1698" s="21" t="n">
        <v>0</v>
      </c>
      <c r="AE1698" s="21" t="n">
        <v>0</v>
      </c>
      <c r="AF1698" s="21" t="n">
        <v>0</v>
      </c>
      <c r="AG1698" s="21" t="n">
        <v>0</v>
      </c>
      <c r="AH1698" s="21" t="n">
        <v>0</v>
      </c>
      <c r="AI1698" s="21" t="n">
        <v>0</v>
      </c>
      <c r="AJ1698" s="21" t="n">
        <v>0</v>
      </c>
      <c r="AK1698" s="21" t="n">
        <v>0</v>
      </c>
      <c r="AL1698" s="21">
        <f>$B$19</f>
        <v/>
      </c>
      <c r="AM1698" s="21">
        <f>$B$21</f>
        <v/>
      </c>
      <c r="AN1698" s="21">
        <f>0</f>
        <v/>
      </c>
      <c r="AO1698" s="21">
        <f>2*$B$20</f>
        <v/>
      </c>
      <c r="AP1698" s="21">
        <f>-$B$19</f>
        <v/>
      </c>
      <c r="AQ1698" s="21">
        <f>$B$21</f>
        <v/>
      </c>
      <c r="AR1698" s="21" t="n">
        <v>0</v>
      </c>
      <c r="AS1698" s="21" t="n">
        <v>0</v>
      </c>
      <c r="AT1698" s="19" t="n"/>
    </row>
    <row r="1699">
      <c r="D1699" s="21" t="n">
        <v>0</v>
      </c>
      <c r="E1699" s="21" t="n">
        <v>0</v>
      </c>
      <c r="F1699" s="21" t="n">
        <v>0</v>
      </c>
      <c r="G1699" s="21" t="n">
        <v>0</v>
      </c>
      <c r="H1699" s="21" t="n">
        <v>0</v>
      </c>
      <c r="I1699" s="21" t="n">
        <v>0</v>
      </c>
      <c r="J1699" s="21" t="n">
        <v>0</v>
      </c>
      <c r="K1699" s="21" t="n">
        <v>0</v>
      </c>
      <c r="L1699" s="21" t="n">
        <v>0</v>
      </c>
      <c r="M1699" s="21" t="n">
        <v>0</v>
      </c>
      <c r="N1699" s="21" t="n">
        <v>0</v>
      </c>
      <c r="O1699" s="21" t="n">
        <v>0</v>
      </c>
      <c r="P1699" s="21" t="n">
        <v>0</v>
      </c>
      <c r="Q1699" s="21" t="n">
        <v>0</v>
      </c>
      <c r="R1699" s="21" t="n">
        <v>0</v>
      </c>
      <c r="S1699" s="21" t="n">
        <v>0</v>
      </c>
      <c r="T1699" s="21" t="n">
        <v>0</v>
      </c>
      <c r="U1699" s="21" t="n">
        <v>0</v>
      </c>
      <c r="V1699" s="21" t="n">
        <v>0</v>
      </c>
      <c r="W1699" s="21" t="n">
        <v>0</v>
      </c>
      <c r="X1699" s="21" t="n">
        <v>0</v>
      </c>
      <c r="Y1699" s="21" t="n">
        <v>0</v>
      </c>
      <c r="Z1699" s="21" t="n">
        <v>0</v>
      </c>
      <c r="AA1699" s="21" t="n">
        <v>0</v>
      </c>
      <c r="AB1699" s="21" t="n">
        <v>0</v>
      </c>
      <c r="AC1699" s="21" t="n">
        <v>0</v>
      </c>
      <c r="AD1699" s="21" t="n">
        <v>0</v>
      </c>
      <c r="AE1699" s="21" t="n">
        <v>0</v>
      </c>
      <c r="AF1699" s="21" t="n">
        <v>0</v>
      </c>
      <c r="AG1699" s="21" t="n">
        <v>0</v>
      </c>
      <c r="AH1699" s="21" t="n">
        <v>0</v>
      </c>
      <c r="AI1699" s="21" t="n">
        <v>0</v>
      </c>
      <c r="AJ1699" s="21" t="n">
        <v>0</v>
      </c>
      <c r="AK1699" s="21" t="n">
        <v>0</v>
      </c>
      <c r="AL1699" s="21" t="n">
        <v>0</v>
      </c>
      <c r="AM1699" s="21" t="n">
        <v>0</v>
      </c>
      <c r="AN1699" s="21">
        <f>-$B$18</f>
        <v/>
      </c>
      <c r="AO1699" s="21">
        <f>-$B$19</f>
        <v/>
      </c>
      <c r="AP1699" s="21">
        <f>2*$B$18+$D$1658</f>
        <v/>
      </c>
      <c r="AQ1699" s="21">
        <f>0</f>
        <v/>
      </c>
      <c r="AR1699" s="21">
        <f>-$B$18</f>
        <v/>
      </c>
      <c r="AS1699" s="21">
        <f>$B$19</f>
        <v/>
      </c>
      <c r="AT1699" s="19" t="n"/>
    </row>
    <row r="1700">
      <c r="D1700" s="21" t="n">
        <v>0</v>
      </c>
      <c r="E1700" s="21" t="n">
        <v>0</v>
      </c>
      <c r="F1700" s="21" t="n">
        <v>0</v>
      </c>
      <c r="G1700" s="21" t="n">
        <v>0</v>
      </c>
      <c r="H1700" s="21" t="n">
        <v>0</v>
      </c>
      <c r="I1700" s="21" t="n">
        <v>0</v>
      </c>
      <c r="J1700" s="21" t="n">
        <v>0</v>
      </c>
      <c r="K1700" s="21" t="n">
        <v>0</v>
      </c>
      <c r="L1700" s="21" t="n">
        <v>0</v>
      </c>
      <c r="M1700" s="21" t="n">
        <v>0</v>
      </c>
      <c r="N1700" s="21" t="n">
        <v>0</v>
      </c>
      <c r="O1700" s="21" t="n">
        <v>0</v>
      </c>
      <c r="P1700" s="21" t="n">
        <v>0</v>
      </c>
      <c r="Q1700" s="21" t="n">
        <v>0</v>
      </c>
      <c r="R1700" s="21" t="n">
        <v>0</v>
      </c>
      <c r="S1700" s="21" t="n">
        <v>0</v>
      </c>
      <c r="T1700" s="21" t="n">
        <v>0</v>
      </c>
      <c r="U1700" s="21" t="n">
        <v>0</v>
      </c>
      <c r="V1700" s="21" t="n">
        <v>0</v>
      </c>
      <c r="W1700" s="21" t="n">
        <v>0</v>
      </c>
      <c r="X1700" s="21" t="n">
        <v>0</v>
      </c>
      <c r="Y1700" s="21" t="n">
        <v>0</v>
      </c>
      <c r="Z1700" s="21" t="n">
        <v>0</v>
      </c>
      <c r="AA1700" s="21" t="n">
        <v>0</v>
      </c>
      <c r="AB1700" s="21" t="n">
        <v>0</v>
      </c>
      <c r="AC1700" s="21" t="n">
        <v>0</v>
      </c>
      <c r="AD1700" s="21" t="n">
        <v>0</v>
      </c>
      <c r="AE1700" s="21" t="n">
        <v>0</v>
      </c>
      <c r="AF1700" s="21" t="n">
        <v>0</v>
      </c>
      <c r="AG1700" s="21" t="n">
        <v>0</v>
      </c>
      <c r="AH1700" s="21" t="n">
        <v>0</v>
      </c>
      <c r="AI1700" s="21" t="n">
        <v>0</v>
      </c>
      <c r="AJ1700" s="21" t="n">
        <v>0</v>
      </c>
      <c r="AK1700" s="21" t="n">
        <v>0</v>
      </c>
      <c r="AL1700" s="21" t="n">
        <v>0</v>
      </c>
      <c r="AM1700" s="21" t="n">
        <v>0</v>
      </c>
      <c r="AN1700" s="21">
        <f>$B$19</f>
        <v/>
      </c>
      <c r="AO1700" s="21">
        <f>$B$21</f>
        <v/>
      </c>
      <c r="AP1700" s="21">
        <f>0</f>
        <v/>
      </c>
      <c r="AQ1700" s="21">
        <f>2*$B$20</f>
        <v/>
      </c>
      <c r="AR1700" s="21">
        <f>-$B$19</f>
        <v/>
      </c>
      <c r="AS1700" s="21">
        <f>$B$21</f>
        <v/>
      </c>
      <c r="AT1700" s="19" t="n"/>
    </row>
    <row r="1701">
      <c r="D1701" s="21" t="n">
        <v>0</v>
      </c>
      <c r="E1701" s="21" t="n">
        <v>0</v>
      </c>
      <c r="F1701" s="21" t="n">
        <v>0</v>
      </c>
      <c r="G1701" s="21" t="n">
        <v>0</v>
      </c>
      <c r="H1701" s="21" t="n">
        <v>0</v>
      </c>
      <c r="I1701" s="21" t="n">
        <v>0</v>
      </c>
      <c r="J1701" s="21" t="n">
        <v>0</v>
      </c>
      <c r="K1701" s="21" t="n">
        <v>0</v>
      </c>
      <c r="L1701" s="21" t="n">
        <v>0</v>
      </c>
      <c r="M1701" s="21" t="n">
        <v>0</v>
      </c>
      <c r="N1701" s="21" t="n">
        <v>0</v>
      </c>
      <c r="O1701" s="21" t="n">
        <v>0</v>
      </c>
      <c r="P1701" s="21" t="n">
        <v>0</v>
      </c>
      <c r="Q1701" s="21" t="n">
        <v>0</v>
      </c>
      <c r="R1701" s="21" t="n">
        <v>0</v>
      </c>
      <c r="S1701" s="21" t="n">
        <v>0</v>
      </c>
      <c r="T1701" s="21" t="n">
        <v>0</v>
      </c>
      <c r="U1701" s="21" t="n">
        <v>0</v>
      </c>
      <c r="V1701" s="21" t="n">
        <v>0</v>
      </c>
      <c r="W1701" s="21" t="n">
        <v>0</v>
      </c>
      <c r="X1701" s="21" t="n">
        <v>0</v>
      </c>
      <c r="Y1701" s="21" t="n">
        <v>0</v>
      </c>
      <c r="Z1701" s="21" t="n">
        <v>0</v>
      </c>
      <c r="AA1701" s="21" t="n">
        <v>0</v>
      </c>
      <c r="AB1701" s="21" t="n">
        <v>0</v>
      </c>
      <c r="AC1701" s="21" t="n">
        <v>0</v>
      </c>
      <c r="AD1701" s="21" t="n">
        <v>0</v>
      </c>
      <c r="AE1701" s="21" t="n">
        <v>0</v>
      </c>
      <c r="AF1701" s="21" t="n">
        <v>0</v>
      </c>
      <c r="AG1701" s="21" t="n">
        <v>0</v>
      </c>
      <c r="AH1701" s="21" t="n">
        <v>0</v>
      </c>
      <c r="AI1701" s="21" t="n">
        <v>0</v>
      </c>
      <c r="AJ1701" s="21" t="n">
        <v>0</v>
      </c>
      <c r="AK1701" s="21" t="n">
        <v>0</v>
      </c>
      <c r="AL1701" s="21" t="n">
        <v>0</v>
      </c>
      <c r="AM1701" s="21" t="n">
        <v>0</v>
      </c>
      <c r="AN1701" s="21" t="n">
        <v>0</v>
      </c>
      <c r="AO1701" s="21" t="n">
        <v>0</v>
      </c>
      <c r="AP1701" s="21">
        <f>-$B$18</f>
        <v/>
      </c>
      <c r="AQ1701" s="21">
        <f>-$B$19</f>
        <v/>
      </c>
      <c r="AR1701" s="21">
        <f>$B$18+$D$1659</f>
        <v/>
      </c>
      <c r="AS1701" s="21">
        <f>-$B$19</f>
        <v/>
      </c>
      <c r="AT1701" s="19" t="n"/>
    </row>
    <row r="1702">
      <c r="D1702" s="21" t="n">
        <v>0</v>
      </c>
      <c r="E1702" s="21" t="n">
        <v>0</v>
      </c>
      <c r="F1702" s="21" t="n">
        <v>0</v>
      </c>
      <c r="G1702" s="21" t="n">
        <v>0</v>
      </c>
      <c r="H1702" s="21" t="n">
        <v>0</v>
      </c>
      <c r="I1702" s="21" t="n">
        <v>0</v>
      </c>
      <c r="J1702" s="21" t="n">
        <v>0</v>
      </c>
      <c r="K1702" s="21" t="n">
        <v>0</v>
      </c>
      <c r="L1702" s="21" t="n">
        <v>0</v>
      </c>
      <c r="M1702" s="21" t="n">
        <v>0</v>
      </c>
      <c r="N1702" s="21" t="n">
        <v>0</v>
      </c>
      <c r="O1702" s="21" t="n">
        <v>0</v>
      </c>
      <c r="P1702" s="21" t="n">
        <v>0</v>
      </c>
      <c r="Q1702" s="21" t="n">
        <v>0</v>
      </c>
      <c r="R1702" s="21" t="n">
        <v>0</v>
      </c>
      <c r="S1702" s="21" t="n">
        <v>0</v>
      </c>
      <c r="T1702" s="21" t="n">
        <v>0</v>
      </c>
      <c r="U1702" s="21" t="n">
        <v>0</v>
      </c>
      <c r="V1702" s="21" t="n">
        <v>0</v>
      </c>
      <c r="W1702" s="21" t="n">
        <v>0</v>
      </c>
      <c r="X1702" s="21" t="n">
        <v>0</v>
      </c>
      <c r="Y1702" s="21" t="n">
        <v>0</v>
      </c>
      <c r="Z1702" s="21" t="n">
        <v>0</v>
      </c>
      <c r="AA1702" s="21" t="n">
        <v>0</v>
      </c>
      <c r="AB1702" s="21" t="n">
        <v>0</v>
      </c>
      <c r="AC1702" s="21" t="n">
        <v>0</v>
      </c>
      <c r="AD1702" s="21" t="n">
        <v>0</v>
      </c>
      <c r="AE1702" s="21" t="n">
        <v>0</v>
      </c>
      <c r="AF1702" s="21" t="n">
        <v>0</v>
      </c>
      <c r="AG1702" s="21" t="n">
        <v>0</v>
      </c>
      <c r="AH1702" s="21" t="n">
        <v>0</v>
      </c>
      <c r="AI1702" s="21" t="n">
        <v>0</v>
      </c>
      <c r="AJ1702" s="21" t="n">
        <v>0</v>
      </c>
      <c r="AK1702" s="21" t="n">
        <v>0</v>
      </c>
      <c r="AL1702" s="21" t="n">
        <v>0</v>
      </c>
      <c r="AM1702" s="21" t="n">
        <v>0</v>
      </c>
      <c r="AN1702" s="21" t="n">
        <v>0</v>
      </c>
      <c r="AO1702" s="21" t="n">
        <v>0</v>
      </c>
      <c r="AP1702" s="21">
        <f>$B$19</f>
        <v/>
      </c>
      <c r="AQ1702" s="21">
        <f>$B$21</f>
        <v/>
      </c>
      <c r="AR1702" s="21">
        <f>-$B$19</f>
        <v/>
      </c>
      <c r="AS1702" s="21">
        <f>$B$20</f>
        <v/>
      </c>
      <c r="AT1702" s="19" t="n"/>
    </row>
    <row r="1704">
      <c r="A1704" s="8" t="inlineStr">
        <is>
          <t>gen 25</t>
        </is>
      </c>
    </row>
    <row r="1705">
      <c r="D1705" s="19">
        <f>IF(ABS(IF(ABS($E$1639)&gt;0.000000001,$E$1639,0.000000001))=0,0,IF($E$33&lt;=$B$27,0,IF(ABS(IF(ABS($E$1639)&gt;0.000000001,$E$1639,0.000000001))&gt;=8*$B$29,$H$33,0.5*$H$33*(ABS(IF(ABS($E$1639)&gt;0.000000001,$E$1639,0.000000001))/$B$29)^(1/3)))/ABS(IF(ABS($E$1639)&gt;0.000000001,$E$1639,0.000000001))*$I$33)</f>
        <v/>
      </c>
      <c r="E1705" s="19">
        <f>0.5*$E$1639+0.5*$AT$1727</f>
        <v/>
      </c>
      <c r="F1705" s="19">
        <f>$AT$1728</f>
        <v/>
      </c>
    </row>
    <row r="1706">
      <c r="D1706" s="19">
        <f>IF(ABS(IF(ABS($E$1640)&gt;0.000000001,$E$1640,0.000000001))=0,0,IF($E$34&lt;=$B$27,0,IF(ABS(IF(ABS($E$1640)&gt;0.000000001,$E$1640,0.000000001))&gt;=8*$B$29,$H$34,0.5*$H$34*(ABS(IF(ABS($E$1640)&gt;0.000000001,$E$1640,0.000000001))/$B$29)^(1/3)))/ABS(IF(ABS($E$1640)&gt;0.000000001,$E$1640,0.000000001))*$I$34)</f>
        <v/>
      </c>
      <c r="E1706" s="19">
        <f>0.5*$E$1640+0.5*$AT$1729</f>
        <v/>
      </c>
      <c r="F1706" s="19">
        <f>$AT$1730</f>
        <v/>
      </c>
    </row>
    <row r="1707">
      <c r="D1707" s="19">
        <f>IF(ABS(IF(ABS($E$1641)&gt;0.000000001,$E$1641,0.000000001))=0,0,IF($E$35&lt;=$B$27,0,IF(ABS(IF(ABS($E$1641)&gt;0.000000001,$E$1641,0.000000001))&gt;=8*$B$29,$H$35,0.5*$H$35*(ABS(IF(ABS($E$1641)&gt;0.000000001,$E$1641,0.000000001))/$B$29)^(1/3)))/ABS(IF(ABS($E$1641)&gt;0.000000001,$E$1641,0.000000001))*$I$35)</f>
        <v/>
      </c>
      <c r="E1707" s="19">
        <f>0.5*$E$1641+0.5*$AT$1731</f>
        <v/>
      </c>
      <c r="F1707" s="19">
        <f>$AT$1732</f>
        <v/>
      </c>
    </row>
    <row r="1708">
      <c r="D1708" s="19">
        <f>IF(ABS(IF(ABS($E$1642)&gt;0.000000001,$E$1642,0.000000001))=0,0,IF($E$36&lt;=$B$27,0,IF(ABS(IF(ABS($E$1642)&gt;0.000000001,$E$1642,0.000000001))&gt;=8*$B$29,$H$36,0.5*$H$36*(ABS(IF(ABS($E$1642)&gt;0.000000001,$E$1642,0.000000001))/$B$29)^(1/3)))/ABS(IF(ABS($E$1642)&gt;0.000000001,$E$1642,0.000000001))*$I$36)</f>
        <v/>
      </c>
      <c r="E1708" s="19">
        <f>0.5*$E$1642+0.5*$AT$1733</f>
        <v/>
      </c>
      <c r="F1708" s="19">
        <f>$AT$1734</f>
        <v/>
      </c>
    </row>
    <row r="1709">
      <c r="D1709" s="19">
        <f>IF(ABS(IF(ABS($E$1643)&gt;0.000000001,$E$1643,0.000000001))=0,0,IF($E$37&lt;=$B$27,0,IF(ABS(IF(ABS($E$1643)&gt;0.000000001,$E$1643,0.000000001))&gt;=8*$B$29,$H$37,0.5*$H$37*(ABS(IF(ABS($E$1643)&gt;0.000000001,$E$1643,0.000000001))/$B$29)^(1/3)))/ABS(IF(ABS($E$1643)&gt;0.000000001,$E$1643,0.000000001))*$I$37)</f>
        <v/>
      </c>
      <c r="E1709" s="19">
        <f>0.5*$E$1643+0.5*$AT$1735</f>
        <v/>
      </c>
      <c r="F1709" s="19">
        <f>$AT$1736</f>
        <v/>
      </c>
    </row>
    <row r="1710">
      <c r="D1710" s="19">
        <f>IF(ABS(IF(ABS($E$1644)&gt;0.000000001,$E$1644,0.000000001))=0,0,IF($E$38&lt;=$B$27,0,IF(ABS(IF(ABS($E$1644)&gt;0.000000001,$E$1644,0.000000001))&gt;=8*$B$29,$H$38,0.5*$H$38*(ABS(IF(ABS($E$1644)&gt;0.000000001,$E$1644,0.000000001))/$B$29)^(1/3)))/ABS(IF(ABS($E$1644)&gt;0.000000001,$E$1644,0.000000001))*$I$38)</f>
        <v/>
      </c>
      <c r="E1710" s="19">
        <f>0.5*$E$1644+0.5*$AT$1737</f>
        <v/>
      </c>
      <c r="F1710" s="19">
        <f>$AT$1738</f>
        <v/>
      </c>
    </row>
    <row r="1711">
      <c r="D1711" s="19">
        <f>IF(ABS(IF(ABS($E$1645)&gt;0.000000001,$E$1645,0.000000001))=0,0,IF($E$39&lt;=$B$27,0,IF(ABS(IF(ABS($E$1645)&gt;0.000000001,$E$1645,0.000000001))&gt;=8*$B$29,$H$39,0.5*$H$39*(ABS(IF(ABS($E$1645)&gt;0.000000001,$E$1645,0.000000001))/$B$29)^(1/3)))/ABS(IF(ABS($E$1645)&gt;0.000000001,$E$1645,0.000000001))*$I$39)</f>
        <v/>
      </c>
      <c r="E1711" s="19">
        <f>0.5*$E$1645+0.5*$AT$1739</f>
        <v/>
      </c>
      <c r="F1711" s="19">
        <f>$AT$1740</f>
        <v/>
      </c>
    </row>
    <row r="1712">
      <c r="D1712" s="19">
        <f>IF(ABS(IF(ABS($E$1646)&gt;0.000000001,$E$1646,0.000000001))=0,0,IF($E$40&lt;=$B$27,0,IF(ABS(IF(ABS($E$1646)&gt;0.000000001,$E$1646,0.000000001))&gt;=8*$B$29,$H$40,0.5*$H$40*(ABS(IF(ABS($E$1646)&gt;0.000000001,$E$1646,0.000000001))/$B$29)^(1/3)))/ABS(IF(ABS($E$1646)&gt;0.000000001,$E$1646,0.000000001))*$I$40)</f>
        <v/>
      </c>
      <c r="E1712" s="19">
        <f>0.5*$E$1646+0.5*$AT$1741</f>
        <v/>
      </c>
      <c r="F1712" s="19">
        <f>$AT$1742</f>
        <v/>
      </c>
    </row>
    <row r="1713">
      <c r="D1713" s="19">
        <f>IF(ABS(IF(ABS($E$1647)&gt;0.000000001,$E$1647,0.000000001))=0,0,IF($E$41&lt;=$B$27,0,IF(ABS(IF(ABS($E$1647)&gt;0.000000001,$E$1647,0.000000001))&gt;=8*$B$29,$H$41,0.5*$H$41*(ABS(IF(ABS($E$1647)&gt;0.000000001,$E$1647,0.000000001))/$B$29)^(1/3)))/ABS(IF(ABS($E$1647)&gt;0.000000001,$E$1647,0.000000001))*$I$41)</f>
        <v/>
      </c>
      <c r="E1713" s="19">
        <f>0.5*$E$1647+0.5*$AT$1743</f>
        <v/>
      </c>
      <c r="F1713" s="19">
        <f>$AT$1744</f>
        <v/>
      </c>
    </row>
    <row r="1714">
      <c r="D1714" s="19">
        <f>IF(ABS(IF(ABS($E$1648)&gt;0.000000001,$E$1648,0.000000001))=0,0,IF($E$42&lt;=$B$27,0,IF(ABS(IF(ABS($E$1648)&gt;0.000000001,$E$1648,0.000000001))&gt;=8*$B$29,$H$42,0.5*$H$42*(ABS(IF(ABS($E$1648)&gt;0.000000001,$E$1648,0.000000001))/$B$29)^(1/3)))/ABS(IF(ABS($E$1648)&gt;0.000000001,$E$1648,0.000000001))*$I$42)</f>
        <v/>
      </c>
      <c r="E1714" s="19">
        <f>0.5*$E$1648+0.5*$AT$1745</f>
        <v/>
      </c>
      <c r="F1714" s="19">
        <f>$AT$1746</f>
        <v/>
      </c>
    </row>
    <row r="1715">
      <c r="D1715" s="19">
        <f>IF(ABS(IF(ABS($E$1649)&gt;0.000000001,$E$1649,0.000000001))=0,0,IF($E$43&lt;=$B$27,0,IF(ABS(IF(ABS($E$1649)&gt;0.000000001,$E$1649,0.000000001))&gt;=8*$B$29,$H$43,0.5*$H$43*(ABS(IF(ABS($E$1649)&gt;0.000000001,$E$1649,0.000000001))/$B$29)^(1/3)))/ABS(IF(ABS($E$1649)&gt;0.000000001,$E$1649,0.000000001))*$I$43)</f>
        <v/>
      </c>
      <c r="E1715" s="19">
        <f>0.5*$E$1649+0.5*$AT$1747</f>
        <v/>
      </c>
      <c r="F1715" s="19">
        <f>$AT$1748</f>
        <v/>
      </c>
    </row>
    <row r="1716">
      <c r="D1716" s="19">
        <f>IF(ABS(IF(ABS($E$1650)&gt;0.000000001,$E$1650,0.000000001))=0,0,IF($E$44&lt;=$B$27,0,IF(ABS(IF(ABS($E$1650)&gt;0.000000001,$E$1650,0.000000001))&gt;=8*$B$29,$H$44,0.5*$H$44*(ABS(IF(ABS($E$1650)&gt;0.000000001,$E$1650,0.000000001))/$B$29)^(1/3)))/ABS(IF(ABS($E$1650)&gt;0.000000001,$E$1650,0.000000001))*$I$44)</f>
        <v/>
      </c>
      <c r="E1716" s="19">
        <f>0.5*$E$1650+0.5*$AT$1749</f>
        <v/>
      </c>
      <c r="F1716" s="19">
        <f>$AT$1750</f>
        <v/>
      </c>
    </row>
    <row r="1717">
      <c r="D1717" s="19">
        <f>IF(ABS(IF(ABS($E$1651)&gt;0.000000001,$E$1651,0.000000001))=0,0,IF($E$45&lt;=$B$27,0,IF(ABS(IF(ABS($E$1651)&gt;0.000000001,$E$1651,0.000000001))&gt;=8*$B$29,$H$45,0.5*$H$45*(ABS(IF(ABS($E$1651)&gt;0.000000001,$E$1651,0.000000001))/$B$29)^(1/3)))/ABS(IF(ABS($E$1651)&gt;0.000000001,$E$1651,0.000000001))*$I$45)</f>
        <v/>
      </c>
      <c r="E1717" s="19">
        <f>0.5*$E$1651+0.5*$AT$1751</f>
        <v/>
      </c>
      <c r="F1717" s="19">
        <f>$AT$1752</f>
        <v/>
      </c>
    </row>
    <row r="1718">
      <c r="D1718" s="19">
        <f>IF(ABS(IF(ABS($E$1652)&gt;0.000000001,$E$1652,0.000000001))=0,0,IF($E$46&lt;=$B$27,0,IF(ABS(IF(ABS($E$1652)&gt;0.000000001,$E$1652,0.000000001))&gt;=8*$B$29,$H$46,0.5*$H$46*(ABS(IF(ABS($E$1652)&gt;0.000000001,$E$1652,0.000000001))/$B$29)^(1/3)))/ABS(IF(ABS($E$1652)&gt;0.000000001,$E$1652,0.000000001))*$I$46)</f>
        <v/>
      </c>
      <c r="E1718" s="19">
        <f>0.5*$E$1652+0.5*$AT$1753</f>
        <v/>
      </c>
      <c r="F1718" s="19">
        <f>$AT$1754</f>
        <v/>
      </c>
    </row>
    <row r="1719">
      <c r="D1719" s="19">
        <f>IF(ABS(IF(ABS($E$1653)&gt;0.000000001,$E$1653,0.000000001))=0,0,IF($E$47&lt;=$B$27,0,IF(ABS(IF(ABS($E$1653)&gt;0.000000001,$E$1653,0.000000001))&gt;=8*$B$29,$H$47,0.5*$H$47*(ABS(IF(ABS($E$1653)&gt;0.000000001,$E$1653,0.000000001))/$B$29)^(1/3)))/ABS(IF(ABS($E$1653)&gt;0.000000001,$E$1653,0.000000001))*$I$47)</f>
        <v/>
      </c>
      <c r="E1719" s="19">
        <f>0.5*$E$1653+0.5*$AT$1755</f>
        <v/>
      </c>
      <c r="F1719" s="19">
        <f>$AT$1756</f>
        <v/>
      </c>
    </row>
    <row r="1720">
      <c r="D1720" s="19">
        <f>IF(ABS(IF(ABS($E$1654)&gt;0.000000001,$E$1654,0.000000001))=0,0,IF($E$48&lt;=$B$27,0,IF(ABS(IF(ABS($E$1654)&gt;0.000000001,$E$1654,0.000000001))&gt;=8*$B$29,$H$48,0.5*$H$48*(ABS(IF(ABS($E$1654)&gt;0.000000001,$E$1654,0.000000001))/$B$29)^(1/3)))/ABS(IF(ABS($E$1654)&gt;0.000000001,$E$1654,0.000000001))*$I$48)</f>
        <v/>
      </c>
      <c r="E1720" s="19">
        <f>0.5*$E$1654+0.5*$AT$1757</f>
        <v/>
      </c>
      <c r="F1720" s="19">
        <f>$AT$1758</f>
        <v/>
      </c>
    </row>
    <row r="1721">
      <c r="D1721" s="19">
        <f>IF(ABS(IF(ABS($E$1655)&gt;0.000000001,$E$1655,0.000000001))=0,0,IF($E$49&lt;=$B$27,0,IF(ABS(IF(ABS($E$1655)&gt;0.000000001,$E$1655,0.000000001))&gt;=8*$B$29,$H$49,0.5*$H$49*(ABS(IF(ABS($E$1655)&gt;0.000000001,$E$1655,0.000000001))/$B$29)^(1/3)))/ABS(IF(ABS($E$1655)&gt;0.000000001,$E$1655,0.000000001))*$I$49)</f>
        <v/>
      </c>
      <c r="E1721" s="19">
        <f>0.5*$E$1655+0.5*$AT$1759</f>
        <v/>
      </c>
      <c r="F1721" s="19">
        <f>$AT$1760</f>
        <v/>
      </c>
    </row>
    <row r="1722">
      <c r="D1722" s="19">
        <f>IF(ABS(IF(ABS($E$1656)&gt;0.000000001,$E$1656,0.000000001))=0,0,IF($E$50&lt;=$B$27,0,IF(ABS(IF(ABS($E$1656)&gt;0.000000001,$E$1656,0.000000001))&gt;=8*$B$29,$H$50,0.5*$H$50*(ABS(IF(ABS($E$1656)&gt;0.000000001,$E$1656,0.000000001))/$B$29)^(1/3)))/ABS(IF(ABS($E$1656)&gt;0.000000001,$E$1656,0.000000001))*$I$50)</f>
        <v/>
      </c>
      <c r="E1722" s="19">
        <f>0.5*$E$1656+0.5*$AT$1761</f>
        <v/>
      </c>
      <c r="F1722" s="19">
        <f>$AT$1762</f>
        <v/>
      </c>
    </row>
    <row r="1723">
      <c r="D1723" s="19">
        <f>IF(ABS(IF(ABS($E$1657)&gt;0.000000001,$E$1657,0.000000001))=0,0,IF($E$51&lt;=$B$27,0,IF(ABS(IF(ABS($E$1657)&gt;0.000000001,$E$1657,0.000000001))&gt;=8*$B$29,$H$51,0.5*$H$51*(ABS(IF(ABS($E$1657)&gt;0.000000001,$E$1657,0.000000001))/$B$29)^(1/3)))/ABS(IF(ABS($E$1657)&gt;0.000000001,$E$1657,0.000000001))*$I$51)</f>
        <v/>
      </c>
      <c r="E1723" s="19">
        <f>0.5*$E$1657+0.5*$AT$1763</f>
        <v/>
      </c>
      <c r="F1723" s="19">
        <f>$AT$1764</f>
        <v/>
      </c>
    </row>
    <row r="1724">
      <c r="D1724" s="19">
        <f>IF(ABS(IF(ABS($E$1658)&gt;0.000000001,$E$1658,0.000000001))=0,0,IF($E$52&lt;=$B$27,0,IF(ABS(IF(ABS($E$1658)&gt;0.000000001,$E$1658,0.000000001))&gt;=8*$B$29,$H$52,0.5*$H$52*(ABS(IF(ABS($E$1658)&gt;0.000000001,$E$1658,0.000000001))/$B$29)^(1/3)))/ABS(IF(ABS($E$1658)&gt;0.000000001,$E$1658,0.000000001))*$I$52)</f>
        <v/>
      </c>
      <c r="E1724" s="19">
        <f>0.5*$E$1658+0.5*$AT$1765</f>
        <v/>
      </c>
      <c r="F1724" s="19">
        <f>$AT$1766</f>
        <v/>
      </c>
    </row>
    <row r="1725">
      <c r="D1725" s="19">
        <f>IF(ABS(IF(ABS($E$1659)&gt;0.000000001,$E$1659,0.000000001))=0,0,IF($E$53&lt;=$B$27,0,IF(ABS(IF(ABS($E$1659)&gt;0.000000001,$E$1659,0.000000001))&gt;=8*$B$29,$H$53,0.5*$H$53*(ABS(IF(ABS($E$1659)&gt;0.000000001,$E$1659,0.000000001))/$B$29)^(1/3)))/ABS(IF(ABS($E$1659)&gt;0.000000001,$E$1659,0.000000001))*$I$53)</f>
        <v/>
      </c>
      <c r="E1725" s="19">
        <f>0.5*$E$1659+0.5*$AT$1767</f>
        <v/>
      </c>
      <c r="F1725" s="19">
        <f>$AT$1768</f>
        <v/>
      </c>
    </row>
    <row r="1727">
      <c r="D1727" s="21">
        <f>$B$18+$D$1705</f>
        <v/>
      </c>
      <c r="E1727" s="21">
        <f>$B$19</f>
        <v/>
      </c>
      <c r="F1727" s="21">
        <f>-$B$18</f>
        <v/>
      </c>
      <c r="G1727" s="21">
        <f>$B$19</f>
        <v/>
      </c>
      <c r="H1727" s="21" t="n">
        <v>0</v>
      </c>
      <c r="I1727" s="21" t="n">
        <v>0</v>
      </c>
      <c r="J1727" s="21" t="n">
        <v>0</v>
      </c>
      <c r="K1727" s="21" t="n">
        <v>0</v>
      </c>
      <c r="L1727" s="21" t="n">
        <v>0</v>
      </c>
      <c r="M1727" s="21" t="n">
        <v>0</v>
      </c>
      <c r="N1727" s="21" t="n">
        <v>0</v>
      </c>
      <c r="O1727" s="21" t="n">
        <v>0</v>
      </c>
      <c r="P1727" s="21" t="n">
        <v>0</v>
      </c>
      <c r="Q1727" s="21" t="n">
        <v>0</v>
      </c>
      <c r="R1727" s="21" t="n">
        <v>0</v>
      </c>
      <c r="S1727" s="21" t="n">
        <v>0</v>
      </c>
      <c r="T1727" s="21" t="n">
        <v>0</v>
      </c>
      <c r="U1727" s="21" t="n">
        <v>0</v>
      </c>
      <c r="V1727" s="21" t="n">
        <v>0</v>
      </c>
      <c r="W1727" s="21" t="n">
        <v>0</v>
      </c>
      <c r="X1727" s="21" t="n">
        <v>0</v>
      </c>
      <c r="Y1727" s="21" t="n">
        <v>0</v>
      </c>
      <c r="Z1727" s="21" t="n">
        <v>0</v>
      </c>
      <c r="AA1727" s="21" t="n">
        <v>0</v>
      </c>
      <c r="AB1727" s="21" t="n">
        <v>0</v>
      </c>
      <c r="AC1727" s="21" t="n">
        <v>0</v>
      </c>
      <c r="AD1727" s="21" t="n">
        <v>0</v>
      </c>
      <c r="AE1727" s="21" t="n">
        <v>0</v>
      </c>
      <c r="AF1727" s="21" t="n">
        <v>0</v>
      </c>
      <c r="AG1727" s="21" t="n">
        <v>0</v>
      </c>
      <c r="AH1727" s="21" t="n">
        <v>0</v>
      </c>
      <c r="AI1727" s="21" t="n">
        <v>0</v>
      </c>
      <c r="AJ1727" s="21" t="n">
        <v>0</v>
      </c>
      <c r="AK1727" s="21" t="n">
        <v>0</v>
      </c>
      <c r="AL1727" s="21" t="n">
        <v>0</v>
      </c>
      <c r="AM1727" s="21" t="n">
        <v>0</v>
      </c>
      <c r="AN1727" s="21" t="n">
        <v>0</v>
      </c>
      <c r="AO1727" s="21" t="n">
        <v>0</v>
      </c>
      <c r="AP1727" s="21" t="n">
        <v>0</v>
      </c>
      <c r="AQ1727" s="21" t="n">
        <v>0</v>
      </c>
      <c r="AR1727" s="21" t="n">
        <v>0</v>
      </c>
      <c r="AS1727" s="21" t="n">
        <v>0</v>
      </c>
      <c r="AT1727" s="19">
        <f t="array" ref="AT1727:AT1768">MMULT(MINVERSE($D$1727:$AS$1768),$D$55:$D$96)</f>
        <v/>
      </c>
    </row>
    <row r="1728">
      <c r="D1728" s="21">
        <f>$B$19</f>
        <v/>
      </c>
      <c r="E1728" s="21">
        <f>$B$20</f>
        <v/>
      </c>
      <c r="F1728" s="21">
        <f>-$B$19</f>
        <v/>
      </c>
      <c r="G1728" s="21">
        <f>$B$21</f>
        <v/>
      </c>
      <c r="H1728" s="21" t="n">
        <v>0</v>
      </c>
      <c r="I1728" s="21" t="n">
        <v>0</v>
      </c>
      <c r="J1728" s="21" t="n">
        <v>0</v>
      </c>
      <c r="K1728" s="21" t="n">
        <v>0</v>
      </c>
      <c r="L1728" s="21" t="n">
        <v>0</v>
      </c>
      <c r="M1728" s="21" t="n">
        <v>0</v>
      </c>
      <c r="N1728" s="21" t="n">
        <v>0</v>
      </c>
      <c r="O1728" s="21" t="n">
        <v>0</v>
      </c>
      <c r="P1728" s="21" t="n">
        <v>0</v>
      </c>
      <c r="Q1728" s="21" t="n">
        <v>0</v>
      </c>
      <c r="R1728" s="21" t="n">
        <v>0</v>
      </c>
      <c r="S1728" s="21" t="n">
        <v>0</v>
      </c>
      <c r="T1728" s="21" t="n">
        <v>0</v>
      </c>
      <c r="U1728" s="21" t="n">
        <v>0</v>
      </c>
      <c r="V1728" s="21" t="n">
        <v>0</v>
      </c>
      <c r="W1728" s="21" t="n">
        <v>0</v>
      </c>
      <c r="X1728" s="21" t="n">
        <v>0</v>
      </c>
      <c r="Y1728" s="21" t="n">
        <v>0</v>
      </c>
      <c r="Z1728" s="21" t="n">
        <v>0</v>
      </c>
      <c r="AA1728" s="21" t="n">
        <v>0</v>
      </c>
      <c r="AB1728" s="21" t="n">
        <v>0</v>
      </c>
      <c r="AC1728" s="21" t="n">
        <v>0</v>
      </c>
      <c r="AD1728" s="21" t="n">
        <v>0</v>
      </c>
      <c r="AE1728" s="21" t="n">
        <v>0</v>
      </c>
      <c r="AF1728" s="21" t="n">
        <v>0</v>
      </c>
      <c r="AG1728" s="21" t="n">
        <v>0</v>
      </c>
      <c r="AH1728" s="21" t="n">
        <v>0</v>
      </c>
      <c r="AI1728" s="21" t="n">
        <v>0</v>
      </c>
      <c r="AJ1728" s="21" t="n">
        <v>0</v>
      </c>
      <c r="AK1728" s="21" t="n">
        <v>0</v>
      </c>
      <c r="AL1728" s="21" t="n">
        <v>0</v>
      </c>
      <c r="AM1728" s="21" t="n">
        <v>0</v>
      </c>
      <c r="AN1728" s="21" t="n">
        <v>0</v>
      </c>
      <c r="AO1728" s="21" t="n">
        <v>0</v>
      </c>
      <c r="AP1728" s="21" t="n">
        <v>0</v>
      </c>
      <c r="AQ1728" s="21" t="n">
        <v>0</v>
      </c>
      <c r="AR1728" s="21" t="n">
        <v>0</v>
      </c>
      <c r="AS1728" s="21" t="n">
        <v>0</v>
      </c>
      <c r="AT1728" s="19" t="n"/>
    </row>
    <row r="1729">
      <c r="D1729" s="21">
        <f>-$B$18</f>
        <v/>
      </c>
      <c r="E1729" s="21">
        <f>-$B$19</f>
        <v/>
      </c>
      <c r="F1729" s="21">
        <f>2*$B$18+$D$1706</f>
        <v/>
      </c>
      <c r="G1729" s="21">
        <f>0</f>
        <v/>
      </c>
      <c r="H1729" s="21">
        <f>-$B$18</f>
        <v/>
      </c>
      <c r="I1729" s="21">
        <f>$B$19</f>
        <v/>
      </c>
      <c r="J1729" s="21" t="n">
        <v>0</v>
      </c>
      <c r="K1729" s="21" t="n">
        <v>0</v>
      </c>
      <c r="L1729" s="21" t="n">
        <v>0</v>
      </c>
      <c r="M1729" s="21" t="n">
        <v>0</v>
      </c>
      <c r="N1729" s="21" t="n">
        <v>0</v>
      </c>
      <c r="O1729" s="21" t="n">
        <v>0</v>
      </c>
      <c r="P1729" s="21" t="n">
        <v>0</v>
      </c>
      <c r="Q1729" s="21" t="n">
        <v>0</v>
      </c>
      <c r="R1729" s="21" t="n">
        <v>0</v>
      </c>
      <c r="S1729" s="21" t="n">
        <v>0</v>
      </c>
      <c r="T1729" s="21" t="n">
        <v>0</v>
      </c>
      <c r="U1729" s="21" t="n">
        <v>0</v>
      </c>
      <c r="V1729" s="21" t="n">
        <v>0</v>
      </c>
      <c r="W1729" s="21" t="n">
        <v>0</v>
      </c>
      <c r="X1729" s="21" t="n">
        <v>0</v>
      </c>
      <c r="Y1729" s="21" t="n">
        <v>0</v>
      </c>
      <c r="Z1729" s="21" t="n">
        <v>0</v>
      </c>
      <c r="AA1729" s="21" t="n">
        <v>0</v>
      </c>
      <c r="AB1729" s="21" t="n">
        <v>0</v>
      </c>
      <c r="AC1729" s="21" t="n">
        <v>0</v>
      </c>
      <c r="AD1729" s="21" t="n">
        <v>0</v>
      </c>
      <c r="AE1729" s="21" t="n">
        <v>0</v>
      </c>
      <c r="AF1729" s="21" t="n">
        <v>0</v>
      </c>
      <c r="AG1729" s="21" t="n">
        <v>0</v>
      </c>
      <c r="AH1729" s="21" t="n">
        <v>0</v>
      </c>
      <c r="AI1729" s="21" t="n">
        <v>0</v>
      </c>
      <c r="AJ1729" s="21" t="n">
        <v>0</v>
      </c>
      <c r="AK1729" s="21" t="n">
        <v>0</v>
      </c>
      <c r="AL1729" s="21" t="n">
        <v>0</v>
      </c>
      <c r="AM1729" s="21" t="n">
        <v>0</v>
      </c>
      <c r="AN1729" s="21" t="n">
        <v>0</v>
      </c>
      <c r="AO1729" s="21" t="n">
        <v>0</v>
      </c>
      <c r="AP1729" s="21" t="n">
        <v>0</v>
      </c>
      <c r="AQ1729" s="21" t="n">
        <v>0</v>
      </c>
      <c r="AR1729" s="21" t="n">
        <v>0</v>
      </c>
      <c r="AS1729" s="21" t="n">
        <v>0</v>
      </c>
      <c r="AT1729" s="19" t="n"/>
    </row>
    <row r="1730">
      <c r="D1730" s="21">
        <f>$B$19</f>
        <v/>
      </c>
      <c r="E1730" s="21">
        <f>$B$21</f>
        <v/>
      </c>
      <c r="F1730" s="21">
        <f>0</f>
        <v/>
      </c>
      <c r="G1730" s="21">
        <f>2*$B$20</f>
        <v/>
      </c>
      <c r="H1730" s="21">
        <f>-$B$19</f>
        <v/>
      </c>
      <c r="I1730" s="21">
        <f>$B$21</f>
        <v/>
      </c>
      <c r="J1730" s="21" t="n">
        <v>0</v>
      </c>
      <c r="K1730" s="21" t="n">
        <v>0</v>
      </c>
      <c r="L1730" s="21" t="n">
        <v>0</v>
      </c>
      <c r="M1730" s="21" t="n">
        <v>0</v>
      </c>
      <c r="N1730" s="21" t="n">
        <v>0</v>
      </c>
      <c r="O1730" s="21" t="n">
        <v>0</v>
      </c>
      <c r="P1730" s="21" t="n">
        <v>0</v>
      </c>
      <c r="Q1730" s="21" t="n">
        <v>0</v>
      </c>
      <c r="R1730" s="21" t="n">
        <v>0</v>
      </c>
      <c r="S1730" s="21" t="n">
        <v>0</v>
      </c>
      <c r="T1730" s="21" t="n">
        <v>0</v>
      </c>
      <c r="U1730" s="21" t="n">
        <v>0</v>
      </c>
      <c r="V1730" s="21" t="n">
        <v>0</v>
      </c>
      <c r="W1730" s="21" t="n">
        <v>0</v>
      </c>
      <c r="X1730" s="21" t="n">
        <v>0</v>
      </c>
      <c r="Y1730" s="21" t="n">
        <v>0</v>
      </c>
      <c r="Z1730" s="21" t="n">
        <v>0</v>
      </c>
      <c r="AA1730" s="21" t="n">
        <v>0</v>
      </c>
      <c r="AB1730" s="21" t="n">
        <v>0</v>
      </c>
      <c r="AC1730" s="21" t="n">
        <v>0</v>
      </c>
      <c r="AD1730" s="21" t="n">
        <v>0</v>
      </c>
      <c r="AE1730" s="21" t="n">
        <v>0</v>
      </c>
      <c r="AF1730" s="21" t="n">
        <v>0</v>
      </c>
      <c r="AG1730" s="21" t="n">
        <v>0</v>
      </c>
      <c r="AH1730" s="21" t="n">
        <v>0</v>
      </c>
      <c r="AI1730" s="21" t="n">
        <v>0</v>
      </c>
      <c r="AJ1730" s="21" t="n">
        <v>0</v>
      </c>
      <c r="AK1730" s="21" t="n">
        <v>0</v>
      </c>
      <c r="AL1730" s="21" t="n">
        <v>0</v>
      </c>
      <c r="AM1730" s="21" t="n">
        <v>0</v>
      </c>
      <c r="AN1730" s="21" t="n">
        <v>0</v>
      </c>
      <c r="AO1730" s="21" t="n">
        <v>0</v>
      </c>
      <c r="AP1730" s="21" t="n">
        <v>0</v>
      </c>
      <c r="AQ1730" s="21" t="n">
        <v>0</v>
      </c>
      <c r="AR1730" s="21" t="n">
        <v>0</v>
      </c>
      <c r="AS1730" s="21" t="n">
        <v>0</v>
      </c>
      <c r="AT1730" s="19" t="n"/>
    </row>
    <row r="1731">
      <c r="D1731" s="21" t="n">
        <v>0</v>
      </c>
      <c r="E1731" s="21" t="n">
        <v>0</v>
      </c>
      <c r="F1731" s="21">
        <f>-$B$18</f>
        <v/>
      </c>
      <c r="G1731" s="21">
        <f>-$B$19</f>
        <v/>
      </c>
      <c r="H1731" s="21">
        <f>2*$B$18+$D$1707</f>
        <v/>
      </c>
      <c r="I1731" s="21">
        <f>0</f>
        <v/>
      </c>
      <c r="J1731" s="21">
        <f>-$B$18</f>
        <v/>
      </c>
      <c r="K1731" s="21">
        <f>$B$19</f>
        <v/>
      </c>
      <c r="L1731" s="21" t="n">
        <v>0</v>
      </c>
      <c r="M1731" s="21" t="n">
        <v>0</v>
      </c>
      <c r="N1731" s="21" t="n">
        <v>0</v>
      </c>
      <c r="O1731" s="21" t="n">
        <v>0</v>
      </c>
      <c r="P1731" s="21" t="n">
        <v>0</v>
      </c>
      <c r="Q1731" s="21" t="n">
        <v>0</v>
      </c>
      <c r="R1731" s="21" t="n">
        <v>0</v>
      </c>
      <c r="S1731" s="21" t="n">
        <v>0</v>
      </c>
      <c r="T1731" s="21" t="n">
        <v>0</v>
      </c>
      <c r="U1731" s="21" t="n">
        <v>0</v>
      </c>
      <c r="V1731" s="21" t="n">
        <v>0</v>
      </c>
      <c r="W1731" s="21" t="n">
        <v>0</v>
      </c>
      <c r="X1731" s="21" t="n">
        <v>0</v>
      </c>
      <c r="Y1731" s="21" t="n">
        <v>0</v>
      </c>
      <c r="Z1731" s="21" t="n">
        <v>0</v>
      </c>
      <c r="AA1731" s="21" t="n">
        <v>0</v>
      </c>
      <c r="AB1731" s="21" t="n">
        <v>0</v>
      </c>
      <c r="AC1731" s="21" t="n">
        <v>0</v>
      </c>
      <c r="AD1731" s="21" t="n">
        <v>0</v>
      </c>
      <c r="AE1731" s="21" t="n">
        <v>0</v>
      </c>
      <c r="AF1731" s="21" t="n">
        <v>0</v>
      </c>
      <c r="AG1731" s="21" t="n">
        <v>0</v>
      </c>
      <c r="AH1731" s="21" t="n">
        <v>0</v>
      </c>
      <c r="AI1731" s="21" t="n">
        <v>0</v>
      </c>
      <c r="AJ1731" s="21" t="n">
        <v>0</v>
      </c>
      <c r="AK1731" s="21" t="n">
        <v>0</v>
      </c>
      <c r="AL1731" s="21" t="n">
        <v>0</v>
      </c>
      <c r="AM1731" s="21" t="n">
        <v>0</v>
      </c>
      <c r="AN1731" s="21" t="n">
        <v>0</v>
      </c>
      <c r="AO1731" s="21" t="n">
        <v>0</v>
      </c>
      <c r="AP1731" s="21" t="n">
        <v>0</v>
      </c>
      <c r="AQ1731" s="21" t="n">
        <v>0</v>
      </c>
      <c r="AR1731" s="21" t="n">
        <v>0</v>
      </c>
      <c r="AS1731" s="21" t="n">
        <v>0</v>
      </c>
      <c r="AT1731" s="19" t="n"/>
    </row>
    <row r="1732">
      <c r="D1732" s="21" t="n">
        <v>0</v>
      </c>
      <c r="E1732" s="21" t="n">
        <v>0</v>
      </c>
      <c r="F1732" s="21">
        <f>$B$19</f>
        <v/>
      </c>
      <c r="G1732" s="21">
        <f>$B$21</f>
        <v/>
      </c>
      <c r="H1732" s="21">
        <f>0</f>
        <v/>
      </c>
      <c r="I1732" s="21">
        <f>2*$B$20</f>
        <v/>
      </c>
      <c r="J1732" s="21">
        <f>-$B$19</f>
        <v/>
      </c>
      <c r="K1732" s="21">
        <f>$B$21</f>
        <v/>
      </c>
      <c r="L1732" s="21" t="n">
        <v>0</v>
      </c>
      <c r="M1732" s="21" t="n">
        <v>0</v>
      </c>
      <c r="N1732" s="21" t="n">
        <v>0</v>
      </c>
      <c r="O1732" s="21" t="n">
        <v>0</v>
      </c>
      <c r="P1732" s="21" t="n">
        <v>0</v>
      </c>
      <c r="Q1732" s="21" t="n">
        <v>0</v>
      </c>
      <c r="R1732" s="21" t="n">
        <v>0</v>
      </c>
      <c r="S1732" s="21" t="n">
        <v>0</v>
      </c>
      <c r="T1732" s="21" t="n">
        <v>0</v>
      </c>
      <c r="U1732" s="21" t="n">
        <v>0</v>
      </c>
      <c r="V1732" s="21" t="n">
        <v>0</v>
      </c>
      <c r="W1732" s="21" t="n">
        <v>0</v>
      </c>
      <c r="X1732" s="21" t="n">
        <v>0</v>
      </c>
      <c r="Y1732" s="21" t="n">
        <v>0</v>
      </c>
      <c r="Z1732" s="21" t="n">
        <v>0</v>
      </c>
      <c r="AA1732" s="21" t="n">
        <v>0</v>
      </c>
      <c r="AB1732" s="21" t="n">
        <v>0</v>
      </c>
      <c r="AC1732" s="21" t="n">
        <v>0</v>
      </c>
      <c r="AD1732" s="21" t="n">
        <v>0</v>
      </c>
      <c r="AE1732" s="21" t="n">
        <v>0</v>
      </c>
      <c r="AF1732" s="21" t="n">
        <v>0</v>
      </c>
      <c r="AG1732" s="21" t="n">
        <v>0</v>
      </c>
      <c r="AH1732" s="21" t="n">
        <v>0</v>
      </c>
      <c r="AI1732" s="21" t="n">
        <v>0</v>
      </c>
      <c r="AJ1732" s="21" t="n">
        <v>0</v>
      </c>
      <c r="AK1732" s="21" t="n">
        <v>0</v>
      </c>
      <c r="AL1732" s="21" t="n">
        <v>0</v>
      </c>
      <c r="AM1732" s="21" t="n">
        <v>0</v>
      </c>
      <c r="AN1732" s="21" t="n">
        <v>0</v>
      </c>
      <c r="AO1732" s="21" t="n">
        <v>0</v>
      </c>
      <c r="AP1732" s="21" t="n">
        <v>0</v>
      </c>
      <c r="AQ1732" s="21" t="n">
        <v>0</v>
      </c>
      <c r="AR1732" s="21" t="n">
        <v>0</v>
      </c>
      <c r="AS1732" s="21" t="n">
        <v>0</v>
      </c>
      <c r="AT1732" s="19" t="n"/>
    </row>
    <row r="1733">
      <c r="D1733" s="21" t="n">
        <v>0</v>
      </c>
      <c r="E1733" s="21" t="n">
        <v>0</v>
      </c>
      <c r="F1733" s="21" t="n">
        <v>0</v>
      </c>
      <c r="G1733" s="21" t="n">
        <v>0</v>
      </c>
      <c r="H1733" s="21">
        <f>-$B$18</f>
        <v/>
      </c>
      <c r="I1733" s="21">
        <f>-$B$19</f>
        <v/>
      </c>
      <c r="J1733" s="21">
        <f>2*$B$18+$D$1708</f>
        <v/>
      </c>
      <c r="K1733" s="21">
        <f>0</f>
        <v/>
      </c>
      <c r="L1733" s="21">
        <f>-$B$18</f>
        <v/>
      </c>
      <c r="M1733" s="21">
        <f>$B$19</f>
        <v/>
      </c>
      <c r="N1733" s="21" t="n">
        <v>0</v>
      </c>
      <c r="O1733" s="21" t="n">
        <v>0</v>
      </c>
      <c r="P1733" s="21" t="n">
        <v>0</v>
      </c>
      <c r="Q1733" s="21" t="n">
        <v>0</v>
      </c>
      <c r="R1733" s="21" t="n">
        <v>0</v>
      </c>
      <c r="S1733" s="21" t="n">
        <v>0</v>
      </c>
      <c r="T1733" s="21" t="n">
        <v>0</v>
      </c>
      <c r="U1733" s="21" t="n">
        <v>0</v>
      </c>
      <c r="V1733" s="21" t="n">
        <v>0</v>
      </c>
      <c r="W1733" s="21" t="n">
        <v>0</v>
      </c>
      <c r="X1733" s="21" t="n">
        <v>0</v>
      </c>
      <c r="Y1733" s="21" t="n">
        <v>0</v>
      </c>
      <c r="Z1733" s="21" t="n">
        <v>0</v>
      </c>
      <c r="AA1733" s="21" t="n">
        <v>0</v>
      </c>
      <c r="AB1733" s="21" t="n">
        <v>0</v>
      </c>
      <c r="AC1733" s="21" t="n">
        <v>0</v>
      </c>
      <c r="AD1733" s="21" t="n">
        <v>0</v>
      </c>
      <c r="AE1733" s="21" t="n">
        <v>0</v>
      </c>
      <c r="AF1733" s="21" t="n">
        <v>0</v>
      </c>
      <c r="AG1733" s="21" t="n">
        <v>0</v>
      </c>
      <c r="AH1733" s="21" t="n">
        <v>0</v>
      </c>
      <c r="AI1733" s="21" t="n">
        <v>0</v>
      </c>
      <c r="AJ1733" s="21" t="n">
        <v>0</v>
      </c>
      <c r="AK1733" s="21" t="n">
        <v>0</v>
      </c>
      <c r="AL1733" s="21" t="n">
        <v>0</v>
      </c>
      <c r="AM1733" s="21" t="n">
        <v>0</v>
      </c>
      <c r="AN1733" s="21" t="n">
        <v>0</v>
      </c>
      <c r="AO1733" s="21" t="n">
        <v>0</v>
      </c>
      <c r="AP1733" s="21" t="n">
        <v>0</v>
      </c>
      <c r="AQ1733" s="21" t="n">
        <v>0</v>
      </c>
      <c r="AR1733" s="21" t="n">
        <v>0</v>
      </c>
      <c r="AS1733" s="21" t="n">
        <v>0</v>
      </c>
      <c r="AT1733" s="19" t="n"/>
    </row>
    <row r="1734">
      <c r="D1734" s="21" t="n">
        <v>0</v>
      </c>
      <c r="E1734" s="21" t="n">
        <v>0</v>
      </c>
      <c r="F1734" s="21" t="n">
        <v>0</v>
      </c>
      <c r="G1734" s="21" t="n">
        <v>0</v>
      </c>
      <c r="H1734" s="21">
        <f>$B$19</f>
        <v/>
      </c>
      <c r="I1734" s="21">
        <f>$B$21</f>
        <v/>
      </c>
      <c r="J1734" s="21">
        <f>0</f>
        <v/>
      </c>
      <c r="K1734" s="21">
        <f>2*$B$20</f>
        <v/>
      </c>
      <c r="L1734" s="21">
        <f>-$B$19</f>
        <v/>
      </c>
      <c r="M1734" s="21">
        <f>$B$21</f>
        <v/>
      </c>
      <c r="N1734" s="21" t="n">
        <v>0</v>
      </c>
      <c r="O1734" s="21" t="n">
        <v>0</v>
      </c>
      <c r="P1734" s="21" t="n">
        <v>0</v>
      </c>
      <c r="Q1734" s="21" t="n">
        <v>0</v>
      </c>
      <c r="R1734" s="21" t="n">
        <v>0</v>
      </c>
      <c r="S1734" s="21" t="n">
        <v>0</v>
      </c>
      <c r="T1734" s="21" t="n">
        <v>0</v>
      </c>
      <c r="U1734" s="21" t="n">
        <v>0</v>
      </c>
      <c r="V1734" s="21" t="n">
        <v>0</v>
      </c>
      <c r="W1734" s="21" t="n">
        <v>0</v>
      </c>
      <c r="X1734" s="21" t="n">
        <v>0</v>
      </c>
      <c r="Y1734" s="21" t="n">
        <v>0</v>
      </c>
      <c r="Z1734" s="21" t="n">
        <v>0</v>
      </c>
      <c r="AA1734" s="21" t="n">
        <v>0</v>
      </c>
      <c r="AB1734" s="21" t="n">
        <v>0</v>
      </c>
      <c r="AC1734" s="21" t="n">
        <v>0</v>
      </c>
      <c r="AD1734" s="21" t="n">
        <v>0</v>
      </c>
      <c r="AE1734" s="21" t="n">
        <v>0</v>
      </c>
      <c r="AF1734" s="21" t="n">
        <v>0</v>
      </c>
      <c r="AG1734" s="21" t="n">
        <v>0</v>
      </c>
      <c r="AH1734" s="21" t="n">
        <v>0</v>
      </c>
      <c r="AI1734" s="21" t="n">
        <v>0</v>
      </c>
      <c r="AJ1734" s="21" t="n">
        <v>0</v>
      </c>
      <c r="AK1734" s="21" t="n">
        <v>0</v>
      </c>
      <c r="AL1734" s="21" t="n">
        <v>0</v>
      </c>
      <c r="AM1734" s="21" t="n">
        <v>0</v>
      </c>
      <c r="AN1734" s="21" t="n">
        <v>0</v>
      </c>
      <c r="AO1734" s="21" t="n">
        <v>0</v>
      </c>
      <c r="AP1734" s="21" t="n">
        <v>0</v>
      </c>
      <c r="AQ1734" s="21" t="n">
        <v>0</v>
      </c>
      <c r="AR1734" s="21" t="n">
        <v>0</v>
      </c>
      <c r="AS1734" s="21" t="n">
        <v>0</v>
      </c>
      <c r="AT1734" s="19" t="n"/>
    </row>
    <row r="1735">
      <c r="D1735" s="21" t="n">
        <v>0</v>
      </c>
      <c r="E1735" s="21" t="n">
        <v>0</v>
      </c>
      <c r="F1735" s="21" t="n">
        <v>0</v>
      </c>
      <c r="G1735" s="21" t="n">
        <v>0</v>
      </c>
      <c r="H1735" s="21" t="n">
        <v>0</v>
      </c>
      <c r="I1735" s="21" t="n">
        <v>0</v>
      </c>
      <c r="J1735" s="21">
        <f>-$B$18</f>
        <v/>
      </c>
      <c r="K1735" s="21">
        <f>-$B$19</f>
        <v/>
      </c>
      <c r="L1735" s="21">
        <f>2*$B$18+$D$1709</f>
        <v/>
      </c>
      <c r="M1735" s="21">
        <f>0</f>
        <v/>
      </c>
      <c r="N1735" s="21">
        <f>-$B$18</f>
        <v/>
      </c>
      <c r="O1735" s="21">
        <f>$B$19</f>
        <v/>
      </c>
      <c r="P1735" s="21" t="n">
        <v>0</v>
      </c>
      <c r="Q1735" s="21" t="n">
        <v>0</v>
      </c>
      <c r="R1735" s="21" t="n">
        <v>0</v>
      </c>
      <c r="S1735" s="21" t="n">
        <v>0</v>
      </c>
      <c r="T1735" s="21" t="n">
        <v>0</v>
      </c>
      <c r="U1735" s="21" t="n">
        <v>0</v>
      </c>
      <c r="V1735" s="21" t="n">
        <v>0</v>
      </c>
      <c r="W1735" s="21" t="n">
        <v>0</v>
      </c>
      <c r="X1735" s="21" t="n">
        <v>0</v>
      </c>
      <c r="Y1735" s="21" t="n">
        <v>0</v>
      </c>
      <c r="Z1735" s="21" t="n">
        <v>0</v>
      </c>
      <c r="AA1735" s="21" t="n">
        <v>0</v>
      </c>
      <c r="AB1735" s="21" t="n">
        <v>0</v>
      </c>
      <c r="AC1735" s="21" t="n">
        <v>0</v>
      </c>
      <c r="AD1735" s="21" t="n">
        <v>0</v>
      </c>
      <c r="AE1735" s="21" t="n">
        <v>0</v>
      </c>
      <c r="AF1735" s="21" t="n">
        <v>0</v>
      </c>
      <c r="AG1735" s="21" t="n">
        <v>0</v>
      </c>
      <c r="AH1735" s="21" t="n">
        <v>0</v>
      </c>
      <c r="AI1735" s="21" t="n">
        <v>0</v>
      </c>
      <c r="AJ1735" s="21" t="n">
        <v>0</v>
      </c>
      <c r="AK1735" s="21" t="n">
        <v>0</v>
      </c>
      <c r="AL1735" s="21" t="n">
        <v>0</v>
      </c>
      <c r="AM1735" s="21" t="n">
        <v>0</v>
      </c>
      <c r="AN1735" s="21" t="n">
        <v>0</v>
      </c>
      <c r="AO1735" s="21" t="n">
        <v>0</v>
      </c>
      <c r="AP1735" s="21" t="n">
        <v>0</v>
      </c>
      <c r="AQ1735" s="21" t="n">
        <v>0</v>
      </c>
      <c r="AR1735" s="21" t="n">
        <v>0</v>
      </c>
      <c r="AS1735" s="21" t="n">
        <v>0</v>
      </c>
      <c r="AT1735" s="19" t="n"/>
    </row>
    <row r="1736">
      <c r="D1736" s="21" t="n">
        <v>0</v>
      </c>
      <c r="E1736" s="21" t="n">
        <v>0</v>
      </c>
      <c r="F1736" s="21" t="n">
        <v>0</v>
      </c>
      <c r="G1736" s="21" t="n">
        <v>0</v>
      </c>
      <c r="H1736" s="21" t="n">
        <v>0</v>
      </c>
      <c r="I1736" s="21" t="n">
        <v>0</v>
      </c>
      <c r="J1736" s="21">
        <f>$B$19</f>
        <v/>
      </c>
      <c r="K1736" s="21">
        <f>$B$21</f>
        <v/>
      </c>
      <c r="L1736" s="21">
        <f>0</f>
        <v/>
      </c>
      <c r="M1736" s="21">
        <f>2*$B$20</f>
        <v/>
      </c>
      <c r="N1736" s="21">
        <f>-$B$19</f>
        <v/>
      </c>
      <c r="O1736" s="21">
        <f>$B$21</f>
        <v/>
      </c>
      <c r="P1736" s="21" t="n">
        <v>0</v>
      </c>
      <c r="Q1736" s="21" t="n">
        <v>0</v>
      </c>
      <c r="R1736" s="21" t="n">
        <v>0</v>
      </c>
      <c r="S1736" s="21" t="n">
        <v>0</v>
      </c>
      <c r="T1736" s="21" t="n">
        <v>0</v>
      </c>
      <c r="U1736" s="21" t="n">
        <v>0</v>
      </c>
      <c r="V1736" s="21" t="n">
        <v>0</v>
      </c>
      <c r="W1736" s="21" t="n">
        <v>0</v>
      </c>
      <c r="X1736" s="21" t="n">
        <v>0</v>
      </c>
      <c r="Y1736" s="21" t="n">
        <v>0</v>
      </c>
      <c r="Z1736" s="21" t="n">
        <v>0</v>
      </c>
      <c r="AA1736" s="21" t="n">
        <v>0</v>
      </c>
      <c r="AB1736" s="21" t="n">
        <v>0</v>
      </c>
      <c r="AC1736" s="21" t="n">
        <v>0</v>
      </c>
      <c r="AD1736" s="21" t="n">
        <v>0</v>
      </c>
      <c r="AE1736" s="21" t="n">
        <v>0</v>
      </c>
      <c r="AF1736" s="21" t="n">
        <v>0</v>
      </c>
      <c r="AG1736" s="21" t="n">
        <v>0</v>
      </c>
      <c r="AH1736" s="21" t="n">
        <v>0</v>
      </c>
      <c r="AI1736" s="21" t="n">
        <v>0</v>
      </c>
      <c r="AJ1736" s="21" t="n">
        <v>0</v>
      </c>
      <c r="AK1736" s="21" t="n">
        <v>0</v>
      </c>
      <c r="AL1736" s="21" t="n">
        <v>0</v>
      </c>
      <c r="AM1736" s="21" t="n">
        <v>0</v>
      </c>
      <c r="AN1736" s="21" t="n">
        <v>0</v>
      </c>
      <c r="AO1736" s="21" t="n">
        <v>0</v>
      </c>
      <c r="AP1736" s="21" t="n">
        <v>0</v>
      </c>
      <c r="AQ1736" s="21" t="n">
        <v>0</v>
      </c>
      <c r="AR1736" s="21" t="n">
        <v>0</v>
      </c>
      <c r="AS1736" s="21" t="n">
        <v>0</v>
      </c>
      <c r="AT1736" s="19" t="n"/>
    </row>
    <row r="1737">
      <c r="D1737" s="21" t="n">
        <v>0</v>
      </c>
      <c r="E1737" s="21" t="n">
        <v>0</v>
      </c>
      <c r="F1737" s="21" t="n">
        <v>0</v>
      </c>
      <c r="G1737" s="21" t="n">
        <v>0</v>
      </c>
      <c r="H1737" s="21" t="n">
        <v>0</v>
      </c>
      <c r="I1737" s="21" t="n">
        <v>0</v>
      </c>
      <c r="J1737" s="21" t="n">
        <v>0</v>
      </c>
      <c r="K1737" s="21" t="n">
        <v>0</v>
      </c>
      <c r="L1737" s="21">
        <f>-$B$18</f>
        <v/>
      </c>
      <c r="M1737" s="21">
        <f>-$B$19</f>
        <v/>
      </c>
      <c r="N1737" s="21">
        <f>2*$B$18+$D$1710</f>
        <v/>
      </c>
      <c r="O1737" s="21">
        <f>0</f>
        <v/>
      </c>
      <c r="P1737" s="21">
        <f>-$B$18</f>
        <v/>
      </c>
      <c r="Q1737" s="21">
        <f>$B$19</f>
        <v/>
      </c>
      <c r="R1737" s="21" t="n">
        <v>0</v>
      </c>
      <c r="S1737" s="21" t="n">
        <v>0</v>
      </c>
      <c r="T1737" s="21" t="n">
        <v>0</v>
      </c>
      <c r="U1737" s="21" t="n">
        <v>0</v>
      </c>
      <c r="V1737" s="21" t="n">
        <v>0</v>
      </c>
      <c r="W1737" s="21" t="n">
        <v>0</v>
      </c>
      <c r="X1737" s="21" t="n">
        <v>0</v>
      </c>
      <c r="Y1737" s="21" t="n">
        <v>0</v>
      </c>
      <c r="Z1737" s="21" t="n">
        <v>0</v>
      </c>
      <c r="AA1737" s="21" t="n">
        <v>0</v>
      </c>
      <c r="AB1737" s="21" t="n">
        <v>0</v>
      </c>
      <c r="AC1737" s="21" t="n">
        <v>0</v>
      </c>
      <c r="AD1737" s="21" t="n">
        <v>0</v>
      </c>
      <c r="AE1737" s="21" t="n">
        <v>0</v>
      </c>
      <c r="AF1737" s="21" t="n">
        <v>0</v>
      </c>
      <c r="AG1737" s="21" t="n">
        <v>0</v>
      </c>
      <c r="AH1737" s="21" t="n">
        <v>0</v>
      </c>
      <c r="AI1737" s="21" t="n">
        <v>0</v>
      </c>
      <c r="AJ1737" s="21" t="n">
        <v>0</v>
      </c>
      <c r="AK1737" s="21" t="n">
        <v>0</v>
      </c>
      <c r="AL1737" s="21" t="n">
        <v>0</v>
      </c>
      <c r="AM1737" s="21" t="n">
        <v>0</v>
      </c>
      <c r="AN1737" s="21" t="n">
        <v>0</v>
      </c>
      <c r="AO1737" s="21" t="n">
        <v>0</v>
      </c>
      <c r="AP1737" s="21" t="n">
        <v>0</v>
      </c>
      <c r="AQ1737" s="21" t="n">
        <v>0</v>
      </c>
      <c r="AR1737" s="21" t="n">
        <v>0</v>
      </c>
      <c r="AS1737" s="21" t="n">
        <v>0</v>
      </c>
      <c r="AT1737" s="19" t="n"/>
    </row>
    <row r="1738">
      <c r="D1738" s="21" t="n">
        <v>0</v>
      </c>
      <c r="E1738" s="21" t="n">
        <v>0</v>
      </c>
      <c r="F1738" s="21" t="n">
        <v>0</v>
      </c>
      <c r="G1738" s="21" t="n">
        <v>0</v>
      </c>
      <c r="H1738" s="21" t="n">
        <v>0</v>
      </c>
      <c r="I1738" s="21" t="n">
        <v>0</v>
      </c>
      <c r="J1738" s="21" t="n">
        <v>0</v>
      </c>
      <c r="K1738" s="21" t="n">
        <v>0</v>
      </c>
      <c r="L1738" s="21">
        <f>$B$19</f>
        <v/>
      </c>
      <c r="M1738" s="21">
        <f>$B$21</f>
        <v/>
      </c>
      <c r="N1738" s="21">
        <f>0</f>
        <v/>
      </c>
      <c r="O1738" s="21">
        <f>2*$B$20</f>
        <v/>
      </c>
      <c r="P1738" s="21">
        <f>-$B$19</f>
        <v/>
      </c>
      <c r="Q1738" s="21">
        <f>$B$21</f>
        <v/>
      </c>
      <c r="R1738" s="21" t="n">
        <v>0</v>
      </c>
      <c r="S1738" s="21" t="n">
        <v>0</v>
      </c>
      <c r="T1738" s="21" t="n">
        <v>0</v>
      </c>
      <c r="U1738" s="21" t="n">
        <v>0</v>
      </c>
      <c r="V1738" s="21" t="n">
        <v>0</v>
      </c>
      <c r="W1738" s="21" t="n">
        <v>0</v>
      </c>
      <c r="X1738" s="21" t="n">
        <v>0</v>
      </c>
      <c r="Y1738" s="21" t="n">
        <v>0</v>
      </c>
      <c r="Z1738" s="21" t="n">
        <v>0</v>
      </c>
      <c r="AA1738" s="21" t="n">
        <v>0</v>
      </c>
      <c r="AB1738" s="21" t="n">
        <v>0</v>
      </c>
      <c r="AC1738" s="21" t="n">
        <v>0</v>
      </c>
      <c r="AD1738" s="21" t="n">
        <v>0</v>
      </c>
      <c r="AE1738" s="21" t="n">
        <v>0</v>
      </c>
      <c r="AF1738" s="21" t="n">
        <v>0</v>
      </c>
      <c r="AG1738" s="21" t="n">
        <v>0</v>
      </c>
      <c r="AH1738" s="21" t="n">
        <v>0</v>
      </c>
      <c r="AI1738" s="21" t="n">
        <v>0</v>
      </c>
      <c r="AJ1738" s="21" t="n">
        <v>0</v>
      </c>
      <c r="AK1738" s="21" t="n">
        <v>0</v>
      </c>
      <c r="AL1738" s="21" t="n">
        <v>0</v>
      </c>
      <c r="AM1738" s="21" t="n">
        <v>0</v>
      </c>
      <c r="AN1738" s="21" t="n">
        <v>0</v>
      </c>
      <c r="AO1738" s="21" t="n">
        <v>0</v>
      </c>
      <c r="AP1738" s="21" t="n">
        <v>0</v>
      </c>
      <c r="AQ1738" s="21" t="n">
        <v>0</v>
      </c>
      <c r="AR1738" s="21" t="n">
        <v>0</v>
      </c>
      <c r="AS1738" s="21" t="n">
        <v>0</v>
      </c>
      <c r="AT1738" s="19" t="n"/>
    </row>
    <row r="1739">
      <c r="D1739" s="21" t="n">
        <v>0</v>
      </c>
      <c r="E1739" s="21" t="n">
        <v>0</v>
      </c>
      <c r="F1739" s="21" t="n">
        <v>0</v>
      </c>
      <c r="G1739" s="21" t="n">
        <v>0</v>
      </c>
      <c r="H1739" s="21" t="n">
        <v>0</v>
      </c>
      <c r="I1739" s="21" t="n">
        <v>0</v>
      </c>
      <c r="J1739" s="21" t="n">
        <v>0</v>
      </c>
      <c r="K1739" s="21" t="n">
        <v>0</v>
      </c>
      <c r="L1739" s="21" t="n">
        <v>0</v>
      </c>
      <c r="M1739" s="21" t="n">
        <v>0</v>
      </c>
      <c r="N1739" s="21">
        <f>-$B$18</f>
        <v/>
      </c>
      <c r="O1739" s="21">
        <f>-$B$19</f>
        <v/>
      </c>
      <c r="P1739" s="21">
        <f>2*$B$18+$D$1711</f>
        <v/>
      </c>
      <c r="Q1739" s="21">
        <f>0</f>
        <v/>
      </c>
      <c r="R1739" s="21">
        <f>-$B$18</f>
        <v/>
      </c>
      <c r="S1739" s="21">
        <f>$B$19</f>
        <v/>
      </c>
      <c r="T1739" s="21" t="n">
        <v>0</v>
      </c>
      <c r="U1739" s="21" t="n">
        <v>0</v>
      </c>
      <c r="V1739" s="21" t="n">
        <v>0</v>
      </c>
      <c r="W1739" s="21" t="n">
        <v>0</v>
      </c>
      <c r="X1739" s="21" t="n">
        <v>0</v>
      </c>
      <c r="Y1739" s="21" t="n">
        <v>0</v>
      </c>
      <c r="Z1739" s="21" t="n">
        <v>0</v>
      </c>
      <c r="AA1739" s="21" t="n">
        <v>0</v>
      </c>
      <c r="AB1739" s="21" t="n">
        <v>0</v>
      </c>
      <c r="AC1739" s="21" t="n">
        <v>0</v>
      </c>
      <c r="AD1739" s="21" t="n">
        <v>0</v>
      </c>
      <c r="AE1739" s="21" t="n">
        <v>0</v>
      </c>
      <c r="AF1739" s="21" t="n">
        <v>0</v>
      </c>
      <c r="AG1739" s="21" t="n">
        <v>0</v>
      </c>
      <c r="AH1739" s="21" t="n">
        <v>0</v>
      </c>
      <c r="AI1739" s="21" t="n">
        <v>0</v>
      </c>
      <c r="AJ1739" s="21" t="n">
        <v>0</v>
      </c>
      <c r="AK1739" s="21" t="n">
        <v>0</v>
      </c>
      <c r="AL1739" s="21" t="n">
        <v>0</v>
      </c>
      <c r="AM1739" s="21" t="n">
        <v>0</v>
      </c>
      <c r="AN1739" s="21" t="n">
        <v>0</v>
      </c>
      <c r="AO1739" s="21" t="n">
        <v>0</v>
      </c>
      <c r="AP1739" s="21" t="n">
        <v>0</v>
      </c>
      <c r="AQ1739" s="21" t="n">
        <v>0</v>
      </c>
      <c r="AR1739" s="21" t="n">
        <v>0</v>
      </c>
      <c r="AS1739" s="21" t="n">
        <v>0</v>
      </c>
      <c r="AT1739" s="19" t="n"/>
    </row>
    <row r="1740">
      <c r="D1740" s="21" t="n">
        <v>0</v>
      </c>
      <c r="E1740" s="21" t="n">
        <v>0</v>
      </c>
      <c r="F1740" s="21" t="n">
        <v>0</v>
      </c>
      <c r="G1740" s="21" t="n">
        <v>0</v>
      </c>
      <c r="H1740" s="21" t="n">
        <v>0</v>
      </c>
      <c r="I1740" s="21" t="n">
        <v>0</v>
      </c>
      <c r="J1740" s="21" t="n">
        <v>0</v>
      </c>
      <c r="K1740" s="21" t="n">
        <v>0</v>
      </c>
      <c r="L1740" s="21" t="n">
        <v>0</v>
      </c>
      <c r="M1740" s="21" t="n">
        <v>0</v>
      </c>
      <c r="N1740" s="21">
        <f>$B$19</f>
        <v/>
      </c>
      <c r="O1740" s="21">
        <f>$B$21</f>
        <v/>
      </c>
      <c r="P1740" s="21">
        <f>0</f>
        <v/>
      </c>
      <c r="Q1740" s="21">
        <f>2*$B$20</f>
        <v/>
      </c>
      <c r="R1740" s="21">
        <f>-$B$19</f>
        <v/>
      </c>
      <c r="S1740" s="21">
        <f>$B$21</f>
        <v/>
      </c>
      <c r="T1740" s="21" t="n">
        <v>0</v>
      </c>
      <c r="U1740" s="21" t="n">
        <v>0</v>
      </c>
      <c r="V1740" s="21" t="n">
        <v>0</v>
      </c>
      <c r="W1740" s="21" t="n">
        <v>0</v>
      </c>
      <c r="X1740" s="21" t="n">
        <v>0</v>
      </c>
      <c r="Y1740" s="21" t="n">
        <v>0</v>
      </c>
      <c r="Z1740" s="21" t="n">
        <v>0</v>
      </c>
      <c r="AA1740" s="21" t="n">
        <v>0</v>
      </c>
      <c r="AB1740" s="21" t="n">
        <v>0</v>
      </c>
      <c r="AC1740" s="21" t="n">
        <v>0</v>
      </c>
      <c r="AD1740" s="21" t="n">
        <v>0</v>
      </c>
      <c r="AE1740" s="21" t="n">
        <v>0</v>
      </c>
      <c r="AF1740" s="21" t="n">
        <v>0</v>
      </c>
      <c r="AG1740" s="21" t="n">
        <v>0</v>
      </c>
      <c r="AH1740" s="21" t="n">
        <v>0</v>
      </c>
      <c r="AI1740" s="21" t="n">
        <v>0</v>
      </c>
      <c r="AJ1740" s="21" t="n">
        <v>0</v>
      </c>
      <c r="AK1740" s="21" t="n">
        <v>0</v>
      </c>
      <c r="AL1740" s="21" t="n">
        <v>0</v>
      </c>
      <c r="AM1740" s="21" t="n">
        <v>0</v>
      </c>
      <c r="AN1740" s="21" t="n">
        <v>0</v>
      </c>
      <c r="AO1740" s="21" t="n">
        <v>0</v>
      </c>
      <c r="AP1740" s="21" t="n">
        <v>0</v>
      </c>
      <c r="AQ1740" s="21" t="n">
        <v>0</v>
      </c>
      <c r="AR1740" s="21" t="n">
        <v>0</v>
      </c>
      <c r="AS1740" s="21" t="n">
        <v>0</v>
      </c>
      <c r="AT1740" s="19" t="n"/>
    </row>
    <row r="1741">
      <c r="D1741" s="21" t="n">
        <v>0</v>
      </c>
      <c r="E1741" s="21" t="n">
        <v>0</v>
      </c>
      <c r="F1741" s="21" t="n">
        <v>0</v>
      </c>
      <c r="G1741" s="21" t="n">
        <v>0</v>
      </c>
      <c r="H1741" s="21" t="n">
        <v>0</v>
      </c>
      <c r="I1741" s="21" t="n">
        <v>0</v>
      </c>
      <c r="J1741" s="21" t="n">
        <v>0</v>
      </c>
      <c r="K1741" s="21" t="n">
        <v>0</v>
      </c>
      <c r="L1741" s="21" t="n">
        <v>0</v>
      </c>
      <c r="M1741" s="21" t="n">
        <v>0</v>
      </c>
      <c r="N1741" s="21" t="n">
        <v>0</v>
      </c>
      <c r="O1741" s="21" t="n">
        <v>0</v>
      </c>
      <c r="P1741" s="21">
        <f>-$B$18</f>
        <v/>
      </c>
      <c r="Q1741" s="21">
        <f>-$B$19</f>
        <v/>
      </c>
      <c r="R1741" s="21">
        <f>2*$B$18+$D$1712</f>
        <v/>
      </c>
      <c r="S1741" s="21">
        <f>0</f>
        <v/>
      </c>
      <c r="T1741" s="21">
        <f>-$B$18</f>
        <v/>
      </c>
      <c r="U1741" s="21">
        <f>$B$19</f>
        <v/>
      </c>
      <c r="V1741" s="21" t="n">
        <v>0</v>
      </c>
      <c r="W1741" s="21" t="n">
        <v>0</v>
      </c>
      <c r="X1741" s="21" t="n">
        <v>0</v>
      </c>
      <c r="Y1741" s="21" t="n">
        <v>0</v>
      </c>
      <c r="Z1741" s="21" t="n">
        <v>0</v>
      </c>
      <c r="AA1741" s="21" t="n">
        <v>0</v>
      </c>
      <c r="AB1741" s="21" t="n">
        <v>0</v>
      </c>
      <c r="AC1741" s="21" t="n">
        <v>0</v>
      </c>
      <c r="AD1741" s="21" t="n">
        <v>0</v>
      </c>
      <c r="AE1741" s="21" t="n">
        <v>0</v>
      </c>
      <c r="AF1741" s="21" t="n">
        <v>0</v>
      </c>
      <c r="AG1741" s="21" t="n">
        <v>0</v>
      </c>
      <c r="AH1741" s="21" t="n">
        <v>0</v>
      </c>
      <c r="AI1741" s="21" t="n">
        <v>0</v>
      </c>
      <c r="AJ1741" s="21" t="n">
        <v>0</v>
      </c>
      <c r="AK1741" s="21" t="n">
        <v>0</v>
      </c>
      <c r="AL1741" s="21" t="n">
        <v>0</v>
      </c>
      <c r="AM1741" s="21" t="n">
        <v>0</v>
      </c>
      <c r="AN1741" s="21" t="n">
        <v>0</v>
      </c>
      <c r="AO1741" s="21" t="n">
        <v>0</v>
      </c>
      <c r="AP1741" s="21" t="n">
        <v>0</v>
      </c>
      <c r="AQ1741" s="21" t="n">
        <v>0</v>
      </c>
      <c r="AR1741" s="21" t="n">
        <v>0</v>
      </c>
      <c r="AS1741" s="21" t="n">
        <v>0</v>
      </c>
      <c r="AT1741" s="19" t="n"/>
    </row>
    <row r="1742">
      <c r="D1742" s="21" t="n">
        <v>0</v>
      </c>
      <c r="E1742" s="21" t="n">
        <v>0</v>
      </c>
      <c r="F1742" s="21" t="n">
        <v>0</v>
      </c>
      <c r="G1742" s="21" t="n">
        <v>0</v>
      </c>
      <c r="H1742" s="21" t="n">
        <v>0</v>
      </c>
      <c r="I1742" s="21" t="n">
        <v>0</v>
      </c>
      <c r="J1742" s="21" t="n">
        <v>0</v>
      </c>
      <c r="K1742" s="21" t="n">
        <v>0</v>
      </c>
      <c r="L1742" s="21" t="n">
        <v>0</v>
      </c>
      <c r="M1742" s="21" t="n">
        <v>0</v>
      </c>
      <c r="N1742" s="21" t="n">
        <v>0</v>
      </c>
      <c r="O1742" s="21" t="n">
        <v>0</v>
      </c>
      <c r="P1742" s="21">
        <f>$B$19</f>
        <v/>
      </c>
      <c r="Q1742" s="21">
        <f>$B$21</f>
        <v/>
      </c>
      <c r="R1742" s="21">
        <f>0</f>
        <v/>
      </c>
      <c r="S1742" s="21">
        <f>2*$B$20</f>
        <v/>
      </c>
      <c r="T1742" s="21">
        <f>-$B$19</f>
        <v/>
      </c>
      <c r="U1742" s="21">
        <f>$B$21</f>
        <v/>
      </c>
      <c r="V1742" s="21" t="n">
        <v>0</v>
      </c>
      <c r="W1742" s="21" t="n">
        <v>0</v>
      </c>
      <c r="X1742" s="21" t="n">
        <v>0</v>
      </c>
      <c r="Y1742" s="21" t="n">
        <v>0</v>
      </c>
      <c r="Z1742" s="21" t="n">
        <v>0</v>
      </c>
      <c r="AA1742" s="21" t="n">
        <v>0</v>
      </c>
      <c r="AB1742" s="21" t="n">
        <v>0</v>
      </c>
      <c r="AC1742" s="21" t="n">
        <v>0</v>
      </c>
      <c r="AD1742" s="21" t="n">
        <v>0</v>
      </c>
      <c r="AE1742" s="21" t="n">
        <v>0</v>
      </c>
      <c r="AF1742" s="21" t="n">
        <v>0</v>
      </c>
      <c r="AG1742" s="21" t="n">
        <v>0</v>
      </c>
      <c r="AH1742" s="21" t="n">
        <v>0</v>
      </c>
      <c r="AI1742" s="21" t="n">
        <v>0</v>
      </c>
      <c r="AJ1742" s="21" t="n">
        <v>0</v>
      </c>
      <c r="AK1742" s="21" t="n">
        <v>0</v>
      </c>
      <c r="AL1742" s="21" t="n">
        <v>0</v>
      </c>
      <c r="AM1742" s="21" t="n">
        <v>0</v>
      </c>
      <c r="AN1742" s="21" t="n">
        <v>0</v>
      </c>
      <c r="AO1742" s="21" t="n">
        <v>0</v>
      </c>
      <c r="AP1742" s="21" t="n">
        <v>0</v>
      </c>
      <c r="AQ1742" s="21" t="n">
        <v>0</v>
      </c>
      <c r="AR1742" s="21" t="n">
        <v>0</v>
      </c>
      <c r="AS1742" s="21" t="n">
        <v>0</v>
      </c>
      <c r="AT1742" s="19" t="n"/>
    </row>
    <row r="1743">
      <c r="D1743" s="21" t="n">
        <v>0</v>
      </c>
      <c r="E1743" s="21" t="n">
        <v>0</v>
      </c>
      <c r="F1743" s="21" t="n">
        <v>0</v>
      </c>
      <c r="G1743" s="21" t="n">
        <v>0</v>
      </c>
      <c r="H1743" s="21" t="n">
        <v>0</v>
      </c>
      <c r="I1743" s="21" t="n">
        <v>0</v>
      </c>
      <c r="J1743" s="21" t="n">
        <v>0</v>
      </c>
      <c r="K1743" s="21" t="n">
        <v>0</v>
      </c>
      <c r="L1743" s="21" t="n">
        <v>0</v>
      </c>
      <c r="M1743" s="21" t="n">
        <v>0</v>
      </c>
      <c r="N1743" s="21" t="n">
        <v>0</v>
      </c>
      <c r="O1743" s="21" t="n">
        <v>0</v>
      </c>
      <c r="P1743" s="21" t="n">
        <v>0</v>
      </c>
      <c r="Q1743" s="21" t="n">
        <v>0</v>
      </c>
      <c r="R1743" s="21">
        <f>-$B$18</f>
        <v/>
      </c>
      <c r="S1743" s="21">
        <f>-$B$19</f>
        <v/>
      </c>
      <c r="T1743" s="21">
        <f>2*$B$18+$D$1713</f>
        <v/>
      </c>
      <c r="U1743" s="21">
        <f>0</f>
        <v/>
      </c>
      <c r="V1743" s="21">
        <f>-$B$18</f>
        <v/>
      </c>
      <c r="W1743" s="21">
        <f>$B$19</f>
        <v/>
      </c>
      <c r="X1743" s="21" t="n">
        <v>0</v>
      </c>
      <c r="Y1743" s="21" t="n">
        <v>0</v>
      </c>
      <c r="Z1743" s="21" t="n">
        <v>0</v>
      </c>
      <c r="AA1743" s="21" t="n">
        <v>0</v>
      </c>
      <c r="AB1743" s="21" t="n">
        <v>0</v>
      </c>
      <c r="AC1743" s="21" t="n">
        <v>0</v>
      </c>
      <c r="AD1743" s="21" t="n">
        <v>0</v>
      </c>
      <c r="AE1743" s="21" t="n">
        <v>0</v>
      </c>
      <c r="AF1743" s="21" t="n">
        <v>0</v>
      </c>
      <c r="AG1743" s="21" t="n">
        <v>0</v>
      </c>
      <c r="AH1743" s="21" t="n">
        <v>0</v>
      </c>
      <c r="AI1743" s="21" t="n">
        <v>0</v>
      </c>
      <c r="AJ1743" s="21" t="n">
        <v>0</v>
      </c>
      <c r="AK1743" s="21" t="n">
        <v>0</v>
      </c>
      <c r="AL1743" s="21" t="n">
        <v>0</v>
      </c>
      <c r="AM1743" s="21" t="n">
        <v>0</v>
      </c>
      <c r="AN1743" s="21" t="n">
        <v>0</v>
      </c>
      <c r="AO1743" s="21" t="n">
        <v>0</v>
      </c>
      <c r="AP1743" s="21" t="n">
        <v>0</v>
      </c>
      <c r="AQ1743" s="21" t="n">
        <v>0</v>
      </c>
      <c r="AR1743" s="21" t="n">
        <v>0</v>
      </c>
      <c r="AS1743" s="21" t="n">
        <v>0</v>
      </c>
      <c r="AT1743" s="19" t="n"/>
    </row>
    <row r="1744">
      <c r="D1744" s="21" t="n">
        <v>0</v>
      </c>
      <c r="E1744" s="21" t="n">
        <v>0</v>
      </c>
      <c r="F1744" s="21" t="n">
        <v>0</v>
      </c>
      <c r="G1744" s="21" t="n">
        <v>0</v>
      </c>
      <c r="H1744" s="21" t="n">
        <v>0</v>
      </c>
      <c r="I1744" s="21" t="n">
        <v>0</v>
      </c>
      <c r="J1744" s="21" t="n">
        <v>0</v>
      </c>
      <c r="K1744" s="21" t="n">
        <v>0</v>
      </c>
      <c r="L1744" s="21" t="n">
        <v>0</v>
      </c>
      <c r="M1744" s="21" t="n">
        <v>0</v>
      </c>
      <c r="N1744" s="21" t="n">
        <v>0</v>
      </c>
      <c r="O1744" s="21" t="n">
        <v>0</v>
      </c>
      <c r="P1744" s="21" t="n">
        <v>0</v>
      </c>
      <c r="Q1744" s="21" t="n">
        <v>0</v>
      </c>
      <c r="R1744" s="21">
        <f>$B$19</f>
        <v/>
      </c>
      <c r="S1744" s="21">
        <f>$B$21</f>
        <v/>
      </c>
      <c r="T1744" s="21">
        <f>0</f>
        <v/>
      </c>
      <c r="U1744" s="21">
        <f>2*$B$20</f>
        <v/>
      </c>
      <c r="V1744" s="21">
        <f>-$B$19</f>
        <v/>
      </c>
      <c r="W1744" s="21">
        <f>$B$21</f>
        <v/>
      </c>
      <c r="X1744" s="21" t="n">
        <v>0</v>
      </c>
      <c r="Y1744" s="21" t="n">
        <v>0</v>
      </c>
      <c r="Z1744" s="21" t="n">
        <v>0</v>
      </c>
      <c r="AA1744" s="21" t="n">
        <v>0</v>
      </c>
      <c r="AB1744" s="21" t="n">
        <v>0</v>
      </c>
      <c r="AC1744" s="21" t="n">
        <v>0</v>
      </c>
      <c r="AD1744" s="21" t="n">
        <v>0</v>
      </c>
      <c r="AE1744" s="21" t="n">
        <v>0</v>
      </c>
      <c r="AF1744" s="21" t="n">
        <v>0</v>
      </c>
      <c r="AG1744" s="21" t="n">
        <v>0</v>
      </c>
      <c r="AH1744" s="21" t="n">
        <v>0</v>
      </c>
      <c r="AI1744" s="21" t="n">
        <v>0</v>
      </c>
      <c r="AJ1744" s="21" t="n">
        <v>0</v>
      </c>
      <c r="AK1744" s="21" t="n">
        <v>0</v>
      </c>
      <c r="AL1744" s="21" t="n">
        <v>0</v>
      </c>
      <c r="AM1744" s="21" t="n">
        <v>0</v>
      </c>
      <c r="AN1744" s="21" t="n">
        <v>0</v>
      </c>
      <c r="AO1744" s="21" t="n">
        <v>0</v>
      </c>
      <c r="AP1744" s="21" t="n">
        <v>0</v>
      </c>
      <c r="AQ1744" s="21" t="n">
        <v>0</v>
      </c>
      <c r="AR1744" s="21" t="n">
        <v>0</v>
      </c>
      <c r="AS1744" s="21" t="n">
        <v>0</v>
      </c>
      <c r="AT1744" s="19" t="n"/>
    </row>
    <row r="1745">
      <c r="D1745" s="21" t="n">
        <v>0</v>
      </c>
      <c r="E1745" s="21" t="n">
        <v>0</v>
      </c>
      <c r="F1745" s="21" t="n">
        <v>0</v>
      </c>
      <c r="G1745" s="21" t="n">
        <v>0</v>
      </c>
      <c r="H1745" s="21" t="n">
        <v>0</v>
      </c>
      <c r="I1745" s="21" t="n">
        <v>0</v>
      </c>
      <c r="J1745" s="21" t="n">
        <v>0</v>
      </c>
      <c r="K1745" s="21" t="n">
        <v>0</v>
      </c>
      <c r="L1745" s="21" t="n">
        <v>0</v>
      </c>
      <c r="M1745" s="21" t="n">
        <v>0</v>
      </c>
      <c r="N1745" s="21" t="n">
        <v>0</v>
      </c>
      <c r="O1745" s="21" t="n">
        <v>0</v>
      </c>
      <c r="P1745" s="21" t="n">
        <v>0</v>
      </c>
      <c r="Q1745" s="21" t="n">
        <v>0</v>
      </c>
      <c r="R1745" s="21" t="n">
        <v>0</v>
      </c>
      <c r="S1745" s="21" t="n">
        <v>0</v>
      </c>
      <c r="T1745" s="21">
        <f>-$B$18</f>
        <v/>
      </c>
      <c r="U1745" s="21">
        <f>-$B$19</f>
        <v/>
      </c>
      <c r="V1745" s="21">
        <f>2*$B$18+$D$1714</f>
        <v/>
      </c>
      <c r="W1745" s="21">
        <f>0</f>
        <v/>
      </c>
      <c r="X1745" s="21">
        <f>-$B$18</f>
        <v/>
      </c>
      <c r="Y1745" s="21">
        <f>$B$19</f>
        <v/>
      </c>
      <c r="Z1745" s="21" t="n">
        <v>0</v>
      </c>
      <c r="AA1745" s="21" t="n">
        <v>0</v>
      </c>
      <c r="AB1745" s="21" t="n">
        <v>0</v>
      </c>
      <c r="AC1745" s="21" t="n">
        <v>0</v>
      </c>
      <c r="AD1745" s="21" t="n">
        <v>0</v>
      </c>
      <c r="AE1745" s="21" t="n">
        <v>0</v>
      </c>
      <c r="AF1745" s="21" t="n">
        <v>0</v>
      </c>
      <c r="AG1745" s="21" t="n">
        <v>0</v>
      </c>
      <c r="AH1745" s="21" t="n">
        <v>0</v>
      </c>
      <c r="AI1745" s="21" t="n">
        <v>0</v>
      </c>
      <c r="AJ1745" s="21" t="n">
        <v>0</v>
      </c>
      <c r="AK1745" s="21" t="n">
        <v>0</v>
      </c>
      <c r="AL1745" s="21" t="n">
        <v>0</v>
      </c>
      <c r="AM1745" s="21" t="n">
        <v>0</v>
      </c>
      <c r="AN1745" s="21" t="n">
        <v>0</v>
      </c>
      <c r="AO1745" s="21" t="n">
        <v>0</v>
      </c>
      <c r="AP1745" s="21" t="n">
        <v>0</v>
      </c>
      <c r="AQ1745" s="21" t="n">
        <v>0</v>
      </c>
      <c r="AR1745" s="21" t="n">
        <v>0</v>
      </c>
      <c r="AS1745" s="21" t="n">
        <v>0</v>
      </c>
      <c r="AT1745" s="19" t="n"/>
    </row>
    <row r="1746">
      <c r="D1746" s="21" t="n">
        <v>0</v>
      </c>
      <c r="E1746" s="21" t="n">
        <v>0</v>
      </c>
      <c r="F1746" s="21" t="n">
        <v>0</v>
      </c>
      <c r="G1746" s="21" t="n">
        <v>0</v>
      </c>
      <c r="H1746" s="21" t="n">
        <v>0</v>
      </c>
      <c r="I1746" s="21" t="n">
        <v>0</v>
      </c>
      <c r="J1746" s="21" t="n">
        <v>0</v>
      </c>
      <c r="K1746" s="21" t="n">
        <v>0</v>
      </c>
      <c r="L1746" s="21" t="n">
        <v>0</v>
      </c>
      <c r="M1746" s="21" t="n">
        <v>0</v>
      </c>
      <c r="N1746" s="21" t="n">
        <v>0</v>
      </c>
      <c r="O1746" s="21" t="n">
        <v>0</v>
      </c>
      <c r="P1746" s="21" t="n">
        <v>0</v>
      </c>
      <c r="Q1746" s="21" t="n">
        <v>0</v>
      </c>
      <c r="R1746" s="21" t="n">
        <v>0</v>
      </c>
      <c r="S1746" s="21" t="n">
        <v>0</v>
      </c>
      <c r="T1746" s="21">
        <f>$B$19</f>
        <v/>
      </c>
      <c r="U1746" s="21">
        <f>$B$21</f>
        <v/>
      </c>
      <c r="V1746" s="21">
        <f>0</f>
        <v/>
      </c>
      <c r="W1746" s="21">
        <f>2*$B$20</f>
        <v/>
      </c>
      <c r="X1746" s="21">
        <f>-$B$19</f>
        <v/>
      </c>
      <c r="Y1746" s="21">
        <f>$B$21</f>
        <v/>
      </c>
      <c r="Z1746" s="21" t="n">
        <v>0</v>
      </c>
      <c r="AA1746" s="21" t="n">
        <v>0</v>
      </c>
      <c r="AB1746" s="21" t="n">
        <v>0</v>
      </c>
      <c r="AC1746" s="21" t="n">
        <v>0</v>
      </c>
      <c r="AD1746" s="21" t="n">
        <v>0</v>
      </c>
      <c r="AE1746" s="21" t="n">
        <v>0</v>
      </c>
      <c r="AF1746" s="21" t="n">
        <v>0</v>
      </c>
      <c r="AG1746" s="21" t="n">
        <v>0</v>
      </c>
      <c r="AH1746" s="21" t="n">
        <v>0</v>
      </c>
      <c r="AI1746" s="21" t="n">
        <v>0</v>
      </c>
      <c r="AJ1746" s="21" t="n">
        <v>0</v>
      </c>
      <c r="AK1746" s="21" t="n">
        <v>0</v>
      </c>
      <c r="AL1746" s="21" t="n">
        <v>0</v>
      </c>
      <c r="AM1746" s="21" t="n">
        <v>0</v>
      </c>
      <c r="AN1746" s="21" t="n">
        <v>0</v>
      </c>
      <c r="AO1746" s="21" t="n">
        <v>0</v>
      </c>
      <c r="AP1746" s="21" t="n">
        <v>0</v>
      </c>
      <c r="AQ1746" s="21" t="n">
        <v>0</v>
      </c>
      <c r="AR1746" s="21" t="n">
        <v>0</v>
      </c>
      <c r="AS1746" s="21" t="n">
        <v>0</v>
      </c>
      <c r="AT1746" s="19" t="n"/>
    </row>
    <row r="1747">
      <c r="D1747" s="21" t="n">
        <v>0</v>
      </c>
      <c r="E1747" s="21" t="n">
        <v>0</v>
      </c>
      <c r="F1747" s="21" t="n">
        <v>0</v>
      </c>
      <c r="G1747" s="21" t="n">
        <v>0</v>
      </c>
      <c r="H1747" s="21" t="n">
        <v>0</v>
      </c>
      <c r="I1747" s="21" t="n">
        <v>0</v>
      </c>
      <c r="J1747" s="21" t="n">
        <v>0</v>
      </c>
      <c r="K1747" s="21" t="n">
        <v>0</v>
      </c>
      <c r="L1747" s="21" t="n">
        <v>0</v>
      </c>
      <c r="M1747" s="21" t="n">
        <v>0</v>
      </c>
      <c r="N1747" s="21" t="n">
        <v>0</v>
      </c>
      <c r="O1747" s="21" t="n">
        <v>0</v>
      </c>
      <c r="P1747" s="21" t="n">
        <v>0</v>
      </c>
      <c r="Q1747" s="21" t="n">
        <v>0</v>
      </c>
      <c r="R1747" s="21" t="n">
        <v>0</v>
      </c>
      <c r="S1747" s="21" t="n">
        <v>0</v>
      </c>
      <c r="T1747" s="21" t="n">
        <v>0</v>
      </c>
      <c r="U1747" s="21" t="n">
        <v>0</v>
      </c>
      <c r="V1747" s="21">
        <f>-$B$18</f>
        <v/>
      </c>
      <c r="W1747" s="21">
        <f>-$B$19</f>
        <v/>
      </c>
      <c r="X1747" s="21">
        <f>2*$B$18+$D$1715</f>
        <v/>
      </c>
      <c r="Y1747" s="21">
        <f>0</f>
        <v/>
      </c>
      <c r="Z1747" s="21">
        <f>-$B$18</f>
        <v/>
      </c>
      <c r="AA1747" s="21">
        <f>$B$19</f>
        <v/>
      </c>
      <c r="AB1747" s="21" t="n">
        <v>0</v>
      </c>
      <c r="AC1747" s="21" t="n">
        <v>0</v>
      </c>
      <c r="AD1747" s="21" t="n">
        <v>0</v>
      </c>
      <c r="AE1747" s="21" t="n">
        <v>0</v>
      </c>
      <c r="AF1747" s="21" t="n">
        <v>0</v>
      </c>
      <c r="AG1747" s="21" t="n">
        <v>0</v>
      </c>
      <c r="AH1747" s="21" t="n">
        <v>0</v>
      </c>
      <c r="AI1747" s="21" t="n">
        <v>0</v>
      </c>
      <c r="AJ1747" s="21" t="n">
        <v>0</v>
      </c>
      <c r="AK1747" s="21" t="n">
        <v>0</v>
      </c>
      <c r="AL1747" s="21" t="n">
        <v>0</v>
      </c>
      <c r="AM1747" s="21" t="n">
        <v>0</v>
      </c>
      <c r="AN1747" s="21" t="n">
        <v>0</v>
      </c>
      <c r="AO1747" s="21" t="n">
        <v>0</v>
      </c>
      <c r="AP1747" s="21" t="n">
        <v>0</v>
      </c>
      <c r="AQ1747" s="21" t="n">
        <v>0</v>
      </c>
      <c r="AR1747" s="21" t="n">
        <v>0</v>
      </c>
      <c r="AS1747" s="21" t="n">
        <v>0</v>
      </c>
      <c r="AT1747" s="19" t="n"/>
    </row>
    <row r="1748">
      <c r="D1748" s="21" t="n">
        <v>0</v>
      </c>
      <c r="E1748" s="21" t="n">
        <v>0</v>
      </c>
      <c r="F1748" s="21" t="n">
        <v>0</v>
      </c>
      <c r="G1748" s="21" t="n">
        <v>0</v>
      </c>
      <c r="H1748" s="21" t="n">
        <v>0</v>
      </c>
      <c r="I1748" s="21" t="n">
        <v>0</v>
      </c>
      <c r="J1748" s="21" t="n">
        <v>0</v>
      </c>
      <c r="K1748" s="21" t="n">
        <v>0</v>
      </c>
      <c r="L1748" s="21" t="n">
        <v>0</v>
      </c>
      <c r="M1748" s="21" t="n">
        <v>0</v>
      </c>
      <c r="N1748" s="21" t="n">
        <v>0</v>
      </c>
      <c r="O1748" s="21" t="n">
        <v>0</v>
      </c>
      <c r="P1748" s="21" t="n">
        <v>0</v>
      </c>
      <c r="Q1748" s="21" t="n">
        <v>0</v>
      </c>
      <c r="R1748" s="21" t="n">
        <v>0</v>
      </c>
      <c r="S1748" s="21" t="n">
        <v>0</v>
      </c>
      <c r="T1748" s="21" t="n">
        <v>0</v>
      </c>
      <c r="U1748" s="21" t="n">
        <v>0</v>
      </c>
      <c r="V1748" s="21">
        <f>$B$19</f>
        <v/>
      </c>
      <c r="W1748" s="21">
        <f>$B$21</f>
        <v/>
      </c>
      <c r="X1748" s="21">
        <f>0</f>
        <v/>
      </c>
      <c r="Y1748" s="21">
        <f>2*$B$20</f>
        <v/>
      </c>
      <c r="Z1748" s="21">
        <f>-$B$19</f>
        <v/>
      </c>
      <c r="AA1748" s="21">
        <f>$B$21</f>
        <v/>
      </c>
      <c r="AB1748" s="21" t="n">
        <v>0</v>
      </c>
      <c r="AC1748" s="21" t="n">
        <v>0</v>
      </c>
      <c r="AD1748" s="21" t="n">
        <v>0</v>
      </c>
      <c r="AE1748" s="21" t="n">
        <v>0</v>
      </c>
      <c r="AF1748" s="21" t="n">
        <v>0</v>
      </c>
      <c r="AG1748" s="21" t="n">
        <v>0</v>
      </c>
      <c r="AH1748" s="21" t="n">
        <v>0</v>
      </c>
      <c r="AI1748" s="21" t="n">
        <v>0</v>
      </c>
      <c r="AJ1748" s="21" t="n">
        <v>0</v>
      </c>
      <c r="AK1748" s="21" t="n">
        <v>0</v>
      </c>
      <c r="AL1748" s="21" t="n">
        <v>0</v>
      </c>
      <c r="AM1748" s="21" t="n">
        <v>0</v>
      </c>
      <c r="AN1748" s="21" t="n">
        <v>0</v>
      </c>
      <c r="AO1748" s="21" t="n">
        <v>0</v>
      </c>
      <c r="AP1748" s="21" t="n">
        <v>0</v>
      </c>
      <c r="AQ1748" s="21" t="n">
        <v>0</v>
      </c>
      <c r="AR1748" s="21" t="n">
        <v>0</v>
      </c>
      <c r="AS1748" s="21" t="n">
        <v>0</v>
      </c>
      <c r="AT1748" s="19" t="n"/>
    </row>
    <row r="1749">
      <c r="D1749" s="21" t="n">
        <v>0</v>
      </c>
      <c r="E1749" s="21" t="n">
        <v>0</v>
      </c>
      <c r="F1749" s="21" t="n">
        <v>0</v>
      </c>
      <c r="G1749" s="21" t="n">
        <v>0</v>
      </c>
      <c r="H1749" s="21" t="n">
        <v>0</v>
      </c>
      <c r="I1749" s="21" t="n">
        <v>0</v>
      </c>
      <c r="J1749" s="21" t="n">
        <v>0</v>
      </c>
      <c r="K1749" s="21" t="n">
        <v>0</v>
      </c>
      <c r="L1749" s="21" t="n">
        <v>0</v>
      </c>
      <c r="M1749" s="21" t="n">
        <v>0</v>
      </c>
      <c r="N1749" s="21" t="n">
        <v>0</v>
      </c>
      <c r="O1749" s="21" t="n">
        <v>0</v>
      </c>
      <c r="P1749" s="21" t="n">
        <v>0</v>
      </c>
      <c r="Q1749" s="21" t="n">
        <v>0</v>
      </c>
      <c r="R1749" s="21" t="n">
        <v>0</v>
      </c>
      <c r="S1749" s="21" t="n">
        <v>0</v>
      </c>
      <c r="T1749" s="21" t="n">
        <v>0</v>
      </c>
      <c r="U1749" s="21" t="n">
        <v>0</v>
      </c>
      <c r="V1749" s="21" t="n">
        <v>0</v>
      </c>
      <c r="W1749" s="21" t="n">
        <v>0</v>
      </c>
      <c r="X1749" s="21">
        <f>-$B$18</f>
        <v/>
      </c>
      <c r="Y1749" s="21">
        <f>-$B$19</f>
        <v/>
      </c>
      <c r="Z1749" s="21">
        <f>2*$B$18+$D$1716</f>
        <v/>
      </c>
      <c r="AA1749" s="21">
        <f>0</f>
        <v/>
      </c>
      <c r="AB1749" s="21">
        <f>-$B$18</f>
        <v/>
      </c>
      <c r="AC1749" s="21">
        <f>$B$19</f>
        <v/>
      </c>
      <c r="AD1749" s="21" t="n">
        <v>0</v>
      </c>
      <c r="AE1749" s="21" t="n">
        <v>0</v>
      </c>
      <c r="AF1749" s="21" t="n">
        <v>0</v>
      </c>
      <c r="AG1749" s="21" t="n">
        <v>0</v>
      </c>
      <c r="AH1749" s="21" t="n">
        <v>0</v>
      </c>
      <c r="AI1749" s="21" t="n">
        <v>0</v>
      </c>
      <c r="AJ1749" s="21" t="n">
        <v>0</v>
      </c>
      <c r="AK1749" s="21" t="n">
        <v>0</v>
      </c>
      <c r="AL1749" s="21" t="n">
        <v>0</v>
      </c>
      <c r="AM1749" s="21" t="n">
        <v>0</v>
      </c>
      <c r="AN1749" s="21" t="n">
        <v>0</v>
      </c>
      <c r="AO1749" s="21" t="n">
        <v>0</v>
      </c>
      <c r="AP1749" s="21" t="n">
        <v>0</v>
      </c>
      <c r="AQ1749" s="21" t="n">
        <v>0</v>
      </c>
      <c r="AR1749" s="21" t="n">
        <v>0</v>
      </c>
      <c r="AS1749" s="21" t="n">
        <v>0</v>
      </c>
      <c r="AT1749" s="19" t="n"/>
    </row>
    <row r="1750">
      <c r="D1750" s="21" t="n">
        <v>0</v>
      </c>
      <c r="E1750" s="21" t="n">
        <v>0</v>
      </c>
      <c r="F1750" s="21" t="n">
        <v>0</v>
      </c>
      <c r="G1750" s="21" t="n">
        <v>0</v>
      </c>
      <c r="H1750" s="21" t="n">
        <v>0</v>
      </c>
      <c r="I1750" s="21" t="n">
        <v>0</v>
      </c>
      <c r="J1750" s="21" t="n">
        <v>0</v>
      </c>
      <c r="K1750" s="21" t="n">
        <v>0</v>
      </c>
      <c r="L1750" s="21" t="n">
        <v>0</v>
      </c>
      <c r="M1750" s="21" t="n">
        <v>0</v>
      </c>
      <c r="N1750" s="21" t="n">
        <v>0</v>
      </c>
      <c r="O1750" s="21" t="n">
        <v>0</v>
      </c>
      <c r="P1750" s="21" t="n">
        <v>0</v>
      </c>
      <c r="Q1750" s="21" t="n">
        <v>0</v>
      </c>
      <c r="R1750" s="21" t="n">
        <v>0</v>
      </c>
      <c r="S1750" s="21" t="n">
        <v>0</v>
      </c>
      <c r="T1750" s="21" t="n">
        <v>0</v>
      </c>
      <c r="U1750" s="21" t="n">
        <v>0</v>
      </c>
      <c r="V1750" s="21" t="n">
        <v>0</v>
      </c>
      <c r="W1750" s="21" t="n">
        <v>0</v>
      </c>
      <c r="X1750" s="21">
        <f>$B$19</f>
        <v/>
      </c>
      <c r="Y1750" s="21">
        <f>$B$21</f>
        <v/>
      </c>
      <c r="Z1750" s="21">
        <f>0</f>
        <v/>
      </c>
      <c r="AA1750" s="21">
        <f>2*$B$20</f>
        <v/>
      </c>
      <c r="AB1750" s="21">
        <f>-$B$19</f>
        <v/>
      </c>
      <c r="AC1750" s="21">
        <f>$B$21</f>
        <v/>
      </c>
      <c r="AD1750" s="21" t="n">
        <v>0</v>
      </c>
      <c r="AE1750" s="21" t="n">
        <v>0</v>
      </c>
      <c r="AF1750" s="21" t="n">
        <v>0</v>
      </c>
      <c r="AG1750" s="21" t="n">
        <v>0</v>
      </c>
      <c r="AH1750" s="21" t="n">
        <v>0</v>
      </c>
      <c r="AI1750" s="21" t="n">
        <v>0</v>
      </c>
      <c r="AJ1750" s="21" t="n">
        <v>0</v>
      </c>
      <c r="AK1750" s="21" t="n">
        <v>0</v>
      </c>
      <c r="AL1750" s="21" t="n">
        <v>0</v>
      </c>
      <c r="AM1750" s="21" t="n">
        <v>0</v>
      </c>
      <c r="AN1750" s="21" t="n">
        <v>0</v>
      </c>
      <c r="AO1750" s="21" t="n">
        <v>0</v>
      </c>
      <c r="AP1750" s="21" t="n">
        <v>0</v>
      </c>
      <c r="AQ1750" s="21" t="n">
        <v>0</v>
      </c>
      <c r="AR1750" s="21" t="n">
        <v>0</v>
      </c>
      <c r="AS1750" s="21" t="n">
        <v>0</v>
      </c>
      <c r="AT1750" s="19" t="n"/>
    </row>
    <row r="1751">
      <c r="D1751" s="21" t="n">
        <v>0</v>
      </c>
      <c r="E1751" s="21" t="n">
        <v>0</v>
      </c>
      <c r="F1751" s="21" t="n">
        <v>0</v>
      </c>
      <c r="G1751" s="21" t="n">
        <v>0</v>
      </c>
      <c r="H1751" s="21" t="n">
        <v>0</v>
      </c>
      <c r="I1751" s="21" t="n">
        <v>0</v>
      </c>
      <c r="J1751" s="21" t="n">
        <v>0</v>
      </c>
      <c r="K1751" s="21" t="n">
        <v>0</v>
      </c>
      <c r="L1751" s="21" t="n">
        <v>0</v>
      </c>
      <c r="M1751" s="21" t="n">
        <v>0</v>
      </c>
      <c r="N1751" s="21" t="n">
        <v>0</v>
      </c>
      <c r="O1751" s="21" t="n">
        <v>0</v>
      </c>
      <c r="P1751" s="21" t="n">
        <v>0</v>
      </c>
      <c r="Q1751" s="21" t="n">
        <v>0</v>
      </c>
      <c r="R1751" s="21" t="n">
        <v>0</v>
      </c>
      <c r="S1751" s="21" t="n">
        <v>0</v>
      </c>
      <c r="T1751" s="21" t="n">
        <v>0</v>
      </c>
      <c r="U1751" s="21" t="n">
        <v>0</v>
      </c>
      <c r="V1751" s="21" t="n">
        <v>0</v>
      </c>
      <c r="W1751" s="21" t="n">
        <v>0</v>
      </c>
      <c r="X1751" s="21" t="n">
        <v>0</v>
      </c>
      <c r="Y1751" s="21" t="n">
        <v>0</v>
      </c>
      <c r="Z1751" s="21">
        <f>-$B$18</f>
        <v/>
      </c>
      <c r="AA1751" s="21">
        <f>-$B$19</f>
        <v/>
      </c>
      <c r="AB1751" s="21">
        <f>2*$B$18+$D$1717</f>
        <v/>
      </c>
      <c r="AC1751" s="21">
        <f>0</f>
        <v/>
      </c>
      <c r="AD1751" s="21">
        <f>-$B$18</f>
        <v/>
      </c>
      <c r="AE1751" s="21">
        <f>$B$19</f>
        <v/>
      </c>
      <c r="AF1751" s="21" t="n">
        <v>0</v>
      </c>
      <c r="AG1751" s="21" t="n">
        <v>0</v>
      </c>
      <c r="AH1751" s="21" t="n">
        <v>0</v>
      </c>
      <c r="AI1751" s="21" t="n">
        <v>0</v>
      </c>
      <c r="AJ1751" s="21" t="n">
        <v>0</v>
      </c>
      <c r="AK1751" s="21" t="n">
        <v>0</v>
      </c>
      <c r="AL1751" s="21" t="n">
        <v>0</v>
      </c>
      <c r="AM1751" s="21" t="n">
        <v>0</v>
      </c>
      <c r="AN1751" s="21" t="n">
        <v>0</v>
      </c>
      <c r="AO1751" s="21" t="n">
        <v>0</v>
      </c>
      <c r="AP1751" s="21" t="n">
        <v>0</v>
      </c>
      <c r="AQ1751" s="21" t="n">
        <v>0</v>
      </c>
      <c r="AR1751" s="21" t="n">
        <v>0</v>
      </c>
      <c r="AS1751" s="21" t="n">
        <v>0</v>
      </c>
      <c r="AT1751" s="19" t="n"/>
    </row>
    <row r="1752">
      <c r="D1752" s="21" t="n">
        <v>0</v>
      </c>
      <c r="E1752" s="21" t="n">
        <v>0</v>
      </c>
      <c r="F1752" s="21" t="n">
        <v>0</v>
      </c>
      <c r="G1752" s="21" t="n">
        <v>0</v>
      </c>
      <c r="H1752" s="21" t="n">
        <v>0</v>
      </c>
      <c r="I1752" s="21" t="n">
        <v>0</v>
      </c>
      <c r="J1752" s="21" t="n">
        <v>0</v>
      </c>
      <c r="K1752" s="21" t="n">
        <v>0</v>
      </c>
      <c r="L1752" s="21" t="n">
        <v>0</v>
      </c>
      <c r="M1752" s="21" t="n">
        <v>0</v>
      </c>
      <c r="N1752" s="21" t="n">
        <v>0</v>
      </c>
      <c r="O1752" s="21" t="n">
        <v>0</v>
      </c>
      <c r="P1752" s="21" t="n">
        <v>0</v>
      </c>
      <c r="Q1752" s="21" t="n">
        <v>0</v>
      </c>
      <c r="R1752" s="21" t="n">
        <v>0</v>
      </c>
      <c r="S1752" s="21" t="n">
        <v>0</v>
      </c>
      <c r="T1752" s="21" t="n">
        <v>0</v>
      </c>
      <c r="U1752" s="21" t="n">
        <v>0</v>
      </c>
      <c r="V1752" s="21" t="n">
        <v>0</v>
      </c>
      <c r="W1752" s="21" t="n">
        <v>0</v>
      </c>
      <c r="X1752" s="21" t="n">
        <v>0</v>
      </c>
      <c r="Y1752" s="21" t="n">
        <v>0</v>
      </c>
      <c r="Z1752" s="21">
        <f>$B$19</f>
        <v/>
      </c>
      <c r="AA1752" s="21">
        <f>$B$21</f>
        <v/>
      </c>
      <c r="AB1752" s="21">
        <f>0</f>
        <v/>
      </c>
      <c r="AC1752" s="21">
        <f>2*$B$20</f>
        <v/>
      </c>
      <c r="AD1752" s="21">
        <f>-$B$19</f>
        <v/>
      </c>
      <c r="AE1752" s="21">
        <f>$B$21</f>
        <v/>
      </c>
      <c r="AF1752" s="21" t="n">
        <v>0</v>
      </c>
      <c r="AG1752" s="21" t="n">
        <v>0</v>
      </c>
      <c r="AH1752" s="21" t="n">
        <v>0</v>
      </c>
      <c r="AI1752" s="21" t="n">
        <v>0</v>
      </c>
      <c r="AJ1752" s="21" t="n">
        <v>0</v>
      </c>
      <c r="AK1752" s="21" t="n">
        <v>0</v>
      </c>
      <c r="AL1752" s="21" t="n">
        <v>0</v>
      </c>
      <c r="AM1752" s="21" t="n">
        <v>0</v>
      </c>
      <c r="AN1752" s="21" t="n">
        <v>0</v>
      </c>
      <c r="AO1752" s="21" t="n">
        <v>0</v>
      </c>
      <c r="AP1752" s="21" t="n">
        <v>0</v>
      </c>
      <c r="AQ1752" s="21" t="n">
        <v>0</v>
      </c>
      <c r="AR1752" s="21" t="n">
        <v>0</v>
      </c>
      <c r="AS1752" s="21" t="n">
        <v>0</v>
      </c>
      <c r="AT1752" s="19" t="n"/>
    </row>
    <row r="1753">
      <c r="D1753" s="21" t="n">
        <v>0</v>
      </c>
      <c r="E1753" s="21" t="n">
        <v>0</v>
      </c>
      <c r="F1753" s="21" t="n">
        <v>0</v>
      </c>
      <c r="G1753" s="21" t="n">
        <v>0</v>
      </c>
      <c r="H1753" s="21" t="n">
        <v>0</v>
      </c>
      <c r="I1753" s="21" t="n">
        <v>0</v>
      </c>
      <c r="J1753" s="21" t="n">
        <v>0</v>
      </c>
      <c r="K1753" s="21" t="n">
        <v>0</v>
      </c>
      <c r="L1753" s="21" t="n">
        <v>0</v>
      </c>
      <c r="M1753" s="21" t="n">
        <v>0</v>
      </c>
      <c r="N1753" s="21" t="n">
        <v>0</v>
      </c>
      <c r="O1753" s="21" t="n">
        <v>0</v>
      </c>
      <c r="P1753" s="21" t="n">
        <v>0</v>
      </c>
      <c r="Q1753" s="21" t="n">
        <v>0</v>
      </c>
      <c r="R1753" s="21" t="n">
        <v>0</v>
      </c>
      <c r="S1753" s="21" t="n">
        <v>0</v>
      </c>
      <c r="T1753" s="21" t="n">
        <v>0</v>
      </c>
      <c r="U1753" s="21" t="n">
        <v>0</v>
      </c>
      <c r="V1753" s="21" t="n">
        <v>0</v>
      </c>
      <c r="W1753" s="21" t="n">
        <v>0</v>
      </c>
      <c r="X1753" s="21" t="n">
        <v>0</v>
      </c>
      <c r="Y1753" s="21" t="n">
        <v>0</v>
      </c>
      <c r="Z1753" s="21" t="n">
        <v>0</v>
      </c>
      <c r="AA1753" s="21" t="n">
        <v>0</v>
      </c>
      <c r="AB1753" s="21">
        <f>-$B$18</f>
        <v/>
      </c>
      <c r="AC1753" s="21">
        <f>-$B$19</f>
        <v/>
      </c>
      <c r="AD1753" s="21">
        <f>2*$B$18+$D$1718</f>
        <v/>
      </c>
      <c r="AE1753" s="21">
        <f>0</f>
        <v/>
      </c>
      <c r="AF1753" s="21">
        <f>-$B$18</f>
        <v/>
      </c>
      <c r="AG1753" s="21">
        <f>$B$19</f>
        <v/>
      </c>
      <c r="AH1753" s="21" t="n">
        <v>0</v>
      </c>
      <c r="AI1753" s="21" t="n">
        <v>0</v>
      </c>
      <c r="AJ1753" s="21" t="n">
        <v>0</v>
      </c>
      <c r="AK1753" s="21" t="n">
        <v>0</v>
      </c>
      <c r="AL1753" s="21" t="n">
        <v>0</v>
      </c>
      <c r="AM1753" s="21" t="n">
        <v>0</v>
      </c>
      <c r="AN1753" s="21" t="n">
        <v>0</v>
      </c>
      <c r="AO1753" s="21" t="n">
        <v>0</v>
      </c>
      <c r="AP1753" s="21" t="n">
        <v>0</v>
      </c>
      <c r="AQ1753" s="21" t="n">
        <v>0</v>
      </c>
      <c r="AR1753" s="21" t="n">
        <v>0</v>
      </c>
      <c r="AS1753" s="21" t="n">
        <v>0</v>
      </c>
      <c r="AT1753" s="19" t="n"/>
    </row>
    <row r="1754">
      <c r="D1754" s="21" t="n">
        <v>0</v>
      </c>
      <c r="E1754" s="21" t="n">
        <v>0</v>
      </c>
      <c r="F1754" s="21" t="n">
        <v>0</v>
      </c>
      <c r="G1754" s="21" t="n">
        <v>0</v>
      </c>
      <c r="H1754" s="21" t="n">
        <v>0</v>
      </c>
      <c r="I1754" s="21" t="n">
        <v>0</v>
      </c>
      <c r="J1754" s="21" t="n">
        <v>0</v>
      </c>
      <c r="K1754" s="21" t="n">
        <v>0</v>
      </c>
      <c r="L1754" s="21" t="n">
        <v>0</v>
      </c>
      <c r="M1754" s="21" t="n">
        <v>0</v>
      </c>
      <c r="N1754" s="21" t="n">
        <v>0</v>
      </c>
      <c r="O1754" s="21" t="n">
        <v>0</v>
      </c>
      <c r="P1754" s="21" t="n">
        <v>0</v>
      </c>
      <c r="Q1754" s="21" t="n">
        <v>0</v>
      </c>
      <c r="R1754" s="21" t="n">
        <v>0</v>
      </c>
      <c r="S1754" s="21" t="n">
        <v>0</v>
      </c>
      <c r="T1754" s="21" t="n">
        <v>0</v>
      </c>
      <c r="U1754" s="21" t="n">
        <v>0</v>
      </c>
      <c r="V1754" s="21" t="n">
        <v>0</v>
      </c>
      <c r="W1754" s="21" t="n">
        <v>0</v>
      </c>
      <c r="X1754" s="21" t="n">
        <v>0</v>
      </c>
      <c r="Y1754" s="21" t="n">
        <v>0</v>
      </c>
      <c r="Z1754" s="21" t="n">
        <v>0</v>
      </c>
      <c r="AA1754" s="21" t="n">
        <v>0</v>
      </c>
      <c r="AB1754" s="21">
        <f>$B$19</f>
        <v/>
      </c>
      <c r="AC1754" s="21">
        <f>$B$21</f>
        <v/>
      </c>
      <c r="AD1754" s="21">
        <f>0</f>
        <v/>
      </c>
      <c r="AE1754" s="21">
        <f>2*$B$20</f>
        <v/>
      </c>
      <c r="AF1754" s="21">
        <f>-$B$19</f>
        <v/>
      </c>
      <c r="AG1754" s="21">
        <f>$B$21</f>
        <v/>
      </c>
      <c r="AH1754" s="21" t="n">
        <v>0</v>
      </c>
      <c r="AI1754" s="21" t="n">
        <v>0</v>
      </c>
      <c r="AJ1754" s="21" t="n">
        <v>0</v>
      </c>
      <c r="AK1754" s="21" t="n">
        <v>0</v>
      </c>
      <c r="AL1754" s="21" t="n">
        <v>0</v>
      </c>
      <c r="AM1754" s="21" t="n">
        <v>0</v>
      </c>
      <c r="AN1754" s="21" t="n">
        <v>0</v>
      </c>
      <c r="AO1754" s="21" t="n">
        <v>0</v>
      </c>
      <c r="AP1754" s="21" t="n">
        <v>0</v>
      </c>
      <c r="AQ1754" s="21" t="n">
        <v>0</v>
      </c>
      <c r="AR1754" s="21" t="n">
        <v>0</v>
      </c>
      <c r="AS1754" s="21" t="n">
        <v>0</v>
      </c>
      <c r="AT1754" s="19" t="n"/>
    </row>
    <row r="1755">
      <c r="D1755" s="21" t="n">
        <v>0</v>
      </c>
      <c r="E1755" s="21" t="n">
        <v>0</v>
      </c>
      <c r="F1755" s="21" t="n">
        <v>0</v>
      </c>
      <c r="G1755" s="21" t="n">
        <v>0</v>
      </c>
      <c r="H1755" s="21" t="n">
        <v>0</v>
      </c>
      <c r="I1755" s="21" t="n">
        <v>0</v>
      </c>
      <c r="J1755" s="21" t="n">
        <v>0</v>
      </c>
      <c r="K1755" s="21" t="n">
        <v>0</v>
      </c>
      <c r="L1755" s="21" t="n">
        <v>0</v>
      </c>
      <c r="M1755" s="21" t="n">
        <v>0</v>
      </c>
      <c r="N1755" s="21" t="n">
        <v>0</v>
      </c>
      <c r="O1755" s="21" t="n">
        <v>0</v>
      </c>
      <c r="P1755" s="21" t="n">
        <v>0</v>
      </c>
      <c r="Q1755" s="21" t="n">
        <v>0</v>
      </c>
      <c r="R1755" s="21" t="n">
        <v>0</v>
      </c>
      <c r="S1755" s="21" t="n">
        <v>0</v>
      </c>
      <c r="T1755" s="21" t="n">
        <v>0</v>
      </c>
      <c r="U1755" s="21" t="n">
        <v>0</v>
      </c>
      <c r="V1755" s="21" t="n">
        <v>0</v>
      </c>
      <c r="W1755" s="21" t="n">
        <v>0</v>
      </c>
      <c r="X1755" s="21" t="n">
        <v>0</v>
      </c>
      <c r="Y1755" s="21" t="n">
        <v>0</v>
      </c>
      <c r="Z1755" s="21" t="n">
        <v>0</v>
      </c>
      <c r="AA1755" s="21" t="n">
        <v>0</v>
      </c>
      <c r="AB1755" s="21" t="n">
        <v>0</v>
      </c>
      <c r="AC1755" s="21" t="n">
        <v>0</v>
      </c>
      <c r="AD1755" s="21">
        <f>-$B$18</f>
        <v/>
      </c>
      <c r="AE1755" s="21">
        <f>-$B$19</f>
        <v/>
      </c>
      <c r="AF1755" s="21">
        <f>2*$B$18+$D$1719</f>
        <v/>
      </c>
      <c r="AG1755" s="21">
        <f>0</f>
        <v/>
      </c>
      <c r="AH1755" s="21">
        <f>-$B$18</f>
        <v/>
      </c>
      <c r="AI1755" s="21">
        <f>$B$19</f>
        <v/>
      </c>
      <c r="AJ1755" s="21" t="n">
        <v>0</v>
      </c>
      <c r="AK1755" s="21" t="n">
        <v>0</v>
      </c>
      <c r="AL1755" s="21" t="n">
        <v>0</v>
      </c>
      <c r="AM1755" s="21" t="n">
        <v>0</v>
      </c>
      <c r="AN1755" s="21" t="n">
        <v>0</v>
      </c>
      <c r="AO1755" s="21" t="n">
        <v>0</v>
      </c>
      <c r="AP1755" s="21" t="n">
        <v>0</v>
      </c>
      <c r="AQ1755" s="21" t="n">
        <v>0</v>
      </c>
      <c r="AR1755" s="21" t="n">
        <v>0</v>
      </c>
      <c r="AS1755" s="21" t="n">
        <v>0</v>
      </c>
      <c r="AT1755" s="19" t="n"/>
    </row>
    <row r="1756">
      <c r="D1756" s="21" t="n">
        <v>0</v>
      </c>
      <c r="E1756" s="21" t="n">
        <v>0</v>
      </c>
      <c r="F1756" s="21" t="n">
        <v>0</v>
      </c>
      <c r="G1756" s="21" t="n">
        <v>0</v>
      </c>
      <c r="H1756" s="21" t="n">
        <v>0</v>
      </c>
      <c r="I1756" s="21" t="n">
        <v>0</v>
      </c>
      <c r="J1756" s="21" t="n">
        <v>0</v>
      </c>
      <c r="K1756" s="21" t="n">
        <v>0</v>
      </c>
      <c r="L1756" s="21" t="n">
        <v>0</v>
      </c>
      <c r="M1756" s="21" t="n">
        <v>0</v>
      </c>
      <c r="N1756" s="21" t="n">
        <v>0</v>
      </c>
      <c r="O1756" s="21" t="n">
        <v>0</v>
      </c>
      <c r="P1756" s="21" t="n">
        <v>0</v>
      </c>
      <c r="Q1756" s="21" t="n">
        <v>0</v>
      </c>
      <c r="R1756" s="21" t="n">
        <v>0</v>
      </c>
      <c r="S1756" s="21" t="n">
        <v>0</v>
      </c>
      <c r="T1756" s="21" t="n">
        <v>0</v>
      </c>
      <c r="U1756" s="21" t="n">
        <v>0</v>
      </c>
      <c r="V1756" s="21" t="n">
        <v>0</v>
      </c>
      <c r="W1756" s="21" t="n">
        <v>0</v>
      </c>
      <c r="X1756" s="21" t="n">
        <v>0</v>
      </c>
      <c r="Y1756" s="21" t="n">
        <v>0</v>
      </c>
      <c r="Z1756" s="21" t="n">
        <v>0</v>
      </c>
      <c r="AA1756" s="21" t="n">
        <v>0</v>
      </c>
      <c r="AB1756" s="21" t="n">
        <v>0</v>
      </c>
      <c r="AC1756" s="21" t="n">
        <v>0</v>
      </c>
      <c r="AD1756" s="21">
        <f>$B$19</f>
        <v/>
      </c>
      <c r="AE1756" s="21">
        <f>$B$21</f>
        <v/>
      </c>
      <c r="AF1756" s="21">
        <f>0</f>
        <v/>
      </c>
      <c r="AG1756" s="21">
        <f>2*$B$20</f>
        <v/>
      </c>
      <c r="AH1756" s="21">
        <f>-$B$19</f>
        <v/>
      </c>
      <c r="AI1756" s="21">
        <f>$B$21</f>
        <v/>
      </c>
      <c r="AJ1756" s="21" t="n">
        <v>0</v>
      </c>
      <c r="AK1756" s="21" t="n">
        <v>0</v>
      </c>
      <c r="AL1756" s="21" t="n">
        <v>0</v>
      </c>
      <c r="AM1756" s="21" t="n">
        <v>0</v>
      </c>
      <c r="AN1756" s="21" t="n">
        <v>0</v>
      </c>
      <c r="AO1756" s="21" t="n">
        <v>0</v>
      </c>
      <c r="AP1756" s="21" t="n">
        <v>0</v>
      </c>
      <c r="AQ1756" s="21" t="n">
        <v>0</v>
      </c>
      <c r="AR1756" s="21" t="n">
        <v>0</v>
      </c>
      <c r="AS1756" s="21" t="n">
        <v>0</v>
      </c>
      <c r="AT1756" s="19" t="n"/>
    </row>
    <row r="1757">
      <c r="D1757" s="21" t="n">
        <v>0</v>
      </c>
      <c r="E1757" s="21" t="n">
        <v>0</v>
      </c>
      <c r="F1757" s="21" t="n">
        <v>0</v>
      </c>
      <c r="G1757" s="21" t="n">
        <v>0</v>
      </c>
      <c r="H1757" s="21" t="n">
        <v>0</v>
      </c>
      <c r="I1757" s="21" t="n">
        <v>0</v>
      </c>
      <c r="J1757" s="21" t="n">
        <v>0</v>
      </c>
      <c r="K1757" s="21" t="n">
        <v>0</v>
      </c>
      <c r="L1757" s="21" t="n">
        <v>0</v>
      </c>
      <c r="M1757" s="21" t="n">
        <v>0</v>
      </c>
      <c r="N1757" s="21" t="n">
        <v>0</v>
      </c>
      <c r="O1757" s="21" t="n">
        <v>0</v>
      </c>
      <c r="P1757" s="21" t="n">
        <v>0</v>
      </c>
      <c r="Q1757" s="21" t="n">
        <v>0</v>
      </c>
      <c r="R1757" s="21" t="n">
        <v>0</v>
      </c>
      <c r="S1757" s="21" t="n">
        <v>0</v>
      </c>
      <c r="T1757" s="21" t="n">
        <v>0</v>
      </c>
      <c r="U1757" s="21" t="n">
        <v>0</v>
      </c>
      <c r="V1757" s="21" t="n">
        <v>0</v>
      </c>
      <c r="W1757" s="21" t="n">
        <v>0</v>
      </c>
      <c r="X1757" s="21" t="n">
        <v>0</v>
      </c>
      <c r="Y1757" s="21" t="n">
        <v>0</v>
      </c>
      <c r="Z1757" s="21" t="n">
        <v>0</v>
      </c>
      <c r="AA1757" s="21" t="n">
        <v>0</v>
      </c>
      <c r="AB1757" s="21" t="n">
        <v>0</v>
      </c>
      <c r="AC1757" s="21" t="n">
        <v>0</v>
      </c>
      <c r="AD1757" s="21" t="n">
        <v>0</v>
      </c>
      <c r="AE1757" s="21" t="n">
        <v>0</v>
      </c>
      <c r="AF1757" s="21">
        <f>-$B$18</f>
        <v/>
      </c>
      <c r="AG1757" s="21">
        <f>-$B$19</f>
        <v/>
      </c>
      <c r="AH1757" s="21">
        <f>2*$B$18+$D$1720</f>
        <v/>
      </c>
      <c r="AI1757" s="21">
        <f>0</f>
        <v/>
      </c>
      <c r="AJ1757" s="21">
        <f>-$B$18</f>
        <v/>
      </c>
      <c r="AK1757" s="21">
        <f>$B$19</f>
        <v/>
      </c>
      <c r="AL1757" s="21" t="n">
        <v>0</v>
      </c>
      <c r="AM1757" s="21" t="n">
        <v>0</v>
      </c>
      <c r="AN1757" s="21" t="n">
        <v>0</v>
      </c>
      <c r="AO1757" s="21" t="n">
        <v>0</v>
      </c>
      <c r="AP1757" s="21" t="n">
        <v>0</v>
      </c>
      <c r="AQ1757" s="21" t="n">
        <v>0</v>
      </c>
      <c r="AR1757" s="21" t="n">
        <v>0</v>
      </c>
      <c r="AS1757" s="21" t="n">
        <v>0</v>
      </c>
      <c r="AT1757" s="19" t="n"/>
    </row>
    <row r="1758">
      <c r="D1758" s="21" t="n">
        <v>0</v>
      </c>
      <c r="E1758" s="21" t="n">
        <v>0</v>
      </c>
      <c r="F1758" s="21" t="n">
        <v>0</v>
      </c>
      <c r="G1758" s="21" t="n">
        <v>0</v>
      </c>
      <c r="H1758" s="21" t="n">
        <v>0</v>
      </c>
      <c r="I1758" s="21" t="n">
        <v>0</v>
      </c>
      <c r="J1758" s="21" t="n">
        <v>0</v>
      </c>
      <c r="K1758" s="21" t="n">
        <v>0</v>
      </c>
      <c r="L1758" s="21" t="n">
        <v>0</v>
      </c>
      <c r="M1758" s="21" t="n">
        <v>0</v>
      </c>
      <c r="N1758" s="21" t="n">
        <v>0</v>
      </c>
      <c r="O1758" s="21" t="n">
        <v>0</v>
      </c>
      <c r="P1758" s="21" t="n">
        <v>0</v>
      </c>
      <c r="Q1758" s="21" t="n">
        <v>0</v>
      </c>
      <c r="R1758" s="21" t="n">
        <v>0</v>
      </c>
      <c r="S1758" s="21" t="n">
        <v>0</v>
      </c>
      <c r="T1758" s="21" t="n">
        <v>0</v>
      </c>
      <c r="U1758" s="21" t="n">
        <v>0</v>
      </c>
      <c r="V1758" s="21" t="n">
        <v>0</v>
      </c>
      <c r="W1758" s="21" t="n">
        <v>0</v>
      </c>
      <c r="X1758" s="21" t="n">
        <v>0</v>
      </c>
      <c r="Y1758" s="21" t="n">
        <v>0</v>
      </c>
      <c r="Z1758" s="21" t="n">
        <v>0</v>
      </c>
      <c r="AA1758" s="21" t="n">
        <v>0</v>
      </c>
      <c r="AB1758" s="21" t="n">
        <v>0</v>
      </c>
      <c r="AC1758" s="21" t="n">
        <v>0</v>
      </c>
      <c r="AD1758" s="21" t="n">
        <v>0</v>
      </c>
      <c r="AE1758" s="21" t="n">
        <v>0</v>
      </c>
      <c r="AF1758" s="21">
        <f>$B$19</f>
        <v/>
      </c>
      <c r="AG1758" s="21">
        <f>$B$21</f>
        <v/>
      </c>
      <c r="AH1758" s="21">
        <f>0</f>
        <v/>
      </c>
      <c r="AI1758" s="21">
        <f>2*$B$20</f>
        <v/>
      </c>
      <c r="AJ1758" s="21">
        <f>-$B$19</f>
        <v/>
      </c>
      <c r="AK1758" s="21">
        <f>$B$21</f>
        <v/>
      </c>
      <c r="AL1758" s="21" t="n">
        <v>0</v>
      </c>
      <c r="AM1758" s="21" t="n">
        <v>0</v>
      </c>
      <c r="AN1758" s="21" t="n">
        <v>0</v>
      </c>
      <c r="AO1758" s="21" t="n">
        <v>0</v>
      </c>
      <c r="AP1758" s="21" t="n">
        <v>0</v>
      </c>
      <c r="AQ1758" s="21" t="n">
        <v>0</v>
      </c>
      <c r="AR1758" s="21" t="n">
        <v>0</v>
      </c>
      <c r="AS1758" s="21" t="n">
        <v>0</v>
      </c>
      <c r="AT1758" s="19" t="n"/>
    </row>
    <row r="1759">
      <c r="D1759" s="21" t="n">
        <v>0</v>
      </c>
      <c r="E1759" s="21" t="n">
        <v>0</v>
      </c>
      <c r="F1759" s="21" t="n">
        <v>0</v>
      </c>
      <c r="G1759" s="21" t="n">
        <v>0</v>
      </c>
      <c r="H1759" s="21" t="n">
        <v>0</v>
      </c>
      <c r="I1759" s="21" t="n">
        <v>0</v>
      </c>
      <c r="J1759" s="21" t="n">
        <v>0</v>
      </c>
      <c r="K1759" s="21" t="n">
        <v>0</v>
      </c>
      <c r="L1759" s="21" t="n">
        <v>0</v>
      </c>
      <c r="M1759" s="21" t="n">
        <v>0</v>
      </c>
      <c r="N1759" s="21" t="n">
        <v>0</v>
      </c>
      <c r="O1759" s="21" t="n">
        <v>0</v>
      </c>
      <c r="P1759" s="21" t="n">
        <v>0</v>
      </c>
      <c r="Q1759" s="21" t="n">
        <v>0</v>
      </c>
      <c r="R1759" s="21" t="n">
        <v>0</v>
      </c>
      <c r="S1759" s="21" t="n">
        <v>0</v>
      </c>
      <c r="T1759" s="21" t="n">
        <v>0</v>
      </c>
      <c r="U1759" s="21" t="n">
        <v>0</v>
      </c>
      <c r="V1759" s="21" t="n">
        <v>0</v>
      </c>
      <c r="W1759" s="21" t="n">
        <v>0</v>
      </c>
      <c r="X1759" s="21" t="n">
        <v>0</v>
      </c>
      <c r="Y1759" s="21" t="n">
        <v>0</v>
      </c>
      <c r="Z1759" s="21" t="n">
        <v>0</v>
      </c>
      <c r="AA1759" s="21" t="n">
        <v>0</v>
      </c>
      <c r="AB1759" s="21" t="n">
        <v>0</v>
      </c>
      <c r="AC1759" s="21" t="n">
        <v>0</v>
      </c>
      <c r="AD1759" s="21" t="n">
        <v>0</v>
      </c>
      <c r="AE1759" s="21" t="n">
        <v>0</v>
      </c>
      <c r="AF1759" s="21" t="n">
        <v>0</v>
      </c>
      <c r="AG1759" s="21" t="n">
        <v>0</v>
      </c>
      <c r="AH1759" s="21">
        <f>-$B$18</f>
        <v/>
      </c>
      <c r="AI1759" s="21">
        <f>-$B$19</f>
        <v/>
      </c>
      <c r="AJ1759" s="21">
        <f>2*$B$18+$D$1721</f>
        <v/>
      </c>
      <c r="AK1759" s="21">
        <f>0</f>
        <v/>
      </c>
      <c r="AL1759" s="21">
        <f>-$B$18</f>
        <v/>
      </c>
      <c r="AM1759" s="21">
        <f>$B$19</f>
        <v/>
      </c>
      <c r="AN1759" s="21" t="n">
        <v>0</v>
      </c>
      <c r="AO1759" s="21" t="n">
        <v>0</v>
      </c>
      <c r="AP1759" s="21" t="n">
        <v>0</v>
      </c>
      <c r="AQ1759" s="21" t="n">
        <v>0</v>
      </c>
      <c r="AR1759" s="21" t="n">
        <v>0</v>
      </c>
      <c r="AS1759" s="21" t="n">
        <v>0</v>
      </c>
      <c r="AT1759" s="19" t="n"/>
    </row>
    <row r="1760">
      <c r="D1760" s="21" t="n">
        <v>0</v>
      </c>
      <c r="E1760" s="21" t="n">
        <v>0</v>
      </c>
      <c r="F1760" s="21" t="n">
        <v>0</v>
      </c>
      <c r="G1760" s="21" t="n">
        <v>0</v>
      </c>
      <c r="H1760" s="21" t="n">
        <v>0</v>
      </c>
      <c r="I1760" s="21" t="n">
        <v>0</v>
      </c>
      <c r="J1760" s="21" t="n">
        <v>0</v>
      </c>
      <c r="K1760" s="21" t="n">
        <v>0</v>
      </c>
      <c r="L1760" s="21" t="n">
        <v>0</v>
      </c>
      <c r="M1760" s="21" t="n">
        <v>0</v>
      </c>
      <c r="N1760" s="21" t="n">
        <v>0</v>
      </c>
      <c r="O1760" s="21" t="n">
        <v>0</v>
      </c>
      <c r="P1760" s="21" t="n">
        <v>0</v>
      </c>
      <c r="Q1760" s="21" t="n">
        <v>0</v>
      </c>
      <c r="R1760" s="21" t="n">
        <v>0</v>
      </c>
      <c r="S1760" s="21" t="n">
        <v>0</v>
      </c>
      <c r="T1760" s="21" t="n">
        <v>0</v>
      </c>
      <c r="U1760" s="21" t="n">
        <v>0</v>
      </c>
      <c r="V1760" s="21" t="n">
        <v>0</v>
      </c>
      <c r="W1760" s="21" t="n">
        <v>0</v>
      </c>
      <c r="X1760" s="21" t="n">
        <v>0</v>
      </c>
      <c r="Y1760" s="21" t="n">
        <v>0</v>
      </c>
      <c r="Z1760" s="21" t="n">
        <v>0</v>
      </c>
      <c r="AA1760" s="21" t="n">
        <v>0</v>
      </c>
      <c r="AB1760" s="21" t="n">
        <v>0</v>
      </c>
      <c r="AC1760" s="21" t="n">
        <v>0</v>
      </c>
      <c r="AD1760" s="21" t="n">
        <v>0</v>
      </c>
      <c r="AE1760" s="21" t="n">
        <v>0</v>
      </c>
      <c r="AF1760" s="21" t="n">
        <v>0</v>
      </c>
      <c r="AG1760" s="21" t="n">
        <v>0</v>
      </c>
      <c r="AH1760" s="21">
        <f>$B$19</f>
        <v/>
      </c>
      <c r="AI1760" s="21">
        <f>$B$21</f>
        <v/>
      </c>
      <c r="AJ1760" s="21">
        <f>0</f>
        <v/>
      </c>
      <c r="AK1760" s="21">
        <f>2*$B$20</f>
        <v/>
      </c>
      <c r="AL1760" s="21">
        <f>-$B$19</f>
        <v/>
      </c>
      <c r="AM1760" s="21">
        <f>$B$21</f>
        <v/>
      </c>
      <c r="AN1760" s="21" t="n">
        <v>0</v>
      </c>
      <c r="AO1760" s="21" t="n">
        <v>0</v>
      </c>
      <c r="AP1760" s="21" t="n">
        <v>0</v>
      </c>
      <c r="AQ1760" s="21" t="n">
        <v>0</v>
      </c>
      <c r="AR1760" s="21" t="n">
        <v>0</v>
      </c>
      <c r="AS1760" s="21" t="n">
        <v>0</v>
      </c>
      <c r="AT1760" s="19" t="n"/>
    </row>
    <row r="1761">
      <c r="D1761" s="21" t="n">
        <v>0</v>
      </c>
      <c r="E1761" s="21" t="n">
        <v>0</v>
      </c>
      <c r="F1761" s="21" t="n">
        <v>0</v>
      </c>
      <c r="G1761" s="21" t="n">
        <v>0</v>
      </c>
      <c r="H1761" s="21" t="n">
        <v>0</v>
      </c>
      <c r="I1761" s="21" t="n">
        <v>0</v>
      </c>
      <c r="J1761" s="21" t="n">
        <v>0</v>
      </c>
      <c r="K1761" s="21" t="n">
        <v>0</v>
      </c>
      <c r="L1761" s="21" t="n">
        <v>0</v>
      </c>
      <c r="M1761" s="21" t="n">
        <v>0</v>
      </c>
      <c r="N1761" s="21" t="n">
        <v>0</v>
      </c>
      <c r="O1761" s="21" t="n">
        <v>0</v>
      </c>
      <c r="P1761" s="21" t="n">
        <v>0</v>
      </c>
      <c r="Q1761" s="21" t="n">
        <v>0</v>
      </c>
      <c r="R1761" s="21" t="n">
        <v>0</v>
      </c>
      <c r="S1761" s="21" t="n">
        <v>0</v>
      </c>
      <c r="T1761" s="21" t="n">
        <v>0</v>
      </c>
      <c r="U1761" s="21" t="n">
        <v>0</v>
      </c>
      <c r="V1761" s="21" t="n">
        <v>0</v>
      </c>
      <c r="W1761" s="21" t="n">
        <v>0</v>
      </c>
      <c r="X1761" s="21" t="n">
        <v>0</v>
      </c>
      <c r="Y1761" s="21" t="n">
        <v>0</v>
      </c>
      <c r="Z1761" s="21" t="n">
        <v>0</v>
      </c>
      <c r="AA1761" s="21" t="n">
        <v>0</v>
      </c>
      <c r="AB1761" s="21" t="n">
        <v>0</v>
      </c>
      <c r="AC1761" s="21" t="n">
        <v>0</v>
      </c>
      <c r="AD1761" s="21" t="n">
        <v>0</v>
      </c>
      <c r="AE1761" s="21" t="n">
        <v>0</v>
      </c>
      <c r="AF1761" s="21" t="n">
        <v>0</v>
      </c>
      <c r="AG1761" s="21" t="n">
        <v>0</v>
      </c>
      <c r="AH1761" s="21" t="n">
        <v>0</v>
      </c>
      <c r="AI1761" s="21" t="n">
        <v>0</v>
      </c>
      <c r="AJ1761" s="21">
        <f>-$B$18</f>
        <v/>
      </c>
      <c r="AK1761" s="21">
        <f>-$B$19</f>
        <v/>
      </c>
      <c r="AL1761" s="21">
        <f>2*$B$18+$D$1722</f>
        <v/>
      </c>
      <c r="AM1761" s="21">
        <f>0</f>
        <v/>
      </c>
      <c r="AN1761" s="21">
        <f>-$B$18</f>
        <v/>
      </c>
      <c r="AO1761" s="21">
        <f>$B$19</f>
        <v/>
      </c>
      <c r="AP1761" s="21" t="n">
        <v>0</v>
      </c>
      <c r="AQ1761" s="21" t="n">
        <v>0</v>
      </c>
      <c r="AR1761" s="21" t="n">
        <v>0</v>
      </c>
      <c r="AS1761" s="21" t="n">
        <v>0</v>
      </c>
      <c r="AT1761" s="19" t="n"/>
    </row>
    <row r="1762">
      <c r="D1762" s="21" t="n">
        <v>0</v>
      </c>
      <c r="E1762" s="21" t="n">
        <v>0</v>
      </c>
      <c r="F1762" s="21" t="n">
        <v>0</v>
      </c>
      <c r="G1762" s="21" t="n">
        <v>0</v>
      </c>
      <c r="H1762" s="21" t="n">
        <v>0</v>
      </c>
      <c r="I1762" s="21" t="n">
        <v>0</v>
      </c>
      <c r="J1762" s="21" t="n">
        <v>0</v>
      </c>
      <c r="K1762" s="21" t="n">
        <v>0</v>
      </c>
      <c r="L1762" s="21" t="n">
        <v>0</v>
      </c>
      <c r="M1762" s="21" t="n">
        <v>0</v>
      </c>
      <c r="N1762" s="21" t="n">
        <v>0</v>
      </c>
      <c r="O1762" s="21" t="n">
        <v>0</v>
      </c>
      <c r="P1762" s="21" t="n">
        <v>0</v>
      </c>
      <c r="Q1762" s="21" t="n">
        <v>0</v>
      </c>
      <c r="R1762" s="21" t="n">
        <v>0</v>
      </c>
      <c r="S1762" s="21" t="n">
        <v>0</v>
      </c>
      <c r="T1762" s="21" t="n">
        <v>0</v>
      </c>
      <c r="U1762" s="21" t="n">
        <v>0</v>
      </c>
      <c r="V1762" s="21" t="n">
        <v>0</v>
      </c>
      <c r="W1762" s="21" t="n">
        <v>0</v>
      </c>
      <c r="X1762" s="21" t="n">
        <v>0</v>
      </c>
      <c r="Y1762" s="21" t="n">
        <v>0</v>
      </c>
      <c r="Z1762" s="21" t="n">
        <v>0</v>
      </c>
      <c r="AA1762" s="21" t="n">
        <v>0</v>
      </c>
      <c r="AB1762" s="21" t="n">
        <v>0</v>
      </c>
      <c r="AC1762" s="21" t="n">
        <v>0</v>
      </c>
      <c r="AD1762" s="21" t="n">
        <v>0</v>
      </c>
      <c r="AE1762" s="21" t="n">
        <v>0</v>
      </c>
      <c r="AF1762" s="21" t="n">
        <v>0</v>
      </c>
      <c r="AG1762" s="21" t="n">
        <v>0</v>
      </c>
      <c r="AH1762" s="21" t="n">
        <v>0</v>
      </c>
      <c r="AI1762" s="21" t="n">
        <v>0</v>
      </c>
      <c r="AJ1762" s="21">
        <f>$B$19</f>
        <v/>
      </c>
      <c r="AK1762" s="21">
        <f>$B$21</f>
        <v/>
      </c>
      <c r="AL1762" s="21">
        <f>0</f>
        <v/>
      </c>
      <c r="AM1762" s="21">
        <f>2*$B$20</f>
        <v/>
      </c>
      <c r="AN1762" s="21">
        <f>-$B$19</f>
        <v/>
      </c>
      <c r="AO1762" s="21">
        <f>$B$21</f>
        <v/>
      </c>
      <c r="AP1762" s="21" t="n">
        <v>0</v>
      </c>
      <c r="AQ1762" s="21" t="n">
        <v>0</v>
      </c>
      <c r="AR1762" s="21" t="n">
        <v>0</v>
      </c>
      <c r="AS1762" s="21" t="n">
        <v>0</v>
      </c>
      <c r="AT1762" s="19" t="n"/>
    </row>
    <row r="1763">
      <c r="D1763" s="21" t="n">
        <v>0</v>
      </c>
      <c r="E1763" s="21" t="n">
        <v>0</v>
      </c>
      <c r="F1763" s="21" t="n">
        <v>0</v>
      </c>
      <c r="G1763" s="21" t="n">
        <v>0</v>
      </c>
      <c r="H1763" s="21" t="n">
        <v>0</v>
      </c>
      <c r="I1763" s="21" t="n">
        <v>0</v>
      </c>
      <c r="J1763" s="21" t="n">
        <v>0</v>
      </c>
      <c r="K1763" s="21" t="n">
        <v>0</v>
      </c>
      <c r="L1763" s="21" t="n">
        <v>0</v>
      </c>
      <c r="M1763" s="21" t="n">
        <v>0</v>
      </c>
      <c r="N1763" s="21" t="n">
        <v>0</v>
      </c>
      <c r="O1763" s="21" t="n">
        <v>0</v>
      </c>
      <c r="P1763" s="21" t="n">
        <v>0</v>
      </c>
      <c r="Q1763" s="21" t="n">
        <v>0</v>
      </c>
      <c r="R1763" s="21" t="n">
        <v>0</v>
      </c>
      <c r="S1763" s="21" t="n">
        <v>0</v>
      </c>
      <c r="T1763" s="21" t="n">
        <v>0</v>
      </c>
      <c r="U1763" s="21" t="n">
        <v>0</v>
      </c>
      <c r="V1763" s="21" t="n">
        <v>0</v>
      </c>
      <c r="W1763" s="21" t="n">
        <v>0</v>
      </c>
      <c r="X1763" s="21" t="n">
        <v>0</v>
      </c>
      <c r="Y1763" s="21" t="n">
        <v>0</v>
      </c>
      <c r="Z1763" s="21" t="n">
        <v>0</v>
      </c>
      <c r="AA1763" s="21" t="n">
        <v>0</v>
      </c>
      <c r="AB1763" s="21" t="n">
        <v>0</v>
      </c>
      <c r="AC1763" s="21" t="n">
        <v>0</v>
      </c>
      <c r="AD1763" s="21" t="n">
        <v>0</v>
      </c>
      <c r="AE1763" s="21" t="n">
        <v>0</v>
      </c>
      <c r="AF1763" s="21" t="n">
        <v>0</v>
      </c>
      <c r="AG1763" s="21" t="n">
        <v>0</v>
      </c>
      <c r="AH1763" s="21" t="n">
        <v>0</v>
      </c>
      <c r="AI1763" s="21" t="n">
        <v>0</v>
      </c>
      <c r="AJ1763" s="21" t="n">
        <v>0</v>
      </c>
      <c r="AK1763" s="21" t="n">
        <v>0</v>
      </c>
      <c r="AL1763" s="21">
        <f>-$B$18</f>
        <v/>
      </c>
      <c r="AM1763" s="21">
        <f>-$B$19</f>
        <v/>
      </c>
      <c r="AN1763" s="21">
        <f>2*$B$18+$D$1723</f>
        <v/>
      </c>
      <c r="AO1763" s="21">
        <f>0</f>
        <v/>
      </c>
      <c r="AP1763" s="21">
        <f>-$B$18</f>
        <v/>
      </c>
      <c r="AQ1763" s="21">
        <f>$B$19</f>
        <v/>
      </c>
      <c r="AR1763" s="21" t="n">
        <v>0</v>
      </c>
      <c r="AS1763" s="21" t="n">
        <v>0</v>
      </c>
      <c r="AT1763" s="19" t="n"/>
    </row>
    <row r="1764">
      <c r="D1764" s="21" t="n">
        <v>0</v>
      </c>
      <c r="E1764" s="21" t="n">
        <v>0</v>
      </c>
      <c r="F1764" s="21" t="n">
        <v>0</v>
      </c>
      <c r="G1764" s="21" t="n">
        <v>0</v>
      </c>
      <c r="H1764" s="21" t="n">
        <v>0</v>
      </c>
      <c r="I1764" s="21" t="n">
        <v>0</v>
      </c>
      <c r="J1764" s="21" t="n">
        <v>0</v>
      </c>
      <c r="K1764" s="21" t="n">
        <v>0</v>
      </c>
      <c r="L1764" s="21" t="n">
        <v>0</v>
      </c>
      <c r="M1764" s="21" t="n">
        <v>0</v>
      </c>
      <c r="N1764" s="21" t="n">
        <v>0</v>
      </c>
      <c r="O1764" s="21" t="n">
        <v>0</v>
      </c>
      <c r="P1764" s="21" t="n">
        <v>0</v>
      </c>
      <c r="Q1764" s="21" t="n">
        <v>0</v>
      </c>
      <c r="R1764" s="21" t="n">
        <v>0</v>
      </c>
      <c r="S1764" s="21" t="n">
        <v>0</v>
      </c>
      <c r="T1764" s="21" t="n">
        <v>0</v>
      </c>
      <c r="U1764" s="21" t="n">
        <v>0</v>
      </c>
      <c r="V1764" s="21" t="n">
        <v>0</v>
      </c>
      <c r="W1764" s="21" t="n">
        <v>0</v>
      </c>
      <c r="X1764" s="21" t="n">
        <v>0</v>
      </c>
      <c r="Y1764" s="21" t="n">
        <v>0</v>
      </c>
      <c r="Z1764" s="21" t="n">
        <v>0</v>
      </c>
      <c r="AA1764" s="21" t="n">
        <v>0</v>
      </c>
      <c r="AB1764" s="21" t="n">
        <v>0</v>
      </c>
      <c r="AC1764" s="21" t="n">
        <v>0</v>
      </c>
      <c r="AD1764" s="21" t="n">
        <v>0</v>
      </c>
      <c r="AE1764" s="21" t="n">
        <v>0</v>
      </c>
      <c r="AF1764" s="21" t="n">
        <v>0</v>
      </c>
      <c r="AG1764" s="21" t="n">
        <v>0</v>
      </c>
      <c r="AH1764" s="21" t="n">
        <v>0</v>
      </c>
      <c r="AI1764" s="21" t="n">
        <v>0</v>
      </c>
      <c r="AJ1764" s="21" t="n">
        <v>0</v>
      </c>
      <c r="AK1764" s="21" t="n">
        <v>0</v>
      </c>
      <c r="AL1764" s="21">
        <f>$B$19</f>
        <v/>
      </c>
      <c r="AM1764" s="21">
        <f>$B$21</f>
        <v/>
      </c>
      <c r="AN1764" s="21">
        <f>0</f>
        <v/>
      </c>
      <c r="AO1764" s="21">
        <f>2*$B$20</f>
        <v/>
      </c>
      <c r="AP1764" s="21">
        <f>-$B$19</f>
        <v/>
      </c>
      <c r="AQ1764" s="21">
        <f>$B$21</f>
        <v/>
      </c>
      <c r="AR1764" s="21" t="n">
        <v>0</v>
      </c>
      <c r="AS1764" s="21" t="n">
        <v>0</v>
      </c>
      <c r="AT1764" s="19" t="n"/>
    </row>
    <row r="1765">
      <c r="D1765" s="21" t="n">
        <v>0</v>
      </c>
      <c r="E1765" s="21" t="n">
        <v>0</v>
      </c>
      <c r="F1765" s="21" t="n">
        <v>0</v>
      </c>
      <c r="G1765" s="21" t="n">
        <v>0</v>
      </c>
      <c r="H1765" s="21" t="n">
        <v>0</v>
      </c>
      <c r="I1765" s="21" t="n">
        <v>0</v>
      </c>
      <c r="J1765" s="21" t="n">
        <v>0</v>
      </c>
      <c r="K1765" s="21" t="n">
        <v>0</v>
      </c>
      <c r="L1765" s="21" t="n">
        <v>0</v>
      </c>
      <c r="M1765" s="21" t="n">
        <v>0</v>
      </c>
      <c r="N1765" s="21" t="n">
        <v>0</v>
      </c>
      <c r="O1765" s="21" t="n">
        <v>0</v>
      </c>
      <c r="P1765" s="21" t="n">
        <v>0</v>
      </c>
      <c r="Q1765" s="21" t="n">
        <v>0</v>
      </c>
      <c r="R1765" s="21" t="n">
        <v>0</v>
      </c>
      <c r="S1765" s="21" t="n">
        <v>0</v>
      </c>
      <c r="T1765" s="21" t="n">
        <v>0</v>
      </c>
      <c r="U1765" s="21" t="n">
        <v>0</v>
      </c>
      <c r="V1765" s="21" t="n">
        <v>0</v>
      </c>
      <c r="W1765" s="21" t="n">
        <v>0</v>
      </c>
      <c r="X1765" s="21" t="n">
        <v>0</v>
      </c>
      <c r="Y1765" s="21" t="n">
        <v>0</v>
      </c>
      <c r="Z1765" s="21" t="n">
        <v>0</v>
      </c>
      <c r="AA1765" s="21" t="n">
        <v>0</v>
      </c>
      <c r="AB1765" s="21" t="n">
        <v>0</v>
      </c>
      <c r="AC1765" s="21" t="n">
        <v>0</v>
      </c>
      <c r="AD1765" s="21" t="n">
        <v>0</v>
      </c>
      <c r="AE1765" s="21" t="n">
        <v>0</v>
      </c>
      <c r="AF1765" s="21" t="n">
        <v>0</v>
      </c>
      <c r="AG1765" s="21" t="n">
        <v>0</v>
      </c>
      <c r="AH1765" s="21" t="n">
        <v>0</v>
      </c>
      <c r="AI1765" s="21" t="n">
        <v>0</v>
      </c>
      <c r="AJ1765" s="21" t="n">
        <v>0</v>
      </c>
      <c r="AK1765" s="21" t="n">
        <v>0</v>
      </c>
      <c r="AL1765" s="21" t="n">
        <v>0</v>
      </c>
      <c r="AM1765" s="21" t="n">
        <v>0</v>
      </c>
      <c r="AN1765" s="21">
        <f>-$B$18</f>
        <v/>
      </c>
      <c r="AO1765" s="21">
        <f>-$B$19</f>
        <v/>
      </c>
      <c r="AP1765" s="21">
        <f>2*$B$18+$D$1724</f>
        <v/>
      </c>
      <c r="AQ1765" s="21">
        <f>0</f>
        <v/>
      </c>
      <c r="AR1765" s="21">
        <f>-$B$18</f>
        <v/>
      </c>
      <c r="AS1765" s="21">
        <f>$B$19</f>
        <v/>
      </c>
      <c r="AT1765" s="19" t="n"/>
    </row>
    <row r="1766">
      <c r="D1766" s="21" t="n">
        <v>0</v>
      </c>
      <c r="E1766" s="21" t="n">
        <v>0</v>
      </c>
      <c r="F1766" s="21" t="n">
        <v>0</v>
      </c>
      <c r="G1766" s="21" t="n">
        <v>0</v>
      </c>
      <c r="H1766" s="21" t="n">
        <v>0</v>
      </c>
      <c r="I1766" s="21" t="n">
        <v>0</v>
      </c>
      <c r="J1766" s="21" t="n">
        <v>0</v>
      </c>
      <c r="K1766" s="21" t="n">
        <v>0</v>
      </c>
      <c r="L1766" s="21" t="n">
        <v>0</v>
      </c>
      <c r="M1766" s="21" t="n">
        <v>0</v>
      </c>
      <c r="N1766" s="21" t="n">
        <v>0</v>
      </c>
      <c r="O1766" s="21" t="n">
        <v>0</v>
      </c>
      <c r="P1766" s="21" t="n">
        <v>0</v>
      </c>
      <c r="Q1766" s="21" t="n">
        <v>0</v>
      </c>
      <c r="R1766" s="21" t="n">
        <v>0</v>
      </c>
      <c r="S1766" s="21" t="n">
        <v>0</v>
      </c>
      <c r="T1766" s="21" t="n">
        <v>0</v>
      </c>
      <c r="U1766" s="21" t="n">
        <v>0</v>
      </c>
      <c r="V1766" s="21" t="n">
        <v>0</v>
      </c>
      <c r="W1766" s="21" t="n">
        <v>0</v>
      </c>
      <c r="X1766" s="21" t="n">
        <v>0</v>
      </c>
      <c r="Y1766" s="21" t="n">
        <v>0</v>
      </c>
      <c r="Z1766" s="21" t="n">
        <v>0</v>
      </c>
      <c r="AA1766" s="21" t="n">
        <v>0</v>
      </c>
      <c r="AB1766" s="21" t="n">
        <v>0</v>
      </c>
      <c r="AC1766" s="21" t="n">
        <v>0</v>
      </c>
      <c r="AD1766" s="21" t="n">
        <v>0</v>
      </c>
      <c r="AE1766" s="21" t="n">
        <v>0</v>
      </c>
      <c r="AF1766" s="21" t="n">
        <v>0</v>
      </c>
      <c r="AG1766" s="21" t="n">
        <v>0</v>
      </c>
      <c r="AH1766" s="21" t="n">
        <v>0</v>
      </c>
      <c r="AI1766" s="21" t="n">
        <v>0</v>
      </c>
      <c r="AJ1766" s="21" t="n">
        <v>0</v>
      </c>
      <c r="AK1766" s="21" t="n">
        <v>0</v>
      </c>
      <c r="AL1766" s="21" t="n">
        <v>0</v>
      </c>
      <c r="AM1766" s="21" t="n">
        <v>0</v>
      </c>
      <c r="AN1766" s="21">
        <f>$B$19</f>
        <v/>
      </c>
      <c r="AO1766" s="21">
        <f>$B$21</f>
        <v/>
      </c>
      <c r="AP1766" s="21">
        <f>0</f>
        <v/>
      </c>
      <c r="AQ1766" s="21">
        <f>2*$B$20</f>
        <v/>
      </c>
      <c r="AR1766" s="21">
        <f>-$B$19</f>
        <v/>
      </c>
      <c r="AS1766" s="21">
        <f>$B$21</f>
        <v/>
      </c>
      <c r="AT1766" s="19" t="n"/>
    </row>
    <row r="1767">
      <c r="D1767" s="21" t="n">
        <v>0</v>
      </c>
      <c r="E1767" s="21" t="n">
        <v>0</v>
      </c>
      <c r="F1767" s="21" t="n">
        <v>0</v>
      </c>
      <c r="G1767" s="21" t="n">
        <v>0</v>
      </c>
      <c r="H1767" s="21" t="n">
        <v>0</v>
      </c>
      <c r="I1767" s="21" t="n">
        <v>0</v>
      </c>
      <c r="J1767" s="21" t="n">
        <v>0</v>
      </c>
      <c r="K1767" s="21" t="n">
        <v>0</v>
      </c>
      <c r="L1767" s="21" t="n">
        <v>0</v>
      </c>
      <c r="M1767" s="21" t="n">
        <v>0</v>
      </c>
      <c r="N1767" s="21" t="n">
        <v>0</v>
      </c>
      <c r="O1767" s="21" t="n">
        <v>0</v>
      </c>
      <c r="P1767" s="21" t="n">
        <v>0</v>
      </c>
      <c r="Q1767" s="21" t="n">
        <v>0</v>
      </c>
      <c r="R1767" s="21" t="n">
        <v>0</v>
      </c>
      <c r="S1767" s="21" t="n">
        <v>0</v>
      </c>
      <c r="T1767" s="21" t="n">
        <v>0</v>
      </c>
      <c r="U1767" s="21" t="n">
        <v>0</v>
      </c>
      <c r="V1767" s="21" t="n">
        <v>0</v>
      </c>
      <c r="W1767" s="21" t="n">
        <v>0</v>
      </c>
      <c r="X1767" s="21" t="n">
        <v>0</v>
      </c>
      <c r="Y1767" s="21" t="n">
        <v>0</v>
      </c>
      <c r="Z1767" s="21" t="n">
        <v>0</v>
      </c>
      <c r="AA1767" s="21" t="n">
        <v>0</v>
      </c>
      <c r="AB1767" s="21" t="n">
        <v>0</v>
      </c>
      <c r="AC1767" s="21" t="n">
        <v>0</v>
      </c>
      <c r="AD1767" s="21" t="n">
        <v>0</v>
      </c>
      <c r="AE1767" s="21" t="n">
        <v>0</v>
      </c>
      <c r="AF1767" s="21" t="n">
        <v>0</v>
      </c>
      <c r="AG1767" s="21" t="n">
        <v>0</v>
      </c>
      <c r="AH1767" s="21" t="n">
        <v>0</v>
      </c>
      <c r="AI1767" s="21" t="n">
        <v>0</v>
      </c>
      <c r="AJ1767" s="21" t="n">
        <v>0</v>
      </c>
      <c r="AK1767" s="21" t="n">
        <v>0</v>
      </c>
      <c r="AL1767" s="21" t="n">
        <v>0</v>
      </c>
      <c r="AM1767" s="21" t="n">
        <v>0</v>
      </c>
      <c r="AN1767" s="21" t="n">
        <v>0</v>
      </c>
      <c r="AO1767" s="21" t="n">
        <v>0</v>
      </c>
      <c r="AP1767" s="21">
        <f>-$B$18</f>
        <v/>
      </c>
      <c r="AQ1767" s="21">
        <f>-$B$19</f>
        <v/>
      </c>
      <c r="AR1767" s="21">
        <f>$B$18+$D$1725</f>
        <v/>
      </c>
      <c r="AS1767" s="21">
        <f>-$B$19</f>
        <v/>
      </c>
      <c r="AT1767" s="19" t="n"/>
    </row>
    <row r="1768">
      <c r="D1768" s="21" t="n">
        <v>0</v>
      </c>
      <c r="E1768" s="21" t="n">
        <v>0</v>
      </c>
      <c r="F1768" s="21" t="n">
        <v>0</v>
      </c>
      <c r="G1768" s="21" t="n">
        <v>0</v>
      </c>
      <c r="H1768" s="21" t="n">
        <v>0</v>
      </c>
      <c r="I1768" s="21" t="n">
        <v>0</v>
      </c>
      <c r="J1768" s="21" t="n">
        <v>0</v>
      </c>
      <c r="K1768" s="21" t="n">
        <v>0</v>
      </c>
      <c r="L1768" s="21" t="n">
        <v>0</v>
      </c>
      <c r="M1768" s="21" t="n">
        <v>0</v>
      </c>
      <c r="N1768" s="21" t="n">
        <v>0</v>
      </c>
      <c r="O1768" s="21" t="n">
        <v>0</v>
      </c>
      <c r="P1768" s="21" t="n">
        <v>0</v>
      </c>
      <c r="Q1768" s="21" t="n">
        <v>0</v>
      </c>
      <c r="R1768" s="21" t="n">
        <v>0</v>
      </c>
      <c r="S1768" s="21" t="n">
        <v>0</v>
      </c>
      <c r="T1768" s="21" t="n">
        <v>0</v>
      </c>
      <c r="U1768" s="21" t="n">
        <v>0</v>
      </c>
      <c r="V1768" s="21" t="n">
        <v>0</v>
      </c>
      <c r="W1768" s="21" t="n">
        <v>0</v>
      </c>
      <c r="X1768" s="21" t="n">
        <v>0</v>
      </c>
      <c r="Y1768" s="21" t="n">
        <v>0</v>
      </c>
      <c r="Z1768" s="21" t="n">
        <v>0</v>
      </c>
      <c r="AA1768" s="21" t="n">
        <v>0</v>
      </c>
      <c r="AB1768" s="21" t="n">
        <v>0</v>
      </c>
      <c r="AC1768" s="21" t="n">
        <v>0</v>
      </c>
      <c r="AD1768" s="21" t="n">
        <v>0</v>
      </c>
      <c r="AE1768" s="21" t="n">
        <v>0</v>
      </c>
      <c r="AF1768" s="21" t="n">
        <v>0</v>
      </c>
      <c r="AG1768" s="21" t="n">
        <v>0</v>
      </c>
      <c r="AH1768" s="21" t="n">
        <v>0</v>
      </c>
      <c r="AI1768" s="21" t="n">
        <v>0</v>
      </c>
      <c r="AJ1768" s="21" t="n">
        <v>0</v>
      </c>
      <c r="AK1768" s="21" t="n">
        <v>0</v>
      </c>
      <c r="AL1768" s="21" t="n">
        <v>0</v>
      </c>
      <c r="AM1768" s="21" t="n">
        <v>0</v>
      </c>
      <c r="AN1768" s="21" t="n">
        <v>0</v>
      </c>
      <c r="AO1768" s="21" t="n">
        <v>0</v>
      </c>
      <c r="AP1768" s="21">
        <f>$B$19</f>
        <v/>
      </c>
      <c r="AQ1768" s="21">
        <f>$B$21</f>
        <v/>
      </c>
      <c r="AR1768" s="21">
        <f>-$B$19</f>
        <v/>
      </c>
      <c r="AS1768" s="21">
        <f>$B$20</f>
        <v/>
      </c>
      <c r="AT1768" s="19" t="n"/>
    </row>
    <row r="1771">
      <c r="D1771" s="18" t="inlineStr">
        <is>
          <t>e</t>
        </is>
      </c>
      <c r="E1771" s="18" t="inlineStr">
        <is>
          <t>y_e</t>
        </is>
      </c>
      <c r="F1771" s="18" t="inlineStr">
        <is>
          <t>theta_e</t>
        </is>
      </c>
      <c r="G1771" s="18" t="inlineStr">
        <is>
          <t>y_e+1</t>
        </is>
      </c>
      <c r="H1771" s="18" t="inlineStr">
        <is>
          <t>theta_e+1</t>
        </is>
      </c>
      <c r="I1771" s="18" t="inlineStr">
        <is>
          <t>fe1</t>
        </is>
      </c>
      <c r="J1771" s="18" t="inlineStr">
        <is>
          <t>fe3</t>
        </is>
      </c>
      <c r="K1771" s="18" t="inlineStr">
        <is>
          <t>M (kN*m)</t>
        </is>
      </c>
    </row>
    <row r="1772">
      <c r="D1772" t="n">
        <v>0</v>
      </c>
      <c r="E1772" s="19">
        <f>$E$1705</f>
        <v/>
      </c>
      <c r="F1772" s="19">
        <f>$F$1705</f>
        <v/>
      </c>
      <c r="G1772" s="19">
        <f>$E$1706</f>
        <v/>
      </c>
      <c r="H1772" s="19">
        <f>$F$1706</f>
        <v/>
      </c>
      <c r="I1772" s="19">
        <f>$B$19*$E$1772+$B$20*$F$1772-$B$19*$G$1772+$B$21*$H$1772</f>
        <v/>
      </c>
      <c r="J1772" s="19">
        <f>$B$19*$E$1772+$B$21*$F$1772-$B$19*$G$1772+$B$20*$H$1772</f>
        <v/>
      </c>
      <c r="K1772" s="21">
        <f>-$I$1772</f>
        <v/>
      </c>
    </row>
    <row r="1773">
      <c r="D1773" t="n">
        <v>1</v>
      </c>
      <c r="E1773" s="19">
        <f>$E$1706</f>
        <v/>
      </c>
      <c r="F1773" s="19">
        <f>$F$1706</f>
        <v/>
      </c>
      <c r="G1773" s="19">
        <f>$E$1707</f>
        <v/>
      </c>
      <c r="H1773" s="19">
        <f>$F$1707</f>
        <v/>
      </c>
      <c r="I1773" s="19">
        <f>$B$19*$E$1773+$B$20*$F$1773-$B$19*$G$1773+$B$21*$H$1773</f>
        <v/>
      </c>
      <c r="J1773" s="19">
        <f>$B$19*$E$1773+$B$21*$F$1773-$B$19*$G$1773+$B$20*$H$1773</f>
        <v/>
      </c>
      <c r="K1773" s="21">
        <f>($J$1772-$I$1773)/2</f>
        <v/>
      </c>
    </row>
    <row r="1774">
      <c r="D1774" t="n">
        <v>2</v>
      </c>
      <c r="E1774" s="19">
        <f>$E$1707</f>
        <v/>
      </c>
      <c r="F1774" s="19">
        <f>$F$1707</f>
        <v/>
      </c>
      <c r="G1774" s="19">
        <f>$E$1708</f>
        <v/>
      </c>
      <c r="H1774" s="19">
        <f>$F$1708</f>
        <v/>
      </c>
      <c r="I1774" s="19">
        <f>$B$19*$E$1774+$B$20*$F$1774-$B$19*$G$1774+$B$21*$H$1774</f>
        <v/>
      </c>
      <c r="J1774" s="19">
        <f>$B$19*$E$1774+$B$21*$F$1774-$B$19*$G$1774+$B$20*$H$1774</f>
        <v/>
      </c>
      <c r="K1774" s="21">
        <f>($J$1773-$I$1774)/2</f>
        <v/>
      </c>
    </row>
    <row r="1775">
      <c r="D1775" t="n">
        <v>3</v>
      </c>
      <c r="E1775" s="19">
        <f>$E$1708</f>
        <v/>
      </c>
      <c r="F1775" s="19">
        <f>$F$1708</f>
        <v/>
      </c>
      <c r="G1775" s="19">
        <f>$E$1709</f>
        <v/>
      </c>
      <c r="H1775" s="19">
        <f>$F$1709</f>
        <v/>
      </c>
      <c r="I1775" s="19">
        <f>$B$19*$E$1775+$B$20*$F$1775-$B$19*$G$1775+$B$21*$H$1775</f>
        <v/>
      </c>
      <c r="J1775" s="19">
        <f>$B$19*$E$1775+$B$21*$F$1775-$B$19*$G$1775+$B$20*$H$1775</f>
        <v/>
      </c>
      <c r="K1775" s="21">
        <f>($J$1774-$I$1775)/2</f>
        <v/>
      </c>
    </row>
    <row r="1776">
      <c r="D1776" t="n">
        <v>4</v>
      </c>
      <c r="E1776" s="19">
        <f>$E$1709</f>
        <v/>
      </c>
      <c r="F1776" s="19">
        <f>$F$1709</f>
        <v/>
      </c>
      <c r="G1776" s="19">
        <f>$E$1710</f>
        <v/>
      </c>
      <c r="H1776" s="19">
        <f>$F$1710</f>
        <v/>
      </c>
      <c r="I1776" s="19">
        <f>$B$19*$E$1776+$B$20*$F$1776-$B$19*$G$1776+$B$21*$H$1776</f>
        <v/>
      </c>
      <c r="J1776" s="19">
        <f>$B$19*$E$1776+$B$21*$F$1776-$B$19*$G$1776+$B$20*$H$1776</f>
        <v/>
      </c>
      <c r="K1776" s="21">
        <f>($J$1775-$I$1776)/2</f>
        <v/>
      </c>
    </row>
    <row r="1777">
      <c r="D1777" t="n">
        <v>5</v>
      </c>
      <c r="E1777" s="19">
        <f>$E$1710</f>
        <v/>
      </c>
      <c r="F1777" s="19">
        <f>$F$1710</f>
        <v/>
      </c>
      <c r="G1777" s="19">
        <f>$E$1711</f>
        <v/>
      </c>
      <c r="H1777" s="19">
        <f>$F$1711</f>
        <v/>
      </c>
      <c r="I1777" s="19">
        <f>$B$19*$E$1777+$B$20*$F$1777-$B$19*$G$1777+$B$21*$H$1777</f>
        <v/>
      </c>
      <c r="J1777" s="19">
        <f>$B$19*$E$1777+$B$21*$F$1777-$B$19*$G$1777+$B$20*$H$1777</f>
        <v/>
      </c>
      <c r="K1777" s="21">
        <f>($J$1776-$I$1777)/2</f>
        <v/>
      </c>
    </row>
    <row r="1778">
      <c r="D1778" t="n">
        <v>6</v>
      </c>
      <c r="E1778" s="19">
        <f>$E$1711</f>
        <v/>
      </c>
      <c r="F1778" s="19">
        <f>$F$1711</f>
        <v/>
      </c>
      <c r="G1778" s="19">
        <f>$E$1712</f>
        <v/>
      </c>
      <c r="H1778" s="19">
        <f>$F$1712</f>
        <v/>
      </c>
      <c r="I1778" s="19">
        <f>$B$19*$E$1778+$B$20*$F$1778-$B$19*$G$1778+$B$21*$H$1778</f>
        <v/>
      </c>
      <c r="J1778" s="19">
        <f>$B$19*$E$1778+$B$21*$F$1778-$B$19*$G$1778+$B$20*$H$1778</f>
        <v/>
      </c>
      <c r="K1778" s="21">
        <f>($J$1777-$I$1778)/2</f>
        <v/>
      </c>
    </row>
    <row r="1779">
      <c r="D1779" t="n">
        <v>7</v>
      </c>
      <c r="E1779" s="19">
        <f>$E$1712</f>
        <v/>
      </c>
      <c r="F1779" s="19">
        <f>$F$1712</f>
        <v/>
      </c>
      <c r="G1779" s="19">
        <f>$E$1713</f>
        <v/>
      </c>
      <c r="H1779" s="19">
        <f>$F$1713</f>
        <v/>
      </c>
      <c r="I1779" s="19">
        <f>$B$19*$E$1779+$B$20*$F$1779-$B$19*$G$1779+$B$21*$H$1779</f>
        <v/>
      </c>
      <c r="J1779" s="19">
        <f>$B$19*$E$1779+$B$21*$F$1779-$B$19*$G$1779+$B$20*$H$1779</f>
        <v/>
      </c>
      <c r="K1779" s="21">
        <f>($J$1778-$I$1779)/2</f>
        <v/>
      </c>
    </row>
    <row r="1780">
      <c r="D1780" t="n">
        <v>8</v>
      </c>
      <c r="E1780" s="19">
        <f>$E$1713</f>
        <v/>
      </c>
      <c r="F1780" s="19">
        <f>$F$1713</f>
        <v/>
      </c>
      <c r="G1780" s="19">
        <f>$E$1714</f>
        <v/>
      </c>
      <c r="H1780" s="19">
        <f>$F$1714</f>
        <v/>
      </c>
      <c r="I1780" s="19">
        <f>$B$19*$E$1780+$B$20*$F$1780-$B$19*$G$1780+$B$21*$H$1780</f>
        <v/>
      </c>
      <c r="J1780" s="19">
        <f>$B$19*$E$1780+$B$21*$F$1780-$B$19*$G$1780+$B$20*$H$1780</f>
        <v/>
      </c>
      <c r="K1780" s="21">
        <f>($J$1779-$I$1780)/2</f>
        <v/>
      </c>
    </row>
    <row r="1781">
      <c r="D1781" t="n">
        <v>9</v>
      </c>
      <c r="E1781" s="19">
        <f>$E$1714</f>
        <v/>
      </c>
      <c r="F1781" s="19">
        <f>$F$1714</f>
        <v/>
      </c>
      <c r="G1781" s="19">
        <f>$E$1715</f>
        <v/>
      </c>
      <c r="H1781" s="19">
        <f>$F$1715</f>
        <v/>
      </c>
      <c r="I1781" s="19">
        <f>$B$19*$E$1781+$B$20*$F$1781-$B$19*$G$1781+$B$21*$H$1781</f>
        <v/>
      </c>
      <c r="J1781" s="19">
        <f>$B$19*$E$1781+$B$21*$F$1781-$B$19*$G$1781+$B$20*$H$1781</f>
        <v/>
      </c>
      <c r="K1781" s="21">
        <f>($J$1780-$I$1781)/2</f>
        <v/>
      </c>
    </row>
    <row r="1782">
      <c r="D1782" t="n">
        <v>10</v>
      </c>
      <c r="E1782" s="19">
        <f>$E$1715</f>
        <v/>
      </c>
      <c r="F1782" s="19">
        <f>$F$1715</f>
        <v/>
      </c>
      <c r="G1782" s="19">
        <f>$E$1716</f>
        <v/>
      </c>
      <c r="H1782" s="19">
        <f>$F$1716</f>
        <v/>
      </c>
      <c r="I1782" s="19">
        <f>$B$19*$E$1782+$B$20*$F$1782-$B$19*$G$1782+$B$21*$H$1782</f>
        <v/>
      </c>
      <c r="J1782" s="19">
        <f>$B$19*$E$1782+$B$21*$F$1782-$B$19*$G$1782+$B$20*$H$1782</f>
        <v/>
      </c>
      <c r="K1782" s="21">
        <f>($J$1781-$I$1782)/2</f>
        <v/>
      </c>
    </row>
    <row r="1783">
      <c r="D1783" t="n">
        <v>11</v>
      </c>
      <c r="E1783" s="19">
        <f>$E$1716</f>
        <v/>
      </c>
      <c r="F1783" s="19">
        <f>$F$1716</f>
        <v/>
      </c>
      <c r="G1783" s="19">
        <f>$E$1717</f>
        <v/>
      </c>
      <c r="H1783" s="19">
        <f>$F$1717</f>
        <v/>
      </c>
      <c r="I1783" s="19">
        <f>$B$19*$E$1783+$B$20*$F$1783-$B$19*$G$1783+$B$21*$H$1783</f>
        <v/>
      </c>
      <c r="J1783" s="19">
        <f>$B$19*$E$1783+$B$21*$F$1783-$B$19*$G$1783+$B$20*$H$1783</f>
        <v/>
      </c>
      <c r="K1783" s="21">
        <f>($J$1782-$I$1783)/2</f>
        <v/>
      </c>
    </row>
    <row r="1784">
      <c r="D1784" t="n">
        <v>12</v>
      </c>
      <c r="E1784" s="19">
        <f>$E$1717</f>
        <v/>
      </c>
      <c r="F1784" s="19">
        <f>$F$1717</f>
        <v/>
      </c>
      <c r="G1784" s="19">
        <f>$E$1718</f>
        <v/>
      </c>
      <c r="H1784" s="19">
        <f>$F$1718</f>
        <v/>
      </c>
      <c r="I1784" s="19">
        <f>$B$19*$E$1784+$B$20*$F$1784-$B$19*$G$1784+$B$21*$H$1784</f>
        <v/>
      </c>
      <c r="J1784" s="19">
        <f>$B$19*$E$1784+$B$21*$F$1784-$B$19*$G$1784+$B$20*$H$1784</f>
        <v/>
      </c>
      <c r="K1784" s="21">
        <f>($J$1783-$I$1784)/2</f>
        <v/>
      </c>
    </row>
    <row r="1785">
      <c r="D1785" t="n">
        <v>13</v>
      </c>
      <c r="E1785" s="19">
        <f>$E$1718</f>
        <v/>
      </c>
      <c r="F1785" s="19">
        <f>$F$1718</f>
        <v/>
      </c>
      <c r="G1785" s="19">
        <f>$E$1719</f>
        <v/>
      </c>
      <c r="H1785" s="19">
        <f>$F$1719</f>
        <v/>
      </c>
      <c r="I1785" s="19">
        <f>$B$19*$E$1785+$B$20*$F$1785-$B$19*$G$1785+$B$21*$H$1785</f>
        <v/>
      </c>
      <c r="J1785" s="19">
        <f>$B$19*$E$1785+$B$21*$F$1785-$B$19*$G$1785+$B$20*$H$1785</f>
        <v/>
      </c>
      <c r="K1785" s="21">
        <f>($J$1784-$I$1785)/2</f>
        <v/>
      </c>
    </row>
    <row r="1786">
      <c r="D1786" t="n">
        <v>14</v>
      </c>
      <c r="E1786" s="19">
        <f>$E$1719</f>
        <v/>
      </c>
      <c r="F1786" s="19">
        <f>$F$1719</f>
        <v/>
      </c>
      <c r="G1786" s="19">
        <f>$E$1720</f>
        <v/>
      </c>
      <c r="H1786" s="19">
        <f>$F$1720</f>
        <v/>
      </c>
      <c r="I1786" s="19">
        <f>$B$19*$E$1786+$B$20*$F$1786-$B$19*$G$1786+$B$21*$H$1786</f>
        <v/>
      </c>
      <c r="J1786" s="19">
        <f>$B$19*$E$1786+$B$21*$F$1786-$B$19*$G$1786+$B$20*$H$1786</f>
        <v/>
      </c>
      <c r="K1786" s="21">
        <f>($J$1785-$I$1786)/2</f>
        <v/>
      </c>
    </row>
    <row r="1787">
      <c r="D1787" t="n">
        <v>15</v>
      </c>
      <c r="E1787" s="19">
        <f>$E$1720</f>
        <v/>
      </c>
      <c r="F1787" s="19">
        <f>$F$1720</f>
        <v/>
      </c>
      <c r="G1787" s="19">
        <f>$E$1721</f>
        <v/>
      </c>
      <c r="H1787" s="19">
        <f>$F$1721</f>
        <v/>
      </c>
      <c r="I1787" s="19">
        <f>$B$19*$E$1787+$B$20*$F$1787-$B$19*$G$1787+$B$21*$H$1787</f>
        <v/>
      </c>
      <c r="J1787" s="19">
        <f>$B$19*$E$1787+$B$21*$F$1787-$B$19*$G$1787+$B$20*$H$1787</f>
        <v/>
      </c>
      <c r="K1787" s="21">
        <f>($J$1786-$I$1787)/2</f>
        <v/>
      </c>
    </row>
    <row r="1788">
      <c r="D1788" t="n">
        <v>16</v>
      </c>
      <c r="E1788" s="19">
        <f>$E$1721</f>
        <v/>
      </c>
      <c r="F1788" s="19">
        <f>$F$1721</f>
        <v/>
      </c>
      <c r="G1788" s="19">
        <f>$E$1722</f>
        <v/>
      </c>
      <c r="H1788" s="19">
        <f>$F$1722</f>
        <v/>
      </c>
      <c r="I1788" s="19">
        <f>$B$19*$E$1788+$B$20*$F$1788-$B$19*$G$1788+$B$21*$H$1788</f>
        <v/>
      </c>
      <c r="J1788" s="19">
        <f>$B$19*$E$1788+$B$21*$F$1788-$B$19*$G$1788+$B$20*$H$1788</f>
        <v/>
      </c>
      <c r="K1788" s="21">
        <f>($J$1787-$I$1788)/2</f>
        <v/>
      </c>
    </row>
    <row r="1789">
      <c r="D1789" t="n">
        <v>17</v>
      </c>
      <c r="E1789" s="19">
        <f>$E$1722</f>
        <v/>
      </c>
      <c r="F1789" s="19">
        <f>$F$1722</f>
        <v/>
      </c>
      <c r="G1789" s="19">
        <f>$E$1723</f>
        <v/>
      </c>
      <c r="H1789" s="19">
        <f>$F$1723</f>
        <v/>
      </c>
      <c r="I1789" s="19">
        <f>$B$19*$E$1789+$B$20*$F$1789-$B$19*$G$1789+$B$21*$H$1789</f>
        <v/>
      </c>
      <c r="J1789" s="19">
        <f>$B$19*$E$1789+$B$21*$F$1789-$B$19*$G$1789+$B$20*$H$1789</f>
        <v/>
      </c>
      <c r="K1789" s="21">
        <f>($J$1788-$I$1789)/2</f>
        <v/>
      </c>
    </row>
    <row r="1790">
      <c r="D1790" t="n">
        <v>18</v>
      </c>
      <c r="E1790" s="19">
        <f>$E$1723</f>
        <v/>
      </c>
      <c r="F1790" s="19">
        <f>$F$1723</f>
        <v/>
      </c>
      <c r="G1790" s="19">
        <f>$E$1724</f>
        <v/>
      </c>
      <c r="H1790" s="19">
        <f>$F$1724</f>
        <v/>
      </c>
      <c r="I1790" s="19">
        <f>$B$19*$E$1790+$B$20*$F$1790-$B$19*$G$1790+$B$21*$H$1790</f>
        <v/>
      </c>
      <c r="J1790" s="19">
        <f>$B$19*$E$1790+$B$21*$F$1790-$B$19*$G$1790+$B$20*$H$1790</f>
        <v/>
      </c>
      <c r="K1790" s="21">
        <f>($J$1789-$I$1790)/2</f>
        <v/>
      </c>
    </row>
    <row r="1791">
      <c r="D1791" t="n">
        <v>19</v>
      </c>
      <c r="E1791" s="19">
        <f>$E$1724</f>
        <v/>
      </c>
      <c r="F1791" s="19">
        <f>$F$1724</f>
        <v/>
      </c>
      <c r="G1791" s="19">
        <f>$E$1725</f>
        <v/>
      </c>
      <c r="H1791" s="19">
        <f>$F$1725</f>
        <v/>
      </c>
      <c r="I1791" s="19">
        <f>$B$19*$E$1791+$B$20*$F$1791-$B$19*$G$1791+$B$21*$H$1791</f>
        <v/>
      </c>
      <c r="J1791" s="19">
        <f>$B$19*$E$1791+$B$21*$F$1791-$B$19*$G$1791+$B$20*$H$1791</f>
        <v/>
      </c>
      <c r="K1791" s="21">
        <f>($J$1790-$I$1791)/2</f>
        <v/>
      </c>
    </row>
    <row r="1792">
      <c r="K1792" s="21">
        <f>$J$1791</f>
        <v/>
      </c>
    </row>
    <row r="1794">
      <c r="A1794" s="12" t="inlineStr">
        <is>
          <t>y_gl (mm)</t>
        </is>
      </c>
      <c r="B1794" s="22">
        <f>$E$1705*1000</f>
        <v/>
      </c>
    </row>
    <row r="1795">
      <c r="A1795" s="12" t="inlineStr">
        <is>
          <t>theta_gl (deg)</t>
        </is>
      </c>
      <c r="B1795" s="23">
        <f>DEGREES($F$1705)</f>
        <v/>
      </c>
    </row>
    <row r="1796">
      <c r="A1796" s="12" t="inlineStr">
        <is>
          <t>M_max (kN*m)</t>
        </is>
      </c>
      <c r="B1796" s="22">
        <f t="array" ref="B1796">MAX(ABS($K$1772:$K$1792))</f>
        <v/>
      </c>
    </row>
    <row r="1799">
      <c r="A1799" s="2" t="inlineStr">
        <is>
          <t>STRENGTH CASE (n=20 elements, 25 unrolled iterations) -- eq. 5.3, M_max feeds Step 6</t>
        </is>
      </c>
    </row>
    <row r="1801">
      <c r="A1801" s="6" t="inlineStr">
        <is>
          <t>V (kN)</t>
        </is>
      </c>
      <c r="B1801" s="20">
        <f>'1-Loads'!$D$38</f>
        <v/>
      </c>
      <c r="C1801" s="8" t="inlineStr">
        <is>
          <t>kN</t>
        </is>
      </c>
    </row>
    <row r="1802">
      <c r="A1802" s="6" t="inlineStr">
        <is>
          <t>M (kN*m)</t>
        </is>
      </c>
      <c r="B1802" s="20">
        <f>-'1-Loads'!$D$39</f>
        <v/>
      </c>
      <c r="C1802" s="8" t="inlineStr">
        <is>
          <t>kN*m</t>
        </is>
      </c>
    </row>
    <row r="1803">
      <c r="A1803" s="6" t="inlineStr">
        <is>
          <t>D_shaft</t>
        </is>
      </c>
      <c r="B1803" s="20">
        <f>'3-Sizing'!$D$10</f>
        <v/>
      </c>
      <c r="C1803" s="8" t="inlineStr">
        <is>
          <t>m</t>
        </is>
      </c>
    </row>
    <row r="1804">
      <c r="A1804" s="6" t="inlineStr">
        <is>
          <t>t (corroded)</t>
        </is>
      </c>
      <c r="B1804" s="20">
        <f>'7-Corrosion'!$D$19/1000</f>
        <v/>
      </c>
      <c r="C1804" s="8" t="inlineStr">
        <is>
          <t>m</t>
        </is>
      </c>
    </row>
    <row r="1805">
      <c r="A1805" s="6" t="inlineStr">
        <is>
          <t>E, steel</t>
        </is>
      </c>
      <c r="B1805" s="20">
        <f>200000000</f>
        <v/>
      </c>
      <c r="C1805" s="8" t="inlineStr">
        <is>
          <t>kPa</t>
        </is>
      </c>
    </row>
    <row r="1806">
      <c r="A1806" s="6" t="inlineStr">
        <is>
          <t>I (pipe)</t>
        </is>
      </c>
      <c r="B1806" s="20">
        <f>PI()/64*($B$1803^4-($B$1803-2*$B$1804)^4)</f>
        <v/>
      </c>
      <c r="C1806" s="8" t="inlineStr">
        <is>
          <t>m^4</t>
        </is>
      </c>
    </row>
    <row r="1807">
      <c r="A1807" s="6" t="inlineStr">
        <is>
          <t>EI</t>
        </is>
      </c>
      <c r="B1807" s="20">
        <f>$B$1805*$B$1806</f>
        <v/>
      </c>
      <c r="C1807" s="8" t="inlineStr">
        <is>
          <t>kN*m^2</t>
        </is>
      </c>
    </row>
    <row r="1808">
      <c r="A1808" s="6" t="inlineStr">
        <is>
          <t>L, embedded length</t>
        </is>
      </c>
      <c r="B1808" s="20">
        <f>'3-Sizing'!$D$25</f>
        <v/>
      </c>
      <c r="C1808" s="8" t="inlineStr">
        <is>
          <t>m</t>
        </is>
      </c>
    </row>
    <row r="1809">
      <c r="A1809" s="6" t="inlineStr">
        <is>
          <t>n_elements</t>
        </is>
      </c>
      <c r="B1809" s="20" t="n">
        <v>20</v>
      </c>
      <c r="C1809" s="8" t="inlineStr">
        <is>
          <t>-</t>
        </is>
      </c>
    </row>
    <row r="1810">
      <c r="A1810" s="6" t="inlineStr">
        <is>
          <t>h = L/n</t>
        </is>
      </c>
      <c r="B1810" s="20">
        <f>$B$1808/$B$1809</f>
        <v/>
      </c>
      <c r="C1810" s="8" t="inlineStr">
        <is>
          <t>m</t>
        </is>
      </c>
    </row>
    <row r="1811">
      <c r="A1811" s="6" t="inlineStr">
        <is>
          <t>a = 12EI/h^3</t>
        </is>
      </c>
      <c r="B1811" s="20">
        <f>12*$B$1807/$B$1810^3</f>
        <v/>
      </c>
    </row>
    <row r="1812">
      <c r="A1812" s="6" t="inlineStr">
        <is>
          <t>b = 6EI/h^2</t>
        </is>
      </c>
      <c r="B1812" s="20">
        <f>6*$B$1807/$B$1810^2</f>
        <v/>
      </c>
    </row>
    <row r="1813">
      <c r="A1813" s="6" t="inlineStr">
        <is>
          <t>c = 4EI/h</t>
        </is>
      </c>
      <c r="B1813" s="20">
        <f>4*$B$1807/$B$1810</f>
        <v/>
      </c>
    </row>
    <row r="1814">
      <c r="A1814" s="6" t="inlineStr">
        <is>
          <t>d = 2EI/h</t>
        </is>
      </c>
      <c r="B1814" s="20">
        <f>2*$B$1807/$B$1810</f>
        <v/>
      </c>
    </row>
    <row r="1815">
      <c r="A1815" s="6" t="inlineStr">
        <is>
          <t>Su</t>
        </is>
      </c>
      <c r="B1815" s="20">
        <f>'2-Geotech'!$D$15</f>
        <v/>
      </c>
      <c r="C1815" s="8" t="inlineStr">
        <is>
          <t>kPa</t>
        </is>
      </c>
    </row>
    <row r="1816">
      <c r="A1816" s="6" t="inlineStr">
        <is>
          <t>gamma</t>
        </is>
      </c>
      <c r="B1816" s="20">
        <f>'2-Geotech'!$D$20</f>
        <v/>
      </c>
      <c r="C1816" s="8" t="inlineStr">
        <is>
          <t>kN/m3</t>
        </is>
      </c>
    </row>
    <row r="1817">
      <c r="A1817" s="6" t="inlineStr">
        <is>
          <t>gamma_sub</t>
        </is>
      </c>
      <c r="B1817" s="20">
        <f>'2-Geotech'!$D$22</f>
        <v/>
      </c>
      <c r="C1817" s="8" t="inlineStr">
        <is>
          <t>kN/m3</t>
        </is>
      </c>
    </row>
    <row r="1818">
      <c r="A1818" s="6" t="inlineStr">
        <is>
          <t>GWT depth</t>
        </is>
      </c>
      <c r="B1818" s="20">
        <f>'2-Geotech'!$D$23</f>
        <v/>
      </c>
      <c r="C1818" s="8" t="inlineStr">
        <is>
          <t>m</t>
        </is>
      </c>
    </row>
    <row r="1819">
      <c r="A1819" s="6" t="inlineStr">
        <is>
          <t>eps50</t>
        </is>
      </c>
      <c r="B1819" s="20">
        <f>'2-Geotech'!$D$18</f>
        <v/>
      </c>
      <c r="C1819" s="8" t="inlineStr">
        <is>
          <t>-</t>
        </is>
      </c>
    </row>
    <row r="1820">
      <c r="A1820" s="6" t="inlineStr">
        <is>
          <t>frost depth</t>
        </is>
      </c>
      <c r="B1820" s="20">
        <f>'2-Geotech'!$D$24</f>
        <v/>
      </c>
      <c r="C1820" s="8" t="inlineStr">
        <is>
          <t>m</t>
        </is>
      </c>
    </row>
    <row r="1821">
      <c r="A1821" s="6" t="inlineStr">
        <is>
          <t>J (Matlock)</t>
        </is>
      </c>
      <c r="B1821" s="20" t="n">
        <v>0.5</v>
      </c>
      <c r="C1821" s="8" t="inlineStr">
        <is>
          <t>-</t>
        </is>
      </c>
    </row>
    <row r="1822">
      <c r="A1822" s="6" t="inlineStr">
        <is>
          <t>y50 = 2.5*eps50*D</t>
        </is>
      </c>
      <c r="B1822" s="20">
        <f>2.5*$B$1819*$B$1803</f>
        <v/>
      </c>
      <c r="C1822" s="8" t="inlineStr">
        <is>
          <t>m</t>
        </is>
      </c>
    </row>
    <row r="1823">
      <c r="A1823" s="6" t="inlineStr">
        <is>
          <t>n_generations (unrolled iterations)</t>
        </is>
      </c>
      <c r="B1823" s="20" t="n">
        <v>25</v>
      </c>
      <c r="C1823" s="8" t="inlineStr">
        <is>
          <t>-</t>
        </is>
      </c>
    </row>
    <row r="1825">
      <c r="D1825" s="18" t="inlineStr">
        <is>
          <t>i</t>
        </is>
      </c>
      <c r="E1825" s="18" t="inlineStr">
        <is>
          <t>z (m)</t>
        </is>
      </c>
      <c r="F1825" s="18" t="inlineStr">
        <is>
          <t>sigma_v (kPa)</t>
        </is>
      </c>
      <c r="G1825" s="18" t="inlineStr">
        <is>
          <t>Np</t>
        </is>
      </c>
      <c r="H1825" s="18" t="inlineStr">
        <is>
          <t>pu (kN/m)</t>
        </is>
      </c>
      <c r="I1825" s="18" t="inlineStr">
        <is>
          <t>trib (m)</t>
        </is>
      </c>
    </row>
    <row r="1826">
      <c r="D1826" t="n">
        <v>0</v>
      </c>
      <c r="E1826" s="19">
        <f>$D$1826*$B$1810</f>
        <v/>
      </c>
      <c r="F1826" s="19">
        <f>IF($E$1826&lt;=$B$1818,$B$1816*$E$1826,$B$1816*$B$1818+$B$1817*($E$1826-$B$1818))</f>
        <v/>
      </c>
      <c r="G1826" s="19">
        <f>MIN(3+$F$1826/$B$1815+$B$1821*$E$1826/$B$1803,9)</f>
        <v/>
      </c>
      <c r="H1826" s="19">
        <f>$G$1826*$B$1815*$B$1803</f>
        <v/>
      </c>
      <c r="I1826" s="19">
        <f>IF(OR($D$1826=0,$D$1826=$B$1809),$B$1810/2,$B$1810)</f>
        <v/>
      </c>
    </row>
    <row r="1827">
      <c r="D1827" t="n">
        <v>1</v>
      </c>
      <c r="E1827" s="19">
        <f>$D$1827*$B$1810</f>
        <v/>
      </c>
      <c r="F1827" s="19">
        <f>IF($E$1827&lt;=$B$1818,$B$1816*$E$1827,$B$1816*$B$1818+$B$1817*($E$1827-$B$1818))</f>
        <v/>
      </c>
      <c r="G1827" s="19">
        <f>MIN(3+$F$1827/$B$1815+$B$1821*$E$1827/$B$1803,9)</f>
        <v/>
      </c>
      <c r="H1827" s="19">
        <f>$G$1827*$B$1815*$B$1803</f>
        <v/>
      </c>
      <c r="I1827" s="19">
        <f>IF(OR($D$1827=0,$D$1827=$B$1809),$B$1810/2,$B$1810)</f>
        <v/>
      </c>
    </row>
    <row r="1828">
      <c r="D1828" t="n">
        <v>2</v>
      </c>
      <c r="E1828" s="19">
        <f>$D$1828*$B$1810</f>
        <v/>
      </c>
      <c r="F1828" s="19">
        <f>IF($E$1828&lt;=$B$1818,$B$1816*$E$1828,$B$1816*$B$1818+$B$1817*($E$1828-$B$1818))</f>
        <v/>
      </c>
      <c r="G1828" s="19">
        <f>MIN(3+$F$1828/$B$1815+$B$1821*$E$1828/$B$1803,9)</f>
        <v/>
      </c>
      <c r="H1828" s="19">
        <f>$G$1828*$B$1815*$B$1803</f>
        <v/>
      </c>
      <c r="I1828" s="19">
        <f>IF(OR($D$1828=0,$D$1828=$B$1809),$B$1810/2,$B$1810)</f>
        <v/>
      </c>
    </row>
    <row r="1829">
      <c r="D1829" t="n">
        <v>3</v>
      </c>
      <c r="E1829" s="19">
        <f>$D$1829*$B$1810</f>
        <v/>
      </c>
      <c r="F1829" s="19">
        <f>IF($E$1829&lt;=$B$1818,$B$1816*$E$1829,$B$1816*$B$1818+$B$1817*($E$1829-$B$1818))</f>
        <v/>
      </c>
      <c r="G1829" s="19">
        <f>MIN(3+$F$1829/$B$1815+$B$1821*$E$1829/$B$1803,9)</f>
        <v/>
      </c>
      <c r="H1829" s="19">
        <f>$G$1829*$B$1815*$B$1803</f>
        <v/>
      </c>
      <c r="I1829" s="19">
        <f>IF(OR($D$1829=0,$D$1829=$B$1809),$B$1810/2,$B$1810)</f>
        <v/>
      </c>
    </row>
    <row r="1830">
      <c r="D1830" t="n">
        <v>4</v>
      </c>
      <c r="E1830" s="19">
        <f>$D$1830*$B$1810</f>
        <v/>
      </c>
      <c r="F1830" s="19">
        <f>IF($E$1830&lt;=$B$1818,$B$1816*$E$1830,$B$1816*$B$1818+$B$1817*($E$1830-$B$1818))</f>
        <v/>
      </c>
      <c r="G1830" s="19">
        <f>MIN(3+$F$1830/$B$1815+$B$1821*$E$1830/$B$1803,9)</f>
        <v/>
      </c>
      <c r="H1830" s="19">
        <f>$G$1830*$B$1815*$B$1803</f>
        <v/>
      </c>
      <c r="I1830" s="19">
        <f>IF(OR($D$1830=0,$D$1830=$B$1809),$B$1810/2,$B$1810)</f>
        <v/>
      </c>
    </row>
    <row r="1831">
      <c r="D1831" t="n">
        <v>5</v>
      </c>
      <c r="E1831" s="19">
        <f>$D$1831*$B$1810</f>
        <v/>
      </c>
      <c r="F1831" s="19">
        <f>IF($E$1831&lt;=$B$1818,$B$1816*$E$1831,$B$1816*$B$1818+$B$1817*($E$1831-$B$1818))</f>
        <v/>
      </c>
      <c r="G1831" s="19">
        <f>MIN(3+$F$1831/$B$1815+$B$1821*$E$1831/$B$1803,9)</f>
        <v/>
      </c>
      <c r="H1831" s="19">
        <f>$G$1831*$B$1815*$B$1803</f>
        <v/>
      </c>
      <c r="I1831" s="19">
        <f>IF(OR($D$1831=0,$D$1831=$B$1809),$B$1810/2,$B$1810)</f>
        <v/>
      </c>
    </row>
    <row r="1832">
      <c r="D1832" t="n">
        <v>6</v>
      </c>
      <c r="E1832" s="19">
        <f>$D$1832*$B$1810</f>
        <v/>
      </c>
      <c r="F1832" s="19">
        <f>IF($E$1832&lt;=$B$1818,$B$1816*$E$1832,$B$1816*$B$1818+$B$1817*($E$1832-$B$1818))</f>
        <v/>
      </c>
      <c r="G1832" s="19">
        <f>MIN(3+$F$1832/$B$1815+$B$1821*$E$1832/$B$1803,9)</f>
        <v/>
      </c>
      <c r="H1832" s="19">
        <f>$G$1832*$B$1815*$B$1803</f>
        <v/>
      </c>
      <c r="I1832" s="19">
        <f>IF(OR($D$1832=0,$D$1832=$B$1809),$B$1810/2,$B$1810)</f>
        <v/>
      </c>
    </row>
    <row r="1833">
      <c r="D1833" t="n">
        <v>7</v>
      </c>
      <c r="E1833" s="19">
        <f>$D$1833*$B$1810</f>
        <v/>
      </c>
      <c r="F1833" s="19">
        <f>IF($E$1833&lt;=$B$1818,$B$1816*$E$1833,$B$1816*$B$1818+$B$1817*($E$1833-$B$1818))</f>
        <v/>
      </c>
      <c r="G1833" s="19">
        <f>MIN(3+$F$1833/$B$1815+$B$1821*$E$1833/$B$1803,9)</f>
        <v/>
      </c>
      <c r="H1833" s="19">
        <f>$G$1833*$B$1815*$B$1803</f>
        <v/>
      </c>
      <c r="I1833" s="19">
        <f>IF(OR($D$1833=0,$D$1833=$B$1809),$B$1810/2,$B$1810)</f>
        <v/>
      </c>
    </row>
    <row r="1834">
      <c r="D1834" t="n">
        <v>8</v>
      </c>
      <c r="E1834" s="19">
        <f>$D$1834*$B$1810</f>
        <v/>
      </c>
      <c r="F1834" s="19">
        <f>IF($E$1834&lt;=$B$1818,$B$1816*$E$1834,$B$1816*$B$1818+$B$1817*($E$1834-$B$1818))</f>
        <v/>
      </c>
      <c r="G1834" s="19">
        <f>MIN(3+$F$1834/$B$1815+$B$1821*$E$1834/$B$1803,9)</f>
        <v/>
      </c>
      <c r="H1834" s="19">
        <f>$G$1834*$B$1815*$B$1803</f>
        <v/>
      </c>
      <c r="I1834" s="19">
        <f>IF(OR($D$1834=0,$D$1834=$B$1809),$B$1810/2,$B$1810)</f>
        <v/>
      </c>
    </row>
    <row r="1835">
      <c r="D1835" t="n">
        <v>9</v>
      </c>
      <c r="E1835" s="19">
        <f>$D$1835*$B$1810</f>
        <v/>
      </c>
      <c r="F1835" s="19">
        <f>IF($E$1835&lt;=$B$1818,$B$1816*$E$1835,$B$1816*$B$1818+$B$1817*($E$1835-$B$1818))</f>
        <v/>
      </c>
      <c r="G1835" s="19">
        <f>MIN(3+$F$1835/$B$1815+$B$1821*$E$1835/$B$1803,9)</f>
        <v/>
      </c>
      <c r="H1835" s="19">
        <f>$G$1835*$B$1815*$B$1803</f>
        <v/>
      </c>
      <c r="I1835" s="19">
        <f>IF(OR($D$1835=0,$D$1835=$B$1809),$B$1810/2,$B$1810)</f>
        <v/>
      </c>
    </row>
    <row r="1836">
      <c r="D1836" t="n">
        <v>10</v>
      </c>
      <c r="E1836" s="19">
        <f>$D$1836*$B$1810</f>
        <v/>
      </c>
      <c r="F1836" s="19">
        <f>IF($E$1836&lt;=$B$1818,$B$1816*$E$1836,$B$1816*$B$1818+$B$1817*($E$1836-$B$1818))</f>
        <v/>
      </c>
      <c r="G1836" s="19">
        <f>MIN(3+$F$1836/$B$1815+$B$1821*$E$1836/$B$1803,9)</f>
        <v/>
      </c>
      <c r="H1836" s="19">
        <f>$G$1836*$B$1815*$B$1803</f>
        <v/>
      </c>
      <c r="I1836" s="19">
        <f>IF(OR($D$1836=0,$D$1836=$B$1809),$B$1810/2,$B$1810)</f>
        <v/>
      </c>
    </row>
    <row r="1837">
      <c r="D1837" t="n">
        <v>11</v>
      </c>
      <c r="E1837" s="19">
        <f>$D$1837*$B$1810</f>
        <v/>
      </c>
      <c r="F1837" s="19">
        <f>IF($E$1837&lt;=$B$1818,$B$1816*$E$1837,$B$1816*$B$1818+$B$1817*($E$1837-$B$1818))</f>
        <v/>
      </c>
      <c r="G1837" s="19">
        <f>MIN(3+$F$1837/$B$1815+$B$1821*$E$1837/$B$1803,9)</f>
        <v/>
      </c>
      <c r="H1837" s="19">
        <f>$G$1837*$B$1815*$B$1803</f>
        <v/>
      </c>
      <c r="I1837" s="19">
        <f>IF(OR($D$1837=0,$D$1837=$B$1809),$B$1810/2,$B$1810)</f>
        <v/>
      </c>
    </row>
    <row r="1838">
      <c r="D1838" t="n">
        <v>12</v>
      </c>
      <c r="E1838" s="19">
        <f>$D$1838*$B$1810</f>
        <v/>
      </c>
      <c r="F1838" s="19">
        <f>IF($E$1838&lt;=$B$1818,$B$1816*$E$1838,$B$1816*$B$1818+$B$1817*($E$1838-$B$1818))</f>
        <v/>
      </c>
      <c r="G1838" s="19">
        <f>MIN(3+$F$1838/$B$1815+$B$1821*$E$1838/$B$1803,9)</f>
        <v/>
      </c>
      <c r="H1838" s="19">
        <f>$G$1838*$B$1815*$B$1803</f>
        <v/>
      </c>
      <c r="I1838" s="19">
        <f>IF(OR($D$1838=0,$D$1838=$B$1809),$B$1810/2,$B$1810)</f>
        <v/>
      </c>
    </row>
    <row r="1839">
      <c r="D1839" t="n">
        <v>13</v>
      </c>
      <c r="E1839" s="19">
        <f>$D$1839*$B$1810</f>
        <v/>
      </c>
      <c r="F1839" s="19">
        <f>IF($E$1839&lt;=$B$1818,$B$1816*$E$1839,$B$1816*$B$1818+$B$1817*($E$1839-$B$1818))</f>
        <v/>
      </c>
      <c r="G1839" s="19">
        <f>MIN(3+$F$1839/$B$1815+$B$1821*$E$1839/$B$1803,9)</f>
        <v/>
      </c>
      <c r="H1839" s="19">
        <f>$G$1839*$B$1815*$B$1803</f>
        <v/>
      </c>
      <c r="I1839" s="19">
        <f>IF(OR($D$1839=0,$D$1839=$B$1809),$B$1810/2,$B$1810)</f>
        <v/>
      </c>
    </row>
    <row r="1840">
      <c r="D1840" t="n">
        <v>14</v>
      </c>
      <c r="E1840" s="19">
        <f>$D$1840*$B$1810</f>
        <v/>
      </c>
      <c r="F1840" s="19">
        <f>IF($E$1840&lt;=$B$1818,$B$1816*$E$1840,$B$1816*$B$1818+$B$1817*($E$1840-$B$1818))</f>
        <v/>
      </c>
      <c r="G1840" s="19">
        <f>MIN(3+$F$1840/$B$1815+$B$1821*$E$1840/$B$1803,9)</f>
        <v/>
      </c>
      <c r="H1840" s="19">
        <f>$G$1840*$B$1815*$B$1803</f>
        <v/>
      </c>
      <c r="I1840" s="19">
        <f>IF(OR($D$1840=0,$D$1840=$B$1809),$B$1810/2,$B$1810)</f>
        <v/>
      </c>
    </row>
    <row r="1841">
      <c r="D1841" t="n">
        <v>15</v>
      </c>
      <c r="E1841" s="19">
        <f>$D$1841*$B$1810</f>
        <v/>
      </c>
      <c r="F1841" s="19">
        <f>IF($E$1841&lt;=$B$1818,$B$1816*$E$1841,$B$1816*$B$1818+$B$1817*($E$1841-$B$1818))</f>
        <v/>
      </c>
      <c r="G1841" s="19">
        <f>MIN(3+$F$1841/$B$1815+$B$1821*$E$1841/$B$1803,9)</f>
        <v/>
      </c>
      <c r="H1841" s="19">
        <f>$G$1841*$B$1815*$B$1803</f>
        <v/>
      </c>
      <c r="I1841" s="19">
        <f>IF(OR($D$1841=0,$D$1841=$B$1809),$B$1810/2,$B$1810)</f>
        <v/>
      </c>
    </row>
    <row r="1842">
      <c r="D1842" t="n">
        <v>16</v>
      </c>
      <c r="E1842" s="19">
        <f>$D$1842*$B$1810</f>
        <v/>
      </c>
      <c r="F1842" s="19">
        <f>IF($E$1842&lt;=$B$1818,$B$1816*$E$1842,$B$1816*$B$1818+$B$1817*($E$1842-$B$1818))</f>
        <v/>
      </c>
      <c r="G1842" s="19">
        <f>MIN(3+$F$1842/$B$1815+$B$1821*$E$1842/$B$1803,9)</f>
        <v/>
      </c>
      <c r="H1842" s="19">
        <f>$G$1842*$B$1815*$B$1803</f>
        <v/>
      </c>
      <c r="I1842" s="19">
        <f>IF(OR($D$1842=0,$D$1842=$B$1809),$B$1810/2,$B$1810)</f>
        <v/>
      </c>
    </row>
    <row r="1843">
      <c r="D1843" t="n">
        <v>17</v>
      </c>
      <c r="E1843" s="19">
        <f>$D$1843*$B$1810</f>
        <v/>
      </c>
      <c r="F1843" s="19">
        <f>IF($E$1843&lt;=$B$1818,$B$1816*$E$1843,$B$1816*$B$1818+$B$1817*($E$1843-$B$1818))</f>
        <v/>
      </c>
      <c r="G1843" s="19">
        <f>MIN(3+$F$1843/$B$1815+$B$1821*$E$1843/$B$1803,9)</f>
        <v/>
      </c>
      <c r="H1843" s="19">
        <f>$G$1843*$B$1815*$B$1803</f>
        <v/>
      </c>
      <c r="I1843" s="19">
        <f>IF(OR($D$1843=0,$D$1843=$B$1809),$B$1810/2,$B$1810)</f>
        <v/>
      </c>
    </row>
    <row r="1844">
      <c r="D1844" t="n">
        <v>18</v>
      </c>
      <c r="E1844" s="19">
        <f>$D$1844*$B$1810</f>
        <v/>
      </c>
      <c r="F1844" s="19">
        <f>IF($E$1844&lt;=$B$1818,$B$1816*$E$1844,$B$1816*$B$1818+$B$1817*($E$1844-$B$1818))</f>
        <v/>
      </c>
      <c r="G1844" s="19">
        <f>MIN(3+$F$1844/$B$1815+$B$1821*$E$1844/$B$1803,9)</f>
        <v/>
      </c>
      <c r="H1844" s="19">
        <f>$G$1844*$B$1815*$B$1803</f>
        <v/>
      </c>
      <c r="I1844" s="19">
        <f>IF(OR($D$1844=0,$D$1844=$B$1809),$B$1810/2,$B$1810)</f>
        <v/>
      </c>
    </row>
    <row r="1845">
      <c r="D1845" t="n">
        <v>19</v>
      </c>
      <c r="E1845" s="19">
        <f>$D$1845*$B$1810</f>
        <v/>
      </c>
      <c r="F1845" s="19">
        <f>IF($E$1845&lt;=$B$1818,$B$1816*$E$1845,$B$1816*$B$1818+$B$1817*($E$1845-$B$1818))</f>
        <v/>
      </c>
      <c r="G1845" s="19">
        <f>MIN(3+$F$1845/$B$1815+$B$1821*$E$1845/$B$1803,9)</f>
        <v/>
      </c>
      <c r="H1845" s="19">
        <f>$G$1845*$B$1815*$B$1803</f>
        <v/>
      </c>
      <c r="I1845" s="19">
        <f>IF(OR($D$1845=0,$D$1845=$B$1809),$B$1810/2,$B$1810)</f>
        <v/>
      </c>
    </row>
    <row r="1846">
      <c r="D1846" t="n">
        <v>20</v>
      </c>
      <c r="E1846" s="19">
        <f>$D$1846*$B$1810</f>
        <v/>
      </c>
      <c r="F1846" s="19">
        <f>IF($E$1846&lt;=$B$1818,$B$1816*$E$1846,$B$1816*$B$1818+$B$1817*($E$1846-$B$1818))</f>
        <v/>
      </c>
      <c r="G1846" s="19">
        <f>MIN(3+$F$1846/$B$1815+$B$1821*$E$1846/$B$1803,9)</f>
        <v/>
      </c>
      <c r="H1846" s="19">
        <f>$G$1846*$B$1815*$B$1803</f>
        <v/>
      </c>
      <c r="I1846" s="19">
        <f>IF(OR($D$1846=0,$D$1846=$B$1809),$B$1810/2,$B$1810)</f>
        <v/>
      </c>
    </row>
    <row r="1848">
      <c r="D1848" s="21">
        <f>$B$1801</f>
        <v/>
      </c>
    </row>
    <row r="1849">
      <c r="D1849" s="21">
        <f>$B$1802</f>
        <v/>
      </c>
    </row>
    <row r="1850">
      <c r="D1850" s="21" t="n">
        <v>0</v>
      </c>
    </row>
    <row r="1851">
      <c r="D1851" s="21" t="n">
        <v>0</v>
      </c>
    </row>
    <row r="1852">
      <c r="D1852" s="21" t="n">
        <v>0</v>
      </c>
    </row>
    <row r="1853">
      <c r="D1853" s="21" t="n">
        <v>0</v>
      </c>
    </row>
    <row r="1854">
      <c r="D1854" s="21" t="n">
        <v>0</v>
      </c>
    </row>
    <row r="1855">
      <c r="D1855" s="21" t="n">
        <v>0</v>
      </c>
    </row>
    <row r="1856">
      <c r="D1856" s="21" t="n">
        <v>0</v>
      </c>
    </row>
    <row r="1857">
      <c r="D1857" s="21" t="n">
        <v>0</v>
      </c>
    </row>
    <row r="1858">
      <c r="D1858" s="21" t="n">
        <v>0</v>
      </c>
    </row>
    <row r="1859">
      <c r="D1859" s="21" t="n">
        <v>0</v>
      </c>
    </row>
    <row r="1860">
      <c r="D1860" s="21" t="n">
        <v>0</v>
      </c>
    </row>
    <row r="1861">
      <c r="D1861" s="21" t="n">
        <v>0</v>
      </c>
    </row>
    <row r="1862">
      <c r="D1862" s="21" t="n">
        <v>0</v>
      </c>
    </row>
    <row r="1863">
      <c r="D1863" s="21" t="n">
        <v>0</v>
      </c>
    </row>
    <row r="1864">
      <c r="D1864" s="21" t="n">
        <v>0</v>
      </c>
    </row>
    <row r="1865">
      <c r="D1865" s="21" t="n">
        <v>0</v>
      </c>
    </row>
    <row r="1866">
      <c r="D1866" s="21" t="n">
        <v>0</v>
      </c>
    </row>
    <row r="1867">
      <c r="D1867" s="21" t="n">
        <v>0</v>
      </c>
    </row>
    <row r="1868">
      <c r="D1868" s="21" t="n">
        <v>0</v>
      </c>
    </row>
    <row r="1869">
      <c r="D1869" s="21" t="n">
        <v>0</v>
      </c>
    </row>
    <row r="1870">
      <c r="D1870" s="21" t="n">
        <v>0</v>
      </c>
    </row>
    <row r="1871">
      <c r="D1871" s="21" t="n">
        <v>0</v>
      </c>
    </row>
    <row r="1872">
      <c r="D1872" s="21" t="n">
        <v>0</v>
      </c>
    </row>
    <row r="1873">
      <c r="D1873" s="21" t="n">
        <v>0</v>
      </c>
    </row>
    <row r="1874">
      <c r="D1874" s="21" t="n">
        <v>0</v>
      </c>
    </row>
    <row r="1875">
      <c r="D1875" s="21" t="n">
        <v>0</v>
      </c>
    </row>
    <row r="1876">
      <c r="D1876" s="21" t="n">
        <v>0</v>
      </c>
    </row>
    <row r="1877">
      <c r="D1877" s="21" t="n">
        <v>0</v>
      </c>
    </row>
    <row r="1878">
      <c r="D1878" s="21" t="n">
        <v>0</v>
      </c>
    </row>
    <row r="1879">
      <c r="D1879" s="21" t="n">
        <v>0</v>
      </c>
    </row>
    <row r="1880">
      <c r="D1880" s="21" t="n">
        <v>0</v>
      </c>
    </row>
    <row r="1881">
      <c r="D1881" s="21" t="n">
        <v>0</v>
      </c>
    </row>
    <row r="1882">
      <c r="D1882" s="21" t="n">
        <v>0</v>
      </c>
    </row>
    <row r="1883">
      <c r="D1883" s="21" t="n">
        <v>0</v>
      </c>
    </row>
    <row r="1884">
      <c r="D1884" s="21" t="n">
        <v>0</v>
      </c>
    </row>
    <row r="1885">
      <c r="D1885" s="21" t="n">
        <v>0</v>
      </c>
    </row>
    <row r="1886">
      <c r="D1886" s="21" t="n">
        <v>0</v>
      </c>
    </row>
    <row r="1887">
      <c r="D1887" s="21" t="n">
        <v>0</v>
      </c>
    </row>
    <row r="1888">
      <c r="D1888" s="21" t="n">
        <v>0</v>
      </c>
    </row>
    <row r="1889">
      <c r="D1889" s="21" t="n">
        <v>0</v>
      </c>
    </row>
    <row r="1891">
      <c r="A1891" s="8" t="inlineStr">
        <is>
          <t>y seed (gen 0)</t>
        </is>
      </c>
    </row>
    <row r="1892">
      <c r="E1892" s="19" t="n">
        <v>1e-05</v>
      </c>
    </row>
    <row r="1893">
      <c r="E1893" s="19" t="n">
        <v>1e-05</v>
      </c>
    </row>
    <row r="1894">
      <c r="E1894" s="19" t="n">
        <v>1e-05</v>
      </c>
    </row>
    <row r="1895">
      <c r="E1895" s="19" t="n">
        <v>1e-05</v>
      </c>
    </row>
    <row r="1896">
      <c r="E1896" s="19" t="n">
        <v>1e-05</v>
      </c>
    </row>
    <row r="1897">
      <c r="E1897" s="19" t="n">
        <v>1e-05</v>
      </c>
    </row>
    <row r="1898">
      <c r="E1898" s="19" t="n">
        <v>1e-05</v>
      </c>
    </row>
    <row r="1899">
      <c r="E1899" s="19" t="n">
        <v>1e-05</v>
      </c>
    </row>
    <row r="1900">
      <c r="E1900" s="19" t="n">
        <v>1e-05</v>
      </c>
    </row>
    <row r="1901">
      <c r="E1901" s="19" t="n">
        <v>1e-05</v>
      </c>
    </row>
    <row r="1902">
      <c r="E1902" s="19" t="n">
        <v>1e-05</v>
      </c>
    </row>
    <row r="1903">
      <c r="E1903" s="19" t="n">
        <v>1e-05</v>
      </c>
    </row>
    <row r="1904">
      <c r="E1904" s="19" t="n">
        <v>1e-05</v>
      </c>
    </row>
    <row r="1905">
      <c r="E1905" s="19" t="n">
        <v>1e-05</v>
      </c>
    </row>
    <row r="1906">
      <c r="E1906" s="19" t="n">
        <v>1e-05</v>
      </c>
    </row>
    <row r="1907">
      <c r="E1907" s="19" t="n">
        <v>1e-05</v>
      </c>
    </row>
    <row r="1908">
      <c r="E1908" s="19" t="n">
        <v>1e-05</v>
      </c>
    </row>
    <row r="1909">
      <c r="E1909" s="19" t="n">
        <v>1e-05</v>
      </c>
    </row>
    <row r="1910">
      <c r="E1910" s="19" t="n">
        <v>1e-05</v>
      </c>
    </row>
    <row r="1911">
      <c r="E1911" s="19" t="n">
        <v>1e-05</v>
      </c>
    </row>
    <row r="1912">
      <c r="E1912" s="19" t="n">
        <v>1e-05</v>
      </c>
    </row>
    <row r="1913">
      <c r="A1913" s="8" t="inlineStr">
        <is>
          <t>gen 1</t>
        </is>
      </c>
    </row>
    <row r="1914">
      <c r="D1914" s="19">
        <f>IF(ABS(IF(ABS($E$1892)&gt;0.000000001,$E$1892,0.000000001))=0,0,IF($E$1826&lt;=$B$1820,0,IF(ABS(IF(ABS($E$1892)&gt;0.000000001,$E$1892,0.000000001))&gt;=8*$B$1822,$H$1826,0.5*$H$1826*(ABS(IF(ABS($E$1892)&gt;0.000000001,$E$1892,0.000000001))/$B$1822)^(1/3)))/ABS(IF(ABS($E$1892)&gt;0.000000001,$E$1892,0.000000001))*$I$1826)</f>
        <v/>
      </c>
      <c r="E1914" s="19">
        <f>0.5*$E$1892+0.5*$AT$1936</f>
        <v/>
      </c>
      <c r="F1914" s="19">
        <f>$AT$1937</f>
        <v/>
      </c>
    </row>
    <row r="1915">
      <c r="D1915" s="19">
        <f>IF(ABS(IF(ABS($E$1893)&gt;0.000000001,$E$1893,0.000000001))=0,0,IF($E$1827&lt;=$B$1820,0,IF(ABS(IF(ABS($E$1893)&gt;0.000000001,$E$1893,0.000000001))&gt;=8*$B$1822,$H$1827,0.5*$H$1827*(ABS(IF(ABS($E$1893)&gt;0.000000001,$E$1893,0.000000001))/$B$1822)^(1/3)))/ABS(IF(ABS($E$1893)&gt;0.000000001,$E$1893,0.000000001))*$I$1827)</f>
        <v/>
      </c>
      <c r="E1915" s="19">
        <f>0.5*$E$1893+0.5*$AT$1938</f>
        <v/>
      </c>
      <c r="F1915" s="19">
        <f>$AT$1939</f>
        <v/>
      </c>
    </row>
    <row r="1916">
      <c r="D1916" s="19">
        <f>IF(ABS(IF(ABS($E$1894)&gt;0.000000001,$E$1894,0.000000001))=0,0,IF($E$1828&lt;=$B$1820,0,IF(ABS(IF(ABS($E$1894)&gt;0.000000001,$E$1894,0.000000001))&gt;=8*$B$1822,$H$1828,0.5*$H$1828*(ABS(IF(ABS($E$1894)&gt;0.000000001,$E$1894,0.000000001))/$B$1822)^(1/3)))/ABS(IF(ABS($E$1894)&gt;0.000000001,$E$1894,0.000000001))*$I$1828)</f>
        <v/>
      </c>
      <c r="E1916" s="19">
        <f>0.5*$E$1894+0.5*$AT$1940</f>
        <v/>
      </c>
      <c r="F1916" s="19">
        <f>$AT$1941</f>
        <v/>
      </c>
    </row>
    <row r="1917">
      <c r="D1917" s="19">
        <f>IF(ABS(IF(ABS($E$1895)&gt;0.000000001,$E$1895,0.000000001))=0,0,IF($E$1829&lt;=$B$1820,0,IF(ABS(IF(ABS($E$1895)&gt;0.000000001,$E$1895,0.000000001))&gt;=8*$B$1822,$H$1829,0.5*$H$1829*(ABS(IF(ABS($E$1895)&gt;0.000000001,$E$1895,0.000000001))/$B$1822)^(1/3)))/ABS(IF(ABS($E$1895)&gt;0.000000001,$E$1895,0.000000001))*$I$1829)</f>
        <v/>
      </c>
      <c r="E1917" s="19">
        <f>0.5*$E$1895+0.5*$AT$1942</f>
        <v/>
      </c>
      <c r="F1917" s="19">
        <f>$AT$1943</f>
        <v/>
      </c>
    </row>
    <row r="1918">
      <c r="D1918" s="19">
        <f>IF(ABS(IF(ABS($E$1896)&gt;0.000000001,$E$1896,0.000000001))=0,0,IF($E$1830&lt;=$B$1820,0,IF(ABS(IF(ABS($E$1896)&gt;0.000000001,$E$1896,0.000000001))&gt;=8*$B$1822,$H$1830,0.5*$H$1830*(ABS(IF(ABS($E$1896)&gt;0.000000001,$E$1896,0.000000001))/$B$1822)^(1/3)))/ABS(IF(ABS($E$1896)&gt;0.000000001,$E$1896,0.000000001))*$I$1830)</f>
        <v/>
      </c>
      <c r="E1918" s="19">
        <f>0.5*$E$1896+0.5*$AT$1944</f>
        <v/>
      </c>
      <c r="F1918" s="19">
        <f>$AT$1945</f>
        <v/>
      </c>
    </row>
    <row r="1919">
      <c r="D1919" s="19">
        <f>IF(ABS(IF(ABS($E$1897)&gt;0.000000001,$E$1897,0.000000001))=0,0,IF($E$1831&lt;=$B$1820,0,IF(ABS(IF(ABS($E$1897)&gt;0.000000001,$E$1897,0.000000001))&gt;=8*$B$1822,$H$1831,0.5*$H$1831*(ABS(IF(ABS($E$1897)&gt;0.000000001,$E$1897,0.000000001))/$B$1822)^(1/3)))/ABS(IF(ABS($E$1897)&gt;0.000000001,$E$1897,0.000000001))*$I$1831)</f>
        <v/>
      </c>
      <c r="E1919" s="19">
        <f>0.5*$E$1897+0.5*$AT$1946</f>
        <v/>
      </c>
      <c r="F1919" s="19">
        <f>$AT$1947</f>
        <v/>
      </c>
    </row>
    <row r="1920">
      <c r="D1920" s="19">
        <f>IF(ABS(IF(ABS($E$1898)&gt;0.000000001,$E$1898,0.000000001))=0,0,IF($E$1832&lt;=$B$1820,0,IF(ABS(IF(ABS($E$1898)&gt;0.000000001,$E$1898,0.000000001))&gt;=8*$B$1822,$H$1832,0.5*$H$1832*(ABS(IF(ABS($E$1898)&gt;0.000000001,$E$1898,0.000000001))/$B$1822)^(1/3)))/ABS(IF(ABS($E$1898)&gt;0.000000001,$E$1898,0.000000001))*$I$1832)</f>
        <v/>
      </c>
      <c r="E1920" s="19">
        <f>0.5*$E$1898+0.5*$AT$1948</f>
        <v/>
      </c>
      <c r="F1920" s="19">
        <f>$AT$1949</f>
        <v/>
      </c>
    </row>
    <row r="1921">
      <c r="D1921" s="19">
        <f>IF(ABS(IF(ABS($E$1899)&gt;0.000000001,$E$1899,0.000000001))=0,0,IF($E$1833&lt;=$B$1820,0,IF(ABS(IF(ABS($E$1899)&gt;0.000000001,$E$1899,0.000000001))&gt;=8*$B$1822,$H$1833,0.5*$H$1833*(ABS(IF(ABS($E$1899)&gt;0.000000001,$E$1899,0.000000001))/$B$1822)^(1/3)))/ABS(IF(ABS($E$1899)&gt;0.000000001,$E$1899,0.000000001))*$I$1833)</f>
        <v/>
      </c>
      <c r="E1921" s="19">
        <f>0.5*$E$1899+0.5*$AT$1950</f>
        <v/>
      </c>
      <c r="F1921" s="19">
        <f>$AT$1951</f>
        <v/>
      </c>
    </row>
    <row r="1922">
      <c r="D1922" s="19">
        <f>IF(ABS(IF(ABS($E$1900)&gt;0.000000001,$E$1900,0.000000001))=0,0,IF($E$1834&lt;=$B$1820,0,IF(ABS(IF(ABS($E$1900)&gt;0.000000001,$E$1900,0.000000001))&gt;=8*$B$1822,$H$1834,0.5*$H$1834*(ABS(IF(ABS($E$1900)&gt;0.000000001,$E$1900,0.000000001))/$B$1822)^(1/3)))/ABS(IF(ABS($E$1900)&gt;0.000000001,$E$1900,0.000000001))*$I$1834)</f>
        <v/>
      </c>
      <c r="E1922" s="19">
        <f>0.5*$E$1900+0.5*$AT$1952</f>
        <v/>
      </c>
      <c r="F1922" s="19">
        <f>$AT$1953</f>
        <v/>
      </c>
    </row>
    <row r="1923">
      <c r="D1923" s="19">
        <f>IF(ABS(IF(ABS($E$1901)&gt;0.000000001,$E$1901,0.000000001))=0,0,IF($E$1835&lt;=$B$1820,0,IF(ABS(IF(ABS($E$1901)&gt;0.000000001,$E$1901,0.000000001))&gt;=8*$B$1822,$H$1835,0.5*$H$1835*(ABS(IF(ABS($E$1901)&gt;0.000000001,$E$1901,0.000000001))/$B$1822)^(1/3)))/ABS(IF(ABS($E$1901)&gt;0.000000001,$E$1901,0.000000001))*$I$1835)</f>
        <v/>
      </c>
      <c r="E1923" s="19">
        <f>0.5*$E$1901+0.5*$AT$1954</f>
        <v/>
      </c>
      <c r="F1923" s="19">
        <f>$AT$1955</f>
        <v/>
      </c>
    </row>
    <row r="1924">
      <c r="D1924" s="19">
        <f>IF(ABS(IF(ABS($E$1902)&gt;0.000000001,$E$1902,0.000000001))=0,0,IF($E$1836&lt;=$B$1820,0,IF(ABS(IF(ABS($E$1902)&gt;0.000000001,$E$1902,0.000000001))&gt;=8*$B$1822,$H$1836,0.5*$H$1836*(ABS(IF(ABS($E$1902)&gt;0.000000001,$E$1902,0.000000001))/$B$1822)^(1/3)))/ABS(IF(ABS($E$1902)&gt;0.000000001,$E$1902,0.000000001))*$I$1836)</f>
        <v/>
      </c>
      <c r="E1924" s="19">
        <f>0.5*$E$1902+0.5*$AT$1956</f>
        <v/>
      </c>
      <c r="F1924" s="19">
        <f>$AT$1957</f>
        <v/>
      </c>
    </row>
    <row r="1925">
      <c r="D1925" s="19">
        <f>IF(ABS(IF(ABS($E$1903)&gt;0.000000001,$E$1903,0.000000001))=0,0,IF($E$1837&lt;=$B$1820,0,IF(ABS(IF(ABS($E$1903)&gt;0.000000001,$E$1903,0.000000001))&gt;=8*$B$1822,$H$1837,0.5*$H$1837*(ABS(IF(ABS($E$1903)&gt;0.000000001,$E$1903,0.000000001))/$B$1822)^(1/3)))/ABS(IF(ABS($E$1903)&gt;0.000000001,$E$1903,0.000000001))*$I$1837)</f>
        <v/>
      </c>
      <c r="E1925" s="19">
        <f>0.5*$E$1903+0.5*$AT$1958</f>
        <v/>
      </c>
      <c r="F1925" s="19">
        <f>$AT$1959</f>
        <v/>
      </c>
    </row>
    <row r="1926">
      <c r="D1926" s="19">
        <f>IF(ABS(IF(ABS($E$1904)&gt;0.000000001,$E$1904,0.000000001))=0,0,IF($E$1838&lt;=$B$1820,0,IF(ABS(IF(ABS($E$1904)&gt;0.000000001,$E$1904,0.000000001))&gt;=8*$B$1822,$H$1838,0.5*$H$1838*(ABS(IF(ABS($E$1904)&gt;0.000000001,$E$1904,0.000000001))/$B$1822)^(1/3)))/ABS(IF(ABS($E$1904)&gt;0.000000001,$E$1904,0.000000001))*$I$1838)</f>
        <v/>
      </c>
      <c r="E1926" s="19">
        <f>0.5*$E$1904+0.5*$AT$1960</f>
        <v/>
      </c>
      <c r="F1926" s="19">
        <f>$AT$1961</f>
        <v/>
      </c>
    </row>
    <row r="1927">
      <c r="D1927" s="19">
        <f>IF(ABS(IF(ABS($E$1905)&gt;0.000000001,$E$1905,0.000000001))=0,0,IF($E$1839&lt;=$B$1820,0,IF(ABS(IF(ABS($E$1905)&gt;0.000000001,$E$1905,0.000000001))&gt;=8*$B$1822,$H$1839,0.5*$H$1839*(ABS(IF(ABS($E$1905)&gt;0.000000001,$E$1905,0.000000001))/$B$1822)^(1/3)))/ABS(IF(ABS($E$1905)&gt;0.000000001,$E$1905,0.000000001))*$I$1839)</f>
        <v/>
      </c>
      <c r="E1927" s="19">
        <f>0.5*$E$1905+0.5*$AT$1962</f>
        <v/>
      </c>
      <c r="F1927" s="19">
        <f>$AT$1963</f>
        <v/>
      </c>
    </row>
    <row r="1928">
      <c r="D1928" s="19">
        <f>IF(ABS(IF(ABS($E$1906)&gt;0.000000001,$E$1906,0.000000001))=0,0,IF($E$1840&lt;=$B$1820,0,IF(ABS(IF(ABS($E$1906)&gt;0.000000001,$E$1906,0.000000001))&gt;=8*$B$1822,$H$1840,0.5*$H$1840*(ABS(IF(ABS($E$1906)&gt;0.000000001,$E$1906,0.000000001))/$B$1822)^(1/3)))/ABS(IF(ABS($E$1906)&gt;0.000000001,$E$1906,0.000000001))*$I$1840)</f>
        <v/>
      </c>
      <c r="E1928" s="19">
        <f>0.5*$E$1906+0.5*$AT$1964</f>
        <v/>
      </c>
      <c r="F1928" s="19">
        <f>$AT$1965</f>
        <v/>
      </c>
    </row>
    <row r="1929">
      <c r="D1929" s="19">
        <f>IF(ABS(IF(ABS($E$1907)&gt;0.000000001,$E$1907,0.000000001))=0,0,IF($E$1841&lt;=$B$1820,0,IF(ABS(IF(ABS($E$1907)&gt;0.000000001,$E$1907,0.000000001))&gt;=8*$B$1822,$H$1841,0.5*$H$1841*(ABS(IF(ABS($E$1907)&gt;0.000000001,$E$1907,0.000000001))/$B$1822)^(1/3)))/ABS(IF(ABS($E$1907)&gt;0.000000001,$E$1907,0.000000001))*$I$1841)</f>
        <v/>
      </c>
      <c r="E1929" s="19">
        <f>0.5*$E$1907+0.5*$AT$1966</f>
        <v/>
      </c>
      <c r="F1929" s="19">
        <f>$AT$1967</f>
        <v/>
      </c>
    </row>
    <row r="1930">
      <c r="D1930" s="19">
        <f>IF(ABS(IF(ABS($E$1908)&gt;0.000000001,$E$1908,0.000000001))=0,0,IF($E$1842&lt;=$B$1820,0,IF(ABS(IF(ABS($E$1908)&gt;0.000000001,$E$1908,0.000000001))&gt;=8*$B$1822,$H$1842,0.5*$H$1842*(ABS(IF(ABS($E$1908)&gt;0.000000001,$E$1908,0.000000001))/$B$1822)^(1/3)))/ABS(IF(ABS($E$1908)&gt;0.000000001,$E$1908,0.000000001))*$I$1842)</f>
        <v/>
      </c>
      <c r="E1930" s="19">
        <f>0.5*$E$1908+0.5*$AT$1968</f>
        <v/>
      </c>
      <c r="F1930" s="19">
        <f>$AT$1969</f>
        <v/>
      </c>
    </row>
    <row r="1931">
      <c r="D1931" s="19">
        <f>IF(ABS(IF(ABS($E$1909)&gt;0.000000001,$E$1909,0.000000001))=0,0,IF($E$1843&lt;=$B$1820,0,IF(ABS(IF(ABS($E$1909)&gt;0.000000001,$E$1909,0.000000001))&gt;=8*$B$1822,$H$1843,0.5*$H$1843*(ABS(IF(ABS($E$1909)&gt;0.000000001,$E$1909,0.000000001))/$B$1822)^(1/3)))/ABS(IF(ABS($E$1909)&gt;0.000000001,$E$1909,0.000000001))*$I$1843)</f>
        <v/>
      </c>
      <c r="E1931" s="19">
        <f>0.5*$E$1909+0.5*$AT$1970</f>
        <v/>
      </c>
      <c r="F1931" s="19">
        <f>$AT$1971</f>
        <v/>
      </c>
    </row>
    <row r="1932">
      <c r="D1932" s="19">
        <f>IF(ABS(IF(ABS($E$1910)&gt;0.000000001,$E$1910,0.000000001))=0,0,IF($E$1844&lt;=$B$1820,0,IF(ABS(IF(ABS($E$1910)&gt;0.000000001,$E$1910,0.000000001))&gt;=8*$B$1822,$H$1844,0.5*$H$1844*(ABS(IF(ABS($E$1910)&gt;0.000000001,$E$1910,0.000000001))/$B$1822)^(1/3)))/ABS(IF(ABS($E$1910)&gt;0.000000001,$E$1910,0.000000001))*$I$1844)</f>
        <v/>
      </c>
      <c r="E1932" s="19">
        <f>0.5*$E$1910+0.5*$AT$1972</f>
        <v/>
      </c>
      <c r="F1932" s="19">
        <f>$AT$1973</f>
        <v/>
      </c>
    </row>
    <row r="1933">
      <c r="D1933" s="19">
        <f>IF(ABS(IF(ABS($E$1911)&gt;0.000000001,$E$1911,0.000000001))=0,0,IF($E$1845&lt;=$B$1820,0,IF(ABS(IF(ABS($E$1911)&gt;0.000000001,$E$1911,0.000000001))&gt;=8*$B$1822,$H$1845,0.5*$H$1845*(ABS(IF(ABS($E$1911)&gt;0.000000001,$E$1911,0.000000001))/$B$1822)^(1/3)))/ABS(IF(ABS($E$1911)&gt;0.000000001,$E$1911,0.000000001))*$I$1845)</f>
        <v/>
      </c>
      <c r="E1933" s="19">
        <f>0.5*$E$1911+0.5*$AT$1974</f>
        <v/>
      </c>
      <c r="F1933" s="19">
        <f>$AT$1975</f>
        <v/>
      </c>
    </row>
    <row r="1934">
      <c r="D1934" s="19">
        <f>IF(ABS(IF(ABS($E$1912)&gt;0.000000001,$E$1912,0.000000001))=0,0,IF($E$1846&lt;=$B$1820,0,IF(ABS(IF(ABS($E$1912)&gt;0.000000001,$E$1912,0.000000001))&gt;=8*$B$1822,$H$1846,0.5*$H$1846*(ABS(IF(ABS($E$1912)&gt;0.000000001,$E$1912,0.000000001))/$B$1822)^(1/3)))/ABS(IF(ABS($E$1912)&gt;0.000000001,$E$1912,0.000000001))*$I$1846)</f>
        <v/>
      </c>
      <c r="E1934" s="19">
        <f>0.5*$E$1912+0.5*$AT$1976</f>
        <v/>
      </c>
      <c r="F1934" s="19">
        <f>$AT$1977</f>
        <v/>
      </c>
    </row>
    <row r="1936">
      <c r="D1936" s="21">
        <f>$B$1811+$D$1914</f>
        <v/>
      </c>
      <c r="E1936" s="21">
        <f>$B$1812</f>
        <v/>
      </c>
      <c r="F1936" s="21">
        <f>-$B$1811</f>
        <v/>
      </c>
      <c r="G1936" s="21">
        <f>$B$1812</f>
        <v/>
      </c>
      <c r="H1936" s="21" t="n">
        <v>0</v>
      </c>
      <c r="I1936" s="21" t="n">
        <v>0</v>
      </c>
      <c r="J1936" s="21" t="n">
        <v>0</v>
      </c>
      <c r="K1936" s="21" t="n">
        <v>0</v>
      </c>
      <c r="L1936" s="21" t="n">
        <v>0</v>
      </c>
      <c r="M1936" s="21" t="n">
        <v>0</v>
      </c>
      <c r="N1936" s="21" t="n">
        <v>0</v>
      </c>
      <c r="O1936" s="21" t="n">
        <v>0</v>
      </c>
      <c r="P1936" s="21" t="n">
        <v>0</v>
      </c>
      <c r="Q1936" s="21" t="n">
        <v>0</v>
      </c>
      <c r="R1936" s="21" t="n">
        <v>0</v>
      </c>
      <c r="S1936" s="21" t="n">
        <v>0</v>
      </c>
      <c r="T1936" s="21" t="n">
        <v>0</v>
      </c>
      <c r="U1936" s="21" t="n">
        <v>0</v>
      </c>
      <c r="V1936" s="21" t="n">
        <v>0</v>
      </c>
      <c r="W1936" s="21" t="n">
        <v>0</v>
      </c>
      <c r="X1936" s="21" t="n">
        <v>0</v>
      </c>
      <c r="Y1936" s="21" t="n">
        <v>0</v>
      </c>
      <c r="Z1936" s="21" t="n">
        <v>0</v>
      </c>
      <c r="AA1936" s="21" t="n">
        <v>0</v>
      </c>
      <c r="AB1936" s="21" t="n">
        <v>0</v>
      </c>
      <c r="AC1936" s="21" t="n">
        <v>0</v>
      </c>
      <c r="AD1936" s="21" t="n">
        <v>0</v>
      </c>
      <c r="AE1936" s="21" t="n">
        <v>0</v>
      </c>
      <c r="AF1936" s="21" t="n">
        <v>0</v>
      </c>
      <c r="AG1936" s="21" t="n">
        <v>0</v>
      </c>
      <c r="AH1936" s="21" t="n">
        <v>0</v>
      </c>
      <c r="AI1936" s="21" t="n">
        <v>0</v>
      </c>
      <c r="AJ1936" s="21" t="n">
        <v>0</v>
      </c>
      <c r="AK1936" s="21" t="n">
        <v>0</v>
      </c>
      <c r="AL1936" s="21" t="n">
        <v>0</v>
      </c>
      <c r="AM1936" s="21" t="n">
        <v>0</v>
      </c>
      <c r="AN1936" s="21" t="n">
        <v>0</v>
      </c>
      <c r="AO1936" s="21" t="n">
        <v>0</v>
      </c>
      <c r="AP1936" s="21" t="n">
        <v>0</v>
      </c>
      <c r="AQ1936" s="21" t="n">
        <v>0</v>
      </c>
      <c r="AR1936" s="21" t="n">
        <v>0</v>
      </c>
      <c r="AS1936" s="21" t="n">
        <v>0</v>
      </c>
      <c r="AT1936" s="19">
        <f t="array" ref="AT1936:AT1977">MMULT(MINVERSE($D$1936:$AS$1977),$D$1848:$D$1889)</f>
        <v/>
      </c>
    </row>
    <row r="1937">
      <c r="D1937" s="21">
        <f>$B$1812</f>
        <v/>
      </c>
      <c r="E1937" s="21">
        <f>$B$1813</f>
        <v/>
      </c>
      <c r="F1937" s="21">
        <f>-$B$1812</f>
        <v/>
      </c>
      <c r="G1937" s="21">
        <f>$B$1814</f>
        <v/>
      </c>
      <c r="H1937" s="21" t="n">
        <v>0</v>
      </c>
      <c r="I1937" s="21" t="n">
        <v>0</v>
      </c>
      <c r="J1937" s="21" t="n">
        <v>0</v>
      </c>
      <c r="K1937" s="21" t="n">
        <v>0</v>
      </c>
      <c r="L1937" s="21" t="n">
        <v>0</v>
      </c>
      <c r="M1937" s="21" t="n">
        <v>0</v>
      </c>
      <c r="N1937" s="21" t="n">
        <v>0</v>
      </c>
      <c r="O1937" s="21" t="n">
        <v>0</v>
      </c>
      <c r="P1937" s="21" t="n">
        <v>0</v>
      </c>
      <c r="Q1937" s="21" t="n">
        <v>0</v>
      </c>
      <c r="R1937" s="21" t="n">
        <v>0</v>
      </c>
      <c r="S1937" s="21" t="n">
        <v>0</v>
      </c>
      <c r="T1937" s="21" t="n">
        <v>0</v>
      </c>
      <c r="U1937" s="21" t="n">
        <v>0</v>
      </c>
      <c r="V1937" s="21" t="n">
        <v>0</v>
      </c>
      <c r="W1937" s="21" t="n">
        <v>0</v>
      </c>
      <c r="X1937" s="21" t="n">
        <v>0</v>
      </c>
      <c r="Y1937" s="21" t="n">
        <v>0</v>
      </c>
      <c r="Z1937" s="21" t="n">
        <v>0</v>
      </c>
      <c r="AA1937" s="21" t="n">
        <v>0</v>
      </c>
      <c r="AB1937" s="21" t="n">
        <v>0</v>
      </c>
      <c r="AC1937" s="21" t="n">
        <v>0</v>
      </c>
      <c r="AD1937" s="21" t="n">
        <v>0</v>
      </c>
      <c r="AE1937" s="21" t="n">
        <v>0</v>
      </c>
      <c r="AF1937" s="21" t="n">
        <v>0</v>
      </c>
      <c r="AG1937" s="21" t="n">
        <v>0</v>
      </c>
      <c r="AH1937" s="21" t="n">
        <v>0</v>
      </c>
      <c r="AI1937" s="21" t="n">
        <v>0</v>
      </c>
      <c r="AJ1937" s="21" t="n">
        <v>0</v>
      </c>
      <c r="AK1937" s="21" t="n">
        <v>0</v>
      </c>
      <c r="AL1937" s="21" t="n">
        <v>0</v>
      </c>
      <c r="AM1937" s="21" t="n">
        <v>0</v>
      </c>
      <c r="AN1937" s="21" t="n">
        <v>0</v>
      </c>
      <c r="AO1937" s="21" t="n">
        <v>0</v>
      </c>
      <c r="AP1937" s="21" t="n">
        <v>0</v>
      </c>
      <c r="AQ1937" s="21" t="n">
        <v>0</v>
      </c>
      <c r="AR1937" s="21" t="n">
        <v>0</v>
      </c>
      <c r="AS1937" s="21" t="n">
        <v>0</v>
      </c>
      <c r="AT1937" s="19" t="n"/>
    </row>
    <row r="1938">
      <c r="D1938" s="21">
        <f>-$B$1811</f>
        <v/>
      </c>
      <c r="E1938" s="21">
        <f>-$B$1812</f>
        <v/>
      </c>
      <c r="F1938" s="21">
        <f>2*$B$1811+$D$1915</f>
        <v/>
      </c>
      <c r="G1938" s="21">
        <f>0</f>
        <v/>
      </c>
      <c r="H1938" s="21">
        <f>-$B$1811</f>
        <v/>
      </c>
      <c r="I1938" s="21">
        <f>$B$1812</f>
        <v/>
      </c>
      <c r="J1938" s="21" t="n">
        <v>0</v>
      </c>
      <c r="K1938" s="21" t="n">
        <v>0</v>
      </c>
      <c r="L1938" s="21" t="n">
        <v>0</v>
      </c>
      <c r="M1938" s="21" t="n">
        <v>0</v>
      </c>
      <c r="N1938" s="21" t="n">
        <v>0</v>
      </c>
      <c r="O1938" s="21" t="n">
        <v>0</v>
      </c>
      <c r="P1938" s="21" t="n">
        <v>0</v>
      </c>
      <c r="Q1938" s="21" t="n">
        <v>0</v>
      </c>
      <c r="R1938" s="21" t="n">
        <v>0</v>
      </c>
      <c r="S1938" s="21" t="n">
        <v>0</v>
      </c>
      <c r="T1938" s="21" t="n">
        <v>0</v>
      </c>
      <c r="U1938" s="21" t="n">
        <v>0</v>
      </c>
      <c r="V1938" s="21" t="n">
        <v>0</v>
      </c>
      <c r="W1938" s="21" t="n">
        <v>0</v>
      </c>
      <c r="X1938" s="21" t="n">
        <v>0</v>
      </c>
      <c r="Y1938" s="21" t="n">
        <v>0</v>
      </c>
      <c r="Z1938" s="21" t="n">
        <v>0</v>
      </c>
      <c r="AA1938" s="21" t="n">
        <v>0</v>
      </c>
      <c r="AB1938" s="21" t="n">
        <v>0</v>
      </c>
      <c r="AC1938" s="21" t="n">
        <v>0</v>
      </c>
      <c r="AD1938" s="21" t="n">
        <v>0</v>
      </c>
      <c r="AE1938" s="21" t="n">
        <v>0</v>
      </c>
      <c r="AF1938" s="21" t="n">
        <v>0</v>
      </c>
      <c r="AG1938" s="21" t="n">
        <v>0</v>
      </c>
      <c r="AH1938" s="21" t="n">
        <v>0</v>
      </c>
      <c r="AI1938" s="21" t="n">
        <v>0</v>
      </c>
      <c r="AJ1938" s="21" t="n">
        <v>0</v>
      </c>
      <c r="AK1938" s="21" t="n">
        <v>0</v>
      </c>
      <c r="AL1938" s="21" t="n">
        <v>0</v>
      </c>
      <c r="AM1938" s="21" t="n">
        <v>0</v>
      </c>
      <c r="AN1938" s="21" t="n">
        <v>0</v>
      </c>
      <c r="AO1938" s="21" t="n">
        <v>0</v>
      </c>
      <c r="AP1938" s="21" t="n">
        <v>0</v>
      </c>
      <c r="AQ1938" s="21" t="n">
        <v>0</v>
      </c>
      <c r="AR1938" s="21" t="n">
        <v>0</v>
      </c>
      <c r="AS1938" s="21" t="n">
        <v>0</v>
      </c>
      <c r="AT1938" s="19" t="n"/>
    </row>
    <row r="1939">
      <c r="D1939" s="21">
        <f>$B$1812</f>
        <v/>
      </c>
      <c r="E1939" s="21">
        <f>$B$1814</f>
        <v/>
      </c>
      <c r="F1939" s="21">
        <f>0</f>
        <v/>
      </c>
      <c r="G1939" s="21">
        <f>2*$B$1813</f>
        <v/>
      </c>
      <c r="H1939" s="21">
        <f>-$B$1812</f>
        <v/>
      </c>
      <c r="I1939" s="21">
        <f>$B$1814</f>
        <v/>
      </c>
      <c r="J1939" s="21" t="n">
        <v>0</v>
      </c>
      <c r="K1939" s="21" t="n">
        <v>0</v>
      </c>
      <c r="L1939" s="21" t="n">
        <v>0</v>
      </c>
      <c r="M1939" s="21" t="n">
        <v>0</v>
      </c>
      <c r="N1939" s="21" t="n">
        <v>0</v>
      </c>
      <c r="O1939" s="21" t="n">
        <v>0</v>
      </c>
      <c r="P1939" s="21" t="n">
        <v>0</v>
      </c>
      <c r="Q1939" s="21" t="n">
        <v>0</v>
      </c>
      <c r="R1939" s="21" t="n">
        <v>0</v>
      </c>
      <c r="S1939" s="21" t="n">
        <v>0</v>
      </c>
      <c r="T1939" s="21" t="n">
        <v>0</v>
      </c>
      <c r="U1939" s="21" t="n">
        <v>0</v>
      </c>
      <c r="V1939" s="21" t="n">
        <v>0</v>
      </c>
      <c r="W1939" s="21" t="n">
        <v>0</v>
      </c>
      <c r="X1939" s="21" t="n">
        <v>0</v>
      </c>
      <c r="Y1939" s="21" t="n">
        <v>0</v>
      </c>
      <c r="Z1939" s="21" t="n">
        <v>0</v>
      </c>
      <c r="AA1939" s="21" t="n">
        <v>0</v>
      </c>
      <c r="AB1939" s="21" t="n">
        <v>0</v>
      </c>
      <c r="AC1939" s="21" t="n">
        <v>0</v>
      </c>
      <c r="AD1939" s="21" t="n">
        <v>0</v>
      </c>
      <c r="AE1939" s="21" t="n">
        <v>0</v>
      </c>
      <c r="AF1939" s="21" t="n">
        <v>0</v>
      </c>
      <c r="AG1939" s="21" t="n">
        <v>0</v>
      </c>
      <c r="AH1939" s="21" t="n">
        <v>0</v>
      </c>
      <c r="AI1939" s="21" t="n">
        <v>0</v>
      </c>
      <c r="AJ1939" s="21" t="n">
        <v>0</v>
      </c>
      <c r="AK1939" s="21" t="n">
        <v>0</v>
      </c>
      <c r="AL1939" s="21" t="n">
        <v>0</v>
      </c>
      <c r="AM1939" s="21" t="n">
        <v>0</v>
      </c>
      <c r="AN1939" s="21" t="n">
        <v>0</v>
      </c>
      <c r="AO1939" s="21" t="n">
        <v>0</v>
      </c>
      <c r="AP1939" s="21" t="n">
        <v>0</v>
      </c>
      <c r="AQ1939" s="21" t="n">
        <v>0</v>
      </c>
      <c r="AR1939" s="21" t="n">
        <v>0</v>
      </c>
      <c r="AS1939" s="21" t="n">
        <v>0</v>
      </c>
      <c r="AT1939" s="19" t="n"/>
    </row>
    <row r="1940">
      <c r="D1940" s="21" t="n">
        <v>0</v>
      </c>
      <c r="E1940" s="21" t="n">
        <v>0</v>
      </c>
      <c r="F1940" s="21">
        <f>-$B$1811</f>
        <v/>
      </c>
      <c r="G1940" s="21">
        <f>-$B$1812</f>
        <v/>
      </c>
      <c r="H1940" s="21">
        <f>2*$B$1811+$D$1916</f>
        <v/>
      </c>
      <c r="I1940" s="21">
        <f>0</f>
        <v/>
      </c>
      <c r="J1940" s="21">
        <f>-$B$1811</f>
        <v/>
      </c>
      <c r="K1940" s="21">
        <f>$B$1812</f>
        <v/>
      </c>
      <c r="L1940" s="21" t="n">
        <v>0</v>
      </c>
      <c r="M1940" s="21" t="n">
        <v>0</v>
      </c>
      <c r="N1940" s="21" t="n">
        <v>0</v>
      </c>
      <c r="O1940" s="21" t="n">
        <v>0</v>
      </c>
      <c r="P1940" s="21" t="n">
        <v>0</v>
      </c>
      <c r="Q1940" s="21" t="n">
        <v>0</v>
      </c>
      <c r="R1940" s="21" t="n">
        <v>0</v>
      </c>
      <c r="S1940" s="21" t="n">
        <v>0</v>
      </c>
      <c r="T1940" s="21" t="n">
        <v>0</v>
      </c>
      <c r="U1940" s="21" t="n">
        <v>0</v>
      </c>
      <c r="V1940" s="21" t="n">
        <v>0</v>
      </c>
      <c r="W1940" s="21" t="n">
        <v>0</v>
      </c>
      <c r="X1940" s="21" t="n">
        <v>0</v>
      </c>
      <c r="Y1940" s="21" t="n">
        <v>0</v>
      </c>
      <c r="Z1940" s="21" t="n">
        <v>0</v>
      </c>
      <c r="AA1940" s="21" t="n">
        <v>0</v>
      </c>
      <c r="AB1940" s="21" t="n">
        <v>0</v>
      </c>
      <c r="AC1940" s="21" t="n">
        <v>0</v>
      </c>
      <c r="AD1940" s="21" t="n">
        <v>0</v>
      </c>
      <c r="AE1940" s="21" t="n">
        <v>0</v>
      </c>
      <c r="AF1940" s="21" t="n">
        <v>0</v>
      </c>
      <c r="AG1940" s="21" t="n">
        <v>0</v>
      </c>
      <c r="AH1940" s="21" t="n">
        <v>0</v>
      </c>
      <c r="AI1940" s="21" t="n">
        <v>0</v>
      </c>
      <c r="AJ1940" s="21" t="n">
        <v>0</v>
      </c>
      <c r="AK1940" s="21" t="n">
        <v>0</v>
      </c>
      <c r="AL1940" s="21" t="n">
        <v>0</v>
      </c>
      <c r="AM1940" s="21" t="n">
        <v>0</v>
      </c>
      <c r="AN1940" s="21" t="n">
        <v>0</v>
      </c>
      <c r="AO1940" s="21" t="n">
        <v>0</v>
      </c>
      <c r="AP1940" s="21" t="n">
        <v>0</v>
      </c>
      <c r="AQ1940" s="21" t="n">
        <v>0</v>
      </c>
      <c r="AR1940" s="21" t="n">
        <v>0</v>
      </c>
      <c r="AS1940" s="21" t="n">
        <v>0</v>
      </c>
      <c r="AT1940" s="19" t="n"/>
    </row>
    <row r="1941">
      <c r="D1941" s="21" t="n">
        <v>0</v>
      </c>
      <c r="E1941" s="21" t="n">
        <v>0</v>
      </c>
      <c r="F1941" s="21">
        <f>$B$1812</f>
        <v/>
      </c>
      <c r="G1941" s="21">
        <f>$B$1814</f>
        <v/>
      </c>
      <c r="H1941" s="21">
        <f>0</f>
        <v/>
      </c>
      <c r="I1941" s="21">
        <f>2*$B$1813</f>
        <v/>
      </c>
      <c r="J1941" s="21">
        <f>-$B$1812</f>
        <v/>
      </c>
      <c r="K1941" s="21">
        <f>$B$1814</f>
        <v/>
      </c>
      <c r="L1941" s="21" t="n">
        <v>0</v>
      </c>
      <c r="M1941" s="21" t="n">
        <v>0</v>
      </c>
      <c r="N1941" s="21" t="n">
        <v>0</v>
      </c>
      <c r="O1941" s="21" t="n">
        <v>0</v>
      </c>
      <c r="P1941" s="21" t="n">
        <v>0</v>
      </c>
      <c r="Q1941" s="21" t="n">
        <v>0</v>
      </c>
      <c r="R1941" s="21" t="n">
        <v>0</v>
      </c>
      <c r="S1941" s="21" t="n">
        <v>0</v>
      </c>
      <c r="T1941" s="21" t="n">
        <v>0</v>
      </c>
      <c r="U1941" s="21" t="n">
        <v>0</v>
      </c>
      <c r="V1941" s="21" t="n">
        <v>0</v>
      </c>
      <c r="W1941" s="21" t="n">
        <v>0</v>
      </c>
      <c r="X1941" s="21" t="n">
        <v>0</v>
      </c>
      <c r="Y1941" s="21" t="n">
        <v>0</v>
      </c>
      <c r="Z1941" s="21" t="n">
        <v>0</v>
      </c>
      <c r="AA1941" s="21" t="n">
        <v>0</v>
      </c>
      <c r="AB1941" s="21" t="n">
        <v>0</v>
      </c>
      <c r="AC1941" s="21" t="n">
        <v>0</v>
      </c>
      <c r="AD1941" s="21" t="n">
        <v>0</v>
      </c>
      <c r="AE1941" s="21" t="n">
        <v>0</v>
      </c>
      <c r="AF1941" s="21" t="n">
        <v>0</v>
      </c>
      <c r="AG1941" s="21" t="n">
        <v>0</v>
      </c>
      <c r="AH1941" s="21" t="n">
        <v>0</v>
      </c>
      <c r="AI1941" s="21" t="n">
        <v>0</v>
      </c>
      <c r="AJ1941" s="21" t="n">
        <v>0</v>
      </c>
      <c r="AK1941" s="21" t="n">
        <v>0</v>
      </c>
      <c r="AL1941" s="21" t="n">
        <v>0</v>
      </c>
      <c r="AM1941" s="21" t="n">
        <v>0</v>
      </c>
      <c r="AN1941" s="21" t="n">
        <v>0</v>
      </c>
      <c r="AO1941" s="21" t="n">
        <v>0</v>
      </c>
      <c r="AP1941" s="21" t="n">
        <v>0</v>
      </c>
      <c r="AQ1941" s="21" t="n">
        <v>0</v>
      </c>
      <c r="AR1941" s="21" t="n">
        <v>0</v>
      </c>
      <c r="AS1941" s="21" t="n">
        <v>0</v>
      </c>
      <c r="AT1941" s="19" t="n"/>
    </row>
    <row r="1942">
      <c r="D1942" s="21" t="n">
        <v>0</v>
      </c>
      <c r="E1942" s="21" t="n">
        <v>0</v>
      </c>
      <c r="F1942" s="21" t="n">
        <v>0</v>
      </c>
      <c r="G1942" s="21" t="n">
        <v>0</v>
      </c>
      <c r="H1942" s="21">
        <f>-$B$1811</f>
        <v/>
      </c>
      <c r="I1942" s="21">
        <f>-$B$1812</f>
        <v/>
      </c>
      <c r="J1942" s="21">
        <f>2*$B$1811+$D$1917</f>
        <v/>
      </c>
      <c r="K1942" s="21">
        <f>0</f>
        <v/>
      </c>
      <c r="L1942" s="21">
        <f>-$B$1811</f>
        <v/>
      </c>
      <c r="M1942" s="21">
        <f>$B$1812</f>
        <v/>
      </c>
      <c r="N1942" s="21" t="n">
        <v>0</v>
      </c>
      <c r="O1942" s="21" t="n">
        <v>0</v>
      </c>
      <c r="P1942" s="21" t="n">
        <v>0</v>
      </c>
      <c r="Q1942" s="21" t="n">
        <v>0</v>
      </c>
      <c r="R1942" s="21" t="n">
        <v>0</v>
      </c>
      <c r="S1942" s="21" t="n">
        <v>0</v>
      </c>
      <c r="T1942" s="21" t="n">
        <v>0</v>
      </c>
      <c r="U1942" s="21" t="n">
        <v>0</v>
      </c>
      <c r="V1942" s="21" t="n">
        <v>0</v>
      </c>
      <c r="W1942" s="21" t="n">
        <v>0</v>
      </c>
      <c r="X1942" s="21" t="n">
        <v>0</v>
      </c>
      <c r="Y1942" s="21" t="n">
        <v>0</v>
      </c>
      <c r="Z1942" s="21" t="n">
        <v>0</v>
      </c>
      <c r="AA1942" s="21" t="n">
        <v>0</v>
      </c>
      <c r="AB1942" s="21" t="n">
        <v>0</v>
      </c>
      <c r="AC1942" s="21" t="n">
        <v>0</v>
      </c>
      <c r="AD1942" s="21" t="n">
        <v>0</v>
      </c>
      <c r="AE1942" s="21" t="n">
        <v>0</v>
      </c>
      <c r="AF1942" s="21" t="n">
        <v>0</v>
      </c>
      <c r="AG1942" s="21" t="n">
        <v>0</v>
      </c>
      <c r="AH1942" s="21" t="n">
        <v>0</v>
      </c>
      <c r="AI1942" s="21" t="n">
        <v>0</v>
      </c>
      <c r="AJ1942" s="21" t="n">
        <v>0</v>
      </c>
      <c r="AK1942" s="21" t="n">
        <v>0</v>
      </c>
      <c r="AL1942" s="21" t="n">
        <v>0</v>
      </c>
      <c r="AM1942" s="21" t="n">
        <v>0</v>
      </c>
      <c r="AN1942" s="21" t="n">
        <v>0</v>
      </c>
      <c r="AO1942" s="21" t="n">
        <v>0</v>
      </c>
      <c r="AP1942" s="21" t="n">
        <v>0</v>
      </c>
      <c r="AQ1942" s="21" t="n">
        <v>0</v>
      </c>
      <c r="AR1942" s="21" t="n">
        <v>0</v>
      </c>
      <c r="AS1942" s="21" t="n">
        <v>0</v>
      </c>
      <c r="AT1942" s="19" t="n"/>
    </row>
    <row r="1943">
      <c r="D1943" s="21" t="n">
        <v>0</v>
      </c>
      <c r="E1943" s="21" t="n">
        <v>0</v>
      </c>
      <c r="F1943" s="21" t="n">
        <v>0</v>
      </c>
      <c r="G1943" s="21" t="n">
        <v>0</v>
      </c>
      <c r="H1943" s="21">
        <f>$B$1812</f>
        <v/>
      </c>
      <c r="I1943" s="21">
        <f>$B$1814</f>
        <v/>
      </c>
      <c r="J1943" s="21">
        <f>0</f>
        <v/>
      </c>
      <c r="K1943" s="21">
        <f>2*$B$1813</f>
        <v/>
      </c>
      <c r="L1943" s="21">
        <f>-$B$1812</f>
        <v/>
      </c>
      <c r="M1943" s="21">
        <f>$B$1814</f>
        <v/>
      </c>
      <c r="N1943" s="21" t="n">
        <v>0</v>
      </c>
      <c r="O1943" s="21" t="n">
        <v>0</v>
      </c>
      <c r="P1943" s="21" t="n">
        <v>0</v>
      </c>
      <c r="Q1943" s="21" t="n">
        <v>0</v>
      </c>
      <c r="R1943" s="21" t="n">
        <v>0</v>
      </c>
      <c r="S1943" s="21" t="n">
        <v>0</v>
      </c>
      <c r="T1943" s="21" t="n">
        <v>0</v>
      </c>
      <c r="U1943" s="21" t="n">
        <v>0</v>
      </c>
      <c r="V1943" s="21" t="n">
        <v>0</v>
      </c>
      <c r="W1943" s="21" t="n">
        <v>0</v>
      </c>
      <c r="X1943" s="21" t="n">
        <v>0</v>
      </c>
      <c r="Y1943" s="21" t="n">
        <v>0</v>
      </c>
      <c r="Z1943" s="21" t="n">
        <v>0</v>
      </c>
      <c r="AA1943" s="21" t="n">
        <v>0</v>
      </c>
      <c r="AB1943" s="21" t="n">
        <v>0</v>
      </c>
      <c r="AC1943" s="21" t="n">
        <v>0</v>
      </c>
      <c r="AD1943" s="21" t="n">
        <v>0</v>
      </c>
      <c r="AE1943" s="21" t="n">
        <v>0</v>
      </c>
      <c r="AF1943" s="21" t="n">
        <v>0</v>
      </c>
      <c r="AG1943" s="21" t="n">
        <v>0</v>
      </c>
      <c r="AH1943" s="21" t="n">
        <v>0</v>
      </c>
      <c r="AI1943" s="21" t="n">
        <v>0</v>
      </c>
      <c r="AJ1943" s="21" t="n">
        <v>0</v>
      </c>
      <c r="AK1943" s="21" t="n">
        <v>0</v>
      </c>
      <c r="AL1943" s="21" t="n">
        <v>0</v>
      </c>
      <c r="AM1943" s="21" t="n">
        <v>0</v>
      </c>
      <c r="AN1943" s="21" t="n">
        <v>0</v>
      </c>
      <c r="AO1943" s="21" t="n">
        <v>0</v>
      </c>
      <c r="AP1943" s="21" t="n">
        <v>0</v>
      </c>
      <c r="AQ1943" s="21" t="n">
        <v>0</v>
      </c>
      <c r="AR1943" s="21" t="n">
        <v>0</v>
      </c>
      <c r="AS1943" s="21" t="n">
        <v>0</v>
      </c>
      <c r="AT1943" s="19" t="n"/>
    </row>
    <row r="1944">
      <c r="D1944" s="21" t="n">
        <v>0</v>
      </c>
      <c r="E1944" s="21" t="n">
        <v>0</v>
      </c>
      <c r="F1944" s="21" t="n">
        <v>0</v>
      </c>
      <c r="G1944" s="21" t="n">
        <v>0</v>
      </c>
      <c r="H1944" s="21" t="n">
        <v>0</v>
      </c>
      <c r="I1944" s="21" t="n">
        <v>0</v>
      </c>
      <c r="J1944" s="21">
        <f>-$B$1811</f>
        <v/>
      </c>
      <c r="K1944" s="21">
        <f>-$B$1812</f>
        <v/>
      </c>
      <c r="L1944" s="21">
        <f>2*$B$1811+$D$1918</f>
        <v/>
      </c>
      <c r="M1944" s="21">
        <f>0</f>
        <v/>
      </c>
      <c r="N1944" s="21">
        <f>-$B$1811</f>
        <v/>
      </c>
      <c r="O1944" s="21">
        <f>$B$1812</f>
        <v/>
      </c>
      <c r="P1944" s="21" t="n">
        <v>0</v>
      </c>
      <c r="Q1944" s="21" t="n">
        <v>0</v>
      </c>
      <c r="R1944" s="21" t="n">
        <v>0</v>
      </c>
      <c r="S1944" s="21" t="n">
        <v>0</v>
      </c>
      <c r="T1944" s="21" t="n">
        <v>0</v>
      </c>
      <c r="U1944" s="21" t="n">
        <v>0</v>
      </c>
      <c r="V1944" s="21" t="n">
        <v>0</v>
      </c>
      <c r="W1944" s="21" t="n">
        <v>0</v>
      </c>
      <c r="X1944" s="21" t="n">
        <v>0</v>
      </c>
      <c r="Y1944" s="21" t="n">
        <v>0</v>
      </c>
      <c r="Z1944" s="21" t="n">
        <v>0</v>
      </c>
      <c r="AA1944" s="21" t="n">
        <v>0</v>
      </c>
      <c r="AB1944" s="21" t="n">
        <v>0</v>
      </c>
      <c r="AC1944" s="21" t="n">
        <v>0</v>
      </c>
      <c r="AD1944" s="21" t="n">
        <v>0</v>
      </c>
      <c r="AE1944" s="21" t="n">
        <v>0</v>
      </c>
      <c r="AF1944" s="21" t="n">
        <v>0</v>
      </c>
      <c r="AG1944" s="21" t="n">
        <v>0</v>
      </c>
      <c r="AH1944" s="21" t="n">
        <v>0</v>
      </c>
      <c r="AI1944" s="21" t="n">
        <v>0</v>
      </c>
      <c r="AJ1944" s="21" t="n">
        <v>0</v>
      </c>
      <c r="AK1944" s="21" t="n">
        <v>0</v>
      </c>
      <c r="AL1944" s="21" t="n">
        <v>0</v>
      </c>
      <c r="AM1944" s="21" t="n">
        <v>0</v>
      </c>
      <c r="AN1944" s="21" t="n">
        <v>0</v>
      </c>
      <c r="AO1944" s="21" t="n">
        <v>0</v>
      </c>
      <c r="AP1944" s="21" t="n">
        <v>0</v>
      </c>
      <c r="AQ1944" s="21" t="n">
        <v>0</v>
      </c>
      <c r="AR1944" s="21" t="n">
        <v>0</v>
      </c>
      <c r="AS1944" s="21" t="n">
        <v>0</v>
      </c>
      <c r="AT1944" s="19" t="n"/>
    </row>
    <row r="1945">
      <c r="D1945" s="21" t="n">
        <v>0</v>
      </c>
      <c r="E1945" s="21" t="n">
        <v>0</v>
      </c>
      <c r="F1945" s="21" t="n">
        <v>0</v>
      </c>
      <c r="G1945" s="21" t="n">
        <v>0</v>
      </c>
      <c r="H1945" s="21" t="n">
        <v>0</v>
      </c>
      <c r="I1945" s="21" t="n">
        <v>0</v>
      </c>
      <c r="J1945" s="21">
        <f>$B$1812</f>
        <v/>
      </c>
      <c r="K1945" s="21">
        <f>$B$1814</f>
        <v/>
      </c>
      <c r="L1945" s="21">
        <f>0</f>
        <v/>
      </c>
      <c r="M1945" s="21">
        <f>2*$B$1813</f>
        <v/>
      </c>
      <c r="N1945" s="21">
        <f>-$B$1812</f>
        <v/>
      </c>
      <c r="O1945" s="21">
        <f>$B$1814</f>
        <v/>
      </c>
      <c r="P1945" s="21" t="n">
        <v>0</v>
      </c>
      <c r="Q1945" s="21" t="n">
        <v>0</v>
      </c>
      <c r="R1945" s="21" t="n">
        <v>0</v>
      </c>
      <c r="S1945" s="21" t="n">
        <v>0</v>
      </c>
      <c r="T1945" s="21" t="n">
        <v>0</v>
      </c>
      <c r="U1945" s="21" t="n">
        <v>0</v>
      </c>
      <c r="V1945" s="21" t="n">
        <v>0</v>
      </c>
      <c r="W1945" s="21" t="n">
        <v>0</v>
      </c>
      <c r="X1945" s="21" t="n">
        <v>0</v>
      </c>
      <c r="Y1945" s="21" t="n">
        <v>0</v>
      </c>
      <c r="Z1945" s="21" t="n">
        <v>0</v>
      </c>
      <c r="AA1945" s="21" t="n">
        <v>0</v>
      </c>
      <c r="AB1945" s="21" t="n">
        <v>0</v>
      </c>
      <c r="AC1945" s="21" t="n">
        <v>0</v>
      </c>
      <c r="AD1945" s="21" t="n">
        <v>0</v>
      </c>
      <c r="AE1945" s="21" t="n">
        <v>0</v>
      </c>
      <c r="AF1945" s="21" t="n">
        <v>0</v>
      </c>
      <c r="AG1945" s="21" t="n">
        <v>0</v>
      </c>
      <c r="AH1945" s="21" t="n">
        <v>0</v>
      </c>
      <c r="AI1945" s="21" t="n">
        <v>0</v>
      </c>
      <c r="AJ1945" s="21" t="n">
        <v>0</v>
      </c>
      <c r="AK1945" s="21" t="n">
        <v>0</v>
      </c>
      <c r="AL1945" s="21" t="n">
        <v>0</v>
      </c>
      <c r="AM1945" s="21" t="n">
        <v>0</v>
      </c>
      <c r="AN1945" s="21" t="n">
        <v>0</v>
      </c>
      <c r="AO1945" s="21" t="n">
        <v>0</v>
      </c>
      <c r="AP1945" s="21" t="n">
        <v>0</v>
      </c>
      <c r="AQ1945" s="21" t="n">
        <v>0</v>
      </c>
      <c r="AR1945" s="21" t="n">
        <v>0</v>
      </c>
      <c r="AS1945" s="21" t="n">
        <v>0</v>
      </c>
      <c r="AT1945" s="19" t="n"/>
    </row>
    <row r="1946">
      <c r="D1946" s="21" t="n">
        <v>0</v>
      </c>
      <c r="E1946" s="21" t="n">
        <v>0</v>
      </c>
      <c r="F1946" s="21" t="n">
        <v>0</v>
      </c>
      <c r="G1946" s="21" t="n">
        <v>0</v>
      </c>
      <c r="H1946" s="21" t="n">
        <v>0</v>
      </c>
      <c r="I1946" s="21" t="n">
        <v>0</v>
      </c>
      <c r="J1946" s="21" t="n">
        <v>0</v>
      </c>
      <c r="K1946" s="21" t="n">
        <v>0</v>
      </c>
      <c r="L1946" s="21">
        <f>-$B$1811</f>
        <v/>
      </c>
      <c r="M1946" s="21">
        <f>-$B$1812</f>
        <v/>
      </c>
      <c r="N1946" s="21">
        <f>2*$B$1811+$D$1919</f>
        <v/>
      </c>
      <c r="O1946" s="21">
        <f>0</f>
        <v/>
      </c>
      <c r="P1946" s="21">
        <f>-$B$1811</f>
        <v/>
      </c>
      <c r="Q1946" s="21">
        <f>$B$1812</f>
        <v/>
      </c>
      <c r="R1946" s="21" t="n">
        <v>0</v>
      </c>
      <c r="S1946" s="21" t="n">
        <v>0</v>
      </c>
      <c r="T1946" s="21" t="n">
        <v>0</v>
      </c>
      <c r="U1946" s="21" t="n">
        <v>0</v>
      </c>
      <c r="V1946" s="21" t="n">
        <v>0</v>
      </c>
      <c r="W1946" s="21" t="n">
        <v>0</v>
      </c>
      <c r="X1946" s="21" t="n">
        <v>0</v>
      </c>
      <c r="Y1946" s="21" t="n">
        <v>0</v>
      </c>
      <c r="Z1946" s="21" t="n">
        <v>0</v>
      </c>
      <c r="AA1946" s="21" t="n">
        <v>0</v>
      </c>
      <c r="AB1946" s="21" t="n">
        <v>0</v>
      </c>
      <c r="AC1946" s="21" t="n">
        <v>0</v>
      </c>
      <c r="AD1946" s="21" t="n">
        <v>0</v>
      </c>
      <c r="AE1946" s="21" t="n">
        <v>0</v>
      </c>
      <c r="AF1946" s="21" t="n">
        <v>0</v>
      </c>
      <c r="AG1946" s="21" t="n">
        <v>0</v>
      </c>
      <c r="AH1946" s="21" t="n">
        <v>0</v>
      </c>
      <c r="AI1946" s="21" t="n">
        <v>0</v>
      </c>
      <c r="AJ1946" s="21" t="n">
        <v>0</v>
      </c>
      <c r="AK1946" s="21" t="n">
        <v>0</v>
      </c>
      <c r="AL1946" s="21" t="n">
        <v>0</v>
      </c>
      <c r="AM1946" s="21" t="n">
        <v>0</v>
      </c>
      <c r="AN1946" s="21" t="n">
        <v>0</v>
      </c>
      <c r="AO1946" s="21" t="n">
        <v>0</v>
      </c>
      <c r="AP1946" s="21" t="n">
        <v>0</v>
      </c>
      <c r="AQ1946" s="21" t="n">
        <v>0</v>
      </c>
      <c r="AR1946" s="21" t="n">
        <v>0</v>
      </c>
      <c r="AS1946" s="21" t="n">
        <v>0</v>
      </c>
      <c r="AT1946" s="19" t="n"/>
    </row>
    <row r="1947">
      <c r="D1947" s="21" t="n">
        <v>0</v>
      </c>
      <c r="E1947" s="21" t="n">
        <v>0</v>
      </c>
      <c r="F1947" s="21" t="n">
        <v>0</v>
      </c>
      <c r="G1947" s="21" t="n">
        <v>0</v>
      </c>
      <c r="H1947" s="21" t="n">
        <v>0</v>
      </c>
      <c r="I1947" s="21" t="n">
        <v>0</v>
      </c>
      <c r="J1947" s="21" t="n">
        <v>0</v>
      </c>
      <c r="K1947" s="21" t="n">
        <v>0</v>
      </c>
      <c r="L1947" s="21">
        <f>$B$1812</f>
        <v/>
      </c>
      <c r="M1947" s="21">
        <f>$B$1814</f>
        <v/>
      </c>
      <c r="N1947" s="21">
        <f>0</f>
        <v/>
      </c>
      <c r="O1947" s="21">
        <f>2*$B$1813</f>
        <v/>
      </c>
      <c r="P1947" s="21">
        <f>-$B$1812</f>
        <v/>
      </c>
      <c r="Q1947" s="21">
        <f>$B$1814</f>
        <v/>
      </c>
      <c r="R1947" s="21" t="n">
        <v>0</v>
      </c>
      <c r="S1947" s="21" t="n">
        <v>0</v>
      </c>
      <c r="T1947" s="21" t="n">
        <v>0</v>
      </c>
      <c r="U1947" s="21" t="n">
        <v>0</v>
      </c>
      <c r="V1947" s="21" t="n">
        <v>0</v>
      </c>
      <c r="W1947" s="21" t="n">
        <v>0</v>
      </c>
      <c r="X1947" s="21" t="n">
        <v>0</v>
      </c>
      <c r="Y1947" s="21" t="n">
        <v>0</v>
      </c>
      <c r="Z1947" s="21" t="n">
        <v>0</v>
      </c>
      <c r="AA1947" s="21" t="n">
        <v>0</v>
      </c>
      <c r="AB1947" s="21" t="n">
        <v>0</v>
      </c>
      <c r="AC1947" s="21" t="n">
        <v>0</v>
      </c>
      <c r="AD1947" s="21" t="n">
        <v>0</v>
      </c>
      <c r="AE1947" s="21" t="n">
        <v>0</v>
      </c>
      <c r="AF1947" s="21" t="n">
        <v>0</v>
      </c>
      <c r="AG1947" s="21" t="n">
        <v>0</v>
      </c>
      <c r="AH1947" s="21" t="n">
        <v>0</v>
      </c>
      <c r="AI1947" s="21" t="n">
        <v>0</v>
      </c>
      <c r="AJ1947" s="21" t="n">
        <v>0</v>
      </c>
      <c r="AK1947" s="21" t="n">
        <v>0</v>
      </c>
      <c r="AL1947" s="21" t="n">
        <v>0</v>
      </c>
      <c r="AM1947" s="21" t="n">
        <v>0</v>
      </c>
      <c r="AN1947" s="21" t="n">
        <v>0</v>
      </c>
      <c r="AO1947" s="21" t="n">
        <v>0</v>
      </c>
      <c r="AP1947" s="21" t="n">
        <v>0</v>
      </c>
      <c r="AQ1947" s="21" t="n">
        <v>0</v>
      </c>
      <c r="AR1947" s="21" t="n">
        <v>0</v>
      </c>
      <c r="AS1947" s="21" t="n">
        <v>0</v>
      </c>
      <c r="AT1947" s="19" t="n"/>
    </row>
    <row r="1948">
      <c r="D1948" s="21" t="n">
        <v>0</v>
      </c>
      <c r="E1948" s="21" t="n">
        <v>0</v>
      </c>
      <c r="F1948" s="21" t="n">
        <v>0</v>
      </c>
      <c r="G1948" s="21" t="n">
        <v>0</v>
      </c>
      <c r="H1948" s="21" t="n">
        <v>0</v>
      </c>
      <c r="I1948" s="21" t="n">
        <v>0</v>
      </c>
      <c r="J1948" s="21" t="n">
        <v>0</v>
      </c>
      <c r="K1948" s="21" t="n">
        <v>0</v>
      </c>
      <c r="L1948" s="21" t="n">
        <v>0</v>
      </c>
      <c r="M1948" s="21" t="n">
        <v>0</v>
      </c>
      <c r="N1948" s="21">
        <f>-$B$1811</f>
        <v/>
      </c>
      <c r="O1948" s="21">
        <f>-$B$1812</f>
        <v/>
      </c>
      <c r="P1948" s="21">
        <f>2*$B$1811+$D$1920</f>
        <v/>
      </c>
      <c r="Q1948" s="21">
        <f>0</f>
        <v/>
      </c>
      <c r="R1948" s="21">
        <f>-$B$1811</f>
        <v/>
      </c>
      <c r="S1948" s="21">
        <f>$B$1812</f>
        <v/>
      </c>
      <c r="T1948" s="21" t="n">
        <v>0</v>
      </c>
      <c r="U1948" s="21" t="n">
        <v>0</v>
      </c>
      <c r="V1948" s="21" t="n">
        <v>0</v>
      </c>
      <c r="W1948" s="21" t="n">
        <v>0</v>
      </c>
      <c r="X1948" s="21" t="n">
        <v>0</v>
      </c>
      <c r="Y1948" s="21" t="n">
        <v>0</v>
      </c>
      <c r="Z1948" s="21" t="n">
        <v>0</v>
      </c>
      <c r="AA1948" s="21" t="n">
        <v>0</v>
      </c>
      <c r="AB1948" s="21" t="n">
        <v>0</v>
      </c>
      <c r="AC1948" s="21" t="n">
        <v>0</v>
      </c>
      <c r="AD1948" s="21" t="n">
        <v>0</v>
      </c>
      <c r="AE1948" s="21" t="n">
        <v>0</v>
      </c>
      <c r="AF1948" s="21" t="n">
        <v>0</v>
      </c>
      <c r="AG1948" s="21" t="n">
        <v>0</v>
      </c>
      <c r="AH1948" s="21" t="n">
        <v>0</v>
      </c>
      <c r="AI1948" s="21" t="n">
        <v>0</v>
      </c>
      <c r="AJ1948" s="21" t="n">
        <v>0</v>
      </c>
      <c r="AK1948" s="21" t="n">
        <v>0</v>
      </c>
      <c r="AL1948" s="21" t="n">
        <v>0</v>
      </c>
      <c r="AM1948" s="21" t="n">
        <v>0</v>
      </c>
      <c r="AN1948" s="21" t="n">
        <v>0</v>
      </c>
      <c r="AO1948" s="21" t="n">
        <v>0</v>
      </c>
      <c r="AP1948" s="21" t="n">
        <v>0</v>
      </c>
      <c r="AQ1948" s="21" t="n">
        <v>0</v>
      </c>
      <c r="AR1948" s="21" t="n">
        <v>0</v>
      </c>
      <c r="AS1948" s="21" t="n">
        <v>0</v>
      </c>
      <c r="AT1948" s="19" t="n"/>
    </row>
    <row r="1949">
      <c r="D1949" s="21" t="n">
        <v>0</v>
      </c>
      <c r="E1949" s="21" t="n">
        <v>0</v>
      </c>
      <c r="F1949" s="21" t="n">
        <v>0</v>
      </c>
      <c r="G1949" s="21" t="n">
        <v>0</v>
      </c>
      <c r="H1949" s="21" t="n">
        <v>0</v>
      </c>
      <c r="I1949" s="21" t="n">
        <v>0</v>
      </c>
      <c r="J1949" s="21" t="n">
        <v>0</v>
      </c>
      <c r="K1949" s="21" t="n">
        <v>0</v>
      </c>
      <c r="L1949" s="21" t="n">
        <v>0</v>
      </c>
      <c r="M1949" s="21" t="n">
        <v>0</v>
      </c>
      <c r="N1949" s="21">
        <f>$B$1812</f>
        <v/>
      </c>
      <c r="O1949" s="21">
        <f>$B$1814</f>
        <v/>
      </c>
      <c r="P1949" s="21">
        <f>0</f>
        <v/>
      </c>
      <c r="Q1949" s="21">
        <f>2*$B$1813</f>
        <v/>
      </c>
      <c r="R1949" s="21">
        <f>-$B$1812</f>
        <v/>
      </c>
      <c r="S1949" s="21">
        <f>$B$1814</f>
        <v/>
      </c>
      <c r="T1949" s="21" t="n">
        <v>0</v>
      </c>
      <c r="U1949" s="21" t="n">
        <v>0</v>
      </c>
      <c r="V1949" s="21" t="n">
        <v>0</v>
      </c>
      <c r="W1949" s="21" t="n">
        <v>0</v>
      </c>
      <c r="X1949" s="21" t="n">
        <v>0</v>
      </c>
      <c r="Y1949" s="21" t="n">
        <v>0</v>
      </c>
      <c r="Z1949" s="21" t="n">
        <v>0</v>
      </c>
      <c r="AA1949" s="21" t="n">
        <v>0</v>
      </c>
      <c r="AB1949" s="21" t="n">
        <v>0</v>
      </c>
      <c r="AC1949" s="21" t="n">
        <v>0</v>
      </c>
      <c r="AD1949" s="21" t="n">
        <v>0</v>
      </c>
      <c r="AE1949" s="21" t="n">
        <v>0</v>
      </c>
      <c r="AF1949" s="21" t="n">
        <v>0</v>
      </c>
      <c r="AG1949" s="21" t="n">
        <v>0</v>
      </c>
      <c r="AH1949" s="21" t="n">
        <v>0</v>
      </c>
      <c r="AI1949" s="21" t="n">
        <v>0</v>
      </c>
      <c r="AJ1949" s="21" t="n">
        <v>0</v>
      </c>
      <c r="AK1949" s="21" t="n">
        <v>0</v>
      </c>
      <c r="AL1949" s="21" t="n">
        <v>0</v>
      </c>
      <c r="AM1949" s="21" t="n">
        <v>0</v>
      </c>
      <c r="AN1949" s="21" t="n">
        <v>0</v>
      </c>
      <c r="AO1949" s="21" t="n">
        <v>0</v>
      </c>
      <c r="AP1949" s="21" t="n">
        <v>0</v>
      </c>
      <c r="AQ1949" s="21" t="n">
        <v>0</v>
      </c>
      <c r="AR1949" s="21" t="n">
        <v>0</v>
      </c>
      <c r="AS1949" s="21" t="n">
        <v>0</v>
      </c>
      <c r="AT1949" s="19" t="n"/>
    </row>
    <row r="1950">
      <c r="D1950" s="21" t="n">
        <v>0</v>
      </c>
      <c r="E1950" s="21" t="n">
        <v>0</v>
      </c>
      <c r="F1950" s="21" t="n">
        <v>0</v>
      </c>
      <c r="G1950" s="21" t="n">
        <v>0</v>
      </c>
      <c r="H1950" s="21" t="n">
        <v>0</v>
      </c>
      <c r="I1950" s="21" t="n">
        <v>0</v>
      </c>
      <c r="J1950" s="21" t="n">
        <v>0</v>
      </c>
      <c r="K1950" s="21" t="n">
        <v>0</v>
      </c>
      <c r="L1950" s="21" t="n">
        <v>0</v>
      </c>
      <c r="M1950" s="21" t="n">
        <v>0</v>
      </c>
      <c r="N1950" s="21" t="n">
        <v>0</v>
      </c>
      <c r="O1950" s="21" t="n">
        <v>0</v>
      </c>
      <c r="P1950" s="21">
        <f>-$B$1811</f>
        <v/>
      </c>
      <c r="Q1950" s="21">
        <f>-$B$1812</f>
        <v/>
      </c>
      <c r="R1950" s="21">
        <f>2*$B$1811+$D$1921</f>
        <v/>
      </c>
      <c r="S1950" s="21">
        <f>0</f>
        <v/>
      </c>
      <c r="T1950" s="21">
        <f>-$B$1811</f>
        <v/>
      </c>
      <c r="U1950" s="21">
        <f>$B$1812</f>
        <v/>
      </c>
      <c r="V1950" s="21" t="n">
        <v>0</v>
      </c>
      <c r="W1950" s="21" t="n">
        <v>0</v>
      </c>
      <c r="X1950" s="21" t="n">
        <v>0</v>
      </c>
      <c r="Y1950" s="21" t="n">
        <v>0</v>
      </c>
      <c r="Z1950" s="21" t="n">
        <v>0</v>
      </c>
      <c r="AA1950" s="21" t="n">
        <v>0</v>
      </c>
      <c r="AB1950" s="21" t="n">
        <v>0</v>
      </c>
      <c r="AC1950" s="21" t="n">
        <v>0</v>
      </c>
      <c r="AD1950" s="21" t="n">
        <v>0</v>
      </c>
      <c r="AE1950" s="21" t="n">
        <v>0</v>
      </c>
      <c r="AF1950" s="21" t="n">
        <v>0</v>
      </c>
      <c r="AG1950" s="21" t="n">
        <v>0</v>
      </c>
      <c r="AH1950" s="21" t="n">
        <v>0</v>
      </c>
      <c r="AI1950" s="21" t="n">
        <v>0</v>
      </c>
      <c r="AJ1950" s="21" t="n">
        <v>0</v>
      </c>
      <c r="AK1950" s="21" t="n">
        <v>0</v>
      </c>
      <c r="AL1950" s="21" t="n">
        <v>0</v>
      </c>
      <c r="AM1950" s="21" t="n">
        <v>0</v>
      </c>
      <c r="AN1950" s="21" t="n">
        <v>0</v>
      </c>
      <c r="AO1950" s="21" t="n">
        <v>0</v>
      </c>
      <c r="AP1950" s="21" t="n">
        <v>0</v>
      </c>
      <c r="AQ1950" s="21" t="n">
        <v>0</v>
      </c>
      <c r="AR1950" s="21" t="n">
        <v>0</v>
      </c>
      <c r="AS1950" s="21" t="n">
        <v>0</v>
      </c>
      <c r="AT1950" s="19" t="n"/>
    </row>
    <row r="1951">
      <c r="D1951" s="21" t="n">
        <v>0</v>
      </c>
      <c r="E1951" s="21" t="n">
        <v>0</v>
      </c>
      <c r="F1951" s="21" t="n">
        <v>0</v>
      </c>
      <c r="G1951" s="21" t="n">
        <v>0</v>
      </c>
      <c r="H1951" s="21" t="n">
        <v>0</v>
      </c>
      <c r="I1951" s="21" t="n">
        <v>0</v>
      </c>
      <c r="J1951" s="21" t="n">
        <v>0</v>
      </c>
      <c r="K1951" s="21" t="n">
        <v>0</v>
      </c>
      <c r="L1951" s="21" t="n">
        <v>0</v>
      </c>
      <c r="M1951" s="21" t="n">
        <v>0</v>
      </c>
      <c r="N1951" s="21" t="n">
        <v>0</v>
      </c>
      <c r="O1951" s="21" t="n">
        <v>0</v>
      </c>
      <c r="P1951" s="21">
        <f>$B$1812</f>
        <v/>
      </c>
      <c r="Q1951" s="21">
        <f>$B$1814</f>
        <v/>
      </c>
      <c r="R1951" s="21">
        <f>0</f>
        <v/>
      </c>
      <c r="S1951" s="21">
        <f>2*$B$1813</f>
        <v/>
      </c>
      <c r="T1951" s="21">
        <f>-$B$1812</f>
        <v/>
      </c>
      <c r="U1951" s="21">
        <f>$B$1814</f>
        <v/>
      </c>
      <c r="V1951" s="21" t="n">
        <v>0</v>
      </c>
      <c r="W1951" s="21" t="n">
        <v>0</v>
      </c>
      <c r="X1951" s="21" t="n">
        <v>0</v>
      </c>
      <c r="Y1951" s="21" t="n">
        <v>0</v>
      </c>
      <c r="Z1951" s="21" t="n">
        <v>0</v>
      </c>
      <c r="AA1951" s="21" t="n">
        <v>0</v>
      </c>
      <c r="AB1951" s="21" t="n">
        <v>0</v>
      </c>
      <c r="AC1951" s="21" t="n">
        <v>0</v>
      </c>
      <c r="AD1951" s="21" t="n">
        <v>0</v>
      </c>
      <c r="AE1951" s="21" t="n">
        <v>0</v>
      </c>
      <c r="AF1951" s="21" t="n">
        <v>0</v>
      </c>
      <c r="AG1951" s="21" t="n">
        <v>0</v>
      </c>
      <c r="AH1951" s="21" t="n">
        <v>0</v>
      </c>
      <c r="AI1951" s="21" t="n">
        <v>0</v>
      </c>
      <c r="AJ1951" s="21" t="n">
        <v>0</v>
      </c>
      <c r="AK1951" s="21" t="n">
        <v>0</v>
      </c>
      <c r="AL1951" s="21" t="n">
        <v>0</v>
      </c>
      <c r="AM1951" s="21" t="n">
        <v>0</v>
      </c>
      <c r="AN1951" s="21" t="n">
        <v>0</v>
      </c>
      <c r="AO1951" s="21" t="n">
        <v>0</v>
      </c>
      <c r="AP1951" s="21" t="n">
        <v>0</v>
      </c>
      <c r="AQ1951" s="21" t="n">
        <v>0</v>
      </c>
      <c r="AR1951" s="21" t="n">
        <v>0</v>
      </c>
      <c r="AS1951" s="21" t="n">
        <v>0</v>
      </c>
      <c r="AT1951" s="19" t="n"/>
    </row>
    <row r="1952">
      <c r="D1952" s="21" t="n">
        <v>0</v>
      </c>
      <c r="E1952" s="21" t="n">
        <v>0</v>
      </c>
      <c r="F1952" s="21" t="n">
        <v>0</v>
      </c>
      <c r="G1952" s="21" t="n">
        <v>0</v>
      </c>
      <c r="H1952" s="21" t="n">
        <v>0</v>
      </c>
      <c r="I1952" s="21" t="n">
        <v>0</v>
      </c>
      <c r="J1952" s="21" t="n">
        <v>0</v>
      </c>
      <c r="K1952" s="21" t="n">
        <v>0</v>
      </c>
      <c r="L1952" s="21" t="n">
        <v>0</v>
      </c>
      <c r="M1952" s="21" t="n">
        <v>0</v>
      </c>
      <c r="N1952" s="21" t="n">
        <v>0</v>
      </c>
      <c r="O1952" s="21" t="n">
        <v>0</v>
      </c>
      <c r="P1952" s="21" t="n">
        <v>0</v>
      </c>
      <c r="Q1952" s="21" t="n">
        <v>0</v>
      </c>
      <c r="R1952" s="21">
        <f>-$B$1811</f>
        <v/>
      </c>
      <c r="S1952" s="21">
        <f>-$B$1812</f>
        <v/>
      </c>
      <c r="T1952" s="21">
        <f>2*$B$1811+$D$1922</f>
        <v/>
      </c>
      <c r="U1952" s="21">
        <f>0</f>
        <v/>
      </c>
      <c r="V1952" s="21">
        <f>-$B$1811</f>
        <v/>
      </c>
      <c r="W1952" s="21">
        <f>$B$1812</f>
        <v/>
      </c>
      <c r="X1952" s="21" t="n">
        <v>0</v>
      </c>
      <c r="Y1952" s="21" t="n">
        <v>0</v>
      </c>
      <c r="Z1952" s="21" t="n">
        <v>0</v>
      </c>
      <c r="AA1952" s="21" t="n">
        <v>0</v>
      </c>
      <c r="AB1952" s="21" t="n">
        <v>0</v>
      </c>
      <c r="AC1952" s="21" t="n">
        <v>0</v>
      </c>
      <c r="AD1952" s="21" t="n">
        <v>0</v>
      </c>
      <c r="AE1952" s="21" t="n">
        <v>0</v>
      </c>
      <c r="AF1952" s="21" t="n">
        <v>0</v>
      </c>
      <c r="AG1952" s="21" t="n">
        <v>0</v>
      </c>
      <c r="AH1952" s="21" t="n">
        <v>0</v>
      </c>
      <c r="AI1952" s="21" t="n">
        <v>0</v>
      </c>
      <c r="AJ1952" s="21" t="n">
        <v>0</v>
      </c>
      <c r="AK1952" s="21" t="n">
        <v>0</v>
      </c>
      <c r="AL1952" s="21" t="n">
        <v>0</v>
      </c>
      <c r="AM1952" s="21" t="n">
        <v>0</v>
      </c>
      <c r="AN1952" s="21" t="n">
        <v>0</v>
      </c>
      <c r="AO1952" s="21" t="n">
        <v>0</v>
      </c>
      <c r="AP1952" s="21" t="n">
        <v>0</v>
      </c>
      <c r="AQ1952" s="21" t="n">
        <v>0</v>
      </c>
      <c r="AR1952" s="21" t="n">
        <v>0</v>
      </c>
      <c r="AS1952" s="21" t="n">
        <v>0</v>
      </c>
      <c r="AT1952" s="19" t="n"/>
    </row>
    <row r="1953">
      <c r="D1953" s="21" t="n">
        <v>0</v>
      </c>
      <c r="E1953" s="21" t="n">
        <v>0</v>
      </c>
      <c r="F1953" s="21" t="n">
        <v>0</v>
      </c>
      <c r="G1953" s="21" t="n">
        <v>0</v>
      </c>
      <c r="H1953" s="21" t="n">
        <v>0</v>
      </c>
      <c r="I1953" s="21" t="n">
        <v>0</v>
      </c>
      <c r="J1953" s="21" t="n">
        <v>0</v>
      </c>
      <c r="K1953" s="21" t="n">
        <v>0</v>
      </c>
      <c r="L1953" s="21" t="n">
        <v>0</v>
      </c>
      <c r="M1953" s="21" t="n">
        <v>0</v>
      </c>
      <c r="N1953" s="21" t="n">
        <v>0</v>
      </c>
      <c r="O1953" s="21" t="n">
        <v>0</v>
      </c>
      <c r="P1953" s="21" t="n">
        <v>0</v>
      </c>
      <c r="Q1953" s="21" t="n">
        <v>0</v>
      </c>
      <c r="R1953" s="21">
        <f>$B$1812</f>
        <v/>
      </c>
      <c r="S1953" s="21">
        <f>$B$1814</f>
        <v/>
      </c>
      <c r="T1953" s="21">
        <f>0</f>
        <v/>
      </c>
      <c r="U1953" s="21">
        <f>2*$B$1813</f>
        <v/>
      </c>
      <c r="V1953" s="21">
        <f>-$B$1812</f>
        <v/>
      </c>
      <c r="W1953" s="21">
        <f>$B$1814</f>
        <v/>
      </c>
      <c r="X1953" s="21" t="n">
        <v>0</v>
      </c>
      <c r="Y1953" s="21" t="n">
        <v>0</v>
      </c>
      <c r="Z1953" s="21" t="n">
        <v>0</v>
      </c>
      <c r="AA1953" s="21" t="n">
        <v>0</v>
      </c>
      <c r="AB1953" s="21" t="n">
        <v>0</v>
      </c>
      <c r="AC1953" s="21" t="n">
        <v>0</v>
      </c>
      <c r="AD1953" s="21" t="n">
        <v>0</v>
      </c>
      <c r="AE1953" s="21" t="n">
        <v>0</v>
      </c>
      <c r="AF1953" s="21" t="n">
        <v>0</v>
      </c>
      <c r="AG1953" s="21" t="n">
        <v>0</v>
      </c>
      <c r="AH1953" s="21" t="n">
        <v>0</v>
      </c>
      <c r="AI1953" s="21" t="n">
        <v>0</v>
      </c>
      <c r="AJ1953" s="21" t="n">
        <v>0</v>
      </c>
      <c r="AK1953" s="21" t="n">
        <v>0</v>
      </c>
      <c r="AL1953" s="21" t="n">
        <v>0</v>
      </c>
      <c r="AM1953" s="21" t="n">
        <v>0</v>
      </c>
      <c r="AN1953" s="21" t="n">
        <v>0</v>
      </c>
      <c r="AO1953" s="21" t="n">
        <v>0</v>
      </c>
      <c r="AP1953" s="21" t="n">
        <v>0</v>
      </c>
      <c r="AQ1953" s="21" t="n">
        <v>0</v>
      </c>
      <c r="AR1953" s="21" t="n">
        <v>0</v>
      </c>
      <c r="AS1953" s="21" t="n">
        <v>0</v>
      </c>
      <c r="AT1953" s="19" t="n"/>
    </row>
    <row r="1954">
      <c r="D1954" s="21" t="n">
        <v>0</v>
      </c>
      <c r="E1954" s="21" t="n">
        <v>0</v>
      </c>
      <c r="F1954" s="21" t="n">
        <v>0</v>
      </c>
      <c r="G1954" s="21" t="n">
        <v>0</v>
      </c>
      <c r="H1954" s="21" t="n">
        <v>0</v>
      </c>
      <c r="I1954" s="21" t="n">
        <v>0</v>
      </c>
      <c r="J1954" s="21" t="n">
        <v>0</v>
      </c>
      <c r="K1954" s="21" t="n">
        <v>0</v>
      </c>
      <c r="L1954" s="21" t="n">
        <v>0</v>
      </c>
      <c r="M1954" s="21" t="n">
        <v>0</v>
      </c>
      <c r="N1954" s="21" t="n">
        <v>0</v>
      </c>
      <c r="O1954" s="21" t="n">
        <v>0</v>
      </c>
      <c r="P1954" s="21" t="n">
        <v>0</v>
      </c>
      <c r="Q1954" s="21" t="n">
        <v>0</v>
      </c>
      <c r="R1954" s="21" t="n">
        <v>0</v>
      </c>
      <c r="S1954" s="21" t="n">
        <v>0</v>
      </c>
      <c r="T1954" s="21">
        <f>-$B$1811</f>
        <v/>
      </c>
      <c r="U1954" s="21">
        <f>-$B$1812</f>
        <v/>
      </c>
      <c r="V1954" s="21">
        <f>2*$B$1811+$D$1923</f>
        <v/>
      </c>
      <c r="W1954" s="21">
        <f>0</f>
        <v/>
      </c>
      <c r="X1954" s="21">
        <f>-$B$1811</f>
        <v/>
      </c>
      <c r="Y1954" s="21">
        <f>$B$1812</f>
        <v/>
      </c>
      <c r="Z1954" s="21" t="n">
        <v>0</v>
      </c>
      <c r="AA1954" s="21" t="n">
        <v>0</v>
      </c>
      <c r="AB1954" s="21" t="n">
        <v>0</v>
      </c>
      <c r="AC1954" s="21" t="n">
        <v>0</v>
      </c>
      <c r="AD1954" s="21" t="n">
        <v>0</v>
      </c>
      <c r="AE1954" s="21" t="n">
        <v>0</v>
      </c>
      <c r="AF1954" s="21" t="n">
        <v>0</v>
      </c>
      <c r="AG1954" s="21" t="n">
        <v>0</v>
      </c>
      <c r="AH1954" s="21" t="n">
        <v>0</v>
      </c>
      <c r="AI1954" s="21" t="n">
        <v>0</v>
      </c>
      <c r="AJ1954" s="21" t="n">
        <v>0</v>
      </c>
      <c r="AK1954" s="21" t="n">
        <v>0</v>
      </c>
      <c r="AL1954" s="21" t="n">
        <v>0</v>
      </c>
      <c r="AM1954" s="21" t="n">
        <v>0</v>
      </c>
      <c r="AN1954" s="21" t="n">
        <v>0</v>
      </c>
      <c r="AO1954" s="21" t="n">
        <v>0</v>
      </c>
      <c r="AP1954" s="21" t="n">
        <v>0</v>
      </c>
      <c r="AQ1954" s="21" t="n">
        <v>0</v>
      </c>
      <c r="AR1954" s="21" t="n">
        <v>0</v>
      </c>
      <c r="AS1954" s="21" t="n">
        <v>0</v>
      </c>
      <c r="AT1954" s="19" t="n"/>
    </row>
    <row r="1955">
      <c r="D1955" s="21" t="n">
        <v>0</v>
      </c>
      <c r="E1955" s="21" t="n">
        <v>0</v>
      </c>
      <c r="F1955" s="21" t="n">
        <v>0</v>
      </c>
      <c r="G1955" s="21" t="n">
        <v>0</v>
      </c>
      <c r="H1955" s="21" t="n">
        <v>0</v>
      </c>
      <c r="I1955" s="21" t="n">
        <v>0</v>
      </c>
      <c r="J1955" s="21" t="n">
        <v>0</v>
      </c>
      <c r="K1955" s="21" t="n">
        <v>0</v>
      </c>
      <c r="L1955" s="21" t="n">
        <v>0</v>
      </c>
      <c r="M1955" s="21" t="n">
        <v>0</v>
      </c>
      <c r="N1955" s="21" t="n">
        <v>0</v>
      </c>
      <c r="O1955" s="21" t="n">
        <v>0</v>
      </c>
      <c r="P1955" s="21" t="n">
        <v>0</v>
      </c>
      <c r="Q1955" s="21" t="n">
        <v>0</v>
      </c>
      <c r="R1955" s="21" t="n">
        <v>0</v>
      </c>
      <c r="S1955" s="21" t="n">
        <v>0</v>
      </c>
      <c r="T1955" s="21">
        <f>$B$1812</f>
        <v/>
      </c>
      <c r="U1955" s="21">
        <f>$B$1814</f>
        <v/>
      </c>
      <c r="V1955" s="21">
        <f>0</f>
        <v/>
      </c>
      <c r="W1955" s="21">
        <f>2*$B$1813</f>
        <v/>
      </c>
      <c r="X1955" s="21">
        <f>-$B$1812</f>
        <v/>
      </c>
      <c r="Y1955" s="21">
        <f>$B$1814</f>
        <v/>
      </c>
      <c r="Z1955" s="21" t="n">
        <v>0</v>
      </c>
      <c r="AA1955" s="21" t="n">
        <v>0</v>
      </c>
      <c r="AB1955" s="21" t="n">
        <v>0</v>
      </c>
      <c r="AC1955" s="21" t="n">
        <v>0</v>
      </c>
      <c r="AD1955" s="21" t="n">
        <v>0</v>
      </c>
      <c r="AE1955" s="21" t="n">
        <v>0</v>
      </c>
      <c r="AF1955" s="21" t="n">
        <v>0</v>
      </c>
      <c r="AG1955" s="21" t="n">
        <v>0</v>
      </c>
      <c r="AH1955" s="21" t="n">
        <v>0</v>
      </c>
      <c r="AI1955" s="21" t="n">
        <v>0</v>
      </c>
      <c r="AJ1955" s="21" t="n">
        <v>0</v>
      </c>
      <c r="AK1955" s="21" t="n">
        <v>0</v>
      </c>
      <c r="AL1955" s="21" t="n">
        <v>0</v>
      </c>
      <c r="AM1955" s="21" t="n">
        <v>0</v>
      </c>
      <c r="AN1955" s="21" t="n">
        <v>0</v>
      </c>
      <c r="AO1955" s="21" t="n">
        <v>0</v>
      </c>
      <c r="AP1955" s="21" t="n">
        <v>0</v>
      </c>
      <c r="AQ1955" s="21" t="n">
        <v>0</v>
      </c>
      <c r="AR1955" s="21" t="n">
        <v>0</v>
      </c>
      <c r="AS1955" s="21" t="n">
        <v>0</v>
      </c>
      <c r="AT1955" s="19" t="n"/>
    </row>
    <row r="1956">
      <c r="D1956" s="21" t="n">
        <v>0</v>
      </c>
      <c r="E1956" s="21" t="n">
        <v>0</v>
      </c>
      <c r="F1956" s="21" t="n">
        <v>0</v>
      </c>
      <c r="G1956" s="21" t="n">
        <v>0</v>
      </c>
      <c r="H1956" s="21" t="n">
        <v>0</v>
      </c>
      <c r="I1956" s="21" t="n">
        <v>0</v>
      </c>
      <c r="J1956" s="21" t="n">
        <v>0</v>
      </c>
      <c r="K1956" s="21" t="n">
        <v>0</v>
      </c>
      <c r="L1956" s="21" t="n">
        <v>0</v>
      </c>
      <c r="M1956" s="21" t="n">
        <v>0</v>
      </c>
      <c r="N1956" s="21" t="n">
        <v>0</v>
      </c>
      <c r="O1956" s="21" t="n">
        <v>0</v>
      </c>
      <c r="P1956" s="21" t="n">
        <v>0</v>
      </c>
      <c r="Q1956" s="21" t="n">
        <v>0</v>
      </c>
      <c r="R1956" s="21" t="n">
        <v>0</v>
      </c>
      <c r="S1956" s="21" t="n">
        <v>0</v>
      </c>
      <c r="T1956" s="21" t="n">
        <v>0</v>
      </c>
      <c r="U1956" s="21" t="n">
        <v>0</v>
      </c>
      <c r="V1956" s="21">
        <f>-$B$1811</f>
        <v/>
      </c>
      <c r="W1956" s="21">
        <f>-$B$1812</f>
        <v/>
      </c>
      <c r="X1956" s="21">
        <f>2*$B$1811+$D$1924</f>
        <v/>
      </c>
      <c r="Y1956" s="21">
        <f>0</f>
        <v/>
      </c>
      <c r="Z1956" s="21">
        <f>-$B$1811</f>
        <v/>
      </c>
      <c r="AA1956" s="21">
        <f>$B$1812</f>
        <v/>
      </c>
      <c r="AB1956" s="21" t="n">
        <v>0</v>
      </c>
      <c r="AC1956" s="21" t="n">
        <v>0</v>
      </c>
      <c r="AD1956" s="21" t="n">
        <v>0</v>
      </c>
      <c r="AE1956" s="21" t="n">
        <v>0</v>
      </c>
      <c r="AF1956" s="21" t="n">
        <v>0</v>
      </c>
      <c r="AG1956" s="21" t="n">
        <v>0</v>
      </c>
      <c r="AH1956" s="21" t="n">
        <v>0</v>
      </c>
      <c r="AI1956" s="21" t="n">
        <v>0</v>
      </c>
      <c r="AJ1956" s="21" t="n">
        <v>0</v>
      </c>
      <c r="AK1956" s="21" t="n">
        <v>0</v>
      </c>
      <c r="AL1956" s="21" t="n">
        <v>0</v>
      </c>
      <c r="AM1956" s="21" t="n">
        <v>0</v>
      </c>
      <c r="AN1956" s="21" t="n">
        <v>0</v>
      </c>
      <c r="AO1956" s="21" t="n">
        <v>0</v>
      </c>
      <c r="AP1956" s="21" t="n">
        <v>0</v>
      </c>
      <c r="AQ1956" s="21" t="n">
        <v>0</v>
      </c>
      <c r="AR1956" s="21" t="n">
        <v>0</v>
      </c>
      <c r="AS1956" s="21" t="n">
        <v>0</v>
      </c>
      <c r="AT1956" s="19" t="n"/>
    </row>
    <row r="1957">
      <c r="D1957" s="21" t="n">
        <v>0</v>
      </c>
      <c r="E1957" s="21" t="n">
        <v>0</v>
      </c>
      <c r="F1957" s="21" t="n">
        <v>0</v>
      </c>
      <c r="G1957" s="21" t="n">
        <v>0</v>
      </c>
      <c r="H1957" s="21" t="n">
        <v>0</v>
      </c>
      <c r="I1957" s="21" t="n">
        <v>0</v>
      </c>
      <c r="J1957" s="21" t="n">
        <v>0</v>
      </c>
      <c r="K1957" s="21" t="n">
        <v>0</v>
      </c>
      <c r="L1957" s="21" t="n">
        <v>0</v>
      </c>
      <c r="M1957" s="21" t="n">
        <v>0</v>
      </c>
      <c r="N1957" s="21" t="n">
        <v>0</v>
      </c>
      <c r="O1957" s="21" t="n">
        <v>0</v>
      </c>
      <c r="P1957" s="21" t="n">
        <v>0</v>
      </c>
      <c r="Q1957" s="21" t="n">
        <v>0</v>
      </c>
      <c r="R1957" s="21" t="n">
        <v>0</v>
      </c>
      <c r="S1957" s="21" t="n">
        <v>0</v>
      </c>
      <c r="T1957" s="21" t="n">
        <v>0</v>
      </c>
      <c r="U1957" s="21" t="n">
        <v>0</v>
      </c>
      <c r="V1957" s="21">
        <f>$B$1812</f>
        <v/>
      </c>
      <c r="W1957" s="21">
        <f>$B$1814</f>
        <v/>
      </c>
      <c r="X1957" s="21">
        <f>0</f>
        <v/>
      </c>
      <c r="Y1957" s="21">
        <f>2*$B$1813</f>
        <v/>
      </c>
      <c r="Z1957" s="21">
        <f>-$B$1812</f>
        <v/>
      </c>
      <c r="AA1957" s="21">
        <f>$B$1814</f>
        <v/>
      </c>
      <c r="AB1957" s="21" t="n">
        <v>0</v>
      </c>
      <c r="AC1957" s="21" t="n">
        <v>0</v>
      </c>
      <c r="AD1957" s="21" t="n">
        <v>0</v>
      </c>
      <c r="AE1957" s="21" t="n">
        <v>0</v>
      </c>
      <c r="AF1957" s="21" t="n">
        <v>0</v>
      </c>
      <c r="AG1957" s="21" t="n">
        <v>0</v>
      </c>
      <c r="AH1957" s="21" t="n">
        <v>0</v>
      </c>
      <c r="AI1957" s="21" t="n">
        <v>0</v>
      </c>
      <c r="AJ1957" s="21" t="n">
        <v>0</v>
      </c>
      <c r="AK1957" s="21" t="n">
        <v>0</v>
      </c>
      <c r="AL1957" s="21" t="n">
        <v>0</v>
      </c>
      <c r="AM1957" s="21" t="n">
        <v>0</v>
      </c>
      <c r="AN1957" s="21" t="n">
        <v>0</v>
      </c>
      <c r="AO1957" s="21" t="n">
        <v>0</v>
      </c>
      <c r="AP1957" s="21" t="n">
        <v>0</v>
      </c>
      <c r="AQ1957" s="21" t="n">
        <v>0</v>
      </c>
      <c r="AR1957" s="21" t="n">
        <v>0</v>
      </c>
      <c r="AS1957" s="21" t="n">
        <v>0</v>
      </c>
      <c r="AT1957" s="19" t="n"/>
    </row>
    <row r="1958">
      <c r="D1958" s="21" t="n">
        <v>0</v>
      </c>
      <c r="E1958" s="21" t="n">
        <v>0</v>
      </c>
      <c r="F1958" s="21" t="n">
        <v>0</v>
      </c>
      <c r="G1958" s="21" t="n">
        <v>0</v>
      </c>
      <c r="H1958" s="21" t="n">
        <v>0</v>
      </c>
      <c r="I1958" s="21" t="n">
        <v>0</v>
      </c>
      <c r="J1958" s="21" t="n">
        <v>0</v>
      </c>
      <c r="K1958" s="21" t="n">
        <v>0</v>
      </c>
      <c r="L1958" s="21" t="n">
        <v>0</v>
      </c>
      <c r="M1958" s="21" t="n">
        <v>0</v>
      </c>
      <c r="N1958" s="21" t="n">
        <v>0</v>
      </c>
      <c r="O1958" s="21" t="n">
        <v>0</v>
      </c>
      <c r="P1958" s="21" t="n">
        <v>0</v>
      </c>
      <c r="Q1958" s="21" t="n">
        <v>0</v>
      </c>
      <c r="R1958" s="21" t="n">
        <v>0</v>
      </c>
      <c r="S1958" s="21" t="n">
        <v>0</v>
      </c>
      <c r="T1958" s="21" t="n">
        <v>0</v>
      </c>
      <c r="U1958" s="21" t="n">
        <v>0</v>
      </c>
      <c r="V1958" s="21" t="n">
        <v>0</v>
      </c>
      <c r="W1958" s="21" t="n">
        <v>0</v>
      </c>
      <c r="X1958" s="21">
        <f>-$B$1811</f>
        <v/>
      </c>
      <c r="Y1958" s="21">
        <f>-$B$1812</f>
        <v/>
      </c>
      <c r="Z1958" s="21">
        <f>2*$B$1811+$D$1925</f>
        <v/>
      </c>
      <c r="AA1958" s="21">
        <f>0</f>
        <v/>
      </c>
      <c r="AB1958" s="21">
        <f>-$B$1811</f>
        <v/>
      </c>
      <c r="AC1958" s="21">
        <f>$B$1812</f>
        <v/>
      </c>
      <c r="AD1958" s="21" t="n">
        <v>0</v>
      </c>
      <c r="AE1958" s="21" t="n">
        <v>0</v>
      </c>
      <c r="AF1958" s="21" t="n">
        <v>0</v>
      </c>
      <c r="AG1958" s="21" t="n">
        <v>0</v>
      </c>
      <c r="AH1958" s="21" t="n">
        <v>0</v>
      </c>
      <c r="AI1958" s="21" t="n">
        <v>0</v>
      </c>
      <c r="AJ1958" s="21" t="n">
        <v>0</v>
      </c>
      <c r="AK1958" s="21" t="n">
        <v>0</v>
      </c>
      <c r="AL1958" s="21" t="n">
        <v>0</v>
      </c>
      <c r="AM1958" s="21" t="n">
        <v>0</v>
      </c>
      <c r="AN1958" s="21" t="n">
        <v>0</v>
      </c>
      <c r="AO1958" s="21" t="n">
        <v>0</v>
      </c>
      <c r="AP1958" s="21" t="n">
        <v>0</v>
      </c>
      <c r="AQ1958" s="21" t="n">
        <v>0</v>
      </c>
      <c r="AR1958" s="21" t="n">
        <v>0</v>
      </c>
      <c r="AS1958" s="21" t="n">
        <v>0</v>
      </c>
      <c r="AT1958" s="19" t="n"/>
    </row>
    <row r="1959">
      <c r="D1959" s="21" t="n">
        <v>0</v>
      </c>
      <c r="E1959" s="21" t="n">
        <v>0</v>
      </c>
      <c r="F1959" s="21" t="n">
        <v>0</v>
      </c>
      <c r="G1959" s="21" t="n">
        <v>0</v>
      </c>
      <c r="H1959" s="21" t="n">
        <v>0</v>
      </c>
      <c r="I1959" s="21" t="n">
        <v>0</v>
      </c>
      <c r="J1959" s="21" t="n">
        <v>0</v>
      </c>
      <c r="K1959" s="21" t="n">
        <v>0</v>
      </c>
      <c r="L1959" s="21" t="n">
        <v>0</v>
      </c>
      <c r="M1959" s="21" t="n">
        <v>0</v>
      </c>
      <c r="N1959" s="21" t="n">
        <v>0</v>
      </c>
      <c r="O1959" s="21" t="n">
        <v>0</v>
      </c>
      <c r="P1959" s="21" t="n">
        <v>0</v>
      </c>
      <c r="Q1959" s="21" t="n">
        <v>0</v>
      </c>
      <c r="R1959" s="21" t="n">
        <v>0</v>
      </c>
      <c r="S1959" s="21" t="n">
        <v>0</v>
      </c>
      <c r="T1959" s="21" t="n">
        <v>0</v>
      </c>
      <c r="U1959" s="21" t="n">
        <v>0</v>
      </c>
      <c r="V1959" s="21" t="n">
        <v>0</v>
      </c>
      <c r="W1959" s="21" t="n">
        <v>0</v>
      </c>
      <c r="X1959" s="21">
        <f>$B$1812</f>
        <v/>
      </c>
      <c r="Y1959" s="21">
        <f>$B$1814</f>
        <v/>
      </c>
      <c r="Z1959" s="21">
        <f>0</f>
        <v/>
      </c>
      <c r="AA1959" s="21">
        <f>2*$B$1813</f>
        <v/>
      </c>
      <c r="AB1959" s="21">
        <f>-$B$1812</f>
        <v/>
      </c>
      <c r="AC1959" s="21">
        <f>$B$1814</f>
        <v/>
      </c>
      <c r="AD1959" s="21" t="n">
        <v>0</v>
      </c>
      <c r="AE1959" s="21" t="n">
        <v>0</v>
      </c>
      <c r="AF1959" s="21" t="n">
        <v>0</v>
      </c>
      <c r="AG1959" s="21" t="n">
        <v>0</v>
      </c>
      <c r="AH1959" s="21" t="n">
        <v>0</v>
      </c>
      <c r="AI1959" s="21" t="n">
        <v>0</v>
      </c>
      <c r="AJ1959" s="21" t="n">
        <v>0</v>
      </c>
      <c r="AK1959" s="21" t="n">
        <v>0</v>
      </c>
      <c r="AL1959" s="21" t="n">
        <v>0</v>
      </c>
      <c r="AM1959" s="21" t="n">
        <v>0</v>
      </c>
      <c r="AN1959" s="21" t="n">
        <v>0</v>
      </c>
      <c r="AO1959" s="21" t="n">
        <v>0</v>
      </c>
      <c r="AP1959" s="21" t="n">
        <v>0</v>
      </c>
      <c r="AQ1959" s="21" t="n">
        <v>0</v>
      </c>
      <c r="AR1959" s="21" t="n">
        <v>0</v>
      </c>
      <c r="AS1959" s="21" t="n">
        <v>0</v>
      </c>
      <c r="AT1959" s="19" t="n"/>
    </row>
    <row r="1960">
      <c r="D1960" s="21" t="n">
        <v>0</v>
      </c>
      <c r="E1960" s="21" t="n">
        <v>0</v>
      </c>
      <c r="F1960" s="21" t="n">
        <v>0</v>
      </c>
      <c r="G1960" s="21" t="n">
        <v>0</v>
      </c>
      <c r="H1960" s="21" t="n">
        <v>0</v>
      </c>
      <c r="I1960" s="21" t="n">
        <v>0</v>
      </c>
      <c r="J1960" s="21" t="n">
        <v>0</v>
      </c>
      <c r="K1960" s="21" t="n">
        <v>0</v>
      </c>
      <c r="L1960" s="21" t="n">
        <v>0</v>
      </c>
      <c r="M1960" s="21" t="n">
        <v>0</v>
      </c>
      <c r="N1960" s="21" t="n">
        <v>0</v>
      </c>
      <c r="O1960" s="21" t="n">
        <v>0</v>
      </c>
      <c r="P1960" s="21" t="n">
        <v>0</v>
      </c>
      <c r="Q1960" s="21" t="n">
        <v>0</v>
      </c>
      <c r="R1960" s="21" t="n">
        <v>0</v>
      </c>
      <c r="S1960" s="21" t="n">
        <v>0</v>
      </c>
      <c r="T1960" s="21" t="n">
        <v>0</v>
      </c>
      <c r="U1960" s="21" t="n">
        <v>0</v>
      </c>
      <c r="V1960" s="21" t="n">
        <v>0</v>
      </c>
      <c r="W1960" s="21" t="n">
        <v>0</v>
      </c>
      <c r="X1960" s="21" t="n">
        <v>0</v>
      </c>
      <c r="Y1960" s="21" t="n">
        <v>0</v>
      </c>
      <c r="Z1960" s="21">
        <f>-$B$1811</f>
        <v/>
      </c>
      <c r="AA1960" s="21">
        <f>-$B$1812</f>
        <v/>
      </c>
      <c r="AB1960" s="21">
        <f>2*$B$1811+$D$1926</f>
        <v/>
      </c>
      <c r="AC1960" s="21">
        <f>0</f>
        <v/>
      </c>
      <c r="AD1960" s="21">
        <f>-$B$1811</f>
        <v/>
      </c>
      <c r="AE1960" s="21">
        <f>$B$1812</f>
        <v/>
      </c>
      <c r="AF1960" s="21" t="n">
        <v>0</v>
      </c>
      <c r="AG1960" s="21" t="n">
        <v>0</v>
      </c>
      <c r="AH1960" s="21" t="n">
        <v>0</v>
      </c>
      <c r="AI1960" s="21" t="n">
        <v>0</v>
      </c>
      <c r="AJ1960" s="21" t="n">
        <v>0</v>
      </c>
      <c r="AK1960" s="21" t="n">
        <v>0</v>
      </c>
      <c r="AL1960" s="21" t="n">
        <v>0</v>
      </c>
      <c r="AM1960" s="21" t="n">
        <v>0</v>
      </c>
      <c r="AN1960" s="21" t="n">
        <v>0</v>
      </c>
      <c r="AO1960" s="21" t="n">
        <v>0</v>
      </c>
      <c r="AP1960" s="21" t="n">
        <v>0</v>
      </c>
      <c r="AQ1960" s="21" t="n">
        <v>0</v>
      </c>
      <c r="AR1960" s="21" t="n">
        <v>0</v>
      </c>
      <c r="AS1960" s="21" t="n">
        <v>0</v>
      </c>
      <c r="AT1960" s="19" t="n"/>
    </row>
    <row r="1961">
      <c r="D1961" s="21" t="n">
        <v>0</v>
      </c>
      <c r="E1961" s="21" t="n">
        <v>0</v>
      </c>
      <c r="F1961" s="21" t="n">
        <v>0</v>
      </c>
      <c r="G1961" s="21" t="n">
        <v>0</v>
      </c>
      <c r="H1961" s="21" t="n">
        <v>0</v>
      </c>
      <c r="I1961" s="21" t="n">
        <v>0</v>
      </c>
      <c r="J1961" s="21" t="n">
        <v>0</v>
      </c>
      <c r="K1961" s="21" t="n">
        <v>0</v>
      </c>
      <c r="L1961" s="21" t="n">
        <v>0</v>
      </c>
      <c r="M1961" s="21" t="n">
        <v>0</v>
      </c>
      <c r="N1961" s="21" t="n">
        <v>0</v>
      </c>
      <c r="O1961" s="21" t="n">
        <v>0</v>
      </c>
      <c r="P1961" s="21" t="n">
        <v>0</v>
      </c>
      <c r="Q1961" s="21" t="n">
        <v>0</v>
      </c>
      <c r="R1961" s="21" t="n">
        <v>0</v>
      </c>
      <c r="S1961" s="21" t="n">
        <v>0</v>
      </c>
      <c r="T1961" s="21" t="n">
        <v>0</v>
      </c>
      <c r="U1961" s="21" t="n">
        <v>0</v>
      </c>
      <c r="V1961" s="21" t="n">
        <v>0</v>
      </c>
      <c r="W1961" s="21" t="n">
        <v>0</v>
      </c>
      <c r="X1961" s="21" t="n">
        <v>0</v>
      </c>
      <c r="Y1961" s="21" t="n">
        <v>0</v>
      </c>
      <c r="Z1961" s="21">
        <f>$B$1812</f>
        <v/>
      </c>
      <c r="AA1961" s="21">
        <f>$B$1814</f>
        <v/>
      </c>
      <c r="AB1961" s="21">
        <f>0</f>
        <v/>
      </c>
      <c r="AC1961" s="21">
        <f>2*$B$1813</f>
        <v/>
      </c>
      <c r="AD1961" s="21">
        <f>-$B$1812</f>
        <v/>
      </c>
      <c r="AE1961" s="21">
        <f>$B$1814</f>
        <v/>
      </c>
      <c r="AF1961" s="21" t="n">
        <v>0</v>
      </c>
      <c r="AG1961" s="21" t="n">
        <v>0</v>
      </c>
      <c r="AH1961" s="21" t="n">
        <v>0</v>
      </c>
      <c r="AI1961" s="21" t="n">
        <v>0</v>
      </c>
      <c r="AJ1961" s="21" t="n">
        <v>0</v>
      </c>
      <c r="AK1961" s="21" t="n">
        <v>0</v>
      </c>
      <c r="AL1961" s="21" t="n">
        <v>0</v>
      </c>
      <c r="AM1961" s="21" t="n">
        <v>0</v>
      </c>
      <c r="AN1961" s="21" t="n">
        <v>0</v>
      </c>
      <c r="AO1961" s="21" t="n">
        <v>0</v>
      </c>
      <c r="AP1961" s="21" t="n">
        <v>0</v>
      </c>
      <c r="AQ1961" s="21" t="n">
        <v>0</v>
      </c>
      <c r="AR1961" s="21" t="n">
        <v>0</v>
      </c>
      <c r="AS1961" s="21" t="n">
        <v>0</v>
      </c>
      <c r="AT1961" s="19" t="n"/>
    </row>
    <row r="1962">
      <c r="D1962" s="21" t="n">
        <v>0</v>
      </c>
      <c r="E1962" s="21" t="n">
        <v>0</v>
      </c>
      <c r="F1962" s="21" t="n">
        <v>0</v>
      </c>
      <c r="G1962" s="21" t="n">
        <v>0</v>
      </c>
      <c r="H1962" s="21" t="n">
        <v>0</v>
      </c>
      <c r="I1962" s="21" t="n">
        <v>0</v>
      </c>
      <c r="J1962" s="21" t="n">
        <v>0</v>
      </c>
      <c r="K1962" s="21" t="n">
        <v>0</v>
      </c>
      <c r="L1962" s="21" t="n">
        <v>0</v>
      </c>
      <c r="M1962" s="21" t="n">
        <v>0</v>
      </c>
      <c r="N1962" s="21" t="n">
        <v>0</v>
      </c>
      <c r="O1962" s="21" t="n">
        <v>0</v>
      </c>
      <c r="P1962" s="21" t="n">
        <v>0</v>
      </c>
      <c r="Q1962" s="21" t="n">
        <v>0</v>
      </c>
      <c r="R1962" s="21" t="n">
        <v>0</v>
      </c>
      <c r="S1962" s="21" t="n">
        <v>0</v>
      </c>
      <c r="T1962" s="21" t="n">
        <v>0</v>
      </c>
      <c r="U1962" s="21" t="n">
        <v>0</v>
      </c>
      <c r="V1962" s="21" t="n">
        <v>0</v>
      </c>
      <c r="W1962" s="21" t="n">
        <v>0</v>
      </c>
      <c r="X1962" s="21" t="n">
        <v>0</v>
      </c>
      <c r="Y1962" s="21" t="n">
        <v>0</v>
      </c>
      <c r="Z1962" s="21" t="n">
        <v>0</v>
      </c>
      <c r="AA1962" s="21" t="n">
        <v>0</v>
      </c>
      <c r="AB1962" s="21">
        <f>-$B$1811</f>
        <v/>
      </c>
      <c r="AC1962" s="21">
        <f>-$B$1812</f>
        <v/>
      </c>
      <c r="AD1962" s="21">
        <f>2*$B$1811+$D$1927</f>
        <v/>
      </c>
      <c r="AE1962" s="21">
        <f>0</f>
        <v/>
      </c>
      <c r="AF1962" s="21">
        <f>-$B$1811</f>
        <v/>
      </c>
      <c r="AG1962" s="21">
        <f>$B$1812</f>
        <v/>
      </c>
      <c r="AH1962" s="21" t="n">
        <v>0</v>
      </c>
      <c r="AI1962" s="21" t="n">
        <v>0</v>
      </c>
      <c r="AJ1962" s="21" t="n">
        <v>0</v>
      </c>
      <c r="AK1962" s="21" t="n">
        <v>0</v>
      </c>
      <c r="AL1962" s="21" t="n">
        <v>0</v>
      </c>
      <c r="AM1962" s="21" t="n">
        <v>0</v>
      </c>
      <c r="AN1962" s="21" t="n">
        <v>0</v>
      </c>
      <c r="AO1962" s="21" t="n">
        <v>0</v>
      </c>
      <c r="AP1962" s="21" t="n">
        <v>0</v>
      </c>
      <c r="AQ1962" s="21" t="n">
        <v>0</v>
      </c>
      <c r="AR1962" s="21" t="n">
        <v>0</v>
      </c>
      <c r="AS1962" s="21" t="n">
        <v>0</v>
      </c>
      <c r="AT1962" s="19" t="n"/>
    </row>
    <row r="1963">
      <c r="D1963" s="21" t="n">
        <v>0</v>
      </c>
      <c r="E1963" s="21" t="n">
        <v>0</v>
      </c>
      <c r="F1963" s="21" t="n">
        <v>0</v>
      </c>
      <c r="G1963" s="21" t="n">
        <v>0</v>
      </c>
      <c r="H1963" s="21" t="n">
        <v>0</v>
      </c>
      <c r="I1963" s="21" t="n">
        <v>0</v>
      </c>
      <c r="J1963" s="21" t="n">
        <v>0</v>
      </c>
      <c r="K1963" s="21" t="n">
        <v>0</v>
      </c>
      <c r="L1963" s="21" t="n">
        <v>0</v>
      </c>
      <c r="M1963" s="21" t="n">
        <v>0</v>
      </c>
      <c r="N1963" s="21" t="n">
        <v>0</v>
      </c>
      <c r="O1963" s="21" t="n">
        <v>0</v>
      </c>
      <c r="P1963" s="21" t="n">
        <v>0</v>
      </c>
      <c r="Q1963" s="21" t="n">
        <v>0</v>
      </c>
      <c r="R1963" s="21" t="n">
        <v>0</v>
      </c>
      <c r="S1963" s="21" t="n">
        <v>0</v>
      </c>
      <c r="T1963" s="21" t="n">
        <v>0</v>
      </c>
      <c r="U1963" s="21" t="n">
        <v>0</v>
      </c>
      <c r="V1963" s="21" t="n">
        <v>0</v>
      </c>
      <c r="W1963" s="21" t="n">
        <v>0</v>
      </c>
      <c r="X1963" s="21" t="n">
        <v>0</v>
      </c>
      <c r="Y1963" s="21" t="n">
        <v>0</v>
      </c>
      <c r="Z1963" s="21" t="n">
        <v>0</v>
      </c>
      <c r="AA1963" s="21" t="n">
        <v>0</v>
      </c>
      <c r="AB1963" s="21">
        <f>$B$1812</f>
        <v/>
      </c>
      <c r="AC1963" s="21">
        <f>$B$1814</f>
        <v/>
      </c>
      <c r="AD1963" s="21">
        <f>0</f>
        <v/>
      </c>
      <c r="AE1963" s="21">
        <f>2*$B$1813</f>
        <v/>
      </c>
      <c r="AF1963" s="21">
        <f>-$B$1812</f>
        <v/>
      </c>
      <c r="AG1963" s="21">
        <f>$B$1814</f>
        <v/>
      </c>
      <c r="AH1963" s="21" t="n">
        <v>0</v>
      </c>
      <c r="AI1963" s="21" t="n">
        <v>0</v>
      </c>
      <c r="AJ1963" s="21" t="n">
        <v>0</v>
      </c>
      <c r="AK1963" s="21" t="n">
        <v>0</v>
      </c>
      <c r="AL1963" s="21" t="n">
        <v>0</v>
      </c>
      <c r="AM1963" s="21" t="n">
        <v>0</v>
      </c>
      <c r="AN1963" s="21" t="n">
        <v>0</v>
      </c>
      <c r="AO1963" s="21" t="n">
        <v>0</v>
      </c>
      <c r="AP1963" s="21" t="n">
        <v>0</v>
      </c>
      <c r="AQ1963" s="21" t="n">
        <v>0</v>
      </c>
      <c r="AR1963" s="21" t="n">
        <v>0</v>
      </c>
      <c r="AS1963" s="21" t="n">
        <v>0</v>
      </c>
      <c r="AT1963" s="19" t="n"/>
    </row>
    <row r="1964">
      <c r="D1964" s="21" t="n">
        <v>0</v>
      </c>
      <c r="E1964" s="21" t="n">
        <v>0</v>
      </c>
      <c r="F1964" s="21" t="n">
        <v>0</v>
      </c>
      <c r="G1964" s="21" t="n">
        <v>0</v>
      </c>
      <c r="H1964" s="21" t="n">
        <v>0</v>
      </c>
      <c r="I1964" s="21" t="n">
        <v>0</v>
      </c>
      <c r="J1964" s="21" t="n">
        <v>0</v>
      </c>
      <c r="K1964" s="21" t="n">
        <v>0</v>
      </c>
      <c r="L1964" s="21" t="n">
        <v>0</v>
      </c>
      <c r="M1964" s="21" t="n">
        <v>0</v>
      </c>
      <c r="N1964" s="21" t="n">
        <v>0</v>
      </c>
      <c r="O1964" s="21" t="n">
        <v>0</v>
      </c>
      <c r="P1964" s="21" t="n">
        <v>0</v>
      </c>
      <c r="Q1964" s="21" t="n">
        <v>0</v>
      </c>
      <c r="R1964" s="21" t="n">
        <v>0</v>
      </c>
      <c r="S1964" s="21" t="n">
        <v>0</v>
      </c>
      <c r="T1964" s="21" t="n">
        <v>0</v>
      </c>
      <c r="U1964" s="21" t="n">
        <v>0</v>
      </c>
      <c r="V1964" s="21" t="n">
        <v>0</v>
      </c>
      <c r="W1964" s="21" t="n">
        <v>0</v>
      </c>
      <c r="X1964" s="21" t="n">
        <v>0</v>
      </c>
      <c r="Y1964" s="21" t="n">
        <v>0</v>
      </c>
      <c r="Z1964" s="21" t="n">
        <v>0</v>
      </c>
      <c r="AA1964" s="21" t="n">
        <v>0</v>
      </c>
      <c r="AB1964" s="21" t="n">
        <v>0</v>
      </c>
      <c r="AC1964" s="21" t="n">
        <v>0</v>
      </c>
      <c r="AD1964" s="21">
        <f>-$B$1811</f>
        <v/>
      </c>
      <c r="AE1964" s="21">
        <f>-$B$1812</f>
        <v/>
      </c>
      <c r="AF1964" s="21">
        <f>2*$B$1811+$D$1928</f>
        <v/>
      </c>
      <c r="AG1964" s="21">
        <f>0</f>
        <v/>
      </c>
      <c r="AH1964" s="21">
        <f>-$B$1811</f>
        <v/>
      </c>
      <c r="AI1964" s="21">
        <f>$B$1812</f>
        <v/>
      </c>
      <c r="AJ1964" s="21" t="n">
        <v>0</v>
      </c>
      <c r="AK1964" s="21" t="n">
        <v>0</v>
      </c>
      <c r="AL1964" s="21" t="n">
        <v>0</v>
      </c>
      <c r="AM1964" s="21" t="n">
        <v>0</v>
      </c>
      <c r="AN1964" s="21" t="n">
        <v>0</v>
      </c>
      <c r="AO1964" s="21" t="n">
        <v>0</v>
      </c>
      <c r="AP1964" s="21" t="n">
        <v>0</v>
      </c>
      <c r="AQ1964" s="21" t="n">
        <v>0</v>
      </c>
      <c r="AR1964" s="21" t="n">
        <v>0</v>
      </c>
      <c r="AS1964" s="21" t="n">
        <v>0</v>
      </c>
      <c r="AT1964" s="19" t="n"/>
    </row>
    <row r="1965">
      <c r="D1965" s="21" t="n">
        <v>0</v>
      </c>
      <c r="E1965" s="21" t="n">
        <v>0</v>
      </c>
      <c r="F1965" s="21" t="n">
        <v>0</v>
      </c>
      <c r="G1965" s="21" t="n">
        <v>0</v>
      </c>
      <c r="H1965" s="21" t="n">
        <v>0</v>
      </c>
      <c r="I1965" s="21" t="n">
        <v>0</v>
      </c>
      <c r="J1965" s="21" t="n">
        <v>0</v>
      </c>
      <c r="K1965" s="21" t="n">
        <v>0</v>
      </c>
      <c r="L1965" s="21" t="n">
        <v>0</v>
      </c>
      <c r="M1965" s="21" t="n">
        <v>0</v>
      </c>
      <c r="N1965" s="21" t="n">
        <v>0</v>
      </c>
      <c r="O1965" s="21" t="n">
        <v>0</v>
      </c>
      <c r="P1965" s="21" t="n">
        <v>0</v>
      </c>
      <c r="Q1965" s="21" t="n">
        <v>0</v>
      </c>
      <c r="R1965" s="21" t="n">
        <v>0</v>
      </c>
      <c r="S1965" s="21" t="n">
        <v>0</v>
      </c>
      <c r="T1965" s="21" t="n">
        <v>0</v>
      </c>
      <c r="U1965" s="21" t="n">
        <v>0</v>
      </c>
      <c r="V1965" s="21" t="n">
        <v>0</v>
      </c>
      <c r="W1965" s="21" t="n">
        <v>0</v>
      </c>
      <c r="X1965" s="21" t="n">
        <v>0</v>
      </c>
      <c r="Y1965" s="21" t="n">
        <v>0</v>
      </c>
      <c r="Z1965" s="21" t="n">
        <v>0</v>
      </c>
      <c r="AA1965" s="21" t="n">
        <v>0</v>
      </c>
      <c r="AB1965" s="21" t="n">
        <v>0</v>
      </c>
      <c r="AC1965" s="21" t="n">
        <v>0</v>
      </c>
      <c r="AD1965" s="21">
        <f>$B$1812</f>
        <v/>
      </c>
      <c r="AE1965" s="21">
        <f>$B$1814</f>
        <v/>
      </c>
      <c r="AF1965" s="21">
        <f>0</f>
        <v/>
      </c>
      <c r="AG1965" s="21">
        <f>2*$B$1813</f>
        <v/>
      </c>
      <c r="AH1965" s="21">
        <f>-$B$1812</f>
        <v/>
      </c>
      <c r="AI1965" s="21">
        <f>$B$1814</f>
        <v/>
      </c>
      <c r="AJ1965" s="21" t="n">
        <v>0</v>
      </c>
      <c r="AK1965" s="21" t="n">
        <v>0</v>
      </c>
      <c r="AL1965" s="21" t="n">
        <v>0</v>
      </c>
      <c r="AM1965" s="21" t="n">
        <v>0</v>
      </c>
      <c r="AN1965" s="21" t="n">
        <v>0</v>
      </c>
      <c r="AO1965" s="21" t="n">
        <v>0</v>
      </c>
      <c r="AP1965" s="21" t="n">
        <v>0</v>
      </c>
      <c r="AQ1965" s="21" t="n">
        <v>0</v>
      </c>
      <c r="AR1965" s="21" t="n">
        <v>0</v>
      </c>
      <c r="AS1965" s="21" t="n">
        <v>0</v>
      </c>
      <c r="AT1965" s="19" t="n"/>
    </row>
    <row r="1966">
      <c r="D1966" s="21" t="n">
        <v>0</v>
      </c>
      <c r="E1966" s="21" t="n">
        <v>0</v>
      </c>
      <c r="F1966" s="21" t="n">
        <v>0</v>
      </c>
      <c r="G1966" s="21" t="n">
        <v>0</v>
      </c>
      <c r="H1966" s="21" t="n">
        <v>0</v>
      </c>
      <c r="I1966" s="21" t="n">
        <v>0</v>
      </c>
      <c r="J1966" s="21" t="n">
        <v>0</v>
      </c>
      <c r="K1966" s="21" t="n">
        <v>0</v>
      </c>
      <c r="L1966" s="21" t="n">
        <v>0</v>
      </c>
      <c r="M1966" s="21" t="n">
        <v>0</v>
      </c>
      <c r="N1966" s="21" t="n">
        <v>0</v>
      </c>
      <c r="O1966" s="21" t="n">
        <v>0</v>
      </c>
      <c r="P1966" s="21" t="n">
        <v>0</v>
      </c>
      <c r="Q1966" s="21" t="n">
        <v>0</v>
      </c>
      <c r="R1966" s="21" t="n">
        <v>0</v>
      </c>
      <c r="S1966" s="21" t="n">
        <v>0</v>
      </c>
      <c r="T1966" s="21" t="n">
        <v>0</v>
      </c>
      <c r="U1966" s="21" t="n">
        <v>0</v>
      </c>
      <c r="V1966" s="21" t="n">
        <v>0</v>
      </c>
      <c r="W1966" s="21" t="n">
        <v>0</v>
      </c>
      <c r="X1966" s="21" t="n">
        <v>0</v>
      </c>
      <c r="Y1966" s="21" t="n">
        <v>0</v>
      </c>
      <c r="Z1966" s="21" t="n">
        <v>0</v>
      </c>
      <c r="AA1966" s="21" t="n">
        <v>0</v>
      </c>
      <c r="AB1966" s="21" t="n">
        <v>0</v>
      </c>
      <c r="AC1966" s="21" t="n">
        <v>0</v>
      </c>
      <c r="AD1966" s="21" t="n">
        <v>0</v>
      </c>
      <c r="AE1966" s="21" t="n">
        <v>0</v>
      </c>
      <c r="AF1966" s="21">
        <f>-$B$1811</f>
        <v/>
      </c>
      <c r="AG1966" s="21">
        <f>-$B$1812</f>
        <v/>
      </c>
      <c r="AH1966" s="21">
        <f>2*$B$1811+$D$1929</f>
        <v/>
      </c>
      <c r="AI1966" s="21">
        <f>0</f>
        <v/>
      </c>
      <c r="AJ1966" s="21">
        <f>-$B$1811</f>
        <v/>
      </c>
      <c r="AK1966" s="21">
        <f>$B$1812</f>
        <v/>
      </c>
      <c r="AL1966" s="21" t="n">
        <v>0</v>
      </c>
      <c r="AM1966" s="21" t="n">
        <v>0</v>
      </c>
      <c r="AN1966" s="21" t="n">
        <v>0</v>
      </c>
      <c r="AO1966" s="21" t="n">
        <v>0</v>
      </c>
      <c r="AP1966" s="21" t="n">
        <v>0</v>
      </c>
      <c r="AQ1966" s="21" t="n">
        <v>0</v>
      </c>
      <c r="AR1966" s="21" t="n">
        <v>0</v>
      </c>
      <c r="AS1966" s="21" t="n">
        <v>0</v>
      </c>
      <c r="AT1966" s="19" t="n"/>
    </row>
    <row r="1967">
      <c r="D1967" s="21" t="n">
        <v>0</v>
      </c>
      <c r="E1967" s="21" t="n">
        <v>0</v>
      </c>
      <c r="F1967" s="21" t="n">
        <v>0</v>
      </c>
      <c r="G1967" s="21" t="n">
        <v>0</v>
      </c>
      <c r="H1967" s="21" t="n">
        <v>0</v>
      </c>
      <c r="I1967" s="21" t="n">
        <v>0</v>
      </c>
      <c r="J1967" s="21" t="n">
        <v>0</v>
      </c>
      <c r="K1967" s="21" t="n">
        <v>0</v>
      </c>
      <c r="L1967" s="21" t="n">
        <v>0</v>
      </c>
      <c r="M1967" s="21" t="n">
        <v>0</v>
      </c>
      <c r="N1967" s="21" t="n">
        <v>0</v>
      </c>
      <c r="O1967" s="21" t="n">
        <v>0</v>
      </c>
      <c r="P1967" s="21" t="n">
        <v>0</v>
      </c>
      <c r="Q1967" s="21" t="n">
        <v>0</v>
      </c>
      <c r="R1967" s="21" t="n">
        <v>0</v>
      </c>
      <c r="S1967" s="21" t="n">
        <v>0</v>
      </c>
      <c r="T1967" s="21" t="n">
        <v>0</v>
      </c>
      <c r="U1967" s="21" t="n">
        <v>0</v>
      </c>
      <c r="V1967" s="21" t="n">
        <v>0</v>
      </c>
      <c r="W1967" s="21" t="n">
        <v>0</v>
      </c>
      <c r="X1967" s="21" t="n">
        <v>0</v>
      </c>
      <c r="Y1967" s="21" t="n">
        <v>0</v>
      </c>
      <c r="Z1967" s="21" t="n">
        <v>0</v>
      </c>
      <c r="AA1967" s="21" t="n">
        <v>0</v>
      </c>
      <c r="AB1967" s="21" t="n">
        <v>0</v>
      </c>
      <c r="AC1967" s="21" t="n">
        <v>0</v>
      </c>
      <c r="AD1967" s="21" t="n">
        <v>0</v>
      </c>
      <c r="AE1967" s="21" t="n">
        <v>0</v>
      </c>
      <c r="AF1967" s="21">
        <f>$B$1812</f>
        <v/>
      </c>
      <c r="AG1967" s="21">
        <f>$B$1814</f>
        <v/>
      </c>
      <c r="AH1967" s="21">
        <f>0</f>
        <v/>
      </c>
      <c r="AI1967" s="21">
        <f>2*$B$1813</f>
        <v/>
      </c>
      <c r="AJ1967" s="21">
        <f>-$B$1812</f>
        <v/>
      </c>
      <c r="AK1967" s="21">
        <f>$B$1814</f>
        <v/>
      </c>
      <c r="AL1967" s="21" t="n">
        <v>0</v>
      </c>
      <c r="AM1967" s="21" t="n">
        <v>0</v>
      </c>
      <c r="AN1967" s="21" t="n">
        <v>0</v>
      </c>
      <c r="AO1967" s="21" t="n">
        <v>0</v>
      </c>
      <c r="AP1967" s="21" t="n">
        <v>0</v>
      </c>
      <c r="AQ1967" s="21" t="n">
        <v>0</v>
      </c>
      <c r="AR1967" s="21" t="n">
        <v>0</v>
      </c>
      <c r="AS1967" s="21" t="n">
        <v>0</v>
      </c>
      <c r="AT1967" s="19" t="n"/>
    </row>
    <row r="1968">
      <c r="D1968" s="21" t="n">
        <v>0</v>
      </c>
      <c r="E1968" s="21" t="n">
        <v>0</v>
      </c>
      <c r="F1968" s="21" t="n">
        <v>0</v>
      </c>
      <c r="G1968" s="21" t="n">
        <v>0</v>
      </c>
      <c r="H1968" s="21" t="n">
        <v>0</v>
      </c>
      <c r="I1968" s="21" t="n">
        <v>0</v>
      </c>
      <c r="J1968" s="21" t="n">
        <v>0</v>
      </c>
      <c r="K1968" s="21" t="n">
        <v>0</v>
      </c>
      <c r="L1968" s="21" t="n">
        <v>0</v>
      </c>
      <c r="M1968" s="21" t="n">
        <v>0</v>
      </c>
      <c r="N1968" s="21" t="n">
        <v>0</v>
      </c>
      <c r="O1968" s="21" t="n">
        <v>0</v>
      </c>
      <c r="P1968" s="21" t="n">
        <v>0</v>
      </c>
      <c r="Q1968" s="21" t="n">
        <v>0</v>
      </c>
      <c r="R1968" s="21" t="n">
        <v>0</v>
      </c>
      <c r="S1968" s="21" t="n">
        <v>0</v>
      </c>
      <c r="T1968" s="21" t="n">
        <v>0</v>
      </c>
      <c r="U1968" s="21" t="n">
        <v>0</v>
      </c>
      <c r="V1968" s="21" t="n">
        <v>0</v>
      </c>
      <c r="W1968" s="21" t="n">
        <v>0</v>
      </c>
      <c r="X1968" s="21" t="n">
        <v>0</v>
      </c>
      <c r="Y1968" s="21" t="n">
        <v>0</v>
      </c>
      <c r="Z1968" s="21" t="n">
        <v>0</v>
      </c>
      <c r="AA1968" s="21" t="n">
        <v>0</v>
      </c>
      <c r="AB1968" s="21" t="n">
        <v>0</v>
      </c>
      <c r="AC1968" s="21" t="n">
        <v>0</v>
      </c>
      <c r="AD1968" s="21" t="n">
        <v>0</v>
      </c>
      <c r="AE1968" s="21" t="n">
        <v>0</v>
      </c>
      <c r="AF1968" s="21" t="n">
        <v>0</v>
      </c>
      <c r="AG1968" s="21" t="n">
        <v>0</v>
      </c>
      <c r="AH1968" s="21">
        <f>-$B$1811</f>
        <v/>
      </c>
      <c r="AI1968" s="21">
        <f>-$B$1812</f>
        <v/>
      </c>
      <c r="AJ1968" s="21">
        <f>2*$B$1811+$D$1930</f>
        <v/>
      </c>
      <c r="AK1968" s="21">
        <f>0</f>
        <v/>
      </c>
      <c r="AL1968" s="21">
        <f>-$B$1811</f>
        <v/>
      </c>
      <c r="AM1968" s="21">
        <f>$B$1812</f>
        <v/>
      </c>
      <c r="AN1968" s="21" t="n">
        <v>0</v>
      </c>
      <c r="AO1968" s="21" t="n">
        <v>0</v>
      </c>
      <c r="AP1968" s="21" t="n">
        <v>0</v>
      </c>
      <c r="AQ1968" s="21" t="n">
        <v>0</v>
      </c>
      <c r="AR1968" s="21" t="n">
        <v>0</v>
      </c>
      <c r="AS1968" s="21" t="n">
        <v>0</v>
      </c>
      <c r="AT1968" s="19" t="n"/>
    </row>
    <row r="1969">
      <c r="D1969" s="21" t="n">
        <v>0</v>
      </c>
      <c r="E1969" s="21" t="n">
        <v>0</v>
      </c>
      <c r="F1969" s="21" t="n">
        <v>0</v>
      </c>
      <c r="G1969" s="21" t="n">
        <v>0</v>
      </c>
      <c r="H1969" s="21" t="n">
        <v>0</v>
      </c>
      <c r="I1969" s="21" t="n">
        <v>0</v>
      </c>
      <c r="J1969" s="21" t="n">
        <v>0</v>
      </c>
      <c r="K1969" s="21" t="n">
        <v>0</v>
      </c>
      <c r="L1969" s="21" t="n">
        <v>0</v>
      </c>
      <c r="M1969" s="21" t="n">
        <v>0</v>
      </c>
      <c r="N1969" s="21" t="n">
        <v>0</v>
      </c>
      <c r="O1969" s="21" t="n">
        <v>0</v>
      </c>
      <c r="P1969" s="21" t="n">
        <v>0</v>
      </c>
      <c r="Q1969" s="21" t="n">
        <v>0</v>
      </c>
      <c r="R1969" s="21" t="n">
        <v>0</v>
      </c>
      <c r="S1969" s="21" t="n">
        <v>0</v>
      </c>
      <c r="T1969" s="21" t="n">
        <v>0</v>
      </c>
      <c r="U1969" s="21" t="n">
        <v>0</v>
      </c>
      <c r="V1969" s="21" t="n">
        <v>0</v>
      </c>
      <c r="W1969" s="21" t="n">
        <v>0</v>
      </c>
      <c r="X1969" s="21" t="n">
        <v>0</v>
      </c>
      <c r="Y1969" s="21" t="n">
        <v>0</v>
      </c>
      <c r="Z1969" s="21" t="n">
        <v>0</v>
      </c>
      <c r="AA1969" s="21" t="n">
        <v>0</v>
      </c>
      <c r="AB1969" s="21" t="n">
        <v>0</v>
      </c>
      <c r="AC1969" s="21" t="n">
        <v>0</v>
      </c>
      <c r="AD1969" s="21" t="n">
        <v>0</v>
      </c>
      <c r="AE1969" s="21" t="n">
        <v>0</v>
      </c>
      <c r="AF1969" s="21" t="n">
        <v>0</v>
      </c>
      <c r="AG1969" s="21" t="n">
        <v>0</v>
      </c>
      <c r="AH1969" s="21">
        <f>$B$1812</f>
        <v/>
      </c>
      <c r="AI1969" s="21">
        <f>$B$1814</f>
        <v/>
      </c>
      <c r="AJ1969" s="21">
        <f>0</f>
        <v/>
      </c>
      <c r="AK1969" s="21">
        <f>2*$B$1813</f>
        <v/>
      </c>
      <c r="AL1969" s="21">
        <f>-$B$1812</f>
        <v/>
      </c>
      <c r="AM1969" s="21">
        <f>$B$1814</f>
        <v/>
      </c>
      <c r="AN1969" s="21" t="n">
        <v>0</v>
      </c>
      <c r="AO1969" s="21" t="n">
        <v>0</v>
      </c>
      <c r="AP1969" s="21" t="n">
        <v>0</v>
      </c>
      <c r="AQ1969" s="21" t="n">
        <v>0</v>
      </c>
      <c r="AR1969" s="21" t="n">
        <v>0</v>
      </c>
      <c r="AS1969" s="21" t="n">
        <v>0</v>
      </c>
      <c r="AT1969" s="19" t="n"/>
    </row>
    <row r="1970">
      <c r="D1970" s="21" t="n">
        <v>0</v>
      </c>
      <c r="E1970" s="21" t="n">
        <v>0</v>
      </c>
      <c r="F1970" s="21" t="n">
        <v>0</v>
      </c>
      <c r="G1970" s="21" t="n">
        <v>0</v>
      </c>
      <c r="H1970" s="21" t="n">
        <v>0</v>
      </c>
      <c r="I1970" s="21" t="n">
        <v>0</v>
      </c>
      <c r="J1970" s="21" t="n">
        <v>0</v>
      </c>
      <c r="K1970" s="21" t="n">
        <v>0</v>
      </c>
      <c r="L1970" s="21" t="n">
        <v>0</v>
      </c>
      <c r="M1970" s="21" t="n">
        <v>0</v>
      </c>
      <c r="N1970" s="21" t="n">
        <v>0</v>
      </c>
      <c r="O1970" s="21" t="n">
        <v>0</v>
      </c>
      <c r="P1970" s="21" t="n">
        <v>0</v>
      </c>
      <c r="Q1970" s="21" t="n">
        <v>0</v>
      </c>
      <c r="R1970" s="21" t="n">
        <v>0</v>
      </c>
      <c r="S1970" s="21" t="n">
        <v>0</v>
      </c>
      <c r="T1970" s="21" t="n">
        <v>0</v>
      </c>
      <c r="U1970" s="21" t="n">
        <v>0</v>
      </c>
      <c r="V1970" s="21" t="n">
        <v>0</v>
      </c>
      <c r="W1970" s="21" t="n">
        <v>0</v>
      </c>
      <c r="X1970" s="21" t="n">
        <v>0</v>
      </c>
      <c r="Y1970" s="21" t="n">
        <v>0</v>
      </c>
      <c r="Z1970" s="21" t="n">
        <v>0</v>
      </c>
      <c r="AA1970" s="21" t="n">
        <v>0</v>
      </c>
      <c r="AB1970" s="21" t="n">
        <v>0</v>
      </c>
      <c r="AC1970" s="21" t="n">
        <v>0</v>
      </c>
      <c r="AD1970" s="21" t="n">
        <v>0</v>
      </c>
      <c r="AE1970" s="21" t="n">
        <v>0</v>
      </c>
      <c r="AF1970" s="21" t="n">
        <v>0</v>
      </c>
      <c r="AG1970" s="21" t="n">
        <v>0</v>
      </c>
      <c r="AH1970" s="21" t="n">
        <v>0</v>
      </c>
      <c r="AI1970" s="21" t="n">
        <v>0</v>
      </c>
      <c r="AJ1970" s="21">
        <f>-$B$1811</f>
        <v/>
      </c>
      <c r="AK1970" s="21">
        <f>-$B$1812</f>
        <v/>
      </c>
      <c r="AL1970" s="21">
        <f>2*$B$1811+$D$1931</f>
        <v/>
      </c>
      <c r="AM1970" s="21">
        <f>0</f>
        <v/>
      </c>
      <c r="AN1970" s="21">
        <f>-$B$1811</f>
        <v/>
      </c>
      <c r="AO1970" s="21">
        <f>$B$1812</f>
        <v/>
      </c>
      <c r="AP1970" s="21" t="n">
        <v>0</v>
      </c>
      <c r="AQ1970" s="21" t="n">
        <v>0</v>
      </c>
      <c r="AR1970" s="21" t="n">
        <v>0</v>
      </c>
      <c r="AS1970" s="21" t="n">
        <v>0</v>
      </c>
      <c r="AT1970" s="19" t="n"/>
    </row>
    <row r="1971">
      <c r="D1971" s="21" t="n">
        <v>0</v>
      </c>
      <c r="E1971" s="21" t="n">
        <v>0</v>
      </c>
      <c r="F1971" s="21" t="n">
        <v>0</v>
      </c>
      <c r="G1971" s="21" t="n">
        <v>0</v>
      </c>
      <c r="H1971" s="21" t="n">
        <v>0</v>
      </c>
      <c r="I1971" s="21" t="n">
        <v>0</v>
      </c>
      <c r="J1971" s="21" t="n">
        <v>0</v>
      </c>
      <c r="K1971" s="21" t="n">
        <v>0</v>
      </c>
      <c r="L1971" s="21" t="n">
        <v>0</v>
      </c>
      <c r="M1971" s="21" t="n">
        <v>0</v>
      </c>
      <c r="N1971" s="21" t="n">
        <v>0</v>
      </c>
      <c r="O1971" s="21" t="n">
        <v>0</v>
      </c>
      <c r="P1971" s="21" t="n">
        <v>0</v>
      </c>
      <c r="Q1971" s="21" t="n">
        <v>0</v>
      </c>
      <c r="R1971" s="21" t="n">
        <v>0</v>
      </c>
      <c r="S1971" s="21" t="n">
        <v>0</v>
      </c>
      <c r="T1971" s="21" t="n">
        <v>0</v>
      </c>
      <c r="U1971" s="21" t="n">
        <v>0</v>
      </c>
      <c r="V1971" s="21" t="n">
        <v>0</v>
      </c>
      <c r="W1971" s="21" t="n">
        <v>0</v>
      </c>
      <c r="X1971" s="21" t="n">
        <v>0</v>
      </c>
      <c r="Y1971" s="21" t="n">
        <v>0</v>
      </c>
      <c r="Z1971" s="21" t="n">
        <v>0</v>
      </c>
      <c r="AA1971" s="21" t="n">
        <v>0</v>
      </c>
      <c r="AB1971" s="21" t="n">
        <v>0</v>
      </c>
      <c r="AC1971" s="21" t="n">
        <v>0</v>
      </c>
      <c r="AD1971" s="21" t="n">
        <v>0</v>
      </c>
      <c r="AE1971" s="21" t="n">
        <v>0</v>
      </c>
      <c r="AF1971" s="21" t="n">
        <v>0</v>
      </c>
      <c r="AG1971" s="21" t="n">
        <v>0</v>
      </c>
      <c r="AH1971" s="21" t="n">
        <v>0</v>
      </c>
      <c r="AI1971" s="21" t="n">
        <v>0</v>
      </c>
      <c r="AJ1971" s="21">
        <f>$B$1812</f>
        <v/>
      </c>
      <c r="AK1971" s="21">
        <f>$B$1814</f>
        <v/>
      </c>
      <c r="AL1971" s="21">
        <f>0</f>
        <v/>
      </c>
      <c r="AM1971" s="21">
        <f>2*$B$1813</f>
        <v/>
      </c>
      <c r="AN1971" s="21">
        <f>-$B$1812</f>
        <v/>
      </c>
      <c r="AO1971" s="21">
        <f>$B$1814</f>
        <v/>
      </c>
      <c r="AP1971" s="21" t="n">
        <v>0</v>
      </c>
      <c r="AQ1971" s="21" t="n">
        <v>0</v>
      </c>
      <c r="AR1971" s="21" t="n">
        <v>0</v>
      </c>
      <c r="AS1971" s="21" t="n">
        <v>0</v>
      </c>
      <c r="AT1971" s="19" t="n"/>
    </row>
    <row r="1972">
      <c r="D1972" s="21" t="n">
        <v>0</v>
      </c>
      <c r="E1972" s="21" t="n">
        <v>0</v>
      </c>
      <c r="F1972" s="21" t="n">
        <v>0</v>
      </c>
      <c r="G1972" s="21" t="n">
        <v>0</v>
      </c>
      <c r="H1972" s="21" t="n">
        <v>0</v>
      </c>
      <c r="I1972" s="21" t="n">
        <v>0</v>
      </c>
      <c r="J1972" s="21" t="n">
        <v>0</v>
      </c>
      <c r="K1972" s="21" t="n">
        <v>0</v>
      </c>
      <c r="L1972" s="21" t="n">
        <v>0</v>
      </c>
      <c r="M1972" s="21" t="n">
        <v>0</v>
      </c>
      <c r="N1972" s="21" t="n">
        <v>0</v>
      </c>
      <c r="O1972" s="21" t="n">
        <v>0</v>
      </c>
      <c r="P1972" s="21" t="n">
        <v>0</v>
      </c>
      <c r="Q1972" s="21" t="n">
        <v>0</v>
      </c>
      <c r="R1972" s="21" t="n">
        <v>0</v>
      </c>
      <c r="S1972" s="21" t="n">
        <v>0</v>
      </c>
      <c r="T1972" s="21" t="n">
        <v>0</v>
      </c>
      <c r="U1972" s="21" t="n">
        <v>0</v>
      </c>
      <c r="V1972" s="21" t="n">
        <v>0</v>
      </c>
      <c r="W1972" s="21" t="n">
        <v>0</v>
      </c>
      <c r="X1972" s="21" t="n">
        <v>0</v>
      </c>
      <c r="Y1972" s="21" t="n">
        <v>0</v>
      </c>
      <c r="Z1972" s="21" t="n">
        <v>0</v>
      </c>
      <c r="AA1972" s="21" t="n">
        <v>0</v>
      </c>
      <c r="AB1972" s="21" t="n">
        <v>0</v>
      </c>
      <c r="AC1972" s="21" t="n">
        <v>0</v>
      </c>
      <c r="AD1972" s="21" t="n">
        <v>0</v>
      </c>
      <c r="AE1972" s="21" t="n">
        <v>0</v>
      </c>
      <c r="AF1972" s="21" t="n">
        <v>0</v>
      </c>
      <c r="AG1972" s="21" t="n">
        <v>0</v>
      </c>
      <c r="AH1972" s="21" t="n">
        <v>0</v>
      </c>
      <c r="AI1972" s="21" t="n">
        <v>0</v>
      </c>
      <c r="AJ1972" s="21" t="n">
        <v>0</v>
      </c>
      <c r="AK1972" s="21" t="n">
        <v>0</v>
      </c>
      <c r="AL1972" s="21">
        <f>-$B$1811</f>
        <v/>
      </c>
      <c r="AM1972" s="21">
        <f>-$B$1812</f>
        <v/>
      </c>
      <c r="AN1972" s="21">
        <f>2*$B$1811+$D$1932</f>
        <v/>
      </c>
      <c r="AO1972" s="21">
        <f>0</f>
        <v/>
      </c>
      <c r="AP1972" s="21">
        <f>-$B$1811</f>
        <v/>
      </c>
      <c r="AQ1972" s="21">
        <f>$B$1812</f>
        <v/>
      </c>
      <c r="AR1972" s="21" t="n">
        <v>0</v>
      </c>
      <c r="AS1972" s="21" t="n">
        <v>0</v>
      </c>
      <c r="AT1972" s="19" t="n"/>
    </row>
    <row r="1973">
      <c r="D1973" s="21" t="n">
        <v>0</v>
      </c>
      <c r="E1973" s="21" t="n">
        <v>0</v>
      </c>
      <c r="F1973" s="21" t="n">
        <v>0</v>
      </c>
      <c r="G1973" s="21" t="n">
        <v>0</v>
      </c>
      <c r="H1973" s="21" t="n">
        <v>0</v>
      </c>
      <c r="I1973" s="21" t="n">
        <v>0</v>
      </c>
      <c r="J1973" s="21" t="n">
        <v>0</v>
      </c>
      <c r="K1973" s="21" t="n">
        <v>0</v>
      </c>
      <c r="L1973" s="21" t="n">
        <v>0</v>
      </c>
      <c r="M1973" s="21" t="n">
        <v>0</v>
      </c>
      <c r="N1973" s="21" t="n">
        <v>0</v>
      </c>
      <c r="O1973" s="21" t="n">
        <v>0</v>
      </c>
      <c r="P1973" s="21" t="n">
        <v>0</v>
      </c>
      <c r="Q1973" s="21" t="n">
        <v>0</v>
      </c>
      <c r="R1973" s="21" t="n">
        <v>0</v>
      </c>
      <c r="S1973" s="21" t="n">
        <v>0</v>
      </c>
      <c r="T1973" s="21" t="n">
        <v>0</v>
      </c>
      <c r="U1973" s="21" t="n">
        <v>0</v>
      </c>
      <c r="V1973" s="21" t="n">
        <v>0</v>
      </c>
      <c r="W1973" s="21" t="n">
        <v>0</v>
      </c>
      <c r="X1973" s="21" t="n">
        <v>0</v>
      </c>
      <c r="Y1973" s="21" t="n">
        <v>0</v>
      </c>
      <c r="Z1973" s="21" t="n">
        <v>0</v>
      </c>
      <c r="AA1973" s="21" t="n">
        <v>0</v>
      </c>
      <c r="AB1973" s="21" t="n">
        <v>0</v>
      </c>
      <c r="AC1973" s="21" t="n">
        <v>0</v>
      </c>
      <c r="AD1973" s="21" t="n">
        <v>0</v>
      </c>
      <c r="AE1973" s="21" t="n">
        <v>0</v>
      </c>
      <c r="AF1973" s="21" t="n">
        <v>0</v>
      </c>
      <c r="AG1973" s="21" t="n">
        <v>0</v>
      </c>
      <c r="AH1973" s="21" t="n">
        <v>0</v>
      </c>
      <c r="AI1973" s="21" t="n">
        <v>0</v>
      </c>
      <c r="AJ1973" s="21" t="n">
        <v>0</v>
      </c>
      <c r="AK1973" s="21" t="n">
        <v>0</v>
      </c>
      <c r="AL1973" s="21">
        <f>$B$1812</f>
        <v/>
      </c>
      <c r="AM1973" s="21">
        <f>$B$1814</f>
        <v/>
      </c>
      <c r="AN1973" s="21">
        <f>0</f>
        <v/>
      </c>
      <c r="AO1973" s="21">
        <f>2*$B$1813</f>
        <v/>
      </c>
      <c r="AP1973" s="21">
        <f>-$B$1812</f>
        <v/>
      </c>
      <c r="AQ1973" s="21">
        <f>$B$1814</f>
        <v/>
      </c>
      <c r="AR1973" s="21" t="n">
        <v>0</v>
      </c>
      <c r="AS1973" s="21" t="n">
        <v>0</v>
      </c>
      <c r="AT1973" s="19" t="n"/>
    </row>
    <row r="1974">
      <c r="D1974" s="21" t="n">
        <v>0</v>
      </c>
      <c r="E1974" s="21" t="n">
        <v>0</v>
      </c>
      <c r="F1974" s="21" t="n">
        <v>0</v>
      </c>
      <c r="G1974" s="21" t="n">
        <v>0</v>
      </c>
      <c r="H1974" s="21" t="n">
        <v>0</v>
      </c>
      <c r="I1974" s="21" t="n">
        <v>0</v>
      </c>
      <c r="J1974" s="21" t="n">
        <v>0</v>
      </c>
      <c r="K1974" s="21" t="n">
        <v>0</v>
      </c>
      <c r="L1974" s="21" t="n">
        <v>0</v>
      </c>
      <c r="M1974" s="21" t="n">
        <v>0</v>
      </c>
      <c r="N1974" s="21" t="n">
        <v>0</v>
      </c>
      <c r="O1974" s="21" t="n">
        <v>0</v>
      </c>
      <c r="P1974" s="21" t="n">
        <v>0</v>
      </c>
      <c r="Q1974" s="21" t="n">
        <v>0</v>
      </c>
      <c r="R1974" s="21" t="n">
        <v>0</v>
      </c>
      <c r="S1974" s="21" t="n">
        <v>0</v>
      </c>
      <c r="T1974" s="21" t="n">
        <v>0</v>
      </c>
      <c r="U1974" s="21" t="n">
        <v>0</v>
      </c>
      <c r="V1974" s="21" t="n">
        <v>0</v>
      </c>
      <c r="W1974" s="21" t="n">
        <v>0</v>
      </c>
      <c r="X1974" s="21" t="n">
        <v>0</v>
      </c>
      <c r="Y1974" s="21" t="n">
        <v>0</v>
      </c>
      <c r="Z1974" s="21" t="n">
        <v>0</v>
      </c>
      <c r="AA1974" s="21" t="n">
        <v>0</v>
      </c>
      <c r="AB1974" s="21" t="n">
        <v>0</v>
      </c>
      <c r="AC1974" s="21" t="n">
        <v>0</v>
      </c>
      <c r="AD1974" s="21" t="n">
        <v>0</v>
      </c>
      <c r="AE1974" s="21" t="n">
        <v>0</v>
      </c>
      <c r="AF1974" s="21" t="n">
        <v>0</v>
      </c>
      <c r="AG1974" s="21" t="n">
        <v>0</v>
      </c>
      <c r="AH1974" s="21" t="n">
        <v>0</v>
      </c>
      <c r="AI1974" s="21" t="n">
        <v>0</v>
      </c>
      <c r="AJ1974" s="21" t="n">
        <v>0</v>
      </c>
      <c r="AK1974" s="21" t="n">
        <v>0</v>
      </c>
      <c r="AL1974" s="21" t="n">
        <v>0</v>
      </c>
      <c r="AM1974" s="21" t="n">
        <v>0</v>
      </c>
      <c r="AN1974" s="21">
        <f>-$B$1811</f>
        <v/>
      </c>
      <c r="AO1974" s="21">
        <f>-$B$1812</f>
        <v/>
      </c>
      <c r="AP1974" s="21">
        <f>2*$B$1811+$D$1933</f>
        <v/>
      </c>
      <c r="AQ1974" s="21">
        <f>0</f>
        <v/>
      </c>
      <c r="AR1974" s="21">
        <f>-$B$1811</f>
        <v/>
      </c>
      <c r="AS1974" s="21">
        <f>$B$1812</f>
        <v/>
      </c>
      <c r="AT1974" s="19" t="n"/>
    </row>
    <row r="1975">
      <c r="D1975" s="21" t="n">
        <v>0</v>
      </c>
      <c r="E1975" s="21" t="n">
        <v>0</v>
      </c>
      <c r="F1975" s="21" t="n">
        <v>0</v>
      </c>
      <c r="G1975" s="21" t="n">
        <v>0</v>
      </c>
      <c r="H1975" s="21" t="n">
        <v>0</v>
      </c>
      <c r="I1975" s="21" t="n">
        <v>0</v>
      </c>
      <c r="J1975" s="21" t="n">
        <v>0</v>
      </c>
      <c r="K1975" s="21" t="n">
        <v>0</v>
      </c>
      <c r="L1975" s="21" t="n">
        <v>0</v>
      </c>
      <c r="M1975" s="21" t="n">
        <v>0</v>
      </c>
      <c r="N1975" s="21" t="n">
        <v>0</v>
      </c>
      <c r="O1975" s="21" t="n">
        <v>0</v>
      </c>
      <c r="P1975" s="21" t="n">
        <v>0</v>
      </c>
      <c r="Q1975" s="21" t="n">
        <v>0</v>
      </c>
      <c r="R1975" s="21" t="n">
        <v>0</v>
      </c>
      <c r="S1975" s="21" t="n">
        <v>0</v>
      </c>
      <c r="T1975" s="21" t="n">
        <v>0</v>
      </c>
      <c r="U1975" s="21" t="n">
        <v>0</v>
      </c>
      <c r="V1975" s="21" t="n">
        <v>0</v>
      </c>
      <c r="W1975" s="21" t="n">
        <v>0</v>
      </c>
      <c r="X1975" s="21" t="n">
        <v>0</v>
      </c>
      <c r="Y1975" s="21" t="n">
        <v>0</v>
      </c>
      <c r="Z1975" s="21" t="n">
        <v>0</v>
      </c>
      <c r="AA1975" s="21" t="n">
        <v>0</v>
      </c>
      <c r="AB1975" s="21" t="n">
        <v>0</v>
      </c>
      <c r="AC1975" s="21" t="n">
        <v>0</v>
      </c>
      <c r="AD1975" s="21" t="n">
        <v>0</v>
      </c>
      <c r="AE1975" s="21" t="n">
        <v>0</v>
      </c>
      <c r="AF1975" s="21" t="n">
        <v>0</v>
      </c>
      <c r="AG1975" s="21" t="n">
        <v>0</v>
      </c>
      <c r="AH1975" s="21" t="n">
        <v>0</v>
      </c>
      <c r="AI1975" s="21" t="n">
        <v>0</v>
      </c>
      <c r="AJ1975" s="21" t="n">
        <v>0</v>
      </c>
      <c r="AK1975" s="21" t="n">
        <v>0</v>
      </c>
      <c r="AL1975" s="21" t="n">
        <v>0</v>
      </c>
      <c r="AM1975" s="21" t="n">
        <v>0</v>
      </c>
      <c r="AN1975" s="21">
        <f>$B$1812</f>
        <v/>
      </c>
      <c r="AO1975" s="21">
        <f>$B$1814</f>
        <v/>
      </c>
      <c r="AP1975" s="21">
        <f>0</f>
        <v/>
      </c>
      <c r="AQ1975" s="21">
        <f>2*$B$1813</f>
        <v/>
      </c>
      <c r="AR1975" s="21">
        <f>-$B$1812</f>
        <v/>
      </c>
      <c r="AS1975" s="21">
        <f>$B$1814</f>
        <v/>
      </c>
      <c r="AT1975" s="19" t="n"/>
    </row>
    <row r="1976">
      <c r="D1976" s="21" t="n">
        <v>0</v>
      </c>
      <c r="E1976" s="21" t="n">
        <v>0</v>
      </c>
      <c r="F1976" s="21" t="n">
        <v>0</v>
      </c>
      <c r="G1976" s="21" t="n">
        <v>0</v>
      </c>
      <c r="H1976" s="21" t="n">
        <v>0</v>
      </c>
      <c r="I1976" s="21" t="n">
        <v>0</v>
      </c>
      <c r="J1976" s="21" t="n">
        <v>0</v>
      </c>
      <c r="K1976" s="21" t="n">
        <v>0</v>
      </c>
      <c r="L1976" s="21" t="n">
        <v>0</v>
      </c>
      <c r="M1976" s="21" t="n">
        <v>0</v>
      </c>
      <c r="N1976" s="21" t="n">
        <v>0</v>
      </c>
      <c r="O1976" s="21" t="n">
        <v>0</v>
      </c>
      <c r="P1976" s="21" t="n">
        <v>0</v>
      </c>
      <c r="Q1976" s="21" t="n">
        <v>0</v>
      </c>
      <c r="R1976" s="21" t="n">
        <v>0</v>
      </c>
      <c r="S1976" s="21" t="n">
        <v>0</v>
      </c>
      <c r="T1976" s="21" t="n">
        <v>0</v>
      </c>
      <c r="U1976" s="21" t="n">
        <v>0</v>
      </c>
      <c r="V1976" s="21" t="n">
        <v>0</v>
      </c>
      <c r="W1976" s="21" t="n">
        <v>0</v>
      </c>
      <c r="X1976" s="21" t="n">
        <v>0</v>
      </c>
      <c r="Y1976" s="21" t="n">
        <v>0</v>
      </c>
      <c r="Z1976" s="21" t="n">
        <v>0</v>
      </c>
      <c r="AA1976" s="21" t="n">
        <v>0</v>
      </c>
      <c r="AB1976" s="21" t="n">
        <v>0</v>
      </c>
      <c r="AC1976" s="21" t="n">
        <v>0</v>
      </c>
      <c r="AD1976" s="21" t="n">
        <v>0</v>
      </c>
      <c r="AE1976" s="21" t="n">
        <v>0</v>
      </c>
      <c r="AF1976" s="21" t="n">
        <v>0</v>
      </c>
      <c r="AG1976" s="21" t="n">
        <v>0</v>
      </c>
      <c r="AH1976" s="21" t="n">
        <v>0</v>
      </c>
      <c r="AI1976" s="21" t="n">
        <v>0</v>
      </c>
      <c r="AJ1976" s="21" t="n">
        <v>0</v>
      </c>
      <c r="AK1976" s="21" t="n">
        <v>0</v>
      </c>
      <c r="AL1976" s="21" t="n">
        <v>0</v>
      </c>
      <c r="AM1976" s="21" t="n">
        <v>0</v>
      </c>
      <c r="AN1976" s="21" t="n">
        <v>0</v>
      </c>
      <c r="AO1976" s="21" t="n">
        <v>0</v>
      </c>
      <c r="AP1976" s="21">
        <f>-$B$1811</f>
        <v/>
      </c>
      <c r="AQ1976" s="21">
        <f>-$B$1812</f>
        <v/>
      </c>
      <c r="AR1976" s="21">
        <f>$B$1811+$D$1934</f>
        <v/>
      </c>
      <c r="AS1976" s="21">
        <f>-$B$1812</f>
        <v/>
      </c>
      <c r="AT1976" s="19" t="n"/>
    </row>
    <row r="1977">
      <c r="D1977" s="21" t="n">
        <v>0</v>
      </c>
      <c r="E1977" s="21" t="n">
        <v>0</v>
      </c>
      <c r="F1977" s="21" t="n">
        <v>0</v>
      </c>
      <c r="G1977" s="21" t="n">
        <v>0</v>
      </c>
      <c r="H1977" s="21" t="n">
        <v>0</v>
      </c>
      <c r="I1977" s="21" t="n">
        <v>0</v>
      </c>
      <c r="J1977" s="21" t="n">
        <v>0</v>
      </c>
      <c r="K1977" s="21" t="n">
        <v>0</v>
      </c>
      <c r="L1977" s="21" t="n">
        <v>0</v>
      </c>
      <c r="M1977" s="21" t="n">
        <v>0</v>
      </c>
      <c r="N1977" s="21" t="n">
        <v>0</v>
      </c>
      <c r="O1977" s="21" t="n">
        <v>0</v>
      </c>
      <c r="P1977" s="21" t="n">
        <v>0</v>
      </c>
      <c r="Q1977" s="21" t="n">
        <v>0</v>
      </c>
      <c r="R1977" s="21" t="n">
        <v>0</v>
      </c>
      <c r="S1977" s="21" t="n">
        <v>0</v>
      </c>
      <c r="T1977" s="21" t="n">
        <v>0</v>
      </c>
      <c r="U1977" s="21" t="n">
        <v>0</v>
      </c>
      <c r="V1977" s="21" t="n">
        <v>0</v>
      </c>
      <c r="W1977" s="21" t="n">
        <v>0</v>
      </c>
      <c r="X1977" s="21" t="n">
        <v>0</v>
      </c>
      <c r="Y1977" s="21" t="n">
        <v>0</v>
      </c>
      <c r="Z1977" s="21" t="n">
        <v>0</v>
      </c>
      <c r="AA1977" s="21" t="n">
        <v>0</v>
      </c>
      <c r="AB1977" s="21" t="n">
        <v>0</v>
      </c>
      <c r="AC1977" s="21" t="n">
        <v>0</v>
      </c>
      <c r="AD1977" s="21" t="n">
        <v>0</v>
      </c>
      <c r="AE1977" s="21" t="n">
        <v>0</v>
      </c>
      <c r="AF1977" s="21" t="n">
        <v>0</v>
      </c>
      <c r="AG1977" s="21" t="n">
        <v>0</v>
      </c>
      <c r="AH1977" s="21" t="n">
        <v>0</v>
      </c>
      <c r="AI1977" s="21" t="n">
        <v>0</v>
      </c>
      <c r="AJ1977" s="21" t="n">
        <v>0</v>
      </c>
      <c r="AK1977" s="21" t="n">
        <v>0</v>
      </c>
      <c r="AL1977" s="21" t="n">
        <v>0</v>
      </c>
      <c r="AM1977" s="21" t="n">
        <v>0</v>
      </c>
      <c r="AN1977" s="21" t="n">
        <v>0</v>
      </c>
      <c r="AO1977" s="21" t="n">
        <v>0</v>
      </c>
      <c r="AP1977" s="21">
        <f>$B$1812</f>
        <v/>
      </c>
      <c r="AQ1977" s="21">
        <f>$B$1814</f>
        <v/>
      </c>
      <c r="AR1977" s="21">
        <f>-$B$1812</f>
        <v/>
      </c>
      <c r="AS1977" s="21">
        <f>$B$1813</f>
        <v/>
      </c>
      <c r="AT1977" s="19" t="n"/>
    </row>
    <row r="1979">
      <c r="A1979" s="8" t="inlineStr">
        <is>
          <t>gen 2</t>
        </is>
      </c>
    </row>
    <row r="1980">
      <c r="D1980" s="19">
        <f>IF(ABS(IF(ABS($E$1914)&gt;0.000000001,$E$1914,0.000000001))=0,0,IF($E$1826&lt;=$B$1820,0,IF(ABS(IF(ABS($E$1914)&gt;0.000000001,$E$1914,0.000000001))&gt;=8*$B$1822,$H$1826,0.5*$H$1826*(ABS(IF(ABS($E$1914)&gt;0.000000001,$E$1914,0.000000001))/$B$1822)^(1/3)))/ABS(IF(ABS($E$1914)&gt;0.000000001,$E$1914,0.000000001))*$I$1826)</f>
        <v/>
      </c>
      <c r="E1980" s="19">
        <f>0.5*$E$1914+0.5*$AT$2002</f>
        <v/>
      </c>
      <c r="F1980" s="19">
        <f>$AT$2003</f>
        <v/>
      </c>
    </row>
    <row r="1981">
      <c r="D1981" s="19">
        <f>IF(ABS(IF(ABS($E$1915)&gt;0.000000001,$E$1915,0.000000001))=0,0,IF($E$1827&lt;=$B$1820,0,IF(ABS(IF(ABS($E$1915)&gt;0.000000001,$E$1915,0.000000001))&gt;=8*$B$1822,$H$1827,0.5*$H$1827*(ABS(IF(ABS($E$1915)&gt;0.000000001,$E$1915,0.000000001))/$B$1822)^(1/3)))/ABS(IF(ABS($E$1915)&gt;0.000000001,$E$1915,0.000000001))*$I$1827)</f>
        <v/>
      </c>
      <c r="E1981" s="19">
        <f>0.5*$E$1915+0.5*$AT$2004</f>
        <v/>
      </c>
      <c r="F1981" s="19">
        <f>$AT$2005</f>
        <v/>
      </c>
    </row>
    <row r="1982">
      <c r="D1982" s="19">
        <f>IF(ABS(IF(ABS($E$1916)&gt;0.000000001,$E$1916,0.000000001))=0,0,IF($E$1828&lt;=$B$1820,0,IF(ABS(IF(ABS($E$1916)&gt;0.000000001,$E$1916,0.000000001))&gt;=8*$B$1822,$H$1828,0.5*$H$1828*(ABS(IF(ABS($E$1916)&gt;0.000000001,$E$1916,0.000000001))/$B$1822)^(1/3)))/ABS(IF(ABS($E$1916)&gt;0.000000001,$E$1916,0.000000001))*$I$1828)</f>
        <v/>
      </c>
      <c r="E1982" s="19">
        <f>0.5*$E$1916+0.5*$AT$2006</f>
        <v/>
      </c>
      <c r="F1982" s="19">
        <f>$AT$2007</f>
        <v/>
      </c>
    </row>
    <row r="1983">
      <c r="D1983" s="19">
        <f>IF(ABS(IF(ABS($E$1917)&gt;0.000000001,$E$1917,0.000000001))=0,0,IF($E$1829&lt;=$B$1820,0,IF(ABS(IF(ABS($E$1917)&gt;0.000000001,$E$1917,0.000000001))&gt;=8*$B$1822,$H$1829,0.5*$H$1829*(ABS(IF(ABS($E$1917)&gt;0.000000001,$E$1917,0.000000001))/$B$1822)^(1/3)))/ABS(IF(ABS($E$1917)&gt;0.000000001,$E$1917,0.000000001))*$I$1829)</f>
        <v/>
      </c>
      <c r="E1983" s="19">
        <f>0.5*$E$1917+0.5*$AT$2008</f>
        <v/>
      </c>
      <c r="F1983" s="19">
        <f>$AT$2009</f>
        <v/>
      </c>
    </row>
    <row r="1984">
      <c r="D1984" s="19">
        <f>IF(ABS(IF(ABS($E$1918)&gt;0.000000001,$E$1918,0.000000001))=0,0,IF($E$1830&lt;=$B$1820,0,IF(ABS(IF(ABS($E$1918)&gt;0.000000001,$E$1918,0.000000001))&gt;=8*$B$1822,$H$1830,0.5*$H$1830*(ABS(IF(ABS($E$1918)&gt;0.000000001,$E$1918,0.000000001))/$B$1822)^(1/3)))/ABS(IF(ABS($E$1918)&gt;0.000000001,$E$1918,0.000000001))*$I$1830)</f>
        <v/>
      </c>
      <c r="E1984" s="19">
        <f>0.5*$E$1918+0.5*$AT$2010</f>
        <v/>
      </c>
      <c r="F1984" s="19">
        <f>$AT$2011</f>
        <v/>
      </c>
    </row>
    <row r="1985">
      <c r="D1985" s="19">
        <f>IF(ABS(IF(ABS($E$1919)&gt;0.000000001,$E$1919,0.000000001))=0,0,IF($E$1831&lt;=$B$1820,0,IF(ABS(IF(ABS($E$1919)&gt;0.000000001,$E$1919,0.000000001))&gt;=8*$B$1822,$H$1831,0.5*$H$1831*(ABS(IF(ABS($E$1919)&gt;0.000000001,$E$1919,0.000000001))/$B$1822)^(1/3)))/ABS(IF(ABS($E$1919)&gt;0.000000001,$E$1919,0.000000001))*$I$1831)</f>
        <v/>
      </c>
      <c r="E1985" s="19">
        <f>0.5*$E$1919+0.5*$AT$2012</f>
        <v/>
      </c>
      <c r="F1985" s="19">
        <f>$AT$2013</f>
        <v/>
      </c>
    </row>
    <row r="1986">
      <c r="D1986" s="19">
        <f>IF(ABS(IF(ABS($E$1920)&gt;0.000000001,$E$1920,0.000000001))=0,0,IF($E$1832&lt;=$B$1820,0,IF(ABS(IF(ABS($E$1920)&gt;0.000000001,$E$1920,0.000000001))&gt;=8*$B$1822,$H$1832,0.5*$H$1832*(ABS(IF(ABS($E$1920)&gt;0.000000001,$E$1920,0.000000001))/$B$1822)^(1/3)))/ABS(IF(ABS($E$1920)&gt;0.000000001,$E$1920,0.000000001))*$I$1832)</f>
        <v/>
      </c>
      <c r="E1986" s="19">
        <f>0.5*$E$1920+0.5*$AT$2014</f>
        <v/>
      </c>
      <c r="F1986" s="19">
        <f>$AT$2015</f>
        <v/>
      </c>
    </row>
    <row r="1987">
      <c r="D1987" s="19">
        <f>IF(ABS(IF(ABS($E$1921)&gt;0.000000001,$E$1921,0.000000001))=0,0,IF($E$1833&lt;=$B$1820,0,IF(ABS(IF(ABS($E$1921)&gt;0.000000001,$E$1921,0.000000001))&gt;=8*$B$1822,$H$1833,0.5*$H$1833*(ABS(IF(ABS($E$1921)&gt;0.000000001,$E$1921,0.000000001))/$B$1822)^(1/3)))/ABS(IF(ABS($E$1921)&gt;0.000000001,$E$1921,0.000000001))*$I$1833)</f>
        <v/>
      </c>
      <c r="E1987" s="19">
        <f>0.5*$E$1921+0.5*$AT$2016</f>
        <v/>
      </c>
      <c r="F1987" s="19">
        <f>$AT$2017</f>
        <v/>
      </c>
    </row>
    <row r="1988">
      <c r="D1988" s="19">
        <f>IF(ABS(IF(ABS($E$1922)&gt;0.000000001,$E$1922,0.000000001))=0,0,IF($E$1834&lt;=$B$1820,0,IF(ABS(IF(ABS($E$1922)&gt;0.000000001,$E$1922,0.000000001))&gt;=8*$B$1822,$H$1834,0.5*$H$1834*(ABS(IF(ABS($E$1922)&gt;0.000000001,$E$1922,0.000000001))/$B$1822)^(1/3)))/ABS(IF(ABS($E$1922)&gt;0.000000001,$E$1922,0.000000001))*$I$1834)</f>
        <v/>
      </c>
      <c r="E1988" s="19">
        <f>0.5*$E$1922+0.5*$AT$2018</f>
        <v/>
      </c>
      <c r="F1988" s="19">
        <f>$AT$2019</f>
        <v/>
      </c>
    </row>
    <row r="1989">
      <c r="D1989" s="19">
        <f>IF(ABS(IF(ABS($E$1923)&gt;0.000000001,$E$1923,0.000000001))=0,0,IF($E$1835&lt;=$B$1820,0,IF(ABS(IF(ABS($E$1923)&gt;0.000000001,$E$1923,0.000000001))&gt;=8*$B$1822,$H$1835,0.5*$H$1835*(ABS(IF(ABS($E$1923)&gt;0.000000001,$E$1923,0.000000001))/$B$1822)^(1/3)))/ABS(IF(ABS($E$1923)&gt;0.000000001,$E$1923,0.000000001))*$I$1835)</f>
        <v/>
      </c>
      <c r="E1989" s="19">
        <f>0.5*$E$1923+0.5*$AT$2020</f>
        <v/>
      </c>
      <c r="F1989" s="19">
        <f>$AT$2021</f>
        <v/>
      </c>
    </row>
    <row r="1990">
      <c r="D1990" s="19">
        <f>IF(ABS(IF(ABS($E$1924)&gt;0.000000001,$E$1924,0.000000001))=0,0,IF($E$1836&lt;=$B$1820,0,IF(ABS(IF(ABS($E$1924)&gt;0.000000001,$E$1924,0.000000001))&gt;=8*$B$1822,$H$1836,0.5*$H$1836*(ABS(IF(ABS($E$1924)&gt;0.000000001,$E$1924,0.000000001))/$B$1822)^(1/3)))/ABS(IF(ABS($E$1924)&gt;0.000000001,$E$1924,0.000000001))*$I$1836)</f>
        <v/>
      </c>
      <c r="E1990" s="19">
        <f>0.5*$E$1924+0.5*$AT$2022</f>
        <v/>
      </c>
      <c r="F1990" s="19">
        <f>$AT$2023</f>
        <v/>
      </c>
    </row>
    <row r="1991">
      <c r="D1991" s="19">
        <f>IF(ABS(IF(ABS($E$1925)&gt;0.000000001,$E$1925,0.000000001))=0,0,IF($E$1837&lt;=$B$1820,0,IF(ABS(IF(ABS($E$1925)&gt;0.000000001,$E$1925,0.000000001))&gt;=8*$B$1822,$H$1837,0.5*$H$1837*(ABS(IF(ABS($E$1925)&gt;0.000000001,$E$1925,0.000000001))/$B$1822)^(1/3)))/ABS(IF(ABS($E$1925)&gt;0.000000001,$E$1925,0.000000001))*$I$1837)</f>
        <v/>
      </c>
      <c r="E1991" s="19">
        <f>0.5*$E$1925+0.5*$AT$2024</f>
        <v/>
      </c>
      <c r="F1991" s="19">
        <f>$AT$2025</f>
        <v/>
      </c>
    </row>
    <row r="1992">
      <c r="D1992" s="19">
        <f>IF(ABS(IF(ABS($E$1926)&gt;0.000000001,$E$1926,0.000000001))=0,0,IF($E$1838&lt;=$B$1820,0,IF(ABS(IF(ABS($E$1926)&gt;0.000000001,$E$1926,0.000000001))&gt;=8*$B$1822,$H$1838,0.5*$H$1838*(ABS(IF(ABS($E$1926)&gt;0.000000001,$E$1926,0.000000001))/$B$1822)^(1/3)))/ABS(IF(ABS($E$1926)&gt;0.000000001,$E$1926,0.000000001))*$I$1838)</f>
        <v/>
      </c>
      <c r="E1992" s="19">
        <f>0.5*$E$1926+0.5*$AT$2026</f>
        <v/>
      </c>
      <c r="F1992" s="19">
        <f>$AT$2027</f>
        <v/>
      </c>
    </row>
    <row r="1993">
      <c r="D1993" s="19">
        <f>IF(ABS(IF(ABS($E$1927)&gt;0.000000001,$E$1927,0.000000001))=0,0,IF($E$1839&lt;=$B$1820,0,IF(ABS(IF(ABS($E$1927)&gt;0.000000001,$E$1927,0.000000001))&gt;=8*$B$1822,$H$1839,0.5*$H$1839*(ABS(IF(ABS($E$1927)&gt;0.000000001,$E$1927,0.000000001))/$B$1822)^(1/3)))/ABS(IF(ABS($E$1927)&gt;0.000000001,$E$1927,0.000000001))*$I$1839)</f>
        <v/>
      </c>
      <c r="E1993" s="19">
        <f>0.5*$E$1927+0.5*$AT$2028</f>
        <v/>
      </c>
      <c r="F1993" s="19">
        <f>$AT$2029</f>
        <v/>
      </c>
    </row>
    <row r="1994">
      <c r="D1994" s="19">
        <f>IF(ABS(IF(ABS($E$1928)&gt;0.000000001,$E$1928,0.000000001))=0,0,IF($E$1840&lt;=$B$1820,0,IF(ABS(IF(ABS($E$1928)&gt;0.000000001,$E$1928,0.000000001))&gt;=8*$B$1822,$H$1840,0.5*$H$1840*(ABS(IF(ABS($E$1928)&gt;0.000000001,$E$1928,0.000000001))/$B$1822)^(1/3)))/ABS(IF(ABS($E$1928)&gt;0.000000001,$E$1928,0.000000001))*$I$1840)</f>
        <v/>
      </c>
      <c r="E1994" s="19">
        <f>0.5*$E$1928+0.5*$AT$2030</f>
        <v/>
      </c>
      <c r="F1994" s="19">
        <f>$AT$2031</f>
        <v/>
      </c>
    </row>
    <row r="1995">
      <c r="D1995" s="19">
        <f>IF(ABS(IF(ABS($E$1929)&gt;0.000000001,$E$1929,0.000000001))=0,0,IF($E$1841&lt;=$B$1820,0,IF(ABS(IF(ABS($E$1929)&gt;0.000000001,$E$1929,0.000000001))&gt;=8*$B$1822,$H$1841,0.5*$H$1841*(ABS(IF(ABS($E$1929)&gt;0.000000001,$E$1929,0.000000001))/$B$1822)^(1/3)))/ABS(IF(ABS($E$1929)&gt;0.000000001,$E$1929,0.000000001))*$I$1841)</f>
        <v/>
      </c>
      <c r="E1995" s="19">
        <f>0.5*$E$1929+0.5*$AT$2032</f>
        <v/>
      </c>
      <c r="F1995" s="19">
        <f>$AT$2033</f>
        <v/>
      </c>
    </row>
    <row r="1996">
      <c r="D1996" s="19">
        <f>IF(ABS(IF(ABS($E$1930)&gt;0.000000001,$E$1930,0.000000001))=0,0,IF($E$1842&lt;=$B$1820,0,IF(ABS(IF(ABS($E$1930)&gt;0.000000001,$E$1930,0.000000001))&gt;=8*$B$1822,$H$1842,0.5*$H$1842*(ABS(IF(ABS($E$1930)&gt;0.000000001,$E$1930,0.000000001))/$B$1822)^(1/3)))/ABS(IF(ABS($E$1930)&gt;0.000000001,$E$1930,0.000000001))*$I$1842)</f>
        <v/>
      </c>
      <c r="E1996" s="19">
        <f>0.5*$E$1930+0.5*$AT$2034</f>
        <v/>
      </c>
      <c r="F1996" s="19">
        <f>$AT$2035</f>
        <v/>
      </c>
    </row>
    <row r="1997">
      <c r="D1997" s="19">
        <f>IF(ABS(IF(ABS($E$1931)&gt;0.000000001,$E$1931,0.000000001))=0,0,IF($E$1843&lt;=$B$1820,0,IF(ABS(IF(ABS($E$1931)&gt;0.000000001,$E$1931,0.000000001))&gt;=8*$B$1822,$H$1843,0.5*$H$1843*(ABS(IF(ABS($E$1931)&gt;0.000000001,$E$1931,0.000000001))/$B$1822)^(1/3)))/ABS(IF(ABS($E$1931)&gt;0.000000001,$E$1931,0.000000001))*$I$1843)</f>
        <v/>
      </c>
      <c r="E1997" s="19">
        <f>0.5*$E$1931+0.5*$AT$2036</f>
        <v/>
      </c>
      <c r="F1997" s="19">
        <f>$AT$2037</f>
        <v/>
      </c>
    </row>
    <row r="1998">
      <c r="D1998" s="19">
        <f>IF(ABS(IF(ABS($E$1932)&gt;0.000000001,$E$1932,0.000000001))=0,0,IF($E$1844&lt;=$B$1820,0,IF(ABS(IF(ABS($E$1932)&gt;0.000000001,$E$1932,0.000000001))&gt;=8*$B$1822,$H$1844,0.5*$H$1844*(ABS(IF(ABS($E$1932)&gt;0.000000001,$E$1932,0.000000001))/$B$1822)^(1/3)))/ABS(IF(ABS($E$1932)&gt;0.000000001,$E$1932,0.000000001))*$I$1844)</f>
        <v/>
      </c>
      <c r="E1998" s="19">
        <f>0.5*$E$1932+0.5*$AT$2038</f>
        <v/>
      </c>
      <c r="F1998" s="19">
        <f>$AT$2039</f>
        <v/>
      </c>
    </row>
    <row r="1999">
      <c r="D1999" s="19">
        <f>IF(ABS(IF(ABS($E$1933)&gt;0.000000001,$E$1933,0.000000001))=0,0,IF($E$1845&lt;=$B$1820,0,IF(ABS(IF(ABS($E$1933)&gt;0.000000001,$E$1933,0.000000001))&gt;=8*$B$1822,$H$1845,0.5*$H$1845*(ABS(IF(ABS($E$1933)&gt;0.000000001,$E$1933,0.000000001))/$B$1822)^(1/3)))/ABS(IF(ABS($E$1933)&gt;0.000000001,$E$1933,0.000000001))*$I$1845)</f>
        <v/>
      </c>
      <c r="E1999" s="19">
        <f>0.5*$E$1933+0.5*$AT$2040</f>
        <v/>
      </c>
      <c r="F1999" s="19">
        <f>$AT$2041</f>
        <v/>
      </c>
    </row>
    <row r="2000">
      <c r="D2000" s="19">
        <f>IF(ABS(IF(ABS($E$1934)&gt;0.000000001,$E$1934,0.000000001))=0,0,IF($E$1846&lt;=$B$1820,0,IF(ABS(IF(ABS($E$1934)&gt;0.000000001,$E$1934,0.000000001))&gt;=8*$B$1822,$H$1846,0.5*$H$1846*(ABS(IF(ABS($E$1934)&gt;0.000000001,$E$1934,0.000000001))/$B$1822)^(1/3)))/ABS(IF(ABS($E$1934)&gt;0.000000001,$E$1934,0.000000001))*$I$1846)</f>
        <v/>
      </c>
      <c r="E2000" s="19">
        <f>0.5*$E$1934+0.5*$AT$2042</f>
        <v/>
      </c>
      <c r="F2000" s="19">
        <f>$AT$2043</f>
        <v/>
      </c>
    </row>
    <row r="2002">
      <c r="D2002" s="21">
        <f>$B$1811+$D$1980</f>
        <v/>
      </c>
      <c r="E2002" s="21">
        <f>$B$1812</f>
        <v/>
      </c>
      <c r="F2002" s="21">
        <f>-$B$1811</f>
        <v/>
      </c>
      <c r="G2002" s="21">
        <f>$B$1812</f>
        <v/>
      </c>
      <c r="H2002" s="21" t="n">
        <v>0</v>
      </c>
      <c r="I2002" s="21" t="n">
        <v>0</v>
      </c>
      <c r="J2002" s="21" t="n">
        <v>0</v>
      </c>
      <c r="K2002" s="21" t="n">
        <v>0</v>
      </c>
      <c r="L2002" s="21" t="n">
        <v>0</v>
      </c>
      <c r="M2002" s="21" t="n">
        <v>0</v>
      </c>
      <c r="N2002" s="21" t="n">
        <v>0</v>
      </c>
      <c r="O2002" s="21" t="n">
        <v>0</v>
      </c>
      <c r="P2002" s="21" t="n">
        <v>0</v>
      </c>
      <c r="Q2002" s="21" t="n">
        <v>0</v>
      </c>
      <c r="R2002" s="21" t="n">
        <v>0</v>
      </c>
      <c r="S2002" s="21" t="n">
        <v>0</v>
      </c>
      <c r="T2002" s="21" t="n">
        <v>0</v>
      </c>
      <c r="U2002" s="21" t="n">
        <v>0</v>
      </c>
      <c r="V2002" s="21" t="n">
        <v>0</v>
      </c>
      <c r="W2002" s="21" t="n">
        <v>0</v>
      </c>
      <c r="X2002" s="21" t="n">
        <v>0</v>
      </c>
      <c r="Y2002" s="21" t="n">
        <v>0</v>
      </c>
      <c r="Z2002" s="21" t="n">
        <v>0</v>
      </c>
      <c r="AA2002" s="21" t="n">
        <v>0</v>
      </c>
      <c r="AB2002" s="21" t="n">
        <v>0</v>
      </c>
      <c r="AC2002" s="21" t="n">
        <v>0</v>
      </c>
      <c r="AD2002" s="21" t="n">
        <v>0</v>
      </c>
      <c r="AE2002" s="21" t="n">
        <v>0</v>
      </c>
      <c r="AF2002" s="21" t="n">
        <v>0</v>
      </c>
      <c r="AG2002" s="21" t="n">
        <v>0</v>
      </c>
      <c r="AH2002" s="21" t="n">
        <v>0</v>
      </c>
      <c r="AI2002" s="21" t="n">
        <v>0</v>
      </c>
      <c r="AJ2002" s="21" t="n">
        <v>0</v>
      </c>
      <c r="AK2002" s="21" t="n">
        <v>0</v>
      </c>
      <c r="AL2002" s="21" t="n">
        <v>0</v>
      </c>
      <c r="AM2002" s="21" t="n">
        <v>0</v>
      </c>
      <c r="AN2002" s="21" t="n">
        <v>0</v>
      </c>
      <c r="AO2002" s="21" t="n">
        <v>0</v>
      </c>
      <c r="AP2002" s="21" t="n">
        <v>0</v>
      </c>
      <c r="AQ2002" s="21" t="n">
        <v>0</v>
      </c>
      <c r="AR2002" s="21" t="n">
        <v>0</v>
      </c>
      <c r="AS2002" s="21" t="n">
        <v>0</v>
      </c>
      <c r="AT2002" s="19">
        <f t="array" ref="AT2002:AT2043">MMULT(MINVERSE($D$2002:$AS$2043),$D$1848:$D$1889)</f>
        <v/>
      </c>
    </row>
    <row r="2003">
      <c r="D2003" s="21">
        <f>$B$1812</f>
        <v/>
      </c>
      <c r="E2003" s="21">
        <f>$B$1813</f>
        <v/>
      </c>
      <c r="F2003" s="21">
        <f>-$B$1812</f>
        <v/>
      </c>
      <c r="G2003" s="21">
        <f>$B$1814</f>
        <v/>
      </c>
      <c r="H2003" s="21" t="n">
        <v>0</v>
      </c>
      <c r="I2003" s="21" t="n">
        <v>0</v>
      </c>
      <c r="J2003" s="21" t="n">
        <v>0</v>
      </c>
      <c r="K2003" s="21" t="n">
        <v>0</v>
      </c>
      <c r="L2003" s="21" t="n">
        <v>0</v>
      </c>
      <c r="M2003" s="21" t="n">
        <v>0</v>
      </c>
      <c r="N2003" s="21" t="n">
        <v>0</v>
      </c>
      <c r="O2003" s="21" t="n">
        <v>0</v>
      </c>
      <c r="P2003" s="21" t="n">
        <v>0</v>
      </c>
      <c r="Q2003" s="21" t="n">
        <v>0</v>
      </c>
      <c r="R2003" s="21" t="n">
        <v>0</v>
      </c>
      <c r="S2003" s="21" t="n">
        <v>0</v>
      </c>
      <c r="T2003" s="21" t="n">
        <v>0</v>
      </c>
      <c r="U2003" s="21" t="n">
        <v>0</v>
      </c>
      <c r="V2003" s="21" t="n">
        <v>0</v>
      </c>
      <c r="W2003" s="21" t="n">
        <v>0</v>
      </c>
      <c r="X2003" s="21" t="n">
        <v>0</v>
      </c>
      <c r="Y2003" s="21" t="n">
        <v>0</v>
      </c>
      <c r="Z2003" s="21" t="n">
        <v>0</v>
      </c>
      <c r="AA2003" s="21" t="n">
        <v>0</v>
      </c>
      <c r="AB2003" s="21" t="n">
        <v>0</v>
      </c>
      <c r="AC2003" s="21" t="n">
        <v>0</v>
      </c>
      <c r="AD2003" s="21" t="n">
        <v>0</v>
      </c>
      <c r="AE2003" s="21" t="n">
        <v>0</v>
      </c>
      <c r="AF2003" s="21" t="n">
        <v>0</v>
      </c>
      <c r="AG2003" s="21" t="n">
        <v>0</v>
      </c>
      <c r="AH2003" s="21" t="n">
        <v>0</v>
      </c>
      <c r="AI2003" s="21" t="n">
        <v>0</v>
      </c>
      <c r="AJ2003" s="21" t="n">
        <v>0</v>
      </c>
      <c r="AK2003" s="21" t="n">
        <v>0</v>
      </c>
      <c r="AL2003" s="21" t="n">
        <v>0</v>
      </c>
      <c r="AM2003" s="21" t="n">
        <v>0</v>
      </c>
      <c r="AN2003" s="21" t="n">
        <v>0</v>
      </c>
      <c r="AO2003" s="21" t="n">
        <v>0</v>
      </c>
      <c r="AP2003" s="21" t="n">
        <v>0</v>
      </c>
      <c r="AQ2003" s="21" t="n">
        <v>0</v>
      </c>
      <c r="AR2003" s="21" t="n">
        <v>0</v>
      </c>
      <c r="AS2003" s="21" t="n">
        <v>0</v>
      </c>
      <c r="AT2003" s="19" t="n"/>
    </row>
    <row r="2004">
      <c r="D2004" s="21">
        <f>-$B$1811</f>
        <v/>
      </c>
      <c r="E2004" s="21">
        <f>-$B$1812</f>
        <v/>
      </c>
      <c r="F2004" s="21">
        <f>2*$B$1811+$D$1981</f>
        <v/>
      </c>
      <c r="G2004" s="21">
        <f>0</f>
        <v/>
      </c>
      <c r="H2004" s="21">
        <f>-$B$1811</f>
        <v/>
      </c>
      <c r="I2004" s="21">
        <f>$B$1812</f>
        <v/>
      </c>
      <c r="J2004" s="21" t="n">
        <v>0</v>
      </c>
      <c r="K2004" s="21" t="n">
        <v>0</v>
      </c>
      <c r="L2004" s="21" t="n">
        <v>0</v>
      </c>
      <c r="M2004" s="21" t="n">
        <v>0</v>
      </c>
      <c r="N2004" s="21" t="n">
        <v>0</v>
      </c>
      <c r="O2004" s="21" t="n">
        <v>0</v>
      </c>
      <c r="P2004" s="21" t="n">
        <v>0</v>
      </c>
      <c r="Q2004" s="21" t="n">
        <v>0</v>
      </c>
      <c r="R2004" s="21" t="n">
        <v>0</v>
      </c>
      <c r="S2004" s="21" t="n">
        <v>0</v>
      </c>
      <c r="T2004" s="21" t="n">
        <v>0</v>
      </c>
      <c r="U2004" s="21" t="n">
        <v>0</v>
      </c>
      <c r="V2004" s="21" t="n">
        <v>0</v>
      </c>
      <c r="W2004" s="21" t="n">
        <v>0</v>
      </c>
      <c r="X2004" s="21" t="n">
        <v>0</v>
      </c>
      <c r="Y2004" s="21" t="n">
        <v>0</v>
      </c>
      <c r="Z2004" s="21" t="n">
        <v>0</v>
      </c>
      <c r="AA2004" s="21" t="n">
        <v>0</v>
      </c>
      <c r="AB2004" s="21" t="n">
        <v>0</v>
      </c>
      <c r="AC2004" s="21" t="n">
        <v>0</v>
      </c>
      <c r="AD2004" s="21" t="n">
        <v>0</v>
      </c>
      <c r="AE2004" s="21" t="n">
        <v>0</v>
      </c>
      <c r="AF2004" s="21" t="n">
        <v>0</v>
      </c>
      <c r="AG2004" s="21" t="n">
        <v>0</v>
      </c>
      <c r="AH2004" s="21" t="n">
        <v>0</v>
      </c>
      <c r="AI2004" s="21" t="n">
        <v>0</v>
      </c>
      <c r="AJ2004" s="21" t="n">
        <v>0</v>
      </c>
      <c r="AK2004" s="21" t="n">
        <v>0</v>
      </c>
      <c r="AL2004" s="21" t="n">
        <v>0</v>
      </c>
      <c r="AM2004" s="21" t="n">
        <v>0</v>
      </c>
      <c r="AN2004" s="21" t="n">
        <v>0</v>
      </c>
      <c r="AO2004" s="21" t="n">
        <v>0</v>
      </c>
      <c r="AP2004" s="21" t="n">
        <v>0</v>
      </c>
      <c r="AQ2004" s="21" t="n">
        <v>0</v>
      </c>
      <c r="AR2004" s="21" t="n">
        <v>0</v>
      </c>
      <c r="AS2004" s="21" t="n">
        <v>0</v>
      </c>
      <c r="AT2004" s="19" t="n"/>
    </row>
    <row r="2005">
      <c r="D2005" s="21">
        <f>$B$1812</f>
        <v/>
      </c>
      <c r="E2005" s="21">
        <f>$B$1814</f>
        <v/>
      </c>
      <c r="F2005" s="21">
        <f>0</f>
        <v/>
      </c>
      <c r="G2005" s="21">
        <f>2*$B$1813</f>
        <v/>
      </c>
      <c r="H2005" s="21">
        <f>-$B$1812</f>
        <v/>
      </c>
      <c r="I2005" s="21">
        <f>$B$1814</f>
        <v/>
      </c>
      <c r="J2005" s="21" t="n">
        <v>0</v>
      </c>
      <c r="K2005" s="21" t="n">
        <v>0</v>
      </c>
      <c r="L2005" s="21" t="n">
        <v>0</v>
      </c>
      <c r="M2005" s="21" t="n">
        <v>0</v>
      </c>
      <c r="N2005" s="21" t="n">
        <v>0</v>
      </c>
      <c r="O2005" s="21" t="n">
        <v>0</v>
      </c>
      <c r="P2005" s="21" t="n">
        <v>0</v>
      </c>
      <c r="Q2005" s="21" t="n">
        <v>0</v>
      </c>
      <c r="R2005" s="21" t="n">
        <v>0</v>
      </c>
      <c r="S2005" s="21" t="n">
        <v>0</v>
      </c>
      <c r="T2005" s="21" t="n">
        <v>0</v>
      </c>
      <c r="U2005" s="21" t="n">
        <v>0</v>
      </c>
      <c r="V2005" s="21" t="n">
        <v>0</v>
      </c>
      <c r="W2005" s="21" t="n">
        <v>0</v>
      </c>
      <c r="X2005" s="21" t="n">
        <v>0</v>
      </c>
      <c r="Y2005" s="21" t="n">
        <v>0</v>
      </c>
      <c r="Z2005" s="21" t="n">
        <v>0</v>
      </c>
      <c r="AA2005" s="21" t="n">
        <v>0</v>
      </c>
      <c r="AB2005" s="21" t="n">
        <v>0</v>
      </c>
      <c r="AC2005" s="21" t="n">
        <v>0</v>
      </c>
      <c r="AD2005" s="21" t="n">
        <v>0</v>
      </c>
      <c r="AE2005" s="21" t="n">
        <v>0</v>
      </c>
      <c r="AF2005" s="21" t="n">
        <v>0</v>
      </c>
      <c r="AG2005" s="21" t="n">
        <v>0</v>
      </c>
      <c r="AH2005" s="21" t="n">
        <v>0</v>
      </c>
      <c r="AI2005" s="21" t="n">
        <v>0</v>
      </c>
      <c r="AJ2005" s="21" t="n">
        <v>0</v>
      </c>
      <c r="AK2005" s="21" t="n">
        <v>0</v>
      </c>
      <c r="AL2005" s="21" t="n">
        <v>0</v>
      </c>
      <c r="AM2005" s="21" t="n">
        <v>0</v>
      </c>
      <c r="AN2005" s="21" t="n">
        <v>0</v>
      </c>
      <c r="AO2005" s="21" t="n">
        <v>0</v>
      </c>
      <c r="AP2005" s="21" t="n">
        <v>0</v>
      </c>
      <c r="AQ2005" s="21" t="n">
        <v>0</v>
      </c>
      <c r="AR2005" s="21" t="n">
        <v>0</v>
      </c>
      <c r="AS2005" s="21" t="n">
        <v>0</v>
      </c>
      <c r="AT2005" s="19" t="n"/>
    </row>
    <row r="2006">
      <c r="D2006" s="21" t="n">
        <v>0</v>
      </c>
      <c r="E2006" s="21" t="n">
        <v>0</v>
      </c>
      <c r="F2006" s="21">
        <f>-$B$1811</f>
        <v/>
      </c>
      <c r="G2006" s="21">
        <f>-$B$1812</f>
        <v/>
      </c>
      <c r="H2006" s="21">
        <f>2*$B$1811+$D$1982</f>
        <v/>
      </c>
      <c r="I2006" s="21">
        <f>0</f>
        <v/>
      </c>
      <c r="J2006" s="21">
        <f>-$B$1811</f>
        <v/>
      </c>
      <c r="K2006" s="21">
        <f>$B$1812</f>
        <v/>
      </c>
      <c r="L2006" s="21" t="n">
        <v>0</v>
      </c>
      <c r="M2006" s="21" t="n">
        <v>0</v>
      </c>
      <c r="N2006" s="21" t="n">
        <v>0</v>
      </c>
      <c r="O2006" s="21" t="n">
        <v>0</v>
      </c>
      <c r="P2006" s="21" t="n">
        <v>0</v>
      </c>
      <c r="Q2006" s="21" t="n">
        <v>0</v>
      </c>
      <c r="R2006" s="21" t="n">
        <v>0</v>
      </c>
      <c r="S2006" s="21" t="n">
        <v>0</v>
      </c>
      <c r="T2006" s="21" t="n">
        <v>0</v>
      </c>
      <c r="U2006" s="21" t="n">
        <v>0</v>
      </c>
      <c r="V2006" s="21" t="n">
        <v>0</v>
      </c>
      <c r="W2006" s="21" t="n">
        <v>0</v>
      </c>
      <c r="X2006" s="21" t="n">
        <v>0</v>
      </c>
      <c r="Y2006" s="21" t="n">
        <v>0</v>
      </c>
      <c r="Z2006" s="21" t="n">
        <v>0</v>
      </c>
      <c r="AA2006" s="21" t="n">
        <v>0</v>
      </c>
      <c r="AB2006" s="21" t="n">
        <v>0</v>
      </c>
      <c r="AC2006" s="21" t="n">
        <v>0</v>
      </c>
      <c r="AD2006" s="21" t="n">
        <v>0</v>
      </c>
      <c r="AE2006" s="21" t="n">
        <v>0</v>
      </c>
      <c r="AF2006" s="21" t="n">
        <v>0</v>
      </c>
      <c r="AG2006" s="21" t="n">
        <v>0</v>
      </c>
      <c r="AH2006" s="21" t="n">
        <v>0</v>
      </c>
      <c r="AI2006" s="21" t="n">
        <v>0</v>
      </c>
      <c r="AJ2006" s="21" t="n">
        <v>0</v>
      </c>
      <c r="AK2006" s="21" t="n">
        <v>0</v>
      </c>
      <c r="AL2006" s="21" t="n">
        <v>0</v>
      </c>
      <c r="AM2006" s="21" t="n">
        <v>0</v>
      </c>
      <c r="AN2006" s="21" t="n">
        <v>0</v>
      </c>
      <c r="AO2006" s="21" t="n">
        <v>0</v>
      </c>
      <c r="AP2006" s="21" t="n">
        <v>0</v>
      </c>
      <c r="AQ2006" s="21" t="n">
        <v>0</v>
      </c>
      <c r="AR2006" s="21" t="n">
        <v>0</v>
      </c>
      <c r="AS2006" s="21" t="n">
        <v>0</v>
      </c>
      <c r="AT2006" s="19" t="n"/>
    </row>
    <row r="2007">
      <c r="D2007" s="21" t="n">
        <v>0</v>
      </c>
      <c r="E2007" s="21" t="n">
        <v>0</v>
      </c>
      <c r="F2007" s="21">
        <f>$B$1812</f>
        <v/>
      </c>
      <c r="G2007" s="21">
        <f>$B$1814</f>
        <v/>
      </c>
      <c r="H2007" s="21">
        <f>0</f>
        <v/>
      </c>
      <c r="I2007" s="21">
        <f>2*$B$1813</f>
        <v/>
      </c>
      <c r="J2007" s="21">
        <f>-$B$1812</f>
        <v/>
      </c>
      <c r="K2007" s="21">
        <f>$B$1814</f>
        <v/>
      </c>
      <c r="L2007" s="21" t="n">
        <v>0</v>
      </c>
      <c r="M2007" s="21" t="n">
        <v>0</v>
      </c>
      <c r="N2007" s="21" t="n">
        <v>0</v>
      </c>
      <c r="O2007" s="21" t="n">
        <v>0</v>
      </c>
      <c r="P2007" s="21" t="n">
        <v>0</v>
      </c>
      <c r="Q2007" s="21" t="n">
        <v>0</v>
      </c>
      <c r="R2007" s="21" t="n">
        <v>0</v>
      </c>
      <c r="S2007" s="21" t="n">
        <v>0</v>
      </c>
      <c r="T2007" s="21" t="n">
        <v>0</v>
      </c>
      <c r="U2007" s="21" t="n">
        <v>0</v>
      </c>
      <c r="V2007" s="21" t="n">
        <v>0</v>
      </c>
      <c r="W2007" s="21" t="n">
        <v>0</v>
      </c>
      <c r="X2007" s="21" t="n">
        <v>0</v>
      </c>
      <c r="Y2007" s="21" t="n">
        <v>0</v>
      </c>
      <c r="Z2007" s="21" t="n">
        <v>0</v>
      </c>
      <c r="AA2007" s="21" t="n">
        <v>0</v>
      </c>
      <c r="AB2007" s="21" t="n">
        <v>0</v>
      </c>
      <c r="AC2007" s="21" t="n">
        <v>0</v>
      </c>
      <c r="AD2007" s="21" t="n">
        <v>0</v>
      </c>
      <c r="AE2007" s="21" t="n">
        <v>0</v>
      </c>
      <c r="AF2007" s="21" t="n">
        <v>0</v>
      </c>
      <c r="AG2007" s="21" t="n">
        <v>0</v>
      </c>
      <c r="AH2007" s="21" t="n">
        <v>0</v>
      </c>
      <c r="AI2007" s="21" t="n">
        <v>0</v>
      </c>
      <c r="AJ2007" s="21" t="n">
        <v>0</v>
      </c>
      <c r="AK2007" s="21" t="n">
        <v>0</v>
      </c>
      <c r="AL2007" s="21" t="n">
        <v>0</v>
      </c>
      <c r="AM2007" s="21" t="n">
        <v>0</v>
      </c>
      <c r="AN2007" s="21" t="n">
        <v>0</v>
      </c>
      <c r="AO2007" s="21" t="n">
        <v>0</v>
      </c>
      <c r="AP2007" s="21" t="n">
        <v>0</v>
      </c>
      <c r="AQ2007" s="21" t="n">
        <v>0</v>
      </c>
      <c r="AR2007" s="21" t="n">
        <v>0</v>
      </c>
      <c r="AS2007" s="21" t="n">
        <v>0</v>
      </c>
      <c r="AT2007" s="19" t="n"/>
    </row>
    <row r="2008">
      <c r="D2008" s="21" t="n">
        <v>0</v>
      </c>
      <c r="E2008" s="21" t="n">
        <v>0</v>
      </c>
      <c r="F2008" s="21" t="n">
        <v>0</v>
      </c>
      <c r="G2008" s="21" t="n">
        <v>0</v>
      </c>
      <c r="H2008" s="21">
        <f>-$B$1811</f>
        <v/>
      </c>
      <c r="I2008" s="21">
        <f>-$B$1812</f>
        <v/>
      </c>
      <c r="J2008" s="21">
        <f>2*$B$1811+$D$1983</f>
        <v/>
      </c>
      <c r="K2008" s="21">
        <f>0</f>
        <v/>
      </c>
      <c r="L2008" s="21">
        <f>-$B$1811</f>
        <v/>
      </c>
      <c r="M2008" s="21">
        <f>$B$1812</f>
        <v/>
      </c>
      <c r="N2008" s="21" t="n">
        <v>0</v>
      </c>
      <c r="O2008" s="21" t="n">
        <v>0</v>
      </c>
      <c r="P2008" s="21" t="n">
        <v>0</v>
      </c>
      <c r="Q2008" s="21" t="n">
        <v>0</v>
      </c>
      <c r="R2008" s="21" t="n">
        <v>0</v>
      </c>
      <c r="S2008" s="21" t="n">
        <v>0</v>
      </c>
      <c r="T2008" s="21" t="n">
        <v>0</v>
      </c>
      <c r="U2008" s="21" t="n">
        <v>0</v>
      </c>
      <c r="V2008" s="21" t="n">
        <v>0</v>
      </c>
      <c r="W2008" s="21" t="n">
        <v>0</v>
      </c>
      <c r="X2008" s="21" t="n">
        <v>0</v>
      </c>
      <c r="Y2008" s="21" t="n">
        <v>0</v>
      </c>
      <c r="Z2008" s="21" t="n">
        <v>0</v>
      </c>
      <c r="AA2008" s="21" t="n">
        <v>0</v>
      </c>
      <c r="AB2008" s="21" t="n">
        <v>0</v>
      </c>
      <c r="AC2008" s="21" t="n">
        <v>0</v>
      </c>
      <c r="AD2008" s="21" t="n">
        <v>0</v>
      </c>
      <c r="AE2008" s="21" t="n">
        <v>0</v>
      </c>
      <c r="AF2008" s="21" t="n">
        <v>0</v>
      </c>
      <c r="AG2008" s="21" t="n">
        <v>0</v>
      </c>
      <c r="AH2008" s="21" t="n">
        <v>0</v>
      </c>
      <c r="AI2008" s="21" t="n">
        <v>0</v>
      </c>
      <c r="AJ2008" s="21" t="n">
        <v>0</v>
      </c>
      <c r="AK2008" s="21" t="n">
        <v>0</v>
      </c>
      <c r="AL2008" s="21" t="n">
        <v>0</v>
      </c>
      <c r="AM2008" s="21" t="n">
        <v>0</v>
      </c>
      <c r="AN2008" s="21" t="n">
        <v>0</v>
      </c>
      <c r="AO2008" s="21" t="n">
        <v>0</v>
      </c>
      <c r="AP2008" s="21" t="n">
        <v>0</v>
      </c>
      <c r="AQ2008" s="21" t="n">
        <v>0</v>
      </c>
      <c r="AR2008" s="21" t="n">
        <v>0</v>
      </c>
      <c r="AS2008" s="21" t="n">
        <v>0</v>
      </c>
      <c r="AT2008" s="19" t="n"/>
    </row>
    <row r="2009">
      <c r="D2009" s="21" t="n">
        <v>0</v>
      </c>
      <c r="E2009" s="21" t="n">
        <v>0</v>
      </c>
      <c r="F2009" s="21" t="n">
        <v>0</v>
      </c>
      <c r="G2009" s="21" t="n">
        <v>0</v>
      </c>
      <c r="H2009" s="21">
        <f>$B$1812</f>
        <v/>
      </c>
      <c r="I2009" s="21">
        <f>$B$1814</f>
        <v/>
      </c>
      <c r="J2009" s="21">
        <f>0</f>
        <v/>
      </c>
      <c r="K2009" s="21">
        <f>2*$B$1813</f>
        <v/>
      </c>
      <c r="L2009" s="21">
        <f>-$B$1812</f>
        <v/>
      </c>
      <c r="M2009" s="21">
        <f>$B$1814</f>
        <v/>
      </c>
      <c r="N2009" s="21" t="n">
        <v>0</v>
      </c>
      <c r="O2009" s="21" t="n">
        <v>0</v>
      </c>
      <c r="P2009" s="21" t="n">
        <v>0</v>
      </c>
      <c r="Q2009" s="21" t="n">
        <v>0</v>
      </c>
      <c r="R2009" s="21" t="n">
        <v>0</v>
      </c>
      <c r="S2009" s="21" t="n">
        <v>0</v>
      </c>
      <c r="T2009" s="21" t="n">
        <v>0</v>
      </c>
      <c r="U2009" s="21" t="n">
        <v>0</v>
      </c>
      <c r="V2009" s="21" t="n">
        <v>0</v>
      </c>
      <c r="W2009" s="21" t="n">
        <v>0</v>
      </c>
      <c r="X2009" s="21" t="n">
        <v>0</v>
      </c>
      <c r="Y2009" s="21" t="n">
        <v>0</v>
      </c>
      <c r="Z2009" s="21" t="n">
        <v>0</v>
      </c>
      <c r="AA2009" s="21" t="n">
        <v>0</v>
      </c>
      <c r="AB2009" s="21" t="n">
        <v>0</v>
      </c>
      <c r="AC2009" s="21" t="n">
        <v>0</v>
      </c>
      <c r="AD2009" s="21" t="n">
        <v>0</v>
      </c>
      <c r="AE2009" s="21" t="n">
        <v>0</v>
      </c>
      <c r="AF2009" s="21" t="n">
        <v>0</v>
      </c>
      <c r="AG2009" s="21" t="n">
        <v>0</v>
      </c>
      <c r="AH2009" s="21" t="n">
        <v>0</v>
      </c>
      <c r="AI2009" s="21" t="n">
        <v>0</v>
      </c>
      <c r="AJ2009" s="21" t="n">
        <v>0</v>
      </c>
      <c r="AK2009" s="21" t="n">
        <v>0</v>
      </c>
      <c r="AL2009" s="21" t="n">
        <v>0</v>
      </c>
      <c r="AM2009" s="21" t="n">
        <v>0</v>
      </c>
      <c r="AN2009" s="21" t="n">
        <v>0</v>
      </c>
      <c r="AO2009" s="21" t="n">
        <v>0</v>
      </c>
      <c r="AP2009" s="21" t="n">
        <v>0</v>
      </c>
      <c r="AQ2009" s="21" t="n">
        <v>0</v>
      </c>
      <c r="AR2009" s="21" t="n">
        <v>0</v>
      </c>
      <c r="AS2009" s="21" t="n">
        <v>0</v>
      </c>
      <c r="AT2009" s="19" t="n"/>
    </row>
    <row r="2010">
      <c r="D2010" s="21" t="n">
        <v>0</v>
      </c>
      <c r="E2010" s="21" t="n">
        <v>0</v>
      </c>
      <c r="F2010" s="21" t="n">
        <v>0</v>
      </c>
      <c r="G2010" s="21" t="n">
        <v>0</v>
      </c>
      <c r="H2010" s="21" t="n">
        <v>0</v>
      </c>
      <c r="I2010" s="21" t="n">
        <v>0</v>
      </c>
      <c r="J2010" s="21">
        <f>-$B$1811</f>
        <v/>
      </c>
      <c r="K2010" s="21">
        <f>-$B$1812</f>
        <v/>
      </c>
      <c r="L2010" s="21">
        <f>2*$B$1811+$D$1984</f>
        <v/>
      </c>
      <c r="M2010" s="21">
        <f>0</f>
        <v/>
      </c>
      <c r="N2010" s="21">
        <f>-$B$1811</f>
        <v/>
      </c>
      <c r="O2010" s="21">
        <f>$B$1812</f>
        <v/>
      </c>
      <c r="P2010" s="21" t="n">
        <v>0</v>
      </c>
      <c r="Q2010" s="21" t="n">
        <v>0</v>
      </c>
      <c r="R2010" s="21" t="n">
        <v>0</v>
      </c>
      <c r="S2010" s="21" t="n">
        <v>0</v>
      </c>
      <c r="T2010" s="21" t="n">
        <v>0</v>
      </c>
      <c r="U2010" s="21" t="n">
        <v>0</v>
      </c>
      <c r="V2010" s="21" t="n">
        <v>0</v>
      </c>
      <c r="W2010" s="21" t="n">
        <v>0</v>
      </c>
      <c r="X2010" s="21" t="n">
        <v>0</v>
      </c>
      <c r="Y2010" s="21" t="n">
        <v>0</v>
      </c>
      <c r="Z2010" s="21" t="n">
        <v>0</v>
      </c>
      <c r="AA2010" s="21" t="n">
        <v>0</v>
      </c>
      <c r="AB2010" s="21" t="n">
        <v>0</v>
      </c>
      <c r="AC2010" s="21" t="n">
        <v>0</v>
      </c>
      <c r="AD2010" s="21" t="n">
        <v>0</v>
      </c>
      <c r="AE2010" s="21" t="n">
        <v>0</v>
      </c>
      <c r="AF2010" s="21" t="n">
        <v>0</v>
      </c>
      <c r="AG2010" s="21" t="n">
        <v>0</v>
      </c>
      <c r="AH2010" s="21" t="n">
        <v>0</v>
      </c>
      <c r="AI2010" s="21" t="n">
        <v>0</v>
      </c>
      <c r="AJ2010" s="21" t="n">
        <v>0</v>
      </c>
      <c r="AK2010" s="21" t="n">
        <v>0</v>
      </c>
      <c r="AL2010" s="21" t="n">
        <v>0</v>
      </c>
      <c r="AM2010" s="21" t="n">
        <v>0</v>
      </c>
      <c r="AN2010" s="21" t="n">
        <v>0</v>
      </c>
      <c r="AO2010" s="21" t="n">
        <v>0</v>
      </c>
      <c r="AP2010" s="21" t="n">
        <v>0</v>
      </c>
      <c r="AQ2010" s="21" t="n">
        <v>0</v>
      </c>
      <c r="AR2010" s="21" t="n">
        <v>0</v>
      </c>
      <c r="AS2010" s="21" t="n">
        <v>0</v>
      </c>
      <c r="AT2010" s="19" t="n"/>
    </row>
    <row r="2011">
      <c r="D2011" s="21" t="n">
        <v>0</v>
      </c>
      <c r="E2011" s="21" t="n">
        <v>0</v>
      </c>
      <c r="F2011" s="21" t="n">
        <v>0</v>
      </c>
      <c r="G2011" s="21" t="n">
        <v>0</v>
      </c>
      <c r="H2011" s="21" t="n">
        <v>0</v>
      </c>
      <c r="I2011" s="21" t="n">
        <v>0</v>
      </c>
      <c r="J2011" s="21">
        <f>$B$1812</f>
        <v/>
      </c>
      <c r="K2011" s="21">
        <f>$B$1814</f>
        <v/>
      </c>
      <c r="L2011" s="21">
        <f>0</f>
        <v/>
      </c>
      <c r="M2011" s="21">
        <f>2*$B$1813</f>
        <v/>
      </c>
      <c r="N2011" s="21">
        <f>-$B$1812</f>
        <v/>
      </c>
      <c r="O2011" s="21">
        <f>$B$1814</f>
        <v/>
      </c>
      <c r="P2011" s="21" t="n">
        <v>0</v>
      </c>
      <c r="Q2011" s="21" t="n">
        <v>0</v>
      </c>
      <c r="R2011" s="21" t="n">
        <v>0</v>
      </c>
      <c r="S2011" s="21" t="n">
        <v>0</v>
      </c>
      <c r="T2011" s="21" t="n">
        <v>0</v>
      </c>
      <c r="U2011" s="21" t="n">
        <v>0</v>
      </c>
      <c r="V2011" s="21" t="n">
        <v>0</v>
      </c>
      <c r="W2011" s="21" t="n">
        <v>0</v>
      </c>
      <c r="X2011" s="21" t="n">
        <v>0</v>
      </c>
      <c r="Y2011" s="21" t="n">
        <v>0</v>
      </c>
      <c r="Z2011" s="21" t="n">
        <v>0</v>
      </c>
      <c r="AA2011" s="21" t="n">
        <v>0</v>
      </c>
      <c r="AB2011" s="21" t="n">
        <v>0</v>
      </c>
      <c r="AC2011" s="21" t="n">
        <v>0</v>
      </c>
      <c r="AD2011" s="21" t="n">
        <v>0</v>
      </c>
      <c r="AE2011" s="21" t="n">
        <v>0</v>
      </c>
      <c r="AF2011" s="21" t="n">
        <v>0</v>
      </c>
      <c r="AG2011" s="21" t="n">
        <v>0</v>
      </c>
      <c r="AH2011" s="21" t="n">
        <v>0</v>
      </c>
      <c r="AI2011" s="21" t="n">
        <v>0</v>
      </c>
      <c r="AJ2011" s="21" t="n">
        <v>0</v>
      </c>
      <c r="AK2011" s="21" t="n">
        <v>0</v>
      </c>
      <c r="AL2011" s="21" t="n">
        <v>0</v>
      </c>
      <c r="AM2011" s="21" t="n">
        <v>0</v>
      </c>
      <c r="AN2011" s="21" t="n">
        <v>0</v>
      </c>
      <c r="AO2011" s="21" t="n">
        <v>0</v>
      </c>
      <c r="AP2011" s="21" t="n">
        <v>0</v>
      </c>
      <c r="AQ2011" s="21" t="n">
        <v>0</v>
      </c>
      <c r="AR2011" s="21" t="n">
        <v>0</v>
      </c>
      <c r="AS2011" s="21" t="n">
        <v>0</v>
      </c>
      <c r="AT2011" s="19" t="n"/>
    </row>
    <row r="2012">
      <c r="D2012" s="21" t="n">
        <v>0</v>
      </c>
      <c r="E2012" s="21" t="n">
        <v>0</v>
      </c>
      <c r="F2012" s="21" t="n">
        <v>0</v>
      </c>
      <c r="G2012" s="21" t="n">
        <v>0</v>
      </c>
      <c r="H2012" s="21" t="n">
        <v>0</v>
      </c>
      <c r="I2012" s="21" t="n">
        <v>0</v>
      </c>
      <c r="J2012" s="21" t="n">
        <v>0</v>
      </c>
      <c r="K2012" s="21" t="n">
        <v>0</v>
      </c>
      <c r="L2012" s="21">
        <f>-$B$1811</f>
        <v/>
      </c>
      <c r="M2012" s="21">
        <f>-$B$1812</f>
        <v/>
      </c>
      <c r="N2012" s="21">
        <f>2*$B$1811+$D$1985</f>
        <v/>
      </c>
      <c r="O2012" s="21">
        <f>0</f>
        <v/>
      </c>
      <c r="P2012" s="21">
        <f>-$B$1811</f>
        <v/>
      </c>
      <c r="Q2012" s="21">
        <f>$B$1812</f>
        <v/>
      </c>
      <c r="R2012" s="21" t="n">
        <v>0</v>
      </c>
      <c r="S2012" s="21" t="n">
        <v>0</v>
      </c>
      <c r="T2012" s="21" t="n">
        <v>0</v>
      </c>
      <c r="U2012" s="21" t="n">
        <v>0</v>
      </c>
      <c r="V2012" s="21" t="n">
        <v>0</v>
      </c>
      <c r="W2012" s="21" t="n">
        <v>0</v>
      </c>
      <c r="X2012" s="21" t="n">
        <v>0</v>
      </c>
      <c r="Y2012" s="21" t="n">
        <v>0</v>
      </c>
      <c r="Z2012" s="21" t="n">
        <v>0</v>
      </c>
      <c r="AA2012" s="21" t="n">
        <v>0</v>
      </c>
      <c r="AB2012" s="21" t="n">
        <v>0</v>
      </c>
      <c r="AC2012" s="21" t="n">
        <v>0</v>
      </c>
      <c r="AD2012" s="21" t="n">
        <v>0</v>
      </c>
      <c r="AE2012" s="21" t="n">
        <v>0</v>
      </c>
      <c r="AF2012" s="21" t="n">
        <v>0</v>
      </c>
      <c r="AG2012" s="21" t="n">
        <v>0</v>
      </c>
      <c r="AH2012" s="21" t="n">
        <v>0</v>
      </c>
      <c r="AI2012" s="21" t="n">
        <v>0</v>
      </c>
      <c r="AJ2012" s="21" t="n">
        <v>0</v>
      </c>
      <c r="AK2012" s="21" t="n">
        <v>0</v>
      </c>
      <c r="AL2012" s="21" t="n">
        <v>0</v>
      </c>
      <c r="AM2012" s="21" t="n">
        <v>0</v>
      </c>
      <c r="AN2012" s="21" t="n">
        <v>0</v>
      </c>
      <c r="AO2012" s="21" t="n">
        <v>0</v>
      </c>
      <c r="AP2012" s="21" t="n">
        <v>0</v>
      </c>
      <c r="AQ2012" s="21" t="n">
        <v>0</v>
      </c>
      <c r="AR2012" s="21" t="n">
        <v>0</v>
      </c>
      <c r="AS2012" s="21" t="n">
        <v>0</v>
      </c>
      <c r="AT2012" s="19" t="n"/>
    </row>
    <row r="2013">
      <c r="D2013" s="21" t="n">
        <v>0</v>
      </c>
      <c r="E2013" s="21" t="n">
        <v>0</v>
      </c>
      <c r="F2013" s="21" t="n">
        <v>0</v>
      </c>
      <c r="G2013" s="21" t="n">
        <v>0</v>
      </c>
      <c r="H2013" s="21" t="n">
        <v>0</v>
      </c>
      <c r="I2013" s="21" t="n">
        <v>0</v>
      </c>
      <c r="J2013" s="21" t="n">
        <v>0</v>
      </c>
      <c r="K2013" s="21" t="n">
        <v>0</v>
      </c>
      <c r="L2013" s="21">
        <f>$B$1812</f>
        <v/>
      </c>
      <c r="M2013" s="21">
        <f>$B$1814</f>
        <v/>
      </c>
      <c r="N2013" s="21">
        <f>0</f>
        <v/>
      </c>
      <c r="O2013" s="21">
        <f>2*$B$1813</f>
        <v/>
      </c>
      <c r="P2013" s="21">
        <f>-$B$1812</f>
        <v/>
      </c>
      <c r="Q2013" s="21">
        <f>$B$1814</f>
        <v/>
      </c>
      <c r="R2013" s="21" t="n">
        <v>0</v>
      </c>
      <c r="S2013" s="21" t="n">
        <v>0</v>
      </c>
      <c r="T2013" s="21" t="n">
        <v>0</v>
      </c>
      <c r="U2013" s="21" t="n">
        <v>0</v>
      </c>
      <c r="V2013" s="21" t="n">
        <v>0</v>
      </c>
      <c r="W2013" s="21" t="n">
        <v>0</v>
      </c>
      <c r="X2013" s="21" t="n">
        <v>0</v>
      </c>
      <c r="Y2013" s="21" t="n">
        <v>0</v>
      </c>
      <c r="Z2013" s="21" t="n">
        <v>0</v>
      </c>
      <c r="AA2013" s="21" t="n">
        <v>0</v>
      </c>
      <c r="AB2013" s="21" t="n">
        <v>0</v>
      </c>
      <c r="AC2013" s="21" t="n">
        <v>0</v>
      </c>
      <c r="AD2013" s="21" t="n">
        <v>0</v>
      </c>
      <c r="AE2013" s="21" t="n">
        <v>0</v>
      </c>
      <c r="AF2013" s="21" t="n">
        <v>0</v>
      </c>
      <c r="AG2013" s="21" t="n">
        <v>0</v>
      </c>
      <c r="AH2013" s="21" t="n">
        <v>0</v>
      </c>
      <c r="AI2013" s="21" t="n">
        <v>0</v>
      </c>
      <c r="AJ2013" s="21" t="n">
        <v>0</v>
      </c>
      <c r="AK2013" s="21" t="n">
        <v>0</v>
      </c>
      <c r="AL2013" s="21" t="n">
        <v>0</v>
      </c>
      <c r="AM2013" s="21" t="n">
        <v>0</v>
      </c>
      <c r="AN2013" s="21" t="n">
        <v>0</v>
      </c>
      <c r="AO2013" s="21" t="n">
        <v>0</v>
      </c>
      <c r="AP2013" s="21" t="n">
        <v>0</v>
      </c>
      <c r="AQ2013" s="21" t="n">
        <v>0</v>
      </c>
      <c r="AR2013" s="21" t="n">
        <v>0</v>
      </c>
      <c r="AS2013" s="21" t="n">
        <v>0</v>
      </c>
      <c r="AT2013" s="19" t="n"/>
    </row>
    <row r="2014">
      <c r="D2014" s="21" t="n">
        <v>0</v>
      </c>
      <c r="E2014" s="21" t="n">
        <v>0</v>
      </c>
      <c r="F2014" s="21" t="n">
        <v>0</v>
      </c>
      <c r="G2014" s="21" t="n">
        <v>0</v>
      </c>
      <c r="H2014" s="21" t="n">
        <v>0</v>
      </c>
      <c r="I2014" s="21" t="n">
        <v>0</v>
      </c>
      <c r="J2014" s="21" t="n">
        <v>0</v>
      </c>
      <c r="K2014" s="21" t="n">
        <v>0</v>
      </c>
      <c r="L2014" s="21" t="n">
        <v>0</v>
      </c>
      <c r="M2014" s="21" t="n">
        <v>0</v>
      </c>
      <c r="N2014" s="21">
        <f>-$B$1811</f>
        <v/>
      </c>
      <c r="O2014" s="21">
        <f>-$B$1812</f>
        <v/>
      </c>
      <c r="P2014" s="21">
        <f>2*$B$1811+$D$1986</f>
        <v/>
      </c>
      <c r="Q2014" s="21">
        <f>0</f>
        <v/>
      </c>
      <c r="R2014" s="21">
        <f>-$B$1811</f>
        <v/>
      </c>
      <c r="S2014" s="21">
        <f>$B$1812</f>
        <v/>
      </c>
      <c r="T2014" s="21" t="n">
        <v>0</v>
      </c>
      <c r="U2014" s="21" t="n">
        <v>0</v>
      </c>
      <c r="V2014" s="21" t="n">
        <v>0</v>
      </c>
      <c r="W2014" s="21" t="n">
        <v>0</v>
      </c>
      <c r="X2014" s="21" t="n">
        <v>0</v>
      </c>
      <c r="Y2014" s="21" t="n">
        <v>0</v>
      </c>
      <c r="Z2014" s="21" t="n">
        <v>0</v>
      </c>
      <c r="AA2014" s="21" t="n">
        <v>0</v>
      </c>
      <c r="AB2014" s="21" t="n">
        <v>0</v>
      </c>
      <c r="AC2014" s="21" t="n">
        <v>0</v>
      </c>
      <c r="AD2014" s="21" t="n">
        <v>0</v>
      </c>
      <c r="AE2014" s="21" t="n">
        <v>0</v>
      </c>
      <c r="AF2014" s="21" t="n">
        <v>0</v>
      </c>
      <c r="AG2014" s="21" t="n">
        <v>0</v>
      </c>
      <c r="AH2014" s="21" t="n">
        <v>0</v>
      </c>
      <c r="AI2014" s="21" t="n">
        <v>0</v>
      </c>
      <c r="AJ2014" s="21" t="n">
        <v>0</v>
      </c>
      <c r="AK2014" s="21" t="n">
        <v>0</v>
      </c>
      <c r="AL2014" s="21" t="n">
        <v>0</v>
      </c>
      <c r="AM2014" s="21" t="n">
        <v>0</v>
      </c>
      <c r="AN2014" s="21" t="n">
        <v>0</v>
      </c>
      <c r="AO2014" s="21" t="n">
        <v>0</v>
      </c>
      <c r="AP2014" s="21" t="n">
        <v>0</v>
      </c>
      <c r="AQ2014" s="21" t="n">
        <v>0</v>
      </c>
      <c r="AR2014" s="21" t="n">
        <v>0</v>
      </c>
      <c r="AS2014" s="21" t="n">
        <v>0</v>
      </c>
      <c r="AT2014" s="19" t="n"/>
    </row>
    <row r="2015">
      <c r="D2015" s="21" t="n">
        <v>0</v>
      </c>
      <c r="E2015" s="21" t="n">
        <v>0</v>
      </c>
      <c r="F2015" s="21" t="n">
        <v>0</v>
      </c>
      <c r="G2015" s="21" t="n">
        <v>0</v>
      </c>
      <c r="H2015" s="21" t="n">
        <v>0</v>
      </c>
      <c r="I2015" s="21" t="n">
        <v>0</v>
      </c>
      <c r="J2015" s="21" t="n">
        <v>0</v>
      </c>
      <c r="K2015" s="21" t="n">
        <v>0</v>
      </c>
      <c r="L2015" s="21" t="n">
        <v>0</v>
      </c>
      <c r="M2015" s="21" t="n">
        <v>0</v>
      </c>
      <c r="N2015" s="21">
        <f>$B$1812</f>
        <v/>
      </c>
      <c r="O2015" s="21">
        <f>$B$1814</f>
        <v/>
      </c>
      <c r="P2015" s="21">
        <f>0</f>
        <v/>
      </c>
      <c r="Q2015" s="21">
        <f>2*$B$1813</f>
        <v/>
      </c>
      <c r="R2015" s="21">
        <f>-$B$1812</f>
        <v/>
      </c>
      <c r="S2015" s="21">
        <f>$B$1814</f>
        <v/>
      </c>
      <c r="T2015" s="21" t="n">
        <v>0</v>
      </c>
      <c r="U2015" s="21" t="n">
        <v>0</v>
      </c>
      <c r="V2015" s="21" t="n">
        <v>0</v>
      </c>
      <c r="W2015" s="21" t="n">
        <v>0</v>
      </c>
      <c r="X2015" s="21" t="n">
        <v>0</v>
      </c>
      <c r="Y2015" s="21" t="n">
        <v>0</v>
      </c>
      <c r="Z2015" s="21" t="n">
        <v>0</v>
      </c>
      <c r="AA2015" s="21" t="n">
        <v>0</v>
      </c>
      <c r="AB2015" s="21" t="n">
        <v>0</v>
      </c>
      <c r="AC2015" s="21" t="n">
        <v>0</v>
      </c>
      <c r="AD2015" s="21" t="n">
        <v>0</v>
      </c>
      <c r="AE2015" s="21" t="n">
        <v>0</v>
      </c>
      <c r="AF2015" s="21" t="n">
        <v>0</v>
      </c>
      <c r="AG2015" s="21" t="n">
        <v>0</v>
      </c>
      <c r="AH2015" s="21" t="n">
        <v>0</v>
      </c>
      <c r="AI2015" s="21" t="n">
        <v>0</v>
      </c>
      <c r="AJ2015" s="21" t="n">
        <v>0</v>
      </c>
      <c r="AK2015" s="21" t="n">
        <v>0</v>
      </c>
      <c r="AL2015" s="21" t="n">
        <v>0</v>
      </c>
      <c r="AM2015" s="21" t="n">
        <v>0</v>
      </c>
      <c r="AN2015" s="21" t="n">
        <v>0</v>
      </c>
      <c r="AO2015" s="21" t="n">
        <v>0</v>
      </c>
      <c r="AP2015" s="21" t="n">
        <v>0</v>
      </c>
      <c r="AQ2015" s="21" t="n">
        <v>0</v>
      </c>
      <c r="AR2015" s="21" t="n">
        <v>0</v>
      </c>
      <c r="AS2015" s="21" t="n">
        <v>0</v>
      </c>
      <c r="AT2015" s="19" t="n"/>
    </row>
    <row r="2016">
      <c r="D2016" s="21" t="n">
        <v>0</v>
      </c>
      <c r="E2016" s="21" t="n">
        <v>0</v>
      </c>
      <c r="F2016" s="21" t="n">
        <v>0</v>
      </c>
      <c r="G2016" s="21" t="n">
        <v>0</v>
      </c>
      <c r="H2016" s="21" t="n">
        <v>0</v>
      </c>
      <c r="I2016" s="21" t="n">
        <v>0</v>
      </c>
      <c r="J2016" s="21" t="n">
        <v>0</v>
      </c>
      <c r="K2016" s="21" t="n">
        <v>0</v>
      </c>
      <c r="L2016" s="21" t="n">
        <v>0</v>
      </c>
      <c r="M2016" s="21" t="n">
        <v>0</v>
      </c>
      <c r="N2016" s="21" t="n">
        <v>0</v>
      </c>
      <c r="O2016" s="21" t="n">
        <v>0</v>
      </c>
      <c r="P2016" s="21">
        <f>-$B$1811</f>
        <v/>
      </c>
      <c r="Q2016" s="21">
        <f>-$B$1812</f>
        <v/>
      </c>
      <c r="R2016" s="21">
        <f>2*$B$1811+$D$1987</f>
        <v/>
      </c>
      <c r="S2016" s="21">
        <f>0</f>
        <v/>
      </c>
      <c r="T2016" s="21">
        <f>-$B$1811</f>
        <v/>
      </c>
      <c r="U2016" s="21">
        <f>$B$1812</f>
        <v/>
      </c>
      <c r="V2016" s="21" t="n">
        <v>0</v>
      </c>
      <c r="W2016" s="21" t="n">
        <v>0</v>
      </c>
      <c r="X2016" s="21" t="n">
        <v>0</v>
      </c>
      <c r="Y2016" s="21" t="n">
        <v>0</v>
      </c>
      <c r="Z2016" s="21" t="n">
        <v>0</v>
      </c>
      <c r="AA2016" s="21" t="n">
        <v>0</v>
      </c>
      <c r="AB2016" s="21" t="n">
        <v>0</v>
      </c>
      <c r="AC2016" s="21" t="n">
        <v>0</v>
      </c>
      <c r="AD2016" s="21" t="n">
        <v>0</v>
      </c>
      <c r="AE2016" s="21" t="n">
        <v>0</v>
      </c>
      <c r="AF2016" s="21" t="n">
        <v>0</v>
      </c>
      <c r="AG2016" s="21" t="n">
        <v>0</v>
      </c>
      <c r="AH2016" s="21" t="n">
        <v>0</v>
      </c>
      <c r="AI2016" s="21" t="n">
        <v>0</v>
      </c>
      <c r="AJ2016" s="21" t="n">
        <v>0</v>
      </c>
      <c r="AK2016" s="21" t="n">
        <v>0</v>
      </c>
      <c r="AL2016" s="21" t="n">
        <v>0</v>
      </c>
      <c r="AM2016" s="21" t="n">
        <v>0</v>
      </c>
      <c r="AN2016" s="21" t="n">
        <v>0</v>
      </c>
      <c r="AO2016" s="21" t="n">
        <v>0</v>
      </c>
      <c r="AP2016" s="21" t="n">
        <v>0</v>
      </c>
      <c r="AQ2016" s="21" t="n">
        <v>0</v>
      </c>
      <c r="AR2016" s="21" t="n">
        <v>0</v>
      </c>
      <c r="AS2016" s="21" t="n">
        <v>0</v>
      </c>
      <c r="AT2016" s="19" t="n"/>
    </row>
    <row r="2017">
      <c r="D2017" s="21" t="n">
        <v>0</v>
      </c>
      <c r="E2017" s="21" t="n">
        <v>0</v>
      </c>
      <c r="F2017" s="21" t="n">
        <v>0</v>
      </c>
      <c r="G2017" s="21" t="n">
        <v>0</v>
      </c>
      <c r="H2017" s="21" t="n">
        <v>0</v>
      </c>
      <c r="I2017" s="21" t="n">
        <v>0</v>
      </c>
      <c r="J2017" s="21" t="n">
        <v>0</v>
      </c>
      <c r="K2017" s="21" t="n">
        <v>0</v>
      </c>
      <c r="L2017" s="21" t="n">
        <v>0</v>
      </c>
      <c r="M2017" s="21" t="n">
        <v>0</v>
      </c>
      <c r="N2017" s="21" t="n">
        <v>0</v>
      </c>
      <c r="O2017" s="21" t="n">
        <v>0</v>
      </c>
      <c r="P2017" s="21">
        <f>$B$1812</f>
        <v/>
      </c>
      <c r="Q2017" s="21">
        <f>$B$1814</f>
        <v/>
      </c>
      <c r="R2017" s="21">
        <f>0</f>
        <v/>
      </c>
      <c r="S2017" s="21">
        <f>2*$B$1813</f>
        <v/>
      </c>
      <c r="T2017" s="21">
        <f>-$B$1812</f>
        <v/>
      </c>
      <c r="U2017" s="21">
        <f>$B$1814</f>
        <v/>
      </c>
      <c r="V2017" s="21" t="n">
        <v>0</v>
      </c>
      <c r="W2017" s="21" t="n">
        <v>0</v>
      </c>
      <c r="X2017" s="21" t="n">
        <v>0</v>
      </c>
      <c r="Y2017" s="21" t="n">
        <v>0</v>
      </c>
      <c r="Z2017" s="21" t="n">
        <v>0</v>
      </c>
      <c r="AA2017" s="21" t="n">
        <v>0</v>
      </c>
      <c r="AB2017" s="21" t="n">
        <v>0</v>
      </c>
      <c r="AC2017" s="21" t="n">
        <v>0</v>
      </c>
      <c r="AD2017" s="21" t="n">
        <v>0</v>
      </c>
      <c r="AE2017" s="21" t="n">
        <v>0</v>
      </c>
      <c r="AF2017" s="21" t="n">
        <v>0</v>
      </c>
      <c r="AG2017" s="21" t="n">
        <v>0</v>
      </c>
      <c r="AH2017" s="21" t="n">
        <v>0</v>
      </c>
      <c r="AI2017" s="21" t="n">
        <v>0</v>
      </c>
      <c r="AJ2017" s="21" t="n">
        <v>0</v>
      </c>
      <c r="AK2017" s="21" t="n">
        <v>0</v>
      </c>
      <c r="AL2017" s="21" t="n">
        <v>0</v>
      </c>
      <c r="AM2017" s="21" t="n">
        <v>0</v>
      </c>
      <c r="AN2017" s="21" t="n">
        <v>0</v>
      </c>
      <c r="AO2017" s="21" t="n">
        <v>0</v>
      </c>
      <c r="AP2017" s="21" t="n">
        <v>0</v>
      </c>
      <c r="AQ2017" s="21" t="n">
        <v>0</v>
      </c>
      <c r="AR2017" s="21" t="n">
        <v>0</v>
      </c>
      <c r="AS2017" s="21" t="n">
        <v>0</v>
      </c>
      <c r="AT2017" s="19" t="n"/>
    </row>
    <row r="2018">
      <c r="D2018" s="21" t="n">
        <v>0</v>
      </c>
      <c r="E2018" s="21" t="n">
        <v>0</v>
      </c>
      <c r="F2018" s="21" t="n">
        <v>0</v>
      </c>
      <c r="G2018" s="21" t="n">
        <v>0</v>
      </c>
      <c r="H2018" s="21" t="n">
        <v>0</v>
      </c>
      <c r="I2018" s="21" t="n">
        <v>0</v>
      </c>
      <c r="J2018" s="21" t="n">
        <v>0</v>
      </c>
      <c r="K2018" s="21" t="n">
        <v>0</v>
      </c>
      <c r="L2018" s="21" t="n">
        <v>0</v>
      </c>
      <c r="M2018" s="21" t="n">
        <v>0</v>
      </c>
      <c r="N2018" s="21" t="n">
        <v>0</v>
      </c>
      <c r="O2018" s="21" t="n">
        <v>0</v>
      </c>
      <c r="P2018" s="21" t="n">
        <v>0</v>
      </c>
      <c r="Q2018" s="21" t="n">
        <v>0</v>
      </c>
      <c r="R2018" s="21">
        <f>-$B$1811</f>
        <v/>
      </c>
      <c r="S2018" s="21">
        <f>-$B$1812</f>
        <v/>
      </c>
      <c r="T2018" s="21">
        <f>2*$B$1811+$D$1988</f>
        <v/>
      </c>
      <c r="U2018" s="21">
        <f>0</f>
        <v/>
      </c>
      <c r="V2018" s="21">
        <f>-$B$1811</f>
        <v/>
      </c>
      <c r="W2018" s="21">
        <f>$B$1812</f>
        <v/>
      </c>
      <c r="X2018" s="21" t="n">
        <v>0</v>
      </c>
      <c r="Y2018" s="21" t="n">
        <v>0</v>
      </c>
      <c r="Z2018" s="21" t="n">
        <v>0</v>
      </c>
      <c r="AA2018" s="21" t="n">
        <v>0</v>
      </c>
      <c r="AB2018" s="21" t="n">
        <v>0</v>
      </c>
      <c r="AC2018" s="21" t="n">
        <v>0</v>
      </c>
      <c r="AD2018" s="21" t="n">
        <v>0</v>
      </c>
      <c r="AE2018" s="21" t="n">
        <v>0</v>
      </c>
      <c r="AF2018" s="21" t="n">
        <v>0</v>
      </c>
      <c r="AG2018" s="21" t="n">
        <v>0</v>
      </c>
      <c r="AH2018" s="21" t="n">
        <v>0</v>
      </c>
      <c r="AI2018" s="21" t="n">
        <v>0</v>
      </c>
      <c r="AJ2018" s="21" t="n">
        <v>0</v>
      </c>
      <c r="AK2018" s="21" t="n">
        <v>0</v>
      </c>
      <c r="AL2018" s="21" t="n">
        <v>0</v>
      </c>
      <c r="AM2018" s="21" t="n">
        <v>0</v>
      </c>
      <c r="AN2018" s="21" t="n">
        <v>0</v>
      </c>
      <c r="AO2018" s="21" t="n">
        <v>0</v>
      </c>
      <c r="AP2018" s="21" t="n">
        <v>0</v>
      </c>
      <c r="AQ2018" s="21" t="n">
        <v>0</v>
      </c>
      <c r="AR2018" s="21" t="n">
        <v>0</v>
      </c>
      <c r="AS2018" s="21" t="n">
        <v>0</v>
      </c>
      <c r="AT2018" s="19" t="n"/>
    </row>
    <row r="2019">
      <c r="D2019" s="21" t="n">
        <v>0</v>
      </c>
      <c r="E2019" s="21" t="n">
        <v>0</v>
      </c>
      <c r="F2019" s="21" t="n">
        <v>0</v>
      </c>
      <c r="G2019" s="21" t="n">
        <v>0</v>
      </c>
      <c r="H2019" s="21" t="n">
        <v>0</v>
      </c>
      <c r="I2019" s="21" t="n">
        <v>0</v>
      </c>
      <c r="J2019" s="21" t="n">
        <v>0</v>
      </c>
      <c r="K2019" s="21" t="n">
        <v>0</v>
      </c>
      <c r="L2019" s="21" t="n">
        <v>0</v>
      </c>
      <c r="M2019" s="21" t="n">
        <v>0</v>
      </c>
      <c r="N2019" s="21" t="n">
        <v>0</v>
      </c>
      <c r="O2019" s="21" t="n">
        <v>0</v>
      </c>
      <c r="P2019" s="21" t="n">
        <v>0</v>
      </c>
      <c r="Q2019" s="21" t="n">
        <v>0</v>
      </c>
      <c r="R2019" s="21">
        <f>$B$1812</f>
        <v/>
      </c>
      <c r="S2019" s="21">
        <f>$B$1814</f>
        <v/>
      </c>
      <c r="T2019" s="21">
        <f>0</f>
        <v/>
      </c>
      <c r="U2019" s="21">
        <f>2*$B$1813</f>
        <v/>
      </c>
      <c r="V2019" s="21">
        <f>-$B$1812</f>
        <v/>
      </c>
      <c r="W2019" s="21">
        <f>$B$1814</f>
        <v/>
      </c>
      <c r="X2019" s="21" t="n">
        <v>0</v>
      </c>
      <c r="Y2019" s="21" t="n">
        <v>0</v>
      </c>
      <c r="Z2019" s="21" t="n">
        <v>0</v>
      </c>
      <c r="AA2019" s="21" t="n">
        <v>0</v>
      </c>
      <c r="AB2019" s="21" t="n">
        <v>0</v>
      </c>
      <c r="AC2019" s="21" t="n">
        <v>0</v>
      </c>
      <c r="AD2019" s="21" t="n">
        <v>0</v>
      </c>
      <c r="AE2019" s="21" t="n">
        <v>0</v>
      </c>
      <c r="AF2019" s="21" t="n">
        <v>0</v>
      </c>
      <c r="AG2019" s="21" t="n">
        <v>0</v>
      </c>
      <c r="AH2019" s="21" t="n">
        <v>0</v>
      </c>
      <c r="AI2019" s="21" t="n">
        <v>0</v>
      </c>
      <c r="AJ2019" s="21" t="n">
        <v>0</v>
      </c>
      <c r="AK2019" s="21" t="n">
        <v>0</v>
      </c>
      <c r="AL2019" s="21" t="n">
        <v>0</v>
      </c>
      <c r="AM2019" s="21" t="n">
        <v>0</v>
      </c>
      <c r="AN2019" s="21" t="n">
        <v>0</v>
      </c>
      <c r="AO2019" s="21" t="n">
        <v>0</v>
      </c>
      <c r="AP2019" s="21" t="n">
        <v>0</v>
      </c>
      <c r="AQ2019" s="21" t="n">
        <v>0</v>
      </c>
      <c r="AR2019" s="21" t="n">
        <v>0</v>
      </c>
      <c r="AS2019" s="21" t="n">
        <v>0</v>
      </c>
      <c r="AT2019" s="19" t="n"/>
    </row>
    <row r="2020">
      <c r="D2020" s="21" t="n">
        <v>0</v>
      </c>
      <c r="E2020" s="21" t="n">
        <v>0</v>
      </c>
      <c r="F2020" s="21" t="n">
        <v>0</v>
      </c>
      <c r="G2020" s="21" t="n">
        <v>0</v>
      </c>
      <c r="H2020" s="21" t="n">
        <v>0</v>
      </c>
      <c r="I2020" s="21" t="n">
        <v>0</v>
      </c>
      <c r="J2020" s="21" t="n">
        <v>0</v>
      </c>
      <c r="K2020" s="21" t="n">
        <v>0</v>
      </c>
      <c r="L2020" s="21" t="n">
        <v>0</v>
      </c>
      <c r="M2020" s="21" t="n">
        <v>0</v>
      </c>
      <c r="N2020" s="21" t="n">
        <v>0</v>
      </c>
      <c r="O2020" s="21" t="n">
        <v>0</v>
      </c>
      <c r="P2020" s="21" t="n">
        <v>0</v>
      </c>
      <c r="Q2020" s="21" t="n">
        <v>0</v>
      </c>
      <c r="R2020" s="21" t="n">
        <v>0</v>
      </c>
      <c r="S2020" s="21" t="n">
        <v>0</v>
      </c>
      <c r="T2020" s="21">
        <f>-$B$1811</f>
        <v/>
      </c>
      <c r="U2020" s="21">
        <f>-$B$1812</f>
        <v/>
      </c>
      <c r="V2020" s="21">
        <f>2*$B$1811+$D$1989</f>
        <v/>
      </c>
      <c r="W2020" s="21">
        <f>0</f>
        <v/>
      </c>
      <c r="X2020" s="21">
        <f>-$B$1811</f>
        <v/>
      </c>
      <c r="Y2020" s="21">
        <f>$B$1812</f>
        <v/>
      </c>
      <c r="Z2020" s="21" t="n">
        <v>0</v>
      </c>
      <c r="AA2020" s="21" t="n">
        <v>0</v>
      </c>
      <c r="AB2020" s="21" t="n">
        <v>0</v>
      </c>
      <c r="AC2020" s="21" t="n">
        <v>0</v>
      </c>
      <c r="AD2020" s="21" t="n">
        <v>0</v>
      </c>
      <c r="AE2020" s="21" t="n">
        <v>0</v>
      </c>
      <c r="AF2020" s="21" t="n">
        <v>0</v>
      </c>
      <c r="AG2020" s="21" t="n">
        <v>0</v>
      </c>
      <c r="AH2020" s="21" t="n">
        <v>0</v>
      </c>
      <c r="AI2020" s="21" t="n">
        <v>0</v>
      </c>
      <c r="AJ2020" s="21" t="n">
        <v>0</v>
      </c>
      <c r="AK2020" s="21" t="n">
        <v>0</v>
      </c>
      <c r="AL2020" s="21" t="n">
        <v>0</v>
      </c>
      <c r="AM2020" s="21" t="n">
        <v>0</v>
      </c>
      <c r="AN2020" s="21" t="n">
        <v>0</v>
      </c>
      <c r="AO2020" s="21" t="n">
        <v>0</v>
      </c>
      <c r="AP2020" s="21" t="n">
        <v>0</v>
      </c>
      <c r="AQ2020" s="21" t="n">
        <v>0</v>
      </c>
      <c r="AR2020" s="21" t="n">
        <v>0</v>
      </c>
      <c r="AS2020" s="21" t="n">
        <v>0</v>
      </c>
      <c r="AT2020" s="19" t="n"/>
    </row>
    <row r="2021">
      <c r="D2021" s="21" t="n">
        <v>0</v>
      </c>
      <c r="E2021" s="21" t="n">
        <v>0</v>
      </c>
      <c r="F2021" s="21" t="n">
        <v>0</v>
      </c>
      <c r="G2021" s="21" t="n">
        <v>0</v>
      </c>
      <c r="H2021" s="21" t="n">
        <v>0</v>
      </c>
      <c r="I2021" s="21" t="n">
        <v>0</v>
      </c>
      <c r="J2021" s="21" t="n">
        <v>0</v>
      </c>
      <c r="K2021" s="21" t="n">
        <v>0</v>
      </c>
      <c r="L2021" s="21" t="n">
        <v>0</v>
      </c>
      <c r="M2021" s="21" t="n">
        <v>0</v>
      </c>
      <c r="N2021" s="21" t="n">
        <v>0</v>
      </c>
      <c r="O2021" s="21" t="n">
        <v>0</v>
      </c>
      <c r="P2021" s="21" t="n">
        <v>0</v>
      </c>
      <c r="Q2021" s="21" t="n">
        <v>0</v>
      </c>
      <c r="R2021" s="21" t="n">
        <v>0</v>
      </c>
      <c r="S2021" s="21" t="n">
        <v>0</v>
      </c>
      <c r="T2021" s="21">
        <f>$B$1812</f>
        <v/>
      </c>
      <c r="U2021" s="21">
        <f>$B$1814</f>
        <v/>
      </c>
      <c r="V2021" s="21">
        <f>0</f>
        <v/>
      </c>
      <c r="W2021" s="21">
        <f>2*$B$1813</f>
        <v/>
      </c>
      <c r="X2021" s="21">
        <f>-$B$1812</f>
        <v/>
      </c>
      <c r="Y2021" s="21">
        <f>$B$1814</f>
        <v/>
      </c>
      <c r="Z2021" s="21" t="n">
        <v>0</v>
      </c>
      <c r="AA2021" s="21" t="n">
        <v>0</v>
      </c>
      <c r="AB2021" s="21" t="n">
        <v>0</v>
      </c>
      <c r="AC2021" s="21" t="n">
        <v>0</v>
      </c>
      <c r="AD2021" s="21" t="n">
        <v>0</v>
      </c>
      <c r="AE2021" s="21" t="n">
        <v>0</v>
      </c>
      <c r="AF2021" s="21" t="n">
        <v>0</v>
      </c>
      <c r="AG2021" s="21" t="n">
        <v>0</v>
      </c>
      <c r="AH2021" s="21" t="n">
        <v>0</v>
      </c>
      <c r="AI2021" s="21" t="n">
        <v>0</v>
      </c>
      <c r="AJ2021" s="21" t="n">
        <v>0</v>
      </c>
      <c r="AK2021" s="21" t="n">
        <v>0</v>
      </c>
      <c r="AL2021" s="21" t="n">
        <v>0</v>
      </c>
      <c r="AM2021" s="21" t="n">
        <v>0</v>
      </c>
      <c r="AN2021" s="21" t="n">
        <v>0</v>
      </c>
      <c r="AO2021" s="21" t="n">
        <v>0</v>
      </c>
      <c r="AP2021" s="21" t="n">
        <v>0</v>
      </c>
      <c r="AQ2021" s="21" t="n">
        <v>0</v>
      </c>
      <c r="AR2021" s="21" t="n">
        <v>0</v>
      </c>
      <c r="AS2021" s="21" t="n">
        <v>0</v>
      </c>
      <c r="AT2021" s="19" t="n"/>
    </row>
    <row r="2022">
      <c r="D2022" s="21" t="n">
        <v>0</v>
      </c>
      <c r="E2022" s="21" t="n">
        <v>0</v>
      </c>
      <c r="F2022" s="21" t="n">
        <v>0</v>
      </c>
      <c r="G2022" s="21" t="n">
        <v>0</v>
      </c>
      <c r="H2022" s="21" t="n">
        <v>0</v>
      </c>
      <c r="I2022" s="21" t="n">
        <v>0</v>
      </c>
      <c r="J2022" s="21" t="n">
        <v>0</v>
      </c>
      <c r="K2022" s="21" t="n">
        <v>0</v>
      </c>
      <c r="L2022" s="21" t="n">
        <v>0</v>
      </c>
      <c r="M2022" s="21" t="n">
        <v>0</v>
      </c>
      <c r="N2022" s="21" t="n">
        <v>0</v>
      </c>
      <c r="O2022" s="21" t="n">
        <v>0</v>
      </c>
      <c r="P2022" s="21" t="n">
        <v>0</v>
      </c>
      <c r="Q2022" s="21" t="n">
        <v>0</v>
      </c>
      <c r="R2022" s="21" t="n">
        <v>0</v>
      </c>
      <c r="S2022" s="21" t="n">
        <v>0</v>
      </c>
      <c r="T2022" s="21" t="n">
        <v>0</v>
      </c>
      <c r="U2022" s="21" t="n">
        <v>0</v>
      </c>
      <c r="V2022" s="21">
        <f>-$B$1811</f>
        <v/>
      </c>
      <c r="W2022" s="21">
        <f>-$B$1812</f>
        <v/>
      </c>
      <c r="X2022" s="21">
        <f>2*$B$1811+$D$1990</f>
        <v/>
      </c>
      <c r="Y2022" s="21">
        <f>0</f>
        <v/>
      </c>
      <c r="Z2022" s="21">
        <f>-$B$1811</f>
        <v/>
      </c>
      <c r="AA2022" s="21">
        <f>$B$1812</f>
        <v/>
      </c>
      <c r="AB2022" s="21" t="n">
        <v>0</v>
      </c>
      <c r="AC2022" s="21" t="n">
        <v>0</v>
      </c>
      <c r="AD2022" s="21" t="n">
        <v>0</v>
      </c>
      <c r="AE2022" s="21" t="n">
        <v>0</v>
      </c>
      <c r="AF2022" s="21" t="n">
        <v>0</v>
      </c>
      <c r="AG2022" s="21" t="n">
        <v>0</v>
      </c>
      <c r="AH2022" s="21" t="n">
        <v>0</v>
      </c>
      <c r="AI2022" s="21" t="n">
        <v>0</v>
      </c>
      <c r="AJ2022" s="21" t="n">
        <v>0</v>
      </c>
      <c r="AK2022" s="21" t="n">
        <v>0</v>
      </c>
      <c r="AL2022" s="21" t="n">
        <v>0</v>
      </c>
      <c r="AM2022" s="21" t="n">
        <v>0</v>
      </c>
      <c r="AN2022" s="21" t="n">
        <v>0</v>
      </c>
      <c r="AO2022" s="21" t="n">
        <v>0</v>
      </c>
      <c r="AP2022" s="21" t="n">
        <v>0</v>
      </c>
      <c r="AQ2022" s="21" t="n">
        <v>0</v>
      </c>
      <c r="AR2022" s="21" t="n">
        <v>0</v>
      </c>
      <c r="AS2022" s="21" t="n">
        <v>0</v>
      </c>
      <c r="AT2022" s="19" t="n"/>
    </row>
    <row r="2023">
      <c r="D2023" s="21" t="n">
        <v>0</v>
      </c>
      <c r="E2023" s="21" t="n">
        <v>0</v>
      </c>
      <c r="F2023" s="21" t="n">
        <v>0</v>
      </c>
      <c r="G2023" s="21" t="n">
        <v>0</v>
      </c>
      <c r="H2023" s="21" t="n">
        <v>0</v>
      </c>
      <c r="I2023" s="21" t="n">
        <v>0</v>
      </c>
      <c r="J2023" s="21" t="n">
        <v>0</v>
      </c>
      <c r="K2023" s="21" t="n">
        <v>0</v>
      </c>
      <c r="L2023" s="21" t="n">
        <v>0</v>
      </c>
      <c r="M2023" s="21" t="n">
        <v>0</v>
      </c>
      <c r="N2023" s="21" t="n">
        <v>0</v>
      </c>
      <c r="O2023" s="21" t="n">
        <v>0</v>
      </c>
      <c r="P2023" s="21" t="n">
        <v>0</v>
      </c>
      <c r="Q2023" s="21" t="n">
        <v>0</v>
      </c>
      <c r="R2023" s="21" t="n">
        <v>0</v>
      </c>
      <c r="S2023" s="21" t="n">
        <v>0</v>
      </c>
      <c r="T2023" s="21" t="n">
        <v>0</v>
      </c>
      <c r="U2023" s="21" t="n">
        <v>0</v>
      </c>
      <c r="V2023" s="21">
        <f>$B$1812</f>
        <v/>
      </c>
      <c r="W2023" s="21">
        <f>$B$1814</f>
        <v/>
      </c>
      <c r="X2023" s="21">
        <f>0</f>
        <v/>
      </c>
      <c r="Y2023" s="21">
        <f>2*$B$1813</f>
        <v/>
      </c>
      <c r="Z2023" s="21">
        <f>-$B$1812</f>
        <v/>
      </c>
      <c r="AA2023" s="21">
        <f>$B$1814</f>
        <v/>
      </c>
      <c r="AB2023" s="21" t="n">
        <v>0</v>
      </c>
      <c r="AC2023" s="21" t="n">
        <v>0</v>
      </c>
      <c r="AD2023" s="21" t="n">
        <v>0</v>
      </c>
      <c r="AE2023" s="21" t="n">
        <v>0</v>
      </c>
      <c r="AF2023" s="21" t="n">
        <v>0</v>
      </c>
      <c r="AG2023" s="21" t="n">
        <v>0</v>
      </c>
      <c r="AH2023" s="21" t="n">
        <v>0</v>
      </c>
      <c r="AI2023" s="21" t="n">
        <v>0</v>
      </c>
      <c r="AJ2023" s="21" t="n">
        <v>0</v>
      </c>
      <c r="AK2023" s="21" t="n">
        <v>0</v>
      </c>
      <c r="AL2023" s="21" t="n">
        <v>0</v>
      </c>
      <c r="AM2023" s="21" t="n">
        <v>0</v>
      </c>
      <c r="AN2023" s="21" t="n">
        <v>0</v>
      </c>
      <c r="AO2023" s="21" t="n">
        <v>0</v>
      </c>
      <c r="AP2023" s="21" t="n">
        <v>0</v>
      </c>
      <c r="AQ2023" s="21" t="n">
        <v>0</v>
      </c>
      <c r="AR2023" s="21" t="n">
        <v>0</v>
      </c>
      <c r="AS2023" s="21" t="n">
        <v>0</v>
      </c>
      <c r="AT2023" s="19" t="n"/>
    </row>
    <row r="2024">
      <c r="D2024" s="21" t="n">
        <v>0</v>
      </c>
      <c r="E2024" s="21" t="n">
        <v>0</v>
      </c>
      <c r="F2024" s="21" t="n">
        <v>0</v>
      </c>
      <c r="G2024" s="21" t="n">
        <v>0</v>
      </c>
      <c r="H2024" s="21" t="n">
        <v>0</v>
      </c>
      <c r="I2024" s="21" t="n">
        <v>0</v>
      </c>
      <c r="J2024" s="21" t="n">
        <v>0</v>
      </c>
      <c r="K2024" s="21" t="n">
        <v>0</v>
      </c>
      <c r="L2024" s="21" t="n">
        <v>0</v>
      </c>
      <c r="M2024" s="21" t="n">
        <v>0</v>
      </c>
      <c r="N2024" s="21" t="n">
        <v>0</v>
      </c>
      <c r="O2024" s="21" t="n">
        <v>0</v>
      </c>
      <c r="P2024" s="21" t="n">
        <v>0</v>
      </c>
      <c r="Q2024" s="21" t="n">
        <v>0</v>
      </c>
      <c r="R2024" s="21" t="n">
        <v>0</v>
      </c>
      <c r="S2024" s="21" t="n">
        <v>0</v>
      </c>
      <c r="T2024" s="21" t="n">
        <v>0</v>
      </c>
      <c r="U2024" s="21" t="n">
        <v>0</v>
      </c>
      <c r="V2024" s="21" t="n">
        <v>0</v>
      </c>
      <c r="W2024" s="21" t="n">
        <v>0</v>
      </c>
      <c r="X2024" s="21">
        <f>-$B$1811</f>
        <v/>
      </c>
      <c r="Y2024" s="21">
        <f>-$B$1812</f>
        <v/>
      </c>
      <c r="Z2024" s="21">
        <f>2*$B$1811+$D$1991</f>
        <v/>
      </c>
      <c r="AA2024" s="21">
        <f>0</f>
        <v/>
      </c>
      <c r="AB2024" s="21">
        <f>-$B$1811</f>
        <v/>
      </c>
      <c r="AC2024" s="21">
        <f>$B$1812</f>
        <v/>
      </c>
      <c r="AD2024" s="21" t="n">
        <v>0</v>
      </c>
      <c r="AE2024" s="21" t="n">
        <v>0</v>
      </c>
      <c r="AF2024" s="21" t="n">
        <v>0</v>
      </c>
      <c r="AG2024" s="21" t="n">
        <v>0</v>
      </c>
      <c r="AH2024" s="21" t="n">
        <v>0</v>
      </c>
      <c r="AI2024" s="21" t="n">
        <v>0</v>
      </c>
      <c r="AJ2024" s="21" t="n">
        <v>0</v>
      </c>
      <c r="AK2024" s="21" t="n">
        <v>0</v>
      </c>
      <c r="AL2024" s="21" t="n">
        <v>0</v>
      </c>
      <c r="AM2024" s="21" t="n">
        <v>0</v>
      </c>
      <c r="AN2024" s="21" t="n">
        <v>0</v>
      </c>
      <c r="AO2024" s="21" t="n">
        <v>0</v>
      </c>
      <c r="AP2024" s="21" t="n">
        <v>0</v>
      </c>
      <c r="AQ2024" s="21" t="n">
        <v>0</v>
      </c>
      <c r="AR2024" s="21" t="n">
        <v>0</v>
      </c>
      <c r="AS2024" s="21" t="n">
        <v>0</v>
      </c>
      <c r="AT2024" s="19" t="n"/>
    </row>
    <row r="2025">
      <c r="D2025" s="21" t="n">
        <v>0</v>
      </c>
      <c r="E2025" s="21" t="n">
        <v>0</v>
      </c>
      <c r="F2025" s="21" t="n">
        <v>0</v>
      </c>
      <c r="G2025" s="21" t="n">
        <v>0</v>
      </c>
      <c r="H2025" s="21" t="n">
        <v>0</v>
      </c>
      <c r="I2025" s="21" t="n">
        <v>0</v>
      </c>
      <c r="J2025" s="21" t="n">
        <v>0</v>
      </c>
      <c r="K2025" s="21" t="n">
        <v>0</v>
      </c>
      <c r="L2025" s="21" t="n">
        <v>0</v>
      </c>
      <c r="M2025" s="21" t="n">
        <v>0</v>
      </c>
      <c r="N2025" s="21" t="n">
        <v>0</v>
      </c>
      <c r="O2025" s="21" t="n">
        <v>0</v>
      </c>
      <c r="P2025" s="21" t="n">
        <v>0</v>
      </c>
      <c r="Q2025" s="21" t="n">
        <v>0</v>
      </c>
      <c r="R2025" s="21" t="n">
        <v>0</v>
      </c>
      <c r="S2025" s="21" t="n">
        <v>0</v>
      </c>
      <c r="T2025" s="21" t="n">
        <v>0</v>
      </c>
      <c r="U2025" s="21" t="n">
        <v>0</v>
      </c>
      <c r="V2025" s="21" t="n">
        <v>0</v>
      </c>
      <c r="W2025" s="21" t="n">
        <v>0</v>
      </c>
      <c r="X2025" s="21">
        <f>$B$1812</f>
        <v/>
      </c>
      <c r="Y2025" s="21">
        <f>$B$1814</f>
        <v/>
      </c>
      <c r="Z2025" s="21">
        <f>0</f>
        <v/>
      </c>
      <c r="AA2025" s="21">
        <f>2*$B$1813</f>
        <v/>
      </c>
      <c r="AB2025" s="21">
        <f>-$B$1812</f>
        <v/>
      </c>
      <c r="AC2025" s="21">
        <f>$B$1814</f>
        <v/>
      </c>
      <c r="AD2025" s="21" t="n">
        <v>0</v>
      </c>
      <c r="AE2025" s="21" t="n">
        <v>0</v>
      </c>
      <c r="AF2025" s="21" t="n">
        <v>0</v>
      </c>
      <c r="AG2025" s="21" t="n">
        <v>0</v>
      </c>
      <c r="AH2025" s="21" t="n">
        <v>0</v>
      </c>
      <c r="AI2025" s="21" t="n">
        <v>0</v>
      </c>
      <c r="AJ2025" s="21" t="n">
        <v>0</v>
      </c>
      <c r="AK2025" s="21" t="n">
        <v>0</v>
      </c>
      <c r="AL2025" s="21" t="n">
        <v>0</v>
      </c>
      <c r="AM2025" s="21" t="n">
        <v>0</v>
      </c>
      <c r="AN2025" s="21" t="n">
        <v>0</v>
      </c>
      <c r="AO2025" s="21" t="n">
        <v>0</v>
      </c>
      <c r="AP2025" s="21" t="n">
        <v>0</v>
      </c>
      <c r="AQ2025" s="21" t="n">
        <v>0</v>
      </c>
      <c r="AR2025" s="21" t="n">
        <v>0</v>
      </c>
      <c r="AS2025" s="21" t="n">
        <v>0</v>
      </c>
      <c r="AT2025" s="19" t="n"/>
    </row>
    <row r="2026">
      <c r="D2026" s="21" t="n">
        <v>0</v>
      </c>
      <c r="E2026" s="21" t="n">
        <v>0</v>
      </c>
      <c r="F2026" s="21" t="n">
        <v>0</v>
      </c>
      <c r="G2026" s="21" t="n">
        <v>0</v>
      </c>
      <c r="H2026" s="21" t="n">
        <v>0</v>
      </c>
      <c r="I2026" s="21" t="n">
        <v>0</v>
      </c>
      <c r="J2026" s="21" t="n">
        <v>0</v>
      </c>
      <c r="K2026" s="21" t="n">
        <v>0</v>
      </c>
      <c r="L2026" s="21" t="n">
        <v>0</v>
      </c>
      <c r="M2026" s="21" t="n">
        <v>0</v>
      </c>
      <c r="N2026" s="21" t="n">
        <v>0</v>
      </c>
      <c r="O2026" s="21" t="n">
        <v>0</v>
      </c>
      <c r="P2026" s="21" t="n">
        <v>0</v>
      </c>
      <c r="Q2026" s="21" t="n">
        <v>0</v>
      </c>
      <c r="R2026" s="21" t="n">
        <v>0</v>
      </c>
      <c r="S2026" s="21" t="n">
        <v>0</v>
      </c>
      <c r="T2026" s="21" t="n">
        <v>0</v>
      </c>
      <c r="U2026" s="21" t="n">
        <v>0</v>
      </c>
      <c r="V2026" s="21" t="n">
        <v>0</v>
      </c>
      <c r="W2026" s="21" t="n">
        <v>0</v>
      </c>
      <c r="X2026" s="21" t="n">
        <v>0</v>
      </c>
      <c r="Y2026" s="21" t="n">
        <v>0</v>
      </c>
      <c r="Z2026" s="21">
        <f>-$B$1811</f>
        <v/>
      </c>
      <c r="AA2026" s="21">
        <f>-$B$1812</f>
        <v/>
      </c>
      <c r="AB2026" s="21">
        <f>2*$B$1811+$D$1992</f>
        <v/>
      </c>
      <c r="AC2026" s="21">
        <f>0</f>
        <v/>
      </c>
      <c r="AD2026" s="21">
        <f>-$B$1811</f>
        <v/>
      </c>
      <c r="AE2026" s="21">
        <f>$B$1812</f>
        <v/>
      </c>
      <c r="AF2026" s="21" t="n">
        <v>0</v>
      </c>
      <c r="AG2026" s="21" t="n">
        <v>0</v>
      </c>
      <c r="AH2026" s="21" t="n">
        <v>0</v>
      </c>
      <c r="AI2026" s="21" t="n">
        <v>0</v>
      </c>
      <c r="AJ2026" s="21" t="n">
        <v>0</v>
      </c>
      <c r="AK2026" s="21" t="n">
        <v>0</v>
      </c>
      <c r="AL2026" s="21" t="n">
        <v>0</v>
      </c>
      <c r="AM2026" s="21" t="n">
        <v>0</v>
      </c>
      <c r="AN2026" s="21" t="n">
        <v>0</v>
      </c>
      <c r="AO2026" s="21" t="n">
        <v>0</v>
      </c>
      <c r="AP2026" s="21" t="n">
        <v>0</v>
      </c>
      <c r="AQ2026" s="21" t="n">
        <v>0</v>
      </c>
      <c r="AR2026" s="21" t="n">
        <v>0</v>
      </c>
      <c r="AS2026" s="21" t="n">
        <v>0</v>
      </c>
      <c r="AT2026" s="19" t="n"/>
    </row>
    <row r="2027">
      <c r="D2027" s="21" t="n">
        <v>0</v>
      </c>
      <c r="E2027" s="21" t="n">
        <v>0</v>
      </c>
      <c r="F2027" s="21" t="n">
        <v>0</v>
      </c>
      <c r="G2027" s="21" t="n">
        <v>0</v>
      </c>
      <c r="H2027" s="21" t="n">
        <v>0</v>
      </c>
      <c r="I2027" s="21" t="n">
        <v>0</v>
      </c>
      <c r="J2027" s="21" t="n">
        <v>0</v>
      </c>
      <c r="K2027" s="21" t="n">
        <v>0</v>
      </c>
      <c r="L2027" s="21" t="n">
        <v>0</v>
      </c>
      <c r="M2027" s="21" t="n">
        <v>0</v>
      </c>
      <c r="N2027" s="21" t="n">
        <v>0</v>
      </c>
      <c r="O2027" s="21" t="n">
        <v>0</v>
      </c>
      <c r="P2027" s="21" t="n">
        <v>0</v>
      </c>
      <c r="Q2027" s="21" t="n">
        <v>0</v>
      </c>
      <c r="R2027" s="21" t="n">
        <v>0</v>
      </c>
      <c r="S2027" s="21" t="n">
        <v>0</v>
      </c>
      <c r="T2027" s="21" t="n">
        <v>0</v>
      </c>
      <c r="U2027" s="21" t="n">
        <v>0</v>
      </c>
      <c r="V2027" s="21" t="n">
        <v>0</v>
      </c>
      <c r="W2027" s="21" t="n">
        <v>0</v>
      </c>
      <c r="X2027" s="21" t="n">
        <v>0</v>
      </c>
      <c r="Y2027" s="21" t="n">
        <v>0</v>
      </c>
      <c r="Z2027" s="21">
        <f>$B$1812</f>
        <v/>
      </c>
      <c r="AA2027" s="21">
        <f>$B$1814</f>
        <v/>
      </c>
      <c r="AB2027" s="21">
        <f>0</f>
        <v/>
      </c>
      <c r="AC2027" s="21">
        <f>2*$B$1813</f>
        <v/>
      </c>
      <c r="AD2027" s="21">
        <f>-$B$1812</f>
        <v/>
      </c>
      <c r="AE2027" s="21">
        <f>$B$1814</f>
        <v/>
      </c>
      <c r="AF2027" s="21" t="n">
        <v>0</v>
      </c>
      <c r="AG2027" s="21" t="n">
        <v>0</v>
      </c>
      <c r="AH2027" s="21" t="n">
        <v>0</v>
      </c>
      <c r="AI2027" s="21" t="n">
        <v>0</v>
      </c>
      <c r="AJ2027" s="21" t="n">
        <v>0</v>
      </c>
      <c r="AK2027" s="21" t="n">
        <v>0</v>
      </c>
      <c r="AL2027" s="21" t="n">
        <v>0</v>
      </c>
      <c r="AM2027" s="21" t="n">
        <v>0</v>
      </c>
      <c r="AN2027" s="21" t="n">
        <v>0</v>
      </c>
      <c r="AO2027" s="21" t="n">
        <v>0</v>
      </c>
      <c r="AP2027" s="21" t="n">
        <v>0</v>
      </c>
      <c r="AQ2027" s="21" t="n">
        <v>0</v>
      </c>
      <c r="AR2027" s="21" t="n">
        <v>0</v>
      </c>
      <c r="AS2027" s="21" t="n">
        <v>0</v>
      </c>
      <c r="AT2027" s="19" t="n"/>
    </row>
    <row r="2028">
      <c r="D2028" s="21" t="n">
        <v>0</v>
      </c>
      <c r="E2028" s="21" t="n">
        <v>0</v>
      </c>
      <c r="F2028" s="21" t="n">
        <v>0</v>
      </c>
      <c r="G2028" s="21" t="n">
        <v>0</v>
      </c>
      <c r="H2028" s="21" t="n">
        <v>0</v>
      </c>
      <c r="I2028" s="21" t="n">
        <v>0</v>
      </c>
      <c r="J2028" s="21" t="n">
        <v>0</v>
      </c>
      <c r="K2028" s="21" t="n">
        <v>0</v>
      </c>
      <c r="L2028" s="21" t="n">
        <v>0</v>
      </c>
      <c r="M2028" s="21" t="n">
        <v>0</v>
      </c>
      <c r="N2028" s="21" t="n">
        <v>0</v>
      </c>
      <c r="O2028" s="21" t="n">
        <v>0</v>
      </c>
      <c r="P2028" s="21" t="n">
        <v>0</v>
      </c>
      <c r="Q2028" s="21" t="n">
        <v>0</v>
      </c>
      <c r="R2028" s="21" t="n">
        <v>0</v>
      </c>
      <c r="S2028" s="21" t="n">
        <v>0</v>
      </c>
      <c r="T2028" s="21" t="n">
        <v>0</v>
      </c>
      <c r="U2028" s="21" t="n">
        <v>0</v>
      </c>
      <c r="V2028" s="21" t="n">
        <v>0</v>
      </c>
      <c r="W2028" s="21" t="n">
        <v>0</v>
      </c>
      <c r="X2028" s="21" t="n">
        <v>0</v>
      </c>
      <c r="Y2028" s="21" t="n">
        <v>0</v>
      </c>
      <c r="Z2028" s="21" t="n">
        <v>0</v>
      </c>
      <c r="AA2028" s="21" t="n">
        <v>0</v>
      </c>
      <c r="AB2028" s="21">
        <f>-$B$1811</f>
        <v/>
      </c>
      <c r="AC2028" s="21">
        <f>-$B$1812</f>
        <v/>
      </c>
      <c r="AD2028" s="21">
        <f>2*$B$1811+$D$1993</f>
        <v/>
      </c>
      <c r="AE2028" s="21">
        <f>0</f>
        <v/>
      </c>
      <c r="AF2028" s="21">
        <f>-$B$1811</f>
        <v/>
      </c>
      <c r="AG2028" s="21">
        <f>$B$1812</f>
        <v/>
      </c>
      <c r="AH2028" s="21" t="n">
        <v>0</v>
      </c>
      <c r="AI2028" s="21" t="n">
        <v>0</v>
      </c>
      <c r="AJ2028" s="21" t="n">
        <v>0</v>
      </c>
      <c r="AK2028" s="21" t="n">
        <v>0</v>
      </c>
      <c r="AL2028" s="21" t="n">
        <v>0</v>
      </c>
      <c r="AM2028" s="21" t="n">
        <v>0</v>
      </c>
      <c r="AN2028" s="21" t="n">
        <v>0</v>
      </c>
      <c r="AO2028" s="21" t="n">
        <v>0</v>
      </c>
      <c r="AP2028" s="21" t="n">
        <v>0</v>
      </c>
      <c r="AQ2028" s="21" t="n">
        <v>0</v>
      </c>
      <c r="AR2028" s="21" t="n">
        <v>0</v>
      </c>
      <c r="AS2028" s="21" t="n">
        <v>0</v>
      </c>
      <c r="AT2028" s="19" t="n"/>
    </row>
    <row r="2029">
      <c r="D2029" s="21" t="n">
        <v>0</v>
      </c>
      <c r="E2029" s="21" t="n">
        <v>0</v>
      </c>
      <c r="F2029" s="21" t="n">
        <v>0</v>
      </c>
      <c r="G2029" s="21" t="n">
        <v>0</v>
      </c>
      <c r="H2029" s="21" t="n">
        <v>0</v>
      </c>
      <c r="I2029" s="21" t="n">
        <v>0</v>
      </c>
      <c r="J2029" s="21" t="n">
        <v>0</v>
      </c>
      <c r="K2029" s="21" t="n">
        <v>0</v>
      </c>
      <c r="L2029" s="21" t="n">
        <v>0</v>
      </c>
      <c r="M2029" s="21" t="n">
        <v>0</v>
      </c>
      <c r="N2029" s="21" t="n">
        <v>0</v>
      </c>
      <c r="O2029" s="21" t="n">
        <v>0</v>
      </c>
      <c r="P2029" s="21" t="n">
        <v>0</v>
      </c>
      <c r="Q2029" s="21" t="n">
        <v>0</v>
      </c>
      <c r="R2029" s="21" t="n">
        <v>0</v>
      </c>
      <c r="S2029" s="21" t="n">
        <v>0</v>
      </c>
      <c r="T2029" s="21" t="n">
        <v>0</v>
      </c>
      <c r="U2029" s="21" t="n">
        <v>0</v>
      </c>
      <c r="V2029" s="21" t="n">
        <v>0</v>
      </c>
      <c r="W2029" s="21" t="n">
        <v>0</v>
      </c>
      <c r="X2029" s="21" t="n">
        <v>0</v>
      </c>
      <c r="Y2029" s="21" t="n">
        <v>0</v>
      </c>
      <c r="Z2029" s="21" t="n">
        <v>0</v>
      </c>
      <c r="AA2029" s="21" t="n">
        <v>0</v>
      </c>
      <c r="AB2029" s="21">
        <f>$B$1812</f>
        <v/>
      </c>
      <c r="AC2029" s="21">
        <f>$B$1814</f>
        <v/>
      </c>
      <c r="AD2029" s="21">
        <f>0</f>
        <v/>
      </c>
      <c r="AE2029" s="21">
        <f>2*$B$1813</f>
        <v/>
      </c>
      <c r="AF2029" s="21">
        <f>-$B$1812</f>
        <v/>
      </c>
      <c r="AG2029" s="21">
        <f>$B$1814</f>
        <v/>
      </c>
      <c r="AH2029" s="21" t="n">
        <v>0</v>
      </c>
      <c r="AI2029" s="21" t="n">
        <v>0</v>
      </c>
      <c r="AJ2029" s="21" t="n">
        <v>0</v>
      </c>
      <c r="AK2029" s="21" t="n">
        <v>0</v>
      </c>
      <c r="AL2029" s="21" t="n">
        <v>0</v>
      </c>
      <c r="AM2029" s="21" t="n">
        <v>0</v>
      </c>
      <c r="AN2029" s="21" t="n">
        <v>0</v>
      </c>
      <c r="AO2029" s="21" t="n">
        <v>0</v>
      </c>
      <c r="AP2029" s="21" t="n">
        <v>0</v>
      </c>
      <c r="AQ2029" s="21" t="n">
        <v>0</v>
      </c>
      <c r="AR2029" s="21" t="n">
        <v>0</v>
      </c>
      <c r="AS2029" s="21" t="n">
        <v>0</v>
      </c>
      <c r="AT2029" s="19" t="n"/>
    </row>
    <row r="2030">
      <c r="D2030" s="21" t="n">
        <v>0</v>
      </c>
      <c r="E2030" s="21" t="n">
        <v>0</v>
      </c>
      <c r="F2030" s="21" t="n">
        <v>0</v>
      </c>
      <c r="G2030" s="21" t="n">
        <v>0</v>
      </c>
      <c r="H2030" s="21" t="n">
        <v>0</v>
      </c>
      <c r="I2030" s="21" t="n">
        <v>0</v>
      </c>
      <c r="J2030" s="21" t="n">
        <v>0</v>
      </c>
      <c r="K2030" s="21" t="n">
        <v>0</v>
      </c>
      <c r="L2030" s="21" t="n">
        <v>0</v>
      </c>
      <c r="M2030" s="21" t="n">
        <v>0</v>
      </c>
      <c r="N2030" s="21" t="n">
        <v>0</v>
      </c>
      <c r="O2030" s="21" t="n">
        <v>0</v>
      </c>
      <c r="P2030" s="21" t="n">
        <v>0</v>
      </c>
      <c r="Q2030" s="21" t="n">
        <v>0</v>
      </c>
      <c r="R2030" s="21" t="n">
        <v>0</v>
      </c>
      <c r="S2030" s="21" t="n">
        <v>0</v>
      </c>
      <c r="T2030" s="21" t="n">
        <v>0</v>
      </c>
      <c r="U2030" s="21" t="n">
        <v>0</v>
      </c>
      <c r="V2030" s="21" t="n">
        <v>0</v>
      </c>
      <c r="W2030" s="21" t="n">
        <v>0</v>
      </c>
      <c r="X2030" s="21" t="n">
        <v>0</v>
      </c>
      <c r="Y2030" s="21" t="n">
        <v>0</v>
      </c>
      <c r="Z2030" s="21" t="n">
        <v>0</v>
      </c>
      <c r="AA2030" s="21" t="n">
        <v>0</v>
      </c>
      <c r="AB2030" s="21" t="n">
        <v>0</v>
      </c>
      <c r="AC2030" s="21" t="n">
        <v>0</v>
      </c>
      <c r="AD2030" s="21">
        <f>-$B$1811</f>
        <v/>
      </c>
      <c r="AE2030" s="21">
        <f>-$B$1812</f>
        <v/>
      </c>
      <c r="AF2030" s="21">
        <f>2*$B$1811+$D$1994</f>
        <v/>
      </c>
      <c r="AG2030" s="21">
        <f>0</f>
        <v/>
      </c>
      <c r="AH2030" s="21">
        <f>-$B$1811</f>
        <v/>
      </c>
      <c r="AI2030" s="21">
        <f>$B$1812</f>
        <v/>
      </c>
      <c r="AJ2030" s="21" t="n">
        <v>0</v>
      </c>
      <c r="AK2030" s="21" t="n">
        <v>0</v>
      </c>
      <c r="AL2030" s="21" t="n">
        <v>0</v>
      </c>
      <c r="AM2030" s="21" t="n">
        <v>0</v>
      </c>
      <c r="AN2030" s="21" t="n">
        <v>0</v>
      </c>
      <c r="AO2030" s="21" t="n">
        <v>0</v>
      </c>
      <c r="AP2030" s="21" t="n">
        <v>0</v>
      </c>
      <c r="AQ2030" s="21" t="n">
        <v>0</v>
      </c>
      <c r="AR2030" s="21" t="n">
        <v>0</v>
      </c>
      <c r="AS2030" s="21" t="n">
        <v>0</v>
      </c>
      <c r="AT2030" s="19" t="n"/>
    </row>
    <row r="2031">
      <c r="D2031" s="21" t="n">
        <v>0</v>
      </c>
      <c r="E2031" s="21" t="n">
        <v>0</v>
      </c>
      <c r="F2031" s="21" t="n">
        <v>0</v>
      </c>
      <c r="G2031" s="21" t="n">
        <v>0</v>
      </c>
      <c r="H2031" s="21" t="n">
        <v>0</v>
      </c>
      <c r="I2031" s="21" t="n">
        <v>0</v>
      </c>
      <c r="J2031" s="21" t="n">
        <v>0</v>
      </c>
      <c r="K2031" s="21" t="n">
        <v>0</v>
      </c>
      <c r="L2031" s="21" t="n">
        <v>0</v>
      </c>
      <c r="M2031" s="21" t="n">
        <v>0</v>
      </c>
      <c r="N2031" s="21" t="n">
        <v>0</v>
      </c>
      <c r="O2031" s="21" t="n">
        <v>0</v>
      </c>
      <c r="P2031" s="21" t="n">
        <v>0</v>
      </c>
      <c r="Q2031" s="21" t="n">
        <v>0</v>
      </c>
      <c r="R2031" s="21" t="n">
        <v>0</v>
      </c>
      <c r="S2031" s="21" t="n">
        <v>0</v>
      </c>
      <c r="T2031" s="21" t="n">
        <v>0</v>
      </c>
      <c r="U2031" s="21" t="n">
        <v>0</v>
      </c>
      <c r="V2031" s="21" t="n">
        <v>0</v>
      </c>
      <c r="W2031" s="21" t="n">
        <v>0</v>
      </c>
      <c r="X2031" s="21" t="n">
        <v>0</v>
      </c>
      <c r="Y2031" s="21" t="n">
        <v>0</v>
      </c>
      <c r="Z2031" s="21" t="n">
        <v>0</v>
      </c>
      <c r="AA2031" s="21" t="n">
        <v>0</v>
      </c>
      <c r="AB2031" s="21" t="n">
        <v>0</v>
      </c>
      <c r="AC2031" s="21" t="n">
        <v>0</v>
      </c>
      <c r="AD2031" s="21">
        <f>$B$1812</f>
        <v/>
      </c>
      <c r="AE2031" s="21">
        <f>$B$1814</f>
        <v/>
      </c>
      <c r="AF2031" s="21">
        <f>0</f>
        <v/>
      </c>
      <c r="AG2031" s="21">
        <f>2*$B$1813</f>
        <v/>
      </c>
      <c r="AH2031" s="21">
        <f>-$B$1812</f>
        <v/>
      </c>
      <c r="AI2031" s="21">
        <f>$B$1814</f>
        <v/>
      </c>
      <c r="AJ2031" s="21" t="n">
        <v>0</v>
      </c>
      <c r="AK2031" s="21" t="n">
        <v>0</v>
      </c>
      <c r="AL2031" s="21" t="n">
        <v>0</v>
      </c>
      <c r="AM2031" s="21" t="n">
        <v>0</v>
      </c>
      <c r="AN2031" s="21" t="n">
        <v>0</v>
      </c>
      <c r="AO2031" s="21" t="n">
        <v>0</v>
      </c>
      <c r="AP2031" s="21" t="n">
        <v>0</v>
      </c>
      <c r="AQ2031" s="21" t="n">
        <v>0</v>
      </c>
      <c r="AR2031" s="21" t="n">
        <v>0</v>
      </c>
      <c r="AS2031" s="21" t="n">
        <v>0</v>
      </c>
      <c r="AT2031" s="19" t="n"/>
    </row>
    <row r="2032">
      <c r="D2032" s="21" t="n">
        <v>0</v>
      </c>
      <c r="E2032" s="21" t="n">
        <v>0</v>
      </c>
      <c r="F2032" s="21" t="n">
        <v>0</v>
      </c>
      <c r="G2032" s="21" t="n">
        <v>0</v>
      </c>
      <c r="H2032" s="21" t="n">
        <v>0</v>
      </c>
      <c r="I2032" s="21" t="n">
        <v>0</v>
      </c>
      <c r="J2032" s="21" t="n">
        <v>0</v>
      </c>
      <c r="K2032" s="21" t="n">
        <v>0</v>
      </c>
      <c r="L2032" s="21" t="n">
        <v>0</v>
      </c>
      <c r="M2032" s="21" t="n">
        <v>0</v>
      </c>
      <c r="N2032" s="21" t="n">
        <v>0</v>
      </c>
      <c r="O2032" s="21" t="n">
        <v>0</v>
      </c>
      <c r="P2032" s="21" t="n">
        <v>0</v>
      </c>
      <c r="Q2032" s="21" t="n">
        <v>0</v>
      </c>
      <c r="R2032" s="21" t="n">
        <v>0</v>
      </c>
      <c r="S2032" s="21" t="n">
        <v>0</v>
      </c>
      <c r="T2032" s="21" t="n">
        <v>0</v>
      </c>
      <c r="U2032" s="21" t="n">
        <v>0</v>
      </c>
      <c r="V2032" s="21" t="n">
        <v>0</v>
      </c>
      <c r="W2032" s="21" t="n">
        <v>0</v>
      </c>
      <c r="X2032" s="21" t="n">
        <v>0</v>
      </c>
      <c r="Y2032" s="21" t="n">
        <v>0</v>
      </c>
      <c r="Z2032" s="21" t="n">
        <v>0</v>
      </c>
      <c r="AA2032" s="21" t="n">
        <v>0</v>
      </c>
      <c r="AB2032" s="21" t="n">
        <v>0</v>
      </c>
      <c r="AC2032" s="21" t="n">
        <v>0</v>
      </c>
      <c r="AD2032" s="21" t="n">
        <v>0</v>
      </c>
      <c r="AE2032" s="21" t="n">
        <v>0</v>
      </c>
      <c r="AF2032" s="21">
        <f>-$B$1811</f>
        <v/>
      </c>
      <c r="AG2032" s="21">
        <f>-$B$1812</f>
        <v/>
      </c>
      <c r="AH2032" s="21">
        <f>2*$B$1811+$D$1995</f>
        <v/>
      </c>
      <c r="AI2032" s="21">
        <f>0</f>
        <v/>
      </c>
      <c r="AJ2032" s="21">
        <f>-$B$1811</f>
        <v/>
      </c>
      <c r="AK2032" s="21">
        <f>$B$1812</f>
        <v/>
      </c>
      <c r="AL2032" s="21" t="n">
        <v>0</v>
      </c>
      <c r="AM2032" s="21" t="n">
        <v>0</v>
      </c>
      <c r="AN2032" s="21" t="n">
        <v>0</v>
      </c>
      <c r="AO2032" s="21" t="n">
        <v>0</v>
      </c>
      <c r="AP2032" s="21" t="n">
        <v>0</v>
      </c>
      <c r="AQ2032" s="21" t="n">
        <v>0</v>
      </c>
      <c r="AR2032" s="21" t="n">
        <v>0</v>
      </c>
      <c r="AS2032" s="21" t="n">
        <v>0</v>
      </c>
      <c r="AT2032" s="19" t="n"/>
    </row>
    <row r="2033">
      <c r="D2033" s="21" t="n">
        <v>0</v>
      </c>
      <c r="E2033" s="21" t="n">
        <v>0</v>
      </c>
      <c r="F2033" s="21" t="n">
        <v>0</v>
      </c>
      <c r="G2033" s="21" t="n">
        <v>0</v>
      </c>
      <c r="H2033" s="21" t="n">
        <v>0</v>
      </c>
      <c r="I2033" s="21" t="n">
        <v>0</v>
      </c>
      <c r="J2033" s="21" t="n">
        <v>0</v>
      </c>
      <c r="K2033" s="21" t="n">
        <v>0</v>
      </c>
      <c r="L2033" s="21" t="n">
        <v>0</v>
      </c>
      <c r="M2033" s="21" t="n">
        <v>0</v>
      </c>
      <c r="N2033" s="21" t="n">
        <v>0</v>
      </c>
      <c r="O2033" s="21" t="n">
        <v>0</v>
      </c>
      <c r="P2033" s="21" t="n">
        <v>0</v>
      </c>
      <c r="Q2033" s="21" t="n">
        <v>0</v>
      </c>
      <c r="R2033" s="21" t="n">
        <v>0</v>
      </c>
      <c r="S2033" s="21" t="n">
        <v>0</v>
      </c>
      <c r="T2033" s="21" t="n">
        <v>0</v>
      </c>
      <c r="U2033" s="21" t="n">
        <v>0</v>
      </c>
      <c r="V2033" s="21" t="n">
        <v>0</v>
      </c>
      <c r="W2033" s="21" t="n">
        <v>0</v>
      </c>
      <c r="X2033" s="21" t="n">
        <v>0</v>
      </c>
      <c r="Y2033" s="21" t="n">
        <v>0</v>
      </c>
      <c r="Z2033" s="21" t="n">
        <v>0</v>
      </c>
      <c r="AA2033" s="21" t="n">
        <v>0</v>
      </c>
      <c r="AB2033" s="21" t="n">
        <v>0</v>
      </c>
      <c r="AC2033" s="21" t="n">
        <v>0</v>
      </c>
      <c r="AD2033" s="21" t="n">
        <v>0</v>
      </c>
      <c r="AE2033" s="21" t="n">
        <v>0</v>
      </c>
      <c r="AF2033" s="21">
        <f>$B$1812</f>
        <v/>
      </c>
      <c r="AG2033" s="21">
        <f>$B$1814</f>
        <v/>
      </c>
      <c r="AH2033" s="21">
        <f>0</f>
        <v/>
      </c>
      <c r="AI2033" s="21">
        <f>2*$B$1813</f>
        <v/>
      </c>
      <c r="AJ2033" s="21">
        <f>-$B$1812</f>
        <v/>
      </c>
      <c r="AK2033" s="21">
        <f>$B$1814</f>
        <v/>
      </c>
      <c r="AL2033" s="21" t="n">
        <v>0</v>
      </c>
      <c r="AM2033" s="21" t="n">
        <v>0</v>
      </c>
      <c r="AN2033" s="21" t="n">
        <v>0</v>
      </c>
      <c r="AO2033" s="21" t="n">
        <v>0</v>
      </c>
      <c r="AP2033" s="21" t="n">
        <v>0</v>
      </c>
      <c r="AQ2033" s="21" t="n">
        <v>0</v>
      </c>
      <c r="AR2033" s="21" t="n">
        <v>0</v>
      </c>
      <c r="AS2033" s="21" t="n">
        <v>0</v>
      </c>
      <c r="AT2033" s="19" t="n"/>
    </row>
    <row r="2034">
      <c r="D2034" s="21" t="n">
        <v>0</v>
      </c>
      <c r="E2034" s="21" t="n">
        <v>0</v>
      </c>
      <c r="F2034" s="21" t="n">
        <v>0</v>
      </c>
      <c r="G2034" s="21" t="n">
        <v>0</v>
      </c>
      <c r="H2034" s="21" t="n">
        <v>0</v>
      </c>
      <c r="I2034" s="21" t="n">
        <v>0</v>
      </c>
      <c r="J2034" s="21" t="n">
        <v>0</v>
      </c>
      <c r="K2034" s="21" t="n">
        <v>0</v>
      </c>
      <c r="L2034" s="21" t="n">
        <v>0</v>
      </c>
      <c r="M2034" s="21" t="n">
        <v>0</v>
      </c>
      <c r="N2034" s="21" t="n">
        <v>0</v>
      </c>
      <c r="O2034" s="21" t="n">
        <v>0</v>
      </c>
      <c r="P2034" s="21" t="n">
        <v>0</v>
      </c>
      <c r="Q2034" s="21" t="n">
        <v>0</v>
      </c>
      <c r="R2034" s="21" t="n">
        <v>0</v>
      </c>
      <c r="S2034" s="21" t="n">
        <v>0</v>
      </c>
      <c r="T2034" s="21" t="n">
        <v>0</v>
      </c>
      <c r="U2034" s="21" t="n">
        <v>0</v>
      </c>
      <c r="V2034" s="21" t="n">
        <v>0</v>
      </c>
      <c r="W2034" s="21" t="n">
        <v>0</v>
      </c>
      <c r="X2034" s="21" t="n">
        <v>0</v>
      </c>
      <c r="Y2034" s="21" t="n">
        <v>0</v>
      </c>
      <c r="Z2034" s="21" t="n">
        <v>0</v>
      </c>
      <c r="AA2034" s="21" t="n">
        <v>0</v>
      </c>
      <c r="AB2034" s="21" t="n">
        <v>0</v>
      </c>
      <c r="AC2034" s="21" t="n">
        <v>0</v>
      </c>
      <c r="AD2034" s="21" t="n">
        <v>0</v>
      </c>
      <c r="AE2034" s="21" t="n">
        <v>0</v>
      </c>
      <c r="AF2034" s="21" t="n">
        <v>0</v>
      </c>
      <c r="AG2034" s="21" t="n">
        <v>0</v>
      </c>
      <c r="AH2034" s="21">
        <f>-$B$1811</f>
        <v/>
      </c>
      <c r="AI2034" s="21">
        <f>-$B$1812</f>
        <v/>
      </c>
      <c r="AJ2034" s="21">
        <f>2*$B$1811+$D$1996</f>
        <v/>
      </c>
      <c r="AK2034" s="21">
        <f>0</f>
        <v/>
      </c>
      <c r="AL2034" s="21">
        <f>-$B$1811</f>
        <v/>
      </c>
      <c r="AM2034" s="21">
        <f>$B$1812</f>
        <v/>
      </c>
      <c r="AN2034" s="21" t="n">
        <v>0</v>
      </c>
      <c r="AO2034" s="21" t="n">
        <v>0</v>
      </c>
      <c r="AP2034" s="21" t="n">
        <v>0</v>
      </c>
      <c r="AQ2034" s="21" t="n">
        <v>0</v>
      </c>
      <c r="AR2034" s="21" t="n">
        <v>0</v>
      </c>
      <c r="AS2034" s="21" t="n">
        <v>0</v>
      </c>
      <c r="AT2034" s="19" t="n"/>
    </row>
    <row r="2035">
      <c r="D2035" s="21" t="n">
        <v>0</v>
      </c>
      <c r="E2035" s="21" t="n">
        <v>0</v>
      </c>
      <c r="F2035" s="21" t="n">
        <v>0</v>
      </c>
      <c r="G2035" s="21" t="n">
        <v>0</v>
      </c>
      <c r="H2035" s="21" t="n">
        <v>0</v>
      </c>
      <c r="I2035" s="21" t="n">
        <v>0</v>
      </c>
      <c r="J2035" s="21" t="n">
        <v>0</v>
      </c>
      <c r="K2035" s="21" t="n">
        <v>0</v>
      </c>
      <c r="L2035" s="21" t="n">
        <v>0</v>
      </c>
      <c r="M2035" s="21" t="n">
        <v>0</v>
      </c>
      <c r="N2035" s="21" t="n">
        <v>0</v>
      </c>
      <c r="O2035" s="21" t="n">
        <v>0</v>
      </c>
      <c r="P2035" s="21" t="n">
        <v>0</v>
      </c>
      <c r="Q2035" s="21" t="n">
        <v>0</v>
      </c>
      <c r="R2035" s="21" t="n">
        <v>0</v>
      </c>
      <c r="S2035" s="21" t="n">
        <v>0</v>
      </c>
      <c r="T2035" s="21" t="n">
        <v>0</v>
      </c>
      <c r="U2035" s="21" t="n">
        <v>0</v>
      </c>
      <c r="V2035" s="21" t="n">
        <v>0</v>
      </c>
      <c r="W2035" s="21" t="n">
        <v>0</v>
      </c>
      <c r="X2035" s="21" t="n">
        <v>0</v>
      </c>
      <c r="Y2035" s="21" t="n">
        <v>0</v>
      </c>
      <c r="Z2035" s="21" t="n">
        <v>0</v>
      </c>
      <c r="AA2035" s="21" t="n">
        <v>0</v>
      </c>
      <c r="AB2035" s="21" t="n">
        <v>0</v>
      </c>
      <c r="AC2035" s="21" t="n">
        <v>0</v>
      </c>
      <c r="AD2035" s="21" t="n">
        <v>0</v>
      </c>
      <c r="AE2035" s="21" t="n">
        <v>0</v>
      </c>
      <c r="AF2035" s="21" t="n">
        <v>0</v>
      </c>
      <c r="AG2035" s="21" t="n">
        <v>0</v>
      </c>
      <c r="AH2035" s="21">
        <f>$B$1812</f>
        <v/>
      </c>
      <c r="AI2035" s="21">
        <f>$B$1814</f>
        <v/>
      </c>
      <c r="AJ2035" s="21">
        <f>0</f>
        <v/>
      </c>
      <c r="AK2035" s="21">
        <f>2*$B$1813</f>
        <v/>
      </c>
      <c r="AL2035" s="21">
        <f>-$B$1812</f>
        <v/>
      </c>
      <c r="AM2035" s="21">
        <f>$B$1814</f>
        <v/>
      </c>
      <c r="AN2035" s="21" t="n">
        <v>0</v>
      </c>
      <c r="AO2035" s="21" t="n">
        <v>0</v>
      </c>
      <c r="AP2035" s="21" t="n">
        <v>0</v>
      </c>
      <c r="AQ2035" s="21" t="n">
        <v>0</v>
      </c>
      <c r="AR2035" s="21" t="n">
        <v>0</v>
      </c>
      <c r="AS2035" s="21" t="n">
        <v>0</v>
      </c>
      <c r="AT2035" s="19" t="n"/>
    </row>
    <row r="2036">
      <c r="D2036" s="21" t="n">
        <v>0</v>
      </c>
      <c r="E2036" s="21" t="n">
        <v>0</v>
      </c>
      <c r="F2036" s="21" t="n">
        <v>0</v>
      </c>
      <c r="G2036" s="21" t="n">
        <v>0</v>
      </c>
      <c r="H2036" s="21" t="n">
        <v>0</v>
      </c>
      <c r="I2036" s="21" t="n">
        <v>0</v>
      </c>
      <c r="J2036" s="21" t="n">
        <v>0</v>
      </c>
      <c r="K2036" s="21" t="n">
        <v>0</v>
      </c>
      <c r="L2036" s="21" t="n">
        <v>0</v>
      </c>
      <c r="M2036" s="21" t="n">
        <v>0</v>
      </c>
      <c r="N2036" s="21" t="n">
        <v>0</v>
      </c>
      <c r="O2036" s="21" t="n">
        <v>0</v>
      </c>
      <c r="P2036" s="21" t="n">
        <v>0</v>
      </c>
      <c r="Q2036" s="21" t="n">
        <v>0</v>
      </c>
      <c r="R2036" s="21" t="n">
        <v>0</v>
      </c>
      <c r="S2036" s="21" t="n">
        <v>0</v>
      </c>
      <c r="T2036" s="21" t="n">
        <v>0</v>
      </c>
      <c r="U2036" s="21" t="n">
        <v>0</v>
      </c>
      <c r="V2036" s="21" t="n">
        <v>0</v>
      </c>
      <c r="W2036" s="21" t="n">
        <v>0</v>
      </c>
      <c r="X2036" s="21" t="n">
        <v>0</v>
      </c>
      <c r="Y2036" s="21" t="n">
        <v>0</v>
      </c>
      <c r="Z2036" s="21" t="n">
        <v>0</v>
      </c>
      <c r="AA2036" s="21" t="n">
        <v>0</v>
      </c>
      <c r="AB2036" s="21" t="n">
        <v>0</v>
      </c>
      <c r="AC2036" s="21" t="n">
        <v>0</v>
      </c>
      <c r="AD2036" s="21" t="n">
        <v>0</v>
      </c>
      <c r="AE2036" s="21" t="n">
        <v>0</v>
      </c>
      <c r="AF2036" s="21" t="n">
        <v>0</v>
      </c>
      <c r="AG2036" s="21" t="n">
        <v>0</v>
      </c>
      <c r="AH2036" s="21" t="n">
        <v>0</v>
      </c>
      <c r="AI2036" s="21" t="n">
        <v>0</v>
      </c>
      <c r="AJ2036" s="21">
        <f>-$B$1811</f>
        <v/>
      </c>
      <c r="AK2036" s="21">
        <f>-$B$1812</f>
        <v/>
      </c>
      <c r="AL2036" s="21">
        <f>2*$B$1811+$D$1997</f>
        <v/>
      </c>
      <c r="AM2036" s="21">
        <f>0</f>
        <v/>
      </c>
      <c r="AN2036" s="21">
        <f>-$B$1811</f>
        <v/>
      </c>
      <c r="AO2036" s="21">
        <f>$B$1812</f>
        <v/>
      </c>
      <c r="AP2036" s="21" t="n">
        <v>0</v>
      </c>
      <c r="AQ2036" s="21" t="n">
        <v>0</v>
      </c>
      <c r="AR2036" s="21" t="n">
        <v>0</v>
      </c>
      <c r="AS2036" s="21" t="n">
        <v>0</v>
      </c>
      <c r="AT2036" s="19" t="n"/>
    </row>
    <row r="2037">
      <c r="D2037" s="21" t="n">
        <v>0</v>
      </c>
      <c r="E2037" s="21" t="n">
        <v>0</v>
      </c>
      <c r="F2037" s="21" t="n">
        <v>0</v>
      </c>
      <c r="G2037" s="21" t="n">
        <v>0</v>
      </c>
      <c r="H2037" s="21" t="n">
        <v>0</v>
      </c>
      <c r="I2037" s="21" t="n">
        <v>0</v>
      </c>
      <c r="J2037" s="21" t="n">
        <v>0</v>
      </c>
      <c r="K2037" s="21" t="n">
        <v>0</v>
      </c>
      <c r="L2037" s="21" t="n">
        <v>0</v>
      </c>
      <c r="M2037" s="21" t="n">
        <v>0</v>
      </c>
      <c r="N2037" s="21" t="n">
        <v>0</v>
      </c>
      <c r="O2037" s="21" t="n">
        <v>0</v>
      </c>
      <c r="P2037" s="21" t="n">
        <v>0</v>
      </c>
      <c r="Q2037" s="21" t="n">
        <v>0</v>
      </c>
      <c r="R2037" s="21" t="n">
        <v>0</v>
      </c>
      <c r="S2037" s="21" t="n">
        <v>0</v>
      </c>
      <c r="T2037" s="21" t="n">
        <v>0</v>
      </c>
      <c r="U2037" s="21" t="n">
        <v>0</v>
      </c>
      <c r="V2037" s="21" t="n">
        <v>0</v>
      </c>
      <c r="W2037" s="21" t="n">
        <v>0</v>
      </c>
      <c r="X2037" s="21" t="n">
        <v>0</v>
      </c>
      <c r="Y2037" s="21" t="n">
        <v>0</v>
      </c>
      <c r="Z2037" s="21" t="n">
        <v>0</v>
      </c>
      <c r="AA2037" s="21" t="n">
        <v>0</v>
      </c>
      <c r="AB2037" s="21" t="n">
        <v>0</v>
      </c>
      <c r="AC2037" s="21" t="n">
        <v>0</v>
      </c>
      <c r="AD2037" s="21" t="n">
        <v>0</v>
      </c>
      <c r="AE2037" s="21" t="n">
        <v>0</v>
      </c>
      <c r="AF2037" s="21" t="n">
        <v>0</v>
      </c>
      <c r="AG2037" s="21" t="n">
        <v>0</v>
      </c>
      <c r="AH2037" s="21" t="n">
        <v>0</v>
      </c>
      <c r="AI2037" s="21" t="n">
        <v>0</v>
      </c>
      <c r="AJ2037" s="21">
        <f>$B$1812</f>
        <v/>
      </c>
      <c r="AK2037" s="21">
        <f>$B$1814</f>
        <v/>
      </c>
      <c r="AL2037" s="21">
        <f>0</f>
        <v/>
      </c>
      <c r="AM2037" s="21">
        <f>2*$B$1813</f>
        <v/>
      </c>
      <c r="AN2037" s="21">
        <f>-$B$1812</f>
        <v/>
      </c>
      <c r="AO2037" s="21">
        <f>$B$1814</f>
        <v/>
      </c>
      <c r="AP2037" s="21" t="n">
        <v>0</v>
      </c>
      <c r="AQ2037" s="21" t="n">
        <v>0</v>
      </c>
      <c r="AR2037" s="21" t="n">
        <v>0</v>
      </c>
      <c r="AS2037" s="21" t="n">
        <v>0</v>
      </c>
      <c r="AT2037" s="19" t="n"/>
    </row>
    <row r="2038">
      <c r="D2038" s="21" t="n">
        <v>0</v>
      </c>
      <c r="E2038" s="21" t="n">
        <v>0</v>
      </c>
      <c r="F2038" s="21" t="n">
        <v>0</v>
      </c>
      <c r="G2038" s="21" t="n">
        <v>0</v>
      </c>
      <c r="H2038" s="21" t="n">
        <v>0</v>
      </c>
      <c r="I2038" s="21" t="n">
        <v>0</v>
      </c>
      <c r="J2038" s="21" t="n">
        <v>0</v>
      </c>
      <c r="K2038" s="21" t="n">
        <v>0</v>
      </c>
      <c r="L2038" s="21" t="n">
        <v>0</v>
      </c>
      <c r="M2038" s="21" t="n">
        <v>0</v>
      </c>
      <c r="N2038" s="21" t="n">
        <v>0</v>
      </c>
      <c r="O2038" s="21" t="n">
        <v>0</v>
      </c>
      <c r="P2038" s="21" t="n">
        <v>0</v>
      </c>
      <c r="Q2038" s="21" t="n">
        <v>0</v>
      </c>
      <c r="R2038" s="21" t="n">
        <v>0</v>
      </c>
      <c r="S2038" s="21" t="n">
        <v>0</v>
      </c>
      <c r="T2038" s="21" t="n">
        <v>0</v>
      </c>
      <c r="U2038" s="21" t="n">
        <v>0</v>
      </c>
      <c r="V2038" s="21" t="n">
        <v>0</v>
      </c>
      <c r="W2038" s="21" t="n">
        <v>0</v>
      </c>
      <c r="X2038" s="21" t="n">
        <v>0</v>
      </c>
      <c r="Y2038" s="21" t="n">
        <v>0</v>
      </c>
      <c r="Z2038" s="21" t="n">
        <v>0</v>
      </c>
      <c r="AA2038" s="21" t="n">
        <v>0</v>
      </c>
      <c r="AB2038" s="21" t="n">
        <v>0</v>
      </c>
      <c r="AC2038" s="21" t="n">
        <v>0</v>
      </c>
      <c r="AD2038" s="21" t="n">
        <v>0</v>
      </c>
      <c r="AE2038" s="21" t="n">
        <v>0</v>
      </c>
      <c r="AF2038" s="21" t="n">
        <v>0</v>
      </c>
      <c r="AG2038" s="21" t="n">
        <v>0</v>
      </c>
      <c r="AH2038" s="21" t="n">
        <v>0</v>
      </c>
      <c r="AI2038" s="21" t="n">
        <v>0</v>
      </c>
      <c r="AJ2038" s="21" t="n">
        <v>0</v>
      </c>
      <c r="AK2038" s="21" t="n">
        <v>0</v>
      </c>
      <c r="AL2038" s="21">
        <f>-$B$1811</f>
        <v/>
      </c>
      <c r="AM2038" s="21">
        <f>-$B$1812</f>
        <v/>
      </c>
      <c r="AN2038" s="21">
        <f>2*$B$1811+$D$1998</f>
        <v/>
      </c>
      <c r="AO2038" s="21">
        <f>0</f>
        <v/>
      </c>
      <c r="AP2038" s="21">
        <f>-$B$1811</f>
        <v/>
      </c>
      <c r="AQ2038" s="21">
        <f>$B$1812</f>
        <v/>
      </c>
      <c r="AR2038" s="21" t="n">
        <v>0</v>
      </c>
      <c r="AS2038" s="21" t="n">
        <v>0</v>
      </c>
      <c r="AT2038" s="19" t="n"/>
    </row>
    <row r="2039">
      <c r="D2039" s="21" t="n">
        <v>0</v>
      </c>
      <c r="E2039" s="21" t="n">
        <v>0</v>
      </c>
      <c r="F2039" s="21" t="n">
        <v>0</v>
      </c>
      <c r="G2039" s="21" t="n">
        <v>0</v>
      </c>
      <c r="H2039" s="21" t="n">
        <v>0</v>
      </c>
      <c r="I2039" s="21" t="n">
        <v>0</v>
      </c>
      <c r="J2039" s="21" t="n">
        <v>0</v>
      </c>
      <c r="K2039" s="21" t="n">
        <v>0</v>
      </c>
      <c r="L2039" s="21" t="n">
        <v>0</v>
      </c>
      <c r="M2039" s="21" t="n">
        <v>0</v>
      </c>
      <c r="N2039" s="21" t="n">
        <v>0</v>
      </c>
      <c r="O2039" s="21" t="n">
        <v>0</v>
      </c>
      <c r="P2039" s="21" t="n">
        <v>0</v>
      </c>
      <c r="Q2039" s="21" t="n">
        <v>0</v>
      </c>
      <c r="R2039" s="21" t="n">
        <v>0</v>
      </c>
      <c r="S2039" s="21" t="n">
        <v>0</v>
      </c>
      <c r="T2039" s="21" t="n">
        <v>0</v>
      </c>
      <c r="U2039" s="21" t="n">
        <v>0</v>
      </c>
      <c r="V2039" s="21" t="n">
        <v>0</v>
      </c>
      <c r="W2039" s="21" t="n">
        <v>0</v>
      </c>
      <c r="X2039" s="21" t="n">
        <v>0</v>
      </c>
      <c r="Y2039" s="21" t="n">
        <v>0</v>
      </c>
      <c r="Z2039" s="21" t="n">
        <v>0</v>
      </c>
      <c r="AA2039" s="21" t="n">
        <v>0</v>
      </c>
      <c r="AB2039" s="21" t="n">
        <v>0</v>
      </c>
      <c r="AC2039" s="21" t="n">
        <v>0</v>
      </c>
      <c r="AD2039" s="21" t="n">
        <v>0</v>
      </c>
      <c r="AE2039" s="21" t="n">
        <v>0</v>
      </c>
      <c r="AF2039" s="21" t="n">
        <v>0</v>
      </c>
      <c r="AG2039" s="21" t="n">
        <v>0</v>
      </c>
      <c r="AH2039" s="21" t="n">
        <v>0</v>
      </c>
      <c r="AI2039" s="21" t="n">
        <v>0</v>
      </c>
      <c r="AJ2039" s="21" t="n">
        <v>0</v>
      </c>
      <c r="AK2039" s="21" t="n">
        <v>0</v>
      </c>
      <c r="AL2039" s="21">
        <f>$B$1812</f>
        <v/>
      </c>
      <c r="AM2039" s="21">
        <f>$B$1814</f>
        <v/>
      </c>
      <c r="AN2039" s="21">
        <f>0</f>
        <v/>
      </c>
      <c r="AO2039" s="21">
        <f>2*$B$1813</f>
        <v/>
      </c>
      <c r="AP2039" s="21">
        <f>-$B$1812</f>
        <v/>
      </c>
      <c r="AQ2039" s="21">
        <f>$B$1814</f>
        <v/>
      </c>
      <c r="AR2039" s="21" t="n">
        <v>0</v>
      </c>
      <c r="AS2039" s="21" t="n">
        <v>0</v>
      </c>
      <c r="AT2039" s="19" t="n"/>
    </row>
    <row r="2040">
      <c r="D2040" s="21" t="n">
        <v>0</v>
      </c>
      <c r="E2040" s="21" t="n">
        <v>0</v>
      </c>
      <c r="F2040" s="21" t="n">
        <v>0</v>
      </c>
      <c r="G2040" s="21" t="n">
        <v>0</v>
      </c>
      <c r="H2040" s="21" t="n">
        <v>0</v>
      </c>
      <c r="I2040" s="21" t="n">
        <v>0</v>
      </c>
      <c r="J2040" s="21" t="n">
        <v>0</v>
      </c>
      <c r="K2040" s="21" t="n">
        <v>0</v>
      </c>
      <c r="L2040" s="21" t="n">
        <v>0</v>
      </c>
      <c r="M2040" s="21" t="n">
        <v>0</v>
      </c>
      <c r="N2040" s="21" t="n">
        <v>0</v>
      </c>
      <c r="O2040" s="21" t="n">
        <v>0</v>
      </c>
      <c r="P2040" s="21" t="n">
        <v>0</v>
      </c>
      <c r="Q2040" s="21" t="n">
        <v>0</v>
      </c>
      <c r="R2040" s="21" t="n">
        <v>0</v>
      </c>
      <c r="S2040" s="21" t="n">
        <v>0</v>
      </c>
      <c r="T2040" s="21" t="n">
        <v>0</v>
      </c>
      <c r="U2040" s="21" t="n">
        <v>0</v>
      </c>
      <c r="V2040" s="21" t="n">
        <v>0</v>
      </c>
      <c r="W2040" s="21" t="n">
        <v>0</v>
      </c>
      <c r="X2040" s="21" t="n">
        <v>0</v>
      </c>
      <c r="Y2040" s="21" t="n">
        <v>0</v>
      </c>
      <c r="Z2040" s="21" t="n">
        <v>0</v>
      </c>
      <c r="AA2040" s="21" t="n">
        <v>0</v>
      </c>
      <c r="AB2040" s="21" t="n">
        <v>0</v>
      </c>
      <c r="AC2040" s="21" t="n">
        <v>0</v>
      </c>
      <c r="AD2040" s="21" t="n">
        <v>0</v>
      </c>
      <c r="AE2040" s="21" t="n">
        <v>0</v>
      </c>
      <c r="AF2040" s="21" t="n">
        <v>0</v>
      </c>
      <c r="AG2040" s="21" t="n">
        <v>0</v>
      </c>
      <c r="AH2040" s="21" t="n">
        <v>0</v>
      </c>
      <c r="AI2040" s="21" t="n">
        <v>0</v>
      </c>
      <c r="AJ2040" s="21" t="n">
        <v>0</v>
      </c>
      <c r="AK2040" s="21" t="n">
        <v>0</v>
      </c>
      <c r="AL2040" s="21" t="n">
        <v>0</v>
      </c>
      <c r="AM2040" s="21" t="n">
        <v>0</v>
      </c>
      <c r="AN2040" s="21">
        <f>-$B$1811</f>
        <v/>
      </c>
      <c r="AO2040" s="21">
        <f>-$B$1812</f>
        <v/>
      </c>
      <c r="AP2040" s="21">
        <f>2*$B$1811+$D$1999</f>
        <v/>
      </c>
      <c r="AQ2040" s="21">
        <f>0</f>
        <v/>
      </c>
      <c r="AR2040" s="21">
        <f>-$B$1811</f>
        <v/>
      </c>
      <c r="AS2040" s="21">
        <f>$B$1812</f>
        <v/>
      </c>
      <c r="AT2040" s="19" t="n"/>
    </row>
    <row r="2041">
      <c r="D2041" s="21" t="n">
        <v>0</v>
      </c>
      <c r="E2041" s="21" t="n">
        <v>0</v>
      </c>
      <c r="F2041" s="21" t="n">
        <v>0</v>
      </c>
      <c r="G2041" s="21" t="n">
        <v>0</v>
      </c>
      <c r="H2041" s="21" t="n">
        <v>0</v>
      </c>
      <c r="I2041" s="21" t="n">
        <v>0</v>
      </c>
      <c r="J2041" s="21" t="n">
        <v>0</v>
      </c>
      <c r="K2041" s="21" t="n">
        <v>0</v>
      </c>
      <c r="L2041" s="21" t="n">
        <v>0</v>
      </c>
      <c r="M2041" s="21" t="n">
        <v>0</v>
      </c>
      <c r="N2041" s="21" t="n">
        <v>0</v>
      </c>
      <c r="O2041" s="21" t="n">
        <v>0</v>
      </c>
      <c r="P2041" s="21" t="n">
        <v>0</v>
      </c>
      <c r="Q2041" s="21" t="n">
        <v>0</v>
      </c>
      <c r="R2041" s="21" t="n">
        <v>0</v>
      </c>
      <c r="S2041" s="21" t="n">
        <v>0</v>
      </c>
      <c r="T2041" s="21" t="n">
        <v>0</v>
      </c>
      <c r="U2041" s="21" t="n">
        <v>0</v>
      </c>
      <c r="V2041" s="21" t="n">
        <v>0</v>
      </c>
      <c r="W2041" s="21" t="n">
        <v>0</v>
      </c>
      <c r="X2041" s="21" t="n">
        <v>0</v>
      </c>
      <c r="Y2041" s="21" t="n">
        <v>0</v>
      </c>
      <c r="Z2041" s="21" t="n">
        <v>0</v>
      </c>
      <c r="AA2041" s="21" t="n">
        <v>0</v>
      </c>
      <c r="AB2041" s="21" t="n">
        <v>0</v>
      </c>
      <c r="AC2041" s="21" t="n">
        <v>0</v>
      </c>
      <c r="AD2041" s="21" t="n">
        <v>0</v>
      </c>
      <c r="AE2041" s="21" t="n">
        <v>0</v>
      </c>
      <c r="AF2041" s="21" t="n">
        <v>0</v>
      </c>
      <c r="AG2041" s="21" t="n">
        <v>0</v>
      </c>
      <c r="AH2041" s="21" t="n">
        <v>0</v>
      </c>
      <c r="AI2041" s="21" t="n">
        <v>0</v>
      </c>
      <c r="AJ2041" s="21" t="n">
        <v>0</v>
      </c>
      <c r="AK2041" s="21" t="n">
        <v>0</v>
      </c>
      <c r="AL2041" s="21" t="n">
        <v>0</v>
      </c>
      <c r="AM2041" s="21" t="n">
        <v>0</v>
      </c>
      <c r="AN2041" s="21">
        <f>$B$1812</f>
        <v/>
      </c>
      <c r="AO2041" s="21">
        <f>$B$1814</f>
        <v/>
      </c>
      <c r="AP2041" s="21">
        <f>0</f>
        <v/>
      </c>
      <c r="AQ2041" s="21">
        <f>2*$B$1813</f>
        <v/>
      </c>
      <c r="AR2041" s="21">
        <f>-$B$1812</f>
        <v/>
      </c>
      <c r="AS2041" s="21">
        <f>$B$1814</f>
        <v/>
      </c>
      <c r="AT2041" s="19" t="n"/>
    </row>
    <row r="2042">
      <c r="D2042" s="21" t="n">
        <v>0</v>
      </c>
      <c r="E2042" s="21" t="n">
        <v>0</v>
      </c>
      <c r="F2042" s="21" t="n">
        <v>0</v>
      </c>
      <c r="G2042" s="21" t="n">
        <v>0</v>
      </c>
      <c r="H2042" s="21" t="n">
        <v>0</v>
      </c>
      <c r="I2042" s="21" t="n">
        <v>0</v>
      </c>
      <c r="J2042" s="21" t="n">
        <v>0</v>
      </c>
      <c r="K2042" s="21" t="n">
        <v>0</v>
      </c>
      <c r="L2042" s="21" t="n">
        <v>0</v>
      </c>
      <c r="M2042" s="21" t="n">
        <v>0</v>
      </c>
      <c r="N2042" s="21" t="n">
        <v>0</v>
      </c>
      <c r="O2042" s="21" t="n">
        <v>0</v>
      </c>
      <c r="P2042" s="21" t="n">
        <v>0</v>
      </c>
      <c r="Q2042" s="21" t="n">
        <v>0</v>
      </c>
      <c r="R2042" s="21" t="n">
        <v>0</v>
      </c>
      <c r="S2042" s="21" t="n">
        <v>0</v>
      </c>
      <c r="T2042" s="21" t="n">
        <v>0</v>
      </c>
      <c r="U2042" s="21" t="n">
        <v>0</v>
      </c>
      <c r="V2042" s="21" t="n">
        <v>0</v>
      </c>
      <c r="W2042" s="21" t="n">
        <v>0</v>
      </c>
      <c r="X2042" s="21" t="n">
        <v>0</v>
      </c>
      <c r="Y2042" s="21" t="n">
        <v>0</v>
      </c>
      <c r="Z2042" s="21" t="n">
        <v>0</v>
      </c>
      <c r="AA2042" s="21" t="n">
        <v>0</v>
      </c>
      <c r="AB2042" s="21" t="n">
        <v>0</v>
      </c>
      <c r="AC2042" s="21" t="n">
        <v>0</v>
      </c>
      <c r="AD2042" s="21" t="n">
        <v>0</v>
      </c>
      <c r="AE2042" s="21" t="n">
        <v>0</v>
      </c>
      <c r="AF2042" s="21" t="n">
        <v>0</v>
      </c>
      <c r="AG2042" s="21" t="n">
        <v>0</v>
      </c>
      <c r="AH2042" s="21" t="n">
        <v>0</v>
      </c>
      <c r="AI2042" s="21" t="n">
        <v>0</v>
      </c>
      <c r="AJ2042" s="21" t="n">
        <v>0</v>
      </c>
      <c r="AK2042" s="21" t="n">
        <v>0</v>
      </c>
      <c r="AL2042" s="21" t="n">
        <v>0</v>
      </c>
      <c r="AM2042" s="21" t="n">
        <v>0</v>
      </c>
      <c r="AN2042" s="21" t="n">
        <v>0</v>
      </c>
      <c r="AO2042" s="21" t="n">
        <v>0</v>
      </c>
      <c r="AP2042" s="21">
        <f>-$B$1811</f>
        <v/>
      </c>
      <c r="AQ2042" s="21">
        <f>-$B$1812</f>
        <v/>
      </c>
      <c r="AR2042" s="21">
        <f>$B$1811+$D$2000</f>
        <v/>
      </c>
      <c r="AS2042" s="21">
        <f>-$B$1812</f>
        <v/>
      </c>
      <c r="AT2042" s="19" t="n"/>
    </row>
    <row r="2043">
      <c r="D2043" s="21" t="n">
        <v>0</v>
      </c>
      <c r="E2043" s="21" t="n">
        <v>0</v>
      </c>
      <c r="F2043" s="21" t="n">
        <v>0</v>
      </c>
      <c r="G2043" s="21" t="n">
        <v>0</v>
      </c>
      <c r="H2043" s="21" t="n">
        <v>0</v>
      </c>
      <c r="I2043" s="21" t="n">
        <v>0</v>
      </c>
      <c r="J2043" s="21" t="n">
        <v>0</v>
      </c>
      <c r="K2043" s="21" t="n">
        <v>0</v>
      </c>
      <c r="L2043" s="21" t="n">
        <v>0</v>
      </c>
      <c r="M2043" s="21" t="n">
        <v>0</v>
      </c>
      <c r="N2043" s="21" t="n">
        <v>0</v>
      </c>
      <c r="O2043" s="21" t="n">
        <v>0</v>
      </c>
      <c r="P2043" s="21" t="n">
        <v>0</v>
      </c>
      <c r="Q2043" s="21" t="n">
        <v>0</v>
      </c>
      <c r="R2043" s="21" t="n">
        <v>0</v>
      </c>
      <c r="S2043" s="21" t="n">
        <v>0</v>
      </c>
      <c r="T2043" s="21" t="n">
        <v>0</v>
      </c>
      <c r="U2043" s="21" t="n">
        <v>0</v>
      </c>
      <c r="V2043" s="21" t="n">
        <v>0</v>
      </c>
      <c r="W2043" s="21" t="n">
        <v>0</v>
      </c>
      <c r="X2043" s="21" t="n">
        <v>0</v>
      </c>
      <c r="Y2043" s="21" t="n">
        <v>0</v>
      </c>
      <c r="Z2043" s="21" t="n">
        <v>0</v>
      </c>
      <c r="AA2043" s="21" t="n">
        <v>0</v>
      </c>
      <c r="AB2043" s="21" t="n">
        <v>0</v>
      </c>
      <c r="AC2043" s="21" t="n">
        <v>0</v>
      </c>
      <c r="AD2043" s="21" t="n">
        <v>0</v>
      </c>
      <c r="AE2043" s="21" t="n">
        <v>0</v>
      </c>
      <c r="AF2043" s="21" t="n">
        <v>0</v>
      </c>
      <c r="AG2043" s="21" t="n">
        <v>0</v>
      </c>
      <c r="AH2043" s="21" t="n">
        <v>0</v>
      </c>
      <c r="AI2043" s="21" t="n">
        <v>0</v>
      </c>
      <c r="AJ2043" s="21" t="n">
        <v>0</v>
      </c>
      <c r="AK2043" s="21" t="n">
        <v>0</v>
      </c>
      <c r="AL2043" s="21" t="n">
        <v>0</v>
      </c>
      <c r="AM2043" s="21" t="n">
        <v>0</v>
      </c>
      <c r="AN2043" s="21" t="n">
        <v>0</v>
      </c>
      <c r="AO2043" s="21" t="n">
        <v>0</v>
      </c>
      <c r="AP2043" s="21">
        <f>$B$1812</f>
        <v/>
      </c>
      <c r="AQ2043" s="21">
        <f>$B$1814</f>
        <v/>
      </c>
      <c r="AR2043" s="21">
        <f>-$B$1812</f>
        <v/>
      </c>
      <c r="AS2043" s="21">
        <f>$B$1813</f>
        <v/>
      </c>
      <c r="AT2043" s="19" t="n"/>
    </row>
    <row r="2045">
      <c r="A2045" s="8" t="inlineStr">
        <is>
          <t>gen 3</t>
        </is>
      </c>
    </row>
    <row r="2046">
      <c r="D2046" s="19">
        <f>IF(ABS(IF(ABS($E$1980)&gt;0.000000001,$E$1980,0.000000001))=0,0,IF($E$1826&lt;=$B$1820,0,IF(ABS(IF(ABS($E$1980)&gt;0.000000001,$E$1980,0.000000001))&gt;=8*$B$1822,$H$1826,0.5*$H$1826*(ABS(IF(ABS($E$1980)&gt;0.000000001,$E$1980,0.000000001))/$B$1822)^(1/3)))/ABS(IF(ABS($E$1980)&gt;0.000000001,$E$1980,0.000000001))*$I$1826)</f>
        <v/>
      </c>
      <c r="E2046" s="19">
        <f>0.5*$E$1980+0.5*$AT$2068</f>
        <v/>
      </c>
      <c r="F2046" s="19">
        <f>$AT$2069</f>
        <v/>
      </c>
    </row>
    <row r="2047">
      <c r="D2047" s="19">
        <f>IF(ABS(IF(ABS($E$1981)&gt;0.000000001,$E$1981,0.000000001))=0,0,IF($E$1827&lt;=$B$1820,0,IF(ABS(IF(ABS($E$1981)&gt;0.000000001,$E$1981,0.000000001))&gt;=8*$B$1822,$H$1827,0.5*$H$1827*(ABS(IF(ABS($E$1981)&gt;0.000000001,$E$1981,0.000000001))/$B$1822)^(1/3)))/ABS(IF(ABS($E$1981)&gt;0.000000001,$E$1981,0.000000001))*$I$1827)</f>
        <v/>
      </c>
      <c r="E2047" s="19">
        <f>0.5*$E$1981+0.5*$AT$2070</f>
        <v/>
      </c>
      <c r="F2047" s="19">
        <f>$AT$2071</f>
        <v/>
      </c>
    </row>
    <row r="2048">
      <c r="D2048" s="19">
        <f>IF(ABS(IF(ABS($E$1982)&gt;0.000000001,$E$1982,0.000000001))=0,0,IF($E$1828&lt;=$B$1820,0,IF(ABS(IF(ABS($E$1982)&gt;0.000000001,$E$1982,0.000000001))&gt;=8*$B$1822,$H$1828,0.5*$H$1828*(ABS(IF(ABS($E$1982)&gt;0.000000001,$E$1982,0.000000001))/$B$1822)^(1/3)))/ABS(IF(ABS($E$1982)&gt;0.000000001,$E$1982,0.000000001))*$I$1828)</f>
        <v/>
      </c>
      <c r="E2048" s="19">
        <f>0.5*$E$1982+0.5*$AT$2072</f>
        <v/>
      </c>
      <c r="F2048" s="19">
        <f>$AT$2073</f>
        <v/>
      </c>
    </row>
    <row r="2049">
      <c r="D2049" s="19">
        <f>IF(ABS(IF(ABS($E$1983)&gt;0.000000001,$E$1983,0.000000001))=0,0,IF($E$1829&lt;=$B$1820,0,IF(ABS(IF(ABS($E$1983)&gt;0.000000001,$E$1983,0.000000001))&gt;=8*$B$1822,$H$1829,0.5*$H$1829*(ABS(IF(ABS($E$1983)&gt;0.000000001,$E$1983,0.000000001))/$B$1822)^(1/3)))/ABS(IF(ABS($E$1983)&gt;0.000000001,$E$1983,0.000000001))*$I$1829)</f>
        <v/>
      </c>
      <c r="E2049" s="19">
        <f>0.5*$E$1983+0.5*$AT$2074</f>
        <v/>
      </c>
      <c r="F2049" s="19">
        <f>$AT$2075</f>
        <v/>
      </c>
    </row>
    <row r="2050">
      <c r="D2050" s="19">
        <f>IF(ABS(IF(ABS($E$1984)&gt;0.000000001,$E$1984,0.000000001))=0,0,IF($E$1830&lt;=$B$1820,0,IF(ABS(IF(ABS($E$1984)&gt;0.000000001,$E$1984,0.000000001))&gt;=8*$B$1822,$H$1830,0.5*$H$1830*(ABS(IF(ABS($E$1984)&gt;0.000000001,$E$1984,0.000000001))/$B$1822)^(1/3)))/ABS(IF(ABS($E$1984)&gt;0.000000001,$E$1984,0.000000001))*$I$1830)</f>
        <v/>
      </c>
      <c r="E2050" s="19">
        <f>0.5*$E$1984+0.5*$AT$2076</f>
        <v/>
      </c>
      <c r="F2050" s="19">
        <f>$AT$2077</f>
        <v/>
      </c>
    </row>
    <row r="2051">
      <c r="D2051" s="19">
        <f>IF(ABS(IF(ABS($E$1985)&gt;0.000000001,$E$1985,0.000000001))=0,0,IF($E$1831&lt;=$B$1820,0,IF(ABS(IF(ABS($E$1985)&gt;0.000000001,$E$1985,0.000000001))&gt;=8*$B$1822,$H$1831,0.5*$H$1831*(ABS(IF(ABS($E$1985)&gt;0.000000001,$E$1985,0.000000001))/$B$1822)^(1/3)))/ABS(IF(ABS($E$1985)&gt;0.000000001,$E$1985,0.000000001))*$I$1831)</f>
        <v/>
      </c>
      <c r="E2051" s="19">
        <f>0.5*$E$1985+0.5*$AT$2078</f>
        <v/>
      </c>
      <c r="F2051" s="19">
        <f>$AT$2079</f>
        <v/>
      </c>
    </row>
    <row r="2052">
      <c r="D2052" s="19">
        <f>IF(ABS(IF(ABS($E$1986)&gt;0.000000001,$E$1986,0.000000001))=0,0,IF($E$1832&lt;=$B$1820,0,IF(ABS(IF(ABS($E$1986)&gt;0.000000001,$E$1986,0.000000001))&gt;=8*$B$1822,$H$1832,0.5*$H$1832*(ABS(IF(ABS($E$1986)&gt;0.000000001,$E$1986,0.000000001))/$B$1822)^(1/3)))/ABS(IF(ABS($E$1986)&gt;0.000000001,$E$1986,0.000000001))*$I$1832)</f>
        <v/>
      </c>
      <c r="E2052" s="19">
        <f>0.5*$E$1986+0.5*$AT$2080</f>
        <v/>
      </c>
      <c r="F2052" s="19">
        <f>$AT$2081</f>
        <v/>
      </c>
    </row>
    <row r="2053">
      <c r="D2053" s="19">
        <f>IF(ABS(IF(ABS($E$1987)&gt;0.000000001,$E$1987,0.000000001))=0,0,IF($E$1833&lt;=$B$1820,0,IF(ABS(IF(ABS($E$1987)&gt;0.000000001,$E$1987,0.000000001))&gt;=8*$B$1822,$H$1833,0.5*$H$1833*(ABS(IF(ABS($E$1987)&gt;0.000000001,$E$1987,0.000000001))/$B$1822)^(1/3)))/ABS(IF(ABS($E$1987)&gt;0.000000001,$E$1987,0.000000001))*$I$1833)</f>
        <v/>
      </c>
      <c r="E2053" s="19">
        <f>0.5*$E$1987+0.5*$AT$2082</f>
        <v/>
      </c>
      <c r="F2053" s="19">
        <f>$AT$2083</f>
        <v/>
      </c>
    </row>
    <row r="2054">
      <c r="D2054" s="19">
        <f>IF(ABS(IF(ABS($E$1988)&gt;0.000000001,$E$1988,0.000000001))=0,0,IF($E$1834&lt;=$B$1820,0,IF(ABS(IF(ABS($E$1988)&gt;0.000000001,$E$1988,0.000000001))&gt;=8*$B$1822,$H$1834,0.5*$H$1834*(ABS(IF(ABS($E$1988)&gt;0.000000001,$E$1988,0.000000001))/$B$1822)^(1/3)))/ABS(IF(ABS($E$1988)&gt;0.000000001,$E$1988,0.000000001))*$I$1834)</f>
        <v/>
      </c>
      <c r="E2054" s="19">
        <f>0.5*$E$1988+0.5*$AT$2084</f>
        <v/>
      </c>
      <c r="F2054" s="19">
        <f>$AT$2085</f>
        <v/>
      </c>
    </row>
    <row r="2055">
      <c r="D2055" s="19">
        <f>IF(ABS(IF(ABS($E$1989)&gt;0.000000001,$E$1989,0.000000001))=0,0,IF($E$1835&lt;=$B$1820,0,IF(ABS(IF(ABS($E$1989)&gt;0.000000001,$E$1989,0.000000001))&gt;=8*$B$1822,$H$1835,0.5*$H$1835*(ABS(IF(ABS($E$1989)&gt;0.000000001,$E$1989,0.000000001))/$B$1822)^(1/3)))/ABS(IF(ABS($E$1989)&gt;0.000000001,$E$1989,0.000000001))*$I$1835)</f>
        <v/>
      </c>
      <c r="E2055" s="19">
        <f>0.5*$E$1989+0.5*$AT$2086</f>
        <v/>
      </c>
      <c r="F2055" s="19">
        <f>$AT$2087</f>
        <v/>
      </c>
    </row>
    <row r="2056">
      <c r="D2056" s="19">
        <f>IF(ABS(IF(ABS($E$1990)&gt;0.000000001,$E$1990,0.000000001))=0,0,IF($E$1836&lt;=$B$1820,0,IF(ABS(IF(ABS($E$1990)&gt;0.000000001,$E$1990,0.000000001))&gt;=8*$B$1822,$H$1836,0.5*$H$1836*(ABS(IF(ABS($E$1990)&gt;0.000000001,$E$1990,0.000000001))/$B$1822)^(1/3)))/ABS(IF(ABS($E$1990)&gt;0.000000001,$E$1990,0.000000001))*$I$1836)</f>
        <v/>
      </c>
      <c r="E2056" s="19">
        <f>0.5*$E$1990+0.5*$AT$2088</f>
        <v/>
      </c>
      <c r="F2056" s="19">
        <f>$AT$2089</f>
        <v/>
      </c>
    </row>
    <row r="2057">
      <c r="D2057" s="19">
        <f>IF(ABS(IF(ABS($E$1991)&gt;0.000000001,$E$1991,0.000000001))=0,0,IF($E$1837&lt;=$B$1820,0,IF(ABS(IF(ABS($E$1991)&gt;0.000000001,$E$1991,0.000000001))&gt;=8*$B$1822,$H$1837,0.5*$H$1837*(ABS(IF(ABS($E$1991)&gt;0.000000001,$E$1991,0.000000001))/$B$1822)^(1/3)))/ABS(IF(ABS($E$1991)&gt;0.000000001,$E$1991,0.000000001))*$I$1837)</f>
        <v/>
      </c>
      <c r="E2057" s="19">
        <f>0.5*$E$1991+0.5*$AT$2090</f>
        <v/>
      </c>
      <c r="F2057" s="19">
        <f>$AT$2091</f>
        <v/>
      </c>
    </row>
    <row r="2058">
      <c r="D2058" s="19">
        <f>IF(ABS(IF(ABS($E$1992)&gt;0.000000001,$E$1992,0.000000001))=0,0,IF($E$1838&lt;=$B$1820,0,IF(ABS(IF(ABS($E$1992)&gt;0.000000001,$E$1992,0.000000001))&gt;=8*$B$1822,$H$1838,0.5*$H$1838*(ABS(IF(ABS($E$1992)&gt;0.000000001,$E$1992,0.000000001))/$B$1822)^(1/3)))/ABS(IF(ABS($E$1992)&gt;0.000000001,$E$1992,0.000000001))*$I$1838)</f>
        <v/>
      </c>
      <c r="E2058" s="19">
        <f>0.5*$E$1992+0.5*$AT$2092</f>
        <v/>
      </c>
      <c r="F2058" s="19">
        <f>$AT$2093</f>
        <v/>
      </c>
    </row>
    <row r="2059">
      <c r="D2059" s="19">
        <f>IF(ABS(IF(ABS($E$1993)&gt;0.000000001,$E$1993,0.000000001))=0,0,IF($E$1839&lt;=$B$1820,0,IF(ABS(IF(ABS($E$1993)&gt;0.000000001,$E$1993,0.000000001))&gt;=8*$B$1822,$H$1839,0.5*$H$1839*(ABS(IF(ABS($E$1993)&gt;0.000000001,$E$1993,0.000000001))/$B$1822)^(1/3)))/ABS(IF(ABS($E$1993)&gt;0.000000001,$E$1993,0.000000001))*$I$1839)</f>
        <v/>
      </c>
      <c r="E2059" s="19">
        <f>0.5*$E$1993+0.5*$AT$2094</f>
        <v/>
      </c>
      <c r="F2059" s="19">
        <f>$AT$2095</f>
        <v/>
      </c>
    </row>
    <row r="2060">
      <c r="D2060" s="19">
        <f>IF(ABS(IF(ABS($E$1994)&gt;0.000000001,$E$1994,0.000000001))=0,0,IF($E$1840&lt;=$B$1820,0,IF(ABS(IF(ABS($E$1994)&gt;0.000000001,$E$1994,0.000000001))&gt;=8*$B$1822,$H$1840,0.5*$H$1840*(ABS(IF(ABS($E$1994)&gt;0.000000001,$E$1994,0.000000001))/$B$1822)^(1/3)))/ABS(IF(ABS($E$1994)&gt;0.000000001,$E$1994,0.000000001))*$I$1840)</f>
        <v/>
      </c>
      <c r="E2060" s="19">
        <f>0.5*$E$1994+0.5*$AT$2096</f>
        <v/>
      </c>
      <c r="F2060" s="19">
        <f>$AT$2097</f>
        <v/>
      </c>
    </row>
    <row r="2061">
      <c r="D2061" s="19">
        <f>IF(ABS(IF(ABS($E$1995)&gt;0.000000001,$E$1995,0.000000001))=0,0,IF($E$1841&lt;=$B$1820,0,IF(ABS(IF(ABS($E$1995)&gt;0.000000001,$E$1995,0.000000001))&gt;=8*$B$1822,$H$1841,0.5*$H$1841*(ABS(IF(ABS($E$1995)&gt;0.000000001,$E$1995,0.000000001))/$B$1822)^(1/3)))/ABS(IF(ABS($E$1995)&gt;0.000000001,$E$1995,0.000000001))*$I$1841)</f>
        <v/>
      </c>
      <c r="E2061" s="19">
        <f>0.5*$E$1995+0.5*$AT$2098</f>
        <v/>
      </c>
      <c r="F2061" s="19">
        <f>$AT$2099</f>
        <v/>
      </c>
    </row>
    <row r="2062">
      <c r="D2062" s="19">
        <f>IF(ABS(IF(ABS($E$1996)&gt;0.000000001,$E$1996,0.000000001))=0,0,IF($E$1842&lt;=$B$1820,0,IF(ABS(IF(ABS($E$1996)&gt;0.000000001,$E$1996,0.000000001))&gt;=8*$B$1822,$H$1842,0.5*$H$1842*(ABS(IF(ABS($E$1996)&gt;0.000000001,$E$1996,0.000000001))/$B$1822)^(1/3)))/ABS(IF(ABS($E$1996)&gt;0.000000001,$E$1996,0.000000001))*$I$1842)</f>
        <v/>
      </c>
      <c r="E2062" s="19">
        <f>0.5*$E$1996+0.5*$AT$2100</f>
        <v/>
      </c>
      <c r="F2062" s="19">
        <f>$AT$2101</f>
        <v/>
      </c>
    </row>
    <row r="2063">
      <c r="D2063" s="19">
        <f>IF(ABS(IF(ABS($E$1997)&gt;0.000000001,$E$1997,0.000000001))=0,0,IF($E$1843&lt;=$B$1820,0,IF(ABS(IF(ABS($E$1997)&gt;0.000000001,$E$1997,0.000000001))&gt;=8*$B$1822,$H$1843,0.5*$H$1843*(ABS(IF(ABS($E$1997)&gt;0.000000001,$E$1997,0.000000001))/$B$1822)^(1/3)))/ABS(IF(ABS($E$1997)&gt;0.000000001,$E$1997,0.000000001))*$I$1843)</f>
        <v/>
      </c>
      <c r="E2063" s="19">
        <f>0.5*$E$1997+0.5*$AT$2102</f>
        <v/>
      </c>
      <c r="F2063" s="19">
        <f>$AT$2103</f>
        <v/>
      </c>
    </row>
    <row r="2064">
      <c r="D2064" s="19">
        <f>IF(ABS(IF(ABS($E$1998)&gt;0.000000001,$E$1998,0.000000001))=0,0,IF($E$1844&lt;=$B$1820,0,IF(ABS(IF(ABS($E$1998)&gt;0.000000001,$E$1998,0.000000001))&gt;=8*$B$1822,$H$1844,0.5*$H$1844*(ABS(IF(ABS($E$1998)&gt;0.000000001,$E$1998,0.000000001))/$B$1822)^(1/3)))/ABS(IF(ABS($E$1998)&gt;0.000000001,$E$1998,0.000000001))*$I$1844)</f>
        <v/>
      </c>
      <c r="E2064" s="19">
        <f>0.5*$E$1998+0.5*$AT$2104</f>
        <v/>
      </c>
      <c r="F2064" s="19">
        <f>$AT$2105</f>
        <v/>
      </c>
    </row>
    <row r="2065">
      <c r="D2065" s="19">
        <f>IF(ABS(IF(ABS($E$1999)&gt;0.000000001,$E$1999,0.000000001))=0,0,IF($E$1845&lt;=$B$1820,0,IF(ABS(IF(ABS($E$1999)&gt;0.000000001,$E$1999,0.000000001))&gt;=8*$B$1822,$H$1845,0.5*$H$1845*(ABS(IF(ABS($E$1999)&gt;0.000000001,$E$1999,0.000000001))/$B$1822)^(1/3)))/ABS(IF(ABS($E$1999)&gt;0.000000001,$E$1999,0.000000001))*$I$1845)</f>
        <v/>
      </c>
      <c r="E2065" s="19">
        <f>0.5*$E$1999+0.5*$AT$2106</f>
        <v/>
      </c>
      <c r="F2065" s="19">
        <f>$AT$2107</f>
        <v/>
      </c>
    </row>
    <row r="2066">
      <c r="D2066" s="19">
        <f>IF(ABS(IF(ABS($E$2000)&gt;0.000000001,$E$2000,0.000000001))=0,0,IF($E$1846&lt;=$B$1820,0,IF(ABS(IF(ABS($E$2000)&gt;0.000000001,$E$2000,0.000000001))&gt;=8*$B$1822,$H$1846,0.5*$H$1846*(ABS(IF(ABS($E$2000)&gt;0.000000001,$E$2000,0.000000001))/$B$1822)^(1/3)))/ABS(IF(ABS($E$2000)&gt;0.000000001,$E$2000,0.000000001))*$I$1846)</f>
        <v/>
      </c>
      <c r="E2066" s="19">
        <f>0.5*$E$2000+0.5*$AT$2108</f>
        <v/>
      </c>
      <c r="F2066" s="19">
        <f>$AT$2109</f>
        <v/>
      </c>
    </row>
    <row r="2068">
      <c r="D2068" s="21">
        <f>$B$1811+$D$2046</f>
        <v/>
      </c>
      <c r="E2068" s="21">
        <f>$B$1812</f>
        <v/>
      </c>
      <c r="F2068" s="21">
        <f>-$B$1811</f>
        <v/>
      </c>
      <c r="G2068" s="21">
        <f>$B$1812</f>
        <v/>
      </c>
      <c r="H2068" s="21" t="n">
        <v>0</v>
      </c>
      <c r="I2068" s="21" t="n">
        <v>0</v>
      </c>
      <c r="J2068" s="21" t="n">
        <v>0</v>
      </c>
      <c r="K2068" s="21" t="n">
        <v>0</v>
      </c>
      <c r="L2068" s="21" t="n">
        <v>0</v>
      </c>
      <c r="M2068" s="21" t="n">
        <v>0</v>
      </c>
      <c r="N2068" s="21" t="n">
        <v>0</v>
      </c>
      <c r="O2068" s="21" t="n">
        <v>0</v>
      </c>
      <c r="P2068" s="21" t="n">
        <v>0</v>
      </c>
      <c r="Q2068" s="21" t="n">
        <v>0</v>
      </c>
      <c r="R2068" s="21" t="n">
        <v>0</v>
      </c>
      <c r="S2068" s="21" t="n">
        <v>0</v>
      </c>
      <c r="T2068" s="21" t="n">
        <v>0</v>
      </c>
      <c r="U2068" s="21" t="n">
        <v>0</v>
      </c>
      <c r="V2068" s="21" t="n">
        <v>0</v>
      </c>
      <c r="W2068" s="21" t="n">
        <v>0</v>
      </c>
      <c r="X2068" s="21" t="n">
        <v>0</v>
      </c>
      <c r="Y2068" s="21" t="n">
        <v>0</v>
      </c>
      <c r="Z2068" s="21" t="n">
        <v>0</v>
      </c>
      <c r="AA2068" s="21" t="n">
        <v>0</v>
      </c>
      <c r="AB2068" s="21" t="n">
        <v>0</v>
      </c>
      <c r="AC2068" s="21" t="n">
        <v>0</v>
      </c>
      <c r="AD2068" s="21" t="n">
        <v>0</v>
      </c>
      <c r="AE2068" s="21" t="n">
        <v>0</v>
      </c>
      <c r="AF2068" s="21" t="n">
        <v>0</v>
      </c>
      <c r="AG2068" s="21" t="n">
        <v>0</v>
      </c>
      <c r="AH2068" s="21" t="n">
        <v>0</v>
      </c>
      <c r="AI2068" s="21" t="n">
        <v>0</v>
      </c>
      <c r="AJ2068" s="21" t="n">
        <v>0</v>
      </c>
      <c r="AK2068" s="21" t="n">
        <v>0</v>
      </c>
      <c r="AL2068" s="21" t="n">
        <v>0</v>
      </c>
      <c r="AM2068" s="21" t="n">
        <v>0</v>
      </c>
      <c r="AN2068" s="21" t="n">
        <v>0</v>
      </c>
      <c r="AO2068" s="21" t="n">
        <v>0</v>
      </c>
      <c r="AP2068" s="21" t="n">
        <v>0</v>
      </c>
      <c r="AQ2068" s="21" t="n">
        <v>0</v>
      </c>
      <c r="AR2068" s="21" t="n">
        <v>0</v>
      </c>
      <c r="AS2068" s="21" t="n">
        <v>0</v>
      </c>
      <c r="AT2068" s="19">
        <f t="array" ref="AT2068:AT2109">MMULT(MINVERSE($D$2068:$AS$2109),$D$1848:$D$1889)</f>
        <v/>
      </c>
    </row>
    <row r="2069">
      <c r="D2069" s="21">
        <f>$B$1812</f>
        <v/>
      </c>
      <c r="E2069" s="21">
        <f>$B$1813</f>
        <v/>
      </c>
      <c r="F2069" s="21">
        <f>-$B$1812</f>
        <v/>
      </c>
      <c r="G2069" s="21">
        <f>$B$1814</f>
        <v/>
      </c>
      <c r="H2069" s="21" t="n">
        <v>0</v>
      </c>
      <c r="I2069" s="21" t="n">
        <v>0</v>
      </c>
      <c r="J2069" s="21" t="n">
        <v>0</v>
      </c>
      <c r="K2069" s="21" t="n">
        <v>0</v>
      </c>
      <c r="L2069" s="21" t="n">
        <v>0</v>
      </c>
      <c r="M2069" s="21" t="n">
        <v>0</v>
      </c>
      <c r="N2069" s="21" t="n">
        <v>0</v>
      </c>
      <c r="O2069" s="21" t="n">
        <v>0</v>
      </c>
      <c r="P2069" s="21" t="n">
        <v>0</v>
      </c>
      <c r="Q2069" s="21" t="n">
        <v>0</v>
      </c>
      <c r="R2069" s="21" t="n">
        <v>0</v>
      </c>
      <c r="S2069" s="21" t="n">
        <v>0</v>
      </c>
      <c r="T2069" s="21" t="n">
        <v>0</v>
      </c>
      <c r="U2069" s="21" t="n">
        <v>0</v>
      </c>
      <c r="V2069" s="21" t="n">
        <v>0</v>
      </c>
      <c r="W2069" s="21" t="n">
        <v>0</v>
      </c>
      <c r="X2069" s="21" t="n">
        <v>0</v>
      </c>
      <c r="Y2069" s="21" t="n">
        <v>0</v>
      </c>
      <c r="Z2069" s="21" t="n">
        <v>0</v>
      </c>
      <c r="AA2069" s="21" t="n">
        <v>0</v>
      </c>
      <c r="AB2069" s="21" t="n">
        <v>0</v>
      </c>
      <c r="AC2069" s="21" t="n">
        <v>0</v>
      </c>
      <c r="AD2069" s="21" t="n">
        <v>0</v>
      </c>
      <c r="AE2069" s="21" t="n">
        <v>0</v>
      </c>
      <c r="AF2069" s="21" t="n">
        <v>0</v>
      </c>
      <c r="AG2069" s="21" t="n">
        <v>0</v>
      </c>
      <c r="AH2069" s="21" t="n">
        <v>0</v>
      </c>
      <c r="AI2069" s="21" t="n">
        <v>0</v>
      </c>
      <c r="AJ2069" s="21" t="n">
        <v>0</v>
      </c>
      <c r="AK2069" s="21" t="n">
        <v>0</v>
      </c>
      <c r="AL2069" s="21" t="n">
        <v>0</v>
      </c>
      <c r="AM2069" s="21" t="n">
        <v>0</v>
      </c>
      <c r="AN2069" s="21" t="n">
        <v>0</v>
      </c>
      <c r="AO2069" s="21" t="n">
        <v>0</v>
      </c>
      <c r="AP2069" s="21" t="n">
        <v>0</v>
      </c>
      <c r="AQ2069" s="21" t="n">
        <v>0</v>
      </c>
      <c r="AR2069" s="21" t="n">
        <v>0</v>
      </c>
      <c r="AS2069" s="21" t="n">
        <v>0</v>
      </c>
      <c r="AT2069" s="19" t="n"/>
    </row>
    <row r="2070">
      <c r="D2070" s="21">
        <f>-$B$1811</f>
        <v/>
      </c>
      <c r="E2070" s="21">
        <f>-$B$1812</f>
        <v/>
      </c>
      <c r="F2070" s="21">
        <f>2*$B$1811+$D$2047</f>
        <v/>
      </c>
      <c r="G2070" s="21">
        <f>0</f>
        <v/>
      </c>
      <c r="H2070" s="21">
        <f>-$B$1811</f>
        <v/>
      </c>
      <c r="I2070" s="21">
        <f>$B$1812</f>
        <v/>
      </c>
      <c r="J2070" s="21" t="n">
        <v>0</v>
      </c>
      <c r="K2070" s="21" t="n">
        <v>0</v>
      </c>
      <c r="L2070" s="21" t="n">
        <v>0</v>
      </c>
      <c r="M2070" s="21" t="n">
        <v>0</v>
      </c>
      <c r="N2070" s="21" t="n">
        <v>0</v>
      </c>
      <c r="O2070" s="21" t="n">
        <v>0</v>
      </c>
      <c r="P2070" s="21" t="n">
        <v>0</v>
      </c>
      <c r="Q2070" s="21" t="n">
        <v>0</v>
      </c>
      <c r="R2070" s="21" t="n">
        <v>0</v>
      </c>
      <c r="S2070" s="21" t="n">
        <v>0</v>
      </c>
      <c r="T2070" s="21" t="n">
        <v>0</v>
      </c>
      <c r="U2070" s="21" t="n">
        <v>0</v>
      </c>
      <c r="V2070" s="21" t="n">
        <v>0</v>
      </c>
      <c r="W2070" s="21" t="n">
        <v>0</v>
      </c>
      <c r="X2070" s="21" t="n">
        <v>0</v>
      </c>
      <c r="Y2070" s="21" t="n">
        <v>0</v>
      </c>
      <c r="Z2070" s="21" t="n">
        <v>0</v>
      </c>
      <c r="AA2070" s="21" t="n">
        <v>0</v>
      </c>
      <c r="AB2070" s="21" t="n">
        <v>0</v>
      </c>
      <c r="AC2070" s="21" t="n">
        <v>0</v>
      </c>
      <c r="AD2070" s="21" t="n">
        <v>0</v>
      </c>
      <c r="AE2070" s="21" t="n">
        <v>0</v>
      </c>
      <c r="AF2070" s="21" t="n">
        <v>0</v>
      </c>
      <c r="AG2070" s="21" t="n">
        <v>0</v>
      </c>
      <c r="AH2070" s="21" t="n">
        <v>0</v>
      </c>
      <c r="AI2070" s="21" t="n">
        <v>0</v>
      </c>
      <c r="AJ2070" s="21" t="n">
        <v>0</v>
      </c>
      <c r="AK2070" s="21" t="n">
        <v>0</v>
      </c>
      <c r="AL2070" s="21" t="n">
        <v>0</v>
      </c>
      <c r="AM2070" s="21" t="n">
        <v>0</v>
      </c>
      <c r="AN2070" s="21" t="n">
        <v>0</v>
      </c>
      <c r="AO2070" s="21" t="n">
        <v>0</v>
      </c>
      <c r="AP2070" s="21" t="n">
        <v>0</v>
      </c>
      <c r="AQ2070" s="21" t="n">
        <v>0</v>
      </c>
      <c r="AR2070" s="21" t="n">
        <v>0</v>
      </c>
      <c r="AS2070" s="21" t="n">
        <v>0</v>
      </c>
      <c r="AT2070" s="19" t="n"/>
    </row>
    <row r="2071">
      <c r="D2071" s="21">
        <f>$B$1812</f>
        <v/>
      </c>
      <c r="E2071" s="21">
        <f>$B$1814</f>
        <v/>
      </c>
      <c r="F2071" s="21">
        <f>0</f>
        <v/>
      </c>
      <c r="G2071" s="21">
        <f>2*$B$1813</f>
        <v/>
      </c>
      <c r="H2071" s="21">
        <f>-$B$1812</f>
        <v/>
      </c>
      <c r="I2071" s="21">
        <f>$B$1814</f>
        <v/>
      </c>
      <c r="J2071" s="21" t="n">
        <v>0</v>
      </c>
      <c r="K2071" s="21" t="n">
        <v>0</v>
      </c>
      <c r="L2071" s="21" t="n">
        <v>0</v>
      </c>
      <c r="M2071" s="21" t="n">
        <v>0</v>
      </c>
      <c r="N2071" s="21" t="n">
        <v>0</v>
      </c>
      <c r="O2071" s="21" t="n">
        <v>0</v>
      </c>
      <c r="P2071" s="21" t="n">
        <v>0</v>
      </c>
      <c r="Q2071" s="21" t="n">
        <v>0</v>
      </c>
      <c r="R2071" s="21" t="n">
        <v>0</v>
      </c>
      <c r="S2071" s="21" t="n">
        <v>0</v>
      </c>
      <c r="T2071" s="21" t="n">
        <v>0</v>
      </c>
      <c r="U2071" s="21" t="n">
        <v>0</v>
      </c>
      <c r="V2071" s="21" t="n">
        <v>0</v>
      </c>
      <c r="W2071" s="21" t="n">
        <v>0</v>
      </c>
      <c r="X2071" s="21" t="n">
        <v>0</v>
      </c>
      <c r="Y2071" s="21" t="n">
        <v>0</v>
      </c>
      <c r="Z2071" s="21" t="n">
        <v>0</v>
      </c>
      <c r="AA2071" s="21" t="n">
        <v>0</v>
      </c>
      <c r="AB2071" s="21" t="n">
        <v>0</v>
      </c>
      <c r="AC2071" s="21" t="n">
        <v>0</v>
      </c>
      <c r="AD2071" s="21" t="n">
        <v>0</v>
      </c>
      <c r="AE2071" s="21" t="n">
        <v>0</v>
      </c>
      <c r="AF2071" s="21" t="n">
        <v>0</v>
      </c>
      <c r="AG2071" s="21" t="n">
        <v>0</v>
      </c>
      <c r="AH2071" s="21" t="n">
        <v>0</v>
      </c>
      <c r="AI2071" s="21" t="n">
        <v>0</v>
      </c>
      <c r="AJ2071" s="21" t="n">
        <v>0</v>
      </c>
      <c r="AK2071" s="21" t="n">
        <v>0</v>
      </c>
      <c r="AL2071" s="21" t="n">
        <v>0</v>
      </c>
      <c r="AM2071" s="21" t="n">
        <v>0</v>
      </c>
      <c r="AN2071" s="21" t="n">
        <v>0</v>
      </c>
      <c r="AO2071" s="21" t="n">
        <v>0</v>
      </c>
      <c r="AP2071" s="21" t="n">
        <v>0</v>
      </c>
      <c r="AQ2071" s="21" t="n">
        <v>0</v>
      </c>
      <c r="AR2071" s="21" t="n">
        <v>0</v>
      </c>
      <c r="AS2071" s="21" t="n">
        <v>0</v>
      </c>
      <c r="AT2071" s="19" t="n"/>
    </row>
    <row r="2072">
      <c r="D2072" s="21" t="n">
        <v>0</v>
      </c>
      <c r="E2072" s="21" t="n">
        <v>0</v>
      </c>
      <c r="F2072" s="21">
        <f>-$B$1811</f>
        <v/>
      </c>
      <c r="G2072" s="21">
        <f>-$B$1812</f>
        <v/>
      </c>
      <c r="H2072" s="21">
        <f>2*$B$1811+$D$2048</f>
        <v/>
      </c>
      <c r="I2072" s="21">
        <f>0</f>
        <v/>
      </c>
      <c r="J2072" s="21">
        <f>-$B$1811</f>
        <v/>
      </c>
      <c r="K2072" s="21">
        <f>$B$1812</f>
        <v/>
      </c>
      <c r="L2072" s="21" t="n">
        <v>0</v>
      </c>
      <c r="M2072" s="21" t="n">
        <v>0</v>
      </c>
      <c r="N2072" s="21" t="n">
        <v>0</v>
      </c>
      <c r="O2072" s="21" t="n">
        <v>0</v>
      </c>
      <c r="P2072" s="21" t="n">
        <v>0</v>
      </c>
      <c r="Q2072" s="21" t="n">
        <v>0</v>
      </c>
      <c r="R2072" s="21" t="n">
        <v>0</v>
      </c>
      <c r="S2072" s="21" t="n">
        <v>0</v>
      </c>
      <c r="T2072" s="21" t="n">
        <v>0</v>
      </c>
      <c r="U2072" s="21" t="n">
        <v>0</v>
      </c>
      <c r="V2072" s="21" t="n">
        <v>0</v>
      </c>
      <c r="W2072" s="21" t="n">
        <v>0</v>
      </c>
      <c r="X2072" s="21" t="n">
        <v>0</v>
      </c>
      <c r="Y2072" s="21" t="n">
        <v>0</v>
      </c>
      <c r="Z2072" s="21" t="n">
        <v>0</v>
      </c>
      <c r="AA2072" s="21" t="n">
        <v>0</v>
      </c>
      <c r="AB2072" s="21" t="n">
        <v>0</v>
      </c>
      <c r="AC2072" s="21" t="n">
        <v>0</v>
      </c>
      <c r="AD2072" s="21" t="n">
        <v>0</v>
      </c>
      <c r="AE2072" s="21" t="n">
        <v>0</v>
      </c>
      <c r="AF2072" s="21" t="n">
        <v>0</v>
      </c>
      <c r="AG2072" s="21" t="n">
        <v>0</v>
      </c>
      <c r="AH2072" s="21" t="n">
        <v>0</v>
      </c>
      <c r="AI2072" s="21" t="n">
        <v>0</v>
      </c>
      <c r="AJ2072" s="21" t="n">
        <v>0</v>
      </c>
      <c r="AK2072" s="21" t="n">
        <v>0</v>
      </c>
      <c r="AL2072" s="21" t="n">
        <v>0</v>
      </c>
      <c r="AM2072" s="21" t="n">
        <v>0</v>
      </c>
      <c r="AN2072" s="21" t="n">
        <v>0</v>
      </c>
      <c r="AO2072" s="21" t="n">
        <v>0</v>
      </c>
      <c r="AP2072" s="21" t="n">
        <v>0</v>
      </c>
      <c r="AQ2072" s="21" t="n">
        <v>0</v>
      </c>
      <c r="AR2072" s="21" t="n">
        <v>0</v>
      </c>
      <c r="AS2072" s="21" t="n">
        <v>0</v>
      </c>
      <c r="AT2072" s="19" t="n"/>
    </row>
    <row r="2073">
      <c r="D2073" s="21" t="n">
        <v>0</v>
      </c>
      <c r="E2073" s="21" t="n">
        <v>0</v>
      </c>
      <c r="F2073" s="21">
        <f>$B$1812</f>
        <v/>
      </c>
      <c r="G2073" s="21">
        <f>$B$1814</f>
        <v/>
      </c>
      <c r="H2073" s="21">
        <f>0</f>
        <v/>
      </c>
      <c r="I2073" s="21">
        <f>2*$B$1813</f>
        <v/>
      </c>
      <c r="J2073" s="21">
        <f>-$B$1812</f>
        <v/>
      </c>
      <c r="K2073" s="21">
        <f>$B$1814</f>
        <v/>
      </c>
      <c r="L2073" s="21" t="n">
        <v>0</v>
      </c>
      <c r="M2073" s="21" t="n">
        <v>0</v>
      </c>
      <c r="N2073" s="21" t="n">
        <v>0</v>
      </c>
      <c r="O2073" s="21" t="n">
        <v>0</v>
      </c>
      <c r="P2073" s="21" t="n">
        <v>0</v>
      </c>
      <c r="Q2073" s="21" t="n">
        <v>0</v>
      </c>
      <c r="R2073" s="21" t="n">
        <v>0</v>
      </c>
      <c r="S2073" s="21" t="n">
        <v>0</v>
      </c>
      <c r="T2073" s="21" t="n">
        <v>0</v>
      </c>
      <c r="U2073" s="21" t="n">
        <v>0</v>
      </c>
      <c r="V2073" s="21" t="n">
        <v>0</v>
      </c>
      <c r="W2073" s="21" t="n">
        <v>0</v>
      </c>
      <c r="X2073" s="21" t="n">
        <v>0</v>
      </c>
      <c r="Y2073" s="21" t="n">
        <v>0</v>
      </c>
      <c r="Z2073" s="21" t="n">
        <v>0</v>
      </c>
      <c r="AA2073" s="21" t="n">
        <v>0</v>
      </c>
      <c r="AB2073" s="21" t="n">
        <v>0</v>
      </c>
      <c r="AC2073" s="21" t="n">
        <v>0</v>
      </c>
      <c r="AD2073" s="21" t="n">
        <v>0</v>
      </c>
      <c r="AE2073" s="21" t="n">
        <v>0</v>
      </c>
      <c r="AF2073" s="21" t="n">
        <v>0</v>
      </c>
      <c r="AG2073" s="21" t="n">
        <v>0</v>
      </c>
      <c r="AH2073" s="21" t="n">
        <v>0</v>
      </c>
      <c r="AI2073" s="21" t="n">
        <v>0</v>
      </c>
      <c r="AJ2073" s="21" t="n">
        <v>0</v>
      </c>
      <c r="AK2073" s="21" t="n">
        <v>0</v>
      </c>
      <c r="AL2073" s="21" t="n">
        <v>0</v>
      </c>
      <c r="AM2073" s="21" t="n">
        <v>0</v>
      </c>
      <c r="AN2073" s="21" t="n">
        <v>0</v>
      </c>
      <c r="AO2073" s="21" t="n">
        <v>0</v>
      </c>
      <c r="AP2073" s="21" t="n">
        <v>0</v>
      </c>
      <c r="AQ2073" s="21" t="n">
        <v>0</v>
      </c>
      <c r="AR2073" s="21" t="n">
        <v>0</v>
      </c>
      <c r="AS2073" s="21" t="n">
        <v>0</v>
      </c>
      <c r="AT2073" s="19" t="n"/>
    </row>
    <row r="2074">
      <c r="D2074" s="21" t="n">
        <v>0</v>
      </c>
      <c r="E2074" s="21" t="n">
        <v>0</v>
      </c>
      <c r="F2074" s="21" t="n">
        <v>0</v>
      </c>
      <c r="G2074" s="21" t="n">
        <v>0</v>
      </c>
      <c r="H2074" s="21">
        <f>-$B$1811</f>
        <v/>
      </c>
      <c r="I2074" s="21">
        <f>-$B$1812</f>
        <v/>
      </c>
      <c r="J2074" s="21">
        <f>2*$B$1811+$D$2049</f>
        <v/>
      </c>
      <c r="K2074" s="21">
        <f>0</f>
        <v/>
      </c>
      <c r="L2074" s="21">
        <f>-$B$1811</f>
        <v/>
      </c>
      <c r="M2074" s="21">
        <f>$B$1812</f>
        <v/>
      </c>
      <c r="N2074" s="21" t="n">
        <v>0</v>
      </c>
      <c r="O2074" s="21" t="n">
        <v>0</v>
      </c>
      <c r="P2074" s="21" t="n">
        <v>0</v>
      </c>
      <c r="Q2074" s="21" t="n">
        <v>0</v>
      </c>
      <c r="R2074" s="21" t="n">
        <v>0</v>
      </c>
      <c r="S2074" s="21" t="n">
        <v>0</v>
      </c>
      <c r="T2074" s="21" t="n">
        <v>0</v>
      </c>
      <c r="U2074" s="21" t="n">
        <v>0</v>
      </c>
      <c r="V2074" s="21" t="n">
        <v>0</v>
      </c>
      <c r="W2074" s="21" t="n">
        <v>0</v>
      </c>
      <c r="X2074" s="21" t="n">
        <v>0</v>
      </c>
      <c r="Y2074" s="21" t="n">
        <v>0</v>
      </c>
      <c r="Z2074" s="21" t="n">
        <v>0</v>
      </c>
      <c r="AA2074" s="21" t="n">
        <v>0</v>
      </c>
      <c r="AB2074" s="21" t="n">
        <v>0</v>
      </c>
      <c r="AC2074" s="21" t="n">
        <v>0</v>
      </c>
      <c r="AD2074" s="21" t="n">
        <v>0</v>
      </c>
      <c r="AE2074" s="21" t="n">
        <v>0</v>
      </c>
      <c r="AF2074" s="21" t="n">
        <v>0</v>
      </c>
      <c r="AG2074" s="21" t="n">
        <v>0</v>
      </c>
      <c r="AH2074" s="21" t="n">
        <v>0</v>
      </c>
      <c r="AI2074" s="21" t="n">
        <v>0</v>
      </c>
      <c r="AJ2074" s="21" t="n">
        <v>0</v>
      </c>
      <c r="AK2074" s="21" t="n">
        <v>0</v>
      </c>
      <c r="AL2074" s="21" t="n">
        <v>0</v>
      </c>
      <c r="AM2074" s="21" t="n">
        <v>0</v>
      </c>
      <c r="AN2074" s="21" t="n">
        <v>0</v>
      </c>
      <c r="AO2074" s="21" t="n">
        <v>0</v>
      </c>
      <c r="AP2074" s="21" t="n">
        <v>0</v>
      </c>
      <c r="AQ2074" s="21" t="n">
        <v>0</v>
      </c>
      <c r="AR2074" s="21" t="n">
        <v>0</v>
      </c>
      <c r="AS2074" s="21" t="n">
        <v>0</v>
      </c>
      <c r="AT2074" s="19" t="n"/>
    </row>
    <row r="2075">
      <c r="D2075" s="21" t="n">
        <v>0</v>
      </c>
      <c r="E2075" s="21" t="n">
        <v>0</v>
      </c>
      <c r="F2075" s="21" t="n">
        <v>0</v>
      </c>
      <c r="G2075" s="21" t="n">
        <v>0</v>
      </c>
      <c r="H2075" s="21">
        <f>$B$1812</f>
        <v/>
      </c>
      <c r="I2075" s="21">
        <f>$B$1814</f>
        <v/>
      </c>
      <c r="J2075" s="21">
        <f>0</f>
        <v/>
      </c>
      <c r="K2075" s="21">
        <f>2*$B$1813</f>
        <v/>
      </c>
      <c r="L2075" s="21">
        <f>-$B$1812</f>
        <v/>
      </c>
      <c r="M2075" s="21">
        <f>$B$1814</f>
        <v/>
      </c>
      <c r="N2075" s="21" t="n">
        <v>0</v>
      </c>
      <c r="O2075" s="21" t="n">
        <v>0</v>
      </c>
      <c r="P2075" s="21" t="n">
        <v>0</v>
      </c>
      <c r="Q2075" s="21" t="n">
        <v>0</v>
      </c>
      <c r="R2075" s="21" t="n">
        <v>0</v>
      </c>
      <c r="S2075" s="21" t="n">
        <v>0</v>
      </c>
      <c r="T2075" s="21" t="n">
        <v>0</v>
      </c>
      <c r="U2075" s="21" t="n">
        <v>0</v>
      </c>
      <c r="V2075" s="21" t="n">
        <v>0</v>
      </c>
      <c r="W2075" s="21" t="n">
        <v>0</v>
      </c>
      <c r="X2075" s="21" t="n">
        <v>0</v>
      </c>
      <c r="Y2075" s="21" t="n">
        <v>0</v>
      </c>
      <c r="Z2075" s="21" t="n">
        <v>0</v>
      </c>
      <c r="AA2075" s="21" t="n">
        <v>0</v>
      </c>
      <c r="AB2075" s="21" t="n">
        <v>0</v>
      </c>
      <c r="AC2075" s="21" t="n">
        <v>0</v>
      </c>
      <c r="AD2075" s="21" t="n">
        <v>0</v>
      </c>
      <c r="AE2075" s="21" t="n">
        <v>0</v>
      </c>
      <c r="AF2075" s="21" t="n">
        <v>0</v>
      </c>
      <c r="AG2075" s="21" t="n">
        <v>0</v>
      </c>
      <c r="AH2075" s="21" t="n">
        <v>0</v>
      </c>
      <c r="AI2075" s="21" t="n">
        <v>0</v>
      </c>
      <c r="AJ2075" s="21" t="n">
        <v>0</v>
      </c>
      <c r="AK2075" s="21" t="n">
        <v>0</v>
      </c>
      <c r="AL2075" s="21" t="n">
        <v>0</v>
      </c>
      <c r="AM2075" s="21" t="n">
        <v>0</v>
      </c>
      <c r="AN2075" s="21" t="n">
        <v>0</v>
      </c>
      <c r="AO2075" s="21" t="n">
        <v>0</v>
      </c>
      <c r="AP2075" s="21" t="n">
        <v>0</v>
      </c>
      <c r="AQ2075" s="21" t="n">
        <v>0</v>
      </c>
      <c r="AR2075" s="21" t="n">
        <v>0</v>
      </c>
      <c r="AS2075" s="21" t="n">
        <v>0</v>
      </c>
      <c r="AT2075" s="19" t="n"/>
    </row>
    <row r="2076">
      <c r="D2076" s="21" t="n">
        <v>0</v>
      </c>
      <c r="E2076" s="21" t="n">
        <v>0</v>
      </c>
      <c r="F2076" s="21" t="n">
        <v>0</v>
      </c>
      <c r="G2076" s="21" t="n">
        <v>0</v>
      </c>
      <c r="H2076" s="21" t="n">
        <v>0</v>
      </c>
      <c r="I2076" s="21" t="n">
        <v>0</v>
      </c>
      <c r="J2076" s="21">
        <f>-$B$1811</f>
        <v/>
      </c>
      <c r="K2076" s="21">
        <f>-$B$1812</f>
        <v/>
      </c>
      <c r="L2076" s="21">
        <f>2*$B$1811+$D$2050</f>
        <v/>
      </c>
      <c r="M2076" s="21">
        <f>0</f>
        <v/>
      </c>
      <c r="N2076" s="21">
        <f>-$B$1811</f>
        <v/>
      </c>
      <c r="O2076" s="21">
        <f>$B$1812</f>
        <v/>
      </c>
      <c r="P2076" s="21" t="n">
        <v>0</v>
      </c>
      <c r="Q2076" s="21" t="n">
        <v>0</v>
      </c>
      <c r="R2076" s="21" t="n">
        <v>0</v>
      </c>
      <c r="S2076" s="21" t="n">
        <v>0</v>
      </c>
      <c r="T2076" s="21" t="n">
        <v>0</v>
      </c>
      <c r="U2076" s="21" t="n">
        <v>0</v>
      </c>
      <c r="V2076" s="21" t="n">
        <v>0</v>
      </c>
      <c r="W2076" s="21" t="n">
        <v>0</v>
      </c>
      <c r="X2076" s="21" t="n">
        <v>0</v>
      </c>
      <c r="Y2076" s="21" t="n">
        <v>0</v>
      </c>
      <c r="Z2076" s="21" t="n">
        <v>0</v>
      </c>
      <c r="AA2076" s="21" t="n">
        <v>0</v>
      </c>
      <c r="AB2076" s="21" t="n">
        <v>0</v>
      </c>
      <c r="AC2076" s="21" t="n">
        <v>0</v>
      </c>
      <c r="AD2076" s="21" t="n">
        <v>0</v>
      </c>
      <c r="AE2076" s="21" t="n">
        <v>0</v>
      </c>
      <c r="AF2076" s="21" t="n">
        <v>0</v>
      </c>
      <c r="AG2076" s="21" t="n">
        <v>0</v>
      </c>
      <c r="AH2076" s="21" t="n">
        <v>0</v>
      </c>
      <c r="AI2076" s="21" t="n">
        <v>0</v>
      </c>
      <c r="AJ2076" s="21" t="n">
        <v>0</v>
      </c>
      <c r="AK2076" s="21" t="n">
        <v>0</v>
      </c>
      <c r="AL2076" s="21" t="n">
        <v>0</v>
      </c>
      <c r="AM2076" s="21" t="n">
        <v>0</v>
      </c>
      <c r="AN2076" s="21" t="n">
        <v>0</v>
      </c>
      <c r="AO2076" s="21" t="n">
        <v>0</v>
      </c>
      <c r="AP2076" s="21" t="n">
        <v>0</v>
      </c>
      <c r="AQ2076" s="21" t="n">
        <v>0</v>
      </c>
      <c r="AR2076" s="21" t="n">
        <v>0</v>
      </c>
      <c r="AS2076" s="21" t="n">
        <v>0</v>
      </c>
      <c r="AT2076" s="19" t="n"/>
    </row>
    <row r="2077">
      <c r="D2077" s="21" t="n">
        <v>0</v>
      </c>
      <c r="E2077" s="21" t="n">
        <v>0</v>
      </c>
      <c r="F2077" s="21" t="n">
        <v>0</v>
      </c>
      <c r="G2077" s="21" t="n">
        <v>0</v>
      </c>
      <c r="H2077" s="21" t="n">
        <v>0</v>
      </c>
      <c r="I2077" s="21" t="n">
        <v>0</v>
      </c>
      <c r="J2077" s="21">
        <f>$B$1812</f>
        <v/>
      </c>
      <c r="K2077" s="21">
        <f>$B$1814</f>
        <v/>
      </c>
      <c r="L2077" s="21">
        <f>0</f>
        <v/>
      </c>
      <c r="M2077" s="21">
        <f>2*$B$1813</f>
        <v/>
      </c>
      <c r="N2077" s="21">
        <f>-$B$1812</f>
        <v/>
      </c>
      <c r="O2077" s="21">
        <f>$B$1814</f>
        <v/>
      </c>
      <c r="P2077" s="21" t="n">
        <v>0</v>
      </c>
      <c r="Q2077" s="21" t="n">
        <v>0</v>
      </c>
      <c r="R2077" s="21" t="n">
        <v>0</v>
      </c>
      <c r="S2077" s="21" t="n">
        <v>0</v>
      </c>
      <c r="T2077" s="21" t="n">
        <v>0</v>
      </c>
      <c r="U2077" s="21" t="n">
        <v>0</v>
      </c>
      <c r="V2077" s="21" t="n">
        <v>0</v>
      </c>
      <c r="W2077" s="21" t="n">
        <v>0</v>
      </c>
      <c r="X2077" s="21" t="n">
        <v>0</v>
      </c>
      <c r="Y2077" s="21" t="n">
        <v>0</v>
      </c>
      <c r="Z2077" s="21" t="n">
        <v>0</v>
      </c>
      <c r="AA2077" s="21" t="n">
        <v>0</v>
      </c>
      <c r="AB2077" s="21" t="n">
        <v>0</v>
      </c>
      <c r="AC2077" s="21" t="n">
        <v>0</v>
      </c>
      <c r="AD2077" s="21" t="n">
        <v>0</v>
      </c>
      <c r="AE2077" s="21" t="n">
        <v>0</v>
      </c>
      <c r="AF2077" s="21" t="n">
        <v>0</v>
      </c>
      <c r="AG2077" s="21" t="n">
        <v>0</v>
      </c>
      <c r="AH2077" s="21" t="n">
        <v>0</v>
      </c>
      <c r="AI2077" s="21" t="n">
        <v>0</v>
      </c>
      <c r="AJ2077" s="21" t="n">
        <v>0</v>
      </c>
      <c r="AK2077" s="21" t="n">
        <v>0</v>
      </c>
      <c r="AL2077" s="21" t="n">
        <v>0</v>
      </c>
      <c r="AM2077" s="21" t="n">
        <v>0</v>
      </c>
      <c r="AN2077" s="21" t="n">
        <v>0</v>
      </c>
      <c r="AO2077" s="21" t="n">
        <v>0</v>
      </c>
      <c r="AP2077" s="21" t="n">
        <v>0</v>
      </c>
      <c r="AQ2077" s="21" t="n">
        <v>0</v>
      </c>
      <c r="AR2077" s="21" t="n">
        <v>0</v>
      </c>
      <c r="AS2077" s="21" t="n">
        <v>0</v>
      </c>
      <c r="AT2077" s="19" t="n"/>
    </row>
    <row r="2078">
      <c r="D2078" s="21" t="n">
        <v>0</v>
      </c>
      <c r="E2078" s="21" t="n">
        <v>0</v>
      </c>
      <c r="F2078" s="21" t="n">
        <v>0</v>
      </c>
      <c r="G2078" s="21" t="n">
        <v>0</v>
      </c>
      <c r="H2078" s="21" t="n">
        <v>0</v>
      </c>
      <c r="I2078" s="21" t="n">
        <v>0</v>
      </c>
      <c r="J2078" s="21" t="n">
        <v>0</v>
      </c>
      <c r="K2078" s="21" t="n">
        <v>0</v>
      </c>
      <c r="L2078" s="21">
        <f>-$B$1811</f>
        <v/>
      </c>
      <c r="M2078" s="21">
        <f>-$B$1812</f>
        <v/>
      </c>
      <c r="N2078" s="21">
        <f>2*$B$1811+$D$2051</f>
        <v/>
      </c>
      <c r="O2078" s="21">
        <f>0</f>
        <v/>
      </c>
      <c r="P2078" s="21">
        <f>-$B$1811</f>
        <v/>
      </c>
      <c r="Q2078" s="21">
        <f>$B$1812</f>
        <v/>
      </c>
      <c r="R2078" s="21" t="n">
        <v>0</v>
      </c>
      <c r="S2078" s="21" t="n">
        <v>0</v>
      </c>
      <c r="T2078" s="21" t="n">
        <v>0</v>
      </c>
      <c r="U2078" s="21" t="n">
        <v>0</v>
      </c>
      <c r="V2078" s="21" t="n">
        <v>0</v>
      </c>
      <c r="W2078" s="21" t="n">
        <v>0</v>
      </c>
      <c r="X2078" s="21" t="n">
        <v>0</v>
      </c>
      <c r="Y2078" s="21" t="n">
        <v>0</v>
      </c>
      <c r="Z2078" s="21" t="n">
        <v>0</v>
      </c>
      <c r="AA2078" s="21" t="n">
        <v>0</v>
      </c>
      <c r="AB2078" s="21" t="n">
        <v>0</v>
      </c>
      <c r="AC2078" s="21" t="n">
        <v>0</v>
      </c>
      <c r="AD2078" s="21" t="n">
        <v>0</v>
      </c>
      <c r="AE2078" s="21" t="n">
        <v>0</v>
      </c>
      <c r="AF2078" s="21" t="n">
        <v>0</v>
      </c>
      <c r="AG2078" s="21" t="n">
        <v>0</v>
      </c>
      <c r="AH2078" s="21" t="n">
        <v>0</v>
      </c>
      <c r="AI2078" s="21" t="n">
        <v>0</v>
      </c>
      <c r="AJ2078" s="21" t="n">
        <v>0</v>
      </c>
      <c r="AK2078" s="21" t="n">
        <v>0</v>
      </c>
      <c r="AL2078" s="21" t="n">
        <v>0</v>
      </c>
      <c r="AM2078" s="21" t="n">
        <v>0</v>
      </c>
      <c r="AN2078" s="21" t="n">
        <v>0</v>
      </c>
      <c r="AO2078" s="21" t="n">
        <v>0</v>
      </c>
      <c r="AP2078" s="21" t="n">
        <v>0</v>
      </c>
      <c r="AQ2078" s="21" t="n">
        <v>0</v>
      </c>
      <c r="AR2078" s="21" t="n">
        <v>0</v>
      </c>
      <c r="AS2078" s="21" t="n">
        <v>0</v>
      </c>
      <c r="AT2078" s="19" t="n"/>
    </row>
    <row r="2079">
      <c r="D2079" s="21" t="n">
        <v>0</v>
      </c>
      <c r="E2079" s="21" t="n">
        <v>0</v>
      </c>
      <c r="F2079" s="21" t="n">
        <v>0</v>
      </c>
      <c r="G2079" s="21" t="n">
        <v>0</v>
      </c>
      <c r="H2079" s="21" t="n">
        <v>0</v>
      </c>
      <c r="I2079" s="21" t="n">
        <v>0</v>
      </c>
      <c r="J2079" s="21" t="n">
        <v>0</v>
      </c>
      <c r="K2079" s="21" t="n">
        <v>0</v>
      </c>
      <c r="L2079" s="21">
        <f>$B$1812</f>
        <v/>
      </c>
      <c r="M2079" s="21">
        <f>$B$1814</f>
        <v/>
      </c>
      <c r="N2079" s="21">
        <f>0</f>
        <v/>
      </c>
      <c r="O2079" s="21">
        <f>2*$B$1813</f>
        <v/>
      </c>
      <c r="P2079" s="21">
        <f>-$B$1812</f>
        <v/>
      </c>
      <c r="Q2079" s="21">
        <f>$B$1814</f>
        <v/>
      </c>
      <c r="R2079" s="21" t="n">
        <v>0</v>
      </c>
      <c r="S2079" s="21" t="n">
        <v>0</v>
      </c>
      <c r="T2079" s="21" t="n">
        <v>0</v>
      </c>
      <c r="U2079" s="21" t="n">
        <v>0</v>
      </c>
      <c r="V2079" s="21" t="n">
        <v>0</v>
      </c>
      <c r="W2079" s="21" t="n">
        <v>0</v>
      </c>
      <c r="X2079" s="21" t="n">
        <v>0</v>
      </c>
      <c r="Y2079" s="21" t="n">
        <v>0</v>
      </c>
      <c r="Z2079" s="21" t="n">
        <v>0</v>
      </c>
      <c r="AA2079" s="21" t="n">
        <v>0</v>
      </c>
      <c r="AB2079" s="21" t="n">
        <v>0</v>
      </c>
      <c r="AC2079" s="21" t="n">
        <v>0</v>
      </c>
      <c r="AD2079" s="21" t="n">
        <v>0</v>
      </c>
      <c r="AE2079" s="21" t="n">
        <v>0</v>
      </c>
      <c r="AF2079" s="21" t="n">
        <v>0</v>
      </c>
      <c r="AG2079" s="21" t="n">
        <v>0</v>
      </c>
      <c r="AH2079" s="21" t="n">
        <v>0</v>
      </c>
      <c r="AI2079" s="21" t="n">
        <v>0</v>
      </c>
      <c r="AJ2079" s="21" t="n">
        <v>0</v>
      </c>
      <c r="AK2079" s="21" t="n">
        <v>0</v>
      </c>
      <c r="AL2079" s="21" t="n">
        <v>0</v>
      </c>
      <c r="AM2079" s="21" t="n">
        <v>0</v>
      </c>
      <c r="AN2079" s="21" t="n">
        <v>0</v>
      </c>
      <c r="AO2079" s="21" t="n">
        <v>0</v>
      </c>
      <c r="AP2079" s="21" t="n">
        <v>0</v>
      </c>
      <c r="AQ2079" s="21" t="n">
        <v>0</v>
      </c>
      <c r="AR2079" s="21" t="n">
        <v>0</v>
      </c>
      <c r="AS2079" s="21" t="n">
        <v>0</v>
      </c>
      <c r="AT2079" s="19" t="n"/>
    </row>
    <row r="2080">
      <c r="D2080" s="21" t="n">
        <v>0</v>
      </c>
      <c r="E2080" s="21" t="n">
        <v>0</v>
      </c>
      <c r="F2080" s="21" t="n">
        <v>0</v>
      </c>
      <c r="G2080" s="21" t="n">
        <v>0</v>
      </c>
      <c r="H2080" s="21" t="n">
        <v>0</v>
      </c>
      <c r="I2080" s="21" t="n">
        <v>0</v>
      </c>
      <c r="J2080" s="21" t="n">
        <v>0</v>
      </c>
      <c r="K2080" s="21" t="n">
        <v>0</v>
      </c>
      <c r="L2080" s="21" t="n">
        <v>0</v>
      </c>
      <c r="M2080" s="21" t="n">
        <v>0</v>
      </c>
      <c r="N2080" s="21">
        <f>-$B$1811</f>
        <v/>
      </c>
      <c r="O2080" s="21">
        <f>-$B$1812</f>
        <v/>
      </c>
      <c r="P2080" s="21">
        <f>2*$B$1811+$D$2052</f>
        <v/>
      </c>
      <c r="Q2080" s="21">
        <f>0</f>
        <v/>
      </c>
      <c r="R2080" s="21">
        <f>-$B$1811</f>
        <v/>
      </c>
      <c r="S2080" s="21">
        <f>$B$1812</f>
        <v/>
      </c>
      <c r="T2080" s="21" t="n">
        <v>0</v>
      </c>
      <c r="U2080" s="21" t="n">
        <v>0</v>
      </c>
      <c r="V2080" s="21" t="n">
        <v>0</v>
      </c>
      <c r="W2080" s="21" t="n">
        <v>0</v>
      </c>
      <c r="X2080" s="21" t="n">
        <v>0</v>
      </c>
      <c r="Y2080" s="21" t="n">
        <v>0</v>
      </c>
      <c r="Z2080" s="21" t="n">
        <v>0</v>
      </c>
      <c r="AA2080" s="21" t="n">
        <v>0</v>
      </c>
      <c r="AB2080" s="21" t="n">
        <v>0</v>
      </c>
      <c r="AC2080" s="21" t="n">
        <v>0</v>
      </c>
      <c r="AD2080" s="21" t="n">
        <v>0</v>
      </c>
      <c r="AE2080" s="21" t="n">
        <v>0</v>
      </c>
      <c r="AF2080" s="21" t="n">
        <v>0</v>
      </c>
      <c r="AG2080" s="21" t="n">
        <v>0</v>
      </c>
      <c r="AH2080" s="21" t="n">
        <v>0</v>
      </c>
      <c r="AI2080" s="21" t="n">
        <v>0</v>
      </c>
      <c r="AJ2080" s="21" t="n">
        <v>0</v>
      </c>
      <c r="AK2080" s="21" t="n">
        <v>0</v>
      </c>
      <c r="AL2080" s="21" t="n">
        <v>0</v>
      </c>
      <c r="AM2080" s="21" t="n">
        <v>0</v>
      </c>
      <c r="AN2080" s="21" t="n">
        <v>0</v>
      </c>
      <c r="AO2080" s="21" t="n">
        <v>0</v>
      </c>
      <c r="AP2080" s="21" t="n">
        <v>0</v>
      </c>
      <c r="AQ2080" s="21" t="n">
        <v>0</v>
      </c>
      <c r="AR2080" s="21" t="n">
        <v>0</v>
      </c>
      <c r="AS2080" s="21" t="n">
        <v>0</v>
      </c>
      <c r="AT2080" s="19" t="n"/>
    </row>
    <row r="2081">
      <c r="D2081" s="21" t="n">
        <v>0</v>
      </c>
      <c r="E2081" s="21" t="n">
        <v>0</v>
      </c>
      <c r="F2081" s="21" t="n">
        <v>0</v>
      </c>
      <c r="G2081" s="21" t="n">
        <v>0</v>
      </c>
      <c r="H2081" s="21" t="n">
        <v>0</v>
      </c>
      <c r="I2081" s="21" t="n">
        <v>0</v>
      </c>
      <c r="J2081" s="21" t="n">
        <v>0</v>
      </c>
      <c r="K2081" s="21" t="n">
        <v>0</v>
      </c>
      <c r="L2081" s="21" t="n">
        <v>0</v>
      </c>
      <c r="M2081" s="21" t="n">
        <v>0</v>
      </c>
      <c r="N2081" s="21">
        <f>$B$1812</f>
        <v/>
      </c>
      <c r="O2081" s="21">
        <f>$B$1814</f>
        <v/>
      </c>
      <c r="P2081" s="21">
        <f>0</f>
        <v/>
      </c>
      <c r="Q2081" s="21">
        <f>2*$B$1813</f>
        <v/>
      </c>
      <c r="R2081" s="21">
        <f>-$B$1812</f>
        <v/>
      </c>
      <c r="S2081" s="21">
        <f>$B$1814</f>
        <v/>
      </c>
      <c r="T2081" s="21" t="n">
        <v>0</v>
      </c>
      <c r="U2081" s="21" t="n">
        <v>0</v>
      </c>
      <c r="V2081" s="21" t="n">
        <v>0</v>
      </c>
      <c r="W2081" s="21" t="n">
        <v>0</v>
      </c>
      <c r="X2081" s="21" t="n">
        <v>0</v>
      </c>
      <c r="Y2081" s="21" t="n">
        <v>0</v>
      </c>
      <c r="Z2081" s="21" t="n">
        <v>0</v>
      </c>
      <c r="AA2081" s="21" t="n">
        <v>0</v>
      </c>
      <c r="AB2081" s="21" t="n">
        <v>0</v>
      </c>
      <c r="AC2081" s="21" t="n">
        <v>0</v>
      </c>
      <c r="AD2081" s="21" t="n">
        <v>0</v>
      </c>
      <c r="AE2081" s="21" t="n">
        <v>0</v>
      </c>
      <c r="AF2081" s="21" t="n">
        <v>0</v>
      </c>
      <c r="AG2081" s="21" t="n">
        <v>0</v>
      </c>
      <c r="AH2081" s="21" t="n">
        <v>0</v>
      </c>
      <c r="AI2081" s="21" t="n">
        <v>0</v>
      </c>
      <c r="AJ2081" s="21" t="n">
        <v>0</v>
      </c>
      <c r="AK2081" s="21" t="n">
        <v>0</v>
      </c>
      <c r="AL2081" s="21" t="n">
        <v>0</v>
      </c>
      <c r="AM2081" s="21" t="n">
        <v>0</v>
      </c>
      <c r="AN2081" s="21" t="n">
        <v>0</v>
      </c>
      <c r="AO2081" s="21" t="n">
        <v>0</v>
      </c>
      <c r="AP2081" s="21" t="n">
        <v>0</v>
      </c>
      <c r="AQ2081" s="21" t="n">
        <v>0</v>
      </c>
      <c r="AR2081" s="21" t="n">
        <v>0</v>
      </c>
      <c r="AS2081" s="21" t="n">
        <v>0</v>
      </c>
      <c r="AT2081" s="19" t="n"/>
    </row>
    <row r="2082">
      <c r="D2082" s="21" t="n">
        <v>0</v>
      </c>
      <c r="E2082" s="21" t="n">
        <v>0</v>
      </c>
      <c r="F2082" s="21" t="n">
        <v>0</v>
      </c>
      <c r="G2082" s="21" t="n">
        <v>0</v>
      </c>
      <c r="H2082" s="21" t="n">
        <v>0</v>
      </c>
      <c r="I2082" s="21" t="n">
        <v>0</v>
      </c>
      <c r="J2082" s="21" t="n">
        <v>0</v>
      </c>
      <c r="K2082" s="21" t="n">
        <v>0</v>
      </c>
      <c r="L2082" s="21" t="n">
        <v>0</v>
      </c>
      <c r="M2082" s="21" t="n">
        <v>0</v>
      </c>
      <c r="N2082" s="21" t="n">
        <v>0</v>
      </c>
      <c r="O2082" s="21" t="n">
        <v>0</v>
      </c>
      <c r="P2082" s="21">
        <f>-$B$1811</f>
        <v/>
      </c>
      <c r="Q2082" s="21">
        <f>-$B$1812</f>
        <v/>
      </c>
      <c r="R2082" s="21">
        <f>2*$B$1811+$D$2053</f>
        <v/>
      </c>
      <c r="S2082" s="21">
        <f>0</f>
        <v/>
      </c>
      <c r="T2082" s="21">
        <f>-$B$1811</f>
        <v/>
      </c>
      <c r="U2082" s="21">
        <f>$B$1812</f>
        <v/>
      </c>
      <c r="V2082" s="21" t="n">
        <v>0</v>
      </c>
      <c r="W2082" s="21" t="n">
        <v>0</v>
      </c>
      <c r="X2082" s="21" t="n">
        <v>0</v>
      </c>
      <c r="Y2082" s="21" t="n">
        <v>0</v>
      </c>
      <c r="Z2082" s="21" t="n">
        <v>0</v>
      </c>
      <c r="AA2082" s="21" t="n">
        <v>0</v>
      </c>
      <c r="AB2082" s="21" t="n">
        <v>0</v>
      </c>
      <c r="AC2082" s="21" t="n">
        <v>0</v>
      </c>
      <c r="AD2082" s="21" t="n">
        <v>0</v>
      </c>
      <c r="AE2082" s="21" t="n">
        <v>0</v>
      </c>
      <c r="AF2082" s="21" t="n">
        <v>0</v>
      </c>
      <c r="AG2082" s="21" t="n">
        <v>0</v>
      </c>
      <c r="AH2082" s="21" t="n">
        <v>0</v>
      </c>
      <c r="AI2082" s="21" t="n">
        <v>0</v>
      </c>
      <c r="AJ2082" s="21" t="n">
        <v>0</v>
      </c>
      <c r="AK2082" s="21" t="n">
        <v>0</v>
      </c>
      <c r="AL2082" s="21" t="n">
        <v>0</v>
      </c>
      <c r="AM2082" s="21" t="n">
        <v>0</v>
      </c>
      <c r="AN2082" s="21" t="n">
        <v>0</v>
      </c>
      <c r="AO2082" s="21" t="n">
        <v>0</v>
      </c>
      <c r="AP2082" s="21" t="n">
        <v>0</v>
      </c>
      <c r="AQ2082" s="21" t="n">
        <v>0</v>
      </c>
      <c r="AR2082" s="21" t="n">
        <v>0</v>
      </c>
      <c r="AS2082" s="21" t="n">
        <v>0</v>
      </c>
      <c r="AT2082" s="19" t="n"/>
    </row>
    <row r="2083">
      <c r="D2083" s="21" t="n">
        <v>0</v>
      </c>
      <c r="E2083" s="21" t="n">
        <v>0</v>
      </c>
      <c r="F2083" s="21" t="n">
        <v>0</v>
      </c>
      <c r="G2083" s="21" t="n">
        <v>0</v>
      </c>
      <c r="H2083" s="21" t="n">
        <v>0</v>
      </c>
      <c r="I2083" s="21" t="n">
        <v>0</v>
      </c>
      <c r="J2083" s="21" t="n">
        <v>0</v>
      </c>
      <c r="K2083" s="21" t="n">
        <v>0</v>
      </c>
      <c r="L2083" s="21" t="n">
        <v>0</v>
      </c>
      <c r="M2083" s="21" t="n">
        <v>0</v>
      </c>
      <c r="N2083" s="21" t="n">
        <v>0</v>
      </c>
      <c r="O2083" s="21" t="n">
        <v>0</v>
      </c>
      <c r="P2083" s="21">
        <f>$B$1812</f>
        <v/>
      </c>
      <c r="Q2083" s="21">
        <f>$B$1814</f>
        <v/>
      </c>
      <c r="R2083" s="21">
        <f>0</f>
        <v/>
      </c>
      <c r="S2083" s="21">
        <f>2*$B$1813</f>
        <v/>
      </c>
      <c r="T2083" s="21">
        <f>-$B$1812</f>
        <v/>
      </c>
      <c r="U2083" s="21">
        <f>$B$1814</f>
        <v/>
      </c>
      <c r="V2083" s="21" t="n">
        <v>0</v>
      </c>
      <c r="W2083" s="21" t="n">
        <v>0</v>
      </c>
      <c r="X2083" s="21" t="n">
        <v>0</v>
      </c>
      <c r="Y2083" s="21" t="n">
        <v>0</v>
      </c>
      <c r="Z2083" s="21" t="n">
        <v>0</v>
      </c>
      <c r="AA2083" s="21" t="n">
        <v>0</v>
      </c>
      <c r="AB2083" s="21" t="n">
        <v>0</v>
      </c>
      <c r="AC2083" s="21" t="n">
        <v>0</v>
      </c>
      <c r="AD2083" s="21" t="n">
        <v>0</v>
      </c>
      <c r="AE2083" s="21" t="n">
        <v>0</v>
      </c>
      <c r="AF2083" s="21" t="n">
        <v>0</v>
      </c>
      <c r="AG2083" s="21" t="n">
        <v>0</v>
      </c>
      <c r="AH2083" s="21" t="n">
        <v>0</v>
      </c>
      <c r="AI2083" s="21" t="n">
        <v>0</v>
      </c>
      <c r="AJ2083" s="21" t="n">
        <v>0</v>
      </c>
      <c r="AK2083" s="21" t="n">
        <v>0</v>
      </c>
      <c r="AL2083" s="21" t="n">
        <v>0</v>
      </c>
      <c r="AM2083" s="21" t="n">
        <v>0</v>
      </c>
      <c r="AN2083" s="21" t="n">
        <v>0</v>
      </c>
      <c r="AO2083" s="21" t="n">
        <v>0</v>
      </c>
      <c r="AP2083" s="21" t="n">
        <v>0</v>
      </c>
      <c r="AQ2083" s="21" t="n">
        <v>0</v>
      </c>
      <c r="AR2083" s="21" t="n">
        <v>0</v>
      </c>
      <c r="AS2083" s="21" t="n">
        <v>0</v>
      </c>
      <c r="AT2083" s="19" t="n"/>
    </row>
    <row r="2084">
      <c r="D2084" s="21" t="n">
        <v>0</v>
      </c>
      <c r="E2084" s="21" t="n">
        <v>0</v>
      </c>
      <c r="F2084" s="21" t="n">
        <v>0</v>
      </c>
      <c r="G2084" s="21" t="n">
        <v>0</v>
      </c>
      <c r="H2084" s="21" t="n">
        <v>0</v>
      </c>
      <c r="I2084" s="21" t="n">
        <v>0</v>
      </c>
      <c r="J2084" s="21" t="n">
        <v>0</v>
      </c>
      <c r="K2084" s="21" t="n">
        <v>0</v>
      </c>
      <c r="L2084" s="21" t="n">
        <v>0</v>
      </c>
      <c r="M2084" s="21" t="n">
        <v>0</v>
      </c>
      <c r="N2084" s="21" t="n">
        <v>0</v>
      </c>
      <c r="O2084" s="21" t="n">
        <v>0</v>
      </c>
      <c r="P2084" s="21" t="n">
        <v>0</v>
      </c>
      <c r="Q2084" s="21" t="n">
        <v>0</v>
      </c>
      <c r="R2084" s="21">
        <f>-$B$1811</f>
        <v/>
      </c>
      <c r="S2084" s="21">
        <f>-$B$1812</f>
        <v/>
      </c>
      <c r="T2084" s="21">
        <f>2*$B$1811+$D$2054</f>
        <v/>
      </c>
      <c r="U2084" s="21">
        <f>0</f>
        <v/>
      </c>
      <c r="V2084" s="21">
        <f>-$B$1811</f>
        <v/>
      </c>
      <c r="W2084" s="21">
        <f>$B$1812</f>
        <v/>
      </c>
      <c r="X2084" s="21" t="n">
        <v>0</v>
      </c>
      <c r="Y2084" s="21" t="n">
        <v>0</v>
      </c>
      <c r="Z2084" s="21" t="n">
        <v>0</v>
      </c>
      <c r="AA2084" s="21" t="n">
        <v>0</v>
      </c>
      <c r="AB2084" s="21" t="n">
        <v>0</v>
      </c>
      <c r="AC2084" s="21" t="n">
        <v>0</v>
      </c>
      <c r="AD2084" s="21" t="n">
        <v>0</v>
      </c>
      <c r="AE2084" s="21" t="n">
        <v>0</v>
      </c>
      <c r="AF2084" s="21" t="n">
        <v>0</v>
      </c>
      <c r="AG2084" s="21" t="n">
        <v>0</v>
      </c>
      <c r="AH2084" s="21" t="n">
        <v>0</v>
      </c>
      <c r="AI2084" s="21" t="n">
        <v>0</v>
      </c>
      <c r="AJ2084" s="21" t="n">
        <v>0</v>
      </c>
      <c r="AK2084" s="21" t="n">
        <v>0</v>
      </c>
      <c r="AL2084" s="21" t="n">
        <v>0</v>
      </c>
      <c r="AM2084" s="21" t="n">
        <v>0</v>
      </c>
      <c r="AN2084" s="21" t="n">
        <v>0</v>
      </c>
      <c r="AO2084" s="21" t="n">
        <v>0</v>
      </c>
      <c r="AP2084" s="21" t="n">
        <v>0</v>
      </c>
      <c r="AQ2084" s="21" t="n">
        <v>0</v>
      </c>
      <c r="AR2084" s="21" t="n">
        <v>0</v>
      </c>
      <c r="AS2084" s="21" t="n">
        <v>0</v>
      </c>
      <c r="AT2084" s="19" t="n"/>
    </row>
    <row r="2085">
      <c r="D2085" s="21" t="n">
        <v>0</v>
      </c>
      <c r="E2085" s="21" t="n">
        <v>0</v>
      </c>
      <c r="F2085" s="21" t="n">
        <v>0</v>
      </c>
      <c r="G2085" s="21" t="n">
        <v>0</v>
      </c>
      <c r="H2085" s="21" t="n">
        <v>0</v>
      </c>
      <c r="I2085" s="21" t="n">
        <v>0</v>
      </c>
      <c r="J2085" s="21" t="n">
        <v>0</v>
      </c>
      <c r="K2085" s="21" t="n">
        <v>0</v>
      </c>
      <c r="L2085" s="21" t="n">
        <v>0</v>
      </c>
      <c r="M2085" s="21" t="n">
        <v>0</v>
      </c>
      <c r="N2085" s="21" t="n">
        <v>0</v>
      </c>
      <c r="O2085" s="21" t="n">
        <v>0</v>
      </c>
      <c r="P2085" s="21" t="n">
        <v>0</v>
      </c>
      <c r="Q2085" s="21" t="n">
        <v>0</v>
      </c>
      <c r="R2085" s="21">
        <f>$B$1812</f>
        <v/>
      </c>
      <c r="S2085" s="21">
        <f>$B$1814</f>
        <v/>
      </c>
      <c r="T2085" s="21">
        <f>0</f>
        <v/>
      </c>
      <c r="U2085" s="21">
        <f>2*$B$1813</f>
        <v/>
      </c>
      <c r="V2085" s="21">
        <f>-$B$1812</f>
        <v/>
      </c>
      <c r="W2085" s="21">
        <f>$B$1814</f>
        <v/>
      </c>
      <c r="X2085" s="21" t="n">
        <v>0</v>
      </c>
      <c r="Y2085" s="21" t="n">
        <v>0</v>
      </c>
      <c r="Z2085" s="21" t="n">
        <v>0</v>
      </c>
      <c r="AA2085" s="21" t="n">
        <v>0</v>
      </c>
      <c r="AB2085" s="21" t="n">
        <v>0</v>
      </c>
      <c r="AC2085" s="21" t="n">
        <v>0</v>
      </c>
      <c r="AD2085" s="21" t="n">
        <v>0</v>
      </c>
      <c r="AE2085" s="21" t="n">
        <v>0</v>
      </c>
      <c r="AF2085" s="21" t="n">
        <v>0</v>
      </c>
      <c r="AG2085" s="21" t="n">
        <v>0</v>
      </c>
      <c r="AH2085" s="21" t="n">
        <v>0</v>
      </c>
      <c r="AI2085" s="21" t="n">
        <v>0</v>
      </c>
      <c r="AJ2085" s="21" t="n">
        <v>0</v>
      </c>
      <c r="AK2085" s="21" t="n">
        <v>0</v>
      </c>
      <c r="AL2085" s="21" t="n">
        <v>0</v>
      </c>
      <c r="AM2085" s="21" t="n">
        <v>0</v>
      </c>
      <c r="AN2085" s="21" t="n">
        <v>0</v>
      </c>
      <c r="AO2085" s="21" t="n">
        <v>0</v>
      </c>
      <c r="AP2085" s="21" t="n">
        <v>0</v>
      </c>
      <c r="AQ2085" s="21" t="n">
        <v>0</v>
      </c>
      <c r="AR2085" s="21" t="n">
        <v>0</v>
      </c>
      <c r="AS2085" s="21" t="n">
        <v>0</v>
      </c>
      <c r="AT2085" s="19" t="n"/>
    </row>
    <row r="2086">
      <c r="D2086" s="21" t="n">
        <v>0</v>
      </c>
      <c r="E2086" s="21" t="n">
        <v>0</v>
      </c>
      <c r="F2086" s="21" t="n">
        <v>0</v>
      </c>
      <c r="G2086" s="21" t="n">
        <v>0</v>
      </c>
      <c r="H2086" s="21" t="n">
        <v>0</v>
      </c>
      <c r="I2086" s="21" t="n">
        <v>0</v>
      </c>
      <c r="J2086" s="21" t="n">
        <v>0</v>
      </c>
      <c r="K2086" s="21" t="n">
        <v>0</v>
      </c>
      <c r="L2086" s="21" t="n">
        <v>0</v>
      </c>
      <c r="M2086" s="21" t="n">
        <v>0</v>
      </c>
      <c r="N2086" s="21" t="n">
        <v>0</v>
      </c>
      <c r="O2086" s="21" t="n">
        <v>0</v>
      </c>
      <c r="P2086" s="21" t="n">
        <v>0</v>
      </c>
      <c r="Q2086" s="21" t="n">
        <v>0</v>
      </c>
      <c r="R2086" s="21" t="n">
        <v>0</v>
      </c>
      <c r="S2086" s="21" t="n">
        <v>0</v>
      </c>
      <c r="T2086" s="21">
        <f>-$B$1811</f>
        <v/>
      </c>
      <c r="U2086" s="21">
        <f>-$B$1812</f>
        <v/>
      </c>
      <c r="V2086" s="21">
        <f>2*$B$1811+$D$2055</f>
        <v/>
      </c>
      <c r="W2086" s="21">
        <f>0</f>
        <v/>
      </c>
      <c r="X2086" s="21">
        <f>-$B$1811</f>
        <v/>
      </c>
      <c r="Y2086" s="21">
        <f>$B$1812</f>
        <v/>
      </c>
      <c r="Z2086" s="21" t="n">
        <v>0</v>
      </c>
      <c r="AA2086" s="21" t="n">
        <v>0</v>
      </c>
      <c r="AB2086" s="21" t="n">
        <v>0</v>
      </c>
      <c r="AC2086" s="21" t="n">
        <v>0</v>
      </c>
      <c r="AD2086" s="21" t="n">
        <v>0</v>
      </c>
      <c r="AE2086" s="21" t="n">
        <v>0</v>
      </c>
      <c r="AF2086" s="21" t="n">
        <v>0</v>
      </c>
      <c r="AG2086" s="21" t="n">
        <v>0</v>
      </c>
      <c r="AH2086" s="21" t="n">
        <v>0</v>
      </c>
      <c r="AI2086" s="21" t="n">
        <v>0</v>
      </c>
      <c r="AJ2086" s="21" t="n">
        <v>0</v>
      </c>
      <c r="AK2086" s="21" t="n">
        <v>0</v>
      </c>
      <c r="AL2086" s="21" t="n">
        <v>0</v>
      </c>
      <c r="AM2086" s="21" t="n">
        <v>0</v>
      </c>
      <c r="AN2086" s="21" t="n">
        <v>0</v>
      </c>
      <c r="AO2086" s="21" t="n">
        <v>0</v>
      </c>
      <c r="AP2086" s="21" t="n">
        <v>0</v>
      </c>
      <c r="AQ2086" s="21" t="n">
        <v>0</v>
      </c>
      <c r="AR2086" s="21" t="n">
        <v>0</v>
      </c>
      <c r="AS2086" s="21" t="n">
        <v>0</v>
      </c>
      <c r="AT2086" s="19" t="n"/>
    </row>
    <row r="2087">
      <c r="D2087" s="21" t="n">
        <v>0</v>
      </c>
      <c r="E2087" s="21" t="n">
        <v>0</v>
      </c>
      <c r="F2087" s="21" t="n">
        <v>0</v>
      </c>
      <c r="G2087" s="21" t="n">
        <v>0</v>
      </c>
      <c r="H2087" s="21" t="n">
        <v>0</v>
      </c>
      <c r="I2087" s="21" t="n">
        <v>0</v>
      </c>
      <c r="J2087" s="21" t="n">
        <v>0</v>
      </c>
      <c r="K2087" s="21" t="n">
        <v>0</v>
      </c>
      <c r="L2087" s="21" t="n">
        <v>0</v>
      </c>
      <c r="M2087" s="21" t="n">
        <v>0</v>
      </c>
      <c r="N2087" s="21" t="n">
        <v>0</v>
      </c>
      <c r="O2087" s="21" t="n">
        <v>0</v>
      </c>
      <c r="P2087" s="21" t="n">
        <v>0</v>
      </c>
      <c r="Q2087" s="21" t="n">
        <v>0</v>
      </c>
      <c r="R2087" s="21" t="n">
        <v>0</v>
      </c>
      <c r="S2087" s="21" t="n">
        <v>0</v>
      </c>
      <c r="T2087" s="21">
        <f>$B$1812</f>
        <v/>
      </c>
      <c r="U2087" s="21">
        <f>$B$1814</f>
        <v/>
      </c>
      <c r="V2087" s="21">
        <f>0</f>
        <v/>
      </c>
      <c r="W2087" s="21">
        <f>2*$B$1813</f>
        <v/>
      </c>
      <c r="X2087" s="21">
        <f>-$B$1812</f>
        <v/>
      </c>
      <c r="Y2087" s="21">
        <f>$B$1814</f>
        <v/>
      </c>
      <c r="Z2087" s="21" t="n">
        <v>0</v>
      </c>
      <c r="AA2087" s="21" t="n">
        <v>0</v>
      </c>
      <c r="AB2087" s="21" t="n">
        <v>0</v>
      </c>
      <c r="AC2087" s="21" t="n">
        <v>0</v>
      </c>
      <c r="AD2087" s="21" t="n">
        <v>0</v>
      </c>
      <c r="AE2087" s="21" t="n">
        <v>0</v>
      </c>
      <c r="AF2087" s="21" t="n">
        <v>0</v>
      </c>
      <c r="AG2087" s="21" t="n">
        <v>0</v>
      </c>
      <c r="AH2087" s="21" t="n">
        <v>0</v>
      </c>
      <c r="AI2087" s="21" t="n">
        <v>0</v>
      </c>
      <c r="AJ2087" s="21" t="n">
        <v>0</v>
      </c>
      <c r="AK2087" s="21" t="n">
        <v>0</v>
      </c>
      <c r="AL2087" s="21" t="n">
        <v>0</v>
      </c>
      <c r="AM2087" s="21" t="n">
        <v>0</v>
      </c>
      <c r="AN2087" s="21" t="n">
        <v>0</v>
      </c>
      <c r="AO2087" s="21" t="n">
        <v>0</v>
      </c>
      <c r="AP2087" s="21" t="n">
        <v>0</v>
      </c>
      <c r="AQ2087" s="21" t="n">
        <v>0</v>
      </c>
      <c r="AR2087" s="21" t="n">
        <v>0</v>
      </c>
      <c r="AS2087" s="21" t="n">
        <v>0</v>
      </c>
      <c r="AT2087" s="19" t="n"/>
    </row>
    <row r="2088">
      <c r="D2088" s="21" t="n">
        <v>0</v>
      </c>
      <c r="E2088" s="21" t="n">
        <v>0</v>
      </c>
      <c r="F2088" s="21" t="n">
        <v>0</v>
      </c>
      <c r="G2088" s="21" t="n">
        <v>0</v>
      </c>
      <c r="H2088" s="21" t="n">
        <v>0</v>
      </c>
      <c r="I2088" s="21" t="n">
        <v>0</v>
      </c>
      <c r="J2088" s="21" t="n">
        <v>0</v>
      </c>
      <c r="K2088" s="21" t="n">
        <v>0</v>
      </c>
      <c r="L2088" s="21" t="n">
        <v>0</v>
      </c>
      <c r="M2088" s="21" t="n">
        <v>0</v>
      </c>
      <c r="N2088" s="21" t="n">
        <v>0</v>
      </c>
      <c r="O2088" s="21" t="n">
        <v>0</v>
      </c>
      <c r="P2088" s="21" t="n">
        <v>0</v>
      </c>
      <c r="Q2088" s="21" t="n">
        <v>0</v>
      </c>
      <c r="R2088" s="21" t="n">
        <v>0</v>
      </c>
      <c r="S2088" s="21" t="n">
        <v>0</v>
      </c>
      <c r="T2088" s="21" t="n">
        <v>0</v>
      </c>
      <c r="U2088" s="21" t="n">
        <v>0</v>
      </c>
      <c r="V2088" s="21">
        <f>-$B$1811</f>
        <v/>
      </c>
      <c r="W2088" s="21">
        <f>-$B$1812</f>
        <v/>
      </c>
      <c r="X2088" s="21">
        <f>2*$B$1811+$D$2056</f>
        <v/>
      </c>
      <c r="Y2088" s="21">
        <f>0</f>
        <v/>
      </c>
      <c r="Z2088" s="21">
        <f>-$B$1811</f>
        <v/>
      </c>
      <c r="AA2088" s="21">
        <f>$B$1812</f>
        <v/>
      </c>
      <c r="AB2088" s="21" t="n">
        <v>0</v>
      </c>
      <c r="AC2088" s="21" t="n">
        <v>0</v>
      </c>
      <c r="AD2088" s="21" t="n">
        <v>0</v>
      </c>
      <c r="AE2088" s="21" t="n">
        <v>0</v>
      </c>
      <c r="AF2088" s="21" t="n">
        <v>0</v>
      </c>
      <c r="AG2088" s="21" t="n">
        <v>0</v>
      </c>
      <c r="AH2088" s="21" t="n">
        <v>0</v>
      </c>
      <c r="AI2088" s="21" t="n">
        <v>0</v>
      </c>
      <c r="AJ2088" s="21" t="n">
        <v>0</v>
      </c>
      <c r="AK2088" s="21" t="n">
        <v>0</v>
      </c>
      <c r="AL2088" s="21" t="n">
        <v>0</v>
      </c>
      <c r="AM2088" s="21" t="n">
        <v>0</v>
      </c>
      <c r="AN2088" s="21" t="n">
        <v>0</v>
      </c>
      <c r="AO2088" s="21" t="n">
        <v>0</v>
      </c>
      <c r="AP2088" s="21" t="n">
        <v>0</v>
      </c>
      <c r="AQ2088" s="21" t="n">
        <v>0</v>
      </c>
      <c r="AR2088" s="21" t="n">
        <v>0</v>
      </c>
      <c r="AS2088" s="21" t="n">
        <v>0</v>
      </c>
      <c r="AT2088" s="19" t="n"/>
    </row>
    <row r="2089">
      <c r="D2089" s="21" t="n">
        <v>0</v>
      </c>
      <c r="E2089" s="21" t="n">
        <v>0</v>
      </c>
      <c r="F2089" s="21" t="n">
        <v>0</v>
      </c>
      <c r="G2089" s="21" t="n">
        <v>0</v>
      </c>
      <c r="H2089" s="21" t="n">
        <v>0</v>
      </c>
      <c r="I2089" s="21" t="n">
        <v>0</v>
      </c>
      <c r="J2089" s="21" t="n">
        <v>0</v>
      </c>
      <c r="K2089" s="21" t="n">
        <v>0</v>
      </c>
      <c r="L2089" s="21" t="n">
        <v>0</v>
      </c>
      <c r="M2089" s="21" t="n">
        <v>0</v>
      </c>
      <c r="N2089" s="21" t="n">
        <v>0</v>
      </c>
      <c r="O2089" s="21" t="n">
        <v>0</v>
      </c>
      <c r="P2089" s="21" t="n">
        <v>0</v>
      </c>
      <c r="Q2089" s="21" t="n">
        <v>0</v>
      </c>
      <c r="R2089" s="21" t="n">
        <v>0</v>
      </c>
      <c r="S2089" s="21" t="n">
        <v>0</v>
      </c>
      <c r="T2089" s="21" t="n">
        <v>0</v>
      </c>
      <c r="U2089" s="21" t="n">
        <v>0</v>
      </c>
      <c r="V2089" s="21">
        <f>$B$1812</f>
        <v/>
      </c>
      <c r="W2089" s="21">
        <f>$B$1814</f>
        <v/>
      </c>
      <c r="X2089" s="21">
        <f>0</f>
        <v/>
      </c>
      <c r="Y2089" s="21">
        <f>2*$B$1813</f>
        <v/>
      </c>
      <c r="Z2089" s="21">
        <f>-$B$1812</f>
        <v/>
      </c>
      <c r="AA2089" s="21">
        <f>$B$1814</f>
        <v/>
      </c>
      <c r="AB2089" s="21" t="n">
        <v>0</v>
      </c>
      <c r="AC2089" s="21" t="n">
        <v>0</v>
      </c>
      <c r="AD2089" s="21" t="n">
        <v>0</v>
      </c>
      <c r="AE2089" s="21" t="n">
        <v>0</v>
      </c>
      <c r="AF2089" s="21" t="n">
        <v>0</v>
      </c>
      <c r="AG2089" s="21" t="n">
        <v>0</v>
      </c>
      <c r="AH2089" s="21" t="n">
        <v>0</v>
      </c>
      <c r="AI2089" s="21" t="n">
        <v>0</v>
      </c>
      <c r="AJ2089" s="21" t="n">
        <v>0</v>
      </c>
      <c r="AK2089" s="21" t="n">
        <v>0</v>
      </c>
      <c r="AL2089" s="21" t="n">
        <v>0</v>
      </c>
      <c r="AM2089" s="21" t="n">
        <v>0</v>
      </c>
      <c r="AN2089" s="21" t="n">
        <v>0</v>
      </c>
      <c r="AO2089" s="21" t="n">
        <v>0</v>
      </c>
      <c r="AP2089" s="21" t="n">
        <v>0</v>
      </c>
      <c r="AQ2089" s="21" t="n">
        <v>0</v>
      </c>
      <c r="AR2089" s="21" t="n">
        <v>0</v>
      </c>
      <c r="AS2089" s="21" t="n">
        <v>0</v>
      </c>
      <c r="AT2089" s="19" t="n"/>
    </row>
    <row r="2090">
      <c r="D2090" s="21" t="n">
        <v>0</v>
      </c>
      <c r="E2090" s="21" t="n">
        <v>0</v>
      </c>
      <c r="F2090" s="21" t="n">
        <v>0</v>
      </c>
      <c r="G2090" s="21" t="n">
        <v>0</v>
      </c>
      <c r="H2090" s="21" t="n">
        <v>0</v>
      </c>
      <c r="I2090" s="21" t="n">
        <v>0</v>
      </c>
      <c r="J2090" s="21" t="n">
        <v>0</v>
      </c>
      <c r="K2090" s="21" t="n">
        <v>0</v>
      </c>
      <c r="L2090" s="21" t="n">
        <v>0</v>
      </c>
      <c r="M2090" s="21" t="n">
        <v>0</v>
      </c>
      <c r="N2090" s="21" t="n">
        <v>0</v>
      </c>
      <c r="O2090" s="21" t="n">
        <v>0</v>
      </c>
      <c r="P2090" s="21" t="n">
        <v>0</v>
      </c>
      <c r="Q2090" s="21" t="n">
        <v>0</v>
      </c>
      <c r="R2090" s="21" t="n">
        <v>0</v>
      </c>
      <c r="S2090" s="21" t="n">
        <v>0</v>
      </c>
      <c r="T2090" s="21" t="n">
        <v>0</v>
      </c>
      <c r="U2090" s="21" t="n">
        <v>0</v>
      </c>
      <c r="V2090" s="21" t="n">
        <v>0</v>
      </c>
      <c r="W2090" s="21" t="n">
        <v>0</v>
      </c>
      <c r="X2090" s="21">
        <f>-$B$1811</f>
        <v/>
      </c>
      <c r="Y2090" s="21">
        <f>-$B$1812</f>
        <v/>
      </c>
      <c r="Z2090" s="21">
        <f>2*$B$1811+$D$2057</f>
        <v/>
      </c>
      <c r="AA2090" s="21">
        <f>0</f>
        <v/>
      </c>
      <c r="AB2090" s="21">
        <f>-$B$1811</f>
        <v/>
      </c>
      <c r="AC2090" s="21">
        <f>$B$1812</f>
        <v/>
      </c>
      <c r="AD2090" s="21" t="n">
        <v>0</v>
      </c>
      <c r="AE2090" s="21" t="n">
        <v>0</v>
      </c>
      <c r="AF2090" s="21" t="n">
        <v>0</v>
      </c>
      <c r="AG2090" s="21" t="n">
        <v>0</v>
      </c>
      <c r="AH2090" s="21" t="n">
        <v>0</v>
      </c>
      <c r="AI2090" s="21" t="n">
        <v>0</v>
      </c>
      <c r="AJ2090" s="21" t="n">
        <v>0</v>
      </c>
      <c r="AK2090" s="21" t="n">
        <v>0</v>
      </c>
      <c r="AL2090" s="21" t="n">
        <v>0</v>
      </c>
      <c r="AM2090" s="21" t="n">
        <v>0</v>
      </c>
      <c r="AN2090" s="21" t="n">
        <v>0</v>
      </c>
      <c r="AO2090" s="21" t="n">
        <v>0</v>
      </c>
      <c r="AP2090" s="21" t="n">
        <v>0</v>
      </c>
      <c r="AQ2090" s="21" t="n">
        <v>0</v>
      </c>
      <c r="AR2090" s="21" t="n">
        <v>0</v>
      </c>
      <c r="AS2090" s="21" t="n">
        <v>0</v>
      </c>
      <c r="AT2090" s="19" t="n"/>
    </row>
    <row r="2091">
      <c r="D2091" s="21" t="n">
        <v>0</v>
      </c>
      <c r="E2091" s="21" t="n">
        <v>0</v>
      </c>
      <c r="F2091" s="21" t="n">
        <v>0</v>
      </c>
      <c r="G2091" s="21" t="n">
        <v>0</v>
      </c>
      <c r="H2091" s="21" t="n">
        <v>0</v>
      </c>
      <c r="I2091" s="21" t="n">
        <v>0</v>
      </c>
      <c r="J2091" s="21" t="n">
        <v>0</v>
      </c>
      <c r="K2091" s="21" t="n">
        <v>0</v>
      </c>
      <c r="L2091" s="21" t="n">
        <v>0</v>
      </c>
      <c r="M2091" s="21" t="n">
        <v>0</v>
      </c>
      <c r="N2091" s="21" t="n">
        <v>0</v>
      </c>
      <c r="O2091" s="21" t="n">
        <v>0</v>
      </c>
      <c r="P2091" s="21" t="n">
        <v>0</v>
      </c>
      <c r="Q2091" s="21" t="n">
        <v>0</v>
      </c>
      <c r="R2091" s="21" t="n">
        <v>0</v>
      </c>
      <c r="S2091" s="21" t="n">
        <v>0</v>
      </c>
      <c r="T2091" s="21" t="n">
        <v>0</v>
      </c>
      <c r="U2091" s="21" t="n">
        <v>0</v>
      </c>
      <c r="V2091" s="21" t="n">
        <v>0</v>
      </c>
      <c r="W2091" s="21" t="n">
        <v>0</v>
      </c>
      <c r="X2091" s="21">
        <f>$B$1812</f>
        <v/>
      </c>
      <c r="Y2091" s="21">
        <f>$B$1814</f>
        <v/>
      </c>
      <c r="Z2091" s="21">
        <f>0</f>
        <v/>
      </c>
      <c r="AA2091" s="21">
        <f>2*$B$1813</f>
        <v/>
      </c>
      <c r="AB2091" s="21">
        <f>-$B$1812</f>
        <v/>
      </c>
      <c r="AC2091" s="21">
        <f>$B$1814</f>
        <v/>
      </c>
      <c r="AD2091" s="21" t="n">
        <v>0</v>
      </c>
      <c r="AE2091" s="21" t="n">
        <v>0</v>
      </c>
      <c r="AF2091" s="21" t="n">
        <v>0</v>
      </c>
      <c r="AG2091" s="21" t="n">
        <v>0</v>
      </c>
      <c r="AH2091" s="21" t="n">
        <v>0</v>
      </c>
      <c r="AI2091" s="21" t="n">
        <v>0</v>
      </c>
      <c r="AJ2091" s="21" t="n">
        <v>0</v>
      </c>
      <c r="AK2091" s="21" t="n">
        <v>0</v>
      </c>
      <c r="AL2091" s="21" t="n">
        <v>0</v>
      </c>
      <c r="AM2091" s="21" t="n">
        <v>0</v>
      </c>
      <c r="AN2091" s="21" t="n">
        <v>0</v>
      </c>
      <c r="AO2091" s="21" t="n">
        <v>0</v>
      </c>
      <c r="AP2091" s="21" t="n">
        <v>0</v>
      </c>
      <c r="AQ2091" s="21" t="n">
        <v>0</v>
      </c>
      <c r="AR2091" s="21" t="n">
        <v>0</v>
      </c>
      <c r="AS2091" s="21" t="n">
        <v>0</v>
      </c>
      <c r="AT2091" s="19" t="n"/>
    </row>
    <row r="2092">
      <c r="D2092" s="21" t="n">
        <v>0</v>
      </c>
      <c r="E2092" s="21" t="n">
        <v>0</v>
      </c>
      <c r="F2092" s="21" t="n">
        <v>0</v>
      </c>
      <c r="G2092" s="21" t="n">
        <v>0</v>
      </c>
      <c r="H2092" s="21" t="n">
        <v>0</v>
      </c>
      <c r="I2092" s="21" t="n">
        <v>0</v>
      </c>
      <c r="J2092" s="21" t="n">
        <v>0</v>
      </c>
      <c r="K2092" s="21" t="n">
        <v>0</v>
      </c>
      <c r="L2092" s="21" t="n">
        <v>0</v>
      </c>
      <c r="M2092" s="21" t="n">
        <v>0</v>
      </c>
      <c r="N2092" s="21" t="n">
        <v>0</v>
      </c>
      <c r="O2092" s="21" t="n">
        <v>0</v>
      </c>
      <c r="P2092" s="21" t="n">
        <v>0</v>
      </c>
      <c r="Q2092" s="21" t="n">
        <v>0</v>
      </c>
      <c r="R2092" s="21" t="n">
        <v>0</v>
      </c>
      <c r="S2092" s="21" t="n">
        <v>0</v>
      </c>
      <c r="T2092" s="21" t="n">
        <v>0</v>
      </c>
      <c r="U2092" s="21" t="n">
        <v>0</v>
      </c>
      <c r="V2092" s="21" t="n">
        <v>0</v>
      </c>
      <c r="W2092" s="21" t="n">
        <v>0</v>
      </c>
      <c r="X2092" s="21" t="n">
        <v>0</v>
      </c>
      <c r="Y2092" s="21" t="n">
        <v>0</v>
      </c>
      <c r="Z2092" s="21">
        <f>-$B$1811</f>
        <v/>
      </c>
      <c r="AA2092" s="21">
        <f>-$B$1812</f>
        <v/>
      </c>
      <c r="AB2092" s="21">
        <f>2*$B$1811+$D$2058</f>
        <v/>
      </c>
      <c r="AC2092" s="21">
        <f>0</f>
        <v/>
      </c>
      <c r="AD2092" s="21">
        <f>-$B$1811</f>
        <v/>
      </c>
      <c r="AE2092" s="21">
        <f>$B$1812</f>
        <v/>
      </c>
      <c r="AF2092" s="21" t="n">
        <v>0</v>
      </c>
      <c r="AG2092" s="21" t="n">
        <v>0</v>
      </c>
      <c r="AH2092" s="21" t="n">
        <v>0</v>
      </c>
      <c r="AI2092" s="21" t="n">
        <v>0</v>
      </c>
      <c r="AJ2092" s="21" t="n">
        <v>0</v>
      </c>
      <c r="AK2092" s="21" t="n">
        <v>0</v>
      </c>
      <c r="AL2092" s="21" t="n">
        <v>0</v>
      </c>
      <c r="AM2092" s="21" t="n">
        <v>0</v>
      </c>
      <c r="AN2092" s="21" t="n">
        <v>0</v>
      </c>
      <c r="AO2092" s="21" t="n">
        <v>0</v>
      </c>
      <c r="AP2092" s="21" t="n">
        <v>0</v>
      </c>
      <c r="AQ2092" s="21" t="n">
        <v>0</v>
      </c>
      <c r="AR2092" s="21" t="n">
        <v>0</v>
      </c>
      <c r="AS2092" s="21" t="n">
        <v>0</v>
      </c>
      <c r="AT2092" s="19" t="n"/>
    </row>
    <row r="2093">
      <c r="D2093" s="21" t="n">
        <v>0</v>
      </c>
      <c r="E2093" s="21" t="n">
        <v>0</v>
      </c>
      <c r="F2093" s="21" t="n">
        <v>0</v>
      </c>
      <c r="G2093" s="21" t="n">
        <v>0</v>
      </c>
      <c r="H2093" s="21" t="n">
        <v>0</v>
      </c>
      <c r="I2093" s="21" t="n">
        <v>0</v>
      </c>
      <c r="J2093" s="21" t="n">
        <v>0</v>
      </c>
      <c r="K2093" s="21" t="n">
        <v>0</v>
      </c>
      <c r="L2093" s="21" t="n">
        <v>0</v>
      </c>
      <c r="M2093" s="21" t="n">
        <v>0</v>
      </c>
      <c r="N2093" s="21" t="n">
        <v>0</v>
      </c>
      <c r="O2093" s="21" t="n">
        <v>0</v>
      </c>
      <c r="P2093" s="21" t="n">
        <v>0</v>
      </c>
      <c r="Q2093" s="21" t="n">
        <v>0</v>
      </c>
      <c r="R2093" s="21" t="n">
        <v>0</v>
      </c>
      <c r="S2093" s="21" t="n">
        <v>0</v>
      </c>
      <c r="T2093" s="21" t="n">
        <v>0</v>
      </c>
      <c r="U2093" s="21" t="n">
        <v>0</v>
      </c>
      <c r="V2093" s="21" t="n">
        <v>0</v>
      </c>
      <c r="W2093" s="21" t="n">
        <v>0</v>
      </c>
      <c r="X2093" s="21" t="n">
        <v>0</v>
      </c>
      <c r="Y2093" s="21" t="n">
        <v>0</v>
      </c>
      <c r="Z2093" s="21">
        <f>$B$1812</f>
        <v/>
      </c>
      <c r="AA2093" s="21">
        <f>$B$1814</f>
        <v/>
      </c>
      <c r="AB2093" s="21">
        <f>0</f>
        <v/>
      </c>
      <c r="AC2093" s="21">
        <f>2*$B$1813</f>
        <v/>
      </c>
      <c r="AD2093" s="21">
        <f>-$B$1812</f>
        <v/>
      </c>
      <c r="AE2093" s="21">
        <f>$B$1814</f>
        <v/>
      </c>
      <c r="AF2093" s="21" t="n">
        <v>0</v>
      </c>
      <c r="AG2093" s="21" t="n">
        <v>0</v>
      </c>
      <c r="AH2093" s="21" t="n">
        <v>0</v>
      </c>
      <c r="AI2093" s="21" t="n">
        <v>0</v>
      </c>
      <c r="AJ2093" s="21" t="n">
        <v>0</v>
      </c>
      <c r="AK2093" s="21" t="n">
        <v>0</v>
      </c>
      <c r="AL2093" s="21" t="n">
        <v>0</v>
      </c>
      <c r="AM2093" s="21" t="n">
        <v>0</v>
      </c>
      <c r="AN2093" s="21" t="n">
        <v>0</v>
      </c>
      <c r="AO2093" s="21" t="n">
        <v>0</v>
      </c>
      <c r="AP2093" s="21" t="n">
        <v>0</v>
      </c>
      <c r="AQ2093" s="21" t="n">
        <v>0</v>
      </c>
      <c r="AR2093" s="21" t="n">
        <v>0</v>
      </c>
      <c r="AS2093" s="21" t="n">
        <v>0</v>
      </c>
      <c r="AT2093" s="19" t="n"/>
    </row>
    <row r="2094">
      <c r="D2094" s="21" t="n">
        <v>0</v>
      </c>
      <c r="E2094" s="21" t="n">
        <v>0</v>
      </c>
      <c r="F2094" s="21" t="n">
        <v>0</v>
      </c>
      <c r="G2094" s="21" t="n">
        <v>0</v>
      </c>
      <c r="H2094" s="21" t="n">
        <v>0</v>
      </c>
      <c r="I2094" s="21" t="n">
        <v>0</v>
      </c>
      <c r="J2094" s="21" t="n">
        <v>0</v>
      </c>
      <c r="K2094" s="21" t="n">
        <v>0</v>
      </c>
      <c r="L2094" s="21" t="n">
        <v>0</v>
      </c>
      <c r="M2094" s="21" t="n">
        <v>0</v>
      </c>
      <c r="N2094" s="21" t="n">
        <v>0</v>
      </c>
      <c r="O2094" s="21" t="n">
        <v>0</v>
      </c>
      <c r="P2094" s="21" t="n">
        <v>0</v>
      </c>
      <c r="Q2094" s="21" t="n">
        <v>0</v>
      </c>
      <c r="R2094" s="21" t="n">
        <v>0</v>
      </c>
      <c r="S2094" s="21" t="n">
        <v>0</v>
      </c>
      <c r="T2094" s="21" t="n">
        <v>0</v>
      </c>
      <c r="U2094" s="21" t="n">
        <v>0</v>
      </c>
      <c r="V2094" s="21" t="n">
        <v>0</v>
      </c>
      <c r="W2094" s="21" t="n">
        <v>0</v>
      </c>
      <c r="X2094" s="21" t="n">
        <v>0</v>
      </c>
      <c r="Y2094" s="21" t="n">
        <v>0</v>
      </c>
      <c r="Z2094" s="21" t="n">
        <v>0</v>
      </c>
      <c r="AA2094" s="21" t="n">
        <v>0</v>
      </c>
      <c r="AB2094" s="21">
        <f>-$B$1811</f>
        <v/>
      </c>
      <c r="AC2094" s="21">
        <f>-$B$1812</f>
        <v/>
      </c>
      <c r="AD2094" s="21">
        <f>2*$B$1811+$D$2059</f>
        <v/>
      </c>
      <c r="AE2094" s="21">
        <f>0</f>
        <v/>
      </c>
      <c r="AF2094" s="21">
        <f>-$B$1811</f>
        <v/>
      </c>
      <c r="AG2094" s="21">
        <f>$B$1812</f>
        <v/>
      </c>
      <c r="AH2094" s="21" t="n">
        <v>0</v>
      </c>
      <c r="AI2094" s="21" t="n">
        <v>0</v>
      </c>
      <c r="AJ2094" s="21" t="n">
        <v>0</v>
      </c>
      <c r="AK2094" s="21" t="n">
        <v>0</v>
      </c>
      <c r="AL2094" s="21" t="n">
        <v>0</v>
      </c>
      <c r="AM2094" s="21" t="n">
        <v>0</v>
      </c>
      <c r="AN2094" s="21" t="n">
        <v>0</v>
      </c>
      <c r="AO2094" s="21" t="n">
        <v>0</v>
      </c>
      <c r="AP2094" s="21" t="n">
        <v>0</v>
      </c>
      <c r="AQ2094" s="21" t="n">
        <v>0</v>
      </c>
      <c r="AR2094" s="21" t="n">
        <v>0</v>
      </c>
      <c r="AS2094" s="21" t="n">
        <v>0</v>
      </c>
      <c r="AT2094" s="19" t="n"/>
    </row>
    <row r="2095">
      <c r="D2095" s="21" t="n">
        <v>0</v>
      </c>
      <c r="E2095" s="21" t="n">
        <v>0</v>
      </c>
      <c r="F2095" s="21" t="n">
        <v>0</v>
      </c>
      <c r="G2095" s="21" t="n">
        <v>0</v>
      </c>
      <c r="H2095" s="21" t="n">
        <v>0</v>
      </c>
      <c r="I2095" s="21" t="n">
        <v>0</v>
      </c>
      <c r="J2095" s="21" t="n">
        <v>0</v>
      </c>
      <c r="K2095" s="21" t="n">
        <v>0</v>
      </c>
      <c r="L2095" s="21" t="n">
        <v>0</v>
      </c>
      <c r="M2095" s="21" t="n">
        <v>0</v>
      </c>
      <c r="N2095" s="21" t="n">
        <v>0</v>
      </c>
      <c r="O2095" s="21" t="n">
        <v>0</v>
      </c>
      <c r="P2095" s="21" t="n">
        <v>0</v>
      </c>
      <c r="Q2095" s="21" t="n">
        <v>0</v>
      </c>
      <c r="R2095" s="21" t="n">
        <v>0</v>
      </c>
      <c r="S2095" s="21" t="n">
        <v>0</v>
      </c>
      <c r="T2095" s="21" t="n">
        <v>0</v>
      </c>
      <c r="U2095" s="21" t="n">
        <v>0</v>
      </c>
      <c r="V2095" s="21" t="n">
        <v>0</v>
      </c>
      <c r="W2095" s="21" t="n">
        <v>0</v>
      </c>
      <c r="X2095" s="21" t="n">
        <v>0</v>
      </c>
      <c r="Y2095" s="21" t="n">
        <v>0</v>
      </c>
      <c r="Z2095" s="21" t="n">
        <v>0</v>
      </c>
      <c r="AA2095" s="21" t="n">
        <v>0</v>
      </c>
      <c r="AB2095" s="21">
        <f>$B$1812</f>
        <v/>
      </c>
      <c r="AC2095" s="21">
        <f>$B$1814</f>
        <v/>
      </c>
      <c r="AD2095" s="21">
        <f>0</f>
        <v/>
      </c>
      <c r="AE2095" s="21">
        <f>2*$B$1813</f>
        <v/>
      </c>
      <c r="AF2095" s="21">
        <f>-$B$1812</f>
        <v/>
      </c>
      <c r="AG2095" s="21">
        <f>$B$1814</f>
        <v/>
      </c>
      <c r="AH2095" s="21" t="n">
        <v>0</v>
      </c>
      <c r="AI2095" s="21" t="n">
        <v>0</v>
      </c>
      <c r="AJ2095" s="21" t="n">
        <v>0</v>
      </c>
      <c r="AK2095" s="21" t="n">
        <v>0</v>
      </c>
      <c r="AL2095" s="21" t="n">
        <v>0</v>
      </c>
      <c r="AM2095" s="21" t="n">
        <v>0</v>
      </c>
      <c r="AN2095" s="21" t="n">
        <v>0</v>
      </c>
      <c r="AO2095" s="21" t="n">
        <v>0</v>
      </c>
      <c r="AP2095" s="21" t="n">
        <v>0</v>
      </c>
      <c r="AQ2095" s="21" t="n">
        <v>0</v>
      </c>
      <c r="AR2095" s="21" t="n">
        <v>0</v>
      </c>
      <c r="AS2095" s="21" t="n">
        <v>0</v>
      </c>
      <c r="AT2095" s="19" t="n"/>
    </row>
    <row r="2096">
      <c r="D2096" s="21" t="n">
        <v>0</v>
      </c>
      <c r="E2096" s="21" t="n">
        <v>0</v>
      </c>
      <c r="F2096" s="21" t="n">
        <v>0</v>
      </c>
      <c r="G2096" s="21" t="n">
        <v>0</v>
      </c>
      <c r="H2096" s="21" t="n">
        <v>0</v>
      </c>
      <c r="I2096" s="21" t="n">
        <v>0</v>
      </c>
      <c r="J2096" s="21" t="n">
        <v>0</v>
      </c>
      <c r="K2096" s="21" t="n">
        <v>0</v>
      </c>
      <c r="L2096" s="21" t="n">
        <v>0</v>
      </c>
      <c r="M2096" s="21" t="n">
        <v>0</v>
      </c>
      <c r="N2096" s="21" t="n">
        <v>0</v>
      </c>
      <c r="O2096" s="21" t="n">
        <v>0</v>
      </c>
      <c r="P2096" s="21" t="n">
        <v>0</v>
      </c>
      <c r="Q2096" s="21" t="n">
        <v>0</v>
      </c>
      <c r="R2096" s="21" t="n">
        <v>0</v>
      </c>
      <c r="S2096" s="21" t="n">
        <v>0</v>
      </c>
      <c r="T2096" s="21" t="n">
        <v>0</v>
      </c>
      <c r="U2096" s="21" t="n">
        <v>0</v>
      </c>
      <c r="V2096" s="21" t="n">
        <v>0</v>
      </c>
      <c r="W2096" s="21" t="n">
        <v>0</v>
      </c>
      <c r="X2096" s="21" t="n">
        <v>0</v>
      </c>
      <c r="Y2096" s="21" t="n">
        <v>0</v>
      </c>
      <c r="Z2096" s="21" t="n">
        <v>0</v>
      </c>
      <c r="AA2096" s="21" t="n">
        <v>0</v>
      </c>
      <c r="AB2096" s="21" t="n">
        <v>0</v>
      </c>
      <c r="AC2096" s="21" t="n">
        <v>0</v>
      </c>
      <c r="AD2096" s="21">
        <f>-$B$1811</f>
        <v/>
      </c>
      <c r="AE2096" s="21">
        <f>-$B$1812</f>
        <v/>
      </c>
      <c r="AF2096" s="21">
        <f>2*$B$1811+$D$2060</f>
        <v/>
      </c>
      <c r="AG2096" s="21">
        <f>0</f>
        <v/>
      </c>
      <c r="AH2096" s="21">
        <f>-$B$1811</f>
        <v/>
      </c>
      <c r="AI2096" s="21">
        <f>$B$1812</f>
        <v/>
      </c>
      <c r="AJ2096" s="21" t="n">
        <v>0</v>
      </c>
      <c r="AK2096" s="21" t="n">
        <v>0</v>
      </c>
      <c r="AL2096" s="21" t="n">
        <v>0</v>
      </c>
      <c r="AM2096" s="21" t="n">
        <v>0</v>
      </c>
      <c r="AN2096" s="21" t="n">
        <v>0</v>
      </c>
      <c r="AO2096" s="21" t="n">
        <v>0</v>
      </c>
      <c r="AP2096" s="21" t="n">
        <v>0</v>
      </c>
      <c r="AQ2096" s="21" t="n">
        <v>0</v>
      </c>
      <c r="AR2096" s="21" t="n">
        <v>0</v>
      </c>
      <c r="AS2096" s="21" t="n">
        <v>0</v>
      </c>
      <c r="AT2096" s="19" t="n"/>
    </row>
    <row r="2097">
      <c r="D2097" s="21" t="n">
        <v>0</v>
      </c>
      <c r="E2097" s="21" t="n">
        <v>0</v>
      </c>
      <c r="F2097" s="21" t="n">
        <v>0</v>
      </c>
      <c r="G2097" s="21" t="n">
        <v>0</v>
      </c>
      <c r="H2097" s="21" t="n">
        <v>0</v>
      </c>
      <c r="I2097" s="21" t="n">
        <v>0</v>
      </c>
      <c r="J2097" s="21" t="n">
        <v>0</v>
      </c>
      <c r="K2097" s="21" t="n">
        <v>0</v>
      </c>
      <c r="L2097" s="21" t="n">
        <v>0</v>
      </c>
      <c r="M2097" s="21" t="n">
        <v>0</v>
      </c>
      <c r="N2097" s="21" t="n">
        <v>0</v>
      </c>
      <c r="O2097" s="21" t="n">
        <v>0</v>
      </c>
      <c r="P2097" s="21" t="n">
        <v>0</v>
      </c>
      <c r="Q2097" s="21" t="n">
        <v>0</v>
      </c>
      <c r="R2097" s="21" t="n">
        <v>0</v>
      </c>
      <c r="S2097" s="21" t="n">
        <v>0</v>
      </c>
      <c r="T2097" s="21" t="n">
        <v>0</v>
      </c>
      <c r="U2097" s="21" t="n">
        <v>0</v>
      </c>
      <c r="V2097" s="21" t="n">
        <v>0</v>
      </c>
      <c r="W2097" s="21" t="n">
        <v>0</v>
      </c>
      <c r="X2097" s="21" t="n">
        <v>0</v>
      </c>
      <c r="Y2097" s="21" t="n">
        <v>0</v>
      </c>
      <c r="Z2097" s="21" t="n">
        <v>0</v>
      </c>
      <c r="AA2097" s="21" t="n">
        <v>0</v>
      </c>
      <c r="AB2097" s="21" t="n">
        <v>0</v>
      </c>
      <c r="AC2097" s="21" t="n">
        <v>0</v>
      </c>
      <c r="AD2097" s="21">
        <f>$B$1812</f>
        <v/>
      </c>
      <c r="AE2097" s="21">
        <f>$B$1814</f>
        <v/>
      </c>
      <c r="AF2097" s="21">
        <f>0</f>
        <v/>
      </c>
      <c r="AG2097" s="21">
        <f>2*$B$1813</f>
        <v/>
      </c>
      <c r="AH2097" s="21">
        <f>-$B$1812</f>
        <v/>
      </c>
      <c r="AI2097" s="21">
        <f>$B$1814</f>
        <v/>
      </c>
      <c r="AJ2097" s="21" t="n">
        <v>0</v>
      </c>
      <c r="AK2097" s="21" t="n">
        <v>0</v>
      </c>
      <c r="AL2097" s="21" t="n">
        <v>0</v>
      </c>
      <c r="AM2097" s="21" t="n">
        <v>0</v>
      </c>
      <c r="AN2097" s="21" t="n">
        <v>0</v>
      </c>
      <c r="AO2097" s="21" t="n">
        <v>0</v>
      </c>
      <c r="AP2097" s="21" t="n">
        <v>0</v>
      </c>
      <c r="AQ2097" s="21" t="n">
        <v>0</v>
      </c>
      <c r="AR2097" s="21" t="n">
        <v>0</v>
      </c>
      <c r="AS2097" s="21" t="n">
        <v>0</v>
      </c>
      <c r="AT2097" s="19" t="n"/>
    </row>
    <row r="2098">
      <c r="D2098" s="21" t="n">
        <v>0</v>
      </c>
      <c r="E2098" s="21" t="n">
        <v>0</v>
      </c>
      <c r="F2098" s="21" t="n">
        <v>0</v>
      </c>
      <c r="G2098" s="21" t="n">
        <v>0</v>
      </c>
      <c r="H2098" s="21" t="n">
        <v>0</v>
      </c>
      <c r="I2098" s="21" t="n">
        <v>0</v>
      </c>
      <c r="J2098" s="21" t="n">
        <v>0</v>
      </c>
      <c r="K2098" s="21" t="n">
        <v>0</v>
      </c>
      <c r="L2098" s="21" t="n">
        <v>0</v>
      </c>
      <c r="M2098" s="21" t="n">
        <v>0</v>
      </c>
      <c r="N2098" s="21" t="n">
        <v>0</v>
      </c>
      <c r="O2098" s="21" t="n">
        <v>0</v>
      </c>
      <c r="P2098" s="21" t="n">
        <v>0</v>
      </c>
      <c r="Q2098" s="21" t="n">
        <v>0</v>
      </c>
      <c r="R2098" s="21" t="n">
        <v>0</v>
      </c>
      <c r="S2098" s="21" t="n">
        <v>0</v>
      </c>
      <c r="T2098" s="21" t="n">
        <v>0</v>
      </c>
      <c r="U2098" s="21" t="n">
        <v>0</v>
      </c>
      <c r="V2098" s="21" t="n">
        <v>0</v>
      </c>
      <c r="W2098" s="21" t="n">
        <v>0</v>
      </c>
      <c r="X2098" s="21" t="n">
        <v>0</v>
      </c>
      <c r="Y2098" s="21" t="n">
        <v>0</v>
      </c>
      <c r="Z2098" s="21" t="n">
        <v>0</v>
      </c>
      <c r="AA2098" s="21" t="n">
        <v>0</v>
      </c>
      <c r="AB2098" s="21" t="n">
        <v>0</v>
      </c>
      <c r="AC2098" s="21" t="n">
        <v>0</v>
      </c>
      <c r="AD2098" s="21" t="n">
        <v>0</v>
      </c>
      <c r="AE2098" s="21" t="n">
        <v>0</v>
      </c>
      <c r="AF2098" s="21">
        <f>-$B$1811</f>
        <v/>
      </c>
      <c r="AG2098" s="21">
        <f>-$B$1812</f>
        <v/>
      </c>
      <c r="AH2098" s="21">
        <f>2*$B$1811+$D$2061</f>
        <v/>
      </c>
      <c r="AI2098" s="21">
        <f>0</f>
        <v/>
      </c>
      <c r="AJ2098" s="21">
        <f>-$B$1811</f>
        <v/>
      </c>
      <c r="AK2098" s="21">
        <f>$B$1812</f>
        <v/>
      </c>
      <c r="AL2098" s="21" t="n">
        <v>0</v>
      </c>
      <c r="AM2098" s="21" t="n">
        <v>0</v>
      </c>
      <c r="AN2098" s="21" t="n">
        <v>0</v>
      </c>
      <c r="AO2098" s="21" t="n">
        <v>0</v>
      </c>
      <c r="AP2098" s="21" t="n">
        <v>0</v>
      </c>
      <c r="AQ2098" s="21" t="n">
        <v>0</v>
      </c>
      <c r="AR2098" s="21" t="n">
        <v>0</v>
      </c>
      <c r="AS2098" s="21" t="n">
        <v>0</v>
      </c>
      <c r="AT2098" s="19" t="n"/>
    </row>
    <row r="2099">
      <c r="D2099" s="21" t="n">
        <v>0</v>
      </c>
      <c r="E2099" s="21" t="n">
        <v>0</v>
      </c>
      <c r="F2099" s="21" t="n">
        <v>0</v>
      </c>
      <c r="G2099" s="21" t="n">
        <v>0</v>
      </c>
      <c r="H2099" s="21" t="n">
        <v>0</v>
      </c>
      <c r="I2099" s="21" t="n">
        <v>0</v>
      </c>
      <c r="J2099" s="21" t="n">
        <v>0</v>
      </c>
      <c r="K2099" s="21" t="n">
        <v>0</v>
      </c>
      <c r="L2099" s="21" t="n">
        <v>0</v>
      </c>
      <c r="M2099" s="21" t="n">
        <v>0</v>
      </c>
      <c r="N2099" s="21" t="n">
        <v>0</v>
      </c>
      <c r="O2099" s="21" t="n">
        <v>0</v>
      </c>
      <c r="P2099" s="21" t="n">
        <v>0</v>
      </c>
      <c r="Q2099" s="21" t="n">
        <v>0</v>
      </c>
      <c r="R2099" s="21" t="n">
        <v>0</v>
      </c>
      <c r="S2099" s="21" t="n">
        <v>0</v>
      </c>
      <c r="T2099" s="21" t="n">
        <v>0</v>
      </c>
      <c r="U2099" s="21" t="n">
        <v>0</v>
      </c>
      <c r="V2099" s="21" t="n">
        <v>0</v>
      </c>
      <c r="W2099" s="21" t="n">
        <v>0</v>
      </c>
      <c r="X2099" s="21" t="n">
        <v>0</v>
      </c>
      <c r="Y2099" s="21" t="n">
        <v>0</v>
      </c>
      <c r="Z2099" s="21" t="n">
        <v>0</v>
      </c>
      <c r="AA2099" s="21" t="n">
        <v>0</v>
      </c>
      <c r="AB2099" s="21" t="n">
        <v>0</v>
      </c>
      <c r="AC2099" s="21" t="n">
        <v>0</v>
      </c>
      <c r="AD2099" s="21" t="n">
        <v>0</v>
      </c>
      <c r="AE2099" s="21" t="n">
        <v>0</v>
      </c>
      <c r="AF2099" s="21">
        <f>$B$1812</f>
        <v/>
      </c>
      <c r="AG2099" s="21">
        <f>$B$1814</f>
        <v/>
      </c>
      <c r="AH2099" s="21">
        <f>0</f>
        <v/>
      </c>
      <c r="AI2099" s="21">
        <f>2*$B$1813</f>
        <v/>
      </c>
      <c r="AJ2099" s="21">
        <f>-$B$1812</f>
        <v/>
      </c>
      <c r="AK2099" s="21">
        <f>$B$1814</f>
        <v/>
      </c>
      <c r="AL2099" s="21" t="n">
        <v>0</v>
      </c>
      <c r="AM2099" s="21" t="n">
        <v>0</v>
      </c>
      <c r="AN2099" s="21" t="n">
        <v>0</v>
      </c>
      <c r="AO2099" s="21" t="n">
        <v>0</v>
      </c>
      <c r="AP2099" s="21" t="n">
        <v>0</v>
      </c>
      <c r="AQ2099" s="21" t="n">
        <v>0</v>
      </c>
      <c r="AR2099" s="21" t="n">
        <v>0</v>
      </c>
      <c r="AS2099" s="21" t="n">
        <v>0</v>
      </c>
      <c r="AT2099" s="19" t="n"/>
    </row>
    <row r="2100">
      <c r="D2100" s="21" t="n">
        <v>0</v>
      </c>
      <c r="E2100" s="21" t="n">
        <v>0</v>
      </c>
      <c r="F2100" s="21" t="n">
        <v>0</v>
      </c>
      <c r="G2100" s="21" t="n">
        <v>0</v>
      </c>
      <c r="H2100" s="21" t="n">
        <v>0</v>
      </c>
      <c r="I2100" s="21" t="n">
        <v>0</v>
      </c>
      <c r="J2100" s="21" t="n">
        <v>0</v>
      </c>
      <c r="K2100" s="21" t="n">
        <v>0</v>
      </c>
      <c r="L2100" s="21" t="n">
        <v>0</v>
      </c>
      <c r="M2100" s="21" t="n">
        <v>0</v>
      </c>
      <c r="N2100" s="21" t="n">
        <v>0</v>
      </c>
      <c r="O2100" s="21" t="n">
        <v>0</v>
      </c>
      <c r="P2100" s="21" t="n">
        <v>0</v>
      </c>
      <c r="Q2100" s="21" t="n">
        <v>0</v>
      </c>
      <c r="R2100" s="21" t="n">
        <v>0</v>
      </c>
      <c r="S2100" s="21" t="n">
        <v>0</v>
      </c>
      <c r="T2100" s="21" t="n">
        <v>0</v>
      </c>
      <c r="U2100" s="21" t="n">
        <v>0</v>
      </c>
      <c r="V2100" s="21" t="n">
        <v>0</v>
      </c>
      <c r="W2100" s="21" t="n">
        <v>0</v>
      </c>
      <c r="X2100" s="21" t="n">
        <v>0</v>
      </c>
      <c r="Y2100" s="21" t="n">
        <v>0</v>
      </c>
      <c r="Z2100" s="21" t="n">
        <v>0</v>
      </c>
      <c r="AA2100" s="21" t="n">
        <v>0</v>
      </c>
      <c r="AB2100" s="21" t="n">
        <v>0</v>
      </c>
      <c r="AC2100" s="21" t="n">
        <v>0</v>
      </c>
      <c r="AD2100" s="21" t="n">
        <v>0</v>
      </c>
      <c r="AE2100" s="21" t="n">
        <v>0</v>
      </c>
      <c r="AF2100" s="21" t="n">
        <v>0</v>
      </c>
      <c r="AG2100" s="21" t="n">
        <v>0</v>
      </c>
      <c r="AH2100" s="21">
        <f>-$B$1811</f>
        <v/>
      </c>
      <c r="AI2100" s="21">
        <f>-$B$1812</f>
        <v/>
      </c>
      <c r="AJ2100" s="21">
        <f>2*$B$1811+$D$2062</f>
        <v/>
      </c>
      <c r="AK2100" s="21">
        <f>0</f>
        <v/>
      </c>
      <c r="AL2100" s="21">
        <f>-$B$1811</f>
        <v/>
      </c>
      <c r="AM2100" s="21">
        <f>$B$1812</f>
        <v/>
      </c>
      <c r="AN2100" s="21" t="n">
        <v>0</v>
      </c>
      <c r="AO2100" s="21" t="n">
        <v>0</v>
      </c>
      <c r="AP2100" s="21" t="n">
        <v>0</v>
      </c>
      <c r="AQ2100" s="21" t="n">
        <v>0</v>
      </c>
      <c r="AR2100" s="21" t="n">
        <v>0</v>
      </c>
      <c r="AS2100" s="21" t="n">
        <v>0</v>
      </c>
      <c r="AT2100" s="19" t="n"/>
    </row>
    <row r="2101">
      <c r="D2101" s="21" t="n">
        <v>0</v>
      </c>
      <c r="E2101" s="21" t="n">
        <v>0</v>
      </c>
      <c r="F2101" s="21" t="n">
        <v>0</v>
      </c>
      <c r="G2101" s="21" t="n">
        <v>0</v>
      </c>
      <c r="H2101" s="21" t="n">
        <v>0</v>
      </c>
      <c r="I2101" s="21" t="n">
        <v>0</v>
      </c>
      <c r="J2101" s="21" t="n">
        <v>0</v>
      </c>
      <c r="K2101" s="21" t="n">
        <v>0</v>
      </c>
      <c r="L2101" s="21" t="n">
        <v>0</v>
      </c>
      <c r="M2101" s="21" t="n">
        <v>0</v>
      </c>
      <c r="N2101" s="21" t="n">
        <v>0</v>
      </c>
      <c r="O2101" s="21" t="n">
        <v>0</v>
      </c>
      <c r="P2101" s="21" t="n">
        <v>0</v>
      </c>
      <c r="Q2101" s="21" t="n">
        <v>0</v>
      </c>
      <c r="R2101" s="21" t="n">
        <v>0</v>
      </c>
      <c r="S2101" s="21" t="n">
        <v>0</v>
      </c>
      <c r="T2101" s="21" t="n">
        <v>0</v>
      </c>
      <c r="U2101" s="21" t="n">
        <v>0</v>
      </c>
      <c r="V2101" s="21" t="n">
        <v>0</v>
      </c>
      <c r="W2101" s="21" t="n">
        <v>0</v>
      </c>
      <c r="X2101" s="21" t="n">
        <v>0</v>
      </c>
      <c r="Y2101" s="21" t="n">
        <v>0</v>
      </c>
      <c r="Z2101" s="21" t="n">
        <v>0</v>
      </c>
      <c r="AA2101" s="21" t="n">
        <v>0</v>
      </c>
      <c r="AB2101" s="21" t="n">
        <v>0</v>
      </c>
      <c r="AC2101" s="21" t="n">
        <v>0</v>
      </c>
      <c r="AD2101" s="21" t="n">
        <v>0</v>
      </c>
      <c r="AE2101" s="21" t="n">
        <v>0</v>
      </c>
      <c r="AF2101" s="21" t="n">
        <v>0</v>
      </c>
      <c r="AG2101" s="21" t="n">
        <v>0</v>
      </c>
      <c r="AH2101" s="21">
        <f>$B$1812</f>
        <v/>
      </c>
      <c r="AI2101" s="21">
        <f>$B$1814</f>
        <v/>
      </c>
      <c r="AJ2101" s="21">
        <f>0</f>
        <v/>
      </c>
      <c r="AK2101" s="21">
        <f>2*$B$1813</f>
        <v/>
      </c>
      <c r="AL2101" s="21">
        <f>-$B$1812</f>
        <v/>
      </c>
      <c r="AM2101" s="21">
        <f>$B$1814</f>
        <v/>
      </c>
      <c r="AN2101" s="21" t="n">
        <v>0</v>
      </c>
      <c r="AO2101" s="21" t="n">
        <v>0</v>
      </c>
      <c r="AP2101" s="21" t="n">
        <v>0</v>
      </c>
      <c r="AQ2101" s="21" t="n">
        <v>0</v>
      </c>
      <c r="AR2101" s="21" t="n">
        <v>0</v>
      </c>
      <c r="AS2101" s="21" t="n">
        <v>0</v>
      </c>
      <c r="AT2101" s="19" t="n"/>
    </row>
    <row r="2102">
      <c r="D2102" s="21" t="n">
        <v>0</v>
      </c>
      <c r="E2102" s="21" t="n">
        <v>0</v>
      </c>
      <c r="F2102" s="21" t="n">
        <v>0</v>
      </c>
      <c r="G2102" s="21" t="n">
        <v>0</v>
      </c>
      <c r="H2102" s="21" t="n">
        <v>0</v>
      </c>
      <c r="I2102" s="21" t="n">
        <v>0</v>
      </c>
      <c r="J2102" s="21" t="n">
        <v>0</v>
      </c>
      <c r="K2102" s="21" t="n">
        <v>0</v>
      </c>
      <c r="L2102" s="21" t="n">
        <v>0</v>
      </c>
      <c r="M2102" s="21" t="n">
        <v>0</v>
      </c>
      <c r="N2102" s="21" t="n">
        <v>0</v>
      </c>
      <c r="O2102" s="21" t="n">
        <v>0</v>
      </c>
      <c r="P2102" s="21" t="n">
        <v>0</v>
      </c>
      <c r="Q2102" s="21" t="n">
        <v>0</v>
      </c>
      <c r="R2102" s="21" t="n">
        <v>0</v>
      </c>
      <c r="S2102" s="21" t="n">
        <v>0</v>
      </c>
      <c r="T2102" s="21" t="n">
        <v>0</v>
      </c>
      <c r="U2102" s="21" t="n">
        <v>0</v>
      </c>
      <c r="V2102" s="21" t="n">
        <v>0</v>
      </c>
      <c r="W2102" s="21" t="n">
        <v>0</v>
      </c>
      <c r="X2102" s="21" t="n">
        <v>0</v>
      </c>
      <c r="Y2102" s="21" t="n">
        <v>0</v>
      </c>
      <c r="Z2102" s="21" t="n">
        <v>0</v>
      </c>
      <c r="AA2102" s="21" t="n">
        <v>0</v>
      </c>
      <c r="AB2102" s="21" t="n">
        <v>0</v>
      </c>
      <c r="AC2102" s="21" t="n">
        <v>0</v>
      </c>
      <c r="AD2102" s="21" t="n">
        <v>0</v>
      </c>
      <c r="AE2102" s="21" t="n">
        <v>0</v>
      </c>
      <c r="AF2102" s="21" t="n">
        <v>0</v>
      </c>
      <c r="AG2102" s="21" t="n">
        <v>0</v>
      </c>
      <c r="AH2102" s="21" t="n">
        <v>0</v>
      </c>
      <c r="AI2102" s="21" t="n">
        <v>0</v>
      </c>
      <c r="AJ2102" s="21">
        <f>-$B$1811</f>
        <v/>
      </c>
      <c r="AK2102" s="21">
        <f>-$B$1812</f>
        <v/>
      </c>
      <c r="AL2102" s="21">
        <f>2*$B$1811+$D$2063</f>
        <v/>
      </c>
      <c r="AM2102" s="21">
        <f>0</f>
        <v/>
      </c>
      <c r="AN2102" s="21">
        <f>-$B$1811</f>
        <v/>
      </c>
      <c r="AO2102" s="21">
        <f>$B$1812</f>
        <v/>
      </c>
      <c r="AP2102" s="21" t="n">
        <v>0</v>
      </c>
      <c r="AQ2102" s="21" t="n">
        <v>0</v>
      </c>
      <c r="AR2102" s="21" t="n">
        <v>0</v>
      </c>
      <c r="AS2102" s="21" t="n">
        <v>0</v>
      </c>
      <c r="AT2102" s="19" t="n"/>
    </row>
    <row r="2103">
      <c r="D2103" s="21" t="n">
        <v>0</v>
      </c>
      <c r="E2103" s="21" t="n">
        <v>0</v>
      </c>
      <c r="F2103" s="21" t="n">
        <v>0</v>
      </c>
      <c r="G2103" s="21" t="n">
        <v>0</v>
      </c>
      <c r="H2103" s="21" t="n">
        <v>0</v>
      </c>
      <c r="I2103" s="21" t="n">
        <v>0</v>
      </c>
      <c r="J2103" s="21" t="n">
        <v>0</v>
      </c>
      <c r="K2103" s="21" t="n">
        <v>0</v>
      </c>
      <c r="L2103" s="21" t="n">
        <v>0</v>
      </c>
      <c r="M2103" s="21" t="n">
        <v>0</v>
      </c>
      <c r="N2103" s="21" t="n">
        <v>0</v>
      </c>
      <c r="O2103" s="21" t="n">
        <v>0</v>
      </c>
      <c r="P2103" s="21" t="n">
        <v>0</v>
      </c>
      <c r="Q2103" s="21" t="n">
        <v>0</v>
      </c>
      <c r="R2103" s="21" t="n">
        <v>0</v>
      </c>
      <c r="S2103" s="21" t="n">
        <v>0</v>
      </c>
      <c r="T2103" s="21" t="n">
        <v>0</v>
      </c>
      <c r="U2103" s="21" t="n">
        <v>0</v>
      </c>
      <c r="V2103" s="21" t="n">
        <v>0</v>
      </c>
      <c r="W2103" s="21" t="n">
        <v>0</v>
      </c>
      <c r="X2103" s="21" t="n">
        <v>0</v>
      </c>
      <c r="Y2103" s="21" t="n">
        <v>0</v>
      </c>
      <c r="Z2103" s="21" t="n">
        <v>0</v>
      </c>
      <c r="AA2103" s="21" t="n">
        <v>0</v>
      </c>
      <c r="AB2103" s="21" t="n">
        <v>0</v>
      </c>
      <c r="AC2103" s="21" t="n">
        <v>0</v>
      </c>
      <c r="AD2103" s="21" t="n">
        <v>0</v>
      </c>
      <c r="AE2103" s="21" t="n">
        <v>0</v>
      </c>
      <c r="AF2103" s="21" t="n">
        <v>0</v>
      </c>
      <c r="AG2103" s="21" t="n">
        <v>0</v>
      </c>
      <c r="AH2103" s="21" t="n">
        <v>0</v>
      </c>
      <c r="AI2103" s="21" t="n">
        <v>0</v>
      </c>
      <c r="AJ2103" s="21">
        <f>$B$1812</f>
        <v/>
      </c>
      <c r="AK2103" s="21">
        <f>$B$1814</f>
        <v/>
      </c>
      <c r="AL2103" s="21">
        <f>0</f>
        <v/>
      </c>
      <c r="AM2103" s="21">
        <f>2*$B$1813</f>
        <v/>
      </c>
      <c r="AN2103" s="21">
        <f>-$B$1812</f>
        <v/>
      </c>
      <c r="AO2103" s="21">
        <f>$B$1814</f>
        <v/>
      </c>
      <c r="AP2103" s="21" t="n">
        <v>0</v>
      </c>
      <c r="AQ2103" s="21" t="n">
        <v>0</v>
      </c>
      <c r="AR2103" s="21" t="n">
        <v>0</v>
      </c>
      <c r="AS2103" s="21" t="n">
        <v>0</v>
      </c>
      <c r="AT2103" s="19" t="n"/>
    </row>
    <row r="2104">
      <c r="D2104" s="21" t="n">
        <v>0</v>
      </c>
      <c r="E2104" s="21" t="n">
        <v>0</v>
      </c>
      <c r="F2104" s="21" t="n">
        <v>0</v>
      </c>
      <c r="G2104" s="21" t="n">
        <v>0</v>
      </c>
      <c r="H2104" s="21" t="n">
        <v>0</v>
      </c>
      <c r="I2104" s="21" t="n">
        <v>0</v>
      </c>
      <c r="J2104" s="21" t="n">
        <v>0</v>
      </c>
      <c r="K2104" s="21" t="n">
        <v>0</v>
      </c>
      <c r="L2104" s="21" t="n">
        <v>0</v>
      </c>
      <c r="M2104" s="21" t="n">
        <v>0</v>
      </c>
      <c r="N2104" s="21" t="n">
        <v>0</v>
      </c>
      <c r="O2104" s="21" t="n">
        <v>0</v>
      </c>
      <c r="P2104" s="21" t="n">
        <v>0</v>
      </c>
      <c r="Q2104" s="21" t="n">
        <v>0</v>
      </c>
      <c r="R2104" s="21" t="n">
        <v>0</v>
      </c>
      <c r="S2104" s="21" t="n">
        <v>0</v>
      </c>
      <c r="T2104" s="21" t="n">
        <v>0</v>
      </c>
      <c r="U2104" s="21" t="n">
        <v>0</v>
      </c>
      <c r="V2104" s="21" t="n">
        <v>0</v>
      </c>
      <c r="W2104" s="21" t="n">
        <v>0</v>
      </c>
      <c r="X2104" s="21" t="n">
        <v>0</v>
      </c>
      <c r="Y2104" s="21" t="n">
        <v>0</v>
      </c>
      <c r="Z2104" s="21" t="n">
        <v>0</v>
      </c>
      <c r="AA2104" s="21" t="n">
        <v>0</v>
      </c>
      <c r="AB2104" s="21" t="n">
        <v>0</v>
      </c>
      <c r="AC2104" s="21" t="n">
        <v>0</v>
      </c>
      <c r="AD2104" s="21" t="n">
        <v>0</v>
      </c>
      <c r="AE2104" s="21" t="n">
        <v>0</v>
      </c>
      <c r="AF2104" s="21" t="n">
        <v>0</v>
      </c>
      <c r="AG2104" s="21" t="n">
        <v>0</v>
      </c>
      <c r="AH2104" s="21" t="n">
        <v>0</v>
      </c>
      <c r="AI2104" s="21" t="n">
        <v>0</v>
      </c>
      <c r="AJ2104" s="21" t="n">
        <v>0</v>
      </c>
      <c r="AK2104" s="21" t="n">
        <v>0</v>
      </c>
      <c r="AL2104" s="21">
        <f>-$B$1811</f>
        <v/>
      </c>
      <c r="AM2104" s="21">
        <f>-$B$1812</f>
        <v/>
      </c>
      <c r="AN2104" s="21">
        <f>2*$B$1811+$D$2064</f>
        <v/>
      </c>
      <c r="AO2104" s="21">
        <f>0</f>
        <v/>
      </c>
      <c r="AP2104" s="21">
        <f>-$B$1811</f>
        <v/>
      </c>
      <c r="AQ2104" s="21">
        <f>$B$1812</f>
        <v/>
      </c>
      <c r="AR2104" s="21" t="n">
        <v>0</v>
      </c>
      <c r="AS2104" s="21" t="n">
        <v>0</v>
      </c>
      <c r="AT2104" s="19" t="n"/>
    </row>
    <row r="2105">
      <c r="D2105" s="21" t="n">
        <v>0</v>
      </c>
      <c r="E2105" s="21" t="n">
        <v>0</v>
      </c>
      <c r="F2105" s="21" t="n">
        <v>0</v>
      </c>
      <c r="G2105" s="21" t="n">
        <v>0</v>
      </c>
      <c r="H2105" s="21" t="n">
        <v>0</v>
      </c>
      <c r="I2105" s="21" t="n">
        <v>0</v>
      </c>
      <c r="J2105" s="21" t="n">
        <v>0</v>
      </c>
      <c r="K2105" s="21" t="n">
        <v>0</v>
      </c>
      <c r="L2105" s="21" t="n">
        <v>0</v>
      </c>
      <c r="M2105" s="21" t="n">
        <v>0</v>
      </c>
      <c r="N2105" s="21" t="n">
        <v>0</v>
      </c>
      <c r="O2105" s="21" t="n">
        <v>0</v>
      </c>
      <c r="P2105" s="21" t="n">
        <v>0</v>
      </c>
      <c r="Q2105" s="21" t="n">
        <v>0</v>
      </c>
      <c r="R2105" s="21" t="n">
        <v>0</v>
      </c>
      <c r="S2105" s="21" t="n">
        <v>0</v>
      </c>
      <c r="T2105" s="21" t="n">
        <v>0</v>
      </c>
      <c r="U2105" s="21" t="n">
        <v>0</v>
      </c>
      <c r="V2105" s="21" t="n">
        <v>0</v>
      </c>
      <c r="W2105" s="21" t="n">
        <v>0</v>
      </c>
      <c r="X2105" s="21" t="n">
        <v>0</v>
      </c>
      <c r="Y2105" s="21" t="n">
        <v>0</v>
      </c>
      <c r="Z2105" s="21" t="n">
        <v>0</v>
      </c>
      <c r="AA2105" s="21" t="n">
        <v>0</v>
      </c>
      <c r="AB2105" s="21" t="n">
        <v>0</v>
      </c>
      <c r="AC2105" s="21" t="n">
        <v>0</v>
      </c>
      <c r="AD2105" s="21" t="n">
        <v>0</v>
      </c>
      <c r="AE2105" s="21" t="n">
        <v>0</v>
      </c>
      <c r="AF2105" s="21" t="n">
        <v>0</v>
      </c>
      <c r="AG2105" s="21" t="n">
        <v>0</v>
      </c>
      <c r="AH2105" s="21" t="n">
        <v>0</v>
      </c>
      <c r="AI2105" s="21" t="n">
        <v>0</v>
      </c>
      <c r="AJ2105" s="21" t="n">
        <v>0</v>
      </c>
      <c r="AK2105" s="21" t="n">
        <v>0</v>
      </c>
      <c r="AL2105" s="21">
        <f>$B$1812</f>
        <v/>
      </c>
      <c r="AM2105" s="21">
        <f>$B$1814</f>
        <v/>
      </c>
      <c r="AN2105" s="21">
        <f>0</f>
        <v/>
      </c>
      <c r="AO2105" s="21">
        <f>2*$B$1813</f>
        <v/>
      </c>
      <c r="AP2105" s="21">
        <f>-$B$1812</f>
        <v/>
      </c>
      <c r="AQ2105" s="21">
        <f>$B$1814</f>
        <v/>
      </c>
      <c r="AR2105" s="21" t="n">
        <v>0</v>
      </c>
      <c r="AS2105" s="21" t="n">
        <v>0</v>
      </c>
      <c r="AT2105" s="19" t="n"/>
    </row>
    <row r="2106">
      <c r="D2106" s="21" t="n">
        <v>0</v>
      </c>
      <c r="E2106" s="21" t="n">
        <v>0</v>
      </c>
      <c r="F2106" s="21" t="n">
        <v>0</v>
      </c>
      <c r="G2106" s="21" t="n">
        <v>0</v>
      </c>
      <c r="H2106" s="21" t="n">
        <v>0</v>
      </c>
      <c r="I2106" s="21" t="n">
        <v>0</v>
      </c>
      <c r="J2106" s="21" t="n">
        <v>0</v>
      </c>
      <c r="K2106" s="21" t="n">
        <v>0</v>
      </c>
      <c r="L2106" s="21" t="n">
        <v>0</v>
      </c>
      <c r="M2106" s="21" t="n">
        <v>0</v>
      </c>
      <c r="N2106" s="21" t="n">
        <v>0</v>
      </c>
      <c r="O2106" s="21" t="n">
        <v>0</v>
      </c>
      <c r="P2106" s="21" t="n">
        <v>0</v>
      </c>
      <c r="Q2106" s="21" t="n">
        <v>0</v>
      </c>
      <c r="R2106" s="21" t="n">
        <v>0</v>
      </c>
      <c r="S2106" s="21" t="n">
        <v>0</v>
      </c>
      <c r="T2106" s="21" t="n">
        <v>0</v>
      </c>
      <c r="U2106" s="21" t="n">
        <v>0</v>
      </c>
      <c r="V2106" s="21" t="n">
        <v>0</v>
      </c>
      <c r="W2106" s="21" t="n">
        <v>0</v>
      </c>
      <c r="X2106" s="21" t="n">
        <v>0</v>
      </c>
      <c r="Y2106" s="21" t="n">
        <v>0</v>
      </c>
      <c r="Z2106" s="21" t="n">
        <v>0</v>
      </c>
      <c r="AA2106" s="21" t="n">
        <v>0</v>
      </c>
      <c r="AB2106" s="21" t="n">
        <v>0</v>
      </c>
      <c r="AC2106" s="21" t="n">
        <v>0</v>
      </c>
      <c r="AD2106" s="21" t="n">
        <v>0</v>
      </c>
      <c r="AE2106" s="21" t="n">
        <v>0</v>
      </c>
      <c r="AF2106" s="21" t="n">
        <v>0</v>
      </c>
      <c r="AG2106" s="21" t="n">
        <v>0</v>
      </c>
      <c r="AH2106" s="21" t="n">
        <v>0</v>
      </c>
      <c r="AI2106" s="21" t="n">
        <v>0</v>
      </c>
      <c r="AJ2106" s="21" t="n">
        <v>0</v>
      </c>
      <c r="AK2106" s="21" t="n">
        <v>0</v>
      </c>
      <c r="AL2106" s="21" t="n">
        <v>0</v>
      </c>
      <c r="AM2106" s="21" t="n">
        <v>0</v>
      </c>
      <c r="AN2106" s="21">
        <f>-$B$1811</f>
        <v/>
      </c>
      <c r="AO2106" s="21">
        <f>-$B$1812</f>
        <v/>
      </c>
      <c r="AP2106" s="21">
        <f>2*$B$1811+$D$2065</f>
        <v/>
      </c>
      <c r="AQ2106" s="21">
        <f>0</f>
        <v/>
      </c>
      <c r="AR2106" s="21">
        <f>-$B$1811</f>
        <v/>
      </c>
      <c r="AS2106" s="21">
        <f>$B$1812</f>
        <v/>
      </c>
      <c r="AT2106" s="19" t="n"/>
    </row>
    <row r="2107">
      <c r="D2107" s="21" t="n">
        <v>0</v>
      </c>
      <c r="E2107" s="21" t="n">
        <v>0</v>
      </c>
      <c r="F2107" s="21" t="n">
        <v>0</v>
      </c>
      <c r="G2107" s="21" t="n">
        <v>0</v>
      </c>
      <c r="H2107" s="21" t="n">
        <v>0</v>
      </c>
      <c r="I2107" s="21" t="n">
        <v>0</v>
      </c>
      <c r="J2107" s="21" t="n">
        <v>0</v>
      </c>
      <c r="K2107" s="21" t="n">
        <v>0</v>
      </c>
      <c r="L2107" s="21" t="n">
        <v>0</v>
      </c>
      <c r="M2107" s="21" t="n">
        <v>0</v>
      </c>
      <c r="N2107" s="21" t="n">
        <v>0</v>
      </c>
      <c r="O2107" s="21" t="n">
        <v>0</v>
      </c>
      <c r="P2107" s="21" t="n">
        <v>0</v>
      </c>
      <c r="Q2107" s="21" t="n">
        <v>0</v>
      </c>
      <c r="R2107" s="21" t="n">
        <v>0</v>
      </c>
      <c r="S2107" s="21" t="n">
        <v>0</v>
      </c>
      <c r="T2107" s="21" t="n">
        <v>0</v>
      </c>
      <c r="U2107" s="21" t="n">
        <v>0</v>
      </c>
      <c r="V2107" s="21" t="n">
        <v>0</v>
      </c>
      <c r="W2107" s="21" t="n">
        <v>0</v>
      </c>
      <c r="X2107" s="21" t="n">
        <v>0</v>
      </c>
      <c r="Y2107" s="21" t="n">
        <v>0</v>
      </c>
      <c r="Z2107" s="21" t="n">
        <v>0</v>
      </c>
      <c r="AA2107" s="21" t="n">
        <v>0</v>
      </c>
      <c r="AB2107" s="21" t="n">
        <v>0</v>
      </c>
      <c r="AC2107" s="21" t="n">
        <v>0</v>
      </c>
      <c r="AD2107" s="21" t="n">
        <v>0</v>
      </c>
      <c r="AE2107" s="21" t="n">
        <v>0</v>
      </c>
      <c r="AF2107" s="21" t="n">
        <v>0</v>
      </c>
      <c r="AG2107" s="21" t="n">
        <v>0</v>
      </c>
      <c r="AH2107" s="21" t="n">
        <v>0</v>
      </c>
      <c r="AI2107" s="21" t="n">
        <v>0</v>
      </c>
      <c r="AJ2107" s="21" t="n">
        <v>0</v>
      </c>
      <c r="AK2107" s="21" t="n">
        <v>0</v>
      </c>
      <c r="AL2107" s="21" t="n">
        <v>0</v>
      </c>
      <c r="AM2107" s="21" t="n">
        <v>0</v>
      </c>
      <c r="AN2107" s="21">
        <f>$B$1812</f>
        <v/>
      </c>
      <c r="AO2107" s="21">
        <f>$B$1814</f>
        <v/>
      </c>
      <c r="AP2107" s="21">
        <f>0</f>
        <v/>
      </c>
      <c r="AQ2107" s="21">
        <f>2*$B$1813</f>
        <v/>
      </c>
      <c r="AR2107" s="21">
        <f>-$B$1812</f>
        <v/>
      </c>
      <c r="AS2107" s="21">
        <f>$B$1814</f>
        <v/>
      </c>
      <c r="AT2107" s="19" t="n"/>
    </row>
    <row r="2108">
      <c r="D2108" s="21" t="n">
        <v>0</v>
      </c>
      <c r="E2108" s="21" t="n">
        <v>0</v>
      </c>
      <c r="F2108" s="21" t="n">
        <v>0</v>
      </c>
      <c r="G2108" s="21" t="n">
        <v>0</v>
      </c>
      <c r="H2108" s="21" t="n">
        <v>0</v>
      </c>
      <c r="I2108" s="21" t="n">
        <v>0</v>
      </c>
      <c r="J2108" s="21" t="n">
        <v>0</v>
      </c>
      <c r="K2108" s="21" t="n">
        <v>0</v>
      </c>
      <c r="L2108" s="21" t="n">
        <v>0</v>
      </c>
      <c r="M2108" s="21" t="n">
        <v>0</v>
      </c>
      <c r="N2108" s="21" t="n">
        <v>0</v>
      </c>
      <c r="O2108" s="21" t="n">
        <v>0</v>
      </c>
      <c r="P2108" s="21" t="n">
        <v>0</v>
      </c>
      <c r="Q2108" s="21" t="n">
        <v>0</v>
      </c>
      <c r="R2108" s="21" t="n">
        <v>0</v>
      </c>
      <c r="S2108" s="21" t="n">
        <v>0</v>
      </c>
      <c r="T2108" s="21" t="n">
        <v>0</v>
      </c>
      <c r="U2108" s="21" t="n">
        <v>0</v>
      </c>
      <c r="V2108" s="21" t="n">
        <v>0</v>
      </c>
      <c r="W2108" s="21" t="n">
        <v>0</v>
      </c>
      <c r="X2108" s="21" t="n">
        <v>0</v>
      </c>
      <c r="Y2108" s="21" t="n">
        <v>0</v>
      </c>
      <c r="Z2108" s="21" t="n">
        <v>0</v>
      </c>
      <c r="AA2108" s="21" t="n">
        <v>0</v>
      </c>
      <c r="AB2108" s="21" t="n">
        <v>0</v>
      </c>
      <c r="AC2108" s="21" t="n">
        <v>0</v>
      </c>
      <c r="AD2108" s="21" t="n">
        <v>0</v>
      </c>
      <c r="AE2108" s="21" t="n">
        <v>0</v>
      </c>
      <c r="AF2108" s="21" t="n">
        <v>0</v>
      </c>
      <c r="AG2108" s="21" t="n">
        <v>0</v>
      </c>
      <c r="AH2108" s="21" t="n">
        <v>0</v>
      </c>
      <c r="AI2108" s="21" t="n">
        <v>0</v>
      </c>
      <c r="AJ2108" s="21" t="n">
        <v>0</v>
      </c>
      <c r="AK2108" s="21" t="n">
        <v>0</v>
      </c>
      <c r="AL2108" s="21" t="n">
        <v>0</v>
      </c>
      <c r="AM2108" s="21" t="n">
        <v>0</v>
      </c>
      <c r="AN2108" s="21" t="n">
        <v>0</v>
      </c>
      <c r="AO2108" s="21" t="n">
        <v>0</v>
      </c>
      <c r="AP2108" s="21">
        <f>-$B$1811</f>
        <v/>
      </c>
      <c r="AQ2108" s="21">
        <f>-$B$1812</f>
        <v/>
      </c>
      <c r="AR2108" s="21">
        <f>$B$1811+$D$2066</f>
        <v/>
      </c>
      <c r="AS2108" s="21">
        <f>-$B$1812</f>
        <v/>
      </c>
      <c r="AT2108" s="19" t="n"/>
    </row>
    <row r="2109">
      <c r="D2109" s="21" t="n">
        <v>0</v>
      </c>
      <c r="E2109" s="21" t="n">
        <v>0</v>
      </c>
      <c r="F2109" s="21" t="n">
        <v>0</v>
      </c>
      <c r="G2109" s="21" t="n">
        <v>0</v>
      </c>
      <c r="H2109" s="21" t="n">
        <v>0</v>
      </c>
      <c r="I2109" s="21" t="n">
        <v>0</v>
      </c>
      <c r="J2109" s="21" t="n">
        <v>0</v>
      </c>
      <c r="K2109" s="21" t="n">
        <v>0</v>
      </c>
      <c r="L2109" s="21" t="n">
        <v>0</v>
      </c>
      <c r="M2109" s="21" t="n">
        <v>0</v>
      </c>
      <c r="N2109" s="21" t="n">
        <v>0</v>
      </c>
      <c r="O2109" s="21" t="n">
        <v>0</v>
      </c>
      <c r="P2109" s="21" t="n">
        <v>0</v>
      </c>
      <c r="Q2109" s="21" t="n">
        <v>0</v>
      </c>
      <c r="R2109" s="21" t="n">
        <v>0</v>
      </c>
      <c r="S2109" s="21" t="n">
        <v>0</v>
      </c>
      <c r="T2109" s="21" t="n">
        <v>0</v>
      </c>
      <c r="U2109" s="21" t="n">
        <v>0</v>
      </c>
      <c r="V2109" s="21" t="n">
        <v>0</v>
      </c>
      <c r="W2109" s="21" t="n">
        <v>0</v>
      </c>
      <c r="X2109" s="21" t="n">
        <v>0</v>
      </c>
      <c r="Y2109" s="21" t="n">
        <v>0</v>
      </c>
      <c r="Z2109" s="21" t="n">
        <v>0</v>
      </c>
      <c r="AA2109" s="21" t="n">
        <v>0</v>
      </c>
      <c r="AB2109" s="21" t="n">
        <v>0</v>
      </c>
      <c r="AC2109" s="21" t="n">
        <v>0</v>
      </c>
      <c r="AD2109" s="21" t="n">
        <v>0</v>
      </c>
      <c r="AE2109" s="21" t="n">
        <v>0</v>
      </c>
      <c r="AF2109" s="21" t="n">
        <v>0</v>
      </c>
      <c r="AG2109" s="21" t="n">
        <v>0</v>
      </c>
      <c r="AH2109" s="21" t="n">
        <v>0</v>
      </c>
      <c r="AI2109" s="21" t="n">
        <v>0</v>
      </c>
      <c r="AJ2109" s="21" t="n">
        <v>0</v>
      </c>
      <c r="AK2109" s="21" t="n">
        <v>0</v>
      </c>
      <c r="AL2109" s="21" t="n">
        <v>0</v>
      </c>
      <c r="AM2109" s="21" t="n">
        <v>0</v>
      </c>
      <c r="AN2109" s="21" t="n">
        <v>0</v>
      </c>
      <c r="AO2109" s="21" t="n">
        <v>0</v>
      </c>
      <c r="AP2109" s="21">
        <f>$B$1812</f>
        <v/>
      </c>
      <c r="AQ2109" s="21">
        <f>$B$1814</f>
        <v/>
      </c>
      <c r="AR2109" s="21">
        <f>-$B$1812</f>
        <v/>
      </c>
      <c r="AS2109" s="21">
        <f>$B$1813</f>
        <v/>
      </c>
      <c r="AT2109" s="19" t="n"/>
    </row>
    <row r="2111">
      <c r="A2111" s="8" t="inlineStr">
        <is>
          <t>gen 4</t>
        </is>
      </c>
    </row>
    <row r="2112">
      <c r="D2112" s="19">
        <f>IF(ABS(IF(ABS($E$2046)&gt;0.000000001,$E$2046,0.000000001))=0,0,IF($E$1826&lt;=$B$1820,0,IF(ABS(IF(ABS($E$2046)&gt;0.000000001,$E$2046,0.000000001))&gt;=8*$B$1822,$H$1826,0.5*$H$1826*(ABS(IF(ABS($E$2046)&gt;0.000000001,$E$2046,0.000000001))/$B$1822)^(1/3)))/ABS(IF(ABS($E$2046)&gt;0.000000001,$E$2046,0.000000001))*$I$1826)</f>
        <v/>
      </c>
      <c r="E2112" s="19">
        <f>0.5*$E$2046+0.5*$AT$2134</f>
        <v/>
      </c>
      <c r="F2112" s="19">
        <f>$AT$2135</f>
        <v/>
      </c>
    </row>
    <row r="2113">
      <c r="D2113" s="19">
        <f>IF(ABS(IF(ABS($E$2047)&gt;0.000000001,$E$2047,0.000000001))=0,0,IF($E$1827&lt;=$B$1820,0,IF(ABS(IF(ABS($E$2047)&gt;0.000000001,$E$2047,0.000000001))&gt;=8*$B$1822,$H$1827,0.5*$H$1827*(ABS(IF(ABS($E$2047)&gt;0.000000001,$E$2047,0.000000001))/$B$1822)^(1/3)))/ABS(IF(ABS($E$2047)&gt;0.000000001,$E$2047,0.000000001))*$I$1827)</f>
        <v/>
      </c>
      <c r="E2113" s="19">
        <f>0.5*$E$2047+0.5*$AT$2136</f>
        <v/>
      </c>
      <c r="F2113" s="19">
        <f>$AT$2137</f>
        <v/>
      </c>
    </row>
    <row r="2114">
      <c r="D2114" s="19">
        <f>IF(ABS(IF(ABS($E$2048)&gt;0.000000001,$E$2048,0.000000001))=0,0,IF($E$1828&lt;=$B$1820,0,IF(ABS(IF(ABS($E$2048)&gt;0.000000001,$E$2048,0.000000001))&gt;=8*$B$1822,$H$1828,0.5*$H$1828*(ABS(IF(ABS($E$2048)&gt;0.000000001,$E$2048,0.000000001))/$B$1822)^(1/3)))/ABS(IF(ABS($E$2048)&gt;0.000000001,$E$2048,0.000000001))*$I$1828)</f>
        <v/>
      </c>
      <c r="E2114" s="19">
        <f>0.5*$E$2048+0.5*$AT$2138</f>
        <v/>
      </c>
      <c r="F2114" s="19">
        <f>$AT$2139</f>
        <v/>
      </c>
    </row>
    <row r="2115">
      <c r="D2115" s="19">
        <f>IF(ABS(IF(ABS($E$2049)&gt;0.000000001,$E$2049,0.000000001))=0,0,IF($E$1829&lt;=$B$1820,0,IF(ABS(IF(ABS($E$2049)&gt;0.000000001,$E$2049,0.000000001))&gt;=8*$B$1822,$H$1829,0.5*$H$1829*(ABS(IF(ABS($E$2049)&gt;0.000000001,$E$2049,0.000000001))/$B$1822)^(1/3)))/ABS(IF(ABS($E$2049)&gt;0.000000001,$E$2049,0.000000001))*$I$1829)</f>
        <v/>
      </c>
      <c r="E2115" s="19">
        <f>0.5*$E$2049+0.5*$AT$2140</f>
        <v/>
      </c>
      <c r="F2115" s="19">
        <f>$AT$2141</f>
        <v/>
      </c>
    </row>
    <row r="2116">
      <c r="D2116" s="19">
        <f>IF(ABS(IF(ABS($E$2050)&gt;0.000000001,$E$2050,0.000000001))=0,0,IF($E$1830&lt;=$B$1820,0,IF(ABS(IF(ABS($E$2050)&gt;0.000000001,$E$2050,0.000000001))&gt;=8*$B$1822,$H$1830,0.5*$H$1830*(ABS(IF(ABS($E$2050)&gt;0.000000001,$E$2050,0.000000001))/$B$1822)^(1/3)))/ABS(IF(ABS($E$2050)&gt;0.000000001,$E$2050,0.000000001))*$I$1830)</f>
        <v/>
      </c>
      <c r="E2116" s="19">
        <f>0.5*$E$2050+0.5*$AT$2142</f>
        <v/>
      </c>
      <c r="F2116" s="19">
        <f>$AT$2143</f>
        <v/>
      </c>
    </row>
    <row r="2117">
      <c r="D2117" s="19">
        <f>IF(ABS(IF(ABS($E$2051)&gt;0.000000001,$E$2051,0.000000001))=0,0,IF($E$1831&lt;=$B$1820,0,IF(ABS(IF(ABS($E$2051)&gt;0.000000001,$E$2051,0.000000001))&gt;=8*$B$1822,$H$1831,0.5*$H$1831*(ABS(IF(ABS($E$2051)&gt;0.000000001,$E$2051,0.000000001))/$B$1822)^(1/3)))/ABS(IF(ABS($E$2051)&gt;0.000000001,$E$2051,0.000000001))*$I$1831)</f>
        <v/>
      </c>
      <c r="E2117" s="19">
        <f>0.5*$E$2051+0.5*$AT$2144</f>
        <v/>
      </c>
      <c r="F2117" s="19">
        <f>$AT$2145</f>
        <v/>
      </c>
    </row>
    <row r="2118">
      <c r="D2118" s="19">
        <f>IF(ABS(IF(ABS($E$2052)&gt;0.000000001,$E$2052,0.000000001))=0,0,IF($E$1832&lt;=$B$1820,0,IF(ABS(IF(ABS($E$2052)&gt;0.000000001,$E$2052,0.000000001))&gt;=8*$B$1822,$H$1832,0.5*$H$1832*(ABS(IF(ABS($E$2052)&gt;0.000000001,$E$2052,0.000000001))/$B$1822)^(1/3)))/ABS(IF(ABS($E$2052)&gt;0.000000001,$E$2052,0.000000001))*$I$1832)</f>
        <v/>
      </c>
      <c r="E2118" s="19">
        <f>0.5*$E$2052+0.5*$AT$2146</f>
        <v/>
      </c>
      <c r="F2118" s="19">
        <f>$AT$2147</f>
        <v/>
      </c>
    </row>
    <row r="2119">
      <c r="D2119" s="19">
        <f>IF(ABS(IF(ABS($E$2053)&gt;0.000000001,$E$2053,0.000000001))=0,0,IF($E$1833&lt;=$B$1820,0,IF(ABS(IF(ABS($E$2053)&gt;0.000000001,$E$2053,0.000000001))&gt;=8*$B$1822,$H$1833,0.5*$H$1833*(ABS(IF(ABS($E$2053)&gt;0.000000001,$E$2053,0.000000001))/$B$1822)^(1/3)))/ABS(IF(ABS($E$2053)&gt;0.000000001,$E$2053,0.000000001))*$I$1833)</f>
        <v/>
      </c>
      <c r="E2119" s="19">
        <f>0.5*$E$2053+0.5*$AT$2148</f>
        <v/>
      </c>
      <c r="F2119" s="19">
        <f>$AT$2149</f>
        <v/>
      </c>
    </row>
    <row r="2120">
      <c r="D2120" s="19">
        <f>IF(ABS(IF(ABS($E$2054)&gt;0.000000001,$E$2054,0.000000001))=0,0,IF($E$1834&lt;=$B$1820,0,IF(ABS(IF(ABS($E$2054)&gt;0.000000001,$E$2054,0.000000001))&gt;=8*$B$1822,$H$1834,0.5*$H$1834*(ABS(IF(ABS($E$2054)&gt;0.000000001,$E$2054,0.000000001))/$B$1822)^(1/3)))/ABS(IF(ABS($E$2054)&gt;0.000000001,$E$2054,0.000000001))*$I$1834)</f>
        <v/>
      </c>
      <c r="E2120" s="19">
        <f>0.5*$E$2054+0.5*$AT$2150</f>
        <v/>
      </c>
      <c r="F2120" s="19">
        <f>$AT$2151</f>
        <v/>
      </c>
    </row>
    <row r="2121">
      <c r="D2121" s="19">
        <f>IF(ABS(IF(ABS($E$2055)&gt;0.000000001,$E$2055,0.000000001))=0,0,IF($E$1835&lt;=$B$1820,0,IF(ABS(IF(ABS($E$2055)&gt;0.000000001,$E$2055,0.000000001))&gt;=8*$B$1822,$H$1835,0.5*$H$1835*(ABS(IF(ABS($E$2055)&gt;0.000000001,$E$2055,0.000000001))/$B$1822)^(1/3)))/ABS(IF(ABS($E$2055)&gt;0.000000001,$E$2055,0.000000001))*$I$1835)</f>
        <v/>
      </c>
      <c r="E2121" s="19">
        <f>0.5*$E$2055+0.5*$AT$2152</f>
        <v/>
      </c>
      <c r="F2121" s="19">
        <f>$AT$2153</f>
        <v/>
      </c>
    </row>
    <row r="2122">
      <c r="D2122" s="19">
        <f>IF(ABS(IF(ABS($E$2056)&gt;0.000000001,$E$2056,0.000000001))=0,0,IF($E$1836&lt;=$B$1820,0,IF(ABS(IF(ABS($E$2056)&gt;0.000000001,$E$2056,0.000000001))&gt;=8*$B$1822,$H$1836,0.5*$H$1836*(ABS(IF(ABS($E$2056)&gt;0.000000001,$E$2056,0.000000001))/$B$1822)^(1/3)))/ABS(IF(ABS($E$2056)&gt;0.000000001,$E$2056,0.000000001))*$I$1836)</f>
        <v/>
      </c>
      <c r="E2122" s="19">
        <f>0.5*$E$2056+0.5*$AT$2154</f>
        <v/>
      </c>
      <c r="F2122" s="19">
        <f>$AT$2155</f>
        <v/>
      </c>
    </row>
    <row r="2123">
      <c r="D2123" s="19">
        <f>IF(ABS(IF(ABS($E$2057)&gt;0.000000001,$E$2057,0.000000001))=0,0,IF($E$1837&lt;=$B$1820,0,IF(ABS(IF(ABS($E$2057)&gt;0.000000001,$E$2057,0.000000001))&gt;=8*$B$1822,$H$1837,0.5*$H$1837*(ABS(IF(ABS($E$2057)&gt;0.000000001,$E$2057,0.000000001))/$B$1822)^(1/3)))/ABS(IF(ABS($E$2057)&gt;0.000000001,$E$2057,0.000000001))*$I$1837)</f>
        <v/>
      </c>
      <c r="E2123" s="19">
        <f>0.5*$E$2057+0.5*$AT$2156</f>
        <v/>
      </c>
      <c r="F2123" s="19">
        <f>$AT$2157</f>
        <v/>
      </c>
    </row>
    <row r="2124">
      <c r="D2124" s="19">
        <f>IF(ABS(IF(ABS($E$2058)&gt;0.000000001,$E$2058,0.000000001))=0,0,IF($E$1838&lt;=$B$1820,0,IF(ABS(IF(ABS($E$2058)&gt;0.000000001,$E$2058,0.000000001))&gt;=8*$B$1822,$H$1838,0.5*$H$1838*(ABS(IF(ABS($E$2058)&gt;0.000000001,$E$2058,0.000000001))/$B$1822)^(1/3)))/ABS(IF(ABS($E$2058)&gt;0.000000001,$E$2058,0.000000001))*$I$1838)</f>
        <v/>
      </c>
      <c r="E2124" s="19">
        <f>0.5*$E$2058+0.5*$AT$2158</f>
        <v/>
      </c>
      <c r="F2124" s="19">
        <f>$AT$2159</f>
        <v/>
      </c>
    </row>
    <row r="2125">
      <c r="D2125" s="19">
        <f>IF(ABS(IF(ABS($E$2059)&gt;0.000000001,$E$2059,0.000000001))=0,0,IF($E$1839&lt;=$B$1820,0,IF(ABS(IF(ABS($E$2059)&gt;0.000000001,$E$2059,0.000000001))&gt;=8*$B$1822,$H$1839,0.5*$H$1839*(ABS(IF(ABS($E$2059)&gt;0.000000001,$E$2059,0.000000001))/$B$1822)^(1/3)))/ABS(IF(ABS($E$2059)&gt;0.000000001,$E$2059,0.000000001))*$I$1839)</f>
        <v/>
      </c>
      <c r="E2125" s="19">
        <f>0.5*$E$2059+0.5*$AT$2160</f>
        <v/>
      </c>
      <c r="F2125" s="19">
        <f>$AT$2161</f>
        <v/>
      </c>
    </row>
    <row r="2126">
      <c r="D2126" s="19">
        <f>IF(ABS(IF(ABS($E$2060)&gt;0.000000001,$E$2060,0.000000001))=0,0,IF($E$1840&lt;=$B$1820,0,IF(ABS(IF(ABS($E$2060)&gt;0.000000001,$E$2060,0.000000001))&gt;=8*$B$1822,$H$1840,0.5*$H$1840*(ABS(IF(ABS($E$2060)&gt;0.000000001,$E$2060,0.000000001))/$B$1822)^(1/3)))/ABS(IF(ABS($E$2060)&gt;0.000000001,$E$2060,0.000000001))*$I$1840)</f>
        <v/>
      </c>
      <c r="E2126" s="19">
        <f>0.5*$E$2060+0.5*$AT$2162</f>
        <v/>
      </c>
      <c r="F2126" s="19">
        <f>$AT$2163</f>
        <v/>
      </c>
    </row>
    <row r="2127">
      <c r="D2127" s="19">
        <f>IF(ABS(IF(ABS($E$2061)&gt;0.000000001,$E$2061,0.000000001))=0,0,IF($E$1841&lt;=$B$1820,0,IF(ABS(IF(ABS($E$2061)&gt;0.000000001,$E$2061,0.000000001))&gt;=8*$B$1822,$H$1841,0.5*$H$1841*(ABS(IF(ABS($E$2061)&gt;0.000000001,$E$2061,0.000000001))/$B$1822)^(1/3)))/ABS(IF(ABS($E$2061)&gt;0.000000001,$E$2061,0.000000001))*$I$1841)</f>
        <v/>
      </c>
      <c r="E2127" s="19">
        <f>0.5*$E$2061+0.5*$AT$2164</f>
        <v/>
      </c>
      <c r="F2127" s="19">
        <f>$AT$2165</f>
        <v/>
      </c>
    </row>
    <row r="2128">
      <c r="D2128" s="19">
        <f>IF(ABS(IF(ABS($E$2062)&gt;0.000000001,$E$2062,0.000000001))=0,0,IF($E$1842&lt;=$B$1820,0,IF(ABS(IF(ABS($E$2062)&gt;0.000000001,$E$2062,0.000000001))&gt;=8*$B$1822,$H$1842,0.5*$H$1842*(ABS(IF(ABS($E$2062)&gt;0.000000001,$E$2062,0.000000001))/$B$1822)^(1/3)))/ABS(IF(ABS($E$2062)&gt;0.000000001,$E$2062,0.000000001))*$I$1842)</f>
        <v/>
      </c>
      <c r="E2128" s="19">
        <f>0.5*$E$2062+0.5*$AT$2166</f>
        <v/>
      </c>
      <c r="F2128" s="19">
        <f>$AT$2167</f>
        <v/>
      </c>
    </row>
    <row r="2129">
      <c r="D2129" s="19">
        <f>IF(ABS(IF(ABS($E$2063)&gt;0.000000001,$E$2063,0.000000001))=0,0,IF($E$1843&lt;=$B$1820,0,IF(ABS(IF(ABS($E$2063)&gt;0.000000001,$E$2063,0.000000001))&gt;=8*$B$1822,$H$1843,0.5*$H$1843*(ABS(IF(ABS($E$2063)&gt;0.000000001,$E$2063,0.000000001))/$B$1822)^(1/3)))/ABS(IF(ABS($E$2063)&gt;0.000000001,$E$2063,0.000000001))*$I$1843)</f>
        <v/>
      </c>
      <c r="E2129" s="19">
        <f>0.5*$E$2063+0.5*$AT$2168</f>
        <v/>
      </c>
      <c r="F2129" s="19">
        <f>$AT$2169</f>
        <v/>
      </c>
    </row>
    <row r="2130">
      <c r="D2130" s="19">
        <f>IF(ABS(IF(ABS($E$2064)&gt;0.000000001,$E$2064,0.000000001))=0,0,IF($E$1844&lt;=$B$1820,0,IF(ABS(IF(ABS($E$2064)&gt;0.000000001,$E$2064,0.000000001))&gt;=8*$B$1822,$H$1844,0.5*$H$1844*(ABS(IF(ABS($E$2064)&gt;0.000000001,$E$2064,0.000000001))/$B$1822)^(1/3)))/ABS(IF(ABS($E$2064)&gt;0.000000001,$E$2064,0.000000001))*$I$1844)</f>
        <v/>
      </c>
      <c r="E2130" s="19">
        <f>0.5*$E$2064+0.5*$AT$2170</f>
        <v/>
      </c>
      <c r="F2130" s="19">
        <f>$AT$2171</f>
        <v/>
      </c>
    </row>
    <row r="2131">
      <c r="D2131" s="19">
        <f>IF(ABS(IF(ABS($E$2065)&gt;0.000000001,$E$2065,0.000000001))=0,0,IF($E$1845&lt;=$B$1820,0,IF(ABS(IF(ABS($E$2065)&gt;0.000000001,$E$2065,0.000000001))&gt;=8*$B$1822,$H$1845,0.5*$H$1845*(ABS(IF(ABS($E$2065)&gt;0.000000001,$E$2065,0.000000001))/$B$1822)^(1/3)))/ABS(IF(ABS($E$2065)&gt;0.000000001,$E$2065,0.000000001))*$I$1845)</f>
        <v/>
      </c>
      <c r="E2131" s="19">
        <f>0.5*$E$2065+0.5*$AT$2172</f>
        <v/>
      </c>
      <c r="F2131" s="19">
        <f>$AT$2173</f>
        <v/>
      </c>
    </row>
    <row r="2132">
      <c r="D2132" s="19">
        <f>IF(ABS(IF(ABS($E$2066)&gt;0.000000001,$E$2066,0.000000001))=0,0,IF($E$1846&lt;=$B$1820,0,IF(ABS(IF(ABS($E$2066)&gt;0.000000001,$E$2066,0.000000001))&gt;=8*$B$1822,$H$1846,0.5*$H$1846*(ABS(IF(ABS($E$2066)&gt;0.000000001,$E$2066,0.000000001))/$B$1822)^(1/3)))/ABS(IF(ABS($E$2066)&gt;0.000000001,$E$2066,0.000000001))*$I$1846)</f>
        <v/>
      </c>
      <c r="E2132" s="19">
        <f>0.5*$E$2066+0.5*$AT$2174</f>
        <v/>
      </c>
      <c r="F2132" s="19">
        <f>$AT$2175</f>
        <v/>
      </c>
    </row>
    <row r="2134">
      <c r="D2134" s="21">
        <f>$B$1811+$D$2112</f>
        <v/>
      </c>
      <c r="E2134" s="21">
        <f>$B$1812</f>
        <v/>
      </c>
      <c r="F2134" s="21">
        <f>-$B$1811</f>
        <v/>
      </c>
      <c r="G2134" s="21">
        <f>$B$1812</f>
        <v/>
      </c>
      <c r="H2134" s="21" t="n">
        <v>0</v>
      </c>
      <c r="I2134" s="21" t="n">
        <v>0</v>
      </c>
      <c r="J2134" s="21" t="n">
        <v>0</v>
      </c>
      <c r="K2134" s="21" t="n">
        <v>0</v>
      </c>
      <c r="L2134" s="21" t="n">
        <v>0</v>
      </c>
      <c r="M2134" s="21" t="n">
        <v>0</v>
      </c>
      <c r="N2134" s="21" t="n">
        <v>0</v>
      </c>
      <c r="O2134" s="21" t="n">
        <v>0</v>
      </c>
      <c r="P2134" s="21" t="n">
        <v>0</v>
      </c>
      <c r="Q2134" s="21" t="n">
        <v>0</v>
      </c>
      <c r="R2134" s="21" t="n">
        <v>0</v>
      </c>
      <c r="S2134" s="21" t="n">
        <v>0</v>
      </c>
      <c r="T2134" s="21" t="n">
        <v>0</v>
      </c>
      <c r="U2134" s="21" t="n">
        <v>0</v>
      </c>
      <c r="V2134" s="21" t="n">
        <v>0</v>
      </c>
      <c r="W2134" s="21" t="n">
        <v>0</v>
      </c>
      <c r="X2134" s="21" t="n">
        <v>0</v>
      </c>
      <c r="Y2134" s="21" t="n">
        <v>0</v>
      </c>
      <c r="Z2134" s="21" t="n">
        <v>0</v>
      </c>
      <c r="AA2134" s="21" t="n">
        <v>0</v>
      </c>
      <c r="AB2134" s="21" t="n">
        <v>0</v>
      </c>
      <c r="AC2134" s="21" t="n">
        <v>0</v>
      </c>
      <c r="AD2134" s="21" t="n">
        <v>0</v>
      </c>
      <c r="AE2134" s="21" t="n">
        <v>0</v>
      </c>
      <c r="AF2134" s="21" t="n">
        <v>0</v>
      </c>
      <c r="AG2134" s="21" t="n">
        <v>0</v>
      </c>
      <c r="AH2134" s="21" t="n">
        <v>0</v>
      </c>
      <c r="AI2134" s="21" t="n">
        <v>0</v>
      </c>
      <c r="AJ2134" s="21" t="n">
        <v>0</v>
      </c>
      <c r="AK2134" s="21" t="n">
        <v>0</v>
      </c>
      <c r="AL2134" s="21" t="n">
        <v>0</v>
      </c>
      <c r="AM2134" s="21" t="n">
        <v>0</v>
      </c>
      <c r="AN2134" s="21" t="n">
        <v>0</v>
      </c>
      <c r="AO2134" s="21" t="n">
        <v>0</v>
      </c>
      <c r="AP2134" s="21" t="n">
        <v>0</v>
      </c>
      <c r="AQ2134" s="21" t="n">
        <v>0</v>
      </c>
      <c r="AR2134" s="21" t="n">
        <v>0</v>
      </c>
      <c r="AS2134" s="21" t="n">
        <v>0</v>
      </c>
      <c r="AT2134" s="19">
        <f t="array" ref="AT2134:AT2175">MMULT(MINVERSE($D$2134:$AS$2175),$D$1848:$D$1889)</f>
        <v/>
      </c>
    </row>
    <row r="2135">
      <c r="D2135" s="21">
        <f>$B$1812</f>
        <v/>
      </c>
      <c r="E2135" s="21">
        <f>$B$1813</f>
        <v/>
      </c>
      <c r="F2135" s="21">
        <f>-$B$1812</f>
        <v/>
      </c>
      <c r="G2135" s="21">
        <f>$B$1814</f>
        <v/>
      </c>
      <c r="H2135" s="21" t="n">
        <v>0</v>
      </c>
      <c r="I2135" s="21" t="n">
        <v>0</v>
      </c>
      <c r="J2135" s="21" t="n">
        <v>0</v>
      </c>
      <c r="K2135" s="21" t="n">
        <v>0</v>
      </c>
      <c r="L2135" s="21" t="n">
        <v>0</v>
      </c>
      <c r="M2135" s="21" t="n">
        <v>0</v>
      </c>
      <c r="N2135" s="21" t="n">
        <v>0</v>
      </c>
      <c r="O2135" s="21" t="n">
        <v>0</v>
      </c>
      <c r="P2135" s="21" t="n">
        <v>0</v>
      </c>
      <c r="Q2135" s="21" t="n">
        <v>0</v>
      </c>
      <c r="R2135" s="21" t="n">
        <v>0</v>
      </c>
      <c r="S2135" s="21" t="n">
        <v>0</v>
      </c>
      <c r="T2135" s="21" t="n">
        <v>0</v>
      </c>
      <c r="U2135" s="21" t="n">
        <v>0</v>
      </c>
      <c r="V2135" s="21" t="n">
        <v>0</v>
      </c>
      <c r="W2135" s="21" t="n">
        <v>0</v>
      </c>
      <c r="X2135" s="21" t="n">
        <v>0</v>
      </c>
      <c r="Y2135" s="21" t="n">
        <v>0</v>
      </c>
      <c r="Z2135" s="21" t="n">
        <v>0</v>
      </c>
      <c r="AA2135" s="21" t="n">
        <v>0</v>
      </c>
      <c r="AB2135" s="21" t="n">
        <v>0</v>
      </c>
      <c r="AC2135" s="21" t="n">
        <v>0</v>
      </c>
      <c r="AD2135" s="21" t="n">
        <v>0</v>
      </c>
      <c r="AE2135" s="21" t="n">
        <v>0</v>
      </c>
      <c r="AF2135" s="21" t="n">
        <v>0</v>
      </c>
      <c r="AG2135" s="21" t="n">
        <v>0</v>
      </c>
      <c r="AH2135" s="21" t="n">
        <v>0</v>
      </c>
      <c r="AI2135" s="21" t="n">
        <v>0</v>
      </c>
      <c r="AJ2135" s="21" t="n">
        <v>0</v>
      </c>
      <c r="AK2135" s="21" t="n">
        <v>0</v>
      </c>
      <c r="AL2135" s="21" t="n">
        <v>0</v>
      </c>
      <c r="AM2135" s="21" t="n">
        <v>0</v>
      </c>
      <c r="AN2135" s="21" t="n">
        <v>0</v>
      </c>
      <c r="AO2135" s="21" t="n">
        <v>0</v>
      </c>
      <c r="AP2135" s="21" t="n">
        <v>0</v>
      </c>
      <c r="AQ2135" s="21" t="n">
        <v>0</v>
      </c>
      <c r="AR2135" s="21" t="n">
        <v>0</v>
      </c>
      <c r="AS2135" s="21" t="n">
        <v>0</v>
      </c>
      <c r="AT2135" s="19" t="n"/>
    </row>
    <row r="2136">
      <c r="D2136" s="21">
        <f>-$B$1811</f>
        <v/>
      </c>
      <c r="E2136" s="21">
        <f>-$B$1812</f>
        <v/>
      </c>
      <c r="F2136" s="21">
        <f>2*$B$1811+$D$2113</f>
        <v/>
      </c>
      <c r="G2136" s="21">
        <f>0</f>
        <v/>
      </c>
      <c r="H2136" s="21">
        <f>-$B$1811</f>
        <v/>
      </c>
      <c r="I2136" s="21">
        <f>$B$1812</f>
        <v/>
      </c>
      <c r="J2136" s="21" t="n">
        <v>0</v>
      </c>
      <c r="K2136" s="21" t="n">
        <v>0</v>
      </c>
      <c r="L2136" s="21" t="n">
        <v>0</v>
      </c>
      <c r="M2136" s="21" t="n">
        <v>0</v>
      </c>
      <c r="N2136" s="21" t="n">
        <v>0</v>
      </c>
      <c r="O2136" s="21" t="n">
        <v>0</v>
      </c>
      <c r="P2136" s="21" t="n">
        <v>0</v>
      </c>
      <c r="Q2136" s="21" t="n">
        <v>0</v>
      </c>
      <c r="R2136" s="21" t="n">
        <v>0</v>
      </c>
      <c r="S2136" s="21" t="n">
        <v>0</v>
      </c>
      <c r="T2136" s="21" t="n">
        <v>0</v>
      </c>
      <c r="U2136" s="21" t="n">
        <v>0</v>
      </c>
      <c r="V2136" s="21" t="n">
        <v>0</v>
      </c>
      <c r="W2136" s="21" t="n">
        <v>0</v>
      </c>
      <c r="X2136" s="21" t="n">
        <v>0</v>
      </c>
      <c r="Y2136" s="21" t="n">
        <v>0</v>
      </c>
      <c r="Z2136" s="21" t="n">
        <v>0</v>
      </c>
      <c r="AA2136" s="21" t="n">
        <v>0</v>
      </c>
      <c r="AB2136" s="21" t="n">
        <v>0</v>
      </c>
      <c r="AC2136" s="21" t="n">
        <v>0</v>
      </c>
      <c r="AD2136" s="21" t="n">
        <v>0</v>
      </c>
      <c r="AE2136" s="21" t="n">
        <v>0</v>
      </c>
      <c r="AF2136" s="21" t="n">
        <v>0</v>
      </c>
      <c r="AG2136" s="21" t="n">
        <v>0</v>
      </c>
      <c r="AH2136" s="21" t="n">
        <v>0</v>
      </c>
      <c r="AI2136" s="21" t="n">
        <v>0</v>
      </c>
      <c r="AJ2136" s="21" t="n">
        <v>0</v>
      </c>
      <c r="AK2136" s="21" t="n">
        <v>0</v>
      </c>
      <c r="AL2136" s="21" t="n">
        <v>0</v>
      </c>
      <c r="AM2136" s="21" t="n">
        <v>0</v>
      </c>
      <c r="AN2136" s="21" t="n">
        <v>0</v>
      </c>
      <c r="AO2136" s="21" t="n">
        <v>0</v>
      </c>
      <c r="AP2136" s="21" t="n">
        <v>0</v>
      </c>
      <c r="AQ2136" s="21" t="n">
        <v>0</v>
      </c>
      <c r="AR2136" s="21" t="n">
        <v>0</v>
      </c>
      <c r="AS2136" s="21" t="n">
        <v>0</v>
      </c>
      <c r="AT2136" s="19" t="n"/>
    </row>
    <row r="2137">
      <c r="D2137" s="21">
        <f>$B$1812</f>
        <v/>
      </c>
      <c r="E2137" s="21">
        <f>$B$1814</f>
        <v/>
      </c>
      <c r="F2137" s="21">
        <f>0</f>
        <v/>
      </c>
      <c r="G2137" s="21">
        <f>2*$B$1813</f>
        <v/>
      </c>
      <c r="H2137" s="21">
        <f>-$B$1812</f>
        <v/>
      </c>
      <c r="I2137" s="21">
        <f>$B$1814</f>
        <v/>
      </c>
      <c r="J2137" s="21" t="n">
        <v>0</v>
      </c>
      <c r="K2137" s="21" t="n">
        <v>0</v>
      </c>
      <c r="L2137" s="21" t="n">
        <v>0</v>
      </c>
      <c r="M2137" s="21" t="n">
        <v>0</v>
      </c>
      <c r="N2137" s="21" t="n">
        <v>0</v>
      </c>
      <c r="O2137" s="21" t="n">
        <v>0</v>
      </c>
      <c r="P2137" s="21" t="n">
        <v>0</v>
      </c>
      <c r="Q2137" s="21" t="n">
        <v>0</v>
      </c>
      <c r="R2137" s="21" t="n">
        <v>0</v>
      </c>
      <c r="S2137" s="21" t="n">
        <v>0</v>
      </c>
      <c r="T2137" s="21" t="n">
        <v>0</v>
      </c>
      <c r="U2137" s="21" t="n">
        <v>0</v>
      </c>
      <c r="V2137" s="21" t="n">
        <v>0</v>
      </c>
      <c r="W2137" s="21" t="n">
        <v>0</v>
      </c>
      <c r="X2137" s="21" t="n">
        <v>0</v>
      </c>
      <c r="Y2137" s="21" t="n">
        <v>0</v>
      </c>
      <c r="Z2137" s="21" t="n">
        <v>0</v>
      </c>
      <c r="AA2137" s="21" t="n">
        <v>0</v>
      </c>
      <c r="AB2137" s="21" t="n">
        <v>0</v>
      </c>
      <c r="AC2137" s="21" t="n">
        <v>0</v>
      </c>
      <c r="AD2137" s="21" t="n">
        <v>0</v>
      </c>
      <c r="AE2137" s="21" t="n">
        <v>0</v>
      </c>
      <c r="AF2137" s="21" t="n">
        <v>0</v>
      </c>
      <c r="AG2137" s="21" t="n">
        <v>0</v>
      </c>
      <c r="AH2137" s="21" t="n">
        <v>0</v>
      </c>
      <c r="AI2137" s="21" t="n">
        <v>0</v>
      </c>
      <c r="AJ2137" s="21" t="n">
        <v>0</v>
      </c>
      <c r="AK2137" s="21" t="n">
        <v>0</v>
      </c>
      <c r="AL2137" s="21" t="n">
        <v>0</v>
      </c>
      <c r="AM2137" s="21" t="n">
        <v>0</v>
      </c>
      <c r="AN2137" s="21" t="n">
        <v>0</v>
      </c>
      <c r="AO2137" s="21" t="n">
        <v>0</v>
      </c>
      <c r="AP2137" s="21" t="n">
        <v>0</v>
      </c>
      <c r="AQ2137" s="21" t="n">
        <v>0</v>
      </c>
      <c r="AR2137" s="21" t="n">
        <v>0</v>
      </c>
      <c r="AS2137" s="21" t="n">
        <v>0</v>
      </c>
      <c r="AT2137" s="19" t="n"/>
    </row>
    <row r="2138">
      <c r="D2138" s="21" t="n">
        <v>0</v>
      </c>
      <c r="E2138" s="21" t="n">
        <v>0</v>
      </c>
      <c r="F2138" s="21">
        <f>-$B$1811</f>
        <v/>
      </c>
      <c r="G2138" s="21">
        <f>-$B$1812</f>
        <v/>
      </c>
      <c r="H2138" s="21">
        <f>2*$B$1811+$D$2114</f>
        <v/>
      </c>
      <c r="I2138" s="21">
        <f>0</f>
        <v/>
      </c>
      <c r="J2138" s="21">
        <f>-$B$1811</f>
        <v/>
      </c>
      <c r="K2138" s="21">
        <f>$B$1812</f>
        <v/>
      </c>
      <c r="L2138" s="21" t="n">
        <v>0</v>
      </c>
      <c r="M2138" s="21" t="n">
        <v>0</v>
      </c>
      <c r="N2138" s="21" t="n">
        <v>0</v>
      </c>
      <c r="O2138" s="21" t="n">
        <v>0</v>
      </c>
      <c r="P2138" s="21" t="n">
        <v>0</v>
      </c>
      <c r="Q2138" s="21" t="n">
        <v>0</v>
      </c>
      <c r="R2138" s="21" t="n">
        <v>0</v>
      </c>
      <c r="S2138" s="21" t="n">
        <v>0</v>
      </c>
      <c r="T2138" s="21" t="n">
        <v>0</v>
      </c>
      <c r="U2138" s="21" t="n">
        <v>0</v>
      </c>
      <c r="V2138" s="21" t="n">
        <v>0</v>
      </c>
      <c r="W2138" s="21" t="n">
        <v>0</v>
      </c>
      <c r="X2138" s="21" t="n">
        <v>0</v>
      </c>
      <c r="Y2138" s="21" t="n">
        <v>0</v>
      </c>
      <c r="Z2138" s="21" t="n">
        <v>0</v>
      </c>
      <c r="AA2138" s="21" t="n">
        <v>0</v>
      </c>
      <c r="AB2138" s="21" t="n">
        <v>0</v>
      </c>
      <c r="AC2138" s="21" t="n">
        <v>0</v>
      </c>
      <c r="AD2138" s="21" t="n">
        <v>0</v>
      </c>
      <c r="AE2138" s="21" t="n">
        <v>0</v>
      </c>
      <c r="AF2138" s="21" t="n">
        <v>0</v>
      </c>
      <c r="AG2138" s="21" t="n">
        <v>0</v>
      </c>
      <c r="AH2138" s="21" t="n">
        <v>0</v>
      </c>
      <c r="AI2138" s="21" t="n">
        <v>0</v>
      </c>
      <c r="AJ2138" s="21" t="n">
        <v>0</v>
      </c>
      <c r="AK2138" s="21" t="n">
        <v>0</v>
      </c>
      <c r="AL2138" s="21" t="n">
        <v>0</v>
      </c>
      <c r="AM2138" s="21" t="n">
        <v>0</v>
      </c>
      <c r="AN2138" s="21" t="n">
        <v>0</v>
      </c>
      <c r="AO2138" s="21" t="n">
        <v>0</v>
      </c>
      <c r="AP2138" s="21" t="n">
        <v>0</v>
      </c>
      <c r="AQ2138" s="21" t="n">
        <v>0</v>
      </c>
      <c r="AR2138" s="21" t="n">
        <v>0</v>
      </c>
      <c r="AS2138" s="21" t="n">
        <v>0</v>
      </c>
      <c r="AT2138" s="19" t="n"/>
    </row>
    <row r="2139">
      <c r="D2139" s="21" t="n">
        <v>0</v>
      </c>
      <c r="E2139" s="21" t="n">
        <v>0</v>
      </c>
      <c r="F2139" s="21">
        <f>$B$1812</f>
        <v/>
      </c>
      <c r="G2139" s="21">
        <f>$B$1814</f>
        <v/>
      </c>
      <c r="H2139" s="21">
        <f>0</f>
        <v/>
      </c>
      <c r="I2139" s="21">
        <f>2*$B$1813</f>
        <v/>
      </c>
      <c r="J2139" s="21">
        <f>-$B$1812</f>
        <v/>
      </c>
      <c r="K2139" s="21">
        <f>$B$1814</f>
        <v/>
      </c>
      <c r="L2139" s="21" t="n">
        <v>0</v>
      </c>
      <c r="M2139" s="21" t="n">
        <v>0</v>
      </c>
      <c r="N2139" s="21" t="n">
        <v>0</v>
      </c>
      <c r="O2139" s="21" t="n">
        <v>0</v>
      </c>
      <c r="P2139" s="21" t="n">
        <v>0</v>
      </c>
      <c r="Q2139" s="21" t="n">
        <v>0</v>
      </c>
      <c r="R2139" s="21" t="n">
        <v>0</v>
      </c>
      <c r="S2139" s="21" t="n">
        <v>0</v>
      </c>
      <c r="T2139" s="21" t="n">
        <v>0</v>
      </c>
      <c r="U2139" s="21" t="n">
        <v>0</v>
      </c>
      <c r="V2139" s="21" t="n">
        <v>0</v>
      </c>
      <c r="W2139" s="21" t="n">
        <v>0</v>
      </c>
      <c r="X2139" s="21" t="n">
        <v>0</v>
      </c>
      <c r="Y2139" s="21" t="n">
        <v>0</v>
      </c>
      <c r="Z2139" s="21" t="n">
        <v>0</v>
      </c>
      <c r="AA2139" s="21" t="n">
        <v>0</v>
      </c>
      <c r="AB2139" s="21" t="n">
        <v>0</v>
      </c>
      <c r="AC2139" s="21" t="n">
        <v>0</v>
      </c>
      <c r="AD2139" s="21" t="n">
        <v>0</v>
      </c>
      <c r="AE2139" s="21" t="n">
        <v>0</v>
      </c>
      <c r="AF2139" s="21" t="n">
        <v>0</v>
      </c>
      <c r="AG2139" s="21" t="n">
        <v>0</v>
      </c>
      <c r="AH2139" s="21" t="n">
        <v>0</v>
      </c>
      <c r="AI2139" s="21" t="n">
        <v>0</v>
      </c>
      <c r="AJ2139" s="21" t="n">
        <v>0</v>
      </c>
      <c r="AK2139" s="21" t="n">
        <v>0</v>
      </c>
      <c r="AL2139" s="21" t="n">
        <v>0</v>
      </c>
      <c r="AM2139" s="21" t="n">
        <v>0</v>
      </c>
      <c r="AN2139" s="21" t="n">
        <v>0</v>
      </c>
      <c r="AO2139" s="21" t="n">
        <v>0</v>
      </c>
      <c r="AP2139" s="21" t="n">
        <v>0</v>
      </c>
      <c r="AQ2139" s="21" t="n">
        <v>0</v>
      </c>
      <c r="AR2139" s="21" t="n">
        <v>0</v>
      </c>
      <c r="AS2139" s="21" t="n">
        <v>0</v>
      </c>
      <c r="AT2139" s="19" t="n"/>
    </row>
    <row r="2140">
      <c r="D2140" s="21" t="n">
        <v>0</v>
      </c>
      <c r="E2140" s="21" t="n">
        <v>0</v>
      </c>
      <c r="F2140" s="21" t="n">
        <v>0</v>
      </c>
      <c r="G2140" s="21" t="n">
        <v>0</v>
      </c>
      <c r="H2140" s="21">
        <f>-$B$1811</f>
        <v/>
      </c>
      <c r="I2140" s="21">
        <f>-$B$1812</f>
        <v/>
      </c>
      <c r="J2140" s="21">
        <f>2*$B$1811+$D$2115</f>
        <v/>
      </c>
      <c r="K2140" s="21">
        <f>0</f>
        <v/>
      </c>
      <c r="L2140" s="21">
        <f>-$B$1811</f>
        <v/>
      </c>
      <c r="M2140" s="21">
        <f>$B$1812</f>
        <v/>
      </c>
      <c r="N2140" s="21" t="n">
        <v>0</v>
      </c>
      <c r="O2140" s="21" t="n">
        <v>0</v>
      </c>
      <c r="P2140" s="21" t="n">
        <v>0</v>
      </c>
      <c r="Q2140" s="21" t="n">
        <v>0</v>
      </c>
      <c r="R2140" s="21" t="n">
        <v>0</v>
      </c>
      <c r="S2140" s="21" t="n">
        <v>0</v>
      </c>
      <c r="T2140" s="21" t="n">
        <v>0</v>
      </c>
      <c r="U2140" s="21" t="n">
        <v>0</v>
      </c>
      <c r="V2140" s="21" t="n">
        <v>0</v>
      </c>
      <c r="W2140" s="21" t="n">
        <v>0</v>
      </c>
      <c r="X2140" s="21" t="n">
        <v>0</v>
      </c>
      <c r="Y2140" s="21" t="n">
        <v>0</v>
      </c>
      <c r="Z2140" s="21" t="n">
        <v>0</v>
      </c>
      <c r="AA2140" s="21" t="n">
        <v>0</v>
      </c>
      <c r="AB2140" s="21" t="n">
        <v>0</v>
      </c>
      <c r="AC2140" s="21" t="n">
        <v>0</v>
      </c>
      <c r="AD2140" s="21" t="n">
        <v>0</v>
      </c>
      <c r="AE2140" s="21" t="n">
        <v>0</v>
      </c>
      <c r="AF2140" s="21" t="n">
        <v>0</v>
      </c>
      <c r="AG2140" s="21" t="n">
        <v>0</v>
      </c>
      <c r="AH2140" s="21" t="n">
        <v>0</v>
      </c>
      <c r="AI2140" s="21" t="n">
        <v>0</v>
      </c>
      <c r="AJ2140" s="21" t="n">
        <v>0</v>
      </c>
      <c r="AK2140" s="21" t="n">
        <v>0</v>
      </c>
      <c r="AL2140" s="21" t="n">
        <v>0</v>
      </c>
      <c r="AM2140" s="21" t="n">
        <v>0</v>
      </c>
      <c r="AN2140" s="21" t="n">
        <v>0</v>
      </c>
      <c r="AO2140" s="21" t="n">
        <v>0</v>
      </c>
      <c r="AP2140" s="21" t="n">
        <v>0</v>
      </c>
      <c r="AQ2140" s="21" t="n">
        <v>0</v>
      </c>
      <c r="AR2140" s="21" t="n">
        <v>0</v>
      </c>
      <c r="AS2140" s="21" t="n">
        <v>0</v>
      </c>
      <c r="AT2140" s="19" t="n"/>
    </row>
    <row r="2141">
      <c r="D2141" s="21" t="n">
        <v>0</v>
      </c>
      <c r="E2141" s="21" t="n">
        <v>0</v>
      </c>
      <c r="F2141" s="21" t="n">
        <v>0</v>
      </c>
      <c r="G2141" s="21" t="n">
        <v>0</v>
      </c>
      <c r="H2141" s="21">
        <f>$B$1812</f>
        <v/>
      </c>
      <c r="I2141" s="21">
        <f>$B$1814</f>
        <v/>
      </c>
      <c r="J2141" s="21">
        <f>0</f>
        <v/>
      </c>
      <c r="K2141" s="21">
        <f>2*$B$1813</f>
        <v/>
      </c>
      <c r="L2141" s="21">
        <f>-$B$1812</f>
        <v/>
      </c>
      <c r="M2141" s="21">
        <f>$B$1814</f>
        <v/>
      </c>
      <c r="N2141" s="21" t="n">
        <v>0</v>
      </c>
      <c r="O2141" s="21" t="n">
        <v>0</v>
      </c>
      <c r="P2141" s="21" t="n">
        <v>0</v>
      </c>
      <c r="Q2141" s="21" t="n">
        <v>0</v>
      </c>
      <c r="R2141" s="21" t="n">
        <v>0</v>
      </c>
      <c r="S2141" s="21" t="n">
        <v>0</v>
      </c>
      <c r="T2141" s="21" t="n">
        <v>0</v>
      </c>
      <c r="U2141" s="21" t="n">
        <v>0</v>
      </c>
      <c r="V2141" s="21" t="n">
        <v>0</v>
      </c>
      <c r="W2141" s="21" t="n">
        <v>0</v>
      </c>
      <c r="X2141" s="21" t="n">
        <v>0</v>
      </c>
      <c r="Y2141" s="21" t="n">
        <v>0</v>
      </c>
      <c r="Z2141" s="21" t="n">
        <v>0</v>
      </c>
      <c r="AA2141" s="21" t="n">
        <v>0</v>
      </c>
      <c r="AB2141" s="21" t="n">
        <v>0</v>
      </c>
      <c r="AC2141" s="21" t="n">
        <v>0</v>
      </c>
      <c r="AD2141" s="21" t="n">
        <v>0</v>
      </c>
      <c r="AE2141" s="21" t="n">
        <v>0</v>
      </c>
      <c r="AF2141" s="21" t="n">
        <v>0</v>
      </c>
      <c r="AG2141" s="21" t="n">
        <v>0</v>
      </c>
      <c r="AH2141" s="21" t="n">
        <v>0</v>
      </c>
      <c r="AI2141" s="21" t="n">
        <v>0</v>
      </c>
      <c r="AJ2141" s="21" t="n">
        <v>0</v>
      </c>
      <c r="AK2141" s="21" t="n">
        <v>0</v>
      </c>
      <c r="AL2141" s="21" t="n">
        <v>0</v>
      </c>
      <c r="AM2141" s="21" t="n">
        <v>0</v>
      </c>
      <c r="AN2141" s="21" t="n">
        <v>0</v>
      </c>
      <c r="AO2141" s="21" t="n">
        <v>0</v>
      </c>
      <c r="AP2141" s="21" t="n">
        <v>0</v>
      </c>
      <c r="AQ2141" s="21" t="n">
        <v>0</v>
      </c>
      <c r="AR2141" s="21" t="n">
        <v>0</v>
      </c>
      <c r="AS2141" s="21" t="n">
        <v>0</v>
      </c>
      <c r="AT2141" s="19" t="n"/>
    </row>
    <row r="2142">
      <c r="D2142" s="21" t="n">
        <v>0</v>
      </c>
      <c r="E2142" s="21" t="n">
        <v>0</v>
      </c>
      <c r="F2142" s="21" t="n">
        <v>0</v>
      </c>
      <c r="G2142" s="21" t="n">
        <v>0</v>
      </c>
      <c r="H2142" s="21" t="n">
        <v>0</v>
      </c>
      <c r="I2142" s="21" t="n">
        <v>0</v>
      </c>
      <c r="J2142" s="21">
        <f>-$B$1811</f>
        <v/>
      </c>
      <c r="K2142" s="21">
        <f>-$B$1812</f>
        <v/>
      </c>
      <c r="L2142" s="21">
        <f>2*$B$1811+$D$2116</f>
        <v/>
      </c>
      <c r="M2142" s="21">
        <f>0</f>
        <v/>
      </c>
      <c r="N2142" s="21">
        <f>-$B$1811</f>
        <v/>
      </c>
      <c r="O2142" s="21">
        <f>$B$1812</f>
        <v/>
      </c>
      <c r="P2142" s="21" t="n">
        <v>0</v>
      </c>
      <c r="Q2142" s="21" t="n">
        <v>0</v>
      </c>
      <c r="R2142" s="21" t="n">
        <v>0</v>
      </c>
      <c r="S2142" s="21" t="n">
        <v>0</v>
      </c>
      <c r="T2142" s="21" t="n">
        <v>0</v>
      </c>
      <c r="U2142" s="21" t="n">
        <v>0</v>
      </c>
      <c r="V2142" s="21" t="n">
        <v>0</v>
      </c>
      <c r="W2142" s="21" t="n">
        <v>0</v>
      </c>
      <c r="X2142" s="21" t="n">
        <v>0</v>
      </c>
      <c r="Y2142" s="21" t="n">
        <v>0</v>
      </c>
      <c r="Z2142" s="21" t="n">
        <v>0</v>
      </c>
      <c r="AA2142" s="21" t="n">
        <v>0</v>
      </c>
      <c r="AB2142" s="21" t="n">
        <v>0</v>
      </c>
      <c r="AC2142" s="21" t="n">
        <v>0</v>
      </c>
      <c r="AD2142" s="21" t="n">
        <v>0</v>
      </c>
      <c r="AE2142" s="21" t="n">
        <v>0</v>
      </c>
      <c r="AF2142" s="21" t="n">
        <v>0</v>
      </c>
      <c r="AG2142" s="21" t="n">
        <v>0</v>
      </c>
      <c r="AH2142" s="21" t="n">
        <v>0</v>
      </c>
      <c r="AI2142" s="21" t="n">
        <v>0</v>
      </c>
      <c r="AJ2142" s="21" t="n">
        <v>0</v>
      </c>
      <c r="AK2142" s="21" t="n">
        <v>0</v>
      </c>
      <c r="AL2142" s="21" t="n">
        <v>0</v>
      </c>
      <c r="AM2142" s="21" t="n">
        <v>0</v>
      </c>
      <c r="AN2142" s="21" t="n">
        <v>0</v>
      </c>
      <c r="AO2142" s="21" t="n">
        <v>0</v>
      </c>
      <c r="AP2142" s="21" t="n">
        <v>0</v>
      </c>
      <c r="AQ2142" s="21" t="n">
        <v>0</v>
      </c>
      <c r="AR2142" s="21" t="n">
        <v>0</v>
      </c>
      <c r="AS2142" s="21" t="n">
        <v>0</v>
      </c>
      <c r="AT2142" s="19" t="n"/>
    </row>
    <row r="2143">
      <c r="D2143" s="21" t="n">
        <v>0</v>
      </c>
      <c r="E2143" s="21" t="n">
        <v>0</v>
      </c>
      <c r="F2143" s="21" t="n">
        <v>0</v>
      </c>
      <c r="G2143" s="21" t="n">
        <v>0</v>
      </c>
      <c r="H2143" s="21" t="n">
        <v>0</v>
      </c>
      <c r="I2143" s="21" t="n">
        <v>0</v>
      </c>
      <c r="J2143" s="21">
        <f>$B$1812</f>
        <v/>
      </c>
      <c r="K2143" s="21">
        <f>$B$1814</f>
        <v/>
      </c>
      <c r="L2143" s="21">
        <f>0</f>
        <v/>
      </c>
      <c r="M2143" s="21">
        <f>2*$B$1813</f>
        <v/>
      </c>
      <c r="N2143" s="21">
        <f>-$B$1812</f>
        <v/>
      </c>
      <c r="O2143" s="21">
        <f>$B$1814</f>
        <v/>
      </c>
      <c r="P2143" s="21" t="n">
        <v>0</v>
      </c>
      <c r="Q2143" s="21" t="n">
        <v>0</v>
      </c>
      <c r="R2143" s="21" t="n">
        <v>0</v>
      </c>
      <c r="S2143" s="21" t="n">
        <v>0</v>
      </c>
      <c r="T2143" s="21" t="n">
        <v>0</v>
      </c>
      <c r="U2143" s="21" t="n">
        <v>0</v>
      </c>
      <c r="V2143" s="21" t="n">
        <v>0</v>
      </c>
      <c r="W2143" s="21" t="n">
        <v>0</v>
      </c>
      <c r="X2143" s="21" t="n">
        <v>0</v>
      </c>
      <c r="Y2143" s="21" t="n">
        <v>0</v>
      </c>
      <c r="Z2143" s="21" t="n">
        <v>0</v>
      </c>
      <c r="AA2143" s="21" t="n">
        <v>0</v>
      </c>
      <c r="AB2143" s="21" t="n">
        <v>0</v>
      </c>
      <c r="AC2143" s="21" t="n">
        <v>0</v>
      </c>
      <c r="AD2143" s="21" t="n">
        <v>0</v>
      </c>
      <c r="AE2143" s="21" t="n">
        <v>0</v>
      </c>
      <c r="AF2143" s="21" t="n">
        <v>0</v>
      </c>
      <c r="AG2143" s="21" t="n">
        <v>0</v>
      </c>
      <c r="AH2143" s="21" t="n">
        <v>0</v>
      </c>
      <c r="AI2143" s="21" t="n">
        <v>0</v>
      </c>
      <c r="AJ2143" s="21" t="n">
        <v>0</v>
      </c>
      <c r="AK2143" s="21" t="n">
        <v>0</v>
      </c>
      <c r="AL2143" s="21" t="n">
        <v>0</v>
      </c>
      <c r="AM2143" s="21" t="n">
        <v>0</v>
      </c>
      <c r="AN2143" s="21" t="n">
        <v>0</v>
      </c>
      <c r="AO2143" s="21" t="n">
        <v>0</v>
      </c>
      <c r="AP2143" s="21" t="n">
        <v>0</v>
      </c>
      <c r="AQ2143" s="21" t="n">
        <v>0</v>
      </c>
      <c r="AR2143" s="21" t="n">
        <v>0</v>
      </c>
      <c r="AS2143" s="21" t="n">
        <v>0</v>
      </c>
      <c r="AT2143" s="19" t="n"/>
    </row>
    <row r="2144">
      <c r="D2144" s="21" t="n">
        <v>0</v>
      </c>
      <c r="E2144" s="21" t="n">
        <v>0</v>
      </c>
      <c r="F2144" s="21" t="n">
        <v>0</v>
      </c>
      <c r="G2144" s="21" t="n">
        <v>0</v>
      </c>
      <c r="H2144" s="21" t="n">
        <v>0</v>
      </c>
      <c r="I2144" s="21" t="n">
        <v>0</v>
      </c>
      <c r="J2144" s="21" t="n">
        <v>0</v>
      </c>
      <c r="K2144" s="21" t="n">
        <v>0</v>
      </c>
      <c r="L2144" s="21">
        <f>-$B$1811</f>
        <v/>
      </c>
      <c r="M2144" s="21">
        <f>-$B$1812</f>
        <v/>
      </c>
      <c r="N2144" s="21">
        <f>2*$B$1811+$D$2117</f>
        <v/>
      </c>
      <c r="O2144" s="21">
        <f>0</f>
        <v/>
      </c>
      <c r="P2144" s="21">
        <f>-$B$1811</f>
        <v/>
      </c>
      <c r="Q2144" s="21">
        <f>$B$1812</f>
        <v/>
      </c>
      <c r="R2144" s="21" t="n">
        <v>0</v>
      </c>
      <c r="S2144" s="21" t="n">
        <v>0</v>
      </c>
      <c r="T2144" s="21" t="n">
        <v>0</v>
      </c>
      <c r="U2144" s="21" t="n">
        <v>0</v>
      </c>
      <c r="V2144" s="21" t="n">
        <v>0</v>
      </c>
      <c r="W2144" s="21" t="n">
        <v>0</v>
      </c>
      <c r="X2144" s="21" t="n">
        <v>0</v>
      </c>
      <c r="Y2144" s="21" t="n">
        <v>0</v>
      </c>
      <c r="Z2144" s="21" t="n">
        <v>0</v>
      </c>
      <c r="AA2144" s="21" t="n">
        <v>0</v>
      </c>
      <c r="AB2144" s="21" t="n">
        <v>0</v>
      </c>
      <c r="AC2144" s="21" t="n">
        <v>0</v>
      </c>
      <c r="AD2144" s="21" t="n">
        <v>0</v>
      </c>
      <c r="AE2144" s="21" t="n">
        <v>0</v>
      </c>
      <c r="AF2144" s="21" t="n">
        <v>0</v>
      </c>
      <c r="AG2144" s="21" t="n">
        <v>0</v>
      </c>
      <c r="AH2144" s="21" t="n">
        <v>0</v>
      </c>
      <c r="AI2144" s="21" t="n">
        <v>0</v>
      </c>
      <c r="AJ2144" s="21" t="n">
        <v>0</v>
      </c>
      <c r="AK2144" s="21" t="n">
        <v>0</v>
      </c>
      <c r="AL2144" s="21" t="n">
        <v>0</v>
      </c>
      <c r="AM2144" s="21" t="n">
        <v>0</v>
      </c>
      <c r="AN2144" s="21" t="n">
        <v>0</v>
      </c>
      <c r="AO2144" s="21" t="n">
        <v>0</v>
      </c>
      <c r="AP2144" s="21" t="n">
        <v>0</v>
      </c>
      <c r="AQ2144" s="21" t="n">
        <v>0</v>
      </c>
      <c r="AR2144" s="21" t="n">
        <v>0</v>
      </c>
      <c r="AS2144" s="21" t="n">
        <v>0</v>
      </c>
      <c r="AT2144" s="19" t="n"/>
    </row>
    <row r="2145">
      <c r="D2145" s="21" t="n">
        <v>0</v>
      </c>
      <c r="E2145" s="21" t="n">
        <v>0</v>
      </c>
      <c r="F2145" s="21" t="n">
        <v>0</v>
      </c>
      <c r="G2145" s="21" t="n">
        <v>0</v>
      </c>
      <c r="H2145" s="21" t="n">
        <v>0</v>
      </c>
      <c r="I2145" s="21" t="n">
        <v>0</v>
      </c>
      <c r="J2145" s="21" t="n">
        <v>0</v>
      </c>
      <c r="K2145" s="21" t="n">
        <v>0</v>
      </c>
      <c r="L2145" s="21">
        <f>$B$1812</f>
        <v/>
      </c>
      <c r="M2145" s="21">
        <f>$B$1814</f>
        <v/>
      </c>
      <c r="N2145" s="21">
        <f>0</f>
        <v/>
      </c>
      <c r="O2145" s="21">
        <f>2*$B$1813</f>
        <v/>
      </c>
      <c r="P2145" s="21">
        <f>-$B$1812</f>
        <v/>
      </c>
      <c r="Q2145" s="21">
        <f>$B$1814</f>
        <v/>
      </c>
      <c r="R2145" s="21" t="n">
        <v>0</v>
      </c>
      <c r="S2145" s="21" t="n">
        <v>0</v>
      </c>
      <c r="T2145" s="21" t="n">
        <v>0</v>
      </c>
      <c r="U2145" s="21" t="n">
        <v>0</v>
      </c>
      <c r="V2145" s="21" t="n">
        <v>0</v>
      </c>
      <c r="W2145" s="21" t="n">
        <v>0</v>
      </c>
      <c r="X2145" s="21" t="n">
        <v>0</v>
      </c>
      <c r="Y2145" s="21" t="n">
        <v>0</v>
      </c>
      <c r="Z2145" s="21" t="n">
        <v>0</v>
      </c>
      <c r="AA2145" s="21" t="n">
        <v>0</v>
      </c>
      <c r="AB2145" s="21" t="n">
        <v>0</v>
      </c>
      <c r="AC2145" s="21" t="n">
        <v>0</v>
      </c>
      <c r="AD2145" s="21" t="n">
        <v>0</v>
      </c>
      <c r="AE2145" s="21" t="n">
        <v>0</v>
      </c>
      <c r="AF2145" s="21" t="n">
        <v>0</v>
      </c>
      <c r="AG2145" s="21" t="n">
        <v>0</v>
      </c>
      <c r="AH2145" s="21" t="n">
        <v>0</v>
      </c>
      <c r="AI2145" s="21" t="n">
        <v>0</v>
      </c>
      <c r="AJ2145" s="21" t="n">
        <v>0</v>
      </c>
      <c r="AK2145" s="21" t="n">
        <v>0</v>
      </c>
      <c r="AL2145" s="21" t="n">
        <v>0</v>
      </c>
      <c r="AM2145" s="21" t="n">
        <v>0</v>
      </c>
      <c r="AN2145" s="21" t="n">
        <v>0</v>
      </c>
      <c r="AO2145" s="21" t="n">
        <v>0</v>
      </c>
      <c r="AP2145" s="21" t="n">
        <v>0</v>
      </c>
      <c r="AQ2145" s="21" t="n">
        <v>0</v>
      </c>
      <c r="AR2145" s="21" t="n">
        <v>0</v>
      </c>
      <c r="AS2145" s="21" t="n">
        <v>0</v>
      </c>
      <c r="AT2145" s="19" t="n"/>
    </row>
    <row r="2146">
      <c r="D2146" s="21" t="n">
        <v>0</v>
      </c>
      <c r="E2146" s="21" t="n">
        <v>0</v>
      </c>
      <c r="F2146" s="21" t="n">
        <v>0</v>
      </c>
      <c r="G2146" s="21" t="n">
        <v>0</v>
      </c>
      <c r="H2146" s="21" t="n">
        <v>0</v>
      </c>
      <c r="I2146" s="21" t="n">
        <v>0</v>
      </c>
      <c r="J2146" s="21" t="n">
        <v>0</v>
      </c>
      <c r="K2146" s="21" t="n">
        <v>0</v>
      </c>
      <c r="L2146" s="21" t="n">
        <v>0</v>
      </c>
      <c r="M2146" s="21" t="n">
        <v>0</v>
      </c>
      <c r="N2146" s="21">
        <f>-$B$1811</f>
        <v/>
      </c>
      <c r="O2146" s="21">
        <f>-$B$1812</f>
        <v/>
      </c>
      <c r="P2146" s="21">
        <f>2*$B$1811+$D$2118</f>
        <v/>
      </c>
      <c r="Q2146" s="21">
        <f>0</f>
        <v/>
      </c>
      <c r="R2146" s="21">
        <f>-$B$1811</f>
        <v/>
      </c>
      <c r="S2146" s="21">
        <f>$B$1812</f>
        <v/>
      </c>
      <c r="T2146" s="21" t="n">
        <v>0</v>
      </c>
      <c r="U2146" s="21" t="n">
        <v>0</v>
      </c>
      <c r="V2146" s="21" t="n">
        <v>0</v>
      </c>
      <c r="W2146" s="21" t="n">
        <v>0</v>
      </c>
      <c r="X2146" s="21" t="n">
        <v>0</v>
      </c>
      <c r="Y2146" s="21" t="n">
        <v>0</v>
      </c>
      <c r="Z2146" s="21" t="n">
        <v>0</v>
      </c>
      <c r="AA2146" s="21" t="n">
        <v>0</v>
      </c>
      <c r="AB2146" s="21" t="n">
        <v>0</v>
      </c>
      <c r="AC2146" s="21" t="n">
        <v>0</v>
      </c>
      <c r="AD2146" s="21" t="n">
        <v>0</v>
      </c>
      <c r="AE2146" s="21" t="n">
        <v>0</v>
      </c>
      <c r="AF2146" s="21" t="n">
        <v>0</v>
      </c>
      <c r="AG2146" s="21" t="n">
        <v>0</v>
      </c>
      <c r="AH2146" s="21" t="n">
        <v>0</v>
      </c>
      <c r="AI2146" s="21" t="n">
        <v>0</v>
      </c>
      <c r="AJ2146" s="21" t="n">
        <v>0</v>
      </c>
      <c r="AK2146" s="21" t="n">
        <v>0</v>
      </c>
      <c r="AL2146" s="21" t="n">
        <v>0</v>
      </c>
      <c r="AM2146" s="21" t="n">
        <v>0</v>
      </c>
      <c r="AN2146" s="21" t="n">
        <v>0</v>
      </c>
      <c r="AO2146" s="21" t="n">
        <v>0</v>
      </c>
      <c r="AP2146" s="21" t="n">
        <v>0</v>
      </c>
      <c r="AQ2146" s="21" t="n">
        <v>0</v>
      </c>
      <c r="AR2146" s="21" t="n">
        <v>0</v>
      </c>
      <c r="AS2146" s="21" t="n">
        <v>0</v>
      </c>
      <c r="AT2146" s="19" t="n"/>
    </row>
    <row r="2147">
      <c r="D2147" s="21" t="n">
        <v>0</v>
      </c>
      <c r="E2147" s="21" t="n">
        <v>0</v>
      </c>
      <c r="F2147" s="21" t="n">
        <v>0</v>
      </c>
      <c r="G2147" s="21" t="n">
        <v>0</v>
      </c>
      <c r="H2147" s="21" t="n">
        <v>0</v>
      </c>
      <c r="I2147" s="21" t="n">
        <v>0</v>
      </c>
      <c r="J2147" s="21" t="n">
        <v>0</v>
      </c>
      <c r="K2147" s="21" t="n">
        <v>0</v>
      </c>
      <c r="L2147" s="21" t="n">
        <v>0</v>
      </c>
      <c r="M2147" s="21" t="n">
        <v>0</v>
      </c>
      <c r="N2147" s="21">
        <f>$B$1812</f>
        <v/>
      </c>
      <c r="O2147" s="21">
        <f>$B$1814</f>
        <v/>
      </c>
      <c r="P2147" s="21">
        <f>0</f>
        <v/>
      </c>
      <c r="Q2147" s="21">
        <f>2*$B$1813</f>
        <v/>
      </c>
      <c r="R2147" s="21">
        <f>-$B$1812</f>
        <v/>
      </c>
      <c r="S2147" s="21">
        <f>$B$1814</f>
        <v/>
      </c>
      <c r="T2147" s="21" t="n">
        <v>0</v>
      </c>
      <c r="U2147" s="21" t="n">
        <v>0</v>
      </c>
      <c r="V2147" s="21" t="n">
        <v>0</v>
      </c>
      <c r="W2147" s="21" t="n">
        <v>0</v>
      </c>
      <c r="X2147" s="21" t="n">
        <v>0</v>
      </c>
      <c r="Y2147" s="21" t="n">
        <v>0</v>
      </c>
      <c r="Z2147" s="21" t="n">
        <v>0</v>
      </c>
      <c r="AA2147" s="21" t="n">
        <v>0</v>
      </c>
      <c r="AB2147" s="21" t="n">
        <v>0</v>
      </c>
      <c r="AC2147" s="21" t="n">
        <v>0</v>
      </c>
      <c r="AD2147" s="21" t="n">
        <v>0</v>
      </c>
      <c r="AE2147" s="21" t="n">
        <v>0</v>
      </c>
      <c r="AF2147" s="21" t="n">
        <v>0</v>
      </c>
      <c r="AG2147" s="21" t="n">
        <v>0</v>
      </c>
      <c r="AH2147" s="21" t="n">
        <v>0</v>
      </c>
      <c r="AI2147" s="21" t="n">
        <v>0</v>
      </c>
      <c r="AJ2147" s="21" t="n">
        <v>0</v>
      </c>
      <c r="AK2147" s="21" t="n">
        <v>0</v>
      </c>
      <c r="AL2147" s="21" t="n">
        <v>0</v>
      </c>
      <c r="AM2147" s="21" t="n">
        <v>0</v>
      </c>
      <c r="AN2147" s="21" t="n">
        <v>0</v>
      </c>
      <c r="AO2147" s="21" t="n">
        <v>0</v>
      </c>
      <c r="AP2147" s="21" t="n">
        <v>0</v>
      </c>
      <c r="AQ2147" s="21" t="n">
        <v>0</v>
      </c>
      <c r="AR2147" s="21" t="n">
        <v>0</v>
      </c>
      <c r="AS2147" s="21" t="n">
        <v>0</v>
      </c>
      <c r="AT2147" s="19" t="n"/>
    </row>
    <row r="2148">
      <c r="D2148" s="21" t="n">
        <v>0</v>
      </c>
      <c r="E2148" s="21" t="n">
        <v>0</v>
      </c>
      <c r="F2148" s="21" t="n">
        <v>0</v>
      </c>
      <c r="G2148" s="21" t="n">
        <v>0</v>
      </c>
      <c r="H2148" s="21" t="n">
        <v>0</v>
      </c>
      <c r="I2148" s="21" t="n">
        <v>0</v>
      </c>
      <c r="J2148" s="21" t="n">
        <v>0</v>
      </c>
      <c r="K2148" s="21" t="n">
        <v>0</v>
      </c>
      <c r="L2148" s="21" t="n">
        <v>0</v>
      </c>
      <c r="M2148" s="21" t="n">
        <v>0</v>
      </c>
      <c r="N2148" s="21" t="n">
        <v>0</v>
      </c>
      <c r="O2148" s="21" t="n">
        <v>0</v>
      </c>
      <c r="P2148" s="21">
        <f>-$B$1811</f>
        <v/>
      </c>
      <c r="Q2148" s="21">
        <f>-$B$1812</f>
        <v/>
      </c>
      <c r="R2148" s="21">
        <f>2*$B$1811+$D$2119</f>
        <v/>
      </c>
      <c r="S2148" s="21">
        <f>0</f>
        <v/>
      </c>
      <c r="T2148" s="21">
        <f>-$B$1811</f>
        <v/>
      </c>
      <c r="U2148" s="21">
        <f>$B$1812</f>
        <v/>
      </c>
      <c r="V2148" s="21" t="n">
        <v>0</v>
      </c>
      <c r="W2148" s="21" t="n">
        <v>0</v>
      </c>
      <c r="X2148" s="21" t="n">
        <v>0</v>
      </c>
      <c r="Y2148" s="21" t="n">
        <v>0</v>
      </c>
      <c r="Z2148" s="21" t="n">
        <v>0</v>
      </c>
      <c r="AA2148" s="21" t="n">
        <v>0</v>
      </c>
      <c r="AB2148" s="21" t="n">
        <v>0</v>
      </c>
      <c r="AC2148" s="21" t="n">
        <v>0</v>
      </c>
      <c r="AD2148" s="21" t="n">
        <v>0</v>
      </c>
      <c r="AE2148" s="21" t="n">
        <v>0</v>
      </c>
      <c r="AF2148" s="21" t="n">
        <v>0</v>
      </c>
      <c r="AG2148" s="21" t="n">
        <v>0</v>
      </c>
      <c r="AH2148" s="21" t="n">
        <v>0</v>
      </c>
      <c r="AI2148" s="21" t="n">
        <v>0</v>
      </c>
      <c r="AJ2148" s="21" t="n">
        <v>0</v>
      </c>
      <c r="AK2148" s="21" t="n">
        <v>0</v>
      </c>
      <c r="AL2148" s="21" t="n">
        <v>0</v>
      </c>
      <c r="AM2148" s="21" t="n">
        <v>0</v>
      </c>
      <c r="AN2148" s="21" t="n">
        <v>0</v>
      </c>
      <c r="AO2148" s="21" t="n">
        <v>0</v>
      </c>
      <c r="AP2148" s="21" t="n">
        <v>0</v>
      </c>
      <c r="AQ2148" s="21" t="n">
        <v>0</v>
      </c>
      <c r="AR2148" s="21" t="n">
        <v>0</v>
      </c>
      <c r="AS2148" s="21" t="n">
        <v>0</v>
      </c>
      <c r="AT2148" s="19" t="n"/>
    </row>
    <row r="2149">
      <c r="D2149" s="21" t="n">
        <v>0</v>
      </c>
      <c r="E2149" s="21" t="n">
        <v>0</v>
      </c>
      <c r="F2149" s="21" t="n">
        <v>0</v>
      </c>
      <c r="G2149" s="21" t="n">
        <v>0</v>
      </c>
      <c r="H2149" s="21" t="n">
        <v>0</v>
      </c>
      <c r="I2149" s="21" t="n">
        <v>0</v>
      </c>
      <c r="J2149" s="21" t="n">
        <v>0</v>
      </c>
      <c r="K2149" s="21" t="n">
        <v>0</v>
      </c>
      <c r="L2149" s="21" t="n">
        <v>0</v>
      </c>
      <c r="M2149" s="21" t="n">
        <v>0</v>
      </c>
      <c r="N2149" s="21" t="n">
        <v>0</v>
      </c>
      <c r="O2149" s="21" t="n">
        <v>0</v>
      </c>
      <c r="P2149" s="21">
        <f>$B$1812</f>
        <v/>
      </c>
      <c r="Q2149" s="21">
        <f>$B$1814</f>
        <v/>
      </c>
      <c r="R2149" s="21">
        <f>0</f>
        <v/>
      </c>
      <c r="S2149" s="21">
        <f>2*$B$1813</f>
        <v/>
      </c>
      <c r="T2149" s="21">
        <f>-$B$1812</f>
        <v/>
      </c>
      <c r="U2149" s="21">
        <f>$B$1814</f>
        <v/>
      </c>
      <c r="V2149" s="21" t="n">
        <v>0</v>
      </c>
      <c r="W2149" s="21" t="n">
        <v>0</v>
      </c>
      <c r="X2149" s="21" t="n">
        <v>0</v>
      </c>
      <c r="Y2149" s="21" t="n">
        <v>0</v>
      </c>
      <c r="Z2149" s="21" t="n">
        <v>0</v>
      </c>
      <c r="AA2149" s="21" t="n">
        <v>0</v>
      </c>
      <c r="AB2149" s="21" t="n">
        <v>0</v>
      </c>
      <c r="AC2149" s="21" t="n">
        <v>0</v>
      </c>
      <c r="AD2149" s="21" t="n">
        <v>0</v>
      </c>
      <c r="AE2149" s="21" t="n">
        <v>0</v>
      </c>
      <c r="AF2149" s="21" t="n">
        <v>0</v>
      </c>
      <c r="AG2149" s="21" t="n">
        <v>0</v>
      </c>
      <c r="AH2149" s="21" t="n">
        <v>0</v>
      </c>
      <c r="AI2149" s="21" t="n">
        <v>0</v>
      </c>
      <c r="AJ2149" s="21" t="n">
        <v>0</v>
      </c>
      <c r="AK2149" s="21" t="n">
        <v>0</v>
      </c>
      <c r="AL2149" s="21" t="n">
        <v>0</v>
      </c>
      <c r="AM2149" s="21" t="n">
        <v>0</v>
      </c>
      <c r="AN2149" s="21" t="n">
        <v>0</v>
      </c>
      <c r="AO2149" s="21" t="n">
        <v>0</v>
      </c>
      <c r="AP2149" s="21" t="n">
        <v>0</v>
      </c>
      <c r="AQ2149" s="21" t="n">
        <v>0</v>
      </c>
      <c r="AR2149" s="21" t="n">
        <v>0</v>
      </c>
      <c r="AS2149" s="21" t="n">
        <v>0</v>
      </c>
      <c r="AT2149" s="19" t="n"/>
    </row>
    <row r="2150">
      <c r="D2150" s="21" t="n">
        <v>0</v>
      </c>
      <c r="E2150" s="21" t="n">
        <v>0</v>
      </c>
      <c r="F2150" s="21" t="n">
        <v>0</v>
      </c>
      <c r="G2150" s="21" t="n">
        <v>0</v>
      </c>
      <c r="H2150" s="21" t="n">
        <v>0</v>
      </c>
      <c r="I2150" s="21" t="n">
        <v>0</v>
      </c>
      <c r="J2150" s="21" t="n">
        <v>0</v>
      </c>
      <c r="K2150" s="21" t="n">
        <v>0</v>
      </c>
      <c r="L2150" s="21" t="n">
        <v>0</v>
      </c>
      <c r="M2150" s="21" t="n">
        <v>0</v>
      </c>
      <c r="N2150" s="21" t="n">
        <v>0</v>
      </c>
      <c r="O2150" s="21" t="n">
        <v>0</v>
      </c>
      <c r="P2150" s="21" t="n">
        <v>0</v>
      </c>
      <c r="Q2150" s="21" t="n">
        <v>0</v>
      </c>
      <c r="R2150" s="21">
        <f>-$B$1811</f>
        <v/>
      </c>
      <c r="S2150" s="21">
        <f>-$B$1812</f>
        <v/>
      </c>
      <c r="T2150" s="21">
        <f>2*$B$1811+$D$2120</f>
        <v/>
      </c>
      <c r="U2150" s="21">
        <f>0</f>
        <v/>
      </c>
      <c r="V2150" s="21">
        <f>-$B$1811</f>
        <v/>
      </c>
      <c r="W2150" s="21">
        <f>$B$1812</f>
        <v/>
      </c>
      <c r="X2150" s="21" t="n">
        <v>0</v>
      </c>
      <c r="Y2150" s="21" t="n">
        <v>0</v>
      </c>
      <c r="Z2150" s="21" t="n">
        <v>0</v>
      </c>
      <c r="AA2150" s="21" t="n">
        <v>0</v>
      </c>
      <c r="AB2150" s="21" t="n">
        <v>0</v>
      </c>
      <c r="AC2150" s="21" t="n">
        <v>0</v>
      </c>
      <c r="AD2150" s="21" t="n">
        <v>0</v>
      </c>
      <c r="AE2150" s="21" t="n">
        <v>0</v>
      </c>
      <c r="AF2150" s="21" t="n">
        <v>0</v>
      </c>
      <c r="AG2150" s="21" t="n">
        <v>0</v>
      </c>
      <c r="AH2150" s="21" t="n">
        <v>0</v>
      </c>
      <c r="AI2150" s="21" t="n">
        <v>0</v>
      </c>
      <c r="AJ2150" s="21" t="n">
        <v>0</v>
      </c>
      <c r="AK2150" s="21" t="n">
        <v>0</v>
      </c>
      <c r="AL2150" s="21" t="n">
        <v>0</v>
      </c>
      <c r="AM2150" s="21" t="n">
        <v>0</v>
      </c>
      <c r="AN2150" s="21" t="n">
        <v>0</v>
      </c>
      <c r="AO2150" s="21" t="n">
        <v>0</v>
      </c>
      <c r="AP2150" s="21" t="n">
        <v>0</v>
      </c>
      <c r="AQ2150" s="21" t="n">
        <v>0</v>
      </c>
      <c r="AR2150" s="21" t="n">
        <v>0</v>
      </c>
      <c r="AS2150" s="21" t="n">
        <v>0</v>
      </c>
      <c r="AT2150" s="19" t="n"/>
    </row>
    <row r="2151">
      <c r="D2151" s="21" t="n">
        <v>0</v>
      </c>
      <c r="E2151" s="21" t="n">
        <v>0</v>
      </c>
      <c r="F2151" s="21" t="n">
        <v>0</v>
      </c>
      <c r="G2151" s="21" t="n">
        <v>0</v>
      </c>
      <c r="H2151" s="21" t="n">
        <v>0</v>
      </c>
      <c r="I2151" s="21" t="n">
        <v>0</v>
      </c>
      <c r="J2151" s="21" t="n">
        <v>0</v>
      </c>
      <c r="K2151" s="21" t="n">
        <v>0</v>
      </c>
      <c r="L2151" s="21" t="n">
        <v>0</v>
      </c>
      <c r="M2151" s="21" t="n">
        <v>0</v>
      </c>
      <c r="N2151" s="21" t="n">
        <v>0</v>
      </c>
      <c r="O2151" s="21" t="n">
        <v>0</v>
      </c>
      <c r="P2151" s="21" t="n">
        <v>0</v>
      </c>
      <c r="Q2151" s="21" t="n">
        <v>0</v>
      </c>
      <c r="R2151" s="21">
        <f>$B$1812</f>
        <v/>
      </c>
      <c r="S2151" s="21">
        <f>$B$1814</f>
        <v/>
      </c>
      <c r="T2151" s="21">
        <f>0</f>
        <v/>
      </c>
      <c r="U2151" s="21">
        <f>2*$B$1813</f>
        <v/>
      </c>
      <c r="V2151" s="21">
        <f>-$B$1812</f>
        <v/>
      </c>
      <c r="W2151" s="21">
        <f>$B$1814</f>
        <v/>
      </c>
      <c r="X2151" s="21" t="n">
        <v>0</v>
      </c>
      <c r="Y2151" s="21" t="n">
        <v>0</v>
      </c>
      <c r="Z2151" s="21" t="n">
        <v>0</v>
      </c>
      <c r="AA2151" s="21" t="n">
        <v>0</v>
      </c>
      <c r="AB2151" s="21" t="n">
        <v>0</v>
      </c>
      <c r="AC2151" s="21" t="n">
        <v>0</v>
      </c>
      <c r="AD2151" s="21" t="n">
        <v>0</v>
      </c>
      <c r="AE2151" s="21" t="n">
        <v>0</v>
      </c>
      <c r="AF2151" s="21" t="n">
        <v>0</v>
      </c>
      <c r="AG2151" s="21" t="n">
        <v>0</v>
      </c>
      <c r="AH2151" s="21" t="n">
        <v>0</v>
      </c>
      <c r="AI2151" s="21" t="n">
        <v>0</v>
      </c>
      <c r="AJ2151" s="21" t="n">
        <v>0</v>
      </c>
      <c r="AK2151" s="21" t="n">
        <v>0</v>
      </c>
      <c r="AL2151" s="21" t="n">
        <v>0</v>
      </c>
      <c r="AM2151" s="21" t="n">
        <v>0</v>
      </c>
      <c r="AN2151" s="21" t="n">
        <v>0</v>
      </c>
      <c r="AO2151" s="21" t="n">
        <v>0</v>
      </c>
      <c r="AP2151" s="21" t="n">
        <v>0</v>
      </c>
      <c r="AQ2151" s="21" t="n">
        <v>0</v>
      </c>
      <c r="AR2151" s="21" t="n">
        <v>0</v>
      </c>
      <c r="AS2151" s="21" t="n">
        <v>0</v>
      </c>
      <c r="AT2151" s="19" t="n"/>
    </row>
    <row r="2152">
      <c r="D2152" s="21" t="n">
        <v>0</v>
      </c>
      <c r="E2152" s="21" t="n">
        <v>0</v>
      </c>
      <c r="F2152" s="21" t="n">
        <v>0</v>
      </c>
      <c r="G2152" s="21" t="n">
        <v>0</v>
      </c>
      <c r="H2152" s="21" t="n">
        <v>0</v>
      </c>
      <c r="I2152" s="21" t="n">
        <v>0</v>
      </c>
      <c r="J2152" s="21" t="n">
        <v>0</v>
      </c>
      <c r="K2152" s="21" t="n">
        <v>0</v>
      </c>
      <c r="L2152" s="21" t="n">
        <v>0</v>
      </c>
      <c r="M2152" s="21" t="n">
        <v>0</v>
      </c>
      <c r="N2152" s="21" t="n">
        <v>0</v>
      </c>
      <c r="O2152" s="21" t="n">
        <v>0</v>
      </c>
      <c r="P2152" s="21" t="n">
        <v>0</v>
      </c>
      <c r="Q2152" s="21" t="n">
        <v>0</v>
      </c>
      <c r="R2152" s="21" t="n">
        <v>0</v>
      </c>
      <c r="S2152" s="21" t="n">
        <v>0</v>
      </c>
      <c r="T2152" s="21">
        <f>-$B$1811</f>
        <v/>
      </c>
      <c r="U2152" s="21">
        <f>-$B$1812</f>
        <v/>
      </c>
      <c r="V2152" s="21">
        <f>2*$B$1811+$D$2121</f>
        <v/>
      </c>
      <c r="W2152" s="21">
        <f>0</f>
        <v/>
      </c>
      <c r="X2152" s="21">
        <f>-$B$1811</f>
        <v/>
      </c>
      <c r="Y2152" s="21">
        <f>$B$1812</f>
        <v/>
      </c>
      <c r="Z2152" s="21" t="n">
        <v>0</v>
      </c>
      <c r="AA2152" s="21" t="n">
        <v>0</v>
      </c>
      <c r="AB2152" s="21" t="n">
        <v>0</v>
      </c>
      <c r="AC2152" s="21" t="n">
        <v>0</v>
      </c>
      <c r="AD2152" s="21" t="n">
        <v>0</v>
      </c>
      <c r="AE2152" s="21" t="n">
        <v>0</v>
      </c>
      <c r="AF2152" s="21" t="n">
        <v>0</v>
      </c>
      <c r="AG2152" s="21" t="n">
        <v>0</v>
      </c>
      <c r="AH2152" s="21" t="n">
        <v>0</v>
      </c>
      <c r="AI2152" s="21" t="n">
        <v>0</v>
      </c>
      <c r="AJ2152" s="21" t="n">
        <v>0</v>
      </c>
      <c r="AK2152" s="21" t="n">
        <v>0</v>
      </c>
      <c r="AL2152" s="21" t="n">
        <v>0</v>
      </c>
      <c r="AM2152" s="21" t="n">
        <v>0</v>
      </c>
      <c r="AN2152" s="21" t="n">
        <v>0</v>
      </c>
      <c r="AO2152" s="21" t="n">
        <v>0</v>
      </c>
      <c r="AP2152" s="21" t="n">
        <v>0</v>
      </c>
      <c r="AQ2152" s="21" t="n">
        <v>0</v>
      </c>
      <c r="AR2152" s="21" t="n">
        <v>0</v>
      </c>
      <c r="AS2152" s="21" t="n">
        <v>0</v>
      </c>
      <c r="AT2152" s="19" t="n"/>
    </row>
    <row r="2153">
      <c r="D2153" s="21" t="n">
        <v>0</v>
      </c>
      <c r="E2153" s="21" t="n">
        <v>0</v>
      </c>
      <c r="F2153" s="21" t="n">
        <v>0</v>
      </c>
      <c r="G2153" s="21" t="n">
        <v>0</v>
      </c>
      <c r="H2153" s="21" t="n">
        <v>0</v>
      </c>
      <c r="I2153" s="21" t="n">
        <v>0</v>
      </c>
      <c r="J2153" s="21" t="n">
        <v>0</v>
      </c>
      <c r="K2153" s="21" t="n">
        <v>0</v>
      </c>
      <c r="L2153" s="21" t="n">
        <v>0</v>
      </c>
      <c r="M2153" s="21" t="n">
        <v>0</v>
      </c>
      <c r="N2153" s="21" t="n">
        <v>0</v>
      </c>
      <c r="O2153" s="21" t="n">
        <v>0</v>
      </c>
      <c r="P2153" s="21" t="n">
        <v>0</v>
      </c>
      <c r="Q2153" s="21" t="n">
        <v>0</v>
      </c>
      <c r="R2153" s="21" t="n">
        <v>0</v>
      </c>
      <c r="S2153" s="21" t="n">
        <v>0</v>
      </c>
      <c r="T2153" s="21">
        <f>$B$1812</f>
        <v/>
      </c>
      <c r="U2153" s="21">
        <f>$B$1814</f>
        <v/>
      </c>
      <c r="V2153" s="21">
        <f>0</f>
        <v/>
      </c>
      <c r="W2153" s="21">
        <f>2*$B$1813</f>
        <v/>
      </c>
      <c r="X2153" s="21">
        <f>-$B$1812</f>
        <v/>
      </c>
      <c r="Y2153" s="21">
        <f>$B$1814</f>
        <v/>
      </c>
      <c r="Z2153" s="21" t="n">
        <v>0</v>
      </c>
      <c r="AA2153" s="21" t="n">
        <v>0</v>
      </c>
      <c r="AB2153" s="21" t="n">
        <v>0</v>
      </c>
      <c r="AC2153" s="21" t="n">
        <v>0</v>
      </c>
      <c r="AD2153" s="21" t="n">
        <v>0</v>
      </c>
      <c r="AE2153" s="21" t="n">
        <v>0</v>
      </c>
      <c r="AF2153" s="21" t="n">
        <v>0</v>
      </c>
      <c r="AG2153" s="21" t="n">
        <v>0</v>
      </c>
      <c r="AH2153" s="21" t="n">
        <v>0</v>
      </c>
      <c r="AI2153" s="21" t="n">
        <v>0</v>
      </c>
      <c r="AJ2153" s="21" t="n">
        <v>0</v>
      </c>
      <c r="AK2153" s="21" t="n">
        <v>0</v>
      </c>
      <c r="AL2153" s="21" t="n">
        <v>0</v>
      </c>
      <c r="AM2153" s="21" t="n">
        <v>0</v>
      </c>
      <c r="AN2153" s="21" t="n">
        <v>0</v>
      </c>
      <c r="AO2153" s="21" t="n">
        <v>0</v>
      </c>
      <c r="AP2153" s="21" t="n">
        <v>0</v>
      </c>
      <c r="AQ2153" s="21" t="n">
        <v>0</v>
      </c>
      <c r="AR2153" s="21" t="n">
        <v>0</v>
      </c>
      <c r="AS2153" s="21" t="n">
        <v>0</v>
      </c>
      <c r="AT2153" s="19" t="n"/>
    </row>
    <row r="2154">
      <c r="D2154" s="21" t="n">
        <v>0</v>
      </c>
      <c r="E2154" s="21" t="n">
        <v>0</v>
      </c>
      <c r="F2154" s="21" t="n">
        <v>0</v>
      </c>
      <c r="G2154" s="21" t="n">
        <v>0</v>
      </c>
      <c r="H2154" s="21" t="n">
        <v>0</v>
      </c>
      <c r="I2154" s="21" t="n">
        <v>0</v>
      </c>
      <c r="J2154" s="21" t="n">
        <v>0</v>
      </c>
      <c r="K2154" s="21" t="n">
        <v>0</v>
      </c>
      <c r="L2154" s="21" t="n">
        <v>0</v>
      </c>
      <c r="M2154" s="21" t="n">
        <v>0</v>
      </c>
      <c r="N2154" s="21" t="n">
        <v>0</v>
      </c>
      <c r="O2154" s="21" t="n">
        <v>0</v>
      </c>
      <c r="P2154" s="21" t="n">
        <v>0</v>
      </c>
      <c r="Q2154" s="21" t="n">
        <v>0</v>
      </c>
      <c r="R2154" s="21" t="n">
        <v>0</v>
      </c>
      <c r="S2154" s="21" t="n">
        <v>0</v>
      </c>
      <c r="T2154" s="21" t="n">
        <v>0</v>
      </c>
      <c r="U2154" s="21" t="n">
        <v>0</v>
      </c>
      <c r="V2154" s="21">
        <f>-$B$1811</f>
        <v/>
      </c>
      <c r="W2154" s="21">
        <f>-$B$1812</f>
        <v/>
      </c>
      <c r="X2154" s="21">
        <f>2*$B$1811+$D$2122</f>
        <v/>
      </c>
      <c r="Y2154" s="21">
        <f>0</f>
        <v/>
      </c>
      <c r="Z2154" s="21">
        <f>-$B$1811</f>
        <v/>
      </c>
      <c r="AA2154" s="21">
        <f>$B$1812</f>
        <v/>
      </c>
      <c r="AB2154" s="21" t="n">
        <v>0</v>
      </c>
      <c r="AC2154" s="21" t="n">
        <v>0</v>
      </c>
      <c r="AD2154" s="21" t="n">
        <v>0</v>
      </c>
      <c r="AE2154" s="21" t="n">
        <v>0</v>
      </c>
      <c r="AF2154" s="21" t="n">
        <v>0</v>
      </c>
      <c r="AG2154" s="21" t="n">
        <v>0</v>
      </c>
      <c r="AH2154" s="21" t="n">
        <v>0</v>
      </c>
      <c r="AI2154" s="21" t="n">
        <v>0</v>
      </c>
      <c r="AJ2154" s="21" t="n">
        <v>0</v>
      </c>
      <c r="AK2154" s="21" t="n">
        <v>0</v>
      </c>
      <c r="AL2154" s="21" t="n">
        <v>0</v>
      </c>
      <c r="AM2154" s="21" t="n">
        <v>0</v>
      </c>
      <c r="AN2154" s="21" t="n">
        <v>0</v>
      </c>
      <c r="AO2154" s="21" t="n">
        <v>0</v>
      </c>
      <c r="AP2154" s="21" t="n">
        <v>0</v>
      </c>
      <c r="AQ2154" s="21" t="n">
        <v>0</v>
      </c>
      <c r="AR2154" s="21" t="n">
        <v>0</v>
      </c>
      <c r="AS2154" s="21" t="n">
        <v>0</v>
      </c>
      <c r="AT2154" s="19" t="n"/>
    </row>
    <row r="2155">
      <c r="D2155" s="21" t="n">
        <v>0</v>
      </c>
      <c r="E2155" s="21" t="n">
        <v>0</v>
      </c>
      <c r="F2155" s="21" t="n">
        <v>0</v>
      </c>
      <c r="G2155" s="21" t="n">
        <v>0</v>
      </c>
      <c r="H2155" s="21" t="n">
        <v>0</v>
      </c>
      <c r="I2155" s="21" t="n">
        <v>0</v>
      </c>
      <c r="J2155" s="21" t="n">
        <v>0</v>
      </c>
      <c r="K2155" s="21" t="n">
        <v>0</v>
      </c>
      <c r="L2155" s="21" t="n">
        <v>0</v>
      </c>
      <c r="M2155" s="21" t="n">
        <v>0</v>
      </c>
      <c r="N2155" s="21" t="n">
        <v>0</v>
      </c>
      <c r="O2155" s="21" t="n">
        <v>0</v>
      </c>
      <c r="P2155" s="21" t="n">
        <v>0</v>
      </c>
      <c r="Q2155" s="21" t="n">
        <v>0</v>
      </c>
      <c r="R2155" s="21" t="n">
        <v>0</v>
      </c>
      <c r="S2155" s="21" t="n">
        <v>0</v>
      </c>
      <c r="T2155" s="21" t="n">
        <v>0</v>
      </c>
      <c r="U2155" s="21" t="n">
        <v>0</v>
      </c>
      <c r="V2155" s="21">
        <f>$B$1812</f>
        <v/>
      </c>
      <c r="W2155" s="21">
        <f>$B$1814</f>
        <v/>
      </c>
      <c r="X2155" s="21">
        <f>0</f>
        <v/>
      </c>
      <c r="Y2155" s="21">
        <f>2*$B$1813</f>
        <v/>
      </c>
      <c r="Z2155" s="21">
        <f>-$B$1812</f>
        <v/>
      </c>
      <c r="AA2155" s="21">
        <f>$B$1814</f>
        <v/>
      </c>
      <c r="AB2155" s="21" t="n">
        <v>0</v>
      </c>
      <c r="AC2155" s="21" t="n">
        <v>0</v>
      </c>
      <c r="AD2155" s="21" t="n">
        <v>0</v>
      </c>
      <c r="AE2155" s="21" t="n">
        <v>0</v>
      </c>
      <c r="AF2155" s="21" t="n">
        <v>0</v>
      </c>
      <c r="AG2155" s="21" t="n">
        <v>0</v>
      </c>
      <c r="AH2155" s="21" t="n">
        <v>0</v>
      </c>
      <c r="AI2155" s="21" t="n">
        <v>0</v>
      </c>
      <c r="AJ2155" s="21" t="n">
        <v>0</v>
      </c>
      <c r="AK2155" s="21" t="n">
        <v>0</v>
      </c>
      <c r="AL2155" s="21" t="n">
        <v>0</v>
      </c>
      <c r="AM2155" s="21" t="n">
        <v>0</v>
      </c>
      <c r="AN2155" s="21" t="n">
        <v>0</v>
      </c>
      <c r="AO2155" s="21" t="n">
        <v>0</v>
      </c>
      <c r="AP2155" s="21" t="n">
        <v>0</v>
      </c>
      <c r="AQ2155" s="21" t="n">
        <v>0</v>
      </c>
      <c r="AR2155" s="21" t="n">
        <v>0</v>
      </c>
      <c r="AS2155" s="21" t="n">
        <v>0</v>
      </c>
      <c r="AT2155" s="19" t="n"/>
    </row>
    <row r="2156">
      <c r="D2156" s="21" t="n">
        <v>0</v>
      </c>
      <c r="E2156" s="21" t="n">
        <v>0</v>
      </c>
      <c r="F2156" s="21" t="n">
        <v>0</v>
      </c>
      <c r="G2156" s="21" t="n">
        <v>0</v>
      </c>
      <c r="H2156" s="21" t="n">
        <v>0</v>
      </c>
      <c r="I2156" s="21" t="n">
        <v>0</v>
      </c>
      <c r="J2156" s="21" t="n">
        <v>0</v>
      </c>
      <c r="K2156" s="21" t="n">
        <v>0</v>
      </c>
      <c r="L2156" s="21" t="n">
        <v>0</v>
      </c>
      <c r="M2156" s="21" t="n">
        <v>0</v>
      </c>
      <c r="N2156" s="21" t="n">
        <v>0</v>
      </c>
      <c r="O2156" s="21" t="n">
        <v>0</v>
      </c>
      <c r="P2156" s="21" t="n">
        <v>0</v>
      </c>
      <c r="Q2156" s="21" t="n">
        <v>0</v>
      </c>
      <c r="R2156" s="21" t="n">
        <v>0</v>
      </c>
      <c r="S2156" s="21" t="n">
        <v>0</v>
      </c>
      <c r="T2156" s="21" t="n">
        <v>0</v>
      </c>
      <c r="U2156" s="21" t="n">
        <v>0</v>
      </c>
      <c r="V2156" s="21" t="n">
        <v>0</v>
      </c>
      <c r="W2156" s="21" t="n">
        <v>0</v>
      </c>
      <c r="X2156" s="21">
        <f>-$B$1811</f>
        <v/>
      </c>
      <c r="Y2156" s="21">
        <f>-$B$1812</f>
        <v/>
      </c>
      <c r="Z2156" s="21">
        <f>2*$B$1811+$D$2123</f>
        <v/>
      </c>
      <c r="AA2156" s="21">
        <f>0</f>
        <v/>
      </c>
      <c r="AB2156" s="21">
        <f>-$B$1811</f>
        <v/>
      </c>
      <c r="AC2156" s="21">
        <f>$B$1812</f>
        <v/>
      </c>
      <c r="AD2156" s="21" t="n">
        <v>0</v>
      </c>
      <c r="AE2156" s="21" t="n">
        <v>0</v>
      </c>
      <c r="AF2156" s="21" t="n">
        <v>0</v>
      </c>
      <c r="AG2156" s="21" t="n">
        <v>0</v>
      </c>
      <c r="AH2156" s="21" t="n">
        <v>0</v>
      </c>
      <c r="AI2156" s="21" t="n">
        <v>0</v>
      </c>
      <c r="AJ2156" s="21" t="n">
        <v>0</v>
      </c>
      <c r="AK2156" s="21" t="n">
        <v>0</v>
      </c>
      <c r="AL2156" s="21" t="n">
        <v>0</v>
      </c>
      <c r="AM2156" s="21" t="n">
        <v>0</v>
      </c>
      <c r="AN2156" s="21" t="n">
        <v>0</v>
      </c>
      <c r="AO2156" s="21" t="n">
        <v>0</v>
      </c>
      <c r="AP2156" s="21" t="n">
        <v>0</v>
      </c>
      <c r="AQ2156" s="21" t="n">
        <v>0</v>
      </c>
      <c r="AR2156" s="21" t="n">
        <v>0</v>
      </c>
      <c r="AS2156" s="21" t="n">
        <v>0</v>
      </c>
      <c r="AT2156" s="19" t="n"/>
    </row>
    <row r="2157">
      <c r="D2157" s="21" t="n">
        <v>0</v>
      </c>
      <c r="E2157" s="21" t="n">
        <v>0</v>
      </c>
      <c r="F2157" s="21" t="n">
        <v>0</v>
      </c>
      <c r="G2157" s="21" t="n">
        <v>0</v>
      </c>
      <c r="H2157" s="21" t="n">
        <v>0</v>
      </c>
      <c r="I2157" s="21" t="n">
        <v>0</v>
      </c>
      <c r="J2157" s="21" t="n">
        <v>0</v>
      </c>
      <c r="K2157" s="21" t="n">
        <v>0</v>
      </c>
      <c r="L2157" s="21" t="n">
        <v>0</v>
      </c>
      <c r="M2157" s="21" t="n">
        <v>0</v>
      </c>
      <c r="N2157" s="21" t="n">
        <v>0</v>
      </c>
      <c r="O2157" s="21" t="n">
        <v>0</v>
      </c>
      <c r="P2157" s="21" t="n">
        <v>0</v>
      </c>
      <c r="Q2157" s="21" t="n">
        <v>0</v>
      </c>
      <c r="R2157" s="21" t="n">
        <v>0</v>
      </c>
      <c r="S2157" s="21" t="n">
        <v>0</v>
      </c>
      <c r="T2157" s="21" t="n">
        <v>0</v>
      </c>
      <c r="U2157" s="21" t="n">
        <v>0</v>
      </c>
      <c r="V2157" s="21" t="n">
        <v>0</v>
      </c>
      <c r="W2157" s="21" t="n">
        <v>0</v>
      </c>
      <c r="X2157" s="21">
        <f>$B$1812</f>
        <v/>
      </c>
      <c r="Y2157" s="21">
        <f>$B$1814</f>
        <v/>
      </c>
      <c r="Z2157" s="21">
        <f>0</f>
        <v/>
      </c>
      <c r="AA2157" s="21">
        <f>2*$B$1813</f>
        <v/>
      </c>
      <c r="AB2157" s="21">
        <f>-$B$1812</f>
        <v/>
      </c>
      <c r="AC2157" s="21">
        <f>$B$1814</f>
        <v/>
      </c>
      <c r="AD2157" s="21" t="n">
        <v>0</v>
      </c>
      <c r="AE2157" s="21" t="n">
        <v>0</v>
      </c>
      <c r="AF2157" s="21" t="n">
        <v>0</v>
      </c>
      <c r="AG2157" s="21" t="n">
        <v>0</v>
      </c>
      <c r="AH2157" s="21" t="n">
        <v>0</v>
      </c>
      <c r="AI2157" s="21" t="n">
        <v>0</v>
      </c>
      <c r="AJ2157" s="21" t="n">
        <v>0</v>
      </c>
      <c r="AK2157" s="21" t="n">
        <v>0</v>
      </c>
      <c r="AL2157" s="21" t="n">
        <v>0</v>
      </c>
      <c r="AM2157" s="21" t="n">
        <v>0</v>
      </c>
      <c r="AN2157" s="21" t="n">
        <v>0</v>
      </c>
      <c r="AO2157" s="21" t="n">
        <v>0</v>
      </c>
      <c r="AP2157" s="21" t="n">
        <v>0</v>
      </c>
      <c r="AQ2157" s="21" t="n">
        <v>0</v>
      </c>
      <c r="AR2157" s="21" t="n">
        <v>0</v>
      </c>
      <c r="AS2157" s="21" t="n">
        <v>0</v>
      </c>
      <c r="AT2157" s="19" t="n"/>
    </row>
    <row r="2158">
      <c r="D2158" s="21" t="n">
        <v>0</v>
      </c>
      <c r="E2158" s="21" t="n">
        <v>0</v>
      </c>
      <c r="F2158" s="21" t="n">
        <v>0</v>
      </c>
      <c r="G2158" s="21" t="n">
        <v>0</v>
      </c>
      <c r="H2158" s="21" t="n">
        <v>0</v>
      </c>
      <c r="I2158" s="21" t="n">
        <v>0</v>
      </c>
      <c r="J2158" s="21" t="n">
        <v>0</v>
      </c>
      <c r="K2158" s="21" t="n">
        <v>0</v>
      </c>
      <c r="L2158" s="21" t="n">
        <v>0</v>
      </c>
      <c r="M2158" s="21" t="n">
        <v>0</v>
      </c>
      <c r="N2158" s="21" t="n">
        <v>0</v>
      </c>
      <c r="O2158" s="21" t="n">
        <v>0</v>
      </c>
      <c r="P2158" s="21" t="n">
        <v>0</v>
      </c>
      <c r="Q2158" s="21" t="n">
        <v>0</v>
      </c>
      <c r="R2158" s="21" t="n">
        <v>0</v>
      </c>
      <c r="S2158" s="21" t="n">
        <v>0</v>
      </c>
      <c r="T2158" s="21" t="n">
        <v>0</v>
      </c>
      <c r="U2158" s="21" t="n">
        <v>0</v>
      </c>
      <c r="V2158" s="21" t="n">
        <v>0</v>
      </c>
      <c r="W2158" s="21" t="n">
        <v>0</v>
      </c>
      <c r="X2158" s="21" t="n">
        <v>0</v>
      </c>
      <c r="Y2158" s="21" t="n">
        <v>0</v>
      </c>
      <c r="Z2158" s="21">
        <f>-$B$1811</f>
        <v/>
      </c>
      <c r="AA2158" s="21">
        <f>-$B$1812</f>
        <v/>
      </c>
      <c r="AB2158" s="21">
        <f>2*$B$1811+$D$2124</f>
        <v/>
      </c>
      <c r="AC2158" s="21">
        <f>0</f>
        <v/>
      </c>
      <c r="AD2158" s="21">
        <f>-$B$1811</f>
        <v/>
      </c>
      <c r="AE2158" s="21">
        <f>$B$1812</f>
        <v/>
      </c>
      <c r="AF2158" s="21" t="n">
        <v>0</v>
      </c>
      <c r="AG2158" s="21" t="n">
        <v>0</v>
      </c>
      <c r="AH2158" s="21" t="n">
        <v>0</v>
      </c>
      <c r="AI2158" s="21" t="n">
        <v>0</v>
      </c>
      <c r="AJ2158" s="21" t="n">
        <v>0</v>
      </c>
      <c r="AK2158" s="21" t="n">
        <v>0</v>
      </c>
      <c r="AL2158" s="21" t="n">
        <v>0</v>
      </c>
      <c r="AM2158" s="21" t="n">
        <v>0</v>
      </c>
      <c r="AN2158" s="21" t="n">
        <v>0</v>
      </c>
      <c r="AO2158" s="21" t="n">
        <v>0</v>
      </c>
      <c r="AP2158" s="21" t="n">
        <v>0</v>
      </c>
      <c r="AQ2158" s="21" t="n">
        <v>0</v>
      </c>
      <c r="AR2158" s="21" t="n">
        <v>0</v>
      </c>
      <c r="AS2158" s="21" t="n">
        <v>0</v>
      </c>
      <c r="AT2158" s="19" t="n"/>
    </row>
    <row r="2159">
      <c r="D2159" s="21" t="n">
        <v>0</v>
      </c>
      <c r="E2159" s="21" t="n">
        <v>0</v>
      </c>
      <c r="F2159" s="21" t="n">
        <v>0</v>
      </c>
      <c r="G2159" s="21" t="n">
        <v>0</v>
      </c>
      <c r="H2159" s="21" t="n">
        <v>0</v>
      </c>
      <c r="I2159" s="21" t="n">
        <v>0</v>
      </c>
      <c r="J2159" s="21" t="n">
        <v>0</v>
      </c>
      <c r="K2159" s="21" t="n">
        <v>0</v>
      </c>
      <c r="L2159" s="21" t="n">
        <v>0</v>
      </c>
      <c r="M2159" s="21" t="n">
        <v>0</v>
      </c>
      <c r="N2159" s="21" t="n">
        <v>0</v>
      </c>
      <c r="O2159" s="21" t="n">
        <v>0</v>
      </c>
      <c r="P2159" s="21" t="n">
        <v>0</v>
      </c>
      <c r="Q2159" s="21" t="n">
        <v>0</v>
      </c>
      <c r="R2159" s="21" t="n">
        <v>0</v>
      </c>
      <c r="S2159" s="21" t="n">
        <v>0</v>
      </c>
      <c r="T2159" s="21" t="n">
        <v>0</v>
      </c>
      <c r="U2159" s="21" t="n">
        <v>0</v>
      </c>
      <c r="V2159" s="21" t="n">
        <v>0</v>
      </c>
      <c r="W2159" s="21" t="n">
        <v>0</v>
      </c>
      <c r="X2159" s="21" t="n">
        <v>0</v>
      </c>
      <c r="Y2159" s="21" t="n">
        <v>0</v>
      </c>
      <c r="Z2159" s="21">
        <f>$B$1812</f>
        <v/>
      </c>
      <c r="AA2159" s="21">
        <f>$B$1814</f>
        <v/>
      </c>
      <c r="AB2159" s="21">
        <f>0</f>
        <v/>
      </c>
      <c r="AC2159" s="21">
        <f>2*$B$1813</f>
        <v/>
      </c>
      <c r="AD2159" s="21">
        <f>-$B$1812</f>
        <v/>
      </c>
      <c r="AE2159" s="21">
        <f>$B$1814</f>
        <v/>
      </c>
      <c r="AF2159" s="21" t="n">
        <v>0</v>
      </c>
      <c r="AG2159" s="21" t="n">
        <v>0</v>
      </c>
      <c r="AH2159" s="21" t="n">
        <v>0</v>
      </c>
      <c r="AI2159" s="21" t="n">
        <v>0</v>
      </c>
      <c r="AJ2159" s="21" t="n">
        <v>0</v>
      </c>
      <c r="AK2159" s="21" t="n">
        <v>0</v>
      </c>
      <c r="AL2159" s="21" t="n">
        <v>0</v>
      </c>
      <c r="AM2159" s="21" t="n">
        <v>0</v>
      </c>
      <c r="AN2159" s="21" t="n">
        <v>0</v>
      </c>
      <c r="AO2159" s="21" t="n">
        <v>0</v>
      </c>
      <c r="AP2159" s="21" t="n">
        <v>0</v>
      </c>
      <c r="AQ2159" s="21" t="n">
        <v>0</v>
      </c>
      <c r="AR2159" s="21" t="n">
        <v>0</v>
      </c>
      <c r="AS2159" s="21" t="n">
        <v>0</v>
      </c>
      <c r="AT2159" s="19" t="n"/>
    </row>
    <row r="2160">
      <c r="D2160" s="21" t="n">
        <v>0</v>
      </c>
      <c r="E2160" s="21" t="n">
        <v>0</v>
      </c>
      <c r="F2160" s="21" t="n">
        <v>0</v>
      </c>
      <c r="G2160" s="21" t="n">
        <v>0</v>
      </c>
      <c r="H2160" s="21" t="n">
        <v>0</v>
      </c>
      <c r="I2160" s="21" t="n">
        <v>0</v>
      </c>
      <c r="J2160" s="21" t="n">
        <v>0</v>
      </c>
      <c r="K2160" s="21" t="n">
        <v>0</v>
      </c>
      <c r="L2160" s="21" t="n">
        <v>0</v>
      </c>
      <c r="M2160" s="21" t="n">
        <v>0</v>
      </c>
      <c r="N2160" s="21" t="n">
        <v>0</v>
      </c>
      <c r="O2160" s="21" t="n">
        <v>0</v>
      </c>
      <c r="P2160" s="21" t="n">
        <v>0</v>
      </c>
      <c r="Q2160" s="21" t="n">
        <v>0</v>
      </c>
      <c r="R2160" s="21" t="n">
        <v>0</v>
      </c>
      <c r="S2160" s="21" t="n">
        <v>0</v>
      </c>
      <c r="T2160" s="21" t="n">
        <v>0</v>
      </c>
      <c r="U2160" s="21" t="n">
        <v>0</v>
      </c>
      <c r="V2160" s="21" t="n">
        <v>0</v>
      </c>
      <c r="W2160" s="21" t="n">
        <v>0</v>
      </c>
      <c r="X2160" s="21" t="n">
        <v>0</v>
      </c>
      <c r="Y2160" s="21" t="n">
        <v>0</v>
      </c>
      <c r="Z2160" s="21" t="n">
        <v>0</v>
      </c>
      <c r="AA2160" s="21" t="n">
        <v>0</v>
      </c>
      <c r="AB2160" s="21">
        <f>-$B$1811</f>
        <v/>
      </c>
      <c r="AC2160" s="21">
        <f>-$B$1812</f>
        <v/>
      </c>
      <c r="AD2160" s="21">
        <f>2*$B$1811+$D$2125</f>
        <v/>
      </c>
      <c r="AE2160" s="21">
        <f>0</f>
        <v/>
      </c>
      <c r="AF2160" s="21">
        <f>-$B$1811</f>
        <v/>
      </c>
      <c r="AG2160" s="21">
        <f>$B$1812</f>
        <v/>
      </c>
      <c r="AH2160" s="21" t="n">
        <v>0</v>
      </c>
      <c r="AI2160" s="21" t="n">
        <v>0</v>
      </c>
      <c r="AJ2160" s="21" t="n">
        <v>0</v>
      </c>
      <c r="AK2160" s="21" t="n">
        <v>0</v>
      </c>
      <c r="AL2160" s="21" t="n">
        <v>0</v>
      </c>
      <c r="AM2160" s="21" t="n">
        <v>0</v>
      </c>
      <c r="AN2160" s="21" t="n">
        <v>0</v>
      </c>
      <c r="AO2160" s="21" t="n">
        <v>0</v>
      </c>
      <c r="AP2160" s="21" t="n">
        <v>0</v>
      </c>
      <c r="AQ2160" s="21" t="n">
        <v>0</v>
      </c>
      <c r="AR2160" s="21" t="n">
        <v>0</v>
      </c>
      <c r="AS2160" s="21" t="n">
        <v>0</v>
      </c>
      <c r="AT2160" s="19" t="n"/>
    </row>
    <row r="2161">
      <c r="D2161" s="21" t="n">
        <v>0</v>
      </c>
      <c r="E2161" s="21" t="n">
        <v>0</v>
      </c>
      <c r="F2161" s="21" t="n">
        <v>0</v>
      </c>
      <c r="G2161" s="21" t="n">
        <v>0</v>
      </c>
      <c r="H2161" s="21" t="n">
        <v>0</v>
      </c>
      <c r="I2161" s="21" t="n">
        <v>0</v>
      </c>
      <c r="J2161" s="21" t="n">
        <v>0</v>
      </c>
      <c r="K2161" s="21" t="n">
        <v>0</v>
      </c>
      <c r="L2161" s="21" t="n">
        <v>0</v>
      </c>
      <c r="M2161" s="21" t="n">
        <v>0</v>
      </c>
      <c r="N2161" s="21" t="n">
        <v>0</v>
      </c>
      <c r="O2161" s="21" t="n">
        <v>0</v>
      </c>
      <c r="P2161" s="21" t="n">
        <v>0</v>
      </c>
      <c r="Q2161" s="21" t="n">
        <v>0</v>
      </c>
      <c r="R2161" s="21" t="n">
        <v>0</v>
      </c>
      <c r="S2161" s="21" t="n">
        <v>0</v>
      </c>
      <c r="T2161" s="21" t="n">
        <v>0</v>
      </c>
      <c r="U2161" s="21" t="n">
        <v>0</v>
      </c>
      <c r="V2161" s="21" t="n">
        <v>0</v>
      </c>
      <c r="W2161" s="21" t="n">
        <v>0</v>
      </c>
      <c r="X2161" s="21" t="n">
        <v>0</v>
      </c>
      <c r="Y2161" s="21" t="n">
        <v>0</v>
      </c>
      <c r="Z2161" s="21" t="n">
        <v>0</v>
      </c>
      <c r="AA2161" s="21" t="n">
        <v>0</v>
      </c>
      <c r="AB2161" s="21">
        <f>$B$1812</f>
        <v/>
      </c>
      <c r="AC2161" s="21">
        <f>$B$1814</f>
        <v/>
      </c>
      <c r="AD2161" s="21">
        <f>0</f>
        <v/>
      </c>
      <c r="AE2161" s="21">
        <f>2*$B$1813</f>
        <v/>
      </c>
      <c r="AF2161" s="21">
        <f>-$B$1812</f>
        <v/>
      </c>
      <c r="AG2161" s="21">
        <f>$B$1814</f>
        <v/>
      </c>
      <c r="AH2161" s="21" t="n">
        <v>0</v>
      </c>
      <c r="AI2161" s="21" t="n">
        <v>0</v>
      </c>
      <c r="AJ2161" s="21" t="n">
        <v>0</v>
      </c>
      <c r="AK2161" s="21" t="n">
        <v>0</v>
      </c>
      <c r="AL2161" s="21" t="n">
        <v>0</v>
      </c>
      <c r="AM2161" s="21" t="n">
        <v>0</v>
      </c>
      <c r="AN2161" s="21" t="n">
        <v>0</v>
      </c>
      <c r="AO2161" s="21" t="n">
        <v>0</v>
      </c>
      <c r="AP2161" s="21" t="n">
        <v>0</v>
      </c>
      <c r="AQ2161" s="21" t="n">
        <v>0</v>
      </c>
      <c r="AR2161" s="21" t="n">
        <v>0</v>
      </c>
      <c r="AS2161" s="21" t="n">
        <v>0</v>
      </c>
      <c r="AT2161" s="19" t="n"/>
    </row>
    <row r="2162">
      <c r="D2162" s="21" t="n">
        <v>0</v>
      </c>
      <c r="E2162" s="21" t="n">
        <v>0</v>
      </c>
      <c r="F2162" s="21" t="n">
        <v>0</v>
      </c>
      <c r="G2162" s="21" t="n">
        <v>0</v>
      </c>
      <c r="H2162" s="21" t="n">
        <v>0</v>
      </c>
      <c r="I2162" s="21" t="n">
        <v>0</v>
      </c>
      <c r="J2162" s="21" t="n">
        <v>0</v>
      </c>
      <c r="K2162" s="21" t="n">
        <v>0</v>
      </c>
      <c r="L2162" s="21" t="n">
        <v>0</v>
      </c>
      <c r="M2162" s="21" t="n">
        <v>0</v>
      </c>
      <c r="N2162" s="21" t="n">
        <v>0</v>
      </c>
      <c r="O2162" s="21" t="n">
        <v>0</v>
      </c>
      <c r="P2162" s="21" t="n">
        <v>0</v>
      </c>
      <c r="Q2162" s="21" t="n">
        <v>0</v>
      </c>
      <c r="R2162" s="21" t="n">
        <v>0</v>
      </c>
      <c r="S2162" s="21" t="n">
        <v>0</v>
      </c>
      <c r="T2162" s="21" t="n">
        <v>0</v>
      </c>
      <c r="U2162" s="21" t="n">
        <v>0</v>
      </c>
      <c r="V2162" s="21" t="n">
        <v>0</v>
      </c>
      <c r="W2162" s="21" t="n">
        <v>0</v>
      </c>
      <c r="X2162" s="21" t="n">
        <v>0</v>
      </c>
      <c r="Y2162" s="21" t="n">
        <v>0</v>
      </c>
      <c r="Z2162" s="21" t="n">
        <v>0</v>
      </c>
      <c r="AA2162" s="21" t="n">
        <v>0</v>
      </c>
      <c r="AB2162" s="21" t="n">
        <v>0</v>
      </c>
      <c r="AC2162" s="21" t="n">
        <v>0</v>
      </c>
      <c r="AD2162" s="21">
        <f>-$B$1811</f>
        <v/>
      </c>
      <c r="AE2162" s="21">
        <f>-$B$1812</f>
        <v/>
      </c>
      <c r="AF2162" s="21">
        <f>2*$B$1811+$D$2126</f>
        <v/>
      </c>
      <c r="AG2162" s="21">
        <f>0</f>
        <v/>
      </c>
      <c r="AH2162" s="21">
        <f>-$B$1811</f>
        <v/>
      </c>
      <c r="AI2162" s="21">
        <f>$B$1812</f>
        <v/>
      </c>
      <c r="AJ2162" s="21" t="n">
        <v>0</v>
      </c>
      <c r="AK2162" s="21" t="n">
        <v>0</v>
      </c>
      <c r="AL2162" s="21" t="n">
        <v>0</v>
      </c>
      <c r="AM2162" s="21" t="n">
        <v>0</v>
      </c>
      <c r="AN2162" s="21" t="n">
        <v>0</v>
      </c>
      <c r="AO2162" s="21" t="n">
        <v>0</v>
      </c>
      <c r="AP2162" s="21" t="n">
        <v>0</v>
      </c>
      <c r="AQ2162" s="21" t="n">
        <v>0</v>
      </c>
      <c r="AR2162" s="21" t="n">
        <v>0</v>
      </c>
      <c r="AS2162" s="21" t="n">
        <v>0</v>
      </c>
      <c r="AT2162" s="19" t="n"/>
    </row>
    <row r="2163">
      <c r="D2163" s="21" t="n">
        <v>0</v>
      </c>
      <c r="E2163" s="21" t="n">
        <v>0</v>
      </c>
      <c r="F2163" s="21" t="n">
        <v>0</v>
      </c>
      <c r="G2163" s="21" t="n">
        <v>0</v>
      </c>
      <c r="H2163" s="21" t="n">
        <v>0</v>
      </c>
      <c r="I2163" s="21" t="n">
        <v>0</v>
      </c>
      <c r="J2163" s="21" t="n">
        <v>0</v>
      </c>
      <c r="K2163" s="21" t="n">
        <v>0</v>
      </c>
      <c r="L2163" s="21" t="n">
        <v>0</v>
      </c>
      <c r="M2163" s="21" t="n">
        <v>0</v>
      </c>
      <c r="N2163" s="21" t="n">
        <v>0</v>
      </c>
      <c r="O2163" s="21" t="n">
        <v>0</v>
      </c>
      <c r="P2163" s="21" t="n">
        <v>0</v>
      </c>
      <c r="Q2163" s="21" t="n">
        <v>0</v>
      </c>
      <c r="R2163" s="21" t="n">
        <v>0</v>
      </c>
      <c r="S2163" s="21" t="n">
        <v>0</v>
      </c>
      <c r="T2163" s="21" t="n">
        <v>0</v>
      </c>
      <c r="U2163" s="21" t="n">
        <v>0</v>
      </c>
      <c r="V2163" s="21" t="n">
        <v>0</v>
      </c>
      <c r="W2163" s="21" t="n">
        <v>0</v>
      </c>
      <c r="X2163" s="21" t="n">
        <v>0</v>
      </c>
      <c r="Y2163" s="21" t="n">
        <v>0</v>
      </c>
      <c r="Z2163" s="21" t="n">
        <v>0</v>
      </c>
      <c r="AA2163" s="21" t="n">
        <v>0</v>
      </c>
      <c r="AB2163" s="21" t="n">
        <v>0</v>
      </c>
      <c r="AC2163" s="21" t="n">
        <v>0</v>
      </c>
      <c r="AD2163" s="21">
        <f>$B$1812</f>
        <v/>
      </c>
      <c r="AE2163" s="21">
        <f>$B$1814</f>
        <v/>
      </c>
      <c r="AF2163" s="21">
        <f>0</f>
        <v/>
      </c>
      <c r="AG2163" s="21">
        <f>2*$B$1813</f>
        <v/>
      </c>
      <c r="AH2163" s="21">
        <f>-$B$1812</f>
        <v/>
      </c>
      <c r="AI2163" s="21">
        <f>$B$1814</f>
        <v/>
      </c>
      <c r="AJ2163" s="21" t="n">
        <v>0</v>
      </c>
      <c r="AK2163" s="21" t="n">
        <v>0</v>
      </c>
      <c r="AL2163" s="21" t="n">
        <v>0</v>
      </c>
      <c r="AM2163" s="21" t="n">
        <v>0</v>
      </c>
      <c r="AN2163" s="21" t="n">
        <v>0</v>
      </c>
      <c r="AO2163" s="21" t="n">
        <v>0</v>
      </c>
      <c r="AP2163" s="21" t="n">
        <v>0</v>
      </c>
      <c r="AQ2163" s="21" t="n">
        <v>0</v>
      </c>
      <c r="AR2163" s="21" t="n">
        <v>0</v>
      </c>
      <c r="AS2163" s="21" t="n">
        <v>0</v>
      </c>
      <c r="AT2163" s="19" t="n"/>
    </row>
    <row r="2164">
      <c r="D2164" s="21" t="n">
        <v>0</v>
      </c>
      <c r="E2164" s="21" t="n">
        <v>0</v>
      </c>
      <c r="F2164" s="21" t="n">
        <v>0</v>
      </c>
      <c r="G2164" s="21" t="n">
        <v>0</v>
      </c>
      <c r="H2164" s="21" t="n">
        <v>0</v>
      </c>
      <c r="I2164" s="21" t="n">
        <v>0</v>
      </c>
      <c r="J2164" s="21" t="n">
        <v>0</v>
      </c>
      <c r="K2164" s="21" t="n">
        <v>0</v>
      </c>
      <c r="L2164" s="21" t="n">
        <v>0</v>
      </c>
      <c r="M2164" s="21" t="n">
        <v>0</v>
      </c>
      <c r="N2164" s="21" t="n">
        <v>0</v>
      </c>
      <c r="O2164" s="21" t="n">
        <v>0</v>
      </c>
      <c r="P2164" s="21" t="n">
        <v>0</v>
      </c>
      <c r="Q2164" s="21" t="n">
        <v>0</v>
      </c>
      <c r="R2164" s="21" t="n">
        <v>0</v>
      </c>
      <c r="S2164" s="21" t="n">
        <v>0</v>
      </c>
      <c r="T2164" s="21" t="n">
        <v>0</v>
      </c>
      <c r="U2164" s="21" t="n">
        <v>0</v>
      </c>
      <c r="V2164" s="21" t="n">
        <v>0</v>
      </c>
      <c r="W2164" s="21" t="n">
        <v>0</v>
      </c>
      <c r="X2164" s="21" t="n">
        <v>0</v>
      </c>
      <c r="Y2164" s="21" t="n">
        <v>0</v>
      </c>
      <c r="Z2164" s="21" t="n">
        <v>0</v>
      </c>
      <c r="AA2164" s="21" t="n">
        <v>0</v>
      </c>
      <c r="AB2164" s="21" t="n">
        <v>0</v>
      </c>
      <c r="AC2164" s="21" t="n">
        <v>0</v>
      </c>
      <c r="AD2164" s="21" t="n">
        <v>0</v>
      </c>
      <c r="AE2164" s="21" t="n">
        <v>0</v>
      </c>
      <c r="AF2164" s="21">
        <f>-$B$1811</f>
        <v/>
      </c>
      <c r="AG2164" s="21">
        <f>-$B$1812</f>
        <v/>
      </c>
      <c r="AH2164" s="21">
        <f>2*$B$1811+$D$2127</f>
        <v/>
      </c>
      <c r="AI2164" s="21">
        <f>0</f>
        <v/>
      </c>
      <c r="AJ2164" s="21">
        <f>-$B$1811</f>
        <v/>
      </c>
      <c r="AK2164" s="21">
        <f>$B$1812</f>
        <v/>
      </c>
      <c r="AL2164" s="21" t="n">
        <v>0</v>
      </c>
      <c r="AM2164" s="21" t="n">
        <v>0</v>
      </c>
      <c r="AN2164" s="21" t="n">
        <v>0</v>
      </c>
      <c r="AO2164" s="21" t="n">
        <v>0</v>
      </c>
      <c r="AP2164" s="21" t="n">
        <v>0</v>
      </c>
      <c r="AQ2164" s="21" t="n">
        <v>0</v>
      </c>
      <c r="AR2164" s="21" t="n">
        <v>0</v>
      </c>
      <c r="AS2164" s="21" t="n">
        <v>0</v>
      </c>
      <c r="AT2164" s="19" t="n"/>
    </row>
    <row r="2165">
      <c r="D2165" s="21" t="n">
        <v>0</v>
      </c>
      <c r="E2165" s="21" t="n">
        <v>0</v>
      </c>
      <c r="F2165" s="21" t="n">
        <v>0</v>
      </c>
      <c r="G2165" s="21" t="n">
        <v>0</v>
      </c>
      <c r="H2165" s="21" t="n">
        <v>0</v>
      </c>
      <c r="I2165" s="21" t="n">
        <v>0</v>
      </c>
      <c r="J2165" s="21" t="n">
        <v>0</v>
      </c>
      <c r="K2165" s="21" t="n">
        <v>0</v>
      </c>
      <c r="L2165" s="21" t="n">
        <v>0</v>
      </c>
      <c r="M2165" s="21" t="n">
        <v>0</v>
      </c>
      <c r="N2165" s="21" t="n">
        <v>0</v>
      </c>
      <c r="O2165" s="21" t="n">
        <v>0</v>
      </c>
      <c r="P2165" s="21" t="n">
        <v>0</v>
      </c>
      <c r="Q2165" s="21" t="n">
        <v>0</v>
      </c>
      <c r="R2165" s="21" t="n">
        <v>0</v>
      </c>
      <c r="S2165" s="21" t="n">
        <v>0</v>
      </c>
      <c r="T2165" s="21" t="n">
        <v>0</v>
      </c>
      <c r="U2165" s="21" t="n">
        <v>0</v>
      </c>
      <c r="V2165" s="21" t="n">
        <v>0</v>
      </c>
      <c r="W2165" s="21" t="n">
        <v>0</v>
      </c>
      <c r="X2165" s="21" t="n">
        <v>0</v>
      </c>
      <c r="Y2165" s="21" t="n">
        <v>0</v>
      </c>
      <c r="Z2165" s="21" t="n">
        <v>0</v>
      </c>
      <c r="AA2165" s="21" t="n">
        <v>0</v>
      </c>
      <c r="AB2165" s="21" t="n">
        <v>0</v>
      </c>
      <c r="AC2165" s="21" t="n">
        <v>0</v>
      </c>
      <c r="AD2165" s="21" t="n">
        <v>0</v>
      </c>
      <c r="AE2165" s="21" t="n">
        <v>0</v>
      </c>
      <c r="AF2165" s="21">
        <f>$B$1812</f>
        <v/>
      </c>
      <c r="AG2165" s="21">
        <f>$B$1814</f>
        <v/>
      </c>
      <c r="AH2165" s="21">
        <f>0</f>
        <v/>
      </c>
      <c r="AI2165" s="21">
        <f>2*$B$1813</f>
        <v/>
      </c>
      <c r="AJ2165" s="21">
        <f>-$B$1812</f>
        <v/>
      </c>
      <c r="AK2165" s="21">
        <f>$B$1814</f>
        <v/>
      </c>
      <c r="AL2165" s="21" t="n">
        <v>0</v>
      </c>
      <c r="AM2165" s="21" t="n">
        <v>0</v>
      </c>
      <c r="AN2165" s="21" t="n">
        <v>0</v>
      </c>
      <c r="AO2165" s="21" t="n">
        <v>0</v>
      </c>
      <c r="AP2165" s="21" t="n">
        <v>0</v>
      </c>
      <c r="AQ2165" s="21" t="n">
        <v>0</v>
      </c>
      <c r="AR2165" s="21" t="n">
        <v>0</v>
      </c>
      <c r="AS2165" s="21" t="n">
        <v>0</v>
      </c>
      <c r="AT2165" s="19" t="n"/>
    </row>
    <row r="2166">
      <c r="D2166" s="21" t="n">
        <v>0</v>
      </c>
      <c r="E2166" s="21" t="n">
        <v>0</v>
      </c>
      <c r="F2166" s="21" t="n">
        <v>0</v>
      </c>
      <c r="G2166" s="21" t="n">
        <v>0</v>
      </c>
      <c r="H2166" s="21" t="n">
        <v>0</v>
      </c>
      <c r="I2166" s="21" t="n">
        <v>0</v>
      </c>
      <c r="J2166" s="21" t="n">
        <v>0</v>
      </c>
      <c r="K2166" s="21" t="n">
        <v>0</v>
      </c>
      <c r="L2166" s="21" t="n">
        <v>0</v>
      </c>
      <c r="M2166" s="21" t="n">
        <v>0</v>
      </c>
      <c r="N2166" s="21" t="n">
        <v>0</v>
      </c>
      <c r="O2166" s="21" t="n">
        <v>0</v>
      </c>
      <c r="P2166" s="21" t="n">
        <v>0</v>
      </c>
      <c r="Q2166" s="21" t="n">
        <v>0</v>
      </c>
      <c r="R2166" s="21" t="n">
        <v>0</v>
      </c>
      <c r="S2166" s="21" t="n">
        <v>0</v>
      </c>
      <c r="T2166" s="21" t="n">
        <v>0</v>
      </c>
      <c r="U2166" s="21" t="n">
        <v>0</v>
      </c>
      <c r="V2166" s="21" t="n">
        <v>0</v>
      </c>
      <c r="W2166" s="21" t="n">
        <v>0</v>
      </c>
      <c r="X2166" s="21" t="n">
        <v>0</v>
      </c>
      <c r="Y2166" s="21" t="n">
        <v>0</v>
      </c>
      <c r="Z2166" s="21" t="n">
        <v>0</v>
      </c>
      <c r="AA2166" s="21" t="n">
        <v>0</v>
      </c>
      <c r="AB2166" s="21" t="n">
        <v>0</v>
      </c>
      <c r="AC2166" s="21" t="n">
        <v>0</v>
      </c>
      <c r="AD2166" s="21" t="n">
        <v>0</v>
      </c>
      <c r="AE2166" s="21" t="n">
        <v>0</v>
      </c>
      <c r="AF2166" s="21" t="n">
        <v>0</v>
      </c>
      <c r="AG2166" s="21" t="n">
        <v>0</v>
      </c>
      <c r="AH2166" s="21">
        <f>-$B$1811</f>
        <v/>
      </c>
      <c r="AI2166" s="21">
        <f>-$B$1812</f>
        <v/>
      </c>
      <c r="AJ2166" s="21">
        <f>2*$B$1811+$D$2128</f>
        <v/>
      </c>
      <c r="AK2166" s="21">
        <f>0</f>
        <v/>
      </c>
      <c r="AL2166" s="21">
        <f>-$B$1811</f>
        <v/>
      </c>
      <c r="AM2166" s="21">
        <f>$B$1812</f>
        <v/>
      </c>
      <c r="AN2166" s="21" t="n">
        <v>0</v>
      </c>
      <c r="AO2166" s="21" t="n">
        <v>0</v>
      </c>
      <c r="AP2166" s="21" t="n">
        <v>0</v>
      </c>
      <c r="AQ2166" s="21" t="n">
        <v>0</v>
      </c>
      <c r="AR2166" s="21" t="n">
        <v>0</v>
      </c>
      <c r="AS2166" s="21" t="n">
        <v>0</v>
      </c>
      <c r="AT2166" s="19" t="n"/>
    </row>
    <row r="2167">
      <c r="D2167" s="21" t="n">
        <v>0</v>
      </c>
      <c r="E2167" s="21" t="n">
        <v>0</v>
      </c>
      <c r="F2167" s="21" t="n">
        <v>0</v>
      </c>
      <c r="G2167" s="21" t="n">
        <v>0</v>
      </c>
      <c r="H2167" s="21" t="n">
        <v>0</v>
      </c>
      <c r="I2167" s="21" t="n">
        <v>0</v>
      </c>
      <c r="J2167" s="21" t="n">
        <v>0</v>
      </c>
      <c r="K2167" s="21" t="n">
        <v>0</v>
      </c>
      <c r="L2167" s="21" t="n">
        <v>0</v>
      </c>
      <c r="M2167" s="21" t="n">
        <v>0</v>
      </c>
      <c r="N2167" s="21" t="n">
        <v>0</v>
      </c>
      <c r="O2167" s="21" t="n">
        <v>0</v>
      </c>
      <c r="P2167" s="21" t="n">
        <v>0</v>
      </c>
      <c r="Q2167" s="21" t="n">
        <v>0</v>
      </c>
      <c r="R2167" s="21" t="n">
        <v>0</v>
      </c>
      <c r="S2167" s="21" t="n">
        <v>0</v>
      </c>
      <c r="T2167" s="21" t="n">
        <v>0</v>
      </c>
      <c r="U2167" s="21" t="n">
        <v>0</v>
      </c>
      <c r="V2167" s="21" t="n">
        <v>0</v>
      </c>
      <c r="W2167" s="21" t="n">
        <v>0</v>
      </c>
      <c r="X2167" s="21" t="n">
        <v>0</v>
      </c>
      <c r="Y2167" s="21" t="n">
        <v>0</v>
      </c>
      <c r="Z2167" s="21" t="n">
        <v>0</v>
      </c>
      <c r="AA2167" s="21" t="n">
        <v>0</v>
      </c>
      <c r="AB2167" s="21" t="n">
        <v>0</v>
      </c>
      <c r="AC2167" s="21" t="n">
        <v>0</v>
      </c>
      <c r="AD2167" s="21" t="n">
        <v>0</v>
      </c>
      <c r="AE2167" s="21" t="n">
        <v>0</v>
      </c>
      <c r="AF2167" s="21" t="n">
        <v>0</v>
      </c>
      <c r="AG2167" s="21" t="n">
        <v>0</v>
      </c>
      <c r="AH2167" s="21">
        <f>$B$1812</f>
        <v/>
      </c>
      <c r="AI2167" s="21">
        <f>$B$1814</f>
        <v/>
      </c>
      <c r="AJ2167" s="21">
        <f>0</f>
        <v/>
      </c>
      <c r="AK2167" s="21">
        <f>2*$B$1813</f>
        <v/>
      </c>
      <c r="AL2167" s="21">
        <f>-$B$1812</f>
        <v/>
      </c>
      <c r="AM2167" s="21">
        <f>$B$1814</f>
        <v/>
      </c>
      <c r="AN2167" s="21" t="n">
        <v>0</v>
      </c>
      <c r="AO2167" s="21" t="n">
        <v>0</v>
      </c>
      <c r="AP2167" s="21" t="n">
        <v>0</v>
      </c>
      <c r="AQ2167" s="21" t="n">
        <v>0</v>
      </c>
      <c r="AR2167" s="21" t="n">
        <v>0</v>
      </c>
      <c r="AS2167" s="21" t="n">
        <v>0</v>
      </c>
      <c r="AT2167" s="19" t="n"/>
    </row>
    <row r="2168">
      <c r="D2168" s="21" t="n">
        <v>0</v>
      </c>
      <c r="E2168" s="21" t="n">
        <v>0</v>
      </c>
      <c r="F2168" s="21" t="n">
        <v>0</v>
      </c>
      <c r="G2168" s="21" t="n">
        <v>0</v>
      </c>
      <c r="H2168" s="21" t="n">
        <v>0</v>
      </c>
      <c r="I2168" s="21" t="n">
        <v>0</v>
      </c>
      <c r="J2168" s="21" t="n">
        <v>0</v>
      </c>
      <c r="K2168" s="21" t="n">
        <v>0</v>
      </c>
      <c r="L2168" s="21" t="n">
        <v>0</v>
      </c>
      <c r="M2168" s="21" t="n">
        <v>0</v>
      </c>
      <c r="N2168" s="21" t="n">
        <v>0</v>
      </c>
      <c r="O2168" s="21" t="n">
        <v>0</v>
      </c>
      <c r="P2168" s="21" t="n">
        <v>0</v>
      </c>
      <c r="Q2168" s="21" t="n">
        <v>0</v>
      </c>
      <c r="R2168" s="21" t="n">
        <v>0</v>
      </c>
      <c r="S2168" s="21" t="n">
        <v>0</v>
      </c>
      <c r="T2168" s="21" t="n">
        <v>0</v>
      </c>
      <c r="U2168" s="21" t="n">
        <v>0</v>
      </c>
      <c r="V2168" s="21" t="n">
        <v>0</v>
      </c>
      <c r="W2168" s="21" t="n">
        <v>0</v>
      </c>
      <c r="X2168" s="21" t="n">
        <v>0</v>
      </c>
      <c r="Y2168" s="21" t="n">
        <v>0</v>
      </c>
      <c r="Z2168" s="21" t="n">
        <v>0</v>
      </c>
      <c r="AA2168" s="21" t="n">
        <v>0</v>
      </c>
      <c r="AB2168" s="21" t="n">
        <v>0</v>
      </c>
      <c r="AC2168" s="21" t="n">
        <v>0</v>
      </c>
      <c r="AD2168" s="21" t="n">
        <v>0</v>
      </c>
      <c r="AE2168" s="21" t="n">
        <v>0</v>
      </c>
      <c r="AF2168" s="21" t="n">
        <v>0</v>
      </c>
      <c r="AG2168" s="21" t="n">
        <v>0</v>
      </c>
      <c r="AH2168" s="21" t="n">
        <v>0</v>
      </c>
      <c r="AI2168" s="21" t="n">
        <v>0</v>
      </c>
      <c r="AJ2168" s="21">
        <f>-$B$1811</f>
        <v/>
      </c>
      <c r="AK2168" s="21">
        <f>-$B$1812</f>
        <v/>
      </c>
      <c r="AL2168" s="21">
        <f>2*$B$1811+$D$2129</f>
        <v/>
      </c>
      <c r="AM2168" s="21">
        <f>0</f>
        <v/>
      </c>
      <c r="AN2168" s="21">
        <f>-$B$1811</f>
        <v/>
      </c>
      <c r="AO2168" s="21">
        <f>$B$1812</f>
        <v/>
      </c>
      <c r="AP2168" s="21" t="n">
        <v>0</v>
      </c>
      <c r="AQ2168" s="21" t="n">
        <v>0</v>
      </c>
      <c r="AR2168" s="21" t="n">
        <v>0</v>
      </c>
      <c r="AS2168" s="21" t="n">
        <v>0</v>
      </c>
      <c r="AT2168" s="19" t="n"/>
    </row>
    <row r="2169">
      <c r="D2169" s="21" t="n">
        <v>0</v>
      </c>
      <c r="E2169" s="21" t="n">
        <v>0</v>
      </c>
      <c r="F2169" s="21" t="n">
        <v>0</v>
      </c>
      <c r="G2169" s="21" t="n">
        <v>0</v>
      </c>
      <c r="H2169" s="21" t="n">
        <v>0</v>
      </c>
      <c r="I2169" s="21" t="n">
        <v>0</v>
      </c>
      <c r="J2169" s="21" t="n">
        <v>0</v>
      </c>
      <c r="K2169" s="21" t="n">
        <v>0</v>
      </c>
      <c r="L2169" s="21" t="n">
        <v>0</v>
      </c>
      <c r="M2169" s="21" t="n">
        <v>0</v>
      </c>
      <c r="N2169" s="21" t="n">
        <v>0</v>
      </c>
      <c r="O2169" s="21" t="n">
        <v>0</v>
      </c>
      <c r="P2169" s="21" t="n">
        <v>0</v>
      </c>
      <c r="Q2169" s="21" t="n">
        <v>0</v>
      </c>
      <c r="R2169" s="21" t="n">
        <v>0</v>
      </c>
      <c r="S2169" s="21" t="n">
        <v>0</v>
      </c>
      <c r="T2169" s="21" t="n">
        <v>0</v>
      </c>
      <c r="U2169" s="21" t="n">
        <v>0</v>
      </c>
      <c r="V2169" s="21" t="n">
        <v>0</v>
      </c>
      <c r="W2169" s="21" t="n">
        <v>0</v>
      </c>
      <c r="X2169" s="21" t="n">
        <v>0</v>
      </c>
      <c r="Y2169" s="21" t="n">
        <v>0</v>
      </c>
      <c r="Z2169" s="21" t="n">
        <v>0</v>
      </c>
      <c r="AA2169" s="21" t="n">
        <v>0</v>
      </c>
      <c r="AB2169" s="21" t="n">
        <v>0</v>
      </c>
      <c r="AC2169" s="21" t="n">
        <v>0</v>
      </c>
      <c r="AD2169" s="21" t="n">
        <v>0</v>
      </c>
      <c r="AE2169" s="21" t="n">
        <v>0</v>
      </c>
      <c r="AF2169" s="21" t="n">
        <v>0</v>
      </c>
      <c r="AG2169" s="21" t="n">
        <v>0</v>
      </c>
      <c r="AH2169" s="21" t="n">
        <v>0</v>
      </c>
      <c r="AI2169" s="21" t="n">
        <v>0</v>
      </c>
      <c r="AJ2169" s="21">
        <f>$B$1812</f>
        <v/>
      </c>
      <c r="AK2169" s="21">
        <f>$B$1814</f>
        <v/>
      </c>
      <c r="AL2169" s="21">
        <f>0</f>
        <v/>
      </c>
      <c r="AM2169" s="21">
        <f>2*$B$1813</f>
        <v/>
      </c>
      <c r="AN2169" s="21">
        <f>-$B$1812</f>
        <v/>
      </c>
      <c r="AO2169" s="21">
        <f>$B$1814</f>
        <v/>
      </c>
      <c r="AP2169" s="21" t="n">
        <v>0</v>
      </c>
      <c r="AQ2169" s="21" t="n">
        <v>0</v>
      </c>
      <c r="AR2169" s="21" t="n">
        <v>0</v>
      </c>
      <c r="AS2169" s="21" t="n">
        <v>0</v>
      </c>
      <c r="AT2169" s="19" t="n"/>
    </row>
    <row r="2170">
      <c r="D2170" s="21" t="n">
        <v>0</v>
      </c>
      <c r="E2170" s="21" t="n">
        <v>0</v>
      </c>
      <c r="F2170" s="21" t="n">
        <v>0</v>
      </c>
      <c r="G2170" s="21" t="n">
        <v>0</v>
      </c>
      <c r="H2170" s="21" t="n">
        <v>0</v>
      </c>
      <c r="I2170" s="21" t="n">
        <v>0</v>
      </c>
      <c r="J2170" s="21" t="n">
        <v>0</v>
      </c>
      <c r="K2170" s="21" t="n">
        <v>0</v>
      </c>
      <c r="L2170" s="21" t="n">
        <v>0</v>
      </c>
      <c r="M2170" s="21" t="n">
        <v>0</v>
      </c>
      <c r="N2170" s="21" t="n">
        <v>0</v>
      </c>
      <c r="O2170" s="21" t="n">
        <v>0</v>
      </c>
      <c r="P2170" s="21" t="n">
        <v>0</v>
      </c>
      <c r="Q2170" s="21" t="n">
        <v>0</v>
      </c>
      <c r="R2170" s="21" t="n">
        <v>0</v>
      </c>
      <c r="S2170" s="21" t="n">
        <v>0</v>
      </c>
      <c r="T2170" s="21" t="n">
        <v>0</v>
      </c>
      <c r="U2170" s="21" t="n">
        <v>0</v>
      </c>
      <c r="V2170" s="21" t="n">
        <v>0</v>
      </c>
      <c r="W2170" s="21" t="n">
        <v>0</v>
      </c>
      <c r="X2170" s="21" t="n">
        <v>0</v>
      </c>
      <c r="Y2170" s="21" t="n">
        <v>0</v>
      </c>
      <c r="Z2170" s="21" t="n">
        <v>0</v>
      </c>
      <c r="AA2170" s="21" t="n">
        <v>0</v>
      </c>
      <c r="AB2170" s="21" t="n">
        <v>0</v>
      </c>
      <c r="AC2170" s="21" t="n">
        <v>0</v>
      </c>
      <c r="AD2170" s="21" t="n">
        <v>0</v>
      </c>
      <c r="AE2170" s="21" t="n">
        <v>0</v>
      </c>
      <c r="AF2170" s="21" t="n">
        <v>0</v>
      </c>
      <c r="AG2170" s="21" t="n">
        <v>0</v>
      </c>
      <c r="AH2170" s="21" t="n">
        <v>0</v>
      </c>
      <c r="AI2170" s="21" t="n">
        <v>0</v>
      </c>
      <c r="AJ2170" s="21" t="n">
        <v>0</v>
      </c>
      <c r="AK2170" s="21" t="n">
        <v>0</v>
      </c>
      <c r="AL2170" s="21">
        <f>-$B$1811</f>
        <v/>
      </c>
      <c r="AM2170" s="21">
        <f>-$B$1812</f>
        <v/>
      </c>
      <c r="AN2170" s="21">
        <f>2*$B$1811+$D$2130</f>
        <v/>
      </c>
      <c r="AO2170" s="21">
        <f>0</f>
        <v/>
      </c>
      <c r="AP2170" s="21">
        <f>-$B$1811</f>
        <v/>
      </c>
      <c r="AQ2170" s="21">
        <f>$B$1812</f>
        <v/>
      </c>
      <c r="AR2170" s="21" t="n">
        <v>0</v>
      </c>
      <c r="AS2170" s="21" t="n">
        <v>0</v>
      </c>
      <c r="AT2170" s="19" t="n"/>
    </row>
    <row r="2171">
      <c r="D2171" s="21" t="n">
        <v>0</v>
      </c>
      <c r="E2171" s="21" t="n">
        <v>0</v>
      </c>
      <c r="F2171" s="21" t="n">
        <v>0</v>
      </c>
      <c r="G2171" s="21" t="n">
        <v>0</v>
      </c>
      <c r="H2171" s="21" t="n">
        <v>0</v>
      </c>
      <c r="I2171" s="21" t="n">
        <v>0</v>
      </c>
      <c r="J2171" s="21" t="n">
        <v>0</v>
      </c>
      <c r="K2171" s="21" t="n">
        <v>0</v>
      </c>
      <c r="L2171" s="21" t="n">
        <v>0</v>
      </c>
      <c r="M2171" s="21" t="n">
        <v>0</v>
      </c>
      <c r="N2171" s="21" t="n">
        <v>0</v>
      </c>
      <c r="O2171" s="21" t="n">
        <v>0</v>
      </c>
      <c r="P2171" s="21" t="n">
        <v>0</v>
      </c>
      <c r="Q2171" s="21" t="n">
        <v>0</v>
      </c>
      <c r="R2171" s="21" t="n">
        <v>0</v>
      </c>
      <c r="S2171" s="21" t="n">
        <v>0</v>
      </c>
      <c r="T2171" s="21" t="n">
        <v>0</v>
      </c>
      <c r="U2171" s="21" t="n">
        <v>0</v>
      </c>
      <c r="V2171" s="21" t="n">
        <v>0</v>
      </c>
      <c r="W2171" s="21" t="n">
        <v>0</v>
      </c>
      <c r="X2171" s="21" t="n">
        <v>0</v>
      </c>
      <c r="Y2171" s="21" t="n">
        <v>0</v>
      </c>
      <c r="Z2171" s="21" t="n">
        <v>0</v>
      </c>
      <c r="AA2171" s="21" t="n">
        <v>0</v>
      </c>
      <c r="AB2171" s="21" t="n">
        <v>0</v>
      </c>
      <c r="AC2171" s="21" t="n">
        <v>0</v>
      </c>
      <c r="AD2171" s="21" t="n">
        <v>0</v>
      </c>
      <c r="AE2171" s="21" t="n">
        <v>0</v>
      </c>
      <c r="AF2171" s="21" t="n">
        <v>0</v>
      </c>
      <c r="AG2171" s="21" t="n">
        <v>0</v>
      </c>
      <c r="AH2171" s="21" t="n">
        <v>0</v>
      </c>
      <c r="AI2171" s="21" t="n">
        <v>0</v>
      </c>
      <c r="AJ2171" s="21" t="n">
        <v>0</v>
      </c>
      <c r="AK2171" s="21" t="n">
        <v>0</v>
      </c>
      <c r="AL2171" s="21">
        <f>$B$1812</f>
        <v/>
      </c>
      <c r="AM2171" s="21">
        <f>$B$1814</f>
        <v/>
      </c>
      <c r="AN2171" s="21">
        <f>0</f>
        <v/>
      </c>
      <c r="AO2171" s="21">
        <f>2*$B$1813</f>
        <v/>
      </c>
      <c r="AP2171" s="21">
        <f>-$B$1812</f>
        <v/>
      </c>
      <c r="AQ2171" s="21">
        <f>$B$1814</f>
        <v/>
      </c>
      <c r="AR2171" s="21" t="n">
        <v>0</v>
      </c>
      <c r="AS2171" s="21" t="n">
        <v>0</v>
      </c>
      <c r="AT2171" s="19" t="n"/>
    </row>
    <row r="2172">
      <c r="D2172" s="21" t="n">
        <v>0</v>
      </c>
      <c r="E2172" s="21" t="n">
        <v>0</v>
      </c>
      <c r="F2172" s="21" t="n">
        <v>0</v>
      </c>
      <c r="G2172" s="21" t="n">
        <v>0</v>
      </c>
      <c r="H2172" s="21" t="n">
        <v>0</v>
      </c>
      <c r="I2172" s="21" t="n">
        <v>0</v>
      </c>
      <c r="J2172" s="21" t="n">
        <v>0</v>
      </c>
      <c r="K2172" s="21" t="n">
        <v>0</v>
      </c>
      <c r="L2172" s="21" t="n">
        <v>0</v>
      </c>
      <c r="M2172" s="21" t="n">
        <v>0</v>
      </c>
      <c r="N2172" s="21" t="n">
        <v>0</v>
      </c>
      <c r="O2172" s="21" t="n">
        <v>0</v>
      </c>
      <c r="P2172" s="21" t="n">
        <v>0</v>
      </c>
      <c r="Q2172" s="21" t="n">
        <v>0</v>
      </c>
      <c r="R2172" s="21" t="n">
        <v>0</v>
      </c>
      <c r="S2172" s="21" t="n">
        <v>0</v>
      </c>
      <c r="T2172" s="21" t="n">
        <v>0</v>
      </c>
      <c r="U2172" s="21" t="n">
        <v>0</v>
      </c>
      <c r="V2172" s="21" t="n">
        <v>0</v>
      </c>
      <c r="W2172" s="21" t="n">
        <v>0</v>
      </c>
      <c r="X2172" s="21" t="n">
        <v>0</v>
      </c>
      <c r="Y2172" s="21" t="n">
        <v>0</v>
      </c>
      <c r="Z2172" s="21" t="n">
        <v>0</v>
      </c>
      <c r="AA2172" s="21" t="n">
        <v>0</v>
      </c>
      <c r="AB2172" s="21" t="n">
        <v>0</v>
      </c>
      <c r="AC2172" s="21" t="n">
        <v>0</v>
      </c>
      <c r="AD2172" s="21" t="n">
        <v>0</v>
      </c>
      <c r="AE2172" s="21" t="n">
        <v>0</v>
      </c>
      <c r="AF2172" s="21" t="n">
        <v>0</v>
      </c>
      <c r="AG2172" s="21" t="n">
        <v>0</v>
      </c>
      <c r="AH2172" s="21" t="n">
        <v>0</v>
      </c>
      <c r="AI2172" s="21" t="n">
        <v>0</v>
      </c>
      <c r="AJ2172" s="21" t="n">
        <v>0</v>
      </c>
      <c r="AK2172" s="21" t="n">
        <v>0</v>
      </c>
      <c r="AL2172" s="21" t="n">
        <v>0</v>
      </c>
      <c r="AM2172" s="21" t="n">
        <v>0</v>
      </c>
      <c r="AN2172" s="21">
        <f>-$B$1811</f>
        <v/>
      </c>
      <c r="AO2172" s="21">
        <f>-$B$1812</f>
        <v/>
      </c>
      <c r="AP2172" s="21">
        <f>2*$B$1811+$D$2131</f>
        <v/>
      </c>
      <c r="AQ2172" s="21">
        <f>0</f>
        <v/>
      </c>
      <c r="AR2172" s="21">
        <f>-$B$1811</f>
        <v/>
      </c>
      <c r="AS2172" s="21">
        <f>$B$1812</f>
        <v/>
      </c>
      <c r="AT2172" s="19" t="n"/>
    </row>
    <row r="2173">
      <c r="D2173" s="21" t="n">
        <v>0</v>
      </c>
      <c r="E2173" s="21" t="n">
        <v>0</v>
      </c>
      <c r="F2173" s="21" t="n">
        <v>0</v>
      </c>
      <c r="G2173" s="21" t="n">
        <v>0</v>
      </c>
      <c r="H2173" s="21" t="n">
        <v>0</v>
      </c>
      <c r="I2173" s="21" t="n">
        <v>0</v>
      </c>
      <c r="J2173" s="21" t="n">
        <v>0</v>
      </c>
      <c r="K2173" s="21" t="n">
        <v>0</v>
      </c>
      <c r="L2173" s="21" t="n">
        <v>0</v>
      </c>
      <c r="M2173" s="21" t="n">
        <v>0</v>
      </c>
      <c r="N2173" s="21" t="n">
        <v>0</v>
      </c>
      <c r="O2173" s="21" t="n">
        <v>0</v>
      </c>
      <c r="P2173" s="21" t="n">
        <v>0</v>
      </c>
      <c r="Q2173" s="21" t="n">
        <v>0</v>
      </c>
      <c r="R2173" s="21" t="n">
        <v>0</v>
      </c>
      <c r="S2173" s="21" t="n">
        <v>0</v>
      </c>
      <c r="T2173" s="21" t="n">
        <v>0</v>
      </c>
      <c r="U2173" s="21" t="n">
        <v>0</v>
      </c>
      <c r="V2173" s="21" t="n">
        <v>0</v>
      </c>
      <c r="W2173" s="21" t="n">
        <v>0</v>
      </c>
      <c r="X2173" s="21" t="n">
        <v>0</v>
      </c>
      <c r="Y2173" s="21" t="n">
        <v>0</v>
      </c>
      <c r="Z2173" s="21" t="n">
        <v>0</v>
      </c>
      <c r="AA2173" s="21" t="n">
        <v>0</v>
      </c>
      <c r="AB2173" s="21" t="n">
        <v>0</v>
      </c>
      <c r="AC2173" s="21" t="n">
        <v>0</v>
      </c>
      <c r="AD2173" s="21" t="n">
        <v>0</v>
      </c>
      <c r="AE2173" s="21" t="n">
        <v>0</v>
      </c>
      <c r="AF2173" s="21" t="n">
        <v>0</v>
      </c>
      <c r="AG2173" s="21" t="n">
        <v>0</v>
      </c>
      <c r="AH2173" s="21" t="n">
        <v>0</v>
      </c>
      <c r="AI2173" s="21" t="n">
        <v>0</v>
      </c>
      <c r="AJ2173" s="21" t="n">
        <v>0</v>
      </c>
      <c r="AK2173" s="21" t="n">
        <v>0</v>
      </c>
      <c r="AL2173" s="21" t="n">
        <v>0</v>
      </c>
      <c r="AM2173" s="21" t="n">
        <v>0</v>
      </c>
      <c r="AN2173" s="21">
        <f>$B$1812</f>
        <v/>
      </c>
      <c r="AO2173" s="21">
        <f>$B$1814</f>
        <v/>
      </c>
      <c r="AP2173" s="21">
        <f>0</f>
        <v/>
      </c>
      <c r="AQ2173" s="21">
        <f>2*$B$1813</f>
        <v/>
      </c>
      <c r="AR2173" s="21">
        <f>-$B$1812</f>
        <v/>
      </c>
      <c r="AS2173" s="21">
        <f>$B$1814</f>
        <v/>
      </c>
      <c r="AT2173" s="19" t="n"/>
    </row>
    <row r="2174">
      <c r="D2174" s="21" t="n">
        <v>0</v>
      </c>
      <c r="E2174" s="21" t="n">
        <v>0</v>
      </c>
      <c r="F2174" s="21" t="n">
        <v>0</v>
      </c>
      <c r="G2174" s="21" t="n">
        <v>0</v>
      </c>
      <c r="H2174" s="21" t="n">
        <v>0</v>
      </c>
      <c r="I2174" s="21" t="n">
        <v>0</v>
      </c>
      <c r="J2174" s="21" t="n">
        <v>0</v>
      </c>
      <c r="K2174" s="21" t="n">
        <v>0</v>
      </c>
      <c r="L2174" s="21" t="n">
        <v>0</v>
      </c>
      <c r="M2174" s="21" t="n">
        <v>0</v>
      </c>
      <c r="N2174" s="21" t="n">
        <v>0</v>
      </c>
      <c r="O2174" s="21" t="n">
        <v>0</v>
      </c>
      <c r="P2174" s="21" t="n">
        <v>0</v>
      </c>
      <c r="Q2174" s="21" t="n">
        <v>0</v>
      </c>
      <c r="R2174" s="21" t="n">
        <v>0</v>
      </c>
      <c r="S2174" s="21" t="n">
        <v>0</v>
      </c>
      <c r="T2174" s="21" t="n">
        <v>0</v>
      </c>
      <c r="U2174" s="21" t="n">
        <v>0</v>
      </c>
      <c r="V2174" s="21" t="n">
        <v>0</v>
      </c>
      <c r="W2174" s="21" t="n">
        <v>0</v>
      </c>
      <c r="X2174" s="21" t="n">
        <v>0</v>
      </c>
      <c r="Y2174" s="21" t="n">
        <v>0</v>
      </c>
      <c r="Z2174" s="21" t="n">
        <v>0</v>
      </c>
      <c r="AA2174" s="21" t="n">
        <v>0</v>
      </c>
      <c r="AB2174" s="21" t="n">
        <v>0</v>
      </c>
      <c r="AC2174" s="21" t="n">
        <v>0</v>
      </c>
      <c r="AD2174" s="21" t="n">
        <v>0</v>
      </c>
      <c r="AE2174" s="21" t="n">
        <v>0</v>
      </c>
      <c r="AF2174" s="21" t="n">
        <v>0</v>
      </c>
      <c r="AG2174" s="21" t="n">
        <v>0</v>
      </c>
      <c r="AH2174" s="21" t="n">
        <v>0</v>
      </c>
      <c r="AI2174" s="21" t="n">
        <v>0</v>
      </c>
      <c r="AJ2174" s="21" t="n">
        <v>0</v>
      </c>
      <c r="AK2174" s="21" t="n">
        <v>0</v>
      </c>
      <c r="AL2174" s="21" t="n">
        <v>0</v>
      </c>
      <c r="AM2174" s="21" t="n">
        <v>0</v>
      </c>
      <c r="AN2174" s="21" t="n">
        <v>0</v>
      </c>
      <c r="AO2174" s="21" t="n">
        <v>0</v>
      </c>
      <c r="AP2174" s="21">
        <f>-$B$1811</f>
        <v/>
      </c>
      <c r="AQ2174" s="21">
        <f>-$B$1812</f>
        <v/>
      </c>
      <c r="AR2174" s="21">
        <f>$B$1811+$D$2132</f>
        <v/>
      </c>
      <c r="AS2174" s="21">
        <f>-$B$1812</f>
        <v/>
      </c>
      <c r="AT2174" s="19" t="n"/>
    </row>
    <row r="2175">
      <c r="D2175" s="21" t="n">
        <v>0</v>
      </c>
      <c r="E2175" s="21" t="n">
        <v>0</v>
      </c>
      <c r="F2175" s="21" t="n">
        <v>0</v>
      </c>
      <c r="G2175" s="21" t="n">
        <v>0</v>
      </c>
      <c r="H2175" s="21" t="n">
        <v>0</v>
      </c>
      <c r="I2175" s="21" t="n">
        <v>0</v>
      </c>
      <c r="J2175" s="21" t="n">
        <v>0</v>
      </c>
      <c r="K2175" s="21" t="n">
        <v>0</v>
      </c>
      <c r="L2175" s="21" t="n">
        <v>0</v>
      </c>
      <c r="M2175" s="21" t="n">
        <v>0</v>
      </c>
      <c r="N2175" s="21" t="n">
        <v>0</v>
      </c>
      <c r="O2175" s="21" t="n">
        <v>0</v>
      </c>
      <c r="P2175" s="21" t="n">
        <v>0</v>
      </c>
      <c r="Q2175" s="21" t="n">
        <v>0</v>
      </c>
      <c r="R2175" s="21" t="n">
        <v>0</v>
      </c>
      <c r="S2175" s="21" t="n">
        <v>0</v>
      </c>
      <c r="T2175" s="21" t="n">
        <v>0</v>
      </c>
      <c r="U2175" s="21" t="n">
        <v>0</v>
      </c>
      <c r="V2175" s="21" t="n">
        <v>0</v>
      </c>
      <c r="W2175" s="21" t="n">
        <v>0</v>
      </c>
      <c r="X2175" s="21" t="n">
        <v>0</v>
      </c>
      <c r="Y2175" s="21" t="n">
        <v>0</v>
      </c>
      <c r="Z2175" s="21" t="n">
        <v>0</v>
      </c>
      <c r="AA2175" s="21" t="n">
        <v>0</v>
      </c>
      <c r="AB2175" s="21" t="n">
        <v>0</v>
      </c>
      <c r="AC2175" s="21" t="n">
        <v>0</v>
      </c>
      <c r="AD2175" s="21" t="n">
        <v>0</v>
      </c>
      <c r="AE2175" s="21" t="n">
        <v>0</v>
      </c>
      <c r="AF2175" s="21" t="n">
        <v>0</v>
      </c>
      <c r="AG2175" s="21" t="n">
        <v>0</v>
      </c>
      <c r="AH2175" s="21" t="n">
        <v>0</v>
      </c>
      <c r="AI2175" s="21" t="n">
        <v>0</v>
      </c>
      <c r="AJ2175" s="21" t="n">
        <v>0</v>
      </c>
      <c r="AK2175" s="21" t="n">
        <v>0</v>
      </c>
      <c r="AL2175" s="21" t="n">
        <v>0</v>
      </c>
      <c r="AM2175" s="21" t="n">
        <v>0</v>
      </c>
      <c r="AN2175" s="21" t="n">
        <v>0</v>
      </c>
      <c r="AO2175" s="21" t="n">
        <v>0</v>
      </c>
      <c r="AP2175" s="21">
        <f>$B$1812</f>
        <v/>
      </c>
      <c r="AQ2175" s="21">
        <f>$B$1814</f>
        <v/>
      </c>
      <c r="AR2175" s="21">
        <f>-$B$1812</f>
        <v/>
      </c>
      <c r="AS2175" s="21">
        <f>$B$1813</f>
        <v/>
      </c>
      <c r="AT2175" s="19" t="n"/>
    </row>
    <row r="2177">
      <c r="A2177" s="8" t="inlineStr">
        <is>
          <t>gen 5</t>
        </is>
      </c>
    </row>
    <row r="2178">
      <c r="D2178" s="19">
        <f>IF(ABS(IF(ABS($E$2112)&gt;0.000000001,$E$2112,0.000000001))=0,0,IF($E$1826&lt;=$B$1820,0,IF(ABS(IF(ABS($E$2112)&gt;0.000000001,$E$2112,0.000000001))&gt;=8*$B$1822,$H$1826,0.5*$H$1826*(ABS(IF(ABS($E$2112)&gt;0.000000001,$E$2112,0.000000001))/$B$1822)^(1/3)))/ABS(IF(ABS($E$2112)&gt;0.000000001,$E$2112,0.000000001))*$I$1826)</f>
        <v/>
      </c>
      <c r="E2178" s="19">
        <f>0.5*$E$2112+0.5*$AT$2200</f>
        <v/>
      </c>
      <c r="F2178" s="19">
        <f>$AT$2201</f>
        <v/>
      </c>
    </row>
    <row r="2179">
      <c r="D2179" s="19">
        <f>IF(ABS(IF(ABS($E$2113)&gt;0.000000001,$E$2113,0.000000001))=0,0,IF($E$1827&lt;=$B$1820,0,IF(ABS(IF(ABS($E$2113)&gt;0.000000001,$E$2113,0.000000001))&gt;=8*$B$1822,$H$1827,0.5*$H$1827*(ABS(IF(ABS($E$2113)&gt;0.000000001,$E$2113,0.000000001))/$B$1822)^(1/3)))/ABS(IF(ABS($E$2113)&gt;0.000000001,$E$2113,0.000000001))*$I$1827)</f>
        <v/>
      </c>
      <c r="E2179" s="19">
        <f>0.5*$E$2113+0.5*$AT$2202</f>
        <v/>
      </c>
      <c r="F2179" s="19">
        <f>$AT$2203</f>
        <v/>
      </c>
    </row>
    <row r="2180">
      <c r="D2180" s="19">
        <f>IF(ABS(IF(ABS($E$2114)&gt;0.000000001,$E$2114,0.000000001))=0,0,IF($E$1828&lt;=$B$1820,0,IF(ABS(IF(ABS($E$2114)&gt;0.000000001,$E$2114,0.000000001))&gt;=8*$B$1822,$H$1828,0.5*$H$1828*(ABS(IF(ABS($E$2114)&gt;0.000000001,$E$2114,0.000000001))/$B$1822)^(1/3)))/ABS(IF(ABS($E$2114)&gt;0.000000001,$E$2114,0.000000001))*$I$1828)</f>
        <v/>
      </c>
      <c r="E2180" s="19">
        <f>0.5*$E$2114+0.5*$AT$2204</f>
        <v/>
      </c>
      <c r="F2180" s="19">
        <f>$AT$2205</f>
        <v/>
      </c>
    </row>
    <row r="2181">
      <c r="D2181" s="19">
        <f>IF(ABS(IF(ABS($E$2115)&gt;0.000000001,$E$2115,0.000000001))=0,0,IF($E$1829&lt;=$B$1820,0,IF(ABS(IF(ABS($E$2115)&gt;0.000000001,$E$2115,0.000000001))&gt;=8*$B$1822,$H$1829,0.5*$H$1829*(ABS(IF(ABS($E$2115)&gt;0.000000001,$E$2115,0.000000001))/$B$1822)^(1/3)))/ABS(IF(ABS($E$2115)&gt;0.000000001,$E$2115,0.000000001))*$I$1829)</f>
        <v/>
      </c>
      <c r="E2181" s="19">
        <f>0.5*$E$2115+0.5*$AT$2206</f>
        <v/>
      </c>
      <c r="F2181" s="19">
        <f>$AT$2207</f>
        <v/>
      </c>
    </row>
    <row r="2182">
      <c r="D2182" s="19">
        <f>IF(ABS(IF(ABS($E$2116)&gt;0.000000001,$E$2116,0.000000001))=0,0,IF($E$1830&lt;=$B$1820,0,IF(ABS(IF(ABS($E$2116)&gt;0.000000001,$E$2116,0.000000001))&gt;=8*$B$1822,$H$1830,0.5*$H$1830*(ABS(IF(ABS($E$2116)&gt;0.000000001,$E$2116,0.000000001))/$B$1822)^(1/3)))/ABS(IF(ABS($E$2116)&gt;0.000000001,$E$2116,0.000000001))*$I$1830)</f>
        <v/>
      </c>
      <c r="E2182" s="19">
        <f>0.5*$E$2116+0.5*$AT$2208</f>
        <v/>
      </c>
      <c r="F2182" s="19">
        <f>$AT$2209</f>
        <v/>
      </c>
    </row>
    <row r="2183">
      <c r="D2183" s="19">
        <f>IF(ABS(IF(ABS($E$2117)&gt;0.000000001,$E$2117,0.000000001))=0,0,IF($E$1831&lt;=$B$1820,0,IF(ABS(IF(ABS($E$2117)&gt;0.000000001,$E$2117,0.000000001))&gt;=8*$B$1822,$H$1831,0.5*$H$1831*(ABS(IF(ABS($E$2117)&gt;0.000000001,$E$2117,0.000000001))/$B$1822)^(1/3)))/ABS(IF(ABS($E$2117)&gt;0.000000001,$E$2117,0.000000001))*$I$1831)</f>
        <v/>
      </c>
      <c r="E2183" s="19">
        <f>0.5*$E$2117+0.5*$AT$2210</f>
        <v/>
      </c>
      <c r="F2183" s="19">
        <f>$AT$2211</f>
        <v/>
      </c>
    </row>
    <row r="2184">
      <c r="D2184" s="19">
        <f>IF(ABS(IF(ABS($E$2118)&gt;0.000000001,$E$2118,0.000000001))=0,0,IF($E$1832&lt;=$B$1820,0,IF(ABS(IF(ABS($E$2118)&gt;0.000000001,$E$2118,0.000000001))&gt;=8*$B$1822,$H$1832,0.5*$H$1832*(ABS(IF(ABS($E$2118)&gt;0.000000001,$E$2118,0.000000001))/$B$1822)^(1/3)))/ABS(IF(ABS($E$2118)&gt;0.000000001,$E$2118,0.000000001))*$I$1832)</f>
        <v/>
      </c>
      <c r="E2184" s="19">
        <f>0.5*$E$2118+0.5*$AT$2212</f>
        <v/>
      </c>
      <c r="F2184" s="19">
        <f>$AT$2213</f>
        <v/>
      </c>
    </row>
    <row r="2185">
      <c r="D2185" s="19">
        <f>IF(ABS(IF(ABS($E$2119)&gt;0.000000001,$E$2119,0.000000001))=0,0,IF($E$1833&lt;=$B$1820,0,IF(ABS(IF(ABS($E$2119)&gt;0.000000001,$E$2119,0.000000001))&gt;=8*$B$1822,$H$1833,0.5*$H$1833*(ABS(IF(ABS($E$2119)&gt;0.000000001,$E$2119,0.000000001))/$B$1822)^(1/3)))/ABS(IF(ABS($E$2119)&gt;0.000000001,$E$2119,0.000000001))*$I$1833)</f>
        <v/>
      </c>
      <c r="E2185" s="19">
        <f>0.5*$E$2119+0.5*$AT$2214</f>
        <v/>
      </c>
      <c r="F2185" s="19">
        <f>$AT$2215</f>
        <v/>
      </c>
    </row>
    <row r="2186">
      <c r="D2186" s="19">
        <f>IF(ABS(IF(ABS($E$2120)&gt;0.000000001,$E$2120,0.000000001))=0,0,IF($E$1834&lt;=$B$1820,0,IF(ABS(IF(ABS($E$2120)&gt;0.000000001,$E$2120,0.000000001))&gt;=8*$B$1822,$H$1834,0.5*$H$1834*(ABS(IF(ABS($E$2120)&gt;0.000000001,$E$2120,0.000000001))/$B$1822)^(1/3)))/ABS(IF(ABS($E$2120)&gt;0.000000001,$E$2120,0.000000001))*$I$1834)</f>
        <v/>
      </c>
      <c r="E2186" s="19">
        <f>0.5*$E$2120+0.5*$AT$2216</f>
        <v/>
      </c>
      <c r="F2186" s="19">
        <f>$AT$2217</f>
        <v/>
      </c>
    </row>
    <row r="2187">
      <c r="D2187" s="19">
        <f>IF(ABS(IF(ABS($E$2121)&gt;0.000000001,$E$2121,0.000000001))=0,0,IF($E$1835&lt;=$B$1820,0,IF(ABS(IF(ABS($E$2121)&gt;0.000000001,$E$2121,0.000000001))&gt;=8*$B$1822,$H$1835,0.5*$H$1835*(ABS(IF(ABS($E$2121)&gt;0.000000001,$E$2121,0.000000001))/$B$1822)^(1/3)))/ABS(IF(ABS($E$2121)&gt;0.000000001,$E$2121,0.000000001))*$I$1835)</f>
        <v/>
      </c>
      <c r="E2187" s="19">
        <f>0.5*$E$2121+0.5*$AT$2218</f>
        <v/>
      </c>
      <c r="F2187" s="19">
        <f>$AT$2219</f>
        <v/>
      </c>
    </row>
    <row r="2188">
      <c r="D2188" s="19">
        <f>IF(ABS(IF(ABS($E$2122)&gt;0.000000001,$E$2122,0.000000001))=0,0,IF($E$1836&lt;=$B$1820,0,IF(ABS(IF(ABS($E$2122)&gt;0.000000001,$E$2122,0.000000001))&gt;=8*$B$1822,$H$1836,0.5*$H$1836*(ABS(IF(ABS($E$2122)&gt;0.000000001,$E$2122,0.000000001))/$B$1822)^(1/3)))/ABS(IF(ABS($E$2122)&gt;0.000000001,$E$2122,0.000000001))*$I$1836)</f>
        <v/>
      </c>
      <c r="E2188" s="19">
        <f>0.5*$E$2122+0.5*$AT$2220</f>
        <v/>
      </c>
      <c r="F2188" s="19">
        <f>$AT$2221</f>
        <v/>
      </c>
    </row>
    <row r="2189">
      <c r="D2189" s="19">
        <f>IF(ABS(IF(ABS($E$2123)&gt;0.000000001,$E$2123,0.000000001))=0,0,IF($E$1837&lt;=$B$1820,0,IF(ABS(IF(ABS($E$2123)&gt;0.000000001,$E$2123,0.000000001))&gt;=8*$B$1822,$H$1837,0.5*$H$1837*(ABS(IF(ABS($E$2123)&gt;0.000000001,$E$2123,0.000000001))/$B$1822)^(1/3)))/ABS(IF(ABS($E$2123)&gt;0.000000001,$E$2123,0.000000001))*$I$1837)</f>
        <v/>
      </c>
      <c r="E2189" s="19">
        <f>0.5*$E$2123+0.5*$AT$2222</f>
        <v/>
      </c>
      <c r="F2189" s="19">
        <f>$AT$2223</f>
        <v/>
      </c>
    </row>
    <row r="2190">
      <c r="D2190" s="19">
        <f>IF(ABS(IF(ABS($E$2124)&gt;0.000000001,$E$2124,0.000000001))=0,0,IF($E$1838&lt;=$B$1820,0,IF(ABS(IF(ABS($E$2124)&gt;0.000000001,$E$2124,0.000000001))&gt;=8*$B$1822,$H$1838,0.5*$H$1838*(ABS(IF(ABS($E$2124)&gt;0.000000001,$E$2124,0.000000001))/$B$1822)^(1/3)))/ABS(IF(ABS($E$2124)&gt;0.000000001,$E$2124,0.000000001))*$I$1838)</f>
        <v/>
      </c>
      <c r="E2190" s="19">
        <f>0.5*$E$2124+0.5*$AT$2224</f>
        <v/>
      </c>
      <c r="F2190" s="19">
        <f>$AT$2225</f>
        <v/>
      </c>
    </row>
    <row r="2191">
      <c r="D2191" s="19">
        <f>IF(ABS(IF(ABS($E$2125)&gt;0.000000001,$E$2125,0.000000001))=0,0,IF($E$1839&lt;=$B$1820,0,IF(ABS(IF(ABS($E$2125)&gt;0.000000001,$E$2125,0.000000001))&gt;=8*$B$1822,$H$1839,0.5*$H$1839*(ABS(IF(ABS($E$2125)&gt;0.000000001,$E$2125,0.000000001))/$B$1822)^(1/3)))/ABS(IF(ABS($E$2125)&gt;0.000000001,$E$2125,0.000000001))*$I$1839)</f>
        <v/>
      </c>
      <c r="E2191" s="19">
        <f>0.5*$E$2125+0.5*$AT$2226</f>
        <v/>
      </c>
      <c r="F2191" s="19">
        <f>$AT$2227</f>
        <v/>
      </c>
    </row>
    <row r="2192">
      <c r="D2192" s="19">
        <f>IF(ABS(IF(ABS($E$2126)&gt;0.000000001,$E$2126,0.000000001))=0,0,IF($E$1840&lt;=$B$1820,0,IF(ABS(IF(ABS($E$2126)&gt;0.000000001,$E$2126,0.000000001))&gt;=8*$B$1822,$H$1840,0.5*$H$1840*(ABS(IF(ABS($E$2126)&gt;0.000000001,$E$2126,0.000000001))/$B$1822)^(1/3)))/ABS(IF(ABS($E$2126)&gt;0.000000001,$E$2126,0.000000001))*$I$1840)</f>
        <v/>
      </c>
      <c r="E2192" s="19">
        <f>0.5*$E$2126+0.5*$AT$2228</f>
        <v/>
      </c>
      <c r="F2192" s="19">
        <f>$AT$2229</f>
        <v/>
      </c>
    </row>
    <row r="2193">
      <c r="D2193" s="19">
        <f>IF(ABS(IF(ABS($E$2127)&gt;0.000000001,$E$2127,0.000000001))=0,0,IF($E$1841&lt;=$B$1820,0,IF(ABS(IF(ABS($E$2127)&gt;0.000000001,$E$2127,0.000000001))&gt;=8*$B$1822,$H$1841,0.5*$H$1841*(ABS(IF(ABS($E$2127)&gt;0.000000001,$E$2127,0.000000001))/$B$1822)^(1/3)))/ABS(IF(ABS($E$2127)&gt;0.000000001,$E$2127,0.000000001))*$I$1841)</f>
        <v/>
      </c>
      <c r="E2193" s="19">
        <f>0.5*$E$2127+0.5*$AT$2230</f>
        <v/>
      </c>
      <c r="F2193" s="19">
        <f>$AT$2231</f>
        <v/>
      </c>
    </row>
    <row r="2194">
      <c r="D2194" s="19">
        <f>IF(ABS(IF(ABS($E$2128)&gt;0.000000001,$E$2128,0.000000001))=0,0,IF($E$1842&lt;=$B$1820,0,IF(ABS(IF(ABS($E$2128)&gt;0.000000001,$E$2128,0.000000001))&gt;=8*$B$1822,$H$1842,0.5*$H$1842*(ABS(IF(ABS($E$2128)&gt;0.000000001,$E$2128,0.000000001))/$B$1822)^(1/3)))/ABS(IF(ABS($E$2128)&gt;0.000000001,$E$2128,0.000000001))*$I$1842)</f>
        <v/>
      </c>
      <c r="E2194" s="19">
        <f>0.5*$E$2128+0.5*$AT$2232</f>
        <v/>
      </c>
      <c r="F2194" s="19">
        <f>$AT$2233</f>
        <v/>
      </c>
    </row>
    <row r="2195">
      <c r="D2195" s="19">
        <f>IF(ABS(IF(ABS($E$2129)&gt;0.000000001,$E$2129,0.000000001))=0,0,IF($E$1843&lt;=$B$1820,0,IF(ABS(IF(ABS($E$2129)&gt;0.000000001,$E$2129,0.000000001))&gt;=8*$B$1822,$H$1843,0.5*$H$1843*(ABS(IF(ABS($E$2129)&gt;0.000000001,$E$2129,0.000000001))/$B$1822)^(1/3)))/ABS(IF(ABS($E$2129)&gt;0.000000001,$E$2129,0.000000001))*$I$1843)</f>
        <v/>
      </c>
      <c r="E2195" s="19">
        <f>0.5*$E$2129+0.5*$AT$2234</f>
        <v/>
      </c>
      <c r="F2195" s="19">
        <f>$AT$2235</f>
        <v/>
      </c>
    </row>
    <row r="2196">
      <c r="D2196" s="19">
        <f>IF(ABS(IF(ABS($E$2130)&gt;0.000000001,$E$2130,0.000000001))=0,0,IF($E$1844&lt;=$B$1820,0,IF(ABS(IF(ABS($E$2130)&gt;0.000000001,$E$2130,0.000000001))&gt;=8*$B$1822,$H$1844,0.5*$H$1844*(ABS(IF(ABS($E$2130)&gt;0.000000001,$E$2130,0.000000001))/$B$1822)^(1/3)))/ABS(IF(ABS($E$2130)&gt;0.000000001,$E$2130,0.000000001))*$I$1844)</f>
        <v/>
      </c>
      <c r="E2196" s="19">
        <f>0.5*$E$2130+0.5*$AT$2236</f>
        <v/>
      </c>
      <c r="F2196" s="19">
        <f>$AT$2237</f>
        <v/>
      </c>
    </row>
    <row r="2197">
      <c r="D2197" s="19">
        <f>IF(ABS(IF(ABS($E$2131)&gt;0.000000001,$E$2131,0.000000001))=0,0,IF($E$1845&lt;=$B$1820,0,IF(ABS(IF(ABS($E$2131)&gt;0.000000001,$E$2131,0.000000001))&gt;=8*$B$1822,$H$1845,0.5*$H$1845*(ABS(IF(ABS($E$2131)&gt;0.000000001,$E$2131,0.000000001))/$B$1822)^(1/3)))/ABS(IF(ABS($E$2131)&gt;0.000000001,$E$2131,0.000000001))*$I$1845)</f>
        <v/>
      </c>
      <c r="E2197" s="19">
        <f>0.5*$E$2131+0.5*$AT$2238</f>
        <v/>
      </c>
      <c r="F2197" s="19">
        <f>$AT$2239</f>
        <v/>
      </c>
    </row>
    <row r="2198">
      <c r="D2198" s="19">
        <f>IF(ABS(IF(ABS($E$2132)&gt;0.000000001,$E$2132,0.000000001))=0,0,IF($E$1846&lt;=$B$1820,0,IF(ABS(IF(ABS($E$2132)&gt;0.000000001,$E$2132,0.000000001))&gt;=8*$B$1822,$H$1846,0.5*$H$1846*(ABS(IF(ABS($E$2132)&gt;0.000000001,$E$2132,0.000000001))/$B$1822)^(1/3)))/ABS(IF(ABS($E$2132)&gt;0.000000001,$E$2132,0.000000001))*$I$1846)</f>
        <v/>
      </c>
      <c r="E2198" s="19">
        <f>0.5*$E$2132+0.5*$AT$2240</f>
        <v/>
      </c>
      <c r="F2198" s="19">
        <f>$AT$2241</f>
        <v/>
      </c>
    </row>
    <row r="2200">
      <c r="D2200" s="21">
        <f>$B$1811+$D$2178</f>
        <v/>
      </c>
      <c r="E2200" s="21">
        <f>$B$1812</f>
        <v/>
      </c>
      <c r="F2200" s="21">
        <f>-$B$1811</f>
        <v/>
      </c>
      <c r="G2200" s="21">
        <f>$B$1812</f>
        <v/>
      </c>
      <c r="H2200" s="21" t="n">
        <v>0</v>
      </c>
      <c r="I2200" s="21" t="n">
        <v>0</v>
      </c>
      <c r="J2200" s="21" t="n">
        <v>0</v>
      </c>
      <c r="K2200" s="21" t="n">
        <v>0</v>
      </c>
      <c r="L2200" s="21" t="n">
        <v>0</v>
      </c>
      <c r="M2200" s="21" t="n">
        <v>0</v>
      </c>
      <c r="N2200" s="21" t="n">
        <v>0</v>
      </c>
      <c r="O2200" s="21" t="n">
        <v>0</v>
      </c>
      <c r="P2200" s="21" t="n">
        <v>0</v>
      </c>
      <c r="Q2200" s="21" t="n">
        <v>0</v>
      </c>
      <c r="R2200" s="21" t="n">
        <v>0</v>
      </c>
      <c r="S2200" s="21" t="n">
        <v>0</v>
      </c>
      <c r="T2200" s="21" t="n">
        <v>0</v>
      </c>
      <c r="U2200" s="21" t="n">
        <v>0</v>
      </c>
      <c r="V2200" s="21" t="n">
        <v>0</v>
      </c>
      <c r="W2200" s="21" t="n">
        <v>0</v>
      </c>
      <c r="X2200" s="21" t="n">
        <v>0</v>
      </c>
      <c r="Y2200" s="21" t="n">
        <v>0</v>
      </c>
      <c r="Z2200" s="21" t="n">
        <v>0</v>
      </c>
      <c r="AA2200" s="21" t="n">
        <v>0</v>
      </c>
      <c r="AB2200" s="21" t="n">
        <v>0</v>
      </c>
      <c r="AC2200" s="21" t="n">
        <v>0</v>
      </c>
      <c r="AD2200" s="21" t="n">
        <v>0</v>
      </c>
      <c r="AE2200" s="21" t="n">
        <v>0</v>
      </c>
      <c r="AF2200" s="21" t="n">
        <v>0</v>
      </c>
      <c r="AG2200" s="21" t="n">
        <v>0</v>
      </c>
      <c r="AH2200" s="21" t="n">
        <v>0</v>
      </c>
      <c r="AI2200" s="21" t="n">
        <v>0</v>
      </c>
      <c r="AJ2200" s="21" t="n">
        <v>0</v>
      </c>
      <c r="AK2200" s="21" t="n">
        <v>0</v>
      </c>
      <c r="AL2200" s="21" t="n">
        <v>0</v>
      </c>
      <c r="AM2200" s="21" t="n">
        <v>0</v>
      </c>
      <c r="AN2200" s="21" t="n">
        <v>0</v>
      </c>
      <c r="AO2200" s="21" t="n">
        <v>0</v>
      </c>
      <c r="AP2200" s="21" t="n">
        <v>0</v>
      </c>
      <c r="AQ2200" s="21" t="n">
        <v>0</v>
      </c>
      <c r="AR2200" s="21" t="n">
        <v>0</v>
      </c>
      <c r="AS2200" s="21" t="n">
        <v>0</v>
      </c>
      <c r="AT2200" s="19">
        <f t="array" ref="AT2200:AT2241">MMULT(MINVERSE($D$2200:$AS$2241),$D$1848:$D$1889)</f>
        <v/>
      </c>
    </row>
    <row r="2201">
      <c r="D2201" s="21">
        <f>$B$1812</f>
        <v/>
      </c>
      <c r="E2201" s="21">
        <f>$B$1813</f>
        <v/>
      </c>
      <c r="F2201" s="21">
        <f>-$B$1812</f>
        <v/>
      </c>
      <c r="G2201" s="21">
        <f>$B$1814</f>
        <v/>
      </c>
      <c r="H2201" s="21" t="n">
        <v>0</v>
      </c>
      <c r="I2201" s="21" t="n">
        <v>0</v>
      </c>
      <c r="J2201" s="21" t="n">
        <v>0</v>
      </c>
      <c r="K2201" s="21" t="n">
        <v>0</v>
      </c>
      <c r="L2201" s="21" t="n">
        <v>0</v>
      </c>
      <c r="M2201" s="21" t="n">
        <v>0</v>
      </c>
      <c r="N2201" s="21" t="n">
        <v>0</v>
      </c>
      <c r="O2201" s="21" t="n">
        <v>0</v>
      </c>
      <c r="P2201" s="21" t="n">
        <v>0</v>
      </c>
      <c r="Q2201" s="21" t="n">
        <v>0</v>
      </c>
      <c r="R2201" s="21" t="n">
        <v>0</v>
      </c>
      <c r="S2201" s="21" t="n">
        <v>0</v>
      </c>
      <c r="T2201" s="21" t="n">
        <v>0</v>
      </c>
      <c r="U2201" s="21" t="n">
        <v>0</v>
      </c>
      <c r="V2201" s="21" t="n">
        <v>0</v>
      </c>
      <c r="W2201" s="21" t="n">
        <v>0</v>
      </c>
      <c r="X2201" s="21" t="n">
        <v>0</v>
      </c>
      <c r="Y2201" s="21" t="n">
        <v>0</v>
      </c>
      <c r="Z2201" s="21" t="n">
        <v>0</v>
      </c>
      <c r="AA2201" s="21" t="n">
        <v>0</v>
      </c>
      <c r="AB2201" s="21" t="n">
        <v>0</v>
      </c>
      <c r="AC2201" s="21" t="n">
        <v>0</v>
      </c>
      <c r="AD2201" s="21" t="n">
        <v>0</v>
      </c>
      <c r="AE2201" s="21" t="n">
        <v>0</v>
      </c>
      <c r="AF2201" s="21" t="n">
        <v>0</v>
      </c>
      <c r="AG2201" s="21" t="n">
        <v>0</v>
      </c>
      <c r="AH2201" s="21" t="n">
        <v>0</v>
      </c>
      <c r="AI2201" s="21" t="n">
        <v>0</v>
      </c>
      <c r="AJ2201" s="21" t="n">
        <v>0</v>
      </c>
      <c r="AK2201" s="21" t="n">
        <v>0</v>
      </c>
      <c r="AL2201" s="21" t="n">
        <v>0</v>
      </c>
      <c r="AM2201" s="21" t="n">
        <v>0</v>
      </c>
      <c r="AN2201" s="21" t="n">
        <v>0</v>
      </c>
      <c r="AO2201" s="21" t="n">
        <v>0</v>
      </c>
      <c r="AP2201" s="21" t="n">
        <v>0</v>
      </c>
      <c r="AQ2201" s="21" t="n">
        <v>0</v>
      </c>
      <c r="AR2201" s="21" t="n">
        <v>0</v>
      </c>
      <c r="AS2201" s="21" t="n">
        <v>0</v>
      </c>
      <c r="AT2201" s="19" t="n"/>
    </row>
    <row r="2202">
      <c r="D2202" s="21">
        <f>-$B$1811</f>
        <v/>
      </c>
      <c r="E2202" s="21">
        <f>-$B$1812</f>
        <v/>
      </c>
      <c r="F2202" s="21">
        <f>2*$B$1811+$D$2179</f>
        <v/>
      </c>
      <c r="G2202" s="21">
        <f>0</f>
        <v/>
      </c>
      <c r="H2202" s="21">
        <f>-$B$1811</f>
        <v/>
      </c>
      <c r="I2202" s="21">
        <f>$B$1812</f>
        <v/>
      </c>
      <c r="J2202" s="21" t="n">
        <v>0</v>
      </c>
      <c r="K2202" s="21" t="n">
        <v>0</v>
      </c>
      <c r="L2202" s="21" t="n">
        <v>0</v>
      </c>
      <c r="M2202" s="21" t="n">
        <v>0</v>
      </c>
      <c r="N2202" s="21" t="n">
        <v>0</v>
      </c>
      <c r="O2202" s="21" t="n">
        <v>0</v>
      </c>
      <c r="P2202" s="21" t="n">
        <v>0</v>
      </c>
      <c r="Q2202" s="21" t="n">
        <v>0</v>
      </c>
      <c r="R2202" s="21" t="n">
        <v>0</v>
      </c>
      <c r="S2202" s="21" t="n">
        <v>0</v>
      </c>
      <c r="T2202" s="21" t="n">
        <v>0</v>
      </c>
      <c r="U2202" s="21" t="n">
        <v>0</v>
      </c>
      <c r="V2202" s="21" t="n">
        <v>0</v>
      </c>
      <c r="W2202" s="21" t="n">
        <v>0</v>
      </c>
      <c r="X2202" s="21" t="n">
        <v>0</v>
      </c>
      <c r="Y2202" s="21" t="n">
        <v>0</v>
      </c>
      <c r="Z2202" s="21" t="n">
        <v>0</v>
      </c>
      <c r="AA2202" s="21" t="n">
        <v>0</v>
      </c>
      <c r="AB2202" s="21" t="n">
        <v>0</v>
      </c>
      <c r="AC2202" s="21" t="n">
        <v>0</v>
      </c>
      <c r="AD2202" s="21" t="n">
        <v>0</v>
      </c>
      <c r="AE2202" s="21" t="n">
        <v>0</v>
      </c>
      <c r="AF2202" s="21" t="n">
        <v>0</v>
      </c>
      <c r="AG2202" s="21" t="n">
        <v>0</v>
      </c>
      <c r="AH2202" s="21" t="n">
        <v>0</v>
      </c>
      <c r="AI2202" s="21" t="n">
        <v>0</v>
      </c>
      <c r="AJ2202" s="21" t="n">
        <v>0</v>
      </c>
      <c r="AK2202" s="21" t="n">
        <v>0</v>
      </c>
      <c r="AL2202" s="21" t="n">
        <v>0</v>
      </c>
      <c r="AM2202" s="21" t="n">
        <v>0</v>
      </c>
      <c r="AN2202" s="21" t="n">
        <v>0</v>
      </c>
      <c r="AO2202" s="21" t="n">
        <v>0</v>
      </c>
      <c r="AP2202" s="21" t="n">
        <v>0</v>
      </c>
      <c r="AQ2202" s="21" t="n">
        <v>0</v>
      </c>
      <c r="AR2202" s="21" t="n">
        <v>0</v>
      </c>
      <c r="AS2202" s="21" t="n">
        <v>0</v>
      </c>
      <c r="AT2202" s="19" t="n"/>
    </row>
    <row r="2203">
      <c r="D2203" s="21">
        <f>$B$1812</f>
        <v/>
      </c>
      <c r="E2203" s="21">
        <f>$B$1814</f>
        <v/>
      </c>
      <c r="F2203" s="21">
        <f>0</f>
        <v/>
      </c>
      <c r="G2203" s="21">
        <f>2*$B$1813</f>
        <v/>
      </c>
      <c r="H2203" s="21">
        <f>-$B$1812</f>
        <v/>
      </c>
      <c r="I2203" s="21">
        <f>$B$1814</f>
        <v/>
      </c>
      <c r="J2203" s="21" t="n">
        <v>0</v>
      </c>
      <c r="K2203" s="21" t="n">
        <v>0</v>
      </c>
      <c r="L2203" s="21" t="n">
        <v>0</v>
      </c>
      <c r="M2203" s="21" t="n">
        <v>0</v>
      </c>
      <c r="N2203" s="21" t="n">
        <v>0</v>
      </c>
      <c r="O2203" s="21" t="n">
        <v>0</v>
      </c>
      <c r="P2203" s="21" t="n">
        <v>0</v>
      </c>
      <c r="Q2203" s="21" t="n">
        <v>0</v>
      </c>
      <c r="R2203" s="21" t="n">
        <v>0</v>
      </c>
      <c r="S2203" s="21" t="n">
        <v>0</v>
      </c>
      <c r="T2203" s="21" t="n">
        <v>0</v>
      </c>
      <c r="U2203" s="21" t="n">
        <v>0</v>
      </c>
      <c r="V2203" s="21" t="n">
        <v>0</v>
      </c>
      <c r="W2203" s="21" t="n">
        <v>0</v>
      </c>
      <c r="X2203" s="21" t="n">
        <v>0</v>
      </c>
      <c r="Y2203" s="21" t="n">
        <v>0</v>
      </c>
      <c r="Z2203" s="21" t="n">
        <v>0</v>
      </c>
      <c r="AA2203" s="21" t="n">
        <v>0</v>
      </c>
      <c r="AB2203" s="21" t="n">
        <v>0</v>
      </c>
      <c r="AC2203" s="21" t="n">
        <v>0</v>
      </c>
      <c r="AD2203" s="21" t="n">
        <v>0</v>
      </c>
      <c r="AE2203" s="21" t="n">
        <v>0</v>
      </c>
      <c r="AF2203" s="21" t="n">
        <v>0</v>
      </c>
      <c r="AG2203" s="21" t="n">
        <v>0</v>
      </c>
      <c r="AH2203" s="21" t="n">
        <v>0</v>
      </c>
      <c r="AI2203" s="21" t="n">
        <v>0</v>
      </c>
      <c r="AJ2203" s="21" t="n">
        <v>0</v>
      </c>
      <c r="AK2203" s="21" t="n">
        <v>0</v>
      </c>
      <c r="AL2203" s="21" t="n">
        <v>0</v>
      </c>
      <c r="AM2203" s="21" t="n">
        <v>0</v>
      </c>
      <c r="AN2203" s="21" t="n">
        <v>0</v>
      </c>
      <c r="AO2203" s="21" t="n">
        <v>0</v>
      </c>
      <c r="AP2203" s="21" t="n">
        <v>0</v>
      </c>
      <c r="AQ2203" s="21" t="n">
        <v>0</v>
      </c>
      <c r="AR2203" s="21" t="n">
        <v>0</v>
      </c>
      <c r="AS2203" s="21" t="n">
        <v>0</v>
      </c>
      <c r="AT2203" s="19" t="n"/>
    </row>
    <row r="2204">
      <c r="D2204" s="21" t="n">
        <v>0</v>
      </c>
      <c r="E2204" s="21" t="n">
        <v>0</v>
      </c>
      <c r="F2204" s="21">
        <f>-$B$1811</f>
        <v/>
      </c>
      <c r="G2204" s="21">
        <f>-$B$1812</f>
        <v/>
      </c>
      <c r="H2204" s="21">
        <f>2*$B$1811+$D$2180</f>
        <v/>
      </c>
      <c r="I2204" s="21">
        <f>0</f>
        <v/>
      </c>
      <c r="J2204" s="21">
        <f>-$B$1811</f>
        <v/>
      </c>
      <c r="K2204" s="21">
        <f>$B$1812</f>
        <v/>
      </c>
      <c r="L2204" s="21" t="n">
        <v>0</v>
      </c>
      <c r="M2204" s="21" t="n">
        <v>0</v>
      </c>
      <c r="N2204" s="21" t="n">
        <v>0</v>
      </c>
      <c r="O2204" s="21" t="n">
        <v>0</v>
      </c>
      <c r="P2204" s="21" t="n">
        <v>0</v>
      </c>
      <c r="Q2204" s="21" t="n">
        <v>0</v>
      </c>
      <c r="R2204" s="21" t="n">
        <v>0</v>
      </c>
      <c r="S2204" s="21" t="n">
        <v>0</v>
      </c>
      <c r="T2204" s="21" t="n">
        <v>0</v>
      </c>
      <c r="U2204" s="21" t="n">
        <v>0</v>
      </c>
      <c r="V2204" s="21" t="n">
        <v>0</v>
      </c>
      <c r="W2204" s="21" t="n">
        <v>0</v>
      </c>
      <c r="X2204" s="21" t="n">
        <v>0</v>
      </c>
      <c r="Y2204" s="21" t="n">
        <v>0</v>
      </c>
      <c r="Z2204" s="21" t="n">
        <v>0</v>
      </c>
      <c r="AA2204" s="21" t="n">
        <v>0</v>
      </c>
      <c r="AB2204" s="21" t="n">
        <v>0</v>
      </c>
      <c r="AC2204" s="21" t="n">
        <v>0</v>
      </c>
      <c r="AD2204" s="21" t="n">
        <v>0</v>
      </c>
      <c r="AE2204" s="21" t="n">
        <v>0</v>
      </c>
      <c r="AF2204" s="21" t="n">
        <v>0</v>
      </c>
      <c r="AG2204" s="21" t="n">
        <v>0</v>
      </c>
      <c r="AH2204" s="21" t="n">
        <v>0</v>
      </c>
      <c r="AI2204" s="21" t="n">
        <v>0</v>
      </c>
      <c r="AJ2204" s="21" t="n">
        <v>0</v>
      </c>
      <c r="AK2204" s="21" t="n">
        <v>0</v>
      </c>
      <c r="AL2204" s="21" t="n">
        <v>0</v>
      </c>
      <c r="AM2204" s="21" t="n">
        <v>0</v>
      </c>
      <c r="AN2204" s="21" t="n">
        <v>0</v>
      </c>
      <c r="AO2204" s="21" t="n">
        <v>0</v>
      </c>
      <c r="AP2204" s="21" t="n">
        <v>0</v>
      </c>
      <c r="AQ2204" s="21" t="n">
        <v>0</v>
      </c>
      <c r="AR2204" s="21" t="n">
        <v>0</v>
      </c>
      <c r="AS2204" s="21" t="n">
        <v>0</v>
      </c>
      <c r="AT2204" s="19" t="n"/>
    </row>
    <row r="2205">
      <c r="D2205" s="21" t="n">
        <v>0</v>
      </c>
      <c r="E2205" s="21" t="n">
        <v>0</v>
      </c>
      <c r="F2205" s="21">
        <f>$B$1812</f>
        <v/>
      </c>
      <c r="G2205" s="21">
        <f>$B$1814</f>
        <v/>
      </c>
      <c r="H2205" s="21">
        <f>0</f>
        <v/>
      </c>
      <c r="I2205" s="21">
        <f>2*$B$1813</f>
        <v/>
      </c>
      <c r="J2205" s="21">
        <f>-$B$1812</f>
        <v/>
      </c>
      <c r="K2205" s="21">
        <f>$B$1814</f>
        <v/>
      </c>
      <c r="L2205" s="21" t="n">
        <v>0</v>
      </c>
      <c r="M2205" s="21" t="n">
        <v>0</v>
      </c>
      <c r="N2205" s="21" t="n">
        <v>0</v>
      </c>
      <c r="O2205" s="21" t="n">
        <v>0</v>
      </c>
      <c r="P2205" s="21" t="n">
        <v>0</v>
      </c>
      <c r="Q2205" s="21" t="n">
        <v>0</v>
      </c>
      <c r="R2205" s="21" t="n">
        <v>0</v>
      </c>
      <c r="S2205" s="21" t="n">
        <v>0</v>
      </c>
      <c r="T2205" s="21" t="n">
        <v>0</v>
      </c>
      <c r="U2205" s="21" t="n">
        <v>0</v>
      </c>
      <c r="V2205" s="21" t="n">
        <v>0</v>
      </c>
      <c r="W2205" s="21" t="n">
        <v>0</v>
      </c>
      <c r="X2205" s="21" t="n">
        <v>0</v>
      </c>
      <c r="Y2205" s="21" t="n">
        <v>0</v>
      </c>
      <c r="Z2205" s="21" t="n">
        <v>0</v>
      </c>
      <c r="AA2205" s="21" t="n">
        <v>0</v>
      </c>
      <c r="AB2205" s="21" t="n">
        <v>0</v>
      </c>
      <c r="AC2205" s="21" t="n">
        <v>0</v>
      </c>
      <c r="AD2205" s="21" t="n">
        <v>0</v>
      </c>
      <c r="AE2205" s="21" t="n">
        <v>0</v>
      </c>
      <c r="AF2205" s="21" t="n">
        <v>0</v>
      </c>
      <c r="AG2205" s="21" t="n">
        <v>0</v>
      </c>
      <c r="AH2205" s="21" t="n">
        <v>0</v>
      </c>
      <c r="AI2205" s="21" t="n">
        <v>0</v>
      </c>
      <c r="AJ2205" s="21" t="n">
        <v>0</v>
      </c>
      <c r="AK2205" s="21" t="n">
        <v>0</v>
      </c>
      <c r="AL2205" s="21" t="n">
        <v>0</v>
      </c>
      <c r="AM2205" s="21" t="n">
        <v>0</v>
      </c>
      <c r="AN2205" s="21" t="n">
        <v>0</v>
      </c>
      <c r="AO2205" s="21" t="n">
        <v>0</v>
      </c>
      <c r="AP2205" s="21" t="n">
        <v>0</v>
      </c>
      <c r="AQ2205" s="21" t="n">
        <v>0</v>
      </c>
      <c r="AR2205" s="21" t="n">
        <v>0</v>
      </c>
      <c r="AS2205" s="21" t="n">
        <v>0</v>
      </c>
      <c r="AT2205" s="19" t="n"/>
    </row>
    <row r="2206">
      <c r="D2206" s="21" t="n">
        <v>0</v>
      </c>
      <c r="E2206" s="21" t="n">
        <v>0</v>
      </c>
      <c r="F2206" s="21" t="n">
        <v>0</v>
      </c>
      <c r="G2206" s="21" t="n">
        <v>0</v>
      </c>
      <c r="H2206" s="21">
        <f>-$B$1811</f>
        <v/>
      </c>
      <c r="I2206" s="21">
        <f>-$B$1812</f>
        <v/>
      </c>
      <c r="J2206" s="21">
        <f>2*$B$1811+$D$2181</f>
        <v/>
      </c>
      <c r="K2206" s="21">
        <f>0</f>
        <v/>
      </c>
      <c r="L2206" s="21">
        <f>-$B$1811</f>
        <v/>
      </c>
      <c r="M2206" s="21">
        <f>$B$1812</f>
        <v/>
      </c>
      <c r="N2206" s="21" t="n">
        <v>0</v>
      </c>
      <c r="O2206" s="21" t="n">
        <v>0</v>
      </c>
      <c r="P2206" s="21" t="n">
        <v>0</v>
      </c>
      <c r="Q2206" s="21" t="n">
        <v>0</v>
      </c>
      <c r="R2206" s="21" t="n">
        <v>0</v>
      </c>
      <c r="S2206" s="21" t="n">
        <v>0</v>
      </c>
      <c r="T2206" s="21" t="n">
        <v>0</v>
      </c>
      <c r="U2206" s="21" t="n">
        <v>0</v>
      </c>
      <c r="V2206" s="21" t="n">
        <v>0</v>
      </c>
      <c r="W2206" s="21" t="n">
        <v>0</v>
      </c>
      <c r="X2206" s="21" t="n">
        <v>0</v>
      </c>
      <c r="Y2206" s="21" t="n">
        <v>0</v>
      </c>
      <c r="Z2206" s="21" t="n">
        <v>0</v>
      </c>
      <c r="AA2206" s="21" t="n">
        <v>0</v>
      </c>
      <c r="AB2206" s="21" t="n">
        <v>0</v>
      </c>
      <c r="AC2206" s="21" t="n">
        <v>0</v>
      </c>
      <c r="AD2206" s="21" t="n">
        <v>0</v>
      </c>
      <c r="AE2206" s="21" t="n">
        <v>0</v>
      </c>
      <c r="AF2206" s="21" t="n">
        <v>0</v>
      </c>
      <c r="AG2206" s="21" t="n">
        <v>0</v>
      </c>
      <c r="AH2206" s="21" t="n">
        <v>0</v>
      </c>
      <c r="AI2206" s="21" t="n">
        <v>0</v>
      </c>
      <c r="AJ2206" s="21" t="n">
        <v>0</v>
      </c>
      <c r="AK2206" s="21" t="n">
        <v>0</v>
      </c>
      <c r="AL2206" s="21" t="n">
        <v>0</v>
      </c>
      <c r="AM2206" s="21" t="n">
        <v>0</v>
      </c>
      <c r="AN2206" s="21" t="n">
        <v>0</v>
      </c>
      <c r="AO2206" s="21" t="n">
        <v>0</v>
      </c>
      <c r="AP2206" s="21" t="n">
        <v>0</v>
      </c>
      <c r="AQ2206" s="21" t="n">
        <v>0</v>
      </c>
      <c r="AR2206" s="21" t="n">
        <v>0</v>
      </c>
      <c r="AS2206" s="21" t="n">
        <v>0</v>
      </c>
      <c r="AT2206" s="19" t="n"/>
    </row>
    <row r="2207">
      <c r="D2207" s="21" t="n">
        <v>0</v>
      </c>
      <c r="E2207" s="21" t="n">
        <v>0</v>
      </c>
      <c r="F2207" s="21" t="n">
        <v>0</v>
      </c>
      <c r="G2207" s="21" t="n">
        <v>0</v>
      </c>
      <c r="H2207" s="21">
        <f>$B$1812</f>
        <v/>
      </c>
      <c r="I2207" s="21">
        <f>$B$1814</f>
        <v/>
      </c>
      <c r="J2207" s="21">
        <f>0</f>
        <v/>
      </c>
      <c r="K2207" s="21">
        <f>2*$B$1813</f>
        <v/>
      </c>
      <c r="L2207" s="21">
        <f>-$B$1812</f>
        <v/>
      </c>
      <c r="M2207" s="21">
        <f>$B$1814</f>
        <v/>
      </c>
      <c r="N2207" s="21" t="n">
        <v>0</v>
      </c>
      <c r="O2207" s="21" t="n">
        <v>0</v>
      </c>
      <c r="P2207" s="21" t="n">
        <v>0</v>
      </c>
      <c r="Q2207" s="21" t="n">
        <v>0</v>
      </c>
      <c r="R2207" s="21" t="n">
        <v>0</v>
      </c>
      <c r="S2207" s="21" t="n">
        <v>0</v>
      </c>
      <c r="T2207" s="21" t="n">
        <v>0</v>
      </c>
      <c r="U2207" s="21" t="n">
        <v>0</v>
      </c>
      <c r="V2207" s="21" t="n">
        <v>0</v>
      </c>
      <c r="W2207" s="21" t="n">
        <v>0</v>
      </c>
      <c r="X2207" s="21" t="n">
        <v>0</v>
      </c>
      <c r="Y2207" s="21" t="n">
        <v>0</v>
      </c>
      <c r="Z2207" s="21" t="n">
        <v>0</v>
      </c>
      <c r="AA2207" s="21" t="n">
        <v>0</v>
      </c>
      <c r="AB2207" s="21" t="n">
        <v>0</v>
      </c>
      <c r="AC2207" s="21" t="n">
        <v>0</v>
      </c>
      <c r="AD2207" s="21" t="n">
        <v>0</v>
      </c>
      <c r="AE2207" s="21" t="n">
        <v>0</v>
      </c>
      <c r="AF2207" s="21" t="n">
        <v>0</v>
      </c>
      <c r="AG2207" s="21" t="n">
        <v>0</v>
      </c>
      <c r="AH2207" s="21" t="n">
        <v>0</v>
      </c>
      <c r="AI2207" s="21" t="n">
        <v>0</v>
      </c>
      <c r="AJ2207" s="21" t="n">
        <v>0</v>
      </c>
      <c r="AK2207" s="21" t="n">
        <v>0</v>
      </c>
      <c r="AL2207" s="21" t="n">
        <v>0</v>
      </c>
      <c r="AM2207" s="21" t="n">
        <v>0</v>
      </c>
      <c r="AN2207" s="21" t="n">
        <v>0</v>
      </c>
      <c r="AO2207" s="21" t="n">
        <v>0</v>
      </c>
      <c r="AP2207" s="21" t="n">
        <v>0</v>
      </c>
      <c r="AQ2207" s="21" t="n">
        <v>0</v>
      </c>
      <c r="AR2207" s="21" t="n">
        <v>0</v>
      </c>
      <c r="AS2207" s="21" t="n">
        <v>0</v>
      </c>
      <c r="AT2207" s="19" t="n"/>
    </row>
    <row r="2208">
      <c r="D2208" s="21" t="n">
        <v>0</v>
      </c>
      <c r="E2208" s="21" t="n">
        <v>0</v>
      </c>
      <c r="F2208" s="21" t="n">
        <v>0</v>
      </c>
      <c r="G2208" s="21" t="n">
        <v>0</v>
      </c>
      <c r="H2208" s="21" t="n">
        <v>0</v>
      </c>
      <c r="I2208" s="21" t="n">
        <v>0</v>
      </c>
      <c r="J2208" s="21">
        <f>-$B$1811</f>
        <v/>
      </c>
      <c r="K2208" s="21">
        <f>-$B$1812</f>
        <v/>
      </c>
      <c r="L2208" s="21">
        <f>2*$B$1811+$D$2182</f>
        <v/>
      </c>
      <c r="M2208" s="21">
        <f>0</f>
        <v/>
      </c>
      <c r="N2208" s="21">
        <f>-$B$1811</f>
        <v/>
      </c>
      <c r="O2208" s="21">
        <f>$B$1812</f>
        <v/>
      </c>
      <c r="P2208" s="21" t="n">
        <v>0</v>
      </c>
      <c r="Q2208" s="21" t="n">
        <v>0</v>
      </c>
      <c r="R2208" s="21" t="n">
        <v>0</v>
      </c>
      <c r="S2208" s="21" t="n">
        <v>0</v>
      </c>
      <c r="T2208" s="21" t="n">
        <v>0</v>
      </c>
      <c r="U2208" s="21" t="n">
        <v>0</v>
      </c>
      <c r="V2208" s="21" t="n">
        <v>0</v>
      </c>
      <c r="W2208" s="21" t="n">
        <v>0</v>
      </c>
      <c r="X2208" s="21" t="n">
        <v>0</v>
      </c>
      <c r="Y2208" s="21" t="n">
        <v>0</v>
      </c>
      <c r="Z2208" s="21" t="n">
        <v>0</v>
      </c>
      <c r="AA2208" s="21" t="n">
        <v>0</v>
      </c>
      <c r="AB2208" s="21" t="n">
        <v>0</v>
      </c>
      <c r="AC2208" s="21" t="n">
        <v>0</v>
      </c>
      <c r="AD2208" s="21" t="n">
        <v>0</v>
      </c>
      <c r="AE2208" s="21" t="n">
        <v>0</v>
      </c>
      <c r="AF2208" s="21" t="n">
        <v>0</v>
      </c>
      <c r="AG2208" s="21" t="n">
        <v>0</v>
      </c>
      <c r="AH2208" s="21" t="n">
        <v>0</v>
      </c>
      <c r="AI2208" s="21" t="n">
        <v>0</v>
      </c>
      <c r="AJ2208" s="21" t="n">
        <v>0</v>
      </c>
      <c r="AK2208" s="21" t="n">
        <v>0</v>
      </c>
      <c r="AL2208" s="21" t="n">
        <v>0</v>
      </c>
      <c r="AM2208" s="21" t="n">
        <v>0</v>
      </c>
      <c r="AN2208" s="21" t="n">
        <v>0</v>
      </c>
      <c r="AO2208" s="21" t="n">
        <v>0</v>
      </c>
      <c r="AP2208" s="21" t="n">
        <v>0</v>
      </c>
      <c r="AQ2208" s="21" t="n">
        <v>0</v>
      </c>
      <c r="AR2208" s="21" t="n">
        <v>0</v>
      </c>
      <c r="AS2208" s="21" t="n">
        <v>0</v>
      </c>
      <c r="AT2208" s="19" t="n"/>
    </row>
    <row r="2209">
      <c r="D2209" s="21" t="n">
        <v>0</v>
      </c>
      <c r="E2209" s="21" t="n">
        <v>0</v>
      </c>
      <c r="F2209" s="21" t="n">
        <v>0</v>
      </c>
      <c r="G2209" s="21" t="n">
        <v>0</v>
      </c>
      <c r="H2209" s="21" t="n">
        <v>0</v>
      </c>
      <c r="I2209" s="21" t="n">
        <v>0</v>
      </c>
      <c r="J2209" s="21">
        <f>$B$1812</f>
        <v/>
      </c>
      <c r="K2209" s="21">
        <f>$B$1814</f>
        <v/>
      </c>
      <c r="L2209" s="21">
        <f>0</f>
        <v/>
      </c>
      <c r="M2209" s="21">
        <f>2*$B$1813</f>
        <v/>
      </c>
      <c r="N2209" s="21">
        <f>-$B$1812</f>
        <v/>
      </c>
      <c r="O2209" s="21">
        <f>$B$1814</f>
        <v/>
      </c>
      <c r="P2209" s="21" t="n">
        <v>0</v>
      </c>
      <c r="Q2209" s="21" t="n">
        <v>0</v>
      </c>
      <c r="R2209" s="21" t="n">
        <v>0</v>
      </c>
      <c r="S2209" s="21" t="n">
        <v>0</v>
      </c>
      <c r="T2209" s="21" t="n">
        <v>0</v>
      </c>
      <c r="U2209" s="21" t="n">
        <v>0</v>
      </c>
      <c r="V2209" s="21" t="n">
        <v>0</v>
      </c>
      <c r="W2209" s="21" t="n">
        <v>0</v>
      </c>
      <c r="X2209" s="21" t="n">
        <v>0</v>
      </c>
      <c r="Y2209" s="21" t="n">
        <v>0</v>
      </c>
      <c r="Z2209" s="21" t="n">
        <v>0</v>
      </c>
      <c r="AA2209" s="21" t="n">
        <v>0</v>
      </c>
      <c r="AB2209" s="21" t="n">
        <v>0</v>
      </c>
      <c r="AC2209" s="21" t="n">
        <v>0</v>
      </c>
      <c r="AD2209" s="21" t="n">
        <v>0</v>
      </c>
      <c r="AE2209" s="21" t="n">
        <v>0</v>
      </c>
      <c r="AF2209" s="21" t="n">
        <v>0</v>
      </c>
      <c r="AG2209" s="21" t="n">
        <v>0</v>
      </c>
      <c r="AH2209" s="21" t="n">
        <v>0</v>
      </c>
      <c r="AI2209" s="21" t="n">
        <v>0</v>
      </c>
      <c r="AJ2209" s="21" t="n">
        <v>0</v>
      </c>
      <c r="AK2209" s="21" t="n">
        <v>0</v>
      </c>
      <c r="AL2209" s="21" t="n">
        <v>0</v>
      </c>
      <c r="AM2209" s="21" t="n">
        <v>0</v>
      </c>
      <c r="AN2209" s="21" t="n">
        <v>0</v>
      </c>
      <c r="AO2209" s="21" t="n">
        <v>0</v>
      </c>
      <c r="AP2209" s="21" t="n">
        <v>0</v>
      </c>
      <c r="AQ2209" s="21" t="n">
        <v>0</v>
      </c>
      <c r="AR2209" s="21" t="n">
        <v>0</v>
      </c>
      <c r="AS2209" s="21" t="n">
        <v>0</v>
      </c>
      <c r="AT2209" s="19" t="n"/>
    </row>
    <row r="2210">
      <c r="D2210" s="21" t="n">
        <v>0</v>
      </c>
      <c r="E2210" s="21" t="n">
        <v>0</v>
      </c>
      <c r="F2210" s="21" t="n">
        <v>0</v>
      </c>
      <c r="G2210" s="21" t="n">
        <v>0</v>
      </c>
      <c r="H2210" s="21" t="n">
        <v>0</v>
      </c>
      <c r="I2210" s="21" t="n">
        <v>0</v>
      </c>
      <c r="J2210" s="21" t="n">
        <v>0</v>
      </c>
      <c r="K2210" s="21" t="n">
        <v>0</v>
      </c>
      <c r="L2210" s="21">
        <f>-$B$1811</f>
        <v/>
      </c>
      <c r="M2210" s="21">
        <f>-$B$1812</f>
        <v/>
      </c>
      <c r="N2210" s="21">
        <f>2*$B$1811+$D$2183</f>
        <v/>
      </c>
      <c r="O2210" s="21">
        <f>0</f>
        <v/>
      </c>
      <c r="P2210" s="21">
        <f>-$B$1811</f>
        <v/>
      </c>
      <c r="Q2210" s="21">
        <f>$B$1812</f>
        <v/>
      </c>
      <c r="R2210" s="21" t="n">
        <v>0</v>
      </c>
      <c r="S2210" s="21" t="n">
        <v>0</v>
      </c>
      <c r="T2210" s="21" t="n">
        <v>0</v>
      </c>
      <c r="U2210" s="21" t="n">
        <v>0</v>
      </c>
      <c r="V2210" s="21" t="n">
        <v>0</v>
      </c>
      <c r="W2210" s="21" t="n">
        <v>0</v>
      </c>
      <c r="X2210" s="21" t="n">
        <v>0</v>
      </c>
      <c r="Y2210" s="21" t="n">
        <v>0</v>
      </c>
      <c r="Z2210" s="21" t="n">
        <v>0</v>
      </c>
      <c r="AA2210" s="21" t="n">
        <v>0</v>
      </c>
      <c r="AB2210" s="21" t="n">
        <v>0</v>
      </c>
      <c r="AC2210" s="21" t="n">
        <v>0</v>
      </c>
      <c r="AD2210" s="21" t="n">
        <v>0</v>
      </c>
      <c r="AE2210" s="21" t="n">
        <v>0</v>
      </c>
      <c r="AF2210" s="21" t="n">
        <v>0</v>
      </c>
      <c r="AG2210" s="21" t="n">
        <v>0</v>
      </c>
      <c r="AH2210" s="21" t="n">
        <v>0</v>
      </c>
      <c r="AI2210" s="21" t="n">
        <v>0</v>
      </c>
      <c r="AJ2210" s="21" t="n">
        <v>0</v>
      </c>
      <c r="AK2210" s="21" t="n">
        <v>0</v>
      </c>
      <c r="AL2210" s="21" t="n">
        <v>0</v>
      </c>
      <c r="AM2210" s="21" t="n">
        <v>0</v>
      </c>
      <c r="AN2210" s="21" t="n">
        <v>0</v>
      </c>
      <c r="AO2210" s="21" t="n">
        <v>0</v>
      </c>
      <c r="AP2210" s="21" t="n">
        <v>0</v>
      </c>
      <c r="AQ2210" s="21" t="n">
        <v>0</v>
      </c>
      <c r="AR2210" s="21" t="n">
        <v>0</v>
      </c>
      <c r="AS2210" s="21" t="n">
        <v>0</v>
      </c>
      <c r="AT2210" s="19" t="n"/>
    </row>
    <row r="2211">
      <c r="D2211" s="21" t="n">
        <v>0</v>
      </c>
      <c r="E2211" s="21" t="n">
        <v>0</v>
      </c>
      <c r="F2211" s="21" t="n">
        <v>0</v>
      </c>
      <c r="G2211" s="21" t="n">
        <v>0</v>
      </c>
      <c r="H2211" s="21" t="n">
        <v>0</v>
      </c>
      <c r="I2211" s="21" t="n">
        <v>0</v>
      </c>
      <c r="J2211" s="21" t="n">
        <v>0</v>
      </c>
      <c r="K2211" s="21" t="n">
        <v>0</v>
      </c>
      <c r="L2211" s="21">
        <f>$B$1812</f>
        <v/>
      </c>
      <c r="M2211" s="21">
        <f>$B$1814</f>
        <v/>
      </c>
      <c r="N2211" s="21">
        <f>0</f>
        <v/>
      </c>
      <c r="O2211" s="21">
        <f>2*$B$1813</f>
        <v/>
      </c>
      <c r="P2211" s="21">
        <f>-$B$1812</f>
        <v/>
      </c>
      <c r="Q2211" s="21">
        <f>$B$1814</f>
        <v/>
      </c>
      <c r="R2211" s="21" t="n">
        <v>0</v>
      </c>
      <c r="S2211" s="21" t="n">
        <v>0</v>
      </c>
      <c r="T2211" s="21" t="n">
        <v>0</v>
      </c>
      <c r="U2211" s="21" t="n">
        <v>0</v>
      </c>
      <c r="V2211" s="21" t="n">
        <v>0</v>
      </c>
      <c r="W2211" s="21" t="n">
        <v>0</v>
      </c>
      <c r="X2211" s="21" t="n">
        <v>0</v>
      </c>
      <c r="Y2211" s="21" t="n">
        <v>0</v>
      </c>
      <c r="Z2211" s="21" t="n">
        <v>0</v>
      </c>
      <c r="AA2211" s="21" t="n">
        <v>0</v>
      </c>
      <c r="AB2211" s="21" t="n">
        <v>0</v>
      </c>
      <c r="AC2211" s="21" t="n">
        <v>0</v>
      </c>
      <c r="AD2211" s="21" t="n">
        <v>0</v>
      </c>
      <c r="AE2211" s="21" t="n">
        <v>0</v>
      </c>
      <c r="AF2211" s="21" t="n">
        <v>0</v>
      </c>
      <c r="AG2211" s="21" t="n">
        <v>0</v>
      </c>
      <c r="AH2211" s="21" t="n">
        <v>0</v>
      </c>
      <c r="AI2211" s="21" t="n">
        <v>0</v>
      </c>
      <c r="AJ2211" s="21" t="n">
        <v>0</v>
      </c>
      <c r="AK2211" s="21" t="n">
        <v>0</v>
      </c>
      <c r="AL2211" s="21" t="n">
        <v>0</v>
      </c>
      <c r="AM2211" s="21" t="n">
        <v>0</v>
      </c>
      <c r="AN2211" s="21" t="n">
        <v>0</v>
      </c>
      <c r="AO2211" s="21" t="n">
        <v>0</v>
      </c>
      <c r="AP2211" s="21" t="n">
        <v>0</v>
      </c>
      <c r="AQ2211" s="21" t="n">
        <v>0</v>
      </c>
      <c r="AR2211" s="21" t="n">
        <v>0</v>
      </c>
      <c r="AS2211" s="21" t="n">
        <v>0</v>
      </c>
      <c r="AT2211" s="19" t="n"/>
    </row>
    <row r="2212">
      <c r="D2212" s="21" t="n">
        <v>0</v>
      </c>
      <c r="E2212" s="21" t="n">
        <v>0</v>
      </c>
      <c r="F2212" s="21" t="n">
        <v>0</v>
      </c>
      <c r="G2212" s="21" t="n">
        <v>0</v>
      </c>
      <c r="H2212" s="21" t="n">
        <v>0</v>
      </c>
      <c r="I2212" s="21" t="n">
        <v>0</v>
      </c>
      <c r="J2212" s="21" t="n">
        <v>0</v>
      </c>
      <c r="K2212" s="21" t="n">
        <v>0</v>
      </c>
      <c r="L2212" s="21" t="n">
        <v>0</v>
      </c>
      <c r="M2212" s="21" t="n">
        <v>0</v>
      </c>
      <c r="N2212" s="21">
        <f>-$B$1811</f>
        <v/>
      </c>
      <c r="O2212" s="21">
        <f>-$B$1812</f>
        <v/>
      </c>
      <c r="P2212" s="21">
        <f>2*$B$1811+$D$2184</f>
        <v/>
      </c>
      <c r="Q2212" s="21">
        <f>0</f>
        <v/>
      </c>
      <c r="R2212" s="21">
        <f>-$B$1811</f>
        <v/>
      </c>
      <c r="S2212" s="21">
        <f>$B$1812</f>
        <v/>
      </c>
      <c r="T2212" s="21" t="n">
        <v>0</v>
      </c>
      <c r="U2212" s="21" t="n">
        <v>0</v>
      </c>
      <c r="V2212" s="21" t="n">
        <v>0</v>
      </c>
      <c r="W2212" s="21" t="n">
        <v>0</v>
      </c>
      <c r="X2212" s="21" t="n">
        <v>0</v>
      </c>
      <c r="Y2212" s="21" t="n">
        <v>0</v>
      </c>
      <c r="Z2212" s="21" t="n">
        <v>0</v>
      </c>
      <c r="AA2212" s="21" t="n">
        <v>0</v>
      </c>
      <c r="AB2212" s="21" t="n">
        <v>0</v>
      </c>
      <c r="AC2212" s="21" t="n">
        <v>0</v>
      </c>
      <c r="AD2212" s="21" t="n">
        <v>0</v>
      </c>
      <c r="AE2212" s="21" t="n">
        <v>0</v>
      </c>
      <c r="AF2212" s="21" t="n">
        <v>0</v>
      </c>
      <c r="AG2212" s="21" t="n">
        <v>0</v>
      </c>
      <c r="AH2212" s="21" t="n">
        <v>0</v>
      </c>
      <c r="AI2212" s="21" t="n">
        <v>0</v>
      </c>
      <c r="AJ2212" s="21" t="n">
        <v>0</v>
      </c>
      <c r="AK2212" s="21" t="n">
        <v>0</v>
      </c>
      <c r="AL2212" s="21" t="n">
        <v>0</v>
      </c>
      <c r="AM2212" s="21" t="n">
        <v>0</v>
      </c>
      <c r="AN2212" s="21" t="n">
        <v>0</v>
      </c>
      <c r="AO2212" s="21" t="n">
        <v>0</v>
      </c>
      <c r="AP2212" s="21" t="n">
        <v>0</v>
      </c>
      <c r="AQ2212" s="21" t="n">
        <v>0</v>
      </c>
      <c r="AR2212" s="21" t="n">
        <v>0</v>
      </c>
      <c r="AS2212" s="21" t="n">
        <v>0</v>
      </c>
      <c r="AT2212" s="19" t="n"/>
    </row>
    <row r="2213">
      <c r="D2213" s="21" t="n">
        <v>0</v>
      </c>
      <c r="E2213" s="21" t="n">
        <v>0</v>
      </c>
      <c r="F2213" s="21" t="n">
        <v>0</v>
      </c>
      <c r="G2213" s="21" t="n">
        <v>0</v>
      </c>
      <c r="H2213" s="21" t="n">
        <v>0</v>
      </c>
      <c r="I2213" s="21" t="n">
        <v>0</v>
      </c>
      <c r="J2213" s="21" t="n">
        <v>0</v>
      </c>
      <c r="K2213" s="21" t="n">
        <v>0</v>
      </c>
      <c r="L2213" s="21" t="n">
        <v>0</v>
      </c>
      <c r="M2213" s="21" t="n">
        <v>0</v>
      </c>
      <c r="N2213" s="21">
        <f>$B$1812</f>
        <v/>
      </c>
      <c r="O2213" s="21">
        <f>$B$1814</f>
        <v/>
      </c>
      <c r="P2213" s="21">
        <f>0</f>
        <v/>
      </c>
      <c r="Q2213" s="21">
        <f>2*$B$1813</f>
        <v/>
      </c>
      <c r="R2213" s="21">
        <f>-$B$1812</f>
        <v/>
      </c>
      <c r="S2213" s="21">
        <f>$B$1814</f>
        <v/>
      </c>
      <c r="T2213" s="21" t="n">
        <v>0</v>
      </c>
      <c r="U2213" s="21" t="n">
        <v>0</v>
      </c>
      <c r="V2213" s="21" t="n">
        <v>0</v>
      </c>
      <c r="W2213" s="21" t="n">
        <v>0</v>
      </c>
      <c r="X2213" s="21" t="n">
        <v>0</v>
      </c>
      <c r="Y2213" s="21" t="n">
        <v>0</v>
      </c>
      <c r="Z2213" s="21" t="n">
        <v>0</v>
      </c>
      <c r="AA2213" s="21" t="n">
        <v>0</v>
      </c>
      <c r="AB2213" s="21" t="n">
        <v>0</v>
      </c>
      <c r="AC2213" s="21" t="n">
        <v>0</v>
      </c>
      <c r="AD2213" s="21" t="n">
        <v>0</v>
      </c>
      <c r="AE2213" s="21" t="n">
        <v>0</v>
      </c>
      <c r="AF2213" s="21" t="n">
        <v>0</v>
      </c>
      <c r="AG2213" s="21" t="n">
        <v>0</v>
      </c>
      <c r="AH2213" s="21" t="n">
        <v>0</v>
      </c>
      <c r="AI2213" s="21" t="n">
        <v>0</v>
      </c>
      <c r="AJ2213" s="21" t="n">
        <v>0</v>
      </c>
      <c r="AK2213" s="21" t="n">
        <v>0</v>
      </c>
      <c r="AL2213" s="21" t="n">
        <v>0</v>
      </c>
      <c r="AM2213" s="21" t="n">
        <v>0</v>
      </c>
      <c r="AN2213" s="21" t="n">
        <v>0</v>
      </c>
      <c r="AO2213" s="21" t="n">
        <v>0</v>
      </c>
      <c r="AP2213" s="21" t="n">
        <v>0</v>
      </c>
      <c r="AQ2213" s="21" t="n">
        <v>0</v>
      </c>
      <c r="AR2213" s="21" t="n">
        <v>0</v>
      </c>
      <c r="AS2213" s="21" t="n">
        <v>0</v>
      </c>
      <c r="AT2213" s="19" t="n"/>
    </row>
    <row r="2214">
      <c r="D2214" s="21" t="n">
        <v>0</v>
      </c>
      <c r="E2214" s="21" t="n">
        <v>0</v>
      </c>
      <c r="F2214" s="21" t="n">
        <v>0</v>
      </c>
      <c r="G2214" s="21" t="n">
        <v>0</v>
      </c>
      <c r="H2214" s="21" t="n">
        <v>0</v>
      </c>
      <c r="I2214" s="21" t="n">
        <v>0</v>
      </c>
      <c r="J2214" s="21" t="n">
        <v>0</v>
      </c>
      <c r="K2214" s="21" t="n">
        <v>0</v>
      </c>
      <c r="L2214" s="21" t="n">
        <v>0</v>
      </c>
      <c r="M2214" s="21" t="n">
        <v>0</v>
      </c>
      <c r="N2214" s="21" t="n">
        <v>0</v>
      </c>
      <c r="O2214" s="21" t="n">
        <v>0</v>
      </c>
      <c r="P2214" s="21">
        <f>-$B$1811</f>
        <v/>
      </c>
      <c r="Q2214" s="21">
        <f>-$B$1812</f>
        <v/>
      </c>
      <c r="R2214" s="21">
        <f>2*$B$1811+$D$2185</f>
        <v/>
      </c>
      <c r="S2214" s="21">
        <f>0</f>
        <v/>
      </c>
      <c r="T2214" s="21">
        <f>-$B$1811</f>
        <v/>
      </c>
      <c r="U2214" s="21">
        <f>$B$1812</f>
        <v/>
      </c>
      <c r="V2214" s="21" t="n">
        <v>0</v>
      </c>
      <c r="W2214" s="21" t="n">
        <v>0</v>
      </c>
      <c r="X2214" s="21" t="n">
        <v>0</v>
      </c>
      <c r="Y2214" s="21" t="n">
        <v>0</v>
      </c>
      <c r="Z2214" s="21" t="n">
        <v>0</v>
      </c>
      <c r="AA2214" s="21" t="n">
        <v>0</v>
      </c>
      <c r="AB2214" s="21" t="n">
        <v>0</v>
      </c>
      <c r="AC2214" s="21" t="n">
        <v>0</v>
      </c>
      <c r="AD2214" s="21" t="n">
        <v>0</v>
      </c>
      <c r="AE2214" s="21" t="n">
        <v>0</v>
      </c>
      <c r="AF2214" s="21" t="n">
        <v>0</v>
      </c>
      <c r="AG2214" s="21" t="n">
        <v>0</v>
      </c>
      <c r="AH2214" s="21" t="n">
        <v>0</v>
      </c>
      <c r="AI2214" s="21" t="n">
        <v>0</v>
      </c>
      <c r="AJ2214" s="21" t="n">
        <v>0</v>
      </c>
      <c r="AK2214" s="21" t="n">
        <v>0</v>
      </c>
      <c r="AL2214" s="21" t="n">
        <v>0</v>
      </c>
      <c r="AM2214" s="21" t="n">
        <v>0</v>
      </c>
      <c r="AN2214" s="21" t="n">
        <v>0</v>
      </c>
      <c r="AO2214" s="21" t="n">
        <v>0</v>
      </c>
      <c r="AP2214" s="21" t="n">
        <v>0</v>
      </c>
      <c r="AQ2214" s="21" t="n">
        <v>0</v>
      </c>
      <c r="AR2214" s="21" t="n">
        <v>0</v>
      </c>
      <c r="AS2214" s="21" t="n">
        <v>0</v>
      </c>
      <c r="AT2214" s="19" t="n"/>
    </row>
    <row r="2215">
      <c r="D2215" s="21" t="n">
        <v>0</v>
      </c>
      <c r="E2215" s="21" t="n">
        <v>0</v>
      </c>
      <c r="F2215" s="21" t="n">
        <v>0</v>
      </c>
      <c r="G2215" s="21" t="n">
        <v>0</v>
      </c>
      <c r="H2215" s="21" t="n">
        <v>0</v>
      </c>
      <c r="I2215" s="21" t="n">
        <v>0</v>
      </c>
      <c r="J2215" s="21" t="n">
        <v>0</v>
      </c>
      <c r="K2215" s="21" t="n">
        <v>0</v>
      </c>
      <c r="L2215" s="21" t="n">
        <v>0</v>
      </c>
      <c r="M2215" s="21" t="n">
        <v>0</v>
      </c>
      <c r="N2215" s="21" t="n">
        <v>0</v>
      </c>
      <c r="O2215" s="21" t="n">
        <v>0</v>
      </c>
      <c r="P2215" s="21">
        <f>$B$1812</f>
        <v/>
      </c>
      <c r="Q2215" s="21">
        <f>$B$1814</f>
        <v/>
      </c>
      <c r="R2215" s="21">
        <f>0</f>
        <v/>
      </c>
      <c r="S2215" s="21">
        <f>2*$B$1813</f>
        <v/>
      </c>
      <c r="T2215" s="21">
        <f>-$B$1812</f>
        <v/>
      </c>
      <c r="U2215" s="21">
        <f>$B$1814</f>
        <v/>
      </c>
      <c r="V2215" s="21" t="n">
        <v>0</v>
      </c>
      <c r="W2215" s="21" t="n">
        <v>0</v>
      </c>
      <c r="X2215" s="21" t="n">
        <v>0</v>
      </c>
      <c r="Y2215" s="21" t="n">
        <v>0</v>
      </c>
      <c r="Z2215" s="21" t="n">
        <v>0</v>
      </c>
      <c r="AA2215" s="21" t="n">
        <v>0</v>
      </c>
      <c r="AB2215" s="21" t="n">
        <v>0</v>
      </c>
      <c r="AC2215" s="21" t="n">
        <v>0</v>
      </c>
      <c r="AD2215" s="21" t="n">
        <v>0</v>
      </c>
      <c r="AE2215" s="21" t="n">
        <v>0</v>
      </c>
      <c r="AF2215" s="21" t="n">
        <v>0</v>
      </c>
      <c r="AG2215" s="21" t="n">
        <v>0</v>
      </c>
      <c r="AH2215" s="21" t="n">
        <v>0</v>
      </c>
      <c r="AI2215" s="21" t="n">
        <v>0</v>
      </c>
      <c r="AJ2215" s="21" t="n">
        <v>0</v>
      </c>
      <c r="AK2215" s="21" t="n">
        <v>0</v>
      </c>
      <c r="AL2215" s="21" t="n">
        <v>0</v>
      </c>
      <c r="AM2215" s="21" t="n">
        <v>0</v>
      </c>
      <c r="AN2215" s="21" t="n">
        <v>0</v>
      </c>
      <c r="AO2215" s="21" t="n">
        <v>0</v>
      </c>
      <c r="AP2215" s="21" t="n">
        <v>0</v>
      </c>
      <c r="AQ2215" s="21" t="n">
        <v>0</v>
      </c>
      <c r="AR2215" s="21" t="n">
        <v>0</v>
      </c>
      <c r="AS2215" s="21" t="n">
        <v>0</v>
      </c>
      <c r="AT2215" s="19" t="n"/>
    </row>
    <row r="2216">
      <c r="D2216" s="21" t="n">
        <v>0</v>
      </c>
      <c r="E2216" s="21" t="n">
        <v>0</v>
      </c>
      <c r="F2216" s="21" t="n">
        <v>0</v>
      </c>
      <c r="G2216" s="21" t="n">
        <v>0</v>
      </c>
      <c r="H2216" s="21" t="n">
        <v>0</v>
      </c>
      <c r="I2216" s="21" t="n">
        <v>0</v>
      </c>
      <c r="J2216" s="21" t="n">
        <v>0</v>
      </c>
      <c r="K2216" s="21" t="n">
        <v>0</v>
      </c>
      <c r="L2216" s="21" t="n">
        <v>0</v>
      </c>
      <c r="M2216" s="21" t="n">
        <v>0</v>
      </c>
      <c r="N2216" s="21" t="n">
        <v>0</v>
      </c>
      <c r="O2216" s="21" t="n">
        <v>0</v>
      </c>
      <c r="P2216" s="21" t="n">
        <v>0</v>
      </c>
      <c r="Q2216" s="21" t="n">
        <v>0</v>
      </c>
      <c r="R2216" s="21">
        <f>-$B$1811</f>
        <v/>
      </c>
      <c r="S2216" s="21">
        <f>-$B$1812</f>
        <v/>
      </c>
      <c r="T2216" s="21">
        <f>2*$B$1811+$D$2186</f>
        <v/>
      </c>
      <c r="U2216" s="21">
        <f>0</f>
        <v/>
      </c>
      <c r="V2216" s="21">
        <f>-$B$1811</f>
        <v/>
      </c>
      <c r="W2216" s="21">
        <f>$B$1812</f>
        <v/>
      </c>
      <c r="X2216" s="21" t="n">
        <v>0</v>
      </c>
      <c r="Y2216" s="21" t="n">
        <v>0</v>
      </c>
      <c r="Z2216" s="21" t="n">
        <v>0</v>
      </c>
      <c r="AA2216" s="21" t="n">
        <v>0</v>
      </c>
      <c r="AB2216" s="21" t="n">
        <v>0</v>
      </c>
      <c r="AC2216" s="21" t="n">
        <v>0</v>
      </c>
      <c r="AD2216" s="21" t="n">
        <v>0</v>
      </c>
      <c r="AE2216" s="21" t="n">
        <v>0</v>
      </c>
      <c r="AF2216" s="21" t="n">
        <v>0</v>
      </c>
      <c r="AG2216" s="21" t="n">
        <v>0</v>
      </c>
      <c r="AH2216" s="21" t="n">
        <v>0</v>
      </c>
      <c r="AI2216" s="21" t="n">
        <v>0</v>
      </c>
      <c r="AJ2216" s="21" t="n">
        <v>0</v>
      </c>
      <c r="AK2216" s="21" t="n">
        <v>0</v>
      </c>
      <c r="AL2216" s="21" t="n">
        <v>0</v>
      </c>
      <c r="AM2216" s="21" t="n">
        <v>0</v>
      </c>
      <c r="AN2216" s="21" t="n">
        <v>0</v>
      </c>
      <c r="AO2216" s="21" t="n">
        <v>0</v>
      </c>
      <c r="AP2216" s="21" t="n">
        <v>0</v>
      </c>
      <c r="AQ2216" s="21" t="n">
        <v>0</v>
      </c>
      <c r="AR2216" s="21" t="n">
        <v>0</v>
      </c>
      <c r="AS2216" s="21" t="n">
        <v>0</v>
      </c>
      <c r="AT2216" s="19" t="n"/>
    </row>
    <row r="2217">
      <c r="D2217" s="21" t="n">
        <v>0</v>
      </c>
      <c r="E2217" s="21" t="n">
        <v>0</v>
      </c>
      <c r="F2217" s="21" t="n">
        <v>0</v>
      </c>
      <c r="G2217" s="21" t="n">
        <v>0</v>
      </c>
      <c r="H2217" s="21" t="n">
        <v>0</v>
      </c>
      <c r="I2217" s="21" t="n">
        <v>0</v>
      </c>
      <c r="J2217" s="21" t="n">
        <v>0</v>
      </c>
      <c r="K2217" s="21" t="n">
        <v>0</v>
      </c>
      <c r="L2217" s="21" t="n">
        <v>0</v>
      </c>
      <c r="M2217" s="21" t="n">
        <v>0</v>
      </c>
      <c r="N2217" s="21" t="n">
        <v>0</v>
      </c>
      <c r="O2217" s="21" t="n">
        <v>0</v>
      </c>
      <c r="P2217" s="21" t="n">
        <v>0</v>
      </c>
      <c r="Q2217" s="21" t="n">
        <v>0</v>
      </c>
      <c r="R2217" s="21">
        <f>$B$1812</f>
        <v/>
      </c>
      <c r="S2217" s="21">
        <f>$B$1814</f>
        <v/>
      </c>
      <c r="T2217" s="21">
        <f>0</f>
        <v/>
      </c>
      <c r="U2217" s="21">
        <f>2*$B$1813</f>
        <v/>
      </c>
      <c r="V2217" s="21">
        <f>-$B$1812</f>
        <v/>
      </c>
      <c r="W2217" s="21">
        <f>$B$1814</f>
        <v/>
      </c>
      <c r="X2217" s="21" t="n">
        <v>0</v>
      </c>
      <c r="Y2217" s="21" t="n">
        <v>0</v>
      </c>
      <c r="Z2217" s="21" t="n">
        <v>0</v>
      </c>
      <c r="AA2217" s="21" t="n">
        <v>0</v>
      </c>
      <c r="AB2217" s="21" t="n">
        <v>0</v>
      </c>
      <c r="AC2217" s="21" t="n">
        <v>0</v>
      </c>
      <c r="AD2217" s="21" t="n">
        <v>0</v>
      </c>
      <c r="AE2217" s="21" t="n">
        <v>0</v>
      </c>
      <c r="AF2217" s="21" t="n">
        <v>0</v>
      </c>
      <c r="AG2217" s="21" t="n">
        <v>0</v>
      </c>
      <c r="AH2217" s="21" t="n">
        <v>0</v>
      </c>
      <c r="AI2217" s="21" t="n">
        <v>0</v>
      </c>
      <c r="AJ2217" s="21" t="n">
        <v>0</v>
      </c>
      <c r="AK2217" s="21" t="n">
        <v>0</v>
      </c>
      <c r="AL2217" s="21" t="n">
        <v>0</v>
      </c>
      <c r="AM2217" s="21" t="n">
        <v>0</v>
      </c>
      <c r="AN2217" s="21" t="n">
        <v>0</v>
      </c>
      <c r="AO2217" s="21" t="n">
        <v>0</v>
      </c>
      <c r="AP2217" s="21" t="n">
        <v>0</v>
      </c>
      <c r="AQ2217" s="21" t="n">
        <v>0</v>
      </c>
      <c r="AR2217" s="21" t="n">
        <v>0</v>
      </c>
      <c r="AS2217" s="21" t="n">
        <v>0</v>
      </c>
      <c r="AT2217" s="19" t="n"/>
    </row>
    <row r="2218">
      <c r="D2218" s="21" t="n">
        <v>0</v>
      </c>
      <c r="E2218" s="21" t="n">
        <v>0</v>
      </c>
      <c r="F2218" s="21" t="n">
        <v>0</v>
      </c>
      <c r="G2218" s="21" t="n">
        <v>0</v>
      </c>
      <c r="H2218" s="21" t="n">
        <v>0</v>
      </c>
      <c r="I2218" s="21" t="n">
        <v>0</v>
      </c>
      <c r="J2218" s="21" t="n">
        <v>0</v>
      </c>
      <c r="K2218" s="21" t="n">
        <v>0</v>
      </c>
      <c r="L2218" s="21" t="n">
        <v>0</v>
      </c>
      <c r="M2218" s="21" t="n">
        <v>0</v>
      </c>
      <c r="N2218" s="21" t="n">
        <v>0</v>
      </c>
      <c r="O2218" s="21" t="n">
        <v>0</v>
      </c>
      <c r="P2218" s="21" t="n">
        <v>0</v>
      </c>
      <c r="Q2218" s="21" t="n">
        <v>0</v>
      </c>
      <c r="R2218" s="21" t="n">
        <v>0</v>
      </c>
      <c r="S2218" s="21" t="n">
        <v>0</v>
      </c>
      <c r="T2218" s="21">
        <f>-$B$1811</f>
        <v/>
      </c>
      <c r="U2218" s="21">
        <f>-$B$1812</f>
        <v/>
      </c>
      <c r="V2218" s="21">
        <f>2*$B$1811+$D$2187</f>
        <v/>
      </c>
      <c r="W2218" s="21">
        <f>0</f>
        <v/>
      </c>
      <c r="X2218" s="21">
        <f>-$B$1811</f>
        <v/>
      </c>
      <c r="Y2218" s="21">
        <f>$B$1812</f>
        <v/>
      </c>
      <c r="Z2218" s="21" t="n">
        <v>0</v>
      </c>
      <c r="AA2218" s="21" t="n">
        <v>0</v>
      </c>
      <c r="AB2218" s="21" t="n">
        <v>0</v>
      </c>
      <c r="AC2218" s="21" t="n">
        <v>0</v>
      </c>
      <c r="AD2218" s="21" t="n">
        <v>0</v>
      </c>
      <c r="AE2218" s="21" t="n">
        <v>0</v>
      </c>
      <c r="AF2218" s="21" t="n">
        <v>0</v>
      </c>
      <c r="AG2218" s="21" t="n">
        <v>0</v>
      </c>
      <c r="AH2218" s="21" t="n">
        <v>0</v>
      </c>
      <c r="AI2218" s="21" t="n">
        <v>0</v>
      </c>
      <c r="AJ2218" s="21" t="n">
        <v>0</v>
      </c>
      <c r="AK2218" s="21" t="n">
        <v>0</v>
      </c>
      <c r="AL2218" s="21" t="n">
        <v>0</v>
      </c>
      <c r="AM2218" s="21" t="n">
        <v>0</v>
      </c>
      <c r="AN2218" s="21" t="n">
        <v>0</v>
      </c>
      <c r="AO2218" s="21" t="n">
        <v>0</v>
      </c>
      <c r="AP2218" s="21" t="n">
        <v>0</v>
      </c>
      <c r="AQ2218" s="21" t="n">
        <v>0</v>
      </c>
      <c r="AR2218" s="21" t="n">
        <v>0</v>
      </c>
      <c r="AS2218" s="21" t="n">
        <v>0</v>
      </c>
      <c r="AT2218" s="19" t="n"/>
    </row>
    <row r="2219">
      <c r="D2219" s="21" t="n">
        <v>0</v>
      </c>
      <c r="E2219" s="21" t="n">
        <v>0</v>
      </c>
      <c r="F2219" s="21" t="n">
        <v>0</v>
      </c>
      <c r="G2219" s="21" t="n">
        <v>0</v>
      </c>
      <c r="H2219" s="21" t="n">
        <v>0</v>
      </c>
      <c r="I2219" s="21" t="n">
        <v>0</v>
      </c>
      <c r="J2219" s="21" t="n">
        <v>0</v>
      </c>
      <c r="K2219" s="21" t="n">
        <v>0</v>
      </c>
      <c r="L2219" s="21" t="n">
        <v>0</v>
      </c>
      <c r="M2219" s="21" t="n">
        <v>0</v>
      </c>
      <c r="N2219" s="21" t="n">
        <v>0</v>
      </c>
      <c r="O2219" s="21" t="n">
        <v>0</v>
      </c>
      <c r="P2219" s="21" t="n">
        <v>0</v>
      </c>
      <c r="Q2219" s="21" t="n">
        <v>0</v>
      </c>
      <c r="R2219" s="21" t="n">
        <v>0</v>
      </c>
      <c r="S2219" s="21" t="n">
        <v>0</v>
      </c>
      <c r="T2219" s="21">
        <f>$B$1812</f>
        <v/>
      </c>
      <c r="U2219" s="21">
        <f>$B$1814</f>
        <v/>
      </c>
      <c r="V2219" s="21">
        <f>0</f>
        <v/>
      </c>
      <c r="W2219" s="21">
        <f>2*$B$1813</f>
        <v/>
      </c>
      <c r="X2219" s="21">
        <f>-$B$1812</f>
        <v/>
      </c>
      <c r="Y2219" s="21">
        <f>$B$1814</f>
        <v/>
      </c>
      <c r="Z2219" s="21" t="n">
        <v>0</v>
      </c>
      <c r="AA2219" s="21" t="n">
        <v>0</v>
      </c>
      <c r="AB2219" s="21" t="n">
        <v>0</v>
      </c>
      <c r="AC2219" s="21" t="n">
        <v>0</v>
      </c>
      <c r="AD2219" s="21" t="n">
        <v>0</v>
      </c>
      <c r="AE2219" s="21" t="n">
        <v>0</v>
      </c>
      <c r="AF2219" s="21" t="n">
        <v>0</v>
      </c>
      <c r="AG2219" s="21" t="n">
        <v>0</v>
      </c>
      <c r="AH2219" s="21" t="n">
        <v>0</v>
      </c>
      <c r="AI2219" s="21" t="n">
        <v>0</v>
      </c>
      <c r="AJ2219" s="21" t="n">
        <v>0</v>
      </c>
      <c r="AK2219" s="21" t="n">
        <v>0</v>
      </c>
      <c r="AL2219" s="21" t="n">
        <v>0</v>
      </c>
      <c r="AM2219" s="21" t="n">
        <v>0</v>
      </c>
      <c r="AN2219" s="21" t="n">
        <v>0</v>
      </c>
      <c r="AO2219" s="21" t="n">
        <v>0</v>
      </c>
      <c r="AP2219" s="21" t="n">
        <v>0</v>
      </c>
      <c r="AQ2219" s="21" t="n">
        <v>0</v>
      </c>
      <c r="AR2219" s="21" t="n">
        <v>0</v>
      </c>
      <c r="AS2219" s="21" t="n">
        <v>0</v>
      </c>
      <c r="AT2219" s="19" t="n"/>
    </row>
    <row r="2220">
      <c r="D2220" s="21" t="n">
        <v>0</v>
      </c>
      <c r="E2220" s="21" t="n">
        <v>0</v>
      </c>
      <c r="F2220" s="21" t="n">
        <v>0</v>
      </c>
      <c r="G2220" s="21" t="n">
        <v>0</v>
      </c>
      <c r="H2220" s="21" t="n">
        <v>0</v>
      </c>
      <c r="I2220" s="21" t="n">
        <v>0</v>
      </c>
      <c r="J2220" s="21" t="n">
        <v>0</v>
      </c>
      <c r="K2220" s="21" t="n">
        <v>0</v>
      </c>
      <c r="L2220" s="21" t="n">
        <v>0</v>
      </c>
      <c r="M2220" s="21" t="n">
        <v>0</v>
      </c>
      <c r="N2220" s="21" t="n">
        <v>0</v>
      </c>
      <c r="O2220" s="21" t="n">
        <v>0</v>
      </c>
      <c r="P2220" s="21" t="n">
        <v>0</v>
      </c>
      <c r="Q2220" s="21" t="n">
        <v>0</v>
      </c>
      <c r="R2220" s="21" t="n">
        <v>0</v>
      </c>
      <c r="S2220" s="21" t="n">
        <v>0</v>
      </c>
      <c r="T2220" s="21" t="n">
        <v>0</v>
      </c>
      <c r="U2220" s="21" t="n">
        <v>0</v>
      </c>
      <c r="V2220" s="21">
        <f>-$B$1811</f>
        <v/>
      </c>
      <c r="W2220" s="21">
        <f>-$B$1812</f>
        <v/>
      </c>
      <c r="X2220" s="21">
        <f>2*$B$1811+$D$2188</f>
        <v/>
      </c>
      <c r="Y2220" s="21">
        <f>0</f>
        <v/>
      </c>
      <c r="Z2220" s="21">
        <f>-$B$1811</f>
        <v/>
      </c>
      <c r="AA2220" s="21">
        <f>$B$1812</f>
        <v/>
      </c>
      <c r="AB2220" s="21" t="n">
        <v>0</v>
      </c>
      <c r="AC2220" s="21" t="n">
        <v>0</v>
      </c>
      <c r="AD2220" s="21" t="n">
        <v>0</v>
      </c>
      <c r="AE2220" s="21" t="n">
        <v>0</v>
      </c>
      <c r="AF2220" s="21" t="n">
        <v>0</v>
      </c>
      <c r="AG2220" s="21" t="n">
        <v>0</v>
      </c>
      <c r="AH2220" s="21" t="n">
        <v>0</v>
      </c>
      <c r="AI2220" s="21" t="n">
        <v>0</v>
      </c>
      <c r="AJ2220" s="21" t="n">
        <v>0</v>
      </c>
      <c r="AK2220" s="21" t="n">
        <v>0</v>
      </c>
      <c r="AL2220" s="21" t="n">
        <v>0</v>
      </c>
      <c r="AM2220" s="21" t="n">
        <v>0</v>
      </c>
      <c r="AN2220" s="21" t="n">
        <v>0</v>
      </c>
      <c r="AO2220" s="21" t="n">
        <v>0</v>
      </c>
      <c r="AP2220" s="21" t="n">
        <v>0</v>
      </c>
      <c r="AQ2220" s="21" t="n">
        <v>0</v>
      </c>
      <c r="AR2220" s="21" t="n">
        <v>0</v>
      </c>
      <c r="AS2220" s="21" t="n">
        <v>0</v>
      </c>
      <c r="AT2220" s="19" t="n"/>
    </row>
    <row r="2221">
      <c r="D2221" s="21" t="n">
        <v>0</v>
      </c>
      <c r="E2221" s="21" t="n">
        <v>0</v>
      </c>
      <c r="F2221" s="21" t="n">
        <v>0</v>
      </c>
      <c r="G2221" s="21" t="n">
        <v>0</v>
      </c>
      <c r="H2221" s="21" t="n">
        <v>0</v>
      </c>
      <c r="I2221" s="21" t="n">
        <v>0</v>
      </c>
      <c r="J2221" s="21" t="n">
        <v>0</v>
      </c>
      <c r="K2221" s="21" t="n">
        <v>0</v>
      </c>
      <c r="L2221" s="21" t="n">
        <v>0</v>
      </c>
      <c r="M2221" s="21" t="n">
        <v>0</v>
      </c>
      <c r="N2221" s="21" t="n">
        <v>0</v>
      </c>
      <c r="O2221" s="21" t="n">
        <v>0</v>
      </c>
      <c r="P2221" s="21" t="n">
        <v>0</v>
      </c>
      <c r="Q2221" s="21" t="n">
        <v>0</v>
      </c>
      <c r="R2221" s="21" t="n">
        <v>0</v>
      </c>
      <c r="S2221" s="21" t="n">
        <v>0</v>
      </c>
      <c r="T2221" s="21" t="n">
        <v>0</v>
      </c>
      <c r="U2221" s="21" t="n">
        <v>0</v>
      </c>
      <c r="V2221" s="21">
        <f>$B$1812</f>
        <v/>
      </c>
      <c r="W2221" s="21">
        <f>$B$1814</f>
        <v/>
      </c>
      <c r="X2221" s="21">
        <f>0</f>
        <v/>
      </c>
      <c r="Y2221" s="21">
        <f>2*$B$1813</f>
        <v/>
      </c>
      <c r="Z2221" s="21">
        <f>-$B$1812</f>
        <v/>
      </c>
      <c r="AA2221" s="21">
        <f>$B$1814</f>
        <v/>
      </c>
      <c r="AB2221" s="21" t="n">
        <v>0</v>
      </c>
      <c r="AC2221" s="21" t="n">
        <v>0</v>
      </c>
      <c r="AD2221" s="21" t="n">
        <v>0</v>
      </c>
      <c r="AE2221" s="21" t="n">
        <v>0</v>
      </c>
      <c r="AF2221" s="21" t="n">
        <v>0</v>
      </c>
      <c r="AG2221" s="21" t="n">
        <v>0</v>
      </c>
      <c r="AH2221" s="21" t="n">
        <v>0</v>
      </c>
      <c r="AI2221" s="21" t="n">
        <v>0</v>
      </c>
      <c r="AJ2221" s="21" t="n">
        <v>0</v>
      </c>
      <c r="AK2221" s="21" t="n">
        <v>0</v>
      </c>
      <c r="AL2221" s="21" t="n">
        <v>0</v>
      </c>
      <c r="AM2221" s="21" t="n">
        <v>0</v>
      </c>
      <c r="AN2221" s="21" t="n">
        <v>0</v>
      </c>
      <c r="AO2221" s="21" t="n">
        <v>0</v>
      </c>
      <c r="AP2221" s="21" t="n">
        <v>0</v>
      </c>
      <c r="AQ2221" s="21" t="n">
        <v>0</v>
      </c>
      <c r="AR2221" s="21" t="n">
        <v>0</v>
      </c>
      <c r="AS2221" s="21" t="n">
        <v>0</v>
      </c>
      <c r="AT2221" s="19" t="n"/>
    </row>
    <row r="2222">
      <c r="D2222" s="21" t="n">
        <v>0</v>
      </c>
      <c r="E2222" s="21" t="n">
        <v>0</v>
      </c>
      <c r="F2222" s="21" t="n">
        <v>0</v>
      </c>
      <c r="G2222" s="21" t="n">
        <v>0</v>
      </c>
      <c r="H2222" s="21" t="n">
        <v>0</v>
      </c>
      <c r="I2222" s="21" t="n">
        <v>0</v>
      </c>
      <c r="J2222" s="21" t="n">
        <v>0</v>
      </c>
      <c r="K2222" s="21" t="n">
        <v>0</v>
      </c>
      <c r="L2222" s="21" t="n">
        <v>0</v>
      </c>
      <c r="M2222" s="21" t="n">
        <v>0</v>
      </c>
      <c r="N2222" s="21" t="n">
        <v>0</v>
      </c>
      <c r="O2222" s="21" t="n">
        <v>0</v>
      </c>
      <c r="P2222" s="21" t="n">
        <v>0</v>
      </c>
      <c r="Q2222" s="21" t="n">
        <v>0</v>
      </c>
      <c r="R2222" s="21" t="n">
        <v>0</v>
      </c>
      <c r="S2222" s="21" t="n">
        <v>0</v>
      </c>
      <c r="T2222" s="21" t="n">
        <v>0</v>
      </c>
      <c r="U2222" s="21" t="n">
        <v>0</v>
      </c>
      <c r="V2222" s="21" t="n">
        <v>0</v>
      </c>
      <c r="W2222" s="21" t="n">
        <v>0</v>
      </c>
      <c r="X2222" s="21">
        <f>-$B$1811</f>
        <v/>
      </c>
      <c r="Y2222" s="21">
        <f>-$B$1812</f>
        <v/>
      </c>
      <c r="Z2222" s="21">
        <f>2*$B$1811+$D$2189</f>
        <v/>
      </c>
      <c r="AA2222" s="21">
        <f>0</f>
        <v/>
      </c>
      <c r="AB2222" s="21">
        <f>-$B$1811</f>
        <v/>
      </c>
      <c r="AC2222" s="21">
        <f>$B$1812</f>
        <v/>
      </c>
      <c r="AD2222" s="21" t="n">
        <v>0</v>
      </c>
      <c r="AE2222" s="21" t="n">
        <v>0</v>
      </c>
      <c r="AF2222" s="21" t="n">
        <v>0</v>
      </c>
      <c r="AG2222" s="21" t="n">
        <v>0</v>
      </c>
      <c r="AH2222" s="21" t="n">
        <v>0</v>
      </c>
      <c r="AI2222" s="21" t="n">
        <v>0</v>
      </c>
      <c r="AJ2222" s="21" t="n">
        <v>0</v>
      </c>
      <c r="AK2222" s="21" t="n">
        <v>0</v>
      </c>
      <c r="AL2222" s="21" t="n">
        <v>0</v>
      </c>
      <c r="AM2222" s="21" t="n">
        <v>0</v>
      </c>
      <c r="AN2222" s="21" t="n">
        <v>0</v>
      </c>
      <c r="AO2222" s="21" t="n">
        <v>0</v>
      </c>
      <c r="AP2222" s="21" t="n">
        <v>0</v>
      </c>
      <c r="AQ2222" s="21" t="n">
        <v>0</v>
      </c>
      <c r="AR2222" s="21" t="n">
        <v>0</v>
      </c>
      <c r="AS2222" s="21" t="n">
        <v>0</v>
      </c>
      <c r="AT2222" s="19" t="n"/>
    </row>
    <row r="2223">
      <c r="D2223" s="21" t="n">
        <v>0</v>
      </c>
      <c r="E2223" s="21" t="n">
        <v>0</v>
      </c>
      <c r="F2223" s="21" t="n">
        <v>0</v>
      </c>
      <c r="G2223" s="21" t="n">
        <v>0</v>
      </c>
      <c r="H2223" s="21" t="n">
        <v>0</v>
      </c>
      <c r="I2223" s="21" t="n">
        <v>0</v>
      </c>
      <c r="J2223" s="21" t="n">
        <v>0</v>
      </c>
      <c r="K2223" s="21" t="n">
        <v>0</v>
      </c>
      <c r="L2223" s="21" t="n">
        <v>0</v>
      </c>
      <c r="M2223" s="21" t="n">
        <v>0</v>
      </c>
      <c r="N2223" s="21" t="n">
        <v>0</v>
      </c>
      <c r="O2223" s="21" t="n">
        <v>0</v>
      </c>
      <c r="P2223" s="21" t="n">
        <v>0</v>
      </c>
      <c r="Q2223" s="21" t="n">
        <v>0</v>
      </c>
      <c r="R2223" s="21" t="n">
        <v>0</v>
      </c>
      <c r="S2223" s="21" t="n">
        <v>0</v>
      </c>
      <c r="T2223" s="21" t="n">
        <v>0</v>
      </c>
      <c r="U2223" s="21" t="n">
        <v>0</v>
      </c>
      <c r="V2223" s="21" t="n">
        <v>0</v>
      </c>
      <c r="W2223" s="21" t="n">
        <v>0</v>
      </c>
      <c r="X2223" s="21">
        <f>$B$1812</f>
        <v/>
      </c>
      <c r="Y2223" s="21">
        <f>$B$1814</f>
        <v/>
      </c>
      <c r="Z2223" s="21">
        <f>0</f>
        <v/>
      </c>
      <c r="AA2223" s="21">
        <f>2*$B$1813</f>
        <v/>
      </c>
      <c r="AB2223" s="21">
        <f>-$B$1812</f>
        <v/>
      </c>
      <c r="AC2223" s="21">
        <f>$B$1814</f>
        <v/>
      </c>
      <c r="AD2223" s="21" t="n">
        <v>0</v>
      </c>
      <c r="AE2223" s="21" t="n">
        <v>0</v>
      </c>
      <c r="AF2223" s="21" t="n">
        <v>0</v>
      </c>
      <c r="AG2223" s="21" t="n">
        <v>0</v>
      </c>
      <c r="AH2223" s="21" t="n">
        <v>0</v>
      </c>
      <c r="AI2223" s="21" t="n">
        <v>0</v>
      </c>
      <c r="AJ2223" s="21" t="n">
        <v>0</v>
      </c>
      <c r="AK2223" s="21" t="n">
        <v>0</v>
      </c>
      <c r="AL2223" s="21" t="n">
        <v>0</v>
      </c>
      <c r="AM2223" s="21" t="n">
        <v>0</v>
      </c>
      <c r="AN2223" s="21" t="n">
        <v>0</v>
      </c>
      <c r="AO2223" s="21" t="n">
        <v>0</v>
      </c>
      <c r="AP2223" s="21" t="n">
        <v>0</v>
      </c>
      <c r="AQ2223" s="21" t="n">
        <v>0</v>
      </c>
      <c r="AR2223" s="21" t="n">
        <v>0</v>
      </c>
      <c r="AS2223" s="21" t="n">
        <v>0</v>
      </c>
      <c r="AT2223" s="19" t="n"/>
    </row>
    <row r="2224">
      <c r="D2224" s="21" t="n">
        <v>0</v>
      </c>
      <c r="E2224" s="21" t="n">
        <v>0</v>
      </c>
      <c r="F2224" s="21" t="n">
        <v>0</v>
      </c>
      <c r="G2224" s="21" t="n">
        <v>0</v>
      </c>
      <c r="H2224" s="21" t="n">
        <v>0</v>
      </c>
      <c r="I2224" s="21" t="n">
        <v>0</v>
      </c>
      <c r="J2224" s="21" t="n">
        <v>0</v>
      </c>
      <c r="K2224" s="21" t="n">
        <v>0</v>
      </c>
      <c r="L2224" s="21" t="n">
        <v>0</v>
      </c>
      <c r="M2224" s="21" t="n">
        <v>0</v>
      </c>
      <c r="N2224" s="21" t="n">
        <v>0</v>
      </c>
      <c r="O2224" s="21" t="n">
        <v>0</v>
      </c>
      <c r="P2224" s="21" t="n">
        <v>0</v>
      </c>
      <c r="Q2224" s="21" t="n">
        <v>0</v>
      </c>
      <c r="R2224" s="21" t="n">
        <v>0</v>
      </c>
      <c r="S2224" s="21" t="n">
        <v>0</v>
      </c>
      <c r="T2224" s="21" t="n">
        <v>0</v>
      </c>
      <c r="U2224" s="21" t="n">
        <v>0</v>
      </c>
      <c r="V2224" s="21" t="n">
        <v>0</v>
      </c>
      <c r="W2224" s="21" t="n">
        <v>0</v>
      </c>
      <c r="X2224" s="21" t="n">
        <v>0</v>
      </c>
      <c r="Y2224" s="21" t="n">
        <v>0</v>
      </c>
      <c r="Z2224" s="21">
        <f>-$B$1811</f>
        <v/>
      </c>
      <c r="AA2224" s="21">
        <f>-$B$1812</f>
        <v/>
      </c>
      <c r="AB2224" s="21">
        <f>2*$B$1811+$D$2190</f>
        <v/>
      </c>
      <c r="AC2224" s="21">
        <f>0</f>
        <v/>
      </c>
      <c r="AD2224" s="21">
        <f>-$B$1811</f>
        <v/>
      </c>
      <c r="AE2224" s="21">
        <f>$B$1812</f>
        <v/>
      </c>
      <c r="AF2224" s="21" t="n">
        <v>0</v>
      </c>
      <c r="AG2224" s="21" t="n">
        <v>0</v>
      </c>
      <c r="AH2224" s="21" t="n">
        <v>0</v>
      </c>
      <c r="AI2224" s="21" t="n">
        <v>0</v>
      </c>
      <c r="AJ2224" s="21" t="n">
        <v>0</v>
      </c>
      <c r="AK2224" s="21" t="n">
        <v>0</v>
      </c>
      <c r="AL2224" s="21" t="n">
        <v>0</v>
      </c>
      <c r="AM2224" s="21" t="n">
        <v>0</v>
      </c>
      <c r="AN2224" s="21" t="n">
        <v>0</v>
      </c>
      <c r="AO2224" s="21" t="n">
        <v>0</v>
      </c>
      <c r="AP2224" s="21" t="n">
        <v>0</v>
      </c>
      <c r="AQ2224" s="21" t="n">
        <v>0</v>
      </c>
      <c r="AR2224" s="21" t="n">
        <v>0</v>
      </c>
      <c r="AS2224" s="21" t="n">
        <v>0</v>
      </c>
      <c r="AT2224" s="19" t="n"/>
    </row>
    <row r="2225">
      <c r="D2225" s="21" t="n">
        <v>0</v>
      </c>
      <c r="E2225" s="21" t="n">
        <v>0</v>
      </c>
      <c r="F2225" s="21" t="n">
        <v>0</v>
      </c>
      <c r="G2225" s="21" t="n">
        <v>0</v>
      </c>
      <c r="H2225" s="21" t="n">
        <v>0</v>
      </c>
      <c r="I2225" s="21" t="n">
        <v>0</v>
      </c>
      <c r="J2225" s="21" t="n">
        <v>0</v>
      </c>
      <c r="K2225" s="21" t="n">
        <v>0</v>
      </c>
      <c r="L2225" s="21" t="n">
        <v>0</v>
      </c>
      <c r="M2225" s="21" t="n">
        <v>0</v>
      </c>
      <c r="N2225" s="21" t="n">
        <v>0</v>
      </c>
      <c r="O2225" s="21" t="n">
        <v>0</v>
      </c>
      <c r="P2225" s="21" t="n">
        <v>0</v>
      </c>
      <c r="Q2225" s="21" t="n">
        <v>0</v>
      </c>
      <c r="R2225" s="21" t="n">
        <v>0</v>
      </c>
      <c r="S2225" s="21" t="n">
        <v>0</v>
      </c>
      <c r="T2225" s="21" t="n">
        <v>0</v>
      </c>
      <c r="U2225" s="21" t="n">
        <v>0</v>
      </c>
      <c r="V2225" s="21" t="n">
        <v>0</v>
      </c>
      <c r="W2225" s="21" t="n">
        <v>0</v>
      </c>
      <c r="X2225" s="21" t="n">
        <v>0</v>
      </c>
      <c r="Y2225" s="21" t="n">
        <v>0</v>
      </c>
      <c r="Z2225" s="21">
        <f>$B$1812</f>
        <v/>
      </c>
      <c r="AA2225" s="21">
        <f>$B$1814</f>
        <v/>
      </c>
      <c r="AB2225" s="21">
        <f>0</f>
        <v/>
      </c>
      <c r="AC2225" s="21">
        <f>2*$B$1813</f>
        <v/>
      </c>
      <c r="AD2225" s="21">
        <f>-$B$1812</f>
        <v/>
      </c>
      <c r="AE2225" s="21">
        <f>$B$1814</f>
        <v/>
      </c>
      <c r="AF2225" s="21" t="n">
        <v>0</v>
      </c>
      <c r="AG2225" s="21" t="n">
        <v>0</v>
      </c>
      <c r="AH2225" s="21" t="n">
        <v>0</v>
      </c>
      <c r="AI2225" s="21" t="n">
        <v>0</v>
      </c>
      <c r="AJ2225" s="21" t="n">
        <v>0</v>
      </c>
      <c r="AK2225" s="21" t="n">
        <v>0</v>
      </c>
      <c r="AL2225" s="21" t="n">
        <v>0</v>
      </c>
      <c r="AM2225" s="21" t="n">
        <v>0</v>
      </c>
      <c r="AN2225" s="21" t="n">
        <v>0</v>
      </c>
      <c r="AO2225" s="21" t="n">
        <v>0</v>
      </c>
      <c r="AP2225" s="21" t="n">
        <v>0</v>
      </c>
      <c r="AQ2225" s="21" t="n">
        <v>0</v>
      </c>
      <c r="AR2225" s="21" t="n">
        <v>0</v>
      </c>
      <c r="AS2225" s="21" t="n">
        <v>0</v>
      </c>
      <c r="AT2225" s="19" t="n"/>
    </row>
    <row r="2226">
      <c r="D2226" s="21" t="n">
        <v>0</v>
      </c>
      <c r="E2226" s="21" t="n">
        <v>0</v>
      </c>
      <c r="F2226" s="21" t="n">
        <v>0</v>
      </c>
      <c r="G2226" s="21" t="n">
        <v>0</v>
      </c>
      <c r="H2226" s="21" t="n">
        <v>0</v>
      </c>
      <c r="I2226" s="21" t="n">
        <v>0</v>
      </c>
      <c r="J2226" s="21" t="n">
        <v>0</v>
      </c>
      <c r="K2226" s="21" t="n">
        <v>0</v>
      </c>
      <c r="L2226" s="21" t="n">
        <v>0</v>
      </c>
      <c r="M2226" s="21" t="n">
        <v>0</v>
      </c>
      <c r="N2226" s="21" t="n">
        <v>0</v>
      </c>
      <c r="O2226" s="21" t="n">
        <v>0</v>
      </c>
      <c r="P2226" s="21" t="n">
        <v>0</v>
      </c>
      <c r="Q2226" s="21" t="n">
        <v>0</v>
      </c>
      <c r="R2226" s="21" t="n">
        <v>0</v>
      </c>
      <c r="S2226" s="21" t="n">
        <v>0</v>
      </c>
      <c r="T2226" s="21" t="n">
        <v>0</v>
      </c>
      <c r="U2226" s="21" t="n">
        <v>0</v>
      </c>
      <c r="V2226" s="21" t="n">
        <v>0</v>
      </c>
      <c r="W2226" s="21" t="n">
        <v>0</v>
      </c>
      <c r="X2226" s="21" t="n">
        <v>0</v>
      </c>
      <c r="Y2226" s="21" t="n">
        <v>0</v>
      </c>
      <c r="Z2226" s="21" t="n">
        <v>0</v>
      </c>
      <c r="AA2226" s="21" t="n">
        <v>0</v>
      </c>
      <c r="AB2226" s="21">
        <f>-$B$1811</f>
        <v/>
      </c>
      <c r="AC2226" s="21">
        <f>-$B$1812</f>
        <v/>
      </c>
      <c r="AD2226" s="21">
        <f>2*$B$1811+$D$2191</f>
        <v/>
      </c>
      <c r="AE2226" s="21">
        <f>0</f>
        <v/>
      </c>
      <c r="AF2226" s="21">
        <f>-$B$1811</f>
        <v/>
      </c>
      <c r="AG2226" s="21">
        <f>$B$1812</f>
        <v/>
      </c>
      <c r="AH2226" s="21" t="n">
        <v>0</v>
      </c>
      <c r="AI2226" s="21" t="n">
        <v>0</v>
      </c>
      <c r="AJ2226" s="21" t="n">
        <v>0</v>
      </c>
      <c r="AK2226" s="21" t="n">
        <v>0</v>
      </c>
      <c r="AL2226" s="21" t="n">
        <v>0</v>
      </c>
      <c r="AM2226" s="21" t="n">
        <v>0</v>
      </c>
      <c r="AN2226" s="21" t="n">
        <v>0</v>
      </c>
      <c r="AO2226" s="21" t="n">
        <v>0</v>
      </c>
      <c r="AP2226" s="21" t="n">
        <v>0</v>
      </c>
      <c r="AQ2226" s="21" t="n">
        <v>0</v>
      </c>
      <c r="AR2226" s="21" t="n">
        <v>0</v>
      </c>
      <c r="AS2226" s="21" t="n">
        <v>0</v>
      </c>
      <c r="AT2226" s="19" t="n"/>
    </row>
    <row r="2227">
      <c r="D2227" s="21" t="n">
        <v>0</v>
      </c>
      <c r="E2227" s="21" t="n">
        <v>0</v>
      </c>
      <c r="F2227" s="21" t="n">
        <v>0</v>
      </c>
      <c r="G2227" s="21" t="n">
        <v>0</v>
      </c>
      <c r="H2227" s="21" t="n">
        <v>0</v>
      </c>
      <c r="I2227" s="21" t="n">
        <v>0</v>
      </c>
      <c r="J2227" s="21" t="n">
        <v>0</v>
      </c>
      <c r="K2227" s="21" t="n">
        <v>0</v>
      </c>
      <c r="L2227" s="21" t="n">
        <v>0</v>
      </c>
      <c r="M2227" s="21" t="n">
        <v>0</v>
      </c>
      <c r="N2227" s="21" t="n">
        <v>0</v>
      </c>
      <c r="O2227" s="21" t="n">
        <v>0</v>
      </c>
      <c r="P2227" s="21" t="n">
        <v>0</v>
      </c>
      <c r="Q2227" s="21" t="n">
        <v>0</v>
      </c>
      <c r="R2227" s="21" t="n">
        <v>0</v>
      </c>
      <c r="S2227" s="21" t="n">
        <v>0</v>
      </c>
      <c r="T2227" s="21" t="n">
        <v>0</v>
      </c>
      <c r="U2227" s="21" t="n">
        <v>0</v>
      </c>
      <c r="V2227" s="21" t="n">
        <v>0</v>
      </c>
      <c r="W2227" s="21" t="n">
        <v>0</v>
      </c>
      <c r="X2227" s="21" t="n">
        <v>0</v>
      </c>
      <c r="Y2227" s="21" t="n">
        <v>0</v>
      </c>
      <c r="Z2227" s="21" t="n">
        <v>0</v>
      </c>
      <c r="AA2227" s="21" t="n">
        <v>0</v>
      </c>
      <c r="AB2227" s="21">
        <f>$B$1812</f>
        <v/>
      </c>
      <c r="AC2227" s="21">
        <f>$B$1814</f>
        <v/>
      </c>
      <c r="AD2227" s="21">
        <f>0</f>
        <v/>
      </c>
      <c r="AE2227" s="21">
        <f>2*$B$1813</f>
        <v/>
      </c>
      <c r="AF2227" s="21">
        <f>-$B$1812</f>
        <v/>
      </c>
      <c r="AG2227" s="21">
        <f>$B$1814</f>
        <v/>
      </c>
      <c r="AH2227" s="21" t="n">
        <v>0</v>
      </c>
      <c r="AI2227" s="21" t="n">
        <v>0</v>
      </c>
      <c r="AJ2227" s="21" t="n">
        <v>0</v>
      </c>
      <c r="AK2227" s="21" t="n">
        <v>0</v>
      </c>
      <c r="AL2227" s="21" t="n">
        <v>0</v>
      </c>
      <c r="AM2227" s="21" t="n">
        <v>0</v>
      </c>
      <c r="AN2227" s="21" t="n">
        <v>0</v>
      </c>
      <c r="AO2227" s="21" t="n">
        <v>0</v>
      </c>
      <c r="AP2227" s="21" t="n">
        <v>0</v>
      </c>
      <c r="AQ2227" s="21" t="n">
        <v>0</v>
      </c>
      <c r="AR2227" s="21" t="n">
        <v>0</v>
      </c>
      <c r="AS2227" s="21" t="n">
        <v>0</v>
      </c>
      <c r="AT2227" s="19" t="n"/>
    </row>
    <row r="2228">
      <c r="D2228" s="21" t="n">
        <v>0</v>
      </c>
      <c r="E2228" s="21" t="n">
        <v>0</v>
      </c>
      <c r="F2228" s="21" t="n">
        <v>0</v>
      </c>
      <c r="G2228" s="21" t="n">
        <v>0</v>
      </c>
      <c r="H2228" s="21" t="n">
        <v>0</v>
      </c>
      <c r="I2228" s="21" t="n">
        <v>0</v>
      </c>
      <c r="J2228" s="21" t="n">
        <v>0</v>
      </c>
      <c r="K2228" s="21" t="n">
        <v>0</v>
      </c>
      <c r="L2228" s="21" t="n">
        <v>0</v>
      </c>
      <c r="M2228" s="21" t="n">
        <v>0</v>
      </c>
      <c r="N2228" s="21" t="n">
        <v>0</v>
      </c>
      <c r="O2228" s="21" t="n">
        <v>0</v>
      </c>
      <c r="P2228" s="21" t="n">
        <v>0</v>
      </c>
      <c r="Q2228" s="21" t="n">
        <v>0</v>
      </c>
      <c r="R2228" s="21" t="n">
        <v>0</v>
      </c>
      <c r="S2228" s="21" t="n">
        <v>0</v>
      </c>
      <c r="T2228" s="21" t="n">
        <v>0</v>
      </c>
      <c r="U2228" s="21" t="n">
        <v>0</v>
      </c>
      <c r="V2228" s="21" t="n">
        <v>0</v>
      </c>
      <c r="W2228" s="21" t="n">
        <v>0</v>
      </c>
      <c r="X2228" s="21" t="n">
        <v>0</v>
      </c>
      <c r="Y2228" s="21" t="n">
        <v>0</v>
      </c>
      <c r="Z2228" s="21" t="n">
        <v>0</v>
      </c>
      <c r="AA2228" s="21" t="n">
        <v>0</v>
      </c>
      <c r="AB2228" s="21" t="n">
        <v>0</v>
      </c>
      <c r="AC2228" s="21" t="n">
        <v>0</v>
      </c>
      <c r="AD2228" s="21">
        <f>-$B$1811</f>
        <v/>
      </c>
      <c r="AE2228" s="21">
        <f>-$B$1812</f>
        <v/>
      </c>
      <c r="AF2228" s="21">
        <f>2*$B$1811+$D$2192</f>
        <v/>
      </c>
      <c r="AG2228" s="21">
        <f>0</f>
        <v/>
      </c>
      <c r="AH2228" s="21">
        <f>-$B$1811</f>
        <v/>
      </c>
      <c r="AI2228" s="21">
        <f>$B$1812</f>
        <v/>
      </c>
      <c r="AJ2228" s="21" t="n">
        <v>0</v>
      </c>
      <c r="AK2228" s="21" t="n">
        <v>0</v>
      </c>
      <c r="AL2228" s="21" t="n">
        <v>0</v>
      </c>
      <c r="AM2228" s="21" t="n">
        <v>0</v>
      </c>
      <c r="AN2228" s="21" t="n">
        <v>0</v>
      </c>
      <c r="AO2228" s="21" t="n">
        <v>0</v>
      </c>
      <c r="AP2228" s="21" t="n">
        <v>0</v>
      </c>
      <c r="AQ2228" s="21" t="n">
        <v>0</v>
      </c>
      <c r="AR2228" s="21" t="n">
        <v>0</v>
      </c>
      <c r="AS2228" s="21" t="n">
        <v>0</v>
      </c>
      <c r="AT2228" s="19" t="n"/>
    </row>
    <row r="2229">
      <c r="D2229" s="21" t="n">
        <v>0</v>
      </c>
      <c r="E2229" s="21" t="n">
        <v>0</v>
      </c>
      <c r="F2229" s="21" t="n">
        <v>0</v>
      </c>
      <c r="G2229" s="21" t="n">
        <v>0</v>
      </c>
      <c r="H2229" s="21" t="n">
        <v>0</v>
      </c>
      <c r="I2229" s="21" t="n">
        <v>0</v>
      </c>
      <c r="J2229" s="21" t="n">
        <v>0</v>
      </c>
      <c r="K2229" s="21" t="n">
        <v>0</v>
      </c>
      <c r="L2229" s="21" t="n">
        <v>0</v>
      </c>
      <c r="M2229" s="21" t="n">
        <v>0</v>
      </c>
      <c r="N2229" s="21" t="n">
        <v>0</v>
      </c>
      <c r="O2229" s="21" t="n">
        <v>0</v>
      </c>
      <c r="P2229" s="21" t="n">
        <v>0</v>
      </c>
      <c r="Q2229" s="21" t="n">
        <v>0</v>
      </c>
      <c r="R2229" s="21" t="n">
        <v>0</v>
      </c>
      <c r="S2229" s="21" t="n">
        <v>0</v>
      </c>
      <c r="T2229" s="21" t="n">
        <v>0</v>
      </c>
      <c r="U2229" s="21" t="n">
        <v>0</v>
      </c>
      <c r="V2229" s="21" t="n">
        <v>0</v>
      </c>
      <c r="W2229" s="21" t="n">
        <v>0</v>
      </c>
      <c r="X2229" s="21" t="n">
        <v>0</v>
      </c>
      <c r="Y2229" s="21" t="n">
        <v>0</v>
      </c>
      <c r="Z2229" s="21" t="n">
        <v>0</v>
      </c>
      <c r="AA2229" s="21" t="n">
        <v>0</v>
      </c>
      <c r="AB2229" s="21" t="n">
        <v>0</v>
      </c>
      <c r="AC2229" s="21" t="n">
        <v>0</v>
      </c>
      <c r="AD2229" s="21">
        <f>$B$1812</f>
        <v/>
      </c>
      <c r="AE2229" s="21">
        <f>$B$1814</f>
        <v/>
      </c>
      <c r="AF2229" s="21">
        <f>0</f>
        <v/>
      </c>
      <c r="AG2229" s="21">
        <f>2*$B$1813</f>
        <v/>
      </c>
      <c r="AH2229" s="21">
        <f>-$B$1812</f>
        <v/>
      </c>
      <c r="AI2229" s="21">
        <f>$B$1814</f>
        <v/>
      </c>
      <c r="AJ2229" s="21" t="n">
        <v>0</v>
      </c>
      <c r="AK2229" s="21" t="n">
        <v>0</v>
      </c>
      <c r="AL2229" s="21" t="n">
        <v>0</v>
      </c>
      <c r="AM2229" s="21" t="n">
        <v>0</v>
      </c>
      <c r="AN2229" s="21" t="n">
        <v>0</v>
      </c>
      <c r="AO2229" s="21" t="n">
        <v>0</v>
      </c>
      <c r="AP2229" s="21" t="n">
        <v>0</v>
      </c>
      <c r="AQ2229" s="21" t="n">
        <v>0</v>
      </c>
      <c r="AR2229" s="21" t="n">
        <v>0</v>
      </c>
      <c r="AS2229" s="21" t="n">
        <v>0</v>
      </c>
      <c r="AT2229" s="19" t="n"/>
    </row>
    <row r="2230">
      <c r="D2230" s="21" t="n">
        <v>0</v>
      </c>
      <c r="E2230" s="21" t="n">
        <v>0</v>
      </c>
      <c r="F2230" s="21" t="n">
        <v>0</v>
      </c>
      <c r="G2230" s="21" t="n">
        <v>0</v>
      </c>
      <c r="H2230" s="21" t="n">
        <v>0</v>
      </c>
      <c r="I2230" s="21" t="n">
        <v>0</v>
      </c>
      <c r="J2230" s="21" t="n">
        <v>0</v>
      </c>
      <c r="K2230" s="21" t="n">
        <v>0</v>
      </c>
      <c r="L2230" s="21" t="n">
        <v>0</v>
      </c>
      <c r="M2230" s="21" t="n">
        <v>0</v>
      </c>
      <c r="N2230" s="21" t="n">
        <v>0</v>
      </c>
      <c r="O2230" s="21" t="n">
        <v>0</v>
      </c>
      <c r="P2230" s="21" t="n">
        <v>0</v>
      </c>
      <c r="Q2230" s="21" t="n">
        <v>0</v>
      </c>
      <c r="R2230" s="21" t="n">
        <v>0</v>
      </c>
      <c r="S2230" s="21" t="n">
        <v>0</v>
      </c>
      <c r="T2230" s="21" t="n">
        <v>0</v>
      </c>
      <c r="U2230" s="21" t="n">
        <v>0</v>
      </c>
      <c r="V2230" s="21" t="n">
        <v>0</v>
      </c>
      <c r="W2230" s="21" t="n">
        <v>0</v>
      </c>
      <c r="X2230" s="21" t="n">
        <v>0</v>
      </c>
      <c r="Y2230" s="21" t="n">
        <v>0</v>
      </c>
      <c r="Z2230" s="21" t="n">
        <v>0</v>
      </c>
      <c r="AA2230" s="21" t="n">
        <v>0</v>
      </c>
      <c r="AB2230" s="21" t="n">
        <v>0</v>
      </c>
      <c r="AC2230" s="21" t="n">
        <v>0</v>
      </c>
      <c r="AD2230" s="21" t="n">
        <v>0</v>
      </c>
      <c r="AE2230" s="21" t="n">
        <v>0</v>
      </c>
      <c r="AF2230" s="21">
        <f>-$B$1811</f>
        <v/>
      </c>
      <c r="AG2230" s="21">
        <f>-$B$1812</f>
        <v/>
      </c>
      <c r="AH2230" s="21">
        <f>2*$B$1811+$D$2193</f>
        <v/>
      </c>
      <c r="AI2230" s="21">
        <f>0</f>
        <v/>
      </c>
      <c r="AJ2230" s="21">
        <f>-$B$1811</f>
        <v/>
      </c>
      <c r="AK2230" s="21">
        <f>$B$1812</f>
        <v/>
      </c>
      <c r="AL2230" s="21" t="n">
        <v>0</v>
      </c>
      <c r="AM2230" s="21" t="n">
        <v>0</v>
      </c>
      <c r="AN2230" s="21" t="n">
        <v>0</v>
      </c>
      <c r="AO2230" s="21" t="n">
        <v>0</v>
      </c>
      <c r="AP2230" s="21" t="n">
        <v>0</v>
      </c>
      <c r="AQ2230" s="21" t="n">
        <v>0</v>
      </c>
      <c r="AR2230" s="21" t="n">
        <v>0</v>
      </c>
      <c r="AS2230" s="21" t="n">
        <v>0</v>
      </c>
      <c r="AT2230" s="19" t="n"/>
    </row>
    <row r="2231">
      <c r="D2231" s="21" t="n">
        <v>0</v>
      </c>
      <c r="E2231" s="21" t="n">
        <v>0</v>
      </c>
      <c r="F2231" s="21" t="n">
        <v>0</v>
      </c>
      <c r="G2231" s="21" t="n">
        <v>0</v>
      </c>
      <c r="H2231" s="21" t="n">
        <v>0</v>
      </c>
      <c r="I2231" s="21" t="n">
        <v>0</v>
      </c>
      <c r="J2231" s="21" t="n">
        <v>0</v>
      </c>
      <c r="K2231" s="21" t="n">
        <v>0</v>
      </c>
      <c r="L2231" s="21" t="n">
        <v>0</v>
      </c>
      <c r="M2231" s="21" t="n">
        <v>0</v>
      </c>
      <c r="N2231" s="21" t="n">
        <v>0</v>
      </c>
      <c r="O2231" s="21" t="n">
        <v>0</v>
      </c>
      <c r="P2231" s="21" t="n">
        <v>0</v>
      </c>
      <c r="Q2231" s="21" t="n">
        <v>0</v>
      </c>
      <c r="R2231" s="21" t="n">
        <v>0</v>
      </c>
      <c r="S2231" s="21" t="n">
        <v>0</v>
      </c>
      <c r="T2231" s="21" t="n">
        <v>0</v>
      </c>
      <c r="U2231" s="21" t="n">
        <v>0</v>
      </c>
      <c r="V2231" s="21" t="n">
        <v>0</v>
      </c>
      <c r="W2231" s="21" t="n">
        <v>0</v>
      </c>
      <c r="X2231" s="21" t="n">
        <v>0</v>
      </c>
      <c r="Y2231" s="21" t="n">
        <v>0</v>
      </c>
      <c r="Z2231" s="21" t="n">
        <v>0</v>
      </c>
      <c r="AA2231" s="21" t="n">
        <v>0</v>
      </c>
      <c r="AB2231" s="21" t="n">
        <v>0</v>
      </c>
      <c r="AC2231" s="21" t="n">
        <v>0</v>
      </c>
      <c r="AD2231" s="21" t="n">
        <v>0</v>
      </c>
      <c r="AE2231" s="21" t="n">
        <v>0</v>
      </c>
      <c r="AF2231" s="21">
        <f>$B$1812</f>
        <v/>
      </c>
      <c r="AG2231" s="21">
        <f>$B$1814</f>
        <v/>
      </c>
      <c r="AH2231" s="21">
        <f>0</f>
        <v/>
      </c>
      <c r="AI2231" s="21">
        <f>2*$B$1813</f>
        <v/>
      </c>
      <c r="AJ2231" s="21">
        <f>-$B$1812</f>
        <v/>
      </c>
      <c r="AK2231" s="21">
        <f>$B$1814</f>
        <v/>
      </c>
      <c r="AL2231" s="21" t="n">
        <v>0</v>
      </c>
      <c r="AM2231" s="21" t="n">
        <v>0</v>
      </c>
      <c r="AN2231" s="21" t="n">
        <v>0</v>
      </c>
      <c r="AO2231" s="21" t="n">
        <v>0</v>
      </c>
      <c r="AP2231" s="21" t="n">
        <v>0</v>
      </c>
      <c r="AQ2231" s="21" t="n">
        <v>0</v>
      </c>
      <c r="AR2231" s="21" t="n">
        <v>0</v>
      </c>
      <c r="AS2231" s="21" t="n">
        <v>0</v>
      </c>
      <c r="AT2231" s="19" t="n"/>
    </row>
    <row r="2232">
      <c r="D2232" s="21" t="n">
        <v>0</v>
      </c>
      <c r="E2232" s="21" t="n">
        <v>0</v>
      </c>
      <c r="F2232" s="21" t="n">
        <v>0</v>
      </c>
      <c r="G2232" s="21" t="n">
        <v>0</v>
      </c>
      <c r="H2232" s="21" t="n">
        <v>0</v>
      </c>
      <c r="I2232" s="21" t="n">
        <v>0</v>
      </c>
      <c r="J2232" s="21" t="n">
        <v>0</v>
      </c>
      <c r="K2232" s="21" t="n">
        <v>0</v>
      </c>
      <c r="L2232" s="21" t="n">
        <v>0</v>
      </c>
      <c r="M2232" s="21" t="n">
        <v>0</v>
      </c>
      <c r="N2232" s="21" t="n">
        <v>0</v>
      </c>
      <c r="O2232" s="21" t="n">
        <v>0</v>
      </c>
      <c r="P2232" s="21" t="n">
        <v>0</v>
      </c>
      <c r="Q2232" s="21" t="n">
        <v>0</v>
      </c>
      <c r="R2232" s="21" t="n">
        <v>0</v>
      </c>
      <c r="S2232" s="21" t="n">
        <v>0</v>
      </c>
      <c r="T2232" s="21" t="n">
        <v>0</v>
      </c>
      <c r="U2232" s="21" t="n">
        <v>0</v>
      </c>
      <c r="V2232" s="21" t="n">
        <v>0</v>
      </c>
      <c r="W2232" s="21" t="n">
        <v>0</v>
      </c>
      <c r="X2232" s="21" t="n">
        <v>0</v>
      </c>
      <c r="Y2232" s="21" t="n">
        <v>0</v>
      </c>
      <c r="Z2232" s="21" t="n">
        <v>0</v>
      </c>
      <c r="AA2232" s="21" t="n">
        <v>0</v>
      </c>
      <c r="AB2232" s="21" t="n">
        <v>0</v>
      </c>
      <c r="AC2232" s="21" t="n">
        <v>0</v>
      </c>
      <c r="AD2232" s="21" t="n">
        <v>0</v>
      </c>
      <c r="AE2232" s="21" t="n">
        <v>0</v>
      </c>
      <c r="AF2232" s="21" t="n">
        <v>0</v>
      </c>
      <c r="AG2232" s="21" t="n">
        <v>0</v>
      </c>
      <c r="AH2232" s="21">
        <f>-$B$1811</f>
        <v/>
      </c>
      <c r="AI2232" s="21">
        <f>-$B$1812</f>
        <v/>
      </c>
      <c r="AJ2232" s="21">
        <f>2*$B$1811+$D$2194</f>
        <v/>
      </c>
      <c r="AK2232" s="21">
        <f>0</f>
        <v/>
      </c>
      <c r="AL2232" s="21">
        <f>-$B$1811</f>
        <v/>
      </c>
      <c r="AM2232" s="21">
        <f>$B$1812</f>
        <v/>
      </c>
      <c r="AN2232" s="21" t="n">
        <v>0</v>
      </c>
      <c r="AO2232" s="21" t="n">
        <v>0</v>
      </c>
      <c r="AP2232" s="21" t="n">
        <v>0</v>
      </c>
      <c r="AQ2232" s="21" t="n">
        <v>0</v>
      </c>
      <c r="AR2232" s="21" t="n">
        <v>0</v>
      </c>
      <c r="AS2232" s="21" t="n">
        <v>0</v>
      </c>
      <c r="AT2232" s="19" t="n"/>
    </row>
    <row r="2233">
      <c r="D2233" s="21" t="n">
        <v>0</v>
      </c>
      <c r="E2233" s="21" t="n">
        <v>0</v>
      </c>
      <c r="F2233" s="21" t="n">
        <v>0</v>
      </c>
      <c r="G2233" s="21" t="n">
        <v>0</v>
      </c>
      <c r="H2233" s="21" t="n">
        <v>0</v>
      </c>
      <c r="I2233" s="21" t="n">
        <v>0</v>
      </c>
      <c r="J2233" s="21" t="n">
        <v>0</v>
      </c>
      <c r="K2233" s="21" t="n">
        <v>0</v>
      </c>
      <c r="L2233" s="21" t="n">
        <v>0</v>
      </c>
      <c r="M2233" s="21" t="n">
        <v>0</v>
      </c>
      <c r="N2233" s="21" t="n">
        <v>0</v>
      </c>
      <c r="O2233" s="21" t="n">
        <v>0</v>
      </c>
      <c r="P2233" s="21" t="n">
        <v>0</v>
      </c>
      <c r="Q2233" s="21" t="n">
        <v>0</v>
      </c>
      <c r="R2233" s="21" t="n">
        <v>0</v>
      </c>
      <c r="S2233" s="21" t="n">
        <v>0</v>
      </c>
      <c r="T2233" s="21" t="n">
        <v>0</v>
      </c>
      <c r="U2233" s="21" t="n">
        <v>0</v>
      </c>
      <c r="V2233" s="21" t="n">
        <v>0</v>
      </c>
      <c r="W2233" s="21" t="n">
        <v>0</v>
      </c>
      <c r="X2233" s="21" t="n">
        <v>0</v>
      </c>
      <c r="Y2233" s="21" t="n">
        <v>0</v>
      </c>
      <c r="Z2233" s="21" t="n">
        <v>0</v>
      </c>
      <c r="AA2233" s="21" t="n">
        <v>0</v>
      </c>
      <c r="AB2233" s="21" t="n">
        <v>0</v>
      </c>
      <c r="AC2233" s="21" t="n">
        <v>0</v>
      </c>
      <c r="AD2233" s="21" t="n">
        <v>0</v>
      </c>
      <c r="AE2233" s="21" t="n">
        <v>0</v>
      </c>
      <c r="AF2233" s="21" t="n">
        <v>0</v>
      </c>
      <c r="AG2233" s="21" t="n">
        <v>0</v>
      </c>
      <c r="AH2233" s="21">
        <f>$B$1812</f>
        <v/>
      </c>
      <c r="AI2233" s="21">
        <f>$B$1814</f>
        <v/>
      </c>
      <c r="AJ2233" s="21">
        <f>0</f>
        <v/>
      </c>
      <c r="AK2233" s="21">
        <f>2*$B$1813</f>
        <v/>
      </c>
      <c r="AL2233" s="21">
        <f>-$B$1812</f>
        <v/>
      </c>
      <c r="AM2233" s="21">
        <f>$B$1814</f>
        <v/>
      </c>
      <c r="AN2233" s="21" t="n">
        <v>0</v>
      </c>
      <c r="AO2233" s="21" t="n">
        <v>0</v>
      </c>
      <c r="AP2233" s="21" t="n">
        <v>0</v>
      </c>
      <c r="AQ2233" s="21" t="n">
        <v>0</v>
      </c>
      <c r="AR2233" s="21" t="n">
        <v>0</v>
      </c>
      <c r="AS2233" s="21" t="n">
        <v>0</v>
      </c>
      <c r="AT2233" s="19" t="n"/>
    </row>
    <row r="2234">
      <c r="D2234" s="21" t="n">
        <v>0</v>
      </c>
      <c r="E2234" s="21" t="n">
        <v>0</v>
      </c>
      <c r="F2234" s="21" t="n">
        <v>0</v>
      </c>
      <c r="G2234" s="21" t="n">
        <v>0</v>
      </c>
      <c r="H2234" s="21" t="n">
        <v>0</v>
      </c>
      <c r="I2234" s="21" t="n">
        <v>0</v>
      </c>
      <c r="J2234" s="21" t="n">
        <v>0</v>
      </c>
      <c r="K2234" s="21" t="n">
        <v>0</v>
      </c>
      <c r="L2234" s="21" t="n">
        <v>0</v>
      </c>
      <c r="M2234" s="21" t="n">
        <v>0</v>
      </c>
      <c r="N2234" s="21" t="n">
        <v>0</v>
      </c>
      <c r="O2234" s="21" t="n">
        <v>0</v>
      </c>
      <c r="P2234" s="21" t="n">
        <v>0</v>
      </c>
      <c r="Q2234" s="21" t="n">
        <v>0</v>
      </c>
      <c r="R2234" s="21" t="n">
        <v>0</v>
      </c>
      <c r="S2234" s="21" t="n">
        <v>0</v>
      </c>
      <c r="T2234" s="21" t="n">
        <v>0</v>
      </c>
      <c r="U2234" s="21" t="n">
        <v>0</v>
      </c>
      <c r="V2234" s="21" t="n">
        <v>0</v>
      </c>
      <c r="W2234" s="21" t="n">
        <v>0</v>
      </c>
      <c r="X2234" s="21" t="n">
        <v>0</v>
      </c>
      <c r="Y2234" s="21" t="n">
        <v>0</v>
      </c>
      <c r="Z2234" s="21" t="n">
        <v>0</v>
      </c>
      <c r="AA2234" s="21" t="n">
        <v>0</v>
      </c>
      <c r="AB2234" s="21" t="n">
        <v>0</v>
      </c>
      <c r="AC2234" s="21" t="n">
        <v>0</v>
      </c>
      <c r="AD2234" s="21" t="n">
        <v>0</v>
      </c>
      <c r="AE2234" s="21" t="n">
        <v>0</v>
      </c>
      <c r="AF2234" s="21" t="n">
        <v>0</v>
      </c>
      <c r="AG2234" s="21" t="n">
        <v>0</v>
      </c>
      <c r="AH2234" s="21" t="n">
        <v>0</v>
      </c>
      <c r="AI2234" s="21" t="n">
        <v>0</v>
      </c>
      <c r="AJ2234" s="21">
        <f>-$B$1811</f>
        <v/>
      </c>
      <c r="AK2234" s="21">
        <f>-$B$1812</f>
        <v/>
      </c>
      <c r="AL2234" s="21">
        <f>2*$B$1811+$D$2195</f>
        <v/>
      </c>
      <c r="AM2234" s="21">
        <f>0</f>
        <v/>
      </c>
      <c r="AN2234" s="21">
        <f>-$B$1811</f>
        <v/>
      </c>
      <c r="AO2234" s="21">
        <f>$B$1812</f>
        <v/>
      </c>
      <c r="AP2234" s="21" t="n">
        <v>0</v>
      </c>
      <c r="AQ2234" s="21" t="n">
        <v>0</v>
      </c>
      <c r="AR2234" s="21" t="n">
        <v>0</v>
      </c>
      <c r="AS2234" s="21" t="n">
        <v>0</v>
      </c>
      <c r="AT2234" s="19" t="n"/>
    </row>
    <row r="2235">
      <c r="D2235" s="21" t="n">
        <v>0</v>
      </c>
      <c r="E2235" s="21" t="n">
        <v>0</v>
      </c>
      <c r="F2235" s="21" t="n">
        <v>0</v>
      </c>
      <c r="G2235" s="21" t="n">
        <v>0</v>
      </c>
      <c r="H2235" s="21" t="n">
        <v>0</v>
      </c>
      <c r="I2235" s="21" t="n">
        <v>0</v>
      </c>
      <c r="J2235" s="21" t="n">
        <v>0</v>
      </c>
      <c r="K2235" s="21" t="n">
        <v>0</v>
      </c>
      <c r="L2235" s="21" t="n">
        <v>0</v>
      </c>
      <c r="M2235" s="21" t="n">
        <v>0</v>
      </c>
      <c r="N2235" s="21" t="n">
        <v>0</v>
      </c>
      <c r="O2235" s="21" t="n">
        <v>0</v>
      </c>
      <c r="P2235" s="21" t="n">
        <v>0</v>
      </c>
      <c r="Q2235" s="21" t="n">
        <v>0</v>
      </c>
      <c r="R2235" s="21" t="n">
        <v>0</v>
      </c>
      <c r="S2235" s="21" t="n">
        <v>0</v>
      </c>
      <c r="T2235" s="21" t="n">
        <v>0</v>
      </c>
      <c r="U2235" s="21" t="n">
        <v>0</v>
      </c>
      <c r="V2235" s="21" t="n">
        <v>0</v>
      </c>
      <c r="W2235" s="21" t="n">
        <v>0</v>
      </c>
      <c r="X2235" s="21" t="n">
        <v>0</v>
      </c>
      <c r="Y2235" s="21" t="n">
        <v>0</v>
      </c>
      <c r="Z2235" s="21" t="n">
        <v>0</v>
      </c>
      <c r="AA2235" s="21" t="n">
        <v>0</v>
      </c>
      <c r="AB2235" s="21" t="n">
        <v>0</v>
      </c>
      <c r="AC2235" s="21" t="n">
        <v>0</v>
      </c>
      <c r="AD2235" s="21" t="n">
        <v>0</v>
      </c>
      <c r="AE2235" s="21" t="n">
        <v>0</v>
      </c>
      <c r="AF2235" s="21" t="n">
        <v>0</v>
      </c>
      <c r="AG2235" s="21" t="n">
        <v>0</v>
      </c>
      <c r="AH2235" s="21" t="n">
        <v>0</v>
      </c>
      <c r="AI2235" s="21" t="n">
        <v>0</v>
      </c>
      <c r="AJ2235" s="21">
        <f>$B$1812</f>
        <v/>
      </c>
      <c r="AK2235" s="21">
        <f>$B$1814</f>
        <v/>
      </c>
      <c r="AL2235" s="21">
        <f>0</f>
        <v/>
      </c>
      <c r="AM2235" s="21">
        <f>2*$B$1813</f>
        <v/>
      </c>
      <c r="AN2235" s="21">
        <f>-$B$1812</f>
        <v/>
      </c>
      <c r="AO2235" s="21">
        <f>$B$1814</f>
        <v/>
      </c>
      <c r="AP2235" s="21" t="n">
        <v>0</v>
      </c>
      <c r="AQ2235" s="21" t="n">
        <v>0</v>
      </c>
      <c r="AR2235" s="21" t="n">
        <v>0</v>
      </c>
      <c r="AS2235" s="21" t="n">
        <v>0</v>
      </c>
      <c r="AT2235" s="19" t="n"/>
    </row>
    <row r="2236">
      <c r="D2236" s="21" t="n">
        <v>0</v>
      </c>
      <c r="E2236" s="21" t="n">
        <v>0</v>
      </c>
      <c r="F2236" s="21" t="n">
        <v>0</v>
      </c>
      <c r="G2236" s="21" t="n">
        <v>0</v>
      </c>
      <c r="H2236" s="21" t="n">
        <v>0</v>
      </c>
      <c r="I2236" s="21" t="n">
        <v>0</v>
      </c>
      <c r="J2236" s="21" t="n">
        <v>0</v>
      </c>
      <c r="K2236" s="21" t="n">
        <v>0</v>
      </c>
      <c r="L2236" s="21" t="n">
        <v>0</v>
      </c>
      <c r="M2236" s="21" t="n">
        <v>0</v>
      </c>
      <c r="N2236" s="21" t="n">
        <v>0</v>
      </c>
      <c r="O2236" s="21" t="n">
        <v>0</v>
      </c>
      <c r="P2236" s="21" t="n">
        <v>0</v>
      </c>
      <c r="Q2236" s="21" t="n">
        <v>0</v>
      </c>
      <c r="R2236" s="21" t="n">
        <v>0</v>
      </c>
      <c r="S2236" s="21" t="n">
        <v>0</v>
      </c>
      <c r="T2236" s="21" t="n">
        <v>0</v>
      </c>
      <c r="U2236" s="21" t="n">
        <v>0</v>
      </c>
      <c r="V2236" s="21" t="n">
        <v>0</v>
      </c>
      <c r="W2236" s="21" t="n">
        <v>0</v>
      </c>
      <c r="X2236" s="21" t="n">
        <v>0</v>
      </c>
      <c r="Y2236" s="21" t="n">
        <v>0</v>
      </c>
      <c r="Z2236" s="21" t="n">
        <v>0</v>
      </c>
      <c r="AA2236" s="21" t="n">
        <v>0</v>
      </c>
      <c r="AB2236" s="21" t="n">
        <v>0</v>
      </c>
      <c r="AC2236" s="21" t="n">
        <v>0</v>
      </c>
      <c r="AD2236" s="21" t="n">
        <v>0</v>
      </c>
      <c r="AE2236" s="21" t="n">
        <v>0</v>
      </c>
      <c r="AF2236" s="21" t="n">
        <v>0</v>
      </c>
      <c r="AG2236" s="21" t="n">
        <v>0</v>
      </c>
      <c r="AH2236" s="21" t="n">
        <v>0</v>
      </c>
      <c r="AI2236" s="21" t="n">
        <v>0</v>
      </c>
      <c r="AJ2236" s="21" t="n">
        <v>0</v>
      </c>
      <c r="AK2236" s="21" t="n">
        <v>0</v>
      </c>
      <c r="AL2236" s="21">
        <f>-$B$1811</f>
        <v/>
      </c>
      <c r="AM2236" s="21">
        <f>-$B$1812</f>
        <v/>
      </c>
      <c r="AN2236" s="21">
        <f>2*$B$1811+$D$2196</f>
        <v/>
      </c>
      <c r="AO2236" s="21">
        <f>0</f>
        <v/>
      </c>
      <c r="AP2236" s="21">
        <f>-$B$1811</f>
        <v/>
      </c>
      <c r="AQ2236" s="21">
        <f>$B$1812</f>
        <v/>
      </c>
      <c r="AR2236" s="21" t="n">
        <v>0</v>
      </c>
      <c r="AS2236" s="21" t="n">
        <v>0</v>
      </c>
      <c r="AT2236" s="19" t="n"/>
    </row>
    <row r="2237">
      <c r="D2237" s="21" t="n">
        <v>0</v>
      </c>
      <c r="E2237" s="21" t="n">
        <v>0</v>
      </c>
      <c r="F2237" s="21" t="n">
        <v>0</v>
      </c>
      <c r="G2237" s="21" t="n">
        <v>0</v>
      </c>
      <c r="H2237" s="21" t="n">
        <v>0</v>
      </c>
      <c r="I2237" s="21" t="n">
        <v>0</v>
      </c>
      <c r="J2237" s="21" t="n">
        <v>0</v>
      </c>
      <c r="K2237" s="21" t="n">
        <v>0</v>
      </c>
      <c r="L2237" s="21" t="n">
        <v>0</v>
      </c>
      <c r="M2237" s="21" t="n">
        <v>0</v>
      </c>
      <c r="N2237" s="21" t="n">
        <v>0</v>
      </c>
      <c r="O2237" s="21" t="n">
        <v>0</v>
      </c>
      <c r="P2237" s="21" t="n">
        <v>0</v>
      </c>
      <c r="Q2237" s="21" t="n">
        <v>0</v>
      </c>
      <c r="R2237" s="21" t="n">
        <v>0</v>
      </c>
      <c r="S2237" s="21" t="n">
        <v>0</v>
      </c>
      <c r="T2237" s="21" t="n">
        <v>0</v>
      </c>
      <c r="U2237" s="21" t="n">
        <v>0</v>
      </c>
      <c r="V2237" s="21" t="n">
        <v>0</v>
      </c>
      <c r="W2237" s="21" t="n">
        <v>0</v>
      </c>
      <c r="X2237" s="21" t="n">
        <v>0</v>
      </c>
      <c r="Y2237" s="21" t="n">
        <v>0</v>
      </c>
      <c r="Z2237" s="21" t="n">
        <v>0</v>
      </c>
      <c r="AA2237" s="21" t="n">
        <v>0</v>
      </c>
      <c r="AB2237" s="21" t="n">
        <v>0</v>
      </c>
      <c r="AC2237" s="21" t="n">
        <v>0</v>
      </c>
      <c r="AD2237" s="21" t="n">
        <v>0</v>
      </c>
      <c r="AE2237" s="21" t="n">
        <v>0</v>
      </c>
      <c r="AF2237" s="21" t="n">
        <v>0</v>
      </c>
      <c r="AG2237" s="21" t="n">
        <v>0</v>
      </c>
      <c r="AH2237" s="21" t="n">
        <v>0</v>
      </c>
      <c r="AI2237" s="21" t="n">
        <v>0</v>
      </c>
      <c r="AJ2237" s="21" t="n">
        <v>0</v>
      </c>
      <c r="AK2237" s="21" t="n">
        <v>0</v>
      </c>
      <c r="AL2237" s="21">
        <f>$B$1812</f>
        <v/>
      </c>
      <c r="AM2237" s="21">
        <f>$B$1814</f>
        <v/>
      </c>
      <c r="AN2237" s="21">
        <f>0</f>
        <v/>
      </c>
      <c r="AO2237" s="21">
        <f>2*$B$1813</f>
        <v/>
      </c>
      <c r="AP2237" s="21">
        <f>-$B$1812</f>
        <v/>
      </c>
      <c r="AQ2237" s="21">
        <f>$B$1814</f>
        <v/>
      </c>
      <c r="AR2237" s="21" t="n">
        <v>0</v>
      </c>
      <c r="AS2237" s="21" t="n">
        <v>0</v>
      </c>
      <c r="AT2237" s="19" t="n"/>
    </row>
    <row r="2238">
      <c r="D2238" s="21" t="n">
        <v>0</v>
      </c>
      <c r="E2238" s="21" t="n">
        <v>0</v>
      </c>
      <c r="F2238" s="21" t="n">
        <v>0</v>
      </c>
      <c r="G2238" s="21" t="n">
        <v>0</v>
      </c>
      <c r="H2238" s="21" t="n">
        <v>0</v>
      </c>
      <c r="I2238" s="21" t="n">
        <v>0</v>
      </c>
      <c r="J2238" s="21" t="n">
        <v>0</v>
      </c>
      <c r="K2238" s="21" t="n">
        <v>0</v>
      </c>
      <c r="L2238" s="21" t="n">
        <v>0</v>
      </c>
      <c r="M2238" s="21" t="n">
        <v>0</v>
      </c>
      <c r="N2238" s="21" t="n">
        <v>0</v>
      </c>
      <c r="O2238" s="21" t="n">
        <v>0</v>
      </c>
      <c r="P2238" s="21" t="n">
        <v>0</v>
      </c>
      <c r="Q2238" s="21" t="n">
        <v>0</v>
      </c>
      <c r="R2238" s="21" t="n">
        <v>0</v>
      </c>
      <c r="S2238" s="21" t="n">
        <v>0</v>
      </c>
      <c r="T2238" s="21" t="n">
        <v>0</v>
      </c>
      <c r="U2238" s="21" t="n">
        <v>0</v>
      </c>
      <c r="V2238" s="21" t="n">
        <v>0</v>
      </c>
      <c r="W2238" s="21" t="n">
        <v>0</v>
      </c>
      <c r="X2238" s="21" t="n">
        <v>0</v>
      </c>
      <c r="Y2238" s="21" t="n">
        <v>0</v>
      </c>
      <c r="Z2238" s="21" t="n">
        <v>0</v>
      </c>
      <c r="AA2238" s="21" t="n">
        <v>0</v>
      </c>
      <c r="AB2238" s="21" t="n">
        <v>0</v>
      </c>
      <c r="AC2238" s="21" t="n">
        <v>0</v>
      </c>
      <c r="AD2238" s="21" t="n">
        <v>0</v>
      </c>
      <c r="AE2238" s="21" t="n">
        <v>0</v>
      </c>
      <c r="AF2238" s="21" t="n">
        <v>0</v>
      </c>
      <c r="AG2238" s="21" t="n">
        <v>0</v>
      </c>
      <c r="AH2238" s="21" t="n">
        <v>0</v>
      </c>
      <c r="AI2238" s="21" t="n">
        <v>0</v>
      </c>
      <c r="AJ2238" s="21" t="n">
        <v>0</v>
      </c>
      <c r="AK2238" s="21" t="n">
        <v>0</v>
      </c>
      <c r="AL2238" s="21" t="n">
        <v>0</v>
      </c>
      <c r="AM2238" s="21" t="n">
        <v>0</v>
      </c>
      <c r="AN2238" s="21">
        <f>-$B$1811</f>
        <v/>
      </c>
      <c r="AO2238" s="21">
        <f>-$B$1812</f>
        <v/>
      </c>
      <c r="AP2238" s="21">
        <f>2*$B$1811+$D$2197</f>
        <v/>
      </c>
      <c r="AQ2238" s="21">
        <f>0</f>
        <v/>
      </c>
      <c r="AR2238" s="21">
        <f>-$B$1811</f>
        <v/>
      </c>
      <c r="AS2238" s="21">
        <f>$B$1812</f>
        <v/>
      </c>
      <c r="AT2238" s="19" t="n"/>
    </row>
    <row r="2239">
      <c r="D2239" s="21" t="n">
        <v>0</v>
      </c>
      <c r="E2239" s="21" t="n">
        <v>0</v>
      </c>
      <c r="F2239" s="21" t="n">
        <v>0</v>
      </c>
      <c r="G2239" s="21" t="n">
        <v>0</v>
      </c>
      <c r="H2239" s="21" t="n">
        <v>0</v>
      </c>
      <c r="I2239" s="21" t="n">
        <v>0</v>
      </c>
      <c r="J2239" s="21" t="n">
        <v>0</v>
      </c>
      <c r="K2239" s="21" t="n">
        <v>0</v>
      </c>
      <c r="L2239" s="21" t="n">
        <v>0</v>
      </c>
      <c r="M2239" s="21" t="n">
        <v>0</v>
      </c>
      <c r="N2239" s="21" t="n">
        <v>0</v>
      </c>
      <c r="O2239" s="21" t="n">
        <v>0</v>
      </c>
      <c r="P2239" s="21" t="n">
        <v>0</v>
      </c>
      <c r="Q2239" s="21" t="n">
        <v>0</v>
      </c>
      <c r="R2239" s="21" t="n">
        <v>0</v>
      </c>
      <c r="S2239" s="21" t="n">
        <v>0</v>
      </c>
      <c r="T2239" s="21" t="n">
        <v>0</v>
      </c>
      <c r="U2239" s="21" t="n">
        <v>0</v>
      </c>
      <c r="V2239" s="21" t="n">
        <v>0</v>
      </c>
      <c r="W2239" s="21" t="n">
        <v>0</v>
      </c>
      <c r="X2239" s="21" t="n">
        <v>0</v>
      </c>
      <c r="Y2239" s="21" t="n">
        <v>0</v>
      </c>
      <c r="Z2239" s="21" t="n">
        <v>0</v>
      </c>
      <c r="AA2239" s="21" t="n">
        <v>0</v>
      </c>
      <c r="AB2239" s="21" t="n">
        <v>0</v>
      </c>
      <c r="AC2239" s="21" t="n">
        <v>0</v>
      </c>
      <c r="AD2239" s="21" t="n">
        <v>0</v>
      </c>
      <c r="AE2239" s="21" t="n">
        <v>0</v>
      </c>
      <c r="AF2239" s="21" t="n">
        <v>0</v>
      </c>
      <c r="AG2239" s="21" t="n">
        <v>0</v>
      </c>
      <c r="AH2239" s="21" t="n">
        <v>0</v>
      </c>
      <c r="AI2239" s="21" t="n">
        <v>0</v>
      </c>
      <c r="AJ2239" s="21" t="n">
        <v>0</v>
      </c>
      <c r="AK2239" s="21" t="n">
        <v>0</v>
      </c>
      <c r="AL2239" s="21" t="n">
        <v>0</v>
      </c>
      <c r="AM2239" s="21" t="n">
        <v>0</v>
      </c>
      <c r="AN2239" s="21">
        <f>$B$1812</f>
        <v/>
      </c>
      <c r="AO2239" s="21">
        <f>$B$1814</f>
        <v/>
      </c>
      <c r="AP2239" s="21">
        <f>0</f>
        <v/>
      </c>
      <c r="AQ2239" s="21">
        <f>2*$B$1813</f>
        <v/>
      </c>
      <c r="AR2239" s="21">
        <f>-$B$1812</f>
        <v/>
      </c>
      <c r="AS2239" s="21">
        <f>$B$1814</f>
        <v/>
      </c>
      <c r="AT2239" s="19" t="n"/>
    </row>
    <row r="2240">
      <c r="D2240" s="21" t="n">
        <v>0</v>
      </c>
      <c r="E2240" s="21" t="n">
        <v>0</v>
      </c>
      <c r="F2240" s="21" t="n">
        <v>0</v>
      </c>
      <c r="G2240" s="21" t="n">
        <v>0</v>
      </c>
      <c r="H2240" s="21" t="n">
        <v>0</v>
      </c>
      <c r="I2240" s="21" t="n">
        <v>0</v>
      </c>
      <c r="J2240" s="21" t="n">
        <v>0</v>
      </c>
      <c r="K2240" s="21" t="n">
        <v>0</v>
      </c>
      <c r="L2240" s="21" t="n">
        <v>0</v>
      </c>
      <c r="M2240" s="21" t="n">
        <v>0</v>
      </c>
      <c r="N2240" s="21" t="n">
        <v>0</v>
      </c>
      <c r="O2240" s="21" t="n">
        <v>0</v>
      </c>
      <c r="P2240" s="21" t="n">
        <v>0</v>
      </c>
      <c r="Q2240" s="21" t="n">
        <v>0</v>
      </c>
      <c r="R2240" s="21" t="n">
        <v>0</v>
      </c>
      <c r="S2240" s="21" t="n">
        <v>0</v>
      </c>
      <c r="T2240" s="21" t="n">
        <v>0</v>
      </c>
      <c r="U2240" s="21" t="n">
        <v>0</v>
      </c>
      <c r="V2240" s="21" t="n">
        <v>0</v>
      </c>
      <c r="W2240" s="21" t="n">
        <v>0</v>
      </c>
      <c r="X2240" s="21" t="n">
        <v>0</v>
      </c>
      <c r="Y2240" s="21" t="n">
        <v>0</v>
      </c>
      <c r="Z2240" s="21" t="n">
        <v>0</v>
      </c>
      <c r="AA2240" s="21" t="n">
        <v>0</v>
      </c>
      <c r="AB2240" s="21" t="n">
        <v>0</v>
      </c>
      <c r="AC2240" s="21" t="n">
        <v>0</v>
      </c>
      <c r="AD2240" s="21" t="n">
        <v>0</v>
      </c>
      <c r="AE2240" s="21" t="n">
        <v>0</v>
      </c>
      <c r="AF2240" s="21" t="n">
        <v>0</v>
      </c>
      <c r="AG2240" s="21" t="n">
        <v>0</v>
      </c>
      <c r="AH2240" s="21" t="n">
        <v>0</v>
      </c>
      <c r="AI2240" s="21" t="n">
        <v>0</v>
      </c>
      <c r="AJ2240" s="21" t="n">
        <v>0</v>
      </c>
      <c r="AK2240" s="21" t="n">
        <v>0</v>
      </c>
      <c r="AL2240" s="21" t="n">
        <v>0</v>
      </c>
      <c r="AM2240" s="21" t="n">
        <v>0</v>
      </c>
      <c r="AN2240" s="21" t="n">
        <v>0</v>
      </c>
      <c r="AO2240" s="21" t="n">
        <v>0</v>
      </c>
      <c r="AP2240" s="21">
        <f>-$B$1811</f>
        <v/>
      </c>
      <c r="AQ2240" s="21">
        <f>-$B$1812</f>
        <v/>
      </c>
      <c r="AR2240" s="21">
        <f>$B$1811+$D$2198</f>
        <v/>
      </c>
      <c r="AS2240" s="21">
        <f>-$B$1812</f>
        <v/>
      </c>
      <c r="AT2240" s="19" t="n"/>
    </row>
    <row r="2241">
      <c r="D2241" s="21" t="n">
        <v>0</v>
      </c>
      <c r="E2241" s="21" t="n">
        <v>0</v>
      </c>
      <c r="F2241" s="21" t="n">
        <v>0</v>
      </c>
      <c r="G2241" s="21" t="n">
        <v>0</v>
      </c>
      <c r="H2241" s="21" t="n">
        <v>0</v>
      </c>
      <c r="I2241" s="21" t="n">
        <v>0</v>
      </c>
      <c r="J2241" s="21" t="n">
        <v>0</v>
      </c>
      <c r="K2241" s="21" t="n">
        <v>0</v>
      </c>
      <c r="L2241" s="21" t="n">
        <v>0</v>
      </c>
      <c r="M2241" s="21" t="n">
        <v>0</v>
      </c>
      <c r="N2241" s="21" t="n">
        <v>0</v>
      </c>
      <c r="O2241" s="21" t="n">
        <v>0</v>
      </c>
      <c r="P2241" s="21" t="n">
        <v>0</v>
      </c>
      <c r="Q2241" s="21" t="n">
        <v>0</v>
      </c>
      <c r="R2241" s="21" t="n">
        <v>0</v>
      </c>
      <c r="S2241" s="21" t="n">
        <v>0</v>
      </c>
      <c r="T2241" s="21" t="n">
        <v>0</v>
      </c>
      <c r="U2241" s="21" t="n">
        <v>0</v>
      </c>
      <c r="V2241" s="21" t="n">
        <v>0</v>
      </c>
      <c r="W2241" s="21" t="n">
        <v>0</v>
      </c>
      <c r="X2241" s="21" t="n">
        <v>0</v>
      </c>
      <c r="Y2241" s="21" t="n">
        <v>0</v>
      </c>
      <c r="Z2241" s="21" t="n">
        <v>0</v>
      </c>
      <c r="AA2241" s="21" t="n">
        <v>0</v>
      </c>
      <c r="AB2241" s="21" t="n">
        <v>0</v>
      </c>
      <c r="AC2241" s="21" t="n">
        <v>0</v>
      </c>
      <c r="AD2241" s="21" t="n">
        <v>0</v>
      </c>
      <c r="AE2241" s="21" t="n">
        <v>0</v>
      </c>
      <c r="AF2241" s="21" t="n">
        <v>0</v>
      </c>
      <c r="AG2241" s="21" t="n">
        <v>0</v>
      </c>
      <c r="AH2241" s="21" t="n">
        <v>0</v>
      </c>
      <c r="AI2241" s="21" t="n">
        <v>0</v>
      </c>
      <c r="AJ2241" s="21" t="n">
        <v>0</v>
      </c>
      <c r="AK2241" s="21" t="n">
        <v>0</v>
      </c>
      <c r="AL2241" s="21" t="n">
        <v>0</v>
      </c>
      <c r="AM2241" s="21" t="n">
        <v>0</v>
      </c>
      <c r="AN2241" s="21" t="n">
        <v>0</v>
      </c>
      <c r="AO2241" s="21" t="n">
        <v>0</v>
      </c>
      <c r="AP2241" s="21">
        <f>$B$1812</f>
        <v/>
      </c>
      <c r="AQ2241" s="21">
        <f>$B$1814</f>
        <v/>
      </c>
      <c r="AR2241" s="21">
        <f>-$B$1812</f>
        <v/>
      </c>
      <c r="AS2241" s="21">
        <f>$B$1813</f>
        <v/>
      </c>
      <c r="AT2241" s="19" t="n"/>
    </row>
    <row r="2243">
      <c r="A2243" s="8" t="inlineStr">
        <is>
          <t>gen 6</t>
        </is>
      </c>
    </row>
    <row r="2244">
      <c r="D2244" s="19">
        <f>IF(ABS(IF(ABS($E$2178)&gt;0.000000001,$E$2178,0.000000001))=0,0,IF($E$1826&lt;=$B$1820,0,IF(ABS(IF(ABS($E$2178)&gt;0.000000001,$E$2178,0.000000001))&gt;=8*$B$1822,$H$1826,0.5*$H$1826*(ABS(IF(ABS($E$2178)&gt;0.000000001,$E$2178,0.000000001))/$B$1822)^(1/3)))/ABS(IF(ABS($E$2178)&gt;0.000000001,$E$2178,0.000000001))*$I$1826)</f>
        <v/>
      </c>
      <c r="E2244" s="19">
        <f>0.5*$E$2178+0.5*$AT$2266</f>
        <v/>
      </c>
      <c r="F2244" s="19">
        <f>$AT$2267</f>
        <v/>
      </c>
    </row>
    <row r="2245">
      <c r="D2245" s="19">
        <f>IF(ABS(IF(ABS($E$2179)&gt;0.000000001,$E$2179,0.000000001))=0,0,IF($E$1827&lt;=$B$1820,0,IF(ABS(IF(ABS($E$2179)&gt;0.000000001,$E$2179,0.000000001))&gt;=8*$B$1822,$H$1827,0.5*$H$1827*(ABS(IF(ABS($E$2179)&gt;0.000000001,$E$2179,0.000000001))/$B$1822)^(1/3)))/ABS(IF(ABS($E$2179)&gt;0.000000001,$E$2179,0.000000001))*$I$1827)</f>
        <v/>
      </c>
      <c r="E2245" s="19">
        <f>0.5*$E$2179+0.5*$AT$2268</f>
        <v/>
      </c>
      <c r="F2245" s="19">
        <f>$AT$2269</f>
        <v/>
      </c>
    </row>
    <row r="2246">
      <c r="D2246" s="19">
        <f>IF(ABS(IF(ABS($E$2180)&gt;0.000000001,$E$2180,0.000000001))=0,0,IF($E$1828&lt;=$B$1820,0,IF(ABS(IF(ABS($E$2180)&gt;0.000000001,$E$2180,0.000000001))&gt;=8*$B$1822,$H$1828,0.5*$H$1828*(ABS(IF(ABS($E$2180)&gt;0.000000001,$E$2180,0.000000001))/$B$1822)^(1/3)))/ABS(IF(ABS($E$2180)&gt;0.000000001,$E$2180,0.000000001))*$I$1828)</f>
        <v/>
      </c>
      <c r="E2246" s="19">
        <f>0.5*$E$2180+0.5*$AT$2270</f>
        <v/>
      </c>
      <c r="F2246" s="19">
        <f>$AT$2271</f>
        <v/>
      </c>
    </row>
    <row r="2247">
      <c r="D2247" s="19">
        <f>IF(ABS(IF(ABS($E$2181)&gt;0.000000001,$E$2181,0.000000001))=0,0,IF($E$1829&lt;=$B$1820,0,IF(ABS(IF(ABS($E$2181)&gt;0.000000001,$E$2181,0.000000001))&gt;=8*$B$1822,$H$1829,0.5*$H$1829*(ABS(IF(ABS($E$2181)&gt;0.000000001,$E$2181,0.000000001))/$B$1822)^(1/3)))/ABS(IF(ABS($E$2181)&gt;0.000000001,$E$2181,0.000000001))*$I$1829)</f>
        <v/>
      </c>
      <c r="E2247" s="19">
        <f>0.5*$E$2181+0.5*$AT$2272</f>
        <v/>
      </c>
      <c r="F2247" s="19">
        <f>$AT$2273</f>
        <v/>
      </c>
    </row>
    <row r="2248">
      <c r="D2248" s="19">
        <f>IF(ABS(IF(ABS($E$2182)&gt;0.000000001,$E$2182,0.000000001))=0,0,IF($E$1830&lt;=$B$1820,0,IF(ABS(IF(ABS($E$2182)&gt;0.000000001,$E$2182,0.000000001))&gt;=8*$B$1822,$H$1830,0.5*$H$1830*(ABS(IF(ABS($E$2182)&gt;0.000000001,$E$2182,0.000000001))/$B$1822)^(1/3)))/ABS(IF(ABS($E$2182)&gt;0.000000001,$E$2182,0.000000001))*$I$1830)</f>
        <v/>
      </c>
      <c r="E2248" s="19">
        <f>0.5*$E$2182+0.5*$AT$2274</f>
        <v/>
      </c>
      <c r="F2248" s="19">
        <f>$AT$2275</f>
        <v/>
      </c>
    </row>
    <row r="2249">
      <c r="D2249" s="19">
        <f>IF(ABS(IF(ABS($E$2183)&gt;0.000000001,$E$2183,0.000000001))=0,0,IF($E$1831&lt;=$B$1820,0,IF(ABS(IF(ABS($E$2183)&gt;0.000000001,$E$2183,0.000000001))&gt;=8*$B$1822,$H$1831,0.5*$H$1831*(ABS(IF(ABS($E$2183)&gt;0.000000001,$E$2183,0.000000001))/$B$1822)^(1/3)))/ABS(IF(ABS($E$2183)&gt;0.000000001,$E$2183,0.000000001))*$I$1831)</f>
        <v/>
      </c>
      <c r="E2249" s="19">
        <f>0.5*$E$2183+0.5*$AT$2276</f>
        <v/>
      </c>
      <c r="F2249" s="19">
        <f>$AT$2277</f>
        <v/>
      </c>
    </row>
    <row r="2250">
      <c r="D2250" s="19">
        <f>IF(ABS(IF(ABS($E$2184)&gt;0.000000001,$E$2184,0.000000001))=0,0,IF($E$1832&lt;=$B$1820,0,IF(ABS(IF(ABS($E$2184)&gt;0.000000001,$E$2184,0.000000001))&gt;=8*$B$1822,$H$1832,0.5*$H$1832*(ABS(IF(ABS($E$2184)&gt;0.000000001,$E$2184,0.000000001))/$B$1822)^(1/3)))/ABS(IF(ABS($E$2184)&gt;0.000000001,$E$2184,0.000000001))*$I$1832)</f>
        <v/>
      </c>
      <c r="E2250" s="19">
        <f>0.5*$E$2184+0.5*$AT$2278</f>
        <v/>
      </c>
      <c r="F2250" s="19">
        <f>$AT$2279</f>
        <v/>
      </c>
    </row>
    <row r="2251">
      <c r="D2251" s="19">
        <f>IF(ABS(IF(ABS($E$2185)&gt;0.000000001,$E$2185,0.000000001))=0,0,IF($E$1833&lt;=$B$1820,0,IF(ABS(IF(ABS($E$2185)&gt;0.000000001,$E$2185,0.000000001))&gt;=8*$B$1822,$H$1833,0.5*$H$1833*(ABS(IF(ABS($E$2185)&gt;0.000000001,$E$2185,0.000000001))/$B$1822)^(1/3)))/ABS(IF(ABS($E$2185)&gt;0.000000001,$E$2185,0.000000001))*$I$1833)</f>
        <v/>
      </c>
      <c r="E2251" s="19">
        <f>0.5*$E$2185+0.5*$AT$2280</f>
        <v/>
      </c>
      <c r="F2251" s="19">
        <f>$AT$2281</f>
        <v/>
      </c>
    </row>
    <row r="2252">
      <c r="D2252" s="19">
        <f>IF(ABS(IF(ABS($E$2186)&gt;0.000000001,$E$2186,0.000000001))=0,0,IF($E$1834&lt;=$B$1820,0,IF(ABS(IF(ABS($E$2186)&gt;0.000000001,$E$2186,0.000000001))&gt;=8*$B$1822,$H$1834,0.5*$H$1834*(ABS(IF(ABS($E$2186)&gt;0.000000001,$E$2186,0.000000001))/$B$1822)^(1/3)))/ABS(IF(ABS($E$2186)&gt;0.000000001,$E$2186,0.000000001))*$I$1834)</f>
        <v/>
      </c>
      <c r="E2252" s="19">
        <f>0.5*$E$2186+0.5*$AT$2282</f>
        <v/>
      </c>
      <c r="F2252" s="19">
        <f>$AT$2283</f>
        <v/>
      </c>
    </row>
    <row r="2253">
      <c r="D2253" s="19">
        <f>IF(ABS(IF(ABS($E$2187)&gt;0.000000001,$E$2187,0.000000001))=0,0,IF($E$1835&lt;=$B$1820,0,IF(ABS(IF(ABS($E$2187)&gt;0.000000001,$E$2187,0.000000001))&gt;=8*$B$1822,$H$1835,0.5*$H$1835*(ABS(IF(ABS($E$2187)&gt;0.000000001,$E$2187,0.000000001))/$B$1822)^(1/3)))/ABS(IF(ABS($E$2187)&gt;0.000000001,$E$2187,0.000000001))*$I$1835)</f>
        <v/>
      </c>
      <c r="E2253" s="19">
        <f>0.5*$E$2187+0.5*$AT$2284</f>
        <v/>
      </c>
      <c r="F2253" s="19">
        <f>$AT$2285</f>
        <v/>
      </c>
    </row>
    <row r="2254">
      <c r="D2254" s="19">
        <f>IF(ABS(IF(ABS($E$2188)&gt;0.000000001,$E$2188,0.000000001))=0,0,IF($E$1836&lt;=$B$1820,0,IF(ABS(IF(ABS($E$2188)&gt;0.000000001,$E$2188,0.000000001))&gt;=8*$B$1822,$H$1836,0.5*$H$1836*(ABS(IF(ABS($E$2188)&gt;0.000000001,$E$2188,0.000000001))/$B$1822)^(1/3)))/ABS(IF(ABS($E$2188)&gt;0.000000001,$E$2188,0.000000001))*$I$1836)</f>
        <v/>
      </c>
      <c r="E2254" s="19">
        <f>0.5*$E$2188+0.5*$AT$2286</f>
        <v/>
      </c>
      <c r="F2254" s="19">
        <f>$AT$2287</f>
        <v/>
      </c>
    </row>
    <row r="2255">
      <c r="D2255" s="19">
        <f>IF(ABS(IF(ABS($E$2189)&gt;0.000000001,$E$2189,0.000000001))=0,0,IF($E$1837&lt;=$B$1820,0,IF(ABS(IF(ABS($E$2189)&gt;0.000000001,$E$2189,0.000000001))&gt;=8*$B$1822,$H$1837,0.5*$H$1837*(ABS(IF(ABS($E$2189)&gt;0.000000001,$E$2189,0.000000001))/$B$1822)^(1/3)))/ABS(IF(ABS($E$2189)&gt;0.000000001,$E$2189,0.000000001))*$I$1837)</f>
        <v/>
      </c>
      <c r="E2255" s="19">
        <f>0.5*$E$2189+0.5*$AT$2288</f>
        <v/>
      </c>
      <c r="F2255" s="19">
        <f>$AT$2289</f>
        <v/>
      </c>
    </row>
    <row r="2256">
      <c r="D2256" s="19">
        <f>IF(ABS(IF(ABS($E$2190)&gt;0.000000001,$E$2190,0.000000001))=0,0,IF($E$1838&lt;=$B$1820,0,IF(ABS(IF(ABS($E$2190)&gt;0.000000001,$E$2190,0.000000001))&gt;=8*$B$1822,$H$1838,0.5*$H$1838*(ABS(IF(ABS($E$2190)&gt;0.000000001,$E$2190,0.000000001))/$B$1822)^(1/3)))/ABS(IF(ABS($E$2190)&gt;0.000000001,$E$2190,0.000000001))*$I$1838)</f>
        <v/>
      </c>
      <c r="E2256" s="19">
        <f>0.5*$E$2190+0.5*$AT$2290</f>
        <v/>
      </c>
      <c r="F2256" s="19">
        <f>$AT$2291</f>
        <v/>
      </c>
    </row>
    <row r="2257">
      <c r="D2257" s="19">
        <f>IF(ABS(IF(ABS($E$2191)&gt;0.000000001,$E$2191,0.000000001))=0,0,IF($E$1839&lt;=$B$1820,0,IF(ABS(IF(ABS($E$2191)&gt;0.000000001,$E$2191,0.000000001))&gt;=8*$B$1822,$H$1839,0.5*$H$1839*(ABS(IF(ABS($E$2191)&gt;0.000000001,$E$2191,0.000000001))/$B$1822)^(1/3)))/ABS(IF(ABS($E$2191)&gt;0.000000001,$E$2191,0.000000001))*$I$1839)</f>
        <v/>
      </c>
      <c r="E2257" s="19">
        <f>0.5*$E$2191+0.5*$AT$2292</f>
        <v/>
      </c>
      <c r="F2257" s="19">
        <f>$AT$2293</f>
        <v/>
      </c>
    </row>
    <row r="2258">
      <c r="D2258" s="19">
        <f>IF(ABS(IF(ABS($E$2192)&gt;0.000000001,$E$2192,0.000000001))=0,0,IF($E$1840&lt;=$B$1820,0,IF(ABS(IF(ABS($E$2192)&gt;0.000000001,$E$2192,0.000000001))&gt;=8*$B$1822,$H$1840,0.5*$H$1840*(ABS(IF(ABS($E$2192)&gt;0.000000001,$E$2192,0.000000001))/$B$1822)^(1/3)))/ABS(IF(ABS($E$2192)&gt;0.000000001,$E$2192,0.000000001))*$I$1840)</f>
        <v/>
      </c>
      <c r="E2258" s="19">
        <f>0.5*$E$2192+0.5*$AT$2294</f>
        <v/>
      </c>
      <c r="F2258" s="19">
        <f>$AT$2295</f>
        <v/>
      </c>
    </row>
    <row r="2259">
      <c r="D2259" s="19">
        <f>IF(ABS(IF(ABS($E$2193)&gt;0.000000001,$E$2193,0.000000001))=0,0,IF($E$1841&lt;=$B$1820,0,IF(ABS(IF(ABS($E$2193)&gt;0.000000001,$E$2193,0.000000001))&gt;=8*$B$1822,$H$1841,0.5*$H$1841*(ABS(IF(ABS($E$2193)&gt;0.000000001,$E$2193,0.000000001))/$B$1822)^(1/3)))/ABS(IF(ABS($E$2193)&gt;0.000000001,$E$2193,0.000000001))*$I$1841)</f>
        <v/>
      </c>
      <c r="E2259" s="19">
        <f>0.5*$E$2193+0.5*$AT$2296</f>
        <v/>
      </c>
      <c r="F2259" s="19">
        <f>$AT$2297</f>
        <v/>
      </c>
    </row>
    <row r="2260">
      <c r="D2260" s="19">
        <f>IF(ABS(IF(ABS($E$2194)&gt;0.000000001,$E$2194,0.000000001))=0,0,IF($E$1842&lt;=$B$1820,0,IF(ABS(IF(ABS($E$2194)&gt;0.000000001,$E$2194,0.000000001))&gt;=8*$B$1822,$H$1842,0.5*$H$1842*(ABS(IF(ABS($E$2194)&gt;0.000000001,$E$2194,0.000000001))/$B$1822)^(1/3)))/ABS(IF(ABS($E$2194)&gt;0.000000001,$E$2194,0.000000001))*$I$1842)</f>
        <v/>
      </c>
      <c r="E2260" s="19">
        <f>0.5*$E$2194+0.5*$AT$2298</f>
        <v/>
      </c>
      <c r="F2260" s="19">
        <f>$AT$2299</f>
        <v/>
      </c>
    </row>
    <row r="2261">
      <c r="D2261" s="19">
        <f>IF(ABS(IF(ABS($E$2195)&gt;0.000000001,$E$2195,0.000000001))=0,0,IF($E$1843&lt;=$B$1820,0,IF(ABS(IF(ABS($E$2195)&gt;0.000000001,$E$2195,0.000000001))&gt;=8*$B$1822,$H$1843,0.5*$H$1843*(ABS(IF(ABS($E$2195)&gt;0.000000001,$E$2195,0.000000001))/$B$1822)^(1/3)))/ABS(IF(ABS($E$2195)&gt;0.000000001,$E$2195,0.000000001))*$I$1843)</f>
        <v/>
      </c>
      <c r="E2261" s="19">
        <f>0.5*$E$2195+0.5*$AT$2300</f>
        <v/>
      </c>
      <c r="F2261" s="19">
        <f>$AT$2301</f>
        <v/>
      </c>
    </row>
    <row r="2262">
      <c r="D2262" s="19">
        <f>IF(ABS(IF(ABS($E$2196)&gt;0.000000001,$E$2196,0.000000001))=0,0,IF($E$1844&lt;=$B$1820,0,IF(ABS(IF(ABS($E$2196)&gt;0.000000001,$E$2196,0.000000001))&gt;=8*$B$1822,$H$1844,0.5*$H$1844*(ABS(IF(ABS($E$2196)&gt;0.000000001,$E$2196,0.000000001))/$B$1822)^(1/3)))/ABS(IF(ABS($E$2196)&gt;0.000000001,$E$2196,0.000000001))*$I$1844)</f>
        <v/>
      </c>
      <c r="E2262" s="19">
        <f>0.5*$E$2196+0.5*$AT$2302</f>
        <v/>
      </c>
      <c r="F2262" s="19">
        <f>$AT$2303</f>
        <v/>
      </c>
    </row>
    <row r="2263">
      <c r="D2263" s="19">
        <f>IF(ABS(IF(ABS($E$2197)&gt;0.000000001,$E$2197,0.000000001))=0,0,IF($E$1845&lt;=$B$1820,0,IF(ABS(IF(ABS($E$2197)&gt;0.000000001,$E$2197,0.000000001))&gt;=8*$B$1822,$H$1845,0.5*$H$1845*(ABS(IF(ABS($E$2197)&gt;0.000000001,$E$2197,0.000000001))/$B$1822)^(1/3)))/ABS(IF(ABS($E$2197)&gt;0.000000001,$E$2197,0.000000001))*$I$1845)</f>
        <v/>
      </c>
      <c r="E2263" s="19">
        <f>0.5*$E$2197+0.5*$AT$2304</f>
        <v/>
      </c>
      <c r="F2263" s="19">
        <f>$AT$2305</f>
        <v/>
      </c>
    </row>
    <row r="2264">
      <c r="D2264" s="19">
        <f>IF(ABS(IF(ABS($E$2198)&gt;0.000000001,$E$2198,0.000000001))=0,0,IF($E$1846&lt;=$B$1820,0,IF(ABS(IF(ABS($E$2198)&gt;0.000000001,$E$2198,0.000000001))&gt;=8*$B$1822,$H$1846,0.5*$H$1846*(ABS(IF(ABS($E$2198)&gt;0.000000001,$E$2198,0.000000001))/$B$1822)^(1/3)))/ABS(IF(ABS($E$2198)&gt;0.000000001,$E$2198,0.000000001))*$I$1846)</f>
        <v/>
      </c>
      <c r="E2264" s="19">
        <f>0.5*$E$2198+0.5*$AT$2306</f>
        <v/>
      </c>
      <c r="F2264" s="19">
        <f>$AT$2307</f>
        <v/>
      </c>
    </row>
    <row r="2266">
      <c r="D2266" s="21">
        <f>$B$1811+$D$2244</f>
        <v/>
      </c>
      <c r="E2266" s="21">
        <f>$B$1812</f>
        <v/>
      </c>
      <c r="F2266" s="21">
        <f>-$B$1811</f>
        <v/>
      </c>
      <c r="G2266" s="21">
        <f>$B$1812</f>
        <v/>
      </c>
      <c r="H2266" s="21" t="n">
        <v>0</v>
      </c>
      <c r="I2266" s="21" t="n">
        <v>0</v>
      </c>
      <c r="J2266" s="21" t="n">
        <v>0</v>
      </c>
      <c r="K2266" s="21" t="n">
        <v>0</v>
      </c>
      <c r="L2266" s="21" t="n">
        <v>0</v>
      </c>
      <c r="M2266" s="21" t="n">
        <v>0</v>
      </c>
      <c r="N2266" s="21" t="n">
        <v>0</v>
      </c>
      <c r="O2266" s="21" t="n">
        <v>0</v>
      </c>
      <c r="P2266" s="21" t="n">
        <v>0</v>
      </c>
      <c r="Q2266" s="21" t="n">
        <v>0</v>
      </c>
      <c r="R2266" s="21" t="n">
        <v>0</v>
      </c>
      <c r="S2266" s="21" t="n">
        <v>0</v>
      </c>
      <c r="T2266" s="21" t="n">
        <v>0</v>
      </c>
      <c r="U2266" s="21" t="n">
        <v>0</v>
      </c>
      <c r="V2266" s="21" t="n">
        <v>0</v>
      </c>
      <c r="W2266" s="21" t="n">
        <v>0</v>
      </c>
      <c r="X2266" s="21" t="n">
        <v>0</v>
      </c>
      <c r="Y2266" s="21" t="n">
        <v>0</v>
      </c>
      <c r="Z2266" s="21" t="n">
        <v>0</v>
      </c>
      <c r="AA2266" s="21" t="n">
        <v>0</v>
      </c>
      <c r="AB2266" s="21" t="n">
        <v>0</v>
      </c>
      <c r="AC2266" s="21" t="n">
        <v>0</v>
      </c>
      <c r="AD2266" s="21" t="n">
        <v>0</v>
      </c>
      <c r="AE2266" s="21" t="n">
        <v>0</v>
      </c>
      <c r="AF2266" s="21" t="n">
        <v>0</v>
      </c>
      <c r="AG2266" s="21" t="n">
        <v>0</v>
      </c>
      <c r="AH2266" s="21" t="n">
        <v>0</v>
      </c>
      <c r="AI2266" s="21" t="n">
        <v>0</v>
      </c>
      <c r="AJ2266" s="21" t="n">
        <v>0</v>
      </c>
      <c r="AK2266" s="21" t="n">
        <v>0</v>
      </c>
      <c r="AL2266" s="21" t="n">
        <v>0</v>
      </c>
      <c r="AM2266" s="21" t="n">
        <v>0</v>
      </c>
      <c r="AN2266" s="21" t="n">
        <v>0</v>
      </c>
      <c r="AO2266" s="21" t="n">
        <v>0</v>
      </c>
      <c r="AP2266" s="21" t="n">
        <v>0</v>
      </c>
      <c r="AQ2266" s="21" t="n">
        <v>0</v>
      </c>
      <c r="AR2266" s="21" t="n">
        <v>0</v>
      </c>
      <c r="AS2266" s="21" t="n">
        <v>0</v>
      </c>
      <c r="AT2266" s="19">
        <f t="array" ref="AT2266:AT2307">MMULT(MINVERSE($D$2266:$AS$2307),$D$1848:$D$1889)</f>
        <v/>
      </c>
    </row>
    <row r="2267">
      <c r="D2267" s="21">
        <f>$B$1812</f>
        <v/>
      </c>
      <c r="E2267" s="21">
        <f>$B$1813</f>
        <v/>
      </c>
      <c r="F2267" s="21">
        <f>-$B$1812</f>
        <v/>
      </c>
      <c r="G2267" s="21">
        <f>$B$1814</f>
        <v/>
      </c>
      <c r="H2267" s="21" t="n">
        <v>0</v>
      </c>
      <c r="I2267" s="21" t="n">
        <v>0</v>
      </c>
      <c r="J2267" s="21" t="n">
        <v>0</v>
      </c>
      <c r="K2267" s="21" t="n">
        <v>0</v>
      </c>
      <c r="L2267" s="21" t="n">
        <v>0</v>
      </c>
      <c r="M2267" s="21" t="n">
        <v>0</v>
      </c>
      <c r="N2267" s="21" t="n">
        <v>0</v>
      </c>
      <c r="O2267" s="21" t="n">
        <v>0</v>
      </c>
      <c r="P2267" s="21" t="n">
        <v>0</v>
      </c>
      <c r="Q2267" s="21" t="n">
        <v>0</v>
      </c>
      <c r="R2267" s="21" t="n">
        <v>0</v>
      </c>
      <c r="S2267" s="21" t="n">
        <v>0</v>
      </c>
      <c r="T2267" s="21" t="n">
        <v>0</v>
      </c>
      <c r="U2267" s="21" t="n">
        <v>0</v>
      </c>
      <c r="V2267" s="21" t="n">
        <v>0</v>
      </c>
      <c r="W2267" s="21" t="n">
        <v>0</v>
      </c>
      <c r="X2267" s="21" t="n">
        <v>0</v>
      </c>
      <c r="Y2267" s="21" t="n">
        <v>0</v>
      </c>
      <c r="Z2267" s="21" t="n">
        <v>0</v>
      </c>
      <c r="AA2267" s="21" t="n">
        <v>0</v>
      </c>
      <c r="AB2267" s="21" t="n">
        <v>0</v>
      </c>
      <c r="AC2267" s="21" t="n">
        <v>0</v>
      </c>
      <c r="AD2267" s="21" t="n">
        <v>0</v>
      </c>
      <c r="AE2267" s="21" t="n">
        <v>0</v>
      </c>
      <c r="AF2267" s="21" t="n">
        <v>0</v>
      </c>
      <c r="AG2267" s="21" t="n">
        <v>0</v>
      </c>
      <c r="AH2267" s="21" t="n">
        <v>0</v>
      </c>
      <c r="AI2267" s="21" t="n">
        <v>0</v>
      </c>
      <c r="AJ2267" s="21" t="n">
        <v>0</v>
      </c>
      <c r="AK2267" s="21" t="n">
        <v>0</v>
      </c>
      <c r="AL2267" s="21" t="n">
        <v>0</v>
      </c>
      <c r="AM2267" s="21" t="n">
        <v>0</v>
      </c>
      <c r="AN2267" s="21" t="n">
        <v>0</v>
      </c>
      <c r="AO2267" s="21" t="n">
        <v>0</v>
      </c>
      <c r="AP2267" s="21" t="n">
        <v>0</v>
      </c>
      <c r="AQ2267" s="21" t="n">
        <v>0</v>
      </c>
      <c r="AR2267" s="21" t="n">
        <v>0</v>
      </c>
      <c r="AS2267" s="21" t="n">
        <v>0</v>
      </c>
      <c r="AT2267" s="19" t="n"/>
    </row>
    <row r="2268">
      <c r="D2268" s="21">
        <f>-$B$1811</f>
        <v/>
      </c>
      <c r="E2268" s="21">
        <f>-$B$1812</f>
        <v/>
      </c>
      <c r="F2268" s="21">
        <f>2*$B$1811+$D$2245</f>
        <v/>
      </c>
      <c r="G2268" s="21">
        <f>0</f>
        <v/>
      </c>
      <c r="H2268" s="21">
        <f>-$B$1811</f>
        <v/>
      </c>
      <c r="I2268" s="21">
        <f>$B$1812</f>
        <v/>
      </c>
      <c r="J2268" s="21" t="n">
        <v>0</v>
      </c>
      <c r="K2268" s="21" t="n">
        <v>0</v>
      </c>
      <c r="L2268" s="21" t="n">
        <v>0</v>
      </c>
      <c r="M2268" s="21" t="n">
        <v>0</v>
      </c>
      <c r="N2268" s="21" t="n">
        <v>0</v>
      </c>
      <c r="O2268" s="21" t="n">
        <v>0</v>
      </c>
      <c r="P2268" s="21" t="n">
        <v>0</v>
      </c>
      <c r="Q2268" s="21" t="n">
        <v>0</v>
      </c>
      <c r="R2268" s="21" t="n">
        <v>0</v>
      </c>
      <c r="S2268" s="21" t="n">
        <v>0</v>
      </c>
      <c r="T2268" s="21" t="n">
        <v>0</v>
      </c>
      <c r="U2268" s="21" t="n">
        <v>0</v>
      </c>
      <c r="V2268" s="21" t="n">
        <v>0</v>
      </c>
      <c r="W2268" s="21" t="n">
        <v>0</v>
      </c>
      <c r="X2268" s="21" t="n">
        <v>0</v>
      </c>
      <c r="Y2268" s="21" t="n">
        <v>0</v>
      </c>
      <c r="Z2268" s="21" t="n">
        <v>0</v>
      </c>
      <c r="AA2268" s="21" t="n">
        <v>0</v>
      </c>
      <c r="AB2268" s="21" t="n">
        <v>0</v>
      </c>
      <c r="AC2268" s="21" t="n">
        <v>0</v>
      </c>
      <c r="AD2268" s="21" t="n">
        <v>0</v>
      </c>
      <c r="AE2268" s="21" t="n">
        <v>0</v>
      </c>
      <c r="AF2268" s="21" t="n">
        <v>0</v>
      </c>
      <c r="AG2268" s="21" t="n">
        <v>0</v>
      </c>
      <c r="AH2268" s="21" t="n">
        <v>0</v>
      </c>
      <c r="AI2268" s="21" t="n">
        <v>0</v>
      </c>
      <c r="AJ2268" s="21" t="n">
        <v>0</v>
      </c>
      <c r="AK2268" s="21" t="n">
        <v>0</v>
      </c>
      <c r="AL2268" s="21" t="n">
        <v>0</v>
      </c>
      <c r="AM2268" s="21" t="n">
        <v>0</v>
      </c>
      <c r="AN2268" s="21" t="n">
        <v>0</v>
      </c>
      <c r="AO2268" s="21" t="n">
        <v>0</v>
      </c>
      <c r="AP2268" s="21" t="n">
        <v>0</v>
      </c>
      <c r="AQ2268" s="21" t="n">
        <v>0</v>
      </c>
      <c r="AR2268" s="21" t="n">
        <v>0</v>
      </c>
      <c r="AS2268" s="21" t="n">
        <v>0</v>
      </c>
      <c r="AT2268" s="19" t="n"/>
    </row>
    <row r="2269">
      <c r="D2269" s="21">
        <f>$B$1812</f>
        <v/>
      </c>
      <c r="E2269" s="21">
        <f>$B$1814</f>
        <v/>
      </c>
      <c r="F2269" s="21">
        <f>0</f>
        <v/>
      </c>
      <c r="G2269" s="21">
        <f>2*$B$1813</f>
        <v/>
      </c>
      <c r="H2269" s="21">
        <f>-$B$1812</f>
        <v/>
      </c>
      <c r="I2269" s="21">
        <f>$B$1814</f>
        <v/>
      </c>
      <c r="J2269" s="21" t="n">
        <v>0</v>
      </c>
      <c r="K2269" s="21" t="n">
        <v>0</v>
      </c>
      <c r="L2269" s="21" t="n">
        <v>0</v>
      </c>
      <c r="M2269" s="21" t="n">
        <v>0</v>
      </c>
      <c r="N2269" s="21" t="n">
        <v>0</v>
      </c>
      <c r="O2269" s="21" t="n">
        <v>0</v>
      </c>
      <c r="P2269" s="21" t="n">
        <v>0</v>
      </c>
      <c r="Q2269" s="21" t="n">
        <v>0</v>
      </c>
      <c r="R2269" s="21" t="n">
        <v>0</v>
      </c>
      <c r="S2269" s="21" t="n">
        <v>0</v>
      </c>
      <c r="T2269" s="21" t="n">
        <v>0</v>
      </c>
      <c r="U2269" s="21" t="n">
        <v>0</v>
      </c>
      <c r="V2269" s="21" t="n">
        <v>0</v>
      </c>
      <c r="W2269" s="21" t="n">
        <v>0</v>
      </c>
      <c r="X2269" s="21" t="n">
        <v>0</v>
      </c>
      <c r="Y2269" s="21" t="n">
        <v>0</v>
      </c>
      <c r="Z2269" s="21" t="n">
        <v>0</v>
      </c>
      <c r="AA2269" s="21" t="n">
        <v>0</v>
      </c>
      <c r="AB2269" s="21" t="n">
        <v>0</v>
      </c>
      <c r="AC2269" s="21" t="n">
        <v>0</v>
      </c>
      <c r="AD2269" s="21" t="n">
        <v>0</v>
      </c>
      <c r="AE2269" s="21" t="n">
        <v>0</v>
      </c>
      <c r="AF2269" s="21" t="n">
        <v>0</v>
      </c>
      <c r="AG2269" s="21" t="n">
        <v>0</v>
      </c>
      <c r="AH2269" s="21" t="n">
        <v>0</v>
      </c>
      <c r="AI2269" s="21" t="n">
        <v>0</v>
      </c>
      <c r="AJ2269" s="21" t="n">
        <v>0</v>
      </c>
      <c r="AK2269" s="21" t="n">
        <v>0</v>
      </c>
      <c r="AL2269" s="21" t="n">
        <v>0</v>
      </c>
      <c r="AM2269" s="21" t="n">
        <v>0</v>
      </c>
      <c r="AN2269" s="21" t="n">
        <v>0</v>
      </c>
      <c r="AO2269" s="21" t="n">
        <v>0</v>
      </c>
      <c r="AP2269" s="21" t="n">
        <v>0</v>
      </c>
      <c r="AQ2269" s="21" t="n">
        <v>0</v>
      </c>
      <c r="AR2269" s="21" t="n">
        <v>0</v>
      </c>
      <c r="AS2269" s="21" t="n">
        <v>0</v>
      </c>
      <c r="AT2269" s="19" t="n"/>
    </row>
    <row r="2270">
      <c r="D2270" s="21" t="n">
        <v>0</v>
      </c>
      <c r="E2270" s="21" t="n">
        <v>0</v>
      </c>
      <c r="F2270" s="21">
        <f>-$B$1811</f>
        <v/>
      </c>
      <c r="G2270" s="21">
        <f>-$B$1812</f>
        <v/>
      </c>
      <c r="H2270" s="21">
        <f>2*$B$1811+$D$2246</f>
        <v/>
      </c>
      <c r="I2270" s="21">
        <f>0</f>
        <v/>
      </c>
      <c r="J2270" s="21">
        <f>-$B$1811</f>
        <v/>
      </c>
      <c r="K2270" s="21">
        <f>$B$1812</f>
        <v/>
      </c>
      <c r="L2270" s="21" t="n">
        <v>0</v>
      </c>
      <c r="M2270" s="21" t="n">
        <v>0</v>
      </c>
      <c r="N2270" s="21" t="n">
        <v>0</v>
      </c>
      <c r="O2270" s="21" t="n">
        <v>0</v>
      </c>
      <c r="P2270" s="21" t="n">
        <v>0</v>
      </c>
      <c r="Q2270" s="21" t="n">
        <v>0</v>
      </c>
      <c r="R2270" s="21" t="n">
        <v>0</v>
      </c>
      <c r="S2270" s="21" t="n">
        <v>0</v>
      </c>
      <c r="T2270" s="21" t="n">
        <v>0</v>
      </c>
      <c r="U2270" s="21" t="n">
        <v>0</v>
      </c>
      <c r="V2270" s="21" t="n">
        <v>0</v>
      </c>
      <c r="W2270" s="21" t="n">
        <v>0</v>
      </c>
      <c r="X2270" s="21" t="n">
        <v>0</v>
      </c>
      <c r="Y2270" s="21" t="n">
        <v>0</v>
      </c>
      <c r="Z2270" s="21" t="n">
        <v>0</v>
      </c>
      <c r="AA2270" s="21" t="n">
        <v>0</v>
      </c>
      <c r="AB2270" s="21" t="n">
        <v>0</v>
      </c>
      <c r="AC2270" s="21" t="n">
        <v>0</v>
      </c>
      <c r="AD2270" s="21" t="n">
        <v>0</v>
      </c>
      <c r="AE2270" s="21" t="n">
        <v>0</v>
      </c>
      <c r="AF2270" s="21" t="n">
        <v>0</v>
      </c>
      <c r="AG2270" s="21" t="n">
        <v>0</v>
      </c>
      <c r="AH2270" s="21" t="n">
        <v>0</v>
      </c>
      <c r="AI2270" s="21" t="n">
        <v>0</v>
      </c>
      <c r="AJ2270" s="21" t="n">
        <v>0</v>
      </c>
      <c r="AK2270" s="21" t="n">
        <v>0</v>
      </c>
      <c r="AL2270" s="21" t="n">
        <v>0</v>
      </c>
      <c r="AM2270" s="21" t="n">
        <v>0</v>
      </c>
      <c r="AN2270" s="21" t="n">
        <v>0</v>
      </c>
      <c r="AO2270" s="21" t="n">
        <v>0</v>
      </c>
      <c r="AP2270" s="21" t="n">
        <v>0</v>
      </c>
      <c r="AQ2270" s="21" t="n">
        <v>0</v>
      </c>
      <c r="AR2270" s="21" t="n">
        <v>0</v>
      </c>
      <c r="AS2270" s="21" t="n">
        <v>0</v>
      </c>
      <c r="AT2270" s="19" t="n"/>
    </row>
    <row r="2271">
      <c r="D2271" s="21" t="n">
        <v>0</v>
      </c>
      <c r="E2271" s="21" t="n">
        <v>0</v>
      </c>
      <c r="F2271" s="21">
        <f>$B$1812</f>
        <v/>
      </c>
      <c r="G2271" s="21">
        <f>$B$1814</f>
        <v/>
      </c>
      <c r="H2271" s="21">
        <f>0</f>
        <v/>
      </c>
      <c r="I2271" s="21">
        <f>2*$B$1813</f>
        <v/>
      </c>
      <c r="J2271" s="21">
        <f>-$B$1812</f>
        <v/>
      </c>
      <c r="K2271" s="21">
        <f>$B$1814</f>
        <v/>
      </c>
      <c r="L2271" s="21" t="n">
        <v>0</v>
      </c>
      <c r="M2271" s="21" t="n">
        <v>0</v>
      </c>
      <c r="N2271" s="21" t="n">
        <v>0</v>
      </c>
      <c r="O2271" s="21" t="n">
        <v>0</v>
      </c>
      <c r="P2271" s="21" t="n">
        <v>0</v>
      </c>
      <c r="Q2271" s="21" t="n">
        <v>0</v>
      </c>
      <c r="R2271" s="21" t="n">
        <v>0</v>
      </c>
      <c r="S2271" s="21" t="n">
        <v>0</v>
      </c>
      <c r="T2271" s="21" t="n">
        <v>0</v>
      </c>
      <c r="U2271" s="21" t="n">
        <v>0</v>
      </c>
      <c r="V2271" s="21" t="n">
        <v>0</v>
      </c>
      <c r="W2271" s="21" t="n">
        <v>0</v>
      </c>
      <c r="X2271" s="21" t="n">
        <v>0</v>
      </c>
      <c r="Y2271" s="21" t="n">
        <v>0</v>
      </c>
      <c r="Z2271" s="21" t="n">
        <v>0</v>
      </c>
      <c r="AA2271" s="21" t="n">
        <v>0</v>
      </c>
      <c r="AB2271" s="21" t="n">
        <v>0</v>
      </c>
      <c r="AC2271" s="21" t="n">
        <v>0</v>
      </c>
      <c r="AD2271" s="21" t="n">
        <v>0</v>
      </c>
      <c r="AE2271" s="21" t="n">
        <v>0</v>
      </c>
      <c r="AF2271" s="21" t="n">
        <v>0</v>
      </c>
      <c r="AG2271" s="21" t="n">
        <v>0</v>
      </c>
      <c r="AH2271" s="21" t="n">
        <v>0</v>
      </c>
      <c r="AI2271" s="21" t="n">
        <v>0</v>
      </c>
      <c r="AJ2271" s="21" t="n">
        <v>0</v>
      </c>
      <c r="AK2271" s="21" t="n">
        <v>0</v>
      </c>
      <c r="AL2271" s="21" t="n">
        <v>0</v>
      </c>
      <c r="AM2271" s="21" t="n">
        <v>0</v>
      </c>
      <c r="AN2271" s="21" t="n">
        <v>0</v>
      </c>
      <c r="AO2271" s="21" t="n">
        <v>0</v>
      </c>
      <c r="AP2271" s="21" t="n">
        <v>0</v>
      </c>
      <c r="AQ2271" s="21" t="n">
        <v>0</v>
      </c>
      <c r="AR2271" s="21" t="n">
        <v>0</v>
      </c>
      <c r="AS2271" s="21" t="n">
        <v>0</v>
      </c>
      <c r="AT2271" s="19" t="n"/>
    </row>
    <row r="2272">
      <c r="D2272" s="21" t="n">
        <v>0</v>
      </c>
      <c r="E2272" s="21" t="n">
        <v>0</v>
      </c>
      <c r="F2272" s="21" t="n">
        <v>0</v>
      </c>
      <c r="G2272" s="21" t="n">
        <v>0</v>
      </c>
      <c r="H2272" s="21">
        <f>-$B$1811</f>
        <v/>
      </c>
      <c r="I2272" s="21">
        <f>-$B$1812</f>
        <v/>
      </c>
      <c r="J2272" s="21">
        <f>2*$B$1811+$D$2247</f>
        <v/>
      </c>
      <c r="K2272" s="21">
        <f>0</f>
        <v/>
      </c>
      <c r="L2272" s="21">
        <f>-$B$1811</f>
        <v/>
      </c>
      <c r="M2272" s="21">
        <f>$B$1812</f>
        <v/>
      </c>
      <c r="N2272" s="21" t="n">
        <v>0</v>
      </c>
      <c r="O2272" s="21" t="n">
        <v>0</v>
      </c>
      <c r="P2272" s="21" t="n">
        <v>0</v>
      </c>
      <c r="Q2272" s="21" t="n">
        <v>0</v>
      </c>
      <c r="R2272" s="21" t="n">
        <v>0</v>
      </c>
      <c r="S2272" s="21" t="n">
        <v>0</v>
      </c>
      <c r="T2272" s="21" t="n">
        <v>0</v>
      </c>
      <c r="U2272" s="21" t="n">
        <v>0</v>
      </c>
      <c r="V2272" s="21" t="n">
        <v>0</v>
      </c>
      <c r="W2272" s="21" t="n">
        <v>0</v>
      </c>
      <c r="X2272" s="21" t="n">
        <v>0</v>
      </c>
      <c r="Y2272" s="21" t="n">
        <v>0</v>
      </c>
      <c r="Z2272" s="21" t="n">
        <v>0</v>
      </c>
      <c r="AA2272" s="21" t="n">
        <v>0</v>
      </c>
      <c r="AB2272" s="21" t="n">
        <v>0</v>
      </c>
      <c r="AC2272" s="21" t="n">
        <v>0</v>
      </c>
      <c r="AD2272" s="21" t="n">
        <v>0</v>
      </c>
      <c r="AE2272" s="21" t="n">
        <v>0</v>
      </c>
      <c r="AF2272" s="21" t="n">
        <v>0</v>
      </c>
      <c r="AG2272" s="21" t="n">
        <v>0</v>
      </c>
      <c r="AH2272" s="21" t="n">
        <v>0</v>
      </c>
      <c r="AI2272" s="21" t="n">
        <v>0</v>
      </c>
      <c r="AJ2272" s="21" t="n">
        <v>0</v>
      </c>
      <c r="AK2272" s="21" t="n">
        <v>0</v>
      </c>
      <c r="AL2272" s="21" t="n">
        <v>0</v>
      </c>
      <c r="AM2272" s="21" t="n">
        <v>0</v>
      </c>
      <c r="AN2272" s="21" t="n">
        <v>0</v>
      </c>
      <c r="AO2272" s="21" t="n">
        <v>0</v>
      </c>
      <c r="AP2272" s="21" t="n">
        <v>0</v>
      </c>
      <c r="AQ2272" s="21" t="n">
        <v>0</v>
      </c>
      <c r="AR2272" s="21" t="n">
        <v>0</v>
      </c>
      <c r="AS2272" s="21" t="n">
        <v>0</v>
      </c>
      <c r="AT2272" s="19" t="n"/>
    </row>
    <row r="2273">
      <c r="D2273" s="21" t="n">
        <v>0</v>
      </c>
      <c r="E2273" s="21" t="n">
        <v>0</v>
      </c>
      <c r="F2273" s="21" t="n">
        <v>0</v>
      </c>
      <c r="G2273" s="21" t="n">
        <v>0</v>
      </c>
      <c r="H2273" s="21">
        <f>$B$1812</f>
        <v/>
      </c>
      <c r="I2273" s="21">
        <f>$B$1814</f>
        <v/>
      </c>
      <c r="J2273" s="21">
        <f>0</f>
        <v/>
      </c>
      <c r="K2273" s="21">
        <f>2*$B$1813</f>
        <v/>
      </c>
      <c r="L2273" s="21">
        <f>-$B$1812</f>
        <v/>
      </c>
      <c r="M2273" s="21">
        <f>$B$1814</f>
        <v/>
      </c>
      <c r="N2273" s="21" t="n">
        <v>0</v>
      </c>
      <c r="O2273" s="21" t="n">
        <v>0</v>
      </c>
      <c r="P2273" s="21" t="n">
        <v>0</v>
      </c>
      <c r="Q2273" s="21" t="n">
        <v>0</v>
      </c>
      <c r="R2273" s="21" t="n">
        <v>0</v>
      </c>
      <c r="S2273" s="21" t="n">
        <v>0</v>
      </c>
      <c r="T2273" s="21" t="n">
        <v>0</v>
      </c>
      <c r="U2273" s="21" t="n">
        <v>0</v>
      </c>
      <c r="V2273" s="21" t="n">
        <v>0</v>
      </c>
      <c r="W2273" s="21" t="n">
        <v>0</v>
      </c>
      <c r="X2273" s="21" t="n">
        <v>0</v>
      </c>
      <c r="Y2273" s="21" t="n">
        <v>0</v>
      </c>
      <c r="Z2273" s="21" t="n">
        <v>0</v>
      </c>
      <c r="AA2273" s="21" t="n">
        <v>0</v>
      </c>
      <c r="AB2273" s="21" t="n">
        <v>0</v>
      </c>
      <c r="AC2273" s="21" t="n">
        <v>0</v>
      </c>
      <c r="AD2273" s="21" t="n">
        <v>0</v>
      </c>
      <c r="AE2273" s="21" t="n">
        <v>0</v>
      </c>
      <c r="AF2273" s="21" t="n">
        <v>0</v>
      </c>
      <c r="AG2273" s="21" t="n">
        <v>0</v>
      </c>
      <c r="AH2273" s="21" t="n">
        <v>0</v>
      </c>
      <c r="AI2273" s="21" t="n">
        <v>0</v>
      </c>
      <c r="AJ2273" s="21" t="n">
        <v>0</v>
      </c>
      <c r="AK2273" s="21" t="n">
        <v>0</v>
      </c>
      <c r="AL2273" s="21" t="n">
        <v>0</v>
      </c>
      <c r="AM2273" s="21" t="n">
        <v>0</v>
      </c>
      <c r="AN2273" s="21" t="n">
        <v>0</v>
      </c>
      <c r="AO2273" s="21" t="n">
        <v>0</v>
      </c>
      <c r="AP2273" s="21" t="n">
        <v>0</v>
      </c>
      <c r="AQ2273" s="21" t="n">
        <v>0</v>
      </c>
      <c r="AR2273" s="21" t="n">
        <v>0</v>
      </c>
      <c r="AS2273" s="21" t="n">
        <v>0</v>
      </c>
      <c r="AT2273" s="19" t="n"/>
    </row>
    <row r="2274">
      <c r="D2274" s="21" t="n">
        <v>0</v>
      </c>
      <c r="E2274" s="21" t="n">
        <v>0</v>
      </c>
      <c r="F2274" s="21" t="n">
        <v>0</v>
      </c>
      <c r="G2274" s="21" t="n">
        <v>0</v>
      </c>
      <c r="H2274" s="21" t="n">
        <v>0</v>
      </c>
      <c r="I2274" s="21" t="n">
        <v>0</v>
      </c>
      <c r="J2274" s="21">
        <f>-$B$1811</f>
        <v/>
      </c>
      <c r="K2274" s="21">
        <f>-$B$1812</f>
        <v/>
      </c>
      <c r="L2274" s="21">
        <f>2*$B$1811+$D$2248</f>
        <v/>
      </c>
      <c r="M2274" s="21">
        <f>0</f>
        <v/>
      </c>
      <c r="N2274" s="21">
        <f>-$B$1811</f>
        <v/>
      </c>
      <c r="O2274" s="21">
        <f>$B$1812</f>
        <v/>
      </c>
      <c r="P2274" s="21" t="n">
        <v>0</v>
      </c>
      <c r="Q2274" s="21" t="n">
        <v>0</v>
      </c>
      <c r="R2274" s="21" t="n">
        <v>0</v>
      </c>
      <c r="S2274" s="21" t="n">
        <v>0</v>
      </c>
      <c r="T2274" s="21" t="n">
        <v>0</v>
      </c>
      <c r="U2274" s="21" t="n">
        <v>0</v>
      </c>
      <c r="V2274" s="21" t="n">
        <v>0</v>
      </c>
      <c r="W2274" s="21" t="n">
        <v>0</v>
      </c>
      <c r="X2274" s="21" t="n">
        <v>0</v>
      </c>
      <c r="Y2274" s="21" t="n">
        <v>0</v>
      </c>
      <c r="Z2274" s="21" t="n">
        <v>0</v>
      </c>
      <c r="AA2274" s="21" t="n">
        <v>0</v>
      </c>
      <c r="AB2274" s="21" t="n">
        <v>0</v>
      </c>
      <c r="AC2274" s="21" t="n">
        <v>0</v>
      </c>
      <c r="AD2274" s="21" t="n">
        <v>0</v>
      </c>
      <c r="AE2274" s="21" t="n">
        <v>0</v>
      </c>
      <c r="AF2274" s="21" t="n">
        <v>0</v>
      </c>
      <c r="AG2274" s="21" t="n">
        <v>0</v>
      </c>
      <c r="AH2274" s="21" t="n">
        <v>0</v>
      </c>
      <c r="AI2274" s="21" t="n">
        <v>0</v>
      </c>
      <c r="AJ2274" s="21" t="n">
        <v>0</v>
      </c>
      <c r="AK2274" s="21" t="n">
        <v>0</v>
      </c>
      <c r="AL2274" s="21" t="n">
        <v>0</v>
      </c>
      <c r="AM2274" s="21" t="n">
        <v>0</v>
      </c>
      <c r="AN2274" s="21" t="n">
        <v>0</v>
      </c>
      <c r="AO2274" s="21" t="n">
        <v>0</v>
      </c>
      <c r="AP2274" s="21" t="n">
        <v>0</v>
      </c>
      <c r="AQ2274" s="21" t="n">
        <v>0</v>
      </c>
      <c r="AR2274" s="21" t="n">
        <v>0</v>
      </c>
      <c r="AS2274" s="21" t="n">
        <v>0</v>
      </c>
      <c r="AT2274" s="19" t="n"/>
    </row>
    <row r="2275">
      <c r="D2275" s="21" t="n">
        <v>0</v>
      </c>
      <c r="E2275" s="21" t="n">
        <v>0</v>
      </c>
      <c r="F2275" s="21" t="n">
        <v>0</v>
      </c>
      <c r="G2275" s="21" t="n">
        <v>0</v>
      </c>
      <c r="H2275" s="21" t="n">
        <v>0</v>
      </c>
      <c r="I2275" s="21" t="n">
        <v>0</v>
      </c>
      <c r="J2275" s="21">
        <f>$B$1812</f>
        <v/>
      </c>
      <c r="K2275" s="21">
        <f>$B$1814</f>
        <v/>
      </c>
      <c r="L2275" s="21">
        <f>0</f>
        <v/>
      </c>
      <c r="M2275" s="21">
        <f>2*$B$1813</f>
        <v/>
      </c>
      <c r="N2275" s="21">
        <f>-$B$1812</f>
        <v/>
      </c>
      <c r="O2275" s="21">
        <f>$B$1814</f>
        <v/>
      </c>
      <c r="P2275" s="21" t="n">
        <v>0</v>
      </c>
      <c r="Q2275" s="21" t="n">
        <v>0</v>
      </c>
      <c r="R2275" s="21" t="n">
        <v>0</v>
      </c>
      <c r="S2275" s="21" t="n">
        <v>0</v>
      </c>
      <c r="T2275" s="21" t="n">
        <v>0</v>
      </c>
      <c r="U2275" s="21" t="n">
        <v>0</v>
      </c>
      <c r="V2275" s="21" t="n">
        <v>0</v>
      </c>
      <c r="W2275" s="21" t="n">
        <v>0</v>
      </c>
      <c r="X2275" s="21" t="n">
        <v>0</v>
      </c>
      <c r="Y2275" s="21" t="n">
        <v>0</v>
      </c>
      <c r="Z2275" s="21" t="n">
        <v>0</v>
      </c>
      <c r="AA2275" s="21" t="n">
        <v>0</v>
      </c>
      <c r="AB2275" s="21" t="n">
        <v>0</v>
      </c>
      <c r="AC2275" s="21" t="n">
        <v>0</v>
      </c>
      <c r="AD2275" s="21" t="n">
        <v>0</v>
      </c>
      <c r="AE2275" s="21" t="n">
        <v>0</v>
      </c>
      <c r="AF2275" s="21" t="n">
        <v>0</v>
      </c>
      <c r="AG2275" s="21" t="n">
        <v>0</v>
      </c>
      <c r="AH2275" s="21" t="n">
        <v>0</v>
      </c>
      <c r="AI2275" s="21" t="n">
        <v>0</v>
      </c>
      <c r="AJ2275" s="21" t="n">
        <v>0</v>
      </c>
      <c r="AK2275" s="21" t="n">
        <v>0</v>
      </c>
      <c r="AL2275" s="21" t="n">
        <v>0</v>
      </c>
      <c r="AM2275" s="21" t="n">
        <v>0</v>
      </c>
      <c r="AN2275" s="21" t="n">
        <v>0</v>
      </c>
      <c r="AO2275" s="21" t="n">
        <v>0</v>
      </c>
      <c r="AP2275" s="21" t="n">
        <v>0</v>
      </c>
      <c r="AQ2275" s="21" t="n">
        <v>0</v>
      </c>
      <c r="AR2275" s="21" t="n">
        <v>0</v>
      </c>
      <c r="AS2275" s="21" t="n">
        <v>0</v>
      </c>
      <c r="AT2275" s="19" t="n"/>
    </row>
    <row r="2276">
      <c r="D2276" s="21" t="n">
        <v>0</v>
      </c>
      <c r="E2276" s="21" t="n">
        <v>0</v>
      </c>
      <c r="F2276" s="21" t="n">
        <v>0</v>
      </c>
      <c r="G2276" s="21" t="n">
        <v>0</v>
      </c>
      <c r="H2276" s="21" t="n">
        <v>0</v>
      </c>
      <c r="I2276" s="21" t="n">
        <v>0</v>
      </c>
      <c r="J2276" s="21" t="n">
        <v>0</v>
      </c>
      <c r="K2276" s="21" t="n">
        <v>0</v>
      </c>
      <c r="L2276" s="21">
        <f>-$B$1811</f>
        <v/>
      </c>
      <c r="M2276" s="21">
        <f>-$B$1812</f>
        <v/>
      </c>
      <c r="N2276" s="21">
        <f>2*$B$1811+$D$2249</f>
        <v/>
      </c>
      <c r="O2276" s="21">
        <f>0</f>
        <v/>
      </c>
      <c r="P2276" s="21">
        <f>-$B$1811</f>
        <v/>
      </c>
      <c r="Q2276" s="21">
        <f>$B$1812</f>
        <v/>
      </c>
      <c r="R2276" s="21" t="n">
        <v>0</v>
      </c>
      <c r="S2276" s="21" t="n">
        <v>0</v>
      </c>
      <c r="T2276" s="21" t="n">
        <v>0</v>
      </c>
      <c r="U2276" s="21" t="n">
        <v>0</v>
      </c>
      <c r="V2276" s="21" t="n">
        <v>0</v>
      </c>
      <c r="W2276" s="21" t="n">
        <v>0</v>
      </c>
      <c r="X2276" s="21" t="n">
        <v>0</v>
      </c>
      <c r="Y2276" s="21" t="n">
        <v>0</v>
      </c>
      <c r="Z2276" s="21" t="n">
        <v>0</v>
      </c>
      <c r="AA2276" s="21" t="n">
        <v>0</v>
      </c>
      <c r="AB2276" s="21" t="n">
        <v>0</v>
      </c>
      <c r="AC2276" s="21" t="n">
        <v>0</v>
      </c>
      <c r="AD2276" s="21" t="n">
        <v>0</v>
      </c>
      <c r="AE2276" s="21" t="n">
        <v>0</v>
      </c>
      <c r="AF2276" s="21" t="n">
        <v>0</v>
      </c>
      <c r="AG2276" s="21" t="n">
        <v>0</v>
      </c>
      <c r="AH2276" s="21" t="n">
        <v>0</v>
      </c>
      <c r="AI2276" s="21" t="n">
        <v>0</v>
      </c>
      <c r="AJ2276" s="21" t="n">
        <v>0</v>
      </c>
      <c r="AK2276" s="21" t="n">
        <v>0</v>
      </c>
      <c r="AL2276" s="21" t="n">
        <v>0</v>
      </c>
      <c r="AM2276" s="21" t="n">
        <v>0</v>
      </c>
      <c r="AN2276" s="21" t="n">
        <v>0</v>
      </c>
      <c r="AO2276" s="21" t="n">
        <v>0</v>
      </c>
      <c r="AP2276" s="21" t="n">
        <v>0</v>
      </c>
      <c r="AQ2276" s="21" t="n">
        <v>0</v>
      </c>
      <c r="AR2276" s="21" t="n">
        <v>0</v>
      </c>
      <c r="AS2276" s="21" t="n">
        <v>0</v>
      </c>
      <c r="AT2276" s="19" t="n"/>
    </row>
    <row r="2277">
      <c r="D2277" s="21" t="n">
        <v>0</v>
      </c>
      <c r="E2277" s="21" t="n">
        <v>0</v>
      </c>
      <c r="F2277" s="21" t="n">
        <v>0</v>
      </c>
      <c r="G2277" s="21" t="n">
        <v>0</v>
      </c>
      <c r="H2277" s="21" t="n">
        <v>0</v>
      </c>
      <c r="I2277" s="21" t="n">
        <v>0</v>
      </c>
      <c r="J2277" s="21" t="n">
        <v>0</v>
      </c>
      <c r="K2277" s="21" t="n">
        <v>0</v>
      </c>
      <c r="L2277" s="21">
        <f>$B$1812</f>
        <v/>
      </c>
      <c r="M2277" s="21">
        <f>$B$1814</f>
        <v/>
      </c>
      <c r="N2277" s="21">
        <f>0</f>
        <v/>
      </c>
      <c r="O2277" s="21">
        <f>2*$B$1813</f>
        <v/>
      </c>
      <c r="P2277" s="21">
        <f>-$B$1812</f>
        <v/>
      </c>
      <c r="Q2277" s="21">
        <f>$B$1814</f>
        <v/>
      </c>
      <c r="R2277" s="21" t="n">
        <v>0</v>
      </c>
      <c r="S2277" s="21" t="n">
        <v>0</v>
      </c>
      <c r="T2277" s="21" t="n">
        <v>0</v>
      </c>
      <c r="U2277" s="21" t="n">
        <v>0</v>
      </c>
      <c r="V2277" s="21" t="n">
        <v>0</v>
      </c>
      <c r="W2277" s="21" t="n">
        <v>0</v>
      </c>
      <c r="X2277" s="21" t="n">
        <v>0</v>
      </c>
      <c r="Y2277" s="21" t="n">
        <v>0</v>
      </c>
      <c r="Z2277" s="21" t="n">
        <v>0</v>
      </c>
      <c r="AA2277" s="21" t="n">
        <v>0</v>
      </c>
      <c r="AB2277" s="21" t="n">
        <v>0</v>
      </c>
      <c r="AC2277" s="21" t="n">
        <v>0</v>
      </c>
      <c r="AD2277" s="21" t="n">
        <v>0</v>
      </c>
      <c r="AE2277" s="21" t="n">
        <v>0</v>
      </c>
      <c r="AF2277" s="21" t="n">
        <v>0</v>
      </c>
      <c r="AG2277" s="21" t="n">
        <v>0</v>
      </c>
      <c r="AH2277" s="21" t="n">
        <v>0</v>
      </c>
      <c r="AI2277" s="21" t="n">
        <v>0</v>
      </c>
      <c r="AJ2277" s="21" t="n">
        <v>0</v>
      </c>
      <c r="AK2277" s="21" t="n">
        <v>0</v>
      </c>
      <c r="AL2277" s="21" t="n">
        <v>0</v>
      </c>
      <c r="AM2277" s="21" t="n">
        <v>0</v>
      </c>
      <c r="AN2277" s="21" t="n">
        <v>0</v>
      </c>
      <c r="AO2277" s="21" t="n">
        <v>0</v>
      </c>
      <c r="AP2277" s="21" t="n">
        <v>0</v>
      </c>
      <c r="AQ2277" s="21" t="n">
        <v>0</v>
      </c>
      <c r="AR2277" s="21" t="n">
        <v>0</v>
      </c>
      <c r="AS2277" s="21" t="n">
        <v>0</v>
      </c>
      <c r="AT2277" s="19" t="n"/>
    </row>
    <row r="2278">
      <c r="D2278" s="21" t="n">
        <v>0</v>
      </c>
      <c r="E2278" s="21" t="n">
        <v>0</v>
      </c>
      <c r="F2278" s="21" t="n">
        <v>0</v>
      </c>
      <c r="G2278" s="21" t="n">
        <v>0</v>
      </c>
      <c r="H2278" s="21" t="n">
        <v>0</v>
      </c>
      <c r="I2278" s="21" t="n">
        <v>0</v>
      </c>
      <c r="J2278" s="21" t="n">
        <v>0</v>
      </c>
      <c r="K2278" s="21" t="n">
        <v>0</v>
      </c>
      <c r="L2278" s="21" t="n">
        <v>0</v>
      </c>
      <c r="M2278" s="21" t="n">
        <v>0</v>
      </c>
      <c r="N2278" s="21">
        <f>-$B$1811</f>
        <v/>
      </c>
      <c r="O2278" s="21">
        <f>-$B$1812</f>
        <v/>
      </c>
      <c r="P2278" s="21">
        <f>2*$B$1811+$D$2250</f>
        <v/>
      </c>
      <c r="Q2278" s="21">
        <f>0</f>
        <v/>
      </c>
      <c r="R2278" s="21">
        <f>-$B$1811</f>
        <v/>
      </c>
      <c r="S2278" s="21">
        <f>$B$1812</f>
        <v/>
      </c>
      <c r="T2278" s="21" t="n">
        <v>0</v>
      </c>
      <c r="U2278" s="21" t="n">
        <v>0</v>
      </c>
      <c r="V2278" s="21" t="n">
        <v>0</v>
      </c>
      <c r="W2278" s="21" t="n">
        <v>0</v>
      </c>
      <c r="X2278" s="21" t="n">
        <v>0</v>
      </c>
      <c r="Y2278" s="21" t="n">
        <v>0</v>
      </c>
      <c r="Z2278" s="21" t="n">
        <v>0</v>
      </c>
      <c r="AA2278" s="21" t="n">
        <v>0</v>
      </c>
      <c r="AB2278" s="21" t="n">
        <v>0</v>
      </c>
      <c r="AC2278" s="21" t="n">
        <v>0</v>
      </c>
      <c r="AD2278" s="21" t="n">
        <v>0</v>
      </c>
      <c r="AE2278" s="21" t="n">
        <v>0</v>
      </c>
      <c r="AF2278" s="21" t="n">
        <v>0</v>
      </c>
      <c r="AG2278" s="21" t="n">
        <v>0</v>
      </c>
      <c r="AH2278" s="21" t="n">
        <v>0</v>
      </c>
      <c r="AI2278" s="21" t="n">
        <v>0</v>
      </c>
      <c r="AJ2278" s="21" t="n">
        <v>0</v>
      </c>
      <c r="AK2278" s="21" t="n">
        <v>0</v>
      </c>
      <c r="AL2278" s="21" t="n">
        <v>0</v>
      </c>
      <c r="AM2278" s="21" t="n">
        <v>0</v>
      </c>
      <c r="AN2278" s="21" t="n">
        <v>0</v>
      </c>
      <c r="AO2278" s="21" t="n">
        <v>0</v>
      </c>
      <c r="AP2278" s="21" t="n">
        <v>0</v>
      </c>
      <c r="AQ2278" s="21" t="n">
        <v>0</v>
      </c>
      <c r="AR2278" s="21" t="n">
        <v>0</v>
      </c>
      <c r="AS2278" s="21" t="n">
        <v>0</v>
      </c>
      <c r="AT2278" s="19" t="n"/>
    </row>
    <row r="2279">
      <c r="D2279" s="21" t="n">
        <v>0</v>
      </c>
      <c r="E2279" s="21" t="n">
        <v>0</v>
      </c>
      <c r="F2279" s="21" t="n">
        <v>0</v>
      </c>
      <c r="G2279" s="21" t="n">
        <v>0</v>
      </c>
      <c r="H2279" s="21" t="n">
        <v>0</v>
      </c>
      <c r="I2279" s="21" t="n">
        <v>0</v>
      </c>
      <c r="J2279" s="21" t="n">
        <v>0</v>
      </c>
      <c r="K2279" s="21" t="n">
        <v>0</v>
      </c>
      <c r="L2279" s="21" t="n">
        <v>0</v>
      </c>
      <c r="M2279" s="21" t="n">
        <v>0</v>
      </c>
      <c r="N2279" s="21">
        <f>$B$1812</f>
        <v/>
      </c>
      <c r="O2279" s="21">
        <f>$B$1814</f>
        <v/>
      </c>
      <c r="P2279" s="21">
        <f>0</f>
        <v/>
      </c>
      <c r="Q2279" s="21">
        <f>2*$B$1813</f>
        <v/>
      </c>
      <c r="R2279" s="21">
        <f>-$B$1812</f>
        <v/>
      </c>
      <c r="S2279" s="21">
        <f>$B$1814</f>
        <v/>
      </c>
      <c r="T2279" s="21" t="n">
        <v>0</v>
      </c>
      <c r="U2279" s="21" t="n">
        <v>0</v>
      </c>
      <c r="V2279" s="21" t="n">
        <v>0</v>
      </c>
      <c r="W2279" s="21" t="n">
        <v>0</v>
      </c>
      <c r="X2279" s="21" t="n">
        <v>0</v>
      </c>
      <c r="Y2279" s="21" t="n">
        <v>0</v>
      </c>
      <c r="Z2279" s="21" t="n">
        <v>0</v>
      </c>
      <c r="AA2279" s="21" t="n">
        <v>0</v>
      </c>
      <c r="AB2279" s="21" t="n">
        <v>0</v>
      </c>
      <c r="AC2279" s="21" t="n">
        <v>0</v>
      </c>
      <c r="AD2279" s="21" t="n">
        <v>0</v>
      </c>
      <c r="AE2279" s="21" t="n">
        <v>0</v>
      </c>
      <c r="AF2279" s="21" t="n">
        <v>0</v>
      </c>
      <c r="AG2279" s="21" t="n">
        <v>0</v>
      </c>
      <c r="AH2279" s="21" t="n">
        <v>0</v>
      </c>
      <c r="AI2279" s="21" t="n">
        <v>0</v>
      </c>
      <c r="AJ2279" s="21" t="n">
        <v>0</v>
      </c>
      <c r="AK2279" s="21" t="n">
        <v>0</v>
      </c>
      <c r="AL2279" s="21" t="n">
        <v>0</v>
      </c>
      <c r="AM2279" s="21" t="n">
        <v>0</v>
      </c>
      <c r="AN2279" s="21" t="n">
        <v>0</v>
      </c>
      <c r="AO2279" s="21" t="n">
        <v>0</v>
      </c>
      <c r="AP2279" s="21" t="n">
        <v>0</v>
      </c>
      <c r="AQ2279" s="21" t="n">
        <v>0</v>
      </c>
      <c r="AR2279" s="21" t="n">
        <v>0</v>
      </c>
      <c r="AS2279" s="21" t="n">
        <v>0</v>
      </c>
      <c r="AT2279" s="19" t="n"/>
    </row>
    <row r="2280">
      <c r="D2280" s="21" t="n">
        <v>0</v>
      </c>
      <c r="E2280" s="21" t="n">
        <v>0</v>
      </c>
      <c r="F2280" s="21" t="n">
        <v>0</v>
      </c>
      <c r="G2280" s="21" t="n">
        <v>0</v>
      </c>
      <c r="H2280" s="21" t="n">
        <v>0</v>
      </c>
      <c r="I2280" s="21" t="n">
        <v>0</v>
      </c>
      <c r="J2280" s="21" t="n">
        <v>0</v>
      </c>
      <c r="K2280" s="21" t="n">
        <v>0</v>
      </c>
      <c r="L2280" s="21" t="n">
        <v>0</v>
      </c>
      <c r="M2280" s="21" t="n">
        <v>0</v>
      </c>
      <c r="N2280" s="21" t="n">
        <v>0</v>
      </c>
      <c r="O2280" s="21" t="n">
        <v>0</v>
      </c>
      <c r="P2280" s="21">
        <f>-$B$1811</f>
        <v/>
      </c>
      <c r="Q2280" s="21">
        <f>-$B$1812</f>
        <v/>
      </c>
      <c r="R2280" s="21">
        <f>2*$B$1811+$D$2251</f>
        <v/>
      </c>
      <c r="S2280" s="21">
        <f>0</f>
        <v/>
      </c>
      <c r="T2280" s="21">
        <f>-$B$1811</f>
        <v/>
      </c>
      <c r="U2280" s="21">
        <f>$B$1812</f>
        <v/>
      </c>
      <c r="V2280" s="21" t="n">
        <v>0</v>
      </c>
      <c r="W2280" s="21" t="n">
        <v>0</v>
      </c>
      <c r="X2280" s="21" t="n">
        <v>0</v>
      </c>
      <c r="Y2280" s="21" t="n">
        <v>0</v>
      </c>
      <c r="Z2280" s="21" t="n">
        <v>0</v>
      </c>
      <c r="AA2280" s="21" t="n">
        <v>0</v>
      </c>
      <c r="AB2280" s="21" t="n">
        <v>0</v>
      </c>
      <c r="AC2280" s="21" t="n">
        <v>0</v>
      </c>
      <c r="AD2280" s="21" t="n">
        <v>0</v>
      </c>
      <c r="AE2280" s="21" t="n">
        <v>0</v>
      </c>
      <c r="AF2280" s="21" t="n">
        <v>0</v>
      </c>
      <c r="AG2280" s="21" t="n">
        <v>0</v>
      </c>
      <c r="AH2280" s="21" t="n">
        <v>0</v>
      </c>
      <c r="AI2280" s="21" t="n">
        <v>0</v>
      </c>
      <c r="AJ2280" s="21" t="n">
        <v>0</v>
      </c>
      <c r="AK2280" s="21" t="n">
        <v>0</v>
      </c>
      <c r="AL2280" s="21" t="n">
        <v>0</v>
      </c>
      <c r="AM2280" s="21" t="n">
        <v>0</v>
      </c>
      <c r="AN2280" s="21" t="n">
        <v>0</v>
      </c>
      <c r="AO2280" s="21" t="n">
        <v>0</v>
      </c>
      <c r="AP2280" s="21" t="n">
        <v>0</v>
      </c>
      <c r="AQ2280" s="21" t="n">
        <v>0</v>
      </c>
      <c r="AR2280" s="21" t="n">
        <v>0</v>
      </c>
      <c r="AS2280" s="21" t="n">
        <v>0</v>
      </c>
      <c r="AT2280" s="19" t="n"/>
    </row>
    <row r="2281">
      <c r="D2281" s="21" t="n">
        <v>0</v>
      </c>
      <c r="E2281" s="21" t="n">
        <v>0</v>
      </c>
      <c r="F2281" s="21" t="n">
        <v>0</v>
      </c>
      <c r="G2281" s="21" t="n">
        <v>0</v>
      </c>
      <c r="H2281" s="21" t="n">
        <v>0</v>
      </c>
      <c r="I2281" s="21" t="n">
        <v>0</v>
      </c>
      <c r="J2281" s="21" t="n">
        <v>0</v>
      </c>
      <c r="K2281" s="21" t="n">
        <v>0</v>
      </c>
      <c r="L2281" s="21" t="n">
        <v>0</v>
      </c>
      <c r="M2281" s="21" t="n">
        <v>0</v>
      </c>
      <c r="N2281" s="21" t="n">
        <v>0</v>
      </c>
      <c r="O2281" s="21" t="n">
        <v>0</v>
      </c>
      <c r="P2281" s="21">
        <f>$B$1812</f>
        <v/>
      </c>
      <c r="Q2281" s="21">
        <f>$B$1814</f>
        <v/>
      </c>
      <c r="R2281" s="21">
        <f>0</f>
        <v/>
      </c>
      <c r="S2281" s="21">
        <f>2*$B$1813</f>
        <v/>
      </c>
      <c r="T2281" s="21">
        <f>-$B$1812</f>
        <v/>
      </c>
      <c r="U2281" s="21">
        <f>$B$1814</f>
        <v/>
      </c>
      <c r="V2281" s="21" t="n">
        <v>0</v>
      </c>
      <c r="W2281" s="21" t="n">
        <v>0</v>
      </c>
      <c r="X2281" s="21" t="n">
        <v>0</v>
      </c>
      <c r="Y2281" s="21" t="n">
        <v>0</v>
      </c>
      <c r="Z2281" s="21" t="n">
        <v>0</v>
      </c>
      <c r="AA2281" s="21" t="n">
        <v>0</v>
      </c>
      <c r="AB2281" s="21" t="n">
        <v>0</v>
      </c>
      <c r="AC2281" s="21" t="n">
        <v>0</v>
      </c>
      <c r="AD2281" s="21" t="n">
        <v>0</v>
      </c>
      <c r="AE2281" s="21" t="n">
        <v>0</v>
      </c>
      <c r="AF2281" s="21" t="n">
        <v>0</v>
      </c>
      <c r="AG2281" s="21" t="n">
        <v>0</v>
      </c>
      <c r="AH2281" s="21" t="n">
        <v>0</v>
      </c>
      <c r="AI2281" s="21" t="n">
        <v>0</v>
      </c>
      <c r="AJ2281" s="21" t="n">
        <v>0</v>
      </c>
      <c r="AK2281" s="21" t="n">
        <v>0</v>
      </c>
      <c r="AL2281" s="21" t="n">
        <v>0</v>
      </c>
      <c r="AM2281" s="21" t="n">
        <v>0</v>
      </c>
      <c r="AN2281" s="21" t="n">
        <v>0</v>
      </c>
      <c r="AO2281" s="21" t="n">
        <v>0</v>
      </c>
      <c r="AP2281" s="21" t="n">
        <v>0</v>
      </c>
      <c r="AQ2281" s="21" t="n">
        <v>0</v>
      </c>
      <c r="AR2281" s="21" t="n">
        <v>0</v>
      </c>
      <c r="AS2281" s="21" t="n">
        <v>0</v>
      </c>
      <c r="AT2281" s="19" t="n"/>
    </row>
    <row r="2282">
      <c r="D2282" s="21" t="n">
        <v>0</v>
      </c>
      <c r="E2282" s="21" t="n">
        <v>0</v>
      </c>
      <c r="F2282" s="21" t="n">
        <v>0</v>
      </c>
      <c r="G2282" s="21" t="n">
        <v>0</v>
      </c>
      <c r="H2282" s="21" t="n">
        <v>0</v>
      </c>
      <c r="I2282" s="21" t="n">
        <v>0</v>
      </c>
      <c r="J2282" s="21" t="n">
        <v>0</v>
      </c>
      <c r="K2282" s="21" t="n">
        <v>0</v>
      </c>
      <c r="L2282" s="21" t="n">
        <v>0</v>
      </c>
      <c r="M2282" s="21" t="n">
        <v>0</v>
      </c>
      <c r="N2282" s="21" t="n">
        <v>0</v>
      </c>
      <c r="O2282" s="21" t="n">
        <v>0</v>
      </c>
      <c r="P2282" s="21" t="n">
        <v>0</v>
      </c>
      <c r="Q2282" s="21" t="n">
        <v>0</v>
      </c>
      <c r="R2282" s="21">
        <f>-$B$1811</f>
        <v/>
      </c>
      <c r="S2282" s="21">
        <f>-$B$1812</f>
        <v/>
      </c>
      <c r="T2282" s="21">
        <f>2*$B$1811+$D$2252</f>
        <v/>
      </c>
      <c r="U2282" s="21">
        <f>0</f>
        <v/>
      </c>
      <c r="V2282" s="21">
        <f>-$B$1811</f>
        <v/>
      </c>
      <c r="W2282" s="21">
        <f>$B$1812</f>
        <v/>
      </c>
      <c r="X2282" s="21" t="n">
        <v>0</v>
      </c>
      <c r="Y2282" s="21" t="n">
        <v>0</v>
      </c>
      <c r="Z2282" s="21" t="n">
        <v>0</v>
      </c>
      <c r="AA2282" s="21" t="n">
        <v>0</v>
      </c>
      <c r="AB2282" s="21" t="n">
        <v>0</v>
      </c>
      <c r="AC2282" s="21" t="n">
        <v>0</v>
      </c>
      <c r="AD2282" s="21" t="n">
        <v>0</v>
      </c>
      <c r="AE2282" s="21" t="n">
        <v>0</v>
      </c>
      <c r="AF2282" s="21" t="n">
        <v>0</v>
      </c>
      <c r="AG2282" s="21" t="n">
        <v>0</v>
      </c>
      <c r="AH2282" s="21" t="n">
        <v>0</v>
      </c>
      <c r="AI2282" s="21" t="n">
        <v>0</v>
      </c>
      <c r="AJ2282" s="21" t="n">
        <v>0</v>
      </c>
      <c r="AK2282" s="21" t="n">
        <v>0</v>
      </c>
      <c r="AL2282" s="21" t="n">
        <v>0</v>
      </c>
      <c r="AM2282" s="21" t="n">
        <v>0</v>
      </c>
      <c r="AN2282" s="21" t="n">
        <v>0</v>
      </c>
      <c r="AO2282" s="21" t="n">
        <v>0</v>
      </c>
      <c r="AP2282" s="21" t="n">
        <v>0</v>
      </c>
      <c r="AQ2282" s="21" t="n">
        <v>0</v>
      </c>
      <c r="AR2282" s="21" t="n">
        <v>0</v>
      </c>
      <c r="AS2282" s="21" t="n">
        <v>0</v>
      </c>
      <c r="AT2282" s="19" t="n"/>
    </row>
    <row r="2283">
      <c r="D2283" s="21" t="n">
        <v>0</v>
      </c>
      <c r="E2283" s="21" t="n">
        <v>0</v>
      </c>
      <c r="F2283" s="21" t="n">
        <v>0</v>
      </c>
      <c r="G2283" s="21" t="n">
        <v>0</v>
      </c>
      <c r="H2283" s="21" t="n">
        <v>0</v>
      </c>
      <c r="I2283" s="21" t="n">
        <v>0</v>
      </c>
      <c r="J2283" s="21" t="n">
        <v>0</v>
      </c>
      <c r="K2283" s="21" t="n">
        <v>0</v>
      </c>
      <c r="L2283" s="21" t="n">
        <v>0</v>
      </c>
      <c r="M2283" s="21" t="n">
        <v>0</v>
      </c>
      <c r="N2283" s="21" t="n">
        <v>0</v>
      </c>
      <c r="O2283" s="21" t="n">
        <v>0</v>
      </c>
      <c r="P2283" s="21" t="n">
        <v>0</v>
      </c>
      <c r="Q2283" s="21" t="n">
        <v>0</v>
      </c>
      <c r="R2283" s="21">
        <f>$B$1812</f>
        <v/>
      </c>
      <c r="S2283" s="21">
        <f>$B$1814</f>
        <v/>
      </c>
      <c r="T2283" s="21">
        <f>0</f>
        <v/>
      </c>
      <c r="U2283" s="21">
        <f>2*$B$1813</f>
        <v/>
      </c>
      <c r="V2283" s="21">
        <f>-$B$1812</f>
        <v/>
      </c>
      <c r="W2283" s="21">
        <f>$B$1814</f>
        <v/>
      </c>
      <c r="X2283" s="21" t="n">
        <v>0</v>
      </c>
      <c r="Y2283" s="21" t="n">
        <v>0</v>
      </c>
      <c r="Z2283" s="21" t="n">
        <v>0</v>
      </c>
      <c r="AA2283" s="21" t="n">
        <v>0</v>
      </c>
      <c r="AB2283" s="21" t="n">
        <v>0</v>
      </c>
      <c r="AC2283" s="21" t="n">
        <v>0</v>
      </c>
      <c r="AD2283" s="21" t="n">
        <v>0</v>
      </c>
      <c r="AE2283" s="21" t="n">
        <v>0</v>
      </c>
      <c r="AF2283" s="21" t="n">
        <v>0</v>
      </c>
      <c r="AG2283" s="21" t="n">
        <v>0</v>
      </c>
      <c r="AH2283" s="21" t="n">
        <v>0</v>
      </c>
      <c r="AI2283" s="21" t="n">
        <v>0</v>
      </c>
      <c r="AJ2283" s="21" t="n">
        <v>0</v>
      </c>
      <c r="AK2283" s="21" t="n">
        <v>0</v>
      </c>
      <c r="AL2283" s="21" t="n">
        <v>0</v>
      </c>
      <c r="AM2283" s="21" t="n">
        <v>0</v>
      </c>
      <c r="AN2283" s="21" t="n">
        <v>0</v>
      </c>
      <c r="AO2283" s="21" t="n">
        <v>0</v>
      </c>
      <c r="AP2283" s="21" t="n">
        <v>0</v>
      </c>
      <c r="AQ2283" s="21" t="n">
        <v>0</v>
      </c>
      <c r="AR2283" s="21" t="n">
        <v>0</v>
      </c>
      <c r="AS2283" s="21" t="n">
        <v>0</v>
      </c>
      <c r="AT2283" s="19" t="n"/>
    </row>
    <row r="2284">
      <c r="D2284" s="21" t="n">
        <v>0</v>
      </c>
      <c r="E2284" s="21" t="n">
        <v>0</v>
      </c>
      <c r="F2284" s="21" t="n">
        <v>0</v>
      </c>
      <c r="G2284" s="21" t="n">
        <v>0</v>
      </c>
      <c r="H2284" s="21" t="n">
        <v>0</v>
      </c>
      <c r="I2284" s="21" t="n">
        <v>0</v>
      </c>
      <c r="J2284" s="21" t="n">
        <v>0</v>
      </c>
      <c r="K2284" s="21" t="n">
        <v>0</v>
      </c>
      <c r="L2284" s="21" t="n">
        <v>0</v>
      </c>
      <c r="M2284" s="21" t="n">
        <v>0</v>
      </c>
      <c r="N2284" s="21" t="n">
        <v>0</v>
      </c>
      <c r="O2284" s="21" t="n">
        <v>0</v>
      </c>
      <c r="P2284" s="21" t="n">
        <v>0</v>
      </c>
      <c r="Q2284" s="21" t="n">
        <v>0</v>
      </c>
      <c r="R2284" s="21" t="n">
        <v>0</v>
      </c>
      <c r="S2284" s="21" t="n">
        <v>0</v>
      </c>
      <c r="T2284" s="21">
        <f>-$B$1811</f>
        <v/>
      </c>
      <c r="U2284" s="21">
        <f>-$B$1812</f>
        <v/>
      </c>
      <c r="V2284" s="21">
        <f>2*$B$1811+$D$2253</f>
        <v/>
      </c>
      <c r="W2284" s="21">
        <f>0</f>
        <v/>
      </c>
      <c r="X2284" s="21">
        <f>-$B$1811</f>
        <v/>
      </c>
      <c r="Y2284" s="21">
        <f>$B$1812</f>
        <v/>
      </c>
      <c r="Z2284" s="21" t="n">
        <v>0</v>
      </c>
      <c r="AA2284" s="21" t="n">
        <v>0</v>
      </c>
      <c r="AB2284" s="21" t="n">
        <v>0</v>
      </c>
      <c r="AC2284" s="21" t="n">
        <v>0</v>
      </c>
      <c r="AD2284" s="21" t="n">
        <v>0</v>
      </c>
      <c r="AE2284" s="21" t="n">
        <v>0</v>
      </c>
      <c r="AF2284" s="21" t="n">
        <v>0</v>
      </c>
      <c r="AG2284" s="21" t="n">
        <v>0</v>
      </c>
      <c r="AH2284" s="21" t="n">
        <v>0</v>
      </c>
      <c r="AI2284" s="21" t="n">
        <v>0</v>
      </c>
      <c r="AJ2284" s="21" t="n">
        <v>0</v>
      </c>
      <c r="AK2284" s="21" t="n">
        <v>0</v>
      </c>
      <c r="AL2284" s="21" t="n">
        <v>0</v>
      </c>
      <c r="AM2284" s="21" t="n">
        <v>0</v>
      </c>
      <c r="AN2284" s="21" t="n">
        <v>0</v>
      </c>
      <c r="AO2284" s="21" t="n">
        <v>0</v>
      </c>
      <c r="AP2284" s="21" t="n">
        <v>0</v>
      </c>
      <c r="AQ2284" s="21" t="n">
        <v>0</v>
      </c>
      <c r="AR2284" s="21" t="n">
        <v>0</v>
      </c>
      <c r="AS2284" s="21" t="n">
        <v>0</v>
      </c>
      <c r="AT2284" s="19" t="n"/>
    </row>
    <row r="2285">
      <c r="D2285" s="21" t="n">
        <v>0</v>
      </c>
      <c r="E2285" s="21" t="n">
        <v>0</v>
      </c>
      <c r="F2285" s="21" t="n">
        <v>0</v>
      </c>
      <c r="G2285" s="21" t="n">
        <v>0</v>
      </c>
      <c r="H2285" s="21" t="n">
        <v>0</v>
      </c>
      <c r="I2285" s="21" t="n">
        <v>0</v>
      </c>
      <c r="J2285" s="21" t="n">
        <v>0</v>
      </c>
      <c r="K2285" s="21" t="n">
        <v>0</v>
      </c>
      <c r="L2285" s="21" t="n">
        <v>0</v>
      </c>
      <c r="M2285" s="21" t="n">
        <v>0</v>
      </c>
      <c r="N2285" s="21" t="n">
        <v>0</v>
      </c>
      <c r="O2285" s="21" t="n">
        <v>0</v>
      </c>
      <c r="P2285" s="21" t="n">
        <v>0</v>
      </c>
      <c r="Q2285" s="21" t="n">
        <v>0</v>
      </c>
      <c r="R2285" s="21" t="n">
        <v>0</v>
      </c>
      <c r="S2285" s="21" t="n">
        <v>0</v>
      </c>
      <c r="T2285" s="21">
        <f>$B$1812</f>
        <v/>
      </c>
      <c r="U2285" s="21">
        <f>$B$1814</f>
        <v/>
      </c>
      <c r="V2285" s="21">
        <f>0</f>
        <v/>
      </c>
      <c r="W2285" s="21">
        <f>2*$B$1813</f>
        <v/>
      </c>
      <c r="X2285" s="21">
        <f>-$B$1812</f>
        <v/>
      </c>
      <c r="Y2285" s="21">
        <f>$B$1814</f>
        <v/>
      </c>
      <c r="Z2285" s="21" t="n">
        <v>0</v>
      </c>
      <c r="AA2285" s="21" t="n">
        <v>0</v>
      </c>
      <c r="AB2285" s="21" t="n">
        <v>0</v>
      </c>
      <c r="AC2285" s="21" t="n">
        <v>0</v>
      </c>
      <c r="AD2285" s="21" t="n">
        <v>0</v>
      </c>
      <c r="AE2285" s="21" t="n">
        <v>0</v>
      </c>
      <c r="AF2285" s="21" t="n">
        <v>0</v>
      </c>
      <c r="AG2285" s="21" t="n">
        <v>0</v>
      </c>
      <c r="AH2285" s="21" t="n">
        <v>0</v>
      </c>
      <c r="AI2285" s="21" t="n">
        <v>0</v>
      </c>
      <c r="AJ2285" s="21" t="n">
        <v>0</v>
      </c>
      <c r="AK2285" s="21" t="n">
        <v>0</v>
      </c>
      <c r="AL2285" s="21" t="n">
        <v>0</v>
      </c>
      <c r="AM2285" s="21" t="n">
        <v>0</v>
      </c>
      <c r="AN2285" s="21" t="n">
        <v>0</v>
      </c>
      <c r="AO2285" s="21" t="n">
        <v>0</v>
      </c>
      <c r="AP2285" s="21" t="n">
        <v>0</v>
      </c>
      <c r="AQ2285" s="21" t="n">
        <v>0</v>
      </c>
      <c r="AR2285" s="21" t="n">
        <v>0</v>
      </c>
      <c r="AS2285" s="21" t="n">
        <v>0</v>
      </c>
      <c r="AT2285" s="19" t="n"/>
    </row>
    <row r="2286">
      <c r="D2286" s="21" t="n">
        <v>0</v>
      </c>
      <c r="E2286" s="21" t="n">
        <v>0</v>
      </c>
      <c r="F2286" s="21" t="n">
        <v>0</v>
      </c>
      <c r="G2286" s="21" t="n">
        <v>0</v>
      </c>
      <c r="H2286" s="21" t="n">
        <v>0</v>
      </c>
      <c r="I2286" s="21" t="n">
        <v>0</v>
      </c>
      <c r="J2286" s="21" t="n">
        <v>0</v>
      </c>
      <c r="K2286" s="21" t="n">
        <v>0</v>
      </c>
      <c r="L2286" s="21" t="n">
        <v>0</v>
      </c>
      <c r="M2286" s="21" t="n">
        <v>0</v>
      </c>
      <c r="N2286" s="21" t="n">
        <v>0</v>
      </c>
      <c r="O2286" s="21" t="n">
        <v>0</v>
      </c>
      <c r="P2286" s="21" t="n">
        <v>0</v>
      </c>
      <c r="Q2286" s="21" t="n">
        <v>0</v>
      </c>
      <c r="R2286" s="21" t="n">
        <v>0</v>
      </c>
      <c r="S2286" s="21" t="n">
        <v>0</v>
      </c>
      <c r="T2286" s="21" t="n">
        <v>0</v>
      </c>
      <c r="U2286" s="21" t="n">
        <v>0</v>
      </c>
      <c r="V2286" s="21">
        <f>-$B$1811</f>
        <v/>
      </c>
      <c r="W2286" s="21">
        <f>-$B$1812</f>
        <v/>
      </c>
      <c r="X2286" s="21">
        <f>2*$B$1811+$D$2254</f>
        <v/>
      </c>
      <c r="Y2286" s="21">
        <f>0</f>
        <v/>
      </c>
      <c r="Z2286" s="21">
        <f>-$B$1811</f>
        <v/>
      </c>
      <c r="AA2286" s="21">
        <f>$B$1812</f>
        <v/>
      </c>
      <c r="AB2286" s="21" t="n">
        <v>0</v>
      </c>
      <c r="AC2286" s="21" t="n">
        <v>0</v>
      </c>
      <c r="AD2286" s="21" t="n">
        <v>0</v>
      </c>
      <c r="AE2286" s="21" t="n">
        <v>0</v>
      </c>
      <c r="AF2286" s="21" t="n">
        <v>0</v>
      </c>
      <c r="AG2286" s="21" t="n">
        <v>0</v>
      </c>
      <c r="AH2286" s="21" t="n">
        <v>0</v>
      </c>
      <c r="AI2286" s="21" t="n">
        <v>0</v>
      </c>
      <c r="AJ2286" s="21" t="n">
        <v>0</v>
      </c>
      <c r="AK2286" s="21" t="n">
        <v>0</v>
      </c>
      <c r="AL2286" s="21" t="n">
        <v>0</v>
      </c>
      <c r="AM2286" s="21" t="n">
        <v>0</v>
      </c>
      <c r="AN2286" s="21" t="n">
        <v>0</v>
      </c>
      <c r="AO2286" s="21" t="n">
        <v>0</v>
      </c>
      <c r="AP2286" s="21" t="n">
        <v>0</v>
      </c>
      <c r="AQ2286" s="21" t="n">
        <v>0</v>
      </c>
      <c r="AR2286" s="21" t="n">
        <v>0</v>
      </c>
      <c r="AS2286" s="21" t="n">
        <v>0</v>
      </c>
      <c r="AT2286" s="19" t="n"/>
    </row>
    <row r="2287">
      <c r="D2287" s="21" t="n">
        <v>0</v>
      </c>
      <c r="E2287" s="21" t="n">
        <v>0</v>
      </c>
      <c r="F2287" s="21" t="n">
        <v>0</v>
      </c>
      <c r="G2287" s="21" t="n">
        <v>0</v>
      </c>
      <c r="H2287" s="21" t="n">
        <v>0</v>
      </c>
      <c r="I2287" s="21" t="n">
        <v>0</v>
      </c>
      <c r="J2287" s="21" t="n">
        <v>0</v>
      </c>
      <c r="K2287" s="21" t="n">
        <v>0</v>
      </c>
      <c r="L2287" s="21" t="n">
        <v>0</v>
      </c>
      <c r="M2287" s="21" t="n">
        <v>0</v>
      </c>
      <c r="N2287" s="21" t="n">
        <v>0</v>
      </c>
      <c r="O2287" s="21" t="n">
        <v>0</v>
      </c>
      <c r="P2287" s="21" t="n">
        <v>0</v>
      </c>
      <c r="Q2287" s="21" t="n">
        <v>0</v>
      </c>
      <c r="R2287" s="21" t="n">
        <v>0</v>
      </c>
      <c r="S2287" s="21" t="n">
        <v>0</v>
      </c>
      <c r="T2287" s="21" t="n">
        <v>0</v>
      </c>
      <c r="U2287" s="21" t="n">
        <v>0</v>
      </c>
      <c r="V2287" s="21">
        <f>$B$1812</f>
        <v/>
      </c>
      <c r="W2287" s="21">
        <f>$B$1814</f>
        <v/>
      </c>
      <c r="X2287" s="21">
        <f>0</f>
        <v/>
      </c>
      <c r="Y2287" s="21">
        <f>2*$B$1813</f>
        <v/>
      </c>
      <c r="Z2287" s="21">
        <f>-$B$1812</f>
        <v/>
      </c>
      <c r="AA2287" s="21">
        <f>$B$1814</f>
        <v/>
      </c>
      <c r="AB2287" s="21" t="n">
        <v>0</v>
      </c>
      <c r="AC2287" s="21" t="n">
        <v>0</v>
      </c>
      <c r="AD2287" s="21" t="n">
        <v>0</v>
      </c>
      <c r="AE2287" s="21" t="n">
        <v>0</v>
      </c>
      <c r="AF2287" s="21" t="n">
        <v>0</v>
      </c>
      <c r="AG2287" s="21" t="n">
        <v>0</v>
      </c>
      <c r="AH2287" s="21" t="n">
        <v>0</v>
      </c>
      <c r="AI2287" s="21" t="n">
        <v>0</v>
      </c>
      <c r="AJ2287" s="21" t="n">
        <v>0</v>
      </c>
      <c r="AK2287" s="21" t="n">
        <v>0</v>
      </c>
      <c r="AL2287" s="21" t="n">
        <v>0</v>
      </c>
      <c r="AM2287" s="21" t="n">
        <v>0</v>
      </c>
      <c r="AN2287" s="21" t="n">
        <v>0</v>
      </c>
      <c r="AO2287" s="21" t="n">
        <v>0</v>
      </c>
      <c r="AP2287" s="21" t="n">
        <v>0</v>
      </c>
      <c r="AQ2287" s="21" t="n">
        <v>0</v>
      </c>
      <c r="AR2287" s="21" t="n">
        <v>0</v>
      </c>
      <c r="AS2287" s="21" t="n">
        <v>0</v>
      </c>
      <c r="AT2287" s="19" t="n"/>
    </row>
    <row r="2288">
      <c r="D2288" s="21" t="n">
        <v>0</v>
      </c>
      <c r="E2288" s="21" t="n">
        <v>0</v>
      </c>
      <c r="F2288" s="21" t="n">
        <v>0</v>
      </c>
      <c r="G2288" s="21" t="n">
        <v>0</v>
      </c>
      <c r="H2288" s="21" t="n">
        <v>0</v>
      </c>
      <c r="I2288" s="21" t="n">
        <v>0</v>
      </c>
      <c r="J2288" s="21" t="n">
        <v>0</v>
      </c>
      <c r="K2288" s="21" t="n">
        <v>0</v>
      </c>
      <c r="L2288" s="21" t="n">
        <v>0</v>
      </c>
      <c r="M2288" s="21" t="n">
        <v>0</v>
      </c>
      <c r="N2288" s="21" t="n">
        <v>0</v>
      </c>
      <c r="O2288" s="21" t="n">
        <v>0</v>
      </c>
      <c r="P2288" s="21" t="n">
        <v>0</v>
      </c>
      <c r="Q2288" s="21" t="n">
        <v>0</v>
      </c>
      <c r="R2288" s="21" t="n">
        <v>0</v>
      </c>
      <c r="S2288" s="21" t="n">
        <v>0</v>
      </c>
      <c r="T2288" s="21" t="n">
        <v>0</v>
      </c>
      <c r="U2288" s="21" t="n">
        <v>0</v>
      </c>
      <c r="V2288" s="21" t="n">
        <v>0</v>
      </c>
      <c r="W2288" s="21" t="n">
        <v>0</v>
      </c>
      <c r="X2288" s="21">
        <f>-$B$1811</f>
        <v/>
      </c>
      <c r="Y2288" s="21">
        <f>-$B$1812</f>
        <v/>
      </c>
      <c r="Z2288" s="21">
        <f>2*$B$1811+$D$2255</f>
        <v/>
      </c>
      <c r="AA2288" s="21">
        <f>0</f>
        <v/>
      </c>
      <c r="AB2288" s="21">
        <f>-$B$1811</f>
        <v/>
      </c>
      <c r="AC2288" s="21">
        <f>$B$1812</f>
        <v/>
      </c>
      <c r="AD2288" s="21" t="n">
        <v>0</v>
      </c>
      <c r="AE2288" s="21" t="n">
        <v>0</v>
      </c>
      <c r="AF2288" s="21" t="n">
        <v>0</v>
      </c>
      <c r="AG2288" s="21" t="n">
        <v>0</v>
      </c>
      <c r="AH2288" s="21" t="n">
        <v>0</v>
      </c>
      <c r="AI2288" s="21" t="n">
        <v>0</v>
      </c>
      <c r="AJ2288" s="21" t="n">
        <v>0</v>
      </c>
      <c r="AK2288" s="21" t="n">
        <v>0</v>
      </c>
      <c r="AL2288" s="21" t="n">
        <v>0</v>
      </c>
      <c r="AM2288" s="21" t="n">
        <v>0</v>
      </c>
      <c r="AN2288" s="21" t="n">
        <v>0</v>
      </c>
      <c r="AO2288" s="21" t="n">
        <v>0</v>
      </c>
      <c r="AP2288" s="21" t="n">
        <v>0</v>
      </c>
      <c r="AQ2288" s="21" t="n">
        <v>0</v>
      </c>
      <c r="AR2288" s="21" t="n">
        <v>0</v>
      </c>
      <c r="AS2288" s="21" t="n">
        <v>0</v>
      </c>
      <c r="AT2288" s="19" t="n"/>
    </row>
    <row r="2289">
      <c r="D2289" s="21" t="n">
        <v>0</v>
      </c>
      <c r="E2289" s="21" t="n">
        <v>0</v>
      </c>
      <c r="F2289" s="21" t="n">
        <v>0</v>
      </c>
      <c r="G2289" s="21" t="n">
        <v>0</v>
      </c>
      <c r="H2289" s="21" t="n">
        <v>0</v>
      </c>
      <c r="I2289" s="21" t="n">
        <v>0</v>
      </c>
      <c r="J2289" s="21" t="n">
        <v>0</v>
      </c>
      <c r="K2289" s="21" t="n">
        <v>0</v>
      </c>
      <c r="L2289" s="21" t="n">
        <v>0</v>
      </c>
      <c r="M2289" s="21" t="n">
        <v>0</v>
      </c>
      <c r="N2289" s="21" t="n">
        <v>0</v>
      </c>
      <c r="O2289" s="21" t="n">
        <v>0</v>
      </c>
      <c r="P2289" s="21" t="n">
        <v>0</v>
      </c>
      <c r="Q2289" s="21" t="n">
        <v>0</v>
      </c>
      <c r="R2289" s="21" t="n">
        <v>0</v>
      </c>
      <c r="S2289" s="21" t="n">
        <v>0</v>
      </c>
      <c r="T2289" s="21" t="n">
        <v>0</v>
      </c>
      <c r="U2289" s="21" t="n">
        <v>0</v>
      </c>
      <c r="V2289" s="21" t="n">
        <v>0</v>
      </c>
      <c r="W2289" s="21" t="n">
        <v>0</v>
      </c>
      <c r="X2289" s="21">
        <f>$B$1812</f>
        <v/>
      </c>
      <c r="Y2289" s="21">
        <f>$B$1814</f>
        <v/>
      </c>
      <c r="Z2289" s="21">
        <f>0</f>
        <v/>
      </c>
      <c r="AA2289" s="21">
        <f>2*$B$1813</f>
        <v/>
      </c>
      <c r="AB2289" s="21">
        <f>-$B$1812</f>
        <v/>
      </c>
      <c r="AC2289" s="21">
        <f>$B$1814</f>
        <v/>
      </c>
      <c r="AD2289" s="21" t="n">
        <v>0</v>
      </c>
      <c r="AE2289" s="21" t="n">
        <v>0</v>
      </c>
      <c r="AF2289" s="21" t="n">
        <v>0</v>
      </c>
      <c r="AG2289" s="21" t="n">
        <v>0</v>
      </c>
      <c r="AH2289" s="21" t="n">
        <v>0</v>
      </c>
      <c r="AI2289" s="21" t="n">
        <v>0</v>
      </c>
      <c r="AJ2289" s="21" t="n">
        <v>0</v>
      </c>
      <c r="AK2289" s="21" t="n">
        <v>0</v>
      </c>
      <c r="AL2289" s="21" t="n">
        <v>0</v>
      </c>
      <c r="AM2289" s="21" t="n">
        <v>0</v>
      </c>
      <c r="AN2289" s="21" t="n">
        <v>0</v>
      </c>
      <c r="AO2289" s="21" t="n">
        <v>0</v>
      </c>
      <c r="AP2289" s="21" t="n">
        <v>0</v>
      </c>
      <c r="AQ2289" s="21" t="n">
        <v>0</v>
      </c>
      <c r="AR2289" s="21" t="n">
        <v>0</v>
      </c>
      <c r="AS2289" s="21" t="n">
        <v>0</v>
      </c>
      <c r="AT2289" s="19" t="n"/>
    </row>
    <row r="2290">
      <c r="D2290" s="21" t="n">
        <v>0</v>
      </c>
      <c r="E2290" s="21" t="n">
        <v>0</v>
      </c>
      <c r="F2290" s="21" t="n">
        <v>0</v>
      </c>
      <c r="G2290" s="21" t="n">
        <v>0</v>
      </c>
      <c r="H2290" s="21" t="n">
        <v>0</v>
      </c>
      <c r="I2290" s="21" t="n">
        <v>0</v>
      </c>
      <c r="J2290" s="21" t="n">
        <v>0</v>
      </c>
      <c r="K2290" s="21" t="n">
        <v>0</v>
      </c>
      <c r="L2290" s="21" t="n">
        <v>0</v>
      </c>
      <c r="M2290" s="21" t="n">
        <v>0</v>
      </c>
      <c r="N2290" s="21" t="n">
        <v>0</v>
      </c>
      <c r="O2290" s="21" t="n">
        <v>0</v>
      </c>
      <c r="P2290" s="21" t="n">
        <v>0</v>
      </c>
      <c r="Q2290" s="21" t="n">
        <v>0</v>
      </c>
      <c r="R2290" s="21" t="n">
        <v>0</v>
      </c>
      <c r="S2290" s="21" t="n">
        <v>0</v>
      </c>
      <c r="T2290" s="21" t="n">
        <v>0</v>
      </c>
      <c r="U2290" s="21" t="n">
        <v>0</v>
      </c>
      <c r="V2290" s="21" t="n">
        <v>0</v>
      </c>
      <c r="W2290" s="21" t="n">
        <v>0</v>
      </c>
      <c r="X2290" s="21" t="n">
        <v>0</v>
      </c>
      <c r="Y2290" s="21" t="n">
        <v>0</v>
      </c>
      <c r="Z2290" s="21">
        <f>-$B$1811</f>
        <v/>
      </c>
      <c r="AA2290" s="21">
        <f>-$B$1812</f>
        <v/>
      </c>
      <c r="AB2290" s="21">
        <f>2*$B$1811+$D$2256</f>
        <v/>
      </c>
      <c r="AC2290" s="21">
        <f>0</f>
        <v/>
      </c>
      <c r="AD2290" s="21">
        <f>-$B$1811</f>
        <v/>
      </c>
      <c r="AE2290" s="21">
        <f>$B$1812</f>
        <v/>
      </c>
      <c r="AF2290" s="21" t="n">
        <v>0</v>
      </c>
      <c r="AG2290" s="21" t="n">
        <v>0</v>
      </c>
      <c r="AH2290" s="21" t="n">
        <v>0</v>
      </c>
      <c r="AI2290" s="21" t="n">
        <v>0</v>
      </c>
      <c r="AJ2290" s="21" t="n">
        <v>0</v>
      </c>
      <c r="AK2290" s="21" t="n">
        <v>0</v>
      </c>
      <c r="AL2290" s="21" t="n">
        <v>0</v>
      </c>
      <c r="AM2290" s="21" t="n">
        <v>0</v>
      </c>
      <c r="AN2290" s="21" t="n">
        <v>0</v>
      </c>
      <c r="AO2290" s="21" t="n">
        <v>0</v>
      </c>
      <c r="AP2290" s="21" t="n">
        <v>0</v>
      </c>
      <c r="AQ2290" s="21" t="n">
        <v>0</v>
      </c>
      <c r="AR2290" s="21" t="n">
        <v>0</v>
      </c>
      <c r="AS2290" s="21" t="n">
        <v>0</v>
      </c>
      <c r="AT2290" s="19" t="n"/>
    </row>
    <row r="2291">
      <c r="D2291" s="21" t="n">
        <v>0</v>
      </c>
      <c r="E2291" s="21" t="n">
        <v>0</v>
      </c>
      <c r="F2291" s="21" t="n">
        <v>0</v>
      </c>
      <c r="G2291" s="21" t="n">
        <v>0</v>
      </c>
      <c r="H2291" s="21" t="n">
        <v>0</v>
      </c>
      <c r="I2291" s="21" t="n">
        <v>0</v>
      </c>
      <c r="J2291" s="21" t="n">
        <v>0</v>
      </c>
      <c r="K2291" s="21" t="n">
        <v>0</v>
      </c>
      <c r="L2291" s="21" t="n">
        <v>0</v>
      </c>
      <c r="M2291" s="21" t="n">
        <v>0</v>
      </c>
      <c r="N2291" s="21" t="n">
        <v>0</v>
      </c>
      <c r="O2291" s="21" t="n">
        <v>0</v>
      </c>
      <c r="P2291" s="21" t="n">
        <v>0</v>
      </c>
      <c r="Q2291" s="21" t="n">
        <v>0</v>
      </c>
      <c r="R2291" s="21" t="n">
        <v>0</v>
      </c>
      <c r="S2291" s="21" t="n">
        <v>0</v>
      </c>
      <c r="T2291" s="21" t="n">
        <v>0</v>
      </c>
      <c r="U2291" s="21" t="n">
        <v>0</v>
      </c>
      <c r="V2291" s="21" t="n">
        <v>0</v>
      </c>
      <c r="W2291" s="21" t="n">
        <v>0</v>
      </c>
      <c r="X2291" s="21" t="n">
        <v>0</v>
      </c>
      <c r="Y2291" s="21" t="n">
        <v>0</v>
      </c>
      <c r="Z2291" s="21">
        <f>$B$1812</f>
        <v/>
      </c>
      <c r="AA2291" s="21">
        <f>$B$1814</f>
        <v/>
      </c>
      <c r="AB2291" s="21">
        <f>0</f>
        <v/>
      </c>
      <c r="AC2291" s="21">
        <f>2*$B$1813</f>
        <v/>
      </c>
      <c r="AD2291" s="21">
        <f>-$B$1812</f>
        <v/>
      </c>
      <c r="AE2291" s="21">
        <f>$B$1814</f>
        <v/>
      </c>
      <c r="AF2291" s="21" t="n">
        <v>0</v>
      </c>
      <c r="AG2291" s="21" t="n">
        <v>0</v>
      </c>
      <c r="AH2291" s="21" t="n">
        <v>0</v>
      </c>
      <c r="AI2291" s="21" t="n">
        <v>0</v>
      </c>
      <c r="AJ2291" s="21" t="n">
        <v>0</v>
      </c>
      <c r="AK2291" s="21" t="n">
        <v>0</v>
      </c>
      <c r="AL2291" s="21" t="n">
        <v>0</v>
      </c>
      <c r="AM2291" s="21" t="n">
        <v>0</v>
      </c>
      <c r="AN2291" s="21" t="n">
        <v>0</v>
      </c>
      <c r="AO2291" s="21" t="n">
        <v>0</v>
      </c>
      <c r="AP2291" s="21" t="n">
        <v>0</v>
      </c>
      <c r="AQ2291" s="21" t="n">
        <v>0</v>
      </c>
      <c r="AR2291" s="21" t="n">
        <v>0</v>
      </c>
      <c r="AS2291" s="21" t="n">
        <v>0</v>
      </c>
      <c r="AT2291" s="19" t="n"/>
    </row>
    <row r="2292">
      <c r="D2292" s="21" t="n">
        <v>0</v>
      </c>
      <c r="E2292" s="21" t="n">
        <v>0</v>
      </c>
      <c r="F2292" s="21" t="n">
        <v>0</v>
      </c>
      <c r="G2292" s="21" t="n">
        <v>0</v>
      </c>
      <c r="H2292" s="21" t="n">
        <v>0</v>
      </c>
      <c r="I2292" s="21" t="n">
        <v>0</v>
      </c>
      <c r="J2292" s="21" t="n">
        <v>0</v>
      </c>
      <c r="K2292" s="21" t="n">
        <v>0</v>
      </c>
      <c r="L2292" s="21" t="n">
        <v>0</v>
      </c>
      <c r="M2292" s="21" t="n">
        <v>0</v>
      </c>
      <c r="N2292" s="21" t="n">
        <v>0</v>
      </c>
      <c r="O2292" s="21" t="n">
        <v>0</v>
      </c>
      <c r="P2292" s="21" t="n">
        <v>0</v>
      </c>
      <c r="Q2292" s="21" t="n">
        <v>0</v>
      </c>
      <c r="R2292" s="21" t="n">
        <v>0</v>
      </c>
      <c r="S2292" s="21" t="n">
        <v>0</v>
      </c>
      <c r="T2292" s="21" t="n">
        <v>0</v>
      </c>
      <c r="U2292" s="21" t="n">
        <v>0</v>
      </c>
      <c r="V2292" s="21" t="n">
        <v>0</v>
      </c>
      <c r="W2292" s="21" t="n">
        <v>0</v>
      </c>
      <c r="X2292" s="21" t="n">
        <v>0</v>
      </c>
      <c r="Y2292" s="21" t="n">
        <v>0</v>
      </c>
      <c r="Z2292" s="21" t="n">
        <v>0</v>
      </c>
      <c r="AA2292" s="21" t="n">
        <v>0</v>
      </c>
      <c r="AB2292" s="21">
        <f>-$B$1811</f>
        <v/>
      </c>
      <c r="AC2292" s="21">
        <f>-$B$1812</f>
        <v/>
      </c>
      <c r="AD2292" s="21">
        <f>2*$B$1811+$D$2257</f>
        <v/>
      </c>
      <c r="AE2292" s="21">
        <f>0</f>
        <v/>
      </c>
      <c r="AF2292" s="21">
        <f>-$B$1811</f>
        <v/>
      </c>
      <c r="AG2292" s="21">
        <f>$B$1812</f>
        <v/>
      </c>
      <c r="AH2292" s="21" t="n">
        <v>0</v>
      </c>
      <c r="AI2292" s="21" t="n">
        <v>0</v>
      </c>
      <c r="AJ2292" s="21" t="n">
        <v>0</v>
      </c>
      <c r="AK2292" s="21" t="n">
        <v>0</v>
      </c>
      <c r="AL2292" s="21" t="n">
        <v>0</v>
      </c>
      <c r="AM2292" s="21" t="n">
        <v>0</v>
      </c>
      <c r="AN2292" s="21" t="n">
        <v>0</v>
      </c>
      <c r="AO2292" s="21" t="n">
        <v>0</v>
      </c>
      <c r="AP2292" s="21" t="n">
        <v>0</v>
      </c>
      <c r="AQ2292" s="21" t="n">
        <v>0</v>
      </c>
      <c r="AR2292" s="21" t="n">
        <v>0</v>
      </c>
      <c r="AS2292" s="21" t="n">
        <v>0</v>
      </c>
      <c r="AT2292" s="19" t="n"/>
    </row>
    <row r="2293">
      <c r="D2293" s="21" t="n">
        <v>0</v>
      </c>
      <c r="E2293" s="21" t="n">
        <v>0</v>
      </c>
      <c r="F2293" s="21" t="n">
        <v>0</v>
      </c>
      <c r="G2293" s="21" t="n">
        <v>0</v>
      </c>
      <c r="H2293" s="21" t="n">
        <v>0</v>
      </c>
      <c r="I2293" s="21" t="n">
        <v>0</v>
      </c>
      <c r="J2293" s="21" t="n">
        <v>0</v>
      </c>
      <c r="K2293" s="21" t="n">
        <v>0</v>
      </c>
      <c r="L2293" s="21" t="n">
        <v>0</v>
      </c>
      <c r="M2293" s="21" t="n">
        <v>0</v>
      </c>
      <c r="N2293" s="21" t="n">
        <v>0</v>
      </c>
      <c r="O2293" s="21" t="n">
        <v>0</v>
      </c>
      <c r="P2293" s="21" t="n">
        <v>0</v>
      </c>
      <c r="Q2293" s="21" t="n">
        <v>0</v>
      </c>
      <c r="R2293" s="21" t="n">
        <v>0</v>
      </c>
      <c r="S2293" s="21" t="n">
        <v>0</v>
      </c>
      <c r="T2293" s="21" t="n">
        <v>0</v>
      </c>
      <c r="U2293" s="21" t="n">
        <v>0</v>
      </c>
      <c r="V2293" s="21" t="n">
        <v>0</v>
      </c>
      <c r="W2293" s="21" t="n">
        <v>0</v>
      </c>
      <c r="X2293" s="21" t="n">
        <v>0</v>
      </c>
      <c r="Y2293" s="21" t="n">
        <v>0</v>
      </c>
      <c r="Z2293" s="21" t="n">
        <v>0</v>
      </c>
      <c r="AA2293" s="21" t="n">
        <v>0</v>
      </c>
      <c r="AB2293" s="21">
        <f>$B$1812</f>
        <v/>
      </c>
      <c r="AC2293" s="21">
        <f>$B$1814</f>
        <v/>
      </c>
      <c r="AD2293" s="21">
        <f>0</f>
        <v/>
      </c>
      <c r="AE2293" s="21">
        <f>2*$B$1813</f>
        <v/>
      </c>
      <c r="AF2293" s="21">
        <f>-$B$1812</f>
        <v/>
      </c>
      <c r="AG2293" s="21">
        <f>$B$1814</f>
        <v/>
      </c>
      <c r="AH2293" s="21" t="n">
        <v>0</v>
      </c>
      <c r="AI2293" s="21" t="n">
        <v>0</v>
      </c>
      <c r="AJ2293" s="21" t="n">
        <v>0</v>
      </c>
      <c r="AK2293" s="21" t="n">
        <v>0</v>
      </c>
      <c r="AL2293" s="21" t="n">
        <v>0</v>
      </c>
      <c r="AM2293" s="21" t="n">
        <v>0</v>
      </c>
      <c r="AN2293" s="21" t="n">
        <v>0</v>
      </c>
      <c r="AO2293" s="21" t="n">
        <v>0</v>
      </c>
      <c r="AP2293" s="21" t="n">
        <v>0</v>
      </c>
      <c r="AQ2293" s="21" t="n">
        <v>0</v>
      </c>
      <c r="AR2293" s="21" t="n">
        <v>0</v>
      </c>
      <c r="AS2293" s="21" t="n">
        <v>0</v>
      </c>
      <c r="AT2293" s="19" t="n"/>
    </row>
    <row r="2294">
      <c r="D2294" s="21" t="n">
        <v>0</v>
      </c>
      <c r="E2294" s="21" t="n">
        <v>0</v>
      </c>
      <c r="F2294" s="21" t="n">
        <v>0</v>
      </c>
      <c r="G2294" s="21" t="n">
        <v>0</v>
      </c>
      <c r="H2294" s="21" t="n">
        <v>0</v>
      </c>
      <c r="I2294" s="21" t="n">
        <v>0</v>
      </c>
      <c r="J2294" s="21" t="n">
        <v>0</v>
      </c>
      <c r="K2294" s="21" t="n">
        <v>0</v>
      </c>
      <c r="L2294" s="21" t="n">
        <v>0</v>
      </c>
      <c r="M2294" s="21" t="n">
        <v>0</v>
      </c>
      <c r="N2294" s="21" t="n">
        <v>0</v>
      </c>
      <c r="O2294" s="21" t="n">
        <v>0</v>
      </c>
      <c r="P2294" s="21" t="n">
        <v>0</v>
      </c>
      <c r="Q2294" s="21" t="n">
        <v>0</v>
      </c>
      <c r="R2294" s="21" t="n">
        <v>0</v>
      </c>
      <c r="S2294" s="21" t="n">
        <v>0</v>
      </c>
      <c r="T2294" s="21" t="n">
        <v>0</v>
      </c>
      <c r="U2294" s="21" t="n">
        <v>0</v>
      </c>
      <c r="V2294" s="21" t="n">
        <v>0</v>
      </c>
      <c r="W2294" s="21" t="n">
        <v>0</v>
      </c>
      <c r="X2294" s="21" t="n">
        <v>0</v>
      </c>
      <c r="Y2294" s="21" t="n">
        <v>0</v>
      </c>
      <c r="Z2294" s="21" t="n">
        <v>0</v>
      </c>
      <c r="AA2294" s="21" t="n">
        <v>0</v>
      </c>
      <c r="AB2294" s="21" t="n">
        <v>0</v>
      </c>
      <c r="AC2294" s="21" t="n">
        <v>0</v>
      </c>
      <c r="AD2294" s="21">
        <f>-$B$1811</f>
        <v/>
      </c>
      <c r="AE2294" s="21">
        <f>-$B$1812</f>
        <v/>
      </c>
      <c r="AF2294" s="21">
        <f>2*$B$1811+$D$2258</f>
        <v/>
      </c>
      <c r="AG2294" s="21">
        <f>0</f>
        <v/>
      </c>
      <c r="AH2294" s="21">
        <f>-$B$1811</f>
        <v/>
      </c>
      <c r="AI2294" s="21">
        <f>$B$1812</f>
        <v/>
      </c>
      <c r="AJ2294" s="21" t="n">
        <v>0</v>
      </c>
      <c r="AK2294" s="21" t="n">
        <v>0</v>
      </c>
      <c r="AL2294" s="21" t="n">
        <v>0</v>
      </c>
      <c r="AM2294" s="21" t="n">
        <v>0</v>
      </c>
      <c r="AN2294" s="21" t="n">
        <v>0</v>
      </c>
      <c r="AO2294" s="21" t="n">
        <v>0</v>
      </c>
      <c r="AP2294" s="21" t="n">
        <v>0</v>
      </c>
      <c r="AQ2294" s="21" t="n">
        <v>0</v>
      </c>
      <c r="AR2294" s="21" t="n">
        <v>0</v>
      </c>
      <c r="AS2294" s="21" t="n">
        <v>0</v>
      </c>
      <c r="AT2294" s="19" t="n"/>
    </row>
    <row r="2295">
      <c r="D2295" s="21" t="n">
        <v>0</v>
      </c>
      <c r="E2295" s="21" t="n">
        <v>0</v>
      </c>
      <c r="F2295" s="21" t="n">
        <v>0</v>
      </c>
      <c r="G2295" s="21" t="n">
        <v>0</v>
      </c>
      <c r="H2295" s="21" t="n">
        <v>0</v>
      </c>
      <c r="I2295" s="21" t="n">
        <v>0</v>
      </c>
      <c r="J2295" s="21" t="n">
        <v>0</v>
      </c>
      <c r="K2295" s="21" t="n">
        <v>0</v>
      </c>
      <c r="L2295" s="21" t="n">
        <v>0</v>
      </c>
      <c r="M2295" s="21" t="n">
        <v>0</v>
      </c>
      <c r="N2295" s="21" t="n">
        <v>0</v>
      </c>
      <c r="O2295" s="21" t="n">
        <v>0</v>
      </c>
      <c r="P2295" s="21" t="n">
        <v>0</v>
      </c>
      <c r="Q2295" s="21" t="n">
        <v>0</v>
      </c>
      <c r="R2295" s="21" t="n">
        <v>0</v>
      </c>
      <c r="S2295" s="21" t="n">
        <v>0</v>
      </c>
      <c r="T2295" s="21" t="n">
        <v>0</v>
      </c>
      <c r="U2295" s="21" t="n">
        <v>0</v>
      </c>
      <c r="V2295" s="21" t="n">
        <v>0</v>
      </c>
      <c r="W2295" s="21" t="n">
        <v>0</v>
      </c>
      <c r="X2295" s="21" t="n">
        <v>0</v>
      </c>
      <c r="Y2295" s="21" t="n">
        <v>0</v>
      </c>
      <c r="Z2295" s="21" t="n">
        <v>0</v>
      </c>
      <c r="AA2295" s="21" t="n">
        <v>0</v>
      </c>
      <c r="AB2295" s="21" t="n">
        <v>0</v>
      </c>
      <c r="AC2295" s="21" t="n">
        <v>0</v>
      </c>
      <c r="AD2295" s="21">
        <f>$B$1812</f>
        <v/>
      </c>
      <c r="AE2295" s="21">
        <f>$B$1814</f>
        <v/>
      </c>
      <c r="AF2295" s="21">
        <f>0</f>
        <v/>
      </c>
      <c r="AG2295" s="21">
        <f>2*$B$1813</f>
        <v/>
      </c>
      <c r="AH2295" s="21">
        <f>-$B$1812</f>
        <v/>
      </c>
      <c r="AI2295" s="21">
        <f>$B$1814</f>
        <v/>
      </c>
      <c r="AJ2295" s="21" t="n">
        <v>0</v>
      </c>
      <c r="AK2295" s="21" t="n">
        <v>0</v>
      </c>
      <c r="AL2295" s="21" t="n">
        <v>0</v>
      </c>
      <c r="AM2295" s="21" t="n">
        <v>0</v>
      </c>
      <c r="AN2295" s="21" t="n">
        <v>0</v>
      </c>
      <c r="AO2295" s="21" t="n">
        <v>0</v>
      </c>
      <c r="AP2295" s="21" t="n">
        <v>0</v>
      </c>
      <c r="AQ2295" s="21" t="n">
        <v>0</v>
      </c>
      <c r="AR2295" s="21" t="n">
        <v>0</v>
      </c>
      <c r="AS2295" s="21" t="n">
        <v>0</v>
      </c>
      <c r="AT2295" s="19" t="n"/>
    </row>
    <row r="2296">
      <c r="D2296" s="21" t="n">
        <v>0</v>
      </c>
      <c r="E2296" s="21" t="n">
        <v>0</v>
      </c>
      <c r="F2296" s="21" t="n">
        <v>0</v>
      </c>
      <c r="G2296" s="21" t="n">
        <v>0</v>
      </c>
      <c r="H2296" s="21" t="n">
        <v>0</v>
      </c>
      <c r="I2296" s="21" t="n">
        <v>0</v>
      </c>
      <c r="J2296" s="21" t="n">
        <v>0</v>
      </c>
      <c r="K2296" s="21" t="n">
        <v>0</v>
      </c>
      <c r="L2296" s="21" t="n">
        <v>0</v>
      </c>
      <c r="M2296" s="21" t="n">
        <v>0</v>
      </c>
      <c r="N2296" s="21" t="n">
        <v>0</v>
      </c>
      <c r="O2296" s="21" t="n">
        <v>0</v>
      </c>
      <c r="P2296" s="21" t="n">
        <v>0</v>
      </c>
      <c r="Q2296" s="21" t="n">
        <v>0</v>
      </c>
      <c r="R2296" s="21" t="n">
        <v>0</v>
      </c>
      <c r="S2296" s="21" t="n">
        <v>0</v>
      </c>
      <c r="T2296" s="21" t="n">
        <v>0</v>
      </c>
      <c r="U2296" s="21" t="n">
        <v>0</v>
      </c>
      <c r="V2296" s="21" t="n">
        <v>0</v>
      </c>
      <c r="W2296" s="21" t="n">
        <v>0</v>
      </c>
      <c r="X2296" s="21" t="n">
        <v>0</v>
      </c>
      <c r="Y2296" s="21" t="n">
        <v>0</v>
      </c>
      <c r="Z2296" s="21" t="n">
        <v>0</v>
      </c>
      <c r="AA2296" s="21" t="n">
        <v>0</v>
      </c>
      <c r="AB2296" s="21" t="n">
        <v>0</v>
      </c>
      <c r="AC2296" s="21" t="n">
        <v>0</v>
      </c>
      <c r="AD2296" s="21" t="n">
        <v>0</v>
      </c>
      <c r="AE2296" s="21" t="n">
        <v>0</v>
      </c>
      <c r="AF2296" s="21">
        <f>-$B$1811</f>
        <v/>
      </c>
      <c r="AG2296" s="21">
        <f>-$B$1812</f>
        <v/>
      </c>
      <c r="AH2296" s="21">
        <f>2*$B$1811+$D$2259</f>
        <v/>
      </c>
      <c r="AI2296" s="21">
        <f>0</f>
        <v/>
      </c>
      <c r="AJ2296" s="21">
        <f>-$B$1811</f>
        <v/>
      </c>
      <c r="AK2296" s="21">
        <f>$B$1812</f>
        <v/>
      </c>
      <c r="AL2296" s="21" t="n">
        <v>0</v>
      </c>
      <c r="AM2296" s="21" t="n">
        <v>0</v>
      </c>
      <c r="AN2296" s="21" t="n">
        <v>0</v>
      </c>
      <c r="AO2296" s="21" t="n">
        <v>0</v>
      </c>
      <c r="AP2296" s="21" t="n">
        <v>0</v>
      </c>
      <c r="AQ2296" s="21" t="n">
        <v>0</v>
      </c>
      <c r="AR2296" s="21" t="n">
        <v>0</v>
      </c>
      <c r="AS2296" s="21" t="n">
        <v>0</v>
      </c>
      <c r="AT2296" s="19" t="n"/>
    </row>
    <row r="2297">
      <c r="D2297" s="21" t="n">
        <v>0</v>
      </c>
      <c r="E2297" s="21" t="n">
        <v>0</v>
      </c>
      <c r="F2297" s="21" t="n">
        <v>0</v>
      </c>
      <c r="G2297" s="21" t="n">
        <v>0</v>
      </c>
      <c r="H2297" s="21" t="n">
        <v>0</v>
      </c>
      <c r="I2297" s="21" t="n">
        <v>0</v>
      </c>
      <c r="J2297" s="21" t="n">
        <v>0</v>
      </c>
      <c r="K2297" s="21" t="n">
        <v>0</v>
      </c>
      <c r="L2297" s="21" t="n">
        <v>0</v>
      </c>
      <c r="M2297" s="21" t="n">
        <v>0</v>
      </c>
      <c r="N2297" s="21" t="n">
        <v>0</v>
      </c>
      <c r="O2297" s="21" t="n">
        <v>0</v>
      </c>
      <c r="P2297" s="21" t="n">
        <v>0</v>
      </c>
      <c r="Q2297" s="21" t="n">
        <v>0</v>
      </c>
      <c r="R2297" s="21" t="n">
        <v>0</v>
      </c>
      <c r="S2297" s="21" t="n">
        <v>0</v>
      </c>
      <c r="T2297" s="21" t="n">
        <v>0</v>
      </c>
      <c r="U2297" s="21" t="n">
        <v>0</v>
      </c>
      <c r="V2297" s="21" t="n">
        <v>0</v>
      </c>
      <c r="W2297" s="21" t="n">
        <v>0</v>
      </c>
      <c r="X2297" s="21" t="n">
        <v>0</v>
      </c>
      <c r="Y2297" s="21" t="n">
        <v>0</v>
      </c>
      <c r="Z2297" s="21" t="n">
        <v>0</v>
      </c>
      <c r="AA2297" s="21" t="n">
        <v>0</v>
      </c>
      <c r="AB2297" s="21" t="n">
        <v>0</v>
      </c>
      <c r="AC2297" s="21" t="n">
        <v>0</v>
      </c>
      <c r="AD2297" s="21" t="n">
        <v>0</v>
      </c>
      <c r="AE2297" s="21" t="n">
        <v>0</v>
      </c>
      <c r="AF2297" s="21">
        <f>$B$1812</f>
        <v/>
      </c>
      <c r="AG2297" s="21">
        <f>$B$1814</f>
        <v/>
      </c>
      <c r="AH2297" s="21">
        <f>0</f>
        <v/>
      </c>
      <c r="AI2297" s="21">
        <f>2*$B$1813</f>
        <v/>
      </c>
      <c r="AJ2297" s="21">
        <f>-$B$1812</f>
        <v/>
      </c>
      <c r="AK2297" s="21">
        <f>$B$1814</f>
        <v/>
      </c>
      <c r="AL2297" s="21" t="n">
        <v>0</v>
      </c>
      <c r="AM2297" s="21" t="n">
        <v>0</v>
      </c>
      <c r="AN2297" s="21" t="n">
        <v>0</v>
      </c>
      <c r="AO2297" s="21" t="n">
        <v>0</v>
      </c>
      <c r="AP2297" s="21" t="n">
        <v>0</v>
      </c>
      <c r="AQ2297" s="21" t="n">
        <v>0</v>
      </c>
      <c r="AR2297" s="21" t="n">
        <v>0</v>
      </c>
      <c r="AS2297" s="21" t="n">
        <v>0</v>
      </c>
      <c r="AT2297" s="19" t="n"/>
    </row>
    <row r="2298">
      <c r="D2298" s="21" t="n">
        <v>0</v>
      </c>
      <c r="E2298" s="21" t="n">
        <v>0</v>
      </c>
      <c r="F2298" s="21" t="n">
        <v>0</v>
      </c>
      <c r="G2298" s="21" t="n">
        <v>0</v>
      </c>
      <c r="H2298" s="21" t="n">
        <v>0</v>
      </c>
      <c r="I2298" s="21" t="n">
        <v>0</v>
      </c>
      <c r="J2298" s="21" t="n">
        <v>0</v>
      </c>
      <c r="K2298" s="21" t="n">
        <v>0</v>
      </c>
      <c r="L2298" s="21" t="n">
        <v>0</v>
      </c>
      <c r="M2298" s="21" t="n">
        <v>0</v>
      </c>
      <c r="N2298" s="21" t="n">
        <v>0</v>
      </c>
      <c r="O2298" s="21" t="n">
        <v>0</v>
      </c>
      <c r="P2298" s="21" t="n">
        <v>0</v>
      </c>
      <c r="Q2298" s="21" t="n">
        <v>0</v>
      </c>
      <c r="R2298" s="21" t="n">
        <v>0</v>
      </c>
      <c r="S2298" s="21" t="n">
        <v>0</v>
      </c>
      <c r="T2298" s="21" t="n">
        <v>0</v>
      </c>
      <c r="U2298" s="21" t="n">
        <v>0</v>
      </c>
      <c r="V2298" s="21" t="n">
        <v>0</v>
      </c>
      <c r="W2298" s="21" t="n">
        <v>0</v>
      </c>
      <c r="X2298" s="21" t="n">
        <v>0</v>
      </c>
      <c r="Y2298" s="21" t="n">
        <v>0</v>
      </c>
      <c r="Z2298" s="21" t="n">
        <v>0</v>
      </c>
      <c r="AA2298" s="21" t="n">
        <v>0</v>
      </c>
      <c r="AB2298" s="21" t="n">
        <v>0</v>
      </c>
      <c r="AC2298" s="21" t="n">
        <v>0</v>
      </c>
      <c r="AD2298" s="21" t="n">
        <v>0</v>
      </c>
      <c r="AE2298" s="21" t="n">
        <v>0</v>
      </c>
      <c r="AF2298" s="21" t="n">
        <v>0</v>
      </c>
      <c r="AG2298" s="21" t="n">
        <v>0</v>
      </c>
      <c r="AH2298" s="21">
        <f>-$B$1811</f>
        <v/>
      </c>
      <c r="AI2298" s="21">
        <f>-$B$1812</f>
        <v/>
      </c>
      <c r="AJ2298" s="21">
        <f>2*$B$1811+$D$2260</f>
        <v/>
      </c>
      <c r="AK2298" s="21">
        <f>0</f>
        <v/>
      </c>
      <c r="AL2298" s="21">
        <f>-$B$1811</f>
        <v/>
      </c>
      <c r="AM2298" s="21">
        <f>$B$1812</f>
        <v/>
      </c>
      <c r="AN2298" s="21" t="n">
        <v>0</v>
      </c>
      <c r="AO2298" s="21" t="n">
        <v>0</v>
      </c>
      <c r="AP2298" s="21" t="n">
        <v>0</v>
      </c>
      <c r="AQ2298" s="21" t="n">
        <v>0</v>
      </c>
      <c r="AR2298" s="21" t="n">
        <v>0</v>
      </c>
      <c r="AS2298" s="21" t="n">
        <v>0</v>
      </c>
      <c r="AT2298" s="19" t="n"/>
    </row>
    <row r="2299">
      <c r="D2299" s="21" t="n">
        <v>0</v>
      </c>
      <c r="E2299" s="21" t="n">
        <v>0</v>
      </c>
      <c r="F2299" s="21" t="n">
        <v>0</v>
      </c>
      <c r="G2299" s="21" t="n">
        <v>0</v>
      </c>
      <c r="H2299" s="21" t="n">
        <v>0</v>
      </c>
      <c r="I2299" s="21" t="n">
        <v>0</v>
      </c>
      <c r="J2299" s="21" t="n">
        <v>0</v>
      </c>
      <c r="K2299" s="21" t="n">
        <v>0</v>
      </c>
      <c r="L2299" s="21" t="n">
        <v>0</v>
      </c>
      <c r="M2299" s="21" t="n">
        <v>0</v>
      </c>
      <c r="N2299" s="21" t="n">
        <v>0</v>
      </c>
      <c r="O2299" s="21" t="n">
        <v>0</v>
      </c>
      <c r="P2299" s="21" t="n">
        <v>0</v>
      </c>
      <c r="Q2299" s="21" t="n">
        <v>0</v>
      </c>
      <c r="R2299" s="21" t="n">
        <v>0</v>
      </c>
      <c r="S2299" s="21" t="n">
        <v>0</v>
      </c>
      <c r="T2299" s="21" t="n">
        <v>0</v>
      </c>
      <c r="U2299" s="21" t="n">
        <v>0</v>
      </c>
      <c r="V2299" s="21" t="n">
        <v>0</v>
      </c>
      <c r="W2299" s="21" t="n">
        <v>0</v>
      </c>
      <c r="X2299" s="21" t="n">
        <v>0</v>
      </c>
      <c r="Y2299" s="21" t="n">
        <v>0</v>
      </c>
      <c r="Z2299" s="21" t="n">
        <v>0</v>
      </c>
      <c r="AA2299" s="21" t="n">
        <v>0</v>
      </c>
      <c r="AB2299" s="21" t="n">
        <v>0</v>
      </c>
      <c r="AC2299" s="21" t="n">
        <v>0</v>
      </c>
      <c r="AD2299" s="21" t="n">
        <v>0</v>
      </c>
      <c r="AE2299" s="21" t="n">
        <v>0</v>
      </c>
      <c r="AF2299" s="21" t="n">
        <v>0</v>
      </c>
      <c r="AG2299" s="21" t="n">
        <v>0</v>
      </c>
      <c r="AH2299" s="21">
        <f>$B$1812</f>
        <v/>
      </c>
      <c r="AI2299" s="21">
        <f>$B$1814</f>
        <v/>
      </c>
      <c r="AJ2299" s="21">
        <f>0</f>
        <v/>
      </c>
      <c r="AK2299" s="21">
        <f>2*$B$1813</f>
        <v/>
      </c>
      <c r="AL2299" s="21">
        <f>-$B$1812</f>
        <v/>
      </c>
      <c r="AM2299" s="21">
        <f>$B$1814</f>
        <v/>
      </c>
      <c r="AN2299" s="21" t="n">
        <v>0</v>
      </c>
      <c r="AO2299" s="21" t="n">
        <v>0</v>
      </c>
      <c r="AP2299" s="21" t="n">
        <v>0</v>
      </c>
      <c r="AQ2299" s="21" t="n">
        <v>0</v>
      </c>
      <c r="AR2299" s="21" t="n">
        <v>0</v>
      </c>
      <c r="AS2299" s="21" t="n">
        <v>0</v>
      </c>
      <c r="AT2299" s="19" t="n"/>
    </row>
    <row r="2300">
      <c r="D2300" s="21" t="n">
        <v>0</v>
      </c>
      <c r="E2300" s="21" t="n">
        <v>0</v>
      </c>
      <c r="F2300" s="21" t="n">
        <v>0</v>
      </c>
      <c r="G2300" s="21" t="n">
        <v>0</v>
      </c>
      <c r="H2300" s="21" t="n">
        <v>0</v>
      </c>
      <c r="I2300" s="21" t="n">
        <v>0</v>
      </c>
      <c r="J2300" s="21" t="n">
        <v>0</v>
      </c>
      <c r="K2300" s="21" t="n">
        <v>0</v>
      </c>
      <c r="L2300" s="21" t="n">
        <v>0</v>
      </c>
      <c r="M2300" s="21" t="n">
        <v>0</v>
      </c>
      <c r="N2300" s="21" t="n">
        <v>0</v>
      </c>
      <c r="O2300" s="21" t="n">
        <v>0</v>
      </c>
      <c r="P2300" s="21" t="n">
        <v>0</v>
      </c>
      <c r="Q2300" s="21" t="n">
        <v>0</v>
      </c>
      <c r="R2300" s="21" t="n">
        <v>0</v>
      </c>
      <c r="S2300" s="21" t="n">
        <v>0</v>
      </c>
      <c r="T2300" s="21" t="n">
        <v>0</v>
      </c>
      <c r="U2300" s="21" t="n">
        <v>0</v>
      </c>
      <c r="V2300" s="21" t="n">
        <v>0</v>
      </c>
      <c r="W2300" s="21" t="n">
        <v>0</v>
      </c>
      <c r="X2300" s="21" t="n">
        <v>0</v>
      </c>
      <c r="Y2300" s="21" t="n">
        <v>0</v>
      </c>
      <c r="Z2300" s="21" t="n">
        <v>0</v>
      </c>
      <c r="AA2300" s="21" t="n">
        <v>0</v>
      </c>
      <c r="AB2300" s="21" t="n">
        <v>0</v>
      </c>
      <c r="AC2300" s="21" t="n">
        <v>0</v>
      </c>
      <c r="AD2300" s="21" t="n">
        <v>0</v>
      </c>
      <c r="AE2300" s="21" t="n">
        <v>0</v>
      </c>
      <c r="AF2300" s="21" t="n">
        <v>0</v>
      </c>
      <c r="AG2300" s="21" t="n">
        <v>0</v>
      </c>
      <c r="AH2300" s="21" t="n">
        <v>0</v>
      </c>
      <c r="AI2300" s="21" t="n">
        <v>0</v>
      </c>
      <c r="AJ2300" s="21">
        <f>-$B$1811</f>
        <v/>
      </c>
      <c r="AK2300" s="21">
        <f>-$B$1812</f>
        <v/>
      </c>
      <c r="AL2300" s="21">
        <f>2*$B$1811+$D$2261</f>
        <v/>
      </c>
      <c r="AM2300" s="21">
        <f>0</f>
        <v/>
      </c>
      <c r="AN2300" s="21">
        <f>-$B$1811</f>
        <v/>
      </c>
      <c r="AO2300" s="21">
        <f>$B$1812</f>
        <v/>
      </c>
      <c r="AP2300" s="21" t="n">
        <v>0</v>
      </c>
      <c r="AQ2300" s="21" t="n">
        <v>0</v>
      </c>
      <c r="AR2300" s="21" t="n">
        <v>0</v>
      </c>
      <c r="AS2300" s="21" t="n">
        <v>0</v>
      </c>
      <c r="AT2300" s="19" t="n"/>
    </row>
    <row r="2301">
      <c r="D2301" s="21" t="n">
        <v>0</v>
      </c>
      <c r="E2301" s="21" t="n">
        <v>0</v>
      </c>
      <c r="F2301" s="21" t="n">
        <v>0</v>
      </c>
      <c r="G2301" s="21" t="n">
        <v>0</v>
      </c>
      <c r="H2301" s="21" t="n">
        <v>0</v>
      </c>
      <c r="I2301" s="21" t="n">
        <v>0</v>
      </c>
      <c r="J2301" s="21" t="n">
        <v>0</v>
      </c>
      <c r="K2301" s="21" t="n">
        <v>0</v>
      </c>
      <c r="L2301" s="21" t="n">
        <v>0</v>
      </c>
      <c r="M2301" s="21" t="n">
        <v>0</v>
      </c>
      <c r="N2301" s="21" t="n">
        <v>0</v>
      </c>
      <c r="O2301" s="21" t="n">
        <v>0</v>
      </c>
      <c r="P2301" s="21" t="n">
        <v>0</v>
      </c>
      <c r="Q2301" s="21" t="n">
        <v>0</v>
      </c>
      <c r="R2301" s="21" t="n">
        <v>0</v>
      </c>
      <c r="S2301" s="21" t="n">
        <v>0</v>
      </c>
      <c r="T2301" s="21" t="n">
        <v>0</v>
      </c>
      <c r="U2301" s="21" t="n">
        <v>0</v>
      </c>
      <c r="V2301" s="21" t="n">
        <v>0</v>
      </c>
      <c r="W2301" s="21" t="n">
        <v>0</v>
      </c>
      <c r="X2301" s="21" t="n">
        <v>0</v>
      </c>
      <c r="Y2301" s="21" t="n">
        <v>0</v>
      </c>
      <c r="Z2301" s="21" t="n">
        <v>0</v>
      </c>
      <c r="AA2301" s="21" t="n">
        <v>0</v>
      </c>
      <c r="AB2301" s="21" t="n">
        <v>0</v>
      </c>
      <c r="AC2301" s="21" t="n">
        <v>0</v>
      </c>
      <c r="AD2301" s="21" t="n">
        <v>0</v>
      </c>
      <c r="AE2301" s="21" t="n">
        <v>0</v>
      </c>
      <c r="AF2301" s="21" t="n">
        <v>0</v>
      </c>
      <c r="AG2301" s="21" t="n">
        <v>0</v>
      </c>
      <c r="AH2301" s="21" t="n">
        <v>0</v>
      </c>
      <c r="AI2301" s="21" t="n">
        <v>0</v>
      </c>
      <c r="AJ2301" s="21">
        <f>$B$1812</f>
        <v/>
      </c>
      <c r="AK2301" s="21">
        <f>$B$1814</f>
        <v/>
      </c>
      <c r="AL2301" s="21">
        <f>0</f>
        <v/>
      </c>
      <c r="AM2301" s="21">
        <f>2*$B$1813</f>
        <v/>
      </c>
      <c r="AN2301" s="21">
        <f>-$B$1812</f>
        <v/>
      </c>
      <c r="AO2301" s="21">
        <f>$B$1814</f>
        <v/>
      </c>
      <c r="AP2301" s="21" t="n">
        <v>0</v>
      </c>
      <c r="AQ2301" s="21" t="n">
        <v>0</v>
      </c>
      <c r="AR2301" s="21" t="n">
        <v>0</v>
      </c>
      <c r="AS2301" s="21" t="n">
        <v>0</v>
      </c>
      <c r="AT2301" s="19" t="n"/>
    </row>
    <row r="2302">
      <c r="D2302" s="21" t="n">
        <v>0</v>
      </c>
      <c r="E2302" s="21" t="n">
        <v>0</v>
      </c>
      <c r="F2302" s="21" t="n">
        <v>0</v>
      </c>
      <c r="G2302" s="21" t="n">
        <v>0</v>
      </c>
      <c r="H2302" s="21" t="n">
        <v>0</v>
      </c>
      <c r="I2302" s="21" t="n">
        <v>0</v>
      </c>
      <c r="J2302" s="21" t="n">
        <v>0</v>
      </c>
      <c r="K2302" s="21" t="n">
        <v>0</v>
      </c>
      <c r="L2302" s="21" t="n">
        <v>0</v>
      </c>
      <c r="M2302" s="21" t="n">
        <v>0</v>
      </c>
      <c r="N2302" s="21" t="n">
        <v>0</v>
      </c>
      <c r="O2302" s="21" t="n">
        <v>0</v>
      </c>
      <c r="P2302" s="21" t="n">
        <v>0</v>
      </c>
      <c r="Q2302" s="21" t="n">
        <v>0</v>
      </c>
      <c r="R2302" s="21" t="n">
        <v>0</v>
      </c>
      <c r="S2302" s="21" t="n">
        <v>0</v>
      </c>
      <c r="T2302" s="21" t="n">
        <v>0</v>
      </c>
      <c r="U2302" s="21" t="n">
        <v>0</v>
      </c>
      <c r="V2302" s="21" t="n">
        <v>0</v>
      </c>
      <c r="W2302" s="21" t="n">
        <v>0</v>
      </c>
      <c r="X2302" s="21" t="n">
        <v>0</v>
      </c>
      <c r="Y2302" s="21" t="n">
        <v>0</v>
      </c>
      <c r="Z2302" s="21" t="n">
        <v>0</v>
      </c>
      <c r="AA2302" s="21" t="n">
        <v>0</v>
      </c>
      <c r="AB2302" s="21" t="n">
        <v>0</v>
      </c>
      <c r="AC2302" s="21" t="n">
        <v>0</v>
      </c>
      <c r="AD2302" s="21" t="n">
        <v>0</v>
      </c>
      <c r="AE2302" s="21" t="n">
        <v>0</v>
      </c>
      <c r="AF2302" s="21" t="n">
        <v>0</v>
      </c>
      <c r="AG2302" s="21" t="n">
        <v>0</v>
      </c>
      <c r="AH2302" s="21" t="n">
        <v>0</v>
      </c>
      <c r="AI2302" s="21" t="n">
        <v>0</v>
      </c>
      <c r="AJ2302" s="21" t="n">
        <v>0</v>
      </c>
      <c r="AK2302" s="21" t="n">
        <v>0</v>
      </c>
      <c r="AL2302" s="21">
        <f>-$B$1811</f>
        <v/>
      </c>
      <c r="AM2302" s="21">
        <f>-$B$1812</f>
        <v/>
      </c>
      <c r="AN2302" s="21">
        <f>2*$B$1811+$D$2262</f>
        <v/>
      </c>
      <c r="AO2302" s="21">
        <f>0</f>
        <v/>
      </c>
      <c r="AP2302" s="21">
        <f>-$B$1811</f>
        <v/>
      </c>
      <c r="AQ2302" s="21">
        <f>$B$1812</f>
        <v/>
      </c>
      <c r="AR2302" s="21" t="n">
        <v>0</v>
      </c>
      <c r="AS2302" s="21" t="n">
        <v>0</v>
      </c>
      <c r="AT2302" s="19" t="n"/>
    </row>
    <row r="2303">
      <c r="D2303" s="21" t="n">
        <v>0</v>
      </c>
      <c r="E2303" s="21" t="n">
        <v>0</v>
      </c>
      <c r="F2303" s="21" t="n">
        <v>0</v>
      </c>
      <c r="G2303" s="21" t="n">
        <v>0</v>
      </c>
      <c r="H2303" s="21" t="n">
        <v>0</v>
      </c>
      <c r="I2303" s="21" t="n">
        <v>0</v>
      </c>
      <c r="J2303" s="21" t="n">
        <v>0</v>
      </c>
      <c r="K2303" s="21" t="n">
        <v>0</v>
      </c>
      <c r="L2303" s="21" t="n">
        <v>0</v>
      </c>
      <c r="M2303" s="21" t="n">
        <v>0</v>
      </c>
      <c r="N2303" s="21" t="n">
        <v>0</v>
      </c>
      <c r="O2303" s="21" t="n">
        <v>0</v>
      </c>
      <c r="P2303" s="21" t="n">
        <v>0</v>
      </c>
      <c r="Q2303" s="21" t="n">
        <v>0</v>
      </c>
      <c r="R2303" s="21" t="n">
        <v>0</v>
      </c>
      <c r="S2303" s="21" t="n">
        <v>0</v>
      </c>
      <c r="T2303" s="21" t="n">
        <v>0</v>
      </c>
      <c r="U2303" s="21" t="n">
        <v>0</v>
      </c>
      <c r="V2303" s="21" t="n">
        <v>0</v>
      </c>
      <c r="W2303" s="21" t="n">
        <v>0</v>
      </c>
      <c r="X2303" s="21" t="n">
        <v>0</v>
      </c>
      <c r="Y2303" s="21" t="n">
        <v>0</v>
      </c>
      <c r="Z2303" s="21" t="n">
        <v>0</v>
      </c>
      <c r="AA2303" s="21" t="n">
        <v>0</v>
      </c>
      <c r="AB2303" s="21" t="n">
        <v>0</v>
      </c>
      <c r="AC2303" s="21" t="n">
        <v>0</v>
      </c>
      <c r="AD2303" s="21" t="n">
        <v>0</v>
      </c>
      <c r="AE2303" s="21" t="n">
        <v>0</v>
      </c>
      <c r="AF2303" s="21" t="n">
        <v>0</v>
      </c>
      <c r="AG2303" s="21" t="n">
        <v>0</v>
      </c>
      <c r="AH2303" s="21" t="n">
        <v>0</v>
      </c>
      <c r="AI2303" s="21" t="n">
        <v>0</v>
      </c>
      <c r="AJ2303" s="21" t="n">
        <v>0</v>
      </c>
      <c r="AK2303" s="21" t="n">
        <v>0</v>
      </c>
      <c r="AL2303" s="21">
        <f>$B$1812</f>
        <v/>
      </c>
      <c r="AM2303" s="21">
        <f>$B$1814</f>
        <v/>
      </c>
      <c r="AN2303" s="21">
        <f>0</f>
        <v/>
      </c>
      <c r="AO2303" s="21">
        <f>2*$B$1813</f>
        <v/>
      </c>
      <c r="AP2303" s="21">
        <f>-$B$1812</f>
        <v/>
      </c>
      <c r="AQ2303" s="21">
        <f>$B$1814</f>
        <v/>
      </c>
      <c r="AR2303" s="21" t="n">
        <v>0</v>
      </c>
      <c r="AS2303" s="21" t="n">
        <v>0</v>
      </c>
      <c r="AT2303" s="19" t="n"/>
    </row>
    <row r="2304">
      <c r="D2304" s="21" t="n">
        <v>0</v>
      </c>
      <c r="E2304" s="21" t="n">
        <v>0</v>
      </c>
      <c r="F2304" s="21" t="n">
        <v>0</v>
      </c>
      <c r="G2304" s="21" t="n">
        <v>0</v>
      </c>
      <c r="H2304" s="21" t="n">
        <v>0</v>
      </c>
      <c r="I2304" s="21" t="n">
        <v>0</v>
      </c>
      <c r="J2304" s="21" t="n">
        <v>0</v>
      </c>
      <c r="K2304" s="21" t="n">
        <v>0</v>
      </c>
      <c r="L2304" s="21" t="n">
        <v>0</v>
      </c>
      <c r="M2304" s="21" t="n">
        <v>0</v>
      </c>
      <c r="N2304" s="21" t="n">
        <v>0</v>
      </c>
      <c r="O2304" s="21" t="n">
        <v>0</v>
      </c>
      <c r="P2304" s="21" t="n">
        <v>0</v>
      </c>
      <c r="Q2304" s="21" t="n">
        <v>0</v>
      </c>
      <c r="R2304" s="21" t="n">
        <v>0</v>
      </c>
      <c r="S2304" s="21" t="n">
        <v>0</v>
      </c>
      <c r="T2304" s="21" t="n">
        <v>0</v>
      </c>
      <c r="U2304" s="21" t="n">
        <v>0</v>
      </c>
      <c r="V2304" s="21" t="n">
        <v>0</v>
      </c>
      <c r="W2304" s="21" t="n">
        <v>0</v>
      </c>
      <c r="X2304" s="21" t="n">
        <v>0</v>
      </c>
      <c r="Y2304" s="21" t="n">
        <v>0</v>
      </c>
      <c r="Z2304" s="21" t="n">
        <v>0</v>
      </c>
      <c r="AA2304" s="21" t="n">
        <v>0</v>
      </c>
      <c r="AB2304" s="21" t="n">
        <v>0</v>
      </c>
      <c r="AC2304" s="21" t="n">
        <v>0</v>
      </c>
      <c r="AD2304" s="21" t="n">
        <v>0</v>
      </c>
      <c r="AE2304" s="21" t="n">
        <v>0</v>
      </c>
      <c r="AF2304" s="21" t="n">
        <v>0</v>
      </c>
      <c r="AG2304" s="21" t="n">
        <v>0</v>
      </c>
      <c r="AH2304" s="21" t="n">
        <v>0</v>
      </c>
      <c r="AI2304" s="21" t="n">
        <v>0</v>
      </c>
      <c r="AJ2304" s="21" t="n">
        <v>0</v>
      </c>
      <c r="AK2304" s="21" t="n">
        <v>0</v>
      </c>
      <c r="AL2304" s="21" t="n">
        <v>0</v>
      </c>
      <c r="AM2304" s="21" t="n">
        <v>0</v>
      </c>
      <c r="AN2304" s="21">
        <f>-$B$1811</f>
        <v/>
      </c>
      <c r="AO2304" s="21">
        <f>-$B$1812</f>
        <v/>
      </c>
      <c r="AP2304" s="21">
        <f>2*$B$1811+$D$2263</f>
        <v/>
      </c>
      <c r="AQ2304" s="21">
        <f>0</f>
        <v/>
      </c>
      <c r="AR2304" s="21">
        <f>-$B$1811</f>
        <v/>
      </c>
      <c r="AS2304" s="21">
        <f>$B$1812</f>
        <v/>
      </c>
      <c r="AT2304" s="19" t="n"/>
    </row>
    <row r="2305">
      <c r="D2305" s="21" t="n">
        <v>0</v>
      </c>
      <c r="E2305" s="21" t="n">
        <v>0</v>
      </c>
      <c r="F2305" s="21" t="n">
        <v>0</v>
      </c>
      <c r="G2305" s="21" t="n">
        <v>0</v>
      </c>
      <c r="H2305" s="21" t="n">
        <v>0</v>
      </c>
      <c r="I2305" s="21" t="n">
        <v>0</v>
      </c>
      <c r="J2305" s="21" t="n">
        <v>0</v>
      </c>
      <c r="K2305" s="21" t="n">
        <v>0</v>
      </c>
      <c r="L2305" s="21" t="n">
        <v>0</v>
      </c>
      <c r="M2305" s="21" t="n">
        <v>0</v>
      </c>
      <c r="N2305" s="21" t="n">
        <v>0</v>
      </c>
      <c r="O2305" s="21" t="n">
        <v>0</v>
      </c>
      <c r="P2305" s="21" t="n">
        <v>0</v>
      </c>
      <c r="Q2305" s="21" t="n">
        <v>0</v>
      </c>
      <c r="R2305" s="21" t="n">
        <v>0</v>
      </c>
      <c r="S2305" s="21" t="n">
        <v>0</v>
      </c>
      <c r="T2305" s="21" t="n">
        <v>0</v>
      </c>
      <c r="U2305" s="21" t="n">
        <v>0</v>
      </c>
      <c r="V2305" s="21" t="n">
        <v>0</v>
      </c>
      <c r="W2305" s="21" t="n">
        <v>0</v>
      </c>
      <c r="X2305" s="21" t="n">
        <v>0</v>
      </c>
      <c r="Y2305" s="21" t="n">
        <v>0</v>
      </c>
      <c r="Z2305" s="21" t="n">
        <v>0</v>
      </c>
      <c r="AA2305" s="21" t="n">
        <v>0</v>
      </c>
      <c r="AB2305" s="21" t="n">
        <v>0</v>
      </c>
      <c r="AC2305" s="21" t="n">
        <v>0</v>
      </c>
      <c r="AD2305" s="21" t="n">
        <v>0</v>
      </c>
      <c r="AE2305" s="21" t="n">
        <v>0</v>
      </c>
      <c r="AF2305" s="21" t="n">
        <v>0</v>
      </c>
      <c r="AG2305" s="21" t="n">
        <v>0</v>
      </c>
      <c r="AH2305" s="21" t="n">
        <v>0</v>
      </c>
      <c r="AI2305" s="21" t="n">
        <v>0</v>
      </c>
      <c r="AJ2305" s="21" t="n">
        <v>0</v>
      </c>
      <c r="AK2305" s="21" t="n">
        <v>0</v>
      </c>
      <c r="AL2305" s="21" t="n">
        <v>0</v>
      </c>
      <c r="AM2305" s="21" t="n">
        <v>0</v>
      </c>
      <c r="AN2305" s="21">
        <f>$B$1812</f>
        <v/>
      </c>
      <c r="AO2305" s="21">
        <f>$B$1814</f>
        <v/>
      </c>
      <c r="AP2305" s="21">
        <f>0</f>
        <v/>
      </c>
      <c r="AQ2305" s="21">
        <f>2*$B$1813</f>
        <v/>
      </c>
      <c r="AR2305" s="21">
        <f>-$B$1812</f>
        <v/>
      </c>
      <c r="AS2305" s="21">
        <f>$B$1814</f>
        <v/>
      </c>
      <c r="AT2305" s="19" t="n"/>
    </row>
    <row r="2306">
      <c r="D2306" s="21" t="n">
        <v>0</v>
      </c>
      <c r="E2306" s="21" t="n">
        <v>0</v>
      </c>
      <c r="F2306" s="21" t="n">
        <v>0</v>
      </c>
      <c r="G2306" s="21" t="n">
        <v>0</v>
      </c>
      <c r="H2306" s="21" t="n">
        <v>0</v>
      </c>
      <c r="I2306" s="21" t="n">
        <v>0</v>
      </c>
      <c r="J2306" s="21" t="n">
        <v>0</v>
      </c>
      <c r="K2306" s="21" t="n">
        <v>0</v>
      </c>
      <c r="L2306" s="21" t="n">
        <v>0</v>
      </c>
      <c r="M2306" s="21" t="n">
        <v>0</v>
      </c>
      <c r="N2306" s="21" t="n">
        <v>0</v>
      </c>
      <c r="O2306" s="21" t="n">
        <v>0</v>
      </c>
      <c r="P2306" s="21" t="n">
        <v>0</v>
      </c>
      <c r="Q2306" s="21" t="n">
        <v>0</v>
      </c>
      <c r="R2306" s="21" t="n">
        <v>0</v>
      </c>
      <c r="S2306" s="21" t="n">
        <v>0</v>
      </c>
      <c r="T2306" s="21" t="n">
        <v>0</v>
      </c>
      <c r="U2306" s="21" t="n">
        <v>0</v>
      </c>
      <c r="V2306" s="21" t="n">
        <v>0</v>
      </c>
      <c r="W2306" s="21" t="n">
        <v>0</v>
      </c>
      <c r="X2306" s="21" t="n">
        <v>0</v>
      </c>
      <c r="Y2306" s="21" t="n">
        <v>0</v>
      </c>
      <c r="Z2306" s="21" t="n">
        <v>0</v>
      </c>
      <c r="AA2306" s="21" t="n">
        <v>0</v>
      </c>
      <c r="AB2306" s="21" t="n">
        <v>0</v>
      </c>
      <c r="AC2306" s="21" t="n">
        <v>0</v>
      </c>
      <c r="AD2306" s="21" t="n">
        <v>0</v>
      </c>
      <c r="AE2306" s="21" t="n">
        <v>0</v>
      </c>
      <c r="AF2306" s="21" t="n">
        <v>0</v>
      </c>
      <c r="AG2306" s="21" t="n">
        <v>0</v>
      </c>
      <c r="AH2306" s="21" t="n">
        <v>0</v>
      </c>
      <c r="AI2306" s="21" t="n">
        <v>0</v>
      </c>
      <c r="AJ2306" s="21" t="n">
        <v>0</v>
      </c>
      <c r="AK2306" s="21" t="n">
        <v>0</v>
      </c>
      <c r="AL2306" s="21" t="n">
        <v>0</v>
      </c>
      <c r="AM2306" s="21" t="n">
        <v>0</v>
      </c>
      <c r="AN2306" s="21" t="n">
        <v>0</v>
      </c>
      <c r="AO2306" s="21" t="n">
        <v>0</v>
      </c>
      <c r="AP2306" s="21">
        <f>-$B$1811</f>
        <v/>
      </c>
      <c r="AQ2306" s="21">
        <f>-$B$1812</f>
        <v/>
      </c>
      <c r="AR2306" s="21">
        <f>$B$1811+$D$2264</f>
        <v/>
      </c>
      <c r="AS2306" s="21">
        <f>-$B$1812</f>
        <v/>
      </c>
      <c r="AT2306" s="19" t="n"/>
    </row>
    <row r="2307">
      <c r="D2307" s="21" t="n">
        <v>0</v>
      </c>
      <c r="E2307" s="21" t="n">
        <v>0</v>
      </c>
      <c r="F2307" s="21" t="n">
        <v>0</v>
      </c>
      <c r="G2307" s="21" t="n">
        <v>0</v>
      </c>
      <c r="H2307" s="21" t="n">
        <v>0</v>
      </c>
      <c r="I2307" s="21" t="n">
        <v>0</v>
      </c>
      <c r="J2307" s="21" t="n">
        <v>0</v>
      </c>
      <c r="K2307" s="21" t="n">
        <v>0</v>
      </c>
      <c r="L2307" s="21" t="n">
        <v>0</v>
      </c>
      <c r="M2307" s="21" t="n">
        <v>0</v>
      </c>
      <c r="N2307" s="21" t="n">
        <v>0</v>
      </c>
      <c r="O2307" s="21" t="n">
        <v>0</v>
      </c>
      <c r="P2307" s="21" t="n">
        <v>0</v>
      </c>
      <c r="Q2307" s="21" t="n">
        <v>0</v>
      </c>
      <c r="R2307" s="21" t="n">
        <v>0</v>
      </c>
      <c r="S2307" s="21" t="n">
        <v>0</v>
      </c>
      <c r="T2307" s="21" t="n">
        <v>0</v>
      </c>
      <c r="U2307" s="21" t="n">
        <v>0</v>
      </c>
      <c r="V2307" s="21" t="n">
        <v>0</v>
      </c>
      <c r="W2307" s="21" t="n">
        <v>0</v>
      </c>
      <c r="X2307" s="21" t="n">
        <v>0</v>
      </c>
      <c r="Y2307" s="21" t="n">
        <v>0</v>
      </c>
      <c r="Z2307" s="21" t="n">
        <v>0</v>
      </c>
      <c r="AA2307" s="21" t="n">
        <v>0</v>
      </c>
      <c r="AB2307" s="21" t="n">
        <v>0</v>
      </c>
      <c r="AC2307" s="21" t="n">
        <v>0</v>
      </c>
      <c r="AD2307" s="21" t="n">
        <v>0</v>
      </c>
      <c r="AE2307" s="21" t="n">
        <v>0</v>
      </c>
      <c r="AF2307" s="21" t="n">
        <v>0</v>
      </c>
      <c r="AG2307" s="21" t="n">
        <v>0</v>
      </c>
      <c r="AH2307" s="21" t="n">
        <v>0</v>
      </c>
      <c r="AI2307" s="21" t="n">
        <v>0</v>
      </c>
      <c r="AJ2307" s="21" t="n">
        <v>0</v>
      </c>
      <c r="AK2307" s="21" t="n">
        <v>0</v>
      </c>
      <c r="AL2307" s="21" t="n">
        <v>0</v>
      </c>
      <c r="AM2307" s="21" t="n">
        <v>0</v>
      </c>
      <c r="AN2307" s="21" t="n">
        <v>0</v>
      </c>
      <c r="AO2307" s="21" t="n">
        <v>0</v>
      </c>
      <c r="AP2307" s="21">
        <f>$B$1812</f>
        <v/>
      </c>
      <c r="AQ2307" s="21">
        <f>$B$1814</f>
        <v/>
      </c>
      <c r="AR2307" s="21">
        <f>-$B$1812</f>
        <v/>
      </c>
      <c r="AS2307" s="21">
        <f>$B$1813</f>
        <v/>
      </c>
      <c r="AT2307" s="19" t="n"/>
    </row>
    <row r="2309">
      <c r="A2309" s="8" t="inlineStr">
        <is>
          <t>gen 7</t>
        </is>
      </c>
    </row>
    <row r="2310">
      <c r="D2310" s="19">
        <f>IF(ABS(IF(ABS($E$2244)&gt;0.000000001,$E$2244,0.000000001))=0,0,IF($E$1826&lt;=$B$1820,0,IF(ABS(IF(ABS($E$2244)&gt;0.000000001,$E$2244,0.000000001))&gt;=8*$B$1822,$H$1826,0.5*$H$1826*(ABS(IF(ABS($E$2244)&gt;0.000000001,$E$2244,0.000000001))/$B$1822)^(1/3)))/ABS(IF(ABS($E$2244)&gt;0.000000001,$E$2244,0.000000001))*$I$1826)</f>
        <v/>
      </c>
      <c r="E2310" s="19">
        <f>0.5*$E$2244+0.5*$AT$2332</f>
        <v/>
      </c>
      <c r="F2310" s="19">
        <f>$AT$2333</f>
        <v/>
      </c>
    </row>
    <row r="2311">
      <c r="D2311" s="19">
        <f>IF(ABS(IF(ABS($E$2245)&gt;0.000000001,$E$2245,0.000000001))=0,0,IF($E$1827&lt;=$B$1820,0,IF(ABS(IF(ABS($E$2245)&gt;0.000000001,$E$2245,0.000000001))&gt;=8*$B$1822,$H$1827,0.5*$H$1827*(ABS(IF(ABS($E$2245)&gt;0.000000001,$E$2245,0.000000001))/$B$1822)^(1/3)))/ABS(IF(ABS($E$2245)&gt;0.000000001,$E$2245,0.000000001))*$I$1827)</f>
        <v/>
      </c>
      <c r="E2311" s="19">
        <f>0.5*$E$2245+0.5*$AT$2334</f>
        <v/>
      </c>
      <c r="F2311" s="19">
        <f>$AT$2335</f>
        <v/>
      </c>
    </row>
    <row r="2312">
      <c r="D2312" s="19">
        <f>IF(ABS(IF(ABS($E$2246)&gt;0.000000001,$E$2246,0.000000001))=0,0,IF($E$1828&lt;=$B$1820,0,IF(ABS(IF(ABS($E$2246)&gt;0.000000001,$E$2246,0.000000001))&gt;=8*$B$1822,$H$1828,0.5*$H$1828*(ABS(IF(ABS($E$2246)&gt;0.000000001,$E$2246,0.000000001))/$B$1822)^(1/3)))/ABS(IF(ABS($E$2246)&gt;0.000000001,$E$2246,0.000000001))*$I$1828)</f>
        <v/>
      </c>
      <c r="E2312" s="19">
        <f>0.5*$E$2246+0.5*$AT$2336</f>
        <v/>
      </c>
      <c r="F2312" s="19">
        <f>$AT$2337</f>
        <v/>
      </c>
    </row>
    <row r="2313">
      <c r="D2313" s="19">
        <f>IF(ABS(IF(ABS($E$2247)&gt;0.000000001,$E$2247,0.000000001))=0,0,IF($E$1829&lt;=$B$1820,0,IF(ABS(IF(ABS($E$2247)&gt;0.000000001,$E$2247,0.000000001))&gt;=8*$B$1822,$H$1829,0.5*$H$1829*(ABS(IF(ABS($E$2247)&gt;0.000000001,$E$2247,0.000000001))/$B$1822)^(1/3)))/ABS(IF(ABS($E$2247)&gt;0.000000001,$E$2247,0.000000001))*$I$1829)</f>
        <v/>
      </c>
      <c r="E2313" s="19">
        <f>0.5*$E$2247+0.5*$AT$2338</f>
        <v/>
      </c>
      <c r="F2313" s="19">
        <f>$AT$2339</f>
        <v/>
      </c>
    </row>
    <row r="2314">
      <c r="D2314" s="19">
        <f>IF(ABS(IF(ABS($E$2248)&gt;0.000000001,$E$2248,0.000000001))=0,0,IF($E$1830&lt;=$B$1820,0,IF(ABS(IF(ABS($E$2248)&gt;0.000000001,$E$2248,0.000000001))&gt;=8*$B$1822,$H$1830,0.5*$H$1830*(ABS(IF(ABS($E$2248)&gt;0.000000001,$E$2248,0.000000001))/$B$1822)^(1/3)))/ABS(IF(ABS($E$2248)&gt;0.000000001,$E$2248,0.000000001))*$I$1830)</f>
        <v/>
      </c>
      <c r="E2314" s="19">
        <f>0.5*$E$2248+0.5*$AT$2340</f>
        <v/>
      </c>
      <c r="F2314" s="19">
        <f>$AT$2341</f>
        <v/>
      </c>
    </row>
    <row r="2315">
      <c r="D2315" s="19">
        <f>IF(ABS(IF(ABS($E$2249)&gt;0.000000001,$E$2249,0.000000001))=0,0,IF($E$1831&lt;=$B$1820,0,IF(ABS(IF(ABS($E$2249)&gt;0.000000001,$E$2249,0.000000001))&gt;=8*$B$1822,$H$1831,0.5*$H$1831*(ABS(IF(ABS($E$2249)&gt;0.000000001,$E$2249,0.000000001))/$B$1822)^(1/3)))/ABS(IF(ABS($E$2249)&gt;0.000000001,$E$2249,0.000000001))*$I$1831)</f>
        <v/>
      </c>
      <c r="E2315" s="19">
        <f>0.5*$E$2249+0.5*$AT$2342</f>
        <v/>
      </c>
      <c r="F2315" s="19">
        <f>$AT$2343</f>
        <v/>
      </c>
    </row>
    <row r="2316">
      <c r="D2316" s="19">
        <f>IF(ABS(IF(ABS($E$2250)&gt;0.000000001,$E$2250,0.000000001))=0,0,IF($E$1832&lt;=$B$1820,0,IF(ABS(IF(ABS($E$2250)&gt;0.000000001,$E$2250,0.000000001))&gt;=8*$B$1822,$H$1832,0.5*$H$1832*(ABS(IF(ABS($E$2250)&gt;0.000000001,$E$2250,0.000000001))/$B$1822)^(1/3)))/ABS(IF(ABS($E$2250)&gt;0.000000001,$E$2250,0.000000001))*$I$1832)</f>
        <v/>
      </c>
      <c r="E2316" s="19">
        <f>0.5*$E$2250+0.5*$AT$2344</f>
        <v/>
      </c>
      <c r="F2316" s="19">
        <f>$AT$2345</f>
        <v/>
      </c>
    </row>
    <row r="2317">
      <c r="D2317" s="19">
        <f>IF(ABS(IF(ABS($E$2251)&gt;0.000000001,$E$2251,0.000000001))=0,0,IF($E$1833&lt;=$B$1820,0,IF(ABS(IF(ABS($E$2251)&gt;0.000000001,$E$2251,0.000000001))&gt;=8*$B$1822,$H$1833,0.5*$H$1833*(ABS(IF(ABS($E$2251)&gt;0.000000001,$E$2251,0.000000001))/$B$1822)^(1/3)))/ABS(IF(ABS($E$2251)&gt;0.000000001,$E$2251,0.000000001))*$I$1833)</f>
        <v/>
      </c>
      <c r="E2317" s="19">
        <f>0.5*$E$2251+0.5*$AT$2346</f>
        <v/>
      </c>
      <c r="F2317" s="19">
        <f>$AT$2347</f>
        <v/>
      </c>
    </row>
    <row r="2318">
      <c r="D2318" s="19">
        <f>IF(ABS(IF(ABS($E$2252)&gt;0.000000001,$E$2252,0.000000001))=0,0,IF($E$1834&lt;=$B$1820,0,IF(ABS(IF(ABS($E$2252)&gt;0.000000001,$E$2252,0.000000001))&gt;=8*$B$1822,$H$1834,0.5*$H$1834*(ABS(IF(ABS($E$2252)&gt;0.000000001,$E$2252,0.000000001))/$B$1822)^(1/3)))/ABS(IF(ABS($E$2252)&gt;0.000000001,$E$2252,0.000000001))*$I$1834)</f>
        <v/>
      </c>
      <c r="E2318" s="19">
        <f>0.5*$E$2252+0.5*$AT$2348</f>
        <v/>
      </c>
      <c r="F2318" s="19">
        <f>$AT$2349</f>
        <v/>
      </c>
    </row>
    <row r="2319">
      <c r="D2319" s="19">
        <f>IF(ABS(IF(ABS($E$2253)&gt;0.000000001,$E$2253,0.000000001))=0,0,IF($E$1835&lt;=$B$1820,0,IF(ABS(IF(ABS($E$2253)&gt;0.000000001,$E$2253,0.000000001))&gt;=8*$B$1822,$H$1835,0.5*$H$1835*(ABS(IF(ABS($E$2253)&gt;0.000000001,$E$2253,0.000000001))/$B$1822)^(1/3)))/ABS(IF(ABS($E$2253)&gt;0.000000001,$E$2253,0.000000001))*$I$1835)</f>
        <v/>
      </c>
      <c r="E2319" s="19">
        <f>0.5*$E$2253+0.5*$AT$2350</f>
        <v/>
      </c>
      <c r="F2319" s="19">
        <f>$AT$2351</f>
        <v/>
      </c>
    </row>
    <row r="2320">
      <c r="D2320" s="19">
        <f>IF(ABS(IF(ABS($E$2254)&gt;0.000000001,$E$2254,0.000000001))=0,0,IF($E$1836&lt;=$B$1820,0,IF(ABS(IF(ABS($E$2254)&gt;0.000000001,$E$2254,0.000000001))&gt;=8*$B$1822,$H$1836,0.5*$H$1836*(ABS(IF(ABS($E$2254)&gt;0.000000001,$E$2254,0.000000001))/$B$1822)^(1/3)))/ABS(IF(ABS($E$2254)&gt;0.000000001,$E$2254,0.000000001))*$I$1836)</f>
        <v/>
      </c>
      <c r="E2320" s="19">
        <f>0.5*$E$2254+0.5*$AT$2352</f>
        <v/>
      </c>
      <c r="F2320" s="19">
        <f>$AT$2353</f>
        <v/>
      </c>
    </row>
    <row r="2321">
      <c r="D2321" s="19">
        <f>IF(ABS(IF(ABS($E$2255)&gt;0.000000001,$E$2255,0.000000001))=0,0,IF($E$1837&lt;=$B$1820,0,IF(ABS(IF(ABS($E$2255)&gt;0.000000001,$E$2255,0.000000001))&gt;=8*$B$1822,$H$1837,0.5*$H$1837*(ABS(IF(ABS($E$2255)&gt;0.000000001,$E$2255,0.000000001))/$B$1822)^(1/3)))/ABS(IF(ABS($E$2255)&gt;0.000000001,$E$2255,0.000000001))*$I$1837)</f>
        <v/>
      </c>
      <c r="E2321" s="19">
        <f>0.5*$E$2255+0.5*$AT$2354</f>
        <v/>
      </c>
      <c r="F2321" s="19">
        <f>$AT$2355</f>
        <v/>
      </c>
    </row>
    <row r="2322">
      <c r="D2322" s="19">
        <f>IF(ABS(IF(ABS($E$2256)&gt;0.000000001,$E$2256,0.000000001))=0,0,IF($E$1838&lt;=$B$1820,0,IF(ABS(IF(ABS($E$2256)&gt;0.000000001,$E$2256,0.000000001))&gt;=8*$B$1822,$H$1838,0.5*$H$1838*(ABS(IF(ABS($E$2256)&gt;0.000000001,$E$2256,0.000000001))/$B$1822)^(1/3)))/ABS(IF(ABS($E$2256)&gt;0.000000001,$E$2256,0.000000001))*$I$1838)</f>
        <v/>
      </c>
      <c r="E2322" s="19">
        <f>0.5*$E$2256+0.5*$AT$2356</f>
        <v/>
      </c>
      <c r="F2322" s="19">
        <f>$AT$2357</f>
        <v/>
      </c>
    </row>
    <row r="2323">
      <c r="D2323" s="19">
        <f>IF(ABS(IF(ABS($E$2257)&gt;0.000000001,$E$2257,0.000000001))=0,0,IF($E$1839&lt;=$B$1820,0,IF(ABS(IF(ABS($E$2257)&gt;0.000000001,$E$2257,0.000000001))&gt;=8*$B$1822,$H$1839,0.5*$H$1839*(ABS(IF(ABS($E$2257)&gt;0.000000001,$E$2257,0.000000001))/$B$1822)^(1/3)))/ABS(IF(ABS($E$2257)&gt;0.000000001,$E$2257,0.000000001))*$I$1839)</f>
        <v/>
      </c>
      <c r="E2323" s="19">
        <f>0.5*$E$2257+0.5*$AT$2358</f>
        <v/>
      </c>
      <c r="F2323" s="19">
        <f>$AT$2359</f>
        <v/>
      </c>
    </row>
    <row r="2324">
      <c r="D2324" s="19">
        <f>IF(ABS(IF(ABS($E$2258)&gt;0.000000001,$E$2258,0.000000001))=0,0,IF($E$1840&lt;=$B$1820,0,IF(ABS(IF(ABS($E$2258)&gt;0.000000001,$E$2258,0.000000001))&gt;=8*$B$1822,$H$1840,0.5*$H$1840*(ABS(IF(ABS($E$2258)&gt;0.000000001,$E$2258,0.000000001))/$B$1822)^(1/3)))/ABS(IF(ABS($E$2258)&gt;0.000000001,$E$2258,0.000000001))*$I$1840)</f>
        <v/>
      </c>
      <c r="E2324" s="19">
        <f>0.5*$E$2258+0.5*$AT$2360</f>
        <v/>
      </c>
      <c r="F2324" s="19">
        <f>$AT$2361</f>
        <v/>
      </c>
    </row>
    <row r="2325">
      <c r="D2325" s="19">
        <f>IF(ABS(IF(ABS($E$2259)&gt;0.000000001,$E$2259,0.000000001))=0,0,IF($E$1841&lt;=$B$1820,0,IF(ABS(IF(ABS($E$2259)&gt;0.000000001,$E$2259,0.000000001))&gt;=8*$B$1822,$H$1841,0.5*$H$1841*(ABS(IF(ABS($E$2259)&gt;0.000000001,$E$2259,0.000000001))/$B$1822)^(1/3)))/ABS(IF(ABS($E$2259)&gt;0.000000001,$E$2259,0.000000001))*$I$1841)</f>
        <v/>
      </c>
      <c r="E2325" s="19">
        <f>0.5*$E$2259+0.5*$AT$2362</f>
        <v/>
      </c>
      <c r="F2325" s="19">
        <f>$AT$2363</f>
        <v/>
      </c>
    </row>
    <row r="2326">
      <c r="D2326" s="19">
        <f>IF(ABS(IF(ABS($E$2260)&gt;0.000000001,$E$2260,0.000000001))=0,0,IF($E$1842&lt;=$B$1820,0,IF(ABS(IF(ABS($E$2260)&gt;0.000000001,$E$2260,0.000000001))&gt;=8*$B$1822,$H$1842,0.5*$H$1842*(ABS(IF(ABS($E$2260)&gt;0.000000001,$E$2260,0.000000001))/$B$1822)^(1/3)))/ABS(IF(ABS($E$2260)&gt;0.000000001,$E$2260,0.000000001))*$I$1842)</f>
        <v/>
      </c>
      <c r="E2326" s="19">
        <f>0.5*$E$2260+0.5*$AT$2364</f>
        <v/>
      </c>
      <c r="F2326" s="19">
        <f>$AT$2365</f>
        <v/>
      </c>
    </row>
    <row r="2327">
      <c r="D2327" s="19">
        <f>IF(ABS(IF(ABS($E$2261)&gt;0.000000001,$E$2261,0.000000001))=0,0,IF($E$1843&lt;=$B$1820,0,IF(ABS(IF(ABS($E$2261)&gt;0.000000001,$E$2261,0.000000001))&gt;=8*$B$1822,$H$1843,0.5*$H$1843*(ABS(IF(ABS($E$2261)&gt;0.000000001,$E$2261,0.000000001))/$B$1822)^(1/3)))/ABS(IF(ABS($E$2261)&gt;0.000000001,$E$2261,0.000000001))*$I$1843)</f>
        <v/>
      </c>
      <c r="E2327" s="19">
        <f>0.5*$E$2261+0.5*$AT$2366</f>
        <v/>
      </c>
      <c r="F2327" s="19">
        <f>$AT$2367</f>
        <v/>
      </c>
    </row>
    <row r="2328">
      <c r="D2328" s="19">
        <f>IF(ABS(IF(ABS($E$2262)&gt;0.000000001,$E$2262,0.000000001))=0,0,IF($E$1844&lt;=$B$1820,0,IF(ABS(IF(ABS($E$2262)&gt;0.000000001,$E$2262,0.000000001))&gt;=8*$B$1822,$H$1844,0.5*$H$1844*(ABS(IF(ABS($E$2262)&gt;0.000000001,$E$2262,0.000000001))/$B$1822)^(1/3)))/ABS(IF(ABS($E$2262)&gt;0.000000001,$E$2262,0.000000001))*$I$1844)</f>
        <v/>
      </c>
      <c r="E2328" s="19">
        <f>0.5*$E$2262+0.5*$AT$2368</f>
        <v/>
      </c>
      <c r="F2328" s="19">
        <f>$AT$2369</f>
        <v/>
      </c>
    </row>
    <row r="2329">
      <c r="D2329" s="19">
        <f>IF(ABS(IF(ABS($E$2263)&gt;0.000000001,$E$2263,0.000000001))=0,0,IF($E$1845&lt;=$B$1820,0,IF(ABS(IF(ABS($E$2263)&gt;0.000000001,$E$2263,0.000000001))&gt;=8*$B$1822,$H$1845,0.5*$H$1845*(ABS(IF(ABS($E$2263)&gt;0.000000001,$E$2263,0.000000001))/$B$1822)^(1/3)))/ABS(IF(ABS($E$2263)&gt;0.000000001,$E$2263,0.000000001))*$I$1845)</f>
        <v/>
      </c>
      <c r="E2329" s="19">
        <f>0.5*$E$2263+0.5*$AT$2370</f>
        <v/>
      </c>
      <c r="F2329" s="19">
        <f>$AT$2371</f>
        <v/>
      </c>
    </row>
    <row r="2330">
      <c r="D2330" s="19">
        <f>IF(ABS(IF(ABS($E$2264)&gt;0.000000001,$E$2264,0.000000001))=0,0,IF($E$1846&lt;=$B$1820,0,IF(ABS(IF(ABS($E$2264)&gt;0.000000001,$E$2264,0.000000001))&gt;=8*$B$1822,$H$1846,0.5*$H$1846*(ABS(IF(ABS($E$2264)&gt;0.000000001,$E$2264,0.000000001))/$B$1822)^(1/3)))/ABS(IF(ABS($E$2264)&gt;0.000000001,$E$2264,0.000000001))*$I$1846)</f>
        <v/>
      </c>
      <c r="E2330" s="19">
        <f>0.5*$E$2264+0.5*$AT$2372</f>
        <v/>
      </c>
      <c r="F2330" s="19">
        <f>$AT$2373</f>
        <v/>
      </c>
    </row>
    <row r="2332">
      <c r="D2332" s="21">
        <f>$B$1811+$D$2310</f>
        <v/>
      </c>
      <c r="E2332" s="21">
        <f>$B$1812</f>
        <v/>
      </c>
      <c r="F2332" s="21">
        <f>-$B$1811</f>
        <v/>
      </c>
      <c r="G2332" s="21">
        <f>$B$1812</f>
        <v/>
      </c>
      <c r="H2332" s="21" t="n">
        <v>0</v>
      </c>
      <c r="I2332" s="21" t="n">
        <v>0</v>
      </c>
      <c r="J2332" s="21" t="n">
        <v>0</v>
      </c>
      <c r="K2332" s="21" t="n">
        <v>0</v>
      </c>
      <c r="L2332" s="21" t="n">
        <v>0</v>
      </c>
      <c r="M2332" s="21" t="n">
        <v>0</v>
      </c>
      <c r="N2332" s="21" t="n">
        <v>0</v>
      </c>
      <c r="O2332" s="21" t="n">
        <v>0</v>
      </c>
      <c r="P2332" s="21" t="n">
        <v>0</v>
      </c>
      <c r="Q2332" s="21" t="n">
        <v>0</v>
      </c>
      <c r="R2332" s="21" t="n">
        <v>0</v>
      </c>
      <c r="S2332" s="21" t="n">
        <v>0</v>
      </c>
      <c r="T2332" s="21" t="n">
        <v>0</v>
      </c>
      <c r="U2332" s="21" t="n">
        <v>0</v>
      </c>
      <c r="V2332" s="21" t="n">
        <v>0</v>
      </c>
      <c r="W2332" s="21" t="n">
        <v>0</v>
      </c>
      <c r="X2332" s="21" t="n">
        <v>0</v>
      </c>
      <c r="Y2332" s="21" t="n">
        <v>0</v>
      </c>
      <c r="Z2332" s="21" t="n">
        <v>0</v>
      </c>
      <c r="AA2332" s="21" t="n">
        <v>0</v>
      </c>
      <c r="AB2332" s="21" t="n">
        <v>0</v>
      </c>
      <c r="AC2332" s="21" t="n">
        <v>0</v>
      </c>
      <c r="AD2332" s="21" t="n">
        <v>0</v>
      </c>
      <c r="AE2332" s="21" t="n">
        <v>0</v>
      </c>
      <c r="AF2332" s="21" t="n">
        <v>0</v>
      </c>
      <c r="AG2332" s="21" t="n">
        <v>0</v>
      </c>
      <c r="AH2332" s="21" t="n">
        <v>0</v>
      </c>
      <c r="AI2332" s="21" t="n">
        <v>0</v>
      </c>
      <c r="AJ2332" s="21" t="n">
        <v>0</v>
      </c>
      <c r="AK2332" s="21" t="n">
        <v>0</v>
      </c>
      <c r="AL2332" s="21" t="n">
        <v>0</v>
      </c>
      <c r="AM2332" s="21" t="n">
        <v>0</v>
      </c>
      <c r="AN2332" s="21" t="n">
        <v>0</v>
      </c>
      <c r="AO2332" s="21" t="n">
        <v>0</v>
      </c>
      <c r="AP2332" s="21" t="n">
        <v>0</v>
      </c>
      <c r="AQ2332" s="21" t="n">
        <v>0</v>
      </c>
      <c r="AR2332" s="21" t="n">
        <v>0</v>
      </c>
      <c r="AS2332" s="21" t="n">
        <v>0</v>
      </c>
      <c r="AT2332" s="19">
        <f t="array" ref="AT2332:AT2373">MMULT(MINVERSE($D$2332:$AS$2373),$D$1848:$D$1889)</f>
        <v/>
      </c>
    </row>
    <row r="2333">
      <c r="D2333" s="21">
        <f>$B$1812</f>
        <v/>
      </c>
      <c r="E2333" s="21">
        <f>$B$1813</f>
        <v/>
      </c>
      <c r="F2333" s="21">
        <f>-$B$1812</f>
        <v/>
      </c>
      <c r="G2333" s="21">
        <f>$B$1814</f>
        <v/>
      </c>
      <c r="H2333" s="21" t="n">
        <v>0</v>
      </c>
      <c r="I2333" s="21" t="n">
        <v>0</v>
      </c>
      <c r="J2333" s="21" t="n">
        <v>0</v>
      </c>
      <c r="K2333" s="21" t="n">
        <v>0</v>
      </c>
      <c r="L2333" s="21" t="n">
        <v>0</v>
      </c>
      <c r="M2333" s="21" t="n">
        <v>0</v>
      </c>
      <c r="N2333" s="21" t="n">
        <v>0</v>
      </c>
      <c r="O2333" s="21" t="n">
        <v>0</v>
      </c>
      <c r="P2333" s="21" t="n">
        <v>0</v>
      </c>
      <c r="Q2333" s="21" t="n">
        <v>0</v>
      </c>
      <c r="R2333" s="21" t="n">
        <v>0</v>
      </c>
      <c r="S2333" s="21" t="n">
        <v>0</v>
      </c>
      <c r="T2333" s="21" t="n">
        <v>0</v>
      </c>
      <c r="U2333" s="21" t="n">
        <v>0</v>
      </c>
      <c r="V2333" s="21" t="n">
        <v>0</v>
      </c>
      <c r="W2333" s="21" t="n">
        <v>0</v>
      </c>
      <c r="X2333" s="21" t="n">
        <v>0</v>
      </c>
      <c r="Y2333" s="21" t="n">
        <v>0</v>
      </c>
      <c r="Z2333" s="21" t="n">
        <v>0</v>
      </c>
      <c r="AA2333" s="21" t="n">
        <v>0</v>
      </c>
      <c r="AB2333" s="21" t="n">
        <v>0</v>
      </c>
      <c r="AC2333" s="21" t="n">
        <v>0</v>
      </c>
      <c r="AD2333" s="21" t="n">
        <v>0</v>
      </c>
      <c r="AE2333" s="21" t="n">
        <v>0</v>
      </c>
      <c r="AF2333" s="21" t="n">
        <v>0</v>
      </c>
      <c r="AG2333" s="21" t="n">
        <v>0</v>
      </c>
      <c r="AH2333" s="21" t="n">
        <v>0</v>
      </c>
      <c r="AI2333" s="21" t="n">
        <v>0</v>
      </c>
      <c r="AJ2333" s="21" t="n">
        <v>0</v>
      </c>
      <c r="AK2333" s="21" t="n">
        <v>0</v>
      </c>
      <c r="AL2333" s="21" t="n">
        <v>0</v>
      </c>
      <c r="AM2333" s="21" t="n">
        <v>0</v>
      </c>
      <c r="AN2333" s="21" t="n">
        <v>0</v>
      </c>
      <c r="AO2333" s="21" t="n">
        <v>0</v>
      </c>
      <c r="AP2333" s="21" t="n">
        <v>0</v>
      </c>
      <c r="AQ2333" s="21" t="n">
        <v>0</v>
      </c>
      <c r="AR2333" s="21" t="n">
        <v>0</v>
      </c>
      <c r="AS2333" s="21" t="n">
        <v>0</v>
      </c>
      <c r="AT2333" s="19" t="n"/>
    </row>
    <row r="2334">
      <c r="D2334" s="21">
        <f>-$B$1811</f>
        <v/>
      </c>
      <c r="E2334" s="21">
        <f>-$B$1812</f>
        <v/>
      </c>
      <c r="F2334" s="21">
        <f>2*$B$1811+$D$2311</f>
        <v/>
      </c>
      <c r="G2334" s="21">
        <f>0</f>
        <v/>
      </c>
      <c r="H2334" s="21">
        <f>-$B$1811</f>
        <v/>
      </c>
      <c r="I2334" s="21">
        <f>$B$1812</f>
        <v/>
      </c>
      <c r="J2334" s="21" t="n">
        <v>0</v>
      </c>
      <c r="K2334" s="21" t="n">
        <v>0</v>
      </c>
      <c r="L2334" s="21" t="n">
        <v>0</v>
      </c>
      <c r="M2334" s="21" t="n">
        <v>0</v>
      </c>
      <c r="N2334" s="21" t="n">
        <v>0</v>
      </c>
      <c r="O2334" s="21" t="n">
        <v>0</v>
      </c>
      <c r="P2334" s="21" t="n">
        <v>0</v>
      </c>
      <c r="Q2334" s="21" t="n">
        <v>0</v>
      </c>
      <c r="R2334" s="21" t="n">
        <v>0</v>
      </c>
      <c r="S2334" s="21" t="n">
        <v>0</v>
      </c>
      <c r="T2334" s="21" t="n">
        <v>0</v>
      </c>
      <c r="U2334" s="21" t="n">
        <v>0</v>
      </c>
      <c r="V2334" s="21" t="n">
        <v>0</v>
      </c>
      <c r="W2334" s="21" t="n">
        <v>0</v>
      </c>
      <c r="X2334" s="21" t="n">
        <v>0</v>
      </c>
      <c r="Y2334" s="21" t="n">
        <v>0</v>
      </c>
      <c r="Z2334" s="21" t="n">
        <v>0</v>
      </c>
      <c r="AA2334" s="21" t="n">
        <v>0</v>
      </c>
      <c r="AB2334" s="21" t="n">
        <v>0</v>
      </c>
      <c r="AC2334" s="21" t="n">
        <v>0</v>
      </c>
      <c r="AD2334" s="21" t="n">
        <v>0</v>
      </c>
      <c r="AE2334" s="21" t="n">
        <v>0</v>
      </c>
      <c r="AF2334" s="21" t="n">
        <v>0</v>
      </c>
      <c r="AG2334" s="21" t="n">
        <v>0</v>
      </c>
      <c r="AH2334" s="21" t="n">
        <v>0</v>
      </c>
      <c r="AI2334" s="21" t="n">
        <v>0</v>
      </c>
      <c r="AJ2334" s="21" t="n">
        <v>0</v>
      </c>
      <c r="AK2334" s="21" t="n">
        <v>0</v>
      </c>
      <c r="AL2334" s="21" t="n">
        <v>0</v>
      </c>
      <c r="AM2334" s="21" t="n">
        <v>0</v>
      </c>
      <c r="AN2334" s="21" t="n">
        <v>0</v>
      </c>
      <c r="AO2334" s="21" t="n">
        <v>0</v>
      </c>
      <c r="AP2334" s="21" t="n">
        <v>0</v>
      </c>
      <c r="AQ2334" s="21" t="n">
        <v>0</v>
      </c>
      <c r="AR2334" s="21" t="n">
        <v>0</v>
      </c>
      <c r="AS2334" s="21" t="n">
        <v>0</v>
      </c>
      <c r="AT2334" s="19" t="n"/>
    </row>
    <row r="2335">
      <c r="D2335" s="21">
        <f>$B$1812</f>
        <v/>
      </c>
      <c r="E2335" s="21">
        <f>$B$1814</f>
        <v/>
      </c>
      <c r="F2335" s="21">
        <f>0</f>
        <v/>
      </c>
      <c r="G2335" s="21">
        <f>2*$B$1813</f>
        <v/>
      </c>
      <c r="H2335" s="21">
        <f>-$B$1812</f>
        <v/>
      </c>
      <c r="I2335" s="21">
        <f>$B$1814</f>
        <v/>
      </c>
      <c r="J2335" s="21" t="n">
        <v>0</v>
      </c>
      <c r="K2335" s="21" t="n">
        <v>0</v>
      </c>
      <c r="L2335" s="21" t="n">
        <v>0</v>
      </c>
      <c r="M2335" s="21" t="n">
        <v>0</v>
      </c>
      <c r="N2335" s="21" t="n">
        <v>0</v>
      </c>
      <c r="O2335" s="21" t="n">
        <v>0</v>
      </c>
      <c r="P2335" s="21" t="n">
        <v>0</v>
      </c>
      <c r="Q2335" s="21" t="n">
        <v>0</v>
      </c>
      <c r="R2335" s="21" t="n">
        <v>0</v>
      </c>
      <c r="S2335" s="21" t="n">
        <v>0</v>
      </c>
      <c r="T2335" s="21" t="n">
        <v>0</v>
      </c>
      <c r="U2335" s="21" t="n">
        <v>0</v>
      </c>
      <c r="V2335" s="21" t="n">
        <v>0</v>
      </c>
      <c r="W2335" s="21" t="n">
        <v>0</v>
      </c>
      <c r="X2335" s="21" t="n">
        <v>0</v>
      </c>
      <c r="Y2335" s="21" t="n">
        <v>0</v>
      </c>
      <c r="Z2335" s="21" t="n">
        <v>0</v>
      </c>
      <c r="AA2335" s="21" t="n">
        <v>0</v>
      </c>
      <c r="AB2335" s="21" t="n">
        <v>0</v>
      </c>
      <c r="AC2335" s="21" t="n">
        <v>0</v>
      </c>
      <c r="AD2335" s="21" t="n">
        <v>0</v>
      </c>
      <c r="AE2335" s="21" t="n">
        <v>0</v>
      </c>
      <c r="AF2335" s="21" t="n">
        <v>0</v>
      </c>
      <c r="AG2335" s="21" t="n">
        <v>0</v>
      </c>
      <c r="AH2335" s="21" t="n">
        <v>0</v>
      </c>
      <c r="AI2335" s="21" t="n">
        <v>0</v>
      </c>
      <c r="AJ2335" s="21" t="n">
        <v>0</v>
      </c>
      <c r="AK2335" s="21" t="n">
        <v>0</v>
      </c>
      <c r="AL2335" s="21" t="n">
        <v>0</v>
      </c>
      <c r="AM2335" s="21" t="n">
        <v>0</v>
      </c>
      <c r="AN2335" s="21" t="n">
        <v>0</v>
      </c>
      <c r="AO2335" s="21" t="n">
        <v>0</v>
      </c>
      <c r="AP2335" s="21" t="n">
        <v>0</v>
      </c>
      <c r="AQ2335" s="21" t="n">
        <v>0</v>
      </c>
      <c r="AR2335" s="21" t="n">
        <v>0</v>
      </c>
      <c r="AS2335" s="21" t="n">
        <v>0</v>
      </c>
      <c r="AT2335" s="19" t="n"/>
    </row>
    <row r="2336">
      <c r="D2336" s="21" t="n">
        <v>0</v>
      </c>
      <c r="E2336" s="21" t="n">
        <v>0</v>
      </c>
      <c r="F2336" s="21">
        <f>-$B$1811</f>
        <v/>
      </c>
      <c r="G2336" s="21">
        <f>-$B$1812</f>
        <v/>
      </c>
      <c r="H2336" s="21">
        <f>2*$B$1811+$D$2312</f>
        <v/>
      </c>
      <c r="I2336" s="21">
        <f>0</f>
        <v/>
      </c>
      <c r="J2336" s="21">
        <f>-$B$1811</f>
        <v/>
      </c>
      <c r="K2336" s="21">
        <f>$B$1812</f>
        <v/>
      </c>
      <c r="L2336" s="21" t="n">
        <v>0</v>
      </c>
      <c r="M2336" s="21" t="n">
        <v>0</v>
      </c>
      <c r="N2336" s="21" t="n">
        <v>0</v>
      </c>
      <c r="O2336" s="21" t="n">
        <v>0</v>
      </c>
      <c r="P2336" s="21" t="n">
        <v>0</v>
      </c>
      <c r="Q2336" s="21" t="n">
        <v>0</v>
      </c>
      <c r="R2336" s="21" t="n">
        <v>0</v>
      </c>
      <c r="S2336" s="21" t="n">
        <v>0</v>
      </c>
      <c r="T2336" s="21" t="n">
        <v>0</v>
      </c>
      <c r="U2336" s="21" t="n">
        <v>0</v>
      </c>
      <c r="V2336" s="21" t="n">
        <v>0</v>
      </c>
      <c r="W2336" s="21" t="n">
        <v>0</v>
      </c>
      <c r="X2336" s="21" t="n">
        <v>0</v>
      </c>
      <c r="Y2336" s="21" t="n">
        <v>0</v>
      </c>
      <c r="Z2336" s="21" t="n">
        <v>0</v>
      </c>
      <c r="AA2336" s="21" t="n">
        <v>0</v>
      </c>
      <c r="AB2336" s="21" t="n">
        <v>0</v>
      </c>
      <c r="AC2336" s="21" t="n">
        <v>0</v>
      </c>
      <c r="AD2336" s="21" t="n">
        <v>0</v>
      </c>
      <c r="AE2336" s="21" t="n">
        <v>0</v>
      </c>
      <c r="AF2336" s="21" t="n">
        <v>0</v>
      </c>
      <c r="AG2336" s="21" t="n">
        <v>0</v>
      </c>
      <c r="AH2336" s="21" t="n">
        <v>0</v>
      </c>
      <c r="AI2336" s="21" t="n">
        <v>0</v>
      </c>
      <c r="AJ2336" s="21" t="n">
        <v>0</v>
      </c>
      <c r="AK2336" s="21" t="n">
        <v>0</v>
      </c>
      <c r="AL2336" s="21" t="n">
        <v>0</v>
      </c>
      <c r="AM2336" s="21" t="n">
        <v>0</v>
      </c>
      <c r="AN2336" s="21" t="n">
        <v>0</v>
      </c>
      <c r="AO2336" s="21" t="n">
        <v>0</v>
      </c>
      <c r="AP2336" s="21" t="n">
        <v>0</v>
      </c>
      <c r="AQ2336" s="21" t="n">
        <v>0</v>
      </c>
      <c r="AR2336" s="21" t="n">
        <v>0</v>
      </c>
      <c r="AS2336" s="21" t="n">
        <v>0</v>
      </c>
      <c r="AT2336" s="19" t="n"/>
    </row>
    <row r="2337">
      <c r="D2337" s="21" t="n">
        <v>0</v>
      </c>
      <c r="E2337" s="21" t="n">
        <v>0</v>
      </c>
      <c r="F2337" s="21">
        <f>$B$1812</f>
        <v/>
      </c>
      <c r="G2337" s="21">
        <f>$B$1814</f>
        <v/>
      </c>
      <c r="H2337" s="21">
        <f>0</f>
        <v/>
      </c>
      <c r="I2337" s="21">
        <f>2*$B$1813</f>
        <v/>
      </c>
      <c r="J2337" s="21">
        <f>-$B$1812</f>
        <v/>
      </c>
      <c r="K2337" s="21">
        <f>$B$1814</f>
        <v/>
      </c>
      <c r="L2337" s="21" t="n">
        <v>0</v>
      </c>
      <c r="M2337" s="21" t="n">
        <v>0</v>
      </c>
      <c r="N2337" s="21" t="n">
        <v>0</v>
      </c>
      <c r="O2337" s="21" t="n">
        <v>0</v>
      </c>
      <c r="P2337" s="21" t="n">
        <v>0</v>
      </c>
      <c r="Q2337" s="21" t="n">
        <v>0</v>
      </c>
      <c r="R2337" s="21" t="n">
        <v>0</v>
      </c>
      <c r="S2337" s="21" t="n">
        <v>0</v>
      </c>
      <c r="T2337" s="21" t="n">
        <v>0</v>
      </c>
      <c r="U2337" s="21" t="n">
        <v>0</v>
      </c>
      <c r="V2337" s="21" t="n">
        <v>0</v>
      </c>
      <c r="W2337" s="21" t="n">
        <v>0</v>
      </c>
      <c r="X2337" s="21" t="n">
        <v>0</v>
      </c>
      <c r="Y2337" s="21" t="n">
        <v>0</v>
      </c>
      <c r="Z2337" s="21" t="n">
        <v>0</v>
      </c>
      <c r="AA2337" s="21" t="n">
        <v>0</v>
      </c>
      <c r="AB2337" s="21" t="n">
        <v>0</v>
      </c>
      <c r="AC2337" s="21" t="n">
        <v>0</v>
      </c>
      <c r="AD2337" s="21" t="n">
        <v>0</v>
      </c>
      <c r="AE2337" s="21" t="n">
        <v>0</v>
      </c>
      <c r="AF2337" s="21" t="n">
        <v>0</v>
      </c>
      <c r="AG2337" s="21" t="n">
        <v>0</v>
      </c>
      <c r="AH2337" s="21" t="n">
        <v>0</v>
      </c>
      <c r="AI2337" s="21" t="n">
        <v>0</v>
      </c>
      <c r="AJ2337" s="21" t="n">
        <v>0</v>
      </c>
      <c r="AK2337" s="21" t="n">
        <v>0</v>
      </c>
      <c r="AL2337" s="21" t="n">
        <v>0</v>
      </c>
      <c r="AM2337" s="21" t="n">
        <v>0</v>
      </c>
      <c r="AN2337" s="21" t="n">
        <v>0</v>
      </c>
      <c r="AO2337" s="21" t="n">
        <v>0</v>
      </c>
      <c r="AP2337" s="21" t="n">
        <v>0</v>
      </c>
      <c r="AQ2337" s="21" t="n">
        <v>0</v>
      </c>
      <c r="AR2337" s="21" t="n">
        <v>0</v>
      </c>
      <c r="AS2337" s="21" t="n">
        <v>0</v>
      </c>
      <c r="AT2337" s="19" t="n"/>
    </row>
    <row r="2338">
      <c r="D2338" s="21" t="n">
        <v>0</v>
      </c>
      <c r="E2338" s="21" t="n">
        <v>0</v>
      </c>
      <c r="F2338" s="21" t="n">
        <v>0</v>
      </c>
      <c r="G2338" s="21" t="n">
        <v>0</v>
      </c>
      <c r="H2338" s="21">
        <f>-$B$1811</f>
        <v/>
      </c>
      <c r="I2338" s="21">
        <f>-$B$1812</f>
        <v/>
      </c>
      <c r="J2338" s="21">
        <f>2*$B$1811+$D$2313</f>
        <v/>
      </c>
      <c r="K2338" s="21">
        <f>0</f>
        <v/>
      </c>
      <c r="L2338" s="21">
        <f>-$B$1811</f>
        <v/>
      </c>
      <c r="M2338" s="21">
        <f>$B$1812</f>
        <v/>
      </c>
      <c r="N2338" s="21" t="n">
        <v>0</v>
      </c>
      <c r="O2338" s="21" t="n">
        <v>0</v>
      </c>
      <c r="P2338" s="21" t="n">
        <v>0</v>
      </c>
      <c r="Q2338" s="21" t="n">
        <v>0</v>
      </c>
      <c r="R2338" s="21" t="n">
        <v>0</v>
      </c>
      <c r="S2338" s="21" t="n">
        <v>0</v>
      </c>
      <c r="T2338" s="21" t="n">
        <v>0</v>
      </c>
      <c r="U2338" s="21" t="n">
        <v>0</v>
      </c>
      <c r="V2338" s="21" t="n">
        <v>0</v>
      </c>
      <c r="W2338" s="21" t="n">
        <v>0</v>
      </c>
      <c r="X2338" s="21" t="n">
        <v>0</v>
      </c>
      <c r="Y2338" s="21" t="n">
        <v>0</v>
      </c>
      <c r="Z2338" s="21" t="n">
        <v>0</v>
      </c>
      <c r="AA2338" s="21" t="n">
        <v>0</v>
      </c>
      <c r="AB2338" s="21" t="n">
        <v>0</v>
      </c>
      <c r="AC2338" s="21" t="n">
        <v>0</v>
      </c>
      <c r="AD2338" s="21" t="n">
        <v>0</v>
      </c>
      <c r="AE2338" s="21" t="n">
        <v>0</v>
      </c>
      <c r="AF2338" s="21" t="n">
        <v>0</v>
      </c>
      <c r="AG2338" s="21" t="n">
        <v>0</v>
      </c>
      <c r="AH2338" s="21" t="n">
        <v>0</v>
      </c>
      <c r="AI2338" s="21" t="n">
        <v>0</v>
      </c>
      <c r="AJ2338" s="21" t="n">
        <v>0</v>
      </c>
      <c r="AK2338" s="21" t="n">
        <v>0</v>
      </c>
      <c r="AL2338" s="21" t="n">
        <v>0</v>
      </c>
      <c r="AM2338" s="21" t="n">
        <v>0</v>
      </c>
      <c r="AN2338" s="21" t="n">
        <v>0</v>
      </c>
      <c r="AO2338" s="21" t="n">
        <v>0</v>
      </c>
      <c r="AP2338" s="21" t="n">
        <v>0</v>
      </c>
      <c r="AQ2338" s="21" t="n">
        <v>0</v>
      </c>
      <c r="AR2338" s="21" t="n">
        <v>0</v>
      </c>
      <c r="AS2338" s="21" t="n">
        <v>0</v>
      </c>
      <c r="AT2338" s="19" t="n"/>
    </row>
    <row r="2339">
      <c r="D2339" s="21" t="n">
        <v>0</v>
      </c>
      <c r="E2339" s="21" t="n">
        <v>0</v>
      </c>
      <c r="F2339" s="21" t="n">
        <v>0</v>
      </c>
      <c r="G2339" s="21" t="n">
        <v>0</v>
      </c>
      <c r="H2339" s="21">
        <f>$B$1812</f>
        <v/>
      </c>
      <c r="I2339" s="21">
        <f>$B$1814</f>
        <v/>
      </c>
      <c r="J2339" s="21">
        <f>0</f>
        <v/>
      </c>
      <c r="K2339" s="21">
        <f>2*$B$1813</f>
        <v/>
      </c>
      <c r="L2339" s="21">
        <f>-$B$1812</f>
        <v/>
      </c>
      <c r="M2339" s="21">
        <f>$B$1814</f>
        <v/>
      </c>
      <c r="N2339" s="21" t="n">
        <v>0</v>
      </c>
      <c r="O2339" s="21" t="n">
        <v>0</v>
      </c>
      <c r="P2339" s="21" t="n">
        <v>0</v>
      </c>
      <c r="Q2339" s="21" t="n">
        <v>0</v>
      </c>
      <c r="R2339" s="21" t="n">
        <v>0</v>
      </c>
      <c r="S2339" s="21" t="n">
        <v>0</v>
      </c>
      <c r="T2339" s="21" t="n">
        <v>0</v>
      </c>
      <c r="U2339" s="21" t="n">
        <v>0</v>
      </c>
      <c r="V2339" s="21" t="n">
        <v>0</v>
      </c>
      <c r="W2339" s="21" t="n">
        <v>0</v>
      </c>
      <c r="X2339" s="21" t="n">
        <v>0</v>
      </c>
      <c r="Y2339" s="21" t="n">
        <v>0</v>
      </c>
      <c r="Z2339" s="21" t="n">
        <v>0</v>
      </c>
      <c r="AA2339" s="21" t="n">
        <v>0</v>
      </c>
      <c r="AB2339" s="21" t="n">
        <v>0</v>
      </c>
      <c r="AC2339" s="21" t="n">
        <v>0</v>
      </c>
      <c r="AD2339" s="21" t="n">
        <v>0</v>
      </c>
      <c r="AE2339" s="21" t="n">
        <v>0</v>
      </c>
      <c r="AF2339" s="21" t="n">
        <v>0</v>
      </c>
      <c r="AG2339" s="21" t="n">
        <v>0</v>
      </c>
      <c r="AH2339" s="21" t="n">
        <v>0</v>
      </c>
      <c r="AI2339" s="21" t="n">
        <v>0</v>
      </c>
      <c r="AJ2339" s="21" t="n">
        <v>0</v>
      </c>
      <c r="AK2339" s="21" t="n">
        <v>0</v>
      </c>
      <c r="AL2339" s="21" t="n">
        <v>0</v>
      </c>
      <c r="AM2339" s="21" t="n">
        <v>0</v>
      </c>
      <c r="AN2339" s="21" t="n">
        <v>0</v>
      </c>
      <c r="AO2339" s="21" t="n">
        <v>0</v>
      </c>
      <c r="AP2339" s="21" t="n">
        <v>0</v>
      </c>
      <c r="AQ2339" s="21" t="n">
        <v>0</v>
      </c>
      <c r="AR2339" s="21" t="n">
        <v>0</v>
      </c>
      <c r="AS2339" s="21" t="n">
        <v>0</v>
      </c>
      <c r="AT2339" s="19" t="n"/>
    </row>
    <row r="2340">
      <c r="D2340" s="21" t="n">
        <v>0</v>
      </c>
      <c r="E2340" s="21" t="n">
        <v>0</v>
      </c>
      <c r="F2340" s="21" t="n">
        <v>0</v>
      </c>
      <c r="G2340" s="21" t="n">
        <v>0</v>
      </c>
      <c r="H2340" s="21" t="n">
        <v>0</v>
      </c>
      <c r="I2340" s="21" t="n">
        <v>0</v>
      </c>
      <c r="J2340" s="21">
        <f>-$B$1811</f>
        <v/>
      </c>
      <c r="K2340" s="21">
        <f>-$B$1812</f>
        <v/>
      </c>
      <c r="L2340" s="21">
        <f>2*$B$1811+$D$2314</f>
        <v/>
      </c>
      <c r="M2340" s="21">
        <f>0</f>
        <v/>
      </c>
      <c r="N2340" s="21">
        <f>-$B$1811</f>
        <v/>
      </c>
      <c r="O2340" s="21">
        <f>$B$1812</f>
        <v/>
      </c>
      <c r="P2340" s="21" t="n">
        <v>0</v>
      </c>
      <c r="Q2340" s="21" t="n">
        <v>0</v>
      </c>
      <c r="R2340" s="21" t="n">
        <v>0</v>
      </c>
      <c r="S2340" s="21" t="n">
        <v>0</v>
      </c>
      <c r="T2340" s="21" t="n">
        <v>0</v>
      </c>
      <c r="U2340" s="21" t="n">
        <v>0</v>
      </c>
      <c r="V2340" s="21" t="n">
        <v>0</v>
      </c>
      <c r="W2340" s="21" t="n">
        <v>0</v>
      </c>
      <c r="X2340" s="21" t="n">
        <v>0</v>
      </c>
      <c r="Y2340" s="21" t="n">
        <v>0</v>
      </c>
      <c r="Z2340" s="21" t="n">
        <v>0</v>
      </c>
      <c r="AA2340" s="21" t="n">
        <v>0</v>
      </c>
      <c r="AB2340" s="21" t="n">
        <v>0</v>
      </c>
      <c r="AC2340" s="21" t="n">
        <v>0</v>
      </c>
      <c r="AD2340" s="21" t="n">
        <v>0</v>
      </c>
      <c r="AE2340" s="21" t="n">
        <v>0</v>
      </c>
      <c r="AF2340" s="21" t="n">
        <v>0</v>
      </c>
      <c r="AG2340" s="21" t="n">
        <v>0</v>
      </c>
      <c r="AH2340" s="21" t="n">
        <v>0</v>
      </c>
      <c r="AI2340" s="21" t="n">
        <v>0</v>
      </c>
      <c r="AJ2340" s="21" t="n">
        <v>0</v>
      </c>
      <c r="AK2340" s="21" t="n">
        <v>0</v>
      </c>
      <c r="AL2340" s="21" t="n">
        <v>0</v>
      </c>
      <c r="AM2340" s="21" t="n">
        <v>0</v>
      </c>
      <c r="AN2340" s="21" t="n">
        <v>0</v>
      </c>
      <c r="AO2340" s="21" t="n">
        <v>0</v>
      </c>
      <c r="AP2340" s="21" t="n">
        <v>0</v>
      </c>
      <c r="AQ2340" s="21" t="n">
        <v>0</v>
      </c>
      <c r="AR2340" s="21" t="n">
        <v>0</v>
      </c>
      <c r="AS2340" s="21" t="n">
        <v>0</v>
      </c>
      <c r="AT2340" s="19" t="n"/>
    </row>
    <row r="2341">
      <c r="D2341" s="21" t="n">
        <v>0</v>
      </c>
      <c r="E2341" s="21" t="n">
        <v>0</v>
      </c>
      <c r="F2341" s="21" t="n">
        <v>0</v>
      </c>
      <c r="G2341" s="21" t="n">
        <v>0</v>
      </c>
      <c r="H2341" s="21" t="n">
        <v>0</v>
      </c>
      <c r="I2341" s="21" t="n">
        <v>0</v>
      </c>
      <c r="J2341" s="21">
        <f>$B$1812</f>
        <v/>
      </c>
      <c r="K2341" s="21">
        <f>$B$1814</f>
        <v/>
      </c>
      <c r="L2341" s="21">
        <f>0</f>
        <v/>
      </c>
      <c r="M2341" s="21">
        <f>2*$B$1813</f>
        <v/>
      </c>
      <c r="N2341" s="21">
        <f>-$B$1812</f>
        <v/>
      </c>
      <c r="O2341" s="21">
        <f>$B$1814</f>
        <v/>
      </c>
      <c r="P2341" s="21" t="n">
        <v>0</v>
      </c>
      <c r="Q2341" s="21" t="n">
        <v>0</v>
      </c>
      <c r="R2341" s="21" t="n">
        <v>0</v>
      </c>
      <c r="S2341" s="21" t="n">
        <v>0</v>
      </c>
      <c r="T2341" s="21" t="n">
        <v>0</v>
      </c>
      <c r="U2341" s="21" t="n">
        <v>0</v>
      </c>
      <c r="V2341" s="21" t="n">
        <v>0</v>
      </c>
      <c r="W2341" s="21" t="n">
        <v>0</v>
      </c>
      <c r="X2341" s="21" t="n">
        <v>0</v>
      </c>
      <c r="Y2341" s="21" t="n">
        <v>0</v>
      </c>
      <c r="Z2341" s="21" t="n">
        <v>0</v>
      </c>
      <c r="AA2341" s="21" t="n">
        <v>0</v>
      </c>
      <c r="AB2341" s="21" t="n">
        <v>0</v>
      </c>
      <c r="AC2341" s="21" t="n">
        <v>0</v>
      </c>
      <c r="AD2341" s="21" t="n">
        <v>0</v>
      </c>
      <c r="AE2341" s="21" t="n">
        <v>0</v>
      </c>
      <c r="AF2341" s="21" t="n">
        <v>0</v>
      </c>
      <c r="AG2341" s="21" t="n">
        <v>0</v>
      </c>
      <c r="AH2341" s="21" t="n">
        <v>0</v>
      </c>
      <c r="AI2341" s="21" t="n">
        <v>0</v>
      </c>
      <c r="AJ2341" s="21" t="n">
        <v>0</v>
      </c>
      <c r="AK2341" s="21" t="n">
        <v>0</v>
      </c>
      <c r="AL2341" s="21" t="n">
        <v>0</v>
      </c>
      <c r="AM2341" s="21" t="n">
        <v>0</v>
      </c>
      <c r="AN2341" s="21" t="n">
        <v>0</v>
      </c>
      <c r="AO2341" s="21" t="n">
        <v>0</v>
      </c>
      <c r="AP2341" s="21" t="n">
        <v>0</v>
      </c>
      <c r="AQ2341" s="21" t="n">
        <v>0</v>
      </c>
      <c r="AR2341" s="21" t="n">
        <v>0</v>
      </c>
      <c r="AS2341" s="21" t="n">
        <v>0</v>
      </c>
      <c r="AT2341" s="19" t="n"/>
    </row>
    <row r="2342">
      <c r="D2342" s="21" t="n">
        <v>0</v>
      </c>
      <c r="E2342" s="21" t="n">
        <v>0</v>
      </c>
      <c r="F2342" s="21" t="n">
        <v>0</v>
      </c>
      <c r="G2342" s="21" t="n">
        <v>0</v>
      </c>
      <c r="H2342" s="21" t="n">
        <v>0</v>
      </c>
      <c r="I2342" s="21" t="n">
        <v>0</v>
      </c>
      <c r="J2342" s="21" t="n">
        <v>0</v>
      </c>
      <c r="K2342" s="21" t="n">
        <v>0</v>
      </c>
      <c r="L2342" s="21">
        <f>-$B$1811</f>
        <v/>
      </c>
      <c r="M2342" s="21">
        <f>-$B$1812</f>
        <v/>
      </c>
      <c r="N2342" s="21">
        <f>2*$B$1811+$D$2315</f>
        <v/>
      </c>
      <c r="O2342" s="21">
        <f>0</f>
        <v/>
      </c>
      <c r="P2342" s="21">
        <f>-$B$1811</f>
        <v/>
      </c>
      <c r="Q2342" s="21">
        <f>$B$1812</f>
        <v/>
      </c>
      <c r="R2342" s="21" t="n">
        <v>0</v>
      </c>
      <c r="S2342" s="21" t="n">
        <v>0</v>
      </c>
      <c r="T2342" s="21" t="n">
        <v>0</v>
      </c>
      <c r="U2342" s="21" t="n">
        <v>0</v>
      </c>
      <c r="V2342" s="21" t="n">
        <v>0</v>
      </c>
      <c r="W2342" s="21" t="n">
        <v>0</v>
      </c>
      <c r="X2342" s="21" t="n">
        <v>0</v>
      </c>
      <c r="Y2342" s="21" t="n">
        <v>0</v>
      </c>
      <c r="Z2342" s="21" t="n">
        <v>0</v>
      </c>
      <c r="AA2342" s="21" t="n">
        <v>0</v>
      </c>
      <c r="AB2342" s="21" t="n">
        <v>0</v>
      </c>
      <c r="AC2342" s="21" t="n">
        <v>0</v>
      </c>
      <c r="AD2342" s="21" t="n">
        <v>0</v>
      </c>
      <c r="AE2342" s="21" t="n">
        <v>0</v>
      </c>
      <c r="AF2342" s="21" t="n">
        <v>0</v>
      </c>
      <c r="AG2342" s="21" t="n">
        <v>0</v>
      </c>
      <c r="AH2342" s="21" t="n">
        <v>0</v>
      </c>
      <c r="AI2342" s="21" t="n">
        <v>0</v>
      </c>
      <c r="AJ2342" s="21" t="n">
        <v>0</v>
      </c>
      <c r="AK2342" s="21" t="n">
        <v>0</v>
      </c>
      <c r="AL2342" s="21" t="n">
        <v>0</v>
      </c>
      <c r="AM2342" s="21" t="n">
        <v>0</v>
      </c>
      <c r="AN2342" s="21" t="n">
        <v>0</v>
      </c>
      <c r="AO2342" s="21" t="n">
        <v>0</v>
      </c>
      <c r="AP2342" s="21" t="n">
        <v>0</v>
      </c>
      <c r="AQ2342" s="21" t="n">
        <v>0</v>
      </c>
      <c r="AR2342" s="21" t="n">
        <v>0</v>
      </c>
      <c r="AS2342" s="21" t="n">
        <v>0</v>
      </c>
      <c r="AT2342" s="19" t="n"/>
    </row>
    <row r="2343">
      <c r="D2343" s="21" t="n">
        <v>0</v>
      </c>
      <c r="E2343" s="21" t="n">
        <v>0</v>
      </c>
      <c r="F2343" s="21" t="n">
        <v>0</v>
      </c>
      <c r="G2343" s="21" t="n">
        <v>0</v>
      </c>
      <c r="H2343" s="21" t="n">
        <v>0</v>
      </c>
      <c r="I2343" s="21" t="n">
        <v>0</v>
      </c>
      <c r="J2343" s="21" t="n">
        <v>0</v>
      </c>
      <c r="K2343" s="21" t="n">
        <v>0</v>
      </c>
      <c r="L2343" s="21">
        <f>$B$1812</f>
        <v/>
      </c>
      <c r="M2343" s="21">
        <f>$B$1814</f>
        <v/>
      </c>
      <c r="N2343" s="21">
        <f>0</f>
        <v/>
      </c>
      <c r="O2343" s="21">
        <f>2*$B$1813</f>
        <v/>
      </c>
      <c r="P2343" s="21">
        <f>-$B$1812</f>
        <v/>
      </c>
      <c r="Q2343" s="21">
        <f>$B$1814</f>
        <v/>
      </c>
      <c r="R2343" s="21" t="n">
        <v>0</v>
      </c>
      <c r="S2343" s="21" t="n">
        <v>0</v>
      </c>
      <c r="T2343" s="21" t="n">
        <v>0</v>
      </c>
      <c r="U2343" s="21" t="n">
        <v>0</v>
      </c>
      <c r="V2343" s="21" t="n">
        <v>0</v>
      </c>
      <c r="W2343" s="21" t="n">
        <v>0</v>
      </c>
      <c r="X2343" s="21" t="n">
        <v>0</v>
      </c>
      <c r="Y2343" s="21" t="n">
        <v>0</v>
      </c>
      <c r="Z2343" s="21" t="n">
        <v>0</v>
      </c>
      <c r="AA2343" s="21" t="n">
        <v>0</v>
      </c>
      <c r="AB2343" s="21" t="n">
        <v>0</v>
      </c>
      <c r="AC2343" s="21" t="n">
        <v>0</v>
      </c>
      <c r="AD2343" s="21" t="n">
        <v>0</v>
      </c>
      <c r="AE2343" s="21" t="n">
        <v>0</v>
      </c>
      <c r="AF2343" s="21" t="n">
        <v>0</v>
      </c>
      <c r="AG2343" s="21" t="n">
        <v>0</v>
      </c>
      <c r="AH2343" s="21" t="n">
        <v>0</v>
      </c>
      <c r="AI2343" s="21" t="n">
        <v>0</v>
      </c>
      <c r="AJ2343" s="21" t="n">
        <v>0</v>
      </c>
      <c r="AK2343" s="21" t="n">
        <v>0</v>
      </c>
      <c r="AL2343" s="21" t="n">
        <v>0</v>
      </c>
      <c r="AM2343" s="21" t="n">
        <v>0</v>
      </c>
      <c r="AN2343" s="21" t="n">
        <v>0</v>
      </c>
      <c r="AO2343" s="21" t="n">
        <v>0</v>
      </c>
      <c r="AP2343" s="21" t="n">
        <v>0</v>
      </c>
      <c r="AQ2343" s="21" t="n">
        <v>0</v>
      </c>
      <c r="AR2343" s="21" t="n">
        <v>0</v>
      </c>
      <c r="AS2343" s="21" t="n">
        <v>0</v>
      </c>
      <c r="AT2343" s="19" t="n"/>
    </row>
    <row r="2344">
      <c r="D2344" s="21" t="n">
        <v>0</v>
      </c>
      <c r="E2344" s="21" t="n">
        <v>0</v>
      </c>
      <c r="F2344" s="21" t="n">
        <v>0</v>
      </c>
      <c r="G2344" s="21" t="n">
        <v>0</v>
      </c>
      <c r="H2344" s="21" t="n">
        <v>0</v>
      </c>
      <c r="I2344" s="21" t="n">
        <v>0</v>
      </c>
      <c r="J2344" s="21" t="n">
        <v>0</v>
      </c>
      <c r="K2344" s="21" t="n">
        <v>0</v>
      </c>
      <c r="L2344" s="21" t="n">
        <v>0</v>
      </c>
      <c r="M2344" s="21" t="n">
        <v>0</v>
      </c>
      <c r="N2344" s="21">
        <f>-$B$1811</f>
        <v/>
      </c>
      <c r="O2344" s="21">
        <f>-$B$1812</f>
        <v/>
      </c>
      <c r="P2344" s="21">
        <f>2*$B$1811+$D$2316</f>
        <v/>
      </c>
      <c r="Q2344" s="21">
        <f>0</f>
        <v/>
      </c>
      <c r="R2344" s="21">
        <f>-$B$1811</f>
        <v/>
      </c>
      <c r="S2344" s="21">
        <f>$B$1812</f>
        <v/>
      </c>
      <c r="T2344" s="21" t="n">
        <v>0</v>
      </c>
      <c r="U2344" s="21" t="n">
        <v>0</v>
      </c>
      <c r="V2344" s="21" t="n">
        <v>0</v>
      </c>
      <c r="W2344" s="21" t="n">
        <v>0</v>
      </c>
      <c r="X2344" s="21" t="n">
        <v>0</v>
      </c>
      <c r="Y2344" s="21" t="n">
        <v>0</v>
      </c>
      <c r="Z2344" s="21" t="n">
        <v>0</v>
      </c>
      <c r="AA2344" s="21" t="n">
        <v>0</v>
      </c>
      <c r="AB2344" s="21" t="n">
        <v>0</v>
      </c>
      <c r="AC2344" s="21" t="n">
        <v>0</v>
      </c>
      <c r="AD2344" s="21" t="n">
        <v>0</v>
      </c>
      <c r="AE2344" s="21" t="n">
        <v>0</v>
      </c>
      <c r="AF2344" s="21" t="n">
        <v>0</v>
      </c>
      <c r="AG2344" s="21" t="n">
        <v>0</v>
      </c>
      <c r="AH2344" s="21" t="n">
        <v>0</v>
      </c>
      <c r="AI2344" s="21" t="n">
        <v>0</v>
      </c>
      <c r="AJ2344" s="21" t="n">
        <v>0</v>
      </c>
      <c r="AK2344" s="21" t="n">
        <v>0</v>
      </c>
      <c r="AL2344" s="21" t="n">
        <v>0</v>
      </c>
      <c r="AM2344" s="21" t="n">
        <v>0</v>
      </c>
      <c r="AN2344" s="21" t="n">
        <v>0</v>
      </c>
      <c r="AO2344" s="21" t="n">
        <v>0</v>
      </c>
      <c r="AP2344" s="21" t="n">
        <v>0</v>
      </c>
      <c r="AQ2344" s="21" t="n">
        <v>0</v>
      </c>
      <c r="AR2344" s="21" t="n">
        <v>0</v>
      </c>
      <c r="AS2344" s="21" t="n">
        <v>0</v>
      </c>
      <c r="AT2344" s="19" t="n"/>
    </row>
    <row r="2345">
      <c r="D2345" s="21" t="n">
        <v>0</v>
      </c>
      <c r="E2345" s="21" t="n">
        <v>0</v>
      </c>
      <c r="F2345" s="21" t="n">
        <v>0</v>
      </c>
      <c r="G2345" s="21" t="n">
        <v>0</v>
      </c>
      <c r="H2345" s="21" t="n">
        <v>0</v>
      </c>
      <c r="I2345" s="21" t="n">
        <v>0</v>
      </c>
      <c r="J2345" s="21" t="n">
        <v>0</v>
      </c>
      <c r="K2345" s="21" t="n">
        <v>0</v>
      </c>
      <c r="L2345" s="21" t="n">
        <v>0</v>
      </c>
      <c r="M2345" s="21" t="n">
        <v>0</v>
      </c>
      <c r="N2345" s="21">
        <f>$B$1812</f>
        <v/>
      </c>
      <c r="O2345" s="21">
        <f>$B$1814</f>
        <v/>
      </c>
      <c r="P2345" s="21">
        <f>0</f>
        <v/>
      </c>
      <c r="Q2345" s="21">
        <f>2*$B$1813</f>
        <v/>
      </c>
      <c r="R2345" s="21">
        <f>-$B$1812</f>
        <v/>
      </c>
      <c r="S2345" s="21">
        <f>$B$1814</f>
        <v/>
      </c>
      <c r="T2345" s="21" t="n">
        <v>0</v>
      </c>
      <c r="U2345" s="21" t="n">
        <v>0</v>
      </c>
      <c r="V2345" s="21" t="n">
        <v>0</v>
      </c>
      <c r="W2345" s="21" t="n">
        <v>0</v>
      </c>
      <c r="X2345" s="21" t="n">
        <v>0</v>
      </c>
      <c r="Y2345" s="21" t="n">
        <v>0</v>
      </c>
      <c r="Z2345" s="21" t="n">
        <v>0</v>
      </c>
      <c r="AA2345" s="21" t="n">
        <v>0</v>
      </c>
      <c r="AB2345" s="21" t="n">
        <v>0</v>
      </c>
      <c r="AC2345" s="21" t="n">
        <v>0</v>
      </c>
      <c r="AD2345" s="21" t="n">
        <v>0</v>
      </c>
      <c r="AE2345" s="21" t="n">
        <v>0</v>
      </c>
      <c r="AF2345" s="21" t="n">
        <v>0</v>
      </c>
      <c r="AG2345" s="21" t="n">
        <v>0</v>
      </c>
      <c r="AH2345" s="21" t="n">
        <v>0</v>
      </c>
      <c r="AI2345" s="21" t="n">
        <v>0</v>
      </c>
      <c r="AJ2345" s="21" t="n">
        <v>0</v>
      </c>
      <c r="AK2345" s="21" t="n">
        <v>0</v>
      </c>
      <c r="AL2345" s="21" t="n">
        <v>0</v>
      </c>
      <c r="AM2345" s="21" t="n">
        <v>0</v>
      </c>
      <c r="AN2345" s="21" t="n">
        <v>0</v>
      </c>
      <c r="AO2345" s="21" t="n">
        <v>0</v>
      </c>
      <c r="AP2345" s="21" t="n">
        <v>0</v>
      </c>
      <c r="AQ2345" s="21" t="n">
        <v>0</v>
      </c>
      <c r="AR2345" s="21" t="n">
        <v>0</v>
      </c>
      <c r="AS2345" s="21" t="n">
        <v>0</v>
      </c>
      <c r="AT2345" s="19" t="n"/>
    </row>
    <row r="2346">
      <c r="D2346" s="21" t="n">
        <v>0</v>
      </c>
      <c r="E2346" s="21" t="n">
        <v>0</v>
      </c>
      <c r="F2346" s="21" t="n">
        <v>0</v>
      </c>
      <c r="G2346" s="21" t="n">
        <v>0</v>
      </c>
      <c r="H2346" s="21" t="n">
        <v>0</v>
      </c>
      <c r="I2346" s="21" t="n">
        <v>0</v>
      </c>
      <c r="J2346" s="21" t="n">
        <v>0</v>
      </c>
      <c r="K2346" s="21" t="n">
        <v>0</v>
      </c>
      <c r="L2346" s="21" t="n">
        <v>0</v>
      </c>
      <c r="M2346" s="21" t="n">
        <v>0</v>
      </c>
      <c r="N2346" s="21" t="n">
        <v>0</v>
      </c>
      <c r="O2346" s="21" t="n">
        <v>0</v>
      </c>
      <c r="P2346" s="21">
        <f>-$B$1811</f>
        <v/>
      </c>
      <c r="Q2346" s="21">
        <f>-$B$1812</f>
        <v/>
      </c>
      <c r="R2346" s="21">
        <f>2*$B$1811+$D$2317</f>
        <v/>
      </c>
      <c r="S2346" s="21">
        <f>0</f>
        <v/>
      </c>
      <c r="T2346" s="21">
        <f>-$B$1811</f>
        <v/>
      </c>
      <c r="U2346" s="21">
        <f>$B$1812</f>
        <v/>
      </c>
      <c r="V2346" s="21" t="n">
        <v>0</v>
      </c>
      <c r="W2346" s="21" t="n">
        <v>0</v>
      </c>
      <c r="X2346" s="21" t="n">
        <v>0</v>
      </c>
      <c r="Y2346" s="21" t="n">
        <v>0</v>
      </c>
      <c r="Z2346" s="21" t="n">
        <v>0</v>
      </c>
      <c r="AA2346" s="21" t="n">
        <v>0</v>
      </c>
      <c r="AB2346" s="21" t="n">
        <v>0</v>
      </c>
      <c r="AC2346" s="21" t="n">
        <v>0</v>
      </c>
      <c r="AD2346" s="21" t="n">
        <v>0</v>
      </c>
      <c r="AE2346" s="21" t="n">
        <v>0</v>
      </c>
      <c r="AF2346" s="21" t="n">
        <v>0</v>
      </c>
      <c r="AG2346" s="21" t="n">
        <v>0</v>
      </c>
      <c r="AH2346" s="21" t="n">
        <v>0</v>
      </c>
      <c r="AI2346" s="21" t="n">
        <v>0</v>
      </c>
      <c r="AJ2346" s="21" t="n">
        <v>0</v>
      </c>
      <c r="AK2346" s="21" t="n">
        <v>0</v>
      </c>
      <c r="AL2346" s="21" t="n">
        <v>0</v>
      </c>
      <c r="AM2346" s="21" t="n">
        <v>0</v>
      </c>
      <c r="AN2346" s="21" t="n">
        <v>0</v>
      </c>
      <c r="AO2346" s="21" t="n">
        <v>0</v>
      </c>
      <c r="AP2346" s="21" t="n">
        <v>0</v>
      </c>
      <c r="AQ2346" s="21" t="n">
        <v>0</v>
      </c>
      <c r="AR2346" s="21" t="n">
        <v>0</v>
      </c>
      <c r="AS2346" s="21" t="n">
        <v>0</v>
      </c>
      <c r="AT2346" s="19" t="n"/>
    </row>
    <row r="2347">
      <c r="D2347" s="21" t="n">
        <v>0</v>
      </c>
      <c r="E2347" s="21" t="n">
        <v>0</v>
      </c>
      <c r="F2347" s="21" t="n">
        <v>0</v>
      </c>
      <c r="G2347" s="21" t="n">
        <v>0</v>
      </c>
      <c r="H2347" s="21" t="n">
        <v>0</v>
      </c>
      <c r="I2347" s="21" t="n">
        <v>0</v>
      </c>
      <c r="J2347" s="21" t="n">
        <v>0</v>
      </c>
      <c r="K2347" s="21" t="n">
        <v>0</v>
      </c>
      <c r="L2347" s="21" t="n">
        <v>0</v>
      </c>
      <c r="M2347" s="21" t="n">
        <v>0</v>
      </c>
      <c r="N2347" s="21" t="n">
        <v>0</v>
      </c>
      <c r="O2347" s="21" t="n">
        <v>0</v>
      </c>
      <c r="P2347" s="21">
        <f>$B$1812</f>
        <v/>
      </c>
      <c r="Q2347" s="21">
        <f>$B$1814</f>
        <v/>
      </c>
      <c r="R2347" s="21">
        <f>0</f>
        <v/>
      </c>
      <c r="S2347" s="21">
        <f>2*$B$1813</f>
        <v/>
      </c>
      <c r="T2347" s="21">
        <f>-$B$1812</f>
        <v/>
      </c>
      <c r="U2347" s="21">
        <f>$B$1814</f>
        <v/>
      </c>
      <c r="V2347" s="21" t="n">
        <v>0</v>
      </c>
      <c r="W2347" s="21" t="n">
        <v>0</v>
      </c>
      <c r="X2347" s="21" t="n">
        <v>0</v>
      </c>
      <c r="Y2347" s="21" t="n">
        <v>0</v>
      </c>
      <c r="Z2347" s="21" t="n">
        <v>0</v>
      </c>
      <c r="AA2347" s="21" t="n">
        <v>0</v>
      </c>
      <c r="AB2347" s="21" t="n">
        <v>0</v>
      </c>
      <c r="AC2347" s="21" t="n">
        <v>0</v>
      </c>
      <c r="AD2347" s="21" t="n">
        <v>0</v>
      </c>
      <c r="AE2347" s="21" t="n">
        <v>0</v>
      </c>
      <c r="AF2347" s="21" t="n">
        <v>0</v>
      </c>
      <c r="AG2347" s="21" t="n">
        <v>0</v>
      </c>
      <c r="AH2347" s="21" t="n">
        <v>0</v>
      </c>
      <c r="AI2347" s="21" t="n">
        <v>0</v>
      </c>
      <c r="AJ2347" s="21" t="n">
        <v>0</v>
      </c>
      <c r="AK2347" s="21" t="n">
        <v>0</v>
      </c>
      <c r="AL2347" s="21" t="n">
        <v>0</v>
      </c>
      <c r="AM2347" s="21" t="n">
        <v>0</v>
      </c>
      <c r="AN2347" s="21" t="n">
        <v>0</v>
      </c>
      <c r="AO2347" s="21" t="n">
        <v>0</v>
      </c>
      <c r="AP2347" s="21" t="n">
        <v>0</v>
      </c>
      <c r="AQ2347" s="21" t="n">
        <v>0</v>
      </c>
      <c r="AR2347" s="21" t="n">
        <v>0</v>
      </c>
      <c r="AS2347" s="21" t="n">
        <v>0</v>
      </c>
      <c r="AT2347" s="19" t="n"/>
    </row>
    <row r="2348">
      <c r="D2348" s="21" t="n">
        <v>0</v>
      </c>
      <c r="E2348" s="21" t="n">
        <v>0</v>
      </c>
      <c r="F2348" s="21" t="n">
        <v>0</v>
      </c>
      <c r="G2348" s="21" t="n">
        <v>0</v>
      </c>
      <c r="H2348" s="21" t="n">
        <v>0</v>
      </c>
      <c r="I2348" s="21" t="n">
        <v>0</v>
      </c>
      <c r="J2348" s="21" t="n">
        <v>0</v>
      </c>
      <c r="K2348" s="21" t="n">
        <v>0</v>
      </c>
      <c r="L2348" s="21" t="n">
        <v>0</v>
      </c>
      <c r="M2348" s="21" t="n">
        <v>0</v>
      </c>
      <c r="N2348" s="21" t="n">
        <v>0</v>
      </c>
      <c r="O2348" s="21" t="n">
        <v>0</v>
      </c>
      <c r="P2348" s="21" t="n">
        <v>0</v>
      </c>
      <c r="Q2348" s="21" t="n">
        <v>0</v>
      </c>
      <c r="R2348" s="21">
        <f>-$B$1811</f>
        <v/>
      </c>
      <c r="S2348" s="21">
        <f>-$B$1812</f>
        <v/>
      </c>
      <c r="T2348" s="21">
        <f>2*$B$1811+$D$2318</f>
        <v/>
      </c>
      <c r="U2348" s="21">
        <f>0</f>
        <v/>
      </c>
      <c r="V2348" s="21">
        <f>-$B$1811</f>
        <v/>
      </c>
      <c r="W2348" s="21">
        <f>$B$1812</f>
        <v/>
      </c>
      <c r="X2348" s="21" t="n">
        <v>0</v>
      </c>
      <c r="Y2348" s="21" t="n">
        <v>0</v>
      </c>
      <c r="Z2348" s="21" t="n">
        <v>0</v>
      </c>
      <c r="AA2348" s="21" t="n">
        <v>0</v>
      </c>
      <c r="AB2348" s="21" t="n">
        <v>0</v>
      </c>
      <c r="AC2348" s="21" t="n">
        <v>0</v>
      </c>
      <c r="AD2348" s="21" t="n">
        <v>0</v>
      </c>
      <c r="AE2348" s="21" t="n">
        <v>0</v>
      </c>
      <c r="AF2348" s="21" t="n">
        <v>0</v>
      </c>
      <c r="AG2348" s="21" t="n">
        <v>0</v>
      </c>
      <c r="AH2348" s="21" t="n">
        <v>0</v>
      </c>
      <c r="AI2348" s="21" t="n">
        <v>0</v>
      </c>
      <c r="AJ2348" s="21" t="n">
        <v>0</v>
      </c>
      <c r="AK2348" s="21" t="n">
        <v>0</v>
      </c>
      <c r="AL2348" s="21" t="n">
        <v>0</v>
      </c>
      <c r="AM2348" s="21" t="n">
        <v>0</v>
      </c>
      <c r="AN2348" s="21" t="n">
        <v>0</v>
      </c>
      <c r="AO2348" s="21" t="n">
        <v>0</v>
      </c>
      <c r="AP2348" s="21" t="n">
        <v>0</v>
      </c>
      <c r="AQ2348" s="21" t="n">
        <v>0</v>
      </c>
      <c r="AR2348" s="21" t="n">
        <v>0</v>
      </c>
      <c r="AS2348" s="21" t="n">
        <v>0</v>
      </c>
      <c r="AT2348" s="19" t="n"/>
    </row>
    <row r="2349">
      <c r="D2349" s="21" t="n">
        <v>0</v>
      </c>
      <c r="E2349" s="21" t="n">
        <v>0</v>
      </c>
      <c r="F2349" s="21" t="n">
        <v>0</v>
      </c>
      <c r="G2349" s="21" t="n">
        <v>0</v>
      </c>
      <c r="H2349" s="21" t="n">
        <v>0</v>
      </c>
      <c r="I2349" s="21" t="n">
        <v>0</v>
      </c>
      <c r="J2349" s="21" t="n">
        <v>0</v>
      </c>
      <c r="K2349" s="21" t="n">
        <v>0</v>
      </c>
      <c r="L2349" s="21" t="n">
        <v>0</v>
      </c>
      <c r="M2349" s="21" t="n">
        <v>0</v>
      </c>
      <c r="N2349" s="21" t="n">
        <v>0</v>
      </c>
      <c r="O2349" s="21" t="n">
        <v>0</v>
      </c>
      <c r="P2349" s="21" t="n">
        <v>0</v>
      </c>
      <c r="Q2349" s="21" t="n">
        <v>0</v>
      </c>
      <c r="R2349" s="21">
        <f>$B$1812</f>
        <v/>
      </c>
      <c r="S2349" s="21">
        <f>$B$1814</f>
        <v/>
      </c>
      <c r="T2349" s="21">
        <f>0</f>
        <v/>
      </c>
      <c r="U2349" s="21">
        <f>2*$B$1813</f>
        <v/>
      </c>
      <c r="V2349" s="21">
        <f>-$B$1812</f>
        <v/>
      </c>
      <c r="W2349" s="21">
        <f>$B$1814</f>
        <v/>
      </c>
      <c r="X2349" s="21" t="n">
        <v>0</v>
      </c>
      <c r="Y2349" s="21" t="n">
        <v>0</v>
      </c>
      <c r="Z2349" s="21" t="n">
        <v>0</v>
      </c>
      <c r="AA2349" s="21" t="n">
        <v>0</v>
      </c>
      <c r="AB2349" s="21" t="n">
        <v>0</v>
      </c>
      <c r="AC2349" s="21" t="n">
        <v>0</v>
      </c>
      <c r="AD2349" s="21" t="n">
        <v>0</v>
      </c>
      <c r="AE2349" s="21" t="n">
        <v>0</v>
      </c>
      <c r="AF2349" s="21" t="n">
        <v>0</v>
      </c>
      <c r="AG2349" s="21" t="n">
        <v>0</v>
      </c>
      <c r="AH2349" s="21" t="n">
        <v>0</v>
      </c>
      <c r="AI2349" s="21" t="n">
        <v>0</v>
      </c>
      <c r="AJ2349" s="21" t="n">
        <v>0</v>
      </c>
      <c r="AK2349" s="21" t="n">
        <v>0</v>
      </c>
      <c r="AL2349" s="21" t="n">
        <v>0</v>
      </c>
      <c r="AM2349" s="21" t="n">
        <v>0</v>
      </c>
      <c r="AN2349" s="21" t="n">
        <v>0</v>
      </c>
      <c r="AO2349" s="21" t="n">
        <v>0</v>
      </c>
      <c r="AP2349" s="21" t="n">
        <v>0</v>
      </c>
      <c r="AQ2349" s="21" t="n">
        <v>0</v>
      </c>
      <c r="AR2349" s="21" t="n">
        <v>0</v>
      </c>
      <c r="AS2349" s="21" t="n">
        <v>0</v>
      </c>
      <c r="AT2349" s="19" t="n"/>
    </row>
    <row r="2350">
      <c r="D2350" s="21" t="n">
        <v>0</v>
      </c>
      <c r="E2350" s="21" t="n">
        <v>0</v>
      </c>
      <c r="F2350" s="21" t="n">
        <v>0</v>
      </c>
      <c r="G2350" s="21" t="n">
        <v>0</v>
      </c>
      <c r="H2350" s="21" t="n">
        <v>0</v>
      </c>
      <c r="I2350" s="21" t="n">
        <v>0</v>
      </c>
      <c r="J2350" s="21" t="n">
        <v>0</v>
      </c>
      <c r="K2350" s="21" t="n">
        <v>0</v>
      </c>
      <c r="L2350" s="21" t="n">
        <v>0</v>
      </c>
      <c r="M2350" s="21" t="n">
        <v>0</v>
      </c>
      <c r="N2350" s="21" t="n">
        <v>0</v>
      </c>
      <c r="O2350" s="21" t="n">
        <v>0</v>
      </c>
      <c r="P2350" s="21" t="n">
        <v>0</v>
      </c>
      <c r="Q2350" s="21" t="n">
        <v>0</v>
      </c>
      <c r="R2350" s="21" t="n">
        <v>0</v>
      </c>
      <c r="S2350" s="21" t="n">
        <v>0</v>
      </c>
      <c r="T2350" s="21">
        <f>-$B$1811</f>
        <v/>
      </c>
      <c r="U2350" s="21">
        <f>-$B$1812</f>
        <v/>
      </c>
      <c r="V2350" s="21">
        <f>2*$B$1811+$D$2319</f>
        <v/>
      </c>
      <c r="W2350" s="21">
        <f>0</f>
        <v/>
      </c>
      <c r="X2350" s="21">
        <f>-$B$1811</f>
        <v/>
      </c>
      <c r="Y2350" s="21">
        <f>$B$1812</f>
        <v/>
      </c>
      <c r="Z2350" s="21" t="n">
        <v>0</v>
      </c>
      <c r="AA2350" s="21" t="n">
        <v>0</v>
      </c>
      <c r="AB2350" s="21" t="n">
        <v>0</v>
      </c>
      <c r="AC2350" s="21" t="n">
        <v>0</v>
      </c>
      <c r="AD2350" s="21" t="n">
        <v>0</v>
      </c>
      <c r="AE2350" s="21" t="n">
        <v>0</v>
      </c>
      <c r="AF2350" s="21" t="n">
        <v>0</v>
      </c>
      <c r="AG2350" s="21" t="n">
        <v>0</v>
      </c>
      <c r="AH2350" s="21" t="n">
        <v>0</v>
      </c>
      <c r="AI2350" s="21" t="n">
        <v>0</v>
      </c>
      <c r="AJ2350" s="21" t="n">
        <v>0</v>
      </c>
      <c r="AK2350" s="21" t="n">
        <v>0</v>
      </c>
      <c r="AL2350" s="21" t="n">
        <v>0</v>
      </c>
      <c r="AM2350" s="21" t="n">
        <v>0</v>
      </c>
      <c r="AN2350" s="21" t="n">
        <v>0</v>
      </c>
      <c r="AO2350" s="21" t="n">
        <v>0</v>
      </c>
      <c r="AP2350" s="21" t="n">
        <v>0</v>
      </c>
      <c r="AQ2350" s="21" t="n">
        <v>0</v>
      </c>
      <c r="AR2350" s="21" t="n">
        <v>0</v>
      </c>
      <c r="AS2350" s="21" t="n">
        <v>0</v>
      </c>
      <c r="AT2350" s="19" t="n"/>
    </row>
    <row r="2351">
      <c r="D2351" s="21" t="n">
        <v>0</v>
      </c>
      <c r="E2351" s="21" t="n">
        <v>0</v>
      </c>
      <c r="F2351" s="21" t="n">
        <v>0</v>
      </c>
      <c r="G2351" s="21" t="n">
        <v>0</v>
      </c>
      <c r="H2351" s="21" t="n">
        <v>0</v>
      </c>
      <c r="I2351" s="21" t="n">
        <v>0</v>
      </c>
      <c r="J2351" s="21" t="n">
        <v>0</v>
      </c>
      <c r="K2351" s="21" t="n">
        <v>0</v>
      </c>
      <c r="L2351" s="21" t="n">
        <v>0</v>
      </c>
      <c r="M2351" s="21" t="n">
        <v>0</v>
      </c>
      <c r="N2351" s="21" t="n">
        <v>0</v>
      </c>
      <c r="O2351" s="21" t="n">
        <v>0</v>
      </c>
      <c r="P2351" s="21" t="n">
        <v>0</v>
      </c>
      <c r="Q2351" s="21" t="n">
        <v>0</v>
      </c>
      <c r="R2351" s="21" t="n">
        <v>0</v>
      </c>
      <c r="S2351" s="21" t="n">
        <v>0</v>
      </c>
      <c r="T2351" s="21">
        <f>$B$1812</f>
        <v/>
      </c>
      <c r="U2351" s="21">
        <f>$B$1814</f>
        <v/>
      </c>
      <c r="V2351" s="21">
        <f>0</f>
        <v/>
      </c>
      <c r="W2351" s="21">
        <f>2*$B$1813</f>
        <v/>
      </c>
      <c r="X2351" s="21">
        <f>-$B$1812</f>
        <v/>
      </c>
      <c r="Y2351" s="21">
        <f>$B$1814</f>
        <v/>
      </c>
      <c r="Z2351" s="21" t="n">
        <v>0</v>
      </c>
      <c r="AA2351" s="21" t="n">
        <v>0</v>
      </c>
      <c r="AB2351" s="21" t="n">
        <v>0</v>
      </c>
      <c r="AC2351" s="21" t="n">
        <v>0</v>
      </c>
      <c r="AD2351" s="21" t="n">
        <v>0</v>
      </c>
      <c r="AE2351" s="21" t="n">
        <v>0</v>
      </c>
      <c r="AF2351" s="21" t="n">
        <v>0</v>
      </c>
      <c r="AG2351" s="21" t="n">
        <v>0</v>
      </c>
      <c r="AH2351" s="21" t="n">
        <v>0</v>
      </c>
      <c r="AI2351" s="21" t="n">
        <v>0</v>
      </c>
      <c r="AJ2351" s="21" t="n">
        <v>0</v>
      </c>
      <c r="AK2351" s="21" t="n">
        <v>0</v>
      </c>
      <c r="AL2351" s="21" t="n">
        <v>0</v>
      </c>
      <c r="AM2351" s="21" t="n">
        <v>0</v>
      </c>
      <c r="AN2351" s="21" t="n">
        <v>0</v>
      </c>
      <c r="AO2351" s="21" t="n">
        <v>0</v>
      </c>
      <c r="AP2351" s="21" t="n">
        <v>0</v>
      </c>
      <c r="AQ2351" s="21" t="n">
        <v>0</v>
      </c>
      <c r="AR2351" s="21" t="n">
        <v>0</v>
      </c>
      <c r="AS2351" s="21" t="n">
        <v>0</v>
      </c>
      <c r="AT2351" s="19" t="n"/>
    </row>
    <row r="2352">
      <c r="D2352" s="21" t="n">
        <v>0</v>
      </c>
      <c r="E2352" s="21" t="n">
        <v>0</v>
      </c>
      <c r="F2352" s="21" t="n">
        <v>0</v>
      </c>
      <c r="G2352" s="21" t="n">
        <v>0</v>
      </c>
      <c r="H2352" s="21" t="n">
        <v>0</v>
      </c>
      <c r="I2352" s="21" t="n">
        <v>0</v>
      </c>
      <c r="J2352" s="21" t="n">
        <v>0</v>
      </c>
      <c r="K2352" s="21" t="n">
        <v>0</v>
      </c>
      <c r="L2352" s="21" t="n">
        <v>0</v>
      </c>
      <c r="M2352" s="21" t="n">
        <v>0</v>
      </c>
      <c r="N2352" s="21" t="n">
        <v>0</v>
      </c>
      <c r="O2352" s="21" t="n">
        <v>0</v>
      </c>
      <c r="P2352" s="21" t="n">
        <v>0</v>
      </c>
      <c r="Q2352" s="21" t="n">
        <v>0</v>
      </c>
      <c r="R2352" s="21" t="n">
        <v>0</v>
      </c>
      <c r="S2352" s="21" t="n">
        <v>0</v>
      </c>
      <c r="T2352" s="21" t="n">
        <v>0</v>
      </c>
      <c r="U2352" s="21" t="n">
        <v>0</v>
      </c>
      <c r="V2352" s="21">
        <f>-$B$1811</f>
        <v/>
      </c>
      <c r="W2352" s="21">
        <f>-$B$1812</f>
        <v/>
      </c>
      <c r="X2352" s="21">
        <f>2*$B$1811+$D$2320</f>
        <v/>
      </c>
      <c r="Y2352" s="21">
        <f>0</f>
        <v/>
      </c>
      <c r="Z2352" s="21">
        <f>-$B$1811</f>
        <v/>
      </c>
      <c r="AA2352" s="21">
        <f>$B$1812</f>
        <v/>
      </c>
      <c r="AB2352" s="21" t="n">
        <v>0</v>
      </c>
      <c r="AC2352" s="21" t="n">
        <v>0</v>
      </c>
      <c r="AD2352" s="21" t="n">
        <v>0</v>
      </c>
      <c r="AE2352" s="21" t="n">
        <v>0</v>
      </c>
      <c r="AF2352" s="21" t="n">
        <v>0</v>
      </c>
      <c r="AG2352" s="21" t="n">
        <v>0</v>
      </c>
      <c r="AH2352" s="21" t="n">
        <v>0</v>
      </c>
      <c r="AI2352" s="21" t="n">
        <v>0</v>
      </c>
      <c r="AJ2352" s="21" t="n">
        <v>0</v>
      </c>
      <c r="AK2352" s="21" t="n">
        <v>0</v>
      </c>
      <c r="AL2352" s="21" t="n">
        <v>0</v>
      </c>
      <c r="AM2352" s="21" t="n">
        <v>0</v>
      </c>
      <c r="AN2352" s="21" t="n">
        <v>0</v>
      </c>
      <c r="AO2352" s="21" t="n">
        <v>0</v>
      </c>
      <c r="AP2352" s="21" t="n">
        <v>0</v>
      </c>
      <c r="AQ2352" s="21" t="n">
        <v>0</v>
      </c>
      <c r="AR2352" s="21" t="n">
        <v>0</v>
      </c>
      <c r="AS2352" s="21" t="n">
        <v>0</v>
      </c>
      <c r="AT2352" s="19" t="n"/>
    </row>
    <row r="2353">
      <c r="D2353" s="21" t="n">
        <v>0</v>
      </c>
      <c r="E2353" s="21" t="n">
        <v>0</v>
      </c>
      <c r="F2353" s="21" t="n">
        <v>0</v>
      </c>
      <c r="G2353" s="21" t="n">
        <v>0</v>
      </c>
      <c r="H2353" s="21" t="n">
        <v>0</v>
      </c>
      <c r="I2353" s="21" t="n">
        <v>0</v>
      </c>
      <c r="J2353" s="21" t="n">
        <v>0</v>
      </c>
      <c r="K2353" s="21" t="n">
        <v>0</v>
      </c>
      <c r="L2353" s="21" t="n">
        <v>0</v>
      </c>
      <c r="M2353" s="21" t="n">
        <v>0</v>
      </c>
      <c r="N2353" s="21" t="n">
        <v>0</v>
      </c>
      <c r="O2353" s="21" t="n">
        <v>0</v>
      </c>
      <c r="P2353" s="21" t="n">
        <v>0</v>
      </c>
      <c r="Q2353" s="21" t="n">
        <v>0</v>
      </c>
      <c r="R2353" s="21" t="n">
        <v>0</v>
      </c>
      <c r="S2353" s="21" t="n">
        <v>0</v>
      </c>
      <c r="T2353" s="21" t="n">
        <v>0</v>
      </c>
      <c r="U2353" s="21" t="n">
        <v>0</v>
      </c>
      <c r="V2353" s="21">
        <f>$B$1812</f>
        <v/>
      </c>
      <c r="W2353" s="21">
        <f>$B$1814</f>
        <v/>
      </c>
      <c r="X2353" s="21">
        <f>0</f>
        <v/>
      </c>
      <c r="Y2353" s="21">
        <f>2*$B$1813</f>
        <v/>
      </c>
      <c r="Z2353" s="21">
        <f>-$B$1812</f>
        <v/>
      </c>
      <c r="AA2353" s="21">
        <f>$B$1814</f>
        <v/>
      </c>
      <c r="AB2353" s="21" t="n">
        <v>0</v>
      </c>
      <c r="AC2353" s="21" t="n">
        <v>0</v>
      </c>
      <c r="AD2353" s="21" t="n">
        <v>0</v>
      </c>
      <c r="AE2353" s="21" t="n">
        <v>0</v>
      </c>
      <c r="AF2353" s="21" t="n">
        <v>0</v>
      </c>
      <c r="AG2353" s="21" t="n">
        <v>0</v>
      </c>
      <c r="AH2353" s="21" t="n">
        <v>0</v>
      </c>
      <c r="AI2353" s="21" t="n">
        <v>0</v>
      </c>
      <c r="AJ2353" s="21" t="n">
        <v>0</v>
      </c>
      <c r="AK2353" s="21" t="n">
        <v>0</v>
      </c>
      <c r="AL2353" s="21" t="n">
        <v>0</v>
      </c>
      <c r="AM2353" s="21" t="n">
        <v>0</v>
      </c>
      <c r="AN2353" s="21" t="n">
        <v>0</v>
      </c>
      <c r="AO2353" s="21" t="n">
        <v>0</v>
      </c>
      <c r="AP2353" s="21" t="n">
        <v>0</v>
      </c>
      <c r="AQ2353" s="21" t="n">
        <v>0</v>
      </c>
      <c r="AR2353" s="21" t="n">
        <v>0</v>
      </c>
      <c r="AS2353" s="21" t="n">
        <v>0</v>
      </c>
      <c r="AT2353" s="19" t="n"/>
    </row>
    <row r="2354">
      <c r="D2354" s="21" t="n">
        <v>0</v>
      </c>
      <c r="E2354" s="21" t="n">
        <v>0</v>
      </c>
      <c r="F2354" s="21" t="n">
        <v>0</v>
      </c>
      <c r="G2354" s="21" t="n">
        <v>0</v>
      </c>
      <c r="H2354" s="21" t="n">
        <v>0</v>
      </c>
      <c r="I2354" s="21" t="n">
        <v>0</v>
      </c>
      <c r="J2354" s="21" t="n">
        <v>0</v>
      </c>
      <c r="K2354" s="21" t="n">
        <v>0</v>
      </c>
      <c r="L2354" s="21" t="n">
        <v>0</v>
      </c>
      <c r="M2354" s="21" t="n">
        <v>0</v>
      </c>
      <c r="N2354" s="21" t="n">
        <v>0</v>
      </c>
      <c r="O2354" s="21" t="n">
        <v>0</v>
      </c>
      <c r="P2354" s="21" t="n">
        <v>0</v>
      </c>
      <c r="Q2354" s="21" t="n">
        <v>0</v>
      </c>
      <c r="R2354" s="21" t="n">
        <v>0</v>
      </c>
      <c r="S2354" s="21" t="n">
        <v>0</v>
      </c>
      <c r="T2354" s="21" t="n">
        <v>0</v>
      </c>
      <c r="U2354" s="21" t="n">
        <v>0</v>
      </c>
      <c r="V2354" s="21" t="n">
        <v>0</v>
      </c>
      <c r="W2354" s="21" t="n">
        <v>0</v>
      </c>
      <c r="X2354" s="21">
        <f>-$B$1811</f>
        <v/>
      </c>
      <c r="Y2354" s="21">
        <f>-$B$1812</f>
        <v/>
      </c>
      <c r="Z2354" s="21">
        <f>2*$B$1811+$D$2321</f>
        <v/>
      </c>
      <c r="AA2354" s="21">
        <f>0</f>
        <v/>
      </c>
      <c r="AB2354" s="21">
        <f>-$B$1811</f>
        <v/>
      </c>
      <c r="AC2354" s="21">
        <f>$B$1812</f>
        <v/>
      </c>
      <c r="AD2354" s="21" t="n">
        <v>0</v>
      </c>
      <c r="AE2354" s="21" t="n">
        <v>0</v>
      </c>
      <c r="AF2354" s="21" t="n">
        <v>0</v>
      </c>
      <c r="AG2354" s="21" t="n">
        <v>0</v>
      </c>
      <c r="AH2354" s="21" t="n">
        <v>0</v>
      </c>
      <c r="AI2354" s="21" t="n">
        <v>0</v>
      </c>
      <c r="AJ2354" s="21" t="n">
        <v>0</v>
      </c>
      <c r="AK2354" s="21" t="n">
        <v>0</v>
      </c>
      <c r="AL2354" s="21" t="n">
        <v>0</v>
      </c>
      <c r="AM2354" s="21" t="n">
        <v>0</v>
      </c>
      <c r="AN2354" s="21" t="n">
        <v>0</v>
      </c>
      <c r="AO2354" s="21" t="n">
        <v>0</v>
      </c>
      <c r="AP2354" s="21" t="n">
        <v>0</v>
      </c>
      <c r="AQ2354" s="21" t="n">
        <v>0</v>
      </c>
      <c r="AR2354" s="21" t="n">
        <v>0</v>
      </c>
      <c r="AS2354" s="21" t="n">
        <v>0</v>
      </c>
      <c r="AT2354" s="19" t="n"/>
    </row>
    <row r="2355">
      <c r="D2355" s="21" t="n">
        <v>0</v>
      </c>
      <c r="E2355" s="21" t="n">
        <v>0</v>
      </c>
      <c r="F2355" s="21" t="n">
        <v>0</v>
      </c>
      <c r="G2355" s="21" t="n">
        <v>0</v>
      </c>
      <c r="H2355" s="21" t="n">
        <v>0</v>
      </c>
      <c r="I2355" s="21" t="n">
        <v>0</v>
      </c>
      <c r="J2355" s="21" t="n">
        <v>0</v>
      </c>
      <c r="K2355" s="21" t="n">
        <v>0</v>
      </c>
      <c r="L2355" s="21" t="n">
        <v>0</v>
      </c>
      <c r="M2355" s="21" t="n">
        <v>0</v>
      </c>
      <c r="N2355" s="21" t="n">
        <v>0</v>
      </c>
      <c r="O2355" s="21" t="n">
        <v>0</v>
      </c>
      <c r="P2355" s="21" t="n">
        <v>0</v>
      </c>
      <c r="Q2355" s="21" t="n">
        <v>0</v>
      </c>
      <c r="R2355" s="21" t="n">
        <v>0</v>
      </c>
      <c r="S2355" s="21" t="n">
        <v>0</v>
      </c>
      <c r="T2355" s="21" t="n">
        <v>0</v>
      </c>
      <c r="U2355" s="21" t="n">
        <v>0</v>
      </c>
      <c r="V2355" s="21" t="n">
        <v>0</v>
      </c>
      <c r="W2355" s="21" t="n">
        <v>0</v>
      </c>
      <c r="X2355" s="21">
        <f>$B$1812</f>
        <v/>
      </c>
      <c r="Y2355" s="21">
        <f>$B$1814</f>
        <v/>
      </c>
      <c r="Z2355" s="21">
        <f>0</f>
        <v/>
      </c>
      <c r="AA2355" s="21">
        <f>2*$B$1813</f>
        <v/>
      </c>
      <c r="AB2355" s="21">
        <f>-$B$1812</f>
        <v/>
      </c>
      <c r="AC2355" s="21">
        <f>$B$1814</f>
        <v/>
      </c>
      <c r="AD2355" s="21" t="n">
        <v>0</v>
      </c>
      <c r="AE2355" s="21" t="n">
        <v>0</v>
      </c>
      <c r="AF2355" s="21" t="n">
        <v>0</v>
      </c>
      <c r="AG2355" s="21" t="n">
        <v>0</v>
      </c>
      <c r="AH2355" s="21" t="n">
        <v>0</v>
      </c>
      <c r="AI2355" s="21" t="n">
        <v>0</v>
      </c>
      <c r="AJ2355" s="21" t="n">
        <v>0</v>
      </c>
      <c r="AK2355" s="21" t="n">
        <v>0</v>
      </c>
      <c r="AL2355" s="21" t="n">
        <v>0</v>
      </c>
      <c r="AM2355" s="21" t="n">
        <v>0</v>
      </c>
      <c r="AN2355" s="21" t="n">
        <v>0</v>
      </c>
      <c r="AO2355" s="21" t="n">
        <v>0</v>
      </c>
      <c r="AP2355" s="21" t="n">
        <v>0</v>
      </c>
      <c r="AQ2355" s="21" t="n">
        <v>0</v>
      </c>
      <c r="AR2355" s="21" t="n">
        <v>0</v>
      </c>
      <c r="AS2355" s="21" t="n">
        <v>0</v>
      </c>
      <c r="AT2355" s="19" t="n"/>
    </row>
    <row r="2356">
      <c r="D2356" s="21" t="n">
        <v>0</v>
      </c>
      <c r="E2356" s="21" t="n">
        <v>0</v>
      </c>
      <c r="F2356" s="21" t="n">
        <v>0</v>
      </c>
      <c r="G2356" s="21" t="n">
        <v>0</v>
      </c>
      <c r="H2356" s="21" t="n">
        <v>0</v>
      </c>
      <c r="I2356" s="21" t="n">
        <v>0</v>
      </c>
      <c r="J2356" s="21" t="n">
        <v>0</v>
      </c>
      <c r="K2356" s="21" t="n">
        <v>0</v>
      </c>
      <c r="L2356" s="21" t="n">
        <v>0</v>
      </c>
      <c r="M2356" s="21" t="n">
        <v>0</v>
      </c>
      <c r="N2356" s="21" t="n">
        <v>0</v>
      </c>
      <c r="O2356" s="21" t="n">
        <v>0</v>
      </c>
      <c r="P2356" s="21" t="n">
        <v>0</v>
      </c>
      <c r="Q2356" s="21" t="n">
        <v>0</v>
      </c>
      <c r="R2356" s="21" t="n">
        <v>0</v>
      </c>
      <c r="S2356" s="21" t="n">
        <v>0</v>
      </c>
      <c r="T2356" s="21" t="n">
        <v>0</v>
      </c>
      <c r="U2356" s="21" t="n">
        <v>0</v>
      </c>
      <c r="V2356" s="21" t="n">
        <v>0</v>
      </c>
      <c r="W2356" s="21" t="n">
        <v>0</v>
      </c>
      <c r="X2356" s="21" t="n">
        <v>0</v>
      </c>
      <c r="Y2356" s="21" t="n">
        <v>0</v>
      </c>
      <c r="Z2356" s="21">
        <f>-$B$1811</f>
        <v/>
      </c>
      <c r="AA2356" s="21">
        <f>-$B$1812</f>
        <v/>
      </c>
      <c r="AB2356" s="21">
        <f>2*$B$1811+$D$2322</f>
        <v/>
      </c>
      <c r="AC2356" s="21">
        <f>0</f>
        <v/>
      </c>
      <c r="AD2356" s="21">
        <f>-$B$1811</f>
        <v/>
      </c>
      <c r="AE2356" s="21">
        <f>$B$1812</f>
        <v/>
      </c>
      <c r="AF2356" s="21" t="n">
        <v>0</v>
      </c>
      <c r="AG2356" s="21" t="n">
        <v>0</v>
      </c>
      <c r="AH2356" s="21" t="n">
        <v>0</v>
      </c>
      <c r="AI2356" s="21" t="n">
        <v>0</v>
      </c>
      <c r="AJ2356" s="21" t="n">
        <v>0</v>
      </c>
      <c r="AK2356" s="21" t="n">
        <v>0</v>
      </c>
      <c r="AL2356" s="21" t="n">
        <v>0</v>
      </c>
      <c r="AM2356" s="21" t="n">
        <v>0</v>
      </c>
      <c r="AN2356" s="21" t="n">
        <v>0</v>
      </c>
      <c r="AO2356" s="21" t="n">
        <v>0</v>
      </c>
      <c r="AP2356" s="21" t="n">
        <v>0</v>
      </c>
      <c r="AQ2356" s="21" t="n">
        <v>0</v>
      </c>
      <c r="AR2356" s="21" t="n">
        <v>0</v>
      </c>
      <c r="AS2356" s="21" t="n">
        <v>0</v>
      </c>
      <c r="AT2356" s="19" t="n"/>
    </row>
    <row r="2357">
      <c r="D2357" s="21" t="n">
        <v>0</v>
      </c>
      <c r="E2357" s="21" t="n">
        <v>0</v>
      </c>
      <c r="F2357" s="21" t="n">
        <v>0</v>
      </c>
      <c r="G2357" s="21" t="n">
        <v>0</v>
      </c>
      <c r="H2357" s="21" t="n">
        <v>0</v>
      </c>
      <c r="I2357" s="21" t="n">
        <v>0</v>
      </c>
      <c r="J2357" s="21" t="n">
        <v>0</v>
      </c>
      <c r="K2357" s="21" t="n">
        <v>0</v>
      </c>
      <c r="L2357" s="21" t="n">
        <v>0</v>
      </c>
      <c r="M2357" s="21" t="n">
        <v>0</v>
      </c>
      <c r="N2357" s="21" t="n">
        <v>0</v>
      </c>
      <c r="O2357" s="21" t="n">
        <v>0</v>
      </c>
      <c r="P2357" s="21" t="n">
        <v>0</v>
      </c>
      <c r="Q2357" s="21" t="n">
        <v>0</v>
      </c>
      <c r="R2357" s="21" t="n">
        <v>0</v>
      </c>
      <c r="S2357" s="21" t="n">
        <v>0</v>
      </c>
      <c r="T2357" s="21" t="n">
        <v>0</v>
      </c>
      <c r="U2357" s="21" t="n">
        <v>0</v>
      </c>
      <c r="V2357" s="21" t="n">
        <v>0</v>
      </c>
      <c r="W2357" s="21" t="n">
        <v>0</v>
      </c>
      <c r="X2357" s="21" t="n">
        <v>0</v>
      </c>
      <c r="Y2357" s="21" t="n">
        <v>0</v>
      </c>
      <c r="Z2357" s="21">
        <f>$B$1812</f>
        <v/>
      </c>
      <c r="AA2357" s="21">
        <f>$B$1814</f>
        <v/>
      </c>
      <c r="AB2357" s="21">
        <f>0</f>
        <v/>
      </c>
      <c r="AC2357" s="21">
        <f>2*$B$1813</f>
        <v/>
      </c>
      <c r="AD2357" s="21">
        <f>-$B$1812</f>
        <v/>
      </c>
      <c r="AE2357" s="21">
        <f>$B$1814</f>
        <v/>
      </c>
      <c r="AF2357" s="21" t="n">
        <v>0</v>
      </c>
      <c r="AG2357" s="21" t="n">
        <v>0</v>
      </c>
      <c r="AH2357" s="21" t="n">
        <v>0</v>
      </c>
      <c r="AI2357" s="21" t="n">
        <v>0</v>
      </c>
      <c r="AJ2357" s="21" t="n">
        <v>0</v>
      </c>
      <c r="AK2357" s="21" t="n">
        <v>0</v>
      </c>
      <c r="AL2357" s="21" t="n">
        <v>0</v>
      </c>
      <c r="AM2357" s="21" t="n">
        <v>0</v>
      </c>
      <c r="AN2357" s="21" t="n">
        <v>0</v>
      </c>
      <c r="AO2357" s="21" t="n">
        <v>0</v>
      </c>
      <c r="AP2357" s="21" t="n">
        <v>0</v>
      </c>
      <c r="AQ2357" s="21" t="n">
        <v>0</v>
      </c>
      <c r="AR2357" s="21" t="n">
        <v>0</v>
      </c>
      <c r="AS2357" s="21" t="n">
        <v>0</v>
      </c>
      <c r="AT2357" s="19" t="n"/>
    </row>
    <row r="2358">
      <c r="D2358" s="21" t="n">
        <v>0</v>
      </c>
      <c r="E2358" s="21" t="n">
        <v>0</v>
      </c>
      <c r="F2358" s="21" t="n">
        <v>0</v>
      </c>
      <c r="G2358" s="21" t="n">
        <v>0</v>
      </c>
      <c r="H2358" s="21" t="n">
        <v>0</v>
      </c>
      <c r="I2358" s="21" t="n">
        <v>0</v>
      </c>
      <c r="J2358" s="21" t="n">
        <v>0</v>
      </c>
      <c r="K2358" s="21" t="n">
        <v>0</v>
      </c>
      <c r="L2358" s="21" t="n">
        <v>0</v>
      </c>
      <c r="M2358" s="21" t="n">
        <v>0</v>
      </c>
      <c r="N2358" s="21" t="n">
        <v>0</v>
      </c>
      <c r="O2358" s="21" t="n">
        <v>0</v>
      </c>
      <c r="P2358" s="21" t="n">
        <v>0</v>
      </c>
      <c r="Q2358" s="21" t="n">
        <v>0</v>
      </c>
      <c r="R2358" s="21" t="n">
        <v>0</v>
      </c>
      <c r="S2358" s="21" t="n">
        <v>0</v>
      </c>
      <c r="T2358" s="21" t="n">
        <v>0</v>
      </c>
      <c r="U2358" s="21" t="n">
        <v>0</v>
      </c>
      <c r="V2358" s="21" t="n">
        <v>0</v>
      </c>
      <c r="W2358" s="21" t="n">
        <v>0</v>
      </c>
      <c r="X2358" s="21" t="n">
        <v>0</v>
      </c>
      <c r="Y2358" s="21" t="n">
        <v>0</v>
      </c>
      <c r="Z2358" s="21" t="n">
        <v>0</v>
      </c>
      <c r="AA2358" s="21" t="n">
        <v>0</v>
      </c>
      <c r="AB2358" s="21">
        <f>-$B$1811</f>
        <v/>
      </c>
      <c r="AC2358" s="21">
        <f>-$B$1812</f>
        <v/>
      </c>
      <c r="AD2358" s="21">
        <f>2*$B$1811+$D$2323</f>
        <v/>
      </c>
      <c r="AE2358" s="21">
        <f>0</f>
        <v/>
      </c>
      <c r="AF2358" s="21">
        <f>-$B$1811</f>
        <v/>
      </c>
      <c r="AG2358" s="21">
        <f>$B$1812</f>
        <v/>
      </c>
      <c r="AH2358" s="21" t="n">
        <v>0</v>
      </c>
      <c r="AI2358" s="21" t="n">
        <v>0</v>
      </c>
      <c r="AJ2358" s="21" t="n">
        <v>0</v>
      </c>
      <c r="AK2358" s="21" t="n">
        <v>0</v>
      </c>
      <c r="AL2358" s="21" t="n">
        <v>0</v>
      </c>
      <c r="AM2358" s="21" t="n">
        <v>0</v>
      </c>
      <c r="AN2358" s="21" t="n">
        <v>0</v>
      </c>
      <c r="AO2358" s="21" t="n">
        <v>0</v>
      </c>
      <c r="AP2358" s="21" t="n">
        <v>0</v>
      </c>
      <c r="AQ2358" s="21" t="n">
        <v>0</v>
      </c>
      <c r="AR2358" s="21" t="n">
        <v>0</v>
      </c>
      <c r="AS2358" s="21" t="n">
        <v>0</v>
      </c>
      <c r="AT2358" s="19" t="n"/>
    </row>
    <row r="2359">
      <c r="D2359" s="21" t="n">
        <v>0</v>
      </c>
      <c r="E2359" s="21" t="n">
        <v>0</v>
      </c>
      <c r="F2359" s="21" t="n">
        <v>0</v>
      </c>
      <c r="G2359" s="21" t="n">
        <v>0</v>
      </c>
      <c r="H2359" s="21" t="n">
        <v>0</v>
      </c>
      <c r="I2359" s="21" t="n">
        <v>0</v>
      </c>
      <c r="J2359" s="21" t="n">
        <v>0</v>
      </c>
      <c r="K2359" s="21" t="n">
        <v>0</v>
      </c>
      <c r="L2359" s="21" t="n">
        <v>0</v>
      </c>
      <c r="M2359" s="21" t="n">
        <v>0</v>
      </c>
      <c r="N2359" s="21" t="n">
        <v>0</v>
      </c>
      <c r="O2359" s="21" t="n">
        <v>0</v>
      </c>
      <c r="P2359" s="21" t="n">
        <v>0</v>
      </c>
      <c r="Q2359" s="21" t="n">
        <v>0</v>
      </c>
      <c r="R2359" s="21" t="n">
        <v>0</v>
      </c>
      <c r="S2359" s="21" t="n">
        <v>0</v>
      </c>
      <c r="T2359" s="21" t="n">
        <v>0</v>
      </c>
      <c r="U2359" s="21" t="n">
        <v>0</v>
      </c>
      <c r="V2359" s="21" t="n">
        <v>0</v>
      </c>
      <c r="W2359" s="21" t="n">
        <v>0</v>
      </c>
      <c r="X2359" s="21" t="n">
        <v>0</v>
      </c>
      <c r="Y2359" s="21" t="n">
        <v>0</v>
      </c>
      <c r="Z2359" s="21" t="n">
        <v>0</v>
      </c>
      <c r="AA2359" s="21" t="n">
        <v>0</v>
      </c>
      <c r="AB2359" s="21">
        <f>$B$1812</f>
        <v/>
      </c>
      <c r="AC2359" s="21">
        <f>$B$1814</f>
        <v/>
      </c>
      <c r="AD2359" s="21">
        <f>0</f>
        <v/>
      </c>
      <c r="AE2359" s="21">
        <f>2*$B$1813</f>
        <v/>
      </c>
      <c r="AF2359" s="21">
        <f>-$B$1812</f>
        <v/>
      </c>
      <c r="AG2359" s="21">
        <f>$B$1814</f>
        <v/>
      </c>
      <c r="AH2359" s="21" t="n">
        <v>0</v>
      </c>
      <c r="AI2359" s="21" t="n">
        <v>0</v>
      </c>
      <c r="AJ2359" s="21" t="n">
        <v>0</v>
      </c>
      <c r="AK2359" s="21" t="n">
        <v>0</v>
      </c>
      <c r="AL2359" s="21" t="n">
        <v>0</v>
      </c>
      <c r="AM2359" s="21" t="n">
        <v>0</v>
      </c>
      <c r="AN2359" s="21" t="n">
        <v>0</v>
      </c>
      <c r="AO2359" s="21" t="n">
        <v>0</v>
      </c>
      <c r="AP2359" s="21" t="n">
        <v>0</v>
      </c>
      <c r="AQ2359" s="21" t="n">
        <v>0</v>
      </c>
      <c r="AR2359" s="21" t="n">
        <v>0</v>
      </c>
      <c r="AS2359" s="21" t="n">
        <v>0</v>
      </c>
      <c r="AT2359" s="19" t="n"/>
    </row>
    <row r="2360">
      <c r="D2360" s="21" t="n">
        <v>0</v>
      </c>
      <c r="E2360" s="21" t="n">
        <v>0</v>
      </c>
      <c r="F2360" s="21" t="n">
        <v>0</v>
      </c>
      <c r="G2360" s="21" t="n">
        <v>0</v>
      </c>
      <c r="H2360" s="21" t="n">
        <v>0</v>
      </c>
      <c r="I2360" s="21" t="n">
        <v>0</v>
      </c>
      <c r="J2360" s="21" t="n">
        <v>0</v>
      </c>
      <c r="K2360" s="21" t="n">
        <v>0</v>
      </c>
      <c r="L2360" s="21" t="n">
        <v>0</v>
      </c>
      <c r="M2360" s="21" t="n">
        <v>0</v>
      </c>
      <c r="N2360" s="21" t="n">
        <v>0</v>
      </c>
      <c r="O2360" s="21" t="n">
        <v>0</v>
      </c>
      <c r="P2360" s="21" t="n">
        <v>0</v>
      </c>
      <c r="Q2360" s="21" t="n">
        <v>0</v>
      </c>
      <c r="R2360" s="21" t="n">
        <v>0</v>
      </c>
      <c r="S2360" s="21" t="n">
        <v>0</v>
      </c>
      <c r="T2360" s="21" t="n">
        <v>0</v>
      </c>
      <c r="U2360" s="21" t="n">
        <v>0</v>
      </c>
      <c r="V2360" s="21" t="n">
        <v>0</v>
      </c>
      <c r="W2360" s="21" t="n">
        <v>0</v>
      </c>
      <c r="X2360" s="21" t="n">
        <v>0</v>
      </c>
      <c r="Y2360" s="21" t="n">
        <v>0</v>
      </c>
      <c r="Z2360" s="21" t="n">
        <v>0</v>
      </c>
      <c r="AA2360" s="21" t="n">
        <v>0</v>
      </c>
      <c r="AB2360" s="21" t="n">
        <v>0</v>
      </c>
      <c r="AC2360" s="21" t="n">
        <v>0</v>
      </c>
      <c r="AD2360" s="21">
        <f>-$B$1811</f>
        <v/>
      </c>
      <c r="AE2360" s="21">
        <f>-$B$1812</f>
        <v/>
      </c>
      <c r="AF2360" s="21">
        <f>2*$B$1811+$D$2324</f>
        <v/>
      </c>
      <c r="AG2360" s="21">
        <f>0</f>
        <v/>
      </c>
      <c r="AH2360" s="21">
        <f>-$B$1811</f>
        <v/>
      </c>
      <c r="AI2360" s="21">
        <f>$B$1812</f>
        <v/>
      </c>
      <c r="AJ2360" s="21" t="n">
        <v>0</v>
      </c>
      <c r="AK2360" s="21" t="n">
        <v>0</v>
      </c>
      <c r="AL2360" s="21" t="n">
        <v>0</v>
      </c>
      <c r="AM2360" s="21" t="n">
        <v>0</v>
      </c>
      <c r="AN2360" s="21" t="n">
        <v>0</v>
      </c>
      <c r="AO2360" s="21" t="n">
        <v>0</v>
      </c>
      <c r="AP2360" s="21" t="n">
        <v>0</v>
      </c>
      <c r="AQ2360" s="21" t="n">
        <v>0</v>
      </c>
      <c r="AR2360" s="21" t="n">
        <v>0</v>
      </c>
      <c r="AS2360" s="21" t="n">
        <v>0</v>
      </c>
      <c r="AT2360" s="19" t="n"/>
    </row>
    <row r="2361">
      <c r="D2361" s="21" t="n">
        <v>0</v>
      </c>
      <c r="E2361" s="21" t="n">
        <v>0</v>
      </c>
      <c r="F2361" s="21" t="n">
        <v>0</v>
      </c>
      <c r="G2361" s="21" t="n">
        <v>0</v>
      </c>
      <c r="H2361" s="21" t="n">
        <v>0</v>
      </c>
      <c r="I2361" s="21" t="n">
        <v>0</v>
      </c>
      <c r="J2361" s="21" t="n">
        <v>0</v>
      </c>
      <c r="K2361" s="21" t="n">
        <v>0</v>
      </c>
      <c r="L2361" s="21" t="n">
        <v>0</v>
      </c>
      <c r="M2361" s="21" t="n">
        <v>0</v>
      </c>
      <c r="N2361" s="21" t="n">
        <v>0</v>
      </c>
      <c r="O2361" s="21" t="n">
        <v>0</v>
      </c>
      <c r="P2361" s="21" t="n">
        <v>0</v>
      </c>
      <c r="Q2361" s="21" t="n">
        <v>0</v>
      </c>
      <c r="R2361" s="21" t="n">
        <v>0</v>
      </c>
      <c r="S2361" s="21" t="n">
        <v>0</v>
      </c>
      <c r="T2361" s="21" t="n">
        <v>0</v>
      </c>
      <c r="U2361" s="21" t="n">
        <v>0</v>
      </c>
      <c r="V2361" s="21" t="n">
        <v>0</v>
      </c>
      <c r="W2361" s="21" t="n">
        <v>0</v>
      </c>
      <c r="X2361" s="21" t="n">
        <v>0</v>
      </c>
      <c r="Y2361" s="21" t="n">
        <v>0</v>
      </c>
      <c r="Z2361" s="21" t="n">
        <v>0</v>
      </c>
      <c r="AA2361" s="21" t="n">
        <v>0</v>
      </c>
      <c r="AB2361" s="21" t="n">
        <v>0</v>
      </c>
      <c r="AC2361" s="21" t="n">
        <v>0</v>
      </c>
      <c r="AD2361" s="21">
        <f>$B$1812</f>
        <v/>
      </c>
      <c r="AE2361" s="21">
        <f>$B$1814</f>
        <v/>
      </c>
      <c r="AF2361" s="21">
        <f>0</f>
        <v/>
      </c>
      <c r="AG2361" s="21">
        <f>2*$B$1813</f>
        <v/>
      </c>
      <c r="AH2361" s="21">
        <f>-$B$1812</f>
        <v/>
      </c>
      <c r="AI2361" s="21">
        <f>$B$1814</f>
        <v/>
      </c>
      <c r="AJ2361" s="21" t="n">
        <v>0</v>
      </c>
      <c r="AK2361" s="21" t="n">
        <v>0</v>
      </c>
      <c r="AL2361" s="21" t="n">
        <v>0</v>
      </c>
      <c r="AM2361" s="21" t="n">
        <v>0</v>
      </c>
      <c r="AN2361" s="21" t="n">
        <v>0</v>
      </c>
      <c r="AO2361" s="21" t="n">
        <v>0</v>
      </c>
      <c r="AP2361" s="21" t="n">
        <v>0</v>
      </c>
      <c r="AQ2361" s="21" t="n">
        <v>0</v>
      </c>
      <c r="AR2361" s="21" t="n">
        <v>0</v>
      </c>
      <c r="AS2361" s="21" t="n">
        <v>0</v>
      </c>
      <c r="AT2361" s="19" t="n"/>
    </row>
    <row r="2362">
      <c r="D2362" s="21" t="n">
        <v>0</v>
      </c>
      <c r="E2362" s="21" t="n">
        <v>0</v>
      </c>
      <c r="F2362" s="21" t="n">
        <v>0</v>
      </c>
      <c r="G2362" s="21" t="n">
        <v>0</v>
      </c>
      <c r="H2362" s="21" t="n">
        <v>0</v>
      </c>
      <c r="I2362" s="21" t="n">
        <v>0</v>
      </c>
      <c r="J2362" s="21" t="n">
        <v>0</v>
      </c>
      <c r="K2362" s="21" t="n">
        <v>0</v>
      </c>
      <c r="L2362" s="21" t="n">
        <v>0</v>
      </c>
      <c r="M2362" s="21" t="n">
        <v>0</v>
      </c>
      <c r="N2362" s="21" t="n">
        <v>0</v>
      </c>
      <c r="O2362" s="21" t="n">
        <v>0</v>
      </c>
      <c r="P2362" s="21" t="n">
        <v>0</v>
      </c>
      <c r="Q2362" s="21" t="n">
        <v>0</v>
      </c>
      <c r="R2362" s="21" t="n">
        <v>0</v>
      </c>
      <c r="S2362" s="21" t="n">
        <v>0</v>
      </c>
      <c r="T2362" s="21" t="n">
        <v>0</v>
      </c>
      <c r="U2362" s="21" t="n">
        <v>0</v>
      </c>
      <c r="V2362" s="21" t="n">
        <v>0</v>
      </c>
      <c r="W2362" s="21" t="n">
        <v>0</v>
      </c>
      <c r="X2362" s="21" t="n">
        <v>0</v>
      </c>
      <c r="Y2362" s="21" t="n">
        <v>0</v>
      </c>
      <c r="Z2362" s="21" t="n">
        <v>0</v>
      </c>
      <c r="AA2362" s="21" t="n">
        <v>0</v>
      </c>
      <c r="AB2362" s="21" t="n">
        <v>0</v>
      </c>
      <c r="AC2362" s="21" t="n">
        <v>0</v>
      </c>
      <c r="AD2362" s="21" t="n">
        <v>0</v>
      </c>
      <c r="AE2362" s="21" t="n">
        <v>0</v>
      </c>
      <c r="AF2362" s="21">
        <f>-$B$1811</f>
        <v/>
      </c>
      <c r="AG2362" s="21">
        <f>-$B$1812</f>
        <v/>
      </c>
      <c r="AH2362" s="21">
        <f>2*$B$1811+$D$2325</f>
        <v/>
      </c>
      <c r="AI2362" s="21">
        <f>0</f>
        <v/>
      </c>
      <c r="AJ2362" s="21">
        <f>-$B$1811</f>
        <v/>
      </c>
      <c r="AK2362" s="21">
        <f>$B$1812</f>
        <v/>
      </c>
      <c r="AL2362" s="21" t="n">
        <v>0</v>
      </c>
      <c r="AM2362" s="21" t="n">
        <v>0</v>
      </c>
      <c r="AN2362" s="21" t="n">
        <v>0</v>
      </c>
      <c r="AO2362" s="21" t="n">
        <v>0</v>
      </c>
      <c r="AP2362" s="21" t="n">
        <v>0</v>
      </c>
      <c r="AQ2362" s="21" t="n">
        <v>0</v>
      </c>
      <c r="AR2362" s="21" t="n">
        <v>0</v>
      </c>
      <c r="AS2362" s="21" t="n">
        <v>0</v>
      </c>
      <c r="AT2362" s="19" t="n"/>
    </row>
    <row r="2363">
      <c r="D2363" s="21" t="n">
        <v>0</v>
      </c>
      <c r="E2363" s="21" t="n">
        <v>0</v>
      </c>
      <c r="F2363" s="21" t="n">
        <v>0</v>
      </c>
      <c r="G2363" s="21" t="n">
        <v>0</v>
      </c>
      <c r="H2363" s="21" t="n">
        <v>0</v>
      </c>
      <c r="I2363" s="21" t="n">
        <v>0</v>
      </c>
      <c r="J2363" s="21" t="n">
        <v>0</v>
      </c>
      <c r="K2363" s="21" t="n">
        <v>0</v>
      </c>
      <c r="L2363" s="21" t="n">
        <v>0</v>
      </c>
      <c r="M2363" s="21" t="n">
        <v>0</v>
      </c>
      <c r="N2363" s="21" t="n">
        <v>0</v>
      </c>
      <c r="O2363" s="21" t="n">
        <v>0</v>
      </c>
      <c r="P2363" s="21" t="n">
        <v>0</v>
      </c>
      <c r="Q2363" s="21" t="n">
        <v>0</v>
      </c>
      <c r="R2363" s="21" t="n">
        <v>0</v>
      </c>
      <c r="S2363" s="21" t="n">
        <v>0</v>
      </c>
      <c r="T2363" s="21" t="n">
        <v>0</v>
      </c>
      <c r="U2363" s="21" t="n">
        <v>0</v>
      </c>
      <c r="V2363" s="21" t="n">
        <v>0</v>
      </c>
      <c r="W2363" s="21" t="n">
        <v>0</v>
      </c>
      <c r="X2363" s="21" t="n">
        <v>0</v>
      </c>
      <c r="Y2363" s="21" t="n">
        <v>0</v>
      </c>
      <c r="Z2363" s="21" t="n">
        <v>0</v>
      </c>
      <c r="AA2363" s="21" t="n">
        <v>0</v>
      </c>
      <c r="AB2363" s="21" t="n">
        <v>0</v>
      </c>
      <c r="AC2363" s="21" t="n">
        <v>0</v>
      </c>
      <c r="AD2363" s="21" t="n">
        <v>0</v>
      </c>
      <c r="AE2363" s="21" t="n">
        <v>0</v>
      </c>
      <c r="AF2363" s="21">
        <f>$B$1812</f>
        <v/>
      </c>
      <c r="AG2363" s="21">
        <f>$B$1814</f>
        <v/>
      </c>
      <c r="AH2363" s="21">
        <f>0</f>
        <v/>
      </c>
      <c r="AI2363" s="21">
        <f>2*$B$1813</f>
        <v/>
      </c>
      <c r="AJ2363" s="21">
        <f>-$B$1812</f>
        <v/>
      </c>
      <c r="AK2363" s="21">
        <f>$B$1814</f>
        <v/>
      </c>
      <c r="AL2363" s="21" t="n">
        <v>0</v>
      </c>
      <c r="AM2363" s="21" t="n">
        <v>0</v>
      </c>
      <c r="AN2363" s="21" t="n">
        <v>0</v>
      </c>
      <c r="AO2363" s="21" t="n">
        <v>0</v>
      </c>
      <c r="AP2363" s="21" t="n">
        <v>0</v>
      </c>
      <c r="AQ2363" s="21" t="n">
        <v>0</v>
      </c>
      <c r="AR2363" s="21" t="n">
        <v>0</v>
      </c>
      <c r="AS2363" s="21" t="n">
        <v>0</v>
      </c>
      <c r="AT2363" s="19" t="n"/>
    </row>
    <row r="2364">
      <c r="D2364" s="21" t="n">
        <v>0</v>
      </c>
      <c r="E2364" s="21" t="n">
        <v>0</v>
      </c>
      <c r="F2364" s="21" t="n">
        <v>0</v>
      </c>
      <c r="G2364" s="21" t="n">
        <v>0</v>
      </c>
      <c r="H2364" s="21" t="n">
        <v>0</v>
      </c>
      <c r="I2364" s="21" t="n">
        <v>0</v>
      </c>
      <c r="J2364" s="21" t="n">
        <v>0</v>
      </c>
      <c r="K2364" s="21" t="n">
        <v>0</v>
      </c>
      <c r="L2364" s="21" t="n">
        <v>0</v>
      </c>
      <c r="M2364" s="21" t="n">
        <v>0</v>
      </c>
      <c r="N2364" s="21" t="n">
        <v>0</v>
      </c>
      <c r="O2364" s="21" t="n">
        <v>0</v>
      </c>
      <c r="P2364" s="21" t="n">
        <v>0</v>
      </c>
      <c r="Q2364" s="21" t="n">
        <v>0</v>
      </c>
      <c r="R2364" s="21" t="n">
        <v>0</v>
      </c>
      <c r="S2364" s="21" t="n">
        <v>0</v>
      </c>
      <c r="T2364" s="21" t="n">
        <v>0</v>
      </c>
      <c r="U2364" s="21" t="n">
        <v>0</v>
      </c>
      <c r="V2364" s="21" t="n">
        <v>0</v>
      </c>
      <c r="W2364" s="21" t="n">
        <v>0</v>
      </c>
      <c r="X2364" s="21" t="n">
        <v>0</v>
      </c>
      <c r="Y2364" s="21" t="n">
        <v>0</v>
      </c>
      <c r="Z2364" s="21" t="n">
        <v>0</v>
      </c>
      <c r="AA2364" s="21" t="n">
        <v>0</v>
      </c>
      <c r="AB2364" s="21" t="n">
        <v>0</v>
      </c>
      <c r="AC2364" s="21" t="n">
        <v>0</v>
      </c>
      <c r="AD2364" s="21" t="n">
        <v>0</v>
      </c>
      <c r="AE2364" s="21" t="n">
        <v>0</v>
      </c>
      <c r="AF2364" s="21" t="n">
        <v>0</v>
      </c>
      <c r="AG2364" s="21" t="n">
        <v>0</v>
      </c>
      <c r="AH2364" s="21">
        <f>-$B$1811</f>
        <v/>
      </c>
      <c r="AI2364" s="21">
        <f>-$B$1812</f>
        <v/>
      </c>
      <c r="AJ2364" s="21">
        <f>2*$B$1811+$D$2326</f>
        <v/>
      </c>
      <c r="AK2364" s="21">
        <f>0</f>
        <v/>
      </c>
      <c r="AL2364" s="21">
        <f>-$B$1811</f>
        <v/>
      </c>
      <c r="AM2364" s="21">
        <f>$B$1812</f>
        <v/>
      </c>
      <c r="AN2364" s="21" t="n">
        <v>0</v>
      </c>
      <c r="AO2364" s="21" t="n">
        <v>0</v>
      </c>
      <c r="AP2364" s="21" t="n">
        <v>0</v>
      </c>
      <c r="AQ2364" s="21" t="n">
        <v>0</v>
      </c>
      <c r="AR2364" s="21" t="n">
        <v>0</v>
      </c>
      <c r="AS2364" s="21" t="n">
        <v>0</v>
      </c>
      <c r="AT2364" s="19" t="n"/>
    </row>
    <row r="2365">
      <c r="D2365" s="21" t="n">
        <v>0</v>
      </c>
      <c r="E2365" s="21" t="n">
        <v>0</v>
      </c>
      <c r="F2365" s="21" t="n">
        <v>0</v>
      </c>
      <c r="G2365" s="21" t="n">
        <v>0</v>
      </c>
      <c r="H2365" s="21" t="n">
        <v>0</v>
      </c>
      <c r="I2365" s="21" t="n">
        <v>0</v>
      </c>
      <c r="J2365" s="21" t="n">
        <v>0</v>
      </c>
      <c r="K2365" s="21" t="n">
        <v>0</v>
      </c>
      <c r="L2365" s="21" t="n">
        <v>0</v>
      </c>
      <c r="M2365" s="21" t="n">
        <v>0</v>
      </c>
      <c r="N2365" s="21" t="n">
        <v>0</v>
      </c>
      <c r="O2365" s="21" t="n">
        <v>0</v>
      </c>
      <c r="P2365" s="21" t="n">
        <v>0</v>
      </c>
      <c r="Q2365" s="21" t="n">
        <v>0</v>
      </c>
      <c r="R2365" s="21" t="n">
        <v>0</v>
      </c>
      <c r="S2365" s="21" t="n">
        <v>0</v>
      </c>
      <c r="T2365" s="21" t="n">
        <v>0</v>
      </c>
      <c r="U2365" s="21" t="n">
        <v>0</v>
      </c>
      <c r="V2365" s="21" t="n">
        <v>0</v>
      </c>
      <c r="W2365" s="21" t="n">
        <v>0</v>
      </c>
      <c r="X2365" s="21" t="n">
        <v>0</v>
      </c>
      <c r="Y2365" s="21" t="n">
        <v>0</v>
      </c>
      <c r="Z2365" s="21" t="n">
        <v>0</v>
      </c>
      <c r="AA2365" s="21" t="n">
        <v>0</v>
      </c>
      <c r="AB2365" s="21" t="n">
        <v>0</v>
      </c>
      <c r="AC2365" s="21" t="n">
        <v>0</v>
      </c>
      <c r="AD2365" s="21" t="n">
        <v>0</v>
      </c>
      <c r="AE2365" s="21" t="n">
        <v>0</v>
      </c>
      <c r="AF2365" s="21" t="n">
        <v>0</v>
      </c>
      <c r="AG2365" s="21" t="n">
        <v>0</v>
      </c>
      <c r="AH2365" s="21">
        <f>$B$1812</f>
        <v/>
      </c>
      <c r="AI2365" s="21">
        <f>$B$1814</f>
        <v/>
      </c>
      <c r="AJ2365" s="21">
        <f>0</f>
        <v/>
      </c>
      <c r="AK2365" s="21">
        <f>2*$B$1813</f>
        <v/>
      </c>
      <c r="AL2365" s="21">
        <f>-$B$1812</f>
        <v/>
      </c>
      <c r="AM2365" s="21">
        <f>$B$1814</f>
        <v/>
      </c>
      <c r="AN2365" s="21" t="n">
        <v>0</v>
      </c>
      <c r="AO2365" s="21" t="n">
        <v>0</v>
      </c>
      <c r="AP2365" s="21" t="n">
        <v>0</v>
      </c>
      <c r="AQ2365" s="21" t="n">
        <v>0</v>
      </c>
      <c r="AR2365" s="21" t="n">
        <v>0</v>
      </c>
      <c r="AS2365" s="21" t="n">
        <v>0</v>
      </c>
      <c r="AT2365" s="19" t="n"/>
    </row>
    <row r="2366">
      <c r="D2366" s="21" t="n">
        <v>0</v>
      </c>
      <c r="E2366" s="21" t="n">
        <v>0</v>
      </c>
      <c r="F2366" s="21" t="n">
        <v>0</v>
      </c>
      <c r="G2366" s="21" t="n">
        <v>0</v>
      </c>
      <c r="H2366" s="21" t="n">
        <v>0</v>
      </c>
      <c r="I2366" s="21" t="n">
        <v>0</v>
      </c>
      <c r="J2366" s="21" t="n">
        <v>0</v>
      </c>
      <c r="K2366" s="21" t="n">
        <v>0</v>
      </c>
      <c r="L2366" s="21" t="n">
        <v>0</v>
      </c>
      <c r="M2366" s="21" t="n">
        <v>0</v>
      </c>
      <c r="N2366" s="21" t="n">
        <v>0</v>
      </c>
      <c r="O2366" s="21" t="n">
        <v>0</v>
      </c>
      <c r="P2366" s="21" t="n">
        <v>0</v>
      </c>
      <c r="Q2366" s="21" t="n">
        <v>0</v>
      </c>
      <c r="R2366" s="21" t="n">
        <v>0</v>
      </c>
      <c r="S2366" s="21" t="n">
        <v>0</v>
      </c>
      <c r="T2366" s="21" t="n">
        <v>0</v>
      </c>
      <c r="U2366" s="21" t="n">
        <v>0</v>
      </c>
      <c r="V2366" s="21" t="n">
        <v>0</v>
      </c>
      <c r="W2366" s="21" t="n">
        <v>0</v>
      </c>
      <c r="X2366" s="21" t="n">
        <v>0</v>
      </c>
      <c r="Y2366" s="21" t="n">
        <v>0</v>
      </c>
      <c r="Z2366" s="21" t="n">
        <v>0</v>
      </c>
      <c r="AA2366" s="21" t="n">
        <v>0</v>
      </c>
      <c r="AB2366" s="21" t="n">
        <v>0</v>
      </c>
      <c r="AC2366" s="21" t="n">
        <v>0</v>
      </c>
      <c r="AD2366" s="21" t="n">
        <v>0</v>
      </c>
      <c r="AE2366" s="21" t="n">
        <v>0</v>
      </c>
      <c r="AF2366" s="21" t="n">
        <v>0</v>
      </c>
      <c r="AG2366" s="21" t="n">
        <v>0</v>
      </c>
      <c r="AH2366" s="21" t="n">
        <v>0</v>
      </c>
      <c r="AI2366" s="21" t="n">
        <v>0</v>
      </c>
      <c r="AJ2366" s="21">
        <f>-$B$1811</f>
        <v/>
      </c>
      <c r="AK2366" s="21">
        <f>-$B$1812</f>
        <v/>
      </c>
      <c r="AL2366" s="21">
        <f>2*$B$1811+$D$2327</f>
        <v/>
      </c>
      <c r="AM2366" s="21">
        <f>0</f>
        <v/>
      </c>
      <c r="AN2366" s="21">
        <f>-$B$1811</f>
        <v/>
      </c>
      <c r="AO2366" s="21">
        <f>$B$1812</f>
        <v/>
      </c>
      <c r="AP2366" s="21" t="n">
        <v>0</v>
      </c>
      <c r="AQ2366" s="21" t="n">
        <v>0</v>
      </c>
      <c r="AR2366" s="21" t="n">
        <v>0</v>
      </c>
      <c r="AS2366" s="21" t="n">
        <v>0</v>
      </c>
      <c r="AT2366" s="19" t="n"/>
    </row>
    <row r="2367">
      <c r="D2367" s="21" t="n">
        <v>0</v>
      </c>
      <c r="E2367" s="21" t="n">
        <v>0</v>
      </c>
      <c r="F2367" s="21" t="n">
        <v>0</v>
      </c>
      <c r="G2367" s="21" t="n">
        <v>0</v>
      </c>
      <c r="H2367" s="21" t="n">
        <v>0</v>
      </c>
      <c r="I2367" s="21" t="n">
        <v>0</v>
      </c>
      <c r="J2367" s="21" t="n">
        <v>0</v>
      </c>
      <c r="K2367" s="21" t="n">
        <v>0</v>
      </c>
      <c r="L2367" s="21" t="n">
        <v>0</v>
      </c>
      <c r="M2367" s="21" t="n">
        <v>0</v>
      </c>
      <c r="N2367" s="21" t="n">
        <v>0</v>
      </c>
      <c r="O2367" s="21" t="n">
        <v>0</v>
      </c>
      <c r="P2367" s="21" t="n">
        <v>0</v>
      </c>
      <c r="Q2367" s="21" t="n">
        <v>0</v>
      </c>
      <c r="R2367" s="21" t="n">
        <v>0</v>
      </c>
      <c r="S2367" s="21" t="n">
        <v>0</v>
      </c>
      <c r="T2367" s="21" t="n">
        <v>0</v>
      </c>
      <c r="U2367" s="21" t="n">
        <v>0</v>
      </c>
      <c r="V2367" s="21" t="n">
        <v>0</v>
      </c>
      <c r="W2367" s="21" t="n">
        <v>0</v>
      </c>
      <c r="X2367" s="21" t="n">
        <v>0</v>
      </c>
      <c r="Y2367" s="21" t="n">
        <v>0</v>
      </c>
      <c r="Z2367" s="21" t="n">
        <v>0</v>
      </c>
      <c r="AA2367" s="21" t="n">
        <v>0</v>
      </c>
      <c r="AB2367" s="21" t="n">
        <v>0</v>
      </c>
      <c r="AC2367" s="21" t="n">
        <v>0</v>
      </c>
      <c r="AD2367" s="21" t="n">
        <v>0</v>
      </c>
      <c r="AE2367" s="21" t="n">
        <v>0</v>
      </c>
      <c r="AF2367" s="21" t="n">
        <v>0</v>
      </c>
      <c r="AG2367" s="21" t="n">
        <v>0</v>
      </c>
      <c r="AH2367" s="21" t="n">
        <v>0</v>
      </c>
      <c r="AI2367" s="21" t="n">
        <v>0</v>
      </c>
      <c r="AJ2367" s="21">
        <f>$B$1812</f>
        <v/>
      </c>
      <c r="AK2367" s="21">
        <f>$B$1814</f>
        <v/>
      </c>
      <c r="AL2367" s="21">
        <f>0</f>
        <v/>
      </c>
      <c r="AM2367" s="21">
        <f>2*$B$1813</f>
        <v/>
      </c>
      <c r="AN2367" s="21">
        <f>-$B$1812</f>
        <v/>
      </c>
      <c r="AO2367" s="21">
        <f>$B$1814</f>
        <v/>
      </c>
      <c r="AP2367" s="21" t="n">
        <v>0</v>
      </c>
      <c r="AQ2367" s="21" t="n">
        <v>0</v>
      </c>
      <c r="AR2367" s="21" t="n">
        <v>0</v>
      </c>
      <c r="AS2367" s="21" t="n">
        <v>0</v>
      </c>
      <c r="AT2367" s="19" t="n"/>
    </row>
    <row r="2368">
      <c r="D2368" s="21" t="n">
        <v>0</v>
      </c>
      <c r="E2368" s="21" t="n">
        <v>0</v>
      </c>
      <c r="F2368" s="21" t="n">
        <v>0</v>
      </c>
      <c r="G2368" s="21" t="n">
        <v>0</v>
      </c>
      <c r="H2368" s="21" t="n">
        <v>0</v>
      </c>
      <c r="I2368" s="21" t="n">
        <v>0</v>
      </c>
      <c r="J2368" s="21" t="n">
        <v>0</v>
      </c>
      <c r="K2368" s="21" t="n">
        <v>0</v>
      </c>
      <c r="L2368" s="21" t="n">
        <v>0</v>
      </c>
      <c r="M2368" s="21" t="n">
        <v>0</v>
      </c>
      <c r="N2368" s="21" t="n">
        <v>0</v>
      </c>
      <c r="O2368" s="21" t="n">
        <v>0</v>
      </c>
      <c r="P2368" s="21" t="n">
        <v>0</v>
      </c>
      <c r="Q2368" s="21" t="n">
        <v>0</v>
      </c>
      <c r="R2368" s="21" t="n">
        <v>0</v>
      </c>
      <c r="S2368" s="21" t="n">
        <v>0</v>
      </c>
      <c r="T2368" s="21" t="n">
        <v>0</v>
      </c>
      <c r="U2368" s="21" t="n">
        <v>0</v>
      </c>
      <c r="V2368" s="21" t="n">
        <v>0</v>
      </c>
      <c r="W2368" s="21" t="n">
        <v>0</v>
      </c>
      <c r="X2368" s="21" t="n">
        <v>0</v>
      </c>
      <c r="Y2368" s="21" t="n">
        <v>0</v>
      </c>
      <c r="Z2368" s="21" t="n">
        <v>0</v>
      </c>
      <c r="AA2368" s="21" t="n">
        <v>0</v>
      </c>
      <c r="AB2368" s="21" t="n">
        <v>0</v>
      </c>
      <c r="AC2368" s="21" t="n">
        <v>0</v>
      </c>
      <c r="AD2368" s="21" t="n">
        <v>0</v>
      </c>
      <c r="AE2368" s="21" t="n">
        <v>0</v>
      </c>
      <c r="AF2368" s="21" t="n">
        <v>0</v>
      </c>
      <c r="AG2368" s="21" t="n">
        <v>0</v>
      </c>
      <c r="AH2368" s="21" t="n">
        <v>0</v>
      </c>
      <c r="AI2368" s="21" t="n">
        <v>0</v>
      </c>
      <c r="AJ2368" s="21" t="n">
        <v>0</v>
      </c>
      <c r="AK2368" s="21" t="n">
        <v>0</v>
      </c>
      <c r="AL2368" s="21">
        <f>-$B$1811</f>
        <v/>
      </c>
      <c r="AM2368" s="21">
        <f>-$B$1812</f>
        <v/>
      </c>
      <c r="AN2368" s="21">
        <f>2*$B$1811+$D$2328</f>
        <v/>
      </c>
      <c r="AO2368" s="21">
        <f>0</f>
        <v/>
      </c>
      <c r="AP2368" s="21">
        <f>-$B$1811</f>
        <v/>
      </c>
      <c r="AQ2368" s="21">
        <f>$B$1812</f>
        <v/>
      </c>
      <c r="AR2368" s="21" t="n">
        <v>0</v>
      </c>
      <c r="AS2368" s="21" t="n">
        <v>0</v>
      </c>
      <c r="AT2368" s="19" t="n"/>
    </row>
    <row r="2369">
      <c r="D2369" s="21" t="n">
        <v>0</v>
      </c>
      <c r="E2369" s="21" t="n">
        <v>0</v>
      </c>
      <c r="F2369" s="21" t="n">
        <v>0</v>
      </c>
      <c r="G2369" s="21" t="n">
        <v>0</v>
      </c>
      <c r="H2369" s="21" t="n">
        <v>0</v>
      </c>
      <c r="I2369" s="21" t="n">
        <v>0</v>
      </c>
      <c r="J2369" s="21" t="n">
        <v>0</v>
      </c>
      <c r="K2369" s="21" t="n">
        <v>0</v>
      </c>
      <c r="L2369" s="21" t="n">
        <v>0</v>
      </c>
      <c r="M2369" s="21" t="n">
        <v>0</v>
      </c>
      <c r="N2369" s="21" t="n">
        <v>0</v>
      </c>
      <c r="O2369" s="21" t="n">
        <v>0</v>
      </c>
      <c r="P2369" s="21" t="n">
        <v>0</v>
      </c>
      <c r="Q2369" s="21" t="n">
        <v>0</v>
      </c>
      <c r="R2369" s="21" t="n">
        <v>0</v>
      </c>
      <c r="S2369" s="21" t="n">
        <v>0</v>
      </c>
      <c r="T2369" s="21" t="n">
        <v>0</v>
      </c>
      <c r="U2369" s="21" t="n">
        <v>0</v>
      </c>
      <c r="V2369" s="21" t="n">
        <v>0</v>
      </c>
      <c r="W2369" s="21" t="n">
        <v>0</v>
      </c>
      <c r="X2369" s="21" t="n">
        <v>0</v>
      </c>
      <c r="Y2369" s="21" t="n">
        <v>0</v>
      </c>
      <c r="Z2369" s="21" t="n">
        <v>0</v>
      </c>
      <c r="AA2369" s="21" t="n">
        <v>0</v>
      </c>
      <c r="AB2369" s="21" t="n">
        <v>0</v>
      </c>
      <c r="AC2369" s="21" t="n">
        <v>0</v>
      </c>
      <c r="AD2369" s="21" t="n">
        <v>0</v>
      </c>
      <c r="AE2369" s="21" t="n">
        <v>0</v>
      </c>
      <c r="AF2369" s="21" t="n">
        <v>0</v>
      </c>
      <c r="AG2369" s="21" t="n">
        <v>0</v>
      </c>
      <c r="AH2369" s="21" t="n">
        <v>0</v>
      </c>
      <c r="AI2369" s="21" t="n">
        <v>0</v>
      </c>
      <c r="AJ2369" s="21" t="n">
        <v>0</v>
      </c>
      <c r="AK2369" s="21" t="n">
        <v>0</v>
      </c>
      <c r="AL2369" s="21">
        <f>$B$1812</f>
        <v/>
      </c>
      <c r="AM2369" s="21">
        <f>$B$1814</f>
        <v/>
      </c>
      <c r="AN2369" s="21">
        <f>0</f>
        <v/>
      </c>
      <c r="AO2369" s="21">
        <f>2*$B$1813</f>
        <v/>
      </c>
      <c r="AP2369" s="21">
        <f>-$B$1812</f>
        <v/>
      </c>
      <c r="AQ2369" s="21">
        <f>$B$1814</f>
        <v/>
      </c>
      <c r="AR2369" s="21" t="n">
        <v>0</v>
      </c>
      <c r="AS2369" s="21" t="n">
        <v>0</v>
      </c>
      <c r="AT2369" s="19" t="n"/>
    </row>
    <row r="2370">
      <c r="D2370" s="21" t="n">
        <v>0</v>
      </c>
      <c r="E2370" s="21" t="n">
        <v>0</v>
      </c>
      <c r="F2370" s="21" t="n">
        <v>0</v>
      </c>
      <c r="G2370" s="21" t="n">
        <v>0</v>
      </c>
      <c r="H2370" s="21" t="n">
        <v>0</v>
      </c>
      <c r="I2370" s="21" t="n">
        <v>0</v>
      </c>
      <c r="J2370" s="21" t="n">
        <v>0</v>
      </c>
      <c r="K2370" s="21" t="n">
        <v>0</v>
      </c>
      <c r="L2370" s="21" t="n">
        <v>0</v>
      </c>
      <c r="M2370" s="21" t="n">
        <v>0</v>
      </c>
      <c r="N2370" s="21" t="n">
        <v>0</v>
      </c>
      <c r="O2370" s="21" t="n">
        <v>0</v>
      </c>
      <c r="P2370" s="21" t="n">
        <v>0</v>
      </c>
      <c r="Q2370" s="21" t="n">
        <v>0</v>
      </c>
      <c r="R2370" s="21" t="n">
        <v>0</v>
      </c>
      <c r="S2370" s="21" t="n">
        <v>0</v>
      </c>
      <c r="T2370" s="21" t="n">
        <v>0</v>
      </c>
      <c r="U2370" s="21" t="n">
        <v>0</v>
      </c>
      <c r="V2370" s="21" t="n">
        <v>0</v>
      </c>
      <c r="W2370" s="21" t="n">
        <v>0</v>
      </c>
      <c r="X2370" s="21" t="n">
        <v>0</v>
      </c>
      <c r="Y2370" s="21" t="n">
        <v>0</v>
      </c>
      <c r="Z2370" s="21" t="n">
        <v>0</v>
      </c>
      <c r="AA2370" s="21" t="n">
        <v>0</v>
      </c>
      <c r="AB2370" s="21" t="n">
        <v>0</v>
      </c>
      <c r="AC2370" s="21" t="n">
        <v>0</v>
      </c>
      <c r="AD2370" s="21" t="n">
        <v>0</v>
      </c>
      <c r="AE2370" s="21" t="n">
        <v>0</v>
      </c>
      <c r="AF2370" s="21" t="n">
        <v>0</v>
      </c>
      <c r="AG2370" s="21" t="n">
        <v>0</v>
      </c>
      <c r="AH2370" s="21" t="n">
        <v>0</v>
      </c>
      <c r="AI2370" s="21" t="n">
        <v>0</v>
      </c>
      <c r="AJ2370" s="21" t="n">
        <v>0</v>
      </c>
      <c r="AK2370" s="21" t="n">
        <v>0</v>
      </c>
      <c r="AL2370" s="21" t="n">
        <v>0</v>
      </c>
      <c r="AM2370" s="21" t="n">
        <v>0</v>
      </c>
      <c r="AN2370" s="21">
        <f>-$B$1811</f>
        <v/>
      </c>
      <c r="AO2370" s="21">
        <f>-$B$1812</f>
        <v/>
      </c>
      <c r="AP2370" s="21">
        <f>2*$B$1811+$D$2329</f>
        <v/>
      </c>
      <c r="AQ2370" s="21">
        <f>0</f>
        <v/>
      </c>
      <c r="AR2370" s="21">
        <f>-$B$1811</f>
        <v/>
      </c>
      <c r="AS2370" s="21">
        <f>$B$1812</f>
        <v/>
      </c>
      <c r="AT2370" s="19" t="n"/>
    </row>
    <row r="2371">
      <c r="D2371" s="21" t="n">
        <v>0</v>
      </c>
      <c r="E2371" s="21" t="n">
        <v>0</v>
      </c>
      <c r="F2371" s="21" t="n">
        <v>0</v>
      </c>
      <c r="G2371" s="21" t="n">
        <v>0</v>
      </c>
      <c r="H2371" s="21" t="n">
        <v>0</v>
      </c>
      <c r="I2371" s="21" t="n">
        <v>0</v>
      </c>
      <c r="J2371" s="21" t="n">
        <v>0</v>
      </c>
      <c r="K2371" s="21" t="n">
        <v>0</v>
      </c>
      <c r="L2371" s="21" t="n">
        <v>0</v>
      </c>
      <c r="M2371" s="21" t="n">
        <v>0</v>
      </c>
      <c r="N2371" s="21" t="n">
        <v>0</v>
      </c>
      <c r="O2371" s="21" t="n">
        <v>0</v>
      </c>
      <c r="P2371" s="21" t="n">
        <v>0</v>
      </c>
      <c r="Q2371" s="21" t="n">
        <v>0</v>
      </c>
      <c r="R2371" s="21" t="n">
        <v>0</v>
      </c>
      <c r="S2371" s="21" t="n">
        <v>0</v>
      </c>
      <c r="T2371" s="21" t="n">
        <v>0</v>
      </c>
      <c r="U2371" s="21" t="n">
        <v>0</v>
      </c>
      <c r="V2371" s="21" t="n">
        <v>0</v>
      </c>
      <c r="W2371" s="21" t="n">
        <v>0</v>
      </c>
      <c r="X2371" s="21" t="n">
        <v>0</v>
      </c>
      <c r="Y2371" s="21" t="n">
        <v>0</v>
      </c>
      <c r="Z2371" s="21" t="n">
        <v>0</v>
      </c>
      <c r="AA2371" s="21" t="n">
        <v>0</v>
      </c>
      <c r="AB2371" s="21" t="n">
        <v>0</v>
      </c>
      <c r="AC2371" s="21" t="n">
        <v>0</v>
      </c>
      <c r="AD2371" s="21" t="n">
        <v>0</v>
      </c>
      <c r="AE2371" s="21" t="n">
        <v>0</v>
      </c>
      <c r="AF2371" s="21" t="n">
        <v>0</v>
      </c>
      <c r="AG2371" s="21" t="n">
        <v>0</v>
      </c>
      <c r="AH2371" s="21" t="n">
        <v>0</v>
      </c>
      <c r="AI2371" s="21" t="n">
        <v>0</v>
      </c>
      <c r="AJ2371" s="21" t="n">
        <v>0</v>
      </c>
      <c r="AK2371" s="21" t="n">
        <v>0</v>
      </c>
      <c r="AL2371" s="21" t="n">
        <v>0</v>
      </c>
      <c r="AM2371" s="21" t="n">
        <v>0</v>
      </c>
      <c r="AN2371" s="21">
        <f>$B$1812</f>
        <v/>
      </c>
      <c r="AO2371" s="21">
        <f>$B$1814</f>
        <v/>
      </c>
      <c r="AP2371" s="21">
        <f>0</f>
        <v/>
      </c>
      <c r="AQ2371" s="21">
        <f>2*$B$1813</f>
        <v/>
      </c>
      <c r="AR2371" s="21">
        <f>-$B$1812</f>
        <v/>
      </c>
      <c r="AS2371" s="21">
        <f>$B$1814</f>
        <v/>
      </c>
      <c r="AT2371" s="19" t="n"/>
    </row>
    <row r="2372">
      <c r="D2372" s="21" t="n">
        <v>0</v>
      </c>
      <c r="E2372" s="21" t="n">
        <v>0</v>
      </c>
      <c r="F2372" s="21" t="n">
        <v>0</v>
      </c>
      <c r="G2372" s="21" t="n">
        <v>0</v>
      </c>
      <c r="H2372" s="21" t="n">
        <v>0</v>
      </c>
      <c r="I2372" s="21" t="n">
        <v>0</v>
      </c>
      <c r="J2372" s="21" t="n">
        <v>0</v>
      </c>
      <c r="K2372" s="21" t="n">
        <v>0</v>
      </c>
      <c r="L2372" s="21" t="n">
        <v>0</v>
      </c>
      <c r="M2372" s="21" t="n">
        <v>0</v>
      </c>
      <c r="N2372" s="21" t="n">
        <v>0</v>
      </c>
      <c r="O2372" s="21" t="n">
        <v>0</v>
      </c>
      <c r="P2372" s="21" t="n">
        <v>0</v>
      </c>
      <c r="Q2372" s="21" t="n">
        <v>0</v>
      </c>
      <c r="R2372" s="21" t="n">
        <v>0</v>
      </c>
      <c r="S2372" s="21" t="n">
        <v>0</v>
      </c>
      <c r="T2372" s="21" t="n">
        <v>0</v>
      </c>
      <c r="U2372" s="21" t="n">
        <v>0</v>
      </c>
      <c r="V2372" s="21" t="n">
        <v>0</v>
      </c>
      <c r="W2372" s="21" t="n">
        <v>0</v>
      </c>
      <c r="X2372" s="21" t="n">
        <v>0</v>
      </c>
      <c r="Y2372" s="21" t="n">
        <v>0</v>
      </c>
      <c r="Z2372" s="21" t="n">
        <v>0</v>
      </c>
      <c r="AA2372" s="21" t="n">
        <v>0</v>
      </c>
      <c r="AB2372" s="21" t="n">
        <v>0</v>
      </c>
      <c r="AC2372" s="21" t="n">
        <v>0</v>
      </c>
      <c r="AD2372" s="21" t="n">
        <v>0</v>
      </c>
      <c r="AE2372" s="21" t="n">
        <v>0</v>
      </c>
      <c r="AF2372" s="21" t="n">
        <v>0</v>
      </c>
      <c r="AG2372" s="21" t="n">
        <v>0</v>
      </c>
      <c r="AH2372" s="21" t="n">
        <v>0</v>
      </c>
      <c r="AI2372" s="21" t="n">
        <v>0</v>
      </c>
      <c r="AJ2372" s="21" t="n">
        <v>0</v>
      </c>
      <c r="AK2372" s="21" t="n">
        <v>0</v>
      </c>
      <c r="AL2372" s="21" t="n">
        <v>0</v>
      </c>
      <c r="AM2372" s="21" t="n">
        <v>0</v>
      </c>
      <c r="AN2372" s="21" t="n">
        <v>0</v>
      </c>
      <c r="AO2372" s="21" t="n">
        <v>0</v>
      </c>
      <c r="AP2372" s="21">
        <f>-$B$1811</f>
        <v/>
      </c>
      <c r="AQ2372" s="21">
        <f>-$B$1812</f>
        <v/>
      </c>
      <c r="AR2372" s="21">
        <f>$B$1811+$D$2330</f>
        <v/>
      </c>
      <c r="AS2372" s="21">
        <f>-$B$1812</f>
        <v/>
      </c>
      <c r="AT2372" s="19" t="n"/>
    </row>
    <row r="2373">
      <c r="D2373" s="21" t="n">
        <v>0</v>
      </c>
      <c r="E2373" s="21" t="n">
        <v>0</v>
      </c>
      <c r="F2373" s="21" t="n">
        <v>0</v>
      </c>
      <c r="G2373" s="21" t="n">
        <v>0</v>
      </c>
      <c r="H2373" s="21" t="n">
        <v>0</v>
      </c>
      <c r="I2373" s="21" t="n">
        <v>0</v>
      </c>
      <c r="J2373" s="21" t="n">
        <v>0</v>
      </c>
      <c r="K2373" s="21" t="n">
        <v>0</v>
      </c>
      <c r="L2373" s="21" t="n">
        <v>0</v>
      </c>
      <c r="M2373" s="21" t="n">
        <v>0</v>
      </c>
      <c r="N2373" s="21" t="n">
        <v>0</v>
      </c>
      <c r="O2373" s="21" t="n">
        <v>0</v>
      </c>
      <c r="P2373" s="21" t="n">
        <v>0</v>
      </c>
      <c r="Q2373" s="21" t="n">
        <v>0</v>
      </c>
      <c r="R2373" s="21" t="n">
        <v>0</v>
      </c>
      <c r="S2373" s="21" t="n">
        <v>0</v>
      </c>
      <c r="T2373" s="21" t="n">
        <v>0</v>
      </c>
      <c r="U2373" s="21" t="n">
        <v>0</v>
      </c>
      <c r="V2373" s="21" t="n">
        <v>0</v>
      </c>
      <c r="W2373" s="21" t="n">
        <v>0</v>
      </c>
      <c r="X2373" s="21" t="n">
        <v>0</v>
      </c>
      <c r="Y2373" s="21" t="n">
        <v>0</v>
      </c>
      <c r="Z2373" s="21" t="n">
        <v>0</v>
      </c>
      <c r="AA2373" s="21" t="n">
        <v>0</v>
      </c>
      <c r="AB2373" s="21" t="n">
        <v>0</v>
      </c>
      <c r="AC2373" s="21" t="n">
        <v>0</v>
      </c>
      <c r="AD2373" s="21" t="n">
        <v>0</v>
      </c>
      <c r="AE2373" s="21" t="n">
        <v>0</v>
      </c>
      <c r="AF2373" s="21" t="n">
        <v>0</v>
      </c>
      <c r="AG2373" s="21" t="n">
        <v>0</v>
      </c>
      <c r="AH2373" s="21" t="n">
        <v>0</v>
      </c>
      <c r="AI2373" s="21" t="n">
        <v>0</v>
      </c>
      <c r="AJ2373" s="21" t="n">
        <v>0</v>
      </c>
      <c r="AK2373" s="21" t="n">
        <v>0</v>
      </c>
      <c r="AL2373" s="21" t="n">
        <v>0</v>
      </c>
      <c r="AM2373" s="21" t="n">
        <v>0</v>
      </c>
      <c r="AN2373" s="21" t="n">
        <v>0</v>
      </c>
      <c r="AO2373" s="21" t="n">
        <v>0</v>
      </c>
      <c r="AP2373" s="21">
        <f>$B$1812</f>
        <v/>
      </c>
      <c r="AQ2373" s="21">
        <f>$B$1814</f>
        <v/>
      </c>
      <c r="AR2373" s="21">
        <f>-$B$1812</f>
        <v/>
      </c>
      <c r="AS2373" s="21">
        <f>$B$1813</f>
        <v/>
      </c>
      <c r="AT2373" s="19" t="n"/>
    </row>
    <row r="2375">
      <c r="A2375" s="8" t="inlineStr">
        <is>
          <t>gen 8</t>
        </is>
      </c>
    </row>
    <row r="2376">
      <c r="D2376" s="19">
        <f>IF(ABS(IF(ABS($E$2310)&gt;0.000000001,$E$2310,0.000000001))=0,0,IF($E$1826&lt;=$B$1820,0,IF(ABS(IF(ABS($E$2310)&gt;0.000000001,$E$2310,0.000000001))&gt;=8*$B$1822,$H$1826,0.5*$H$1826*(ABS(IF(ABS($E$2310)&gt;0.000000001,$E$2310,0.000000001))/$B$1822)^(1/3)))/ABS(IF(ABS($E$2310)&gt;0.000000001,$E$2310,0.000000001))*$I$1826)</f>
        <v/>
      </c>
      <c r="E2376" s="19">
        <f>0.5*$E$2310+0.5*$AT$2398</f>
        <v/>
      </c>
      <c r="F2376" s="19">
        <f>$AT$2399</f>
        <v/>
      </c>
    </row>
    <row r="2377">
      <c r="D2377" s="19">
        <f>IF(ABS(IF(ABS($E$2311)&gt;0.000000001,$E$2311,0.000000001))=0,0,IF($E$1827&lt;=$B$1820,0,IF(ABS(IF(ABS($E$2311)&gt;0.000000001,$E$2311,0.000000001))&gt;=8*$B$1822,$H$1827,0.5*$H$1827*(ABS(IF(ABS($E$2311)&gt;0.000000001,$E$2311,0.000000001))/$B$1822)^(1/3)))/ABS(IF(ABS($E$2311)&gt;0.000000001,$E$2311,0.000000001))*$I$1827)</f>
        <v/>
      </c>
      <c r="E2377" s="19">
        <f>0.5*$E$2311+0.5*$AT$2400</f>
        <v/>
      </c>
      <c r="F2377" s="19">
        <f>$AT$2401</f>
        <v/>
      </c>
    </row>
    <row r="2378">
      <c r="D2378" s="19">
        <f>IF(ABS(IF(ABS($E$2312)&gt;0.000000001,$E$2312,0.000000001))=0,0,IF($E$1828&lt;=$B$1820,0,IF(ABS(IF(ABS($E$2312)&gt;0.000000001,$E$2312,0.000000001))&gt;=8*$B$1822,$H$1828,0.5*$H$1828*(ABS(IF(ABS($E$2312)&gt;0.000000001,$E$2312,0.000000001))/$B$1822)^(1/3)))/ABS(IF(ABS($E$2312)&gt;0.000000001,$E$2312,0.000000001))*$I$1828)</f>
        <v/>
      </c>
      <c r="E2378" s="19">
        <f>0.5*$E$2312+0.5*$AT$2402</f>
        <v/>
      </c>
      <c r="F2378" s="19">
        <f>$AT$2403</f>
        <v/>
      </c>
    </row>
    <row r="2379">
      <c r="D2379" s="19">
        <f>IF(ABS(IF(ABS($E$2313)&gt;0.000000001,$E$2313,0.000000001))=0,0,IF($E$1829&lt;=$B$1820,0,IF(ABS(IF(ABS($E$2313)&gt;0.000000001,$E$2313,0.000000001))&gt;=8*$B$1822,$H$1829,0.5*$H$1829*(ABS(IF(ABS($E$2313)&gt;0.000000001,$E$2313,0.000000001))/$B$1822)^(1/3)))/ABS(IF(ABS($E$2313)&gt;0.000000001,$E$2313,0.000000001))*$I$1829)</f>
        <v/>
      </c>
      <c r="E2379" s="19">
        <f>0.5*$E$2313+0.5*$AT$2404</f>
        <v/>
      </c>
      <c r="F2379" s="19">
        <f>$AT$2405</f>
        <v/>
      </c>
    </row>
    <row r="2380">
      <c r="D2380" s="19">
        <f>IF(ABS(IF(ABS($E$2314)&gt;0.000000001,$E$2314,0.000000001))=0,0,IF($E$1830&lt;=$B$1820,0,IF(ABS(IF(ABS($E$2314)&gt;0.000000001,$E$2314,0.000000001))&gt;=8*$B$1822,$H$1830,0.5*$H$1830*(ABS(IF(ABS($E$2314)&gt;0.000000001,$E$2314,0.000000001))/$B$1822)^(1/3)))/ABS(IF(ABS($E$2314)&gt;0.000000001,$E$2314,0.000000001))*$I$1830)</f>
        <v/>
      </c>
      <c r="E2380" s="19">
        <f>0.5*$E$2314+0.5*$AT$2406</f>
        <v/>
      </c>
      <c r="F2380" s="19">
        <f>$AT$2407</f>
        <v/>
      </c>
    </row>
    <row r="2381">
      <c r="D2381" s="19">
        <f>IF(ABS(IF(ABS($E$2315)&gt;0.000000001,$E$2315,0.000000001))=0,0,IF($E$1831&lt;=$B$1820,0,IF(ABS(IF(ABS($E$2315)&gt;0.000000001,$E$2315,0.000000001))&gt;=8*$B$1822,$H$1831,0.5*$H$1831*(ABS(IF(ABS($E$2315)&gt;0.000000001,$E$2315,0.000000001))/$B$1822)^(1/3)))/ABS(IF(ABS($E$2315)&gt;0.000000001,$E$2315,0.000000001))*$I$1831)</f>
        <v/>
      </c>
      <c r="E2381" s="19">
        <f>0.5*$E$2315+0.5*$AT$2408</f>
        <v/>
      </c>
      <c r="F2381" s="19">
        <f>$AT$2409</f>
        <v/>
      </c>
    </row>
    <row r="2382">
      <c r="D2382" s="19">
        <f>IF(ABS(IF(ABS($E$2316)&gt;0.000000001,$E$2316,0.000000001))=0,0,IF($E$1832&lt;=$B$1820,0,IF(ABS(IF(ABS($E$2316)&gt;0.000000001,$E$2316,0.000000001))&gt;=8*$B$1822,$H$1832,0.5*$H$1832*(ABS(IF(ABS($E$2316)&gt;0.000000001,$E$2316,0.000000001))/$B$1822)^(1/3)))/ABS(IF(ABS($E$2316)&gt;0.000000001,$E$2316,0.000000001))*$I$1832)</f>
        <v/>
      </c>
      <c r="E2382" s="19">
        <f>0.5*$E$2316+0.5*$AT$2410</f>
        <v/>
      </c>
      <c r="F2382" s="19">
        <f>$AT$2411</f>
        <v/>
      </c>
    </row>
    <row r="2383">
      <c r="D2383" s="19">
        <f>IF(ABS(IF(ABS($E$2317)&gt;0.000000001,$E$2317,0.000000001))=0,0,IF($E$1833&lt;=$B$1820,0,IF(ABS(IF(ABS($E$2317)&gt;0.000000001,$E$2317,0.000000001))&gt;=8*$B$1822,$H$1833,0.5*$H$1833*(ABS(IF(ABS($E$2317)&gt;0.000000001,$E$2317,0.000000001))/$B$1822)^(1/3)))/ABS(IF(ABS($E$2317)&gt;0.000000001,$E$2317,0.000000001))*$I$1833)</f>
        <v/>
      </c>
      <c r="E2383" s="19">
        <f>0.5*$E$2317+0.5*$AT$2412</f>
        <v/>
      </c>
      <c r="F2383" s="19">
        <f>$AT$2413</f>
        <v/>
      </c>
    </row>
    <row r="2384">
      <c r="D2384" s="19">
        <f>IF(ABS(IF(ABS($E$2318)&gt;0.000000001,$E$2318,0.000000001))=0,0,IF($E$1834&lt;=$B$1820,0,IF(ABS(IF(ABS($E$2318)&gt;0.000000001,$E$2318,0.000000001))&gt;=8*$B$1822,$H$1834,0.5*$H$1834*(ABS(IF(ABS($E$2318)&gt;0.000000001,$E$2318,0.000000001))/$B$1822)^(1/3)))/ABS(IF(ABS($E$2318)&gt;0.000000001,$E$2318,0.000000001))*$I$1834)</f>
        <v/>
      </c>
      <c r="E2384" s="19">
        <f>0.5*$E$2318+0.5*$AT$2414</f>
        <v/>
      </c>
      <c r="F2384" s="19">
        <f>$AT$2415</f>
        <v/>
      </c>
    </row>
    <row r="2385">
      <c r="D2385" s="19">
        <f>IF(ABS(IF(ABS($E$2319)&gt;0.000000001,$E$2319,0.000000001))=0,0,IF($E$1835&lt;=$B$1820,0,IF(ABS(IF(ABS($E$2319)&gt;0.000000001,$E$2319,0.000000001))&gt;=8*$B$1822,$H$1835,0.5*$H$1835*(ABS(IF(ABS($E$2319)&gt;0.000000001,$E$2319,0.000000001))/$B$1822)^(1/3)))/ABS(IF(ABS($E$2319)&gt;0.000000001,$E$2319,0.000000001))*$I$1835)</f>
        <v/>
      </c>
      <c r="E2385" s="19">
        <f>0.5*$E$2319+0.5*$AT$2416</f>
        <v/>
      </c>
      <c r="F2385" s="19">
        <f>$AT$2417</f>
        <v/>
      </c>
    </row>
    <row r="2386">
      <c r="D2386" s="19">
        <f>IF(ABS(IF(ABS($E$2320)&gt;0.000000001,$E$2320,0.000000001))=0,0,IF($E$1836&lt;=$B$1820,0,IF(ABS(IF(ABS($E$2320)&gt;0.000000001,$E$2320,0.000000001))&gt;=8*$B$1822,$H$1836,0.5*$H$1836*(ABS(IF(ABS($E$2320)&gt;0.000000001,$E$2320,0.000000001))/$B$1822)^(1/3)))/ABS(IF(ABS($E$2320)&gt;0.000000001,$E$2320,0.000000001))*$I$1836)</f>
        <v/>
      </c>
      <c r="E2386" s="19">
        <f>0.5*$E$2320+0.5*$AT$2418</f>
        <v/>
      </c>
      <c r="F2386" s="19">
        <f>$AT$2419</f>
        <v/>
      </c>
    </row>
    <row r="2387">
      <c r="D2387" s="19">
        <f>IF(ABS(IF(ABS($E$2321)&gt;0.000000001,$E$2321,0.000000001))=0,0,IF($E$1837&lt;=$B$1820,0,IF(ABS(IF(ABS($E$2321)&gt;0.000000001,$E$2321,0.000000001))&gt;=8*$B$1822,$H$1837,0.5*$H$1837*(ABS(IF(ABS($E$2321)&gt;0.000000001,$E$2321,0.000000001))/$B$1822)^(1/3)))/ABS(IF(ABS($E$2321)&gt;0.000000001,$E$2321,0.000000001))*$I$1837)</f>
        <v/>
      </c>
      <c r="E2387" s="19">
        <f>0.5*$E$2321+0.5*$AT$2420</f>
        <v/>
      </c>
      <c r="F2387" s="19">
        <f>$AT$2421</f>
        <v/>
      </c>
    </row>
    <row r="2388">
      <c r="D2388" s="19">
        <f>IF(ABS(IF(ABS($E$2322)&gt;0.000000001,$E$2322,0.000000001))=0,0,IF($E$1838&lt;=$B$1820,0,IF(ABS(IF(ABS($E$2322)&gt;0.000000001,$E$2322,0.000000001))&gt;=8*$B$1822,$H$1838,0.5*$H$1838*(ABS(IF(ABS($E$2322)&gt;0.000000001,$E$2322,0.000000001))/$B$1822)^(1/3)))/ABS(IF(ABS($E$2322)&gt;0.000000001,$E$2322,0.000000001))*$I$1838)</f>
        <v/>
      </c>
      <c r="E2388" s="19">
        <f>0.5*$E$2322+0.5*$AT$2422</f>
        <v/>
      </c>
      <c r="F2388" s="19">
        <f>$AT$2423</f>
        <v/>
      </c>
    </row>
    <row r="2389">
      <c r="D2389" s="19">
        <f>IF(ABS(IF(ABS($E$2323)&gt;0.000000001,$E$2323,0.000000001))=0,0,IF($E$1839&lt;=$B$1820,0,IF(ABS(IF(ABS($E$2323)&gt;0.000000001,$E$2323,0.000000001))&gt;=8*$B$1822,$H$1839,0.5*$H$1839*(ABS(IF(ABS($E$2323)&gt;0.000000001,$E$2323,0.000000001))/$B$1822)^(1/3)))/ABS(IF(ABS($E$2323)&gt;0.000000001,$E$2323,0.000000001))*$I$1839)</f>
        <v/>
      </c>
      <c r="E2389" s="19">
        <f>0.5*$E$2323+0.5*$AT$2424</f>
        <v/>
      </c>
      <c r="F2389" s="19">
        <f>$AT$2425</f>
        <v/>
      </c>
    </row>
    <row r="2390">
      <c r="D2390" s="19">
        <f>IF(ABS(IF(ABS($E$2324)&gt;0.000000001,$E$2324,0.000000001))=0,0,IF($E$1840&lt;=$B$1820,0,IF(ABS(IF(ABS($E$2324)&gt;0.000000001,$E$2324,0.000000001))&gt;=8*$B$1822,$H$1840,0.5*$H$1840*(ABS(IF(ABS($E$2324)&gt;0.000000001,$E$2324,0.000000001))/$B$1822)^(1/3)))/ABS(IF(ABS($E$2324)&gt;0.000000001,$E$2324,0.000000001))*$I$1840)</f>
        <v/>
      </c>
      <c r="E2390" s="19">
        <f>0.5*$E$2324+0.5*$AT$2426</f>
        <v/>
      </c>
      <c r="F2390" s="19">
        <f>$AT$2427</f>
        <v/>
      </c>
    </row>
    <row r="2391">
      <c r="D2391" s="19">
        <f>IF(ABS(IF(ABS($E$2325)&gt;0.000000001,$E$2325,0.000000001))=0,0,IF($E$1841&lt;=$B$1820,0,IF(ABS(IF(ABS($E$2325)&gt;0.000000001,$E$2325,0.000000001))&gt;=8*$B$1822,$H$1841,0.5*$H$1841*(ABS(IF(ABS($E$2325)&gt;0.000000001,$E$2325,0.000000001))/$B$1822)^(1/3)))/ABS(IF(ABS($E$2325)&gt;0.000000001,$E$2325,0.000000001))*$I$1841)</f>
        <v/>
      </c>
      <c r="E2391" s="19">
        <f>0.5*$E$2325+0.5*$AT$2428</f>
        <v/>
      </c>
      <c r="F2391" s="19">
        <f>$AT$2429</f>
        <v/>
      </c>
    </row>
    <row r="2392">
      <c r="D2392" s="19">
        <f>IF(ABS(IF(ABS($E$2326)&gt;0.000000001,$E$2326,0.000000001))=0,0,IF($E$1842&lt;=$B$1820,0,IF(ABS(IF(ABS($E$2326)&gt;0.000000001,$E$2326,0.000000001))&gt;=8*$B$1822,$H$1842,0.5*$H$1842*(ABS(IF(ABS($E$2326)&gt;0.000000001,$E$2326,0.000000001))/$B$1822)^(1/3)))/ABS(IF(ABS($E$2326)&gt;0.000000001,$E$2326,0.000000001))*$I$1842)</f>
        <v/>
      </c>
      <c r="E2392" s="19">
        <f>0.5*$E$2326+0.5*$AT$2430</f>
        <v/>
      </c>
      <c r="F2392" s="19">
        <f>$AT$2431</f>
        <v/>
      </c>
    </row>
    <row r="2393">
      <c r="D2393" s="19">
        <f>IF(ABS(IF(ABS($E$2327)&gt;0.000000001,$E$2327,0.000000001))=0,0,IF($E$1843&lt;=$B$1820,0,IF(ABS(IF(ABS($E$2327)&gt;0.000000001,$E$2327,0.000000001))&gt;=8*$B$1822,$H$1843,0.5*$H$1843*(ABS(IF(ABS($E$2327)&gt;0.000000001,$E$2327,0.000000001))/$B$1822)^(1/3)))/ABS(IF(ABS($E$2327)&gt;0.000000001,$E$2327,0.000000001))*$I$1843)</f>
        <v/>
      </c>
      <c r="E2393" s="19">
        <f>0.5*$E$2327+0.5*$AT$2432</f>
        <v/>
      </c>
      <c r="F2393" s="19">
        <f>$AT$2433</f>
        <v/>
      </c>
    </row>
    <row r="2394">
      <c r="D2394" s="19">
        <f>IF(ABS(IF(ABS($E$2328)&gt;0.000000001,$E$2328,0.000000001))=0,0,IF($E$1844&lt;=$B$1820,0,IF(ABS(IF(ABS($E$2328)&gt;0.000000001,$E$2328,0.000000001))&gt;=8*$B$1822,$H$1844,0.5*$H$1844*(ABS(IF(ABS($E$2328)&gt;0.000000001,$E$2328,0.000000001))/$B$1822)^(1/3)))/ABS(IF(ABS($E$2328)&gt;0.000000001,$E$2328,0.000000001))*$I$1844)</f>
        <v/>
      </c>
      <c r="E2394" s="19">
        <f>0.5*$E$2328+0.5*$AT$2434</f>
        <v/>
      </c>
      <c r="F2394" s="19">
        <f>$AT$2435</f>
        <v/>
      </c>
    </row>
    <row r="2395">
      <c r="D2395" s="19">
        <f>IF(ABS(IF(ABS($E$2329)&gt;0.000000001,$E$2329,0.000000001))=0,0,IF($E$1845&lt;=$B$1820,0,IF(ABS(IF(ABS($E$2329)&gt;0.000000001,$E$2329,0.000000001))&gt;=8*$B$1822,$H$1845,0.5*$H$1845*(ABS(IF(ABS($E$2329)&gt;0.000000001,$E$2329,0.000000001))/$B$1822)^(1/3)))/ABS(IF(ABS($E$2329)&gt;0.000000001,$E$2329,0.000000001))*$I$1845)</f>
        <v/>
      </c>
      <c r="E2395" s="19">
        <f>0.5*$E$2329+0.5*$AT$2436</f>
        <v/>
      </c>
      <c r="F2395" s="19">
        <f>$AT$2437</f>
        <v/>
      </c>
    </row>
    <row r="2396">
      <c r="D2396" s="19">
        <f>IF(ABS(IF(ABS($E$2330)&gt;0.000000001,$E$2330,0.000000001))=0,0,IF($E$1846&lt;=$B$1820,0,IF(ABS(IF(ABS($E$2330)&gt;0.000000001,$E$2330,0.000000001))&gt;=8*$B$1822,$H$1846,0.5*$H$1846*(ABS(IF(ABS($E$2330)&gt;0.000000001,$E$2330,0.000000001))/$B$1822)^(1/3)))/ABS(IF(ABS($E$2330)&gt;0.000000001,$E$2330,0.000000001))*$I$1846)</f>
        <v/>
      </c>
      <c r="E2396" s="19">
        <f>0.5*$E$2330+0.5*$AT$2438</f>
        <v/>
      </c>
      <c r="F2396" s="19">
        <f>$AT$2439</f>
        <v/>
      </c>
    </row>
    <row r="2398">
      <c r="D2398" s="21">
        <f>$B$1811+$D$2376</f>
        <v/>
      </c>
      <c r="E2398" s="21">
        <f>$B$1812</f>
        <v/>
      </c>
      <c r="F2398" s="21">
        <f>-$B$1811</f>
        <v/>
      </c>
      <c r="G2398" s="21">
        <f>$B$1812</f>
        <v/>
      </c>
      <c r="H2398" s="21" t="n">
        <v>0</v>
      </c>
      <c r="I2398" s="21" t="n">
        <v>0</v>
      </c>
      <c r="J2398" s="21" t="n">
        <v>0</v>
      </c>
      <c r="K2398" s="21" t="n">
        <v>0</v>
      </c>
      <c r="L2398" s="21" t="n">
        <v>0</v>
      </c>
      <c r="M2398" s="21" t="n">
        <v>0</v>
      </c>
      <c r="N2398" s="21" t="n">
        <v>0</v>
      </c>
      <c r="O2398" s="21" t="n">
        <v>0</v>
      </c>
      <c r="P2398" s="21" t="n">
        <v>0</v>
      </c>
      <c r="Q2398" s="21" t="n">
        <v>0</v>
      </c>
      <c r="R2398" s="21" t="n">
        <v>0</v>
      </c>
      <c r="S2398" s="21" t="n">
        <v>0</v>
      </c>
      <c r="T2398" s="21" t="n">
        <v>0</v>
      </c>
      <c r="U2398" s="21" t="n">
        <v>0</v>
      </c>
      <c r="V2398" s="21" t="n">
        <v>0</v>
      </c>
      <c r="W2398" s="21" t="n">
        <v>0</v>
      </c>
      <c r="X2398" s="21" t="n">
        <v>0</v>
      </c>
      <c r="Y2398" s="21" t="n">
        <v>0</v>
      </c>
      <c r="Z2398" s="21" t="n">
        <v>0</v>
      </c>
      <c r="AA2398" s="21" t="n">
        <v>0</v>
      </c>
      <c r="AB2398" s="21" t="n">
        <v>0</v>
      </c>
      <c r="AC2398" s="21" t="n">
        <v>0</v>
      </c>
      <c r="AD2398" s="21" t="n">
        <v>0</v>
      </c>
      <c r="AE2398" s="21" t="n">
        <v>0</v>
      </c>
      <c r="AF2398" s="21" t="n">
        <v>0</v>
      </c>
      <c r="AG2398" s="21" t="n">
        <v>0</v>
      </c>
      <c r="AH2398" s="21" t="n">
        <v>0</v>
      </c>
      <c r="AI2398" s="21" t="n">
        <v>0</v>
      </c>
      <c r="AJ2398" s="21" t="n">
        <v>0</v>
      </c>
      <c r="AK2398" s="21" t="n">
        <v>0</v>
      </c>
      <c r="AL2398" s="21" t="n">
        <v>0</v>
      </c>
      <c r="AM2398" s="21" t="n">
        <v>0</v>
      </c>
      <c r="AN2398" s="21" t="n">
        <v>0</v>
      </c>
      <c r="AO2398" s="21" t="n">
        <v>0</v>
      </c>
      <c r="AP2398" s="21" t="n">
        <v>0</v>
      </c>
      <c r="AQ2398" s="21" t="n">
        <v>0</v>
      </c>
      <c r="AR2398" s="21" t="n">
        <v>0</v>
      </c>
      <c r="AS2398" s="21" t="n">
        <v>0</v>
      </c>
      <c r="AT2398" s="19">
        <f t="array" ref="AT2398:AT2439">MMULT(MINVERSE($D$2398:$AS$2439),$D$1848:$D$1889)</f>
        <v/>
      </c>
    </row>
    <row r="2399">
      <c r="D2399" s="21">
        <f>$B$1812</f>
        <v/>
      </c>
      <c r="E2399" s="21">
        <f>$B$1813</f>
        <v/>
      </c>
      <c r="F2399" s="21">
        <f>-$B$1812</f>
        <v/>
      </c>
      <c r="G2399" s="21">
        <f>$B$1814</f>
        <v/>
      </c>
      <c r="H2399" s="21" t="n">
        <v>0</v>
      </c>
      <c r="I2399" s="21" t="n">
        <v>0</v>
      </c>
      <c r="J2399" s="21" t="n">
        <v>0</v>
      </c>
      <c r="K2399" s="21" t="n">
        <v>0</v>
      </c>
      <c r="L2399" s="21" t="n">
        <v>0</v>
      </c>
      <c r="M2399" s="21" t="n">
        <v>0</v>
      </c>
      <c r="N2399" s="21" t="n">
        <v>0</v>
      </c>
      <c r="O2399" s="21" t="n">
        <v>0</v>
      </c>
      <c r="P2399" s="21" t="n">
        <v>0</v>
      </c>
      <c r="Q2399" s="21" t="n">
        <v>0</v>
      </c>
      <c r="R2399" s="21" t="n">
        <v>0</v>
      </c>
      <c r="S2399" s="21" t="n">
        <v>0</v>
      </c>
      <c r="T2399" s="21" t="n">
        <v>0</v>
      </c>
      <c r="U2399" s="21" t="n">
        <v>0</v>
      </c>
      <c r="V2399" s="21" t="n">
        <v>0</v>
      </c>
      <c r="W2399" s="21" t="n">
        <v>0</v>
      </c>
      <c r="X2399" s="21" t="n">
        <v>0</v>
      </c>
      <c r="Y2399" s="21" t="n">
        <v>0</v>
      </c>
      <c r="Z2399" s="21" t="n">
        <v>0</v>
      </c>
      <c r="AA2399" s="21" t="n">
        <v>0</v>
      </c>
      <c r="AB2399" s="21" t="n">
        <v>0</v>
      </c>
      <c r="AC2399" s="21" t="n">
        <v>0</v>
      </c>
      <c r="AD2399" s="21" t="n">
        <v>0</v>
      </c>
      <c r="AE2399" s="21" t="n">
        <v>0</v>
      </c>
      <c r="AF2399" s="21" t="n">
        <v>0</v>
      </c>
      <c r="AG2399" s="21" t="n">
        <v>0</v>
      </c>
      <c r="AH2399" s="21" t="n">
        <v>0</v>
      </c>
      <c r="AI2399" s="21" t="n">
        <v>0</v>
      </c>
      <c r="AJ2399" s="21" t="n">
        <v>0</v>
      </c>
      <c r="AK2399" s="21" t="n">
        <v>0</v>
      </c>
      <c r="AL2399" s="21" t="n">
        <v>0</v>
      </c>
      <c r="AM2399" s="21" t="n">
        <v>0</v>
      </c>
      <c r="AN2399" s="21" t="n">
        <v>0</v>
      </c>
      <c r="AO2399" s="21" t="n">
        <v>0</v>
      </c>
      <c r="AP2399" s="21" t="n">
        <v>0</v>
      </c>
      <c r="AQ2399" s="21" t="n">
        <v>0</v>
      </c>
      <c r="AR2399" s="21" t="n">
        <v>0</v>
      </c>
      <c r="AS2399" s="21" t="n">
        <v>0</v>
      </c>
      <c r="AT2399" s="19" t="n"/>
    </row>
    <row r="2400">
      <c r="D2400" s="21">
        <f>-$B$1811</f>
        <v/>
      </c>
      <c r="E2400" s="21">
        <f>-$B$1812</f>
        <v/>
      </c>
      <c r="F2400" s="21">
        <f>2*$B$1811+$D$2377</f>
        <v/>
      </c>
      <c r="G2400" s="21">
        <f>0</f>
        <v/>
      </c>
      <c r="H2400" s="21">
        <f>-$B$1811</f>
        <v/>
      </c>
      <c r="I2400" s="21">
        <f>$B$1812</f>
        <v/>
      </c>
      <c r="J2400" s="21" t="n">
        <v>0</v>
      </c>
      <c r="K2400" s="21" t="n">
        <v>0</v>
      </c>
      <c r="L2400" s="21" t="n">
        <v>0</v>
      </c>
      <c r="M2400" s="21" t="n">
        <v>0</v>
      </c>
      <c r="N2400" s="21" t="n">
        <v>0</v>
      </c>
      <c r="O2400" s="21" t="n">
        <v>0</v>
      </c>
      <c r="P2400" s="21" t="n">
        <v>0</v>
      </c>
      <c r="Q2400" s="21" t="n">
        <v>0</v>
      </c>
      <c r="R2400" s="21" t="n">
        <v>0</v>
      </c>
      <c r="S2400" s="21" t="n">
        <v>0</v>
      </c>
      <c r="T2400" s="21" t="n">
        <v>0</v>
      </c>
      <c r="U2400" s="21" t="n">
        <v>0</v>
      </c>
      <c r="V2400" s="21" t="n">
        <v>0</v>
      </c>
      <c r="W2400" s="21" t="n">
        <v>0</v>
      </c>
      <c r="X2400" s="21" t="n">
        <v>0</v>
      </c>
      <c r="Y2400" s="21" t="n">
        <v>0</v>
      </c>
      <c r="Z2400" s="21" t="n">
        <v>0</v>
      </c>
      <c r="AA2400" s="21" t="n">
        <v>0</v>
      </c>
      <c r="AB2400" s="21" t="n">
        <v>0</v>
      </c>
      <c r="AC2400" s="21" t="n">
        <v>0</v>
      </c>
      <c r="AD2400" s="21" t="n">
        <v>0</v>
      </c>
      <c r="AE2400" s="21" t="n">
        <v>0</v>
      </c>
      <c r="AF2400" s="21" t="n">
        <v>0</v>
      </c>
      <c r="AG2400" s="21" t="n">
        <v>0</v>
      </c>
      <c r="AH2400" s="21" t="n">
        <v>0</v>
      </c>
      <c r="AI2400" s="21" t="n">
        <v>0</v>
      </c>
      <c r="AJ2400" s="21" t="n">
        <v>0</v>
      </c>
      <c r="AK2400" s="21" t="n">
        <v>0</v>
      </c>
      <c r="AL2400" s="21" t="n">
        <v>0</v>
      </c>
      <c r="AM2400" s="21" t="n">
        <v>0</v>
      </c>
      <c r="AN2400" s="21" t="n">
        <v>0</v>
      </c>
      <c r="AO2400" s="21" t="n">
        <v>0</v>
      </c>
      <c r="AP2400" s="21" t="n">
        <v>0</v>
      </c>
      <c r="AQ2400" s="21" t="n">
        <v>0</v>
      </c>
      <c r="AR2400" s="21" t="n">
        <v>0</v>
      </c>
      <c r="AS2400" s="21" t="n">
        <v>0</v>
      </c>
      <c r="AT2400" s="19" t="n"/>
    </row>
    <row r="2401">
      <c r="D2401" s="21">
        <f>$B$1812</f>
        <v/>
      </c>
      <c r="E2401" s="21">
        <f>$B$1814</f>
        <v/>
      </c>
      <c r="F2401" s="21">
        <f>0</f>
        <v/>
      </c>
      <c r="G2401" s="21">
        <f>2*$B$1813</f>
        <v/>
      </c>
      <c r="H2401" s="21">
        <f>-$B$1812</f>
        <v/>
      </c>
      <c r="I2401" s="21">
        <f>$B$1814</f>
        <v/>
      </c>
      <c r="J2401" s="21" t="n">
        <v>0</v>
      </c>
      <c r="K2401" s="21" t="n">
        <v>0</v>
      </c>
      <c r="L2401" s="21" t="n">
        <v>0</v>
      </c>
      <c r="M2401" s="21" t="n">
        <v>0</v>
      </c>
      <c r="N2401" s="21" t="n">
        <v>0</v>
      </c>
      <c r="O2401" s="21" t="n">
        <v>0</v>
      </c>
      <c r="P2401" s="21" t="n">
        <v>0</v>
      </c>
      <c r="Q2401" s="21" t="n">
        <v>0</v>
      </c>
      <c r="R2401" s="21" t="n">
        <v>0</v>
      </c>
      <c r="S2401" s="21" t="n">
        <v>0</v>
      </c>
      <c r="T2401" s="21" t="n">
        <v>0</v>
      </c>
      <c r="U2401" s="21" t="n">
        <v>0</v>
      </c>
      <c r="V2401" s="21" t="n">
        <v>0</v>
      </c>
      <c r="W2401" s="21" t="n">
        <v>0</v>
      </c>
      <c r="X2401" s="21" t="n">
        <v>0</v>
      </c>
      <c r="Y2401" s="21" t="n">
        <v>0</v>
      </c>
      <c r="Z2401" s="21" t="n">
        <v>0</v>
      </c>
      <c r="AA2401" s="21" t="n">
        <v>0</v>
      </c>
      <c r="AB2401" s="21" t="n">
        <v>0</v>
      </c>
      <c r="AC2401" s="21" t="n">
        <v>0</v>
      </c>
      <c r="AD2401" s="21" t="n">
        <v>0</v>
      </c>
      <c r="AE2401" s="21" t="n">
        <v>0</v>
      </c>
      <c r="AF2401" s="21" t="n">
        <v>0</v>
      </c>
      <c r="AG2401" s="21" t="n">
        <v>0</v>
      </c>
      <c r="AH2401" s="21" t="n">
        <v>0</v>
      </c>
      <c r="AI2401" s="21" t="n">
        <v>0</v>
      </c>
      <c r="AJ2401" s="21" t="n">
        <v>0</v>
      </c>
      <c r="AK2401" s="21" t="n">
        <v>0</v>
      </c>
      <c r="AL2401" s="21" t="n">
        <v>0</v>
      </c>
      <c r="AM2401" s="21" t="n">
        <v>0</v>
      </c>
      <c r="AN2401" s="21" t="n">
        <v>0</v>
      </c>
      <c r="AO2401" s="21" t="n">
        <v>0</v>
      </c>
      <c r="AP2401" s="21" t="n">
        <v>0</v>
      </c>
      <c r="AQ2401" s="21" t="n">
        <v>0</v>
      </c>
      <c r="AR2401" s="21" t="n">
        <v>0</v>
      </c>
      <c r="AS2401" s="21" t="n">
        <v>0</v>
      </c>
      <c r="AT2401" s="19" t="n"/>
    </row>
    <row r="2402">
      <c r="D2402" s="21" t="n">
        <v>0</v>
      </c>
      <c r="E2402" s="21" t="n">
        <v>0</v>
      </c>
      <c r="F2402" s="21">
        <f>-$B$1811</f>
        <v/>
      </c>
      <c r="G2402" s="21">
        <f>-$B$1812</f>
        <v/>
      </c>
      <c r="H2402" s="21">
        <f>2*$B$1811+$D$2378</f>
        <v/>
      </c>
      <c r="I2402" s="21">
        <f>0</f>
        <v/>
      </c>
      <c r="J2402" s="21">
        <f>-$B$1811</f>
        <v/>
      </c>
      <c r="K2402" s="21">
        <f>$B$1812</f>
        <v/>
      </c>
      <c r="L2402" s="21" t="n">
        <v>0</v>
      </c>
      <c r="M2402" s="21" t="n">
        <v>0</v>
      </c>
      <c r="N2402" s="21" t="n">
        <v>0</v>
      </c>
      <c r="O2402" s="21" t="n">
        <v>0</v>
      </c>
      <c r="P2402" s="21" t="n">
        <v>0</v>
      </c>
      <c r="Q2402" s="21" t="n">
        <v>0</v>
      </c>
      <c r="R2402" s="21" t="n">
        <v>0</v>
      </c>
      <c r="S2402" s="21" t="n">
        <v>0</v>
      </c>
      <c r="T2402" s="21" t="n">
        <v>0</v>
      </c>
      <c r="U2402" s="21" t="n">
        <v>0</v>
      </c>
      <c r="V2402" s="21" t="n">
        <v>0</v>
      </c>
      <c r="W2402" s="21" t="n">
        <v>0</v>
      </c>
      <c r="X2402" s="21" t="n">
        <v>0</v>
      </c>
      <c r="Y2402" s="21" t="n">
        <v>0</v>
      </c>
      <c r="Z2402" s="21" t="n">
        <v>0</v>
      </c>
      <c r="AA2402" s="21" t="n">
        <v>0</v>
      </c>
      <c r="AB2402" s="21" t="n">
        <v>0</v>
      </c>
      <c r="AC2402" s="21" t="n">
        <v>0</v>
      </c>
      <c r="AD2402" s="21" t="n">
        <v>0</v>
      </c>
      <c r="AE2402" s="21" t="n">
        <v>0</v>
      </c>
      <c r="AF2402" s="21" t="n">
        <v>0</v>
      </c>
      <c r="AG2402" s="21" t="n">
        <v>0</v>
      </c>
      <c r="AH2402" s="21" t="n">
        <v>0</v>
      </c>
      <c r="AI2402" s="21" t="n">
        <v>0</v>
      </c>
      <c r="AJ2402" s="21" t="n">
        <v>0</v>
      </c>
      <c r="AK2402" s="21" t="n">
        <v>0</v>
      </c>
      <c r="AL2402" s="21" t="n">
        <v>0</v>
      </c>
      <c r="AM2402" s="21" t="n">
        <v>0</v>
      </c>
      <c r="AN2402" s="21" t="n">
        <v>0</v>
      </c>
      <c r="AO2402" s="21" t="n">
        <v>0</v>
      </c>
      <c r="AP2402" s="21" t="n">
        <v>0</v>
      </c>
      <c r="AQ2402" s="21" t="n">
        <v>0</v>
      </c>
      <c r="AR2402" s="21" t="n">
        <v>0</v>
      </c>
      <c r="AS2402" s="21" t="n">
        <v>0</v>
      </c>
      <c r="AT2402" s="19" t="n"/>
    </row>
    <row r="2403">
      <c r="D2403" s="21" t="n">
        <v>0</v>
      </c>
      <c r="E2403" s="21" t="n">
        <v>0</v>
      </c>
      <c r="F2403" s="21">
        <f>$B$1812</f>
        <v/>
      </c>
      <c r="G2403" s="21">
        <f>$B$1814</f>
        <v/>
      </c>
      <c r="H2403" s="21">
        <f>0</f>
        <v/>
      </c>
      <c r="I2403" s="21">
        <f>2*$B$1813</f>
        <v/>
      </c>
      <c r="J2403" s="21">
        <f>-$B$1812</f>
        <v/>
      </c>
      <c r="K2403" s="21">
        <f>$B$1814</f>
        <v/>
      </c>
      <c r="L2403" s="21" t="n">
        <v>0</v>
      </c>
      <c r="M2403" s="21" t="n">
        <v>0</v>
      </c>
      <c r="N2403" s="21" t="n">
        <v>0</v>
      </c>
      <c r="O2403" s="21" t="n">
        <v>0</v>
      </c>
      <c r="P2403" s="21" t="n">
        <v>0</v>
      </c>
      <c r="Q2403" s="21" t="n">
        <v>0</v>
      </c>
      <c r="R2403" s="21" t="n">
        <v>0</v>
      </c>
      <c r="S2403" s="21" t="n">
        <v>0</v>
      </c>
      <c r="T2403" s="21" t="n">
        <v>0</v>
      </c>
      <c r="U2403" s="21" t="n">
        <v>0</v>
      </c>
      <c r="V2403" s="21" t="n">
        <v>0</v>
      </c>
      <c r="W2403" s="21" t="n">
        <v>0</v>
      </c>
      <c r="X2403" s="21" t="n">
        <v>0</v>
      </c>
      <c r="Y2403" s="21" t="n">
        <v>0</v>
      </c>
      <c r="Z2403" s="21" t="n">
        <v>0</v>
      </c>
      <c r="AA2403" s="21" t="n">
        <v>0</v>
      </c>
      <c r="AB2403" s="21" t="n">
        <v>0</v>
      </c>
      <c r="AC2403" s="21" t="n">
        <v>0</v>
      </c>
      <c r="AD2403" s="21" t="n">
        <v>0</v>
      </c>
      <c r="AE2403" s="21" t="n">
        <v>0</v>
      </c>
      <c r="AF2403" s="21" t="n">
        <v>0</v>
      </c>
      <c r="AG2403" s="21" t="n">
        <v>0</v>
      </c>
      <c r="AH2403" s="21" t="n">
        <v>0</v>
      </c>
      <c r="AI2403" s="21" t="n">
        <v>0</v>
      </c>
      <c r="AJ2403" s="21" t="n">
        <v>0</v>
      </c>
      <c r="AK2403" s="21" t="n">
        <v>0</v>
      </c>
      <c r="AL2403" s="21" t="n">
        <v>0</v>
      </c>
      <c r="AM2403" s="21" t="n">
        <v>0</v>
      </c>
      <c r="AN2403" s="21" t="n">
        <v>0</v>
      </c>
      <c r="AO2403" s="21" t="n">
        <v>0</v>
      </c>
      <c r="AP2403" s="21" t="n">
        <v>0</v>
      </c>
      <c r="AQ2403" s="21" t="n">
        <v>0</v>
      </c>
      <c r="AR2403" s="21" t="n">
        <v>0</v>
      </c>
      <c r="AS2403" s="21" t="n">
        <v>0</v>
      </c>
      <c r="AT2403" s="19" t="n"/>
    </row>
    <row r="2404">
      <c r="D2404" s="21" t="n">
        <v>0</v>
      </c>
      <c r="E2404" s="21" t="n">
        <v>0</v>
      </c>
      <c r="F2404" s="21" t="n">
        <v>0</v>
      </c>
      <c r="G2404" s="21" t="n">
        <v>0</v>
      </c>
      <c r="H2404" s="21">
        <f>-$B$1811</f>
        <v/>
      </c>
      <c r="I2404" s="21">
        <f>-$B$1812</f>
        <v/>
      </c>
      <c r="J2404" s="21">
        <f>2*$B$1811+$D$2379</f>
        <v/>
      </c>
      <c r="K2404" s="21">
        <f>0</f>
        <v/>
      </c>
      <c r="L2404" s="21">
        <f>-$B$1811</f>
        <v/>
      </c>
      <c r="M2404" s="21">
        <f>$B$1812</f>
        <v/>
      </c>
      <c r="N2404" s="21" t="n">
        <v>0</v>
      </c>
      <c r="O2404" s="21" t="n">
        <v>0</v>
      </c>
      <c r="P2404" s="21" t="n">
        <v>0</v>
      </c>
      <c r="Q2404" s="21" t="n">
        <v>0</v>
      </c>
      <c r="R2404" s="21" t="n">
        <v>0</v>
      </c>
      <c r="S2404" s="21" t="n">
        <v>0</v>
      </c>
      <c r="T2404" s="21" t="n">
        <v>0</v>
      </c>
      <c r="U2404" s="21" t="n">
        <v>0</v>
      </c>
      <c r="V2404" s="21" t="n">
        <v>0</v>
      </c>
      <c r="W2404" s="21" t="n">
        <v>0</v>
      </c>
      <c r="X2404" s="21" t="n">
        <v>0</v>
      </c>
      <c r="Y2404" s="21" t="n">
        <v>0</v>
      </c>
      <c r="Z2404" s="21" t="n">
        <v>0</v>
      </c>
      <c r="AA2404" s="21" t="n">
        <v>0</v>
      </c>
      <c r="AB2404" s="21" t="n">
        <v>0</v>
      </c>
      <c r="AC2404" s="21" t="n">
        <v>0</v>
      </c>
      <c r="AD2404" s="21" t="n">
        <v>0</v>
      </c>
      <c r="AE2404" s="21" t="n">
        <v>0</v>
      </c>
      <c r="AF2404" s="21" t="n">
        <v>0</v>
      </c>
      <c r="AG2404" s="21" t="n">
        <v>0</v>
      </c>
      <c r="AH2404" s="21" t="n">
        <v>0</v>
      </c>
      <c r="AI2404" s="21" t="n">
        <v>0</v>
      </c>
      <c r="AJ2404" s="21" t="n">
        <v>0</v>
      </c>
      <c r="AK2404" s="21" t="n">
        <v>0</v>
      </c>
      <c r="AL2404" s="21" t="n">
        <v>0</v>
      </c>
      <c r="AM2404" s="21" t="n">
        <v>0</v>
      </c>
      <c r="AN2404" s="21" t="n">
        <v>0</v>
      </c>
      <c r="AO2404" s="21" t="n">
        <v>0</v>
      </c>
      <c r="AP2404" s="21" t="n">
        <v>0</v>
      </c>
      <c r="AQ2404" s="21" t="n">
        <v>0</v>
      </c>
      <c r="AR2404" s="21" t="n">
        <v>0</v>
      </c>
      <c r="AS2404" s="21" t="n">
        <v>0</v>
      </c>
      <c r="AT2404" s="19" t="n"/>
    </row>
    <row r="2405">
      <c r="D2405" s="21" t="n">
        <v>0</v>
      </c>
      <c r="E2405" s="21" t="n">
        <v>0</v>
      </c>
      <c r="F2405" s="21" t="n">
        <v>0</v>
      </c>
      <c r="G2405" s="21" t="n">
        <v>0</v>
      </c>
      <c r="H2405" s="21">
        <f>$B$1812</f>
        <v/>
      </c>
      <c r="I2405" s="21">
        <f>$B$1814</f>
        <v/>
      </c>
      <c r="J2405" s="21">
        <f>0</f>
        <v/>
      </c>
      <c r="K2405" s="21">
        <f>2*$B$1813</f>
        <v/>
      </c>
      <c r="L2405" s="21">
        <f>-$B$1812</f>
        <v/>
      </c>
      <c r="M2405" s="21">
        <f>$B$1814</f>
        <v/>
      </c>
      <c r="N2405" s="21" t="n">
        <v>0</v>
      </c>
      <c r="O2405" s="21" t="n">
        <v>0</v>
      </c>
      <c r="P2405" s="21" t="n">
        <v>0</v>
      </c>
      <c r="Q2405" s="21" t="n">
        <v>0</v>
      </c>
      <c r="R2405" s="21" t="n">
        <v>0</v>
      </c>
      <c r="S2405" s="21" t="n">
        <v>0</v>
      </c>
      <c r="T2405" s="21" t="n">
        <v>0</v>
      </c>
      <c r="U2405" s="21" t="n">
        <v>0</v>
      </c>
      <c r="V2405" s="21" t="n">
        <v>0</v>
      </c>
      <c r="W2405" s="21" t="n">
        <v>0</v>
      </c>
      <c r="X2405" s="21" t="n">
        <v>0</v>
      </c>
      <c r="Y2405" s="21" t="n">
        <v>0</v>
      </c>
      <c r="Z2405" s="21" t="n">
        <v>0</v>
      </c>
      <c r="AA2405" s="21" t="n">
        <v>0</v>
      </c>
      <c r="AB2405" s="21" t="n">
        <v>0</v>
      </c>
      <c r="AC2405" s="21" t="n">
        <v>0</v>
      </c>
      <c r="AD2405" s="21" t="n">
        <v>0</v>
      </c>
      <c r="AE2405" s="21" t="n">
        <v>0</v>
      </c>
      <c r="AF2405" s="21" t="n">
        <v>0</v>
      </c>
      <c r="AG2405" s="21" t="n">
        <v>0</v>
      </c>
      <c r="AH2405" s="21" t="n">
        <v>0</v>
      </c>
      <c r="AI2405" s="21" t="n">
        <v>0</v>
      </c>
      <c r="AJ2405" s="21" t="n">
        <v>0</v>
      </c>
      <c r="AK2405" s="21" t="n">
        <v>0</v>
      </c>
      <c r="AL2405" s="21" t="n">
        <v>0</v>
      </c>
      <c r="AM2405" s="21" t="n">
        <v>0</v>
      </c>
      <c r="AN2405" s="21" t="n">
        <v>0</v>
      </c>
      <c r="AO2405" s="21" t="n">
        <v>0</v>
      </c>
      <c r="AP2405" s="21" t="n">
        <v>0</v>
      </c>
      <c r="AQ2405" s="21" t="n">
        <v>0</v>
      </c>
      <c r="AR2405" s="21" t="n">
        <v>0</v>
      </c>
      <c r="AS2405" s="21" t="n">
        <v>0</v>
      </c>
      <c r="AT2405" s="19" t="n"/>
    </row>
    <row r="2406">
      <c r="D2406" s="21" t="n">
        <v>0</v>
      </c>
      <c r="E2406" s="21" t="n">
        <v>0</v>
      </c>
      <c r="F2406" s="21" t="n">
        <v>0</v>
      </c>
      <c r="G2406" s="21" t="n">
        <v>0</v>
      </c>
      <c r="H2406" s="21" t="n">
        <v>0</v>
      </c>
      <c r="I2406" s="21" t="n">
        <v>0</v>
      </c>
      <c r="J2406" s="21">
        <f>-$B$1811</f>
        <v/>
      </c>
      <c r="K2406" s="21">
        <f>-$B$1812</f>
        <v/>
      </c>
      <c r="L2406" s="21">
        <f>2*$B$1811+$D$2380</f>
        <v/>
      </c>
      <c r="M2406" s="21">
        <f>0</f>
        <v/>
      </c>
      <c r="N2406" s="21">
        <f>-$B$1811</f>
        <v/>
      </c>
      <c r="O2406" s="21">
        <f>$B$1812</f>
        <v/>
      </c>
      <c r="P2406" s="21" t="n">
        <v>0</v>
      </c>
      <c r="Q2406" s="21" t="n">
        <v>0</v>
      </c>
      <c r="R2406" s="21" t="n">
        <v>0</v>
      </c>
      <c r="S2406" s="21" t="n">
        <v>0</v>
      </c>
      <c r="T2406" s="21" t="n">
        <v>0</v>
      </c>
      <c r="U2406" s="21" t="n">
        <v>0</v>
      </c>
      <c r="V2406" s="21" t="n">
        <v>0</v>
      </c>
      <c r="W2406" s="21" t="n">
        <v>0</v>
      </c>
      <c r="X2406" s="21" t="n">
        <v>0</v>
      </c>
      <c r="Y2406" s="21" t="n">
        <v>0</v>
      </c>
      <c r="Z2406" s="21" t="n">
        <v>0</v>
      </c>
      <c r="AA2406" s="21" t="n">
        <v>0</v>
      </c>
      <c r="AB2406" s="21" t="n">
        <v>0</v>
      </c>
      <c r="AC2406" s="21" t="n">
        <v>0</v>
      </c>
      <c r="AD2406" s="21" t="n">
        <v>0</v>
      </c>
      <c r="AE2406" s="21" t="n">
        <v>0</v>
      </c>
      <c r="AF2406" s="21" t="n">
        <v>0</v>
      </c>
      <c r="AG2406" s="21" t="n">
        <v>0</v>
      </c>
      <c r="AH2406" s="21" t="n">
        <v>0</v>
      </c>
      <c r="AI2406" s="21" t="n">
        <v>0</v>
      </c>
      <c r="AJ2406" s="21" t="n">
        <v>0</v>
      </c>
      <c r="AK2406" s="21" t="n">
        <v>0</v>
      </c>
      <c r="AL2406" s="21" t="n">
        <v>0</v>
      </c>
      <c r="AM2406" s="21" t="n">
        <v>0</v>
      </c>
      <c r="AN2406" s="21" t="n">
        <v>0</v>
      </c>
      <c r="AO2406" s="21" t="n">
        <v>0</v>
      </c>
      <c r="AP2406" s="21" t="n">
        <v>0</v>
      </c>
      <c r="AQ2406" s="21" t="n">
        <v>0</v>
      </c>
      <c r="AR2406" s="21" t="n">
        <v>0</v>
      </c>
      <c r="AS2406" s="21" t="n">
        <v>0</v>
      </c>
      <c r="AT2406" s="19" t="n"/>
    </row>
    <row r="2407">
      <c r="D2407" s="21" t="n">
        <v>0</v>
      </c>
      <c r="E2407" s="21" t="n">
        <v>0</v>
      </c>
      <c r="F2407" s="21" t="n">
        <v>0</v>
      </c>
      <c r="G2407" s="21" t="n">
        <v>0</v>
      </c>
      <c r="H2407" s="21" t="n">
        <v>0</v>
      </c>
      <c r="I2407" s="21" t="n">
        <v>0</v>
      </c>
      <c r="J2407" s="21">
        <f>$B$1812</f>
        <v/>
      </c>
      <c r="K2407" s="21">
        <f>$B$1814</f>
        <v/>
      </c>
      <c r="L2407" s="21">
        <f>0</f>
        <v/>
      </c>
      <c r="M2407" s="21">
        <f>2*$B$1813</f>
        <v/>
      </c>
      <c r="N2407" s="21">
        <f>-$B$1812</f>
        <v/>
      </c>
      <c r="O2407" s="21">
        <f>$B$1814</f>
        <v/>
      </c>
      <c r="P2407" s="21" t="n">
        <v>0</v>
      </c>
      <c r="Q2407" s="21" t="n">
        <v>0</v>
      </c>
      <c r="R2407" s="21" t="n">
        <v>0</v>
      </c>
      <c r="S2407" s="21" t="n">
        <v>0</v>
      </c>
      <c r="T2407" s="21" t="n">
        <v>0</v>
      </c>
      <c r="U2407" s="21" t="n">
        <v>0</v>
      </c>
      <c r="V2407" s="21" t="n">
        <v>0</v>
      </c>
      <c r="W2407" s="21" t="n">
        <v>0</v>
      </c>
      <c r="X2407" s="21" t="n">
        <v>0</v>
      </c>
      <c r="Y2407" s="21" t="n">
        <v>0</v>
      </c>
      <c r="Z2407" s="21" t="n">
        <v>0</v>
      </c>
      <c r="AA2407" s="21" t="n">
        <v>0</v>
      </c>
      <c r="AB2407" s="21" t="n">
        <v>0</v>
      </c>
      <c r="AC2407" s="21" t="n">
        <v>0</v>
      </c>
      <c r="AD2407" s="21" t="n">
        <v>0</v>
      </c>
      <c r="AE2407" s="21" t="n">
        <v>0</v>
      </c>
      <c r="AF2407" s="21" t="n">
        <v>0</v>
      </c>
      <c r="AG2407" s="21" t="n">
        <v>0</v>
      </c>
      <c r="AH2407" s="21" t="n">
        <v>0</v>
      </c>
      <c r="AI2407" s="21" t="n">
        <v>0</v>
      </c>
      <c r="AJ2407" s="21" t="n">
        <v>0</v>
      </c>
      <c r="AK2407" s="21" t="n">
        <v>0</v>
      </c>
      <c r="AL2407" s="21" t="n">
        <v>0</v>
      </c>
      <c r="AM2407" s="21" t="n">
        <v>0</v>
      </c>
      <c r="AN2407" s="21" t="n">
        <v>0</v>
      </c>
      <c r="AO2407" s="21" t="n">
        <v>0</v>
      </c>
      <c r="AP2407" s="21" t="n">
        <v>0</v>
      </c>
      <c r="AQ2407" s="21" t="n">
        <v>0</v>
      </c>
      <c r="AR2407" s="21" t="n">
        <v>0</v>
      </c>
      <c r="AS2407" s="21" t="n">
        <v>0</v>
      </c>
      <c r="AT2407" s="19" t="n"/>
    </row>
    <row r="2408">
      <c r="D2408" s="21" t="n">
        <v>0</v>
      </c>
      <c r="E2408" s="21" t="n">
        <v>0</v>
      </c>
      <c r="F2408" s="21" t="n">
        <v>0</v>
      </c>
      <c r="G2408" s="21" t="n">
        <v>0</v>
      </c>
      <c r="H2408" s="21" t="n">
        <v>0</v>
      </c>
      <c r="I2408" s="21" t="n">
        <v>0</v>
      </c>
      <c r="J2408" s="21" t="n">
        <v>0</v>
      </c>
      <c r="K2408" s="21" t="n">
        <v>0</v>
      </c>
      <c r="L2408" s="21">
        <f>-$B$1811</f>
        <v/>
      </c>
      <c r="M2408" s="21">
        <f>-$B$1812</f>
        <v/>
      </c>
      <c r="N2408" s="21">
        <f>2*$B$1811+$D$2381</f>
        <v/>
      </c>
      <c r="O2408" s="21">
        <f>0</f>
        <v/>
      </c>
      <c r="P2408" s="21">
        <f>-$B$1811</f>
        <v/>
      </c>
      <c r="Q2408" s="21">
        <f>$B$1812</f>
        <v/>
      </c>
      <c r="R2408" s="21" t="n">
        <v>0</v>
      </c>
      <c r="S2408" s="21" t="n">
        <v>0</v>
      </c>
      <c r="T2408" s="21" t="n">
        <v>0</v>
      </c>
      <c r="U2408" s="21" t="n">
        <v>0</v>
      </c>
      <c r="V2408" s="21" t="n">
        <v>0</v>
      </c>
      <c r="W2408" s="21" t="n">
        <v>0</v>
      </c>
      <c r="X2408" s="21" t="n">
        <v>0</v>
      </c>
      <c r="Y2408" s="21" t="n">
        <v>0</v>
      </c>
      <c r="Z2408" s="21" t="n">
        <v>0</v>
      </c>
      <c r="AA2408" s="21" t="n">
        <v>0</v>
      </c>
      <c r="AB2408" s="21" t="n">
        <v>0</v>
      </c>
      <c r="AC2408" s="21" t="n">
        <v>0</v>
      </c>
      <c r="AD2408" s="21" t="n">
        <v>0</v>
      </c>
      <c r="AE2408" s="21" t="n">
        <v>0</v>
      </c>
      <c r="AF2408" s="21" t="n">
        <v>0</v>
      </c>
      <c r="AG2408" s="21" t="n">
        <v>0</v>
      </c>
      <c r="AH2408" s="21" t="n">
        <v>0</v>
      </c>
      <c r="AI2408" s="21" t="n">
        <v>0</v>
      </c>
      <c r="AJ2408" s="21" t="n">
        <v>0</v>
      </c>
      <c r="AK2408" s="21" t="n">
        <v>0</v>
      </c>
      <c r="AL2408" s="21" t="n">
        <v>0</v>
      </c>
      <c r="AM2408" s="21" t="n">
        <v>0</v>
      </c>
      <c r="AN2408" s="21" t="n">
        <v>0</v>
      </c>
      <c r="AO2408" s="21" t="n">
        <v>0</v>
      </c>
      <c r="AP2408" s="21" t="n">
        <v>0</v>
      </c>
      <c r="AQ2408" s="21" t="n">
        <v>0</v>
      </c>
      <c r="AR2408" s="21" t="n">
        <v>0</v>
      </c>
      <c r="AS2408" s="21" t="n">
        <v>0</v>
      </c>
      <c r="AT2408" s="19" t="n"/>
    </row>
    <row r="2409">
      <c r="D2409" s="21" t="n">
        <v>0</v>
      </c>
      <c r="E2409" s="21" t="n">
        <v>0</v>
      </c>
      <c r="F2409" s="21" t="n">
        <v>0</v>
      </c>
      <c r="G2409" s="21" t="n">
        <v>0</v>
      </c>
      <c r="H2409" s="21" t="n">
        <v>0</v>
      </c>
      <c r="I2409" s="21" t="n">
        <v>0</v>
      </c>
      <c r="J2409" s="21" t="n">
        <v>0</v>
      </c>
      <c r="K2409" s="21" t="n">
        <v>0</v>
      </c>
      <c r="L2409" s="21">
        <f>$B$1812</f>
        <v/>
      </c>
      <c r="M2409" s="21">
        <f>$B$1814</f>
        <v/>
      </c>
      <c r="N2409" s="21">
        <f>0</f>
        <v/>
      </c>
      <c r="O2409" s="21">
        <f>2*$B$1813</f>
        <v/>
      </c>
      <c r="P2409" s="21">
        <f>-$B$1812</f>
        <v/>
      </c>
      <c r="Q2409" s="21">
        <f>$B$1814</f>
        <v/>
      </c>
      <c r="R2409" s="21" t="n">
        <v>0</v>
      </c>
      <c r="S2409" s="21" t="n">
        <v>0</v>
      </c>
      <c r="T2409" s="21" t="n">
        <v>0</v>
      </c>
      <c r="U2409" s="21" t="n">
        <v>0</v>
      </c>
      <c r="V2409" s="21" t="n">
        <v>0</v>
      </c>
      <c r="W2409" s="21" t="n">
        <v>0</v>
      </c>
      <c r="X2409" s="21" t="n">
        <v>0</v>
      </c>
      <c r="Y2409" s="21" t="n">
        <v>0</v>
      </c>
      <c r="Z2409" s="21" t="n">
        <v>0</v>
      </c>
      <c r="AA2409" s="21" t="n">
        <v>0</v>
      </c>
      <c r="AB2409" s="21" t="n">
        <v>0</v>
      </c>
      <c r="AC2409" s="21" t="n">
        <v>0</v>
      </c>
      <c r="AD2409" s="21" t="n">
        <v>0</v>
      </c>
      <c r="AE2409" s="21" t="n">
        <v>0</v>
      </c>
      <c r="AF2409" s="21" t="n">
        <v>0</v>
      </c>
      <c r="AG2409" s="21" t="n">
        <v>0</v>
      </c>
      <c r="AH2409" s="21" t="n">
        <v>0</v>
      </c>
      <c r="AI2409" s="21" t="n">
        <v>0</v>
      </c>
      <c r="AJ2409" s="21" t="n">
        <v>0</v>
      </c>
      <c r="AK2409" s="21" t="n">
        <v>0</v>
      </c>
      <c r="AL2409" s="21" t="n">
        <v>0</v>
      </c>
      <c r="AM2409" s="21" t="n">
        <v>0</v>
      </c>
      <c r="AN2409" s="21" t="n">
        <v>0</v>
      </c>
      <c r="AO2409" s="21" t="n">
        <v>0</v>
      </c>
      <c r="AP2409" s="21" t="n">
        <v>0</v>
      </c>
      <c r="AQ2409" s="21" t="n">
        <v>0</v>
      </c>
      <c r="AR2409" s="21" t="n">
        <v>0</v>
      </c>
      <c r="AS2409" s="21" t="n">
        <v>0</v>
      </c>
      <c r="AT2409" s="19" t="n"/>
    </row>
    <row r="2410">
      <c r="D2410" s="21" t="n">
        <v>0</v>
      </c>
      <c r="E2410" s="21" t="n">
        <v>0</v>
      </c>
      <c r="F2410" s="21" t="n">
        <v>0</v>
      </c>
      <c r="G2410" s="21" t="n">
        <v>0</v>
      </c>
      <c r="H2410" s="21" t="n">
        <v>0</v>
      </c>
      <c r="I2410" s="21" t="n">
        <v>0</v>
      </c>
      <c r="J2410" s="21" t="n">
        <v>0</v>
      </c>
      <c r="K2410" s="21" t="n">
        <v>0</v>
      </c>
      <c r="L2410" s="21" t="n">
        <v>0</v>
      </c>
      <c r="M2410" s="21" t="n">
        <v>0</v>
      </c>
      <c r="N2410" s="21">
        <f>-$B$1811</f>
        <v/>
      </c>
      <c r="O2410" s="21">
        <f>-$B$1812</f>
        <v/>
      </c>
      <c r="P2410" s="21">
        <f>2*$B$1811+$D$2382</f>
        <v/>
      </c>
      <c r="Q2410" s="21">
        <f>0</f>
        <v/>
      </c>
      <c r="R2410" s="21">
        <f>-$B$1811</f>
        <v/>
      </c>
      <c r="S2410" s="21">
        <f>$B$1812</f>
        <v/>
      </c>
      <c r="T2410" s="21" t="n">
        <v>0</v>
      </c>
      <c r="U2410" s="21" t="n">
        <v>0</v>
      </c>
      <c r="V2410" s="21" t="n">
        <v>0</v>
      </c>
      <c r="W2410" s="21" t="n">
        <v>0</v>
      </c>
      <c r="X2410" s="21" t="n">
        <v>0</v>
      </c>
      <c r="Y2410" s="21" t="n">
        <v>0</v>
      </c>
      <c r="Z2410" s="21" t="n">
        <v>0</v>
      </c>
      <c r="AA2410" s="21" t="n">
        <v>0</v>
      </c>
      <c r="AB2410" s="21" t="n">
        <v>0</v>
      </c>
      <c r="AC2410" s="21" t="n">
        <v>0</v>
      </c>
      <c r="AD2410" s="21" t="n">
        <v>0</v>
      </c>
      <c r="AE2410" s="21" t="n">
        <v>0</v>
      </c>
      <c r="AF2410" s="21" t="n">
        <v>0</v>
      </c>
      <c r="AG2410" s="21" t="n">
        <v>0</v>
      </c>
      <c r="AH2410" s="21" t="n">
        <v>0</v>
      </c>
      <c r="AI2410" s="21" t="n">
        <v>0</v>
      </c>
      <c r="AJ2410" s="21" t="n">
        <v>0</v>
      </c>
      <c r="AK2410" s="21" t="n">
        <v>0</v>
      </c>
      <c r="AL2410" s="21" t="n">
        <v>0</v>
      </c>
      <c r="AM2410" s="21" t="n">
        <v>0</v>
      </c>
      <c r="AN2410" s="21" t="n">
        <v>0</v>
      </c>
      <c r="AO2410" s="21" t="n">
        <v>0</v>
      </c>
      <c r="AP2410" s="21" t="n">
        <v>0</v>
      </c>
      <c r="AQ2410" s="21" t="n">
        <v>0</v>
      </c>
      <c r="AR2410" s="21" t="n">
        <v>0</v>
      </c>
      <c r="AS2410" s="21" t="n">
        <v>0</v>
      </c>
      <c r="AT2410" s="19" t="n"/>
    </row>
    <row r="2411">
      <c r="D2411" s="21" t="n">
        <v>0</v>
      </c>
      <c r="E2411" s="21" t="n">
        <v>0</v>
      </c>
      <c r="F2411" s="21" t="n">
        <v>0</v>
      </c>
      <c r="G2411" s="21" t="n">
        <v>0</v>
      </c>
      <c r="H2411" s="21" t="n">
        <v>0</v>
      </c>
      <c r="I2411" s="21" t="n">
        <v>0</v>
      </c>
      <c r="J2411" s="21" t="n">
        <v>0</v>
      </c>
      <c r="K2411" s="21" t="n">
        <v>0</v>
      </c>
      <c r="L2411" s="21" t="n">
        <v>0</v>
      </c>
      <c r="M2411" s="21" t="n">
        <v>0</v>
      </c>
      <c r="N2411" s="21">
        <f>$B$1812</f>
        <v/>
      </c>
      <c r="O2411" s="21">
        <f>$B$1814</f>
        <v/>
      </c>
      <c r="P2411" s="21">
        <f>0</f>
        <v/>
      </c>
      <c r="Q2411" s="21">
        <f>2*$B$1813</f>
        <v/>
      </c>
      <c r="R2411" s="21">
        <f>-$B$1812</f>
        <v/>
      </c>
      <c r="S2411" s="21">
        <f>$B$1814</f>
        <v/>
      </c>
      <c r="T2411" s="21" t="n">
        <v>0</v>
      </c>
      <c r="U2411" s="21" t="n">
        <v>0</v>
      </c>
      <c r="V2411" s="21" t="n">
        <v>0</v>
      </c>
      <c r="W2411" s="21" t="n">
        <v>0</v>
      </c>
      <c r="X2411" s="21" t="n">
        <v>0</v>
      </c>
      <c r="Y2411" s="21" t="n">
        <v>0</v>
      </c>
      <c r="Z2411" s="21" t="n">
        <v>0</v>
      </c>
      <c r="AA2411" s="21" t="n">
        <v>0</v>
      </c>
      <c r="AB2411" s="21" t="n">
        <v>0</v>
      </c>
      <c r="AC2411" s="21" t="n">
        <v>0</v>
      </c>
      <c r="AD2411" s="21" t="n">
        <v>0</v>
      </c>
      <c r="AE2411" s="21" t="n">
        <v>0</v>
      </c>
      <c r="AF2411" s="21" t="n">
        <v>0</v>
      </c>
      <c r="AG2411" s="21" t="n">
        <v>0</v>
      </c>
      <c r="AH2411" s="21" t="n">
        <v>0</v>
      </c>
      <c r="AI2411" s="21" t="n">
        <v>0</v>
      </c>
      <c r="AJ2411" s="21" t="n">
        <v>0</v>
      </c>
      <c r="AK2411" s="21" t="n">
        <v>0</v>
      </c>
      <c r="AL2411" s="21" t="n">
        <v>0</v>
      </c>
      <c r="AM2411" s="21" t="n">
        <v>0</v>
      </c>
      <c r="AN2411" s="21" t="n">
        <v>0</v>
      </c>
      <c r="AO2411" s="21" t="n">
        <v>0</v>
      </c>
      <c r="AP2411" s="21" t="n">
        <v>0</v>
      </c>
      <c r="AQ2411" s="21" t="n">
        <v>0</v>
      </c>
      <c r="AR2411" s="21" t="n">
        <v>0</v>
      </c>
      <c r="AS2411" s="21" t="n">
        <v>0</v>
      </c>
      <c r="AT2411" s="19" t="n"/>
    </row>
    <row r="2412">
      <c r="D2412" s="21" t="n">
        <v>0</v>
      </c>
      <c r="E2412" s="21" t="n">
        <v>0</v>
      </c>
      <c r="F2412" s="21" t="n">
        <v>0</v>
      </c>
      <c r="G2412" s="21" t="n">
        <v>0</v>
      </c>
      <c r="H2412" s="21" t="n">
        <v>0</v>
      </c>
      <c r="I2412" s="21" t="n">
        <v>0</v>
      </c>
      <c r="J2412" s="21" t="n">
        <v>0</v>
      </c>
      <c r="K2412" s="21" t="n">
        <v>0</v>
      </c>
      <c r="L2412" s="21" t="n">
        <v>0</v>
      </c>
      <c r="M2412" s="21" t="n">
        <v>0</v>
      </c>
      <c r="N2412" s="21" t="n">
        <v>0</v>
      </c>
      <c r="O2412" s="21" t="n">
        <v>0</v>
      </c>
      <c r="P2412" s="21">
        <f>-$B$1811</f>
        <v/>
      </c>
      <c r="Q2412" s="21">
        <f>-$B$1812</f>
        <v/>
      </c>
      <c r="R2412" s="21">
        <f>2*$B$1811+$D$2383</f>
        <v/>
      </c>
      <c r="S2412" s="21">
        <f>0</f>
        <v/>
      </c>
      <c r="T2412" s="21">
        <f>-$B$1811</f>
        <v/>
      </c>
      <c r="U2412" s="21">
        <f>$B$1812</f>
        <v/>
      </c>
      <c r="V2412" s="21" t="n">
        <v>0</v>
      </c>
      <c r="W2412" s="21" t="n">
        <v>0</v>
      </c>
      <c r="X2412" s="21" t="n">
        <v>0</v>
      </c>
      <c r="Y2412" s="21" t="n">
        <v>0</v>
      </c>
      <c r="Z2412" s="21" t="n">
        <v>0</v>
      </c>
      <c r="AA2412" s="21" t="n">
        <v>0</v>
      </c>
      <c r="AB2412" s="21" t="n">
        <v>0</v>
      </c>
      <c r="AC2412" s="21" t="n">
        <v>0</v>
      </c>
      <c r="AD2412" s="21" t="n">
        <v>0</v>
      </c>
      <c r="AE2412" s="21" t="n">
        <v>0</v>
      </c>
      <c r="AF2412" s="21" t="n">
        <v>0</v>
      </c>
      <c r="AG2412" s="21" t="n">
        <v>0</v>
      </c>
      <c r="AH2412" s="21" t="n">
        <v>0</v>
      </c>
      <c r="AI2412" s="21" t="n">
        <v>0</v>
      </c>
      <c r="AJ2412" s="21" t="n">
        <v>0</v>
      </c>
      <c r="AK2412" s="21" t="n">
        <v>0</v>
      </c>
      <c r="AL2412" s="21" t="n">
        <v>0</v>
      </c>
      <c r="AM2412" s="21" t="n">
        <v>0</v>
      </c>
      <c r="AN2412" s="21" t="n">
        <v>0</v>
      </c>
      <c r="AO2412" s="21" t="n">
        <v>0</v>
      </c>
      <c r="AP2412" s="21" t="n">
        <v>0</v>
      </c>
      <c r="AQ2412" s="21" t="n">
        <v>0</v>
      </c>
      <c r="AR2412" s="21" t="n">
        <v>0</v>
      </c>
      <c r="AS2412" s="21" t="n">
        <v>0</v>
      </c>
      <c r="AT2412" s="19" t="n"/>
    </row>
    <row r="2413">
      <c r="D2413" s="21" t="n">
        <v>0</v>
      </c>
      <c r="E2413" s="21" t="n">
        <v>0</v>
      </c>
      <c r="F2413" s="21" t="n">
        <v>0</v>
      </c>
      <c r="G2413" s="21" t="n">
        <v>0</v>
      </c>
      <c r="H2413" s="21" t="n">
        <v>0</v>
      </c>
      <c r="I2413" s="21" t="n">
        <v>0</v>
      </c>
      <c r="J2413" s="21" t="n">
        <v>0</v>
      </c>
      <c r="K2413" s="21" t="n">
        <v>0</v>
      </c>
      <c r="L2413" s="21" t="n">
        <v>0</v>
      </c>
      <c r="M2413" s="21" t="n">
        <v>0</v>
      </c>
      <c r="N2413" s="21" t="n">
        <v>0</v>
      </c>
      <c r="O2413" s="21" t="n">
        <v>0</v>
      </c>
      <c r="P2413" s="21">
        <f>$B$1812</f>
        <v/>
      </c>
      <c r="Q2413" s="21">
        <f>$B$1814</f>
        <v/>
      </c>
      <c r="R2413" s="21">
        <f>0</f>
        <v/>
      </c>
      <c r="S2413" s="21">
        <f>2*$B$1813</f>
        <v/>
      </c>
      <c r="T2413" s="21">
        <f>-$B$1812</f>
        <v/>
      </c>
      <c r="U2413" s="21">
        <f>$B$1814</f>
        <v/>
      </c>
      <c r="V2413" s="21" t="n">
        <v>0</v>
      </c>
      <c r="W2413" s="21" t="n">
        <v>0</v>
      </c>
      <c r="X2413" s="21" t="n">
        <v>0</v>
      </c>
      <c r="Y2413" s="21" t="n">
        <v>0</v>
      </c>
      <c r="Z2413" s="21" t="n">
        <v>0</v>
      </c>
      <c r="AA2413" s="21" t="n">
        <v>0</v>
      </c>
      <c r="AB2413" s="21" t="n">
        <v>0</v>
      </c>
      <c r="AC2413" s="21" t="n">
        <v>0</v>
      </c>
      <c r="AD2413" s="21" t="n">
        <v>0</v>
      </c>
      <c r="AE2413" s="21" t="n">
        <v>0</v>
      </c>
      <c r="AF2413" s="21" t="n">
        <v>0</v>
      </c>
      <c r="AG2413" s="21" t="n">
        <v>0</v>
      </c>
      <c r="AH2413" s="21" t="n">
        <v>0</v>
      </c>
      <c r="AI2413" s="21" t="n">
        <v>0</v>
      </c>
      <c r="AJ2413" s="21" t="n">
        <v>0</v>
      </c>
      <c r="AK2413" s="21" t="n">
        <v>0</v>
      </c>
      <c r="AL2413" s="21" t="n">
        <v>0</v>
      </c>
      <c r="AM2413" s="21" t="n">
        <v>0</v>
      </c>
      <c r="AN2413" s="21" t="n">
        <v>0</v>
      </c>
      <c r="AO2413" s="21" t="n">
        <v>0</v>
      </c>
      <c r="AP2413" s="21" t="n">
        <v>0</v>
      </c>
      <c r="AQ2413" s="21" t="n">
        <v>0</v>
      </c>
      <c r="AR2413" s="21" t="n">
        <v>0</v>
      </c>
      <c r="AS2413" s="21" t="n">
        <v>0</v>
      </c>
      <c r="AT2413" s="19" t="n"/>
    </row>
    <row r="2414">
      <c r="D2414" s="21" t="n">
        <v>0</v>
      </c>
      <c r="E2414" s="21" t="n">
        <v>0</v>
      </c>
      <c r="F2414" s="21" t="n">
        <v>0</v>
      </c>
      <c r="G2414" s="21" t="n">
        <v>0</v>
      </c>
      <c r="H2414" s="21" t="n">
        <v>0</v>
      </c>
      <c r="I2414" s="21" t="n">
        <v>0</v>
      </c>
      <c r="J2414" s="21" t="n">
        <v>0</v>
      </c>
      <c r="K2414" s="21" t="n">
        <v>0</v>
      </c>
      <c r="L2414" s="21" t="n">
        <v>0</v>
      </c>
      <c r="M2414" s="21" t="n">
        <v>0</v>
      </c>
      <c r="N2414" s="21" t="n">
        <v>0</v>
      </c>
      <c r="O2414" s="21" t="n">
        <v>0</v>
      </c>
      <c r="P2414" s="21" t="n">
        <v>0</v>
      </c>
      <c r="Q2414" s="21" t="n">
        <v>0</v>
      </c>
      <c r="R2414" s="21">
        <f>-$B$1811</f>
        <v/>
      </c>
      <c r="S2414" s="21">
        <f>-$B$1812</f>
        <v/>
      </c>
      <c r="T2414" s="21">
        <f>2*$B$1811+$D$2384</f>
        <v/>
      </c>
      <c r="U2414" s="21">
        <f>0</f>
        <v/>
      </c>
      <c r="V2414" s="21">
        <f>-$B$1811</f>
        <v/>
      </c>
      <c r="W2414" s="21">
        <f>$B$1812</f>
        <v/>
      </c>
      <c r="X2414" s="21" t="n">
        <v>0</v>
      </c>
      <c r="Y2414" s="21" t="n">
        <v>0</v>
      </c>
      <c r="Z2414" s="21" t="n">
        <v>0</v>
      </c>
      <c r="AA2414" s="21" t="n">
        <v>0</v>
      </c>
      <c r="AB2414" s="21" t="n">
        <v>0</v>
      </c>
      <c r="AC2414" s="21" t="n">
        <v>0</v>
      </c>
      <c r="AD2414" s="21" t="n">
        <v>0</v>
      </c>
      <c r="AE2414" s="21" t="n">
        <v>0</v>
      </c>
      <c r="AF2414" s="21" t="n">
        <v>0</v>
      </c>
      <c r="AG2414" s="21" t="n">
        <v>0</v>
      </c>
      <c r="AH2414" s="21" t="n">
        <v>0</v>
      </c>
      <c r="AI2414" s="21" t="n">
        <v>0</v>
      </c>
      <c r="AJ2414" s="21" t="n">
        <v>0</v>
      </c>
      <c r="AK2414" s="21" t="n">
        <v>0</v>
      </c>
      <c r="AL2414" s="21" t="n">
        <v>0</v>
      </c>
      <c r="AM2414" s="21" t="n">
        <v>0</v>
      </c>
      <c r="AN2414" s="21" t="n">
        <v>0</v>
      </c>
      <c r="AO2414" s="21" t="n">
        <v>0</v>
      </c>
      <c r="AP2414" s="21" t="n">
        <v>0</v>
      </c>
      <c r="AQ2414" s="21" t="n">
        <v>0</v>
      </c>
      <c r="AR2414" s="21" t="n">
        <v>0</v>
      </c>
      <c r="AS2414" s="21" t="n">
        <v>0</v>
      </c>
      <c r="AT2414" s="19" t="n"/>
    </row>
    <row r="2415">
      <c r="D2415" s="21" t="n">
        <v>0</v>
      </c>
      <c r="E2415" s="21" t="n">
        <v>0</v>
      </c>
      <c r="F2415" s="21" t="n">
        <v>0</v>
      </c>
      <c r="G2415" s="21" t="n">
        <v>0</v>
      </c>
      <c r="H2415" s="21" t="n">
        <v>0</v>
      </c>
      <c r="I2415" s="21" t="n">
        <v>0</v>
      </c>
      <c r="J2415" s="21" t="n">
        <v>0</v>
      </c>
      <c r="K2415" s="21" t="n">
        <v>0</v>
      </c>
      <c r="L2415" s="21" t="n">
        <v>0</v>
      </c>
      <c r="M2415" s="21" t="n">
        <v>0</v>
      </c>
      <c r="N2415" s="21" t="n">
        <v>0</v>
      </c>
      <c r="O2415" s="21" t="n">
        <v>0</v>
      </c>
      <c r="P2415" s="21" t="n">
        <v>0</v>
      </c>
      <c r="Q2415" s="21" t="n">
        <v>0</v>
      </c>
      <c r="R2415" s="21">
        <f>$B$1812</f>
        <v/>
      </c>
      <c r="S2415" s="21">
        <f>$B$1814</f>
        <v/>
      </c>
      <c r="T2415" s="21">
        <f>0</f>
        <v/>
      </c>
      <c r="U2415" s="21">
        <f>2*$B$1813</f>
        <v/>
      </c>
      <c r="V2415" s="21">
        <f>-$B$1812</f>
        <v/>
      </c>
      <c r="W2415" s="21">
        <f>$B$1814</f>
        <v/>
      </c>
      <c r="X2415" s="21" t="n">
        <v>0</v>
      </c>
      <c r="Y2415" s="21" t="n">
        <v>0</v>
      </c>
      <c r="Z2415" s="21" t="n">
        <v>0</v>
      </c>
      <c r="AA2415" s="21" t="n">
        <v>0</v>
      </c>
      <c r="AB2415" s="21" t="n">
        <v>0</v>
      </c>
      <c r="AC2415" s="21" t="n">
        <v>0</v>
      </c>
      <c r="AD2415" s="21" t="n">
        <v>0</v>
      </c>
      <c r="AE2415" s="21" t="n">
        <v>0</v>
      </c>
      <c r="AF2415" s="21" t="n">
        <v>0</v>
      </c>
      <c r="AG2415" s="21" t="n">
        <v>0</v>
      </c>
      <c r="AH2415" s="21" t="n">
        <v>0</v>
      </c>
      <c r="AI2415" s="21" t="n">
        <v>0</v>
      </c>
      <c r="AJ2415" s="21" t="n">
        <v>0</v>
      </c>
      <c r="AK2415" s="21" t="n">
        <v>0</v>
      </c>
      <c r="AL2415" s="21" t="n">
        <v>0</v>
      </c>
      <c r="AM2415" s="21" t="n">
        <v>0</v>
      </c>
      <c r="AN2415" s="21" t="n">
        <v>0</v>
      </c>
      <c r="AO2415" s="21" t="n">
        <v>0</v>
      </c>
      <c r="AP2415" s="21" t="n">
        <v>0</v>
      </c>
      <c r="AQ2415" s="21" t="n">
        <v>0</v>
      </c>
      <c r="AR2415" s="21" t="n">
        <v>0</v>
      </c>
      <c r="AS2415" s="21" t="n">
        <v>0</v>
      </c>
      <c r="AT2415" s="19" t="n"/>
    </row>
    <row r="2416">
      <c r="D2416" s="21" t="n">
        <v>0</v>
      </c>
      <c r="E2416" s="21" t="n">
        <v>0</v>
      </c>
      <c r="F2416" s="21" t="n">
        <v>0</v>
      </c>
      <c r="G2416" s="21" t="n">
        <v>0</v>
      </c>
      <c r="H2416" s="21" t="n">
        <v>0</v>
      </c>
      <c r="I2416" s="21" t="n">
        <v>0</v>
      </c>
      <c r="J2416" s="21" t="n">
        <v>0</v>
      </c>
      <c r="K2416" s="21" t="n">
        <v>0</v>
      </c>
      <c r="L2416" s="21" t="n">
        <v>0</v>
      </c>
      <c r="M2416" s="21" t="n">
        <v>0</v>
      </c>
      <c r="N2416" s="21" t="n">
        <v>0</v>
      </c>
      <c r="O2416" s="21" t="n">
        <v>0</v>
      </c>
      <c r="P2416" s="21" t="n">
        <v>0</v>
      </c>
      <c r="Q2416" s="21" t="n">
        <v>0</v>
      </c>
      <c r="R2416" s="21" t="n">
        <v>0</v>
      </c>
      <c r="S2416" s="21" t="n">
        <v>0</v>
      </c>
      <c r="T2416" s="21">
        <f>-$B$1811</f>
        <v/>
      </c>
      <c r="U2416" s="21">
        <f>-$B$1812</f>
        <v/>
      </c>
      <c r="V2416" s="21">
        <f>2*$B$1811+$D$2385</f>
        <v/>
      </c>
      <c r="W2416" s="21">
        <f>0</f>
        <v/>
      </c>
      <c r="X2416" s="21">
        <f>-$B$1811</f>
        <v/>
      </c>
      <c r="Y2416" s="21">
        <f>$B$1812</f>
        <v/>
      </c>
      <c r="Z2416" s="21" t="n">
        <v>0</v>
      </c>
      <c r="AA2416" s="21" t="n">
        <v>0</v>
      </c>
      <c r="AB2416" s="21" t="n">
        <v>0</v>
      </c>
      <c r="AC2416" s="21" t="n">
        <v>0</v>
      </c>
      <c r="AD2416" s="21" t="n">
        <v>0</v>
      </c>
      <c r="AE2416" s="21" t="n">
        <v>0</v>
      </c>
      <c r="AF2416" s="21" t="n">
        <v>0</v>
      </c>
      <c r="AG2416" s="21" t="n">
        <v>0</v>
      </c>
      <c r="AH2416" s="21" t="n">
        <v>0</v>
      </c>
      <c r="AI2416" s="21" t="n">
        <v>0</v>
      </c>
      <c r="AJ2416" s="21" t="n">
        <v>0</v>
      </c>
      <c r="AK2416" s="21" t="n">
        <v>0</v>
      </c>
      <c r="AL2416" s="21" t="n">
        <v>0</v>
      </c>
      <c r="AM2416" s="21" t="n">
        <v>0</v>
      </c>
      <c r="AN2416" s="21" t="n">
        <v>0</v>
      </c>
      <c r="AO2416" s="21" t="n">
        <v>0</v>
      </c>
      <c r="AP2416" s="21" t="n">
        <v>0</v>
      </c>
      <c r="AQ2416" s="21" t="n">
        <v>0</v>
      </c>
      <c r="AR2416" s="21" t="n">
        <v>0</v>
      </c>
      <c r="AS2416" s="21" t="n">
        <v>0</v>
      </c>
      <c r="AT2416" s="19" t="n"/>
    </row>
    <row r="2417">
      <c r="D2417" s="21" t="n">
        <v>0</v>
      </c>
      <c r="E2417" s="21" t="n">
        <v>0</v>
      </c>
      <c r="F2417" s="21" t="n">
        <v>0</v>
      </c>
      <c r="G2417" s="21" t="n">
        <v>0</v>
      </c>
      <c r="H2417" s="21" t="n">
        <v>0</v>
      </c>
      <c r="I2417" s="21" t="n">
        <v>0</v>
      </c>
      <c r="J2417" s="21" t="n">
        <v>0</v>
      </c>
      <c r="K2417" s="21" t="n">
        <v>0</v>
      </c>
      <c r="L2417" s="21" t="n">
        <v>0</v>
      </c>
      <c r="M2417" s="21" t="n">
        <v>0</v>
      </c>
      <c r="N2417" s="21" t="n">
        <v>0</v>
      </c>
      <c r="O2417" s="21" t="n">
        <v>0</v>
      </c>
      <c r="P2417" s="21" t="n">
        <v>0</v>
      </c>
      <c r="Q2417" s="21" t="n">
        <v>0</v>
      </c>
      <c r="R2417" s="21" t="n">
        <v>0</v>
      </c>
      <c r="S2417" s="21" t="n">
        <v>0</v>
      </c>
      <c r="T2417" s="21">
        <f>$B$1812</f>
        <v/>
      </c>
      <c r="U2417" s="21">
        <f>$B$1814</f>
        <v/>
      </c>
      <c r="V2417" s="21">
        <f>0</f>
        <v/>
      </c>
      <c r="W2417" s="21">
        <f>2*$B$1813</f>
        <v/>
      </c>
      <c r="X2417" s="21">
        <f>-$B$1812</f>
        <v/>
      </c>
      <c r="Y2417" s="21">
        <f>$B$1814</f>
        <v/>
      </c>
      <c r="Z2417" s="21" t="n">
        <v>0</v>
      </c>
      <c r="AA2417" s="21" t="n">
        <v>0</v>
      </c>
      <c r="AB2417" s="21" t="n">
        <v>0</v>
      </c>
      <c r="AC2417" s="21" t="n">
        <v>0</v>
      </c>
      <c r="AD2417" s="21" t="n">
        <v>0</v>
      </c>
      <c r="AE2417" s="21" t="n">
        <v>0</v>
      </c>
      <c r="AF2417" s="21" t="n">
        <v>0</v>
      </c>
      <c r="AG2417" s="21" t="n">
        <v>0</v>
      </c>
      <c r="AH2417" s="21" t="n">
        <v>0</v>
      </c>
      <c r="AI2417" s="21" t="n">
        <v>0</v>
      </c>
      <c r="AJ2417" s="21" t="n">
        <v>0</v>
      </c>
      <c r="AK2417" s="21" t="n">
        <v>0</v>
      </c>
      <c r="AL2417" s="21" t="n">
        <v>0</v>
      </c>
      <c r="AM2417" s="21" t="n">
        <v>0</v>
      </c>
      <c r="AN2417" s="21" t="n">
        <v>0</v>
      </c>
      <c r="AO2417" s="21" t="n">
        <v>0</v>
      </c>
      <c r="AP2417" s="21" t="n">
        <v>0</v>
      </c>
      <c r="AQ2417" s="21" t="n">
        <v>0</v>
      </c>
      <c r="AR2417" s="21" t="n">
        <v>0</v>
      </c>
      <c r="AS2417" s="21" t="n">
        <v>0</v>
      </c>
      <c r="AT2417" s="19" t="n"/>
    </row>
    <row r="2418">
      <c r="D2418" s="21" t="n">
        <v>0</v>
      </c>
      <c r="E2418" s="21" t="n">
        <v>0</v>
      </c>
      <c r="F2418" s="21" t="n">
        <v>0</v>
      </c>
      <c r="G2418" s="21" t="n">
        <v>0</v>
      </c>
      <c r="H2418" s="21" t="n">
        <v>0</v>
      </c>
      <c r="I2418" s="21" t="n">
        <v>0</v>
      </c>
      <c r="J2418" s="21" t="n">
        <v>0</v>
      </c>
      <c r="K2418" s="21" t="n">
        <v>0</v>
      </c>
      <c r="L2418" s="21" t="n">
        <v>0</v>
      </c>
      <c r="M2418" s="21" t="n">
        <v>0</v>
      </c>
      <c r="N2418" s="21" t="n">
        <v>0</v>
      </c>
      <c r="O2418" s="21" t="n">
        <v>0</v>
      </c>
      <c r="P2418" s="21" t="n">
        <v>0</v>
      </c>
      <c r="Q2418" s="21" t="n">
        <v>0</v>
      </c>
      <c r="R2418" s="21" t="n">
        <v>0</v>
      </c>
      <c r="S2418" s="21" t="n">
        <v>0</v>
      </c>
      <c r="T2418" s="21" t="n">
        <v>0</v>
      </c>
      <c r="U2418" s="21" t="n">
        <v>0</v>
      </c>
      <c r="V2418" s="21">
        <f>-$B$1811</f>
        <v/>
      </c>
      <c r="W2418" s="21">
        <f>-$B$1812</f>
        <v/>
      </c>
      <c r="X2418" s="21">
        <f>2*$B$1811+$D$2386</f>
        <v/>
      </c>
      <c r="Y2418" s="21">
        <f>0</f>
        <v/>
      </c>
      <c r="Z2418" s="21">
        <f>-$B$1811</f>
        <v/>
      </c>
      <c r="AA2418" s="21">
        <f>$B$1812</f>
        <v/>
      </c>
      <c r="AB2418" s="21" t="n">
        <v>0</v>
      </c>
      <c r="AC2418" s="21" t="n">
        <v>0</v>
      </c>
      <c r="AD2418" s="21" t="n">
        <v>0</v>
      </c>
      <c r="AE2418" s="21" t="n">
        <v>0</v>
      </c>
      <c r="AF2418" s="21" t="n">
        <v>0</v>
      </c>
      <c r="AG2418" s="21" t="n">
        <v>0</v>
      </c>
      <c r="AH2418" s="21" t="n">
        <v>0</v>
      </c>
      <c r="AI2418" s="21" t="n">
        <v>0</v>
      </c>
      <c r="AJ2418" s="21" t="n">
        <v>0</v>
      </c>
      <c r="AK2418" s="21" t="n">
        <v>0</v>
      </c>
      <c r="AL2418" s="21" t="n">
        <v>0</v>
      </c>
      <c r="AM2418" s="21" t="n">
        <v>0</v>
      </c>
      <c r="AN2418" s="21" t="n">
        <v>0</v>
      </c>
      <c r="AO2418" s="21" t="n">
        <v>0</v>
      </c>
      <c r="AP2418" s="21" t="n">
        <v>0</v>
      </c>
      <c r="AQ2418" s="21" t="n">
        <v>0</v>
      </c>
      <c r="AR2418" s="21" t="n">
        <v>0</v>
      </c>
      <c r="AS2418" s="21" t="n">
        <v>0</v>
      </c>
      <c r="AT2418" s="19" t="n"/>
    </row>
    <row r="2419">
      <c r="D2419" s="21" t="n">
        <v>0</v>
      </c>
      <c r="E2419" s="21" t="n">
        <v>0</v>
      </c>
      <c r="F2419" s="21" t="n">
        <v>0</v>
      </c>
      <c r="G2419" s="21" t="n">
        <v>0</v>
      </c>
      <c r="H2419" s="21" t="n">
        <v>0</v>
      </c>
      <c r="I2419" s="21" t="n">
        <v>0</v>
      </c>
      <c r="J2419" s="21" t="n">
        <v>0</v>
      </c>
      <c r="K2419" s="21" t="n">
        <v>0</v>
      </c>
      <c r="L2419" s="21" t="n">
        <v>0</v>
      </c>
      <c r="M2419" s="21" t="n">
        <v>0</v>
      </c>
      <c r="N2419" s="21" t="n">
        <v>0</v>
      </c>
      <c r="O2419" s="21" t="n">
        <v>0</v>
      </c>
      <c r="P2419" s="21" t="n">
        <v>0</v>
      </c>
      <c r="Q2419" s="21" t="n">
        <v>0</v>
      </c>
      <c r="R2419" s="21" t="n">
        <v>0</v>
      </c>
      <c r="S2419" s="21" t="n">
        <v>0</v>
      </c>
      <c r="T2419" s="21" t="n">
        <v>0</v>
      </c>
      <c r="U2419" s="21" t="n">
        <v>0</v>
      </c>
      <c r="V2419" s="21">
        <f>$B$1812</f>
        <v/>
      </c>
      <c r="W2419" s="21">
        <f>$B$1814</f>
        <v/>
      </c>
      <c r="X2419" s="21">
        <f>0</f>
        <v/>
      </c>
      <c r="Y2419" s="21">
        <f>2*$B$1813</f>
        <v/>
      </c>
      <c r="Z2419" s="21">
        <f>-$B$1812</f>
        <v/>
      </c>
      <c r="AA2419" s="21">
        <f>$B$1814</f>
        <v/>
      </c>
      <c r="AB2419" s="21" t="n">
        <v>0</v>
      </c>
      <c r="AC2419" s="21" t="n">
        <v>0</v>
      </c>
      <c r="AD2419" s="21" t="n">
        <v>0</v>
      </c>
      <c r="AE2419" s="21" t="n">
        <v>0</v>
      </c>
      <c r="AF2419" s="21" t="n">
        <v>0</v>
      </c>
      <c r="AG2419" s="21" t="n">
        <v>0</v>
      </c>
      <c r="AH2419" s="21" t="n">
        <v>0</v>
      </c>
      <c r="AI2419" s="21" t="n">
        <v>0</v>
      </c>
      <c r="AJ2419" s="21" t="n">
        <v>0</v>
      </c>
      <c r="AK2419" s="21" t="n">
        <v>0</v>
      </c>
      <c r="AL2419" s="21" t="n">
        <v>0</v>
      </c>
      <c r="AM2419" s="21" t="n">
        <v>0</v>
      </c>
      <c r="AN2419" s="21" t="n">
        <v>0</v>
      </c>
      <c r="AO2419" s="21" t="n">
        <v>0</v>
      </c>
      <c r="AP2419" s="21" t="n">
        <v>0</v>
      </c>
      <c r="AQ2419" s="21" t="n">
        <v>0</v>
      </c>
      <c r="AR2419" s="21" t="n">
        <v>0</v>
      </c>
      <c r="AS2419" s="21" t="n">
        <v>0</v>
      </c>
      <c r="AT2419" s="19" t="n"/>
    </row>
    <row r="2420">
      <c r="D2420" s="21" t="n">
        <v>0</v>
      </c>
      <c r="E2420" s="21" t="n">
        <v>0</v>
      </c>
      <c r="F2420" s="21" t="n">
        <v>0</v>
      </c>
      <c r="G2420" s="21" t="n">
        <v>0</v>
      </c>
      <c r="H2420" s="21" t="n">
        <v>0</v>
      </c>
      <c r="I2420" s="21" t="n">
        <v>0</v>
      </c>
      <c r="J2420" s="21" t="n">
        <v>0</v>
      </c>
      <c r="K2420" s="21" t="n">
        <v>0</v>
      </c>
      <c r="L2420" s="21" t="n">
        <v>0</v>
      </c>
      <c r="M2420" s="21" t="n">
        <v>0</v>
      </c>
      <c r="N2420" s="21" t="n">
        <v>0</v>
      </c>
      <c r="O2420" s="21" t="n">
        <v>0</v>
      </c>
      <c r="P2420" s="21" t="n">
        <v>0</v>
      </c>
      <c r="Q2420" s="21" t="n">
        <v>0</v>
      </c>
      <c r="R2420" s="21" t="n">
        <v>0</v>
      </c>
      <c r="S2420" s="21" t="n">
        <v>0</v>
      </c>
      <c r="T2420" s="21" t="n">
        <v>0</v>
      </c>
      <c r="U2420" s="21" t="n">
        <v>0</v>
      </c>
      <c r="V2420" s="21" t="n">
        <v>0</v>
      </c>
      <c r="W2420" s="21" t="n">
        <v>0</v>
      </c>
      <c r="X2420" s="21">
        <f>-$B$1811</f>
        <v/>
      </c>
      <c r="Y2420" s="21">
        <f>-$B$1812</f>
        <v/>
      </c>
      <c r="Z2420" s="21">
        <f>2*$B$1811+$D$2387</f>
        <v/>
      </c>
      <c r="AA2420" s="21">
        <f>0</f>
        <v/>
      </c>
      <c r="AB2420" s="21">
        <f>-$B$1811</f>
        <v/>
      </c>
      <c r="AC2420" s="21">
        <f>$B$1812</f>
        <v/>
      </c>
      <c r="AD2420" s="21" t="n">
        <v>0</v>
      </c>
      <c r="AE2420" s="21" t="n">
        <v>0</v>
      </c>
      <c r="AF2420" s="21" t="n">
        <v>0</v>
      </c>
      <c r="AG2420" s="21" t="n">
        <v>0</v>
      </c>
      <c r="AH2420" s="21" t="n">
        <v>0</v>
      </c>
      <c r="AI2420" s="21" t="n">
        <v>0</v>
      </c>
      <c r="AJ2420" s="21" t="n">
        <v>0</v>
      </c>
      <c r="AK2420" s="21" t="n">
        <v>0</v>
      </c>
      <c r="AL2420" s="21" t="n">
        <v>0</v>
      </c>
      <c r="AM2420" s="21" t="n">
        <v>0</v>
      </c>
      <c r="AN2420" s="21" t="n">
        <v>0</v>
      </c>
      <c r="AO2420" s="21" t="n">
        <v>0</v>
      </c>
      <c r="AP2420" s="21" t="n">
        <v>0</v>
      </c>
      <c r="AQ2420" s="21" t="n">
        <v>0</v>
      </c>
      <c r="AR2420" s="21" t="n">
        <v>0</v>
      </c>
      <c r="AS2420" s="21" t="n">
        <v>0</v>
      </c>
      <c r="AT2420" s="19" t="n"/>
    </row>
    <row r="2421">
      <c r="D2421" s="21" t="n">
        <v>0</v>
      </c>
      <c r="E2421" s="21" t="n">
        <v>0</v>
      </c>
      <c r="F2421" s="21" t="n">
        <v>0</v>
      </c>
      <c r="G2421" s="21" t="n">
        <v>0</v>
      </c>
      <c r="H2421" s="21" t="n">
        <v>0</v>
      </c>
      <c r="I2421" s="21" t="n">
        <v>0</v>
      </c>
      <c r="J2421" s="21" t="n">
        <v>0</v>
      </c>
      <c r="K2421" s="21" t="n">
        <v>0</v>
      </c>
      <c r="L2421" s="21" t="n">
        <v>0</v>
      </c>
      <c r="M2421" s="21" t="n">
        <v>0</v>
      </c>
      <c r="N2421" s="21" t="n">
        <v>0</v>
      </c>
      <c r="O2421" s="21" t="n">
        <v>0</v>
      </c>
      <c r="P2421" s="21" t="n">
        <v>0</v>
      </c>
      <c r="Q2421" s="21" t="n">
        <v>0</v>
      </c>
      <c r="R2421" s="21" t="n">
        <v>0</v>
      </c>
      <c r="S2421" s="21" t="n">
        <v>0</v>
      </c>
      <c r="T2421" s="21" t="n">
        <v>0</v>
      </c>
      <c r="U2421" s="21" t="n">
        <v>0</v>
      </c>
      <c r="V2421" s="21" t="n">
        <v>0</v>
      </c>
      <c r="W2421" s="21" t="n">
        <v>0</v>
      </c>
      <c r="X2421" s="21">
        <f>$B$1812</f>
        <v/>
      </c>
      <c r="Y2421" s="21">
        <f>$B$1814</f>
        <v/>
      </c>
      <c r="Z2421" s="21">
        <f>0</f>
        <v/>
      </c>
      <c r="AA2421" s="21">
        <f>2*$B$1813</f>
        <v/>
      </c>
      <c r="AB2421" s="21">
        <f>-$B$1812</f>
        <v/>
      </c>
      <c r="AC2421" s="21">
        <f>$B$1814</f>
        <v/>
      </c>
      <c r="AD2421" s="21" t="n">
        <v>0</v>
      </c>
      <c r="AE2421" s="21" t="n">
        <v>0</v>
      </c>
      <c r="AF2421" s="21" t="n">
        <v>0</v>
      </c>
      <c r="AG2421" s="21" t="n">
        <v>0</v>
      </c>
      <c r="AH2421" s="21" t="n">
        <v>0</v>
      </c>
      <c r="AI2421" s="21" t="n">
        <v>0</v>
      </c>
      <c r="AJ2421" s="21" t="n">
        <v>0</v>
      </c>
      <c r="AK2421" s="21" t="n">
        <v>0</v>
      </c>
      <c r="AL2421" s="21" t="n">
        <v>0</v>
      </c>
      <c r="AM2421" s="21" t="n">
        <v>0</v>
      </c>
      <c r="AN2421" s="21" t="n">
        <v>0</v>
      </c>
      <c r="AO2421" s="21" t="n">
        <v>0</v>
      </c>
      <c r="AP2421" s="21" t="n">
        <v>0</v>
      </c>
      <c r="AQ2421" s="21" t="n">
        <v>0</v>
      </c>
      <c r="AR2421" s="21" t="n">
        <v>0</v>
      </c>
      <c r="AS2421" s="21" t="n">
        <v>0</v>
      </c>
      <c r="AT2421" s="19" t="n"/>
    </row>
    <row r="2422">
      <c r="D2422" s="21" t="n">
        <v>0</v>
      </c>
      <c r="E2422" s="21" t="n">
        <v>0</v>
      </c>
      <c r="F2422" s="21" t="n">
        <v>0</v>
      </c>
      <c r="G2422" s="21" t="n">
        <v>0</v>
      </c>
      <c r="H2422" s="21" t="n">
        <v>0</v>
      </c>
      <c r="I2422" s="21" t="n">
        <v>0</v>
      </c>
      <c r="J2422" s="21" t="n">
        <v>0</v>
      </c>
      <c r="K2422" s="21" t="n">
        <v>0</v>
      </c>
      <c r="L2422" s="21" t="n">
        <v>0</v>
      </c>
      <c r="M2422" s="21" t="n">
        <v>0</v>
      </c>
      <c r="N2422" s="21" t="n">
        <v>0</v>
      </c>
      <c r="O2422" s="21" t="n">
        <v>0</v>
      </c>
      <c r="P2422" s="21" t="n">
        <v>0</v>
      </c>
      <c r="Q2422" s="21" t="n">
        <v>0</v>
      </c>
      <c r="R2422" s="21" t="n">
        <v>0</v>
      </c>
      <c r="S2422" s="21" t="n">
        <v>0</v>
      </c>
      <c r="T2422" s="21" t="n">
        <v>0</v>
      </c>
      <c r="U2422" s="21" t="n">
        <v>0</v>
      </c>
      <c r="V2422" s="21" t="n">
        <v>0</v>
      </c>
      <c r="W2422" s="21" t="n">
        <v>0</v>
      </c>
      <c r="X2422" s="21" t="n">
        <v>0</v>
      </c>
      <c r="Y2422" s="21" t="n">
        <v>0</v>
      </c>
      <c r="Z2422" s="21">
        <f>-$B$1811</f>
        <v/>
      </c>
      <c r="AA2422" s="21">
        <f>-$B$1812</f>
        <v/>
      </c>
      <c r="AB2422" s="21">
        <f>2*$B$1811+$D$2388</f>
        <v/>
      </c>
      <c r="AC2422" s="21">
        <f>0</f>
        <v/>
      </c>
      <c r="AD2422" s="21">
        <f>-$B$1811</f>
        <v/>
      </c>
      <c r="AE2422" s="21">
        <f>$B$1812</f>
        <v/>
      </c>
      <c r="AF2422" s="21" t="n">
        <v>0</v>
      </c>
      <c r="AG2422" s="21" t="n">
        <v>0</v>
      </c>
      <c r="AH2422" s="21" t="n">
        <v>0</v>
      </c>
      <c r="AI2422" s="21" t="n">
        <v>0</v>
      </c>
      <c r="AJ2422" s="21" t="n">
        <v>0</v>
      </c>
      <c r="AK2422" s="21" t="n">
        <v>0</v>
      </c>
      <c r="AL2422" s="21" t="n">
        <v>0</v>
      </c>
      <c r="AM2422" s="21" t="n">
        <v>0</v>
      </c>
      <c r="AN2422" s="21" t="n">
        <v>0</v>
      </c>
      <c r="AO2422" s="21" t="n">
        <v>0</v>
      </c>
      <c r="AP2422" s="21" t="n">
        <v>0</v>
      </c>
      <c r="AQ2422" s="21" t="n">
        <v>0</v>
      </c>
      <c r="AR2422" s="21" t="n">
        <v>0</v>
      </c>
      <c r="AS2422" s="21" t="n">
        <v>0</v>
      </c>
      <c r="AT2422" s="19" t="n"/>
    </row>
    <row r="2423">
      <c r="D2423" s="21" t="n">
        <v>0</v>
      </c>
      <c r="E2423" s="21" t="n">
        <v>0</v>
      </c>
      <c r="F2423" s="21" t="n">
        <v>0</v>
      </c>
      <c r="G2423" s="21" t="n">
        <v>0</v>
      </c>
      <c r="H2423" s="21" t="n">
        <v>0</v>
      </c>
      <c r="I2423" s="21" t="n">
        <v>0</v>
      </c>
      <c r="J2423" s="21" t="n">
        <v>0</v>
      </c>
      <c r="K2423" s="21" t="n">
        <v>0</v>
      </c>
      <c r="L2423" s="21" t="n">
        <v>0</v>
      </c>
      <c r="M2423" s="21" t="n">
        <v>0</v>
      </c>
      <c r="N2423" s="21" t="n">
        <v>0</v>
      </c>
      <c r="O2423" s="21" t="n">
        <v>0</v>
      </c>
      <c r="P2423" s="21" t="n">
        <v>0</v>
      </c>
      <c r="Q2423" s="21" t="n">
        <v>0</v>
      </c>
      <c r="R2423" s="21" t="n">
        <v>0</v>
      </c>
      <c r="S2423" s="21" t="n">
        <v>0</v>
      </c>
      <c r="T2423" s="21" t="n">
        <v>0</v>
      </c>
      <c r="U2423" s="21" t="n">
        <v>0</v>
      </c>
      <c r="V2423" s="21" t="n">
        <v>0</v>
      </c>
      <c r="W2423" s="21" t="n">
        <v>0</v>
      </c>
      <c r="X2423" s="21" t="n">
        <v>0</v>
      </c>
      <c r="Y2423" s="21" t="n">
        <v>0</v>
      </c>
      <c r="Z2423" s="21">
        <f>$B$1812</f>
        <v/>
      </c>
      <c r="AA2423" s="21">
        <f>$B$1814</f>
        <v/>
      </c>
      <c r="AB2423" s="21">
        <f>0</f>
        <v/>
      </c>
      <c r="AC2423" s="21">
        <f>2*$B$1813</f>
        <v/>
      </c>
      <c r="AD2423" s="21">
        <f>-$B$1812</f>
        <v/>
      </c>
      <c r="AE2423" s="21">
        <f>$B$1814</f>
        <v/>
      </c>
      <c r="AF2423" s="21" t="n">
        <v>0</v>
      </c>
      <c r="AG2423" s="21" t="n">
        <v>0</v>
      </c>
      <c r="AH2423" s="21" t="n">
        <v>0</v>
      </c>
      <c r="AI2423" s="21" t="n">
        <v>0</v>
      </c>
      <c r="AJ2423" s="21" t="n">
        <v>0</v>
      </c>
      <c r="AK2423" s="21" t="n">
        <v>0</v>
      </c>
      <c r="AL2423" s="21" t="n">
        <v>0</v>
      </c>
      <c r="AM2423" s="21" t="n">
        <v>0</v>
      </c>
      <c r="AN2423" s="21" t="n">
        <v>0</v>
      </c>
      <c r="AO2423" s="21" t="n">
        <v>0</v>
      </c>
      <c r="AP2423" s="21" t="n">
        <v>0</v>
      </c>
      <c r="AQ2423" s="21" t="n">
        <v>0</v>
      </c>
      <c r="AR2423" s="21" t="n">
        <v>0</v>
      </c>
      <c r="AS2423" s="21" t="n">
        <v>0</v>
      </c>
      <c r="AT2423" s="19" t="n"/>
    </row>
    <row r="2424">
      <c r="D2424" s="21" t="n">
        <v>0</v>
      </c>
      <c r="E2424" s="21" t="n">
        <v>0</v>
      </c>
      <c r="F2424" s="21" t="n">
        <v>0</v>
      </c>
      <c r="G2424" s="21" t="n">
        <v>0</v>
      </c>
      <c r="H2424" s="21" t="n">
        <v>0</v>
      </c>
      <c r="I2424" s="21" t="n">
        <v>0</v>
      </c>
      <c r="J2424" s="21" t="n">
        <v>0</v>
      </c>
      <c r="K2424" s="21" t="n">
        <v>0</v>
      </c>
      <c r="L2424" s="21" t="n">
        <v>0</v>
      </c>
      <c r="M2424" s="21" t="n">
        <v>0</v>
      </c>
      <c r="N2424" s="21" t="n">
        <v>0</v>
      </c>
      <c r="O2424" s="21" t="n">
        <v>0</v>
      </c>
      <c r="P2424" s="21" t="n">
        <v>0</v>
      </c>
      <c r="Q2424" s="21" t="n">
        <v>0</v>
      </c>
      <c r="R2424" s="21" t="n">
        <v>0</v>
      </c>
      <c r="S2424" s="21" t="n">
        <v>0</v>
      </c>
      <c r="T2424" s="21" t="n">
        <v>0</v>
      </c>
      <c r="U2424" s="21" t="n">
        <v>0</v>
      </c>
      <c r="V2424" s="21" t="n">
        <v>0</v>
      </c>
      <c r="W2424" s="21" t="n">
        <v>0</v>
      </c>
      <c r="X2424" s="21" t="n">
        <v>0</v>
      </c>
      <c r="Y2424" s="21" t="n">
        <v>0</v>
      </c>
      <c r="Z2424" s="21" t="n">
        <v>0</v>
      </c>
      <c r="AA2424" s="21" t="n">
        <v>0</v>
      </c>
      <c r="AB2424" s="21">
        <f>-$B$1811</f>
        <v/>
      </c>
      <c r="AC2424" s="21">
        <f>-$B$1812</f>
        <v/>
      </c>
      <c r="AD2424" s="21">
        <f>2*$B$1811+$D$2389</f>
        <v/>
      </c>
      <c r="AE2424" s="21">
        <f>0</f>
        <v/>
      </c>
      <c r="AF2424" s="21">
        <f>-$B$1811</f>
        <v/>
      </c>
      <c r="AG2424" s="21">
        <f>$B$1812</f>
        <v/>
      </c>
      <c r="AH2424" s="21" t="n">
        <v>0</v>
      </c>
      <c r="AI2424" s="21" t="n">
        <v>0</v>
      </c>
      <c r="AJ2424" s="21" t="n">
        <v>0</v>
      </c>
      <c r="AK2424" s="21" t="n">
        <v>0</v>
      </c>
      <c r="AL2424" s="21" t="n">
        <v>0</v>
      </c>
      <c r="AM2424" s="21" t="n">
        <v>0</v>
      </c>
      <c r="AN2424" s="21" t="n">
        <v>0</v>
      </c>
      <c r="AO2424" s="21" t="n">
        <v>0</v>
      </c>
      <c r="AP2424" s="21" t="n">
        <v>0</v>
      </c>
      <c r="AQ2424" s="21" t="n">
        <v>0</v>
      </c>
      <c r="AR2424" s="21" t="n">
        <v>0</v>
      </c>
      <c r="AS2424" s="21" t="n">
        <v>0</v>
      </c>
      <c r="AT2424" s="19" t="n"/>
    </row>
    <row r="2425">
      <c r="D2425" s="21" t="n">
        <v>0</v>
      </c>
      <c r="E2425" s="21" t="n">
        <v>0</v>
      </c>
      <c r="F2425" s="21" t="n">
        <v>0</v>
      </c>
      <c r="G2425" s="21" t="n">
        <v>0</v>
      </c>
      <c r="H2425" s="21" t="n">
        <v>0</v>
      </c>
      <c r="I2425" s="21" t="n">
        <v>0</v>
      </c>
      <c r="J2425" s="21" t="n">
        <v>0</v>
      </c>
      <c r="K2425" s="21" t="n">
        <v>0</v>
      </c>
      <c r="L2425" s="21" t="n">
        <v>0</v>
      </c>
      <c r="M2425" s="21" t="n">
        <v>0</v>
      </c>
      <c r="N2425" s="21" t="n">
        <v>0</v>
      </c>
      <c r="O2425" s="21" t="n">
        <v>0</v>
      </c>
      <c r="P2425" s="21" t="n">
        <v>0</v>
      </c>
      <c r="Q2425" s="21" t="n">
        <v>0</v>
      </c>
      <c r="R2425" s="21" t="n">
        <v>0</v>
      </c>
      <c r="S2425" s="21" t="n">
        <v>0</v>
      </c>
      <c r="T2425" s="21" t="n">
        <v>0</v>
      </c>
      <c r="U2425" s="21" t="n">
        <v>0</v>
      </c>
      <c r="V2425" s="21" t="n">
        <v>0</v>
      </c>
      <c r="W2425" s="21" t="n">
        <v>0</v>
      </c>
      <c r="X2425" s="21" t="n">
        <v>0</v>
      </c>
      <c r="Y2425" s="21" t="n">
        <v>0</v>
      </c>
      <c r="Z2425" s="21" t="n">
        <v>0</v>
      </c>
      <c r="AA2425" s="21" t="n">
        <v>0</v>
      </c>
      <c r="AB2425" s="21">
        <f>$B$1812</f>
        <v/>
      </c>
      <c r="AC2425" s="21">
        <f>$B$1814</f>
        <v/>
      </c>
      <c r="AD2425" s="21">
        <f>0</f>
        <v/>
      </c>
      <c r="AE2425" s="21">
        <f>2*$B$1813</f>
        <v/>
      </c>
      <c r="AF2425" s="21">
        <f>-$B$1812</f>
        <v/>
      </c>
      <c r="AG2425" s="21">
        <f>$B$1814</f>
        <v/>
      </c>
      <c r="AH2425" s="21" t="n">
        <v>0</v>
      </c>
      <c r="AI2425" s="21" t="n">
        <v>0</v>
      </c>
      <c r="AJ2425" s="21" t="n">
        <v>0</v>
      </c>
      <c r="AK2425" s="21" t="n">
        <v>0</v>
      </c>
      <c r="AL2425" s="21" t="n">
        <v>0</v>
      </c>
      <c r="AM2425" s="21" t="n">
        <v>0</v>
      </c>
      <c r="AN2425" s="21" t="n">
        <v>0</v>
      </c>
      <c r="AO2425" s="21" t="n">
        <v>0</v>
      </c>
      <c r="AP2425" s="21" t="n">
        <v>0</v>
      </c>
      <c r="AQ2425" s="21" t="n">
        <v>0</v>
      </c>
      <c r="AR2425" s="21" t="n">
        <v>0</v>
      </c>
      <c r="AS2425" s="21" t="n">
        <v>0</v>
      </c>
      <c r="AT2425" s="19" t="n"/>
    </row>
    <row r="2426">
      <c r="D2426" s="21" t="n">
        <v>0</v>
      </c>
      <c r="E2426" s="21" t="n">
        <v>0</v>
      </c>
      <c r="F2426" s="21" t="n">
        <v>0</v>
      </c>
      <c r="G2426" s="21" t="n">
        <v>0</v>
      </c>
      <c r="H2426" s="21" t="n">
        <v>0</v>
      </c>
      <c r="I2426" s="21" t="n">
        <v>0</v>
      </c>
      <c r="J2426" s="21" t="n">
        <v>0</v>
      </c>
      <c r="K2426" s="21" t="n">
        <v>0</v>
      </c>
      <c r="L2426" s="21" t="n">
        <v>0</v>
      </c>
      <c r="M2426" s="21" t="n">
        <v>0</v>
      </c>
      <c r="N2426" s="21" t="n">
        <v>0</v>
      </c>
      <c r="O2426" s="21" t="n">
        <v>0</v>
      </c>
      <c r="P2426" s="21" t="n">
        <v>0</v>
      </c>
      <c r="Q2426" s="21" t="n">
        <v>0</v>
      </c>
      <c r="R2426" s="21" t="n">
        <v>0</v>
      </c>
      <c r="S2426" s="21" t="n">
        <v>0</v>
      </c>
      <c r="T2426" s="21" t="n">
        <v>0</v>
      </c>
      <c r="U2426" s="21" t="n">
        <v>0</v>
      </c>
      <c r="V2426" s="21" t="n">
        <v>0</v>
      </c>
      <c r="W2426" s="21" t="n">
        <v>0</v>
      </c>
      <c r="X2426" s="21" t="n">
        <v>0</v>
      </c>
      <c r="Y2426" s="21" t="n">
        <v>0</v>
      </c>
      <c r="Z2426" s="21" t="n">
        <v>0</v>
      </c>
      <c r="AA2426" s="21" t="n">
        <v>0</v>
      </c>
      <c r="AB2426" s="21" t="n">
        <v>0</v>
      </c>
      <c r="AC2426" s="21" t="n">
        <v>0</v>
      </c>
      <c r="AD2426" s="21">
        <f>-$B$1811</f>
        <v/>
      </c>
      <c r="AE2426" s="21">
        <f>-$B$1812</f>
        <v/>
      </c>
      <c r="AF2426" s="21">
        <f>2*$B$1811+$D$2390</f>
        <v/>
      </c>
      <c r="AG2426" s="21">
        <f>0</f>
        <v/>
      </c>
      <c r="AH2426" s="21">
        <f>-$B$1811</f>
        <v/>
      </c>
      <c r="AI2426" s="21">
        <f>$B$1812</f>
        <v/>
      </c>
      <c r="AJ2426" s="21" t="n">
        <v>0</v>
      </c>
      <c r="AK2426" s="21" t="n">
        <v>0</v>
      </c>
      <c r="AL2426" s="21" t="n">
        <v>0</v>
      </c>
      <c r="AM2426" s="21" t="n">
        <v>0</v>
      </c>
      <c r="AN2426" s="21" t="n">
        <v>0</v>
      </c>
      <c r="AO2426" s="21" t="n">
        <v>0</v>
      </c>
      <c r="AP2426" s="21" t="n">
        <v>0</v>
      </c>
      <c r="AQ2426" s="21" t="n">
        <v>0</v>
      </c>
      <c r="AR2426" s="21" t="n">
        <v>0</v>
      </c>
      <c r="AS2426" s="21" t="n">
        <v>0</v>
      </c>
      <c r="AT2426" s="19" t="n"/>
    </row>
    <row r="2427">
      <c r="D2427" s="21" t="n">
        <v>0</v>
      </c>
      <c r="E2427" s="21" t="n">
        <v>0</v>
      </c>
      <c r="F2427" s="21" t="n">
        <v>0</v>
      </c>
      <c r="G2427" s="21" t="n">
        <v>0</v>
      </c>
      <c r="H2427" s="21" t="n">
        <v>0</v>
      </c>
      <c r="I2427" s="21" t="n">
        <v>0</v>
      </c>
      <c r="J2427" s="21" t="n">
        <v>0</v>
      </c>
      <c r="K2427" s="21" t="n">
        <v>0</v>
      </c>
      <c r="L2427" s="21" t="n">
        <v>0</v>
      </c>
      <c r="M2427" s="21" t="n">
        <v>0</v>
      </c>
      <c r="N2427" s="21" t="n">
        <v>0</v>
      </c>
      <c r="O2427" s="21" t="n">
        <v>0</v>
      </c>
      <c r="P2427" s="21" t="n">
        <v>0</v>
      </c>
      <c r="Q2427" s="21" t="n">
        <v>0</v>
      </c>
      <c r="R2427" s="21" t="n">
        <v>0</v>
      </c>
      <c r="S2427" s="21" t="n">
        <v>0</v>
      </c>
      <c r="T2427" s="21" t="n">
        <v>0</v>
      </c>
      <c r="U2427" s="21" t="n">
        <v>0</v>
      </c>
      <c r="V2427" s="21" t="n">
        <v>0</v>
      </c>
      <c r="W2427" s="21" t="n">
        <v>0</v>
      </c>
      <c r="X2427" s="21" t="n">
        <v>0</v>
      </c>
      <c r="Y2427" s="21" t="n">
        <v>0</v>
      </c>
      <c r="Z2427" s="21" t="n">
        <v>0</v>
      </c>
      <c r="AA2427" s="21" t="n">
        <v>0</v>
      </c>
      <c r="AB2427" s="21" t="n">
        <v>0</v>
      </c>
      <c r="AC2427" s="21" t="n">
        <v>0</v>
      </c>
      <c r="AD2427" s="21">
        <f>$B$1812</f>
        <v/>
      </c>
      <c r="AE2427" s="21">
        <f>$B$1814</f>
        <v/>
      </c>
      <c r="AF2427" s="21">
        <f>0</f>
        <v/>
      </c>
      <c r="AG2427" s="21">
        <f>2*$B$1813</f>
        <v/>
      </c>
      <c r="AH2427" s="21">
        <f>-$B$1812</f>
        <v/>
      </c>
      <c r="AI2427" s="21">
        <f>$B$1814</f>
        <v/>
      </c>
      <c r="AJ2427" s="21" t="n">
        <v>0</v>
      </c>
      <c r="AK2427" s="21" t="n">
        <v>0</v>
      </c>
      <c r="AL2427" s="21" t="n">
        <v>0</v>
      </c>
      <c r="AM2427" s="21" t="n">
        <v>0</v>
      </c>
      <c r="AN2427" s="21" t="n">
        <v>0</v>
      </c>
      <c r="AO2427" s="21" t="n">
        <v>0</v>
      </c>
      <c r="AP2427" s="21" t="n">
        <v>0</v>
      </c>
      <c r="AQ2427" s="21" t="n">
        <v>0</v>
      </c>
      <c r="AR2427" s="21" t="n">
        <v>0</v>
      </c>
      <c r="AS2427" s="21" t="n">
        <v>0</v>
      </c>
      <c r="AT2427" s="19" t="n"/>
    </row>
    <row r="2428">
      <c r="D2428" s="21" t="n">
        <v>0</v>
      </c>
      <c r="E2428" s="21" t="n">
        <v>0</v>
      </c>
      <c r="F2428" s="21" t="n">
        <v>0</v>
      </c>
      <c r="G2428" s="21" t="n">
        <v>0</v>
      </c>
      <c r="H2428" s="21" t="n">
        <v>0</v>
      </c>
      <c r="I2428" s="21" t="n">
        <v>0</v>
      </c>
      <c r="J2428" s="21" t="n">
        <v>0</v>
      </c>
      <c r="K2428" s="21" t="n">
        <v>0</v>
      </c>
      <c r="L2428" s="21" t="n">
        <v>0</v>
      </c>
      <c r="M2428" s="21" t="n">
        <v>0</v>
      </c>
      <c r="N2428" s="21" t="n">
        <v>0</v>
      </c>
      <c r="O2428" s="21" t="n">
        <v>0</v>
      </c>
      <c r="P2428" s="21" t="n">
        <v>0</v>
      </c>
      <c r="Q2428" s="21" t="n">
        <v>0</v>
      </c>
      <c r="R2428" s="21" t="n">
        <v>0</v>
      </c>
      <c r="S2428" s="21" t="n">
        <v>0</v>
      </c>
      <c r="T2428" s="21" t="n">
        <v>0</v>
      </c>
      <c r="U2428" s="21" t="n">
        <v>0</v>
      </c>
      <c r="V2428" s="21" t="n">
        <v>0</v>
      </c>
      <c r="W2428" s="21" t="n">
        <v>0</v>
      </c>
      <c r="X2428" s="21" t="n">
        <v>0</v>
      </c>
      <c r="Y2428" s="21" t="n">
        <v>0</v>
      </c>
      <c r="Z2428" s="21" t="n">
        <v>0</v>
      </c>
      <c r="AA2428" s="21" t="n">
        <v>0</v>
      </c>
      <c r="AB2428" s="21" t="n">
        <v>0</v>
      </c>
      <c r="AC2428" s="21" t="n">
        <v>0</v>
      </c>
      <c r="AD2428" s="21" t="n">
        <v>0</v>
      </c>
      <c r="AE2428" s="21" t="n">
        <v>0</v>
      </c>
      <c r="AF2428" s="21">
        <f>-$B$1811</f>
        <v/>
      </c>
      <c r="AG2428" s="21">
        <f>-$B$1812</f>
        <v/>
      </c>
      <c r="AH2428" s="21">
        <f>2*$B$1811+$D$2391</f>
        <v/>
      </c>
      <c r="AI2428" s="21">
        <f>0</f>
        <v/>
      </c>
      <c r="AJ2428" s="21">
        <f>-$B$1811</f>
        <v/>
      </c>
      <c r="AK2428" s="21">
        <f>$B$1812</f>
        <v/>
      </c>
      <c r="AL2428" s="21" t="n">
        <v>0</v>
      </c>
      <c r="AM2428" s="21" t="n">
        <v>0</v>
      </c>
      <c r="AN2428" s="21" t="n">
        <v>0</v>
      </c>
      <c r="AO2428" s="21" t="n">
        <v>0</v>
      </c>
      <c r="AP2428" s="21" t="n">
        <v>0</v>
      </c>
      <c r="AQ2428" s="21" t="n">
        <v>0</v>
      </c>
      <c r="AR2428" s="21" t="n">
        <v>0</v>
      </c>
      <c r="AS2428" s="21" t="n">
        <v>0</v>
      </c>
      <c r="AT2428" s="19" t="n"/>
    </row>
    <row r="2429">
      <c r="D2429" s="21" t="n">
        <v>0</v>
      </c>
      <c r="E2429" s="21" t="n">
        <v>0</v>
      </c>
      <c r="F2429" s="21" t="n">
        <v>0</v>
      </c>
      <c r="G2429" s="21" t="n">
        <v>0</v>
      </c>
      <c r="H2429" s="21" t="n">
        <v>0</v>
      </c>
      <c r="I2429" s="21" t="n">
        <v>0</v>
      </c>
      <c r="J2429" s="21" t="n">
        <v>0</v>
      </c>
      <c r="K2429" s="21" t="n">
        <v>0</v>
      </c>
      <c r="L2429" s="21" t="n">
        <v>0</v>
      </c>
      <c r="M2429" s="21" t="n">
        <v>0</v>
      </c>
      <c r="N2429" s="21" t="n">
        <v>0</v>
      </c>
      <c r="O2429" s="21" t="n">
        <v>0</v>
      </c>
      <c r="P2429" s="21" t="n">
        <v>0</v>
      </c>
      <c r="Q2429" s="21" t="n">
        <v>0</v>
      </c>
      <c r="R2429" s="21" t="n">
        <v>0</v>
      </c>
      <c r="S2429" s="21" t="n">
        <v>0</v>
      </c>
      <c r="T2429" s="21" t="n">
        <v>0</v>
      </c>
      <c r="U2429" s="21" t="n">
        <v>0</v>
      </c>
      <c r="V2429" s="21" t="n">
        <v>0</v>
      </c>
      <c r="W2429" s="21" t="n">
        <v>0</v>
      </c>
      <c r="X2429" s="21" t="n">
        <v>0</v>
      </c>
      <c r="Y2429" s="21" t="n">
        <v>0</v>
      </c>
      <c r="Z2429" s="21" t="n">
        <v>0</v>
      </c>
      <c r="AA2429" s="21" t="n">
        <v>0</v>
      </c>
      <c r="AB2429" s="21" t="n">
        <v>0</v>
      </c>
      <c r="AC2429" s="21" t="n">
        <v>0</v>
      </c>
      <c r="AD2429" s="21" t="n">
        <v>0</v>
      </c>
      <c r="AE2429" s="21" t="n">
        <v>0</v>
      </c>
      <c r="AF2429" s="21">
        <f>$B$1812</f>
        <v/>
      </c>
      <c r="AG2429" s="21">
        <f>$B$1814</f>
        <v/>
      </c>
      <c r="AH2429" s="21">
        <f>0</f>
        <v/>
      </c>
      <c r="AI2429" s="21">
        <f>2*$B$1813</f>
        <v/>
      </c>
      <c r="AJ2429" s="21">
        <f>-$B$1812</f>
        <v/>
      </c>
      <c r="AK2429" s="21">
        <f>$B$1814</f>
        <v/>
      </c>
      <c r="AL2429" s="21" t="n">
        <v>0</v>
      </c>
      <c r="AM2429" s="21" t="n">
        <v>0</v>
      </c>
      <c r="AN2429" s="21" t="n">
        <v>0</v>
      </c>
      <c r="AO2429" s="21" t="n">
        <v>0</v>
      </c>
      <c r="AP2429" s="21" t="n">
        <v>0</v>
      </c>
      <c r="AQ2429" s="21" t="n">
        <v>0</v>
      </c>
      <c r="AR2429" s="21" t="n">
        <v>0</v>
      </c>
      <c r="AS2429" s="21" t="n">
        <v>0</v>
      </c>
      <c r="AT2429" s="19" t="n"/>
    </row>
    <row r="2430">
      <c r="D2430" s="21" t="n">
        <v>0</v>
      </c>
      <c r="E2430" s="21" t="n">
        <v>0</v>
      </c>
      <c r="F2430" s="21" t="n">
        <v>0</v>
      </c>
      <c r="G2430" s="21" t="n">
        <v>0</v>
      </c>
      <c r="H2430" s="21" t="n">
        <v>0</v>
      </c>
      <c r="I2430" s="21" t="n">
        <v>0</v>
      </c>
      <c r="J2430" s="21" t="n">
        <v>0</v>
      </c>
      <c r="K2430" s="21" t="n">
        <v>0</v>
      </c>
      <c r="L2430" s="21" t="n">
        <v>0</v>
      </c>
      <c r="M2430" s="21" t="n">
        <v>0</v>
      </c>
      <c r="N2430" s="21" t="n">
        <v>0</v>
      </c>
      <c r="O2430" s="21" t="n">
        <v>0</v>
      </c>
      <c r="P2430" s="21" t="n">
        <v>0</v>
      </c>
      <c r="Q2430" s="21" t="n">
        <v>0</v>
      </c>
      <c r="R2430" s="21" t="n">
        <v>0</v>
      </c>
      <c r="S2430" s="21" t="n">
        <v>0</v>
      </c>
      <c r="T2430" s="21" t="n">
        <v>0</v>
      </c>
      <c r="U2430" s="21" t="n">
        <v>0</v>
      </c>
      <c r="V2430" s="21" t="n">
        <v>0</v>
      </c>
      <c r="W2430" s="21" t="n">
        <v>0</v>
      </c>
      <c r="X2430" s="21" t="n">
        <v>0</v>
      </c>
      <c r="Y2430" s="21" t="n">
        <v>0</v>
      </c>
      <c r="Z2430" s="21" t="n">
        <v>0</v>
      </c>
      <c r="AA2430" s="21" t="n">
        <v>0</v>
      </c>
      <c r="AB2430" s="21" t="n">
        <v>0</v>
      </c>
      <c r="AC2430" s="21" t="n">
        <v>0</v>
      </c>
      <c r="AD2430" s="21" t="n">
        <v>0</v>
      </c>
      <c r="AE2430" s="21" t="n">
        <v>0</v>
      </c>
      <c r="AF2430" s="21" t="n">
        <v>0</v>
      </c>
      <c r="AG2430" s="21" t="n">
        <v>0</v>
      </c>
      <c r="AH2430" s="21">
        <f>-$B$1811</f>
        <v/>
      </c>
      <c r="AI2430" s="21">
        <f>-$B$1812</f>
        <v/>
      </c>
      <c r="AJ2430" s="21">
        <f>2*$B$1811+$D$2392</f>
        <v/>
      </c>
      <c r="AK2430" s="21">
        <f>0</f>
        <v/>
      </c>
      <c r="AL2430" s="21">
        <f>-$B$1811</f>
        <v/>
      </c>
      <c r="AM2430" s="21">
        <f>$B$1812</f>
        <v/>
      </c>
      <c r="AN2430" s="21" t="n">
        <v>0</v>
      </c>
      <c r="AO2430" s="21" t="n">
        <v>0</v>
      </c>
      <c r="AP2430" s="21" t="n">
        <v>0</v>
      </c>
      <c r="AQ2430" s="21" t="n">
        <v>0</v>
      </c>
      <c r="AR2430" s="21" t="n">
        <v>0</v>
      </c>
      <c r="AS2430" s="21" t="n">
        <v>0</v>
      </c>
      <c r="AT2430" s="19" t="n"/>
    </row>
    <row r="2431">
      <c r="D2431" s="21" t="n">
        <v>0</v>
      </c>
      <c r="E2431" s="21" t="n">
        <v>0</v>
      </c>
      <c r="F2431" s="21" t="n">
        <v>0</v>
      </c>
      <c r="G2431" s="21" t="n">
        <v>0</v>
      </c>
      <c r="H2431" s="21" t="n">
        <v>0</v>
      </c>
      <c r="I2431" s="21" t="n">
        <v>0</v>
      </c>
      <c r="J2431" s="21" t="n">
        <v>0</v>
      </c>
      <c r="K2431" s="21" t="n">
        <v>0</v>
      </c>
      <c r="L2431" s="21" t="n">
        <v>0</v>
      </c>
      <c r="M2431" s="21" t="n">
        <v>0</v>
      </c>
      <c r="N2431" s="21" t="n">
        <v>0</v>
      </c>
      <c r="O2431" s="21" t="n">
        <v>0</v>
      </c>
      <c r="P2431" s="21" t="n">
        <v>0</v>
      </c>
      <c r="Q2431" s="21" t="n">
        <v>0</v>
      </c>
      <c r="R2431" s="21" t="n">
        <v>0</v>
      </c>
      <c r="S2431" s="21" t="n">
        <v>0</v>
      </c>
      <c r="T2431" s="21" t="n">
        <v>0</v>
      </c>
      <c r="U2431" s="21" t="n">
        <v>0</v>
      </c>
      <c r="V2431" s="21" t="n">
        <v>0</v>
      </c>
      <c r="W2431" s="21" t="n">
        <v>0</v>
      </c>
      <c r="X2431" s="21" t="n">
        <v>0</v>
      </c>
      <c r="Y2431" s="21" t="n">
        <v>0</v>
      </c>
      <c r="Z2431" s="21" t="n">
        <v>0</v>
      </c>
      <c r="AA2431" s="21" t="n">
        <v>0</v>
      </c>
      <c r="AB2431" s="21" t="n">
        <v>0</v>
      </c>
      <c r="AC2431" s="21" t="n">
        <v>0</v>
      </c>
      <c r="AD2431" s="21" t="n">
        <v>0</v>
      </c>
      <c r="AE2431" s="21" t="n">
        <v>0</v>
      </c>
      <c r="AF2431" s="21" t="n">
        <v>0</v>
      </c>
      <c r="AG2431" s="21" t="n">
        <v>0</v>
      </c>
      <c r="AH2431" s="21">
        <f>$B$1812</f>
        <v/>
      </c>
      <c r="AI2431" s="21">
        <f>$B$1814</f>
        <v/>
      </c>
      <c r="AJ2431" s="21">
        <f>0</f>
        <v/>
      </c>
      <c r="AK2431" s="21">
        <f>2*$B$1813</f>
        <v/>
      </c>
      <c r="AL2431" s="21">
        <f>-$B$1812</f>
        <v/>
      </c>
      <c r="AM2431" s="21">
        <f>$B$1814</f>
        <v/>
      </c>
      <c r="AN2431" s="21" t="n">
        <v>0</v>
      </c>
      <c r="AO2431" s="21" t="n">
        <v>0</v>
      </c>
      <c r="AP2431" s="21" t="n">
        <v>0</v>
      </c>
      <c r="AQ2431" s="21" t="n">
        <v>0</v>
      </c>
      <c r="AR2431" s="21" t="n">
        <v>0</v>
      </c>
      <c r="AS2431" s="21" t="n">
        <v>0</v>
      </c>
      <c r="AT2431" s="19" t="n"/>
    </row>
    <row r="2432">
      <c r="D2432" s="21" t="n">
        <v>0</v>
      </c>
      <c r="E2432" s="21" t="n">
        <v>0</v>
      </c>
      <c r="F2432" s="21" t="n">
        <v>0</v>
      </c>
      <c r="G2432" s="21" t="n">
        <v>0</v>
      </c>
      <c r="H2432" s="21" t="n">
        <v>0</v>
      </c>
      <c r="I2432" s="21" t="n">
        <v>0</v>
      </c>
      <c r="J2432" s="21" t="n">
        <v>0</v>
      </c>
      <c r="K2432" s="21" t="n">
        <v>0</v>
      </c>
      <c r="L2432" s="21" t="n">
        <v>0</v>
      </c>
      <c r="M2432" s="21" t="n">
        <v>0</v>
      </c>
      <c r="N2432" s="21" t="n">
        <v>0</v>
      </c>
      <c r="O2432" s="21" t="n">
        <v>0</v>
      </c>
      <c r="P2432" s="21" t="n">
        <v>0</v>
      </c>
      <c r="Q2432" s="21" t="n">
        <v>0</v>
      </c>
      <c r="R2432" s="21" t="n">
        <v>0</v>
      </c>
      <c r="S2432" s="21" t="n">
        <v>0</v>
      </c>
      <c r="T2432" s="21" t="n">
        <v>0</v>
      </c>
      <c r="U2432" s="21" t="n">
        <v>0</v>
      </c>
      <c r="V2432" s="21" t="n">
        <v>0</v>
      </c>
      <c r="W2432" s="21" t="n">
        <v>0</v>
      </c>
      <c r="X2432" s="21" t="n">
        <v>0</v>
      </c>
      <c r="Y2432" s="21" t="n">
        <v>0</v>
      </c>
      <c r="Z2432" s="21" t="n">
        <v>0</v>
      </c>
      <c r="AA2432" s="21" t="n">
        <v>0</v>
      </c>
      <c r="AB2432" s="21" t="n">
        <v>0</v>
      </c>
      <c r="AC2432" s="21" t="n">
        <v>0</v>
      </c>
      <c r="AD2432" s="21" t="n">
        <v>0</v>
      </c>
      <c r="AE2432" s="21" t="n">
        <v>0</v>
      </c>
      <c r="AF2432" s="21" t="n">
        <v>0</v>
      </c>
      <c r="AG2432" s="21" t="n">
        <v>0</v>
      </c>
      <c r="AH2432" s="21" t="n">
        <v>0</v>
      </c>
      <c r="AI2432" s="21" t="n">
        <v>0</v>
      </c>
      <c r="AJ2432" s="21">
        <f>-$B$1811</f>
        <v/>
      </c>
      <c r="AK2432" s="21">
        <f>-$B$1812</f>
        <v/>
      </c>
      <c r="AL2432" s="21">
        <f>2*$B$1811+$D$2393</f>
        <v/>
      </c>
      <c r="AM2432" s="21">
        <f>0</f>
        <v/>
      </c>
      <c r="AN2432" s="21">
        <f>-$B$1811</f>
        <v/>
      </c>
      <c r="AO2432" s="21">
        <f>$B$1812</f>
        <v/>
      </c>
      <c r="AP2432" s="21" t="n">
        <v>0</v>
      </c>
      <c r="AQ2432" s="21" t="n">
        <v>0</v>
      </c>
      <c r="AR2432" s="21" t="n">
        <v>0</v>
      </c>
      <c r="AS2432" s="21" t="n">
        <v>0</v>
      </c>
      <c r="AT2432" s="19" t="n"/>
    </row>
    <row r="2433">
      <c r="D2433" s="21" t="n">
        <v>0</v>
      </c>
      <c r="E2433" s="21" t="n">
        <v>0</v>
      </c>
      <c r="F2433" s="21" t="n">
        <v>0</v>
      </c>
      <c r="G2433" s="21" t="n">
        <v>0</v>
      </c>
      <c r="H2433" s="21" t="n">
        <v>0</v>
      </c>
      <c r="I2433" s="21" t="n">
        <v>0</v>
      </c>
      <c r="J2433" s="21" t="n">
        <v>0</v>
      </c>
      <c r="K2433" s="21" t="n">
        <v>0</v>
      </c>
      <c r="L2433" s="21" t="n">
        <v>0</v>
      </c>
      <c r="M2433" s="21" t="n">
        <v>0</v>
      </c>
      <c r="N2433" s="21" t="n">
        <v>0</v>
      </c>
      <c r="O2433" s="21" t="n">
        <v>0</v>
      </c>
      <c r="P2433" s="21" t="n">
        <v>0</v>
      </c>
      <c r="Q2433" s="21" t="n">
        <v>0</v>
      </c>
      <c r="R2433" s="21" t="n">
        <v>0</v>
      </c>
      <c r="S2433" s="21" t="n">
        <v>0</v>
      </c>
      <c r="T2433" s="21" t="n">
        <v>0</v>
      </c>
      <c r="U2433" s="21" t="n">
        <v>0</v>
      </c>
      <c r="V2433" s="21" t="n">
        <v>0</v>
      </c>
      <c r="W2433" s="21" t="n">
        <v>0</v>
      </c>
      <c r="X2433" s="21" t="n">
        <v>0</v>
      </c>
      <c r="Y2433" s="21" t="n">
        <v>0</v>
      </c>
      <c r="Z2433" s="21" t="n">
        <v>0</v>
      </c>
      <c r="AA2433" s="21" t="n">
        <v>0</v>
      </c>
      <c r="AB2433" s="21" t="n">
        <v>0</v>
      </c>
      <c r="AC2433" s="21" t="n">
        <v>0</v>
      </c>
      <c r="AD2433" s="21" t="n">
        <v>0</v>
      </c>
      <c r="AE2433" s="21" t="n">
        <v>0</v>
      </c>
      <c r="AF2433" s="21" t="n">
        <v>0</v>
      </c>
      <c r="AG2433" s="21" t="n">
        <v>0</v>
      </c>
      <c r="AH2433" s="21" t="n">
        <v>0</v>
      </c>
      <c r="AI2433" s="21" t="n">
        <v>0</v>
      </c>
      <c r="AJ2433" s="21">
        <f>$B$1812</f>
        <v/>
      </c>
      <c r="AK2433" s="21">
        <f>$B$1814</f>
        <v/>
      </c>
      <c r="AL2433" s="21">
        <f>0</f>
        <v/>
      </c>
      <c r="AM2433" s="21">
        <f>2*$B$1813</f>
        <v/>
      </c>
      <c r="AN2433" s="21">
        <f>-$B$1812</f>
        <v/>
      </c>
      <c r="AO2433" s="21">
        <f>$B$1814</f>
        <v/>
      </c>
      <c r="AP2433" s="21" t="n">
        <v>0</v>
      </c>
      <c r="AQ2433" s="21" t="n">
        <v>0</v>
      </c>
      <c r="AR2433" s="21" t="n">
        <v>0</v>
      </c>
      <c r="AS2433" s="21" t="n">
        <v>0</v>
      </c>
      <c r="AT2433" s="19" t="n"/>
    </row>
    <row r="2434">
      <c r="D2434" s="21" t="n">
        <v>0</v>
      </c>
      <c r="E2434" s="21" t="n">
        <v>0</v>
      </c>
      <c r="F2434" s="21" t="n">
        <v>0</v>
      </c>
      <c r="G2434" s="21" t="n">
        <v>0</v>
      </c>
      <c r="H2434" s="21" t="n">
        <v>0</v>
      </c>
      <c r="I2434" s="21" t="n">
        <v>0</v>
      </c>
      <c r="J2434" s="21" t="n">
        <v>0</v>
      </c>
      <c r="K2434" s="21" t="n">
        <v>0</v>
      </c>
      <c r="L2434" s="21" t="n">
        <v>0</v>
      </c>
      <c r="M2434" s="21" t="n">
        <v>0</v>
      </c>
      <c r="N2434" s="21" t="n">
        <v>0</v>
      </c>
      <c r="O2434" s="21" t="n">
        <v>0</v>
      </c>
      <c r="P2434" s="21" t="n">
        <v>0</v>
      </c>
      <c r="Q2434" s="21" t="n">
        <v>0</v>
      </c>
      <c r="R2434" s="21" t="n">
        <v>0</v>
      </c>
      <c r="S2434" s="21" t="n">
        <v>0</v>
      </c>
      <c r="T2434" s="21" t="n">
        <v>0</v>
      </c>
      <c r="U2434" s="21" t="n">
        <v>0</v>
      </c>
      <c r="V2434" s="21" t="n">
        <v>0</v>
      </c>
      <c r="W2434" s="21" t="n">
        <v>0</v>
      </c>
      <c r="X2434" s="21" t="n">
        <v>0</v>
      </c>
      <c r="Y2434" s="21" t="n">
        <v>0</v>
      </c>
      <c r="Z2434" s="21" t="n">
        <v>0</v>
      </c>
      <c r="AA2434" s="21" t="n">
        <v>0</v>
      </c>
      <c r="AB2434" s="21" t="n">
        <v>0</v>
      </c>
      <c r="AC2434" s="21" t="n">
        <v>0</v>
      </c>
      <c r="AD2434" s="21" t="n">
        <v>0</v>
      </c>
      <c r="AE2434" s="21" t="n">
        <v>0</v>
      </c>
      <c r="AF2434" s="21" t="n">
        <v>0</v>
      </c>
      <c r="AG2434" s="21" t="n">
        <v>0</v>
      </c>
      <c r="AH2434" s="21" t="n">
        <v>0</v>
      </c>
      <c r="AI2434" s="21" t="n">
        <v>0</v>
      </c>
      <c r="AJ2434" s="21" t="n">
        <v>0</v>
      </c>
      <c r="AK2434" s="21" t="n">
        <v>0</v>
      </c>
      <c r="AL2434" s="21">
        <f>-$B$1811</f>
        <v/>
      </c>
      <c r="AM2434" s="21">
        <f>-$B$1812</f>
        <v/>
      </c>
      <c r="AN2434" s="21">
        <f>2*$B$1811+$D$2394</f>
        <v/>
      </c>
      <c r="AO2434" s="21">
        <f>0</f>
        <v/>
      </c>
      <c r="AP2434" s="21">
        <f>-$B$1811</f>
        <v/>
      </c>
      <c r="AQ2434" s="21">
        <f>$B$1812</f>
        <v/>
      </c>
      <c r="AR2434" s="21" t="n">
        <v>0</v>
      </c>
      <c r="AS2434" s="21" t="n">
        <v>0</v>
      </c>
      <c r="AT2434" s="19" t="n"/>
    </row>
    <row r="2435">
      <c r="D2435" s="21" t="n">
        <v>0</v>
      </c>
      <c r="E2435" s="21" t="n">
        <v>0</v>
      </c>
      <c r="F2435" s="21" t="n">
        <v>0</v>
      </c>
      <c r="G2435" s="21" t="n">
        <v>0</v>
      </c>
      <c r="H2435" s="21" t="n">
        <v>0</v>
      </c>
      <c r="I2435" s="21" t="n">
        <v>0</v>
      </c>
      <c r="J2435" s="21" t="n">
        <v>0</v>
      </c>
      <c r="K2435" s="21" t="n">
        <v>0</v>
      </c>
      <c r="L2435" s="21" t="n">
        <v>0</v>
      </c>
      <c r="M2435" s="21" t="n">
        <v>0</v>
      </c>
      <c r="N2435" s="21" t="n">
        <v>0</v>
      </c>
      <c r="O2435" s="21" t="n">
        <v>0</v>
      </c>
      <c r="P2435" s="21" t="n">
        <v>0</v>
      </c>
      <c r="Q2435" s="21" t="n">
        <v>0</v>
      </c>
      <c r="R2435" s="21" t="n">
        <v>0</v>
      </c>
      <c r="S2435" s="21" t="n">
        <v>0</v>
      </c>
      <c r="T2435" s="21" t="n">
        <v>0</v>
      </c>
      <c r="U2435" s="21" t="n">
        <v>0</v>
      </c>
      <c r="V2435" s="21" t="n">
        <v>0</v>
      </c>
      <c r="W2435" s="21" t="n">
        <v>0</v>
      </c>
      <c r="X2435" s="21" t="n">
        <v>0</v>
      </c>
      <c r="Y2435" s="21" t="n">
        <v>0</v>
      </c>
      <c r="Z2435" s="21" t="n">
        <v>0</v>
      </c>
      <c r="AA2435" s="21" t="n">
        <v>0</v>
      </c>
      <c r="AB2435" s="21" t="n">
        <v>0</v>
      </c>
      <c r="AC2435" s="21" t="n">
        <v>0</v>
      </c>
      <c r="AD2435" s="21" t="n">
        <v>0</v>
      </c>
      <c r="AE2435" s="21" t="n">
        <v>0</v>
      </c>
      <c r="AF2435" s="21" t="n">
        <v>0</v>
      </c>
      <c r="AG2435" s="21" t="n">
        <v>0</v>
      </c>
      <c r="AH2435" s="21" t="n">
        <v>0</v>
      </c>
      <c r="AI2435" s="21" t="n">
        <v>0</v>
      </c>
      <c r="AJ2435" s="21" t="n">
        <v>0</v>
      </c>
      <c r="AK2435" s="21" t="n">
        <v>0</v>
      </c>
      <c r="AL2435" s="21">
        <f>$B$1812</f>
        <v/>
      </c>
      <c r="AM2435" s="21">
        <f>$B$1814</f>
        <v/>
      </c>
      <c r="AN2435" s="21">
        <f>0</f>
        <v/>
      </c>
      <c r="AO2435" s="21">
        <f>2*$B$1813</f>
        <v/>
      </c>
      <c r="AP2435" s="21">
        <f>-$B$1812</f>
        <v/>
      </c>
      <c r="AQ2435" s="21">
        <f>$B$1814</f>
        <v/>
      </c>
      <c r="AR2435" s="21" t="n">
        <v>0</v>
      </c>
      <c r="AS2435" s="21" t="n">
        <v>0</v>
      </c>
      <c r="AT2435" s="19" t="n"/>
    </row>
    <row r="2436">
      <c r="D2436" s="21" t="n">
        <v>0</v>
      </c>
      <c r="E2436" s="21" t="n">
        <v>0</v>
      </c>
      <c r="F2436" s="21" t="n">
        <v>0</v>
      </c>
      <c r="G2436" s="21" t="n">
        <v>0</v>
      </c>
      <c r="H2436" s="21" t="n">
        <v>0</v>
      </c>
      <c r="I2436" s="21" t="n">
        <v>0</v>
      </c>
      <c r="J2436" s="21" t="n">
        <v>0</v>
      </c>
      <c r="K2436" s="21" t="n">
        <v>0</v>
      </c>
      <c r="L2436" s="21" t="n">
        <v>0</v>
      </c>
      <c r="M2436" s="21" t="n">
        <v>0</v>
      </c>
      <c r="N2436" s="21" t="n">
        <v>0</v>
      </c>
      <c r="O2436" s="21" t="n">
        <v>0</v>
      </c>
      <c r="P2436" s="21" t="n">
        <v>0</v>
      </c>
      <c r="Q2436" s="21" t="n">
        <v>0</v>
      </c>
      <c r="R2436" s="21" t="n">
        <v>0</v>
      </c>
      <c r="S2436" s="21" t="n">
        <v>0</v>
      </c>
      <c r="T2436" s="21" t="n">
        <v>0</v>
      </c>
      <c r="U2436" s="21" t="n">
        <v>0</v>
      </c>
      <c r="V2436" s="21" t="n">
        <v>0</v>
      </c>
      <c r="W2436" s="21" t="n">
        <v>0</v>
      </c>
      <c r="X2436" s="21" t="n">
        <v>0</v>
      </c>
      <c r="Y2436" s="21" t="n">
        <v>0</v>
      </c>
      <c r="Z2436" s="21" t="n">
        <v>0</v>
      </c>
      <c r="AA2436" s="21" t="n">
        <v>0</v>
      </c>
      <c r="AB2436" s="21" t="n">
        <v>0</v>
      </c>
      <c r="AC2436" s="21" t="n">
        <v>0</v>
      </c>
      <c r="AD2436" s="21" t="n">
        <v>0</v>
      </c>
      <c r="AE2436" s="21" t="n">
        <v>0</v>
      </c>
      <c r="AF2436" s="21" t="n">
        <v>0</v>
      </c>
      <c r="AG2436" s="21" t="n">
        <v>0</v>
      </c>
      <c r="AH2436" s="21" t="n">
        <v>0</v>
      </c>
      <c r="AI2436" s="21" t="n">
        <v>0</v>
      </c>
      <c r="AJ2436" s="21" t="n">
        <v>0</v>
      </c>
      <c r="AK2436" s="21" t="n">
        <v>0</v>
      </c>
      <c r="AL2436" s="21" t="n">
        <v>0</v>
      </c>
      <c r="AM2436" s="21" t="n">
        <v>0</v>
      </c>
      <c r="AN2436" s="21">
        <f>-$B$1811</f>
        <v/>
      </c>
      <c r="AO2436" s="21">
        <f>-$B$1812</f>
        <v/>
      </c>
      <c r="AP2436" s="21">
        <f>2*$B$1811+$D$2395</f>
        <v/>
      </c>
      <c r="AQ2436" s="21">
        <f>0</f>
        <v/>
      </c>
      <c r="AR2436" s="21">
        <f>-$B$1811</f>
        <v/>
      </c>
      <c r="AS2436" s="21">
        <f>$B$1812</f>
        <v/>
      </c>
      <c r="AT2436" s="19" t="n"/>
    </row>
    <row r="2437">
      <c r="D2437" s="21" t="n">
        <v>0</v>
      </c>
      <c r="E2437" s="21" t="n">
        <v>0</v>
      </c>
      <c r="F2437" s="21" t="n">
        <v>0</v>
      </c>
      <c r="G2437" s="21" t="n">
        <v>0</v>
      </c>
      <c r="H2437" s="21" t="n">
        <v>0</v>
      </c>
      <c r="I2437" s="21" t="n">
        <v>0</v>
      </c>
      <c r="J2437" s="21" t="n">
        <v>0</v>
      </c>
      <c r="K2437" s="21" t="n">
        <v>0</v>
      </c>
      <c r="L2437" s="21" t="n">
        <v>0</v>
      </c>
      <c r="M2437" s="21" t="n">
        <v>0</v>
      </c>
      <c r="N2437" s="21" t="n">
        <v>0</v>
      </c>
      <c r="O2437" s="21" t="n">
        <v>0</v>
      </c>
      <c r="P2437" s="21" t="n">
        <v>0</v>
      </c>
      <c r="Q2437" s="21" t="n">
        <v>0</v>
      </c>
      <c r="R2437" s="21" t="n">
        <v>0</v>
      </c>
      <c r="S2437" s="21" t="n">
        <v>0</v>
      </c>
      <c r="T2437" s="21" t="n">
        <v>0</v>
      </c>
      <c r="U2437" s="21" t="n">
        <v>0</v>
      </c>
      <c r="V2437" s="21" t="n">
        <v>0</v>
      </c>
      <c r="W2437" s="21" t="n">
        <v>0</v>
      </c>
      <c r="X2437" s="21" t="n">
        <v>0</v>
      </c>
      <c r="Y2437" s="21" t="n">
        <v>0</v>
      </c>
      <c r="Z2437" s="21" t="n">
        <v>0</v>
      </c>
      <c r="AA2437" s="21" t="n">
        <v>0</v>
      </c>
      <c r="AB2437" s="21" t="n">
        <v>0</v>
      </c>
      <c r="AC2437" s="21" t="n">
        <v>0</v>
      </c>
      <c r="AD2437" s="21" t="n">
        <v>0</v>
      </c>
      <c r="AE2437" s="21" t="n">
        <v>0</v>
      </c>
      <c r="AF2437" s="21" t="n">
        <v>0</v>
      </c>
      <c r="AG2437" s="21" t="n">
        <v>0</v>
      </c>
      <c r="AH2437" s="21" t="n">
        <v>0</v>
      </c>
      <c r="AI2437" s="21" t="n">
        <v>0</v>
      </c>
      <c r="AJ2437" s="21" t="n">
        <v>0</v>
      </c>
      <c r="AK2437" s="21" t="n">
        <v>0</v>
      </c>
      <c r="AL2437" s="21" t="n">
        <v>0</v>
      </c>
      <c r="AM2437" s="21" t="n">
        <v>0</v>
      </c>
      <c r="AN2437" s="21">
        <f>$B$1812</f>
        <v/>
      </c>
      <c r="AO2437" s="21">
        <f>$B$1814</f>
        <v/>
      </c>
      <c r="AP2437" s="21">
        <f>0</f>
        <v/>
      </c>
      <c r="AQ2437" s="21">
        <f>2*$B$1813</f>
        <v/>
      </c>
      <c r="AR2437" s="21">
        <f>-$B$1812</f>
        <v/>
      </c>
      <c r="AS2437" s="21">
        <f>$B$1814</f>
        <v/>
      </c>
      <c r="AT2437" s="19" t="n"/>
    </row>
    <row r="2438">
      <c r="D2438" s="21" t="n">
        <v>0</v>
      </c>
      <c r="E2438" s="21" t="n">
        <v>0</v>
      </c>
      <c r="F2438" s="21" t="n">
        <v>0</v>
      </c>
      <c r="G2438" s="21" t="n">
        <v>0</v>
      </c>
      <c r="H2438" s="21" t="n">
        <v>0</v>
      </c>
      <c r="I2438" s="21" t="n">
        <v>0</v>
      </c>
      <c r="J2438" s="21" t="n">
        <v>0</v>
      </c>
      <c r="K2438" s="21" t="n">
        <v>0</v>
      </c>
      <c r="L2438" s="21" t="n">
        <v>0</v>
      </c>
      <c r="M2438" s="21" t="n">
        <v>0</v>
      </c>
      <c r="N2438" s="21" t="n">
        <v>0</v>
      </c>
      <c r="O2438" s="21" t="n">
        <v>0</v>
      </c>
      <c r="P2438" s="21" t="n">
        <v>0</v>
      </c>
      <c r="Q2438" s="21" t="n">
        <v>0</v>
      </c>
      <c r="R2438" s="21" t="n">
        <v>0</v>
      </c>
      <c r="S2438" s="21" t="n">
        <v>0</v>
      </c>
      <c r="T2438" s="21" t="n">
        <v>0</v>
      </c>
      <c r="U2438" s="21" t="n">
        <v>0</v>
      </c>
      <c r="V2438" s="21" t="n">
        <v>0</v>
      </c>
      <c r="W2438" s="21" t="n">
        <v>0</v>
      </c>
      <c r="X2438" s="21" t="n">
        <v>0</v>
      </c>
      <c r="Y2438" s="21" t="n">
        <v>0</v>
      </c>
      <c r="Z2438" s="21" t="n">
        <v>0</v>
      </c>
      <c r="AA2438" s="21" t="n">
        <v>0</v>
      </c>
      <c r="AB2438" s="21" t="n">
        <v>0</v>
      </c>
      <c r="AC2438" s="21" t="n">
        <v>0</v>
      </c>
      <c r="AD2438" s="21" t="n">
        <v>0</v>
      </c>
      <c r="AE2438" s="21" t="n">
        <v>0</v>
      </c>
      <c r="AF2438" s="21" t="n">
        <v>0</v>
      </c>
      <c r="AG2438" s="21" t="n">
        <v>0</v>
      </c>
      <c r="AH2438" s="21" t="n">
        <v>0</v>
      </c>
      <c r="AI2438" s="21" t="n">
        <v>0</v>
      </c>
      <c r="AJ2438" s="21" t="n">
        <v>0</v>
      </c>
      <c r="AK2438" s="21" t="n">
        <v>0</v>
      </c>
      <c r="AL2438" s="21" t="n">
        <v>0</v>
      </c>
      <c r="AM2438" s="21" t="n">
        <v>0</v>
      </c>
      <c r="AN2438" s="21" t="n">
        <v>0</v>
      </c>
      <c r="AO2438" s="21" t="n">
        <v>0</v>
      </c>
      <c r="AP2438" s="21">
        <f>-$B$1811</f>
        <v/>
      </c>
      <c r="AQ2438" s="21">
        <f>-$B$1812</f>
        <v/>
      </c>
      <c r="AR2438" s="21">
        <f>$B$1811+$D$2396</f>
        <v/>
      </c>
      <c r="AS2438" s="21">
        <f>-$B$1812</f>
        <v/>
      </c>
      <c r="AT2438" s="19" t="n"/>
    </row>
    <row r="2439">
      <c r="D2439" s="21" t="n">
        <v>0</v>
      </c>
      <c r="E2439" s="21" t="n">
        <v>0</v>
      </c>
      <c r="F2439" s="21" t="n">
        <v>0</v>
      </c>
      <c r="G2439" s="21" t="n">
        <v>0</v>
      </c>
      <c r="H2439" s="21" t="n">
        <v>0</v>
      </c>
      <c r="I2439" s="21" t="n">
        <v>0</v>
      </c>
      <c r="J2439" s="21" t="n">
        <v>0</v>
      </c>
      <c r="K2439" s="21" t="n">
        <v>0</v>
      </c>
      <c r="L2439" s="21" t="n">
        <v>0</v>
      </c>
      <c r="M2439" s="21" t="n">
        <v>0</v>
      </c>
      <c r="N2439" s="21" t="n">
        <v>0</v>
      </c>
      <c r="O2439" s="21" t="n">
        <v>0</v>
      </c>
      <c r="P2439" s="21" t="n">
        <v>0</v>
      </c>
      <c r="Q2439" s="21" t="n">
        <v>0</v>
      </c>
      <c r="R2439" s="21" t="n">
        <v>0</v>
      </c>
      <c r="S2439" s="21" t="n">
        <v>0</v>
      </c>
      <c r="T2439" s="21" t="n">
        <v>0</v>
      </c>
      <c r="U2439" s="21" t="n">
        <v>0</v>
      </c>
      <c r="V2439" s="21" t="n">
        <v>0</v>
      </c>
      <c r="W2439" s="21" t="n">
        <v>0</v>
      </c>
      <c r="X2439" s="21" t="n">
        <v>0</v>
      </c>
      <c r="Y2439" s="21" t="n">
        <v>0</v>
      </c>
      <c r="Z2439" s="21" t="n">
        <v>0</v>
      </c>
      <c r="AA2439" s="21" t="n">
        <v>0</v>
      </c>
      <c r="AB2439" s="21" t="n">
        <v>0</v>
      </c>
      <c r="AC2439" s="21" t="n">
        <v>0</v>
      </c>
      <c r="AD2439" s="21" t="n">
        <v>0</v>
      </c>
      <c r="AE2439" s="21" t="n">
        <v>0</v>
      </c>
      <c r="AF2439" s="21" t="n">
        <v>0</v>
      </c>
      <c r="AG2439" s="21" t="n">
        <v>0</v>
      </c>
      <c r="AH2439" s="21" t="n">
        <v>0</v>
      </c>
      <c r="AI2439" s="21" t="n">
        <v>0</v>
      </c>
      <c r="AJ2439" s="21" t="n">
        <v>0</v>
      </c>
      <c r="AK2439" s="21" t="n">
        <v>0</v>
      </c>
      <c r="AL2439" s="21" t="n">
        <v>0</v>
      </c>
      <c r="AM2439" s="21" t="n">
        <v>0</v>
      </c>
      <c r="AN2439" s="21" t="n">
        <v>0</v>
      </c>
      <c r="AO2439" s="21" t="n">
        <v>0</v>
      </c>
      <c r="AP2439" s="21">
        <f>$B$1812</f>
        <v/>
      </c>
      <c r="AQ2439" s="21">
        <f>$B$1814</f>
        <v/>
      </c>
      <c r="AR2439" s="21">
        <f>-$B$1812</f>
        <v/>
      </c>
      <c r="AS2439" s="21">
        <f>$B$1813</f>
        <v/>
      </c>
      <c r="AT2439" s="19" t="n"/>
    </row>
    <row r="2441">
      <c r="A2441" s="8" t="inlineStr">
        <is>
          <t>gen 9</t>
        </is>
      </c>
    </row>
    <row r="2442">
      <c r="D2442" s="19">
        <f>IF(ABS(IF(ABS($E$2376)&gt;0.000000001,$E$2376,0.000000001))=0,0,IF($E$1826&lt;=$B$1820,0,IF(ABS(IF(ABS($E$2376)&gt;0.000000001,$E$2376,0.000000001))&gt;=8*$B$1822,$H$1826,0.5*$H$1826*(ABS(IF(ABS($E$2376)&gt;0.000000001,$E$2376,0.000000001))/$B$1822)^(1/3)))/ABS(IF(ABS($E$2376)&gt;0.000000001,$E$2376,0.000000001))*$I$1826)</f>
        <v/>
      </c>
      <c r="E2442" s="19">
        <f>0.5*$E$2376+0.5*$AT$2464</f>
        <v/>
      </c>
      <c r="F2442" s="19">
        <f>$AT$2465</f>
        <v/>
      </c>
    </row>
    <row r="2443">
      <c r="D2443" s="19">
        <f>IF(ABS(IF(ABS($E$2377)&gt;0.000000001,$E$2377,0.000000001))=0,0,IF($E$1827&lt;=$B$1820,0,IF(ABS(IF(ABS($E$2377)&gt;0.000000001,$E$2377,0.000000001))&gt;=8*$B$1822,$H$1827,0.5*$H$1827*(ABS(IF(ABS($E$2377)&gt;0.000000001,$E$2377,0.000000001))/$B$1822)^(1/3)))/ABS(IF(ABS($E$2377)&gt;0.000000001,$E$2377,0.000000001))*$I$1827)</f>
        <v/>
      </c>
      <c r="E2443" s="19">
        <f>0.5*$E$2377+0.5*$AT$2466</f>
        <v/>
      </c>
      <c r="F2443" s="19">
        <f>$AT$2467</f>
        <v/>
      </c>
    </row>
    <row r="2444">
      <c r="D2444" s="19">
        <f>IF(ABS(IF(ABS($E$2378)&gt;0.000000001,$E$2378,0.000000001))=0,0,IF($E$1828&lt;=$B$1820,0,IF(ABS(IF(ABS($E$2378)&gt;0.000000001,$E$2378,0.000000001))&gt;=8*$B$1822,$H$1828,0.5*$H$1828*(ABS(IF(ABS($E$2378)&gt;0.000000001,$E$2378,0.000000001))/$B$1822)^(1/3)))/ABS(IF(ABS($E$2378)&gt;0.000000001,$E$2378,0.000000001))*$I$1828)</f>
        <v/>
      </c>
      <c r="E2444" s="19">
        <f>0.5*$E$2378+0.5*$AT$2468</f>
        <v/>
      </c>
      <c r="F2444" s="19">
        <f>$AT$2469</f>
        <v/>
      </c>
    </row>
    <row r="2445">
      <c r="D2445" s="19">
        <f>IF(ABS(IF(ABS($E$2379)&gt;0.000000001,$E$2379,0.000000001))=0,0,IF($E$1829&lt;=$B$1820,0,IF(ABS(IF(ABS($E$2379)&gt;0.000000001,$E$2379,0.000000001))&gt;=8*$B$1822,$H$1829,0.5*$H$1829*(ABS(IF(ABS($E$2379)&gt;0.000000001,$E$2379,0.000000001))/$B$1822)^(1/3)))/ABS(IF(ABS($E$2379)&gt;0.000000001,$E$2379,0.000000001))*$I$1829)</f>
        <v/>
      </c>
      <c r="E2445" s="19">
        <f>0.5*$E$2379+0.5*$AT$2470</f>
        <v/>
      </c>
      <c r="F2445" s="19">
        <f>$AT$2471</f>
        <v/>
      </c>
    </row>
    <row r="2446">
      <c r="D2446" s="19">
        <f>IF(ABS(IF(ABS($E$2380)&gt;0.000000001,$E$2380,0.000000001))=0,0,IF($E$1830&lt;=$B$1820,0,IF(ABS(IF(ABS($E$2380)&gt;0.000000001,$E$2380,0.000000001))&gt;=8*$B$1822,$H$1830,0.5*$H$1830*(ABS(IF(ABS($E$2380)&gt;0.000000001,$E$2380,0.000000001))/$B$1822)^(1/3)))/ABS(IF(ABS($E$2380)&gt;0.000000001,$E$2380,0.000000001))*$I$1830)</f>
        <v/>
      </c>
      <c r="E2446" s="19">
        <f>0.5*$E$2380+0.5*$AT$2472</f>
        <v/>
      </c>
      <c r="F2446" s="19">
        <f>$AT$2473</f>
        <v/>
      </c>
    </row>
    <row r="2447">
      <c r="D2447" s="19">
        <f>IF(ABS(IF(ABS($E$2381)&gt;0.000000001,$E$2381,0.000000001))=0,0,IF($E$1831&lt;=$B$1820,0,IF(ABS(IF(ABS($E$2381)&gt;0.000000001,$E$2381,0.000000001))&gt;=8*$B$1822,$H$1831,0.5*$H$1831*(ABS(IF(ABS($E$2381)&gt;0.000000001,$E$2381,0.000000001))/$B$1822)^(1/3)))/ABS(IF(ABS($E$2381)&gt;0.000000001,$E$2381,0.000000001))*$I$1831)</f>
        <v/>
      </c>
      <c r="E2447" s="19">
        <f>0.5*$E$2381+0.5*$AT$2474</f>
        <v/>
      </c>
      <c r="F2447" s="19">
        <f>$AT$2475</f>
        <v/>
      </c>
    </row>
    <row r="2448">
      <c r="D2448" s="19">
        <f>IF(ABS(IF(ABS($E$2382)&gt;0.000000001,$E$2382,0.000000001))=0,0,IF($E$1832&lt;=$B$1820,0,IF(ABS(IF(ABS($E$2382)&gt;0.000000001,$E$2382,0.000000001))&gt;=8*$B$1822,$H$1832,0.5*$H$1832*(ABS(IF(ABS($E$2382)&gt;0.000000001,$E$2382,0.000000001))/$B$1822)^(1/3)))/ABS(IF(ABS($E$2382)&gt;0.000000001,$E$2382,0.000000001))*$I$1832)</f>
        <v/>
      </c>
      <c r="E2448" s="19">
        <f>0.5*$E$2382+0.5*$AT$2476</f>
        <v/>
      </c>
      <c r="F2448" s="19">
        <f>$AT$2477</f>
        <v/>
      </c>
    </row>
    <row r="2449">
      <c r="D2449" s="19">
        <f>IF(ABS(IF(ABS($E$2383)&gt;0.000000001,$E$2383,0.000000001))=0,0,IF($E$1833&lt;=$B$1820,0,IF(ABS(IF(ABS($E$2383)&gt;0.000000001,$E$2383,0.000000001))&gt;=8*$B$1822,$H$1833,0.5*$H$1833*(ABS(IF(ABS($E$2383)&gt;0.000000001,$E$2383,0.000000001))/$B$1822)^(1/3)))/ABS(IF(ABS($E$2383)&gt;0.000000001,$E$2383,0.000000001))*$I$1833)</f>
        <v/>
      </c>
      <c r="E2449" s="19">
        <f>0.5*$E$2383+0.5*$AT$2478</f>
        <v/>
      </c>
      <c r="F2449" s="19">
        <f>$AT$2479</f>
        <v/>
      </c>
    </row>
    <row r="2450">
      <c r="D2450" s="19">
        <f>IF(ABS(IF(ABS($E$2384)&gt;0.000000001,$E$2384,0.000000001))=0,0,IF($E$1834&lt;=$B$1820,0,IF(ABS(IF(ABS($E$2384)&gt;0.000000001,$E$2384,0.000000001))&gt;=8*$B$1822,$H$1834,0.5*$H$1834*(ABS(IF(ABS($E$2384)&gt;0.000000001,$E$2384,0.000000001))/$B$1822)^(1/3)))/ABS(IF(ABS($E$2384)&gt;0.000000001,$E$2384,0.000000001))*$I$1834)</f>
        <v/>
      </c>
      <c r="E2450" s="19">
        <f>0.5*$E$2384+0.5*$AT$2480</f>
        <v/>
      </c>
      <c r="F2450" s="19">
        <f>$AT$2481</f>
        <v/>
      </c>
    </row>
    <row r="2451">
      <c r="D2451" s="19">
        <f>IF(ABS(IF(ABS($E$2385)&gt;0.000000001,$E$2385,0.000000001))=0,0,IF($E$1835&lt;=$B$1820,0,IF(ABS(IF(ABS($E$2385)&gt;0.000000001,$E$2385,0.000000001))&gt;=8*$B$1822,$H$1835,0.5*$H$1835*(ABS(IF(ABS($E$2385)&gt;0.000000001,$E$2385,0.000000001))/$B$1822)^(1/3)))/ABS(IF(ABS($E$2385)&gt;0.000000001,$E$2385,0.000000001))*$I$1835)</f>
        <v/>
      </c>
      <c r="E2451" s="19">
        <f>0.5*$E$2385+0.5*$AT$2482</f>
        <v/>
      </c>
      <c r="F2451" s="19">
        <f>$AT$2483</f>
        <v/>
      </c>
    </row>
    <row r="2452">
      <c r="D2452" s="19">
        <f>IF(ABS(IF(ABS($E$2386)&gt;0.000000001,$E$2386,0.000000001))=0,0,IF($E$1836&lt;=$B$1820,0,IF(ABS(IF(ABS($E$2386)&gt;0.000000001,$E$2386,0.000000001))&gt;=8*$B$1822,$H$1836,0.5*$H$1836*(ABS(IF(ABS($E$2386)&gt;0.000000001,$E$2386,0.000000001))/$B$1822)^(1/3)))/ABS(IF(ABS($E$2386)&gt;0.000000001,$E$2386,0.000000001))*$I$1836)</f>
        <v/>
      </c>
      <c r="E2452" s="19">
        <f>0.5*$E$2386+0.5*$AT$2484</f>
        <v/>
      </c>
      <c r="F2452" s="19">
        <f>$AT$2485</f>
        <v/>
      </c>
    </row>
    <row r="2453">
      <c r="D2453" s="19">
        <f>IF(ABS(IF(ABS($E$2387)&gt;0.000000001,$E$2387,0.000000001))=0,0,IF($E$1837&lt;=$B$1820,0,IF(ABS(IF(ABS($E$2387)&gt;0.000000001,$E$2387,0.000000001))&gt;=8*$B$1822,$H$1837,0.5*$H$1837*(ABS(IF(ABS($E$2387)&gt;0.000000001,$E$2387,0.000000001))/$B$1822)^(1/3)))/ABS(IF(ABS($E$2387)&gt;0.000000001,$E$2387,0.000000001))*$I$1837)</f>
        <v/>
      </c>
      <c r="E2453" s="19">
        <f>0.5*$E$2387+0.5*$AT$2486</f>
        <v/>
      </c>
      <c r="F2453" s="19">
        <f>$AT$2487</f>
        <v/>
      </c>
    </row>
    <row r="2454">
      <c r="D2454" s="19">
        <f>IF(ABS(IF(ABS($E$2388)&gt;0.000000001,$E$2388,0.000000001))=0,0,IF($E$1838&lt;=$B$1820,0,IF(ABS(IF(ABS($E$2388)&gt;0.000000001,$E$2388,0.000000001))&gt;=8*$B$1822,$H$1838,0.5*$H$1838*(ABS(IF(ABS($E$2388)&gt;0.000000001,$E$2388,0.000000001))/$B$1822)^(1/3)))/ABS(IF(ABS($E$2388)&gt;0.000000001,$E$2388,0.000000001))*$I$1838)</f>
        <v/>
      </c>
      <c r="E2454" s="19">
        <f>0.5*$E$2388+0.5*$AT$2488</f>
        <v/>
      </c>
      <c r="F2454" s="19">
        <f>$AT$2489</f>
        <v/>
      </c>
    </row>
    <row r="2455">
      <c r="D2455" s="19">
        <f>IF(ABS(IF(ABS($E$2389)&gt;0.000000001,$E$2389,0.000000001))=0,0,IF($E$1839&lt;=$B$1820,0,IF(ABS(IF(ABS($E$2389)&gt;0.000000001,$E$2389,0.000000001))&gt;=8*$B$1822,$H$1839,0.5*$H$1839*(ABS(IF(ABS($E$2389)&gt;0.000000001,$E$2389,0.000000001))/$B$1822)^(1/3)))/ABS(IF(ABS($E$2389)&gt;0.000000001,$E$2389,0.000000001))*$I$1839)</f>
        <v/>
      </c>
      <c r="E2455" s="19">
        <f>0.5*$E$2389+0.5*$AT$2490</f>
        <v/>
      </c>
      <c r="F2455" s="19">
        <f>$AT$2491</f>
        <v/>
      </c>
    </row>
    <row r="2456">
      <c r="D2456" s="19">
        <f>IF(ABS(IF(ABS($E$2390)&gt;0.000000001,$E$2390,0.000000001))=0,0,IF($E$1840&lt;=$B$1820,0,IF(ABS(IF(ABS($E$2390)&gt;0.000000001,$E$2390,0.000000001))&gt;=8*$B$1822,$H$1840,0.5*$H$1840*(ABS(IF(ABS($E$2390)&gt;0.000000001,$E$2390,0.000000001))/$B$1822)^(1/3)))/ABS(IF(ABS($E$2390)&gt;0.000000001,$E$2390,0.000000001))*$I$1840)</f>
        <v/>
      </c>
      <c r="E2456" s="19">
        <f>0.5*$E$2390+0.5*$AT$2492</f>
        <v/>
      </c>
      <c r="F2456" s="19">
        <f>$AT$2493</f>
        <v/>
      </c>
    </row>
    <row r="2457">
      <c r="D2457" s="19">
        <f>IF(ABS(IF(ABS($E$2391)&gt;0.000000001,$E$2391,0.000000001))=0,0,IF($E$1841&lt;=$B$1820,0,IF(ABS(IF(ABS($E$2391)&gt;0.000000001,$E$2391,0.000000001))&gt;=8*$B$1822,$H$1841,0.5*$H$1841*(ABS(IF(ABS($E$2391)&gt;0.000000001,$E$2391,0.000000001))/$B$1822)^(1/3)))/ABS(IF(ABS($E$2391)&gt;0.000000001,$E$2391,0.000000001))*$I$1841)</f>
        <v/>
      </c>
      <c r="E2457" s="19">
        <f>0.5*$E$2391+0.5*$AT$2494</f>
        <v/>
      </c>
      <c r="F2457" s="19">
        <f>$AT$2495</f>
        <v/>
      </c>
    </row>
    <row r="2458">
      <c r="D2458" s="19">
        <f>IF(ABS(IF(ABS($E$2392)&gt;0.000000001,$E$2392,0.000000001))=0,0,IF($E$1842&lt;=$B$1820,0,IF(ABS(IF(ABS($E$2392)&gt;0.000000001,$E$2392,0.000000001))&gt;=8*$B$1822,$H$1842,0.5*$H$1842*(ABS(IF(ABS($E$2392)&gt;0.000000001,$E$2392,0.000000001))/$B$1822)^(1/3)))/ABS(IF(ABS($E$2392)&gt;0.000000001,$E$2392,0.000000001))*$I$1842)</f>
        <v/>
      </c>
      <c r="E2458" s="19">
        <f>0.5*$E$2392+0.5*$AT$2496</f>
        <v/>
      </c>
      <c r="F2458" s="19">
        <f>$AT$2497</f>
        <v/>
      </c>
    </row>
    <row r="2459">
      <c r="D2459" s="19">
        <f>IF(ABS(IF(ABS($E$2393)&gt;0.000000001,$E$2393,0.000000001))=0,0,IF($E$1843&lt;=$B$1820,0,IF(ABS(IF(ABS($E$2393)&gt;0.000000001,$E$2393,0.000000001))&gt;=8*$B$1822,$H$1843,0.5*$H$1843*(ABS(IF(ABS($E$2393)&gt;0.000000001,$E$2393,0.000000001))/$B$1822)^(1/3)))/ABS(IF(ABS($E$2393)&gt;0.000000001,$E$2393,0.000000001))*$I$1843)</f>
        <v/>
      </c>
      <c r="E2459" s="19">
        <f>0.5*$E$2393+0.5*$AT$2498</f>
        <v/>
      </c>
      <c r="F2459" s="19">
        <f>$AT$2499</f>
        <v/>
      </c>
    </row>
    <row r="2460">
      <c r="D2460" s="19">
        <f>IF(ABS(IF(ABS($E$2394)&gt;0.000000001,$E$2394,0.000000001))=0,0,IF($E$1844&lt;=$B$1820,0,IF(ABS(IF(ABS($E$2394)&gt;0.000000001,$E$2394,0.000000001))&gt;=8*$B$1822,$H$1844,0.5*$H$1844*(ABS(IF(ABS($E$2394)&gt;0.000000001,$E$2394,0.000000001))/$B$1822)^(1/3)))/ABS(IF(ABS($E$2394)&gt;0.000000001,$E$2394,0.000000001))*$I$1844)</f>
        <v/>
      </c>
      <c r="E2460" s="19">
        <f>0.5*$E$2394+0.5*$AT$2500</f>
        <v/>
      </c>
      <c r="F2460" s="19">
        <f>$AT$2501</f>
        <v/>
      </c>
    </row>
    <row r="2461">
      <c r="D2461" s="19">
        <f>IF(ABS(IF(ABS($E$2395)&gt;0.000000001,$E$2395,0.000000001))=0,0,IF($E$1845&lt;=$B$1820,0,IF(ABS(IF(ABS($E$2395)&gt;0.000000001,$E$2395,0.000000001))&gt;=8*$B$1822,$H$1845,0.5*$H$1845*(ABS(IF(ABS($E$2395)&gt;0.000000001,$E$2395,0.000000001))/$B$1822)^(1/3)))/ABS(IF(ABS($E$2395)&gt;0.000000001,$E$2395,0.000000001))*$I$1845)</f>
        <v/>
      </c>
      <c r="E2461" s="19">
        <f>0.5*$E$2395+0.5*$AT$2502</f>
        <v/>
      </c>
      <c r="F2461" s="19">
        <f>$AT$2503</f>
        <v/>
      </c>
    </row>
    <row r="2462">
      <c r="D2462" s="19">
        <f>IF(ABS(IF(ABS($E$2396)&gt;0.000000001,$E$2396,0.000000001))=0,0,IF($E$1846&lt;=$B$1820,0,IF(ABS(IF(ABS($E$2396)&gt;0.000000001,$E$2396,0.000000001))&gt;=8*$B$1822,$H$1846,0.5*$H$1846*(ABS(IF(ABS($E$2396)&gt;0.000000001,$E$2396,0.000000001))/$B$1822)^(1/3)))/ABS(IF(ABS($E$2396)&gt;0.000000001,$E$2396,0.000000001))*$I$1846)</f>
        <v/>
      </c>
      <c r="E2462" s="19">
        <f>0.5*$E$2396+0.5*$AT$2504</f>
        <v/>
      </c>
      <c r="F2462" s="19">
        <f>$AT$2505</f>
        <v/>
      </c>
    </row>
    <row r="2464">
      <c r="D2464" s="21">
        <f>$B$1811+$D$2442</f>
        <v/>
      </c>
      <c r="E2464" s="21">
        <f>$B$1812</f>
        <v/>
      </c>
      <c r="F2464" s="21">
        <f>-$B$1811</f>
        <v/>
      </c>
      <c r="G2464" s="21">
        <f>$B$1812</f>
        <v/>
      </c>
      <c r="H2464" s="21" t="n">
        <v>0</v>
      </c>
      <c r="I2464" s="21" t="n">
        <v>0</v>
      </c>
      <c r="J2464" s="21" t="n">
        <v>0</v>
      </c>
      <c r="K2464" s="21" t="n">
        <v>0</v>
      </c>
      <c r="L2464" s="21" t="n">
        <v>0</v>
      </c>
      <c r="M2464" s="21" t="n">
        <v>0</v>
      </c>
      <c r="N2464" s="21" t="n">
        <v>0</v>
      </c>
      <c r="O2464" s="21" t="n">
        <v>0</v>
      </c>
      <c r="P2464" s="21" t="n">
        <v>0</v>
      </c>
      <c r="Q2464" s="21" t="n">
        <v>0</v>
      </c>
      <c r="R2464" s="21" t="n">
        <v>0</v>
      </c>
      <c r="S2464" s="21" t="n">
        <v>0</v>
      </c>
      <c r="T2464" s="21" t="n">
        <v>0</v>
      </c>
      <c r="U2464" s="21" t="n">
        <v>0</v>
      </c>
      <c r="V2464" s="21" t="n">
        <v>0</v>
      </c>
      <c r="W2464" s="21" t="n">
        <v>0</v>
      </c>
      <c r="X2464" s="21" t="n">
        <v>0</v>
      </c>
      <c r="Y2464" s="21" t="n">
        <v>0</v>
      </c>
      <c r="Z2464" s="21" t="n">
        <v>0</v>
      </c>
      <c r="AA2464" s="21" t="n">
        <v>0</v>
      </c>
      <c r="AB2464" s="21" t="n">
        <v>0</v>
      </c>
      <c r="AC2464" s="21" t="n">
        <v>0</v>
      </c>
      <c r="AD2464" s="21" t="n">
        <v>0</v>
      </c>
      <c r="AE2464" s="21" t="n">
        <v>0</v>
      </c>
      <c r="AF2464" s="21" t="n">
        <v>0</v>
      </c>
      <c r="AG2464" s="21" t="n">
        <v>0</v>
      </c>
      <c r="AH2464" s="21" t="n">
        <v>0</v>
      </c>
      <c r="AI2464" s="21" t="n">
        <v>0</v>
      </c>
      <c r="AJ2464" s="21" t="n">
        <v>0</v>
      </c>
      <c r="AK2464" s="21" t="n">
        <v>0</v>
      </c>
      <c r="AL2464" s="21" t="n">
        <v>0</v>
      </c>
      <c r="AM2464" s="21" t="n">
        <v>0</v>
      </c>
      <c r="AN2464" s="21" t="n">
        <v>0</v>
      </c>
      <c r="AO2464" s="21" t="n">
        <v>0</v>
      </c>
      <c r="AP2464" s="21" t="n">
        <v>0</v>
      </c>
      <c r="AQ2464" s="21" t="n">
        <v>0</v>
      </c>
      <c r="AR2464" s="21" t="n">
        <v>0</v>
      </c>
      <c r="AS2464" s="21" t="n">
        <v>0</v>
      </c>
      <c r="AT2464" s="19">
        <f t="array" ref="AT2464:AT2505">MMULT(MINVERSE($D$2464:$AS$2505),$D$1848:$D$1889)</f>
        <v/>
      </c>
    </row>
    <row r="2465">
      <c r="D2465" s="21">
        <f>$B$1812</f>
        <v/>
      </c>
      <c r="E2465" s="21">
        <f>$B$1813</f>
        <v/>
      </c>
      <c r="F2465" s="21">
        <f>-$B$1812</f>
        <v/>
      </c>
      <c r="G2465" s="21">
        <f>$B$1814</f>
        <v/>
      </c>
      <c r="H2465" s="21" t="n">
        <v>0</v>
      </c>
      <c r="I2465" s="21" t="n">
        <v>0</v>
      </c>
      <c r="J2465" s="21" t="n">
        <v>0</v>
      </c>
      <c r="K2465" s="21" t="n">
        <v>0</v>
      </c>
      <c r="L2465" s="21" t="n">
        <v>0</v>
      </c>
      <c r="M2465" s="21" t="n">
        <v>0</v>
      </c>
      <c r="N2465" s="21" t="n">
        <v>0</v>
      </c>
      <c r="O2465" s="21" t="n">
        <v>0</v>
      </c>
      <c r="P2465" s="21" t="n">
        <v>0</v>
      </c>
      <c r="Q2465" s="21" t="n">
        <v>0</v>
      </c>
      <c r="R2465" s="21" t="n">
        <v>0</v>
      </c>
      <c r="S2465" s="21" t="n">
        <v>0</v>
      </c>
      <c r="T2465" s="21" t="n">
        <v>0</v>
      </c>
      <c r="U2465" s="21" t="n">
        <v>0</v>
      </c>
      <c r="V2465" s="21" t="n">
        <v>0</v>
      </c>
      <c r="W2465" s="21" t="n">
        <v>0</v>
      </c>
      <c r="X2465" s="21" t="n">
        <v>0</v>
      </c>
      <c r="Y2465" s="21" t="n">
        <v>0</v>
      </c>
      <c r="Z2465" s="21" t="n">
        <v>0</v>
      </c>
      <c r="AA2465" s="21" t="n">
        <v>0</v>
      </c>
      <c r="AB2465" s="21" t="n">
        <v>0</v>
      </c>
      <c r="AC2465" s="21" t="n">
        <v>0</v>
      </c>
      <c r="AD2465" s="21" t="n">
        <v>0</v>
      </c>
      <c r="AE2465" s="21" t="n">
        <v>0</v>
      </c>
      <c r="AF2465" s="21" t="n">
        <v>0</v>
      </c>
      <c r="AG2465" s="21" t="n">
        <v>0</v>
      </c>
      <c r="AH2465" s="21" t="n">
        <v>0</v>
      </c>
      <c r="AI2465" s="21" t="n">
        <v>0</v>
      </c>
      <c r="AJ2465" s="21" t="n">
        <v>0</v>
      </c>
      <c r="AK2465" s="21" t="n">
        <v>0</v>
      </c>
      <c r="AL2465" s="21" t="n">
        <v>0</v>
      </c>
      <c r="AM2465" s="21" t="n">
        <v>0</v>
      </c>
      <c r="AN2465" s="21" t="n">
        <v>0</v>
      </c>
      <c r="AO2465" s="21" t="n">
        <v>0</v>
      </c>
      <c r="AP2465" s="21" t="n">
        <v>0</v>
      </c>
      <c r="AQ2465" s="21" t="n">
        <v>0</v>
      </c>
      <c r="AR2465" s="21" t="n">
        <v>0</v>
      </c>
      <c r="AS2465" s="21" t="n">
        <v>0</v>
      </c>
      <c r="AT2465" s="19" t="n"/>
    </row>
    <row r="2466">
      <c r="D2466" s="21">
        <f>-$B$1811</f>
        <v/>
      </c>
      <c r="E2466" s="21">
        <f>-$B$1812</f>
        <v/>
      </c>
      <c r="F2466" s="21">
        <f>2*$B$1811+$D$2443</f>
        <v/>
      </c>
      <c r="G2466" s="21">
        <f>0</f>
        <v/>
      </c>
      <c r="H2466" s="21">
        <f>-$B$1811</f>
        <v/>
      </c>
      <c r="I2466" s="21">
        <f>$B$1812</f>
        <v/>
      </c>
      <c r="J2466" s="21" t="n">
        <v>0</v>
      </c>
      <c r="K2466" s="21" t="n">
        <v>0</v>
      </c>
      <c r="L2466" s="21" t="n">
        <v>0</v>
      </c>
      <c r="M2466" s="21" t="n">
        <v>0</v>
      </c>
      <c r="N2466" s="21" t="n">
        <v>0</v>
      </c>
      <c r="O2466" s="21" t="n">
        <v>0</v>
      </c>
      <c r="P2466" s="21" t="n">
        <v>0</v>
      </c>
      <c r="Q2466" s="21" t="n">
        <v>0</v>
      </c>
      <c r="R2466" s="21" t="n">
        <v>0</v>
      </c>
      <c r="S2466" s="21" t="n">
        <v>0</v>
      </c>
      <c r="T2466" s="21" t="n">
        <v>0</v>
      </c>
      <c r="U2466" s="21" t="n">
        <v>0</v>
      </c>
      <c r="V2466" s="21" t="n">
        <v>0</v>
      </c>
      <c r="W2466" s="21" t="n">
        <v>0</v>
      </c>
      <c r="X2466" s="21" t="n">
        <v>0</v>
      </c>
      <c r="Y2466" s="21" t="n">
        <v>0</v>
      </c>
      <c r="Z2466" s="21" t="n">
        <v>0</v>
      </c>
      <c r="AA2466" s="21" t="n">
        <v>0</v>
      </c>
      <c r="AB2466" s="21" t="n">
        <v>0</v>
      </c>
      <c r="AC2466" s="21" t="n">
        <v>0</v>
      </c>
      <c r="AD2466" s="21" t="n">
        <v>0</v>
      </c>
      <c r="AE2466" s="21" t="n">
        <v>0</v>
      </c>
      <c r="AF2466" s="21" t="n">
        <v>0</v>
      </c>
      <c r="AG2466" s="21" t="n">
        <v>0</v>
      </c>
      <c r="AH2466" s="21" t="n">
        <v>0</v>
      </c>
      <c r="AI2466" s="21" t="n">
        <v>0</v>
      </c>
      <c r="AJ2466" s="21" t="n">
        <v>0</v>
      </c>
      <c r="AK2466" s="21" t="n">
        <v>0</v>
      </c>
      <c r="AL2466" s="21" t="n">
        <v>0</v>
      </c>
      <c r="AM2466" s="21" t="n">
        <v>0</v>
      </c>
      <c r="AN2466" s="21" t="n">
        <v>0</v>
      </c>
      <c r="AO2466" s="21" t="n">
        <v>0</v>
      </c>
      <c r="AP2466" s="21" t="n">
        <v>0</v>
      </c>
      <c r="AQ2466" s="21" t="n">
        <v>0</v>
      </c>
      <c r="AR2466" s="21" t="n">
        <v>0</v>
      </c>
      <c r="AS2466" s="21" t="n">
        <v>0</v>
      </c>
      <c r="AT2466" s="19" t="n"/>
    </row>
    <row r="2467">
      <c r="D2467" s="21">
        <f>$B$1812</f>
        <v/>
      </c>
      <c r="E2467" s="21">
        <f>$B$1814</f>
        <v/>
      </c>
      <c r="F2467" s="21">
        <f>0</f>
        <v/>
      </c>
      <c r="G2467" s="21">
        <f>2*$B$1813</f>
        <v/>
      </c>
      <c r="H2467" s="21">
        <f>-$B$1812</f>
        <v/>
      </c>
      <c r="I2467" s="21">
        <f>$B$1814</f>
        <v/>
      </c>
      <c r="J2467" s="21" t="n">
        <v>0</v>
      </c>
      <c r="K2467" s="21" t="n">
        <v>0</v>
      </c>
      <c r="L2467" s="21" t="n">
        <v>0</v>
      </c>
      <c r="M2467" s="21" t="n">
        <v>0</v>
      </c>
      <c r="N2467" s="21" t="n">
        <v>0</v>
      </c>
      <c r="O2467" s="21" t="n">
        <v>0</v>
      </c>
      <c r="P2467" s="21" t="n">
        <v>0</v>
      </c>
      <c r="Q2467" s="21" t="n">
        <v>0</v>
      </c>
      <c r="R2467" s="21" t="n">
        <v>0</v>
      </c>
      <c r="S2467" s="21" t="n">
        <v>0</v>
      </c>
      <c r="T2467" s="21" t="n">
        <v>0</v>
      </c>
      <c r="U2467" s="21" t="n">
        <v>0</v>
      </c>
      <c r="V2467" s="21" t="n">
        <v>0</v>
      </c>
      <c r="W2467" s="21" t="n">
        <v>0</v>
      </c>
      <c r="X2467" s="21" t="n">
        <v>0</v>
      </c>
      <c r="Y2467" s="21" t="n">
        <v>0</v>
      </c>
      <c r="Z2467" s="21" t="n">
        <v>0</v>
      </c>
      <c r="AA2467" s="21" t="n">
        <v>0</v>
      </c>
      <c r="AB2467" s="21" t="n">
        <v>0</v>
      </c>
      <c r="AC2467" s="21" t="n">
        <v>0</v>
      </c>
      <c r="AD2467" s="21" t="n">
        <v>0</v>
      </c>
      <c r="AE2467" s="21" t="n">
        <v>0</v>
      </c>
      <c r="AF2467" s="21" t="n">
        <v>0</v>
      </c>
      <c r="AG2467" s="21" t="n">
        <v>0</v>
      </c>
      <c r="AH2467" s="21" t="n">
        <v>0</v>
      </c>
      <c r="AI2467" s="21" t="n">
        <v>0</v>
      </c>
      <c r="AJ2467" s="21" t="n">
        <v>0</v>
      </c>
      <c r="AK2467" s="21" t="n">
        <v>0</v>
      </c>
      <c r="AL2467" s="21" t="n">
        <v>0</v>
      </c>
      <c r="AM2467" s="21" t="n">
        <v>0</v>
      </c>
      <c r="AN2467" s="21" t="n">
        <v>0</v>
      </c>
      <c r="AO2467" s="21" t="n">
        <v>0</v>
      </c>
      <c r="AP2467" s="21" t="n">
        <v>0</v>
      </c>
      <c r="AQ2467" s="21" t="n">
        <v>0</v>
      </c>
      <c r="AR2467" s="21" t="n">
        <v>0</v>
      </c>
      <c r="AS2467" s="21" t="n">
        <v>0</v>
      </c>
      <c r="AT2467" s="19" t="n"/>
    </row>
    <row r="2468">
      <c r="D2468" s="21" t="n">
        <v>0</v>
      </c>
      <c r="E2468" s="21" t="n">
        <v>0</v>
      </c>
      <c r="F2468" s="21">
        <f>-$B$1811</f>
        <v/>
      </c>
      <c r="G2468" s="21">
        <f>-$B$1812</f>
        <v/>
      </c>
      <c r="H2468" s="21">
        <f>2*$B$1811+$D$2444</f>
        <v/>
      </c>
      <c r="I2468" s="21">
        <f>0</f>
        <v/>
      </c>
      <c r="J2468" s="21">
        <f>-$B$1811</f>
        <v/>
      </c>
      <c r="K2468" s="21">
        <f>$B$1812</f>
        <v/>
      </c>
      <c r="L2468" s="21" t="n">
        <v>0</v>
      </c>
      <c r="M2468" s="21" t="n">
        <v>0</v>
      </c>
      <c r="N2468" s="21" t="n">
        <v>0</v>
      </c>
      <c r="O2468" s="21" t="n">
        <v>0</v>
      </c>
      <c r="P2468" s="21" t="n">
        <v>0</v>
      </c>
      <c r="Q2468" s="21" t="n">
        <v>0</v>
      </c>
      <c r="R2468" s="21" t="n">
        <v>0</v>
      </c>
      <c r="S2468" s="21" t="n">
        <v>0</v>
      </c>
      <c r="T2468" s="21" t="n">
        <v>0</v>
      </c>
      <c r="U2468" s="21" t="n">
        <v>0</v>
      </c>
      <c r="V2468" s="21" t="n">
        <v>0</v>
      </c>
      <c r="W2468" s="21" t="n">
        <v>0</v>
      </c>
      <c r="X2468" s="21" t="n">
        <v>0</v>
      </c>
      <c r="Y2468" s="21" t="n">
        <v>0</v>
      </c>
      <c r="Z2468" s="21" t="n">
        <v>0</v>
      </c>
      <c r="AA2468" s="21" t="n">
        <v>0</v>
      </c>
      <c r="AB2468" s="21" t="n">
        <v>0</v>
      </c>
      <c r="AC2468" s="21" t="n">
        <v>0</v>
      </c>
      <c r="AD2468" s="21" t="n">
        <v>0</v>
      </c>
      <c r="AE2468" s="21" t="n">
        <v>0</v>
      </c>
      <c r="AF2468" s="21" t="n">
        <v>0</v>
      </c>
      <c r="AG2468" s="21" t="n">
        <v>0</v>
      </c>
      <c r="AH2468" s="21" t="n">
        <v>0</v>
      </c>
      <c r="AI2468" s="21" t="n">
        <v>0</v>
      </c>
      <c r="AJ2468" s="21" t="n">
        <v>0</v>
      </c>
      <c r="AK2468" s="21" t="n">
        <v>0</v>
      </c>
      <c r="AL2468" s="21" t="n">
        <v>0</v>
      </c>
      <c r="AM2468" s="21" t="n">
        <v>0</v>
      </c>
      <c r="AN2468" s="21" t="n">
        <v>0</v>
      </c>
      <c r="AO2468" s="21" t="n">
        <v>0</v>
      </c>
      <c r="AP2468" s="21" t="n">
        <v>0</v>
      </c>
      <c r="AQ2468" s="21" t="n">
        <v>0</v>
      </c>
      <c r="AR2468" s="21" t="n">
        <v>0</v>
      </c>
      <c r="AS2468" s="21" t="n">
        <v>0</v>
      </c>
      <c r="AT2468" s="19" t="n"/>
    </row>
    <row r="2469">
      <c r="D2469" s="21" t="n">
        <v>0</v>
      </c>
      <c r="E2469" s="21" t="n">
        <v>0</v>
      </c>
      <c r="F2469" s="21">
        <f>$B$1812</f>
        <v/>
      </c>
      <c r="G2469" s="21">
        <f>$B$1814</f>
        <v/>
      </c>
      <c r="H2469" s="21">
        <f>0</f>
        <v/>
      </c>
      <c r="I2469" s="21">
        <f>2*$B$1813</f>
        <v/>
      </c>
      <c r="J2469" s="21">
        <f>-$B$1812</f>
        <v/>
      </c>
      <c r="K2469" s="21">
        <f>$B$1814</f>
        <v/>
      </c>
      <c r="L2469" s="21" t="n">
        <v>0</v>
      </c>
      <c r="M2469" s="21" t="n">
        <v>0</v>
      </c>
      <c r="N2469" s="21" t="n">
        <v>0</v>
      </c>
      <c r="O2469" s="21" t="n">
        <v>0</v>
      </c>
      <c r="P2469" s="21" t="n">
        <v>0</v>
      </c>
      <c r="Q2469" s="21" t="n">
        <v>0</v>
      </c>
      <c r="R2469" s="21" t="n">
        <v>0</v>
      </c>
      <c r="S2469" s="21" t="n">
        <v>0</v>
      </c>
      <c r="T2469" s="21" t="n">
        <v>0</v>
      </c>
      <c r="U2469" s="21" t="n">
        <v>0</v>
      </c>
      <c r="V2469" s="21" t="n">
        <v>0</v>
      </c>
      <c r="W2469" s="21" t="n">
        <v>0</v>
      </c>
      <c r="X2469" s="21" t="n">
        <v>0</v>
      </c>
      <c r="Y2469" s="21" t="n">
        <v>0</v>
      </c>
      <c r="Z2469" s="21" t="n">
        <v>0</v>
      </c>
      <c r="AA2469" s="21" t="n">
        <v>0</v>
      </c>
      <c r="AB2469" s="21" t="n">
        <v>0</v>
      </c>
      <c r="AC2469" s="21" t="n">
        <v>0</v>
      </c>
      <c r="AD2469" s="21" t="n">
        <v>0</v>
      </c>
      <c r="AE2469" s="21" t="n">
        <v>0</v>
      </c>
      <c r="AF2469" s="21" t="n">
        <v>0</v>
      </c>
      <c r="AG2469" s="21" t="n">
        <v>0</v>
      </c>
      <c r="AH2469" s="21" t="n">
        <v>0</v>
      </c>
      <c r="AI2469" s="21" t="n">
        <v>0</v>
      </c>
      <c r="AJ2469" s="21" t="n">
        <v>0</v>
      </c>
      <c r="AK2469" s="21" t="n">
        <v>0</v>
      </c>
      <c r="AL2469" s="21" t="n">
        <v>0</v>
      </c>
      <c r="AM2469" s="21" t="n">
        <v>0</v>
      </c>
      <c r="AN2469" s="21" t="n">
        <v>0</v>
      </c>
      <c r="AO2469" s="21" t="n">
        <v>0</v>
      </c>
      <c r="AP2469" s="21" t="n">
        <v>0</v>
      </c>
      <c r="AQ2469" s="21" t="n">
        <v>0</v>
      </c>
      <c r="AR2469" s="21" t="n">
        <v>0</v>
      </c>
      <c r="AS2469" s="21" t="n">
        <v>0</v>
      </c>
      <c r="AT2469" s="19" t="n"/>
    </row>
    <row r="2470">
      <c r="D2470" s="21" t="n">
        <v>0</v>
      </c>
      <c r="E2470" s="21" t="n">
        <v>0</v>
      </c>
      <c r="F2470" s="21" t="n">
        <v>0</v>
      </c>
      <c r="G2470" s="21" t="n">
        <v>0</v>
      </c>
      <c r="H2470" s="21">
        <f>-$B$1811</f>
        <v/>
      </c>
      <c r="I2470" s="21">
        <f>-$B$1812</f>
        <v/>
      </c>
      <c r="J2470" s="21">
        <f>2*$B$1811+$D$2445</f>
        <v/>
      </c>
      <c r="K2470" s="21">
        <f>0</f>
        <v/>
      </c>
      <c r="L2470" s="21">
        <f>-$B$1811</f>
        <v/>
      </c>
      <c r="M2470" s="21">
        <f>$B$1812</f>
        <v/>
      </c>
      <c r="N2470" s="21" t="n">
        <v>0</v>
      </c>
      <c r="O2470" s="21" t="n">
        <v>0</v>
      </c>
      <c r="P2470" s="21" t="n">
        <v>0</v>
      </c>
      <c r="Q2470" s="21" t="n">
        <v>0</v>
      </c>
      <c r="R2470" s="21" t="n">
        <v>0</v>
      </c>
      <c r="S2470" s="21" t="n">
        <v>0</v>
      </c>
      <c r="T2470" s="21" t="n">
        <v>0</v>
      </c>
      <c r="U2470" s="21" t="n">
        <v>0</v>
      </c>
      <c r="V2470" s="21" t="n">
        <v>0</v>
      </c>
      <c r="W2470" s="21" t="n">
        <v>0</v>
      </c>
      <c r="X2470" s="21" t="n">
        <v>0</v>
      </c>
      <c r="Y2470" s="21" t="n">
        <v>0</v>
      </c>
      <c r="Z2470" s="21" t="n">
        <v>0</v>
      </c>
      <c r="AA2470" s="21" t="n">
        <v>0</v>
      </c>
      <c r="AB2470" s="21" t="n">
        <v>0</v>
      </c>
      <c r="AC2470" s="21" t="n">
        <v>0</v>
      </c>
      <c r="AD2470" s="21" t="n">
        <v>0</v>
      </c>
      <c r="AE2470" s="21" t="n">
        <v>0</v>
      </c>
      <c r="AF2470" s="21" t="n">
        <v>0</v>
      </c>
      <c r="AG2470" s="21" t="n">
        <v>0</v>
      </c>
      <c r="AH2470" s="21" t="n">
        <v>0</v>
      </c>
      <c r="AI2470" s="21" t="n">
        <v>0</v>
      </c>
      <c r="AJ2470" s="21" t="n">
        <v>0</v>
      </c>
      <c r="AK2470" s="21" t="n">
        <v>0</v>
      </c>
      <c r="AL2470" s="21" t="n">
        <v>0</v>
      </c>
      <c r="AM2470" s="21" t="n">
        <v>0</v>
      </c>
      <c r="AN2470" s="21" t="n">
        <v>0</v>
      </c>
      <c r="AO2470" s="21" t="n">
        <v>0</v>
      </c>
      <c r="AP2470" s="21" t="n">
        <v>0</v>
      </c>
      <c r="AQ2470" s="21" t="n">
        <v>0</v>
      </c>
      <c r="AR2470" s="21" t="n">
        <v>0</v>
      </c>
      <c r="AS2470" s="21" t="n">
        <v>0</v>
      </c>
      <c r="AT2470" s="19" t="n"/>
    </row>
    <row r="2471">
      <c r="D2471" s="21" t="n">
        <v>0</v>
      </c>
      <c r="E2471" s="21" t="n">
        <v>0</v>
      </c>
      <c r="F2471" s="21" t="n">
        <v>0</v>
      </c>
      <c r="G2471" s="21" t="n">
        <v>0</v>
      </c>
      <c r="H2471" s="21">
        <f>$B$1812</f>
        <v/>
      </c>
      <c r="I2471" s="21">
        <f>$B$1814</f>
        <v/>
      </c>
      <c r="J2471" s="21">
        <f>0</f>
        <v/>
      </c>
      <c r="K2471" s="21">
        <f>2*$B$1813</f>
        <v/>
      </c>
      <c r="L2471" s="21">
        <f>-$B$1812</f>
        <v/>
      </c>
      <c r="M2471" s="21">
        <f>$B$1814</f>
        <v/>
      </c>
      <c r="N2471" s="21" t="n">
        <v>0</v>
      </c>
      <c r="O2471" s="21" t="n">
        <v>0</v>
      </c>
      <c r="P2471" s="21" t="n">
        <v>0</v>
      </c>
      <c r="Q2471" s="21" t="n">
        <v>0</v>
      </c>
      <c r="R2471" s="21" t="n">
        <v>0</v>
      </c>
      <c r="S2471" s="21" t="n">
        <v>0</v>
      </c>
      <c r="T2471" s="21" t="n">
        <v>0</v>
      </c>
      <c r="U2471" s="21" t="n">
        <v>0</v>
      </c>
      <c r="V2471" s="21" t="n">
        <v>0</v>
      </c>
      <c r="W2471" s="21" t="n">
        <v>0</v>
      </c>
      <c r="X2471" s="21" t="n">
        <v>0</v>
      </c>
      <c r="Y2471" s="21" t="n">
        <v>0</v>
      </c>
      <c r="Z2471" s="21" t="n">
        <v>0</v>
      </c>
      <c r="AA2471" s="21" t="n">
        <v>0</v>
      </c>
      <c r="AB2471" s="21" t="n">
        <v>0</v>
      </c>
      <c r="AC2471" s="21" t="n">
        <v>0</v>
      </c>
      <c r="AD2471" s="21" t="n">
        <v>0</v>
      </c>
      <c r="AE2471" s="21" t="n">
        <v>0</v>
      </c>
      <c r="AF2471" s="21" t="n">
        <v>0</v>
      </c>
      <c r="AG2471" s="21" t="n">
        <v>0</v>
      </c>
      <c r="AH2471" s="21" t="n">
        <v>0</v>
      </c>
      <c r="AI2471" s="21" t="n">
        <v>0</v>
      </c>
      <c r="AJ2471" s="21" t="n">
        <v>0</v>
      </c>
      <c r="AK2471" s="21" t="n">
        <v>0</v>
      </c>
      <c r="AL2471" s="21" t="n">
        <v>0</v>
      </c>
      <c r="AM2471" s="21" t="n">
        <v>0</v>
      </c>
      <c r="AN2471" s="21" t="n">
        <v>0</v>
      </c>
      <c r="AO2471" s="21" t="n">
        <v>0</v>
      </c>
      <c r="AP2471" s="21" t="n">
        <v>0</v>
      </c>
      <c r="AQ2471" s="21" t="n">
        <v>0</v>
      </c>
      <c r="AR2471" s="21" t="n">
        <v>0</v>
      </c>
      <c r="AS2471" s="21" t="n">
        <v>0</v>
      </c>
      <c r="AT2471" s="19" t="n"/>
    </row>
    <row r="2472">
      <c r="D2472" s="21" t="n">
        <v>0</v>
      </c>
      <c r="E2472" s="21" t="n">
        <v>0</v>
      </c>
      <c r="F2472" s="21" t="n">
        <v>0</v>
      </c>
      <c r="G2472" s="21" t="n">
        <v>0</v>
      </c>
      <c r="H2472" s="21" t="n">
        <v>0</v>
      </c>
      <c r="I2472" s="21" t="n">
        <v>0</v>
      </c>
      <c r="J2472" s="21">
        <f>-$B$1811</f>
        <v/>
      </c>
      <c r="K2472" s="21">
        <f>-$B$1812</f>
        <v/>
      </c>
      <c r="L2472" s="21">
        <f>2*$B$1811+$D$2446</f>
        <v/>
      </c>
      <c r="M2472" s="21">
        <f>0</f>
        <v/>
      </c>
      <c r="N2472" s="21">
        <f>-$B$1811</f>
        <v/>
      </c>
      <c r="O2472" s="21">
        <f>$B$1812</f>
        <v/>
      </c>
      <c r="P2472" s="21" t="n">
        <v>0</v>
      </c>
      <c r="Q2472" s="21" t="n">
        <v>0</v>
      </c>
      <c r="R2472" s="21" t="n">
        <v>0</v>
      </c>
      <c r="S2472" s="21" t="n">
        <v>0</v>
      </c>
      <c r="T2472" s="21" t="n">
        <v>0</v>
      </c>
      <c r="U2472" s="21" t="n">
        <v>0</v>
      </c>
      <c r="V2472" s="21" t="n">
        <v>0</v>
      </c>
      <c r="W2472" s="21" t="n">
        <v>0</v>
      </c>
      <c r="X2472" s="21" t="n">
        <v>0</v>
      </c>
      <c r="Y2472" s="21" t="n">
        <v>0</v>
      </c>
      <c r="Z2472" s="21" t="n">
        <v>0</v>
      </c>
      <c r="AA2472" s="21" t="n">
        <v>0</v>
      </c>
      <c r="AB2472" s="21" t="n">
        <v>0</v>
      </c>
      <c r="AC2472" s="21" t="n">
        <v>0</v>
      </c>
      <c r="AD2472" s="21" t="n">
        <v>0</v>
      </c>
      <c r="AE2472" s="21" t="n">
        <v>0</v>
      </c>
      <c r="AF2472" s="21" t="n">
        <v>0</v>
      </c>
      <c r="AG2472" s="21" t="n">
        <v>0</v>
      </c>
      <c r="AH2472" s="21" t="n">
        <v>0</v>
      </c>
      <c r="AI2472" s="21" t="n">
        <v>0</v>
      </c>
      <c r="AJ2472" s="21" t="n">
        <v>0</v>
      </c>
      <c r="AK2472" s="21" t="n">
        <v>0</v>
      </c>
      <c r="AL2472" s="21" t="n">
        <v>0</v>
      </c>
      <c r="AM2472" s="21" t="n">
        <v>0</v>
      </c>
      <c r="AN2472" s="21" t="n">
        <v>0</v>
      </c>
      <c r="AO2472" s="21" t="n">
        <v>0</v>
      </c>
      <c r="AP2472" s="21" t="n">
        <v>0</v>
      </c>
      <c r="AQ2472" s="21" t="n">
        <v>0</v>
      </c>
      <c r="AR2472" s="21" t="n">
        <v>0</v>
      </c>
      <c r="AS2472" s="21" t="n">
        <v>0</v>
      </c>
      <c r="AT2472" s="19" t="n"/>
    </row>
    <row r="2473">
      <c r="D2473" s="21" t="n">
        <v>0</v>
      </c>
      <c r="E2473" s="21" t="n">
        <v>0</v>
      </c>
      <c r="F2473" s="21" t="n">
        <v>0</v>
      </c>
      <c r="G2473" s="21" t="n">
        <v>0</v>
      </c>
      <c r="H2473" s="21" t="n">
        <v>0</v>
      </c>
      <c r="I2473" s="21" t="n">
        <v>0</v>
      </c>
      <c r="J2473" s="21">
        <f>$B$1812</f>
        <v/>
      </c>
      <c r="K2473" s="21">
        <f>$B$1814</f>
        <v/>
      </c>
      <c r="L2473" s="21">
        <f>0</f>
        <v/>
      </c>
      <c r="M2473" s="21">
        <f>2*$B$1813</f>
        <v/>
      </c>
      <c r="N2473" s="21">
        <f>-$B$1812</f>
        <v/>
      </c>
      <c r="O2473" s="21">
        <f>$B$1814</f>
        <v/>
      </c>
      <c r="P2473" s="21" t="n">
        <v>0</v>
      </c>
      <c r="Q2473" s="21" t="n">
        <v>0</v>
      </c>
      <c r="R2473" s="21" t="n">
        <v>0</v>
      </c>
      <c r="S2473" s="21" t="n">
        <v>0</v>
      </c>
      <c r="T2473" s="21" t="n">
        <v>0</v>
      </c>
      <c r="U2473" s="21" t="n">
        <v>0</v>
      </c>
      <c r="V2473" s="21" t="n">
        <v>0</v>
      </c>
      <c r="W2473" s="21" t="n">
        <v>0</v>
      </c>
      <c r="X2473" s="21" t="n">
        <v>0</v>
      </c>
      <c r="Y2473" s="21" t="n">
        <v>0</v>
      </c>
      <c r="Z2473" s="21" t="n">
        <v>0</v>
      </c>
      <c r="AA2473" s="21" t="n">
        <v>0</v>
      </c>
      <c r="AB2473" s="21" t="n">
        <v>0</v>
      </c>
      <c r="AC2473" s="21" t="n">
        <v>0</v>
      </c>
      <c r="AD2473" s="21" t="n">
        <v>0</v>
      </c>
      <c r="AE2473" s="21" t="n">
        <v>0</v>
      </c>
      <c r="AF2473" s="21" t="n">
        <v>0</v>
      </c>
      <c r="AG2473" s="21" t="n">
        <v>0</v>
      </c>
      <c r="AH2473" s="21" t="n">
        <v>0</v>
      </c>
      <c r="AI2473" s="21" t="n">
        <v>0</v>
      </c>
      <c r="AJ2473" s="21" t="n">
        <v>0</v>
      </c>
      <c r="AK2473" s="21" t="n">
        <v>0</v>
      </c>
      <c r="AL2473" s="21" t="n">
        <v>0</v>
      </c>
      <c r="AM2473" s="21" t="n">
        <v>0</v>
      </c>
      <c r="AN2473" s="21" t="n">
        <v>0</v>
      </c>
      <c r="AO2473" s="21" t="n">
        <v>0</v>
      </c>
      <c r="AP2473" s="21" t="n">
        <v>0</v>
      </c>
      <c r="AQ2473" s="21" t="n">
        <v>0</v>
      </c>
      <c r="AR2473" s="21" t="n">
        <v>0</v>
      </c>
      <c r="AS2473" s="21" t="n">
        <v>0</v>
      </c>
      <c r="AT2473" s="19" t="n"/>
    </row>
    <row r="2474">
      <c r="D2474" s="21" t="n">
        <v>0</v>
      </c>
      <c r="E2474" s="21" t="n">
        <v>0</v>
      </c>
      <c r="F2474" s="21" t="n">
        <v>0</v>
      </c>
      <c r="G2474" s="21" t="n">
        <v>0</v>
      </c>
      <c r="H2474" s="21" t="n">
        <v>0</v>
      </c>
      <c r="I2474" s="21" t="n">
        <v>0</v>
      </c>
      <c r="J2474" s="21" t="n">
        <v>0</v>
      </c>
      <c r="K2474" s="21" t="n">
        <v>0</v>
      </c>
      <c r="L2474" s="21">
        <f>-$B$1811</f>
        <v/>
      </c>
      <c r="M2474" s="21">
        <f>-$B$1812</f>
        <v/>
      </c>
      <c r="N2474" s="21">
        <f>2*$B$1811+$D$2447</f>
        <v/>
      </c>
      <c r="O2474" s="21">
        <f>0</f>
        <v/>
      </c>
      <c r="P2474" s="21">
        <f>-$B$1811</f>
        <v/>
      </c>
      <c r="Q2474" s="21">
        <f>$B$1812</f>
        <v/>
      </c>
      <c r="R2474" s="21" t="n">
        <v>0</v>
      </c>
      <c r="S2474" s="21" t="n">
        <v>0</v>
      </c>
      <c r="T2474" s="21" t="n">
        <v>0</v>
      </c>
      <c r="U2474" s="21" t="n">
        <v>0</v>
      </c>
      <c r="V2474" s="21" t="n">
        <v>0</v>
      </c>
      <c r="W2474" s="21" t="n">
        <v>0</v>
      </c>
      <c r="X2474" s="21" t="n">
        <v>0</v>
      </c>
      <c r="Y2474" s="21" t="n">
        <v>0</v>
      </c>
      <c r="Z2474" s="21" t="n">
        <v>0</v>
      </c>
      <c r="AA2474" s="21" t="n">
        <v>0</v>
      </c>
      <c r="AB2474" s="21" t="n">
        <v>0</v>
      </c>
      <c r="AC2474" s="21" t="n">
        <v>0</v>
      </c>
      <c r="AD2474" s="21" t="n">
        <v>0</v>
      </c>
      <c r="AE2474" s="21" t="n">
        <v>0</v>
      </c>
      <c r="AF2474" s="21" t="n">
        <v>0</v>
      </c>
      <c r="AG2474" s="21" t="n">
        <v>0</v>
      </c>
      <c r="AH2474" s="21" t="n">
        <v>0</v>
      </c>
      <c r="AI2474" s="21" t="n">
        <v>0</v>
      </c>
      <c r="AJ2474" s="21" t="n">
        <v>0</v>
      </c>
      <c r="AK2474" s="21" t="n">
        <v>0</v>
      </c>
      <c r="AL2474" s="21" t="n">
        <v>0</v>
      </c>
      <c r="AM2474" s="21" t="n">
        <v>0</v>
      </c>
      <c r="AN2474" s="21" t="n">
        <v>0</v>
      </c>
      <c r="AO2474" s="21" t="n">
        <v>0</v>
      </c>
      <c r="AP2474" s="21" t="n">
        <v>0</v>
      </c>
      <c r="AQ2474" s="21" t="n">
        <v>0</v>
      </c>
      <c r="AR2474" s="21" t="n">
        <v>0</v>
      </c>
      <c r="AS2474" s="21" t="n">
        <v>0</v>
      </c>
      <c r="AT2474" s="19" t="n"/>
    </row>
    <row r="2475">
      <c r="D2475" s="21" t="n">
        <v>0</v>
      </c>
      <c r="E2475" s="21" t="n">
        <v>0</v>
      </c>
      <c r="F2475" s="21" t="n">
        <v>0</v>
      </c>
      <c r="G2475" s="21" t="n">
        <v>0</v>
      </c>
      <c r="H2475" s="21" t="n">
        <v>0</v>
      </c>
      <c r="I2475" s="21" t="n">
        <v>0</v>
      </c>
      <c r="J2475" s="21" t="n">
        <v>0</v>
      </c>
      <c r="K2475" s="21" t="n">
        <v>0</v>
      </c>
      <c r="L2475" s="21">
        <f>$B$1812</f>
        <v/>
      </c>
      <c r="M2475" s="21">
        <f>$B$1814</f>
        <v/>
      </c>
      <c r="N2475" s="21">
        <f>0</f>
        <v/>
      </c>
      <c r="O2475" s="21">
        <f>2*$B$1813</f>
        <v/>
      </c>
      <c r="P2475" s="21">
        <f>-$B$1812</f>
        <v/>
      </c>
      <c r="Q2475" s="21">
        <f>$B$1814</f>
        <v/>
      </c>
      <c r="R2475" s="21" t="n">
        <v>0</v>
      </c>
      <c r="S2475" s="21" t="n">
        <v>0</v>
      </c>
      <c r="T2475" s="21" t="n">
        <v>0</v>
      </c>
      <c r="U2475" s="21" t="n">
        <v>0</v>
      </c>
      <c r="V2475" s="21" t="n">
        <v>0</v>
      </c>
      <c r="W2475" s="21" t="n">
        <v>0</v>
      </c>
      <c r="X2475" s="21" t="n">
        <v>0</v>
      </c>
      <c r="Y2475" s="21" t="n">
        <v>0</v>
      </c>
      <c r="Z2475" s="21" t="n">
        <v>0</v>
      </c>
      <c r="AA2475" s="21" t="n">
        <v>0</v>
      </c>
      <c r="AB2475" s="21" t="n">
        <v>0</v>
      </c>
      <c r="AC2475" s="21" t="n">
        <v>0</v>
      </c>
      <c r="AD2475" s="21" t="n">
        <v>0</v>
      </c>
      <c r="AE2475" s="21" t="n">
        <v>0</v>
      </c>
      <c r="AF2475" s="21" t="n">
        <v>0</v>
      </c>
      <c r="AG2475" s="21" t="n">
        <v>0</v>
      </c>
      <c r="AH2475" s="21" t="n">
        <v>0</v>
      </c>
      <c r="AI2475" s="21" t="n">
        <v>0</v>
      </c>
      <c r="AJ2475" s="21" t="n">
        <v>0</v>
      </c>
      <c r="AK2475" s="21" t="n">
        <v>0</v>
      </c>
      <c r="AL2475" s="21" t="n">
        <v>0</v>
      </c>
      <c r="AM2475" s="21" t="n">
        <v>0</v>
      </c>
      <c r="AN2475" s="21" t="n">
        <v>0</v>
      </c>
      <c r="AO2475" s="21" t="n">
        <v>0</v>
      </c>
      <c r="AP2475" s="21" t="n">
        <v>0</v>
      </c>
      <c r="AQ2475" s="21" t="n">
        <v>0</v>
      </c>
      <c r="AR2475" s="21" t="n">
        <v>0</v>
      </c>
      <c r="AS2475" s="21" t="n">
        <v>0</v>
      </c>
      <c r="AT2475" s="19" t="n"/>
    </row>
    <row r="2476">
      <c r="D2476" s="21" t="n">
        <v>0</v>
      </c>
      <c r="E2476" s="21" t="n">
        <v>0</v>
      </c>
      <c r="F2476" s="21" t="n">
        <v>0</v>
      </c>
      <c r="G2476" s="21" t="n">
        <v>0</v>
      </c>
      <c r="H2476" s="21" t="n">
        <v>0</v>
      </c>
      <c r="I2476" s="21" t="n">
        <v>0</v>
      </c>
      <c r="J2476" s="21" t="n">
        <v>0</v>
      </c>
      <c r="K2476" s="21" t="n">
        <v>0</v>
      </c>
      <c r="L2476" s="21" t="n">
        <v>0</v>
      </c>
      <c r="M2476" s="21" t="n">
        <v>0</v>
      </c>
      <c r="N2476" s="21">
        <f>-$B$1811</f>
        <v/>
      </c>
      <c r="O2476" s="21">
        <f>-$B$1812</f>
        <v/>
      </c>
      <c r="P2476" s="21">
        <f>2*$B$1811+$D$2448</f>
        <v/>
      </c>
      <c r="Q2476" s="21">
        <f>0</f>
        <v/>
      </c>
      <c r="R2476" s="21">
        <f>-$B$1811</f>
        <v/>
      </c>
      <c r="S2476" s="21">
        <f>$B$1812</f>
        <v/>
      </c>
      <c r="T2476" s="21" t="n">
        <v>0</v>
      </c>
      <c r="U2476" s="21" t="n">
        <v>0</v>
      </c>
      <c r="V2476" s="21" t="n">
        <v>0</v>
      </c>
      <c r="W2476" s="21" t="n">
        <v>0</v>
      </c>
      <c r="X2476" s="21" t="n">
        <v>0</v>
      </c>
      <c r="Y2476" s="21" t="n">
        <v>0</v>
      </c>
      <c r="Z2476" s="21" t="n">
        <v>0</v>
      </c>
      <c r="AA2476" s="21" t="n">
        <v>0</v>
      </c>
      <c r="AB2476" s="21" t="n">
        <v>0</v>
      </c>
      <c r="AC2476" s="21" t="n">
        <v>0</v>
      </c>
      <c r="AD2476" s="21" t="n">
        <v>0</v>
      </c>
      <c r="AE2476" s="21" t="n">
        <v>0</v>
      </c>
      <c r="AF2476" s="21" t="n">
        <v>0</v>
      </c>
      <c r="AG2476" s="21" t="n">
        <v>0</v>
      </c>
      <c r="AH2476" s="21" t="n">
        <v>0</v>
      </c>
      <c r="AI2476" s="21" t="n">
        <v>0</v>
      </c>
      <c r="AJ2476" s="21" t="n">
        <v>0</v>
      </c>
      <c r="AK2476" s="21" t="n">
        <v>0</v>
      </c>
      <c r="AL2476" s="21" t="n">
        <v>0</v>
      </c>
      <c r="AM2476" s="21" t="n">
        <v>0</v>
      </c>
      <c r="AN2476" s="21" t="n">
        <v>0</v>
      </c>
      <c r="AO2476" s="21" t="n">
        <v>0</v>
      </c>
      <c r="AP2476" s="21" t="n">
        <v>0</v>
      </c>
      <c r="AQ2476" s="21" t="n">
        <v>0</v>
      </c>
      <c r="AR2476" s="21" t="n">
        <v>0</v>
      </c>
      <c r="AS2476" s="21" t="n">
        <v>0</v>
      </c>
      <c r="AT2476" s="19" t="n"/>
    </row>
    <row r="2477">
      <c r="D2477" s="21" t="n">
        <v>0</v>
      </c>
      <c r="E2477" s="21" t="n">
        <v>0</v>
      </c>
      <c r="F2477" s="21" t="n">
        <v>0</v>
      </c>
      <c r="G2477" s="21" t="n">
        <v>0</v>
      </c>
      <c r="H2477" s="21" t="n">
        <v>0</v>
      </c>
      <c r="I2477" s="21" t="n">
        <v>0</v>
      </c>
      <c r="J2477" s="21" t="n">
        <v>0</v>
      </c>
      <c r="K2477" s="21" t="n">
        <v>0</v>
      </c>
      <c r="L2477" s="21" t="n">
        <v>0</v>
      </c>
      <c r="M2477" s="21" t="n">
        <v>0</v>
      </c>
      <c r="N2477" s="21">
        <f>$B$1812</f>
        <v/>
      </c>
      <c r="O2477" s="21">
        <f>$B$1814</f>
        <v/>
      </c>
      <c r="P2477" s="21">
        <f>0</f>
        <v/>
      </c>
      <c r="Q2477" s="21">
        <f>2*$B$1813</f>
        <v/>
      </c>
      <c r="R2477" s="21">
        <f>-$B$1812</f>
        <v/>
      </c>
      <c r="S2477" s="21">
        <f>$B$1814</f>
        <v/>
      </c>
      <c r="T2477" s="21" t="n">
        <v>0</v>
      </c>
      <c r="U2477" s="21" t="n">
        <v>0</v>
      </c>
      <c r="V2477" s="21" t="n">
        <v>0</v>
      </c>
      <c r="W2477" s="21" t="n">
        <v>0</v>
      </c>
      <c r="X2477" s="21" t="n">
        <v>0</v>
      </c>
      <c r="Y2477" s="21" t="n">
        <v>0</v>
      </c>
      <c r="Z2477" s="21" t="n">
        <v>0</v>
      </c>
      <c r="AA2477" s="21" t="n">
        <v>0</v>
      </c>
      <c r="AB2477" s="21" t="n">
        <v>0</v>
      </c>
      <c r="AC2477" s="21" t="n">
        <v>0</v>
      </c>
      <c r="AD2477" s="21" t="n">
        <v>0</v>
      </c>
      <c r="AE2477" s="21" t="n">
        <v>0</v>
      </c>
      <c r="AF2477" s="21" t="n">
        <v>0</v>
      </c>
      <c r="AG2477" s="21" t="n">
        <v>0</v>
      </c>
      <c r="AH2477" s="21" t="n">
        <v>0</v>
      </c>
      <c r="AI2477" s="21" t="n">
        <v>0</v>
      </c>
      <c r="AJ2477" s="21" t="n">
        <v>0</v>
      </c>
      <c r="AK2477" s="21" t="n">
        <v>0</v>
      </c>
      <c r="AL2477" s="21" t="n">
        <v>0</v>
      </c>
      <c r="AM2477" s="21" t="n">
        <v>0</v>
      </c>
      <c r="AN2477" s="21" t="n">
        <v>0</v>
      </c>
      <c r="AO2477" s="21" t="n">
        <v>0</v>
      </c>
      <c r="AP2477" s="21" t="n">
        <v>0</v>
      </c>
      <c r="AQ2477" s="21" t="n">
        <v>0</v>
      </c>
      <c r="AR2477" s="21" t="n">
        <v>0</v>
      </c>
      <c r="AS2477" s="21" t="n">
        <v>0</v>
      </c>
      <c r="AT2477" s="19" t="n"/>
    </row>
    <row r="2478">
      <c r="D2478" s="21" t="n">
        <v>0</v>
      </c>
      <c r="E2478" s="21" t="n">
        <v>0</v>
      </c>
      <c r="F2478" s="21" t="n">
        <v>0</v>
      </c>
      <c r="G2478" s="21" t="n">
        <v>0</v>
      </c>
      <c r="H2478" s="21" t="n">
        <v>0</v>
      </c>
      <c r="I2478" s="21" t="n">
        <v>0</v>
      </c>
      <c r="J2478" s="21" t="n">
        <v>0</v>
      </c>
      <c r="K2478" s="21" t="n">
        <v>0</v>
      </c>
      <c r="L2478" s="21" t="n">
        <v>0</v>
      </c>
      <c r="M2478" s="21" t="n">
        <v>0</v>
      </c>
      <c r="N2478" s="21" t="n">
        <v>0</v>
      </c>
      <c r="O2478" s="21" t="n">
        <v>0</v>
      </c>
      <c r="P2478" s="21">
        <f>-$B$1811</f>
        <v/>
      </c>
      <c r="Q2478" s="21">
        <f>-$B$1812</f>
        <v/>
      </c>
      <c r="R2478" s="21">
        <f>2*$B$1811+$D$2449</f>
        <v/>
      </c>
      <c r="S2478" s="21">
        <f>0</f>
        <v/>
      </c>
      <c r="T2478" s="21">
        <f>-$B$1811</f>
        <v/>
      </c>
      <c r="U2478" s="21">
        <f>$B$1812</f>
        <v/>
      </c>
      <c r="V2478" s="21" t="n">
        <v>0</v>
      </c>
      <c r="W2478" s="21" t="n">
        <v>0</v>
      </c>
      <c r="X2478" s="21" t="n">
        <v>0</v>
      </c>
      <c r="Y2478" s="21" t="n">
        <v>0</v>
      </c>
      <c r="Z2478" s="21" t="n">
        <v>0</v>
      </c>
      <c r="AA2478" s="21" t="n">
        <v>0</v>
      </c>
      <c r="AB2478" s="21" t="n">
        <v>0</v>
      </c>
      <c r="AC2478" s="21" t="n">
        <v>0</v>
      </c>
      <c r="AD2478" s="21" t="n">
        <v>0</v>
      </c>
      <c r="AE2478" s="21" t="n">
        <v>0</v>
      </c>
      <c r="AF2478" s="21" t="n">
        <v>0</v>
      </c>
      <c r="AG2478" s="21" t="n">
        <v>0</v>
      </c>
      <c r="AH2478" s="21" t="n">
        <v>0</v>
      </c>
      <c r="AI2478" s="21" t="n">
        <v>0</v>
      </c>
      <c r="AJ2478" s="21" t="n">
        <v>0</v>
      </c>
      <c r="AK2478" s="21" t="n">
        <v>0</v>
      </c>
      <c r="AL2478" s="21" t="n">
        <v>0</v>
      </c>
      <c r="AM2478" s="21" t="n">
        <v>0</v>
      </c>
      <c r="AN2478" s="21" t="n">
        <v>0</v>
      </c>
      <c r="AO2478" s="21" t="n">
        <v>0</v>
      </c>
      <c r="AP2478" s="21" t="n">
        <v>0</v>
      </c>
      <c r="AQ2478" s="21" t="n">
        <v>0</v>
      </c>
      <c r="AR2478" s="21" t="n">
        <v>0</v>
      </c>
      <c r="AS2478" s="21" t="n">
        <v>0</v>
      </c>
      <c r="AT2478" s="19" t="n"/>
    </row>
    <row r="2479">
      <c r="D2479" s="21" t="n">
        <v>0</v>
      </c>
      <c r="E2479" s="21" t="n">
        <v>0</v>
      </c>
      <c r="F2479" s="21" t="n">
        <v>0</v>
      </c>
      <c r="G2479" s="21" t="n">
        <v>0</v>
      </c>
      <c r="H2479" s="21" t="n">
        <v>0</v>
      </c>
      <c r="I2479" s="21" t="n">
        <v>0</v>
      </c>
      <c r="J2479" s="21" t="n">
        <v>0</v>
      </c>
      <c r="K2479" s="21" t="n">
        <v>0</v>
      </c>
      <c r="L2479" s="21" t="n">
        <v>0</v>
      </c>
      <c r="M2479" s="21" t="n">
        <v>0</v>
      </c>
      <c r="N2479" s="21" t="n">
        <v>0</v>
      </c>
      <c r="O2479" s="21" t="n">
        <v>0</v>
      </c>
      <c r="P2479" s="21">
        <f>$B$1812</f>
        <v/>
      </c>
      <c r="Q2479" s="21">
        <f>$B$1814</f>
        <v/>
      </c>
      <c r="R2479" s="21">
        <f>0</f>
        <v/>
      </c>
      <c r="S2479" s="21">
        <f>2*$B$1813</f>
        <v/>
      </c>
      <c r="T2479" s="21">
        <f>-$B$1812</f>
        <v/>
      </c>
      <c r="U2479" s="21">
        <f>$B$1814</f>
        <v/>
      </c>
      <c r="V2479" s="21" t="n">
        <v>0</v>
      </c>
      <c r="W2479" s="21" t="n">
        <v>0</v>
      </c>
      <c r="X2479" s="21" t="n">
        <v>0</v>
      </c>
      <c r="Y2479" s="21" t="n">
        <v>0</v>
      </c>
      <c r="Z2479" s="21" t="n">
        <v>0</v>
      </c>
      <c r="AA2479" s="21" t="n">
        <v>0</v>
      </c>
      <c r="AB2479" s="21" t="n">
        <v>0</v>
      </c>
      <c r="AC2479" s="21" t="n">
        <v>0</v>
      </c>
      <c r="AD2479" s="21" t="n">
        <v>0</v>
      </c>
      <c r="AE2479" s="21" t="n">
        <v>0</v>
      </c>
      <c r="AF2479" s="21" t="n">
        <v>0</v>
      </c>
      <c r="AG2479" s="21" t="n">
        <v>0</v>
      </c>
      <c r="AH2479" s="21" t="n">
        <v>0</v>
      </c>
      <c r="AI2479" s="21" t="n">
        <v>0</v>
      </c>
      <c r="AJ2479" s="21" t="n">
        <v>0</v>
      </c>
      <c r="AK2479" s="21" t="n">
        <v>0</v>
      </c>
      <c r="AL2479" s="21" t="n">
        <v>0</v>
      </c>
      <c r="AM2479" s="21" t="n">
        <v>0</v>
      </c>
      <c r="AN2479" s="21" t="n">
        <v>0</v>
      </c>
      <c r="AO2479" s="21" t="n">
        <v>0</v>
      </c>
      <c r="AP2479" s="21" t="n">
        <v>0</v>
      </c>
      <c r="AQ2479" s="21" t="n">
        <v>0</v>
      </c>
      <c r="AR2479" s="21" t="n">
        <v>0</v>
      </c>
      <c r="AS2479" s="21" t="n">
        <v>0</v>
      </c>
      <c r="AT2479" s="19" t="n"/>
    </row>
    <row r="2480">
      <c r="D2480" s="21" t="n">
        <v>0</v>
      </c>
      <c r="E2480" s="21" t="n">
        <v>0</v>
      </c>
      <c r="F2480" s="21" t="n">
        <v>0</v>
      </c>
      <c r="G2480" s="21" t="n">
        <v>0</v>
      </c>
      <c r="H2480" s="21" t="n">
        <v>0</v>
      </c>
      <c r="I2480" s="21" t="n">
        <v>0</v>
      </c>
      <c r="J2480" s="21" t="n">
        <v>0</v>
      </c>
      <c r="K2480" s="21" t="n">
        <v>0</v>
      </c>
      <c r="L2480" s="21" t="n">
        <v>0</v>
      </c>
      <c r="M2480" s="21" t="n">
        <v>0</v>
      </c>
      <c r="N2480" s="21" t="n">
        <v>0</v>
      </c>
      <c r="O2480" s="21" t="n">
        <v>0</v>
      </c>
      <c r="P2480" s="21" t="n">
        <v>0</v>
      </c>
      <c r="Q2480" s="21" t="n">
        <v>0</v>
      </c>
      <c r="R2480" s="21">
        <f>-$B$1811</f>
        <v/>
      </c>
      <c r="S2480" s="21">
        <f>-$B$1812</f>
        <v/>
      </c>
      <c r="T2480" s="21">
        <f>2*$B$1811+$D$2450</f>
        <v/>
      </c>
      <c r="U2480" s="21">
        <f>0</f>
        <v/>
      </c>
      <c r="V2480" s="21">
        <f>-$B$1811</f>
        <v/>
      </c>
      <c r="W2480" s="21">
        <f>$B$1812</f>
        <v/>
      </c>
      <c r="X2480" s="21" t="n">
        <v>0</v>
      </c>
      <c r="Y2480" s="21" t="n">
        <v>0</v>
      </c>
      <c r="Z2480" s="21" t="n">
        <v>0</v>
      </c>
      <c r="AA2480" s="21" t="n">
        <v>0</v>
      </c>
      <c r="AB2480" s="21" t="n">
        <v>0</v>
      </c>
      <c r="AC2480" s="21" t="n">
        <v>0</v>
      </c>
      <c r="AD2480" s="21" t="n">
        <v>0</v>
      </c>
      <c r="AE2480" s="21" t="n">
        <v>0</v>
      </c>
      <c r="AF2480" s="21" t="n">
        <v>0</v>
      </c>
      <c r="AG2480" s="21" t="n">
        <v>0</v>
      </c>
      <c r="AH2480" s="21" t="n">
        <v>0</v>
      </c>
      <c r="AI2480" s="21" t="n">
        <v>0</v>
      </c>
      <c r="AJ2480" s="21" t="n">
        <v>0</v>
      </c>
      <c r="AK2480" s="21" t="n">
        <v>0</v>
      </c>
      <c r="AL2480" s="21" t="n">
        <v>0</v>
      </c>
      <c r="AM2480" s="21" t="n">
        <v>0</v>
      </c>
      <c r="AN2480" s="21" t="n">
        <v>0</v>
      </c>
      <c r="AO2480" s="21" t="n">
        <v>0</v>
      </c>
      <c r="AP2480" s="21" t="n">
        <v>0</v>
      </c>
      <c r="AQ2480" s="21" t="n">
        <v>0</v>
      </c>
      <c r="AR2480" s="21" t="n">
        <v>0</v>
      </c>
      <c r="AS2480" s="21" t="n">
        <v>0</v>
      </c>
      <c r="AT2480" s="19" t="n"/>
    </row>
    <row r="2481">
      <c r="D2481" s="21" t="n">
        <v>0</v>
      </c>
      <c r="E2481" s="21" t="n">
        <v>0</v>
      </c>
      <c r="F2481" s="21" t="n">
        <v>0</v>
      </c>
      <c r="G2481" s="21" t="n">
        <v>0</v>
      </c>
      <c r="H2481" s="21" t="n">
        <v>0</v>
      </c>
      <c r="I2481" s="21" t="n">
        <v>0</v>
      </c>
      <c r="J2481" s="21" t="n">
        <v>0</v>
      </c>
      <c r="K2481" s="21" t="n">
        <v>0</v>
      </c>
      <c r="L2481" s="21" t="n">
        <v>0</v>
      </c>
      <c r="M2481" s="21" t="n">
        <v>0</v>
      </c>
      <c r="N2481" s="21" t="n">
        <v>0</v>
      </c>
      <c r="O2481" s="21" t="n">
        <v>0</v>
      </c>
      <c r="P2481" s="21" t="n">
        <v>0</v>
      </c>
      <c r="Q2481" s="21" t="n">
        <v>0</v>
      </c>
      <c r="R2481" s="21">
        <f>$B$1812</f>
        <v/>
      </c>
      <c r="S2481" s="21">
        <f>$B$1814</f>
        <v/>
      </c>
      <c r="T2481" s="21">
        <f>0</f>
        <v/>
      </c>
      <c r="U2481" s="21">
        <f>2*$B$1813</f>
        <v/>
      </c>
      <c r="V2481" s="21">
        <f>-$B$1812</f>
        <v/>
      </c>
      <c r="W2481" s="21">
        <f>$B$1814</f>
        <v/>
      </c>
      <c r="X2481" s="21" t="n">
        <v>0</v>
      </c>
      <c r="Y2481" s="21" t="n">
        <v>0</v>
      </c>
      <c r="Z2481" s="21" t="n">
        <v>0</v>
      </c>
      <c r="AA2481" s="21" t="n">
        <v>0</v>
      </c>
      <c r="AB2481" s="21" t="n">
        <v>0</v>
      </c>
      <c r="AC2481" s="21" t="n">
        <v>0</v>
      </c>
      <c r="AD2481" s="21" t="n">
        <v>0</v>
      </c>
      <c r="AE2481" s="21" t="n">
        <v>0</v>
      </c>
      <c r="AF2481" s="21" t="n">
        <v>0</v>
      </c>
      <c r="AG2481" s="21" t="n">
        <v>0</v>
      </c>
      <c r="AH2481" s="21" t="n">
        <v>0</v>
      </c>
      <c r="AI2481" s="21" t="n">
        <v>0</v>
      </c>
      <c r="AJ2481" s="21" t="n">
        <v>0</v>
      </c>
      <c r="AK2481" s="21" t="n">
        <v>0</v>
      </c>
      <c r="AL2481" s="21" t="n">
        <v>0</v>
      </c>
      <c r="AM2481" s="21" t="n">
        <v>0</v>
      </c>
      <c r="AN2481" s="21" t="n">
        <v>0</v>
      </c>
      <c r="AO2481" s="21" t="n">
        <v>0</v>
      </c>
      <c r="AP2481" s="21" t="n">
        <v>0</v>
      </c>
      <c r="AQ2481" s="21" t="n">
        <v>0</v>
      </c>
      <c r="AR2481" s="21" t="n">
        <v>0</v>
      </c>
      <c r="AS2481" s="21" t="n">
        <v>0</v>
      </c>
      <c r="AT2481" s="19" t="n"/>
    </row>
    <row r="2482">
      <c r="D2482" s="21" t="n">
        <v>0</v>
      </c>
      <c r="E2482" s="21" t="n">
        <v>0</v>
      </c>
      <c r="F2482" s="21" t="n">
        <v>0</v>
      </c>
      <c r="G2482" s="21" t="n">
        <v>0</v>
      </c>
      <c r="H2482" s="21" t="n">
        <v>0</v>
      </c>
      <c r="I2482" s="21" t="n">
        <v>0</v>
      </c>
      <c r="J2482" s="21" t="n">
        <v>0</v>
      </c>
      <c r="K2482" s="21" t="n">
        <v>0</v>
      </c>
      <c r="L2482" s="21" t="n">
        <v>0</v>
      </c>
      <c r="M2482" s="21" t="n">
        <v>0</v>
      </c>
      <c r="N2482" s="21" t="n">
        <v>0</v>
      </c>
      <c r="O2482" s="21" t="n">
        <v>0</v>
      </c>
      <c r="P2482" s="21" t="n">
        <v>0</v>
      </c>
      <c r="Q2482" s="21" t="n">
        <v>0</v>
      </c>
      <c r="R2482" s="21" t="n">
        <v>0</v>
      </c>
      <c r="S2482" s="21" t="n">
        <v>0</v>
      </c>
      <c r="T2482" s="21">
        <f>-$B$1811</f>
        <v/>
      </c>
      <c r="U2482" s="21">
        <f>-$B$1812</f>
        <v/>
      </c>
      <c r="V2482" s="21">
        <f>2*$B$1811+$D$2451</f>
        <v/>
      </c>
      <c r="W2482" s="21">
        <f>0</f>
        <v/>
      </c>
      <c r="X2482" s="21">
        <f>-$B$1811</f>
        <v/>
      </c>
      <c r="Y2482" s="21">
        <f>$B$1812</f>
        <v/>
      </c>
      <c r="Z2482" s="21" t="n">
        <v>0</v>
      </c>
      <c r="AA2482" s="21" t="n">
        <v>0</v>
      </c>
      <c r="AB2482" s="21" t="n">
        <v>0</v>
      </c>
      <c r="AC2482" s="21" t="n">
        <v>0</v>
      </c>
      <c r="AD2482" s="21" t="n">
        <v>0</v>
      </c>
      <c r="AE2482" s="21" t="n">
        <v>0</v>
      </c>
      <c r="AF2482" s="21" t="n">
        <v>0</v>
      </c>
      <c r="AG2482" s="21" t="n">
        <v>0</v>
      </c>
      <c r="AH2482" s="21" t="n">
        <v>0</v>
      </c>
      <c r="AI2482" s="21" t="n">
        <v>0</v>
      </c>
      <c r="AJ2482" s="21" t="n">
        <v>0</v>
      </c>
      <c r="AK2482" s="21" t="n">
        <v>0</v>
      </c>
      <c r="AL2482" s="21" t="n">
        <v>0</v>
      </c>
      <c r="AM2482" s="21" t="n">
        <v>0</v>
      </c>
      <c r="AN2482" s="21" t="n">
        <v>0</v>
      </c>
      <c r="AO2482" s="21" t="n">
        <v>0</v>
      </c>
      <c r="AP2482" s="21" t="n">
        <v>0</v>
      </c>
      <c r="AQ2482" s="21" t="n">
        <v>0</v>
      </c>
      <c r="AR2482" s="21" t="n">
        <v>0</v>
      </c>
      <c r="AS2482" s="21" t="n">
        <v>0</v>
      </c>
      <c r="AT2482" s="19" t="n"/>
    </row>
    <row r="2483">
      <c r="D2483" s="21" t="n">
        <v>0</v>
      </c>
      <c r="E2483" s="21" t="n">
        <v>0</v>
      </c>
      <c r="F2483" s="21" t="n">
        <v>0</v>
      </c>
      <c r="G2483" s="21" t="n">
        <v>0</v>
      </c>
      <c r="H2483" s="21" t="n">
        <v>0</v>
      </c>
      <c r="I2483" s="21" t="n">
        <v>0</v>
      </c>
      <c r="J2483" s="21" t="n">
        <v>0</v>
      </c>
      <c r="K2483" s="21" t="n">
        <v>0</v>
      </c>
      <c r="L2483" s="21" t="n">
        <v>0</v>
      </c>
      <c r="M2483" s="21" t="n">
        <v>0</v>
      </c>
      <c r="N2483" s="21" t="n">
        <v>0</v>
      </c>
      <c r="O2483" s="21" t="n">
        <v>0</v>
      </c>
      <c r="P2483" s="21" t="n">
        <v>0</v>
      </c>
      <c r="Q2483" s="21" t="n">
        <v>0</v>
      </c>
      <c r="R2483" s="21" t="n">
        <v>0</v>
      </c>
      <c r="S2483" s="21" t="n">
        <v>0</v>
      </c>
      <c r="T2483" s="21">
        <f>$B$1812</f>
        <v/>
      </c>
      <c r="U2483" s="21">
        <f>$B$1814</f>
        <v/>
      </c>
      <c r="V2483" s="21">
        <f>0</f>
        <v/>
      </c>
      <c r="W2483" s="21">
        <f>2*$B$1813</f>
        <v/>
      </c>
      <c r="X2483" s="21">
        <f>-$B$1812</f>
        <v/>
      </c>
      <c r="Y2483" s="21">
        <f>$B$1814</f>
        <v/>
      </c>
      <c r="Z2483" s="21" t="n">
        <v>0</v>
      </c>
      <c r="AA2483" s="21" t="n">
        <v>0</v>
      </c>
      <c r="AB2483" s="21" t="n">
        <v>0</v>
      </c>
      <c r="AC2483" s="21" t="n">
        <v>0</v>
      </c>
      <c r="AD2483" s="21" t="n">
        <v>0</v>
      </c>
      <c r="AE2483" s="21" t="n">
        <v>0</v>
      </c>
      <c r="AF2483" s="21" t="n">
        <v>0</v>
      </c>
      <c r="AG2483" s="21" t="n">
        <v>0</v>
      </c>
      <c r="AH2483" s="21" t="n">
        <v>0</v>
      </c>
      <c r="AI2483" s="21" t="n">
        <v>0</v>
      </c>
      <c r="AJ2483" s="21" t="n">
        <v>0</v>
      </c>
      <c r="AK2483" s="21" t="n">
        <v>0</v>
      </c>
      <c r="AL2483" s="21" t="n">
        <v>0</v>
      </c>
      <c r="AM2483" s="21" t="n">
        <v>0</v>
      </c>
      <c r="AN2483" s="21" t="n">
        <v>0</v>
      </c>
      <c r="AO2483" s="21" t="n">
        <v>0</v>
      </c>
      <c r="AP2483" s="21" t="n">
        <v>0</v>
      </c>
      <c r="AQ2483" s="21" t="n">
        <v>0</v>
      </c>
      <c r="AR2483" s="21" t="n">
        <v>0</v>
      </c>
      <c r="AS2483" s="21" t="n">
        <v>0</v>
      </c>
      <c r="AT2483" s="19" t="n"/>
    </row>
    <row r="2484">
      <c r="D2484" s="21" t="n">
        <v>0</v>
      </c>
      <c r="E2484" s="21" t="n">
        <v>0</v>
      </c>
      <c r="F2484" s="21" t="n">
        <v>0</v>
      </c>
      <c r="G2484" s="21" t="n">
        <v>0</v>
      </c>
      <c r="H2484" s="21" t="n">
        <v>0</v>
      </c>
      <c r="I2484" s="21" t="n">
        <v>0</v>
      </c>
      <c r="J2484" s="21" t="n">
        <v>0</v>
      </c>
      <c r="K2484" s="21" t="n">
        <v>0</v>
      </c>
      <c r="L2484" s="21" t="n">
        <v>0</v>
      </c>
      <c r="M2484" s="21" t="n">
        <v>0</v>
      </c>
      <c r="N2484" s="21" t="n">
        <v>0</v>
      </c>
      <c r="O2484" s="21" t="n">
        <v>0</v>
      </c>
      <c r="P2484" s="21" t="n">
        <v>0</v>
      </c>
      <c r="Q2484" s="21" t="n">
        <v>0</v>
      </c>
      <c r="R2484" s="21" t="n">
        <v>0</v>
      </c>
      <c r="S2484" s="21" t="n">
        <v>0</v>
      </c>
      <c r="T2484" s="21" t="n">
        <v>0</v>
      </c>
      <c r="U2484" s="21" t="n">
        <v>0</v>
      </c>
      <c r="V2484" s="21">
        <f>-$B$1811</f>
        <v/>
      </c>
      <c r="W2484" s="21">
        <f>-$B$1812</f>
        <v/>
      </c>
      <c r="X2484" s="21">
        <f>2*$B$1811+$D$2452</f>
        <v/>
      </c>
      <c r="Y2484" s="21">
        <f>0</f>
        <v/>
      </c>
      <c r="Z2484" s="21">
        <f>-$B$1811</f>
        <v/>
      </c>
      <c r="AA2484" s="21">
        <f>$B$1812</f>
        <v/>
      </c>
      <c r="AB2484" s="21" t="n">
        <v>0</v>
      </c>
      <c r="AC2484" s="21" t="n">
        <v>0</v>
      </c>
      <c r="AD2484" s="21" t="n">
        <v>0</v>
      </c>
      <c r="AE2484" s="21" t="n">
        <v>0</v>
      </c>
      <c r="AF2484" s="21" t="n">
        <v>0</v>
      </c>
      <c r="AG2484" s="21" t="n">
        <v>0</v>
      </c>
      <c r="AH2484" s="21" t="n">
        <v>0</v>
      </c>
      <c r="AI2484" s="21" t="n">
        <v>0</v>
      </c>
      <c r="AJ2484" s="21" t="n">
        <v>0</v>
      </c>
      <c r="AK2484" s="21" t="n">
        <v>0</v>
      </c>
      <c r="AL2484" s="21" t="n">
        <v>0</v>
      </c>
      <c r="AM2484" s="21" t="n">
        <v>0</v>
      </c>
      <c r="AN2484" s="21" t="n">
        <v>0</v>
      </c>
      <c r="AO2484" s="21" t="n">
        <v>0</v>
      </c>
      <c r="AP2484" s="21" t="n">
        <v>0</v>
      </c>
      <c r="AQ2484" s="21" t="n">
        <v>0</v>
      </c>
      <c r="AR2484" s="21" t="n">
        <v>0</v>
      </c>
      <c r="AS2484" s="21" t="n">
        <v>0</v>
      </c>
      <c r="AT2484" s="19" t="n"/>
    </row>
    <row r="2485">
      <c r="D2485" s="21" t="n">
        <v>0</v>
      </c>
      <c r="E2485" s="21" t="n">
        <v>0</v>
      </c>
      <c r="F2485" s="21" t="n">
        <v>0</v>
      </c>
      <c r="G2485" s="21" t="n">
        <v>0</v>
      </c>
      <c r="H2485" s="21" t="n">
        <v>0</v>
      </c>
      <c r="I2485" s="21" t="n">
        <v>0</v>
      </c>
      <c r="J2485" s="21" t="n">
        <v>0</v>
      </c>
      <c r="K2485" s="21" t="n">
        <v>0</v>
      </c>
      <c r="L2485" s="21" t="n">
        <v>0</v>
      </c>
      <c r="M2485" s="21" t="n">
        <v>0</v>
      </c>
      <c r="N2485" s="21" t="n">
        <v>0</v>
      </c>
      <c r="O2485" s="21" t="n">
        <v>0</v>
      </c>
      <c r="P2485" s="21" t="n">
        <v>0</v>
      </c>
      <c r="Q2485" s="21" t="n">
        <v>0</v>
      </c>
      <c r="R2485" s="21" t="n">
        <v>0</v>
      </c>
      <c r="S2485" s="21" t="n">
        <v>0</v>
      </c>
      <c r="T2485" s="21" t="n">
        <v>0</v>
      </c>
      <c r="U2485" s="21" t="n">
        <v>0</v>
      </c>
      <c r="V2485" s="21">
        <f>$B$1812</f>
        <v/>
      </c>
      <c r="W2485" s="21">
        <f>$B$1814</f>
        <v/>
      </c>
      <c r="X2485" s="21">
        <f>0</f>
        <v/>
      </c>
      <c r="Y2485" s="21">
        <f>2*$B$1813</f>
        <v/>
      </c>
      <c r="Z2485" s="21">
        <f>-$B$1812</f>
        <v/>
      </c>
      <c r="AA2485" s="21">
        <f>$B$1814</f>
        <v/>
      </c>
      <c r="AB2485" s="21" t="n">
        <v>0</v>
      </c>
      <c r="AC2485" s="21" t="n">
        <v>0</v>
      </c>
      <c r="AD2485" s="21" t="n">
        <v>0</v>
      </c>
      <c r="AE2485" s="21" t="n">
        <v>0</v>
      </c>
      <c r="AF2485" s="21" t="n">
        <v>0</v>
      </c>
      <c r="AG2485" s="21" t="n">
        <v>0</v>
      </c>
      <c r="AH2485" s="21" t="n">
        <v>0</v>
      </c>
      <c r="AI2485" s="21" t="n">
        <v>0</v>
      </c>
      <c r="AJ2485" s="21" t="n">
        <v>0</v>
      </c>
      <c r="AK2485" s="21" t="n">
        <v>0</v>
      </c>
      <c r="AL2485" s="21" t="n">
        <v>0</v>
      </c>
      <c r="AM2485" s="21" t="n">
        <v>0</v>
      </c>
      <c r="AN2485" s="21" t="n">
        <v>0</v>
      </c>
      <c r="AO2485" s="21" t="n">
        <v>0</v>
      </c>
      <c r="AP2485" s="21" t="n">
        <v>0</v>
      </c>
      <c r="AQ2485" s="21" t="n">
        <v>0</v>
      </c>
      <c r="AR2485" s="21" t="n">
        <v>0</v>
      </c>
      <c r="AS2485" s="21" t="n">
        <v>0</v>
      </c>
      <c r="AT2485" s="19" t="n"/>
    </row>
    <row r="2486">
      <c r="D2486" s="21" t="n">
        <v>0</v>
      </c>
      <c r="E2486" s="21" t="n">
        <v>0</v>
      </c>
      <c r="F2486" s="21" t="n">
        <v>0</v>
      </c>
      <c r="G2486" s="21" t="n">
        <v>0</v>
      </c>
      <c r="H2486" s="21" t="n">
        <v>0</v>
      </c>
      <c r="I2486" s="21" t="n">
        <v>0</v>
      </c>
      <c r="J2486" s="21" t="n">
        <v>0</v>
      </c>
      <c r="K2486" s="21" t="n">
        <v>0</v>
      </c>
      <c r="L2486" s="21" t="n">
        <v>0</v>
      </c>
      <c r="M2486" s="21" t="n">
        <v>0</v>
      </c>
      <c r="N2486" s="21" t="n">
        <v>0</v>
      </c>
      <c r="O2486" s="21" t="n">
        <v>0</v>
      </c>
      <c r="P2486" s="21" t="n">
        <v>0</v>
      </c>
      <c r="Q2486" s="21" t="n">
        <v>0</v>
      </c>
      <c r="R2486" s="21" t="n">
        <v>0</v>
      </c>
      <c r="S2486" s="21" t="n">
        <v>0</v>
      </c>
      <c r="T2486" s="21" t="n">
        <v>0</v>
      </c>
      <c r="U2486" s="21" t="n">
        <v>0</v>
      </c>
      <c r="V2486" s="21" t="n">
        <v>0</v>
      </c>
      <c r="W2486" s="21" t="n">
        <v>0</v>
      </c>
      <c r="X2486" s="21">
        <f>-$B$1811</f>
        <v/>
      </c>
      <c r="Y2486" s="21">
        <f>-$B$1812</f>
        <v/>
      </c>
      <c r="Z2486" s="21">
        <f>2*$B$1811+$D$2453</f>
        <v/>
      </c>
      <c r="AA2486" s="21">
        <f>0</f>
        <v/>
      </c>
      <c r="AB2486" s="21">
        <f>-$B$1811</f>
        <v/>
      </c>
      <c r="AC2486" s="21">
        <f>$B$1812</f>
        <v/>
      </c>
      <c r="AD2486" s="21" t="n">
        <v>0</v>
      </c>
      <c r="AE2486" s="21" t="n">
        <v>0</v>
      </c>
      <c r="AF2486" s="21" t="n">
        <v>0</v>
      </c>
      <c r="AG2486" s="21" t="n">
        <v>0</v>
      </c>
      <c r="AH2486" s="21" t="n">
        <v>0</v>
      </c>
      <c r="AI2486" s="21" t="n">
        <v>0</v>
      </c>
      <c r="AJ2486" s="21" t="n">
        <v>0</v>
      </c>
      <c r="AK2486" s="21" t="n">
        <v>0</v>
      </c>
      <c r="AL2486" s="21" t="n">
        <v>0</v>
      </c>
      <c r="AM2486" s="21" t="n">
        <v>0</v>
      </c>
      <c r="AN2486" s="21" t="n">
        <v>0</v>
      </c>
      <c r="AO2486" s="21" t="n">
        <v>0</v>
      </c>
      <c r="AP2486" s="21" t="n">
        <v>0</v>
      </c>
      <c r="AQ2486" s="21" t="n">
        <v>0</v>
      </c>
      <c r="AR2486" s="21" t="n">
        <v>0</v>
      </c>
      <c r="AS2486" s="21" t="n">
        <v>0</v>
      </c>
      <c r="AT2486" s="19" t="n"/>
    </row>
    <row r="2487">
      <c r="D2487" s="21" t="n">
        <v>0</v>
      </c>
      <c r="E2487" s="21" t="n">
        <v>0</v>
      </c>
      <c r="F2487" s="21" t="n">
        <v>0</v>
      </c>
      <c r="G2487" s="21" t="n">
        <v>0</v>
      </c>
      <c r="H2487" s="21" t="n">
        <v>0</v>
      </c>
      <c r="I2487" s="21" t="n">
        <v>0</v>
      </c>
      <c r="J2487" s="21" t="n">
        <v>0</v>
      </c>
      <c r="K2487" s="21" t="n">
        <v>0</v>
      </c>
      <c r="L2487" s="21" t="n">
        <v>0</v>
      </c>
      <c r="M2487" s="21" t="n">
        <v>0</v>
      </c>
      <c r="N2487" s="21" t="n">
        <v>0</v>
      </c>
      <c r="O2487" s="21" t="n">
        <v>0</v>
      </c>
      <c r="P2487" s="21" t="n">
        <v>0</v>
      </c>
      <c r="Q2487" s="21" t="n">
        <v>0</v>
      </c>
      <c r="R2487" s="21" t="n">
        <v>0</v>
      </c>
      <c r="S2487" s="21" t="n">
        <v>0</v>
      </c>
      <c r="T2487" s="21" t="n">
        <v>0</v>
      </c>
      <c r="U2487" s="21" t="n">
        <v>0</v>
      </c>
      <c r="V2487" s="21" t="n">
        <v>0</v>
      </c>
      <c r="W2487" s="21" t="n">
        <v>0</v>
      </c>
      <c r="X2487" s="21">
        <f>$B$1812</f>
        <v/>
      </c>
      <c r="Y2487" s="21">
        <f>$B$1814</f>
        <v/>
      </c>
      <c r="Z2487" s="21">
        <f>0</f>
        <v/>
      </c>
      <c r="AA2487" s="21">
        <f>2*$B$1813</f>
        <v/>
      </c>
      <c r="AB2487" s="21">
        <f>-$B$1812</f>
        <v/>
      </c>
      <c r="AC2487" s="21">
        <f>$B$1814</f>
        <v/>
      </c>
      <c r="AD2487" s="21" t="n">
        <v>0</v>
      </c>
      <c r="AE2487" s="21" t="n">
        <v>0</v>
      </c>
      <c r="AF2487" s="21" t="n">
        <v>0</v>
      </c>
      <c r="AG2487" s="21" t="n">
        <v>0</v>
      </c>
      <c r="AH2487" s="21" t="n">
        <v>0</v>
      </c>
      <c r="AI2487" s="21" t="n">
        <v>0</v>
      </c>
      <c r="AJ2487" s="21" t="n">
        <v>0</v>
      </c>
      <c r="AK2487" s="21" t="n">
        <v>0</v>
      </c>
      <c r="AL2487" s="21" t="n">
        <v>0</v>
      </c>
      <c r="AM2487" s="21" t="n">
        <v>0</v>
      </c>
      <c r="AN2487" s="21" t="n">
        <v>0</v>
      </c>
      <c r="AO2487" s="21" t="n">
        <v>0</v>
      </c>
      <c r="AP2487" s="21" t="n">
        <v>0</v>
      </c>
      <c r="AQ2487" s="21" t="n">
        <v>0</v>
      </c>
      <c r="AR2487" s="21" t="n">
        <v>0</v>
      </c>
      <c r="AS2487" s="21" t="n">
        <v>0</v>
      </c>
      <c r="AT2487" s="19" t="n"/>
    </row>
    <row r="2488">
      <c r="D2488" s="21" t="n">
        <v>0</v>
      </c>
      <c r="E2488" s="21" t="n">
        <v>0</v>
      </c>
      <c r="F2488" s="21" t="n">
        <v>0</v>
      </c>
      <c r="G2488" s="21" t="n">
        <v>0</v>
      </c>
      <c r="H2488" s="21" t="n">
        <v>0</v>
      </c>
      <c r="I2488" s="21" t="n">
        <v>0</v>
      </c>
      <c r="J2488" s="21" t="n">
        <v>0</v>
      </c>
      <c r="K2488" s="21" t="n">
        <v>0</v>
      </c>
      <c r="L2488" s="21" t="n">
        <v>0</v>
      </c>
      <c r="M2488" s="21" t="n">
        <v>0</v>
      </c>
      <c r="N2488" s="21" t="n">
        <v>0</v>
      </c>
      <c r="O2488" s="21" t="n">
        <v>0</v>
      </c>
      <c r="P2488" s="21" t="n">
        <v>0</v>
      </c>
      <c r="Q2488" s="21" t="n">
        <v>0</v>
      </c>
      <c r="R2488" s="21" t="n">
        <v>0</v>
      </c>
      <c r="S2488" s="21" t="n">
        <v>0</v>
      </c>
      <c r="T2488" s="21" t="n">
        <v>0</v>
      </c>
      <c r="U2488" s="21" t="n">
        <v>0</v>
      </c>
      <c r="V2488" s="21" t="n">
        <v>0</v>
      </c>
      <c r="W2488" s="21" t="n">
        <v>0</v>
      </c>
      <c r="X2488" s="21" t="n">
        <v>0</v>
      </c>
      <c r="Y2488" s="21" t="n">
        <v>0</v>
      </c>
      <c r="Z2488" s="21">
        <f>-$B$1811</f>
        <v/>
      </c>
      <c r="AA2488" s="21">
        <f>-$B$1812</f>
        <v/>
      </c>
      <c r="AB2488" s="21">
        <f>2*$B$1811+$D$2454</f>
        <v/>
      </c>
      <c r="AC2488" s="21">
        <f>0</f>
        <v/>
      </c>
      <c r="AD2488" s="21">
        <f>-$B$1811</f>
        <v/>
      </c>
      <c r="AE2488" s="21">
        <f>$B$1812</f>
        <v/>
      </c>
      <c r="AF2488" s="21" t="n">
        <v>0</v>
      </c>
      <c r="AG2488" s="21" t="n">
        <v>0</v>
      </c>
      <c r="AH2488" s="21" t="n">
        <v>0</v>
      </c>
      <c r="AI2488" s="21" t="n">
        <v>0</v>
      </c>
      <c r="AJ2488" s="21" t="n">
        <v>0</v>
      </c>
      <c r="AK2488" s="21" t="n">
        <v>0</v>
      </c>
      <c r="AL2488" s="21" t="n">
        <v>0</v>
      </c>
      <c r="AM2488" s="21" t="n">
        <v>0</v>
      </c>
      <c r="AN2488" s="21" t="n">
        <v>0</v>
      </c>
      <c r="AO2488" s="21" t="n">
        <v>0</v>
      </c>
      <c r="AP2488" s="21" t="n">
        <v>0</v>
      </c>
      <c r="AQ2488" s="21" t="n">
        <v>0</v>
      </c>
      <c r="AR2488" s="21" t="n">
        <v>0</v>
      </c>
      <c r="AS2488" s="21" t="n">
        <v>0</v>
      </c>
      <c r="AT2488" s="19" t="n"/>
    </row>
    <row r="2489">
      <c r="D2489" s="21" t="n">
        <v>0</v>
      </c>
      <c r="E2489" s="21" t="n">
        <v>0</v>
      </c>
      <c r="F2489" s="21" t="n">
        <v>0</v>
      </c>
      <c r="G2489" s="21" t="n">
        <v>0</v>
      </c>
      <c r="H2489" s="21" t="n">
        <v>0</v>
      </c>
      <c r="I2489" s="21" t="n">
        <v>0</v>
      </c>
      <c r="J2489" s="21" t="n">
        <v>0</v>
      </c>
      <c r="K2489" s="21" t="n">
        <v>0</v>
      </c>
      <c r="L2489" s="21" t="n">
        <v>0</v>
      </c>
      <c r="M2489" s="21" t="n">
        <v>0</v>
      </c>
      <c r="N2489" s="21" t="n">
        <v>0</v>
      </c>
      <c r="O2489" s="21" t="n">
        <v>0</v>
      </c>
      <c r="P2489" s="21" t="n">
        <v>0</v>
      </c>
      <c r="Q2489" s="21" t="n">
        <v>0</v>
      </c>
      <c r="R2489" s="21" t="n">
        <v>0</v>
      </c>
      <c r="S2489" s="21" t="n">
        <v>0</v>
      </c>
      <c r="T2489" s="21" t="n">
        <v>0</v>
      </c>
      <c r="U2489" s="21" t="n">
        <v>0</v>
      </c>
      <c r="V2489" s="21" t="n">
        <v>0</v>
      </c>
      <c r="W2489" s="21" t="n">
        <v>0</v>
      </c>
      <c r="X2489" s="21" t="n">
        <v>0</v>
      </c>
      <c r="Y2489" s="21" t="n">
        <v>0</v>
      </c>
      <c r="Z2489" s="21">
        <f>$B$1812</f>
        <v/>
      </c>
      <c r="AA2489" s="21">
        <f>$B$1814</f>
        <v/>
      </c>
      <c r="AB2489" s="21">
        <f>0</f>
        <v/>
      </c>
      <c r="AC2489" s="21">
        <f>2*$B$1813</f>
        <v/>
      </c>
      <c r="AD2489" s="21">
        <f>-$B$1812</f>
        <v/>
      </c>
      <c r="AE2489" s="21">
        <f>$B$1814</f>
        <v/>
      </c>
      <c r="AF2489" s="21" t="n">
        <v>0</v>
      </c>
      <c r="AG2489" s="21" t="n">
        <v>0</v>
      </c>
      <c r="AH2489" s="21" t="n">
        <v>0</v>
      </c>
      <c r="AI2489" s="21" t="n">
        <v>0</v>
      </c>
      <c r="AJ2489" s="21" t="n">
        <v>0</v>
      </c>
      <c r="AK2489" s="21" t="n">
        <v>0</v>
      </c>
      <c r="AL2489" s="21" t="n">
        <v>0</v>
      </c>
      <c r="AM2489" s="21" t="n">
        <v>0</v>
      </c>
      <c r="AN2489" s="21" t="n">
        <v>0</v>
      </c>
      <c r="AO2489" s="21" t="n">
        <v>0</v>
      </c>
      <c r="AP2489" s="21" t="n">
        <v>0</v>
      </c>
      <c r="AQ2489" s="21" t="n">
        <v>0</v>
      </c>
      <c r="AR2489" s="21" t="n">
        <v>0</v>
      </c>
      <c r="AS2489" s="21" t="n">
        <v>0</v>
      </c>
      <c r="AT2489" s="19" t="n"/>
    </row>
    <row r="2490">
      <c r="D2490" s="21" t="n">
        <v>0</v>
      </c>
      <c r="E2490" s="21" t="n">
        <v>0</v>
      </c>
      <c r="F2490" s="21" t="n">
        <v>0</v>
      </c>
      <c r="G2490" s="21" t="n">
        <v>0</v>
      </c>
      <c r="H2490" s="21" t="n">
        <v>0</v>
      </c>
      <c r="I2490" s="21" t="n">
        <v>0</v>
      </c>
      <c r="J2490" s="21" t="n">
        <v>0</v>
      </c>
      <c r="K2490" s="21" t="n">
        <v>0</v>
      </c>
      <c r="L2490" s="21" t="n">
        <v>0</v>
      </c>
      <c r="M2490" s="21" t="n">
        <v>0</v>
      </c>
      <c r="N2490" s="21" t="n">
        <v>0</v>
      </c>
      <c r="O2490" s="21" t="n">
        <v>0</v>
      </c>
      <c r="P2490" s="21" t="n">
        <v>0</v>
      </c>
      <c r="Q2490" s="21" t="n">
        <v>0</v>
      </c>
      <c r="R2490" s="21" t="n">
        <v>0</v>
      </c>
      <c r="S2490" s="21" t="n">
        <v>0</v>
      </c>
      <c r="T2490" s="21" t="n">
        <v>0</v>
      </c>
      <c r="U2490" s="21" t="n">
        <v>0</v>
      </c>
      <c r="V2490" s="21" t="n">
        <v>0</v>
      </c>
      <c r="W2490" s="21" t="n">
        <v>0</v>
      </c>
      <c r="X2490" s="21" t="n">
        <v>0</v>
      </c>
      <c r="Y2490" s="21" t="n">
        <v>0</v>
      </c>
      <c r="Z2490" s="21" t="n">
        <v>0</v>
      </c>
      <c r="AA2490" s="21" t="n">
        <v>0</v>
      </c>
      <c r="AB2490" s="21">
        <f>-$B$1811</f>
        <v/>
      </c>
      <c r="AC2490" s="21">
        <f>-$B$1812</f>
        <v/>
      </c>
      <c r="AD2490" s="21">
        <f>2*$B$1811+$D$2455</f>
        <v/>
      </c>
      <c r="AE2490" s="21">
        <f>0</f>
        <v/>
      </c>
      <c r="AF2490" s="21">
        <f>-$B$1811</f>
        <v/>
      </c>
      <c r="AG2490" s="21">
        <f>$B$1812</f>
        <v/>
      </c>
      <c r="AH2490" s="21" t="n">
        <v>0</v>
      </c>
      <c r="AI2490" s="21" t="n">
        <v>0</v>
      </c>
      <c r="AJ2490" s="21" t="n">
        <v>0</v>
      </c>
      <c r="AK2490" s="21" t="n">
        <v>0</v>
      </c>
      <c r="AL2490" s="21" t="n">
        <v>0</v>
      </c>
      <c r="AM2490" s="21" t="n">
        <v>0</v>
      </c>
      <c r="AN2490" s="21" t="n">
        <v>0</v>
      </c>
      <c r="AO2490" s="21" t="n">
        <v>0</v>
      </c>
      <c r="AP2490" s="21" t="n">
        <v>0</v>
      </c>
      <c r="AQ2490" s="21" t="n">
        <v>0</v>
      </c>
      <c r="AR2490" s="21" t="n">
        <v>0</v>
      </c>
      <c r="AS2490" s="21" t="n">
        <v>0</v>
      </c>
      <c r="AT2490" s="19" t="n"/>
    </row>
    <row r="2491">
      <c r="D2491" s="21" t="n">
        <v>0</v>
      </c>
      <c r="E2491" s="21" t="n">
        <v>0</v>
      </c>
      <c r="F2491" s="21" t="n">
        <v>0</v>
      </c>
      <c r="G2491" s="21" t="n">
        <v>0</v>
      </c>
      <c r="H2491" s="21" t="n">
        <v>0</v>
      </c>
      <c r="I2491" s="21" t="n">
        <v>0</v>
      </c>
      <c r="J2491" s="21" t="n">
        <v>0</v>
      </c>
      <c r="K2491" s="21" t="n">
        <v>0</v>
      </c>
      <c r="L2491" s="21" t="n">
        <v>0</v>
      </c>
      <c r="M2491" s="21" t="n">
        <v>0</v>
      </c>
      <c r="N2491" s="21" t="n">
        <v>0</v>
      </c>
      <c r="O2491" s="21" t="n">
        <v>0</v>
      </c>
      <c r="P2491" s="21" t="n">
        <v>0</v>
      </c>
      <c r="Q2491" s="21" t="n">
        <v>0</v>
      </c>
      <c r="R2491" s="21" t="n">
        <v>0</v>
      </c>
      <c r="S2491" s="21" t="n">
        <v>0</v>
      </c>
      <c r="T2491" s="21" t="n">
        <v>0</v>
      </c>
      <c r="U2491" s="21" t="n">
        <v>0</v>
      </c>
      <c r="V2491" s="21" t="n">
        <v>0</v>
      </c>
      <c r="W2491" s="21" t="n">
        <v>0</v>
      </c>
      <c r="X2491" s="21" t="n">
        <v>0</v>
      </c>
      <c r="Y2491" s="21" t="n">
        <v>0</v>
      </c>
      <c r="Z2491" s="21" t="n">
        <v>0</v>
      </c>
      <c r="AA2491" s="21" t="n">
        <v>0</v>
      </c>
      <c r="AB2491" s="21">
        <f>$B$1812</f>
        <v/>
      </c>
      <c r="AC2491" s="21">
        <f>$B$1814</f>
        <v/>
      </c>
      <c r="AD2491" s="21">
        <f>0</f>
        <v/>
      </c>
      <c r="AE2491" s="21">
        <f>2*$B$1813</f>
        <v/>
      </c>
      <c r="AF2491" s="21">
        <f>-$B$1812</f>
        <v/>
      </c>
      <c r="AG2491" s="21">
        <f>$B$1814</f>
        <v/>
      </c>
      <c r="AH2491" s="21" t="n">
        <v>0</v>
      </c>
      <c r="AI2491" s="21" t="n">
        <v>0</v>
      </c>
      <c r="AJ2491" s="21" t="n">
        <v>0</v>
      </c>
      <c r="AK2491" s="21" t="n">
        <v>0</v>
      </c>
      <c r="AL2491" s="21" t="n">
        <v>0</v>
      </c>
      <c r="AM2491" s="21" t="n">
        <v>0</v>
      </c>
      <c r="AN2491" s="21" t="n">
        <v>0</v>
      </c>
      <c r="AO2491" s="21" t="n">
        <v>0</v>
      </c>
      <c r="AP2491" s="21" t="n">
        <v>0</v>
      </c>
      <c r="AQ2491" s="21" t="n">
        <v>0</v>
      </c>
      <c r="AR2491" s="21" t="n">
        <v>0</v>
      </c>
      <c r="AS2491" s="21" t="n">
        <v>0</v>
      </c>
      <c r="AT2491" s="19" t="n"/>
    </row>
    <row r="2492">
      <c r="D2492" s="21" t="n">
        <v>0</v>
      </c>
      <c r="E2492" s="21" t="n">
        <v>0</v>
      </c>
      <c r="F2492" s="21" t="n">
        <v>0</v>
      </c>
      <c r="G2492" s="21" t="n">
        <v>0</v>
      </c>
      <c r="H2492" s="21" t="n">
        <v>0</v>
      </c>
      <c r="I2492" s="21" t="n">
        <v>0</v>
      </c>
      <c r="J2492" s="21" t="n">
        <v>0</v>
      </c>
      <c r="K2492" s="21" t="n">
        <v>0</v>
      </c>
      <c r="L2492" s="21" t="n">
        <v>0</v>
      </c>
      <c r="M2492" s="21" t="n">
        <v>0</v>
      </c>
      <c r="N2492" s="21" t="n">
        <v>0</v>
      </c>
      <c r="O2492" s="21" t="n">
        <v>0</v>
      </c>
      <c r="P2492" s="21" t="n">
        <v>0</v>
      </c>
      <c r="Q2492" s="21" t="n">
        <v>0</v>
      </c>
      <c r="R2492" s="21" t="n">
        <v>0</v>
      </c>
      <c r="S2492" s="21" t="n">
        <v>0</v>
      </c>
      <c r="T2492" s="21" t="n">
        <v>0</v>
      </c>
      <c r="U2492" s="21" t="n">
        <v>0</v>
      </c>
      <c r="V2492" s="21" t="n">
        <v>0</v>
      </c>
      <c r="W2492" s="21" t="n">
        <v>0</v>
      </c>
      <c r="X2492" s="21" t="n">
        <v>0</v>
      </c>
      <c r="Y2492" s="21" t="n">
        <v>0</v>
      </c>
      <c r="Z2492" s="21" t="n">
        <v>0</v>
      </c>
      <c r="AA2492" s="21" t="n">
        <v>0</v>
      </c>
      <c r="AB2492" s="21" t="n">
        <v>0</v>
      </c>
      <c r="AC2492" s="21" t="n">
        <v>0</v>
      </c>
      <c r="AD2492" s="21">
        <f>-$B$1811</f>
        <v/>
      </c>
      <c r="AE2492" s="21">
        <f>-$B$1812</f>
        <v/>
      </c>
      <c r="AF2492" s="21">
        <f>2*$B$1811+$D$2456</f>
        <v/>
      </c>
      <c r="AG2492" s="21">
        <f>0</f>
        <v/>
      </c>
      <c r="AH2492" s="21">
        <f>-$B$1811</f>
        <v/>
      </c>
      <c r="AI2492" s="21">
        <f>$B$1812</f>
        <v/>
      </c>
      <c r="AJ2492" s="21" t="n">
        <v>0</v>
      </c>
      <c r="AK2492" s="21" t="n">
        <v>0</v>
      </c>
      <c r="AL2492" s="21" t="n">
        <v>0</v>
      </c>
      <c r="AM2492" s="21" t="n">
        <v>0</v>
      </c>
      <c r="AN2492" s="21" t="n">
        <v>0</v>
      </c>
      <c r="AO2492" s="21" t="n">
        <v>0</v>
      </c>
      <c r="AP2492" s="21" t="n">
        <v>0</v>
      </c>
      <c r="AQ2492" s="21" t="n">
        <v>0</v>
      </c>
      <c r="AR2492" s="21" t="n">
        <v>0</v>
      </c>
      <c r="AS2492" s="21" t="n">
        <v>0</v>
      </c>
      <c r="AT2492" s="19" t="n"/>
    </row>
    <row r="2493">
      <c r="D2493" s="21" t="n">
        <v>0</v>
      </c>
      <c r="E2493" s="21" t="n">
        <v>0</v>
      </c>
      <c r="F2493" s="21" t="n">
        <v>0</v>
      </c>
      <c r="G2493" s="21" t="n">
        <v>0</v>
      </c>
      <c r="H2493" s="21" t="n">
        <v>0</v>
      </c>
      <c r="I2493" s="21" t="n">
        <v>0</v>
      </c>
      <c r="J2493" s="21" t="n">
        <v>0</v>
      </c>
      <c r="K2493" s="21" t="n">
        <v>0</v>
      </c>
      <c r="L2493" s="21" t="n">
        <v>0</v>
      </c>
      <c r="M2493" s="21" t="n">
        <v>0</v>
      </c>
      <c r="N2493" s="21" t="n">
        <v>0</v>
      </c>
      <c r="O2493" s="21" t="n">
        <v>0</v>
      </c>
      <c r="P2493" s="21" t="n">
        <v>0</v>
      </c>
      <c r="Q2493" s="21" t="n">
        <v>0</v>
      </c>
      <c r="R2493" s="21" t="n">
        <v>0</v>
      </c>
      <c r="S2493" s="21" t="n">
        <v>0</v>
      </c>
      <c r="T2493" s="21" t="n">
        <v>0</v>
      </c>
      <c r="U2493" s="21" t="n">
        <v>0</v>
      </c>
      <c r="V2493" s="21" t="n">
        <v>0</v>
      </c>
      <c r="W2493" s="21" t="n">
        <v>0</v>
      </c>
      <c r="X2493" s="21" t="n">
        <v>0</v>
      </c>
      <c r="Y2493" s="21" t="n">
        <v>0</v>
      </c>
      <c r="Z2493" s="21" t="n">
        <v>0</v>
      </c>
      <c r="AA2493" s="21" t="n">
        <v>0</v>
      </c>
      <c r="AB2493" s="21" t="n">
        <v>0</v>
      </c>
      <c r="AC2493" s="21" t="n">
        <v>0</v>
      </c>
      <c r="AD2493" s="21">
        <f>$B$1812</f>
        <v/>
      </c>
      <c r="AE2493" s="21">
        <f>$B$1814</f>
        <v/>
      </c>
      <c r="AF2493" s="21">
        <f>0</f>
        <v/>
      </c>
      <c r="AG2493" s="21">
        <f>2*$B$1813</f>
        <v/>
      </c>
      <c r="AH2493" s="21">
        <f>-$B$1812</f>
        <v/>
      </c>
      <c r="AI2493" s="21">
        <f>$B$1814</f>
        <v/>
      </c>
      <c r="AJ2493" s="21" t="n">
        <v>0</v>
      </c>
      <c r="AK2493" s="21" t="n">
        <v>0</v>
      </c>
      <c r="AL2493" s="21" t="n">
        <v>0</v>
      </c>
      <c r="AM2493" s="21" t="n">
        <v>0</v>
      </c>
      <c r="AN2493" s="21" t="n">
        <v>0</v>
      </c>
      <c r="AO2493" s="21" t="n">
        <v>0</v>
      </c>
      <c r="AP2493" s="21" t="n">
        <v>0</v>
      </c>
      <c r="AQ2493" s="21" t="n">
        <v>0</v>
      </c>
      <c r="AR2493" s="21" t="n">
        <v>0</v>
      </c>
      <c r="AS2493" s="21" t="n">
        <v>0</v>
      </c>
      <c r="AT2493" s="19" t="n"/>
    </row>
    <row r="2494">
      <c r="D2494" s="21" t="n">
        <v>0</v>
      </c>
      <c r="E2494" s="21" t="n">
        <v>0</v>
      </c>
      <c r="F2494" s="21" t="n">
        <v>0</v>
      </c>
      <c r="G2494" s="21" t="n">
        <v>0</v>
      </c>
      <c r="H2494" s="21" t="n">
        <v>0</v>
      </c>
      <c r="I2494" s="21" t="n">
        <v>0</v>
      </c>
      <c r="J2494" s="21" t="n">
        <v>0</v>
      </c>
      <c r="K2494" s="21" t="n">
        <v>0</v>
      </c>
      <c r="L2494" s="21" t="n">
        <v>0</v>
      </c>
      <c r="M2494" s="21" t="n">
        <v>0</v>
      </c>
      <c r="N2494" s="21" t="n">
        <v>0</v>
      </c>
      <c r="O2494" s="21" t="n">
        <v>0</v>
      </c>
      <c r="P2494" s="21" t="n">
        <v>0</v>
      </c>
      <c r="Q2494" s="21" t="n">
        <v>0</v>
      </c>
      <c r="R2494" s="21" t="n">
        <v>0</v>
      </c>
      <c r="S2494" s="21" t="n">
        <v>0</v>
      </c>
      <c r="T2494" s="21" t="n">
        <v>0</v>
      </c>
      <c r="U2494" s="21" t="n">
        <v>0</v>
      </c>
      <c r="V2494" s="21" t="n">
        <v>0</v>
      </c>
      <c r="W2494" s="21" t="n">
        <v>0</v>
      </c>
      <c r="X2494" s="21" t="n">
        <v>0</v>
      </c>
      <c r="Y2494" s="21" t="n">
        <v>0</v>
      </c>
      <c r="Z2494" s="21" t="n">
        <v>0</v>
      </c>
      <c r="AA2494" s="21" t="n">
        <v>0</v>
      </c>
      <c r="AB2494" s="21" t="n">
        <v>0</v>
      </c>
      <c r="AC2494" s="21" t="n">
        <v>0</v>
      </c>
      <c r="AD2494" s="21" t="n">
        <v>0</v>
      </c>
      <c r="AE2494" s="21" t="n">
        <v>0</v>
      </c>
      <c r="AF2494" s="21">
        <f>-$B$1811</f>
        <v/>
      </c>
      <c r="AG2494" s="21">
        <f>-$B$1812</f>
        <v/>
      </c>
      <c r="AH2494" s="21">
        <f>2*$B$1811+$D$2457</f>
        <v/>
      </c>
      <c r="AI2494" s="21">
        <f>0</f>
        <v/>
      </c>
      <c r="AJ2494" s="21">
        <f>-$B$1811</f>
        <v/>
      </c>
      <c r="AK2494" s="21">
        <f>$B$1812</f>
        <v/>
      </c>
      <c r="AL2494" s="21" t="n">
        <v>0</v>
      </c>
      <c r="AM2494" s="21" t="n">
        <v>0</v>
      </c>
      <c r="AN2494" s="21" t="n">
        <v>0</v>
      </c>
      <c r="AO2494" s="21" t="n">
        <v>0</v>
      </c>
      <c r="AP2494" s="21" t="n">
        <v>0</v>
      </c>
      <c r="AQ2494" s="21" t="n">
        <v>0</v>
      </c>
      <c r="AR2494" s="21" t="n">
        <v>0</v>
      </c>
      <c r="AS2494" s="21" t="n">
        <v>0</v>
      </c>
      <c r="AT2494" s="19" t="n"/>
    </row>
    <row r="2495">
      <c r="D2495" s="21" t="n">
        <v>0</v>
      </c>
      <c r="E2495" s="21" t="n">
        <v>0</v>
      </c>
      <c r="F2495" s="21" t="n">
        <v>0</v>
      </c>
      <c r="G2495" s="21" t="n">
        <v>0</v>
      </c>
      <c r="H2495" s="21" t="n">
        <v>0</v>
      </c>
      <c r="I2495" s="21" t="n">
        <v>0</v>
      </c>
      <c r="J2495" s="21" t="n">
        <v>0</v>
      </c>
      <c r="K2495" s="21" t="n">
        <v>0</v>
      </c>
      <c r="L2495" s="21" t="n">
        <v>0</v>
      </c>
      <c r="M2495" s="21" t="n">
        <v>0</v>
      </c>
      <c r="N2495" s="21" t="n">
        <v>0</v>
      </c>
      <c r="O2495" s="21" t="n">
        <v>0</v>
      </c>
      <c r="P2495" s="21" t="n">
        <v>0</v>
      </c>
      <c r="Q2495" s="21" t="n">
        <v>0</v>
      </c>
      <c r="R2495" s="21" t="n">
        <v>0</v>
      </c>
      <c r="S2495" s="21" t="n">
        <v>0</v>
      </c>
      <c r="T2495" s="21" t="n">
        <v>0</v>
      </c>
      <c r="U2495" s="21" t="n">
        <v>0</v>
      </c>
      <c r="V2495" s="21" t="n">
        <v>0</v>
      </c>
      <c r="W2495" s="21" t="n">
        <v>0</v>
      </c>
      <c r="X2495" s="21" t="n">
        <v>0</v>
      </c>
      <c r="Y2495" s="21" t="n">
        <v>0</v>
      </c>
      <c r="Z2495" s="21" t="n">
        <v>0</v>
      </c>
      <c r="AA2495" s="21" t="n">
        <v>0</v>
      </c>
      <c r="AB2495" s="21" t="n">
        <v>0</v>
      </c>
      <c r="AC2495" s="21" t="n">
        <v>0</v>
      </c>
      <c r="AD2495" s="21" t="n">
        <v>0</v>
      </c>
      <c r="AE2495" s="21" t="n">
        <v>0</v>
      </c>
      <c r="AF2495" s="21">
        <f>$B$1812</f>
        <v/>
      </c>
      <c r="AG2495" s="21">
        <f>$B$1814</f>
        <v/>
      </c>
      <c r="AH2495" s="21">
        <f>0</f>
        <v/>
      </c>
      <c r="AI2495" s="21">
        <f>2*$B$1813</f>
        <v/>
      </c>
      <c r="AJ2495" s="21">
        <f>-$B$1812</f>
        <v/>
      </c>
      <c r="AK2495" s="21">
        <f>$B$1814</f>
        <v/>
      </c>
      <c r="AL2495" s="21" t="n">
        <v>0</v>
      </c>
      <c r="AM2495" s="21" t="n">
        <v>0</v>
      </c>
      <c r="AN2495" s="21" t="n">
        <v>0</v>
      </c>
      <c r="AO2495" s="21" t="n">
        <v>0</v>
      </c>
      <c r="AP2495" s="21" t="n">
        <v>0</v>
      </c>
      <c r="AQ2495" s="21" t="n">
        <v>0</v>
      </c>
      <c r="AR2495" s="21" t="n">
        <v>0</v>
      </c>
      <c r="AS2495" s="21" t="n">
        <v>0</v>
      </c>
      <c r="AT2495" s="19" t="n"/>
    </row>
    <row r="2496">
      <c r="D2496" s="21" t="n">
        <v>0</v>
      </c>
      <c r="E2496" s="21" t="n">
        <v>0</v>
      </c>
      <c r="F2496" s="21" t="n">
        <v>0</v>
      </c>
      <c r="G2496" s="21" t="n">
        <v>0</v>
      </c>
      <c r="H2496" s="21" t="n">
        <v>0</v>
      </c>
      <c r="I2496" s="21" t="n">
        <v>0</v>
      </c>
      <c r="J2496" s="21" t="n">
        <v>0</v>
      </c>
      <c r="K2496" s="21" t="n">
        <v>0</v>
      </c>
      <c r="L2496" s="21" t="n">
        <v>0</v>
      </c>
      <c r="M2496" s="21" t="n">
        <v>0</v>
      </c>
      <c r="N2496" s="21" t="n">
        <v>0</v>
      </c>
      <c r="O2496" s="21" t="n">
        <v>0</v>
      </c>
      <c r="P2496" s="21" t="n">
        <v>0</v>
      </c>
      <c r="Q2496" s="21" t="n">
        <v>0</v>
      </c>
      <c r="R2496" s="21" t="n">
        <v>0</v>
      </c>
      <c r="S2496" s="21" t="n">
        <v>0</v>
      </c>
      <c r="T2496" s="21" t="n">
        <v>0</v>
      </c>
      <c r="U2496" s="21" t="n">
        <v>0</v>
      </c>
      <c r="V2496" s="21" t="n">
        <v>0</v>
      </c>
      <c r="W2496" s="21" t="n">
        <v>0</v>
      </c>
      <c r="X2496" s="21" t="n">
        <v>0</v>
      </c>
      <c r="Y2496" s="21" t="n">
        <v>0</v>
      </c>
      <c r="Z2496" s="21" t="n">
        <v>0</v>
      </c>
      <c r="AA2496" s="21" t="n">
        <v>0</v>
      </c>
      <c r="AB2496" s="21" t="n">
        <v>0</v>
      </c>
      <c r="AC2496" s="21" t="n">
        <v>0</v>
      </c>
      <c r="AD2496" s="21" t="n">
        <v>0</v>
      </c>
      <c r="AE2496" s="21" t="n">
        <v>0</v>
      </c>
      <c r="AF2496" s="21" t="n">
        <v>0</v>
      </c>
      <c r="AG2496" s="21" t="n">
        <v>0</v>
      </c>
      <c r="AH2496" s="21">
        <f>-$B$1811</f>
        <v/>
      </c>
      <c r="AI2496" s="21">
        <f>-$B$1812</f>
        <v/>
      </c>
      <c r="AJ2496" s="21">
        <f>2*$B$1811+$D$2458</f>
        <v/>
      </c>
      <c r="AK2496" s="21">
        <f>0</f>
        <v/>
      </c>
      <c r="AL2496" s="21">
        <f>-$B$1811</f>
        <v/>
      </c>
      <c r="AM2496" s="21">
        <f>$B$1812</f>
        <v/>
      </c>
      <c r="AN2496" s="21" t="n">
        <v>0</v>
      </c>
      <c r="AO2496" s="21" t="n">
        <v>0</v>
      </c>
      <c r="AP2496" s="21" t="n">
        <v>0</v>
      </c>
      <c r="AQ2496" s="21" t="n">
        <v>0</v>
      </c>
      <c r="AR2496" s="21" t="n">
        <v>0</v>
      </c>
      <c r="AS2496" s="21" t="n">
        <v>0</v>
      </c>
      <c r="AT2496" s="19" t="n"/>
    </row>
    <row r="2497">
      <c r="D2497" s="21" t="n">
        <v>0</v>
      </c>
      <c r="E2497" s="21" t="n">
        <v>0</v>
      </c>
      <c r="F2497" s="21" t="n">
        <v>0</v>
      </c>
      <c r="G2497" s="21" t="n">
        <v>0</v>
      </c>
      <c r="H2497" s="21" t="n">
        <v>0</v>
      </c>
      <c r="I2497" s="21" t="n">
        <v>0</v>
      </c>
      <c r="J2497" s="21" t="n">
        <v>0</v>
      </c>
      <c r="K2497" s="21" t="n">
        <v>0</v>
      </c>
      <c r="L2497" s="21" t="n">
        <v>0</v>
      </c>
      <c r="M2497" s="21" t="n">
        <v>0</v>
      </c>
      <c r="N2497" s="21" t="n">
        <v>0</v>
      </c>
      <c r="O2497" s="21" t="n">
        <v>0</v>
      </c>
      <c r="P2497" s="21" t="n">
        <v>0</v>
      </c>
      <c r="Q2497" s="21" t="n">
        <v>0</v>
      </c>
      <c r="R2497" s="21" t="n">
        <v>0</v>
      </c>
      <c r="S2497" s="21" t="n">
        <v>0</v>
      </c>
      <c r="T2497" s="21" t="n">
        <v>0</v>
      </c>
      <c r="U2497" s="21" t="n">
        <v>0</v>
      </c>
      <c r="V2497" s="21" t="n">
        <v>0</v>
      </c>
      <c r="W2497" s="21" t="n">
        <v>0</v>
      </c>
      <c r="X2497" s="21" t="n">
        <v>0</v>
      </c>
      <c r="Y2497" s="21" t="n">
        <v>0</v>
      </c>
      <c r="Z2497" s="21" t="n">
        <v>0</v>
      </c>
      <c r="AA2497" s="21" t="n">
        <v>0</v>
      </c>
      <c r="AB2497" s="21" t="n">
        <v>0</v>
      </c>
      <c r="AC2497" s="21" t="n">
        <v>0</v>
      </c>
      <c r="AD2497" s="21" t="n">
        <v>0</v>
      </c>
      <c r="AE2497" s="21" t="n">
        <v>0</v>
      </c>
      <c r="AF2497" s="21" t="n">
        <v>0</v>
      </c>
      <c r="AG2497" s="21" t="n">
        <v>0</v>
      </c>
      <c r="AH2497" s="21">
        <f>$B$1812</f>
        <v/>
      </c>
      <c r="AI2497" s="21">
        <f>$B$1814</f>
        <v/>
      </c>
      <c r="AJ2497" s="21">
        <f>0</f>
        <v/>
      </c>
      <c r="AK2497" s="21">
        <f>2*$B$1813</f>
        <v/>
      </c>
      <c r="AL2497" s="21">
        <f>-$B$1812</f>
        <v/>
      </c>
      <c r="AM2497" s="21">
        <f>$B$1814</f>
        <v/>
      </c>
      <c r="AN2497" s="21" t="n">
        <v>0</v>
      </c>
      <c r="AO2497" s="21" t="n">
        <v>0</v>
      </c>
      <c r="AP2497" s="21" t="n">
        <v>0</v>
      </c>
      <c r="AQ2497" s="21" t="n">
        <v>0</v>
      </c>
      <c r="AR2497" s="21" t="n">
        <v>0</v>
      </c>
      <c r="AS2497" s="21" t="n">
        <v>0</v>
      </c>
      <c r="AT2497" s="19" t="n"/>
    </row>
    <row r="2498">
      <c r="D2498" s="21" t="n">
        <v>0</v>
      </c>
      <c r="E2498" s="21" t="n">
        <v>0</v>
      </c>
      <c r="F2498" s="21" t="n">
        <v>0</v>
      </c>
      <c r="G2498" s="21" t="n">
        <v>0</v>
      </c>
      <c r="H2498" s="21" t="n">
        <v>0</v>
      </c>
      <c r="I2498" s="21" t="n">
        <v>0</v>
      </c>
      <c r="J2498" s="21" t="n">
        <v>0</v>
      </c>
      <c r="K2498" s="21" t="n">
        <v>0</v>
      </c>
      <c r="L2498" s="21" t="n">
        <v>0</v>
      </c>
      <c r="M2498" s="21" t="n">
        <v>0</v>
      </c>
      <c r="N2498" s="21" t="n">
        <v>0</v>
      </c>
      <c r="O2498" s="21" t="n">
        <v>0</v>
      </c>
      <c r="P2498" s="21" t="n">
        <v>0</v>
      </c>
      <c r="Q2498" s="21" t="n">
        <v>0</v>
      </c>
      <c r="R2498" s="21" t="n">
        <v>0</v>
      </c>
      <c r="S2498" s="21" t="n">
        <v>0</v>
      </c>
      <c r="T2498" s="21" t="n">
        <v>0</v>
      </c>
      <c r="U2498" s="21" t="n">
        <v>0</v>
      </c>
      <c r="V2498" s="21" t="n">
        <v>0</v>
      </c>
      <c r="W2498" s="21" t="n">
        <v>0</v>
      </c>
      <c r="X2498" s="21" t="n">
        <v>0</v>
      </c>
      <c r="Y2498" s="21" t="n">
        <v>0</v>
      </c>
      <c r="Z2498" s="21" t="n">
        <v>0</v>
      </c>
      <c r="AA2498" s="21" t="n">
        <v>0</v>
      </c>
      <c r="AB2498" s="21" t="n">
        <v>0</v>
      </c>
      <c r="AC2498" s="21" t="n">
        <v>0</v>
      </c>
      <c r="AD2498" s="21" t="n">
        <v>0</v>
      </c>
      <c r="AE2498" s="21" t="n">
        <v>0</v>
      </c>
      <c r="AF2498" s="21" t="n">
        <v>0</v>
      </c>
      <c r="AG2498" s="21" t="n">
        <v>0</v>
      </c>
      <c r="AH2498" s="21" t="n">
        <v>0</v>
      </c>
      <c r="AI2498" s="21" t="n">
        <v>0</v>
      </c>
      <c r="AJ2498" s="21">
        <f>-$B$1811</f>
        <v/>
      </c>
      <c r="AK2498" s="21">
        <f>-$B$1812</f>
        <v/>
      </c>
      <c r="AL2498" s="21">
        <f>2*$B$1811+$D$2459</f>
        <v/>
      </c>
      <c r="AM2498" s="21">
        <f>0</f>
        <v/>
      </c>
      <c r="AN2498" s="21">
        <f>-$B$1811</f>
        <v/>
      </c>
      <c r="AO2498" s="21">
        <f>$B$1812</f>
        <v/>
      </c>
      <c r="AP2498" s="21" t="n">
        <v>0</v>
      </c>
      <c r="AQ2498" s="21" t="n">
        <v>0</v>
      </c>
      <c r="AR2498" s="21" t="n">
        <v>0</v>
      </c>
      <c r="AS2498" s="21" t="n">
        <v>0</v>
      </c>
      <c r="AT2498" s="19" t="n"/>
    </row>
    <row r="2499">
      <c r="D2499" s="21" t="n">
        <v>0</v>
      </c>
      <c r="E2499" s="21" t="n">
        <v>0</v>
      </c>
      <c r="F2499" s="21" t="n">
        <v>0</v>
      </c>
      <c r="G2499" s="21" t="n">
        <v>0</v>
      </c>
      <c r="H2499" s="21" t="n">
        <v>0</v>
      </c>
      <c r="I2499" s="21" t="n">
        <v>0</v>
      </c>
      <c r="J2499" s="21" t="n">
        <v>0</v>
      </c>
      <c r="K2499" s="21" t="n">
        <v>0</v>
      </c>
      <c r="L2499" s="21" t="n">
        <v>0</v>
      </c>
      <c r="M2499" s="21" t="n">
        <v>0</v>
      </c>
      <c r="N2499" s="21" t="n">
        <v>0</v>
      </c>
      <c r="O2499" s="21" t="n">
        <v>0</v>
      </c>
      <c r="P2499" s="21" t="n">
        <v>0</v>
      </c>
      <c r="Q2499" s="21" t="n">
        <v>0</v>
      </c>
      <c r="R2499" s="21" t="n">
        <v>0</v>
      </c>
      <c r="S2499" s="21" t="n">
        <v>0</v>
      </c>
      <c r="T2499" s="21" t="n">
        <v>0</v>
      </c>
      <c r="U2499" s="21" t="n">
        <v>0</v>
      </c>
      <c r="V2499" s="21" t="n">
        <v>0</v>
      </c>
      <c r="W2499" s="21" t="n">
        <v>0</v>
      </c>
      <c r="X2499" s="21" t="n">
        <v>0</v>
      </c>
      <c r="Y2499" s="21" t="n">
        <v>0</v>
      </c>
      <c r="Z2499" s="21" t="n">
        <v>0</v>
      </c>
      <c r="AA2499" s="21" t="n">
        <v>0</v>
      </c>
      <c r="AB2499" s="21" t="n">
        <v>0</v>
      </c>
      <c r="AC2499" s="21" t="n">
        <v>0</v>
      </c>
      <c r="AD2499" s="21" t="n">
        <v>0</v>
      </c>
      <c r="AE2499" s="21" t="n">
        <v>0</v>
      </c>
      <c r="AF2499" s="21" t="n">
        <v>0</v>
      </c>
      <c r="AG2499" s="21" t="n">
        <v>0</v>
      </c>
      <c r="AH2499" s="21" t="n">
        <v>0</v>
      </c>
      <c r="AI2499" s="21" t="n">
        <v>0</v>
      </c>
      <c r="AJ2499" s="21">
        <f>$B$1812</f>
        <v/>
      </c>
      <c r="AK2499" s="21">
        <f>$B$1814</f>
        <v/>
      </c>
      <c r="AL2499" s="21">
        <f>0</f>
        <v/>
      </c>
      <c r="AM2499" s="21">
        <f>2*$B$1813</f>
        <v/>
      </c>
      <c r="AN2499" s="21">
        <f>-$B$1812</f>
        <v/>
      </c>
      <c r="AO2499" s="21">
        <f>$B$1814</f>
        <v/>
      </c>
      <c r="AP2499" s="21" t="n">
        <v>0</v>
      </c>
      <c r="AQ2499" s="21" t="n">
        <v>0</v>
      </c>
      <c r="AR2499" s="21" t="n">
        <v>0</v>
      </c>
      <c r="AS2499" s="21" t="n">
        <v>0</v>
      </c>
      <c r="AT2499" s="19" t="n"/>
    </row>
    <row r="2500">
      <c r="D2500" s="21" t="n">
        <v>0</v>
      </c>
      <c r="E2500" s="21" t="n">
        <v>0</v>
      </c>
      <c r="F2500" s="21" t="n">
        <v>0</v>
      </c>
      <c r="G2500" s="21" t="n">
        <v>0</v>
      </c>
      <c r="H2500" s="21" t="n">
        <v>0</v>
      </c>
      <c r="I2500" s="21" t="n">
        <v>0</v>
      </c>
      <c r="J2500" s="21" t="n">
        <v>0</v>
      </c>
      <c r="K2500" s="21" t="n">
        <v>0</v>
      </c>
      <c r="L2500" s="21" t="n">
        <v>0</v>
      </c>
      <c r="M2500" s="21" t="n">
        <v>0</v>
      </c>
      <c r="N2500" s="21" t="n">
        <v>0</v>
      </c>
      <c r="O2500" s="21" t="n">
        <v>0</v>
      </c>
      <c r="P2500" s="21" t="n">
        <v>0</v>
      </c>
      <c r="Q2500" s="21" t="n">
        <v>0</v>
      </c>
      <c r="R2500" s="21" t="n">
        <v>0</v>
      </c>
      <c r="S2500" s="21" t="n">
        <v>0</v>
      </c>
      <c r="T2500" s="21" t="n">
        <v>0</v>
      </c>
      <c r="U2500" s="21" t="n">
        <v>0</v>
      </c>
      <c r="V2500" s="21" t="n">
        <v>0</v>
      </c>
      <c r="W2500" s="21" t="n">
        <v>0</v>
      </c>
      <c r="X2500" s="21" t="n">
        <v>0</v>
      </c>
      <c r="Y2500" s="21" t="n">
        <v>0</v>
      </c>
      <c r="Z2500" s="21" t="n">
        <v>0</v>
      </c>
      <c r="AA2500" s="21" t="n">
        <v>0</v>
      </c>
      <c r="AB2500" s="21" t="n">
        <v>0</v>
      </c>
      <c r="AC2500" s="21" t="n">
        <v>0</v>
      </c>
      <c r="AD2500" s="21" t="n">
        <v>0</v>
      </c>
      <c r="AE2500" s="21" t="n">
        <v>0</v>
      </c>
      <c r="AF2500" s="21" t="n">
        <v>0</v>
      </c>
      <c r="AG2500" s="21" t="n">
        <v>0</v>
      </c>
      <c r="AH2500" s="21" t="n">
        <v>0</v>
      </c>
      <c r="AI2500" s="21" t="n">
        <v>0</v>
      </c>
      <c r="AJ2500" s="21" t="n">
        <v>0</v>
      </c>
      <c r="AK2500" s="21" t="n">
        <v>0</v>
      </c>
      <c r="AL2500" s="21">
        <f>-$B$1811</f>
        <v/>
      </c>
      <c r="AM2500" s="21">
        <f>-$B$1812</f>
        <v/>
      </c>
      <c r="AN2500" s="21">
        <f>2*$B$1811+$D$2460</f>
        <v/>
      </c>
      <c r="AO2500" s="21">
        <f>0</f>
        <v/>
      </c>
      <c r="AP2500" s="21">
        <f>-$B$1811</f>
        <v/>
      </c>
      <c r="AQ2500" s="21">
        <f>$B$1812</f>
        <v/>
      </c>
      <c r="AR2500" s="21" t="n">
        <v>0</v>
      </c>
      <c r="AS2500" s="21" t="n">
        <v>0</v>
      </c>
      <c r="AT2500" s="19" t="n"/>
    </row>
    <row r="2501">
      <c r="D2501" s="21" t="n">
        <v>0</v>
      </c>
      <c r="E2501" s="21" t="n">
        <v>0</v>
      </c>
      <c r="F2501" s="21" t="n">
        <v>0</v>
      </c>
      <c r="G2501" s="21" t="n">
        <v>0</v>
      </c>
      <c r="H2501" s="21" t="n">
        <v>0</v>
      </c>
      <c r="I2501" s="21" t="n">
        <v>0</v>
      </c>
      <c r="J2501" s="21" t="n">
        <v>0</v>
      </c>
      <c r="K2501" s="21" t="n">
        <v>0</v>
      </c>
      <c r="L2501" s="21" t="n">
        <v>0</v>
      </c>
      <c r="M2501" s="21" t="n">
        <v>0</v>
      </c>
      <c r="N2501" s="21" t="n">
        <v>0</v>
      </c>
      <c r="O2501" s="21" t="n">
        <v>0</v>
      </c>
      <c r="P2501" s="21" t="n">
        <v>0</v>
      </c>
      <c r="Q2501" s="21" t="n">
        <v>0</v>
      </c>
      <c r="R2501" s="21" t="n">
        <v>0</v>
      </c>
      <c r="S2501" s="21" t="n">
        <v>0</v>
      </c>
      <c r="T2501" s="21" t="n">
        <v>0</v>
      </c>
      <c r="U2501" s="21" t="n">
        <v>0</v>
      </c>
      <c r="V2501" s="21" t="n">
        <v>0</v>
      </c>
      <c r="W2501" s="21" t="n">
        <v>0</v>
      </c>
      <c r="X2501" s="21" t="n">
        <v>0</v>
      </c>
      <c r="Y2501" s="21" t="n">
        <v>0</v>
      </c>
      <c r="Z2501" s="21" t="n">
        <v>0</v>
      </c>
      <c r="AA2501" s="21" t="n">
        <v>0</v>
      </c>
      <c r="AB2501" s="21" t="n">
        <v>0</v>
      </c>
      <c r="AC2501" s="21" t="n">
        <v>0</v>
      </c>
      <c r="AD2501" s="21" t="n">
        <v>0</v>
      </c>
      <c r="AE2501" s="21" t="n">
        <v>0</v>
      </c>
      <c r="AF2501" s="21" t="n">
        <v>0</v>
      </c>
      <c r="AG2501" s="21" t="n">
        <v>0</v>
      </c>
      <c r="AH2501" s="21" t="n">
        <v>0</v>
      </c>
      <c r="AI2501" s="21" t="n">
        <v>0</v>
      </c>
      <c r="AJ2501" s="21" t="n">
        <v>0</v>
      </c>
      <c r="AK2501" s="21" t="n">
        <v>0</v>
      </c>
      <c r="AL2501" s="21">
        <f>$B$1812</f>
        <v/>
      </c>
      <c r="AM2501" s="21">
        <f>$B$1814</f>
        <v/>
      </c>
      <c r="AN2501" s="21">
        <f>0</f>
        <v/>
      </c>
      <c r="AO2501" s="21">
        <f>2*$B$1813</f>
        <v/>
      </c>
      <c r="AP2501" s="21">
        <f>-$B$1812</f>
        <v/>
      </c>
      <c r="AQ2501" s="21">
        <f>$B$1814</f>
        <v/>
      </c>
      <c r="AR2501" s="21" t="n">
        <v>0</v>
      </c>
      <c r="AS2501" s="21" t="n">
        <v>0</v>
      </c>
      <c r="AT2501" s="19" t="n"/>
    </row>
    <row r="2502">
      <c r="D2502" s="21" t="n">
        <v>0</v>
      </c>
      <c r="E2502" s="21" t="n">
        <v>0</v>
      </c>
      <c r="F2502" s="21" t="n">
        <v>0</v>
      </c>
      <c r="G2502" s="21" t="n">
        <v>0</v>
      </c>
      <c r="H2502" s="21" t="n">
        <v>0</v>
      </c>
      <c r="I2502" s="21" t="n">
        <v>0</v>
      </c>
      <c r="J2502" s="21" t="n">
        <v>0</v>
      </c>
      <c r="K2502" s="21" t="n">
        <v>0</v>
      </c>
      <c r="L2502" s="21" t="n">
        <v>0</v>
      </c>
      <c r="M2502" s="21" t="n">
        <v>0</v>
      </c>
      <c r="N2502" s="21" t="n">
        <v>0</v>
      </c>
      <c r="O2502" s="21" t="n">
        <v>0</v>
      </c>
      <c r="P2502" s="21" t="n">
        <v>0</v>
      </c>
      <c r="Q2502" s="21" t="n">
        <v>0</v>
      </c>
      <c r="R2502" s="21" t="n">
        <v>0</v>
      </c>
      <c r="S2502" s="21" t="n">
        <v>0</v>
      </c>
      <c r="T2502" s="21" t="n">
        <v>0</v>
      </c>
      <c r="U2502" s="21" t="n">
        <v>0</v>
      </c>
      <c r="V2502" s="21" t="n">
        <v>0</v>
      </c>
      <c r="W2502" s="21" t="n">
        <v>0</v>
      </c>
      <c r="X2502" s="21" t="n">
        <v>0</v>
      </c>
      <c r="Y2502" s="21" t="n">
        <v>0</v>
      </c>
      <c r="Z2502" s="21" t="n">
        <v>0</v>
      </c>
      <c r="AA2502" s="21" t="n">
        <v>0</v>
      </c>
      <c r="AB2502" s="21" t="n">
        <v>0</v>
      </c>
      <c r="AC2502" s="21" t="n">
        <v>0</v>
      </c>
      <c r="AD2502" s="21" t="n">
        <v>0</v>
      </c>
      <c r="AE2502" s="21" t="n">
        <v>0</v>
      </c>
      <c r="AF2502" s="21" t="n">
        <v>0</v>
      </c>
      <c r="AG2502" s="21" t="n">
        <v>0</v>
      </c>
      <c r="AH2502" s="21" t="n">
        <v>0</v>
      </c>
      <c r="AI2502" s="21" t="n">
        <v>0</v>
      </c>
      <c r="AJ2502" s="21" t="n">
        <v>0</v>
      </c>
      <c r="AK2502" s="21" t="n">
        <v>0</v>
      </c>
      <c r="AL2502" s="21" t="n">
        <v>0</v>
      </c>
      <c r="AM2502" s="21" t="n">
        <v>0</v>
      </c>
      <c r="AN2502" s="21">
        <f>-$B$1811</f>
        <v/>
      </c>
      <c r="AO2502" s="21">
        <f>-$B$1812</f>
        <v/>
      </c>
      <c r="AP2502" s="21">
        <f>2*$B$1811+$D$2461</f>
        <v/>
      </c>
      <c r="AQ2502" s="21">
        <f>0</f>
        <v/>
      </c>
      <c r="AR2502" s="21">
        <f>-$B$1811</f>
        <v/>
      </c>
      <c r="AS2502" s="21">
        <f>$B$1812</f>
        <v/>
      </c>
      <c r="AT2502" s="19" t="n"/>
    </row>
    <row r="2503">
      <c r="D2503" s="21" t="n">
        <v>0</v>
      </c>
      <c r="E2503" s="21" t="n">
        <v>0</v>
      </c>
      <c r="F2503" s="21" t="n">
        <v>0</v>
      </c>
      <c r="G2503" s="21" t="n">
        <v>0</v>
      </c>
      <c r="H2503" s="21" t="n">
        <v>0</v>
      </c>
      <c r="I2503" s="21" t="n">
        <v>0</v>
      </c>
      <c r="J2503" s="21" t="n">
        <v>0</v>
      </c>
      <c r="K2503" s="21" t="n">
        <v>0</v>
      </c>
      <c r="L2503" s="21" t="n">
        <v>0</v>
      </c>
      <c r="M2503" s="21" t="n">
        <v>0</v>
      </c>
      <c r="N2503" s="21" t="n">
        <v>0</v>
      </c>
      <c r="O2503" s="21" t="n">
        <v>0</v>
      </c>
      <c r="P2503" s="21" t="n">
        <v>0</v>
      </c>
      <c r="Q2503" s="21" t="n">
        <v>0</v>
      </c>
      <c r="R2503" s="21" t="n">
        <v>0</v>
      </c>
      <c r="S2503" s="21" t="n">
        <v>0</v>
      </c>
      <c r="T2503" s="21" t="n">
        <v>0</v>
      </c>
      <c r="U2503" s="21" t="n">
        <v>0</v>
      </c>
      <c r="V2503" s="21" t="n">
        <v>0</v>
      </c>
      <c r="W2503" s="21" t="n">
        <v>0</v>
      </c>
      <c r="X2503" s="21" t="n">
        <v>0</v>
      </c>
      <c r="Y2503" s="21" t="n">
        <v>0</v>
      </c>
      <c r="Z2503" s="21" t="n">
        <v>0</v>
      </c>
      <c r="AA2503" s="21" t="n">
        <v>0</v>
      </c>
      <c r="AB2503" s="21" t="n">
        <v>0</v>
      </c>
      <c r="AC2503" s="21" t="n">
        <v>0</v>
      </c>
      <c r="AD2503" s="21" t="n">
        <v>0</v>
      </c>
      <c r="AE2503" s="21" t="n">
        <v>0</v>
      </c>
      <c r="AF2503" s="21" t="n">
        <v>0</v>
      </c>
      <c r="AG2503" s="21" t="n">
        <v>0</v>
      </c>
      <c r="AH2503" s="21" t="n">
        <v>0</v>
      </c>
      <c r="AI2503" s="21" t="n">
        <v>0</v>
      </c>
      <c r="AJ2503" s="21" t="n">
        <v>0</v>
      </c>
      <c r="AK2503" s="21" t="n">
        <v>0</v>
      </c>
      <c r="AL2503" s="21" t="n">
        <v>0</v>
      </c>
      <c r="AM2503" s="21" t="n">
        <v>0</v>
      </c>
      <c r="AN2503" s="21">
        <f>$B$1812</f>
        <v/>
      </c>
      <c r="AO2503" s="21">
        <f>$B$1814</f>
        <v/>
      </c>
      <c r="AP2503" s="21">
        <f>0</f>
        <v/>
      </c>
      <c r="AQ2503" s="21">
        <f>2*$B$1813</f>
        <v/>
      </c>
      <c r="AR2503" s="21">
        <f>-$B$1812</f>
        <v/>
      </c>
      <c r="AS2503" s="21">
        <f>$B$1814</f>
        <v/>
      </c>
      <c r="AT2503" s="19" t="n"/>
    </row>
    <row r="2504">
      <c r="D2504" s="21" t="n">
        <v>0</v>
      </c>
      <c r="E2504" s="21" t="n">
        <v>0</v>
      </c>
      <c r="F2504" s="21" t="n">
        <v>0</v>
      </c>
      <c r="G2504" s="21" t="n">
        <v>0</v>
      </c>
      <c r="H2504" s="21" t="n">
        <v>0</v>
      </c>
      <c r="I2504" s="21" t="n">
        <v>0</v>
      </c>
      <c r="J2504" s="21" t="n">
        <v>0</v>
      </c>
      <c r="K2504" s="21" t="n">
        <v>0</v>
      </c>
      <c r="L2504" s="21" t="n">
        <v>0</v>
      </c>
      <c r="M2504" s="21" t="n">
        <v>0</v>
      </c>
      <c r="N2504" s="21" t="n">
        <v>0</v>
      </c>
      <c r="O2504" s="21" t="n">
        <v>0</v>
      </c>
      <c r="P2504" s="21" t="n">
        <v>0</v>
      </c>
      <c r="Q2504" s="21" t="n">
        <v>0</v>
      </c>
      <c r="R2504" s="21" t="n">
        <v>0</v>
      </c>
      <c r="S2504" s="21" t="n">
        <v>0</v>
      </c>
      <c r="T2504" s="21" t="n">
        <v>0</v>
      </c>
      <c r="U2504" s="21" t="n">
        <v>0</v>
      </c>
      <c r="V2504" s="21" t="n">
        <v>0</v>
      </c>
      <c r="W2504" s="21" t="n">
        <v>0</v>
      </c>
      <c r="X2504" s="21" t="n">
        <v>0</v>
      </c>
      <c r="Y2504" s="21" t="n">
        <v>0</v>
      </c>
      <c r="Z2504" s="21" t="n">
        <v>0</v>
      </c>
      <c r="AA2504" s="21" t="n">
        <v>0</v>
      </c>
      <c r="AB2504" s="21" t="n">
        <v>0</v>
      </c>
      <c r="AC2504" s="21" t="n">
        <v>0</v>
      </c>
      <c r="AD2504" s="21" t="n">
        <v>0</v>
      </c>
      <c r="AE2504" s="21" t="n">
        <v>0</v>
      </c>
      <c r="AF2504" s="21" t="n">
        <v>0</v>
      </c>
      <c r="AG2504" s="21" t="n">
        <v>0</v>
      </c>
      <c r="AH2504" s="21" t="n">
        <v>0</v>
      </c>
      <c r="AI2504" s="21" t="n">
        <v>0</v>
      </c>
      <c r="AJ2504" s="21" t="n">
        <v>0</v>
      </c>
      <c r="AK2504" s="21" t="n">
        <v>0</v>
      </c>
      <c r="AL2504" s="21" t="n">
        <v>0</v>
      </c>
      <c r="AM2504" s="21" t="n">
        <v>0</v>
      </c>
      <c r="AN2504" s="21" t="n">
        <v>0</v>
      </c>
      <c r="AO2504" s="21" t="n">
        <v>0</v>
      </c>
      <c r="AP2504" s="21">
        <f>-$B$1811</f>
        <v/>
      </c>
      <c r="AQ2504" s="21">
        <f>-$B$1812</f>
        <v/>
      </c>
      <c r="AR2504" s="21">
        <f>$B$1811+$D$2462</f>
        <v/>
      </c>
      <c r="AS2504" s="21">
        <f>-$B$1812</f>
        <v/>
      </c>
      <c r="AT2504" s="19" t="n"/>
    </row>
    <row r="2505">
      <c r="D2505" s="21" t="n">
        <v>0</v>
      </c>
      <c r="E2505" s="21" t="n">
        <v>0</v>
      </c>
      <c r="F2505" s="21" t="n">
        <v>0</v>
      </c>
      <c r="G2505" s="21" t="n">
        <v>0</v>
      </c>
      <c r="H2505" s="21" t="n">
        <v>0</v>
      </c>
      <c r="I2505" s="21" t="n">
        <v>0</v>
      </c>
      <c r="J2505" s="21" t="n">
        <v>0</v>
      </c>
      <c r="K2505" s="21" t="n">
        <v>0</v>
      </c>
      <c r="L2505" s="21" t="n">
        <v>0</v>
      </c>
      <c r="M2505" s="21" t="n">
        <v>0</v>
      </c>
      <c r="N2505" s="21" t="n">
        <v>0</v>
      </c>
      <c r="O2505" s="21" t="n">
        <v>0</v>
      </c>
      <c r="P2505" s="21" t="n">
        <v>0</v>
      </c>
      <c r="Q2505" s="21" t="n">
        <v>0</v>
      </c>
      <c r="R2505" s="21" t="n">
        <v>0</v>
      </c>
      <c r="S2505" s="21" t="n">
        <v>0</v>
      </c>
      <c r="T2505" s="21" t="n">
        <v>0</v>
      </c>
      <c r="U2505" s="21" t="n">
        <v>0</v>
      </c>
      <c r="V2505" s="21" t="n">
        <v>0</v>
      </c>
      <c r="W2505" s="21" t="n">
        <v>0</v>
      </c>
      <c r="X2505" s="21" t="n">
        <v>0</v>
      </c>
      <c r="Y2505" s="21" t="n">
        <v>0</v>
      </c>
      <c r="Z2505" s="21" t="n">
        <v>0</v>
      </c>
      <c r="AA2505" s="21" t="n">
        <v>0</v>
      </c>
      <c r="AB2505" s="21" t="n">
        <v>0</v>
      </c>
      <c r="AC2505" s="21" t="n">
        <v>0</v>
      </c>
      <c r="AD2505" s="21" t="n">
        <v>0</v>
      </c>
      <c r="AE2505" s="21" t="n">
        <v>0</v>
      </c>
      <c r="AF2505" s="21" t="n">
        <v>0</v>
      </c>
      <c r="AG2505" s="21" t="n">
        <v>0</v>
      </c>
      <c r="AH2505" s="21" t="n">
        <v>0</v>
      </c>
      <c r="AI2505" s="21" t="n">
        <v>0</v>
      </c>
      <c r="AJ2505" s="21" t="n">
        <v>0</v>
      </c>
      <c r="AK2505" s="21" t="n">
        <v>0</v>
      </c>
      <c r="AL2505" s="21" t="n">
        <v>0</v>
      </c>
      <c r="AM2505" s="21" t="n">
        <v>0</v>
      </c>
      <c r="AN2505" s="21" t="n">
        <v>0</v>
      </c>
      <c r="AO2505" s="21" t="n">
        <v>0</v>
      </c>
      <c r="AP2505" s="21">
        <f>$B$1812</f>
        <v/>
      </c>
      <c r="AQ2505" s="21">
        <f>$B$1814</f>
        <v/>
      </c>
      <c r="AR2505" s="21">
        <f>-$B$1812</f>
        <v/>
      </c>
      <c r="AS2505" s="21">
        <f>$B$1813</f>
        <v/>
      </c>
      <c r="AT2505" s="19" t="n"/>
    </row>
    <row r="2507">
      <c r="A2507" s="8" t="inlineStr">
        <is>
          <t>gen 10</t>
        </is>
      </c>
    </row>
    <row r="2508">
      <c r="D2508" s="19">
        <f>IF(ABS(IF(ABS($E$2442)&gt;0.000000001,$E$2442,0.000000001))=0,0,IF($E$1826&lt;=$B$1820,0,IF(ABS(IF(ABS($E$2442)&gt;0.000000001,$E$2442,0.000000001))&gt;=8*$B$1822,$H$1826,0.5*$H$1826*(ABS(IF(ABS($E$2442)&gt;0.000000001,$E$2442,0.000000001))/$B$1822)^(1/3)))/ABS(IF(ABS($E$2442)&gt;0.000000001,$E$2442,0.000000001))*$I$1826)</f>
        <v/>
      </c>
      <c r="E2508" s="19">
        <f>0.5*$E$2442+0.5*$AT$2530</f>
        <v/>
      </c>
      <c r="F2508" s="19">
        <f>$AT$2531</f>
        <v/>
      </c>
    </row>
    <row r="2509">
      <c r="D2509" s="19">
        <f>IF(ABS(IF(ABS($E$2443)&gt;0.000000001,$E$2443,0.000000001))=0,0,IF($E$1827&lt;=$B$1820,0,IF(ABS(IF(ABS($E$2443)&gt;0.000000001,$E$2443,0.000000001))&gt;=8*$B$1822,$H$1827,0.5*$H$1827*(ABS(IF(ABS($E$2443)&gt;0.000000001,$E$2443,0.000000001))/$B$1822)^(1/3)))/ABS(IF(ABS($E$2443)&gt;0.000000001,$E$2443,0.000000001))*$I$1827)</f>
        <v/>
      </c>
      <c r="E2509" s="19">
        <f>0.5*$E$2443+0.5*$AT$2532</f>
        <v/>
      </c>
      <c r="F2509" s="19">
        <f>$AT$2533</f>
        <v/>
      </c>
    </row>
    <row r="2510">
      <c r="D2510" s="19">
        <f>IF(ABS(IF(ABS($E$2444)&gt;0.000000001,$E$2444,0.000000001))=0,0,IF($E$1828&lt;=$B$1820,0,IF(ABS(IF(ABS($E$2444)&gt;0.000000001,$E$2444,0.000000001))&gt;=8*$B$1822,$H$1828,0.5*$H$1828*(ABS(IF(ABS($E$2444)&gt;0.000000001,$E$2444,0.000000001))/$B$1822)^(1/3)))/ABS(IF(ABS($E$2444)&gt;0.000000001,$E$2444,0.000000001))*$I$1828)</f>
        <v/>
      </c>
      <c r="E2510" s="19">
        <f>0.5*$E$2444+0.5*$AT$2534</f>
        <v/>
      </c>
      <c r="F2510" s="19">
        <f>$AT$2535</f>
        <v/>
      </c>
    </row>
    <row r="2511">
      <c r="D2511" s="19">
        <f>IF(ABS(IF(ABS($E$2445)&gt;0.000000001,$E$2445,0.000000001))=0,0,IF($E$1829&lt;=$B$1820,0,IF(ABS(IF(ABS($E$2445)&gt;0.000000001,$E$2445,0.000000001))&gt;=8*$B$1822,$H$1829,0.5*$H$1829*(ABS(IF(ABS($E$2445)&gt;0.000000001,$E$2445,0.000000001))/$B$1822)^(1/3)))/ABS(IF(ABS($E$2445)&gt;0.000000001,$E$2445,0.000000001))*$I$1829)</f>
        <v/>
      </c>
      <c r="E2511" s="19">
        <f>0.5*$E$2445+0.5*$AT$2536</f>
        <v/>
      </c>
      <c r="F2511" s="19">
        <f>$AT$2537</f>
        <v/>
      </c>
    </row>
    <row r="2512">
      <c r="D2512" s="19">
        <f>IF(ABS(IF(ABS($E$2446)&gt;0.000000001,$E$2446,0.000000001))=0,0,IF($E$1830&lt;=$B$1820,0,IF(ABS(IF(ABS($E$2446)&gt;0.000000001,$E$2446,0.000000001))&gt;=8*$B$1822,$H$1830,0.5*$H$1830*(ABS(IF(ABS($E$2446)&gt;0.000000001,$E$2446,0.000000001))/$B$1822)^(1/3)))/ABS(IF(ABS($E$2446)&gt;0.000000001,$E$2446,0.000000001))*$I$1830)</f>
        <v/>
      </c>
      <c r="E2512" s="19">
        <f>0.5*$E$2446+0.5*$AT$2538</f>
        <v/>
      </c>
      <c r="F2512" s="19">
        <f>$AT$2539</f>
        <v/>
      </c>
    </row>
    <row r="2513">
      <c r="D2513" s="19">
        <f>IF(ABS(IF(ABS($E$2447)&gt;0.000000001,$E$2447,0.000000001))=0,0,IF($E$1831&lt;=$B$1820,0,IF(ABS(IF(ABS($E$2447)&gt;0.000000001,$E$2447,0.000000001))&gt;=8*$B$1822,$H$1831,0.5*$H$1831*(ABS(IF(ABS($E$2447)&gt;0.000000001,$E$2447,0.000000001))/$B$1822)^(1/3)))/ABS(IF(ABS($E$2447)&gt;0.000000001,$E$2447,0.000000001))*$I$1831)</f>
        <v/>
      </c>
      <c r="E2513" s="19">
        <f>0.5*$E$2447+0.5*$AT$2540</f>
        <v/>
      </c>
      <c r="F2513" s="19">
        <f>$AT$2541</f>
        <v/>
      </c>
    </row>
    <row r="2514">
      <c r="D2514" s="19">
        <f>IF(ABS(IF(ABS($E$2448)&gt;0.000000001,$E$2448,0.000000001))=0,0,IF($E$1832&lt;=$B$1820,0,IF(ABS(IF(ABS($E$2448)&gt;0.000000001,$E$2448,0.000000001))&gt;=8*$B$1822,$H$1832,0.5*$H$1832*(ABS(IF(ABS($E$2448)&gt;0.000000001,$E$2448,0.000000001))/$B$1822)^(1/3)))/ABS(IF(ABS($E$2448)&gt;0.000000001,$E$2448,0.000000001))*$I$1832)</f>
        <v/>
      </c>
      <c r="E2514" s="19">
        <f>0.5*$E$2448+0.5*$AT$2542</f>
        <v/>
      </c>
      <c r="F2514" s="19">
        <f>$AT$2543</f>
        <v/>
      </c>
    </row>
    <row r="2515">
      <c r="D2515" s="19">
        <f>IF(ABS(IF(ABS($E$2449)&gt;0.000000001,$E$2449,0.000000001))=0,0,IF($E$1833&lt;=$B$1820,0,IF(ABS(IF(ABS($E$2449)&gt;0.000000001,$E$2449,0.000000001))&gt;=8*$B$1822,$H$1833,0.5*$H$1833*(ABS(IF(ABS($E$2449)&gt;0.000000001,$E$2449,0.000000001))/$B$1822)^(1/3)))/ABS(IF(ABS($E$2449)&gt;0.000000001,$E$2449,0.000000001))*$I$1833)</f>
        <v/>
      </c>
      <c r="E2515" s="19">
        <f>0.5*$E$2449+0.5*$AT$2544</f>
        <v/>
      </c>
      <c r="F2515" s="19">
        <f>$AT$2545</f>
        <v/>
      </c>
    </row>
    <row r="2516">
      <c r="D2516" s="19">
        <f>IF(ABS(IF(ABS($E$2450)&gt;0.000000001,$E$2450,0.000000001))=0,0,IF($E$1834&lt;=$B$1820,0,IF(ABS(IF(ABS($E$2450)&gt;0.000000001,$E$2450,0.000000001))&gt;=8*$B$1822,$H$1834,0.5*$H$1834*(ABS(IF(ABS($E$2450)&gt;0.000000001,$E$2450,0.000000001))/$B$1822)^(1/3)))/ABS(IF(ABS($E$2450)&gt;0.000000001,$E$2450,0.000000001))*$I$1834)</f>
        <v/>
      </c>
      <c r="E2516" s="19">
        <f>0.5*$E$2450+0.5*$AT$2546</f>
        <v/>
      </c>
      <c r="F2516" s="19">
        <f>$AT$2547</f>
        <v/>
      </c>
    </row>
    <row r="2517">
      <c r="D2517" s="19">
        <f>IF(ABS(IF(ABS($E$2451)&gt;0.000000001,$E$2451,0.000000001))=0,0,IF($E$1835&lt;=$B$1820,0,IF(ABS(IF(ABS($E$2451)&gt;0.000000001,$E$2451,0.000000001))&gt;=8*$B$1822,$H$1835,0.5*$H$1835*(ABS(IF(ABS($E$2451)&gt;0.000000001,$E$2451,0.000000001))/$B$1822)^(1/3)))/ABS(IF(ABS($E$2451)&gt;0.000000001,$E$2451,0.000000001))*$I$1835)</f>
        <v/>
      </c>
      <c r="E2517" s="19">
        <f>0.5*$E$2451+0.5*$AT$2548</f>
        <v/>
      </c>
      <c r="F2517" s="19">
        <f>$AT$2549</f>
        <v/>
      </c>
    </row>
    <row r="2518">
      <c r="D2518" s="19">
        <f>IF(ABS(IF(ABS($E$2452)&gt;0.000000001,$E$2452,0.000000001))=0,0,IF($E$1836&lt;=$B$1820,0,IF(ABS(IF(ABS($E$2452)&gt;0.000000001,$E$2452,0.000000001))&gt;=8*$B$1822,$H$1836,0.5*$H$1836*(ABS(IF(ABS($E$2452)&gt;0.000000001,$E$2452,0.000000001))/$B$1822)^(1/3)))/ABS(IF(ABS($E$2452)&gt;0.000000001,$E$2452,0.000000001))*$I$1836)</f>
        <v/>
      </c>
      <c r="E2518" s="19">
        <f>0.5*$E$2452+0.5*$AT$2550</f>
        <v/>
      </c>
      <c r="F2518" s="19">
        <f>$AT$2551</f>
        <v/>
      </c>
    </row>
    <row r="2519">
      <c r="D2519" s="19">
        <f>IF(ABS(IF(ABS($E$2453)&gt;0.000000001,$E$2453,0.000000001))=0,0,IF($E$1837&lt;=$B$1820,0,IF(ABS(IF(ABS($E$2453)&gt;0.000000001,$E$2453,0.000000001))&gt;=8*$B$1822,$H$1837,0.5*$H$1837*(ABS(IF(ABS($E$2453)&gt;0.000000001,$E$2453,0.000000001))/$B$1822)^(1/3)))/ABS(IF(ABS($E$2453)&gt;0.000000001,$E$2453,0.000000001))*$I$1837)</f>
        <v/>
      </c>
      <c r="E2519" s="19">
        <f>0.5*$E$2453+0.5*$AT$2552</f>
        <v/>
      </c>
      <c r="F2519" s="19">
        <f>$AT$2553</f>
        <v/>
      </c>
    </row>
    <row r="2520">
      <c r="D2520" s="19">
        <f>IF(ABS(IF(ABS($E$2454)&gt;0.000000001,$E$2454,0.000000001))=0,0,IF($E$1838&lt;=$B$1820,0,IF(ABS(IF(ABS($E$2454)&gt;0.000000001,$E$2454,0.000000001))&gt;=8*$B$1822,$H$1838,0.5*$H$1838*(ABS(IF(ABS($E$2454)&gt;0.000000001,$E$2454,0.000000001))/$B$1822)^(1/3)))/ABS(IF(ABS($E$2454)&gt;0.000000001,$E$2454,0.000000001))*$I$1838)</f>
        <v/>
      </c>
      <c r="E2520" s="19">
        <f>0.5*$E$2454+0.5*$AT$2554</f>
        <v/>
      </c>
      <c r="F2520" s="19">
        <f>$AT$2555</f>
        <v/>
      </c>
    </row>
    <row r="2521">
      <c r="D2521" s="19">
        <f>IF(ABS(IF(ABS($E$2455)&gt;0.000000001,$E$2455,0.000000001))=0,0,IF($E$1839&lt;=$B$1820,0,IF(ABS(IF(ABS($E$2455)&gt;0.000000001,$E$2455,0.000000001))&gt;=8*$B$1822,$H$1839,0.5*$H$1839*(ABS(IF(ABS($E$2455)&gt;0.000000001,$E$2455,0.000000001))/$B$1822)^(1/3)))/ABS(IF(ABS($E$2455)&gt;0.000000001,$E$2455,0.000000001))*$I$1839)</f>
        <v/>
      </c>
      <c r="E2521" s="19">
        <f>0.5*$E$2455+0.5*$AT$2556</f>
        <v/>
      </c>
      <c r="F2521" s="19">
        <f>$AT$2557</f>
        <v/>
      </c>
    </row>
    <row r="2522">
      <c r="D2522" s="19">
        <f>IF(ABS(IF(ABS($E$2456)&gt;0.000000001,$E$2456,0.000000001))=0,0,IF($E$1840&lt;=$B$1820,0,IF(ABS(IF(ABS($E$2456)&gt;0.000000001,$E$2456,0.000000001))&gt;=8*$B$1822,$H$1840,0.5*$H$1840*(ABS(IF(ABS($E$2456)&gt;0.000000001,$E$2456,0.000000001))/$B$1822)^(1/3)))/ABS(IF(ABS($E$2456)&gt;0.000000001,$E$2456,0.000000001))*$I$1840)</f>
        <v/>
      </c>
      <c r="E2522" s="19">
        <f>0.5*$E$2456+0.5*$AT$2558</f>
        <v/>
      </c>
      <c r="F2522" s="19">
        <f>$AT$2559</f>
        <v/>
      </c>
    </row>
    <row r="2523">
      <c r="D2523" s="19">
        <f>IF(ABS(IF(ABS($E$2457)&gt;0.000000001,$E$2457,0.000000001))=0,0,IF($E$1841&lt;=$B$1820,0,IF(ABS(IF(ABS($E$2457)&gt;0.000000001,$E$2457,0.000000001))&gt;=8*$B$1822,$H$1841,0.5*$H$1841*(ABS(IF(ABS($E$2457)&gt;0.000000001,$E$2457,0.000000001))/$B$1822)^(1/3)))/ABS(IF(ABS($E$2457)&gt;0.000000001,$E$2457,0.000000001))*$I$1841)</f>
        <v/>
      </c>
      <c r="E2523" s="19">
        <f>0.5*$E$2457+0.5*$AT$2560</f>
        <v/>
      </c>
      <c r="F2523" s="19">
        <f>$AT$2561</f>
        <v/>
      </c>
    </row>
    <row r="2524">
      <c r="D2524" s="19">
        <f>IF(ABS(IF(ABS($E$2458)&gt;0.000000001,$E$2458,0.000000001))=0,0,IF($E$1842&lt;=$B$1820,0,IF(ABS(IF(ABS($E$2458)&gt;0.000000001,$E$2458,0.000000001))&gt;=8*$B$1822,$H$1842,0.5*$H$1842*(ABS(IF(ABS($E$2458)&gt;0.000000001,$E$2458,0.000000001))/$B$1822)^(1/3)))/ABS(IF(ABS($E$2458)&gt;0.000000001,$E$2458,0.000000001))*$I$1842)</f>
        <v/>
      </c>
      <c r="E2524" s="19">
        <f>0.5*$E$2458+0.5*$AT$2562</f>
        <v/>
      </c>
      <c r="F2524" s="19">
        <f>$AT$2563</f>
        <v/>
      </c>
    </row>
    <row r="2525">
      <c r="D2525" s="19">
        <f>IF(ABS(IF(ABS($E$2459)&gt;0.000000001,$E$2459,0.000000001))=0,0,IF($E$1843&lt;=$B$1820,0,IF(ABS(IF(ABS($E$2459)&gt;0.000000001,$E$2459,0.000000001))&gt;=8*$B$1822,$H$1843,0.5*$H$1843*(ABS(IF(ABS($E$2459)&gt;0.000000001,$E$2459,0.000000001))/$B$1822)^(1/3)))/ABS(IF(ABS($E$2459)&gt;0.000000001,$E$2459,0.000000001))*$I$1843)</f>
        <v/>
      </c>
      <c r="E2525" s="19">
        <f>0.5*$E$2459+0.5*$AT$2564</f>
        <v/>
      </c>
      <c r="F2525" s="19">
        <f>$AT$2565</f>
        <v/>
      </c>
    </row>
    <row r="2526">
      <c r="D2526" s="19">
        <f>IF(ABS(IF(ABS($E$2460)&gt;0.000000001,$E$2460,0.000000001))=0,0,IF($E$1844&lt;=$B$1820,0,IF(ABS(IF(ABS($E$2460)&gt;0.000000001,$E$2460,0.000000001))&gt;=8*$B$1822,$H$1844,0.5*$H$1844*(ABS(IF(ABS($E$2460)&gt;0.000000001,$E$2460,0.000000001))/$B$1822)^(1/3)))/ABS(IF(ABS($E$2460)&gt;0.000000001,$E$2460,0.000000001))*$I$1844)</f>
        <v/>
      </c>
      <c r="E2526" s="19">
        <f>0.5*$E$2460+0.5*$AT$2566</f>
        <v/>
      </c>
      <c r="F2526" s="19">
        <f>$AT$2567</f>
        <v/>
      </c>
    </row>
    <row r="2527">
      <c r="D2527" s="19">
        <f>IF(ABS(IF(ABS($E$2461)&gt;0.000000001,$E$2461,0.000000001))=0,0,IF($E$1845&lt;=$B$1820,0,IF(ABS(IF(ABS($E$2461)&gt;0.000000001,$E$2461,0.000000001))&gt;=8*$B$1822,$H$1845,0.5*$H$1845*(ABS(IF(ABS($E$2461)&gt;0.000000001,$E$2461,0.000000001))/$B$1822)^(1/3)))/ABS(IF(ABS($E$2461)&gt;0.000000001,$E$2461,0.000000001))*$I$1845)</f>
        <v/>
      </c>
      <c r="E2527" s="19">
        <f>0.5*$E$2461+0.5*$AT$2568</f>
        <v/>
      </c>
      <c r="F2527" s="19">
        <f>$AT$2569</f>
        <v/>
      </c>
    </row>
    <row r="2528">
      <c r="D2528" s="19">
        <f>IF(ABS(IF(ABS($E$2462)&gt;0.000000001,$E$2462,0.000000001))=0,0,IF($E$1846&lt;=$B$1820,0,IF(ABS(IF(ABS($E$2462)&gt;0.000000001,$E$2462,0.000000001))&gt;=8*$B$1822,$H$1846,0.5*$H$1846*(ABS(IF(ABS($E$2462)&gt;0.000000001,$E$2462,0.000000001))/$B$1822)^(1/3)))/ABS(IF(ABS($E$2462)&gt;0.000000001,$E$2462,0.000000001))*$I$1846)</f>
        <v/>
      </c>
      <c r="E2528" s="19">
        <f>0.5*$E$2462+0.5*$AT$2570</f>
        <v/>
      </c>
      <c r="F2528" s="19">
        <f>$AT$2571</f>
        <v/>
      </c>
    </row>
    <row r="2530">
      <c r="D2530" s="21">
        <f>$B$1811+$D$2508</f>
        <v/>
      </c>
      <c r="E2530" s="21">
        <f>$B$1812</f>
        <v/>
      </c>
      <c r="F2530" s="21">
        <f>-$B$1811</f>
        <v/>
      </c>
      <c r="G2530" s="21">
        <f>$B$1812</f>
        <v/>
      </c>
      <c r="H2530" s="21" t="n">
        <v>0</v>
      </c>
      <c r="I2530" s="21" t="n">
        <v>0</v>
      </c>
      <c r="J2530" s="21" t="n">
        <v>0</v>
      </c>
      <c r="K2530" s="21" t="n">
        <v>0</v>
      </c>
      <c r="L2530" s="21" t="n">
        <v>0</v>
      </c>
      <c r="M2530" s="21" t="n">
        <v>0</v>
      </c>
      <c r="N2530" s="21" t="n">
        <v>0</v>
      </c>
      <c r="O2530" s="21" t="n">
        <v>0</v>
      </c>
      <c r="P2530" s="21" t="n">
        <v>0</v>
      </c>
      <c r="Q2530" s="21" t="n">
        <v>0</v>
      </c>
      <c r="R2530" s="21" t="n">
        <v>0</v>
      </c>
      <c r="S2530" s="21" t="n">
        <v>0</v>
      </c>
      <c r="T2530" s="21" t="n">
        <v>0</v>
      </c>
      <c r="U2530" s="21" t="n">
        <v>0</v>
      </c>
      <c r="V2530" s="21" t="n">
        <v>0</v>
      </c>
      <c r="W2530" s="21" t="n">
        <v>0</v>
      </c>
      <c r="X2530" s="21" t="n">
        <v>0</v>
      </c>
      <c r="Y2530" s="21" t="n">
        <v>0</v>
      </c>
      <c r="Z2530" s="21" t="n">
        <v>0</v>
      </c>
      <c r="AA2530" s="21" t="n">
        <v>0</v>
      </c>
      <c r="AB2530" s="21" t="n">
        <v>0</v>
      </c>
      <c r="AC2530" s="21" t="n">
        <v>0</v>
      </c>
      <c r="AD2530" s="21" t="n">
        <v>0</v>
      </c>
      <c r="AE2530" s="21" t="n">
        <v>0</v>
      </c>
      <c r="AF2530" s="21" t="n">
        <v>0</v>
      </c>
      <c r="AG2530" s="21" t="n">
        <v>0</v>
      </c>
      <c r="AH2530" s="21" t="n">
        <v>0</v>
      </c>
      <c r="AI2530" s="21" t="n">
        <v>0</v>
      </c>
      <c r="AJ2530" s="21" t="n">
        <v>0</v>
      </c>
      <c r="AK2530" s="21" t="n">
        <v>0</v>
      </c>
      <c r="AL2530" s="21" t="n">
        <v>0</v>
      </c>
      <c r="AM2530" s="21" t="n">
        <v>0</v>
      </c>
      <c r="AN2530" s="21" t="n">
        <v>0</v>
      </c>
      <c r="AO2530" s="21" t="n">
        <v>0</v>
      </c>
      <c r="AP2530" s="21" t="n">
        <v>0</v>
      </c>
      <c r="AQ2530" s="21" t="n">
        <v>0</v>
      </c>
      <c r="AR2530" s="21" t="n">
        <v>0</v>
      </c>
      <c r="AS2530" s="21" t="n">
        <v>0</v>
      </c>
      <c r="AT2530" s="19">
        <f t="array" ref="AT2530:AT2571">MMULT(MINVERSE($D$2530:$AS$2571),$D$1848:$D$1889)</f>
        <v/>
      </c>
    </row>
    <row r="2531">
      <c r="D2531" s="21">
        <f>$B$1812</f>
        <v/>
      </c>
      <c r="E2531" s="21">
        <f>$B$1813</f>
        <v/>
      </c>
      <c r="F2531" s="21">
        <f>-$B$1812</f>
        <v/>
      </c>
      <c r="G2531" s="21">
        <f>$B$1814</f>
        <v/>
      </c>
      <c r="H2531" s="21" t="n">
        <v>0</v>
      </c>
      <c r="I2531" s="21" t="n">
        <v>0</v>
      </c>
      <c r="J2531" s="21" t="n">
        <v>0</v>
      </c>
      <c r="K2531" s="21" t="n">
        <v>0</v>
      </c>
      <c r="L2531" s="21" t="n">
        <v>0</v>
      </c>
      <c r="M2531" s="21" t="n">
        <v>0</v>
      </c>
      <c r="N2531" s="21" t="n">
        <v>0</v>
      </c>
      <c r="O2531" s="21" t="n">
        <v>0</v>
      </c>
      <c r="P2531" s="21" t="n">
        <v>0</v>
      </c>
      <c r="Q2531" s="21" t="n">
        <v>0</v>
      </c>
      <c r="R2531" s="21" t="n">
        <v>0</v>
      </c>
      <c r="S2531" s="21" t="n">
        <v>0</v>
      </c>
      <c r="T2531" s="21" t="n">
        <v>0</v>
      </c>
      <c r="U2531" s="21" t="n">
        <v>0</v>
      </c>
      <c r="V2531" s="21" t="n">
        <v>0</v>
      </c>
      <c r="W2531" s="21" t="n">
        <v>0</v>
      </c>
      <c r="X2531" s="21" t="n">
        <v>0</v>
      </c>
      <c r="Y2531" s="21" t="n">
        <v>0</v>
      </c>
      <c r="Z2531" s="21" t="n">
        <v>0</v>
      </c>
      <c r="AA2531" s="21" t="n">
        <v>0</v>
      </c>
      <c r="AB2531" s="21" t="n">
        <v>0</v>
      </c>
      <c r="AC2531" s="21" t="n">
        <v>0</v>
      </c>
      <c r="AD2531" s="21" t="n">
        <v>0</v>
      </c>
      <c r="AE2531" s="21" t="n">
        <v>0</v>
      </c>
      <c r="AF2531" s="21" t="n">
        <v>0</v>
      </c>
      <c r="AG2531" s="21" t="n">
        <v>0</v>
      </c>
      <c r="AH2531" s="21" t="n">
        <v>0</v>
      </c>
      <c r="AI2531" s="21" t="n">
        <v>0</v>
      </c>
      <c r="AJ2531" s="21" t="n">
        <v>0</v>
      </c>
      <c r="AK2531" s="21" t="n">
        <v>0</v>
      </c>
      <c r="AL2531" s="21" t="n">
        <v>0</v>
      </c>
      <c r="AM2531" s="21" t="n">
        <v>0</v>
      </c>
      <c r="AN2531" s="21" t="n">
        <v>0</v>
      </c>
      <c r="AO2531" s="21" t="n">
        <v>0</v>
      </c>
      <c r="AP2531" s="21" t="n">
        <v>0</v>
      </c>
      <c r="AQ2531" s="21" t="n">
        <v>0</v>
      </c>
      <c r="AR2531" s="21" t="n">
        <v>0</v>
      </c>
      <c r="AS2531" s="21" t="n">
        <v>0</v>
      </c>
      <c r="AT2531" s="19" t="n"/>
    </row>
    <row r="2532">
      <c r="D2532" s="21">
        <f>-$B$1811</f>
        <v/>
      </c>
      <c r="E2532" s="21">
        <f>-$B$1812</f>
        <v/>
      </c>
      <c r="F2532" s="21">
        <f>2*$B$1811+$D$2509</f>
        <v/>
      </c>
      <c r="G2532" s="21">
        <f>0</f>
        <v/>
      </c>
      <c r="H2532" s="21">
        <f>-$B$1811</f>
        <v/>
      </c>
      <c r="I2532" s="21">
        <f>$B$1812</f>
        <v/>
      </c>
      <c r="J2532" s="21" t="n">
        <v>0</v>
      </c>
      <c r="K2532" s="21" t="n">
        <v>0</v>
      </c>
      <c r="L2532" s="21" t="n">
        <v>0</v>
      </c>
      <c r="M2532" s="21" t="n">
        <v>0</v>
      </c>
      <c r="N2532" s="21" t="n">
        <v>0</v>
      </c>
      <c r="O2532" s="21" t="n">
        <v>0</v>
      </c>
      <c r="P2532" s="21" t="n">
        <v>0</v>
      </c>
      <c r="Q2532" s="21" t="n">
        <v>0</v>
      </c>
      <c r="R2532" s="21" t="n">
        <v>0</v>
      </c>
      <c r="S2532" s="21" t="n">
        <v>0</v>
      </c>
      <c r="T2532" s="21" t="n">
        <v>0</v>
      </c>
      <c r="U2532" s="21" t="n">
        <v>0</v>
      </c>
      <c r="V2532" s="21" t="n">
        <v>0</v>
      </c>
      <c r="W2532" s="21" t="n">
        <v>0</v>
      </c>
      <c r="X2532" s="21" t="n">
        <v>0</v>
      </c>
      <c r="Y2532" s="21" t="n">
        <v>0</v>
      </c>
      <c r="Z2532" s="21" t="n">
        <v>0</v>
      </c>
      <c r="AA2532" s="21" t="n">
        <v>0</v>
      </c>
      <c r="AB2532" s="21" t="n">
        <v>0</v>
      </c>
      <c r="AC2532" s="21" t="n">
        <v>0</v>
      </c>
      <c r="AD2532" s="21" t="n">
        <v>0</v>
      </c>
      <c r="AE2532" s="21" t="n">
        <v>0</v>
      </c>
      <c r="AF2532" s="21" t="n">
        <v>0</v>
      </c>
      <c r="AG2532" s="21" t="n">
        <v>0</v>
      </c>
      <c r="AH2532" s="21" t="n">
        <v>0</v>
      </c>
      <c r="AI2532" s="21" t="n">
        <v>0</v>
      </c>
      <c r="AJ2532" s="21" t="n">
        <v>0</v>
      </c>
      <c r="AK2532" s="21" t="n">
        <v>0</v>
      </c>
      <c r="AL2532" s="21" t="n">
        <v>0</v>
      </c>
      <c r="AM2532" s="21" t="n">
        <v>0</v>
      </c>
      <c r="AN2532" s="21" t="n">
        <v>0</v>
      </c>
      <c r="AO2532" s="21" t="n">
        <v>0</v>
      </c>
      <c r="AP2532" s="21" t="n">
        <v>0</v>
      </c>
      <c r="AQ2532" s="21" t="n">
        <v>0</v>
      </c>
      <c r="AR2532" s="21" t="n">
        <v>0</v>
      </c>
      <c r="AS2532" s="21" t="n">
        <v>0</v>
      </c>
      <c r="AT2532" s="19" t="n"/>
    </row>
    <row r="2533">
      <c r="D2533" s="21">
        <f>$B$1812</f>
        <v/>
      </c>
      <c r="E2533" s="21">
        <f>$B$1814</f>
        <v/>
      </c>
      <c r="F2533" s="21">
        <f>0</f>
        <v/>
      </c>
      <c r="G2533" s="21">
        <f>2*$B$1813</f>
        <v/>
      </c>
      <c r="H2533" s="21">
        <f>-$B$1812</f>
        <v/>
      </c>
      <c r="I2533" s="21">
        <f>$B$1814</f>
        <v/>
      </c>
      <c r="J2533" s="21" t="n">
        <v>0</v>
      </c>
      <c r="K2533" s="21" t="n">
        <v>0</v>
      </c>
      <c r="L2533" s="21" t="n">
        <v>0</v>
      </c>
      <c r="M2533" s="21" t="n">
        <v>0</v>
      </c>
      <c r="N2533" s="21" t="n">
        <v>0</v>
      </c>
      <c r="O2533" s="21" t="n">
        <v>0</v>
      </c>
      <c r="P2533" s="21" t="n">
        <v>0</v>
      </c>
      <c r="Q2533" s="21" t="n">
        <v>0</v>
      </c>
      <c r="R2533" s="21" t="n">
        <v>0</v>
      </c>
      <c r="S2533" s="21" t="n">
        <v>0</v>
      </c>
      <c r="T2533" s="21" t="n">
        <v>0</v>
      </c>
      <c r="U2533" s="21" t="n">
        <v>0</v>
      </c>
      <c r="V2533" s="21" t="n">
        <v>0</v>
      </c>
      <c r="W2533" s="21" t="n">
        <v>0</v>
      </c>
      <c r="X2533" s="21" t="n">
        <v>0</v>
      </c>
      <c r="Y2533" s="21" t="n">
        <v>0</v>
      </c>
      <c r="Z2533" s="21" t="n">
        <v>0</v>
      </c>
      <c r="AA2533" s="21" t="n">
        <v>0</v>
      </c>
      <c r="AB2533" s="21" t="n">
        <v>0</v>
      </c>
      <c r="AC2533" s="21" t="n">
        <v>0</v>
      </c>
      <c r="AD2533" s="21" t="n">
        <v>0</v>
      </c>
      <c r="AE2533" s="21" t="n">
        <v>0</v>
      </c>
      <c r="AF2533" s="21" t="n">
        <v>0</v>
      </c>
      <c r="AG2533" s="21" t="n">
        <v>0</v>
      </c>
      <c r="AH2533" s="21" t="n">
        <v>0</v>
      </c>
      <c r="AI2533" s="21" t="n">
        <v>0</v>
      </c>
      <c r="AJ2533" s="21" t="n">
        <v>0</v>
      </c>
      <c r="AK2533" s="21" t="n">
        <v>0</v>
      </c>
      <c r="AL2533" s="21" t="n">
        <v>0</v>
      </c>
      <c r="AM2533" s="21" t="n">
        <v>0</v>
      </c>
      <c r="AN2533" s="21" t="n">
        <v>0</v>
      </c>
      <c r="AO2533" s="21" t="n">
        <v>0</v>
      </c>
      <c r="AP2533" s="21" t="n">
        <v>0</v>
      </c>
      <c r="AQ2533" s="21" t="n">
        <v>0</v>
      </c>
      <c r="AR2533" s="21" t="n">
        <v>0</v>
      </c>
      <c r="AS2533" s="21" t="n">
        <v>0</v>
      </c>
      <c r="AT2533" s="19" t="n"/>
    </row>
    <row r="2534">
      <c r="D2534" s="21" t="n">
        <v>0</v>
      </c>
      <c r="E2534" s="21" t="n">
        <v>0</v>
      </c>
      <c r="F2534" s="21">
        <f>-$B$1811</f>
        <v/>
      </c>
      <c r="G2534" s="21">
        <f>-$B$1812</f>
        <v/>
      </c>
      <c r="H2534" s="21">
        <f>2*$B$1811+$D$2510</f>
        <v/>
      </c>
      <c r="I2534" s="21">
        <f>0</f>
        <v/>
      </c>
      <c r="J2534" s="21">
        <f>-$B$1811</f>
        <v/>
      </c>
      <c r="K2534" s="21">
        <f>$B$1812</f>
        <v/>
      </c>
      <c r="L2534" s="21" t="n">
        <v>0</v>
      </c>
      <c r="M2534" s="21" t="n">
        <v>0</v>
      </c>
      <c r="N2534" s="21" t="n">
        <v>0</v>
      </c>
      <c r="O2534" s="21" t="n">
        <v>0</v>
      </c>
      <c r="P2534" s="21" t="n">
        <v>0</v>
      </c>
      <c r="Q2534" s="21" t="n">
        <v>0</v>
      </c>
      <c r="R2534" s="21" t="n">
        <v>0</v>
      </c>
      <c r="S2534" s="21" t="n">
        <v>0</v>
      </c>
      <c r="T2534" s="21" t="n">
        <v>0</v>
      </c>
      <c r="U2534" s="21" t="n">
        <v>0</v>
      </c>
      <c r="V2534" s="21" t="n">
        <v>0</v>
      </c>
      <c r="W2534" s="21" t="n">
        <v>0</v>
      </c>
      <c r="X2534" s="21" t="n">
        <v>0</v>
      </c>
      <c r="Y2534" s="21" t="n">
        <v>0</v>
      </c>
      <c r="Z2534" s="21" t="n">
        <v>0</v>
      </c>
      <c r="AA2534" s="21" t="n">
        <v>0</v>
      </c>
      <c r="AB2534" s="21" t="n">
        <v>0</v>
      </c>
      <c r="AC2534" s="21" t="n">
        <v>0</v>
      </c>
      <c r="AD2534" s="21" t="n">
        <v>0</v>
      </c>
      <c r="AE2534" s="21" t="n">
        <v>0</v>
      </c>
      <c r="AF2534" s="21" t="n">
        <v>0</v>
      </c>
      <c r="AG2534" s="21" t="n">
        <v>0</v>
      </c>
      <c r="AH2534" s="21" t="n">
        <v>0</v>
      </c>
      <c r="AI2534" s="21" t="n">
        <v>0</v>
      </c>
      <c r="AJ2534" s="21" t="n">
        <v>0</v>
      </c>
      <c r="AK2534" s="21" t="n">
        <v>0</v>
      </c>
      <c r="AL2534" s="21" t="n">
        <v>0</v>
      </c>
      <c r="AM2534" s="21" t="n">
        <v>0</v>
      </c>
      <c r="AN2534" s="21" t="n">
        <v>0</v>
      </c>
      <c r="AO2534" s="21" t="n">
        <v>0</v>
      </c>
      <c r="AP2534" s="21" t="n">
        <v>0</v>
      </c>
      <c r="AQ2534" s="21" t="n">
        <v>0</v>
      </c>
      <c r="AR2534" s="21" t="n">
        <v>0</v>
      </c>
      <c r="AS2534" s="21" t="n">
        <v>0</v>
      </c>
      <c r="AT2534" s="19" t="n"/>
    </row>
    <row r="2535">
      <c r="D2535" s="21" t="n">
        <v>0</v>
      </c>
      <c r="E2535" s="21" t="n">
        <v>0</v>
      </c>
      <c r="F2535" s="21">
        <f>$B$1812</f>
        <v/>
      </c>
      <c r="G2535" s="21">
        <f>$B$1814</f>
        <v/>
      </c>
      <c r="H2535" s="21">
        <f>0</f>
        <v/>
      </c>
      <c r="I2535" s="21">
        <f>2*$B$1813</f>
        <v/>
      </c>
      <c r="J2535" s="21">
        <f>-$B$1812</f>
        <v/>
      </c>
      <c r="K2535" s="21">
        <f>$B$1814</f>
        <v/>
      </c>
      <c r="L2535" s="21" t="n">
        <v>0</v>
      </c>
      <c r="M2535" s="21" t="n">
        <v>0</v>
      </c>
      <c r="N2535" s="21" t="n">
        <v>0</v>
      </c>
      <c r="O2535" s="21" t="n">
        <v>0</v>
      </c>
      <c r="P2535" s="21" t="n">
        <v>0</v>
      </c>
      <c r="Q2535" s="21" t="n">
        <v>0</v>
      </c>
      <c r="R2535" s="21" t="n">
        <v>0</v>
      </c>
      <c r="S2535" s="21" t="n">
        <v>0</v>
      </c>
      <c r="T2535" s="21" t="n">
        <v>0</v>
      </c>
      <c r="U2535" s="21" t="n">
        <v>0</v>
      </c>
      <c r="V2535" s="21" t="n">
        <v>0</v>
      </c>
      <c r="W2535" s="21" t="n">
        <v>0</v>
      </c>
      <c r="X2535" s="21" t="n">
        <v>0</v>
      </c>
      <c r="Y2535" s="21" t="n">
        <v>0</v>
      </c>
      <c r="Z2535" s="21" t="n">
        <v>0</v>
      </c>
      <c r="AA2535" s="21" t="n">
        <v>0</v>
      </c>
      <c r="AB2535" s="21" t="n">
        <v>0</v>
      </c>
      <c r="AC2535" s="21" t="n">
        <v>0</v>
      </c>
      <c r="AD2535" s="21" t="n">
        <v>0</v>
      </c>
      <c r="AE2535" s="21" t="n">
        <v>0</v>
      </c>
      <c r="AF2535" s="21" t="n">
        <v>0</v>
      </c>
      <c r="AG2535" s="21" t="n">
        <v>0</v>
      </c>
      <c r="AH2535" s="21" t="n">
        <v>0</v>
      </c>
      <c r="AI2535" s="21" t="n">
        <v>0</v>
      </c>
      <c r="AJ2535" s="21" t="n">
        <v>0</v>
      </c>
      <c r="AK2535" s="21" t="n">
        <v>0</v>
      </c>
      <c r="AL2535" s="21" t="n">
        <v>0</v>
      </c>
      <c r="AM2535" s="21" t="n">
        <v>0</v>
      </c>
      <c r="AN2535" s="21" t="n">
        <v>0</v>
      </c>
      <c r="AO2535" s="21" t="n">
        <v>0</v>
      </c>
      <c r="AP2535" s="21" t="n">
        <v>0</v>
      </c>
      <c r="AQ2535" s="21" t="n">
        <v>0</v>
      </c>
      <c r="AR2535" s="21" t="n">
        <v>0</v>
      </c>
      <c r="AS2535" s="21" t="n">
        <v>0</v>
      </c>
      <c r="AT2535" s="19" t="n"/>
    </row>
    <row r="2536">
      <c r="D2536" s="21" t="n">
        <v>0</v>
      </c>
      <c r="E2536" s="21" t="n">
        <v>0</v>
      </c>
      <c r="F2536" s="21" t="n">
        <v>0</v>
      </c>
      <c r="G2536" s="21" t="n">
        <v>0</v>
      </c>
      <c r="H2536" s="21">
        <f>-$B$1811</f>
        <v/>
      </c>
      <c r="I2536" s="21">
        <f>-$B$1812</f>
        <v/>
      </c>
      <c r="J2536" s="21">
        <f>2*$B$1811+$D$2511</f>
        <v/>
      </c>
      <c r="K2536" s="21">
        <f>0</f>
        <v/>
      </c>
      <c r="L2536" s="21">
        <f>-$B$1811</f>
        <v/>
      </c>
      <c r="M2536" s="21">
        <f>$B$1812</f>
        <v/>
      </c>
      <c r="N2536" s="21" t="n">
        <v>0</v>
      </c>
      <c r="O2536" s="21" t="n">
        <v>0</v>
      </c>
      <c r="P2536" s="21" t="n">
        <v>0</v>
      </c>
      <c r="Q2536" s="21" t="n">
        <v>0</v>
      </c>
      <c r="R2536" s="21" t="n">
        <v>0</v>
      </c>
      <c r="S2536" s="21" t="n">
        <v>0</v>
      </c>
      <c r="T2536" s="21" t="n">
        <v>0</v>
      </c>
      <c r="U2536" s="21" t="n">
        <v>0</v>
      </c>
      <c r="V2536" s="21" t="n">
        <v>0</v>
      </c>
      <c r="W2536" s="21" t="n">
        <v>0</v>
      </c>
      <c r="X2536" s="21" t="n">
        <v>0</v>
      </c>
      <c r="Y2536" s="21" t="n">
        <v>0</v>
      </c>
      <c r="Z2536" s="21" t="n">
        <v>0</v>
      </c>
      <c r="AA2536" s="21" t="n">
        <v>0</v>
      </c>
      <c r="AB2536" s="21" t="n">
        <v>0</v>
      </c>
      <c r="AC2536" s="21" t="n">
        <v>0</v>
      </c>
      <c r="AD2536" s="21" t="n">
        <v>0</v>
      </c>
      <c r="AE2536" s="21" t="n">
        <v>0</v>
      </c>
      <c r="AF2536" s="21" t="n">
        <v>0</v>
      </c>
      <c r="AG2536" s="21" t="n">
        <v>0</v>
      </c>
      <c r="AH2536" s="21" t="n">
        <v>0</v>
      </c>
      <c r="AI2536" s="21" t="n">
        <v>0</v>
      </c>
      <c r="AJ2536" s="21" t="n">
        <v>0</v>
      </c>
      <c r="AK2536" s="21" t="n">
        <v>0</v>
      </c>
      <c r="AL2536" s="21" t="n">
        <v>0</v>
      </c>
      <c r="AM2536" s="21" t="n">
        <v>0</v>
      </c>
      <c r="AN2536" s="21" t="n">
        <v>0</v>
      </c>
      <c r="AO2536" s="21" t="n">
        <v>0</v>
      </c>
      <c r="AP2536" s="21" t="n">
        <v>0</v>
      </c>
      <c r="AQ2536" s="21" t="n">
        <v>0</v>
      </c>
      <c r="AR2536" s="21" t="n">
        <v>0</v>
      </c>
      <c r="AS2536" s="21" t="n">
        <v>0</v>
      </c>
      <c r="AT2536" s="19" t="n"/>
    </row>
    <row r="2537">
      <c r="D2537" s="21" t="n">
        <v>0</v>
      </c>
      <c r="E2537" s="21" t="n">
        <v>0</v>
      </c>
      <c r="F2537" s="21" t="n">
        <v>0</v>
      </c>
      <c r="G2537" s="21" t="n">
        <v>0</v>
      </c>
      <c r="H2537" s="21">
        <f>$B$1812</f>
        <v/>
      </c>
      <c r="I2537" s="21">
        <f>$B$1814</f>
        <v/>
      </c>
      <c r="J2537" s="21">
        <f>0</f>
        <v/>
      </c>
      <c r="K2537" s="21">
        <f>2*$B$1813</f>
        <v/>
      </c>
      <c r="L2537" s="21">
        <f>-$B$1812</f>
        <v/>
      </c>
      <c r="M2537" s="21">
        <f>$B$1814</f>
        <v/>
      </c>
      <c r="N2537" s="21" t="n">
        <v>0</v>
      </c>
      <c r="O2537" s="21" t="n">
        <v>0</v>
      </c>
      <c r="P2537" s="21" t="n">
        <v>0</v>
      </c>
      <c r="Q2537" s="21" t="n">
        <v>0</v>
      </c>
      <c r="R2537" s="21" t="n">
        <v>0</v>
      </c>
      <c r="S2537" s="21" t="n">
        <v>0</v>
      </c>
      <c r="T2537" s="21" t="n">
        <v>0</v>
      </c>
      <c r="U2537" s="21" t="n">
        <v>0</v>
      </c>
      <c r="V2537" s="21" t="n">
        <v>0</v>
      </c>
      <c r="W2537" s="21" t="n">
        <v>0</v>
      </c>
      <c r="X2537" s="21" t="n">
        <v>0</v>
      </c>
      <c r="Y2537" s="21" t="n">
        <v>0</v>
      </c>
      <c r="Z2537" s="21" t="n">
        <v>0</v>
      </c>
      <c r="AA2537" s="21" t="n">
        <v>0</v>
      </c>
      <c r="AB2537" s="21" t="n">
        <v>0</v>
      </c>
      <c r="AC2537" s="21" t="n">
        <v>0</v>
      </c>
      <c r="AD2537" s="21" t="n">
        <v>0</v>
      </c>
      <c r="AE2537" s="21" t="n">
        <v>0</v>
      </c>
      <c r="AF2537" s="21" t="n">
        <v>0</v>
      </c>
      <c r="AG2537" s="21" t="n">
        <v>0</v>
      </c>
      <c r="AH2537" s="21" t="n">
        <v>0</v>
      </c>
      <c r="AI2537" s="21" t="n">
        <v>0</v>
      </c>
      <c r="AJ2537" s="21" t="n">
        <v>0</v>
      </c>
      <c r="AK2537" s="21" t="n">
        <v>0</v>
      </c>
      <c r="AL2537" s="21" t="n">
        <v>0</v>
      </c>
      <c r="AM2537" s="21" t="n">
        <v>0</v>
      </c>
      <c r="AN2537" s="21" t="n">
        <v>0</v>
      </c>
      <c r="AO2537" s="21" t="n">
        <v>0</v>
      </c>
      <c r="AP2537" s="21" t="n">
        <v>0</v>
      </c>
      <c r="AQ2537" s="21" t="n">
        <v>0</v>
      </c>
      <c r="AR2537" s="21" t="n">
        <v>0</v>
      </c>
      <c r="AS2537" s="21" t="n">
        <v>0</v>
      </c>
      <c r="AT2537" s="19" t="n"/>
    </row>
    <row r="2538">
      <c r="D2538" s="21" t="n">
        <v>0</v>
      </c>
      <c r="E2538" s="21" t="n">
        <v>0</v>
      </c>
      <c r="F2538" s="21" t="n">
        <v>0</v>
      </c>
      <c r="G2538" s="21" t="n">
        <v>0</v>
      </c>
      <c r="H2538" s="21" t="n">
        <v>0</v>
      </c>
      <c r="I2538" s="21" t="n">
        <v>0</v>
      </c>
      <c r="J2538" s="21">
        <f>-$B$1811</f>
        <v/>
      </c>
      <c r="K2538" s="21">
        <f>-$B$1812</f>
        <v/>
      </c>
      <c r="L2538" s="21">
        <f>2*$B$1811+$D$2512</f>
        <v/>
      </c>
      <c r="M2538" s="21">
        <f>0</f>
        <v/>
      </c>
      <c r="N2538" s="21">
        <f>-$B$1811</f>
        <v/>
      </c>
      <c r="O2538" s="21">
        <f>$B$1812</f>
        <v/>
      </c>
      <c r="P2538" s="21" t="n">
        <v>0</v>
      </c>
      <c r="Q2538" s="21" t="n">
        <v>0</v>
      </c>
      <c r="R2538" s="21" t="n">
        <v>0</v>
      </c>
      <c r="S2538" s="21" t="n">
        <v>0</v>
      </c>
      <c r="T2538" s="21" t="n">
        <v>0</v>
      </c>
      <c r="U2538" s="21" t="n">
        <v>0</v>
      </c>
      <c r="V2538" s="21" t="n">
        <v>0</v>
      </c>
      <c r="W2538" s="21" t="n">
        <v>0</v>
      </c>
      <c r="X2538" s="21" t="n">
        <v>0</v>
      </c>
      <c r="Y2538" s="21" t="n">
        <v>0</v>
      </c>
      <c r="Z2538" s="21" t="n">
        <v>0</v>
      </c>
      <c r="AA2538" s="21" t="n">
        <v>0</v>
      </c>
      <c r="AB2538" s="21" t="n">
        <v>0</v>
      </c>
      <c r="AC2538" s="21" t="n">
        <v>0</v>
      </c>
      <c r="AD2538" s="21" t="n">
        <v>0</v>
      </c>
      <c r="AE2538" s="21" t="n">
        <v>0</v>
      </c>
      <c r="AF2538" s="21" t="n">
        <v>0</v>
      </c>
      <c r="AG2538" s="21" t="n">
        <v>0</v>
      </c>
      <c r="AH2538" s="21" t="n">
        <v>0</v>
      </c>
      <c r="AI2538" s="21" t="n">
        <v>0</v>
      </c>
      <c r="AJ2538" s="21" t="n">
        <v>0</v>
      </c>
      <c r="AK2538" s="21" t="n">
        <v>0</v>
      </c>
      <c r="AL2538" s="21" t="n">
        <v>0</v>
      </c>
      <c r="AM2538" s="21" t="n">
        <v>0</v>
      </c>
      <c r="AN2538" s="21" t="n">
        <v>0</v>
      </c>
      <c r="AO2538" s="21" t="n">
        <v>0</v>
      </c>
      <c r="AP2538" s="21" t="n">
        <v>0</v>
      </c>
      <c r="AQ2538" s="21" t="n">
        <v>0</v>
      </c>
      <c r="AR2538" s="21" t="n">
        <v>0</v>
      </c>
      <c r="AS2538" s="21" t="n">
        <v>0</v>
      </c>
      <c r="AT2538" s="19" t="n"/>
    </row>
    <row r="2539">
      <c r="D2539" s="21" t="n">
        <v>0</v>
      </c>
      <c r="E2539" s="21" t="n">
        <v>0</v>
      </c>
      <c r="F2539" s="21" t="n">
        <v>0</v>
      </c>
      <c r="G2539" s="21" t="n">
        <v>0</v>
      </c>
      <c r="H2539" s="21" t="n">
        <v>0</v>
      </c>
      <c r="I2539" s="21" t="n">
        <v>0</v>
      </c>
      <c r="J2539" s="21">
        <f>$B$1812</f>
        <v/>
      </c>
      <c r="K2539" s="21">
        <f>$B$1814</f>
        <v/>
      </c>
      <c r="L2539" s="21">
        <f>0</f>
        <v/>
      </c>
      <c r="M2539" s="21">
        <f>2*$B$1813</f>
        <v/>
      </c>
      <c r="N2539" s="21">
        <f>-$B$1812</f>
        <v/>
      </c>
      <c r="O2539" s="21">
        <f>$B$1814</f>
        <v/>
      </c>
      <c r="P2539" s="21" t="n">
        <v>0</v>
      </c>
      <c r="Q2539" s="21" t="n">
        <v>0</v>
      </c>
      <c r="R2539" s="21" t="n">
        <v>0</v>
      </c>
      <c r="S2539" s="21" t="n">
        <v>0</v>
      </c>
      <c r="T2539" s="21" t="n">
        <v>0</v>
      </c>
      <c r="U2539" s="21" t="n">
        <v>0</v>
      </c>
      <c r="V2539" s="21" t="n">
        <v>0</v>
      </c>
      <c r="W2539" s="21" t="n">
        <v>0</v>
      </c>
      <c r="X2539" s="21" t="n">
        <v>0</v>
      </c>
      <c r="Y2539" s="21" t="n">
        <v>0</v>
      </c>
      <c r="Z2539" s="21" t="n">
        <v>0</v>
      </c>
      <c r="AA2539" s="21" t="n">
        <v>0</v>
      </c>
      <c r="AB2539" s="21" t="n">
        <v>0</v>
      </c>
      <c r="AC2539" s="21" t="n">
        <v>0</v>
      </c>
      <c r="AD2539" s="21" t="n">
        <v>0</v>
      </c>
      <c r="AE2539" s="21" t="n">
        <v>0</v>
      </c>
      <c r="AF2539" s="21" t="n">
        <v>0</v>
      </c>
      <c r="AG2539" s="21" t="n">
        <v>0</v>
      </c>
      <c r="AH2539" s="21" t="n">
        <v>0</v>
      </c>
      <c r="AI2539" s="21" t="n">
        <v>0</v>
      </c>
      <c r="AJ2539" s="21" t="n">
        <v>0</v>
      </c>
      <c r="AK2539" s="21" t="n">
        <v>0</v>
      </c>
      <c r="AL2539" s="21" t="n">
        <v>0</v>
      </c>
      <c r="AM2539" s="21" t="n">
        <v>0</v>
      </c>
      <c r="AN2539" s="21" t="n">
        <v>0</v>
      </c>
      <c r="AO2539" s="21" t="n">
        <v>0</v>
      </c>
      <c r="AP2539" s="21" t="n">
        <v>0</v>
      </c>
      <c r="AQ2539" s="21" t="n">
        <v>0</v>
      </c>
      <c r="AR2539" s="21" t="n">
        <v>0</v>
      </c>
      <c r="AS2539" s="21" t="n">
        <v>0</v>
      </c>
      <c r="AT2539" s="19" t="n"/>
    </row>
    <row r="2540">
      <c r="D2540" s="21" t="n">
        <v>0</v>
      </c>
      <c r="E2540" s="21" t="n">
        <v>0</v>
      </c>
      <c r="F2540" s="21" t="n">
        <v>0</v>
      </c>
      <c r="G2540" s="21" t="n">
        <v>0</v>
      </c>
      <c r="H2540" s="21" t="n">
        <v>0</v>
      </c>
      <c r="I2540" s="21" t="n">
        <v>0</v>
      </c>
      <c r="J2540" s="21" t="n">
        <v>0</v>
      </c>
      <c r="K2540" s="21" t="n">
        <v>0</v>
      </c>
      <c r="L2540" s="21">
        <f>-$B$1811</f>
        <v/>
      </c>
      <c r="M2540" s="21">
        <f>-$B$1812</f>
        <v/>
      </c>
      <c r="N2540" s="21">
        <f>2*$B$1811+$D$2513</f>
        <v/>
      </c>
      <c r="O2540" s="21">
        <f>0</f>
        <v/>
      </c>
      <c r="P2540" s="21">
        <f>-$B$1811</f>
        <v/>
      </c>
      <c r="Q2540" s="21">
        <f>$B$1812</f>
        <v/>
      </c>
      <c r="R2540" s="21" t="n">
        <v>0</v>
      </c>
      <c r="S2540" s="21" t="n">
        <v>0</v>
      </c>
      <c r="T2540" s="21" t="n">
        <v>0</v>
      </c>
      <c r="U2540" s="21" t="n">
        <v>0</v>
      </c>
      <c r="V2540" s="21" t="n">
        <v>0</v>
      </c>
      <c r="W2540" s="21" t="n">
        <v>0</v>
      </c>
      <c r="X2540" s="21" t="n">
        <v>0</v>
      </c>
      <c r="Y2540" s="21" t="n">
        <v>0</v>
      </c>
      <c r="Z2540" s="21" t="n">
        <v>0</v>
      </c>
      <c r="AA2540" s="21" t="n">
        <v>0</v>
      </c>
      <c r="AB2540" s="21" t="n">
        <v>0</v>
      </c>
      <c r="AC2540" s="21" t="n">
        <v>0</v>
      </c>
      <c r="AD2540" s="21" t="n">
        <v>0</v>
      </c>
      <c r="AE2540" s="21" t="n">
        <v>0</v>
      </c>
      <c r="AF2540" s="21" t="n">
        <v>0</v>
      </c>
      <c r="AG2540" s="21" t="n">
        <v>0</v>
      </c>
      <c r="AH2540" s="21" t="n">
        <v>0</v>
      </c>
      <c r="AI2540" s="21" t="n">
        <v>0</v>
      </c>
      <c r="AJ2540" s="21" t="n">
        <v>0</v>
      </c>
      <c r="AK2540" s="21" t="n">
        <v>0</v>
      </c>
      <c r="AL2540" s="21" t="n">
        <v>0</v>
      </c>
      <c r="AM2540" s="21" t="n">
        <v>0</v>
      </c>
      <c r="AN2540" s="21" t="n">
        <v>0</v>
      </c>
      <c r="AO2540" s="21" t="n">
        <v>0</v>
      </c>
      <c r="AP2540" s="21" t="n">
        <v>0</v>
      </c>
      <c r="AQ2540" s="21" t="n">
        <v>0</v>
      </c>
      <c r="AR2540" s="21" t="n">
        <v>0</v>
      </c>
      <c r="AS2540" s="21" t="n">
        <v>0</v>
      </c>
      <c r="AT2540" s="19" t="n"/>
    </row>
    <row r="2541">
      <c r="D2541" s="21" t="n">
        <v>0</v>
      </c>
      <c r="E2541" s="21" t="n">
        <v>0</v>
      </c>
      <c r="F2541" s="21" t="n">
        <v>0</v>
      </c>
      <c r="G2541" s="21" t="n">
        <v>0</v>
      </c>
      <c r="H2541" s="21" t="n">
        <v>0</v>
      </c>
      <c r="I2541" s="21" t="n">
        <v>0</v>
      </c>
      <c r="J2541" s="21" t="n">
        <v>0</v>
      </c>
      <c r="K2541" s="21" t="n">
        <v>0</v>
      </c>
      <c r="L2541" s="21">
        <f>$B$1812</f>
        <v/>
      </c>
      <c r="M2541" s="21">
        <f>$B$1814</f>
        <v/>
      </c>
      <c r="N2541" s="21">
        <f>0</f>
        <v/>
      </c>
      <c r="O2541" s="21">
        <f>2*$B$1813</f>
        <v/>
      </c>
      <c r="P2541" s="21">
        <f>-$B$1812</f>
        <v/>
      </c>
      <c r="Q2541" s="21">
        <f>$B$1814</f>
        <v/>
      </c>
      <c r="R2541" s="21" t="n">
        <v>0</v>
      </c>
      <c r="S2541" s="21" t="n">
        <v>0</v>
      </c>
      <c r="T2541" s="21" t="n">
        <v>0</v>
      </c>
      <c r="U2541" s="21" t="n">
        <v>0</v>
      </c>
      <c r="V2541" s="21" t="n">
        <v>0</v>
      </c>
      <c r="W2541" s="21" t="n">
        <v>0</v>
      </c>
      <c r="X2541" s="21" t="n">
        <v>0</v>
      </c>
      <c r="Y2541" s="21" t="n">
        <v>0</v>
      </c>
      <c r="Z2541" s="21" t="n">
        <v>0</v>
      </c>
      <c r="AA2541" s="21" t="n">
        <v>0</v>
      </c>
      <c r="AB2541" s="21" t="n">
        <v>0</v>
      </c>
      <c r="AC2541" s="21" t="n">
        <v>0</v>
      </c>
      <c r="AD2541" s="21" t="n">
        <v>0</v>
      </c>
      <c r="AE2541" s="21" t="n">
        <v>0</v>
      </c>
      <c r="AF2541" s="21" t="n">
        <v>0</v>
      </c>
      <c r="AG2541" s="21" t="n">
        <v>0</v>
      </c>
      <c r="AH2541" s="21" t="n">
        <v>0</v>
      </c>
      <c r="AI2541" s="21" t="n">
        <v>0</v>
      </c>
      <c r="AJ2541" s="21" t="n">
        <v>0</v>
      </c>
      <c r="AK2541" s="21" t="n">
        <v>0</v>
      </c>
      <c r="AL2541" s="21" t="n">
        <v>0</v>
      </c>
      <c r="AM2541" s="21" t="n">
        <v>0</v>
      </c>
      <c r="AN2541" s="21" t="n">
        <v>0</v>
      </c>
      <c r="AO2541" s="21" t="n">
        <v>0</v>
      </c>
      <c r="AP2541" s="21" t="n">
        <v>0</v>
      </c>
      <c r="AQ2541" s="21" t="n">
        <v>0</v>
      </c>
      <c r="AR2541" s="21" t="n">
        <v>0</v>
      </c>
      <c r="AS2541" s="21" t="n">
        <v>0</v>
      </c>
      <c r="AT2541" s="19" t="n"/>
    </row>
    <row r="2542">
      <c r="D2542" s="21" t="n">
        <v>0</v>
      </c>
      <c r="E2542" s="21" t="n">
        <v>0</v>
      </c>
      <c r="F2542" s="21" t="n">
        <v>0</v>
      </c>
      <c r="G2542" s="21" t="n">
        <v>0</v>
      </c>
      <c r="H2542" s="21" t="n">
        <v>0</v>
      </c>
      <c r="I2542" s="21" t="n">
        <v>0</v>
      </c>
      <c r="J2542" s="21" t="n">
        <v>0</v>
      </c>
      <c r="K2542" s="21" t="n">
        <v>0</v>
      </c>
      <c r="L2542" s="21" t="n">
        <v>0</v>
      </c>
      <c r="M2542" s="21" t="n">
        <v>0</v>
      </c>
      <c r="N2542" s="21">
        <f>-$B$1811</f>
        <v/>
      </c>
      <c r="O2542" s="21">
        <f>-$B$1812</f>
        <v/>
      </c>
      <c r="P2542" s="21">
        <f>2*$B$1811+$D$2514</f>
        <v/>
      </c>
      <c r="Q2542" s="21">
        <f>0</f>
        <v/>
      </c>
      <c r="R2542" s="21">
        <f>-$B$1811</f>
        <v/>
      </c>
      <c r="S2542" s="21">
        <f>$B$1812</f>
        <v/>
      </c>
      <c r="T2542" s="21" t="n">
        <v>0</v>
      </c>
      <c r="U2542" s="21" t="n">
        <v>0</v>
      </c>
      <c r="V2542" s="21" t="n">
        <v>0</v>
      </c>
      <c r="W2542" s="21" t="n">
        <v>0</v>
      </c>
      <c r="X2542" s="21" t="n">
        <v>0</v>
      </c>
      <c r="Y2542" s="21" t="n">
        <v>0</v>
      </c>
      <c r="Z2542" s="21" t="n">
        <v>0</v>
      </c>
      <c r="AA2542" s="21" t="n">
        <v>0</v>
      </c>
      <c r="AB2542" s="21" t="n">
        <v>0</v>
      </c>
      <c r="AC2542" s="21" t="n">
        <v>0</v>
      </c>
      <c r="AD2542" s="21" t="n">
        <v>0</v>
      </c>
      <c r="AE2542" s="21" t="n">
        <v>0</v>
      </c>
      <c r="AF2542" s="21" t="n">
        <v>0</v>
      </c>
      <c r="AG2542" s="21" t="n">
        <v>0</v>
      </c>
      <c r="AH2542" s="21" t="n">
        <v>0</v>
      </c>
      <c r="AI2542" s="21" t="n">
        <v>0</v>
      </c>
      <c r="AJ2542" s="21" t="n">
        <v>0</v>
      </c>
      <c r="AK2542" s="21" t="n">
        <v>0</v>
      </c>
      <c r="AL2542" s="21" t="n">
        <v>0</v>
      </c>
      <c r="AM2542" s="21" t="n">
        <v>0</v>
      </c>
      <c r="AN2542" s="21" t="n">
        <v>0</v>
      </c>
      <c r="AO2542" s="21" t="n">
        <v>0</v>
      </c>
      <c r="AP2542" s="21" t="n">
        <v>0</v>
      </c>
      <c r="AQ2542" s="21" t="n">
        <v>0</v>
      </c>
      <c r="AR2542" s="21" t="n">
        <v>0</v>
      </c>
      <c r="AS2542" s="21" t="n">
        <v>0</v>
      </c>
      <c r="AT2542" s="19" t="n"/>
    </row>
    <row r="2543">
      <c r="D2543" s="21" t="n">
        <v>0</v>
      </c>
      <c r="E2543" s="21" t="n">
        <v>0</v>
      </c>
      <c r="F2543" s="21" t="n">
        <v>0</v>
      </c>
      <c r="G2543" s="21" t="n">
        <v>0</v>
      </c>
      <c r="H2543" s="21" t="n">
        <v>0</v>
      </c>
      <c r="I2543" s="21" t="n">
        <v>0</v>
      </c>
      <c r="J2543" s="21" t="n">
        <v>0</v>
      </c>
      <c r="K2543" s="21" t="n">
        <v>0</v>
      </c>
      <c r="L2543" s="21" t="n">
        <v>0</v>
      </c>
      <c r="M2543" s="21" t="n">
        <v>0</v>
      </c>
      <c r="N2543" s="21">
        <f>$B$1812</f>
        <v/>
      </c>
      <c r="O2543" s="21">
        <f>$B$1814</f>
        <v/>
      </c>
      <c r="P2543" s="21">
        <f>0</f>
        <v/>
      </c>
      <c r="Q2543" s="21">
        <f>2*$B$1813</f>
        <v/>
      </c>
      <c r="R2543" s="21">
        <f>-$B$1812</f>
        <v/>
      </c>
      <c r="S2543" s="21">
        <f>$B$1814</f>
        <v/>
      </c>
      <c r="T2543" s="21" t="n">
        <v>0</v>
      </c>
      <c r="U2543" s="21" t="n">
        <v>0</v>
      </c>
      <c r="V2543" s="21" t="n">
        <v>0</v>
      </c>
      <c r="W2543" s="21" t="n">
        <v>0</v>
      </c>
      <c r="X2543" s="21" t="n">
        <v>0</v>
      </c>
      <c r="Y2543" s="21" t="n">
        <v>0</v>
      </c>
      <c r="Z2543" s="21" t="n">
        <v>0</v>
      </c>
      <c r="AA2543" s="21" t="n">
        <v>0</v>
      </c>
      <c r="AB2543" s="21" t="n">
        <v>0</v>
      </c>
      <c r="AC2543" s="21" t="n">
        <v>0</v>
      </c>
      <c r="AD2543" s="21" t="n">
        <v>0</v>
      </c>
      <c r="AE2543" s="21" t="n">
        <v>0</v>
      </c>
      <c r="AF2543" s="21" t="n">
        <v>0</v>
      </c>
      <c r="AG2543" s="21" t="n">
        <v>0</v>
      </c>
      <c r="AH2543" s="21" t="n">
        <v>0</v>
      </c>
      <c r="AI2543" s="21" t="n">
        <v>0</v>
      </c>
      <c r="AJ2543" s="21" t="n">
        <v>0</v>
      </c>
      <c r="AK2543" s="21" t="n">
        <v>0</v>
      </c>
      <c r="AL2543" s="21" t="n">
        <v>0</v>
      </c>
      <c r="AM2543" s="21" t="n">
        <v>0</v>
      </c>
      <c r="AN2543" s="21" t="n">
        <v>0</v>
      </c>
      <c r="AO2543" s="21" t="n">
        <v>0</v>
      </c>
      <c r="AP2543" s="21" t="n">
        <v>0</v>
      </c>
      <c r="AQ2543" s="21" t="n">
        <v>0</v>
      </c>
      <c r="AR2543" s="21" t="n">
        <v>0</v>
      </c>
      <c r="AS2543" s="21" t="n">
        <v>0</v>
      </c>
      <c r="AT2543" s="19" t="n"/>
    </row>
    <row r="2544">
      <c r="D2544" s="21" t="n">
        <v>0</v>
      </c>
      <c r="E2544" s="21" t="n">
        <v>0</v>
      </c>
      <c r="F2544" s="21" t="n">
        <v>0</v>
      </c>
      <c r="G2544" s="21" t="n">
        <v>0</v>
      </c>
      <c r="H2544" s="21" t="n">
        <v>0</v>
      </c>
      <c r="I2544" s="21" t="n">
        <v>0</v>
      </c>
      <c r="J2544" s="21" t="n">
        <v>0</v>
      </c>
      <c r="K2544" s="21" t="n">
        <v>0</v>
      </c>
      <c r="L2544" s="21" t="n">
        <v>0</v>
      </c>
      <c r="M2544" s="21" t="n">
        <v>0</v>
      </c>
      <c r="N2544" s="21" t="n">
        <v>0</v>
      </c>
      <c r="O2544" s="21" t="n">
        <v>0</v>
      </c>
      <c r="P2544" s="21">
        <f>-$B$1811</f>
        <v/>
      </c>
      <c r="Q2544" s="21">
        <f>-$B$1812</f>
        <v/>
      </c>
      <c r="R2544" s="21">
        <f>2*$B$1811+$D$2515</f>
        <v/>
      </c>
      <c r="S2544" s="21">
        <f>0</f>
        <v/>
      </c>
      <c r="T2544" s="21">
        <f>-$B$1811</f>
        <v/>
      </c>
      <c r="U2544" s="21">
        <f>$B$1812</f>
        <v/>
      </c>
      <c r="V2544" s="21" t="n">
        <v>0</v>
      </c>
      <c r="W2544" s="21" t="n">
        <v>0</v>
      </c>
      <c r="X2544" s="21" t="n">
        <v>0</v>
      </c>
      <c r="Y2544" s="21" t="n">
        <v>0</v>
      </c>
      <c r="Z2544" s="21" t="n">
        <v>0</v>
      </c>
      <c r="AA2544" s="21" t="n">
        <v>0</v>
      </c>
      <c r="AB2544" s="21" t="n">
        <v>0</v>
      </c>
      <c r="AC2544" s="21" t="n">
        <v>0</v>
      </c>
      <c r="AD2544" s="21" t="n">
        <v>0</v>
      </c>
      <c r="AE2544" s="21" t="n">
        <v>0</v>
      </c>
      <c r="AF2544" s="21" t="n">
        <v>0</v>
      </c>
      <c r="AG2544" s="21" t="n">
        <v>0</v>
      </c>
      <c r="AH2544" s="21" t="n">
        <v>0</v>
      </c>
      <c r="AI2544" s="21" t="n">
        <v>0</v>
      </c>
      <c r="AJ2544" s="21" t="n">
        <v>0</v>
      </c>
      <c r="AK2544" s="21" t="n">
        <v>0</v>
      </c>
      <c r="AL2544" s="21" t="n">
        <v>0</v>
      </c>
      <c r="AM2544" s="21" t="n">
        <v>0</v>
      </c>
      <c r="AN2544" s="21" t="n">
        <v>0</v>
      </c>
      <c r="AO2544" s="21" t="n">
        <v>0</v>
      </c>
      <c r="AP2544" s="21" t="n">
        <v>0</v>
      </c>
      <c r="AQ2544" s="21" t="n">
        <v>0</v>
      </c>
      <c r="AR2544" s="21" t="n">
        <v>0</v>
      </c>
      <c r="AS2544" s="21" t="n">
        <v>0</v>
      </c>
      <c r="AT2544" s="19" t="n"/>
    </row>
    <row r="2545">
      <c r="D2545" s="21" t="n">
        <v>0</v>
      </c>
      <c r="E2545" s="21" t="n">
        <v>0</v>
      </c>
      <c r="F2545" s="21" t="n">
        <v>0</v>
      </c>
      <c r="G2545" s="21" t="n">
        <v>0</v>
      </c>
      <c r="H2545" s="21" t="n">
        <v>0</v>
      </c>
      <c r="I2545" s="21" t="n">
        <v>0</v>
      </c>
      <c r="J2545" s="21" t="n">
        <v>0</v>
      </c>
      <c r="K2545" s="21" t="n">
        <v>0</v>
      </c>
      <c r="L2545" s="21" t="n">
        <v>0</v>
      </c>
      <c r="M2545" s="21" t="n">
        <v>0</v>
      </c>
      <c r="N2545" s="21" t="n">
        <v>0</v>
      </c>
      <c r="O2545" s="21" t="n">
        <v>0</v>
      </c>
      <c r="P2545" s="21">
        <f>$B$1812</f>
        <v/>
      </c>
      <c r="Q2545" s="21">
        <f>$B$1814</f>
        <v/>
      </c>
      <c r="R2545" s="21">
        <f>0</f>
        <v/>
      </c>
      <c r="S2545" s="21">
        <f>2*$B$1813</f>
        <v/>
      </c>
      <c r="T2545" s="21">
        <f>-$B$1812</f>
        <v/>
      </c>
      <c r="U2545" s="21">
        <f>$B$1814</f>
        <v/>
      </c>
      <c r="V2545" s="21" t="n">
        <v>0</v>
      </c>
      <c r="W2545" s="21" t="n">
        <v>0</v>
      </c>
      <c r="X2545" s="21" t="n">
        <v>0</v>
      </c>
      <c r="Y2545" s="21" t="n">
        <v>0</v>
      </c>
      <c r="Z2545" s="21" t="n">
        <v>0</v>
      </c>
      <c r="AA2545" s="21" t="n">
        <v>0</v>
      </c>
      <c r="AB2545" s="21" t="n">
        <v>0</v>
      </c>
      <c r="AC2545" s="21" t="n">
        <v>0</v>
      </c>
      <c r="AD2545" s="21" t="n">
        <v>0</v>
      </c>
      <c r="AE2545" s="21" t="n">
        <v>0</v>
      </c>
      <c r="AF2545" s="21" t="n">
        <v>0</v>
      </c>
      <c r="AG2545" s="21" t="n">
        <v>0</v>
      </c>
      <c r="AH2545" s="21" t="n">
        <v>0</v>
      </c>
      <c r="AI2545" s="21" t="n">
        <v>0</v>
      </c>
      <c r="AJ2545" s="21" t="n">
        <v>0</v>
      </c>
      <c r="AK2545" s="21" t="n">
        <v>0</v>
      </c>
      <c r="AL2545" s="21" t="n">
        <v>0</v>
      </c>
      <c r="AM2545" s="21" t="n">
        <v>0</v>
      </c>
      <c r="AN2545" s="21" t="n">
        <v>0</v>
      </c>
      <c r="AO2545" s="21" t="n">
        <v>0</v>
      </c>
      <c r="AP2545" s="21" t="n">
        <v>0</v>
      </c>
      <c r="AQ2545" s="21" t="n">
        <v>0</v>
      </c>
      <c r="AR2545" s="21" t="n">
        <v>0</v>
      </c>
      <c r="AS2545" s="21" t="n">
        <v>0</v>
      </c>
      <c r="AT2545" s="19" t="n"/>
    </row>
    <row r="2546">
      <c r="D2546" s="21" t="n">
        <v>0</v>
      </c>
      <c r="E2546" s="21" t="n">
        <v>0</v>
      </c>
      <c r="F2546" s="21" t="n">
        <v>0</v>
      </c>
      <c r="G2546" s="21" t="n">
        <v>0</v>
      </c>
      <c r="H2546" s="21" t="n">
        <v>0</v>
      </c>
      <c r="I2546" s="21" t="n">
        <v>0</v>
      </c>
      <c r="J2546" s="21" t="n">
        <v>0</v>
      </c>
      <c r="K2546" s="21" t="n">
        <v>0</v>
      </c>
      <c r="L2546" s="21" t="n">
        <v>0</v>
      </c>
      <c r="M2546" s="21" t="n">
        <v>0</v>
      </c>
      <c r="N2546" s="21" t="n">
        <v>0</v>
      </c>
      <c r="O2546" s="21" t="n">
        <v>0</v>
      </c>
      <c r="P2546" s="21" t="n">
        <v>0</v>
      </c>
      <c r="Q2546" s="21" t="n">
        <v>0</v>
      </c>
      <c r="R2546" s="21">
        <f>-$B$1811</f>
        <v/>
      </c>
      <c r="S2546" s="21">
        <f>-$B$1812</f>
        <v/>
      </c>
      <c r="T2546" s="21">
        <f>2*$B$1811+$D$2516</f>
        <v/>
      </c>
      <c r="U2546" s="21">
        <f>0</f>
        <v/>
      </c>
      <c r="V2546" s="21">
        <f>-$B$1811</f>
        <v/>
      </c>
      <c r="W2546" s="21">
        <f>$B$1812</f>
        <v/>
      </c>
      <c r="X2546" s="21" t="n">
        <v>0</v>
      </c>
      <c r="Y2546" s="21" t="n">
        <v>0</v>
      </c>
      <c r="Z2546" s="21" t="n">
        <v>0</v>
      </c>
      <c r="AA2546" s="21" t="n">
        <v>0</v>
      </c>
      <c r="AB2546" s="21" t="n">
        <v>0</v>
      </c>
      <c r="AC2546" s="21" t="n">
        <v>0</v>
      </c>
      <c r="AD2546" s="21" t="n">
        <v>0</v>
      </c>
      <c r="AE2546" s="21" t="n">
        <v>0</v>
      </c>
      <c r="AF2546" s="21" t="n">
        <v>0</v>
      </c>
      <c r="AG2546" s="21" t="n">
        <v>0</v>
      </c>
      <c r="AH2546" s="21" t="n">
        <v>0</v>
      </c>
      <c r="AI2546" s="21" t="n">
        <v>0</v>
      </c>
      <c r="AJ2546" s="21" t="n">
        <v>0</v>
      </c>
      <c r="AK2546" s="21" t="n">
        <v>0</v>
      </c>
      <c r="AL2546" s="21" t="n">
        <v>0</v>
      </c>
      <c r="AM2546" s="21" t="n">
        <v>0</v>
      </c>
      <c r="AN2546" s="21" t="n">
        <v>0</v>
      </c>
      <c r="AO2546" s="21" t="n">
        <v>0</v>
      </c>
      <c r="AP2546" s="21" t="n">
        <v>0</v>
      </c>
      <c r="AQ2546" s="21" t="n">
        <v>0</v>
      </c>
      <c r="AR2546" s="21" t="n">
        <v>0</v>
      </c>
      <c r="AS2546" s="21" t="n">
        <v>0</v>
      </c>
      <c r="AT2546" s="19" t="n"/>
    </row>
    <row r="2547">
      <c r="D2547" s="21" t="n">
        <v>0</v>
      </c>
      <c r="E2547" s="21" t="n">
        <v>0</v>
      </c>
      <c r="F2547" s="21" t="n">
        <v>0</v>
      </c>
      <c r="G2547" s="21" t="n">
        <v>0</v>
      </c>
      <c r="H2547" s="21" t="n">
        <v>0</v>
      </c>
      <c r="I2547" s="21" t="n">
        <v>0</v>
      </c>
      <c r="J2547" s="21" t="n">
        <v>0</v>
      </c>
      <c r="K2547" s="21" t="n">
        <v>0</v>
      </c>
      <c r="L2547" s="21" t="n">
        <v>0</v>
      </c>
      <c r="M2547" s="21" t="n">
        <v>0</v>
      </c>
      <c r="N2547" s="21" t="n">
        <v>0</v>
      </c>
      <c r="O2547" s="21" t="n">
        <v>0</v>
      </c>
      <c r="P2547" s="21" t="n">
        <v>0</v>
      </c>
      <c r="Q2547" s="21" t="n">
        <v>0</v>
      </c>
      <c r="R2547" s="21">
        <f>$B$1812</f>
        <v/>
      </c>
      <c r="S2547" s="21">
        <f>$B$1814</f>
        <v/>
      </c>
      <c r="T2547" s="21">
        <f>0</f>
        <v/>
      </c>
      <c r="U2547" s="21">
        <f>2*$B$1813</f>
        <v/>
      </c>
      <c r="V2547" s="21">
        <f>-$B$1812</f>
        <v/>
      </c>
      <c r="W2547" s="21">
        <f>$B$1814</f>
        <v/>
      </c>
      <c r="X2547" s="21" t="n">
        <v>0</v>
      </c>
      <c r="Y2547" s="21" t="n">
        <v>0</v>
      </c>
      <c r="Z2547" s="21" t="n">
        <v>0</v>
      </c>
      <c r="AA2547" s="21" t="n">
        <v>0</v>
      </c>
      <c r="AB2547" s="21" t="n">
        <v>0</v>
      </c>
      <c r="AC2547" s="21" t="n">
        <v>0</v>
      </c>
      <c r="AD2547" s="21" t="n">
        <v>0</v>
      </c>
      <c r="AE2547" s="21" t="n">
        <v>0</v>
      </c>
      <c r="AF2547" s="21" t="n">
        <v>0</v>
      </c>
      <c r="AG2547" s="21" t="n">
        <v>0</v>
      </c>
      <c r="AH2547" s="21" t="n">
        <v>0</v>
      </c>
      <c r="AI2547" s="21" t="n">
        <v>0</v>
      </c>
      <c r="AJ2547" s="21" t="n">
        <v>0</v>
      </c>
      <c r="AK2547" s="21" t="n">
        <v>0</v>
      </c>
      <c r="AL2547" s="21" t="n">
        <v>0</v>
      </c>
      <c r="AM2547" s="21" t="n">
        <v>0</v>
      </c>
      <c r="AN2547" s="21" t="n">
        <v>0</v>
      </c>
      <c r="AO2547" s="21" t="n">
        <v>0</v>
      </c>
      <c r="AP2547" s="21" t="n">
        <v>0</v>
      </c>
      <c r="AQ2547" s="21" t="n">
        <v>0</v>
      </c>
      <c r="AR2547" s="21" t="n">
        <v>0</v>
      </c>
      <c r="AS2547" s="21" t="n">
        <v>0</v>
      </c>
      <c r="AT2547" s="19" t="n"/>
    </row>
    <row r="2548">
      <c r="D2548" s="21" t="n">
        <v>0</v>
      </c>
      <c r="E2548" s="21" t="n">
        <v>0</v>
      </c>
      <c r="F2548" s="21" t="n">
        <v>0</v>
      </c>
      <c r="G2548" s="21" t="n">
        <v>0</v>
      </c>
      <c r="H2548" s="21" t="n">
        <v>0</v>
      </c>
      <c r="I2548" s="21" t="n">
        <v>0</v>
      </c>
      <c r="J2548" s="21" t="n">
        <v>0</v>
      </c>
      <c r="K2548" s="21" t="n">
        <v>0</v>
      </c>
      <c r="L2548" s="21" t="n">
        <v>0</v>
      </c>
      <c r="M2548" s="21" t="n">
        <v>0</v>
      </c>
      <c r="N2548" s="21" t="n">
        <v>0</v>
      </c>
      <c r="O2548" s="21" t="n">
        <v>0</v>
      </c>
      <c r="P2548" s="21" t="n">
        <v>0</v>
      </c>
      <c r="Q2548" s="21" t="n">
        <v>0</v>
      </c>
      <c r="R2548" s="21" t="n">
        <v>0</v>
      </c>
      <c r="S2548" s="21" t="n">
        <v>0</v>
      </c>
      <c r="T2548" s="21">
        <f>-$B$1811</f>
        <v/>
      </c>
      <c r="U2548" s="21">
        <f>-$B$1812</f>
        <v/>
      </c>
      <c r="V2548" s="21">
        <f>2*$B$1811+$D$2517</f>
        <v/>
      </c>
      <c r="W2548" s="21">
        <f>0</f>
        <v/>
      </c>
      <c r="X2548" s="21">
        <f>-$B$1811</f>
        <v/>
      </c>
      <c r="Y2548" s="21">
        <f>$B$1812</f>
        <v/>
      </c>
      <c r="Z2548" s="21" t="n">
        <v>0</v>
      </c>
      <c r="AA2548" s="21" t="n">
        <v>0</v>
      </c>
      <c r="AB2548" s="21" t="n">
        <v>0</v>
      </c>
      <c r="AC2548" s="21" t="n">
        <v>0</v>
      </c>
      <c r="AD2548" s="21" t="n">
        <v>0</v>
      </c>
      <c r="AE2548" s="21" t="n">
        <v>0</v>
      </c>
      <c r="AF2548" s="21" t="n">
        <v>0</v>
      </c>
      <c r="AG2548" s="21" t="n">
        <v>0</v>
      </c>
      <c r="AH2548" s="21" t="n">
        <v>0</v>
      </c>
      <c r="AI2548" s="21" t="n">
        <v>0</v>
      </c>
      <c r="AJ2548" s="21" t="n">
        <v>0</v>
      </c>
      <c r="AK2548" s="21" t="n">
        <v>0</v>
      </c>
      <c r="AL2548" s="21" t="n">
        <v>0</v>
      </c>
      <c r="AM2548" s="21" t="n">
        <v>0</v>
      </c>
      <c r="AN2548" s="21" t="n">
        <v>0</v>
      </c>
      <c r="AO2548" s="21" t="n">
        <v>0</v>
      </c>
      <c r="AP2548" s="21" t="n">
        <v>0</v>
      </c>
      <c r="AQ2548" s="21" t="n">
        <v>0</v>
      </c>
      <c r="AR2548" s="21" t="n">
        <v>0</v>
      </c>
      <c r="AS2548" s="21" t="n">
        <v>0</v>
      </c>
      <c r="AT2548" s="19" t="n"/>
    </row>
    <row r="2549">
      <c r="D2549" s="21" t="n">
        <v>0</v>
      </c>
      <c r="E2549" s="21" t="n">
        <v>0</v>
      </c>
      <c r="F2549" s="21" t="n">
        <v>0</v>
      </c>
      <c r="G2549" s="21" t="n">
        <v>0</v>
      </c>
      <c r="H2549" s="21" t="n">
        <v>0</v>
      </c>
      <c r="I2549" s="21" t="n">
        <v>0</v>
      </c>
      <c r="J2549" s="21" t="n">
        <v>0</v>
      </c>
      <c r="K2549" s="21" t="n">
        <v>0</v>
      </c>
      <c r="L2549" s="21" t="n">
        <v>0</v>
      </c>
      <c r="M2549" s="21" t="n">
        <v>0</v>
      </c>
      <c r="N2549" s="21" t="n">
        <v>0</v>
      </c>
      <c r="O2549" s="21" t="n">
        <v>0</v>
      </c>
      <c r="P2549" s="21" t="n">
        <v>0</v>
      </c>
      <c r="Q2549" s="21" t="n">
        <v>0</v>
      </c>
      <c r="R2549" s="21" t="n">
        <v>0</v>
      </c>
      <c r="S2549" s="21" t="n">
        <v>0</v>
      </c>
      <c r="T2549" s="21">
        <f>$B$1812</f>
        <v/>
      </c>
      <c r="U2549" s="21">
        <f>$B$1814</f>
        <v/>
      </c>
      <c r="V2549" s="21">
        <f>0</f>
        <v/>
      </c>
      <c r="W2549" s="21">
        <f>2*$B$1813</f>
        <v/>
      </c>
      <c r="X2549" s="21">
        <f>-$B$1812</f>
        <v/>
      </c>
      <c r="Y2549" s="21">
        <f>$B$1814</f>
        <v/>
      </c>
      <c r="Z2549" s="21" t="n">
        <v>0</v>
      </c>
      <c r="AA2549" s="21" t="n">
        <v>0</v>
      </c>
      <c r="AB2549" s="21" t="n">
        <v>0</v>
      </c>
      <c r="AC2549" s="21" t="n">
        <v>0</v>
      </c>
      <c r="AD2549" s="21" t="n">
        <v>0</v>
      </c>
      <c r="AE2549" s="21" t="n">
        <v>0</v>
      </c>
      <c r="AF2549" s="21" t="n">
        <v>0</v>
      </c>
      <c r="AG2549" s="21" t="n">
        <v>0</v>
      </c>
      <c r="AH2549" s="21" t="n">
        <v>0</v>
      </c>
      <c r="AI2549" s="21" t="n">
        <v>0</v>
      </c>
      <c r="AJ2549" s="21" t="n">
        <v>0</v>
      </c>
      <c r="AK2549" s="21" t="n">
        <v>0</v>
      </c>
      <c r="AL2549" s="21" t="n">
        <v>0</v>
      </c>
      <c r="AM2549" s="21" t="n">
        <v>0</v>
      </c>
      <c r="AN2549" s="21" t="n">
        <v>0</v>
      </c>
      <c r="AO2549" s="21" t="n">
        <v>0</v>
      </c>
      <c r="AP2549" s="21" t="n">
        <v>0</v>
      </c>
      <c r="AQ2549" s="21" t="n">
        <v>0</v>
      </c>
      <c r="AR2549" s="21" t="n">
        <v>0</v>
      </c>
      <c r="AS2549" s="21" t="n">
        <v>0</v>
      </c>
      <c r="AT2549" s="19" t="n"/>
    </row>
    <row r="2550">
      <c r="D2550" s="21" t="n">
        <v>0</v>
      </c>
      <c r="E2550" s="21" t="n">
        <v>0</v>
      </c>
      <c r="F2550" s="21" t="n">
        <v>0</v>
      </c>
      <c r="G2550" s="21" t="n">
        <v>0</v>
      </c>
      <c r="H2550" s="21" t="n">
        <v>0</v>
      </c>
      <c r="I2550" s="21" t="n">
        <v>0</v>
      </c>
      <c r="J2550" s="21" t="n">
        <v>0</v>
      </c>
      <c r="K2550" s="21" t="n">
        <v>0</v>
      </c>
      <c r="L2550" s="21" t="n">
        <v>0</v>
      </c>
      <c r="M2550" s="21" t="n">
        <v>0</v>
      </c>
      <c r="N2550" s="21" t="n">
        <v>0</v>
      </c>
      <c r="O2550" s="21" t="n">
        <v>0</v>
      </c>
      <c r="P2550" s="21" t="n">
        <v>0</v>
      </c>
      <c r="Q2550" s="21" t="n">
        <v>0</v>
      </c>
      <c r="R2550" s="21" t="n">
        <v>0</v>
      </c>
      <c r="S2550" s="21" t="n">
        <v>0</v>
      </c>
      <c r="T2550" s="21" t="n">
        <v>0</v>
      </c>
      <c r="U2550" s="21" t="n">
        <v>0</v>
      </c>
      <c r="V2550" s="21">
        <f>-$B$1811</f>
        <v/>
      </c>
      <c r="W2550" s="21">
        <f>-$B$1812</f>
        <v/>
      </c>
      <c r="X2550" s="21">
        <f>2*$B$1811+$D$2518</f>
        <v/>
      </c>
      <c r="Y2550" s="21">
        <f>0</f>
        <v/>
      </c>
      <c r="Z2550" s="21">
        <f>-$B$1811</f>
        <v/>
      </c>
      <c r="AA2550" s="21">
        <f>$B$1812</f>
        <v/>
      </c>
      <c r="AB2550" s="21" t="n">
        <v>0</v>
      </c>
      <c r="AC2550" s="21" t="n">
        <v>0</v>
      </c>
      <c r="AD2550" s="21" t="n">
        <v>0</v>
      </c>
      <c r="AE2550" s="21" t="n">
        <v>0</v>
      </c>
      <c r="AF2550" s="21" t="n">
        <v>0</v>
      </c>
      <c r="AG2550" s="21" t="n">
        <v>0</v>
      </c>
      <c r="AH2550" s="21" t="n">
        <v>0</v>
      </c>
      <c r="AI2550" s="21" t="n">
        <v>0</v>
      </c>
      <c r="AJ2550" s="21" t="n">
        <v>0</v>
      </c>
      <c r="AK2550" s="21" t="n">
        <v>0</v>
      </c>
      <c r="AL2550" s="21" t="n">
        <v>0</v>
      </c>
      <c r="AM2550" s="21" t="n">
        <v>0</v>
      </c>
      <c r="AN2550" s="21" t="n">
        <v>0</v>
      </c>
      <c r="AO2550" s="21" t="n">
        <v>0</v>
      </c>
      <c r="AP2550" s="21" t="n">
        <v>0</v>
      </c>
      <c r="AQ2550" s="21" t="n">
        <v>0</v>
      </c>
      <c r="AR2550" s="21" t="n">
        <v>0</v>
      </c>
      <c r="AS2550" s="21" t="n">
        <v>0</v>
      </c>
      <c r="AT2550" s="19" t="n"/>
    </row>
    <row r="2551">
      <c r="D2551" s="21" t="n">
        <v>0</v>
      </c>
      <c r="E2551" s="21" t="n">
        <v>0</v>
      </c>
      <c r="F2551" s="21" t="n">
        <v>0</v>
      </c>
      <c r="G2551" s="21" t="n">
        <v>0</v>
      </c>
      <c r="H2551" s="21" t="n">
        <v>0</v>
      </c>
      <c r="I2551" s="21" t="n">
        <v>0</v>
      </c>
      <c r="J2551" s="21" t="n">
        <v>0</v>
      </c>
      <c r="K2551" s="21" t="n">
        <v>0</v>
      </c>
      <c r="L2551" s="21" t="n">
        <v>0</v>
      </c>
      <c r="M2551" s="21" t="n">
        <v>0</v>
      </c>
      <c r="N2551" s="21" t="n">
        <v>0</v>
      </c>
      <c r="O2551" s="21" t="n">
        <v>0</v>
      </c>
      <c r="P2551" s="21" t="n">
        <v>0</v>
      </c>
      <c r="Q2551" s="21" t="n">
        <v>0</v>
      </c>
      <c r="R2551" s="21" t="n">
        <v>0</v>
      </c>
      <c r="S2551" s="21" t="n">
        <v>0</v>
      </c>
      <c r="T2551" s="21" t="n">
        <v>0</v>
      </c>
      <c r="U2551" s="21" t="n">
        <v>0</v>
      </c>
      <c r="V2551" s="21">
        <f>$B$1812</f>
        <v/>
      </c>
      <c r="W2551" s="21">
        <f>$B$1814</f>
        <v/>
      </c>
      <c r="X2551" s="21">
        <f>0</f>
        <v/>
      </c>
      <c r="Y2551" s="21">
        <f>2*$B$1813</f>
        <v/>
      </c>
      <c r="Z2551" s="21">
        <f>-$B$1812</f>
        <v/>
      </c>
      <c r="AA2551" s="21">
        <f>$B$1814</f>
        <v/>
      </c>
      <c r="AB2551" s="21" t="n">
        <v>0</v>
      </c>
      <c r="AC2551" s="21" t="n">
        <v>0</v>
      </c>
      <c r="AD2551" s="21" t="n">
        <v>0</v>
      </c>
      <c r="AE2551" s="21" t="n">
        <v>0</v>
      </c>
      <c r="AF2551" s="21" t="n">
        <v>0</v>
      </c>
      <c r="AG2551" s="21" t="n">
        <v>0</v>
      </c>
      <c r="AH2551" s="21" t="n">
        <v>0</v>
      </c>
      <c r="AI2551" s="21" t="n">
        <v>0</v>
      </c>
      <c r="AJ2551" s="21" t="n">
        <v>0</v>
      </c>
      <c r="AK2551" s="21" t="n">
        <v>0</v>
      </c>
      <c r="AL2551" s="21" t="n">
        <v>0</v>
      </c>
      <c r="AM2551" s="21" t="n">
        <v>0</v>
      </c>
      <c r="AN2551" s="21" t="n">
        <v>0</v>
      </c>
      <c r="AO2551" s="21" t="n">
        <v>0</v>
      </c>
      <c r="AP2551" s="21" t="n">
        <v>0</v>
      </c>
      <c r="AQ2551" s="21" t="n">
        <v>0</v>
      </c>
      <c r="AR2551" s="21" t="n">
        <v>0</v>
      </c>
      <c r="AS2551" s="21" t="n">
        <v>0</v>
      </c>
      <c r="AT2551" s="19" t="n"/>
    </row>
    <row r="2552">
      <c r="D2552" s="21" t="n">
        <v>0</v>
      </c>
      <c r="E2552" s="21" t="n">
        <v>0</v>
      </c>
      <c r="F2552" s="21" t="n">
        <v>0</v>
      </c>
      <c r="G2552" s="21" t="n">
        <v>0</v>
      </c>
      <c r="H2552" s="21" t="n">
        <v>0</v>
      </c>
      <c r="I2552" s="21" t="n">
        <v>0</v>
      </c>
      <c r="J2552" s="21" t="n">
        <v>0</v>
      </c>
      <c r="K2552" s="21" t="n">
        <v>0</v>
      </c>
      <c r="L2552" s="21" t="n">
        <v>0</v>
      </c>
      <c r="M2552" s="21" t="n">
        <v>0</v>
      </c>
      <c r="N2552" s="21" t="n">
        <v>0</v>
      </c>
      <c r="O2552" s="21" t="n">
        <v>0</v>
      </c>
      <c r="P2552" s="21" t="n">
        <v>0</v>
      </c>
      <c r="Q2552" s="21" t="n">
        <v>0</v>
      </c>
      <c r="R2552" s="21" t="n">
        <v>0</v>
      </c>
      <c r="S2552" s="21" t="n">
        <v>0</v>
      </c>
      <c r="T2552" s="21" t="n">
        <v>0</v>
      </c>
      <c r="U2552" s="21" t="n">
        <v>0</v>
      </c>
      <c r="V2552" s="21" t="n">
        <v>0</v>
      </c>
      <c r="W2552" s="21" t="n">
        <v>0</v>
      </c>
      <c r="X2552" s="21">
        <f>-$B$1811</f>
        <v/>
      </c>
      <c r="Y2552" s="21">
        <f>-$B$1812</f>
        <v/>
      </c>
      <c r="Z2552" s="21">
        <f>2*$B$1811+$D$2519</f>
        <v/>
      </c>
      <c r="AA2552" s="21">
        <f>0</f>
        <v/>
      </c>
      <c r="AB2552" s="21">
        <f>-$B$1811</f>
        <v/>
      </c>
      <c r="AC2552" s="21">
        <f>$B$1812</f>
        <v/>
      </c>
      <c r="AD2552" s="21" t="n">
        <v>0</v>
      </c>
      <c r="AE2552" s="21" t="n">
        <v>0</v>
      </c>
      <c r="AF2552" s="21" t="n">
        <v>0</v>
      </c>
      <c r="AG2552" s="21" t="n">
        <v>0</v>
      </c>
      <c r="AH2552" s="21" t="n">
        <v>0</v>
      </c>
      <c r="AI2552" s="21" t="n">
        <v>0</v>
      </c>
      <c r="AJ2552" s="21" t="n">
        <v>0</v>
      </c>
      <c r="AK2552" s="21" t="n">
        <v>0</v>
      </c>
      <c r="AL2552" s="21" t="n">
        <v>0</v>
      </c>
      <c r="AM2552" s="21" t="n">
        <v>0</v>
      </c>
      <c r="AN2552" s="21" t="n">
        <v>0</v>
      </c>
      <c r="AO2552" s="21" t="n">
        <v>0</v>
      </c>
      <c r="AP2552" s="21" t="n">
        <v>0</v>
      </c>
      <c r="AQ2552" s="21" t="n">
        <v>0</v>
      </c>
      <c r="AR2552" s="21" t="n">
        <v>0</v>
      </c>
      <c r="AS2552" s="21" t="n">
        <v>0</v>
      </c>
      <c r="AT2552" s="19" t="n"/>
    </row>
    <row r="2553">
      <c r="D2553" s="21" t="n">
        <v>0</v>
      </c>
      <c r="E2553" s="21" t="n">
        <v>0</v>
      </c>
      <c r="F2553" s="21" t="n">
        <v>0</v>
      </c>
      <c r="G2553" s="21" t="n">
        <v>0</v>
      </c>
      <c r="H2553" s="21" t="n">
        <v>0</v>
      </c>
      <c r="I2553" s="21" t="n">
        <v>0</v>
      </c>
      <c r="J2553" s="21" t="n">
        <v>0</v>
      </c>
      <c r="K2553" s="21" t="n">
        <v>0</v>
      </c>
      <c r="L2553" s="21" t="n">
        <v>0</v>
      </c>
      <c r="M2553" s="21" t="n">
        <v>0</v>
      </c>
      <c r="N2553" s="21" t="n">
        <v>0</v>
      </c>
      <c r="O2553" s="21" t="n">
        <v>0</v>
      </c>
      <c r="P2553" s="21" t="n">
        <v>0</v>
      </c>
      <c r="Q2553" s="21" t="n">
        <v>0</v>
      </c>
      <c r="R2553" s="21" t="n">
        <v>0</v>
      </c>
      <c r="S2553" s="21" t="n">
        <v>0</v>
      </c>
      <c r="T2553" s="21" t="n">
        <v>0</v>
      </c>
      <c r="U2553" s="21" t="n">
        <v>0</v>
      </c>
      <c r="V2553" s="21" t="n">
        <v>0</v>
      </c>
      <c r="W2553" s="21" t="n">
        <v>0</v>
      </c>
      <c r="X2553" s="21">
        <f>$B$1812</f>
        <v/>
      </c>
      <c r="Y2553" s="21">
        <f>$B$1814</f>
        <v/>
      </c>
      <c r="Z2553" s="21">
        <f>0</f>
        <v/>
      </c>
      <c r="AA2553" s="21">
        <f>2*$B$1813</f>
        <v/>
      </c>
      <c r="AB2553" s="21">
        <f>-$B$1812</f>
        <v/>
      </c>
      <c r="AC2553" s="21">
        <f>$B$1814</f>
        <v/>
      </c>
      <c r="AD2553" s="21" t="n">
        <v>0</v>
      </c>
      <c r="AE2553" s="21" t="n">
        <v>0</v>
      </c>
      <c r="AF2553" s="21" t="n">
        <v>0</v>
      </c>
      <c r="AG2553" s="21" t="n">
        <v>0</v>
      </c>
      <c r="AH2553" s="21" t="n">
        <v>0</v>
      </c>
      <c r="AI2553" s="21" t="n">
        <v>0</v>
      </c>
      <c r="AJ2553" s="21" t="n">
        <v>0</v>
      </c>
      <c r="AK2553" s="21" t="n">
        <v>0</v>
      </c>
      <c r="AL2553" s="21" t="n">
        <v>0</v>
      </c>
      <c r="AM2553" s="21" t="n">
        <v>0</v>
      </c>
      <c r="AN2553" s="21" t="n">
        <v>0</v>
      </c>
      <c r="AO2553" s="21" t="n">
        <v>0</v>
      </c>
      <c r="AP2553" s="21" t="n">
        <v>0</v>
      </c>
      <c r="AQ2553" s="21" t="n">
        <v>0</v>
      </c>
      <c r="AR2553" s="21" t="n">
        <v>0</v>
      </c>
      <c r="AS2553" s="21" t="n">
        <v>0</v>
      </c>
      <c r="AT2553" s="19" t="n"/>
    </row>
    <row r="2554">
      <c r="D2554" s="21" t="n">
        <v>0</v>
      </c>
      <c r="E2554" s="21" t="n">
        <v>0</v>
      </c>
      <c r="F2554" s="21" t="n">
        <v>0</v>
      </c>
      <c r="G2554" s="21" t="n">
        <v>0</v>
      </c>
      <c r="H2554" s="21" t="n">
        <v>0</v>
      </c>
      <c r="I2554" s="21" t="n">
        <v>0</v>
      </c>
      <c r="J2554" s="21" t="n">
        <v>0</v>
      </c>
      <c r="K2554" s="21" t="n">
        <v>0</v>
      </c>
      <c r="L2554" s="21" t="n">
        <v>0</v>
      </c>
      <c r="M2554" s="21" t="n">
        <v>0</v>
      </c>
      <c r="N2554" s="21" t="n">
        <v>0</v>
      </c>
      <c r="O2554" s="21" t="n">
        <v>0</v>
      </c>
      <c r="P2554" s="21" t="n">
        <v>0</v>
      </c>
      <c r="Q2554" s="21" t="n">
        <v>0</v>
      </c>
      <c r="R2554" s="21" t="n">
        <v>0</v>
      </c>
      <c r="S2554" s="21" t="n">
        <v>0</v>
      </c>
      <c r="T2554" s="21" t="n">
        <v>0</v>
      </c>
      <c r="U2554" s="21" t="n">
        <v>0</v>
      </c>
      <c r="V2554" s="21" t="n">
        <v>0</v>
      </c>
      <c r="W2554" s="21" t="n">
        <v>0</v>
      </c>
      <c r="X2554" s="21" t="n">
        <v>0</v>
      </c>
      <c r="Y2554" s="21" t="n">
        <v>0</v>
      </c>
      <c r="Z2554" s="21">
        <f>-$B$1811</f>
        <v/>
      </c>
      <c r="AA2554" s="21">
        <f>-$B$1812</f>
        <v/>
      </c>
      <c r="AB2554" s="21">
        <f>2*$B$1811+$D$2520</f>
        <v/>
      </c>
      <c r="AC2554" s="21">
        <f>0</f>
        <v/>
      </c>
      <c r="AD2554" s="21">
        <f>-$B$1811</f>
        <v/>
      </c>
      <c r="AE2554" s="21">
        <f>$B$1812</f>
        <v/>
      </c>
      <c r="AF2554" s="21" t="n">
        <v>0</v>
      </c>
      <c r="AG2554" s="21" t="n">
        <v>0</v>
      </c>
      <c r="AH2554" s="21" t="n">
        <v>0</v>
      </c>
      <c r="AI2554" s="21" t="n">
        <v>0</v>
      </c>
      <c r="AJ2554" s="21" t="n">
        <v>0</v>
      </c>
      <c r="AK2554" s="21" t="n">
        <v>0</v>
      </c>
      <c r="AL2554" s="21" t="n">
        <v>0</v>
      </c>
      <c r="AM2554" s="21" t="n">
        <v>0</v>
      </c>
      <c r="AN2554" s="21" t="n">
        <v>0</v>
      </c>
      <c r="AO2554" s="21" t="n">
        <v>0</v>
      </c>
      <c r="AP2554" s="21" t="n">
        <v>0</v>
      </c>
      <c r="AQ2554" s="21" t="n">
        <v>0</v>
      </c>
      <c r="AR2554" s="21" t="n">
        <v>0</v>
      </c>
      <c r="AS2554" s="21" t="n">
        <v>0</v>
      </c>
      <c r="AT2554" s="19" t="n"/>
    </row>
    <row r="2555">
      <c r="D2555" s="21" t="n">
        <v>0</v>
      </c>
      <c r="E2555" s="21" t="n">
        <v>0</v>
      </c>
      <c r="F2555" s="21" t="n">
        <v>0</v>
      </c>
      <c r="G2555" s="21" t="n">
        <v>0</v>
      </c>
      <c r="H2555" s="21" t="n">
        <v>0</v>
      </c>
      <c r="I2555" s="21" t="n">
        <v>0</v>
      </c>
      <c r="J2555" s="21" t="n">
        <v>0</v>
      </c>
      <c r="K2555" s="21" t="n">
        <v>0</v>
      </c>
      <c r="L2555" s="21" t="n">
        <v>0</v>
      </c>
      <c r="M2555" s="21" t="n">
        <v>0</v>
      </c>
      <c r="N2555" s="21" t="n">
        <v>0</v>
      </c>
      <c r="O2555" s="21" t="n">
        <v>0</v>
      </c>
      <c r="P2555" s="21" t="n">
        <v>0</v>
      </c>
      <c r="Q2555" s="21" t="n">
        <v>0</v>
      </c>
      <c r="R2555" s="21" t="n">
        <v>0</v>
      </c>
      <c r="S2555" s="21" t="n">
        <v>0</v>
      </c>
      <c r="T2555" s="21" t="n">
        <v>0</v>
      </c>
      <c r="U2555" s="21" t="n">
        <v>0</v>
      </c>
      <c r="V2555" s="21" t="n">
        <v>0</v>
      </c>
      <c r="W2555" s="21" t="n">
        <v>0</v>
      </c>
      <c r="X2555" s="21" t="n">
        <v>0</v>
      </c>
      <c r="Y2555" s="21" t="n">
        <v>0</v>
      </c>
      <c r="Z2555" s="21">
        <f>$B$1812</f>
        <v/>
      </c>
      <c r="AA2555" s="21">
        <f>$B$1814</f>
        <v/>
      </c>
      <c r="AB2555" s="21">
        <f>0</f>
        <v/>
      </c>
      <c r="AC2555" s="21">
        <f>2*$B$1813</f>
        <v/>
      </c>
      <c r="AD2555" s="21">
        <f>-$B$1812</f>
        <v/>
      </c>
      <c r="AE2555" s="21">
        <f>$B$1814</f>
        <v/>
      </c>
      <c r="AF2555" s="21" t="n">
        <v>0</v>
      </c>
      <c r="AG2555" s="21" t="n">
        <v>0</v>
      </c>
      <c r="AH2555" s="21" t="n">
        <v>0</v>
      </c>
      <c r="AI2555" s="21" t="n">
        <v>0</v>
      </c>
      <c r="AJ2555" s="21" t="n">
        <v>0</v>
      </c>
      <c r="AK2555" s="21" t="n">
        <v>0</v>
      </c>
      <c r="AL2555" s="21" t="n">
        <v>0</v>
      </c>
      <c r="AM2555" s="21" t="n">
        <v>0</v>
      </c>
      <c r="AN2555" s="21" t="n">
        <v>0</v>
      </c>
      <c r="AO2555" s="21" t="n">
        <v>0</v>
      </c>
      <c r="AP2555" s="21" t="n">
        <v>0</v>
      </c>
      <c r="AQ2555" s="21" t="n">
        <v>0</v>
      </c>
      <c r="AR2555" s="21" t="n">
        <v>0</v>
      </c>
      <c r="AS2555" s="21" t="n">
        <v>0</v>
      </c>
      <c r="AT2555" s="19" t="n"/>
    </row>
    <row r="2556">
      <c r="D2556" s="21" t="n">
        <v>0</v>
      </c>
      <c r="E2556" s="21" t="n">
        <v>0</v>
      </c>
      <c r="F2556" s="21" t="n">
        <v>0</v>
      </c>
      <c r="G2556" s="21" t="n">
        <v>0</v>
      </c>
      <c r="H2556" s="21" t="n">
        <v>0</v>
      </c>
      <c r="I2556" s="21" t="n">
        <v>0</v>
      </c>
      <c r="J2556" s="21" t="n">
        <v>0</v>
      </c>
      <c r="K2556" s="21" t="n">
        <v>0</v>
      </c>
      <c r="L2556" s="21" t="n">
        <v>0</v>
      </c>
      <c r="M2556" s="21" t="n">
        <v>0</v>
      </c>
      <c r="N2556" s="21" t="n">
        <v>0</v>
      </c>
      <c r="O2556" s="21" t="n">
        <v>0</v>
      </c>
      <c r="P2556" s="21" t="n">
        <v>0</v>
      </c>
      <c r="Q2556" s="21" t="n">
        <v>0</v>
      </c>
      <c r="R2556" s="21" t="n">
        <v>0</v>
      </c>
      <c r="S2556" s="21" t="n">
        <v>0</v>
      </c>
      <c r="T2556" s="21" t="n">
        <v>0</v>
      </c>
      <c r="U2556" s="21" t="n">
        <v>0</v>
      </c>
      <c r="V2556" s="21" t="n">
        <v>0</v>
      </c>
      <c r="W2556" s="21" t="n">
        <v>0</v>
      </c>
      <c r="X2556" s="21" t="n">
        <v>0</v>
      </c>
      <c r="Y2556" s="21" t="n">
        <v>0</v>
      </c>
      <c r="Z2556" s="21" t="n">
        <v>0</v>
      </c>
      <c r="AA2556" s="21" t="n">
        <v>0</v>
      </c>
      <c r="AB2556" s="21">
        <f>-$B$1811</f>
        <v/>
      </c>
      <c r="AC2556" s="21">
        <f>-$B$1812</f>
        <v/>
      </c>
      <c r="AD2556" s="21">
        <f>2*$B$1811+$D$2521</f>
        <v/>
      </c>
      <c r="AE2556" s="21">
        <f>0</f>
        <v/>
      </c>
      <c r="AF2556" s="21">
        <f>-$B$1811</f>
        <v/>
      </c>
      <c r="AG2556" s="21">
        <f>$B$1812</f>
        <v/>
      </c>
      <c r="AH2556" s="21" t="n">
        <v>0</v>
      </c>
      <c r="AI2556" s="21" t="n">
        <v>0</v>
      </c>
      <c r="AJ2556" s="21" t="n">
        <v>0</v>
      </c>
      <c r="AK2556" s="21" t="n">
        <v>0</v>
      </c>
      <c r="AL2556" s="21" t="n">
        <v>0</v>
      </c>
      <c r="AM2556" s="21" t="n">
        <v>0</v>
      </c>
      <c r="AN2556" s="21" t="n">
        <v>0</v>
      </c>
      <c r="AO2556" s="21" t="n">
        <v>0</v>
      </c>
      <c r="AP2556" s="21" t="n">
        <v>0</v>
      </c>
      <c r="AQ2556" s="21" t="n">
        <v>0</v>
      </c>
      <c r="AR2556" s="21" t="n">
        <v>0</v>
      </c>
      <c r="AS2556" s="21" t="n">
        <v>0</v>
      </c>
      <c r="AT2556" s="19" t="n"/>
    </row>
    <row r="2557">
      <c r="D2557" s="21" t="n">
        <v>0</v>
      </c>
      <c r="E2557" s="21" t="n">
        <v>0</v>
      </c>
      <c r="F2557" s="21" t="n">
        <v>0</v>
      </c>
      <c r="G2557" s="21" t="n">
        <v>0</v>
      </c>
      <c r="H2557" s="21" t="n">
        <v>0</v>
      </c>
      <c r="I2557" s="21" t="n">
        <v>0</v>
      </c>
      <c r="J2557" s="21" t="n">
        <v>0</v>
      </c>
      <c r="K2557" s="21" t="n">
        <v>0</v>
      </c>
      <c r="L2557" s="21" t="n">
        <v>0</v>
      </c>
      <c r="M2557" s="21" t="n">
        <v>0</v>
      </c>
      <c r="N2557" s="21" t="n">
        <v>0</v>
      </c>
      <c r="O2557" s="21" t="n">
        <v>0</v>
      </c>
      <c r="P2557" s="21" t="n">
        <v>0</v>
      </c>
      <c r="Q2557" s="21" t="n">
        <v>0</v>
      </c>
      <c r="R2557" s="21" t="n">
        <v>0</v>
      </c>
      <c r="S2557" s="21" t="n">
        <v>0</v>
      </c>
      <c r="T2557" s="21" t="n">
        <v>0</v>
      </c>
      <c r="U2557" s="21" t="n">
        <v>0</v>
      </c>
      <c r="V2557" s="21" t="n">
        <v>0</v>
      </c>
      <c r="W2557" s="21" t="n">
        <v>0</v>
      </c>
      <c r="X2557" s="21" t="n">
        <v>0</v>
      </c>
      <c r="Y2557" s="21" t="n">
        <v>0</v>
      </c>
      <c r="Z2557" s="21" t="n">
        <v>0</v>
      </c>
      <c r="AA2557" s="21" t="n">
        <v>0</v>
      </c>
      <c r="AB2557" s="21">
        <f>$B$1812</f>
        <v/>
      </c>
      <c r="AC2557" s="21">
        <f>$B$1814</f>
        <v/>
      </c>
      <c r="AD2557" s="21">
        <f>0</f>
        <v/>
      </c>
      <c r="AE2557" s="21">
        <f>2*$B$1813</f>
        <v/>
      </c>
      <c r="AF2557" s="21">
        <f>-$B$1812</f>
        <v/>
      </c>
      <c r="AG2557" s="21">
        <f>$B$1814</f>
        <v/>
      </c>
      <c r="AH2557" s="21" t="n">
        <v>0</v>
      </c>
      <c r="AI2557" s="21" t="n">
        <v>0</v>
      </c>
      <c r="AJ2557" s="21" t="n">
        <v>0</v>
      </c>
      <c r="AK2557" s="21" t="n">
        <v>0</v>
      </c>
      <c r="AL2557" s="21" t="n">
        <v>0</v>
      </c>
      <c r="AM2557" s="21" t="n">
        <v>0</v>
      </c>
      <c r="AN2557" s="21" t="n">
        <v>0</v>
      </c>
      <c r="AO2557" s="21" t="n">
        <v>0</v>
      </c>
      <c r="AP2557" s="21" t="n">
        <v>0</v>
      </c>
      <c r="AQ2557" s="21" t="n">
        <v>0</v>
      </c>
      <c r="AR2557" s="21" t="n">
        <v>0</v>
      </c>
      <c r="AS2557" s="21" t="n">
        <v>0</v>
      </c>
      <c r="AT2557" s="19" t="n"/>
    </row>
    <row r="2558">
      <c r="D2558" s="21" t="n">
        <v>0</v>
      </c>
      <c r="E2558" s="21" t="n">
        <v>0</v>
      </c>
      <c r="F2558" s="21" t="n">
        <v>0</v>
      </c>
      <c r="G2558" s="21" t="n">
        <v>0</v>
      </c>
      <c r="H2558" s="21" t="n">
        <v>0</v>
      </c>
      <c r="I2558" s="21" t="n">
        <v>0</v>
      </c>
      <c r="J2558" s="21" t="n">
        <v>0</v>
      </c>
      <c r="K2558" s="21" t="n">
        <v>0</v>
      </c>
      <c r="L2558" s="21" t="n">
        <v>0</v>
      </c>
      <c r="M2558" s="21" t="n">
        <v>0</v>
      </c>
      <c r="N2558" s="21" t="n">
        <v>0</v>
      </c>
      <c r="O2558" s="21" t="n">
        <v>0</v>
      </c>
      <c r="P2558" s="21" t="n">
        <v>0</v>
      </c>
      <c r="Q2558" s="21" t="n">
        <v>0</v>
      </c>
      <c r="R2558" s="21" t="n">
        <v>0</v>
      </c>
      <c r="S2558" s="21" t="n">
        <v>0</v>
      </c>
      <c r="T2558" s="21" t="n">
        <v>0</v>
      </c>
      <c r="U2558" s="21" t="n">
        <v>0</v>
      </c>
      <c r="V2558" s="21" t="n">
        <v>0</v>
      </c>
      <c r="W2558" s="21" t="n">
        <v>0</v>
      </c>
      <c r="X2558" s="21" t="n">
        <v>0</v>
      </c>
      <c r="Y2558" s="21" t="n">
        <v>0</v>
      </c>
      <c r="Z2558" s="21" t="n">
        <v>0</v>
      </c>
      <c r="AA2558" s="21" t="n">
        <v>0</v>
      </c>
      <c r="AB2558" s="21" t="n">
        <v>0</v>
      </c>
      <c r="AC2558" s="21" t="n">
        <v>0</v>
      </c>
      <c r="AD2558" s="21">
        <f>-$B$1811</f>
        <v/>
      </c>
      <c r="AE2558" s="21">
        <f>-$B$1812</f>
        <v/>
      </c>
      <c r="AF2558" s="21">
        <f>2*$B$1811+$D$2522</f>
        <v/>
      </c>
      <c r="AG2558" s="21">
        <f>0</f>
        <v/>
      </c>
      <c r="AH2558" s="21">
        <f>-$B$1811</f>
        <v/>
      </c>
      <c r="AI2558" s="21">
        <f>$B$1812</f>
        <v/>
      </c>
      <c r="AJ2558" s="21" t="n">
        <v>0</v>
      </c>
      <c r="AK2558" s="21" t="n">
        <v>0</v>
      </c>
      <c r="AL2558" s="21" t="n">
        <v>0</v>
      </c>
      <c r="AM2558" s="21" t="n">
        <v>0</v>
      </c>
      <c r="AN2558" s="21" t="n">
        <v>0</v>
      </c>
      <c r="AO2558" s="21" t="n">
        <v>0</v>
      </c>
      <c r="AP2558" s="21" t="n">
        <v>0</v>
      </c>
      <c r="AQ2558" s="21" t="n">
        <v>0</v>
      </c>
      <c r="AR2558" s="21" t="n">
        <v>0</v>
      </c>
      <c r="AS2558" s="21" t="n">
        <v>0</v>
      </c>
      <c r="AT2558" s="19" t="n"/>
    </row>
    <row r="2559">
      <c r="D2559" s="21" t="n">
        <v>0</v>
      </c>
      <c r="E2559" s="21" t="n">
        <v>0</v>
      </c>
      <c r="F2559" s="21" t="n">
        <v>0</v>
      </c>
      <c r="G2559" s="21" t="n">
        <v>0</v>
      </c>
      <c r="H2559" s="21" t="n">
        <v>0</v>
      </c>
      <c r="I2559" s="21" t="n">
        <v>0</v>
      </c>
      <c r="J2559" s="21" t="n">
        <v>0</v>
      </c>
      <c r="K2559" s="21" t="n">
        <v>0</v>
      </c>
      <c r="L2559" s="21" t="n">
        <v>0</v>
      </c>
      <c r="M2559" s="21" t="n">
        <v>0</v>
      </c>
      <c r="N2559" s="21" t="n">
        <v>0</v>
      </c>
      <c r="O2559" s="21" t="n">
        <v>0</v>
      </c>
      <c r="P2559" s="21" t="n">
        <v>0</v>
      </c>
      <c r="Q2559" s="21" t="n">
        <v>0</v>
      </c>
      <c r="R2559" s="21" t="n">
        <v>0</v>
      </c>
      <c r="S2559" s="21" t="n">
        <v>0</v>
      </c>
      <c r="T2559" s="21" t="n">
        <v>0</v>
      </c>
      <c r="U2559" s="21" t="n">
        <v>0</v>
      </c>
      <c r="V2559" s="21" t="n">
        <v>0</v>
      </c>
      <c r="W2559" s="21" t="n">
        <v>0</v>
      </c>
      <c r="X2559" s="21" t="n">
        <v>0</v>
      </c>
      <c r="Y2559" s="21" t="n">
        <v>0</v>
      </c>
      <c r="Z2559" s="21" t="n">
        <v>0</v>
      </c>
      <c r="AA2559" s="21" t="n">
        <v>0</v>
      </c>
      <c r="AB2559" s="21" t="n">
        <v>0</v>
      </c>
      <c r="AC2559" s="21" t="n">
        <v>0</v>
      </c>
      <c r="AD2559" s="21">
        <f>$B$1812</f>
        <v/>
      </c>
      <c r="AE2559" s="21">
        <f>$B$1814</f>
        <v/>
      </c>
      <c r="AF2559" s="21">
        <f>0</f>
        <v/>
      </c>
      <c r="AG2559" s="21">
        <f>2*$B$1813</f>
        <v/>
      </c>
      <c r="AH2559" s="21">
        <f>-$B$1812</f>
        <v/>
      </c>
      <c r="AI2559" s="21">
        <f>$B$1814</f>
        <v/>
      </c>
      <c r="AJ2559" s="21" t="n">
        <v>0</v>
      </c>
      <c r="AK2559" s="21" t="n">
        <v>0</v>
      </c>
      <c r="AL2559" s="21" t="n">
        <v>0</v>
      </c>
      <c r="AM2559" s="21" t="n">
        <v>0</v>
      </c>
      <c r="AN2559" s="21" t="n">
        <v>0</v>
      </c>
      <c r="AO2559" s="21" t="n">
        <v>0</v>
      </c>
      <c r="AP2559" s="21" t="n">
        <v>0</v>
      </c>
      <c r="AQ2559" s="21" t="n">
        <v>0</v>
      </c>
      <c r="AR2559" s="21" t="n">
        <v>0</v>
      </c>
      <c r="AS2559" s="21" t="n">
        <v>0</v>
      </c>
      <c r="AT2559" s="19" t="n"/>
    </row>
    <row r="2560">
      <c r="D2560" s="21" t="n">
        <v>0</v>
      </c>
      <c r="E2560" s="21" t="n">
        <v>0</v>
      </c>
      <c r="F2560" s="21" t="n">
        <v>0</v>
      </c>
      <c r="G2560" s="21" t="n">
        <v>0</v>
      </c>
      <c r="H2560" s="21" t="n">
        <v>0</v>
      </c>
      <c r="I2560" s="21" t="n">
        <v>0</v>
      </c>
      <c r="J2560" s="21" t="n">
        <v>0</v>
      </c>
      <c r="K2560" s="21" t="n">
        <v>0</v>
      </c>
      <c r="L2560" s="21" t="n">
        <v>0</v>
      </c>
      <c r="M2560" s="21" t="n">
        <v>0</v>
      </c>
      <c r="N2560" s="21" t="n">
        <v>0</v>
      </c>
      <c r="O2560" s="21" t="n">
        <v>0</v>
      </c>
      <c r="P2560" s="21" t="n">
        <v>0</v>
      </c>
      <c r="Q2560" s="21" t="n">
        <v>0</v>
      </c>
      <c r="R2560" s="21" t="n">
        <v>0</v>
      </c>
      <c r="S2560" s="21" t="n">
        <v>0</v>
      </c>
      <c r="T2560" s="21" t="n">
        <v>0</v>
      </c>
      <c r="U2560" s="21" t="n">
        <v>0</v>
      </c>
      <c r="V2560" s="21" t="n">
        <v>0</v>
      </c>
      <c r="W2560" s="21" t="n">
        <v>0</v>
      </c>
      <c r="X2560" s="21" t="n">
        <v>0</v>
      </c>
      <c r="Y2560" s="21" t="n">
        <v>0</v>
      </c>
      <c r="Z2560" s="21" t="n">
        <v>0</v>
      </c>
      <c r="AA2560" s="21" t="n">
        <v>0</v>
      </c>
      <c r="AB2560" s="21" t="n">
        <v>0</v>
      </c>
      <c r="AC2560" s="21" t="n">
        <v>0</v>
      </c>
      <c r="AD2560" s="21" t="n">
        <v>0</v>
      </c>
      <c r="AE2560" s="21" t="n">
        <v>0</v>
      </c>
      <c r="AF2560" s="21">
        <f>-$B$1811</f>
        <v/>
      </c>
      <c r="AG2560" s="21">
        <f>-$B$1812</f>
        <v/>
      </c>
      <c r="AH2560" s="21">
        <f>2*$B$1811+$D$2523</f>
        <v/>
      </c>
      <c r="AI2560" s="21">
        <f>0</f>
        <v/>
      </c>
      <c r="AJ2560" s="21">
        <f>-$B$1811</f>
        <v/>
      </c>
      <c r="AK2560" s="21">
        <f>$B$1812</f>
        <v/>
      </c>
      <c r="AL2560" s="21" t="n">
        <v>0</v>
      </c>
      <c r="AM2560" s="21" t="n">
        <v>0</v>
      </c>
      <c r="AN2560" s="21" t="n">
        <v>0</v>
      </c>
      <c r="AO2560" s="21" t="n">
        <v>0</v>
      </c>
      <c r="AP2560" s="21" t="n">
        <v>0</v>
      </c>
      <c r="AQ2560" s="21" t="n">
        <v>0</v>
      </c>
      <c r="AR2560" s="21" t="n">
        <v>0</v>
      </c>
      <c r="AS2560" s="21" t="n">
        <v>0</v>
      </c>
      <c r="AT2560" s="19" t="n"/>
    </row>
    <row r="2561">
      <c r="D2561" s="21" t="n">
        <v>0</v>
      </c>
      <c r="E2561" s="21" t="n">
        <v>0</v>
      </c>
      <c r="F2561" s="21" t="n">
        <v>0</v>
      </c>
      <c r="G2561" s="21" t="n">
        <v>0</v>
      </c>
      <c r="H2561" s="21" t="n">
        <v>0</v>
      </c>
      <c r="I2561" s="21" t="n">
        <v>0</v>
      </c>
      <c r="J2561" s="21" t="n">
        <v>0</v>
      </c>
      <c r="K2561" s="21" t="n">
        <v>0</v>
      </c>
      <c r="L2561" s="21" t="n">
        <v>0</v>
      </c>
      <c r="M2561" s="21" t="n">
        <v>0</v>
      </c>
      <c r="N2561" s="21" t="n">
        <v>0</v>
      </c>
      <c r="O2561" s="21" t="n">
        <v>0</v>
      </c>
      <c r="P2561" s="21" t="n">
        <v>0</v>
      </c>
      <c r="Q2561" s="21" t="n">
        <v>0</v>
      </c>
      <c r="R2561" s="21" t="n">
        <v>0</v>
      </c>
      <c r="S2561" s="21" t="n">
        <v>0</v>
      </c>
      <c r="T2561" s="21" t="n">
        <v>0</v>
      </c>
      <c r="U2561" s="21" t="n">
        <v>0</v>
      </c>
      <c r="V2561" s="21" t="n">
        <v>0</v>
      </c>
      <c r="W2561" s="21" t="n">
        <v>0</v>
      </c>
      <c r="X2561" s="21" t="n">
        <v>0</v>
      </c>
      <c r="Y2561" s="21" t="n">
        <v>0</v>
      </c>
      <c r="Z2561" s="21" t="n">
        <v>0</v>
      </c>
      <c r="AA2561" s="21" t="n">
        <v>0</v>
      </c>
      <c r="AB2561" s="21" t="n">
        <v>0</v>
      </c>
      <c r="AC2561" s="21" t="n">
        <v>0</v>
      </c>
      <c r="AD2561" s="21" t="n">
        <v>0</v>
      </c>
      <c r="AE2561" s="21" t="n">
        <v>0</v>
      </c>
      <c r="AF2561" s="21">
        <f>$B$1812</f>
        <v/>
      </c>
      <c r="AG2561" s="21">
        <f>$B$1814</f>
        <v/>
      </c>
      <c r="AH2561" s="21">
        <f>0</f>
        <v/>
      </c>
      <c r="AI2561" s="21">
        <f>2*$B$1813</f>
        <v/>
      </c>
      <c r="AJ2561" s="21">
        <f>-$B$1812</f>
        <v/>
      </c>
      <c r="AK2561" s="21">
        <f>$B$1814</f>
        <v/>
      </c>
      <c r="AL2561" s="21" t="n">
        <v>0</v>
      </c>
      <c r="AM2561" s="21" t="n">
        <v>0</v>
      </c>
      <c r="AN2561" s="21" t="n">
        <v>0</v>
      </c>
      <c r="AO2561" s="21" t="n">
        <v>0</v>
      </c>
      <c r="AP2561" s="21" t="n">
        <v>0</v>
      </c>
      <c r="AQ2561" s="21" t="n">
        <v>0</v>
      </c>
      <c r="AR2561" s="21" t="n">
        <v>0</v>
      </c>
      <c r="AS2561" s="21" t="n">
        <v>0</v>
      </c>
      <c r="AT2561" s="19" t="n"/>
    </row>
    <row r="2562">
      <c r="D2562" s="21" t="n">
        <v>0</v>
      </c>
      <c r="E2562" s="21" t="n">
        <v>0</v>
      </c>
      <c r="F2562" s="21" t="n">
        <v>0</v>
      </c>
      <c r="G2562" s="21" t="n">
        <v>0</v>
      </c>
      <c r="H2562" s="21" t="n">
        <v>0</v>
      </c>
      <c r="I2562" s="21" t="n">
        <v>0</v>
      </c>
      <c r="J2562" s="21" t="n">
        <v>0</v>
      </c>
      <c r="K2562" s="21" t="n">
        <v>0</v>
      </c>
      <c r="L2562" s="21" t="n">
        <v>0</v>
      </c>
      <c r="M2562" s="21" t="n">
        <v>0</v>
      </c>
      <c r="N2562" s="21" t="n">
        <v>0</v>
      </c>
      <c r="O2562" s="21" t="n">
        <v>0</v>
      </c>
      <c r="P2562" s="21" t="n">
        <v>0</v>
      </c>
      <c r="Q2562" s="21" t="n">
        <v>0</v>
      </c>
      <c r="R2562" s="21" t="n">
        <v>0</v>
      </c>
      <c r="S2562" s="21" t="n">
        <v>0</v>
      </c>
      <c r="T2562" s="21" t="n">
        <v>0</v>
      </c>
      <c r="U2562" s="21" t="n">
        <v>0</v>
      </c>
      <c r="V2562" s="21" t="n">
        <v>0</v>
      </c>
      <c r="W2562" s="21" t="n">
        <v>0</v>
      </c>
      <c r="X2562" s="21" t="n">
        <v>0</v>
      </c>
      <c r="Y2562" s="21" t="n">
        <v>0</v>
      </c>
      <c r="Z2562" s="21" t="n">
        <v>0</v>
      </c>
      <c r="AA2562" s="21" t="n">
        <v>0</v>
      </c>
      <c r="AB2562" s="21" t="n">
        <v>0</v>
      </c>
      <c r="AC2562" s="21" t="n">
        <v>0</v>
      </c>
      <c r="AD2562" s="21" t="n">
        <v>0</v>
      </c>
      <c r="AE2562" s="21" t="n">
        <v>0</v>
      </c>
      <c r="AF2562" s="21" t="n">
        <v>0</v>
      </c>
      <c r="AG2562" s="21" t="n">
        <v>0</v>
      </c>
      <c r="AH2562" s="21">
        <f>-$B$1811</f>
        <v/>
      </c>
      <c r="AI2562" s="21">
        <f>-$B$1812</f>
        <v/>
      </c>
      <c r="AJ2562" s="21">
        <f>2*$B$1811+$D$2524</f>
        <v/>
      </c>
      <c r="AK2562" s="21">
        <f>0</f>
        <v/>
      </c>
      <c r="AL2562" s="21">
        <f>-$B$1811</f>
        <v/>
      </c>
      <c r="AM2562" s="21">
        <f>$B$1812</f>
        <v/>
      </c>
      <c r="AN2562" s="21" t="n">
        <v>0</v>
      </c>
      <c r="AO2562" s="21" t="n">
        <v>0</v>
      </c>
      <c r="AP2562" s="21" t="n">
        <v>0</v>
      </c>
      <c r="AQ2562" s="21" t="n">
        <v>0</v>
      </c>
      <c r="AR2562" s="21" t="n">
        <v>0</v>
      </c>
      <c r="AS2562" s="21" t="n">
        <v>0</v>
      </c>
      <c r="AT2562" s="19" t="n"/>
    </row>
    <row r="2563">
      <c r="D2563" s="21" t="n">
        <v>0</v>
      </c>
      <c r="E2563" s="21" t="n">
        <v>0</v>
      </c>
      <c r="F2563" s="21" t="n">
        <v>0</v>
      </c>
      <c r="G2563" s="21" t="n">
        <v>0</v>
      </c>
      <c r="H2563" s="21" t="n">
        <v>0</v>
      </c>
      <c r="I2563" s="21" t="n">
        <v>0</v>
      </c>
      <c r="J2563" s="21" t="n">
        <v>0</v>
      </c>
      <c r="K2563" s="21" t="n">
        <v>0</v>
      </c>
      <c r="L2563" s="21" t="n">
        <v>0</v>
      </c>
      <c r="M2563" s="21" t="n">
        <v>0</v>
      </c>
      <c r="N2563" s="21" t="n">
        <v>0</v>
      </c>
      <c r="O2563" s="21" t="n">
        <v>0</v>
      </c>
      <c r="P2563" s="21" t="n">
        <v>0</v>
      </c>
      <c r="Q2563" s="21" t="n">
        <v>0</v>
      </c>
      <c r="R2563" s="21" t="n">
        <v>0</v>
      </c>
      <c r="S2563" s="21" t="n">
        <v>0</v>
      </c>
      <c r="T2563" s="21" t="n">
        <v>0</v>
      </c>
      <c r="U2563" s="21" t="n">
        <v>0</v>
      </c>
      <c r="V2563" s="21" t="n">
        <v>0</v>
      </c>
      <c r="W2563" s="21" t="n">
        <v>0</v>
      </c>
      <c r="X2563" s="21" t="n">
        <v>0</v>
      </c>
      <c r="Y2563" s="21" t="n">
        <v>0</v>
      </c>
      <c r="Z2563" s="21" t="n">
        <v>0</v>
      </c>
      <c r="AA2563" s="21" t="n">
        <v>0</v>
      </c>
      <c r="AB2563" s="21" t="n">
        <v>0</v>
      </c>
      <c r="AC2563" s="21" t="n">
        <v>0</v>
      </c>
      <c r="AD2563" s="21" t="n">
        <v>0</v>
      </c>
      <c r="AE2563" s="21" t="n">
        <v>0</v>
      </c>
      <c r="AF2563" s="21" t="n">
        <v>0</v>
      </c>
      <c r="AG2563" s="21" t="n">
        <v>0</v>
      </c>
      <c r="AH2563" s="21">
        <f>$B$1812</f>
        <v/>
      </c>
      <c r="AI2563" s="21">
        <f>$B$1814</f>
        <v/>
      </c>
      <c r="AJ2563" s="21">
        <f>0</f>
        <v/>
      </c>
      <c r="AK2563" s="21">
        <f>2*$B$1813</f>
        <v/>
      </c>
      <c r="AL2563" s="21">
        <f>-$B$1812</f>
        <v/>
      </c>
      <c r="AM2563" s="21">
        <f>$B$1814</f>
        <v/>
      </c>
      <c r="AN2563" s="21" t="n">
        <v>0</v>
      </c>
      <c r="AO2563" s="21" t="n">
        <v>0</v>
      </c>
      <c r="AP2563" s="21" t="n">
        <v>0</v>
      </c>
      <c r="AQ2563" s="21" t="n">
        <v>0</v>
      </c>
      <c r="AR2563" s="21" t="n">
        <v>0</v>
      </c>
      <c r="AS2563" s="21" t="n">
        <v>0</v>
      </c>
      <c r="AT2563" s="19" t="n"/>
    </row>
    <row r="2564">
      <c r="D2564" s="21" t="n">
        <v>0</v>
      </c>
      <c r="E2564" s="21" t="n">
        <v>0</v>
      </c>
      <c r="F2564" s="21" t="n">
        <v>0</v>
      </c>
      <c r="G2564" s="21" t="n">
        <v>0</v>
      </c>
      <c r="H2564" s="21" t="n">
        <v>0</v>
      </c>
      <c r="I2564" s="21" t="n">
        <v>0</v>
      </c>
      <c r="J2564" s="21" t="n">
        <v>0</v>
      </c>
      <c r="K2564" s="21" t="n">
        <v>0</v>
      </c>
      <c r="L2564" s="21" t="n">
        <v>0</v>
      </c>
      <c r="M2564" s="21" t="n">
        <v>0</v>
      </c>
      <c r="N2564" s="21" t="n">
        <v>0</v>
      </c>
      <c r="O2564" s="21" t="n">
        <v>0</v>
      </c>
      <c r="P2564" s="21" t="n">
        <v>0</v>
      </c>
      <c r="Q2564" s="21" t="n">
        <v>0</v>
      </c>
      <c r="R2564" s="21" t="n">
        <v>0</v>
      </c>
      <c r="S2564" s="21" t="n">
        <v>0</v>
      </c>
      <c r="T2564" s="21" t="n">
        <v>0</v>
      </c>
      <c r="U2564" s="21" t="n">
        <v>0</v>
      </c>
      <c r="V2564" s="21" t="n">
        <v>0</v>
      </c>
      <c r="W2564" s="21" t="n">
        <v>0</v>
      </c>
      <c r="X2564" s="21" t="n">
        <v>0</v>
      </c>
      <c r="Y2564" s="21" t="n">
        <v>0</v>
      </c>
      <c r="Z2564" s="21" t="n">
        <v>0</v>
      </c>
      <c r="AA2564" s="21" t="n">
        <v>0</v>
      </c>
      <c r="AB2564" s="21" t="n">
        <v>0</v>
      </c>
      <c r="AC2564" s="21" t="n">
        <v>0</v>
      </c>
      <c r="AD2564" s="21" t="n">
        <v>0</v>
      </c>
      <c r="AE2564" s="21" t="n">
        <v>0</v>
      </c>
      <c r="AF2564" s="21" t="n">
        <v>0</v>
      </c>
      <c r="AG2564" s="21" t="n">
        <v>0</v>
      </c>
      <c r="AH2564" s="21" t="n">
        <v>0</v>
      </c>
      <c r="AI2564" s="21" t="n">
        <v>0</v>
      </c>
      <c r="AJ2564" s="21">
        <f>-$B$1811</f>
        <v/>
      </c>
      <c r="AK2564" s="21">
        <f>-$B$1812</f>
        <v/>
      </c>
      <c r="AL2564" s="21">
        <f>2*$B$1811+$D$2525</f>
        <v/>
      </c>
      <c r="AM2564" s="21">
        <f>0</f>
        <v/>
      </c>
      <c r="AN2564" s="21">
        <f>-$B$1811</f>
        <v/>
      </c>
      <c r="AO2564" s="21">
        <f>$B$1812</f>
        <v/>
      </c>
      <c r="AP2564" s="21" t="n">
        <v>0</v>
      </c>
      <c r="AQ2564" s="21" t="n">
        <v>0</v>
      </c>
      <c r="AR2564" s="21" t="n">
        <v>0</v>
      </c>
      <c r="AS2564" s="21" t="n">
        <v>0</v>
      </c>
      <c r="AT2564" s="19" t="n"/>
    </row>
    <row r="2565">
      <c r="D2565" s="21" t="n">
        <v>0</v>
      </c>
      <c r="E2565" s="21" t="n">
        <v>0</v>
      </c>
      <c r="F2565" s="21" t="n">
        <v>0</v>
      </c>
      <c r="G2565" s="21" t="n">
        <v>0</v>
      </c>
      <c r="H2565" s="21" t="n">
        <v>0</v>
      </c>
      <c r="I2565" s="21" t="n">
        <v>0</v>
      </c>
      <c r="J2565" s="21" t="n">
        <v>0</v>
      </c>
      <c r="K2565" s="21" t="n">
        <v>0</v>
      </c>
      <c r="L2565" s="21" t="n">
        <v>0</v>
      </c>
      <c r="M2565" s="21" t="n">
        <v>0</v>
      </c>
      <c r="N2565" s="21" t="n">
        <v>0</v>
      </c>
      <c r="O2565" s="21" t="n">
        <v>0</v>
      </c>
      <c r="P2565" s="21" t="n">
        <v>0</v>
      </c>
      <c r="Q2565" s="21" t="n">
        <v>0</v>
      </c>
      <c r="R2565" s="21" t="n">
        <v>0</v>
      </c>
      <c r="S2565" s="21" t="n">
        <v>0</v>
      </c>
      <c r="T2565" s="21" t="n">
        <v>0</v>
      </c>
      <c r="U2565" s="21" t="n">
        <v>0</v>
      </c>
      <c r="V2565" s="21" t="n">
        <v>0</v>
      </c>
      <c r="W2565" s="21" t="n">
        <v>0</v>
      </c>
      <c r="X2565" s="21" t="n">
        <v>0</v>
      </c>
      <c r="Y2565" s="21" t="n">
        <v>0</v>
      </c>
      <c r="Z2565" s="21" t="n">
        <v>0</v>
      </c>
      <c r="AA2565" s="21" t="n">
        <v>0</v>
      </c>
      <c r="AB2565" s="21" t="n">
        <v>0</v>
      </c>
      <c r="AC2565" s="21" t="n">
        <v>0</v>
      </c>
      <c r="AD2565" s="21" t="n">
        <v>0</v>
      </c>
      <c r="AE2565" s="21" t="n">
        <v>0</v>
      </c>
      <c r="AF2565" s="21" t="n">
        <v>0</v>
      </c>
      <c r="AG2565" s="21" t="n">
        <v>0</v>
      </c>
      <c r="AH2565" s="21" t="n">
        <v>0</v>
      </c>
      <c r="AI2565" s="21" t="n">
        <v>0</v>
      </c>
      <c r="AJ2565" s="21">
        <f>$B$1812</f>
        <v/>
      </c>
      <c r="AK2565" s="21">
        <f>$B$1814</f>
        <v/>
      </c>
      <c r="AL2565" s="21">
        <f>0</f>
        <v/>
      </c>
      <c r="AM2565" s="21">
        <f>2*$B$1813</f>
        <v/>
      </c>
      <c r="AN2565" s="21">
        <f>-$B$1812</f>
        <v/>
      </c>
      <c r="AO2565" s="21">
        <f>$B$1814</f>
        <v/>
      </c>
      <c r="AP2565" s="21" t="n">
        <v>0</v>
      </c>
      <c r="AQ2565" s="21" t="n">
        <v>0</v>
      </c>
      <c r="AR2565" s="21" t="n">
        <v>0</v>
      </c>
      <c r="AS2565" s="21" t="n">
        <v>0</v>
      </c>
      <c r="AT2565" s="19" t="n"/>
    </row>
    <row r="2566">
      <c r="D2566" s="21" t="n">
        <v>0</v>
      </c>
      <c r="E2566" s="21" t="n">
        <v>0</v>
      </c>
      <c r="F2566" s="21" t="n">
        <v>0</v>
      </c>
      <c r="G2566" s="21" t="n">
        <v>0</v>
      </c>
      <c r="H2566" s="21" t="n">
        <v>0</v>
      </c>
      <c r="I2566" s="21" t="n">
        <v>0</v>
      </c>
      <c r="J2566" s="21" t="n">
        <v>0</v>
      </c>
      <c r="K2566" s="21" t="n">
        <v>0</v>
      </c>
      <c r="L2566" s="21" t="n">
        <v>0</v>
      </c>
      <c r="M2566" s="21" t="n">
        <v>0</v>
      </c>
      <c r="N2566" s="21" t="n">
        <v>0</v>
      </c>
      <c r="O2566" s="21" t="n">
        <v>0</v>
      </c>
      <c r="P2566" s="21" t="n">
        <v>0</v>
      </c>
      <c r="Q2566" s="21" t="n">
        <v>0</v>
      </c>
      <c r="R2566" s="21" t="n">
        <v>0</v>
      </c>
      <c r="S2566" s="21" t="n">
        <v>0</v>
      </c>
      <c r="T2566" s="21" t="n">
        <v>0</v>
      </c>
      <c r="U2566" s="21" t="n">
        <v>0</v>
      </c>
      <c r="V2566" s="21" t="n">
        <v>0</v>
      </c>
      <c r="W2566" s="21" t="n">
        <v>0</v>
      </c>
      <c r="X2566" s="21" t="n">
        <v>0</v>
      </c>
      <c r="Y2566" s="21" t="n">
        <v>0</v>
      </c>
      <c r="Z2566" s="21" t="n">
        <v>0</v>
      </c>
      <c r="AA2566" s="21" t="n">
        <v>0</v>
      </c>
      <c r="AB2566" s="21" t="n">
        <v>0</v>
      </c>
      <c r="AC2566" s="21" t="n">
        <v>0</v>
      </c>
      <c r="AD2566" s="21" t="n">
        <v>0</v>
      </c>
      <c r="AE2566" s="21" t="n">
        <v>0</v>
      </c>
      <c r="AF2566" s="21" t="n">
        <v>0</v>
      </c>
      <c r="AG2566" s="21" t="n">
        <v>0</v>
      </c>
      <c r="AH2566" s="21" t="n">
        <v>0</v>
      </c>
      <c r="AI2566" s="21" t="n">
        <v>0</v>
      </c>
      <c r="AJ2566" s="21" t="n">
        <v>0</v>
      </c>
      <c r="AK2566" s="21" t="n">
        <v>0</v>
      </c>
      <c r="AL2566" s="21">
        <f>-$B$1811</f>
        <v/>
      </c>
      <c r="AM2566" s="21">
        <f>-$B$1812</f>
        <v/>
      </c>
      <c r="AN2566" s="21">
        <f>2*$B$1811+$D$2526</f>
        <v/>
      </c>
      <c r="AO2566" s="21">
        <f>0</f>
        <v/>
      </c>
      <c r="AP2566" s="21">
        <f>-$B$1811</f>
        <v/>
      </c>
      <c r="AQ2566" s="21">
        <f>$B$1812</f>
        <v/>
      </c>
      <c r="AR2566" s="21" t="n">
        <v>0</v>
      </c>
      <c r="AS2566" s="21" t="n">
        <v>0</v>
      </c>
      <c r="AT2566" s="19" t="n"/>
    </row>
    <row r="2567">
      <c r="D2567" s="21" t="n">
        <v>0</v>
      </c>
      <c r="E2567" s="21" t="n">
        <v>0</v>
      </c>
      <c r="F2567" s="21" t="n">
        <v>0</v>
      </c>
      <c r="G2567" s="21" t="n">
        <v>0</v>
      </c>
      <c r="H2567" s="21" t="n">
        <v>0</v>
      </c>
      <c r="I2567" s="21" t="n">
        <v>0</v>
      </c>
      <c r="J2567" s="21" t="n">
        <v>0</v>
      </c>
      <c r="K2567" s="21" t="n">
        <v>0</v>
      </c>
      <c r="L2567" s="21" t="n">
        <v>0</v>
      </c>
      <c r="M2567" s="21" t="n">
        <v>0</v>
      </c>
      <c r="N2567" s="21" t="n">
        <v>0</v>
      </c>
      <c r="O2567" s="21" t="n">
        <v>0</v>
      </c>
      <c r="P2567" s="21" t="n">
        <v>0</v>
      </c>
      <c r="Q2567" s="21" t="n">
        <v>0</v>
      </c>
      <c r="R2567" s="21" t="n">
        <v>0</v>
      </c>
      <c r="S2567" s="21" t="n">
        <v>0</v>
      </c>
      <c r="T2567" s="21" t="n">
        <v>0</v>
      </c>
      <c r="U2567" s="21" t="n">
        <v>0</v>
      </c>
      <c r="V2567" s="21" t="n">
        <v>0</v>
      </c>
      <c r="W2567" s="21" t="n">
        <v>0</v>
      </c>
      <c r="X2567" s="21" t="n">
        <v>0</v>
      </c>
      <c r="Y2567" s="21" t="n">
        <v>0</v>
      </c>
      <c r="Z2567" s="21" t="n">
        <v>0</v>
      </c>
      <c r="AA2567" s="21" t="n">
        <v>0</v>
      </c>
      <c r="AB2567" s="21" t="n">
        <v>0</v>
      </c>
      <c r="AC2567" s="21" t="n">
        <v>0</v>
      </c>
      <c r="AD2567" s="21" t="n">
        <v>0</v>
      </c>
      <c r="AE2567" s="21" t="n">
        <v>0</v>
      </c>
      <c r="AF2567" s="21" t="n">
        <v>0</v>
      </c>
      <c r="AG2567" s="21" t="n">
        <v>0</v>
      </c>
      <c r="AH2567" s="21" t="n">
        <v>0</v>
      </c>
      <c r="AI2567" s="21" t="n">
        <v>0</v>
      </c>
      <c r="AJ2567" s="21" t="n">
        <v>0</v>
      </c>
      <c r="AK2567" s="21" t="n">
        <v>0</v>
      </c>
      <c r="AL2567" s="21">
        <f>$B$1812</f>
        <v/>
      </c>
      <c r="AM2567" s="21">
        <f>$B$1814</f>
        <v/>
      </c>
      <c r="AN2567" s="21">
        <f>0</f>
        <v/>
      </c>
      <c r="AO2567" s="21">
        <f>2*$B$1813</f>
        <v/>
      </c>
      <c r="AP2567" s="21">
        <f>-$B$1812</f>
        <v/>
      </c>
      <c r="AQ2567" s="21">
        <f>$B$1814</f>
        <v/>
      </c>
      <c r="AR2567" s="21" t="n">
        <v>0</v>
      </c>
      <c r="AS2567" s="21" t="n">
        <v>0</v>
      </c>
      <c r="AT2567" s="19" t="n"/>
    </row>
    <row r="2568">
      <c r="D2568" s="21" t="n">
        <v>0</v>
      </c>
      <c r="E2568" s="21" t="n">
        <v>0</v>
      </c>
      <c r="F2568" s="21" t="n">
        <v>0</v>
      </c>
      <c r="G2568" s="21" t="n">
        <v>0</v>
      </c>
      <c r="H2568" s="21" t="n">
        <v>0</v>
      </c>
      <c r="I2568" s="21" t="n">
        <v>0</v>
      </c>
      <c r="J2568" s="21" t="n">
        <v>0</v>
      </c>
      <c r="K2568" s="21" t="n">
        <v>0</v>
      </c>
      <c r="L2568" s="21" t="n">
        <v>0</v>
      </c>
      <c r="M2568" s="21" t="n">
        <v>0</v>
      </c>
      <c r="N2568" s="21" t="n">
        <v>0</v>
      </c>
      <c r="O2568" s="21" t="n">
        <v>0</v>
      </c>
      <c r="P2568" s="21" t="n">
        <v>0</v>
      </c>
      <c r="Q2568" s="21" t="n">
        <v>0</v>
      </c>
      <c r="R2568" s="21" t="n">
        <v>0</v>
      </c>
      <c r="S2568" s="21" t="n">
        <v>0</v>
      </c>
      <c r="T2568" s="21" t="n">
        <v>0</v>
      </c>
      <c r="U2568" s="21" t="n">
        <v>0</v>
      </c>
      <c r="V2568" s="21" t="n">
        <v>0</v>
      </c>
      <c r="W2568" s="21" t="n">
        <v>0</v>
      </c>
      <c r="X2568" s="21" t="n">
        <v>0</v>
      </c>
      <c r="Y2568" s="21" t="n">
        <v>0</v>
      </c>
      <c r="Z2568" s="21" t="n">
        <v>0</v>
      </c>
      <c r="AA2568" s="21" t="n">
        <v>0</v>
      </c>
      <c r="AB2568" s="21" t="n">
        <v>0</v>
      </c>
      <c r="AC2568" s="21" t="n">
        <v>0</v>
      </c>
      <c r="AD2568" s="21" t="n">
        <v>0</v>
      </c>
      <c r="AE2568" s="21" t="n">
        <v>0</v>
      </c>
      <c r="AF2568" s="21" t="n">
        <v>0</v>
      </c>
      <c r="AG2568" s="21" t="n">
        <v>0</v>
      </c>
      <c r="AH2568" s="21" t="n">
        <v>0</v>
      </c>
      <c r="AI2568" s="21" t="n">
        <v>0</v>
      </c>
      <c r="AJ2568" s="21" t="n">
        <v>0</v>
      </c>
      <c r="AK2568" s="21" t="n">
        <v>0</v>
      </c>
      <c r="AL2568" s="21" t="n">
        <v>0</v>
      </c>
      <c r="AM2568" s="21" t="n">
        <v>0</v>
      </c>
      <c r="AN2568" s="21">
        <f>-$B$1811</f>
        <v/>
      </c>
      <c r="AO2568" s="21">
        <f>-$B$1812</f>
        <v/>
      </c>
      <c r="AP2568" s="21">
        <f>2*$B$1811+$D$2527</f>
        <v/>
      </c>
      <c r="AQ2568" s="21">
        <f>0</f>
        <v/>
      </c>
      <c r="AR2568" s="21">
        <f>-$B$1811</f>
        <v/>
      </c>
      <c r="AS2568" s="21">
        <f>$B$1812</f>
        <v/>
      </c>
      <c r="AT2568" s="19" t="n"/>
    </row>
    <row r="2569">
      <c r="D2569" s="21" t="n">
        <v>0</v>
      </c>
      <c r="E2569" s="21" t="n">
        <v>0</v>
      </c>
      <c r="F2569" s="21" t="n">
        <v>0</v>
      </c>
      <c r="G2569" s="21" t="n">
        <v>0</v>
      </c>
      <c r="H2569" s="21" t="n">
        <v>0</v>
      </c>
      <c r="I2569" s="21" t="n">
        <v>0</v>
      </c>
      <c r="J2569" s="21" t="n">
        <v>0</v>
      </c>
      <c r="K2569" s="21" t="n">
        <v>0</v>
      </c>
      <c r="L2569" s="21" t="n">
        <v>0</v>
      </c>
      <c r="M2569" s="21" t="n">
        <v>0</v>
      </c>
      <c r="N2569" s="21" t="n">
        <v>0</v>
      </c>
      <c r="O2569" s="21" t="n">
        <v>0</v>
      </c>
      <c r="P2569" s="21" t="n">
        <v>0</v>
      </c>
      <c r="Q2569" s="21" t="n">
        <v>0</v>
      </c>
      <c r="R2569" s="21" t="n">
        <v>0</v>
      </c>
      <c r="S2569" s="21" t="n">
        <v>0</v>
      </c>
      <c r="T2569" s="21" t="n">
        <v>0</v>
      </c>
      <c r="U2569" s="21" t="n">
        <v>0</v>
      </c>
      <c r="V2569" s="21" t="n">
        <v>0</v>
      </c>
      <c r="W2569" s="21" t="n">
        <v>0</v>
      </c>
      <c r="X2569" s="21" t="n">
        <v>0</v>
      </c>
      <c r="Y2569" s="21" t="n">
        <v>0</v>
      </c>
      <c r="Z2569" s="21" t="n">
        <v>0</v>
      </c>
      <c r="AA2569" s="21" t="n">
        <v>0</v>
      </c>
      <c r="AB2569" s="21" t="n">
        <v>0</v>
      </c>
      <c r="AC2569" s="21" t="n">
        <v>0</v>
      </c>
      <c r="AD2569" s="21" t="n">
        <v>0</v>
      </c>
      <c r="AE2569" s="21" t="n">
        <v>0</v>
      </c>
      <c r="AF2569" s="21" t="n">
        <v>0</v>
      </c>
      <c r="AG2569" s="21" t="n">
        <v>0</v>
      </c>
      <c r="AH2569" s="21" t="n">
        <v>0</v>
      </c>
      <c r="AI2569" s="21" t="n">
        <v>0</v>
      </c>
      <c r="AJ2569" s="21" t="n">
        <v>0</v>
      </c>
      <c r="AK2569" s="21" t="n">
        <v>0</v>
      </c>
      <c r="AL2569" s="21" t="n">
        <v>0</v>
      </c>
      <c r="AM2569" s="21" t="n">
        <v>0</v>
      </c>
      <c r="AN2569" s="21">
        <f>$B$1812</f>
        <v/>
      </c>
      <c r="AO2569" s="21">
        <f>$B$1814</f>
        <v/>
      </c>
      <c r="AP2569" s="21">
        <f>0</f>
        <v/>
      </c>
      <c r="AQ2569" s="21">
        <f>2*$B$1813</f>
        <v/>
      </c>
      <c r="AR2569" s="21">
        <f>-$B$1812</f>
        <v/>
      </c>
      <c r="AS2569" s="21">
        <f>$B$1814</f>
        <v/>
      </c>
      <c r="AT2569" s="19" t="n"/>
    </row>
    <row r="2570">
      <c r="D2570" s="21" t="n">
        <v>0</v>
      </c>
      <c r="E2570" s="21" t="n">
        <v>0</v>
      </c>
      <c r="F2570" s="21" t="n">
        <v>0</v>
      </c>
      <c r="G2570" s="21" t="n">
        <v>0</v>
      </c>
      <c r="H2570" s="21" t="n">
        <v>0</v>
      </c>
      <c r="I2570" s="21" t="n">
        <v>0</v>
      </c>
      <c r="J2570" s="21" t="n">
        <v>0</v>
      </c>
      <c r="K2570" s="21" t="n">
        <v>0</v>
      </c>
      <c r="L2570" s="21" t="n">
        <v>0</v>
      </c>
      <c r="M2570" s="21" t="n">
        <v>0</v>
      </c>
      <c r="N2570" s="21" t="n">
        <v>0</v>
      </c>
      <c r="O2570" s="21" t="n">
        <v>0</v>
      </c>
      <c r="P2570" s="21" t="n">
        <v>0</v>
      </c>
      <c r="Q2570" s="21" t="n">
        <v>0</v>
      </c>
      <c r="R2570" s="21" t="n">
        <v>0</v>
      </c>
      <c r="S2570" s="21" t="n">
        <v>0</v>
      </c>
      <c r="T2570" s="21" t="n">
        <v>0</v>
      </c>
      <c r="U2570" s="21" t="n">
        <v>0</v>
      </c>
      <c r="V2570" s="21" t="n">
        <v>0</v>
      </c>
      <c r="W2570" s="21" t="n">
        <v>0</v>
      </c>
      <c r="X2570" s="21" t="n">
        <v>0</v>
      </c>
      <c r="Y2570" s="21" t="n">
        <v>0</v>
      </c>
      <c r="Z2570" s="21" t="n">
        <v>0</v>
      </c>
      <c r="AA2570" s="21" t="n">
        <v>0</v>
      </c>
      <c r="AB2570" s="21" t="n">
        <v>0</v>
      </c>
      <c r="AC2570" s="21" t="n">
        <v>0</v>
      </c>
      <c r="AD2570" s="21" t="n">
        <v>0</v>
      </c>
      <c r="AE2570" s="21" t="n">
        <v>0</v>
      </c>
      <c r="AF2570" s="21" t="n">
        <v>0</v>
      </c>
      <c r="AG2570" s="21" t="n">
        <v>0</v>
      </c>
      <c r="AH2570" s="21" t="n">
        <v>0</v>
      </c>
      <c r="AI2570" s="21" t="n">
        <v>0</v>
      </c>
      <c r="AJ2570" s="21" t="n">
        <v>0</v>
      </c>
      <c r="AK2570" s="21" t="n">
        <v>0</v>
      </c>
      <c r="AL2570" s="21" t="n">
        <v>0</v>
      </c>
      <c r="AM2570" s="21" t="n">
        <v>0</v>
      </c>
      <c r="AN2570" s="21" t="n">
        <v>0</v>
      </c>
      <c r="AO2570" s="21" t="n">
        <v>0</v>
      </c>
      <c r="AP2570" s="21">
        <f>-$B$1811</f>
        <v/>
      </c>
      <c r="AQ2570" s="21">
        <f>-$B$1812</f>
        <v/>
      </c>
      <c r="AR2570" s="21">
        <f>$B$1811+$D$2528</f>
        <v/>
      </c>
      <c r="AS2570" s="21">
        <f>-$B$1812</f>
        <v/>
      </c>
      <c r="AT2570" s="19" t="n"/>
    </row>
    <row r="2571">
      <c r="D2571" s="21" t="n">
        <v>0</v>
      </c>
      <c r="E2571" s="21" t="n">
        <v>0</v>
      </c>
      <c r="F2571" s="21" t="n">
        <v>0</v>
      </c>
      <c r="G2571" s="21" t="n">
        <v>0</v>
      </c>
      <c r="H2571" s="21" t="n">
        <v>0</v>
      </c>
      <c r="I2571" s="21" t="n">
        <v>0</v>
      </c>
      <c r="J2571" s="21" t="n">
        <v>0</v>
      </c>
      <c r="K2571" s="21" t="n">
        <v>0</v>
      </c>
      <c r="L2571" s="21" t="n">
        <v>0</v>
      </c>
      <c r="M2571" s="21" t="n">
        <v>0</v>
      </c>
      <c r="N2571" s="21" t="n">
        <v>0</v>
      </c>
      <c r="O2571" s="21" t="n">
        <v>0</v>
      </c>
      <c r="P2571" s="21" t="n">
        <v>0</v>
      </c>
      <c r="Q2571" s="21" t="n">
        <v>0</v>
      </c>
      <c r="R2571" s="21" t="n">
        <v>0</v>
      </c>
      <c r="S2571" s="21" t="n">
        <v>0</v>
      </c>
      <c r="T2571" s="21" t="n">
        <v>0</v>
      </c>
      <c r="U2571" s="21" t="n">
        <v>0</v>
      </c>
      <c r="V2571" s="21" t="n">
        <v>0</v>
      </c>
      <c r="W2571" s="21" t="n">
        <v>0</v>
      </c>
      <c r="X2571" s="21" t="n">
        <v>0</v>
      </c>
      <c r="Y2571" s="21" t="n">
        <v>0</v>
      </c>
      <c r="Z2571" s="21" t="n">
        <v>0</v>
      </c>
      <c r="AA2571" s="21" t="n">
        <v>0</v>
      </c>
      <c r="AB2571" s="21" t="n">
        <v>0</v>
      </c>
      <c r="AC2571" s="21" t="n">
        <v>0</v>
      </c>
      <c r="AD2571" s="21" t="n">
        <v>0</v>
      </c>
      <c r="AE2571" s="21" t="n">
        <v>0</v>
      </c>
      <c r="AF2571" s="21" t="n">
        <v>0</v>
      </c>
      <c r="AG2571" s="21" t="n">
        <v>0</v>
      </c>
      <c r="AH2571" s="21" t="n">
        <v>0</v>
      </c>
      <c r="AI2571" s="21" t="n">
        <v>0</v>
      </c>
      <c r="AJ2571" s="21" t="n">
        <v>0</v>
      </c>
      <c r="AK2571" s="21" t="n">
        <v>0</v>
      </c>
      <c r="AL2571" s="21" t="n">
        <v>0</v>
      </c>
      <c r="AM2571" s="21" t="n">
        <v>0</v>
      </c>
      <c r="AN2571" s="21" t="n">
        <v>0</v>
      </c>
      <c r="AO2571" s="21" t="n">
        <v>0</v>
      </c>
      <c r="AP2571" s="21">
        <f>$B$1812</f>
        <v/>
      </c>
      <c r="AQ2571" s="21">
        <f>$B$1814</f>
        <v/>
      </c>
      <c r="AR2571" s="21">
        <f>-$B$1812</f>
        <v/>
      </c>
      <c r="AS2571" s="21">
        <f>$B$1813</f>
        <v/>
      </c>
      <c r="AT2571" s="19" t="n"/>
    </row>
    <row r="2573">
      <c r="A2573" s="8" t="inlineStr">
        <is>
          <t>gen 11</t>
        </is>
      </c>
    </row>
    <row r="2574">
      <c r="D2574" s="19">
        <f>IF(ABS(IF(ABS($E$2508)&gt;0.000000001,$E$2508,0.000000001))=0,0,IF($E$1826&lt;=$B$1820,0,IF(ABS(IF(ABS($E$2508)&gt;0.000000001,$E$2508,0.000000001))&gt;=8*$B$1822,$H$1826,0.5*$H$1826*(ABS(IF(ABS($E$2508)&gt;0.000000001,$E$2508,0.000000001))/$B$1822)^(1/3)))/ABS(IF(ABS($E$2508)&gt;0.000000001,$E$2508,0.000000001))*$I$1826)</f>
        <v/>
      </c>
      <c r="E2574" s="19">
        <f>0.5*$E$2508+0.5*$AT$2596</f>
        <v/>
      </c>
      <c r="F2574" s="19">
        <f>$AT$2597</f>
        <v/>
      </c>
    </row>
    <row r="2575">
      <c r="D2575" s="19">
        <f>IF(ABS(IF(ABS($E$2509)&gt;0.000000001,$E$2509,0.000000001))=0,0,IF($E$1827&lt;=$B$1820,0,IF(ABS(IF(ABS($E$2509)&gt;0.000000001,$E$2509,0.000000001))&gt;=8*$B$1822,$H$1827,0.5*$H$1827*(ABS(IF(ABS($E$2509)&gt;0.000000001,$E$2509,0.000000001))/$B$1822)^(1/3)))/ABS(IF(ABS($E$2509)&gt;0.000000001,$E$2509,0.000000001))*$I$1827)</f>
        <v/>
      </c>
      <c r="E2575" s="19">
        <f>0.5*$E$2509+0.5*$AT$2598</f>
        <v/>
      </c>
      <c r="F2575" s="19">
        <f>$AT$2599</f>
        <v/>
      </c>
    </row>
    <row r="2576">
      <c r="D2576" s="19">
        <f>IF(ABS(IF(ABS($E$2510)&gt;0.000000001,$E$2510,0.000000001))=0,0,IF($E$1828&lt;=$B$1820,0,IF(ABS(IF(ABS($E$2510)&gt;0.000000001,$E$2510,0.000000001))&gt;=8*$B$1822,$H$1828,0.5*$H$1828*(ABS(IF(ABS($E$2510)&gt;0.000000001,$E$2510,0.000000001))/$B$1822)^(1/3)))/ABS(IF(ABS($E$2510)&gt;0.000000001,$E$2510,0.000000001))*$I$1828)</f>
        <v/>
      </c>
      <c r="E2576" s="19">
        <f>0.5*$E$2510+0.5*$AT$2600</f>
        <v/>
      </c>
      <c r="F2576" s="19">
        <f>$AT$2601</f>
        <v/>
      </c>
    </row>
    <row r="2577">
      <c r="D2577" s="19">
        <f>IF(ABS(IF(ABS($E$2511)&gt;0.000000001,$E$2511,0.000000001))=0,0,IF($E$1829&lt;=$B$1820,0,IF(ABS(IF(ABS($E$2511)&gt;0.000000001,$E$2511,0.000000001))&gt;=8*$B$1822,$H$1829,0.5*$H$1829*(ABS(IF(ABS($E$2511)&gt;0.000000001,$E$2511,0.000000001))/$B$1822)^(1/3)))/ABS(IF(ABS($E$2511)&gt;0.000000001,$E$2511,0.000000001))*$I$1829)</f>
        <v/>
      </c>
      <c r="E2577" s="19">
        <f>0.5*$E$2511+0.5*$AT$2602</f>
        <v/>
      </c>
      <c r="F2577" s="19">
        <f>$AT$2603</f>
        <v/>
      </c>
    </row>
    <row r="2578">
      <c r="D2578" s="19">
        <f>IF(ABS(IF(ABS($E$2512)&gt;0.000000001,$E$2512,0.000000001))=0,0,IF($E$1830&lt;=$B$1820,0,IF(ABS(IF(ABS($E$2512)&gt;0.000000001,$E$2512,0.000000001))&gt;=8*$B$1822,$H$1830,0.5*$H$1830*(ABS(IF(ABS($E$2512)&gt;0.000000001,$E$2512,0.000000001))/$B$1822)^(1/3)))/ABS(IF(ABS($E$2512)&gt;0.000000001,$E$2512,0.000000001))*$I$1830)</f>
        <v/>
      </c>
      <c r="E2578" s="19">
        <f>0.5*$E$2512+0.5*$AT$2604</f>
        <v/>
      </c>
      <c r="F2578" s="19">
        <f>$AT$2605</f>
        <v/>
      </c>
    </row>
    <row r="2579">
      <c r="D2579" s="19">
        <f>IF(ABS(IF(ABS($E$2513)&gt;0.000000001,$E$2513,0.000000001))=0,0,IF($E$1831&lt;=$B$1820,0,IF(ABS(IF(ABS($E$2513)&gt;0.000000001,$E$2513,0.000000001))&gt;=8*$B$1822,$H$1831,0.5*$H$1831*(ABS(IF(ABS($E$2513)&gt;0.000000001,$E$2513,0.000000001))/$B$1822)^(1/3)))/ABS(IF(ABS($E$2513)&gt;0.000000001,$E$2513,0.000000001))*$I$1831)</f>
        <v/>
      </c>
      <c r="E2579" s="19">
        <f>0.5*$E$2513+0.5*$AT$2606</f>
        <v/>
      </c>
      <c r="F2579" s="19">
        <f>$AT$2607</f>
        <v/>
      </c>
    </row>
    <row r="2580">
      <c r="D2580" s="19">
        <f>IF(ABS(IF(ABS($E$2514)&gt;0.000000001,$E$2514,0.000000001))=0,0,IF($E$1832&lt;=$B$1820,0,IF(ABS(IF(ABS($E$2514)&gt;0.000000001,$E$2514,0.000000001))&gt;=8*$B$1822,$H$1832,0.5*$H$1832*(ABS(IF(ABS($E$2514)&gt;0.000000001,$E$2514,0.000000001))/$B$1822)^(1/3)))/ABS(IF(ABS($E$2514)&gt;0.000000001,$E$2514,0.000000001))*$I$1832)</f>
        <v/>
      </c>
      <c r="E2580" s="19">
        <f>0.5*$E$2514+0.5*$AT$2608</f>
        <v/>
      </c>
      <c r="F2580" s="19">
        <f>$AT$2609</f>
        <v/>
      </c>
    </row>
    <row r="2581">
      <c r="D2581" s="19">
        <f>IF(ABS(IF(ABS($E$2515)&gt;0.000000001,$E$2515,0.000000001))=0,0,IF($E$1833&lt;=$B$1820,0,IF(ABS(IF(ABS($E$2515)&gt;0.000000001,$E$2515,0.000000001))&gt;=8*$B$1822,$H$1833,0.5*$H$1833*(ABS(IF(ABS($E$2515)&gt;0.000000001,$E$2515,0.000000001))/$B$1822)^(1/3)))/ABS(IF(ABS($E$2515)&gt;0.000000001,$E$2515,0.000000001))*$I$1833)</f>
        <v/>
      </c>
      <c r="E2581" s="19">
        <f>0.5*$E$2515+0.5*$AT$2610</f>
        <v/>
      </c>
      <c r="F2581" s="19">
        <f>$AT$2611</f>
        <v/>
      </c>
    </row>
    <row r="2582">
      <c r="D2582" s="19">
        <f>IF(ABS(IF(ABS($E$2516)&gt;0.000000001,$E$2516,0.000000001))=0,0,IF($E$1834&lt;=$B$1820,0,IF(ABS(IF(ABS($E$2516)&gt;0.000000001,$E$2516,0.000000001))&gt;=8*$B$1822,$H$1834,0.5*$H$1834*(ABS(IF(ABS($E$2516)&gt;0.000000001,$E$2516,0.000000001))/$B$1822)^(1/3)))/ABS(IF(ABS($E$2516)&gt;0.000000001,$E$2516,0.000000001))*$I$1834)</f>
        <v/>
      </c>
      <c r="E2582" s="19">
        <f>0.5*$E$2516+0.5*$AT$2612</f>
        <v/>
      </c>
      <c r="F2582" s="19">
        <f>$AT$2613</f>
        <v/>
      </c>
    </row>
    <row r="2583">
      <c r="D2583" s="19">
        <f>IF(ABS(IF(ABS($E$2517)&gt;0.000000001,$E$2517,0.000000001))=0,0,IF($E$1835&lt;=$B$1820,0,IF(ABS(IF(ABS($E$2517)&gt;0.000000001,$E$2517,0.000000001))&gt;=8*$B$1822,$H$1835,0.5*$H$1835*(ABS(IF(ABS($E$2517)&gt;0.000000001,$E$2517,0.000000001))/$B$1822)^(1/3)))/ABS(IF(ABS($E$2517)&gt;0.000000001,$E$2517,0.000000001))*$I$1835)</f>
        <v/>
      </c>
      <c r="E2583" s="19">
        <f>0.5*$E$2517+0.5*$AT$2614</f>
        <v/>
      </c>
      <c r="F2583" s="19">
        <f>$AT$2615</f>
        <v/>
      </c>
    </row>
    <row r="2584">
      <c r="D2584" s="19">
        <f>IF(ABS(IF(ABS($E$2518)&gt;0.000000001,$E$2518,0.000000001))=0,0,IF($E$1836&lt;=$B$1820,0,IF(ABS(IF(ABS($E$2518)&gt;0.000000001,$E$2518,0.000000001))&gt;=8*$B$1822,$H$1836,0.5*$H$1836*(ABS(IF(ABS($E$2518)&gt;0.000000001,$E$2518,0.000000001))/$B$1822)^(1/3)))/ABS(IF(ABS($E$2518)&gt;0.000000001,$E$2518,0.000000001))*$I$1836)</f>
        <v/>
      </c>
      <c r="E2584" s="19">
        <f>0.5*$E$2518+0.5*$AT$2616</f>
        <v/>
      </c>
      <c r="F2584" s="19">
        <f>$AT$2617</f>
        <v/>
      </c>
    </row>
    <row r="2585">
      <c r="D2585" s="19">
        <f>IF(ABS(IF(ABS($E$2519)&gt;0.000000001,$E$2519,0.000000001))=0,0,IF($E$1837&lt;=$B$1820,0,IF(ABS(IF(ABS($E$2519)&gt;0.000000001,$E$2519,0.000000001))&gt;=8*$B$1822,$H$1837,0.5*$H$1837*(ABS(IF(ABS($E$2519)&gt;0.000000001,$E$2519,0.000000001))/$B$1822)^(1/3)))/ABS(IF(ABS($E$2519)&gt;0.000000001,$E$2519,0.000000001))*$I$1837)</f>
        <v/>
      </c>
      <c r="E2585" s="19">
        <f>0.5*$E$2519+0.5*$AT$2618</f>
        <v/>
      </c>
      <c r="F2585" s="19">
        <f>$AT$2619</f>
        <v/>
      </c>
    </row>
    <row r="2586">
      <c r="D2586" s="19">
        <f>IF(ABS(IF(ABS($E$2520)&gt;0.000000001,$E$2520,0.000000001))=0,0,IF($E$1838&lt;=$B$1820,0,IF(ABS(IF(ABS($E$2520)&gt;0.000000001,$E$2520,0.000000001))&gt;=8*$B$1822,$H$1838,0.5*$H$1838*(ABS(IF(ABS($E$2520)&gt;0.000000001,$E$2520,0.000000001))/$B$1822)^(1/3)))/ABS(IF(ABS($E$2520)&gt;0.000000001,$E$2520,0.000000001))*$I$1838)</f>
        <v/>
      </c>
      <c r="E2586" s="19">
        <f>0.5*$E$2520+0.5*$AT$2620</f>
        <v/>
      </c>
      <c r="F2586" s="19">
        <f>$AT$2621</f>
        <v/>
      </c>
    </row>
    <row r="2587">
      <c r="D2587" s="19">
        <f>IF(ABS(IF(ABS($E$2521)&gt;0.000000001,$E$2521,0.000000001))=0,0,IF($E$1839&lt;=$B$1820,0,IF(ABS(IF(ABS($E$2521)&gt;0.000000001,$E$2521,0.000000001))&gt;=8*$B$1822,$H$1839,0.5*$H$1839*(ABS(IF(ABS($E$2521)&gt;0.000000001,$E$2521,0.000000001))/$B$1822)^(1/3)))/ABS(IF(ABS($E$2521)&gt;0.000000001,$E$2521,0.000000001))*$I$1839)</f>
        <v/>
      </c>
      <c r="E2587" s="19">
        <f>0.5*$E$2521+0.5*$AT$2622</f>
        <v/>
      </c>
      <c r="F2587" s="19">
        <f>$AT$2623</f>
        <v/>
      </c>
    </row>
    <row r="2588">
      <c r="D2588" s="19">
        <f>IF(ABS(IF(ABS($E$2522)&gt;0.000000001,$E$2522,0.000000001))=0,0,IF($E$1840&lt;=$B$1820,0,IF(ABS(IF(ABS($E$2522)&gt;0.000000001,$E$2522,0.000000001))&gt;=8*$B$1822,$H$1840,0.5*$H$1840*(ABS(IF(ABS($E$2522)&gt;0.000000001,$E$2522,0.000000001))/$B$1822)^(1/3)))/ABS(IF(ABS($E$2522)&gt;0.000000001,$E$2522,0.000000001))*$I$1840)</f>
        <v/>
      </c>
      <c r="E2588" s="19">
        <f>0.5*$E$2522+0.5*$AT$2624</f>
        <v/>
      </c>
      <c r="F2588" s="19">
        <f>$AT$2625</f>
        <v/>
      </c>
    </row>
    <row r="2589">
      <c r="D2589" s="19">
        <f>IF(ABS(IF(ABS($E$2523)&gt;0.000000001,$E$2523,0.000000001))=0,0,IF($E$1841&lt;=$B$1820,0,IF(ABS(IF(ABS($E$2523)&gt;0.000000001,$E$2523,0.000000001))&gt;=8*$B$1822,$H$1841,0.5*$H$1841*(ABS(IF(ABS($E$2523)&gt;0.000000001,$E$2523,0.000000001))/$B$1822)^(1/3)))/ABS(IF(ABS($E$2523)&gt;0.000000001,$E$2523,0.000000001))*$I$1841)</f>
        <v/>
      </c>
      <c r="E2589" s="19">
        <f>0.5*$E$2523+0.5*$AT$2626</f>
        <v/>
      </c>
      <c r="F2589" s="19">
        <f>$AT$2627</f>
        <v/>
      </c>
    </row>
    <row r="2590">
      <c r="D2590" s="19">
        <f>IF(ABS(IF(ABS($E$2524)&gt;0.000000001,$E$2524,0.000000001))=0,0,IF($E$1842&lt;=$B$1820,0,IF(ABS(IF(ABS($E$2524)&gt;0.000000001,$E$2524,0.000000001))&gt;=8*$B$1822,$H$1842,0.5*$H$1842*(ABS(IF(ABS($E$2524)&gt;0.000000001,$E$2524,0.000000001))/$B$1822)^(1/3)))/ABS(IF(ABS($E$2524)&gt;0.000000001,$E$2524,0.000000001))*$I$1842)</f>
        <v/>
      </c>
      <c r="E2590" s="19">
        <f>0.5*$E$2524+0.5*$AT$2628</f>
        <v/>
      </c>
      <c r="F2590" s="19">
        <f>$AT$2629</f>
        <v/>
      </c>
    </row>
    <row r="2591">
      <c r="D2591" s="19">
        <f>IF(ABS(IF(ABS($E$2525)&gt;0.000000001,$E$2525,0.000000001))=0,0,IF($E$1843&lt;=$B$1820,0,IF(ABS(IF(ABS($E$2525)&gt;0.000000001,$E$2525,0.000000001))&gt;=8*$B$1822,$H$1843,0.5*$H$1843*(ABS(IF(ABS($E$2525)&gt;0.000000001,$E$2525,0.000000001))/$B$1822)^(1/3)))/ABS(IF(ABS($E$2525)&gt;0.000000001,$E$2525,0.000000001))*$I$1843)</f>
        <v/>
      </c>
      <c r="E2591" s="19">
        <f>0.5*$E$2525+0.5*$AT$2630</f>
        <v/>
      </c>
      <c r="F2591" s="19">
        <f>$AT$2631</f>
        <v/>
      </c>
    </row>
    <row r="2592">
      <c r="D2592" s="19">
        <f>IF(ABS(IF(ABS($E$2526)&gt;0.000000001,$E$2526,0.000000001))=0,0,IF($E$1844&lt;=$B$1820,0,IF(ABS(IF(ABS($E$2526)&gt;0.000000001,$E$2526,0.000000001))&gt;=8*$B$1822,$H$1844,0.5*$H$1844*(ABS(IF(ABS($E$2526)&gt;0.000000001,$E$2526,0.000000001))/$B$1822)^(1/3)))/ABS(IF(ABS($E$2526)&gt;0.000000001,$E$2526,0.000000001))*$I$1844)</f>
        <v/>
      </c>
      <c r="E2592" s="19">
        <f>0.5*$E$2526+0.5*$AT$2632</f>
        <v/>
      </c>
      <c r="F2592" s="19">
        <f>$AT$2633</f>
        <v/>
      </c>
    </row>
    <row r="2593">
      <c r="D2593" s="19">
        <f>IF(ABS(IF(ABS($E$2527)&gt;0.000000001,$E$2527,0.000000001))=0,0,IF($E$1845&lt;=$B$1820,0,IF(ABS(IF(ABS($E$2527)&gt;0.000000001,$E$2527,0.000000001))&gt;=8*$B$1822,$H$1845,0.5*$H$1845*(ABS(IF(ABS($E$2527)&gt;0.000000001,$E$2527,0.000000001))/$B$1822)^(1/3)))/ABS(IF(ABS($E$2527)&gt;0.000000001,$E$2527,0.000000001))*$I$1845)</f>
        <v/>
      </c>
      <c r="E2593" s="19">
        <f>0.5*$E$2527+0.5*$AT$2634</f>
        <v/>
      </c>
      <c r="F2593" s="19">
        <f>$AT$2635</f>
        <v/>
      </c>
    </row>
    <row r="2594">
      <c r="D2594" s="19">
        <f>IF(ABS(IF(ABS($E$2528)&gt;0.000000001,$E$2528,0.000000001))=0,0,IF($E$1846&lt;=$B$1820,0,IF(ABS(IF(ABS($E$2528)&gt;0.000000001,$E$2528,0.000000001))&gt;=8*$B$1822,$H$1846,0.5*$H$1846*(ABS(IF(ABS($E$2528)&gt;0.000000001,$E$2528,0.000000001))/$B$1822)^(1/3)))/ABS(IF(ABS($E$2528)&gt;0.000000001,$E$2528,0.000000001))*$I$1846)</f>
        <v/>
      </c>
      <c r="E2594" s="19">
        <f>0.5*$E$2528+0.5*$AT$2636</f>
        <v/>
      </c>
      <c r="F2594" s="19">
        <f>$AT$2637</f>
        <v/>
      </c>
    </row>
    <row r="2596">
      <c r="D2596" s="21">
        <f>$B$1811+$D$2574</f>
        <v/>
      </c>
      <c r="E2596" s="21">
        <f>$B$1812</f>
        <v/>
      </c>
      <c r="F2596" s="21">
        <f>-$B$1811</f>
        <v/>
      </c>
      <c r="G2596" s="21">
        <f>$B$1812</f>
        <v/>
      </c>
      <c r="H2596" s="21" t="n">
        <v>0</v>
      </c>
      <c r="I2596" s="21" t="n">
        <v>0</v>
      </c>
      <c r="J2596" s="21" t="n">
        <v>0</v>
      </c>
      <c r="K2596" s="21" t="n">
        <v>0</v>
      </c>
      <c r="L2596" s="21" t="n">
        <v>0</v>
      </c>
      <c r="M2596" s="21" t="n">
        <v>0</v>
      </c>
      <c r="N2596" s="21" t="n">
        <v>0</v>
      </c>
      <c r="O2596" s="21" t="n">
        <v>0</v>
      </c>
      <c r="P2596" s="21" t="n">
        <v>0</v>
      </c>
      <c r="Q2596" s="21" t="n">
        <v>0</v>
      </c>
      <c r="R2596" s="21" t="n">
        <v>0</v>
      </c>
      <c r="S2596" s="21" t="n">
        <v>0</v>
      </c>
      <c r="T2596" s="21" t="n">
        <v>0</v>
      </c>
      <c r="U2596" s="21" t="n">
        <v>0</v>
      </c>
      <c r="V2596" s="21" t="n">
        <v>0</v>
      </c>
      <c r="W2596" s="21" t="n">
        <v>0</v>
      </c>
      <c r="X2596" s="21" t="n">
        <v>0</v>
      </c>
      <c r="Y2596" s="21" t="n">
        <v>0</v>
      </c>
      <c r="Z2596" s="21" t="n">
        <v>0</v>
      </c>
      <c r="AA2596" s="21" t="n">
        <v>0</v>
      </c>
      <c r="AB2596" s="21" t="n">
        <v>0</v>
      </c>
      <c r="AC2596" s="21" t="n">
        <v>0</v>
      </c>
      <c r="AD2596" s="21" t="n">
        <v>0</v>
      </c>
      <c r="AE2596" s="21" t="n">
        <v>0</v>
      </c>
      <c r="AF2596" s="21" t="n">
        <v>0</v>
      </c>
      <c r="AG2596" s="21" t="n">
        <v>0</v>
      </c>
      <c r="AH2596" s="21" t="n">
        <v>0</v>
      </c>
      <c r="AI2596" s="21" t="n">
        <v>0</v>
      </c>
      <c r="AJ2596" s="21" t="n">
        <v>0</v>
      </c>
      <c r="AK2596" s="21" t="n">
        <v>0</v>
      </c>
      <c r="AL2596" s="21" t="n">
        <v>0</v>
      </c>
      <c r="AM2596" s="21" t="n">
        <v>0</v>
      </c>
      <c r="AN2596" s="21" t="n">
        <v>0</v>
      </c>
      <c r="AO2596" s="21" t="n">
        <v>0</v>
      </c>
      <c r="AP2596" s="21" t="n">
        <v>0</v>
      </c>
      <c r="AQ2596" s="21" t="n">
        <v>0</v>
      </c>
      <c r="AR2596" s="21" t="n">
        <v>0</v>
      </c>
      <c r="AS2596" s="21" t="n">
        <v>0</v>
      </c>
      <c r="AT2596" s="19">
        <f t="array" ref="AT2596:AT2637">MMULT(MINVERSE($D$2596:$AS$2637),$D$1848:$D$1889)</f>
        <v/>
      </c>
    </row>
    <row r="2597">
      <c r="D2597" s="21">
        <f>$B$1812</f>
        <v/>
      </c>
      <c r="E2597" s="21">
        <f>$B$1813</f>
        <v/>
      </c>
      <c r="F2597" s="21">
        <f>-$B$1812</f>
        <v/>
      </c>
      <c r="G2597" s="21">
        <f>$B$1814</f>
        <v/>
      </c>
      <c r="H2597" s="21" t="n">
        <v>0</v>
      </c>
      <c r="I2597" s="21" t="n">
        <v>0</v>
      </c>
      <c r="J2597" s="21" t="n">
        <v>0</v>
      </c>
      <c r="K2597" s="21" t="n">
        <v>0</v>
      </c>
      <c r="L2597" s="21" t="n">
        <v>0</v>
      </c>
      <c r="M2597" s="21" t="n">
        <v>0</v>
      </c>
      <c r="N2597" s="21" t="n">
        <v>0</v>
      </c>
      <c r="O2597" s="21" t="n">
        <v>0</v>
      </c>
      <c r="P2597" s="21" t="n">
        <v>0</v>
      </c>
      <c r="Q2597" s="21" t="n">
        <v>0</v>
      </c>
      <c r="R2597" s="21" t="n">
        <v>0</v>
      </c>
      <c r="S2597" s="21" t="n">
        <v>0</v>
      </c>
      <c r="T2597" s="21" t="n">
        <v>0</v>
      </c>
      <c r="U2597" s="21" t="n">
        <v>0</v>
      </c>
      <c r="V2597" s="21" t="n">
        <v>0</v>
      </c>
      <c r="W2597" s="21" t="n">
        <v>0</v>
      </c>
      <c r="X2597" s="21" t="n">
        <v>0</v>
      </c>
      <c r="Y2597" s="21" t="n">
        <v>0</v>
      </c>
      <c r="Z2597" s="21" t="n">
        <v>0</v>
      </c>
      <c r="AA2597" s="21" t="n">
        <v>0</v>
      </c>
      <c r="AB2597" s="21" t="n">
        <v>0</v>
      </c>
      <c r="AC2597" s="21" t="n">
        <v>0</v>
      </c>
      <c r="AD2597" s="21" t="n">
        <v>0</v>
      </c>
      <c r="AE2597" s="21" t="n">
        <v>0</v>
      </c>
      <c r="AF2597" s="21" t="n">
        <v>0</v>
      </c>
      <c r="AG2597" s="21" t="n">
        <v>0</v>
      </c>
      <c r="AH2597" s="21" t="n">
        <v>0</v>
      </c>
      <c r="AI2597" s="21" t="n">
        <v>0</v>
      </c>
      <c r="AJ2597" s="21" t="n">
        <v>0</v>
      </c>
      <c r="AK2597" s="21" t="n">
        <v>0</v>
      </c>
      <c r="AL2597" s="21" t="n">
        <v>0</v>
      </c>
      <c r="AM2597" s="21" t="n">
        <v>0</v>
      </c>
      <c r="AN2597" s="21" t="n">
        <v>0</v>
      </c>
      <c r="AO2597" s="21" t="n">
        <v>0</v>
      </c>
      <c r="AP2597" s="21" t="n">
        <v>0</v>
      </c>
      <c r="AQ2597" s="21" t="n">
        <v>0</v>
      </c>
      <c r="AR2597" s="21" t="n">
        <v>0</v>
      </c>
      <c r="AS2597" s="21" t="n">
        <v>0</v>
      </c>
      <c r="AT2597" s="19" t="n"/>
    </row>
    <row r="2598">
      <c r="D2598" s="21">
        <f>-$B$1811</f>
        <v/>
      </c>
      <c r="E2598" s="21">
        <f>-$B$1812</f>
        <v/>
      </c>
      <c r="F2598" s="21">
        <f>2*$B$1811+$D$2575</f>
        <v/>
      </c>
      <c r="G2598" s="21">
        <f>0</f>
        <v/>
      </c>
      <c r="H2598" s="21">
        <f>-$B$1811</f>
        <v/>
      </c>
      <c r="I2598" s="21">
        <f>$B$1812</f>
        <v/>
      </c>
      <c r="J2598" s="21" t="n">
        <v>0</v>
      </c>
      <c r="K2598" s="21" t="n">
        <v>0</v>
      </c>
      <c r="L2598" s="21" t="n">
        <v>0</v>
      </c>
      <c r="M2598" s="21" t="n">
        <v>0</v>
      </c>
      <c r="N2598" s="21" t="n">
        <v>0</v>
      </c>
      <c r="O2598" s="21" t="n">
        <v>0</v>
      </c>
      <c r="P2598" s="21" t="n">
        <v>0</v>
      </c>
      <c r="Q2598" s="21" t="n">
        <v>0</v>
      </c>
      <c r="R2598" s="21" t="n">
        <v>0</v>
      </c>
      <c r="S2598" s="21" t="n">
        <v>0</v>
      </c>
      <c r="T2598" s="21" t="n">
        <v>0</v>
      </c>
      <c r="U2598" s="21" t="n">
        <v>0</v>
      </c>
      <c r="V2598" s="21" t="n">
        <v>0</v>
      </c>
      <c r="W2598" s="21" t="n">
        <v>0</v>
      </c>
      <c r="X2598" s="21" t="n">
        <v>0</v>
      </c>
      <c r="Y2598" s="21" t="n">
        <v>0</v>
      </c>
      <c r="Z2598" s="21" t="n">
        <v>0</v>
      </c>
      <c r="AA2598" s="21" t="n">
        <v>0</v>
      </c>
      <c r="AB2598" s="21" t="n">
        <v>0</v>
      </c>
      <c r="AC2598" s="21" t="n">
        <v>0</v>
      </c>
      <c r="AD2598" s="21" t="n">
        <v>0</v>
      </c>
      <c r="AE2598" s="21" t="n">
        <v>0</v>
      </c>
      <c r="AF2598" s="21" t="n">
        <v>0</v>
      </c>
      <c r="AG2598" s="21" t="n">
        <v>0</v>
      </c>
      <c r="AH2598" s="21" t="n">
        <v>0</v>
      </c>
      <c r="AI2598" s="21" t="n">
        <v>0</v>
      </c>
      <c r="AJ2598" s="21" t="n">
        <v>0</v>
      </c>
      <c r="AK2598" s="21" t="n">
        <v>0</v>
      </c>
      <c r="AL2598" s="21" t="n">
        <v>0</v>
      </c>
      <c r="AM2598" s="21" t="n">
        <v>0</v>
      </c>
      <c r="AN2598" s="21" t="n">
        <v>0</v>
      </c>
      <c r="AO2598" s="21" t="n">
        <v>0</v>
      </c>
      <c r="AP2598" s="21" t="n">
        <v>0</v>
      </c>
      <c r="AQ2598" s="21" t="n">
        <v>0</v>
      </c>
      <c r="AR2598" s="21" t="n">
        <v>0</v>
      </c>
      <c r="AS2598" s="21" t="n">
        <v>0</v>
      </c>
      <c r="AT2598" s="19" t="n"/>
    </row>
    <row r="2599">
      <c r="D2599" s="21">
        <f>$B$1812</f>
        <v/>
      </c>
      <c r="E2599" s="21">
        <f>$B$1814</f>
        <v/>
      </c>
      <c r="F2599" s="21">
        <f>0</f>
        <v/>
      </c>
      <c r="G2599" s="21">
        <f>2*$B$1813</f>
        <v/>
      </c>
      <c r="H2599" s="21">
        <f>-$B$1812</f>
        <v/>
      </c>
      <c r="I2599" s="21">
        <f>$B$1814</f>
        <v/>
      </c>
      <c r="J2599" s="21" t="n">
        <v>0</v>
      </c>
      <c r="K2599" s="21" t="n">
        <v>0</v>
      </c>
      <c r="L2599" s="21" t="n">
        <v>0</v>
      </c>
      <c r="M2599" s="21" t="n">
        <v>0</v>
      </c>
      <c r="N2599" s="21" t="n">
        <v>0</v>
      </c>
      <c r="O2599" s="21" t="n">
        <v>0</v>
      </c>
      <c r="P2599" s="21" t="n">
        <v>0</v>
      </c>
      <c r="Q2599" s="21" t="n">
        <v>0</v>
      </c>
      <c r="R2599" s="21" t="n">
        <v>0</v>
      </c>
      <c r="S2599" s="21" t="n">
        <v>0</v>
      </c>
      <c r="T2599" s="21" t="n">
        <v>0</v>
      </c>
      <c r="U2599" s="21" t="n">
        <v>0</v>
      </c>
      <c r="V2599" s="21" t="n">
        <v>0</v>
      </c>
      <c r="W2599" s="21" t="n">
        <v>0</v>
      </c>
      <c r="X2599" s="21" t="n">
        <v>0</v>
      </c>
      <c r="Y2599" s="21" t="n">
        <v>0</v>
      </c>
      <c r="Z2599" s="21" t="n">
        <v>0</v>
      </c>
      <c r="AA2599" s="21" t="n">
        <v>0</v>
      </c>
      <c r="AB2599" s="21" t="n">
        <v>0</v>
      </c>
      <c r="AC2599" s="21" t="n">
        <v>0</v>
      </c>
      <c r="AD2599" s="21" t="n">
        <v>0</v>
      </c>
      <c r="AE2599" s="21" t="n">
        <v>0</v>
      </c>
      <c r="AF2599" s="21" t="n">
        <v>0</v>
      </c>
      <c r="AG2599" s="21" t="n">
        <v>0</v>
      </c>
      <c r="AH2599" s="21" t="n">
        <v>0</v>
      </c>
      <c r="AI2599" s="21" t="n">
        <v>0</v>
      </c>
      <c r="AJ2599" s="21" t="n">
        <v>0</v>
      </c>
      <c r="AK2599" s="21" t="n">
        <v>0</v>
      </c>
      <c r="AL2599" s="21" t="n">
        <v>0</v>
      </c>
      <c r="AM2599" s="21" t="n">
        <v>0</v>
      </c>
      <c r="AN2599" s="21" t="n">
        <v>0</v>
      </c>
      <c r="AO2599" s="21" t="n">
        <v>0</v>
      </c>
      <c r="AP2599" s="21" t="n">
        <v>0</v>
      </c>
      <c r="AQ2599" s="21" t="n">
        <v>0</v>
      </c>
      <c r="AR2599" s="21" t="n">
        <v>0</v>
      </c>
      <c r="AS2599" s="21" t="n">
        <v>0</v>
      </c>
      <c r="AT2599" s="19" t="n"/>
    </row>
    <row r="2600">
      <c r="D2600" s="21" t="n">
        <v>0</v>
      </c>
      <c r="E2600" s="21" t="n">
        <v>0</v>
      </c>
      <c r="F2600" s="21">
        <f>-$B$1811</f>
        <v/>
      </c>
      <c r="G2600" s="21">
        <f>-$B$1812</f>
        <v/>
      </c>
      <c r="H2600" s="21">
        <f>2*$B$1811+$D$2576</f>
        <v/>
      </c>
      <c r="I2600" s="21">
        <f>0</f>
        <v/>
      </c>
      <c r="J2600" s="21">
        <f>-$B$1811</f>
        <v/>
      </c>
      <c r="K2600" s="21">
        <f>$B$1812</f>
        <v/>
      </c>
      <c r="L2600" s="21" t="n">
        <v>0</v>
      </c>
      <c r="M2600" s="21" t="n">
        <v>0</v>
      </c>
      <c r="N2600" s="21" t="n">
        <v>0</v>
      </c>
      <c r="O2600" s="21" t="n">
        <v>0</v>
      </c>
      <c r="P2600" s="21" t="n">
        <v>0</v>
      </c>
      <c r="Q2600" s="21" t="n">
        <v>0</v>
      </c>
      <c r="R2600" s="21" t="n">
        <v>0</v>
      </c>
      <c r="S2600" s="21" t="n">
        <v>0</v>
      </c>
      <c r="T2600" s="21" t="n">
        <v>0</v>
      </c>
      <c r="U2600" s="21" t="n">
        <v>0</v>
      </c>
      <c r="V2600" s="21" t="n">
        <v>0</v>
      </c>
      <c r="W2600" s="21" t="n">
        <v>0</v>
      </c>
      <c r="X2600" s="21" t="n">
        <v>0</v>
      </c>
      <c r="Y2600" s="21" t="n">
        <v>0</v>
      </c>
      <c r="Z2600" s="21" t="n">
        <v>0</v>
      </c>
      <c r="AA2600" s="21" t="n">
        <v>0</v>
      </c>
      <c r="AB2600" s="21" t="n">
        <v>0</v>
      </c>
      <c r="AC2600" s="21" t="n">
        <v>0</v>
      </c>
      <c r="AD2600" s="21" t="n">
        <v>0</v>
      </c>
      <c r="AE2600" s="21" t="n">
        <v>0</v>
      </c>
      <c r="AF2600" s="21" t="n">
        <v>0</v>
      </c>
      <c r="AG2600" s="21" t="n">
        <v>0</v>
      </c>
      <c r="AH2600" s="21" t="n">
        <v>0</v>
      </c>
      <c r="AI2600" s="21" t="n">
        <v>0</v>
      </c>
      <c r="AJ2600" s="21" t="n">
        <v>0</v>
      </c>
      <c r="AK2600" s="21" t="n">
        <v>0</v>
      </c>
      <c r="AL2600" s="21" t="n">
        <v>0</v>
      </c>
      <c r="AM2600" s="21" t="n">
        <v>0</v>
      </c>
      <c r="AN2600" s="21" t="n">
        <v>0</v>
      </c>
      <c r="AO2600" s="21" t="n">
        <v>0</v>
      </c>
      <c r="AP2600" s="21" t="n">
        <v>0</v>
      </c>
      <c r="AQ2600" s="21" t="n">
        <v>0</v>
      </c>
      <c r="AR2600" s="21" t="n">
        <v>0</v>
      </c>
      <c r="AS2600" s="21" t="n">
        <v>0</v>
      </c>
      <c r="AT2600" s="19" t="n"/>
    </row>
    <row r="2601">
      <c r="D2601" s="21" t="n">
        <v>0</v>
      </c>
      <c r="E2601" s="21" t="n">
        <v>0</v>
      </c>
      <c r="F2601" s="21">
        <f>$B$1812</f>
        <v/>
      </c>
      <c r="G2601" s="21">
        <f>$B$1814</f>
        <v/>
      </c>
      <c r="H2601" s="21">
        <f>0</f>
        <v/>
      </c>
      <c r="I2601" s="21">
        <f>2*$B$1813</f>
        <v/>
      </c>
      <c r="J2601" s="21">
        <f>-$B$1812</f>
        <v/>
      </c>
      <c r="K2601" s="21">
        <f>$B$1814</f>
        <v/>
      </c>
      <c r="L2601" s="21" t="n">
        <v>0</v>
      </c>
      <c r="M2601" s="21" t="n">
        <v>0</v>
      </c>
      <c r="N2601" s="21" t="n">
        <v>0</v>
      </c>
      <c r="O2601" s="21" t="n">
        <v>0</v>
      </c>
      <c r="P2601" s="21" t="n">
        <v>0</v>
      </c>
      <c r="Q2601" s="21" t="n">
        <v>0</v>
      </c>
      <c r="R2601" s="21" t="n">
        <v>0</v>
      </c>
      <c r="S2601" s="21" t="n">
        <v>0</v>
      </c>
      <c r="T2601" s="21" t="n">
        <v>0</v>
      </c>
      <c r="U2601" s="21" t="n">
        <v>0</v>
      </c>
      <c r="V2601" s="21" t="n">
        <v>0</v>
      </c>
      <c r="W2601" s="21" t="n">
        <v>0</v>
      </c>
      <c r="X2601" s="21" t="n">
        <v>0</v>
      </c>
      <c r="Y2601" s="21" t="n">
        <v>0</v>
      </c>
      <c r="Z2601" s="21" t="n">
        <v>0</v>
      </c>
      <c r="AA2601" s="21" t="n">
        <v>0</v>
      </c>
      <c r="AB2601" s="21" t="n">
        <v>0</v>
      </c>
      <c r="AC2601" s="21" t="n">
        <v>0</v>
      </c>
      <c r="AD2601" s="21" t="n">
        <v>0</v>
      </c>
      <c r="AE2601" s="21" t="n">
        <v>0</v>
      </c>
      <c r="AF2601" s="21" t="n">
        <v>0</v>
      </c>
      <c r="AG2601" s="21" t="n">
        <v>0</v>
      </c>
      <c r="AH2601" s="21" t="n">
        <v>0</v>
      </c>
      <c r="AI2601" s="21" t="n">
        <v>0</v>
      </c>
      <c r="AJ2601" s="21" t="n">
        <v>0</v>
      </c>
      <c r="AK2601" s="21" t="n">
        <v>0</v>
      </c>
      <c r="AL2601" s="21" t="n">
        <v>0</v>
      </c>
      <c r="AM2601" s="21" t="n">
        <v>0</v>
      </c>
      <c r="AN2601" s="21" t="n">
        <v>0</v>
      </c>
      <c r="AO2601" s="21" t="n">
        <v>0</v>
      </c>
      <c r="AP2601" s="21" t="n">
        <v>0</v>
      </c>
      <c r="AQ2601" s="21" t="n">
        <v>0</v>
      </c>
      <c r="AR2601" s="21" t="n">
        <v>0</v>
      </c>
      <c r="AS2601" s="21" t="n">
        <v>0</v>
      </c>
      <c r="AT2601" s="19" t="n"/>
    </row>
    <row r="2602">
      <c r="D2602" s="21" t="n">
        <v>0</v>
      </c>
      <c r="E2602" s="21" t="n">
        <v>0</v>
      </c>
      <c r="F2602" s="21" t="n">
        <v>0</v>
      </c>
      <c r="G2602" s="21" t="n">
        <v>0</v>
      </c>
      <c r="H2602" s="21">
        <f>-$B$1811</f>
        <v/>
      </c>
      <c r="I2602" s="21">
        <f>-$B$1812</f>
        <v/>
      </c>
      <c r="J2602" s="21">
        <f>2*$B$1811+$D$2577</f>
        <v/>
      </c>
      <c r="K2602" s="21">
        <f>0</f>
        <v/>
      </c>
      <c r="L2602" s="21">
        <f>-$B$1811</f>
        <v/>
      </c>
      <c r="M2602" s="21">
        <f>$B$1812</f>
        <v/>
      </c>
      <c r="N2602" s="21" t="n">
        <v>0</v>
      </c>
      <c r="O2602" s="21" t="n">
        <v>0</v>
      </c>
      <c r="P2602" s="21" t="n">
        <v>0</v>
      </c>
      <c r="Q2602" s="21" t="n">
        <v>0</v>
      </c>
      <c r="R2602" s="21" t="n">
        <v>0</v>
      </c>
      <c r="S2602" s="21" t="n">
        <v>0</v>
      </c>
      <c r="T2602" s="21" t="n">
        <v>0</v>
      </c>
      <c r="U2602" s="21" t="n">
        <v>0</v>
      </c>
      <c r="V2602" s="21" t="n">
        <v>0</v>
      </c>
      <c r="W2602" s="21" t="n">
        <v>0</v>
      </c>
      <c r="X2602" s="21" t="n">
        <v>0</v>
      </c>
      <c r="Y2602" s="21" t="n">
        <v>0</v>
      </c>
      <c r="Z2602" s="21" t="n">
        <v>0</v>
      </c>
      <c r="AA2602" s="21" t="n">
        <v>0</v>
      </c>
      <c r="AB2602" s="21" t="n">
        <v>0</v>
      </c>
      <c r="AC2602" s="21" t="n">
        <v>0</v>
      </c>
      <c r="AD2602" s="21" t="n">
        <v>0</v>
      </c>
      <c r="AE2602" s="21" t="n">
        <v>0</v>
      </c>
      <c r="AF2602" s="21" t="n">
        <v>0</v>
      </c>
      <c r="AG2602" s="21" t="n">
        <v>0</v>
      </c>
      <c r="AH2602" s="21" t="n">
        <v>0</v>
      </c>
      <c r="AI2602" s="21" t="n">
        <v>0</v>
      </c>
      <c r="AJ2602" s="21" t="n">
        <v>0</v>
      </c>
      <c r="AK2602" s="21" t="n">
        <v>0</v>
      </c>
      <c r="AL2602" s="21" t="n">
        <v>0</v>
      </c>
      <c r="AM2602" s="21" t="n">
        <v>0</v>
      </c>
      <c r="AN2602" s="21" t="n">
        <v>0</v>
      </c>
      <c r="AO2602" s="21" t="n">
        <v>0</v>
      </c>
      <c r="AP2602" s="21" t="n">
        <v>0</v>
      </c>
      <c r="AQ2602" s="21" t="n">
        <v>0</v>
      </c>
      <c r="AR2602" s="21" t="n">
        <v>0</v>
      </c>
      <c r="AS2602" s="21" t="n">
        <v>0</v>
      </c>
      <c r="AT2602" s="19" t="n"/>
    </row>
    <row r="2603">
      <c r="D2603" s="21" t="n">
        <v>0</v>
      </c>
      <c r="E2603" s="21" t="n">
        <v>0</v>
      </c>
      <c r="F2603" s="21" t="n">
        <v>0</v>
      </c>
      <c r="G2603" s="21" t="n">
        <v>0</v>
      </c>
      <c r="H2603" s="21">
        <f>$B$1812</f>
        <v/>
      </c>
      <c r="I2603" s="21">
        <f>$B$1814</f>
        <v/>
      </c>
      <c r="J2603" s="21">
        <f>0</f>
        <v/>
      </c>
      <c r="K2603" s="21">
        <f>2*$B$1813</f>
        <v/>
      </c>
      <c r="L2603" s="21">
        <f>-$B$1812</f>
        <v/>
      </c>
      <c r="M2603" s="21">
        <f>$B$1814</f>
        <v/>
      </c>
      <c r="N2603" s="21" t="n">
        <v>0</v>
      </c>
      <c r="O2603" s="21" t="n">
        <v>0</v>
      </c>
      <c r="P2603" s="21" t="n">
        <v>0</v>
      </c>
      <c r="Q2603" s="21" t="n">
        <v>0</v>
      </c>
      <c r="R2603" s="21" t="n">
        <v>0</v>
      </c>
      <c r="S2603" s="21" t="n">
        <v>0</v>
      </c>
      <c r="T2603" s="21" t="n">
        <v>0</v>
      </c>
      <c r="U2603" s="21" t="n">
        <v>0</v>
      </c>
      <c r="V2603" s="21" t="n">
        <v>0</v>
      </c>
      <c r="W2603" s="21" t="n">
        <v>0</v>
      </c>
      <c r="X2603" s="21" t="n">
        <v>0</v>
      </c>
      <c r="Y2603" s="21" t="n">
        <v>0</v>
      </c>
      <c r="Z2603" s="21" t="n">
        <v>0</v>
      </c>
      <c r="AA2603" s="21" t="n">
        <v>0</v>
      </c>
      <c r="AB2603" s="21" t="n">
        <v>0</v>
      </c>
      <c r="AC2603" s="21" t="n">
        <v>0</v>
      </c>
      <c r="AD2603" s="21" t="n">
        <v>0</v>
      </c>
      <c r="AE2603" s="21" t="n">
        <v>0</v>
      </c>
      <c r="AF2603" s="21" t="n">
        <v>0</v>
      </c>
      <c r="AG2603" s="21" t="n">
        <v>0</v>
      </c>
      <c r="AH2603" s="21" t="n">
        <v>0</v>
      </c>
      <c r="AI2603" s="21" t="n">
        <v>0</v>
      </c>
      <c r="AJ2603" s="21" t="n">
        <v>0</v>
      </c>
      <c r="AK2603" s="21" t="n">
        <v>0</v>
      </c>
      <c r="AL2603" s="21" t="n">
        <v>0</v>
      </c>
      <c r="AM2603" s="21" t="n">
        <v>0</v>
      </c>
      <c r="AN2603" s="21" t="n">
        <v>0</v>
      </c>
      <c r="AO2603" s="21" t="n">
        <v>0</v>
      </c>
      <c r="AP2603" s="21" t="n">
        <v>0</v>
      </c>
      <c r="AQ2603" s="21" t="n">
        <v>0</v>
      </c>
      <c r="AR2603" s="21" t="n">
        <v>0</v>
      </c>
      <c r="AS2603" s="21" t="n">
        <v>0</v>
      </c>
      <c r="AT2603" s="19" t="n"/>
    </row>
    <row r="2604">
      <c r="D2604" s="21" t="n">
        <v>0</v>
      </c>
      <c r="E2604" s="21" t="n">
        <v>0</v>
      </c>
      <c r="F2604" s="21" t="n">
        <v>0</v>
      </c>
      <c r="G2604" s="21" t="n">
        <v>0</v>
      </c>
      <c r="H2604" s="21" t="n">
        <v>0</v>
      </c>
      <c r="I2604" s="21" t="n">
        <v>0</v>
      </c>
      <c r="J2604" s="21">
        <f>-$B$1811</f>
        <v/>
      </c>
      <c r="K2604" s="21">
        <f>-$B$1812</f>
        <v/>
      </c>
      <c r="L2604" s="21">
        <f>2*$B$1811+$D$2578</f>
        <v/>
      </c>
      <c r="M2604" s="21">
        <f>0</f>
        <v/>
      </c>
      <c r="N2604" s="21">
        <f>-$B$1811</f>
        <v/>
      </c>
      <c r="O2604" s="21">
        <f>$B$1812</f>
        <v/>
      </c>
      <c r="P2604" s="21" t="n">
        <v>0</v>
      </c>
      <c r="Q2604" s="21" t="n">
        <v>0</v>
      </c>
      <c r="R2604" s="21" t="n">
        <v>0</v>
      </c>
      <c r="S2604" s="21" t="n">
        <v>0</v>
      </c>
      <c r="T2604" s="21" t="n">
        <v>0</v>
      </c>
      <c r="U2604" s="21" t="n">
        <v>0</v>
      </c>
      <c r="V2604" s="21" t="n">
        <v>0</v>
      </c>
      <c r="W2604" s="21" t="n">
        <v>0</v>
      </c>
      <c r="X2604" s="21" t="n">
        <v>0</v>
      </c>
      <c r="Y2604" s="21" t="n">
        <v>0</v>
      </c>
      <c r="Z2604" s="21" t="n">
        <v>0</v>
      </c>
      <c r="AA2604" s="21" t="n">
        <v>0</v>
      </c>
      <c r="AB2604" s="21" t="n">
        <v>0</v>
      </c>
      <c r="AC2604" s="21" t="n">
        <v>0</v>
      </c>
      <c r="AD2604" s="21" t="n">
        <v>0</v>
      </c>
      <c r="AE2604" s="21" t="n">
        <v>0</v>
      </c>
      <c r="AF2604" s="21" t="n">
        <v>0</v>
      </c>
      <c r="AG2604" s="21" t="n">
        <v>0</v>
      </c>
      <c r="AH2604" s="21" t="n">
        <v>0</v>
      </c>
      <c r="AI2604" s="21" t="n">
        <v>0</v>
      </c>
      <c r="AJ2604" s="21" t="n">
        <v>0</v>
      </c>
      <c r="AK2604" s="21" t="n">
        <v>0</v>
      </c>
      <c r="AL2604" s="21" t="n">
        <v>0</v>
      </c>
      <c r="AM2604" s="21" t="n">
        <v>0</v>
      </c>
      <c r="AN2604" s="21" t="n">
        <v>0</v>
      </c>
      <c r="AO2604" s="21" t="n">
        <v>0</v>
      </c>
      <c r="AP2604" s="21" t="n">
        <v>0</v>
      </c>
      <c r="AQ2604" s="21" t="n">
        <v>0</v>
      </c>
      <c r="AR2604" s="21" t="n">
        <v>0</v>
      </c>
      <c r="AS2604" s="21" t="n">
        <v>0</v>
      </c>
      <c r="AT2604" s="19" t="n"/>
    </row>
    <row r="2605">
      <c r="D2605" s="21" t="n">
        <v>0</v>
      </c>
      <c r="E2605" s="21" t="n">
        <v>0</v>
      </c>
      <c r="F2605" s="21" t="n">
        <v>0</v>
      </c>
      <c r="G2605" s="21" t="n">
        <v>0</v>
      </c>
      <c r="H2605" s="21" t="n">
        <v>0</v>
      </c>
      <c r="I2605" s="21" t="n">
        <v>0</v>
      </c>
      <c r="J2605" s="21">
        <f>$B$1812</f>
        <v/>
      </c>
      <c r="K2605" s="21">
        <f>$B$1814</f>
        <v/>
      </c>
      <c r="L2605" s="21">
        <f>0</f>
        <v/>
      </c>
      <c r="M2605" s="21">
        <f>2*$B$1813</f>
        <v/>
      </c>
      <c r="N2605" s="21">
        <f>-$B$1812</f>
        <v/>
      </c>
      <c r="O2605" s="21">
        <f>$B$1814</f>
        <v/>
      </c>
      <c r="P2605" s="21" t="n">
        <v>0</v>
      </c>
      <c r="Q2605" s="21" t="n">
        <v>0</v>
      </c>
      <c r="R2605" s="21" t="n">
        <v>0</v>
      </c>
      <c r="S2605" s="21" t="n">
        <v>0</v>
      </c>
      <c r="T2605" s="21" t="n">
        <v>0</v>
      </c>
      <c r="U2605" s="21" t="n">
        <v>0</v>
      </c>
      <c r="V2605" s="21" t="n">
        <v>0</v>
      </c>
      <c r="W2605" s="21" t="n">
        <v>0</v>
      </c>
      <c r="X2605" s="21" t="n">
        <v>0</v>
      </c>
      <c r="Y2605" s="21" t="n">
        <v>0</v>
      </c>
      <c r="Z2605" s="21" t="n">
        <v>0</v>
      </c>
      <c r="AA2605" s="21" t="n">
        <v>0</v>
      </c>
      <c r="AB2605" s="21" t="n">
        <v>0</v>
      </c>
      <c r="AC2605" s="21" t="n">
        <v>0</v>
      </c>
      <c r="AD2605" s="21" t="n">
        <v>0</v>
      </c>
      <c r="AE2605" s="21" t="n">
        <v>0</v>
      </c>
      <c r="AF2605" s="21" t="n">
        <v>0</v>
      </c>
      <c r="AG2605" s="21" t="n">
        <v>0</v>
      </c>
      <c r="AH2605" s="21" t="n">
        <v>0</v>
      </c>
      <c r="AI2605" s="21" t="n">
        <v>0</v>
      </c>
      <c r="AJ2605" s="21" t="n">
        <v>0</v>
      </c>
      <c r="AK2605" s="21" t="n">
        <v>0</v>
      </c>
      <c r="AL2605" s="21" t="n">
        <v>0</v>
      </c>
      <c r="AM2605" s="21" t="n">
        <v>0</v>
      </c>
      <c r="AN2605" s="21" t="n">
        <v>0</v>
      </c>
      <c r="AO2605" s="21" t="n">
        <v>0</v>
      </c>
      <c r="AP2605" s="21" t="n">
        <v>0</v>
      </c>
      <c r="AQ2605" s="21" t="n">
        <v>0</v>
      </c>
      <c r="AR2605" s="21" t="n">
        <v>0</v>
      </c>
      <c r="AS2605" s="21" t="n">
        <v>0</v>
      </c>
      <c r="AT2605" s="19" t="n"/>
    </row>
    <row r="2606">
      <c r="D2606" s="21" t="n">
        <v>0</v>
      </c>
      <c r="E2606" s="21" t="n">
        <v>0</v>
      </c>
      <c r="F2606" s="21" t="n">
        <v>0</v>
      </c>
      <c r="G2606" s="21" t="n">
        <v>0</v>
      </c>
      <c r="H2606" s="21" t="n">
        <v>0</v>
      </c>
      <c r="I2606" s="21" t="n">
        <v>0</v>
      </c>
      <c r="J2606" s="21" t="n">
        <v>0</v>
      </c>
      <c r="K2606" s="21" t="n">
        <v>0</v>
      </c>
      <c r="L2606" s="21">
        <f>-$B$1811</f>
        <v/>
      </c>
      <c r="M2606" s="21">
        <f>-$B$1812</f>
        <v/>
      </c>
      <c r="N2606" s="21">
        <f>2*$B$1811+$D$2579</f>
        <v/>
      </c>
      <c r="O2606" s="21">
        <f>0</f>
        <v/>
      </c>
      <c r="P2606" s="21">
        <f>-$B$1811</f>
        <v/>
      </c>
      <c r="Q2606" s="21">
        <f>$B$1812</f>
        <v/>
      </c>
      <c r="R2606" s="21" t="n">
        <v>0</v>
      </c>
      <c r="S2606" s="21" t="n">
        <v>0</v>
      </c>
      <c r="T2606" s="21" t="n">
        <v>0</v>
      </c>
      <c r="U2606" s="21" t="n">
        <v>0</v>
      </c>
      <c r="V2606" s="21" t="n">
        <v>0</v>
      </c>
      <c r="W2606" s="21" t="n">
        <v>0</v>
      </c>
      <c r="X2606" s="21" t="n">
        <v>0</v>
      </c>
      <c r="Y2606" s="21" t="n">
        <v>0</v>
      </c>
      <c r="Z2606" s="21" t="n">
        <v>0</v>
      </c>
      <c r="AA2606" s="21" t="n">
        <v>0</v>
      </c>
      <c r="AB2606" s="21" t="n">
        <v>0</v>
      </c>
      <c r="AC2606" s="21" t="n">
        <v>0</v>
      </c>
      <c r="AD2606" s="21" t="n">
        <v>0</v>
      </c>
      <c r="AE2606" s="21" t="n">
        <v>0</v>
      </c>
      <c r="AF2606" s="21" t="n">
        <v>0</v>
      </c>
      <c r="AG2606" s="21" t="n">
        <v>0</v>
      </c>
      <c r="AH2606" s="21" t="n">
        <v>0</v>
      </c>
      <c r="AI2606" s="21" t="n">
        <v>0</v>
      </c>
      <c r="AJ2606" s="21" t="n">
        <v>0</v>
      </c>
      <c r="AK2606" s="21" t="n">
        <v>0</v>
      </c>
      <c r="AL2606" s="21" t="n">
        <v>0</v>
      </c>
      <c r="AM2606" s="21" t="n">
        <v>0</v>
      </c>
      <c r="AN2606" s="21" t="n">
        <v>0</v>
      </c>
      <c r="AO2606" s="21" t="n">
        <v>0</v>
      </c>
      <c r="AP2606" s="21" t="n">
        <v>0</v>
      </c>
      <c r="AQ2606" s="21" t="n">
        <v>0</v>
      </c>
      <c r="AR2606" s="21" t="n">
        <v>0</v>
      </c>
      <c r="AS2606" s="21" t="n">
        <v>0</v>
      </c>
      <c r="AT2606" s="19" t="n"/>
    </row>
    <row r="2607">
      <c r="D2607" s="21" t="n">
        <v>0</v>
      </c>
      <c r="E2607" s="21" t="n">
        <v>0</v>
      </c>
      <c r="F2607" s="21" t="n">
        <v>0</v>
      </c>
      <c r="G2607" s="21" t="n">
        <v>0</v>
      </c>
      <c r="H2607" s="21" t="n">
        <v>0</v>
      </c>
      <c r="I2607" s="21" t="n">
        <v>0</v>
      </c>
      <c r="J2607" s="21" t="n">
        <v>0</v>
      </c>
      <c r="K2607" s="21" t="n">
        <v>0</v>
      </c>
      <c r="L2607" s="21">
        <f>$B$1812</f>
        <v/>
      </c>
      <c r="M2607" s="21">
        <f>$B$1814</f>
        <v/>
      </c>
      <c r="N2607" s="21">
        <f>0</f>
        <v/>
      </c>
      <c r="O2607" s="21">
        <f>2*$B$1813</f>
        <v/>
      </c>
      <c r="P2607" s="21">
        <f>-$B$1812</f>
        <v/>
      </c>
      <c r="Q2607" s="21">
        <f>$B$1814</f>
        <v/>
      </c>
      <c r="R2607" s="21" t="n">
        <v>0</v>
      </c>
      <c r="S2607" s="21" t="n">
        <v>0</v>
      </c>
      <c r="T2607" s="21" t="n">
        <v>0</v>
      </c>
      <c r="U2607" s="21" t="n">
        <v>0</v>
      </c>
      <c r="V2607" s="21" t="n">
        <v>0</v>
      </c>
      <c r="W2607" s="21" t="n">
        <v>0</v>
      </c>
      <c r="X2607" s="21" t="n">
        <v>0</v>
      </c>
      <c r="Y2607" s="21" t="n">
        <v>0</v>
      </c>
      <c r="Z2607" s="21" t="n">
        <v>0</v>
      </c>
      <c r="AA2607" s="21" t="n">
        <v>0</v>
      </c>
      <c r="AB2607" s="21" t="n">
        <v>0</v>
      </c>
      <c r="AC2607" s="21" t="n">
        <v>0</v>
      </c>
      <c r="AD2607" s="21" t="n">
        <v>0</v>
      </c>
      <c r="AE2607" s="21" t="n">
        <v>0</v>
      </c>
      <c r="AF2607" s="21" t="n">
        <v>0</v>
      </c>
      <c r="AG2607" s="21" t="n">
        <v>0</v>
      </c>
      <c r="AH2607" s="21" t="n">
        <v>0</v>
      </c>
      <c r="AI2607" s="21" t="n">
        <v>0</v>
      </c>
      <c r="AJ2607" s="21" t="n">
        <v>0</v>
      </c>
      <c r="AK2607" s="21" t="n">
        <v>0</v>
      </c>
      <c r="AL2607" s="21" t="n">
        <v>0</v>
      </c>
      <c r="AM2607" s="21" t="n">
        <v>0</v>
      </c>
      <c r="AN2607" s="21" t="n">
        <v>0</v>
      </c>
      <c r="AO2607" s="21" t="n">
        <v>0</v>
      </c>
      <c r="AP2607" s="21" t="n">
        <v>0</v>
      </c>
      <c r="AQ2607" s="21" t="n">
        <v>0</v>
      </c>
      <c r="AR2607" s="21" t="n">
        <v>0</v>
      </c>
      <c r="AS2607" s="21" t="n">
        <v>0</v>
      </c>
      <c r="AT2607" s="19" t="n"/>
    </row>
    <row r="2608">
      <c r="D2608" s="21" t="n">
        <v>0</v>
      </c>
      <c r="E2608" s="21" t="n">
        <v>0</v>
      </c>
      <c r="F2608" s="21" t="n">
        <v>0</v>
      </c>
      <c r="G2608" s="21" t="n">
        <v>0</v>
      </c>
      <c r="H2608" s="21" t="n">
        <v>0</v>
      </c>
      <c r="I2608" s="21" t="n">
        <v>0</v>
      </c>
      <c r="J2608" s="21" t="n">
        <v>0</v>
      </c>
      <c r="K2608" s="21" t="n">
        <v>0</v>
      </c>
      <c r="L2608" s="21" t="n">
        <v>0</v>
      </c>
      <c r="M2608" s="21" t="n">
        <v>0</v>
      </c>
      <c r="N2608" s="21">
        <f>-$B$1811</f>
        <v/>
      </c>
      <c r="O2608" s="21">
        <f>-$B$1812</f>
        <v/>
      </c>
      <c r="P2608" s="21">
        <f>2*$B$1811+$D$2580</f>
        <v/>
      </c>
      <c r="Q2608" s="21">
        <f>0</f>
        <v/>
      </c>
      <c r="R2608" s="21">
        <f>-$B$1811</f>
        <v/>
      </c>
      <c r="S2608" s="21">
        <f>$B$1812</f>
        <v/>
      </c>
      <c r="T2608" s="21" t="n">
        <v>0</v>
      </c>
      <c r="U2608" s="21" t="n">
        <v>0</v>
      </c>
      <c r="V2608" s="21" t="n">
        <v>0</v>
      </c>
      <c r="W2608" s="21" t="n">
        <v>0</v>
      </c>
      <c r="X2608" s="21" t="n">
        <v>0</v>
      </c>
      <c r="Y2608" s="21" t="n">
        <v>0</v>
      </c>
      <c r="Z2608" s="21" t="n">
        <v>0</v>
      </c>
      <c r="AA2608" s="21" t="n">
        <v>0</v>
      </c>
      <c r="AB2608" s="21" t="n">
        <v>0</v>
      </c>
      <c r="AC2608" s="21" t="n">
        <v>0</v>
      </c>
      <c r="AD2608" s="21" t="n">
        <v>0</v>
      </c>
      <c r="AE2608" s="21" t="n">
        <v>0</v>
      </c>
      <c r="AF2608" s="21" t="n">
        <v>0</v>
      </c>
      <c r="AG2608" s="21" t="n">
        <v>0</v>
      </c>
      <c r="AH2608" s="21" t="n">
        <v>0</v>
      </c>
      <c r="AI2608" s="21" t="n">
        <v>0</v>
      </c>
      <c r="AJ2608" s="21" t="n">
        <v>0</v>
      </c>
      <c r="AK2608" s="21" t="n">
        <v>0</v>
      </c>
      <c r="AL2608" s="21" t="n">
        <v>0</v>
      </c>
      <c r="AM2608" s="21" t="n">
        <v>0</v>
      </c>
      <c r="AN2608" s="21" t="n">
        <v>0</v>
      </c>
      <c r="AO2608" s="21" t="n">
        <v>0</v>
      </c>
      <c r="AP2608" s="21" t="n">
        <v>0</v>
      </c>
      <c r="AQ2608" s="21" t="n">
        <v>0</v>
      </c>
      <c r="AR2608" s="21" t="n">
        <v>0</v>
      </c>
      <c r="AS2608" s="21" t="n">
        <v>0</v>
      </c>
      <c r="AT2608" s="19" t="n"/>
    </row>
    <row r="2609">
      <c r="D2609" s="21" t="n">
        <v>0</v>
      </c>
      <c r="E2609" s="21" t="n">
        <v>0</v>
      </c>
      <c r="F2609" s="21" t="n">
        <v>0</v>
      </c>
      <c r="G2609" s="21" t="n">
        <v>0</v>
      </c>
      <c r="H2609" s="21" t="n">
        <v>0</v>
      </c>
      <c r="I2609" s="21" t="n">
        <v>0</v>
      </c>
      <c r="J2609" s="21" t="n">
        <v>0</v>
      </c>
      <c r="K2609" s="21" t="n">
        <v>0</v>
      </c>
      <c r="L2609" s="21" t="n">
        <v>0</v>
      </c>
      <c r="M2609" s="21" t="n">
        <v>0</v>
      </c>
      <c r="N2609" s="21">
        <f>$B$1812</f>
        <v/>
      </c>
      <c r="O2609" s="21">
        <f>$B$1814</f>
        <v/>
      </c>
      <c r="P2609" s="21">
        <f>0</f>
        <v/>
      </c>
      <c r="Q2609" s="21">
        <f>2*$B$1813</f>
        <v/>
      </c>
      <c r="R2609" s="21">
        <f>-$B$1812</f>
        <v/>
      </c>
      <c r="S2609" s="21">
        <f>$B$1814</f>
        <v/>
      </c>
      <c r="T2609" s="21" t="n">
        <v>0</v>
      </c>
      <c r="U2609" s="21" t="n">
        <v>0</v>
      </c>
      <c r="V2609" s="21" t="n">
        <v>0</v>
      </c>
      <c r="W2609" s="21" t="n">
        <v>0</v>
      </c>
      <c r="X2609" s="21" t="n">
        <v>0</v>
      </c>
      <c r="Y2609" s="21" t="n">
        <v>0</v>
      </c>
      <c r="Z2609" s="21" t="n">
        <v>0</v>
      </c>
      <c r="AA2609" s="21" t="n">
        <v>0</v>
      </c>
      <c r="AB2609" s="21" t="n">
        <v>0</v>
      </c>
      <c r="AC2609" s="21" t="n">
        <v>0</v>
      </c>
      <c r="AD2609" s="21" t="n">
        <v>0</v>
      </c>
      <c r="AE2609" s="21" t="n">
        <v>0</v>
      </c>
      <c r="AF2609" s="21" t="n">
        <v>0</v>
      </c>
      <c r="AG2609" s="21" t="n">
        <v>0</v>
      </c>
      <c r="AH2609" s="21" t="n">
        <v>0</v>
      </c>
      <c r="AI2609" s="21" t="n">
        <v>0</v>
      </c>
      <c r="AJ2609" s="21" t="n">
        <v>0</v>
      </c>
      <c r="AK2609" s="21" t="n">
        <v>0</v>
      </c>
      <c r="AL2609" s="21" t="n">
        <v>0</v>
      </c>
      <c r="AM2609" s="21" t="n">
        <v>0</v>
      </c>
      <c r="AN2609" s="21" t="n">
        <v>0</v>
      </c>
      <c r="AO2609" s="21" t="n">
        <v>0</v>
      </c>
      <c r="AP2609" s="21" t="n">
        <v>0</v>
      </c>
      <c r="AQ2609" s="21" t="n">
        <v>0</v>
      </c>
      <c r="AR2609" s="21" t="n">
        <v>0</v>
      </c>
      <c r="AS2609" s="21" t="n">
        <v>0</v>
      </c>
      <c r="AT2609" s="19" t="n"/>
    </row>
    <row r="2610">
      <c r="D2610" s="21" t="n">
        <v>0</v>
      </c>
      <c r="E2610" s="21" t="n">
        <v>0</v>
      </c>
      <c r="F2610" s="21" t="n">
        <v>0</v>
      </c>
      <c r="G2610" s="21" t="n">
        <v>0</v>
      </c>
      <c r="H2610" s="21" t="n">
        <v>0</v>
      </c>
      <c r="I2610" s="21" t="n">
        <v>0</v>
      </c>
      <c r="J2610" s="21" t="n">
        <v>0</v>
      </c>
      <c r="K2610" s="21" t="n">
        <v>0</v>
      </c>
      <c r="L2610" s="21" t="n">
        <v>0</v>
      </c>
      <c r="M2610" s="21" t="n">
        <v>0</v>
      </c>
      <c r="N2610" s="21" t="n">
        <v>0</v>
      </c>
      <c r="O2610" s="21" t="n">
        <v>0</v>
      </c>
      <c r="P2610" s="21">
        <f>-$B$1811</f>
        <v/>
      </c>
      <c r="Q2610" s="21">
        <f>-$B$1812</f>
        <v/>
      </c>
      <c r="R2610" s="21">
        <f>2*$B$1811+$D$2581</f>
        <v/>
      </c>
      <c r="S2610" s="21">
        <f>0</f>
        <v/>
      </c>
      <c r="T2610" s="21">
        <f>-$B$1811</f>
        <v/>
      </c>
      <c r="U2610" s="21">
        <f>$B$1812</f>
        <v/>
      </c>
      <c r="V2610" s="21" t="n">
        <v>0</v>
      </c>
      <c r="W2610" s="21" t="n">
        <v>0</v>
      </c>
      <c r="X2610" s="21" t="n">
        <v>0</v>
      </c>
      <c r="Y2610" s="21" t="n">
        <v>0</v>
      </c>
      <c r="Z2610" s="21" t="n">
        <v>0</v>
      </c>
      <c r="AA2610" s="21" t="n">
        <v>0</v>
      </c>
      <c r="AB2610" s="21" t="n">
        <v>0</v>
      </c>
      <c r="AC2610" s="21" t="n">
        <v>0</v>
      </c>
      <c r="AD2610" s="21" t="n">
        <v>0</v>
      </c>
      <c r="AE2610" s="21" t="n">
        <v>0</v>
      </c>
      <c r="AF2610" s="21" t="n">
        <v>0</v>
      </c>
      <c r="AG2610" s="21" t="n">
        <v>0</v>
      </c>
      <c r="AH2610" s="21" t="n">
        <v>0</v>
      </c>
      <c r="AI2610" s="21" t="n">
        <v>0</v>
      </c>
      <c r="AJ2610" s="21" t="n">
        <v>0</v>
      </c>
      <c r="AK2610" s="21" t="n">
        <v>0</v>
      </c>
      <c r="AL2610" s="21" t="n">
        <v>0</v>
      </c>
      <c r="AM2610" s="21" t="n">
        <v>0</v>
      </c>
      <c r="AN2610" s="21" t="n">
        <v>0</v>
      </c>
      <c r="AO2610" s="21" t="n">
        <v>0</v>
      </c>
      <c r="AP2610" s="21" t="n">
        <v>0</v>
      </c>
      <c r="AQ2610" s="21" t="n">
        <v>0</v>
      </c>
      <c r="AR2610" s="21" t="n">
        <v>0</v>
      </c>
      <c r="AS2610" s="21" t="n">
        <v>0</v>
      </c>
      <c r="AT2610" s="19" t="n"/>
    </row>
    <row r="2611">
      <c r="D2611" s="21" t="n">
        <v>0</v>
      </c>
      <c r="E2611" s="21" t="n">
        <v>0</v>
      </c>
      <c r="F2611" s="21" t="n">
        <v>0</v>
      </c>
      <c r="G2611" s="21" t="n">
        <v>0</v>
      </c>
      <c r="H2611" s="21" t="n">
        <v>0</v>
      </c>
      <c r="I2611" s="21" t="n">
        <v>0</v>
      </c>
      <c r="J2611" s="21" t="n">
        <v>0</v>
      </c>
      <c r="K2611" s="21" t="n">
        <v>0</v>
      </c>
      <c r="L2611" s="21" t="n">
        <v>0</v>
      </c>
      <c r="M2611" s="21" t="n">
        <v>0</v>
      </c>
      <c r="N2611" s="21" t="n">
        <v>0</v>
      </c>
      <c r="O2611" s="21" t="n">
        <v>0</v>
      </c>
      <c r="P2611" s="21">
        <f>$B$1812</f>
        <v/>
      </c>
      <c r="Q2611" s="21">
        <f>$B$1814</f>
        <v/>
      </c>
      <c r="R2611" s="21">
        <f>0</f>
        <v/>
      </c>
      <c r="S2611" s="21">
        <f>2*$B$1813</f>
        <v/>
      </c>
      <c r="T2611" s="21">
        <f>-$B$1812</f>
        <v/>
      </c>
      <c r="U2611" s="21">
        <f>$B$1814</f>
        <v/>
      </c>
      <c r="V2611" s="21" t="n">
        <v>0</v>
      </c>
      <c r="W2611" s="21" t="n">
        <v>0</v>
      </c>
      <c r="X2611" s="21" t="n">
        <v>0</v>
      </c>
      <c r="Y2611" s="21" t="n">
        <v>0</v>
      </c>
      <c r="Z2611" s="21" t="n">
        <v>0</v>
      </c>
      <c r="AA2611" s="21" t="n">
        <v>0</v>
      </c>
      <c r="AB2611" s="21" t="n">
        <v>0</v>
      </c>
      <c r="AC2611" s="21" t="n">
        <v>0</v>
      </c>
      <c r="AD2611" s="21" t="n">
        <v>0</v>
      </c>
      <c r="AE2611" s="21" t="n">
        <v>0</v>
      </c>
      <c r="AF2611" s="21" t="n">
        <v>0</v>
      </c>
      <c r="AG2611" s="21" t="n">
        <v>0</v>
      </c>
      <c r="AH2611" s="21" t="n">
        <v>0</v>
      </c>
      <c r="AI2611" s="21" t="n">
        <v>0</v>
      </c>
      <c r="AJ2611" s="21" t="n">
        <v>0</v>
      </c>
      <c r="AK2611" s="21" t="n">
        <v>0</v>
      </c>
      <c r="AL2611" s="21" t="n">
        <v>0</v>
      </c>
      <c r="AM2611" s="21" t="n">
        <v>0</v>
      </c>
      <c r="AN2611" s="21" t="n">
        <v>0</v>
      </c>
      <c r="AO2611" s="21" t="n">
        <v>0</v>
      </c>
      <c r="AP2611" s="21" t="n">
        <v>0</v>
      </c>
      <c r="AQ2611" s="21" t="n">
        <v>0</v>
      </c>
      <c r="AR2611" s="21" t="n">
        <v>0</v>
      </c>
      <c r="AS2611" s="21" t="n">
        <v>0</v>
      </c>
      <c r="AT2611" s="19" t="n"/>
    </row>
    <row r="2612">
      <c r="D2612" s="21" t="n">
        <v>0</v>
      </c>
      <c r="E2612" s="21" t="n">
        <v>0</v>
      </c>
      <c r="F2612" s="21" t="n">
        <v>0</v>
      </c>
      <c r="G2612" s="21" t="n">
        <v>0</v>
      </c>
      <c r="H2612" s="21" t="n">
        <v>0</v>
      </c>
      <c r="I2612" s="21" t="n">
        <v>0</v>
      </c>
      <c r="J2612" s="21" t="n">
        <v>0</v>
      </c>
      <c r="K2612" s="21" t="n">
        <v>0</v>
      </c>
      <c r="L2612" s="21" t="n">
        <v>0</v>
      </c>
      <c r="M2612" s="21" t="n">
        <v>0</v>
      </c>
      <c r="N2612" s="21" t="n">
        <v>0</v>
      </c>
      <c r="O2612" s="21" t="n">
        <v>0</v>
      </c>
      <c r="P2612" s="21" t="n">
        <v>0</v>
      </c>
      <c r="Q2612" s="21" t="n">
        <v>0</v>
      </c>
      <c r="R2612" s="21">
        <f>-$B$1811</f>
        <v/>
      </c>
      <c r="S2612" s="21">
        <f>-$B$1812</f>
        <v/>
      </c>
      <c r="T2612" s="21">
        <f>2*$B$1811+$D$2582</f>
        <v/>
      </c>
      <c r="U2612" s="21">
        <f>0</f>
        <v/>
      </c>
      <c r="V2612" s="21">
        <f>-$B$1811</f>
        <v/>
      </c>
      <c r="W2612" s="21">
        <f>$B$1812</f>
        <v/>
      </c>
      <c r="X2612" s="21" t="n">
        <v>0</v>
      </c>
      <c r="Y2612" s="21" t="n">
        <v>0</v>
      </c>
      <c r="Z2612" s="21" t="n">
        <v>0</v>
      </c>
      <c r="AA2612" s="21" t="n">
        <v>0</v>
      </c>
      <c r="AB2612" s="21" t="n">
        <v>0</v>
      </c>
      <c r="AC2612" s="21" t="n">
        <v>0</v>
      </c>
      <c r="AD2612" s="21" t="n">
        <v>0</v>
      </c>
      <c r="AE2612" s="21" t="n">
        <v>0</v>
      </c>
      <c r="AF2612" s="21" t="n">
        <v>0</v>
      </c>
      <c r="AG2612" s="21" t="n">
        <v>0</v>
      </c>
      <c r="AH2612" s="21" t="n">
        <v>0</v>
      </c>
      <c r="AI2612" s="21" t="n">
        <v>0</v>
      </c>
      <c r="AJ2612" s="21" t="n">
        <v>0</v>
      </c>
      <c r="AK2612" s="21" t="n">
        <v>0</v>
      </c>
      <c r="AL2612" s="21" t="n">
        <v>0</v>
      </c>
      <c r="AM2612" s="21" t="n">
        <v>0</v>
      </c>
      <c r="AN2612" s="21" t="n">
        <v>0</v>
      </c>
      <c r="AO2612" s="21" t="n">
        <v>0</v>
      </c>
      <c r="AP2612" s="21" t="n">
        <v>0</v>
      </c>
      <c r="AQ2612" s="21" t="n">
        <v>0</v>
      </c>
      <c r="AR2612" s="21" t="n">
        <v>0</v>
      </c>
      <c r="AS2612" s="21" t="n">
        <v>0</v>
      </c>
      <c r="AT2612" s="19" t="n"/>
    </row>
    <row r="2613">
      <c r="D2613" s="21" t="n">
        <v>0</v>
      </c>
      <c r="E2613" s="21" t="n">
        <v>0</v>
      </c>
      <c r="F2613" s="21" t="n">
        <v>0</v>
      </c>
      <c r="G2613" s="21" t="n">
        <v>0</v>
      </c>
      <c r="H2613" s="21" t="n">
        <v>0</v>
      </c>
      <c r="I2613" s="21" t="n">
        <v>0</v>
      </c>
      <c r="J2613" s="21" t="n">
        <v>0</v>
      </c>
      <c r="K2613" s="21" t="n">
        <v>0</v>
      </c>
      <c r="L2613" s="21" t="n">
        <v>0</v>
      </c>
      <c r="M2613" s="21" t="n">
        <v>0</v>
      </c>
      <c r="N2613" s="21" t="n">
        <v>0</v>
      </c>
      <c r="O2613" s="21" t="n">
        <v>0</v>
      </c>
      <c r="P2613" s="21" t="n">
        <v>0</v>
      </c>
      <c r="Q2613" s="21" t="n">
        <v>0</v>
      </c>
      <c r="R2613" s="21">
        <f>$B$1812</f>
        <v/>
      </c>
      <c r="S2613" s="21">
        <f>$B$1814</f>
        <v/>
      </c>
      <c r="T2613" s="21">
        <f>0</f>
        <v/>
      </c>
      <c r="U2613" s="21">
        <f>2*$B$1813</f>
        <v/>
      </c>
      <c r="V2613" s="21">
        <f>-$B$1812</f>
        <v/>
      </c>
      <c r="W2613" s="21">
        <f>$B$1814</f>
        <v/>
      </c>
      <c r="X2613" s="21" t="n">
        <v>0</v>
      </c>
      <c r="Y2613" s="21" t="n">
        <v>0</v>
      </c>
      <c r="Z2613" s="21" t="n">
        <v>0</v>
      </c>
      <c r="AA2613" s="21" t="n">
        <v>0</v>
      </c>
      <c r="AB2613" s="21" t="n">
        <v>0</v>
      </c>
      <c r="AC2613" s="21" t="n">
        <v>0</v>
      </c>
      <c r="AD2613" s="21" t="n">
        <v>0</v>
      </c>
      <c r="AE2613" s="21" t="n">
        <v>0</v>
      </c>
      <c r="AF2613" s="21" t="n">
        <v>0</v>
      </c>
      <c r="AG2613" s="21" t="n">
        <v>0</v>
      </c>
      <c r="AH2613" s="21" t="n">
        <v>0</v>
      </c>
      <c r="AI2613" s="21" t="n">
        <v>0</v>
      </c>
      <c r="AJ2613" s="21" t="n">
        <v>0</v>
      </c>
      <c r="AK2613" s="21" t="n">
        <v>0</v>
      </c>
      <c r="AL2613" s="21" t="n">
        <v>0</v>
      </c>
      <c r="AM2613" s="21" t="n">
        <v>0</v>
      </c>
      <c r="AN2613" s="21" t="n">
        <v>0</v>
      </c>
      <c r="AO2613" s="21" t="n">
        <v>0</v>
      </c>
      <c r="AP2613" s="21" t="n">
        <v>0</v>
      </c>
      <c r="AQ2613" s="21" t="n">
        <v>0</v>
      </c>
      <c r="AR2613" s="21" t="n">
        <v>0</v>
      </c>
      <c r="AS2613" s="21" t="n">
        <v>0</v>
      </c>
      <c r="AT2613" s="19" t="n"/>
    </row>
    <row r="2614">
      <c r="D2614" s="21" t="n">
        <v>0</v>
      </c>
      <c r="E2614" s="21" t="n">
        <v>0</v>
      </c>
      <c r="F2614" s="21" t="n">
        <v>0</v>
      </c>
      <c r="G2614" s="21" t="n">
        <v>0</v>
      </c>
      <c r="H2614" s="21" t="n">
        <v>0</v>
      </c>
      <c r="I2614" s="21" t="n">
        <v>0</v>
      </c>
      <c r="J2614" s="21" t="n">
        <v>0</v>
      </c>
      <c r="K2614" s="21" t="n">
        <v>0</v>
      </c>
      <c r="L2614" s="21" t="n">
        <v>0</v>
      </c>
      <c r="M2614" s="21" t="n">
        <v>0</v>
      </c>
      <c r="N2614" s="21" t="n">
        <v>0</v>
      </c>
      <c r="O2614" s="21" t="n">
        <v>0</v>
      </c>
      <c r="P2614" s="21" t="n">
        <v>0</v>
      </c>
      <c r="Q2614" s="21" t="n">
        <v>0</v>
      </c>
      <c r="R2614" s="21" t="n">
        <v>0</v>
      </c>
      <c r="S2614" s="21" t="n">
        <v>0</v>
      </c>
      <c r="T2614" s="21">
        <f>-$B$1811</f>
        <v/>
      </c>
      <c r="U2614" s="21">
        <f>-$B$1812</f>
        <v/>
      </c>
      <c r="V2614" s="21">
        <f>2*$B$1811+$D$2583</f>
        <v/>
      </c>
      <c r="W2614" s="21">
        <f>0</f>
        <v/>
      </c>
      <c r="X2614" s="21">
        <f>-$B$1811</f>
        <v/>
      </c>
      <c r="Y2614" s="21">
        <f>$B$1812</f>
        <v/>
      </c>
      <c r="Z2614" s="21" t="n">
        <v>0</v>
      </c>
      <c r="AA2614" s="21" t="n">
        <v>0</v>
      </c>
      <c r="AB2614" s="21" t="n">
        <v>0</v>
      </c>
      <c r="AC2614" s="21" t="n">
        <v>0</v>
      </c>
      <c r="AD2614" s="21" t="n">
        <v>0</v>
      </c>
      <c r="AE2614" s="21" t="n">
        <v>0</v>
      </c>
      <c r="AF2614" s="21" t="n">
        <v>0</v>
      </c>
      <c r="AG2614" s="21" t="n">
        <v>0</v>
      </c>
      <c r="AH2614" s="21" t="n">
        <v>0</v>
      </c>
      <c r="AI2614" s="21" t="n">
        <v>0</v>
      </c>
      <c r="AJ2614" s="21" t="n">
        <v>0</v>
      </c>
      <c r="AK2614" s="21" t="n">
        <v>0</v>
      </c>
      <c r="AL2614" s="21" t="n">
        <v>0</v>
      </c>
      <c r="AM2614" s="21" t="n">
        <v>0</v>
      </c>
      <c r="AN2614" s="21" t="n">
        <v>0</v>
      </c>
      <c r="AO2614" s="21" t="n">
        <v>0</v>
      </c>
      <c r="AP2614" s="21" t="n">
        <v>0</v>
      </c>
      <c r="AQ2614" s="21" t="n">
        <v>0</v>
      </c>
      <c r="AR2614" s="21" t="n">
        <v>0</v>
      </c>
      <c r="AS2614" s="21" t="n">
        <v>0</v>
      </c>
      <c r="AT2614" s="19" t="n"/>
    </row>
    <row r="2615">
      <c r="D2615" s="21" t="n">
        <v>0</v>
      </c>
      <c r="E2615" s="21" t="n">
        <v>0</v>
      </c>
      <c r="F2615" s="21" t="n">
        <v>0</v>
      </c>
      <c r="G2615" s="21" t="n">
        <v>0</v>
      </c>
      <c r="H2615" s="21" t="n">
        <v>0</v>
      </c>
      <c r="I2615" s="21" t="n">
        <v>0</v>
      </c>
      <c r="J2615" s="21" t="n">
        <v>0</v>
      </c>
      <c r="K2615" s="21" t="n">
        <v>0</v>
      </c>
      <c r="L2615" s="21" t="n">
        <v>0</v>
      </c>
      <c r="M2615" s="21" t="n">
        <v>0</v>
      </c>
      <c r="N2615" s="21" t="n">
        <v>0</v>
      </c>
      <c r="O2615" s="21" t="n">
        <v>0</v>
      </c>
      <c r="P2615" s="21" t="n">
        <v>0</v>
      </c>
      <c r="Q2615" s="21" t="n">
        <v>0</v>
      </c>
      <c r="R2615" s="21" t="n">
        <v>0</v>
      </c>
      <c r="S2615" s="21" t="n">
        <v>0</v>
      </c>
      <c r="T2615" s="21">
        <f>$B$1812</f>
        <v/>
      </c>
      <c r="U2615" s="21">
        <f>$B$1814</f>
        <v/>
      </c>
      <c r="V2615" s="21">
        <f>0</f>
        <v/>
      </c>
      <c r="W2615" s="21">
        <f>2*$B$1813</f>
        <v/>
      </c>
      <c r="X2615" s="21">
        <f>-$B$1812</f>
        <v/>
      </c>
      <c r="Y2615" s="21">
        <f>$B$1814</f>
        <v/>
      </c>
      <c r="Z2615" s="21" t="n">
        <v>0</v>
      </c>
      <c r="AA2615" s="21" t="n">
        <v>0</v>
      </c>
      <c r="AB2615" s="21" t="n">
        <v>0</v>
      </c>
      <c r="AC2615" s="21" t="n">
        <v>0</v>
      </c>
      <c r="AD2615" s="21" t="n">
        <v>0</v>
      </c>
      <c r="AE2615" s="21" t="n">
        <v>0</v>
      </c>
      <c r="AF2615" s="21" t="n">
        <v>0</v>
      </c>
      <c r="AG2615" s="21" t="n">
        <v>0</v>
      </c>
      <c r="AH2615" s="21" t="n">
        <v>0</v>
      </c>
      <c r="AI2615" s="21" t="n">
        <v>0</v>
      </c>
      <c r="AJ2615" s="21" t="n">
        <v>0</v>
      </c>
      <c r="AK2615" s="21" t="n">
        <v>0</v>
      </c>
      <c r="AL2615" s="21" t="n">
        <v>0</v>
      </c>
      <c r="AM2615" s="21" t="n">
        <v>0</v>
      </c>
      <c r="AN2615" s="21" t="n">
        <v>0</v>
      </c>
      <c r="AO2615" s="21" t="n">
        <v>0</v>
      </c>
      <c r="AP2615" s="21" t="n">
        <v>0</v>
      </c>
      <c r="AQ2615" s="21" t="n">
        <v>0</v>
      </c>
      <c r="AR2615" s="21" t="n">
        <v>0</v>
      </c>
      <c r="AS2615" s="21" t="n">
        <v>0</v>
      </c>
      <c r="AT2615" s="19" t="n"/>
    </row>
    <row r="2616">
      <c r="D2616" s="21" t="n">
        <v>0</v>
      </c>
      <c r="E2616" s="21" t="n">
        <v>0</v>
      </c>
      <c r="F2616" s="21" t="n">
        <v>0</v>
      </c>
      <c r="G2616" s="21" t="n">
        <v>0</v>
      </c>
      <c r="H2616" s="21" t="n">
        <v>0</v>
      </c>
      <c r="I2616" s="21" t="n">
        <v>0</v>
      </c>
      <c r="J2616" s="21" t="n">
        <v>0</v>
      </c>
      <c r="K2616" s="21" t="n">
        <v>0</v>
      </c>
      <c r="L2616" s="21" t="n">
        <v>0</v>
      </c>
      <c r="M2616" s="21" t="n">
        <v>0</v>
      </c>
      <c r="N2616" s="21" t="n">
        <v>0</v>
      </c>
      <c r="O2616" s="21" t="n">
        <v>0</v>
      </c>
      <c r="P2616" s="21" t="n">
        <v>0</v>
      </c>
      <c r="Q2616" s="21" t="n">
        <v>0</v>
      </c>
      <c r="R2616" s="21" t="n">
        <v>0</v>
      </c>
      <c r="S2616" s="21" t="n">
        <v>0</v>
      </c>
      <c r="T2616" s="21" t="n">
        <v>0</v>
      </c>
      <c r="U2616" s="21" t="n">
        <v>0</v>
      </c>
      <c r="V2616" s="21">
        <f>-$B$1811</f>
        <v/>
      </c>
      <c r="W2616" s="21">
        <f>-$B$1812</f>
        <v/>
      </c>
      <c r="X2616" s="21">
        <f>2*$B$1811+$D$2584</f>
        <v/>
      </c>
      <c r="Y2616" s="21">
        <f>0</f>
        <v/>
      </c>
      <c r="Z2616" s="21">
        <f>-$B$1811</f>
        <v/>
      </c>
      <c r="AA2616" s="21">
        <f>$B$1812</f>
        <v/>
      </c>
      <c r="AB2616" s="21" t="n">
        <v>0</v>
      </c>
      <c r="AC2616" s="21" t="n">
        <v>0</v>
      </c>
      <c r="AD2616" s="21" t="n">
        <v>0</v>
      </c>
      <c r="AE2616" s="21" t="n">
        <v>0</v>
      </c>
      <c r="AF2616" s="21" t="n">
        <v>0</v>
      </c>
      <c r="AG2616" s="21" t="n">
        <v>0</v>
      </c>
      <c r="AH2616" s="21" t="n">
        <v>0</v>
      </c>
      <c r="AI2616" s="21" t="n">
        <v>0</v>
      </c>
      <c r="AJ2616" s="21" t="n">
        <v>0</v>
      </c>
      <c r="AK2616" s="21" t="n">
        <v>0</v>
      </c>
      <c r="AL2616" s="21" t="n">
        <v>0</v>
      </c>
      <c r="AM2616" s="21" t="n">
        <v>0</v>
      </c>
      <c r="AN2616" s="21" t="n">
        <v>0</v>
      </c>
      <c r="AO2616" s="21" t="n">
        <v>0</v>
      </c>
      <c r="AP2616" s="21" t="n">
        <v>0</v>
      </c>
      <c r="AQ2616" s="21" t="n">
        <v>0</v>
      </c>
      <c r="AR2616" s="21" t="n">
        <v>0</v>
      </c>
      <c r="AS2616" s="21" t="n">
        <v>0</v>
      </c>
      <c r="AT2616" s="19" t="n"/>
    </row>
    <row r="2617">
      <c r="D2617" s="21" t="n">
        <v>0</v>
      </c>
      <c r="E2617" s="21" t="n">
        <v>0</v>
      </c>
      <c r="F2617" s="21" t="n">
        <v>0</v>
      </c>
      <c r="G2617" s="21" t="n">
        <v>0</v>
      </c>
      <c r="H2617" s="21" t="n">
        <v>0</v>
      </c>
      <c r="I2617" s="21" t="n">
        <v>0</v>
      </c>
      <c r="J2617" s="21" t="n">
        <v>0</v>
      </c>
      <c r="K2617" s="21" t="n">
        <v>0</v>
      </c>
      <c r="L2617" s="21" t="n">
        <v>0</v>
      </c>
      <c r="M2617" s="21" t="n">
        <v>0</v>
      </c>
      <c r="N2617" s="21" t="n">
        <v>0</v>
      </c>
      <c r="O2617" s="21" t="n">
        <v>0</v>
      </c>
      <c r="P2617" s="21" t="n">
        <v>0</v>
      </c>
      <c r="Q2617" s="21" t="n">
        <v>0</v>
      </c>
      <c r="R2617" s="21" t="n">
        <v>0</v>
      </c>
      <c r="S2617" s="21" t="n">
        <v>0</v>
      </c>
      <c r="T2617" s="21" t="n">
        <v>0</v>
      </c>
      <c r="U2617" s="21" t="n">
        <v>0</v>
      </c>
      <c r="V2617" s="21">
        <f>$B$1812</f>
        <v/>
      </c>
      <c r="W2617" s="21">
        <f>$B$1814</f>
        <v/>
      </c>
      <c r="X2617" s="21">
        <f>0</f>
        <v/>
      </c>
      <c r="Y2617" s="21">
        <f>2*$B$1813</f>
        <v/>
      </c>
      <c r="Z2617" s="21">
        <f>-$B$1812</f>
        <v/>
      </c>
      <c r="AA2617" s="21">
        <f>$B$1814</f>
        <v/>
      </c>
      <c r="AB2617" s="21" t="n">
        <v>0</v>
      </c>
      <c r="AC2617" s="21" t="n">
        <v>0</v>
      </c>
      <c r="AD2617" s="21" t="n">
        <v>0</v>
      </c>
      <c r="AE2617" s="21" t="n">
        <v>0</v>
      </c>
      <c r="AF2617" s="21" t="n">
        <v>0</v>
      </c>
      <c r="AG2617" s="21" t="n">
        <v>0</v>
      </c>
      <c r="AH2617" s="21" t="n">
        <v>0</v>
      </c>
      <c r="AI2617" s="21" t="n">
        <v>0</v>
      </c>
      <c r="AJ2617" s="21" t="n">
        <v>0</v>
      </c>
      <c r="AK2617" s="21" t="n">
        <v>0</v>
      </c>
      <c r="AL2617" s="21" t="n">
        <v>0</v>
      </c>
      <c r="AM2617" s="21" t="n">
        <v>0</v>
      </c>
      <c r="AN2617" s="21" t="n">
        <v>0</v>
      </c>
      <c r="AO2617" s="21" t="n">
        <v>0</v>
      </c>
      <c r="AP2617" s="21" t="n">
        <v>0</v>
      </c>
      <c r="AQ2617" s="21" t="n">
        <v>0</v>
      </c>
      <c r="AR2617" s="21" t="n">
        <v>0</v>
      </c>
      <c r="AS2617" s="21" t="n">
        <v>0</v>
      </c>
      <c r="AT2617" s="19" t="n"/>
    </row>
    <row r="2618">
      <c r="D2618" s="21" t="n">
        <v>0</v>
      </c>
      <c r="E2618" s="21" t="n">
        <v>0</v>
      </c>
      <c r="F2618" s="21" t="n">
        <v>0</v>
      </c>
      <c r="G2618" s="21" t="n">
        <v>0</v>
      </c>
      <c r="H2618" s="21" t="n">
        <v>0</v>
      </c>
      <c r="I2618" s="21" t="n">
        <v>0</v>
      </c>
      <c r="J2618" s="21" t="n">
        <v>0</v>
      </c>
      <c r="K2618" s="21" t="n">
        <v>0</v>
      </c>
      <c r="L2618" s="21" t="n">
        <v>0</v>
      </c>
      <c r="M2618" s="21" t="n">
        <v>0</v>
      </c>
      <c r="N2618" s="21" t="n">
        <v>0</v>
      </c>
      <c r="O2618" s="21" t="n">
        <v>0</v>
      </c>
      <c r="P2618" s="21" t="n">
        <v>0</v>
      </c>
      <c r="Q2618" s="21" t="n">
        <v>0</v>
      </c>
      <c r="R2618" s="21" t="n">
        <v>0</v>
      </c>
      <c r="S2618" s="21" t="n">
        <v>0</v>
      </c>
      <c r="T2618" s="21" t="n">
        <v>0</v>
      </c>
      <c r="U2618" s="21" t="n">
        <v>0</v>
      </c>
      <c r="V2618" s="21" t="n">
        <v>0</v>
      </c>
      <c r="W2618" s="21" t="n">
        <v>0</v>
      </c>
      <c r="X2618" s="21">
        <f>-$B$1811</f>
        <v/>
      </c>
      <c r="Y2618" s="21">
        <f>-$B$1812</f>
        <v/>
      </c>
      <c r="Z2618" s="21">
        <f>2*$B$1811+$D$2585</f>
        <v/>
      </c>
      <c r="AA2618" s="21">
        <f>0</f>
        <v/>
      </c>
      <c r="AB2618" s="21">
        <f>-$B$1811</f>
        <v/>
      </c>
      <c r="AC2618" s="21">
        <f>$B$1812</f>
        <v/>
      </c>
      <c r="AD2618" s="21" t="n">
        <v>0</v>
      </c>
      <c r="AE2618" s="21" t="n">
        <v>0</v>
      </c>
      <c r="AF2618" s="21" t="n">
        <v>0</v>
      </c>
      <c r="AG2618" s="21" t="n">
        <v>0</v>
      </c>
      <c r="AH2618" s="21" t="n">
        <v>0</v>
      </c>
      <c r="AI2618" s="21" t="n">
        <v>0</v>
      </c>
      <c r="AJ2618" s="21" t="n">
        <v>0</v>
      </c>
      <c r="AK2618" s="21" t="n">
        <v>0</v>
      </c>
      <c r="AL2618" s="21" t="n">
        <v>0</v>
      </c>
      <c r="AM2618" s="21" t="n">
        <v>0</v>
      </c>
      <c r="AN2618" s="21" t="n">
        <v>0</v>
      </c>
      <c r="AO2618" s="21" t="n">
        <v>0</v>
      </c>
      <c r="AP2618" s="21" t="n">
        <v>0</v>
      </c>
      <c r="AQ2618" s="21" t="n">
        <v>0</v>
      </c>
      <c r="AR2618" s="21" t="n">
        <v>0</v>
      </c>
      <c r="AS2618" s="21" t="n">
        <v>0</v>
      </c>
      <c r="AT2618" s="19" t="n"/>
    </row>
    <row r="2619">
      <c r="D2619" s="21" t="n">
        <v>0</v>
      </c>
      <c r="E2619" s="21" t="n">
        <v>0</v>
      </c>
      <c r="F2619" s="21" t="n">
        <v>0</v>
      </c>
      <c r="G2619" s="21" t="n">
        <v>0</v>
      </c>
      <c r="H2619" s="21" t="n">
        <v>0</v>
      </c>
      <c r="I2619" s="21" t="n">
        <v>0</v>
      </c>
      <c r="J2619" s="21" t="n">
        <v>0</v>
      </c>
      <c r="K2619" s="21" t="n">
        <v>0</v>
      </c>
      <c r="L2619" s="21" t="n">
        <v>0</v>
      </c>
      <c r="M2619" s="21" t="n">
        <v>0</v>
      </c>
      <c r="N2619" s="21" t="n">
        <v>0</v>
      </c>
      <c r="O2619" s="21" t="n">
        <v>0</v>
      </c>
      <c r="P2619" s="21" t="n">
        <v>0</v>
      </c>
      <c r="Q2619" s="21" t="n">
        <v>0</v>
      </c>
      <c r="R2619" s="21" t="n">
        <v>0</v>
      </c>
      <c r="S2619" s="21" t="n">
        <v>0</v>
      </c>
      <c r="T2619" s="21" t="n">
        <v>0</v>
      </c>
      <c r="U2619" s="21" t="n">
        <v>0</v>
      </c>
      <c r="V2619" s="21" t="n">
        <v>0</v>
      </c>
      <c r="W2619" s="21" t="n">
        <v>0</v>
      </c>
      <c r="X2619" s="21">
        <f>$B$1812</f>
        <v/>
      </c>
      <c r="Y2619" s="21">
        <f>$B$1814</f>
        <v/>
      </c>
      <c r="Z2619" s="21">
        <f>0</f>
        <v/>
      </c>
      <c r="AA2619" s="21">
        <f>2*$B$1813</f>
        <v/>
      </c>
      <c r="AB2619" s="21">
        <f>-$B$1812</f>
        <v/>
      </c>
      <c r="AC2619" s="21">
        <f>$B$1814</f>
        <v/>
      </c>
      <c r="AD2619" s="21" t="n">
        <v>0</v>
      </c>
      <c r="AE2619" s="21" t="n">
        <v>0</v>
      </c>
      <c r="AF2619" s="21" t="n">
        <v>0</v>
      </c>
      <c r="AG2619" s="21" t="n">
        <v>0</v>
      </c>
      <c r="AH2619" s="21" t="n">
        <v>0</v>
      </c>
      <c r="AI2619" s="21" t="n">
        <v>0</v>
      </c>
      <c r="AJ2619" s="21" t="n">
        <v>0</v>
      </c>
      <c r="AK2619" s="21" t="n">
        <v>0</v>
      </c>
      <c r="AL2619" s="21" t="n">
        <v>0</v>
      </c>
      <c r="AM2619" s="21" t="n">
        <v>0</v>
      </c>
      <c r="AN2619" s="21" t="n">
        <v>0</v>
      </c>
      <c r="AO2619" s="21" t="n">
        <v>0</v>
      </c>
      <c r="AP2619" s="21" t="n">
        <v>0</v>
      </c>
      <c r="AQ2619" s="21" t="n">
        <v>0</v>
      </c>
      <c r="AR2619" s="21" t="n">
        <v>0</v>
      </c>
      <c r="AS2619" s="21" t="n">
        <v>0</v>
      </c>
      <c r="AT2619" s="19" t="n"/>
    </row>
    <row r="2620">
      <c r="D2620" s="21" t="n">
        <v>0</v>
      </c>
      <c r="E2620" s="21" t="n">
        <v>0</v>
      </c>
      <c r="F2620" s="21" t="n">
        <v>0</v>
      </c>
      <c r="G2620" s="21" t="n">
        <v>0</v>
      </c>
      <c r="H2620" s="21" t="n">
        <v>0</v>
      </c>
      <c r="I2620" s="21" t="n">
        <v>0</v>
      </c>
      <c r="J2620" s="21" t="n">
        <v>0</v>
      </c>
      <c r="K2620" s="21" t="n">
        <v>0</v>
      </c>
      <c r="L2620" s="21" t="n">
        <v>0</v>
      </c>
      <c r="M2620" s="21" t="n">
        <v>0</v>
      </c>
      <c r="N2620" s="21" t="n">
        <v>0</v>
      </c>
      <c r="O2620" s="21" t="n">
        <v>0</v>
      </c>
      <c r="P2620" s="21" t="n">
        <v>0</v>
      </c>
      <c r="Q2620" s="21" t="n">
        <v>0</v>
      </c>
      <c r="R2620" s="21" t="n">
        <v>0</v>
      </c>
      <c r="S2620" s="21" t="n">
        <v>0</v>
      </c>
      <c r="T2620" s="21" t="n">
        <v>0</v>
      </c>
      <c r="U2620" s="21" t="n">
        <v>0</v>
      </c>
      <c r="V2620" s="21" t="n">
        <v>0</v>
      </c>
      <c r="W2620" s="21" t="n">
        <v>0</v>
      </c>
      <c r="X2620" s="21" t="n">
        <v>0</v>
      </c>
      <c r="Y2620" s="21" t="n">
        <v>0</v>
      </c>
      <c r="Z2620" s="21">
        <f>-$B$1811</f>
        <v/>
      </c>
      <c r="AA2620" s="21">
        <f>-$B$1812</f>
        <v/>
      </c>
      <c r="AB2620" s="21">
        <f>2*$B$1811+$D$2586</f>
        <v/>
      </c>
      <c r="AC2620" s="21">
        <f>0</f>
        <v/>
      </c>
      <c r="AD2620" s="21">
        <f>-$B$1811</f>
        <v/>
      </c>
      <c r="AE2620" s="21">
        <f>$B$1812</f>
        <v/>
      </c>
      <c r="AF2620" s="21" t="n">
        <v>0</v>
      </c>
      <c r="AG2620" s="21" t="n">
        <v>0</v>
      </c>
      <c r="AH2620" s="21" t="n">
        <v>0</v>
      </c>
      <c r="AI2620" s="21" t="n">
        <v>0</v>
      </c>
      <c r="AJ2620" s="21" t="n">
        <v>0</v>
      </c>
      <c r="AK2620" s="21" t="n">
        <v>0</v>
      </c>
      <c r="AL2620" s="21" t="n">
        <v>0</v>
      </c>
      <c r="AM2620" s="21" t="n">
        <v>0</v>
      </c>
      <c r="AN2620" s="21" t="n">
        <v>0</v>
      </c>
      <c r="AO2620" s="21" t="n">
        <v>0</v>
      </c>
      <c r="AP2620" s="21" t="n">
        <v>0</v>
      </c>
      <c r="AQ2620" s="21" t="n">
        <v>0</v>
      </c>
      <c r="AR2620" s="21" t="n">
        <v>0</v>
      </c>
      <c r="AS2620" s="21" t="n">
        <v>0</v>
      </c>
      <c r="AT2620" s="19" t="n"/>
    </row>
    <row r="2621">
      <c r="D2621" s="21" t="n">
        <v>0</v>
      </c>
      <c r="E2621" s="21" t="n">
        <v>0</v>
      </c>
      <c r="F2621" s="21" t="n">
        <v>0</v>
      </c>
      <c r="G2621" s="21" t="n">
        <v>0</v>
      </c>
      <c r="H2621" s="21" t="n">
        <v>0</v>
      </c>
      <c r="I2621" s="21" t="n">
        <v>0</v>
      </c>
      <c r="J2621" s="21" t="n">
        <v>0</v>
      </c>
      <c r="K2621" s="21" t="n">
        <v>0</v>
      </c>
      <c r="L2621" s="21" t="n">
        <v>0</v>
      </c>
      <c r="M2621" s="21" t="n">
        <v>0</v>
      </c>
      <c r="N2621" s="21" t="n">
        <v>0</v>
      </c>
      <c r="O2621" s="21" t="n">
        <v>0</v>
      </c>
      <c r="P2621" s="21" t="n">
        <v>0</v>
      </c>
      <c r="Q2621" s="21" t="n">
        <v>0</v>
      </c>
      <c r="R2621" s="21" t="n">
        <v>0</v>
      </c>
      <c r="S2621" s="21" t="n">
        <v>0</v>
      </c>
      <c r="T2621" s="21" t="n">
        <v>0</v>
      </c>
      <c r="U2621" s="21" t="n">
        <v>0</v>
      </c>
      <c r="V2621" s="21" t="n">
        <v>0</v>
      </c>
      <c r="W2621" s="21" t="n">
        <v>0</v>
      </c>
      <c r="X2621" s="21" t="n">
        <v>0</v>
      </c>
      <c r="Y2621" s="21" t="n">
        <v>0</v>
      </c>
      <c r="Z2621" s="21">
        <f>$B$1812</f>
        <v/>
      </c>
      <c r="AA2621" s="21">
        <f>$B$1814</f>
        <v/>
      </c>
      <c r="AB2621" s="21">
        <f>0</f>
        <v/>
      </c>
      <c r="AC2621" s="21">
        <f>2*$B$1813</f>
        <v/>
      </c>
      <c r="AD2621" s="21">
        <f>-$B$1812</f>
        <v/>
      </c>
      <c r="AE2621" s="21">
        <f>$B$1814</f>
        <v/>
      </c>
      <c r="AF2621" s="21" t="n">
        <v>0</v>
      </c>
      <c r="AG2621" s="21" t="n">
        <v>0</v>
      </c>
      <c r="AH2621" s="21" t="n">
        <v>0</v>
      </c>
      <c r="AI2621" s="21" t="n">
        <v>0</v>
      </c>
      <c r="AJ2621" s="21" t="n">
        <v>0</v>
      </c>
      <c r="AK2621" s="21" t="n">
        <v>0</v>
      </c>
      <c r="AL2621" s="21" t="n">
        <v>0</v>
      </c>
      <c r="AM2621" s="21" t="n">
        <v>0</v>
      </c>
      <c r="AN2621" s="21" t="n">
        <v>0</v>
      </c>
      <c r="AO2621" s="21" t="n">
        <v>0</v>
      </c>
      <c r="AP2621" s="21" t="n">
        <v>0</v>
      </c>
      <c r="AQ2621" s="21" t="n">
        <v>0</v>
      </c>
      <c r="AR2621" s="21" t="n">
        <v>0</v>
      </c>
      <c r="AS2621" s="21" t="n">
        <v>0</v>
      </c>
      <c r="AT2621" s="19" t="n"/>
    </row>
    <row r="2622">
      <c r="D2622" s="21" t="n">
        <v>0</v>
      </c>
      <c r="E2622" s="21" t="n">
        <v>0</v>
      </c>
      <c r="F2622" s="21" t="n">
        <v>0</v>
      </c>
      <c r="G2622" s="21" t="n">
        <v>0</v>
      </c>
      <c r="H2622" s="21" t="n">
        <v>0</v>
      </c>
      <c r="I2622" s="21" t="n">
        <v>0</v>
      </c>
      <c r="J2622" s="21" t="n">
        <v>0</v>
      </c>
      <c r="K2622" s="21" t="n">
        <v>0</v>
      </c>
      <c r="L2622" s="21" t="n">
        <v>0</v>
      </c>
      <c r="M2622" s="21" t="n">
        <v>0</v>
      </c>
      <c r="N2622" s="21" t="n">
        <v>0</v>
      </c>
      <c r="O2622" s="21" t="n">
        <v>0</v>
      </c>
      <c r="P2622" s="21" t="n">
        <v>0</v>
      </c>
      <c r="Q2622" s="21" t="n">
        <v>0</v>
      </c>
      <c r="R2622" s="21" t="n">
        <v>0</v>
      </c>
      <c r="S2622" s="21" t="n">
        <v>0</v>
      </c>
      <c r="T2622" s="21" t="n">
        <v>0</v>
      </c>
      <c r="U2622" s="21" t="n">
        <v>0</v>
      </c>
      <c r="V2622" s="21" t="n">
        <v>0</v>
      </c>
      <c r="W2622" s="21" t="n">
        <v>0</v>
      </c>
      <c r="X2622" s="21" t="n">
        <v>0</v>
      </c>
      <c r="Y2622" s="21" t="n">
        <v>0</v>
      </c>
      <c r="Z2622" s="21" t="n">
        <v>0</v>
      </c>
      <c r="AA2622" s="21" t="n">
        <v>0</v>
      </c>
      <c r="AB2622" s="21">
        <f>-$B$1811</f>
        <v/>
      </c>
      <c r="AC2622" s="21">
        <f>-$B$1812</f>
        <v/>
      </c>
      <c r="AD2622" s="21">
        <f>2*$B$1811+$D$2587</f>
        <v/>
      </c>
      <c r="AE2622" s="21">
        <f>0</f>
        <v/>
      </c>
      <c r="AF2622" s="21">
        <f>-$B$1811</f>
        <v/>
      </c>
      <c r="AG2622" s="21">
        <f>$B$1812</f>
        <v/>
      </c>
      <c r="AH2622" s="21" t="n">
        <v>0</v>
      </c>
      <c r="AI2622" s="21" t="n">
        <v>0</v>
      </c>
      <c r="AJ2622" s="21" t="n">
        <v>0</v>
      </c>
      <c r="AK2622" s="21" t="n">
        <v>0</v>
      </c>
      <c r="AL2622" s="21" t="n">
        <v>0</v>
      </c>
      <c r="AM2622" s="21" t="n">
        <v>0</v>
      </c>
      <c r="AN2622" s="21" t="n">
        <v>0</v>
      </c>
      <c r="AO2622" s="21" t="n">
        <v>0</v>
      </c>
      <c r="AP2622" s="21" t="n">
        <v>0</v>
      </c>
      <c r="AQ2622" s="21" t="n">
        <v>0</v>
      </c>
      <c r="AR2622" s="21" t="n">
        <v>0</v>
      </c>
      <c r="AS2622" s="21" t="n">
        <v>0</v>
      </c>
      <c r="AT2622" s="19" t="n"/>
    </row>
    <row r="2623">
      <c r="D2623" s="21" t="n">
        <v>0</v>
      </c>
      <c r="E2623" s="21" t="n">
        <v>0</v>
      </c>
      <c r="F2623" s="21" t="n">
        <v>0</v>
      </c>
      <c r="G2623" s="21" t="n">
        <v>0</v>
      </c>
      <c r="H2623" s="21" t="n">
        <v>0</v>
      </c>
      <c r="I2623" s="21" t="n">
        <v>0</v>
      </c>
      <c r="J2623" s="21" t="n">
        <v>0</v>
      </c>
      <c r="K2623" s="21" t="n">
        <v>0</v>
      </c>
      <c r="L2623" s="21" t="n">
        <v>0</v>
      </c>
      <c r="M2623" s="21" t="n">
        <v>0</v>
      </c>
      <c r="N2623" s="21" t="n">
        <v>0</v>
      </c>
      <c r="O2623" s="21" t="n">
        <v>0</v>
      </c>
      <c r="P2623" s="21" t="n">
        <v>0</v>
      </c>
      <c r="Q2623" s="21" t="n">
        <v>0</v>
      </c>
      <c r="R2623" s="21" t="n">
        <v>0</v>
      </c>
      <c r="S2623" s="21" t="n">
        <v>0</v>
      </c>
      <c r="T2623" s="21" t="n">
        <v>0</v>
      </c>
      <c r="U2623" s="21" t="n">
        <v>0</v>
      </c>
      <c r="V2623" s="21" t="n">
        <v>0</v>
      </c>
      <c r="W2623" s="21" t="n">
        <v>0</v>
      </c>
      <c r="X2623" s="21" t="n">
        <v>0</v>
      </c>
      <c r="Y2623" s="21" t="n">
        <v>0</v>
      </c>
      <c r="Z2623" s="21" t="n">
        <v>0</v>
      </c>
      <c r="AA2623" s="21" t="n">
        <v>0</v>
      </c>
      <c r="AB2623" s="21">
        <f>$B$1812</f>
        <v/>
      </c>
      <c r="AC2623" s="21">
        <f>$B$1814</f>
        <v/>
      </c>
      <c r="AD2623" s="21">
        <f>0</f>
        <v/>
      </c>
      <c r="AE2623" s="21">
        <f>2*$B$1813</f>
        <v/>
      </c>
      <c r="AF2623" s="21">
        <f>-$B$1812</f>
        <v/>
      </c>
      <c r="AG2623" s="21">
        <f>$B$1814</f>
        <v/>
      </c>
      <c r="AH2623" s="21" t="n">
        <v>0</v>
      </c>
      <c r="AI2623" s="21" t="n">
        <v>0</v>
      </c>
      <c r="AJ2623" s="21" t="n">
        <v>0</v>
      </c>
      <c r="AK2623" s="21" t="n">
        <v>0</v>
      </c>
      <c r="AL2623" s="21" t="n">
        <v>0</v>
      </c>
      <c r="AM2623" s="21" t="n">
        <v>0</v>
      </c>
      <c r="AN2623" s="21" t="n">
        <v>0</v>
      </c>
      <c r="AO2623" s="21" t="n">
        <v>0</v>
      </c>
      <c r="AP2623" s="21" t="n">
        <v>0</v>
      </c>
      <c r="AQ2623" s="21" t="n">
        <v>0</v>
      </c>
      <c r="AR2623" s="21" t="n">
        <v>0</v>
      </c>
      <c r="AS2623" s="21" t="n">
        <v>0</v>
      </c>
      <c r="AT2623" s="19" t="n"/>
    </row>
    <row r="2624">
      <c r="D2624" s="21" t="n">
        <v>0</v>
      </c>
      <c r="E2624" s="21" t="n">
        <v>0</v>
      </c>
      <c r="F2624" s="21" t="n">
        <v>0</v>
      </c>
      <c r="G2624" s="21" t="n">
        <v>0</v>
      </c>
      <c r="H2624" s="21" t="n">
        <v>0</v>
      </c>
      <c r="I2624" s="21" t="n">
        <v>0</v>
      </c>
      <c r="J2624" s="21" t="n">
        <v>0</v>
      </c>
      <c r="K2624" s="21" t="n">
        <v>0</v>
      </c>
      <c r="L2624" s="21" t="n">
        <v>0</v>
      </c>
      <c r="M2624" s="21" t="n">
        <v>0</v>
      </c>
      <c r="N2624" s="21" t="n">
        <v>0</v>
      </c>
      <c r="O2624" s="21" t="n">
        <v>0</v>
      </c>
      <c r="P2624" s="21" t="n">
        <v>0</v>
      </c>
      <c r="Q2624" s="21" t="n">
        <v>0</v>
      </c>
      <c r="R2624" s="21" t="n">
        <v>0</v>
      </c>
      <c r="S2624" s="21" t="n">
        <v>0</v>
      </c>
      <c r="T2624" s="21" t="n">
        <v>0</v>
      </c>
      <c r="U2624" s="21" t="n">
        <v>0</v>
      </c>
      <c r="V2624" s="21" t="n">
        <v>0</v>
      </c>
      <c r="W2624" s="21" t="n">
        <v>0</v>
      </c>
      <c r="X2624" s="21" t="n">
        <v>0</v>
      </c>
      <c r="Y2624" s="21" t="n">
        <v>0</v>
      </c>
      <c r="Z2624" s="21" t="n">
        <v>0</v>
      </c>
      <c r="AA2624" s="21" t="n">
        <v>0</v>
      </c>
      <c r="AB2624" s="21" t="n">
        <v>0</v>
      </c>
      <c r="AC2624" s="21" t="n">
        <v>0</v>
      </c>
      <c r="AD2624" s="21">
        <f>-$B$1811</f>
        <v/>
      </c>
      <c r="AE2624" s="21">
        <f>-$B$1812</f>
        <v/>
      </c>
      <c r="AF2624" s="21">
        <f>2*$B$1811+$D$2588</f>
        <v/>
      </c>
      <c r="AG2624" s="21">
        <f>0</f>
        <v/>
      </c>
      <c r="AH2624" s="21">
        <f>-$B$1811</f>
        <v/>
      </c>
      <c r="AI2624" s="21">
        <f>$B$1812</f>
        <v/>
      </c>
      <c r="AJ2624" s="21" t="n">
        <v>0</v>
      </c>
      <c r="AK2624" s="21" t="n">
        <v>0</v>
      </c>
      <c r="AL2624" s="21" t="n">
        <v>0</v>
      </c>
      <c r="AM2624" s="21" t="n">
        <v>0</v>
      </c>
      <c r="AN2624" s="21" t="n">
        <v>0</v>
      </c>
      <c r="AO2624" s="21" t="n">
        <v>0</v>
      </c>
      <c r="AP2624" s="21" t="n">
        <v>0</v>
      </c>
      <c r="AQ2624" s="21" t="n">
        <v>0</v>
      </c>
      <c r="AR2624" s="21" t="n">
        <v>0</v>
      </c>
      <c r="AS2624" s="21" t="n">
        <v>0</v>
      </c>
      <c r="AT2624" s="19" t="n"/>
    </row>
    <row r="2625">
      <c r="D2625" s="21" t="n">
        <v>0</v>
      </c>
      <c r="E2625" s="21" t="n">
        <v>0</v>
      </c>
      <c r="F2625" s="21" t="n">
        <v>0</v>
      </c>
      <c r="G2625" s="21" t="n">
        <v>0</v>
      </c>
      <c r="H2625" s="21" t="n">
        <v>0</v>
      </c>
      <c r="I2625" s="21" t="n">
        <v>0</v>
      </c>
      <c r="J2625" s="21" t="n">
        <v>0</v>
      </c>
      <c r="K2625" s="21" t="n">
        <v>0</v>
      </c>
      <c r="L2625" s="21" t="n">
        <v>0</v>
      </c>
      <c r="M2625" s="21" t="n">
        <v>0</v>
      </c>
      <c r="N2625" s="21" t="n">
        <v>0</v>
      </c>
      <c r="O2625" s="21" t="n">
        <v>0</v>
      </c>
      <c r="P2625" s="21" t="n">
        <v>0</v>
      </c>
      <c r="Q2625" s="21" t="n">
        <v>0</v>
      </c>
      <c r="R2625" s="21" t="n">
        <v>0</v>
      </c>
      <c r="S2625" s="21" t="n">
        <v>0</v>
      </c>
      <c r="T2625" s="21" t="n">
        <v>0</v>
      </c>
      <c r="U2625" s="21" t="n">
        <v>0</v>
      </c>
      <c r="V2625" s="21" t="n">
        <v>0</v>
      </c>
      <c r="W2625" s="21" t="n">
        <v>0</v>
      </c>
      <c r="X2625" s="21" t="n">
        <v>0</v>
      </c>
      <c r="Y2625" s="21" t="n">
        <v>0</v>
      </c>
      <c r="Z2625" s="21" t="n">
        <v>0</v>
      </c>
      <c r="AA2625" s="21" t="n">
        <v>0</v>
      </c>
      <c r="AB2625" s="21" t="n">
        <v>0</v>
      </c>
      <c r="AC2625" s="21" t="n">
        <v>0</v>
      </c>
      <c r="AD2625" s="21">
        <f>$B$1812</f>
        <v/>
      </c>
      <c r="AE2625" s="21">
        <f>$B$1814</f>
        <v/>
      </c>
      <c r="AF2625" s="21">
        <f>0</f>
        <v/>
      </c>
      <c r="AG2625" s="21">
        <f>2*$B$1813</f>
        <v/>
      </c>
      <c r="AH2625" s="21">
        <f>-$B$1812</f>
        <v/>
      </c>
      <c r="AI2625" s="21">
        <f>$B$1814</f>
        <v/>
      </c>
      <c r="AJ2625" s="21" t="n">
        <v>0</v>
      </c>
      <c r="AK2625" s="21" t="n">
        <v>0</v>
      </c>
      <c r="AL2625" s="21" t="n">
        <v>0</v>
      </c>
      <c r="AM2625" s="21" t="n">
        <v>0</v>
      </c>
      <c r="AN2625" s="21" t="n">
        <v>0</v>
      </c>
      <c r="AO2625" s="21" t="n">
        <v>0</v>
      </c>
      <c r="AP2625" s="21" t="n">
        <v>0</v>
      </c>
      <c r="AQ2625" s="21" t="n">
        <v>0</v>
      </c>
      <c r="AR2625" s="21" t="n">
        <v>0</v>
      </c>
      <c r="AS2625" s="21" t="n">
        <v>0</v>
      </c>
      <c r="AT2625" s="19" t="n"/>
    </row>
    <row r="2626">
      <c r="D2626" s="21" t="n">
        <v>0</v>
      </c>
      <c r="E2626" s="21" t="n">
        <v>0</v>
      </c>
      <c r="F2626" s="21" t="n">
        <v>0</v>
      </c>
      <c r="G2626" s="21" t="n">
        <v>0</v>
      </c>
      <c r="H2626" s="21" t="n">
        <v>0</v>
      </c>
      <c r="I2626" s="21" t="n">
        <v>0</v>
      </c>
      <c r="J2626" s="21" t="n">
        <v>0</v>
      </c>
      <c r="K2626" s="21" t="n">
        <v>0</v>
      </c>
      <c r="L2626" s="21" t="n">
        <v>0</v>
      </c>
      <c r="M2626" s="21" t="n">
        <v>0</v>
      </c>
      <c r="N2626" s="21" t="n">
        <v>0</v>
      </c>
      <c r="O2626" s="21" t="n">
        <v>0</v>
      </c>
      <c r="P2626" s="21" t="n">
        <v>0</v>
      </c>
      <c r="Q2626" s="21" t="n">
        <v>0</v>
      </c>
      <c r="R2626" s="21" t="n">
        <v>0</v>
      </c>
      <c r="S2626" s="21" t="n">
        <v>0</v>
      </c>
      <c r="T2626" s="21" t="n">
        <v>0</v>
      </c>
      <c r="U2626" s="21" t="n">
        <v>0</v>
      </c>
      <c r="V2626" s="21" t="n">
        <v>0</v>
      </c>
      <c r="W2626" s="21" t="n">
        <v>0</v>
      </c>
      <c r="X2626" s="21" t="n">
        <v>0</v>
      </c>
      <c r="Y2626" s="21" t="n">
        <v>0</v>
      </c>
      <c r="Z2626" s="21" t="n">
        <v>0</v>
      </c>
      <c r="AA2626" s="21" t="n">
        <v>0</v>
      </c>
      <c r="AB2626" s="21" t="n">
        <v>0</v>
      </c>
      <c r="AC2626" s="21" t="n">
        <v>0</v>
      </c>
      <c r="AD2626" s="21" t="n">
        <v>0</v>
      </c>
      <c r="AE2626" s="21" t="n">
        <v>0</v>
      </c>
      <c r="AF2626" s="21">
        <f>-$B$1811</f>
        <v/>
      </c>
      <c r="AG2626" s="21">
        <f>-$B$1812</f>
        <v/>
      </c>
      <c r="AH2626" s="21">
        <f>2*$B$1811+$D$2589</f>
        <v/>
      </c>
      <c r="AI2626" s="21">
        <f>0</f>
        <v/>
      </c>
      <c r="AJ2626" s="21">
        <f>-$B$1811</f>
        <v/>
      </c>
      <c r="AK2626" s="21">
        <f>$B$1812</f>
        <v/>
      </c>
      <c r="AL2626" s="21" t="n">
        <v>0</v>
      </c>
      <c r="AM2626" s="21" t="n">
        <v>0</v>
      </c>
      <c r="AN2626" s="21" t="n">
        <v>0</v>
      </c>
      <c r="AO2626" s="21" t="n">
        <v>0</v>
      </c>
      <c r="AP2626" s="21" t="n">
        <v>0</v>
      </c>
      <c r="AQ2626" s="21" t="n">
        <v>0</v>
      </c>
      <c r="AR2626" s="21" t="n">
        <v>0</v>
      </c>
      <c r="AS2626" s="21" t="n">
        <v>0</v>
      </c>
      <c r="AT2626" s="19" t="n"/>
    </row>
    <row r="2627">
      <c r="D2627" s="21" t="n">
        <v>0</v>
      </c>
      <c r="E2627" s="21" t="n">
        <v>0</v>
      </c>
      <c r="F2627" s="21" t="n">
        <v>0</v>
      </c>
      <c r="G2627" s="21" t="n">
        <v>0</v>
      </c>
      <c r="H2627" s="21" t="n">
        <v>0</v>
      </c>
      <c r="I2627" s="21" t="n">
        <v>0</v>
      </c>
      <c r="J2627" s="21" t="n">
        <v>0</v>
      </c>
      <c r="K2627" s="21" t="n">
        <v>0</v>
      </c>
      <c r="L2627" s="21" t="n">
        <v>0</v>
      </c>
      <c r="M2627" s="21" t="n">
        <v>0</v>
      </c>
      <c r="N2627" s="21" t="n">
        <v>0</v>
      </c>
      <c r="O2627" s="21" t="n">
        <v>0</v>
      </c>
      <c r="P2627" s="21" t="n">
        <v>0</v>
      </c>
      <c r="Q2627" s="21" t="n">
        <v>0</v>
      </c>
      <c r="R2627" s="21" t="n">
        <v>0</v>
      </c>
      <c r="S2627" s="21" t="n">
        <v>0</v>
      </c>
      <c r="T2627" s="21" t="n">
        <v>0</v>
      </c>
      <c r="U2627" s="21" t="n">
        <v>0</v>
      </c>
      <c r="V2627" s="21" t="n">
        <v>0</v>
      </c>
      <c r="W2627" s="21" t="n">
        <v>0</v>
      </c>
      <c r="X2627" s="21" t="n">
        <v>0</v>
      </c>
      <c r="Y2627" s="21" t="n">
        <v>0</v>
      </c>
      <c r="Z2627" s="21" t="n">
        <v>0</v>
      </c>
      <c r="AA2627" s="21" t="n">
        <v>0</v>
      </c>
      <c r="AB2627" s="21" t="n">
        <v>0</v>
      </c>
      <c r="AC2627" s="21" t="n">
        <v>0</v>
      </c>
      <c r="AD2627" s="21" t="n">
        <v>0</v>
      </c>
      <c r="AE2627" s="21" t="n">
        <v>0</v>
      </c>
      <c r="AF2627" s="21">
        <f>$B$1812</f>
        <v/>
      </c>
      <c r="AG2627" s="21">
        <f>$B$1814</f>
        <v/>
      </c>
      <c r="AH2627" s="21">
        <f>0</f>
        <v/>
      </c>
      <c r="AI2627" s="21">
        <f>2*$B$1813</f>
        <v/>
      </c>
      <c r="AJ2627" s="21">
        <f>-$B$1812</f>
        <v/>
      </c>
      <c r="AK2627" s="21">
        <f>$B$1814</f>
        <v/>
      </c>
      <c r="AL2627" s="21" t="n">
        <v>0</v>
      </c>
      <c r="AM2627" s="21" t="n">
        <v>0</v>
      </c>
      <c r="AN2627" s="21" t="n">
        <v>0</v>
      </c>
      <c r="AO2627" s="21" t="n">
        <v>0</v>
      </c>
      <c r="AP2627" s="21" t="n">
        <v>0</v>
      </c>
      <c r="AQ2627" s="21" t="n">
        <v>0</v>
      </c>
      <c r="AR2627" s="21" t="n">
        <v>0</v>
      </c>
      <c r="AS2627" s="21" t="n">
        <v>0</v>
      </c>
      <c r="AT2627" s="19" t="n"/>
    </row>
    <row r="2628">
      <c r="D2628" s="21" t="n">
        <v>0</v>
      </c>
      <c r="E2628" s="21" t="n">
        <v>0</v>
      </c>
      <c r="F2628" s="21" t="n">
        <v>0</v>
      </c>
      <c r="G2628" s="21" t="n">
        <v>0</v>
      </c>
      <c r="H2628" s="21" t="n">
        <v>0</v>
      </c>
      <c r="I2628" s="21" t="n">
        <v>0</v>
      </c>
      <c r="J2628" s="21" t="n">
        <v>0</v>
      </c>
      <c r="K2628" s="21" t="n">
        <v>0</v>
      </c>
      <c r="L2628" s="21" t="n">
        <v>0</v>
      </c>
      <c r="M2628" s="21" t="n">
        <v>0</v>
      </c>
      <c r="N2628" s="21" t="n">
        <v>0</v>
      </c>
      <c r="O2628" s="21" t="n">
        <v>0</v>
      </c>
      <c r="P2628" s="21" t="n">
        <v>0</v>
      </c>
      <c r="Q2628" s="21" t="n">
        <v>0</v>
      </c>
      <c r="R2628" s="21" t="n">
        <v>0</v>
      </c>
      <c r="S2628" s="21" t="n">
        <v>0</v>
      </c>
      <c r="T2628" s="21" t="n">
        <v>0</v>
      </c>
      <c r="U2628" s="21" t="n">
        <v>0</v>
      </c>
      <c r="V2628" s="21" t="n">
        <v>0</v>
      </c>
      <c r="W2628" s="21" t="n">
        <v>0</v>
      </c>
      <c r="X2628" s="21" t="n">
        <v>0</v>
      </c>
      <c r="Y2628" s="21" t="n">
        <v>0</v>
      </c>
      <c r="Z2628" s="21" t="n">
        <v>0</v>
      </c>
      <c r="AA2628" s="21" t="n">
        <v>0</v>
      </c>
      <c r="AB2628" s="21" t="n">
        <v>0</v>
      </c>
      <c r="AC2628" s="21" t="n">
        <v>0</v>
      </c>
      <c r="AD2628" s="21" t="n">
        <v>0</v>
      </c>
      <c r="AE2628" s="21" t="n">
        <v>0</v>
      </c>
      <c r="AF2628" s="21" t="n">
        <v>0</v>
      </c>
      <c r="AG2628" s="21" t="n">
        <v>0</v>
      </c>
      <c r="AH2628" s="21">
        <f>-$B$1811</f>
        <v/>
      </c>
      <c r="AI2628" s="21">
        <f>-$B$1812</f>
        <v/>
      </c>
      <c r="AJ2628" s="21">
        <f>2*$B$1811+$D$2590</f>
        <v/>
      </c>
      <c r="AK2628" s="21">
        <f>0</f>
        <v/>
      </c>
      <c r="AL2628" s="21">
        <f>-$B$1811</f>
        <v/>
      </c>
      <c r="AM2628" s="21">
        <f>$B$1812</f>
        <v/>
      </c>
      <c r="AN2628" s="21" t="n">
        <v>0</v>
      </c>
      <c r="AO2628" s="21" t="n">
        <v>0</v>
      </c>
      <c r="AP2628" s="21" t="n">
        <v>0</v>
      </c>
      <c r="AQ2628" s="21" t="n">
        <v>0</v>
      </c>
      <c r="AR2628" s="21" t="n">
        <v>0</v>
      </c>
      <c r="AS2628" s="21" t="n">
        <v>0</v>
      </c>
      <c r="AT2628" s="19" t="n"/>
    </row>
    <row r="2629">
      <c r="D2629" s="21" t="n">
        <v>0</v>
      </c>
      <c r="E2629" s="21" t="n">
        <v>0</v>
      </c>
      <c r="F2629" s="21" t="n">
        <v>0</v>
      </c>
      <c r="G2629" s="21" t="n">
        <v>0</v>
      </c>
      <c r="H2629" s="21" t="n">
        <v>0</v>
      </c>
      <c r="I2629" s="21" t="n">
        <v>0</v>
      </c>
      <c r="J2629" s="21" t="n">
        <v>0</v>
      </c>
      <c r="K2629" s="21" t="n">
        <v>0</v>
      </c>
      <c r="L2629" s="21" t="n">
        <v>0</v>
      </c>
      <c r="M2629" s="21" t="n">
        <v>0</v>
      </c>
      <c r="N2629" s="21" t="n">
        <v>0</v>
      </c>
      <c r="O2629" s="21" t="n">
        <v>0</v>
      </c>
      <c r="P2629" s="21" t="n">
        <v>0</v>
      </c>
      <c r="Q2629" s="21" t="n">
        <v>0</v>
      </c>
      <c r="R2629" s="21" t="n">
        <v>0</v>
      </c>
      <c r="S2629" s="21" t="n">
        <v>0</v>
      </c>
      <c r="T2629" s="21" t="n">
        <v>0</v>
      </c>
      <c r="U2629" s="21" t="n">
        <v>0</v>
      </c>
      <c r="V2629" s="21" t="n">
        <v>0</v>
      </c>
      <c r="W2629" s="21" t="n">
        <v>0</v>
      </c>
      <c r="X2629" s="21" t="n">
        <v>0</v>
      </c>
      <c r="Y2629" s="21" t="n">
        <v>0</v>
      </c>
      <c r="Z2629" s="21" t="n">
        <v>0</v>
      </c>
      <c r="AA2629" s="21" t="n">
        <v>0</v>
      </c>
      <c r="AB2629" s="21" t="n">
        <v>0</v>
      </c>
      <c r="AC2629" s="21" t="n">
        <v>0</v>
      </c>
      <c r="AD2629" s="21" t="n">
        <v>0</v>
      </c>
      <c r="AE2629" s="21" t="n">
        <v>0</v>
      </c>
      <c r="AF2629" s="21" t="n">
        <v>0</v>
      </c>
      <c r="AG2629" s="21" t="n">
        <v>0</v>
      </c>
      <c r="AH2629" s="21">
        <f>$B$1812</f>
        <v/>
      </c>
      <c r="AI2629" s="21">
        <f>$B$1814</f>
        <v/>
      </c>
      <c r="AJ2629" s="21">
        <f>0</f>
        <v/>
      </c>
      <c r="AK2629" s="21">
        <f>2*$B$1813</f>
        <v/>
      </c>
      <c r="AL2629" s="21">
        <f>-$B$1812</f>
        <v/>
      </c>
      <c r="AM2629" s="21">
        <f>$B$1814</f>
        <v/>
      </c>
      <c r="AN2629" s="21" t="n">
        <v>0</v>
      </c>
      <c r="AO2629" s="21" t="n">
        <v>0</v>
      </c>
      <c r="AP2629" s="21" t="n">
        <v>0</v>
      </c>
      <c r="AQ2629" s="21" t="n">
        <v>0</v>
      </c>
      <c r="AR2629" s="21" t="n">
        <v>0</v>
      </c>
      <c r="AS2629" s="21" t="n">
        <v>0</v>
      </c>
      <c r="AT2629" s="19" t="n"/>
    </row>
    <row r="2630">
      <c r="D2630" s="21" t="n">
        <v>0</v>
      </c>
      <c r="E2630" s="21" t="n">
        <v>0</v>
      </c>
      <c r="F2630" s="21" t="n">
        <v>0</v>
      </c>
      <c r="G2630" s="21" t="n">
        <v>0</v>
      </c>
      <c r="H2630" s="21" t="n">
        <v>0</v>
      </c>
      <c r="I2630" s="21" t="n">
        <v>0</v>
      </c>
      <c r="J2630" s="21" t="n">
        <v>0</v>
      </c>
      <c r="K2630" s="21" t="n">
        <v>0</v>
      </c>
      <c r="L2630" s="21" t="n">
        <v>0</v>
      </c>
      <c r="M2630" s="21" t="n">
        <v>0</v>
      </c>
      <c r="N2630" s="21" t="n">
        <v>0</v>
      </c>
      <c r="O2630" s="21" t="n">
        <v>0</v>
      </c>
      <c r="P2630" s="21" t="n">
        <v>0</v>
      </c>
      <c r="Q2630" s="21" t="n">
        <v>0</v>
      </c>
      <c r="R2630" s="21" t="n">
        <v>0</v>
      </c>
      <c r="S2630" s="21" t="n">
        <v>0</v>
      </c>
      <c r="T2630" s="21" t="n">
        <v>0</v>
      </c>
      <c r="U2630" s="21" t="n">
        <v>0</v>
      </c>
      <c r="V2630" s="21" t="n">
        <v>0</v>
      </c>
      <c r="W2630" s="21" t="n">
        <v>0</v>
      </c>
      <c r="X2630" s="21" t="n">
        <v>0</v>
      </c>
      <c r="Y2630" s="21" t="n">
        <v>0</v>
      </c>
      <c r="Z2630" s="21" t="n">
        <v>0</v>
      </c>
      <c r="AA2630" s="21" t="n">
        <v>0</v>
      </c>
      <c r="AB2630" s="21" t="n">
        <v>0</v>
      </c>
      <c r="AC2630" s="21" t="n">
        <v>0</v>
      </c>
      <c r="AD2630" s="21" t="n">
        <v>0</v>
      </c>
      <c r="AE2630" s="21" t="n">
        <v>0</v>
      </c>
      <c r="AF2630" s="21" t="n">
        <v>0</v>
      </c>
      <c r="AG2630" s="21" t="n">
        <v>0</v>
      </c>
      <c r="AH2630" s="21" t="n">
        <v>0</v>
      </c>
      <c r="AI2630" s="21" t="n">
        <v>0</v>
      </c>
      <c r="AJ2630" s="21">
        <f>-$B$1811</f>
        <v/>
      </c>
      <c r="AK2630" s="21">
        <f>-$B$1812</f>
        <v/>
      </c>
      <c r="AL2630" s="21">
        <f>2*$B$1811+$D$2591</f>
        <v/>
      </c>
      <c r="AM2630" s="21">
        <f>0</f>
        <v/>
      </c>
      <c r="AN2630" s="21">
        <f>-$B$1811</f>
        <v/>
      </c>
      <c r="AO2630" s="21">
        <f>$B$1812</f>
        <v/>
      </c>
      <c r="AP2630" s="21" t="n">
        <v>0</v>
      </c>
      <c r="AQ2630" s="21" t="n">
        <v>0</v>
      </c>
      <c r="AR2630" s="21" t="n">
        <v>0</v>
      </c>
      <c r="AS2630" s="21" t="n">
        <v>0</v>
      </c>
      <c r="AT2630" s="19" t="n"/>
    </row>
    <row r="2631">
      <c r="D2631" s="21" t="n">
        <v>0</v>
      </c>
      <c r="E2631" s="21" t="n">
        <v>0</v>
      </c>
      <c r="F2631" s="21" t="n">
        <v>0</v>
      </c>
      <c r="G2631" s="21" t="n">
        <v>0</v>
      </c>
      <c r="H2631" s="21" t="n">
        <v>0</v>
      </c>
      <c r="I2631" s="21" t="n">
        <v>0</v>
      </c>
      <c r="J2631" s="21" t="n">
        <v>0</v>
      </c>
      <c r="K2631" s="21" t="n">
        <v>0</v>
      </c>
      <c r="L2631" s="21" t="n">
        <v>0</v>
      </c>
      <c r="M2631" s="21" t="n">
        <v>0</v>
      </c>
      <c r="N2631" s="21" t="n">
        <v>0</v>
      </c>
      <c r="O2631" s="21" t="n">
        <v>0</v>
      </c>
      <c r="P2631" s="21" t="n">
        <v>0</v>
      </c>
      <c r="Q2631" s="21" t="n">
        <v>0</v>
      </c>
      <c r="R2631" s="21" t="n">
        <v>0</v>
      </c>
      <c r="S2631" s="21" t="n">
        <v>0</v>
      </c>
      <c r="T2631" s="21" t="n">
        <v>0</v>
      </c>
      <c r="U2631" s="21" t="n">
        <v>0</v>
      </c>
      <c r="V2631" s="21" t="n">
        <v>0</v>
      </c>
      <c r="W2631" s="21" t="n">
        <v>0</v>
      </c>
      <c r="X2631" s="21" t="n">
        <v>0</v>
      </c>
      <c r="Y2631" s="21" t="n">
        <v>0</v>
      </c>
      <c r="Z2631" s="21" t="n">
        <v>0</v>
      </c>
      <c r="AA2631" s="21" t="n">
        <v>0</v>
      </c>
      <c r="AB2631" s="21" t="n">
        <v>0</v>
      </c>
      <c r="AC2631" s="21" t="n">
        <v>0</v>
      </c>
      <c r="AD2631" s="21" t="n">
        <v>0</v>
      </c>
      <c r="AE2631" s="21" t="n">
        <v>0</v>
      </c>
      <c r="AF2631" s="21" t="n">
        <v>0</v>
      </c>
      <c r="AG2631" s="21" t="n">
        <v>0</v>
      </c>
      <c r="AH2631" s="21" t="n">
        <v>0</v>
      </c>
      <c r="AI2631" s="21" t="n">
        <v>0</v>
      </c>
      <c r="AJ2631" s="21">
        <f>$B$1812</f>
        <v/>
      </c>
      <c r="AK2631" s="21">
        <f>$B$1814</f>
        <v/>
      </c>
      <c r="AL2631" s="21">
        <f>0</f>
        <v/>
      </c>
      <c r="AM2631" s="21">
        <f>2*$B$1813</f>
        <v/>
      </c>
      <c r="AN2631" s="21">
        <f>-$B$1812</f>
        <v/>
      </c>
      <c r="AO2631" s="21">
        <f>$B$1814</f>
        <v/>
      </c>
      <c r="AP2631" s="21" t="n">
        <v>0</v>
      </c>
      <c r="AQ2631" s="21" t="n">
        <v>0</v>
      </c>
      <c r="AR2631" s="21" t="n">
        <v>0</v>
      </c>
      <c r="AS2631" s="21" t="n">
        <v>0</v>
      </c>
      <c r="AT2631" s="19" t="n"/>
    </row>
    <row r="2632">
      <c r="D2632" s="21" t="n">
        <v>0</v>
      </c>
      <c r="E2632" s="21" t="n">
        <v>0</v>
      </c>
      <c r="F2632" s="21" t="n">
        <v>0</v>
      </c>
      <c r="G2632" s="21" t="n">
        <v>0</v>
      </c>
      <c r="H2632" s="21" t="n">
        <v>0</v>
      </c>
      <c r="I2632" s="21" t="n">
        <v>0</v>
      </c>
      <c r="J2632" s="21" t="n">
        <v>0</v>
      </c>
      <c r="K2632" s="21" t="n">
        <v>0</v>
      </c>
      <c r="L2632" s="21" t="n">
        <v>0</v>
      </c>
      <c r="M2632" s="21" t="n">
        <v>0</v>
      </c>
      <c r="N2632" s="21" t="n">
        <v>0</v>
      </c>
      <c r="O2632" s="21" t="n">
        <v>0</v>
      </c>
      <c r="P2632" s="21" t="n">
        <v>0</v>
      </c>
      <c r="Q2632" s="21" t="n">
        <v>0</v>
      </c>
      <c r="R2632" s="21" t="n">
        <v>0</v>
      </c>
      <c r="S2632" s="21" t="n">
        <v>0</v>
      </c>
      <c r="T2632" s="21" t="n">
        <v>0</v>
      </c>
      <c r="U2632" s="21" t="n">
        <v>0</v>
      </c>
      <c r="V2632" s="21" t="n">
        <v>0</v>
      </c>
      <c r="W2632" s="21" t="n">
        <v>0</v>
      </c>
      <c r="X2632" s="21" t="n">
        <v>0</v>
      </c>
      <c r="Y2632" s="21" t="n">
        <v>0</v>
      </c>
      <c r="Z2632" s="21" t="n">
        <v>0</v>
      </c>
      <c r="AA2632" s="21" t="n">
        <v>0</v>
      </c>
      <c r="AB2632" s="21" t="n">
        <v>0</v>
      </c>
      <c r="AC2632" s="21" t="n">
        <v>0</v>
      </c>
      <c r="AD2632" s="21" t="n">
        <v>0</v>
      </c>
      <c r="AE2632" s="21" t="n">
        <v>0</v>
      </c>
      <c r="AF2632" s="21" t="n">
        <v>0</v>
      </c>
      <c r="AG2632" s="21" t="n">
        <v>0</v>
      </c>
      <c r="AH2632" s="21" t="n">
        <v>0</v>
      </c>
      <c r="AI2632" s="21" t="n">
        <v>0</v>
      </c>
      <c r="AJ2632" s="21" t="n">
        <v>0</v>
      </c>
      <c r="AK2632" s="21" t="n">
        <v>0</v>
      </c>
      <c r="AL2632" s="21">
        <f>-$B$1811</f>
        <v/>
      </c>
      <c r="AM2632" s="21">
        <f>-$B$1812</f>
        <v/>
      </c>
      <c r="AN2632" s="21">
        <f>2*$B$1811+$D$2592</f>
        <v/>
      </c>
      <c r="AO2632" s="21">
        <f>0</f>
        <v/>
      </c>
      <c r="AP2632" s="21">
        <f>-$B$1811</f>
        <v/>
      </c>
      <c r="AQ2632" s="21">
        <f>$B$1812</f>
        <v/>
      </c>
      <c r="AR2632" s="21" t="n">
        <v>0</v>
      </c>
      <c r="AS2632" s="21" t="n">
        <v>0</v>
      </c>
      <c r="AT2632" s="19" t="n"/>
    </row>
    <row r="2633">
      <c r="D2633" s="21" t="n">
        <v>0</v>
      </c>
      <c r="E2633" s="21" t="n">
        <v>0</v>
      </c>
      <c r="F2633" s="21" t="n">
        <v>0</v>
      </c>
      <c r="G2633" s="21" t="n">
        <v>0</v>
      </c>
      <c r="H2633" s="21" t="n">
        <v>0</v>
      </c>
      <c r="I2633" s="21" t="n">
        <v>0</v>
      </c>
      <c r="J2633" s="21" t="n">
        <v>0</v>
      </c>
      <c r="K2633" s="21" t="n">
        <v>0</v>
      </c>
      <c r="L2633" s="21" t="n">
        <v>0</v>
      </c>
      <c r="M2633" s="21" t="n">
        <v>0</v>
      </c>
      <c r="N2633" s="21" t="n">
        <v>0</v>
      </c>
      <c r="O2633" s="21" t="n">
        <v>0</v>
      </c>
      <c r="P2633" s="21" t="n">
        <v>0</v>
      </c>
      <c r="Q2633" s="21" t="n">
        <v>0</v>
      </c>
      <c r="R2633" s="21" t="n">
        <v>0</v>
      </c>
      <c r="S2633" s="21" t="n">
        <v>0</v>
      </c>
      <c r="T2633" s="21" t="n">
        <v>0</v>
      </c>
      <c r="U2633" s="21" t="n">
        <v>0</v>
      </c>
      <c r="V2633" s="21" t="n">
        <v>0</v>
      </c>
      <c r="W2633" s="21" t="n">
        <v>0</v>
      </c>
      <c r="X2633" s="21" t="n">
        <v>0</v>
      </c>
      <c r="Y2633" s="21" t="n">
        <v>0</v>
      </c>
      <c r="Z2633" s="21" t="n">
        <v>0</v>
      </c>
      <c r="AA2633" s="21" t="n">
        <v>0</v>
      </c>
      <c r="AB2633" s="21" t="n">
        <v>0</v>
      </c>
      <c r="AC2633" s="21" t="n">
        <v>0</v>
      </c>
      <c r="AD2633" s="21" t="n">
        <v>0</v>
      </c>
      <c r="AE2633" s="21" t="n">
        <v>0</v>
      </c>
      <c r="AF2633" s="21" t="n">
        <v>0</v>
      </c>
      <c r="AG2633" s="21" t="n">
        <v>0</v>
      </c>
      <c r="AH2633" s="21" t="n">
        <v>0</v>
      </c>
      <c r="AI2633" s="21" t="n">
        <v>0</v>
      </c>
      <c r="AJ2633" s="21" t="n">
        <v>0</v>
      </c>
      <c r="AK2633" s="21" t="n">
        <v>0</v>
      </c>
      <c r="AL2633" s="21">
        <f>$B$1812</f>
        <v/>
      </c>
      <c r="AM2633" s="21">
        <f>$B$1814</f>
        <v/>
      </c>
      <c r="AN2633" s="21">
        <f>0</f>
        <v/>
      </c>
      <c r="AO2633" s="21">
        <f>2*$B$1813</f>
        <v/>
      </c>
      <c r="AP2633" s="21">
        <f>-$B$1812</f>
        <v/>
      </c>
      <c r="AQ2633" s="21">
        <f>$B$1814</f>
        <v/>
      </c>
      <c r="AR2633" s="21" t="n">
        <v>0</v>
      </c>
      <c r="AS2633" s="21" t="n">
        <v>0</v>
      </c>
      <c r="AT2633" s="19" t="n"/>
    </row>
    <row r="2634">
      <c r="D2634" s="21" t="n">
        <v>0</v>
      </c>
      <c r="E2634" s="21" t="n">
        <v>0</v>
      </c>
      <c r="F2634" s="21" t="n">
        <v>0</v>
      </c>
      <c r="G2634" s="21" t="n">
        <v>0</v>
      </c>
      <c r="H2634" s="21" t="n">
        <v>0</v>
      </c>
      <c r="I2634" s="21" t="n">
        <v>0</v>
      </c>
      <c r="J2634" s="21" t="n">
        <v>0</v>
      </c>
      <c r="K2634" s="21" t="n">
        <v>0</v>
      </c>
      <c r="L2634" s="21" t="n">
        <v>0</v>
      </c>
      <c r="M2634" s="21" t="n">
        <v>0</v>
      </c>
      <c r="N2634" s="21" t="n">
        <v>0</v>
      </c>
      <c r="O2634" s="21" t="n">
        <v>0</v>
      </c>
      <c r="P2634" s="21" t="n">
        <v>0</v>
      </c>
      <c r="Q2634" s="21" t="n">
        <v>0</v>
      </c>
      <c r="R2634" s="21" t="n">
        <v>0</v>
      </c>
      <c r="S2634" s="21" t="n">
        <v>0</v>
      </c>
      <c r="T2634" s="21" t="n">
        <v>0</v>
      </c>
      <c r="U2634" s="21" t="n">
        <v>0</v>
      </c>
      <c r="V2634" s="21" t="n">
        <v>0</v>
      </c>
      <c r="W2634" s="21" t="n">
        <v>0</v>
      </c>
      <c r="X2634" s="21" t="n">
        <v>0</v>
      </c>
      <c r="Y2634" s="21" t="n">
        <v>0</v>
      </c>
      <c r="Z2634" s="21" t="n">
        <v>0</v>
      </c>
      <c r="AA2634" s="21" t="n">
        <v>0</v>
      </c>
      <c r="AB2634" s="21" t="n">
        <v>0</v>
      </c>
      <c r="AC2634" s="21" t="n">
        <v>0</v>
      </c>
      <c r="AD2634" s="21" t="n">
        <v>0</v>
      </c>
      <c r="AE2634" s="21" t="n">
        <v>0</v>
      </c>
      <c r="AF2634" s="21" t="n">
        <v>0</v>
      </c>
      <c r="AG2634" s="21" t="n">
        <v>0</v>
      </c>
      <c r="AH2634" s="21" t="n">
        <v>0</v>
      </c>
      <c r="AI2634" s="21" t="n">
        <v>0</v>
      </c>
      <c r="AJ2634" s="21" t="n">
        <v>0</v>
      </c>
      <c r="AK2634" s="21" t="n">
        <v>0</v>
      </c>
      <c r="AL2634" s="21" t="n">
        <v>0</v>
      </c>
      <c r="AM2634" s="21" t="n">
        <v>0</v>
      </c>
      <c r="AN2634" s="21">
        <f>-$B$1811</f>
        <v/>
      </c>
      <c r="AO2634" s="21">
        <f>-$B$1812</f>
        <v/>
      </c>
      <c r="AP2634" s="21">
        <f>2*$B$1811+$D$2593</f>
        <v/>
      </c>
      <c r="AQ2634" s="21">
        <f>0</f>
        <v/>
      </c>
      <c r="AR2634" s="21">
        <f>-$B$1811</f>
        <v/>
      </c>
      <c r="AS2634" s="21">
        <f>$B$1812</f>
        <v/>
      </c>
      <c r="AT2634" s="19" t="n"/>
    </row>
    <row r="2635">
      <c r="D2635" s="21" t="n">
        <v>0</v>
      </c>
      <c r="E2635" s="21" t="n">
        <v>0</v>
      </c>
      <c r="F2635" s="21" t="n">
        <v>0</v>
      </c>
      <c r="G2635" s="21" t="n">
        <v>0</v>
      </c>
      <c r="H2635" s="21" t="n">
        <v>0</v>
      </c>
      <c r="I2635" s="21" t="n">
        <v>0</v>
      </c>
      <c r="J2635" s="21" t="n">
        <v>0</v>
      </c>
      <c r="K2635" s="21" t="n">
        <v>0</v>
      </c>
      <c r="L2635" s="21" t="n">
        <v>0</v>
      </c>
      <c r="M2635" s="21" t="n">
        <v>0</v>
      </c>
      <c r="N2635" s="21" t="n">
        <v>0</v>
      </c>
      <c r="O2635" s="21" t="n">
        <v>0</v>
      </c>
      <c r="P2635" s="21" t="n">
        <v>0</v>
      </c>
      <c r="Q2635" s="21" t="n">
        <v>0</v>
      </c>
      <c r="R2635" s="21" t="n">
        <v>0</v>
      </c>
      <c r="S2635" s="21" t="n">
        <v>0</v>
      </c>
      <c r="T2635" s="21" t="n">
        <v>0</v>
      </c>
      <c r="U2635" s="21" t="n">
        <v>0</v>
      </c>
      <c r="V2635" s="21" t="n">
        <v>0</v>
      </c>
      <c r="W2635" s="21" t="n">
        <v>0</v>
      </c>
      <c r="X2635" s="21" t="n">
        <v>0</v>
      </c>
      <c r="Y2635" s="21" t="n">
        <v>0</v>
      </c>
      <c r="Z2635" s="21" t="n">
        <v>0</v>
      </c>
      <c r="AA2635" s="21" t="n">
        <v>0</v>
      </c>
      <c r="AB2635" s="21" t="n">
        <v>0</v>
      </c>
      <c r="AC2635" s="21" t="n">
        <v>0</v>
      </c>
      <c r="AD2635" s="21" t="n">
        <v>0</v>
      </c>
      <c r="AE2635" s="21" t="n">
        <v>0</v>
      </c>
      <c r="AF2635" s="21" t="n">
        <v>0</v>
      </c>
      <c r="AG2635" s="21" t="n">
        <v>0</v>
      </c>
      <c r="AH2635" s="21" t="n">
        <v>0</v>
      </c>
      <c r="AI2635" s="21" t="n">
        <v>0</v>
      </c>
      <c r="AJ2635" s="21" t="n">
        <v>0</v>
      </c>
      <c r="AK2635" s="21" t="n">
        <v>0</v>
      </c>
      <c r="AL2635" s="21" t="n">
        <v>0</v>
      </c>
      <c r="AM2635" s="21" t="n">
        <v>0</v>
      </c>
      <c r="AN2635" s="21">
        <f>$B$1812</f>
        <v/>
      </c>
      <c r="AO2635" s="21">
        <f>$B$1814</f>
        <v/>
      </c>
      <c r="AP2635" s="21">
        <f>0</f>
        <v/>
      </c>
      <c r="AQ2635" s="21">
        <f>2*$B$1813</f>
        <v/>
      </c>
      <c r="AR2635" s="21">
        <f>-$B$1812</f>
        <v/>
      </c>
      <c r="AS2635" s="21">
        <f>$B$1814</f>
        <v/>
      </c>
      <c r="AT2635" s="19" t="n"/>
    </row>
    <row r="2636">
      <c r="D2636" s="21" t="n">
        <v>0</v>
      </c>
      <c r="E2636" s="21" t="n">
        <v>0</v>
      </c>
      <c r="F2636" s="21" t="n">
        <v>0</v>
      </c>
      <c r="G2636" s="21" t="n">
        <v>0</v>
      </c>
      <c r="H2636" s="21" t="n">
        <v>0</v>
      </c>
      <c r="I2636" s="21" t="n">
        <v>0</v>
      </c>
      <c r="J2636" s="21" t="n">
        <v>0</v>
      </c>
      <c r="K2636" s="21" t="n">
        <v>0</v>
      </c>
      <c r="L2636" s="21" t="n">
        <v>0</v>
      </c>
      <c r="M2636" s="21" t="n">
        <v>0</v>
      </c>
      <c r="N2636" s="21" t="n">
        <v>0</v>
      </c>
      <c r="O2636" s="21" t="n">
        <v>0</v>
      </c>
      <c r="P2636" s="21" t="n">
        <v>0</v>
      </c>
      <c r="Q2636" s="21" t="n">
        <v>0</v>
      </c>
      <c r="R2636" s="21" t="n">
        <v>0</v>
      </c>
      <c r="S2636" s="21" t="n">
        <v>0</v>
      </c>
      <c r="T2636" s="21" t="n">
        <v>0</v>
      </c>
      <c r="U2636" s="21" t="n">
        <v>0</v>
      </c>
      <c r="V2636" s="21" t="n">
        <v>0</v>
      </c>
      <c r="W2636" s="21" t="n">
        <v>0</v>
      </c>
      <c r="X2636" s="21" t="n">
        <v>0</v>
      </c>
      <c r="Y2636" s="21" t="n">
        <v>0</v>
      </c>
      <c r="Z2636" s="21" t="n">
        <v>0</v>
      </c>
      <c r="AA2636" s="21" t="n">
        <v>0</v>
      </c>
      <c r="AB2636" s="21" t="n">
        <v>0</v>
      </c>
      <c r="AC2636" s="21" t="n">
        <v>0</v>
      </c>
      <c r="AD2636" s="21" t="n">
        <v>0</v>
      </c>
      <c r="AE2636" s="21" t="n">
        <v>0</v>
      </c>
      <c r="AF2636" s="21" t="n">
        <v>0</v>
      </c>
      <c r="AG2636" s="21" t="n">
        <v>0</v>
      </c>
      <c r="AH2636" s="21" t="n">
        <v>0</v>
      </c>
      <c r="AI2636" s="21" t="n">
        <v>0</v>
      </c>
      <c r="AJ2636" s="21" t="n">
        <v>0</v>
      </c>
      <c r="AK2636" s="21" t="n">
        <v>0</v>
      </c>
      <c r="AL2636" s="21" t="n">
        <v>0</v>
      </c>
      <c r="AM2636" s="21" t="n">
        <v>0</v>
      </c>
      <c r="AN2636" s="21" t="n">
        <v>0</v>
      </c>
      <c r="AO2636" s="21" t="n">
        <v>0</v>
      </c>
      <c r="AP2636" s="21">
        <f>-$B$1811</f>
        <v/>
      </c>
      <c r="AQ2636" s="21">
        <f>-$B$1812</f>
        <v/>
      </c>
      <c r="AR2636" s="21">
        <f>$B$1811+$D$2594</f>
        <v/>
      </c>
      <c r="AS2636" s="21">
        <f>-$B$1812</f>
        <v/>
      </c>
      <c r="AT2636" s="19" t="n"/>
    </row>
    <row r="2637">
      <c r="D2637" s="21" t="n">
        <v>0</v>
      </c>
      <c r="E2637" s="21" t="n">
        <v>0</v>
      </c>
      <c r="F2637" s="21" t="n">
        <v>0</v>
      </c>
      <c r="G2637" s="21" t="n">
        <v>0</v>
      </c>
      <c r="H2637" s="21" t="n">
        <v>0</v>
      </c>
      <c r="I2637" s="21" t="n">
        <v>0</v>
      </c>
      <c r="J2637" s="21" t="n">
        <v>0</v>
      </c>
      <c r="K2637" s="21" t="n">
        <v>0</v>
      </c>
      <c r="L2637" s="21" t="n">
        <v>0</v>
      </c>
      <c r="M2637" s="21" t="n">
        <v>0</v>
      </c>
      <c r="N2637" s="21" t="n">
        <v>0</v>
      </c>
      <c r="O2637" s="21" t="n">
        <v>0</v>
      </c>
      <c r="P2637" s="21" t="n">
        <v>0</v>
      </c>
      <c r="Q2637" s="21" t="n">
        <v>0</v>
      </c>
      <c r="R2637" s="21" t="n">
        <v>0</v>
      </c>
      <c r="S2637" s="21" t="n">
        <v>0</v>
      </c>
      <c r="T2637" s="21" t="n">
        <v>0</v>
      </c>
      <c r="U2637" s="21" t="n">
        <v>0</v>
      </c>
      <c r="V2637" s="21" t="n">
        <v>0</v>
      </c>
      <c r="W2637" s="21" t="n">
        <v>0</v>
      </c>
      <c r="X2637" s="21" t="n">
        <v>0</v>
      </c>
      <c r="Y2637" s="21" t="n">
        <v>0</v>
      </c>
      <c r="Z2637" s="21" t="n">
        <v>0</v>
      </c>
      <c r="AA2637" s="21" t="n">
        <v>0</v>
      </c>
      <c r="AB2637" s="21" t="n">
        <v>0</v>
      </c>
      <c r="AC2637" s="21" t="n">
        <v>0</v>
      </c>
      <c r="AD2637" s="21" t="n">
        <v>0</v>
      </c>
      <c r="AE2637" s="21" t="n">
        <v>0</v>
      </c>
      <c r="AF2637" s="21" t="n">
        <v>0</v>
      </c>
      <c r="AG2637" s="21" t="n">
        <v>0</v>
      </c>
      <c r="AH2637" s="21" t="n">
        <v>0</v>
      </c>
      <c r="AI2637" s="21" t="n">
        <v>0</v>
      </c>
      <c r="AJ2637" s="21" t="n">
        <v>0</v>
      </c>
      <c r="AK2637" s="21" t="n">
        <v>0</v>
      </c>
      <c r="AL2637" s="21" t="n">
        <v>0</v>
      </c>
      <c r="AM2637" s="21" t="n">
        <v>0</v>
      </c>
      <c r="AN2637" s="21" t="n">
        <v>0</v>
      </c>
      <c r="AO2637" s="21" t="n">
        <v>0</v>
      </c>
      <c r="AP2637" s="21">
        <f>$B$1812</f>
        <v/>
      </c>
      <c r="AQ2637" s="21">
        <f>$B$1814</f>
        <v/>
      </c>
      <c r="AR2637" s="21">
        <f>-$B$1812</f>
        <v/>
      </c>
      <c r="AS2637" s="21">
        <f>$B$1813</f>
        <v/>
      </c>
      <c r="AT2637" s="19" t="n"/>
    </row>
    <row r="2639">
      <c r="A2639" s="8" t="inlineStr">
        <is>
          <t>gen 12</t>
        </is>
      </c>
    </row>
    <row r="2640">
      <c r="D2640" s="19">
        <f>IF(ABS(IF(ABS($E$2574)&gt;0.000000001,$E$2574,0.000000001))=0,0,IF($E$1826&lt;=$B$1820,0,IF(ABS(IF(ABS($E$2574)&gt;0.000000001,$E$2574,0.000000001))&gt;=8*$B$1822,$H$1826,0.5*$H$1826*(ABS(IF(ABS($E$2574)&gt;0.000000001,$E$2574,0.000000001))/$B$1822)^(1/3)))/ABS(IF(ABS($E$2574)&gt;0.000000001,$E$2574,0.000000001))*$I$1826)</f>
        <v/>
      </c>
      <c r="E2640" s="19">
        <f>0.5*$E$2574+0.5*$AT$2662</f>
        <v/>
      </c>
      <c r="F2640" s="19">
        <f>$AT$2663</f>
        <v/>
      </c>
    </row>
    <row r="2641">
      <c r="D2641" s="19">
        <f>IF(ABS(IF(ABS($E$2575)&gt;0.000000001,$E$2575,0.000000001))=0,0,IF($E$1827&lt;=$B$1820,0,IF(ABS(IF(ABS($E$2575)&gt;0.000000001,$E$2575,0.000000001))&gt;=8*$B$1822,$H$1827,0.5*$H$1827*(ABS(IF(ABS($E$2575)&gt;0.000000001,$E$2575,0.000000001))/$B$1822)^(1/3)))/ABS(IF(ABS($E$2575)&gt;0.000000001,$E$2575,0.000000001))*$I$1827)</f>
        <v/>
      </c>
      <c r="E2641" s="19">
        <f>0.5*$E$2575+0.5*$AT$2664</f>
        <v/>
      </c>
      <c r="F2641" s="19">
        <f>$AT$2665</f>
        <v/>
      </c>
    </row>
    <row r="2642">
      <c r="D2642" s="19">
        <f>IF(ABS(IF(ABS($E$2576)&gt;0.000000001,$E$2576,0.000000001))=0,0,IF($E$1828&lt;=$B$1820,0,IF(ABS(IF(ABS($E$2576)&gt;0.000000001,$E$2576,0.000000001))&gt;=8*$B$1822,$H$1828,0.5*$H$1828*(ABS(IF(ABS($E$2576)&gt;0.000000001,$E$2576,0.000000001))/$B$1822)^(1/3)))/ABS(IF(ABS($E$2576)&gt;0.000000001,$E$2576,0.000000001))*$I$1828)</f>
        <v/>
      </c>
      <c r="E2642" s="19">
        <f>0.5*$E$2576+0.5*$AT$2666</f>
        <v/>
      </c>
      <c r="F2642" s="19">
        <f>$AT$2667</f>
        <v/>
      </c>
    </row>
    <row r="2643">
      <c r="D2643" s="19">
        <f>IF(ABS(IF(ABS($E$2577)&gt;0.000000001,$E$2577,0.000000001))=0,0,IF($E$1829&lt;=$B$1820,0,IF(ABS(IF(ABS($E$2577)&gt;0.000000001,$E$2577,0.000000001))&gt;=8*$B$1822,$H$1829,0.5*$H$1829*(ABS(IF(ABS($E$2577)&gt;0.000000001,$E$2577,0.000000001))/$B$1822)^(1/3)))/ABS(IF(ABS($E$2577)&gt;0.000000001,$E$2577,0.000000001))*$I$1829)</f>
        <v/>
      </c>
      <c r="E2643" s="19">
        <f>0.5*$E$2577+0.5*$AT$2668</f>
        <v/>
      </c>
      <c r="F2643" s="19">
        <f>$AT$2669</f>
        <v/>
      </c>
    </row>
    <row r="2644">
      <c r="D2644" s="19">
        <f>IF(ABS(IF(ABS($E$2578)&gt;0.000000001,$E$2578,0.000000001))=0,0,IF($E$1830&lt;=$B$1820,0,IF(ABS(IF(ABS($E$2578)&gt;0.000000001,$E$2578,0.000000001))&gt;=8*$B$1822,$H$1830,0.5*$H$1830*(ABS(IF(ABS($E$2578)&gt;0.000000001,$E$2578,0.000000001))/$B$1822)^(1/3)))/ABS(IF(ABS($E$2578)&gt;0.000000001,$E$2578,0.000000001))*$I$1830)</f>
        <v/>
      </c>
      <c r="E2644" s="19">
        <f>0.5*$E$2578+0.5*$AT$2670</f>
        <v/>
      </c>
      <c r="F2644" s="19">
        <f>$AT$2671</f>
        <v/>
      </c>
    </row>
    <row r="2645">
      <c r="D2645" s="19">
        <f>IF(ABS(IF(ABS($E$2579)&gt;0.000000001,$E$2579,0.000000001))=0,0,IF($E$1831&lt;=$B$1820,0,IF(ABS(IF(ABS($E$2579)&gt;0.000000001,$E$2579,0.000000001))&gt;=8*$B$1822,$H$1831,0.5*$H$1831*(ABS(IF(ABS($E$2579)&gt;0.000000001,$E$2579,0.000000001))/$B$1822)^(1/3)))/ABS(IF(ABS($E$2579)&gt;0.000000001,$E$2579,0.000000001))*$I$1831)</f>
        <v/>
      </c>
      <c r="E2645" s="19">
        <f>0.5*$E$2579+0.5*$AT$2672</f>
        <v/>
      </c>
      <c r="F2645" s="19">
        <f>$AT$2673</f>
        <v/>
      </c>
    </row>
    <row r="2646">
      <c r="D2646" s="19">
        <f>IF(ABS(IF(ABS($E$2580)&gt;0.000000001,$E$2580,0.000000001))=0,0,IF($E$1832&lt;=$B$1820,0,IF(ABS(IF(ABS($E$2580)&gt;0.000000001,$E$2580,0.000000001))&gt;=8*$B$1822,$H$1832,0.5*$H$1832*(ABS(IF(ABS($E$2580)&gt;0.000000001,$E$2580,0.000000001))/$B$1822)^(1/3)))/ABS(IF(ABS($E$2580)&gt;0.000000001,$E$2580,0.000000001))*$I$1832)</f>
        <v/>
      </c>
      <c r="E2646" s="19">
        <f>0.5*$E$2580+0.5*$AT$2674</f>
        <v/>
      </c>
      <c r="F2646" s="19">
        <f>$AT$2675</f>
        <v/>
      </c>
    </row>
    <row r="2647">
      <c r="D2647" s="19">
        <f>IF(ABS(IF(ABS($E$2581)&gt;0.000000001,$E$2581,0.000000001))=0,0,IF($E$1833&lt;=$B$1820,0,IF(ABS(IF(ABS($E$2581)&gt;0.000000001,$E$2581,0.000000001))&gt;=8*$B$1822,$H$1833,0.5*$H$1833*(ABS(IF(ABS($E$2581)&gt;0.000000001,$E$2581,0.000000001))/$B$1822)^(1/3)))/ABS(IF(ABS($E$2581)&gt;0.000000001,$E$2581,0.000000001))*$I$1833)</f>
        <v/>
      </c>
      <c r="E2647" s="19">
        <f>0.5*$E$2581+0.5*$AT$2676</f>
        <v/>
      </c>
      <c r="F2647" s="19">
        <f>$AT$2677</f>
        <v/>
      </c>
    </row>
    <row r="2648">
      <c r="D2648" s="19">
        <f>IF(ABS(IF(ABS($E$2582)&gt;0.000000001,$E$2582,0.000000001))=0,0,IF($E$1834&lt;=$B$1820,0,IF(ABS(IF(ABS($E$2582)&gt;0.000000001,$E$2582,0.000000001))&gt;=8*$B$1822,$H$1834,0.5*$H$1834*(ABS(IF(ABS($E$2582)&gt;0.000000001,$E$2582,0.000000001))/$B$1822)^(1/3)))/ABS(IF(ABS($E$2582)&gt;0.000000001,$E$2582,0.000000001))*$I$1834)</f>
        <v/>
      </c>
      <c r="E2648" s="19">
        <f>0.5*$E$2582+0.5*$AT$2678</f>
        <v/>
      </c>
      <c r="F2648" s="19">
        <f>$AT$2679</f>
        <v/>
      </c>
    </row>
    <row r="2649">
      <c r="D2649" s="19">
        <f>IF(ABS(IF(ABS($E$2583)&gt;0.000000001,$E$2583,0.000000001))=0,0,IF($E$1835&lt;=$B$1820,0,IF(ABS(IF(ABS($E$2583)&gt;0.000000001,$E$2583,0.000000001))&gt;=8*$B$1822,$H$1835,0.5*$H$1835*(ABS(IF(ABS($E$2583)&gt;0.000000001,$E$2583,0.000000001))/$B$1822)^(1/3)))/ABS(IF(ABS($E$2583)&gt;0.000000001,$E$2583,0.000000001))*$I$1835)</f>
        <v/>
      </c>
      <c r="E2649" s="19">
        <f>0.5*$E$2583+0.5*$AT$2680</f>
        <v/>
      </c>
      <c r="F2649" s="19">
        <f>$AT$2681</f>
        <v/>
      </c>
    </row>
    <row r="2650">
      <c r="D2650" s="19">
        <f>IF(ABS(IF(ABS($E$2584)&gt;0.000000001,$E$2584,0.000000001))=0,0,IF($E$1836&lt;=$B$1820,0,IF(ABS(IF(ABS($E$2584)&gt;0.000000001,$E$2584,0.000000001))&gt;=8*$B$1822,$H$1836,0.5*$H$1836*(ABS(IF(ABS($E$2584)&gt;0.000000001,$E$2584,0.000000001))/$B$1822)^(1/3)))/ABS(IF(ABS($E$2584)&gt;0.000000001,$E$2584,0.000000001))*$I$1836)</f>
        <v/>
      </c>
      <c r="E2650" s="19">
        <f>0.5*$E$2584+0.5*$AT$2682</f>
        <v/>
      </c>
      <c r="F2650" s="19">
        <f>$AT$2683</f>
        <v/>
      </c>
    </row>
    <row r="2651">
      <c r="D2651" s="19">
        <f>IF(ABS(IF(ABS($E$2585)&gt;0.000000001,$E$2585,0.000000001))=0,0,IF($E$1837&lt;=$B$1820,0,IF(ABS(IF(ABS($E$2585)&gt;0.000000001,$E$2585,0.000000001))&gt;=8*$B$1822,$H$1837,0.5*$H$1837*(ABS(IF(ABS($E$2585)&gt;0.000000001,$E$2585,0.000000001))/$B$1822)^(1/3)))/ABS(IF(ABS($E$2585)&gt;0.000000001,$E$2585,0.000000001))*$I$1837)</f>
        <v/>
      </c>
      <c r="E2651" s="19">
        <f>0.5*$E$2585+0.5*$AT$2684</f>
        <v/>
      </c>
      <c r="F2651" s="19">
        <f>$AT$2685</f>
        <v/>
      </c>
    </row>
    <row r="2652">
      <c r="D2652" s="19">
        <f>IF(ABS(IF(ABS($E$2586)&gt;0.000000001,$E$2586,0.000000001))=0,0,IF($E$1838&lt;=$B$1820,0,IF(ABS(IF(ABS($E$2586)&gt;0.000000001,$E$2586,0.000000001))&gt;=8*$B$1822,$H$1838,0.5*$H$1838*(ABS(IF(ABS($E$2586)&gt;0.000000001,$E$2586,0.000000001))/$B$1822)^(1/3)))/ABS(IF(ABS($E$2586)&gt;0.000000001,$E$2586,0.000000001))*$I$1838)</f>
        <v/>
      </c>
      <c r="E2652" s="19">
        <f>0.5*$E$2586+0.5*$AT$2686</f>
        <v/>
      </c>
      <c r="F2652" s="19">
        <f>$AT$2687</f>
        <v/>
      </c>
    </row>
    <row r="2653">
      <c r="D2653" s="19">
        <f>IF(ABS(IF(ABS($E$2587)&gt;0.000000001,$E$2587,0.000000001))=0,0,IF($E$1839&lt;=$B$1820,0,IF(ABS(IF(ABS($E$2587)&gt;0.000000001,$E$2587,0.000000001))&gt;=8*$B$1822,$H$1839,0.5*$H$1839*(ABS(IF(ABS($E$2587)&gt;0.000000001,$E$2587,0.000000001))/$B$1822)^(1/3)))/ABS(IF(ABS($E$2587)&gt;0.000000001,$E$2587,0.000000001))*$I$1839)</f>
        <v/>
      </c>
      <c r="E2653" s="19">
        <f>0.5*$E$2587+0.5*$AT$2688</f>
        <v/>
      </c>
      <c r="F2653" s="19">
        <f>$AT$2689</f>
        <v/>
      </c>
    </row>
    <row r="2654">
      <c r="D2654" s="19">
        <f>IF(ABS(IF(ABS($E$2588)&gt;0.000000001,$E$2588,0.000000001))=0,0,IF($E$1840&lt;=$B$1820,0,IF(ABS(IF(ABS($E$2588)&gt;0.000000001,$E$2588,0.000000001))&gt;=8*$B$1822,$H$1840,0.5*$H$1840*(ABS(IF(ABS($E$2588)&gt;0.000000001,$E$2588,0.000000001))/$B$1822)^(1/3)))/ABS(IF(ABS($E$2588)&gt;0.000000001,$E$2588,0.000000001))*$I$1840)</f>
        <v/>
      </c>
      <c r="E2654" s="19">
        <f>0.5*$E$2588+0.5*$AT$2690</f>
        <v/>
      </c>
      <c r="F2654" s="19">
        <f>$AT$2691</f>
        <v/>
      </c>
    </row>
    <row r="2655">
      <c r="D2655" s="19">
        <f>IF(ABS(IF(ABS($E$2589)&gt;0.000000001,$E$2589,0.000000001))=0,0,IF($E$1841&lt;=$B$1820,0,IF(ABS(IF(ABS($E$2589)&gt;0.000000001,$E$2589,0.000000001))&gt;=8*$B$1822,$H$1841,0.5*$H$1841*(ABS(IF(ABS($E$2589)&gt;0.000000001,$E$2589,0.000000001))/$B$1822)^(1/3)))/ABS(IF(ABS($E$2589)&gt;0.000000001,$E$2589,0.000000001))*$I$1841)</f>
        <v/>
      </c>
      <c r="E2655" s="19">
        <f>0.5*$E$2589+0.5*$AT$2692</f>
        <v/>
      </c>
      <c r="F2655" s="19">
        <f>$AT$2693</f>
        <v/>
      </c>
    </row>
    <row r="2656">
      <c r="D2656" s="19">
        <f>IF(ABS(IF(ABS($E$2590)&gt;0.000000001,$E$2590,0.000000001))=0,0,IF($E$1842&lt;=$B$1820,0,IF(ABS(IF(ABS($E$2590)&gt;0.000000001,$E$2590,0.000000001))&gt;=8*$B$1822,$H$1842,0.5*$H$1842*(ABS(IF(ABS($E$2590)&gt;0.000000001,$E$2590,0.000000001))/$B$1822)^(1/3)))/ABS(IF(ABS($E$2590)&gt;0.000000001,$E$2590,0.000000001))*$I$1842)</f>
        <v/>
      </c>
      <c r="E2656" s="19">
        <f>0.5*$E$2590+0.5*$AT$2694</f>
        <v/>
      </c>
      <c r="F2656" s="19">
        <f>$AT$2695</f>
        <v/>
      </c>
    </row>
    <row r="2657">
      <c r="D2657" s="19">
        <f>IF(ABS(IF(ABS($E$2591)&gt;0.000000001,$E$2591,0.000000001))=0,0,IF($E$1843&lt;=$B$1820,0,IF(ABS(IF(ABS($E$2591)&gt;0.000000001,$E$2591,0.000000001))&gt;=8*$B$1822,$H$1843,0.5*$H$1843*(ABS(IF(ABS($E$2591)&gt;0.000000001,$E$2591,0.000000001))/$B$1822)^(1/3)))/ABS(IF(ABS($E$2591)&gt;0.000000001,$E$2591,0.000000001))*$I$1843)</f>
        <v/>
      </c>
      <c r="E2657" s="19">
        <f>0.5*$E$2591+0.5*$AT$2696</f>
        <v/>
      </c>
      <c r="F2657" s="19">
        <f>$AT$2697</f>
        <v/>
      </c>
    </row>
    <row r="2658">
      <c r="D2658" s="19">
        <f>IF(ABS(IF(ABS($E$2592)&gt;0.000000001,$E$2592,0.000000001))=0,0,IF($E$1844&lt;=$B$1820,0,IF(ABS(IF(ABS($E$2592)&gt;0.000000001,$E$2592,0.000000001))&gt;=8*$B$1822,$H$1844,0.5*$H$1844*(ABS(IF(ABS($E$2592)&gt;0.000000001,$E$2592,0.000000001))/$B$1822)^(1/3)))/ABS(IF(ABS($E$2592)&gt;0.000000001,$E$2592,0.000000001))*$I$1844)</f>
        <v/>
      </c>
      <c r="E2658" s="19">
        <f>0.5*$E$2592+0.5*$AT$2698</f>
        <v/>
      </c>
      <c r="F2658" s="19">
        <f>$AT$2699</f>
        <v/>
      </c>
    </row>
    <row r="2659">
      <c r="D2659" s="19">
        <f>IF(ABS(IF(ABS($E$2593)&gt;0.000000001,$E$2593,0.000000001))=0,0,IF($E$1845&lt;=$B$1820,0,IF(ABS(IF(ABS($E$2593)&gt;0.000000001,$E$2593,0.000000001))&gt;=8*$B$1822,$H$1845,0.5*$H$1845*(ABS(IF(ABS($E$2593)&gt;0.000000001,$E$2593,0.000000001))/$B$1822)^(1/3)))/ABS(IF(ABS($E$2593)&gt;0.000000001,$E$2593,0.000000001))*$I$1845)</f>
        <v/>
      </c>
      <c r="E2659" s="19">
        <f>0.5*$E$2593+0.5*$AT$2700</f>
        <v/>
      </c>
      <c r="F2659" s="19">
        <f>$AT$2701</f>
        <v/>
      </c>
    </row>
    <row r="2660">
      <c r="D2660" s="19">
        <f>IF(ABS(IF(ABS($E$2594)&gt;0.000000001,$E$2594,0.000000001))=0,0,IF($E$1846&lt;=$B$1820,0,IF(ABS(IF(ABS($E$2594)&gt;0.000000001,$E$2594,0.000000001))&gt;=8*$B$1822,$H$1846,0.5*$H$1846*(ABS(IF(ABS($E$2594)&gt;0.000000001,$E$2594,0.000000001))/$B$1822)^(1/3)))/ABS(IF(ABS($E$2594)&gt;0.000000001,$E$2594,0.000000001))*$I$1846)</f>
        <v/>
      </c>
      <c r="E2660" s="19">
        <f>0.5*$E$2594+0.5*$AT$2702</f>
        <v/>
      </c>
      <c r="F2660" s="19">
        <f>$AT$2703</f>
        <v/>
      </c>
    </row>
    <row r="2662">
      <c r="D2662" s="21">
        <f>$B$1811+$D$2640</f>
        <v/>
      </c>
      <c r="E2662" s="21">
        <f>$B$1812</f>
        <v/>
      </c>
      <c r="F2662" s="21">
        <f>-$B$1811</f>
        <v/>
      </c>
      <c r="G2662" s="21">
        <f>$B$1812</f>
        <v/>
      </c>
      <c r="H2662" s="21" t="n">
        <v>0</v>
      </c>
      <c r="I2662" s="21" t="n">
        <v>0</v>
      </c>
      <c r="J2662" s="21" t="n">
        <v>0</v>
      </c>
      <c r="K2662" s="21" t="n">
        <v>0</v>
      </c>
      <c r="L2662" s="21" t="n">
        <v>0</v>
      </c>
      <c r="M2662" s="21" t="n">
        <v>0</v>
      </c>
      <c r="N2662" s="21" t="n">
        <v>0</v>
      </c>
      <c r="O2662" s="21" t="n">
        <v>0</v>
      </c>
      <c r="P2662" s="21" t="n">
        <v>0</v>
      </c>
      <c r="Q2662" s="21" t="n">
        <v>0</v>
      </c>
      <c r="R2662" s="21" t="n">
        <v>0</v>
      </c>
      <c r="S2662" s="21" t="n">
        <v>0</v>
      </c>
      <c r="T2662" s="21" t="n">
        <v>0</v>
      </c>
      <c r="U2662" s="21" t="n">
        <v>0</v>
      </c>
      <c r="V2662" s="21" t="n">
        <v>0</v>
      </c>
      <c r="W2662" s="21" t="n">
        <v>0</v>
      </c>
      <c r="X2662" s="21" t="n">
        <v>0</v>
      </c>
      <c r="Y2662" s="21" t="n">
        <v>0</v>
      </c>
      <c r="Z2662" s="21" t="n">
        <v>0</v>
      </c>
      <c r="AA2662" s="21" t="n">
        <v>0</v>
      </c>
      <c r="AB2662" s="21" t="n">
        <v>0</v>
      </c>
      <c r="AC2662" s="21" t="n">
        <v>0</v>
      </c>
      <c r="AD2662" s="21" t="n">
        <v>0</v>
      </c>
      <c r="AE2662" s="21" t="n">
        <v>0</v>
      </c>
      <c r="AF2662" s="21" t="n">
        <v>0</v>
      </c>
      <c r="AG2662" s="21" t="n">
        <v>0</v>
      </c>
      <c r="AH2662" s="21" t="n">
        <v>0</v>
      </c>
      <c r="AI2662" s="21" t="n">
        <v>0</v>
      </c>
      <c r="AJ2662" s="21" t="n">
        <v>0</v>
      </c>
      <c r="AK2662" s="21" t="n">
        <v>0</v>
      </c>
      <c r="AL2662" s="21" t="n">
        <v>0</v>
      </c>
      <c r="AM2662" s="21" t="n">
        <v>0</v>
      </c>
      <c r="AN2662" s="21" t="n">
        <v>0</v>
      </c>
      <c r="AO2662" s="21" t="n">
        <v>0</v>
      </c>
      <c r="AP2662" s="21" t="n">
        <v>0</v>
      </c>
      <c r="AQ2662" s="21" t="n">
        <v>0</v>
      </c>
      <c r="AR2662" s="21" t="n">
        <v>0</v>
      </c>
      <c r="AS2662" s="21" t="n">
        <v>0</v>
      </c>
      <c r="AT2662" s="19">
        <f t="array" ref="AT2662:AT2703">MMULT(MINVERSE($D$2662:$AS$2703),$D$1848:$D$1889)</f>
        <v/>
      </c>
    </row>
    <row r="2663">
      <c r="D2663" s="21">
        <f>$B$1812</f>
        <v/>
      </c>
      <c r="E2663" s="21">
        <f>$B$1813</f>
        <v/>
      </c>
      <c r="F2663" s="21">
        <f>-$B$1812</f>
        <v/>
      </c>
      <c r="G2663" s="21">
        <f>$B$1814</f>
        <v/>
      </c>
      <c r="H2663" s="21" t="n">
        <v>0</v>
      </c>
      <c r="I2663" s="21" t="n">
        <v>0</v>
      </c>
      <c r="J2663" s="21" t="n">
        <v>0</v>
      </c>
      <c r="K2663" s="21" t="n">
        <v>0</v>
      </c>
      <c r="L2663" s="21" t="n">
        <v>0</v>
      </c>
      <c r="M2663" s="21" t="n">
        <v>0</v>
      </c>
      <c r="N2663" s="21" t="n">
        <v>0</v>
      </c>
      <c r="O2663" s="21" t="n">
        <v>0</v>
      </c>
      <c r="P2663" s="21" t="n">
        <v>0</v>
      </c>
      <c r="Q2663" s="21" t="n">
        <v>0</v>
      </c>
      <c r="R2663" s="21" t="n">
        <v>0</v>
      </c>
      <c r="S2663" s="21" t="n">
        <v>0</v>
      </c>
      <c r="T2663" s="21" t="n">
        <v>0</v>
      </c>
      <c r="U2663" s="21" t="n">
        <v>0</v>
      </c>
      <c r="V2663" s="21" t="n">
        <v>0</v>
      </c>
      <c r="W2663" s="21" t="n">
        <v>0</v>
      </c>
      <c r="X2663" s="21" t="n">
        <v>0</v>
      </c>
      <c r="Y2663" s="21" t="n">
        <v>0</v>
      </c>
      <c r="Z2663" s="21" t="n">
        <v>0</v>
      </c>
      <c r="AA2663" s="21" t="n">
        <v>0</v>
      </c>
      <c r="AB2663" s="21" t="n">
        <v>0</v>
      </c>
      <c r="AC2663" s="21" t="n">
        <v>0</v>
      </c>
      <c r="AD2663" s="21" t="n">
        <v>0</v>
      </c>
      <c r="AE2663" s="21" t="n">
        <v>0</v>
      </c>
      <c r="AF2663" s="21" t="n">
        <v>0</v>
      </c>
      <c r="AG2663" s="21" t="n">
        <v>0</v>
      </c>
      <c r="AH2663" s="21" t="n">
        <v>0</v>
      </c>
      <c r="AI2663" s="21" t="n">
        <v>0</v>
      </c>
      <c r="AJ2663" s="21" t="n">
        <v>0</v>
      </c>
      <c r="AK2663" s="21" t="n">
        <v>0</v>
      </c>
      <c r="AL2663" s="21" t="n">
        <v>0</v>
      </c>
      <c r="AM2663" s="21" t="n">
        <v>0</v>
      </c>
      <c r="AN2663" s="21" t="n">
        <v>0</v>
      </c>
      <c r="AO2663" s="21" t="n">
        <v>0</v>
      </c>
      <c r="AP2663" s="21" t="n">
        <v>0</v>
      </c>
      <c r="AQ2663" s="21" t="n">
        <v>0</v>
      </c>
      <c r="AR2663" s="21" t="n">
        <v>0</v>
      </c>
      <c r="AS2663" s="21" t="n">
        <v>0</v>
      </c>
      <c r="AT2663" s="19" t="n"/>
    </row>
    <row r="2664">
      <c r="D2664" s="21">
        <f>-$B$1811</f>
        <v/>
      </c>
      <c r="E2664" s="21">
        <f>-$B$1812</f>
        <v/>
      </c>
      <c r="F2664" s="21">
        <f>2*$B$1811+$D$2641</f>
        <v/>
      </c>
      <c r="G2664" s="21">
        <f>0</f>
        <v/>
      </c>
      <c r="H2664" s="21">
        <f>-$B$1811</f>
        <v/>
      </c>
      <c r="I2664" s="21">
        <f>$B$1812</f>
        <v/>
      </c>
      <c r="J2664" s="21" t="n">
        <v>0</v>
      </c>
      <c r="K2664" s="21" t="n">
        <v>0</v>
      </c>
      <c r="L2664" s="21" t="n">
        <v>0</v>
      </c>
      <c r="M2664" s="21" t="n">
        <v>0</v>
      </c>
      <c r="N2664" s="21" t="n">
        <v>0</v>
      </c>
      <c r="O2664" s="21" t="n">
        <v>0</v>
      </c>
      <c r="P2664" s="21" t="n">
        <v>0</v>
      </c>
      <c r="Q2664" s="21" t="n">
        <v>0</v>
      </c>
      <c r="R2664" s="21" t="n">
        <v>0</v>
      </c>
      <c r="S2664" s="21" t="n">
        <v>0</v>
      </c>
      <c r="T2664" s="21" t="n">
        <v>0</v>
      </c>
      <c r="U2664" s="21" t="n">
        <v>0</v>
      </c>
      <c r="V2664" s="21" t="n">
        <v>0</v>
      </c>
      <c r="W2664" s="21" t="n">
        <v>0</v>
      </c>
      <c r="X2664" s="21" t="n">
        <v>0</v>
      </c>
      <c r="Y2664" s="21" t="n">
        <v>0</v>
      </c>
      <c r="Z2664" s="21" t="n">
        <v>0</v>
      </c>
      <c r="AA2664" s="21" t="n">
        <v>0</v>
      </c>
      <c r="AB2664" s="21" t="n">
        <v>0</v>
      </c>
      <c r="AC2664" s="21" t="n">
        <v>0</v>
      </c>
      <c r="AD2664" s="21" t="n">
        <v>0</v>
      </c>
      <c r="AE2664" s="21" t="n">
        <v>0</v>
      </c>
      <c r="AF2664" s="21" t="n">
        <v>0</v>
      </c>
      <c r="AG2664" s="21" t="n">
        <v>0</v>
      </c>
      <c r="AH2664" s="21" t="n">
        <v>0</v>
      </c>
      <c r="AI2664" s="21" t="n">
        <v>0</v>
      </c>
      <c r="AJ2664" s="21" t="n">
        <v>0</v>
      </c>
      <c r="AK2664" s="21" t="n">
        <v>0</v>
      </c>
      <c r="AL2664" s="21" t="n">
        <v>0</v>
      </c>
      <c r="AM2664" s="21" t="n">
        <v>0</v>
      </c>
      <c r="AN2664" s="21" t="n">
        <v>0</v>
      </c>
      <c r="AO2664" s="21" t="n">
        <v>0</v>
      </c>
      <c r="AP2664" s="21" t="n">
        <v>0</v>
      </c>
      <c r="AQ2664" s="21" t="n">
        <v>0</v>
      </c>
      <c r="AR2664" s="21" t="n">
        <v>0</v>
      </c>
      <c r="AS2664" s="21" t="n">
        <v>0</v>
      </c>
      <c r="AT2664" s="19" t="n"/>
    </row>
    <row r="2665">
      <c r="D2665" s="21">
        <f>$B$1812</f>
        <v/>
      </c>
      <c r="E2665" s="21">
        <f>$B$1814</f>
        <v/>
      </c>
      <c r="F2665" s="21">
        <f>0</f>
        <v/>
      </c>
      <c r="G2665" s="21">
        <f>2*$B$1813</f>
        <v/>
      </c>
      <c r="H2665" s="21">
        <f>-$B$1812</f>
        <v/>
      </c>
      <c r="I2665" s="21">
        <f>$B$1814</f>
        <v/>
      </c>
      <c r="J2665" s="21" t="n">
        <v>0</v>
      </c>
      <c r="K2665" s="21" t="n">
        <v>0</v>
      </c>
      <c r="L2665" s="21" t="n">
        <v>0</v>
      </c>
      <c r="M2665" s="21" t="n">
        <v>0</v>
      </c>
      <c r="N2665" s="21" t="n">
        <v>0</v>
      </c>
      <c r="O2665" s="21" t="n">
        <v>0</v>
      </c>
      <c r="P2665" s="21" t="n">
        <v>0</v>
      </c>
      <c r="Q2665" s="21" t="n">
        <v>0</v>
      </c>
      <c r="R2665" s="21" t="n">
        <v>0</v>
      </c>
      <c r="S2665" s="21" t="n">
        <v>0</v>
      </c>
      <c r="T2665" s="21" t="n">
        <v>0</v>
      </c>
      <c r="U2665" s="21" t="n">
        <v>0</v>
      </c>
      <c r="V2665" s="21" t="n">
        <v>0</v>
      </c>
      <c r="W2665" s="21" t="n">
        <v>0</v>
      </c>
      <c r="X2665" s="21" t="n">
        <v>0</v>
      </c>
      <c r="Y2665" s="21" t="n">
        <v>0</v>
      </c>
      <c r="Z2665" s="21" t="n">
        <v>0</v>
      </c>
      <c r="AA2665" s="21" t="n">
        <v>0</v>
      </c>
      <c r="AB2665" s="21" t="n">
        <v>0</v>
      </c>
      <c r="AC2665" s="21" t="n">
        <v>0</v>
      </c>
      <c r="AD2665" s="21" t="n">
        <v>0</v>
      </c>
      <c r="AE2665" s="21" t="n">
        <v>0</v>
      </c>
      <c r="AF2665" s="21" t="n">
        <v>0</v>
      </c>
      <c r="AG2665" s="21" t="n">
        <v>0</v>
      </c>
      <c r="AH2665" s="21" t="n">
        <v>0</v>
      </c>
      <c r="AI2665" s="21" t="n">
        <v>0</v>
      </c>
      <c r="AJ2665" s="21" t="n">
        <v>0</v>
      </c>
      <c r="AK2665" s="21" t="n">
        <v>0</v>
      </c>
      <c r="AL2665" s="21" t="n">
        <v>0</v>
      </c>
      <c r="AM2665" s="21" t="n">
        <v>0</v>
      </c>
      <c r="AN2665" s="21" t="n">
        <v>0</v>
      </c>
      <c r="AO2665" s="21" t="n">
        <v>0</v>
      </c>
      <c r="AP2665" s="21" t="n">
        <v>0</v>
      </c>
      <c r="AQ2665" s="21" t="n">
        <v>0</v>
      </c>
      <c r="AR2665" s="21" t="n">
        <v>0</v>
      </c>
      <c r="AS2665" s="21" t="n">
        <v>0</v>
      </c>
      <c r="AT2665" s="19" t="n"/>
    </row>
    <row r="2666">
      <c r="D2666" s="21" t="n">
        <v>0</v>
      </c>
      <c r="E2666" s="21" t="n">
        <v>0</v>
      </c>
      <c r="F2666" s="21">
        <f>-$B$1811</f>
        <v/>
      </c>
      <c r="G2666" s="21">
        <f>-$B$1812</f>
        <v/>
      </c>
      <c r="H2666" s="21">
        <f>2*$B$1811+$D$2642</f>
        <v/>
      </c>
      <c r="I2666" s="21">
        <f>0</f>
        <v/>
      </c>
      <c r="J2666" s="21">
        <f>-$B$1811</f>
        <v/>
      </c>
      <c r="K2666" s="21">
        <f>$B$1812</f>
        <v/>
      </c>
      <c r="L2666" s="21" t="n">
        <v>0</v>
      </c>
      <c r="M2666" s="21" t="n">
        <v>0</v>
      </c>
      <c r="N2666" s="21" t="n">
        <v>0</v>
      </c>
      <c r="O2666" s="21" t="n">
        <v>0</v>
      </c>
      <c r="P2666" s="21" t="n">
        <v>0</v>
      </c>
      <c r="Q2666" s="21" t="n">
        <v>0</v>
      </c>
      <c r="R2666" s="21" t="n">
        <v>0</v>
      </c>
      <c r="S2666" s="21" t="n">
        <v>0</v>
      </c>
      <c r="T2666" s="21" t="n">
        <v>0</v>
      </c>
      <c r="U2666" s="21" t="n">
        <v>0</v>
      </c>
      <c r="V2666" s="21" t="n">
        <v>0</v>
      </c>
      <c r="W2666" s="21" t="n">
        <v>0</v>
      </c>
      <c r="X2666" s="21" t="n">
        <v>0</v>
      </c>
      <c r="Y2666" s="21" t="n">
        <v>0</v>
      </c>
      <c r="Z2666" s="21" t="n">
        <v>0</v>
      </c>
      <c r="AA2666" s="21" t="n">
        <v>0</v>
      </c>
      <c r="AB2666" s="21" t="n">
        <v>0</v>
      </c>
      <c r="AC2666" s="21" t="n">
        <v>0</v>
      </c>
      <c r="AD2666" s="21" t="n">
        <v>0</v>
      </c>
      <c r="AE2666" s="21" t="n">
        <v>0</v>
      </c>
      <c r="AF2666" s="21" t="n">
        <v>0</v>
      </c>
      <c r="AG2666" s="21" t="n">
        <v>0</v>
      </c>
      <c r="AH2666" s="21" t="n">
        <v>0</v>
      </c>
      <c r="AI2666" s="21" t="n">
        <v>0</v>
      </c>
      <c r="AJ2666" s="21" t="n">
        <v>0</v>
      </c>
      <c r="AK2666" s="21" t="n">
        <v>0</v>
      </c>
      <c r="AL2666" s="21" t="n">
        <v>0</v>
      </c>
      <c r="AM2666" s="21" t="n">
        <v>0</v>
      </c>
      <c r="AN2666" s="21" t="n">
        <v>0</v>
      </c>
      <c r="AO2666" s="21" t="n">
        <v>0</v>
      </c>
      <c r="AP2666" s="21" t="n">
        <v>0</v>
      </c>
      <c r="AQ2666" s="21" t="n">
        <v>0</v>
      </c>
      <c r="AR2666" s="21" t="n">
        <v>0</v>
      </c>
      <c r="AS2666" s="21" t="n">
        <v>0</v>
      </c>
      <c r="AT2666" s="19" t="n"/>
    </row>
    <row r="2667">
      <c r="D2667" s="21" t="n">
        <v>0</v>
      </c>
      <c r="E2667" s="21" t="n">
        <v>0</v>
      </c>
      <c r="F2667" s="21">
        <f>$B$1812</f>
        <v/>
      </c>
      <c r="G2667" s="21">
        <f>$B$1814</f>
        <v/>
      </c>
      <c r="H2667" s="21">
        <f>0</f>
        <v/>
      </c>
      <c r="I2667" s="21">
        <f>2*$B$1813</f>
        <v/>
      </c>
      <c r="J2667" s="21">
        <f>-$B$1812</f>
        <v/>
      </c>
      <c r="K2667" s="21">
        <f>$B$1814</f>
        <v/>
      </c>
      <c r="L2667" s="21" t="n">
        <v>0</v>
      </c>
      <c r="M2667" s="21" t="n">
        <v>0</v>
      </c>
      <c r="N2667" s="21" t="n">
        <v>0</v>
      </c>
      <c r="O2667" s="21" t="n">
        <v>0</v>
      </c>
      <c r="P2667" s="21" t="n">
        <v>0</v>
      </c>
      <c r="Q2667" s="21" t="n">
        <v>0</v>
      </c>
      <c r="R2667" s="21" t="n">
        <v>0</v>
      </c>
      <c r="S2667" s="21" t="n">
        <v>0</v>
      </c>
      <c r="T2667" s="21" t="n">
        <v>0</v>
      </c>
      <c r="U2667" s="21" t="n">
        <v>0</v>
      </c>
      <c r="V2667" s="21" t="n">
        <v>0</v>
      </c>
      <c r="W2667" s="21" t="n">
        <v>0</v>
      </c>
      <c r="X2667" s="21" t="n">
        <v>0</v>
      </c>
      <c r="Y2667" s="21" t="n">
        <v>0</v>
      </c>
      <c r="Z2667" s="21" t="n">
        <v>0</v>
      </c>
      <c r="AA2667" s="21" t="n">
        <v>0</v>
      </c>
      <c r="AB2667" s="21" t="n">
        <v>0</v>
      </c>
      <c r="AC2667" s="21" t="n">
        <v>0</v>
      </c>
      <c r="AD2667" s="21" t="n">
        <v>0</v>
      </c>
      <c r="AE2667" s="21" t="n">
        <v>0</v>
      </c>
      <c r="AF2667" s="21" t="n">
        <v>0</v>
      </c>
      <c r="AG2667" s="21" t="n">
        <v>0</v>
      </c>
      <c r="AH2667" s="21" t="n">
        <v>0</v>
      </c>
      <c r="AI2667" s="21" t="n">
        <v>0</v>
      </c>
      <c r="AJ2667" s="21" t="n">
        <v>0</v>
      </c>
      <c r="AK2667" s="21" t="n">
        <v>0</v>
      </c>
      <c r="AL2667" s="21" t="n">
        <v>0</v>
      </c>
      <c r="AM2667" s="21" t="n">
        <v>0</v>
      </c>
      <c r="AN2667" s="21" t="n">
        <v>0</v>
      </c>
      <c r="AO2667" s="21" t="n">
        <v>0</v>
      </c>
      <c r="AP2667" s="21" t="n">
        <v>0</v>
      </c>
      <c r="AQ2667" s="21" t="n">
        <v>0</v>
      </c>
      <c r="AR2667" s="21" t="n">
        <v>0</v>
      </c>
      <c r="AS2667" s="21" t="n">
        <v>0</v>
      </c>
      <c r="AT2667" s="19" t="n"/>
    </row>
    <row r="2668">
      <c r="D2668" s="21" t="n">
        <v>0</v>
      </c>
      <c r="E2668" s="21" t="n">
        <v>0</v>
      </c>
      <c r="F2668" s="21" t="n">
        <v>0</v>
      </c>
      <c r="G2668" s="21" t="n">
        <v>0</v>
      </c>
      <c r="H2668" s="21">
        <f>-$B$1811</f>
        <v/>
      </c>
      <c r="I2668" s="21">
        <f>-$B$1812</f>
        <v/>
      </c>
      <c r="J2668" s="21">
        <f>2*$B$1811+$D$2643</f>
        <v/>
      </c>
      <c r="K2668" s="21">
        <f>0</f>
        <v/>
      </c>
      <c r="L2668" s="21">
        <f>-$B$1811</f>
        <v/>
      </c>
      <c r="M2668" s="21">
        <f>$B$1812</f>
        <v/>
      </c>
      <c r="N2668" s="21" t="n">
        <v>0</v>
      </c>
      <c r="O2668" s="21" t="n">
        <v>0</v>
      </c>
      <c r="P2668" s="21" t="n">
        <v>0</v>
      </c>
      <c r="Q2668" s="21" t="n">
        <v>0</v>
      </c>
      <c r="R2668" s="21" t="n">
        <v>0</v>
      </c>
      <c r="S2668" s="21" t="n">
        <v>0</v>
      </c>
      <c r="T2668" s="21" t="n">
        <v>0</v>
      </c>
      <c r="U2668" s="21" t="n">
        <v>0</v>
      </c>
      <c r="V2668" s="21" t="n">
        <v>0</v>
      </c>
      <c r="W2668" s="21" t="n">
        <v>0</v>
      </c>
      <c r="X2668" s="21" t="n">
        <v>0</v>
      </c>
      <c r="Y2668" s="21" t="n">
        <v>0</v>
      </c>
      <c r="Z2668" s="21" t="n">
        <v>0</v>
      </c>
      <c r="AA2668" s="21" t="n">
        <v>0</v>
      </c>
      <c r="AB2668" s="21" t="n">
        <v>0</v>
      </c>
      <c r="AC2668" s="21" t="n">
        <v>0</v>
      </c>
      <c r="AD2668" s="21" t="n">
        <v>0</v>
      </c>
      <c r="AE2668" s="21" t="n">
        <v>0</v>
      </c>
      <c r="AF2668" s="21" t="n">
        <v>0</v>
      </c>
      <c r="AG2668" s="21" t="n">
        <v>0</v>
      </c>
      <c r="AH2668" s="21" t="n">
        <v>0</v>
      </c>
      <c r="AI2668" s="21" t="n">
        <v>0</v>
      </c>
      <c r="AJ2668" s="21" t="n">
        <v>0</v>
      </c>
      <c r="AK2668" s="21" t="n">
        <v>0</v>
      </c>
      <c r="AL2668" s="21" t="n">
        <v>0</v>
      </c>
      <c r="AM2668" s="21" t="n">
        <v>0</v>
      </c>
      <c r="AN2668" s="21" t="n">
        <v>0</v>
      </c>
      <c r="AO2668" s="21" t="n">
        <v>0</v>
      </c>
      <c r="AP2668" s="21" t="n">
        <v>0</v>
      </c>
      <c r="AQ2668" s="21" t="n">
        <v>0</v>
      </c>
      <c r="AR2668" s="21" t="n">
        <v>0</v>
      </c>
      <c r="AS2668" s="21" t="n">
        <v>0</v>
      </c>
      <c r="AT2668" s="19" t="n"/>
    </row>
    <row r="2669">
      <c r="D2669" s="21" t="n">
        <v>0</v>
      </c>
      <c r="E2669" s="21" t="n">
        <v>0</v>
      </c>
      <c r="F2669" s="21" t="n">
        <v>0</v>
      </c>
      <c r="G2669" s="21" t="n">
        <v>0</v>
      </c>
      <c r="H2669" s="21">
        <f>$B$1812</f>
        <v/>
      </c>
      <c r="I2669" s="21">
        <f>$B$1814</f>
        <v/>
      </c>
      <c r="J2669" s="21">
        <f>0</f>
        <v/>
      </c>
      <c r="K2669" s="21">
        <f>2*$B$1813</f>
        <v/>
      </c>
      <c r="L2669" s="21">
        <f>-$B$1812</f>
        <v/>
      </c>
      <c r="M2669" s="21">
        <f>$B$1814</f>
        <v/>
      </c>
      <c r="N2669" s="21" t="n">
        <v>0</v>
      </c>
      <c r="O2669" s="21" t="n">
        <v>0</v>
      </c>
      <c r="P2669" s="21" t="n">
        <v>0</v>
      </c>
      <c r="Q2669" s="21" t="n">
        <v>0</v>
      </c>
      <c r="R2669" s="21" t="n">
        <v>0</v>
      </c>
      <c r="S2669" s="21" t="n">
        <v>0</v>
      </c>
      <c r="T2669" s="21" t="n">
        <v>0</v>
      </c>
      <c r="U2669" s="21" t="n">
        <v>0</v>
      </c>
      <c r="V2669" s="21" t="n">
        <v>0</v>
      </c>
      <c r="W2669" s="21" t="n">
        <v>0</v>
      </c>
      <c r="X2669" s="21" t="n">
        <v>0</v>
      </c>
      <c r="Y2669" s="21" t="n">
        <v>0</v>
      </c>
      <c r="Z2669" s="21" t="n">
        <v>0</v>
      </c>
      <c r="AA2669" s="21" t="n">
        <v>0</v>
      </c>
      <c r="AB2669" s="21" t="n">
        <v>0</v>
      </c>
      <c r="AC2669" s="21" t="n">
        <v>0</v>
      </c>
      <c r="AD2669" s="21" t="n">
        <v>0</v>
      </c>
      <c r="AE2669" s="21" t="n">
        <v>0</v>
      </c>
      <c r="AF2669" s="21" t="n">
        <v>0</v>
      </c>
      <c r="AG2669" s="21" t="n">
        <v>0</v>
      </c>
      <c r="AH2669" s="21" t="n">
        <v>0</v>
      </c>
      <c r="AI2669" s="21" t="n">
        <v>0</v>
      </c>
      <c r="AJ2669" s="21" t="n">
        <v>0</v>
      </c>
      <c r="AK2669" s="21" t="n">
        <v>0</v>
      </c>
      <c r="AL2669" s="21" t="n">
        <v>0</v>
      </c>
      <c r="AM2669" s="21" t="n">
        <v>0</v>
      </c>
      <c r="AN2669" s="21" t="n">
        <v>0</v>
      </c>
      <c r="AO2669" s="21" t="n">
        <v>0</v>
      </c>
      <c r="AP2669" s="21" t="n">
        <v>0</v>
      </c>
      <c r="AQ2669" s="21" t="n">
        <v>0</v>
      </c>
      <c r="AR2669" s="21" t="n">
        <v>0</v>
      </c>
      <c r="AS2669" s="21" t="n">
        <v>0</v>
      </c>
      <c r="AT2669" s="19" t="n"/>
    </row>
    <row r="2670">
      <c r="D2670" s="21" t="n">
        <v>0</v>
      </c>
      <c r="E2670" s="21" t="n">
        <v>0</v>
      </c>
      <c r="F2670" s="21" t="n">
        <v>0</v>
      </c>
      <c r="G2670" s="21" t="n">
        <v>0</v>
      </c>
      <c r="H2670" s="21" t="n">
        <v>0</v>
      </c>
      <c r="I2670" s="21" t="n">
        <v>0</v>
      </c>
      <c r="J2670" s="21">
        <f>-$B$1811</f>
        <v/>
      </c>
      <c r="K2670" s="21">
        <f>-$B$1812</f>
        <v/>
      </c>
      <c r="L2670" s="21">
        <f>2*$B$1811+$D$2644</f>
        <v/>
      </c>
      <c r="M2670" s="21">
        <f>0</f>
        <v/>
      </c>
      <c r="N2670" s="21">
        <f>-$B$1811</f>
        <v/>
      </c>
      <c r="O2670" s="21">
        <f>$B$1812</f>
        <v/>
      </c>
      <c r="P2670" s="21" t="n">
        <v>0</v>
      </c>
      <c r="Q2670" s="21" t="n">
        <v>0</v>
      </c>
      <c r="R2670" s="21" t="n">
        <v>0</v>
      </c>
      <c r="S2670" s="21" t="n">
        <v>0</v>
      </c>
      <c r="T2670" s="21" t="n">
        <v>0</v>
      </c>
      <c r="U2670" s="21" t="n">
        <v>0</v>
      </c>
      <c r="V2670" s="21" t="n">
        <v>0</v>
      </c>
      <c r="W2670" s="21" t="n">
        <v>0</v>
      </c>
      <c r="X2670" s="21" t="n">
        <v>0</v>
      </c>
      <c r="Y2670" s="21" t="n">
        <v>0</v>
      </c>
      <c r="Z2670" s="21" t="n">
        <v>0</v>
      </c>
      <c r="AA2670" s="21" t="n">
        <v>0</v>
      </c>
      <c r="AB2670" s="21" t="n">
        <v>0</v>
      </c>
      <c r="AC2670" s="21" t="n">
        <v>0</v>
      </c>
      <c r="AD2670" s="21" t="n">
        <v>0</v>
      </c>
      <c r="AE2670" s="21" t="n">
        <v>0</v>
      </c>
      <c r="AF2670" s="21" t="n">
        <v>0</v>
      </c>
      <c r="AG2670" s="21" t="n">
        <v>0</v>
      </c>
      <c r="AH2670" s="21" t="n">
        <v>0</v>
      </c>
      <c r="AI2670" s="21" t="n">
        <v>0</v>
      </c>
      <c r="AJ2670" s="21" t="n">
        <v>0</v>
      </c>
      <c r="AK2670" s="21" t="n">
        <v>0</v>
      </c>
      <c r="AL2670" s="21" t="n">
        <v>0</v>
      </c>
      <c r="AM2670" s="21" t="n">
        <v>0</v>
      </c>
      <c r="AN2670" s="21" t="n">
        <v>0</v>
      </c>
      <c r="AO2670" s="21" t="n">
        <v>0</v>
      </c>
      <c r="AP2670" s="21" t="n">
        <v>0</v>
      </c>
      <c r="AQ2670" s="21" t="n">
        <v>0</v>
      </c>
      <c r="AR2670" s="21" t="n">
        <v>0</v>
      </c>
      <c r="AS2670" s="21" t="n">
        <v>0</v>
      </c>
      <c r="AT2670" s="19" t="n"/>
    </row>
    <row r="2671">
      <c r="D2671" s="21" t="n">
        <v>0</v>
      </c>
      <c r="E2671" s="21" t="n">
        <v>0</v>
      </c>
      <c r="F2671" s="21" t="n">
        <v>0</v>
      </c>
      <c r="G2671" s="21" t="n">
        <v>0</v>
      </c>
      <c r="H2671" s="21" t="n">
        <v>0</v>
      </c>
      <c r="I2671" s="21" t="n">
        <v>0</v>
      </c>
      <c r="J2671" s="21">
        <f>$B$1812</f>
        <v/>
      </c>
      <c r="K2671" s="21">
        <f>$B$1814</f>
        <v/>
      </c>
      <c r="L2671" s="21">
        <f>0</f>
        <v/>
      </c>
      <c r="M2671" s="21">
        <f>2*$B$1813</f>
        <v/>
      </c>
      <c r="N2671" s="21">
        <f>-$B$1812</f>
        <v/>
      </c>
      <c r="O2671" s="21">
        <f>$B$1814</f>
        <v/>
      </c>
      <c r="P2671" s="21" t="n">
        <v>0</v>
      </c>
      <c r="Q2671" s="21" t="n">
        <v>0</v>
      </c>
      <c r="R2671" s="21" t="n">
        <v>0</v>
      </c>
      <c r="S2671" s="21" t="n">
        <v>0</v>
      </c>
      <c r="T2671" s="21" t="n">
        <v>0</v>
      </c>
      <c r="U2671" s="21" t="n">
        <v>0</v>
      </c>
      <c r="V2671" s="21" t="n">
        <v>0</v>
      </c>
      <c r="W2671" s="21" t="n">
        <v>0</v>
      </c>
      <c r="X2671" s="21" t="n">
        <v>0</v>
      </c>
      <c r="Y2671" s="21" t="n">
        <v>0</v>
      </c>
      <c r="Z2671" s="21" t="n">
        <v>0</v>
      </c>
      <c r="AA2671" s="21" t="n">
        <v>0</v>
      </c>
      <c r="AB2671" s="21" t="n">
        <v>0</v>
      </c>
      <c r="AC2671" s="21" t="n">
        <v>0</v>
      </c>
      <c r="AD2671" s="21" t="n">
        <v>0</v>
      </c>
      <c r="AE2671" s="21" t="n">
        <v>0</v>
      </c>
      <c r="AF2671" s="21" t="n">
        <v>0</v>
      </c>
      <c r="AG2671" s="21" t="n">
        <v>0</v>
      </c>
      <c r="AH2671" s="21" t="n">
        <v>0</v>
      </c>
      <c r="AI2671" s="21" t="n">
        <v>0</v>
      </c>
      <c r="AJ2671" s="21" t="n">
        <v>0</v>
      </c>
      <c r="AK2671" s="21" t="n">
        <v>0</v>
      </c>
      <c r="AL2671" s="21" t="n">
        <v>0</v>
      </c>
      <c r="AM2671" s="21" t="n">
        <v>0</v>
      </c>
      <c r="AN2671" s="21" t="n">
        <v>0</v>
      </c>
      <c r="AO2671" s="21" t="n">
        <v>0</v>
      </c>
      <c r="AP2671" s="21" t="n">
        <v>0</v>
      </c>
      <c r="AQ2671" s="21" t="n">
        <v>0</v>
      </c>
      <c r="AR2671" s="21" t="n">
        <v>0</v>
      </c>
      <c r="AS2671" s="21" t="n">
        <v>0</v>
      </c>
      <c r="AT2671" s="19" t="n"/>
    </row>
    <row r="2672">
      <c r="D2672" s="21" t="n">
        <v>0</v>
      </c>
      <c r="E2672" s="21" t="n">
        <v>0</v>
      </c>
      <c r="F2672" s="21" t="n">
        <v>0</v>
      </c>
      <c r="G2672" s="21" t="n">
        <v>0</v>
      </c>
      <c r="H2672" s="21" t="n">
        <v>0</v>
      </c>
      <c r="I2672" s="21" t="n">
        <v>0</v>
      </c>
      <c r="J2672" s="21" t="n">
        <v>0</v>
      </c>
      <c r="K2672" s="21" t="n">
        <v>0</v>
      </c>
      <c r="L2672" s="21">
        <f>-$B$1811</f>
        <v/>
      </c>
      <c r="M2672" s="21">
        <f>-$B$1812</f>
        <v/>
      </c>
      <c r="N2672" s="21">
        <f>2*$B$1811+$D$2645</f>
        <v/>
      </c>
      <c r="O2672" s="21">
        <f>0</f>
        <v/>
      </c>
      <c r="P2672" s="21">
        <f>-$B$1811</f>
        <v/>
      </c>
      <c r="Q2672" s="21">
        <f>$B$1812</f>
        <v/>
      </c>
      <c r="R2672" s="21" t="n">
        <v>0</v>
      </c>
      <c r="S2672" s="21" t="n">
        <v>0</v>
      </c>
      <c r="T2672" s="21" t="n">
        <v>0</v>
      </c>
      <c r="U2672" s="21" t="n">
        <v>0</v>
      </c>
      <c r="V2672" s="21" t="n">
        <v>0</v>
      </c>
      <c r="W2672" s="21" t="n">
        <v>0</v>
      </c>
      <c r="X2672" s="21" t="n">
        <v>0</v>
      </c>
      <c r="Y2672" s="21" t="n">
        <v>0</v>
      </c>
      <c r="Z2672" s="21" t="n">
        <v>0</v>
      </c>
      <c r="AA2672" s="21" t="n">
        <v>0</v>
      </c>
      <c r="AB2672" s="21" t="n">
        <v>0</v>
      </c>
      <c r="AC2672" s="21" t="n">
        <v>0</v>
      </c>
      <c r="AD2672" s="21" t="n">
        <v>0</v>
      </c>
      <c r="AE2672" s="21" t="n">
        <v>0</v>
      </c>
      <c r="AF2672" s="21" t="n">
        <v>0</v>
      </c>
      <c r="AG2672" s="21" t="n">
        <v>0</v>
      </c>
      <c r="AH2672" s="21" t="n">
        <v>0</v>
      </c>
      <c r="AI2672" s="21" t="n">
        <v>0</v>
      </c>
      <c r="AJ2672" s="21" t="n">
        <v>0</v>
      </c>
      <c r="AK2672" s="21" t="n">
        <v>0</v>
      </c>
      <c r="AL2672" s="21" t="n">
        <v>0</v>
      </c>
      <c r="AM2672" s="21" t="n">
        <v>0</v>
      </c>
      <c r="AN2672" s="21" t="n">
        <v>0</v>
      </c>
      <c r="AO2672" s="21" t="n">
        <v>0</v>
      </c>
      <c r="AP2672" s="21" t="n">
        <v>0</v>
      </c>
      <c r="AQ2672" s="21" t="n">
        <v>0</v>
      </c>
      <c r="AR2672" s="21" t="n">
        <v>0</v>
      </c>
      <c r="AS2672" s="21" t="n">
        <v>0</v>
      </c>
      <c r="AT2672" s="19" t="n"/>
    </row>
    <row r="2673">
      <c r="D2673" s="21" t="n">
        <v>0</v>
      </c>
      <c r="E2673" s="21" t="n">
        <v>0</v>
      </c>
      <c r="F2673" s="21" t="n">
        <v>0</v>
      </c>
      <c r="G2673" s="21" t="n">
        <v>0</v>
      </c>
      <c r="H2673" s="21" t="n">
        <v>0</v>
      </c>
      <c r="I2673" s="21" t="n">
        <v>0</v>
      </c>
      <c r="J2673" s="21" t="n">
        <v>0</v>
      </c>
      <c r="K2673" s="21" t="n">
        <v>0</v>
      </c>
      <c r="L2673" s="21">
        <f>$B$1812</f>
        <v/>
      </c>
      <c r="M2673" s="21">
        <f>$B$1814</f>
        <v/>
      </c>
      <c r="N2673" s="21">
        <f>0</f>
        <v/>
      </c>
      <c r="O2673" s="21">
        <f>2*$B$1813</f>
        <v/>
      </c>
      <c r="P2673" s="21">
        <f>-$B$1812</f>
        <v/>
      </c>
      <c r="Q2673" s="21">
        <f>$B$1814</f>
        <v/>
      </c>
      <c r="R2673" s="21" t="n">
        <v>0</v>
      </c>
      <c r="S2673" s="21" t="n">
        <v>0</v>
      </c>
      <c r="T2673" s="21" t="n">
        <v>0</v>
      </c>
      <c r="U2673" s="21" t="n">
        <v>0</v>
      </c>
      <c r="V2673" s="21" t="n">
        <v>0</v>
      </c>
      <c r="W2673" s="21" t="n">
        <v>0</v>
      </c>
      <c r="X2673" s="21" t="n">
        <v>0</v>
      </c>
      <c r="Y2673" s="21" t="n">
        <v>0</v>
      </c>
      <c r="Z2673" s="21" t="n">
        <v>0</v>
      </c>
      <c r="AA2673" s="21" t="n">
        <v>0</v>
      </c>
      <c r="AB2673" s="21" t="n">
        <v>0</v>
      </c>
      <c r="AC2673" s="21" t="n">
        <v>0</v>
      </c>
      <c r="AD2673" s="21" t="n">
        <v>0</v>
      </c>
      <c r="AE2673" s="21" t="n">
        <v>0</v>
      </c>
      <c r="AF2673" s="21" t="n">
        <v>0</v>
      </c>
      <c r="AG2673" s="21" t="n">
        <v>0</v>
      </c>
      <c r="AH2673" s="21" t="n">
        <v>0</v>
      </c>
      <c r="AI2673" s="21" t="n">
        <v>0</v>
      </c>
      <c r="AJ2673" s="21" t="n">
        <v>0</v>
      </c>
      <c r="AK2673" s="21" t="n">
        <v>0</v>
      </c>
      <c r="AL2673" s="21" t="n">
        <v>0</v>
      </c>
      <c r="AM2673" s="21" t="n">
        <v>0</v>
      </c>
      <c r="AN2673" s="21" t="n">
        <v>0</v>
      </c>
      <c r="AO2673" s="21" t="n">
        <v>0</v>
      </c>
      <c r="AP2673" s="21" t="n">
        <v>0</v>
      </c>
      <c r="AQ2673" s="21" t="n">
        <v>0</v>
      </c>
      <c r="AR2673" s="21" t="n">
        <v>0</v>
      </c>
      <c r="AS2673" s="21" t="n">
        <v>0</v>
      </c>
      <c r="AT2673" s="19" t="n"/>
    </row>
    <row r="2674">
      <c r="D2674" s="21" t="n">
        <v>0</v>
      </c>
      <c r="E2674" s="21" t="n">
        <v>0</v>
      </c>
      <c r="F2674" s="21" t="n">
        <v>0</v>
      </c>
      <c r="G2674" s="21" t="n">
        <v>0</v>
      </c>
      <c r="H2674" s="21" t="n">
        <v>0</v>
      </c>
      <c r="I2674" s="21" t="n">
        <v>0</v>
      </c>
      <c r="J2674" s="21" t="n">
        <v>0</v>
      </c>
      <c r="K2674" s="21" t="n">
        <v>0</v>
      </c>
      <c r="L2674" s="21" t="n">
        <v>0</v>
      </c>
      <c r="M2674" s="21" t="n">
        <v>0</v>
      </c>
      <c r="N2674" s="21">
        <f>-$B$1811</f>
        <v/>
      </c>
      <c r="O2674" s="21">
        <f>-$B$1812</f>
        <v/>
      </c>
      <c r="P2674" s="21">
        <f>2*$B$1811+$D$2646</f>
        <v/>
      </c>
      <c r="Q2674" s="21">
        <f>0</f>
        <v/>
      </c>
      <c r="R2674" s="21">
        <f>-$B$1811</f>
        <v/>
      </c>
      <c r="S2674" s="21">
        <f>$B$1812</f>
        <v/>
      </c>
      <c r="T2674" s="21" t="n">
        <v>0</v>
      </c>
      <c r="U2674" s="21" t="n">
        <v>0</v>
      </c>
      <c r="V2674" s="21" t="n">
        <v>0</v>
      </c>
      <c r="W2674" s="21" t="n">
        <v>0</v>
      </c>
      <c r="X2674" s="21" t="n">
        <v>0</v>
      </c>
      <c r="Y2674" s="21" t="n">
        <v>0</v>
      </c>
      <c r="Z2674" s="21" t="n">
        <v>0</v>
      </c>
      <c r="AA2674" s="21" t="n">
        <v>0</v>
      </c>
      <c r="AB2674" s="21" t="n">
        <v>0</v>
      </c>
      <c r="AC2674" s="21" t="n">
        <v>0</v>
      </c>
      <c r="AD2674" s="21" t="n">
        <v>0</v>
      </c>
      <c r="AE2674" s="21" t="n">
        <v>0</v>
      </c>
      <c r="AF2674" s="21" t="n">
        <v>0</v>
      </c>
      <c r="AG2674" s="21" t="n">
        <v>0</v>
      </c>
      <c r="AH2674" s="21" t="n">
        <v>0</v>
      </c>
      <c r="AI2674" s="21" t="n">
        <v>0</v>
      </c>
      <c r="AJ2674" s="21" t="n">
        <v>0</v>
      </c>
      <c r="AK2674" s="21" t="n">
        <v>0</v>
      </c>
      <c r="AL2674" s="21" t="n">
        <v>0</v>
      </c>
      <c r="AM2674" s="21" t="n">
        <v>0</v>
      </c>
      <c r="AN2674" s="21" t="n">
        <v>0</v>
      </c>
      <c r="AO2674" s="21" t="n">
        <v>0</v>
      </c>
      <c r="AP2674" s="21" t="n">
        <v>0</v>
      </c>
      <c r="AQ2674" s="21" t="n">
        <v>0</v>
      </c>
      <c r="AR2674" s="21" t="n">
        <v>0</v>
      </c>
      <c r="AS2674" s="21" t="n">
        <v>0</v>
      </c>
      <c r="AT2674" s="19" t="n"/>
    </row>
    <row r="2675">
      <c r="D2675" s="21" t="n">
        <v>0</v>
      </c>
      <c r="E2675" s="21" t="n">
        <v>0</v>
      </c>
      <c r="F2675" s="21" t="n">
        <v>0</v>
      </c>
      <c r="G2675" s="21" t="n">
        <v>0</v>
      </c>
      <c r="H2675" s="21" t="n">
        <v>0</v>
      </c>
      <c r="I2675" s="21" t="n">
        <v>0</v>
      </c>
      <c r="J2675" s="21" t="n">
        <v>0</v>
      </c>
      <c r="K2675" s="21" t="n">
        <v>0</v>
      </c>
      <c r="L2675" s="21" t="n">
        <v>0</v>
      </c>
      <c r="M2675" s="21" t="n">
        <v>0</v>
      </c>
      <c r="N2675" s="21">
        <f>$B$1812</f>
        <v/>
      </c>
      <c r="O2675" s="21">
        <f>$B$1814</f>
        <v/>
      </c>
      <c r="P2675" s="21">
        <f>0</f>
        <v/>
      </c>
      <c r="Q2675" s="21">
        <f>2*$B$1813</f>
        <v/>
      </c>
      <c r="R2675" s="21">
        <f>-$B$1812</f>
        <v/>
      </c>
      <c r="S2675" s="21">
        <f>$B$1814</f>
        <v/>
      </c>
      <c r="T2675" s="21" t="n">
        <v>0</v>
      </c>
      <c r="U2675" s="21" t="n">
        <v>0</v>
      </c>
      <c r="V2675" s="21" t="n">
        <v>0</v>
      </c>
      <c r="W2675" s="21" t="n">
        <v>0</v>
      </c>
      <c r="X2675" s="21" t="n">
        <v>0</v>
      </c>
      <c r="Y2675" s="21" t="n">
        <v>0</v>
      </c>
      <c r="Z2675" s="21" t="n">
        <v>0</v>
      </c>
      <c r="AA2675" s="21" t="n">
        <v>0</v>
      </c>
      <c r="AB2675" s="21" t="n">
        <v>0</v>
      </c>
      <c r="AC2675" s="21" t="n">
        <v>0</v>
      </c>
      <c r="AD2675" s="21" t="n">
        <v>0</v>
      </c>
      <c r="AE2675" s="21" t="n">
        <v>0</v>
      </c>
      <c r="AF2675" s="21" t="n">
        <v>0</v>
      </c>
      <c r="AG2675" s="21" t="n">
        <v>0</v>
      </c>
      <c r="AH2675" s="21" t="n">
        <v>0</v>
      </c>
      <c r="AI2675" s="21" t="n">
        <v>0</v>
      </c>
      <c r="AJ2675" s="21" t="n">
        <v>0</v>
      </c>
      <c r="AK2675" s="21" t="n">
        <v>0</v>
      </c>
      <c r="AL2675" s="21" t="n">
        <v>0</v>
      </c>
      <c r="AM2675" s="21" t="n">
        <v>0</v>
      </c>
      <c r="AN2675" s="21" t="n">
        <v>0</v>
      </c>
      <c r="AO2675" s="21" t="n">
        <v>0</v>
      </c>
      <c r="AP2675" s="21" t="n">
        <v>0</v>
      </c>
      <c r="AQ2675" s="21" t="n">
        <v>0</v>
      </c>
      <c r="AR2675" s="21" t="n">
        <v>0</v>
      </c>
      <c r="AS2675" s="21" t="n">
        <v>0</v>
      </c>
      <c r="AT2675" s="19" t="n"/>
    </row>
    <row r="2676">
      <c r="D2676" s="21" t="n">
        <v>0</v>
      </c>
      <c r="E2676" s="21" t="n">
        <v>0</v>
      </c>
      <c r="F2676" s="21" t="n">
        <v>0</v>
      </c>
      <c r="G2676" s="21" t="n">
        <v>0</v>
      </c>
      <c r="H2676" s="21" t="n">
        <v>0</v>
      </c>
      <c r="I2676" s="21" t="n">
        <v>0</v>
      </c>
      <c r="J2676" s="21" t="n">
        <v>0</v>
      </c>
      <c r="K2676" s="21" t="n">
        <v>0</v>
      </c>
      <c r="L2676" s="21" t="n">
        <v>0</v>
      </c>
      <c r="M2676" s="21" t="n">
        <v>0</v>
      </c>
      <c r="N2676" s="21" t="n">
        <v>0</v>
      </c>
      <c r="O2676" s="21" t="n">
        <v>0</v>
      </c>
      <c r="P2676" s="21">
        <f>-$B$1811</f>
        <v/>
      </c>
      <c r="Q2676" s="21">
        <f>-$B$1812</f>
        <v/>
      </c>
      <c r="R2676" s="21">
        <f>2*$B$1811+$D$2647</f>
        <v/>
      </c>
      <c r="S2676" s="21">
        <f>0</f>
        <v/>
      </c>
      <c r="T2676" s="21">
        <f>-$B$1811</f>
        <v/>
      </c>
      <c r="U2676" s="21">
        <f>$B$1812</f>
        <v/>
      </c>
      <c r="V2676" s="21" t="n">
        <v>0</v>
      </c>
      <c r="W2676" s="21" t="n">
        <v>0</v>
      </c>
      <c r="X2676" s="21" t="n">
        <v>0</v>
      </c>
      <c r="Y2676" s="21" t="n">
        <v>0</v>
      </c>
      <c r="Z2676" s="21" t="n">
        <v>0</v>
      </c>
      <c r="AA2676" s="21" t="n">
        <v>0</v>
      </c>
      <c r="AB2676" s="21" t="n">
        <v>0</v>
      </c>
      <c r="AC2676" s="21" t="n">
        <v>0</v>
      </c>
      <c r="AD2676" s="21" t="n">
        <v>0</v>
      </c>
      <c r="AE2676" s="21" t="n">
        <v>0</v>
      </c>
      <c r="AF2676" s="21" t="n">
        <v>0</v>
      </c>
      <c r="AG2676" s="21" t="n">
        <v>0</v>
      </c>
      <c r="AH2676" s="21" t="n">
        <v>0</v>
      </c>
      <c r="AI2676" s="21" t="n">
        <v>0</v>
      </c>
      <c r="AJ2676" s="21" t="n">
        <v>0</v>
      </c>
      <c r="AK2676" s="21" t="n">
        <v>0</v>
      </c>
      <c r="AL2676" s="21" t="n">
        <v>0</v>
      </c>
      <c r="AM2676" s="21" t="n">
        <v>0</v>
      </c>
      <c r="AN2676" s="21" t="n">
        <v>0</v>
      </c>
      <c r="AO2676" s="21" t="n">
        <v>0</v>
      </c>
      <c r="AP2676" s="21" t="n">
        <v>0</v>
      </c>
      <c r="AQ2676" s="21" t="n">
        <v>0</v>
      </c>
      <c r="AR2676" s="21" t="n">
        <v>0</v>
      </c>
      <c r="AS2676" s="21" t="n">
        <v>0</v>
      </c>
      <c r="AT2676" s="19" t="n"/>
    </row>
    <row r="2677">
      <c r="D2677" s="21" t="n">
        <v>0</v>
      </c>
      <c r="E2677" s="21" t="n">
        <v>0</v>
      </c>
      <c r="F2677" s="21" t="n">
        <v>0</v>
      </c>
      <c r="G2677" s="21" t="n">
        <v>0</v>
      </c>
      <c r="H2677" s="21" t="n">
        <v>0</v>
      </c>
      <c r="I2677" s="21" t="n">
        <v>0</v>
      </c>
      <c r="J2677" s="21" t="n">
        <v>0</v>
      </c>
      <c r="K2677" s="21" t="n">
        <v>0</v>
      </c>
      <c r="L2677" s="21" t="n">
        <v>0</v>
      </c>
      <c r="M2677" s="21" t="n">
        <v>0</v>
      </c>
      <c r="N2677" s="21" t="n">
        <v>0</v>
      </c>
      <c r="O2677" s="21" t="n">
        <v>0</v>
      </c>
      <c r="P2677" s="21">
        <f>$B$1812</f>
        <v/>
      </c>
      <c r="Q2677" s="21">
        <f>$B$1814</f>
        <v/>
      </c>
      <c r="R2677" s="21">
        <f>0</f>
        <v/>
      </c>
      <c r="S2677" s="21">
        <f>2*$B$1813</f>
        <v/>
      </c>
      <c r="T2677" s="21">
        <f>-$B$1812</f>
        <v/>
      </c>
      <c r="U2677" s="21">
        <f>$B$1814</f>
        <v/>
      </c>
      <c r="V2677" s="21" t="n">
        <v>0</v>
      </c>
      <c r="W2677" s="21" t="n">
        <v>0</v>
      </c>
      <c r="X2677" s="21" t="n">
        <v>0</v>
      </c>
      <c r="Y2677" s="21" t="n">
        <v>0</v>
      </c>
      <c r="Z2677" s="21" t="n">
        <v>0</v>
      </c>
      <c r="AA2677" s="21" t="n">
        <v>0</v>
      </c>
      <c r="AB2677" s="21" t="n">
        <v>0</v>
      </c>
      <c r="AC2677" s="21" t="n">
        <v>0</v>
      </c>
      <c r="AD2677" s="21" t="n">
        <v>0</v>
      </c>
      <c r="AE2677" s="21" t="n">
        <v>0</v>
      </c>
      <c r="AF2677" s="21" t="n">
        <v>0</v>
      </c>
      <c r="AG2677" s="21" t="n">
        <v>0</v>
      </c>
      <c r="AH2677" s="21" t="n">
        <v>0</v>
      </c>
      <c r="AI2677" s="21" t="n">
        <v>0</v>
      </c>
      <c r="AJ2677" s="21" t="n">
        <v>0</v>
      </c>
      <c r="AK2677" s="21" t="n">
        <v>0</v>
      </c>
      <c r="AL2677" s="21" t="n">
        <v>0</v>
      </c>
      <c r="AM2677" s="21" t="n">
        <v>0</v>
      </c>
      <c r="AN2677" s="21" t="n">
        <v>0</v>
      </c>
      <c r="AO2677" s="21" t="n">
        <v>0</v>
      </c>
      <c r="AP2677" s="21" t="n">
        <v>0</v>
      </c>
      <c r="AQ2677" s="21" t="n">
        <v>0</v>
      </c>
      <c r="AR2677" s="21" t="n">
        <v>0</v>
      </c>
      <c r="AS2677" s="21" t="n">
        <v>0</v>
      </c>
      <c r="AT2677" s="19" t="n"/>
    </row>
    <row r="2678">
      <c r="D2678" s="21" t="n">
        <v>0</v>
      </c>
      <c r="E2678" s="21" t="n">
        <v>0</v>
      </c>
      <c r="F2678" s="21" t="n">
        <v>0</v>
      </c>
      <c r="G2678" s="21" t="n">
        <v>0</v>
      </c>
      <c r="H2678" s="21" t="n">
        <v>0</v>
      </c>
      <c r="I2678" s="21" t="n">
        <v>0</v>
      </c>
      <c r="J2678" s="21" t="n">
        <v>0</v>
      </c>
      <c r="K2678" s="21" t="n">
        <v>0</v>
      </c>
      <c r="L2678" s="21" t="n">
        <v>0</v>
      </c>
      <c r="M2678" s="21" t="n">
        <v>0</v>
      </c>
      <c r="N2678" s="21" t="n">
        <v>0</v>
      </c>
      <c r="O2678" s="21" t="n">
        <v>0</v>
      </c>
      <c r="P2678" s="21" t="n">
        <v>0</v>
      </c>
      <c r="Q2678" s="21" t="n">
        <v>0</v>
      </c>
      <c r="R2678" s="21">
        <f>-$B$1811</f>
        <v/>
      </c>
      <c r="S2678" s="21">
        <f>-$B$1812</f>
        <v/>
      </c>
      <c r="T2678" s="21">
        <f>2*$B$1811+$D$2648</f>
        <v/>
      </c>
      <c r="U2678" s="21">
        <f>0</f>
        <v/>
      </c>
      <c r="V2678" s="21">
        <f>-$B$1811</f>
        <v/>
      </c>
      <c r="W2678" s="21">
        <f>$B$1812</f>
        <v/>
      </c>
      <c r="X2678" s="21" t="n">
        <v>0</v>
      </c>
      <c r="Y2678" s="21" t="n">
        <v>0</v>
      </c>
      <c r="Z2678" s="21" t="n">
        <v>0</v>
      </c>
      <c r="AA2678" s="21" t="n">
        <v>0</v>
      </c>
      <c r="AB2678" s="21" t="n">
        <v>0</v>
      </c>
      <c r="AC2678" s="21" t="n">
        <v>0</v>
      </c>
      <c r="AD2678" s="21" t="n">
        <v>0</v>
      </c>
      <c r="AE2678" s="21" t="n">
        <v>0</v>
      </c>
      <c r="AF2678" s="21" t="n">
        <v>0</v>
      </c>
      <c r="AG2678" s="21" t="n">
        <v>0</v>
      </c>
      <c r="AH2678" s="21" t="n">
        <v>0</v>
      </c>
      <c r="AI2678" s="21" t="n">
        <v>0</v>
      </c>
      <c r="AJ2678" s="21" t="n">
        <v>0</v>
      </c>
      <c r="AK2678" s="21" t="n">
        <v>0</v>
      </c>
      <c r="AL2678" s="21" t="n">
        <v>0</v>
      </c>
      <c r="AM2678" s="21" t="n">
        <v>0</v>
      </c>
      <c r="AN2678" s="21" t="n">
        <v>0</v>
      </c>
      <c r="AO2678" s="21" t="n">
        <v>0</v>
      </c>
      <c r="AP2678" s="21" t="n">
        <v>0</v>
      </c>
      <c r="AQ2678" s="21" t="n">
        <v>0</v>
      </c>
      <c r="AR2678" s="21" t="n">
        <v>0</v>
      </c>
      <c r="AS2678" s="21" t="n">
        <v>0</v>
      </c>
      <c r="AT2678" s="19" t="n"/>
    </row>
    <row r="2679">
      <c r="D2679" s="21" t="n">
        <v>0</v>
      </c>
      <c r="E2679" s="21" t="n">
        <v>0</v>
      </c>
      <c r="F2679" s="21" t="n">
        <v>0</v>
      </c>
      <c r="G2679" s="21" t="n">
        <v>0</v>
      </c>
      <c r="H2679" s="21" t="n">
        <v>0</v>
      </c>
      <c r="I2679" s="21" t="n">
        <v>0</v>
      </c>
      <c r="J2679" s="21" t="n">
        <v>0</v>
      </c>
      <c r="K2679" s="21" t="n">
        <v>0</v>
      </c>
      <c r="L2679" s="21" t="n">
        <v>0</v>
      </c>
      <c r="M2679" s="21" t="n">
        <v>0</v>
      </c>
      <c r="N2679" s="21" t="n">
        <v>0</v>
      </c>
      <c r="O2679" s="21" t="n">
        <v>0</v>
      </c>
      <c r="P2679" s="21" t="n">
        <v>0</v>
      </c>
      <c r="Q2679" s="21" t="n">
        <v>0</v>
      </c>
      <c r="R2679" s="21">
        <f>$B$1812</f>
        <v/>
      </c>
      <c r="S2679" s="21">
        <f>$B$1814</f>
        <v/>
      </c>
      <c r="T2679" s="21">
        <f>0</f>
        <v/>
      </c>
      <c r="U2679" s="21">
        <f>2*$B$1813</f>
        <v/>
      </c>
      <c r="V2679" s="21">
        <f>-$B$1812</f>
        <v/>
      </c>
      <c r="W2679" s="21">
        <f>$B$1814</f>
        <v/>
      </c>
      <c r="X2679" s="21" t="n">
        <v>0</v>
      </c>
      <c r="Y2679" s="21" t="n">
        <v>0</v>
      </c>
      <c r="Z2679" s="21" t="n">
        <v>0</v>
      </c>
      <c r="AA2679" s="21" t="n">
        <v>0</v>
      </c>
      <c r="AB2679" s="21" t="n">
        <v>0</v>
      </c>
      <c r="AC2679" s="21" t="n">
        <v>0</v>
      </c>
      <c r="AD2679" s="21" t="n">
        <v>0</v>
      </c>
      <c r="AE2679" s="21" t="n">
        <v>0</v>
      </c>
      <c r="AF2679" s="21" t="n">
        <v>0</v>
      </c>
      <c r="AG2679" s="21" t="n">
        <v>0</v>
      </c>
      <c r="AH2679" s="21" t="n">
        <v>0</v>
      </c>
      <c r="AI2679" s="21" t="n">
        <v>0</v>
      </c>
      <c r="AJ2679" s="21" t="n">
        <v>0</v>
      </c>
      <c r="AK2679" s="21" t="n">
        <v>0</v>
      </c>
      <c r="AL2679" s="21" t="n">
        <v>0</v>
      </c>
      <c r="AM2679" s="21" t="n">
        <v>0</v>
      </c>
      <c r="AN2679" s="21" t="n">
        <v>0</v>
      </c>
      <c r="AO2679" s="21" t="n">
        <v>0</v>
      </c>
      <c r="AP2679" s="21" t="n">
        <v>0</v>
      </c>
      <c r="AQ2679" s="21" t="n">
        <v>0</v>
      </c>
      <c r="AR2679" s="21" t="n">
        <v>0</v>
      </c>
      <c r="AS2679" s="21" t="n">
        <v>0</v>
      </c>
      <c r="AT2679" s="19" t="n"/>
    </row>
    <row r="2680">
      <c r="D2680" s="21" t="n">
        <v>0</v>
      </c>
      <c r="E2680" s="21" t="n">
        <v>0</v>
      </c>
      <c r="F2680" s="21" t="n">
        <v>0</v>
      </c>
      <c r="G2680" s="21" t="n">
        <v>0</v>
      </c>
      <c r="H2680" s="21" t="n">
        <v>0</v>
      </c>
      <c r="I2680" s="21" t="n">
        <v>0</v>
      </c>
      <c r="J2680" s="21" t="n">
        <v>0</v>
      </c>
      <c r="K2680" s="21" t="n">
        <v>0</v>
      </c>
      <c r="L2680" s="21" t="n">
        <v>0</v>
      </c>
      <c r="M2680" s="21" t="n">
        <v>0</v>
      </c>
      <c r="N2680" s="21" t="n">
        <v>0</v>
      </c>
      <c r="O2680" s="21" t="n">
        <v>0</v>
      </c>
      <c r="P2680" s="21" t="n">
        <v>0</v>
      </c>
      <c r="Q2680" s="21" t="n">
        <v>0</v>
      </c>
      <c r="R2680" s="21" t="n">
        <v>0</v>
      </c>
      <c r="S2680" s="21" t="n">
        <v>0</v>
      </c>
      <c r="T2680" s="21">
        <f>-$B$1811</f>
        <v/>
      </c>
      <c r="U2680" s="21">
        <f>-$B$1812</f>
        <v/>
      </c>
      <c r="V2680" s="21">
        <f>2*$B$1811+$D$2649</f>
        <v/>
      </c>
      <c r="W2680" s="21">
        <f>0</f>
        <v/>
      </c>
      <c r="X2680" s="21">
        <f>-$B$1811</f>
        <v/>
      </c>
      <c r="Y2680" s="21">
        <f>$B$1812</f>
        <v/>
      </c>
      <c r="Z2680" s="21" t="n">
        <v>0</v>
      </c>
      <c r="AA2680" s="21" t="n">
        <v>0</v>
      </c>
      <c r="AB2680" s="21" t="n">
        <v>0</v>
      </c>
      <c r="AC2680" s="21" t="n">
        <v>0</v>
      </c>
      <c r="AD2680" s="21" t="n">
        <v>0</v>
      </c>
      <c r="AE2680" s="21" t="n">
        <v>0</v>
      </c>
      <c r="AF2680" s="21" t="n">
        <v>0</v>
      </c>
      <c r="AG2680" s="21" t="n">
        <v>0</v>
      </c>
      <c r="AH2680" s="21" t="n">
        <v>0</v>
      </c>
      <c r="AI2680" s="21" t="n">
        <v>0</v>
      </c>
      <c r="AJ2680" s="21" t="n">
        <v>0</v>
      </c>
      <c r="AK2680" s="21" t="n">
        <v>0</v>
      </c>
      <c r="AL2680" s="21" t="n">
        <v>0</v>
      </c>
      <c r="AM2680" s="21" t="n">
        <v>0</v>
      </c>
      <c r="AN2680" s="21" t="n">
        <v>0</v>
      </c>
      <c r="AO2680" s="21" t="n">
        <v>0</v>
      </c>
      <c r="AP2680" s="21" t="n">
        <v>0</v>
      </c>
      <c r="AQ2680" s="21" t="n">
        <v>0</v>
      </c>
      <c r="AR2680" s="21" t="n">
        <v>0</v>
      </c>
      <c r="AS2680" s="21" t="n">
        <v>0</v>
      </c>
      <c r="AT2680" s="19" t="n"/>
    </row>
    <row r="2681">
      <c r="D2681" s="21" t="n">
        <v>0</v>
      </c>
      <c r="E2681" s="21" t="n">
        <v>0</v>
      </c>
      <c r="F2681" s="21" t="n">
        <v>0</v>
      </c>
      <c r="G2681" s="21" t="n">
        <v>0</v>
      </c>
      <c r="H2681" s="21" t="n">
        <v>0</v>
      </c>
      <c r="I2681" s="21" t="n">
        <v>0</v>
      </c>
      <c r="J2681" s="21" t="n">
        <v>0</v>
      </c>
      <c r="K2681" s="21" t="n">
        <v>0</v>
      </c>
      <c r="L2681" s="21" t="n">
        <v>0</v>
      </c>
      <c r="M2681" s="21" t="n">
        <v>0</v>
      </c>
      <c r="N2681" s="21" t="n">
        <v>0</v>
      </c>
      <c r="O2681" s="21" t="n">
        <v>0</v>
      </c>
      <c r="P2681" s="21" t="n">
        <v>0</v>
      </c>
      <c r="Q2681" s="21" t="n">
        <v>0</v>
      </c>
      <c r="R2681" s="21" t="n">
        <v>0</v>
      </c>
      <c r="S2681" s="21" t="n">
        <v>0</v>
      </c>
      <c r="T2681" s="21">
        <f>$B$1812</f>
        <v/>
      </c>
      <c r="U2681" s="21">
        <f>$B$1814</f>
        <v/>
      </c>
      <c r="V2681" s="21">
        <f>0</f>
        <v/>
      </c>
      <c r="W2681" s="21">
        <f>2*$B$1813</f>
        <v/>
      </c>
      <c r="X2681" s="21">
        <f>-$B$1812</f>
        <v/>
      </c>
      <c r="Y2681" s="21">
        <f>$B$1814</f>
        <v/>
      </c>
      <c r="Z2681" s="21" t="n">
        <v>0</v>
      </c>
      <c r="AA2681" s="21" t="n">
        <v>0</v>
      </c>
      <c r="AB2681" s="21" t="n">
        <v>0</v>
      </c>
      <c r="AC2681" s="21" t="n">
        <v>0</v>
      </c>
      <c r="AD2681" s="21" t="n">
        <v>0</v>
      </c>
      <c r="AE2681" s="21" t="n">
        <v>0</v>
      </c>
      <c r="AF2681" s="21" t="n">
        <v>0</v>
      </c>
      <c r="AG2681" s="21" t="n">
        <v>0</v>
      </c>
      <c r="AH2681" s="21" t="n">
        <v>0</v>
      </c>
      <c r="AI2681" s="21" t="n">
        <v>0</v>
      </c>
      <c r="AJ2681" s="21" t="n">
        <v>0</v>
      </c>
      <c r="AK2681" s="21" t="n">
        <v>0</v>
      </c>
      <c r="AL2681" s="21" t="n">
        <v>0</v>
      </c>
      <c r="AM2681" s="21" t="n">
        <v>0</v>
      </c>
      <c r="AN2681" s="21" t="n">
        <v>0</v>
      </c>
      <c r="AO2681" s="21" t="n">
        <v>0</v>
      </c>
      <c r="AP2681" s="21" t="n">
        <v>0</v>
      </c>
      <c r="AQ2681" s="21" t="n">
        <v>0</v>
      </c>
      <c r="AR2681" s="21" t="n">
        <v>0</v>
      </c>
      <c r="AS2681" s="21" t="n">
        <v>0</v>
      </c>
      <c r="AT2681" s="19" t="n"/>
    </row>
    <row r="2682">
      <c r="D2682" s="21" t="n">
        <v>0</v>
      </c>
      <c r="E2682" s="21" t="n">
        <v>0</v>
      </c>
      <c r="F2682" s="21" t="n">
        <v>0</v>
      </c>
      <c r="G2682" s="21" t="n">
        <v>0</v>
      </c>
      <c r="H2682" s="21" t="n">
        <v>0</v>
      </c>
      <c r="I2682" s="21" t="n">
        <v>0</v>
      </c>
      <c r="J2682" s="21" t="n">
        <v>0</v>
      </c>
      <c r="K2682" s="21" t="n">
        <v>0</v>
      </c>
      <c r="L2682" s="21" t="n">
        <v>0</v>
      </c>
      <c r="M2682" s="21" t="n">
        <v>0</v>
      </c>
      <c r="N2682" s="21" t="n">
        <v>0</v>
      </c>
      <c r="O2682" s="21" t="n">
        <v>0</v>
      </c>
      <c r="P2682" s="21" t="n">
        <v>0</v>
      </c>
      <c r="Q2682" s="21" t="n">
        <v>0</v>
      </c>
      <c r="R2682" s="21" t="n">
        <v>0</v>
      </c>
      <c r="S2682" s="21" t="n">
        <v>0</v>
      </c>
      <c r="T2682" s="21" t="n">
        <v>0</v>
      </c>
      <c r="U2682" s="21" t="n">
        <v>0</v>
      </c>
      <c r="V2682" s="21">
        <f>-$B$1811</f>
        <v/>
      </c>
      <c r="W2682" s="21">
        <f>-$B$1812</f>
        <v/>
      </c>
      <c r="X2682" s="21">
        <f>2*$B$1811+$D$2650</f>
        <v/>
      </c>
      <c r="Y2682" s="21">
        <f>0</f>
        <v/>
      </c>
      <c r="Z2682" s="21">
        <f>-$B$1811</f>
        <v/>
      </c>
      <c r="AA2682" s="21">
        <f>$B$1812</f>
        <v/>
      </c>
      <c r="AB2682" s="21" t="n">
        <v>0</v>
      </c>
      <c r="AC2682" s="21" t="n">
        <v>0</v>
      </c>
      <c r="AD2682" s="21" t="n">
        <v>0</v>
      </c>
      <c r="AE2682" s="21" t="n">
        <v>0</v>
      </c>
      <c r="AF2682" s="21" t="n">
        <v>0</v>
      </c>
      <c r="AG2682" s="21" t="n">
        <v>0</v>
      </c>
      <c r="AH2682" s="21" t="n">
        <v>0</v>
      </c>
      <c r="AI2682" s="21" t="n">
        <v>0</v>
      </c>
      <c r="AJ2682" s="21" t="n">
        <v>0</v>
      </c>
      <c r="AK2682" s="21" t="n">
        <v>0</v>
      </c>
      <c r="AL2682" s="21" t="n">
        <v>0</v>
      </c>
      <c r="AM2682" s="21" t="n">
        <v>0</v>
      </c>
      <c r="AN2682" s="21" t="n">
        <v>0</v>
      </c>
      <c r="AO2682" s="21" t="n">
        <v>0</v>
      </c>
      <c r="AP2682" s="21" t="n">
        <v>0</v>
      </c>
      <c r="AQ2682" s="21" t="n">
        <v>0</v>
      </c>
      <c r="AR2682" s="21" t="n">
        <v>0</v>
      </c>
      <c r="AS2682" s="21" t="n">
        <v>0</v>
      </c>
      <c r="AT2682" s="19" t="n"/>
    </row>
    <row r="2683">
      <c r="D2683" s="21" t="n">
        <v>0</v>
      </c>
      <c r="E2683" s="21" t="n">
        <v>0</v>
      </c>
      <c r="F2683" s="21" t="n">
        <v>0</v>
      </c>
      <c r="G2683" s="21" t="n">
        <v>0</v>
      </c>
      <c r="H2683" s="21" t="n">
        <v>0</v>
      </c>
      <c r="I2683" s="21" t="n">
        <v>0</v>
      </c>
      <c r="J2683" s="21" t="n">
        <v>0</v>
      </c>
      <c r="K2683" s="21" t="n">
        <v>0</v>
      </c>
      <c r="L2683" s="21" t="n">
        <v>0</v>
      </c>
      <c r="M2683" s="21" t="n">
        <v>0</v>
      </c>
      <c r="N2683" s="21" t="n">
        <v>0</v>
      </c>
      <c r="O2683" s="21" t="n">
        <v>0</v>
      </c>
      <c r="P2683" s="21" t="n">
        <v>0</v>
      </c>
      <c r="Q2683" s="21" t="n">
        <v>0</v>
      </c>
      <c r="R2683" s="21" t="n">
        <v>0</v>
      </c>
      <c r="S2683" s="21" t="n">
        <v>0</v>
      </c>
      <c r="T2683" s="21" t="n">
        <v>0</v>
      </c>
      <c r="U2683" s="21" t="n">
        <v>0</v>
      </c>
      <c r="V2683" s="21">
        <f>$B$1812</f>
        <v/>
      </c>
      <c r="W2683" s="21">
        <f>$B$1814</f>
        <v/>
      </c>
      <c r="X2683" s="21">
        <f>0</f>
        <v/>
      </c>
      <c r="Y2683" s="21">
        <f>2*$B$1813</f>
        <v/>
      </c>
      <c r="Z2683" s="21">
        <f>-$B$1812</f>
        <v/>
      </c>
      <c r="AA2683" s="21">
        <f>$B$1814</f>
        <v/>
      </c>
      <c r="AB2683" s="21" t="n">
        <v>0</v>
      </c>
      <c r="AC2683" s="21" t="n">
        <v>0</v>
      </c>
      <c r="AD2683" s="21" t="n">
        <v>0</v>
      </c>
      <c r="AE2683" s="21" t="n">
        <v>0</v>
      </c>
      <c r="AF2683" s="21" t="n">
        <v>0</v>
      </c>
      <c r="AG2683" s="21" t="n">
        <v>0</v>
      </c>
      <c r="AH2683" s="21" t="n">
        <v>0</v>
      </c>
      <c r="AI2683" s="21" t="n">
        <v>0</v>
      </c>
      <c r="AJ2683" s="21" t="n">
        <v>0</v>
      </c>
      <c r="AK2683" s="21" t="n">
        <v>0</v>
      </c>
      <c r="AL2683" s="21" t="n">
        <v>0</v>
      </c>
      <c r="AM2683" s="21" t="n">
        <v>0</v>
      </c>
      <c r="AN2683" s="21" t="n">
        <v>0</v>
      </c>
      <c r="AO2683" s="21" t="n">
        <v>0</v>
      </c>
      <c r="AP2683" s="21" t="n">
        <v>0</v>
      </c>
      <c r="AQ2683" s="21" t="n">
        <v>0</v>
      </c>
      <c r="AR2683" s="21" t="n">
        <v>0</v>
      </c>
      <c r="AS2683" s="21" t="n">
        <v>0</v>
      </c>
      <c r="AT2683" s="19" t="n"/>
    </row>
    <row r="2684">
      <c r="D2684" s="21" t="n">
        <v>0</v>
      </c>
      <c r="E2684" s="21" t="n">
        <v>0</v>
      </c>
      <c r="F2684" s="21" t="n">
        <v>0</v>
      </c>
      <c r="G2684" s="21" t="n">
        <v>0</v>
      </c>
      <c r="H2684" s="21" t="n">
        <v>0</v>
      </c>
      <c r="I2684" s="21" t="n">
        <v>0</v>
      </c>
      <c r="J2684" s="21" t="n">
        <v>0</v>
      </c>
      <c r="K2684" s="21" t="n">
        <v>0</v>
      </c>
      <c r="L2684" s="21" t="n">
        <v>0</v>
      </c>
      <c r="M2684" s="21" t="n">
        <v>0</v>
      </c>
      <c r="N2684" s="21" t="n">
        <v>0</v>
      </c>
      <c r="O2684" s="21" t="n">
        <v>0</v>
      </c>
      <c r="P2684" s="21" t="n">
        <v>0</v>
      </c>
      <c r="Q2684" s="21" t="n">
        <v>0</v>
      </c>
      <c r="R2684" s="21" t="n">
        <v>0</v>
      </c>
      <c r="S2684" s="21" t="n">
        <v>0</v>
      </c>
      <c r="T2684" s="21" t="n">
        <v>0</v>
      </c>
      <c r="U2684" s="21" t="n">
        <v>0</v>
      </c>
      <c r="V2684" s="21" t="n">
        <v>0</v>
      </c>
      <c r="W2684" s="21" t="n">
        <v>0</v>
      </c>
      <c r="X2684" s="21">
        <f>-$B$1811</f>
        <v/>
      </c>
      <c r="Y2684" s="21">
        <f>-$B$1812</f>
        <v/>
      </c>
      <c r="Z2684" s="21">
        <f>2*$B$1811+$D$2651</f>
        <v/>
      </c>
      <c r="AA2684" s="21">
        <f>0</f>
        <v/>
      </c>
      <c r="AB2684" s="21">
        <f>-$B$1811</f>
        <v/>
      </c>
      <c r="AC2684" s="21">
        <f>$B$1812</f>
        <v/>
      </c>
      <c r="AD2684" s="21" t="n">
        <v>0</v>
      </c>
      <c r="AE2684" s="21" t="n">
        <v>0</v>
      </c>
      <c r="AF2684" s="21" t="n">
        <v>0</v>
      </c>
      <c r="AG2684" s="21" t="n">
        <v>0</v>
      </c>
      <c r="AH2684" s="21" t="n">
        <v>0</v>
      </c>
      <c r="AI2684" s="21" t="n">
        <v>0</v>
      </c>
      <c r="AJ2684" s="21" t="n">
        <v>0</v>
      </c>
      <c r="AK2684" s="21" t="n">
        <v>0</v>
      </c>
      <c r="AL2684" s="21" t="n">
        <v>0</v>
      </c>
      <c r="AM2684" s="21" t="n">
        <v>0</v>
      </c>
      <c r="AN2684" s="21" t="n">
        <v>0</v>
      </c>
      <c r="AO2684" s="21" t="n">
        <v>0</v>
      </c>
      <c r="AP2684" s="21" t="n">
        <v>0</v>
      </c>
      <c r="AQ2684" s="21" t="n">
        <v>0</v>
      </c>
      <c r="AR2684" s="21" t="n">
        <v>0</v>
      </c>
      <c r="AS2684" s="21" t="n">
        <v>0</v>
      </c>
      <c r="AT2684" s="19" t="n"/>
    </row>
    <row r="2685">
      <c r="D2685" s="21" t="n">
        <v>0</v>
      </c>
      <c r="E2685" s="21" t="n">
        <v>0</v>
      </c>
      <c r="F2685" s="21" t="n">
        <v>0</v>
      </c>
      <c r="G2685" s="21" t="n">
        <v>0</v>
      </c>
      <c r="H2685" s="21" t="n">
        <v>0</v>
      </c>
      <c r="I2685" s="21" t="n">
        <v>0</v>
      </c>
      <c r="J2685" s="21" t="n">
        <v>0</v>
      </c>
      <c r="K2685" s="21" t="n">
        <v>0</v>
      </c>
      <c r="L2685" s="21" t="n">
        <v>0</v>
      </c>
      <c r="M2685" s="21" t="n">
        <v>0</v>
      </c>
      <c r="N2685" s="21" t="n">
        <v>0</v>
      </c>
      <c r="O2685" s="21" t="n">
        <v>0</v>
      </c>
      <c r="P2685" s="21" t="n">
        <v>0</v>
      </c>
      <c r="Q2685" s="21" t="n">
        <v>0</v>
      </c>
      <c r="R2685" s="21" t="n">
        <v>0</v>
      </c>
      <c r="S2685" s="21" t="n">
        <v>0</v>
      </c>
      <c r="T2685" s="21" t="n">
        <v>0</v>
      </c>
      <c r="U2685" s="21" t="n">
        <v>0</v>
      </c>
      <c r="V2685" s="21" t="n">
        <v>0</v>
      </c>
      <c r="W2685" s="21" t="n">
        <v>0</v>
      </c>
      <c r="X2685" s="21">
        <f>$B$1812</f>
        <v/>
      </c>
      <c r="Y2685" s="21">
        <f>$B$1814</f>
        <v/>
      </c>
      <c r="Z2685" s="21">
        <f>0</f>
        <v/>
      </c>
      <c r="AA2685" s="21">
        <f>2*$B$1813</f>
        <v/>
      </c>
      <c r="AB2685" s="21">
        <f>-$B$1812</f>
        <v/>
      </c>
      <c r="AC2685" s="21">
        <f>$B$1814</f>
        <v/>
      </c>
      <c r="AD2685" s="21" t="n">
        <v>0</v>
      </c>
      <c r="AE2685" s="21" t="n">
        <v>0</v>
      </c>
      <c r="AF2685" s="21" t="n">
        <v>0</v>
      </c>
      <c r="AG2685" s="21" t="n">
        <v>0</v>
      </c>
      <c r="AH2685" s="21" t="n">
        <v>0</v>
      </c>
      <c r="AI2685" s="21" t="n">
        <v>0</v>
      </c>
      <c r="AJ2685" s="21" t="n">
        <v>0</v>
      </c>
      <c r="AK2685" s="21" t="n">
        <v>0</v>
      </c>
      <c r="AL2685" s="21" t="n">
        <v>0</v>
      </c>
      <c r="AM2685" s="21" t="n">
        <v>0</v>
      </c>
      <c r="AN2685" s="21" t="n">
        <v>0</v>
      </c>
      <c r="AO2685" s="21" t="n">
        <v>0</v>
      </c>
      <c r="AP2685" s="21" t="n">
        <v>0</v>
      </c>
      <c r="AQ2685" s="21" t="n">
        <v>0</v>
      </c>
      <c r="AR2685" s="21" t="n">
        <v>0</v>
      </c>
      <c r="AS2685" s="21" t="n">
        <v>0</v>
      </c>
      <c r="AT2685" s="19" t="n"/>
    </row>
    <row r="2686">
      <c r="D2686" s="21" t="n">
        <v>0</v>
      </c>
      <c r="E2686" s="21" t="n">
        <v>0</v>
      </c>
      <c r="F2686" s="21" t="n">
        <v>0</v>
      </c>
      <c r="G2686" s="21" t="n">
        <v>0</v>
      </c>
      <c r="H2686" s="21" t="n">
        <v>0</v>
      </c>
      <c r="I2686" s="21" t="n">
        <v>0</v>
      </c>
      <c r="J2686" s="21" t="n">
        <v>0</v>
      </c>
      <c r="K2686" s="21" t="n">
        <v>0</v>
      </c>
      <c r="L2686" s="21" t="n">
        <v>0</v>
      </c>
      <c r="M2686" s="21" t="n">
        <v>0</v>
      </c>
      <c r="N2686" s="21" t="n">
        <v>0</v>
      </c>
      <c r="O2686" s="21" t="n">
        <v>0</v>
      </c>
      <c r="P2686" s="21" t="n">
        <v>0</v>
      </c>
      <c r="Q2686" s="21" t="n">
        <v>0</v>
      </c>
      <c r="R2686" s="21" t="n">
        <v>0</v>
      </c>
      <c r="S2686" s="21" t="n">
        <v>0</v>
      </c>
      <c r="T2686" s="21" t="n">
        <v>0</v>
      </c>
      <c r="U2686" s="21" t="n">
        <v>0</v>
      </c>
      <c r="V2686" s="21" t="n">
        <v>0</v>
      </c>
      <c r="W2686" s="21" t="n">
        <v>0</v>
      </c>
      <c r="X2686" s="21" t="n">
        <v>0</v>
      </c>
      <c r="Y2686" s="21" t="n">
        <v>0</v>
      </c>
      <c r="Z2686" s="21">
        <f>-$B$1811</f>
        <v/>
      </c>
      <c r="AA2686" s="21">
        <f>-$B$1812</f>
        <v/>
      </c>
      <c r="AB2686" s="21">
        <f>2*$B$1811+$D$2652</f>
        <v/>
      </c>
      <c r="AC2686" s="21">
        <f>0</f>
        <v/>
      </c>
      <c r="AD2686" s="21">
        <f>-$B$1811</f>
        <v/>
      </c>
      <c r="AE2686" s="21">
        <f>$B$1812</f>
        <v/>
      </c>
      <c r="AF2686" s="21" t="n">
        <v>0</v>
      </c>
      <c r="AG2686" s="21" t="n">
        <v>0</v>
      </c>
      <c r="AH2686" s="21" t="n">
        <v>0</v>
      </c>
      <c r="AI2686" s="21" t="n">
        <v>0</v>
      </c>
      <c r="AJ2686" s="21" t="n">
        <v>0</v>
      </c>
      <c r="AK2686" s="21" t="n">
        <v>0</v>
      </c>
      <c r="AL2686" s="21" t="n">
        <v>0</v>
      </c>
      <c r="AM2686" s="21" t="n">
        <v>0</v>
      </c>
      <c r="AN2686" s="21" t="n">
        <v>0</v>
      </c>
      <c r="AO2686" s="21" t="n">
        <v>0</v>
      </c>
      <c r="AP2686" s="21" t="n">
        <v>0</v>
      </c>
      <c r="AQ2686" s="21" t="n">
        <v>0</v>
      </c>
      <c r="AR2686" s="21" t="n">
        <v>0</v>
      </c>
      <c r="AS2686" s="21" t="n">
        <v>0</v>
      </c>
      <c r="AT2686" s="19" t="n"/>
    </row>
    <row r="2687">
      <c r="D2687" s="21" t="n">
        <v>0</v>
      </c>
      <c r="E2687" s="21" t="n">
        <v>0</v>
      </c>
      <c r="F2687" s="21" t="n">
        <v>0</v>
      </c>
      <c r="G2687" s="21" t="n">
        <v>0</v>
      </c>
      <c r="H2687" s="21" t="n">
        <v>0</v>
      </c>
      <c r="I2687" s="21" t="n">
        <v>0</v>
      </c>
      <c r="J2687" s="21" t="n">
        <v>0</v>
      </c>
      <c r="K2687" s="21" t="n">
        <v>0</v>
      </c>
      <c r="L2687" s="21" t="n">
        <v>0</v>
      </c>
      <c r="M2687" s="21" t="n">
        <v>0</v>
      </c>
      <c r="N2687" s="21" t="n">
        <v>0</v>
      </c>
      <c r="O2687" s="21" t="n">
        <v>0</v>
      </c>
      <c r="P2687" s="21" t="n">
        <v>0</v>
      </c>
      <c r="Q2687" s="21" t="n">
        <v>0</v>
      </c>
      <c r="R2687" s="21" t="n">
        <v>0</v>
      </c>
      <c r="S2687" s="21" t="n">
        <v>0</v>
      </c>
      <c r="T2687" s="21" t="n">
        <v>0</v>
      </c>
      <c r="U2687" s="21" t="n">
        <v>0</v>
      </c>
      <c r="V2687" s="21" t="n">
        <v>0</v>
      </c>
      <c r="W2687" s="21" t="n">
        <v>0</v>
      </c>
      <c r="X2687" s="21" t="n">
        <v>0</v>
      </c>
      <c r="Y2687" s="21" t="n">
        <v>0</v>
      </c>
      <c r="Z2687" s="21">
        <f>$B$1812</f>
        <v/>
      </c>
      <c r="AA2687" s="21">
        <f>$B$1814</f>
        <v/>
      </c>
      <c r="AB2687" s="21">
        <f>0</f>
        <v/>
      </c>
      <c r="AC2687" s="21">
        <f>2*$B$1813</f>
        <v/>
      </c>
      <c r="AD2687" s="21">
        <f>-$B$1812</f>
        <v/>
      </c>
      <c r="AE2687" s="21">
        <f>$B$1814</f>
        <v/>
      </c>
      <c r="AF2687" s="21" t="n">
        <v>0</v>
      </c>
      <c r="AG2687" s="21" t="n">
        <v>0</v>
      </c>
      <c r="AH2687" s="21" t="n">
        <v>0</v>
      </c>
      <c r="AI2687" s="21" t="n">
        <v>0</v>
      </c>
      <c r="AJ2687" s="21" t="n">
        <v>0</v>
      </c>
      <c r="AK2687" s="21" t="n">
        <v>0</v>
      </c>
      <c r="AL2687" s="21" t="n">
        <v>0</v>
      </c>
      <c r="AM2687" s="21" t="n">
        <v>0</v>
      </c>
      <c r="AN2687" s="21" t="n">
        <v>0</v>
      </c>
      <c r="AO2687" s="21" t="n">
        <v>0</v>
      </c>
      <c r="AP2687" s="21" t="n">
        <v>0</v>
      </c>
      <c r="AQ2687" s="21" t="n">
        <v>0</v>
      </c>
      <c r="AR2687" s="21" t="n">
        <v>0</v>
      </c>
      <c r="AS2687" s="21" t="n">
        <v>0</v>
      </c>
      <c r="AT2687" s="19" t="n"/>
    </row>
    <row r="2688">
      <c r="D2688" s="21" t="n">
        <v>0</v>
      </c>
      <c r="E2688" s="21" t="n">
        <v>0</v>
      </c>
      <c r="F2688" s="21" t="n">
        <v>0</v>
      </c>
      <c r="G2688" s="21" t="n">
        <v>0</v>
      </c>
      <c r="H2688" s="21" t="n">
        <v>0</v>
      </c>
      <c r="I2688" s="21" t="n">
        <v>0</v>
      </c>
      <c r="J2688" s="21" t="n">
        <v>0</v>
      </c>
      <c r="K2688" s="21" t="n">
        <v>0</v>
      </c>
      <c r="L2688" s="21" t="n">
        <v>0</v>
      </c>
      <c r="M2688" s="21" t="n">
        <v>0</v>
      </c>
      <c r="N2688" s="21" t="n">
        <v>0</v>
      </c>
      <c r="O2688" s="21" t="n">
        <v>0</v>
      </c>
      <c r="P2688" s="21" t="n">
        <v>0</v>
      </c>
      <c r="Q2688" s="21" t="n">
        <v>0</v>
      </c>
      <c r="R2688" s="21" t="n">
        <v>0</v>
      </c>
      <c r="S2688" s="21" t="n">
        <v>0</v>
      </c>
      <c r="T2688" s="21" t="n">
        <v>0</v>
      </c>
      <c r="U2688" s="21" t="n">
        <v>0</v>
      </c>
      <c r="V2688" s="21" t="n">
        <v>0</v>
      </c>
      <c r="W2688" s="21" t="n">
        <v>0</v>
      </c>
      <c r="X2688" s="21" t="n">
        <v>0</v>
      </c>
      <c r="Y2688" s="21" t="n">
        <v>0</v>
      </c>
      <c r="Z2688" s="21" t="n">
        <v>0</v>
      </c>
      <c r="AA2688" s="21" t="n">
        <v>0</v>
      </c>
      <c r="AB2688" s="21">
        <f>-$B$1811</f>
        <v/>
      </c>
      <c r="AC2688" s="21">
        <f>-$B$1812</f>
        <v/>
      </c>
      <c r="AD2688" s="21">
        <f>2*$B$1811+$D$2653</f>
        <v/>
      </c>
      <c r="AE2688" s="21">
        <f>0</f>
        <v/>
      </c>
      <c r="AF2688" s="21">
        <f>-$B$1811</f>
        <v/>
      </c>
      <c r="AG2688" s="21">
        <f>$B$1812</f>
        <v/>
      </c>
      <c r="AH2688" s="21" t="n">
        <v>0</v>
      </c>
      <c r="AI2688" s="21" t="n">
        <v>0</v>
      </c>
      <c r="AJ2688" s="21" t="n">
        <v>0</v>
      </c>
      <c r="AK2688" s="21" t="n">
        <v>0</v>
      </c>
      <c r="AL2688" s="21" t="n">
        <v>0</v>
      </c>
      <c r="AM2688" s="21" t="n">
        <v>0</v>
      </c>
      <c r="AN2688" s="21" t="n">
        <v>0</v>
      </c>
      <c r="AO2688" s="21" t="n">
        <v>0</v>
      </c>
      <c r="AP2688" s="21" t="n">
        <v>0</v>
      </c>
      <c r="AQ2688" s="21" t="n">
        <v>0</v>
      </c>
      <c r="AR2688" s="21" t="n">
        <v>0</v>
      </c>
      <c r="AS2688" s="21" t="n">
        <v>0</v>
      </c>
      <c r="AT2688" s="19" t="n"/>
    </row>
    <row r="2689">
      <c r="D2689" s="21" t="n">
        <v>0</v>
      </c>
      <c r="E2689" s="21" t="n">
        <v>0</v>
      </c>
      <c r="F2689" s="21" t="n">
        <v>0</v>
      </c>
      <c r="G2689" s="21" t="n">
        <v>0</v>
      </c>
      <c r="H2689" s="21" t="n">
        <v>0</v>
      </c>
      <c r="I2689" s="21" t="n">
        <v>0</v>
      </c>
      <c r="J2689" s="21" t="n">
        <v>0</v>
      </c>
      <c r="K2689" s="21" t="n">
        <v>0</v>
      </c>
      <c r="L2689" s="21" t="n">
        <v>0</v>
      </c>
      <c r="M2689" s="21" t="n">
        <v>0</v>
      </c>
      <c r="N2689" s="21" t="n">
        <v>0</v>
      </c>
      <c r="O2689" s="21" t="n">
        <v>0</v>
      </c>
      <c r="P2689" s="21" t="n">
        <v>0</v>
      </c>
      <c r="Q2689" s="21" t="n">
        <v>0</v>
      </c>
      <c r="R2689" s="21" t="n">
        <v>0</v>
      </c>
      <c r="S2689" s="21" t="n">
        <v>0</v>
      </c>
      <c r="T2689" s="21" t="n">
        <v>0</v>
      </c>
      <c r="U2689" s="21" t="n">
        <v>0</v>
      </c>
      <c r="V2689" s="21" t="n">
        <v>0</v>
      </c>
      <c r="W2689" s="21" t="n">
        <v>0</v>
      </c>
      <c r="X2689" s="21" t="n">
        <v>0</v>
      </c>
      <c r="Y2689" s="21" t="n">
        <v>0</v>
      </c>
      <c r="Z2689" s="21" t="n">
        <v>0</v>
      </c>
      <c r="AA2689" s="21" t="n">
        <v>0</v>
      </c>
      <c r="AB2689" s="21">
        <f>$B$1812</f>
        <v/>
      </c>
      <c r="AC2689" s="21">
        <f>$B$1814</f>
        <v/>
      </c>
      <c r="AD2689" s="21">
        <f>0</f>
        <v/>
      </c>
      <c r="AE2689" s="21">
        <f>2*$B$1813</f>
        <v/>
      </c>
      <c r="AF2689" s="21">
        <f>-$B$1812</f>
        <v/>
      </c>
      <c r="AG2689" s="21">
        <f>$B$1814</f>
        <v/>
      </c>
      <c r="AH2689" s="21" t="n">
        <v>0</v>
      </c>
      <c r="AI2689" s="21" t="n">
        <v>0</v>
      </c>
      <c r="AJ2689" s="21" t="n">
        <v>0</v>
      </c>
      <c r="AK2689" s="21" t="n">
        <v>0</v>
      </c>
      <c r="AL2689" s="21" t="n">
        <v>0</v>
      </c>
      <c r="AM2689" s="21" t="n">
        <v>0</v>
      </c>
      <c r="AN2689" s="21" t="n">
        <v>0</v>
      </c>
      <c r="AO2689" s="21" t="n">
        <v>0</v>
      </c>
      <c r="AP2689" s="21" t="n">
        <v>0</v>
      </c>
      <c r="AQ2689" s="21" t="n">
        <v>0</v>
      </c>
      <c r="AR2689" s="21" t="n">
        <v>0</v>
      </c>
      <c r="AS2689" s="21" t="n">
        <v>0</v>
      </c>
      <c r="AT2689" s="19" t="n"/>
    </row>
    <row r="2690">
      <c r="D2690" s="21" t="n">
        <v>0</v>
      </c>
      <c r="E2690" s="21" t="n">
        <v>0</v>
      </c>
      <c r="F2690" s="21" t="n">
        <v>0</v>
      </c>
      <c r="G2690" s="21" t="n">
        <v>0</v>
      </c>
      <c r="H2690" s="21" t="n">
        <v>0</v>
      </c>
      <c r="I2690" s="21" t="n">
        <v>0</v>
      </c>
      <c r="J2690" s="21" t="n">
        <v>0</v>
      </c>
      <c r="K2690" s="21" t="n">
        <v>0</v>
      </c>
      <c r="L2690" s="21" t="n">
        <v>0</v>
      </c>
      <c r="M2690" s="21" t="n">
        <v>0</v>
      </c>
      <c r="N2690" s="21" t="n">
        <v>0</v>
      </c>
      <c r="O2690" s="21" t="n">
        <v>0</v>
      </c>
      <c r="P2690" s="21" t="n">
        <v>0</v>
      </c>
      <c r="Q2690" s="21" t="n">
        <v>0</v>
      </c>
      <c r="R2690" s="21" t="n">
        <v>0</v>
      </c>
      <c r="S2690" s="21" t="n">
        <v>0</v>
      </c>
      <c r="T2690" s="21" t="n">
        <v>0</v>
      </c>
      <c r="U2690" s="21" t="n">
        <v>0</v>
      </c>
      <c r="V2690" s="21" t="n">
        <v>0</v>
      </c>
      <c r="W2690" s="21" t="n">
        <v>0</v>
      </c>
      <c r="X2690" s="21" t="n">
        <v>0</v>
      </c>
      <c r="Y2690" s="21" t="n">
        <v>0</v>
      </c>
      <c r="Z2690" s="21" t="n">
        <v>0</v>
      </c>
      <c r="AA2690" s="21" t="n">
        <v>0</v>
      </c>
      <c r="AB2690" s="21" t="n">
        <v>0</v>
      </c>
      <c r="AC2690" s="21" t="n">
        <v>0</v>
      </c>
      <c r="AD2690" s="21">
        <f>-$B$1811</f>
        <v/>
      </c>
      <c r="AE2690" s="21">
        <f>-$B$1812</f>
        <v/>
      </c>
      <c r="AF2690" s="21">
        <f>2*$B$1811+$D$2654</f>
        <v/>
      </c>
      <c r="AG2690" s="21">
        <f>0</f>
        <v/>
      </c>
      <c r="AH2690" s="21">
        <f>-$B$1811</f>
        <v/>
      </c>
      <c r="AI2690" s="21">
        <f>$B$1812</f>
        <v/>
      </c>
      <c r="AJ2690" s="21" t="n">
        <v>0</v>
      </c>
      <c r="AK2690" s="21" t="n">
        <v>0</v>
      </c>
      <c r="AL2690" s="21" t="n">
        <v>0</v>
      </c>
      <c r="AM2690" s="21" t="n">
        <v>0</v>
      </c>
      <c r="AN2690" s="21" t="n">
        <v>0</v>
      </c>
      <c r="AO2690" s="21" t="n">
        <v>0</v>
      </c>
      <c r="AP2690" s="21" t="n">
        <v>0</v>
      </c>
      <c r="AQ2690" s="21" t="n">
        <v>0</v>
      </c>
      <c r="AR2690" s="21" t="n">
        <v>0</v>
      </c>
      <c r="AS2690" s="21" t="n">
        <v>0</v>
      </c>
      <c r="AT2690" s="19" t="n"/>
    </row>
    <row r="2691">
      <c r="D2691" s="21" t="n">
        <v>0</v>
      </c>
      <c r="E2691" s="21" t="n">
        <v>0</v>
      </c>
      <c r="F2691" s="21" t="n">
        <v>0</v>
      </c>
      <c r="G2691" s="21" t="n">
        <v>0</v>
      </c>
      <c r="H2691" s="21" t="n">
        <v>0</v>
      </c>
      <c r="I2691" s="21" t="n">
        <v>0</v>
      </c>
      <c r="J2691" s="21" t="n">
        <v>0</v>
      </c>
      <c r="K2691" s="21" t="n">
        <v>0</v>
      </c>
      <c r="L2691" s="21" t="n">
        <v>0</v>
      </c>
      <c r="M2691" s="21" t="n">
        <v>0</v>
      </c>
      <c r="N2691" s="21" t="n">
        <v>0</v>
      </c>
      <c r="O2691" s="21" t="n">
        <v>0</v>
      </c>
      <c r="P2691" s="21" t="n">
        <v>0</v>
      </c>
      <c r="Q2691" s="21" t="n">
        <v>0</v>
      </c>
      <c r="R2691" s="21" t="n">
        <v>0</v>
      </c>
      <c r="S2691" s="21" t="n">
        <v>0</v>
      </c>
      <c r="T2691" s="21" t="n">
        <v>0</v>
      </c>
      <c r="U2691" s="21" t="n">
        <v>0</v>
      </c>
      <c r="V2691" s="21" t="n">
        <v>0</v>
      </c>
      <c r="W2691" s="21" t="n">
        <v>0</v>
      </c>
      <c r="X2691" s="21" t="n">
        <v>0</v>
      </c>
      <c r="Y2691" s="21" t="n">
        <v>0</v>
      </c>
      <c r="Z2691" s="21" t="n">
        <v>0</v>
      </c>
      <c r="AA2691" s="21" t="n">
        <v>0</v>
      </c>
      <c r="AB2691" s="21" t="n">
        <v>0</v>
      </c>
      <c r="AC2691" s="21" t="n">
        <v>0</v>
      </c>
      <c r="AD2691" s="21">
        <f>$B$1812</f>
        <v/>
      </c>
      <c r="AE2691" s="21">
        <f>$B$1814</f>
        <v/>
      </c>
      <c r="AF2691" s="21">
        <f>0</f>
        <v/>
      </c>
      <c r="AG2691" s="21">
        <f>2*$B$1813</f>
        <v/>
      </c>
      <c r="AH2691" s="21">
        <f>-$B$1812</f>
        <v/>
      </c>
      <c r="AI2691" s="21">
        <f>$B$1814</f>
        <v/>
      </c>
      <c r="AJ2691" s="21" t="n">
        <v>0</v>
      </c>
      <c r="AK2691" s="21" t="n">
        <v>0</v>
      </c>
      <c r="AL2691" s="21" t="n">
        <v>0</v>
      </c>
      <c r="AM2691" s="21" t="n">
        <v>0</v>
      </c>
      <c r="AN2691" s="21" t="n">
        <v>0</v>
      </c>
      <c r="AO2691" s="21" t="n">
        <v>0</v>
      </c>
      <c r="AP2691" s="21" t="n">
        <v>0</v>
      </c>
      <c r="AQ2691" s="21" t="n">
        <v>0</v>
      </c>
      <c r="AR2691" s="21" t="n">
        <v>0</v>
      </c>
      <c r="AS2691" s="21" t="n">
        <v>0</v>
      </c>
      <c r="AT2691" s="19" t="n"/>
    </row>
    <row r="2692">
      <c r="D2692" s="21" t="n">
        <v>0</v>
      </c>
      <c r="E2692" s="21" t="n">
        <v>0</v>
      </c>
      <c r="F2692" s="21" t="n">
        <v>0</v>
      </c>
      <c r="G2692" s="21" t="n">
        <v>0</v>
      </c>
      <c r="H2692" s="21" t="n">
        <v>0</v>
      </c>
      <c r="I2692" s="21" t="n">
        <v>0</v>
      </c>
      <c r="J2692" s="21" t="n">
        <v>0</v>
      </c>
      <c r="K2692" s="21" t="n">
        <v>0</v>
      </c>
      <c r="L2692" s="21" t="n">
        <v>0</v>
      </c>
      <c r="M2692" s="21" t="n">
        <v>0</v>
      </c>
      <c r="N2692" s="21" t="n">
        <v>0</v>
      </c>
      <c r="O2692" s="21" t="n">
        <v>0</v>
      </c>
      <c r="P2692" s="21" t="n">
        <v>0</v>
      </c>
      <c r="Q2692" s="21" t="n">
        <v>0</v>
      </c>
      <c r="R2692" s="21" t="n">
        <v>0</v>
      </c>
      <c r="S2692" s="21" t="n">
        <v>0</v>
      </c>
      <c r="T2692" s="21" t="n">
        <v>0</v>
      </c>
      <c r="U2692" s="21" t="n">
        <v>0</v>
      </c>
      <c r="V2692" s="21" t="n">
        <v>0</v>
      </c>
      <c r="W2692" s="21" t="n">
        <v>0</v>
      </c>
      <c r="X2692" s="21" t="n">
        <v>0</v>
      </c>
      <c r="Y2692" s="21" t="n">
        <v>0</v>
      </c>
      <c r="Z2692" s="21" t="n">
        <v>0</v>
      </c>
      <c r="AA2692" s="21" t="n">
        <v>0</v>
      </c>
      <c r="AB2692" s="21" t="n">
        <v>0</v>
      </c>
      <c r="AC2692" s="21" t="n">
        <v>0</v>
      </c>
      <c r="AD2692" s="21" t="n">
        <v>0</v>
      </c>
      <c r="AE2692" s="21" t="n">
        <v>0</v>
      </c>
      <c r="AF2692" s="21">
        <f>-$B$1811</f>
        <v/>
      </c>
      <c r="AG2692" s="21">
        <f>-$B$1812</f>
        <v/>
      </c>
      <c r="AH2692" s="21">
        <f>2*$B$1811+$D$2655</f>
        <v/>
      </c>
      <c r="AI2692" s="21">
        <f>0</f>
        <v/>
      </c>
      <c r="AJ2692" s="21">
        <f>-$B$1811</f>
        <v/>
      </c>
      <c r="AK2692" s="21">
        <f>$B$1812</f>
        <v/>
      </c>
      <c r="AL2692" s="21" t="n">
        <v>0</v>
      </c>
      <c r="AM2692" s="21" t="n">
        <v>0</v>
      </c>
      <c r="AN2692" s="21" t="n">
        <v>0</v>
      </c>
      <c r="AO2692" s="21" t="n">
        <v>0</v>
      </c>
      <c r="AP2692" s="21" t="n">
        <v>0</v>
      </c>
      <c r="AQ2692" s="21" t="n">
        <v>0</v>
      </c>
      <c r="AR2692" s="21" t="n">
        <v>0</v>
      </c>
      <c r="AS2692" s="21" t="n">
        <v>0</v>
      </c>
      <c r="AT2692" s="19" t="n"/>
    </row>
    <row r="2693">
      <c r="D2693" s="21" t="n">
        <v>0</v>
      </c>
      <c r="E2693" s="21" t="n">
        <v>0</v>
      </c>
      <c r="F2693" s="21" t="n">
        <v>0</v>
      </c>
      <c r="G2693" s="21" t="n">
        <v>0</v>
      </c>
      <c r="H2693" s="21" t="n">
        <v>0</v>
      </c>
      <c r="I2693" s="21" t="n">
        <v>0</v>
      </c>
      <c r="J2693" s="21" t="n">
        <v>0</v>
      </c>
      <c r="K2693" s="21" t="n">
        <v>0</v>
      </c>
      <c r="L2693" s="21" t="n">
        <v>0</v>
      </c>
      <c r="M2693" s="21" t="n">
        <v>0</v>
      </c>
      <c r="N2693" s="21" t="n">
        <v>0</v>
      </c>
      <c r="O2693" s="21" t="n">
        <v>0</v>
      </c>
      <c r="P2693" s="21" t="n">
        <v>0</v>
      </c>
      <c r="Q2693" s="21" t="n">
        <v>0</v>
      </c>
      <c r="R2693" s="21" t="n">
        <v>0</v>
      </c>
      <c r="S2693" s="21" t="n">
        <v>0</v>
      </c>
      <c r="T2693" s="21" t="n">
        <v>0</v>
      </c>
      <c r="U2693" s="21" t="n">
        <v>0</v>
      </c>
      <c r="V2693" s="21" t="n">
        <v>0</v>
      </c>
      <c r="W2693" s="21" t="n">
        <v>0</v>
      </c>
      <c r="X2693" s="21" t="n">
        <v>0</v>
      </c>
      <c r="Y2693" s="21" t="n">
        <v>0</v>
      </c>
      <c r="Z2693" s="21" t="n">
        <v>0</v>
      </c>
      <c r="AA2693" s="21" t="n">
        <v>0</v>
      </c>
      <c r="AB2693" s="21" t="n">
        <v>0</v>
      </c>
      <c r="AC2693" s="21" t="n">
        <v>0</v>
      </c>
      <c r="AD2693" s="21" t="n">
        <v>0</v>
      </c>
      <c r="AE2693" s="21" t="n">
        <v>0</v>
      </c>
      <c r="AF2693" s="21">
        <f>$B$1812</f>
        <v/>
      </c>
      <c r="AG2693" s="21">
        <f>$B$1814</f>
        <v/>
      </c>
      <c r="AH2693" s="21">
        <f>0</f>
        <v/>
      </c>
      <c r="AI2693" s="21">
        <f>2*$B$1813</f>
        <v/>
      </c>
      <c r="AJ2693" s="21">
        <f>-$B$1812</f>
        <v/>
      </c>
      <c r="AK2693" s="21">
        <f>$B$1814</f>
        <v/>
      </c>
      <c r="AL2693" s="21" t="n">
        <v>0</v>
      </c>
      <c r="AM2693" s="21" t="n">
        <v>0</v>
      </c>
      <c r="AN2693" s="21" t="n">
        <v>0</v>
      </c>
      <c r="AO2693" s="21" t="n">
        <v>0</v>
      </c>
      <c r="AP2693" s="21" t="n">
        <v>0</v>
      </c>
      <c r="AQ2693" s="21" t="n">
        <v>0</v>
      </c>
      <c r="AR2693" s="21" t="n">
        <v>0</v>
      </c>
      <c r="AS2693" s="21" t="n">
        <v>0</v>
      </c>
      <c r="AT2693" s="19" t="n"/>
    </row>
    <row r="2694">
      <c r="D2694" s="21" t="n">
        <v>0</v>
      </c>
      <c r="E2694" s="21" t="n">
        <v>0</v>
      </c>
      <c r="F2694" s="21" t="n">
        <v>0</v>
      </c>
      <c r="G2694" s="21" t="n">
        <v>0</v>
      </c>
      <c r="H2694" s="21" t="n">
        <v>0</v>
      </c>
      <c r="I2694" s="21" t="n">
        <v>0</v>
      </c>
      <c r="J2694" s="21" t="n">
        <v>0</v>
      </c>
      <c r="K2694" s="21" t="n">
        <v>0</v>
      </c>
      <c r="L2694" s="21" t="n">
        <v>0</v>
      </c>
      <c r="M2694" s="21" t="n">
        <v>0</v>
      </c>
      <c r="N2694" s="21" t="n">
        <v>0</v>
      </c>
      <c r="O2694" s="21" t="n">
        <v>0</v>
      </c>
      <c r="P2694" s="21" t="n">
        <v>0</v>
      </c>
      <c r="Q2694" s="21" t="n">
        <v>0</v>
      </c>
      <c r="R2694" s="21" t="n">
        <v>0</v>
      </c>
      <c r="S2694" s="21" t="n">
        <v>0</v>
      </c>
      <c r="T2694" s="21" t="n">
        <v>0</v>
      </c>
      <c r="U2694" s="21" t="n">
        <v>0</v>
      </c>
      <c r="V2694" s="21" t="n">
        <v>0</v>
      </c>
      <c r="W2694" s="21" t="n">
        <v>0</v>
      </c>
      <c r="X2694" s="21" t="n">
        <v>0</v>
      </c>
      <c r="Y2694" s="21" t="n">
        <v>0</v>
      </c>
      <c r="Z2694" s="21" t="n">
        <v>0</v>
      </c>
      <c r="AA2694" s="21" t="n">
        <v>0</v>
      </c>
      <c r="AB2694" s="21" t="n">
        <v>0</v>
      </c>
      <c r="AC2694" s="21" t="n">
        <v>0</v>
      </c>
      <c r="AD2694" s="21" t="n">
        <v>0</v>
      </c>
      <c r="AE2694" s="21" t="n">
        <v>0</v>
      </c>
      <c r="AF2694" s="21" t="n">
        <v>0</v>
      </c>
      <c r="AG2694" s="21" t="n">
        <v>0</v>
      </c>
      <c r="AH2694" s="21">
        <f>-$B$1811</f>
        <v/>
      </c>
      <c r="AI2694" s="21">
        <f>-$B$1812</f>
        <v/>
      </c>
      <c r="AJ2694" s="21">
        <f>2*$B$1811+$D$2656</f>
        <v/>
      </c>
      <c r="AK2694" s="21">
        <f>0</f>
        <v/>
      </c>
      <c r="AL2694" s="21">
        <f>-$B$1811</f>
        <v/>
      </c>
      <c r="AM2694" s="21">
        <f>$B$1812</f>
        <v/>
      </c>
      <c r="AN2694" s="21" t="n">
        <v>0</v>
      </c>
      <c r="AO2694" s="21" t="n">
        <v>0</v>
      </c>
      <c r="AP2694" s="21" t="n">
        <v>0</v>
      </c>
      <c r="AQ2694" s="21" t="n">
        <v>0</v>
      </c>
      <c r="AR2694" s="21" t="n">
        <v>0</v>
      </c>
      <c r="AS2694" s="21" t="n">
        <v>0</v>
      </c>
      <c r="AT2694" s="19" t="n"/>
    </row>
    <row r="2695">
      <c r="D2695" s="21" t="n">
        <v>0</v>
      </c>
      <c r="E2695" s="21" t="n">
        <v>0</v>
      </c>
      <c r="F2695" s="21" t="n">
        <v>0</v>
      </c>
      <c r="G2695" s="21" t="n">
        <v>0</v>
      </c>
      <c r="H2695" s="21" t="n">
        <v>0</v>
      </c>
      <c r="I2695" s="21" t="n">
        <v>0</v>
      </c>
      <c r="J2695" s="21" t="n">
        <v>0</v>
      </c>
      <c r="K2695" s="21" t="n">
        <v>0</v>
      </c>
      <c r="L2695" s="21" t="n">
        <v>0</v>
      </c>
      <c r="M2695" s="21" t="n">
        <v>0</v>
      </c>
      <c r="N2695" s="21" t="n">
        <v>0</v>
      </c>
      <c r="O2695" s="21" t="n">
        <v>0</v>
      </c>
      <c r="P2695" s="21" t="n">
        <v>0</v>
      </c>
      <c r="Q2695" s="21" t="n">
        <v>0</v>
      </c>
      <c r="R2695" s="21" t="n">
        <v>0</v>
      </c>
      <c r="S2695" s="21" t="n">
        <v>0</v>
      </c>
      <c r="T2695" s="21" t="n">
        <v>0</v>
      </c>
      <c r="U2695" s="21" t="n">
        <v>0</v>
      </c>
      <c r="V2695" s="21" t="n">
        <v>0</v>
      </c>
      <c r="W2695" s="21" t="n">
        <v>0</v>
      </c>
      <c r="X2695" s="21" t="n">
        <v>0</v>
      </c>
      <c r="Y2695" s="21" t="n">
        <v>0</v>
      </c>
      <c r="Z2695" s="21" t="n">
        <v>0</v>
      </c>
      <c r="AA2695" s="21" t="n">
        <v>0</v>
      </c>
      <c r="AB2695" s="21" t="n">
        <v>0</v>
      </c>
      <c r="AC2695" s="21" t="n">
        <v>0</v>
      </c>
      <c r="AD2695" s="21" t="n">
        <v>0</v>
      </c>
      <c r="AE2695" s="21" t="n">
        <v>0</v>
      </c>
      <c r="AF2695" s="21" t="n">
        <v>0</v>
      </c>
      <c r="AG2695" s="21" t="n">
        <v>0</v>
      </c>
      <c r="AH2695" s="21">
        <f>$B$1812</f>
        <v/>
      </c>
      <c r="AI2695" s="21">
        <f>$B$1814</f>
        <v/>
      </c>
      <c r="AJ2695" s="21">
        <f>0</f>
        <v/>
      </c>
      <c r="AK2695" s="21">
        <f>2*$B$1813</f>
        <v/>
      </c>
      <c r="AL2695" s="21">
        <f>-$B$1812</f>
        <v/>
      </c>
      <c r="AM2695" s="21">
        <f>$B$1814</f>
        <v/>
      </c>
      <c r="AN2695" s="21" t="n">
        <v>0</v>
      </c>
      <c r="AO2695" s="21" t="n">
        <v>0</v>
      </c>
      <c r="AP2695" s="21" t="n">
        <v>0</v>
      </c>
      <c r="AQ2695" s="21" t="n">
        <v>0</v>
      </c>
      <c r="AR2695" s="21" t="n">
        <v>0</v>
      </c>
      <c r="AS2695" s="21" t="n">
        <v>0</v>
      </c>
      <c r="AT2695" s="19" t="n"/>
    </row>
    <row r="2696">
      <c r="D2696" s="21" t="n">
        <v>0</v>
      </c>
      <c r="E2696" s="21" t="n">
        <v>0</v>
      </c>
      <c r="F2696" s="21" t="n">
        <v>0</v>
      </c>
      <c r="G2696" s="21" t="n">
        <v>0</v>
      </c>
      <c r="H2696" s="21" t="n">
        <v>0</v>
      </c>
      <c r="I2696" s="21" t="n">
        <v>0</v>
      </c>
      <c r="J2696" s="21" t="n">
        <v>0</v>
      </c>
      <c r="K2696" s="21" t="n">
        <v>0</v>
      </c>
      <c r="L2696" s="21" t="n">
        <v>0</v>
      </c>
      <c r="M2696" s="21" t="n">
        <v>0</v>
      </c>
      <c r="N2696" s="21" t="n">
        <v>0</v>
      </c>
      <c r="O2696" s="21" t="n">
        <v>0</v>
      </c>
      <c r="P2696" s="21" t="n">
        <v>0</v>
      </c>
      <c r="Q2696" s="21" t="n">
        <v>0</v>
      </c>
      <c r="R2696" s="21" t="n">
        <v>0</v>
      </c>
      <c r="S2696" s="21" t="n">
        <v>0</v>
      </c>
      <c r="T2696" s="21" t="n">
        <v>0</v>
      </c>
      <c r="U2696" s="21" t="n">
        <v>0</v>
      </c>
      <c r="V2696" s="21" t="n">
        <v>0</v>
      </c>
      <c r="W2696" s="21" t="n">
        <v>0</v>
      </c>
      <c r="X2696" s="21" t="n">
        <v>0</v>
      </c>
      <c r="Y2696" s="21" t="n">
        <v>0</v>
      </c>
      <c r="Z2696" s="21" t="n">
        <v>0</v>
      </c>
      <c r="AA2696" s="21" t="n">
        <v>0</v>
      </c>
      <c r="AB2696" s="21" t="n">
        <v>0</v>
      </c>
      <c r="AC2696" s="21" t="n">
        <v>0</v>
      </c>
      <c r="AD2696" s="21" t="n">
        <v>0</v>
      </c>
      <c r="AE2696" s="21" t="n">
        <v>0</v>
      </c>
      <c r="AF2696" s="21" t="n">
        <v>0</v>
      </c>
      <c r="AG2696" s="21" t="n">
        <v>0</v>
      </c>
      <c r="AH2696" s="21" t="n">
        <v>0</v>
      </c>
      <c r="AI2696" s="21" t="n">
        <v>0</v>
      </c>
      <c r="AJ2696" s="21">
        <f>-$B$1811</f>
        <v/>
      </c>
      <c r="AK2696" s="21">
        <f>-$B$1812</f>
        <v/>
      </c>
      <c r="AL2696" s="21">
        <f>2*$B$1811+$D$2657</f>
        <v/>
      </c>
      <c r="AM2696" s="21">
        <f>0</f>
        <v/>
      </c>
      <c r="AN2696" s="21">
        <f>-$B$1811</f>
        <v/>
      </c>
      <c r="AO2696" s="21">
        <f>$B$1812</f>
        <v/>
      </c>
      <c r="AP2696" s="21" t="n">
        <v>0</v>
      </c>
      <c r="AQ2696" s="21" t="n">
        <v>0</v>
      </c>
      <c r="AR2696" s="21" t="n">
        <v>0</v>
      </c>
      <c r="AS2696" s="21" t="n">
        <v>0</v>
      </c>
      <c r="AT2696" s="19" t="n"/>
    </row>
    <row r="2697">
      <c r="D2697" s="21" t="n">
        <v>0</v>
      </c>
      <c r="E2697" s="21" t="n">
        <v>0</v>
      </c>
      <c r="F2697" s="21" t="n">
        <v>0</v>
      </c>
      <c r="G2697" s="21" t="n">
        <v>0</v>
      </c>
      <c r="H2697" s="21" t="n">
        <v>0</v>
      </c>
      <c r="I2697" s="21" t="n">
        <v>0</v>
      </c>
      <c r="J2697" s="21" t="n">
        <v>0</v>
      </c>
      <c r="K2697" s="21" t="n">
        <v>0</v>
      </c>
      <c r="L2697" s="21" t="n">
        <v>0</v>
      </c>
      <c r="M2697" s="21" t="n">
        <v>0</v>
      </c>
      <c r="N2697" s="21" t="n">
        <v>0</v>
      </c>
      <c r="O2697" s="21" t="n">
        <v>0</v>
      </c>
      <c r="P2697" s="21" t="n">
        <v>0</v>
      </c>
      <c r="Q2697" s="21" t="n">
        <v>0</v>
      </c>
      <c r="R2697" s="21" t="n">
        <v>0</v>
      </c>
      <c r="S2697" s="21" t="n">
        <v>0</v>
      </c>
      <c r="T2697" s="21" t="n">
        <v>0</v>
      </c>
      <c r="U2697" s="21" t="n">
        <v>0</v>
      </c>
      <c r="V2697" s="21" t="n">
        <v>0</v>
      </c>
      <c r="W2697" s="21" t="n">
        <v>0</v>
      </c>
      <c r="X2697" s="21" t="n">
        <v>0</v>
      </c>
      <c r="Y2697" s="21" t="n">
        <v>0</v>
      </c>
      <c r="Z2697" s="21" t="n">
        <v>0</v>
      </c>
      <c r="AA2697" s="21" t="n">
        <v>0</v>
      </c>
      <c r="AB2697" s="21" t="n">
        <v>0</v>
      </c>
      <c r="AC2697" s="21" t="n">
        <v>0</v>
      </c>
      <c r="AD2697" s="21" t="n">
        <v>0</v>
      </c>
      <c r="AE2697" s="21" t="n">
        <v>0</v>
      </c>
      <c r="AF2697" s="21" t="n">
        <v>0</v>
      </c>
      <c r="AG2697" s="21" t="n">
        <v>0</v>
      </c>
      <c r="AH2697" s="21" t="n">
        <v>0</v>
      </c>
      <c r="AI2697" s="21" t="n">
        <v>0</v>
      </c>
      <c r="AJ2697" s="21">
        <f>$B$1812</f>
        <v/>
      </c>
      <c r="AK2697" s="21">
        <f>$B$1814</f>
        <v/>
      </c>
      <c r="AL2697" s="21">
        <f>0</f>
        <v/>
      </c>
      <c r="AM2697" s="21">
        <f>2*$B$1813</f>
        <v/>
      </c>
      <c r="AN2697" s="21">
        <f>-$B$1812</f>
        <v/>
      </c>
      <c r="AO2697" s="21">
        <f>$B$1814</f>
        <v/>
      </c>
      <c r="AP2697" s="21" t="n">
        <v>0</v>
      </c>
      <c r="AQ2697" s="21" t="n">
        <v>0</v>
      </c>
      <c r="AR2697" s="21" t="n">
        <v>0</v>
      </c>
      <c r="AS2697" s="21" t="n">
        <v>0</v>
      </c>
      <c r="AT2697" s="19" t="n"/>
    </row>
    <row r="2698">
      <c r="D2698" s="21" t="n">
        <v>0</v>
      </c>
      <c r="E2698" s="21" t="n">
        <v>0</v>
      </c>
      <c r="F2698" s="21" t="n">
        <v>0</v>
      </c>
      <c r="G2698" s="21" t="n">
        <v>0</v>
      </c>
      <c r="H2698" s="21" t="n">
        <v>0</v>
      </c>
      <c r="I2698" s="21" t="n">
        <v>0</v>
      </c>
      <c r="J2698" s="21" t="n">
        <v>0</v>
      </c>
      <c r="K2698" s="21" t="n">
        <v>0</v>
      </c>
      <c r="L2698" s="21" t="n">
        <v>0</v>
      </c>
      <c r="M2698" s="21" t="n">
        <v>0</v>
      </c>
      <c r="N2698" s="21" t="n">
        <v>0</v>
      </c>
      <c r="O2698" s="21" t="n">
        <v>0</v>
      </c>
      <c r="P2698" s="21" t="n">
        <v>0</v>
      </c>
      <c r="Q2698" s="21" t="n">
        <v>0</v>
      </c>
      <c r="R2698" s="21" t="n">
        <v>0</v>
      </c>
      <c r="S2698" s="21" t="n">
        <v>0</v>
      </c>
      <c r="T2698" s="21" t="n">
        <v>0</v>
      </c>
      <c r="U2698" s="21" t="n">
        <v>0</v>
      </c>
      <c r="V2698" s="21" t="n">
        <v>0</v>
      </c>
      <c r="W2698" s="21" t="n">
        <v>0</v>
      </c>
      <c r="X2698" s="21" t="n">
        <v>0</v>
      </c>
      <c r="Y2698" s="21" t="n">
        <v>0</v>
      </c>
      <c r="Z2698" s="21" t="n">
        <v>0</v>
      </c>
      <c r="AA2698" s="21" t="n">
        <v>0</v>
      </c>
      <c r="AB2698" s="21" t="n">
        <v>0</v>
      </c>
      <c r="AC2698" s="21" t="n">
        <v>0</v>
      </c>
      <c r="AD2698" s="21" t="n">
        <v>0</v>
      </c>
      <c r="AE2698" s="21" t="n">
        <v>0</v>
      </c>
      <c r="AF2698" s="21" t="n">
        <v>0</v>
      </c>
      <c r="AG2698" s="21" t="n">
        <v>0</v>
      </c>
      <c r="AH2698" s="21" t="n">
        <v>0</v>
      </c>
      <c r="AI2698" s="21" t="n">
        <v>0</v>
      </c>
      <c r="AJ2698" s="21" t="n">
        <v>0</v>
      </c>
      <c r="AK2698" s="21" t="n">
        <v>0</v>
      </c>
      <c r="AL2698" s="21">
        <f>-$B$1811</f>
        <v/>
      </c>
      <c r="AM2698" s="21">
        <f>-$B$1812</f>
        <v/>
      </c>
      <c r="AN2698" s="21">
        <f>2*$B$1811+$D$2658</f>
        <v/>
      </c>
      <c r="AO2698" s="21">
        <f>0</f>
        <v/>
      </c>
      <c r="AP2698" s="21">
        <f>-$B$1811</f>
        <v/>
      </c>
      <c r="AQ2698" s="21">
        <f>$B$1812</f>
        <v/>
      </c>
      <c r="AR2698" s="21" t="n">
        <v>0</v>
      </c>
      <c r="AS2698" s="21" t="n">
        <v>0</v>
      </c>
      <c r="AT2698" s="19" t="n"/>
    </row>
    <row r="2699">
      <c r="D2699" s="21" t="n">
        <v>0</v>
      </c>
      <c r="E2699" s="21" t="n">
        <v>0</v>
      </c>
      <c r="F2699" s="21" t="n">
        <v>0</v>
      </c>
      <c r="G2699" s="21" t="n">
        <v>0</v>
      </c>
      <c r="H2699" s="21" t="n">
        <v>0</v>
      </c>
      <c r="I2699" s="21" t="n">
        <v>0</v>
      </c>
      <c r="J2699" s="21" t="n">
        <v>0</v>
      </c>
      <c r="K2699" s="21" t="n">
        <v>0</v>
      </c>
      <c r="L2699" s="21" t="n">
        <v>0</v>
      </c>
      <c r="M2699" s="21" t="n">
        <v>0</v>
      </c>
      <c r="N2699" s="21" t="n">
        <v>0</v>
      </c>
      <c r="O2699" s="21" t="n">
        <v>0</v>
      </c>
      <c r="P2699" s="21" t="n">
        <v>0</v>
      </c>
      <c r="Q2699" s="21" t="n">
        <v>0</v>
      </c>
      <c r="R2699" s="21" t="n">
        <v>0</v>
      </c>
      <c r="S2699" s="21" t="n">
        <v>0</v>
      </c>
      <c r="T2699" s="21" t="n">
        <v>0</v>
      </c>
      <c r="U2699" s="21" t="n">
        <v>0</v>
      </c>
      <c r="V2699" s="21" t="n">
        <v>0</v>
      </c>
      <c r="W2699" s="21" t="n">
        <v>0</v>
      </c>
      <c r="X2699" s="21" t="n">
        <v>0</v>
      </c>
      <c r="Y2699" s="21" t="n">
        <v>0</v>
      </c>
      <c r="Z2699" s="21" t="n">
        <v>0</v>
      </c>
      <c r="AA2699" s="21" t="n">
        <v>0</v>
      </c>
      <c r="AB2699" s="21" t="n">
        <v>0</v>
      </c>
      <c r="AC2699" s="21" t="n">
        <v>0</v>
      </c>
      <c r="AD2699" s="21" t="n">
        <v>0</v>
      </c>
      <c r="AE2699" s="21" t="n">
        <v>0</v>
      </c>
      <c r="AF2699" s="21" t="n">
        <v>0</v>
      </c>
      <c r="AG2699" s="21" t="n">
        <v>0</v>
      </c>
      <c r="AH2699" s="21" t="n">
        <v>0</v>
      </c>
      <c r="AI2699" s="21" t="n">
        <v>0</v>
      </c>
      <c r="AJ2699" s="21" t="n">
        <v>0</v>
      </c>
      <c r="AK2699" s="21" t="n">
        <v>0</v>
      </c>
      <c r="AL2699" s="21">
        <f>$B$1812</f>
        <v/>
      </c>
      <c r="AM2699" s="21">
        <f>$B$1814</f>
        <v/>
      </c>
      <c r="AN2699" s="21">
        <f>0</f>
        <v/>
      </c>
      <c r="AO2699" s="21">
        <f>2*$B$1813</f>
        <v/>
      </c>
      <c r="AP2699" s="21">
        <f>-$B$1812</f>
        <v/>
      </c>
      <c r="AQ2699" s="21">
        <f>$B$1814</f>
        <v/>
      </c>
      <c r="AR2699" s="21" t="n">
        <v>0</v>
      </c>
      <c r="AS2699" s="21" t="n">
        <v>0</v>
      </c>
      <c r="AT2699" s="19" t="n"/>
    </row>
    <row r="2700">
      <c r="D2700" s="21" t="n">
        <v>0</v>
      </c>
      <c r="E2700" s="21" t="n">
        <v>0</v>
      </c>
      <c r="F2700" s="21" t="n">
        <v>0</v>
      </c>
      <c r="G2700" s="21" t="n">
        <v>0</v>
      </c>
      <c r="H2700" s="21" t="n">
        <v>0</v>
      </c>
      <c r="I2700" s="21" t="n">
        <v>0</v>
      </c>
      <c r="J2700" s="21" t="n">
        <v>0</v>
      </c>
      <c r="K2700" s="21" t="n">
        <v>0</v>
      </c>
      <c r="L2700" s="21" t="n">
        <v>0</v>
      </c>
      <c r="M2700" s="21" t="n">
        <v>0</v>
      </c>
      <c r="N2700" s="21" t="n">
        <v>0</v>
      </c>
      <c r="O2700" s="21" t="n">
        <v>0</v>
      </c>
      <c r="P2700" s="21" t="n">
        <v>0</v>
      </c>
      <c r="Q2700" s="21" t="n">
        <v>0</v>
      </c>
      <c r="R2700" s="21" t="n">
        <v>0</v>
      </c>
      <c r="S2700" s="21" t="n">
        <v>0</v>
      </c>
      <c r="T2700" s="21" t="n">
        <v>0</v>
      </c>
      <c r="U2700" s="21" t="n">
        <v>0</v>
      </c>
      <c r="V2700" s="21" t="n">
        <v>0</v>
      </c>
      <c r="W2700" s="21" t="n">
        <v>0</v>
      </c>
      <c r="X2700" s="21" t="n">
        <v>0</v>
      </c>
      <c r="Y2700" s="21" t="n">
        <v>0</v>
      </c>
      <c r="Z2700" s="21" t="n">
        <v>0</v>
      </c>
      <c r="AA2700" s="21" t="n">
        <v>0</v>
      </c>
      <c r="AB2700" s="21" t="n">
        <v>0</v>
      </c>
      <c r="AC2700" s="21" t="n">
        <v>0</v>
      </c>
      <c r="AD2700" s="21" t="n">
        <v>0</v>
      </c>
      <c r="AE2700" s="21" t="n">
        <v>0</v>
      </c>
      <c r="AF2700" s="21" t="n">
        <v>0</v>
      </c>
      <c r="AG2700" s="21" t="n">
        <v>0</v>
      </c>
      <c r="AH2700" s="21" t="n">
        <v>0</v>
      </c>
      <c r="AI2700" s="21" t="n">
        <v>0</v>
      </c>
      <c r="AJ2700" s="21" t="n">
        <v>0</v>
      </c>
      <c r="AK2700" s="21" t="n">
        <v>0</v>
      </c>
      <c r="AL2700" s="21" t="n">
        <v>0</v>
      </c>
      <c r="AM2700" s="21" t="n">
        <v>0</v>
      </c>
      <c r="AN2700" s="21">
        <f>-$B$1811</f>
        <v/>
      </c>
      <c r="AO2700" s="21">
        <f>-$B$1812</f>
        <v/>
      </c>
      <c r="AP2700" s="21">
        <f>2*$B$1811+$D$2659</f>
        <v/>
      </c>
      <c r="AQ2700" s="21">
        <f>0</f>
        <v/>
      </c>
      <c r="AR2700" s="21">
        <f>-$B$1811</f>
        <v/>
      </c>
      <c r="AS2700" s="21">
        <f>$B$1812</f>
        <v/>
      </c>
      <c r="AT2700" s="19" t="n"/>
    </row>
    <row r="2701">
      <c r="D2701" s="21" t="n">
        <v>0</v>
      </c>
      <c r="E2701" s="21" t="n">
        <v>0</v>
      </c>
      <c r="F2701" s="21" t="n">
        <v>0</v>
      </c>
      <c r="G2701" s="21" t="n">
        <v>0</v>
      </c>
      <c r="H2701" s="21" t="n">
        <v>0</v>
      </c>
      <c r="I2701" s="21" t="n">
        <v>0</v>
      </c>
      <c r="J2701" s="21" t="n">
        <v>0</v>
      </c>
      <c r="K2701" s="21" t="n">
        <v>0</v>
      </c>
      <c r="L2701" s="21" t="n">
        <v>0</v>
      </c>
      <c r="M2701" s="21" t="n">
        <v>0</v>
      </c>
      <c r="N2701" s="21" t="n">
        <v>0</v>
      </c>
      <c r="O2701" s="21" t="n">
        <v>0</v>
      </c>
      <c r="P2701" s="21" t="n">
        <v>0</v>
      </c>
      <c r="Q2701" s="21" t="n">
        <v>0</v>
      </c>
      <c r="R2701" s="21" t="n">
        <v>0</v>
      </c>
      <c r="S2701" s="21" t="n">
        <v>0</v>
      </c>
      <c r="T2701" s="21" t="n">
        <v>0</v>
      </c>
      <c r="U2701" s="21" t="n">
        <v>0</v>
      </c>
      <c r="V2701" s="21" t="n">
        <v>0</v>
      </c>
      <c r="W2701" s="21" t="n">
        <v>0</v>
      </c>
      <c r="X2701" s="21" t="n">
        <v>0</v>
      </c>
      <c r="Y2701" s="21" t="n">
        <v>0</v>
      </c>
      <c r="Z2701" s="21" t="n">
        <v>0</v>
      </c>
      <c r="AA2701" s="21" t="n">
        <v>0</v>
      </c>
      <c r="AB2701" s="21" t="n">
        <v>0</v>
      </c>
      <c r="AC2701" s="21" t="n">
        <v>0</v>
      </c>
      <c r="AD2701" s="21" t="n">
        <v>0</v>
      </c>
      <c r="AE2701" s="21" t="n">
        <v>0</v>
      </c>
      <c r="AF2701" s="21" t="n">
        <v>0</v>
      </c>
      <c r="AG2701" s="21" t="n">
        <v>0</v>
      </c>
      <c r="AH2701" s="21" t="n">
        <v>0</v>
      </c>
      <c r="AI2701" s="21" t="n">
        <v>0</v>
      </c>
      <c r="AJ2701" s="21" t="n">
        <v>0</v>
      </c>
      <c r="AK2701" s="21" t="n">
        <v>0</v>
      </c>
      <c r="AL2701" s="21" t="n">
        <v>0</v>
      </c>
      <c r="AM2701" s="21" t="n">
        <v>0</v>
      </c>
      <c r="AN2701" s="21">
        <f>$B$1812</f>
        <v/>
      </c>
      <c r="AO2701" s="21">
        <f>$B$1814</f>
        <v/>
      </c>
      <c r="AP2701" s="21">
        <f>0</f>
        <v/>
      </c>
      <c r="AQ2701" s="21">
        <f>2*$B$1813</f>
        <v/>
      </c>
      <c r="AR2701" s="21">
        <f>-$B$1812</f>
        <v/>
      </c>
      <c r="AS2701" s="21">
        <f>$B$1814</f>
        <v/>
      </c>
      <c r="AT2701" s="19" t="n"/>
    </row>
    <row r="2702">
      <c r="D2702" s="21" t="n">
        <v>0</v>
      </c>
      <c r="E2702" s="21" t="n">
        <v>0</v>
      </c>
      <c r="F2702" s="21" t="n">
        <v>0</v>
      </c>
      <c r="G2702" s="21" t="n">
        <v>0</v>
      </c>
      <c r="H2702" s="21" t="n">
        <v>0</v>
      </c>
      <c r="I2702" s="21" t="n">
        <v>0</v>
      </c>
      <c r="J2702" s="21" t="n">
        <v>0</v>
      </c>
      <c r="K2702" s="21" t="n">
        <v>0</v>
      </c>
      <c r="L2702" s="21" t="n">
        <v>0</v>
      </c>
      <c r="M2702" s="21" t="n">
        <v>0</v>
      </c>
      <c r="N2702" s="21" t="n">
        <v>0</v>
      </c>
      <c r="O2702" s="21" t="n">
        <v>0</v>
      </c>
      <c r="P2702" s="21" t="n">
        <v>0</v>
      </c>
      <c r="Q2702" s="21" t="n">
        <v>0</v>
      </c>
      <c r="R2702" s="21" t="n">
        <v>0</v>
      </c>
      <c r="S2702" s="21" t="n">
        <v>0</v>
      </c>
      <c r="T2702" s="21" t="n">
        <v>0</v>
      </c>
      <c r="U2702" s="21" t="n">
        <v>0</v>
      </c>
      <c r="V2702" s="21" t="n">
        <v>0</v>
      </c>
      <c r="W2702" s="21" t="n">
        <v>0</v>
      </c>
      <c r="X2702" s="21" t="n">
        <v>0</v>
      </c>
      <c r="Y2702" s="21" t="n">
        <v>0</v>
      </c>
      <c r="Z2702" s="21" t="n">
        <v>0</v>
      </c>
      <c r="AA2702" s="21" t="n">
        <v>0</v>
      </c>
      <c r="AB2702" s="21" t="n">
        <v>0</v>
      </c>
      <c r="AC2702" s="21" t="n">
        <v>0</v>
      </c>
      <c r="AD2702" s="21" t="n">
        <v>0</v>
      </c>
      <c r="AE2702" s="21" t="n">
        <v>0</v>
      </c>
      <c r="AF2702" s="21" t="n">
        <v>0</v>
      </c>
      <c r="AG2702" s="21" t="n">
        <v>0</v>
      </c>
      <c r="AH2702" s="21" t="n">
        <v>0</v>
      </c>
      <c r="AI2702" s="21" t="n">
        <v>0</v>
      </c>
      <c r="AJ2702" s="21" t="n">
        <v>0</v>
      </c>
      <c r="AK2702" s="21" t="n">
        <v>0</v>
      </c>
      <c r="AL2702" s="21" t="n">
        <v>0</v>
      </c>
      <c r="AM2702" s="21" t="n">
        <v>0</v>
      </c>
      <c r="AN2702" s="21" t="n">
        <v>0</v>
      </c>
      <c r="AO2702" s="21" t="n">
        <v>0</v>
      </c>
      <c r="AP2702" s="21">
        <f>-$B$1811</f>
        <v/>
      </c>
      <c r="AQ2702" s="21">
        <f>-$B$1812</f>
        <v/>
      </c>
      <c r="AR2702" s="21">
        <f>$B$1811+$D$2660</f>
        <v/>
      </c>
      <c r="AS2702" s="21">
        <f>-$B$1812</f>
        <v/>
      </c>
      <c r="AT2702" s="19" t="n"/>
    </row>
    <row r="2703">
      <c r="D2703" s="21" t="n">
        <v>0</v>
      </c>
      <c r="E2703" s="21" t="n">
        <v>0</v>
      </c>
      <c r="F2703" s="21" t="n">
        <v>0</v>
      </c>
      <c r="G2703" s="21" t="n">
        <v>0</v>
      </c>
      <c r="H2703" s="21" t="n">
        <v>0</v>
      </c>
      <c r="I2703" s="21" t="n">
        <v>0</v>
      </c>
      <c r="J2703" s="21" t="n">
        <v>0</v>
      </c>
      <c r="K2703" s="21" t="n">
        <v>0</v>
      </c>
      <c r="L2703" s="21" t="n">
        <v>0</v>
      </c>
      <c r="M2703" s="21" t="n">
        <v>0</v>
      </c>
      <c r="N2703" s="21" t="n">
        <v>0</v>
      </c>
      <c r="O2703" s="21" t="n">
        <v>0</v>
      </c>
      <c r="P2703" s="21" t="n">
        <v>0</v>
      </c>
      <c r="Q2703" s="21" t="n">
        <v>0</v>
      </c>
      <c r="R2703" s="21" t="n">
        <v>0</v>
      </c>
      <c r="S2703" s="21" t="n">
        <v>0</v>
      </c>
      <c r="T2703" s="21" t="n">
        <v>0</v>
      </c>
      <c r="U2703" s="21" t="n">
        <v>0</v>
      </c>
      <c r="V2703" s="21" t="n">
        <v>0</v>
      </c>
      <c r="W2703" s="21" t="n">
        <v>0</v>
      </c>
      <c r="X2703" s="21" t="n">
        <v>0</v>
      </c>
      <c r="Y2703" s="21" t="n">
        <v>0</v>
      </c>
      <c r="Z2703" s="21" t="n">
        <v>0</v>
      </c>
      <c r="AA2703" s="21" t="n">
        <v>0</v>
      </c>
      <c r="AB2703" s="21" t="n">
        <v>0</v>
      </c>
      <c r="AC2703" s="21" t="n">
        <v>0</v>
      </c>
      <c r="AD2703" s="21" t="n">
        <v>0</v>
      </c>
      <c r="AE2703" s="21" t="n">
        <v>0</v>
      </c>
      <c r="AF2703" s="21" t="n">
        <v>0</v>
      </c>
      <c r="AG2703" s="21" t="n">
        <v>0</v>
      </c>
      <c r="AH2703" s="21" t="n">
        <v>0</v>
      </c>
      <c r="AI2703" s="21" t="n">
        <v>0</v>
      </c>
      <c r="AJ2703" s="21" t="n">
        <v>0</v>
      </c>
      <c r="AK2703" s="21" t="n">
        <v>0</v>
      </c>
      <c r="AL2703" s="21" t="n">
        <v>0</v>
      </c>
      <c r="AM2703" s="21" t="n">
        <v>0</v>
      </c>
      <c r="AN2703" s="21" t="n">
        <v>0</v>
      </c>
      <c r="AO2703" s="21" t="n">
        <v>0</v>
      </c>
      <c r="AP2703" s="21">
        <f>$B$1812</f>
        <v/>
      </c>
      <c r="AQ2703" s="21">
        <f>$B$1814</f>
        <v/>
      </c>
      <c r="AR2703" s="21">
        <f>-$B$1812</f>
        <v/>
      </c>
      <c r="AS2703" s="21">
        <f>$B$1813</f>
        <v/>
      </c>
      <c r="AT2703" s="19" t="n"/>
    </row>
    <row r="2705">
      <c r="A2705" s="8" t="inlineStr">
        <is>
          <t>gen 13</t>
        </is>
      </c>
    </row>
    <row r="2706">
      <c r="D2706" s="19">
        <f>IF(ABS(IF(ABS($E$2640)&gt;0.000000001,$E$2640,0.000000001))=0,0,IF($E$1826&lt;=$B$1820,0,IF(ABS(IF(ABS($E$2640)&gt;0.000000001,$E$2640,0.000000001))&gt;=8*$B$1822,$H$1826,0.5*$H$1826*(ABS(IF(ABS($E$2640)&gt;0.000000001,$E$2640,0.000000001))/$B$1822)^(1/3)))/ABS(IF(ABS($E$2640)&gt;0.000000001,$E$2640,0.000000001))*$I$1826)</f>
        <v/>
      </c>
      <c r="E2706" s="19">
        <f>0.5*$E$2640+0.5*$AT$2728</f>
        <v/>
      </c>
      <c r="F2706" s="19">
        <f>$AT$2729</f>
        <v/>
      </c>
    </row>
    <row r="2707">
      <c r="D2707" s="19">
        <f>IF(ABS(IF(ABS($E$2641)&gt;0.000000001,$E$2641,0.000000001))=0,0,IF($E$1827&lt;=$B$1820,0,IF(ABS(IF(ABS($E$2641)&gt;0.000000001,$E$2641,0.000000001))&gt;=8*$B$1822,$H$1827,0.5*$H$1827*(ABS(IF(ABS($E$2641)&gt;0.000000001,$E$2641,0.000000001))/$B$1822)^(1/3)))/ABS(IF(ABS($E$2641)&gt;0.000000001,$E$2641,0.000000001))*$I$1827)</f>
        <v/>
      </c>
      <c r="E2707" s="19">
        <f>0.5*$E$2641+0.5*$AT$2730</f>
        <v/>
      </c>
      <c r="F2707" s="19">
        <f>$AT$2731</f>
        <v/>
      </c>
    </row>
    <row r="2708">
      <c r="D2708" s="19">
        <f>IF(ABS(IF(ABS($E$2642)&gt;0.000000001,$E$2642,0.000000001))=0,0,IF($E$1828&lt;=$B$1820,0,IF(ABS(IF(ABS($E$2642)&gt;0.000000001,$E$2642,0.000000001))&gt;=8*$B$1822,$H$1828,0.5*$H$1828*(ABS(IF(ABS($E$2642)&gt;0.000000001,$E$2642,0.000000001))/$B$1822)^(1/3)))/ABS(IF(ABS($E$2642)&gt;0.000000001,$E$2642,0.000000001))*$I$1828)</f>
        <v/>
      </c>
      <c r="E2708" s="19">
        <f>0.5*$E$2642+0.5*$AT$2732</f>
        <v/>
      </c>
      <c r="F2708" s="19">
        <f>$AT$2733</f>
        <v/>
      </c>
    </row>
    <row r="2709">
      <c r="D2709" s="19">
        <f>IF(ABS(IF(ABS($E$2643)&gt;0.000000001,$E$2643,0.000000001))=0,0,IF($E$1829&lt;=$B$1820,0,IF(ABS(IF(ABS($E$2643)&gt;0.000000001,$E$2643,0.000000001))&gt;=8*$B$1822,$H$1829,0.5*$H$1829*(ABS(IF(ABS($E$2643)&gt;0.000000001,$E$2643,0.000000001))/$B$1822)^(1/3)))/ABS(IF(ABS($E$2643)&gt;0.000000001,$E$2643,0.000000001))*$I$1829)</f>
        <v/>
      </c>
      <c r="E2709" s="19">
        <f>0.5*$E$2643+0.5*$AT$2734</f>
        <v/>
      </c>
      <c r="F2709" s="19">
        <f>$AT$2735</f>
        <v/>
      </c>
    </row>
    <row r="2710">
      <c r="D2710" s="19">
        <f>IF(ABS(IF(ABS($E$2644)&gt;0.000000001,$E$2644,0.000000001))=0,0,IF($E$1830&lt;=$B$1820,0,IF(ABS(IF(ABS($E$2644)&gt;0.000000001,$E$2644,0.000000001))&gt;=8*$B$1822,$H$1830,0.5*$H$1830*(ABS(IF(ABS($E$2644)&gt;0.000000001,$E$2644,0.000000001))/$B$1822)^(1/3)))/ABS(IF(ABS($E$2644)&gt;0.000000001,$E$2644,0.000000001))*$I$1830)</f>
        <v/>
      </c>
      <c r="E2710" s="19">
        <f>0.5*$E$2644+0.5*$AT$2736</f>
        <v/>
      </c>
      <c r="F2710" s="19">
        <f>$AT$2737</f>
        <v/>
      </c>
    </row>
    <row r="2711">
      <c r="D2711" s="19">
        <f>IF(ABS(IF(ABS($E$2645)&gt;0.000000001,$E$2645,0.000000001))=0,0,IF($E$1831&lt;=$B$1820,0,IF(ABS(IF(ABS($E$2645)&gt;0.000000001,$E$2645,0.000000001))&gt;=8*$B$1822,$H$1831,0.5*$H$1831*(ABS(IF(ABS($E$2645)&gt;0.000000001,$E$2645,0.000000001))/$B$1822)^(1/3)))/ABS(IF(ABS($E$2645)&gt;0.000000001,$E$2645,0.000000001))*$I$1831)</f>
        <v/>
      </c>
      <c r="E2711" s="19">
        <f>0.5*$E$2645+0.5*$AT$2738</f>
        <v/>
      </c>
      <c r="F2711" s="19">
        <f>$AT$2739</f>
        <v/>
      </c>
    </row>
    <row r="2712">
      <c r="D2712" s="19">
        <f>IF(ABS(IF(ABS($E$2646)&gt;0.000000001,$E$2646,0.000000001))=0,0,IF($E$1832&lt;=$B$1820,0,IF(ABS(IF(ABS($E$2646)&gt;0.000000001,$E$2646,0.000000001))&gt;=8*$B$1822,$H$1832,0.5*$H$1832*(ABS(IF(ABS($E$2646)&gt;0.000000001,$E$2646,0.000000001))/$B$1822)^(1/3)))/ABS(IF(ABS($E$2646)&gt;0.000000001,$E$2646,0.000000001))*$I$1832)</f>
        <v/>
      </c>
      <c r="E2712" s="19">
        <f>0.5*$E$2646+0.5*$AT$2740</f>
        <v/>
      </c>
      <c r="F2712" s="19">
        <f>$AT$2741</f>
        <v/>
      </c>
    </row>
    <row r="2713">
      <c r="D2713" s="19">
        <f>IF(ABS(IF(ABS($E$2647)&gt;0.000000001,$E$2647,0.000000001))=0,0,IF($E$1833&lt;=$B$1820,0,IF(ABS(IF(ABS($E$2647)&gt;0.000000001,$E$2647,0.000000001))&gt;=8*$B$1822,$H$1833,0.5*$H$1833*(ABS(IF(ABS($E$2647)&gt;0.000000001,$E$2647,0.000000001))/$B$1822)^(1/3)))/ABS(IF(ABS($E$2647)&gt;0.000000001,$E$2647,0.000000001))*$I$1833)</f>
        <v/>
      </c>
      <c r="E2713" s="19">
        <f>0.5*$E$2647+0.5*$AT$2742</f>
        <v/>
      </c>
      <c r="F2713" s="19">
        <f>$AT$2743</f>
        <v/>
      </c>
    </row>
    <row r="2714">
      <c r="D2714" s="19">
        <f>IF(ABS(IF(ABS($E$2648)&gt;0.000000001,$E$2648,0.000000001))=0,0,IF($E$1834&lt;=$B$1820,0,IF(ABS(IF(ABS($E$2648)&gt;0.000000001,$E$2648,0.000000001))&gt;=8*$B$1822,$H$1834,0.5*$H$1834*(ABS(IF(ABS($E$2648)&gt;0.000000001,$E$2648,0.000000001))/$B$1822)^(1/3)))/ABS(IF(ABS($E$2648)&gt;0.000000001,$E$2648,0.000000001))*$I$1834)</f>
        <v/>
      </c>
      <c r="E2714" s="19">
        <f>0.5*$E$2648+0.5*$AT$2744</f>
        <v/>
      </c>
      <c r="F2714" s="19">
        <f>$AT$2745</f>
        <v/>
      </c>
    </row>
    <row r="2715">
      <c r="D2715" s="19">
        <f>IF(ABS(IF(ABS($E$2649)&gt;0.000000001,$E$2649,0.000000001))=0,0,IF($E$1835&lt;=$B$1820,0,IF(ABS(IF(ABS($E$2649)&gt;0.000000001,$E$2649,0.000000001))&gt;=8*$B$1822,$H$1835,0.5*$H$1835*(ABS(IF(ABS($E$2649)&gt;0.000000001,$E$2649,0.000000001))/$B$1822)^(1/3)))/ABS(IF(ABS($E$2649)&gt;0.000000001,$E$2649,0.000000001))*$I$1835)</f>
        <v/>
      </c>
      <c r="E2715" s="19">
        <f>0.5*$E$2649+0.5*$AT$2746</f>
        <v/>
      </c>
      <c r="F2715" s="19">
        <f>$AT$2747</f>
        <v/>
      </c>
    </row>
    <row r="2716">
      <c r="D2716" s="19">
        <f>IF(ABS(IF(ABS($E$2650)&gt;0.000000001,$E$2650,0.000000001))=0,0,IF($E$1836&lt;=$B$1820,0,IF(ABS(IF(ABS($E$2650)&gt;0.000000001,$E$2650,0.000000001))&gt;=8*$B$1822,$H$1836,0.5*$H$1836*(ABS(IF(ABS($E$2650)&gt;0.000000001,$E$2650,0.000000001))/$B$1822)^(1/3)))/ABS(IF(ABS($E$2650)&gt;0.000000001,$E$2650,0.000000001))*$I$1836)</f>
        <v/>
      </c>
      <c r="E2716" s="19">
        <f>0.5*$E$2650+0.5*$AT$2748</f>
        <v/>
      </c>
      <c r="F2716" s="19">
        <f>$AT$2749</f>
        <v/>
      </c>
    </row>
    <row r="2717">
      <c r="D2717" s="19">
        <f>IF(ABS(IF(ABS($E$2651)&gt;0.000000001,$E$2651,0.000000001))=0,0,IF($E$1837&lt;=$B$1820,0,IF(ABS(IF(ABS($E$2651)&gt;0.000000001,$E$2651,0.000000001))&gt;=8*$B$1822,$H$1837,0.5*$H$1837*(ABS(IF(ABS($E$2651)&gt;0.000000001,$E$2651,0.000000001))/$B$1822)^(1/3)))/ABS(IF(ABS($E$2651)&gt;0.000000001,$E$2651,0.000000001))*$I$1837)</f>
        <v/>
      </c>
      <c r="E2717" s="19">
        <f>0.5*$E$2651+0.5*$AT$2750</f>
        <v/>
      </c>
      <c r="F2717" s="19">
        <f>$AT$2751</f>
        <v/>
      </c>
    </row>
    <row r="2718">
      <c r="D2718" s="19">
        <f>IF(ABS(IF(ABS($E$2652)&gt;0.000000001,$E$2652,0.000000001))=0,0,IF($E$1838&lt;=$B$1820,0,IF(ABS(IF(ABS($E$2652)&gt;0.000000001,$E$2652,0.000000001))&gt;=8*$B$1822,$H$1838,0.5*$H$1838*(ABS(IF(ABS($E$2652)&gt;0.000000001,$E$2652,0.000000001))/$B$1822)^(1/3)))/ABS(IF(ABS($E$2652)&gt;0.000000001,$E$2652,0.000000001))*$I$1838)</f>
        <v/>
      </c>
      <c r="E2718" s="19">
        <f>0.5*$E$2652+0.5*$AT$2752</f>
        <v/>
      </c>
      <c r="F2718" s="19">
        <f>$AT$2753</f>
        <v/>
      </c>
    </row>
    <row r="2719">
      <c r="D2719" s="19">
        <f>IF(ABS(IF(ABS($E$2653)&gt;0.000000001,$E$2653,0.000000001))=0,0,IF($E$1839&lt;=$B$1820,0,IF(ABS(IF(ABS($E$2653)&gt;0.000000001,$E$2653,0.000000001))&gt;=8*$B$1822,$H$1839,0.5*$H$1839*(ABS(IF(ABS($E$2653)&gt;0.000000001,$E$2653,0.000000001))/$B$1822)^(1/3)))/ABS(IF(ABS($E$2653)&gt;0.000000001,$E$2653,0.000000001))*$I$1839)</f>
        <v/>
      </c>
      <c r="E2719" s="19">
        <f>0.5*$E$2653+0.5*$AT$2754</f>
        <v/>
      </c>
      <c r="F2719" s="19">
        <f>$AT$2755</f>
        <v/>
      </c>
    </row>
    <row r="2720">
      <c r="D2720" s="19">
        <f>IF(ABS(IF(ABS($E$2654)&gt;0.000000001,$E$2654,0.000000001))=0,0,IF($E$1840&lt;=$B$1820,0,IF(ABS(IF(ABS($E$2654)&gt;0.000000001,$E$2654,0.000000001))&gt;=8*$B$1822,$H$1840,0.5*$H$1840*(ABS(IF(ABS($E$2654)&gt;0.000000001,$E$2654,0.000000001))/$B$1822)^(1/3)))/ABS(IF(ABS($E$2654)&gt;0.000000001,$E$2654,0.000000001))*$I$1840)</f>
        <v/>
      </c>
      <c r="E2720" s="19">
        <f>0.5*$E$2654+0.5*$AT$2756</f>
        <v/>
      </c>
      <c r="F2720" s="19">
        <f>$AT$2757</f>
        <v/>
      </c>
    </row>
    <row r="2721">
      <c r="D2721" s="19">
        <f>IF(ABS(IF(ABS($E$2655)&gt;0.000000001,$E$2655,0.000000001))=0,0,IF($E$1841&lt;=$B$1820,0,IF(ABS(IF(ABS($E$2655)&gt;0.000000001,$E$2655,0.000000001))&gt;=8*$B$1822,$H$1841,0.5*$H$1841*(ABS(IF(ABS($E$2655)&gt;0.000000001,$E$2655,0.000000001))/$B$1822)^(1/3)))/ABS(IF(ABS($E$2655)&gt;0.000000001,$E$2655,0.000000001))*$I$1841)</f>
        <v/>
      </c>
      <c r="E2721" s="19">
        <f>0.5*$E$2655+0.5*$AT$2758</f>
        <v/>
      </c>
      <c r="F2721" s="19">
        <f>$AT$2759</f>
        <v/>
      </c>
    </row>
    <row r="2722">
      <c r="D2722" s="19">
        <f>IF(ABS(IF(ABS($E$2656)&gt;0.000000001,$E$2656,0.000000001))=0,0,IF($E$1842&lt;=$B$1820,0,IF(ABS(IF(ABS($E$2656)&gt;0.000000001,$E$2656,0.000000001))&gt;=8*$B$1822,$H$1842,0.5*$H$1842*(ABS(IF(ABS($E$2656)&gt;0.000000001,$E$2656,0.000000001))/$B$1822)^(1/3)))/ABS(IF(ABS($E$2656)&gt;0.000000001,$E$2656,0.000000001))*$I$1842)</f>
        <v/>
      </c>
      <c r="E2722" s="19">
        <f>0.5*$E$2656+0.5*$AT$2760</f>
        <v/>
      </c>
      <c r="F2722" s="19">
        <f>$AT$2761</f>
        <v/>
      </c>
    </row>
    <row r="2723">
      <c r="D2723" s="19">
        <f>IF(ABS(IF(ABS($E$2657)&gt;0.000000001,$E$2657,0.000000001))=0,0,IF($E$1843&lt;=$B$1820,0,IF(ABS(IF(ABS($E$2657)&gt;0.000000001,$E$2657,0.000000001))&gt;=8*$B$1822,$H$1843,0.5*$H$1843*(ABS(IF(ABS($E$2657)&gt;0.000000001,$E$2657,0.000000001))/$B$1822)^(1/3)))/ABS(IF(ABS($E$2657)&gt;0.000000001,$E$2657,0.000000001))*$I$1843)</f>
        <v/>
      </c>
      <c r="E2723" s="19">
        <f>0.5*$E$2657+0.5*$AT$2762</f>
        <v/>
      </c>
      <c r="F2723" s="19">
        <f>$AT$2763</f>
        <v/>
      </c>
    </row>
    <row r="2724">
      <c r="D2724" s="19">
        <f>IF(ABS(IF(ABS($E$2658)&gt;0.000000001,$E$2658,0.000000001))=0,0,IF($E$1844&lt;=$B$1820,0,IF(ABS(IF(ABS($E$2658)&gt;0.000000001,$E$2658,0.000000001))&gt;=8*$B$1822,$H$1844,0.5*$H$1844*(ABS(IF(ABS($E$2658)&gt;0.000000001,$E$2658,0.000000001))/$B$1822)^(1/3)))/ABS(IF(ABS($E$2658)&gt;0.000000001,$E$2658,0.000000001))*$I$1844)</f>
        <v/>
      </c>
      <c r="E2724" s="19">
        <f>0.5*$E$2658+0.5*$AT$2764</f>
        <v/>
      </c>
      <c r="F2724" s="19">
        <f>$AT$2765</f>
        <v/>
      </c>
    </row>
    <row r="2725">
      <c r="D2725" s="19">
        <f>IF(ABS(IF(ABS($E$2659)&gt;0.000000001,$E$2659,0.000000001))=0,0,IF($E$1845&lt;=$B$1820,0,IF(ABS(IF(ABS($E$2659)&gt;0.000000001,$E$2659,0.000000001))&gt;=8*$B$1822,$H$1845,0.5*$H$1845*(ABS(IF(ABS($E$2659)&gt;0.000000001,$E$2659,0.000000001))/$B$1822)^(1/3)))/ABS(IF(ABS($E$2659)&gt;0.000000001,$E$2659,0.000000001))*$I$1845)</f>
        <v/>
      </c>
      <c r="E2725" s="19">
        <f>0.5*$E$2659+0.5*$AT$2766</f>
        <v/>
      </c>
      <c r="F2725" s="19">
        <f>$AT$2767</f>
        <v/>
      </c>
    </row>
    <row r="2726">
      <c r="D2726" s="19">
        <f>IF(ABS(IF(ABS($E$2660)&gt;0.000000001,$E$2660,0.000000001))=0,0,IF($E$1846&lt;=$B$1820,0,IF(ABS(IF(ABS($E$2660)&gt;0.000000001,$E$2660,0.000000001))&gt;=8*$B$1822,$H$1846,0.5*$H$1846*(ABS(IF(ABS($E$2660)&gt;0.000000001,$E$2660,0.000000001))/$B$1822)^(1/3)))/ABS(IF(ABS($E$2660)&gt;0.000000001,$E$2660,0.000000001))*$I$1846)</f>
        <v/>
      </c>
      <c r="E2726" s="19">
        <f>0.5*$E$2660+0.5*$AT$2768</f>
        <v/>
      </c>
      <c r="F2726" s="19">
        <f>$AT$2769</f>
        <v/>
      </c>
    </row>
    <row r="2728">
      <c r="D2728" s="21">
        <f>$B$1811+$D$2706</f>
        <v/>
      </c>
      <c r="E2728" s="21">
        <f>$B$1812</f>
        <v/>
      </c>
      <c r="F2728" s="21">
        <f>-$B$1811</f>
        <v/>
      </c>
      <c r="G2728" s="21">
        <f>$B$1812</f>
        <v/>
      </c>
      <c r="H2728" s="21" t="n">
        <v>0</v>
      </c>
      <c r="I2728" s="21" t="n">
        <v>0</v>
      </c>
      <c r="J2728" s="21" t="n">
        <v>0</v>
      </c>
      <c r="K2728" s="21" t="n">
        <v>0</v>
      </c>
      <c r="L2728" s="21" t="n">
        <v>0</v>
      </c>
      <c r="M2728" s="21" t="n">
        <v>0</v>
      </c>
      <c r="N2728" s="21" t="n">
        <v>0</v>
      </c>
      <c r="O2728" s="21" t="n">
        <v>0</v>
      </c>
      <c r="P2728" s="21" t="n">
        <v>0</v>
      </c>
      <c r="Q2728" s="21" t="n">
        <v>0</v>
      </c>
      <c r="R2728" s="21" t="n">
        <v>0</v>
      </c>
      <c r="S2728" s="21" t="n">
        <v>0</v>
      </c>
      <c r="T2728" s="21" t="n">
        <v>0</v>
      </c>
      <c r="U2728" s="21" t="n">
        <v>0</v>
      </c>
      <c r="V2728" s="21" t="n">
        <v>0</v>
      </c>
      <c r="W2728" s="21" t="n">
        <v>0</v>
      </c>
      <c r="X2728" s="21" t="n">
        <v>0</v>
      </c>
      <c r="Y2728" s="21" t="n">
        <v>0</v>
      </c>
      <c r="Z2728" s="21" t="n">
        <v>0</v>
      </c>
      <c r="AA2728" s="21" t="n">
        <v>0</v>
      </c>
      <c r="AB2728" s="21" t="n">
        <v>0</v>
      </c>
      <c r="AC2728" s="21" t="n">
        <v>0</v>
      </c>
      <c r="AD2728" s="21" t="n">
        <v>0</v>
      </c>
      <c r="AE2728" s="21" t="n">
        <v>0</v>
      </c>
      <c r="AF2728" s="21" t="n">
        <v>0</v>
      </c>
      <c r="AG2728" s="21" t="n">
        <v>0</v>
      </c>
      <c r="AH2728" s="21" t="n">
        <v>0</v>
      </c>
      <c r="AI2728" s="21" t="n">
        <v>0</v>
      </c>
      <c r="AJ2728" s="21" t="n">
        <v>0</v>
      </c>
      <c r="AK2728" s="21" t="n">
        <v>0</v>
      </c>
      <c r="AL2728" s="21" t="n">
        <v>0</v>
      </c>
      <c r="AM2728" s="21" t="n">
        <v>0</v>
      </c>
      <c r="AN2728" s="21" t="n">
        <v>0</v>
      </c>
      <c r="AO2728" s="21" t="n">
        <v>0</v>
      </c>
      <c r="AP2728" s="21" t="n">
        <v>0</v>
      </c>
      <c r="AQ2728" s="21" t="n">
        <v>0</v>
      </c>
      <c r="AR2728" s="21" t="n">
        <v>0</v>
      </c>
      <c r="AS2728" s="21" t="n">
        <v>0</v>
      </c>
      <c r="AT2728" s="19">
        <f t="array" ref="AT2728:AT2769">MMULT(MINVERSE($D$2728:$AS$2769),$D$1848:$D$1889)</f>
        <v/>
      </c>
    </row>
    <row r="2729">
      <c r="D2729" s="21">
        <f>$B$1812</f>
        <v/>
      </c>
      <c r="E2729" s="21">
        <f>$B$1813</f>
        <v/>
      </c>
      <c r="F2729" s="21">
        <f>-$B$1812</f>
        <v/>
      </c>
      <c r="G2729" s="21">
        <f>$B$1814</f>
        <v/>
      </c>
      <c r="H2729" s="21" t="n">
        <v>0</v>
      </c>
      <c r="I2729" s="21" t="n">
        <v>0</v>
      </c>
      <c r="J2729" s="21" t="n">
        <v>0</v>
      </c>
      <c r="K2729" s="21" t="n">
        <v>0</v>
      </c>
      <c r="L2729" s="21" t="n">
        <v>0</v>
      </c>
      <c r="M2729" s="21" t="n">
        <v>0</v>
      </c>
      <c r="N2729" s="21" t="n">
        <v>0</v>
      </c>
      <c r="O2729" s="21" t="n">
        <v>0</v>
      </c>
      <c r="P2729" s="21" t="n">
        <v>0</v>
      </c>
      <c r="Q2729" s="21" t="n">
        <v>0</v>
      </c>
      <c r="R2729" s="21" t="n">
        <v>0</v>
      </c>
      <c r="S2729" s="21" t="n">
        <v>0</v>
      </c>
      <c r="T2729" s="21" t="n">
        <v>0</v>
      </c>
      <c r="U2729" s="21" t="n">
        <v>0</v>
      </c>
      <c r="V2729" s="21" t="n">
        <v>0</v>
      </c>
      <c r="W2729" s="21" t="n">
        <v>0</v>
      </c>
      <c r="X2729" s="21" t="n">
        <v>0</v>
      </c>
      <c r="Y2729" s="21" t="n">
        <v>0</v>
      </c>
      <c r="Z2729" s="21" t="n">
        <v>0</v>
      </c>
      <c r="AA2729" s="21" t="n">
        <v>0</v>
      </c>
      <c r="AB2729" s="21" t="n">
        <v>0</v>
      </c>
      <c r="AC2729" s="21" t="n">
        <v>0</v>
      </c>
      <c r="AD2729" s="21" t="n">
        <v>0</v>
      </c>
      <c r="AE2729" s="21" t="n">
        <v>0</v>
      </c>
      <c r="AF2729" s="21" t="n">
        <v>0</v>
      </c>
      <c r="AG2729" s="21" t="n">
        <v>0</v>
      </c>
      <c r="AH2729" s="21" t="n">
        <v>0</v>
      </c>
      <c r="AI2729" s="21" t="n">
        <v>0</v>
      </c>
      <c r="AJ2729" s="21" t="n">
        <v>0</v>
      </c>
      <c r="AK2729" s="21" t="n">
        <v>0</v>
      </c>
      <c r="AL2729" s="21" t="n">
        <v>0</v>
      </c>
      <c r="AM2729" s="21" t="n">
        <v>0</v>
      </c>
      <c r="AN2729" s="21" t="n">
        <v>0</v>
      </c>
      <c r="AO2729" s="21" t="n">
        <v>0</v>
      </c>
      <c r="AP2729" s="21" t="n">
        <v>0</v>
      </c>
      <c r="AQ2729" s="21" t="n">
        <v>0</v>
      </c>
      <c r="AR2729" s="21" t="n">
        <v>0</v>
      </c>
      <c r="AS2729" s="21" t="n">
        <v>0</v>
      </c>
      <c r="AT2729" s="19" t="n"/>
    </row>
    <row r="2730">
      <c r="D2730" s="21">
        <f>-$B$1811</f>
        <v/>
      </c>
      <c r="E2730" s="21">
        <f>-$B$1812</f>
        <v/>
      </c>
      <c r="F2730" s="21">
        <f>2*$B$1811+$D$2707</f>
        <v/>
      </c>
      <c r="G2730" s="21">
        <f>0</f>
        <v/>
      </c>
      <c r="H2730" s="21">
        <f>-$B$1811</f>
        <v/>
      </c>
      <c r="I2730" s="21">
        <f>$B$1812</f>
        <v/>
      </c>
      <c r="J2730" s="21" t="n">
        <v>0</v>
      </c>
      <c r="K2730" s="21" t="n">
        <v>0</v>
      </c>
      <c r="L2730" s="21" t="n">
        <v>0</v>
      </c>
      <c r="M2730" s="21" t="n">
        <v>0</v>
      </c>
      <c r="N2730" s="21" t="n">
        <v>0</v>
      </c>
      <c r="O2730" s="21" t="n">
        <v>0</v>
      </c>
      <c r="P2730" s="21" t="n">
        <v>0</v>
      </c>
      <c r="Q2730" s="21" t="n">
        <v>0</v>
      </c>
      <c r="R2730" s="21" t="n">
        <v>0</v>
      </c>
      <c r="S2730" s="21" t="n">
        <v>0</v>
      </c>
      <c r="T2730" s="21" t="n">
        <v>0</v>
      </c>
      <c r="U2730" s="21" t="n">
        <v>0</v>
      </c>
      <c r="V2730" s="21" t="n">
        <v>0</v>
      </c>
      <c r="W2730" s="21" t="n">
        <v>0</v>
      </c>
      <c r="X2730" s="21" t="n">
        <v>0</v>
      </c>
      <c r="Y2730" s="21" t="n">
        <v>0</v>
      </c>
      <c r="Z2730" s="21" t="n">
        <v>0</v>
      </c>
      <c r="AA2730" s="21" t="n">
        <v>0</v>
      </c>
      <c r="AB2730" s="21" t="n">
        <v>0</v>
      </c>
      <c r="AC2730" s="21" t="n">
        <v>0</v>
      </c>
      <c r="AD2730" s="21" t="n">
        <v>0</v>
      </c>
      <c r="AE2730" s="21" t="n">
        <v>0</v>
      </c>
      <c r="AF2730" s="21" t="n">
        <v>0</v>
      </c>
      <c r="AG2730" s="21" t="n">
        <v>0</v>
      </c>
      <c r="AH2730" s="21" t="n">
        <v>0</v>
      </c>
      <c r="AI2730" s="21" t="n">
        <v>0</v>
      </c>
      <c r="AJ2730" s="21" t="n">
        <v>0</v>
      </c>
      <c r="AK2730" s="21" t="n">
        <v>0</v>
      </c>
      <c r="AL2730" s="21" t="n">
        <v>0</v>
      </c>
      <c r="AM2730" s="21" t="n">
        <v>0</v>
      </c>
      <c r="AN2730" s="21" t="n">
        <v>0</v>
      </c>
      <c r="AO2730" s="21" t="n">
        <v>0</v>
      </c>
      <c r="AP2730" s="21" t="n">
        <v>0</v>
      </c>
      <c r="AQ2730" s="21" t="n">
        <v>0</v>
      </c>
      <c r="AR2730" s="21" t="n">
        <v>0</v>
      </c>
      <c r="AS2730" s="21" t="n">
        <v>0</v>
      </c>
      <c r="AT2730" s="19" t="n"/>
    </row>
    <row r="2731">
      <c r="D2731" s="21">
        <f>$B$1812</f>
        <v/>
      </c>
      <c r="E2731" s="21">
        <f>$B$1814</f>
        <v/>
      </c>
      <c r="F2731" s="21">
        <f>0</f>
        <v/>
      </c>
      <c r="G2731" s="21">
        <f>2*$B$1813</f>
        <v/>
      </c>
      <c r="H2731" s="21">
        <f>-$B$1812</f>
        <v/>
      </c>
      <c r="I2731" s="21">
        <f>$B$1814</f>
        <v/>
      </c>
      <c r="J2731" s="21" t="n">
        <v>0</v>
      </c>
      <c r="K2731" s="21" t="n">
        <v>0</v>
      </c>
      <c r="L2731" s="21" t="n">
        <v>0</v>
      </c>
      <c r="M2731" s="21" t="n">
        <v>0</v>
      </c>
      <c r="N2731" s="21" t="n">
        <v>0</v>
      </c>
      <c r="O2731" s="21" t="n">
        <v>0</v>
      </c>
      <c r="P2731" s="21" t="n">
        <v>0</v>
      </c>
      <c r="Q2731" s="21" t="n">
        <v>0</v>
      </c>
      <c r="R2731" s="21" t="n">
        <v>0</v>
      </c>
      <c r="S2731" s="21" t="n">
        <v>0</v>
      </c>
      <c r="T2731" s="21" t="n">
        <v>0</v>
      </c>
      <c r="U2731" s="21" t="n">
        <v>0</v>
      </c>
      <c r="V2731" s="21" t="n">
        <v>0</v>
      </c>
      <c r="W2731" s="21" t="n">
        <v>0</v>
      </c>
      <c r="X2731" s="21" t="n">
        <v>0</v>
      </c>
      <c r="Y2731" s="21" t="n">
        <v>0</v>
      </c>
      <c r="Z2731" s="21" t="n">
        <v>0</v>
      </c>
      <c r="AA2731" s="21" t="n">
        <v>0</v>
      </c>
      <c r="AB2731" s="21" t="n">
        <v>0</v>
      </c>
      <c r="AC2731" s="21" t="n">
        <v>0</v>
      </c>
      <c r="AD2731" s="21" t="n">
        <v>0</v>
      </c>
      <c r="AE2731" s="21" t="n">
        <v>0</v>
      </c>
      <c r="AF2731" s="21" t="n">
        <v>0</v>
      </c>
      <c r="AG2731" s="21" t="n">
        <v>0</v>
      </c>
      <c r="AH2731" s="21" t="n">
        <v>0</v>
      </c>
      <c r="AI2731" s="21" t="n">
        <v>0</v>
      </c>
      <c r="AJ2731" s="21" t="n">
        <v>0</v>
      </c>
      <c r="AK2731" s="21" t="n">
        <v>0</v>
      </c>
      <c r="AL2731" s="21" t="n">
        <v>0</v>
      </c>
      <c r="AM2731" s="21" t="n">
        <v>0</v>
      </c>
      <c r="AN2731" s="21" t="n">
        <v>0</v>
      </c>
      <c r="AO2731" s="21" t="n">
        <v>0</v>
      </c>
      <c r="AP2731" s="21" t="n">
        <v>0</v>
      </c>
      <c r="AQ2731" s="21" t="n">
        <v>0</v>
      </c>
      <c r="AR2731" s="21" t="n">
        <v>0</v>
      </c>
      <c r="AS2731" s="21" t="n">
        <v>0</v>
      </c>
      <c r="AT2731" s="19" t="n"/>
    </row>
    <row r="2732">
      <c r="D2732" s="21" t="n">
        <v>0</v>
      </c>
      <c r="E2732" s="21" t="n">
        <v>0</v>
      </c>
      <c r="F2732" s="21">
        <f>-$B$1811</f>
        <v/>
      </c>
      <c r="G2732" s="21">
        <f>-$B$1812</f>
        <v/>
      </c>
      <c r="H2732" s="21">
        <f>2*$B$1811+$D$2708</f>
        <v/>
      </c>
      <c r="I2732" s="21">
        <f>0</f>
        <v/>
      </c>
      <c r="J2732" s="21">
        <f>-$B$1811</f>
        <v/>
      </c>
      <c r="K2732" s="21">
        <f>$B$1812</f>
        <v/>
      </c>
      <c r="L2732" s="21" t="n">
        <v>0</v>
      </c>
      <c r="M2732" s="21" t="n">
        <v>0</v>
      </c>
      <c r="N2732" s="21" t="n">
        <v>0</v>
      </c>
      <c r="O2732" s="21" t="n">
        <v>0</v>
      </c>
      <c r="P2732" s="21" t="n">
        <v>0</v>
      </c>
      <c r="Q2732" s="21" t="n">
        <v>0</v>
      </c>
      <c r="R2732" s="21" t="n">
        <v>0</v>
      </c>
      <c r="S2732" s="21" t="n">
        <v>0</v>
      </c>
      <c r="T2732" s="21" t="n">
        <v>0</v>
      </c>
      <c r="U2732" s="21" t="n">
        <v>0</v>
      </c>
      <c r="V2732" s="21" t="n">
        <v>0</v>
      </c>
      <c r="W2732" s="21" t="n">
        <v>0</v>
      </c>
      <c r="X2732" s="21" t="n">
        <v>0</v>
      </c>
      <c r="Y2732" s="21" t="n">
        <v>0</v>
      </c>
      <c r="Z2732" s="21" t="n">
        <v>0</v>
      </c>
      <c r="AA2732" s="21" t="n">
        <v>0</v>
      </c>
      <c r="AB2732" s="21" t="n">
        <v>0</v>
      </c>
      <c r="AC2732" s="21" t="n">
        <v>0</v>
      </c>
      <c r="AD2732" s="21" t="n">
        <v>0</v>
      </c>
      <c r="AE2732" s="21" t="n">
        <v>0</v>
      </c>
      <c r="AF2732" s="21" t="n">
        <v>0</v>
      </c>
      <c r="AG2732" s="21" t="n">
        <v>0</v>
      </c>
      <c r="AH2732" s="21" t="n">
        <v>0</v>
      </c>
      <c r="AI2732" s="21" t="n">
        <v>0</v>
      </c>
      <c r="AJ2732" s="21" t="n">
        <v>0</v>
      </c>
      <c r="AK2732" s="21" t="n">
        <v>0</v>
      </c>
      <c r="AL2732" s="21" t="n">
        <v>0</v>
      </c>
      <c r="AM2732" s="21" t="n">
        <v>0</v>
      </c>
      <c r="AN2732" s="21" t="n">
        <v>0</v>
      </c>
      <c r="AO2732" s="21" t="n">
        <v>0</v>
      </c>
      <c r="AP2732" s="21" t="n">
        <v>0</v>
      </c>
      <c r="AQ2732" s="21" t="n">
        <v>0</v>
      </c>
      <c r="AR2732" s="21" t="n">
        <v>0</v>
      </c>
      <c r="AS2732" s="21" t="n">
        <v>0</v>
      </c>
      <c r="AT2732" s="19" t="n"/>
    </row>
    <row r="2733">
      <c r="D2733" s="21" t="n">
        <v>0</v>
      </c>
      <c r="E2733" s="21" t="n">
        <v>0</v>
      </c>
      <c r="F2733" s="21">
        <f>$B$1812</f>
        <v/>
      </c>
      <c r="G2733" s="21">
        <f>$B$1814</f>
        <v/>
      </c>
      <c r="H2733" s="21">
        <f>0</f>
        <v/>
      </c>
      <c r="I2733" s="21">
        <f>2*$B$1813</f>
        <v/>
      </c>
      <c r="J2733" s="21">
        <f>-$B$1812</f>
        <v/>
      </c>
      <c r="K2733" s="21">
        <f>$B$1814</f>
        <v/>
      </c>
      <c r="L2733" s="21" t="n">
        <v>0</v>
      </c>
      <c r="M2733" s="21" t="n">
        <v>0</v>
      </c>
      <c r="N2733" s="21" t="n">
        <v>0</v>
      </c>
      <c r="O2733" s="21" t="n">
        <v>0</v>
      </c>
      <c r="P2733" s="21" t="n">
        <v>0</v>
      </c>
      <c r="Q2733" s="21" t="n">
        <v>0</v>
      </c>
      <c r="R2733" s="21" t="n">
        <v>0</v>
      </c>
      <c r="S2733" s="21" t="n">
        <v>0</v>
      </c>
      <c r="T2733" s="21" t="n">
        <v>0</v>
      </c>
      <c r="U2733" s="21" t="n">
        <v>0</v>
      </c>
      <c r="V2733" s="21" t="n">
        <v>0</v>
      </c>
      <c r="W2733" s="21" t="n">
        <v>0</v>
      </c>
      <c r="X2733" s="21" t="n">
        <v>0</v>
      </c>
      <c r="Y2733" s="21" t="n">
        <v>0</v>
      </c>
      <c r="Z2733" s="21" t="n">
        <v>0</v>
      </c>
      <c r="AA2733" s="21" t="n">
        <v>0</v>
      </c>
      <c r="AB2733" s="21" t="n">
        <v>0</v>
      </c>
      <c r="AC2733" s="21" t="n">
        <v>0</v>
      </c>
      <c r="AD2733" s="21" t="n">
        <v>0</v>
      </c>
      <c r="AE2733" s="21" t="n">
        <v>0</v>
      </c>
      <c r="AF2733" s="21" t="n">
        <v>0</v>
      </c>
      <c r="AG2733" s="21" t="n">
        <v>0</v>
      </c>
      <c r="AH2733" s="21" t="n">
        <v>0</v>
      </c>
      <c r="AI2733" s="21" t="n">
        <v>0</v>
      </c>
      <c r="AJ2733" s="21" t="n">
        <v>0</v>
      </c>
      <c r="AK2733" s="21" t="n">
        <v>0</v>
      </c>
      <c r="AL2733" s="21" t="n">
        <v>0</v>
      </c>
      <c r="AM2733" s="21" t="n">
        <v>0</v>
      </c>
      <c r="AN2733" s="21" t="n">
        <v>0</v>
      </c>
      <c r="AO2733" s="21" t="n">
        <v>0</v>
      </c>
      <c r="AP2733" s="21" t="n">
        <v>0</v>
      </c>
      <c r="AQ2733" s="21" t="n">
        <v>0</v>
      </c>
      <c r="AR2733" s="21" t="n">
        <v>0</v>
      </c>
      <c r="AS2733" s="21" t="n">
        <v>0</v>
      </c>
      <c r="AT2733" s="19" t="n"/>
    </row>
    <row r="2734">
      <c r="D2734" s="21" t="n">
        <v>0</v>
      </c>
      <c r="E2734" s="21" t="n">
        <v>0</v>
      </c>
      <c r="F2734" s="21" t="n">
        <v>0</v>
      </c>
      <c r="G2734" s="21" t="n">
        <v>0</v>
      </c>
      <c r="H2734" s="21">
        <f>-$B$1811</f>
        <v/>
      </c>
      <c r="I2734" s="21">
        <f>-$B$1812</f>
        <v/>
      </c>
      <c r="J2734" s="21">
        <f>2*$B$1811+$D$2709</f>
        <v/>
      </c>
      <c r="K2734" s="21">
        <f>0</f>
        <v/>
      </c>
      <c r="L2734" s="21">
        <f>-$B$1811</f>
        <v/>
      </c>
      <c r="M2734" s="21">
        <f>$B$1812</f>
        <v/>
      </c>
      <c r="N2734" s="21" t="n">
        <v>0</v>
      </c>
      <c r="O2734" s="21" t="n">
        <v>0</v>
      </c>
      <c r="P2734" s="21" t="n">
        <v>0</v>
      </c>
      <c r="Q2734" s="21" t="n">
        <v>0</v>
      </c>
      <c r="R2734" s="21" t="n">
        <v>0</v>
      </c>
      <c r="S2734" s="21" t="n">
        <v>0</v>
      </c>
      <c r="T2734" s="21" t="n">
        <v>0</v>
      </c>
      <c r="U2734" s="21" t="n">
        <v>0</v>
      </c>
      <c r="V2734" s="21" t="n">
        <v>0</v>
      </c>
      <c r="W2734" s="21" t="n">
        <v>0</v>
      </c>
      <c r="X2734" s="21" t="n">
        <v>0</v>
      </c>
      <c r="Y2734" s="21" t="n">
        <v>0</v>
      </c>
      <c r="Z2734" s="21" t="n">
        <v>0</v>
      </c>
      <c r="AA2734" s="21" t="n">
        <v>0</v>
      </c>
      <c r="AB2734" s="21" t="n">
        <v>0</v>
      </c>
      <c r="AC2734" s="21" t="n">
        <v>0</v>
      </c>
      <c r="AD2734" s="21" t="n">
        <v>0</v>
      </c>
      <c r="AE2734" s="21" t="n">
        <v>0</v>
      </c>
      <c r="AF2734" s="21" t="n">
        <v>0</v>
      </c>
      <c r="AG2734" s="21" t="n">
        <v>0</v>
      </c>
      <c r="AH2734" s="21" t="n">
        <v>0</v>
      </c>
      <c r="AI2734" s="21" t="n">
        <v>0</v>
      </c>
      <c r="AJ2734" s="21" t="n">
        <v>0</v>
      </c>
      <c r="AK2734" s="21" t="n">
        <v>0</v>
      </c>
      <c r="AL2734" s="21" t="n">
        <v>0</v>
      </c>
      <c r="AM2734" s="21" t="n">
        <v>0</v>
      </c>
      <c r="AN2734" s="21" t="n">
        <v>0</v>
      </c>
      <c r="AO2734" s="21" t="n">
        <v>0</v>
      </c>
      <c r="AP2734" s="21" t="n">
        <v>0</v>
      </c>
      <c r="AQ2734" s="21" t="n">
        <v>0</v>
      </c>
      <c r="AR2734" s="21" t="n">
        <v>0</v>
      </c>
      <c r="AS2734" s="21" t="n">
        <v>0</v>
      </c>
      <c r="AT2734" s="19" t="n"/>
    </row>
    <row r="2735">
      <c r="D2735" s="21" t="n">
        <v>0</v>
      </c>
      <c r="E2735" s="21" t="n">
        <v>0</v>
      </c>
      <c r="F2735" s="21" t="n">
        <v>0</v>
      </c>
      <c r="G2735" s="21" t="n">
        <v>0</v>
      </c>
      <c r="H2735" s="21">
        <f>$B$1812</f>
        <v/>
      </c>
      <c r="I2735" s="21">
        <f>$B$1814</f>
        <v/>
      </c>
      <c r="J2735" s="21">
        <f>0</f>
        <v/>
      </c>
      <c r="K2735" s="21">
        <f>2*$B$1813</f>
        <v/>
      </c>
      <c r="L2735" s="21">
        <f>-$B$1812</f>
        <v/>
      </c>
      <c r="M2735" s="21">
        <f>$B$1814</f>
        <v/>
      </c>
      <c r="N2735" s="21" t="n">
        <v>0</v>
      </c>
      <c r="O2735" s="21" t="n">
        <v>0</v>
      </c>
      <c r="P2735" s="21" t="n">
        <v>0</v>
      </c>
      <c r="Q2735" s="21" t="n">
        <v>0</v>
      </c>
      <c r="R2735" s="21" t="n">
        <v>0</v>
      </c>
      <c r="S2735" s="21" t="n">
        <v>0</v>
      </c>
      <c r="T2735" s="21" t="n">
        <v>0</v>
      </c>
      <c r="U2735" s="21" t="n">
        <v>0</v>
      </c>
      <c r="V2735" s="21" t="n">
        <v>0</v>
      </c>
      <c r="W2735" s="21" t="n">
        <v>0</v>
      </c>
      <c r="X2735" s="21" t="n">
        <v>0</v>
      </c>
      <c r="Y2735" s="21" t="n">
        <v>0</v>
      </c>
      <c r="Z2735" s="21" t="n">
        <v>0</v>
      </c>
      <c r="AA2735" s="21" t="n">
        <v>0</v>
      </c>
      <c r="AB2735" s="21" t="n">
        <v>0</v>
      </c>
      <c r="AC2735" s="21" t="n">
        <v>0</v>
      </c>
      <c r="AD2735" s="21" t="n">
        <v>0</v>
      </c>
      <c r="AE2735" s="21" t="n">
        <v>0</v>
      </c>
      <c r="AF2735" s="21" t="n">
        <v>0</v>
      </c>
      <c r="AG2735" s="21" t="n">
        <v>0</v>
      </c>
      <c r="AH2735" s="21" t="n">
        <v>0</v>
      </c>
      <c r="AI2735" s="21" t="n">
        <v>0</v>
      </c>
      <c r="AJ2735" s="21" t="n">
        <v>0</v>
      </c>
      <c r="AK2735" s="21" t="n">
        <v>0</v>
      </c>
      <c r="AL2735" s="21" t="n">
        <v>0</v>
      </c>
      <c r="AM2735" s="21" t="n">
        <v>0</v>
      </c>
      <c r="AN2735" s="21" t="n">
        <v>0</v>
      </c>
      <c r="AO2735" s="21" t="n">
        <v>0</v>
      </c>
      <c r="AP2735" s="21" t="n">
        <v>0</v>
      </c>
      <c r="AQ2735" s="21" t="n">
        <v>0</v>
      </c>
      <c r="AR2735" s="21" t="n">
        <v>0</v>
      </c>
      <c r="AS2735" s="21" t="n">
        <v>0</v>
      </c>
      <c r="AT2735" s="19" t="n"/>
    </row>
    <row r="2736">
      <c r="D2736" s="21" t="n">
        <v>0</v>
      </c>
      <c r="E2736" s="21" t="n">
        <v>0</v>
      </c>
      <c r="F2736" s="21" t="n">
        <v>0</v>
      </c>
      <c r="G2736" s="21" t="n">
        <v>0</v>
      </c>
      <c r="H2736" s="21" t="n">
        <v>0</v>
      </c>
      <c r="I2736" s="21" t="n">
        <v>0</v>
      </c>
      <c r="J2736" s="21">
        <f>-$B$1811</f>
        <v/>
      </c>
      <c r="K2736" s="21">
        <f>-$B$1812</f>
        <v/>
      </c>
      <c r="L2736" s="21">
        <f>2*$B$1811+$D$2710</f>
        <v/>
      </c>
      <c r="M2736" s="21">
        <f>0</f>
        <v/>
      </c>
      <c r="N2736" s="21">
        <f>-$B$1811</f>
        <v/>
      </c>
      <c r="O2736" s="21">
        <f>$B$1812</f>
        <v/>
      </c>
      <c r="P2736" s="21" t="n">
        <v>0</v>
      </c>
      <c r="Q2736" s="21" t="n">
        <v>0</v>
      </c>
      <c r="R2736" s="21" t="n">
        <v>0</v>
      </c>
      <c r="S2736" s="21" t="n">
        <v>0</v>
      </c>
      <c r="T2736" s="21" t="n">
        <v>0</v>
      </c>
      <c r="U2736" s="21" t="n">
        <v>0</v>
      </c>
      <c r="V2736" s="21" t="n">
        <v>0</v>
      </c>
      <c r="W2736" s="21" t="n">
        <v>0</v>
      </c>
      <c r="X2736" s="21" t="n">
        <v>0</v>
      </c>
      <c r="Y2736" s="21" t="n">
        <v>0</v>
      </c>
      <c r="Z2736" s="21" t="n">
        <v>0</v>
      </c>
      <c r="AA2736" s="21" t="n">
        <v>0</v>
      </c>
      <c r="AB2736" s="21" t="n">
        <v>0</v>
      </c>
      <c r="AC2736" s="21" t="n">
        <v>0</v>
      </c>
      <c r="AD2736" s="21" t="n">
        <v>0</v>
      </c>
      <c r="AE2736" s="21" t="n">
        <v>0</v>
      </c>
      <c r="AF2736" s="21" t="n">
        <v>0</v>
      </c>
      <c r="AG2736" s="21" t="n">
        <v>0</v>
      </c>
      <c r="AH2736" s="21" t="n">
        <v>0</v>
      </c>
      <c r="AI2736" s="21" t="n">
        <v>0</v>
      </c>
      <c r="AJ2736" s="21" t="n">
        <v>0</v>
      </c>
      <c r="AK2736" s="21" t="n">
        <v>0</v>
      </c>
      <c r="AL2736" s="21" t="n">
        <v>0</v>
      </c>
      <c r="AM2736" s="21" t="n">
        <v>0</v>
      </c>
      <c r="AN2736" s="21" t="n">
        <v>0</v>
      </c>
      <c r="AO2736" s="21" t="n">
        <v>0</v>
      </c>
      <c r="AP2736" s="21" t="n">
        <v>0</v>
      </c>
      <c r="AQ2736" s="21" t="n">
        <v>0</v>
      </c>
      <c r="AR2736" s="21" t="n">
        <v>0</v>
      </c>
      <c r="AS2736" s="21" t="n">
        <v>0</v>
      </c>
      <c r="AT2736" s="19" t="n"/>
    </row>
    <row r="2737">
      <c r="D2737" s="21" t="n">
        <v>0</v>
      </c>
      <c r="E2737" s="21" t="n">
        <v>0</v>
      </c>
      <c r="F2737" s="21" t="n">
        <v>0</v>
      </c>
      <c r="G2737" s="21" t="n">
        <v>0</v>
      </c>
      <c r="H2737" s="21" t="n">
        <v>0</v>
      </c>
      <c r="I2737" s="21" t="n">
        <v>0</v>
      </c>
      <c r="J2737" s="21">
        <f>$B$1812</f>
        <v/>
      </c>
      <c r="K2737" s="21">
        <f>$B$1814</f>
        <v/>
      </c>
      <c r="L2737" s="21">
        <f>0</f>
        <v/>
      </c>
      <c r="M2737" s="21">
        <f>2*$B$1813</f>
        <v/>
      </c>
      <c r="N2737" s="21">
        <f>-$B$1812</f>
        <v/>
      </c>
      <c r="O2737" s="21">
        <f>$B$1814</f>
        <v/>
      </c>
      <c r="P2737" s="21" t="n">
        <v>0</v>
      </c>
      <c r="Q2737" s="21" t="n">
        <v>0</v>
      </c>
      <c r="R2737" s="21" t="n">
        <v>0</v>
      </c>
      <c r="S2737" s="21" t="n">
        <v>0</v>
      </c>
      <c r="T2737" s="21" t="n">
        <v>0</v>
      </c>
      <c r="U2737" s="21" t="n">
        <v>0</v>
      </c>
      <c r="V2737" s="21" t="n">
        <v>0</v>
      </c>
      <c r="W2737" s="21" t="n">
        <v>0</v>
      </c>
      <c r="X2737" s="21" t="n">
        <v>0</v>
      </c>
      <c r="Y2737" s="21" t="n">
        <v>0</v>
      </c>
      <c r="Z2737" s="21" t="n">
        <v>0</v>
      </c>
      <c r="AA2737" s="21" t="n">
        <v>0</v>
      </c>
      <c r="AB2737" s="21" t="n">
        <v>0</v>
      </c>
      <c r="AC2737" s="21" t="n">
        <v>0</v>
      </c>
      <c r="AD2737" s="21" t="n">
        <v>0</v>
      </c>
      <c r="AE2737" s="21" t="n">
        <v>0</v>
      </c>
      <c r="AF2737" s="21" t="n">
        <v>0</v>
      </c>
      <c r="AG2737" s="21" t="n">
        <v>0</v>
      </c>
      <c r="AH2737" s="21" t="n">
        <v>0</v>
      </c>
      <c r="AI2737" s="21" t="n">
        <v>0</v>
      </c>
      <c r="AJ2737" s="21" t="n">
        <v>0</v>
      </c>
      <c r="AK2737" s="21" t="n">
        <v>0</v>
      </c>
      <c r="AL2737" s="21" t="n">
        <v>0</v>
      </c>
      <c r="AM2737" s="21" t="n">
        <v>0</v>
      </c>
      <c r="AN2737" s="21" t="n">
        <v>0</v>
      </c>
      <c r="AO2737" s="21" t="n">
        <v>0</v>
      </c>
      <c r="AP2737" s="21" t="n">
        <v>0</v>
      </c>
      <c r="AQ2737" s="21" t="n">
        <v>0</v>
      </c>
      <c r="AR2737" s="21" t="n">
        <v>0</v>
      </c>
      <c r="AS2737" s="21" t="n">
        <v>0</v>
      </c>
      <c r="AT2737" s="19" t="n"/>
    </row>
    <row r="2738">
      <c r="D2738" s="21" t="n">
        <v>0</v>
      </c>
      <c r="E2738" s="21" t="n">
        <v>0</v>
      </c>
      <c r="F2738" s="21" t="n">
        <v>0</v>
      </c>
      <c r="G2738" s="21" t="n">
        <v>0</v>
      </c>
      <c r="H2738" s="21" t="n">
        <v>0</v>
      </c>
      <c r="I2738" s="21" t="n">
        <v>0</v>
      </c>
      <c r="J2738" s="21" t="n">
        <v>0</v>
      </c>
      <c r="K2738" s="21" t="n">
        <v>0</v>
      </c>
      <c r="L2738" s="21">
        <f>-$B$1811</f>
        <v/>
      </c>
      <c r="M2738" s="21">
        <f>-$B$1812</f>
        <v/>
      </c>
      <c r="N2738" s="21">
        <f>2*$B$1811+$D$2711</f>
        <v/>
      </c>
      <c r="O2738" s="21">
        <f>0</f>
        <v/>
      </c>
      <c r="P2738" s="21">
        <f>-$B$1811</f>
        <v/>
      </c>
      <c r="Q2738" s="21">
        <f>$B$1812</f>
        <v/>
      </c>
      <c r="R2738" s="21" t="n">
        <v>0</v>
      </c>
      <c r="S2738" s="21" t="n">
        <v>0</v>
      </c>
      <c r="T2738" s="21" t="n">
        <v>0</v>
      </c>
      <c r="U2738" s="21" t="n">
        <v>0</v>
      </c>
      <c r="V2738" s="21" t="n">
        <v>0</v>
      </c>
      <c r="W2738" s="21" t="n">
        <v>0</v>
      </c>
      <c r="X2738" s="21" t="n">
        <v>0</v>
      </c>
      <c r="Y2738" s="21" t="n">
        <v>0</v>
      </c>
      <c r="Z2738" s="21" t="n">
        <v>0</v>
      </c>
      <c r="AA2738" s="21" t="n">
        <v>0</v>
      </c>
      <c r="AB2738" s="21" t="n">
        <v>0</v>
      </c>
      <c r="AC2738" s="21" t="n">
        <v>0</v>
      </c>
      <c r="AD2738" s="21" t="n">
        <v>0</v>
      </c>
      <c r="AE2738" s="21" t="n">
        <v>0</v>
      </c>
      <c r="AF2738" s="21" t="n">
        <v>0</v>
      </c>
      <c r="AG2738" s="21" t="n">
        <v>0</v>
      </c>
      <c r="AH2738" s="21" t="n">
        <v>0</v>
      </c>
      <c r="AI2738" s="21" t="n">
        <v>0</v>
      </c>
      <c r="AJ2738" s="21" t="n">
        <v>0</v>
      </c>
      <c r="AK2738" s="21" t="n">
        <v>0</v>
      </c>
      <c r="AL2738" s="21" t="n">
        <v>0</v>
      </c>
      <c r="AM2738" s="21" t="n">
        <v>0</v>
      </c>
      <c r="AN2738" s="21" t="n">
        <v>0</v>
      </c>
      <c r="AO2738" s="21" t="n">
        <v>0</v>
      </c>
      <c r="AP2738" s="21" t="n">
        <v>0</v>
      </c>
      <c r="AQ2738" s="21" t="n">
        <v>0</v>
      </c>
      <c r="AR2738" s="21" t="n">
        <v>0</v>
      </c>
      <c r="AS2738" s="21" t="n">
        <v>0</v>
      </c>
      <c r="AT2738" s="19" t="n"/>
    </row>
    <row r="2739">
      <c r="D2739" s="21" t="n">
        <v>0</v>
      </c>
      <c r="E2739" s="21" t="n">
        <v>0</v>
      </c>
      <c r="F2739" s="21" t="n">
        <v>0</v>
      </c>
      <c r="G2739" s="21" t="n">
        <v>0</v>
      </c>
      <c r="H2739" s="21" t="n">
        <v>0</v>
      </c>
      <c r="I2739" s="21" t="n">
        <v>0</v>
      </c>
      <c r="J2739" s="21" t="n">
        <v>0</v>
      </c>
      <c r="K2739" s="21" t="n">
        <v>0</v>
      </c>
      <c r="L2739" s="21">
        <f>$B$1812</f>
        <v/>
      </c>
      <c r="M2739" s="21">
        <f>$B$1814</f>
        <v/>
      </c>
      <c r="N2739" s="21">
        <f>0</f>
        <v/>
      </c>
      <c r="O2739" s="21">
        <f>2*$B$1813</f>
        <v/>
      </c>
      <c r="P2739" s="21">
        <f>-$B$1812</f>
        <v/>
      </c>
      <c r="Q2739" s="21">
        <f>$B$1814</f>
        <v/>
      </c>
      <c r="R2739" s="21" t="n">
        <v>0</v>
      </c>
      <c r="S2739" s="21" t="n">
        <v>0</v>
      </c>
      <c r="T2739" s="21" t="n">
        <v>0</v>
      </c>
      <c r="U2739" s="21" t="n">
        <v>0</v>
      </c>
      <c r="V2739" s="21" t="n">
        <v>0</v>
      </c>
      <c r="W2739" s="21" t="n">
        <v>0</v>
      </c>
      <c r="X2739" s="21" t="n">
        <v>0</v>
      </c>
      <c r="Y2739" s="21" t="n">
        <v>0</v>
      </c>
      <c r="Z2739" s="21" t="n">
        <v>0</v>
      </c>
      <c r="AA2739" s="21" t="n">
        <v>0</v>
      </c>
      <c r="AB2739" s="21" t="n">
        <v>0</v>
      </c>
      <c r="AC2739" s="21" t="n">
        <v>0</v>
      </c>
      <c r="AD2739" s="21" t="n">
        <v>0</v>
      </c>
      <c r="AE2739" s="21" t="n">
        <v>0</v>
      </c>
      <c r="AF2739" s="21" t="n">
        <v>0</v>
      </c>
      <c r="AG2739" s="21" t="n">
        <v>0</v>
      </c>
      <c r="AH2739" s="21" t="n">
        <v>0</v>
      </c>
      <c r="AI2739" s="21" t="n">
        <v>0</v>
      </c>
      <c r="AJ2739" s="21" t="n">
        <v>0</v>
      </c>
      <c r="AK2739" s="21" t="n">
        <v>0</v>
      </c>
      <c r="AL2739" s="21" t="n">
        <v>0</v>
      </c>
      <c r="AM2739" s="21" t="n">
        <v>0</v>
      </c>
      <c r="AN2739" s="21" t="n">
        <v>0</v>
      </c>
      <c r="AO2739" s="21" t="n">
        <v>0</v>
      </c>
      <c r="AP2739" s="21" t="n">
        <v>0</v>
      </c>
      <c r="AQ2739" s="21" t="n">
        <v>0</v>
      </c>
      <c r="AR2739" s="21" t="n">
        <v>0</v>
      </c>
      <c r="AS2739" s="21" t="n">
        <v>0</v>
      </c>
      <c r="AT2739" s="19" t="n"/>
    </row>
    <row r="2740">
      <c r="D2740" s="21" t="n">
        <v>0</v>
      </c>
      <c r="E2740" s="21" t="n">
        <v>0</v>
      </c>
      <c r="F2740" s="21" t="n">
        <v>0</v>
      </c>
      <c r="G2740" s="21" t="n">
        <v>0</v>
      </c>
      <c r="H2740" s="21" t="n">
        <v>0</v>
      </c>
      <c r="I2740" s="21" t="n">
        <v>0</v>
      </c>
      <c r="J2740" s="21" t="n">
        <v>0</v>
      </c>
      <c r="K2740" s="21" t="n">
        <v>0</v>
      </c>
      <c r="L2740" s="21" t="n">
        <v>0</v>
      </c>
      <c r="M2740" s="21" t="n">
        <v>0</v>
      </c>
      <c r="N2740" s="21">
        <f>-$B$1811</f>
        <v/>
      </c>
      <c r="O2740" s="21">
        <f>-$B$1812</f>
        <v/>
      </c>
      <c r="P2740" s="21">
        <f>2*$B$1811+$D$2712</f>
        <v/>
      </c>
      <c r="Q2740" s="21">
        <f>0</f>
        <v/>
      </c>
      <c r="R2740" s="21">
        <f>-$B$1811</f>
        <v/>
      </c>
      <c r="S2740" s="21">
        <f>$B$1812</f>
        <v/>
      </c>
      <c r="T2740" s="21" t="n">
        <v>0</v>
      </c>
      <c r="U2740" s="21" t="n">
        <v>0</v>
      </c>
      <c r="V2740" s="21" t="n">
        <v>0</v>
      </c>
      <c r="W2740" s="21" t="n">
        <v>0</v>
      </c>
      <c r="X2740" s="21" t="n">
        <v>0</v>
      </c>
      <c r="Y2740" s="21" t="n">
        <v>0</v>
      </c>
      <c r="Z2740" s="21" t="n">
        <v>0</v>
      </c>
      <c r="AA2740" s="21" t="n">
        <v>0</v>
      </c>
      <c r="AB2740" s="21" t="n">
        <v>0</v>
      </c>
      <c r="AC2740" s="21" t="n">
        <v>0</v>
      </c>
      <c r="AD2740" s="21" t="n">
        <v>0</v>
      </c>
      <c r="AE2740" s="21" t="n">
        <v>0</v>
      </c>
      <c r="AF2740" s="21" t="n">
        <v>0</v>
      </c>
      <c r="AG2740" s="21" t="n">
        <v>0</v>
      </c>
      <c r="AH2740" s="21" t="n">
        <v>0</v>
      </c>
      <c r="AI2740" s="21" t="n">
        <v>0</v>
      </c>
      <c r="AJ2740" s="21" t="n">
        <v>0</v>
      </c>
      <c r="AK2740" s="21" t="n">
        <v>0</v>
      </c>
      <c r="AL2740" s="21" t="n">
        <v>0</v>
      </c>
      <c r="AM2740" s="21" t="n">
        <v>0</v>
      </c>
      <c r="AN2740" s="21" t="n">
        <v>0</v>
      </c>
      <c r="AO2740" s="21" t="n">
        <v>0</v>
      </c>
      <c r="AP2740" s="21" t="n">
        <v>0</v>
      </c>
      <c r="AQ2740" s="21" t="n">
        <v>0</v>
      </c>
      <c r="AR2740" s="21" t="n">
        <v>0</v>
      </c>
      <c r="AS2740" s="21" t="n">
        <v>0</v>
      </c>
      <c r="AT2740" s="19" t="n"/>
    </row>
    <row r="2741">
      <c r="D2741" s="21" t="n">
        <v>0</v>
      </c>
      <c r="E2741" s="21" t="n">
        <v>0</v>
      </c>
      <c r="F2741" s="21" t="n">
        <v>0</v>
      </c>
      <c r="G2741" s="21" t="n">
        <v>0</v>
      </c>
      <c r="H2741" s="21" t="n">
        <v>0</v>
      </c>
      <c r="I2741" s="21" t="n">
        <v>0</v>
      </c>
      <c r="J2741" s="21" t="n">
        <v>0</v>
      </c>
      <c r="K2741" s="21" t="n">
        <v>0</v>
      </c>
      <c r="L2741" s="21" t="n">
        <v>0</v>
      </c>
      <c r="M2741" s="21" t="n">
        <v>0</v>
      </c>
      <c r="N2741" s="21">
        <f>$B$1812</f>
        <v/>
      </c>
      <c r="O2741" s="21">
        <f>$B$1814</f>
        <v/>
      </c>
      <c r="P2741" s="21">
        <f>0</f>
        <v/>
      </c>
      <c r="Q2741" s="21">
        <f>2*$B$1813</f>
        <v/>
      </c>
      <c r="R2741" s="21">
        <f>-$B$1812</f>
        <v/>
      </c>
      <c r="S2741" s="21">
        <f>$B$1814</f>
        <v/>
      </c>
      <c r="T2741" s="21" t="n">
        <v>0</v>
      </c>
      <c r="U2741" s="21" t="n">
        <v>0</v>
      </c>
      <c r="V2741" s="21" t="n">
        <v>0</v>
      </c>
      <c r="W2741" s="21" t="n">
        <v>0</v>
      </c>
      <c r="X2741" s="21" t="n">
        <v>0</v>
      </c>
      <c r="Y2741" s="21" t="n">
        <v>0</v>
      </c>
      <c r="Z2741" s="21" t="n">
        <v>0</v>
      </c>
      <c r="AA2741" s="21" t="n">
        <v>0</v>
      </c>
      <c r="AB2741" s="21" t="n">
        <v>0</v>
      </c>
      <c r="AC2741" s="21" t="n">
        <v>0</v>
      </c>
      <c r="AD2741" s="21" t="n">
        <v>0</v>
      </c>
      <c r="AE2741" s="21" t="n">
        <v>0</v>
      </c>
      <c r="AF2741" s="21" t="n">
        <v>0</v>
      </c>
      <c r="AG2741" s="21" t="n">
        <v>0</v>
      </c>
      <c r="AH2741" s="21" t="n">
        <v>0</v>
      </c>
      <c r="AI2741" s="21" t="n">
        <v>0</v>
      </c>
      <c r="AJ2741" s="21" t="n">
        <v>0</v>
      </c>
      <c r="AK2741" s="21" t="n">
        <v>0</v>
      </c>
      <c r="AL2741" s="21" t="n">
        <v>0</v>
      </c>
      <c r="AM2741" s="21" t="n">
        <v>0</v>
      </c>
      <c r="AN2741" s="21" t="n">
        <v>0</v>
      </c>
      <c r="AO2741" s="21" t="n">
        <v>0</v>
      </c>
      <c r="AP2741" s="21" t="n">
        <v>0</v>
      </c>
      <c r="AQ2741" s="21" t="n">
        <v>0</v>
      </c>
      <c r="AR2741" s="21" t="n">
        <v>0</v>
      </c>
      <c r="AS2741" s="21" t="n">
        <v>0</v>
      </c>
      <c r="AT2741" s="19" t="n"/>
    </row>
    <row r="2742">
      <c r="D2742" s="21" t="n">
        <v>0</v>
      </c>
      <c r="E2742" s="21" t="n">
        <v>0</v>
      </c>
      <c r="F2742" s="21" t="n">
        <v>0</v>
      </c>
      <c r="G2742" s="21" t="n">
        <v>0</v>
      </c>
      <c r="H2742" s="21" t="n">
        <v>0</v>
      </c>
      <c r="I2742" s="21" t="n">
        <v>0</v>
      </c>
      <c r="J2742" s="21" t="n">
        <v>0</v>
      </c>
      <c r="K2742" s="21" t="n">
        <v>0</v>
      </c>
      <c r="L2742" s="21" t="n">
        <v>0</v>
      </c>
      <c r="M2742" s="21" t="n">
        <v>0</v>
      </c>
      <c r="N2742" s="21" t="n">
        <v>0</v>
      </c>
      <c r="O2742" s="21" t="n">
        <v>0</v>
      </c>
      <c r="P2742" s="21">
        <f>-$B$1811</f>
        <v/>
      </c>
      <c r="Q2742" s="21">
        <f>-$B$1812</f>
        <v/>
      </c>
      <c r="R2742" s="21">
        <f>2*$B$1811+$D$2713</f>
        <v/>
      </c>
      <c r="S2742" s="21">
        <f>0</f>
        <v/>
      </c>
      <c r="T2742" s="21">
        <f>-$B$1811</f>
        <v/>
      </c>
      <c r="U2742" s="21">
        <f>$B$1812</f>
        <v/>
      </c>
      <c r="V2742" s="21" t="n">
        <v>0</v>
      </c>
      <c r="W2742" s="21" t="n">
        <v>0</v>
      </c>
      <c r="X2742" s="21" t="n">
        <v>0</v>
      </c>
      <c r="Y2742" s="21" t="n">
        <v>0</v>
      </c>
      <c r="Z2742" s="21" t="n">
        <v>0</v>
      </c>
      <c r="AA2742" s="21" t="n">
        <v>0</v>
      </c>
      <c r="AB2742" s="21" t="n">
        <v>0</v>
      </c>
      <c r="AC2742" s="21" t="n">
        <v>0</v>
      </c>
      <c r="AD2742" s="21" t="n">
        <v>0</v>
      </c>
      <c r="AE2742" s="21" t="n">
        <v>0</v>
      </c>
      <c r="AF2742" s="21" t="n">
        <v>0</v>
      </c>
      <c r="AG2742" s="21" t="n">
        <v>0</v>
      </c>
      <c r="AH2742" s="21" t="n">
        <v>0</v>
      </c>
      <c r="AI2742" s="21" t="n">
        <v>0</v>
      </c>
      <c r="AJ2742" s="21" t="n">
        <v>0</v>
      </c>
      <c r="AK2742" s="21" t="n">
        <v>0</v>
      </c>
      <c r="AL2742" s="21" t="n">
        <v>0</v>
      </c>
      <c r="AM2742" s="21" t="n">
        <v>0</v>
      </c>
      <c r="AN2742" s="21" t="n">
        <v>0</v>
      </c>
      <c r="AO2742" s="21" t="n">
        <v>0</v>
      </c>
      <c r="AP2742" s="21" t="n">
        <v>0</v>
      </c>
      <c r="AQ2742" s="21" t="n">
        <v>0</v>
      </c>
      <c r="AR2742" s="21" t="n">
        <v>0</v>
      </c>
      <c r="AS2742" s="21" t="n">
        <v>0</v>
      </c>
      <c r="AT2742" s="19" t="n"/>
    </row>
    <row r="2743">
      <c r="D2743" s="21" t="n">
        <v>0</v>
      </c>
      <c r="E2743" s="21" t="n">
        <v>0</v>
      </c>
      <c r="F2743" s="21" t="n">
        <v>0</v>
      </c>
      <c r="G2743" s="21" t="n">
        <v>0</v>
      </c>
      <c r="H2743" s="21" t="n">
        <v>0</v>
      </c>
      <c r="I2743" s="21" t="n">
        <v>0</v>
      </c>
      <c r="J2743" s="21" t="n">
        <v>0</v>
      </c>
      <c r="K2743" s="21" t="n">
        <v>0</v>
      </c>
      <c r="L2743" s="21" t="n">
        <v>0</v>
      </c>
      <c r="M2743" s="21" t="n">
        <v>0</v>
      </c>
      <c r="N2743" s="21" t="n">
        <v>0</v>
      </c>
      <c r="O2743" s="21" t="n">
        <v>0</v>
      </c>
      <c r="P2743" s="21">
        <f>$B$1812</f>
        <v/>
      </c>
      <c r="Q2743" s="21">
        <f>$B$1814</f>
        <v/>
      </c>
      <c r="R2743" s="21">
        <f>0</f>
        <v/>
      </c>
      <c r="S2743" s="21">
        <f>2*$B$1813</f>
        <v/>
      </c>
      <c r="T2743" s="21">
        <f>-$B$1812</f>
        <v/>
      </c>
      <c r="U2743" s="21">
        <f>$B$1814</f>
        <v/>
      </c>
      <c r="V2743" s="21" t="n">
        <v>0</v>
      </c>
      <c r="W2743" s="21" t="n">
        <v>0</v>
      </c>
      <c r="X2743" s="21" t="n">
        <v>0</v>
      </c>
      <c r="Y2743" s="21" t="n">
        <v>0</v>
      </c>
      <c r="Z2743" s="21" t="n">
        <v>0</v>
      </c>
      <c r="AA2743" s="21" t="n">
        <v>0</v>
      </c>
      <c r="AB2743" s="21" t="n">
        <v>0</v>
      </c>
      <c r="AC2743" s="21" t="n">
        <v>0</v>
      </c>
      <c r="AD2743" s="21" t="n">
        <v>0</v>
      </c>
      <c r="AE2743" s="21" t="n">
        <v>0</v>
      </c>
      <c r="AF2743" s="21" t="n">
        <v>0</v>
      </c>
      <c r="AG2743" s="21" t="n">
        <v>0</v>
      </c>
      <c r="AH2743" s="21" t="n">
        <v>0</v>
      </c>
      <c r="AI2743" s="21" t="n">
        <v>0</v>
      </c>
      <c r="AJ2743" s="21" t="n">
        <v>0</v>
      </c>
      <c r="AK2743" s="21" t="n">
        <v>0</v>
      </c>
      <c r="AL2743" s="21" t="n">
        <v>0</v>
      </c>
      <c r="AM2743" s="21" t="n">
        <v>0</v>
      </c>
      <c r="AN2743" s="21" t="n">
        <v>0</v>
      </c>
      <c r="AO2743" s="21" t="n">
        <v>0</v>
      </c>
      <c r="AP2743" s="21" t="n">
        <v>0</v>
      </c>
      <c r="AQ2743" s="21" t="n">
        <v>0</v>
      </c>
      <c r="AR2743" s="21" t="n">
        <v>0</v>
      </c>
      <c r="AS2743" s="21" t="n">
        <v>0</v>
      </c>
      <c r="AT2743" s="19" t="n"/>
    </row>
    <row r="2744">
      <c r="D2744" s="21" t="n">
        <v>0</v>
      </c>
      <c r="E2744" s="21" t="n">
        <v>0</v>
      </c>
      <c r="F2744" s="21" t="n">
        <v>0</v>
      </c>
      <c r="G2744" s="21" t="n">
        <v>0</v>
      </c>
      <c r="H2744" s="21" t="n">
        <v>0</v>
      </c>
      <c r="I2744" s="21" t="n">
        <v>0</v>
      </c>
      <c r="J2744" s="21" t="n">
        <v>0</v>
      </c>
      <c r="K2744" s="21" t="n">
        <v>0</v>
      </c>
      <c r="L2744" s="21" t="n">
        <v>0</v>
      </c>
      <c r="M2744" s="21" t="n">
        <v>0</v>
      </c>
      <c r="N2744" s="21" t="n">
        <v>0</v>
      </c>
      <c r="O2744" s="21" t="n">
        <v>0</v>
      </c>
      <c r="P2744" s="21" t="n">
        <v>0</v>
      </c>
      <c r="Q2744" s="21" t="n">
        <v>0</v>
      </c>
      <c r="R2744" s="21">
        <f>-$B$1811</f>
        <v/>
      </c>
      <c r="S2744" s="21">
        <f>-$B$1812</f>
        <v/>
      </c>
      <c r="T2744" s="21">
        <f>2*$B$1811+$D$2714</f>
        <v/>
      </c>
      <c r="U2744" s="21">
        <f>0</f>
        <v/>
      </c>
      <c r="V2744" s="21">
        <f>-$B$1811</f>
        <v/>
      </c>
      <c r="W2744" s="21">
        <f>$B$1812</f>
        <v/>
      </c>
      <c r="X2744" s="21" t="n">
        <v>0</v>
      </c>
      <c r="Y2744" s="21" t="n">
        <v>0</v>
      </c>
      <c r="Z2744" s="21" t="n">
        <v>0</v>
      </c>
      <c r="AA2744" s="21" t="n">
        <v>0</v>
      </c>
      <c r="AB2744" s="21" t="n">
        <v>0</v>
      </c>
      <c r="AC2744" s="21" t="n">
        <v>0</v>
      </c>
      <c r="AD2744" s="21" t="n">
        <v>0</v>
      </c>
      <c r="AE2744" s="21" t="n">
        <v>0</v>
      </c>
      <c r="AF2744" s="21" t="n">
        <v>0</v>
      </c>
      <c r="AG2744" s="21" t="n">
        <v>0</v>
      </c>
      <c r="AH2744" s="21" t="n">
        <v>0</v>
      </c>
      <c r="AI2744" s="21" t="n">
        <v>0</v>
      </c>
      <c r="AJ2744" s="21" t="n">
        <v>0</v>
      </c>
      <c r="AK2744" s="21" t="n">
        <v>0</v>
      </c>
      <c r="AL2744" s="21" t="n">
        <v>0</v>
      </c>
      <c r="AM2744" s="21" t="n">
        <v>0</v>
      </c>
      <c r="AN2744" s="21" t="n">
        <v>0</v>
      </c>
      <c r="AO2744" s="21" t="n">
        <v>0</v>
      </c>
      <c r="AP2744" s="21" t="n">
        <v>0</v>
      </c>
      <c r="AQ2744" s="21" t="n">
        <v>0</v>
      </c>
      <c r="AR2744" s="21" t="n">
        <v>0</v>
      </c>
      <c r="AS2744" s="21" t="n">
        <v>0</v>
      </c>
      <c r="AT2744" s="19" t="n"/>
    </row>
    <row r="2745">
      <c r="D2745" s="21" t="n">
        <v>0</v>
      </c>
      <c r="E2745" s="21" t="n">
        <v>0</v>
      </c>
      <c r="F2745" s="21" t="n">
        <v>0</v>
      </c>
      <c r="G2745" s="21" t="n">
        <v>0</v>
      </c>
      <c r="H2745" s="21" t="n">
        <v>0</v>
      </c>
      <c r="I2745" s="21" t="n">
        <v>0</v>
      </c>
      <c r="J2745" s="21" t="n">
        <v>0</v>
      </c>
      <c r="K2745" s="21" t="n">
        <v>0</v>
      </c>
      <c r="L2745" s="21" t="n">
        <v>0</v>
      </c>
      <c r="M2745" s="21" t="n">
        <v>0</v>
      </c>
      <c r="N2745" s="21" t="n">
        <v>0</v>
      </c>
      <c r="O2745" s="21" t="n">
        <v>0</v>
      </c>
      <c r="P2745" s="21" t="n">
        <v>0</v>
      </c>
      <c r="Q2745" s="21" t="n">
        <v>0</v>
      </c>
      <c r="R2745" s="21">
        <f>$B$1812</f>
        <v/>
      </c>
      <c r="S2745" s="21">
        <f>$B$1814</f>
        <v/>
      </c>
      <c r="T2745" s="21">
        <f>0</f>
        <v/>
      </c>
      <c r="U2745" s="21">
        <f>2*$B$1813</f>
        <v/>
      </c>
      <c r="V2745" s="21">
        <f>-$B$1812</f>
        <v/>
      </c>
      <c r="W2745" s="21">
        <f>$B$1814</f>
        <v/>
      </c>
      <c r="X2745" s="21" t="n">
        <v>0</v>
      </c>
      <c r="Y2745" s="21" t="n">
        <v>0</v>
      </c>
      <c r="Z2745" s="21" t="n">
        <v>0</v>
      </c>
      <c r="AA2745" s="21" t="n">
        <v>0</v>
      </c>
      <c r="AB2745" s="21" t="n">
        <v>0</v>
      </c>
      <c r="AC2745" s="21" t="n">
        <v>0</v>
      </c>
      <c r="AD2745" s="21" t="n">
        <v>0</v>
      </c>
      <c r="AE2745" s="21" t="n">
        <v>0</v>
      </c>
      <c r="AF2745" s="21" t="n">
        <v>0</v>
      </c>
      <c r="AG2745" s="21" t="n">
        <v>0</v>
      </c>
      <c r="AH2745" s="21" t="n">
        <v>0</v>
      </c>
      <c r="AI2745" s="21" t="n">
        <v>0</v>
      </c>
      <c r="AJ2745" s="21" t="n">
        <v>0</v>
      </c>
      <c r="AK2745" s="21" t="n">
        <v>0</v>
      </c>
      <c r="AL2745" s="21" t="n">
        <v>0</v>
      </c>
      <c r="AM2745" s="21" t="n">
        <v>0</v>
      </c>
      <c r="AN2745" s="21" t="n">
        <v>0</v>
      </c>
      <c r="AO2745" s="21" t="n">
        <v>0</v>
      </c>
      <c r="AP2745" s="21" t="n">
        <v>0</v>
      </c>
      <c r="AQ2745" s="21" t="n">
        <v>0</v>
      </c>
      <c r="AR2745" s="21" t="n">
        <v>0</v>
      </c>
      <c r="AS2745" s="21" t="n">
        <v>0</v>
      </c>
      <c r="AT2745" s="19" t="n"/>
    </row>
    <row r="2746">
      <c r="D2746" s="21" t="n">
        <v>0</v>
      </c>
      <c r="E2746" s="21" t="n">
        <v>0</v>
      </c>
      <c r="F2746" s="21" t="n">
        <v>0</v>
      </c>
      <c r="G2746" s="21" t="n">
        <v>0</v>
      </c>
      <c r="H2746" s="21" t="n">
        <v>0</v>
      </c>
      <c r="I2746" s="21" t="n">
        <v>0</v>
      </c>
      <c r="J2746" s="21" t="n">
        <v>0</v>
      </c>
      <c r="K2746" s="21" t="n">
        <v>0</v>
      </c>
      <c r="L2746" s="21" t="n">
        <v>0</v>
      </c>
      <c r="M2746" s="21" t="n">
        <v>0</v>
      </c>
      <c r="N2746" s="21" t="n">
        <v>0</v>
      </c>
      <c r="O2746" s="21" t="n">
        <v>0</v>
      </c>
      <c r="P2746" s="21" t="n">
        <v>0</v>
      </c>
      <c r="Q2746" s="21" t="n">
        <v>0</v>
      </c>
      <c r="R2746" s="21" t="n">
        <v>0</v>
      </c>
      <c r="S2746" s="21" t="n">
        <v>0</v>
      </c>
      <c r="T2746" s="21">
        <f>-$B$1811</f>
        <v/>
      </c>
      <c r="U2746" s="21">
        <f>-$B$1812</f>
        <v/>
      </c>
      <c r="V2746" s="21">
        <f>2*$B$1811+$D$2715</f>
        <v/>
      </c>
      <c r="W2746" s="21">
        <f>0</f>
        <v/>
      </c>
      <c r="X2746" s="21">
        <f>-$B$1811</f>
        <v/>
      </c>
      <c r="Y2746" s="21">
        <f>$B$1812</f>
        <v/>
      </c>
      <c r="Z2746" s="21" t="n">
        <v>0</v>
      </c>
      <c r="AA2746" s="21" t="n">
        <v>0</v>
      </c>
      <c r="AB2746" s="21" t="n">
        <v>0</v>
      </c>
      <c r="AC2746" s="21" t="n">
        <v>0</v>
      </c>
      <c r="AD2746" s="21" t="n">
        <v>0</v>
      </c>
      <c r="AE2746" s="21" t="n">
        <v>0</v>
      </c>
      <c r="AF2746" s="21" t="n">
        <v>0</v>
      </c>
      <c r="AG2746" s="21" t="n">
        <v>0</v>
      </c>
      <c r="AH2746" s="21" t="n">
        <v>0</v>
      </c>
      <c r="AI2746" s="21" t="n">
        <v>0</v>
      </c>
      <c r="AJ2746" s="21" t="n">
        <v>0</v>
      </c>
      <c r="AK2746" s="21" t="n">
        <v>0</v>
      </c>
      <c r="AL2746" s="21" t="n">
        <v>0</v>
      </c>
      <c r="AM2746" s="21" t="n">
        <v>0</v>
      </c>
      <c r="AN2746" s="21" t="n">
        <v>0</v>
      </c>
      <c r="AO2746" s="21" t="n">
        <v>0</v>
      </c>
      <c r="AP2746" s="21" t="n">
        <v>0</v>
      </c>
      <c r="AQ2746" s="21" t="n">
        <v>0</v>
      </c>
      <c r="AR2746" s="21" t="n">
        <v>0</v>
      </c>
      <c r="AS2746" s="21" t="n">
        <v>0</v>
      </c>
      <c r="AT2746" s="19" t="n"/>
    </row>
    <row r="2747">
      <c r="D2747" s="21" t="n">
        <v>0</v>
      </c>
      <c r="E2747" s="21" t="n">
        <v>0</v>
      </c>
      <c r="F2747" s="21" t="n">
        <v>0</v>
      </c>
      <c r="G2747" s="21" t="n">
        <v>0</v>
      </c>
      <c r="H2747" s="21" t="n">
        <v>0</v>
      </c>
      <c r="I2747" s="21" t="n">
        <v>0</v>
      </c>
      <c r="J2747" s="21" t="n">
        <v>0</v>
      </c>
      <c r="K2747" s="21" t="n">
        <v>0</v>
      </c>
      <c r="L2747" s="21" t="n">
        <v>0</v>
      </c>
      <c r="M2747" s="21" t="n">
        <v>0</v>
      </c>
      <c r="N2747" s="21" t="n">
        <v>0</v>
      </c>
      <c r="O2747" s="21" t="n">
        <v>0</v>
      </c>
      <c r="P2747" s="21" t="n">
        <v>0</v>
      </c>
      <c r="Q2747" s="21" t="n">
        <v>0</v>
      </c>
      <c r="R2747" s="21" t="n">
        <v>0</v>
      </c>
      <c r="S2747" s="21" t="n">
        <v>0</v>
      </c>
      <c r="T2747" s="21">
        <f>$B$1812</f>
        <v/>
      </c>
      <c r="U2747" s="21">
        <f>$B$1814</f>
        <v/>
      </c>
      <c r="V2747" s="21">
        <f>0</f>
        <v/>
      </c>
      <c r="W2747" s="21">
        <f>2*$B$1813</f>
        <v/>
      </c>
      <c r="X2747" s="21">
        <f>-$B$1812</f>
        <v/>
      </c>
      <c r="Y2747" s="21">
        <f>$B$1814</f>
        <v/>
      </c>
      <c r="Z2747" s="21" t="n">
        <v>0</v>
      </c>
      <c r="AA2747" s="21" t="n">
        <v>0</v>
      </c>
      <c r="AB2747" s="21" t="n">
        <v>0</v>
      </c>
      <c r="AC2747" s="21" t="n">
        <v>0</v>
      </c>
      <c r="AD2747" s="21" t="n">
        <v>0</v>
      </c>
      <c r="AE2747" s="21" t="n">
        <v>0</v>
      </c>
      <c r="AF2747" s="21" t="n">
        <v>0</v>
      </c>
      <c r="AG2747" s="21" t="n">
        <v>0</v>
      </c>
      <c r="AH2747" s="21" t="n">
        <v>0</v>
      </c>
      <c r="AI2747" s="21" t="n">
        <v>0</v>
      </c>
      <c r="AJ2747" s="21" t="n">
        <v>0</v>
      </c>
      <c r="AK2747" s="21" t="n">
        <v>0</v>
      </c>
      <c r="AL2747" s="21" t="n">
        <v>0</v>
      </c>
      <c r="AM2747" s="21" t="n">
        <v>0</v>
      </c>
      <c r="AN2747" s="21" t="n">
        <v>0</v>
      </c>
      <c r="AO2747" s="21" t="n">
        <v>0</v>
      </c>
      <c r="AP2747" s="21" t="n">
        <v>0</v>
      </c>
      <c r="AQ2747" s="21" t="n">
        <v>0</v>
      </c>
      <c r="AR2747" s="21" t="n">
        <v>0</v>
      </c>
      <c r="AS2747" s="21" t="n">
        <v>0</v>
      </c>
      <c r="AT2747" s="19" t="n"/>
    </row>
    <row r="2748">
      <c r="D2748" s="21" t="n">
        <v>0</v>
      </c>
      <c r="E2748" s="21" t="n">
        <v>0</v>
      </c>
      <c r="F2748" s="21" t="n">
        <v>0</v>
      </c>
      <c r="G2748" s="21" t="n">
        <v>0</v>
      </c>
      <c r="H2748" s="21" t="n">
        <v>0</v>
      </c>
      <c r="I2748" s="21" t="n">
        <v>0</v>
      </c>
      <c r="J2748" s="21" t="n">
        <v>0</v>
      </c>
      <c r="K2748" s="21" t="n">
        <v>0</v>
      </c>
      <c r="L2748" s="21" t="n">
        <v>0</v>
      </c>
      <c r="M2748" s="21" t="n">
        <v>0</v>
      </c>
      <c r="N2748" s="21" t="n">
        <v>0</v>
      </c>
      <c r="O2748" s="21" t="n">
        <v>0</v>
      </c>
      <c r="P2748" s="21" t="n">
        <v>0</v>
      </c>
      <c r="Q2748" s="21" t="n">
        <v>0</v>
      </c>
      <c r="R2748" s="21" t="n">
        <v>0</v>
      </c>
      <c r="S2748" s="21" t="n">
        <v>0</v>
      </c>
      <c r="T2748" s="21" t="n">
        <v>0</v>
      </c>
      <c r="U2748" s="21" t="n">
        <v>0</v>
      </c>
      <c r="V2748" s="21">
        <f>-$B$1811</f>
        <v/>
      </c>
      <c r="W2748" s="21">
        <f>-$B$1812</f>
        <v/>
      </c>
      <c r="X2748" s="21">
        <f>2*$B$1811+$D$2716</f>
        <v/>
      </c>
      <c r="Y2748" s="21">
        <f>0</f>
        <v/>
      </c>
      <c r="Z2748" s="21">
        <f>-$B$1811</f>
        <v/>
      </c>
      <c r="AA2748" s="21">
        <f>$B$1812</f>
        <v/>
      </c>
      <c r="AB2748" s="21" t="n">
        <v>0</v>
      </c>
      <c r="AC2748" s="21" t="n">
        <v>0</v>
      </c>
      <c r="AD2748" s="21" t="n">
        <v>0</v>
      </c>
      <c r="AE2748" s="21" t="n">
        <v>0</v>
      </c>
      <c r="AF2748" s="21" t="n">
        <v>0</v>
      </c>
      <c r="AG2748" s="21" t="n">
        <v>0</v>
      </c>
      <c r="AH2748" s="21" t="n">
        <v>0</v>
      </c>
      <c r="AI2748" s="21" t="n">
        <v>0</v>
      </c>
      <c r="AJ2748" s="21" t="n">
        <v>0</v>
      </c>
      <c r="AK2748" s="21" t="n">
        <v>0</v>
      </c>
      <c r="AL2748" s="21" t="n">
        <v>0</v>
      </c>
      <c r="AM2748" s="21" t="n">
        <v>0</v>
      </c>
      <c r="AN2748" s="21" t="n">
        <v>0</v>
      </c>
      <c r="AO2748" s="21" t="n">
        <v>0</v>
      </c>
      <c r="AP2748" s="21" t="n">
        <v>0</v>
      </c>
      <c r="AQ2748" s="21" t="n">
        <v>0</v>
      </c>
      <c r="AR2748" s="21" t="n">
        <v>0</v>
      </c>
      <c r="AS2748" s="21" t="n">
        <v>0</v>
      </c>
      <c r="AT2748" s="19" t="n"/>
    </row>
    <row r="2749">
      <c r="D2749" s="21" t="n">
        <v>0</v>
      </c>
      <c r="E2749" s="21" t="n">
        <v>0</v>
      </c>
      <c r="F2749" s="21" t="n">
        <v>0</v>
      </c>
      <c r="G2749" s="21" t="n">
        <v>0</v>
      </c>
      <c r="H2749" s="21" t="n">
        <v>0</v>
      </c>
      <c r="I2749" s="21" t="n">
        <v>0</v>
      </c>
      <c r="J2749" s="21" t="n">
        <v>0</v>
      </c>
      <c r="K2749" s="21" t="n">
        <v>0</v>
      </c>
      <c r="L2749" s="21" t="n">
        <v>0</v>
      </c>
      <c r="M2749" s="21" t="n">
        <v>0</v>
      </c>
      <c r="N2749" s="21" t="n">
        <v>0</v>
      </c>
      <c r="O2749" s="21" t="n">
        <v>0</v>
      </c>
      <c r="P2749" s="21" t="n">
        <v>0</v>
      </c>
      <c r="Q2749" s="21" t="n">
        <v>0</v>
      </c>
      <c r="R2749" s="21" t="n">
        <v>0</v>
      </c>
      <c r="S2749" s="21" t="n">
        <v>0</v>
      </c>
      <c r="T2749" s="21" t="n">
        <v>0</v>
      </c>
      <c r="U2749" s="21" t="n">
        <v>0</v>
      </c>
      <c r="V2749" s="21">
        <f>$B$1812</f>
        <v/>
      </c>
      <c r="W2749" s="21">
        <f>$B$1814</f>
        <v/>
      </c>
      <c r="X2749" s="21">
        <f>0</f>
        <v/>
      </c>
      <c r="Y2749" s="21">
        <f>2*$B$1813</f>
        <v/>
      </c>
      <c r="Z2749" s="21">
        <f>-$B$1812</f>
        <v/>
      </c>
      <c r="AA2749" s="21">
        <f>$B$1814</f>
        <v/>
      </c>
      <c r="AB2749" s="21" t="n">
        <v>0</v>
      </c>
      <c r="AC2749" s="21" t="n">
        <v>0</v>
      </c>
      <c r="AD2749" s="21" t="n">
        <v>0</v>
      </c>
      <c r="AE2749" s="21" t="n">
        <v>0</v>
      </c>
      <c r="AF2749" s="21" t="n">
        <v>0</v>
      </c>
      <c r="AG2749" s="21" t="n">
        <v>0</v>
      </c>
      <c r="AH2749" s="21" t="n">
        <v>0</v>
      </c>
      <c r="AI2749" s="21" t="n">
        <v>0</v>
      </c>
      <c r="AJ2749" s="21" t="n">
        <v>0</v>
      </c>
      <c r="AK2749" s="21" t="n">
        <v>0</v>
      </c>
      <c r="AL2749" s="21" t="n">
        <v>0</v>
      </c>
      <c r="AM2749" s="21" t="n">
        <v>0</v>
      </c>
      <c r="AN2749" s="21" t="n">
        <v>0</v>
      </c>
      <c r="AO2749" s="21" t="n">
        <v>0</v>
      </c>
      <c r="AP2749" s="21" t="n">
        <v>0</v>
      </c>
      <c r="AQ2749" s="21" t="n">
        <v>0</v>
      </c>
      <c r="AR2749" s="21" t="n">
        <v>0</v>
      </c>
      <c r="AS2749" s="21" t="n">
        <v>0</v>
      </c>
      <c r="AT2749" s="19" t="n"/>
    </row>
    <row r="2750">
      <c r="D2750" s="21" t="n">
        <v>0</v>
      </c>
      <c r="E2750" s="21" t="n">
        <v>0</v>
      </c>
      <c r="F2750" s="21" t="n">
        <v>0</v>
      </c>
      <c r="G2750" s="21" t="n">
        <v>0</v>
      </c>
      <c r="H2750" s="21" t="n">
        <v>0</v>
      </c>
      <c r="I2750" s="21" t="n">
        <v>0</v>
      </c>
      <c r="J2750" s="21" t="n">
        <v>0</v>
      </c>
      <c r="K2750" s="21" t="n">
        <v>0</v>
      </c>
      <c r="L2750" s="21" t="n">
        <v>0</v>
      </c>
      <c r="M2750" s="21" t="n">
        <v>0</v>
      </c>
      <c r="N2750" s="21" t="n">
        <v>0</v>
      </c>
      <c r="O2750" s="21" t="n">
        <v>0</v>
      </c>
      <c r="P2750" s="21" t="n">
        <v>0</v>
      </c>
      <c r="Q2750" s="21" t="n">
        <v>0</v>
      </c>
      <c r="R2750" s="21" t="n">
        <v>0</v>
      </c>
      <c r="S2750" s="21" t="n">
        <v>0</v>
      </c>
      <c r="T2750" s="21" t="n">
        <v>0</v>
      </c>
      <c r="U2750" s="21" t="n">
        <v>0</v>
      </c>
      <c r="V2750" s="21" t="n">
        <v>0</v>
      </c>
      <c r="W2750" s="21" t="n">
        <v>0</v>
      </c>
      <c r="X2750" s="21">
        <f>-$B$1811</f>
        <v/>
      </c>
      <c r="Y2750" s="21">
        <f>-$B$1812</f>
        <v/>
      </c>
      <c r="Z2750" s="21">
        <f>2*$B$1811+$D$2717</f>
        <v/>
      </c>
      <c r="AA2750" s="21">
        <f>0</f>
        <v/>
      </c>
      <c r="AB2750" s="21">
        <f>-$B$1811</f>
        <v/>
      </c>
      <c r="AC2750" s="21">
        <f>$B$1812</f>
        <v/>
      </c>
      <c r="AD2750" s="21" t="n">
        <v>0</v>
      </c>
      <c r="AE2750" s="21" t="n">
        <v>0</v>
      </c>
      <c r="AF2750" s="21" t="n">
        <v>0</v>
      </c>
      <c r="AG2750" s="21" t="n">
        <v>0</v>
      </c>
      <c r="AH2750" s="21" t="n">
        <v>0</v>
      </c>
      <c r="AI2750" s="21" t="n">
        <v>0</v>
      </c>
      <c r="AJ2750" s="21" t="n">
        <v>0</v>
      </c>
      <c r="AK2750" s="21" t="n">
        <v>0</v>
      </c>
      <c r="AL2750" s="21" t="n">
        <v>0</v>
      </c>
      <c r="AM2750" s="21" t="n">
        <v>0</v>
      </c>
      <c r="AN2750" s="21" t="n">
        <v>0</v>
      </c>
      <c r="AO2750" s="21" t="n">
        <v>0</v>
      </c>
      <c r="AP2750" s="21" t="n">
        <v>0</v>
      </c>
      <c r="AQ2750" s="21" t="n">
        <v>0</v>
      </c>
      <c r="AR2750" s="21" t="n">
        <v>0</v>
      </c>
      <c r="AS2750" s="21" t="n">
        <v>0</v>
      </c>
      <c r="AT2750" s="19" t="n"/>
    </row>
    <row r="2751">
      <c r="D2751" s="21" t="n">
        <v>0</v>
      </c>
      <c r="E2751" s="21" t="n">
        <v>0</v>
      </c>
      <c r="F2751" s="21" t="n">
        <v>0</v>
      </c>
      <c r="G2751" s="21" t="n">
        <v>0</v>
      </c>
      <c r="H2751" s="21" t="n">
        <v>0</v>
      </c>
      <c r="I2751" s="21" t="n">
        <v>0</v>
      </c>
      <c r="J2751" s="21" t="n">
        <v>0</v>
      </c>
      <c r="K2751" s="21" t="n">
        <v>0</v>
      </c>
      <c r="L2751" s="21" t="n">
        <v>0</v>
      </c>
      <c r="M2751" s="21" t="n">
        <v>0</v>
      </c>
      <c r="N2751" s="21" t="n">
        <v>0</v>
      </c>
      <c r="O2751" s="21" t="n">
        <v>0</v>
      </c>
      <c r="P2751" s="21" t="n">
        <v>0</v>
      </c>
      <c r="Q2751" s="21" t="n">
        <v>0</v>
      </c>
      <c r="R2751" s="21" t="n">
        <v>0</v>
      </c>
      <c r="S2751" s="21" t="n">
        <v>0</v>
      </c>
      <c r="T2751" s="21" t="n">
        <v>0</v>
      </c>
      <c r="U2751" s="21" t="n">
        <v>0</v>
      </c>
      <c r="V2751" s="21" t="n">
        <v>0</v>
      </c>
      <c r="W2751" s="21" t="n">
        <v>0</v>
      </c>
      <c r="X2751" s="21">
        <f>$B$1812</f>
        <v/>
      </c>
      <c r="Y2751" s="21">
        <f>$B$1814</f>
        <v/>
      </c>
      <c r="Z2751" s="21">
        <f>0</f>
        <v/>
      </c>
      <c r="AA2751" s="21">
        <f>2*$B$1813</f>
        <v/>
      </c>
      <c r="AB2751" s="21">
        <f>-$B$1812</f>
        <v/>
      </c>
      <c r="AC2751" s="21">
        <f>$B$1814</f>
        <v/>
      </c>
      <c r="AD2751" s="21" t="n">
        <v>0</v>
      </c>
      <c r="AE2751" s="21" t="n">
        <v>0</v>
      </c>
      <c r="AF2751" s="21" t="n">
        <v>0</v>
      </c>
      <c r="AG2751" s="21" t="n">
        <v>0</v>
      </c>
      <c r="AH2751" s="21" t="n">
        <v>0</v>
      </c>
      <c r="AI2751" s="21" t="n">
        <v>0</v>
      </c>
      <c r="AJ2751" s="21" t="n">
        <v>0</v>
      </c>
      <c r="AK2751" s="21" t="n">
        <v>0</v>
      </c>
      <c r="AL2751" s="21" t="n">
        <v>0</v>
      </c>
      <c r="AM2751" s="21" t="n">
        <v>0</v>
      </c>
      <c r="AN2751" s="21" t="n">
        <v>0</v>
      </c>
      <c r="AO2751" s="21" t="n">
        <v>0</v>
      </c>
      <c r="AP2751" s="21" t="n">
        <v>0</v>
      </c>
      <c r="AQ2751" s="21" t="n">
        <v>0</v>
      </c>
      <c r="AR2751" s="21" t="n">
        <v>0</v>
      </c>
      <c r="AS2751" s="21" t="n">
        <v>0</v>
      </c>
      <c r="AT2751" s="19" t="n"/>
    </row>
    <row r="2752">
      <c r="D2752" s="21" t="n">
        <v>0</v>
      </c>
      <c r="E2752" s="21" t="n">
        <v>0</v>
      </c>
      <c r="F2752" s="21" t="n">
        <v>0</v>
      </c>
      <c r="G2752" s="21" t="n">
        <v>0</v>
      </c>
      <c r="H2752" s="21" t="n">
        <v>0</v>
      </c>
      <c r="I2752" s="21" t="n">
        <v>0</v>
      </c>
      <c r="J2752" s="21" t="n">
        <v>0</v>
      </c>
      <c r="K2752" s="21" t="n">
        <v>0</v>
      </c>
      <c r="L2752" s="21" t="n">
        <v>0</v>
      </c>
      <c r="M2752" s="21" t="n">
        <v>0</v>
      </c>
      <c r="N2752" s="21" t="n">
        <v>0</v>
      </c>
      <c r="O2752" s="21" t="n">
        <v>0</v>
      </c>
      <c r="P2752" s="21" t="n">
        <v>0</v>
      </c>
      <c r="Q2752" s="21" t="n">
        <v>0</v>
      </c>
      <c r="R2752" s="21" t="n">
        <v>0</v>
      </c>
      <c r="S2752" s="21" t="n">
        <v>0</v>
      </c>
      <c r="T2752" s="21" t="n">
        <v>0</v>
      </c>
      <c r="U2752" s="21" t="n">
        <v>0</v>
      </c>
      <c r="V2752" s="21" t="n">
        <v>0</v>
      </c>
      <c r="W2752" s="21" t="n">
        <v>0</v>
      </c>
      <c r="X2752" s="21" t="n">
        <v>0</v>
      </c>
      <c r="Y2752" s="21" t="n">
        <v>0</v>
      </c>
      <c r="Z2752" s="21">
        <f>-$B$1811</f>
        <v/>
      </c>
      <c r="AA2752" s="21">
        <f>-$B$1812</f>
        <v/>
      </c>
      <c r="AB2752" s="21">
        <f>2*$B$1811+$D$2718</f>
        <v/>
      </c>
      <c r="AC2752" s="21">
        <f>0</f>
        <v/>
      </c>
      <c r="AD2752" s="21">
        <f>-$B$1811</f>
        <v/>
      </c>
      <c r="AE2752" s="21">
        <f>$B$1812</f>
        <v/>
      </c>
      <c r="AF2752" s="21" t="n">
        <v>0</v>
      </c>
      <c r="AG2752" s="21" t="n">
        <v>0</v>
      </c>
      <c r="AH2752" s="21" t="n">
        <v>0</v>
      </c>
      <c r="AI2752" s="21" t="n">
        <v>0</v>
      </c>
      <c r="AJ2752" s="21" t="n">
        <v>0</v>
      </c>
      <c r="AK2752" s="21" t="n">
        <v>0</v>
      </c>
      <c r="AL2752" s="21" t="n">
        <v>0</v>
      </c>
      <c r="AM2752" s="21" t="n">
        <v>0</v>
      </c>
      <c r="AN2752" s="21" t="n">
        <v>0</v>
      </c>
      <c r="AO2752" s="21" t="n">
        <v>0</v>
      </c>
      <c r="AP2752" s="21" t="n">
        <v>0</v>
      </c>
      <c r="AQ2752" s="21" t="n">
        <v>0</v>
      </c>
      <c r="AR2752" s="21" t="n">
        <v>0</v>
      </c>
      <c r="AS2752" s="21" t="n">
        <v>0</v>
      </c>
      <c r="AT2752" s="19" t="n"/>
    </row>
    <row r="2753">
      <c r="D2753" s="21" t="n">
        <v>0</v>
      </c>
      <c r="E2753" s="21" t="n">
        <v>0</v>
      </c>
      <c r="F2753" s="21" t="n">
        <v>0</v>
      </c>
      <c r="G2753" s="21" t="n">
        <v>0</v>
      </c>
      <c r="H2753" s="21" t="n">
        <v>0</v>
      </c>
      <c r="I2753" s="21" t="n">
        <v>0</v>
      </c>
      <c r="J2753" s="21" t="n">
        <v>0</v>
      </c>
      <c r="K2753" s="21" t="n">
        <v>0</v>
      </c>
      <c r="L2753" s="21" t="n">
        <v>0</v>
      </c>
      <c r="M2753" s="21" t="n">
        <v>0</v>
      </c>
      <c r="N2753" s="21" t="n">
        <v>0</v>
      </c>
      <c r="O2753" s="21" t="n">
        <v>0</v>
      </c>
      <c r="P2753" s="21" t="n">
        <v>0</v>
      </c>
      <c r="Q2753" s="21" t="n">
        <v>0</v>
      </c>
      <c r="R2753" s="21" t="n">
        <v>0</v>
      </c>
      <c r="S2753" s="21" t="n">
        <v>0</v>
      </c>
      <c r="T2753" s="21" t="n">
        <v>0</v>
      </c>
      <c r="U2753" s="21" t="n">
        <v>0</v>
      </c>
      <c r="V2753" s="21" t="n">
        <v>0</v>
      </c>
      <c r="W2753" s="21" t="n">
        <v>0</v>
      </c>
      <c r="X2753" s="21" t="n">
        <v>0</v>
      </c>
      <c r="Y2753" s="21" t="n">
        <v>0</v>
      </c>
      <c r="Z2753" s="21">
        <f>$B$1812</f>
        <v/>
      </c>
      <c r="AA2753" s="21">
        <f>$B$1814</f>
        <v/>
      </c>
      <c r="AB2753" s="21">
        <f>0</f>
        <v/>
      </c>
      <c r="AC2753" s="21">
        <f>2*$B$1813</f>
        <v/>
      </c>
      <c r="AD2753" s="21">
        <f>-$B$1812</f>
        <v/>
      </c>
      <c r="AE2753" s="21">
        <f>$B$1814</f>
        <v/>
      </c>
      <c r="AF2753" s="21" t="n">
        <v>0</v>
      </c>
      <c r="AG2753" s="21" t="n">
        <v>0</v>
      </c>
      <c r="AH2753" s="21" t="n">
        <v>0</v>
      </c>
      <c r="AI2753" s="21" t="n">
        <v>0</v>
      </c>
      <c r="AJ2753" s="21" t="n">
        <v>0</v>
      </c>
      <c r="AK2753" s="21" t="n">
        <v>0</v>
      </c>
      <c r="AL2753" s="21" t="n">
        <v>0</v>
      </c>
      <c r="AM2753" s="21" t="n">
        <v>0</v>
      </c>
      <c r="AN2753" s="21" t="n">
        <v>0</v>
      </c>
      <c r="AO2753" s="21" t="n">
        <v>0</v>
      </c>
      <c r="AP2753" s="21" t="n">
        <v>0</v>
      </c>
      <c r="AQ2753" s="21" t="n">
        <v>0</v>
      </c>
      <c r="AR2753" s="21" t="n">
        <v>0</v>
      </c>
      <c r="AS2753" s="21" t="n">
        <v>0</v>
      </c>
      <c r="AT2753" s="19" t="n"/>
    </row>
    <row r="2754">
      <c r="D2754" s="21" t="n">
        <v>0</v>
      </c>
      <c r="E2754" s="21" t="n">
        <v>0</v>
      </c>
      <c r="F2754" s="21" t="n">
        <v>0</v>
      </c>
      <c r="G2754" s="21" t="n">
        <v>0</v>
      </c>
      <c r="H2754" s="21" t="n">
        <v>0</v>
      </c>
      <c r="I2754" s="21" t="n">
        <v>0</v>
      </c>
      <c r="J2754" s="21" t="n">
        <v>0</v>
      </c>
      <c r="K2754" s="21" t="n">
        <v>0</v>
      </c>
      <c r="L2754" s="21" t="n">
        <v>0</v>
      </c>
      <c r="M2754" s="21" t="n">
        <v>0</v>
      </c>
      <c r="N2754" s="21" t="n">
        <v>0</v>
      </c>
      <c r="O2754" s="21" t="n">
        <v>0</v>
      </c>
      <c r="P2754" s="21" t="n">
        <v>0</v>
      </c>
      <c r="Q2754" s="21" t="n">
        <v>0</v>
      </c>
      <c r="R2754" s="21" t="n">
        <v>0</v>
      </c>
      <c r="S2754" s="21" t="n">
        <v>0</v>
      </c>
      <c r="T2754" s="21" t="n">
        <v>0</v>
      </c>
      <c r="U2754" s="21" t="n">
        <v>0</v>
      </c>
      <c r="V2754" s="21" t="n">
        <v>0</v>
      </c>
      <c r="W2754" s="21" t="n">
        <v>0</v>
      </c>
      <c r="X2754" s="21" t="n">
        <v>0</v>
      </c>
      <c r="Y2754" s="21" t="n">
        <v>0</v>
      </c>
      <c r="Z2754" s="21" t="n">
        <v>0</v>
      </c>
      <c r="AA2754" s="21" t="n">
        <v>0</v>
      </c>
      <c r="AB2754" s="21">
        <f>-$B$1811</f>
        <v/>
      </c>
      <c r="AC2754" s="21">
        <f>-$B$1812</f>
        <v/>
      </c>
      <c r="AD2754" s="21">
        <f>2*$B$1811+$D$2719</f>
        <v/>
      </c>
      <c r="AE2754" s="21">
        <f>0</f>
        <v/>
      </c>
      <c r="AF2754" s="21">
        <f>-$B$1811</f>
        <v/>
      </c>
      <c r="AG2754" s="21">
        <f>$B$1812</f>
        <v/>
      </c>
      <c r="AH2754" s="21" t="n">
        <v>0</v>
      </c>
      <c r="AI2754" s="21" t="n">
        <v>0</v>
      </c>
      <c r="AJ2754" s="21" t="n">
        <v>0</v>
      </c>
      <c r="AK2754" s="21" t="n">
        <v>0</v>
      </c>
      <c r="AL2754" s="21" t="n">
        <v>0</v>
      </c>
      <c r="AM2754" s="21" t="n">
        <v>0</v>
      </c>
      <c r="AN2754" s="21" t="n">
        <v>0</v>
      </c>
      <c r="AO2754" s="21" t="n">
        <v>0</v>
      </c>
      <c r="AP2754" s="21" t="n">
        <v>0</v>
      </c>
      <c r="AQ2754" s="21" t="n">
        <v>0</v>
      </c>
      <c r="AR2754" s="21" t="n">
        <v>0</v>
      </c>
      <c r="AS2754" s="21" t="n">
        <v>0</v>
      </c>
      <c r="AT2754" s="19" t="n"/>
    </row>
    <row r="2755">
      <c r="D2755" s="21" t="n">
        <v>0</v>
      </c>
      <c r="E2755" s="21" t="n">
        <v>0</v>
      </c>
      <c r="F2755" s="21" t="n">
        <v>0</v>
      </c>
      <c r="G2755" s="21" t="n">
        <v>0</v>
      </c>
      <c r="H2755" s="21" t="n">
        <v>0</v>
      </c>
      <c r="I2755" s="21" t="n">
        <v>0</v>
      </c>
      <c r="J2755" s="21" t="n">
        <v>0</v>
      </c>
      <c r="K2755" s="21" t="n">
        <v>0</v>
      </c>
      <c r="L2755" s="21" t="n">
        <v>0</v>
      </c>
      <c r="M2755" s="21" t="n">
        <v>0</v>
      </c>
      <c r="N2755" s="21" t="n">
        <v>0</v>
      </c>
      <c r="O2755" s="21" t="n">
        <v>0</v>
      </c>
      <c r="P2755" s="21" t="n">
        <v>0</v>
      </c>
      <c r="Q2755" s="21" t="n">
        <v>0</v>
      </c>
      <c r="R2755" s="21" t="n">
        <v>0</v>
      </c>
      <c r="S2755" s="21" t="n">
        <v>0</v>
      </c>
      <c r="T2755" s="21" t="n">
        <v>0</v>
      </c>
      <c r="U2755" s="21" t="n">
        <v>0</v>
      </c>
      <c r="V2755" s="21" t="n">
        <v>0</v>
      </c>
      <c r="W2755" s="21" t="n">
        <v>0</v>
      </c>
      <c r="X2755" s="21" t="n">
        <v>0</v>
      </c>
      <c r="Y2755" s="21" t="n">
        <v>0</v>
      </c>
      <c r="Z2755" s="21" t="n">
        <v>0</v>
      </c>
      <c r="AA2755" s="21" t="n">
        <v>0</v>
      </c>
      <c r="AB2755" s="21">
        <f>$B$1812</f>
        <v/>
      </c>
      <c r="AC2755" s="21">
        <f>$B$1814</f>
        <v/>
      </c>
      <c r="AD2755" s="21">
        <f>0</f>
        <v/>
      </c>
      <c r="AE2755" s="21">
        <f>2*$B$1813</f>
        <v/>
      </c>
      <c r="AF2755" s="21">
        <f>-$B$1812</f>
        <v/>
      </c>
      <c r="AG2755" s="21">
        <f>$B$1814</f>
        <v/>
      </c>
      <c r="AH2755" s="21" t="n">
        <v>0</v>
      </c>
      <c r="AI2755" s="21" t="n">
        <v>0</v>
      </c>
      <c r="AJ2755" s="21" t="n">
        <v>0</v>
      </c>
      <c r="AK2755" s="21" t="n">
        <v>0</v>
      </c>
      <c r="AL2755" s="21" t="n">
        <v>0</v>
      </c>
      <c r="AM2755" s="21" t="n">
        <v>0</v>
      </c>
      <c r="AN2755" s="21" t="n">
        <v>0</v>
      </c>
      <c r="AO2755" s="21" t="n">
        <v>0</v>
      </c>
      <c r="AP2755" s="21" t="n">
        <v>0</v>
      </c>
      <c r="AQ2755" s="21" t="n">
        <v>0</v>
      </c>
      <c r="AR2755" s="21" t="n">
        <v>0</v>
      </c>
      <c r="AS2755" s="21" t="n">
        <v>0</v>
      </c>
      <c r="AT2755" s="19" t="n"/>
    </row>
    <row r="2756">
      <c r="D2756" s="21" t="n">
        <v>0</v>
      </c>
      <c r="E2756" s="21" t="n">
        <v>0</v>
      </c>
      <c r="F2756" s="21" t="n">
        <v>0</v>
      </c>
      <c r="G2756" s="21" t="n">
        <v>0</v>
      </c>
      <c r="H2756" s="21" t="n">
        <v>0</v>
      </c>
      <c r="I2756" s="21" t="n">
        <v>0</v>
      </c>
      <c r="J2756" s="21" t="n">
        <v>0</v>
      </c>
      <c r="K2756" s="21" t="n">
        <v>0</v>
      </c>
      <c r="L2756" s="21" t="n">
        <v>0</v>
      </c>
      <c r="M2756" s="21" t="n">
        <v>0</v>
      </c>
      <c r="N2756" s="21" t="n">
        <v>0</v>
      </c>
      <c r="O2756" s="21" t="n">
        <v>0</v>
      </c>
      <c r="P2756" s="21" t="n">
        <v>0</v>
      </c>
      <c r="Q2756" s="21" t="n">
        <v>0</v>
      </c>
      <c r="R2756" s="21" t="n">
        <v>0</v>
      </c>
      <c r="S2756" s="21" t="n">
        <v>0</v>
      </c>
      <c r="T2756" s="21" t="n">
        <v>0</v>
      </c>
      <c r="U2756" s="21" t="n">
        <v>0</v>
      </c>
      <c r="V2756" s="21" t="n">
        <v>0</v>
      </c>
      <c r="W2756" s="21" t="n">
        <v>0</v>
      </c>
      <c r="X2756" s="21" t="n">
        <v>0</v>
      </c>
      <c r="Y2756" s="21" t="n">
        <v>0</v>
      </c>
      <c r="Z2756" s="21" t="n">
        <v>0</v>
      </c>
      <c r="AA2756" s="21" t="n">
        <v>0</v>
      </c>
      <c r="AB2756" s="21" t="n">
        <v>0</v>
      </c>
      <c r="AC2756" s="21" t="n">
        <v>0</v>
      </c>
      <c r="AD2756" s="21">
        <f>-$B$1811</f>
        <v/>
      </c>
      <c r="AE2756" s="21">
        <f>-$B$1812</f>
        <v/>
      </c>
      <c r="AF2756" s="21">
        <f>2*$B$1811+$D$2720</f>
        <v/>
      </c>
      <c r="AG2756" s="21">
        <f>0</f>
        <v/>
      </c>
      <c r="AH2756" s="21">
        <f>-$B$1811</f>
        <v/>
      </c>
      <c r="AI2756" s="21">
        <f>$B$1812</f>
        <v/>
      </c>
      <c r="AJ2756" s="21" t="n">
        <v>0</v>
      </c>
      <c r="AK2756" s="21" t="n">
        <v>0</v>
      </c>
      <c r="AL2756" s="21" t="n">
        <v>0</v>
      </c>
      <c r="AM2756" s="21" t="n">
        <v>0</v>
      </c>
      <c r="AN2756" s="21" t="n">
        <v>0</v>
      </c>
      <c r="AO2756" s="21" t="n">
        <v>0</v>
      </c>
      <c r="AP2756" s="21" t="n">
        <v>0</v>
      </c>
      <c r="AQ2756" s="21" t="n">
        <v>0</v>
      </c>
      <c r="AR2756" s="21" t="n">
        <v>0</v>
      </c>
      <c r="AS2756" s="21" t="n">
        <v>0</v>
      </c>
      <c r="AT2756" s="19" t="n"/>
    </row>
    <row r="2757">
      <c r="D2757" s="21" t="n">
        <v>0</v>
      </c>
      <c r="E2757" s="21" t="n">
        <v>0</v>
      </c>
      <c r="F2757" s="21" t="n">
        <v>0</v>
      </c>
      <c r="G2757" s="21" t="n">
        <v>0</v>
      </c>
      <c r="H2757" s="21" t="n">
        <v>0</v>
      </c>
      <c r="I2757" s="21" t="n">
        <v>0</v>
      </c>
      <c r="J2757" s="21" t="n">
        <v>0</v>
      </c>
      <c r="K2757" s="21" t="n">
        <v>0</v>
      </c>
      <c r="L2757" s="21" t="n">
        <v>0</v>
      </c>
      <c r="M2757" s="21" t="n">
        <v>0</v>
      </c>
      <c r="N2757" s="21" t="n">
        <v>0</v>
      </c>
      <c r="O2757" s="21" t="n">
        <v>0</v>
      </c>
      <c r="P2757" s="21" t="n">
        <v>0</v>
      </c>
      <c r="Q2757" s="21" t="n">
        <v>0</v>
      </c>
      <c r="R2757" s="21" t="n">
        <v>0</v>
      </c>
      <c r="S2757" s="21" t="n">
        <v>0</v>
      </c>
      <c r="T2757" s="21" t="n">
        <v>0</v>
      </c>
      <c r="U2757" s="21" t="n">
        <v>0</v>
      </c>
      <c r="V2757" s="21" t="n">
        <v>0</v>
      </c>
      <c r="W2757" s="21" t="n">
        <v>0</v>
      </c>
      <c r="X2757" s="21" t="n">
        <v>0</v>
      </c>
      <c r="Y2757" s="21" t="n">
        <v>0</v>
      </c>
      <c r="Z2757" s="21" t="n">
        <v>0</v>
      </c>
      <c r="AA2757" s="21" t="n">
        <v>0</v>
      </c>
      <c r="AB2757" s="21" t="n">
        <v>0</v>
      </c>
      <c r="AC2757" s="21" t="n">
        <v>0</v>
      </c>
      <c r="AD2757" s="21">
        <f>$B$1812</f>
        <v/>
      </c>
      <c r="AE2757" s="21">
        <f>$B$1814</f>
        <v/>
      </c>
      <c r="AF2757" s="21">
        <f>0</f>
        <v/>
      </c>
      <c r="AG2757" s="21">
        <f>2*$B$1813</f>
        <v/>
      </c>
      <c r="AH2757" s="21">
        <f>-$B$1812</f>
        <v/>
      </c>
      <c r="AI2757" s="21">
        <f>$B$1814</f>
        <v/>
      </c>
      <c r="AJ2757" s="21" t="n">
        <v>0</v>
      </c>
      <c r="AK2757" s="21" t="n">
        <v>0</v>
      </c>
      <c r="AL2757" s="21" t="n">
        <v>0</v>
      </c>
      <c r="AM2757" s="21" t="n">
        <v>0</v>
      </c>
      <c r="AN2757" s="21" t="n">
        <v>0</v>
      </c>
      <c r="AO2757" s="21" t="n">
        <v>0</v>
      </c>
      <c r="AP2757" s="21" t="n">
        <v>0</v>
      </c>
      <c r="AQ2757" s="21" t="n">
        <v>0</v>
      </c>
      <c r="AR2757" s="21" t="n">
        <v>0</v>
      </c>
      <c r="AS2757" s="21" t="n">
        <v>0</v>
      </c>
      <c r="AT2757" s="19" t="n"/>
    </row>
    <row r="2758">
      <c r="D2758" s="21" t="n">
        <v>0</v>
      </c>
      <c r="E2758" s="21" t="n">
        <v>0</v>
      </c>
      <c r="F2758" s="21" t="n">
        <v>0</v>
      </c>
      <c r="G2758" s="21" t="n">
        <v>0</v>
      </c>
      <c r="H2758" s="21" t="n">
        <v>0</v>
      </c>
      <c r="I2758" s="21" t="n">
        <v>0</v>
      </c>
      <c r="J2758" s="21" t="n">
        <v>0</v>
      </c>
      <c r="K2758" s="21" t="n">
        <v>0</v>
      </c>
      <c r="L2758" s="21" t="n">
        <v>0</v>
      </c>
      <c r="M2758" s="21" t="n">
        <v>0</v>
      </c>
      <c r="N2758" s="21" t="n">
        <v>0</v>
      </c>
      <c r="O2758" s="21" t="n">
        <v>0</v>
      </c>
      <c r="P2758" s="21" t="n">
        <v>0</v>
      </c>
      <c r="Q2758" s="21" t="n">
        <v>0</v>
      </c>
      <c r="R2758" s="21" t="n">
        <v>0</v>
      </c>
      <c r="S2758" s="21" t="n">
        <v>0</v>
      </c>
      <c r="T2758" s="21" t="n">
        <v>0</v>
      </c>
      <c r="U2758" s="21" t="n">
        <v>0</v>
      </c>
      <c r="V2758" s="21" t="n">
        <v>0</v>
      </c>
      <c r="W2758" s="21" t="n">
        <v>0</v>
      </c>
      <c r="X2758" s="21" t="n">
        <v>0</v>
      </c>
      <c r="Y2758" s="21" t="n">
        <v>0</v>
      </c>
      <c r="Z2758" s="21" t="n">
        <v>0</v>
      </c>
      <c r="AA2758" s="21" t="n">
        <v>0</v>
      </c>
      <c r="AB2758" s="21" t="n">
        <v>0</v>
      </c>
      <c r="AC2758" s="21" t="n">
        <v>0</v>
      </c>
      <c r="AD2758" s="21" t="n">
        <v>0</v>
      </c>
      <c r="AE2758" s="21" t="n">
        <v>0</v>
      </c>
      <c r="AF2758" s="21">
        <f>-$B$1811</f>
        <v/>
      </c>
      <c r="AG2758" s="21">
        <f>-$B$1812</f>
        <v/>
      </c>
      <c r="AH2758" s="21">
        <f>2*$B$1811+$D$2721</f>
        <v/>
      </c>
      <c r="AI2758" s="21">
        <f>0</f>
        <v/>
      </c>
      <c r="AJ2758" s="21">
        <f>-$B$1811</f>
        <v/>
      </c>
      <c r="AK2758" s="21">
        <f>$B$1812</f>
        <v/>
      </c>
      <c r="AL2758" s="21" t="n">
        <v>0</v>
      </c>
      <c r="AM2758" s="21" t="n">
        <v>0</v>
      </c>
      <c r="AN2758" s="21" t="n">
        <v>0</v>
      </c>
      <c r="AO2758" s="21" t="n">
        <v>0</v>
      </c>
      <c r="AP2758" s="21" t="n">
        <v>0</v>
      </c>
      <c r="AQ2758" s="21" t="n">
        <v>0</v>
      </c>
      <c r="AR2758" s="21" t="n">
        <v>0</v>
      </c>
      <c r="AS2758" s="21" t="n">
        <v>0</v>
      </c>
      <c r="AT2758" s="19" t="n"/>
    </row>
    <row r="2759">
      <c r="D2759" s="21" t="n">
        <v>0</v>
      </c>
      <c r="E2759" s="21" t="n">
        <v>0</v>
      </c>
      <c r="F2759" s="21" t="n">
        <v>0</v>
      </c>
      <c r="G2759" s="21" t="n">
        <v>0</v>
      </c>
      <c r="H2759" s="21" t="n">
        <v>0</v>
      </c>
      <c r="I2759" s="21" t="n">
        <v>0</v>
      </c>
      <c r="J2759" s="21" t="n">
        <v>0</v>
      </c>
      <c r="K2759" s="21" t="n">
        <v>0</v>
      </c>
      <c r="L2759" s="21" t="n">
        <v>0</v>
      </c>
      <c r="M2759" s="21" t="n">
        <v>0</v>
      </c>
      <c r="N2759" s="21" t="n">
        <v>0</v>
      </c>
      <c r="O2759" s="21" t="n">
        <v>0</v>
      </c>
      <c r="P2759" s="21" t="n">
        <v>0</v>
      </c>
      <c r="Q2759" s="21" t="n">
        <v>0</v>
      </c>
      <c r="R2759" s="21" t="n">
        <v>0</v>
      </c>
      <c r="S2759" s="21" t="n">
        <v>0</v>
      </c>
      <c r="T2759" s="21" t="n">
        <v>0</v>
      </c>
      <c r="U2759" s="21" t="n">
        <v>0</v>
      </c>
      <c r="V2759" s="21" t="n">
        <v>0</v>
      </c>
      <c r="W2759" s="21" t="n">
        <v>0</v>
      </c>
      <c r="X2759" s="21" t="n">
        <v>0</v>
      </c>
      <c r="Y2759" s="21" t="n">
        <v>0</v>
      </c>
      <c r="Z2759" s="21" t="n">
        <v>0</v>
      </c>
      <c r="AA2759" s="21" t="n">
        <v>0</v>
      </c>
      <c r="AB2759" s="21" t="n">
        <v>0</v>
      </c>
      <c r="AC2759" s="21" t="n">
        <v>0</v>
      </c>
      <c r="AD2759" s="21" t="n">
        <v>0</v>
      </c>
      <c r="AE2759" s="21" t="n">
        <v>0</v>
      </c>
      <c r="AF2759" s="21">
        <f>$B$1812</f>
        <v/>
      </c>
      <c r="AG2759" s="21">
        <f>$B$1814</f>
        <v/>
      </c>
      <c r="AH2759" s="21">
        <f>0</f>
        <v/>
      </c>
      <c r="AI2759" s="21">
        <f>2*$B$1813</f>
        <v/>
      </c>
      <c r="AJ2759" s="21">
        <f>-$B$1812</f>
        <v/>
      </c>
      <c r="AK2759" s="21">
        <f>$B$1814</f>
        <v/>
      </c>
      <c r="AL2759" s="21" t="n">
        <v>0</v>
      </c>
      <c r="AM2759" s="21" t="n">
        <v>0</v>
      </c>
      <c r="AN2759" s="21" t="n">
        <v>0</v>
      </c>
      <c r="AO2759" s="21" t="n">
        <v>0</v>
      </c>
      <c r="AP2759" s="21" t="n">
        <v>0</v>
      </c>
      <c r="AQ2759" s="21" t="n">
        <v>0</v>
      </c>
      <c r="AR2759" s="21" t="n">
        <v>0</v>
      </c>
      <c r="AS2759" s="21" t="n">
        <v>0</v>
      </c>
      <c r="AT2759" s="19" t="n"/>
    </row>
    <row r="2760">
      <c r="D2760" s="21" t="n">
        <v>0</v>
      </c>
      <c r="E2760" s="21" t="n">
        <v>0</v>
      </c>
      <c r="F2760" s="21" t="n">
        <v>0</v>
      </c>
      <c r="G2760" s="21" t="n">
        <v>0</v>
      </c>
      <c r="H2760" s="21" t="n">
        <v>0</v>
      </c>
      <c r="I2760" s="21" t="n">
        <v>0</v>
      </c>
      <c r="J2760" s="21" t="n">
        <v>0</v>
      </c>
      <c r="K2760" s="21" t="n">
        <v>0</v>
      </c>
      <c r="L2760" s="21" t="n">
        <v>0</v>
      </c>
      <c r="M2760" s="21" t="n">
        <v>0</v>
      </c>
      <c r="N2760" s="21" t="n">
        <v>0</v>
      </c>
      <c r="O2760" s="21" t="n">
        <v>0</v>
      </c>
      <c r="P2760" s="21" t="n">
        <v>0</v>
      </c>
      <c r="Q2760" s="21" t="n">
        <v>0</v>
      </c>
      <c r="R2760" s="21" t="n">
        <v>0</v>
      </c>
      <c r="S2760" s="21" t="n">
        <v>0</v>
      </c>
      <c r="T2760" s="21" t="n">
        <v>0</v>
      </c>
      <c r="U2760" s="21" t="n">
        <v>0</v>
      </c>
      <c r="V2760" s="21" t="n">
        <v>0</v>
      </c>
      <c r="W2760" s="21" t="n">
        <v>0</v>
      </c>
      <c r="X2760" s="21" t="n">
        <v>0</v>
      </c>
      <c r="Y2760" s="21" t="n">
        <v>0</v>
      </c>
      <c r="Z2760" s="21" t="n">
        <v>0</v>
      </c>
      <c r="AA2760" s="21" t="n">
        <v>0</v>
      </c>
      <c r="AB2760" s="21" t="n">
        <v>0</v>
      </c>
      <c r="AC2760" s="21" t="n">
        <v>0</v>
      </c>
      <c r="AD2760" s="21" t="n">
        <v>0</v>
      </c>
      <c r="AE2760" s="21" t="n">
        <v>0</v>
      </c>
      <c r="AF2760" s="21" t="n">
        <v>0</v>
      </c>
      <c r="AG2760" s="21" t="n">
        <v>0</v>
      </c>
      <c r="AH2760" s="21">
        <f>-$B$1811</f>
        <v/>
      </c>
      <c r="AI2760" s="21">
        <f>-$B$1812</f>
        <v/>
      </c>
      <c r="AJ2760" s="21">
        <f>2*$B$1811+$D$2722</f>
        <v/>
      </c>
      <c r="AK2760" s="21">
        <f>0</f>
        <v/>
      </c>
      <c r="AL2760" s="21">
        <f>-$B$1811</f>
        <v/>
      </c>
      <c r="AM2760" s="21">
        <f>$B$1812</f>
        <v/>
      </c>
      <c r="AN2760" s="21" t="n">
        <v>0</v>
      </c>
      <c r="AO2760" s="21" t="n">
        <v>0</v>
      </c>
      <c r="AP2760" s="21" t="n">
        <v>0</v>
      </c>
      <c r="AQ2760" s="21" t="n">
        <v>0</v>
      </c>
      <c r="AR2760" s="21" t="n">
        <v>0</v>
      </c>
      <c r="AS2760" s="21" t="n">
        <v>0</v>
      </c>
      <c r="AT2760" s="19" t="n"/>
    </row>
    <row r="2761">
      <c r="D2761" s="21" t="n">
        <v>0</v>
      </c>
      <c r="E2761" s="21" t="n">
        <v>0</v>
      </c>
      <c r="F2761" s="21" t="n">
        <v>0</v>
      </c>
      <c r="G2761" s="21" t="n">
        <v>0</v>
      </c>
      <c r="H2761" s="21" t="n">
        <v>0</v>
      </c>
      <c r="I2761" s="21" t="n">
        <v>0</v>
      </c>
      <c r="J2761" s="21" t="n">
        <v>0</v>
      </c>
      <c r="K2761" s="21" t="n">
        <v>0</v>
      </c>
      <c r="L2761" s="21" t="n">
        <v>0</v>
      </c>
      <c r="M2761" s="21" t="n">
        <v>0</v>
      </c>
      <c r="N2761" s="21" t="n">
        <v>0</v>
      </c>
      <c r="O2761" s="21" t="n">
        <v>0</v>
      </c>
      <c r="P2761" s="21" t="n">
        <v>0</v>
      </c>
      <c r="Q2761" s="21" t="n">
        <v>0</v>
      </c>
      <c r="R2761" s="21" t="n">
        <v>0</v>
      </c>
      <c r="S2761" s="21" t="n">
        <v>0</v>
      </c>
      <c r="T2761" s="21" t="n">
        <v>0</v>
      </c>
      <c r="U2761" s="21" t="n">
        <v>0</v>
      </c>
      <c r="V2761" s="21" t="n">
        <v>0</v>
      </c>
      <c r="W2761" s="21" t="n">
        <v>0</v>
      </c>
      <c r="X2761" s="21" t="n">
        <v>0</v>
      </c>
      <c r="Y2761" s="21" t="n">
        <v>0</v>
      </c>
      <c r="Z2761" s="21" t="n">
        <v>0</v>
      </c>
      <c r="AA2761" s="21" t="n">
        <v>0</v>
      </c>
      <c r="AB2761" s="21" t="n">
        <v>0</v>
      </c>
      <c r="AC2761" s="21" t="n">
        <v>0</v>
      </c>
      <c r="AD2761" s="21" t="n">
        <v>0</v>
      </c>
      <c r="AE2761" s="21" t="n">
        <v>0</v>
      </c>
      <c r="AF2761" s="21" t="n">
        <v>0</v>
      </c>
      <c r="AG2761" s="21" t="n">
        <v>0</v>
      </c>
      <c r="AH2761" s="21">
        <f>$B$1812</f>
        <v/>
      </c>
      <c r="AI2761" s="21">
        <f>$B$1814</f>
        <v/>
      </c>
      <c r="AJ2761" s="21">
        <f>0</f>
        <v/>
      </c>
      <c r="AK2761" s="21">
        <f>2*$B$1813</f>
        <v/>
      </c>
      <c r="AL2761" s="21">
        <f>-$B$1812</f>
        <v/>
      </c>
      <c r="AM2761" s="21">
        <f>$B$1814</f>
        <v/>
      </c>
      <c r="AN2761" s="21" t="n">
        <v>0</v>
      </c>
      <c r="AO2761" s="21" t="n">
        <v>0</v>
      </c>
      <c r="AP2761" s="21" t="n">
        <v>0</v>
      </c>
      <c r="AQ2761" s="21" t="n">
        <v>0</v>
      </c>
      <c r="AR2761" s="21" t="n">
        <v>0</v>
      </c>
      <c r="AS2761" s="21" t="n">
        <v>0</v>
      </c>
      <c r="AT2761" s="19" t="n"/>
    </row>
    <row r="2762">
      <c r="D2762" s="21" t="n">
        <v>0</v>
      </c>
      <c r="E2762" s="21" t="n">
        <v>0</v>
      </c>
      <c r="F2762" s="21" t="n">
        <v>0</v>
      </c>
      <c r="G2762" s="21" t="n">
        <v>0</v>
      </c>
      <c r="H2762" s="21" t="n">
        <v>0</v>
      </c>
      <c r="I2762" s="21" t="n">
        <v>0</v>
      </c>
      <c r="J2762" s="21" t="n">
        <v>0</v>
      </c>
      <c r="K2762" s="21" t="n">
        <v>0</v>
      </c>
      <c r="L2762" s="21" t="n">
        <v>0</v>
      </c>
      <c r="M2762" s="21" t="n">
        <v>0</v>
      </c>
      <c r="N2762" s="21" t="n">
        <v>0</v>
      </c>
      <c r="O2762" s="21" t="n">
        <v>0</v>
      </c>
      <c r="P2762" s="21" t="n">
        <v>0</v>
      </c>
      <c r="Q2762" s="21" t="n">
        <v>0</v>
      </c>
      <c r="R2762" s="21" t="n">
        <v>0</v>
      </c>
      <c r="S2762" s="21" t="n">
        <v>0</v>
      </c>
      <c r="T2762" s="21" t="n">
        <v>0</v>
      </c>
      <c r="U2762" s="21" t="n">
        <v>0</v>
      </c>
      <c r="V2762" s="21" t="n">
        <v>0</v>
      </c>
      <c r="W2762" s="21" t="n">
        <v>0</v>
      </c>
      <c r="X2762" s="21" t="n">
        <v>0</v>
      </c>
      <c r="Y2762" s="21" t="n">
        <v>0</v>
      </c>
      <c r="Z2762" s="21" t="n">
        <v>0</v>
      </c>
      <c r="AA2762" s="21" t="n">
        <v>0</v>
      </c>
      <c r="AB2762" s="21" t="n">
        <v>0</v>
      </c>
      <c r="AC2762" s="21" t="n">
        <v>0</v>
      </c>
      <c r="AD2762" s="21" t="n">
        <v>0</v>
      </c>
      <c r="AE2762" s="21" t="n">
        <v>0</v>
      </c>
      <c r="AF2762" s="21" t="n">
        <v>0</v>
      </c>
      <c r="AG2762" s="21" t="n">
        <v>0</v>
      </c>
      <c r="AH2762" s="21" t="n">
        <v>0</v>
      </c>
      <c r="AI2762" s="21" t="n">
        <v>0</v>
      </c>
      <c r="AJ2762" s="21">
        <f>-$B$1811</f>
        <v/>
      </c>
      <c r="AK2762" s="21">
        <f>-$B$1812</f>
        <v/>
      </c>
      <c r="AL2762" s="21">
        <f>2*$B$1811+$D$2723</f>
        <v/>
      </c>
      <c r="AM2762" s="21">
        <f>0</f>
        <v/>
      </c>
      <c r="AN2762" s="21">
        <f>-$B$1811</f>
        <v/>
      </c>
      <c r="AO2762" s="21">
        <f>$B$1812</f>
        <v/>
      </c>
      <c r="AP2762" s="21" t="n">
        <v>0</v>
      </c>
      <c r="AQ2762" s="21" t="n">
        <v>0</v>
      </c>
      <c r="AR2762" s="21" t="n">
        <v>0</v>
      </c>
      <c r="AS2762" s="21" t="n">
        <v>0</v>
      </c>
      <c r="AT2762" s="19" t="n"/>
    </row>
    <row r="2763">
      <c r="D2763" s="21" t="n">
        <v>0</v>
      </c>
      <c r="E2763" s="21" t="n">
        <v>0</v>
      </c>
      <c r="F2763" s="21" t="n">
        <v>0</v>
      </c>
      <c r="G2763" s="21" t="n">
        <v>0</v>
      </c>
      <c r="H2763" s="21" t="n">
        <v>0</v>
      </c>
      <c r="I2763" s="21" t="n">
        <v>0</v>
      </c>
      <c r="J2763" s="21" t="n">
        <v>0</v>
      </c>
      <c r="K2763" s="21" t="n">
        <v>0</v>
      </c>
      <c r="L2763" s="21" t="n">
        <v>0</v>
      </c>
      <c r="M2763" s="21" t="n">
        <v>0</v>
      </c>
      <c r="N2763" s="21" t="n">
        <v>0</v>
      </c>
      <c r="O2763" s="21" t="n">
        <v>0</v>
      </c>
      <c r="P2763" s="21" t="n">
        <v>0</v>
      </c>
      <c r="Q2763" s="21" t="n">
        <v>0</v>
      </c>
      <c r="R2763" s="21" t="n">
        <v>0</v>
      </c>
      <c r="S2763" s="21" t="n">
        <v>0</v>
      </c>
      <c r="T2763" s="21" t="n">
        <v>0</v>
      </c>
      <c r="U2763" s="21" t="n">
        <v>0</v>
      </c>
      <c r="V2763" s="21" t="n">
        <v>0</v>
      </c>
      <c r="W2763" s="21" t="n">
        <v>0</v>
      </c>
      <c r="X2763" s="21" t="n">
        <v>0</v>
      </c>
      <c r="Y2763" s="21" t="n">
        <v>0</v>
      </c>
      <c r="Z2763" s="21" t="n">
        <v>0</v>
      </c>
      <c r="AA2763" s="21" t="n">
        <v>0</v>
      </c>
      <c r="AB2763" s="21" t="n">
        <v>0</v>
      </c>
      <c r="AC2763" s="21" t="n">
        <v>0</v>
      </c>
      <c r="AD2763" s="21" t="n">
        <v>0</v>
      </c>
      <c r="AE2763" s="21" t="n">
        <v>0</v>
      </c>
      <c r="AF2763" s="21" t="n">
        <v>0</v>
      </c>
      <c r="AG2763" s="21" t="n">
        <v>0</v>
      </c>
      <c r="AH2763" s="21" t="n">
        <v>0</v>
      </c>
      <c r="AI2763" s="21" t="n">
        <v>0</v>
      </c>
      <c r="AJ2763" s="21">
        <f>$B$1812</f>
        <v/>
      </c>
      <c r="AK2763" s="21">
        <f>$B$1814</f>
        <v/>
      </c>
      <c r="AL2763" s="21">
        <f>0</f>
        <v/>
      </c>
      <c r="AM2763" s="21">
        <f>2*$B$1813</f>
        <v/>
      </c>
      <c r="AN2763" s="21">
        <f>-$B$1812</f>
        <v/>
      </c>
      <c r="AO2763" s="21">
        <f>$B$1814</f>
        <v/>
      </c>
      <c r="AP2763" s="21" t="n">
        <v>0</v>
      </c>
      <c r="AQ2763" s="21" t="n">
        <v>0</v>
      </c>
      <c r="AR2763" s="21" t="n">
        <v>0</v>
      </c>
      <c r="AS2763" s="21" t="n">
        <v>0</v>
      </c>
      <c r="AT2763" s="19" t="n"/>
    </row>
    <row r="2764">
      <c r="D2764" s="21" t="n">
        <v>0</v>
      </c>
      <c r="E2764" s="21" t="n">
        <v>0</v>
      </c>
      <c r="F2764" s="21" t="n">
        <v>0</v>
      </c>
      <c r="G2764" s="21" t="n">
        <v>0</v>
      </c>
      <c r="H2764" s="21" t="n">
        <v>0</v>
      </c>
      <c r="I2764" s="21" t="n">
        <v>0</v>
      </c>
      <c r="J2764" s="21" t="n">
        <v>0</v>
      </c>
      <c r="K2764" s="21" t="n">
        <v>0</v>
      </c>
      <c r="L2764" s="21" t="n">
        <v>0</v>
      </c>
      <c r="M2764" s="21" t="n">
        <v>0</v>
      </c>
      <c r="N2764" s="21" t="n">
        <v>0</v>
      </c>
      <c r="O2764" s="21" t="n">
        <v>0</v>
      </c>
      <c r="P2764" s="21" t="n">
        <v>0</v>
      </c>
      <c r="Q2764" s="21" t="n">
        <v>0</v>
      </c>
      <c r="R2764" s="21" t="n">
        <v>0</v>
      </c>
      <c r="S2764" s="21" t="n">
        <v>0</v>
      </c>
      <c r="T2764" s="21" t="n">
        <v>0</v>
      </c>
      <c r="U2764" s="21" t="n">
        <v>0</v>
      </c>
      <c r="V2764" s="21" t="n">
        <v>0</v>
      </c>
      <c r="W2764" s="21" t="n">
        <v>0</v>
      </c>
      <c r="X2764" s="21" t="n">
        <v>0</v>
      </c>
      <c r="Y2764" s="21" t="n">
        <v>0</v>
      </c>
      <c r="Z2764" s="21" t="n">
        <v>0</v>
      </c>
      <c r="AA2764" s="21" t="n">
        <v>0</v>
      </c>
      <c r="AB2764" s="21" t="n">
        <v>0</v>
      </c>
      <c r="AC2764" s="21" t="n">
        <v>0</v>
      </c>
      <c r="AD2764" s="21" t="n">
        <v>0</v>
      </c>
      <c r="AE2764" s="21" t="n">
        <v>0</v>
      </c>
      <c r="AF2764" s="21" t="n">
        <v>0</v>
      </c>
      <c r="AG2764" s="21" t="n">
        <v>0</v>
      </c>
      <c r="AH2764" s="21" t="n">
        <v>0</v>
      </c>
      <c r="AI2764" s="21" t="n">
        <v>0</v>
      </c>
      <c r="AJ2764" s="21" t="n">
        <v>0</v>
      </c>
      <c r="AK2764" s="21" t="n">
        <v>0</v>
      </c>
      <c r="AL2764" s="21">
        <f>-$B$1811</f>
        <v/>
      </c>
      <c r="AM2764" s="21">
        <f>-$B$1812</f>
        <v/>
      </c>
      <c r="AN2764" s="21">
        <f>2*$B$1811+$D$2724</f>
        <v/>
      </c>
      <c r="AO2764" s="21">
        <f>0</f>
        <v/>
      </c>
      <c r="AP2764" s="21">
        <f>-$B$1811</f>
        <v/>
      </c>
      <c r="AQ2764" s="21">
        <f>$B$1812</f>
        <v/>
      </c>
      <c r="AR2764" s="21" t="n">
        <v>0</v>
      </c>
      <c r="AS2764" s="21" t="n">
        <v>0</v>
      </c>
      <c r="AT2764" s="19" t="n"/>
    </row>
    <row r="2765">
      <c r="D2765" s="21" t="n">
        <v>0</v>
      </c>
      <c r="E2765" s="21" t="n">
        <v>0</v>
      </c>
      <c r="F2765" s="21" t="n">
        <v>0</v>
      </c>
      <c r="G2765" s="21" t="n">
        <v>0</v>
      </c>
      <c r="H2765" s="21" t="n">
        <v>0</v>
      </c>
      <c r="I2765" s="21" t="n">
        <v>0</v>
      </c>
      <c r="J2765" s="21" t="n">
        <v>0</v>
      </c>
      <c r="K2765" s="21" t="n">
        <v>0</v>
      </c>
      <c r="L2765" s="21" t="n">
        <v>0</v>
      </c>
      <c r="M2765" s="21" t="n">
        <v>0</v>
      </c>
      <c r="N2765" s="21" t="n">
        <v>0</v>
      </c>
      <c r="O2765" s="21" t="n">
        <v>0</v>
      </c>
      <c r="P2765" s="21" t="n">
        <v>0</v>
      </c>
      <c r="Q2765" s="21" t="n">
        <v>0</v>
      </c>
      <c r="R2765" s="21" t="n">
        <v>0</v>
      </c>
      <c r="S2765" s="21" t="n">
        <v>0</v>
      </c>
      <c r="T2765" s="21" t="n">
        <v>0</v>
      </c>
      <c r="U2765" s="21" t="n">
        <v>0</v>
      </c>
      <c r="V2765" s="21" t="n">
        <v>0</v>
      </c>
      <c r="W2765" s="21" t="n">
        <v>0</v>
      </c>
      <c r="X2765" s="21" t="n">
        <v>0</v>
      </c>
      <c r="Y2765" s="21" t="n">
        <v>0</v>
      </c>
      <c r="Z2765" s="21" t="n">
        <v>0</v>
      </c>
      <c r="AA2765" s="21" t="n">
        <v>0</v>
      </c>
      <c r="AB2765" s="21" t="n">
        <v>0</v>
      </c>
      <c r="AC2765" s="21" t="n">
        <v>0</v>
      </c>
      <c r="AD2765" s="21" t="n">
        <v>0</v>
      </c>
      <c r="AE2765" s="21" t="n">
        <v>0</v>
      </c>
      <c r="AF2765" s="21" t="n">
        <v>0</v>
      </c>
      <c r="AG2765" s="21" t="n">
        <v>0</v>
      </c>
      <c r="AH2765" s="21" t="n">
        <v>0</v>
      </c>
      <c r="AI2765" s="21" t="n">
        <v>0</v>
      </c>
      <c r="AJ2765" s="21" t="n">
        <v>0</v>
      </c>
      <c r="AK2765" s="21" t="n">
        <v>0</v>
      </c>
      <c r="AL2765" s="21">
        <f>$B$1812</f>
        <v/>
      </c>
      <c r="AM2765" s="21">
        <f>$B$1814</f>
        <v/>
      </c>
      <c r="AN2765" s="21">
        <f>0</f>
        <v/>
      </c>
      <c r="AO2765" s="21">
        <f>2*$B$1813</f>
        <v/>
      </c>
      <c r="AP2765" s="21">
        <f>-$B$1812</f>
        <v/>
      </c>
      <c r="AQ2765" s="21">
        <f>$B$1814</f>
        <v/>
      </c>
      <c r="AR2765" s="21" t="n">
        <v>0</v>
      </c>
      <c r="AS2765" s="21" t="n">
        <v>0</v>
      </c>
      <c r="AT2765" s="19" t="n"/>
    </row>
    <row r="2766">
      <c r="D2766" s="21" t="n">
        <v>0</v>
      </c>
      <c r="E2766" s="21" t="n">
        <v>0</v>
      </c>
      <c r="F2766" s="21" t="n">
        <v>0</v>
      </c>
      <c r="G2766" s="21" t="n">
        <v>0</v>
      </c>
      <c r="H2766" s="21" t="n">
        <v>0</v>
      </c>
      <c r="I2766" s="21" t="n">
        <v>0</v>
      </c>
      <c r="J2766" s="21" t="n">
        <v>0</v>
      </c>
      <c r="K2766" s="21" t="n">
        <v>0</v>
      </c>
      <c r="L2766" s="21" t="n">
        <v>0</v>
      </c>
      <c r="M2766" s="21" t="n">
        <v>0</v>
      </c>
      <c r="N2766" s="21" t="n">
        <v>0</v>
      </c>
      <c r="O2766" s="21" t="n">
        <v>0</v>
      </c>
      <c r="P2766" s="21" t="n">
        <v>0</v>
      </c>
      <c r="Q2766" s="21" t="n">
        <v>0</v>
      </c>
      <c r="R2766" s="21" t="n">
        <v>0</v>
      </c>
      <c r="S2766" s="21" t="n">
        <v>0</v>
      </c>
      <c r="T2766" s="21" t="n">
        <v>0</v>
      </c>
      <c r="U2766" s="21" t="n">
        <v>0</v>
      </c>
      <c r="V2766" s="21" t="n">
        <v>0</v>
      </c>
      <c r="W2766" s="21" t="n">
        <v>0</v>
      </c>
      <c r="X2766" s="21" t="n">
        <v>0</v>
      </c>
      <c r="Y2766" s="21" t="n">
        <v>0</v>
      </c>
      <c r="Z2766" s="21" t="n">
        <v>0</v>
      </c>
      <c r="AA2766" s="21" t="n">
        <v>0</v>
      </c>
      <c r="AB2766" s="21" t="n">
        <v>0</v>
      </c>
      <c r="AC2766" s="21" t="n">
        <v>0</v>
      </c>
      <c r="AD2766" s="21" t="n">
        <v>0</v>
      </c>
      <c r="AE2766" s="21" t="n">
        <v>0</v>
      </c>
      <c r="AF2766" s="21" t="n">
        <v>0</v>
      </c>
      <c r="AG2766" s="21" t="n">
        <v>0</v>
      </c>
      <c r="AH2766" s="21" t="n">
        <v>0</v>
      </c>
      <c r="AI2766" s="21" t="n">
        <v>0</v>
      </c>
      <c r="AJ2766" s="21" t="n">
        <v>0</v>
      </c>
      <c r="AK2766" s="21" t="n">
        <v>0</v>
      </c>
      <c r="AL2766" s="21" t="n">
        <v>0</v>
      </c>
      <c r="AM2766" s="21" t="n">
        <v>0</v>
      </c>
      <c r="AN2766" s="21">
        <f>-$B$1811</f>
        <v/>
      </c>
      <c r="AO2766" s="21">
        <f>-$B$1812</f>
        <v/>
      </c>
      <c r="AP2766" s="21">
        <f>2*$B$1811+$D$2725</f>
        <v/>
      </c>
      <c r="AQ2766" s="21">
        <f>0</f>
        <v/>
      </c>
      <c r="AR2766" s="21">
        <f>-$B$1811</f>
        <v/>
      </c>
      <c r="AS2766" s="21">
        <f>$B$1812</f>
        <v/>
      </c>
      <c r="AT2766" s="19" t="n"/>
    </row>
    <row r="2767">
      <c r="D2767" s="21" t="n">
        <v>0</v>
      </c>
      <c r="E2767" s="21" t="n">
        <v>0</v>
      </c>
      <c r="F2767" s="21" t="n">
        <v>0</v>
      </c>
      <c r="G2767" s="21" t="n">
        <v>0</v>
      </c>
      <c r="H2767" s="21" t="n">
        <v>0</v>
      </c>
      <c r="I2767" s="21" t="n">
        <v>0</v>
      </c>
      <c r="J2767" s="21" t="n">
        <v>0</v>
      </c>
      <c r="K2767" s="21" t="n">
        <v>0</v>
      </c>
      <c r="L2767" s="21" t="n">
        <v>0</v>
      </c>
      <c r="M2767" s="21" t="n">
        <v>0</v>
      </c>
      <c r="N2767" s="21" t="n">
        <v>0</v>
      </c>
      <c r="O2767" s="21" t="n">
        <v>0</v>
      </c>
      <c r="P2767" s="21" t="n">
        <v>0</v>
      </c>
      <c r="Q2767" s="21" t="n">
        <v>0</v>
      </c>
      <c r="R2767" s="21" t="n">
        <v>0</v>
      </c>
      <c r="S2767" s="21" t="n">
        <v>0</v>
      </c>
      <c r="T2767" s="21" t="n">
        <v>0</v>
      </c>
      <c r="U2767" s="21" t="n">
        <v>0</v>
      </c>
      <c r="V2767" s="21" t="n">
        <v>0</v>
      </c>
      <c r="W2767" s="21" t="n">
        <v>0</v>
      </c>
      <c r="X2767" s="21" t="n">
        <v>0</v>
      </c>
      <c r="Y2767" s="21" t="n">
        <v>0</v>
      </c>
      <c r="Z2767" s="21" t="n">
        <v>0</v>
      </c>
      <c r="AA2767" s="21" t="n">
        <v>0</v>
      </c>
      <c r="AB2767" s="21" t="n">
        <v>0</v>
      </c>
      <c r="AC2767" s="21" t="n">
        <v>0</v>
      </c>
      <c r="AD2767" s="21" t="n">
        <v>0</v>
      </c>
      <c r="AE2767" s="21" t="n">
        <v>0</v>
      </c>
      <c r="AF2767" s="21" t="n">
        <v>0</v>
      </c>
      <c r="AG2767" s="21" t="n">
        <v>0</v>
      </c>
      <c r="AH2767" s="21" t="n">
        <v>0</v>
      </c>
      <c r="AI2767" s="21" t="n">
        <v>0</v>
      </c>
      <c r="AJ2767" s="21" t="n">
        <v>0</v>
      </c>
      <c r="AK2767" s="21" t="n">
        <v>0</v>
      </c>
      <c r="AL2767" s="21" t="n">
        <v>0</v>
      </c>
      <c r="AM2767" s="21" t="n">
        <v>0</v>
      </c>
      <c r="AN2767" s="21">
        <f>$B$1812</f>
        <v/>
      </c>
      <c r="AO2767" s="21">
        <f>$B$1814</f>
        <v/>
      </c>
      <c r="AP2767" s="21">
        <f>0</f>
        <v/>
      </c>
      <c r="AQ2767" s="21">
        <f>2*$B$1813</f>
        <v/>
      </c>
      <c r="AR2767" s="21">
        <f>-$B$1812</f>
        <v/>
      </c>
      <c r="AS2767" s="21">
        <f>$B$1814</f>
        <v/>
      </c>
      <c r="AT2767" s="19" t="n"/>
    </row>
    <row r="2768">
      <c r="D2768" s="21" t="n">
        <v>0</v>
      </c>
      <c r="E2768" s="21" t="n">
        <v>0</v>
      </c>
      <c r="F2768" s="21" t="n">
        <v>0</v>
      </c>
      <c r="G2768" s="21" t="n">
        <v>0</v>
      </c>
      <c r="H2768" s="21" t="n">
        <v>0</v>
      </c>
      <c r="I2768" s="21" t="n">
        <v>0</v>
      </c>
      <c r="J2768" s="21" t="n">
        <v>0</v>
      </c>
      <c r="K2768" s="21" t="n">
        <v>0</v>
      </c>
      <c r="L2768" s="21" t="n">
        <v>0</v>
      </c>
      <c r="M2768" s="21" t="n">
        <v>0</v>
      </c>
      <c r="N2768" s="21" t="n">
        <v>0</v>
      </c>
      <c r="O2768" s="21" t="n">
        <v>0</v>
      </c>
      <c r="P2768" s="21" t="n">
        <v>0</v>
      </c>
      <c r="Q2768" s="21" t="n">
        <v>0</v>
      </c>
      <c r="R2768" s="21" t="n">
        <v>0</v>
      </c>
      <c r="S2768" s="21" t="n">
        <v>0</v>
      </c>
      <c r="T2768" s="21" t="n">
        <v>0</v>
      </c>
      <c r="U2768" s="21" t="n">
        <v>0</v>
      </c>
      <c r="V2768" s="21" t="n">
        <v>0</v>
      </c>
      <c r="W2768" s="21" t="n">
        <v>0</v>
      </c>
      <c r="X2768" s="21" t="n">
        <v>0</v>
      </c>
      <c r="Y2768" s="21" t="n">
        <v>0</v>
      </c>
      <c r="Z2768" s="21" t="n">
        <v>0</v>
      </c>
      <c r="AA2768" s="21" t="n">
        <v>0</v>
      </c>
      <c r="AB2768" s="21" t="n">
        <v>0</v>
      </c>
      <c r="AC2768" s="21" t="n">
        <v>0</v>
      </c>
      <c r="AD2768" s="21" t="n">
        <v>0</v>
      </c>
      <c r="AE2768" s="21" t="n">
        <v>0</v>
      </c>
      <c r="AF2768" s="21" t="n">
        <v>0</v>
      </c>
      <c r="AG2768" s="21" t="n">
        <v>0</v>
      </c>
      <c r="AH2768" s="21" t="n">
        <v>0</v>
      </c>
      <c r="AI2768" s="21" t="n">
        <v>0</v>
      </c>
      <c r="AJ2768" s="21" t="n">
        <v>0</v>
      </c>
      <c r="AK2768" s="21" t="n">
        <v>0</v>
      </c>
      <c r="AL2768" s="21" t="n">
        <v>0</v>
      </c>
      <c r="AM2768" s="21" t="n">
        <v>0</v>
      </c>
      <c r="AN2768" s="21" t="n">
        <v>0</v>
      </c>
      <c r="AO2768" s="21" t="n">
        <v>0</v>
      </c>
      <c r="AP2768" s="21">
        <f>-$B$1811</f>
        <v/>
      </c>
      <c r="AQ2768" s="21">
        <f>-$B$1812</f>
        <v/>
      </c>
      <c r="AR2768" s="21">
        <f>$B$1811+$D$2726</f>
        <v/>
      </c>
      <c r="AS2768" s="21">
        <f>-$B$1812</f>
        <v/>
      </c>
      <c r="AT2768" s="19" t="n"/>
    </row>
    <row r="2769">
      <c r="D2769" s="21" t="n">
        <v>0</v>
      </c>
      <c r="E2769" s="21" t="n">
        <v>0</v>
      </c>
      <c r="F2769" s="21" t="n">
        <v>0</v>
      </c>
      <c r="G2769" s="21" t="n">
        <v>0</v>
      </c>
      <c r="H2769" s="21" t="n">
        <v>0</v>
      </c>
      <c r="I2769" s="21" t="n">
        <v>0</v>
      </c>
      <c r="J2769" s="21" t="n">
        <v>0</v>
      </c>
      <c r="K2769" s="21" t="n">
        <v>0</v>
      </c>
      <c r="L2769" s="21" t="n">
        <v>0</v>
      </c>
      <c r="M2769" s="21" t="n">
        <v>0</v>
      </c>
      <c r="N2769" s="21" t="n">
        <v>0</v>
      </c>
      <c r="O2769" s="21" t="n">
        <v>0</v>
      </c>
      <c r="P2769" s="21" t="n">
        <v>0</v>
      </c>
      <c r="Q2769" s="21" t="n">
        <v>0</v>
      </c>
      <c r="R2769" s="21" t="n">
        <v>0</v>
      </c>
      <c r="S2769" s="21" t="n">
        <v>0</v>
      </c>
      <c r="T2769" s="21" t="n">
        <v>0</v>
      </c>
      <c r="U2769" s="21" t="n">
        <v>0</v>
      </c>
      <c r="V2769" s="21" t="n">
        <v>0</v>
      </c>
      <c r="W2769" s="21" t="n">
        <v>0</v>
      </c>
      <c r="X2769" s="21" t="n">
        <v>0</v>
      </c>
      <c r="Y2769" s="21" t="n">
        <v>0</v>
      </c>
      <c r="Z2769" s="21" t="n">
        <v>0</v>
      </c>
      <c r="AA2769" s="21" t="n">
        <v>0</v>
      </c>
      <c r="AB2769" s="21" t="n">
        <v>0</v>
      </c>
      <c r="AC2769" s="21" t="n">
        <v>0</v>
      </c>
      <c r="AD2769" s="21" t="n">
        <v>0</v>
      </c>
      <c r="AE2769" s="21" t="n">
        <v>0</v>
      </c>
      <c r="AF2769" s="21" t="n">
        <v>0</v>
      </c>
      <c r="AG2769" s="21" t="n">
        <v>0</v>
      </c>
      <c r="AH2769" s="21" t="n">
        <v>0</v>
      </c>
      <c r="AI2769" s="21" t="n">
        <v>0</v>
      </c>
      <c r="AJ2769" s="21" t="n">
        <v>0</v>
      </c>
      <c r="AK2769" s="21" t="n">
        <v>0</v>
      </c>
      <c r="AL2769" s="21" t="n">
        <v>0</v>
      </c>
      <c r="AM2769" s="21" t="n">
        <v>0</v>
      </c>
      <c r="AN2769" s="21" t="n">
        <v>0</v>
      </c>
      <c r="AO2769" s="21" t="n">
        <v>0</v>
      </c>
      <c r="AP2769" s="21">
        <f>$B$1812</f>
        <v/>
      </c>
      <c r="AQ2769" s="21">
        <f>$B$1814</f>
        <v/>
      </c>
      <c r="AR2769" s="21">
        <f>-$B$1812</f>
        <v/>
      </c>
      <c r="AS2769" s="21">
        <f>$B$1813</f>
        <v/>
      </c>
      <c r="AT2769" s="19" t="n"/>
    </row>
    <row r="2771">
      <c r="A2771" s="8" t="inlineStr">
        <is>
          <t>gen 14</t>
        </is>
      </c>
    </row>
    <row r="2772">
      <c r="D2772" s="19">
        <f>IF(ABS(IF(ABS($E$2706)&gt;0.000000001,$E$2706,0.000000001))=0,0,IF($E$1826&lt;=$B$1820,0,IF(ABS(IF(ABS($E$2706)&gt;0.000000001,$E$2706,0.000000001))&gt;=8*$B$1822,$H$1826,0.5*$H$1826*(ABS(IF(ABS($E$2706)&gt;0.000000001,$E$2706,0.000000001))/$B$1822)^(1/3)))/ABS(IF(ABS($E$2706)&gt;0.000000001,$E$2706,0.000000001))*$I$1826)</f>
        <v/>
      </c>
      <c r="E2772" s="19">
        <f>0.5*$E$2706+0.5*$AT$2794</f>
        <v/>
      </c>
      <c r="F2772" s="19">
        <f>$AT$2795</f>
        <v/>
      </c>
    </row>
    <row r="2773">
      <c r="D2773" s="19">
        <f>IF(ABS(IF(ABS($E$2707)&gt;0.000000001,$E$2707,0.000000001))=0,0,IF($E$1827&lt;=$B$1820,0,IF(ABS(IF(ABS($E$2707)&gt;0.000000001,$E$2707,0.000000001))&gt;=8*$B$1822,$H$1827,0.5*$H$1827*(ABS(IF(ABS($E$2707)&gt;0.000000001,$E$2707,0.000000001))/$B$1822)^(1/3)))/ABS(IF(ABS($E$2707)&gt;0.000000001,$E$2707,0.000000001))*$I$1827)</f>
        <v/>
      </c>
      <c r="E2773" s="19">
        <f>0.5*$E$2707+0.5*$AT$2796</f>
        <v/>
      </c>
      <c r="F2773" s="19">
        <f>$AT$2797</f>
        <v/>
      </c>
    </row>
    <row r="2774">
      <c r="D2774" s="19">
        <f>IF(ABS(IF(ABS($E$2708)&gt;0.000000001,$E$2708,0.000000001))=0,0,IF($E$1828&lt;=$B$1820,0,IF(ABS(IF(ABS($E$2708)&gt;0.000000001,$E$2708,0.000000001))&gt;=8*$B$1822,$H$1828,0.5*$H$1828*(ABS(IF(ABS($E$2708)&gt;0.000000001,$E$2708,0.000000001))/$B$1822)^(1/3)))/ABS(IF(ABS($E$2708)&gt;0.000000001,$E$2708,0.000000001))*$I$1828)</f>
        <v/>
      </c>
      <c r="E2774" s="19">
        <f>0.5*$E$2708+0.5*$AT$2798</f>
        <v/>
      </c>
      <c r="F2774" s="19">
        <f>$AT$2799</f>
        <v/>
      </c>
    </row>
    <row r="2775">
      <c r="D2775" s="19">
        <f>IF(ABS(IF(ABS($E$2709)&gt;0.000000001,$E$2709,0.000000001))=0,0,IF($E$1829&lt;=$B$1820,0,IF(ABS(IF(ABS($E$2709)&gt;0.000000001,$E$2709,0.000000001))&gt;=8*$B$1822,$H$1829,0.5*$H$1829*(ABS(IF(ABS($E$2709)&gt;0.000000001,$E$2709,0.000000001))/$B$1822)^(1/3)))/ABS(IF(ABS($E$2709)&gt;0.000000001,$E$2709,0.000000001))*$I$1829)</f>
        <v/>
      </c>
      <c r="E2775" s="19">
        <f>0.5*$E$2709+0.5*$AT$2800</f>
        <v/>
      </c>
      <c r="F2775" s="19">
        <f>$AT$2801</f>
        <v/>
      </c>
    </row>
    <row r="2776">
      <c r="D2776" s="19">
        <f>IF(ABS(IF(ABS($E$2710)&gt;0.000000001,$E$2710,0.000000001))=0,0,IF($E$1830&lt;=$B$1820,0,IF(ABS(IF(ABS($E$2710)&gt;0.000000001,$E$2710,0.000000001))&gt;=8*$B$1822,$H$1830,0.5*$H$1830*(ABS(IF(ABS($E$2710)&gt;0.000000001,$E$2710,0.000000001))/$B$1822)^(1/3)))/ABS(IF(ABS($E$2710)&gt;0.000000001,$E$2710,0.000000001))*$I$1830)</f>
        <v/>
      </c>
      <c r="E2776" s="19">
        <f>0.5*$E$2710+0.5*$AT$2802</f>
        <v/>
      </c>
      <c r="F2776" s="19">
        <f>$AT$2803</f>
        <v/>
      </c>
    </row>
    <row r="2777">
      <c r="D2777" s="19">
        <f>IF(ABS(IF(ABS($E$2711)&gt;0.000000001,$E$2711,0.000000001))=0,0,IF($E$1831&lt;=$B$1820,0,IF(ABS(IF(ABS($E$2711)&gt;0.000000001,$E$2711,0.000000001))&gt;=8*$B$1822,$H$1831,0.5*$H$1831*(ABS(IF(ABS($E$2711)&gt;0.000000001,$E$2711,0.000000001))/$B$1822)^(1/3)))/ABS(IF(ABS($E$2711)&gt;0.000000001,$E$2711,0.000000001))*$I$1831)</f>
        <v/>
      </c>
      <c r="E2777" s="19">
        <f>0.5*$E$2711+0.5*$AT$2804</f>
        <v/>
      </c>
      <c r="F2777" s="19">
        <f>$AT$2805</f>
        <v/>
      </c>
    </row>
    <row r="2778">
      <c r="D2778" s="19">
        <f>IF(ABS(IF(ABS($E$2712)&gt;0.000000001,$E$2712,0.000000001))=0,0,IF($E$1832&lt;=$B$1820,0,IF(ABS(IF(ABS($E$2712)&gt;0.000000001,$E$2712,0.000000001))&gt;=8*$B$1822,$H$1832,0.5*$H$1832*(ABS(IF(ABS($E$2712)&gt;0.000000001,$E$2712,0.000000001))/$B$1822)^(1/3)))/ABS(IF(ABS($E$2712)&gt;0.000000001,$E$2712,0.000000001))*$I$1832)</f>
        <v/>
      </c>
      <c r="E2778" s="19">
        <f>0.5*$E$2712+0.5*$AT$2806</f>
        <v/>
      </c>
      <c r="F2778" s="19">
        <f>$AT$2807</f>
        <v/>
      </c>
    </row>
    <row r="2779">
      <c r="D2779" s="19">
        <f>IF(ABS(IF(ABS($E$2713)&gt;0.000000001,$E$2713,0.000000001))=0,0,IF($E$1833&lt;=$B$1820,0,IF(ABS(IF(ABS($E$2713)&gt;0.000000001,$E$2713,0.000000001))&gt;=8*$B$1822,$H$1833,0.5*$H$1833*(ABS(IF(ABS($E$2713)&gt;0.000000001,$E$2713,0.000000001))/$B$1822)^(1/3)))/ABS(IF(ABS($E$2713)&gt;0.000000001,$E$2713,0.000000001))*$I$1833)</f>
        <v/>
      </c>
      <c r="E2779" s="19">
        <f>0.5*$E$2713+0.5*$AT$2808</f>
        <v/>
      </c>
      <c r="F2779" s="19">
        <f>$AT$2809</f>
        <v/>
      </c>
    </row>
    <row r="2780">
      <c r="D2780" s="19">
        <f>IF(ABS(IF(ABS($E$2714)&gt;0.000000001,$E$2714,0.000000001))=0,0,IF($E$1834&lt;=$B$1820,0,IF(ABS(IF(ABS($E$2714)&gt;0.000000001,$E$2714,0.000000001))&gt;=8*$B$1822,$H$1834,0.5*$H$1834*(ABS(IF(ABS($E$2714)&gt;0.000000001,$E$2714,0.000000001))/$B$1822)^(1/3)))/ABS(IF(ABS($E$2714)&gt;0.000000001,$E$2714,0.000000001))*$I$1834)</f>
        <v/>
      </c>
      <c r="E2780" s="19">
        <f>0.5*$E$2714+0.5*$AT$2810</f>
        <v/>
      </c>
      <c r="F2780" s="19">
        <f>$AT$2811</f>
        <v/>
      </c>
    </row>
    <row r="2781">
      <c r="D2781" s="19">
        <f>IF(ABS(IF(ABS($E$2715)&gt;0.000000001,$E$2715,0.000000001))=0,0,IF($E$1835&lt;=$B$1820,0,IF(ABS(IF(ABS($E$2715)&gt;0.000000001,$E$2715,0.000000001))&gt;=8*$B$1822,$H$1835,0.5*$H$1835*(ABS(IF(ABS($E$2715)&gt;0.000000001,$E$2715,0.000000001))/$B$1822)^(1/3)))/ABS(IF(ABS($E$2715)&gt;0.000000001,$E$2715,0.000000001))*$I$1835)</f>
        <v/>
      </c>
      <c r="E2781" s="19">
        <f>0.5*$E$2715+0.5*$AT$2812</f>
        <v/>
      </c>
      <c r="F2781" s="19">
        <f>$AT$2813</f>
        <v/>
      </c>
    </row>
    <row r="2782">
      <c r="D2782" s="19">
        <f>IF(ABS(IF(ABS($E$2716)&gt;0.000000001,$E$2716,0.000000001))=0,0,IF($E$1836&lt;=$B$1820,0,IF(ABS(IF(ABS($E$2716)&gt;0.000000001,$E$2716,0.000000001))&gt;=8*$B$1822,$H$1836,0.5*$H$1836*(ABS(IF(ABS($E$2716)&gt;0.000000001,$E$2716,0.000000001))/$B$1822)^(1/3)))/ABS(IF(ABS($E$2716)&gt;0.000000001,$E$2716,0.000000001))*$I$1836)</f>
        <v/>
      </c>
      <c r="E2782" s="19">
        <f>0.5*$E$2716+0.5*$AT$2814</f>
        <v/>
      </c>
      <c r="F2782" s="19">
        <f>$AT$2815</f>
        <v/>
      </c>
    </row>
    <row r="2783">
      <c r="D2783" s="19">
        <f>IF(ABS(IF(ABS($E$2717)&gt;0.000000001,$E$2717,0.000000001))=0,0,IF($E$1837&lt;=$B$1820,0,IF(ABS(IF(ABS($E$2717)&gt;0.000000001,$E$2717,0.000000001))&gt;=8*$B$1822,$H$1837,0.5*$H$1837*(ABS(IF(ABS($E$2717)&gt;0.000000001,$E$2717,0.000000001))/$B$1822)^(1/3)))/ABS(IF(ABS($E$2717)&gt;0.000000001,$E$2717,0.000000001))*$I$1837)</f>
        <v/>
      </c>
      <c r="E2783" s="19">
        <f>0.5*$E$2717+0.5*$AT$2816</f>
        <v/>
      </c>
      <c r="F2783" s="19">
        <f>$AT$2817</f>
        <v/>
      </c>
    </row>
    <row r="2784">
      <c r="D2784" s="19">
        <f>IF(ABS(IF(ABS($E$2718)&gt;0.000000001,$E$2718,0.000000001))=0,0,IF($E$1838&lt;=$B$1820,0,IF(ABS(IF(ABS($E$2718)&gt;0.000000001,$E$2718,0.000000001))&gt;=8*$B$1822,$H$1838,0.5*$H$1838*(ABS(IF(ABS($E$2718)&gt;0.000000001,$E$2718,0.000000001))/$B$1822)^(1/3)))/ABS(IF(ABS($E$2718)&gt;0.000000001,$E$2718,0.000000001))*$I$1838)</f>
        <v/>
      </c>
      <c r="E2784" s="19">
        <f>0.5*$E$2718+0.5*$AT$2818</f>
        <v/>
      </c>
      <c r="F2784" s="19">
        <f>$AT$2819</f>
        <v/>
      </c>
    </row>
    <row r="2785">
      <c r="D2785" s="19">
        <f>IF(ABS(IF(ABS($E$2719)&gt;0.000000001,$E$2719,0.000000001))=0,0,IF($E$1839&lt;=$B$1820,0,IF(ABS(IF(ABS($E$2719)&gt;0.000000001,$E$2719,0.000000001))&gt;=8*$B$1822,$H$1839,0.5*$H$1839*(ABS(IF(ABS($E$2719)&gt;0.000000001,$E$2719,0.000000001))/$B$1822)^(1/3)))/ABS(IF(ABS($E$2719)&gt;0.000000001,$E$2719,0.000000001))*$I$1839)</f>
        <v/>
      </c>
      <c r="E2785" s="19">
        <f>0.5*$E$2719+0.5*$AT$2820</f>
        <v/>
      </c>
      <c r="F2785" s="19">
        <f>$AT$2821</f>
        <v/>
      </c>
    </row>
    <row r="2786">
      <c r="D2786" s="19">
        <f>IF(ABS(IF(ABS($E$2720)&gt;0.000000001,$E$2720,0.000000001))=0,0,IF($E$1840&lt;=$B$1820,0,IF(ABS(IF(ABS($E$2720)&gt;0.000000001,$E$2720,0.000000001))&gt;=8*$B$1822,$H$1840,0.5*$H$1840*(ABS(IF(ABS($E$2720)&gt;0.000000001,$E$2720,0.000000001))/$B$1822)^(1/3)))/ABS(IF(ABS($E$2720)&gt;0.000000001,$E$2720,0.000000001))*$I$1840)</f>
        <v/>
      </c>
      <c r="E2786" s="19">
        <f>0.5*$E$2720+0.5*$AT$2822</f>
        <v/>
      </c>
      <c r="F2786" s="19">
        <f>$AT$2823</f>
        <v/>
      </c>
    </row>
    <row r="2787">
      <c r="D2787" s="19">
        <f>IF(ABS(IF(ABS($E$2721)&gt;0.000000001,$E$2721,0.000000001))=0,0,IF($E$1841&lt;=$B$1820,0,IF(ABS(IF(ABS($E$2721)&gt;0.000000001,$E$2721,0.000000001))&gt;=8*$B$1822,$H$1841,0.5*$H$1841*(ABS(IF(ABS($E$2721)&gt;0.000000001,$E$2721,0.000000001))/$B$1822)^(1/3)))/ABS(IF(ABS($E$2721)&gt;0.000000001,$E$2721,0.000000001))*$I$1841)</f>
        <v/>
      </c>
      <c r="E2787" s="19">
        <f>0.5*$E$2721+0.5*$AT$2824</f>
        <v/>
      </c>
      <c r="F2787" s="19">
        <f>$AT$2825</f>
        <v/>
      </c>
    </row>
    <row r="2788">
      <c r="D2788" s="19">
        <f>IF(ABS(IF(ABS($E$2722)&gt;0.000000001,$E$2722,0.000000001))=0,0,IF($E$1842&lt;=$B$1820,0,IF(ABS(IF(ABS($E$2722)&gt;0.000000001,$E$2722,0.000000001))&gt;=8*$B$1822,$H$1842,0.5*$H$1842*(ABS(IF(ABS($E$2722)&gt;0.000000001,$E$2722,0.000000001))/$B$1822)^(1/3)))/ABS(IF(ABS($E$2722)&gt;0.000000001,$E$2722,0.000000001))*$I$1842)</f>
        <v/>
      </c>
      <c r="E2788" s="19">
        <f>0.5*$E$2722+0.5*$AT$2826</f>
        <v/>
      </c>
      <c r="F2788" s="19">
        <f>$AT$2827</f>
        <v/>
      </c>
    </row>
    <row r="2789">
      <c r="D2789" s="19">
        <f>IF(ABS(IF(ABS($E$2723)&gt;0.000000001,$E$2723,0.000000001))=0,0,IF($E$1843&lt;=$B$1820,0,IF(ABS(IF(ABS($E$2723)&gt;0.000000001,$E$2723,0.000000001))&gt;=8*$B$1822,$H$1843,0.5*$H$1843*(ABS(IF(ABS($E$2723)&gt;0.000000001,$E$2723,0.000000001))/$B$1822)^(1/3)))/ABS(IF(ABS($E$2723)&gt;0.000000001,$E$2723,0.000000001))*$I$1843)</f>
        <v/>
      </c>
      <c r="E2789" s="19">
        <f>0.5*$E$2723+0.5*$AT$2828</f>
        <v/>
      </c>
      <c r="F2789" s="19">
        <f>$AT$2829</f>
        <v/>
      </c>
    </row>
    <row r="2790">
      <c r="D2790" s="19">
        <f>IF(ABS(IF(ABS($E$2724)&gt;0.000000001,$E$2724,0.000000001))=0,0,IF($E$1844&lt;=$B$1820,0,IF(ABS(IF(ABS($E$2724)&gt;0.000000001,$E$2724,0.000000001))&gt;=8*$B$1822,$H$1844,0.5*$H$1844*(ABS(IF(ABS($E$2724)&gt;0.000000001,$E$2724,0.000000001))/$B$1822)^(1/3)))/ABS(IF(ABS($E$2724)&gt;0.000000001,$E$2724,0.000000001))*$I$1844)</f>
        <v/>
      </c>
      <c r="E2790" s="19">
        <f>0.5*$E$2724+0.5*$AT$2830</f>
        <v/>
      </c>
      <c r="F2790" s="19">
        <f>$AT$2831</f>
        <v/>
      </c>
    </row>
    <row r="2791">
      <c r="D2791" s="19">
        <f>IF(ABS(IF(ABS($E$2725)&gt;0.000000001,$E$2725,0.000000001))=0,0,IF($E$1845&lt;=$B$1820,0,IF(ABS(IF(ABS($E$2725)&gt;0.000000001,$E$2725,0.000000001))&gt;=8*$B$1822,$H$1845,0.5*$H$1845*(ABS(IF(ABS($E$2725)&gt;0.000000001,$E$2725,0.000000001))/$B$1822)^(1/3)))/ABS(IF(ABS($E$2725)&gt;0.000000001,$E$2725,0.000000001))*$I$1845)</f>
        <v/>
      </c>
      <c r="E2791" s="19">
        <f>0.5*$E$2725+0.5*$AT$2832</f>
        <v/>
      </c>
      <c r="F2791" s="19">
        <f>$AT$2833</f>
        <v/>
      </c>
    </row>
    <row r="2792">
      <c r="D2792" s="19">
        <f>IF(ABS(IF(ABS($E$2726)&gt;0.000000001,$E$2726,0.000000001))=0,0,IF($E$1846&lt;=$B$1820,0,IF(ABS(IF(ABS($E$2726)&gt;0.000000001,$E$2726,0.000000001))&gt;=8*$B$1822,$H$1846,0.5*$H$1846*(ABS(IF(ABS($E$2726)&gt;0.000000001,$E$2726,0.000000001))/$B$1822)^(1/3)))/ABS(IF(ABS($E$2726)&gt;0.000000001,$E$2726,0.000000001))*$I$1846)</f>
        <v/>
      </c>
      <c r="E2792" s="19">
        <f>0.5*$E$2726+0.5*$AT$2834</f>
        <v/>
      </c>
      <c r="F2792" s="19">
        <f>$AT$2835</f>
        <v/>
      </c>
    </row>
    <row r="2794">
      <c r="D2794" s="21">
        <f>$B$1811+$D$2772</f>
        <v/>
      </c>
      <c r="E2794" s="21">
        <f>$B$1812</f>
        <v/>
      </c>
      <c r="F2794" s="21">
        <f>-$B$1811</f>
        <v/>
      </c>
      <c r="G2794" s="21">
        <f>$B$1812</f>
        <v/>
      </c>
      <c r="H2794" s="21" t="n">
        <v>0</v>
      </c>
      <c r="I2794" s="21" t="n">
        <v>0</v>
      </c>
      <c r="J2794" s="21" t="n">
        <v>0</v>
      </c>
      <c r="K2794" s="21" t="n">
        <v>0</v>
      </c>
      <c r="L2794" s="21" t="n">
        <v>0</v>
      </c>
      <c r="M2794" s="21" t="n">
        <v>0</v>
      </c>
      <c r="N2794" s="21" t="n">
        <v>0</v>
      </c>
      <c r="O2794" s="21" t="n">
        <v>0</v>
      </c>
      <c r="P2794" s="21" t="n">
        <v>0</v>
      </c>
      <c r="Q2794" s="21" t="n">
        <v>0</v>
      </c>
      <c r="R2794" s="21" t="n">
        <v>0</v>
      </c>
      <c r="S2794" s="21" t="n">
        <v>0</v>
      </c>
      <c r="T2794" s="21" t="n">
        <v>0</v>
      </c>
      <c r="U2794" s="21" t="n">
        <v>0</v>
      </c>
      <c r="V2794" s="21" t="n">
        <v>0</v>
      </c>
      <c r="W2794" s="21" t="n">
        <v>0</v>
      </c>
      <c r="X2794" s="21" t="n">
        <v>0</v>
      </c>
      <c r="Y2794" s="21" t="n">
        <v>0</v>
      </c>
      <c r="Z2794" s="21" t="n">
        <v>0</v>
      </c>
      <c r="AA2794" s="21" t="n">
        <v>0</v>
      </c>
      <c r="AB2794" s="21" t="n">
        <v>0</v>
      </c>
      <c r="AC2794" s="21" t="n">
        <v>0</v>
      </c>
      <c r="AD2794" s="21" t="n">
        <v>0</v>
      </c>
      <c r="AE2794" s="21" t="n">
        <v>0</v>
      </c>
      <c r="AF2794" s="21" t="n">
        <v>0</v>
      </c>
      <c r="AG2794" s="21" t="n">
        <v>0</v>
      </c>
      <c r="AH2794" s="21" t="n">
        <v>0</v>
      </c>
      <c r="AI2794" s="21" t="n">
        <v>0</v>
      </c>
      <c r="AJ2794" s="21" t="n">
        <v>0</v>
      </c>
      <c r="AK2794" s="21" t="n">
        <v>0</v>
      </c>
      <c r="AL2794" s="21" t="n">
        <v>0</v>
      </c>
      <c r="AM2794" s="21" t="n">
        <v>0</v>
      </c>
      <c r="AN2794" s="21" t="n">
        <v>0</v>
      </c>
      <c r="AO2794" s="21" t="n">
        <v>0</v>
      </c>
      <c r="AP2794" s="21" t="n">
        <v>0</v>
      </c>
      <c r="AQ2794" s="21" t="n">
        <v>0</v>
      </c>
      <c r="AR2794" s="21" t="n">
        <v>0</v>
      </c>
      <c r="AS2794" s="21" t="n">
        <v>0</v>
      </c>
      <c r="AT2794" s="19">
        <f t="array" ref="AT2794:AT2835">MMULT(MINVERSE($D$2794:$AS$2835),$D$1848:$D$1889)</f>
        <v/>
      </c>
    </row>
    <row r="2795">
      <c r="D2795" s="21">
        <f>$B$1812</f>
        <v/>
      </c>
      <c r="E2795" s="21">
        <f>$B$1813</f>
        <v/>
      </c>
      <c r="F2795" s="21">
        <f>-$B$1812</f>
        <v/>
      </c>
      <c r="G2795" s="21">
        <f>$B$1814</f>
        <v/>
      </c>
      <c r="H2795" s="21" t="n">
        <v>0</v>
      </c>
      <c r="I2795" s="21" t="n">
        <v>0</v>
      </c>
      <c r="J2795" s="21" t="n">
        <v>0</v>
      </c>
      <c r="K2795" s="21" t="n">
        <v>0</v>
      </c>
      <c r="L2795" s="21" t="n">
        <v>0</v>
      </c>
      <c r="M2795" s="21" t="n">
        <v>0</v>
      </c>
      <c r="N2795" s="21" t="n">
        <v>0</v>
      </c>
      <c r="O2795" s="21" t="n">
        <v>0</v>
      </c>
      <c r="P2795" s="21" t="n">
        <v>0</v>
      </c>
      <c r="Q2795" s="21" t="n">
        <v>0</v>
      </c>
      <c r="R2795" s="21" t="n">
        <v>0</v>
      </c>
      <c r="S2795" s="21" t="n">
        <v>0</v>
      </c>
      <c r="T2795" s="21" t="n">
        <v>0</v>
      </c>
      <c r="U2795" s="21" t="n">
        <v>0</v>
      </c>
      <c r="V2795" s="21" t="n">
        <v>0</v>
      </c>
      <c r="W2795" s="21" t="n">
        <v>0</v>
      </c>
      <c r="X2795" s="21" t="n">
        <v>0</v>
      </c>
      <c r="Y2795" s="21" t="n">
        <v>0</v>
      </c>
      <c r="Z2795" s="21" t="n">
        <v>0</v>
      </c>
      <c r="AA2795" s="21" t="n">
        <v>0</v>
      </c>
      <c r="AB2795" s="21" t="n">
        <v>0</v>
      </c>
      <c r="AC2795" s="21" t="n">
        <v>0</v>
      </c>
      <c r="AD2795" s="21" t="n">
        <v>0</v>
      </c>
      <c r="AE2795" s="21" t="n">
        <v>0</v>
      </c>
      <c r="AF2795" s="21" t="n">
        <v>0</v>
      </c>
      <c r="AG2795" s="21" t="n">
        <v>0</v>
      </c>
      <c r="AH2795" s="21" t="n">
        <v>0</v>
      </c>
      <c r="AI2795" s="21" t="n">
        <v>0</v>
      </c>
      <c r="AJ2795" s="21" t="n">
        <v>0</v>
      </c>
      <c r="AK2795" s="21" t="n">
        <v>0</v>
      </c>
      <c r="AL2795" s="21" t="n">
        <v>0</v>
      </c>
      <c r="AM2795" s="21" t="n">
        <v>0</v>
      </c>
      <c r="AN2795" s="21" t="n">
        <v>0</v>
      </c>
      <c r="AO2795" s="21" t="n">
        <v>0</v>
      </c>
      <c r="AP2795" s="21" t="n">
        <v>0</v>
      </c>
      <c r="AQ2795" s="21" t="n">
        <v>0</v>
      </c>
      <c r="AR2795" s="21" t="n">
        <v>0</v>
      </c>
      <c r="AS2795" s="21" t="n">
        <v>0</v>
      </c>
      <c r="AT2795" s="19" t="n"/>
    </row>
    <row r="2796">
      <c r="D2796" s="21">
        <f>-$B$1811</f>
        <v/>
      </c>
      <c r="E2796" s="21">
        <f>-$B$1812</f>
        <v/>
      </c>
      <c r="F2796" s="21">
        <f>2*$B$1811+$D$2773</f>
        <v/>
      </c>
      <c r="G2796" s="21">
        <f>0</f>
        <v/>
      </c>
      <c r="H2796" s="21">
        <f>-$B$1811</f>
        <v/>
      </c>
      <c r="I2796" s="21">
        <f>$B$1812</f>
        <v/>
      </c>
      <c r="J2796" s="21" t="n">
        <v>0</v>
      </c>
      <c r="K2796" s="21" t="n">
        <v>0</v>
      </c>
      <c r="L2796" s="21" t="n">
        <v>0</v>
      </c>
      <c r="M2796" s="21" t="n">
        <v>0</v>
      </c>
      <c r="N2796" s="21" t="n">
        <v>0</v>
      </c>
      <c r="O2796" s="21" t="n">
        <v>0</v>
      </c>
      <c r="P2796" s="21" t="n">
        <v>0</v>
      </c>
      <c r="Q2796" s="21" t="n">
        <v>0</v>
      </c>
      <c r="R2796" s="21" t="n">
        <v>0</v>
      </c>
      <c r="S2796" s="21" t="n">
        <v>0</v>
      </c>
      <c r="T2796" s="21" t="n">
        <v>0</v>
      </c>
      <c r="U2796" s="21" t="n">
        <v>0</v>
      </c>
      <c r="V2796" s="21" t="n">
        <v>0</v>
      </c>
      <c r="W2796" s="21" t="n">
        <v>0</v>
      </c>
      <c r="X2796" s="21" t="n">
        <v>0</v>
      </c>
      <c r="Y2796" s="21" t="n">
        <v>0</v>
      </c>
      <c r="Z2796" s="21" t="n">
        <v>0</v>
      </c>
      <c r="AA2796" s="21" t="n">
        <v>0</v>
      </c>
      <c r="AB2796" s="21" t="n">
        <v>0</v>
      </c>
      <c r="AC2796" s="21" t="n">
        <v>0</v>
      </c>
      <c r="AD2796" s="21" t="n">
        <v>0</v>
      </c>
      <c r="AE2796" s="21" t="n">
        <v>0</v>
      </c>
      <c r="AF2796" s="21" t="n">
        <v>0</v>
      </c>
      <c r="AG2796" s="21" t="n">
        <v>0</v>
      </c>
      <c r="AH2796" s="21" t="n">
        <v>0</v>
      </c>
      <c r="AI2796" s="21" t="n">
        <v>0</v>
      </c>
      <c r="AJ2796" s="21" t="n">
        <v>0</v>
      </c>
      <c r="AK2796" s="21" t="n">
        <v>0</v>
      </c>
      <c r="AL2796" s="21" t="n">
        <v>0</v>
      </c>
      <c r="AM2796" s="21" t="n">
        <v>0</v>
      </c>
      <c r="AN2796" s="21" t="n">
        <v>0</v>
      </c>
      <c r="AO2796" s="21" t="n">
        <v>0</v>
      </c>
      <c r="AP2796" s="21" t="n">
        <v>0</v>
      </c>
      <c r="AQ2796" s="21" t="n">
        <v>0</v>
      </c>
      <c r="AR2796" s="21" t="n">
        <v>0</v>
      </c>
      <c r="AS2796" s="21" t="n">
        <v>0</v>
      </c>
      <c r="AT2796" s="19" t="n"/>
    </row>
    <row r="2797">
      <c r="D2797" s="21">
        <f>$B$1812</f>
        <v/>
      </c>
      <c r="E2797" s="21">
        <f>$B$1814</f>
        <v/>
      </c>
      <c r="F2797" s="21">
        <f>0</f>
        <v/>
      </c>
      <c r="G2797" s="21">
        <f>2*$B$1813</f>
        <v/>
      </c>
      <c r="H2797" s="21">
        <f>-$B$1812</f>
        <v/>
      </c>
      <c r="I2797" s="21">
        <f>$B$1814</f>
        <v/>
      </c>
      <c r="J2797" s="21" t="n">
        <v>0</v>
      </c>
      <c r="K2797" s="21" t="n">
        <v>0</v>
      </c>
      <c r="L2797" s="21" t="n">
        <v>0</v>
      </c>
      <c r="M2797" s="21" t="n">
        <v>0</v>
      </c>
      <c r="N2797" s="21" t="n">
        <v>0</v>
      </c>
      <c r="O2797" s="21" t="n">
        <v>0</v>
      </c>
      <c r="P2797" s="21" t="n">
        <v>0</v>
      </c>
      <c r="Q2797" s="21" t="n">
        <v>0</v>
      </c>
      <c r="R2797" s="21" t="n">
        <v>0</v>
      </c>
      <c r="S2797" s="21" t="n">
        <v>0</v>
      </c>
      <c r="T2797" s="21" t="n">
        <v>0</v>
      </c>
      <c r="U2797" s="21" t="n">
        <v>0</v>
      </c>
      <c r="V2797" s="21" t="n">
        <v>0</v>
      </c>
      <c r="W2797" s="21" t="n">
        <v>0</v>
      </c>
      <c r="X2797" s="21" t="n">
        <v>0</v>
      </c>
      <c r="Y2797" s="21" t="n">
        <v>0</v>
      </c>
      <c r="Z2797" s="21" t="n">
        <v>0</v>
      </c>
      <c r="AA2797" s="21" t="n">
        <v>0</v>
      </c>
      <c r="AB2797" s="21" t="n">
        <v>0</v>
      </c>
      <c r="AC2797" s="21" t="n">
        <v>0</v>
      </c>
      <c r="AD2797" s="21" t="n">
        <v>0</v>
      </c>
      <c r="AE2797" s="21" t="n">
        <v>0</v>
      </c>
      <c r="AF2797" s="21" t="n">
        <v>0</v>
      </c>
      <c r="AG2797" s="21" t="n">
        <v>0</v>
      </c>
      <c r="AH2797" s="21" t="n">
        <v>0</v>
      </c>
      <c r="AI2797" s="21" t="n">
        <v>0</v>
      </c>
      <c r="AJ2797" s="21" t="n">
        <v>0</v>
      </c>
      <c r="AK2797" s="21" t="n">
        <v>0</v>
      </c>
      <c r="AL2797" s="21" t="n">
        <v>0</v>
      </c>
      <c r="AM2797" s="21" t="n">
        <v>0</v>
      </c>
      <c r="AN2797" s="21" t="n">
        <v>0</v>
      </c>
      <c r="AO2797" s="21" t="n">
        <v>0</v>
      </c>
      <c r="AP2797" s="21" t="n">
        <v>0</v>
      </c>
      <c r="AQ2797" s="21" t="n">
        <v>0</v>
      </c>
      <c r="AR2797" s="21" t="n">
        <v>0</v>
      </c>
      <c r="AS2797" s="21" t="n">
        <v>0</v>
      </c>
      <c r="AT2797" s="19" t="n"/>
    </row>
    <row r="2798">
      <c r="D2798" s="21" t="n">
        <v>0</v>
      </c>
      <c r="E2798" s="21" t="n">
        <v>0</v>
      </c>
      <c r="F2798" s="21">
        <f>-$B$1811</f>
        <v/>
      </c>
      <c r="G2798" s="21">
        <f>-$B$1812</f>
        <v/>
      </c>
      <c r="H2798" s="21">
        <f>2*$B$1811+$D$2774</f>
        <v/>
      </c>
      <c r="I2798" s="21">
        <f>0</f>
        <v/>
      </c>
      <c r="J2798" s="21">
        <f>-$B$1811</f>
        <v/>
      </c>
      <c r="K2798" s="21">
        <f>$B$1812</f>
        <v/>
      </c>
      <c r="L2798" s="21" t="n">
        <v>0</v>
      </c>
      <c r="M2798" s="21" t="n">
        <v>0</v>
      </c>
      <c r="N2798" s="21" t="n">
        <v>0</v>
      </c>
      <c r="O2798" s="21" t="n">
        <v>0</v>
      </c>
      <c r="P2798" s="21" t="n">
        <v>0</v>
      </c>
      <c r="Q2798" s="21" t="n">
        <v>0</v>
      </c>
      <c r="R2798" s="21" t="n">
        <v>0</v>
      </c>
      <c r="S2798" s="21" t="n">
        <v>0</v>
      </c>
      <c r="T2798" s="21" t="n">
        <v>0</v>
      </c>
      <c r="U2798" s="21" t="n">
        <v>0</v>
      </c>
      <c r="V2798" s="21" t="n">
        <v>0</v>
      </c>
      <c r="W2798" s="21" t="n">
        <v>0</v>
      </c>
      <c r="X2798" s="21" t="n">
        <v>0</v>
      </c>
      <c r="Y2798" s="21" t="n">
        <v>0</v>
      </c>
      <c r="Z2798" s="21" t="n">
        <v>0</v>
      </c>
      <c r="AA2798" s="21" t="n">
        <v>0</v>
      </c>
      <c r="AB2798" s="21" t="n">
        <v>0</v>
      </c>
      <c r="AC2798" s="21" t="n">
        <v>0</v>
      </c>
      <c r="AD2798" s="21" t="n">
        <v>0</v>
      </c>
      <c r="AE2798" s="21" t="n">
        <v>0</v>
      </c>
      <c r="AF2798" s="21" t="n">
        <v>0</v>
      </c>
      <c r="AG2798" s="21" t="n">
        <v>0</v>
      </c>
      <c r="AH2798" s="21" t="n">
        <v>0</v>
      </c>
      <c r="AI2798" s="21" t="n">
        <v>0</v>
      </c>
      <c r="AJ2798" s="21" t="n">
        <v>0</v>
      </c>
      <c r="AK2798" s="21" t="n">
        <v>0</v>
      </c>
      <c r="AL2798" s="21" t="n">
        <v>0</v>
      </c>
      <c r="AM2798" s="21" t="n">
        <v>0</v>
      </c>
      <c r="AN2798" s="21" t="n">
        <v>0</v>
      </c>
      <c r="AO2798" s="21" t="n">
        <v>0</v>
      </c>
      <c r="AP2798" s="21" t="n">
        <v>0</v>
      </c>
      <c r="AQ2798" s="21" t="n">
        <v>0</v>
      </c>
      <c r="AR2798" s="21" t="n">
        <v>0</v>
      </c>
      <c r="AS2798" s="21" t="n">
        <v>0</v>
      </c>
      <c r="AT2798" s="19" t="n"/>
    </row>
    <row r="2799">
      <c r="D2799" s="21" t="n">
        <v>0</v>
      </c>
      <c r="E2799" s="21" t="n">
        <v>0</v>
      </c>
      <c r="F2799" s="21">
        <f>$B$1812</f>
        <v/>
      </c>
      <c r="G2799" s="21">
        <f>$B$1814</f>
        <v/>
      </c>
      <c r="H2799" s="21">
        <f>0</f>
        <v/>
      </c>
      <c r="I2799" s="21">
        <f>2*$B$1813</f>
        <v/>
      </c>
      <c r="J2799" s="21">
        <f>-$B$1812</f>
        <v/>
      </c>
      <c r="K2799" s="21">
        <f>$B$1814</f>
        <v/>
      </c>
      <c r="L2799" s="21" t="n">
        <v>0</v>
      </c>
      <c r="M2799" s="21" t="n">
        <v>0</v>
      </c>
      <c r="N2799" s="21" t="n">
        <v>0</v>
      </c>
      <c r="O2799" s="21" t="n">
        <v>0</v>
      </c>
      <c r="P2799" s="21" t="n">
        <v>0</v>
      </c>
      <c r="Q2799" s="21" t="n">
        <v>0</v>
      </c>
      <c r="R2799" s="21" t="n">
        <v>0</v>
      </c>
      <c r="S2799" s="21" t="n">
        <v>0</v>
      </c>
      <c r="T2799" s="21" t="n">
        <v>0</v>
      </c>
      <c r="U2799" s="21" t="n">
        <v>0</v>
      </c>
      <c r="V2799" s="21" t="n">
        <v>0</v>
      </c>
      <c r="W2799" s="21" t="n">
        <v>0</v>
      </c>
      <c r="X2799" s="21" t="n">
        <v>0</v>
      </c>
      <c r="Y2799" s="21" t="n">
        <v>0</v>
      </c>
      <c r="Z2799" s="21" t="n">
        <v>0</v>
      </c>
      <c r="AA2799" s="21" t="n">
        <v>0</v>
      </c>
      <c r="AB2799" s="21" t="n">
        <v>0</v>
      </c>
      <c r="AC2799" s="21" t="n">
        <v>0</v>
      </c>
      <c r="AD2799" s="21" t="n">
        <v>0</v>
      </c>
      <c r="AE2799" s="21" t="n">
        <v>0</v>
      </c>
      <c r="AF2799" s="21" t="n">
        <v>0</v>
      </c>
      <c r="AG2799" s="21" t="n">
        <v>0</v>
      </c>
      <c r="AH2799" s="21" t="n">
        <v>0</v>
      </c>
      <c r="AI2799" s="21" t="n">
        <v>0</v>
      </c>
      <c r="AJ2799" s="21" t="n">
        <v>0</v>
      </c>
      <c r="AK2799" s="21" t="n">
        <v>0</v>
      </c>
      <c r="AL2799" s="21" t="n">
        <v>0</v>
      </c>
      <c r="AM2799" s="21" t="n">
        <v>0</v>
      </c>
      <c r="AN2799" s="21" t="n">
        <v>0</v>
      </c>
      <c r="AO2799" s="21" t="n">
        <v>0</v>
      </c>
      <c r="AP2799" s="21" t="n">
        <v>0</v>
      </c>
      <c r="AQ2799" s="21" t="n">
        <v>0</v>
      </c>
      <c r="AR2799" s="21" t="n">
        <v>0</v>
      </c>
      <c r="AS2799" s="21" t="n">
        <v>0</v>
      </c>
      <c r="AT2799" s="19" t="n"/>
    </row>
    <row r="2800">
      <c r="D2800" s="21" t="n">
        <v>0</v>
      </c>
      <c r="E2800" s="21" t="n">
        <v>0</v>
      </c>
      <c r="F2800" s="21" t="n">
        <v>0</v>
      </c>
      <c r="G2800" s="21" t="n">
        <v>0</v>
      </c>
      <c r="H2800" s="21">
        <f>-$B$1811</f>
        <v/>
      </c>
      <c r="I2800" s="21">
        <f>-$B$1812</f>
        <v/>
      </c>
      <c r="J2800" s="21">
        <f>2*$B$1811+$D$2775</f>
        <v/>
      </c>
      <c r="K2800" s="21">
        <f>0</f>
        <v/>
      </c>
      <c r="L2800" s="21">
        <f>-$B$1811</f>
        <v/>
      </c>
      <c r="M2800" s="21">
        <f>$B$1812</f>
        <v/>
      </c>
      <c r="N2800" s="21" t="n">
        <v>0</v>
      </c>
      <c r="O2800" s="21" t="n">
        <v>0</v>
      </c>
      <c r="P2800" s="21" t="n">
        <v>0</v>
      </c>
      <c r="Q2800" s="21" t="n">
        <v>0</v>
      </c>
      <c r="R2800" s="21" t="n">
        <v>0</v>
      </c>
      <c r="S2800" s="21" t="n">
        <v>0</v>
      </c>
      <c r="T2800" s="21" t="n">
        <v>0</v>
      </c>
      <c r="U2800" s="21" t="n">
        <v>0</v>
      </c>
      <c r="V2800" s="21" t="n">
        <v>0</v>
      </c>
      <c r="W2800" s="21" t="n">
        <v>0</v>
      </c>
      <c r="X2800" s="21" t="n">
        <v>0</v>
      </c>
      <c r="Y2800" s="21" t="n">
        <v>0</v>
      </c>
      <c r="Z2800" s="21" t="n">
        <v>0</v>
      </c>
      <c r="AA2800" s="21" t="n">
        <v>0</v>
      </c>
      <c r="AB2800" s="21" t="n">
        <v>0</v>
      </c>
      <c r="AC2800" s="21" t="n">
        <v>0</v>
      </c>
      <c r="AD2800" s="21" t="n">
        <v>0</v>
      </c>
      <c r="AE2800" s="21" t="n">
        <v>0</v>
      </c>
      <c r="AF2800" s="21" t="n">
        <v>0</v>
      </c>
      <c r="AG2800" s="21" t="n">
        <v>0</v>
      </c>
      <c r="AH2800" s="21" t="n">
        <v>0</v>
      </c>
      <c r="AI2800" s="21" t="n">
        <v>0</v>
      </c>
      <c r="AJ2800" s="21" t="n">
        <v>0</v>
      </c>
      <c r="AK2800" s="21" t="n">
        <v>0</v>
      </c>
      <c r="AL2800" s="21" t="n">
        <v>0</v>
      </c>
      <c r="AM2800" s="21" t="n">
        <v>0</v>
      </c>
      <c r="AN2800" s="21" t="n">
        <v>0</v>
      </c>
      <c r="AO2800" s="21" t="n">
        <v>0</v>
      </c>
      <c r="AP2800" s="21" t="n">
        <v>0</v>
      </c>
      <c r="AQ2800" s="21" t="n">
        <v>0</v>
      </c>
      <c r="AR2800" s="21" t="n">
        <v>0</v>
      </c>
      <c r="AS2800" s="21" t="n">
        <v>0</v>
      </c>
      <c r="AT2800" s="19" t="n"/>
    </row>
    <row r="2801">
      <c r="D2801" s="21" t="n">
        <v>0</v>
      </c>
      <c r="E2801" s="21" t="n">
        <v>0</v>
      </c>
      <c r="F2801" s="21" t="n">
        <v>0</v>
      </c>
      <c r="G2801" s="21" t="n">
        <v>0</v>
      </c>
      <c r="H2801" s="21">
        <f>$B$1812</f>
        <v/>
      </c>
      <c r="I2801" s="21">
        <f>$B$1814</f>
        <v/>
      </c>
      <c r="J2801" s="21">
        <f>0</f>
        <v/>
      </c>
      <c r="K2801" s="21">
        <f>2*$B$1813</f>
        <v/>
      </c>
      <c r="L2801" s="21">
        <f>-$B$1812</f>
        <v/>
      </c>
      <c r="M2801" s="21">
        <f>$B$1814</f>
        <v/>
      </c>
      <c r="N2801" s="21" t="n">
        <v>0</v>
      </c>
      <c r="O2801" s="21" t="n">
        <v>0</v>
      </c>
      <c r="P2801" s="21" t="n">
        <v>0</v>
      </c>
      <c r="Q2801" s="21" t="n">
        <v>0</v>
      </c>
      <c r="R2801" s="21" t="n">
        <v>0</v>
      </c>
      <c r="S2801" s="21" t="n">
        <v>0</v>
      </c>
      <c r="T2801" s="21" t="n">
        <v>0</v>
      </c>
      <c r="U2801" s="21" t="n">
        <v>0</v>
      </c>
      <c r="V2801" s="21" t="n">
        <v>0</v>
      </c>
      <c r="W2801" s="21" t="n">
        <v>0</v>
      </c>
      <c r="X2801" s="21" t="n">
        <v>0</v>
      </c>
      <c r="Y2801" s="21" t="n">
        <v>0</v>
      </c>
      <c r="Z2801" s="21" t="n">
        <v>0</v>
      </c>
      <c r="AA2801" s="21" t="n">
        <v>0</v>
      </c>
      <c r="AB2801" s="21" t="n">
        <v>0</v>
      </c>
      <c r="AC2801" s="21" t="n">
        <v>0</v>
      </c>
      <c r="AD2801" s="21" t="n">
        <v>0</v>
      </c>
      <c r="AE2801" s="21" t="n">
        <v>0</v>
      </c>
      <c r="AF2801" s="21" t="n">
        <v>0</v>
      </c>
      <c r="AG2801" s="21" t="n">
        <v>0</v>
      </c>
      <c r="AH2801" s="21" t="n">
        <v>0</v>
      </c>
      <c r="AI2801" s="21" t="n">
        <v>0</v>
      </c>
      <c r="AJ2801" s="21" t="n">
        <v>0</v>
      </c>
      <c r="AK2801" s="21" t="n">
        <v>0</v>
      </c>
      <c r="AL2801" s="21" t="n">
        <v>0</v>
      </c>
      <c r="AM2801" s="21" t="n">
        <v>0</v>
      </c>
      <c r="AN2801" s="21" t="n">
        <v>0</v>
      </c>
      <c r="AO2801" s="21" t="n">
        <v>0</v>
      </c>
      <c r="AP2801" s="21" t="n">
        <v>0</v>
      </c>
      <c r="AQ2801" s="21" t="n">
        <v>0</v>
      </c>
      <c r="AR2801" s="21" t="n">
        <v>0</v>
      </c>
      <c r="AS2801" s="21" t="n">
        <v>0</v>
      </c>
      <c r="AT2801" s="19" t="n"/>
    </row>
    <row r="2802">
      <c r="D2802" s="21" t="n">
        <v>0</v>
      </c>
      <c r="E2802" s="21" t="n">
        <v>0</v>
      </c>
      <c r="F2802" s="21" t="n">
        <v>0</v>
      </c>
      <c r="G2802" s="21" t="n">
        <v>0</v>
      </c>
      <c r="H2802" s="21" t="n">
        <v>0</v>
      </c>
      <c r="I2802" s="21" t="n">
        <v>0</v>
      </c>
      <c r="J2802" s="21">
        <f>-$B$1811</f>
        <v/>
      </c>
      <c r="K2802" s="21">
        <f>-$B$1812</f>
        <v/>
      </c>
      <c r="L2802" s="21">
        <f>2*$B$1811+$D$2776</f>
        <v/>
      </c>
      <c r="M2802" s="21">
        <f>0</f>
        <v/>
      </c>
      <c r="N2802" s="21">
        <f>-$B$1811</f>
        <v/>
      </c>
      <c r="O2802" s="21">
        <f>$B$1812</f>
        <v/>
      </c>
      <c r="P2802" s="21" t="n">
        <v>0</v>
      </c>
      <c r="Q2802" s="21" t="n">
        <v>0</v>
      </c>
      <c r="R2802" s="21" t="n">
        <v>0</v>
      </c>
      <c r="S2802" s="21" t="n">
        <v>0</v>
      </c>
      <c r="T2802" s="21" t="n">
        <v>0</v>
      </c>
      <c r="U2802" s="21" t="n">
        <v>0</v>
      </c>
      <c r="V2802" s="21" t="n">
        <v>0</v>
      </c>
      <c r="W2802" s="21" t="n">
        <v>0</v>
      </c>
      <c r="X2802" s="21" t="n">
        <v>0</v>
      </c>
      <c r="Y2802" s="21" t="n">
        <v>0</v>
      </c>
      <c r="Z2802" s="21" t="n">
        <v>0</v>
      </c>
      <c r="AA2802" s="21" t="n">
        <v>0</v>
      </c>
      <c r="AB2802" s="21" t="n">
        <v>0</v>
      </c>
      <c r="AC2802" s="21" t="n">
        <v>0</v>
      </c>
      <c r="AD2802" s="21" t="n">
        <v>0</v>
      </c>
      <c r="AE2802" s="21" t="n">
        <v>0</v>
      </c>
      <c r="AF2802" s="21" t="n">
        <v>0</v>
      </c>
      <c r="AG2802" s="21" t="n">
        <v>0</v>
      </c>
      <c r="AH2802" s="21" t="n">
        <v>0</v>
      </c>
      <c r="AI2802" s="21" t="n">
        <v>0</v>
      </c>
      <c r="AJ2802" s="21" t="n">
        <v>0</v>
      </c>
      <c r="AK2802" s="21" t="n">
        <v>0</v>
      </c>
      <c r="AL2802" s="21" t="n">
        <v>0</v>
      </c>
      <c r="AM2802" s="21" t="n">
        <v>0</v>
      </c>
      <c r="AN2802" s="21" t="n">
        <v>0</v>
      </c>
      <c r="AO2802" s="21" t="n">
        <v>0</v>
      </c>
      <c r="AP2802" s="21" t="n">
        <v>0</v>
      </c>
      <c r="AQ2802" s="21" t="n">
        <v>0</v>
      </c>
      <c r="AR2802" s="21" t="n">
        <v>0</v>
      </c>
      <c r="AS2802" s="21" t="n">
        <v>0</v>
      </c>
      <c r="AT2802" s="19" t="n"/>
    </row>
    <row r="2803">
      <c r="D2803" s="21" t="n">
        <v>0</v>
      </c>
      <c r="E2803" s="21" t="n">
        <v>0</v>
      </c>
      <c r="F2803" s="21" t="n">
        <v>0</v>
      </c>
      <c r="G2803" s="21" t="n">
        <v>0</v>
      </c>
      <c r="H2803" s="21" t="n">
        <v>0</v>
      </c>
      <c r="I2803" s="21" t="n">
        <v>0</v>
      </c>
      <c r="J2803" s="21">
        <f>$B$1812</f>
        <v/>
      </c>
      <c r="K2803" s="21">
        <f>$B$1814</f>
        <v/>
      </c>
      <c r="L2803" s="21">
        <f>0</f>
        <v/>
      </c>
      <c r="M2803" s="21">
        <f>2*$B$1813</f>
        <v/>
      </c>
      <c r="N2803" s="21">
        <f>-$B$1812</f>
        <v/>
      </c>
      <c r="O2803" s="21">
        <f>$B$1814</f>
        <v/>
      </c>
      <c r="P2803" s="21" t="n">
        <v>0</v>
      </c>
      <c r="Q2803" s="21" t="n">
        <v>0</v>
      </c>
      <c r="R2803" s="21" t="n">
        <v>0</v>
      </c>
      <c r="S2803" s="21" t="n">
        <v>0</v>
      </c>
      <c r="T2803" s="21" t="n">
        <v>0</v>
      </c>
      <c r="U2803" s="21" t="n">
        <v>0</v>
      </c>
      <c r="V2803" s="21" t="n">
        <v>0</v>
      </c>
      <c r="W2803" s="21" t="n">
        <v>0</v>
      </c>
      <c r="X2803" s="21" t="n">
        <v>0</v>
      </c>
      <c r="Y2803" s="21" t="n">
        <v>0</v>
      </c>
      <c r="Z2803" s="21" t="n">
        <v>0</v>
      </c>
      <c r="AA2803" s="21" t="n">
        <v>0</v>
      </c>
      <c r="AB2803" s="21" t="n">
        <v>0</v>
      </c>
      <c r="AC2803" s="21" t="n">
        <v>0</v>
      </c>
      <c r="AD2803" s="21" t="n">
        <v>0</v>
      </c>
      <c r="AE2803" s="21" t="n">
        <v>0</v>
      </c>
      <c r="AF2803" s="21" t="n">
        <v>0</v>
      </c>
      <c r="AG2803" s="21" t="n">
        <v>0</v>
      </c>
      <c r="AH2803" s="21" t="n">
        <v>0</v>
      </c>
      <c r="AI2803" s="21" t="n">
        <v>0</v>
      </c>
      <c r="AJ2803" s="21" t="n">
        <v>0</v>
      </c>
      <c r="AK2803" s="21" t="n">
        <v>0</v>
      </c>
      <c r="AL2803" s="21" t="n">
        <v>0</v>
      </c>
      <c r="AM2803" s="21" t="n">
        <v>0</v>
      </c>
      <c r="AN2803" s="21" t="n">
        <v>0</v>
      </c>
      <c r="AO2803" s="21" t="n">
        <v>0</v>
      </c>
      <c r="AP2803" s="21" t="n">
        <v>0</v>
      </c>
      <c r="AQ2803" s="21" t="n">
        <v>0</v>
      </c>
      <c r="AR2803" s="21" t="n">
        <v>0</v>
      </c>
      <c r="AS2803" s="21" t="n">
        <v>0</v>
      </c>
      <c r="AT2803" s="19" t="n"/>
    </row>
    <row r="2804">
      <c r="D2804" s="21" t="n">
        <v>0</v>
      </c>
      <c r="E2804" s="21" t="n">
        <v>0</v>
      </c>
      <c r="F2804" s="21" t="n">
        <v>0</v>
      </c>
      <c r="G2804" s="21" t="n">
        <v>0</v>
      </c>
      <c r="H2804" s="21" t="n">
        <v>0</v>
      </c>
      <c r="I2804" s="21" t="n">
        <v>0</v>
      </c>
      <c r="J2804" s="21" t="n">
        <v>0</v>
      </c>
      <c r="K2804" s="21" t="n">
        <v>0</v>
      </c>
      <c r="L2804" s="21">
        <f>-$B$1811</f>
        <v/>
      </c>
      <c r="M2804" s="21">
        <f>-$B$1812</f>
        <v/>
      </c>
      <c r="N2804" s="21">
        <f>2*$B$1811+$D$2777</f>
        <v/>
      </c>
      <c r="O2804" s="21">
        <f>0</f>
        <v/>
      </c>
      <c r="P2804" s="21">
        <f>-$B$1811</f>
        <v/>
      </c>
      <c r="Q2804" s="21">
        <f>$B$1812</f>
        <v/>
      </c>
      <c r="R2804" s="21" t="n">
        <v>0</v>
      </c>
      <c r="S2804" s="21" t="n">
        <v>0</v>
      </c>
      <c r="T2804" s="21" t="n">
        <v>0</v>
      </c>
      <c r="U2804" s="21" t="n">
        <v>0</v>
      </c>
      <c r="V2804" s="21" t="n">
        <v>0</v>
      </c>
      <c r="W2804" s="21" t="n">
        <v>0</v>
      </c>
      <c r="X2804" s="21" t="n">
        <v>0</v>
      </c>
      <c r="Y2804" s="21" t="n">
        <v>0</v>
      </c>
      <c r="Z2804" s="21" t="n">
        <v>0</v>
      </c>
      <c r="AA2804" s="21" t="n">
        <v>0</v>
      </c>
      <c r="AB2804" s="21" t="n">
        <v>0</v>
      </c>
      <c r="AC2804" s="21" t="n">
        <v>0</v>
      </c>
      <c r="AD2804" s="21" t="n">
        <v>0</v>
      </c>
      <c r="AE2804" s="21" t="n">
        <v>0</v>
      </c>
      <c r="AF2804" s="21" t="n">
        <v>0</v>
      </c>
      <c r="AG2804" s="21" t="n">
        <v>0</v>
      </c>
      <c r="AH2804" s="21" t="n">
        <v>0</v>
      </c>
      <c r="AI2804" s="21" t="n">
        <v>0</v>
      </c>
      <c r="AJ2804" s="21" t="n">
        <v>0</v>
      </c>
      <c r="AK2804" s="21" t="n">
        <v>0</v>
      </c>
      <c r="AL2804" s="21" t="n">
        <v>0</v>
      </c>
      <c r="AM2804" s="21" t="n">
        <v>0</v>
      </c>
      <c r="AN2804" s="21" t="n">
        <v>0</v>
      </c>
      <c r="AO2804" s="21" t="n">
        <v>0</v>
      </c>
      <c r="AP2804" s="21" t="n">
        <v>0</v>
      </c>
      <c r="AQ2804" s="21" t="n">
        <v>0</v>
      </c>
      <c r="AR2804" s="21" t="n">
        <v>0</v>
      </c>
      <c r="AS2804" s="21" t="n">
        <v>0</v>
      </c>
      <c r="AT2804" s="19" t="n"/>
    </row>
    <row r="2805">
      <c r="D2805" s="21" t="n">
        <v>0</v>
      </c>
      <c r="E2805" s="21" t="n">
        <v>0</v>
      </c>
      <c r="F2805" s="21" t="n">
        <v>0</v>
      </c>
      <c r="G2805" s="21" t="n">
        <v>0</v>
      </c>
      <c r="H2805" s="21" t="n">
        <v>0</v>
      </c>
      <c r="I2805" s="21" t="n">
        <v>0</v>
      </c>
      <c r="J2805" s="21" t="n">
        <v>0</v>
      </c>
      <c r="K2805" s="21" t="n">
        <v>0</v>
      </c>
      <c r="L2805" s="21">
        <f>$B$1812</f>
        <v/>
      </c>
      <c r="M2805" s="21">
        <f>$B$1814</f>
        <v/>
      </c>
      <c r="N2805" s="21">
        <f>0</f>
        <v/>
      </c>
      <c r="O2805" s="21">
        <f>2*$B$1813</f>
        <v/>
      </c>
      <c r="P2805" s="21">
        <f>-$B$1812</f>
        <v/>
      </c>
      <c r="Q2805" s="21">
        <f>$B$1814</f>
        <v/>
      </c>
      <c r="R2805" s="21" t="n">
        <v>0</v>
      </c>
      <c r="S2805" s="21" t="n">
        <v>0</v>
      </c>
      <c r="T2805" s="21" t="n">
        <v>0</v>
      </c>
      <c r="U2805" s="21" t="n">
        <v>0</v>
      </c>
      <c r="V2805" s="21" t="n">
        <v>0</v>
      </c>
      <c r="W2805" s="21" t="n">
        <v>0</v>
      </c>
      <c r="X2805" s="21" t="n">
        <v>0</v>
      </c>
      <c r="Y2805" s="21" t="n">
        <v>0</v>
      </c>
      <c r="Z2805" s="21" t="n">
        <v>0</v>
      </c>
      <c r="AA2805" s="21" t="n">
        <v>0</v>
      </c>
      <c r="AB2805" s="21" t="n">
        <v>0</v>
      </c>
      <c r="AC2805" s="21" t="n">
        <v>0</v>
      </c>
      <c r="AD2805" s="21" t="n">
        <v>0</v>
      </c>
      <c r="AE2805" s="21" t="n">
        <v>0</v>
      </c>
      <c r="AF2805" s="21" t="n">
        <v>0</v>
      </c>
      <c r="AG2805" s="21" t="n">
        <v>0</v>
      </c>
      <c r="AH2805" s="21" t="n">
        <v>0</v>
      </c>
      <c r="AI2805" s="21" t="n">
        <v>0</v>
      </c>
      <c r="AJ2805" s="21" t="n">
        <v>0</v>
      </c>
      <c r="AK2805" s="21" t="n">
        <v>0</v>
      </c>
      <c r="AL2805" s="21" t="n">
        <v>0</v>
      </c>
      <c r="AM2805" s="21" t="n">
        <v>0</v>
      </c>
      <c r="AN2805" s="21" t="n">
        <v>0</v>
      </c>
      <c r="AO2805" s="21" t="n">
        <v>0</v>
      </c>
      <c r="AP2805" s="21" t="n">
        <v>0</v>
      </c>
      <c r="AQ2805" s="21" t="n">
        <v>0</v>
      </c>
      <c r="AR2805" s="21" t="n">
        <v>0</v>
      </c>
      <c r="AS2805" s="21" t="n">
        <v>0</v>
      </c>
      <c r="AT2805" s="19" t="n"/>
    </row>
    <row r="2806">
      <c r="D2806" s="21" t="n">
        <v>0</v>
      </c>
      <c r="E2806" s="21" t="n">
        <v>0</v>
      </c>
      <c r="F2806" s="21" t="n">
        <v>0</v>
      </c>
      <c r="G2806" s="21" t="n">
        <v>0</v>
      </c>
      <c r="H2806" s="21" t="n">
        <v>0</v>
      </c>
      <c r="I2806" s="21" t="n">
        <v>0</v>
      </c>
      <c r="J2806" s="21" t="n">
        <v>0</v>
      </c>
      <c r="K2806" s="21" t="n">
        <v>0</v>
      </c>
      <c r="L2806" s="21" t="n">
        <v>0</v>
      </c>
      <c r="M2806" s="21" t="n">
        <v>0</v>
      </c>
      <c r="N2806" s="21">
        <f>-$B$1811</f>
        <v/>
      </c>
      <c r="O2806" s="21">
        <f>-$B$1812</f>
        <v/>
      </c>
      <c r="P2806" s="21">
        <f>2*$B$1811+$D$2778</f>
        <v/>
      </c>
      <c r="Q2806" s="21">
        <f>0</f>
        <v/>
      </c>
      <c r="R2806" s="21">
        <f>-$B$1811</f>
        <v/>
      </c>
      <c r="S2806" s="21">
        <f>$B$1812</f>
        <v/>
      </c>
      <c r="T2806" s="21" t="n">
        <v>0</v>
      </c>
      <c r="U2806" s="21" t="n">
        <v>0</v>
      </c>
      <c r="V2806" s="21" t="n">
        <v>0</v>
      </c>
      <c r="W2806" s="21" t="n">
        <v>0</v>
      </c>
      <c r="X2806" s="21" t="n">
        <v>0</v>
      </c>
      <c r="Y2806" s="21" t="n">
        <v>0</v>
      </c>
      <c r="Z2806" s="21" t="n">
        <v>0</v>
      </c>
      <c r="AA2806" s="21" t="n">
        <v>0</v>
      </c>
      <c r="AB2806" s="21" t="n">
        <v>0</v>
      </c>
      <c r="AC2806" s="21" t="n">
        <v>0</v>
      </c>
      <c r="AD2806" s="21" t="n">
        <v>0</v>
      </c>
      <c r="AE2806" s="21" t="n">
        <v>0</v>
      </c>
      <c r="AF2806" s="21" t="n">
        <v>0</v>
      </c>
      <c r="AG2806" s="21" t="n">
        <v>0</v>
      </c>
      <c r="AH2806" s="21" t="n">
        <v>0</v>
      </c>
      <c r="AI2806" s="21" t="n">
        <v>0</v>
      </c>
      <c r="AJ2806" s="21" t="n">
        <v>0</v>
      </c>
      <c r="AK2806" s="21" t="n">
        <v>0</v>
      </c>
      <c r="AL2806" s="21" t="n">
        <v>0</v>
      </c>
      <c r="AM2806" s="21" t="n">
        <v>0</v>
      </c>
      <c r="AN2806" s="21" t="n">
        <v>0</v>
      </c>
      <c r="AO2806" s="21" t="n">
        <v>0</v>
      </c>
      <c r="AP2806" s="21" t="n">
        <v>0</v>
      </c>
      <c r="AQ2806" s="21" t="n">
        <v>0</v>
      </c>
      <c r="AR2806" s="21" t="n">
        <v>0</v>
      </c>
      <c r="AS2806" s="21" t="n">
        <v>0</v>
      </c>
      <c r="AT2806" s="19" t="n"/>
    </row>
    <row r="2807">
      <c r="D2807" s="21" t="n">
        <v>0</v>
      </c>
      <c r="E2807" s="21" t="n">
        <v>0</v>
      </c>
      <c r="F2807" s="21" t="n">
        <v>0</v>
      </c>
      <c r="G2807" s="21" t="n">
        <v>0</v>
      </c>
      <c r="H2807" s="21" t="n">
        <v>0</v>
      </c>
      <c r="I2807" s="21" t="n">
        <v>0</v>
      </c>
      <c r="J2807" s="21" t="n">
        <v>0</v>
      </c>
      <c r="K2807" s="21" t="n">
        <v>0</v>
      </c>
      <c r="L2807" s="21" t="n">
        <v>0</v>
      </c>
      <c r="M2807" s="21" t="n">
        <v>0</v>
      </c>
      <c r="N2807" s="21">
        <f>$B$1812</f>
        <v/>
      </c>
      <c r="O2807" s="21">
        <f>$B$1814</f>
        <v/>
      </c>
      <c r="P2807" s="21">
        <f>0</f>
        <v/>
      </c>
      <c r="Q2807" s="21">
        <f>2*$B$1813</f>
        <v/>
      </c>
      <c r="R2807" s="21">
        <f>-$B$1812</f>
        <v/>
      </c>
      <c r="S2807" s="21">
        <f>$B$1814</f>
        <v/>
      </c>
      <c r="T2807" s="21" t="n">
        <v>0</v>
      </c>
      <c r="U2807" s="21" t="n">
        <v>0</v>
      </c>
      <c r="V2807" s="21" t="n">
        <v>0</v>
      </c>
      <c r="W2807" s="21" t="n">
        <v>0</v>
      </c>
      <c r="X2807" s="21" t="n">
        <v>0</v>
      </c>
      <c r="Y2807" s="21" t="n">
        <v>0</v>
      </c>
      <c r="Z2807" s="21" t="n">
        <v>0</v>
      </c>
      <c r="AA2807" s="21" t="n">
        <v>0</v>
      </c>
      <c r="AB2807" s="21" t="n">
        <v>0</v>
      </c>
      <c r="AC2807" s="21" t="n">
        <v>0</v>
      </c>
      <c r="AD2807" s="21" t="n">
        <v>0</v>
      </c>
      <c r="AE2807" s="21" t="n">
        <v>0</v>
      </c>
      <c r="AF2807" s="21" t="n">
        <v>0</v>
      </c>
      <c r="AG2807" s="21" t="n">
        <v>0</v>
      </c>
      <c r="AH2807" s="21" t="n">
        <v>0</v>
      </c>
      <c r="AI2807" s="21" t="n">
        <v>0</v>
      </c>
      <c r="AJ2807" s="21" t="n">
        <v>0</v>
      </c>
      <c r="AK2807" s="21" t="n">
        <v>0</v>
      </c>
      <c r="AL2807" s="21" t="n">
        <v>0</v>
      </c>
      <c r="AM2807" s="21" t="n">
        <v>0</v>
      </c>
      <c r="AN2807" s="21" t="n">
        <v>0</v>
      </c>
      <c r="AO2807" s="21" t="n">
        <v>0</v>
      </c>
      <c r="AP2807" s="21" t="n">
        <v>0</v>
      </c>
      <c r="AQ2807" s="21" t="n">
        <v>0</v>
      </c>
      <c r="AR2807" s="21" t="n">
        <v>0</v>
      </c>
      <c r="AS2807" s="21" t="n">
        <v>0</v>
      </c>
      <c r="AT2807" s="19" t="n"/>
    </row>
    <row r="2808">
      <c r="D2808" s="21" t="n">
        <v>0</v>
      </c>
      <c r="E2808" s="21" t="n">
        <v>0</v>
      </c>
      <c r="F2808" s="21" t="n">
        <v>0</v>
      </c>
      <c r="G2808" s="21" t="n">
        <v>0</v>
      </c>
      <c r="H2808" s="21" t="n">
        <v>0</v>
      </c>
      <c r="I2808" s="21" t="n">
        <v>0</v>
      </c>
      <c r="J2808" s="21" t="n">
        <v>0</v>
      </c>
      <c r="K2808" s="21" t="n">
        <v>0</v>
      </c>
      <c r="L2808" s="21" t="n">
        <v>0</v>
      </c>
      <c r="M2808" s="21" t="n">
        <v>0</v>
      </c>
      <c r="N2808" s="21" t="n">
        <v>0</v>
      </c>
      <c r="O2808" s="21" t="n">
        <v>0</v>
      </c>
      <c r="P2808" s="21">
        <f>-$B$1811</f>
        <v/>
      </c>
      <c r="Q2808" s="21">
        <f>-$B$1812</f>
        <v/>
      </c>
      <c r="R2808" s="21">
        <f>2*$B$1811+$D$2779</f>
        <v/>
      </c>
      <c r="S2808" s="21">
        <f>0</f>
        <v/>
      </c>
      <c r="T2808" s="21">
        <f>-$B$1811</f>
        <v/>
      </c>
      <c r="U2808" s="21">
        <f>$B$1812</f>
        <v/>
      </c>
      <c r="V2808" s="21" t="n">
        <v>0</v>
      </c>
      <c r="W2808" s="21" t="n">
        <v>0</v>
      </c>
      <c r="X2808" s="21" t="n">
        <v>0</v>
      </c>
      <c r="Y2808" s="21" t="n">
        <v>0</v>
      </c>
      <c r="Z2808" s="21" t="n">
        <v>0</v>
      </c>
      <c r="AA2808" s="21" t="n">
        <v>0</v>
      </c>
      <c r="AB2808" s="21" t="n">
        <v>0</v>
      </c>
      <c r="AC2808" s="21" t="n">
        <v>0</v>
      </c>
      <c r="AD2808" s="21" t="n">
        <v>0</v>
      </c>
      <c r="AE2808" s="21" t="n">
        <v>0</v>
      </c>
      <c r="AF2808" s="21" t="n">
        <v>0</v>
      </c>
      <c r="AG2808" s="21" t="n">
        <v>0</v>
      </c>
      <c r="AH2808" s="21" t="n">
        <v>0</v>
      </c>
      <c r="AI2808" s="21" t="n">
        <v>0</v>
      </c>
      <c r="AJ2808" s="21" t="n">
        <v>0</v>
      </c>
      <c r="AK2808" s="21" t="n">
        <v>0</v>
      </c>
      <c r="AL2808" s="21" t="n">
        <v>0</v>
      </c>
      <c r="AM2808" s="21" t="n">
        <v>0</v>
      </c>
      <c r="AN2808" s="21" t="n">
        <v>0</v>
      </c>
      <c r="AO2808" s="21" t="n">
        <v>0</v>
      </c>
      <c r="AP2808" s="21" t="n">
        <v>0</v>
      </c>
      <c r="AQ2808" s="21" t="n">
        <v>0</v>
      </c>
      <c r="AR2808" s="21" t="n">
        <v>0</v>
      </c>
      <c r="AS2808" s="21" t="n">
        <v>0</v>
      </c>
      <c r="AT2808" s="19" t="n"/>
    </row>
    <row r="2809">
      <c r="D2809" s="21" t="n">
        <v>0</v>
      </c>
      <c r="E2809" s="21" t="n">
        <v>0</v>
      </c>
      <c r="F2809" s="21" t="n">
        <v>0</v>
      </c>
      <c r="G2809" s="21" t="n">
        <v>0</v>
      </c>
      <c r="H2809" s="21" t="n">
        <v>0</v>
      </c>
      <c r="I2809" s="21" t="n">
        <v>0</v>
      </c>
      <c r="J2809" s="21" t="n">
        <v>0</v>
      </c>
      <c r="K2809" s="21" t="n">
        <v>0</v>
      </c>
      <c r="L2809" s="21" t="n">
        <v>0</v>
      </c>
      <c r="M2809" s="21" t="n">
        <v>0</v>
      </c>
      <c r="N2809" s="21" t="n">
        <v>0</v>
      </c>
      <c r="O2809" s="21" t="n">
        <v>0</v>
      </c>
      <c r="P2809" s="21">
        <f>$B$1812</f>
        <v/>
      </c>
      <c r="Q2809" s="21">
        <f>$B$1814</f>
        <v/>
      </c>
      <c r="R2809" s="21">
        <f>0</f>
        <v/>
      </c>
      <c r="S2809" s="21">
        <f>2*$B$1813</f>
        <v/>
      </c>
      <c r="T2809" s="21">
        <f>-$B$1812</f>
        <v/>
      </c>
      <c r="U2809" s="21">
        <f>$B$1814</f>
        <v/>
      </c>
      <c r="V2809" s="21" t="n">
        <v>0</v>
      </c>
      <c r="W2809" s="21" t="n">
        <v>0</v>
      </c>
      <c r="X2809" s="21" t="n">
        <v>0</v>
      </c>
      <c r="Y2809" s="21" t="n">
        <v>0</v>
      </c>
      <c r="Z2809" s="21" t="n">
        <v>0</v>
      </c>
      <c r="AA2809" s="21" t="n">
        <v>0</v>
      </c>
      <c r="AB2809" s="21" t="n">
        <v>0</v>
      </c>
      <c r="AC2809" s="21" t="n">
        <v>0</v>
      </c>
      <c r="AD2809" s="21" t="n">
        <v>0</v>
      </c>
      <c r="AE2809" s="21" t="n">
        <v>0</v>
      </c>
      <c r="AF2809" s="21" t="n">
        <v>0</v>
      </c>
      <c r="AG2809" s="21" t="n">
        <v>0</v>
      </c>
      <c r="AH2809" s="21" t="n">
        <v>0</v>
      </c>
      <c r="AI2809" s="21" t="n">
        <v>0</v>
      </c>
      <c r="AJ2809" s="21" t="n">
        <v>0</v>
      </c>
      <c r="AK2809" s="21" t="n">
        <v>0</v>
      </c>
      <c r="AL2809" s="21" t="n">
        <v>0</v>
      </c>
      <c r="AM2809" s="21" t="n">
        <v>0</v>
      </c>
      <c r="AN2809" s="21" t="n">
        <v>0</v>
      </c>
      <c r="AO2809" s="21" t="n">
        <v>0</v>
      </c>
      <c r="AP2809" s="21" t="n">
        <v>0</v>
      </c>
      <c r="AQ2809" s="21" t="n">
        <v>0</v>
      </c>
      <c r="AR2809" s="21" t="n">
        <v>0</v>
      </c>
      <c r="AS2809" s="21" t="n">
        <v>0</v>
      </c>
      <c r="AT2809" s="19" t="n"/>
    </row>
    <row r="2810">
      <c r="D2810" s="21" t="n">
        <v>0</v>
      </c>
      <c r="E2810" s="21" t="n">
        <v>0</v>
      </c>
      <c r="F2810" s="21" t="n">
        <v>0</v>
      </c>
      <c r="G2810" s="21" t="n">
        <v>0</v>
      </c>
      <c r="H2810" s="21" t="n">
        <v>0</v>
      </c>
      <c r="I2810" s="21" t="n">
        <v>0</v>
      </c>
      <c r="J2810" s="21" t="n">
        <v>0</v>
      </c>
      <c r="K2810" s="21" t="n">
        <v>0</v>
      </c>
      <c r="L2810" s="21" t="n">
        <v>0</v>
      </c>
      <c r="M2810" s="21" t="n">
        <v>0</v>
      </c>
      <c r="N2810" s="21" t="n">
        <v>0</v>
      </c>
      <c r="O2810" s="21" t="n">
        <v>0</v>
      </c>
      <c r="P2810" s="21" t="n">
        <v>0</v>
      </c>
      <c r="Q2810" s="21" t="n">
        <v>0</v>
      </c>
      <c r="R2810" s="21">
        <f>-$B$1811</f>
        <v/>
      </c>
      <c r="S2810" s="21">
        <f>-$B$1812</f>
        <v/>
      </c>
      <c r="T2810" s="21">
        <f>2*$B$1811+$D$2780</f>
        <v/>
      </c>
      <c r="U2810" s="21">
        <f>0</f>
        <v/>
      </c>
      <c r="V2810" s="21">
        <f>-$B$1811</f>
        <v/>
      </c>
      <c r="W2810" s="21">
        <f>$B$1812</f>
        <v/>
      </c>
      <c r="X2810" s="21" t="n">
        <v>0</v>
      </c>
      <c r="Y2810" s="21" t="n">
        <v>0</v>
      </c>
      <c r="Z2810" s="21" t="n">
        <v>0</v>
      </c>
      <c r="AA2810" s="21" t="n">
        <v>0</v>
      </c>
      <c r="AB2810" s="21" t="n">
        <v>0</v>
      </c>
      <c r="AC2810" s="21" t="n">
        <v>0</v>
      </c>
      <c r="AD2810" s="21" t="n">
        <v>0</v>
      </c>
      <c r="AE2810" s="21" t="n">
        <v>0</v>
      </c>
      <c r="AF2810" s="21" t="n">
        <v>0</v>
      </c>
      <c r="AG2810" s="21" t="n">
        <v>0</v>
      </c>
      <c r="AH2810" s="21" t="n">
        <v>0</v>
      </c>
      <c r="AI2810" s="21" t="n">
        <v>0</v>
      </c>
      <c r="AJ2810" s="21" t="n">
        <v>0</v>
      </c>
      <c r="AK2810" s="21" t="n">
        <v>0</v>
      </c>
      <c r="AL2810" s="21" t="n">
        <v>0</v>
      </c>
      <c r="AM2810" s="21" t="n">
        <v>0</v>
      </c>
      <c r="AN2810" s="21" t="n">
        <v>0</v>
      </c>
      <c r="AO2810" s="21" t="n">
        <v>0</v>
      </c>
      <c r="AP2810" s="21" t="n">
        <v>0</v>
      </c>
      <c r="AQ2810" s="21" t="n">
        <v>0</v>
      </c>
      <c r="AR2810" s="21" t="n">
        <v>0</v>
      </c>
      <c r="AS2810" s="21" t="n">
        <v>0</v>
      </c>
      <c r="AT2810" s="19" t="n"/>
    </row>
    <row r="2811">
      <c r="D2811" s="21" t="n">
        <v>0</v>
      </c>
      <c r="E2811" s="21" t="n">
        <v>0</v>
      </c>
      <c r="F2811" s="21" t="n">
        <v>0</v>
      </c>
      <c r="G2811" s="21" t="n">
        <v>0</v>
      </c>
      <c r="H2811" s="21" t="n">
        <v>0</v>
      </c>
      <c r="I2811" s="21" t="n">
        <v>0</v>
      </c>
      <c r="J2811" s="21" t="n">
        <v>0</v>
      </c>
      <c r="K2811" s="21" t="n">
        <v>0</v>
      </c>
      <c r="L2811" s="21" t="n">
        <v>0</v>
      </c>
      <c r="M2811" s="21" t="n">
        <v>0</v>
      </c>
      <c r="N2811" s="21" t="n">
        <v>0</v>
      </c>
      <c r="O2811" s="21" t="n">
        <v>0</v>
      </c>
      <c r="P2811" s="21" t="n">
        <v>0</v>
      </c>
      <c r="Q2811" s="21" t="n">
        <v>0</v>
      </c>
      <c r="R2811" s="21">
        <f>$B$1812</f>
        <v/>
      </c>
      <c r="S2811" s="21">
        <f>$B$1814</f>
        <v/>
      </c>
      <c r="T2811" s="21">
        <f>0</f>
        <v/>
      </c>
      <c r="U2811" s="21">
        <f>2*$B$1813</f>
        <v/>
      </c>
      <c r="V2811" s="21">
        <f>-$B$1812</f>
        <v/>
      </c>
      <c r="W2811" s="21">
        <f>$B$1814</f>
        <v/>
      </c>
      <c r="X2811" s="21" t="n">
        <v>0</v>
      </c>
      <c r="Y2811" s="21" t="n">
        <v>0</v>
      </c>
      <c r="Z2811" s="21" t="n">
        <v>0</v>
      </c>
      <c r="AA2811" s="21" t="n">
        <v>0</v>
      </c>
      <c r="AB2811" s="21" t="n">
        <v>0</v>
      </c>
      <c r="AC2811" s="21" t="n">
        <v>0</v>
      </c>
      <c r="AD2811" s="21" t="n">
        <v>0</v>
      </c>
      <c r="AE2811" s="21" t="n">
        <v>0</v>
      </c>
      <c r="AF2811" s="21" t="n">
        <v>0</v>
      </c>
      <c r="AG2811" s="21" t="n">
        <v>0</v>
      </c>
      <c r="AH2811" s="21" t="n">
        <v>0</v>
      </c>
      <c r="AI2811" s="21" t="n">
        <v>0</v>
      </c>
      <c r="AJ2811" s="21" t="n">
        <v>0</v>
      </c>
      <c r="AK2811" s="21" t="n">
        <v>0</v>
      </c>
      <c r="AL2811" s="21" t="n">
        <v>0</v>
      </c>
      <c r="AM2811" s="21" t="n">
        <v>0</v>
      </c>
      <c r="AN2811" s="21" t="n">
        <v>0</v>
      </c>
      <c r="AO2811" s="21" t="n">
        <v>0</v>
      </c>
      <c r="AP2811" s="21" t="n">
        <v>0</v>
      </c>
      <c r="AQ2811" s="21" t="n">
        <v>0</v>
      </c>
      <c r="AR2811" s="21" t="n">
        <v>0</v>
      </c>
      <c r="AS2811" s="21" t="n">
        <v>0</v>
      </c>
      <c r="AT2811" s="19" t="n"/>
    </row>
    <row r="2812">
      <c r="D2812" s="21" t="n">
        <v>0</v>
      </c>
      <c r="E2812" s="21" t="n">
        <v>0</v>
      </c>
      <c r="F2812" s="21" t="n">
        <v>0</v>
      </c>
      <c r="G2812" s="21" t="n">
        <v>0</v>
      </c>
      <c r="H2812" s="21" t="n">
        <v>0</v>
      </c>
      <c r="I2812" s="21" t="n">
        <v>0</v>
      </c>
      <c r="J2812" s="21" t="n">
        <v>0</v>
      </c>
      <c r="K2812" s="21" t="n">
        <v>0</v>
      </c>
      <c r="L2812" s="21" t="n">
        <v>0</v>
      </c>
      <c r="M2812" s="21" t="n">
        <v>0</v>
      </c>
      <c r="N2812" s="21" t="n">
        <v>0</v>
      </c>
      <c r="O2812" s="21" t="n">
        <v>0</v>
      </c>
      <c r="P2812" s="21" t="n">
        <v>0</v>
      </c>
      <c r="Q2812" s="21" t="n">
        <v>0</v>
      </c>
      <c r="R2812" s="21" t="n">
        <v>0</v>
      </c>
      <c r="S2812" s="21" t="n">
        <v>0</v>
      </c>
      <c r="T2812" s="21">
        <f>-$B$1811</f>
        <v/>
      </c>
      <c r="U2812" s="21">
        <f>-$B$1812</f>
        <v/>
      </c>
      <c r="V2812" s="21">
        <f>2*$B$1811+$D$2781</f>
        <v/>
      </c>
      <c r="W2812" s="21">
        <f>0</f>
        <v/>
      </c>
      <c r="X2812" s="21">
        <f>-$B$1811</f>
        <v/>
      </c>
      <c r="Y2812" s="21">
        <f>$B$1812</f>
        <v/>
      </c>
      <c r="Z2812" s="21" t="n">
        <v>0</v>
      </c>
      <c r="AA2812" s="21" t="n">
        <v>0</v>
      </c>
      <c r="AB2812" s="21" t="n">
        <v>0</v>
      </c>
      <c r="AC2812" s="21" t="n">
        <v>0</v>
      </c>
      <c r="AD2812" s="21" t="n">
        <v>0</v>
      </c>
      <c r="AE2812" s="21" t="n">
        <v>0</v>
      </c>
      <c r="AF2812" s="21" t="n">
        <v>0</v>
      </c>
      <c r="AG2812" s="21" t="n">
        <v>0</v>
      </c>
      <c r="AH2812" s="21" t="n">
        <v>0</v>
      </c>
      <c r="AI2812" s="21" t="n">
        <v>0</v>
      </c>
      <c r="AJ2812" s="21" t="n">
        <v>0</v>
      </c>
      <c r="AK2812" s="21" t="n">
        <v>0</v>
      </c>
      <c r="AL2812" s="21" t="n">
        <v>0</v>
      </c>
      <c r="AM2812" s="21" t="n">
        <v>0</v>
      </c>
      <c r="AN2812" s="21" t="n">
        <v>0</v>
      </c>
      <c r="AO2812" s="21" t="n">
        <v>0</v>
      </c>
      <c r="AP2812" s="21" t="n">
        <v>0</v>
      </c>
      <c r="AQ2812" s="21" t="n">
        <v>0</v>
      </c>
      <c r="AR2812" s="21" t="n">
        <v>0</v>
      </c>
      <c r="AS2812" s="21" t="n">
        <v>0</v>
      </c>
      <c r="AT2812" s="19" t="n"/>
    </row>
    <row r="2813">
      <c r="D2813" s="21" t="n">
        <v>0</v>
      </c>
      <c r="E2813" s="21" t="n">
        <v>0</v>
      </c>
      <c r="F2813" s="21" t="n">
        <v>0</v>
      </c>
      <c r="G2813" s="21" t="n">
        <v>0</v>
      </c>
      <c r="H2813" s="21" t="n">
        <v>0</v>
      </c>
      <c r="I2813" s="21" t="n">
        <v>0</v>
      </c>
      <c r="J2813" s="21" t="n">
        <v>0</v>
      </c>
      <c r="K2813" s="21" t="n">
        <v>0</v>
      </c>
      <c r="L2813" s="21" t="n">
        <v>0</v>
      </c>
      <c r="M2813" s="21" t="n">
        <v>0</v>
      </c>
      <c r="N2813" s="21" t="n">
        <v>0</v>
      </c>
      <c r="O2813" s="21" t="n">
        <v>0</v>
      </c>
      <c r="P2813" s="21" t="n">
        <v>0</v>
      </c>
      <c r="Q2813" s="21" t="n">
        <v>0</v>
      </c>
      <c r="R2813" s="21" t="n">
        <v>0</v>
      </c>
      <c r="S2813" s="21" t="n">
        <v>0</v>
      </c>
      <c r="T2813" s="21">
        <f>$B$1812</f>
        <v/>
      </c>
      <c r="U2813" s="21">
        <f>$B$1814</f>
        <v/>
      </c>
      <c r="V2813" s="21">
        <f>0</f>
        <v/>
      </c>
      <c r="W2813" s="21">
        <f>2*$B$1813</f>
        <v/>
      </c>
      <c r="X2813" s="21">
        <f>-$B$1812</f>
        <v/>
      </c>
      <c r="Y2813" s="21">
        <f>$B$1814</f>
        <v/>
      </c>
      <c r="Z2813" s="21" t="n">
        <v>0</v>
      </c>
      <c r="AA2813" s="21" t="n">
        <v>0</v>
      </c>
      <c r="AB2813" s="21" t="n">
        <v>0</v>
      </c>
      <c r="AC2813" s="21" t="n">
        <v>0</v>
      </c>
      <c r="AD2813" s="21" t="n">
        <v>0</v>
      </c>
      <c r="AE2813" s="21" t="n">
        <v>0</v>
      </c>
      <c r="AF2813" s="21" t="n">
        <v>0</v>
      </c>
      <c r="AG2813" s="21" t="n">
        <v>0</v>
      </c>
      <c r="AH2813" s="21" t="n">
        <v>0</v>
      </c>
      <c r="AI2813" s="21" t="n">
        <v>0</v>
      </c>
      <c r="AJ2813" s="21" t="n">
        <v>0</v>
      </c>
      <c r="AK2813" s="21" t="n">
        <v>0</v>
      </c>
      <c r="AL2813" s="21" t="n">
        <v>0</v>
      </c>
      <c r="AM2813" s="21" t="n">
        <v>0</v>
      </c>
      <c r="AN2813" s="21" t="n">
        <v>0</v>
      </c>
      <c r="AO2813" s="21" t="n">
        <v>0</v>
      </c>
      <c r="AP2813" s="21" t="n">
        <v>0</v>
      </c>
      <c r="AQ2813" s="21" t="n">
        <v>0</v>
      </c>
      <c r="AR2813" s="21" t="n">
        <v>0</v>
      </c>
      <c r="AS2813" s="21" t="n">
        <v>0</v>
      </c>
      <c r="AT2813" s="19" t="n"/>
    </row>
    <row r="2814">
      <c r="D2814" s="21" t="n">
        <v>0</v>
      </c>
      <c r="E2814" s="21" t="n">
        <v>0</v>
      </c>
      <c r="F2814" s="21" t="n">
        <v>0</v>
      </c>
      <c r="G2814" s="21" t="n">
        <v>0</v>
      </c>
      <c r="H2814" s="21" t="n">
        <v>0</v>
      </c>
      <c r="I2814" s="21" t="n">
        <v>0</v>
      </c>
      <c r="J2814" s="21" t="n">
        <v>0</v>
      </c>
      <c r="K2814" s="21" t="n">
        <v>0</v>
      </c>
      <c r="L2814" s="21" t="n">
        <v>0</v>
      </c>
      <c r="M2814" s="21" t="n">
        <v>0</v>
      </c>
      <c r="N2814" s="21" t="n">
        <v>0</v>
      </c>
      <c r="O2814" s="21" t="n">
        <v>0</v>
      </c>
      <c r="P2814" s="21" t="n">
        <v>0</v>
      </c>
      <c r="Q2814" s="21" t="n">
        <v>0</v>
      </c>
      <c r="R2814" s="21" t="n">
        <v>0</v>
      </c>
      <c r="S2814" s="21" t="n">
        <v>0</v>
      </c>
      <c r="T2814" s="21" t="n">
        <v>0</v>
      </c>
      <c r="U2814" s="21" t="n">
        <v>0</v>
      </c>
      <c r="V2814" s="21">
        <f>-$B$1811</f>
        <v/>
      </c>
      <c r="W2814" s="21">
        <f>-$B$1812</f>
        <v/>
      </c>
      <c r="X2814" s="21">
        <f>2*$B$1811+$D$2782</f>
        <v/>
      </c>
      <c r="Y2814" s="21">
        <f>0</f>
        <v/>
      </c>
      <c r="Z2814" s="21">
        <f>-$B$1811</f>
        <v/>
      </c>
      <c r="AA2814" s="21">
        <f>$B$1812</f>
        <v/>
      </c>
      <c r="AB2814" s="21" t="n">
        <v>0</v>
      </c>
      <c r="AC2814" s="21" t="n">
        <v>0</v>
      </c>
      <c r="AD2814" s="21" t="n">
        <v>0</v>
      </c>
      <c r="AE2814" s="21" t="n">
        <v>0</v>
      </c>
      <c r="AF2814" s="21" t="n">
        <v>0</v>
      </c>
      <c r="AG2814" s="21" t="n">
        <v>0</v>
      </c>
      <c r="AH2814" s="21" t="n">
        <v>0</v>
      </c>
      <c r="AI2814" s="21" t="n">
        <v>0</v>
      </c>
      <c r="AJ2814" s="21" t="n">
        <v>0</v>
      </c>
      <c r="AK2814" s="21" t="n">
        <v>0</v>
      </c>
      <c r="AL2814" s="21" t="n">
        <v>0</v>
      </c>
      <c r="AM2814" s="21" t="n">
        <v>0</v>
      </c>
      <c r="AN2814" s="21" t="n">
        <v>0</v>
      </c>
      <c r="AO2814" s="21" t="n">
        <v>0</v>
      </c>
      <c r="AP2814" s="21" t="n">
        <v>0</v>
      </c>
      <c r="AQ2814" s="21" t="n">
        <v>0</v>
      </c>
      <c r="AR2814" s="21" t="n">
        <v>0</v>
      </c>
      <c r="AS2814" s="21" t="n">
        <v>0</v>
      </c>
      <c r="AT2814" s="19" t="n"/>
    </row>
    <row r="2815">
      <c r="D2815" s="21" t="n">
        <v>0</v>
      </c>
      <c r="E2815" s="21" t="n">
        <v>0</v>
      </c>
      <c r="F2815" s="21" t="n">
        <v>0</v>
      </c>
      <c r="G2815" s="21" t="n">
        <v>0</v>
      </c>
      <c r="H2815" s="21" t="n">
        <v>0</v>
      </c>
      <c r="I2815" s="21" t="n">
        <v>0</v>
      </c>
      <c r="J2815" s="21" t="n">
        <v>0</v>
      </c>
      <c r="K2815" s="21" t="n">
        <v>0</v>
      </c>
      <c r="L2815" s="21" t="n">
        <v>0</v>
      </c>
      <c r="M2815" s="21" t="n">
        <v>0</v>
      </c>
      <c r="N2815" s="21" t="n">
        <v>0</v>
      </c>
      <c r="O2815" s="21" t="n">
        <v>0</v>
      </c>
      <c r="P2815" s="21" t="n">
        <v>0</v>
      </c>
      <c r="Q2815" s="21" t="n">
        <v>0</v>
      </c>
      <c r="R2815" s="21" t="n">
        <v>0</v>
      </c>
      <c r="S2815" s="21" t="n">
        <v>0</v>
      </c>
      <c r="T2815" s="21" t="n">
        <v>0</v>
      </c>
      <c r="U2815" s="21" t="n">
        <v>0</v>
      </c>
      <c r="V2815" s="21">
        <f>$B$1812</f>
        <v/>
      </c>
      <c r="W2815" s="21">
        <f>$B$1814</f>
        <v/>
      </c>
      <c r="X2815" s="21">
        <f>0</f>
        <v/>
      </c>
      <c r="Y2815" s="21">
        <f>2*$B$1813</f>
        <v/>
      </c>
      <c r="Z2815" s="21">
        <f>-$B$1812</f>
        <v/>
      </c>
      <c r="AA2815" s="21">
        <f>$B$1814</f>
        <v/>
      </c>
      <c r="AB2815" s="21" t="n">
        <v>0</v>
      </c>
      <c r="AC2815" s="21" t="n">
        <v>0</v>
      </c>
      <c r="AD2815" s="21" t="n">
        <v>0</v>
      </c>
      <c r="AE2815" s="21" t="n">
        <v>0</v>
      </c>
      <c r="AF2815" s="21" t="n">
        <v>0</v>
      </c>
      <c r="AG2815" s="21" t="n">
        <v>0</v>
      </c>
      <c r="AH2815" s="21" t="n">
        <v>0</v>
      </c>
      <c r="AI2815" s="21" t="n">
        <v>0</v>
      </c>
      <c r="AJ2815" s="21" t="n">
        <v>0</v>
      </c>
      <c r="AK2815" s="21" t="n">
        <v>0</v>
      </c>
      <c r="AL2815" s="21" t="n">
        <v>0</v>
      </c>
      <c r="AM2815" s="21" t="n">
        <v>0</v>
      </c>
      <c r="AN2815" s="21" t="n">
        <v>0</v>
      </c>
      <c r="AO2815" s="21" t="n">
        <v>0</v>
      </c>
      <c r="AP2815" s="21" t="n">
        <v>0</v>
      </c>
      <c r="AQ2815" s="21" t="n">
        <v>0</v>
      </c>
      <c r="AR2815" s="21" t="n">
        <v>0</v>
      </c>
      <c r="AS2815" s="21" t="n">
        <v>0</v>
      </c>
      <c r="AT2815" s="19" t="n"/>
    </row>
    <row r="2816">
      <c r="D2816" s="21" t="n">
        <v>0</v>
      </c>
      <c r="E2816" s="21" t="n">
        <v>0</v>
      </c>
      <c r="F2816" s="21" t="n">
        <v>0</v>
      </c>
      <c r="G2816" s="21" t="n">
        <v>0</v>
      </c>
      <c r="H2816" s="21" t="n">
        <v>0</v>
      </c>
      <c r="I2816" s="21" t="n">
        <v>0</v>
      </c>
      <c r="J2816" s="21" t="n">
        <v>0</v>
      </c>
      <c r="K2816" s="21" t="n">
        <v>0</v>
      </c>
      <c r="L2816" s="21" t="n">
        <v>0</v>
      </c>
      <c r="M2816" s="21" t="n">
        <v>0</v>
      </c>
      <c r="N2816" s="21" t="n">
        <v>0</v>
      </c>
      <c r="O2816" s="21" t="n">
        <v>0</v>
      </c>
      <c r="P2816" s="21" t="n">
        <v>0</v>
      </c>
      <c r="Q2816" s="21" t="n">
        <v>0</v>
      </c>
      <c r="R2816" s="21" t="n">
        <v>0</v>
      </c>
      <c r="S2816" s="21" t="n">
        <v>0</v>
      </c>
      <c r="T2816" s="21" t="n">
        <v>0</v>
      </c>
      <c r="U2816" s="21" t="n">
        <v>0</v>
      </c>
      <c r="V2816" s="21" t="n">
        <v>0</v>
      </c>
      <c r="W2816" s="21" t="n">
        <v>0</v>
      </c>
      <c r="X2816" s="21">
        <f>-$B$1811</f>
        <v/>
      </c>
      <c r="Y2816" s="21">
        <f>-$B$1812</f>
        <v/>
      </c>
      <c r="Z2816" s="21">
        <f>2*$B$1811+$D$2783</f>
        <v/>
      </c>
      <c r="AA2816" s="21">
        <f>0</f>
        <v/>
      </c>
      <c r="AB2816" s="21">
        <f>-$B$1811</f>
        <v/>
      </c>
      <c r="AC2816" s="21">
        <f>$B$1812</f>
        <v/>
      </c>
      <c r="AD2816" s="21" t="n">
        <v>0</v>
      </c>
      <c r="AE2816" s="21" t="n">
        <v>0</v>
      </c>
      <c r="AF2816" s="21" t="n">
        <v>0</v>
      </c>
      <c r="AG2816" s="21" t="n">
        <v>0</v>
      </c>
      <c r="AH2816" s="21" t="n">
        <v>0</v>
      </c>
      <c r="AI2816" s="21" t="n">
        <v>0</v>
      </c>
      <c r="AJ2816" s="21" t="n">
        <v>0</v>
      </c>
      <c r="AK2816" s="21" t="n">
        <v>0</v>
      </c>
      <c r="AL2816" s="21" t="n">
        <v>0</v>
      </c>
      <c r="AM2816" s="21" t="n">
        <v>0</v>
      </c>
      <c r="AN2816" s="21" t="n">
        <v>0</v>
      </c>
      <c r="AO2816" s="21" t="n">
        <v>0</v>
      </c>
      <c r="AP2816" s="21" t="n">
        <v>0</v>
      </c>
      <c r="AQ2816" s="21" t="n">
        <v>0</v>
      </c>
      <c r="AR2816" s="21" t="n">
        <v>0</v>
      </c>
      <c r="AS2816" s="21" t="n">
        <v>0</v>
      </c>
      <c r="AT2816" s="19" t="n"/>
    </row>
    <row r="2817">
      <c r="D2817" s="21" t="n">
        <v>0</v>
      </c>
      <c r="E2817" s="21" t="n">
        <v>0</v>
      </c>
      <c r="F2817" s="21" t="n">
        <v>0</v>
      </c>
      <c r="G2817" s="21" t="n">
        <v>0</v>
      </c>
      <c r="H2817" s="21" t="n">
        <v>0</v>
      </c>
      <c r="I2817" s="21" t="n">
        <v>0</v>
      </c>
      <c r="J2817" s="21" t="n">
        <v>0</v>
      </c>
      <c r="K2817" s="21" t="n">
        <v>0</v>
      </c>
      <c r="L2817" s="21" t="n">
        <v>0</v>
      </c>
      <c r="M2817" s="21" t="n">
        <v>0</v>
      </c>
      <c r="N2817" s="21" t="n">
        <v>0</v>
      </c>
      <c r="O2817" s="21" t="n">
        <v>0</v>
      </c>
      <c r="P2817" s="21" t="n">
        <v>0</v>
      </c>
      <c r="Q2817" s="21" t="n">
        <v>0</v>
      </c>
      <c r="R2817" s="21" t="n">
        <v>0</v>
      </c>
      <c r="S2817" s="21" t="n">
        <v>0</v>
      </c>
      <c r="T2817" s="21" t="n">
        <v>0</v>
      </c>
      <c r="U2817" s="21" t="n">
        <v>0</v>
      </c>
      <c r="V2817" s="21" t="n">
        <v>0</v>
      </c>
      <c r="W2817" s="21" t="n">
        <v>0</v>
      </c>
      <c r="X2817" s="21">
        <f>$B$1812</f>
        <v/>
      </c>
      <c r="Y2817" s="21">
        <f>$B$1814</f>
        <v/>
      </c>
      <c r="Z2817" s="21">
        <f>0</f>
        <v/>
      </c>
      <c r="AA2817" s="21">
        <f>2*$B$1813</f>
        <v/>
      </c>
      <c r="AB2817" s="21">
        <f>-$B$1812</f>
        <v/>
      </c>
      <c r="AC2817" s="21">
        <f>$B$1814</f>
        <v/>
      </c>
      <c r="AD2817" s="21" t="n">
        <v>0</v>
      </c>
      <c r="AE2817" s="21" t="n">
        <v>0</v>
      </c>
      <c r="AF2817" s="21" t="n">
        <v>0</v>
      </c>
      <c r="AG2817" s="21" t="n">
        <v>0</v>
      </c>
      <c r="AH2817" s="21" t="n">
        <v>0</v>
      </c>
      <c r="AI2817" s="21" t="n">
        <v>0</v>
      </c>
      <c r="AJ2817" s="21" t="n">
        <v>0</v>
      </c>
      <c r="AK2817" s="21" t="n">
        <v>0</v>
      </c>
      <c r="AL2817" s="21" t="n">
        <v>0</v>
      </c>
      <c r="AM2817" s="21" t="n">
        <v>0</v>
      </c>
      <c r="AN2817" s="21" t="n">
        <v>0</v>
      </c>
      <c r="AO2817" s="21" t="n">
        <v>0</v>
      </c>
      <c r="AP2817" s="21" t="n">
        <v>0</v>
      </c>
      <c r="AQ2817" s="21" t="n">
        <v>0</v>
      </c>
      <c r="AR2817" s="21" t="n">
        <v>0</v>
      </c>
      <c r="AS2817" s="21" t="n">
        <v>0</v>
      </c>
      <c r="AT2817" s="19" t="n"/>
    </row>
    <row r="2818">
      <c r="D2818" s="21" t="n">
        <v>0</v>
      </c>
      <c r="E2818" s="21" t="n">
        <v>0</v>
      </c>
      <c r="F2818" s="21" t="n">
        <v>0</v>
      </c>
      <c r="G2818" s="21" t="n">
        <v>0</v>
      </c>
      <c r="H2818" s="21" t="n">
        <v>0</v>
      </c>
      <c r="I2818" s="21" t="n">
        <v>0</v>
      </c>
      <c r="J2818" s="21" t="n">
        <v>0</v>
      </c>
      <c r="K2818" s="21" t="n">
        <v>0</v>
      </c>
      <c r="L2818" s="21" t="n">
        <v>0</v>
      </c>
      <c r="M2818" s="21" t="n">
        <v>0</v>
      </c>
      <c r="N2818" s="21" t="n">
        <v>0</v>
      </c>
      <c r="O2818" s="21" t="n">
        <v>0</v>
      </c>
      <c r="P2818" s="21" t="n">
        <v>0</v>
      </c>
      <c r="Q2818" s="21" t="n">
        <v>0</v>
      </c>
      <c r="R2818" s="21" t="n">
        <v>0</v>
      </c>
      <c r="S2818" s="21" t="n">
        <v>0</v>
      </c>
      <c r="T2818" s="21" t="n">
        <v>0</v>
      </c>
      <c r="U2818" s="21" t="n">
        <v>0</v>
      </c>
      <c r="V2818" s="21" t="n">
        <v>0</v>
      </c>
      <c r="W2818" s="21" t="n">
        <v>0</v>
      </c>
      <c r="X2818" s="21" t="n">
        <v>0</v>
      </c>
      <c r="Y2818" s="21" t="n">
        <v>0</v>
      </c>
      <c r="Z2818" s="21">
        <f>-$B$1811</f>
        <v/>
      </c>
      <c r="AA2818" s="21">
        <f>-$B$1812</f>
        <v/>
      </c>
      <c r="AB2818" s="21">
        <f>2*$B$1811+$D$2784</f>
        <v/>
      </c>
      <c r="AC2818" s="21">
        <f>0</f>
        <v/>
      </c>
      <c r="AD2818" s="21">
        <f>-$B$1811</f>
        <v/>
      </c>
      <c r="AE2818" s="21">
        <f>$B$1812</f>
        <v/>
      </c>
      <c r="AF2818" s="21" t="n">
        <v>0</v>
      </c>
      <c r="AG2818" s="21" t="n">
        <v>0</v>
      </c>
      <c r="AH2818" s="21" t="n">
        <v>0</v>
      </c>
      <c r="AI2818" s="21" t="n">
        <v>0</v>
      </c>
      <c r="AJ2818" s="21" t="n">
        <v>0</v>
      </c>
      <c r="AK2818" s="21" t="n">
        <v>0</v>
      </c>
      <c r="AL2818" s="21" t="n">
        <v>0</v>
      </c>
      <c r="AM2818" s="21" t="n">
        <v>0</v>
      </c>
      <c r="AN2818" s="21" t="n">
        <v>0</v>
      </c>
      <c r="AO2818" s="21" t="n">
        <v>0</v>
      </c>
      <c r="AP2818" s="21" t="n">
        <v>0</v>
      </c>
      <c r="AQ2818" s="21" t="n">
        <v>0</v>
      </c>
      <c r="AR2818" s="21" t="n">
        <v>0</v>
      </c>
      <c r="AS2818" s="21" t="n">
        <v>0</v>
      </c>
      <c r="AT2818" s="19" t="n"/>
    </row>
    <row r="2819">
      <c r="D2819" s="21" t="n">
        <v>0</v>
      </c>
      <c r="E2819" s="21" t="n">
        <v>0</v>
      </c>
      <c r="F2819" s="21" t="n">
        <v>0</v>
      </c>
      <c r="G2819" s="21" t="n">
        <v>0</v>
      </c>
      <c r="H2819" s="21" t="n">
        <v>0</v>
      </c>
      <c r="I2819" s="21" t="n">
        <v>0</v>
      </c>
      <c r="J2819" s="21" t="n">
        <v>0</v>
      </c>
      <c r="K2819" s="21" t="n">
        <v>0</v>
      </c>
      <c r="L2819" s="21" t="n">
        <v>0</v>
      </c>
      <c r="M2819" s="21" t="n">
        <v>0</v>
      </c>
      <c r="N2819" s="21" t="n">
        <v>0</v>
      </c>
      <c r="O2819" s="21" t="n">
        <v>0</v>
      </c>
      <c r="P2819" s="21" t="n">
        <v>0</v>
      </c>
      <c r="Q2819" s="21" t="n">
        <v>0</v>
      </c>
      <c r="R2819" s="21" t="n">
        <v>0</v>
      </c>
      <c r="S2819" s="21" t="n">
        <v>0</v>
      </c>
      <c r="T2819" s="21" t="n">
        <v>0</v>
      </c>
      <c r="U2819" s="21" t="n">
        <v>0</v>
      </c>
      <c r="V2819" s="21" t="n">
        <v>0</v>
      </c>
      <c r="W2819" s="21" t="n">
        <v>0</v>
      </c>
      <c r="X2819" s="21" t="n">
        <v>0</v>
      </c>
      <c r="Y2819" s="21" t="n">
        <v>0</v>
      </c>
      <c r="Z2819" s="21">
        <f>$B$1812</f>
        <v/>
      </c>
      <c r="AA2819" s="21">
        <f>$B$1814</f>
        <v/>
      </c>
      <c r="AB2819" s="21">
        <f>0</f>
        <v/>
      </c>
      <c r="AC2819" s="21">
        <f>2*$B$1813</f>
        <v/>
      </c>
      <c r="AD2819" s="21">
        <f>-$B$1812</f>
        <v/>
      </c>
      <c r="AE2819" s="21">
        <f>$B$1814</f>
        <v/>
      </c>
      <c r="AF2819" s="21" t="n">
        <v>0</v>
      </c>
      <c r="AG2819" s="21" t="n">
        <v>0</v>
      </c>
      <c r="AH2819" s="21" t="n">
        <v>0</v>
      </c>
      <c r="AI2819" s="21" t="n">
        <v>0</v>
      </c>
      <c r="AJ2819" s="21" t="n">
        <v>0</v>
      </c>
      <c r="AK2819" s="21" t="n">
        <v>0</v>
      </c>
      <c r="AL2819" s="21" t="n">
        <v>0</v>
      </c>
      <c r="AM2819" s="21" t="n">
        <v>0</v>
      </c>
      <c r="AN2819" s="21" t="n">
        <v>0</v>
      </c>
      <c r="AO2819" s="21" t="n">
        <v>0</v>
      </c>
      <c r="AP2819" s="21" t="n">
        <v>0</v>
      </c>
      <c r="AQ2819" s="21" t="n">
        <v>0</v>
      </c>
      <c r="AR2819" s="21" t="n">
        <v>0</v>
      </c>
      <c r="AS2819" s="21" t="n">
        <v>0</v>
      </c>
      <c r="AT2819" s="19" t="n"/>
    </row>
    <row r="2820">
      <c r="D2820" s="21" t="n">
        <v>0</v>
      </c>
      <c r="E2820" s="21" t="n">
        <v>0</v>
      </c>
      <c r="F2820" s="21" t="n">
        <v>0</v>
      </c>
      <c r="G2820" s="21" t="n">
        <v>0</v>
      </c>
      <c r="H2820" s="21" t="n">
        <v>0</v>
      </c>
      <c r="I2820" s="21" t="n">
        <v>0</v>
      </c>
      <c r="J2820" s="21" t="n">
        <v>0</v>
      </c>
      <c r="K2820" s="21" t="n">
        <v>0</v>
      </c>
      <c r="L2820" s="21" t="n">
        <v>0</v>
      </c>
      <c r="M2820" s="21" t="n">
        <v>0</v>
      </c>
      <c r="N2820" s="21" t="n">
        <v>0</v>
      </c>
      <c r="O2820" s="21" t="n">
        <v>0</v>
      </c>
      <c r="P2820" s="21" t="n">
        <v>0</v>
      </c>
      <c r="Q2820" s="21" t="n">
        <v>0</v>
      </c>
      <c r="R2820" s="21" t="n">
        <v>0</v>
      </c>
      <c r="S2820" s="21" t="n">
        <v>0</v>
      </c>
      <c r="T2820" s="21" t="n">
        <v>0</v>
      </c>
      <c r="U2820" s="21" t="n">
        <v>0</v>
      </c>
      <c r="V2820" s="21" t="n">
        <v>0</v>
      </c>
      <c r="W2820" s="21" t="n">
        <v>0</v>
      </c>
      <c r="X2820" s="21" t="n">
        <v>0</v>
      </c>
      <c r="Y2820" s="21" t="n">
        <v>0</v>
      </c>
      <c r="Z2820" s="21" t="n">
        <v>0</v>
      </c>
      <c r="AA2820" s="21" t="n">
        <v>0</v>
      </c>
      <c r="AB2820" s="21">
        <f>-$B$1811</f>
        <v/>
      </c>
      <c r="AC2820" s="21">
        <f>-$B$1812</f>
        <v/>
      </c>
      <c r="AD2820" s="21">
        <f>2*$B$1811+$D$2785</f>
        <v/>
      </c>
      <c r="AE2820" s="21">
        <f>0</f>
        <v/>
      </c>
      <c r="AF2820" s="21">
        <f>-$B$1811</f>
        <v/>
      </c>
      <c r="AG2820" s="21">
        <f>$B$1812</f>
        <v/>
      </c>
      <c r="AH2820" s="21" t="n">
        <v>0</v>
      </c>
      <c r="AI2820" s="21" t="n">
        <v>0</v>
      </c>
      <c r="AJ2820" s="21" t="n">
        <v>0</v>
      </c>
      <c r="AK2820" s="21" t="n">
        <v>0</v>
      </c>
      <c r="AL2820" s="21" t="n">
        <v>0</v>
      </c>
      <c r="AM2820" s="21" t="n">
        <v>0</v>
      </c>
      <c r="AN2820" s="21" t="n">
        <v>0</v>
      </c>
      <c r="AO2820" s="21" t="n">
        <v>0</v>
      </c>
      <c r="AP2820" s="21" t="n">
        <v>0</v>
      </c>
      <c r="AQ2820" s="21" t="n">
        <v>0</v>
      </c>
      <c r="AR2820" s="21" t="n">
        <v>0</v>
      </c>
      <c r="AS2820" s="21" t="n">
        <v>0</v>
      </c>
      <c r="AT2820" s="19" t="n"/>
    </row>
    <row r="2821">
      <c r="D2821" s="21" t="n">
        <v>0</v>
      </c>
      <c r="E2821" s="21" t="n">
        <v>0</v>
      </c>
      <c r="F2821" s="21" t="n">
        <v>0</v>
      </c>
      <c r="G2821" s="21" t="n">
        <v>0</v>
      </c>
      <c r="H2821" s="21" t="n">
        <v>0</v>
      </c>
      <c r="I2821" s="21" t="n">
        <v>0</v>
      </c>
      <c r="J2821" s="21" t="n">
        <v>0</v>
      </c>
      <c r="K2821" s="21" t="n">
        <v>0</v>
      </c>
      <c r="L2821" s="21" t="n">
        <v>0</v>
      </c>
      <c r="M2821" s="21" t="n">
        <v>0</v>
      </c>
      <c r="N2821" s="21" t="n">
        <v>0</v>
      </c>
      <c r="O2821" s="21" t="n">
        <v>0</v>
      </c>
      <c r="P2821" s="21" t="n">
        <v>0</v>
      </c>
      <c r="Q2821" s="21" t="n">
        <v>0</v>
      </c>
      <c r="R2821" s="21" t="n">
        <v>0</v>
      </c>
      <c r="S2821" s="21" t="n">
        <v>0</v>
      </c>
      <c r="T2821" s="21" t="n">
        <v>0</v>
      </c>
      <c r="U2821" s="21" t="n">
        <v>0</v>
      </c>
      <c r="V2821" s="21" t="n">
        <v>0</v>
      </c>
      <c r="W2821" s="21" t="n">
        <v>0</v>
      </c>
      <c r="X2821" s="21" t="n">
        <v>0</v>
      </c>
      <c r="Y2821" s="21" t="n">
        <v>0</v>
      </c>
      <c r="Z2821" s="21" t="n">
        <v>0</v>
      </c>
      <c r="AA2821" s="21" t="n">
        <v>0</v>
      </c>
      <c r="AB2821" s="21">
        <f>$B$1812</f>
        <v/>
      </c>
      <c r="AC2821" s="21">
        <f>$B$1814</f>
        <v/>
      </c>
      <c r="AD2821" s="21">
        <f>0</f>
        <v/>
      </c>
      <c r="AE2821" s="21">
        <f>2*$B$1813</f>
        <v/>
      </c>
      <c r="AF2821" s="21">
        <f>-$B$1812</f>
        <v/>
      </c>
      <c r="AG2821" s="21">
        <f>$B$1814</f>
        <v/>
      </c>
      <c r="AH2821" s="21" t="n">
        <v>0</v>
      </c>
      <c r="AI2821" s="21" t="n">
        <v>0</v>
      </c>
      <c r="AJ2821" s="21" t="n">
        <v>0</v>
      </c>
      <c r="AK2821" s="21" t="n">
        <v>0</v>
      </c>
      <c r="AL2821" s="21" t="n">
        <v>0</v>
      </c>
      <c r="AM2821" s="21" t="n">
        <v>0</v>
      </c>
      <c r="AN2821" s="21" t="n">
        <v>0</v>
      </c>
      <c r="AO2821" s="21" t="n">
        <v>0</v>
      </c>
      <c r="AP2821" s="21" t="n">
        <v>0</v>
      </c>
      <c r="AQ2821" s="21" t="n">
        <v>0</v>
      </c>
      <c r="AR2821" s="21" t="n">
        <v>0</v>
      </c>
      <c r="AS2821" s="21" t="n">
        <v>0</v>
      </c>
      <c r="AT2821" s="19" t="n"/>
    </row>
    <row r="2822">
      <c r="D2822" s="21" t="n">
        <v>0</v>
      </c>
      <c r="E2822" s="21" t="n">
        <v>0</v>
      </c>
      <c r="F2822" s="21" t="n">
        <v>0</v>
      </c>
      <c r="G2822" s="21" t="n">
        <v>0</v>
      </c>
      <c r="H2822" s="21" t="n">
        <v>0</v>
      </c>
      <c r="I2822" s="21" t="n">
        <v>0</v>
      </c>
      <c r="J2822" s="21" t="n">
        <v>0</v>
      </c>
      <c r="K2822" s="21" t="n">
        <v>0</v>
      </c>
      <c r="L2822" s="21" t="n">
        <v>0</v>
      </c>
      <c r="M2822" s="21" t="n">
        <v>0</v>
      </c>
      <c r="N2822" s="21" t="n">
        <v>0</v>
      </c>
      <c r="O2822" s="21" t="n">
        <v>0</v>
      </c>
      <c r="P2822" s="21" t="n">
        <v>0</v>
      </c>
      <c r="Q2822" s="21" t="n">
        <v>0</v>
      </c>
      <c r="R2822" s="21" t="n">
        <v>0</v>
      </c>
      <c r="S2822" s="21" t="n">
        <v>0</v>
      </c>
      <c r="T2822" s="21" t="n">
        <v>0</v>
      </c>
      <c r="U2822" s="21" t="n">
        <v>0</v>
      </c>
      <c r="V2822" s="21" t="n">
        <v>0</v>
      </c>
      <c r="W2822" s="21" t="n">
        <v>0</v>
      </c>
      <c r="X2822" s="21" t="n">
        <v>0</v>
      </c>
      <c r="Y2822" s="21" t="n">
        <v>0</v>
      </c>
      <c r="Z2822" s="21" t="n">
        <v>0</v>
      </c>
      <c r="AA2822" s="21" t="n">
        <v>0</v>
      </c>
      <c r="AB2822" s="21" t="n">
        <v>0</v>
      </c>
      <c r="AC2822" s="21" t="n">
        <v>0</v>
      </c>
      <c r="AD2822" s="21">
        <f>-$B$1811</f>
        <v/>
      </c>
      <c r="AE2822" s="21">
        <f>-$B$1812</f>
        <v/>
      </c>
      <c r="AF2822" s="21">
        <f>2*$B$1811+$D$2786</f>
        <v/>
      </c>
      <c r="AG2822" s="21">
        <f>0</f>
        <v/>
      </c>
      <c r="AH2822" s="21">
        <f>-$B$1811</f>
        <v/>
      </c>
      <c r="AI2822" s="21">
        <f>$B$1812</f>
        <v/>
      </c>
      <c r="AJ2822" s="21" t="n">
        <v>0</v>
      </c>
      <c r="AK2822" s="21" t="n">
        <v>0</v>
      </c>
      <c r="AL2822" s="21" t="n">
        <v>0</v>
      </c>
      <c r="AM2822" s="21" t="n">
        <v>0</v>
      </c>
      <c r="AN2822" s="21" t="n">
        <v>0</v>
      </c>
      <c r="AO2822" s="21" t="n">
        <v>0</v>
      </c>
      <c r="AP2822" s="21" t="n">
        <v>0</v>
      </c>
      <c r="AQ2822" s="21" t="n">
        <v>0</v>
      </c>
      <c r="AR2822" s="21" t="n">
        <v>0</v>
      </c>
      <c r="AS2822" s="21" t="n">
        <v>0</v>
      </c>
      <c r="AT2822" s="19" t="n"/>
    </row>
    <row r="2823">
      <c r="D2823" s="21" t="n">
        <v>0</v>
      </c>
      <c r="E2823" s="21" t="n">
        <v>0</v>
      </c>
      <c r="F2823" s="21" t="n">
        <v>0</v>
      </c>
      <c r="G2823" s="21" t="n">
        <v>0</v>
      </c>
      <c r="H2823" s="21" t="n">
        <v>0</v>
      </c>
      <c r="I2823" s="21" t="n">
        <v>0</v>
      </c>
      <c r="J2823" s="21" t="n">
        <v>0</v>
      </c>
      <c r="K2823" s="21" t="n">
        <v>0</v>
      </c>
      <c r="L2823" s="21" t="n">
        <v>0</v>
      </c>
      <c r="M2823" s="21" t="n">
        <v>0</v>
      </c>
      <c r="N2823" s="21" t="n">
        <v>0</v>
      </c>
      <c r="O2823" s="21" t="n">
        <v>0</v>
      </c>
      <c r="P2823" s="21" t="n">
        <v>0</v>
      </c>
      <c r="Q2823" s="21" t="n">
        <v>0</v>
      </c>
      <c r="R2823" s="21" t="n">
        <v>0</v>
      </c>
      <c r="S2823" s="21" t="n">
        <v>0</v>
      </c>
      <c r="T2823" s="21" t="n">
        <v>0</v>
      </c>
      <c r="U2823" s="21" t="n">
        <v>0</v>
      </c>
      <c r="V2823" s="21" t="n">
        <v>0</v>
      </c>
      <c r="W2823" s="21" t="n">
        <v>0</v>
      </c>
      <c r="X2823" s="21" t="n">
        <v>0</v>
      </c>
      <c r="Y2823" s="21" t="n">
        <v>0</v>
      </c>
      <c r="Z2823" s="21" t="n">
        <v>0</v>
      </c>
      <c r="AA2823" s="21" t="n">
        <v>0</v>
      </c>
      <c r="AB2823" s="21" t="n">
        <v>0</v>
      </c>
      <c r="AC2823" s="21" t="n">
        <v>0</v>
      </c>
      <c r="AD2823" s="21">
        <f>$B$1812</f>
        <v/>
      </c>
      <c r="AE2823" s="21">
        <f>$B$1814</f>
        <v/>
      </c>
      <c r="AF2823" s="21">
        <f>0</f>
        <v/>
      </c>
      <c r="AG2823" s="21">
        <f>2*$B$1813</f>
        <v/>
      </c>
      <c r="AH2823" s="21">
        <f>-$B$1812</f>
        <v/>
      </c>
      <c r="AI2823" s="21">
        <f>$B$1814</f>
        <v/>
      </c>
      <c r="AJ2823" s="21" t="n">
        <v>0</v>
      </c>
      <c r="AK2823" s="21" t="n">
        <v>0</v>
      </c>
      <c r="AL2823" s="21" t="n">
        <v>0</v>
      </c>
      <c r="AM2823" s="21" t="n">
        <v>0</v>
      </c>
      <c r="AN2823" s="21" t="n">
        <v>0</v>
      </c>
      <c r="AO2823" s="21" t="n">
        <v>0</v>
      </c>
      <c r="AP2823" s="21" t="n">
        <v>0</v>
      </c>
      <c r="AQ2823" s="21" t="n">
        <v>0</v>
      </c>
      <c r="AR2823" s="21" t="n">
        <v>0</v>
      </c>
      <c r="AS2823" s="21" t="n">
        <v>0</v>
      </c>
      <c r="AT2823" s="19" t="n"/>
    </row>
    <row r="2824">
      <c r="D2824" s="21" t="n">
        <v>0</v>
      </c>
      <c r="E2824" s="21" t="n">
        <v>0</v>
      </c>
      <c r="F2824" s="21" t="n">
        <v>0</v>
      </c>
      <c r="G2824" s="21" t="n">
        <v>0</v>
      </c>
      <c r="H2824" s="21" t="n">
        <v>0</v>
      </c>
      <c r="I2824" s="21" t="n">
        <v>0</v>
      </c>
      <c r="J2824" s="21" t="n">
        <v>0</v>
      </c>
      <c r="K2824" s="21" t="n">
        <v>0</v>
      </c>
      <c r="L2824" s="21" t="n">
        <v>0</v>
      </c>
      <c r="M2824" s="21" t="n">
        <v>0</v>
      </c>
      <c r="N2824" s="21" t="n">
        <v>0</v>
      </c>
      <c r="O2824" s="21" t="n">
        <v>0</v>
      </c>
      <c r="P2824" s="21" t="n">
        <v>0</v>
      </c>
      <c r="Q2824" s="21" t="n">
        <v>0</v>
      </c>
      <c r="R2824" s="21" t="n">
        <v>0</v>
      </c>
      <c r="S2824" s="21" t="n">
        <v>0</v>
      </c>
      <c r="T2824" s="21" t="n">
        <v>0</v>
      </c>
      <c r="U2824" s="21" t="n">
        <v>0</v>
      </c>
      <c r="V2824" s="21" t="n">
        <v>0</v>
      </c>
      <c r="W2824" s="21" t="n">
        <v>0</v>
      </c>
      <c r="X2824" s="21" t="n">
        <v>0</v>
      </c>
      <c r="Y2824" s="21" t="n">
        <v>0</v>
      </c>
      <c r="Z2824" s="21" t="n">
        <v>0</v>
      </c>
      <c r="AA2824" s="21" t="n">
        <v>0</v>
      </c>
      <c r="AB2824" s="21" t="n">
        <v>0</v>
      </c>
      <c r="AC2824" s="21" t="n">
        <v>0</v>
      </c>
      <c r="AD2824" s="21" t="n">
        <v>0</v>
      </c>
      <c r="AE2824" s="21" t="n">
        <v>0</v>
      </c>
      <c r="AF2824" s="21">
        <f>-$B$1811</f>
        <v/>
      </c>
      <c r="AG2824" s="21">
        <f>-$B$1812</f>
        <v/>
      </c>
      <c r="AH2824" s="21">
        <f>2*$B$1811+$D$2787</f>
        <v/>
      </c>
      <c r="AI2824" s="21">
        <f>0</f>
        <v/>
      </c>
      <c r="AJ2824" s="21">
        <f>-$B$1811</f>
        <v/>
      </c>
      <c r="AK2824" s="21">
        <f>$B$1812</f>
        <v/>
      </c>
      <c r="AL2824" s="21" t="n">
        <v>0</v>
      </c>
      <c r="AM2824" s="21" t="n">
        <v>0</v>
      </c>
      <c r="AN2824" s="21" t="n">
        <v>0</v>
      </c>
      <c r="AO2824" s="21" t="n">
        <v>0</v>
      </c>
      <c r="AP2824" s="21" t="n">
        <v>0</v>
      </c>
      <c r="AQ2824" s="21" t="n">
        <v>0</v>
      </c>
      <c r="AR2824" s="21" t="n">
        <v>0</v>
      </c>
      <c r="AS2824" s="21" t="n">
        <v>0</v>
      </c>
      <c r="AT2824" s="19" t="n"/>
    </row>
    <row r="2825">
      <c r="D2825" s="21" t="n">
        <v>0</v>
      </c>
      <c r="E2825" s="21" t="n">
        <v>0</v>
      </c>
      <c r="F2825" s="21" t="n">
        <v>0</v>
      </c>
      <c r="G2825" s="21" t="n">
        <v>0</v>
      </c>
      <c r="H2825" s="21" t="n">
        <v>0</v>
      </c>
      <c r="I2825" s="21" t="n">
        <v>0</v>
      </c>
      <c r="J2825" s="21" t="n">
        <v>0</v>
      </c>
      <c r="K2825" s="21" t="n">
        <v>0</v>
      </c>
      <c r="L2825" s="21" t="n">
        <v>0</v>
      </c>
      <c r="M2825" s="21" t="n">
        <v>0</v>
      </c>
      <c r="N2825" s="21" t="n">
        <v>0</v>
      </c>
      <c r="O2825" s="21" t="n">
        <v>0</v>
      </c>
      <c r="P2825" s="21" t="n">
        <v>0</v>
      </c>
      <c r="Q2825" s="21" t="n">
        <v>0</v>
      </c>
      <c r="R2825" s="21" t="n">
        <v>0</v>
      </c>
      <c r="S2825" s="21" t="n">
        <v>0</v>
      </c>
      <c r="T2825" s="21" t="n">
        <v>0</v>
      </c>
      <c r="U2825" s="21" t="n">
        <v>0</v>
      </c>
      <c r="V2825" s="21" t="n">
        <v>0</v>
      </c>
      <c r="W2825" s="21" t="n">
        <v>0</v>
      </c>
      <c r="X2825" s="21" t="n">
        <v>0</v>
      </c>
      <c r="Y2825" s="21" t="n">
        <v>0</v>
      </c>
      <c r="Z2825" s="21" t="n">
        <v>0</v>
      </c>
      <c r="AA2825" s="21" t="n">
        <v>0</v>
      </c>
      <c r="AB2825" s="21" t="n">
        <v>0</v>
      </c>
      <c r="AC2825" s="21" t="n">
        <v>0</v>
      </c>
      <c r="AD2825" s="21" t="n">
        <v>0</v>
      </c>
      <c r="AE2825" s="21" t="n">
        <v>0</v>
      </c>
      <c r="AF2825" s="21">
        <f>$B$1812</f>
        <v/>
      </c>
      <c r="AG2825" s="21">
        <f>$B$1814</f>
        <v/>
      </c>
      <c r="AH2825" s="21">
        <f>0</f>
        <v/>
      </c>
      <c r="AI2825" s="21">
        <f>2*$B$1813</f>
        <v/>
      </c>
      <c r="AJ2825" s="21">
        <f>-$B$1812</f>
        <v/>
      </c>
      <c r="AK2825" s="21">
        <f>$B$1814</f>
        <v/>
      </c>
      <c r="AL2825" s="21" t="n">
        <v>0</v>
      </c>
      <c r="AM2825" s="21" t="n">
        <v>0</v>
      </c>
      <c r="AN2825" s="21" t="n">
        <v>0</v>
      </c>
      <c r="AO2825" s="21" t="n">
        <v>0</v>
      </c>
      <c r="AP2825" s="21" t="n">
        <v>0</v>
      </c>
      <c r="AQ2825" s="21" t="n">
        <v>0</v>
      </c>
      <c r="AR2825" s="21" t="n">
        <v>0</v>
      </c>
      <c r="AS2825" s="21" t="n">
        <v>0</v>
      </c>
      <c r="AT2825" s="19" t="n"/>
    </row>
    <row r="2826">
      <c r="D2826" s="21" t="n">
        <v>0</v>
      </c>
      <c r="E2826" s="21" t="n">
        <v>0</v>
      </c>
      <c r="F2826" s="21" t="n">
        <v>0</v>
      </c>
      <c r="G2826" s="21" t="n">
        <v>0</v>
      </c>
      <c r="H2826" s="21" t="n">
        <v>0</v>
      </c>
      <c r="I2826" s="21" t="n">
        <v>0</v>
      </c>
      <c r="J2826" s="21" t="n">
        <v>0</v>
      </c>
      <c r="K2826" s="21" t="n">
        <v>0</v>
      </c>
      <c r="L2826" s="21" t="n">
        <v>0</v>
      </c>
      <c r="M2826" s="21" t="n">
        <v>0</v>
      </c>
      <c r="N2826" s="21" t="n">
        <v>0</v>
      </c>
      <c r="O2826" s="21" t="n">
        <v>0</v>
      </c>
      <c r="P2826" s="21" t="n">
        <v>0</v>
      </c>
      <c r="Q2826" s="21" t="n">
        <v>0</v>
      </c>
      <c r="R2826" s="21" t="n">
        <v>0</v>
      </c>
      <c r="S2826" s="21" t="n">
        <v>0</v>
      </c>
      <c r="T2826" s="21" t="n">
        <v>0</v>
      </c>
      <c r="U2826" s="21" t="n">
        <v>0</v>
      </c>
      <c r="V2826" s="21" t="n">
        <v>0</v>
      </c>
      <c r="W2826" s="21" t="n">
        <v>0</v>
      </c>
      <c r="X2826" s="21" t="n">
        <v>0</v>
      </c>
      <c r="Y2826" s="21" t="n">
        <v>0</v>
      </c>
      <c r="Z2826" s="21" t="n">
        <v>0</v>
      </c>
      <c r="AA2826" s="21" t="n">
        <v>0</v>
      </c>
      <c r="AB2826" s="21" t="n">
        <v>0</v>
      </c>
      <c r="AC2826" s="21" t="n">
        <v>0</v>
      </c>
      <c r="AD2826" s="21" t="n">
        <v>0</v>
      </c>
      <c r="AE2826" s="21" t="n">
        <v>0</v>
      </c>
      <c r="AF2826" s="21" t="n">
        <v>0</v>
      </c>
      <c r="AG2826" s="21" t="n">
        <v>0</v>
      </c>
      <c r="AH2826" s="21">
        <f>-$B$1811</f>
        <v/>
      </c>
      <c r="AI2826" s="21">
        <f>-$B$1812</f>
        <v/>
      </c>
      <c r="AJ2826" s="21">
        <f>2*$B$1811+$D$2788</f>
        <v/>
      </c>
      <c r="AK2826" s="21">
        <f>0</f>
        <v/>
      </c>
      <c r="AL2826" s="21">
        <f>-$B$1811</f>
        <v/>
      </c>
      <c r="AM2826" s="21">
        <f>$B$1812</f>
        <v/>
      </c>
      <c r="AN2826" s="21" t="n">
        <v>0</v>
      </c>
      <c r="AO2826" s="21" t="n">
        <v>0</v>
      </c>
      <c r="AP2826" s="21" t="n">
        <v>0</v>
      </c>
      <c r="AQ2826" s="21" t="n">
        <v>0</v>
      </c>
      <c r="AR2826" s="21" t="n">
        <v>0</v>
      </c>
      <c r="AS2826" s="21" t="n">
        <v>0</v>
      </c>
      <c r="AT2826" s="19" t="n"/>
    </row>
    <row r="2827">
      <c r="D2827" s="21" t="n">
        <v>0</v>
      </c>
      <c r="E2827" s="21" t="n">
        <v>0</v>
      </c>
      <c r="F2827" s="21" t="n">
        <v>0</v>
      </c>
      <c r="G2827" s="21" t="n">
        <v>0</v>
      </c>
      <c r="H2827" s="21" t="n">
        <v>0</v>
      </c>
      <c r="I2827" s="21" t="n">
        <v>0</v>
      </c>
      <c r="J2827" s="21" t="n">
        <v>0</v>
      </c>
      <c r="K2827" s="21" t="n">
        <v>0</v>
      </c>
      <c r="L2827" s="21" t="n">
        <v>0</v>
      </c>
      <c r="M2827" s="21" t="n">
        <v>0</v>
      </c>
      <c r="N2827" s="21" t="n">
        <v>0</v>
      </c>
      <c r="O2827" s="21" t="n">
        <v>0</v>
      </c>
      <c r="P2827" s="21" t="n">
        <v>0</v>
      </c>
      <c r="Q2827" s="21" t="n">
        <v>0</v>
      </c>
      <c r="R2827" s="21" t="n">
        <v>0</v>
      </c>
      <c r="S2827" s="21" t="n">
        <v>0</v>
      </c>
      <c r="T2827" s="21" t="n">
        <v>0</v>
      </c>
      <c r="U2827" s="21" t="n">
        <v>0</v>
      </c>
      <c r="V2827" s="21" t="n">
        <v>0</v>
      </c>
      <c r="W2827" s="21" t="n">
        <v>0</v>
      </c>
      <c r="X2827" s="21" t="n">
        <v>0</v>
      </c>
      <c r="Y2827" s="21" t="n">
        <v>0</v>
      </c>
      <c r="Z2827" s="21" t="n">
        <v>0</v>
      </c>
      <c r="AA2827" s="21" t="n">
        <v>0</v>
      </c>
      <c r="AB2827" s="21" t="n">
        <v>0</v>
      </c>
      <c r="AC2827" s="21" t="n">
        <v>0</v>
      </c>
      <c r="AD2827" s="21" t="n">
        <v>0</v>
      </c>
      <c r="AE2827" s="21" t="n">
        <v>0</v>
      </c>
      <c r="AF2827" s="21" t="n">
        <v>0</v>
      </c>
      <c r="AG2827" s="21" t="n">
        <v>0</v>
      </c>
      <c r="AH2827" s="21">
        <f>$B$1812</f>
        <v/>
      </c>
      <c r="AI2827" s="21">
        <f>$B$1814</f>
        <v/>
      </c>
      <c r="AJ2827" s="21">
        <f>0</f>
        <v/>
      </c>
      <c r="AK2827" s="21">
        <f>2*$B$1813</f>
        <v/>
      </c>
      <c r="AL2827" s="21">
        <f>-$B$1812</f>
        <v/>
      </c>
      <c r="AM2827" s="21">
        <f>$B$1814</f>
        <v/>
      </c>
      <c r="AN2827" s="21" t="n">
        <v>0</v>
      </c>
      <c r="AO2827" s="21" t="n">
        <v>0</v>
      </c>
      <c r="AP2827" s="21" t="n">
        <v>0</v>
      </c>
      <c r="AQ2827" s="21" t="n">
        <v>0</v>
      </c>
      <c r="AR2827" s="21" t="n">
        <v>0</v>
      </c>
      <c r="AS2827" s="21" t="n">
        <v>0</v>
      </c>
      <c r="AT2827" s="19" t="n"/>
    </row>
    <row r="2828">
      <c r="D2828" s="21" t="n">
        <v>0</v>
      </c>
      <c r="E2828" s="21" t="n">
        <v>0</v>
      </c>
      <c r="F2828" s="21" t="n">
        <v>0</v>
      </c>
      <c r="G2828" s="21" t="n">
        <v>0</v>
      </c>
      <c r="H2828" s="21" t="n">
        <v>0</v>
      </c>
      <c r="I2828" s="21" t="n">
        <v>0</v>
      </c>
      <c r="J2828" s="21" t="n">
        <v>0</v>
      </c>
      <c r="K2828" s="21" t="n">
        <v>0</v>
      </c>
      <c r="L2828" s="21" t="n">
        <v>0</v>
      </c>
      <c r="M2828" s="21" t="n">
        <v>0</v>
      </c>
      <c r="N2828" s="21" t="n">
        <v>0</v>
      </c>
      <c r="O2828" s="21" t="n">
        <v>0</v>
      </c>
      <c r="P2828" s="21" t="n">
        <v>0</v>
      </c>
      <c r="Q2828" s="21" t="n">
        <v>0</v>
      </c>
      <c r="R2828" s="21" t="n">
        <v>0</v>
      </c>
      <c r="S2828" s="21" t="n">
        <v>0</v>
      </c>
      <c r="T2828" s="21" t="n">
        <v>0</v>
      </c>
      <c r="U2828" s="21" t="n">
        <v>0</v>
      </c>
      <c r="V2828" s="21" t="n">
        <v>0</v>
      </c>
      <c r="W2828" s="21" t="n">
        <v>0</v>
      </c>
      <c r="X2828" s="21" t="n">
        <v>0</v>
      </c>
      <c r="Y2828" s="21" t="n">
        <v>0</v>
      </c>
      <c r="Z2828" s="21" t="n">
        <v>0</v>
      </c>
      <c r="AA2828" s="21" t="n">
        <v>0</v>
      </c>
      <c r="AB2828" s="21" t="n">
        <v>0</v>
      </c>
      <c r="AC2828" s="21" t="n">
        <v>0</v>
      </c>
      <c r="AD2828" s="21" t="n">
        <v>0</v>
      </c>
      <c r="AE2828" s="21" t="n">
        <v>0</v>
      </c>
      <c r="AF2828" s="21" t="n">
        <v>0</v>
      </c>
      <c r="AG2828" s="21" t="n">
        <v>0</v>
      </c>
      <c r="AH2828" s="21" t="n">
        <v>0</v>
      </c>
      <c r="AI2828" s="21" t="n">
        <v>0</v>
      </c>
      <c r="AJ2828" s="21">
        <f>-$B$1811</f>
        <v/>
      </c>
      <c r="AK2828" s="21">
        <f>-$B$1812</f>
        <v/>
      </c>
      <c r="AL2828" s="21">
        <f>2*$B$1811+$D$2789</f>
        <v/>
      </c>
      <c r="AM2828" s="21">
        <f>0</f>
        <v/>
      </c>
      <c r="AN2828" s="21">
        <f>-$B$1811</f>
        <v/>
      </c>
      <c r="AO2828" s="21">
        <f>$B$1812</f>
        <v/>
      </c>
      <c r="AP2828" s="21" t="n">
        <v>0</v>
      </c>
      <c r="AQ2828" s="21" t="n">
        <v>0</v>
      </c>
      <c r="AR2828" s="21" t="n">
        <v>0</v>
      </c>
      <c r="AS2828" s="21" t="n">
        <v>0</v>
      </c>
      <c r="AT2828" s="19" t="n"/>
    </row>
    <row r="2829">
      <c r="D2829" s="21" t="n">
        <v>0</v>
      </c>
      <c r="E2829" s="21" t="n">
        <v>0</v>
      </c>
      <c r="F2829" s="21" t="n">
        <v>0</v>
      </c>
      <c r="G2829" s="21" t="n">
        <v>0</v>
      </c>
      <c r="H2829" s="21" t="n">
        <v>0</v>
      </c>
      <c r="I2829" s="21" t="n">
        <v>0</v>
      </c>
      <c r="J2829" s="21" t="n">
        <v>0</v>
      </c>
      <c r="K2829" s="21" t="n">
        <v>0</v>
      </c>
      <c r="L2829" s="21" t="n">
        <v>0</v>
      </c>
      <c r="M2829" s="21" t="n">
        <v>0</v>
      </c>
      <c r="N2829" s="21" t="n">
        <v>0</v>
      </c>
      <c r="O2829" s="21" t="n">
        <v>0</v>
      </c>
      <c r="P2829" s="21" t="n">
        <v>0</v>
      </c>
      <c r="Q2829" s="21" t="n">
        <v>0</v>
      </c>
      <c r="R2829" s="21" t="n">
        <v>0</v>
      </c>
      <c r="S2829" s="21" t="n">
        <v>0</v>
      </c>
      <c r="T2829" s="21" t="n">
        <v>0</v>
      </c>
      <c r="U2829" s="21" t="n">
        <v>0</v>
      </c>
      <c r="V2829" s="21" t="n">
        <v>0</v>
      </c>
      <c r="W2829" s="21" t="n">
        <v>0</v>
      </c>
      <c r="X2829" s="21" t="n">
        <v>0</v>
      </c>
      <c r="Y2829" s="21" t="n">
        <v>0</v>
      </c>
      <c r="Z2829" s="21" t="n">
        <v>0</v>
      </c>
      <c r="AA2829" s="21" t="n">
        <v>0</v>
      </c>
      <c r="AB2829" s="21" t="n">
        <v>0</v>
      </c>
      <c r="AC2829" s="21" t="n">
        <v>0</v>
      </c>
      <c r="AD2829" s="21" t="n">
        <v>0</v>
      </c>
      <c r="AE2829" s="21" t="n">
        <v>0</v>
      </c>
      <c r="AF2829" s="21" t="n">
        <v>0</v>
      </c>
      <c r="AG2829" s="21" t="n">
        <v>0</v>
      </c>
      <c r="AH2829" s="21" t="n">
        <v>0</v>
      </c>
      <c r="AI2829" s="21" t="n">
        <v>0</v>
      </c>
      <c r="AJ2829" s="21">
        <f>$B$1812</f>
        <v/>
      </c>
      <c r="AK2829" s="21">
        <f>$B$1814</f>
        <v/>
      </c>
      <c r="AL2829" s="21">
        <f>0</f>
        <v/>
      </c>
      <c r="AM2829" s="21">
        <f>2*$B$1813</f>
        <v/>
      </c>
      <c r="AN2829" s="21">
        <f>-$B$1812</f>
        <v/>
      </c>
      <c r="AO2829" s="21">
        <f>$B$1814</f>
        <v/>
      </c>
      <c r="AP2829" s="21" t="n">
        <v>0</v>
      </c>
      <c r="AQ2829" s="21" t="n">
        <v>0</v>
      </c>
      <c r="AR2829" s="21" t="n">
        <v>0</v>
      </c>
      <c r="AS2829" s="21" t="n">
        <v>0</v>
      </c>
      <c r="AT2829" s="19" t="n"/>
    </row>
    <row r="2830">
      <c r="D2830" s="21" t="n">
        <v>0</v>
      </c>
      <c r="E2830" s="21" t="n">
        <v>0</v>
      </c>
      <c r="F2830" s="21" t="n">
        <v>0</v>
      </c>
      <c r="G2830" s="21" t="n">
        <v>0</v>
      </c>
      <c r="H2830" s="21" t="n">
        <v>0</v>
      </c>
      <c r="I2830" s="21" t="n">
        <v>0</v>
      </c>
      <c r="J2830" s="21" t="n">
        <v>0</v>
      </c>
      <c r="K2830" s="21" t="n">
        <v>0</v>
      </c>
      <c r="L2830" s="21" t="n">
        <v>0</v>
      </c>
      <c r="M2830" s="21" t="n">
        <v>0</v>
      </c>
      <c r="N2830" s="21" t="n">
        <v>0</v>
      </c>
      <c r="O2830" s="21" t="n">
        <v>0</v>
      </c>
      <c r="P2830" s="21" t="n">
        <v>0</v>
      </c>
      <c r="Q2830" s="21" t="n">
        <v>0</v>
      </c>
      <c r="R2830" s="21" t="n">
        <v>0</v>
      </c>
      <c r="S2830" s="21" t="n">
        <v>0</v>
      </c>
      <c r="T2830" s="21" t="n">
        <v>0</v>
      </c>
      <c r="U2830" s="21" t="n">
        <v>0</v>
      </c>
      <c r="V2830" s="21" t="n">
        <v>0</v>
      </c>
      <c r="W2830" s="21" t="n">
        <v>0</v>
      </c>
      <c r="X2830" s="21" t="n">
        <v>0</v>
      </c>
      <c r="Y2830" s="21" t="n">
        <v>0</v>
      </c>
      <c r="Z2830" s="21" t="n">
        <v>0</v>
      </c>
      <c r="AA2830" s="21" t="n">
        <v>0</v>
      </c>
      <c r="AB2830" s="21" t="n">
        <v>0</v>
      </c>
      <c r="AC2830" s="21" t="n">
        <v>0</v>
      </c>
      <c r="AD2830" s="21" t="n">
        <v>0</v>
      </c>
      <c r="AE2830" s="21" t="n">
        <v>0</v>
      </c>
      <c r="AF2830" s="21" t="n">
        <v>0</v>
      </c>
      <c r="AG2830" s="21" t="n">
        <v>0</v>
      </c>
      <c r="AH2830" s="21" t="n">
        <v>0</v>
      </c>
      <c r="AI2830" s="21" t="n">
        <v>0</v>
      </c>
      <c r="AJ2830" s="21" t="n">
        <v>0</v>
      </c>
      <c r="AK2830" s="21" t="n">
        <v>0</v>
      </c>
      <c r="AL2830" s="21">
        <f>-$B$1811</f>
        <v/>
      </c>
      <c r="AM2830" s="21">
        <f>-$B$1812</f>
        <v/>
      </c>
      <c r="AN2830" s="21">
        <f>2*$B$1811+$D$2790</f>
        <v/>
      </c>
      <c r="AO2830" s="21">
        <f>0</f>
        <v/>
      </c>
      <c r="AP2830" s="21">
        <f>-$B$1811</f>
        <v/>
      </c>
      <c r="AQ2830" s="21">
        <f>$B$1812</f>
        <v/>
      </c>
      <c r="AR2830" s="21" t="n">
        <v>0</v>
      </c>
      <c r="AS2830" s="21" t="n">
        <v>0</v>
      </c>
      <c r="AT2830" s="19" t="n"/>
    </row>
    <row r="2831">
      <c r="D2831" s="21" t="n">
        <v>0</v>
      </c>
      <c r="E2831" s="21" t="n">
        <v>0</v>
      </c>
      <c r="F2831" s="21" t="n">
        <v>0</v>
      </c>
      <c r="G2831" s="21" t="n">
        <v>0</v>
      </c>
      <c r="H2831" s="21" t="n">
        <v>0</v>
      </c>
      <c r="I2831" s="21" t="n">
        <v>0</v>
      </c>
      <c r="J2831" s="21" t="n">
        <v>0</v>
      </c>
      <c r="K2831" s="21" t="n">
        <v>0</v>
      </c>
      <c r="L2831" s="21" t="n">
        <v>0</v>
      </c>
      <c r="M2831" s="21" t="n">
        <v>0</v>
      </c>
      <c r="N2831" s="21" t="n">
        <v>0</v>
      </c>
      <c r="O2831" s="21" t="n">
        <v>0</v>
      </c>
      <c r="P2831" s="21" t="n">
        <v>0</v>
      </c>
      <c r="Q2831" s="21" t="n">
        <v>0</v>
      </c>
      <c r="R2831" s="21" t="n">
        <v>0</v>
      </c>
      <c r="S2831" s="21" t="n">
        <v>0</v>
      </c>
      <c r="T2831" s="21" t="n">
        <v>0</v>
      </c>
      <c r="U2831" s="21" t="n">
        <v>0</v>
      </c>
      <c r="V2831" s="21" t="n">
        <v>0</v>
      </c>
      <c r="W2831" s="21" t="n">
        <v>0</v>
      </c>
      <c r="X2831" s="21" t="n">
        <v>0</v>
      </c>
      <c r="Y2831" s="21" t="n">
        <v>0</v>
      </c>
      <c r="Z2831" s="21" t="n">
        <v>0</v>
      </c>
      <c r="AA2831" s="21" t="n">
        <v>0</v>
      </c>
      <c r="AB2831" s="21" t="n">
        <v>0</v>
      </c>
      <c r="AC2831" s="21" t="n">
        <v>0</v>
      </c>
      <c r="AD2831" s="21" t="n">
        <v>0</v>
      </c>
      <c r="AE2831" s="21" t="n">
        <v>0</v>
      </c>
      <c r="AF2831" s="21" t="n">
        <v>0</v>
      </c>
      <c r="AG2831" s="21" t="n">
        <v>0</v>
      </c>
      <c r="AH2831" s="21" t="n">
        <v>0</v>
      </c>
      <c r="AI2831" s="21" t="n">
        <v>0</v>
      </c>
      <c r="AJ2831" s="21" t="n">
        <v>0</v>
      </c>
      <c r="AK2831" s="21" t="n">
        <v>0</v>
      </c>
      <c r="AL2831" s="21">
        <f>$B$1812</f>
        <v/>
      </c>
      <c r="AM2831" s="21">
        <f>$B$1814</f>
        <v/>
      </c>
      <c r="AN2831" s="21">
        <f>0</f>
        <v/>
      </c>
      <c r="AO2831" s="21">
        <f>2*$B$1813</f>
        <v/>
      </c>
      <c r="AP2831" s="21">
        <f>-$B$1812</f>
        <v/>
      </c>
      <c r="AQ2831" s="21">
        <f>$B$1814</f>
        <v/>
      </c>
      <c r="AR2831" s="21" t="n">
        <v>0</v>
      </c>
      <c r="AS2831" s="21" t="n">
        <v>0</v>
      </c>
      <c r="AT2831" s="19" t="n"/>
    </row>
    <row r="2832">
      <c r="D2832" s="21" t="n">
        <v>0</v>
      </c>
      <c r="E2832" s="21" t="n">
        <v>0</v>
      </c>
      <c r="F2832" s="21" t="n">
        <v>0</v>
      </c>
      <c r="G2832" s="21" t="n">
        <v>0</v>
      </c>
      <c r="H2832" s="21" t="n">
        <v>0</v>
      </c>
      <c r="I2832" s="21" t="n">
        <v>0</v>
      </c>
      <c r="J2832" s="21" t="n">
        <v>0</v>
      </c>
      <c r="K2832" s="21" t="n">
        <v>0</v>
      </c>
      <c r="L2832" s="21" t="n">
        <v>0</v>
      </c>
      <c r="M2832" s="21" t="n">
        <v>0</v>
      </c>
      <c r="N2832" s="21" t="n">
        <v>0</v>
      </c>
      <c r="O2832" s="21" t="n">
        <v>0</v>
      </c>
      <c r="P2832" s="21" t="n">
        <v>0</v>
      </c>
      <c r="Q2832" s="21" t="n">
        <v>0</v>
      </c>
      <c r="R2832" s="21" t="n">
        <v>0</v>
      </c>
      <c r="S2832" s="21" t="n">
        <v>0</v>
      </c>
      <c r="T2832" s="21" t="n">
        <v>0</v>
      </c>
      <c r="U2832" s="21" t="n">
        <v>0</v>
      </c>
      <c r="V2832" s="21" t="n">
        <v>0</v>
      </c>
      <c r="W2832" s="21" t="n">
        <v>0</v>
      </c>
      <c r="X2832" s="21" t="n">
        <v>0</v>
      </c>
      <c r="Y2832" s="21" t="n">
        <v>0</v>
      </c>
      <c r="Z2832" s="21" t="n">
        <v>0</v>
      </c>
      <c r="AA2832" s="21" t="n">
        <v>0</v>
      </c>
      <c r="AB2832" s="21" t="n">
        <v>0</v>
      </c>
      <c r="AC2832" s="21" t="n">
        <v>0</v>
      </c>
      <c r="AD2832" s="21" t="n">
        <v>0</v>
      </c>
      <c r="AE2832" s="21" t="n">
        <v>0</v>
      </c>
      <c r="AF2832" s="21" t="n">
        <v>0</v>
      </c>
      <c r="AG2832" s="21" t="n">
        <v>0</v>
      </c>
      <c r="AH2832" s="21" t="n">
        <v>0</v>
      </c>
      <c r="AI2832" s="21" t="n">
        <v>0</v>
      </c>
      <c r="AJ2832" s="21" t="n">
        <v>0</v>
      </c>
      <c r="AK2832" s="21" t="n">
        <v>0</v>
      </c>
      <c r="AL2832" s="21" t="n">
        <v>0</v>
      </c>
      <c r="AM2832" s="21" t="n">
        <v>0</v>
      </c>
      <c r="AN2832" s="21">
        <f>-$B$1811</f>
        <v/>
      </c>
      <c r="AO2832" s="21">
        <f>-$B$1812</f>
        <v/>
      </c>
      <c r="AP2832" s="21">
        <f>2*$B$1811+$D$2791</f>
        <v/>
      </c>
      <c r="AQ2832" s="21">
        <f>0</f>
        <v/>
      </c>
      <c r="AR2832" s="21">
        <f>-$B$1811</f>
        <v/>
      </c>
      <c r="AS2832" s="21">
        <f>$B$1812</f>
        <v/>
      </c>
      <c r="AT2832" s="19" t="n"/>
    </row>
    <row r="2833">
      <c r="D2833" s="21" t="n">
        <v>0</v>
      </c>
      <c r="E2833" s="21" t="n">
        <v>0</v>
      </c>
      <c r="F2833" s="21" t="n">
        <v>0</v>
      </c>
      <c r="G2833" s="21" t="n">
        <v>0</v>
      </c>
      <c r="H2833" s="21" t="n">
        <v>0</v>
      </c>
      <c r="I2833" s="21" t="n">
        <v>0</v>
      </c>
      <c r="J2833" s="21" t="n">
        <v>0</v>
      </c>
      <c r="K2833" s="21" t="n">
        <v>0</v>
      </c>
      <c r="L2833" s="21" t="n">
        <v>0</v>
      </c>
      <c r="M2833" s="21" t="n">
        <v>0</v>
      </c>
      <c r="N2833" s="21" t="n">
        <v>0</v>
      </c>
      <c r="O2833" s="21" t="n">
        <v>0</v>
      </c>
      <c r="P2833" s="21" t="n">
        <v>0</v>
      </c>
      <c r="Q2833" s="21" t="n">
        <v>0</v>
      </c>
      <c r="R2833" s="21" t="n">
        <v>0</v>
      </c>
      <c r="S2833" s="21" t="n">
        <v>0</v>
      </c>
      <c r="T2833" s="21" t="n">
        <v>0</v>
      </c>
      <c r="U2833" s="21" t="n">
        <v>0</v>
      </c>
      <c r="V2833" s="21" t="n">
        <v>0</v>
      </c>
      <c r="W2833" s="21" t="n">
        <v>0</v>
      </c>
      <c r="X2833" s="21" t="n">
        <v>0</v>
      </c>
      <c r="Y2833" s="21" t="n">
        <v>0</v>
      </c>
      <c r="Z2833" s="21" t="n">
        <v>0</v>
      </c>
      <c r="AA2833" s="21" t="n">
        <v>0</v>
      </c>
      <c r="AB2833" s="21" t="n">
        <v>0</v>
      </c>
      <c r="AC2833" s="21" t="n">
        <v>0</v>
      </c>
      <c r="AD2833" s="21" t="n">
        <v>0</v>
      </c>
      <c r="AE2833" s="21" t="n">
        <v>0</v>
      </c>
      <c r="AF2833" s="21" t="n">
        <v>0</v>
      </c>
      <c r="AG2833" s="21" t="n">
        <v>0</v>
      </c>
      <c r="AH2833" s="21" t="n">
        <v>0</v>
      </c>
      <c r="AI2833" s="21" t="n">
        <v>0</v>
      </c>
      <c r="AJ2833" s="21" t="n">
        <v>0</v>
      </c>
      <c r="AK2833" s="21" t="n">
        <v>0</v>
      </c>
      <c r="AL2833" s="21" t="n">
        <v>0</v>
      </c>
      <c r="AM2833" s="21" t="n">
        <v>0</v>
      </c>
      <c r="AN2833" s="21">
        <f>$B$1812</f>
        <v/>
      </c>
      <c r="AO2833" s="21">
        <f>$B$1814</f>
        <v/>
      </c>
      <c r="AP2833" s="21">
        <f>0</f>
        <v/>
      </c>
      <c r="AQ2833" s="21">
        <f>2*$B$1813</f>
        <v/>
      </c>
      <c r="AR2833" s="21">
        <f>-$B$1812</f>
        <v/>
      </c>
      <c r="AS2833" s="21">
        <f>$B$1814</f>
        <v/>
      </c>
      <c r="AT2833" s="19" t="n"/>
    </row>
    <row r="2834">
      <c r="D2834" s="21" t="n">
        <v>0</v>
      </c>
      <c r="E2834" s="21" t="n">
        <v>0</v>
      </c>
      <c r="F2834" s="21" t="n">
        <v>0</v>
      </c>
      <c r="G2834" s="21" t="n">
        <v>0</v>
      </c>
      <c r="H2834" s="21" t="n">
        <v>0</v>
      </c>
      <c r="I2834" s="21" t="n">
        <v>0</v>
      </c>
      <c r="J2834" s="21" t="n">
        <v>0</v>
      </c>
      <c r="K2834" s="21" t="n">
        <v>0</v>
      </c>
      <c r="L2834" s="21" t="n">
        <v>0</v>
      </c>
      <c r="M2834" s="21" t="n">
        <v>0</v>
      </c>
      <c r="N2834" s="21" t="n">
        <v>0</v>
      </c>
      <c r="O2834" s="21" t="n">
        <v>0</v>
      </c>
      <c r="P2834" s="21" t="n">
        <v>0</v>
      </c>
      <c r="Q2834" s="21" t="n">
        <v>0</v>
      </c>
      <c r="R2834" s="21" t="n">
        <v>0</v>
      </c>
      <c r="S2834" s="21" t="n">
        <v>0</v>
      </c>
      <c r="T2834" s="21" t="n">
        <v>0</v>
      </c>
      <c r="U2834" s="21" t="n">
        <v>0</v>
      </c>
      <c r="V2834" s="21" t="n">
        <v>0</v>
      </c>
      <c r="W2834" s="21" t="n">
        <v>0</v>
      </c>
      <c r="X2834" s="21" t="n">
        <v>0</v>
      </c>
      <c r="Y2834" s="21" t="n">
        <v>0</v>
      </c>
      <c r="Z2834" s="21" t="n">
        <v>0</v>
      </c>
      <c r="AA2834" s="21" t="n">
        <v>0</v>
      </c>
      <c r="AB2834" s="21" t="n">
        <v>0</v>
      </c>
      <c r="AC2834" s="21" t="n">
        <v>0</v>
      </c>
      <c r="AD2834" s="21" t="n">
        <v>0</v>
      </c>
      <c r="AE2834" s="21" t="n">
        <v>0</v>
      </c>
      <c r="AF2834" s="21" t="n">
        <v>0</v>
      </c>
      <c r="AG2834" s="21" t="n">
        <v>0</v>
      </c>
      <c r="AH2834" s="21" t="n">
        <v>0</v>
      </c>
      <c r="AI2834" s="21" t="n">
        <v>0</v>
      </c>
      <c r="AJ2834" s="21" t="n">
        <v>0</v>
      </c>
      <c r="AK2834" s="21" t="n">
        <v>0</v>
      </c>
      <c r="AL2834" s="21" t="n">
        <v>0</v>
      </c>
      <c r="AM2834" s="21" t="n">
        <v>0</v>
      </c>
      <c r="AN2834" s="21" t="n">
        <v>0</v>
      </c>
      <c r="AO2834" s="21" t="n">
        <v>0</v>
      </c>
      <c r="AP2834" s="21">
        <f>-$B$1811</f>
        <v/>
      </c>
      <c r="AQ2834" s="21">
        <f>-$B$1812</f>
        <v/>
      </c>
      <c r="AR2834" s="21">
        <f>$B$1811+$D$2792</f>
        <v/>
      </c>
      <c r="AS2834" s="21">
        <f>-$B$1812</f>
        <v/>
      </c>
      <c r="AT2834" s="19" t="n"/>
    </row>
    <row r="2835">
      <c r="D2835" s="21" t="n">
        <v>0</v>
      </c>
      <c r="E2835" s="21" t="n">
        <v>0</v>
      </c>
      <c r="F2835" s="21" t="n">
        <v>0</v>
      </c>
      <c r="G2835" s="21" t="n">
        <v>0</v>
      </c>
      <c r="H2835" s="21" t="n">
        <v>0</v>
      </c>
      <c r="I2835" s="21" t="n">
        <v>0</v>
      </c>
      <c r="J2835" s="21" t="n">
        <v>0</v>
      </c>
      <c r="K2835" s="21" t="n">
        <v>0</v>
      </c>
      <c r="L2835" s="21" t="n">
        <v>0</v>
      </c>
      <c r="M2835" s="21" t="n">
        <v>0</v>
      </c>
      <c r="N2835" s="21" t="n">
        <v>0</v>
      </c>
      <c r="O2835" s="21" t="n">
        <v>0</v>
      </c>
      <c r="P2835" s="21" t="n">
        <v>0</v>
      </c>
      <c r="Q2835" s="21" t="n">
        <v>0</v>
      </c>
      <c r="R2835" s="21" t="n">
        <v>0</v>
      </c>
      <c r="S2835" s="21" t="n">
        <v>0</v>
      </c>
      <c r="T2835" s="21" t="n">
        <v>0</v>
      </c>
      <c r="U2835" s="21" t="n">
        <v>0</v>
      </c>
      <c r="V2835" s="21" t="n">
        <v>0</v>
      </c>
      <c r="W2835" s="21" t="n">
        <v>0</v>
      </c>
      <c r="X2835" s="21" t="n">
        <v>0</v>
      </c>
      <c r="Y2835" s="21" t="n">
        <v>0</v>
      </c>
      <c r="Z2835" s="21" t="n">
        <v>0</v>
      </c>
      <c r="AA2835" s="21" t="n">
        <v>0</v>
      </c>
      <c r="AB2835" s="21" t="n">
        <v>0</v>
      </c>
      <c r="AC2835" s="21" t="n">
        <v>0</v>
      </c>
      <c r="AD2835" s="21" t="n">
        <v>0</v>
      </c>
      <c r="AE2835" s="21" t="n">
        <v>0</v>
      </c>
      <c r="AF2835" s="21" t="n">
        <v>0</v>
      </c>
      <c r="AG2835" s="21" t="n">
        <v>0</v>
      </c>
      <c r="AH2835" s="21" t="n">
        <v>0</v>
      </c>
      <c r="AI2835" s="21" t="n">
        <v>0</v>
      </c>
      <c r="AJ2835" s="21" t="n">
        <v>0</v>
      </c>
      <c r="AK2835" s="21" t="n">
        <v>0</v>
      </c>
      <c r="AL2835" s="21" t="n">
        <v>0</v>
      </c>
      <c r="AM2835" s="21" t="n">
        <v>0</v>
      </c>
      <c r="AN2835" s="21" t="n">
        <v>0</v>
      </c>
      <c r="AO2835" s="21" t="n">
        <v>0</v>
      </c>
      <c r="AP2835" s="21">
        <f>$B$1812</f>
        <v/>
      </c>
      <c r="AQ2835" s="21">
        <f>$B$1814</f>
        <v/>
      </c>
      <c r="AR2835" s="21">
        <f>-$B$1812</f>
        <v/>
      </c>
      <c r="AS2835" s="21">
        <f>$B$1813</f>
        <v/>
      </c>
      <c r="AT2835" s="19" t="n"/>
    </row>
    <row r="2837">
      <c r="A2837" s="8" t="inlineStr">
        <is>
          <t>gen 15</t>
        </is>
      </c>
    </row>
    <row r="2838">
      <c r="D2838" s="19">
        <f>IF(ABS(IF(ABS($E$2772)&gt;0.000000001,$E$2772,0.000000001))=0,0,IF($E$1826&lt;=$B$1820,0,IF(ABS(IF(ABS($E$2772)&gt;0.000000001,$E$2772,0.000000001))&gt;=8*$B$1822,$H$1826,0.5*$H$1826*(ABS(IF(ABS($E$2772)&gt;0.000000001,$E$2772,0.000000001))/$B$1822)^(1/3)))/ABS(IF(ABS($E$2772)&gt;0.000000001,$E$2772,0.000000001))*$I$1826)</f>
        <v/>
      </c>
      <c r="E2838" s="19">
        <f>0.5*$E$2772+0.5*$AT$2860</f>
        <v/>
      </c>
      <c r="F2838" s="19">
        <f>$AT$2861</f>
        <v/>
      </c>
    </row>
    <row r="2839">
      <c r="D2839" s="19">
        <f>IF(ABS(IF(ABS($E$2773)&gt;0.000000001,$E$2773,0.000000001))=0,0,IF($E$1827&lt;=$B$1820,0,IF(ABS(IF(ABS($E$2773)&gt;0.000000001,$E$2773,0.000000001))&gt;=8*$B$1822,$H$1827,0.5*$H$1827*(ABS(IF(ABS($E$2773)&gt;0.000000001,$E$2773,0.000000001))/$B$1822)^(1/3)))/ABS(IF(ABS($E$2773)&gt;0.000000001,$E$2773,0.000000001))*$I$1827)</f>
        <v/>
      </c>
      <c r="E2839" s="19">
        <f>0.5*$E$2773+0.5*$AT$2862</f>
        <v/>
      </c>
      <c r="F2839" s="19">
        <f>$AT$2863</f>
        <v/>
      </c>
    </row>
    <row r="2840">
      <c r="D2840" s="19">
        <f>IF(ABS(IF(ABS($E$2774)&gt;0.000000001,$E$2774,0.000000001))=0,0,IF($E$1828&lt;=$B$1820,0,IF(ABS(IF(ABS($E$2774)&gt;0.000000001,$E$2774,0.000000001))&gt;=8*$B$1822,$H$1828,0.5*$H$1828*(ABS(IF(ABS($E$2774)&gt;0.000000001,$E$2774,0.000000001))/$B$1822)^(1/3)))/ABS(IF(ABS($E$2774)&gt;0.000000001,$E$2774,0.000000001))*$I$1828)</f>
        <v/>
      </c>
      <c r="E2840" s="19">
        <f>0.5*$E$2774+0.5*$AT$2864</f>
        <v/>
      </c>
      <c r="F2840" s="19">
        <f>$AT$2865</f>
        <v/>
      </c>
    </row>
    <row r="2841">
      <c r="D2841" s="19">
        <f>IF(ABS(IF(ABS($E$2775)&gt;0.000000001,$E$2775,0.000000001))=0,0,IF($E$1829&lt;=$B$1820,0,IF(ABS(IF(ABS($E$2775)&gt;0.000000001,$E$2775,0.000000001))&gt;=8*$B$1822,$H$1829,0.5*$H$1829*(ABS(IF(ABS($E$2775)&gt;0.000000001,$E$2775,0.000000001))/$B$1822)^(1/3)))/ABS(IF(ABS($E$2775)&gt;0.000000001,$E$2775,0.000000001))*$I$1829)</f>
        <v/>
      </c>
      <c r="E2841" s="19">
        <f>0.5*$E$2775+0.5*$AT$2866</f>
        <v/>
      </c>
      <c r="F2841" s="19">
        <f>$AT$2867</f>
        <v/>
      </c>
    </row>
    <row r="2842">
      <c r="D2842" s="19">
        <f>IF(ABS(IF(ABS($E$2776)&gt;0.000000001,$E$2776,0.000000001))=0,0,IF($E$1830&lt;=$B$1820,0,IF(ABS(IF(ABS($E$2776)&gt;0.000000001,$E$2776,0.000000001))&gt;=8*$B$1822,$H$1830,0.5*$H$1830*(ABS(IF(ABS($E$2776)&gt;0.000000001,$E$2776,0.000000001))/$B$1822)^(1/3)))/ABS(IF(ABS($E$2776)&gt;0.000000001,$E$2776,0.000000001))*$I$1830)</f>
        <v/>
      </c>
      <c r="E2842" s="19">
        <f>0.5*$E$2776+0.5*$AT$2868</f>
        <v/>
      </c>
      <c r="F2842" s="19">
        <f>$AT$2869</f>
        <v/>
      </c>
    </row>
    <row r="2843">
      <c r="D2843" s="19">
        <f>IF(ABS(IF(ABS($E$2777)&gt;0.000000001,$E$2777,0.000000001))=0,0,IF($E$1831&lt;=$B$1820,0,IF(ABS(IF(ABS($E$2777)&gt;0.000000001,$E$2777,0.000000001))&gt;=8*$B$1822,$H$1831,0.5*$H$1831*(ABS(IF(ABS($E$2777)&gt;0.000000001,$E$2777,0.000000001))/$B$1822)^(1/3)))/ABS(IF(ABS($E$2777)&gt;0.000000001,$E$2777,0.000000001))*$I$1831)</f>
        <v/>
      </c>
      <c r="E2843" s="19">
        <f>0.5*$E$2777+0.5*$AT$2870</f>
        <v/>
      </c>
      <c r="F2843" s="19">
        <f>$AT$2871</f>
        <v/>
      </c>
    </row>
    <row r="2844">
      <c r="D2844" s="19">
        <f>IF(ABS(IF(ABS($E$2778)&gt;0.000000001,$E$2778,0.000000001))=0,0,IF($E$1832&lt;=$B$1820,0,IF(ABS(IF(ABS($E$2778)&gt;0.000000001,$E$2778,0.000000001))&gt;=8*$B$1822,$H$1832,0.5*$H$1832*(ABS(IF(ABS($E$2778)&gt;0.000000001,$E$2778,0.000000001))/$B$1822)^(1/3)))/ABS(IF(ABS($E$2778)&gt;0.000000001,$E$2778,0.000000001))*$I$1832)</f>
        <v/>
      </c>
      <c r="E2844" s="19">
        <f>0.5*$E$2778+0.5*$AT$2872</f>
        <v/>
      </c>
      <c r="F2844" s="19">
        <f>$AT$2873</f>
        <v/>
      </c>
    </row>
    <row r="2845">
      <c r="D2845" s="19">
        <f>IF(ABS(IF(ABS($E$2779)&gt;0.000000001,$E$2779,0.000000001))=0,0,IF($E$1833&lt;=$B$1820,0,IF(ABS(IF(ABS($E$2779)&gt;0.000000001,$E$2779,0.000000001))&gt;=8*$B$1822,$H$1833,0.5*$H$1833*(ABS(IF(ABS($E$2779)&gt;0.000000001,$E$2779,0.000000001))/$B$1822)^(1/3)))/ABS(IF(ABS($E$2779)&gt;0.000000001,$E$2779,0.000000001))*$I$1833)</f>
        <v/>
      </c>
      <c r="E2845" s="19">
        <f>0.5*$E$2779+0.5*$AT$2874</f>
        <v/>
      </c>
      <c r="F2845" s="19">
        <f>$AT$2875</f>
        <v/>
      </c>
    </row>
    <row r="2846">
      <c r="D2846" s="19">
        <f>IF(ABS(IF(ABS($E$2780)&gt;0.000000001,$E$2780,0.000000001))=0,0,IF($E$1834&lt;=$B$1820,0,IF(ABS(IF(ABS($E$2780)&gt;0.000000001,$E$2780,0.000000001))&gt;=8*$B$1822,$H$1834,0.5*$H$1834*(ABS(IF(ABS($E$2780)&gt;0.000000001,$E$2780,0.000000001))/$B$1822)^(1/3)))/ABS(IF(ABS($E$2780)&gt;0.000000001,$E$2780,0.000000001))*$I$1834)</f>
        <v/>
      </c>
      <c r="E2846" s="19">
        <f>0.5*$E$2780+0.5*$AT$2876</f>
        <v/>
      </c>
      <c r="F2846" s="19">
        <f>$AT$2877</f>
        <v/>
      </c>
    </row>
    <row r="2847">
      <c r="D2847" s="19">
        <f>IF(ABS(IF(ABS($E$2781)&gt;0.000000001,$E$2781,0.000000001))=0,0,IF($E$1835&lt;=$B$1820,0,IF(ABS(IF(ABS($E$2781)&gt;0.000000001,$E$2781,0.000000001))&gt;=8*$B$1822,$H$1835,0.5*$H$1835*(ABS(IF(ABS($E$2781)&gt;0.000000001,$E$2781,0.000000001))/$B$1822)^(1/3)))/ABS(IF(ABS($E$2781)&gt;0.000000001,$E$2781,0.000000001))*$I$1835)</f>
        <v/>
      </c>
      <c r="E2847" s="19">
        <f>0.5*$E$2781+0.5*$AT$2878</f>
        <v/>
      </c>
      <c r="F2847" s="19">
        <f>$AT$2879</f>
        <v/>
      </c>
    </row>
    <row r="2848">
      <c r="D2848" s="19">
        <f>IF(ABS(IF(ABS($E$2782)&gt;0.000000001,$E$2782,0.000000001))=0,0,IF($E$1836&lt;=$B$1820,0,IF(ABS(IF(ABS($E$2782)&gt;0.000000001,$E$2782,0.000000001))&gt;=8*$B$1822,$H$1836,0.5*$H$1836*(ABS(IF(ABS($E$2782)&gt;0.000000001,$E$2782,0.000000001))/$B$1822)^(1/3)))/ABS(IF(ABS($E$2782)&gt;0.000000001,$E$2782,0.000000001))*$I$1836)</f>
        <v/>
      </c>
      <c r="E2848" s="19">
        <f>0.5*$E$2782+0.5*$AT$2880</f>
        <v/>
      </c>
      <c r="F2848" s="19">
        <f>$AT$2881</f>
        <v/>
      </c>
    </row>
    <row r="2849">
      <c r="D2849" s="19">
        <f>IF(ABS(IF(ABS($E$2783)&gt;0.000000001,$E$2783,0.000000001))=0,0,IF($E$1837&lt;=$B$1820,0,IF(ABS(IF(ABS($E$2783)&gt;0.000000001,$E$2783,0.000000001))&gt;=8*$B$1822,$H$1837,0.5*$H$1837*(ABS(IF(ABS($E$2783)&gt;0.000000001,$E$2783,0.000000001))/$B$1822)^(1/3)))/ABS(IF(ABS($E$2783)&gt;0.000000001,$E$2783,0.000000001))*$I$1837)</f>
        <v/>
      </c>
      <c r="E2849" s="19">
        <f>0.5*$E$2783+0.5*$AT$2882</f>
        <v/>
      </c>
      <c r="F2849" s="19">
        <f>$AT$2883</f>
        <v/>
      </c>
    </row>
    <row r="2850">
      <c r="D2850" s="19">
        <f>IF(ABS(IF(ABS($E$2784)&gt;0.000000001,$E$2784,0.000000001))=0,0,IF($E$1838&lt;=$B$1820,0,IF(ABS(IF(ABS($E$2784)&gt;0.000000001,$E$2784,0.000000001))&gt;=8*$B$1822,$H$1838,0.5*$H$1838*(ABS(IF(ABS($E$2784)&gt;0.000000001,$E$2784,0.000000001))/$B$1822)^(1/3)))/ABS(IF(ABS($E$2784)&gt;0.000000001,$E$2784,0.000000001))*$I$1838)</f>
        <v/>
      </c>
      <c r="E2850" s="19">
        <f>0.5*$E$2784+0.5*$AT$2884</f>
        <v/>
      </c>
      <c r="F2850" s="19">
        <f>$AT$2885</f>
        <v/>
      </c>
    </row>
    <row r="2851">
      <c r="D2851" s="19">
        <f>IF(ABS(IF(ABS($E$2785)&gt;0.000000001,$E$2785,0.000000001))=0,0,IF($E$1839&lt;=$B$1820,0,IF(ABS(IF(ABS($E$2785)&gt;0.000000001,$E$2785,0.000000001))&gt;=8*$B$1822,$H$1839,0.5*$H$1839*(ABS(IF(ABS($E$2785)&gt;0.000000001,$E$2785,0.000000001))/$B$1822)^(1/3)))/ABS(IF(ABS($E$2785)&gt;0.000000001,$E$2785,0.000000001))*$I$1839)</f>
        <v/>
      </c>
      <c r="E2851" s="19">
        <f>0.5*$E$2785+0.5*$AT$2886</f>
        <v/>
      </c>
      <c r="F2851" s="19">
        <f>$AT$2887</f>
        <v/>
      </c>
    </row>
    <row r="2852">
      <c r="D2852" s="19">
        <f>IF(ABS(IF(ABS($E$2786)&gt;0.000000001,$E$2786,0.000000001))=0,0,IF($E$1840&lt;=$B$1820,0,IF(ABS(IF(ABS($E$2786)&gt;0.000000001,$E$2786,0.000000001))&gt;=8*$B$1822,$H$1840,0.5*$H$1840*(ABS(IF(ABS($E$2786)&gt;0.000000001,$E$2786,0.000000001))/$B$1822)^(1/3)))/ABS(IF(ABS($E$2786)&gt;0.000000001,$E$2786,0.000000001))*$I$1840)</f>
        <v/>
      </c>
      <c r="E2852" s="19">
        <f>0.5*$E$2786+0.5*$AT$2888</f>
        <v/>
      </c>
      <c r="F2852" s="19">
        <f>$AT$2889</f>
        <v/>
      </c>
    </row>
    <row r="2853">
      <c r="D2853" s="19">
        <f>IF(ABS(IF(ABS($E$2787)&gt;0.000000001,$E$2787,0.000000001))=0,0,IF($E$1841&lt;=$B$1820,0,IF(ABS(IF(ABS($E$2787)&gt;0.000000001,$E$2787,0.000000001))&gt;=8*$B$1822,$H$1841,0.5*$H$1841*(ABS(IF(ABS($E$2787)&gt;0.000000001,$E$2787,0.000000001))/$B$1822)^(1/3)))/ABS(IF(ABS($E$2787)&gt;0.000000001,$E$2787,0.000000001))*$I$1841)</f>
        <v/>
      </c>
      <c r="E2853" s="19">
        <f>0.5*$E$2787+0.5*$AT$2890</f>
        <v/>
      </c>
      <c r="F2853" s="19">
        <f>$AT$2891</f>
        <v/>
      </c>
    </row>
    <row r="2854">
      <c r="D2854" s="19">
        <f>IF(ABS(IF(ABS($E$2788)&gt;0.000000001,$E$2788,0.000000001))=0,0,IF($E$1842&lt;=$B$1820,0,IF(ABS(IF(ABS($E$2788)&gt;0.000000001,$E$2788,0.000000001))&gt;=8*$B$1822,$H$1842,0.5*$H$1842*(ABS(IF(ABS($E$2788)&gt;0.000000001,$E$2788,0.000000001))/$B$1822)^(1/3)))/ABS(IF(ABS($E$2788)&gt;0.000000001,$E$2788,0.000000001))*$I$1842)</f>
        <v/>
      </c>
      <c r="E2854" s="19">
        <f>0.5*$E$2788+0.5*$AT$2892</f>
        <v/>
      </c>
      <c r="F2854" s="19">
        <f>$AT$2893</f>
        <v/>
      </c>
    </row>
    <row r="2855">
      <c r="D2855" s="19">
        <f>IF(ABS(IF(ABS($E$2789)&gt;0.000000001,$E$2789,0.000000001))=0,0,IF($E$1843&lt;=$B$1820,0,IF(ABS(IF(ABS($E$2789)&gt;0.000000001,$E$2789,0.000000001))&gt;=8*$B$1822,$H$1843,0.5*$H$1843*(ABS(IF(ABS($E$2789)&gt;0.000000001,$E$2789,0.000000001))/$B$1822)^(1/3)))/ABS(IF(ABS($E$2789)&gt;0.000000001,$E$2789,0.000000001))*$I$1843)</f>
        <v/>
      </c>
      <c r="E2855" s="19">
        <f>0.5*$E$2789+0.5*$AT$2894</f>
        <v/>
      </c>
      <c r="F2855" s="19">
        <f>$AT$2895</f>
        <v/>
      </c>
    </row>
    <row r="2856">
      <c r="D2856" s="19">
        <f>IF(ABS(IF(ABS($E$2790)&gt;0.000000001,$E$2790,0.000000001))=0,0,IF($E$1844&lt;=$B$1820,0,IF(ABS(IF(ABS($E$2790)&gt;0.000000001,$E$2790,0.000000001))&gt;=8*$B$1822,$H$1844,0.5*$H$1844*(ABS(IF(ABS($E$2790)&gt;0.000000001,$E$2790,0.000000001))/$B$1822)^(1/3)))/ABS(IF(ABS($E$2790)&gt;0.000000001,$E$2790,0.000000001))*$I$1844)</f>
        <v/>
      </c>
      <c r="E2856" s="19">
        <f>0.5*$E$2790+0.5*$AT$2896</f>
        <v/>
      </c>
      <c r="F2856" s="19">
        <f>$AT$2897</f>
        <v/>
      </c>
    </row>
    <row r="2857">
      <c r="D2857" s="19">
        <f>IF(ABS(IF(ABS($E$2791)&gt;0.000000001,$E$2791,0.000000001))=0,0,IF($E$1845&lt;=$B$1820,0,IF(ABS(IF(ABS($E$2791)&gt;0.000000001,$E$2791,0.000000001))&gt;=8*$B$1822,$H$1845,0.5*$H$1845*(ABS(IF(ABS($E$2791)&gt;0.000000001,$E$2791,0.000000001))/$B$1822)^(1/3)))/ABS(IF(ABS($E$2791)&gt;0.000000001,$E$2791,0.000000001))*$I$1845)</f>
        <v/>
      </c>
      <c r="E2857" s="19">
        <f>0.5*$E$2791+0.5*$AT$2898</f>
        <v/>
      </c>
      <c r="F2857" s="19">
        <f>$AT$2899</f>
        <v/>
      </c>
    </row>
    <row r="2858">
      <c r="D2858" s="19">
        <f>IF(ABS(IF(ABS($E$2792)&gt;0.000000001,$E$2792,0.000000001))=0,0,IF($E$1846&lt;=$B$1820,0,IF(ABS(IF(ABS($E$2792)&gt;0.000000001,$E$2792,0.000000001))&gt;=8*$B$1822,$H$1846,0.5*$H$1846*(ABS(IF(ABS($E$2792)&gt;0.000000001,$E$2792,0.000000001))/$B$1822)^(1/3)))/ABS(IF(ABS($E$2792)&gt;0.000000001,$E$2792,0.000000001))*$I$1846)</f>
        <v/>
      </c>
      <c r="E2858" s="19">
        <f>0.5*$E$2792+0.5*$AT$2900</f>
        <v/>
      </c>
      <c r="F2858" s="19">
        <f>$AT$2901</f>
        <v/>
      </c>
    </row>
    <row r="2860">
      <c r="D2860" s="21">
        <f>$B$1811+$D$2838</f>
        <v/>
      </c>
      <c r="E2860" s="21">
        <f>$B$1812</f>
        <v/>
      </c>
      <c r="F2860" s="21">
        <f>-$B$1811</f>
        <v/>
      </c>
      <c r="G2860" s="21">
        <f>$B$1812</f>
        <v/>
      </c>
      <c r="H2860" s="21" t="n">
        <v>0</v>
      </c>
      <c r="I2860" s="21" t="n">
        <v>0</v>
      </c>
      <c r="J2860" s="21" t="n">
        <v>0</v>
      </c>
      <c r="K2860" s="21" t="n">
        <v>0</v>
      </c>
      <c r="L2860" s="21" t="n">
        <v>0</v>
      </c>
      <c r="M2860" s="21" t="n">
        <v>0</v>
      </c>
      <c r="N2860" s="21" t="n">
        <v>0</v>
      </c>
      <c r="O2860" s="21" t="n">
        <v>0</v>
      </c>
      <c r="P2860" s="21" t="n">
        <v>0</v>
      </c>
      <c r="Q2860" s="21" t="n">
        <v>0</v>
      </c>
      <c r="R2860" s="21" t="n">
        <v>0</v>
      </c>
      <c r="S2860" s="21" t="n">
        <v>0</v>
      </c>
      <c r="T2860" s="21" t="n">
        <v>0</v>
      </c>
      <c r="U2860" s="21" t="n">
        <v>0</v>
      </c>
      <c r="V2860" s="21" t="n">
        <v>0</v>
      </c>
      <c r="W2860" s="21" t="n">
        <v>0</v>
      </c>
      <c r="X2860" s="21" t="n">
        <v>0</v>
      </c>
      <c r="Y2860" s="21" t="n">
        <v>0</v>
      </c>
      <c r="Z2860" s="21" t="n">
        <v>0</v>
      </c>
      <c r="AA2860" s="21" t="n">
        <v>0</v>
      </c>
      <c r="AB2860" s="21" t="n">
        <v>0</v>
      </c>
      <c r="AC2860" s="21" t="n">
        <v>0</v>
      </c>
      <c r="AD2860" s="21" t="n">
        <v>0</v>
      </c>
      <c r="AE2860" s="21" t="n">
        <v>0</v>
      </c>
      <c r="AF2860" s="21" t="n">
        <v>0</v>
      </c>
      <c r="AG2860" s="21" t="n">
        <v>0</v>
      </c>
      <c r="AH2860" s="21" t="n">
        <v>0</v>
      </c>
      <c r="AI2860" s="21" t="n">
        <v>0</v>
      </c>
      <c r="AJ2860" s="21" t="n">
        <v>0</v>
      </c>
      <c r="AK2860" s="21" t="n">
        <v>0</v>
      </c>
      <c r="AL2860" s="21" t="n">
        <v>0</v>
      </c>
      <c r="AM2860" s="21" t="n">
        <v>0</v>
      </c>
      <c r="AN2860" s="21" t="n">
        <v>0</v>
      </c>
      <c r="AO2860" s="21" t="n">
        <v>0</v>
      </c>
      <c r="AP2860" s="21" t="n">
        <v>0</v>
      </c>
      <c r="AQ2860" s="21" t="n">
        <v>0</v>
      </c>
      <c r="AR2860" s="21" t="n">
        <v>0</v>
      </c>
      <c r="AS2860" s="21" t="n">
        <v>0</v>
      </c>
      <c r="AT2860" s="19">
        <f t="array" ref="AT2860:AT2901">MMULT(MINVERSE($D$2860:$AS$2901),$D$1848:$D$1889)</f>
        <v/>
      </c>
    </row>
    <row r="2861">
      <c r="D2861" s="21">
        <f>$B$1812</f>
        <v/>
      </c>
      <c r="E2861" s="21">
        <f>$B$1813</f>
        <v/>
      </c>
      <c r="F2861" s="21">
        <f>-$B$1812</f>
        <v/>
      </c>
      <c r="G2861" s="21">
        <f>$B$1814</f>
        <v/>
      </c>
      <c r="H2861" s="21" t="n">
        <v>0</v>
      </c>
      <c r="I2861" s="21" t="n">
        <v>0</v>
      </c>
      <c r="J2861" s="21" t="n">
        <v>0</v>
      </c>
      <c r="K2861" s="21" t="n">
        <v>0</v>
      </c>
      <c r="L2861" s="21" t="n">
        <v>0</v>
      </c>
      <c r="M2861" s="21" t="n">
        <v>0</v>
      </c>
      <c r="N2861" s="21" t="n">
        <v>0</v>
      </c>
      <c r="O2861" s="21" t="n">
        <v>0</v>
      </c>
      <c r="P2861" s="21" t="n">
        <v>0</v>
      </c>
      <c r="Q2861" s="21" t="n">
        <v>0</v>
      </c>
      <c r="R2861" s="21" t="n">
        <v>0</v>
      </c>
      <c r="S2861" s="21" t="n">
        <v>0</v>
      </c>
      <c r="T2861" s="21" t="n">
        <v>0</v>
      </c>
      <c r="U2861" s="21" t="n">
        <v>0</v>
      </c>
      <c r="V2861" s="21" t="n">
        <v>0</v>
      </c>
      <c r="W2861" s="21" t="n">
        <v>0</v>
      </c>
      <c r="X2861" s="21" t="n">
        <v>0</v>
      </c>
      <c r="Y2861" s="21" t="n">
        <v>0</v>
      </c>
      <c r="Z2861" s="21" t="n">
        <v>0</v>
      </c>
      <c r="AA2861" s="21" t="n">
        <v>0</v>
      </c>
      <c r="AB2861" s="21" t="n">
        <v>0</v>
      </c>
      <c r="AC2861" s="21" t="n">
        <v>0</v>
      </c>
      <c r="AD2861" s="21" t="n">
        <v>0</v>
      </c>
      <c r="AE2861" s="21" t="n">
        <v>0</v>
      </c>
      <c r="AF2861" s="21" t="n">
        <v>0</v>
      </c>
      <c r="AG2861" s="21" t="n">
        <v>0</v>
      </c>
      <c r="AH2861" s="21" t="n">
        <v>0</v>
      </c>
      <c r="AI2861" s="21" t="n">
        <v>0</v>
      </c>
      <c r="AJ2861" s="21" t="n">
        <v>0</v>
      </c>
      <c r="AK2861" s="21" t="n">
        <v>0</v>
      </c>
      <c r="AL2861" s="21" t="n">
        <v>0</v>
      </c>
      <c r="AM2861" s="21" t="n">
        <v>0</v>
      </c>
      <c r="AN2861" s="21" t="n">
        <v>0</v>
      </c>
      <c r="AO2861" s="21" t="n">
        <v>0</v>
      </c>
      <c r="AP2861" s="21" t="n">
        <v>0</v>
      </c>
      <c r="AQ2861" s="21" t="n">
        <v>0</v>
      </c>
      <c r="AR2861" s="21" t="n">
        <v>0</v>
      </c>
      <c r="AS2861" s="21" t="n">
        <v>0</v>
      </c>
      <c r="AT2861" s="19" t="n"/>
    </row>
    <row r="2862">
      <c r="D2862" s="21">
        <f>-$B$1811</f>
        <v/>
      </c>
      <c r="E2862" s="21">
        <f>-$B$1812</f>
        <v/>
      </c>
      <c r="F2862" s="21">
        <f>2*$B$1811+$D$2839</f>
        <v/>
      </c>
      <c r="G2862" s="21">
        <f>0</f>
        <v/>
      </c>
      <c r="H2862" s="21">
        <f>-$B$1811</f>
        <v/>
      </c>
      <c r="I2862" s="21">
        <f>$B$1812</f>
        <v/>
      </c>
      <c r="J2862" s="21" t="n">
        <v>0</v>
      </c>
      <c r="K2862" s="21" t="n">
        <v>0</v>
      </c>
      <c r="L2862" s="21" t="n">
        <v>0</v>
      </c>
      <c r="M2862" s="21" t="n">
        <v>0</v>
      </c>
      <c r="N2862" s="21" t="n">
        <v>0</v>
      </c>
      <c r="O2862" s="21" t="n">
        <v>0</v>
      </c>
      <c r="P2862" s="21" t="n">
        <v>0</v>
      </c>
      <c r="Q2862" s="21" t="n">
        <v>0</v>
      </c>
      <c r="R2862" s="21" t="n">
        <v>0</v>
      </c>
      <c r="S2862" s="21" t="n">
        <v>0</v>
      </c>
      <c r="T2862" s="21" t="n">
        <v>0</v>
      </c>
      <c r="U2862" s="21" t="n">
        <v>0</v>
      </c>
      <c r="V2862" s="21" t="n">
        <v>0</v>
      </c>
      <c r="W2862" s="21" t="n">
        <v>0</v>
      </c>
      <c r="X2862" s="21" t="n">
        <v>0</v>
      </c>
      <c r="Y2862" s="21" t="n">
        <v>0</v>
      </c>
      <c r="Z2862" s="21" t="n">
        <v>0</v>
      </c>
      <c r="AA2862" s="21" t="n">
        <v>0</v>
      </c>
      <c r="AB2862" s="21" t="n">
        <v>0</v>
      </c>
      <c r="AC2862" s="21" t="n">
        <v>0</v>
      </c>
      <c r="AD2862" s="21" t="n">
        <v>0</v>
      </c>
      <c r="AE2862" s="21" t="n">
        <v>0</v>
      </c>
      <c r="AF2862" s="21" t="n">
        <v>0</v>
      </c>
      <c r="AG2862" s="21" t="n">
        <v>0</v>
      </c>
      <c r="AH2862" s="21" t="n">
        <v>0</v>
      </c>
      <c r="AI2862" s="21" t="n">
        <v>0</v>
      </c>
      <c r="AJ2862" s="21" t="n">
        <v>0</v>
      </c>
      <c r="AK2862" s="21" t="n">
        <v>0</v>
      </c>
      <c r="AL2862" s="21" t="n">
        <v>0</v>
      </c>
      <c r="AM2862" s="21" t="n">
        <v>0</v>
      </c>
      <c r="AN2862" s="21" t="n">
        <v>0</v>
      </c>
      <c r="AO2862" s="21" t="n">
        <v>0</v>
      </c>
      <c r="AP2862" s="21" t="n">
        <v>0</v>
      </c>
      <c r="AQ2862" s="21" t="n">
        <v>0</v>
      </c>
      <c r="AR2862" s="21" t="n">
        <v>0</v>
      </c>
      <c r="AS2862" s="21" t="n">
        <v>0</v>
      </c>
      <c r="AT2862" s="19" t="n"/>
    </row>
    <row r="2863">
      <c r="D2863" s="21">
        <f>$B$1812</f>
        <v/>
      </c>
      <c r="E2863" s="21">
        <f>$B$1814</f>
        <v/>
      </c>
      <c r="F2863" s="21">
        <f>0</f>
        <v/>
      </c>
      <c r="G2863" s="21">
        <f>2*$B$1813</f>
        <v/>
      </c>
      <c r="H2863" s="21">
        <f>-$B$1812</f>
        <v/>
      </c>
      <c r="I2863" s="21">
        <f>$B$1814</f>
        <v/>
      </c>
      <c r="J2863" s="21" t="n">
        <v>0</v>
      </c>
      <c r="K2863" s="21" t="n">
        <v>0</v>
      </c>
      <c r="L2863" s="21" t="n">
        <v>0</v>
      </c>
      <c r="M2863" s="21" t="n">
        <v>0</v>
      </c>
      <c r="N2863" s="21" t="n">
        <v>0</v>
      </c>
      <c r="O2863" s="21" t="n">
        <v>0</v>
      </c>
      <c r="P2863" s="21" t="n">
        <v>0</v>
      </c>
      <c r="Q2863" s="21" t="n">
        <v>0</v>
      </c>
      <c r="R2863" s="21" t="n">
        <v>0</v>
      </c>
      <c r="S2863" s="21" t="n">
        <v>0</v>
      </c>
      <c r="T2863" s="21" t="n">
        <v>0</v>
      </c>
      <c r="U2863" s="21" t="n">
        <v>0</v>
      </c>
      <c r="V2863" s="21" t="n">
        <v>0</v>
      </c>
      <c r="W2863" s="21" t="n">
        <v>0</v>
      </c>
      <c r="X2863" s="21" t="n">
        <v>0</v>
      </c>
      <c r="Y2863" s="21" t="n">
        <v>0</v>
      </c>
      <c r="Z2863" s="21" t="n">
        <v>0</v>
      </c>
      <c r="AA2863" s="21" t="n">
        <v>0</v>
      </c>
      <c r="AB2863" s="21" t="n">
        <v>0</v>
      </c>
      <c r="AC2863" s="21" t="n">
        <v>0</v>
      </c>
      <c r="AD2863" s="21" t="n">
        <v>0</v>
      </c>
      <c r="AE2863" s="21" t="n">
        <v>0</v>
      </c>
      <c r="AF2863" s="21" t="n">
        <v>0</v>
      </c>
      <c r="AG2863" s="21" t="n">
        <v>0</v>
      </c>
      <c r="AH2863" s="21" t="n">
        <v>0</v>
      </c>
      <c r="AI2863" s="21" t="n">
        <v>0</v>
      </c>
      <c r="AJ2863" s="21" t="n">
        <v>0</v>
      </c>
      <c r="AK2863" s="21" t="n">
        <v>0</v>
      </c>
      <c r="AL2863" s="21" t="n">
        <v>0</v>
      </c>
      <c r="AM2863" s="21" t="n">
        <v>0</v>
      </c>
      <c r="AN2863" s="21" t="n">
        <v>0</v>
      </c>
      <c r="AO2863" s="21" t="n">
        <v>0</v>
      </c>
      <c r="AP2863" s="21" t="n">
        <v>0</v>
      </c>
      <c r="AQ2863" s="21" t="n">
        <v>0</v>
      </c>
      <c r="AR2863" s="21" t="n">
        <v>0</v>
      </c>
      <c r="AS2863" s="21" t="n">
        <v>0</v>
      </c>
      <c r="AT2863" s="19" t="n"/>
    </row>
    <row r="2864">
      <c r="D2864" s="21" t="n">
        <v>0</v>
      </c>
      <c r="E2864" s="21" t="n">
        <v>0</v>
      </c>
      <c r="F2864" s="21">
        <f>-$B$1811</f>
        <v/>
      </c>
      <c r="G2864" s="21">
        <f>-$B$1812</f>
        <v/>
      </c>
      <c r="H2864" s="21">
        <f>2*$B$1811+$D$2840</f>
        <v/>
      </c>
      <c r="I2864" s="21">
        <f>0</f>
        <v/>
      </c>
      <c r="J2864" s="21">
        <f>-$B$1811</f>
        <v/>
      </c>
      <c r="K2864" s="21">
        <f>$B$1812</f>
        <v/>
      </c>
      <c r="L2864" s="21" t="n">
        <v>0</v>
      </c>
      <c r="M2864" s="21" t="n">
        <v>0</v>
      </c>
      <c r="N2864" s="21" t="n">
        <v>0</v>
      </c>
      <c r="O2864" s="21" t="n">
        <v>0</v>
      </c>
      <c r="P2864" s="21" t="n">
        <v>0</v>
      </c>
      <c r="Q2864" s="21" t="n">
        <v>0</v>
      </c>
      <c r="R2864" s="21" t="n">
        <v>0</v>
      </c>
      <c r="S2864" s="21" t="n">
        <v>0</v>
      </c>
      <c r="T2864" s="21" t="n">
        <v>0</v>
      </c>
      <c r="U2864" s="21" t="n">
        <v>0</v>
      </c>
      <c r="V2864" s="21" t="n">
        <v>0</v>
      </c>
      <c r="W2864" s="21" t="n">
        <v>0</v>
      </c>
      <c r="X2864" s="21" t="n">
        <v>0</v>
      </c>
      <c r="Y2864" s="21" t="n">
        <v>0</v>
      </c>
      <c r="Z2864" s="21" t="n">
        <v>0</v>
      </c>
      <c r="AA2864" s="21" t="n">
        <v>0</v>
      </c>
      <c r="AB2864" s="21" t="n">
        <v>0</v>
      </c>
      <c r="AC2864" s="21" t="n">
        <v>0</v>
      </c>
      <c r="AD2864" s="21" t="n">
        <v>0</v>
      </c>
      <c r="AE2864" s="21" t="n">
        <v>0</v>
      </c>
      <c r="AF2864" s="21" t="n">
        <v>0</v>
      </c>
      <c r="AG2864" s="21" t="n">
        <v>0</v>
      </c>
      <c r="AH2864" s="21" t="n">
        <v>0</v>
      </c>
      <c r="AI2864" s="21" t="n">
        <v>0</v>
      </c>
      <c r="AJ2864" s="21" t="n">
        <v>0</v>
      </c>
      <c r="AK2864" s="21" t="n">
        <v>0</v>
      </c>
      <c r="AL2864" s="21" t="n">
        <v>0</v>
      </c>
      <c r="AM2864" s="21" t="n">
        <v>0</v>
      </c>
      <c r="AN2864" s="21" t="n">
        <v>0</v>
      </c>
      <c r="AO2864" s="21" t="n">
        <v>0</v>
      </c>
      <c r="AP2864" s="21" t="n">
        <v>0</v>
      </c>
      <c r="AQ2864" s="21" t="n">
        <v>0</v>
      </c>
      <c r="AR2864" s="21" t="n">
        <v>0</v>
      </c>
      <c r="AS2864" s="21" t="n">
        <v>0</v>
      </c>
      <c r="AT2864" s="19" t="n"/>
    </row>
    <row r="2865">
      <c r="D2865" s="21" t="n">
        <v>0</v>
      </c>
      <c r="E2865" s="21" t="n">
        <v>0</v>
      </c>
      <c r="F2865" s="21">
        <f>$B$1812</f>
        <v/>
      </c>
      <c r="G2865" s="21">
        <f>$B$1814</f>
        <v/>
      </c>
      <c r="H2865" s="21">
        <f>0</f>
        <v/>
      </c>
      <c r="I2865" s="21">
        <f>2*$B$1813</f>
        <v/>
      </c>
      <c r="J2865" s="21">
        <f>-$B$1812</f>
        <v/>
      </c>
      <c r="K2865" s="21">
        <f>$B$1814</f>
        <v/>
      </c>
      <c r="L2865" s="21" t="n">
        <v>0</v>
      </c>
      <c r="M2865" s="21" t="n">
        <v>0</v>
      </c>
      <c r="N2865" s="21" t="n">
        <v>0</v>
      </c>
      <c r="O2865" s="21" t="n">
        <v>0</v>
      </c>
      <c r="P2865" s="21" t="n">
        <v>0</v>
      </c>
      <c r="Q2865" s="21" t="n">
        <v>0</v>
      </c>
      <c r="R2865" s="21" t="n">
        <v>0</v>
      </c>
      <c r="S2865" s="21" t="n">
        <v>0</v>
      </c>
      <c r="T2865" s="21" t="n">
        <v>0</v>
      </c>
      <c r="U2865" s="21" t="n">
        <v>0</v>
      </c>
      <c r="V2865" s="21" t="n">
        <v>0</v>
      </c>
      <c r="W2865" s="21" t="n">
        <v>0</v>
      </c>
      <c r="X2865" s="21" t="n">
        <v>0</v>
      </c>
      <c r="Y2865" s="21" t="n">
        <v>0</v>
      </c>
      <c r="Z2865" s="21" t="n">
        <v>0</v>
      </c>
      <c r="AA2865" s="21" t="n">
        <v>0</v>
      </c>
      <c r="AB2865" s="21" t="n">
        <v>0</v>
      </c>
      <c r="AC2865" s="21" t="n">
        <v>0</v>
      </c>
      <c r="AD2865" s="21" t="n">
        <v>0</v>
      </c>
      <c r="AE2865" s="21" t="n">
        <v>0</v>
      </c>
      <c r="AF2865" s="21" t="n">
        <v>0</v>
      </c>
      <c r="AG2865" s="21" t="n">
        <v>0</v>
      </c>
      <c r="AH2865" s="21" t="n">
        <v>0</v>
      </c>
      <c r="AI2865" s="21" t="n">
        <v>0</v>
      </c>
      <c r="AJ2865" s="21" t="n">
        <v>0</v>
      </c>
      <c r="AK2865" s="21" t="n">
        <v>0</v>
      </c>
      <c r="AL2865" s="21" t="n">
        <v>0</v>
      </c>
      <c r="AM2865" s="21" t="n">
        <v>0</v>
      </c>
      <c r="AN2865" s="21" t="n">
        <v>0</v>
      </c>
      <c r="AO2865" s="21" t="n">
        <v>0</v>
      </c>
      <c r="AP2865" s="21" t="n">
        <v>0</v>
      </c>
      <c r="AQ2865" s="21" t="n">
        <v>0</v>
      </c>
      <c r="AR2865" s="21" t="n">
        <v>0</v>
      </c>
      <c r="AS2865" s="21" t="n">
        <v>0</v>
      </c>
      <c r="AT2865" s="19" t="n"/>
    </row>
    <row r="2866">
      <c r="D2866" s="21" t="n">
        <v>0</v>
      </c>
      <c r="E2866" s="21" t="n">
        <v>0</v>
      </c>
      <c r="F2866" s="21" t="n">
        <v>0</v>
      </c>
      <c r="G2866" s="21" t="n">
        <v>0</v>
      </c>
      <c r="H2866" s="21">
        <f>-$B$1811</f>
        <v/>
      </c>
      <c r="I2866" s="21">
        <f>-$B$1812</f>
        <v/>
      </c>
      <c r="J2866" s="21">
        <f>2*$B$1811+$D$2841</f>
        <v/>
      </c>
      <c r="K2866" s="21">
        <f>0</f>
        <v/>
      </c>
      <c r="L2866" s="21">
        <f>-$B$1811</f>
        <v/>
      </c>
      <c r="M2866" s="21">
        <f>$B$1812</f>
        <v/>
      </c>
      <c r="N2866" s="21" t="n">
        <v>0</v>
      </c>
      <c r="O2866" s="21" t="n">
        <v>0</v>
      </c>
      <c r="P2866" s="21" t="n">
        <v>0</v>
      </c>
      <c r="Q2866" s="21" t="n">
        <v>0</v>
      </c>
      <c r="R2866" s="21" t="n">
        <v>0</v>
      </c>
      <c r="S2866" s="21" t="n">
        <v>0</v>
      </c>
      <c r="T2866" s="21" t="n">
        <v>0</v>
      </c>
      <c r="U2866" s="21" t="n">
        <v>0</v>
      </c>
      <c r="V2866" s="21" t="n">
        <v>0</v>
      </c>
      <c r="W2866" s="21" t="n">
        <v>0</v>
      </c>
      <c r="X2866" s="21" t="n">
        <v>0</v>
      </c>
      <c r="Y2866" s="21" t="n">
        <v>0</v>
      </c>
      <c r="Z2866" s="21" t="n">
        <v>0</v>
      </c>
      <c r="AA2866" s="21" t="n">
        <v>0</v>
      </c>
      <c r="AB2866" s="21" t="n">
        <v>0</v>
      </c>
      <c r="AC2866" s="21" t="n">
        <v>0</v>
      </c>
      <c r="AD2866" s="21" t="n">
        <v>0</v>
      </c>
      <c r="AE2866" s="21" t="n">
        <v>0</v>
      </c>
      <c r="AF2866" s="21" t="n">
        <v>0</v>
      </c>
      <c r="AG2866" s="21" t="n">
        <v>0</v>
      </c>
      <c r="AH2866" s="21" t="n">
        <v>0</v>
      </c>
      <c r="AI2866" s="21" t="n">
        <v>0</v>
      </c>
      <c r="AJ2866" s="21" t="n">
        <v>0</v>
      </c>
      <c r="AK2866" s="21" t="n">
        <v>0</v>
      </c>
      <c r="AL2866" s="21" t="n">
        <v>0</v>
      </c>
      <c r="AM2866" s="21" t="n">
        <v>0</v>
      </c>
      <c r="AN2866" s="21" t="n">
        <v>0</v>
      </c>
      <c r="AO2866" s="21" t="n">
        <v>0</v>
      </c>
      <c r="AP2866" s="21" t="n">
        <v>0</v>
      </c>
      <c r="AQ2866" s="21" t="n">
        <v>0</v>
      </c>
      <c r="AR2866" s="21" t="n">
        <v>0</v>
      </c>
      <c r="AS2866" s="21" t="n">
        <v>0</v>
      </c>
      <c r="AT2866" s="19" t="n"/>
    </row>
    <row r="2867">
      <c r="D2867" s="21" t="n">
        <v>0</v>
      </c>
      <c r="E2867" s="21" t="n">
        <v>0</v>
      </c>
      <c r="F2867" s="21" t="n">
        <v>0</v>
      </c>
      <c r="G2867" s="21" t="n">
        <v>0</v>
      </c>
      <c r="H2867" s="21">
        <f>$B$1812</f>
        <v/>
      </c>
      <c r="I2867" s="21">
        <f>$B$1814</f>
        <v/>
      </c>
      <c r="J2867" s="21">
        <f>0</f>
        <v/>
      </c>
      <c r="K2867" s="21">
        <f>2*$B$1813</f>
        <v/>
      </c>
      <c r="L2867" s="21">
        <f>-$B$1812</f>
        <v/>
      </c>
      <c r="M2867" s="21">
        <f>$B$1814</f>
        <v/>
      </c>
      <c r="N2867" s="21" t="n">
        <v>0</v>
      </c>
      <c r="O2867" s="21" t="n">
        <v>0</v>
      </c>
      <c r="P2867" s="21" t="n">
        <v>0</v>
      </c>
      <c r="Q2867" s="21" t="n">
        <v>0</v>
      </c>
      <c r="R2867" s="21" t="n">
        <v>0</v>
      </c>
      <c r="S2867" s="21" t="n">
        <v>0</v>
      </c>
      <c r="T2867" s="21" t="n">
        <v>0</v>
      </c>
      <c r="U2867" s="21" t="n">
        <v>0</v>
      </c>
      <c r="V2867" s="21" t="n">
        <v>0</v>
      </c>
      <c r="W2867" s="21" t="n">
        <v>0</v>
      </c>
      <c r="X2867" s="21" t="n">
        <v>0</v>
      </c>
      <c r="Y2867" s="21" t="n">
        <v>0</v>
      </c>
      <c r="Z2867" s="21" t="n">
        <v>0</v>
      </c>
      <c r="AA2867" s="21" t="n">
        <v>0</v>
      </c>
      <c r="AB2867" s="21" t="n">
        <v>0</v>
      </c>
      <c r="AC2867" s="21" t="n">
        <v>0</v>
      </c>
      <c r="AD2867" s="21" t="n">
        <v>0</v>
      </c>
      <c r="AE2867" s="21" t="n">
        <v>0</v>
      </c>
      <c r="AF2867" s="21" t="n">
        <v>0</v>
      </c>
      <c r="AG2867" s="21" t="n">
        <v>0</v>
      </c>
      <c r="AH2867" s="21" t="n">
        <v>0</v>
      </c>
      <c r="AI2867" s="21" t="n">
        <v>0</v>
      </c>
      <c r="AJ2867" s="21" t="n">
        <v>0</v>
      </c>
      <c r="AK2867" s="21" t="n">
        <v>0</v>
      </c>
      <c r="AL2867" s="21" t="n">
        <v>0</v>
      </c>
      <c r="AM2867" s="21" t="n">
        <v>0</v>
      </c>
      <c r="AN2867" s="21" t="n">
        <v>0</v>
      </c>
      <c r="AO2867" s="21" t="n">
        <v>0</v>
      </c>
      <c r="AP2867" s="21" t="n">
        <v>0</v>
      </c>
      <c r="AQ2867" s="21" t="n">
        <v>0</v>
      </c>
      <c r="AR2867" s="21" t="n">
        <v>0</v>
      </c>
      <c r="AS2867" s="21" t="n">
        <v>0</v>
      </c>
      <c r="AT2867" s="19" t="n"/>
    </row>
    <row r="2868">
      <c r="D2868" s="21" t="n">
        <v>0</v>
      </c>
      <c r="E2868" s="21" t="n">
        <v>0</v>
      </c>
      <c r="F2868" s="21" t="n">
        <v>0</v>
      </c>
      <c r="G2868" s="21" t="n">
        <v>0</v>
      </c>
      <c r="H2868" s="21" t="n">
        <v>0</v>
      </c>
      <c r="I2868" s="21" t="n">
        <v>0</v>
      </c>
      <c r="J2868" s="21">
        <f>-$B$1811</f>
        <v/>
      </c>
      <c r="K2868" s="21">
        <f>-$B$1812</f>
        <v/>
      </c>
      <c r="L2868" s="21">
        <f>2*$B$1811+$D$2842</f>
        <v/>
      </c>
      <c r="M2868" s="21">
        <f>0</f>
        <v/>
      </c>
      <c r="N2868" s="21">
        <f>-$B$1811</f>
        <v/>
      </c>
      <c r="O2868" s="21">
        <f>$B$1812</f>
        <v/>
      </c>
      <c r="P2868" s="21" t="n">
        <v>0</v>
      </c>
      <c r="Q2868" s="21" t="n">
        <v>0</v>
      </c>
      <c r="R2868" s="21" t="n">
        <v>0</v>
      </c>
      <c r="S2868" s="21" t="n">
        <v>0</v>
      </c>
      <c r="T2868" s="21" t="n">
        <v>0</v>
      </c>
      <c r="U2868" s="21" t="n">
        <v>0</v>
      </c>
      <c r="V2868" s="21" t="n">
        <v>0</v>
      </c>
      <c r="W2868" s="21" t="n">
        <v>0</v>
      </c>
      <c r="X2868" s="21" t="n">
        <v>0</v>
      </c>
      <c r="Y2868" s="21" t="n">
        <v>0</v>
      </c>
      <c r="Z2868" s="21" t="n">
        <v>0</v>
      </c>
      <c r="AA2868" s="21" t="n">
        <v>0</v>
      </c>
      <c r="AB2868" s="21" t="n">
        <v>0</v>
      </c>
      <c r="AC2868" s="21" t="n">
        <v>0</v>
      </c>
      <c r="AD2868" s="21" t="n">
        <v>0</v>
      </c>
      <c r="AE2868" s="21" t="n">
        <v>0</v>
      </c>
      <c r="AF2868" s="21" t="n">
        <v>0</v>
      </c>
      <c r="AG2868" s="21" t="n">
        <v>0</v>
      </c>
      <c r="AH2868" s="21" t="n">
        <v>0</v>
      </c>
      <c r="AI2868" s="21" t="n">
        <v>0</v>
      </c>
      <c r="AJ2868" s="21" t="n">
        <v>0</v>
      </c>
      <c r="AK2868" s="21" t="n">
        <v>0</v>
      </c>
      <c r="AL2868" s="21" t="n">
        <v>0</v>
      </c>
      <c r="AM2868" s="21" t="n">
        <v>0</v>
      </c>
      <c r="AN2868" s="21" t="n">
        <v>0</v>
      </c>
      <c r="AO2868" s="21" t="n">
        <v>0</v>
      </c>
      <c r="AP2868" s="21" t="n">
        <v>0</v>
      </c>
      <c r="AQ2868" s="21" t="n">
        <v>0</v>
      </c>
      <c r="AR2868" s="21" t="n">
        <v>0</v>
      </c>
      <c r="AS2868" s="21" t="n">
        <v>0</v>
      </c>
      <c r="AT2868" s="19" t="n"/>
    </row>
    <row r="2869">
      <c r="D2869" s="21" t="n">
        <v>0</v>
      </c>
      <c r="E2869" s="21" t="n">
        <v>0</v>
      </c>
      <c r="F2869" s="21" t="n">
        <v>0</v>
      </c>
      <c r="G2869" s="21" t="n">
        <v>0</v>
      </c>
      <c r="H2869" s="21" t="n">
        <v>0</v>
      </c>
      <c r="I2869" s="21" t="n">
        <v>0</v>
      </c>
      <c r="J2869" s="21">
        <f>$B$1812</f>
        <v/>
      </c>
      <c r="K2869" s="21">
        <f>$B$1814</f>
        <v/>
      </c>
      <c r="L2869" s="21">
        <f>0</f>
        <v/>
      </c>
      <c r="M2869" s="21">
        <f>2*$B$1813</f>
        <v/>
      </c>
      <c r="N2869" s="21">
        <f>-$B$1812</f>
        <v/>
      </c>
      <c r="O2869" s="21">
        <f>$B$1814</f>
        <v/>
      </c>
      <c r="P2869" s="21" t="n">
        <v>0</v>
      </c>
      <c r="Q2869" s="21" t="n">
        <v>0</v>
      </c>
      <c r="R2869" s="21" t="n">
        <v>0</v>
      </c>
      <c r="S2869" s="21" t="n">
        <v>0</v>
      </c>
      <c r="T2869" s="21" t="n">
        <v>0</v>
      </c>
      <c r="U2869" s="21" t="n">
        <v>0</v>
      </c>
      <c r="V2869" s="21" t="n">
        <v>0</v>
      </c>
      <c r="W2869" s="21" t="n">
        <v>0</v>
      </c>
      <c r="X2869" s="21" t="n">
        <v>0</v>
      </c>
      <c r="Y2869" s="21" t="n">
        <v>0</v>
      </c>
      <c r="Z2869" s="21" t="n">
        <v>0</v>
      </c>
      <c r="AA2869" s="21" t="n">
        <v>0</v>
      </c>
      <c r="AB2869" s="21" t="n">
        <v>0</v>
      </c>
      <c r="AC2869" s="21" t="n">
        <v>0</v>
      </c>
      <c r="AD2869" s="21" t="n">
        <v>0</v>
      </c>
      <c r="AE2869" s="21" t="n">
        <v>0</v>
      </c>
      <c r="AF2869" s="21" t="n">
        <v>0</v>
      </c>
      <c r="AG2869" s="21" t="n">
        <v>0</v>
      </c>
      <c r="AH2869" s="21" t="n">
        <v>0</v>
      </c>
      <c r="AI2869" s="21" t="n">
        <v>0</v>
      </c>
      <c r="AJ2869" s="21" t="n">
        <v>0</v>
      </c>
      <c r="AK2869" s="21" t="n">
        <v>0</v>
      </c>
      <c r="AL2869" s="21" t="n">
        <v>0</v>
      </c>
      <c r="AM2869" s="21" t="n">
        <v>0</v>
      </c>
      <c r="AN2869" s="21" t="n">
        <v>0</v>
      </c>
      <c r="AO2869" s="21" t="n">
        <v>0</v>
      </c>
      <c r="AP2869" s="21" t="n">
        <v>0</v>
      </c>
      <c r="AQ2869" s="21" t="n">
        <v>0</v>
      </c>
      <c r="AR2869" s="21" t="n">
        <v>0</v>
      </c>
      <c r="AS2869" s="21" t="n">
        <v>0</v>
      </c>
      <c r="AT2869" s="19" t="n"/>
    </row>
    <row r="2870">
      <c r="D2870" s="21" t="n">
        <v>0</v>
      </c>
      <c r="E2870" s="21" t="n">
        <v>0</v>
      </c>
      <c r="F2870" s="21" t="n">
        <v>0</v>
      </c>
      <c r="G2870" s="21" t="n">
        <v>0</v>
      </c>
      <c r="H2870" s="21" t="n">
        <v>0</v>
      </c>
      <c r="I2870" s="21" t="n">
        <v>0</v>
      </c>
      <c r="J2870" s="21" t="n">
        <v>0</v>
      </c>
      <c r="K2870" s="21" t="n">
        <v>0</v>
      </c>
      <c r="L2870" s="21">
        <f>-$B$1811</f>
        <v/>
      </c>
      <c r="M2870" s="21">
        <f>-$B$1812</f>
        <v/>
      </c>
      <c r="N2870" s="21">
        <f>2*$B$1811+$D$2843</f>
        <v/>
      </c>
      <c r="O2870" s="21">
        <f>0</f>
        <v/>
      </c>
      <c r="P2870" s="21">
        <f>-$B$1811</f>
        <v/>
      </c>
      <c r="Q2870" s="21">
        <f>$B$1812</f>
        <v/>
      </c>
      <c r="R2870" s="21" t="n">
        <v>0</v>
      </c>
      <c r="S2870" s="21" t="n">
        <v>0</v>
      </c>
      <c r="T2870" s="21" t="n">
        <v>0</v>
      </c>
      <c r="U2870" s="21" t="n">
        <v>0</v>
      </c>
      <c r="V2870" s="21" t="n">
        <v>0</v>
      </c>
      <c r="W2870" s="21" t="n">
        <v>0</v>
      </c>
      <c r="X2870" s="21" t="n">
        <v>0</v>
      </c>
      <c r="Y2870" s="21" t="n">
        <v>0</v>
      </c>
      <c r="Z2870" s="21" t="n">
        <v>0</v>
      </c>
      <c r="AA2870" s="21" t="n">
        <v>0</v>
      </c>
      <c r="AB2870" s="21" t="n">
        <v>0</v>
      </c>
      <c r="AC2870" s="21" t="n">
        <v>0</v>
      </c>
      <c r="AD2870" s="21" t="n">
        <v>0</v>
      </c>
      <c r="AE2870" s="21" t="n">
        <v>0</v>
      </c>
      <c r="AF2870" s="21" t="n">
        <v>0</v>
      </c>
      <c r="AG2870" s="21" t="n">
        <v>0</v>
      </c>
      <c r="AH2870" s="21" t="n">
        <v>0</v>
      </c>
      <c r="AI2870" s="21" t="n">
        <v>0</v>
      </c>
      <c r="AJ2870" s="21" t="n">
        <v>0</v>
      </c>
      <c r="AK2870" s="21" t="n">
        <v>0</v>
      </c>
      <c r="AL2870" s="21" t="n">
        <v>0</v>
      </c>
      <c r="AM2870" s="21" t="n">
        <v>0</v>
      </c>
      <c r="AN2870" s="21" t="n">
        <v>0</v>
      </c>
      <c r="AO2870" s="21" t="n">
        <v>0</v>
      </c>
      <c r="AP2870" s="21" t="n">
        <v>0</v>
      </c>
      <c r="AQ2870" s="21" t="n">
        <v>0</v>
      </c>
      <c r="AR2870" s="21" t="n">
        <v>0</v>
      </c>
      <c r="AS2870" s="21" t="n">
        <v>0</v>
      </c>
      <c r="AT2870" s="19" t="n"/>
    </row>
    <row r="2871">
      <c r="D2871" s="21" t="n">
        <v>0</v>
      </c>
      <c r="E2871" s="21" t="n">
        <v>0</v>
      </c>
      <c r="F2871" s="21" t="n">
        <v>0</v>
      </c>
      <c r="G2871" s="21" t="n">
        <v>0</v>
      </c>
      <c r="H2871" s="21" t="n">
        <v>0</v>
      </c>
      <c r="I2871" s="21" t="n">
        <v>0</v>
      </c>
      <c r="J2871" s="21" t="n">
        <v>0</v>
      </c>
      <c r="K2871" s="21" t="n">
        <v>0</v>
      </c>
      <c r="L2871" s="21">
        <f>$B$1812</f>
        <v/>
      </c>
      <c r="M2871" s="21">
        <f>$B$1814</f>
        <v/>
      </c>
      <c r="N2871" s="21">
        <f>0</f>
        <v/>
      </c>
      <c r="O2871" s="21">
        <f>2*$B$1813</f>
        <v/>
      </c>
      <c r="P2871" s="21">
        <f>-$B$1812</f>
        <v/>
      </c>
      <c r="Q2871" s="21">
        <f>$B$1814</f>
        <v/>
      </c>
      <c r="R2871" s="21" t="n">
        <v>0</v>
      </c>
      <c r="S2871" s="21" t="n">
        <v>0</v>
      </c>
      <c r="T2871" s="21" t="n">
        <v>0</v>
      </c>
      <c r="U2871" s="21" t="n">
        <v>0</v>
      </c>
      <c r="V2871" s="21" t="n">
        <v>0</v>
      </c>
      <c r="W2871" s="21" t="n">
        <v>0</v>
      </c>
      <c r="X2871" s="21" t="n">
        <v>0</v>
      </c>
      <c r="Y2871" s="21" t="n">
        <v>0</v>
      </c>
      <c r="Z2871" s="21" t="n">
        <v>0</v>
      </c>
      <c r="AA2871" s="21" t="n">
        <v>0</v>
      </c>
      <c r="AB2871" s="21" t="n">
        <v>0</v>
      </c>
      <c r="AC2871" s="21" t="n">
        <v>0</v>
      </c>
      <c r="AD2871" s="21" t="n">
        <v>0</v>
      </c>
      <c r="AE2871" s="21" t="n">
        <v>0</v>
      </c>
      <c r="AF2871" s="21" t="n">
        <v>0</v>
      </c>
      <c r="AG2871" s="21" t="n">
        <v>0</v>
      </c>
      <c r="AH2871" s="21" t="n">
        <v>0</v>
      </c>
      <c r="AI2871" s="21" t="n">
        <v>0</v>
      </c>
      <c r="AJ2871" s="21" t="n">
        <v>0</v>
      </c>
      <c r="AK2871" s="21" t="n">
        <v>0</v>
      </c>
      <c r="AL2871" s="21" t="n">
        <v>0</v>
      </c>
      <c r="AM2871" s="21" t="n">
        <v>0</v>
      </c>
      <c r="AN2871" s="21" t="n">
        <v>0</v>
      </c>
      <c r="AO2871" s="21" t="n">
        <v>0</v>
      </c>
      <c r="AP2871" s="21" t="n">
        <v>0</v>
      </c>
      <c r="AQ2871" s="21" t="n">
        <v>0</v>
      </c>
      <c r="AR2871" s="21" t="n">
        <v>0</v>
      </c>
      <c r="AS2871" s="21" t="n">
        <v>0</v>
      </c>
      <c r="AT2871" s="19" t="n"/>
    </row>
    <row r="2872">
      <c r="D2872" s="21" t="n">
        <v>0</v>
      </c>
      <c r="E2872" s="21" t="n">
        <v>0</v>
      </c>
      <c r="F2872" s="21" t="n">
        <v>0</v>
      </c>
      <c r="G2872" s="21" t="n">
        <v>0</v>
      </c>
      <c r="H2872" s="21" t="n">
        <v>0</v>
      </c>
      <c r="I2872" s="21" t="n">
        <v>0</v>
      </c>
      <c r="J2872" s="21" t="n">
        <v>0</v>
      </c>
      <c r="K2872" s="21" t="n">
        <v>0</v>
      </c>
      <c r="L2872" s="21" t="n">
        <v>0</v>
      </c>
      <c r="M2872" s="21" t="n">
        <v>0</v>
      </c>
      <c r="N2872" s="21">
        <f>-$B$1811</f>
        <v/>
      </c>
      <c r="O2872" s="21">
        <f>-$B$1812</f>
        <v/>
      </c>
      <c r="P2872" s="21">
        <f>2*$B$1811+$D$2844</f>
        <v/>
      </c>
      <c r="Q2872" s="21">
        <f>0</f>
        <v/>
      </c>
      <c r="R2872" s="21">
        <f>-$B$1811</f>
        <v/>
      </c>
      <c r="S2872" s="21">
        <f>$B$1812</f>
        <v/>
      </c>
      <c r="T2872" s="21" t="n">
        <v>0</v>
      </c>
      <c r="U2872" s="21" t="n">
        <v>0</v>
      </c>
      <c r="V2872" s="21" t="n">
        <v>0</v>
      </c>
      <c r="W2872" s="21" t="n">
        <v>0</v>
      </c>
      <c r="X2872" s="21" t="n">
        <v>0</v>
      </c>
      <c r="Y2872" s="21" t="n">
        <v>0</v>
      </c>
      <c r="Z2872" s="21" t="n">
        <v>0</v>
      </c>
      <c r="AA2872" s="21" t="n">
        <v>0</v>
      </c>
      <c r="AB2872" s="21" t="n">
        <v>0</v>
      </c>
      <c r="AC2872" s="21" t="n">
        <v>0</v>
      </c>
      <c r="AD2872" s="21" t="n">
        <v>0</v>
      </c>
      <c r="AE2872" s="21" t="n">
        <v>0</v>
      </c>
      <c r="AF2872" s="21" t="n">
        <v>0</v>
      </c>
      <c r="AG2872" s="21" t="n">
        <v>0</v>
      </c>
      <c r="AH2872" s="21" t="n">
        <v>0</v>
      </c>
      <c r="AI2872" s="21" t="n">
        <v>0</v>
      </c>
      <c r="AJ2872" s="21" t="n">
        <v>0</v>
      </c>
      <c r="AK2872" s="21" t="n">
        <v>0</v>
      </c>
      <c r="AL2872" s="21" t="n">
        <v>0</v>
      </c>
      <c r="AM2872" s="21" t="n">
        <v>0</v>
      </c>
      <c r="AN2872" s="21" t="n">
        <v>0</v>
      </c>
      <c r="AO2872" s="21" t="n">
        <v>0</v>
      </c>
      <c r="AP2872" s="21" t="n">
        <v>0</v>
      </c>
      <c r="AQ2872" s="21" t="n">
        <v>0</v>
      </c>
      <c r="AR2872" s="21" t="n">
        <v>0</v>
      </c>
      <c r="AS2872" s="21" t="n">
        <v>0</v>
      </c>
      <c r="AT2872" s="19" t="n"/>
    </row>
    <row r="2873">
      <c r="D2873" s="21" t="n">
        <v>0</v>
      </c>
      <c r="E2873" s="21" t="n">
        <v>0</v>
      </c>
      <c r="F2873" s="21" t="n">
        <v>0</v>
      </c>
      <c r="G2873" s="21" t="n">
        <v>0</v>
      </c>
      <c r="H2873" s="21" t="n">
        <v>0</v>
      </c>
      <c r="I2873" s="21" t="n">
        <v>0</v>
      </c>
      <c r="J2873" s="21" t="n">
        <v>0</v>
      </c>
      <c r="K2873" s="21" t="n">
        <v>0</v>
      </c>
      <c r="L2873" s="21" t="n">
        <v>0</v>
      </c>
      <c r="M2873" s="21" t="n">
        <v>0</v>
      </c>
      <c r="N2873" s="21">
        <f>$B$1812</f>
        <v/>
      </c>
      <c r="O2873" s="21">
        <f>$B$1814</f>
        <v/>
      </c>
      <c r="P2873" s="21">
        <f>0</f>
        <v/>
      </c>
      <c r="Q2873" s="21">
        <f>2*$B$1813</f>
        <v/>
      </c>
      <c r="R2873" s="21">
        <f>-$B$1812</f>
        <v/>
      </c>
      <c r="S2873" s="21">
        <f>$B$1814</f>
        <v/>
      </c>
      <c r="T2873" s="21" t="n">
        <v>0</v>
      </c>
      <c r="U2873" s="21" t="n">
        <v>0</v>
      </c>
      <c r="V2873" s="21" t="n">
        <v>0</v>
      </c>
      <c r="W2873" s="21" t="n">
        <v>0</v>
      </c>
      <c r="X2873" s="21" t="n">
        <v>0</v>
      </c>
      <c r="Y2873" s="21" t="n">
        <v>0</v>
      </c>
      <c r="Z2873" s="21" t="n">
        <v>0</v>
      </c>
      <c r="AA2873" s="21" t="n">
        <v>0</v>
      </c>
      <c r="AB2873" s="21" t="n">
        <v>0</v>
      </c>
      <c r="AC2873" s="21" t="n">
        <v>0</v>
      </c>
      <c r="AD2873" s="21" t="n">
        <v>0</v>
      </c>
      <c r="AE2873" s="21" t="n">
        <v>0</v>
      </c>
      <c r="AF2873" s="21" t="n">
        <v>0</v>
      </c>
      <c r="AG2873" s="21" t="n">
        <v>0</v>
      </c>
      <c r="AH2873" s="21" t="n">
        <v>0</v>
      </c>
      <c r="AI2873" s="21" t="n">
        <v>0</v>
      </c>
      <c r="AJ2873" s="21" t="n">
        <v>0</v>
      </c>
      <c r="AK2873" s="21" t="n">
        <v>0</v>
      </c>
      <c r="AL2873" s="21" t="n">
        <v>0</v>
      </c>
      <c r="AM2873" s="21" t="n">
        <v>0</v>
      </c>
      <c r="AN2873" s="21" t="n">
        <v>0</v>
      </c>
      <c r="AO2873" s="21" t="n">
        <v>0</v>
      </c>
      <c r="AP2873" s="21" t="n">
        <v>0</v>
      </c>
      <c r="AQ2873" s="21" t="n">
        <v>0</v>
      </c>
      <c r="AR2873" s="21" t="n">
        <v>0</v>
      </c>
      <c r="AS2873" s="21" t="n">
        <v>0</v>
      </c>
      <c r="AT2873" s="19" t="n"/>
    </row>
    <row r="2874">
      <c r="D2874" s="21" t="n">
        <v>0</v>
      </c>
      <c r="E2874" s="21" t="n">
        <v>0</v>
      </c>
      <c r="F2874" s="21" t="n">
        <v>0</v>
      </c>
      <c r="G2874" s="21" t="n">
        <v>0</v>
      </c>
      <c r="H2874" s="21" t="n">
        <v>0</v>
      </c>
      <c r="I2874" s="21" t="n">
        <v>0</v>
      </c>
      <c r="J2874" s="21" t="n">
        <v>0</v>
      </c>
      <c r="K2874" s="21" t="n">
        <v>0</v>
      </c>
      <c r="L2874" s="21" t="n">
        <v>0</v>
      </c>
      <c r="M2874" s="21" t="n">
        <v>0</v>
      </c>
      <c r="N2874" s="21" t="n">
        <v>0</v>
      </c>
      <c r="O2874" s="21" t="n">
        <v>0</v>
      </c>
      <c r="P2874" s="21">
        <f>-$B$1811</f>
        <v/>
      </c>
      <c r="Q2874" s="21">
        <f>-$B$1812</f>
        <v/>
      </c>
      <c r="R2874" s="21">
        <f>2*$B$1811+$D$2845</f>
        <v/>
      </c>
      <c r="S2874" s="21">
        <f>0</f>
        <v/>
      </c>
      <c r="T2874" s="21">
        <f>-$B$1811</f>
        <v/>
      </c>
      <c r="U2874" s="21">
        <f>$B$1812</f>
        <v/>
      </c>
      <c r="V2874" s="21" t="n">
        <v>0</v>
      </c>
      <c r="W2874" s="21" t="n">
        <v>0</v>
      </c>
      <c r="X2874" s="21" t="n">
        <v>0</v>
      </c>
      <c r="Y2874" s="21" t="n">
        <v>0</v>
      </c>
      <c r="Z2874" s="21" t="n">
        <v>0</v>
      </c>
      <c r="AA2874" s="21" t="n">
        <v>0</v>
      </c>
      <c r="AB2874" s="21" t="n">
        <v>0</v>
      </c>
      <c r="AC2874" s="21" t="n">
        <v>0</v>
      </c>
      <c r="AD2874" s="21" t="n">
        <v>0</v>
      </c>
      <c r="AE2874" s="21" t="n">
        <v>0</v>
      </c>
      <c r="AF2874" s="21" t="n">
        <v>0</v>
      </c>
      <c r="AG2874" s="21" t="n">
        <v>0</v>
      </c>
      <c r="AH2874" s="21" t="n">
        <v>0</v>
      </c>
      <c r="AI2874" s="21" t="n">
        <v>0</v>
      </c>
      <c r="AJ2874" s="21" t="n">
        <v>0</v>
      </c>
      <c r="AK2874" s="21" t="n">
        <v>0</v>
      </c>
      <c r="AL2874" s="21" t="n">
        <v>0</v>
      </c>
      <c r="AM2874" s="21" t="n">
        <v>0</v>
      </c>
      <c r="AN2874" s="21" t="n">
        <v>0</v>
      </c>
      <c r="AO2874" s="21" t="n">
        <v>0</v>
      </c>
      <c r="AP2874" s="21" t="n">
        <v>0</v>
      </c>
      <c r="AQ2874" s="21" t="n">
        <v>0</v>
      </c>
      <c r="AR2874" s="21" t="n">
        <v>0</v>
      </c>
      <c r="AS2874" s="21" t="n">
        <v>0</v>
      </c>
      <c r="AT2874" s="19" t="n"/>
    </row>
    <row r="2875">
      <c r="D2875" s="21" t="n">
        <v>0</v>
      </c>
      <c r="E2875" s="21" t="n">
        <v>0</v>
      </c>
      <c r="F2875" s="21" t="n">
        <v>0</v>
      </c>
      <c r="G2875" s="21" t="n">
        <v>0</v>
      </c>
      <c r="H2875" s="21" t="n">
        <v>0</v>
      </c>
      <c r="I2875" s="21" t="n">
        <v>0</v>
      </c>
      <c r="J2875" s="21" t="n">
        <v>0</v>
      </c>
      <c r="K2875" s="21" t="n">
        <v>0</v>
      </c>
      <c r="L2875" s="21" t="n">
        <v>0</v>
      </c>
      <c r="M2875" s="21" t="n">
        <v>0</v>
      </c>
      <c r="N2875" s="21" t="n">
        <v>0</v>
      </c>
      <c r="O2875" s="21" t="n">
        <v>0</v>
      </c>
      <c r="P2875" s="21">
        <f>$B$1812</f>
        <v/>
      </c>
      <c r="Q2875" s="21">
        <f>$B$1814</f>
        <v/>
      </c>
      <c r="R2875" s="21">
        <f>0</f>
        <v/>
      </c>
      <c r="S2875" s="21">
        <f>2*$B$1813</f>
        <v/>
      </c>
      <c r="T2875" s="21">
        <f>-$B$1812</f>
        <v/>
      </c>
      <c r="U2875" s="21">
        <f>$B$1814</f>
        <v/>
      </c>
      <c r="V2875" s="21" t="n">
        <v>0</v>
      </c>
      <c r="W2875" s="21" t="n">
        <v>0</v>
      </c>
      <c r="X2875" s="21" t="n">
        <v>0</v>
      </c>
      <c r="Y2875" s="21" t="n">
        <v>0</v>
      </c>
      <c r="Z2875" s="21" t="n">
        <v>0</v>
      </c>
      <c r="AA2875" s="21" t="n">
        <v>0</v>
      </c>
      <c r="AB2875" s="21" t="n">
        <v>0</v>
      </c>
      <c r="AC2875" s="21" t="n">
        <v>0</v>
      </c>
      <c r="AD2875" s="21" t="n">
        <v>0</v>
      </c>
      <c r="AE2875" s="21" t="n">
        <v>0</v>
      </c>
      <c r="AF2875" s="21" t="n">
        <v>0</v>
      </c>
      <c r="AG2875" s="21" t="n">
        <v>0</v>
      </c>
      <c r="AH2875" s="21" t="n">
        <v>0</v>
      </c>
      <c r="AI2875" s="21" t="n">
        <v>0</v>
      </c>
      <c r="AJ2875" s="21" t="n">
        <v>0</v>
      </c>
      <c r="AK2875" s="21" t="n">
        <v>0</v>
      </c>
      <c r="AL2875" s="21" t="n">
        <v>0</v>
      </c>
      <c r="AM2875" s="21" t="n">
        <v>0</v>
      </c>
      <c r="AN2875" s="21" t="n">
        <v>0</v>
      </c>
      <c r="AO2875" s="21" t="n">
        <v>0</v>
      </c>
      <c r="AP2875" s="21" t="n">
        <v>0</v>
      </c>
      <c r="AQ2875" s="21" t="n">
        <v>0</v>
      </c>
      <c r="AR2875" s="21" t="n">
        <v>0</v>
      </c>
      <c r="AS2875" s="21" t="n">
        <v>0</v>
      </c>
      <c r="AT2875" s="19" t="n"/>
    </row>
    <row r="2876">
      <c r="D2876" s="21" t="n">
        <v>0</v>
      </c>
      <c r="E2876" s="21" t="n">
        <v>0</v>
      </c>
      <c r="F2876" s="21" t="n">
        <v>0</v>
      </c>
      <c r="G2876" s="21" t="n">
        <v>0</v>
      </c>
      <c r="H2876" s="21" t="n">
        <v>0</v>
      </c>
      <c r="I2876" s="21" t="n">
        <v>0</v>
      </c>
      <c r="J2876" s="21" t="n">
        <v>0</v>
      </c>
      <c r="K2876" s="21" t="n">
        <v>0</v>
      </c>
      <c r="L2876" s="21" t="n">
        <v>0</v>
      </c>
      <c r="M2876" s="21" t="n">
        <v>0</v>
      </c>
      <c r="N2876" s="21" t="n">
        <v>0</v>
      </c>
      <c r="O2876" s="21" t="n">
        <v>0</v>
      </c>
      <c r="P2876" s="21" t="n">
        <v>0</v>
      </c>
      <c r="Q2876" s="21" t="n">
        <v>0</v>
      </c>
      <c r="R2876" s="21">
        <f>-$B$1811</f>
        <v/>
      </c>
      <c r="S2876" s="21">
        <f>-$B$1812</f>
        <v/>
      </c>
      <c r="T2876" s="21">
        <f>2*$B$1811+$D$2846</f>
        <v/>
      </c>
      <c r="U2876" s="21">
        <f>0</f>
        <v/>
      </c>
      <c r="V2876" s="21">
        <f>-$B$1811</f>
        <v/>
      </c>
      <c r="W2876" s="21">
        <f>$B$1812</f>
        <v/>
      </c>
      <c r="X2876" s="21" t="n">
        <v>0</v>
      </c>
      <c r="Y2876" s="21" t="n">
        <v>0</v>
      </c>
      <c r="Z2876" s="21" t="n">
        <v>0</v>
      </c>
      <c r="AA2876" s="21" t="n">
        <v>0</v>
      </c>
      <c r="AB2876" s="21" t="n">
        <v>0</v>
      </c>
      <c r="AC2876" s="21" t="n">
        <v>0</v>
      </c>
      <c r="AD2876" s="21" t="n">
        <v>0</v>
      </c>
      <c r="AE2876" s="21" t="n">
        <v>0</v>
      </c>
      <c r="AF2876" s="21" t="n">
        <v>0</v>
      </c>
      <c r="AG2876" s="21" t="n">
        <v>0</v>
      </c>
      <c r="AH2876" s="21" t="n">
        <v>0</v>
      </c>
      <c r="AI2876" s="21" t="n">
        <v>0</v>
      </c>
      <c r="AJ2876" s="21" t="n">
        <v>0</v>
      </c>
      <c r="AK2876" s="21" t="n">
        <v>0</v>
      </c>
      <c r="AL2876" s="21" t="n">
        <v>0</v>
      </c>
      <c r="AM2876" s="21" t="n">
        <v>0</v>
      </c>
      <c r="AN2876" s="21" t="n">
        <v>0</v>
      </c>
      <c r="AO2876" s="21" t="n">
        <v>0</v>
      </c>
      <c r="AP2876" s="21" t="n">
        <v>0</v>
      </c>
      <c r="AQ2876" s="21" t="n">
        <v>0</v>
      </c>
      <c r="AR2876" s="21" t="n">
        <v>0</v>
      </c>
      <c r="AS2876" s="21" t="n">
        <v>0</v>
      </c>
      <c r="AT2876" s="19" t="n"/>
    </row>
    <row r="2877">
      <c r="D2877" s="21" t="n">
        <v>0</v>
      </c>
      <c r="E2877" s="21" t="n">
        <v>0</v>
      </c>
      <c r="F2877" s="21" t="n">
        <v>0</v>
      </c>
      <c r="G2877" s="21" t="n">
        <v>0</v>
      </c>
      <c r="H2877" s="21" t="n">
        <v>0</v>
      </c>
      <c r="I2877" s="21" t="n">
        <v>0</v>
      </c>
      <c r="J2877" s="21" t="n">
        <v>0</v>
      </c>
      <c r="K2877" s="21" t="n">
        <v>0</v>
      </c>
      <c r="L2877" s="21" t="n">
        <v>0</v>
      </c>
      <c r="M2877" s="21" t="n">
        <v>0</v>
      </c>
      <c r="N2877" s="21" t="n">
        <v>0</v>
      </c>
      <c r="O2877" s="21" t="n">
        <v>0</v>
      </c>
      <c r="P2877" s="21" t="n">
        <v>0</v>
      </c>
      <c r="Q2877" s="21" t="n">
        <v>0</v>
      </c>
      <c r="R2877" s="21">
        <f>$B$1812</f>
        <v/>
      </c>
      <c r="S2877" s="21">
        <f>$B$1814</f>
        <v/>
      </c>
      <c r="T2877" s="21">
        <f>0</f>
        <v/>
      </c>
      <c r="U2877" s="21">
        <f>2*$B$1813</f>
        <v/>
      </c>
      <c r="V2877" s="21">
        <f>-$B$1812</f>
        <v/>
      </c>
      <c r="W2877" s="21">
        <f>$B$1814</f>
        <v/>
      </c>
      <c r="X2877" s="21" t="n">
        <v>0</v>
      </c>
      <c r="Y2877" s="21" t="n">
        <v>0</v>
      </c>
      <c r="Z2877" s="21" t="n">
        <v>0</v>
      </c>
      <c r="AA2877" s="21" t="n">
        <v>0</v>
      </c>
      <c r="AB2877" s="21" t="n">
        <v>0</v>
      </c>
      <c r="AC2877" s="21" t="n">
        <v>0</v>
      </c>
      <c r="AD2877" s="21" t="n">
        <v>0</v>
      </c>
      <c r="AE2877" s="21" t="n">
        <v>0</v>
      </c>
      <c r="AF2877" s="21" t="n">
        <v>0</v>
      </c>
      <c r="AG2877" s="21" t="n">
        <v>0</v>
      </c>
      <c r="AH2877" s="21" t="n">
        <v>0</v>
      </c>
      <c r="AI2877" s="21" t="n">
        <v>0</v>
      </c>
      <c r="AJ2877" s="21" t="n">
        <v>0</v>
      </c>
      <c r="AK2877" s="21" t="n">
        <v>0</v>
      </c>
      <c r="AL2877" s="21" t="n">
        <v>0</v>
      </c>
      <c r="AM2877" s="21" t="n">
        <v>0</v>
      </c>
      <c r="AN2877" s="21" t="n">
        <v>0</v>
      </c>
      <c r="AO2877" s="21" t="n">
        <v>0</v>
      </c>
      <c r="AP2877" s="21" t="n">
        <v>0</v>
      </c>
      <c r="AQ2877" s="21" t="n">
        <v>0</v>
      </c>
      <c r="AR2877" s="21" t="n">
        <v>0</v>
      </c>
      <c r="AS2877" s="21" t="n">
        <v>0</v>
      </c>
      <c r="AT2877" s="19" t="n"/>
    </row>
    <row r="2878">
      <c r="D2878" s="21" t="n">
        <v>0</v>
      </c>
      <c r="E2878" s="21" t="n">
        <v>0</v>
      </c>
      <c r="F2878" s="21" t="n">
        <v>0</v>
      </c>
      <c r="G2878" s="21" t="n">
        <v>0</v>
      </c>
      <c r="H2878" s="21" t="n">
        <v>0</v>
      </c>
      <c r="I2878" s="21" t="n">
        <v>0</v>
      </c>
      <c r="J2878" s="21" t="n">
        <v>0</v>
      </c>
      <c r="K2878" s="21" t="n">
        <v>0</v>
      </c>
      <c r="L2878" s="21" t="n">
        <v>0</v>
      </c>
      <c r="M2878" s="21" t="n">
        <v>0</v>
      </c>
      <c r="N2878" s="21" t="n">
        <v>0</v>
      </c>
      <c r="O2878" s="21" t="n">
        <v>0</v>
      </c>
      <c r="P2878" s="21" t="n">
        <v>0</v>
      </c>
      <c r="Q2878" s="21" t="n">
        <v>0</v>
      </c>
      <c r="R2878" s="21" t="n">
        <v>0</v>
      </c>
      <c r="S2878" s="21" t="n">
        <v>0</v>
      </c>
      <c r="T2878" s="21">
        <f>-$B$1811</f>
        <v/>
      </c>
      <c r="U2878" s="21">
        <f>-$B$1812</f>
        <v/>
      </c>
      <c r="V2878" s="21">
        <f>2*$B$1811+$D$2847</f>
        <v/>
      </c>
      <c r="W2878" s="21">
        <f>0</f>
        <v/>
      </c>
      <c r="X2878" s="21">
        <f>-$B$1811</f>
        <v/>
      </c>
      <c r="Y2878" s="21">
        <f>$B$1812</f>
        <v/>
      </c>
      <c r="Z2878" s="21" t="n">
        <v>0</v>
      </c>
      <c r="AA2878" s="21" t="n">
        <v>0</v>
      </c>
      <c r="AB2878" s="21" t="n">
        <v>0</v>
      </c>
      <c r="AC2878" s="21" t="n">
        <v>0</v>
      </c>
      <c r="AD2878" s="21" t="n">
        <v>0</v>
      </c>
      <c r="AE2878" s="21" t="n">
        <v>0</v>
      </c>
      <c r="AF2878" s="21" t="n">
        <v>0</v>
      </c>
      <c r="AG2878" s="21" t="n">
        <v>0</v>
      </c>
      <c r="AH2878" s="21" t="n">
        <v>0</v>
      </c>
      <c r="AI2878" s="21" t="n">
        <v>0</v>
      </c>
      <c r="AJ2878" s="21" t="n">
        <v>0</v>
      </c>
      <c r="AK2878" s="21" t="n">
        <v>0</v>
      </c>
      <c r="AL2878" s="21" t="n">
        <v>0</v>
      </c>
      <c r="AM2878" s="21" t="n">
        <v>0</v>
      </c>
      <c r="AN2878" s="21" t="n">
        <v>0</v>
      </c>
      <c r="AO2878" s="21" t="n">
        <v>0</v>
      </c>
      <c r="AP2878" s="21" t="n">
        <v>0</v>
      </c>
      <c r="AQ2878" s="21" t="n">
        <v>0</v>
      </c>
      <c r="AR2878" s="21" t="n">
        <v>0</v>
      </c>
      <c r="AS2878" s="21" t="n">
        <v>0</v>
      </c>
      <c r="AT2878" s="19" t="n"/>
    </row>
    <row r="2879">
      <c r="D2879" s="21" t="n">
        <v>0</v>
      </c>
      <c r="E2879" s="21" t="n">
        <v>0</v>
      </c>
      <c r="F2879" s="21" t="n">
        <v>0</v>
      </c>
      <c r="G2879" s="21" t="n">
        <v>0</v>
      </c>
      <c r="H2879" s="21" t="n">
        <v>0</v>
      </c>
      <c r="I2879" s="21" t="n">
        <v>0</v>
      </c>
      <c r="J2879" s="21" t="n">
        <v>0</v>
      </c>
      <c r="K2879" s="21" t="n">
        <v>0</v>
      </c>
      <c r="L2879" s="21" t="n">
        <v>0</v>
      </c>
      <c r="M2879" s="21" t="n">
        <v>0</v>
      </c>
      <c r="N2879" s="21" t="n">
        <v>0</v>
      </c>
      <c r="O2879" s="21" t="n">
        <v>0</v>
      </c>
      <c r="P2879" s="21" t="n">
        <v>0</v>
      </c>
      <c r="Q2879" s="21" t="n">
        <v>0</v>
      </c>
      <c r="R2879" s="21" t="n">
        <v>0</v>
      </c>
      <c r="S2879" s="21" t="n">
        <v>0</v>
      </c>
      <c r="T2879" s="21">
        <f>$B$1812</f>
        <v/>
      </c>
      <c r="U2879" s="21">
        <f>$B$1814</f>
        <v/>
      </c>
      <c r="V2879" s="21">
        <f>0</f>
        <v/>
      </c>
      <c r="W2879" s="21">
        <f>2*$B$1813</f>
        <v/>
      </c>
      <c r="X2879" s="21">
        <f>-$B$1812</f>
        <v/>
      </c>
      <c r="Y2879" s="21">
        <f>$B$1814</f>
        <v/>
      </c>
      <c r="Z2879" s="21" t="n">
        <v>0</v>
      </c>
      <c r="AA2879" s="21" t="n">
        <v>0</v>
      </c>
      <c r="AB2879" s="21" t="n">
        <v>0</v>
      </c>
      <c r="AC2879" s="21" t="n">
        <v>0</v>
      </c>
      <c r="AD2879" s="21" t="n">
        <v>0</v>
      </c>
      <c r="AE2879" s="21" t="n">
        <v>0</v>
      </c>
      <c r="AF2879" s="21" t="n">
        <v>0</v>
      </c>
      <c r="AG2879" s="21" t="n">
        <v>0</v>
      </c>
      <c r="AH2879" s="21" t="n">
        <v>0</v>
      </c>
      <c r="AI2879" s="21" t="n">
        <v>0</v>
      </c>
      <c r="AJ2879" s="21" t="n">
        <v>0</v>
      </c>
      <c r="AK2879" s="21" t="n">
        <v>0</v>
      </c>
      <c r="AL2879" s="21" t="n">
        <v>0</v>
      </c>
      <c r="AM2879" s="21" t="n">
        <v>0</v>
      </c>
      <c r="AN2879" s="21" t="n">
        <v>0</v>
      </c>
      <c r="AO2879" s="21" t="n">
        <v>0</v>
      </c>
      <c r="AP2879" s="21" t="n">
        <v>0</v>
      </c>
      <c r="AQ2879" s="21" t="n">
        <v>0</v>
      </c>
      <c r="AR2879" s="21" t="n">
        <v>0</v>
      </c>
      <c r="AS2879" s="21" t="n">
        <v>0</v>
      </c>
      <c r="AT2879" s="19" t="n"/>
    </row>
    <row r="2880">
      <c r="D2880" s="21" t="n">
        <v>0</v>
      </c>
      <c r="E2880" s="21" t="n">
        <v>0</v>
      </c>
      <c r="F2880" s="21" t="n">
        <v>0</v>
      </c>
      <c r="G2880" s="21" t="n">
        <v>0</v>
      </c>
      <c r="H2880" s="21" t="n">
        <v>0</v>
      </c>
      <c r="I2880" s="21" t="n">
        <v>0</v>
      </c>
      <c r="J2880" s="21" t="n">
        <v>0</v>
      </c>
      <c r="K2880" s="21" t="n">
        <v>0</v>
      </c>
      <c r="L2880" s="21" t="n">
        <v>0</v>
      </c>
      <c r="M2880" s="21" t="n">
        <v>0</v>
      </c>
      <c r="N2880" s="21" t="n">
        <v>0</v>
      </c>
      <c r="O2880" s="21" t="n">
        <v>0</v>
      </c>
      <c r="P2880" s="21" t="n">
        <v>0</v>
      </c>
      <c r="Q2880" s="21" t="n">
        <v>0</v>
      </c>
      <c r="R2880" s="21" t="n">
        <v>0</v>
      </c>
      <c r="S2880" s="21" t="n">
        <v>0</v>
      </c>
      <c r="T2880" s="21" t="n">
        <v>0</v>
      </c>
      <c r="U2880" s="21" t="n">
        <v>0</v>
      </c>
      <c r="V2880" s="21">
        <f>-$B$1811</f>
        <v/>
      </c>
      <c r="W2880" s="21">
        <f>-$B$1812</f>
        <v/>
      </c>
      <c r="X2880" s="21">
        <f>2*$B$1811+$D$2848</f>
        <v/>
      </c>
      <c r="Y2880" s="21">
        <f>0</f>
        <v/>
      </c>
      <c r="Z2880" s="21">
        <f>-$B$1811</f>
        <v/>
      </c>
      <c r="AA2880" s="21">
        <f>$B$1812</f>
        <v/>
      </c>
      <c r="AB2880" s="21" t="n">
        <v>0</v>
      </c>
      <c r="AC2880" s="21" t="n">
        <v>0</v>
      </c>
      <c r="AD2880" s="21" t="n">
        <v>0</v>
      </c>
      <c r="AE2880" s="21" t="n">
        <v>0</v>
      </c>
      <c r="AF2880" s="21" t="n">
        <v>0</v>
      </c>
      <c r="AG2880" s="21" t="n">
        <v>0</v>
      </c>
      <c r="AH2880" s="21" t="n">
        <v>0</v>
      </c>
      <c r="AI2880" s="21" t="n">
        <v>0</v>
      </c>
      <c r="AJ2880" s="21" t="n">
        <v>0</v>
      </c>
      <c r="AK2880" s="21" t="n">
        <v>0</v>
      </c>
      <c r="AL2880" s="21" t="n">
        <v>0</v>
      </c>
      <c r="AM2880" s="21" t="n">
        <v>0</v>
      </c>
      <c r="AN2880" s="21" t="n">
        <v>0</v>
      </c>
      <c r="AO2880" s="21" t="n">
        <v>0</v>
      </c>
      <c r="AP2880" s="21" t="n">
        <v>0</v>
      </c>
      <c r="AQ2880" s="21" t="n">
        <v>0</v>
      </c>
      <c r="AR2880" s="21" t="n">
        <v>0</v>
      </c>
      <c r="AS2880" s="21" t="n">
        <v>0</v>
      </c>
      <c r="AT2880" s="19" t="n"/>
    </row>
    <row r="2881">
      <c r="D2881" s="21" t="n">
        <v>0</v>
      </c>
      <c r="E2881" s="21" t="n">
        <v>0</v>
      </c>
      <c r="F2881" s="21" t="n">
        <v>0</v>
      </c>
      <c r="G2881" s="21" t="n">
        <v>0</v>
      </c>
      <c r="H2881" s="21" t="n">
        <v>0</v>
      </c>
      <c r="I2881" s="21" t="n">
        <v>0</v>
      </c>
      <c r="J2881" s="21" t="n">
        <v>0</v>
      </c>
      <c r="K2881" s="21" t="n">
        <v>0</v>
      </c>
      <c r="L2881" s="21" t="n">
        <v>0</v>
      </c>
      <c r="M2881" s="21" t="n">
        <v>0</v>
      </c>
      <c r="N2881" s="21" t="n">
        <v>0</v>
      </c>
      <c r="O2881" s="21" t="n">
        <v>0</v>
      </c>
      <c r="P2881" s="21" t="n">
        <v>0</v>
      </c>
      <c r="Q2881" s="21" t="n">
        <v>0</v>
      </c>
      <c r="R2881" s="21" t="n">
        <v>0</v>
      </c>
      <c r="S2881" s="21" t="n">
        <v>0</v>
      </c>
      <c r="T2881" s="21" t="n">
        <v>0</v>
      </c>
      <c r="U2881" s="21" t="n">
        <v>0</v>
      </c>
      <c r="V2881" s="21">
        <f>$B$1812</f>
        <v/>
      </c>
      <c r="W2881" s="21">
        <f>$B$1814</f>
        <v/>
      </c>
      <c r="X2881" s="21">
        <f>0</f>
        <v/>
      </c>
      <c r="Y2881" s="21">
        <f>2*$B$1813</f>
        <v/>
      </c>
      <c r="Z2881" s="21">
        <f>-$B$1812</f>
        <v/>
      </c>
      <c r="AA2881" s="21">
        <f>$B$1814</f>
        <v/>
      </c>
      <c r="AB2881" s="21" t="n">
        <v>0</v>
      </c>
      <c r="AC2881" s="21" t="n">
        <v>0</v>
      </c>
      <c r="AD2881" s="21" t="n">
        <v>0</v>
      </c>
      <c r="AE2881" s="21" t="n">
        <v>0</v>
      </c>
      <c r="AF2881" s="21" t="n">
        <v>0</v>
      </c>
      <c r="AG2881" s="21" t="n">
        <v>0</v>
      </c>
      <c r="AH2881" s="21" t="n">
        <v>0</v>
      </c>
      <c r="AI2881" s="21" t="n">
        <v>0</v>
      </c>
      <c r="AJ2881" s="21" t="n">
        <v>0</v>
      </c>
      <c r="AK2881" s="21" t="n">
        <v>0</v>
      </c>
      <c r="AL2881" s="21" t="n">
        <v>0</v>
      </c>
      <c r="AM2881" s="21" t="n">
        <v>0</v>
      </c>
      <c r="AN2881" s="21" t="n">
        <v>0</v>
      </c>
      <c r="AO2881" s="21" t="n">
        <v>0</v>
      </c>
      <c r="AP2881" s="21" t="n">
        <v>0</v>
      </c>
      <c r="AQ2881" s="21" t="n">
        <v>0</v>
      </c>
      <c r="AR2881" s="21" t="n">
        <v>0</v>
      </c>
      <c r="AS2881" s="21" t="n">
        <v>0</v>
      </c>
      <c r="AT2881" s="19" t="n"/>
    </row>
    <row r="2882">
      <c r="D2882" s="21" t="n">
        <v>0</v>
      </c>
      <c r="E2882" s="21" t="n">
        <v>0</v>
      </c>
      <c r="F2882" s="21" t="n">
        <v>0</v>
      </c>
      <c r="G2882" s="21" t="n">
        <v>0</v>
      </c>
      <c r="H2882" s="21" t="n">
        <v>0</v>
      </c>
      <c r="I2882" s="21" t="n">
        <v>0</v>
      </c>
      <c r="J2882" s="21" t="n">
        <v>0</v>
      </c>
      <c r="K2882" s="21" t="n">
        <v>0</v>
      </c>
      <c r="L2882" s="21" t="n">
        <v>0</v>
      </c>
      <c r="M2882" s="21" t="n">
        <v>0</v>
      </c>
      <c r="N2882" s="21" t="n">
        <v>0</v>
      </c>
      <c r="O2882" s="21" t="n">
        <v>0</v>
      </c>
      <c r="P2882" s="21" t="n">
        <v>0</v>
      </c>
      <c r="Q2882" s="21" t="n">
        <v>0</v>
      </c>
      <c r="R2882" s="21" t="n">
        <v>0</v>
      </c>
      <c r="S2882" s="21" t="n">
        <v>0</v>
      </c>
      <c r="T2882" s="21" t="n">
        <v>0</v>
      </c>
      <c r="U2882" s="21" t="n">
        <v>0</v>
      </c>
      <c r="V2882" s="21" t="n">
        <v>0</v>
      </c>
      <c r="W2882" s="21" t="n">
        <v>0</v>
      </c>
      <c r="X2882" s="21">
        <f>-$B$1811</f>
        <v/>
      </c>
      <c r="Y2882" s="21">
        <f>-$B$1812</f>
        <v/>
      </c>
      <c r="Z2882" s="21">
        <f>2*$B$1811+$D$2849</f>
        <v/>
      </c>
      <c r="AA2882" s="21">
        <f>0</f>
        <v/>
      </c>
      <c r="AB2882" s="21">
        <f>-$B$1811</f>
        <v/>
      </c>
      <c r="AC2882" s="21">
        <f>$B$1812</f>
        <v/>
      </c>
      <c r="AD2882" s="21" t="n">
        <v>0</v>
      </c>
      <c r="AE2882" s="21" t="n">
        <v>0</v>
      </c>
      <c r="AF2882" s="21" t="n">
        <v>0</v>
      </c>
      <c r="AG2882" s="21" t="n">
        <v>0</v>
      </c>
      <c r="AH2882" s="21" t="n">
        <v>0</v>
      </c>
      <c r="AI2882" s="21" t="n">
        <v>0</v>
      </c>
      <c r="AJ2882" s="21" t="n">
        <v>0</v>
      </c>
      <c r="AK2882" s="21" t="n">
        <v>0</v>
      </c>
      <c r="AL2882" s="21" t="n">
        <v>0</v>
      </c>
      <c r="AM2882" s="21" t="n">
        <v>0</v>
      </c>
      <c r="AN2882" s="21" t="n">
        <v>0</v>
      </c>
      <c r="AO2882" s="21" t="n">
        <v>0</v>
      </c>
      <c r="AP2882" s="21" t="n">
        <v>0</v>
      </c>
      <c r="AQ2882" s="21" t="n">
        <v>0</v>
      </c>
      <c r="AR2882" s="21" t="n">
        <v>0</v>
      </c>
      <c r="AS2882" s="21" t="n">
        <v>0</v>
      </c>
      <c r="AT2882" s="19" t="n"/>
    </row>
    <row r="2883">
      <c r="D2883" s="21" t="n">
        <v>0</v>
      </c>
      <c r="E2883" s="21" t="n">
        <v>0</v>
      </c>
      <c r="F2883" s="21" t="n">
        <v>0</v>
      </c>
      <c r="G2883" s="21" t="n">
        <v>0</v>
      </c>
      <c r="H2883" s="21" t="n">
        <v>0</v>
      </c>
      <c r="I2883" s="21" t="n">
        <v>0</v>
      </c>
      <c r="J2883" s="21" t="n">
        <v>0</v>
      </c>
      <c r="K2883" s="21" t="n">
        <v>0</v>
      </c>
      <c r="L2883" s="21" t="n">
        <v>0</v>
      </c>
      <c r="M2883" s="21" t="n">
        <v>0</v>
      </c>
      <c r="N2883" s="21" t="n">
        <v>0</v>
      </c>
      <c r="O2883" s="21" t="n">
        <v>0</v>
      </c>
      <c r="P2883" s="21" t="n">
        <v>0</v>
      </c>
      <c r="Q2883" s="21" t="n">
        <v>0</v>
      </c>
      <c r="R2883" s="21" t="n">
        <v>0</v>
      </c>
      <c r="S2883" s="21" t="n">
        <v>0</v>
      </c>
      <c r="T2883" s="21" t="n">
        <v>0</v>
      </c>
      <c r="U2883" s="21" t="n">
        <v>0</v>
      </c>
      <c r="V2883" s="21" t="n">
        <v>0</v>
      </c>
      <c r="W2883" s="21" t="n">
        <v>0</v>
      </c>
      <c r="X2883" s="21">
        <f>$B$1812</f>
        <v/>
      </c>
      <c r="Y2883" s="21">
        <f>$B$1814</f>
        <v/>
      </c>
      <c r="Z2883" s="21">
        <f>0</f>
        <v/>
      </c>
      <c r="AA2883" s="21">
        <f>2*$B$1813</f>
        <v/>
      </c>
      <c r="AB2883" s="21">
        <f>-$B$1812</f>
        <v/>
      </c>
      <c r="AC2883" s="21">
        <f>$B$1814</f>
        <v/>
      </c>
      <c r="AD2883" s="21" t="n">
        <v>0</v>
      </c>
      <c r="AE2883" s="21" t="n">
        <v>0</v>
      </c>
      <c r="AF2883" s="21" t="n">
        <v>0</v>
      </c>
      <c r="AG2883" s="21" t="n">
        <v>0</v>
      </c>
      <c r="AH2883" s="21" t="n">
        <v>0</v>
      </c>
      <c r="AI2883" s="21" t="n">
        <v>0</v>
      </c>
      <c r="AJ2883" s="21" t="n">
        <v>0</v>
      </c>
      <c r="AK2883" s="21" t="n">
        <v>0</v>
      </c>
      <c r="AL2883" s="21" t="n">
        <v>0</v>
      </c>
      <c r="AM2883" s="21" t="n">
        <v>0</v>
      </c>
      <c r="AN2883" s="21" t="n">
        <v>0</v>
      </c>
      <c r="AO2883" s="21" t="n">
        <v>0</v>
      </c>
      <c r="AP2883" s="21" t="n">
        <v>0</v>
      </c>
      <c r="AQ2883" s="21" t="n">
        <v>0</v>
      </c>
      <c r="AR2883" s="21" t="n">
        <v>0</v>
      </c>
      <c r="AS2883" s="21" t="n">
        <v>0</v>
      </c>
      <c r="AT2883" s="19" t="n"/>
    </row>
    <row r="2884">
      <c r="D2884" s="21" t="n">
        <v>0</v>
      </c>
      <c r="E2884" s="21" t="n">
        <v>0</v>
      </c>
      <c r="F2884" s="21" t="n">
        <v>0</v>
      </c>
      <c r="G2884" s="21" t="n">
        <v>0</v>
      </c>
      <c r="H2884" s="21" t="n">
        <v>0</v>
      </c>
      <c r="I2884" s="21" t="n">
        <v>0</v>
      </c>
      <c r="J2884" s="21" t="n">
        <v>0</v>
      </c>
      <c r="K2884" s="21" t="n">
        <v>0</v>
      </c>
      <c r="L2884" s="21" t="n">
        <v>0</v>
      </c>
      <c r="M2884" s="21" t="n">
        <v>0</v>
      </c>
      <c r="N2884" s="21" t="n">
        <v>0</v>
      </c>
      <c r="O2884" s="21" t="n">
        <v>0</v>
      </c>
      <c r="P2884" s="21" t="n">
        <v>0</v>
      </c>
      <c r="Q2884" s="21" t="n">
        <v>0</v>
      </c>
      <c r="R2884" s="21" t="n">
        <v>0</v>
      </c>
      <c r="S2884" s="21" t="n">
        <v>0</v>
      </c>
      <c r="T2884" s="21" t="n">
        <v>0</v>
      </c>
      <c r="U2884" s="21" t="n">
        <v>0</v>
      </c>
      <c r="V2884" s="21" t="n">
        <v>0</v>
      </c>
      <c r="W2884" s="21" t="n">
        <v>0</v>
      </c>
      <c r="X2884" s="21" t="n">
        <v>0</v>
      </c>
      <c r="Y2884" s="21" t="n">
        <v>0</v>
      </c>
      <c r="Z2884" s="21">
        <f>-$B$1811</f>
        <v/>
      </c>
      <c r="AA2884" s="21">
        <f>-$B$1812</f>
        <v/>
      </c>
      <c r="AB2884" s="21">
        <f>2*$B$1811+$D$2850</f>
        <v/>
      </c>
      <c r="AC2884" s="21">
        <f>0</f>
        <v/>
      </c>
      <c r="AD2884" s="21">
        <f>-$B$1811</f>
        <v/>
      </c>
      <c r="AE2884" s="21">
        <f>$B$1812</f>
        <v/>
      </c>
      <c r="AF2884" s="21" t="n">
        <v>0</v>
      </c>
      <c r="AG2884" s="21" t="n">
        <v>0</v>
      </c>
      <c r="AH2884" s="21" t="n">
        <v>0</v>
      </c>
      <c r="AI2884" s="21" t="n">
        <v>0</v>
      </c>
      <c r="AJ2884" s="21" t="n">
        <v>0</v>
      </c>
      <c r="AK2884" s="21" t="n">
        <v>0</v>
      </c>
      <c r="AL2884" s="21" t="n">
        <v>0</v>
      </c>
      <c r="AM2884" s="21" t="n">
        <v>0</v>
      </c>
      <c r="AN2884" s="21" t="n">
        <v>0</v>
      </c>
      <c r="AO2884" s="21" t="n">
        <v>0</v>
      </c>
      <c r="AP2884" s="21" t="n">
        <v>0</v>
      </c>
      <c r="AQ2884" s="21" t="n">
        <v>0</v>
      </c>
      <c r="AR2884" s="21" t="n">
        <v>0</v>
      </c>
      <c r="AS2884" s="21" t="n">
        <v>0</v>
      </c>
      <c r="AT2884" s="19" t="n"/>
    </row>
    <row r="2885">
      <c r="D2885" s="21" t="n">
        <v>0</v>
      </c>
      <c r="E2885" s="21" t="n">
        <v>0</v>
      </c>
      <c r="F2885" s="21" t="n">
        <v>0</v>
      </c>
      <c r="G2885" s="21" t="n">
        <v>0</v>
      </c>
      <c r="H2885" s="21" t="n">
        <v>0</v>
      </c>
      <c r="I2885" s="21" t="n">
        <v>0</v>
      </c>
      <c r="J2885" s="21" t="n">
        <v>0</v>
      </c>
      <c r="K2885" s="21" t="n">
        <v>0</v>
      </c>
      <c r="L2885" s="21" t="n">
        <v>0</v>
      </c>
      <c r="M2885" s="21" t="n">
        <v>0</v>
      </c>
      <c r="N2885" s="21" t="n">
        <v>0</v>
      </c>
      <c r="O2885" s="21" t="n">
        <v>0</v>
      </c>
      <c r="P2885" s="21" t="n">
        <v>0</v>
      </c>
      <c r="Q2885" s="21" t="n">
        <v>0</v>
      </c>
      <c r="R2885" s="21" t="n">
        <v>0</v>
      </c>
      <c r="S2885" s="21" t="n">
        <v>0</v>
      </c>
      <c r="T2885" s="21" t="n">
        <v>0</v>
      </c>
      <c r="U2885" s="21" t="n">
        <v>0</v>
      </c>
      <c r="V2885" s="21" t="n">
        <v>0</v>
      </c>
      <c r="W2885" s="21" t="n">
        <v>0</v>
      </c>
      <c r="X2885" s="21" t="n">
        <v>0</v>
      </c>
      <c r="Y2885" s="21" t="n">
        <v>0</v>
      </c>
      <c r="Z2885" s="21">
        <f>$B$1812</f>
        <v/>
      </c>
      <c r="AA2885" s="21">
        <f>$B$1814</f>
        <v/>
      </c>
      <c r="AB2885" s="21">
        <f>0</f>
        <v/>
      </c>
      <c r="AC2885" s="21">
        <f>2*$B$1813</f>
        <v/>
      </c>
      <c r="AD2885" s="21">
        <f>-$B$1812</f>
        <v/>
      </c>
      <c r="AE2885" s="21">
        <f>$B$1814</f>
        <v/>
      </c>
      <c r="AF2885" s="21" t="n">
        <v>0</v>
      </c>
      <c r="AG2885" s="21" t="n">
        <v>0</v>
      </c>
      <c r="AH2885" s="21" t="n">
        <v>0</v>
      </c>
      <c r="AI2885" s="21" t="n">
        <v>0</v>
      </c>
      <c r="AJ2885" s="21" t="n">
        <v>0</v>
      </c>
      <c r="AK2885" s="21" t="n">
        <v>0</v>
      </c>
      <c r="AL2885" s="21" t="n">
        <v>0</v>
      </c>
      <c r="AM2885" s="21" t="n">
        <v>0</v>
      </c>
      <c r="AN2885" s="21" t="n">
        <v>0</v>
      </c>
      <c r="AO2885" s="21" t="n">
        <v>0</v>
      </c>
      <c r="AP2885" s="21" t="n">
        <v>0</v>
      </c>
      <c r="AQ2885" s="21" t="n">
        <v>0</v>
      </c>
      <c r="AR2885" s="21" t="n">
        <v>0</v>
      </c>
      <c r="AS2885" s="21" t="n">
        <v>0</v>
      </c>
      <c r="AT2885" s="19" t="n"/>
    </row>
    <row r="2886">
      <c r="D2886" s="21" t="n">
        <v>0</v>
      </c>
      <c r="E2886" s="21" t="n">
        <v>0</v>
      </c>
      <c r="F2886" s="21" t="n">
        <v>0</v>
      </c>
      <c r="G2886" s="21" t="n">
        <v>0</v>
      </c>
      <c r="H2886" s="21" t="n">
        <v>0</v>
      </c>
      <c r="I2886" s="21" t="n">
        <v>0</v>
      </c>
      <c r="J2886" s="21" t="n">
        <v>0</v>
      </c>
      <c r="K2886" s="21" t="n">
        <v>0</v>
      </c>
      <c r="L2886" s="21" t="n">
        <v>0</v>
      </c>
      <c r="M2886" s="21" t="n">
        <v>0</v>
      </c>
      <c r="N2886" s="21" t="n">
        <v>0</v>
      </c>
      <c r="O2886" s="21" t="n">
        <v>0</v>
      </c>
      <c r="P2886" s="21" t="n">
        <v>0</v>
      </c>
      <c r="Q2886" s="21" t="n">
        <v>0</v>
      </c>
      <c r="R2886" s="21" t="n">
        <v>0</v>
      </c>
      <c r="S2886" s="21" t="n">
        <v>0</v>
      </c>
      <c r="T2886" s="21" t="n">
        <v>0</v>
      </c>
      <c r="U2886" s="21" t="n">
        <v>0</v>
      </c>
      <c r="V2886" s="21" t="n">
        <v>0</v>
      </c>
      <c r="W2886" s="21" t="n">
        <v>0</v>
      </c>
      <c r="X2886" s="21" t="n">
        <v>0</v>
      </c>
      <c r="Y2886" s="21" t="n">
        <v>0</v>
      </c>
      <c r="Z2886" s="21" t="n">
        <v>0</v>
      </c>
      <c r="AA2886" s="21" t="n">
        <v>0</v>
      </c>
      <c r="AB2886" s="21">
        <f>-$B$1811</f>
        <v/>
      </c>
      <c r="AC2886" s="21">
        <f>-$B$1812</f>
        <v/>
      </c>
      <c r="AD2886" s="21">
        <f>2*$B$1811+$D$2851</f>
        <v/>
      </c>
      <c r="AE2886" s="21">
        <f>0</f>
        <v/>
      </c>
      <c r="AF2886" s="21">
        <f>-$B$1811</f>
        <v/>
      </c>
      <c r="AG2886" s="21">
        <f>$B$1812</f>
        <v/>
      </c>
      <c r="AH2886" s="21" t="n">
        <v>0</v>
      </c>
      <c r="AI2886" s="21" t="n">
        <v>0</v>
      </c>
      <c r="AJ2886" s="21" t="n">
        <v>0</v>
      </c>
      <c r="AK2886" s="21" t="n">
        <v>0</v>
      </c>
      <c r="AL2886" s="21" t="n">
        <v>0</v>
      </c>
      <c r="AM2886" s="21" t="n">
        <v>0</v>
      </c>
      <c r="AN2886" s="21" t="n">
        <v>0</v>
      </c>
      <c r="AO2886" s="21" t="n">
        <v>0</v>
      </c>
      <c r="AP2886" s="21" t="n">
        <v>0</v>
      </c>
      <c r="AQ2886" s="21" t="n">
        <v>0</v>
      </c>
      <c r="AR2886" s="21" t="n">
        <v>0</v>
      </c>
      <c r="AS2886" s="21" t="n">
        <v>0</v>
      </c>
      <c r="AT2886" s="19" t="n"/>
    </row>
    <row r="2887">
      <c r="D2887" s="21" t="n">
        <v>0</v>
      </c>
      <c r="E2887" s="21" t="n">
        <v>0</v>
      </c>
      <c r="F2887" s="21" t="n">
        <v>0</v>
      </c>
      <c r="G2887" s="21" t="n">
        <v>0</v>
      </c>
      <c r="H2887" s="21" t="n">
        <v>0</v>
      </c>
      <c r="I2887" s="21" t="n">
        <v>0</v>
      </c>
      <c r="J2887" s="21" t="n">
        <v>0</v>
      </c>
      <c r="K2887" s="21" t="n">
        <v>0</v>
      </c>
      <c r="L2887" s="21" t="n">
        <v>0</v>
      </c>
      <c r="M2887" s="21" t="n">
        <v>0</v>
      </c>
      <c r="N2887" s="21" t="n">
        <v>0</v>
      </c>
      <c r="O2887" s="21" t="n">
        <v>0</v>
      </c>
      <c r="P2887" s="21" t="n">
        <v>0</v>
      </c>
      <c r="Q2887" s="21" t="n">
        <v>0</v>
      </c>
      <c r="R2887" s="21" t="n">
        <v>0</v>
      </c>
      <c r="S2887" s="21" t="n">
        <v>0</v>
      </c>
      <c r="T2887" s="21" t="n">
        <v>0</v>
      </c>
      <c r="U2887" s="21" t="n">
        <v>0</v>
      </c>
      <c r="V2887" s="21" t="n">
        <v>0</v>
      </c>
      <c r="W2887" s="21" t="n">
        <v>0</v>
      </c>
      <c r="X2887" s="21" t="n">
        <v>0</v>
      </c>
      <c r="Y2887" s="21" t="n">
        <v>0</v>
      </c>
      <c r="Z2887" s="21" t="n">
        <v>0</v>
      </c>
      <c r="AA2887" s="21" t="n">
        <v>0</v>
      </c>
      <c r="AB2887" s="21">
        <f>$B$1812</f>
        <v/>
      </c>
      <c r="AC2887" s="21">
        <f>$B$1814</f>
        <v/>
      </c>
      <c r="AD2887" s="21">
        <f>0</f>
        <v/>
      </c>
      <c r="AE2887" s="21">
        <f>2*$B$1813</f>
        <v/>
      </c>
      <c r="AF2887" s="21">
        <f>-$B$1812</f>
        <v/>
      </c>
      <c r="AG2887" s="21">
        <f>$B$1814</f>
        <v/>
      </c>
      <c r="AH2887" s="21" t="n">
        <v>0</v>
      </c>
      <c r="AI2887" s="21" t="n">
        <v>0</v>
      </c>
      <c r="AJ2887" s="21" t="n">
        <v>0</v>
      </c>
      <c r="AK2887" s="21" t="n">
        <v>0</v>
      </c>
      <c r="AL2887" s="21" t="n">
        <v>0</v>
      </c>
      <c r="AM2887" s="21" t="n">
        <v>0</v>
      </c>
      <c r="AN2887" s="21" t="n">
        <v>0</v>
      </c>
      <c r="AO2887" s="21" t="n">
        <v>0</v>
      </c>
      <c r="AP2887" s="21" t="n">
        <v>0</v>
      </c>
      <c r="AQ2887" s="21" t="n">
        <v>0</v>
      </c>
      <c r="AR2887" s="21" t="n">
        <v>0</v>
      </c>
      <c r="AS2887" s="21" t="n">
        <v>0</v>
      </c>
      <c r="AT2887" s="19" t="n"/>
    </row>
    <row r="2888">
      <c r="D2888" s="21" t="n">
        <v>0</v>
      </c>
      <c r="E2888" s="21" t="n">
        <v>0</v>
      </c>
      <c r="F2888" s="21" t="n">
        <v>0</v>
      </c>
      <c r="G2888" s="21" t="n">
        <v>0</v>
      </c>
      <c r="H2888" s="21" t="n">
        <v>0</v>
      </c>
      <c r="I2888" s="21" t="n">
        <v>0</v>
      </c>
      <c r="J2888" s="21" t="n">
        <v>0</v>
      </c>
      <c r="K2888" s="21" t="n">
        <v>0</v>
      </c>
      <c r="L2888" s="21" t="n">
        <v>0</v>
      </c>
      <c r="M2888" s="21" t="n">
        <v>0</v>
      </c>
      <c r="N2888" s="21" t="n">
        <v>0</v>
      </c>
      <c r="O2888" s="21" t="n">
        <v>0</v>
      </c>
      <c r="P2888" s="21" t="n">
        <v>0</v>
      </c>
      <c r="Q2888" s="21" t="n">
        <v>0</v>
      </c>
      <c r="R2888" s="21" t="n">
        <v>0</v>
      </c>
      <c r="S2888" s="21" t="n">
        <v>0</v>
      </c>
      <c r="T2888" s="21" t="n">
        <v>0</v>
      </c>
      <c r="U2888" s="21" t="n">
        <v>0</v>
      </c>
      <c r="V2888" s="21" t="n">
        <v>0</v>
      </c>
      <c r="W2888" s="21" t="n">
        <v>0</v>
      </c>
      <c r="X2888" s="21" t="n">
        <v>0</v>
      </c>
      <c r="Y2888" s="21" t="n">
        <v>0</v>
      </c>
      <c r="Z2888" s="21" t="n">
        <v>0</v>
      </c>
      <c r="AA2888" s="21" t="n">
        <v>0</v>
      </c>
      <c r="AB2888" s="21" t="n">
        <v>0</v>
      </c>
      <c r="AC2888" s="21" t="n">
        <v>0</v>
      </c>
      <c r="AD2888" s="21">
        <f>-$B$1811</f>
        <v/>
      </c>
      <c r="AE2888" s="21">
        <f>-$B$1812</f>
        <v/>
      </c>
      <c r="AF2888" s="21">
        <f>2*$B$1811+$D$2852</f>
        <v/>
      </c>
      <c r="AG2888" s="21">
        <f>0</f>
        <v/>
      </c>
      <c r="AH2888" s="21">
        <f>-$B$1811</f>
        <v/>
      </c>
      <c r="AI2888" s="21">
        <f>$B$1812</f>
        <v/>
      </c>
      <c r="AJ2888" s="21" t="n">
        <v>0</v>
      </c>
      <c r="AK2888" s="21" t="n">
        <v>0</v>
      </c>
      <c r="AL2888" s="21" t="n">
        <v>0</v>
      </c>
      <c r="AM2888" s="21" t="n">
        <v>0</v>
      </c>
      <c r="AN2888" s="21" t="n">
        <v>0</v>
      </c>
      <c r="AO2888" s="21" t="n">
        <v>0</v>
      </c>
      <c r="AP2888" s="21" t="n">
        <v>0</v>
      </c>
      <c r="AQ2888" s="21" t="n">
        <v>0</v>
      </c>
      <c r="AR2888" s="21" t="n">
        <v>0</v>
      </c>
      <c r="AS2888" s="21" t="n">
        <v>0</v>
      </c>
      <c r="AT2888" s="19" t="n"/>
    </row>
    <row r="2889">
      <c r="D2889" s="21" t="n">
        <v>0</v>
      </c>
      <c r="E2889" s="21" t="n">
        <v>0</v>
      </c>
      <c r="F2889" s="21" t="n">
        <v>0</v>
      </c>
      <c r="G2889" s="21" t="n">
        <v>0</v>
      </c>
      <c r="H2889" s="21" t="n">
        <v>0</v>
      </c>
      <c r="I2889" s="21" t="n">
        <v>0</v>
      </c>
      <c r="J2889" s="21" t="n">
        <v>0</v>
      </c>
      <c r="K2889" s="21" t="n">
        <v>0</v>
      </c>
      <c r="L2889" s="21" t="n">
        <v>0</v>
      </c>
      <c r="M2889" s="21" t="n">
        <v>0</v>
      </c>
      <c r="N2889" s="21" t="n">
        <v>0</v>
      </c>
      <c r="O2889" s="21" t="n">
        <v>0</v>
      </c>
      <c r="P2889" s="21" t="n">
        <v>0</v>
      </c>
      <c r="Q2889" s="21" t="n">
        <v>0</v>
      </c>
      <c r="R2889" s="21" t="n">
        <v>0</v>
      </c>
      <c r="S2889" s="21" t="n">
        <v>0</v>
      </c>
      <c r="T2889" s="21" t="n">
        <v>0</v>
      </c>
      <c r="U2889" s="21" t="n">
        <v>0</v>
      </c>
      <c r="V2889" s="21" t="n">
        <v>0</v>
      </c>
      <c r="W2889" s="21" t="n">
        <v>0</v>
      </c>
      <c r="X2889" s="21" t="n">
        <v>0</v>
      </c>
      <c r="Y2889" s="21" t="n">
        <v>0</v>
      </c>
      <c r="Z2889" s="21" t="n">
        <v>0</v>
      </c>
      <c r="AA2889" s="21" t="n">
        <v>0</v>
      </c>
      <c r="AB2889" s="21" t="n">
        <v>0</v>
      </c>
      <c r="AC2889" s="21" t="n">
        <v>0</v>
      </c>
      <c r="AD2889" s="21">
        <f>$B$1812</f>
        <v/>
      </c>
      <c r="AE2889" s="21">
        <f>$B$1814</f>
        <v/>
      </c>
      <c r="AF2889" s="21">
        <f>0</f>
        <v/>
      </c>
      <c r="AG2889" s="21">
        <f>2*$B$1813</f>
        <v/>
      </c>
      <c r="AH2889" s="21">
        <f>-$B$1812</f>
        <v/>
      </c>
      <c r="AI2889" s="21">
        <f>$B$1814</f>
        <v/>
      </c>
      <c r="AJ2889" s="21" t="n">
        <v>0</v>
      </c>
      <c r="AK2889" s="21" t="n">
        <v>0</v>
      </c>
      <c r="AL2889" s="21" t="n">
        <v>0</v>
      </c>
      <c r="AM2889" s="21" t="n">
        <v>0</v>
      </c>
      <c r="AN2889" s="21" t="n">
        <v>0</v>
      </c>
      <c r="AO2889" s="21" t="n">
        <v>0</v>
      </c>
      <c r="AP2889" s="21" t="n">
        <v>0</v>
      </c>
      <c r="AQ2889" s="21" t="n">
        <v>0</v>
      </c>
      <c r="AR2889" s="21" t="n">
        <v>0</v>
      </c>
      <c r="AS2889" s="21" t="n">
        <v>0</v>
      </c>
      <c r="AT2889" s="19" t="n"/>
    </row>
    <row r="2890">
      <c r="D2890" s="21" t="n">
        <v>0</v>
      </c>
      <c r="E2890" s="21" t="n">
        <v>0</v>
      </c>
      <c r="F2890" s="21" t="n">
        <v>0</v>
      </c>
      <c r="G2890" s="21" t="n">
        <v>0</v>
      </c>
      <c r="H2890" s="21" t="n">
        <v>0</v>
      </c>
      <c r="I2890" s="21" t="n">
        <v>0</v>
      </c>
      <c r="J2890" s="21" t="n">
        <v>0</v>
      </c>
      <c r="K2890" s="21" t="n">
        <v>0</v>
      </c>
      <c r="L2890" s="21" t="n">
        <v>0</v>
      </c>
      <c r="M2890" s="21" t="n">
        <v>0</v>
      </c>
      <c r="N2890" s="21" t="n">
        <v>0</v>
      </c>
      <c r="O2890" s="21" t="n">
        <v>0</v>
      </c>
      <c r="P2890" s="21" t="n">
        <v>0</v>
      </c>
      <c r="Q2890" s="21" t="n">
        <v>0</v>
      </c>
      <c r="R2890" s="21" t="n">
        <v>0</v>
      </c>
      <c r="S2890" s="21" t="n">
        <v>0</v>
      </c>
      <c r="T2890" s="21" t="n">
        <v>0</v>
      </c>
      <c r="U2890" s="21" t="n">
        <v>0</v>
      </c>
      <c r="V2890" s="21" t="n">
        <v>0</v>
      </c>
      <c r="W2890" s="21" t="n">
        <v>0</v>
      </c>
      <c r="X2890" s="21" t="n">
        <v>0</v>
      </c>
      <c r="Y2890" s="21" t="n">
        <v>0</v>
      </c>
      <c r="Z2890" s="21" t="n">
        <v>0</v>
      </c>
      <c r="AA2890" s="21" t="n">
        <v>0</v>
      </c>
      <c r="AB2890" s="21" t="n">
        <v>0</v>
      </c>
      <c r="AC2890" s="21" t="n">
        <v>0</v>
      </c>
      <c r="AD2890" s="21" t="n">
        <v>0</v>
      </c>
      <c r="AE2890" s="21" t="n">
        <v>0</v>
      </c>
      <c r="AF2890" s="21">
        <f>-$B$1811</f>
        <v/>
      </c>
      <c r="AG2890" s="21">
        <f>-$B$1812</f>
        <v/>
      </c>
      <c r="AH2890" s="21">
        <f>2*$B$1811+$D$2853</f>
        <v/>
      </c>
      <c r="AI2890" s="21">
        <f>0</f>
        <v/>
      </c>
      <c r="AJ2890" s="21">
        <f>-$B$1811</f>
        <v/>
      </c>
      <c r="AK2890" s="21">
        <f>$B$1812</f>
        <v/>
      </c>
      <c r="AL2890" s="21" t="n">
        <v>0</v>
      </c>
      <c r="AM2890" s="21" t="n">
        <v>0</v>
      </c>
      <c r="AN2890" s="21" t="n">
        <v>0</v>
      </c>
      <c r="AO2890" s="21" t="n">
        <v>0</v>
      </c>
      <c r="AP2890" s="21" t="n">
        <v>0</v>
      </c>
      <c r="AQ2890" s="21" t="n">
        <v>0</v>
      </c>
      <c r="AR2890" s="21" t="n">
        <v>0</v>
      </c>
      <c r="AS2890" s="21" t="n">
        <v>0</v>
      </c>
      <c r="AT2890" s="19" t="n"/>
    </row>
    <row r="2891">
      <c r="D2891" s="21" t="n">
        <v>0</v>
      </c>
      <c r="E2891" s="21" t="n">
        <v>0</v>
      </c>
      <c r="F2891" s="21" t="n">
        <v>0</v>
      </c>
      <c r="G2891" s="21" t="n">
        <v>0</v>
      </c>
      <c r="H2891" s="21" t="n">
        <v>0</v>
      </c>
      <c r="I2891" s="21" t="n">
        <v>0</v>
      </c>
      <c r="J2891" s="21" t="n">
        <v>0</v>
      </c>
      <c r="K2891" s="21" t="n">
        <v>0</v>
      </c>
      <c r="L2891" s="21" t="n">
        <v>0</v>
      </c>
      <c r="M2891" s="21" t="n">
        <v>0</v>
      </c>
      <c r="N2891" s="21" t="n">
        <v>0</v>
      </c>
      <c r="O2891" s="21" t="n">
        <v>0</v>
      </c>
      <c r="P2891" s="21" t="n">
        <v>0</v>
      </c>
      <c r="Q2891" s="21" t="n">
        <v>0</v>
      </c>
      <c r="R2891" s="21" t="n">
        <v>0</v>
      </c>
      <c r="S2891" s="21" t="n">
        <v>0</v>
      </c>
      <c r="T2891" s="21" t="n">
        <v>0</v>
      </c>
      <c r="U2891" s="21" t="n">
        <v>0</v>
      </c>
      <c r="V2891" s="21" t="n">
        <v>0</v>
      </c>
      <c r="W2891" s="21" t="n">
        <v>0</v>
      </c>
      <c r="X2891" s="21" t="n">
        <v>0</v>
      </c>
      <c r="Y2891" s="21" t="n">
        <v>0</v>
      </c>
      <c r="Z2891" s="21" t="n">
        <v>0</v>
      </c>
      <c r="AA2891" s="21" t="n">
        <v>0</v>
      </c>
      <c r="AB2891" s="21" t="n">
        <v>0</v>
      </c>
      <c r="AC2891" s="21" t="n">
        <v>0</v>
      </c>
      <c r="AD2891" s="21" t="n">
        <v>0</v>
      </c>
      <c r="AE2891" s="21" t="n">
        <v>0</v>
      </c>
      <c r="AF2891" s="21">
        <f>$B$1812</f>
        <v/>
      </c>
      <c r="AG2891" s="21">
        <f>$B$1814</f>
        <v/>
      </c>
      <c r="AH2891" s="21">
        <f>0</f>
        <v/>
      </c>
      <c r="AI2891" s="21">
        <f>2*$B$1813</f>
        <v/>
      </c>
      <c r="AJ2891" s="21">
        <f>-$B$1812</f>
        <v/>
      </c>
      <c r="AK2891" s="21">
        <f>$B$1814</f>
        <v/>
      </c>
      <c r="AL2891" s="21" t="n">
        <v>0</v>
      </c>
      <c r="AM2891" s="21" t="n">
        <v>0</v>
      </c>
      <c r="AN2891" s="21" t="n">
        <v>0</v>
      </c>
      <c r="AO2891" s="21" t="n">
        <v>0</v>
      </c>
      <c r="AP2891" s="21" t="n">
        <v>0</v>
      </c>
      <c r="AQ2891" s="21" t="n">
        <v>0</v>
      </c>
      <c r="AR2891" s="21" t="n">
        <v>0</v>
      </c>
      <c r="AS2891" s="21" t="n">
        <v>0</v>
      </c>
      <c r="AT2891" s="19" t="n"/>
    </row>
    <row r="2892">
      <c r="D2892" s="21" t="n">
        <v>0</v>
      </c>
      <c r="E2892" s="21" t="n">
        <v>0</v>
      </c>
      <c r="F2892" s="21" t="n">
        <v>0</v>
      </c>
      <c r="G2892" s="21" t="n">
        <v>0</v>
      </c>
      <c r="H2892" s="21" t="n">
        <v>0</v>
      </c>
      <c r="I2892" s="21" t="n">
        <v>0</v>
      </c>
      <c r="J2892" s="21" t="n">
        <v>0</v>
      </c>
      <c r="K2892" s="21" t="n">
        <v>0</v>
      </c>
      <c r="L2892" s="21" t="n">
        <v>0</v>
      </c>
      <c r="M2892" s="21" t="n">
        <v>0</v>
      </c>
      <c r="N2892" s="21" t="n">
        <v>0</v>
      </c>
      <c r="O2892" s="21" t="n">
        <v>0</v>
      </c>
      <c r="P2892" s="21" t="n">
        <v>0</v>
      </c>
      <c r="Q2892" s="21" t="n">
        <v>0</v>
      </c>
      <c r="R2892" s="21" t="n">
        <v>0</v>
      </c>
      <c r="S2892" s="21" t="n">
        <v>0</v>
      </c>
      <c r="T2892" s="21" t="n">
        <v>0</v>
      </c>
      <c r="U2892" s="21" t="n">
        <v>0</v>
      </c>
      <c r="V2892" s="21" t="n">
        <v>0</v>
      </c>
      <c r="W2892" s="21" t="n">
        <v>0</v>
      </c>
      <c r="X2892" s="21" t="n">
        <v>0</v>
      </c>
      <c r="Y2892" s="21" t="n">
        <v>0</v>
      </c>
      <c r="Z2892" s="21" t="n">
        <v>0</v>
      </c>
      <c r="AA2892" s="21" t="n">
        <v>0</v>
      </c>
      <c r="AB2892" s="21" t="n">
        <v>0</v>
      </c>
      <c r="AC2892" s="21" t="n">
        <v>0</v>
      </c>
      <c r="AD2892" s="21" t="n">
        <v>0</v>
      </c>
      <c r="AE2892" s="21" t="n">
        <v>0</v>
      </c>
      <c r="AF2892" s="21" t="n">
        <v>0</v>
      </c>
      <c r="AG2892" s="21" t="n">
        <v>0</v>
      </c>
      <c r="AH2892" s="21">
        <f>-$B$1811</f>
        <v/>
      </c>
      <c r="AI2892" s="21">
        <f>-$B$1812</f>
        <v/>
      </c>
      <c r="AJ2892" s="21">
        <f>2*$B$1811+$D$2854</f>
        <v/>
      </c>
      <c r="AK2892" s="21">
        <f>0</f>
        <v/>
      </c>
      <c r="AL2892" s="21">
        <f>-$B$1811</f>
        <v/>
      </c>
      <c r="AM2892" s="21">
        <f>$B$1812</f>
        <v/>
      </c>
      <c r="AN2892" s="21" t="n">
        <v>0</v>
      </c>
      <c r="AO2892" s="21" t="n">
        <v>0</v>
      </c>
      <c r="AP2892" s="21" t="n">
        <v>0</v>
      </c>
      <c r="AQ2892" s="21" t="n">
        <v>0</v>
      </c>
      <c r="AR2892" s="21" t="n">
        <v>0</v>
      </c>
      <c r="AS2892" s="21" t="n">
        <v>0</v>
      </c>
      <c r="AT2892" s="19" t="n"/>
    </row>
    <row r="2893">
      <c r="D2893" s="21" t="n">
        <v>0</v>
      </c>
      <c r="E2893" s="21" t="n">
        <v>0</v>
      </c>
      <c r="F2893" s="21" t="n">
        <v>0</v>
      </c>
      <c r="G2893" s="21" t="n">
        <v>0</v>
      </c>
      <c r="H2893" s="21" t="n">
        <v>0</v>
      </c>
      <c r="I2893" s="21" t="n">
        <v>0</v>
      </c>
      <c r="J2893" s="21" t="n">
        <v>0</v>
      </c>
      <c r="K2893" s="21" t="n">
        <v>0</v>
      </c>
      <c r="L2893" s="21" t="n">
        <v>0</v>
      </c>
      <c r="M2893" s="21" t="n">
        <v>0</v>
      </c>
      <c r="N2893" s="21" t="n">
        <v>0</v>
      </c>
      <c r="O2893" s="21" t="n">
        <v>0</v>
      </c>
      <c r="P2893" s="21" t="n">
        <v>0</v>
      </c>
      <c r="Q2893" s="21" t="n">
        <v>0</v>
      </c>
      <c r="R2893" s="21" t="n">
        <v>0</v>
      </c>
      <c r="S2893" s="21" t="n">
        <v>0</v>
      </c>
      <c r="T2893" s="21" t="n">
        <v>0</v>
      </c>
      <c r="U2893" s="21" t="n">
        <v>0</v>
      </c>
      <c r="V2893" s="21" t="n">
        <v>0</v>
      </c>
      <c r="W2893" s="21" t="n">
        <v>0</v>
      </c>
      <c r="X2893" s="21" t="n">
        <v>0</v>
      </c>
      <c r="Y2893" s="21" t="n">
        <v>0</v>
      </c>
      <c r="Z2893" s="21" t="n">
        <v>0</v>
      </c>
      <c r="AA2893" s="21" t="n">
        <v>0</v>
      </c>
      <c r="AB2893" s="21" t="n">
        <v>0</v>
      </c>
      <c r="AC2893" s="21" t="n">
        <v>0</v>
      </c>
      <c r="AD2893" s="21" t="n">
        <v>0</v>
      </c>
      <c r="AE2893" s="21" t="n">
        <v>0</v>
      </c>
      <c r="AF2893" s="21" t="n">
        <v>0</v>
      </c>
      <c r="AG2893" s="21" t="n">
        <v>0</v>
      </c>
      <c r="AH2893" s="21">
        <f>$B$1812</f>
        <v/>
      </c>
      <c r="AI2893" s="21">
        <f>$B$1814</f>
        <v/>
      </c>
      <c r="AJ2893" s="21">
        <f>0</f>
        <v/>
      </c>
      <c r="AK2893" s="21">
        <f>2*$B$1813</f>
        <v/>
      </c>
      <c r="AL2893" s="21">
        <f>-$B$1812</f>
        <v/>
      </c>
      <c r="AM2893" s="21">
        <f>$B$1814</f>
        <v/>
      </c>
      <c r="AN2893" s="21" t="n">
        <v>0</v>
      </c>
      <c r="AO2893" s="21" t="n">
        <v>0</v>
      </c>
      <c r="AP2893" s="21" t="n">
        <v>0</v>
      </c>
      <c r="AQ2893" s="21" t="n">
        <v>0</v>
      </c>
      <c r="AR2893" s="21" t="n">
        <v>0</v>
      </c>
      <c r="AS2893" s="21" t="n">
        <v>0</v>
      </c>
      <c r="AT2893" s="19" t="n"/>
    </row>
    <row r="2894">
      <c r="D2894" s="21" t="n">
        <v>0</v>
      </c>
      <c r="E2894" s="21" t="n">
        <v>0</v>
      </c>
      <c r="F2894" s="21" t="n">
        <v>0</v>
      </c>
      <c r="G2894" s="21" t="n">
        <v>0</v>
      </c>
      <c r="H2894" s="21" t="n">
        <v>0</v>
      </c>
      <c r="I2894" s="21" t="n">
        <v>0</v>
      </c>
      <c r="J2894" s="21" t="n">
        <v>0</v>
      </c>
      <c r="K2894" s="21" t="n">
        <v>0</v>
      </c>
      <c r="L2894" s="21" t="n">
        <v>0</v>
      </c>
      <c r="M2894" s="21" t="n">
        <v>0</v>
      </c>
      <c r="N2894" s="21" t="n">
        <v>0</v>
      </c>
      <c r="O2894" s="21" t="n">
        <v>0</v>
      </c>
      <c r="P2894" s="21" t="n">
        <v>0</v>
      </c>
      <c r="Q2894" s="21" t="n">
        <v>0</v>
      </c>
      <c r="R2894" s="21" t="n">
        <v>0</v>
      </c>
      <c r="S2894" s="21" t="n">
        <v>0</v>
      </c>
      <c r="T2894" s="21" t="n">
        <v>0</v>
      </c>
      <c r="U2894" s="21" t="n">
        <v>0</v>
      </c>
      <c r="V2894" s="21" t="n">
        <v>0</v>
      </c>
      <c r="W2894" s="21" t="n">
        <v>0</v>
      </c>
      <c r="X2894" s="21" t="n">
        <v>0</v>
      </c>
      <c r="Y2894" s="21" t="n">
        <v>0</v>
      </c>
      <c r="Z2894" s="21" t="n">
        <v>0</v>
      </c>
      <c r="AA2894" s="21" t="n">
        <v>0</v>
      </c>
      <c r="AB2894" s="21" t="n">
        <v>0</v>
      </c>
      <c r="AC2894" s="21" t="n">
        <v>0</v>
      </c>
      <c r="AD2894" s="21" t="n">
        <v>0</v>
      </c>
      <c r="AE2894" s="21" t="n">
        <v>0</v>
      </c>
      <c r="AF2894" s="21" t="n">
        <v>0</v>
      </c>
      <c r="AG2894" s="21" t="n">
        <v>0</v>
      </c>
      <c r="AH2894" s="21" t="n">
        <v>0</v>
      </c>
      <c r="AI2894" s="21" t="n">
        <v>0</v>
      </c>
      <c r="AJ2894" s="21">
        <f>-$B$1811</f>
        <v/>
      </c>
      <c r="AK2894" s="21">
        <f>-$B$1812</f>
        <v/>
      </c>
      <c r="AL2894" s="21">
        <f>2*$B$1811+$D$2855</f>
        <v/>
      </c>
      <c r="AM2894" s="21">
        <f>0</f>
        <v/>
      </c>
      <c r="AN2894" s="21">
        <f>-$B$1811</f>
        <v/>
      </c>
      <c r="AO2894" s="21">
        <f>$B$1812</f>
        <v/>
      </c>
      <c r="AP2894" s="21" t="n">
        <v>0</v>
      </c>
      <c r="AQ2894" s="21" t="n">
        <v>0</v>
      </c>
      <c r="AR2894" s="21" t="n">
        <v>0</v>
      </c>
      <c r="AS2894" s="21" t="n">
        <v>0</v>
      </c>
      <c r="AT2894" s="19" t="n"/>
    </row>
    <row r="2895">
      <c r="D2895" s="21" t="n">
        <v>0</v>
      </c>
      <c r="E2895" s="21" t="n">
        <v>0</v>
      </c>
      <c r="F2895" s="21" t="n">
        <v>0</v>
      </c>
      <c r="G2895" s="21" t="n">
        <v>0</v>
      </c>
      <c r="H2895" s="21" t="n">
        <v>0</v>
      </c>
      <c r="I2895" s="21" t="n">
        <v>0</v>
      </c>
      <c r="J2895" s="21" t="n">
        <v>0</v>
      </c>
      <c r="K2895" s="21" t="n">
        <v>0</v>
      </c>
      <c r="L2895" s="21" t="n">
        <v>0</v>
      </c>
      <c r="M2895" s="21" t="n">
        <v>0</v>
      </c>
      <c r="N2895" s="21" t="n">
        <v>0</v>
      </c>
      <c r="O2895" s="21" t="n">
        <v>0</v>
      </c>
      <c r="P2895" s="21" t="n">
        <v>0</v>
      </c>
      <c r="Q2895" s="21" t="n">
        <v>0</v>
      </c>
      <c r="R2895" s="21" t="n">
        <v>0</v>
      </c>
      <c r="S2895" s="21" t="n">
        <v>0</v>
      </c>
      <c r="T2895" s="21" t="n">
        <v>0</v>
      </c>
      <c r="U2895" s="21" t="n">
        <v>0</v>
      </c>
      <c r="V2895" s="21" t="n">
        <v>0</v>
      </c>
      <c r="W2895" s="21" t="n">
        <v>0</v>
      </c>
      <c r="X2895" s="21" t="n">
        <v>0</v>
      </c>
      <c r="Y2895" s="21" t="n">
        <v>0</v>
      </c>
      <c r="Z2895" s="21" t="n">
        <v>0</v>
      </c>
      <c r="AA2895" s="21" t="n">
        <v>0</v>
      </c>
      <c r="AB2895" s="21" t="n">
        <v>0</v>
      </c>
      <c r="AC2895" s="21" t="n">
        <v>0</v>
      </c>
      <c r="AD2895" s="21" t="n">
        <v>0</v>
      </c>
      <c r="AE2895" s="21" t="n">
        <v>0</v>
      </c>
      <c r="AF2895" s="21" t="n">
        <v>0</v>
      </c>
      <c r="AG2895" s="21" t="n">
        <v>0</v>
      </c>
      <c r="AH2895" s="21" t="n">
        <v>0</v>
      </c>
      <c r="AI2895" s="21" t="n">
        <v>0</v>
      </c>
      <c r="AJ2895" s="21">
        <f>$B$1812</f>
        <v/>
      </c>
      <c r="AK2895" s="21">
        <f>$B$1814</f>
        <v/>
      </c>
      <c r="AL2895" s="21">
        <f>0</f>
        <v/>
      </c>
      <c r="AM2895" s="21">
        <f>2*$B$1813</f>
        <v/>
      </c>
      <c r="AN2895" s="21">
        <f>-$B$1812</f>
        <v/>
      </c>
      <c r="AO2895" s="21">
        <f>$B$1814</f>
        <v/>
      </c>
      <c r="AP2895" s="21" t="n">
        <v>0</v>
      </c>
      <c r="AQ2895" s="21" t="n">
        <v>0</v>
      </c>
      <c r="AR2895" s="21" t="n">
        <v>0</v>
      </c>
      <c r="AS2895" s="21" t="n">
        <v>0</v>
      </c>
      <c r="AT2895" s="19" t="n"/>
    </row>
    <row r="2896">
      <c r="D2896" s="21" t="n">
        <v>0</v>
      </c>
      <c r="E2896" s="21" t="n">
        <v>0</v>
      </c>
      <c r="F2896" s="21" t="n">
        <v>0</v>
      </c>
      <c r="G2896" s="21" t="n">
        <v>0</v>
      </c>
      <c r="H2896" s="21" t="n">
        <v>0</v>
      </c>
      <c r="I2896" s="21" t="n">
        <v>0</v>
      </c>
      <c r="J2896" s="21" t="n">
        <v>0</v>
      </c>
      <c r="K2896" s="21" t="n">
        <v>0</v>
      </c>
      <c r="L2896" s="21" t="n">
        <v>0</v>
      </c>
      <c r="M2896" s="21" t="n">
        <v>0</v>
      </c>
      <c r="N2896" s="21" t="n">
        <v>0</v>
      </c>
      <c r="O2896" s="21" t="n">
        <v>0</v>
      </c>
      <c r="P2896" s="21" t="n">
        <v>0</v>
      </c>
      <c r="Q2896" s="21" t="n">
        <v>0</v>
      </c>
      <c r="R2896" s="21" t="n">
        <v>0</v>
      </c>
      <c r="S2896" s="21" t="n">
        <v>0</v>
      </c>
      <c r="T2896" s="21" t="n">
        <v>0</v>
      </c>
      <c r="U2896" s="21" t="n">
        <v>0</v>
      </c>
      <c r="V2896" s="21" t="n">
        <v>0</v>
      </c>
      <c r="W2896" s="21" t="n">
        <v>0</v>
      </c>
      <c r="X2896" s="21" t="n">
        <v>0</v>
      </c>
      <c r="Y2896" s="21" t="n">
        <v>0</v>
      </c>
      <c r="Z2896" s="21" t="n">
        <v>0</v>
      </c>
      <c r="AA2896" s="21" t="n">
        <v>0</v>
      </c>
      <c r="AB2896" s="21" t="n">
        <v>0</v>
      </c>
      <c r="AC2896" s="21" t="n">
        <v>0</v>
      </c>
      <c r="AD2896" s="21" t="n">
        <v>0</v>
      </c>
      <c r="AE2896" s="21" t="n">
        <v>0</v>
      </c>
      <c r="AF2896" s="21" t="n">
        <v>0</v>
      </c>
      <c r="AG2896" s="21" t="n">
        <v>0</v>
      </c>
      <c r="AH2896" s="21" t="n">
        <v>0</v>
      </c>
      <c r="AI2896" s="21" t="n">
        <v>0</v>
      </c>
      <c r="AJ2896" s="21" t="n">
        <v>0</v>
      </c>
      <c r="AK2896" s="21" t="n">
        <v>0</v>
      </c>
      <c r="AL2896" s="21">
        <f>-$B$1811</f>
        <v/>
      </c>
      <c r="AM2896" s="21">
        <f>-$B$1812</f>
        <v/>
      </c>
      <c r="AN2896" s="21">
        <f>2*$B$1811+$D$2856</f>
        <v/>
      </c>
      <c r="AO2896" s="21">
        <f>0</f>
        <v/>
      </c>
      <c r="AP2896" s="21">
        <f>-$B$1811</f>
        <v/>
      </c>
      <c r="AQ2896" s="21">
        <f>$B$1812</f>
        <v/>
      </c>
      <c r="AR2896" s="21" t="n">
        <v>0</v>
      </c>
      <c r="AS2896" s="21" t="n">
        <v>0</v>
      </c>
      <c r="AT2896" s="19" t="n"/>
    </row>
    <row r="2897">
      <c r="D2897" s="21" t="n">
        <v>0</v>
      </c>
      <c r="E2897" s="21" t="n">
        <v>0</v>
      </c>
      <c r="F2897" s="21" t="n">
        <v>0</v>
      </c>
      <c r="G2897" s="21" t="n">
        <v>0</v>
      </c>
      <c r="H2897" s="21" t="n">
        <v>0</v>
      </c>
      <c r="I2897" s="21" t="n">
        <v>0</v>
      </c>
      <c r="J2897" s="21" t="n">
        <v>0</v>
      </c>
      <c r="K2897" s="21" t="n">
        <v>0</v>
      </c>
      <c r="L2897" s="21" t="n">
        <v>0</v>
      </c>
      <c r="M2897" s="21" t="n">
        <v>0</v>
      </c>
      <c r="N2897" s="21" t="n">
        <v>0</v>
      </c>
      <c r="O2897" s="21" t="n">
        <v>0</v>
      </c>
      <c r="P2897" s="21" t="n">
        <v>0</v>
      </c>
      <c r="Q2897" s="21" t="n">
        <v>0</v>
      </c>
      <c r="R2897" s="21" t="n">
        <v>0</v>
      </c>
      <c r="S2897" s="21" t="n">
        <v>0</v>
      </c>
      <c r="T2897" s="21" t="n">
        <v>0</v>
      </c>
      <c r="U2897" s="21" t="n">
        <v>0</v>
      </c>
      <c r="V2897" s="21" t="n">
        <v>0</v>
      </c>
      <c r="W2897" s="21" t="n">
        <v>0</v>
      </c>
      <c r="X2897" s="21" t="n">
        <v>0</v>
      </c>
      <c r="Y2897" s="21" t="n">
        <v>0</v>
      </c>
      <c r="Z2897" s="21" t="n">
        <v>0</v>
      </c>
      <c r="AA2897" s="21" t="n">
        <v>0</v>
      </c>
      <c r="AB2897" s="21" t="n">
        <v>0</v>
      </c>
      <c r="AC2897" s="21" t="n">
        <v>0</v>
      </c>
      <c r="AD2897" s="21" t="n">
        <v>0</v>
      </c>
      <c r="AE2897" s="21" t="n">
        <v>0</v>
      </c>
      <c r="AF2897" s="21" t="n">
        <v>0</v>
      </c>
      <c r="AG2897" s="21" t="n">
        <v>0</v>
      </c>
      <c r="AH2897" s="21" t="n">
        <v>0</v>
      </c>
      <c r="AI2897" s="21" t="n">
        <v>0</v>
      </c>
      <c r="AJ2897" s="21" t="n">
        <v>0</v>
      </c>
      <c r="AK2897" s="21" t="n">
        <v>0</v>
      </c>
      <c r="AL2897" s="21">
        <f>$B$1812</f>
        <v/>
      </c>
      <c r="AM2897" s="21">
        <f>$B$1814</f>
        <v/>
      </c>
      <c r="AN2897" s="21">
        <f>0</f>
        <v/>
      </c>
      <c r="AO2897" s="21">
        <f>2*$B$1813</f>
        <v/>
      </c>
      <c r="AP2897" s="21">
        <f>-$B$1812</f>
        <v/>
      </c>
      <c r="AQ2897" s="21">
        <f>$B$1814</f>
        <v/>
      </c>
      <c r="AR2897" s="21" t="n">
        <v>0</v>
      </c>
      <c r="AS2897" s="21" t="n">
        <v>0</v>
      </c>
      <c r="AT2897" s="19" t="n"/>
    </row>
    <row r="2898">
      <c r="D2898" s="21" t="n">
        <v>0</v>
      </c>
      <c r="E2898" s="21" t="n">
        <v>0</v>
      </c>
      <c r="F2898" s="21" t="n">
        <v>0</v>
      </c>
      <c r="G2898" s="21" t="n">
        <v>0</v>
      </c>
      <c r="H2898" s="21" t="n">
        <v>0</v>
      </c>
      <c r="I2898" s="21" t="n">
        <v>0</v>
      </c>
      <c r="J2898" s="21" t="n">
        <v>0</v>
      </c>
      <c r="K2898" s="21" t="n">
        <v>0</v>
      </c>
      <c r="L2898" s="21" t="n">
        <v>0</v>
      </c>
      <c r="M2898" s="21" t="n">
        <v>0</v>
      </c>
      <c r="N2898" s="21" t="n">
        <v>0</v>
      </c>
      <c r="O2898" s="21" t="n">
        <v>0</v>
      </c>
      <c r="P2898" s="21" t="n">
        <v>0</v>
      </c>
      <c r="Q2898" s="21" t="n">
        <v>0</v>
      </c>
      <c r="R2898" s="21" t="n">
        <v>0</v>
      </c>
      <c r="S2898" s="21" t="n">
        <v>0</v>
      </c>
      <c r="T2898" s="21" t="n">
        <v>0</v>
      </c>
      <c r="U2898" s="21" t="n">
        <v>0</v>
      </c>
      <c r="V2898" s="21" t="n">
        <v>0</v>
      </c>
      <c r="W2898" s="21" t="n">
        <v>0</v>
      </c>
      <c r="X2898" s="21" t="n">
        <v>0</v>
      </c>
      <c r="Y2898" s="21" t="n">
        <v>0</v>
      </c>
      <c r="Z2898" s="21" t="n">
        <v>0</v>
      </c>
      <c r="AA2898" s="21" t="n">
        <v>0</v>
      </c>
      <c r="AB2898" s="21" t="n">
        <v>0</v>
      </c>
      <c r="AC2898" s="21" t="n">
        <v>0</v>
      </c>
      <c r="AD2898" s="21" t="n">
        <v>0</v>
      </c>
      <c r="AE2898" s="21" t="n">
        <v>0</v>
      </c>
      <c r="AF2898" s="21" t="n">
        <v>0</v>
      </c>
      <c r="AG2898" s="21" t="n">
        <v>0</v>
      </c>
      <c r="AH2898" s="21" t="n">
        <v>0</v>
      </c>
      <c r="AI2898" s="21" t="n">
        <v>0</v>
      </c>
      <c r="AJ2898" s="21" t="n">
        <v>0</v>
      </c>
      <c r="AK2898" s="21" t="n">
        <v>0</v>
      </c>
      <c r="AL2898" s="21" t="n">
        <v>0</v>
      </c>
      <c r="AM2898" s="21" t="n">
        <v>0</v>
      </c>
      <c r="AN2898" s="21">
        <f>-$B$1811</f>
        <v/>
      </c>
      <c r="AO2898" s="21">
        <f>-$B$1812</f>
        <v/>
      </c>
      <c r="AP2898" s="21">
        <f>2*$B$1811+$D$2857</f>
        <v/>
      </c>
      <c r="AQ2898" s="21">
        <f>0</f>
        <v/>
      </c>
      <c r="AR2898" s="21">
        <f>-$B$1811</f>
        <v/>
      </c>
      <c r="AS2898" s="21">
        <f>$B$1812</f>
        <v/>
      </c>
      <c r="AT2898" s="19" t="n"/>
    </row>
    <row r="2899">
      <c r="D2899" s="21" t="n">
        <v>0</v>
      </c>
      <c r="E2899" s="21" t="n">
        <v>0</v>
      </c>
      <c r="F2899" s="21" t="n">
        <v>0</v>
      </c>
      <c r="G2899" s="21" t="n">
        <v>0</v>
      </c>
      <c r="H2899" s="21" t="n">
        <v>0</v>
      </c>
      <c r="I2899" s="21" t="n">
        <v>0</v>
      </c>
      <c r="J2899" s="21" t="n">
        <v>0</v>
      </c>
      <c r="K2899" s="21" t="n">
        <v>0</v>
      </c>
      <c r="L2899" s="21" t="n">
        <v>0</v>
      </c>
      <c r="M2899" s="21" t="n">
        <v>0</v>
      </c>
      <c r="N2899" s="21" t="n">
        <v>0</v>
      </c>
      <c r="O2899" s="21" t="n">
        <v>0</v>
      </c>
      <c r="P2899" s="21" t="n">
        <v>0</v>
      </c>
      <c r="Q2899" s="21" t="n">
        <v>0</v>
      </c>
      <c r="R2899" s="21" t="n">
        <v>0</v>
      </c>
      <c r="S2899" s="21" t="n">
        <v>0</v>
      </c>
      <c r="T2899" s="21" t="n">
        <v>0</v>
      </c>
      <c r="U2899" s="21" t="n">
        <v>0</v>
      </c>
      <c r="V2899" s="21" t="n">
        <v>0</v>
      </c>
      <c r="W2899" s="21" t="n">
        <v>0</v>
      </c>
      <c r="X2899" s="21" t="n">
        <v>0</v>
      </c>
      <c r="Y2899" s="21" t="n">
        <v>0</v>
      </c>
      <c r="Z2899" s="21" t="n">
        <v>0</v>
      </c>
      <c r="AA2899" s="21" t="n">
        <v>0</v>
      </c>
      <c r="AB2899" s="21" t="n">
        <v>0</v>
      </c>
      <c r="AC2899" s="21" t="n">
        <v>0</v>
      </c>
      <c r="AD2899" s="21" t="n">
        <v>0</v>
      </c>
      <c r="AE2899" s="21" t="n">
        <v>0</v>
      </c>
      <c r="AF2899" s="21" t="n">
        <v>0</v>
      </c>
      <c r="AG2899" s="21" t="n">
        <v>0</v>
      </c>
      <c r="AH2899" s="21" t="n">
        <v>0</v>
      </c>
      <c r="AI2899" s="21" t="n">
        <v>0</v>
      </c>
      <c r="AJ2899" s="21" t="n">
        <v>0</v>
      </c>
      <c r="AK2899" s="21" t="n">
        <v>0</v>
      </c>
      <c r="AL2899" s="21" t="n">
        <v>0</v>
      </c>
      <c r="AM2899" s="21" t="n">
        <v>0</v>
      </c>
      <c r="AN2899" s="21">
        <f>$B$1812</f>
        <v/>
      </c>
      <c r="AO2899" s="21">
        <f>$B$1814</f>
        <v/>
      </c>
      <c r="AP2899" s="21">
        <f>0</f>
        <v/>
      </c>
      <c r="AQ2899" s="21">
        <f>2*$B$1813</f>
        <v/>
      </c>
      <c r="AR2899" s="21">
        <f>-$B$1812</f>
        <v/>
      </c>
      <c r="AS2899" s="21">
        <f>$B$1814</f>
        <v/>
      </c>
      <c r="AT2899" s="19" t="n"/>
    </row>
    <row r="2900">
      <c r="D2900" s="21" t="n">
        <v>0</v>
      </c>
      <c r="E2900" s="21" t="n">
        <v>0</v>
      </c>
      <c r="F2900" s="21" t="n">
        <v>0</v>
      </c>
      <c r="G2900" s="21" t="n">
        <v>0</v>
      </c>
      <c r="H2900" s="21" t="n">
        <v>0</v>
      </c>
      <c r="I2900" s="21" t="n">
        <v>0</v>
      </c>
      <c r="J2900" s="21" t="n">
        <v>0</v>
      </c>
      <c r="K2900" s="21" t="n">
        <v>0</v>
      </c>
      <c r="L2900" s="21" t="n">
        <v>0</v>
      </c>
      <c r="M2900" s="21" t="n">
        <v>0</v>
      </c>
      <c r="N2900" s="21" t="n">
        <v>0</v>
      </c>
      <c r="O2900" s="21" t="n">
        <v>0</v>
      </c>
      <c r="P2900" s="21" t="n">
        <v>0</v>
      </c>
      <c r="Q2900" s="21" t="n">
        <v>0</v>
      </c>
      <c r="R2900" s="21" t="n">
        <v>0</v>
      </c>
      <c r="S2900" s="21" t="n">
        <v>0</v>
      </c>
      <c r="T2900" s="21" t="n">
        <v>0</v>
      </c>
      <c r="U2900" s="21" t="n">
        <v>0</v>
      </c>
      <c r="V2900" s="21" t="n">
        <v>0</v>
      </c>
      <c r="W2900" s="21" t="n">
        <v>0</v>
      </c>
      <c r="X2900" s="21" t="n">
        <v>0</v>
      </c>
      <c r="Y2900" s="21" t="n">
        <v>0</v>
      </c>
      <c r="Z2900" s="21" t="n">
        <v>0</v>
      </c>
      <c r="AA2900" s="21" t="n">
        <v>0</v>
      </c>
      <c r="AB2900" s="21" t="n">
        <v>0</v>
      </c>
      <c r="AC2900" s="21" t="n">
        <v>0</v>
      </c>
      <c r="AD2900" s="21" t="n">
        <v>0</v>
      </c>
      <c r="AE2900" s="21" t="n">
        <v>0</v>
      </c>
      <c r="AF2900" s="21" t="n">
        <v>0</v>
      </c>
      <c r="AG2900" s="21" t="n">
        <v>0</v>
      </c>
      <c r="AH2900" s="21" t="n">
        <v>0</v>
      </c>
      <c r="AI2900" s="21" t="n">
        <v>0</v>
      </c>
      <c r="AJ2900" s="21" t="n">
        <v>0</v>
      </c>
      <c r="AK2900" s="21" t="n">
        <v>0</v>
      </c>
      <c r="AL2900" s="21" t="n">
        <v>0</v>
      </c>
      <c r="AM2900" s="21" t="n">
        <v>0</v>
      </c>
      <c r="AN2900" s="21" t="n">
        <v>0</v>
      </c>
      <c r="AO2900" s="21" t="n">
        <v>0</v>
      </c>
      <c r="AP2900" s="21">
        <f>-$B$1811</f>
        <v/>
      </c>
      <c r="AQ2900" s="21">
        <f>-$B$1812</f>
        <v/>
      </c>
      <c r="AR2900" s="21">
        <f>$B$1811+$D$2858</f>
        <v/>
      </c>
      <c r="AS2900" s="21">
        <f>-$B$1812</f>
        <v/>
      </c>
      <c r="AT2900" s="19" t="n"/>
    </row>
    <row r="2901">
      <c r="D2901" s="21" t="n">
        <v>0</v>
      </c>
      <c r="E2901" s="21" t="n">
        <v>0</v>
      </c>
      <c r="F2901" s="21" t="n">
        <v>0</v>
      </c>
      <c r="G2901" s="21" t="n">
        <v>0</v>
      </c>
      <c r="H2901" s="21" t="n">
        <v>0</v>
      </c>
      <c r="I2901" s="21" t="n">
        <v>0</v>
      </c>
      <c r="J2901" s="21" t="n">
        <v>0</v>
      </c>
      <c r="K2901" s="21" t="n">
        <v>0</v>
      </c>
      <c r="L2901" s="21" t="n">
        <v>0</v>
      </c>
      <c r="M2901" s="21" t="n">
        <v>0</v>
      </c>
      <c r="N2901" s="21" t="n">
        <v>0</v>
      </c>
      <c r="O2901" s="21" t="n">
        <v>0</v>
      </c>
      <c r="P2901" s="21" t="n">
        <v>0</v>
      </c>
      <c r="Q2901" s="21" t="n">
        <v>0</v>
      </c>
      <c r="R2901" s="21" t="n">
        <v>0</v>
      </c>
      <c r="S2901" s="21" t="n">
        <v>0</v>
      </c>
      <c r="T2901" s="21" t="n">
        <v>0</v>
      </c>
      <c r="U2901" s="21" t="n">
        <v>0</v>
      </c>
      <c r="V2901" s="21" t="n">
        <v>0</v>
      </c>
      <c r="W2901" s="21" t="n">
        <v>0</v>
      </c>
      <c r="X2901" s="21" t="n">
        <v>0</v>
      </c>
      <c r="Y2901" s="21" t="n">
        <v>0</v>
      </c>
      <c r="Z2901" s="21" t="n">
        <v>0</v>
      </c>
      <c r="AA2901" s="21" t="n">
        <v>0</v>
      </c>
      <c r="AB2901" s="21" t="n">
        <v>0</v>
      </c>
      <c r="AC2901" s="21" t="n">
        <v>0</v>
      </c>
      <c r="AD2901" s="21" t="n">
        <v>0</v>
      </c>
      <c r="AE2901" s="21" t="n">
        <v>0</v>
      </c>
      <c r="AF2901" s="21" t="n">
        <v>0</v>
      </c>
      <c r="AG2901" s="21" t="n">
        <v>0</v>
      </c>
      <c r="AH2901" s="21" t="n">
        <v>0</v>
      </c>
      <c r="AI2901" s="21" t="n">
        <v>0</v>
      </c>
      <c r="AJ2901" s="21" t="n">
        <v>0</v>
      </c>
      <c r="AK2901" s="21" t="n">
        <v>0</v>
      </c>
      <c r="AL2901" s="21" t="n">
        <v>0</v>
      </c>
      <c r="AM2901" s="21" t="n">
        <v>0</v>
      </c>
      <c r="AN2901" s="21" t="n">
        <v>0</v>
      </c>
      <c r="AO2901" s="21" t="n">
        <v>0</v>
      </c>
      <c r="AP2901" s="21">
        <f>$B$1812</f>
        <v/>
      </c>
      <c r="AQ2901" s="21">
        <f>$B$1814</f>
        <v/>
      </c>
      <c r="AR2901" s="21">
        <f>-$B$1812</f>
        <v/>
      </c>
      <c r="AS2901" s="21">
        <f>$B$1813</f>
        <v/>
      </c>
      <c r="AT2901" s="19" t="n"/>
    </row>
    <row r="2903">
      <c r="A2903" s="8" t="inlineStr">
        <is>
          <t>gen 16</t>
        </is>
      </c>
    </row>
    <row r="2904">
      <c r="D2904" s="19">
        <f>IF(ABS(IF(ABS($E$2838)&gt;0.000000001,$E$2838,0.000000001))=0,0,IF($E$1826&lt;=$B$1820,0,IF(ABS(IF(ABS($E$2838)&gt;0.000000001,$E$2838,0.000000001))&gt;=8*$B$1822,$H$1826,0.5*$H$1826*(ABS(IF(ABS($E$2838)&gt;0.000000001,$E$2838,0.000000001))/$B$1822)^(1/3)))/ABS(IF(ABS($E$2838)&gt;0.000000001,$E$2838,0.000000001))*$I$1826)</f>
        <v/>
      </c>
      <c r="E2904" s="19">
        <f>0.5*$E$2838+0.5*$AT$2926</f>
        <v/>
      </c>
      <c r="F2904" s="19">
        <f>$AT$2927</f>
        <v/>
      </c>
    </row>
    <row r="2905">
      <c r="D2905" s="19">
        <f>IF(ABS(IF(ABS($E$2839)&gt;0.000000001,$E$2839,0.000000001))=0,0,IF($E$1827&lt;=$B$1820,0,IF(ABS(IF(ABS($E$2839)&gt;0.000000001,$E$2839,0.000000001))&gt;=8*$B$1822,$H$1827,0.5*$H$1827*(ABS(IF(ABS($E$2839)&gt;0.000000001,$E$2839,0.000000001))/$B$1822)^(1/3)))/ABS(IF(ABS($E$2839)&gt;0.000000001,$E$2839,0.000000001))*$I$1827)</f>
        <v/>
      </c>
      <c r="E2905" s="19">
        <f>0.5*$E$2839+0.5*$AT$2928</f>
        <v/>
      </c>
      <c r="F2905" s="19">
        <f>$AT$2929</f>
        <v/>
      </c>
    </row>
    <row r="2906">
      <c r="D2906" s="19">
        <f>IF(ABS(IF(ABS($E$2840)&gt;0.000000001,$E$2840,0.000000001))=0,0,IF($E$1828&lt;=$B$1820,0,IF(ABS(IF(ABS($E$2840)&gt;0.000000001,$E$2840,0.000000001))&gt;=8*$B$1822,$H$1828,0.5*$H$1828*(ABS(IF(ABS($E$2840)&gt;0.000000001,$E$2840,0.000000001))/$B$1822)^(1/3)))/ABS(IF(ABS($E$2840)&gt;0.000000001,$E$2840,0.000000001))*$I$1828)</f>
        <v/>
      </c>
      <c r="E2906" s="19">
        <f>0.5*$E$2840+0.5*$AT$2930</f>
        <v/>
      </c>
      <c r="F2906" s="19">
        <f>$AT$2931</f>
        <v/>
      </c>
    </row>
    <row r="2907">
      <c r="D2907" s="19">
        <f>IF(ABS(IF(ABS($E$2841)&gt;0.000000001,$E$2841,0.000000001))=0,0,IF($E$1829&lt;=$B$1820,0,IF(ABS(IF(ABS($E$2841)&gt;0.000000001,$E$2841,0.000000001))&gt;=8*$B$1822,$H$1829,0.5*$H$1829*(ABS(IF(ABS($E$2841)&gt;0.000000001,$E$2841,0.000000001))/$B$1822)^(1/3)))/ABS(IF(ABS($E$2841)&gt;0.000000001,$E$2841,0.000000001))*$I$1829)</f>
        <v/>
      </c>
      <c r="E2907" s="19">
        <f>0.5*$E$2841+0.5*$AT$2932</f>
        <v/>
      </c>
      <c r="F2907" s="19">
        <f>$AT$2933</f>
        <v/>
      </c>
    </row>
    <row r="2908">
      <c r="D2908" s="19">
        <f>IF(ABS(IF(ABS($E$2842)&gt;0.000000001,$E$2842,0.000000001))=0,0,IF($E$1830&lt;=$B$1820,0,IF(ABS(IF(ABS($E$2842)&gt;0.000000001,$E$2842,0.000000001))&gt;=8*$B$1822,$H$1830,0.5*$H$1830*(ABS(IF(ABS($E$2842)&gt;0.000000001,$E$2842,0.000000001))/$B$1822)^(1/3)))/ABS(IF(ABS($E$2842)&gt;0.000000001,$E$2842,0.000000001))*$I$1830)</f>
        <v/>
      </c>
      <c r="E2908" s="19">
        <f>0.5*$E$2842+0.5*$AT$2934</f>
        <v/>
      </c>
      <c r="F2908" s="19">
        <f>$AT$2935</f>
        <v/>
      </c>
    </row>
    <row r="2909">
      <c r="D2909" s="19">
        <f>IF(ABS(IF(ABS($E$2843)&gt;0.000000001,$E$2843,0.000000001))=0,0,IF($E$1831&lt;=$B$1820,0,IF(ABS(IF(ABS($E$2843)&gt;0.000000001,$E$2843,0.000000001))&gt;=8*$B$1822,$H$1831,0.5*$H$1831*(ABS(IF(ABS($E$2843)&gt;0.000000001,$E$2843,0.000000001))/$B$1822)^(1/3)))/ABS(IF(ABS($E$2843)&gt;0.000000001,$E$2843,0.000000001))*$I$1831)</f>
        <v/>
      </c>
      <c r="E2909" s="19">
        <f>0.5*$E$2843+0.5*$AT$2936</f>
        <v/>
      </c>
      <c r="F2909" s="19">
        <f>$AT$2937</f>
        <v/>
      </c>
    </row>
    <row r="2910">
      <c r="D2910" s="19">
        <f>IF(ABS(IF(ABS($E$2844)&gt;0.000000001,$E$2844,0.000000001))=0,0,IF($E$1832&lt;=$B$1820,0,IF(ABS(IF(ABS($E$2844)&gt;0.000000001,$E$2844,0.000000001))&gt;=8*$B$1822,$H$1832,0.5*$H$1832*(ABS(IF(ABS($E$2844)&gt;0.000000001,$E$2844,0.000000001))/$B$1822)^(1/3)))/ABS(IF(ABS($E$2844)&gt;0.000000001,$E$2844,0.000000001))*$I$1832)</f>
        <v/>
      </c>
      <c r="E2910" s="19">
        <f>0.5*$E$2844+0.5*$AT$2938</f>
        <v/>
      </c>
      <c r="F2910" s="19">
        <f>$AT$2939</f>
        <v/>
      </c>
    </row>
    <row r="2911">
      <c r="D2911" s="19">
        <f>IF(ABS(IF(ABS($E$2845)&gt;0.000000001,$E$2845,0.000000001))=0,0,IF($E$1833&lt;=$B$1820,0,IF(ABS(IF(ABS($E$2845)&gt;0.000000001,$E$2845,0.000000001))&gt;=8*$B$1822,$H$1833,0.5*$H$1833*(ABS(IF(ABS($E$2845)&gt;0.000000001,$E$2845,0.000000001))/$B$1822)^(1/3)))/ABS(IF(ABS($E$2845)&gt;0.000000001,$E$2845,0.000000001))*$I$1833)</f>
        <v/>
      </c>
      <c r="E2911" s="19">
        <f>0.5*$E$2845+0.5*$AT$2940</f>
        <v/>
      </c>
      <c r="F2911" s="19">
        <f>$AT$2941</f>
        <v/>
      </c>
    </row>
    <row r="2912">
      <c r="D2912" s="19">
        <f>IF(ABS(IF(ABS($E$2846)&gt;0.000000001,$E$2846,0.000000001))=0,0,IF($E$1834&lt;=$B$1820,0,IF(ABS(IF(ABS($E$2846)&gt;0.000000001,$E$2846,0.000000001))&gt;=8*$B$1822,$H$1834,0.5*$H$1834*(ABS(IF(ABS($E$2846)&gt;0.000000001,$E$2846,0.000000001))/$B$1822)^(1/3)))/ABS(IF(ABS($E$2846)&gt;0.000000001,$E$2846,0.000000001))*$I$1834)</f>
        <v/>
      </c>
      <c r="E2912" s="19">
        <f>0.5*$E$2846+0.5*$AT$2942</f>
        <v/>
      </c>
      <c r="F2912" s="19">
        <f>$AT$2943</f>
        <v/>
      </c>
    </row>
    <row r="2913">
      <c r="D2913" s="19">
        <f>IF(ABS(IF(ABS($E$2847)&gt;0.000000001,$E$2847,0.000000001))=0,0,IF($E$1835&lt;=$B$1820,0,IF(ABS(IF(ABS($E$2847)&gt;0.000000001,$E$2847,0.000000001))&gt;=8*$B$1822,$H$1835,0.5*$H$1835*(ABS(IF(ABS($E$2847)&gt;0.000000001,$E$2847,0.000000001))/$B$1822)^(1/3)))/ABS(IF(ABS($E$2847)&gt;0.000000001,$E$2847,0.000000001))*$I$1835)</f>
        <v/>
      </c>
      <c r="E2913" s="19">
        <f>0.5*$E$2847+0.5*$AT$2944</f>
        <v/>
      </c>
      <c r="F2913" s="19">
        <f>$AT$2945</f>
        <v/>
      </c>
    </row>
    <row r="2914">
      <c r="D2914" s="19">
        <f>IF(ABS(IF(ABS($E$2848)&gt;0.000000001,$E$2848,0.000000001))=0,0,IF($E$1836&lt;=$B$1820,0,IF(ABS(IF(ABS($E$2848)&gt;0.000000001,$E$2848,0.000000001))&gt;=8*$B$1822,$H$1836,0.5*$H$1836*(ABS(IF(ABS($E$2848)&gt;0.000000001,$E$2848,0.000000001))/$B$1822)^(1/3)))/ABS(IF(ABS($E$2848)&gt;0.000000001,$E$2848,0.000000001))*$I$1836)</f>
        <v/>
      </c>
      <c r="E2914" s="19">
        <f>0.5*$E$2848+0.5*$AT$2946</f>
        <v/>
      </c>
      <c r="F2914" s="19">
        <f>$AT$2947</f>
        <v/>
      </c>
    </row>
    <row r="2915">
      <c r="D2915" s="19">
        <f>IF(ABS(IF(ABS($E$2849)&gt;0.000000001,$E$2849,0.000000001))=0,0,IF($E$1837&lt;=$B$1820,0,IF(ABS(IF(ABS($E$2849)&gt;0.000000001,$E$2849,0.000000001))&gt;=8*$B$1822,$H$1837,0.5*$H$1837*(ABS(IF(ABS($E$2849)&gt;0.000000001,$E$2849,0.000000001))/$B$1822)^(1/3)))/ABS(IF(ABS($E$2849)&gt;0.000000001,$E$2849,0.000000001))*$I$1837)</f>
        <v/>
      </c>
      <c r="E2915" s="19">
        <f>0.5*$E$2849+0.5*$AT$2948</f>
        <v/>
      </c>
      <c r="F2915" s="19">
        <f>$AT$2949</f>
        <v/>
      </c>
    </row>
    <row r="2916">
      <c r="D2916" s="19">
        <f>IF(ABS(IF(ABS($E$2850)&gt;0.000000001,$E$2850,0.000000001))=0,0,IF($E$1838&lt;=$B$1820,0,IF(ABS(IF(ABS($E$2850)&gt;0.000000001,$E$2850,0.000000001))&gt;=8*$B$1822,$H$1838,0.5*$H$1838*(ABS(IF(ABS($E$2850)&gt;0.000000001,$E$2850,0.000000001))/$B$1822)^(1/3)))/ABS(IF(ABS($E$2850)&gt;0.000000001,$E$2850,0.000000001))*$I$1838)</f>
        <v/>
      </c>
      <c r="E2916" s="19">
        <f>0.5*$E$2850+0.5*$AT$2950</f>
        <v/>
      </c>
      <c r="F2916" s="19">
        <f>$AT$2951</f>
        <v/>
      </c>
    </row>
    <row r="2917">
      <c r="D2917" s="19">
        <f>IF(ABS(IF(ABS($E$2851)&gt;0.000000001,$E$2851,0.000000001))=0,0,IF($E$1839&lt;=$B$1820,0,IF(ABS(IF(ABS($E$2851)&gt;0.000000001,$E$2851,0.000000001))&gt;=8*$B$1822,$H$1839,0.5*$H$1839*(ABS(IF(ABS($E$2851)&gt;0.000000001,$E$2851,0.000000001))/$B$1822)^(1/3)))/ABS(IF(ABS($E$2851)&gt;0.000000001,$E$2851,0.000000001))*$I$1839)</f>
        <v/>
      </c>
      <c r="E2917" s="19">
        <f>0.5*$E$2851+0.5*$AT$2952</f>
        <v/>
      </c>
      <c r="F2917" s="19">
        <f>$AT$2953</f>
        <v/>
      </c>
    </row>
    <row r="2918">
      <c r="D2918" s="19">
        <f>IF(ABS(IF(ABS($E$2852)&gt;0.000000001,$E$2852,0.000000001))=0,0,IF($E$1840&lt;=$B$1820,0,IF(ABS(IF(ABS($E$2852)&gt;0.000000001,$E$2852,0.000000001))&gt;=8*$B$1822,$H$1840,0.5*$H$1840*(ABS(IF(ABS($E$2852)&gt;0.000000001,$E$2852,0.000000001))/$B$1822)^(1/3)))/ABS(IF(ABS($E$2852)&gt;0.000000001,$E$2852,0.000000001))*$I$1840)</f>
        <v/>
      </c>
      <c r="E2918" s="19">
        <f>0.5*$E$2852+0.5*$AT$2954</f>
        <v/>
      </c>
      <c r="F2918" s="19">
        <f>$AT$2955</f>
        <v/>
      </c>
    </row>
    <row r="2919">
      <c r="D2919" s="19">
        <f>IF(ABS(IF(ABS($E$2853)&gt;0.000000001,$E$2853,0.000000001))=0,0,IF($E$1841&lt;=$B$1820,0,IF(ABS(IF(ABS($E$2853)&gt;0.000000001,$E$2853,0.000000001))&gt;=8*$B$1822,$H$1841,0.5*$H$1841*(ABS(IF(ABS($E$2853)&gt;0.000000001,$E$2853,0.000000001))/$B$1822)^(1/3)))/ABS(IF(ABS($E$2853)&gt;0.000000001,$E$2853,0.000000001))*$I$1841)</f>
        <v/>
      </c>
      <c r="E2919" s="19">
        <f>0.5*$E$2853+0.5*$AT$2956</f>
        <v/>
      </c>
      <c r="F2919" s="19">
        <f>$AT$2957</f>
        <v/>
      </c>
    </row>
    <row r="2920">
      <c r="D2920" s="19">
        <f>IF(ABS(IF(ABS($E$2854)&gt;0.000000001,$E$2854,0.000000001))=0,0,IF($E$1842&lt;=$B$1820,0,IF(ABS(IF(ABS($E$2854)&gt;0.000000001,$E$2854,0.000000001))&gt;=8*$B$1822,$H$1842,0.5*$H$1842*(ABS(IF(ABS($E$2854)&gt;0.000000001,$E$2854,0.000000001))/$B$1822)^(1/3)))/ABS(IF(ABS($E$2854)&gt;0.000000001,$E$2854,0.000000001))*$I$1842)</f>
        <v/>
      </c>
      <c r="E2920" s="19">
        <f>0.5*$E$2854+0.5*$AT$2958</f>
        <v/>
      </c>
      <c r="F2920" s="19">
        <f>$AT$2959</f>
        <v/>
      </c>
    </row>
    <row r="2921">
      <c r="D2921" s="19">
        <f>IF(ABS(IF(ABS($E$2855)&gt;0.000000001,$E$2855,0.000000001))=0,0,IF($E$1843&lt;=$B$1820,0,IF(ABS(IF(ABS($E$2855)&gt;0.000000001,$E$2855,0.000000001))&gt;=8*$B$1822,$H$1843,0.5*$H$1843*(ABS(IF(ABS($E$2855)&gt;0.000000001,$E$2855,0.000000001))/$B$1822)^(1/3)))/ABS(IF(ABS($E$2855)&gt;0.000000001,$E$2855,0.000000001))*$I$1843)</f>
        <v/>
      </c>
      <c r="E2921" s="19">
        <f>0.5*$E$2855+0.5*$AT$2960</f>
        <v/>
      </c>
      <c r="F2921" s="19">
        <f>$AT$2961</f>
        <v/>
      </c>
    </row>
    <row r="2922">
      <c r="D2922" s="19">
        <f>IF(ABS(IF(ABS($E$2856)&gt;0.000000001,$E$2856,0.000000001))=0,0,IF($E$1844&lt;=$B$1820,0,IF(ABS(IF(ABS($E$2856)&gt;0.000000001,$E$2856,0.000000001))&gt;=8*$B$1822,$H$1844,0.5*$H$1844*(ABS(IF(ABS($E$2856)&gt;0.000000001,$E$2856,0.000000001))/$B$1822)^(1/3)))/ABS(IF(ABS($E$2856)&gt;0.000000001,$E$2856,0.000000001))*$I$1844)</f>
        <v/>
      </c>
      <c r="E2922" s="19">
        <f>0.5*$E$2856+0.5*$AT$2962</f>
        <v/>
      </c>
      <c r="F2922" s="19">
        <f>$AT$2963</f>
        <v/>
      </c>
    </row>
    <row r="2923">
      <c r="D2923" s="19">
        <f>IF(ABS(IF(ABS($E$2857)&gt;0.000000001,$E$2857,0.000000001))=0,0,IF($E$1845&lt;=$B$1820,0,IF(ABS(IF(ABS($E$2857)&gt;0.000000001,$E$2857,0.000000001))&gt;=8*$B$1822,$H$1845,0.5*$H$1845*(ABS(IF(ABS($E$2857)&gt;0.000000001,$E$2857,0.000000001))/$B$1822)^(1/3)))/ABS(IF(ABS($E$2857)&gt;0.000000001,$E$2857,0.000000001))*$I$1845)</f>
        <v/>
      </c>
      <c r="E2923" s="19">
        <f>0.5*$E$2857+0.5*$AT$2964</f>
        <v/>
      </c>
      <c r="F2923" s="19">
        <f>$AT$2965</f>
        <v/>
      </c>
    </row>
    <row r="2924">
      <c r="D2924" s="19">
        <f>IF(ABS(IF(ABS($E$2858)&gt;0.000000001,$E$2858,0.000000001))=0,0,IF($E$1846&lt;=$B$1820,0,IF(ABS(IF(ABS($E$2858)&gt;0.000000001,$E$2858,0.000000001))&gt;=8*$B$1822,$H$1846,0.5*$H$1846*(ABS(IF(ABS($E$2858)&gt;0.000000001,$E$2858,0.000000001))/$B$1822)^(1/3)))/ABS(IF(ABS($E$2858)&gt;0.000000001,$E$2858,0.000000001))*$I$1846)</f>
        <v/>
      </c>
      <c r="E2924" s="19">
        <f>0.5*$E$2858+0.5*$AT$2966</f>
        <v/>
      </c>
      <c r="F2924" s="19">
        <f>$AT$2967</f>
        <v/>
      </c>
    </row>
    <row r="2926">
      <c r="D2926" s="21">
        <f>$B$1811+$D$2904</f>
        <v/>
      </c>
      <c r="E2926" s="21">
        <f>$B$1812</f>
        <v/>
      </c>
      <c r="F2926" s="21">
        <f>-$B$1811</f>
        <v/>
      </c>
      <c r="G2926" s="21">
        <f>$B$1812</f>
        <v/>
      </c>
      <c r="H2926" s="21" t="n">
        <v>0</v>
      </c>
      <c r="I2926" s="21" t="n">
        <v>0</v>
      </c>
      <c r="J2926" s="21" t="n">
        <v>0</v>
      </c>
      <c r="K2926" s="21" t="n">
        <v>0</v>
      </c>
      <c r="L2926" s="21" t="n">
        <v>0</v>
      </c>
      <c r="M2926" s="21" t="n">
        <v>0</v>
      </c>
      <c r="N2926" s="21" t="n">
        <v>0</v>
      </c>
      <c r="O2926" s="21" t="n">
        <v>0</v>
      </c>
      <c r="P2926" s="21" t="n">
        <v>0</v>
      </c>
      <c r="Q2926" s="21" t="n">
        <v>0</v>
      </c>
      <c r="R2926" s="21" t="n">
        <v>0</v>
      </c>
      <c r="S2926" s="21" t="n">
        <v>0</v>
      </c>
      <c r="T2926" s="21" t="n">
        <v>0</v>
      </c>
      <c r="U2926" s="21" t="n">
        <v>0</v>
      </c>
      <c r="V2926" s="21" t="n">
        <v>0</v>
      </c>
      <c r="W2926" s="21" t="n">
        <v>0</v>
      </c>
      <c r="X2926" s="21" t="n">
        <v>0</v>
      </c>
      <c r="Y2926" s="21" t="n">
        <v>0</v>
      </c>
      <c r="Z2926" s="21" t="n">
        <v>0</v>
      </c>
      <c r="AA2926" s="21" t="n">
        <v>0</v>
      </c>
      <c r="AB2926" s="21" t="n">
        <v>0</v>
      </c>
      <c r="AC2926" s="21" t="n">
        <v>0</v>
      </c>
      <c r="AD2926" s="21" t="n">
        <v>0</v>
      </c>
      <c r="AE2926" s="21" t="n">
        <v>0</v>
      </c>
      <c r="AF2926" s="21" t="n">
        <v>0</v>
      </c>
      <c r="AG2926" s="21" t="n">
        <v>0</v>
      </c>
      <c r="AH2926" s="21" t="n">
        <v>0</v>
      </c>
      <c r="AI2926" s="21" t="n">
        <v>0</v>
      </c>
      <c r="AJ2926" s="21" t="n">
        <v>0</v>
      </c>
      <c r="AK2926" s="21" t="n">
        <v>0</v>
      </c>
      <c r="AL2926" s="21" t="n">
        <v>0</v>
      </c>
      <c r="AM2926" s="21" t="n">
        <v>0</v>
      </c>
      <c r="AN2926" s="21" t="n">
        <v>0</v>
      </c>
      <c r="AO2926" s="21" t="n">
        <v>0</v>
      </c>
      <c r="AP2926" s="21" t="n">
        <v>0</v>
      </c>
      <c r="AQ2926" s="21" t="n">
        <v>0</v>
      </c>
      <c r="AR2926" s="21" t="n">
        <v>0</v>
      </c>
      <c r="AS2926" s="21" t="n">
        <v>0</v>
      </c>
      <c r="AT2926" s="19">
        <f t="array" ref="AT2926:AT2967">MMULT(MINVERSE($D$2926:$AS$2967),$D$1848:$D$1889)</f>
        <v/>
      </c>
    </row>
    <row r="2927">
      <c r="D2927" s="21">
        <f>$B$1812</f>
        <v/>
      </c>
      <c r="E2927" s="21">
        <f>$B$1813</f>
        <v/>
      </c>
      <c r="F2927" s="21">
        <f>-$B$1812</f>
        <v/>
      </c>
      <c r="G2927" s="21">
        <f>$B$1814</f>
        <v/>
      </c>
      <c r="H2927" s="21" t="n">
        <v>0</v>
      </c>
      <c r="I2927" s="21" t="n">
        <v>0</v>
      </c>
      <c r="J2927" s="21" t="n">
        <v>0</v>
      </c>
      <c r="K2927" s="21" t="n">
        <v>0</v>
      </c>
      <c r="L2927" s="21" t="n">
        <v>0</v>
      </c>
      <c r="M2927" s="21" t="n">
        <v>0</v>
      </c>
      <c r="N2927" s="21" t="n">
        <v>0</v>
      </c>
      <c r="O2927" s="21" t="n">
        <v>0</v>
      </c>
      <c r="P2927" s="21" t="n">
        <v>0</v>
      </c>
      <c r="Q2927" s="21" t="n">
        <v>0</v>
      </c>
      <c r="R2927" s="21" t="n">
        <v>0</v>
      </c>
      <c r="S2927" s="21" t="n">
        <v>0</v>
      </c>
      <c r="T2927" s="21" t="n">
        <v>0</v>
      </c>
      <c r="U2927" s="21" t="n">
        <v>0</v>
      </c>
      <c r="V2927" s="21" t="n">
        <v>0</v>
      </c>
      <c r="W2927" s="21" t="n">
        <v>0</v>
      </c>
      <c r="X2927" s="21" t="n">
        <v>0</v>
      </c>
      <c r="Y2927" s="21" t="n">
        <v>0</v>
      </c>
      <c r="Z2927" s="21" t="n">
        <v>0</v>
      </c>
      <c r="AA2927" s="21" t="n">
        <v>0</v>
      </c>
      <c r="AB2927" s="21" t="n">
        <v>0</v>
      </c>
      <c r="AC2927" s="21" t="n">
        <v>0</v>
      </c>
      <c r="AD2927" s="21" t="n">
        <v>0</v>
      </c>
      <c r="AE2927" s="21" t="n">
        <v>0</v>
      </c>
      <c r="AF2927" s="21" t="n">
        <v>0</v>
      </c>
      <c r="AG2927" s="21" t="n">
        <v>0</v>
      </c>
      <c r="AH2927" s="21" t="n">
        <v>0</v>
      </c>
      <c r="AI2927" s="21" t="n">
        <v>0</v>
      </c>
      <c r="AJ2927" s="21" t="n">
        <v>0</v>
      </c>
      <c r="AK2927" s="21" t="n">
        <v>0</v>
      </c>
      <c r="AL2927" s="21" t="n">
        <v>0</v>
      </c>
      <c r="AM2927" s="21" t="n">
        <v>0</v>
      </c>
      <c r="AN2927" s="21" t="n">
        <v>0</v>
      </c>
      <c r="AO2927" s="21" t="n">
        <v>0</v>
      </c>
      <c r="AP2927" s="21" t="n">
        <v>0</v>
      </c>
      <c r="AQ2927" s="21" t="n">
        <v>0</v>
      </c>
      <c r="AR2927" s="21" t="n">
        <v>0</v>
      </c>
      <c r="AS2927" s="21" t="n">
        <v>0</v>
      </c>
      <c r="AT2927" s="19" t="n"/>
    </row>
    <row r="2928">
      <c r="D2928" s="21">
        <f>-$B$1811</f>
        <v/>
      </c>
      <c r="E2928" s="21">
        <f>-$B$1812</f>
        <v/>
      </c>
      <c r="F2928" s="21">
        <f>2*$B$1811+$D$2905</f>
        <v/>
      </c>
      <c r="G2928" s="21">
        <f>0</f>
        <v/>
      </c>
      <c r="H2928" s="21">
        <f>-$B$1811</f>
        <v/>
      </c>
      <c r="I2928" s="21">
        <f>$B$1812</f>
        <v/>
      </c>
      <c r="J2928" s="21" t="n">
        <v>0</v>
      </c>
      <c r="K2928" s="21" t="n">
        <v>0</v>
      </c>
      <c r="L2928" s="21" t="n">
        <v>0</v>
      </c>
      <c r="M2928" s="21" t="n">
        <v>0</v>
      </c>
      <c r="N2928" s="21" t="n">
        <v>0</v>
      </c>
      <c r="O2928" s="21" t="n">
        <v>0</v>
      </c>
      <c r="P2928" s="21" t="n">
        <v>0</v>
      </c>
      <c r="Q2928" s="21" t="n">
        <v>0</v>
      </c>
      <c r="R2928" s="21" t="n">
        <v>0</v>
      </c>
      <c r="S2928" s="21" t="n">
        <v>0</v>
      </c>
      <c r="T2928" s="21" t="n">
        <v>0</v>
      </c>
      <c r="U2928" s="21" t="n">
        <v>0</v>
      </c>
      <c r="V2928" s="21" t="n">
        <v>0</v>
      </c>
      <c r="W2928" s="21" t="n">
        <v>0</v>
      </c>
      <c r="X2928" s="21" t="n">
        <v>0</v>
      </c>
      <c r="Y2928" s="21" t="n">
        <v>0</v>
      </c>
      <c r="Z2928" s="21" t="n">
        <v>0</v>
      </c>
      <c r="AA2928" s="21" t="n">
        <v>0</v>
      </c>
      <c r="AB2928" s="21" t="n">
        <v>0</v>
      </c>
      <c r="AC2928" s="21" t="n">
        <v>0</v>
      </c>
      <c r="AD2928" s="21" t="n">
        <v>0</v>
      </c>
      <c r="AE2928" s="21" t="n">
        <v>0</v>
      </c>
      <c r="AF2928" s="21" t="n">
        <v>0</v>
      </c>
      <c r="AG2928" s="21" t="n">
        <v>0</v>
      </c>
      <c r="AH2928" s="21" t="n">
        <v>0</v>
      </c>
      <c r="AI2928" s="21" t="n">
        <v>0</v>
      </c>
      <c r="AJ2928" s="21" t="n">
        <v>0</v>
      </c>
      <c r="AK2928" s="21" t="n">
        <v>0</v>
      </c>
      <c r="AL2928" s="21" t="n">
        <v>0</v>
      </c>
      <c r="AM2928" s="21" t="n">
        <v>0</v>
      </c>
      <c r="AN2928" s="21" t="n">
        <v>0</v>
      </c>
      <c r="AO2928" s="21" t="n">
        <v>0</v>
      </c>
      <c r="AP2928" s="21" t="n">
        <v>0</v>
      </c>
      <c r="AQ2928" s="21" t="n">
        <v>0</v>
      </c>
      <c r="AR2928" s="21" t="n">
        <v>0</v>
      </c>
      <c r="AS2928" s="21" t="n">
        <v>0</v>
      </c>
      <c r="AT2928" s="19" t="n"/>
    </row>
    <row r="2929">
      <c r="D2929" s="21">
        <f>$B$1812</f>
        <v/>
      </c>
      <c r="E2929" s="21">
        <f>$B$1814</f>
        <v/>
      </c>
      <c r="F2929" s="21">
        <f>0</f>
        <v/>
      </c>
      <c r="G2929" s="21">
        <f>2*$B$1813</f>
        <v/>
      </c>
      <c r="H2929" s="21">
        <f>-$B$1812</f>
        <v/>
      </c>
      <c r="I2929" s="21">
        <f>$B$1814</f>
        <v/>
      </c>
      <c r="J2929" s="21" t="n">
        <v>0</v>
      </c>
      <c r="K2929" s="21" t="n">
        <v>0</v>
      </c>
      <c r="L2929" s="21" t="n">
        <v>0</v>
      </c>
      <c r="M2929" s="21" t="n">
        <v>0</v>
      </c>
      <c r="N2929" s="21" t="n">
        <v>0</v>
      </c>
      <c r="O2929" s="21" t="n">
        <v>0</v>
      </c>
      <c r="P2929" s="21" t="n">
        <v>0</v>
      </c>
      <c r="Q2929" s="21" t="n">
        <v>0</v>
      </c>
      <c r="R2929" s="21" t="n">
        <v>0</v>
      </c>
      <c r="S2929" s="21" t="n">
        <v>0</v>
      </c>
      <c r="T2929" s="21" t="n">
        <v>0</v>
      </c>
      <c r="U2929" s="21" t="n">
        <v>0</v>
      </c>
      <c r="V2929" s="21" t="n">
        <v>0</v>
      </c>
      <c r="W2929" s="21" t="n">
        <v>0</v>
      </c>
      <c r="X2929" s="21" t="n">
        <v>0</v>
      </c>
      <c r="Y2929" s="21" t="n">
        <v>0</v>
      </c>
      <c r="Z2929" s="21" t="n">
        <v>0</v>
      </c>
      <c r="AA2929" s="21" t="n">
        <v>0</v>
      </c>
      <c r="AB2929" s="21" t="n">
        <v>0</v>
      </c>
      <c r="AC2929" s="21" t="n">
        <v>0</v>
      </c>
      <c r="AD2929" s="21" t="n">
        <v>0</v>
      </c>
      <c r="AE2929" s="21" t="n">
        <v>0</v>
      </c>
      <c r="AF2929" s="21" t="n">
        <v>0</v>
      </c>
      <c r="AG2929" s="21" t="n">
        <v>0</v>
      </c>
      <c r="AH2929" s="21" t="n">
        <v>0</v>
      </c>
      <c r="AI2929" s="21" t="n">
        <v>0</v>
      </c>
      <c r="AJ2929" s="21" t="n">
        <v>0</v>
      </c>
      <c r="AK2929" s="21" t="n">
        <v>0</v>
      </c>
      <c r="AL2929" s="21" t="n">
        <v>0</v>
      </c>
      <c r="AM2929" s="21" t="n">
        <v>0</v>
      </c>
      <c r="AN2929" s="21" t="n">
        <v>0</v>
      </c>
      <c r="AO2929" s="21" t="n">
        <v>0</v>
      </c>
      <c r="AP2929" s="21" t="n">
        <v>0</v>
      </c>
      <c r="AQ2929" s="21" t="n">
        <v>0</v>
      </c>
      <c r="AR2929" s="21" t="n">
        <v>0</v>
      </c>
      <c r="AS2929" s="21" t="n">
        <v>0</v>
      </c>
      <c r="AT2929" s="19" t="n"/>
    </row>
    <row r="2930">
      <c r="D2930" s="21" t="n">
        <v>0</v>
      </c>
      <c r="E2930" s="21" t="n">
        <v>0</v>
      </c>
      <c r="F2930" s="21">
        <f>-$B$1811</f>
        <v/>
      </c>
      <c r="G2930" s="21">
        <f>-$B$1812</f>
        <v/>
      </c>
      <c r="H2930" s="21">
        <f>2*$B$1811+$D$2906</f>
        <v/>
      </c>
      <c r="I2930" s="21">
        <f>0</f>
        <v/>
      </c>
      <c r="J2930" s="21">
        <f>-$B$1811</f>
        <v/>
      </c>
      <c r="K2930" s="21">
        <f>$B$1812</f>
        <v/>
      </c>
      <c r="L2930" s="21" t="n">
        <v>0</v>
      </c>
      <c r="M2930" s="21" t="n">
        <v>0</v>
      </c>
      <c r="N2930" s="21" t="n">
        <v>0</v>
      </c>
      <c r="O2930" s="21" t="n">
        <v>0</v>
      </c>
      <c r="P2930" s="21" t="n">
        <v>0</v>
      </c>
      <c r="Q2930" s="21" t="n">
        <v>0</v>
      </c>
      <c r="R2930" s="21" t="n">
        <v>0</v>
      </c>
      <c r="S2930" s="21" t="n">
        <v>0</v>
      </c>
      <c r="T2930" s="21" t="n">
        <v>0</v>
      </c>
      <c r="U2930" s="21" t="n">
        <v>0</v>
      </c>
      <c r="V2930" s="21" t="n">
        <v>0</v>
      </c>
      <c r="W2930" s="21" t="n">
        <v>0</v>
      </c>
      <c r="X2930" s="21" t="n">
        <v>0</v>
      </c>
      <c r="Y2930" s="21" t="n">
        <v>0</v>
      </c>
      <c r="Z2930" s="21" t="n">
        <v>0</v>
      </c>
      <c r="AA2930" s="21" t="n">
        <v>0</v>
      </c>
      <c r="AB2930" s="21" t="n">
        <v>0</v>
      </c>
      <c r="AC2930" s="21" t="n">
        <v>0</v>
      </c>
      <c r="AD2930" s="21" t="n">
        <v>0</v>
      </c>
      <c r="AE2930" s="21" t="n">
        <v>0</v>
      </c>
      <c r="AF2930" s="21" t="n">
        <v>0</v>
      </c>
      <c r="AG2930" s="21" t="n">
        <v>0</v>
      </c>
      <c r="AH2930" s="21" t="n">
        <v>0</v>
      </c>
      <c r="AI2930" s="21" t="n">
        <v>0</v>
      </c>
      <c r="AJ2930" s="21" t="n">
        <v>0</v>
      </c>
      <c r="AK2930" s="21" t="n">
        <v>0</v>
      </c>
      <c r="AL2930" s="21" t="n">
        <v>0</v>
      </c>
      <c r="AM2930" s="21" t="n">
        <v>0</v>
      </c>
      <c r="AN2930" s="21" t="n">
        <v>0</v>
      </c>
      <c r="AO2930" s="21" t="n">
        <v>0</v>
      </c>
      <c r="AP2930" s="21" t="n">
        <v>0</v>
      </c>
      <c r="AQ2930" s="21" t="n">
        <v>0</v>
      </c>
      <c r="AR2930" s="21" t="n">
        <v>0</v>
      </c>
      <c r="AS2930" s="21" t="n">
        <v>0</v>
      </c>
      <c r="AT2930" s="19" t="n"/>
    </row>
    <row r="2931">
      <c r="D2931" s="21" t="n">
        <v>0</v>
      </c>
      <c r="E2931" s="21" t="n">
        <v>0</v>
      </c>
      <c r="F2931" s="21">
        <f>$B$1812</f>
        <v/>
      </c>
      <c r="G2931" s="21">
        <f>$B$1814</f>
        <v/>
      </c>
      <c r="H2931" s="21">
        <f>0</f>
        <v/>
      </c>
      <c r="I2931" s="21">
        <f>2*$B$1813</f>
        <v/>
      </c>
      <c r="J2931" s="21">
        <f>-$B$1812</f>
        <v/>
      </c>
      <c r="K2931" s="21">
        <f>$B$1814</f>
        <v/>
      </c>
      <c r="L2931" s="21" t="n">
        <v>0</v>
      </c>
      <c r="M2931" s="21" t="n">
        <v>0</v>
      </c>
      <c r="N2931" s="21" t="n">
        <v>0</v>
      </c>
      <c r="O2931" s="21" t="n">
        <v>0</v>
      </c>
      <c r="P2931" s="21" t="n">
        <v>0</v>
      </c>
      <c r="Q2931" s="21" t="n">
        <v>0</v>
      </c>
      <c r="R2931" s="21" t="n">
        <v>0</v>
      </c>
      <c r="S2931" s="21" t="n">
        <v>0</v>
      </c>
      <c r="T2931" s="21" t="n">
        <v>0</v>
      </c>
      <c r="U2931" s="21" t="n">
        <v>0</v>
      </c>
      <c r="V2931" s="21" t="n">
        <v>0</v>
      </c>
      <c r="W2931" s="21" t="n">
        <v>0</v>
      </c>
      <c r="X2931" s="21" t="n">
        <v>0</v>
      </c>
      <c r="Y2931" s="21" t="n">
        <v>0</v>
      </c>
      <c r="Z2931" s="21" t="n">
        <v>0</v>
      </c>
      <c r="AA2931" s="21" t="n">
        <v>0</v>
      </c>
      <c r="AB2931" s="21" t="n">
        <v>0</v>
      </c>
      <c r="AC2931" s="21" t="n">
        <v>0</v>
      </c>
      <c r="AD2931" s="21" t="n">
        <v>0</v>
      </c>
      <c r="AE2931" s="21" t="n">
        <v>0</v>
      </c>
      <c r="AF2931" s="21" t="n">
        <v>0</v>
      </c>
      <c r="AG2931" s="21" t="n">
        <v>0</v>
      </c>
      <c r="AH2931" s="21" t="n">
        <v>0</v>
      </c>
      <c r="AI2931" s="21" t="n">
        <v>0</v>
      </c>
      <c r="AJ2931" s="21" t="n">
        <v>0</v>
      </c>
      <c r="AK2931" s="21" t="n">
        <v>0</v>
      </c>
      <c r="AL2931" s="21" t="n">
        <v>0</v>
      </c>
      <c r="AM2931" s="21" t="n">
        <v>0</v>
      </c>
      <c r="AN2931" s="21" t="n">
        <v>0</v>
      </c>
      <c r="AO2931" s="21" t="n">
        <v>0</v>
      </c>
      <c r="AP2931" s="21" t="n">
        <v>0</v>
      </c>
      <c r="AQ2931" s="21" t="n">
        <v>0</v>
      </c>
      <c r="AR2931" s="21" t="n">
        <v>0</v>
      </c>
      <c r="AS2931" s="21" t="n">
        <v>0</v>
      </c>
      <c r="AT2931" s="19" t="n"/>
    </row>
    <row r="2932">
      <c r="D2932" s="21" t="n">
        <v>0</v>
      </c>
      <c r="E2932" s="21" t="n">
        <v>0</v>
      </c>
      <c r="F2932" s="21" t="n">
        <v>0</v>
      </c>
      <c r="G2932" s="21" t="n">
        <v>0</v>
      </c>
      <c r="H2932" s="21">
        <f>-$B$1811</f>
        <v/>
      </c>
      <c r="I2932" s="21">
        <f>-$B$1812</f>
        <v/>
      </c>
      <c r="J2932" s="21">
        <f>2*$B$1811+$D$2907</f>
        <v/>
      </c>
      <c r="K2932" s="21">
        <f>0</f>
        <v/>
      </c>
      <c r="L2932" s="21">
        <f>-$B$1811</f>
        <v/>
      </c>
      <c r="M2932" s="21">
        <f>$B$1812</f>
        <v/>
      </c>
      <c r="N2932" s="21" t="n">
        <v>0</v>
      </c>
      <c r="O2932" s="21" t="n">
        <v>0</v>
      </c>
      <c r="P2932" s="21" t="n">
        <v>0</v>
      </c>
      <c r="Q2932" s="21" t="n">
        <v>0</v>
      </c>
      <c r="R2932" s="21" t="n">
        <v>0</v>
      </c>
      <c r="S2932" s="21" t="n">
        <v>0</v>
      </c>
      <c r="T2932" s="21" t="n">
        <v>0</v>
      </c>
      <c r="U2932" s="21" t="n">
        <v>0</v>
      </c>
      <c r="V2932" s="21" t="n">
        <v>0</v>
      </c>
      <c r="W2932" s="21" t="n">
        <v>0</v>
      </c>
      <c r="X2932" s="21" t="n">
        <v>0</v>
      </c>
      <c r="Y2932" s="21" t="n">
        <v>0</v>
      </c>
      <c r="Z2932" s="21" t="n">
        <v>0</v>
      </c>
      <c r="AA2932" s="21" t="n">
        <v>0</v>
      </c>
      <c r="AB2932" s="21" t="n">
        <v>0</v>
      </c>
      <c r="AC2932" s="21" t="n">
        <v>0</v>
      </c>
      <c r="AD2932" s="21" t="n">
        <v>0</v>
      </c>
      <c r="AE2932" s="21" t="n">
        <v>0</v>
      </c>
      <c r="AF2932" s="21" t="n">
        <v>0</v>
      </c>
      <c r="AG2932" s="21" t="n">
        <v>0</v>
      </c>
      <c r="AH2932" s="21" t="n">
        <v>0</v>
      </c>
      <c r="AI2932" s="21" t="n">
        <v>0</v>
      </c>
      <c r="AJ2932" s="21" t="n">
        <v>0</v>
      </c>
      <c r="AK2932" s="21" t="n">
        <v>0</v>
      </c>
      <c r="AL2932" s="21" t="n">
        <v>0</v>
      </c>
      <c r="AM2932" s="21" t="n">
        <v>0</v>
      </c>
      <c r="AN2932" s="21" t="n">
        <v>0</v>
      </c>
      <c r="AO2932" s="21" t="n">
        <v>0</v>
      </c>
      <c r="AP2932" s="21" t="n">
        <v>0</v>
      </c>
      <c r="AQ2932" s="21" t="n">
        <v>0</v>
      </c>
      <c r="AR2932" s="21" t="n">
        <v>0</v>
      </c>
      <c r="AS2932" s="21" t="n">
        <v>0</v>
      </c>
      <c r="AT2932" s="19" t="n"/>
    </row>
    <row r="2933">
      <c r="D2933" s="21" t="n">
        <v>0</v>
      </c>
      <c r="E2933" s="21" t="n">
        <v>0</v>
      </c>
      <c r="F2933" s="21" t="n">
        <v>0</v>
      </c>
      <c r="G2933" s="21" t="n">
        <v>0</v>
      </c>
      <c r="H2933" s="21">
        <f>$B$1812</f>
        <v/>
      </c>
      <c r="I2933" s="21">
        <f>$B$1814</f>
        <v/>
      </c>
      <c r="J2933" s="21">
        <f>0</f>
        <v/>
      </c>
      <c r="K2933" s="21">
        <f>2*$B$1813</f>
        <v/>
      </c>
      <c r="L2933" s="21">
        <f>-$B$1812</f>
        <v/>
      </c>
      <c r="M2933" s="21">
        <f>$B$1814</f>
        <v/>
      </c>
      <c r="N2933" s="21" t="n">
        <v>0</v>
      </c>
      <c r="O2933" s="21" t="n">
        <v>0</v>
      </c>
      <c r="P2933" s="21" t="n">
        <v>0</v>
      </c>
      <c r="Q2933" s="21" t="n">
        <v>0</v>
      </c>
      <c r="R2933" s="21" t="n">
        <v>0</v>
      </c>
      <c r="S2933" s="21" t="n">
        <v>0</v>
      </c>
      <c r="T2933" s="21" t="n">
        <v>0</v>
      </c>
      <c r="U2933" s="21" t="n">
        <v>0</v>
      </c>
      <c r="V2933" s="21" t="n">
        <v>0</v>
      </c>
      <c r="W2933" s="21" t="n">
        <v>0</v>
      </c>
      <c r="X2933" s="21" t="n">
        <v>0</v>
      </c>
      <c r="Y2933" s="21" t="n">
        <v>0</v>
      </c>
      <c r="Z2933" s="21" t="n">
        <v>0</v>
      </c>
      <c r="AA2933" s="21" t="n">
        <v>0</v>
      </c>
      <c r="AB2933" s="21" t="n">
        <v>0</v>
      </c>
      <c r="AC2933" s="21" t="n">
        <v>0</v>
      </c>
      <c r="AD2933" s="21" t="n">
        <v>0</v>
      </c>
      <c r="AE2933" s="21" t="n">
        <v>0</v>
      </c>
      <c r="AF2933" s="21" t="n">
        <v>0</v>
      </c>
      <c r="AG2933" s="21" t="n">
        <v>0</v>
      </c>
      <c r="AH2933" s="21" t="n">
        <v>0</v>
      </c>
      <c r="AI2933" s="21" t="n">
        <v>0</v>
      </c>
      <c r="AJ2933" s="21" t="n">
        <v>0</v>
      </c>
      <c r="AK2933" s="21" t="n">
        <v>0</v>
      </c>
      <c r="AL2933" s="21" t="n">
        <v>0</v>
      </c>
      <c r="AM2933" s="21" t="n">
        <v>0</v>
      </c>
      <c r="AN2933" s="21" t="n">
        <v>0</v>
      </c>
      <c r="AO2933" s="21" t="n">
        <v>0</v>
      </c>
      <c r="AP2933" s="21" t="n">
        <v>0</v>
      </c>
      <c r="AQ2933" s="21" t="n">
        <v>0</v>
      </c>
      <c r="AR2933" s="21" t="n">
        <v>0</v>
      </c>
      <c r="AS2933" s="21" t="n">
        <v>0</v>
      </c>
      <c r="AT2933" s="19" t="n"/>
    </row>
    <row r="2934">
      <c r="D2934" s="21" t="n">
        <v>0</v>
      </c>
      <c r="E2934" s="21" t="n">
        <v>0</v>
      </c>
      <c r="F2934" s="21" t="n">
        <v>0</v>
      </c>
      <c r="G2934" s="21" t="n">
        <v>0</v>
      </c>
      <c r="H2934" s="21" t="n">
        <v>0</v>
      </c>
      <c r="I2934" s="21" t="n">
        <v>0</v>
      </c>
      <c r="J2934" s="21">
        <f>-$B$1811</f>
        <v/>
      </c>
      <c r="K2934" s="21">
        <f>-$B$1812</f>
        <v/>
      </c>
      <c r="L2934" s="21">
        <f>2*$B$1811+$D$2908</f>
        <v/>
      </c>
      <c r="M2934" s="21">
        <f>0</f>
        <v/>
      </c>
      <c r="N2934" s="21">
        <f>-$B$1811</f>
        <v/>
      </c>
      <c r="O2934" s="21">
        <f>$B$1812</f>
        <v/>
      </c>
      <c r="P2934" s="21" t="n">
        <v>0</v>
      </c>
      <c r="Q2934" s="21" t="n">
        <v>0</v>
      </c>
      <c r="R2934" s="21" t="n">
        <v>0</v>
      </c>
      <c r="S2934" s="21" t="n">
        <v>0</v>
      </c>
      <c r="T2934" s="21" t="n">
        <v>0</v>
      </c>
      <c r="U2934" s="21" t="n">
        <v>0</v>
      </c>
      <c r="V2934" s="21" t="n">
        <v>0</v>
      </c>
      <c r="W2934" s="21" t="n">
        <v>0</v>
      </c>
      <c r="X2934" s="21" t="n">
        <v>0</v>
      </c>
      <c r="Y2934" s="21" t="n">
        <v>0</v>
      </c>
      <c r="Z2934" s="21" t="n">
        <v>0</v>
      </c>
      <c r="AA2934" s="21" t="n">
        <v>0</v>
      </c>
      <c r="AB2934" s="21" t="n">
        <v>0</v>
      </c>
      <c r="AC2934" s="21" t="n">
        <v>0</v>
      </c>
      <c r="AD2934" s="21" t="n">
        <v>0</v>
      </c>
      <c r="AE2934" s="21" t="n">
        <v>0</v>
      </c>
      <c r="AF2934" s="21" t="n">
        <v>0</v>
      </c>
      <c r="AG2934" s="21" t="n">
        <v>0</v>
      </c>
      <c r="AH2934" s="21" t="n">
        <v>0</v>
      </c>
      <c r="AI2934" s="21" t="n">
        <v>0</v>
      </c>
      <c r="AJ2934" s="21" t="n">
        <v>0</v>
      </c>
      <c r="AK2934" s="21" t="n">
        <v>0</v>
      </c>
      <c r="AL2934" s="21" t="n">
        <v>0</v>
      </c>
      <c r="AM2934" s="21" t="n">
        <v>0</v>
      </c>
      <c r="AN2934" s="21" t="n">
        <v>0</v>
      </c>
      <c r="AO2934" s="21" t="n">
        <v>0</v>
      </c>
      <c r="AP2934" s="21" t="n">
        <v>0</v>
      </c>
      <c r="AQ2934" s="21" t="n">
        <v>0</v>
      </c>
      <c r="AR2934" s="21" t="n">
        <v>0</v>
      </c>
      <c r="AS2934" s="21" t="n">
        <v>0</v>
      </c>
      <c r="AT2934" s="19" t="n"/>
    </row>
    <row r="2935">
      <c r="D2935" s="21" t="n">
        <v>0</v>
      </c>
      <c r="E2935" s="21" t="n">
        <v>0</v>
      </c>
      <c r="F2935" s="21" t="n">
        <v>0</v>
      </c>
      <c r="G2935" s="21" t="n">
        <v>0</v>
      </c>
      <c r="H2935" s="21" t="n">
        <v>0</v>
      </c>
      <c r="I2935" s="21" t="n">
        <v>0</v>
      </c>
      <c r="J2935" s="21">
        <f>$B$1812</f>
        <v/>
      </c>
      <c r="K2935" s="21">
        <f>$B$1814</f>
        <v/>
      </c>
      <c r="L2935" s="21">
        <f>0</f>
        <v/>
      </c>
      <c r="M2935" s="21">
        <f>2*$B$1813</f>
        <v/>
      </c>
      <c r="N2935" s="21">
        <f>-$B$1812</f>
        <v/>
      </c>
      <c r="O2935" s="21">
        <f>$B$1814</f>
        <v/>
      </c>
      <c r="P2935" s="21" t="n">
        <v>0</v>
      </c>
      <c r="Q2935" s="21" t="n">
        <v>0</v>
      </c>
      <c r="R2935" s="21" t="n">
        <v>0</v>
      </c>
      <c r="S2935" s="21" t="n">
        <v>0</v>
      </c>
      <c r="T2935" s="21" t="n">
        <v>0</v>
      </c>
      <c r="U2935" s="21" t="n">
        <v>0</v>
      </c>
      <c r="V2935" s="21" t="n">
        <v>0</v>
      </c>
      <c r="W2935" s="21" t="n">
        <v>0</v>
      </c>
      <c r="X2935" s="21" t="n">
        <v>0</v>
      </c>
      <c r="Y2935" s="21" t="n">
        <v>0</v>
      </c>
      <c r="Z2935" s="21" t="n">
        <v>0</v>
      </c>
      <c r="AA2935" s="21" t="n">
        <v>0</v>
      </c>
      <c r="AB2935" s="21" t="n">
        <v>0</v>
      </c>
      <c r="AC2935" s="21" t="n">
        <v>0</v>
      </c>
      <c r="AD2935" s="21" t="n">
        <v>0</v>
      </c>
      <c r="AE2935" s="21" t="n">
        <v>0</v>
      </c>
      <c r="AF2935" s="21" t="n">
        <v>0</v>
      </c>
      <c r="AG2935" s="21" t="n">
        <v>0</v>
      </c>
      <c r="AH2935" s="21" t="n">
        <v>0</v>
      </c>
      <c r="AI2935" s="21" t="n">
        <v>0</v>
      </c>
      <c r="AJ2935" s="21" t="n">
        <v>0</v>
      </c>
      <c r="AK2935" s="21" t="n">
        <v>0</v>
      </c>
      <c r="AL2935" s="21" t="n">
        <v>0</v>
      </c>
      <c r="AM2935" s="21" t="n">
        <v>0</v>
      </c>
      <c r="AN2935" s="21" t="n">
        <v>0</v>
      </c>
      <c r="AO2935" s="21" t="n">
        <v>0</v>
      </c>
      <c r="AP2935" s="21" t="n">
        <v>0</v>
      </c>
      <c r="AQ2935" s="21" t="n">
        <v>0</v>
      </c>
      <c r="AR2935" s="21" t="n">
        <v>0</v>
      </c>
      <c r="AS2935" s="21" t="n">
        <v>0</v>
      </c>
      <c r="AT2935" s="19" t="n"/>
    </row>
    <row r="2936">
      <c r="D2936" s="21" t="n">
        <v>0</v>
      </c>
      <c r="E2936" s="21" t="n">
        <v>0</v>
      </c>
      <c r="F2936" s="21" t="n">
        <v>0</v>
      </c>
      <c r="G2936" s="21" t="n">
        <v>0</v>
      </c>
      <c r="H2936" s="21" t="n">
        <v>0</v>
      </c>
      <c r="I2936" s="21" t="n">
        <v>0</v>
      </c>
      <c r="J2936" s="21" t="n">
        <v>0</v>
      </c>
      <c r="K2936" s="21" t="n">
        <v>0</v>
      </c>
      <c r="L2936" s="21">
        <f>-$B$1811</f>
        <v/>
      </c>
      <c r="M2936" s="21">
        <f>-$B$1812</f>
        <v/>
      </c>
      <c r="N2936" s="21">
        <f>2*$B$1811+$D$2909</f>
        <v/>
      </c>
      <c r="O2936" s="21">
        <f>0</f>
        <v/>
      </c>
      <c r="P2936" s="21">
        <f>-$B$1811</f>
        <v/>
      </c>
      <c r="Q2936" s="21">
        <f>$B$1812</f>
        <v/>
      </c>
      <c r="R2936" s="21" t="n">
        <v>0</v>
      </c>
      <c r="S2936" s="21" t="n">
        <v>0</v>
      </c>
      <c r="T2936" s="21" t="n">
        <v>0</v>
      </c>
      <c r="U2936" s="21" t="n">
        <v>0</v>
      </c>
      <c r="V2936" s="21" t="n">
        <v>0</v>
      </c>
      <c r="W2936" s="21" t="n">
        <v>0</v>
      </c>
      <c r="X2936" s="21" t="n">
        <v>0</v>
      </c>
      <c r="Y2936" s="21" t="n">
        <v>0</v>
      </c>
      <c r="Z2936" s="21" t="n">
        <v>0</v>
      </c>
      <c r="AA2936" s="21" t="n">
        <v>0</v>
      </c>
      <c r="AB2936" s="21" t="n">
        <v>0</v>
      </c>
      <c r="AC2936" s="21" t="n">
        <v>0</v>
      </c>
      <c r="AD2936" s="21" t="n">
        <v>0</v>
      </c>
      <c r="AE2936" s="21" t="n">
        <v>0</v>
      </c>
      <c r="AF2936" s="21" t="n">
        <v>0</v>
      </c>
      <c r="AG2936" s="21" t="n">
        <v>0</v>
      </c>
      <c r="AH2936" s="21" t="n">
        <v>0</v>
      </c>
      <c r="AI2936" s="21" t="n">
        <v>0</v>
      </c>
      <c r="AJ2936" s="21" t="n">
        <v>0</v>
      </c>
      <c r="AK2936" s="21" t="n">
        <v>0</v>
      </c>
      <c r="AL2936" s="21" t="n">
        <v>0</v>
      </c>
      <c r="AM2936" s="21" t="n">
        <v>0</v>
      </c>
      <c r="AN2936" s="21" t="n">
        <v>0</v>
      </c>
      <c r="AO2936" s="21" t="n">
        <v>0</v>
      </c>
      <c r="AP2936" s="21" t="n">
        <v>0</v>
      </c>
      <c r="AQ2936" s="21" t="n">
        <v>0</v>
      </c>
      <c r="AR2936" s="21" t="n">
        <v>0</v>
      </c>
      <c r="AS2936" s="21" t="n">
        <v>0</v>
      </c>
      <c r="AT2936" s="19" t="n"/>
    </row>
    <row r="2937">
      <c r="D2937" s="21" t="n">
        <v>0</v>
      </c>
      <c r="E2937" s="21" t="n">
        <v>0</v>
      </c>
      <c r="F2937" s="21" t="n">
        <v>0</v>
      </c>
      <c r="G2937" s="21" t="n">
        <v>0</v>
      </c>
      <c r="H2937" s="21" t="n">
        <v>0</v>
      </c>
      <c r="I2937" s="21" t="n">
        <v>0</v>
      </c>
      <c r="J2937" s="21" t="n">
        <v>0</v>
      </c>
      <c r="K2937" s="21" t="n">
        <v>0</v>
      </c>
      <c r="L2937" s="21">
        <f>$B$1812</f>
        <v/>
      </c>
      <c r="M2937" s="21">
        <f>$B$1814</f>
        <v/>
      </c>
      <c r="N2937" s="21">
        <f>0</f>
        <v/>
      </c>
      <c r="O2937" s="21">
        <f>2*$B$1813</f>
        <v/>
      </c>
      <c r="P2937" s="21">
        <f>-$B$1812</f>
        <v/>
      </c>
      <c r="Q2937" s="21">
        <f>$B$1814</f>
        <v/>
      </c>
      <c r="R2937" s="21" t="n">
        <v>0</v>
      </c>
      <c r="S2937" s="21" t="n">
        <v>0</v>
      </c>
      <c r="T2937" s="21" t="n">
        <v>0</v>
      </c>
      <c r="U2937" s="21" t="n">
        <v>0</v>
      </c>
      <c r="V2937" s="21" t="n">
        <v>0</v>
      </c>
      <c r="W2937" s="21" t="n">
        <v>0</v>
      </c>
      <c r="X2937" s="21" t="n">
        <v>0</v>
      </c>
      <c r="Y2937" s="21" t="n">
        <v>0</v>
      </c>
      <c r="Z2937" s="21" t="n">
        <v>0</v>
      </c>
      <c r="AA2937" s="21" t="n">
        <v>0</v>
      </c>
      <c r="AB2937" s="21" t="n">
        <v>0</v>
      </c>
      <c r="AC2937" s="21" t="n">
        <v>0</v>
      </c>
      <c r="AD2937" s="21" t="n">
        <v>0</v>
      </c>
      <c r="AE2937" s="21" t="n">
        <v>0</v>
      </c>
      <c r="AF2937" s="21" t="n">
        <v>0</v>
      </c>
      <c r="AG2937" s="21" t="n">
        <v>0</v>
      </c>
      <c r="AH2937" s="21" t="n">
        <v>0</v>
      </c>
      <c r="AI2937" s="21" t="n">
        <v>0</v>
      </c>
      <c r="AJ2937" s="21" t="n">
        <v>0</v>
      </c>
      <c r="AK2937" s="21" t="n">
        <v>0</v>
      </c>
      <c r="AL2937" s="21" t="n">
        <v>0</v>
      </c>
      <c r="AM2937" s="21" t="n">
        <v>0</v>
      </c>
      <c r="AN2937" s="21" t="n">
        <v>0</v>
      </c>
      <c r="AO2937" s="21" t="n">
        <v>0</v>
      </c>
      <c r="AP2937" s="21" t="n">
        <v>0</v>
      </c>
      <c r="AQ2937" s="21" t="n">
        <v>0</v>
      </c>
      <c r="AR2937" s="21" t="n">
        <v>0</v>
      </c>
      <c r="AS2937" s="21" t="n">
        <v>0</v>
      </c>
      <c r="AT2937" s="19" t="n"/>
    </row>
    <row r="2938">
      <c r="D2938" s="21" t="n">
        <v>0</v>
      </c>
      <c r="E2938" s="21" t="n">
        <v>0</v>
      </c>
      <c r="F2938" s="21" t="n">
        <v>0</v>
      </c>
      <c r="G2938" s="21" t="n">
        <v>0</v>
      </c>
      <c r="H2938" s="21" t="n">
        <v>0</v>
      </c>
      <c r="I2938" s="21" t="n">
        <v>0</v>
      </c>
      <c r="J2938" s="21" t="n">
        <v>0</v>
      </c>
      <c r="K2938" s="21" t="n">
        <v>0</v>
      </c>
      <c r="L2938" s="21" t="n">
        <v>0</v>
      </c>
      <c r="M2938" s="21" t="n">
        <v>0</v>
      </c>
      <c r="N2938" s="21">
        <f>-$B$1811</f>
        <v/>
      </c>
      <c r="O2938" s="21">
        <f>-$B$1812</f>
        <v/>
      </c>
      <c r="P2938" s="21">
        <f>2*$B$1811+$D$2910</f>
        <v/>
      </c>
      <c r="Q2938" s="21">
        <f>0</f>
        <v/>
      </c>
      <c r="R2938" s="21">
        <f>-$B$1811</f>
        <v/>
      </c>
      <c r="S2938" s="21">
        <f>$B$1812</f>
        <v/>
      </c>
      <c r="T2938" s="21" t="n">
        <v>0</v>
      </c>
      <c r="U2938" s="21" t="n">
        <v>0</v>
      </c>
      <c r="V2938" s="21" t="n">
        <v>0</v>
      </c>
      <c r="W2938" s="21" t="n">
        <v>0</v>
      </c>
      <c r="X2938" s="21" t="n">
        <v>0</v>
      </c>
      <c r="Y2938" s="21" t="n">
        <v>0</v>
      </c>
      <c r="Z2938" s="21" t="n">
        <v>0</v>
      </c>
      <c r="AA2938" s="21" t="n">
        <v>0</v>
      </c>
      <c r="AB2938" s="21" t="n">
        <v>0</v>
      </c>
      <c r="AC2938" s="21" t="n">
        <v>0</v>
      </c>
      <c r="AD2938" s="21" t="n">
        <v>0</v>
      </c>
      <c r="AE2938" s="21" t="n">
        <v>0</v>
      </c>
      <c r="AF2938" s="21" t="n">
        <v>0</v>
      </c>
      <c r="AG2938" s="21" t="n">
        <v>0</v>
      </c>
      <c r="AH2938" s="21" t="n">
        <v>0</v>
      </c>
      <c r="AI2938" s="21" t="n">
        <v>0</v>
      </c>
      <c r="AJ2938" s="21" t="n">
        <v>0</v>
      </c>
      <c r="AK2938" s="21" t="n">
        <v>0</v>
      </c>
      <c r="AL2938" s="21" t="n">
        <v>0</v>
      </c>
      <c r="AM2938" s="21" t="n">
        <v>0</v>
      </c>
      <c r="AN2938" s="21" t="n">
        <v>0</v>
      </c>
      <c r="AO2938" s="21" t="n">
        <v>0</v>
      </c>
      <c r="AP2938" s="21" t="n">
        <v>0</v>
      </c>
      <c r="AQ2938" s="21" t="n">
        <v>0</v>
      </c>
      <c r="AR2938" s="21" t="n">
        <v>0</v>
      </c>
      <c r="AS2938" s="21" t="n">
        <v>0</v>
      </c>
      <c r="AT2938" s="19" t="n"/>
    </row>
    <row r="2939">
      <c r="D2939" s="21" t="n">
        <v>0</v>
      </c>
      <c r="E2939" s="21" t="n">
        <v>0</v>
      </c>
      <c r="F2939" s="21" t="n">
        <v>0</v>
      </c>
      <c r="G2939" s="21" t="n">
        <v>0</v>
      </c>
      <c r="H2939" s="21" t="n">
        <v>0</v>
      </c>
      <c r="I2939" s="21" t="n">
        <v>0</v>
      </c>
      <c r="J2939" s="21" t="n">
        <v>0</v>
      </c>
      <c r="K2939" s="21" t="n">
        <v>0</v>
      </c>
      <c r="L2939" s="21" t="n">
        <v>0</v>
      </c>
      <c r="M2939" s="21" t="n">
        <v>0</v>
      </c>
      <c r="N2939" s="21">
        <f>$B$1812</f>
        <v/>
      </c>
      <c r="O2939" s="21">
        <f>$B$1814</f>
        <v/>
      </c>
      <c r="P2939" s="21">
        <f>0</f>
        <v/>
      </c>
      <c r="Q2939" s="21">
        <f>2*$B$1813</f>
        <v/>
      </c>
      <c r="R2939" s="21">
        <f>-$B$1812</f>
        <v/>
      </c>
      <c r="S2939" s="21">
        <f>$B$1814</f>
        <v/>
      </c>
      <c r="T2939" s="21" t="n">
        <v>0</v>
      </c>
      <c r="U2939" s="21" t="n">
        <v>0</v>
      </c>
      <c r="V2939" s="21" t="n">
        <v>0</v>
      </c>
      <c r="W2939" s="21" t="n">
        <v>0</v>
      </c>
      <c r="X2939" s="21" t="n">
        <v>0</v>
      </c>
      <c r="Y2939" s="21" t="n">
        <v>0</v>
      </c>
      <c r="Z2939" s="21" t="n">
        <v>0</v>
      </c>
      <c r="AA2939" s="21" t="n">
        <v>0</v>
      </c>
      <c r="AB2939" s="21" t="n">
        <v>0</v>
      </c>
      <c r="AC2939" s="21" t="n">
        <v>0</v>
      </c>
      <c r="AD2939" s="21" t="n">
        <v>0</v>
      </c>
      <c r="AE2939" s="21" t="n">
        <v>0</v>
      </c>
      <c r="AF2939" s="21" t="n">
        <v>0</v>
      </c>
      <c r="AG2939" s="21" t="n">
        <v>0</v>
      </c>
      <c r="AH2939" s="21" t="n">
        <v>0</v>
      </c>
      <c r="AI2939" s="21" t="n">
        <v>0</v>
      </c>
      <c r="AJ2939" s="21" t="n">
        <v>0</v>
      </c>
      <c r="AK2939" s="21" t="n">
        <v>0</v>
      </c>
      <c r="AL2939" s="21" t="n">
        <v>0</v>
      </c>
      <c r="AM2939" s="21" t="n">
        <v>0</v>
      </c>
      <c r="AN2939" s="21" t="n">
        <v>0</v>
      </c>
      <c r="AO2939" s="21" t="n">
        <v>0</v>
      </c>
      <c r="AP2939" s="21" t="n">
        <v>0</v>
      </c>
      <c r="AQ2939" s="21" t="n">
        <v>0</v>
      </c>
      <c r="AR2939" s="21" t="n">
        <v>0</v>
      </c>
      <c r="AS2939" s="21" t="n">
        <v>0</v>
      </c>
      <c r="AT2939" s="19" t="n"/>
    </row>
    <row r="2940">
      <c r="D2940" s="21" t="n">
        <v>0</v>
      </c>
      <c r="E2940" s="21" t="n">
        <v>0</v>
      </c>
      <c r="F2940" s="21" t="n">
        <v>0</v>
      </c>
      <c r="G2940" s="21" t="n">
        <v>0</v>
      </c>
      <c r="H2940" s="21" t="n">
        <v>0</v>
      </c>
      <c r="I2940" s="21" t="n">
        <v>0</v>
      </c>
      <c r="J2940" s="21" t="n">
        <v>0</v>
      </c>
      <c r="K2940" s="21" t="n">
        <v>0</v>
      </c>
      <c r="L2940" s="21" t="n">
        <v>0</v>
      </c>
      <c r="M2940" s="21" t="n">
        <v>0</v>
      </c>
      <c r="N2940" s="21" t="n">
        <v>0</v>
      </c>
      <c r="O2940" s="21" t="n">
        <v>0</v>
      </c>
      <c r="P2940" s="21">
        <f>-$B$1811</f>
        <v/>
      </c>
      <c r="Q2940" s="21">
        <f>-$B$1812</f>
        <v/>
      </c>
      <c r="R2940" s="21">
        <f>2*$B$1811+$D$2911</f>
        <v/>
      </c>
      <c r="S2940" s="21">
        <f>0</f>
        <v/>
      </c>
      <c r="T2940" s="21">
        <f>-$B$1811</f>
        <v/>
      </c>
      <c r="U2940" s="21">
        <f>$B$1812</f>
        <v/>
      </c>
      <c r="V2940" s="21" t="n">
        <v>0</v>
      </c>
      <c r="W2940" s="21" t="n">
        <v>0</v>
      </c>
      <c r="X2940" s="21" t="n">
        <v>0</v>
      </c>
      <c r="Y2940" s="21" t="n">
        <v>0</v>
      </c>
      <c r="Z2940" s="21" t="n">
        <v>0</v>
      </c>
      <c r="AA2940" s="21" t="n">
        <v>0</v>
      </c>
      <c r="AB2940" s="21" t="n">
        <v>0</v>
      </c>
      <c r="AC2940" s="21" t="n">
        <v>0</v>
      </c>
      <c r="AD2940" s="21" t="n">
        <v>0</v>
      </c>
      <c r="AE2940" s="21" t="n">
        <v>0</v>
      </c>
      <c r="AF2940" s="21" t="n">
        <v>0</v>
      </c>
      <c r="AG2940" s="21" t="n">
        <v>0</v>
      </c>
      <c r="AH2940" s="21" t="n">
        <v>0</v>
      </c>
      <c r="AI2940" s="21" t="n">
        <v>0</v>
      </c>
      <c r="AJ2940" s="21" t="n">
        <v>0</v>
      </c>
      <c r="AK2940" s="21" t="n">
        <v>0</v>
      </c>
      <c r="AL2940" s="21" t="n">
        <v>0</v>
      </c>
      <c r="AM2940" s="21" t="n">
        <v>0</v>
      </c>
      <c r="AN2940" s="21" t="n">
        <v>0</v>
      </c>
      <c r="AO2940" s="21" t="n">
        <v>0</v>
      </c>
      <c r="AP2940" s="21" t="n">
        <v>0</v>
      </c>
      <c r="AQ2940" s="21" t="n">
        <v>0</v>
      </c>
      <c r="AR2940" s="21" t="n">
        <v>0</v>
      </c>
      <c r="AS2940" s="21" t="n">
        <v>0</v>
      </c>
      <c r="AT2940" s="19" t="n"/>
    </row>
    <row r="2941">
      <c r="D2941" s="21" t="n">
        <v>0</v>
      </c>
      <c r="E2941" s="21" t="n">
        <v>0</v>
      </c>
      <c r="F2941" s="21" t="n">
        <v>0</v>
      </c>
      <c r="G2941" s="21" t="n">
        <v>0</v>
      </c>
      <c r="H2941" s="21" t="n">
        <v>0</v>
      </c>
      <c r="I2941" s="21" t="n">
        <v>0</v>
      </c>
      <c r="J2941" s="21" t="n">
        <v>0</v>
      </c>
      <c r="K2941" s="21" t="n">
        <v>0</v>
      </c>
      <c r="L2941" s="21" t="n">
        <v>0</v>
      </c>
      <c r="M2941" s="21" t="n">
        <v>0</v>
      </c>
      <c r="N2941" s="21" t="n">
        <v>0</v>
      </c>
      <c r="O2941" s="21" t="n">
        <v>0</v>
      </c>
      <c r="P2941" s="21">
        <f>$B$1812</f>
        <v/>
      </c>
      <c r="Q2941" s="21">
        <f>$B$1814</f>
        <v/>
      </c>
      <c r="R2941" s="21">
        <f>0</f>
        <v/>
      </c>
      <c r="S2941" s="21">
        <f>2*$B$1813</f>
        <v/>
      </c>
      <c r="T2941" s="21">
        <f>-$B$1812</f>
        <v/>
      </c>
      <c r="U2941" s="21">
        <f>$B$1814</f>
        <v/>
      </c>
      <c r="V2941" s="21" t="n">
        <v>0</v>
      </c>
      <c r="W2941" s="21" t="n">
        <v>0</v>
      </c>
      <c r="X2941" s="21" t="n">
        <v>0</v>
      </c>
      <c r="Y2941" s="21" t="n">
        <v>0</v>
      </c>
      <c r="Z2941" s="21" t="n">
        <v>0</v>
      </c>
      <c r="AA2941" s="21" t="n">
        <v>0</v>
      </c>
      <c r="AB2941" s="21" t="n">
        <v>0</v>
      </c>
      <c r="AC2941" s="21" t="n">
        <v>0</v>
      </c>
      <c r="AD2941" s="21" t="n">
        <v>0</v>
      </c>
      <c r="AE2941" s="21" t="n">
        <v>0</v>
      </c>
      <c r="AF2941" s="21" t="n">
        <v>0</v>
      </c>
      <c r="AG2941" s="21" t="n">
        <v>0</v>
      </c>
      <c r="AH2941" s="21" t="n">
        <v>0</v>
      </c>
      <c r="AI2941" s="21" t="n">
        <v>0</v>
      </c>
      <c r="AJ2941" s="21" t="n">
        <v>0</v>
      </c>
      <c r="AK2941" s="21" t="n">
        <v>0</v>
      </c>
      <c r="AL2941" s="21" t="n">
        <v>0</v>
      </c>
      <c r="AM2941" s="21" t="n">
        <v>0</v>
      </c>
      <c r="AN2941" s="21" t="n">
        <v>0</v>
      </c>
      <c r="AO2941" s="21" t="n">
        <v>0</v>
      </c>
      <c r="AP2941" s="21" t="n">
        <v>0</v>
      </c>
      <c r="AQ2941" s="21" t="n">
        <v>0</v>
      </c>
      <c r="AR2941" s="21" t="n">
        <v>0</v>
      </c>
      <c r="AS2941" s="21" t="n">
        <v>0</v>
      </c>
      <c r="AT2941" s="19" t="n"/>
    </row>
    <row r="2942">
      <c r="D2942" s="21" t="n">
        <v>0</v>
      </c>
      <c r="E2942" s="21" t="n">
        <v>0</v>
      </c>
      <c r="F2942" s="21" t="n">
        <v>0</v>
      </c>
      <c r="G2942" s="21" t="n">
        <v>0</v>
      </c>
      <c r="H2942" s="21" t="n">
        <v>0</v>
      </c>
      <c r="I2942" s="21" t="n">
        <v>0</v>
      </c>
      <c r="J2942" s="21" t="n">
        <v>0</v>
      </c>
      <c r="K2942" s="21" t="n">
        <v>0</v>
      </c>
      <c r="L2942" s="21" t="n">
        <v>0</v>
      </c>
      <c r="M2942" s="21" t="n">
        <v>0</v>
      </c>
      <c r="N2942" s="21" t="n">
        <v>0</v>
      </c>
      <c r="O2942" s="21" t="n">
        <v>0</v>
      </c>
      <c r="P2942" s="21" t="n">
        <v>0</v>
      </c>
      <c r="Q2942" s="21" t="n">
        <v>0</v>
      </c>
      <c r="R2942" s="21">
        <f>-$B$1811</f>
        <v/>
      </c>
      <c r="S2942" s="21">
        <f>-$B$1812</f>
        <v/>
      </c>
      <c r="T2942" s="21">
        <f>2*$B$1811+$D$2912</f>
        <v/>
      </c>
      <c r="U2942" s="21">
        <f>0</f>
        <v/>
      </c>
      <c r="V2942" s="21">
        <f>-$B$1811</f>
        <v/>
      </c>
      <c r="W2942" s="21">
        <f>$B$1812</f>
        <v/>
      </c>
      <c r="X2942" s="21" t="n">
        <v>0</v>
      </c>
      <c r="Y2942" s="21" t="n">
        <v>0</v>
      </c>
      <c r="Z2942" s="21" t="n">
        <v>0</v>
      </c>
      <c r="AA2942" s="21" t="n">
        <v>0</v>
      </c>
      <c r="AB2942" s="21" t="n">
        <v>0</v>
      </c>
      <c r="AC2942" s="21" t="n">
        <v>0</v>
      </c>
      <c r="AD2942" s="21" t="n">
        <v>0</v>
      </c>
      <c r="AE2942" s="21" t="n">
        <v>0</v>
      </c>
      <c r="AF2942" s="21" t="n">
        <v>0</v>
      </c>
      <c r="AG2942" s="21" t="n">
        <v>0</v>
      </c>
      <c r="AH2942" s="21" t="n">
        <v>0</v>
      </c>
      <c r="AI2942" s="21" t="n">
        <v>0</v>
      </c>
      <c r="AJ2942" s="21" t="n">
        <v>0</v>
      </c>
      <c r="AK2942" s="21" t="n">
        <v>0</v>
      </c>
      <c r="AL2942" s="21" t="n">
        <v>0</v>
      </c>
      <c r="AM2942" s="21" t="n">
        <v>0</v>
      </c>
      <c r="AN2942" s="21" t="n">
        <v>0</v>
      </c>
      <c r="AO2942" s="21" t="n">
        <v>0</v>
      </c>
      <c r="AP2942" s="21" t="n">
        <v>0</v>
      </c>
      <c r="AQ2942" s="21" t="n">
        <v>0</v>
      </c>
      <c r="AR2942" s="21" t="n">
        <v>0</v>
      </c>
      <c r="AS2942" s="21" t="n">
        <v>0</v>
      </c>
      <c r="AT2942" s="19" t="n"/>
    </row>
    <row r="2943">
      <c r="D2943" s="21" t="n">
        <v>0</v>
      </c>
      <c r="E2943" s="21" t="n">
        <v>0</v>
      </c>
      <c r="F2943" s="21" t="n">
        <v>0</v>
      </c>
      <c r="G2943" s="21" t="n">
        <v>0</v>
      </c>
      <c r="H2943" s="21" t="n">
        <v>0</v>
      </c>
      <c r="I2943" s="21" t="n">
        <v>0</v>
      </c>
      <c r="J2943" s="21" t="n">
        <v>0</v>
      </c>
      <c r="K2943" s="21" t="n">
        <v>0</v>
      </c>
      <c r="L2943" s="21" t="n">
        <v>0</v>
      </c>
      <c r="M2943" s="21" t="n">
        <v>0</v>
      </c>
      <c r="N2943" s="21" t="n">
        <v>0</v>
      </c>
      <c r="O2943" s="21" t="n">
        <v>0</v>
      </c>
      <c r="P2943" s="21" t="n">
        <v>0</v>
      </c>
      <c r="Q2943" s="21" t="n">
        <v>0</v>
      </c>
      <c r="R2943" s="21">
        <f>$B$1812</f>
        <v/>
      </c>
      <c r="S2943" s="21">
        <f>$B$1814</f>
        <v/>
      </c>
      <c r="T2943" s="21">
        <f>0</f>
        <v/>
      </c>
      <c r="U2943" s="21">
        <f>2*$B$1813</f>
        <v/>
      </c>
      <c r="V2943" s="21">
        <f>-$B$1812</f>
        <v/>
      </c>
      <c r="W2943" s="21">
        <f>$B$1814</f>
        <v/>
      </c>
      <c r="X2943" s="21" t="n">
        <v>0</v>
      </c>
      <c r="Y2943" s="21" t="n">
        <v>0</v>
      </c>
      <c r="Z2943" s="21" t="n">
        <v>0</v>
      </c>
      <c r="AA2943" s="21" t="n">
        <v>0</v>
      </c>
      <c r="AB2943" s="21" t="n">
        <v>0</v>
      </c>
      <c r="AC2943" s="21" t="n">
        <v>0</v>
      </c>
      <c r="AD2943" s="21" t="n">
        <v>0</v>
      </c>
      <c r="AE2943" s="21" t="n">
        <v>0</v>
      </c>
      <c r="AF2943" s="21" t="n">
        <v>0</v>
      </c>
      <c r="AG2943" s="21" t="n">
        <v>0</v>
      </c>
      <c r="AH2943" s="21" t="n">
        <v>0</v>
      </c>
      <c r="AI2943" s="21" t="n">
        <v>0</v>
      </c>
      <c r="AJ2943" s="21" t="n">
        <v>0</v>
      </c>
      <c r="AK2943" s="21" t="n">
        <v>0</v>
      </c>
      <c r="AL2943" s="21" t="n">
        <v>0</v>
      </c>
      <c r="AM2943" s="21" t="n">
        <v>0</v>
      </c>
      <c r="AN2943" s="21" t="n">
        <v>0</v>
      </c>
      <c r="AO2943" s="21" t="n">
        <v>0</v>
      </c>
      <c r="AP2943" s="21" t="n">
        <v>0</v>
      </c>
      <c r="AQ2943" s="21" t="n">
        <v>0</v>
      </c>
      <c r="AR2943" s="21" t="n">
        <v>0</v>
      </c>
      <c r="AS2943" s="21" t="n">
        <v>0</v>
      </c>
      <c r="AT2943" s="19" t="n"/>
    </row>
    <row r="2944">
      <c r="D2944" s="21" t="n">
        <v>0</v>
      </c>
      <c r="E2944" s="21" t="n">
        <v>0</v>
      </c>
      <c r="F2944" s="21" t="n">
        <v>0</v>
      </c>
      <c r="G2944" s="21" t="n">
        <v>0</v>
      </c>
      <c r="H2944" s="21" t="n">
        <v>0</v>
      </c>
      <c r="I2944" s="21" t="n">
        <v>0</v>
      </c>
      <c r="J2944" s="21" t="n">
        <v>0</v>
      </c>
      <c r="K2944" s="21" t="n">
        <v>0</v>
      </c>
      <c r="L2944" s="21" t="n">
        <v>0</v>
      </c>
      <c r="M2944" s="21" t="n">
        <v>0</v>
      </c>
      <c r="N2944" s="21" t="n">
        <v>0</v>
      </c>
      <c r="O2944" s="21" t="n">
        <v>0</v>
      </c>
      <c r="P2944" s="21" t="n">
        <v>0</v>
      </c>
      <c r="Q2944" s="21" t="n">
        <v>0</v>
      </c>
      <c r="R2944" s="21" t="n">
        <v>0</v>
      </c>
      <c r="S2944" s="21" t="n">
        <v>0</v>
      </c>
      <c r="T2944" s="21">
        <f>-$B$1811</f>
        <v/>
      </c>
      <c r="U2944" s="21">
        <f>-$B$1812</f>
        <v/>
      </c>
      <c r="V2944" s="21">
        <f>2*$B$1811+$D$2913</f>
        <v/>
      </c>
      <c r="W2944" s="21">
        <f>0</f>
        <v/>
      </c>
      <c r="X2944" s="21">
        <f>-$B$1811</f>
        <v/>
      </c>
      <c r="Y2944" s="21">
        <f>$B$1812</f>
        <v/>
      </c>
      <c r="Z2944" s="21" t="n">
        <v>0</v>
      </c>
      <c r="AA2944" s="21" t="n">
        <v>0</v>
      </c>
      <c r="AB2944" s="21" t="n">
        <v>0</v>
      </c>
      <c r="AC2944" s="21" t="n">
        <v>0</v>
      </c>
      <c r="AD2944" s="21" t="n">
        <v>0</v>
      </c>
      <c r="AE2944" s="21" t="n">
        <v>0</v>
      </c>
      <c r="AF2944" s="21" t="n">
        <v>0</v>
      </c>
      <c r="AG2944" s="21" t="n">
        <v>0</v>
      </c>
      <c r="AH2944" s="21" t="n">
        <v>0</v>
      </c>
      <c r="AI2944" s="21" t="n">
        <v>0</v>
      </c>
      <c r="AJ2944" s="21" t="n">
        <v>0</v>
      </c>
      <c r="AK2944" s="21" t="n">
        <v>0</v>
      </c>
      <c r="AL2944" s="21" t="n">
        <v>0</v>
      </c>
      <c r="AM2944" s="21" t="n">
        <v>0</v>
      </c>
      <c r="AN2944" s="21" t="n">
        <v>0</v>
      </c>
      <c r="AO2944" s="21" t="n">
        <v>0</v>
      </c>
      <c r="AP2944" s="21" t="n">
        <v>0</v>
      </c>
      <c r="AQ2944" s="21" t="n">
        <v>0</v>
      </c>
      <c r="AR2944" s="21" t="n">
        <v>0</v>
      </c>
      <c r="AS2944" s="21" t="n">
        <v>0</v>
      </c>
      <c r="AT2944" s="19" t="n"/>
    </row>
    <row r="2945">
      <c r="D2945" s="21" t="n">
        <v>0</v>
      </c>
      <c r="E2945" s="21" t="n">
        <v>0</v>
      </c>
      <c r="F2945" s="21" t="n">
        <v>0</v>
      </c>
      <c r="G2945" s="21" t="n">
        <v>0</v>
      </c>
      <c r="H2945" s="21" t="n">
        <v>0</v>
      </c>
      <c r="I2945" s="21" t="n">
        <v>0</v>
      </c>
      <c r="J2945" s="21" t="n">
        <v>0</v>
      </c>
      <c r="K2945" s="21" t="n">
        <v>0</v>
      </c>
      <c r="L2945" s="21" t="n">
        <v>0</v>
      </c>
      <c r="M2945" s="21" t="n">
        <v>0</v>
      </c>
      <c r="N2945" s="21" t="n">
        <v>0</v>
      </c>
      <c r="O2945" s="21" t="n">
        <v>0</v>
      </c>
      <c r="P2945" s="21" t="n">
        <v>0</v>
      </c>
      <c r="Q2945" s="21" t="n">
        <v>0</v>
      </c>
      <c r="R2945" s="21" t="n">
        <v>0</v>
      </c>
      <c r="S2945" s="21" t="n">
        <v>0</v>
      </c>
      <c r="T2945" s="21">
        <f>$B$1812</f>
        <v/>
      </c>
      <c r="U2945" s="21">
        <f>$B$1814</f>
        <v/>
      </c>
      <c r="V2945" s="21">
        <f>0</f>
        <v/>
      </c>
      <c r="W2945" s="21">
        <f>2*$B$1813</f>
        <v/>
      </c>
      <c r="X2945" s="21">
        <f>-$B$1812</f>
        <v/>
      </c>
      <c r="Y2945" s="21">
        <f>$B$1814</f>
        <v/>
      </c>
      <c r="Z2945" s="21" t="n">
        <v>0</v>
      </c>
      <c r="AA2945" s="21" t="n">
        <v>0</v>
      </c>
      <c r="AB2945" s="21" t="n">
        <v>0</v>
      </c>
      <c r="AC2945" s="21" t="n">
        <v>0</v>
      </c>
      <c r="AD2945" s="21" t="n">
        <v>0</v>
      </c>
      <c r="AE2945" s="21" t="n">
        <v>0</v>
      </c>
      <c r="AF2945" s="21" t="n">
        <v>0</v>
      </c>
      <c r="AG2945" s="21" t="n">
        <v>0</v>
      </c>
      <c r="AH2945" s="21" t="n">
        <v>0</v>
      </c>
      <c r="AI2945" s="21" t="n">
        <v>0</v>
      </c>
      <c r="AJ2945" s="21" t="n">
        <v>0</v>
      </c>
      <c r="AK2945" s="21" t="n">
        <v>0</v>
      </c>
      <c r="AL2945" s="21" t="n">
        <v>0</v>
      </c>
      <c r="AM2945" s="21" t="n">
        <v>0</v>
      </c>
      <c r="AN2945" s="21" t="n">
        <v>0</v>
      </c>
      <c r="AO2945" s="21" t="n">
        <v>0</v>
      </c>
      <c r="AP2945" s="21" t="n">
        <v>0</v>
      </c>
      <c r="AQ2945" s="21" t="n">
        <v>0</v>
      </c>
      <c r="AR2945" s="21" t="n">
        <v>0</v>
      </c>
      <c r="AS2945" s="21" t="n">
        <v>0</v>
      </c>
      <c r="AT2945" s="19" t="n"/>
    </row>
    <row r="2946">
      <c r="D2946" s="21" t="n">
        <v>0</v>
      </c>
      <c r="E2946" s="21" t="n">
        <v>0</v>
      </c>
      <c r="F2946" s="21" t="n">
        <v>0</v>
      </c>
      <c r="G2946" s="21" t="n">
        <v>0</v>
      </c>
      <c r="H2946" s="21" t="n">
        <v>0</v>
      </c>
      <c r="I2946" s="21" t="n">
        <v>0</v>
      </c>
      <c r="J2946" s="21" t="n">
        <v>0</v>
      </c>
      <c r="K2946" s="21" t="n">
        <v>0</v>
      </c>
      <c r="L2946" s="21" t="n">
        <v>0</v>
      </c>
      <c r="M2946" s="21" t="n">
        <v>0</v>
      </c>
      <c r="N2946" s="21" t="n">
        <v>0</v>
      </c>
      <c r="O2946" s="21" t="n">
        <v>0</v>
      </c>
      <c r="P2946" s="21" t="n">
        <v>0</v>
      </c>
      <c r="Q2946" s="21" t="n">
        <v>0</v>
      </c>
      <c r="R2946" s="21" t="n">
        <v>0</v>
      </c>
      <c r="S2946" s="21" t="n">
        <v>0</v>
      </c>
      <c r="T2946" s="21" t="n">
        <v>0</v>
      </c>
      <c r="U2946" s="21" t="n">
        <v>0</v>
      </c>
      <c r="V2946" s="21">
        <f>-$B$1811</f>
        <v/>
      </c>
      <c r="W2946" s="21">
        <f>-$B$1812</f>
        <v/>
      </c>
      <c r="X2946" s="21">
        <f>2*$B$1811+$D$2914</f>
        <v/>
      </c>
      <c r="Y2946" s="21">
        <f>0</f>
        <v/>
      </c>
      <c r="Z2946" s="21">
        <f>-$B$1811</f>
        <v/>
      </c>
      <c r="AA2946" s="21">
        <f>$B$1812</f>
        <v/>
      </c>
      <c r="AB2946" s="21" t="n">
        <v>0</v>
      </c>
      <c r="AC2946" s="21" t="n">
        <v>0</v>
      </c>
      <c r="AD2946" s="21" t="n">
        <v>0</v>
      </c>
      <c r="AE2946" s="21" t="n">
        <v>0</v>
      </c>
      <c r="AF2946" s="21" t="n">
        <v>0</v>
      </c>
      <c r="AG2946" s="21" t="n">
        <v>0</v>
      </c>
      <c r="AH2946" s="21" t="n">
        <v>0</v>
      </c>
      <c r="AI2946" s="21" t="n">
        <v>0</v>
      </c>
      <c r="AJ2946" s="21" t="n">
        <v>0</v>
      </c>
      <c r="AK2946" s="21" t="n">
        <v>0</v>
      </c>
      <c r="AL2946" s="21" t="n">
        <v>0</v>
      </c>
      <c r="AM2946" s="21" t="n">
        <v>0</v>
      </c>
      <c r="AN2946" s="21" t="n">
        <v>0</v>
      </c>
      <c r="AO2946" s="21" t="n">
        <v>0</v>
      </c>
      <c r="AP2946" s="21" t="n">
        <v>0</v>
      </c>
      <c r="AQ2946" s="21" t="n">
        <v>0</v>
      </c>
      <c r="AR2946" s="21" t="n">
        <v>0</v>
      </c>
      <c r="AS2946" s="21" t="n">
        <v>0</v>
      </c>
      <c r="AT2946" s="19" t="n"/>
    </row>
    <row r="2947">
      <c r="D2947" s="21" t="n">
        <v>0</v>
      </c>
      <c r="E2947" s="21" t="n">
        <v>0</v>
      </c>
      <c r="F2947" s="21" t="n">
        <v>0</v>
      </c>
      <c r="G2947" s="21" t="n">
        <v>0</v>
      </c>
      <c r="H2947" s="21" t="n">
        <v>0</v>
      </c>
      <c r="I2947" s="21" t="n">
        <v>0</v>
      </c>
      <c r="J2947" s="21" t="n">
        <v>0</v>
      </c>
      <c r="K2947" s="21" t="n">
        <v>0</v>
      </c>
      <c r="L2947" s="21" t="n">
        <v>0</v>
      </c>
      <c r="M2947" s="21" t="n">
        <v>0</v>
      </c>
      <c r="N2947" s="21" t="n">
        <v>0</v>
      </c>
      <c r="O2947" s="21" t="n">
        <v>0</v>
      </c>
      <c r="P2947" s="21" t="n">
        <v>0</v>
      </c>
      <c r="Q2947" s="21" t="n">
        <v>0</v>
      </c>
      <c r="R2947" s="21" t="n">
        <v>0</v>
      </c>
      <c r="S2947" s="21" t="n">
        <v>0</v>
      </c>
      <c r="T2947" s="21" t="n">
        <v>0</v>
      </c>
      <c r="U2947" s="21" t="n">
        <v>0</v>
      </c>
      <c r="V2947" s="21">
        <f>$B$1812</f>
        <v/>
      </c>
      <c r="W2947" s="21">
        <f>$B$1814</f>
        <v/>
      </c>
      <c r="X2947" s="21">
        <f>0</f>
        <v/>
      </c>
      <c r="Y2947" s="21">
        <f>2*$B$1813</f>
        <v/>
      </c>
      <c r="Z2947" s="21">
        <f>-$B$1812</f>
        <v/>
      </c>
      <c r="AA2947" s="21">
        <f>$B$1814</f>
        <v/>
      </c>
      <c r="AB2947" s="21" t="n">
        <v>0</v>
      </c>
      <c r="AC2947" s="21" t="n">
        <v>0</v>
      </c>
      <c r="AD2947" s="21" t="n">
        <v>0</v>
      </c>
      <c r="AE2947" s="21" t="n">
        <v>0</v>
      </c>
      <c r="AF2947" s="21" t="n">
        <v>0</v>
      </c>
      <c r="AG2947" s="21" t="n">
        <v>0</v>
      </c>
      <c r="AH2947" s="21" t="n">
        <v>0</v>
      </c>
      <c r="AI2947" s="21" t="n">
        <v>0</v>
      </c>
      <c r="AJ2947" s="21" t="n">
        <v>0</v>
      </c>
      <c r="AK2947" s="21" t="n">
        <v>0</v>
      </c>
      <c r="AL2947" s="21" t="n">
        <v>0</v>
      </c>
      <c r="AM2947" s="21" t="n">
        <v>0</v>
      </c>
      <c r="AN2947" s="21" t="n">
        <v>0</v>
      </c>
      <c r="AO2947" s="21" t="n">
        <v>0</v>
      </c>
      <c r="AP2947" s="21" t="n">
        <v>0</v>
      </c>
      <c r="AQ2947" s="21" t="n">
        <v>0</v>
      </c>
      <c r="AR2947" s="21" t="n">
        <v>0</v>
      </c>
      <c r="AS2947" s="21" t="n">
        <v>0</v>
      </c>
      <c r="AT2947" s="19" t="n"/>
    </row>
    <row r="2948">
      <c r="D2948" s="21" t="n">
        <v>0</v>
      </c>
      <c r="E2948" s="21" t="n">
        <v>0</v>
      </c>
      <c r="F2948" s="21" t="n">
        <v>0</v>
      </c>
      <c r="G2948" s="21" t="n">
        <v>0</v>
      </c>
      <c r="H2948" s="21" t="n">
        <v>0</v>
      </c>
      <c r="I2948" s="21" t="n">
        <v>0</v>
      </c>
      <c r="J2948" s="21" t="n">
        <v>0</v>
      </c>
      <c r="K2948" s="21" t="n">
        <v>0</v>
      </c>
      <c r="L2948" s="21" t="n">
        <v>0</v>
      </c>
      <c r="M2948" s="21" t="n">
        <v>0</v>
      </c>
      <c r="N2948" s="21" t="n">
        <v>0</v>
      </c>
      <c r="O2948" s="21" t="n">
        <v>0</v>
      </c>
      <c r="P2948" s="21" t="n">
        <v>0</v>
      </c>
      <c r="Q2948" s="21" t="n">
        <v>0</v>
      </c>
      <c r="R2948" s="21" t="n">
        <v>0</v>
      </c>
      <c r="S2948" s="21" t="n">
        <v>0</v>
      </c>
      <c r="T2948" s="21" t="n">
        <v>0</v>
      </c>
      <c r="U2948" s="21" t="n">
        <v>0</v>
      </c>
      <c r="V2948" s="21" t="n">
        <v>0</v>
      </c>
      <c r="W2948" s="21" t="n">
        <v>0</v>
      </c>
      <c r="X2948" s="21">
        <f>-$B$1811</f>
        <v/>
      </c>
      <c r="Y2948" s="21">
        <f>-$B$1812</f>
        <v/>
      </c>
      <c r="Z2948" s="21">
        <f>2*$B$1811+$D$2915</f>
        <v/>
      </c>
      <c r="AA2948" s="21">
        <f>0</f>
        <v/>
      </c>
      <c r="AB2948" s="21">
        <f>-$B$1811</f>
        <v/>
      </c>
      <c r="AC2948" s="21">
        <f>$B$1812</f>
        <v/>
      </c>
      <c r="AD2948" s="21" t="n">
        <v>0</v>
      </c>
      <c r="AE2948" s="21" t="n">
        <v>0</v>
      </c>
      <c r="AF2948" s="21" t="n">
        <v>0</v>
      </c>
      <c r="AG2948" s="21" t="n">
        <v>0</v>
      </c>
      <c r="AH2948" s="21" t="n">
        <v>0</v>
      </c>
      <c r="AI2948" s="21" t="n">
        <v>0</v>
      </c>
      <c r="AJ2948" s="21" t="n">
        <v>0</v>
      </c>
      <c r="AK2948" s="21" t="n">
        <v>0</v>
      </c>
      <c r="AL2948" s="21" t="n">
        <v>0</v>
      </c>
      <c r="AM2948" s="21" t="n">
        <v>0</v>
      </c>
      <c r="AN2948" s="21" t="n">
        <v>0</v>
      </c>
      <c r="AO2948" s="21" t="n">
        <v>0</v>
      </c>
      <c r="AP2948" s="21" t="n">
        <v>0</v>
      </c>
      <c r="AQ2948" s="21" t="n">
        <v>0</v>
      </c>
      <c r="AR2948" s="21" t="n">
        <v>0</v>
      </c>
      <c r="AS2948" s="21" t="n">
        <v>0</v>
      </c>
      <c r="AT2948" s="19" t="n"/>
    </row>
    <row r="2949">
      <c r="D2949" s="21" t="n">
        <v>0</v>
      </c>
      <c r="E2949" s="21" t="n">
        <v>0</v>
      </c>
      <c r="F2949" s="21" t="n">
        <v>0</v>
      </c>
      <c r="G2949" s="21" t="n">
        <v>0</v>
      </c>
      <c r="H2949" s="21" t="n">
        <v>0</v>
      </c>
      <c r="I2949" s="21" t="n">
        <v>0</v>
      </c>
      <c r="J2949" s="21" t="n">
        <v>0</v>
      </c>
      <c r="K2949" s="21" t="n">
        <v>0</v>
      </c>
      <c r="L2949" s="21" t="n">
        <v>0</v>
      </c>
      <c r="M2949" s="21" t="n">
        <v>0</v>
      </c>
      <c r="N2949" s="21" t="n">
        <v>0</v>
      </c>
      <c r="O2949" s="21" t="n">
        <v>0</v>
      </c>
      <c r="P2949" s="21" t="n">
        <v>0</v>
      </c>
      <c r="Q2949" s="21" t="n">
        <v>0</v>
      </c>
      <c r="R2949" s="21" t="n">
        <v>0</v>
      </c>
      <c r="S2949" s="21" t="n">
        <v>0</v>
      </c>
      <c r="T2949" s="21" t="n">
        <v>0</v>
      </c>
      <c r="U2949" s="21" t="n">
        <v>0</v>
      </c>
      <c r="V2949" s="21" t="n">
        <v>0</v>
      </c>
      <c r="W2949" s="21" t="n">
        <v>0</v>
      </c>
      <c r="X2949" s="21">
        <f>$B$1812</f>
        <v/>
      </c>
      <c r="Y2949" s="21">
        <f>$B$1814</f>
        <v/>
      </c>
      <c r="Z2949" s="21">
        <f>0</f>
        <v/>
      </c>
      <c r="AA2949" s="21">
        <f>2*$B$1813</f>
        <v/>
      </c>
      <c r="AB2949" s="21">
        <f>-$B$1812</f>
        <v/>
      </c>
      <c r="AC2949" s="21">
        <f>$B$1814</f>
        <v/>
      </c>
      <c r="AD2949" s="21" t="n">
        <v>0</v>
      </c>
      <c r="AE2949" s="21" t="n">
        <v>0</v>
      </c>
      <c r="AF2949" s="21" t="n">
        <v>0</v>
      </c>
      <c r="AG2949" s="21" t="n">
        <v>0</v>
      </c>
      <c r="AH2949" s="21" t="n">
        <v>0</v>
      </c>
      <c r="AI2949" s="21" t="n">
        <v>0</v>
      </c>
      <c r="AJ2949" s="21" t="n">
        <v>0</v>
      </c>
      <c r="AK2949" s="21" t="n">
        <v>0</v>
      </c>
      <c r="AL2949" s="21" t="n">
        <v>0</v>
      </c>
      <c r="AM2949" s="21" t="n">
        <v>0</v>
      </c>
      <c r="AN2949" s="21" t="n">
        <v>0</v>
      </c>
      <c r="AO2949" s="21" t="n">
        <v>0</v>
      </c>
      <c r="AP2949" s="21" t="n">
        <v>0</v>
      </c>
      <c r="AQ2949" s="21" t="n">
        <v>0</v>
      </c>
      <c r="AR2949" s="21" t="n">
        <v>0</v>
      </c>
      <c r="AS2949" s="21" t="n">
        <v>0</v>
      </c>
      <c r="AT2949" s="19" t="n"/>
    </row>
    <row r="2950">
      <c r="D2950" s="21" t="n">
        <v>0</v>
      </c>
      <c r="E2950" s="21" t="n">
        <v>0</v>
      </c>
      <c r="F2950" s="21" t="n">
        <v>0</v>
      </c>
      <c r="G2950" s="21" t="n">
        <v>0</v>
      </c>
      <c r="H2950" s="21" t="n">
        <v>0</v>
      </c>
      <c r="I2950" s="21" t="n">
        <v>0</v>
      </c>
      <c r="J2950" s="21" t="n">
        <v>0</v>
      </c>
      <c r="K2950" s="21" t="n">
        <v>0</v>
      </c>
      <c r="L2950" s="21" t="n">
        <v>0</v>
      </c>
      <c r="M2950" s="21" t="n">
        <v>0</v>
      </c>
      <c r="N2950" s="21" t="n">
        <v>0</v>
      </c>
      <c r="O2950" s="21" t="n">
        <v>0</v>
      </c>
      <c r="P2950" s="21" t="n">
        <v>0</v>
      </c>
      <c r="Q2950" s="21" t="n">
        <v>0</v>
      </c>
      <c r="R2950" s="21" t="n">
        <v>0</v>
      </c>
      <c r="S2950" s="21" t="n">
        <v>0</v>
      </c>
      <c r="T2950" s="21" t="n">
        <v>0</v>
      </c>
      <c r="U2950" s="21" t="n">
        <v>0</v>
      </c>
      <c r="V2950" s="21" t="n">
        <v>0</v>
      </c>
      <c r="W2950" s="21" t="n">
        <v>0</v>
      </c>
      <c r="X2950" s="21" t="n">
        <v>0</v>
      </c>
      <c r="Y2950" s="21" t="n">
        <v>0</v>
      </c>
      <c r="Z2950" s="21">
        <f>-$B$1811</f>
        <v/>
      </c>
      <c r="AA2950" s="21">
        <f>-$B$1812</f>
        <v/>
      </c>
      <c r="AB2950" s="21">
        <f>2*$B$1811+$D$2916</f>
        <v/>
      </c>
      <c r="AC2950" s="21">
        <f>0</f>
        <v/>
      </c>
      <c r="AD2950" s="21">
        <f>-$B$1811</f>
        <v/>
      </c>
      <c r="AE2950" s="21">
        <f>$B$1812</f>
        <v/>
      </c>
      <c r="AF2950" s="21" t="n">
        <v>0</v>
      </c>
      <c r="AG2950" s="21" t="n">
        <v>0</v>
      </c>
      <c r="AH2950" s="21" t="n">
        <v>0</v>
      </c>
      <c r="AI2950" s="21" t="n">
        <v>0</v>
      </c>
      <c r="AJ2950" s="21" t="n">
        <v>0</v>
      </c>
      <c r="AK2950" s="21" t="n">
        <v>0</v>
      </c>
      <c r="AL2950" s="21" t="n">
        <v>0</v>
      </c>
      <c r="AM2950" s="21" t="n">
        <v>0</v>
      </c>
      <c r="AN2950" s="21" t="n">
        <v>0</v>
      </c>
      <c r="AO2950" s="21" t="n">
        <v>0</v>
      </c>
      <c r="AP2950" s="21" t="n">
        <v>0</v>
      </c>
      <c r="AQ2950" s="21" t="n">
        <v>0</v>
      </c>
      <c r="AR2950" s="21" t="n">
        <v>0</v>
      </c>
      <c r="AS2950" s="21" t="n">
        <v>0</v>
      </c>
      <c r="AT2950" s="19" t="n"/>
    </row>
    <row r="2951">
      <c r="D2951" s="21" t="n">
        <v>0</v>
      </c>
      <c r="E2951" s="21" t="n">
        <v>0</v>
      </c>
      <c r="F2951" s="21" t="n">
        <v>0</v>
      </c>
      <c r="G2951" s="21" t="n">
        <v>0</v>
      </c>
      <c r="H2951" s="21" t="n">
        <v>0</v>
      </c>
      <c r="I2951" s="21" t="n">
        <v>0</v>
      </c>
      <c r="J2951" s="21" t="n">
        <v>0</v>
      </c>
      <c r="K2951" s="21" t="n">
        <v>0</v>
      </c>
      <c r="L2951" s="21" t="n">
        <v>0</v>
      </c>
      <c r="M2951" s="21" t="n">
        <v>0</v>
      </c>
      <c r="N2951" s="21" t="n">
        <v>0</v>
      </c>
      <c r="O2951" s="21" t="n">
        <v>0</v>
      </c>
      <c r="P2951" s="21" t="n">
        <v>0</v>
      </c>
      <c r="Q2951" s="21" t="n">
        <v>0</v>
      </c>
      <c r="R2951" s="21" t="n">
        <v>0</v>
      </c>
      <c r="S2951" s="21" t="n">
        <v>0</v>
      </c>
      <c r="T2951" s="21" t="n">
        <v>0</v>
      </c>
      <c r="U2951" s="21" t="n">
        <v>0</v>
      </c>
      <c r="V2951" s="21" t="n">
        <v>0</v>
      </c>
      <c r="W2951" s="21" t="n">
        <v>0</v>
      </c>
      <c r="X2951" s="21" t="n">
        <v>0</v>
      </c>
      <c r="Y2951" s="21" t="n">
        <v>0</v>
      </c>
      <c r="Z2951" s="21">
        <f>$B$1812</f>
        <v/>
      </c>
      <c r="AA2951" s="21">
        <f>$B$1814</f>
        <v/>
      </c>
      <c r="AB2951" s="21">
        <f>0</f>
        <v/>
      </c>
      <c r="AC2951" s="21">
        <f>2*$B$1813</f>
        <v/>
      </c>
      <c r="AD2951" s="21">
        <f>-$B$1812</f>
        <v/>
      </c>
      <c r="AE2951" s="21">
        <f>$B$1814</f>
        <v/>
      </c>
      <c r="AF2951" s="21" t="n">
        <v>0</v>
      </c>
      <c r="AG2951" s="21" t="n">
        <v>0</v>
      </c>
      <c r="AH2951" s="21" t="n">
        <v>0</v>
      </c>
      <c r="AI2951" s="21" t="n">
        <v>0</v>
      </c>
      <c r="AJ2951" s="21" t="n">
        <v>0</v>
      </c>
      <c r="AK2951" s="21" t="n">
        <v>0</v>
      </c>
      <c r="AL2951" s="21" t="n">
        <v>0</v>
      </c>
      <c r="AM2951" s="21" t="n">
        <v>0</v>
      </c>
      <c r="AN2951" s="21" t="n">
        <v>0</v>
      </c>
      <c r="AO2951" s="21" t="n">
        <v>0</v>
      </c>
      <c r="AP2951" s="21" t="n">
        <v>0</v>
      </c>
      <c r="AQ2951" s="21" t="n">
        <v>0</v>
      </c>
      <c r="AR2951" s="21" t="n">
        <v>0</v>
      </c>
      <c r="AS2951" s="21" t="n">
        <v>0</v>
      </c>
      <c r="AT2951" s="19" t="n"/>
    </row>
    <row r="2952">
      <c r="D2952" s="21" t="n">
        <v>0</v>
      </c>
      <c r="E2952" s="21" t="n">
        <v>0</v>
      </c>
      <c r="F2952" s="21" t="n">
        <v>0</v>
      </c>
      <c r="G2952" s="21" t="n">
        <v>0</v>
      </c>
      <c r="H2952" s="21" t="n">
        <v>0</v>
      </c>
      <c r="I2952" s="21" t="n">
        <v>0</v>
      </c>
      <c r="J2952" s="21" t="n">
        <v>0</v>
      </c>
      <c r="K2952" s="21" t="n">
        <v>0</v>
      </c>
      <c r="L2952" s="21" t="n">
        <v>0</v>
      </c>
      <c r="M2952" s="21" t="n">
        <v>0</v>
      </c>
      <c r="N2952" s="21" t="n">
        <v>0</v>
      </c>
      <c r="O2952" s="21" t="n">
        <v>0</v>
      </c>
      <c r="P2952" s="21" t="n">
        <v>0</v>
      </c>
      <c r="Q2952" s="21" t="n">
        <v>0</v>
      </c>
      <c r="R2952" s="21" t="n">
        <v>0</v>
      </c>
      <c r="S2952" s="21" t="n">
        <v>0</v>
      </c>
      <c r="T2952" s="21" t="n">
        <v>0</v>
      </c>
      <c r="U2952" s="21" t="n">
        <v>0</v>
      </c>
      <c r="V2952" s="21" t="n">
        <v>0</v>
      </c>
      <c r="W2952" s="21" t="n">
        <v>0</v>
      </c>
      <c r="X2952" s="21" t="n">
        <v>0</v>
      </c>
      <c r="Y2952" s="21" t="n">
        <v>0</v>
      </c>
      <c r="Z2952" s="21" t="n">
        <v>0</v>
      </c>
      <c r="AA2952" s="21" t="n">
        <v>0</v>
      </c>
      <c r="AB2952" s="21">
        <f>-$B$1811</f>
        <v/>
      </c>
      <c r="AC2952" s="21">
        <f>-$B$1812</f>
        <v/>
      </c>
      <c r="AD2952" s="21">
        <f>2*$B$1811+$D$2917</f>
        <v/>
      </c>
      <c r="AE2952" s="21">
        <f>0</f>
        <v/>
      </c>
      <c r="AF2952" s="21">
        <f>-$B$1811</f>
        <v/>
      </c>
      <c r="AG2952" s="21">
        <f>$B$1812</f>
        <v/>
      </c>
      <c r="AH2952" s="21" t="n">
        <v>0</v>
      </c>
      <c r="AI2952" s="21" t="n">
        <v>0</v>
      </c>
      <c r="AJ2952" s="21" t="n">
        <v>0</v>
      </c>
      <c r="AK2952" s="21" t="n">
        <v>0</v>
      </c>
      <c r="AL2952" s="21" t="n">
        <v>0</v>
      </c>
      <c r="AM2952" s="21" t="n">
        <v>0</v>
      </c>
      <c r="AN2952" s="21" t="n">
        <v>0</v>
      </c>
      <c r="AO2952" s="21" t="n">
        <v>0</v>
      </c>
      <c r="AP2952" s="21" t="n">
        <v>0</v>
      </c>
      <c r="AQ2952" s="21" t="n">
        <v>0</v>
      </c>
      <c r="AR2952" s="21" t="n">
        <v>0</v>
      </c>
      <c r="AS2952" s="21" t="n">
        <v>0</v>
      </c>
      <c r="AT2952" s="19" t="n"/>
    </row>
    <row r="2953">
      <c r="D2953" s="21" t="n">
        <v>0</v>
      </c>
      <c r="E2953" s="21" t="n">
        <v>0</v>
      </c>
      <c r="F2953" s="21" t="n">
        <v>0</v>
      </c>
      <c r="G2953" s="21" t="n">
        <v>0</v>
      </c>
      <c r="H2953" s="21" t="n">
        <v>0</v>
      </c>
      <c r="I2953" s="21" t="n">
        <v>0</v>
      </c>
      <c r="J2953" s="21" t="n">
        <v>0</v>
      </c>
      <c r="K2953" s="21" t="n">
        <v>0</v>
      </c>
      <c r="L2953" s="21" t="n">
        <v>0</v>
      </c>
      <c r="M2953" s="21" t="n">
        <v>0</v>
      </c>
      <c r="N2953" s="21" t="n">
        <v>0</v>
      </c>
      <c r="O2953" s="21" t="n">
        <v>0</v>
      </c>
      <c r="P2953" s="21" t="n">
        <v>0</v>
      </c>
      <c r="Q2953" s="21" t="n">
        <v>0</v>
      </c>
      <c r="R2953" s="21" t="n">
        <v>0</v>
      </c>
      <c r="S2953" s="21" t="n">
        <v>0</v>
      </c>
      <c r="T2953" s="21" t="n">
        <v>0</v>
      </c>
      <c r="U2953" s="21" t="n">
        <v>0</v>
      </c>
      <c r="V2953" s="21" t="n">
        <v>0</v>
      </c>
      <c r="W2953" s="21" t="n">
        <v>0</v>
      </c>
      <c r="X2953" s="21" t="n">
        <v>0</v>
      </c>
      <c r="Y2953" s="21" t="n">
        <v>0</v>
      </c>
      <c r="Z2953" s="21" t="n">
        <v>0</v>
      </c>
      <c r="AA2953" s="21" t="n">
        <v>0</v>
      </c>
      <c r="AB2953" s="21">
        <f>$B$1812</f>
        <v/>
      </c>
      <c r="AC2953" s="21">
        <f>$B$1814</f>
        <v/>
      </c>
      <c r="AD2953" s="21">
        <f>0</f>
        <v/>
      </c>
      <c r="AE2953" s="21">
        <f>2*$B$1813</f>
        <v/>
      </c>
      <c r="AF2953" s="21">
        <f>-$B$1812</f>
        <v/>
      </c>
      <c r="AG2953" s="21">
        <f>$B$1814</f>
        <v/>
      </c>
      <c r="AH2953" s="21" t="n">
        <v>0</v>
      </c>
      <c r="AI2953" s="21" t="n">
        <v>0</v>
      </c>
      <c r="AJ2953" s="21" t="n">
        <v>0</v>
      </c>
      <c r="AK2953" s="21" t="n">
        <v>0</v>
      </c>
      <c r="AL2953" s="21" t="n">
        <v>0</v>
      </c>
      <c r="AM2953" s="21" t="n">
        <v>0</v>
      </c>
      <c r="AN2953" s="21" t="n">
        <v>0</v>
      </c>
      <c r="AO2953" s="21" t="n">
        <v>0</v>
      </c>
      <c r="AP2953" s="21" t="n">
        <v>0</v>
      </c>
      <c r="AQ2953" s="21" t="n">
        <v>0</v>
      </c>
      <c r="AR2953" s="21" t="n">
        <v>0</v>
      </c>
      <c r="AS2953" s="21" t="n">
        <v>0</v>
      </c>
      <c r="AT2953" s="19" t="n"/>
    </row>
    <row r="2954">
      <c r="D2954" s="21" t="n">
        <v>0</v>
      </c>
      <c r="E2954" s="21" t="n">
        <v>0</v>
      </c>
      <c r="F2954" s="21" t="n">
        <v>0</v>
      </c>
      <c r="G2954" s="21" t="n">
        <v>0</v>
      </c>
      <c r="H2954" s="21" t="n">
        <v>0</v>
      </c>
      <c r="I2954" s="21" t="n">
        <v>0</v>
      </c>
      <c r="J2954" s="21" t="n">
        <v>0</v>
      </c>
      <c r="K2954" s="21" t="n">
        <v>0</v>
      </c>
      <c r="L2954" s="21" t="n">
        <v>0</v>
      </c>
      <c r="M2954" s="21" t="n">
        <v>0</v>
      </c>
      <c r="N2954" s="21" t="n">
        <v>0</v>
      </c>
      <c r="O2954" s="21" t="n">
        <v>0</v>
      </c>
      <c r="P2954" s="21" t="n">
        <v>0</v>
      </c>
      <c r="Q2954" s="21" t="n">
        <v>0</v>
      </c>
      <c r="R2954" s="21" t="n">
        <v>0</v>
      </c>
      <c r="S2954" s="21" t="n">
        <v>0</v>
      </c>
      <c r="T2954" s="21" t="n">
        <v>0</v>
      </c>
      <c r="U2954" s="21" t="n">
        <v>0</v>
      </c>
      <c r="V2954" s="21" t="n">
        <v>0</v>
      </c>
      <c r="W2954" s="21" t="n">
        <v>0</v>
      </c>
      <c r="X2954" s="21" t="n">
        <v>0</v>
      </c>
      <c r="Y2954" s="21" t="n">
        <v>0</v>
      </c>
      <c r="Z2954" s="21" t="n">
        <v>0</v>
      </c>
      <c r="AA2954" s="21" t="n">
        <v>0</v>
      </c>
      <c r="AB2954" s="21" t="n">
        <v>0</v>
      </c>
      <c r="AC2954" s="21" t="n">
        <v>0</v>
      </c>
      <c r="AD2954" s="21">
        <f>-$B$1811</f>
        <v/>
      </c>
      <c r="AE2954" s="21">
        <f>-$B$1812</f>
        <v/>
      </c>
      <c r="AF2954" s="21">
        <f>2*$B$1811+$D$2918</f>
        <v/>
      </c>
      <c r="AG2954" s="21">
        <f>0</f>
        <v/>
      </c>
      <c r="AH2954" s="21">
        <f>-$B$1811</f>
        <v/>
      </c>
      <c r="AI2954" s="21">
        <f>$B$1812</f>
        <v/>
      </c>
      <c r="AJ2954" s="21" t="n">
        <v>0</v>
      </c>
      <c r="AK2954" s="21" t="n">
        <v>0</v>
      </c>
      <c r="AL2954" s="21" t="n">
        <v>0</v>
      </c>
      <c r="AM2954" s="21" t="n">
        <v>0</v>
      </c>
      <c r="AN2954" s="21" t="n">
        <v>0</v>
      </c>
      <c r="AO2954" s="21" t="n">
        <v>0</v>
      </c>
      <c r="AP2954" s="21" t="n">
        <v>0</v>
      </c>
      <c r="AQ2954" s="21" t="n">
        <v>0</v>
      </c>
      <c r="AR2954" s="21" t="n">
        <v>0</v>
      </c>
      <c r="AS2954" s="21" t="n">
        <v>0</v>
      </c>
      <c r="AT2954" s="19" t="n"/>
    </row>
    <row r="2955">
      <c r="D2955" s="21" t="n">
        <v>0</v>
      </c>
      <c r="E2955" s="21" t="n">
        <v>0</v>
      </c>
      <c r="F2955" s="21" t="n">
        <v>0</v>
      </c>
      <c r="G2955" s="21" t="n">
        <v>0</v>
      </c>
      <c r="H2955" s="21" t="n">
        <v>0</v>
      </c>
      <c r="I2955" s="21" t="n">
        <v>0</v>
      </c>
      <c r="J2955" s="21" t="n">
        <v>0</v>
      </c>
      <c r="K2955" s="21" t="n">
        <v>0</v>
      </c>
      <c r="L2955" s="21" t="n">
        <v>0</v>
      </c>
      <c r="M2955" s="21" t="n">
        <v>0</v>
      </c>
      <c r="N2955" s="21" t="n">
        <v>0</v>
      </c>
      <c r="O2955" s="21" t="n">
        <v>0</v>
      </c>
      <c r="P2955" s="21" t="n">
        <v>0</v>
      </c>
      <c r="Q2955" s="21" t="n">
        <v>0</v>
      </c>
      <c r="R2955" s="21" t="n">
        <v>0</v>
      </c>
      <c r="S2955" s="21" t="n">
        <v>0</v>
      </c>
      <c r="T2955" s="21" t="n">
        <v>0</v>
      </c>
      <c r="U2955" s="21" t="n">
        <v>0</v>
      </c>
      <c r="V2955" s="21" t="n">
        <v>0</v>
      </c>
      <c r="W2955" s="21" t="n">
        <v>0</v>
      </c>
      <c r="X2955" s="21" t="n">
        <v>0</v>
      </c>
      <c r="Y2955" s="21" t="n">
        <v>0</v>
      </c>
      <c r="Z2955" s="21" t="n">
        <v>0</v>
      </c>
      <c r="AA2955" s="21" t="n">
        <v>0</v>
      </c>
      <c r="AB2955" s="21" t="n">
        <v>0</v>
      </c>
      <c r="AC2955" s="21" t="n">
        <v>0</v>
      </c>
      <c r="AD2955" s="21">
        <f>$B$1812</f>
        <v/>
      </c>
      <c r="AE2955" s="21">
        <f>$B$1814</f>
        <v/>
      </c>
      <c r="AF2955" s="21">
        <f>0</f>
        <v/>
      </c>
      <c r="AG2955" s="21">
        <f>2*$B$1813</f>
        <v/>
      </c>
      <c r="AH2955" s="21">
        <f>-$B$1812</f>
        <v/>
      </c>
      <c r="AI2955" s="21">
        <f>$B$1814</f>
        <v/>
      </c>
      <c r="AJ2955" s="21" t="n">
        <v>0</v>
      </c>
      <c r="AK2955" s="21" t="n">
        <v>0</v>
      </c>
      <c r="AL2955" s="21" t="n">
        <v>0</v>
      </c>
      <c r="AM2955" s="21" t="n">
        <v>0</v>
      </c>
      <c r="AN2955" s="21" t="n">
        <v>0</v>
      </c>
      <c r="AO2955" s="21" t="n">
        <v>0</v>
      </c>
      <c r="AP2955" s="21" t="n">
        <v>0</v>
      </c>
      <c r="AQ2955" s="21" t="n">
        <v>0</v>
      </c>
      <c r="AR2955" s="21" t="n">
        <v>0</v>
      </c>
      <c r="AS2955" s="21" t="n">
        <v>0</v>
      </c>
      <c r="AT2955" s="19" t="n"/>
    </row>
    <row r="2956">
      <c r="D2956" s="21" t="n">
        <v>0</v>
      </c>
      <c r="E2956" s="21" t="n">
        <v>0</v>
      </c>
      <c r="F2956" s="21" t="n">
        <v>0</v>
      </c>
      <c r="G2956" s="21" t="n">
        <v>0</v>
      </c>
      <c r="H2956" s="21" t="n">
        <v>0</v>
      </c>
      <c r="I2956" s="21" t="n">
        <v>0</v>
      </c>
      <c r="J2956" s="21" t="n">
        <v>0</v>
      </c>
      <c r="K2956" s="21" t="n">
        <v>0</v>
      </c>
      <c r="L2956" s="21" t="n">
        <v>0</v>
      </c>
      <c r="M2956" s="21" t="n">
        <v>0</v>
      </c>
      <c r="N2956" s="21" t="n">
        <v>0</v>
      </c>
      <c r="O2956" s="21" t="n">
        <v>0</v>
      </c>
      <c r="P2956" s="21" t="n">
        <v>0</v>
      </c>
      <c r="Q2956" s="21" t="n">
        <v>0</v>
      </c>
      <c r="R2956" s="21" t="n">
        <v>0</v>
      </c>
      <c r="S2956" s="21" t="n">
        <v>0</v>
      </c>
      <c r="T2956" s="21" t="n">
        <v>0</v>
      </c>
      <c r="U2956" s="21" t="n">
        <v>0</v>
      </c>
      <c r="V2956" s="21" t="n">
        <v>0</v>
      </c>
      <c r="W2956" s="21" t="n">
        <v>0</v>
      </c>
      <c r="X2956" s="21" t="n">
        <v>0</v>
      </c>
      <c r="Y2956" s="21" t="n">
        <v>0</v>
      </c>
      <c r="Z2956" s="21" t="n">
        <v>0</v>
      </c>
      <c r="AA2956" s="21" t="n">
        <v>0</v>
      </c>
      <c r="AB2956" s="21" t="n">
        <v>0</v>
      </c>
      <c r="AC2956" s="21" t="n">
        <v>0</v>
      </c>
      <c r="AD2956" s="21" t="n">
        <v>0</v>
      </c>
      <c r="AE2956" s="21" t="n">
        <v>0</v>
      </c>
      <c r="AF2956" s="21">
        <f>-$B$1811</f>
        <v/>
      </c>
      <c r="AG2956" s="21">
        <f>-$B$1812</f>
        <v/>
      </c>
      <c r="AH2956" s="21">
        <f>2*$B$1811+$D$2919</f>
        <v/>
      </c>
      <c r="AI2956" s="21">
        <f>0</f>
        <v/>
      </c>
      <c r="AJ2956" s="21">
        <f>-$B$1811</f>
        <v/>
      </c>
      <c r="AK2956" s="21">
        <f>$B$1812</f>
        <v/>
      </c>
      <c r="AL2956" s="21" t="n">
        <v>0</v>
      </c>
      <c r="AM2956" s="21" t="n">
        <v>0</v>
      </c>
      <c r="AN2956" s="21" t="n">
        <v>0</v>
      </c>
      <c r="AO2956" s="21" t="n">
        <v>0</v>
      </c>
      <c r="AP2956" s="21" t="n">
        <v>0</v>
      </c>
      <c r="AQ2956" s="21" t="n">
        <v>0</v>
      </c>
      <c r="AR2956" s="21" t="n">
        <v>0</v>
      </c>
      <c r="AS2956" s="21" t="n">
        <v>0</v>
      </c>
      <c r="AT2956" s="19" t="n"/>
    </row>
    <row r="2957">
      <c r="D2957" s="21" t="n">
        <v>0</v>
      </c>
      <c r="E2957" s="21" t="n">
        <v>0</v>
      </c>
      <c r="F2957" s="21" t="n">
        <v>0</v>
      </c>
      <c r="G2957" s="21" t="n">
        <v>0</v>
      </c>
      <c r="H2957" s="21" t="n">
        <v>0</v>
      </c>
      <c r="I2957" s="21" t="n">
        <v>0</v>
      </c>
      <c r="J2957" s="21" t="n">
        <v>0</v>
      </c>
      <c r="K2957" s="21" t="n">
        <v>0</v>
      </c>
      <c r="L2957" s="21" t="n">
        <v>0</v>
      </c>
      <c r="M2957" s="21" t="n">
        <v>0</v>
      </c>
      <c r="N2957" s="21" t="n">
        <v>0</v>
      </c>
      <c r="O2957" s="21" t="n">
        <v>0</v>
      </c>
      <c r="P2957" s="21" t="n">
        <v>0</v>
      </c>
      <c r="Q2957" s="21" t="n">
        <v>0</v>
      </c>
      <c r="R2957" s="21" t="n">
        <v>0</v>
      </c>
      <c r="S2957" s="21" t="n">
        <v>0</v>
      </c>
      <c r="T2957" s="21" t="n">
        <v>0</v>
      </c>
      <c r="U2957" s="21" t="n">
        <v>0</v>
      </c>
      <c r="V2957" s="21" t="n">
        <v>0</v>
      </c>
      <c r="W2957" s="21" t="n">
        <v>0</v>
      </c>
      <c r="X2957" s="21" t="n">
        <v>0</v>
      </c>
      <c r="Y2957" s="21" t="n">
        <v>0</v>
      </c>
      <c r="Z2957" s="21" t="n">
        <v>0</v>
      </c>
      <c r="AA2957" s="21" t="n">
        <v>0</v>
      </c>
      <c r="AB2957" s="21" t="n">
        <v>0</v>
      </c>
      <c r="AC2957" s="21" t="n">
        <v>0</v>
      </c>
      <c r="AD2957" s="21" t="n">
        <v>0</v>
      </c>
      <c r="AE2957" s="21" t="n">
        <v>0</v>
      </c>
      <c r="AF2957" s="21">
        <f>$B$1812</f>
        <v/>
      </c>
      <c r="AG2957" s="21">
        <f>$B$1814</f>
        <v/>
      </c>
      <c r="AH2957" s="21">
        <f>0</f>
        <v/>
      </c>
      <c r="AI2957" s="21">
        <f>2*$B$1813</f>
        <v/>
      </c>
      <c r="AJ2957" s="21">
        <f>-$B$1812</f>
        <v/>
      </c>
      <c r="AK2957" s="21">
        <f>$B$1814</f>
        <v/>
      </c>
      <c r="AL2957" s="21" t="n">
        <v>0</v>
      </c>
      <c r="AM2957" s="21" t="n">
        <v>0</v>
      </c>
      <c r="AN2957" s="21" t="n">
        <v>0</v>
      </c>
      <c r="AO2957" s="21" t="n">
        <v>0</v>
      </c>
      <c r="AP2957" s="21" t="n">
        <v>0</v>
      </c>
      <c r="AQ2957" s="21" t="n">
        <v>0</v>
      </c>
      <c r="AR2957" s="21" t="n">
        <v>0</v>
      </c>
      <c r="AS2957" s="21" t="n">
        <v>0</v>
      </c>
      <c r="AT2957" s="19" t="n"/>
    </row>
    <row r="2958">
      <c r="D2958" s="21" t="n">
        <v>0</v>
      </c>
      <c r="E2958" s="21" t="n">
        <v>0</v>
      </c>
      <c r="F2958" s="21" t="n">
        <v>0</v>
      </c>
      <c r="G2958" s="21" t="n">
        <v>0</v>
      </c>
      <c r="H2958" s="21" t="n">
        <v>0</v>
      </c>
      <c r="I2958" s="21" t="n">
        <v>0</v>
      </c>
      <c r="J2958" s="21" t="n">
        <v>0</v>
      </c>
      <c r="K2958" s="21" t="n">
        <v>0</v>
      </c>
      <c r="L2958" s="21" t="n">
        <v>0</v>
      </c>
      <c r="M2958" s="21" t="n">
        <v>0</v>
      </c>
      <c r="N2958" s="21" t="n">
        <v>0</v>
      </c>
      <c r="O2958" s="21" t="n">
        <v>0</v>
      </c>
      <c r="P2958" s="21" t="n">
        <v>0</v>
      </c>
      <c r="Q2958" s="21" t="n">
        <v>0</v>
      </c>
      <c r="R2958" s="21" t="n">
        <v>0</v>
      </c>
      <c r="S2958" s="21" t="n">
        <v>0</v>
      </c>
      <c r="T2958" s="21" t="n">
        <v>0</v>
      </c>
      <c r="U2958" s="21" t="n">
        <v>0</v>
      </c>
      <c r="V2958" s="21" t="n">
        <v>0</v>
      </c>
      <c r="W2958" s="21" t="n">
        <v>0</v>
      </c>
      <c r="X2958" s="21" t="n">
        <v>0</v>
      </c>
      <c r="Y2958" s="21" t="n">
        <v>0</v>
      </c>
      <c r="Z2958" s="21" t="n">
        <v>0</v>
      </c>
      <c r="AA2958" s="21" t="n">
        <v>0</v>
      </c>
      <c r="AB2958" s="21" t="n">
        <v>0</v>
      </c>
      <c r="AC2958" s="21" t="n">
        <v>0</v>
      </c>
      <c r="AD2958" s="21" t="n">
        <v>0</v>
      </c>
      <c r="AE2958" s="21" t="n">
        <v>0</v>
      </c>
      <c r="AF2958" s="21" t="n">
        <v>0</v>
      </c>
      <c r="AG2958" s="21" t="n">
        <v>0</v>
      </c>
      <c r="AH2958" s="21">
        <f>-$B$1811</f>
        <v/>
      </c>
      <c r="AI2958" s="21">
        <f>-$B$1812</f>
        <v/>
      </c>
      <c r="AJ2958" s="21">
        <f>2*$B$1811+$D$2920</f>
        <v/>
      </c>
      <c r="AK2958" s="21">
        <f>0</f>
        <v/>
      </c>
      <c r="AL2958" s="21">
        <f>-$B$1811</f>
        <v/>
      </c>
      <c r="AM2958" s="21">
        <f>$B$1812</f>
        <v/>
      </c>
      <c r="AN2958" s="21" t="n">
        <v>0</v>
      </c>
      <c r="AO2958" s="21" t="n">
        <v>0</v>
      </c>
      <c r="AP2958" s="21" t="n">
        <v>0</v>
      </c>
      <c r="AQ2958" s="21" t="n">
        <v>0</v>
      </c>
      <c r="AR2958" s="21" t="n">
        <v>0</v>
      </c>
      <c r="AS2958" s="21" t="n">
        <v>0</v>
      </c>
      <c r="AT2958" s="19" t="n"/>
    </row>
    <row r="2959">
      <c r="D2959" s="21" t="n">
        <v>0</v>
      </c>
      <c r="E2959" s="21" t="n">
        <v>0</v>
      </c>
      <c r="F2959" s="21" t="n">
        <v>0</v>
      </c>
      <c r="G2959" s="21" t="n">
        <v>0</v>
      </c>
      <c r="H2959" s="21" t="n">
        <v>0</v>
      </c>
      <c r="I2959" s="21" t="n">
        <v>0</v>
      </c>
      <c r="J2959" s="21" t="n">
        <v>0</v>
      </c>
      <c r="K2959" s="21" t="n">
        <v>0</v>
      </c>
      <c r="L2959" s="21" t="n">
        <v>0</v>
      </c>
      <c r="M2959" s="21" t="n">
        <v>0</v>
      </c>
      <c r="N2959" s="21" t="n">
        <v>0</v>
      </c>
      <c r="O2959" s="21" t="n">
        <v>0</v>
      </c>
      <c r="P2959" s="21" t="n">
        <v>0</v>
      </c>
      <c r="Q2959" s="21" t="n">
        <v>0</v>
      </c>
      <c r="R2959" s="21" t="n">
        <v>0</v>
      </c>
      <c r="S2959" s="21" t="n">
        <v>0</v>
      </c>
      <c r="T2959" s="21" t="n">
        <v>0</v>
      </c>
      <c r="U2959" s="21" t="n">
        <v>0</v>
      </c>
      <c r="V2959" s="21" t="n">
        <v>0</v>
      </c>
      <c r="W2959" s="21" t="n">
        <v>0</v>
      </c>
      <c r="X2959" s="21" t="n">
        <v>0</v>
      </c>
      <c r="Y2959" s="21" t="n">
        <v>0</v>
      </c>
      <c r="Z2959" s="21" t="n">
        <v>0</v>
      </c>
      <c r="AA2959" s="21" t="n">
        <v>0</v>
      </c>
      <c r="AB2959" s="21" t="n">
        <v>0</v>
      </c>
      <c r="AC2959" s="21" t="n">
        <v>0</v>
      </c>
      <c r="AD2959" s="21" t="n">
        <v>0</v>
      </c>
      <c r="AE2959" s="21" t="n">
        <v>0</v>
      </c>
      <c r="AF2959" s="21" t="n">
        <v>0</v>
      </c>
      <c r="AG2959" s="21" t="n">
        <v>0</v>
      </c>
      <c r="AH2959" s="21">
        <f>$B$1812</f>
        <v/>
      </c>
      <c r="AI2959" s="21">
        <f>$B$1814</f>
        <v/>
      </c>
      <c r="AJ2959" s="21">
        <f>0</f>
        <v/>
      </c>
      <c r="AK2959" s="21">
        <f>2*$B$1813</f>
        <v/>
      </c>
      <c r="AL2959" s="21">
        <f>-$B$1812</f>
        <v/>
      </c>
      <c r="AM2959" s="21">
        <f>$B$1814</f>
        <v/>
      </c>
      <c r="AN2959" s="21" t="n">
        <v>0</v>
      </c>
      <c r="AO2959" s="21" t="n">
        <v>0</v>
      </c>
      <c r="AP2959" s="21" t="n">
        <v>0</v>
      </c>
      <c r="AQ2959" s="21" t="n">
        <v>0</v>
      </c>
      <c r="AR2959" s="21" t="n">
        <v>0</v>
      </c>
      <c r="AS2959" s="21" t="n">
        <v>0</v>
      </c>
      <c r="AT2959" s="19" t="n"/>
    </row>
    <row r="2960">
      <c r="D2960" s="21" t="n">
        <v>0</v>
      </c>
      <c r="E2960" s="21" t="n">
        <v>0</v>
      </c>
      <c r="F2960" s="21" t="n">
        <v>0</v>
      </c>
      <c r="G2960" s="21" t="n">
        <v>0</v>
      </c>
      <c r="H2960" s="21" t="n">
        <v>0</v>
      </c>
      <c r="I2960" s="21" t="n">
        <v>0</v>
      </c>
      <c r="J2960" s="21" t="n">
        <v>0</v>
      </c>
      <c r="K2960" s="21" t="n">
        <v>0</v>
      </c>
      <c r="L2960" s="21" t="n">
        <v>0</v>
      </c>
      <c r="M2960" s="21" t="n">
        <v>0</v>
      </c>
      <c r="N2960" s="21" t="n">
        <v>0</v>
      </c>
      <c r="O2960" s="21" t="n">
        <v>0</v>
      </c>
      <c r="P2960" s="21" t="n">
        <v>0</v>
      </c>
      <c r="Q2960" s="21" t="n">
        <v>0</v>
      </c>
      <c r="R2960" s="21" t="n">
        <v>0</v>
      </c>
      <c r="S2960" s="21" t="n">
        <v>0</v>
      </c>
      <c r="T2960" s="21" t="n">
        <v>0</v>
      </c>
      <c r="U2960" s="21" t="n">
        <v>0</v>
      </c>
      <c r="V2960" s="21" t="n">
        <v>0</v>
      </c>
      <c r="W2960" s="21" t="n">
        <v>0</v>
      </c>
      <c r="X2960" s="21" t="n">
        <v>0</v>
      </c>
      <c r="Y2960" s="21" t="n">
        <v>0</v>
      </c>
      <c r="Z2960" s="21" t="n">
        <v>0</v>
      </c>
      <c r="AA2960" s="21" t="n">
        <v>0</v>
      </c>
      <c r="AB2960" s="21" t="n">
        <v>0</v>
      </c>
      <c r="AC2960" s="21" t="n">
        <v>0</v>
      </c>
      <c r="AD2960" s="21" t="n">
        <v>0</v>
      </c>
      <c r="AE2960" s="21" t="n">
        <v>0</v>
      </c>
      <c r="AF2960" s="21" t="n">
        <v>0</v>
      </c>
      <c r="AG2960" s="21" t="n">
        <v>0</v>
      </c>
      <c r="AH2960" s="21" t="n">
        <v>0</v>
      </c>
      <c r="AI2960" s="21" t="n">
        <v>0</v>
      </c>
      <c r="AJ2960" s="21">
        <f>-$B$1811</f>
        <v/>
      </c>
      <c r="AK2960" s="21">
        <f>-$B$1812</f>
        <v/>
      </c>
      <c r="AL2960" s="21">
        <f>2*$B$1811+$D$2921</f>
        <v/>
      </c>
      <c r="AM2960" s="21">
        <f>0</f>
        <v/>
      </c>
      <c r="AN2960" s="21">
        <f>-$B$1811</f>
        <v/>
      </c>
      <c r="AO2960" s="21">
        <f>$B$1812</f>
        <v/>
      </c>
      <c r="AP2960" s="21" t="n">
        <v>0</v>
      </c>
      <c r="AQ2960" s="21" t="n">
        <v>0</v>
      </c>
      <c r="AR2960" s="21" t="n">
        <v>0</v>
      </c>
      <c r="AS2960" s="21" t="n">
        <v>0</v>
      </c>
      <c r="AT2960" s="19" t="n"/>
    </row>
    <row r="2961">
      <c r="D2961" s="21" t="n">
        <v>0</v>
      </c>
      <c r="E2961" s="21" t="n">
        <v>0</v>
      </c>
      <c r="F2961" s="21" t="n">
        <v>0</v>
      </c>
      <c r="G2961" s="21" t="n">
        <v>0</v>
      </c>
      <c r="H2961" s="21" t="n">
        <v>0</v>
      </c>
      <c r="I2961" s="21" t="n">
        <v>0</v>
      </c>
      <c r="J2961" s="21" t="n">
        <v>0</v>
      </c>
      <c r="K2961" s="21" t="n">
        <v>0</v>
      </c>
      <c r="L2961" s="21" t="n">
        <v>0</v>
      </c>
      <c r="M2961" s="21" t="n">
        <v>0</v>
      </c>
      <c r="N2961" s="21" t="n">
        <v>0</v>
      </c>
      <c r="O2961" s="21" t="n">
        <v>0</v>
      </c>
      <c r="P2961" s="21" t="n">
        <v>0</v>
      </c>
      <c r="Q2961" s="21" t="n">
        <v>0</v>
      </c>
      <c r="R2961" s="21" t="n">
        <v>0</v>
      </c>
      <c r="S2961" s="21" t="n">
        <v>0</v>
      </c>
      <c r="T2961" s="21" t="n">
        <v>0</v>
      </c>
      <c r="U2961" s="21" t="n">
        <v>0</v>
      </c>
      <c r="V2961" s="21" t="n">
        <v>0</v>
      </c>
      <c r="W2961" s="21" t="n">
        <v>0</v>
      </c>
      <c r="X2961" s="21" t="n">
        <v>0</v>
      </c>
      <c r="Y2961" s="21" t="n">
        <v>0</v>
      </c>
      <c r="Z2961" s="21" t="n">
        <v>0</v>
      </c>
      <c r="AA2961" s="21" t="n">
        <v>0</v>
      </c>
      <c r="AB2961" s="21" t="n">
        <v>0</v>
      </c>
      <c r="AC2961" s="21" t="n">
        <v>0</v>
      </c>
      <c r="AD2961" s="21" t="n">
        <v>0</v>
      </c>
      <c r="AE2961" s="21" t="n">
        <v>0</v>
      </c>
      <c r="AF2961" s="21" t="n">
        <v>0</v>
      </c>
      <c r="AG2961" s="21" t="n">
        <v>0</v>
      </c>
      <c r="AH2961" s="21" t="n">
        <v>0</v>
      </c>
      <c r="AI2961" s="21" t="n">
        <v>0</v>
      </c>
      <c r="AJ2961" s="21">
        <f>$B$1812</f>
        <v/>
      </c>
      <c r="AK2961" s="21">
        <f>$B$1814</f>
        <v/>
      </c>
      <c r="AL2961" s="21">
        <f>0</f>
        <v/>
      </c>
      <c r="AM2961" s="21">
        <f>2*$B$1813</f>
        <v/>
      </c>
      <c r="AN2961" s="21">
        <f>-$B$1812</f>
        <v/>
      </c>
      <c r="AO2961" s="21">
        <f>$B$1814</f>
        <v/>
      </c>
      <c r="AP2961" s="21" t="n">
        <v>0</v>
      </c>
      <c r="AQ2961" s="21" t="n">
        <v>0</v>
      </c>
      <c r="AR2961" s="21" t="n">
        <v>0</v>
      </c>
      <c r="AS2961" s="21" t="n">
        <v>0</v>
      </c>
      <c r="AT2961" s="19" t="n"/>
    </row>
    <row r="2962">
      <c r="D2962" s="21" t="n">
        <v>0</v>
      </c>
      <c r="E2962" s="21" t="n">
        <v>0</v>
      </c>
      <c r="F2962" s="21" t="n">
        <v>0</v>
      </c>
      <c r="G2962" s="21" t="n">
        <v>0</v>
      </c>
      <c r="H2962" s="21" t="n">
        <v>0</v>
      </c>
      <c r="I2962" s="21" t="n">
        <v>0</v>
      </c>
      <c r="J2962" s="21" t="n">
        <v>0</v>
      </c>
      <c r="K2962" s="21" t="n">
        <v>0</v>
      </c>
      <c r="L2962" s="21" t="n">
        <v>0</v>
      </c>
      <c r="M2962" s="21" t="n">
        <v>0</v>
      </c>
      <c r="N2962" s="21" t="n">
        <v>0</v>
      </c>
      <c r="O2962" s="21" t="n">
        <v>0</v>
      </c>
      <c r="P2962" s="21" t="n">
        <v>0</v>
      </c>
      <c r="Q2962" s="21" t="n">
        <v>0</v>
      </c>
      <c r="R2962" s="21" t="n">
        <v>0</v>
      </c>
      <c r="S2962" s="21" t="n">
        <v>0</v>
      </c>
      <c r="T2962" s="21" t="n">
        <v>0</v>
      </c>
      <c r="U2962" s="21" t="n">
        <v>0</v>
      </c>
      <c r="V2962" s="21" t="n">
        <v>0</v>
      </c>
      <c r="W2962" s="21" t="n">
        <v>0</v>
      </c>
      <c r="X2962" s="21" t="n">
        <v>0</v>
      </c>
      <c r="Y2962" s="21" t="n">
        <v>0</v>
      </c>
      <c r="Z2962" s="21" t="n">
        <v>0</v>
      </c>
      <c r="AA2962" s="21" t="n">
        <v>0</v>
      </c>
      <c r="AB2962" s="21" t="n">
        <v>0</v>
      </c>
      <c r="AC2962" s="21" t="n">
        <v>0</v>
      </c>
      <c r="AD2962" s="21" t="n">
        <v>0</v>
      </c>
      <c r="AE2962" s="21" t="n">
        <v>0</v>
      </c>
      <c r="AF2962" s="21" t="n">
        <v>0</v>
      </c>
      <c r="AG2962" s="21" t="n">
        <v>0</v>
      </c>
      <c r="AH2962" s="21" t="n">
        <v>0</v>
      </c>
      <c r="AI2962" s="21" t="n">
        <v>0</v>
      </c>
      <c r="AJ2962" s="21" t="n">
        <v>0</v>
      </c>
      <c r="AK2962" s="21" t="n">
        <v>0</v>
      </c>
      <c r="AL2962" s="21">
        <f>-$B$1811</f>
        <v/>
      </c>
      <c r="AM2962" s="21">
        <f>-$B$1812</f>
        <v/>
      </c>
      <c r="AN2962" s="21">
        <f>2*$B$1811+$D$2922</f>
        <v/>
      </c>
      <c r="AO2962" s="21">
        <f>0</f>
        <v/>
      </c>
      <c r="AP2962" s="21">
        <f>-$B$1811</f>
        <v/>
      </c>
      <c r="AQ2962" s="21">
        <f>$B$1812</f>
        <v/>
      </c>
      <c r="AR2962" s="21" t="n">
        <v>0</v>
      </c>
      <c r="AS2962" s="21" t="n">
        <v>0</v>
      </c>
      <c r="AT2962" s="19" t="n"/>
    </row>
    <row r="2963">
      <c r="D2963" s="21" t="n">
        <v>0</v>
      </c>
      <c r="E2963" s="21" t="n">
        <v>0</v>
      </c>
      <c r="F2963" s="21" t="n">
        <v>0</v>
      </c>
      <c r="G2963" s="21" t="n">
        <v>0</v>
      </c>
      <c r="H2963" s="21" t="n">
        <v>0</v>
      </c>
      <c r="I2963" s="21" t="n">
        <v>0</v>
      </c>
      <c r="J2963" s="21" t="n">
        <v>0</v>
      </c>
      <c r="K2963" s="21" t="n">
        <v>0</v>
      </c>
      <c r="L2963" s="21" t="n">
        <v>0</v>
      </c>
      <c r="M2963" s="21" t="n">
        <v>0</v>
      </c>
      <c r="N2963" s="21" t="n">
        <v>0</v>
      </c>
      <c r="O2963" s="21" t="n">
        <v>0</v>
      </c>
      <c r="P2963" s="21" t="n">
        <v>0</v>
      </c>
      <c r="Q2963" s="21" t="n">
        <v>0</v>
      </c>
      <c r="R2963" s="21" t="n">
        <v>0</v>
      </c>
      <c r="S2963" s="21" t="n">
        <v>0</v>
      </c>
      <c r="T2963" s="21" t="n">
        <v>0</v>
      </c>
      <c r="U2963" s="21" t="n">
        <v>0</v>
      </c>
      <c r="V2963" s="21" t="n">
        <v>0</v>
      </c>
      <c r="W2963" s="21" t="n">
        <v>0</v>
      </c>
      <c r="X2963" s="21" t="n">
        <v>0</v>
      </c>
      <c r="Y2963" s="21" t="n">
        <v>0</v>
      </c>
      <c r="Z2963" s="21" t="n">
        <v>0</v>
      </c>
      <c r="AA2963" s="21" t="n">
        <v>0</v>
      </c>
      <c r="AB2963" s="21" t="n">
        <v>0</v>
      </c>
      <c r="AC2963" s="21" t="n">
        <v>0</v>
      </c>
      <c r="AD2963" s="21" t="n">
        <v>0</v>
      </c>
      <c r="AE2963" s="21" t="n">
        <v>0</v>
      </c>
      <c r="AF2963" s="21" t="n">
        <v>0</v>
      </c>
      <c r="AG2963" s="21" t="n">
        <v>0</v>
      </c>
      <c r="AH2963" s="21" t="n">
        <v>0</v>
      </c>
      <c r="AI2963" s="21" t="n">
        <v>0</v>
      </c>
      <c r="AJ2963" s="21" t="n">
        <v>0</v>
      </c>
      <c r="AK2963" s="21" t="n">
        <v>0</v>
      </c>
      <c r="AL2963" s="21">
        <f>$B$1812</f>
        <v/>
      </c>
      <c r="AM2963" s="21">
        <f>$B$1814</f>
        <v/>
      </c>
      <c r="AN2963" s="21">
        <f>0</f>
        <v/>
      </c>
      <c r="AO2963" s="21">
        <f>2*$B$1813</f>
        <v/>
      </c>
      <c r="AP2963" s="21">
        <f>-$B$1812</f>
        <v/>
      </c>
      <c r="AQ2963" s="21">
        <f>$B$1814</f>
        <v/>
      </c>
      <c r="AR2963" s="21" t="n">
        <v>0</v>
      </c>
      <c r="AS2963" s="21" t="n">
        <v>0</v>
      </c>
      <c r="AT2963" s="19" t="n"/>
    </row>
    <row r="2964">
      <c r="D2964" s="21" t="n">
        <v>0</v>
      </c>
      <c r="E2964" s="21" t="n">
        <v>0</v>
      </c>
      <c r="F2964" s="21" t="n">
        <v>0</v>
      </c>
      <c r="G2964" s="21" t="n">
        <v>0</v>
      </c>
      <c r="H2964" s="21" t="n">
        <v>0</v>
      </c>
      <c r="I2964" s="21" t="n">
        <v>0</v>
      </c>
      <c r="J2964" s="21" t="n">
        <v>0</v>
      </c>
      <c r="K2964" s="21" t="n">
        <v>0</v>
      </c>
      <c r="L2964" s="21" t="n">
        <v>0</v>
      </c>
      <c r="M2964" s="21" t="n">
        <v>0</v>
      </c>
      <c r="N2964" s="21" t="n">
        <v>0</v>
      </c>
      <c r="O2964" s="21" t="n">
        <v>0</v>
      </c>
      <c r="P2964" s="21" t="n">
        <v>0</v>
      </c>
      <c r="Q2964" s="21" t="n">
        <v>0</v>
      </c>
      <c r="R2964" s="21" t="n">
        <v>0</v>
      </c>
      <c r="S2964" s="21" t="n">
        <v>0</v>
      </c>
      <c r="T2964" s="21" t="n">
        <v>0</v>
      </c>
      <c r="U2964" s="21" t="n">
        <v>0</v>
      </c>
      <c r="V2964" s="21" t="n">
        <v>0</v>
      </c>
      <c r="W2964" s="21" t="n">
        <v>0</v>
      </c>
      <c r="X2964" s="21" t="n">
        <v>0</v>
      </c>
      <c r="Y2964" s="21" t="n">
        <v>0</v>
      </c>
      <c r="Z2964" s="21" t="n">
        <v>0</v>
      </c>
      <c r="AA2964" s="21" t="n">
        <v>0</v>
      </c>
      <c r="AB2964" s="21" t="n">
        <v>0</v>
      </c>
      <c r="AC2964" s="21" t="n">
        <v>0</v>
      </c>
      <c r="AD2964" s="21" t="n">
        <v>0</v>
      </c>
      <c r="AE2964" s="21" t="n">
        <v>0</v>
      </c>
      <c r="AF2964" s="21" t="n">
        <v>0</v>
      </c>
      <c r="AG2964" s="21" t="n">
        <v>0</v>
      </c>
      <c r="AH2964" s="21" t="n">
        <v>0</v>
      </c>
      <c r="AI2964" s="21" t="n">
        <v>0</v>
      </c>
      <c r="AJ2964" s="21" t="n">
        <v>0</v>
      </c>
      <c r="AK2964" s="21" t="n">
        <v>0</v>
      </c>
      <c r="AL2964" s="21" t="n">
        <v>0</v>
      </c>
      <c r="AM2964" s="21" t="n">
        <v>0</v>
      </c>
      <c r="AN2964" s="21">
        <f>-$B$1811</f>
        <v/>
      </c>
      <c r="AO2964" s="21">
        <f>-$B$1812</f>
        <v/>
      </c>
      <c r="AP2964" s="21">
        <f>2*$B$1811+$D$2923</f>
        <v/>
      </c>
      <c r="AQ2964" s="21">
        <f>0</f>
        <v/>
      </c>
      <c r="AR2964" s="21">
        <f>-$B$1811</f>
        <v/>
      </c>
      <c r="AS2964" s="21">
        <f>$B$1812</f>
        <v/>
      </c>
      <c r="AT2964" s="19" t="n"/>
    </row>
    <row r="2965">
      <c r="D2965" s="21" t="n">
        <v>0</v>
      </c>
      <c r="E2965" s="21" t="n">
        <v>0</v>
      </c>
      <c r="F2965" s="21" t="n">
        <v>0</v>
      </c>
      <c r="G2965" s="21" t="n">
        <v>0</v>
      </c>
      <c r="H2965" s="21" t="n">
        <v>0</v>
      </c>
      <c r="I2965" s="21" t="n">
        <v>0</v>
      </c>
      <c r="J2965" s="21" t="n">
        <v>0</v>
      </c>
      <c r="K2965" s="21" t="n">
        <v>0</v>
      </c>
      <c r="L2965" s="21" t="n">
        <v>0</v>
      </c>
      <c r="M2965" s="21" t="n">
        <v>0</v>
      </c>
      <c r="N2965" s="21" t="n">
        <v>0</v>
      </c>
      <c r="O2965" s="21" t="n">
        <v>0</v>
      </c>
      <c r="P2965" s="21" t="n">
        <v>0</v>
      </c>
      <c r="Q2965" s="21" t="n">
        <v>0</v>
      </c>
      <c r="R2965" s="21" t="n">
        <v>0</v>
      </c>
      <c r="S2965" s="21" t="n">
        <v>0</v>
      </c>
      <c r="T2965" s="21" t="n">
        <v>0</v>
      </c>
      <c r="U2965" s="21" t="n">
        <v>0</v>
      </c>
      <c r="V2965" s="21" t="n">
        <v>0</v>
      </c>
      <c r="W2965" s="21" t="n">
        <v>0</v>
      </c>
      <c r="X2965" s="21" t="n">
        <v>0</v>
      </c>
      <c r="Y2965" s="21" t="n">
        <v>0</v>
      </c>
      <c r="Z2965" s="21" t="n">
        <v>0</v>
      </c>
      <c r="AA2965" s="21" t="n">
        <v>0</v>
      </c>
      <c r="AB2965" s="21" t="n">
        <v>0</v>
      </c>
      <c r="AC2965" s="21" t="n">
        <v>0</v>
      </c>
      <c r="AD2965" s="21" t="n">
        <v>0</v>
      </c>
      <c r="AE2965" s="21" t="n">
        <v>0</v>
      </c>
      <c r="AF2965" s="21" t="n">
        <v>0</v>
      </c>
      <c r="AG2965" s="21" t="n">
        <v>0</v>
      </c>
      <c r="AH2965" s="21" t="n">
        <v>0</v>
      </c>
      <c r="AI2965" s="21" t="n">
        <v>0</v>
      </c>
      <c r="AJ2965" s="21" t="n">
        <v>0</v>
      </c>
      <c r="AK2965" s="21" t="n">
        <v>0</v>
      </c>
      <c r="AL2965" s="21" t="n">
        <v>0</v>
      </c>
      <c r="AM2965" s="21" t="n">
        <v>0</v>
      </c>
      <c r="AN2965" s="21">
        <f>$B$1812</f>
        <v/>
      </c>
      <c r="AO2965" s="21">
        <f>$B$1814</f>
        <v/>
      </c>
      <c r="AP2965" s="21">
        <f>0</f>
        <v/>
      </c>
      <c r="AQ2965" s="21">
        <f>2*$B$1813</f>
        <v/>
      </c>
      <c r="AR2965" s="21">
        <f>-$B$1812</f>
        <v/>
      </c>
      <c r="AS2965" s="21">
        <f>$B$1814</f>
        <v/>
      </c>
      <c r="AT2965" s="19" t="n"/>
    </row>
    <row r="2966">
      <c r="D2966" s="21" t="n">
        <v>0</v>
      </c>
      <c r="E2966" s="21" t="n">
        <v>0</v>
      </c>
      <c r="F2966" s="21" t="n">
        <v>0</v>
      </c>
      <c r="G2966" s="21" t="n">
        <v>0</v>
      </c>
      <c r="H2966" s="21" t="n">
        <v>0</v>
      </c>
      <c r="I2966" s="21" t="n">
        <v>0</v>
      </c>
      <c r="J2966" s="21" t="n">
        <v>0</v>
      </c>
      <c r="K2966" s="21" t="n">
        <v>0</v>
      </c>
      <c r="L2966" s="21" t="n">
        <v>0</v>
      </c>
      <c r="M2966" s="21" t="n">
        <v>0</v>
      </c>
      <c r="N2966" s="21" t="n">
        <v>0</v>
      </c>
      <c r="O2966" s="21" t="n">
        <v>0</v>
      </c>
      <c r="P2966" s="21" t="n">
        <v>0</v>
      </c>
      <c r="Q2966" s="21" t="n">
        <v>0</v>
      </c>
      <c r="R2966" s="21" t="n">
        <v>0</v>
      </c>
      <c r="S2966" s="21" t="n">
        <v>0</v>
      </c>
      <c r="T2966" s="21" t="n">
        <v>0</v>
      </c>
      <c r="U2966" s="21" t="n">
        <v>0</v>
      </c>
      <c r="V2966" s="21" t="n">
        <v>0</v>
      </c>
      <c r="W2966" s="21" t="n">
        <v>0</v>
      </c>
      <c r="X2966" s="21" t="n">
        <v>0</v>
      </c>
      <c r="Y2966" s="21" t="n">
        <v>0</v>
      </c>
      <c r="Z2966" s="21" t="n">
        <v>0</v>
      </c>
      <c r="AA2966" s="21" t="n">
        <v>0</v>
      </c>
      <c r="AB2966" s="21" t="n">
        <v>0</v>
      </c>
      <c r="AC2966" s="21" t="n">
        <v>0</v>
      </c>
      <c r="AD2966" s="21" t="n">
        <v>0</v>
      </c>
      <c r="AE2966" s="21" t="n">
        <v>0</v>
      </c>
      <c r="AF2966" s="21" t="n">
        <v>0</v>
      </c>
      <c r="AG2966" s="21" t="n">
        <v>0</v>
      </c>
      <c r="AH2966" s="21" t="n">
        <v>0</v>
      </c>
      <c r="AI2966" s="21" t="n">
        <v>0</v>
      </c>
      <c r="AJ2966" s="21" t="n">
        <v>0</v>
      </c>
      <c r="AK2966" s="21" t="n">
        <v>0</v>
      </c>
      <c r="AL2966" s="21" t="n">
        <v>0</v>
      </c>
      <c r="AM2966" s="21" t="n">
        <v>0</v>
      </c>
      <c r="AN2966" s="21" t="n">
        <v>0</v>
      </c>
      <c r="AO2966" s="21" t="n">
        <v>0</v>
      </c>
      <c r="AP2966" s="21">
        <f>-$B$1811</f>
        <v/>
      </c>
      <c r="AQ2966" s="21">
        <f>-$B$1812</f>
        <v/>
      </c>
      <c r="AR2966" s="21">
        <f>$B$1811+$D$2924</f>
        <v/>
      </c>
      <c r="AS2966" s="21">
        <f>-$B$1812</f>
        <v/>
      </c>
      <c r="AT2966" s="19" t="n"/>
    </row>
    <row r="2967">
      <c r="D2967" s="21" t="n">
        <v>0</v>
      </c>
      <c r="E2967" s="21" t="n">
        <v>0</v>
      </c>
      <c r="F2967" s="21" t="n">
        <v>0</v>
      </c>
      <c r="G2967" s="21" t="n">
        <v>0</v>
      </c>
      <c r="H2967" s="21" t="n">
        <v>0</v>
      </c>
      <c r="I2967" s="21" t="n">
        <v>0</v>
      </c>
      <c r="J2967" s="21" t="n">
        <v>0</v>
      </c>
      <c r="K2967" s="21" t="n">
        <v>0</v>
      </c>
      <c r="L2967" s="21" t="n">
        <v>0</v>
      </c>
      <c r="M2967" s="21" t="n">
        <v>0</v>
      </c>
      <c r="N2967" s="21" t="n">
        <v>0</v>
      </c>
      <c r="O2967" s="21" t="n">
        <v>0</v>
      </c>
      <c r="P2967" s="21" t="n">
        <v>0</v>
      </c>
      <c r="Q2967" s="21" t="n">
        <v>0</v>
      </c>
      <c r="R2967" s="21" t="n">
        <v>0</v>
      </c>
      <c r="S2967" s="21" t="n">
        <v>0</v>
      </c>
      <c r="T2967" s="21" t="n">
        <v>0</v>
      </c>
      <c r="U2967" s="21" t="n">
        <v>0</v>
      </c>
      <c r="V2967" s="21" t="n">
        <v>0</v>
      </c>
      <c r="W2967" s="21" t="n">
        <v>0</v>
      </c>
      <c r="X2967" s="21" t="n">
        <v>0</v>
      </c>
      <c r="Y2967" s="21" t="n">
        <v>0</v>
      </c>
      <c r="Z2967" s="21" t="n">
        <v>0</v>
      </c>
      <c r="AA2967" s="21" t="n">
        <v>0</v>
      </c>
      <c r="AB2967" s="21" t="n">
        <v>0</v>
      </c>
      <c r="AC2967" s="21" t="n">
        <v>0</v>
      </c>
      <c r="AD2967" s="21" t="n">
        <v>0</v>
      </c>
      <c r="AE2967" s="21" t="n">
        <v>0</v>
      </c>
      <c r="AF2967" s="21" t="n">
        <v>0</v>
      </c>
      <c r="AG2967" s="21" t="n">
        <v>0</v>
      </c>
      <c r="AH2967" s="21" t="n">
        <v>0</v>
      </c>
      <c r="AI2967" s="21" t="n">
        <v>0</v>
      </c>
      <c r="AJ2967" s="21" t="n">
        <v>0</v>
      </c>
      <c r="AK2967" s="21" t="n">
        <v>0</v>
      </c>
      <c r="AL2967" s="21" t="n">
        <v>0</v>
      </c>
      <c r="AM2967" s="21" t="n">
        <v>0</v>
      </c>
      <c r="AN2967" s="21" t="n">
        <v>0</v>
      </c>
      <c r="AO2967" s="21" t="n">
        <v>0</v>
      </c>
      <c r="AP2967" s="21">
        <f>$B$1812</f>
        <v/>
      </c>
      <c r="AQ2967" s="21">
        <f>$B$1814</f>
        <v/>
      </c>
      <c r="AR2967" s="21">
        <f>-$B$1812</f>
        <v/>
      </c>
      <c r="AS2967" s="21">
        <f>$B$1813</f>
        <v/>
      </c>
      <c r="AT2967" s="19" t="n"/>
    </row>
    <row r="2969">
      <c r="A2969" s="8" t="inlineStr">
        <is>
          <t>gen 17</t>
        </is>
      </c>
    </row>
    <row r="2970">
      <c r="D2970" s="19">
        <f>IF(ABS(IF(ABS($E$2904)&gt;0.000000001,$E$2904,0.000000001))=0,0,IF($E$1826&lt;=$B$1820,0,IF(ABS(IF(ABS($E$2904)&gt;0.000000001,$E$2904,0.000000001))&gt;=8*$B$1822,$H$1826,0.5*$H$1826*(ABS(IF(ABS($E$2904)&gt;0.000000001,$E$2904,0.000000001))/$B$1822)^(1/3)))/ABS(IF(ABS($E$2904)&gt;0.000000001,$E$2904,0.000000001))*$I$1826)</f>
        <v/>
      </c>
      <c r="E2970" s="19">
        <f>0.5*$E$2904+0.5*$AT$2992</f>
        <v/>
      </c>
      <c r="F2970" s="19">
        <f>$AT$2993</f>
        <v/>
      </c>
    </row>
    <row r="2971">
      <c r="D2971" s="19">
        <f>IF(ABS(IF(ABS($E$2905)&gt;0.000000001,$E$2905,0.000000001))=0,0,IF($E$1827&lt;=$B$1820,0,IF(ABS(IF(ABS($E$2905)&gt;0.000000001,$E$2905,0.000000001))&gt;=8*$B$1822,$H$1827,0.5*$H$1827*(ABS(IF(ABS($E$2905)&gt;0.000000001,$E$2905,0.000000001))/$B$1822)^(1/3)))/ABS(IF(ABS($E$2905)&gt;0.000000001,$E$2905,0.000000001))*$I$1827)</f>
        <v/>
      </c>
      <c r="E2971" s="19">
        <f>0.5*$E$2905+0.5*$AT$2994</f>
        <v/>
      </c>
      <c r="F2971" s="19">
        <f>$AT$2995</f>
        <v/>
      </c>
    </row>
    <row r="2972">
      <c r="D2972" s="19">
        <f>IF(ABS(IF(ABS($E$2906)&gt;0.000000001,$E$2906,0.000000001))=0,0,IF($E$1828&lt;=$B$1820,0,IF(ABS(IF(ABS($E$2906)&gt;0.000000001,$E$2906,0.000000001))&gt;=8*$B$1822,$H$1828,0.5*$H$1828*(ABS(IF(ABS($E$2906)&gt;0.000000001,$E$2906,0.000000001))/$B$1822)^(1/3)))/ABS(IF(ABS($E$2906)&gt;0.000000001,$E$2906,0.000000001))*$I$1828)</f>
        <v/>
      </c>
      <c r="E2972" s="19">
        <f>0.5*$E$2906+0.5*$AT$2996</f>
        <v/>
      </c>
      <c r="F2972" s="19">
        <f>$AT$2997</f>
        <v/>
      </c>
    </row>
    <row r="2973">
      <c r="D2973" s="19">
        <f>IF(ABS(IF(ABS($E$2907)&gt;0.000000001,$E$2907,0.000000001))=0,0,IF($E$1829&lt;=$B$1820,0,IF(ABS(IF(ABS($E$2907)&gt;0.000000001,$E$2907,0.000000001))&gt;=8*$B$1822,$H$1829,0.5*$H$1829*(ABS(IF(ABS($E$2907)&gt;0.000000001,$E$2907,0.000000001))/$B$1822)^(1/3)))/ABS(IF(ABS($E$2907)&gt;0.000000001,$E$2907,0.000000001))*$I$1829)</f>
        <v/>
      </c>
      <c r="E2973" s="19">
        <f>0.5*$E$2907+0.5*$AT$2998</f>
        <v/>
      </c>
      <c r="F2973" s="19">
        <f>$AT$2999</f>
        <v/>
      </c>
    </row>
    <row r="2974">
      <c r="D2974" s="19">
        <f>IF(ABS(IF(ABS($E$2908)&gt;0.000000001,$E$2908,0.000000001))=0,0,IF($E$1830&lt;=$B$1820,0,IF(ABS(IF(ABS($E$2908)&gt;0.000000001,$E$2908,0.000000001))&gt;=8*$B$1822,$H$1830,0.5*$H$1830*(ABS(IF(ABS($E$2908)&gt;0.000000001,$E$2908,0.000000001))/$B$1822)^(1/3)))/ABS(IF(ABS($E$2908)&gt;0.000000001,$E$2908,0.000000001))*$I$1830)</f>
        <v/>
      </c>
      <c r="E2974" s="19">
        <f>0.5*$E$2908+0.5*$AT$3000</f>
        <v/>
      </c>
      <c r="F2974" s="19">
        <f>$AT$3001</f>
        <v/>
      </c>
    </row>
    <row r="2975">
      <c r="D2975" s="19">
        <f>IF(ABS(IF(ABS($E$2909)&gt;0.000000001,$E$2909,0.000000001))=0,0,IF($E$1831&lt;=$B$1820,0,IF(ABS(IF(ABS($E$2909)&gt;0.000000001,$E$2909,0.000000001))&gt;=8*$B$1822,$H$1831,0.5*$H$1831*(ABS(IF(ABS($E$2909)&gt;0.000000001,$E$2909,0.000000001))/$B$1822)^(1/3)))/ABS(IF(ABS($E$2909)&gt;0.000000001,$E$2909,0.000000001))*$I$1831)</f>
        <v/>
      </c>
      <c r="E2975" s="19">
        <f>0.5*$E$2909+0.5*$AT$3002</f>
        <v/>
      </c>
      <c r="F2975" s="19">
        <f>$AT$3003</f>
        <v/>
      </c>
    </row>
    <row r="2976">
      <c r="D2976" s="19">
        <f>IF(ABS(IF(ABS($E$2910)&gt;0.000000001,$E$2910,0.000000001))=0,0,IF($E$1832&lt;=$B$1820,0,IF(ABS(IF(ABS($E$2910)&gt;0.000000001,$E$2910,0.000000001))&gt;=8*$B$1822,$H$1832,0.5*$H$1832*(ABS(IF(ABS($E$2910)&gt;0.000000001,$E$2910,0.000000001))/$B$1822)^(1/3)))/ABS(IF(ABS($E$2910)&gt;0.000000001,$E$2910,0.000000001))*$I$1832)</f>
        <v/>
      </c>
      <c r="E2976" s="19">
        <f>0.5*$E$2910+0.5*$AT$3004</f>
        <v/>
      </c>
      <c r="F2976" s="19">
        <f>$AT$3005</f>
        <v/>
      </c>
    </row>
    <row r="2977">
      <c r="D2977" s="19">
        <f>IF(ABS(IF(ABS($E$2911)&gt;0.000000001,$E$2911,0.000000001))=0,0,IF($E$1833&lt;=$B$1820,0,IF(ABS(IF(ABS($E$2911)&gt;0.000000001,$E$2911,0.000000001))&gt;=8*$B$1822,$H$1833,0.5*$H$1833*(ABS(IF(ABS($E$2911)&gt;0.000000001,$E$2911,0.000000001))/$B$1822)^(1/3)))/ABS(IF(ABS($E$2911)&gt;0.000000001,$E$2911,0.000000001))*$I$1833)</f>
        <v/>
      </c>
      <c r="E2977" s="19">
        <f>0.5*$E$2911+0.5*$AT$3006</f>
        <v/>
      </c>
      <c r="F2977" s="19">
        <f>$AT$3007</f>
        <v/>
      </c>
    </row>
    <row r="2978">
      <c r="D2978" s="19">
        <f>IF(ABS(IF(ABS($E$2912)&gt;0.000000001,$E$2912,0.000000001))=0,0,IF($E$1834&lt;=$B$1820,0,IF(ABS(IF(ABS($E$2912)&gt;0.000000001,$E$2912,0.000000001))&gt;=8*$B$1822,$H$1834,0.5*$H$1834*(ABS(IF(ABS($E$2912)&gt;0.000000001,$E$2912,0.000000001))/$B$1822)^(1/3)))/ABS(IF(ABS($E$2912)&gt;0.000000001,$E$2912,0.000000001))*$I$1834)</f>
        <v/>
      </c>
      <c r="E2978" s="19">
        <f>0.5*$E$2912+0.5*$AT$3008</f>
        <v/>
      </c>
      <c r="F2978" s="19">
        <f>$AT$3009</f>
        <v/>
      </c>
    </row>
    <row r="2979">
      <c r="D2979" s="19">
        <f>IF(ABS(IF(ABS($E$2913)&gt;0.000000001,$E$2913,0.000000001))=0,0,IF($E$1835&lt;=$B$1820,0,IF(ABS(IF(ABS($E$2913)&gt;0.000000001,$E$2913,0.000000001))&gt;=8*$B$1822,$H$1835,0.5*$H$1835*(ABS(IF(ABS($E$2913)&gt;0.000000001,$E$2913,0.000000001))/$B$1822)^(1/3)))/ABS(IF(ABS($E$2913)&gt;0.000000001,$E$2913,0.000000001))*$I$1835)</f>
        <v/>
      </c>
      <c r="E2979" s="19">
        <f>0.5*$E$2913+0.5*$AT$3010</f>
        <v/>
      </c>
      <c r="F2979" s="19">
        <f>$AT$3011</f>
        <v/>
      </c>
    </row>
    <row r="2980">
      <c r="D2980" s="19">
        <f>IF(ABS(IF(ABS($E$2914)&gt;0.000000001,$E$2914,0.000000001))=0,0,IF($E$1836&lt;=$B$1820,0,IF(ABS(IF(ABS($E$2914)&gt;0.000000001,$E$2914,0.000000001))&gt;=8*$B$1822,$H$1836,0.5*$H$1836*(ABS(IF(ABS($E$2914)&gt;0.000000001,$E$2914,0.000000001))/$B$1822)^(1/3)))/ABS(IF(ABS($E$2914)&gt;0.000000001,$E$2914,0.000000001))*$I$1836)</f>
        <v/>
      </c>
      <c r="E2980" s="19">
        <f>0.5*$E$2914+0.5*$AT$3012</f>
        <v/>
      </c>
      <c r="F2980" s="19">
        <f>$AT$3013</f>
        <v/>
      </c>
    </row>
    <row r="2981">
      <c r="D2981" s="19">
        <f>IF(ABS(IF(ABS($E$2915)&gt;0.000000001,$E$2915,0.000000001))=0,0,IF($E$1837&lt;=$B$1820,0,IF(ABS(IF(ABS($E$2915)&gt;0.000000001,$E$2915,0.000000001))&gt;=8*$B$1822,$H$1837,0.5*$H$1837*(ABS(IF(ABS($E$2915)&gt;0.000000001,$E$2915,0.000000001))/$B$1822)^(1/3)))/ABS(IF(ABS($E$2915)&gt;0.000000001,$E$2915,0.000000001))*$I$1837)</f>
        <v/>
      </c>
      <c r="E2981" s="19">
        <f>0.5*$E$2915+0.5*$AT$3014</f>
        <v/>
      </c>
      <c r="F2981" s="19">
        <f>$AT$3015</f>
        <v/>
      </c>
    </row>
    <row r="2982">
      <c r="D2982" s="19">
        <f>IF(ABS(IF(ABS($E$2916)&gt;0.000000001,$E$2916,0.000000001))=0,0,IF($E$1838&lt;=$B$1820,0,IF(ABS(IF(ABS($E$2916)&gt;0.000000001,$E$2916,0.000000001))&gt;=8*$B$1822,$H$1838,0.5*$H$1838*(ABS(IF(ABS($E$2916)&gt;0.000000001,$E$2916,0.000000001))/$B$1822)^(1/3)))/ABS(IF(ABS($E$2916)&gt;0.000000001,$E$2916,0.000000001))*$I$1838)</f>
        <v/>
      </c>
      <c r="E2982" s="19">
        <f>0.5*$E$2916+0.5*$AT$3016</f>
        <v/>
      </c>
      <c r="F2982" s="19">
        <f>$AT$3017</f>
        <v/>
      </c>
    </row>
    <row r="2983">
      <c r="D2983" s="19">
        <f>IF(ABS(IF(ABS($E$2917)&gt;0.000000001,$E$2917,0.000000001))=0,0,IF($E$1839&lt;=$B$1820,0,IF(ABS(IF(ABS($E$2917)&gt;0.000000001,$E$2917,0.000000001))&gt;=8*$B$1822,$H$1839,0.5*$H$1839*(ABS(IF(ABS($E$2917)&gt;0.000000001,$E$2917,0.000000001))/$B$1822)^(1/3)))/ABS(IF(ABS($E$2917)&gt;0.000000001,$E$2917,0.000000001))*$I$1839)</f>
        <v/>
      </c>
      <c r="E2983" s="19">
        <f>0.5*$E$2917+0.5*$AT$3018</f>
        <v/>
      </c>
      <c r="F2983" s="19">
        <f>$AT$3019</f>
        <v/>
      </c>
    </row>
    <row r="2984">
      <c r="D2984" s="19">
        <f>IF(ABS(IF(ABS($E$2918)&gt;0.000000001,$E$2918,0.000000001))=0,0,IF($E$1840&lt;=$B$1820,0,IF(ABS(IF(ABS($E$2918)&gt;0.000000001,$E$2918,0.000000001))&gt;=8*$B$1822,$H$1840,0.5*$H$1840*(ABS(IF(ABS($E$2918)&gt;0.000000001,$E$2918,0.000000001))/$B$1822)^(1/3)))/ABS(IF(ABS($E$2918)&gt;0.000000001,$E$2918,0.000000001))*$I$1840)</f>
        <v/>
      </c>
      <c r="E2984" s="19">
        <f>0.5*$E$2918+0.5*$AT$3020</f>
        <v/>
      </c>
      <c r="F2984" s="19">
        <f>$AT$3021</f>
        <v/>
      </c>
    </row>
    <row r="2985">
      <c r="D2985" s="19">
        <f>IF(ABS(IF(ABS($E$2919)&gt;0.000000001,$E$2919,0.000000001))=0,0,IF($E$1841&lt;=$B$1820,0,IF(ABS(IF(ABS($E$2919)&gt;0.000000001,$E$2919,0.000000001))&gt;=8*$B$1822,$H$1841,0.5*$H$1841*(ABS(IF(ABS($E$2919)&gt;0.000000001,$E$2919,0.000000001))/$B$1822)^(1/3)))/ABS(IF(ABS($E$2919)&gt;0.000000001,$E$2919,0.000000001))*$I$1841)</f>
        <v/>
      </c>
      <c r="E2985" s="19">
        <f>0.5*$E$2919+0.5*$AT$3022</f>
        <v/>
      </c>
      <c r="F2985" s="19">
        <f>$AT$3023</f>
        <v/>
      </c>
    </row>
    <row r="2986">
      <c r="D2986" s="19">
        <f>IF(ABS(IF(ABS($E$2920)&gt;0.000000001,$E$2920,0.000000001))=0,0,IF($E$1842&lt;=$B$1820,0,IF(ABS(IF(ABS($E$2920)&gt;0.000000001,$E$2920,0.000000001))&gt;=8*$B$1822,$H$1842,0.5*$H$1842*(ABS(IF(ABS($E$2920)&gt;0.000000001,$E$2920,0.000000001))/$B$1822)^(1/3)))/ABS(IF(ABS($E$2920)&gt;0.000000001,$E$2920,0.000000001))*$I$1842)</f>
        <v/>
      </c>
      <c r="E2986" s="19">
        <f>0.5*$E$2920+0.5*$AT$3024</f>
        <v/>
      </c>
      <c r="F2986" s="19">
        <f>$AT$3025</f>
        <v/>
      </c>
    </row>
    <row r="2987">
      <c r="D2987" s="19">
        <f>IF(ABS(IF(ABS($E$2921)&gt;0.000000001,$E$2921,0.000000001))=0,0,IF($E$1843&lt;=$B$1820,0,IF(ABS(IF(ABS($E$2921)&gt;0.000000001,$E$2921,0.000000001))&gt;=8*$B$1822,$H$1843,0.5*$H$1843*(ABS(IF(ABS($E$2921)&gt;0.000000001,$E$2921,0.000000001))/$B$1822)^(1/3)))/ABS(IF(ABS($E$2921)&gt;0.000000001,$E$2921,0.000000001))*$I$1843)</f>
        <v/>
      </c>
      <c r="E2987" s="19">
        <f>0.5*$E$2921+0.5*$AT$3026</f>
        <v/>
      </c>
      <c r="F2987" s="19">
        <f>$AT$3027</f>
        <v/>
      </c>
    </row>
    <row r="2988">
      <c r="D2988" s="19">
        <f>IF(ABS(IF(ABS($E$2922)&gt;0.000000001,$E$2922,0.000000001))=0,0,IF($E$1844&lt;=$B$1820,0,IF(ABS(IF(ABS($E$2922)&gt;0.000000001,$E$2922,0.000000001))&gt;=8*$B$1822,$H$1844,0.5*$H$1844*(ABS(IF(ABS($E$2922)&gt;0.000000001,$E$2922,0.000000001))/$B$1822)^(1/3)))/ABS(IF(ABS($E$2922)&gt;0.000000001,$E$2922,0.000000001))*$I$1844)</f>
        <v/>
      </c>
      <c r="E2988" s="19">
        <f>0.5*$E$2922+0.5*$AT$3028</f>
        <v/>
      </c>
      <c r="F2988" s="19">
        <f>$AT$3029</f>
        <v/>
      </c>
    </row>
    <row r="2989">
      <c r="D2989" s="19">
        <f>IF(ABS(IF(ABS($E$2923)&gt;0.000000001,$E$2923,0.000000001))=0,0,IF($E$1845&lt;=$B$1820,0,IF(ABS(IF(ABS($E$2923)&gt;0.000000001,$E$2923,0.000000001))&gt;=8*$B$1822,$H$1845,0.5*$H$1845*(ABS(IF(ABS($E$2923)&gt;0.000000001,$E$2923,0.000000001))/$B$1822)^(1/3)))/ABS(IF(ABS($E$2923)&gt;0.000000001,$E$2923,0.000000001))*$I$1845)</f>
        <v/>
      </c>
      <c r="E2989" s="19">
        <f>0.5*$E$2923+0.5*$AT$3030</f>
        <v/>
      </c>
      <c r="F2989" s="19">
        <f>$AT$3031</f>
        <v/>
      </c>
    </row>
    <row r="2990">
      <c r="D2990" s="19">
        <f>IF(ABS(IF(ABS($E$2924)&gt;0.000000001,$E$2924,0.000000001))=0,0,IF($E$1846&lt;=$B$1820,0,IF(ABS(IF(ABS($E$2924)&gt;0.000000001,$E$2924,0.000000001))&gt;=8*$B$1822,$H$1846,0.5*$H$1846*(ABS(IF(ABS($E$2924)&gt;0.000000001,$E$2924,0.000000001))/$B$1822)^(1/3)))/ABS(IF(ABS($E$2924)&gt;0.000000001,$E$2924,0.000000001))*$I$1846)</f>
        <v/>
      </c>
      <c r="E2990" s="19">
        <f>0.5*$E$2924+0.5*$AT$3032</f>
        <v/>
      </c>
      <c r="F2990" s="19">
        <f>$AT$3033</f>
        <v/>
      </c>
    </row>
    <row r="2992">
      <c r="D2992" s="21">
        <f>$B$1811+$D$2970</f>
        <v/>
      </c>
      <c r="E2992" s="21">
        <f>$B$1812</f>
        <v/>
      </c>
      <c r="F2992" s="21">
        <f>-$B$1811</f>
        <v/>
      </c>
      <c r="G2992" s="21">
        <f>$B$1812</f>
        <v/>
      </c>
      <c r="H2992" s="21" t="n">
        <v>0</v>
      </c>
      <c r="I2992" s="21" t="n">
        <v>0</v>
      </c>
      <c r="J2992" s="21" t="n">
        <v>0</v>
      </c>
      <c r="K2992" s="21" t="n">
        <v>0</v>
      </c>
      <c r="L2992" s="21" t="n">
        <v>0</v>
      </c>
      <c r="M2992" s="21" t="n">
        <v>0</v>
      </c>
      <c r="N2992" s="21" t="n">
        <v>0</v>
      </c>
      <c r="O2992" s="21" t="n">
        <v>0</v>
      </c>
      <c r="P2992" s="21" t="n">
        <v>0</v>
      </c>
      <c r="Q2992" s="21" t="n">
        <v>0</v>
      </c>
      <c r="R2992" s="21" t="n">
        <v>0</v>
      </c>
      <c r="S2992" s="21" t="n">
        <v>0</v>
      </c>
      <c r="T2992" s="21" t="n">
        <v>0</v>
      </c>
      <c r="U2992" s="21" t="n">
        <v>0</v>
      </c>
      <c r="V2992" s="21" t="n">
        <v>0</v>
      </c>
      <c r="W2992" s="21" t="n">
        <v>0</v>
      </c>
      <c r="X2992" s="21" t="n">
        <v>0</v>
      </c>
      <c r="Y2992" s="21" t="n">
        <v>0</v>
      </c>
      <c r="Z2992" s="21" t="n">
        <v>0</v>
      </c>
      <c r="AA2992" s="21" t="n">
        <v>0</v>
      </c>
      <c r="AB2992" s="21" t="n">
        <v>0</v>
      </c>
      <c r="AC2992" s="21" t="n">
        <v>0</v>
      </c>
      <c r="AD2992" s="21" t="n">
        <v>0</v>
      </c>
      <c r="AE2992" s="21" t="n">
        <v>0</v>
      </c>
      <c r="AF2992" s="21" t="n">
        <v>0</v>
      </c>
      <c r="AG2992" s="21" t="n">
        <v>0</v>
      </c>
      <c r="AH2992" s="21" t="n">
        <v>0</v>
      </c>
      <c r="AI2992" s="21" t="n">
        <v>0</v>
      </c>
      <c r="AJ2992" s="21" t="n">
        <v>0</v>
      </c>
      <c r="AK2992" s="21" t="n">
        <v>0</v>
      </c>
      <c r="AL2992" s="21" t="n">
        <v>0</v>
      </c>
      <c r="AM2992" s="21" t="n">
        <v>0</v>
      </c>
      <c r="AN2992" s="21" t="n">
        <v>0</v>
      </c>
      <c r="AO2992" s="21" t="n">
        <v>0</v>
      </c>
      <c r="AP2992" s="21" t="n">
        <v>0</v>
      </c>
      <c r="AQ2992" s="21" t="n">
        <v>0</v>
      </c>
      <c r="AR2992" s="21" t="n">
        <v>0</v>
      </c>
      <c r="AS2992" s="21" t="n">
        <v>0</v>
      </c>
      <c r="AT2992" s="19">
        <f t="array" ref="AT2992:AT3033">MMULT(MINVERSE($D$2992:$AS$3033),$D$1848:$D$1889)</f>
        <v/>
      </c>
    </row>
    <row r="2993">
      <c r="D2993" s="21">
        <f>$B$1812</f>
        <v/>
      </c>
      <c r="E2993" s="21">
        <f>$B$1813</f>
        <v/>
      </c>
      <c r="F2993" s="21">
        <f>-$B$1812</f>
        <v/>
      </c>
      <c r="G2993" s="21">
        <f>$B$1814</f>
        <v/>
      </c>
      <c r="H2993" s="21" t="n">
        <v>0</v>
      </c>
      <c r="I2993" s="21" t="n">
        <v>0</v>
      </c>
      <c r="J2993" s="21" t="n">
        <v>0</v>
      </c>
      <c r="K2993" s="21" t="n">
        <v>0</v>
      </c>
      <c r="L2993" s="21" t="n">
        <v>0</v>
      </c>
      <c r="M2993" s="21" t="n">
        <v>0</v>
      </c>
      <c r="N2993" s="21" t="n">
        <v>0</v>
      </c>
      <c r="O2993" s="21" t="n">
        <v>0</v>
      </c>
      <c r="P2993" s="21" t="n">
        <v>0</v>
      </c>
      <c r="Q2993" s="21" t="n">
        <v>0</v>
      </c>
      <c r="R2993" s="21" t="n">
        <v>0</v>
      </c>
      <c r="S2993" s="21" t="n">
        <v>0</v>
      </c>
      <c r="T2993" s="21" t="n">
        <v>0</v>
      </c>
      <c r="U2993" s="21" t="n">
        <v>0</v>
      </c>
      <c r="V2993" s="21" t="n">
        <v>0</v>
      </c>
      <c r="W2993" s="21" t="n">
        <v>0</v>
      </c>
      <c r="X2993" s="21" t="n">
        <v>0</v>
      </c>
      <c r="Y2993" s="21" t="n">
        <v>0</v>
      </c>
      <c r="Z2993" s="21" t="n">
        <v>0</v>
      </c>
      <c r="AA2993" s="21" t="n">
        <v>0</v>
      </c>
      <c r="AB2993" s="21" t="n">
        <v>0</v>
      </c>
      <c r="AC2993" s="21" t="n">
        <v>0</v>
      </c>
      <c r="AD2993" s="21" t="n">
        <v>0</v>
      </c>
      <c r="AE2993" s="21" t="n">
        <v>0</v>
      </c>
      <c r="AF2993" s="21" t="n">
        <v>0</v>
      </c>
      <c r="AG2993" s="21" t="n">
        <v>0</v>
      </c>
      <c r="AH2993" s="21" t="n">
        <v>0</v>
      </c>
      <c r="AI2993" s="21" t="n">
        <v>0</v>
      </c>
      <c r="AJ2993" s="21" t="n">
        <v>0</v>
      </c>
      <c r="AK2993" s="21" t="n">
        <v>0</v>
      </c>
      <c r="AL2993" s="21" t="n">
        <v>0</v>
      </c>
      <c r="AM2993" s="21" t="n">
        <v>0</v>
      </c>
      <c r="AN2993" s="21" t="n">
        <v>0</v>
      </c>
      <c r="AO2993" s="21" t="n">
        <v>0</v>
      </c>
      <c r="AP2993" s="21" t="n">
        <v>0</v>
      </c>
      <c r="AQ2993" s="21" t="n">
        <v>0</v>
      </c>
      <c r="AR2993" s="21" t="n">
        <v>0</v>
      </c>
      <c r="AS2993" s="21" t="n">
        <v>0</v>
      </c>
      <c r="AT2993" s="19" t="n"/>
    </row>
    <row r="2994">
      <c r="D2994" s="21">
        <f>-$B$1811</f>
        <v/>
      </c>
      <c r="E2994" s="21">
        <f>-$B$1812</f>
        <v/>
      </c>
      <c r="F2994" s="21">
        <f>2*$B$1811+$D$2971</f>
        <v/>
      </c>
      <c r="G2994" s="21">
        <f>0</f>
        <v/>
      </c>
      <c r="H2994" s="21">
        <f>-$B$1811</f>
        <v/>
      </c>
      <c r="I2994" s="21">
        <f>$B$1812</f>
        <v/>
      </c>
      <c r="J2994" s="21" t="n">
        <v>0</v>
      </c>
      <c r="K2994" s="21" t="n">
        <v>0</v>
      </c>
      <c r="L2994" s="21" t="n">
        <v>0</v>
      </c>
      <c r="M2994" s="21" t="n">
        <v>0</v>
      </c>
      <c r="N2994" s="21" t="n">
        <v>0</v>
      </c>
      <c r="O2994" s="21" t="n">
        <v>0</v>
      </c>
      <c r="P2994" s="21" t="n">
        <v>0</v>
      </c>
      <c r="Q2994" s="21" t="n">
        <v>0</v>
      </c>
      <c r="R2994" s="21" t="n">
        <v>0</v>
      </c>
      <c r="S2994" s="21" t="n">
        <v>0</v>
      </c>
      <c r="T2994" s="21" t="n">
        <v>0</v>
      </c>
      <c r="U2994" s="21" t="n">
        <v>0</v>
      </c>
      <c r="V2994" s="21" t="n">
        <v>0</v>
      </c>
      <c r="W2994" s="21" t="n">
        <v>0</v>
      </c>
      <c r="X2994" s="21" t="n">
        <v>0</v>
      </c>
      <c r="Y2994" s="21" t="n">
        <v>0</v>
      </c>
      <c r="Z2994" s="21" t="n">
        <v>0</v>
      </c>
      <c r="AA2994" s="21" t="n">
        <v>0</v>
      </c>
      <c r="AB2994" s="21" t="n">
        <v>0</v>
      </c>
      <c r="AC2994" s="21" t="n">
        <v>0</v>
      </c>
      <c r="AD2994" s="21" t="n">
        <v>0</v>
      </c>
      <c r="AE2994" s="21" t="n">
        <v>0</v>
      </c>
      <c r="AF2994" s="21" t="n">
        <v>0</v>
      </c>
      <c r="AG2994" s="21" t="n">
        <v>0</v>
      </c>
      <c r="AH2994" s="21" t="n">
        <v>0</v>
      </c>
      <c r="AI2994" s="21" t="n">
        <v>0</v>
      </c>
      <c r="AJ2994" s="21" t="n">
        <v>0</v>
      </c>
      <c r="AK2994" s="21" t="n">
        <v>0</v>
      </c>
      <c r="AL2994" s="21" t="n">
        <v>0</v>
      </c>
      <c r="AM2994" s="21" t="n">
        <v>0</v>
      </c>
      <c r="AN2994" s="21" t="n">
        <v>0</v>
      </c>
      <c r="AO2994" s="21" t="n">
        <v>0</v>
      </c>
      <c r="AP2994" s="21" t="n">
        <v>0</v>
      </c>
      <c r="AQ2994" s="21" t="n">
        <v>0</v>
      </c>
      <c r="AR2994" s="21" t="n">
        <v>0</v>
      </c>
      <c r="AS2994" s="21" t="n">
        <v>0</v>
      </c>
      <c r="AT2994" s="19" t="n"/>
    </row>
    <row r="2995">
      <c r="D2995" s="21">
        <f>$B$1812</f>
        <v/>
      </c>
      <c r="E2995" s="21">
        <f>$B$1814</f>
        <v/>
      </c>
      <c r="F2995" s="21">
        <f>0</f>
        <v/>
      </c>
      <c r="G2995" s="21">
        <f>2*$B$1813</f>
        <v/>
      </c>
      <c r="H2995" s="21">
        <f>-$B$1812</f>
        <v/>
      </c>
      <c r="I2995" s="21">
        <f>$B$1814</f>
        <v/>
      </c>
      <c r="J2995" s="21" t="n">
        <v>0</v>
      </c>
      <c r="K2995" s="21" t="n">
        <v>0</v>
      </c>
      <c r="L2995" s="21" t="n">
        <v>0</v>
      </c>
      <c r="M2995" s="21" t="n">
        <v>0</v>
      </c>
      <c r="N2995" s="21" t="n">
        <v>0</v>
      </c>
      <c r="O2995" s="21" t="n">
        <v>0</v>
      </c>
      <c r="P2995" s="21" t="n">
        <v>0</v>
      </c>
      <c r="Q2995" s="21" t="n">
        <v>0</v>
      </c>
      <c r="R2995" s="21" t="n">
        <v>0</v>
      </c>
      <c r="S2995" s="21" t="n">
        <v>0</v>
      </c>
      <c r="T2995" s="21" t="n">
        <v>0</v>
      </c>
      <c r="U2995" s="21" t="n">
        <v>0</v>
      </c>
      <c r="V2995" s="21" t="n">
        <v>0</v>
      </c>
      <c r="W2995" s="21" t="n">
        <v>0</v>
      </c>
      <c r="X2995" s="21" t="n">
        <v>0</v>
      </c>
      <c r="Y2995" s="21" t="n">
        <v>0</v>
      </c>
      <c r="Z2995" s="21" t="n">
        <v>0</v>
      </c>
      <c r="AA2995" s="21" t="n">
        <v>0</v>
      </c>
      <c r="AB2995" s="21" t="n">
        <v>0</v>
      </c>
      <c r="AC2995" s="21" t="n">
        <v>0</v>
      </c>
      <c r="AD2995" s="21" t="n">
        <v>0</v>
      </c>
      <c r="AE2995" s="21" t="n">
        <v>0</v>
      </c>
      <c r="AF2995" s="21" t="n">
        <v>0</v>
      </c>
      <c r="AG2995" s="21" t="n">
        <v>0</v>
      </c>
      <c r="AH2995" s="21" t="n">
        <v>0</v>
      </c>
      <c r="AI2995" s="21" t="n">
        <v>0</v>
      </c>
      <c r="AJ2995" s="21" t="n">
        <v>0</v>
      </c>
      <c r="AK2995" s="21" t="n">
        <v>0</v>
      </c>
      <c r="AL2995" s="21" t="n">
        <v>0</v>
      </c>
      <c r="AM2995" s="21" t="n">
        <v>0</v>
      </c>
      <c r="AN2995" s="21" t="n">
        <v>0</v>
      </c>
      <c r="AO2995" s="21" t="n">
        <v>0</v>
      </c>
      <c r="AP2995" s="21" t="n">
        <v>0</v>
      </c>
      <c r="AQ2995" s="21" t="n">
        <v>0</v>
      </c>
      <c r="AR2995" s="21" t="n">
        <v>0</v>
      </c>
      <c r="AS2995" s="21" t="n">
        <v>0</v>
      </c>
      <c r="AT2995" s="19" t="n"/>
    </row>
    <row r="2996">
      <c r="D2996" s="21" t="n">
        <v>0</v>
      </c>
      <c r="E2996" s="21" t="n">
        <v>0</v>
      </c>
      <c r="F2996" s="21">
        <f>-$B$1811</f>
        <v/>
      </c>
      <c r="G2996" s="21">
        <f>-$B$1812</f>
        <v/>
      </c>
      <c r="H2996" s="21">
        <f>2*$B$1811+$D$2972</f>
        <v/>
      </c>
      <c r="I2996" s="21">
        <f>0</f>
        <v/>
      </c>
      <c r="J2996" s="21">
        <f>-$B$1811</f>
        <v/>
      </c>
      <c r="K2996" s="21">
        <f>$B$1812</f>
        <v/>
      </c>
      <c r="L2996" s="21" t="n">
        <v>0</v>
      </c>
      <c r="M2996" s="21" t="n">
        <v>0</v>
      </c>
      <c r="N2996" s="21" t="n">
        <v>0</v>
      </c>
      <c r="O2996" s="21" t="n">
        <v>0</v>
      </c>
      <c r="P2996" s="21" t="n">
        <v>0</v>
      </c>
      <c r="Q2996" s="21" t="n">
        <v>0</v>
      </c>
      <c r="R2996" s="21" t="n">
        <v>0</v>
      </c>
      <c r="S2996" s="21" t="n">
        <v>0</v>
      </c>
      <c r="T2996" s="21" t="n">
        <v>0</v>
      </c>
      <c r="U2996" s="21" t="n">
        <v>0</v>
      </c>
      <c r="V2996" s="21" t="n">
        <v>0</v>
      </c>
      <c r="W2996" s="21" t="n">
        <v>0</v>
      </c>
      <c r="X2996" s="21" t="n">
        <v>0</v>
      </c>
      <c r="Y2996" s="21" t="n">
        <v>0</v>
      </c>
      <c r="Z2996" s="21" t="n">
        <v>0</v>
      </c>
      <c r="AA2996" s="21" t="n">
        <v>0</v>
      </c>
      <c r="AB2996" s="21" t="n">
        <v>0</v>
      </c>
      <c r="AC2996" s="21" t="n">
        <v>0</v>
      </c>
      <c r="AD2996" s="21" t="n">
        <v>0</v>
      </c>
      <c r="AE2996" s="21" t="n">
        <v>0</v>
      </c>
      <c r="AF2996" s="21" t="n">
        <v>0</v>
      </c>
      <c r="AG2996" s="21" t="n">
        <v>0</v>
      </c>
      <c r="AH2996" s="21" t="n">
        <v>0</v>
      </c>
      <c r="AI2996" s="21" t="n">
        <v>0</v>
      </c>
      <c r="AJ2996" s="21" t="n">
        <v>0</v>
      </c>
      <c r="AK2996" s="21" t="n">
        <v>0</v>
      </c>
      <c r="AL2996" s="21" t="n">
        <v>0</v>
      </c>
      <c r="AM2996" s="21" t="n">
        <v>0</v>
      </c>
      <c r="AN2996" s="21" t="n">
        <v>0</v>
      </c>
      <c r="AO2996" s="21" t="n">
        <v>0</v>
      </c>
      <c r="AP2996" s="21" t="n">
        <v>0</v>
      </c>
      <c r="AQ2996" s="21" t="n">
        <v>0</v>
      </c>
      <c r="AR2996" s="21" t="n">
        <v>0</v>
      </c>
      <c r="AS2996" s="21" t="n">
        <v>0</v>
      </c>
      <c r="AT2996" s="19" t="n"/>
    </row>
    <row r="2997">
      <c r="D2997" s="21" t="n">
        <v>0</v>
      </c>
      <c r="E2997" s="21" t="n">
        <v>0</v>
      </c>
      <c r="F2997" s="21">
        <f>$B$1812</f>
        <v/>
      </c>
      <c r="G2997" s="21">
        <f>$B$1814</f>
        <v/>
      </c>
      <c r="H2997" s="21">
        <f>0</f>
        <v/>
      </c>
      <c r="I2997" s="21">
        <f>2*$B$1813</f>
        <v/>
      </c>
      <c r="J2997" s="21">
        <f>-$B$1812</f>
        <v/>
      </c>
      <c r="K2997" s="21">
        <f>$B$1814</f>
        <v/>
      </c>
      <c r="L2997" s="21" t="n">
        <v>0</v>
      </c>
      <c r="M2997" s="21" t="n">
        <v>0</v>
      </c>
      <c r="N2997" s="21" t="n">
        <v>0</v>
      </c>
      <c r="O2997" s="21" t="n">
        <v>0</v>
      </c>
      <c r="P2997" s="21" t="n">
        <v>0</v>
      </c>
      <c r="Q2997" s="21" t="n">
        <v>0</v>
      </c>
      <c r="R2997" s="21" t="n">
        <v>0</v>
      </c>
      <c r="S2997" s="21" t="n">
        <v>0</v>
      </c>
      <c r="T2997" s="21" t="n">
        <v>0</v>
      </c>
      <c r="U2997" s="21" t="n">
        <v>0</v>
      </c>
      <c r="V2997" s="21" t="n">
        <v>0</v>
      </c>
      <c r="W2997" s="21" t="n">
        <v>0</v>
      </c>
      <c r="X2997" s="21" t="n">
        <v>0</v>
      </c>
      <c r="Y2997" s="21" t="n">
        <v>0</v>
      </c>
      <c r="Z2997" s="21" t="n">
        <v>0</v>
      </c>
      <c r="AA2997" s="21" t="n">
        <v>0</v>
      </c>
      <c r="AB2997" s="21" t="n">
        <v>0</v>
      </c>
      <c r="AC2997" s="21" t="n">
        <v>0</v>
      </c>
      <c r="AD2997" s="21" t="n">
        <v>0</v>
      </c>
      <c r="AE2997" s="21" t="n">
        <v>0</v>
      </c>
      <c r="AF2997" s="21" t="n">
        <v>0</v>
      </c>
      <c r="AG2997" s="21" t="n">
        <v>0</v>
      </c>
      <c r="AH2997" s="21" t="n">
        <v>0</v>
      </c>
      <c r="AI2997" s="21" t="n">
        <v>0</v>
      </c>
      <c r="AJ2997" s="21" t="n">
        <v>0</v>
      </c>
      <c r="AK2997" s="21" t="n">
        <v>0</v>
      </c>
      <c r="AL2997" s="21" t="n">
        <v>0</v>
      </c>
      <c r="AM2997" s="21" t="n">
        <v>0</v>
      </c>
      <c r="AN2997" s="21" t="n">
        <v>0</v>
      </c>
      <c r="AO2997" s="21" t="n">
        <v>0</v>
      </c>
      <c r="AP2997" s="21" t="n">
        <v>0</v>
      </c>
      <c r="AQ2997" s="21" t="n">
        <v>0</v>
      </c>
      <c r="AR2997" s="21" t="n">
        <v>0</v>
      </c>
      <c r="AS2997" s="21" t="n">
        <v>0</v>
      </c>
      <c r="AT2997" s="19" t="n"/>
    </row>
    <row r="2998">
      <c r="D2998" s="21" t="n">
        <v>0</v>
      </c>
      <c r="E2998" s="21" t="n">
        <v>0</v>
      </c>
      <c r="F2998" s="21" t="n">
        <v>0</v>
      </c>
      <c r="G2998" s="21" t="n">
        <v>0</v>
      </c>
      <c r="H2998" s="21">
        <f>-$B$1811</f>
        <v/>
      </c>
      <c r="I2998" s="21">
        <f>-$B$1812</f>
        <v/>
      </c>
      <c r="J2998" s="21">
        <f>2*$B$1811+$D$2973</f>
        <v/>
      </c>
      <c r="K2998" s="21">
        <f>0</f>
        <v/>
      </c>
      <c r="L2998" s="21">
        <f>-$B$1811</f>
        <v/>
      </c>
      <c r="M2998" s="21">
        <f>$B$1812</f>
        <v/>
      </c>
      <c r="N2998" s="21" t="n">
        <v>0</v>
      </c>
      <c r="O2998" s="21" t="n">
        <v>0</v>
      </c>
      <c r="P2998" s="21" t="n">
        <v>0</v>
      </c>
      <c r="Q2998" s="21" t="n">
        <v>0</v>
      </c>
      <c r="R2998" s="21" t="n">
        <v>0</v>
      </c>
      <c r="S2998" s="21" t="n">
        <v>0</v>
      </c>
      <c r="T2998" s="21" t="n">
        <v>0</v>
      </c>
      <c r="U2998" s="21" t="n">
        <v>0</v>
      </c>
      <c r="V2998" s="21" t="n">
        <v>0</v>
      </c>
      <c r="W2998" s="21" t="n">
        <v>0</v>
      </c>
      <c r="X2998" s="21" t="n">
        <v>0</v>
      </c>
      <c r="Y2998" s="21" t="n">
        <v>0</v>
      </c>
      <c r="Z2998" s="21" t="n">
        <v>0</v>
      </c>
      <c r="AA2998" s="21" t="n">
        <v>0</v>
      </c>
      <c r="AB2998" s="21" t="n">
        <v>0</v>
      </c>
      <c r="AC2998" s="21" t="n">
        <v>0</v>
      </c>
      <c r="AD2998" s="21" t="n">
        <v>0</v>
      </c>
      <c r="AE2998" s="21" t="n">
        <v>0</v>
      </c>
      <c r="AF2998" s="21" t="n">
        <v>0</v>
      </c>
      <c r="AG2998" s="21" t="n">
        <v>0</v>
      </c>
      <c r="AH2998" s="21" t="n">
        <v>0</v>
      </c>
      <c r="AI2998" s="21" t="n">
        <v>0</v>
      </c>
      <c r="AJ2998" s="21" t="n">
        <v>0</v>
      </c>
      <c r="AK2998" s="21" t="n">
        <v>0</v>
      </c>
      <c r="AL2998" s="21" t="n">
        <v>0</v>
      </c>
      <c r="AM2998" s="21" t="n">
        <v>0</v>
      </c>
      <c r="AN2998" s="21" t="n">
        <v>0</v>
      </c>
      <c r="AO2998" s="21" t="n">
        <v>0</v>
      </c>
      <c r="AP2998" s="21" t="n">
        <v>0</v>
      </c>
      <c r="AQ2998" s="21" t="n">
        <v>0</v>
      </c>
      <c r="AR2998" s="21" t="n">
        <v>0</v>
      </c>
      <c r="AS2998" s="21" t="n">
        <v>0</v>
      </c>
      <c r="AT2998" s="19" t="n"/>
    </row>
    <row r="2999">
      <c r="D2999" s="21" t="n">
        <v>0</v>
      </c>
      <c r="E2999" s="21" t="n">
        <v>0</v>
      </c>
      <c r="F2999" s="21" t="n">
        <v>0</v>
      </c>
      <c r="G2999" s="21" t="n">
        <v>0</v>
      </c>
      <c r="H2999" s="21">
        <f>$B$1812</f>
        <v/>
      </c>
      <c r="I2999" s="21">
        <f>$B$1814</f>
        <v/>
      </c>
      <c r="J2999" s="21">
        <f>0</f>
        <v/>
      </c>
      <c r="K2999" s="21">
        <f>2*$B$1813</f>
        <v/>
      </c>
      <c r="L2999" s="21">
        <f>-$B$1812</f>
        <v/>
      </c>
      <c r="M2999" s="21">
        <f>$B$1814</f>
        <v/>
      </c>
      <c r="N2999" s="21" t="n">
        <v>0</v>
      </c>
      <c r="O2999" s="21" t="n">
        <v>0</v>
      </c>
      <c r="P2999" s="21" t="n">
        <v>0</v>
      </c>
      <c r="Q2999" s="21" t="n">
        <v>0</v>
      </c>
      <c r="R2999" s="21" t="n">
        <v>0</v>
      </c>
      <c r="S2999" s="21" t="n">
        <v>0</v>
      </c>
      <c r="T2999" s="21" t="n">
        <v>0</v>
      </c>
      <c r="U2999" s="21" t="n">
        <v>0</v>
      </c>
      <c r="V2999" s="21" t="n">
        <v>0</v>
      </c>
      <c r="W2999" s="21" t="n">
        <v>0</v>
      </c>
      <c r="X2999" s="21" t="n">
        <v>0</v>
      </c>
      <c r="Y2999" s="21" t="n">
        <v>0</v>
      </c>
      <c r="Z2999" s="21" t="n">
        <v>0</v>
      </c>
      <c r="AA2999" s="21" t="n">
        <v>0</v>
      </c>
      <c r="AB2999" s="21" t="n">
        <v>0</v>
      </c>
      <c r="AC2999" s="21" t="n">
        <v>0</v>
      </c>
      <c r="AD2999" s="21" t="n">
        <v>0</v>
      </c>
      <c r="AE2999" s="21" t="n">
        <v>0</v>
      </c>
      <c r="AF2999" s="21" t="n">
        <v>0</v>
      </c>
      <c r="AG2999" s="21" t="n">
        <v>0</v>
      </c>
      <c r="AH2999" s="21" t="n">
        <v>0</v>
      </c>
      <c r="AI2999" s="21" t="n">
        <v>0</v>
      </c>
      <c r="AJ2999" s="21" t="n">
        <v>0</v>
      </c>
      <c r="AK2999" s="21" t="n">
        <v>0</v>
      </c>
      <c r="AL2999" s="21" t="n">
        <v>0</v>
      </c>
      <c r="AM2999" s="21" t="n">
        <v>0</v>
      </c>
      <c r="AN2999" s="21" t="n">
        <v>0</v>
      </c>
      <c r="AO2999" s="21" t="n">
        <v>0</v>
      </c>
      <c r="AP2999" s="21" t="n">
        <v>0</v>
      </c>
      <c r="AQ2999" s="21" t="n">
        <v>0</v>
      </c>
      <c r="AR2999" s="21" t="n">
        <v>0</v>
      </c>
      <c r="AS2999" s="21" t="n">
        <v>0</v>
      </c>
      <c r="AT2999" s="19" t="n"/>
    </row>
    <row r="3000">
      <c r="D3000" s="21" t="n">
        <v>0</v>
      </c>
      <c r="E3000" s="21" t="n">
        <v>0</v>
      </c>
      <c r="F3000" s="21" t="n">
        <v>0</v>
      </c>
      <c r="G3000" s="21" t="n">
        <v>0</v>
      </c>
      <c r="H3000" s="21" t="n">
        <v>0</v>
      </c>
      <c r="I3000" s="21" t="n">
        <v>0</v>
      </c>
      <c r="J3000" s="21">
        <f>-$B$1811</f>
        <v/>
      </c>
      <c r="K3000" s="21">
        <f>-$B$1812</f>
        <v/>
      </c>
      <c r="L3000" s="21">
        <f>2*$B$1811+$D$2974</f>
        <v/>
      </c>
      <c r="M3000" s="21">
        <f>0</f>
        <v/>
      </c>
      <c r="N3000" s="21">
        <f>-$B$1811</f>
        <v/>
      </c>
      <c r="O3000" s="21">
        <f>$B$1812</f>
        <v/>
      </c>
      <c r="P3000" s="21" t="n">
        <v>0</v>
      </c>
      <c r="Q3000" s="21" t="n">
        <v>0</v>
      </c>
      <c r="R3000" s="21" t="n">
        <v>0</v>
      </c>
      <c r="S3000" s="21" t="n">
        <v>0</v>
      </c>
      <c r="T3000" s="21" t="n">
        <v>0</v>
      </c>
      <c r="U3000" s="21" t="n">
        <v>0</v>
      </c>
      <c r="V3000" s="21" t="n">
        <v>0</v>
      </c>
      <c r="W3000" s="21" t="n">
        <v>0</v>
      </c>
      <c r="X3000" s="21" t="n">
        <v>0</v>
      </c>
      <c r="Y3000" s="21" t="n">
        <v>0</v>
      </c>
      <c r="Z3000" s="21" t="n">
        <v>0</v>
      </c>
      <c r="AA3000" s="21" t="n">
        <v>0</v>
      </c>
      <c r="AB3000" s="21" t="n">
        <v>0</v>
      </c>
      <c r="AC3000" s="21" t="n">
        <v>0</v>
      </c>
      <c r="AD3000" s="21" t="n">
        <v>0</v>
      </c>
      <c r="AE3000" s="21" t="n">
        <v>0</v>
      </c>
      <c r="AF3000" s="21" t="n">
        <v>0</v>
      </c>
      <c r="AG3000" s="21" t="n">
        <v>0</v>
      </c>
      <c r="AH3000" s="21" t="n">
        <v>0</v>
      </c>
      <c r="AI3000" s="21" t="n">
        <v>0</v>
      </c>
      <c r="AJ3000" s="21" t="n">
        <v>0</v>
      </c>
      <c r="AK3000" s="21" t="n">
        <v>0</v>
      </c>
      <c r="AL3000" s="21" t="n">
        <v>0</v>
      </c>
      <c r="AM3000" s="21" t="n">
        <v>0</v>
      </c>
      <c r="AN3000" s="21" t="n">
        <v>0</v>
      </c>
      <c r="AO3000" s="21" t="n">
        <v>0</v>
      </c>
      <c r="AP3000" s="21" t="n">
        <v>0</v>
      </c>
      <c r="AQ3000" s="21" t="n">
        <v>0</v>
      </c>
      <c r="AR3000" s="21" t="n">
        <v>0</v>
      </c>
      <c r="AS3000" s="21" t="n">
        <v>0</v>
      </c>
      <c r="AT3000" s="19" t="n"/>
    </row>
    <row r="3001">
      <c r="D3001" s="21" t="n">
        <v>0</v>
      </c>
      <c r="E3001" s="21" t="n">
        <v>0</v>
      </c>
      <c r="F3001" s="21" t="n">
        <v>0</v>
      </c>
      <c r="G3001" s="21" t="n">
        <v>0</v>
      </c>
      <c r="H3001" s="21" t="n">
        <v>0</v>
      </c>
      <c r="I3001" s="21" t="n">
        <v>0</v>
      </c>
      <c r="J3001" s="21">
        <f>$B$1812</f>
        <v/>
      </c>
      <c r="K3001" s="21">
        <f>$B$1814</f>
        <v/>
      </c>
      <c r="L3001" s="21">
        <f>0</f>
        <v/>
      </c>
      <c r="M3001" s="21">
        <f>2*$B$1813</f>
        <v/>
      </c>
      <c r="N3001" s="21">
        <f>-$B$1812</f>
        <v/>
      </c>
      <c r="O3001" s="21">
        <f>$B$1814</f>
        <v/>
      </c>
      <c r="P3001" s="21" t="n">
        <v>0</v>
      </c>
      <c r="Q3001" s="21" t="n">
        <v>0</v>
      </c>
      <c r="R3001" s="21" t="n">
        <v>0</v>
      </c>
      <c r="S3001" s="21" t="n">
        <v>0</v>
      </c>
      <c r="T3001" s="21" t="n">
        <v>0</v>
      </c>
      <c r="U3001" s="21" t="n">
        <v>0</v>
      </c>
      <c r="V3001" s="21" t="n">
        <v>0</v>
      </c>
      <c r="W3001" s="21" t="n">
        <v>0</v>
      </c>
      <c r="X3001" s="21" t="n">
        <v>0</v>
      </c>
      <c r="Y3001" s="21" t="n">
        <v>0</v>
      </c>
      <c r="Z3001" s="21" t="n">
        <v>0</v>
      </c>
      <c r="AA3001" s="21" t="n">
        <v>0</v>
      </c>
      <c r="AB3001" s="21" t="n">
        <v>0</v>
      </c>
      <c r="AC3001" s="21" t="n">
        <v>0</v>
      </c>
      <c r="AD3001" s="21" t="n">
        <v>0</v>
      </c>
      <c r="AE3001" s="21" t="n">
        <v>0</v>
      </c>
      <c r="AF3001" s="21" t="n">
        <v>0</v>
      </c>
      <c r="AG3001" s="21" t="n">
        <v>0</v>
      </c>
      <c r="AH3001" s="21" t="n">
        <v>0</v>
      </c>
      <c r="AI3001" s="21" t="n">
        <v>0</v>
      </c>
      <c r="AJ3001" s="21" t="n">
        <v>0</v>
      </c>
      <c r="AK3001" s="21" t="n">
        <v>0</v>
      </c>
      <c r="AL3001" s="21" t="n">
        <v>0</v>
      </c>
      <c r="AM3001" s="21" t="n">
        <v>0</v>
      </c>
      <c r="AN3001" s="21" t="n">
        <v>0</v>
      </c>
      <c r="AO3001" s="21" t="n">
        <v>0</v>
      </c>
      <c r="AP3001" s="21" t="n">
        <v>0</v>
      </c>
      <c r="AQ3001" s="21" t="n">
        <v>0</v>
      </c>
      <c r="AR3001" s="21" t="n">
        <v>0</v>
      </c>
      <c r="AS3001" s="21" t="n">
        <v>0</v>
      </c>
      <c r="AT3001" s="19" t="n"/>
    </row>
    <row r="3002">
      <c r="D3002" s="21" t="n">
        <v>0</v>
      </c>
      <c r="E3002" s="21" t="n">
        <v>0</v>
      </c>
      <c r="F3002" s="21" t="n">
        <v>0</v>
      </c>
      <c r="G3002" s="21" t="n">
        <v>0</v>
      </c>
      <c r="H3002" s="21" t="n">
        <v>0</v>
      </c>
      <c r="I3002" s="21" t="n">
        <v>0</v>
      </c>
      <c r="J3002" s="21" t="n">
        <v>0</v>
      </c>
      <c r="K3002" s="21" t="n">
        <v>0</v>
      </c>
      <c r="L3002" s="21">
        <f>-$B$1811</f>
        <v/>
      </c>
      <c r="M3002" s="21">
        <f>-$B$1812</f>
        <v/>
      </c>
      <c r="N3002" s="21">
        <f>2*$B$1811+$D$2975</f>
        <v/>
      </c>
      <c r="O3002" s="21">
        <f>0</f>
        <v/>
      </c>
      <c r="P3002" s="21">
        <f>-$B$1811</f>
        <v/>
      </c>
      <c r="Q3002" s="21">
        <f>$B$1812</f>
        <v/>
      </c>
      <c r="R3002" s="21" t="n">
        <v>0</v>
      </c>
      <c r="S3002" s="21" t="n">
        <v>0</v>
      </c>
      <c r="T3002" s="21" t="n">
        <v>0</v>
      </c>
      <c r="U3002" s="21" t="n">
        <v>0</v>
      </c>
      <c r="V3002" s="21" t="n">
        <v>0</v>
      </c>
      <c r="W3002" s="21" t="n">
        <v>0</v>
      </c>
      <c r="X3002" s="21" t="n">
        <v>0</v>
      </c>
      <c r="Y3002" s="21" t="n">
        <v>0</v>
      </c>
      <c r="Z3002" s="21" t="n">
        <v>0</v>
      </c>
      <c r="AA3002" s="21" t="n">
        <v>0</v>
      </c>
      <c r="AB3002" s="21" t="n">
        <v>0</v>
      </c>
      <c r="AC3002" s="21" t="n">
        <v>0</v>
      </c>
      <c r="AD3002" s="21" t="n">
        <v>0</v>
      </c>
      <c r="AE3002" s="21" t="n">
        <v>0</v>
      </c>
      <c r="AF3002" s="21" t="n">
        <v>0</v>
      </c>
      <c r="AG3002" s="21" t="n">
        <v>0</v>
      </c>
      <c r="AH3002" s="21" t="n">
        <v>0</v>
      </c>
      <c r="AI3002" s="21" t="n">
        <v>0</v>
      </c>
      <c r="AJ3002" s="21" t="n">
        <v>0</v>
      </c>
      <c r="AK3002" s="21" t="n">
        <v>0</v>
      </c>
      <c r="AL3002" s="21" t="n">
        <v>0</v>
      </c>
      <c r="AM3002" s="21" t="n">
        <v>0</v>
      </c>
      <c r="AN3002" s="21" t="n">
        <v>0</v>
      </c>
      <c r="AO3002" s="21" t="n">
        <v>0</v>
      </c>
      <c r="AP3002" s="21" t="n">
        <v>0</v>
      </c>
      <c r="AQ3002" s="21" t="n">
        <v>0</v>
      </c>
      <c r="AR3002" s="21" t="n">
        <v>0</v>
      </c>
      <c r="AS3002" s="21" t="n">
        <v>0</v>
      </c>
      <c r="AT3002" s="19" t="n"/>
    </row>
    <row r="3003">
      <c r="D3003" s="21" t="n">
        <v>0</v>
      </c>
      <c r="E3003" s="21" t="n">
        <v>0</v>
      </c>
      <c r="F3003" s="21" t="n">
        <v>0</v>
      </c>
      <c r="G3003" s="21" t="n">
        <v>0</v>
      </c>
      <c r="H3003" s="21" t="n">
        <v>0</v>
      </c>
      <c r="I3003" s="21" t="n">
        <v>0</v>
      </c>
      <c r="J3003" s="21" t="n">
        <v>0</v>
      </c>
      <c r="K3003" s="21" t="n">
        <v>0</v>
      </c>
      <c r="L3003" s="21">
        <f>$B$1812</f>
        <v/>
      </c>
      <c r="M3003" s="21">
        <f>$B$1814</f>
        <v/>
      </c>
      <c r="N3003" s="21">
        <f>0</f>
        <v/>
      </c>
      <c r="O3003" s="21">
        <f>2*$B$1813</f>
        <v/>
      </c>
      <c r="P3003" s="21">
        <f>-$B$1812</f>
        <v/>
      </c>
      <c r="Q3003" s="21">
        <f>$B$1814</f>
        <v/>
      </c>
      <c r="R3003" s="21" t="n">
        <v>0</v>
      </c>
      <c r="S3003" s="21" t="n">
        <v>0</v>
      </c>
      <c r="T3003" s="21" t="n">
        <v>0</v>
      </c>
      <c r="U3003" s="21" t="n">
        <v>0</v>
      </c>
      <c r="V3003" s="21" t="n">
        <v>0</v>
      </c>
      <c r="W3003" s="21" t="n">
        <v>0</v>
      </c>
      <c r="X3003" s="21" t="n">
        <v>0</v>
      </c>
      <c r="Y3003" s="21" t="n">
        <v>0</v>
      </c>
      <c r="Z3003" s="21" t="n">
        <v>0</v>
      </c>
      <c r="AA3003" s="21" t="n">
        <v>0</v>
      </c>
      <c r="AB3003" s="21" t="n">
        <v>0</v>
      </c>
      <c r="AC3003" s="21" t="n">
        <v>0</v>
      </c>
      <c r="AD3003" s="21" t="n">
        <v>0</v>
      </c>
      <c r="AE3003" s="21" t="n">
        <v>0</v>
      </c>
      <c r="AF3003" s="21" t="n">
        <v>0</v>
      </c>
      <c r="AG3003" s="21" t="n">
        <v>0</v>
      </c>
      <c r="AH3003" s="21" t="n">
        <v>0</v>
      </c>
      <c r="AI3003" s="21" t="n">
        <v>0</v>
      </c>
      <c r="AJ3003" s="21" t="n">
        <v>0</v>
      </c>
      <c r="AK3003" s="21" t="n">
        <v>0</v>
      </c>
      <c r="AL3003" s="21" t="n">
        <v>0</v>
      </c>
      <c r="AM3003" s="21" t="n">
        <v>0</v>
      </c>
      <c r="AN3003" s="21" t="n">
        <v>0</v>
      </c>
      <c r="AO3003" s="21" t="n">
        <v>0</v>
      </c>
      <c r="AP3003" s="21" t="n">
        <v>0</v>
      </c>
      <c r="AQ3003" s="21" t="n">
        <v>0</v>
      </c>
      <c r="AR3003" s="21" t="n">
        <v>0</v>
      </c>
      <c r="AS3003" s="21" t="n">
        <v>0</v>
      </c>
      <c r="AT3003" s="19" t="n"/>
    </row>
    <row r="3004">
      <c r="D3004" s="21" t="n">
        <v>0</v>
      </c>
      <c r="E3004" s="21" t="n">
        <v>0</v>
      </c>
      <c r="F3004" s="21" t="n">
        <v>0</v>
      </c>
      <c r="G3004" s="21" t="n">
        <v>0</v>
      </c>
      <c r="H3004" s="21" t="n">
        <v>0</v>
      </c>
      <c r="I3004" s="21" t="n">
        <v>0</v>
      </c>
      <c r="J3004" s="21" t="n">
        <v>0</v>
      </c>
      <c r="K3004" s="21" t="n">
        <v>0</v>
      </c>
      <c r="L3004" s="21" t="n">
        <v>0</v>
      </c>
      <c r="M3004" s="21" t="n">
        <v>0</v>
      </c>
      <c r="N3004" s="21">
        <f>-$B$1811</f>
        <v/>
      </c>
      <c r="O3004" s="21">
        <f>-$B$1812</f>
        <v/>
      </c>
      <c r="P3004" s="21">
        <f>2*$B$1811+$D$2976</f>
        <v/>
      </c>
      <c r="Q3004" s="21">
        <f>0</f>
        <v/>
      </c>
      <c r="R3004" s="21">
        <f>-$B$1811</f>
        <v/>
      </c>
      <c r="S3004" s="21">
        <f>$B$1812</f>
        <v/>
      </c>
      <c r="T3004" s="21" t="n">
        <v>0</v>
      </c>
      <c r="U3004" s="21" t="n">
        <v>0</v>
      </c>
      <c r="V3004" s="21" t="n">
        <v>0</v>
      </c>
      <c r="W3004" s="21" t="n">
        <v>0</v>
      </c>
      <c r="X3004" s="21" t="n">
        <v>0</v>
      </c>
      <c r="Y3004" s="21" t="n">
        <v>0</v>
      </c>
      <c r="Z3004" s="21" t="n">
        <v>0</v>
      </c>
      <c r="AA3004" s="21" t="n">
        <v>0</v>
      </c>
      <c r="AB3004" s="21" t="n">
        <v>0</v>
      </c>
      <c r="AC3004" s="21" t="n">
        <v>0</v>
      </c>
      <c r="AD3004" s="21" t="n">
        <v>0</v>
      </c>
      <c r="AE3004" s="21" t="n">
        <v>0</v>
      </c>
      <c r="AF3004" s="21" t="n">
        <v>0</v>
      </c>
      <c r="AG3004" s="21" t="n">
        <v>0</v>
      </c>
      <c r="AH3004" s="21" t="n">
        <v>0</v>
      </c>
      <c r="AI3004" s="21" t="n">
        <v>0</v>
      </c>
      <c r="AJ3004" s="21" t="n">
        <v>0</v>
      </c>
      <c r="AK3004" s="21" t="n">
        <v>0</v>
      </c>
      <c r="AL3004" s="21" t="n">
        <v>0</v>
      </c>
      <c r="AM3004" s="21" t="n">
        <v>0</v>
      </c>
      <c r="AN3004" s="21" t="n">
        <v>0</v>
      </c>
      <c r="AO3004" s="21" t="n">
        <v>0</v>
      </c>
      <c r="AP3004" s="21" t="n">
        <v>0</v>
      </c>
      <c r="AQ3004" s="21" t="n">
        <v>0</v>
      </c>
      <c r="AR3004" s="21" t="n">
        <v>0</v>
      </c>
      <c r="AS3004" s="21" t="n">
        <v>0</v>
      </c>
      <c r="AT3004" s="19" t="n"/>
    </row>
    <row r="3005">
      <c r="D3005" s="21" t="n">
        <v>0</v>
      </c>
      <c r="E3005" s="21" t="n">
        <v>0</v>
      </c>
      <c r="F3005" s="21" t="n">
        <v>0</v>
      </c>
      <c r="G3005" s="21" t="n">
        <v>0</v>
      </c>
      <c r="H3005" s="21" t="n">
        <v>0</v>
      </c>
      <c r="I3005" s="21" t="n">
        <v>0</v>
      </c>
      <c r="J3005" s="21" t="n">
        <v>0</v>
      </c>
      <c r="K3005" s="21" t="n">
        <v>0</v>
      </c>
      <c r="L3005" s="21" t="n">
        <v>0</v>
      </c>
      <c r="M3005" s="21" t="n">
        <v>0</v>
      </c>
      <c r="N3005" s="21">
        <f>$B$1812</f>
        <v/>
      </c>
      <c r="O3005" s="21">
        <f>$B$1814</f>
        <v/>
      </c>
      <c r="P3005" s="21">
        <f>0</f>
        <v/>
      </c>
      <c r="Q3005" s="21">
        <f>2*$B$1813</f>
        <v/>
      </c>
      <c r="R3005" s="21">
        <f>-$B$1812</f>
        <v/>
      </c>
      <c r="S3005" s="21">
        <f>$B$1814</f>
        <v/>
      </c>
      <c r="T3005" s="21" t="n">
        <v>0</v>
      </c>
      <c r="U3005" s="21" t="n">
        <v>0</v>
      </c>
      <c r="V3005" s="21" t="n">
        <v>0</v>
      </c>
      <c r="W3005" s="21" t="n">
        <v>0</v>
      </c>
      <c r="X3005" s="21" t="n">
        <v>0</v>
      </c>
      <c r="Y3005" s="21" t="n">
        <v>0</v>
      </c>
      <c r="Z3005" s="21" t="n">
        <v>0</v>
      </c>
      <c r="AA3005" s="21" t="n">
        <v>0</v>
      </c>
      <c r="AB3005" s="21" t="n">
        <v>0</v>
      </c>
      <c r="AC3005" s="21" t="n">
        <v>0</v>
      </c>
      <c r="AD3005" s="21" t="n">
        <v>0</v>
      </c>
      <c r="AE3005" s="21" t="n">
        <v>0</v>
      </c>
      <c r="AF3005" s="21" t="n">
        <v>0</v>
      </c>
      <c r="AG3005" s="21" t="n">
        <v>0</v>
      </c>
      <c r="AH3005" s="21" t="n">
        <v>0</v>
      </c>
      <c r="AI3005" s="21" t="n">
        <v>0</v>
      </c>
      <c r="AJ3005" s="21" t="n">
        <v>0</v>
      </c>
      <c r="AK3005" s="21" t="n">
        <v>0</v>
      </c>
      <c r="AL3005" s="21" t="n">
        <v>0</v>
      </c>
      <c r="AM3005" s="21" t="n">
        <v>0</v>
      </c>
      <c r="AN3005" s="21" t="n">
        <v>0</v>
      </c>
      <c r="AO3005" s="21" t="n">
        <v>0</v>
      </c>
      <c r="AP3005" s="21" t="n">
        <v>0</v>
      </c>
      <c r="AQ3005" s="21" t="n">
        <v>0</v>
      </c>
      <c r="AR3005" s="21" t="n">
        <v>0</v>
      </c>
      <c r="AS3005" s="21" t="n">
        <v>0</v>
      </c>
      <c r="AT3005" s="19" t="n"/>
    </row>
    <row r="3006">
      <c r="D3006" s="21" t="n">
        <v>0</v>
      </c>
      <c r="E3006" s="21" t="n">
        <v>0</v>
      </c>
      <c r="F3006" s="21" t="n">
        <v>0</v>
      </c>
      <c r="G3006" s="21" t="n">
        <v>0</v>
      </c>
      <c r="H3006" s="21" t="n">
        <v>0</v>
      </c>
      <c r="I3006" s="21" t="n">
        <v>0</v>
      </c>
      <c r="J3006" s="21" t="n">
        <v>0</v>
      </c>
      <c r="K3006" s="21" t="n">
        <v>0</v>
      </c>
      <c r="L3006" s="21" t="n">
        <v>0</v>
      </c>
      <c r="M3006" s="21" t="n">
        <v>0</v>
      </c>
      <c r="N3006" s="21" t="n">
        <v>0</v>
      </c>
      <c r="O3006" s="21" t="n">
        <v>0</v>
      </c>
      <c r="P3006" s="21">
        <f>-$B$1811</f>
        <v/>
      </c>
      <c r="Q3006" s="21">
        <f>-$B$1812</f>
        <v/>
      </c>
      <c r="R3006" s="21">
        <f>2*$B$1811+$D$2977</f>
        <v/>
      </c>
      <c r="S3006" s="21">
        <f>0</f>
        <v/>
      </c>
      <c r="T3006" s="21">
        <f>-$B$1811</f>
        <v/>
      </c>
      <c r="U3006" s="21">
        <f>$B$1812</f>
        <v/>
      </c>
      <c r="V3006" s="21" t="n">
        <v>0</v>
      </c>
      <c r="W3006" s="21" t="n">
        <v>0</v>
      </c>
      <c r="X3006" s="21" t="n">
        <v>0</v>
      </c>
      <c r="Y3006" s="21" t="n">
        <v>0</v>
      </c>
      <c r="Z3006" s="21" t="n">
        <v>0</v>
      </c>
      <c r="AA3006" s="21" t="n">
        <v>0</v>
      </c>
      <c r="AB3006" s="21" t="n">
        <v>0</v>
      </c>
      <c r="AC3006" s="21" t="n">
        <v>0</v>
      </c>
      <c r="AD3006" s="21" t="n">
        <v>0</v>
      </c>
      <c r="AE3006" s="21" t="n">
        <v>0</v>
      </c>
      <c r="AF3006" s="21" t="n">
        <v>0</v>
      </c>
      <c r="AG3006" s="21" t="n">
        <v>0</v>
      </c>
      <c r="AH3006" s="21" t="n">
        <v>0</v>
      </c>
      <c r="AI3006" s="21" t="n">
        <v>0</v>
      </c>
      <c r="AJ3006" s="21" t="n">
        <v>0</v>
      </c>
      <c r="AK3006" s="21" t="n">
        <v>0</v>
      </c>
      <c r="AL3006" s="21" t="n">
        <v>0</v>
      </c>
      <c r="AM3006" s="21" t="n">
        <v>0</v>
      </c>
      <c r="AN3006" s="21" t="n">
        <v>0</v>
      </c>
      <c r="AO3006" s="21" t="n">
        <v>0</v>
      </c>
      <c r="AP3006" s="21" t="n">
        <v>0</v>
      </c>
      <c r="AQ3006" s="21" t="n">
        <v>0</v>
      </c>
      <c r="AR3006" s="21" t="n">
        <v>0</v>
      </c>
      <c r="AS3006" s="21" t="n">
        <v>0</v>
      </c>
      <c r="AT3006" s="19" t="n"/>
    </row>
    <row r="3007">
      <c r="D3007" s="21" t="n">
        <v>0</v>
      </c>
      <c r="E3007" s="21" t="n">
        <v>0</v>
      </c>
      <c r="F3007" s="21" t="n">
        <v>0</v>
      </c>
      <c r="G3007" s="21" t="n">
        <v>0</v>
      </c>
      <c r="H3007" s="21" t="n">
        <v>0</v>
      </c>
      <c r="I3007" s="21" t="n">
        <v>0</v>
      </c>
      <c r="J3007" s="21" t="n">
        <v>0</v>
      </c>
      <c r="K3007" s="21" t="n">
        <v>0</v>
      </c>
      <c r="L3007" s="21" t="n">
        <v>0</v>
      </c>
      <c r="M3007" s="21" t="n">
        <v>0</v>
      </c>
      <c r="N3007" s="21" t="n">
        <v>0</v>
      </c>
      <c r="O3007" s="21" t="n">
        <v>0</v>
      </c>
      <c r="P3007" s="21">
        <f>$B$1812</f>
        <v/>
      </c>
      <c r="Q3007" s="21">
        <f>$B$1814</f>
        <v/>
      </c>
      <c r="R3007" s="21">
        <f>0</f>
        <v/>
      </c>
      <c r="S3007" s="21">
        <f>2*$B$1813</f>
        <v/>
      </c>
      <c r="T3007" s="21">
        <f>-$B$1812</f>
        <v/>
      </c>
      <c r="U3007" s="21">
        <f>$B$1814</f>
        <v/>
      </c>
      <c r="V3007" s="21" t="n">
        <v>0</v>
      </c>
      <c r="W3007" s="21" t="n">
        <v>0</v>
      </c>
      <c r="X3007" s="21" t="n">
        <v>0</v>
      </c>
      <c r="Y3007" s="21" t="n">
        <v>0</v>
      </c>
      <c r="Z3007" s="21" t="n">
        <v>0</v>
      </c>
      <c r="AA3007" s="21" t="n">
        <v>0</v>
      </c>
      <c r="AB3007" s="21" t="n">
        <v>0</v>
      </c>
      <c r="AC3007" s="21" t="n">
        <v>0</v>
      </c>
      <c r="AD3007" s="21" t="n">
        <v>0</v>
      </c>
      <c r="AE3007" s="21" t="n">
        <v>0</v>
      </c>
      <c r="AF3007" s="21" t="n">
        <v>0</v>
      </c>
      <c r="AG3007" s="21" t="n">
        <v>0</v>
      </c>
      <c r="AH3007" s="21" t="n">
        <v>0</v>
      </c>
      <c r="AI3007" s="21" t="n">
        <v>0</v>
      </c>
      <c r="AJ3007" s="21" t="n">
        <v>0</v>
      </c>
      <c r="AK3007" s="21" t="n">
        <v>0</v>
      </c>
      <c r="AL3007" s="21" t="n">
        <v>0</v>
      </c>
      <c r="AM3007" s="21" t="n">
        <v>0</v>
      </c>
      <c r="AN3007" s="21" t="n">
        <v>0</v>
      </c>
      <c r="AO3007" s="21" t="n">
        <v>0</v>
      </c>
      <c r="AP3007" s="21" t="n">
        <v>0</v>
      </c>
      <c r="AQ3007" s="21" t="n">
        <v>0</v>
      </c>
      <c r="AR3007" s="21" t="n">
        <v>0</v>
      </c>
      <c r="AS3007" s="21" t="n">
        <v>0</v>
      </c>
      <c r="AT3007" s="19" t="n"/>
    </row>
    <row r="3008">
      <c r="D3008" s="21" t="n">
        <v>0</v>
      </c>
      <c r="E3008" s="21" t="n">
        <v>0</v>
      </c>
      <c r="F3008" s="21" t="n">
        <v>0</v>
      </c>
      <c r="G3008" s="21" t="n">
        <v>0</v>
      </c>
      <c r="H3008" s="21" t="n">
        <v>0</v>
      </c>
      <c r="I3008" s="21" t="n">
        <v>0</v>
      </c>
      <c r="J3008" s="21" t="n">
        <v>0</v>
      </c>
      <c r="K3008" s="21" t="n">
        <v>0</v>
      </c>
      <c r="L3008" s="21" t="n">
        <v>0</v>
      </c>
      <c r="M3008" s="21" t="n">
        <v>0</v>
      </c>
      <c r="N3008" s="21" t="n">
        <v>0</v>
      </c>
      <c r="O3008" s="21" t="n">
        <v>0</v>
      </c>
      <c r="P3008" s="21" t="n">
        <v>0</v>
      </c>
      <c r="Q3008" s="21" t="n">
        <v>0</v>
      </c>
      <c r="R3008" s="21">
        <f>-$B$1811</f>
        <v/>
      </c>
      <c r="S3008" s="21">
        <f>-$B$1812</f>
        <v/>
      </c>
      <c r="T3008" s="21">
        <f>2*$B$1811+$D$2978</f>
        <v/>
      </c>
      <c r="U3008" s="21">
        <f>0</f>
        <v/>
      </c>
      <c r="V3008" s="21">
        <f>-$B$1811</f>
        <v/>
      </c>
      <c r="W3008" s="21">
        <f>$B$1812</f>
        <v/>
      </c>
      <c r="X3008" s="21" t="n">
        <v>0</v>
      </c>
      <c r="Y3008" s="21" t="n">
        <v>0</v>
      </c>
      <c r="Z3008" s="21" t="n">
        <v>0</v>
      </c>
      <c r="AA3008" s="21" t="n">
        <v>0</v>
      </c>
      <c r="AB3008" s="21" t="n">
        <v>0</v>
      </c>
      <c r="AC3008" s="21" t="n">
        <v>0</v>
      </c>
      <c r="AD3008" s="21" t="n">
        <v>0</v>
      </c>
      <c r="AE3008" s="21" t="n">
        <v>0</v>
      </c>
      <c r="AF3008" s="21" t="n">
        <v>0</v>
      </c>
      <c r="AG3008" s="21" t="n">
        <v>0</v>
      </c>
      <c r="AH3008" s="21" t="n">
        <v>0</v>
      </c>
      <c r="AI3008" s="21" t="n">
        <v>0</v>
      </c>
      <c r="AJ3008" s="21" t="n">
        <v>0</v>
      </c>
      <c r="AK3008" s="21" t="n">
        <v>0</v>
      </c>
      <c r="AL3008" s="21" t="n">
        <v>0</v>
      </c>
      <c r="AM3008" s="21" t="n">
        <v>0</v>
      </c>
      <c r="AN3008" s="21" t="n">
        <v>0</v>
      </c>
      <c r="AO3008" s="21" t="n">
        <v>0</v>
      </c>
      <c r="AP3008" s="21" t="n">
        <v>0</v>
      </c>
      <c r="AQ3008" s="21" t="n">
        <v>0</v>
      </c>
      <c r="AR3008" s="21" t="n">
        <v>0</v>
      </c>
      <c r="AS3008" s="21" t="n">
        <v>0</v>
      </c>
      <c r="AT3008" s="19" t="n"/>
    </row>
    <row r="3009">
      <c r="D3009" s="21" t="n">
        <v>0</v>
      </c>
      <c r="E3009" s="21" t="n">
        <v>0</v>
      </c>
      <c r="F3009" s="21" t="n">
        <v>0</v>
      </c>
      <c r="G3009" s="21" t="n">
        <v>0</v>
      </c>
      <c r="H3009" s="21" t="n">
        <v>0</v>
      </c>
      <c r="I3009" s="21" t="n">
        <v>0</v>
      </c>
      <c r="J3009" s="21" t="n">
        <v>0</v>
      </c>
      <c r="K3009" s="21" t="n">
        <v>0</v>
      </c>
      <c r="L3009" s="21" t="n">
        <v>0</v>
      </c>
      <c r="M3009" s="21" t="n">
        <v>0</v>
      </c>
      <c r="N3009" s="21" t="n">
        <v>0</v>
      </c>
      <c r="O3009" s="21" t="n">
        <v>0</v>
      </c>
      <c r="P3009" s="21" t="n">
        <v>0</v>
      </c>
      <c r="Q3009" s="21" t="n">
        <v>0</v>
      </c>
      <c r="R3009" s="21">
        <f>$B$1812</f>
        <v/>
      </c>
      <c r="S3009" s="21">
        <f>$B$1814</f>
        <v/>
      </c>
      <c r="T3009" s="21">
        <f>0</f>
        <v/>
      </c>
      <c r="U3009" s="21">
        <f>2*$B$1813</f>
        <v/>
      </c>
      <c r="V3009" s="21">
        <f>-$B$1812</f>
        <v/>
      </c>
      <c r="W3009" s="21">
        <f>$B$1814</f>
        <v/>
      </c>
      <c r="X3009" s="21" t="n">
        <v>0</v>
      </c>
      <c r="Y3009" s="21" t="n">
        <v>0</v>
      </c>
      <c r="Z3009" s="21" t="n">
        <v>0</v>
      </c>
      <c r="AA3009" s="21" t="n">
        <v>0</v>
      </c>
      <c r="AB3009" s="21" t="n">
        <v>0</v>
      </c>
      <c r="AC3009" s="21" t="n">
        <v>0</v>
      </c>
      <c r="AD3009" s="21" t="n">
        <v>0</v>
      </c>
      <c r="AE3009" s="21" t="n">
        <v>0</v>
      </c>
      <c r="AF3009" s="21" t="n">
        <v>0</v>
      </c>
      <c r="AG3009" s="21" t="n">
        <v>0</v>
      </c>
      <c r="AH3009" s="21" t="n">
        <v>0</v>
      </c>
      <c r="AI3009" s="21" t="n">
        <v>0</v>
      </c>
      <c r="AJ3009" s="21" t="n">
        <v>0</v>
      </c>
      <c r="AK3009" s="21" t="n">
        <v>0</v>
      </c>
      <c r="AL3009" s="21" t="n">
        <v>0</v>
      </c>
      <c r="AM3009" s="21" t="n">
        <v>0</v>
      </c>
      <c r="AN3009" s="21" t="n">
        <v>0</v>
      </c>
      <c r="AO3009" s="21" t="n">
        <v>0</v>
      </c>
      <c r="AP3009" s="21" t="n">
        <v>0</v>
      </c>
      <c r="AQ3009" s="21" t="n">
        <v>0</v>
      </c>
      <c r="AR3009" s="21" t="n">
        <v>0</v>
      </c>
      <c r="AS3009" s="21" t="n">
        <v>0</v>
      </c>
      <c r="AT3009" s="19" t="n"/>
    </row>
    <row r="3010">
      <c r="D3010" s="21" t="n">
        <v>0</v>
      </c>
      <c r="E3010" s="21" t="n">
        <v>0</v>
      </c>
      <c r="F3010" s="21" t="n">
        <v>0</v>
      </c>
      <c r="G3010" s="21" t="n">
        <v>0</v>
      </c>
      <c r="H3010" s="21" t="n">
        <v>0</v>
      </c>
      <c r="I3010" s="21" t="n">
        <v>0</v>
      </c>
      <c r="J3010" s="21" t="n">
        <v>0</v>
      </c>
      <c r="K3010" s="21" t="n">
        <v>0</v>
      </c>
      <c r="L3010" s="21" t="n">
        <v>0</v>
      </c>
      <c r="M3010" s="21" t="n">
        <v>0</v>
      </c>
      <c r="N3010" s="21" t="n">
        <v>0</v>
      </c>
      <c r="O3010" s="21" t="n">
        <v>0</v>
      </c>
      <c r="P3010" s="21" t="n">
        <v>0</v>
      </c>
      <c r="Q3010" s="21" t="n">
        <v>0</v>
      </c>
      <c r="R3010" s="21" t="n">
        <v>0</v>
      </c>
      <c r="S3010" s="21" t="n">
        <v>0</v>
      </c>
      <c r="T3010" s="21">
        <f>-$B$1811</f>
        <v/>
      </c>
      <c r="U3010" s="21">
        <f>-$B$1812</f>
        <v/>
      </c>
      <c r="V3010" s="21">
        <f>2*$B$1811+$D$2979</f>
        <v/>
      </c>
      <c r="W3010" s="21">
        <f>0</f>
        <v/>
      </c>
      <c r="X3010" s="21">
        <f>-$B$1811</f>
        <v/>
      </c>
      <c r="Y3010" s="21">
        <f>$B$1812</f>
        <v/>
      </c>
      <c r="Z3010" s="21" t="n">
        <v>0</v>
      </c>
      <c r="AA3010" s="21" t="n">
        <v>0</v>
      </c>
      <c r="AB3010" s="21" t="n">
        <v>0</v>
      </c>
      <c r="AC3010" s="21" t="n">
        <v>0</v>
      </c>
      <c r="AD3010" s="21" t="n">
        <v>0</v>
      </c>
      <c r="AE3010" s="21" t="n">
        <v>0</v>
      </c>
      <c r="AF3010" s="21" t="n">
        <v>0</v>
      </c>
      <c r="AG3010" s="21" t="n">
        <v>0</v>
      </c>
      <c r="AH3010" s="21" t="n">
        <v>0</v>
      </c>
      <c r="AI3010" s="21" t="n">
        <v>0</v>
      </c>
      <c r="AJ3010" s="21" t="n">
        <v>0</v>
      </c>
      <c r="AK3010" s="21" t="n">
        <v>0</v>
      </c>
      <c r="AL3010" s="21" t="n">
        <v>0</v>
      </c>
      <c r="AM3010" s="21" t="n">
        <v>0</v>
      </c>
      <c r="AN3010" s="21" t="n">
        <v>0</v>
      </c>
      <c r="AO3010" s="21" t="n">
        <v>0</v>
      </c>
      <c r="AP3010" s="21" t="n">
        <v>0</v>
      </c>
      <c r="AQ3010" s="21" t="n">
        <v>0</v>
      </c>
      <c r="AR3010" s="21" t="n">
        <v>0</v>
      </c>
      <c r="AS3010" s="21" t="n">
        <v>0</v>
      </c>
      <c r="AT3010" s="19" t="n"/>
    </row>
    <row r="3011">
      <c r="D3011" s="21" t="n">
        <v>0</v>
      </c>
      <c r="E3011" s="21" t="n">
        <v>0</v>
      </c>
      <c r="F3011" s="21" t="n">
        <v>0</v>
      </c>
      <c r="G3011" s="21" t="n">
        <v>0</v>
      </c>
      <c r="H3011" s="21" t="n">
        <v>0</v>
      </c>
      <c r="I3011" s="21" t="n">
        <v>0</v>
      </c>
      <c r="J3011" s="21" t="n">
        <v>0</v>
      </c>
      <c r="K3011" s="21" t="n">
        <v>0</v>
      </c>
      <c r="L3011" s="21" t="n">
        <v>0</v>
      </c>
      <c r="M3011" s="21" t="n">
        <v>0</v>
      </c>
      <c r="N3011" s="21" t="n">
        <v>0</v>
      </c>
      <c r="O3011" s="21" t="n">
        <v>0</v>
      </c>
      <c r="P3011" s="21" t="n">
        <v>0</v>
      </c>
      <c r="Q3011" s="21" t="n">
        <v>0</v>
      </c>
      <c r="R3011" s="21" t="n">
        <v>0</v>
      </c>
      <c r="S3011" s="21" t="n">
        <v>0</v>
      </c>
      <c r="T3011" s="21">
        <f>$B$1812</f>
        <v/>
      </c>
      <c r="U3011" s="21">
        <f>$B$1814</f>
        <v/>
      </c>
      <c r="V3011" s="21">
        <f>0</f>
        <v/>
      </c>
      <c r="W3011" s="21">
        <f>2*$B$1813</f>
        <v/>
      </c>
      <c r="X3011" s="21">
        <f>-$B$1812</f>
        <v/>
      </c>
      <c r="Y3011" s="21">
        <f>$B$1814</f>
        <v/>
      </c>
      <c r="Z3011" s="21" t="n">
        <v>0</v>
      </c>
      <c r="AA3011" s="21" t="n">
        <v>0</v>
      </c>
      <c r="AB3011" s="21" t="n">
        <v>0</v>
      </c>
      <c r="AC3011" s="21" t="n">
        <v>0</v>
      </c>
      <c r="AD3011" s="21" t="n">
        <v>0</v>
      </c>
      <c r="AE3011" s="21" t="n">
        <v>0</v>
      </c>
      <c r="AF3011" s="21" t="n">
        <v>0</v>
      </c>
      <c r="AG3011" s="21" t="n">
        <v>0</v>
      </c>
      <c r="AH3011" s="21" t="n">
        <v>0</v>
      </c>
      <c r="AI3011" s="21" t="n">
        <v>0</v>
      </c>
      <c r="AJ3011" s="21" t="n">
        <v>0</v>
      </c>
      <c r="AK3011" s="21" t="n">
        <v>0</v>
      </c>
      <c r="AL3011" s="21" t="n">
        <v>0</v>
      </c>
      <c r="AM3011" s="21" t="n">
        <v>0</v>
      </c>
      <c r="AN3011" s="21" t="n">
        <v>0</v>
      </c>
      <c r="AO3011" s="21" t="n">
        <v>0</v>
      </c>
      <c r="AP3011" s="21" t="n">
        <v>0</v>
      </c>
      <c r="AQ3011" s="21" t="n">
        <v>0</v>
      </c>
      <c r="AR3011" s="21" t="n">
        <v>0</v>
      </c>
      <c r="AS3011" s="21" t="n">
        <v>0</v>
      </c>
      <c r="AT3011" s="19" t="n"/>
    </row>
    <row r="3012">
      <c r="D3012" s="21" t="n">
        <v>0</v>
      </c>
      <c r="E3012" s="21" t="n">
        <v>0</v>
      </c>
      <c r="F3012" s="21" t="n">
        <v>0</v>
      </c>
      <c r="G3012" s="21" t="n">
        <v>0</v>
      </c>
      <c r="H3012" s="21" t="n">
        <v>0</v>
      </c>
      <c r="I3012" s="21" t="n">
        <v>0</v>
      </c>
      <c r="J3012" s="21" t="n">
        <v>0</v>
      </c>
      <c r="K3012" s="21" t="n">
        <v>0</v>
      </c>
      <c r="L3012" s="21" t="n">
        <v>0</v>
      </c>
      <c r="M3012" s="21" t="n">
        <v>0</v>
      </c>
      <c r="N3012" s="21" t="n">
        <v>0</v>
      </c>
      <c r="O3012" s="21" t="n">
        <v>0</v>
      </c>
      <c r="P3012" s="21" t="n">
        <v>0</v>
      </c>
      <c r="Q3012" s="21" t="n">
        <v>0</v>
      </c>
      <c r="R3012" s="21" t="n">
        <v>0</v>
      </c>
      <c r="S3012" s="21" t="n">
        <v>0</v>
      </c>
      <c r="T3012" s="21" t="n">
        <v>0</v>
      </c>
      <c r="U3012" s="21" t="n">
        <v>0</v>
      </c>
      <c r="V3012" s="21">
        <f>-$B$1811</f>
        <v/>
      </c>
      <c r="W3012" s="21">
        <f>-$B$1812</f>
        <v/>
      </c>
      <c r="X3012" s="21">
        <f>2*$B$1811+$D$2980</f>
        <v/>
      </c>
      <c r="Y3012" s="21">
        <f>0</f>
        <v/>
      </c>
      <c r="Z3012" s="21">
        <f>-$B$1811</f>
        <v/>
      </c>
      <c r="AA3012" s="21">
        <f>$B$1812</f>
        <v/>
      </c>
      <c r="AB3012" s="21" t="n">
        <v>0</v>
      </c>
      <c r="AC3012" s="21" t="n">
        <v>0</v>
      </c>
      <c r="AD3012" s="21" t="n">
        <v>0</v>
      </c>
      <c r="AE3012" s="21" t="n">
        <v>0</v>
      </c>
      <c r="AF3012" s="21" t="n">
        <v>0</v>
      </c>
      <c r="AG3012" s="21" t="n">
        <v>0</v>
      </c>
      <c r="AH3012" s="21" t="n">
        <v>0</v>
      </c>
      <c r="AI3012" s="21" t="n">
        <v>0</v>
      </c>
      <c r="AJ3012" s="21" t="n">
        <v>0</v>
      </c>
      <c r="AK3012" s="21" t="n">
        <v>0</v>
      </c>
      <c r="AL3012" s="21" t="n">
        <v>0</v>
      </c>
      <c r="AM3012" s="21" t="n">
        <v>0</v>
      </c>
      <c r="AN3012" s="21" t="n">
        <v>0</v>
      </c>
      <c r="AO3012" s="21" t="n">
        <v>0</v>
      </c>
      <c r="AP3012" s="21" t="n">
        <v>0</v>
      </c>
      <c r="AQ3012" s="21" t="n">
        <v>0</v>
      </c>
      <c r="AR3012" s="21" t="n">
        <v>0</v>
      </c>
      <c r="AS3012" s="21" t="n">
        <v>0</v>
      </c>
      <c r="AT3012" s="19" t="n"/>
    </row>
    <row r="3013">
      <c r="D3013" s="21" t="n">
        <v>0</v>
      </c>
      <c r="E3013" s="21" t="n">
        <v>0</v>
      </c>
      <c r="F3013" s="21" t="n">
        <v>0</v>
      </c>
      <c r="G3013" s="21" t="n">
        <v>0</v>
      </c>
      <c r="H3013" s="21" t="n">
        <v>0</v>
      </c>
      <c r="I3013" s="21" t="n">
        <v>0</v>
      </c>
      <c r="J3013" s="21" t="n">
        <v>0</v>
      </c>
      <c r="K3013" s="21" t="n">
        <v>0</v>
      </c>
      <c r="L3013" s="21" t="n">
        <v>0</v>
      </c>
      <c r="M3013" s="21" t="n">
        <v>0</v>
      </c>
      <c r="N3013" s="21" t="n">
        <v>0</v>
      </c>
      <c r="O3013" s="21" t="n">
        <v>0</v>
      </c>
      <c r="P3013" s="21" t="n">
        <v>0</v>
      </c>
      <c r="Q3013" s="21" t="n">
        <v>0</v>
      </c>
      <c r="R3013" s="21" t="n">
        <v>0</v>
      </c>
      <c r="S3013" s="21" t="n">
        <v>0</v>
      </c>
      <c r="T3013" s="21" t="n">
        <v>0</v>
      </c>
      <c r="U3013" s="21" t="n">
        <v>0</v>
      </c>
      <c r="V3013" s="21">
        <f>$B$1812</f>
        <v/>
      </c>
      <c r="W3013" s="21">
        <f>$B$1814</f>
        <v/>
      </c>
      <c r="X3013" s="21">
        <f>0</f>
        <v/>
      </c>
      <c r="Y3013" s="21">
        <f>2*$B$1813</f>
        <v/>
      </c>
      <c r="Z3013" s="21">
        <f>-$B$1812</f>
        <v/>
      </c>
      <c r="AA3013" s="21">
        <f>$B$1814</f>
        <v/>
      </c>
      <c r="AB3013" s="21" t="n">
        <v>0</v>
      </c>
      <c r="AC3013" s="21" t="n">
        <v>0</v>
      </c>
      <c r="AD3013" s="21" t="n">
        <v>0</v>
      </c>
      <c r="AE3013" s="21" t="n">
        <v>0</v>
      </c>
      <c r="AF3013" s="21" t="n">
        <v>0</v>
      </c>
      <c r="AG3013" s="21" t="n">
        <v>0</v>
      </c>
      <c r="AH3013" s="21" t="n">
        <v>0</v>
      </c>
      <c r="AI3013" s="21" t="n">
        <v>0</v>
      </c>
      <c r="AJ3013" s="21" t="n">
        <v>0</v>
      </c>
      <c r="AK3013" s="21" t="n">
        <v>0</v>
      </c>
      <c r="AL3013" s="21" t="n">
        <v>0</v>
      </c>
      <c r="AM3013" s="21" t="n">
        <v>0</v>
      </c>
      <c r="AN3013" s="21" t="n">
        <v>0</v>
      </c>
      <c r="AO3013" s="21" t="n">
        <v>0</v>
      </c>
      <c r="AP3013" s="21" t="n">
        <v>0</v>
      </c>
      <c r="AQ3013" s="21" t="n">
        <v>0</v>
      </c>
      <c r="AR3013" s="21" t="n">
        <v>0</v>
      </c>
      <c r="AS3013" s="21" t="n">
        <v>0</v>
      </c>
      <c r="AT3013" s="19" t="n"/>
    </row>
    <row r="3014">
      <c r="D3014" s="21" t="n">
        <v>0</v>
      </c>
      <c r="E3014" s="21" t="n">
        <v>0</v>
      </c>
      <c r="F3014" s="21" t="n">
        <v>0</v>
      </c>
      <c r="G3014" s="21" t="n">
        <v>0</v>
      </c>
      <c r="H3014" s="21" t="n">
        <v>0</v>
      </c>
      <c r="I3014" s="21" t="n">
        <v>0</v>
      </c>
      <c r="J3014" s="21" t="n">
        <v>0</v>
      </c>
      <c r="K3014" s="21" t="n">
        <v>0</v>
      </c>
      <c r="L3014" s="21" t="n">
        <v>0</v>
      </c>
      <c r="M3014" s="21" t="n">
        <v>0</v>
      </c>
      <c r="N3014" s="21" t="n">
        <v>0</v>
      </c>
      <c r="O3014" s="21" t="n">
        <v>0</v>
      </c>
      <c r="P3014" s="21" t="n">
        <v>0</v>
      </c>
      <c r="Q3014" s="21" t="n">
        <v>0</v>
      </c>
      <c r="R3014" s="21" t="n">
        <v>0</v>
      </c>
      <c r="S3014" s="21" t="n">
        <v>0</v>
      </c>
      <c r="T3014" s="21" t="n">
        <v>0</v>
      </c>
      <c r="U3014" s="21" t="n">
        <v>0</v>
      </c>
      <c r="V3014" s="21" t="n">
        <v>0</v>
      </c>
      <c r="W3014" s="21" t="n">
        <v>0</v>
      </c>
      <c r="X3014" s="21">
        <f>-$B$1811</f>
        <v/>
      </c>
      <c r="Y3014" s="21">
        <f>-$B$1812</f>
        <v/>
      </c>
      <c r="Z3014" s="21">
        <f>2*$B$1811+$D$2981</f>
        <v/>
      </c>
      <c r="AA3014" s="21">
        <f>0</f>
        <v/>
      </c>
      <c r="AB3014" s="21">
        <f>-$B$1811</f>
        <v/>
      </c>
      <c r="AC3014" s="21">
        <f>$B$1812</f>
        <v/>
      </c>
      <c r="AD3014" s="21" t="n">
        <v>0</v>
      </c>
      <c r="AE3014" s="21" t="n">
        <v>0</v>
      </c>
      <c r="AF3014" s="21" t="n">
        <v>0</v>
      </c>
      <c r="AG3014" s="21" t="n">
        <v>0</v>
      </c>
      <c r="AH3014" s="21" t="n">
        <v>0</v>
      </c>
      <c r="AI3014" s="21" t="n">
        <v>0</v>
      </c>
      <c r="AJ3014" s="21" t="n">
        <v>0</v>
      </c>
      <c r="AK3014" s="21" t="n">
        <v>0</v>
      </c>
      <c r="AL3014" s="21" t="n">
        <v>0</v>
      </c>
      <c r="AM3014" s="21" t="n">
        <v>0</v>
      </c>
      <c r="AN3014" s="21" t="n">
        <v>0</v>
      </c>
      <c r="AO3014" s="21" t="n">
        <v>0</v>
      </c>
      <c r="AP3014" s="21" t="n">
        <v>0</v>
      </c>
      <c r="AQ3014" s="21" t="n">
        <v>0</v>
      </c>
      <c r="AR3014" s="21" t="n">
        <v>0</v>
      </c>
      <c r="AS3014" s="21" t="n">
        <v>0</v>
      </c>
      <c r="AT3014" s="19" t="n"/>
    </row>
    <row r="3015">
      <c r="D3015" s="21" t="n">
        <v>0</v>
      </c>
      <c r="E3015" s="21" t="n">
        <v>0</v>
      </c>
      <c r="F3015" s="21" t="n">
        <v>0</v>
      </c>
      <c r="G3015" s="21" t="n">
        <v>0</v>
      </c>
      <c r="H3015" s="21" t="n">
        <v>0</v>
      </c>
      <c r="I3015" s="21" t="n">
        <v>0</v>
      </c>
      <c r="J3015" s="21" t="n">
        <v>0</v>
      </c>
      <c r="K3015" s="21" t="n">
        <v>0</v>
      </c>
      <c r="L3015" s="21" t="n">
        <v>0</v>
      </c>
      <c r="M3015" s="21" t="n">
        <v>0</v>
      </c>
      <c r="N3015" s="21" t="n">
        <v>0</v>
      </c>
      <c r="O3015" s="21" t="n">
        <v>0</v>
      </c>
      <c r="P3015" s="21" t="n">
        <v>0</v>
      </c>
      <c r="Q3015" s="21" t="n">
        <v>0</v>
      </c>
      <c r="R3015" s="21" t="n">
        <v>0</v>
      </c>
      <c r="S3015" s="21" t="n">
        <v>0</v>
      </c>
      <c r="T3015" s="21" t="n">
        <v>0</v>
      </c>
      <c r="U3015" s="21" t="n">
        <v>0</v>
      </c>
      <c r="V3015" s="21" t="n">
        <v>0</v>
      </c>
      <c r="W3015" s="21" t="n">
        <v>0</v>
      </c>
      <c r="X3015" s="21">
        <f>$B$1812</f>
        <v/>
      </c>
      <c r="Y3015" s="21">
        <f>$B$1814</f>
        <v/>
      </c>
      <c r="Z3015" s="21">
        <f>0</f>
        <v/>
      </c>
      <c r="AA3015" s="21">
        <f>2*$B$1813</f>
        <v/>
      </c>
      <c r="AB3015" s="21">
        <f>-$B$1812</f>
        <v/>
      </c>
      <c r="AC3015" s="21">
        <f>$B$1814</f>
        <v/>
      </c>
      <c r="AD3015" s="21" t="n">
        <v>0</v>
      </c>
      <c r="AE3015" s="21" t="n">
        <v>0</v>
      </c>
      <c r="AF3015" s="21" t="n">
        <v>0</v>
      </c>
      <c r="AG3015" s="21" t="n">
        <v>0</v>
      </c>
      <c r="AH3015" s="21" t="n">
        <v>0</v>
      </c>
      <c r="AI3015" s="21" t="n">
        <v>0</v>
      </c>
      <c r="AJ3015" s="21" t="n">
        <v>0</v>
      </c>
      <c r="AK3015" s="21" t="n">
        <v>0</v>
      </c>
      <c r="AL3015" s="21" t="n">
        <v>0</v>
      </c>
      <c r="AM3015" s="21" t="n">
        <v>0</v>
      </c>
      <c r="AN3015" s="21" t="n">
        <v>0</v>
      </c>
      <c r="AO3015" s="21" t="n">
        <v>0</v>
      </c>
      <c r="AP3015" s="21" t="n">
        <v>0</v>
      </c>
      <c r="AQ3015" s="21" t="n">
        <v>0</v>
      </c>
      <c r="AR3015" s="21" t="n">
        <v>0</v>
      </c>
      <c r="AS3015" s="21" t="n">
        <v>0</v>
      </c>
      <c r="AT3015" s="19" t="n"/>
    </row>
    <row r="3016">
      <c r="D3016" s="21" t="n">
        <v>0</v>
      </c>
      <c r="E3016" s="21" t="n">
        <v>0</v>
      </c>
      <c r="F3016" s="21" t="n">
        <v>0</v>
      </c>
      <c r="G3016" s="21" t="n">
        <v>0</v>
      </c>
      <c r="H3016" s="21" t="n">
        <v>0</v>
      </c>
      <c r="I3016" s="21" t="n">
        <v>0</v>
      </c>
      <c r="J3016" s="21" t="n">
        <v>0</v>
      </c>
      <c r="K3016" s="21" t="n">
        <v>0</v>
      </c>
      <c r="L3016" s="21" t="n">
        <v>0</v>
      </c>
      <c r="M3016" s="21" t="n">
        <v>0</v>
      </c>
      <c r="N3016" s="21" t="n">
        <v>0</v>
      </c>
      <c r="O3016" s="21" t="n">
        <v>0</v>
      </c>
      <c r="P3016" s="21" t="n">
        <v>0</v>
      </c>
      <c r="Q3016" s="21" t="n">
        <v>0</v>
      </c>
      <c r="R3016" s="21" t="n">
        <v>0</v>
      </c>
      <c r="S3016" s="21" t="n">
        <v>0</v>
      </c>
      <c r="T3016" s="21" t="n">
        <v>0</v>
      </c>
      <c r="U3016" s="21" t="n">
        <v>0</v>
      </c>
      <c r="V3016" s="21" t="n">
        <v>0</v>
      </c>
      <c r="W3016" s="21" t="n">
        <v>0</v>
      </c>
      <c r="X3016" s="21" t="n">
        <v>0</v>
      </c>
      <c r="Y3016" s="21" t="n">
        <v>0</v>
      </c>
      <c r="Z3016" s="21">
        <f>-$B$1811</f>
        <v/>
      </c>
      <c r="AA3016" s="21">
        <f>-$B$1812</f>
        <v/>
      </c>
      <c r="AB3016" s="21">
        <f>2*$B$1811+$D$2982</f>
        <v/>
      </c>
      <c r="AC3016" s="21">
        <f>0</f>
        <v/>
      </c>
      <c r="AD3016" s="21">
        <f>-$B$1811</f>
        <v/>
      </c>
      <c r="AE3016" s="21">
        <f>$B$1812</f>
        <v/>
      </c>
      <c r="AF3016" s="21" t="n">
        <v>0</v>
      </c>
      <c r="AG3016" s="21" t="n">
        <v>0</v>
      </c>
      <c r="AH3016" s="21" t="n">
        <v>0</v>
      </c>
      <c r="AI3016" s="21" t="n">
        <v>0</v>
      </c>
      <c r="AJ3016" s="21" t="n">
        <v>0</v>
      </c>
      <c r="AK3016" s="21" t="n">
        <v>0</v>
      </c>
      <c r="AL3016" s="21" t="n">
        <v>0</v>
      </c>
      <c r="AM3016" s="21" t="n">
        <v>0</v>
      </c>
      <c r="AN3016" s="21" t="n">
        <v>0</v>
      </c>
      <c r="AO3016" s="21" t="n">
        <v>0</v>
      </c>
      <c r="AP3016" s="21" t="n">
        <v>0</v>
      </c>
      <c r="AQ3016" s="21" t="n">
        <v>0</v>
      </c>
      <c r="AR3016" s="21" t="n">
        <v>0</v>
      </c>
      <c r="AS3016" s="21" t="n">
        <v>0</v>
      </c>
      <c r="AT3016" s="19" t="n"/>
    </row>
    <row r="3017">
      <c r="D3017" s="21" t="n">
        <v>0</v>
      </c>
      <c r="E3017" s="21" t="n">
        <v>0</v>
      </c>
      <c r="F3017" s="21" t="n">
        <v>0</v>
      </c>
      <c r="G3017" s="21" t="n">
        <v>0</v>
      </c>
      <c r="H3017" s="21" t="n">
        <v>0</v>
      </c>
      <c r="I3017" s="21" t="n">
        <v>0</v>
      </c>
      <c r="J3017" s="21" t="n">
        <v>0</v>
      </c>
      <c r="K3017" s="21" t="n">
        <v>0</v>
      </c>
      <c r="L3017" s="21" t="n">
        <v>0</v>
      </c>
      <c r="M3017" s="21" t="n">
        <v>0</v>
      </c>
      <c r="N3017" s="21" t="n">
        <v>0</v>
      </c>
      <c r="O3017" s="21" t="n">
        <v>0</v>
      </c>
      <c r="P3017" s="21" t="n">
        <v>0</v>
      </c>
      <c r="Q3017" s="21" t="n">
        <v>0</v>
      </c>
      <c r="R3017" s="21" t="n">
        <v>0</v>
      </c>
      <c r="S3017" s="21" t="n">
        <v>0</v>
      </c>
      <c r="T3017" s="21" t="n">
        <v>0</v>
      </c>
      <c r="U3017" s="21" t="n">
        <v>0</v>
      </c>
      <c r="V3017" s="21" t="n">
        <v>0</v>
      </c>
      <c r="W3017" s="21" t="n">
        <v>0</v>
      </c>
      <c r="X3017" s="21" t="n">
        <v>0</v>
      </c>
      <c r="Y3017" s="21" t="n">
        <v>0</v>
      </c>
      <c r="Z3017" s="21">
        <f>$B$1812</f>
        <v/>
      </c>
      <c r="AA3017" s="21">
        <f>$B$1814</f>
        <v/>
      </c>
      <c r="AB3017" s="21">
        <f>0</f>
        <v/>
      </c>
      <c r="AC3017" s="21">
        <f>2*$B$1813</f>
        <v/>
      </c>
      <c r="AD3017" s="21">
        <f>-$B$1812</f>
        <v/>
      </c>
      <c r="AE3017" s="21">
        <f>$B$1814</f>
        <v/>
      </c>
      <c r="AF3017" s="21" t="n">
        <v>0</v>
      </c>
      <c r="AG3017" s="21" t="n">
        <v>0</v>
      </c>
      <c r="AH3017" s="21" t="n">
        <v>0</v>
      </c>
      <c r="AI3017" s="21" t="n">
        <v>0</v>
      </c>
      <c r="AJ3017" s="21" t="n">
        <v>0</v>
      </c>
      <c r="AK3017" s="21" t="n">
        <v>0</v>
      </c>
      <c r="AL3017" s="21" t="n">
        <v>0</v>
      </c>
      <c r="AM3017" s="21" t="n">
        <v>0</v>
      </c>
      <c r="AN3017" s="21" t="n">
        <v>0</v>
      </c>
      <c r="AO3017" s="21" t="n">
        <v>0</v>
      </c>
      <c r="AP3017" s="21" t="n">
        <v>0</v>
      </c>
      <c r="AQ3017" s="21" t="n">
        <v>0</v>
      </c>
      <c r="AR3017" s="21" t="n">
        <v>0</v>
      </c>
      <c r="AS3017" s="21" t="n">
        <v>0</v>
      </c>
      <c r="AT3017" s="19" t="n"/>
    </row>
    <row r="3018">
      <c r="D3018" s="21" t="n">
        <v>0</v>
      </c>
      <c r="E3018" s="21" t="n">
        <v>0</v>
      </c>
      <c r="F3018" s="21" t="n">
        <v>0</v>
      </c>
      <c r="G3018" s="21" t="n">
        <v>0</v>
      </c>
      <c r="H3018" s="21" t="n">
        <v>0</v>
      </c>
      <c r="I3018" s="21" t="n">
        <v>0</v>
      </c>
      <c r="J3018" s="21" t="n">
        <v>0</v>
      </c>
      <c r="K3018" s="21" t="n">
        <v>0</v>
      </c>
      <c r="L3018" s="21" t="n">
        <v>0</v>
      </c>
      <c r="M3018" s="21" t="n">
        <v>0</v>
      </c>
      <c r="N3018" s="21" t="n">
        <v>0</v>
      </c>
      <c r="O3018" s="21" t="n">
        <v>0</v>
      </c>
      <c r="P3018" s="21" t="n">
        <v>0</v>
      </c>
      <c r="Q3018" s="21" t="n">
        <v>0</v>
      </c>
      <c r="R3018" s="21" t="n">
        <v>0</v>
      </c>
      <c r="S3018" s="21" t="n">
        <v>0</v>
      </c>
      <c r="T3018" s="21" t="n">
        <v>0</v>
      </c>
      <c r="U3018" s="21" t="n">
        <v>0</v>
      </c>
      <c r="V3018" s="21" t="n">
        <v>0</v>
      </c>
      <c r="W3018" s="21" t="n">
        <v>0</v>
      </c>
      <c r="X3018" s="21" t="n">
        <v>0</v>
      </c>
      <c r="Y3018" s="21" t="n">
        <v>0</v>
      </c>
      <c r="Z3018" s="21" t="n">
        <v>0</v>
      </c>
      <c r="AA3018" s="21" t="n">
        <v>0</v>
      </c>
      <c r="AB3018" s="21">
        <f>-$B$1811</f>
        <v/>
      </c>
      <c r="AC3018" s="21">
        <f>-$B$1812</f>
        <v/>
      </c>
      <c r="AD3018" s="21">
        <f>2*$B$1811+$D$2983</f>
        <v/>
      </c>
      <c r="AE3018" s="21">
        <f>0</f>
        <v/>
      </c>
      <c r="AF3018" s="21">
        <f>-$B$1811</f>
        <v/>
      </c>
      <c r="AG3018" s="21">
        <f>$B$1812</f>
        <v/>
      </c>
      <c r="AH3018" s="21" t="n">
        <v>0</v>
      </c>
      <c r="AI3018" s="21" t="n">
        <v>0</v>
      </c>
      <c r="AJ3018" s="21" t="n">
        <v>0</v>
      </c>
      <c r="AK3018" s="21" t="n">
        <v>0</v>
      </c>
      <c r="AL3018" s="21" t="n">
        <v>0</v>
      </c>
      <c r="AM3018" s="21" t="n">
        <v>0</v>
      </c>
      <c r="AN3018" s="21" t="n">
        <v>0</v>
      </c>
      <c r="AO3018" s="21" t="n">
        <v>0</v>
      </c>
      <c r="AP3018" s="21" t="n">
        <v>0</v>
      </c>
      <c r="AQ3018" s="21" t="n">
        <v>0</v>
      </c>
      <c r="AR3018" s="21" t="n">
        <v>0</v>
      </c>
      <c r="AS3018" s="21" t="n">
        <v>0</v>
      </c>
      <c r="AT3018" s="19" t="n"/>
    </row>
    <row r="3019">
      <c r="D3019" s="21" t="n">
        <v>0</v>
      </c>
      <c r="E3019" s="21" t="n">
        <v>0</v>
      </c>
      <c r="F3019" s="21" t="n">
        <v>0</v>
      </c>
      <c r="G3019" s="21" t="n">
        <v>0</v>
      </c>
      <c r="H3019" s="21" t="n">
        <v>0</v>
      </c>
      <c r="I3019" s="21" t="n">
        <v>0</v>
      </c>
      <c r="J3019" s="21" t="n">
        <v>0</v>
      </c>
      <c r="K3019" s="21" t="n">
        <v>0</v>
      </c>
      <c r="L3019" s="21" t="n">
        <v>0</v>
      </c>
      <c r="M3019" s="21" t="n">
        <v>0</v>
      </c>
      <c r="N3019" s="21" t="n">
        <v>0</v>
      </c>
      <c r="O3019" s="21" t="n">
        <v>0</v>
      </c>
      <c r="P3019" s="21" t="n">
        <v>0</v>
      </c>
      <c r="Q3019" s="21" t="n">
        <v>0</v>
      </c>
      <c r="R3019" s="21" t="n">
        <v>0</v>
      </c>
      <c r="S3019" s="21" t="n">
        <v>0</v>
      </c>
      <c r="T3019" s="21" t="n">
        <v>0</v>
      </c>
      <c r="U3019" s="21" t="n">
        <v>0</v>
      </c>
      <c r="V3019" s="21" t="n">
        <v>0</v>
      </c>
      <c r="W3019" s="21" t="n">
        <v>0</v>
      </c>
      <c r="X3019" s="21" t="n">
        <v>0</v>
      </c>
      <c r="Y3019" s="21" t="n">
        <v>0</v>
      </c>
      <c r="Z3019" s="21" t="n">
        <v>0</v>
      </c>
      <c r="AA3019" s="21" t="n">
        <v>0</v>
      </c>
      <c r="AB3019" s="21">
        <f>$B$1812</f>
        <v/>
      </c>
      <c r="AC3019" s="21">
        <f>$B$1814</f>
        <v/>
      </c>
      <c r="AD3019" s="21">
        <f>0</f>
        <v/>
      </c>
      <c r="AE3019" s="21">
        <f>2*$B$1813</f>
        <v/>
      </c>
      <c r="AF3019" s="21">
        <f>-$B$1812</f>
        <v/>
      </c>
      <c r="AG3019" s="21">
        <f>$B$1814</f>
        <v/>
      </c>
      <c r="AH3019" s="21" t="n">
        <v>0</v>
      </c>
      <c r="AI3019" s="21" t="n">
        <v>0</v>
      </c>
      <c r="AJ3019" s="21" t="n">
        <v>0</v>
      </c>
      <c r="AK3019" s="21" t="n">
        <v>0</v>
      </c>
      <c r="AL3019" s="21" t="n">
        <v>0</v>
      </c>
      <c r="AM3019" s="21" t="n">
        <v>0</v>
      </c>
      <c r="AN3019" s="21" t="n">
        <v>0</v>
      </c>
      <c r="AO3019" s="21" t="n">
        <v>0</v>
      </c>
      <c r="AP3019" s="21" t="n">
        <v>0</v>
      </c>
      <c r="AQ3019" s="21" t="n">
        <v>0</v>
      </c>
      <c r="AR3019" s="21" t="n">
        <v>0</v>
      </c>
      <c r="AS3019" s="21" t="n">
        <v>0</v>
      </c>
      <c r="AT3019" s="19" t="n"/>
    </row>
    <row r="3020">
      <c r="D3020" s="21" t="n">
        <v>0</v>
      </c>
      <c r="E3020" s="21" t="n">
        <v>0</v>
      </c>
      <c r="F3020" s="21" t="n">
        <v>0</v>
      </c>
      <c r="G3020" s="21" t="n">
        <v>0</v>
      </c>
      <c r="H3020" s="21" t="n">
        <v>0</v>
      </c>
      <c r="I3020" s="21" t="n">
        <v>0</v>
      </c>
      <c r="J3020" s="21" t="n">
        <v>0</v>
      </c>
      <c r="K3020" s="21" t="n">
        <v>0</v>
      </c>
      <c r="L3020" s="21" t="n">
        <v>0</v>
      </c>
      <c r="M3020" s="21" t="n">
        <v>0</v>
      </c>
      <c r="N3020" s="21" t="n">
        <v>0</v>
      </c>
      <c r="O3020" s="21" t="n">
        <v>0</v>
      </c>
      <c r="P3020" s="21" t="n">
        <v>0</v>
      </c>
      <c r="Q3020" s="21" t="n">
        <v>0</v>
      </c>
      <c r="R3020" s="21" t="n">
        <v>0</v>
      </c>
      <c r="S3020" s="21" t="n">
        <v>0</v>
      </c>
      <c r="T3020" s="21" t="n">
        <v>0</v>
      </c>
      <c r="U3020" s="21" t="n">
        <v>0</v>
      </c>
      <c r="V3020" s="21" t="n">
        <v>0</v>
      </c>
      <c r="W3020" s="21" t="n">
        <v>0</v>
      </c>
      <c r="X3020" s="21" t="n">
        <v>0</v>
      </c>
      <c r="Y3020" s="21" t="n">
        <v>0</v>
      </c>
      <c r="Z3020" s="21" t="n">
        <v>0</v>
      </c>
      <c r="AA3020" s="21" t="n">
        <v>0</v>
      </c>
      <c r="AB3020" s="21" t="n">
        <v>0</v>
      </c>
      <c r="AC3020" s="21" t="n">
        <v>0</v>
      </c>
      <c r="AD3020" s="21">
        <f>-$B$1811</f>
        <v/>
      </c>
      <c r="AE3020" s="21">
        <f>-$B$1812</f>
        <v/>
      </c>
      <c r="AF3020" s="21">
        <f>2*$B$1811+$D$2984</f>
        <v/>
      </c>
      <c r="AG3020" s="21">
        <f>0</f>
        <v/>
      </c>
      <c r="AH3020" s="21">
        <f>-$B$1811</f>
        <v/>
      </c>
      <c r="AI3020" s="21">
        <f>$B$1812</f>
        <v/>
      </c>
      <c r="AJ3020" s="21" t="n">
        <v>0</v>
      </c>
      <c r="AK3020" s="21" t="n">
        <v>0</v>
      </c>
      <c r="AL3020" s="21" t="n">
        <v>0</v>
      </c>
      <c r="AM3020" s="21" t="n">
        <v>0</v>
      </c>
      <c r="AN3020" s="21" t="n">
        <v>0</v>
      </c>
      <c r="AO3020" s="21" t="n">
        <v>0</v>
      </c>
      <c r="AP3020" s="21" t="n">
        <v>0</v>
      </c>
      <c r="AQ3020" s="21" t="n">
        <v>0</v>
      </c>
      <c r="AR3020" s="21" t="n">
        <v>0</v>
      </c>
      <c r="AS3020" s="21" t="n">
        <v>0</v>
      </c>
      <c r="AT3020" s="19" t="n"/>
    </row>
    <row r="3021">
      <c r="D3021" s="21" t="n">
        <v>0</v>
      </c>
      <c r="E3021" s="21" t="n">
        <v>0</v>
      </c>
      <c r="F3021" s="21" t="n">
        <v>0</v>
      </c>
      <c r="G3021" s="21" t="n">
        <v>0</v>
      </c>
      <c r="H3021" s="21" t="n">
        <v>0</v>
      </c>
      <c r="I3021" s="21" t="n">
        <v>0</v>
      </c>
      <c r="J3021" s="21" t="n">
        <v>0</v>
      </c>
      <c r="K3021" s="21" t="n">
        <v>0</v>
      </c>
      <c r="L3021" s="21" t="n">
        <v>0</v>
      </c>
      <c r="M3021" s="21" t="n">
        <v>0</v>
      </c>
      <c r="N3021" s="21" t="n">
        <v>0</v>
      </c>
      <c r="O3021" s="21" t="n">
        <v>0</v>
      </c>
      <c r="P3021" s="21" t="n">
        <v>0</v>
      </c>
      <c r="Q3021" s="21" t="n">
        <v>0</v>
      </c>
      <c r="R3021" s="21" t="n">
        <v>0</v>
      </c>
      <c r="S3021" s="21" t="n">
        <v>0</v>
      </c>
      <c r="T3021" s="21" t="n">
        <v>0</v>
      </c>
      <c r="U3021" s="21" t="n">
        <v>0</v>
      </c>
      <c r="V3021" s="21" t="n">
        <v>0</v>
      </c>
      <c r="W3021" s="21" t="n">
        <v>0</v>
      </c>
      <c r="X3021" s="21" t="n">
        <v>0</v>
      </c>
      <c r="Y3021" s="21" t="n">
        <v>0</v>
      </c>
      <c r="Z3021" s="21" t="n">
        <v>0</v>
      </c>
      <c r="AA3021" s="21" t="n">
        <v>0</v>
      </c>
      <c r="AB3021" s="21" t="n">
        <v>0</v>
      </c>
      <c r="AC3021" s="21" t="n">
        <v>0</v>
      </c>
      <c r="AD3021" s="21">
        <f>$B$1812</f>
        <v/>
      </c>
      <c r="AE3021" s="21">
        <f>$B$1814</f>
        <v/>
      </c>
      <c r="AF3021" s="21">
        <f>0</f>
        <v/>
      </c>
      <c r="AG3021" s="21">
        <f>2*$B$1813</f>
        <v/>
      </c>
      <c r="AH3021" s="21">
        <f>-$B$1812</f>
        <v/>
      </c>
      <c r="AI3021" s="21">
        <f>$B$1814</f>
        <v/>
      </c>
      <c r="AJ3021" s="21" t="n">
        <v>0</v>
      </c>
      <c r="AK3021" s="21" t="n">
        <v>0</v>
      </c>
      <c r="AL3021" s="21" t="n">
        <v>0</v>
      </c>
      <c r="AM3021" s="21" t="n">
        <v>0</v>
      </c>
      <c r="AN3021" s="21" t="n">
        <v>0</v>
      </c>
      <c r="AO3021" s="21" t="n">
        <v>0</v>
      </c>
      <c r="AP3021" s="21" t="n">
        <v>0</v>
      </c>
      <c r="AQ3021" s="21" t="n">
        <v>0</v>
      </c>
      <c r="AR3021" s="21" t="n">
        <v>0</v>
      </c>
      <c r="AS3021" s="21" t="n">
        <v>0</v>
      </c>
      <c r="AT3021" s="19" t="n"/>
    </row>
    <row r="3022">
      <c r="D3022" s="21" t="n">
        <v>0</v>
      </c>
      <c r="E3022" s="21" t="n">
        <v>0</v>
      </c>
      <c r="F3022" s="21" t="n">
        <v>0</v>
      </c>
      <c r="G3022" s="21" t="n">
        <v>0</v>
      </c>
      <c r="H3022" s="21" t="n">
        <v>0</v>
      </c>
      <c r="I3022" s="21" t="n">
        <v>0</v>
      </c>
      <c r="J3022" s="21" t="n">
        <v>0</v>
      </c>
      <c r="K3022" s="21" t="n">
        <v>0</v>
      </c>
      <c r="L3022" s="21" t="n">
        <v>0</v>
      </c>
      <c r="M3022" s="21" t="n">
        <v>0</v>
      </c>
      <c r="N3022" s="21" t="n">
        <v>0</v>
      </c>
      <c r="O3022" s="21" t="n">
        <v>0</v>
      </c>
      <c r="P3022" s="21" t="n">
        <v>0</v>
      </c>
      <c r="Q3022" s="21" t="n">
        <v>0</v>
      </c>
      <c r="R3022" s="21" t="n">
        <v>0</v>
      </c>
      <c r="S3022" s="21" t="n">
        <v>0</v>
      </c>
      <c r="T3022" s="21" t="n">
        <v>0</v>
      </c>
      <c r="U3022" s="21" t="n">
        <v>0</v>
      </c>
      <c r="V3022" s="21" t="n">
        <v>0</v>
      </c>
      <c r="W3022" s="21" t="n">
        <v>0</v>
      </c>
      <c r="X3022" s="21" t="n">
        <v>0</v>
      </c>
      <c r="Y3022" s="21" t="n">
        <v>0</v>
      </c>
      <c r="Z3022" s="21" t="n">
        <v>0</v>
      </c>
      <c r="AA3022" s="21" t="n">
        <v>0</v>
      </c>
      <c r="AB3022" s="21" t="n">
        <v>0</v>
      </c>
      <c r="AC3022" s="21" t="n">
        <v>0</v>
      </c>
      <c r="AD3022" s="21" t="n">
        <v>0</v>
      </c>
      <c r="AE3022" s="21" t="n">
        <v>0</v>
      </c>
      <c r="AF3022" s="21">
        <f>-$B$1811</f>
        <v/>
      </c>
      <c r="AG3022" s="21">
        <f>-$B$1812</f>
        <v/>
      </c>
      <c r="AH3022" s="21">
        <f>2*$B$1811+$D$2985</f>
        <v/>
      </c>
      <c r="AI3022" s="21">
        <f>0</f>
        <v/>
      </c>
      <c r="AJ3022" s="21">
        <f>-$B$1811</f>
        <v/>
      </c>
      <c r="AK3022" s="21">
        <f>$B$1812</f>
        <v/>
      </c>
      <c r="AL3022" s="21" t="n">
        <v>0</v>
      </c>
      <c r="AM3022" s="21" t="n">
        <v>0</v>
      </c>
      <c r="AN3022" s="21" t="n">
        <v>0</v>
      </c>
      <c r="AO3022" s="21" t="n">
        <v>0</v>
      </c>
      <c r="AP3022" s="21" t="n">
        <v>0</v>
      </c>
      <c r="AQ3022" s="21" t="n">
        <v>0</v>
      </c>
      <c r="AR3022" s="21" t="n">
        <v>0</v>
      </c>
      <c r="AS3022" s="21" t="n">
        <v>0</v>
      </c>
      <c r="AT3022" s="19" t="n"/>
    </row>
    <row r="3023">
      <c r="D3023" s="21" t="n">
        <v>0</v>
      </c>
      <c r="E3023" s="21" t="n">
        <v>0</v>
      </c>
      <c r="F3023" s="21" t="n">
        <v>0</v>
      </c>
      <c r="G3023" s="21" t="n">
        <v>0</v>
      </c>
      <c r="H3023" s="21" t="n">
        <v>0</v>
      </c>
      <c r="I3023" s="21" t="n">
        <v>0</v>
      </c>
      <c r="J3023" s="21" t="n">
        <v>0</v>
      </c>
      <c r="K3023" s="21" t="n">
        <v>0</v>
      </c>
      <c r="L3023" s="21" t="n">
        <v>0</v>
      </c>
      <c r="M3023" s="21" t="n">
        <v>0</v>
      </c>
      <c r="N3023" s="21" t="n">
        <v>0</v>
      </c>
      <c r="O3023" s="21" t="n">
        <v>0</v>
      </c>
      <c r="P3023" s="21" t="n">
        <v>0</v>
      </c>
      <c r="Q3023" s="21" t="n">
        <v>0</v>
      </c>
      <c r="R3023" s="21" t="n">
        <v>0</v>
      </c>
      <c r="S3023" s="21" t="n">
        <v>0</v>
      </c>
      <c r="T3023" s="21" t="n">
        <v>0</v>
      </c>
      <c r="U3023" s="21" t="n">
        <v>0</v>
      </c>
      <c r="V3023" s="21" t="n">
        <v>0</v>
      </c>
      <c r="W3023" s="21" t="n">
        <v>0</v>
      </c>
      <c r="X3023" s="21" t="n">
        <v>0</v>
      </c>
      <c r="Y3023" s="21" t="n">
        <v>0</v>
      </c>
      <c r="Z3023" s="21" t="n">
        <v>0</v>
      </c>
      <c r="AA3023" s="21" t="n">
        <v>0</v>
      </c>
      <c r="AB3023" s="21" t="n">
        <v>0</v>
      </c>
      <c r="AC3023" s="21" t="n">
        <v>0</v>
      </c>
      <c r="AD3023" s="21" t="n">
        <v>0</v>
      </c>
      <c r="AE3023" s="21" t="n">
        <v>0</v>
      </c>
      <c r="AF3023" s="21">
        <f>$B$1812</f>
        <v/>
      </c>
      <c r="AG3023" s="21">
        <f>$B$1814</f>
        <v/>
      </c>
      <c r="AH3023" s="21">
        <f>0</f>
        <v/>
      </c>
      <c r="AI3023" s="21">
        <f>2*$B$1813</f>
        <v/>
      </c>
      <c r="AJ3023" s="21">
        <f>-$B$1812</f>
        <v/>
      </c>
      <c r="AK3023" s="21">
        <f>$B$1814</f>
        <v/>
      </c>
      <c r="AL3023" s="21" t="n">
        <v>0</v>
      </c>
      <c r="AM3023" s="21" t="n">
        <v>0</v>
      </c>
      <c r="AN3023" s="21" t="n">
        <v>0</v>
      </c>
      <c r="AO3023" s="21" t="n">
        <v>0</v>
      </c>
      <c r="AP3023" s="21" t="n">
        <v>0</v>
      </c>
      <c r="AQ3023" s="21" t="n">
        <v>0</v>
      </c>
      <c r="AR3023" s="21" t="n">
        <v>0</v>
      </c>
      <c r="AS3023" s="21" t="n">
        <v>0</v>
      </c>
      <c r="AT3023" s="19" t="n"/>
    </row>
    <row r="3024">
      <c r="D3024" s="21" t="n">
        <v>0</v>
      </c>
      <c r="E3024" s="21" t="n">
        <v>0</v>
      </c>
      <c r="F3024" s="21" t="n">
        <v>0</v>
      </c>
      <c r="G3024" s="21" t="n">
        <v>0</v>
      </c>
      <c r="H3024" s="21" t="n">
        <v>0</v>
      </c>
      <c r="I3024" s="21" t="n">
        <v>0</v>
      </c>
      <c r="J3024" s="21" t="n">
        <v>0</v>
      </c>
      <c r="K3024" s="21" t="n">
        <v>0</v>
      </c>
      <c r="L3024" s="21" t="n">
        <v>0</v>
      </c>
      <c r="M3024" s="21" t="n">
        <v>0</v>
      </c>
      <c r="N3024" s="21" t="n">
        <v>0</v>
      </c>
      <c r="O3024" s="21" t="n">
        <v>0</v>
      </c>
      <c r="P3024" s="21" t="n">
        <v>0</v>
      </c>
      <c r="Q3024" s="21" t="n">
        <v>0</v>
      </c>
      <c r="R3024" s="21" t="n">
        <v>0</v>
      </c>
      <c r="S3024" s="21" t="n">
        <v>0</v>
      </c>
      <c r="T3024" s="21" t="n">
        <v>0</v>
      </c>
      <c r="U3024" s="21" t="n">
        <v>0</v>
      </c>
      <c r="V3024" s="21" t="n">
        <v>0</v>
      </c>
      <c r="W3024" s="21" t="n">
        <v>0</v>
      </c>
      <c r="X3024" s="21" t="n">
        <v>0</v>
      </c>
      <c r="Y3024" s="21" t="n">
        <v>0</v>
      </c>
      <c r="Z3024" s="21" t="n">
        <v>0</v>
      </c>
      <c r="AA3024" s="21" t="n">
        <v>0</v>
      </c>
      <c r="AB3024" s="21" t="n">
        <v>0</v>
      </c>
      <c r="AC3024" s="21" t="n">
        <v>0</v>
      </c>
      <c r="AD3024" s="21" t="n">
        <v>0</v>
      </c>
      <c r="AE3024" s="21" t="n">
        <v>0</v>
      </c>
      <c r="AF3024" s="21" t="n">
        <v>0</v>
      </c>
      <c r="AG3024" s="21" t="n">
        <v>0</v>
      </c>
      <c r="AH3024" s="21">
        <f>-$B$1811</f>
        <v/>
      </c>
      <c r="AI3024" s="21">
        <f>-$B$1812</f>
        <v/>
      </c>
      <c r="AJ3024" s="21">
        <f>2*$B$1811+$D$2986</f>
        <v/>
      </c>
      <c r="AK3024" s="21">
        <f>0</f>
        <v/>
      </c>
      <c r="AL3024" s="21">
        <f>-$B$1811</f>
        <v/>
      </c>
      <c r="AM3024" s="21">
        <f>$B$1812</f>
        <v/>
      </c>
      <c r="AN3024" s="21" t="n">
        <v>0</v>
      </c>
      <c r="AO3024" s="21" t="n">
        <v>0</v>
      </c>
      <c r="AP3024" s="21" t="n">
        <v>0</v>
      </c>
      <c r="AQ3024" s="21" t="n">
        <v>0</v>
      </c>
      <c r="AR3024" s="21" t="n">
        <v>0</v>
      </c>
      <c r="AS3024" s="21" t="n">
        <v>0</v>
      </c>
      <c r="AT3024" s="19" t="n"/>
    </row>
    <row r="3025">
      <c r="D3025" s="21" t="n">
        <v>0</v>
      </c>
      <c r="E3025" s="21" t="n">
        <v>0</v>
      </c>
      <c r="F3025" s="21" t="n">
        <v>0</v>
      </c>
      <c r="G3025" s="21" t="n">
        <v>0</v>
      </c>
      <c r="H3025" s="21" t="n">
        <v>0</v>
      </c>
      <c r="I3025" s="21" t="n">
        <v>0</v>
      </c>
      <c r="J3025" s="21" t="n">
        <v>0</v>
      </c>
      <c r="K3025" s="21" t="n">
        <v>0</v>
      </c>
      <c r="L3025" s="21" t="n">
        <v>0</v>
      </c>
      <c r="M3025" s="21" t="n">
        <v>0</v>
      </c>
      <c r="N3025" s="21" t="n">
        <v>0</v>
      </c>
      <c r="O3025" s="21" t="n">
        <v>0</v>
      </c>
      <c r="P3025" s="21" t="n">
        <v>0</v>
      </c>
      <c r="Q3025" s="21" t="n">
        <v>0</v>
      </c>
      <c r="R3025" s="21" t="n">
        <v>0</v>
      </c>
      <c r="S3025" s="21" t="n">
        <v>0</v>
      </c>
      <c r="T3025" s="21" t="n">
        <v>0</v>
      </c>
      <c r="U3025" s="21" t="n">
        <v>0</v>
      </c>
      <c r="V3025" s="21" t="n">
        <v>0</v>
      </c>
      <c r="W3025" s="21" t="n">
        <v>0</v>
      </c>
      <c r="X3025" s="21" t="n">
        <v>0</v>
      </c>
      <c r="Y3025" s="21" t="n">
        <v>0</v>
      </c>
      <c r="Z3025" s="21" t="n">
        <v>0</v>
      </c>
      <c r="AA3025" s="21" t="n">
        <v>0</v>
      </c>
      <c r="AB3025" s="21" t="n">
        <v>0</v>
      </c>
      <c r="AC3025" s="21" t="n">
        <v>0</v>
      </c>
      <c r="AD3025" s="21" t="n">
        <v>0</v>
      </c>
      <c r="AE3025" s="21" t="n">
        <v>0</v>
      </c>
      <c r="AF3025" s="21" t="n">
        <v>0</v>
      </c>
      <c r="AG3025" s="21" t="n">
        <v>0</v>
      </c>
      <c r="AH3025" s="21">
        <f>$B$1812</f>
        <v/>
      </c>
      <c r="AI3025" s="21">
        <f>$B$1814</f>
        <v/>
      </c>
      <c r="AJ3025" s="21">
        <f>0</f>
        <v/>
      </c>
      <c r="AK3025" s="21">
        <f>2*$B$1813</f>
        <v/>
      </c>
      <c r="AL3025" s="21">
        <f>-$B$1812</f>
        <v/>
      </c>
      <c r="AM3025" s="21">
        <f>$B$1814</f>
        <v/>
      </c>
      <c r="AN3025" s="21" t="n">
        <v>0</v>
      </c>
      <c r="AO3025" s="21" t="n">
        <v>0</v>
      </c>
      <c r="AP3025" s="21" t="n">
        <v>0</v>
      </c>
      <c r="AQ3025" s="21" t="n">
        <v>0</v>
      </c>
      <c r="AR3025" s="21" t="n">
        <v>0</v>
      </c>
      <c r="AS3025" s="21" t="n">
        <v>0</v>
      </c>
      <c r="AT3025" s="19" t="n"/>
    </row>
    <row r="3026">
      <c r="D3026" s="21" t="n">
        <v>0</v>
      </c>
      <c r="E3026" s="21" t="n">
        <v>0</v>
      </c>
      <c r="F3026" s="21" t="n">
        <v>0</v>
      </c>
      <c r="G3026" s="21" t="n">
        <v>0</v>
      </c>
      <c r="H3026" s="21" t="n">
        <v>0</v>
      </c>
      <c r="I3026" s="21" t="n">
        <v>0</v>
      </c>
      <c r="J3026" s="21" t="n">
        <v>0</v>
      </c>
      <c r="K3026" s="21" t="n">
        <v>0</v>
      </c>
      <c r="L3026" s="21" t="n">
        <v>0</v>
      </c>
      <c r="M3026" s="21" t="n">
        <v>0</v>
      </c>
      <c r="N3026" s="21" t="n">
        <v>0</v>
      </c>
      <c r="O3026" s="21" t="n">
        <v>0</v>
      </c>
      <c r="P3026" s="21" t="n">
        <v>0</v>
      </c>
      <c r="Q3026" s="21" t="n">
        <v>0</v>
      </c>
      <c r="R3026" s="21" t="n">
        <v>0</v>
      </c>
      <c r="S3026" s="21" t="n">
        <v>0</v>
      </c>
      <c r="T3026" s="21" t="n">
        <v>0</v>
      </c>
      <c r="U3026" s="21" t="n">
        <v>0</v>
      </c>
      <c r="V3026" s="21" t="n">
        <v>0</v>
      </c>
      <c r="W3026" s="21" t="n">
        <v>0</v>
      </c>
      <c r="X3026" s="21" t="n">
        <v>0</v>
      </c>
      <c r="Y3026" s="21" t="n">
        <v>0</v>
      </c>
      <c r="Z3026" s="21" t="n">
        <v>0</v>
      </c>
      <c r="AA3026" s="21" t="n">
        <v>0</v>
      </c>
      <c r="AB3026" s="21" t="n">
        <v>0</v>
      </c>
      <c r="AC3026" s="21" t="n">
        <v>0</v>
      </c>
      <c r="AD3026" s="21" t="n">
        <v>0</v>
      </c>
      <c r="AE3026" s="21" t="n">
        <v>0</v>
      </c>
      <c r="AF3026" s="21" t="n">
        <v>0</v>
      </c>
      <c r="AG3026" s="21" t="n">
        <v>0</v>
      </c>
      <c r="AH3026" s="21" t="n">
        <v>0</v>
      </c>
      <c r="AI3026" s="21" t="n">
        <v>0</v>
      </c>
      <c r="AJ3026" s="21">
        <f>-$B$1811</f>
        <v/>
      </c>
      <c r="AK3026" s="21">
        <f>-$B$1812</f>
        <v/>
      </c>
      <c r="AL3026" s="21">
        <f>2*$B$1811+$D$2987</f>
        <v/>
      </c>
      <c r="AM3026" s="21">
        <f>0</f>
        <v/>
      </c>
      <c r="AN3026" s="21">
        <f>-$B$1811</f>
        <v/>
      </c>
      <c r="AO3026" s="21">
        <f>$B$1812</f>
        <v/>
      </c>
      <c r="AP3026" s="21" t="n">
        <v>0</v>
      </c>
      <c r="AQ3026" s="21" t="n">
        <v>0</v>
      </c>
      <c r="AR3026" s="21" t="n">
        <v>0</v>
      </c>
      <c r="AS3026" s="21" t="n">
        <v>0</v>
      </c>
      <c r="AT3026" s="19" t="n"/>
    </row>
    <row r="3027">
      <c r="D3027" s="21" t="n">
        <v>0</v>
      </c>
      <c r="E3027" s="21" t="n">
        <v>0</v>
      </c>
      <c r="F3027" s="21" t="n">
        <v>0</v>
      </c>
      <c r="G3027" s="21" t="n">
        <v>0</v>
      </c>
      <c r="H3027" s="21" t="n">
        <v>0</v>
      </c>
      <c r="I3027" s="21" t="n">
        <v>0</v>
      </c>
      <c r="J3027" s="21" t="n">
        <v>0</v>
      </c>
      <c r="K3027" s="21" t="n">
        <v>0</v>
      </c>
      <c r="L3027" s="21" t="n">
        <v>0</v>
      </c>
      <c r="M3027" s="21" t="n">
        <v>0</v>
      </c>
      <c r="N3027" s="21" t="n">
        <v>0</v>
      </c>
      <c r="O3027" s="21" t="n">
        <v>0</v>
      </c>
      <c r="P3027" s="21" t="n">
        <v>0</v>
      </c>
      <c r="Q3027" s="21" t="n">
        <v>0</v>
      </c>
      <c r="R3027" s="21" t="n">
        <v>0</v>
      </c>
      <c r="S3027" s="21" t="n">
        <v>0</v>
      </c>
      <c r="T3027" s="21" t="n">
        <v>0</v>
      </c>
      <c r="U3027" s="21" t="n">
        <v>0</v>
      </c>
      <c r="V3027" s="21" t="n">
        <v>0</v>
      </c>
      <c r="W3027" s="21" t="n">
        <v>0</v>
      </c>
      <c r="X3027" s="21" t="n">
        <v>0</v>
      </c>
      <c r="Y3027" s="21" t="n">
        <v>0</v>
      </c>
      <c r="Z3027" s="21" t="n">
        <v>0</v>
      </c>
      <c r="AA3027" s="21" t="n">
        <v>0</v>
      </c>
      <c r="AB3027" s="21" t="n">
        <v>0</v>
      </c>
      <c r="AC3027" s="21" t="n">
        <v>0</v>
      </c>
      <c r="AD3027" s="21" t="n">
        <v>0</v>
      </c>
      <c r="AE3027" s="21" t="n">
        <v>0</v>
      </c>
      <c r="AF3027" s="21" t="n">
        <v>0</v>
      </c>
      <c r="AG3027" s="21" t="n">
        <v>0</v>
      </c>
      <c r="AH3027" s="21" t="n">
        <v>0</v>
      </c>
      <c r="AI3027" s="21" t="n">
        <v>0</v>
      </c>
      <c r="AJ3027" s="21">
        <f>$B$1812</f>
        <v/>
      </c>
      <c r="AK3027" s="21">
        <f>$B$1814</f>
        <v/>
      </c>
      <c r="AL3027" s="21">
        <f>0</f>
        <v/>
      </c>
      <c r="AM3027" s="21">
        <f>2*$B$1813</f>
        <v/>
      </c>
      <c r="AN3027" s="21">
        <f>-$B$1812</f>
        <v/>
      </c>
      <c r="AO3027" s="21">
        <f>$B$1814</f>
        <v/>
      </c>
      <c r="AP3027" s="21" t="n">
        <v>0</v>
      </c>
      <c r="AQ3027" s="21" t="n">
        <v>0</v>
      </c>
      <c r="AR3027" s="21" t="n">
        <v>0</v>
      </c>
      <c r="AS3027" s="21" t="n">
        <v>0</v>
      </c>
      <c r="AT3027" s="19" t="n"/>
    </row>
    <row r="3028">
      <c r="D3028" s="21" t="n">
        <v>0</v>
      </c>
      <c r="E3028" s="21" t="n">
        <v>0</v>
      </c>
      <c r="F3028" s="21" t="n">
        <v>0</v>
      </c>
      <c r="G3028" s="21" t="n">
        <v>0</v>
      </c>
      <c r="H3028" s="21" t="n">
        <v>0</v>
      </c>
      <c r="I3028" s="21" t="n">
        <v>0</v>
      </c>
      <c r="J3028" s="21" t="n">
        <v>0</v>
      </c>
      <c r="K3028" s="21" t="n">
        <v>0</v>
      </c>
      <c r="L3028" s="21" t="n">
        <v>0</v>
      </c>
      <c r="M3028" s="21" t="n">
        <v>0</v>
      </c>
      <c r="N3028" s="21" t="n">
        <v>0</v>
      </c>
      <c r="O3028" s="21" t="n">
        <v>0</v>
      </c>
      <c r="P3028" s="21" t="n">
        <v>0</v>
      </c>
      <c r="Q3028" s="21" t="n">
        <v>0</v>
      </c>
      <c r="R3028" s="21" t="n">
        <v>0</v>
      </c>
      <c r="S3028" s="21" t="n">
        <v>0</v>
      </c>
      <c r="T3028" s="21" t="n">
        <v>0</v>
      </c>
      <c r="U3028" s="21" t="n">
        <v>0</v>
      </c>
      <c r="V3028" s="21" t="n">
        <v>0</v>
      </c>
      <c r="W3028" s="21" t="n">
        <v>0</v>
      </c>
      <c r="X3028" s="21" t="n">
        <v>0</v>
      </c>
      <c r="Y3028" s="21" t="n">
        <v>0</v>
      </c>
      <c r="Z3028" s="21" t="n">
        <v>0</v>
      </c>
      <c r="AA3028" s="21" t="n">
        <v>0</v>
      </c>
      <c r="AB3028" s="21" t="n">
        <v>0</v>
      </c>
      <c r="AC3028" s="21" t="n">
        <v>0</v>
      </c>
      <c r="AD3028" s="21" t="n">
        <v>0</v>
      </c>
      <c r="AE3028" s="21" t="n">
        <v>0</v>
      </c>
      <c r="AF3028" s="21" t="n">
        <v>0</v>
      </c>
      <c r="AG3028" s="21" t="n">
        <v>0</v>
      </c>
      <c r="AH3028" s="21" t="n">
        <v>0</v>
      </c>
      <c r="AI3028" s="21" t="n">
        <v>0</v>
      </c>
      <c r="AJ3028" s="21" t="n">
        <v>0</v>
      </c>
      <c r="AK3028" s="21" t="n">
        <v>0</v>
      </c>
      <c r="AL3028" s="21">
        <f>-$B$1811</f>
        <v/>
      </c>
      <c r="AM3028" s="21">
        <f>-$B$1812</f>
        <v/>
      </c>
      <c r="AN3028" s="21">
        <f>2*$B$1811+$D$2988</f>
        <v/>
      </c>
      <c r="AO3028" s="21">
        <f>0</f>
        <v/>
      </c>
      <c r="AP3028" s="21">
        <f>-$B$1811</f>
        <v/>
      </c>
      <c r="AQ3028" s="21">
        <f>$B$1812</f>
        <v/>
      </c>
      <c r="AR3028" s="21" t="n">
        <v>0</v>
      </c>
      <c r="AS3028" s="21" t="n">
        <v>0</v>
      </c>
      <c r="AT3028" s="19" t="n"/>
    </row>
    <row r="3029">
      <c r="D3029" s="21" t="n">
        <v>0</v>
      </c>
      <c r="E3029" s="21" t="n">
        <v>0</v>
      </c>
      <c r="F3029" s="21" t="n">
        <v>0</v>
      </c>
      <c r="G3029" s="21" t="n">
        <v>0</v>
      </c>
      <c r="H3029" s="21" t="n">
        <v>0</v>
      </c>
      <c r="I3029" s="21" t="n">
        <v>0</v>
      </c>
      <c r="J3029" s="21" t="n">
        <v>0</v>
      </c>
      <c r="K3029" s="21" t="n">
        <v>0</v>
      </c>
      <c r="L3029" s="21" t="n">
        <v>0</v>
      </c>
      <c r="M3029" s="21" t="n">
        <v>0</v>
      </c>
      <c r="N3029" s="21" t="n">
        <v>0</v>
      </c>
      <c r="O3029" s="21" t="n">
        <v>0</v>
      </c>
      <c r="P3029" s="21" t="n">
        <v>0</v>
      </c>
      <c r="Q3029" s="21" t="n">
        <v>0</v>
      </c>
      <c r="R3029" s="21" t="n">
        <v>0</v>
      </c>
      <c r="S3029" s="21" t="n">
        <v>0</v>
      </c>
      <c r="T3029" s="21" t="n">
        <v>0</v>
      </c>
      <c r="U3029" s="21" t="n">
        <v>0</v>
      </c>
      <c r="V3029" s="21" t="n">
        <v>0</v>
      </c>
      <c r="W3029" s="21" t="n">
        <v>0</v>
      </c>
      <c r="X3029" s="21" t="n">
        <v>0</v>
      </c>
      <c r="Y3029" s="21" t="n">
        <v>0</v>
      </c>
      <c r="Z3029" s="21" t="n">
        <v>0</v>
      </c>
      <c r="AA3029" s="21" t="n">
        <v>0</v>
      </c>
      <c r="AB3029" s="21" t="n">
        <v>0</v>
      </c>
      <c r="AC3029" s="21" t="n">
        <v>0</v>
      </c>
      <c r="AD3029" s="21" t="n">
        <v>0</v>
      </c>
      <c r="AE3029" s="21" t="n">
        <v>0</v>
      </c>
      <c r="AF3029" s="21" t="n">
        <v>0</v>
      </c>
      <c r="AG3029" s="21" t="n">
        <v>0</v>
      </c>
      <c r="AH3029" s="21" t="n">
        <v>0</v>
      </c>
      <c r="AI3029" s="21" t="n">
        <v>0</v>
      </c>
      <c r="AJ3029" s="21" t="n">
        <v>0</v>
      </c>
      <c r="AK3029" s="21" t="n">
        <v>0</v>
      </c>
      <c r="AL3029" s="21">
        <f>$B$1812</f>
        <v/>
      </c>
      <c r="AM3029" s="21">
        <f>$B$1814</f>
        <v/>
      </c>
      <c r="AN3029" s="21">
        <f>0</f>
        <v/>
      </c>
      <c r="AO3029" s="21">
        <f>2*$B$1813</f>
        <v/>
      </c>
      <c r="AP3029" s="21">
        <f>-$B$1812</f>
        <v/>
      </c>
      <c r="AQ3029" s="21">
        <f>$B$1814</f>
        <v/>
      </c>
      <c r="AR3029" s="21" t="n">
        <v>0</v>
      </c>
      <c r="AS3029" s="21" t="n">
        <v>0</v>
      </c>
      <c r="AT3029" s="19" t="n"/>
    </row>
    <row r="3030">
      <c r="D3030" s="21" t="n">
        <v>0</v>
      </c>
      <c r="E3030" s="21" t="n">
        <v>0</v>
      </c>
      <c r="F3030" s="21" t="n">
        <v>0</v>
      </c>
      <c r="G3030" s="21" t="n">
        <v>0</v>
      </c>
      <c r="H3030" s="21" t="n">
        <v>0</v>
      </c>
      <c r="I3030" s="21" t="n">
        <v>0</v>
      </c>
      <c r="J3030" s="21" t="n">
        <v>0</v>
      </c>
      <c r="K3030" s="21" t="n">
        <v>0</v>
      </c>
      <c r="L3030" s="21" t="n">
        <v>0</v>
      </c>
      <c r="M3030" s="21" t="n">
        <v>0</v>
      </c>
      <c r="N3030" s="21" t="n">
        <v>0</v>
      </c>
      <c r="O3030" s="21" t="n">
        <v>0</v>
      </c>
      <c r="P3030" s="21" t="n">
        <v>0</v>
      </c>
      <c r="Q3030" s="21" t="n">
        <v>0</v>
      </c>
      <c r="R3030" s="21" t="n">
        <v>0</v>
      </c>
      <c r="S3030" s="21" t="n">
        <v>0</v>
      </c>
      <c r="T3030" s="21" t="n">
        <v>0</v>
      </c>
      <c r="U3030" s="21" t="n">
        <v>0</v>
      </c>
      <c r="V3030" s="21" t="n">
        <v>0</v>
      </c>
      <c r="W3030" s="21" t="n">
        <v>0</v>
      </c>
      <c r="X3030" s="21" t="n">
        <v>0</v>
      </c>
      <c r="Y3030" s="21" t="n">
        <v>0</v>
      </c>
      <c r="Z3030" s="21" t="n">
        <v>0</v>
      </c>
      <c r="AA3030" s="21" t="n">
        <v>0</v>
      </c>
      <c r="AB3030" s="21" t="n">
        <v>0</v>
      </c>
      <c r="AC3030" s="21" t="n">
        <v>0</v>
      </c>
      <c r="AD3030" s="21" t="n">
        <v>0</v>
      </c>
      <c r="AE3030" s="21" t="n">
        <v>0</v>
      </c>
      <c r="AF3030" s="21" t="n">
        <v>0</v>
      </c>
      <c r="AG3030" s="21" t="n">
        <v>0</v>
      </c>
      <c r="AH3030" s="21" t="n">
        <v>0</v>
      </c>
      <c r="AI3030" s="21" t="n">
        <v>0</v>
      </c>
      <c r="AJ3030" s="21" t="n">
        <v>0</v>
      </c>
      <c r="AK3030" s="21" t="n">
        <v>0</v>
      </c>
      <c r="AL3030" s="21" t="n">
        <v>0</v>
      </c>
      <c r="AM3030" s="21" t="n">
        <v>0</v>
      </c>
      <c r="AN3030" s="21">
        <f>-$B$1811</f>
        <v/>
      </c>
      <c r="AO3030" s="21">
        <f>-$B$1812</f>
        <v/>
      </c>
      <c r="AP3030" s="21">
        <f>2*$B$1811+$D$2989</f>
        <v/>
      </c>
      <c r="AQ3030" s="21">
        <f>0</f>
        <v/>
      </c>
      <c r="AR3030" s="21">
        <f>-$B$1811</f>
        <v/>
      </c>
      <c r="AS3030" s="21">
        <f>$B$1812</f>
        <v/>
      </c>
      <c r="AT3030" s="19" t="n"/>
    </row>
    <row r="3031">
      <c r="D3031" s="21" t="n">
        <v>0</v>
      </c>
      <c r="E3031" s="21" t="n">
        <v>0</v>
      </c>
      <c r="F3031" s="21" t="n">
        <v>0</v>
      </c>
      <c r="G3031" s="21" t="n">
        <v>0</v>
      </c>
      <c r="H3031" s="21" t="n">
        <v>0</v>
      </c>
      <c r="I3031" s="21" t="n">
        <v>0</v>
      </c>
      <c r="J3031" s="21" t="n">
        <v>0</v>
      </c>
      <c r="K3031" s="21" t="n">
        <v>0</v>
      </c>
      <c r="L3031" s="21" t="n">
        <v>0</v>
      </c>
      <c r="M3031" s="21" t="n">
        <v>0</v>
      </c>
      <c r="N3031" s="21" t="n">
        <v>0</v>
      </c>
      <c r="O3031" s="21" t="n">
        <v>0</v>
      </c>
      <c r="P3031" s="21" t="n">
        <v>0</v>
      </c>
      <c r="Q3031" s="21" t="n">
        <v>0</v>
      </c>
      <c r="R3031" s="21" t="n">
        <v>0</v>
      </c>
      <c r="S3031" s="21" t="n">
        <v>0</v>
      </c>
      <c r="T3031" s="21" t="n">
        <v>0</v>
      </c>
      <c r="U3031" s="21" t="n">
        <v>0</v>
      </c>
      <c r="V3031" s="21" t="n">
        <v>0</v>
      </c>
      <c r="W3031" s="21" t="n">
        <v>0</v>
      </c>
      <c r="X3031" s="21" t="n">
        <v>0</v>
      </c>
      <c r="Y3031" s="21" t="n">
        <v>0</v>
      </c>
      <c r="Z3031" s="21" t="n">
        <v>0</v>
      </c>
      <c r="AA3031" s="21" t="n">
        <v>0</v>
      </c>
      <c r="AB3031" s="21" t="n">
        <v>0</v>
      </c>
      <c r="AC3031" s="21" t="n">
        <v>0</v>
      </c>
      <c r="AD3031" s="21" t="n">
        <v>0</v>
      </c>
      <c r="AE3031" s="21" t="n">
        <v>0</v>
      </c>
      <c r="AF3031" s="21" t="n">
        <v>0</v>
      </c>
      <c r="AG3031" s="21" t="n">
        <v>0</v>
      </c>
      <c r="AH3031" s="21" t="n">
        <v>0</v>
      </c>
      <c r="AI3031" s="21" t="n">
        <v>0</v>
      </c>
      <c r="AJ3031" s="21" t="n">
        <v>0</v>
      </c>
      <c r="AK3031" s="21" t="n">
        <v>0</v>
      </c>
      <c r="AL3031" s="21" t="n">
        <v>0</v>
      </c>
      <c r="AM3031" s="21" t="n">
        <v>0</v>
      </c>
      <c r="AN3031" s="21">
        <f>$B$1812</f>
        <v/>
      </c>
      <c r="AO3031" s="21">
        <f>$B$1814</f>
        <v/>
      </c>
      <c r="AP3031" s="21">
        <f>0</f>
        <v/>
      </c>
      <c r="AQ3031" s="21">
        <f>2*$B$1813</f>
        <v/>
      </c>
      <c r="AR3031" s="21">
        <f>-$B$1812</f>
        <v/>
      </c>
      <c r="AS3031" s="21">
        <f>$B$1814</f>
        <v/>
      </c>
      <c r="AT3031" s="19" t="n"/>
    </row>
    <row r="3032">
      <c r="D3032" s="21" t="n">
        <v>0</v>
      </c>
      <c r="E3032" s="21" t="n">
        <v>0</v>
      </c>
      <c r="F3032" s="21" t="n">
        <v>0</v>
      </c>
      <c r="G3032" s="21" t="n">
        <v>0</v>
      </c>
      <c r="H3032" s="21" t="n">
        <v>0</v>
      </c>
      <c r="I3032" s="21" t="n">
        <v>0</v>
      </c>
      <c r="J3032" s="21" t="n">
        <v>0</v>
      </c>
      <c r="K3032" s="21" t="n">
        <v>0</v>
      </c>
      <c r="L3032" s="21" t="n">
        <v>0</v>
      </c>
      <c r="M3032" s="21" t="n">
        <v>0</v>
      </c>
      <c r="N3032" s="21" t="n">
        <v>0</v>
      </c>
      <c r="O3032" s="21" t="n">
        <v>0</v>
      </c>
      <c r="P3032" s="21" t="n">
        <v>0</v>
      </c>
      <c r="Q3032" s="21" t="n">
        <v>0</v>
      </c>
      <c r="R3032" s="21" t="n">
        <v>0</v>
      </c>
      <c r="S3032" s="21" t="n">
        <v>0</v>
      </c>
      <c r="T3032" s="21" t="n">
        <v>0</v>
      </c>
      <c r="U3032" s="21" t="n">
        <v>0</v>
      </c>
      <c r="V3032" s="21" t="n">
        <v>0</v>
      </c>
      <c r="W3032" s="21" t="n">
        <v>0</v>
      </c>
      <c r="X3032" s="21" t="n">
        <v>0</v>
      </c>
      <c r="Y3032" s="21" t="n">
        <v>0</v>
      </c>
      <c r="Z3032" s="21" t="n">
        <v>0</v>
      </c>
      <c r="AA3032" s="21" t="n">
        <v>0</v>
      </c>
      <c r="AB3032" s="21" t="n">
        <v>0</v>
      </c>
      <c r="AC3032" s="21" t="n">
        <v>0</v>
      </c>
      <c r="AD3032" s="21" t="n">
        <v>0</v>
      </c>
      <c r="AE3032" s="21" t="n">
        <v>0</v>
      </c>
      <c r="AF3032" s="21" t="n">
        <v>0</v>
      </c>
      <c r="AG3032" s="21" t="n">
        <v>0</v>
      </c>
      <c r="AH3032" s="21" t="n">
        <v>0</v>
      </c>
      <c r="AI3032" s="21" t="n">
        <v>0</v>
      </c>
      <c r="AJ3032" s="21" t="n">
        <v>0</v>
      </c>
      <c r="AK3032" s="21" t="n">
        <v>0</v>
      </c>
      <c r="AL3032" s="21" t="n">
        <v>0</v>
      </c>
      <c r="AM3032" s="21" t="n">
        <v>0</v>
      </c>
      <c r="AN3032" s="21" t="n">
        <v>0</v>
      </c>
      <c r="AO3032" s="21" t="n">
        <v>0</v>
      </c>
      <c r="AP3032" s="21">
        <f>-$B$1811</f>
        <v/>
      </c>
      <c r="AQ3032" s="21">
        <f>-$B$1812</f>
        <v/>
      </c>
      <c r="AR3032" s="21">
        <f>$B$1811+$D$2990</f>
        <v/>
      </c>
      <c r="AS3032" s="21">
        <f>-$B$1812</f>
        <v/>
      </c>
      <c r="AT3032" s="19" t="n"/>
    </row>
    <row r="3033">
      <c r="D3033" s="21" t="n">
        <v>0</v>
      </c>
      <c r="E3033" s="21" t="n">
        <v>0</v>
      </c>
      <c r="F3033" s="21" t="n">
        <v>0</v>
      </c>
      <c r="G3033" s="21" t="n">
        <v>0</v>
      </c>
      <c r="H3033" s="21" t="n">
        <v>0</v>
      </c>
      <c r="I3033" s="21" t="n">
        <v>0</v>
      </c>
      <c r="J3033" s="21" t="n">
        <v>0</v>
      </c>
      <c r="K3033" s="21" t="n">
        <v>0</v>
      </c>
      <c r="L3033" s="21" t="n">
        <v>0</v>
      </c>
      <c r="M3033" s="21" t="n">
        <v>0</v>
      </c>
      <c r="N3033" s="21" t="n">
        <v>0</v>
      </c>
      <c r="O3033" s="21" t="n">
        <v>0</v>
      </c>
      <c r="P3033" s="21" t="n">
        <v>0</v>
      </c>
      <c r="Q3033" s="21" t="n">
        <v>0</v>
      </c>
      <c r="R3033" s="21" t="n">
        <v>0</v>
      </c>
      <c r="S3033" s="21" t="n">
        <v>0</v>
      </c>
      <c r="T3033" s="21" t="n">
        <v>0</v>
      </c>
      <c r="U3033" s="21" t="n">
        <v>0</v>
      </c>
      <c r="V3033" s="21" t="n">
        <v>0</v>
      </c>
      <c r="W3033" s="21" t="n">
        <v>0</v>
      </c>
      <c r="X3033" s="21" t="n">
        <v>0</v>
      </c>
      <c r="Y3033" s="21" t="n">
        <v>0</v>
      </c>
      <c r="Z3033" s="21" t="n">
        <v>0</v>
      </c>
      <c r="AA3033" s="21" t="n">
        <v>0</v>
      </c>
      <c r="AB3033" s="21" t="n">
        <v>0</v>
      </c>
      <c r="AC3033" s="21" t="n">
        <v>0</v>
      </c>
      <c r="AD3033" s="21" t="n">
        <v>0</v>
      </c>
      <c r="AE3033" s="21" t="n">
        <v>0</v>
      </c>
      <c r="AF3033" s="21" t="n">
        <v>0</v>
      </c>
      <c r="AG3033" s="21" t="n">
        <v>0</v>
      </c>
      <c r="AH3033" s="21" t="n">
        <v>0</v>
      </c>
      <c r="AI3033" s="21" t="n">
        <v>0</v>
      </c>
      <c r="AJ3033" s="21" t="n">
        <v>0</v>
      </c>
      <c r="AK3033" s="21" t="n">
        <v>0</v>
      </c>
      <c r="AL3033" s="21" t="n">
        <v>0</v>
      </c>
      <c r="AM3033" s="21" t="n">
        <v>0</v>
      </c>
      <c r="AN3033" s="21" t="n">
        <v>0</v>
      </c>
      <c r="AO3033" s="21" t="n">
        <v>0</v>
      </c>
      <c r="AP3033" s="21">
        <f>$B$1812</f>
        <v/>
      </c>
      <c r="AQ3033" s="21">
        <f>$B$1814</f>
        <v/>
      </c>
      <c r="AR3033" s="21">
        <f>-$B$1812</f>
        <v/>
      </c>
      <c r="AS3033" s="21">
        <f>$B$1813</f>
        <v/>
      </c>
      <c r="AT3033" s="19" t="n"/>
    </row>
    <row r="3035">
      <c r="A3035" s="8" t="inlineStr">
        <is>
          <t>gen 18</t>
        </is>
      </c>
    </row>
    <row r="3036">
      <c r="D3036" s="19">
        <f>IF(ABS(IF(ABS($E$2970)&gt;0.000000001,$E$2970,0.000000001))=0,0,IF($E$1826&lt;=$B$1820,0,IF(ABS(IF(ABS($E$2970)&gt;0.000000001,$E$2970,0.000000001))&gt;=8*$B$1822,$H$1826,0.5*$H$1826*(ABS(IF(ABS($E$2970)&gt;0.000000001,$E$2970,0.000000001))/$B$1822)^(1/3)))/ABS(IF(ABS($E$2970)&gt;0.000000001,$E$2970,0.000000001))*$I$1826)</f>
        <v/>
      </c>
      <c r="E3036" s="19">
        <f>0.5*$E$2970+0.5*$AT$3058</f>
        <v/>
      </c>
      <c r="F3036" s="19">
        <f>$AT$3059</f>
        <v/>
      </c>
    </row>
    <row r="3037">
      <c r="D3037" s="19">
        <f>IF(ABS(IF(ABS($E$2971)&gt;0.000000001,$E$2971,0.000000001))=0,0,IF($E$1827&lt;=$B$1820,0,IF(ABS(IF(ABS($E$2971)&gt;0.000000001,$E$2971,0.000000001))&gt;=8*$B$1822,$H$1827,0.5*$H$1827*(ABS(IF(ABS($E$2971)&gt;0.000000001,$E$2971,0.000000001))/$B$1822)^(1/3)))/ABS(IF(ABS($E$2971)&gt;0.000000001,$E$2971,0.000000001))*$I$1827)</f>
        <v/>
      </c>
      <c r="E3037" s="19">
        <f>0.5*$E$2971+0.5*$AT$3060</f>
        <v/>
      </c>
      <c r="F3037" s="19">
        <f>$AT$3061</f>
        <v/>
      </c>
    </row>
    <row r="3038">
      <c r="D3038" s="19">
        <f>IF(ABS(IF(ABS($E$2972)&gt;0.000000001,$E$2972,0.000000001))=0,0,IF($E$1828&lt;=$B$1820,0,IF(ABS(IF(ABS($E$2972)&gt;0.000000001,$E$2972,0.000000001))&gt;=8*$B$1822,$H$1828,0.5*$H$1828*(ABS(IF(ABS($E$2972)&gt;0.000000001,$E$2972,0.000000001))/$B$1822)^(1/3)))/ABS(IF(ABS($E$2972)&gt;0.000000001,$E$2972,0.000000001))*$I$1828)</f>
        <v/>
      </c>
      <c r="E3038" s="19">
        <f>0.5*$E$2972+0.5*$AT$3062</f>
        <v/>
      </c>
      <c r="F3038" s="19">
        <f>$AT$3063</f>
        <v/>
      </c>
    </row>
    <row r="3039">
      <c r="D3039" s="19">
        <f>IF(ABS(IF(ABS($E$2973)&gt;0.000000001,$E$2973,0.000000001))=0,0,IF($E$1829&lt;=$B$1820,0,IF(ABS(IF(ABS($E$2973)&gt;0.000000001,$E$2973,0.000000001))&gt;=8*$B$1822,$H$1829,0.5*$H$1829*(ABS(IF(ABS($E$2973)&gt;0.000000001,$E$2973,0.000000001))/$B$1822)^(1/3)))/ABS(IF(ABS($E$2973)&gt;0.000000001,$E$2973,0.000000001))*$I$1829)</f>
        <v/>
      </c>
      <c r="E3039" s="19">
        <f>0.5*$E$2973+0.5*$AT$3064</f>
        <v/>
      </c>
      <c r="F3039" s="19">
        <f>$AT$3065</f>
        <v/>
      </c>
    </row>
    <row r="3040">
      <c r="D3040" s="19">
        <f>IF(ABS(IF(ABS($E$2974)&gt;0.000000001,$E$2974,0.000000001))=0,0,IF($E$1830&lt;=$B$1820,0,IF(ABS(IF(ABS($E$2974)&gt;0.000000001,$E$2974,0.000000001))&gt;=8*$B$1822,$H$1830,0.5*$H$1830*(ABS(IF(ABS($E$2974)&gt;0.000000001,$E$2974,0.000000001))/$B$1822)^(1/3)))/ABS(IF(ABS($E$2974)&gt;0.000000001,$E$2974,0.000000001))*$I$1830)</f>
        <v/>
      </c>
      <c r="E3040" s="19">
        <f>0.5*$E$2974+0.5*$AT$3066</f>
        <v/>
      </c>
      <c r="F3040" s="19">
        <f>$AT$3067</f>
        <v/>
      </c>
    </row>
    <row r="3041">
      <c r="D3041" s="19">
        <f>IF(ABS(IF(ABS($E$2975)&gt;0.000000001,$E$2975,0.000000001))=0,0,IF($E$1831&lt;=$B$1820,0,IF(ABS(IF(ABS($E$2975)&gt;0.000000001,$E$2975,0.000000001))&gt;=8*$B$1822,$H$1831,0.5*$H$1831*(ABS(IF(ABS($E$2975)&gt;0.000000001,$E$2975,0.000000001))/$B$1822)^(1/3)))/ABS(IF(ABS($E$2975)&gt;0.000000001,$E$2975,0.000000001))*$I$1831)</f>
        <v/>
      </c>
      <c r="E3041" s="19">
        <f>0.5*$E$2975+0.5*$AT$3068</f>
        <v/>
      </c>
      <c r="F3041" s="19">
        <f>$AT$3069</f>
        <v/>
      </c>
    </row>
    <row r="3042">
      <c r="D3042" s="19">
        <f>IF(ABS(IF(ABS($E$2976)&gt;0.000000001,$E$2976,0.000000001))=0,0,IF($E$1832&lt;=$B$1820,0,IF(ABS(IF(ABS($E$2976)&gt;0.000000001,$E$2976,0.000000001))&gt;=8*$B$1822,$H$1832,0.5*$H$1832*(ABS(IF(ABS($E$2976)&gt;0.000000001,$E$2976,0.000000001))/$B$1822)^(1/3)))/ABS(IF(ABS($E$2976)&gt;0.000000001,$E$2976,0.000000001))*$I$1832)</f>
        <v/>
      </c>
      <c r="E3042" s="19">
        <f>0.5*$E$2976+0.5*$AT$3070</f>
        <v/>
      </c>
      <c r="F3042" s="19">
        <f>$AT$3071</f>
        <v/>
      </c>
    </row>
    <row r="3043">
      <c r="D3043" s="19">
        <f>IF(ABS(IF(ABS($E$2977)&gt;0.000000001,$E$2977,0.000000001))=0,0,IF($E$1833&lt;=$B$1820,0,IF(ABS(IF(ABS($E$2977)&gt;0.000000001,$E$2977,0.000000001))&gt;=8*$B$1822,$H$1833,0.5*$H$1833*(ABS(IF(ABS($E$2977)&gt;0.000000001,$E$2977,0.000000001))/$B$1822)^(1/3)))/ABS(IF(ABS($E$2977)&gt;0.000000001,$E$2977,0.000000001))*$I$1833)</f>
        <v/>
      </c>
      <c r="E3043" s="19">
        <f>0.5*$E$2977+0.5*$AT$3072</f>
        <v/>
      </c>
      <c r="F3043" s="19">
        <f>$AT$3073</f>
        <v/>
      </c>
    </row>
    <row r="3044">
      <c r="D3044" s="19">
        <f>IF(ABS(IF(ABS($E$2978)&gt;0.000000001,$E$2978,0.000000001))=0,0,IF($E$1834&lt;=$B$1820,0,IF(ABS(IF(ABS($E$2978)&gt;0.000000001,$E$2978,0.000000001))&gt;=8*$B$1822,$H$1834,0.5*$H$1834*(ABS(IF(ABS($E$2978)&gt;0.000000001,$E$2978,0.000000001))/$B$1822)^(1/3)))/ABS(IF(ABS($E$2978)&gt;0.000000001,$E$2978,0.000000001))*$I$1834)</f>
        <v/>
      </c>
      <c r="E3044" s="19">
        <f>0.5*$E$2978+0.5*$AT$3074</f>
        <v/>
      </c>
      <c r="F3044" s="19">
        <f>$AT$3075</f>
        <v/>
      </c>
    </row>
    <row r="3045">
      <c r="D3045" s="19">
        <f>IF(ABS(IF(ABS($E$2979)&gt;0.000000001,$E$2979,0.000000001))=0,0,IF($E$1835&lt;=$B$1820,0,IF(ABS(IF(ABS($E$2979)&gt;0.000000001,$E$2979,0.000000001))&gt;=8*$B$1822,$H$1835,0.5*$H$1835*(ABS(IF(ABS($E$2979)&gt;0.000000001,$E$2979,0.000000001))/$B$1822)^(1/3)))/ABS(IF(ABS($E$2979)&gt;0.000000001,$E$2979,0.000000001))*$I$1835)</f>
        <v/>
      </c>
      <c r="E3045" s="19">
        <f>0.5*$E$2979+0.5*$AT$3076</f>
        <v/>
      </c>
      <c r="F3045" s="19">
        <f>$AT$3077</f>
        <v/>
      </c>
    </row>
    <row r="3046">
      <c r="D3046" s="19">
        <f>IF(ABS(IF(ABS($E$2980)&gt;0.000000001,$E$2980,0.000000001))=0,0,IF($E$1836&lt;=$B$1820,0,IF(ABS(IF(ABS($E$2980)&gt;0.000000001,$E$2980,0.000000001))&gt;=8*$B$1822,$H$1836,0.5*$H$1836*(ABS(IF(ABS($E$2980)&gt;0.000000001,$E$2980,0.000000001))/$B$1822)^(1/3)))/ABS(IF(ABS($E$2980)&gt;0.000000001,$E$2980,0.000000001))*$I$1836)</f>
        <v/>
      </c>
      <c r="E3046" s="19">
        <f>0.5*$E$2980+0.5*$AT$3078</f>
        <v/>
      </c>
      <c r="F3046" s="19">
        <f>$AT$3079</f>
        <v/>
      </c>
    </row>
    <row r="3047">
      <c r="D3047" s="19">
        <f>IF(ABS(IF(ABS($E$2981)&gt;0.000000001,$E$2981,0.000000001))=0,0,IF($E$1837&lt;=$B$1820,0,IF(ABS(IF(ABS($E$2981)&gt;0.000000001,$E$2981,0.000000001))&gt;=8*$B$1822,$H$1837,0.5*$H$1837*(ABS(IF(ABS($E$2981)&gt;0.000000001,$E$2981,0.000000001))/$B$1822)^(1/3)))/ABS(IF(ABS($E$2981)&gt;0.000000001,$E$2981,0.000000001))*$I$1837)</f>
        <v/>
      </c>
      <c r="E3047" s="19">
        <f>0.5*$E$2981+0.5*$AT$3080</f>
        <v/>
      </c>
      <c r="F3047" s="19">
        <f>$AT$3081</f>
        <v/>
      </c>
    </row>
    <row r="3048">
      <c r="D3048" s="19">
        <f>IF(ABS(IF(ABS($E$2982)&gt;0.000000001,$E$2982,0.000000001))=0,0,IF($E$1838&lt;=$B$1820,0,IF(ABS(IF(ABS($E$2982)&gt;0.000000001,$E$2982,0.000000001))&gt;=8*$B$1822,$H$1838,0.5*$H$1838*(ABS(IF(ABS($E$2982)&gt;0.000000001,$E$2982,0.000000001))/$B$1822)^(1/3)))/ABS(IF(ABS($E$2982)&gt;0.000000001,$E$2982,0.000000001))*$I$1838)</f>
        <v/>
      </c>
      <c r="E3048" s="19">
        <f>0.5*$E$2982+0.5*$AT$3082</f>
        <v/>
      </c>
      <c r="F3048" s="19">
        <f>$AT$3083</f>
        <v/>
      </c>
    </row>
    <row r="3049">
      <c r="D3049" s="19">
        <f>IF(ABS(IF(ABS($E$2983)&gt;0.000000001,$E$2983,0.000000001))=0,0,IF($E$1839&lt;=$B$1820,0,IF(ABS(IF(ABS($E$2983)&gt;0.000000001,$E$2983,0.000000001))&gt;=8*$B$1822,$H$1839,0.5*$H$1839*(ABS(IF(ABS($E$2983)&gt;0.000000001,$E$2983,0.000000001))/$B$1822)^(1/3)))/ABS(IF(ABS($E$2983)&gt;0.000000001,$E$2983,0.000000001))*$I$1839)</f>
        <v/>
      </c>
      <c r="E3049" s="19">
        <f>0.5*$E$2983+0.5*$AT$3084</f>
        <v/>
      </c>
      <c r="F3049" s="19">
        <f>$AT$3085</f>
        <v/>
      </c>
    </row>
    <row r="3050">
      <c r="D3050" s="19">
        <f>IF(ABS(IF(ABS($E$2984)&gt;0.000000001,$E$2984,0.000000001))=0,0,IF($E$1840&lt;=$B$1820,0,IF(ABS(IF(ABS($E$2984)&gt;0.000000001,$E$2984,0.000000001))&gt;=8*$B$1822,$H$1840,0.5*$H$1840*(ABS(IF(ABS($E$2984)&gt;0.000000001,$E$2984,0.000000001))/$B$1822)^(1/3)))/ABS(IF(ABS($E$2984)&gt;0.000000001,$E$2984,0.000000001))*$I$1840)</f>
        <v/>
      </c>
      <c r="E3050" s="19">
        <f>0.5*$E$2984+0.5*$AT$3086</f>
        <v/>
      </c>
      <c r="F3050" s="19">
        <f>$AT$3087</f>
        <v/>
      </c>
    </row>
    <row r="3051">
      <c r="D3051" s="19">
        <f>IF(ABS(IF(ABS($E$2985)&gt;0.000000001,$E$2985,0.000000001))=0,0,IF($E$1841&lt;=$B$1820,0,IF(ABS(IF(ABS($E$2985)&gt;0.000000001,$E$2985,0.000000001))&gt;=8*$B$1822,$H$1841,0.5*$H$1841*(ABS(IF(ABS($E$2985)&gt;0.000000001,$E$2985,0.000000001))/$B$1822)^(1/3)))/ABS(IF(ABS($E$2985)&gt;0.000000001,$E$2985,0.000000001))*$I$1841)</f>
        <v/>
      </c>
      <c r="E3051" s="19">
        <f>0.5*$E$2985+0.5*$AT$3088</f>
        <v/>
      </c>
      <c r="F3051" s="19">
        <f>$AT$3089</f>
        <v/>
      </c>
    </row>
    <row r="3052">
      <c r="D3052" s="19">
        <f>IF(ABS(IF(ABS($E$2986)&gt;0.000000001,$E$2986,0.000000001))=0,0,IF($E$1842&lt;=$B$1820,0,IF(ABS(IF(ABS($E$2986)&gt;0.000000001,$E$2986,0.000000001))&gt;=8*$B$1822,$H$1842,0.5*$H$1842*(ABS(IF(ABS($E$2986)&gt;0.000000001,$E$2986,0.000000001))/$B$1822)^(1/3)))/ABS(IF(ABS($E$2986)&gt;0.000000001,$E$2986,0.000000001))*$I$1842)</f>
        <v/>
      </c>
      <c r="E3052" s="19">
        <f>0.5*$E$2986+0.5*$AT$3090</f>
        <v/>
      </c>
      <c r="F3052" s="19">
        <f>$AT$3091</f>
        <v/>
      </c>
    </row>
    <row r="3053">
      <c r="D3053" s="19">
        <f>IF(ABS(IF(ABS($E$2987)&gt;0.000000001,$E$2987,0.000000001))=0,0,IF($E$1843&lt;=$B$1820,0,IF(ABS(IF(ABS($E$2987)&gt;0.000000001,$E$2987,0.000000001))&gt;=8*$B$1822,$H$1843,0.5*$H$1843*(ABS(IF(ABS($E$2987)&gt;0.000000001,$E$2987,0.000000001))/$B$1822)^(1/3)))/ABS(IF(ABS($E$2987)&gt;0.000000001,$E$2987,0.000000001))*$I$1843)</f>
        <v/>
      </c>
      <c r="E3053" s="19">
        <f>0.5*$E$2987+0.5*$AT$3092</f>
        <v/>
      </c>
      <c r="F3053" s="19">
        <f>$AT$3093</f>
        <v/>
      </c>
    </row>
    <row r="3054">
      <c r="D3054" s="19">
        <f>IF(ABS(IF(ABS($E$2988)&gt;0.000000001,$E$2988,0.000000001))=0,0,IF($E$1844&lt;=$B$1820,0,IF(ABS(IF(ABS($E$2988)&gt;0.000000001,$E$2988,0.000000001))&gt;=8*$B$1822,$H$1844,0.5*$H$1844*(ABS(IF(ABS($E$2988)&gt;0.000000001,$E$2988,0.000000001))/$B$1822)^(1/3)))/ABS(IF(ABS($E$2988)&gt;0.000000001,$E$2988,0.000000001))*$I$1844)</f>
        <v/>
      </c>
      <c r="E3054" s="19">
        <f>0.5*$E$2988+0.5*$AT$3094</f>
        <v/>
      </c>
      <c r="F3054" s="19">
        <f>$AT$3095</f>
        <v/>
      </c>
    </row>
    <row r="3055">
      <c r="D3055" s="19">
        <f>IF(ABS(IF(ABS($E$2989)&gt;0.000000001,$E$2989,0.000000001))=0,0,IF($E$1845&lt;=$B$1820,0,IF(ABS(IF(ABS($E$2989)&gt;0.000000001,$E$2989,0.000000001))&gt;=8*$B$1822,$H$1845,0.5*$H$1845*(ABS(IF(ABS($E$2989)&gt;0.000000001,$E$2989,0.000000001))/$B$1822)^(1/3)))/ABS(IF(ABS($E$2989)&gt;0.000000001,$E$2989,0.000000001))*$I$1845)</f>
        <v/>
      </c>
      <c r="E3055" s="19">
        <f>0.5*$E$2989+0.5*$AT$3096</f>
        <v/>
      </c>
      <c r="F3055" s="19">
        <f>$AT$3097</f>
        <v/>
      </c>
    </row>
    <row r="3056">
      <c r="D3056" s="19">
        <f>IF(ABS(IF(ABS($E$2990)&gt;0.000000001,$E$2990,0.000000001))=0,0,IF($E$1846&lt;=$B$1820,0,IF(ABS(IF(ABS($E$2990)&gt;0.000000001,$E$2990,0.000000001))&gt;=8*$B$1822,$H$1846,0.5*$H$1846*(ABS(IF(ABS($E$2990)&gt;0.000000001,$E$2990,0.000000001))/$B$1822)^(1/3)))/ABS(IF(ABS($E$2990)&gt;0.000000001,$E$2990,0.000000001))*$I$1846)</f>
        <v/>
      </c>
      <c r="E3056" s="19">
        <f>0.5*$E$2990+0.5*$AT$3098</f>
        <v/>
      </c>
      <c r="F3056" s="19">
        <f>$AT$3099</f>
        <v/>
      </c>
    </row>
    <row r="3058">
      <c r="D3058" s="21">
        <f>$B$1811+$D$3036</f>
        <v/>
      </c>
      <c r="E3058" s="21">
        <f>$B$1812</f>
        <v/>
      </c>
      <c r="F3058" s="21">
        <f>-$B$1811</f>
        <v/>
      </c>
      <c r="G3058" s="21">
        <f>$B$1812</f>
        <v/>
      </c>
      <c r="H3058" s="21" t="n">
        <v>0</v>
      </c>
      <c r="I3058" s="21" t="n">
        <v>0</v>
      </c>
      <c r="J3058" s="21" t="n">
        <v>0</v>
      </c>
      <c r="K3058" s="21" t="n">
        <v>0</v>
      </c>
      <c r="L3058" s="21" t="n">
        <v>0</v>
      </c>
      <c r="M3058" s="21" t="n">
        <v>0</v>
      </c>
      <c r="N3058" s="21" t="n">
        <v>0</v>
      </c>
      <c r="O3058" s="21" t="n">
        <v>0</v>
      </c>
      <c r="P3058" s="21" t="n">
        <v>0</v>
      </c>
      <c r="Q3058" s="21" t="n">
        <v>0</v>
      </c>
      <c r="R3058" s="21" t="n">
        <v>0</v>
      </c>
      <c r="S3058" s="21" t="n">
        <v>0</v>
      </c>
      <c r="T3058" s="21" t="n">
        <v>0</v>
      </c>
      <c r="U3058" s="21" t="n">
        <v>0</v>
      </c>
      <c r="V3058" s="21" t="n">
        <v>0</v>
      </c>
      <c r="W3058" s="21" t="n">
        <v>0</v>
      </c>
      <c r="X3058" s="21" t="n">
        <v>0</v>
      </c>
      <c r="Y3058" s="21" t="n">
        <v>0</v>
      </c>
      <c r="Z3058" s="21" t="n">
        <v>0</v>
      </c>
      <c r="AA3058" s="21" t="n">
        <v>0</v>
      </c>
      <c r="AB3058" s="21" t="n">
        <v>0</v>
      </c>
      <c r="AC3058" s="21" t="n">
        <v>0</v>
      </c>
      <c r="AD3058" s="21" t="n">
        <v>0</v>
      </c>
      <c r="AE3058" s="21" t="n">
        <v>0</v>
      </c>
      <c r="AF3058" s="21" t="n">
        <v>0</v>
      </c>
      <c r="AG3058" s="21" t="n">
        <v>0</v>
      </c>
      <c r="AH3058" s="21" t="n">
        <v>0</v>
      </c>
      <c r="AI3058" s="21" t="n">
        <v>0</v>
      </c>
      <c r="AJ3058" s="21" t="n">
        <v>0</v>
      </c>
      <c r="AK3058" s="21" t="n">
        <v>0</v>
      </c>
      <c r="AL3058" s="21" t="n">
        <v>0</v>
      </c>
      <c r="AM3058" s="21" t="n">
        <v>0</v>
      </c>
      <c r="AN3058" s="21" t="n">
        <v>0</v>
      </c>
      <c r="AO3058" s="21" t="n">
        <v>0</v>
      </c>
      <c r="AP3058" s="21" t="n">
        <v>0</v>
      </c>
      <c r="AQ3058" s="21" t="n">
        <v>0</v>
      </c>
      <c r="AR3058" s="21" t="n">
        <v>0</v>
      </c>
      <c r="AS3058" s="21" t="n">
        <v>0</v>
      </c>
      <c r="AT3058" s="19">
        <f t="array" ref="AT3058:AT3099">MMULT(MINVERSE($D$3058:$AS$3099),$D$1848:$D$1889)</f>
        <v/>
      </c>
    </row>
    <row r="3059">
      <c r="D3059" s="21">
        <f>$B$1812</f>
        <v/>
      </c>
      <c r="E3059" s="21">
        <f>$B$1813</f>
        <v/>
      </c>
      <c r="F3059" s="21">
        <f>-$B$1812</f>
        <v/>
      </c>
      <c r="G3059" s="21">
        <f>$B$1814</f>
        <v/>
      </c>
      <c r="H3059" s="21" t="n">
        <v>0</v>
      </c>
      <c r="I3059" s="21" t="n">
        <v>0</v>
      </c>
      <c r="J3059" s="21" t="n">
        <v>0</v>
      </c>
      <c r="K3059" s="21" t="n">
        <v>0</v>
      </c>
      <c r="L3059" s="21" t="n">
        <v>0</v>
      </c>
      <c r="M3059" s="21" t="n">
        <v>0</v>
      </c>
      <c r="N3059" s="21" t="n">
        <v>0</v>
      </c>
      <c r="O3059" s="21" t="n">
        <v>0</v>
      </c>
      <c r="P3059" s="21" t="n">
        <v>0</v>
      </c>
      <c r="Q3059" s="21" t="n">
        <v>0</v>
      </c>
      <c r="R3059" s="21" t="n">
        <v>0</v>
      </c>
      <c r="S3059" s="21" t="n">
        <v>0</v>
      </c>
      <c r="T3059" s="21" t="n">
        <v>0</v>
      </c>
      <c r="U3059" s="21" t="n">
        <v>0</v>
      </c>
      <c r="V3059" s="21" t="n">
        <v>0</v>
      </c>
      <c r="W3059" s="21" t="n">
        <v>0</v>
      </c>
      <c r="X3059" s="21" t="n">
        <v>0</v>
      </c>
      <c r="Y3059" s="21" t="n">
        <v>0</v>
      </c>
      <c r="Z3059" s="21" t="n">
        <v>0</v>
      </c>
      <c r="AA3059" s="21" t="n">
        <v>0</v>
      </c>
      <c r="AB3059" s="21" t="n">
        <v>0</v>
      </c>
      <c r="AC3059" s="21" t="n">
        <v>0</v>
      </c>
      <c r="AD3059" s="21" t="n">
        <v>0</v>
      </c>
      <c r="AE3059" s="21" t="n">
        <v>0</v>
      </c>
      <c r="AF3059" s="21" t="n">
        <v>0</v>
      </c>
      <c r="AG3059" s="21" t="n">
        <v>0</v>
      </c>
      <c r="AH3059" s="21" t="n">
        <v>0</v>
      </c>
      <c r="AI3059" s="21" t="n">
        <v>0</v>
      </c>
      <c r="AJ3059" s="21" t="n">
        <v>0</v>
      </c>
      <c r="AK3059" s="21" t="n">
        <v>0</v>
      </c>
      <c r="AL3059" s="21" t="n">
        <v>0</v>
      </c>
      <c r="AM3059" s="21" t="n">
        <v>0</v>
      </c>
      <c r="AN3059" s="21" t="n">
        <v>0</v>
      </c>
      <c r="AO3059" s="21" t="n">
        <v>0</v>
      </c>
      <c r="AP3059" s="21" t="n">
        <v>0</v>
      </c>
      <c r="AQ3059" s="21" t="n">
        <v>0</v>
      </c>
      <c r="AR3059" s="21" t="n">
        <v>0</v>
      </c>
      <c r="AS3059" s="21" t="n">
        <v>0</v>
      </c>
      <c r="AT3059" s="19" t="n"/>
    </row>
    <row r="3060">
      <c r="D3060" s="21">
        <f>-$B$1811</f>
        <v/>
      </c>
      <c r="E3060" s="21">
        <f>-$B$1812</f>
        <v/>
      </c>
      <c r="F3060" s="21">
        <f>2*$B$1811+$D$3037</f>
        <v/>
      </c>
      <c r="G3060" s="21">
        <f>0</f>
        <v/>
      </c>
      <c r="H3060" s="21">
        <f>-$B$1811</f>
        <v/>
      </c>
      <c r="I3060" s="21">
        <f>$B$1812</f>
        <v/>
      </c>
      <c r="J3060" s="21" t="n">
        <v>0</v>
      </c>
      <c r="K3060" s="21" t="n">
        <v>0</v>
      </c>
      <c r="L3060" s="21" t="n">
        <v>0</v>
      </c>
      <c r="M3060" s="21" t="n">
        <v>0</v>
      </c>
      <c r="N3060" s="21" t="n">
        <v>0</v>
      </c>
      <c r="O3060" s="21" t="n">
        <v>0</v>
      </c>
      <c r="P3060" s="21" t="n">
        <v>0</v>
      </c>
      <c r="Q3060" s="21" t="n">
        <v>0</v>
      </c>
      <c r="R3060" s="21" t="n">
        <v>0</v>
      </c>
      <c r="S3060" s="21" t="n">
        <v>0</v>
      </c>
      <c r="T3060" s="21" t="n">
        <v>0</v>
      </c>
      <c r="U3060" s="21" t="n">
        <v>0</v>
      </c>
      <c r="V3060" s="21" t="n">
        <v>0</v>
      </c>
      <c r="W3060" s="21" t="n">
        <v>0</v>
      </c>
      <c r="X3060" s="21" t="n">
        <v>0</v>
      </c>
      <c r="Y3060" s="21" t="n">
        <v>0</v>
      </c>
      <c r="Z3060" s="21" t="n">
        <v>0</v>
      </c>
      <c r="AA3060" s="21" t="n">
        <v>0</v>
      </c>
      <c r="AB3060" s="21" t="n">
        <v>0</v>
      </c>
      <c r="AC3060" s="21" t="n">
        <v>0</v>
      </c>
      <c r="AD3060" s="21" t="n">
        <v>0</v>
      </c>
      <c r="AE3060" s="21" t="n">
        <v>0</v>
      </c>
      <c r="AF3060" s="21" t="n">
        <v>0</v>
      </c>
      <c r="AG3060" s="21" t="n">
        <v>0</v>
      </c>
      <c r="AH3060" s="21" t="n">
        <v>0</v>
      </c>
      <c r="AI3060" s="21" t="n">
        <v>0</v>
      </c>
      <c r="AJ3060" s="21" t="n">
        <v>0</v>
      </c>
      <c r="AK3060" s="21" t="n">
        <v>0</v>
      </c>
      <c r="AL3060" s="21" t="n">
        <v>0</v>
      </c>
      <c r="AM3060" s="21" t="n">
        <v>0</v>
      </c>
      <c r="AN3060" s="21" t="n">
        <v>0</v>
      </c>
      <c r="AO3060" s="21" t="n">
        <v>0</v>
      </c>
      <c r="AP3060" s="21" t="n">
        <v>0</v>
      </c>
      <c r="AQ3060" s="21" t="n">
        <v>0</v>
      </c>
      <c r="AR3060" s="21" t="n">
        <v>0</v>
      </c>
      <c r="AS3060" s="21" t="n">
        <v>0</v>
      </c>
      <c r="AT3060" s="19" t="n"/>
    </row>
    <row r="3061">
      <c r="D3061" s="21">
        <f>$B$1812</f>
        <v/>
      </c>
      <c r="E3061" s="21">
        <f>$B$1814</f>
        <v/>
      </c>
      <c r="F3061" s="21">
        <f>0</f>
        <v/>
      </c>
      <c r="G3061" s="21">
        <f>2*$B$1813</f>
        <v/>
      </c>
      <c r="H3061" s="21">
        <f>-$B$1812</f>
        <v/>
      </c>
      <c r="I3061" s="21">
        <f>$B$1814</f>
        <v/>
      </c>
      <c r="J3061" s="21" t="n">
        <v>0</v>
      </c>
      <c r="K3061" s="21" t="n">
        <v>0</v>
      </c>
      <c r="L3061" s="21" t="n">
        <v>0</v>
      </c>
      <c r="M3061" s="21" t="n">
        <v>0</v>
      </c>
      <c r="N3061" s="21" t="n">
        <v>0</v>
      </c>
      <c r="O3061" s="21" t="n">
        <v>0</v>
      </c>
      <c r="P3061" s="21" t="n">
        <v>0</v>
      </c>
      <c r="Q3061" s="21" t="n">
        <v>0</v>
      </c>
      <c r="R3061" s="21" t="n">
        <v>0</v>
      </c>
      <c r="S3061" s="21" t="n">
        <v>0</v>
      </c>
      <c r="T3061" s="21" t="n">
        <v>0</v>
      </c>
      <c r="U3061" s="21" t="n">
        <v>0</v>
      </c>
      <c r="V3061" s="21" t="n">
        <v>0</v>
      </c>
      <c r="W3061" s="21" t="n">
        <v>0</v>
      </c>
      <c r="X3061" s="21" t="n">
        <v>0</v>
      </c>
      <c r="Y3061" s="21" t="n">
        <v>0</v>
      </c>
      <c r="Z3061" s="21" t="n">
        <v>0</v>
      </c>
      <c r="AA3061" s="21" t="n">
        <v>0</v>
      </c>
      <c r="AB3061" s="21" t="n">
        <v>0</v>
      </c>
      <c r="AC3061" s="21" t="n">
        <v>0</v>
      </c>
      <c r="AD3061" s="21" t="n">
        <v>0</v>
      </c>
      <c r="AE3061" s="21" t="n">
        <v>0</v>
      </c>
      <c r="AF3061" s="21" t="n">
        <v>0</v>
      </c>
      <c r="AG3061" s="21" t="n">
        <v>0</v>
      </c>
      <c r="AH3061" s="21" t="n">
        <v>0</v>
      </c>
      <c r="AI3061" s="21" t="n">
        <v>0</v>
      </c>
      <c r="AJ3061" s="21" t="n">
        <v>0</v>
      </c>
      <c r="AK3061" s="21" t="n">
        <v>0</v>
      </c>
      <c r="AL3061" s="21" t="n">
        <v>0</v>
      </c>
      <c r="AM3061" s="21" t="n">
        <v>0</v>
      </c>
      <c r="AN3061" s="21" t="n">
        <v>0</v>
      </c>
      <c r="AO3061" s="21" t="n">
        <v>0</v>
      </c>
      <c r="AP3061" s="21" t="n">
        <v>0</v>
      </c>
      <c r="AQ3061" s="21" t="n">
        <v>0</v>
      </c>
      <c r="AR3061" s="21" t="n">
        <v>0</v>
      </c>
      <c r="AS3061" s="21" t="n">
        <v>0</v>
      </c>
      <c r="AT3061" s="19" t="n"/>
    </row>
    <row r="3062">
      <c r="D3062" s="21" t="n">
        <v>0</v>
      </c>
      <c r="E3062" s="21" t="n">
        <v>0</v>
      </c>
      <c r="F3062" s="21">
        <f>-$B$1811</f>
        <v/>
      </c>
      <c r="G3062" s="21">
        <f>-$B$1812</f>
        <v/>
      </c>
      <c r="H3062" s="21">
        <f>2*$B$1811+$D$3038</f>
        <v/>
      </c>
      <c r="I3062" s="21">
        <f>0</f>
        <v/>
      </c>
      <c r="J3062" s="21">
        <f>-$B$1811</f>
        <v/>
      </c>
      <c r="K3062" s="21">
        <f>$B$1812</f>
        <v/>
      </c>
      <c r="L3062" s="21" t="n">
        <v>0</v>
      </c>
      <c r="M3062" s="21" t="n">
        <v>0</v>
      </c>
      <c r="N3062" s="21" t="n">
        <v>0</v>
      </c>
      <c r="O3062" s="21" t="n">
        <v>0</v>
      </c>
      <c r="P3062" s="21" t="n">
        <v>0</v>
      </c>
      <c r="Q3062" s="21" t="n">
        <v>0</v>
      </c>
      <c r="R3062" s="21" t="n">
        <v>0</v>
      </c>
      <c r="S3062" s="21" t="n">
        <v>0</v>
      </c>
      <c r="T3062" s="21" t="n">
        <v>0</v>
      </c>
      <c r="U3062" s="21" t="n">
        <v>0</v>
      </c>
      <c r="V3062" s="21" t="n">
        <v>0</v>
      </c>
      <c r="W3062" s="21" t="n">
        <v>0</v>
      </c>
      <c r="X3062" s="21" t="n">
        <v>0</v>
      </c>
      <c r="Y3062" s="21" t="n">
        <v>0</v>
      </c>
      <c r="Z3062" s="21" t="n">
        <v>0</v>
      </c>
      <c r="AA3062" s="21" t="n">
        <v>0</v>
      </c>
      <c r="AB3062" s="21" t="n">
        <v>0</v>
      </c>
      <c r="AC3062" s="21" t="n">
        <v>0</v>
      </c>
      <c r="AD3062" s="21" t="n">
        <v>0</v>
      </c>
      <c r="AE3062" s="21" t="n">
        <v>0</v>
      </c>
      <c r="AF3062" s="21" t="n">
        <v>0</v>
      </c>
      <c r="AG3062" s="21" t="n">
        <v>0</v>
      </c>
      <c r="AH3062" s="21" t="n">
        <v>0</v>
      </c>
      <c r="AI3062" s="21" t="n">
        <v>0</v>
      </c>
      <c r="AJ3062" s="21" t="n">
        <v>0</v>
      </c>
      <c r="AK3062" s="21" t="n">
        <v>0</v>
      </c>
      <c r="AL3062" s="21" t="n">
        <v>0</v>
      </c>
      <c r="AM3062" s="21" t="n">
        <v>0</v>
      </c>
      <c r="AN3062" s="21" t="n">
        <v>0</v>
      </c>
      <c r="AO3062" s="21" t="n">
        <v>0</v>
      </c>
      <c r="AP3062" s="21" t="n">
        <v>0</v>
      </c>
      <c r="AQ3062" s="21" t="n">
        <v>0</v>
      </c>
      <c r="AR3062" s="21" t="n">
        <v>0</v>
      </c>
      <c r="AS3062" s="21" t="n">
        <v>0</v>
      </c>
      <c r="AT3062" s="19" t="n"/>
    </row>
    <row r="3063">
      <c r="D3063" s="21" t="n">
        <v>0</v>
      </c>
      <c r="E3063" s="21" t="n">
        <v>0</v>
      </c>
      <c r="F3063" s="21">
        <f>$B$1812</f>
        <v/>
      </c>
      <c r="G3063" s="21">
        <f>$B$1814</f>
        <v/>
      </c>
      <c r="H3063" s="21">
        <f>0</f>
        <v/>
      </c>
      <c r="I3063" s="21">
        <f>2*$B$1813</f>
        <v/>
      </c>
      <c r="J3063" s="21">
        <f>-$B$1812</f>
        <v/>
      </c>
      <c r="K3063" s="21">
        <f>$B$1814</f>
        <v/>
      </c>
      <c r="L3063" s="21" t="n">
        <v>0</v>
      </c>
      <c r="M3063" s="21" t="n">
        <v>0</v>
      </c>
      <c r="N3063" s="21" t="n">
        <v>0</v>
      </c>
      <c r="O3063" s="21" t="n">
        <v>0</v>
      </c>
      <c r="P3063" s="21" t="n">
        <v>0</v>
      </c>
      <c r="Q3063" s="21" t="n">
        <v>0</v>
      </c>
      <c r="R3063" s="21" t="n">
        <v>0</v>
      </c>
      <c r="S3063" s="21" t="n">
        <v>0</v>
      </c>
      <c r="T3063" s="21" t="n">
        <v>0</v>
      </c>
      <c r="U3063" s="21" t="n">
        <v>0</v>
      </c>
      <c r="V3063" s="21" t="n">
        <v>0</v>
      </c>
      <c r="W3063" s="21" t="n">
        <v>0</v>
      </c>
      <c r="X3063" s="21" t="n">
        <v>0</v>
      </c>
      <c r="Y3063" s="21" t="n">
        <v>0</v>
      </c>
      <c r="Z3063" s="21" t="n">
        <v>0</v>
      </c>
      <c r="AA3063" s="21" t="n">
        <v>0</v>
      </c>
      <c r="AB3063" s="21" t="n">
        <v>0</v>
      </c>
      <c r="AC3063" s="21" t="n">
        <v>0</v>
      </c>
      <c r="AD3063" s="21" t="n">
        <v>0</v>
      </c>
      <c r="AE3063" s="21" t="n">
        <v>0</v>
      </c>
      <c r="AF3063" s="21" t="n">
        <v>0</v>
      </c>
      <c r="AG3063" s="21" t="n">
        <v>0</v>
      </c>
      <c r="AH3063" s="21" t="n">
        <v>0</v>
      </c>
      <c r="AI3063" s="21" t="n">
        <v>0</v>
      </c>
      <c r="AJ3063" s="21" t="n">
        <v>0</v>
      </c>
      <c r="AK3063" s="21" t="n">
        <v>0</v>
      </c>
      <c r="AL3063" s="21" t="n">
        <v>0</v>
      </c>
      <c r="AM3063" s="21" t="n">
        <v>0</v>
      </c>
      <c r="AN3063" s="21" t="n">
        <v>0</v>
      </c>
      <c r="AO3063" s="21" t="n">
        <v>0</v>
      </c>
      <c r="AP3063" s="21" t="n">
        <v>0</v>
      </c>
      <c r="AQ3063" s="21" t="n">
        <v>0</v>
      </c>
      <c r="AR3063" s="21" t="n">
        <v>0</v>
      </c>
      <c r="AS3063" s="21" t="n">
        <v>0</v>
      </c>
      <c r="AT3063" s="19" t="n"/>
    </row>
    <row r="3064">
      <c r="D3064" s="21" t="n">
        <v>0</v>
      </c>
      <c r="E3064" s="21" t="n">
        <v>0</v>
      </c>
      <c r="F3064" s="21" t="n">
        <v>0</v>
      </c>
      <c r="G3064" s="21" t="n">
        <v>0</v>
      </c>
      <c r="H3064" s="21">
        <f>-$B$1811</f>
        <v/>
      </c>
      <c r="I3064" s="21">
        <f>-$B$1812</f>
        <v/>
      </c>
      <c r="J3064" s="21">
        <f>2*$B$1811+$D$3039</f>
        <v/>
      </c>
      <c r="K3064" s="21">
        <f>0</f>
        <v/>
      </c>
      <c r="L3064" s="21">
        <f>-$B$1811</f>
        <v/>
      </c>
      <c r="M3064" s="21">
        <f>$B$1812</f>
        <v/>
      </c>
      <c r="N3064" s="21" t="n">
        <v>0</v>
      </c>
      <c r="O3064" s="21" t="n">
        <v>0</v>
      </c>
      <c r="P3064" s="21" t="n">
        <v>0</v>
      </c>
      <c r="Q3064" s="21" t="n">
        <v>0</v>
      </c>
      <c r="R3064" s="21" t="n">
        <v>0</v>
      </c>
      <c r="S3064" s="21" t="n">
        <v>0</v>
      </c>
      <c r="T3064" s="21" t="n">
        <v>0</v>
      </c>
      <c r="U3064" s="21" t="n">
        <v>0</v>
      </c>
      <c r="V3064" s="21" t="n">
        <v>0</v>
      </c>
      <c r="W3064" s="21" t="n">
        <v>0</v>
      </c>
      <c r="X3064" s="21" t="n">
        <v>0</v>
      </c>
      <c r="Y3064" s="21" t="n">
        <v>0</v>
      </c>
      <c r="Z3064" s="21" t="n">
        <v>0</v>
      </c>
      <c r="AA3064" s="21" t="n">
        <v>0</v>
      </c>
      <c r="AB3064" s="21" t="n">
        <v>0</v>
      </c>
      <c r="AC3064" s="21" t="n">
        <v>0</v>
      </c>
      <c r="AD3064" s="21" t="n">
        <v>0</v>
      </c>
      <c r="AE3064" s="21" t="n">
        <v>0</v>
      </c>
      <c r="AF3064" s="21" t="n">
        <v>0</v>
      </c>
      <c r="AG3064" s="21" t="n">
        <v>0</v>
      </c>
      <c r="AH3064" s="21" t="n">
        <v>0</v>
      </c>
      <c r="AI3064" s="21" t="n">
        <v>0</v>
      </c>
      <c r="AJ3064" s="21" t="n">
        <v>0</v>
      </c>
      <c r="AK3064" s="21" t="n">
        <v>0</v>
      </c>
      <c r="AL3064" s="21" t="n">
        <v>0</v>
      </c>
      <c r="AM3064" s="21" t="n">
        <v>0</v>
      </c>
      <c r="AN3064" s="21" t="n">
        <v>0</v>
      </c>
      <c r="AO3064" s="21" t="n">
        <v>0</v>
      </c>
      <c r="AP3064" s="21" t="n">
        <v>0</v>
      </c>
      <c r="AQ3064" s="21" t="n">
        <v>0</v>
      </c>
      <c r="AR3064" s="21" t="n">
        <v>0</v>
      </c>
      <c r="AS3064" s="21" t="n">
        <v>0</v>
      </c>
      <c r="AT3064" s="19" t="n"/>
    </row>
    <row r="3065">
      <c r="D3065" s="21" t="n">
        <v>0</v>
      </c>
      <c r="E3065" s="21" t="n">
        <v>0</v>
      </c>
      <c r="F3065" s="21" t="n">
        <v>0</v>
      </c>
      <c r="G3065" s="21" t="n">
        <v>0</v>
      </c>
      <c r="H3065" s="21">
        <f>$B$1812</f>
        <v/>
      </c>
      <c r="I3065" s="21">
        <f>$B$1814</f>
        <v/>
      </c>
      <c r="J3065" s="21">
        <f>0</f>
        <v/>
      </c>
      <c r="K3065" s="21">
        <f>2*$B$1813</f>
        <v/>
      </c>
      <c r="L3065" s="21">
        <f>-$B$1812</f>
        <v/>
      </c>
      <c r="M3065" s="21">
        <f>$B$1814</f>
        <v/>
      </c>
      <c r="N3065" s="21" t="n">
        <v>0</v>
      </c>
      <c r="O3065" s="21" t="n">
        <v>0</v>
      </c>
      <c r="P3065" s="21" t="n">
        <v>0</v>
      </c>
      <c r="Q3065" s="21" t="n">
        <v>0</v>
      </c>
      <c r="R3065" s="21" t="n">
        <v>0</v>
      </c>
      <c r="S3065" s="21" t="n">
        <v>0</v>
      </c>
      <c r="T3065" s="21" t="n">
        <v>0</v>
      </c>
      <c r="U3065" s="21" t="n">
        <v>0</v>
      </c>
      <c r="V3065" s="21" t="n">
        <v>0</v>
      </c>
      <c r="W3065" s="21" t="n">
        <v>0</v>
      </c>
      <c r="X3065" s="21" t="n">
        <v>0</v>
      </c>
      <c r="Y3065" s="21" t="n">
        <v>0</v>
      </c>
      <c r="Z3065" s="21" t="n">
        <v>0</v>
      </c>
      <c r="AA3065" s="21" t="n">
        <v>0</v>
      </c>
      <c r="AB3065" s="21" t="n">
        <v>0</v>
      </c>
      <c r="AC3065" s="21" t="n">
        <v>0</v>
      </c>
      <c r="AD3065" s="21" t="n">
        <v>0</v>
      </c>
      <c r="AE3065" s="21" t="n">
        <v>0</v>
      </c>
      <c r="AF3065" s="21" t="n">
        <v>0</v>
      </c>
      <c r="AG3065" s="21" t="n">
        <v>0</v>
      </c>
      <c r="AH3065" s="21" t="n">
        <v>0</v>
      </c>
      <c r="AI3065" s="21" t="n">
        <v>0</v>
      </c>
      <c r="AJ3065" s="21" t="n">
        <v>0</v>
      </c>
      <c r="AK3065" s="21" t="n">
        <v>0</v>
      </c>
      <c r="AL3065" s="21" t="n">
        <v>0</v>
      </c>
      <c r="AM3065" s="21" t="n">
        <v>0</v>
      </c>
      <c r="AN3065" s="21" t="n">
        <v>0</v>
      </c>
      <c r="AO3065" s="21" t="n">
        <v>0</v>
      </c>
      <c r="AP3065" s="21" t="n">
        <v>0</v>
      </c>
      <c r="AQ3065" s="21" t="n">
        <v>0</v>
      </c>
      <c r="AR3065" s="21" t="n">
        <v>0</v>
      </c>
      <c r="AS3065" s="21" t="n">
        <v>0</v>
      </c>
      <c r="AT3065" s="19" t="n"/>
    </row>
    <row r="3066">
      <c r="D3066" s="21" t="n">
        <v>0</v>
      </c>
      <c r="E3066" s="21" t="n">
        <v>0</v>
      </c>
      <c r="F3066" s="21" t="n">
        <v>0</v>
      </c>
      <c r="G3066" s="21" t="n">
        <v>0</v>
      </c>
      <c r="H3066" s="21" t="n">
        <v>0</v>
      </c>
      <c r="I3066" s="21" t="n">
        <v>0</v>
      </c>
      <c r="J3066" s="21">
        <f>-$B$1811</f>
        <v/>
      </c>
      <c r="K3066" s="21">
        <f>-$B$1812</f>
        <v/>
      </c>
      <c r="L3066" s="21">
        <f>2*$B$1811+$D$3040</f>
        <v/>
      </c>
      <c r="M3066" s="21">
        <f>0</f>
        <v/>
      </c>
      <c r="N3066" s="21">
        <f>-$B$1811</f>
        <v/>
      </c>
      <c r="O3066" s="21">
        <f>$B$1812</f>
        <v/>
      </c>
      <c r="P3066" s="21" t="n">
        <v>0</v>
      </c>
      <c r="Q3066" s="21" t="n">
        <v>0</v>
      </c>
      <c r="R3066" s="21" t="n">
        <v>0</v>
      </c>
      <c r="S3066" s="21" t="n">
        <v>0</v>
      </c>
      <c r="T3066" s="21" t="n">
        <v>0</v>
      </c>
      <c r="U3066" s="21" t="n">
        <v>0</v>
      </c>
      <c r="V3066" s="21" t="n">
        <v>0</v>
      </c>
      <c r="W3066" s="21" t="n">
        <v>0</v>
      </c>
      <c r="X3066" s="21" t="n">
        <v>0</v>
      </c>
      <c r="Y3066" s="21" t="n">
        <v>0</v>
      </c>
      <c r="Z3066" s="21" t="n">
        <v>0</v>
      </c>
      <c r="AA3066" s="21" t="n">
        <v>0</v>
      </c>
      <c r="AB3066" s="21" t="n">
        <v>0</v>
      </c>
      <c r="AC3066" s="21" t="n">
        <v>0</v>
      </c>
      <c r="AD3066" s="21" t="n">
        <v>0</v>
      </c>
      <c r="AE3066" s="21" t="n">
        <v>0</v>
      </c>
      <c r="AF3066" s="21" t="n">
        <v>0</v>
      </c>
      <c r="AG3066" s="21" t="n">
        <v>0</v>
      </c>
      <c r="AH3066" s="21" t="n">
        <v>0</v>
      </c>
      <c r="AI3066" s="21" t="n">
        <v>0</v>
      </c>
      <c r="AJ3066" s="21" t="n">
        <v>0</v>
      </c>
      <c r="AK3066" s="21" t="n">
        <v>0</v>
      </c>
      <c r="AL3066" s="21" t="n">
        <v>0</v>
      </c>
      <c r="AM3066" s="21" t="n">
        <v>0</v>
      </c>
      <c r="AN3066" s="21" t="n">
        <v>0</v>
      </c>
      <c r="AO3066" s="21" t="n">
        <v>0</v>
      </c>
      <c r="AP3066" s="21" t="n">
        <v>0</v>
      </c>
      <c r="AQ3066" s="21" t="n">
        <v>0</v>
      </c>
      <c r="AR3066" s="21" t="n">
        <v>0</v>
      </c>
      <c r="AS3066" s="21" t="n">
        <v>0</v>
      </c>
      <c r="AT3066" s="19" t="n"/>
    </row>
    <row r="3067">
      <c r="D3067" s="21" t="n">
        <v>0</v>
      </c>
      <c r="E3067" s="21" t="n">
        <v>0</v>
      </c>
      <c r="F3067" s="21" t="n">
        <v>0</v>
      </c>
      <c r="G3067" s="21" t="n">
        <v>0</v>
      </c>
      <c r="H3067" s="21" t="n">
        <v>0</v>
      </c>
      <c r="I3067" s="21" t="n">
        <v>0</v>
      </c>
      <c r="J3067" s="21">
        <f>$B$1812</f>
        <v/>
      </c>
      <c r="K3067" s="21">
        <f>$B$1814</f>
        <v/>
      </c>
      <c r="L3067" s="21">
        <f>0</f>
        <v/>
      </c>
      <c r="M3067" s="21">
        <f>2*$B$1813</f>
        <v/>
      </c>
      <c r="N3067" s="21">
        <f>-$B$1812</f>
        <v/>
      </c>
      <c r="O3067" s="21">
        <f>$B$1814</f>
        <v/>
      </c>
      <c r="P3067" s="21" t="n">
        <v>0</v>
      </c>
      <c r="Q3067" s="21" t="n">
        <v>0</v>
      </c>
      <c r="R3067" s="21" t="n">
        <v>0</v>
      </c>
      <c r="S3067" s="21" t="n">
        <v>0</v>
      </c>
      <c r="T3067" s="21" t="n">
        <v>0</v>
      </c>
      <c r="U3067" s="21" t="n">
        <v>0</v>
      </c>
      <c r="V3067" s="21" t="n">
        <v>0</v>
      </c>
      <c r="W3067" s="21" t="n">
        <v>0</v>
      </c>
      <c r="X3067" s="21" t="n">
        <v>0</v>
      </c>
      <c r="Y3067" s="21" t="n">
        <v>0</v>
      </c>
      <c r="Z3067" s="21" t="n">
        <v>0</v>
      </c>
      <c r="AA3067" s="21" t="n">
        <v>0</v>
      </c>
      <c r="AB3067" s="21" t="n">
        <v>0</v>
      </c>
      <c r="AC3067" s="21" t="n">
        <v>0</v>
      </c>
      <c r="AD3067" s="21" t="n">
        <v>0</v>
      </c>
      <c r="AE3067" s="21" t="n">
        <v>0</v>
      </c>
      <c r="AF3067" s="21" t="n">
        <v>0</v>
      </c>
      <c r="AG3067" s="21" t="n">
        <v>0</v>
      </c>
      <c r="AH3067" s="21" t="n">
        <v>0</v>
      </c>
      <c r="AI3067" s="21" t="n">
        <v>0</v>
      </c>
      <c r="AJ3067" s="21" t="n">
        <v>0</v>
      </c>
      <c r="AK3067" s="21" t="n">
        <v>0</v>
      </c>
      <c r="AL3067" s="21" t="n">
        <v>0</v>
      </c>
      <c r="AM3067" s="21" t="n">
        <v>0</v>
      </c>
      <c r="AN3067" s="21" t="n">
        <v>0</v>
      </c>
      <c r="AO3067" s="21" t="n">
        <v>0</v>
      </c>
      <c r="AP3067" s="21" t="n">
        <v>0</v>
      </c>
      <c r="AQ3067" s="21" t="n">
        <v>0</v>
      </c>
      <c r="AR3067" s="21" t="n">
        <v>0</v>
      </c>
      <c r="AS3067" s="21" t="n">
        <v>0</v>
      </c>
      <c r="AT3067" s="19" t="n"/>
    </row>
    <row r="3068">
      <c r="D3068" s="21" t="n">
        <v>0</v>
      </c>
      <c r="E3068" s="21" t="n">
        <v>0</v>
      </c>
      <c r="F3068" s="21" t="n">
        <v>0</v>
      </c>
      <c r="G3068" s="21" t="n">
        <v>0</v>
      </c>
      <c r="H3068" s="21" t="n">
        <v>0</v>
      </c>
      <c r="I3068" s="21" t="n">
        <v>0</v>
      </c>
      <c r="J3068" s="21" t="n">
        <v>0</v>
      </c>
      <c r="K3068" s="21" t="n">
        <v>0</v>
      </c>
      <c r="L3068" s="21">
        <f>-$B$1811</f>
        <v/>
      </c>
      <c r="M3068" s="21">
        <f>-$B$1812</f>
        <v/>
      </c>
      <c r="N3068" s="21">
        <f>2*$B$1811+$D$3041</f>
        <v/>
      </c>
      <c r="O3068" s="21">
        <f>0</f>
        <v/>
      </c>
      <c r="P3068" s="21">
        <f>-$B$1811</f>
        <v/>
      </c>
      <c r="Q3068" s="21">
        <f>$B$1812</f>
        <v/>
      </c>
      <c r="R3068" s="21" t="n">
        <v>0</v>
      </c>
      <c r="S3068" s="21" t="n">
        <v>0</v>
      </c>
      <c r="T3068" s="21" t="n">
        <v>0</v>
      </c>
      <c r="U3068" s="21" t="n">
        <v>0</v>
      </c>
      <c r="V3068" s="21" t="n">
        <v>0</v>
      </c>
      <c r="W3068" s="21" t="n">
        <v>0</v>
      </c>
      <c r="X3068" s="21" t="n">
        <v>0</v>
      </c>
      <c r="Y3068" s="21" t="n">
        <v>0</v>
      </c>
      <c r="Z3068" s="21" t="n">
        <v>0</v>
      </c>
      <c r="AA3068" s="21" t="n">
        <v>0</v>
      </c>
      <c r="AB3068" s="21" t="n">
        <v>0</v>
      </c>
      <c r="AC3068" s="21" t="n">
        <v>0</v>
      </c>
      <c r="AD3068" s="21" t="n">
        <v>0</v>
      </c>
      <c r="AE3068" s="21" t="n">
        <v>0</v>
      </c>
      <c r="AF3068" s="21" t="n">
        <v>0</v>
      </c>
      <c r="AG3068" s="21" t="n">
        <v>0</v>
      </c>
      <c r="AH3068" s="21" t="n">
        <v>0</v>
      </c>
      <c r="AI3068" s="21" t="n">
        <v>0</v>
      </c>
      <c r="AJ3068" s="21" t="n">
        <v>0</v>
      </c>
      <c r="AK3068" s="21" t="n">
        <v>0</v>
      </c>
      <c r="AL3068" s="21" t="n">
        <v>0</v>
      </c>
      <c r="AM3068" s="21" t="n">
        <v>0</v>
      </c>
      <c r="AN3068" s="21" t="n">
        <v>0</v>
      </c>
      <c r="AO3068" s="21" t="n">
        <v>0</v>
      </c>
      <c r="AP3068" s="21" t="n">
        <v>0</v>
      </c>
      <c r="AQ3068" s="21" t="n">
        <v>0</v>
      </c>
      <c r="AR3068" s="21" t="n">
        <v>0</v>
      </c>
      <c r="AS3068" s="21" t="n">
        <v>0</v>
      </c>
      <c r="AT3068" s="19" t="n"/>
    </row>
    <row r="3069">
      <c r="D3069" s="21" t="n">
        <v>0</v>
      </c>
      <c r="E3069" s="21" t="n">
        <v>0</v>
      </c>
      <c r="F3069" s="21" t="n">
        <v>0</v>
      </c>
      <c r="G3069" s="21" t="n">
        <v>0</v>
      </c>
      <c r="H3069" s="21" t="n">
        <v>0</v>
      </c>
      <c r="I3069" s="21" t="n">
        <v>0</v>
      </c>
      <c r="J3069" s="21" t="n">
        <v>0</v>
      </c>
      <c r="K3069" s="21" t="n">
        <v>0</v>
      </c>
      <c r="L3069" s="21">
        <f>$B$1812</f>
        <v/>
      </c>
      <c r="M3069" s="21">
        <f>$B$1814</f>
        <v/>
      </c>
      <c r="N3069" s="21">
        <f>0</f>
        <v/>
      </c>
      <c r="O3069" s="21">
        <f>2*$B$1813</f>
        <v/>
      </c>
      <c r="P3069" s="21">
        <f>-$B$1812</f>
        <v/>
      </c>
      <c r="Q3069" s="21">
        <f>$B$1814</f>
        <v/>
      </c>
      <c r="R3069" s="21" t="n">
        <v>0</v>
      </c>
      <c r="S3069" s="21" t="n">
        <v>0</v>
      </c>
      <c r="T3069" s="21" t="n">
        <v>0</v>
      </c>
      <c r="U3069" s="21" t="n">
        <v>0</v>
      </c>
      <c r="V3069" s="21" t="n">
        <v>0</v>
      </c>
      <c r="W3069" s="21" t="n">
        <v>0</v>
      </c>
      <c r="X3069" s="21" t="n">
        <v>0</v>
      </c>
      <c r="Y3069" s="21" t="n">
        <v>0</v>
      </c>
      <c r="Z3069" s="21" t="n">
        <v>0</v>
      </c>
      <c r="AA3069" s="21" t="n">
        <v>0</v>
      </c>
      <c r="AB3069" s="21" t="n">
        <v>0</v>
      </c>
      <c r="AC3069" s="21" t="n">
        <v>0</v>
      </c>
      <c r="AD3069" s="21" t="n">
        <v>0</v>
      </c>
      <c r="AE3069" s="21" t="n">
        <v>0</v>
      </c>
      <c r="AF3069" s="21" t="n">
        <v>0</v>
      </c>
      <c r="AG3069" s="21" t="n">
        <v>0</v>
      </c>
      <c r="AH3069" s="21" t="n">
        <v>0</v>
      </c>
      <c r="AI3069" s="21" t="n">
        <v>0</v>
      </c>
      <c r="AJ3069" s="21" t="n">
        <v>0</v>
      </c>
      <c r="AK3069" s="21" t="n">
        <v>0</v>
      </c>
      <c r="AL3069" s="21" t="n">
        <v>0</v>
      </c>
      <c r="AM3069" s="21" t="n">
        <v>0</v>
      </c>
      <c r="AN3069" s="21" t="n">
        <v>0</v>
      </c>
      <c r="AO3069" s="21" t="n">
        <v>0</v>
      </c>
      <c r="AP3069" s="21" t="n">
        <v>0</v>
      </c>
      <c r="AQ3069" s="21" t="n">
        <v>0</v>
      </c>
      <c r="AR3069" s="21" t="n">
        <v>0</v>
      </c>
      <c r="AS3069" s="21" t="n">
        <v>0</v>
      </c>
      <c r="AT3069" s="19" t="n"/>
    </row>
    <row r="3070">
      <c r="D3070" s="21" t="n">
        <v>0</v>
      </c>
      <c r="E3070" s="21" t="n">
        <v>0</v>
      </c>
      <c r="F3070" s="21" t="n">
        <v>0</v>
      </c>
      <c r="G3070" s="21" t="n">
        <v>0</v>
      </c>
      <c r="H3070" s="21" t="n">
        <v>0</v>
      </c>
      <c r="I3070" s="21" t="n">
        <v>0</v>
      </c>
      <c r="J3070" s="21" t="n">
        <v>0</v>
      </c>
      <c r="K3070" s="21" t="n">
        <v>0</v>
      </c>
      <c r="L3070" s="21" t="n">
        <v>0</v>
      </c>
      <c r="M3070" s="21" t="n">
        <v>0</v>
      </c>
      <c r="N3070" s="21">
        <f>-$B$1811</f>
        <v/>
      </c>
      <c r="O3070" s="21">
        <f>-$B$1812</f>
        <v/>
      </c>
      <c r="P3070" s="21">
        <f>2*$B$1811+$D$3042</f>
        <v/>
      </c>
      <c r="Q3070" s="21">
        <f>0</f>
        <v/>
      </c>
      <c r="R3070" s="21">
        <f>-$B$1811</f>
        <v/>
      </c>
      <c r="S3070" s="21">
        <f>$B$1812</f>
        <v/>
      </c>
      <c r="T3070" s="21" t="n">
        <v>0</v>
      </c>
      <c r="U3070" s="21" t="n">
        <v>0</v>
      </c>
      <c r="V3070" s="21" t="n">
        <v>0</v>
      </c>
      <c r="W3070" s="21" t="n">
        <v>0</v>
      </c>
      <c r="X3070" s="21" t="n">
        <v>0</v>
      </c>
      <c r="Y3070" s="21" t="n">
        <v>0</v>
      </c>
      <c r="Z3070" s="21" t="n">
        <v>0</v>
      </c>
      <c r="AA3070" s="21" t="n">
        <v>0</v>
      </c>
      <c r="AB3070" s="21" t="n">
        <v>0</v>
      </c>
      <c r="AC3070" s="21" t="n">
        <v>0</v>
      </c>
      <c r="AD3070" s="21" t="n">
        <v>0</v>
      </c>
      <c r="AE3070" s="21" t="n">
        <v>0</v>
      </c>
      <c r="AF3070" s="21" t="n">
        <v>0</v>
      </c>
      <c r="AG3070" s="21" t="n">
        <v>0</v>
      </c>
      <c r="AH3070" s="21" t="n">
        <v>0</v>
      </c>
      <c r="AI3070" s="21" t="n">
        <v>0</v>
      </c>
      <c r="AJ3070" s="21" t="n">
        <v>0</v>
      </c>
      <c r="AK3070" s="21" t="n">
        <v>0</v>
      </c>
      <c r="AL3070" s="21" t="n">
        <v>0</v>
      </c>
      <c r="AM3070" s="21" t="n">
        <v>0</v>
      </c>
      <c r="AN3070" s="21" t="n">
        <v>0</v>
      </c>
      <c r="AO3070" s="21" t="n">
        <v>0</v>
      </c>
      <c r="AP3070" s="21" t="n">
        <v>0</v>
      </c>
      <c r="AQ3070" s="21" t="n">
        <v>0</v>
      </c>
      <c r="AR3070" s="21" t="n">
        <v>0</v>
      </c>
      <c r="AS3070" s="21" t="n">
        <v>0</v>
      </c>
      <c r="AT3070" s="19" t="n"/>
    </row>
    <row r="3071">
      <c r="D3071" s="21" t="n">
        <v>0</v>
      </c>
      <c r="E3071" s="21" t="n">
        <v>0</v>
      </c>
      <c r="F3071" s="21" t="n">
        <v>0</v>
      </c>
      <c r="G3071" s="21" t="n">
        <v>0</v>
      </c>
      <c r="H3071" s="21" t="n">
        <v>0</v>
      </c>
      <c r="I3071" s="21" t="n">
        <v>0</v>
      </c>
      <c r="J3071" s="21" t="n">
        <v>0</v>
      </c>
      <c r="K3071" s="21" t="n">
        <v>0</v>
      </c>
      <c r="L3071" s="21" t="n">
        <v>0</v>
      </c>
      <c r="M3071" s="21" t="n">
        <v>0</v>
      </c>
      <c r="N3071" s="21">
        <f>$B$1812</f>
        <v/>
      </c>
      <c r="O3071" s="21">
        <f>$B$1814</f>
        <v/>
      </c>
      <c r="P3071" s="21">
        <f>0</f>
        <v/>
      </c>
      <c r="Q3071" s="21">
        <f>2*$B$1813</f>
        <v/>
      </c>
      <c r="R3071" s="21">
        <f>-$B$1812</f>
        <v/>
      </c>
      <c r="S3071" s="21">
        <f>$B$1814</f>
        <v/>
      </c>
      <c r="T3071" s="21" t="n">
        <v>0</v>
      </c>
      <c r="U3071" s="21" t="n">
        <v>0</v>
      </c>
      <c r="V3071" s="21" t="n">
        <v>0</v>
      </c>
      <c r="W3071" s="21" t="n">
        <v>0</v>
      </c>
      <c r="X3071" s="21" t="n">
        <v>0</v>
      </c>
      <c r="Y3071" s="21" t="n">
        <v>0</v>
      </c>
      <c r="Z3071" s="21" t="n">
        <v>0</v>
      </c>
      <c r="AA3071" s="21" t="n">
        <v>0</v>
      </c>
      <c r="AB3071" s="21" t="n">
        <v>0</v>
      </c>
      <c r="AC3071" s="21" t="n">
        <v>0</v>
      </c>
      <c r="AD3071" s="21" t="n">
        <v>0</v>
      </c>
      <c r="AE3071" s="21" t="n">
        <v>0</v>
      </c>
      <c r="AF3071" s="21" t="n">
        <v>0</v>
      </c>
      <c r="AG3071" s="21" t="n">
        <v>0</v>
      </c>
      <c r="AH3071" s="21" t="n">
        <v>0</v>
      </c>
      <c r="AI3071" s="21" t="n">
        <v>0</v>
      </c>
      <c r="AJ3071" s="21" t="n">
        <v>0</v>
      </c>
      <c r="AK3071" s="21" t="n">
        <v>0</v>
      </c>
      <c r="AL3071" s="21" t="n">
        <v>0</v>
      </c>
      <c r="AM3071" s="21" t="n">
        <v>0</v>
      </c>
      <c r="AN3071" s="21" t="n">
        <v>0</v>
      </c>
      <c r="AO3071" s="21" t="n">
        <v>0</v>
      </c>
      <c r="AP3071" s="21" t="n">
        <v>0</v>
      </c>
      <c r="AQ3071" s="21" t="n">
        <v>0</v>
      </c>
      <c r="AR3071" s="21" t="n">
        <v>0</v>
      </c>
      <c r="AS3071" s="21" t="n">
        <v>0</v>
      </c>
      <c r="AT3071" s="19" t="n"/>
    </row>
    <row r="3072">
      <c r="D3072" s="21" t="n">
        <v>0</v>
      </c>
      <c r="E3072" s="21" t="n">
        <v>0</v>
      </c>
      <c r="F3072" s="21" t="n">
        <v>0</v>
      </c>
      <c r="G3072" s="21" t="n">
        <v>0</v>
      </c>
      <c r="H3072" s="21" t="n">
        <v>0</v>
      </c>
      <c r="I3072" s="21" t="n">
        <v>0</v>
      </c>
      <c r="J3072" s="21" t="n">
        <v>0</v>
      </c>
      <c r="K3072" s="21" t="n">
        <v>0</v>
      </c>
      <c r="L3072" s="21" t="n">
        <v>0</v>
      </c>
      <c r="M3072" s="21" t="n">
        <v>0</v>
      </c>
      <c r="N3072" s="21" t="n">
        <v>0</v>
      </c>
      <c r="O3072" s="21" t="n">
        <v>0</v>
      </c>
      <c r="P3072" s="21">
        <f>-$B$1811</f>
        <v/>
      </c>
      <c r="Q3072" s="21">
        <f>-$B$1812</f>
        <v/>
      </c>
      <c r="R3072" s="21">
        <f>2*$B$1811+$D$3043</f>
        <v/>
      </c>
      <c r="S3072" s="21">
        <f>0</f>
        <v/>
      </c>
      <c r="T3072" s="21">
        <f>-$B$1811</f>
        <v/>
      </c>
      <c r="U3072" s="21">
        <f>$B$1812</f>
        <v/>
      </c>
      <c r="V3072" s="21" t="n">
        <v>0</v>
      </c>
      <c r="W3072" s="21" t="n">
        <v>0</v>
      </c>
      <c r="X3072" s="21" t="n">
        <v>0</v>
      </c>
      <c r="Y3072" s="21" t="n">
        <v>0</v>
      </c>
      <c r="Z3072" s="21" t="n">
        <v>0</v>
      </c>
      <c r="AA3072" s="21" t="n">
        <v>0</v>
      </c>
      <c r="AB3072" s="21" t="n">
        <v>0</v>
      </c>
      <c r="AC3072" s="21" t="n">
        <v>0</v>
      </c>
      <c r="AD3072" s="21" t="n">
        <v>0</v>
      </c>
      <c r="AE3072" s="21" t="n">
        <v>0</v>
      </c>
      <c r="AF3072" s="21" t="n">
        <v>0</v>
      </c>
      <c r="AG3072" s="21" t="n">
        <v>0</v>
      </c>
      <c r="AH3072" s="21" t="n">
        <v>0</v>
      </c>
      <c r="AI3072" s="21" t="n">
        <v>0</v>
      </c>
      <c r="AJ3072" s="21" t="n">
        <v>0</v>
      </c>
      <c r="AK3072" s="21" t="n">
        <v>0</v>
      </c>
      <c r="AL3072" s="21" t="n">
        <v>0</v>
      </c>
      <c r="AM3072" s="21" t="n">
        <v>0</v>
      </c>
      <c r="AN3072" s="21" t="n">
        <v>0</v>
      </c>
      <c r="AO3072" s="21" t="n">
        <v>0</v>
      </c>
      <c r="AP3072" s="21" t="n">
        <v>0</v>
      </c>
      <c r="AQ3072" s="21" t="n">
        <v>0</v>
      </c>
      <c r="AR3072" s="21" t="n">
        <v>0</v>
      </c>
      <c r="AS3072" s="21" t="n">
        <v>0</v>
      </c>
      <c r="AT3072" s="19" t="n"/>
    </row>
    <row r="3073">
      <c r="D3073" s="21" t="n">
        <v>0</v>
      </c>
      <c r="E3073" s="21" t="n">
        <v>0</v>
      </c>
      <c r="F3073" s="21" t="n">
        <v>0</v>
      </c>
      <c r="G3073" s="21" t="n">
        <v>0</v>
      </c>
      <c r="H3073" s="21" t="n">
        <v>0</v>
      </c>
      <c r="I3073" s="21" t="n">
        <v>0</v>
      </c>
      <c r="J3073" s="21" t="n">
        <v>0</v>
      </c>
      <c r="K3073" s="21" t="n">
        <v>0</v>
      </c>
      <c r="L3073" s="21" t="n">
        <v>0</v>
      </c>
      <c r="M3073" s="21" t="n">
        <v>0</v>
      </c>
      <c r="N3073" s="21" t="n">
        <v>0</v>
      </c>
      <c r="O3073" s="21" t="n">
        <v>0</v>
      </c>
      <c r="P3073" s="21">
        <f>$B$1812</f>
        <v/>
      </c>
      <c r="Q3073" s="21">
        <f>$B$1814</f>
        <v/>
      </c>
      <c r="R3073" s="21">
        <f>0</f>
        <v/>
      </c>
      <c r="S3073" s="21">
        <f>2*$B$1813</f>
        <v/>
      </c>
      <c r="T3073" s="21">
        <f>-$B$1812</f>
        <v/>
      </c>
      <c r="U3073" s="21">
        <f>$B$1814</f>
        <v/>
      </c>
      <c r="V3073" s="21" t="n">
        <v>0</v>
      </c>
      <c r="W3073" s="21" t="n">
        <v>0</v>
      </c>
      <c r="X3073" s="21" t="n">
        <v>0</v>
      </c>
      <c r="Y3073" s="21" t="n">
        <v>0</v>
      </c>
      <c r="Z3073" s="21" t="n">
        <v>0</v>
      </c>
      <c r="AA3073" s="21" t="n">
        <v>0</v>
      </c>
      <c r="AB3073" s="21" t="n">
        <v>0</v>
      </c>
      <c r="AC3073" s="21" t="n">
        <v>0</v>
      </c>
      <c r="AD3073" s="21" t="n">
        <v>0</v>
      </c>
      <c r="AE3073" s="21" t="n">
        <v>0</v>
      </c>
      <c r="AF3073" s="21" t="n">
        <v>0</v>
      </c>
      <c r="AG3073" s="21" t="n">
        <v>0</v>
      </c>
      <c r="AH3073" s="21" t="n">
        <v>0</v>
      </c>
      <c r="AI3073" s="21" t="n">
        <v>0</v>
      </c>
      <c r="AJ3073" s="21" t="n">
        <v>0</v>
      </c>
      <c r="AK3073" s="21" t="n">
        <v>0</v>
      </c>
      <c r="AL3073" s="21" t="n">
        <v>0</v>
      </c>
      <c r="AM3073" s="21" t="n">
        <v>0</v>
      </c>
      <c r="AN3073" s="21" t="n">
        <v>0</v>
      </c>
      <c r="AO3073" s="21" t="n">
        <v>0</v>
      </c>
      <c r="AP3073" s="21" t="n">
        <v>0</v>
      </c>
      <c r="AQ3073" s="21" t="n">
        <v>0</v>
      </c>
      <c r="AR3073" s="21" t="n">
        <v>0</v>
      </c>
      <c r="AS3073" s="21" t="n">
        <v>0</v>
      </c>
      <c r="AT3073" s="19" t="n"/>
    </row>
    <row r="3074">
      <c r="D3074" s="21" t="n">
        <v>0</v>
      </c>
      <c r="E3074" s="21" t="n">
        <v>0</v>
      </c>
      <c r="F3074" s="21" t="n">
        <v>0</v>
      </c>
      <c r="G3074" s="21" t="n">
        <v>0</v>
      </c>
      <c r="H3074" s="21" t="n">
        <v>0</v>
      </c>
      <c r="I3074" s="21" t="n">
        <v>0</v>
      </c>
      <c r="J3074" s="21" t="n">
        <v>0</v>
      </c>
      <c r="K3074" s="21" t="n">
        <v>0</v>
      </c>
      <c r="L3074" s="21" t="n">
        <v>0</v>
      </c>
      <c r="M3074" s="21" t="n">
        <v>0</v>
      </c>
      <c r="N3074" s="21" t="n">
        <v>0</v>
      </c>
      <c r="O3074" s="21" t="n">
        <v>0</v>
      </c>
      <c r="P3074" s="21" t="n">
        <v>0</v>
      </c>
      <c r="Q3074" s="21" t="n">
        <v>0</v>
      </c>
      <c r="R3074" s="21">
        <f>-$B$1811</f>
        <v/>
      </c>
      <c r="S3074" s="21">
        <f>-$B$1812</f>
        <v/>
      </c>
      <c r="T3074" s="21">
        <f>2*$B$1811+$D$3044</f>
        <v/>
      </c>
      <c r="U3074" s="21">
        <f>0</f>
        <v/>
      </c>
      <c r="V3074" s="21">
        <f>-$B$1811</f>
        <v/>
      </c>
      <c r="W3074" s="21">
        <f>$B$1812</f>
        <v/>
      </c>
      <c r="X3074" s="21" t="n">
        <v>0</v>
      </c>
      <c r="Y3074" s="21" t="n">
        <v>0</v>
      </c>
      <c r="Z3074" s="21" t="n">
        <v>0</v>
      </c>
      <c r="AA3074" s="21" t="n">
        <v>0</v>
      </c>
      <c r="AB3074" s="21" t="n">
        <v>0</v>
      </c>
      <c r="AC3074" s="21" t="n">
        <v>0</v>
      </c>
      <c r="AD3074" s="21" t="n">
        <v>0</v>
      </c>
      <c r="AE3074" s="21" t="n">
        <v>0</v>
      </c>
      <c r="AF3074" s="21" t="n">
        <v>0</v>
      </c>
      <c r="AG3074" s="21" t="n">
        <v>0</v>
      </c>
      <c r="AH3074" s="21" t="n">
        <v>0</v>
      </c>
      <c r="AI3074" s="21" t="n">
        <v>0</v>
      </c>
      <c r="AJ3074" s="21" t="n">
        <v>0</v>
      </c>
      <c r="AK3074" s="21" t="n">
        <v>0</v>
      </c>
      <c r="AL3074" s="21" t="n">
        <v>0</v>
      </c>
      <c r="AM3074" s="21" t="n">
        <v>0</v>
      </c>
      <c r="AN3074" s="21" t="n">
        <v>0</v>
      </c>
      <c r="AO3074" s="21" t="n">
        <v>0</v>
      </c>
      <c r="AP3074" s="21" t="n">
        <v>0</v>
      </c>
      <c r="AQ3074" s="21" t="n">
        <v>0</v>
      </c>
      <c r="AR3074" s="21" t="n">
        <v>0</v>
      </c>
      <c r="AS3074" s="21" t="n">
        <v>0</v>
      </c>
      <c r="AT3074" s="19" t="n"/>
    </row>
    <row r="3075">
      <c r="D3075" s="21" t="n">
        <v>0</v>
      </c>
      <c r="E3075" s="21" t="n">
        <v>0</v>
      </c>
      <c r="F3075" s="21" t="n">
        <v>0</v>
      </c>
      <c r="G3075" s="21" t="n">
        <v>0</v>
      </c>
      <c r="H3075" s="21" t="n">
        <v>0</v>
      </c>
      <c r="I3075" s="21" t="n">
        <v>0</v>
      </c>
      <c r="J3075" s="21" t="n">
        <v>0</v>
      </c>
      <c r="K3075" s="21" t="n">
        <v>0</v>
      </c>
      <c r="L3075" s="21" t="n">
        <v>0</v>
      </c>
      <c r="M3075" s="21" t="n">
        <v>0</v>
      </c>
      <c r="N3075" s="21" t="n">
        <v>0</v>
      </c>
      <c r="O3075" s="21" t="n">
        <v>0</v>
      </c>
      <c r="P3075" s="21" t="n">
        <v>0</v>
      </c>
      <c r="Q3075" s="21" t="n">
        <v>0</v>
      </c>
      <c r="R3075" s="21">
        <f>$B$1812</f>
        <v/>
      </c>
      <c r="S3075" s="21">
        <f>$B$1814</f>
        <v/>
      </c>
      <c r="T3075" s="21">
        <f>0</f>
        <v/>
      </c>
      <c r="U3075" s="21">
        <f>2*$B$1813</f>
        <v/>
      </c>
      <c r="V3075" s="21">
        <f>-$B$1812</f>
        <v/>
      </c>
      <c r="W3075" s="21">
        <f>$B$1814</f>
        <v/>
      </c>
      <c r="X3075" s="21" t="n">
        <v>0</v>
      </c>
      <c r="Y3075" s="21" t="n">
        <v>0</v>
      </c>
      <c r="Z3075" s="21" t="n">
        <v>0</v>
      </c>
      <c r="AA3075" s="21" t="n">
        <v>0</v>
      </c>
      <c r="AB3075" s="21" t="n">
        <v>0</v>
      </c>
      <c r="AC3075" s="21" t="n">
        <v>0</v>
      </c>
      <c r="AD3075" s="21" t="n">
        <v>0</v>
      </c>
      <c r="AE3075" s="21" t="n">
        <v>0</v>
      </c>
      <c r="AF3075" s="21" t="n">
        <v>0</v>
      </c>
      <c r="AG3075" s="21" t="n">
        <v>0</v>
      </c>
      <c r="AH3075" s="21" t="n">
        <v>0</v>
      </c>
      <c r="AI3075" s="21" t="n">
        <v>0</v>
      </c>
      <c r="AJ3075" s="21" t="n">
        <v>0</v>
      </c>
      <c r="AK3075" s="21" t="n">
        <v>0</v>
      </c>
      <c r="AL3075" s="21" t="n">
        <v>0</v>
      </c>
      <c r="AM3075" s="21" t="n">
        <v>0</v>
      </c>
      <c r="AN3075" s="21" t="n">
        <v>0</v>
      </c>
      <c r="AO3075" s="21" t="n">
        <v>0</v>
      </c>
      <c r="AP3075" s="21" t="n">
        <v>0</v>
      </c>
      <c r="AQ3075" s="21" t="n">
        <v>0</v>
      </c>
      <c r="AR3075" s="21" t="n">
        <v>0</v>
      </c>
      <c r="AS3075" s="21" t="n">
        <v>0</v>
      </c>
      <c r="AT3075" s="19" t="n"/>
    </row>
    <row r="3076">
      <c r="D3076" s="21" t="n">
        <v>0</v>
      </c>
      <c r="E3076" s="21" t="n">
        <v>0</v>
      </c>
      <c r="F3076" s="21" t="n">
        <v>0</v>
      </c>
      <c r="G3076" s="21" t="n">
        <v>0</v>
      </c>
      <c r="H3076" s="21" t="n">
        <v>0</v>
      </c>
      <c r="I3076" s="21" t="n">
        <v>0</v>
      </c>
      <c r="J3076" s="21" t="n">
        <v>0</v>
      </c>
      <c r="K3076" s="21" t="n">
        <v>0</v>
      </c>
      <c r="L3076" s="21" t="n">
        <v>0</v>
      </c>
      <c r="M3076" s="21" t="n">
        <v>0</v>
      </c>
      <c r="N3076" s="21" t="n">
        <v>0</v>
      </c>
      <c r="O3076" s="21" t="n">
        <v>0</v>
      </c>
      <c r="P3076" s="21" t="n">
        <v>0</v>
      </c>
      <c r="Q3076" s="21" t="n">
        <v>0</v>
      </c>
      <c r="R3076" s="21" t="n">
        <v>0</v>
      </c>
      <c r="S3076" s="21" t="n">
        <v>0</v>
      </c>
      <c r="T3076" s="21">
        <f>-$B$1811</f>
        <v/>
      </c>
      <c r="U3076" s="21">
        <f>-$B$1812</f>
        <v/>
      </c>
      <c r="V3076" s="21">
        <f>2*$B$1811+$D$3045</f>
        <v/>
      </c>
      <c r="W3076" s="21">
        <f>0</f>
        <v/>
      </c>
      <c r="X3076" s="21">
        <f>-$B$1811</f>
        <v/>
      </c>
      <c r="Y3076" s="21">
        <f>$B$1812</f>
        <v/>
      </c>
      <c r="Z3076" s="21" t="n">
        <v>0</v>
      </c>
      <c r="AA3076" s="21" t="n">
        <v>0</v>
      </c>
      <c r="AB3076" s="21" t="n">
        <v>0</v>
      </c>
      <c r="AC3076" s="21" t="n">
        <v>0</v>
      </c>
      <c r="AD3076" s="21" t="n">
        <v>0</v>
      </c>
      <c r="AE3076" s="21" t="n">
        <v>0</v>
      </c>
      <c r="AF3076" s="21" t="n">
        <v>0</v>
      </c>
      <c r="AG3076" s="21" t="n">
        <v>0</v>
      </c>
      <c r="AH3076" s="21" t="n">
        <v>0</v>
      </c>
      <c r="AI3076" s="21" t="n">
        <v>0</v>
      </c>
      <c r="AJ3076" s="21" t="n">
        <v>0</v>
      </c>
      <c r="AK3076" s="21" t="n">
        <v>0</v>
      </c>
      <c r="AL3076" s="21" t="n">
        <v>0</v>
      </c>
      <c r="AM3076" s="21" t="n">
        <v>0</v>
      </c>
      <c r="AN3076" s="21" t="n">
        <v>0</v>
      </c>
      <c r="AO3076" s="21" t="n">
        <v>0</v>
      </c>
      <c r="AP3076" s="21" t="n">
        <v>0</v>
      </c>
      <c r="AQ3076" s="21" t="n">
        <v>0</v>
      </c>
      <c r="AR3076" s="21" t="n">
        <v>0</v>
      </c>
      <c r="AS3076" s="21" t="n">
        <v>0</v>
      </c>
      <c r="AT3076" s="19" t="n"/>
    </row>
    <row r="3077">
      <c r="D3077" s="21" t="n">
        <v>0</v>
      </c>
      <c r="E3077" s="21" t="n">
        <v>0</v>
      </c>
      <c r="F3077" s="21" t="n">
        <v>0</v>
      </c>
      <c r="G3077" s="21" t="n">
        <v>0</v>
      </c>
      <c r="H3077" s="21" t="n">
        <v>0</v>
      </c>
      <c r="I3077" s="21" t="n">
        <v>0</v>
      </c>
      <c r="J3077" s="21" t="n">
        <v>0</v>
      </c>
      <c r="K3077" s="21" t="n">
        <v>0</v>
      </c>
      <c r="L3077" s="21" t="n">
        <v>0</v>
      </c>
      <c r="M3077" s="21" t="n">
        <v>0</v>
      </c>
      <c r="N3077" s="21" t="n">
        <v>0</v>
      </c>
      <c r="O3077" s="21" t="n">
        <v>0</v>
      </c>
      <c r="P3077" s="21" t="n">
        <v>0</v>
      </c>
      <c r="Q3077" s="21" t="n">
        <v>0</v>
      </c>
      <c r="R3077" s="21" t="n">
        <v>0</v>
      </c>
      <c r="S3077" s="21" t="n">
        <v>0</v>
      </c>
      <c r="T3077" s="21">
        <f>$B$1812</f>
        <v/>
      </c>
      <c r="U3077" s="21">
        <f>$B$1814</f>
        <v/>
      </c>
      <c r="V3077" s="21">
        <f>0</f>
        <v/>
      </c>
      <c r="W3077" s="21">
        <f>2*$B$1813</f>
        <v/>
      </c>
      <c r="X3077" s="21">
        <f>-$B$1812</f>
        <v/>
      </c>
      <c r="Y3077" s="21">
        <f>$B$1814</f>
        <v/>
      </c>
      <c r="Z3077" s="21" t="n">
        <v>0</v>
      </c>
      <c r="AA3077" s="21" t="n">
        <v>0</v>
      </c>
      <c r="AB3077" s="21" t="n">
        <v>0</v>
      </c>
      <c r="AC3077" s="21" t="n">
        <v>0</v>
      </c>
      <c r="AD3077" s="21" t="n">
        <v>0</v>
      </c>
      <c r="AE3077" s="21" t="n">
        <v>0</v>
      </c>
      <c r="AF3077" s="21" t="n">
        <v>0</v>
      </c>
      <c r="AG3077" s="21" t="n">
        <v>0</v>
      </c>
      <c r="AH3077" s="21" t="n">
        <v>0</v>
      </c>
      <c r="AI3077" s="21" t="n">
        <v>0</v>
      </c>
      <c r="AJ3077" s="21" t="n">
        <v>0</v>
      </c>
      <c r="AK3077" s="21" t="n">
        <v>0</v>
      </c>
      <c r="AL3077" s="21" t="n">
        <v>0</v>
      </c>
      <c r="AM3077" s="21" t="n">
        <v>0</v>
      </c>
      <c r="AN3077" s="21" t="n">
        <v>0</v>
      </c>
      <c r="AO3077" s="21" t="n">
        <v>0</v>
      </c>
      <c r="AP3077" s="21" t="n">
        <v>0</v>
      </c>
      <c r="AQ3077" s="21" t="n">
        <v>0</v>
      </c>
      <c r="AR3077" s="21" t="n">
        <v>0</v>
      </c>
      <c r="AS3077" s="21" t="n">
        <v>0</v>
      </c>
      <c r="AT3077" s="19" t="n"/>
    </row>
    <row r="3078">
      <c r="D3078" s="21" t="n">
        <v>0</v>
      </c>
      <c r="E3078" s="21" t="n">
        <v>0</v>
      </c>
      <c r="F3078" s="21" t="n">
        <v>0</v>
      </c>
      <c r="G3078" s="21" t="n">
        <v>0</v>
      </c>
      <c r="H3078" s="21" t="n">
        <v>0</v>
      </c>
      <c r="I3078" s="21" t="n">
        <v>0</v>
      </c>
      <c r="J3078" s="21" t="n">
        <v>0</v>
      </c>
      <c r="K3078" s="21" t="n">
        <v>0</v>
      </c>
      <c r="L3078" s="21" t="n">
        <v>0</v>
      </c>
      <c r="M3078" s="21" t="n">
        <v>0</v>
      </c>
      <c r="N3078" s="21" t="n">
        <v>0</v>
      </c>
      <c r="O3078" s="21" t="n">
        <v>0</v>
      </c>
      <c r="P3078" s="21" t="n">
        <v>0</v>
      </c>
      <c r="Q3078" s="21" t="n">
        <v>0</v>
      </c>
      <c r="R3078" s="21" t="n">
        <v>0</v>
      </c>
      <c r="S3078" s="21" t="n">
        <v>0</v>
      </c>
      <c r="T3078" s="21" t="n">
        <v>0</v>
      </c>
      <c r="U3078" s="21" t="n">
        <v>0</v>
      </c>
      <c r="V3078" s="21">
        <f>-$B$1811</f>
        <v/>
      </c>
      <c r="W3078" s="21">
        <f>-$B$1812</f>
        <v/>
      </c>
      <c r="X3078" s="21">
        <f>2*$B$1811+$D$3046</f>
        <v/>
      </c>
      <c r="Y3078" s="21">
        <f>0</f>
        <v/>
      </c>
      <c r="Z3078" s="21">
        <f>-$B$1811</f>
        <v/>
      </c>
      <c r="AA3078" s="21">
        <f>$B$1812</f>
        <v/>
      </c>
      <c r="AB3078" s="21" t="n">
        <v>0</v>
      </c>
      <c r="AC3078" s="21" t="n">
        <v>0</v>
      </c>
      <c r="AD3078" s="21" t="n">
        <v>0</v>
      </c>
      <c r="AE3078" s="21" t="n">
        <v>0</v>
      </c>
      <c r="AF3078" s="21" t="n">
        <v>0</v>
      </c>
      <c r="AG3078" s="21" t="n">
        <v>0</v>
      </c>
      <c r="AH3078" s="21" t="n">
        <v>0</v>
      </c>
      <c r="AI3078" s="21" t="n">
        <v>0</v>
      </c>
      <c r="AJ3078" s="21" t="n">
        <v>0</v>
      </c>
      <c r="AK3078" s="21" t="n">
        <v>0</v>
      </c>
      <c r="AL3078" s="21" t="n">
        <v>0</v>
      </c>
      <c r="AM3078" s="21" t="n">
        <v>0</v>
      </c>
      <c r="AN3078" s="21" t="n">
        <v>0</v>
      </c>
      <c r="AO3078" s="21" t="n">
        <v>0</v>
      </c>
      <c r="AP3078" s="21" t="n">
        <v>0</v>
      </c>
      <c r="AQ3078" s="21" t="n">
        <v>0</v>
      </c>
      <c r="AR3078" s="21" t="n">
        <v>0</v>
      </c>
      <c r="AS3078" s="21" t="n">
        <v>0</v>
      </c>
      <c r="AT3078" s="19" t="n"/>
    </row>
    <row r="3079">
      <c r="D3079" s="21" t="n">
        <v>0</v>
      </c>
      <c r="E3079" s="21" t="n">
        <v>0</v>
      </c>
      <c r="F3079" s="21" t="n">
        <v>0</v>
      </c>
      <c r="G3079" s="21" t="n">
        <v>0</v>
      </c>
      <c r="H3079" s="21" t="n">
        <v>0</v>
      </c>
      <c r="I3079" s="21" t="n">
        <v>0</v>
      </c>
      <c r="J3079" s="21" t="n">
        <v>0</v>
      </c>
      <c r="K3079" s="21" t="n">
        <v>0</v>
      </c>
      <c r="L3079" s="21" t="n">
        <v>0</v>
      </c>
      <c r="M3079" s="21" t="n">
        <v>0</v>
      </c>
      <c r="N3079" s="21" t="n">
        <v>0</v>
      </c>
      <c r="O3079" s="21" t="n">
        <v>0</v>
      </c>
      <c r="P3079" s="21" t="n">
        <v>0</v>
      </c>
      <c r="Q3079" s="21" t="n">
        <v>0</v>
      </c>
      <c r="R3079" s="21" t="n">
        <v>0</v>
      </c>
      <c r="S3079" s="21" t="n">
        <v>0</v>
      </c>
      <c r="T3079" s="21" t="n">
        <v>0</v>
      </c>
      <c r="U3079" s="21" t="n">
        <v>0</v>
      </c>
      <c r="V3079" s="21">
        <f>$B$1812</f>
        <v/>
      </c>
      <c r="W3079" s="21">
        <f>$B$1814</f>
        <v/>
      </c>
      <c r="X3079" s="21">
        <f>0</f>
        <v/>
      </c>
      <c r="Y3079" s="21">
        <f>2*$B$1813</f>
        <v/>
      </c>
      <c r="Z3079" s="21">
        <f>-$B$1812</f>
        <v/>
      </c>
      <c r="AA3079" s="21">
        <f>$B$1814</f>
        <v/>
      </c>
      <c r="AB3079" s="21" t="n">
        <v>0</v>
      </c>
      <c r="AC3079" s="21" t="n">
        <v>0</v>
      </c>
      <c r="AD3079" s="21" t="n">
        <v>0</v>
      </c>
      <c r="AE3079" s="21" t="n">
        <v>0</v>
      </c>
      <c r="AF3079" s="21" t="n">
        <v>0</v>
      </c>
      <c r="AG3079" s="21" t="n">
        <v>0</v>
      </c>
      <c r="AH3079" s="21" t="n">
        <v>0</v>
      </c>
      <c r="AI3079" s="21" t="n">
        <v>0</v>
      </c>
      <c r="AJ3079" s="21" t="n">
        <v>0</v>
      </c>
      <c r="AK3079" s="21" t="n">
        <v>0</v>
      </c>
      <c r="AL3079" s="21" t="n">
        <v>0</v>
      </c>
      <c r="AM3079" s="21" t="n">
        <v>0</v>
      </c>
      <c r="AN3079" s="21" t="n">
        <v>0</v>
      </c>
      <c r="AO3079" s="21" t="n">
        <v>0</v>
      </c>
      <c r="AP3079" s="21" t="n">
        <v>0</v>
      </c>
      <c r="AQ3079" s="21" t="n">
        <v>0</v>
      </c>
      <c r="AR3079" s="21" t="n">
        <v>0</v>
      </c>
      <c r="AS3079" s="21" t="n">
        <v>0</v>
      </c>
      <c r="AT3079" s="19" t="n"/>
    </row>
    <row r="3080">
      <c r="D3080" s="21" t="n">
        <v>0</v>
      </c>
      <c r="E3080" s="21" t="n">
        <v>0</v>
      </c>
      <c r="F3080" s="21" t="n">
        <v>0</v>
      </c>
      <c r="G3080" s="21" t="n">
        <v>0</v>
      </c>
      <c r="H3080" s="21" t="n">
        <v>0</v>
      </c>
      <c r="I3080" s="21" t="n">
        <v>0</v>
      </c>
      <c r="J3080" s="21" t="n">
        <v>0</v>
      </c>
      <c r="K3080" s="21" t="n">
        <v>0</v>
      </c>
      <c r="L3080" s="21" t="n">
        <v>0</v>
      </c>
      <c r="M3080" s="21" t="n">
        <v>0</v>
      </c>
      <c r="N3080" s="21" t="n">
        <v>0</v>
      </c>
      <c r="O3080" s="21" t="n">
        <v>0</v>
      </c>
      <c r="P3080" s="21" t="n">
        <v>0</v>
      </c>
      <c r="Q3080" s="21" t="n">
        <v>0</v>
      </c>
      <c r="R3080" s="21" t="n">
        <v>0</v>
      </c>
      <c r="S3080" s="21" t="n">
        <v>0</v>
      </c>
      <c r="T3080" s="21" t="n">
        <v>0</v>
      </c>
      <c r="U3080" s="21" t="n">
        <v>0</v>
      </c>
      <c r="V3080" s="21" t="n">
        <v>0</v>
      </c>
      <c r="W3080" s="21" t="n">
        <v>0</v>
      </c>
      <c r="X3080" s="21">
        <f>-$B$1811</f>
        <v/>
      </c>
      <c r="Y3080" s="21">
        <f>-$B$1812</f>
        <v/>
      </c>
      <c r="Z3080" s="21">
        <f>2*$B$1811+$D$3047</f>
        <v/>
      </c>
      <c r="AA3080" s="21">
        <f>0</f>
        <v/>
      </c>
      <c r="AB3080" s="21">
        <f>-$B$1811</f>
        <v/>
      </c>
      <c r="AC3080" s="21">
        <f>$B$1812</f>
        <v/>
      </c>
      <c r="AD3080" s="21" t="n">
        <v>0</v>
      </c>
      <c r="AE3080" s="21" t="n">
        <v>0</v>
      </c>
      <c r="AF3080" s="21" t="n">
        <v>0</v>
      </c>
      <c r="AG3080" s="21" t="n">
        <v>0</v>
      </c>
      <c r="AH3080" s="21" t="n">
        <v>0</v>
      </c>
      <c r="AI3080" s="21" t="n">
        <v>0</v>
      </c>
      <c r="AJ3080" s="21" t="n">
        <v>0</v>
      </c>
      <c r="AK3080" s="21" t="n">
        <v>0</v>
      </c>
      <c r="AL3080" s="21" t="n">
        <v>0</v>
      </c>
      <c r="AM3080" s="21" t="n">
        <v>0</v>
      </c>
      <c r="AN3080" s="21" t="n">
        <v>0</v>
      </c>
      <c r="AO3080" s="21" t="n">
        <v>0</v>
      </c>
      <c r="AP3080" s="21" t="n">
        <v>0</v>
      </c>
      <c r="AQ3080" s="21" t="n">
        <v>0</v>
      </c>
      <c r="AR3080" s="21" t="n">
        <v>0</v>
      </c>
      <c r="AS3080" s="21" t="n">
        <v>0</v>
      </c>
      <c r="AT3080" s="19" t="n"/>
    </row>
    <row r="3081">
      <c r="D3081" s="21" t="n">
        <v>0</v>
      </c>
      <c r="E3081" s="21" t="n">
        <v>0</v>
      </c>
      <c r="F3081" s="21" t="n">
        <v>0</v>
      </c>
      <c r="G3081" s="21" t="n">
        <v>0</v>
      </c>
      <c r="H3081" s="21" t="n">
        <v>0</v>
      </c>
      <c r="I3081" s="21" t="n">
        <v>0</v>
      </c>
      <c r="J3081" s="21" t="n">
        <v>0</v>
      </c>
      <c r="K3081" s="21" t="n">
        <v>0</v>
      </c>
      <c r="L3081" s="21" t="n">
        <v>0</v>
      </c>
      <c r="M3081" s="21" t="n">
        <v>0</v>
      </c>
      <c r="N3081" s="21" t="n">
        <v>0</v>
      </c>
      <c r="O3081" s="21" t="n">
        <v>0</v>
      </c>
      <c r="P3081" s="21" t="n">
        <v>0</v>
      </c>
      <c r="Q3081" s="21" t="n">
        <v>0</v>
      </c>
      <c r="R3081" s="21" t="n">
        <v>0</v>
      </c>
      <c r="S3081" s="21" t="n">
        <v>0</v>
      </c>
      <c r="T3081" s="21" t="n">
        <v>0</v>
      </c>
      <c r="U3081" s="21" t="n">
        <v>0</v>
      </c>
      <c r="V3081" s="21" t="n">
        <v>0</v>
      </c>
      <c r="W3081" s="21" t="n">
        <v>0</v>
      </c>
      <c r="X3081" s="21">
        <f>$B$1812</f>
        <v/>
      </c>
      <c r="Y3081" s="21">
        <f>$B$1814</f>
        <v/>
      </c>
      <c r="Z3081" s="21">
        <f>0</f>
        <v/>
      </c>
      <c r="AA3081" s="21">
        <f>2*$B$1813</f>
        <v/>
      </c>
      <c r="AB3081" s="21">
        <f>-$B$1812</f>
        <v/>
      </c>
      <c r="AC3081" s="21">
        <f>$B$1814</f>
        <v/>
      </c>
      <c r="AD3081" s="21" t="n">
        <v>0</v>
      </c>
      <c r="AE3081" s="21" t="n">
        <v>0</v>
      </c>
      <c r="AF3081" s="21" t="n">
        <v>0</v>
      </c>
      <c r="AG3081" s="21" t="n">
        <v>0</v>
      </c>
      <c r="AH3081" s="21" t="n">
        <v>0</v>
      </c>
      <c r="AI3081" s="21" t="n">
        <v>0</v>
      </c>
      <c r="AJ3081" s="21" t="n">
        <v>0</v>
      </c>
      <c r="AK3081" s="21" t="n">
        <v>0</v>
      </c>
      <c r="AL3081" s="21" t="n">
        <v>0</v>
      </c>
      <c r="AM3081" s="21" t="n">
        <v>0</v>
      </c>
      <c r="AN3081" s="21" t="n">
        <v>0</v>
      </c>
      <c r="AO3081" s="21" t="n">
        <v>0</v>
      </c>
      <c r="AP3081" s="21" t="n">
        <v>0</v>
      </c>
      <c r="AQ3081" s="21" t="n">
        <v>0</v>
      </c>
      <c r="AR3081" s="21" t="n">
        <v>0</v>
      </c>
      <c r="AS3081" s="21" t="n">
        <v>0</v>
      </c>
      <c r="AT3081" s="19" t="n"/>
    </row>
    <row r="3082">
      <c r="D3082" s="21" t="n">
        <v>0</v>
      </c>
      <c r="E3082" s="21" t="n">
        <v>0</v>
      </c>
      <c r="F3082" s="21" t="n">
        <v>0</v>
      </c>
      <c r="G3082" s="21" t="n">
        <v>0</v>
      </c>
      <c r="H3082" s="21" t="n">
        <v>0</v>
      </c>
      <c r="I3082" s="21" t="n">
        <v>0</v>
      </c>
      <c r="J3082" s="21" t="n">
        <v>0</v>
      </c>
      <c r="K3082" s="21" t="n">
        <v>0</v>
      </c>
      <c r="L3082" s="21" t="n">
        <v>0</v>
      </c>
      <c r="M3082" s="21" t="n">
        <v>0</v>
      </c>
      <c r="N3082" s="21" t="n">
        <v>0</v>
      </c>
      <c r="O3082" s="21" t="n">
        <v>0</v>
      </c>
      <c r="P3082" s="21" t="n">
        <v>0</v>
      </c>
      <c r="Q3082" s="21" t="n">
        <v>0</v>
      </c>
      <c r="R3082" s="21" t="n">
        <v>0</v>
      </c>
      <c r="S3082" s="21" t="n">
        <v>0</v>
      </c>
      <c r="T3082" s="21" t="n">
        <v>0</v>
      </c>
      <c r="U3082" s="21" t="n">
        <v>0</v>
      </c>
      <c r="V3082" s="21" t="n">
        <v>0</v>
      </c>
      <c r="W3082" s="21" t="n">
        <v>0</v>
      </c>
      <c r="X3082" s="21" t="n">
        <v>0</v>
      </c>
      <c r="Y3082" s="21" t="n">
        <v>0</v>
      </c>
      <c r="Z3082" s="21">
        <f>-$B$1811</f>
        <v/>
      </c>
      <c r="AA3082" s="21">
        <f>-$B$1812</f>
        <v/>
      </c>
      <c r="AB3082" s="21">
        <f>2*$B$1811+$D$3048</f>
        <v/>
      </c>
      <c r="AC3082" s="21">
        <f>0</f>
        <v/>
      </c>
      <c r="AD3082" s="21">
        <f>-$B$1811</f>
        <v/>
      </c>
      <c r="AE3082" s="21">
        <f>$B$1812</f>
        <v/>
      </c>
      <c r="AF3082" s="21" t="n">
        <v>0</v>
      </c>
      <c r="AG3082" s="21" t="n">
        <v>0</v>
      </c>
      <c r="AH3082" s="21" t="n">
        <v>0</v>
      </c>
      <c r="AI3082" s="21" t="n">
        <v>0</v>
      </c>
      <c r="AJ3082" s="21" t="n">
        <v>0</v>
      </c>
      <c r="AK3082" s="21" t="n">
        <v>0</v>
      </c>
      <c r="AL3082" s="21" t="n">
        <v>0</v>
      </c>
      <c r="AM3082" s="21" t="n">
        <v>0</v>
      </c>
      <c r="AN3082" s="21" t="n">
        <v>0</v>
      </c>
      <c r="AO3082" s="21" t="n">
        <v>0</v>
      </c>
      <c r="AP3082" s="21" t="n">
        <v>0</v>
      </c>
      <c r="AQ3082" s="21" t="n">
        <v>0</v>
      </c>
      <c r="AR3082" s="21" t="n">
        <v>0</v>
      </c>
      <c r="AS3082" s="21" t="n">
        <v>0</v>
      </c>
      <c r="AT3082" s="19" t="n"/>
    </row>
    <row r="3083">
      <c r="D3083" s="21" t="n">
        <v>0</v>
      </c>
      <c r="E3083" s="21" t="n">
        <v>0</v>
      </c>
      <c r="F3083" s="21" t="n">
        <v>0</v>
      </c>
      <c r="G3083" s="21" t="n">
        <v>0</v>
      </c>
      <c r="H3083" s="21" t="n">
        <v>0</v>
      </c>
      <c r="I3083" s="21" t="n">
        <v>0</v>
      </c>
      <c r="J3083" s="21" t="n">
        <v>0</v>
      </c>
      <c r="K3083" s="21" t="n">
        <v>0</v>
      </c>
      <c r="L3083" s="21" t="n">
        <v>0</v>
      </c>
      <c r="M3083" s="21" t="n">
        <v>0</v>
      </c>
      <c r="N3083" s="21" t="n">
        <v>0</v>
      </c>
      <c r="O3083" s="21" t="n">
        <v>0</v>
      </c>
      <c r="P3083" s="21" t="n">
        <v>0</v>
      </c>
      <c r="Q3083" s="21" t="n">
        <v>0</v>
      </c>
      <c r="R3083" s="21" t="n">
        <v>0</v>
      </c>
      <c r="S3083" s="21" t="n">
        <v>0</v>
      </c>
      <c r="T3083" s="21" t="n">
        <v>0</v>
      </c>
      <c r="U3083" s="21" t="n">
        <v>0</v>
      </c>
      <c r="V3083" s="21" t="n">
        <v>0</v>
      </c>
      <c r="W3083" s="21" t="n">
        <v>0</v>
      </c>
      <c r="X3083" s="21" t="n">
        <v>0</v>
      </c>
      <c r="Y3083" s="21" t="n">
        <v>0</v>
      </c>
      <c r="Z3083" s="21">
        <f>$B$1812</f>
        <v/>
      </c>
      <c r="AA3083" s="21">
        <f>$B$1814</f>
        <v/>
      </c>
      <c r="AB3083" s="21">
        <f>0</f>
        <v/>
      </c>
      <c r="AC3083" s="21">
        <f>2*$B$1813</f>
        <v/>
      </c>
      <c r="AD3083" s="21">
        <f>-$B$1812</f>
        <v/>
      </c>
      <c r="AE3083" s="21">
        <f>$B$1814</f>
        <v/>
      </c>
      <c r="AF3083" s="21" t="n">
        <v>0</v>
      </c>
      <c r="AG3083" s="21" t="n">
        <v>0</v>
      </c>
      <c r="AH3083" s="21" t="n">
        <v>0</v>
      </c>
      <c r="AI3083" s="21" t="n">
        <v>0</v>
      </c>
      <c r="AJ3083" s="21" t="n">
        <v>0</v>
      </c>
      <c r="AK3083" s="21" t="n">
        <v>0</v>
      </c>
      <c r="AL3083" s="21" t="n">
        <v>0</v>
      </c>
      <c r="AM3083" s="21" t="n">
        <v>0</v>
      </c>
      <c r="AN3083" s="21" t="n">
        <v>0</v>
      </c>
      <c r="AO3083" s="21" t="n">
        <v>0</v>
      </c>
      <c r="AP3083" s="21" t="n">
        <v>0</v>
      </c>
      <c r="AQ3083" s="21" t="n">
        <v>0</v>
      </c>
      <c r="AR3083" s="21" t="n">
        <v>0</v>
      </c>
      <c r="AS3083" s="21" t="n">
        <v>0</v>
      </c>
      <c r="AT3083" s="19" t="n"/>
    </row>
    <row r="3084">
      <c r="D3084" s="21" t="n">
        <v>0</v>
      </c>
      <c r="E3084" s="21" t="n">
        <v>0</v>
      </c>
      <c r="F3084" s="21" t="n">
        <v>0</v>
      </c>
      <c r="G3084" s="21" t="n">
        <v>0</v>
      </c>
      <c r="H3084" s="21" t="n">
        <v>0</v>
      </c>
      <c r="I3084" s="21" t="n">
        <v>0</v>
      </c>
      <c r="J3084" s="21" t="n">
        <v>0</v>
      </c>
      <c r="K3084" s="21" t="n">
        <v>0</v>
      </c>
      <c r="L3084" s="21" t="n">
        <v>0</v>
      </c>
      <c r="M3084" s="21" t="n">
        <v>0</v>
      </c>
      <c r="N3084" s="21" t="n">
        <v>0</v>
      </c>
      <c r="O3084" s="21" t="n">
        <v>0</v>
      </c>
      <c r="P3084" s="21" t="n">
        <v>0</v>
      </c>
      <c r="Q3084" s="21" t="n">
        <v>0</v>
      </c>
      <c r="R3084" s="21" t="n">
        <v>0</v>
      </c>
      <c r="S3084" s="21" t="n">
        <v>0</v>
      </c>
      <c r="T3084" s="21" t="n">
        <v>0</v>
      </c>
      <c r="U3084" s="21" t="n">
        <v>0</v>
      </c>
      <c r="V3084" s="21" t="n">
        <v>0</v>
      </c>
      <c r="W3084" s="21" t="n">
        <v>0</v>
      </c>
      <c r="X3084" s="21" t="n">
        <v>0</v>
      </c>
      <c r="Y3084" s="21" t="n">
        <v>0</v>
      </c>
      <c r="Z3084" s="21" t="n">
        <v>0</v>
      </c>
      <c r="AA3084" s="21" t="n">
        <v>0</v>
      </c>
      <c r="AB3084" s="21">
        <f>-$B$1811</f>
        <v/>
      </c>
      <c r="AC3084" s="21">
        <f>-$B$1812</f>
        <v/>
      </c>
      <c r="AD3084" s="21">
        <f>2*$B$1811+$D$3049</f>
        <v/>
      </c>
      <c r="AE3084" s="21">
        <f>0</f>
        <v/>
      </c>
      <c r="AF3084" s="21">
        <f>-$B$1811</f>
        <v/>
      </c>
      <c r="AG3084" s="21">
        <f>$B$1812</f>
        <v/>
      </c>
      <c r="AH3084" s="21" t="n">
        <v>0</v>
      </c>
      <c r="AI3084" s="21" t="n">
        <v>0</v>
      </c>
      <c r="AJ3084" s="21" t="n">
        <v>0</v>
      </c>
      <c r="AK3084" s="21" t="n">
        <v>0</v>
      </c>
      <c r="AL3084" s="21" t="n">
        <v>0</v>
      </c>
      <c r="AM3084" s="21" t="n">
        <v>0</v>
      </c>
      <c r="AN3084" s="21" t="n">
        <v>0</v>
      </c>
      <c r="AO3084" s="21" t="n">
        <v>0</v>
      </c>
      <c r="AP3084" s="21" t="n">
        <v>0</v>
      </c>
      <c r="AQ3084" s="21" t="n">
        <v>0</v>
      </c>
      <c r="AR3084" s="21" t="n">
        <v>0</v>
      </c>
      <c r="AS3084" s="21" t="n">
        <v>0</v>
      </c>
      <c r="AT3084" s="19" t="n"/>
    </row>
    <row r="3085">
      <c r="D3085" s="21" t="n">
        <v>0</v>
      </c>
      <c r="E3085" s="21" t="n">
        <v>0</v>
      </c>
      <c r="F3085" s="21" t="n">
        <v>0</v>
      </c>
      <c r="G3085" s="21" t="n">
        <v>0</v>
      </c>
      <c r="H3085" s="21" t="n">
        <v>0</v>
      </c>
      <c r="I3085" s="21" t="n">
        <v>0</v>
      </c>
      <c r="J3085" s="21" t="n">
        <v>0</v>
      </c>
      <c r="K3085" s="21" t="n">
        <v>0</v>
      </c>
      <c r="L3085" s="21" t="n">
        <v>0</v>
      </c>
      <c r="M3085" s="21" t="n">
        <v>0</v>
      </c>
      <c r="N3085" s="21" t="n">
        <v>0</v>
      </c>
      <c r="O3085" s="21" t="n">
        <v>0</v>
      </c>
      <c r="P3085" s="21" t="n">
        <v>0</v>
      </c>
      <c r="Q3085" s="21" t="n">
        <v>0</v>
      </c>
      <c r="R3085" s="21" t="n">
        <v>0</v>
      </c>
      <c r="S3085" s="21" t="n">
        <v>0</v>
      </c>
      <c r="T3085" s="21" t="n">
        <v>0</v>
      </c>
      <c r="U3085" s="21" t="n">
        <v>0</v>
      </c>
      <c r="V3085" s="21" t="n">
        <v>0</v>
      </c>
      <c r="W3085" s="21" t="n">
        <v>0</v>
      </c>
      <c r="X3085" s="21" t="n">
        <v>0</v>
      </c>
      <c r="Y3085" s="21" t="n">
        <v>0</v>
      </c>
      <c r="Z3085" s="21" t="n">
        <v>0</v>
      </c>
      <c r="AA3085" s="21" t="n">
        <v>0</v>
      </c>
      <c r="AB3085" s="21">
        <f>$B$1812</f>
        <v/>
      </c>
      <c r="AC3085" s="21">
        <f>$B$1814</f>
        <v/>
      </c>
      <c r="AD3085" s="21">
        <f>0</f>
        <v/>
      </c>
      <c r="AE3085" s="21">
        <f>2*$B$1813</f>
        <v/>
      </c>
      <c r="AF3085" s="21">
        <f>-$B$1812</f>
        <v/>
      </c>
      <c r="AG3085" s="21">
        <f>$B$1814</f>
        <v/>
      </c>
      <c r="AH3085" s="21" t="n">
        <v>0</v>
      </c>
      <c r="AI3085" s="21" t="n">
        <v>0</v>
      </c>
      <c r="AJ3085" s="21" t="n">
        <v>0</v>
      </c>
      <c r="AK3085" s="21" t="n">
        <v>0</v>
      </c>
      <c r="AL3085" s="21" t="n">
        <v>0</v>
      </c>
      <c r="AM3085" s="21" t="n">
        <v>0</v>
      </c>
      <c r="AN3085" s="21" t="n">
        <v>0</v>
      </c>
      <c r="AO3085" s="21" t="n">
        <v>0</v>
      </c>
      <c r="AP3085" s="21" t="n">
        <v>0</v>
      </c>
      <c r="AQ3085" s="21" t="n">
        <v>0</v>
      </c>
      <c r="AR3085" s="21" t="n">
        <v>0</v>
      </c>
      <c r="AS3085" s="21" t="n">
        <v>0</v>
      </c>
      <c r="AT3085" s="19" t="n"/>
    </row>
    <row r="3086">
      <c r="D3086" s="21" t="n">
        <v>0</v>
      </c>
      <c r="E3086" s="21" t="n">
        <v>0</v>
      </c>
      <c r="F3086" s="21" t="n">
        <v>0</v>
      </c>
      <c r="G3086" s="21" t="n">
        <v>0</v>
      </c>
      <c r="H3086" s="21" t="n">
        <v>0</v>
      </c>
      <c r="I3086" s="21" t="n">
        <v>0</v>
      </c>
      <c r="J3086" s="21" t="n">
        <v>0</v>
      </c>
      <c r="K3086" s="21" t="n">
        <v>0</v>
      </c>
      <c r="L3086" s="21" t="n">
        <v>0</v>
      </c>
      <c r="M3086" s="21" t="n">
        <v>0</v>
      </c>
      <c r="N3086" s="21" t="n">
        <v>0</v>
      </c>
      <c r="O3086" s="21" t="n">
        <v>0</v>
      </c>
      <c r="P3086" s="21" t="n">
        <v>0</v>
      </c>
      <c r="Q3086" s="21" t="n">
        <v>0</v>
      </c>
      <c r="R3086" s="21" t="n">
        <v>0</v>
      </c>
      <c r="S3086" s="21" t="n">
        <v>0</v>
      </c>
      <c r="T3086" s="21" t="n">
        <v>0</v>
      </c>
      <c r="U3086" s="21" t="n">
        <v>0</v>
      </c>
      <c r="V3086" s="21" t="n">
        <v>0</v>
      </c>
      <c r="W3086" s="21" t="n">
        <v>0</v>
      </c>
      <c r="X3086" s="21" t="n">
        <v>0</v>
      </c>
      <c r="Y3086" s="21" t="n">
        <v>0</v>
      </c>
      <c r="Z3086" s="21" t="n">
        <v>0</v>
      </c>
      <c r="AA3086" s="21" t="n">
        <v>0</v>
      </c>
      <c r="AB3086" s="21" t="n">
        <v>0</v>
      </c>
      <c r="AC3086" s="21" t="n">
        <v>0</v>
      </c>
      <c r="AD3086" s="21">
        <f>-$B$1811</f>
        <v/>
      </c>
      <c r="AE3086" s="21">
        <f>-$B$1812</f>
        <v/>
      </c>
      <c r="AF3086" s="21">
        <f>2*$B$1811+$D$3050</f>
        <v/>
      </c>
      <c r="AG3086" s="21">
        <f>0</f>
        <v/>
      </c>
      <c r="AH3086" s="21">
        <f>-$B$1811</f>
        <v/>
      </c>
      <c r="AI3086" s="21">
        <f>$B$1812</f>
        <v/>
      </c>
      <c r="AJ3086" s="21" t="n">
        <v>0</v>
      </c>
      <c r="AK3086" s="21" t="n">
        <v>0</v>
      </c>
      <c r="AL3086" s="21" t="n">
        <v>0</v>
      </c>
      <c r="AM3086" s="21" t="n">
        <v>0</v>
      </c>
      <c r="AN3086" s="21" t="n">
        <v>0</v>
      </c>
      <c r="AO3086" s="21" t="n">
        <v>0</v>
      </c>
      <c r="AP3086" s="21" t="n">
        <v>0</v>
      </c>
      <c r="AQ3086" s="21" t="n">
        <v>0</v>
      </c>
      <c r="AR3086" s="21" t="n">
        <v>0</v>
      </c>
      <c r="AS3086" s="21" t="n">
        <v>0</v>
      </c>
      <c r="AT3086" s="19" t="n"/>
    </row>
    <row r="3087">
      <c r="D3087" s="21" t="n">
        <v>0</v>
      </c>
      <c r="E3087" s="21" t="n">
        <v>0</v>
      </c>
      <c r="F3087" s="21" t="n">
        <v>0</v>
      </c>
      <c r="G3087" s="21" t="n">
        <v>0</v>
      </c>
      <c r="H3087" s="21" t="n">
        <v>0</v>
      </c>
      <c r="I3087" s="21" t="n">
        <v>0</v>
      </c>
      <c r="J3087" s="21" t="n">
        <v>0</v>
      </c>
      <c r="K3087" s="21" t="n">
        <v>0</v>
      </c>
      <c r="L3087" s="21" t="n">
        <v>0</v>
      </c>
      <c r="M3087" s="21" t="n">
        <v>0</v>
      </c>
      <c r="N3087" s="21" t="n">
        <v>0</v>
      </c>
      <c r="O3087" s="21" t="n">
        <v>0</v>
      </c>
      <c r="P3087" s="21" t="n">
        <v>0</v>
      </c>
      <c r="Q3087" s="21" t="n">
        <v>0</v>
      </c>
      <c r="R3087" s="21" t="n">
        <v>0</v>
      </c>
      <c r="S3087" s="21" t="n">
        <v>0</v>
      </c>
      <c r="T3087" s="21" t="n">
        <v>0</v>
      </c>
      <c r="U3087" s="21" t="n">
        <v>0</v>
      </c>
      <c r="V3087" s="21" t="n">
        <v>0</v>
      </c>
      <c r="W3087" s="21" t="n">
        <v>0</v>
      </c>
      <c r="X3087" s="21" t="n">
        <v>0</v>
      </c>
      <c r="Y3087" s="21" t="n">
        <v>0</v>
      </c>
      <c r="Z3087" s="21" t="n">
        <v>0</v>
      </c>
      <c r="AA3087" s="21" t="n">
        <v>0</v>
      </c>
      <c r="AB3087" s="21" t="n">
        <v>0</v>
      </c>
      <c r="AC3087" s="21" t="n">
        <v>0</v>
      </c>
      <c r="AD3087" s="21">
        <f>$B$1812</f>
        <v/>
      </c>
      <c r="AE3087" s="21">
        <f>$B$1814</f>
        <v/>
      </c>
      <c r="AF3087" s="21">
        <f>0</f>
        <v/>
      </c>
      <c r="AG3087" s="21">
        <f>2*$B$1813</f>
        <v/>
      </c>
      <c r="AH3087" s="21">
        <f>-$B$1812</f>
        <v/>
      </c>
      <c r="AI3087" s="21">
        <f>$B$1814</f>
        <v/>
      </c>
      <c r="AJ3087" s="21" t="n">
        <v>0</v>
      </c>
      <c r="AK3087" s="21" t="n">
        <v>0</v>
      </c>
      <c r="AL3087" s="21" t="n">
        <v>0</v>
      </c>
      <c r="AM3087" s="21" t="n">
        <v>0</v>
      </c>
      <c r="AN3087" s="21" t="n">
        <v>0</v>
      </c>
      <c r="AO3087" s="21" t="n">
        <v>0</v>
      </c>
      <c r="AP3087" s="21" t="n">
        <v>0</v>
      </c>
      <c r="AQ3087" s="21" t="n">
        <v>0</v>
      </c>
      <c r="AR3087" s="21" t="n">
        <v>0</v>
      </c>
      <c r="AS3087" s="21" t="n">
        <v>0</v>
      </c>
      <c r="AT3087" s="19" t="n"/>
    </row>
    <row r="3088">
      <c r="D3088" s="21" t="n">
        <v>0</v>
      </c>
      <c r="E3088" s="21" t="n">
        <v>0</v>
      </c>
      <c r="F3088" s="21" t="n">
        <v>0</v>
      </c>
      <c r="G3088" s="21" t="n">
        <v>0</v>
      </c>
      <c r="H3088" s="21" t="n">
        <v>0</v>
      </c>
      <c r="I3088" s="21" t="n">
        <v>0</v>
      </c>
      <c r="J3088" s="21" t="n">
        <v>0</v>
      </c>
      <c r="K3088" s="21" t="n">
        <v>0</v>
      </c>
      <c r="L3088" s="21" t="n">
        <v>0</v>
      </c>
      <c r="M3088" s="21" t="n">
        <v>0</v>
      </c>
      <c r="N3088" s="21" t="n">
        <v>0</v>
      </c>
      <c r="O3088" s="21" t="n">
        <v>0</v>
      </c>
      <c r="P3088" s="21" t="n">
        <v>0</v>
      </c>
      <c r="Q3088" s="21" t="n">
        <v>0</v>
      </c>
      <c r="R3088" s="21" t="n">
        <v>0</v>
      </c>
      <c r="S3088" s="21" t="n">
        <v>0</v>
      </c>
      <c r="T3088" s="21" t="n">
        <v>0</v>
      </c>
      <c r="U3088" s="21" t="n">
        <v>0</v>
      </c>
      <c r="V3088" s="21" t="n">
        <v>0</v>
      </c>
      <c r="W3088" s="21" t="n">
        <v>0</v>
      </c>
      <c r="X3088" s="21" t="n">
        <v>0</v>
      </c>
      <c r="Y3088" s="21" t="n">
        <v>0</v>
      </c>
      <c r="Z3088" s="21" t="n">
        <v>0</v>
      </c>
      <c r="AA3088" s="21" t="n">
        <v>0</v>
      </c>
      <c r="AB3088" s="21" t="n">
        <v>0</v>
      </c>
      <c r="AC3088" s="21" t="n">
        <v>0</v>
      </c>
      <c r="AD3088" s="21" t="n">
        <v>0</v>
      </c>
      <c r="AE3088" s="21" t="n">
        <v>0</v>
      </c>
      <c r="AF3088" s="21">
        <f>-$B$1811</f>
        <v/>
      </c>
      <c r="AG3088" s="21">
        <f>-$B$1812</f>
        <v/>
      </c>
      <c r="AH3088" s="21">
        <f>2*$B$1811+$D$3051</f>
        <v/>
      </c>
      <c r="AI3088" s="21">
        <f>0</f>
        <v/>
      </c>
      <c r="AJ3088" s="21">
        <f>-$B$1811</f>
        <v/>
      </c>
      <c r="AK3088" s="21">
        <f>$B$1812</f>
        <v/>
      </c>
      <c r="AL3088" s="21" t="n">
        <v>0</v>
      </c>
      <c r="AM3088" s="21" t="n">
        <v>0</v>
      </c>
      <c r="AN3088" s="21" t="n">
        <v>0</v>
      </c>
      <c r="AO3088" s="21" t="n">
        <v>0</v>
      </c>
      <c r="AP3088" s="21" t="n">
        <v>0</v>
      </c>
      <c r="AQ3088" s="21" t="n">
        <v>0</v>
      </c>
      <c r="AR3088" s="21" t="n">
        <v>0</v>
      </c>
      <c r="AS3088" s="21" t="n">
        <v>0</v>
      </c>
      <c r="AT3088" s="19" t="n"/>
    </row>
    <row r="3089">
      <c r="D3089" s="21" t="n">
        <v>0</v>
      </c>
      <c r="E3089" s="21" t="n">
        <v>0</v>
      </c>
      <c r="F3089" s="21" t="n">
        <v>0</v>
      </c>
      <c r="G3089" s="21" t="n">
        <v>0</v>
      </c>
      <c r="H3089" s="21" t="n">
        <v>0</v>
      </c>
      <c r="I3089" s="21" t="n">
        <v>0</v>
      </c>
      <c r="J3089" s="21" t="n">
        <v>0</v>
      </c>
      <c r="K3089" s="21" t="n">
        <v>0</v>
      </c>
      <c r="L3089" s="21" t="n">
        <v>0</v>
      </c>
      <c r="M3089" s="21" t="n">
        <v>0</v>
      </c>
      <c r="N3089" s="21" t="n">
        <v>0</v>
      </c>
      <c r="O3089" s="21" t="n">
        <v>0</v>
      </c>
      <c r="P3089" s="21" t="n">
        <v>0</v>
      </c>
      <c r="Q3089" s="21" t="n">
        <v>0</v>
      </c>
      <c r="R3089" s="21" t="n">
        <v>0</v>
      </c>
      <c r="S3089" s="21" t="n">
        <v>0</v>
      </c>
      <c r="T3089" s="21" t="n">
        <v>0</v>
      </c>
      <c r="U3089" s="21" t="n">
        <v>0</v>
      </c>
      <c r="V3089" s="21" t="n">
        <v>0</v>
      </c>
      <c r="W3089" s="21" t="n">
        <v>0</v>
      </c>
      <c r="X3089" s="21" t="n">
        <v>0</v>
      </c>
      <c r="Y3089" s="21" t="n">
        <v>0</v>
      </c>
      <c r="Z3089" s="21" t="n">
        <v>0</v>
      </c>
      <c r="AA3089" s="21" t="n">
        <v>0</v>
      </c>
      <c r="AB3089" s="21" t="n">
        <v>0</v>
      </c>
      <c r="AC3089" s="21" t="n">
        <v>0</v>
      </c>
      <c r="AD3089" s="21" t="n">
        <v>0</v>
      </c>
      <c r="AE3089" s="21" t="n">
        <v>0</v>
      </c>
      <c r="AF3089" s="21">
        <f>$B$1812</f>
        <v/>
      </c>
      <c r="AG3089" s="21">
        <f>$B$1814</f>
        <v/>
      </c>
      <c r="AH3089" s="21">
        <f>0</f>
        <v/>
      </c>
      <c r="AI3089" s="21">
        <f>2*$B$1813</f>
        <v/>
      </c>
      <c r="AJ3089" s="21">
        <f>-$B$1812</f>
        <v/>
      </c>
      <c r="AK3089" s="21">
        <f>$B$1814</f>
        <v/>
      </c>
      <c r="AL3089" s="21" t="n">
        <v>0</v>
      </c>
      <c r="AM3089" s="21" t="n">
        <v>0</v>
      </c>
      <c r="AN3089" s="21" t="n">
        <v>0</v>
      </c>
      <c r="AO3089" s="21" t="n">
        <v>0</v>
      </c>
      <c r="AP3089" s="21" t="n">
        <v>0</v>
      </c>
      <c r="AQ3089" s="21" t="n">
        <v>0</v>
      </c>
      <c r="AR3089" s="21" t="n">
        <v>0</v>
      </c>
      <c r="AS3089" s="21" t="n">
        <v>0</v>
      </c>
      <c r="AT3089" s="19" t="n"/>
    </row>
    <row r="3090">
      <c r="D3090" s="21" t="n">
        <v>0</v>
      </c>
      <c r="E3090" s="21" t="n">
        <v>0</v>
      </c>
      <c r="F3090" s="21" t="n">
        <v>0</v>
      </c>
      <c r="G3090" s="21" t="n">
        <v>0</v>
      </c>
      <c r="H3090" s="21" t="n">
        <v>0</v>
      </c>
      <c r="I3090" s="21" t="n">
        <v>0</v>
      </c>
      <c r="J3090" s="21" t="n">
        <v>0</v>
      </c>
      <c r="K3090" s="21" t="n">
        <v>0</v>
      </c>
      <c r="L3090" s="21" t="n">
        <v>0</v>
      </c>
      <c r="M3090" s="21" t="n">
        <v>0</v>
      </c>
      <c r="N3090" s="21" t="n">
        <v>0</v>
      </c>
      <c r="O3090" s="21" t="n">
        <v>0</v>
      </c>
      <c r="P3090" s="21" t="n">
        <v>0</v>
      </c>
      <c r="Q3090" s="21" t="n">
        <v>0</v>
      </c>
      <c r="R3090" s="21" t="n">
        <v>0</v>
      </c>
      <c r="S3090" s="21" t="n">
        <v>0</v>
      </c>
      <c r="T3090" s="21" t="n">
        <v>0</v>
      </c>
      <c r="U3090" s="21" t="n">
        <v>0</v>
      </c>
      <c r="V3090" s="21" t="n">
        <v>0</v>
      </c>
      <c r="W3090" s="21" t="n">
        <v>0</v>
      </c>
      <c r="X3090" s="21" t="n">
        <v>0</v>
      </c>
      <c r="Y3090" s="21" t="n">
        <v>0</v>
      </c>
      <c r="Z3090" s="21" t="n">
        <v>0</v>
      </c>
      <c r="AA3090" s="21" t="n">
        <v>0</v>
      </c>
      <c r="AB3090" s="21" t="n">
        <v>0</v>
      </c>
      <c r="AC3090" s="21" t="n">
        <v>0</v>
      </c>
      <c r="AD3090" s="21" t="n">
        <v>0</v>
      </c>
      <c r="AE3090" s="21" t="n">
        <v>0</v>
      </c>
      <c r="AF3090" s="21" t="n">
        <v>0</v>
      </c>
      <c r="AG3090" s="21" t="n">
        <v>0</v>
      </c>
      <c r="AH3090" s="21">
        <f>-$B$1811</f>
        <v/>
      </c>
      <c r="AI3090" s="21">
        <f>-$B$1812</f>
        <v/>
      </c>
      <c r="AJ3090" s="21">
        <f>2*$B$1811+$D$3052</f>
        <v/>
      </c>
      <c r="AK3090" s="21">
        <f>0</f>
        <v/>
      </c>
      <c r="AL3090" s="21">
        <f>-$B$1811</f>
        <v/>
      </c>
      <c r="AM3090" s="21">
        <f>$B$1812</f>
        <v/>
      </c>
      <c r="AN3090" s="21" t="n">
        <v>0</v>
      </c>
      <c r="AO3090" s="21" t="n">
        <v>0</v>
      </c>
      <c r="AP3090" s="21" t="n">
        <v>0</v>
      </c>
      <c r="AQ3090" s="21" t="n">
        <v>0</v>
      </c>
      <c r="AR3090" s="21" t="n">
        <v>0</v>
      </c>
      <c r="AS3090" s="21" t="n">
        <v>0</v>
      </c>
      <c r="AT3090" s="19" t="n"/>
    </row>
    <row r="3091">
      <c r="D3091" s="21" t="n">
        <v>0</v>
      </c>
      <c r="E3091" s="21" t="n">
        <v>0</v>
      </c>
      <c r="F3091" s="21" t="n">
        <v>0</v>
      </c>
      <c r="G3091" s="21" t="n">
        <v>0</v>
      </c>
      <c r="H3091" s="21" t="n">
        <v>0</v>
      </c>
      <c r="I3091" s="21" t="n">
        <v>0</v>
      </c>
      <c r="J3091" s="21" t="n">
        <v>0</v>
      </c>
      <c r="K3091" s="21" t="n">
        <v>0</v>
      </c>
      <c r="L3091" s="21" t="n">
        <v>0</v>
      </c>
      <c r="M3091" s="21" t="n">
        <v>0</v>
      </c>
      <c r="N3091" s="21" t="n">
        <v>0</v>
      </c>
      <c r="O3091" s="21" t="n">
        <v>0</v>
      </c>
      <c r="P3091" s="21" t="n">
        <v>0</v>
      </c>
      <c r="Q3091" s="21" t="n">
        <v>0</v>
      </c>
      <c r="R3091" s="21" t="n">
        <v>0</v>
      </c>
      <c r="S3091" s="21" t="n">
        <v>0</v>
      </c>
      <c r="T3091" s="21" t="n">
        <v>0</v>
      </c>
      <c r="U3091" s="21" t="n">
        <v>0</v>
      </c>
      <c r="V3091" s="21" t="n">
        <v>0</v>
      </c>
      <c r="W3091" s="21" t="n">
        <v>0</v>
      </c>
      <c r="X3091" s="21" t="n">
        <v>0</v>
      </c>
      <c r="Y3091" s="21" t="n">
        <v>0</v>
      </c>
      <c r="Z3091" s="21" t="n">
        <v>0</v>
      </c>
      <c r="AA3091" s="21" t="n">
        <v>0</v>
      </c>
      <c r="AB3091" s="21" t="n">
        <v>0</v>
      </c>
      <c r="AC3091" s="21" t="n">
        <v>0</v>
      </c>
      <c r="AD3091" s="21" t="n">
        <v>0</v>
      </c>
      <c r="AE3091" s="21" t="n">
        <v>0</v>
      </c>
      <c r="AF3091" s="21" t="n">
        <v>0</v>
      </c>
      <c r="AG3091" s="21" t="n">
        <v>0</v>
      </c>
      <c r="AH3091" s="21">
        <f>$B$1812</f>
        <v/>
      </c>
      <c r="AI3091" s="21">
        <f>$B$1814</f>
        <v/>
      </c>
      <c r="AJ3091" s="21">
        <f>0</f>
        <v/>
      </c>
      <c r="AK3091" s="21">
        <f>2*$B$1813</f>
        <v/>
      </c>
      <c r="AL3091" s="21">
        <f>-$B$1812</f>
        <v/>
      </c>
      <c r="AM3091" s="21">
        <f>$B$1814</f>
        <v/>
      </c>
      <c r="AN3091" s="21" t="n">
        <v>0</v>
      </c>
      <c r="AO3091" s="21" t="n">
        <v>0</v>
      </c>
      <c r="AP3091" s="21" t="n">
        <v>0</v>
      </c>
      <c r="AQ3091" s="21" t="n">
        <v>0</v>
      </c>
      <c r="AR3091" s="21" t="n">
        <v>0</v>
      </c>
      <c r="AS3091" s="21" t="n">
        <v>0</v>
      </c>
      <c r="AT3091" s="19" t="n"/>
    </row>
    <row r="3092">
      <c r="D3092" s="21" t="n">
        <v>0</v>
      </c>
      <c r="E3092" s="21" t="n">
        <v>0</v>
      </c>
      <c r="F3092" s="21" t="n">
        <v>0</v>
      </c>
      <c r="G3092" s="21" t="n">
        <v>0</v>
      </c>
      <c r="H3092" s="21" t="n">
        <v>0</v>
      </c>
      <c r="I3092" s="21" t="n">
        <v>0</v>
      </c>
      <c r="J3092" s="21" t="n">
        <v>0</v>
      </c>
      <c r="K3092" s="21" t="n">
        <v>0</v>
      </c>
      <c r="L3092" s="21" t="n">
        <v>0</v>
      </c>
      <c r="M3092" s="21" t="n">
        <v>0</v>
      </c>
      <c r="N3092" s="21" t="n">
        <v>0</v>
      </c>
      <c r="O3092" s="21" t="n">
        <v>0</v>
      </c>
      <c r="P3092" s="21" t="n">
        <v>0</v>
      </c>
      <c r="Q3092" s="21" t="n">
        <v>0</v>
      </c>
      <c r="R3092" s="21" t="n">
        <v>0</v>
      </c>
      <c r="S3092" s="21" t="n">
        <v>0</v>
      </c>
      <c r="T3092" s="21" t="n">
        <v>0</v>
      </c>
      <c r="U3092" s="21" t="n">
        <v>0</v>
      </c>
      <c r="V3092" s="21" t="n">
        <v>0</v>
      </c>
      <c r="W3092" s="21" t="n">
        <v>0</v>
      </c>
      <c r="X3092" s="21" t="n">
        <v>0</v>
      </c>
      <c r="Y3092" s="21" t="n">
        <v>0</v>
      </c>
      <c r="Z3092" s="21" t="n">
        <v>0</v>
      </c>
      <c r="AA3092" s="21" t="n">
        <v>0</v>
      </c>
      <c r="AB3092" s="21" t="n">
        <v>0</v>
      </c>
      <c r="AC3092" s="21" t="n">
        <v>0</v>
      </c>
      <c r="AD3092" s="21" t="n">
        <v>0</v>
      </c>
      <c r="AE3092" s="21" t="n">
        <v>0</v>
      </c>
      <c r="AF3092" s="21" t="n">
        <v>0</v>
      </c>
      <c r="AG3092" s="21" t="n">
        <v>0</v>
      </c>
      <c r="AH3092" s="21" t="n">
        <v>0</v>
      </c>
      <c r="AI3092" s="21" t="n">
        <v>0</v>
      </c>
      <c r="AJ3092" s="21">
        <f>-$B$1811</f>
        <v/>
      </c>
      <c r="AK3092" s="21">
        <f>-$B$1812</f>
        <v/>
      </c>
      <c r="AL3092" s="21">
        <f>2*$B$1811+$D$3053</f>
        <v/>
      </c>
      <c r="AM3092" s="21">
        <f>0</f>
        <v/>
      </c>
      <c r="AN3092" s="21">
        <f>-$B$1811</f>
        <v/>
      </c>
      <c r="AO3092" s="21">
        <f>$B$1812</f>
        <v/>
      </c>
      <c r="AP3092" s="21" t="n">
        <v>0</v>
      </c>
      <c r="AQ3092" s="21" t="n">
        <v>0</v>
      </c>
      <c r="AR3092" s="21" t="n">
        <v>0</v>
      </c>
      <c r="AS3092" s="21" t="n">
        <v>0</v>
      </c>
      <c r="AT3092" s="19" t="n"/>
    </row>
    <row r="3093">
      <c r="D3093" s="21" t="n">
        <v>0</v>
      </c>
      <c r="E3093" s="21" t="n">
        <v>0</v>
      </c>
      <c r="F3093" s="21" t="n">
        <v>0</v>
      </c>
      <c r="G3093" s="21" t="n">
        <v>0</v>
      </c>
      <c r="H3093" s="21" t="n">
        <v>0</v>
      </c>
      <c r="I3093" s="21" t="n">
        <v>0</v>
      </c>
      <c r="J3093" s="21" t="n">
        <v>0</v>
      </c>
      <c r="K3093" s="21" t="n">
        <v>0</v>
      </c>
      <c r="L3093" s="21" t="n">
        <v>0</v>
      </c>
      <c r="M3093" s="21" t="n">
        <v>0</v>
      </c>
      <c r="N3093" s="21" t="n">
        <v>0</v>
      </c>
      <c r="O3093" s="21" t="n">
        <v>0</v>
      </c>
      <c r="P3093" s="21" t="n">
        <v>0</v>
      </c>
      <c r="Q3093" s="21" t="n">
        <v>0</v>
      </c>
      <c r="R3093" s="21" t="n">
        <v>0</v>
      </c>
      <c r="S3093" s="21" t="n">
        <v>0</v>
      </c>
      <c r="T3093" s="21" t="n">
        <v>0</v>
      </c>
      <c r="U3093" s="21" t="n">
        <v>0</v>
      </c>
      <c r="V3093" s="21" t="n">
        <v>0</v>
      </c>
      <c r="W3093" s="21" t="n">
        <v>0</v>
      </c>
      <c r="X3093" s="21" t="n">
        <v>0</v>
      </c>
      <c r="Y3093" s="21" t="n">
        <v>0</v>
      </c>
      <c r="Z3093" s="21" t="n">
        <v>0</v>
      </c>
      <c r="AA3093" s="21" t="n">
        <v>0</v>
      </c>
      <c r="AB3093" s="21" t="n">
        <v>0</v>
      </c>
      <c r="AC3093" s="21" t="n">
        <v>0</v>
      </c>
      <c r="AD3093" s="21" t="n">
        <v>0</v>
      </c>
      <c r="AE3093" s="21" t="n">
        <v>0</v>
      </c>
      <c r="AF3093" s="21" t="n">
        <v>0</v>
      </c>
      <c r="AG3093" s="21" t="n">
        <v>0</v>
      </c>
      <c r="AH3093" s="21" t="n">
        <v>0</v>
      </c>
      <c r="AI3093" s="21" t="n">
        <v>0</v>
      </c>
      <c r="AJ3093" s="21">
        <f>$B$1812</f>
        <v/>
      </c>
      <c r="AK3093" s="21">
        <f>$B$1814</f>
        <v/>
      </c>
      <c r="AL3093" s="21">
        <f>0</f>
        <v/>
      </c>
      <c r="AM3093" s="21">
        <f>2*$B$1813</f>
        <v/>
      </c>
      <c r="AN3093" s="21">
        <f>-$B$1812</f>
        <v/>
      </c>
      <c r="AO3093" s="21">
        <f>$B$1814</f>
        <v/>
      </c>
      <c r="AP3093" s="21" t="n">
        <v>0</v>
      </c>
      <c r="AQ3093" s="21" t="n">
        <v>0</v>
      </c>
      <c r="AR3093" s="21" t="n">
        <v>0</v>
      </c>
      <c r="AS3093" s="21" t="n">
        <v>0</v>
      </c>
      <c r="AT3093" s="19" t="n"/>
    </row>
    <row r="3094">
      <c r="D3094" s="21" t="n">
        <v>0</v>
      </c>
      <c r="E3094" s="21" t="n">
        <v>0</v>
      </c>
      <c r="F3094" s="21" t="n">
        <v>0</v>
      </c>
      <c r="G3094" s="21" t="n">
        <v>0</v>
      </c>
      <c r="H3094" s="21" t="n">
        <v>0</v>
      </c>
      <c r="I3094" s="21" t="n">
        <v>0</v>
      </c>
      <c r="J3094" s="21" t="n">
        <v>0</v>
      </c>
      <c r="K3094" s="21" t="n">
        <v>0</v>
      </c>
      <c r="L3094" s="21" t="n">
        <v>0</v>
      </c>
      <c r="M3094" s="21" t="n">
        <v>0</v>
      </c>
      <c r="N3094" s="21" t="n">
        <v>0</v>
      </c>
      <c r="O3094" s="21" t="n">
        <v>0</v>
      </c>
      <c r="P3094" s="21" t="n">
        <v>0</v>
      </c>
      <c r="Q3094" s="21" t="n">
        <v>0</v>
      </c>
      <c r="R3094" s="21" t="n">
        <v>0</v>
      </c>
      <c r="S3094" s="21" t="n">
        <v>0</v>
      </c>
      <c r="T3094" s="21" t="n">
        <v>0</v>
      </c>
      <c r="U3094" s="21" t="n">
        <v>0</v>
      </c>
      <c r="V3094" s="21" t="n">
        <v>0</v>
      </c>
      <c r="W3094" s="21" t="n">
        <v>0</v>
      </c>
      <c r="X3094" s="21" t="n">
        <v>0</v>
      </c>
      <c r="Y3094" s="21" t="n">
        <v>0</v>
      </c>
      <c r="Z3094" s="21" t="n">
        <v>0</v>
      </c>
      <c r="AA3094" s="21" t="n">
        <v>0</v>
      </c>
      <c r="AB3094" s="21" t="n">
        <v>0</v>
      </c>
      <c r="AC3094" s="21" t="n">
        <v>0</v>
      </c>
      <c r="AD3094" s="21" t="n">
        <v>0</v>
      </c>
      <c r="AE3094" s="21" t="n">
        <v>0</v>
      </c>
      <c r="AF3094" s="21" t="n">
        <v>0</v>
      </c>
      <c r="AG3094" s="21" t="n">
        <v>0</v>
      </c>
      <c r="AH3094" s="21" t="n">
        <v>0</v>
      </c>
      <c r="AI3094" s="21" t="n">
        <v>0</v>
      </c>
      <c r="AJ3094" s="21" t="n">
        <v>0</v>
      </c>
      <c r="AK3094" s="21" t="n">
        <v>0</v>
      </c>
      <c r="AL3094" s="21">
        <f>-$B$1811</f>
        <v/>
      </c>
      <c r="AM3094" s="21">
        <f>-$B$1812</f>
        <v/>
      </c>
      <c r="AN3094" s="21">
        <f>2*$B$1811+$D$3054</f>
        <v/>
      </c>
      <c r="AO3094" s="21">
        <f>0</f>
        <v/>
      </c>
      <c r="AP3094" s="21">
        <f>-$B$1811</f>
        <v/>
      </c>
      <c r="AQ3094" s="21">
        <f>$B$1812</f>
        <v/>
      </c>
      <c r="AR3094" s="21" t="n">
        <v>0</v>
      </c>
      <c r="AS3094" s="21" t="n">
        <v>0</v>
      </c>
      <c r="AT3094" s="19" t="n"/>
    </row>
    <row r="3095">
      <c r="D3095" s="21" t="n">
        <v>0</v>
      </c>
      <c r="E3095" s="21" t="n">
        <v>0</v>
      </c>
      <c r="F3095" s="21" t="n">
        <v>0</v>
      </c>
      <c r="G3095" s="21" t="n">
        <v>0</v>
      </c>
      <c r="H3095" s="21" t="n">
        <v>0</v>
      </c>
      <c r="I3095" s="21" t="n">
        <v>0</v>
      </c>
      <c r="J3095" s="21" t="n">
        <v>0</v>
      </c>
      <c r="K3095" s="21" t="n">
        <v>0</v>
      </c>
      <c r="L3095" s="21" t="n">
        <v>0</v>
      </c>
      <c r="M3095" s="21" t="n">
        <v>0</v>
      </c>
      <c r="N3095" s="21" t="n">
        <v>0</v>
      </c>
      <c r="O3095" s="21" t="n">
        <v>0</v>
      </c>
      <c r="P3095" s="21" t="n">
        <v>0</v>
      </c>
      <c r="Q3095" s="21" t="n">
        <v>0</v>
      </c>
      <c r="R3095" s="21" t="n">
        <v>0</v>
      </c>
      <c r="S3095" s="21" t="n">
        <v>0</v>
      </c>
      <c r="T3095" s="21" t="n">
        <v>0</v>
      </c>
      <c r="U3095" s="21" t="n">
        <v>0</v>
      </c>
      <c r="V3095" s="21" t="n">
        <v>0</v>
      </c>
      <c r="W3095" s="21" t="n">
        <v>0</v>
      </c>
      <c r="X3095" s="21" t="n">
        <v>0</v>
      </c>
      <c r="Y3095" s="21" t="n">
        <v>0</v>
      </c>
      <c r="Z3095" s="21" t="n">
        <v>0</v>
      </c>
      <c r="AA3095" s="21" t="n">
        <v>0</v>
      </c>
      <c r="AB3095" s="21" t="n">
        <v>0</v>
      </c>
      <c r="AC3095" s="21" t="n">
        <v>0</v>
      </c>
      <c r="AD3095" s="21" t="n">
        <v>0</v>
      </c>
      <c r="AE3095" s="21" t="n">
        <v>0</v>
      </c>
      <c r="AF3095" s="21" t="n">
        <v>0</v>
      </c>
      <c r="AG3095" s="21" t="n">
        <v>0</v>
      </c>
      <c r="AH3095" s="21" t="n">
        <v>0</v>
      </c>
      <c r="AI3095" s="21" t="n">
        <v>0</v>
      </c>
      <c r="AJ3095" s="21" t="n">
        <v>0</v>
      </c>
      <c r="AK3095" s="21" t="n">
        <v>0</v>
      </c>
      <c r="AL3095" s="21">
        <f>$B$1812</f>
        <v/>
      </c>
      <c r="AM3095" s="21">
        <f>$B$1814</f>
        <v/>
      </c>
      <c r="AN3095" s="21">
        <f>0</f>
        <v/>
      </c>
      <c r="AO3095" s="21">
        <f>2*$B$1813</f>
        <v/>
      </c>
      <c r="AP3095" s="21">
        <f>-$B$1812</f>
        <v/>
      </c>
      <c r="AQ3095" s="21">
        <f>$B$1814</f>
        <v/>
      </c>
      <c r="AR3095" s="21" t="n">
        <v>0</v>
      </c>
      <c r="AS3095" s="21" t="n">
        <v>0</v>
      </c>
      <c r="AT3095" s="19" t="n"/>
    </row>
    <row r="3096">
      <c r="D3096" s="21" t="n">
        <v>0</v>
      </c>
      <c r="E3096" s="21" t="n">
        <v>0</v>
      </c>
      <c r="F3096" s="21" t="n">
        <v>0</v>
      </c>
      <c r="G3096" s="21" t="n">
        <v>0</v>
      </c>
      <c r="H3096" s="21" t="n">
        <v>0</v>
      </c>
      <c r="I3096" s="21" t="n">
        <v>0</v>
      </c>
      <c r="J3096" s="21" t="n">
        <v>0</v>
      </c>
      <c r="K3096" s="21" t="n">
        <v>0</v>
      </c>
      <c r="L3096" s="21" t="n">
        <v>0</v>
      </c>
      <c r="M3096" s="21" t="n">
        <v>0</v>
      </c>
      <c r="N3096" s="21" t="n">
        <v>0</v>
      </c>
      <c r="O3096" s="21" t="n">
        <v>0</v>
      </c>
      <c r="P3096" s="21" t="n">
        <v>0</v>
      </c>
      <c r="Q3096" s="21" t="n">
        <v>0</v>
      </c>
      <c r="R3096" s="21" t="n">
        <v>0</v>
      </c>
      <c r="S3096" s="21" t="n">
        <v>0</v>
      </c>
      <c r="T3096" s="21" t="n">
        <v>0</v>
      </c>
      <c r="U3096" s="21" t="n">
        <v>0</v>
      </c>
      <c r="V3096" s="21" t="n">
        <v>0</v>
      </c>
      <c r="W3096" s="21" t="n">
        <v>0</v>
      </c>
      <c r="X3096" s="21" t="n">
        <v>0</v>
      </c>
      <c r="Y3096" s="21" t="n">
        <v>0</v>
      </c>
      <c r="Z3096" s="21" t="n">
        <v>0</v>
      </c>
      <c r="AA3096" s="21" t="n">
        <v>0</v>
      </c>
      <c r="AB3096" s="21" t="n">
        <v>0</v>
      </c>
      <c r="AC3096" s="21" t="n">
        <v>0</v>
      </c>
      <c r="AD3096" s="21" t="n">
        <v>0</v>
      </c>
      <c r="AE3096" s="21" t="n">
        <v>0</v>
      </c>
      <c r="AF3096" s="21" t="n">
        <v>0</v>
      </c>
      <c r="AG3096" s="21" t="n">
        <v>0</v>
      </c>
      <c r="AH3096" s="21" t="n">
        <v>0</v>
      </c>
      <c r="AI3096" s="21" t="n">
        <v>0</v>
      </c>
      <c r="AJ3096" s="21" t="n">
        <v>0</v>
      </c>
      <c r="AK3096" s="21" t="n">
        <v>0</v>
      </c>
      <c r="AL3096" s="21" t="n">
        <v>0</v>
      </c>
      <c r="AM3096" s="21" t="n">
        <v>0</v>
      </c>
      <c r="AN3096" s="21">
        <f>-$B$1811</f>
        <v/>
      </c>
      <c r="AO3096" s="21">
        <f>-$B$1812</f>
        <v/>
      </c>
      <c r="AP3096" s="21">
        <f>2*$B$1811+$D$3055</f>
        <v/>
      </c>
      <c r="AQ3096" s="21">
        <f>0</f>
        <v/>
      </c>
      <c r="AR3096" s="21">
        <f>-$B$1811</f>
        <v/>
      </c>
      <c r="AS3096" s="21">
        <f>$B$1812</f>
        <v/>
      </c>
      <c r="AT3096" s="19" t="n"/>
    </row>
    <row r="3097">
      <c r="D3097" s="21" t="n">
        <v>0</v>
      </c>
      <c r="E3097" s="21" t="n">
        <v>0</v>
      </c>
      <c r="F3097" s="21" t="n">
        <v>0</v>
      </c>
      <c r="G3097" s="21" t="n">
        <v>0</v>
      </c>
      <c r="H3097" s="21" t="n">
        <v>0</v>
      </c>
      <c r="I3097" s="21" t="n">
        <v>0</v>
      </c>
      <c r="J3097" s="21" t="n">
        <v>0</v>
      </c>
      <c r="K3097" s="21" t="n">
        <v>0</v>
      </c>
      <c r="L3097" s="21" t="n">
        <v>0</v>
      </c>
      <c r="M3097" s="21" t="n">
        <v>0</v>
      </c>
      <c r="N3097" s="21" t="n">
        <v>0</v>
      </c>
      <c r="O3097" s="21" t="n">
        <v>0</v>
      </c>
      <c r="P3097" s="21" t="n">
        <v>0</v>
      </c>
      <c r="Q3097" s="21" t="n">
        <v>0</v>
      </c>
      <c r="R3097" s="21" t="n">
        <v>0</v>
      </c>
      <c r="S3097" s="21" t="n">
        <v>0</v>
      </c>
      <c r="T3097" s="21" t="n">
        <v>0</v>
      </c>
      <c r="U3097" s="21" t="n">
        <v>0</v>
      </c>
      <c r="V3097" s="21" t="n">
        <v>0</v>
      </c>
      <c r="W3097" s="21" t="n">
        <v>0</v>
      </c>
      <c r="X3097" s="21" t="n">
        <v>0</v>
      </c>
      <c r="Y3097" s="21" t="n">
        <v>0</v>
      </c>
      <c r="Z3097" s="21" t="n">
        <v>0</v>
      </c>
      <c r="AA3097" s="21" t="n">
        <v>0</v>
      </c>
      <c r="AB3097" s="21" t="n">
        <v>0</v>
      </c>
      <c r="AC3097" s="21" t="n">
        <v>0</v>
      </c>
      <c r="AD3097" s="21" t="n">
        <v>0</v>
      </c>
      <c r="AE3097" s="21" t="n">
        <v>0</v>
      </c>
      <c r="AF3097" s="21" t="n">
        <v>0</v>
      </c>
      <c r="AG3097" s="21" t="n">
        <v>0</v>
      </c>
      <c r="AH3097" s="21" t="n">
        <v>0</v>
      </c>
      <c r="AI3097" s="21" t="n">
        <v>0</v>
      </c>
      <c r="AJ3097" s="21" t="n">
        <v>0</v>
      </c>
      <c r="AK3097" s="21" t="n">
        <v>0</v>
      </c>
      <c r="AL3097" s="21" t="n">
        <v>0</v>
      </c>
      <c r="AM3097" s="21" t="n">
        <v>0</v>
      </c>
      <c r="AN3097" s="21">
        <f>$B$1812</f>
        <v/>
      </c>
      <c r="AO3097" s="21">
        <f>$B$1814</f>
        <v/>
      </c>
      <c r="AP3097" s="21">
        <f>0</f>
        <v/>
      </c>
      <c r="AQ3097" s="21">
        <f>2*$B$1813</f>
        <v/>
      </c>
      <c r="AR3097" s="21">
        <f>-$B$1812</f>
        <v/>
      </c>
      <c r="AS3097" s="21">
        <f>$B$1814</f>
        <v/>
      </c>
      <c r="AT3097" s="19" t="n"/>
    </row>
    <row r="3098">
      <c r="D3098" s="21" t="n">
        <v>0</v>
      </c>
      <c r="E3098" s="21" t="n">
        <v>0</v>
      </c>
      <c r="F3098" s="21" t="n">
        <v>0</v>
      </c>
      <c r="G3098" s="21" t="n">
        <v>0</v>
      </c>
      <c r="H3098" s="21" t="n">
        <v>0</v>
      </c>
      <c r="I3098" s="21" t="n">
        <v>0</v>
      </c>
      <c r="J3098" s="21" t="n">
        <v>0</v>
      </c>
      <c r="K3098" s="21" t="n">
        <v>0</v>
      </c>
      <c r="L3098" s="21" t="n">
        <v>0</v>
      </c>
      <c r="M3098" s="21" t="n">
        <v>0</v>
      </c>
      <c r="N3098" s="21" t="n">
        <v>0</v>
      </c>
      <c r="O3098" s="21" t="n">
        <v>0</v>
      </c>
      <c r="P3098" s="21" t="n">
        <v>0</v>
      </c>
      <c r="Q3098" s="21" t="n">
        <v>0</v>
      </c>
      <c r="R3098" s="21" t="n">
        <v>0</v>
      </c>
      <c r="S3098" s="21" t="n">
        <v>0</v>
      </c>
      <c r="T3098" s="21" t="n">
        <v>0</v>
      </c>
      <c r="U3098" s="21" t="n">
        <v>0</v>
      </c>
      <c r="V3098" s="21" t="n">
        <v>0</v>
      </c>
      <c r="W3098" s="21" t="n">
        <v>0</v>
      </c>
      <c r="X3098" s="21" t="n">
        <v>0</v>
      </c>
      <c r="Y3098" s="21" t="n">
        <v>0</v>
      </c>
      <c r="Z3098" s="21" t="n">
        <v>0</v>
      </c>
      <c r="AA3098" s="21" t="n">
        <v>0</v>
      </c>
      <c r="AB3098" s="21" t="n">
        <v>0</v>
      </c>
      <c r="AC3098" s="21" t="n">
        <v>0</v>
      </c>
      <c r="AD3098" s="21" t="n">
        <v>0</v>
      </c>
      <c r="AE3098" s="21" t="n">
        <v>0</v>
      </c>
      <c r="AF3098" s="21" t="n">
        <v>0</v>
      </c>
      <c r="AG3098" s="21" t="n">
        <v>0</v>
      </c>
      <c r="AH3098" s="21" t="n">
        <v>0</v>
      </c>
      <c r="AI3098" s="21" t="n">
        <v>0</v>
      </c>
      <c r="AJ3098" s="21" t="n">
        <v>0</v>
      </c>
      <c r="AK3098" s="21" t="n">
        <v>0</v>
      </c>
      <c r="AL3098" s="21" t="n">
        <v>0</v>
      </c>
      <c r="AM3098" s="21" t="n">
        <v>0</v>
      </c>
      <c r="AN3098" s="21" t="n">
        <v>0</v>
      </c>
      <c r="AO3098" s="21" t="n">
        <v>0</v>
      </c>
      <c r="AP3098" s="21">
        <f>-$B$1811</f>
        <v/>
      </c>
      <c r="AQ3098" s="21">
        <f>-$B$1812</f>
        <v/>
      </c>
      <c r="AR3098" s="21">
        <f>$B$1811+$D$3056</f>
        <v/>
      </c>
      <c r="AS3098" s="21">
        <f>-$B$1812</f>
        <v/>
      </c>
      <c r="AT3098" s="19" t="n"/>
    </row>
    <row r="3099">
      <c r="D3099" s="21" t="n">
        <v>0</v>
      </c>
      <c r="E3099" s="21" t="n">
        <v>0</v>
      </c>
      <c r="F3099" s="21" t="n">
        <v>0</v>
      </c>
      <c r="G3099" s="21" t="n">
        <v>0</v>
      </c>
      <c r="H3099" s="21" t="n">
        <v>0</v>
      </c>
      <c r="I3099" s="21" t="n">
        <v>0</v>
      </c>
      <c r="J3099" s="21" t="n">
        <v>0</v>
      </c>
      <c r="K3099" s="21" t="n">
        <v>0</v>
      </c>
      <c r="L3099" s="21" t="n">
        <v>0</v>
      </c>
      <c r="M3099" s="21" t="n">
        <v>0</v>
      </c>
      <c r="N3099" s="21" t="n">
        <v>0</v>
      </c>
      <c r="O3099" s="21" t="n">
        <v>0</v>
      </c>
      <c r="P3099" s="21" t="n">
        <v>0</v>
      </c>
      <c r="Q3099" s="21" t="n">
        <v>0</v>
      </c>
      <c r="R3099" s="21" t="n">
        <v>0</v>
      </c>
      <c r="S3099" s="21" t="n">
        <v>0</v>
      </c>
      <c r="T3099" s="21" t="n">
        <v>0</v>
      </c>
      <c r="U3099" s="21" t="n">
        <v>0</v>
      </c>
      <c r="V3099" s="21" t="n">
        <v>0</v>
      </c>
      <c r="W3099" s="21" t="n">
        <v>0</v>
      </c>
      <c r="X3099" s="21" t="n">
        <v>0</v>
      </c>
      <c r="Y3099" s="21" t="n">
        <v>0</v>
      </c>
      <c r="Z3099" s="21" t="n">
        <v>0</v>
      </c>
      <c r="AA3099" s="21" t="n">
        <v>0</v>
      </c>
      <c r="AB3099" s="21" t="n">
        <v>0</v>
      </c>
      <c r="AC3099" s="21" t="n">
        <v>0</v>
      </c>
      <c r="AD3099" s="21" t="n">
        <v>0</v>
      </c>
      <c r="AE3099" s="21" t="n">
        <v>0</v>
      </c>
      <c r="AF3099" s="21" t="n">
        <v>0</v>
      </c>
      <c r="AG3099" s="21" t="n">
        <v>0</v>
      </c>
      <c r="AH3099" s="21" t="n">
        <v>0</v>
      </c>
      <c r="AI3099" s="21" t="n">
        <v>0</v>
      </c>
      <c r="AJ3099" s="21" t="n">
        <v>0</v>
      </c>
      <c r="AK3099" s="21" t="n">
        <v>0</v>
      </c>
      <c r="AL3099" s="21" t="n">
        <v>0</v>
      </c>
      <c r="AM3099" s="21" t="n">
        <v>0</v>
      </c>
      <c r="AN3099" s="21" t="n">
        <v>0</v>
      </c>
      <c r="AO3099" s="21" t="n">
        <v>0</v>
      </c>
      <c r="AP3099" s="21">
        <f>$B$1812</f>
        <v/>
      </c>
      <c r="AQ3099" s="21">
        <f>$B$1814</f>
        <v/>
      </c>
      <c r="AR3099" s="21">
        <f>-$B$1812</f>
        <v/>
      </c>
      <c r="AS3099" s="21">
        <f>$B$1813</f>
        <v/>
      </c>
      <c r="AT3099" s="19" t="n"/>
    </row>
    <row r="3101">
      <c r="A3101" s="8" t="inlineStr">
        <is>
          <t>gen 19</t>
        </is>
      </c>
    </row>
    <row r="3102">
      <c r="D3102" s="19">
        <f>IF(ABS(IF(ABS($E$3036)&gt;0.000000001,$E$3036,0.000000001))=0,0,IF($E$1826&lt;=$B$1820,0,IF(ABS(IF(ABS($E$3036)&gt;0.000000001,$E$3036,0.000000001))&gt;=8*$B$1822,$H$1826,0.5*$H$1826*(ABS(IF(ABS($E$3036)&gt;0.000000001,$E$3036,0.000000001))/$B$1822)^(1/3)))/ABS(IF(ABS($E$3036)&gt;0.000000001,$E$3036,0.000000001))*$I$1826)</f>
        <v/>
      </c>
      <c r="E3102" s="19">
        <f>0.5*$E$3036+0.5*$AT$3124</f>
        <v/>
      </c>
      <c r="F3102" s="19">
        <f>$AT$3125</f>
        <v/>
      </c>
    </row>
    <row r="3103">
      <c r="D3103" s="19">
        <f>IF(ABS(IF(ABS($E$3037)&gt;0.000000001,$E$3037,0.000000001))=0,0,IF($E$1827&lt;=$B$1820,0,IF(ABS(IF(ABS($E$3037)&gt;0.000000001,$E$3037,0.000000001))&gt;=8*$B$1822,$H$1827,0.5*$H$1827*(ABS(IF(ABS($E$3037)&gt;0.000000001,$E$3037,0.000000001))/$B$1822)^(1/3)))/ABS(IF(ABS($E$3037)&gt;0.000000001,$E$3037,0.000000001))*$I$1827)</f>
        <v/>
      </c>
      <c r="E3103" s="19">
        <f>0.5*$E$3037+0.5*$AT$3126</f>
        <v/>
      </c>
      <c r="F3103" s="19">
        <f>$AT$3127</f>
        <v/>
      </c>
    </row>
    <row r="3104">
      <c r="D3104" s="19">
        <f>IF(ABS(IF(ABS($E$3038)&gt;0.000000001,$E$3038,0.000000001))=0,0,IF($E$1828&lt;=$B$1820,0,IF(ABS(IF(ABS($E$3038)&gt;0.000000001,$E$3038,0.000000001))&gt;=8*$B$1822,$H$1828,0.5*$H$1828*(ABS(IF(ABS($E$3038)&gt;0.000000001,$E$3038,0.000000001))/$B$1822)^(1/3)))/ABS(IF(ABS($E$3038)&gt;0.000000001,$E$3038,0.000000001))*$I$1828)</f>
        <v/>
      </c>
      <c r="E3104" s="19">
        <f>0.5*$E$3038+0.5*$AT$3128</f>
        <v/>
      </c>
      <c r="F3104" s="19">
        <f>$AT$3129</f>
        <v/>
      </c>
    </row>
    <row r="3105">
      <c r="D3105" s="19">
        <f>IF(ABS(IF(ABS($E$3039)&gt;0.000000001,$E$3039,0.000000001))=0,0,IF($E$1829&lt;=$B$1820,0,IF(ABS(IF(ABS($E$3039)&gt;0.000000001,$E$3039,0.000000001))&gt;=8*$B$1822,$H$1829,0.5*$H$1829*(ABS(IF(ABS($E$3039)&gt;0.000000001,$E$3039,0.000000001))/$B$1822)^(1/3)))/ABS(IF(ABS($E$3039)&gt;0.000000001,$E$3039,0.000000001))*$I$1829)</f>
        <v/>
      </c>
      <c r="E3105" s="19">
        <f>0.5*$E$3039+0.5*$AT$3130</f>
        <v/>
      </c>
      <c r="F3105" s="19">
        <f>$AT$3131</f>
        <v/>
      </c>
    </row>
    <row r="3106">
      <c r="D3106" s="19">
        <f>IF(ABS(IF(ABS($E$3040)&gt;0.000000001,$E$3040,0.000000001))=0,0,IF($E$1830&lt;=$B$1820,0,IF(ABS(IF(ABS($E$3040)&gt;0.000000001,$E$3040,0.000000001))&gt;=8*$B$1822,$H$1830,0.5*$H$1830*(ABS(IF(ABS($E$3040)&gt;0.000000001,$E$3040,0.000000001))/$B$1822)^(1/3)))/ABS(IF(ABS($E$3040)&gt;0.000000001,$E$3040,0.000000001))*$I$1830)</f>
        <v/>
      </c>
      <c r="E3106" s="19">
        <f>0.5*$E$3040+0.5*$AT$3132</f>
        <v/>
      </c>
      <c r="F3106" s="19">
        <f>$AT$3133</f>
        <v/>
      </c>
    </row>
    <row r="3107">
      <c r="D3107" s="19">
        <f>IF(ABS(IF(ABS($E$3041)&gt;0.000000001,$E$3041,0.000000001))=0,0,IF($E$1831&lt;=$B$1820,0,IF(ABS(IF(ABS($E$3041)&gt;0.000000001,$E$3041,0.000000001))&gt;=8*$B$1822,$H$1831,0.5*$H$1831*(ABS(IF(ABS($E$3041)&gt;0.000000001,$E$3041,0.000000001))/$B$1822)^(1/3)))/ABS(IF(ABS($E$3041)&gt;0.000000001,$E$3041,0.000000001))*$I$1831)</f>
        <v/>
      </c>
      <c r="E3107" s="19">
        <f>0.5*$E$3041+0.5*$AT$3134</f>
        <v/>
      </c>
      <c r="F3107" s="19">
        <f>$AT$3135</f>
        <v/>
      </c>
    </row>
    <row r="3108">
      <c r="D3108" s="19">
        <f>IF(ABS(IF(ABS($E$3042)&gt;0.000000001,$E$3042,0.000000001))=0,0,IF($E$1832&lt;=$B$1820,0,IF(ABS(IF(ABS($E$3042)&gt;0.000000001,$E$3042,0.000000001))&gt;=8*$B$1822,$H$1832,0.5*$H$1832*(ABS(IF(ABS($E$3042)&gt;0.000000001,$E$3042,0.000000001))/$B$1822)^(1/3)))/ABS(IF(ABS($E$3042)&gt;0.000000001,$E$3042,0.000000001))*$I$1832)</f>
        <v/>
      </c>
      <c r="E3108" s="19">
        <f>0.5*$E$3042+0.5*$AT$3136</f>
        <v/>
      </c>
      <c r="F3108" s="19">
        <f>$AT$3137</f>
        <v/>
      </c>
    </row>
    <row r="3109">
      <c r="D3109" s="19">
        <f>IF(ABS(IF(ABS($E$3043)&gt;0.000000001,$E$3043,0.000000001))=0,0,IF($E$1833&lt;=$B$1820,0,IF(ABS(IF(ABS($E$3043)&gt;0.000000001,$E$3043,0.000000001))&gt;=8*$B$1822,$H$1833,0.5*$H$1833*(ABS(IF(ABS($E$3043)&gt;0.000000001,$E$3043,0.000000001))/$B$1822)^(1/3)))/ABS(IF(ABS($E$3043)&gt;0.000000001,$E$3043,0.000000001))*$I$1833)</f>
        <v/>
      </c>
      <c r="E3109" s="19">
        <f>0.5*$E$3043+0.5*$AT$3138</f>
        <v/>
      </c>
      <c r="F3109" s="19">
        <f>$AT$3139</f>
        <v/>
      </c>
    </row>
    <row r="3110">
      <c r="D3110" s="19">
        <f>IF(ABS(IF(ABS($E$3044)&gt;0.000000001,$E$3044,0.000000001))=0,0,IF($E$1834&lt;=$B$1820,0,IF(ABS(IF(ABS($E$3044)&gt;0.000000001,$E$3044,0.000000001))&gt;=8*$B$1822,$H$1834,0.5*$H$1834*(ABS(IF(ABS($E$3044)&gt;0.000000001,$E$3044,0.000000001))/$B$1822)^(1/3)))/ABS(IF(ABS($E$3044)&gt;0.000000001,$E$3044,0.000000001))*$I$1834)</f>
        <v/>
      </c>
      <c r="E3110" s="19">
        <f>0.5*$E$3044+0.5*$AT$3140</f>
        <v/>
      </c>
      <c r="F3110" s="19">
        <f>$AT$3141</f>
        <v/>
      </c>
    </row>
    <row r="3111">
      <c r="D3111" s="19">
        <f>IF(ABS(IF(ABS($E$3045)&gt;0.000000001,$E$3045,0.000000001))=0,0,IF($E$1835&lt;=$B$1820,0,IF(ABS(IF(ABS($E$3045)&gt;0.000000001,$E$3045,0.000000001))&gt;=8*$B$1822,$H$1835,0.5*$H$1835*(ABS(IF(ABS($E$3045)&gt;0.000000001,$E$3045,0.000000001))/$B$1822)^(1/3)))/ABS(IF(ABS($E$3045)&gt;0.000000001,$E$3045,0.000000001))*$I$1835)</f>
        <v/>
      </c>
      <c r="E3111" s="19">
        <f>0.5*$E$3045+0.5*$AT$3142</f>
        <v/>
      </c>
      <c r="F3111" s="19">
        <f>$AT$3143</f>
        <v/>
      </c>
    </row>
    <row r="3112">
      <c r="D3112" s="19">
        <f>IF(ABS(IF(ABS($E$3046)&gt;0.000000001,$E$3046,0.000000001))=0,0,IF($E$1836&lt;=$B$1820,0,IF(ABS(IF(ABS($E$3046)&gt;0.000000001,$E$3046,0.000000001))&gt;=8*$B$1822,$H$1836,0.5*$H$1836*(ABS(IF(ABS($E$3046)&gt;0.000000001,$E$3046,0.000000001))/$B$1822)^(1/3)))/ABS(IF(ABS($E$3046)&gt;0.000000001,$E$3046,0.000000001))*$I$1836)</f>
        <v/>
      </c>
      <c r="E3112" s="19">
        <f>0.5*$E$3046+0.5*$AT$3144</f>
        <v/>
      </c>
      <c r="F3112" s="19">
        <f>$AT$3145</f>
        <v/>
      </c>
    </row>
    <row r="3113">
      <c r="D3113" s="19">
        <f>IF(ABS(IF(ABS($E$3047)&gt;0.000000001,$E$3047,0.000000001))=0,0,IF($E$1837&lt;=$B$1820,0,IF(ABS(IF(ABS($E$3047)&gt;0.000000001,$E$3047,0.000000001))&gt;=8*$B$1822,$H$1837,0.5*$H$1837*(ABS(IF(ABS($E$3047)&gt;0.000000001,$E$3047,0.000000001))/$B$1822)^(1/3)))/ABS(IF(ABS($E$3047)&gt;0.000000001,$E$3047,0.000000001))*$I$1837)</f>
        <v/>
      </c>
      <c r="E3113" s="19">
        <f>0.5*$E$3047+0.5*$AT$3146</f>
        <v/>
      </c>
      <c r="F3113" s="19">
        <f>$AT$3147</f>
        <v/>
      </c>
    </row>
    <row r="3114">
      <c r="D3114" s="19">
        <f>IF(ABS(IF(ABS($E$3048)&gt;0.000000001,$E$3048,0.000000001))=0,0,IF($E$1838&lt;=$B$1820,0,IF(ABS(IF(ABS($E$3048)&gt;0.000000001,$E$3048,0.000000001))&gt;=8*$B$1822,$H$1838,0.5*$H$1838*(ABS(IF(ABS($E$3048)&gt;0.000000001,$E$3048,0.000000001))/$B$1822)^(1/3)))/ABS(IF(ABS($E$3048)&gt;0.000000001,$E$3048,0.000000001))*$I$1838)</f>
        <v/>
      </c>
      <c r="E3114" s="19">
        <f>0.5*$E$3048+0.5*$AT$3148</f>
        <v/>
      </c>
      <c r="F3114" s="19">
        <f>$AT$3149</f>
        <v/>
      </c>
    </row>
    <row r="3115">
      <c r="D3115" s="19">
        <f>IF(ABS(IF(ABS($E$3049)&gt;0.000000001,$E$3049,0.000000001))=0,0,IF($E$1839&lt;=$B$1820,0,IF(ABS(IF(ABS($E$3049)&gt;0.000000001,$E$3049,0.000000001))&gt;=8*$B$1822,$H$1839,0.5*$H$1839*(ABS(IF(ABS($E$3049)&gt;0.000000001,$E$3049,0.000000001))/$B$1822)^(1/3)))/ABS(IF(ABS($E$3049)&gt;0.000000001,$E$3049,0.000000001))*$I$1839)</f>
        <v/>
      </c>
      <c r="E3115" s="19">
        <f>0.5*$E$3049+0.5*$AT$3150</f>
        <v/>
      </c>
      <c r="F3115" s="19">
        <f>$AT$3151</f>
        <v/>
      </c>
    </row>
    <row r="3116">
      <c r="D3116" s="19">
        <f>IF(ABS(IF(ABS($E$3050)&gt;0.000000001,$E$3050,0.000000001))=0,0,IF($E$1840&lt;=$B$1820,0,IF(ABS(IF(ABS($E$3050)&gt;0.000000001,$E$3050,0.000000001))&gt;=8*$B$1822,$H$1840,0.5*$H$1840*(ABS(IF(ABS($E$3050)&gt;0.000000001,$E$3050,0.000000001))/$B$1822)^(1/3)))/ABS(IF(ABS($E$3050)&gt;0.000000001,$E$3050,0.000000001))*$I$1840)</f>
        <v/>
      </c>
      <c r="E3116" s="19">
        <f>0.5*$E$3050+0.5*$AT$3152</f>
        <v/>
      </c>
      <c r="F3116" s="19">
        <f>$AT$3153</f>
        <v/>
      </c>
    </row>
    <row r="3117">
      <c r="D3117" s="19">
        <f>IF(ABS(IF(ABS($E$3051)&gt;0.000000001,$E$3051,0.000000001))=0,0,IF($E$1841&lt;=$B$1820,0,IF(ABS(IF(ABS($E$3051)&gt;0.000000001,$E$3051,0.000000001))&gt;=8*$B$1822,$H$1841,0.5*$H$1841*(ABS(IF(ABS($E$3051)&gt;0.000000001,$E$3051,0.000000001))/$B$1822)^(1/3)))/ABS(IF(ABS($E$3051)&gt;0.000000001,$E$3051,0.000000001))*$I$1841)</f>
        <v/>
      </c>
      <c r="E3117" s="19">
        <f>0.5*$E$3051+0.5*$AT$3154</f>
        <v/>
      </c>
      <c r="F3117" s="19">
        <f>$AT$3155</f>
        <v/>
      </c>
    </row>
    <row r="3118">
      <c r="D3118" s="19">
        <f>IF(ABS(IF(ABS($E$3052)&gt;0.000000001,$E$3052,0.000000001))=0,0,IF($E$1842&lt;=$B$1820,0,IF(ABS(IF(ABS($E$3052)&gt;0.000000001,$E$3052,0.000000001))&gt;=8*$B$1822,$H$1842,0.5*$H$1842*(ABS(IF(ABS($E$3052)&gt;0.000000001,$E$3052,0.000000001))/$B$1822)^(1/3)))/ABS(IF(ABS($E$3052)&gt;0.000000001,$E$3052,0.000000001))*$I$1842)</f>
        <v/>
      </c>
      <c r="E3118" s="19">
        <f>0.5*$E$3052+0.5*$AT$3156</f>
        <v/>
      </c>
      <c r="F3118" s="19">
        <f>$AT$3157</f>
        <v/>
      </c>
    </row>
    <row r="3119">
      <c r="D3119" s="19">
        <f>IF(ABS(IF(ABS($E$3053)&gt;0.000000001,$E$3053,0.000000001))=0,0,IF($E$1843&lt;=$B$1820,0,IF(ABS(IF(ABS($E$3053)&gt;0.000000001,$E$3053,0.000000001))&gt;=8*$B$1822,$H$1843,0.5*$H$1843*(ABS(IF(ABS($E$3053)&gt;0.000000001,$E$3053,0.000000001))/$B$1822)^(1/3)))/ABS(IF(ABS($E$3053)&gt;0.000000001,$E$3053,0.000000001))*$I$1843)</f>
        <v/>
      </c>
      <c r="E3119" s="19">
        <f>0.5*$E$3053+0.5*$AT$3158</f>
        <v/>
      </c>
      <c r="F3119" s="19">
        <f>$AT$3159</f>
        <v/>
      </c>
    </row>
    <row r="3120">
      <c r="D3120" s="19">
        <f>IF(ABS(IF(ABS($E$3054)&gt;0.000000001,$E$3054,0.000000001))=0,0,IF($E$1844&lt;=$B$1820,0,IF(ABS(IF(ABS($E$3054)&gt;0.000000001,$E$3054,0.000000001))&gt;=8*$B$1822,$H$1844,0.5*$H$1844*(ABS(IF(ABS($E$3054)&gt;0.000000001,$E$3054,0.000000001))/$B$1822)^(1/3)))/ABS(IF(ABS($E$3054)&gt;0.000000001,$E$3054,0.000000001))*$I$1844)</f>
        <v/>
      </c>
      <c r="E3120" s="19">
        <f>0.5*$E$3054+0.5*$AT$3160</f>
        <v/>
      </c>
      <c r="F3120" s="19">
        <f>$AT$3161</f>
        <v/>
      </c>
    </row>
    <row r="3121">
      <c r="D3121" s="19">
        <f>IF(ABS(IF(ABS($E$3055)&gt;0.000000001,$E$3055,0.000000001))=0,0,IF($E$1845&lt;=$B$1820,0,IF(ABS(IF(ABS($E$3055)&gt;0.000000001,$E$3055,0.000000001))&gt;=8*$B$1822,$H$1845,0.5*$H$1845*(ABS(IF(ABS($E$3055)&gt;0.000000001,$E$3055,0.000000001))/$B$1822)^(1/3)))/ABS(IF(ABS($E$3055)&gt;0.000000001,$E$3055,0.000000001))*$I$1845)</f>
        <v/>
      </c>
      <c r="E3121" s="19">
        <f>0.5*$E$3055+0.5*$AT$3162</f>
        <v/>
      </c>
      <c r="F3121" s="19">
        <f>$AT$3163</f>
        <v/>
      </c>
    </row>
    <row r="3122">
      <c r="D3122" s="19">
        <f>IF(ABS(IF(ABS($E$3056)&gt;0.000000001,$E$3056,0.000000001))=0,0,IF($E$1846&lt;=$B$1820,0,IF(ABS(IF(ABS($E$3056)&gt;0.000000001,$E$3056,0.000000001))&gt;=8*$B$1822,$H$1846,0.5*$H$1846*(ABS(IF(ABS($E$3056)&gt;0.000000001,$E$3056,0.000000001))/$B$1822)^(1/3)))/ABS(IF(ABS($E$3056)&gt;0.000000001,$E$3056,0.000000001))*$I$1846)</f>
        <v/>
      </c>
      <c r="E3122" s="19">
        <f>0.5*$E$3056+0.5*$AT$3164</f>
        <v/>
      </c>
      <c r="F3122" s="19">
        <f>$AT$3165</f>
        <v/>
      </c>
    </row>
    <row r="3124">
      <c r="D3124" s="21">
        <f>$B$1811+$D$3102</f>
        <v/>
      </c>
      <c r="E3124" s="21">
        <f>$B$1812</f>
        <v/>
      </c>
      <c r="F3124" s="21">
        <f>-$B$1811</f>
        <v/>
      </c>
      <c r="G3124" s="21">
        <f>$B$1812</f>
        <v/>
      </c>
      <c r="H3124" s="21" t="n">
        <v>0</v>
      </c>
      <c r="I3124" s="21" t="n">
        <v>0</v>
      </c>
      <c r="J3124" s="21" t="n">
        <v>0</v>
      </c>
      <c r="K3124" s="21" t="n">
        <v>0</v>
      </c>
      <c r="L3124" s="21" t="n">
        <v>0</v>
      </c>
      <c r="M3124" s="21" t="n">
        <v>0</v>
      </c>
      <c r="N3124" s="21" t="n">
        <v>0</v>
      </c>
      <c r="O3124" s="21" t="n">
        <v>0</v>
      </c>
      <c r="P3124" s="21" t="n">
        <v>0</v>
      </c>
      <c r="Q3124" s="21" t="n">
        <v>0</v>
      </c>
      <c r="R3124" s="21" t="n">
        <v>0</v>
      </c>
      <c r="S3124" s="21" t="n">
        <v>0</v>
      </c>
      <c r="T3124" s="21" t="n">
        <v>0</v>
      </c>
      <c r="U3124" s="21" t="n">
        <v>0</v>
      </c>
      <c r="V3124" s="21" t="n">
        <v>0</v>
      </c>
      <c r="W3124" s="21" t="n">
        <v>0</v>
      </c>
      <c r="X3124" s="21" t="n">
        <v>0</v>
      </c>
      <c r="Y3124" s="21" t="n">
        <v>0</v>
      </c>
      <c r="Z3124" s="21" t="n">
        <v>0</v>
      </c>
      <c r="AA3124" s="21" t="n">
        <v>0</v>
      </c>
      <c r="AB3124" s="21" t="n">
        <v>0</v>
      </c>
      <c r="AC3124" s="21" t="n">
        <v>0</v>
      </c>
      <c r="AD3124" s="21" t="n">
        <v>0</v>
      </c>
      <c r="AE3124" s="21" t="n">
        <v>0</v>
      </c>
      <c r="AF3124" s="21" t="n">
        <v>0</v>
      </c>
      <c r="AG3124" s="21" t="n">
        <v>0</v>
      </c>
      <c r="AH3124" s="21" t="n">
        <v>0</v>
      </c>
      <c r="AI3124" s="21" t="n">
        <v>0</v>
      </c>
      <c r="AJ3124" s="21" t="n">
        <v>0</v>
      </c>
      <c r="AK3124" s="21" t="n">
        <v>0</v>
      </c>
      <c r="AL3124" s="21" t="n">
        <v>0</v>
      </c>
      <c r="AM3124" s="21" t="n">
        <v>0</v>
      </c>
      <c r="AN3124" s="21" t="n">
        <v>0</v>
      </c>
      <c r="AO3124" s="21" t="n">
        <v>0</v>
      </c>
      <c r="AP3124" s="21" t="n">
        <v>0</v>
      </c>
      <c r="AQ3124" s="21" t="n">
        <v>0</v>
      </c>
      <c r="AR3124" s="21" t="n">
        <v>0</v>
      </c>
      <c r="AS3124" s="21" t="n">
        <v>0</v>
      </c>
      <c r="AT3124" s="19">
        <f t="array" ref="AT3124:AT3165">MMULT(MINVERSE($D$3124:$AS$3165),$D$1848:$D$1889)</f>
        <v/>
      </c>
    </row>
    <row r="3125">
      <c r="D3125" s="21">
        <f>$B$1812</f>
        <v/>
      </c>
      <c r="E3125" s="21">
        <f>$B$1813</f>
        <v/>
      </c>
      <c r="F3125" s="21">
        <f>-$B$1812</f>
        <v/>
      </c>
      <c r="G3125" s="21">
        <f>$B$1814</f>
        <v/>
      </c>
      <c r="H3125" s="21" t="n">
        <v>0</v>
      </c>
      <c r="I3125" s="21" t="n">
        <v>0</v>
      </c>
      <c r="J3125" s="21" t="n">
        <v>0</v>
      </c>
      <c r="K3125" s="21" t="n">
        <v>0</v>
      </c>
      <c r="L3125" s="21" t="n">
        <v>0</v>
      </c>
      <c r="M3125" s="21" t="n">
        <v>0</v>
      </c>
      <c r="N3125" s="21" t="n">
        <v>0</v>
      </c>
      <c r="O3125" s="21" t="n">
        <v>0</v>
      </c>
      <c r="P3125" s="21" t="n">
        <v>0</v>
      </c>
      <c r="Q3125" s="21" t="n">
        <v>0</v>
      </c>
      <c r="R3125" s="21" t="n">
        <v>0</v>
      </c>
      <c r="S3125" s="21" t="n">
        <v>0</v>
      </c>
      <c r="T3125" s="21" t="n">
        <v>0</v>
      </c>
      <c r="U3125" s="21" t="n">
        <v>0</v>
      </c>
      <c r="V3125" s="21" t="n">
        <v>0</v>
      </c>
      <c r="W3125" s="21" t="n">
        <v>0</v>
      </c>
      <c r="X3125" s="21" t="n">
        <v>0</v>
      </c>
      <c r="Y3125" s="21" t="n">
        <v>0</v>
      </c>
      <c r="Z3125" s="21" t="n">
        <v>0</v>
      </c>
      <c r="AA3125" s="21" t="n">
        <v>0</v>
      </c>
      <c r="AB3125" s="21" t="n">
        <v>0</v>
      </c>
      <c r="AC3125" s="21" t="n">
        <v>0</v>
      </c>
      <c r="AD3125" s="21" t="n">
        <v>0</v>
      </c>
      <c r="AE3125" s="21" t="n">
        <v>0</v>
      </c>
      <c r="AF3125" s="21" t="n">
        <v>0</v>
      </c>
      <c r="AG3125" s="21" t="n">
        <v>0</v>
      </c>
      <c r="AH3125" s="21" t="n">
        <v>0</v>
      </c>
      <c r="AI3125" s="21" t="n">
        <v>0</v>
      </c>
      <c r="AJ3125" s="21" t="n">
        <v>0</v>
      </c>
      <c r="AK3125" s="21" t="n">
        <v>0</v>
      </c>
      <c r="AL3125" s="21" t="n">
        <v>0</v>
      </c>
      <c r="AM3125" s="21" t="n">
        <v>0</v>
      </c>
      <c r="AN3125" s="21" t="n">
        <v>0</v>
      </c>
      <c r="AO3125" s="21" t="n">
        <v>0</v>
      </c>
      <c r="AP3125" s="21" t="n">
        <v>0</v>
      </c>
      <c r="AQ3125" s="21" t="n">
        <v>0</v>
      </c>
      <c r="AR3125" s="21" t="n">
        <v>0</v>
      </c>
      <c r="AS3125" s="21" t="n">
        <v>0</v>
      </c>
      <c r="AT3125" s="19" t="n"/>
    </row>
    <row r="3126">
      <c r="D3126" s="21">
        <f>-$B$1811</f>
        <v/>
      </c>
      <c r="E3126" s="21">
        <f>-$B$1812</f>
        <v/>
      </c>
      <c r="F3126" s="21">
        <f>2*$B$1811+$D$3103</f>
        <v/>
      </c>
      <c r="G3126" s="21">
        <f>0</f>
        <v/>
      </c>
      <c r="H3126" s="21">
        <f>-$B$1811</f>
        <v/>
      </c>
      <c r="I3126" s="21">
        <f>$B$1812</f>
        <v/>
      </c>
      <c r="J3126" s="21" t="n">
        <v>0</v>
      </c>
      <c r="K3126" s="21" t="n">
        <v>0</v>
      </c>
      <c r="L3126" s="21" t="n">
        <v>0</v>
      </c>
      <c r="M3126" s="21" t="n">
        <v>0</v>
      </c>
      <c r="N3126" s="21" t="n">
        <v>0</v>
      </c>
      <c r="O3126" s="21" t="n">
        <v>0</v>
      </c>
      <c r="P3126" s="21" t="n">
        <v>0</v>
      </c>
      <c r="Q3126" s="21" t="n">
        <v>0</v>
      </c>
      <c r="R3126" s="21" t="n">
        <v>0</v>
      </c>
      <c r="S3126" s="21" t="n">
        <v>0</v>
      </c>
      <c r="T3126" s="21" t="n">
        <v>0</v>
      </c>
      <c r="U3126" s="21" t="n">
        <v>0</v>
      </c>
      <c r="V3126" s="21" t="n">
        <v>0</v>
      </c>
      <c r="W3126" s="21" t="n">
        <v>0</v>
      </c>
      <c r="X3126" s="21" t="n">
        <v>0</v>
      </c>
      <c r="Y3126" s="21" t="n">
        <v>0</v>
      </c>
      <c r="Z3126" s="21" t="n">
        <v>0</v>
      </c>
      <c r="AA3126" s="21" t="n">
        <v>0</v>
      </c>
      <c r="AB3126" s="21" t="n">
        <v>0</v>
      </c>
      <c r="AC3126" s="21" t="n">
        <v>0</v>
      </c>
      <c r="AD3126" s="21" t="n">
        <v>0</v>
      </c>
      <c r="AE3126" s="21" t="n">
        <v>0</v>
      </c>
      <c r="AF3126" s="21" t="n">
        <v>0</v>
      </c>
      <c r="AG3126" s="21" t="n">
        <v>0</v>
      </c>
      <c r="AH3126" s="21" t="n">
        <v>0</v>
      </c>
      <c r="AI3126" s="21" t="n">
        <v>0</v>
      </c>
      <c r="AJ3126" s="21" t="n">
        <v>0</v>
      </c>
      <c r="AK3126" s="21" t="n">
        <v>0</v>
      </c>
      <c r="AL3126" s="21" t="n">
        <v>0</v>
      </c>
      <c r="AM3126" s="21" t="n">
        <v>0</v>
      </c>
      <c r="AN3126" s="21" t="n">
        <v>0</v>
      </c>
      <c r="AO3126" s="21" t="n">
        <v>0</v>
      </c>
      <c r="AP3126" s="21" t="n">
        <v>0</v>
      </c>
      <c r="AQ3126" s="21" t="n">
        <v>0</v>
      </c>
      <c r="AR3126" s="21" t="n">
        <v>0</v>
      </c>
      <c r="AS3126" s="21" t="n">
        <v>0</v>
      </c>
      <c r="AT3126" s="19" t="n"/>
    </row>
    <row r="3127">
      <c r="D3127" s="21">
        <f>$B$1812</f>
        <v/>
      </c>
      <c r="E3127" s="21">
        <f>$B$1814</f>
        <v/>
      </c>
      <c r="F3127" s="21">
        <f>0</f>
        <v/>
      </c>
      <c r="G3127" s="21">
        <f>2*$B$1813</f>
        <v/>
      </c>
      <c r="H3127" s="21">
        <f>-$B$1812</f>
        <v/>
      </c>
      <c r="I3127" s="21">
        <f>$B$1814</f>
        <v/>
      </c>
      <c r="J3127" s="21" t="n">
        <v>0</v>
      </c>
      <c r="K3127" s="21" t="n">
        <v>0</v>
      </c>
      <c r="L3127" s="21" t="n">
        <v>0</v>
      </c>
      <c r="M3127" s="21" t="n">
        <v>0</v>
      </c>
      <c r="N3127" s="21" t="n">
        <v>0</v>
      </c>
      <c r="O3127" s="21" t="n">
        <v>0</v>
      </c>
      <c r="P3127" s="21" t="n">
        <v>0</v>
      </c>
      <c r="Q3127" s="21" t="n">
        <v>0</v>
      </c>
      <c r="R3127" s="21" t="n">
        <v>0</v>
      </c>
      <c r="S3127" s="21" t="n">
        <v>0</v>
      </c>
      <c r="T3127" s="21" t="n">
        <v>0</v>
      </c>
      <c r="U3127" s="21" t="n">
        <v>0</v>
      </c>
      <c r="V3127" s="21" t="n">
        <v>0</v>
      </c>
      <c r="W3127" s="21" t="n">
        <v>0</v>
      </c>
      <c r="X3127" s="21" t="n">
        <v>0</v>
      </c>
      <c r="Y3127" s="21" t="n">
        <v>0</v>
      </c>
      <c r="Z3127" s="21" t="n">
        <v>0</v>
      </c>
      <c r="AA3127" s="21" t="n">
        <v>0</v>
      </c>
      <c r="AB3127" s="21" t="n">
        <v>0</v>
      </c>
      <c r="AC3127" s="21" t="n">
        <v>0</v>
      </c>
      <c r="AD3127" s="21" t="n">
        <v>0</v>
      </c>
      <c r="AE3127" s="21" t="n">
        <v>0</v>
      </c>
      <c r="AF3127" s="21" t="n">
        <v>0</v>
      </c>
      <c r="AG3127" s="21" t="n">
        <v>0</v>
      </c>
      <c r="AH3127" s="21" t="n">
        <v>0</v>
      </c>
      <c r="AI3127" s="21" t="n">
        <v>0</v>
      </c>
      <c r="AJ3127" s="21" t="n">
        <v>0</v>
      </c>
      <c r="AK3127" s="21" t="n">
        <v>0</v>
      </c>
      <c r="AL3127" s="21" t="n">
        <v>0</v>
      </c>
      <c r="AM3127" s="21" t="n">
        <v>0</v>
      </c>
      <c r="AN3127" s="21" t="n">
        <v>0</v>
      </c>
      <c r="AO3127" s="21" t="n">
        <v>0</v>
      </c>
      <c r="AP3127" s="21" t="n">
        <v>0</v>
      </c>
      <c r="AQ3127" s="21" t="n">
        <v>0</v>
      </c>
      <c r="AR3127" s="21" t="n">
        <v>0</v>
      </c>
      <c r="AS3127" s="21" t="n">
        <v>0</v>
      </c>
      <c r="AT3127" s="19" t="n"/>
    </row>
    <row r="3128">
      <c r="D3128" s="21" t="n">
        <v>0</v>
      </c>
      <c r="E3128" s="21" t="n">
        <v>0</v>
      </c>
      <c r="F3128" s="21">
        <f>-$B$1811</f>
        <v/>
      </c>
      <c r="G3128" s="21">
        <f>-$B$1812</f>
        <v/>
      </c>
      <c r="H3128" s="21">
        <f>2*$B$1811+$D$3104</f>
        <v/>
      </c>
      <c r="I3128" s="21">
        <f>0</f>
        <v/>
      </c>
      <c r="J3128" s="21">
        <f>-$B$1811</f>
        <v/>
      </c>
      <c r="K3128" s="21">
        <f>$B$1812</f>
        <v/>
      </c>
      <c r="L3128" s="21" t="n">
        <v>0</v>
      </c>
      <c r="M3128" s="21" t="n">
        <v>0</v>
      </c>
      <c r="N3128" s="21" t="n">
        <v>0</v>
      </c>
      <c r="O3128" s="21" t="n">
        <v>0</v>
      </c>
      <c r="P3128" s="21" t="n">
        <v>0</v>
      </c>
      <c r="Q3128" s="21" t="n">
        <v>0</v>
      </c>
      <c r="R3128" s="21" t="n">
        <v>0</v>
      </c>
      <c r="S3128" s="21" t="n">
        <v>0</v>
      </c>
      <c r="T3128" s="21" t="n">
        <v>0</v>
      </c>
      <c r="U3128" s="21" t="n">
        <v>0</v>
      </c>
      <c r="V3128" s="21" t="n">
        <v>0</v>
      </c>
      <c r="W3128" s="21" t="n">
        <v>0</v>
      </c>
      <c r="X3128" s="21" t="n">
        <v>0</v>
      </c>
      <c r="Y3128" s="21" t="n">
        <v>0</v>
      </c>
      <c r="Z3128" s="21" t="n">
        <v>0</v>
      </c>
      <c r="AA3128" s="21" t="n">
        <v>0</v>
      </c>
      <c r="AB3128" s="21" t="n">
        <v>0</v>
      </c>
      <c r="AC3128" s="21" t="n">
        <v>0</v>
      </c>
      <c r="AD3128" s="21" t="n">
        <v>0</v>
      </c>
      <c r="AE3128" s="21" t="n">
        <v>0</v>
      </c>
      <c r="AF3128" s="21" t="n">
        <v>0</v>
      </c>
      <c r="AG3128" s="21" t="n">
        <v>0</v>
      </c>
      <c r="AH3128" s="21" t="n">
        <v>0</v>
      </c>
      <c r="AI3128" s="21" t="n">
        <v>0</v>
      </c>
      <c r="AJ3128" s="21" t="n">
        <v>0</v>
      </c>
      <c r="AK3128" s="21" t="n">
        <v>0</v>
      </c>
      <c r="AL3128" s="21" t="n">
        <v>0</v>
      </c>
      <c r="AM3128" s="21" t="n">
        <v>0</v>
      </c>
      <c r="AN3128" s="21" t="n">
        <v>0</v>
      </c>
      <c r="AO3128" s="21" t="n">
        <v>0</v>
      </c>
      <c r="AP3128" s="21" t="n">
        <v>0</v>
      </c>
      <c r="AQ3128" s="21" t="n">
        <v>0</v>
      </c>
      <c r="AR3128" s="21" t="n">
        <v>0</v>
      </c>
      <c r="AS3128" s="21" t="n">
        <v>0</v>
      </c>
      <c r="AT3128" s="19" t="n"/>
    </row>
    <row r="3129">
      <c r="D3129" s="21" t="n">
        <v>0</v>
      </c>
      <c r="E3129" s="21" t="n">
        <v>0</v>
      </c>
      <c r="F3129" s="21">
        <f>$B$1812</f>
        <v/>
      </c>
      <c r="G3129" s="21">
        <f>$B$1814</f>
        <v/>
      </c>
      <c r="H3129" s="21">
        <f>0</f>
        <v/>
      </c>
      <c r="I3129" s="21">
        <f>2*$B$1813</f>
        <v/>
      </c>
      <c r="J3129" s="21">
        <f>-$B$1812</f>
        <v/>
      </c>
      <c r="K3129" s="21">
        <f>$B$1814</f>
        <v/>
      </c>
      <c r="L3129" s="21" t="n">
        <v>0</v>
      </c>
      <c r="M3129" s="21" t="n">
        <v>0</v>
      </c>
      <c r="N3129" s="21" t="n">
        <v>0</v>
      </c>
      <c r="O3129" s="21" t="n">
        <v>0</v>
      </c>
      <c r="P3129" s="21" t="n">
        <v>0</v>
      </c>
      <c r="Q3129" s="21" t="n">
        <v>0</v>
      </c>
      <c r="R3129" s="21" t="n">
        <v>0</v>
      </c>
      <c r="S3129" s="21" t="n">
        <v>0</v>
      </c>
      <c r="T3129" s="21" t="n">
        <v>0</v>
      </c>
      <c r="U3129" s="21" t="n">
        <v>0</v>
      </c>
      <c r="V3129" s="21" t="n">
        <v>0</v>
      </c>
      <c r="W3129" s="21" t="n">
        <v>0</v>
      </c>
      <c r="X3129" s="21" t="n">
        <v>0</v>
      </c>
      <c r="Y3129" s="21" t="n">
        <v>0</v>
      </c>
      <c r="Z3129" s="21" t="n">
        <v>0</v>
      </c>
      <c r="AA3129" s="21" t="n">
        <v>0</v>
      </c>
      <c r="AB3129" s="21" t="n">
        <v>0</v>
      </c>
      <c r="AC3129" s="21" t="n">
        <v>0</v>
      </c>
      <c r="AD3129" s="21" t="n">
        <v>0</v>
      </c>
      <c r="AE3129" s="21" t="n">
        <v>0</v>
      </c>
      <c r="AF3129" s="21" t="n">
        <v>0</v>
      </c>
      <c r="AG3129" s="21" t="n">
        <v>0</v>
      </c>
      <c r="AH3129" s="21" t="n">
        <v>0</v>
      </c>
      <c r="AI3129" s="21" t="n">
        <v>0</v>
      </c>
      <c r="AJ3129" s="21" t="n">
        <v>0</v>
      </c>
      <c r="AK3129" s="21" t="n">
        <v>0</v>
      </c>
      <c r="AL3129" s="21" t="n">
        <v>0</v>
      </c>
      <c r="AM3129" s="21" t="n">
        <v>0</v>
      </c>
      <c r="AN3129" s="21" t="n">
        <v>0</v>
      </c>
      <c r="AO3129" s="21" t="n">
        <v>0</v>
      </c>
      <c r="AP3129" s="21" t="n">
        <v>0</v>
      </c>
      <c r="AQ3129" s="21" t="n">
        <v>0</v>
      </c>
      <c r="AR3129" s="21" t="n">
        <v>0</v>
      </c>
      <c r="AS3129" s="21" t="n">
        <v>0</v>
      </c>
      <c r="AT3129" s="19" t="n"/>
    </row>
    <row r="3130">
      <c r="D3130" s="21" t="n">
        <v>0</v>
      </c>
      <c r="E3130" s="21" t="n">
        <v>0</v>
      </c>
      <c r="F3130" s="21" t="n">
        <v>0</v>
      </c>
      <c r="G3130" s="21" t="n">
        <v>0</v>
      </c>
      <c r="H3130" s="21">
        <f>-$B$1811</f>
        <v/>
      </c>
      <c r="I3130" s="21">
        <f>-$B$1812</f>
        <v/>
      </c>
      <c r="J3130" s="21">
        <f>2*$B$1811+$D$3105</f>
        <v/>
      </c>
      <c r="K3130" s="21">
        <f>0</f>
        <v/>
      </c>
      <c r="L3130" s="21">
        <f>-$B$1811</f>
        <v/>
      </c>
      <c r="M3130" s="21">
        <f>$B$1812</f>
        <v/>
      </c>
      <c r="N3130" s="21" t="n">
        <v>0</v>
      </c>
      <c r="O3130" s="21" t="n">
        <v>0</v>
      </c>
      <c r="P3130" s="21" t="n">
        <v>0</v>
      </c>
      <c r="Q3130" s="21" t="n">
        <v>0</v>
      </c>
      <c r="R3130" s="21" t="n">
        <v>0</v>
      </c>
      <c r="S3130" s="21" t="n">
        <v>0</v>
      </c>
      <c r="T3130" s="21" t="n">
        <v>0</v>
      </c>
      <c r="U3130" s="21" t="n">
        <v>0</v>
      </c>
      <c r="V3130" s="21" t="n">
        <v>0</v>
      </c>
      <c r="W3130" s="21" t="n">
        <v>0</v>
      </c>
      <c r="X3130" s="21" t="n">
        <v>0</v>
      </c>
      <c r="Y3130" s="21" t="n">
        <v>0</v>
      </c>
      <c r="Z3130" s="21" t="n">
        <v>0</v>
      </c>
      <c r="AA3130" s="21" t="n">
        <v>0</v>
      </c>
      <c r="AB3130" s="21" t="n">
        <v>0</v>
      </c>
      <c r="AC3130" s="21" t="n">
        <v>0</v>
      </c>
      <c r="AD3130" s="21" t="n">
        <v>0</v>
      </c>
      <c r="AE3130" s="21" t="n">
        <v>0</v>
      </c>
      <c r="AF3130" s="21" t="n">
        <v>0</v>
      </c>
      <c r="AG3130" s="21" t="n">
        <v>0</v>
      </c>
      <c r="AH3130" s="21" t="n">
        <v>0</v>
      </c>
      <c r="AI3130" s="21" t="n">
        <v>0</v>
      </c>
      <c r="AJ3130" s="21" t="n">
        <v>0</v>
      </c>
      <c r="AK3130" s="21" t="n">
        <v>0</v>
      </c>
      <c r="AL3130" s="21" t="n">
        <v>0</v>
      </c>
      <c r="AM3130" s="21" t="n">
        <v>0</v>
      </c>
      <c r="AN3130" s="21" t="n">
        <v>0</v>
      </c>
      <c r="AO3130" s="21" t="n">
        <v>0</v>
      </c>
      <c r="AP3130" s="21" t="n">
        <v>0</v>
      </c>
      <c r="AQ3130" s="21" t="n">
        <v>0</v>
      </c>
      <c r="AR3130" s="21" t="n">
        <v>0</v>
      </c>
      <c r="AS3130" s="21" t="n">
        <v>0</v>
      </c>
      <c r="AT3130" s="19" t="n"/>
    </row>
    <row r="3131">
      <c r="D3131" s="21" t="n">
        <v>0</v>
      </c>
      <c r="E3131" s="21" t="n">
        <v>0</v>
      </c>
      <c r="F3131" s="21" t="n">
        <v>0</v>
      </c>
      <c r="G3131" s="21" t="n">
        <v>0</v>
      </c>
      <c r="H3131" s="21">
        <f>$B$1812</f>
        <v/>
      </c>
      <c r="I3131" s="21">
        <f>$B$1814</f>
        <v/>
      </c>
      <c r="J3131" s="21">
        <f>0</f>
        <v/>
      </c>
      <c r="K3131" s="21">
        <f>2*$B$1813</f>
        <v/>
      </c>
      <c r="L3131" s="21">
        <f>-$B$1812</f>
        <v/>
      </c>
      <c r="M3131" s="21">
        <f>$B$1814</f>
        <v/>
      </c>
      <c r="N3131" s="21" t="n">
        <v>0</v>
      </c>
      <c r="O3131" s="21" t="n">
        <v>0</v>
      </c>
      <c r="P3131" s="21" t="n">
        <v>0</v>
      </c>
      <c r="Q3131" s="21" t="n">
        <v>0</v>
      </c>
      <c r="R3131" s="21" t="n">
        <v>0</v>
      </c>
      <c r="S3131" s="21" t="n">
        <v>0</v>
      </c>
      <c r="T3131" s="21" t="n">
        <v>0</v>
      </c>
      <c r="U3131" s="21" t="n">
        <v>0</v>
      </c>
      <c r="V3131" s="21" t="n">
        <v>0</v>
      </c>
      <c r="W3131" s="21" t="n">
        <v>0</v>
      </c>
      <c r="X3131" s="21" t="n">
        <v>0</v>
      </c>
      <c r="Y3131" s="21" t="n">
        <v>0</v>
      </c>
      <c r="Z3131" s="21" t="n">
        <v>0</v>
      </c>
      <c r="AA3131" s="21" t="n">
        <v>0</v>
      </c>
      <c r="AB3131" s="21" t="n">
        <v>0</v>
      </c>
      <c r="AC3131" s="21" t="n">
        <v>0</v>
      </c>
      <c r="AD3131" s="21" t="n">
        <v>0</v>
      </c>
      <c r="AE3131" s="21" t="n">
        <v>0</v>
      </c>
      <c r="AF3131" s="21" t="n">
        <v>0</v>
      </c>
      <c r="AG3131" s="21" t="n">
        <v>0</v>
      </c>
      <c r="AH3131" s="21" t="n">
        <v>0</v>
      </c>
      <c r="AI3131" s="21" t="n">
        <v>0</v>
      </c>
      <c r="AJ3131" s="21" t="n">
        <v>0</v>
      </c>
      <c r="AK3131" s="21" t="n">
        <v>0</v>
      </c>
      <c r="AL3131" s="21" t="n">
        <v>0</v>
      </c>
      <c r="AM3131" s="21" t="n">
        <v>0</v>
      </c>
      <c r="AN3131" s="21" t="n">
        <v>0</v>
      </c>
      <c r="AO3131" s="21" t="n">
        <v>0</v>
      </c>
      <c r="AP3131" s="21" t="n">
        <v>0</v>
      </c>
      <c r="AQ3131" s="21" t="n">
        <v>0</v>
      </c>
      <c r="AR3131" s="21" t="n">
        <v>0</v>
      </c>
      <c r="AS3131" s="21" t="n">
        <v>0</v>
      </c>
      <c r="AT3131" s="19" t="n"/>
    </row>
    <row r="3132">
      <c r="D3132" s="21" t="n">
        <v>0</v>
      </c>
      <c r="E3132" s="21" t="n">
        <v>0</v>
      </c>
      <c r="F3132" s="21" t="n">
        <v>0</v>
      </c>
      <c r="G3132" s="21" t="n">
        <v>0</v>
      </c>
      <c r="H3132" s="21" t="n">
        <v>0</v>
      </c>
      <c r="I3132" s="21" t="n">
        <v>0</v>
      </c>
      <c r="J3132" s="21">
        <f>-$B$1811</f>
        <v/>
      </c>
      <c r="K3132" s="21">
        <f>-$B$1812</f>
        <v/>
      </c>
      <c r="L3132" s="21">
        <f>2*$B$1811+$D$3106</f>
        <v/>
      </c>
      <c r="M3132" s="21">
        <f>0</f>
        <v/>
      </c>
      <c r="N3132" s="21">
        <f>-$B$1811</f>
        <v/>
      </c>
      <c r="O3132" s="21">
        <f>$B$1812</f>
        <v/>
      </c>
      <c r="P3132" s="21" t="n">
        <v>0</v>
      </c>
      <c r="Q3132" s="21" t="n">
        <v>0</v>
      </c>
      <c r="R3132" s="21" t="n">
        <v>0</v>
      </c>
      <c r="S3132" s="21" t="n">
        <v>0</v>
      </c>
      <c r="T3132" s="21" t="n">
        <v>0</v>
      </c>
      <c r="U3132" s="21" t="n">
        <v>0</v>
      </c>
      <c r="V3132" s="21" t="n">
        <v>0</v>
      </c>
      <c r="W3132" s="21" t="n">
        <v>0</v>
      </c>
      <c r="X3132" s="21" t="n">
        <v>0</v>
      </c>
      <c r="Y3132" s="21" t="n">
        <v>0</v>
      </c>
      <c r="Z3132" s="21" t="n">
        <v>0</v>
      </c>
      <c r="AA3132" s="21" t="n">
        <v>0</v>
      </c>
      <c r="AB3132" s="21" t="n">
        <v>0</v>
      </c>
      <c r="AC3132" s="21" t="n">
        <v>0</v>
      </c>
      <c r="AD3132" s="21" t="n">
        <v>0</v>
      </c>
      <c r="AE3132" s="21" t="n">
        <v>0</v>
      </c>
      <c r="AF3132" s="21" t="n">
        <v>0</v>
      </c>
      <c r="AG3132" s="21" t="n">
        <v>0</v>
      </c>
      <c r="AH3132" s="21" t="n">
        <v>0</v>
      </c>
      <c r="AI3132" s="21" t="n">
        <v>0</v>
      </c>
      <c r="AJ3132" s="21" t="n">
        <v>0</v>
      </c>
      <c r="AK3132" s="21" t="n">
        <v>0</v>
      </c>
      <c r="AL3132" s="21" t="n">
        <v>0</v>
      </c>
      <c r="AM3132" s="21" t="n">
        <v>0</v>
      </c>
      <c r="AN3132" s="21" t="n">
        <v>0</v>
      </c>
      <c r="AO3132" s="21" t="n">
        <v>0</v>
      </c>
      <c r="AP3132" s="21" t="n">
        <v>0</v>
      </c>
      <c r="AQ3132" s="21" t="n">
        <v>0</v>
      </c>
      <c r="AR3132" s="21" t="n">
        <v>0</v>
      </c>
      <c r="AS3132" s="21" t="n">
        <v>0</v>
      </c>
      <c r="AT3132" s="19" t="n"/>
    </row>
    <row r="3133">
      <c r="D3133" s="21" t="n">
        <v>0</v>
      </c>
      <c r="E3133" s="21" t="n">
        <v>0</v>
      </c>
      <c r="F3133" s="21" t="n">
        <v>0</v>
      </c>
      <c r="G3133" s="21" t="n">
        <v>0</v>
      </c>
      <c r="H3133" s="21" t="n">
        <v>0</v>
      </c>
      <c r="I3133" s="21" t="n">
        <v>0</v>
      </c>
      <c r="J3133" s="21">
        <f>$B$1812</f>
        <v/>
      </c>
      <c r="K3133" s="21">
        <f>$B$1814</f>
        <v/>
      </c>
      <c r="L3133" s="21">
        <f>0</f>
        <v/>
      </c>
      <c r="M3133" s="21">
        <f>2*$B$1813</f>
        <v/>
      </c>
      <c r="N3133" s="21">
        <f>-$B$1812</f>
        <v/>
      </c>
      <c r="O3133" s="21">
        <f>$B$1814</f>
        <v/>
      </c>
      <c r="P3133" s="21" t="n">
        <v>0</v>
      </c>
      <c r="Q3133" s="21" t="n">
        <v>0</v>
      </c>
      <c r="R3133" s="21" t="n">
        <v>0</v>
      </c>
      <c r="S3133" s="21" t="n">
        <v>0</v>
      </c>
      <c r="T3133" s="21" t="n">
        <v>0</v>
      </c>
      <c r="U3133" s="21" t="n">
        <v>0</v>
      </c>
      <c r="V3133" s="21" t="n">
        <v>0</v>
      </c>
      <c r="W3133" s="21" t="n">
        <v>0</v>
      </c>
      <c r="X3133" s="21" t="n">
        <v>0</v>
      </c>
      <c r="Y3133" s="21" t="n">
        <v>0</v>
      </c>
      <c r="Z3133" s="21" t="n">
        <v>0</v>
      </c>
      <c r="AA3133" s="21" t="n">
        <v>0</v>
      </c>
      <c r="AB3133" s="21" t="n">
        <v>0</v>
      </c>
      <c r="AC3133" s="21" t="n">
        <v>0</v>
      </c>
      <c r="AD3133" s="21" t="n">
        <v>0</v>
      </c>
      <c r="AE3133" s="21" t="n">
        <v>0</v>
      </c>
      <c r="AF3133" s="21" t="n">
        <v>0</v>
      </c>
      <c r="AG3133" s="21" t="n">
        <v>0</v>
      </c>
      <c r="AH3133" s="21" t="n">
        <v>0</v>
      </c>
      <c r="AI3133" s="21" t="n">
        <v>0</v>
      </c>
      <c r="AJ3133" s="21" t="n">
        <v>0</v>
      </c>
      <c r="AK3133" s="21" t="n">
        <v>0</v>
      </c>
      <c r="AL3133" s="21" t="n">
        <v>0</v>
      </c>
      <c r="AM3133" s="21" t="n">
        <v>0</v>
      </c>
      <c r="AN3133" s="21" t="n">
        <v>0</v>
      </c>
      <c r="AO3133" s="21" t="n">
        <v>0</v>
      </c>
      <c r="AP3133" s="21" t="n">
        <v>0</v>
      </c>
      <c r="AQ3133" s="21" t="n">
        <v>0</v>
      </c>
      <c r="AR3133" s="21" t="n">
        <v>0</v>
      </c>
      <c r="AS3133" s="21" t="n">
        <v>0</v>
      </c>
      <c r="AT3133" s="19" t="n"/>
    </row>
    <row r="3134">
      <c r="D3134" s="21" t="n">
        <v>0</v>
      </c>
      <c r="E3134" s="21" t="n">
        <v>0</v>
      </c>
      <c r="F3134" s="21" t="n">
        <v>0</v>
      </c>
      <c r="G3134" s="21" t="n">
        <v>0</v>
      </c>
      <c r="H3134" s="21" t="n">
        <v>0</v>
      </c>
      <c r="I3134" s="21" t="n">
        <v>0</v>
      </c>
      <c r="J3134" s="21" t="n">
        <v>0</v>
      </c>
      <c r="K3134" s="21" t="n">
        <v>0</v>
      </c>
      <c r="L3134" s="21">
        <f>-$B$1811</f>
        <v/>
      </c>
      <c r="M3134" s="21">
        <f>-$B$1812</f>
        <v/>
      </c>
      <c r="N3134" s="21">
        <f>2*$B$1811+$D$3107</f>
        <v/>
      </c>
      <c r="O3134" s="21">
        <f>0</f>
        <v/>
      </c>
      <c r="P3134" s="21">
        <f>-$B$1811</f>
        <v/>
      </c>
      <c r="Q3134" s="21">
        <f>$B$1812</f>
        <v/>
      </c>
      <c r="R3134" s="21" t="n">
        <v>0</v>
      </c>
      <c r="S3134" s="21" t="n">
        <v>0</v>
      </c>
      <c r="T3134" s="21" t="n">
        <v>0</v>
      </c>
      <c r="U3134" s="21" t="n">
        <v>0</v>
      </c>
      <c r="V3134" s="21" t="n">
        <v>0</v>
      </c>
      <c r="W3134" s="21" t="n">
        <v>0</v>
      </c>
      <c r="X3134" s="21" t="n">
        <v>0</v>
      </c>
      <c r="Y3134" s="21" t="n">
        <v>0</v>
      </c>
      <c r="Z3134" s="21" t="n">
        <v>0</v>
      </c>
      <c r="AA3134" s="21" t="n">
        <v>0</v>
      </c>
      <c r="AB3134" s="21" t="n">
        <v>0</v>
      </c>
      <c r="AC3134" s="21" t="n">
        <v>0</v>
      </c>
      <c r="AD3134" s="21" t="n">
        <v>0</v>
      </c>
      <c r="AE3134" s="21" t="n">
        <v>0</v>
      </c>
      <c r="AF3134" s="21" t="n">
        <v>0</v>
      </c>
      <c r="AG3134" s="21" t="n">
        <v>0</v>
      </c>
      <c r="AH3134" s="21" t="n">
        <v>0</v>
      </c>
      <c r="AI3134" s="21" t="n">
        <v>0</v>
      </c>
      <c r="AJ3134" s="21" t="n">
        <v>0</v>
      </c>
      <c r="AK3134" s="21" t="n">
        <v>0</v>
      </c>
      <c r="AL3134" s="21" t="n">
        <v>0</v>
      </c>
      <c r="AM3134" s="21" t="n">
        <v>0</v>
      </c>
      <c r="AN3134" s="21" t="n">
        <v>0</v>
      </c>
      <c r="AO3134" s="21" t="n">
        <v>0</v>
      </c>
      <c r="AP3134" s="21" t="n">
        <v>0</v>
      </c>
      <c r="AQ3134" s="21" t="n">
        <v>0</v>
      </c>
      <c r="AR3134" s="21" t="n">
        <v>0</v>
      </c>
      <c r="AS3134" s="21" t="n">
        <v>0</v>
      </c>
      <c r="AT3134" s="19" t="n"/>
    </row>
    <row r="3135">
      <c r="D3135" s="21" t="n">
        <v>0</v>
      </c>
      <c r="E3135" s="21" t="n">
        <v>0</v>
      </c>
      <c r="F3135" s="21" t="n">
        <v>0</v>
      </c>
      <c r="G3135" s="21" t="n">
        <v>0</v>
      </c>
      <c r="H3135" s="21" t="n">
        <v>0</v>
      </c>
      <c r="I3135" s="21" t="n">
        <v>0</v>
      </c>
      <c r="J3135" s="21" t="n">
        <v>0</v>
      </c>
      <c r="K3135" s="21" t="n">
        <v>0</v>
      </c>
      <c r="L3135" s="21">
        <f>$B$1812</f>
        <v/>
      </c>
      <c r="M3135" s="21">
        <f>$B$1814</f>
        <v/>
      </c>
      <c r="N3135" s="21">
        <f>0</f>
        <v/>
      </c>
      <c r="O3135" s="21">
        <f>2*$B$1813</f>
        <v/>
      </c>
      <c r="P3135" s="21">
        <f>-$B$1812</f>
        <v/>
      </c>
      <c r="Q3135" s="21">
        <f>$B$1814</f>
        <v/>
      </c>
      <c r="R3135" s="21" t="n">
        <v>0</v>
      </c>
      <c r="S3135" s="21" t="n">
        <v>0</v>
      </c>
      <c r="T3135" s="21" t="n">
        <v>0</v>
      </c>
      <c r="U3135" s="21" t="n">
        <v>0</v>
      </c>
      <c r="V3135" s="21" t="n">
        <v>0</v>
      </c>
      <c r="W3135" s="21" t="n">
        <v>0</v>
      </c>
      <c r="X3135" s="21" t="n">
        <v>0</v>
      </c>
      <c r="Y3135" s="21" t="n">
        <v>0</v>
      </c>
      <c r="Z3135" s="21" t="n">
        <v>0</v>
      </c>
      <c r="AA3135" s="21" t="n">
        <v>0</v>
      </c>
      <c r="AB3135" s="21" t="n">
        <v>0</v>
      </c>
      <c r="AC3135" s="21" t="n">
        <v>0</v>
      </c>
      <c r="AD3135" s="21" t="n">
        <v>0</v>
      </c>
      <c r="AE3135" s="21" t="n">
        <v>0</v>
      </c>
      <c r="AF3135" s="21" t="n">
        <v>0</v>
      </c>
      <c r="AG3135" s="21" t="n">
        <v>0</v>
      </c>
      <c r="AH3135" s="21" t="n">
        <v>0</v>
      </c>
      <c r="AI3135" s="21" t="n">
        <v>0</v>
      </c>
      <c r="AJ3135" s="21" t="n">
        <v>0</v>
      </c>
      <c r="AK3135" s="21" t="n">
        <v>0</v>
      </c>
      <c r="AL3135" s="21" t="n">
        <v>0</v>
      </c>
      <c r="AM3135" s="21" t="n">
        <v>0</v>
      </c>
      <c r="AN3135" s="21" t="n">
        <v>0</v>
      </c>
      <c r="AO3135" s="21" t="n">
        <v>0</v>
      </c>
      <c r="AP3135" s="21" t="n">
        <v>0</v>
      </c>
      <c r="AQ3135" s="21" t="n">
        <v>0</v>
      </c>
      <c r="AR3135" s="21" t="n">
        <v>0</v>
      </c>
      <c r="AS3135" s="21" t="n">
        <v>0</v>
      </c>
      <c r="AT3135" s="19" t="n"/>
    </row>
    <row r="3136">
      <c r="D3136" s="21" t="n">
        <v>0</v>
      </c>
      <c r="E3136" s="21" t="n">
        <v>0</v>
      </c>
      <c r="F3136" s="21" t="n">
        <v>0</v>
      </c>
      <c r="G3136" s="21" t="n">
        <v>0</v>
      </c>
      <c r="H3136" s="21" t="n">
        <v>0</v>
      </c>
      <c r="I3136" s="21" t="n">
        <v>0</v>
      </c>
      <c r="J3136" s="21" t="n">
        <v>0</v>
      </c>
      <c r="K3136" s="21" t="n">
        <v>0</v>
      </c>
      <c r="L3136" s="21" t="n">
        <v>0</v>
      </c>
      <c r="M3136" s="21" t="n">
        <v>0</v>
      </c>
      <c r="N3136" s="21">
        <f>-$B$1811</f>
        <v/>
      </c>
      <c r="O3136" s="21">
        <f>-$B$1812</f>
        <v/>
      </c>
      <c r="P3136" s="21">
        <f>2*$B$1811+$D$3108</f>
        <v/>
      </c>
      <c r="Q3136" s="21">
        <f>0</f>
        <v/>
      </c>
      <c r="R3136" s="21">
        <f>-$B$1811</f>
        <v/>
      </c>
      <c r="S3136" s="21">
        <f>$B$1812</f>
        <v/>
      </c>
      <c r="T3136" s="21" t="n">
        <v>0</v>
      </c>
      <c r="U3136" s="21" t="n">
        <v>0</v>
      </c>
      <c r="V3136" s="21" t="n">
        <v>0</v>
      </c>
      <c r="W3136" s="21" t="n">
        <v>0</v>
      </c>
      <c r="X3136" s="21" t="n">
        <v>0</v>
      </c>
      <c r="Y3136" s="21" t="n">
        <v>0</v>
      </c>
      <c r="Z3136" s="21" t="n">
        <v>0</v>
      </c>
      <c r="AA3136" s="21" t="n">
        <v>0</v>
      </c>
      <c r="AB3136" s="21" t="n">
        <v>0</v>
      </c>
      <c r="AC3136" s="21" t="n">
        <v>0</v>
      </c>
      <c r="AD3136" s="21" t="n">
        <v>0</v>
      </c>
      <c r="AE3136" s="21" t="n">
        <v>0</v>
      </c>
      <c r="AF3136" s="21" t="n">
        <v>0</v>
      </c>
      <c r="AG3136" s="21" t="n">
        <v>0</v>
      </c>
      <c r="AH3136" s="21" t="n">
        <v>0</v>
      </c>
      <c r="AI3136" s="21" t="n">
        <v>0</v>
      </c>
      <c r="AJ3136" s="21" t="n">
        <v>0</v>
      </c>
      <c r="AK3136" s="21" t="n">
        <v>0</v>
      </c>
      <c r="AL3136" s="21" t="n">
        <v>0</v>
      </c>
      <c r="AM3136" s="21" t="n">
        <v>0</v>
      </c>
      <c r="AN3136" s="21" t="n">
        <v>0</v>
      </c>
      <c r="AO3136" s="21" t="n">
        <v>0</v>
      </c>
      <c r="AP3136" s="21" t="n">
        <v>0</v>
      </c>
      <c r="AQ3136" s="21" t="n">
        <v>0</v>
      </c>
      <c r="AR3136" s="21" t="n">
        <v>0</v>
      </c>
      <c r="AS3136" s="21" t="n">
        <v>0</v>
      </c>
      <c r="AT3136" s="19" t="n"/>
    </row>
    <row r="3137">
      <c r="D3137" s="21" t="n">
        <v>0</v>
      </c>
      <c r="E3137" s="21" t="n">
        <v>0</v>
      </c>
      <c r="F3137" s="21" t="n">
        <v>0</v>
      </c>
      <c r="G3137" s="21" t="n">
        <v>0</v>
      </c>
      <c r="H3137" s="21" t="n">
        <v>0</v>
      </c>
      <c r="I3137" s="21" t="n">
        <v>0</v>
      </c>
      <c r="J3137" s="21" t="n">
        <v>0</v>
      </c>
      <c r="K3137" s="21" t="n">
        <v>0</v>
      </c>
      <c r="L3137" s="21" t="n">
        <v>0</v>
      </c>
      <c r="M3137" s="21" t="n">
        <v>0</v>
      </c>
      <c r="N3137" s="21">
        <f>$B$1812</f>
        <v/>
      </c>
      <c r="O3137" s="21">
        <f>$B$1814</f>
        <v/>
      </c>
      <c r="P3137" s="21">
        <f>0</f>
        <v/>
      </c>
      <c r="Q3137" s="21">
        <f>2*$B$1813</f>
        <v/>
      </c>
      <c r="R3137" s="21">
        <f>-$B$1812</f>
        <v/>
      </c>
      <c r="S3137" s="21">
        <f>$B$1814</f>
        <v/>
      </c>
      <c r="T3137" s="21" t="n">
        <v>0</v>
      </c>
      <c r="U3137" s="21" t="n">
        <v>0</v>
      </c>
      <c r="V3137" s="21" t="n">
        <v>0</v>
      </c>
      <c r="W3137" s="21" t="n">
        <v>0</v>
      </c>
      <c r="X3137" s="21" t="n">
        <v>0</v>
      </c>
      <c r="Y3137" s="21" t="n">
        <v>0</v>
      </c>
      <c r="Z3137" s="21" t="n">
        <v>0</v>
      </c>
      <c r="AA3137" s="21" t="n">
        <v>0</v>
      </c>
      <c r="AB3137" s="21" t="n">
        <v>0</v>
      </c>
      <c r="AC3137" s="21" t="n">
        <v>0</v>
      </c>
      <c r="AD3137" s="21" t="n">
        <v>0</v>
      </c>
      <c r="AE3137" s="21" t="n">
        <v>0</v>
      </c>
      <c r="AF3137" s="21" t="n">
        <v>0</v>
      </c>
      <c r="AG3137" s="21" t="n">
        <v>0</v>
      </c>
      <c r="AH3137" s="21" t="n">
        <v>0</v>
      </c>
      <c r="AI3137" s="21" t="n">
        <v>0</v>
      </c>
      <c r="AJ3137" s="21" t="n">
        <v>0</v>
      </c>
      <c r="AK3137" s="21" t="n">
        <v>0</v>
      </c>
      <c r="AL3137" s="21" t="n">
        <v>0</v>
      </c>
      <c r="AM3137" s="21" t="n">
        <v>0</v>
      </c>
      <c r="AN3137" s="21" t="n">
        <v>0</v>
      </c>
      <c r="AO3137" s="21" t="n">
        <v>0</v>
      </c>
      <c r="AP3137" s="21" t="n">
        <v>0</v>
      </c>
      <c r="AQ3137" s="21" t="n">
        <v>0</v>
      </c>
      <c r="AR3137" s="21" t="n">
        <v>0</v>
      </c>
      <c r="AS3137" s="21" t="n">
        <v>0</v>
      </c>
      <c r="AT3137" s="19" t="n"/>
    </row>
    <row r="3138">
      <c r="D3138" s="21" t="n">
        <v>0</v>
      </c>
      <c r="E3138" s="21" t="n">
        <v>0</v>
      </c>
      <c r="F3138" s="21" t="n">
        <v>0</v>
      </c>
      <c r="G3138" s="21" t="n">
        <v>0</v>
      </c>
      <c r="H3138" s="21" t="n">
        <v>0</v>
      </c>
      <c r="I3138" s="21" t="n">
        <v>0</v>
      </c>
      <c r="J3138" s="21" t="n">
        <v>0</v>
      </c>
      <c r="K3138" s="21" t="n">
        <v>0</v>
      </c>
      <c r="L3138" s="21" t="n">
        <v>0</v>
      </c>
      <c r="M3138" s="21" t="n">
        <v>0</v>
      </c>
      <c r="N3138" s="21" t="n">
        <v>0</v>
      </c>
      <c r="O3138" s="21" t="n">
        <v>0</v>
      </c>
      <c r="P3138" s="21">
        <f>-$B$1811</f>
        <v/>
      </c>
      <c r="Q3138" s="21">
        <f>-$B$1812</f>
        <v/>
      </c>
      <c r="R3138" s="21">
        <f>2*$B$1811+$D$3109</f>
        <v/>
      </c>
      <c r="S3138" s="21">
        <f>0</f>
        <v/>
      </c>
      <c r="T3138" s="21">
        <f>-$B$1811</f>
        <v/>
      </c>
      <c r="U3138" s="21">
        <f>$B$1812</f>
        <v/>
      </c>
      <c r="V3138" s="21" t="n">
        <v>0</v>
      </c>
      <c r="W3138" s="21" t="n">
        <v>0</v>
      </c>
      <c r="X3138" s="21" t="n">
        <v>0</v>
      </c>
      <c r="Y3138" s="21" t="n">
        <v>0</v>
      </c>
      <c r="Z3138" s="21" t="n">
        <v>0</v>
      </c>
      <c r="AA3138" s="21" t="n">
        <v>0</v>
      </c>
      <c r="AB3138" s="21" t="n">
        <v>0</v>
      </c>
      <c r="AC3138" s="21" t="n">
        <v>0</v>
      </c>
      <c r="AD3138" s="21" t="n">
        <v>0</v>
      </c>
      <c r="AE3138" s="21" t="n">
        <v>0</v>
      </c>
      <c r="AF3138" s="21" t="n">
        <v>0</v>
      </c>
      <c r="AG3138" s="21" t="n">
        <v>0</v>
      </c>
      <c r="AH3138" s="21" t="n">
        <v>0</v>
      </c>
      <c r="AI3138" s="21" t="n">
        <v>0</v>
      </c>
      <c r="AJ3138" s="21" t="n">
        <v>0</v>
      </c>
      <c r="AK3138" s="21" t="n">
        <v>0</v>
      </c>
      <c r="AL3138" s="21" t="n">
        <v>0</v>
      </c>
      <c r="AM3138" s="21" t="n">
        <v>0</v>
      </c>
      <c r="AN3138" s="21" t="n">
        <v>0</v>
      </c>
      <c r="AO3138" s="21" t="n">
        <v>0</v>
      </c>
      <c r="AP3138" s="21" t="n">
        <v>0</v>
      </c>
      <c r="AQ3138" s="21" t="n">
        <v>0</v>
      </c>
      <c r="AR3138" s="21" t="n">
        <v>0</v>
      </c>
      <c r="AS3138" s="21" t="n">
        <v>0</v>
      </c>
      <c r="AT3138" s="19" t="n"/>
    </row>
    <row r="3139">
      <c r="D3139" s="21" t="n">
        <v>0</v>
      </c>
      <c r="E3139" s="21" t="n">
        <v>0</v>
      </c>
      <c r="F3139" s="21" t="n">
        <v>0</v>
      </c>
      <c r="G3139" s="21" t="n">
        <v>0</v>
      </c>
      <c r="H3139" s="21" t="n">
        <v>0</v>
      </c>
      <c r="I3139" s="21" t="n">
        <v>0</v>
      </c>
      <c r="J3139" s="21" t="n">
        <v>0</v>
      </c>
      <c r="K3139" s="21" t="n">
        <v>0</v>
      </c>
      <c r="L3139" s="21" t="n">
        <v>0</v>
      </c>
      <c r="M3139" s="21" t="n">
        <v>0</v>
      </c>
      <c r="N3139" s="21" t="n">
        <v>0</v>
      </c>
      <c r="O3139" s="21" t="n">
        <v>0</v>
      </c>
      <c r="P3139" s="21">
        <f>$B$1812</f>
        <v/>
      </c>
      <c r="Q3139" s="21">
        <f>$B$1814</f>
        <v/>
      </c>
      <c r="R3139" s="21">
        <f>0</f>
        <v/>
      </c>
      <c r="S3139" s="21">
        <f>2*$B$1813</f>
        <v/>
      </c>
      <c r="T3139" s="21">
        <f>-$B$1812</f>
        <v/>
      </c>
      <c r="U3139" s="21">
        <f>$B$1814</f>
        <v/>
      </c>
      <c r="V3139" s="21" t="n">
        <v>0</v>
      </c>
      <c r="W3139" s="21" t="n">
        <v>0</v>
      </c>
      <c r="X3139" s="21" t="n">
        <v>0</v>
      </c>
      <c r="Y3139" s="21" t="n">
        <v>0</v>
      </c>
      <c r="Z3139" s="21" t="n">
        <v>0</v>
      </c>
      <c r="AA3139" s="21" t="n">
        <v>0</v>
      </c>
      <c r="AB3139" s="21" t="n">
        <v>0</v>
      </c>
      <c r="AC3139" s="21" t="n">
        <v>0</v>
      </c>
      <c r="AD3139" s="21" t="n">
        <v>0</v>
      </c>
      <c r="AE3139" s="21" t="n">
        <v>0</v>
      </c>
      <c r="AF3139" s="21" t="n">
        <v>0</v>
      </c>
      <c r="AG3139" s="21" t="n">
        <v>0</v>
      </c>
      <c r="AH3139" s="21" t="n">
        <v>0</v>
      </c>
      <c r="AI3139" s="21" t="n">
        <v>0</v>
      </c>
      <c r="AJ3139" s="21" t="n">
        <v>0</v>
      </c>
      <c r="AK3139" s="21" t="n">
        <v>0</v>
      </c>
      <c r="AL3139" s="21" t="n">
        <v>0</v>
      </c>
      <c r="AM3139" s="21" t="n">
        <v>0</v>
      </c>
      <c r="AN3139" s="21" t="n">
        <v>0</v>
      </c>
      <c r="AO3139" s="21" t="n">
        <v>0</v>
      </c>
      <c r="AP3139" s="21" t="n">
        <v>0</v>
      </c>
      <c r="AQ3139" s="21" t="n">
        <v>0</v>
      </c>
      <c r="AR3139" s="21" t="n">
        <v>0</v>
      </c>
      <c r="AS3139" s="21" t="n">
        <v>0</v>
      </c>
      <c r="AT3139" s="19" t="n"/>
    </row>
    <row r="3140">
      <c r="D3140" s="21" t="n">
        <v>0</v>
      </c>
      <c r="E3140" s="21" t="n">
        <v>0</v>
      </c>
      <c r="F3140" s="21" t="n">
        <v>0</v>
      </c>
      <c r="G3140" s="21" t="n">
        <v>0</v>
      </c>
      <c r="H3140" s="21" t="n">
        <v>0</v>
      </c>
      <c r="I3140" s="21" t="n">
        <v>0</v>
      </c>
      <c r="J3140" s="21" t="n">
        <v>0</v>
      </c>
      <c r="K3140" s="21" t="n">
        <v>0</v>
      </c>
      <c r="L3140" s="21" t="n">
        <v>0</v>
      </c>
      <c r="M3140" s="21" t="n">
        <v>0</v>
      </c>
      <c r="N3140" s="21" t="n">
        <v>0</v>
      </c>
      <c r="O3140" s="21" t="n">
        <v>0</v>
      </c>
      <c r="P3140" s="21" t="n">
        <v>0</v>
      </c>
      <c r="Q3140" s="21" t="n">
        <v>0</v>
      </c>
      <c r="R3140" s="21">
        <f>-$B$1811</f>
        <v/>
      </c>
      <c r="S3140" s="21">
        <f>-$B$1812</f>
        <v/>
      </c>
      <c r="T3140" s="21">
        <f>2*$B$1811+$D$3110</f>
        <v/>
      </c>
      <c r="U3140" s="21">
        <f>0</f>
        <v/>
      </c>
      <c r="V3140" s="21">
        <f>-$B$1811</f>
        <v/>
      </c>
      <c r="W3140" s="21">
        <f>$B$1812</f>
        <v/>
      </c>
      <c r="X3140" s="21" t="n">
        <v>0</v>
      </c>
      <c r="Y3140" s="21" t="n">
        <v>0</v>
      </c>
      <c r="Z3140" s="21" t="n">
        <v>0</v>
      </c>
      <c r="AA3140" s="21" t="n">
        <v>0</v>
      </c>
      <c r="AB3140" s="21" t="n">
        <v>0</v>
      </c>
      <c r="AC3140" s="21" t="n">
        <v>0</v>
      </c>
      <c r="AD3140" s="21" t="n">
        <v>0</v>
      </c>
      <c r="AE3140" s="21" t="n">
        <v>0</v>
      </c>
      <c r="AF3140" s="21" t="n">
        <v>0</v>
      </c>
      <c r="AG3140" s="21" t="n">
        <v>0</v>
      </c>
      <c r="AH3140" s="21" t="n">
        <v>0</v>
      </c>
      <c r="AI3140" s="21" t="n">
        <v>0</v>
      </c>
      <c r="AJ3140" s="21" t="n">
        <v>0</v>
      </c>
      <c r="AK3140" s="21" t="n">
        <v>0</v>
      </c>
      <c r="AL3140" s="21" t="n">
        <v>0</v>
      </c>
      <c r="AM3140" s="21" t="n">
        <v>0</v>
      </c>
      <c r="AN3140" s="21" t="n">
        <v>0</v>
      </c>
      <c r="AO3140" s="21" t="n">
        <v>0</v>
      </c>
      <c r="AP3140" s="21" t="n">
        <v>0</v>
      </c>
      <c r="AQ3140" s="21" t="n">
        <v>0</v>
      </c>
      <c r="AR3140" s="21" t="n">
        <v>0</v>
      </c>
      <c r="AS3140" s="21" t="n">
        <v>0</v>
      </c>
      <c r="AT3140" s="19" t="n"/>
    </row>
    <row r="3141">
      <c r="D3141" s="21" t="n">
        <v>0</v>
      </c>
      <c r="E3141" s="21" t="n">
        <v>0</v>
      </c>
      <c r="F3141" s="21" t="n">
        <v>0</v>
      </c>
      <c r="G3141" s="21" t="n">
        <v>0</v>
      </c>
      <c r="H3141" s="21" t="n">
        <v>0</v>
      </c>
      <c r="I3141" s="21" t="n">
        <v>0</v>
      </c>
      <c r="J3141" s="21" t="n">
        <v>0</v>
      </c>
      <c r="K3141" s="21" t="n">
        <v>0</v>
      </c>
      <c r="L3141" s="21" t="n">
        <v>0</v>
      </c>
      <c r="M3141" s="21" t="n">
        <v>0</v>
      </c>
      <c r="N3141" s="21" t="n">
        <v>0</v>
      </c>
      <c r="O3141" s="21" t="n">
        <v>0</v>
      </c>
      <c r="P3141" s="21" t="n">
        <v>0</v>
      </c>
      <c r="Q3141" s="21" t="n">
        <v>0</v>
      </c>
      <c r="R3141" s="21">
        <f>$B$1812</f>
        <v/>
      </c>
      <c r="S3141" s="21">
        <f>$B$1814</f>
        <v/>
      </c>
      <c r="T3141" s="21">
        <f>0</f>
        <v/>
      </c>
      <c r="U3141" s="21">
        <f>2*$B$1813</f>
        <v/>
      </c>
      <c r="V3141" s="21">
        <f>-$B$1812</f>
        <v/>
      </c>
      <c r="W3141" s="21">
        <f>$B$1814</f>
        <v/>
      </c>
      <c r="X3141" s="21" t="n">
        <v>0</v>
      </c>
      <c r="Y3141" s="21" t="n">
        <v>0</v>
      </c>
      <c r="Z3141" s="21" t="n">
        <v>0</v>
      </c>
      <c r="AA3141" s="21" t="n">
        <v>0</v>
      </c>
      <c r="AB3141" s="21" t="n">
        <v>0</v>
      </c>
      <c r="AC3141" s="21" t="n">
        <v>0</v>
      </c>
      <c r="AD3141" s="21" t="n">
        <v>0</v>
      </c>
      <c r="AE3141" s="21" t="n">
        <v>0</v>
      </c>
      <c r="AF3141" s="21" t="n">
        <v>0</v>
      </c>
      <c r="AG3141" s="21" t="n">
        <v>0</v>
      </c>
      <c r="AH3141" s="21" t="n">
        <v>0</v>
      </c>
      <c r="AI3141" s="21" t="n">
        <v>0</v>
      </c>
      <c r="AJ3141" s="21" t="n">
        <v>0</v>
      </c>
      <c r="AK3141" s="21" t="n">
        <v>0</v>
      </c>
      <c r="AL3141" s="21" t="n">
        <v>0</v>
      </c>
      <c r="AM3141" s="21" t="n">
        <v>0</v>
      </c>
      <c r="AN3141" s="21" t="n">
        <v>0</v>
      </c>
      <c r="AO3141" s="21" t="n">
        <v>0</v>
      </c>
      <c r="AP3141" s="21" t="n">
        <v>0</v>
      </c>
      <c r="AQ3141" s="21" t="n">
        <v>0</v>
      </c>
      <c r="AR3141" s="21" t="n">
        <v>0</v>
      </c>
      <c r="AS3141" s="21" t="n">
        <v>0</v>
      </c>
      <c r="AT3141" s="19" t="n"/>
    </row>
    <row r="3142">
      <c r="D3142" s="21" t="n">
        <v>0</v>
      </c>
      <c r="E3142" s="21" t="n">
        <v>0</v>
      </c>
      <c r="F3142" s="21" t="n">
        <v>0</v>
      </c>
      <c r="G3142" s="21" t="n">
        <v>0</v>
      </c>
      <c r="H3142" s="21" t="n">
        <v>0</v>
      </c>
      <c r="I3142" s="21" t="n">
        <v>0</v>
      </c>
      <c r="J3142" s="21" t="n">
        <v>0</v>
      </c>
      <c r="K3142" s="21" t="n">
        <v>0</v>
      </c>
      <c r="L3142" s="21" t="n">
        <v>0</v>
      </c>
      <c r="M3142" s="21" t="n">
        <v>0</v>
      </c>
      <c r="N3142" s="21" t="n">
        <v>0</v>
      </c>
      <c r="O3142" s="21" t="n">
        <v>0</v>
      </c>
      <c r="P3142" s="21" t="n">
        <v>0</v>
      </c>
      <c r="Q3142" s="21" t="n">
        <v>0</v>
      </c>
      <c r="R3142" s="21" t="n">
        <v>0</v>
      </c>
      <c r="S3142" s="21" t="n">
        <v>0</v>
      </c>
      <c r="T3142" s="21">
        <f>-$B$1811</f>
        <v/>
      </c>
      <c r="U3142" s="21">
        <f>-$B$1812</f>
        <v/>
      </c>
      <c r="V3142" s="21">
        <f>2*$B$1811+$D$3111</f>
        <v/>
      </c>
      <c r="W3142" s="21">
        <f>0</f>
        <v/>
      </c>
      <c r="X3142" s="21">
        <f>-$B$1811</f>
        <v/>
      </c>
      <c r="Y3142" s="21">
        <f>$B$1812</f>
        <v/>
      </c>
      <c r="Z3142" s="21" t="n">
        <v>0</v>
      </c>
      <c r="AA3142" s="21" t="n">
        <v>0</v>
      </c>
      <c r="AB3142" s="21" t="n">
        <v>0</v>
      </c>
      <c r="AC3142" s="21" t="n">
        <v>0</v>
      </c>
      <c r="AD3142" s="21" t="n">
        <v>0</v>
      </c>
      <c r="AE3142" s="21" t="n">
        <v>0</v>
      </c>
      <c r="AF3142" s="21" t="n">
        <v>0</v>
      </c>
      <c r="AG3142" s="21" t="n">
        <v>0</v>
      </c>
      <c r="AH3142" s="21" t="n">
        <v>0</v>
      </c>
      <c r="AI3142" s="21" t="n">
        <v>0</v>
      </c>
      <c r="AJ3142" s="21" t="n">
        <v>0</v>
      </c>
      <c r="AK3142" s="21" t="n">
        <v>0</v>
      </c>
      <c r="AL3142" s="21" t="n">
        <v>0</v>
      </c>
      <c r="AM3142" s="21" t="n">
        <v>0</v>
      </c>
      <c r="AN3142" s="21" t="n">
        <v>0</v>
      </c>
      <c r="AO3142" s="21" t="n">
        <v>0</v>
      </c>
      <c r="AP3142" s="21" t="n">
        <v>0</v>
      </c>
      <c r="AQ3142" s="21" t="n">
        <v>0</v>
      </c>
      <c r="AR3142" s="21" t="n">
        <v>0</v>
      </c>
      <c r="AS3142" s="21" t="n">
        <v>0</v>
      </c>
      <c r="AT3142" s="19" t="n"/>
    </row>
    <row r="3143">
      <c r="D3143" s="21" t="n">
        <v>0</v>
      </c>
      <c r="E3143" s="21" t="n">
        <v>0</v>
      </c>
      <c r="F3143" s="21" t="n">
        <v>0</v>
      </c>
      <c r="G3143" s="21" t="n">
        <v>0</v>
      </c>
      <c r="H3143" s="21" t="n">
        <v>0</v>
      </c>
      <c r="I3143" s="21" t="n">
        <v>0</v>
      </c>
      <c r="J3143" s="21" t="n">
        <v>0</v>
      </c>
      <c r="K3143" s="21" t="n">
        <v>0</v>
      </c>
      <c r="L3143" s="21" t="n">
        <v>0</v>
      </c>
      <c r="M3143" s="21" t="n">
        <v>0</v>
      </c>
      <c r="N3143" s="21" t="n">
        <v>0</v>
      </c>
      <c r="O3143" s="21" t="n">
        <v>0</v>
      </c>
      <c r="P3143" s="21" t="n">
        <v>0</v>
      </c>
      <c r="Q3143" s="21" t="n">
        <v>0</v>
      </c>
      <c r="R3143" s="21" t="n">
        <v>0</v>
      </c>
      <c r="S3143" s="21" t="n">
        <v>0</v>
      </c>
      <c r="T3143" s="21">
        <f>$B$1812</f>
        <v/>
      </c>
      <c r="U3143" s="21">
        <f>$B$1814</f>
        <v/>
      </c>
      <c r="V3143" s="21">
        <f>0</f>
        <v/>
      </c>
      <c r="W3143" s="21">
        <f>2*$B$1813</f>
        <v/>
      </c>
      <c r="X3143" s="21">
        <f>-$B$1812</f>
        <v/>
      </c>
      <c r="Y3143" s="21">
        <f>$B$1814</f>
        <v/>
      </c>
      <c r="Z3143" s="21" t="n">
        <v>0</v>
      </c>
      <c r="AA3143" s="21" t="n">
        <v>0</v>
      </c>
      <c r="AB3143" s="21" t="n">
        <v>0</v>
      </c>
      <c r="AC3143" s="21" t="n">
        <v>0</v>
      </c>
      <c r="AD3143" s="21" t="n">
        <v>0</v>
      </c>
      <c r="AE3143" s="21" t="n">
        <v>0</v>
      </c>
      <c r="AF3143" s="21" t="n">
        <v>0</v>
      </c>
      <c r="AG3143" s="21" t="n">
        <v>0</v>
      </c>
      <c r="AH3143" s="21" t="n">
        <v>0</v>
      </c>
      <c r="AI3143" s="21" t="n">
        <v>0</v>
      </c>
      <c r="AJ3143" s="21" t="n">
        <v>0</v>
      </c>
      <c r="AK3143" s="21" t="n">
        <v>0</v>
      </c>
      <c r="AL3143" s="21" t="n">
        <v>0</v>
      </c>
      <c r="AM3143" s="21" t="n">
        <v>0</v>
      </c>
      <c r="AN3143" s="21" t="n">
        <v>0</v>
      </c>
      <c r="AO3143" s="21" t="n">
        <v>0</v>
      </c>
      <c r="AP3143" s="21" t="n">
        <v>0</v>
      </c>
      <c r="AQ3143" s="21" t="n">
        <v>0</v>
      </c>
      <c r="AR3143" s="21" t="n">
        <v>0</v>
      </c>
      <c r="AS3143" s="21" t="n">
        <v>0</v>
      </c>
      <c r="AT3143" s="19" t="n"/>
    </row>
    <row r="3144">
      <c r="D3144" s="21" t="n">
        <v>0</v>
      </c>
      <c r="E3144" s="21" t="n">
        <v>0</v>
      </c>
      <c r="F3144" s="21" t="n">
        <v>0</v>
      </c>
      <c r="G3144" s="21" t="n">
        <v>0</v>
      </c>
      <c r="H3144" s="21" t="n">
        <v>0</v>
      </c>
      <c r="I3144" s="21" t="n">
        <v>0</v>
      </c>
      <c r="J3144" s="21" t="n">
        <v>0</v>
      </c>
      <c r="K3144" s="21" t="n">
        <v>0</v>
      </c>
      <c r="L3144" s="21" t="n">
        <v>0</v>
      </c>
      <c r="M3144" s="21" t="n">
        <v>0</v>
      </c>
      <c r="N3144" s="21" t="n">
        <v>0</v>
      </c>
      <c r="O3144" s="21" t="n">
        <v>0</v>
      </c>
      <c r="P3144" s="21" t="n">
        <v>0</v>
      </c>
      <c r="Q3144" s="21" t="n">
        <v>0</v>
      </c>
      <c r="R3144" s="21" t="n">
        <v>0</v>
      </c>
      <c r="S3144" s="21" t="n">
        <v>0</v>
      </c>
      <c r="T3144" s="21" t="n">
        <v>0</v>
      </c>
      <c r="U3144" s="21" t="n">
        <v>0</v>
      </c>
      <c r="V3144" s="21">
        <f>-$B$1811</f>
        <v/>
      </c>
      <c r="W3144" s="21">
        <f>-$B$1812</f>
        <v/>
      </c>
      <c r="X3144" s="21">
        <f>2*$B$1811+$D$3112</f>
        <v/>
      </c>
      <c r="Y3144" s="21">
        <f>0</f>
        <v/>
      </c>
      <c r="Z3144" s="21">
        <f>-$B$1811</f>
        <v/>
      </c>
      <c r="AA3144" s="21">
        <f>$B$1812</f>
        <v/>
      </c>
      <c r="AB3144" s="21" t="n">
        <v>0</v>
      </c>
      <c r="AC3144" s="21" t="n">
        <v>0</v>
      </c>
      <c r="AD3144" s="21" t="n">
        <v>0</v>
      </c>
      <c r="AE3144" s="21" t="n">
        <v>0</v>
      </c>
      <c r="AF3144" s="21" t="n">
        <v>0</v>
      </c>
      <c r="AG3144" s="21" t="n">
        <v>0</v>
      </c>
      <c r="AH3144" s="21" t="n">
        <v>0</v>
      </c>
      <c r="AI3144" s="21" t="n">
        <v>0</v>
      </c>
      <c r="AJ3144" s="21" t="n">
        <v>0</v>
      </c>
      <c r="AK3144" s="21" t="n">
        <v>0</v>
      </c>
      <c r="AL3144" s="21" t="n">
        <v>0</v>
      </c>
      <c r="AM3144" s="21" t="n">
        <v>0</v>
      </c>
      <c r="AN3144" s="21" t="n">
        <v>0</v>
      </c>
      <c r="AO3144" s="21" t="n">
        <v>0</v>
      </c>
      <c r="AP3144" s="21" t="n">
        <v>0</v>
      </c>
      <c r="AQ3144" s="21" t="n">
        <v>0</v>
      </c>
      <c r="AR3144" s="21" t="n">
        <v>0</v>
      </c>
      <c r="AS3144" s="21" t="n">
        <v>0</v>
      </c>
      <c r="AT3144" s="19" t="n"/>
    </row>
    <row r="3145">
      <c r="D3145" s="21" t="n">
        <v>0</v>
      </c>
      <c r="E3145" s="21" t="n">
        <v>0</v>
      </c>
      <c r="F3145" s="21" t="n">
        <v>0</v>
      </c>
      <c r="G3145" s="21" t="n">
        <v>0</v>
      </c>
      <c r="H3145" s="21" t="n">
        <v>0</v>
      </c>
      <c r="I3145" s="21" t="n">
        <v>0</v>
      </c>
      <c r="J3145" s="21" t="n">
        <v>0</v>
      </c>
      <c r="K3145" s="21" t="n">
        <v>0</v>
      </c>
      <c r="L3145" s="21" t="n">
        <v>0</v>
      </c>
      <c r="M3145" s="21" t="n">
        <v>0</v>
      </c>
      <c r="N3145" s="21" t="n">
        <v>0</v>
      </c>
      <c r="O3145" s="21" t="n">
        <v>0</v>
      </c>
      <c r="P3145" s="21" t="n">
        <v>0</v>
      </c>
      <c r="Q3145" s="21" t="n">
        <v>0</v>
      </c>
      <c r="R3145" s="21" t="n">
        <v>0</v>
      </c>
      <c r="S3145" s="21" t="n">
        <v>0</v>
      </c>
      <c r="T3145" s="21" t="n">
        <v>0</v>
      </c>
      <c r="U3145" s="21" t="n">
        <v>0</v>
      </c>
      <c r="V3145" s="21">
        <f>$B$1812</f>
        <v/>
      </c>
      <c r="W3145" s="21">
        <f>$B$1814</f>
        <v/>
      </c>
      <c r="X3145" s="21">
        <f>0</f>
        <v/>
      </c>
      <c r="Y3145" s="21">
        <f>2*$B$1813</f>
        <v/>
      </c>
      <c r="Z3145" s="21">
        <f>-$B$1812</f>
        <v/>
      </c>
      <c r="AA3145" s="21">
        <f>$B$1814</f>
        <v/>
      </c>
      <c r="AB3145" s="21" t="n">
        <v>0</v>
      </c>
      <c r="AC3145" s="21" t="n">
        <v>0</v>
      </c>
      <c r="AD3145" s="21" t="n">
        <v>0</v>
      </c>
      <c r="AE3145" s="21" t="n">
        <v>0</v>
      </c>
      <c r="AF3145" s="21" t="n">
        <v>0</v>
      </c>
      <c r="AG3145" s="21" t="n">
        <v>0</v>
      </c>
      <c r="AH3145" s="21" t="n">
        <v>0</v>
      </c>
      <c r="AI3145" s="21" t="n">
        <v>0</v>
      </c>
      <c r="AJ3145" s="21" t="n">
        <v>0</v>
      </c>
      <c r="AK3145" s="21" t="n">
        <v>0</v>
      </c>
      <c r="AL3145" s="21" t="n">
        <v>0</v>
      </c>
      <c r="AM3145" s="21" t="n">
        <v>0</v>
      </c>
      <c r="AN3145" s="21" t="n">
        <v>0</v>
      </c>
      <c r="AO3145" s="21" t="n">
        <v>0</v>
      </c>
      <c r="AP3145" s="21" t="n">
        <v>0</v>
      </c>
      <c r="AQ3145" s="21" t="n">
        <v>0</v>
      </c>
      <c r="AR3145" s="21" t="n">
        <v>0</v>
      </c>
      <c r="AS3145" s="21" t="n">
        <v>0</v>
      </c>
      <c r="AT3145" s="19" t="n"/>
    </row>
    <row r="3146">
      <c r="D3146" s="21" t="n">
        <v>0</v>
      </c>
      <c r="E3146" s="21" t="n">
        <v>0</v>
      </c>
      <c r="F3146" s="21" t="n">
        <v>0</v>
      </c>
      <c r="G3146" s="21" t="n">
        <v>0</v>
      </c>
      <c r="H3146" s="21" t="n">
        <v>0</v>
      </c>
      <c r="I3146" s="21" t="n">
        <v>0</v>
      </c>
      <c r="J3146" s="21" t="n">
        <v>0</v>
      </c>
      <c r="K3146" s="21" t="n">
        <v>0</v>
      </c>
      <c r="L3146" s="21" t="n">
        <v>0</v>
      </c>
      <c r="M3146" s="21" t="n">
        <v>0</v>
      </c>
      <c r="N3146" s="21" t="n">
        <v>0</v>
      </c>
      <c r="O3146" s="21" t="n">
        <v>0</v>
      </c>
      <c r="P3146" s="21" t="n">
        <v>0</v>
      </c>
      <c r="Q3146" s="21" t="n">
        <v>0</v>
      </c>
      <c r="R3146" s="21" t="n">
        <v>0</v>
      </c>
      <c r="S3146" s="21" t="n">
        <v>0</v>
      </c>
      <c r="T3146" s="21" t="n">
        <v>0</v>
      </c>
      <c r="U3146" s="21" t="n">
        <v>0</v>
      </c>
      <c r="V3146" s="21" t="n">
        <v>0</v>
      </c>
      <c r="W3146" s="21" t="n">
        <v>0</v>
      </c>
      <c r="X3146" s="21">
        <f>-$B$1811</f>
        <v/>
      </c>
      <c r="Y3146" s="21">
        <f>-$B$1812</f>
        <v/>
      </c>
      <c r="Z3146" s="21">
        <f>2*$B$1811+$D$3113</f>
        <v/>
      </c>
      <c r="AA3146" s="21">
        <f>0</f>
        <v/>
      </c>
      <c r="AB3146" s="21">
        <f>-$B$1811</f>
        <v/>
      </c>
      <c r="AC3146" s="21">
        <f>$B$1812</f>
        <v/>
      </c>
      <c r="AD3146" s="21" t="n">
        <v>0</v>
      </c>
      <c r="AE3146" s="21" t="n">
        <v>0</v>
      </c>
      <c r="AF3146" s="21" t="n">
        <v>0</v>
      </c>
      <c r="AG3146" s="21" t="n">
        <v>0</v>
      </c>
      <c r="AH3146" s="21" t="n">
        <v>0</v>
      </c>
      <c r="AI3146" s="21" t="n">
        <v>0</v>
      </c>
      <c r="AJ3146" s="21" t="n">
        <v>0</v>
      </c>
      <c r="AK3146" s="21" t="n">
        <v>0</v>
      </c>
      <c r="AL3146" s="21" t="n">
        <v>0</v>
      </c>
      <c r="AM3146" s="21" t="n">
        <v>0</v>
      </c>
      <c r="AN3146" s="21" t="n">
        <v>0</v>
      </c>
      <c r="AO3146" s="21" t="n">
        <v>0</v>
      </c>
      <c r="AP3146" s="21" t="n">
        <v>0</v>
      </c>
      <c r="AQ3146" s="21" t="n">
        <v>0</v>
      </c>
      <c r="AR3146" s="21" t="n">
        <v>0</v>
      </c>
      <c r="AS3146" s="21" t="n">
        <v>0</v>
      </c>
      <c r="AT3146" s="19" t="n"/>
    </row>
    <row r="3147">
      <c r="D3147" s="21" t="n">
        <v>0</v>
      </c>
      <c r="E3147" s="21" t="n">
        <v>0</v>
      </c>
      <c r="F3147" s="21" t="n">
        <v>0</v>
      </c>
      <c r="G3147" s="21" t="n">
        <v>0</v>
      </c>
      <c r="H3147" s="21" t="n">
        <v>0</v>
      </c>
      <c r="I3147" s="21" t="n">
        <v>0</v>
      </c>
      <c r="J3147" s="21" t="n">
        <v>0</v>
      </c>
      <c r="K3147" s="21" t="n">
        <v>0</v>
      </c>
      <c r="L3147" s="21" t="n">
        <v>0</v>
      </c>
      <c r="M3147" s="21" t="n">
        <v>0</v>
      </c>
      <c r="N3147" s="21" t="n">
        <v>0</v>
      </c>
      <c r="O3147" s="21" t="n">
        <v>0</v>
      </c>
      <c r="P3147" s="21" t="n">
        <v>0</v>
      </c>
      <c r="Q3147" s="21" t="n">
        <v>0</v>
      </c>
      <c r="R3147" s="21" t="n">
        <v>0</v>
      </c>
      <c r="S3147" s="21" t="n">
        <v>0</v>
      </c>
      <c r="T3147" s="21" t="n">
        <v>0</v>
      </c>
      <c r="U3147" s="21" t="n">
        <v>0</v>
      </c>
      <c r="V3147" s="21" t="n">
        <v>0</v>
      </c>
      <c r="W3147" s="21" t="n">
        <v>0</v>
      </c>
      <c r="X3147" s="21">
        <f>$B$1812</f>
        <v/>
      </c>
      <c r="Y3147" s="21">
        <f>$B$1814</f>
        <v/>
      </c>
      <c r="Z3147" s="21">
        <f>0</f>
        <v/>
      </c>
      <c r="AA3147" s="21">
        <f>2*$B$1813</f>
        <v/>
      </c>
      <c r="AB3147" s="21">
        <f>-$B$1812</f>
        <v/>
      </c>
      <c r="AC3147" s="21">
        <f>$B$1814</f>
        <v/>
      </c>
      <c r="AD3147" s="21" t="n">
        <v>0</v>
      </c>
      <c r="AE3147" s="21" t="n">
        <v>0</v>
      </c>
      <c r="AF3147" s="21" t="n">
        <v>0</v>
      </c>
      <c r="AG3147" s="21" t="n">
        <v>0</v>
      </c>
      <c r="AH3147" s="21" t="n">
        <v>0</v>
      </c>
      <c r="AI3147" s="21" t="n">
        <v>0</v>
      </c>
      <c r="AJ3147" s="21" t="n">
        <v>0</v>
      </c>
      <c r="AK3147" s="21" t="n">
        <v>0</v>
      </c>
      <c r="AL3147" s="21" t="n">
        <v>0</v>
      </c>
      <c r="AM3147" s="21" t="n">
        <v>0</v>
      </c>
      <c r="AN3147" s="21" t="n">
        <v>0</v>
      </c>
      <c r="AO3147" s="21" t="n">
        <v>0</v>
      </c>
      <c r="AP3147" s="21" t="n">
        <v>0</v>
      </c>
      <c r="AQ3147" s="21" t="n">
        <v>0</v>
      </c>
      <c r="AR3147" s="21" t="n">
        <v>0</v>
      </c>
      <c r="AS3147" s="21" t="n">
        <v>0</v>
      </c>
      <c r="AT3147" s="19" t="n"/>
    </row>
    <row r="3148">
      <c r="D3148" s="21" t="n">
        <v>0</v>
      </c>
      <c r="E3148" s="21" t="n">
        <v>0</v>
      </c>
      <c r="F3148" s="21" t="n">
        <v>0</v>
      </c>
      <c r="G3148" s="21" t="n">
        <v>0</v>
      </c>
      <c r="H3148" s="21" t="n">
        <v>0</v>
      </c>
      <c r="I3148" s="21" t="n">
        <v>0</v>
      </c>
      <c r="J3148" s="21" t="n">
        <v>0</v>
      </c>
      <c r="K3148" s="21" t="n">
        <v>0</v>
      </c>
      <c r="L3148" s="21" t="n">
        <v>0</v>
      </c>
      <c r="M3148" s="21" t="n">
        <v>0</v>
      </c>
      <c r="N3148" s="21" t="n">
        <v>0</v>
      </c>
      <c r="O3148" s="21" t="n">
        <v>0</v>
      </c>
      <c r="P3148" s="21" t="n">
        <v>0</v>
      </c>
      <c r="Q3148" s="21" t="n">
        <v>0</v>
      </c>
      <c r="R3148" s="21" t="n">
        <v>0</v>
      </c>
      <c r="S3148" s="21" t="n">
        <v>0</v>
      </c>
      <c r="T3148" s="21" t="n">
        <v>0</v>
      </c>
      <c r="U3148" s="21" t="n">
        <v>0</v>
      </c>
      <c r="V3148" s="21" t="n">
        <v>0</v>
      </c>
      <c r="W3148" s="21" t="n">
        <v>0</v>
      </c>
      <c r="X3148" s="21" t="n">
        <v>0</v>
      </c>
      <c r="Y3148" s="21" t="n">
        <v>0</v>
      </c>
      <c r="Z3148" s="21">
        <f>-$B$1811</f>
        <v/>
      </c>
      <c r="AA3148" s="21">
        <f>-$B$1812</f>
        <v/>
      </c>
      <c r="AB3148" s="21">
        <f>2*$B$1811+$D$3114</f>
        <v/>
      </c>
      <c r="AC3148" s="21">
        <f>0</f>
        <v/>
      </c>
      <c r="AD3148" s="21">
        <f>-$B$1811</f>
        <v/>
      </c>
      <c r="AE3148" s="21">
        <f>$B$1812</f>
        <v/>
      </c>
      <c r="AF3148" s="21" t="n">
        <v>0</v>
      </c>
      <c r="AG3148" s="21" t="n">
        <v>0</v>
      </c>
      <c r="AH3148" s="21" t="n">
        <v>0</v>
      </c>
      <c r="AI3148" s="21" t="n">
        <v>0</v>
      </c>
      <c r="AJ3148" s="21" t="n">
        <v>0</v>
      </c>
      <c r="AK3148" s="21" t="n">
        <v>0</v>
      </c>
      <c r="AL3148" s="21" t="n">
        <v>0</v>
      </c>
      <c r="AM3148" s="21" t="n">
        <v>0</v>
      </c>
      <c r="AN3148" s="21" t="n">
        <v>0</v>
      </c>
      <c r="AO3148" s="21" t="n">
        <v>0</v>
      </c>
      <c r="AP3148" s="21" t="n">
        <v>0</v>
      </c>
      <c r="AQ3148" s="21" t="n">
        <v>0</v>
      </c>
      <c r="AR3148" s="21" t="n">
        <v>0</v>
      </c>
      <c r="AS3148" s="21" t="n">
        <v>0</v>
      </c>
      <c r="AT3148" s="19" t="n"/>
    </row>
    <row r="3149">
      <c r="D3149" s="21" t="n">
        <v>0</v>
      </c>
      <c r="E3149" s="21" t="n">
        <v>0</v>
      </c>
      <c r="F3149" s="21" t="n">
        <v>0</v>
      </c>
      <c r="G3149" s="21" t="n">
        <v>0</v>
      </c>
      <c r="H3149" s="21" t="n">
        <v>0</v>
      </c>
      <c r="I3149" s="21" t="n">
        <v>0</v>
      </c>
      <c r="J3149" s="21" t="n">
        <v>0</v>
      </c>
      <c r="K3149" s="21" t="n">
        <v>0</v>
      </c>
      <c r="L3149" s="21" t="n">
        <v>0</v>
      </c>
      <c r="M3149" s="21" t="n">
        <v>0</v>
      </c>
      <c r="N3149" s="21" t="n">
        <v>0</v>
      </c>
      <c r="O3149" s="21" t="n">
        <v>0</v>
      </c>
      <c r="P3149" s="21" t="n">
        <v>0</v>
      </c>
      <c r="Q3149" s="21" t="n">
        <v>0</v>
      </c>
      <c r="R3149" s="21" t="n">
        <v>0</v>
      </c>
      <c r="S3149" s="21" t="n">
        <v>0</v>
      </c>
      <c r="T3149" s="21" t="n">
        <v>0</v>
      </c>
      <c r="U3149" s="21" t="n">
        <v>0</v>
      </c>
      <c r="V3149" s="21" t="n">
        <v>0</v>
      </c>
      <c r="W3149" s="21" t="n">
        <v>0</v>
      </c>
      <c r="X3149" s="21" t="n">
        <v>0</v>
      </c>
      <c r="Y3149" s="21" t="n">
        <v>0</v>
      </c>
      <c r="Z3149" s="21">
        <f>$B$1812</f>
        <v/>
      </c>
      <c r="AA3149" s="21">
        <f>$B$1814</f>
        <v/>
      </c>
      <c r="AB3149" s="21">
        <f>0</f>
        <v/>
      </c>
      <c r="AC3149" s="21">
        <f>2*$B$1813</f>
        <v/>
      </c>
      <c r="AD3149" s="21">
        <f>-$B$1812</f>
        <v/>
      </c>
      <c r="AE3149" s="21">
        <f>$B$1814</f>
        <v/>
      </c>
      <c r="AF3149" s="21" t="n">
        <v>0</v>
      </c>
      <c r="AG3149" s="21" t="n">
        <v>0</v>
      </c>
      <c r="AH3149" s="21" t="n">
        <v>0</v>
      </c>
      <c r="AI3149" s="21" t="n">
        <v>0</v>
      </c>
      <c r="AJ3149" s="21" t="n">
        <v>0</v>
      </c>
      <c r="AK3149" s="21" t="n">
        <v>0</v>
      </c>
      <c r="AL3149" s="21" t="n">
        <v>0</v>
      </c>
      <c r="AM3149" s="21" t="n">
        <v>0</v>
      </c>
      <c r="AN3149" s="21" t="n">
        <v>0</v>
      </c>
      <c r="AO3149" s="21" t="n">
        <v>0</v>
      </c>
      <c r="AP3149" s="21" t="n">
        <v>0</v>
      </c>
      <c r="AQ3149" s="21" t="n">
        <v>0</v>
      </c>
      <c r="AR3149" s="21" t="n">
        <v>0</v>
      </c>
      <c r="AS3149" s="21" t="n">
        <v>0</v>
      </c>
      <c r="AT3149" s="19" t="n"/>
    </row>
    <row r="3150">
      <c r="D3150" s="21" t="n">
        <v>0</v>
      </c>
      <c r="E3150" s="21" t="n">
        <v>0</v>
      </c>
      <c r="F3150" s="21" t="n">
        <v>0</v>
      </c>
      <c r="G3150" s="21" t="n">
        <v>0</v>
      </c>
      <c r="H3150" s="21" t="n">
        <v>0</v>
      </c>
      <c r="I3150" s="21" t="n">
        <v>0</v>
      </c>
      <c r="J3150" s="21" t="n">
        <v>0</v>
      </c>
      <c r="K3150" s="21" t="n">
        <v>0</v>
      </c>
      <c r="L3150" s="21" t="n">
        <v>0</v>
      </c>
      <c r="M3150" s="21" t="n">
        <v>0</v>
      </c>
      <c r="N3150" s="21" t="n">
        <v>0</v>
      </c>
      <c r="O3150" s="21" t="n">
        <v>0</v>
      </c>
      <c r="P3150" s="21" t="n">
        <v>0</v>
      </c>
      <c r="Q3150" s="21" t="n">
        <v>0</v>
      </c>
      <c r="R3150" s="21" t="n">
        <v>0</v>
      </c>
      <c r="S3150" s="21" t="n">
        <v>0</v>
      </c>
      <c r="T3150" s="21" t="n">
        <v>0</v>
      </c>
      <c r="U3150" s="21" t="n">
        <v>0</v>
      </c>
      <c r="V3150" s="21" t="n">
        <v>0</v>
      </c>
      <c r="W3150" s="21" t="n">
        <v>0</v>
      </c>
      <c r="X3150" s="21" t="n">
        <v>0</v>
      </c>
      <c r="Y3150" s="21" t="n">
        <v>0</v>
      </c>
      <c r="Z3150" s="21" t="n">
        <v>0</v>
      </c>
      <c r="AA3150" s="21" t="n">
        <v>0</v>
      </c>
      <c r="AB3150" s="21">
        <f>-$B$1811</f>
        <v/>
      </c>
      <c r="AC3150" s="21">
        <f>-$B$1812</f>
        <v/>
      </c>
      <c r="AD3150" s="21">
        <f>2*$B$1811+$D$3115</f>
        <v/>
      </c>
      <c r="AE3150" s="21">
        <f>0</f>
        <v/>
      </c>
      <c r="AF3150" s="21">
        <f>-$B$1811</f>
        <v/>
      </c>
      <c r="AG3150" s="21">
        <f>$B$1812</f>
        <v/>
      </c>
      <c r="AH3150" s="21" t="n">
        <v>0</v>
      </c>
      <c r="AI3150" s="21" t="n">
        <v>0</v>
      </c>
      <c r="AJ3150" s="21" t="n">
        <v>0</v>
      </c>
      <c r="AK3150" s="21" t="n">
        <v>0</v>
      </c>
      <c r="AL3150" s="21" t="n">
        <v>0</v>
      </c>
      <c r="AM3150" s="21" t="n">
        <v>0</v>
      </c>
      <c r="AN3150" s="21" t="n">
        <v>0</v>
      </c>
      <c r="AO3150" s="21" t="n">
        <v>0</v>
      </c>
      <c r="AP3150" s="21" t="n">
        <v>0</v>
      </c>
      <c r="AQ3150" s="21" t="n">
        <v>0</v>
      </c>
      <c r="AR3150" s="21" t="n">
        <v>0</v>
      </c>
      <c r="AS3150" s="21" t="n">
        <v>0</v>
      </c>
      <c r="AT3150" s="19" t="n"/>
    </row>
    <row r="3151">
      <c r="D3151" s="21" t="n">
        <v>0</v>
      </c>
      <c r="E3151" s="21" t="n">
        <v>0</v>
      </c>
      <c r="F3151" s="21" t="n">
        <v>0</v>
      </c>
      <c r="G3151" s="21" t="n">
        <v>0</v>
      </c>
      <c r="H3151" s="21" t="n">
        <v>0</v>
      </c>
      <c r="I3151" s="21" t="n">
        <v>0</v>
      </c>
      <c r="J3151" s="21" t="n">
        <v>0</v>
      </c>
      <c r="K3151" s="21" t="n">
        <v>0</v>
      </c>
      <c r="L3151" s="21" t="n">
        <v>0</v>
      </c>
      <c r="M3151" s="21" t="n">
        <v>0</v>
      </c>
      <c r="N3151" s="21" t="n">
        <v>0</v>
      </c>
      <c r="O3151" s="21" t="n">
        <v>0</v>
      </c>
      <c r="P3151" s="21" t="n">
        <v>0</v>
      </c>
      <c r="Q3151" s="21" t="n">
        <v>0</v>
      </c>
      <c r="R3151" s="21" t="n">
        <v>0</v>
      </c>
      <c r="S3151" s="21" t="n">
        <v>0</v>
      </c>
      <c r="T3151" s="21" t="n">
        <v>0</v>
      </c>
      <c r="U3151" s="21" t="n">
        <v>0</v>
      </c>
      <c r="V3151" s="21" t="n">
        <v>0</v>
      </c>
      <c r="W3151" s="21" t="n">
        <v>0</v>
      </c>
      <c r="X3151" s="21" t="n">
        <v>0</v>
      </c>
      <c r="Y3151" s="21" t="n">
        <v>0</v>
      </c>
      <c r="Z3151" s="21" t="n">
        <v>0</v>
      </c>
      <c r="AA3151" s="21" t="n">
        <v>0</v>
      </c>
      <c r="AB3151" s="21">
        <f>$B$1812</f>
        <v/>
      </c>
      <c r="AC3151" s="21">
        <f>$B$1814</f>
        <v/>
      </c>
      <c r="AD3151" s="21">
        <f>0</f>
        <v/>
      </c>
      <c r="AE3151" s="21">
        <f>2*$B$1813</f>
        <v/>
      </c>
      <c r="AF3151" s="21">
        <f>-$B$1812</f>
        <v/>
      </c>
      <c r="AG3151" s="21">
        <f>$B$1814</f>
        <v/>
      </c>
      <c r="AH3151" s="21" t="n">
        <v>0</v>
      </c>
      <c r="AI3151" s="21" t="n">
        <v>0</v>
      </c>
      <c r="AJ3151" s="21" t="n">
        <v>0</v>
      </c>
      <c r="AK3151" s="21" t="n">
        <v>0</v>
      </c>
      <c r="AL3151" s="21" t="n">
        <v>0</v>
      </c>
      <c r="AM3151" s="21" t="n">
        <v>0</v>
      </c>
      <c r="AN3151" s="21" t="n">
        <v>0</v>
      </c>
      <c r="AO3151" s="21" t="n">
        <v>0</v>
      </c>
      <c r="AP3151" s="21" t="n">
        <v>0</v>
      </c>
      <c r="AQ3151" s="21" t="n">
        <v>0</v>
      </c>
      <c r="AR3151" s="21" t="n">
        <v>0</v>
      </c>
      <c r="AS3151" s="21" t="n">
        <v>0</v>
      </c>
      <c r="AT3151" s="19" t="n"/>
    </row>
    <row r="3152">
      <c r="D3152" s="21" t="n">
        <v>0</v>
      </c>
      <c r="E3152" s="21" t="n">
        <v>0</v>
      </c>
      <c r="F3152" s="21" t="n">
        <v>0</v>
      </c>
      <c r="G3152" s="21" t="n">
        <v>0</v>
      </c>
      <c r="H3152" s="21" t="n">
        <v>0</v>
      </c>
      <c r="I3152" s="21" t="n">
        <v>0</v>
      </c>
      <c r="J3152" s="21" t="n">
        <v>0</v>
      </c>
      <c r="K3152" s="21" t="n">
        <v>0</v>
      </c>
      <c r="L3152" s="21" t="n">
        <v>0</v>
      </c>
      <c r="M3152" s="21" t="n">
        <v>0</v>
      </c>
      <c r="N3152" s="21" t="n">
        <v>0</v>
      </c>
      <c r="O3152" s="21" t="n">
        <v>0</v>
      </c>
      <c r="P3152" s="21" t="n">
        <v>0</v>
      </c>
      <c r="Q3152" s="21" t="n">
        <v>0</v>
      </c>
      <c r="R3152" s="21" t="n">
        <v>0</v>
      </c>
      <c r="S3152" s="21" t="n">
        <v>0</v>
      </c>
      <c r="T3152" s="21" t="n">
        <v>0</v>
      </c>
      <c r="U3152" s="21" t="n">
        <v>0</v>
      </c>
      <c r="V3152" s="21" t="n">
        <v>0</v>
      </c>
      <c r="W3152" s="21" t="n">
        <v>0</v>
      </c>
      <c r="X3152" s="21" t="n">
        <v>0</v>
      </c>
      <c r="Y3152" s="21" t="n">
        <v>0</v>
      </c>
      <c r="Z3152" s="21" t="n">
        <v>0</v>
      </c>
      <c r="AA3152" s="21" t="n">
        <v>0</v>
      </c>
      <c r="AB3152" s="21" t="n">
        <v>0</v>
      </c>
      <c r="AC3152" s="21" t="n">
        <v>0</v>
      </c>
      <c r="AD3152" s="21">
        <f>-$B$1811</f>
        <v/>
      </c>
      <c r="AE3152" s="21">
        <f>-$B$1812</f>
        <v/>
      </c>
      <c r="AF3152" s="21">
        <f>2*$B$1811+$D$3116</f>
        <v/>
      </c>
      <c r="AG3152" s="21">
        <f>0</f>
        <v/>
      </c>
      <c r="AH3152" s="21">
        <f>-$B$1811</f>
        <v/>
      </c>
      <c r="AI3152" s="21">
        <f>$B$1812</f>
        <v/>
      </c>
      <c r="AJ3152" s="21" t="n">
        <v>0</v>
      </c>
      <c r="AK3152" s="21" t="n">
        <v>0</v>
      </c>
      <c r="AL3152" s="21" t="n">
        <v>0</v>
      </c>
      <c r="AM3152" s="21" t="n">
        <v>0</v>
      </c>
      <c r="AN3152" s="21" t="n">
        <v>0</v>
      </c>
      <c r="AO3152" s="21" t="n">
        <v>0</v>
      </c>
      <c r="AP3152" s="21" t="n">
        <v>0</v>
      </c>
      <c r="AQ3152" s="21" t="n">
        <v>0</v>
      </c>
      <c r="AR3152" s="21" t="n">
        <v>0</v>
      </c>
      <c r="AS3152" s="21" t="n">
        <v>0</v>
      </c>
      <c r="AT3152" s="19" t="n"/>
    </row>
    <row r="3153">
      <c r="D3153" s="21" t="n">
        <v>0</v>
      </c>
      <c r="E3153" s="21" t="n">
        <v>0</v>
      </c>
      <c r="F3153" s="21" t="n">
        <v>0</v>
      </c>
      <c r="G3153" s="21" t="n">
        <v>0</v>
      </c>
      <c r="H3153" s="21" t="n">
        <v>0</v>
      </c>
      <c r="I3153" s="21" t="n">
        <v>0</v>
      </c>
      <c r="J3153" s="21" t="n">
        <v>0</v>
      </c>
      <c r="K3153" s="21" t="n">
        <v>0</v>
      </c>
      <c r="L3153" s="21" t="n">
        <v>0</v>
      </c>
      <c r="M3153" s="21" t="n">
        <v>0</v>
      </c>
      <c r="N3153" s="21" t="n">
        <v>0</v>
      </c>
      <c r="O3153" s="21" t="n">
        <v>0</v>
      </c>
      <c r="P3153" s="21" t="n">
        <v>0</v>
      </c>
      <c r="Q3153" s="21" t="n">
        <v>0</v>
      </c>
      <c r="R3153" s="21" t="n">
        <v>0</v>
      </c>
      <c r="S3153" s="21" t="n">
        <v>0</v>
      </c>
      <c r="T3153" s="21" t="n">
        <v>0</v>
      </c>
      <c r="U3153" s="21" t="n">
        <v>0</v>
      </c>
      <c r="V3153" s="21" t="n">
        <v>0</v>
      </c>
      <c r="W3153" s="21" t="n">
        <v>0</v>
      </c>
      <c r="X3153" s="21" t="n">
        <v>0</v>
      </c>
      <c r="Y3153" s="21" t="n">
        <v>0</v>
      </c>
      <c r="Z3153" s="21" t="n">
        <v>0</v>
      </c>
      <c r="AA3153" s="21" t="n">
        <v>0</v>
      </c>
      <c r="AB3153" s="21" t="n">
        <v>0</v>
      </c>
      <c r="AC3153" s="21" t="n">
        <v>0</v>
      </c>
      <c r="AD3153" s="21">
        <f>$B$1812</f>
        <v/>
      </c>
      <c r="AE3153" s="21">
        <f>$B$1814</f>
        <v/>
      </c>
      <c r="AF3153" s="21">
        <f>0</f>
        <v/>
      </c>
      <c r="AG3153" s="21">
        <f>2*$B$1813</f>
        <v/>
      </c>
      <c r="AH3153" s="21">
        <f>-$B$1812</f>
        <v/>
      </c>
      <c r="AI3153" s="21">
        <f>$B$1814</f>
        <v/>
      </c>
      <c r="AJ3153" s="21" t="n">
        <v>0</v>
      </c>
      <c r="AK3153" s="21" t="n">
        <v>0</v>
      </c>
      <c r="AL3153" s="21" t="n">
        <v>0</v>
      </c>
      <c r="AM3153" s="21" t="n">
        <v>0</v>
      </c>
      <c r="AN3153" s="21" t="n">
        <v>0</v>
      </c>
      <c r="AO3153" s="21" t="n">
        <v>0</v>
      </c>
      <c r="AP3153" s="21" t="n">
        <v>0</v>
      </c>
      <c r="AQ3153" s="21" t="n">
        <v>0</v>
      </c>
      <c r="AR3153" s="21" t="n">
        <v>0</v>
      </c>
      <c r="AS3153" s="21" t="n">
        <v>0</v>
      </c>
      <c r="AT3153" s="19" t="n"/>
    </row>
    <row r="3154">
      <c r="D3154" s="21" t="n">
        <v>0</v>
      </c>
      <c r="E3154" s="21" t="n">
        <v>0</v>
      </c>
      <c r="F3154" s="21" t="n">
        <v>0</v>
      </c>
      <c r="G3154" s="21" t="n">
        <v>0</v>
      </c>
      <c r="H3154" s="21" t="n">
        <v>0</v>
      </c>
      <c r="I3154" s="21" t="n">
        <v>0</v>
      </c>
      <c r="J3154" s="21" t="n">
        <v>0</v>
      </c>
      <c r="K3154" s="21" t="n">
        <v>0</v>
      </c>
      <c r="L3154" s="21" t="n">
        <v>0</v>
      </c>
      <c r="M3154" s="21" t="n">
        <v>0</v>
      </c>
      <c r="N3154" s="21" t="n">
        <v>0</v>
      </c>
      <c r="O3154" s="21" t="n">
        <v>0</v>
      </c>
      <c r="P3154" s="21" t="n">
        <v>0</v>
      </c>
      <c r="Q3154" s="21" t="n">
        <v>0</v>
      </c>
      <c r="R3154" s="21" t="n">
        <v>0</v>
      </c>
      <c r="S3154" s="21" t="n">
        <v>0</v>
      </c>
      <c r="T3154" s="21" t="n">
        <v>0</v>
      </c>
      <c r="U3154" s="21" t="n">
        <v>0</v>
      </c>
      <c r="V3154" s="21" t="n">
        <v>0</v>
      </c>
      <c r="W3154" s="21" t="n">
        <v>0</v>
      </c>
      <c r="X3154" s="21" t="n">
        <v>0</v>
      </c>
      <c r="Y3154" s="21" t="n">
        <v>0</v>
      </c>
      <c r="Z3154" s="21" t="n">
        <v>0</v>
      </c>
      <c r="AA3154" s="21" t="n">
        <v>0</v>
      </c>
      <c r="AB3154" s="21" t="n">
        <v>0</v>
      </c>
      <c r="AC3154" s="21" t="n">
        <v>0</v>
      </c>
      <c r="AD3154" s="21" t="n">
        <v>0</v>
      </c>
      <c r="AE3154" s="21" t="n">
        <v>0</v>
      </c>
      <c r="AF3154" s="21">
        <f>-$B$1811</f>
        <v/>
      </c>
      <c r="AG3154" s="21">
        <f>-$B$1812</f>
        <v/>
      </c>
      <c r="AH3154" s="21">
        <f>2*$B$1811+$D$3117</f>
        <v/>
      </c>
      <c r="AI3154" s="21">
        <f>0</f>
        <v/>
      </c>
      <c r="AJ3154" s="21">
        <f>-$B$1811</f>
        <v/>
      </c>
      <c r="AK3154" s="21">
        <f>$B$1812</f>
        <v/>
      </c>
      <c r="AL3154" s="21" t="n">
        <v>0</v>
      </c>
      <c r="AM3154" s="21" t="n">
        <v>0</v>
      </c>
      <c r="AN3154" s="21" t="n">
        <v>0</v>
      </c>
      <c r="AO3154" s="21" t="n">
        <v>0</v>
      </c>
      <c r="AP3154" s="21" t="n">
        <v>0</v>
      </c>
      <c r="AQ3154" s="21" t="n">
        <v>0</v>
      </c>
      <c r="AR3154" s="21" t="n">
        <v>0</v>
      </c>
      <c r="AS3154" s="21" t="n">
        <v>0</v>
      </c>
      <c r="AT3154" s="19" t="n"/>
    </row>
    <row r="3155">
      <c r="D3155" s="21" t="n">
        <v>0</v>
      </c>
      <c r="E3155" s="21" t="n">
        <v>0</v>
      </c>
      <c r="F3155" s="21" t="n">
        <v>0</v>
      </c>
      <c r="G3155" s="21" t="n">
        <v>0</v>
      </c>
      <c r="H3155" s="21" t="n">
        <v>0</v>
      </c>
      <c r="I3155" s="21" t="n">
        <v>0</v>
      </c>
      <c r="J3155" s="21" t="n">
        <v>0</v>
      </c>
      <c r="K3155" s="21" t="n">
        <v>0</v>
      </c>
      <c r="L3155" s="21" t="n">
        <v>0</v>
      </c>
      <c r="M3155" s="21" t="n">
        <v>0</v>
      </c>
      <c r="N3155" s="21" t="n">
        <v>0</v>
      </c>
      <c r="O3155" s="21" t="n">
        <v>0</v>
      </c>
      <c r="P3155" s="21" t="n">
        <v>0</v>
      </c>
      <c r="Q3155" s="21" t="n">
        <v>0</v>
      </c>
      <c r="R3155" s="21" t="n">
        <v>0</v>
      </c>
      <c r="S3155" s="21" t="n">
        <v>0</v>
      </c>
      <c r="T3155" s="21" t="n">
        <v>0</v>
      </c>
      <c r="U3155" s="21" t="n">
        <v>0</v>
      </c>
      <c r="V3155" s="21" t="n">
        <v>0</v>
      </c>
      <c r="W3155" s="21" t="n">
        <v>0</v>
      </c>
      <c r="X3155" s="21" t="n">
        <v>0</v>
      </c>
      <c r="Y3155" s="21" t="n">
        <v>0</v>
      </c>
      <c r="Z3155" s="21" t="n">
        <v>0</v>
      </c>
      <c r="AA3155" s="21" t="n">
        <v>0</v>
      </c>
      <c r="AB3155" s="21" t="n">
        <v>0</v>
      </c>
      <c r="AC3155" s="21" t="n">
        <v>0</v>
      </c>
      <c r="AD3155" s="21" t="n">
        <v>0</v>
      </c>
      <c r="AE3155" s="21" t="n">
        <v>0</v>
      </c>
      <c r="AF3155" s="21">
        <f>$B$1812</f>
        <v/>
      </c>
      <c r="AG3155" s="21">
        <f>$B$1814</f>
        <v/>
      </c>
      <c r="AH3155" s="21">
        <f>0</f>
        <v/>
      </c>
      <c r="AI3155" s="21">
        <f>2*$B$1813</f>
        <v/>
      </c>
      <c r="AJ3155" s="21">
        <f>-$B$1812</f>
        <v/>
      </c>
      <c r="AK3155" s="21">
        <f>$B$1814</f>
        <v/>
      </c>
      <c r="AL3155" s="21" t="n">
        <v>0</v>
      </c>
      <c r="AM3155" s="21" t="n">
        <v>0</v>
      </c>
      <c r="AN3155" s="21" t="n">
        <v>0</v>
      </c>
      <c r="AO3155" s="21" t="n">
        <v>0</v>
      </c>
      <c r="AP3155" s="21" t="n">
        <v>0</v>
      </c>
      <c r="AQ3155" s="21" t="n">
        <v>0</v>
      </c>
      <c r="AR3155" s="21" t="n">
        <v>0</v>
      </c>
      <c r="AS3155" s="21" t="n">
        <v>0</v>
      </c>
      <c r="AT3155" s="19" t="n"/>
    </row>
    <row r="3156">
      <c r="D3156" s="21" t="n">
        <v>0</v>
      </c>
      <c r="E3156" s="21" t="n">
        <v>0</v>
      </c>
      <c r="F3156" s="21" t="n">
        <v>0</v>
      </c>
      <c r="G3156" s="21" t="n">
        <v>0</v>
      </c>
      <c r="H3156" s="21" t="n">
        <v>0</v>
      </c>
      <c r="I3156" s="21" t="n">
        <v>0</v>
      </c>
      <c r="J3156" s="21" t="n">
        <v>0</v>
      </c>
      <c r="K3156" s="21" t="n">
        <v>0</v>
      </c>
      <c r="L3156" s="21" t="n">
        <v>0</v>
      </c>
      <c r="M3156" s="21" t="n">
        <v>0</v>
      </c>
      <c r="N3156" s="21" t="n">
        <v>0</v>
      </c>
      <c r="O3156" s="21" t="n">
        <v>0</v>
      </c>
      <c r="P3156" s="21" t="n">
        <v>0</v>
      </c>
      <c r="Q3156" s="21" t="n">
        <v>0</v>
      </c>
      <c r="R3156" s="21" t="n">
        <v>0</v>
      </c>
      <c r="S3156" s="21" t="n">
        <v>0</v>
      </c>
      <c r="T3156" s="21" t="n">
        <v>0</v>
      </c>
      <c r="U3156" s="21" t="n">
        <v>0</v>
      </c>
      <c r="V3156" s="21" t="n">
        <v>0</v>
      </c>
      <c r="W3156" s="21" t="n">
        <v>0</v>
      </c>
      <c r="X3156" s="21" t="n">
        <v>0</v>
      </c>
      <c r="Y3156" s="21" t="n">
        <v>0</v>
      </c>
      <c r="Z3156" s="21" t="n">
        <v>0</v>
      </c>
      <c r="AA3156" s="21" t="n">
        <v>0</v>
      </c>
      <c r="AB3156" s="21" t="n">
        <v>0</v>
      </c>
      <c r="AC3156" s="21" t="n">
        <v>0</v>
      </c>
      <c r="AD3156" s="21" t="n">
        <v>0</v>
      </c>
      <c r="AE3156" s="21" t="n">
        <v>0</v>
      </c>
      <c r="AF3156" s="21" t="n">
        <v>0</v>
      </c>
      <c r="AG3156" s="21" t="n">
        <v>0</v>
      </c>
      <c r="AH3156" s="21">
        <f>-$B$1811</f>
        <v/>
      </c>
      <c r="AI3156" s="21">
        <f>-$B$1812</f>
        <v/>
      </c>
      <c r="AJ3156" s="21">
        <f>2*$B$1811+$D$3118</f>
        <v/>
      </c>
      <c r="AK3156" s="21">
        <f>0</f>
        <v/>
      </c>
      <c r="AL3156" s="21">
        <f>-$B$1811</f>
        <v/>
      </c>
      <c r="AM3156" s="21">
        <f>$B$1812</f>
        <v/>
      </c>
      <c r="AN3156" s="21" t="n">
        <v>0</v>
      </c>
      <c r="AO3156" s="21" t="n">
        <v>0</v>
      </c>
      <c r="AP3156" s="21" t="n">
        <v>0</v>
      </c>
      <c r="AQ3156" s="21" t="n">
        <v>0</v>
      </c>
      <c r="AR3156" s="21" t="n">
        <v>0</v>
      </c>
      <c r="AS3156" s="21" t="n">
        <v>0</v>
      </c>
      <c r="AT3156" s="19" t="n"/>
    </row>
    <row r="3157">
      <c r="D3157" s="21" t="n">
        <v>0</v>
      </c>
      <c r="E3157" s="21" t="n">
        <v>0</v>
      </c>
      <c r="F3157" s="21" t="n">
        <v>0</v>
      </c>
      <c r="G3157" s="21" t="n">
        <v>0</v>
      </c>
      <c r="H3157" s="21" t="n">
        <v>0</v>
      </c>
      <c r="I3157" s="21" t="n">
        <v>0</v>
      </c>
      <c r="J3157" s="21" t="n">
        <v>0</v>
      </c>
      <c r="K3157" s="21" t="n">
        <v>0</v>
      </c>
      <c r="L3157" s="21" t="n">
        <v>0</v>
      </c>
      <c r="M3157" s="21" t="n">
        <v>0</v>
      </c>
      <c r="N3157" s="21" t="n">
        <v>0</v>
      </c>
      <c r="O3157" s="21" t="n">
        <v>0</v>
      </c>
      <c r="P3157" s="21" t="n">
        <v>0</v>
      </c>
      <c r="Q3157" s="21" t="n">
        <v>0</v>
      </c>
      <c r="R3157" s="21" t="n">
        <v>0</v>
      </c>
      <c r="S3157" s="21" t="n">
        <v>0</v>
      </c>
      <c r="T3157" s="21" t="n">
        <v>0</v>
      </c>
      <c r="U3157" s="21" t="n">
        <v>0</v>
      </c>
      <c r="V3157" s="21" t="n">
        <v>0</v>
      </c>
      <c r="W3157" s="21" t="n">
        <v>0</v>
      </c>
      <c r="X3157" s="21" t="n">
        <v>0</v>
      </c>
      <c r="Y3157" s="21" t="n">
        <v>0</v>
      </c>
      <c r="Z3157" s="21" t="n">
        <v>0</v>
      </c>
      <c r="AA3157" s="21" t="n">
        <v>0</v>
      </c>
      <c r="AB3157" s="21" t="n">
        <v>0</v>
      </c>
      <c r="AC3157" s="21" t="n">
        <v>0</v>
      </c>
      <c r="AD3157" s="21" t="n">
        <v>0</v>
      </c>
      <c r="AE3157" s="21" t="n">
        <v>0</v>
      </c>
      <c r="AF3157" s="21" t="n">
        <v>0</v>
      </c>
      <c r="AG3157" s="21" t="n">
        <v>0</v>
      </c>
      <c r="AH3157" s="21">
        <f>$B$1812</f>
        <v/>
      </c>
      <c r="AI3157" s="21">
        <f>$B$1814</f>
        <v/>
      </c>
      <c r="AJ3157" s="21">
        <f>0</f>
        <v/>
      </c>
      <c r="AK3157" s="21">
        <f>2*$B$1813</f>
        <v/>
      </c>
      <c r="AL3157" s="21">
        <f>-$B$1812</f>
        <v/>
      </c>
      <c r="AM3157" s="21">
        <f>$B$1814</f>
        <v/>
      </c>
      <c r="AN3157" s="21" t="n">
        <v>0</v>
      </c>
      <c r="AO3157" s="21" t="n">
        <v>0</v>
      </c>
      <c r="AP3157" s="21" t="n">
        <v>0</v>
      </c>
      <c r="AQ3157" s="21" t="n">
        <v>0</v>
      </c>
      <c r="AR3157" s="21" t="n">
        <v>0</v>
      </c>
      <c r="AS3157" s="21" t="n">
        <v>0</v>
      </c>
      <c r="AT3157" s="19" t="n"/>
    </row>
    <row r="3158">
      <c r="D3158" s="21" t="n">
        <v>0</v>
      </c>
      <c r="E3158" s="21" t="n">
        <v>0</v>
      </c>
      <c r="F3158" s="21" t="n">
        <v>0</v>
      </c>
      <c r="G3158" s="21" t="n">
        <v>0</v>
      </c>
      <c r="H3158" s="21" t="n">
        <v>0</v>
      </c>
      <c r="I3158" s="21" t="n">
        <v>0</v>
      </c>
      <c r="J3158" s="21" t="n">
        <v>0</v>
      </c>
      <c r="K3158" s="21" t="n">
        <v>0</v>
      </c>
      <c r="L3158" s="21" t="n">
        <v>0</v>
      </c>
      <c r="M3158" s="21" t="n">
        <v>0</v>
      </c>
      <c r="N3158" s="21" t="n">
        <v>0</v>
      </c>
      <c r="O3158" s="21" t="n">
        <v>0</v>
      </c>
      <c r="P3158" s="21" t="n">
        <v>0</v>
      </c>
      <c r="Q3158" s="21" t="n">
        <v>0</v>
      </c>
      <c r="R3158" s="21" t="n">
        <v>0</v>
      </c>
      <c r="S3158" s="21" t="n">
        <v>0</v>
      </c>
      <c r="T3158" s="21" t="n">
        <v>0</v>
      </c>
      <c r="U3158" s="21" t="n">
        <v>0</v>
      </c>
      <c r="V3158" s="21" t="n">
        <v>0</v>
      </c>
      <c r="W3158" s="21" t="n">
        <v>0</v>
      </c>
      <c r="X3158" s="21" t="n">
        <v>0</v>
      </c>
      <c r="Y3158" s="21" t="n">
        <v>0</v>
      </c>
      <c r="Z3158" s="21" t="n">
        <v>0</v>
      </c>
      <c r="AA3158" s="21" t="n">
        <v>0</v>
      </c>
      <c r="AB3158" s="21" t="n">
        <v>0</v>
      </c>
      <c r="AC3158" s="21" t="n">
        <v>0</v>
      </c>
      <c r="AD3158" s="21" t="n">
        <v>0</v>
      </c>
      <c r="AE3158" s="21" t="n">
        <v>0</v>
      </c>
      <c r="AF3158" s="21" t="n">
        <v>0</v>
      </c>
      <c r="AG3158" s="21" t="n">
        <v>0</v>
      </c>
      <c r="AH3158" s="21" t="n">
        <v>0</v>
      </c>
      <c r="AI3158" s="21" t="n">
        <v>0</v>
      </c>
      <c r="AJ3158" s="21">
        <f>-$B$1811</f>
        <v/>
      </c>
      <c r="AK3158" s="21">
        <f>-$B$1812</f>
        <v/>
      </c>
      <c r="AL3158" s="21">
        <f>2*$B$1811+$D$3119</f>
        <v/>
      </c>
      <c r="AM3158" s="21">
        <f>0</f>
        <v/>
      </c>
      <c r="AN3158" s="21">
        <f>-$B$1811</f>
        <v/>
      </c>
      <c r="AO3158" s="21">
        <f>$B$1812</f>
        <v/>
      </c>
      <c r="AP3158" s="21" t="n">
        <v>0</v>
      </c>
      <c r="AQ3158" s="21" t="n">
        <v>0</v>
      </c>
      <c r="AR3158" s="21" t="n">
        <v>0</v>
      </c>
      <c r="AS3158" s="21" t="n">
        <v>0</v>
      </c>
      <c r="AT3158" s="19" t="n"/>
    </row>
    <row r="3159">
      <c r="D3159" s="21" t="n">
        <v>0</v>
      </c>
      <c r="E3159" s="21" t="n">
        <v>0</v>
      </c>
      <c r="F3159" s="21" t="n">
        <v>0</v>
      </c>
      <c r="G3159" s="21" t="n">
        <v>0</v>
      </c>
      <c r="H3159" s="21" t="n">
        <v>0</v>
      </c>
      <c r="I3159" s="21" t="n">
        <v>0</v>
      </c>
      <c r="J3159" s="21" t="n">
        <v>0</v>
      </c>
      <c r="K3159" s="21" t="n">
        <v>0</v>
      </c>
      <c r="L3159" s="21" t="n">
        <v>0</v>
      </c>
      <c r="M3159" s="21" t="n">
        <v>0</v>
      </c>
      <c r="N3159" s="21" t="n">
        <v>0</v>
      </c>
      <c r="O3159" s="21" t="n">
        <v>0</v>
      </c>
      <c r="P3159" s="21" t="n">
        <v>0</v>
      </c>
      <c r="Q3159" s="21" t="n">
        <v>0</v>
      </c>
      <c r="R3159" s="21" t="n">
        <v>0</v>
      </c>
      <c r="S3159" s="21" t="n">
        <v>0</v>
      </c>
      <c r="T3159" s="21" t="n">
        <v>0</v>
      </c>
      <c r="U3159" s="21" t="n">
        <v>0</v>
      </c>
      <c r="V3159" s="21" t="n">
        <v>0</v>
      </c>
      <c r="W3159" s="21" t="n">
        <v>0</v>
      </c>
      <c r="X3159" s="21" t="n">
        <v>0</v>
      </c>
      <c r="Y3159" s="21" t="n">
        <v>0</v>
      </c>
      <c r="Z3159" s="21" t="n">
        <v>0</v>
      </c>
      <c r="AA3159" s="21" t="n">
        <v>0</v>
      </c>
      <c r="AB3159" s="21" t="n">
        <v>0</v>
      </c>
      <c r="AC3159" s="21" t="n">
        <v>0</v>
      </c>
      <c r="AD3159" s="21" t="n">
        <v>0</v>
      </c>
      <c r="AE3159" s="21" t="n">
        <v>0</v>
      </c>
      <c r="AF3159" s="21" t="n">
        <v>0</v>
      </c>
      <c r="AG3159" s="21" t="n">
        <v>0</v>
      </c>
      <c r="AH3159" s="21" t="n">
        <v>0</v>
      </c>
      <c r="AI3159" s="21" t="n">
        <v>0</v>
      </c>
      <c r="AJ3159" s="21">
        <f>$B$1812</f>
        <v/>
      </c>
      <c r="AK3159" s="21">
        <f>$B$1814</f>
        <v/>
      </c>
      <c r="AL3159" s="21">
        <f>0</f>
        <v/>
      </c>
      <c r="AM3159" s="21">
        <f>2*$B$1813</f>
        <v/>
      </c>
      <c r="AN3159" s="21">
        <f>-$B$1812</f>
        <v/>
      </c>
      <c r="AO3159" s="21">
        <f>$B$1814</f>
        <v/>
      </c>
      <c r="AP3159" s="21" t="n">
        <v>0</v>
      </c>
      <c r="AQ3159" s="21" t="n">
        <v>0</v>
      </c>
      <c r="AR3159" s="21" t="n">
        <v>0</v>
      </c>
      <c r="AS3159" s="21" t="n">
        <v>0</v>
      </c>
      <c r="AT3159" s="19" t="n"/>
    </row>
    <row r="3160">
      <c r="D3160" s="21" t="n">
        <v>0</v>
      </c>
      <c r="E3160" s="21" t="n">
        <v>0</v>
      </c>
      <c r="F3160" s="21" t="n">
        <v>0</v>
      </c>
      <c r="G3160" s="21" t="n">
        <v>0</v>
      </c>
      <c r="H3160" s="21" t="n">
        <v>0</v>
      </c>
      <c r="I3160" s="21" t="n">
        <v>0</v>
      </c>
      <c r="J3160" s="21" t="n">
        <v>0</v>
      </c>
      <c r="K3160" s="21" t="n">
        <v>0</v>
      </c>
      <c r="L3160" s="21" t="n">
        <v>0</v>
      </c>
      <c r="M3160" s="21" t="n">
        <v>0</v>
      </c>
      <c r="N3160" s="21" t="n">
        <v>0</v>
      </c>
      <c r="O3160" s="21" t="n">
        <v>0</v>
      </c>
      <c r="P3160" s="21" t="n">
        <v>0</v>
      </c>
      <c r="Q3160" s="21" t="n">
        <v>0</v>
      </c>
      <c r="R3160" s="21" t="n">
        <v>0</v>
      </c>
      <c r="S3160" s="21" t="n">
        <v>0</v>
      </c>
      <c r="T3160" s="21" t="n">
        <v>0</v>
      </c>
      <c r="U3160" s="21" t="n">
        <v>0</v>
      </c>
      <c r="V3160" s="21" t="n">
        <v>0</v>
      </c>
      <c r="W3160" s="21" t="n">
        <v>0</v>
      </c>
      <c r="X3160" s="21" t="n">
        <v>0</v>
      </c>
      <c r="Y3160" s="21" t="n">
        <v>0</v>
      </c>
      <c r="Z3160" s="21" t="n">
        <v>0</v>
      </c>
      <c r="AA3160" s="21" t="n">
        <v>0</v>
      </c>
      <c r="AB3160" s="21" t="n">
        <v>0</v>
      </c>
      <c r="AC3160" s="21" t="n">
        <v>0</v>
      </c>
      <c r="AD3160" s="21" t="n">
        <v>0</v>
      </c>
      <c r="AE3160" s="21" t="n">
        <v>0</v>
      </c>
      <c r="AF3160" s="21" t="n">
        <v>0</v>
      </c>
      <c r="AG3160" s="21" t="n">
        <v>0</v>
      </c>
      <c r="AH3160" s="21" t="n">
        <v>0</v>
      </c>
      <c r="AI3160" s="21" t="n">
        <v>0</v>
      </c>
      <c r="AJ3160" s="21" t="n">
        <v>0</v>
      </c>
      <c r="AK3160" s="21" t="n">
        <v>0</v>
      </c>
      <c r="AL3160" s="21">
        <f>-$B$1811</f>
        <v/>
      </c>
      <c r="AM3160" s="21">
        <f>-$B$1812</f>
        <v/>
      </c>
      <c r="AN3160" s="21">
        <f>2*$B$1811+$D$3120</f>
        <v/>
      </c>
      <c r="AO3160" s="21">
        <f>0</f>
        <v/>
      </c>
      <c r="AP3160" s="21">
        <f>-$B$1811</f>
        <v/>
      </c>
      <c r="AQ3160" s="21">
        <f>$B$1812</f>
        <v/>
      </c>
      <c r="AR3160" s="21" t="n">
        <v>0</v>
      </c>
      <c r="AS3160" s="21" t="n">
        <v>0</v>
      </c>
      <c r="AT3160" s="19" t="n"/>
    </row>
    <row r="3161">
      <c r="D3161" s="21" t="n">
        <v>0</v>
      </c>
      <c r="E3161" s="21" t="n">
        <v>0</v>
      </c>
      <c r="F3161" s="21" t="n">
        <v>0</v>
      </c>
      <c r="G3161" s="21" t="n">
        <v>0</v>
      </c>
      <c r="H3161" s="21" t="n">
        <v>0</v>
      </c>
      <c r="I3161" s="21" t="n">
        <v>0</v>
      </c>
      <c r="J3161" s="21" t="n">
        <v>0</v>
      </c>
      <c r="K3161" s="21" t="n">
        <v>0</v>
      </c>
      <c r="L3161" s="21" t="n">
        <v>0</v>
      </c>
      <c r="M3161" s="21" t="n">
        <v>0</v>
      </c>
      <c r="N3161" s="21" t="n">
        <v>0</v>
      </c>
      <c r="O3161" s="21" t="n">
        <v>0</v>
      </c>
      <c r="P3161" s="21" t="n">
        <v>0</v>
      </c>
      <c r="Q3161" s="21" t="n">
        <v>0</v>
      </c>
      <c r="R3161" s="21" t="n">
        <v>0</v>
      </c>
      <c r="S3161" s="21" t="n">
        <v>0</v>
      </c>
      <c r="T3161" s="21" t="n">
        <v>0</v>
      </c>
      <c r="U3161" s="21" t="n">
        <v>0</v>
      </c>
      <c r="V3161" s="21" t="n">
        <v>0</v>
      </c>
      <c r="W3161" s="21" t="n">
        <v>0</v>
      </c>
      <c r="X3161" s="21" t="n">
        <v>0</v>
      </c>
      <c r="Y3161" s="21" t="n">
        <v>0</v>
      </c>
      <c r="Z3161" s="21" t="n">
        <v>0</v>
      </c>
      <c r="AA3161" s="21" t="n">
        <v>0</v>
      </c>
      <c r="AB3161" s="21" t="n">
        <v>0</v>
      </c>
      <c r="AC3161" s="21" t="n">
        <v>0</v>
      </c>
      <c r="AD3161" s="21" t="n">
        <v>0</v>
      </c>
      <c r="AE3161" s="21" t="n">
        <v>0</v>
      </c>
      <c r="AF3161" s="21" t="n">
        <v>0</v>
      </c>
      <c r="AG3161" s="21" t="n">
        <v>0</v>
      </c>
      <c r="AH3161" s="21" t="n">
        <v>0</v>
      </c>
      <c r="AI3161" s="21" t="n">
        <v>0</v>
      </c>
      <c r="AJ3161" s="21" t="n">
        <v>0</v>
      </c>
      <c r="AK3161" s="21" t="n">
        <v>0</v>
      </c>
      <c r="AL3161" s="21">
        <f>$B$1812</f>
        <v/>
      </c>
      <c r="AM3161" s="21">
        <f>$B$1814</f>
        <v/>
      </c>
      <c r="AN3161" s="21">
        <f>0</f>
        <v/>
      </c>
      <c r="AO3161" s="21">
        <f>2*$B$1813</f>
        <v/>
      </c>
      <c r="AP3161" s="21">
        <f>-$B$1812</f>
        <v/>
      </c>
      <c r="AQ3161" s="21">
        <f>$B$1814</f>
        <v/>
      </c>
      <c r="AR3161" s="21" t="n">
        <v>0</v>
      </c>
      <c r="AS3161" s="21" t="n">
        <v>0</v>
      </c>
      <c r="AT3161" s="19" t="n"/>
    </row>
    <row r="3162">
      <c r="D3162" s="21" t="n">
        <v>0</v>
      </c>
      <c r="E3162" s="21" t="n">
        <v>0</v>
      </c>
      <c r="F3162" s="21" t="n">
        <v>0</v>
      </c>
      <c r="G3162" s="21" t="n">
        <v>0</v>
      </c>
      <c r="H3162" s="21" t="n">
        <v>0</v>
      </c>
      <c r="I3162" s="21" t="n">
        <v>0</v>
      </c>
      <c r="J3162" s="21" t="n">
        <v>0</v>
      </c>
      <c r="K3162" s="21" t="n">
        <v>0</v>
      </c>
      <c r="L3162" s="21" t="n">
        <v>0</v>
      </c>
      <c r="M3162" s="21" t="n">
        <v>0</v>
      </c>
      <c r="N3162" s="21" t="n">
        <v>0</v>
      </c>
      <c r="O3162" s="21" t="n">
        <v>0</v>
      </c>
      <c r="P3162" s="21" t="n">
        <v>0</v>
      </c>
      <c r="Q3162" s="21" t="n">
        <v>0</v>
      </c>
      <c r="R3162" s="21" t="n">
        <v>0</v>
      </c>
      <c r="S3162" s="21" t="n">
        <v>0</v>
      </c>
      <c r="T3162" s="21" t="n">
        <v>0</v>
      </c>
      <c r="U3162" s="21" t="n">
        <v>0</v>
      </c>
      <c r="V3162" s="21" t="n">
        <v>0</v>
      </c>
      <c r="W3162" s="21" t="n">
        <v>0</v>
      </c>
      <c r="X3162" s="21" t="n">
        <v>0</v>
      </c>
      <c r="Y3162" s="21" t="n">
        <v>0</v>
      </c>
      <c r="Z3162" s="21" t="n">
        <v>0</v>
      </c>
      <c r="AA3162" s="21" t="n">
        <v>0</v>
      </c>
      <c r="AB3162" s="21" t="n">
        <v>0</v>
      </c>
      <c r="AC3162" s="21" t="n">
        <v>0</v>
      </c>
      <c r="AD3162" s="21" t="n">
        <v>0</v>
      </c>
      <c r="AE3162" s="21" t="n">
        <v>0</v>
      </c>
      <c r="AF3162" s="21" t="n">
        <v>0</v>
      </c>
      <c r="AG3162" s="21" t="n">
        <v>0</v>
      </c>
      <c r="AH3162" s="21" t="n">
        <v>0</v>
      </c>
      <c r="AI3162" s="21" t="n">
        <v>0</v>
      </c>
      <c r="AJ3162" s="21" t="n">
        <v>0</v>
      </c>
      <c r="AK3162" s="21" t="n">
        <v>0</v>
      </c>
      <c r="AL3162" s="21" t="n">
        <v>0</v>
      </c>
      <c r="AM3162" s="21" t="n">
        <v>0</v>
      </c>
      <c r="AN3162" s="21">
        <f>-$B$1811</f>
        <v/>
      </c>
      <c r="AO3162" s="21">
        <f>-$B$1812</f>
        <v/>
      </c>
      <c r="AP3162" s="21">
        <f>2*$B$1811+$D$3121</f>
        <v/>
      </c>
      <c r="AQ3162" s="21">
        <f>0</f>
        <v/>
      </c>
      <c r="AR3162" s="21">
        <f>-$B$1811</f>
        <v/>
      </c>
      <c r="AS3162" s="21">
        <f>$B$1812</f>
        <v/>
      </c>
      <c r="AT3162" s="19" t="n"/>
    </row>
    <row r="3163">
      <c r="D3163" s="21" t="n">
        <v>0</v>
      </c>
      <c r="E3163" s="21" t="n">
        <v>0</v>
      </c>
      <c r="F3163" s="21" t="n">
        <v>0</v>
      </c>
      <c r="G3163" s="21" t="n">
        <v>0</v>
      </c>
      <c r="H3163" s="21" t="n">
        <v>0</v>
      </c>
      <c r="I3163" s="21" t="n">
        <v>0</v>
      </c>
      <c r="J3163" s="21" t="n">
        <v>0</v>
      </c>
      <c r="K3163" s="21" t="n">
        <v>0</v>
      </c>
      <c r="L3163" s="21" t="n">
        <v>0</v>
      </c>
      <c r="M3163" s="21" t="n">
        <v>0</v>
      </c>
      <c r="N3163" s="21" t="n">
        <v>0</v>
      </c>
      <c r="O3163" s="21" t="n">
        <v>0</v>
      </c>
      <c r="P3163" s="21" t="n">
        <v>0</v>
      </c>
      <c r="Q3163" s="21" t="n">
        <v>0</v>
      </c>
      <c r="R3163" s="21" t="n">
        <v>0</v>
      </c>
      <c r="S3163" s="21" t="n">
        <v>0</v>
      </c>
      <c r="T3163" s="21" t="n">
        <v>0</v>
      </c>
      <c r="U3163" s="21" t="n">
        <v>0</v>
      </c>
      <c r="V3163" s="21" t="n">
        <v>0</v>
      </c>
      <c r="W3163" s="21" t="n">
        <v>0</v>
      </c>
      <c r="X3163" s="21" t="n">
        <v>0</v>
      </c>
      <c r="Y3163" s="21" t="n">
        <v>0</v>
      </c>
      <c r="Z3163" s="21" t="n">
        <v>0</v>
      </c>
      <c r="AA3163" s="21" t="n">
        <v>0</v>
      </c>
      <c r="AB3163" s="21" t="n">
        <v>0</v>
      </c>
      <c r="AC3163" s="21" t="n">
        <v>0</v>
      </c>
      <c r="AD3163" s="21" t="n">
        <v>0</v>
      </c>
      <c r="AE3163" s="21" t="n">
        <v>0</v>
      </c>
      <c r="AF3163" s="21" t="n">
        <v>0</v>
      </c>
      <c r="AG3163" s="21" t="n">
        <v>0</v>
      </c>
      <c r="AH3163" s="21" t="n">
        <v>0</v>
      </c>
      <c r="AI3163" s="21" t="n">
        <v>0</v>
      </c>
      <c r="AJ3163" s="21" t="n">
        <v>0</v>
      </c>
      <c r="AK3163" s="21" t="n">
        <v>0</v>
      </c>
      <c r="AL3163" s="21" t="n">
        <v>0</v>
      </c>
      <c r="AM3163" s="21" t="n">
        <v>0</v>
      </c>
      <c r="AN3163" s="21">
        <f>$B$1812</f>
        <v/>
      </c>
      <c r="AO3163" s="21">
        <f>$B$1814</f>
        <v/>
      </c>
      <c r="AP3163" s="21">
        <f>0</f>
        <v/>
      </c>
      <c r="AQ3163" s="21">
        <f>2*$B$1813</f>
        <v/>
      </c>
      <c r="AR3163" s="21">
        <f>-$B$1812</f>
        <v/>
      </c>
      <c r="AS3163" s="21">
        <f>$B$1814</f>
        <v/>
      </c>
      <c r="AT3163" s="19" t="n"/>
    </row>
    <row r="3164">
      <c r="D3164" s="21" t="n">
        <v>0</v>
      </c>
      <c r="E3164" s="21" t="n">
        <v>0</v>
      </c>
      <c r="F3164" s="21" t="n">
        <v>0</v>
      </c>
      <c r="G3164" s="21" t="n">
        <v>0</v>
      </c>
      <c r="H3164" s="21" t="n">
        <v>0</v>
      </c>
      <c r="I3164" s="21" t="n">
        <v>0</v>
      </c>
      <c r="J3164" s="21" t="n">
        <v>0</v>
      </c>
      <c r="K3164" s="21" t="n">
        <v>0</v>
      </c>
      <c r="L3164" s="21" t="n">
        <v>0</v>
      </c>
      <c r="M3164" s="21" t="n">
        <v>0</v>
      </c>
      <c r="N3164" s="21" t="n">
        <v>0</v>
      </c>
      <c r="O3164" s="21" t="n">
        <v>0</v>
      </c>
      <c r="P3164" s="21" t="n">
        <v>0</v>
      </c>
      <c r="Q3164" s="21" t="n">
        <v>0</v>
      </c>
      <c r="R3164" s="21" t="n">
        <v>0</v>
      </c>
      <c r="S3164" s="21" t="n">
        <v>0</v>
      </c>
      <c r="T3164" s="21" t="n">
        <v>0</v>
      </c>
      <c r="U3164" s="21" t="n">
        <v>0</v>
      </c>
      <c r="V3164" s="21" t="n">
        <v>0</v>
      </c>
      <c r="W3164" s="21" t="n">
        <v>0</v>
      </c>
      <c r="X3164" s="21" t="n">
        <v>0</v>
      </c>
      <c r="Y3164" s="21" t="n">
        <v>0</v>
      </c>
      <c r="Z3164" s="21" t="n">
        <v>0</v>
      </c>
      <c r="AA3164" s="21" t="n">
        <v>0</v>
      </c>
      <c r="AB3164" s="21" t="n">
        <v>0</v>
      </c>
      <c r="AC3164" s="21" t="n">
        <v>0</v>
      </c>
      <c r="AD3164" s="21" t="n">
        <v>0</v>
      </c>
      <c r="AE3164" s="21" t="n">
        <v>0</v>
      </c>
      <c r="AF3164" s="21" t="n">
        <v>0</v>
      </c>
      <c r="AG3164" s="21" t="n">
        <v>0</v>
      </c>
      <c r="AH3164" s="21" t="n">
        <v>0</v>
      </c>
      <c r="AI3164" s="21" t="n">
        <v>0</v>
      </c>
      <c r="AJ3164" s="21" t="n">
        <v>0</v>
      </c>
      <c r="AK3164" s="21" t="n">
        <v>0</v>
      </c>
      <c r="AL3164" s="21" t="n">
        <v>0</v>
      </c>
      <c r="AM3164" s="21" t="n">
        <v>0</v>
      </c>
      <c r="AN3164" s="21" t="n">
        <v>0</v>
      </c>
      <c r="AO3164" s="21" t="n">
        <v>0</v>
      </c>
      <c r="AP3164" s="21">
        <f>-$B$1811</f>
        <v/>
      </c>
      <c r="AQ3164" s="21">
        <f>-$B$1812</f>
        <v/>
      </c>
      <c r="AR3164" s="21">
        <f>$B$1811+$D$3122</f>
        <v/>
      </c>
      <c r="AS3164" s="21">
        <f>-$B$1812</f>
        <v/>
      </c>
      <c r="AT3164" s="19" t="n"/>
    </row>
    <row r="3165">
      <c r="D3165" s="21" t="n">
        <v>0</v>
      </c>
      <c r="E3165" s="21" t="n">
        <v>0</v>
      </c>
      <c r="F3165" s="21" t="n">
        <v>0</v>
      </c>
      <c r="G3165" s="21" t="n">
        <v>0</v>
      </c>
      <c r="H3165" s="21" t="n">
        <v>0</v>
      </c>
      <c r="I3165" s="21" t="n">
        <v>0</v>
      </c>
      <c r="J3165" s="21" t="n">
        <v>0</v>
      </c>
      <c r="K3165" s="21" t="n">
        <v>0</v>
      </c>
      <c r="L3165" s="21" t="n">
        <v>0</v>
      </c>
      <c r="M3165" s="21" t="n">
        <v>0</v>
      </c>
      <c r="N3165" s="21" t="n">
        <v>0</v>
      </c>
      <c r="O3165" s="21" t="n">
        <v>0</v>
      </c>
      <c r="P3165" s="21" t="n">
        <v>0</v>
      </c>
      <c r="Q3165" s="21" t="n">
        <v>0</v>
      </c>
      <c r="R3165" s="21" t="n">
        <v>0</v>
      </c>
      <c r="S3165" s="21" t="n">
        <v>0</v>
      </c>
      <c r="T3165" s="21" t="n">
        <v>0</v>
      </c>
      <c r="U3165" s="21" t="n">
        <v>0</v>
      </c>
      <c r="V3165" s="21" t="n">
        <v>0</v>
      </c>
      <c r="W3165" s="21" t="n">
        <v>0</v>
      </c>
      <c r="X3165" s="21" t="n">
        <v>0</v>
      </c>
      <c r="Y3165" s="21" t="n">
        <v>0</v>
      </c>
      <c r="Z3165" s="21" t="n">
        <v>0</v>
      </c>
      <c r="AA3165" s="21" t="n">
        <v>0</v>
      </c>
      <c r="AB3165" s="21" t="n">
        <v>0</v>
      </c>
      <c r="AC3165" s="21" t="n">
        <v>0</v>
      </c>
      <c r="AD3165" s="21" t="n">
        <v>0</v>
      </c>
      <c r="AE3165" s="21" t="n">
        <v>0</v>
      </c>
      <c r="AF3165" s="21" t="n">
        <v>0</v>
      </c>
      <c r="AG3165" s="21" t="n">
        <v>0</v>
      </c>
      <c r="AH3165" s="21" t="n">
        <v>0</v>
      </c>
      <c r="AI3165" s="21" t="n">
        <v>0</v>
      </c>
      <c r="AJ3165" s="21" t="n">
        <v>0</v>
      </c>
      <c r="AK3165" s="21" t="n">
        <v>0</v>
      </c>
      <c r="AL3165" s="21" t="n">
        <v>0</v>
      </c>
      <c r="AM3165" s="21" t="n">
        <v>0</v>
      </c>
      <c r="AN3165" s="21" t="n">
        <v>0</v>
      </c>
      <c r="AO3165" s="21" t="n">
        <v>0</v>
      </c>
      <c r="AP3165" s="21">
        <f>$B$1812</f>
        <v/>
      </c>
      <c r="AQ3165" s="21">
        <f>$B$1814</f>
        <v/>
      </c>
      <c r="AR3165" s="21">
        <f>-$B$1812</f>
        <v/>
      </c>
      <c r="AS3165" s="21">
        <f>$B$1813</f>
        <v/>
      </c>
      <c r="AT3165" s="19" t="n"/>
    </row>
    <row r="3167">
      <c r="A3167" s="8" t="inlineStr">
        <is>
          <t>gen 20</t>
        </is>
      </c>
    </row>
    <row r="3168">
      <c r="D3168" s="19">
        <f>IF(ABS(IF(ABS($E$3102)&gt;0.000000001,$E$3102,0.000000001))=0,0,IF($E$1826&lt;=$B$1820,0,IF(ABS(IF(ABS($E$3102)&gt;0.000000001,$E$3102,0.000000001))&gt;=8*$B$1822,$H$1826,0.5*$H$1826*(ABS(IF(ABS($E$3102)&gt;0.000000001,$E$3102,0.000000001))/$B$1822)^(1/3)))/ABS(IF(ABS($E$3102)&gt;0.000000001,$E$3102,0.000000001))*$I$1826)</f>
        <v/>
      </c>
      <c r="E3168" s="19">
        <f>0.5*$E$3102+0.5*$AT$3190</f>
        <v/>
      </c>
      <c r="F3168" s="19">
        <f>$AT$3191</f>
        <v/>
      </c>
    </row>
    <row r="3169">
      <c r="D3169" s="19">
        <f>IF(ABS(IF(ABS($E$3103)&gt;0.000000001,$E$3103,0.000000001))=0,0,IF($E$1827&lt;=$B$1820,0,IF(ABS(IF(ABS($E$3103)&gt;0.000000001,$E$3103,0.000000001))&gt;=8*$B$1822,$H$1827,0.5*$H$1827*(ABS(IF(ABS($E$3103)&gt;0.000000001,$E$3103,0.000000001))/$B$1822)^(1/3)))/ABS(IF(ABS($E$3103)&gt;0.000000001,$E$3103,0.000000001))*$I$1827)</f>
        <v/>
      </c>
      <c r="E3169" s="19">
        <f>0.5*$E$3103+0.5*$AT$3192</f>
        <v/>
      </c>
      <c r="F3169" s="19">
        <f>$AT$3193</f>
        <v/>
      </c>
    </row>
    <row r="3170">
      <c r="D3170" s="19">
        <f>IF(ABS(IF(ABS($E$3104)&gt;0.000000001,$E$3104,0.000000001))=0,0,IF($E$1828&lt;=$B$1820,0,IF(ABS(IF(ABS($E$3104)&gt;0.000000001,$E$3104,0.000000001))&gt;=8*$B$1822,$H$1828,0.5*$H$1828*(ABS(IF(ABS($E$3104)&gt;0.000000001,$E$3104,0.000000001))/$B$1822)^(1/3)))/ABS(IF(ABS($E$3104)&gt;0.000000001,$E$3104,0.000000001))*$I$1828)</f>
        <v/>
      </c>
      <c r="E3170" s="19">
        <f>0.5*$E$3104+0.5*$AT$3194</f>
        <v/>
      </c>
      <c r="F3170" s="19">
        <f>$AT$3195</f>
        <v/>
      </c>
    </row>
    <row r="3171">
      <c r="D3171" s="19">
        <f>IF(ABS(IF(ABS($E$3105)&gt;0.000000001,$E$3105,0.000000001))=0,0,IF($E$1829&lt;=$B$1820,0,IF(ABS(IF(ABS($E$3105)&gt;0.000000001,$E$3105,0.000000001))&gt;=8*$B$1822,$H$1829,0.5*$H$1829*(ABS(IF(ABS($E$3105)&gt;0.000000001,$E$3105,0.000000001))/$B$1822)^(1/3)))/ABS(IF(ABS($E$3105)&gt;0.000000001,$E$3105,0.000000001))*$I$1829)</f>
        <v/>
      </c>
      <c r="E3171" s="19">
        <f>0.5*$E$3105+0.5*$AT$3196</f>
        <v/>
      </c>
      <c r="F3171" s="19">
        <f>$AT$3197</f>
        <v/>
      </c>
    </row>
    <row r="3172">
      <c r="D3172" s="19">
        <f>IF(ABS(IF(ABS($E$3106)&gt;0.000000001,$E$3106,0.000000001))=0,0,IF($E$1830&lt;=$B$1820,0,IF(ABS(IF(ABS($E$3106)&gt;0.000000001,$E$3106,0.000000001))&gt;=8*$B$1822,$H$1830,0.5*$H$1830*(ABS(IF(ABS($E$3106)&gt;0.000000001,$E$3106,0.000000001))/$B$1822)^(1/3)))/ABS(IF(ABS($E$3106)&gt;0.000000001,$E$3106,0.000000001))*$I$1830)</f>
        <v/>
      </c>
      <c r="E3172" s="19">
        <f>0.5*$E$3106+0.5*$AT$3198</f>
        <v/>
      </c>
      <c r="F3172" s="19">
        <f>$AT$3199</f>
        <v/>
      </c>
    </row>
    <row r="3173">
      <c r="D3173" s="19">
        <f>IF(ABS(IF(ABS($E$3107)&gt;0.000000001,$E$3107,0.000000001))=0,0,IF($E$1831&lt;=$B$1820,0,IF(ABS(IF(ABS($E$3107)&gt;0.000000001,$E$3107,0.000000001))&gt;=8*$B$1822,$H$1831,0.5*$H$1831*(ABS(IF(ABS($E$3107)&gt;0.000000001,$E$3107,0.000000001))/$B$1822)^(1/3)))/ABS(IF(ABS($E$3107)&gt;0.000000001,$E$3107,0.000000001))*$I$1831)</f>
        <v/>
      </c>
      <c r="E3173" s="19">
        <f>0.5*$E$3107+0.5*$AT$3200</f>
        <v/>
      </c>
      <c r="F3173" s="19">
        <f>$AT$3201</f>
        <v/>
      </c>
    </row>
    <row r="3174">
      <c r="D3174" s="19">
        <f>IF(ABS(IF(ABS($E$3108)&gt;0.000000001,$E$3108,0.000000001))=0,0,IF($E$1832&lt;=$B$1820,0,IF(ABS(IF(ABS($E$3108)&gt;0.000000001,$E$3108,0.000000001))&gt;=8*$B$1822,$H$1832,0.5*$H$1832*(ABS(IF(ABS($E$3108)&gt;0.000000001,$E$3108,0.000000001))/$B$1822)^(1/3)))/ABS(IF(ABS($E$3108)&gt;0.000000001,$E$3108,0.000000001))*$I$1832)</f>
        <v/>
      </c>
      <c r="E3174" s="19">
        <f>0.5*$E$3108+0.5*$AT$3202</f>
        <v/>
      </c>
      <c r="F3174" s="19">
        <f>$AT$3203</f>
        <v/>
      </c>
    </row>
    <row r="3175">
      <c r="D3175" s="19">
        <f>IF(ABS(IF(ABS($E$3109)&gt;0.000000001,$E$3109,0.000000001))=0,0,IF($E$1833&lt;=$B$1820,0,IF(ABS(IF(ABS($E$3109)&gt;0.000000001,$E$3109,0.000000001))&gt;=8*$B$1822,$H$1833,0.5*$H$1833*(ABS(IF(ABS($E$3109)&gt;0.000000001,$E$3109,0.000000001))/$B$1822)^(1/3)))/ABS(IF(ABS($E$3109)&gt;0.000000001,$E$3109,0.000000001))*$I$1833)</f>
        <v/>
      </c>
      <c r="E3175" s="19">
        <f>0.5*$E$3109+0.5*$AT$3204</f>
        <v/>
      </c>
      <c r="F3175" s="19">
        <f>$AT$3205</f>
        <v/>
      </c>
    </row>
    <row r="3176">
      <c r="D3176" s="19">
        <f>IF(ABS(IF(ABS($E$3110)&gt;0.000000001,$E$3110,0.000000001))=0,0,IF($E$1834&lt;=$B$1820,0,IF(ABS(IF(ABS($E$3110)&gt;0.000000001,$E$3110,0.000000001))&gt;=8*$B$1822,$H$1834,0.5*$H$1834*(ABS(IF(ABS($E$3110)&gt;0.000000001,$E$3110,0.000000001))/$B$1822)^(1/3)))/ABS(IF(ABS($E$3110)&gt;0.000000001,$E$3110,0.000000001))*$I$1834)</f>
        <v/>
      </c>
      <c r="E3176" s="19">
        <f>0.5*$E$3110+0.5*$AT$3206</f>
        <v/>
      </c>
      <c r="F3176" s="19">
        <f>$AT$3207</f>
        <v/>
      </c>
    </row>
    <row r="3177">
      <c r="D3177" s="19">
        <f>IF(ABS(IF(ABS($E$3111)&gt;0.000000001,$E$3111,0.000000001))=0,0,IF($E$1835&lt;=$B$1820,0,IF(ABS(IF(ABS($E$3111)&gt;0.000000001,$E$3111,0.000000001))&gt;=8*$B$1822,$H$1835,0.5*$H$1835*(ABS(IF(ABS($E$3111)&gt;0.000000001,$E$3111,0.000000001))/$B$1822)^(1/3)))/ABS(IF(ABS($E$3111)&gt;0.000000001,$E$3111,0.000000001))*$I$1835)</f>
        <v/>
      </c>
      <c r="E3177" s="19">
        <f>0.5*$E$3111+0.5*$AT$3208</f>
        <v/>
      </c>
      <c r="F3177" s="19">
        <f>$AT$3209</f>
        <v/>
      </c>
    </row>
    <row r="3178">
      <c r="D3178" s="19">
        <f>IF(ABS(IF(ABS($E$3112)&gt;0.000000001,$E$3112,0.000000001))=0,0,IF($E$1836&lt;=$B$1820,0,IF(ABS(IF(ABS($E$3112)&gt;0.000000001,$E$3112,0.000000001))&gt;=8*$B$1822,$H$1836,0.5*$H$1836*(ABS(IF(ABS($E$3112)&gt;0.000000001,$E$3112,0.000000001))/$B$1822)^(1/3)))/ABS(IF(ABS($E$3112)&gt;0.000000001,$E$3112,0.000000001))*$I$1836)</f>
        <v/>
      </c>
      <c r="E3178" s="19">
        <f>0.5*$E$3112+0.5*$AT$3210</f>
        <v/>
      </c>
      <c r="F3178" s="19">
        <f>$AT$3211</f>
        <v/>
      </c>
    </row>
    <row r="3179">
      <c r="D3179" s="19">
        <f>IF(ABS(IF(ABS($E$3113)&gt;0.000000001,$E$3113,0.000000001))=0,0,IF($E$1837&lt;=$B$1820,0,IF(ABS(IF(ABS($E$3113)&gt;0.000000001,$E$3113,0.000000001))&gt;=8*$B$1822,$H$1837,0.5*$H$1837*(ABS(IF(ABS($E$3113)&gt;0.000000001,$E$3113,0.000000001))/$B$1822)^(1/3)))/ABS(IF(ABS($E$3113)&gt;0.000000001,$E$3113,0.000000001))*$I$1837)</f>
        <v/>
      </c>
      <c r="E3179" s="19">
        <f>0.5*$E$3113+0.5*$AT$3212</f>
        <v/>
      </c>
      <c r="F3179" s="19">
        <f>$AT$3213</f>
        <v/>
      </c>
    </row>
    <row r="3180">
      <c r="D3180" s="19">
        <f>IF(ABS(IF(ABS($E$3114)&gt;0.000000001,$E$3114,0.000000001))=0,0,IF($E$1838&lt;=$B$1820,0,IF(ABS(IF(ABS($E$3114)&gt;0.000000001,$E$3114,0.000000001))&gt;=8*$B$1822,$H$1838,0.5*$H$1838*(ABS(IF(ABS($E$3114)&gt;0.000000001,$E$3114,0.000000001))/$B$1822)^(1/3)))/ABS(IF(ABS($E$3114)&gt;0.000000001,$E$3114,0.000000001))*$I$1838)</f>
        <v/>
      </c>
      <c r="E3180" s="19">
        <f>0.5*$E$3114+0.5*$AT$3214</f>
        <v/>
      </c>
      <c r="F3180" s="19">
        <f>$AT$3215</f>
        <v/>
      </c>
    </row>
    <row r="3181">
      <c r="D3181" s="19">
        <f>IF(ABS(IF(ABS($E$3115)&gt;0.000000001,$E$3115,0.000000001))=0,0,IF($E$1839&lt;=$B$1820,0,IF(ABS(IF(ABS($E$3115)&gt;0.000000001,$E$3115,0.000000001))&gt;=8*$B$1822,$H$1839,0.5*$H$1839*(ABS(IF(ABS($E$3115)&gt;0.000000001,$E$3115,0.000000001))/$B$1822)^(1/3)))/ABS(IF(ABS($E$3115)&gt;0.000000001,$E$3115,0.000000001))*$I$1839)</f>
        <v/>
      </c>
      <c r="E3181" s="19">
        <f>0.5*$E$3115+0.5*$AT$3216</f>
        <v/>
      </c>
      <c r="F3181" s="19">
        <f>$AT$3217</f>
        <v/>
      </c>
    </row>
    <row r="3182">
      <c r="D3182" s="19">
        <f>IF(ABS(IF(ABS($E$3116)&gt;0.000000001,$E$3116,0.000000001))=0,0,IF($E$1840&lt;=$B$1820,0,IF(ABS(IF(ABS($E$3116)&gt;0.000000001,$E$3116,0.000000001))&gt;=8*$B$1822,$H$1840,0.5*$H$1840*(ABS(IF(ABS($E$3116)&gt;0.000000001,$E$3116,0.000000001))/$B$1822)^(1/3)))/ABS(IF(ABS($E$3116)&gt;0.000000001,$E$3116,0.000000001))*$I$1840)</f>
        <v/>
      </c>
      <c r="E3182" s="19">
        <f>0.5*$E$3116+0.5*$AT$3218</f>
        <v/>
      </c>
      <c r="F3182" s="19">
        <f>$AT$3219</f>
        <v/>
      </c>
    </row>
    <row r="3183">
      <c r="D3183" s="19">
        <f>IF(ABS(IF(ABS($E$3117)&gt;0.000000001,$E$3117,0.000000001))=0,0,IF($E$1841&lt;=$B$1820,0,IF(ABS(IF(ABS($E$3117)&gt;0.000000001,$E$3117,0.000000001))&gt;=8*$B$1822,$H$1841,0.5*$H$1841*(ABS(IF(ABS($E$3117)&gt;0.000000001,$E$3117,0.000000001))/$B$1822)^(1/3)))/ABS(IF(ABS($E$3117)&gt;0.000000001,$E$3117,0.000000001))*$I$1841)</f>
        <v/>
      </c>
      <c r="E3183" s="19">
        <f>0.5*$E$3117+0.5*$AT$3220</f>
        <v/>
      </c>
      <c r="F3183" s="19">
        <f>$AT$3221</f>
        <v/>
      </c>
    </row>
    <row r="3184">
      <c r="D3184" s="19">
        <f>IF(ABS(IF(ABS($E$3118)&gt;0.000000001,$E$3118,0.000000001))=0,0,IF($E$1842&lt;=$B$1820,0,IF(ABS(IF(ABS($E$3118)&gt;0.000000001,$E$3118,0.000000001))&gt;=8*$B$1822,$H$1842,0.5*$H$1842*(ABS(IF(ABS($E$3118)&gt;0.000000001,$E$3118,0.000000001))/$B$1822)^(1/3)))/ABS(IF(ABS($E$3118)&gt;0.000000001,$E$3118,0.000000001))*$I$1842)</f>
        <v/>
      </c>
      <c r="E3184" s="19">
        <f>0.5*$E$3118+0.5*$AT$3222</f>
        <v/>
      </c>
      <c r="F3184" s="19">
        <f>$AT$3223</f>
        <v/>
      </c>
    </row>
    <row r="3185">
      <c r="D3185" s="19">
        <f>IF(ABS(IF(ABS($E$3119)&gt;0.000000001,$E$3119,0.000000001))=0,0,IF($E$1843&lt;=$B$1820,0,IF(ABS(IF(ABS($E$3119)&gt;0.000000001,$E$3119,0.000000001))&gt;=8*$B$1822,$H$1843,0.5*$H$1843*(ABS(IF(ABS($E$3119)&gt;0.000000001,$E$3119,0.000000001))/$B$1822)^(1/3)))/ABS(IF(ABS($E$3119)&gt;0.000000001,$E$3119,0.000000001))*$I$1843)</f>
        <v/>
      </c>
      <c r="E3185" s="19">
        <f>0.5*$E$3119+0.5*$AT$3224</f>
        <v/>
      </c>
      <c r="F3185" s="19">
        <f>$AT$3225</f>
        <v/>
      </c>
    </row>
    <row r="3186">
      <c r="D3186" s="19">
        <f>IF(ABS(IF(ABS($E$3120)&gt;0.000000001,$E$3120,0.000000001))=0,0,IF($E$1844&lt;=$B$1820,0,IF(ABS(IF(ABS($E$3120)&gt;0.000000001,$E$3120,0.000000001))&gt;=8*$B$1822,$H$1844,0.5*$H$1844*(ABS(IF(ABS($E$3120)&gt;0.000000001,$E$3120,0.000000001))/$B$1822)^(1/3)))/ABS(IF(ABS($E$3120)&gt;0.000000001,$E$3120,0.000000001))*$I$1844)</f>
        <v/>
      </c>
      <c r="E3186" s="19">
        <f>0.5*$E$3120+0.5*$AT$3226</f>
        <v/>
      </c>
      <c r="F3186" s="19">
        <f>$AT$3227</f>
        <v/>
      </c>
    </row>
    <row r="3187">
      <c r="D3187" s="19">
        <f>IF(ABS(IF(ABS($E$3121)&gt;0.000000001,$E$3121,0.000000001))=0,0,IF($E$1845&lt;=$B$1820,0,IF(ABS(IF(ABS($E$3121)&gt;0.000000001,$E$3121,0.000000001))&gt;=8*$B$1822,$H$1845,0.5*$H$1845*(ABS(IF(ABS($E$3121)&gt;0.000000001,$E$3121,0.000000001))/$B$1822)^(1/3)))/ABS(IF(ABS($E$3121)&gt;0.000000001,$E$3121,0.000000001))*$I$1845)</f>
        <v/>
      </c>
      <c r="E3187" s="19">
        <f>0.5*$E$3121+0.5*$AT$3228</f>
        <v/>
      </c>
      <c r="F3187" s="19">
        <f>$AT$3229</f>
        <v/>
      </c>
    </row>
    <row r="3188">
      <c r="D3188" s="19">
        <f>IF(ABS(IF(ABS($E$3122)&gt;0.000000001,$E$3122,0.000000001))=0,0,IF($E$1846&lt;=$B$1820,0,IF(ABS(IF(ABS($E$3122)&gt;0.000000001,$E$3122,0.000000001))&gt;=8*$B$1822,$H$1846,0.5*$H$1846*(ABS(IF(ABS($E$3122)&gt;0.000000001,$E$3122,0.000000001))/$B$1822)^(1/3)))/ABS(IF(ABS($E$3122)&gt;0.000000001,$E$3122,0.000000001))*$I$1846)</f>
        <v/>
      </c>
      <c r="E3188" s="19">
        <f>0.5*$E$3122+0.5*$AT$3230</f>
        <v/>
      </c>
      <c r="F3188" s="19">
        <f>$AT$3231</f>
        <v/>
      </c>
    </row>
    <row r="3190">
      <c r="D3190" s="21">
        <f>$B$1811+$D$3168</f>
        <v/>
      </c>
      <c r="E3190" s="21">
        <f>$B$1812</f>
        <v/>
      </c>
      <c r="F3190" s="21">
        <f>-$B$1811</f>
        <v/>
      </c>
      <c r="G3190" s="21">
        <f>$B$1812</f>
        <v/>
      </c>
      <c r="H3190" s="21" t="n">
        <v>0</v>
      </c>
      <c r="I3190" s="21" t="n">
        <v>0</v>
      </c>
      <c r="J3190" s="21" t="n">
        <v>0</v>
      </c>
      <c r="K3190" s="21" t="n">
        <v>0</v>
      </c>
      <c r="L3190" s="21" t="n">
        <v>0</v>
      </c>
      <c r="M3190" s="21" t="n">
        <v>0</v>
      </c>
      <c r="N3190" s="21" t="n">
        <v>0</v>
      </c>
      <c r="O3190" s="21" t="n">
        <v>0</v>
      </c>
      <c r="P3190" s="21" t="n">
        <v>0</v>
      </c>
      <c r="Q3190" s="21" t="n">
        <v>0</v>
      </c>
      <c r="R3190" s="21" t="n">
        <v>0</v>
      </c>
      <c r="S3190" s="21" t="n">
        <v>0</v>
      </c>
      <c r="T3190" s="21" t="n">
        <v>0</v>
      </c>
      <c r="U3190" s="21" t="n">
        <v>0</v>
      </c>
      <c r="V3190" s="21" t="n">
        <v>0</v>
      </c>
      <c r="W3190" s="21" t="n">
        <v>0</v>
      </c>
      <c r="X3190" s="21" t="n">
        <v>0</v>
      </c>
      <c r="Y3190" s="21" t="n">
        <v>0</v>
      </c>
      <c r="Z3190" s="21" t="n">
        <v>0</v>
      </c>
      <c r="AA3190" s="21" t="n">
        <v>0</v>
      </c>
      <c r="AB3190" s="21" t="n">
        <v>0</v>
      </c>
      <c r="AC3190" s="21" t="n">
        <v>0</v>
      </c>
      <c r="AD3190" s="21" t="n">
        <v>0</v>
      </c>
      <c r="AE3190" s="21" t="n">
        <v>0</v>
      </c>
      <c r="AF3190" s="21" t="n">
        <v>0</v>
      </c>
      <c r="AG3190" s="21" t="n">
        <v>0</v>
      </c>
      <c r="AH3190" s="21" t="n">
        <v>0</v>
      </c>
      <c r="AI3190" s="21" t="n">
        <v>0</v>
      </c>
      <c r="AJ3190" s="21" t="n">
        <v>0</v>
      </c>
      <c r="AK3190" s="21" t="n">
        <v>0</v>
      </c>
      <c r="AL3190" s="21" t="n">
        <v>0</v>
      </c>
      <c r="AM3190" s="21" t="n">
        <v>0</v>
      </c>
      <c r="AN3190" s="21" t="n">
        <v>0</v>
      </c>
      <c r="AO3190" s="21" t="n">
        <v>0</v>
      </c>
      <c r="AP3190" s="21" t="n">
        <v>0</v>
      </c>
      <c r="AQ3190" s="21" t="n">
        <v>0</v>
      </c>
      <c r="AR3190" s="21" t="n">
        <v>0</v>
      </c>
      <c r="AS3190" s="21" t="n">
        <v>0</v>
      </c>
      <c r="AT3190" s="19">
        <f t="array" ref="AT3190:AT3231">MMULT(MINVERSE($D$3190:$AS$3231),$D$1848:$D$1889)</f>
        <v/>
      </c>
    </row>
    <row r="3191">
      <c r="D3191" s="21">
        <f>$B$1812</f>
        <v/>
      </c>
      <c r="E3191" s="21">
        <f>$B$1813</f>
        <v/>
      </c>
      <c r="F3191" s="21">
        <f>-$B$1812</f>
        <v/>
      </c>
      <c r="G3191" s="21">
        <f>$B$1814</f>
        <v/>
      </c>
      <c r="H3191" s="21" t="n">
        <v>0</v>
      </c>
      <c r="I3191" s="21" t="n">
        <v>0</v>
      </c>
      <c r="J3191" s="21" t="n">
        <v>0</v>
      </c>
      <c r="K3191" s="21" t="n">
        <v>0</v>
      </c>
      <c r="L3191" s="21" t="n">
        <v>0</v>
      </c>
      <c r="M3191" s="21" t="n">
        <v>0</v>
      </c>
      <c r="N3191" s="21" t="n">
        <v>0</v>
      </c>
      <c r="O3191" s="21" t="n">
        <v>0</v>
      </c>
      <c r="P3191" s="21" t="n">
        <v>0</v>
      </c>
      <c r="Q3191" s="21" t="n">
        <v>0</v>
      </c>
      <c r="R3191" s="21" t="n">
        <v>0</v>
      </c>
      <c r="S3191" s="21" t="n">
        <v>0</v>
      </c>
      <c r="T3191" s="21" t="n">
        <v>0</v>
      </c>
      <c r="U3191" s="21" t="n">
        <v>0</v>
      </c>
      <c r="V3191" s="21" t="n">
        <v>0</v>
      </c>
      <c r="W3191" s="21" t="n">
        <v>0</v>
      </c>
      <c r="X3191" s="21" t="n">
        <v>0</v>
      </c>
      <c r="Y3191" s="21" t="n">
        <v>0</v>
      </c>
      <c r="Z3191" s="21" t="n">
        <v>0</v>
      </c>
      <c r="AA3191" s="21" t="n">
        <v>0</v>
      </c>
      <c r="AB3191" s="21" t="n">
        <v>0</v>
      </c>
      <c r="AC3191" s="21" t="n">
        <v>0</v>
      </c>
      <c r="AD3191" s="21" t="n">
        <v>0</v>
      </c>
      <c r="AE3191" s="21" t="n">
        <v>0</v>
      </c>
      <c r="AF3191" s="21" t="n">
        <v>0</v>
      </c>
      <c r="AG3191" s="21" t="n">
        <v>0</v>
      </c>
      <c r="AH3191" s="21" t="n">
        <v>0</v>
      </c>
      <c r="AI3191" s="21" t="n">
        <v>0</v>
      </c>
      <c r="AJ3191" s="21" t="n">
        <v>0</v>
      </c>
      <c r="AK3191" s="21" t="n">
        <v>0</v>
      </c>
      <c r="AL3191" s="21" t="n">
        <v>0</v>
      </c>
      <c r="AM3191" s="21" t="n">
        <v>0</v>
      </c>
      <c r="AN3191" s="21" t="n">
        <v>0</v>
      </c>
      <c r="AO3191" s="21" t="n">
        <v>0</v>
      </c>
      <c r="AP3191" s="21" t="n">
        <v>0</v>
      </c>
      <c r="AQ3191" s="21" t="n">
        <v>0</v>
      </c>
      <c r="AR3191" s="21" t="n">
        <v>0</v>
      </c>
      <c r="AS3191" s="21" t="n">
        <v>0</v>
      </c>
      <c r="AT3191" s="19" t="n"/>
    </row>
    <row r="3192">
      <c r="D3192" s="21">
        <f>-$B$1811</f>
        <v/>
      </c>
      <c r="E3192" s="21">
        <f>-$B$1812</f>
        <v/>
      </c>
      <c r="F3192" s="21">
        <f>2*$B$1811+$D$3169</f>
        <v/>
      </c>
      <c r="G3192" s="21">
        <f>0</f>
        <v/>
      </c>
      <c r="H3192" s="21">
        <f>-$B$1811</f>
        <v/>
      </c>
      <c r="I3192" s="21">
        <f>$B$1812</f>
        <v/>
      </c>
      <c r="J3192" s="21" t="n">
        <v>0</v>
      </c>
      <c r="K3192" s="21" t="n">
        <v>0</v>
      </c>
      <c r="L3192" s="21" t="n">
        <v>0</v>
      </c>
      <c r="M3192" s="21" t="n">
        <v>0</v>
      </c>
      <c r="N3192" s="21" t="n">
        <v>0</v>
      </c>
      <c r="O3192" s="21" t="n">
        <v>0</v>
      </c>
      <c r="P3192" s="21" t="n">
        <v>0</v>
      </c>
      <c r="Q3192" s="21" t="n">
        <v>0</v>
      </c>
      <c r="R3192" s="21" t="n">
        <v>0</v>
      </c>
      <c r="S3192" s="21" t="n">
        <v>0</v>
      </c>
      <c r="T3192" s="21" t="n">
        <v>0</v>
      </c>
      <c r="U3192" s="21" t="n">
        <v>0</v>
      </c>
      <c r="V3192" s="21" t="n">
        <v>0</v>
      </c>
      <c r="W3192" s="21" t="n">
        <v>0</v>
      </c>
      <c r="X3192" s="21" t="n">
        <v>0</v>
      </c>
      <c r="Y3192" s="21" t="n">
        <v>0</v>
      </c>
      <c r="Z3192" s="21" t="n">
        <v>0</v>
      </c>
      <c r="AA3192" s="21" t="n">
        <v>0</v>
      </c>
      <c r="AB3192" s="21" t="n">
        <v>0</v>
      </c>
      <c r="AC3192" s="21" t="n">
        <v>0</v>
      </c>
      <c r="AD3192" s="21" t="n">
        <v>0</v>
      </c>
      <c r="AE3192" s="21" t="n">
        <v>0</v>
      </c>
      <c r="AF3192" s="21" t="n">
        <v>0</v>
      </c>
      <c r="AG3192" s="21" t="n">
        <v>0</v>
      </c>
      <c r="AH3192" s="21" t="n">
        <v>0</v>
      </c>
      <c r="AI3192" s="21" t="n">
        <v>0</v>
      </c>
      <c r="AJ3192" s="21" t="n">
        <v>0</v>
      </c>
      <c r="AK3192" s="21" t="n">
        <v>0</v>
      </c>
      <c r="AL3192" s="21" t="n">
        <v>0</v>
      </c>
      <c r="AM3192" s="21" t="n">
        <v>0</v>
      </c>
      <c r="AN3192" s="21" t="n">
        <v>0</v>
      </c>
      <c r="AO3192" s="21" t="n">
        <v>0</v>
      </c>
      <c r="AP3192" s="21" t="n">
        <v>0</v>
      </c>
      <c r="AQ3192" s="21" t="n">
        <v>0</v>
      </c>
      <c r="AR3192" s="21" t="n">
        <v>0</v>
      </c>
      <c r="AS3192" s="21" t="n">
        <v>0</v>
      </c>
      <c r="AT3192" s="19" t="n"/>
    </row>
    <row r="3193">
      <c r="D3193" s="21">
        <f>$B$1812</f>
        <v/>
      </c>
      <c r="E3193" s="21">
        <f>$B$1814</f>
        <v/>
      </c>
      <c r="F3193" s="21">
        <f>0</f>
        <v/>
      </c>
      <c r="G3193" s="21">
        <f>2*$B$1813</f>
        <v/>
      </c>
      <c r="H3193" s="21">
        <f>-$B$1812</f>
        <v/>
      </c>
      <c r="I3193" s="21">
        <f>$B$1814</f>
        <v/>
      </c>
      <c r="J3193" s="21" t="n">
        <v>0</v>
      </c>
      <c r="K3193" s="21" t="n">
        <v>0</v>
      </c>
      <c r="L3193" s="21" t="n">
        <v>0</v>
      </c>
      <c r="M3193" s="21" t="n">
        <v>0</v>
      </c>
      <c r="N3193" s="21" t="n">
        <v>0</v>
      </c>
      <c r="O3193" s="21" t="n">
        <v>0</v>
      </c>
      <c r="P3193" s="21" t="n">
        <v>0</v>
      </c>
      <c r="Q3193" s="21" t="n">
        <v>0</v>
      </c>
      <c r="R3193" s="21" t="n">
        <v>0</v>
      </c>
      <c r="S3193" s="21" t="n">
        <v>0</v>
      </c>
      <c r="T3193" s="21" t="n">
        <v>0</v>
      </c>
      <c r="U3193" s="21" t="n">
        <v>0</v>
      </c>
      <c r="V3193" s="21" t="n">
        <v>0</v>
      </c>
      <c r="W3193" s="21" t="n">
        <v>0</v>
      </c>
      <c r="X3193" s="21" t="n">
        <v>0</v>
      </c>
      <c r="Y3193" s="21" t="n">
        <v>0</v>
      </c>
      <c r="Z3193" s="21" t="n">
        <v>0</v>
      </c>
      <c r="AA3193" s="21" t="n">
        <v>0</v>
      </c>
      <c r="AB3193" s="21" t="n">
        <v>0</v>
      </c>
      <c r="AC3193" s="21" t="n">
        <v>0</v>
      </c>
      <c r="AD3193" s="21" t="n">
        <v>0</v>
      </c>
      <c r="AE3193" s="21" t="n">
        <v>0</v>
      </c>
      <c r="AF3193" s="21" t="n">
        <v>0</v>
      </c>
      <c r="AG3193" s="21" t="n">
        <v>0</v>
      </c>
      <c r="AH3193" s="21" t="n">
        <v>0</v>
      </c>
      <c r="AI3193" s="21" t="n">
        <v>0</v>
      </c>
      <c r="AJ3193" s="21" t="n">
        <v>0</v>
      </c>
      <c r="AK3193" s="21" t="n">
        <v>0</v>
      </c>
      <c r="AL3193" s="21" t="n">
        <v>0</v>
      </c>
      <c r="AM3193" s="21" t="n">
        <v>0</v>
      </c>
      <c r="AN3193" s="21" t="n">
        <v>0</v>
      </c>
      <c r="AO3193" s="21" t="n">
        <v>0</v>
      </c>
      <c r="AP3193" s="21" t="n">
        <v>0</v>
      </c>
      <c r="AQ3193" s="21" t="n">
        <v>0</v>
      </c>
      <c r="AR3193" s="21" t="n">
        <v>0</v>
      </c>
      <c r="AS3193" s="21" t="n">
        <v>0</v>
      </c>
      <c r="AT3193" s="19" t="n"/>
    </row>
    <row r="3194">
      <c r="D3194" s="21" t="n">
        <v>0</v>
      </c>
      <c r="E3194" s="21" t="n">
        <v>0</v>
      </c>
      <c r="F3194" s="21">
        <f>-$B$1811</f>
        <v/>
      </c>
      <c r="G3194" s="21">
        <f>-$B$1812</f>
        <v/>
      </c>
      <c r="H3194" s="21">
        <f>2*$B$1811+$D$3170</f>
        <v/>
      </c>
      <c r="I3194" s="21">
        <f>0</f>
        <v/>
      </c>
      <c r="J3194" s="21">
        <f>-$B$1811</f>
        <v/>
      </c>
      <c r="K3194" s="21">
        <f>$B$1812</f>
        <v/>
      </c>
      <c r="L3194" s="21" t="n">
        <v>0</v>
      </c>
      <c r="M3194" s="21" t="n">
        <v>0</v>
      </c>
      <c r="N3194" s="21" t="n">
        <v>0</v>
      </c>
      <c r="O3194" s="21" t="n">
        <v>0</v>
      </c>
      <c r="P3194" s="21" t="n">
        <v>0</v>
      </c>
      <c r="Q3194" s="21" t="n">
        <v>0</v>
      </c>
      <c r="R3194" s="21" t="n">
        <v>0</v>
      </c>
      <c r="S3194" s="21" t="n">
        <v>0</v>
      </c>
      <c r="T3194" s="21" t="n">
        <v>0</v>
      </c>
      <c r="U3194" s="21" t="n">
        <v>0</v>
      </c>
      <c r="V3194" s="21" t="n">
        <v>0</v>
      </c>
      <c r="W3194" s="21" t="n">
        <v>0</v>
      </c>
      <c r="X3194" s="21" t="n">
        <v>0</v>
      </c>
      <c r="Y3194" s="21" t="n">
        <v>0</v>
      </c>
      <c r="Z3194" s="21" t="n">
        <v>0</v>
      </c>
      <c r="AA3194" s="21" t="n">
        <v>0</v>
      </c>
      <c r="AB3194" s="21" t="n">
        <v>0</v>
      </c>
      <c r="AC3194" s="21" t="n">
        <v>0</v>
      </c>
      <c r="AD3194" s="21" t="n">
        <v>0</v>
      </c>
      <c r="AE3194" s="21" t="n">
        <v>0</v>
      </c>
      <c r="AF3194" s="21" t="n">
        <v>0</v>
      </c>
      <c r="AG3194" s="21" t="n">
        <v>0</v>
      </c>
      <c r="AH3194" s="21" t="n">
        <v>0</v>
      </c>
      <c r="AI3194" s="21" t="n">
        <v>0</v>
      </c>
      <c r="AJ3194" s="21" t="n">
        <v>0</v>
      </c>
      <c r="AK3194" s="21" t="n">
        <v>0</v>
      </c>
      <c r="AL3194" s="21" t="n">
        <v>0</v>
      </c>
      <c r="AM3194" s="21" t="n">
        <v>0</v>
      </c>
      <c r="AN3194" s="21" t="n">
        <v>0</v>
      </c>
      <c r="AO3194" s="21" t="n">
        <v>0</v>
      </c>
      <c r="AP3194" s="21" t="n">
        <v>0</v>
      </c>
      <c r="AQ3194" s="21" t="n">
        <v>0</v>
      </c>
      <c r="AR3194" s="21" t="n">
        <v>0</v>
      </c>
      <c r="AS3194" s="21" t="n">
        <v>0</v>
      </c>
      <c r="AT3194" s="19" t="n"/>
    </row>
    <row r="3195">
      <c r="D3195" s="21" t="n">
        <v>0</v>
      </c>
      <c r="E3195" s="21" t="n">
        <v>0</v>
      </c>
      <c r="F3195" s="21">
        <f>$B$1812</f>
        <v/>
      </c>
      <c r="G3195" s="21">
        <f>$B$1814</f>
        <v/>
      </c>
      <c r="H3195" s="21">
        <f>0</f>
        <v/>
      </c>
      <c r="I3195" s="21">
        <f>2*$B$1813</f>
        <v/>
      </c>
      <c r="J3195" s="21">
        <f>-$B$1812</f>
        <v/>
      </c>
      <c r="K3195" s="21">
        <f>$B$1814</f>
        <v/>
      </c>
      <c r="L3195" s="21" t="n">
        <v>0</v>
      </c>
      <c r="M3195" s="21" t="n">
        <v>0</v>
      </c>
      <c r="N3195" s="21" t="n">
        <v>0</v>
      </c>
      <c r="O3195" s="21" t="n">
        <v>0</v>
      </c>
      <c r="P3195" s="21" t="n">
        <v>0</v>
      </c>
      <c r="Q3195" s="21" t="n">
        <v>0</v>
      </c>
      <c r="R3195" s="21" t="n">
        <v>0</v>
      </c>
      <c r="S3195" s="21" t="n">
        <v>0</v>
      </c>
      <c r="T3195" s="21" t="n">
        <v>0</v>
      </c>
      <c r="U3195" s="21" t="n">
        <v>0</v>
      </c>
      <c r="V3195" s="21" t="n">
        <v>0</v>
      </c>
      <c r="W3195" s="21" t="n">
        <v>0</v>
      </c>
      <c r="X3195" s="21" t="n">
        <v>0</v>
      </c>
      <c r="Y3195" s="21" t="n">
        <v>0</v>
      </c>
      <c r="Z3195" s="21" t="n">
        <v>0</v>
      </c>
      <c r="AA3195" s="21" t="n">
        <v>0</v>
      </c>
      <c r="AB3195" s="21" t="n">
        <v>0</v>
      </c>
      <c r="AC3195" s="21" t="n">
        <v>0</v>
      </c>
      <c r="AD3195" s="21" t="n">
        <v>0</v>
      </c>
      <c r="AE3195" s="21" t="n">
        <v>0</v>
      </c>
      <c r="AF3195" s="21" t="n">
        <v>0</v>
      </c>
      <c r="AG3195" s="21" t="n">
        <v>0</v>
      </c>
      <c r="AH3195" s="21" t="n">
        <v>0</v>
      </c>
      <c r="AI3195" s="21" t="n">
        <v>0</v>
      </c>
      <c r="AJ3195" s="21" t="n">
        <v>0</v>
      </c>
      <c r="AK3195" s="21" t="n">
        <v>0</v>
      </c>
      <c r="AL3195" s="21" t="n">
        <v>0</v>
      </c>
      <c r="AM3195" s="21" t="n">
        <v>0</v>
      </c>
      <c r="AN3195" s="21" t="n">
        <v>0</v>
      </c>
      <c r="AO3195" s="21" t="n">
        <v>0</v>
      </c>
      <c r="AP3195" s="21" t="n">
        <v>0</v>
      </c>
      <c r="AQ3195" s="21" t="n">
        <v>0</v>
      </c>
      <c r="AR3195" s="21" t="n">
        <v>0</v>
      </c>
      <c r="AS3195" s="21" t="n">
        <v>0</v>
      </c>
      <c r="AT3195" s="19" t="n"/>
    </row>
    <row r="3196">
      <c r="D3196" s="21" t="n">
        <v>0</v>
      </c>
      <c r="E3196" s="21" t="n">
        <v>0</v>
      </c>
      <c r="F3196" s="21" t="n">
        <v>0</v>
      </c>
      <c r="G3196" s="21" t="n">
        <v>0</v>
      </c>
      <c r="H3196" s="21">
        <f>-$B$1811</f>
        <v/>
      </c>
      <c r="I3196" s="21">
        <f>-$B$1812</f>
        <v/>
      </c>
      <c r="J3196" s="21">
        <f>2*$B$1811+$D$3171</f>
        <v/>
      </c>
      <c r="K3196" s="21">
        <f>0</f>
        <v/>
      </c>
      <c r="L3196" s="21">
        <f>-$B$1811</f>
        <v/>
      </c>
      <c r="M3196" s="21">
        <f>$B$1812</f>
        <v/>
      </c>
      <c r="N3196" s="21" t="n">
        <v>0</v>
      </c>
      <c r="O3196" s="21" t="n">
        <v>0</v>
      </c>
      <c r="P3196" s="21" t="n">
        <v>0</v>
      </c>
      <c r="Q3196" s="21" t="n">
        <v>0</v>
      </c>
      <c r="R3196" s="21" t="n">
        <v>0</v>
      </c>
      <c r="S3196" s="21" t="n">
        <v>0</v>
      </c>
      <c r="T3196" s="21" t="n">
        <v>0</v>
      </c>
      <c r="U3196" s="21" t="n">
        <v>0</v>
      </c>
      <c r="V3196" s="21" t="n">
        <v>0</v>
      </c>
      <c r="W3196" s="21" t="n">
        <v>0</v>
      </c>
      <c r="X3196" s="21" t="n">
        <v>0</v>
      </c>
      <c r="Y3196" s="21" t="n">
        <v>0</v>
      </c>
      <c r="Z3196" s="21" t="n">
        <v>0</v>
      </c>
      <c r="AA3196" s="21" t="n">
        <v>0</v>
      </c>
      <c r="AB3196" s="21" t="n">
        <v>0</v>
      </c>
      <c r="AC3196" s="21" t="n">
        <v>0</v>
      </c>
      <c r="AD3196" s="21" t="n">
        <v>0</v>
      </c>
      <c r="AE3196" s="21" t="n">
        <v>0</v>
      </c>
      <c r="AF3196" s="21" t="n">
        <v>0</v>
      </c>
      <c r="AG3196" s="21" t="n">
        <v>0</v>
      </c>
      <c r="AH3196" s="21" t="n">
        <v>0</v>
      </c>
      <c r="AI3196" s="21" t="n">
        <v>0</v>
      </c>
      <c r="AJ3196" s="21" t="n">
        <v>0</v>
      </c>
      <c r="AK3196" s="21" t="n">
        <v>0</v>
      </c>
      <c r="AL3196" s="21" t="n">
        <v>0</v>
      </c>
      <c r="AM3196" s="21" t="n">
        <v>0</v>
      </c>
      <c r="AN3196" s="21" t="n">
        <v>0</v>
      </c>
      <c r="AO3196" s="21" t="n">
        <v>0</v>
      </c>
      <c r="AP3196" s="21" t="n">
        <v>0</v>
      </c>
      <c r="AQ3196" s="21" t="n">
        <v>0</v>
      </c>
      <c r="AR3196" s="21" t="n">
        <v>0</v>
      </c>
      <c r="AS3196" s="21" t="n">
        <v>0</v>
      </c>
      <c r="AT3196" s="19" t="n"/>
    </row>
    <row r="3197">
      <c r="D3197" s="21" t="n">
        <v>0</v>
      </c>
      <c r="E3197" s="21" t="n">
        <v>0</v>
      </c>
      <c r="F3197" s="21" t="n">
        <v>0</v>
      </c>
      <c r="G3197" s="21" t="n">
        <v>0</v>
      </c>
      <c r="H3197" s="21">
        <f>$B$1812</f>
        <v/>
      </c>
      <c r="I3197" s="21">
        <f>$B$1814</f>
        <v/>
      </c>
      <c r="J3197" s="21">
        <f>0</f>
        <v/>
      </c>
      <c r="K3197" s="21">
        <f>2*$B$1813</f>
        <v/>
      </c>
      <c r="L3197" s="21">
        <f>-$B$1812</f>
        <v/>
      </c>
      <c r="M3197" s="21">
        <f>$B$1814</f>
        <v/>
      </c>
      <c r="N3197" s="21" t="n">
        <v>0</v>
      </c>
      <c r="O3197" s="21" t="n">
        <v>0</v>
      </c>
      <c r="P3197" s="21" t="n">
        <v>0</v>
      </c>
      <c r="Q3197" s="21" t="n">
        <v>0</v>
      </c>
      <c r="R3197" s="21" t="n">
        <v>0</v>
      </c>
      <c r="S3197" s="21" t="n">
        <v>0</v>
      </c>
      <c r="T3197" s="21" t="n">
        <v>0</v>
      </c>
      <c r="U3197" s="21" t="n">
        <v>0</v>
      </c>
      <c r="V3197" s="21" t="n">
        <v>0</v>
      </c>
      <c r="W3197" s="21" t="n">
        <v>0</v>
      </c>
      <c r="X3197" s="21" t="n">
        <v>0</v>
      </c>
      <c r="Y3197" s="21" t="n">
        <v>0</v>
      </c>
      <c r="Z3197" s="21" t="n">
        <v>0</v>
      </c>
      <c r="AA3197" s="21" t="n">
        <v>0</v>
      </c>
      <c r="AB3197" s="21" t="n">
        <v>0</v>
      </c>
      <c r="AC3197" s="21" t="n">
        <v>0</v>
      </c>
      <c r="AD3197" s="21" t="n">
        <v>0</v>
      </c>
      <c r="AE3197" s="21" t="n">
        <v>0</v>
      </c>
      <c r="AF3197" s="21" t="n">
        <v>0</v>
      </c>
      <c r="AG3197" s="21" t="n">
        <v>0</v>
      </c>
      <c r="AH3197" s="21" t="n">
        <v>0</v>
      </c>
      <c r="AI3197" s="21" t="n">
        <v>0</v>
      </c>
      <c r="AJ3197" s="21" t="n">
        <v>0</v>
      </c>
      <c r="AK3197" s="21" t="n">
        <v>0</v>
      </c>
      <c r="AL3197" s="21" t="n">
        <v>0</v>
      </c>
      <c r="AM3197" s="21" t="n">
        <v>0</v>
      </c>
      <c r="AN3197" s="21" t="n">
        <v>0</v>
      </c>
      <c r="AO3197" s="21" t="n">
        <v>0</v>
      </c>
      <c r="AP3197" s="21" t="n">
        <v>0</v>
      </c>
      <c r="AQ3197" s="21" t="n">
        <v>0</v>
      </c>
      <c r="AR3197" s="21" t="n">
        <v>0</v>
      </c>
      <c r="AS3197" s="21" t="n">
        <v>0</v>
      </c>
      <c r="AT3197" s="19" t="n"/>
    </row>
    <row r="3198">
      <c r="D3198" s="21" t="n">
        <v>0</v>
      </c>
      <c r="E3198" s="21" t="n">
        <v>0</v>
      </c>
      <c r="F3198" s="21" t="n">
        <v>0</v>
      </c>
      <c r="G3198" s="21" t="n">
        <v>0</v>
      </c>
      <c r="H3198" s="21" t="n">
        <v>0</v>
      </c>
      <c r="I3198" s="21" t="n">
        <v>0</v>
      </c>
      <c r="J3198" s="21">
        <f>-$B$1811</f>
        <v/>
      </c>
      <c r="K3198" s="21">
        <f>-$B$1812</f>
        <v/>
      </c>
      <c r="L3198" s="21">
        <f>2*$B$1811+$D$3172</f>
        <v/>
      </c>
      <c r="M3198" s="21">
        <f>0</f>
        <v/>
      </c>
      <c r="N3198" s="21">
        <f>-$B$1811</f>
        <v/>
      </c>
      <c r="O3198" s="21">
        <f>$B$1812</f>
        <v/>
      </c>
      <c r="P3198" s="21" t="n">
        <v>0</v>
      </c>
      <c r="Q3198" s="21" t="n">
        <v>0</v>
      </c>
      <c r="R3198" s="21" t="n">
        <v>0</v>
      </c>
      <c r="S3198" s="21" t="n">
        <v>0</v>
      </c>
      <c r="T3198" s="21" t="n">
        <v>0</v>
      </c>
      <c r="U3198" s="21" t="n">
        <v>0</v>
      </c>
      <c r="V3198" s="21" t="n">
        <v>0</v>
      </c>
      <c r="W3198" s="21" t="n">
        <v>0</v>
      </c>
      <c r="X3198" s="21" t="n">
        <v>0</v>
      </c>
      <c r="Y3198" s="21" t="n">
        <v>0</v>
      </c>
      <c r="Z3198" s="21" t="n">
        <v>0</v>
      </c>
      <c r="AA3198" s="21" t="n">
        <v>0</v>
      </c>
      <c r="AB3198" s="21" t="n">
        <v>0</v>
      </c>
      <c r="AC3198" s="21" t="n">
        <v>0</v>
      </c>
      <c r="AD3198" s="21" t="n">
        <v>0</v>
      </c>
      <c r="AE3198" s="21" t="n">
        <v>0</v>
      </c>
      <c r="AF3198" s="21" t="n">
        <v>0</v>
      </c>
      <c r="AG3198" s="21" t="n">
        <v>0</v>
      </c>
      <c r="AH3198" s="21" t="n">
        <v>0</v>
      </c>
      <c r="AI3198" s="21" t="n">
        <v>0</v>
      </c>
      <c r="AJ3198" s="21" t="n">
        <v>0</v>
      </c>
      <c r="AK3198" s="21" t="n">
        <v>0</v>
      </c>
      <c r="AL3198" s="21" t="n">
        <v>0</v>
      </c>
      <c r="AM3198" s="21" t="n">
        <v>0</v>
      </c>
      <c r="AN3198" s="21" t="n">
        <v>0</v>
      </c>
      <c r="AO3198" s="21" t="n">
        <v>0</v>
      </c>
      <c r="AP3198" s="21" t="n">
        <v>0</v>
      </c>
      <c r="AQ3198" s="21" t="n">
        <v>0</v>
      </c>
      <c r="AR3198" s="21" t="n">
        <v>0</v>
      </c>
      <c r="AS3198" s="21" t="n">
        <v>0</v>
      </c>
      <c r="AT3198" s="19" t="n"/>
    </row>
    <row r="3199">
      <c r="D3199" s="21" t="n">
        <v>0</v>
      </c>
      <c r="E3199" s="21" t="n">
        <v>0</v>
      </c>
      <c r="F3199" s="21" t="n">
        <v>0</v>
      </c>
      <c r="G3199" s="21" t="n">
        <v>0</v>
      </c>
      <c r="H3199" s="21" t="n">
        <v>0</v>
      </c>
      <c r="I3199" s="21" t="n">
        <v>0</v>
      </c>
      <c r="J3199" s="21">
        <f>$B$1812</f>
        <v/>
      </c>
      <c r="K3199" s="21">
        <f>$B$1814</f>
        <v/>
      </c>
      <c r="L3199" s="21">
        <f>0</f>
        <v/>
      </c>
      <c r="M3199" s="21">
        <f>2*$B$1813</f>
        <v/>
      </c>
      <c r="N3199" s="21">
        <f>-$B$1812</f>
        <v/>
      </c>
      <c r="O3199" s="21">
        <f>$B$1814</f>
        <v/>
      </c>
      <c r="P3199" s="21" t="n">
        <v>0</v>
      </c>
      <c r="Q3199" s="21" t="n">
        <v>0</v>
      </c>
      <c r="R3199" s="21" t="n">
        <v>0</v>
      </c>
      <c r="S3199" s="21" t="n">
        <v>0</v>
      </c>
      <c r="T3199" s="21" t="n">
        <v>0</v>
      </c>
      <c r="U3199" s="21" t="n">
        <v>0</v>
      </c>
      <c r="V3199" s="21" t="n">
        <v>0</v>
      </c>
      <c r="W3199" s="21" t="n">
        <v>0</v>
      </c>
      <c r="X3199" s="21" t="n">
        <v>0</v>
      </c>
      <c r="Y3199" s="21" t="n">
        <v>0</v>
      </c>
      <c r="Z3199" s="21" t="n">
        <v>0</v>
      </c>
      <c r="AA3199" s="21" t="n">
        <v>0</v>
      </c>
      <c r="AB3199" s="21" t="n">
        <v>0</v>
      </c>
      <c r="AC3199" s="21" t="n">
        <v>0</v>
      </c>
      <c r="AD3199" s="21" t="n">
        <v>0</v>
      </c>
      <c r="AE3199" s="21" t="n">
        <v>0</v>
      </c>
      <c r="AF3199" s="21" t="n">
        <v>0</v>
      </c>
      <c r="AG3199" s="21" t="n">
        <v>0</v>
      </c>
      <c r="AH3199" s="21" t="n">
        <v>0</v>
      </c>
      <c r="AI3199" s="21" t="n">
        <v>0</v>
      </c>
      <c r="AJ3199" s="21" t="n">
        <v>0</v>
      </c>
      <c r="AK3199" s="21" t="n">
        <v>0</v>
      </c>
      <c r="AL3199" s="21" t="n">
        <v>0</v>
      </c>
      <c r="AM3199" s="21" t="n">
        <v>0</v>
      </c>
      <c r="AN3199" s="21" t="n">
        <v>0</v>
      </c>
      <c r="AO3199" s="21" t="n">
        <v>0</v>
      </c>
      <c r="AP3199" s="21" t="n">
        <v>0</v>
      </c>
      <c r="AQ3199" s="21" t="n">
        <v>0</v>
      </c>
      <c r="AR3199" s="21" t="n">
        <v>0</v>
      </c>
      <c r="AS3199" s="21" t="n">
        <v>0</v>
      </c>
      <c r="AT3199" s="19" t="n"/>
    </row>
    <row r="3200">
      <c r="D3200" s="21" t="n">
        <v>0</v>
      </c>
      <c r="E3200" s="21" t="n">
        <v>0</v>
      </c>
      <c r="F3200" s="21" t="n">
        <v>0</v>
      </c>
      <c r="G3200" s="21" t="n">
        <v>0</v>
      </c>
      <c r="H3200" s="21" t="n">
        <v>0</v>
      </c>
      <c r="I3200" s="21" t="n">
        <v>0</v>
      </c>
      <c r="J3200" s="21" t="n">
        <v>0</v>
      </c>
      <c r="K3200" s="21" t="n">
        <v>0</v>
      </c>
      <c r="L3200" s="21">
        <f>-$B$1811</f>
        <v/>
      </c>
      <c r="M3200" s="21">
        <f>-$B$1812</f>
        <v/>
      </c>
      <c r="N3200" s="21">
        <f>2*$B$1811+$D$3173</f>
        <v/>
      </c>
      <c r="O3200" s="21">
        <f>0</f>
        <v/>
      </c>
      <c r="P3200" s="21">
        <f>-$B$1811</f>
        <v/>
      </c>
      <c r="Q3200" s="21">
        <f>$B$1812</f>
        <v/>
      </c>
      <c r="R3200" s="21" t="n">
        <v>0</v>
      </c>
      <c r="S3200" s="21" t="n">
        <v>0</v>
      </c>
      <c r="T3200" s="21" t="n">
        <v>0</v>
      </c>
      <c r="U3200" s="21" t="n">
        <v>0</v>
      </c>
      <c r="V3200" s="21" t="n">
        <v>0</v>
      </c>
      <c r="W3200" s="21" t="n">
        <v>0</v>
      </c>
      <c r="X3200" s="21" t="n">
        <v>0</v>
      </c>
      <c r="Y3200" s="21" t="n">
        <v>0</v>
      </c>
      <c r="Z3200" s="21" t="n">
        <v>0</v>
      </c>
      <c r="AA3200" s="21" t="n">
        <v>0</v>
      </c>
      <c r="AB3200" s="21" t="n">
        <v>0</v>
      </c>
      <c r="AC3200" s="21" t="n">
        <v>0</v>
      </c>
      <c r="AD3200" s="21" t="n">
        <v>0</v>
      </c>
      <c r="AE3200" s="21" t="n">
        <v>0</v>
      </c>
      <c r="AF3200" s="21" t="n">
        <v>0</v>
      </c>
      <c r="AG3200" s="21" t="n">
        <v>0</v>
      </c>
      <c r="AH3200" s="21" t="n">
        <v>0</v>
      </c>
      <c r="AI3200" s="21" t="n">
        <v>0</v>
      </c>
      <c r="AJ3200" s="21" t="n">
        <v>0</v>
      </c>
      <c r="AK3200" s="21" t="n">
        <v>0</v>
      </c>
      <c r="AL3200" s="21" t="n">
        <v>0</v>
      </c>
      <c r="AM3200" s="21" t="n">
        <v>0</v>
      </c>
      <c r="AN3200" s="21" t="n">
        <v>0</v>
      </c>
      <c r="AO3200" s="21" t="n">
        <v>0</v>
      </c>
      <c r="AP3200" s="21" t="n">
        <v>0</v>
      </c>
      <c r="AQ3200" s="21" t="n">
        <v>0</v>
      </c>
      <c r="AR3200" s="21" t="n">
        <v>0</v>
      </c>
      <c r="AS3200" s="21" t="n">
        <v>0</v>
      </c>
      <c r="AT3200" s="19" t="n"/>
    </row>
    <row r="3201">
      <c r="D3201" s="21" t="n">
        <v>0</v>
      </c>
      <c r="E3201" s="21" t="n">
        <v>0</v>
      </c>
      <c r="F3201" s="21" t="n">
        <v>0</v>
      </c>
      <c r="G3201" s="21" t="n">
        <v>0</v>
      </c>
      <c r="H3201" s="21" t="n">
        <v>0</v>
      </c>
      <c r="I3201" s="21" t="n">
        <v>0</v>
      </c>
      <c r="J3201" s="21" t="n">
        <v>0</v>
      </c>
      <c r="K3201" s="21" t="n">
        <v>0</v>
      </c>
      <c r="L3201" s="21">
        <f>$B$1812</f>
        <v/>
      </c>
      <c r="M3201" s="21">
        <f>$B$1814</f>
        <v/>
      </c>
      <c r="N3201" s="21">
        <f>0</f>
        <v/>
      </c>
      <c r="O3201" s="21">
        <f>2*$B$1813</f>
        <v/>
      </c>
      <c r="P3201" s="21">
        <f>-$B$1812</f>
        <v/>
      </c>
      <c r="Q3201" s="21">
        <f>$B$1814</f>
        <v/>
      </c>
      <c r="R3201" s="21" t="n">
        <v>0</v>
      </c>
      <c r="S3201" s="21" t="n">
        <v>0</v>
      </c>
      <c r="T3201" s="21" t="n">
        <v>0</v>
      </c>
      <c r="U3201" s="21" t="n">
        <v>0</v>
      </c>
      <c r="V3201" s="21" t="n">
        <v>0</v>
      </c>
      <c r="W3201" s="21" t="n">
        <v>0</v>
      </c>
      <c r="X3201" s="21" t="n">
        <v>0</v>
      </c>
      <c r="Y3201" s="21" t="n">
        <v>0</v>
      </c>
      <c r="Z3201" s="21" t="n">
        <v>0</v>
      </c>
      <c r="AA3201" s="21" t="n">
        <v>0</v>
      </c>
      <c r="AB3201" s="21" t="n">
        <v>0</v>
      </c>
      <c r="AC3201" s="21" t="n">
        <v>0</v>
      </c>
      <c r="AD3201" s="21" t="n">
        <v>0</v>
      </c>
      <c r="AE3201" s="21" t="n">
        <v>0</v>
      </c>
      <c r="AF3201" s="21" t="n">
        <v>0</v>
      </c>
      <c r="AG3201" s="21" t="n">
        <v>0</v>
      </c>
      <c r="AH3201" s="21" t="n">
        <v>0</v>
      </c>
      <c r="AI3201" s="21" t="n">
        <v>0</v>
      </c>
      <c r="AJ3201" s="21" t="n">
        <v>0</v>
      </c>
      <c r="AK3201" s="21" t="n">
        <v>0</v>
      </c>
      <c r="AL3201" s="21" t="n">
        <v>0</v>
      </c>
      <c r="AM3201" s="21" t="n">
        <v>0</v>
      </c>
      <c r="AN3201" s="21" t="n">
        <v>0</v>
      </c>
      <c r="AO3201" s="21" t="n">
        <v>0</v>
      </c>
      <c r="AP3201" s="21" t="n">
        <v>0</v>
      </c>
      <c r="AQ3201" s="21" t="n">
        <v>0</v>
      </c>
      <c r="AR3201" s="21" t="n">
        <v>0</v>
      </c>
      <c r="AS3201" s="21" t="n">
        <v>0</v>
      </c>
      <c r="AT3201" s="19" t="n"/>
    </row>
    <row r="3202">
      <c r="D3202" s="21" t="n">
        <v>0</v>
      </c>
      <c r="E3202" s="21" t="n">
        <v>0</v>
      </c>
      <c r="F3202" s="21" t="n">
        <v>0</v>
      </c>
      <c r="G3202" s="21" t="n">
        <v>0</v>
      </c>
      <c r="H3202" s="21" t="n">
        <v>0</v>
      </c>
      <c r="I3202" s="21" t="n">
        <v>0</v>
      </c>
      <c r="J3202" s="21" t="n">
        <v>0</v>
      </c>
      <c r="K3202" s="21" t="n">
        <v>0</v>
      </c>
      <c r="L3202" s="21" t="n">
        <v>0</v>
      </c>
      <c r="M3202" s="21" t="n">
        <v>0</v>
      </c>
      <c r="N3202" s="21">
        <f>-$B$1811</f>
        <v/>
      </c>
      <c r="O3202" s="21">
        <f>-$B$1812</f>
        <v/>
      </c>
      <c r="P3202" s="21">
        <f>2*$B$1811+$D$3174</f>
        <v/>
      </c>
      <c r="Q3202" s="21">
        <f>0</f>
        <v/>
      </c>
      <c r="R3202" s="21">
        <f>-$B$1811</f>
        <v/>
      </c>
      <c r="S3202" s="21">
        <f>$B$1812</f>
        <v/>
      </c>
      <c r="T3202" s="21" t="n">
        <v>0</v>
      </c>
      <c r="U3202" s="21" t="n">
        <v>0</v>
      </c>
      <c r="V3202" s="21" t="n">
        <v>0</v>
      </c>
      <c r="W3202" s="21" t="n">
        <v>0</v>
      </c>
      <c r="X3202" s="21" t="n">
        <v>0</v>
      </c>
      <c r="Y3202" s="21" t="n">
        <v>0</v>
      </c>
      <c r="Z3202" s="21" t="n">
        <v>0</v>
      </c>
      <c r="AA3202" s="21" t="n">
        <v>0</v>
      </c>
      <c r="AB3202" s="21" t="n">
        <v>0</v>
      </c>
      <c r="AC3202" s="21" t="n">
        <v>0</v>
      </c>
      <c r="AD3202" s="21" t="n">
        <v>0</v>
      </c>
      <c r="AE3202" s="21" t="n">
        <v>0</v>
      </c>
      <c r="AF3202" s="21" t="n">
        <v>0</v>
      </c>
      <c r="AG3202" s="21" t="n">
        <v>0</v>
      </c>
      <c r="AH3202" s="21" t="n">
        <v>0</v>
      </c>
      <c r="AI3202" s="21" t="n">
        <v>0</v>
      </c>
      <c r="AJ3202" s="21" t="n">
        <v>0</v>
      </c>
      <c r="AK3202" s="21" t="n">
        <v>0</v>
      </c>
      <c r="AL3202" s="21" t="n">
        <v>0</v>
      </c>
      <c r="AM3202" s="21" t="n">
        <v>0</v>
      </c>
      <c r="AN3202" s="21" t="n">
        <v>0</v>
      </c>
      <c r="AO3202" s="21" t="n">
        <v>0</v>
      </c>
      <c r="AP3202" s="21" t="n">
        <v>0</v>
      </c>
      <c r="AQ3202" s="21" t="n">
        <v>0</v>
      </c>
      <c r="AR3202" s="21" t="n">
        <v>0</v>
      </c>
      <c r="AS3202" s="21" t="n">
        <v>0</v>
      </c>
      <c r="AT3202" s="19" t="n"/>
    </row>
    <row r="3203">
      <c r="D3203" s="21" t="n">
        <v>0</v>
      </c>
      <c r="E3203" s="21" t="n">
        <v>0</v>
      </c>
      <c r="F3203" s="21" t="n">
        <v>0</v>
      </c>
      <c r="G3203" s="21" t="n">
        <v>0</v>
      </c>
      <c r="H3203" s="21" t="n">
        <v>0</v>
      </c>
      <c r="I3203" s="21" t="n">
        <v>0</v>
      </c>
      <c r="J3203" s="21" t="n">
        <v>0</v>
      </c>
      <c r="K3203" s="21" t="n">
        <v>0</v>
      </c>
      <c r="L3203" s="21" t="n">
        <v>0</v>
      </c>
      <c r="M3203" s="21" t="n">
        <v>0</v>
      </c>
      <c r="N3203" s="21">
        <f>$B$1812</f>
        <v/>
      </c>
      <c r="O3203" s="21">
        <f>$B$1814</f>
        <v/>
      </c>
      <c r="P3203" s="21">
        <f>0</f>
        <v/>
      </c>
      <c r="Q3203" s="21">
        <f>2*$B$1813</f>
        <v/>
      </c>
      <c r="R3203" s="21">
        <f>-$B$1812</f>
        <v/>
      </c>
      <c r="S3203" s="21">
        <f>$B$1814</f>
        <v/>
      </c>
      <c r="T3203" s="21" t="n">
        <v>0</v>
      </c>
      <c r="U3203" s="21" t="n">
        <v>0</v>
      </c>
      <c r="V3203" s="21" t="n">
        <v>0</v>
      </c>
      <c r="W3203" s="21" t="n">
        <v>0</v>
      </c>
      <c r="X3203" s="21" t="n">
        <v>0</v>
      </c>
      <c r="Y3203" s="21" t="n">
        <v>0</v>
      </c>
      <c r="Z3203" s="21" t="n">
        <v>0</v>
      </c>
      <c r="AA3203" s="21" t="n">
        <v>0</v>
      </c>
      <c r="AB3203" s="21" t="n">
        <v>0</v>
      </c>
      <c r="AC3203" s="21" t="n">
        <v>0</v>
      </c>
      <c r="AD3203" s="21" t="n">
        <v>0</v>
      </c>
      <c r="AE3203" s="21" t="n">
        <v>0</v>
      </c>
      <c r="AF3203" s="21" t="n">
        <v>0</v>
      </c>
      <c r="AG3203" s="21" t="n">
        <v>0</v>
      </c>
      <c r="AH3203" s="21" t="n">
        <v>0</v>
      </c>
      <c r="AI3203" s="21" t="n">
        <v>0</v>
      </c>
      <c r="AJ3203" s="21" t="n">
        <v>0</v>
      </c>
      <c r="AK3203" s="21" t="n">
        <v>0</v>
      </c>
      <c r="AL3203" s="21" t="n">
        <v>0</v>
      </c>
      <c r="AM3203" s="21" t="n">
        <v>0</v>
      </c>
      <c r="AN3203" s="21" t="n">
        <v>0</v>
      </c>
      <c r="AO3203" s="21" t="n">
        <v>0</v>
      </c>
      <c r="AP3203" s="21" t="n">
        <v>0</v>
      </c>
      <c r="AQ3203" s="21" t="n">
        <v>0</v>
      </c>
      <c r="AR3203" s="21" t="n">
        <v>0</v>
      </c>
      <c r="AS3203" s="21" t="n">
        <v>0</v>
      </c>
      <c r="AT3203" s="19" t="n"/>
    </row>
    <row r="3204">
      <c r="D3204" s="21" t="n">
        <v>0</v>
      </c>
      <c r="E3204" s="21" t="n">
        <v>0</v>
      </c>
      <c r="F3204" s="21" t="n">
        <v>0</v>
      </c>
      <c r="G3204" s="21" t="n">
        <v>0</v>
      </c>
      <c r="H3204" s="21" t="n">
        <v>0</v>
      </c>
      <c r="I3204" s="21" t="n">
        <v>0</v>
      </c>
      <c r="J3204" s="21" t="n">
        <v>0</v>
      </c>
      <c r="K3204" s="21" t="n">
        <v>0</v>
      </c>
      <c r="L3204" s="21" t="n">
        <v>0</v>
      </c>
      <c r="M3204" s="21" t="n">
        <v>0</v>
      </c>
      <c r="N3204" s="21" t="n">
        <v>0</v>
      </c>
      <c r="O3204" s="21" t="n">
        <v>0</v>
      </c>
      <c r="P3204" s="21">
        <f>-$B$1811</f>
        <v/>
      </c>
      <c r="Q3204" s="21">
        <f>-$B$1812</f>
        <v/>
      </c>
      <c r="R3204" s="21">
        <f>2*$B$1811+$D$3175</f>
        <v/>
      </c>
      <c r="S3204" s="21">
        <f>0</f>
        <v/>
      </c>
      <c r="T3204" s="21">
        <f>-$B$1811</f>
        <v/>
      </c>
      <c r="U3204" s="21">
        <f>$B$1812</f>
        <v/>
      </c>
      <c r="V3204" s="21" t="n">
        <v>0</v>
      </c>
      <c r="W3204" s="21" t="n">
        <v>0</v>
      </c>
      <c r="X3204" s="21" t="n">
        <v>0</v>
      </c>
      <c r="Y3204" s="21" t="n">
        <v>0</v>
      </c>
      <c r="Z3204" s="21" t="n">
        <v>0</v>
      </c>
      <c r="AA3204" s="21" t="n">
        <v>0</v>
      </c>
      <c r="AB3204" s="21" t="n">
        <v>0</v>
      </c>
      <c r="AC3204" s="21" t="n">
        <v>0</v>
      </c>
      <c r="AD3204" s="21" t="n">
        <v>0</v>
      </c>
      <c r="AE3204" s="21" t="n">
        <v>0</v>
      </c>
      <c r="AF3204" s="21" t="n">
        <v>0</v>
      </c>
      <c r="AG3204" s="21" t="n">
        <v>0</v>
      </c>
      <c r="AH3204" s="21" t="n">
        <v>0</v>
      </c>
      <c r="AI3204" s="21" t="n">
        <v>0</v>
      </c>
      <c r="AJ3204" s="21" t="n">
        <v>0</v>
      </c>
      <c r="AK3204" s="21" t="n">
        <v>0</v>
      </c>
      <c r="AL3204" s="21" t="n">
        <v>0</v>
      </c>
      <c r="AM3204" s="21" t="n">
        <v>0</v>
      </c>
      <c r="AN3204" s="21" t="n">
        <v>0</v>
      </c>
      <c r="AO3204" s="21" t="n">
        <v>0</v>
      </c>
      <c r="AP3204" s="21" t="n">
        <v>0</v>
      </c>
      <c r="AQ3204" s="21" t="n">
        <v>0</v>
      </c>
      <c r="AR3204" s="21" t="n">
        <v>0</v>
      </c>
      <c r="AS3204" s="21" t="n">
        <v>0</v>
      </c>
      <c r="AT3204" s="19" t="n"/>
    </row>
    <row r="3205">
      <c r="D3205" s="21" t="n">
        <v>0</v>
      </c>
      <c r="E3205" s="21" t="n">
        <v>0</v>
      </c>
      <c r="F3205" s="21" t="n">
        <v>0</v>
      </c>
      <c r="G3205" s="21" t="n">
        <v>0</v>
      </c>
      <c r="H3205" s="21" t="n">
        <v>0</v>
      </c>
      <c r="I3205" s="21" t="n">
        <v>0</v>
      </c>
      <c r="J3205" s="21" t="n">
        <v>0</v>
      </c>
      <c r="K3205" s="21" t="n">
        <v>0</v>
      </c>
      <c r="L3205" s="21" t="n">
        <v>0</v>
      </c>
      <c r="M3205" s="21" t="n">
        <v>0</v>
      </c>
      <c r="N3205" s="21" t="n">
        <v>0</v>
      </c>
      <c r="O3205" s="21" t="n">
        <v>0</v>
      </c>
      <c r="P3205" s="21">
        <f>$B$1812</f>
        <v/>
      </c>
      <c r="Q3205" s="21">
        <f>$B$1814</f>
        <v/>
      </c>
      <c r="R3205" s="21">
        <f>0</f>
        <v/>
      </c>
      <c r="S3205" s="21">
        <f>2*$B$1813</f>
        <v/>
      </c>
      <c r="T3205" s="21">
        <f>-$B$1812</f>
        <v/>
      </c>
      <c r="U3205" s="21">
        <f>$B$1814</f>
        <v/>
      </c>
      <c r="V3205" s="21" t="n">
        <v>0</v>
      </c>
      <c r="W3205" s="21" t="n">
        <v>0</v>
      </c>
      <c r="X3205" s="21" t="n">
        <v>0</v>
      </c>
      <c r="Y3205" s="21" t="n">
        <v>0</v>
      </c>
      <c r="Z3205" s="21" t="n">
        <v>0</v>
      </c>
      <c r="AA3205" s="21" t="n">
        <v>0</v>
      </c>
      <c r="AB3205" s="21" t="n">
        <v>0</v>
      </c>
      <c r="AC3205" s="21" t="n">
        <v>0</v>
      </c>
      <c r="AD3205" s="21" t="n">
        <v>0</v>
      </c>
      <c r="AE3205" s="21" t="n">
        <v>0</v>
      </c>
      <c r="AF3205" s="21" t="n">
        <v>0</v>
      </c>
      <c r="AG3205" s="21" t="n">
        <v>0</v>
      </c>
      <c r="AH3205" s="21" t="n">
        <v>0</v>
      </c>
      <c r="AI3205" s="21" t="n">
        <v>0</v>
      </c>
      <c r="AJ3205" s="21" t="n">
        <v>0</v>
      </c>
      <c r="AK3205" s="21" t="n">
        <v>0</v>
      </c>
      <c r="AL3205" s="21" t="n">
        <v>0</v>
      </c>
      <c r="AM3205" s="21" t="n">
        <v>0</v>
      </c>
      <c r="AN3205" s="21" t="n">
        <v>0</v>
      </c>
      <c r="AO3205" s="21" t="n">
        <v>0</v>
      </c>
      <c r="AP3205" s="21" t="n">
        <v>0</v>
      </c>
      <c r="AQ3205" s="21" t="n">
        <v>0</v>
      </c>
      <c r="AR3205" s="21" t="n">
        <v>0</v>
      </c>
      <c r="AS3205" s="21" t="n">
        <v>0</v>
      </c>
      <c r="AT3205" s="19" t="n"/>
    </row>
    <row r="3206">
      <c r="D3206" s="21" t="n">
        <v>0</v>
      </c>
      <c r="E3206" s="21" t="n">
        <v>0</v>
      </c>
      <c r="F3206" s="21" t="n">
        <v>0</v>
      </c>
      <c r="G3206" s="21" t="n">
        <v>0</v>
      </c>
      <c r="H3206" s="21" t="n">
        <v>0</v>
      </c>
      <c r="I3206" s="21" t="n">
        <v>0</v>
      </c>
      <c r="J3206" s="21" t="n">
        <v>0</v>
      </c>
      <c r="K3206" s="21" t="n">
        <v>0</v>
      </c>
      <c r="L3206" s="21" t="n">
        <v>0</v>
      </c>
      <c r="M3206" s="21" t="n">
        <v>0</v>
      </c>
      <c r="N3206" s="21" t="n">
        <v>0</v>
      </c>
      <c r="O3206" s="21" t="n">
        <v>0</v>
      </c>
      <c r="P3206" s="21" t="n">
        <v>0</v>
      </c>
      <c r="Q3206" s="21" t="n">
        <v>0</v>
      </c>
      <c r="R3206" s="21">
        <f>-$B$1811</f>
        <v/>
      </c>
      <c r="S3206" s="21">
        <f>-$B$1812</f>
        <v/>
      </c>
      <c r="T3206" s="21">
        <f>2*$B$1811+$D$3176</f>
        <v/>
      </c>
      <c r="U3206" s="21">
        <f>0</f>
        <v/>
      </c>
      <c r="V3206" s="21">
        <f>-$B$1811</f>
        <v/>
      </c>
      <c r="W3206" s="21">
        <f>$B$1812</f>
        <v/>
      </c>
      <c r="X3206" s="21" t="n">
        <v>0</v>
      </c>
      <c r="Y3206" s="21" t="n">
        <v>0</v>
      </c>
      <c r="Z3206" s="21" t="n">
        <v>0</v>
      </c>
      <c r="AA3206" s="21" t="n">
        <v>0</v>
      </c>
      <c r="AB3206" s="21" t="n">
        <v>0</v>
      </c>
      <c r="AC3206" s="21" t="n">
        <v>0</v>
      </c>
      <c r="AD3206" s="21" t="n">
        <v>0</v>
      </c>
      <c r="AE3206" s="21" t="n">
        <v>0</v>
      </c>
      <c r="AF3206" s="21" t="n">
        <v>0</v>
      </c>
      <c r="AG3206" s="21" t="n">
        <v>0</v>
      </c>
      <c r="AH3206" s="21" t="n">
        <v>0</v>
      </c>
      <c r="AI3206" s="21" t="n">
        <v>0</v>
      </c>
      <c r="AJ3206" s="21" t="n">
        <v>0</v>
      </c>
      <c r="AK3206" s="21" t="n">
        <v>0</v>
      </c>
      <c r="AL3206" s="21" t="n">
        <v>0</v>
      </c>
      <c r="AM3206" s="21" t="n">
        <v>0</v>
      </c>
      <c r="AN3206" s="21" t="n">
        <v>0</v>
      </c>
      <c r="AO3206" s="21" t="n">
        <v>0</v>
      </c>
      <c r="AP3206" s="21" t="n">
        <v>0</v>
      </c>
      <c r="AQ3206" s="21" t="n">
        <v>0</v>
      </c>
      <c r="AR3206" s="21" t="n">
        <v>0</v>
      </c>
      <c r="AS3206" s="21" t="n">
        <v>0</v>
      </c>
      <c r="AT3206" s="19" t="n"/>
    </row>
    <row r="3207">
      <c r="D3207" s="21" t="n">
        <v>0</v>
      </c>
      <c r="E3207" s="21" t="n">
        <v>0</v>
      </c>
      <c r="F3207" s="21" t="n">
        <v>0</v>
      </c>
      <c r="G3207" s="21" t="n">
        <v>0</v>
      </c>
      <c r="H3207" s="21" t="n">
        <v>0</v>
      </c>
      <c r="I3207" s="21" t="n">
        <v>0</v>
      </c>
      <c r="J3207" s="21" t="n">
        <v>0</v>
      </c>
      <c r="K3207" s="21" t="n">
        <v>0</v>
      </c>
      <c r="L3207" s="21" t="n">
        <v>0</v>
      </c>
      <c r="M3207" s="21" t="n">
        <v>0</v>
      </c>
      <c r="N3207" s="21" t="n">
        <v>0</v>
      </c>
      <c r="O3207" s="21" t="n">
        <v>0</v>
      </c>
      <c r="P3207" s="21" t="n">
        <v>0</v>
      </c>
      <c r="Q3207" s="21" t="n">
        <v>0</v>
      </c>
      <c r="R3207" s="21">
        <f>$B$1812</f>
        <v/>
      </c>
      <c r="S3207" s="21">
        <f>$B$1814</f>
        <v/>
      </c>
      <c r="T3207" s="21">
        <f>0</f>
        <v/>
      </c>
      <c r="U3207" s="21">
        <f>2*$B$1813</f>
        <v/>
      </c>
      <c r="V3207" s="21">
        <f>-$B$1812</f>
        <v/>
      </c>
      <c r="W3207" s="21">
        <f>$B$1814</f>
        <v/>
      </c>
      <c r="X3207" s="21" t="n">
        <v>0</v>
      </c>
      <c r="Y3207" s="21" t="n">
        <v>0</v>
      </c>
      <c r="Z3207" s="21" t="n">
        <v>0</v>
      </c>
      <c r="AA3207" s="21" t="n">
        <v>0</v>
      </c>
      <c r="AB3207" s="21" t="n">
        <v>0</v>
      </c>
      <c r="AC3207" s="21" t="n">
        <v>0</v>
      </c>
      <c r="AD3207" s="21" t="n">
        <v>0</v>
      </c>
      <c r="AE3207" s="21" t="n">
        <v>0</v>
      </c>
      <c r="AF3207" s="21" t="n">
        <v>0</v>
      </c>
      <c r="AG3207" s="21" t="n">
        <v>0</v>
      </c>
      <c r="AH3207" s="21" t="n">
        <v>0</v>
      </c>
      <c r="AI3207" s="21" t="n">
        <v>0</v>
      </c>
      <c r="AJ3207" s="21" t="n">
        <v>0</v>
      </c>
      <c r="AK3207" s="21" t="n">
        <v>0</v>
      </c>
      <c r="AL3207" s="21" t="n">
        <v>0</v>
      </c>
      <c r="AM3207" s="21" t="n">
        <v>0</v>
      </c>
      <c r="AN3207" s="21" t="n">
        <v>0</v>
      </c>
      <c r="AO3207" s="21" t="n">
        <v>0</v>
      </c>
      <c r="AP3207" s="21" t="n">
        <v>0</v>
      </c>
      <c r="AQ3207" s="21" t="n">
        <v>0</v>
      </c>
      <c r="AR3207" s="21" t="n">
        <v>0</v>
      </c>
      <c r="AS3207" s="21" t="n">
        <v>0</v>
      </c>
      <c r="AT3207" s="19" t="n"/>
    </row>
    <row r="3208">
      <c r="D3208" s="21" t="n">
        <v>0</v>
      </c>
      <c r="E3208" s="21" t="n">
        <v>0</v>
      </c>
      <c r="F3208" s="21" t="n">
        <v>0</v>
      </c>
      <c r="G3208" s="21" t="n">
        <v>0</v>
      </c>
      <c r="H3208" s="21" t="n">
        <v>0</v>
      </c>
      <c r="I3208" s="21" t="n">
        <v>0</v>
      </c>
      <c r="J3208" s="21" t="n">
        <v>0</v>
      </c>
      <c r="K3208" s="21" t="n">
        <v>0</v>
      </c>
      <c r="L3208" s="21" t="n">
        <v>0</v>
      </c>
      <c r="M3208" s="21" t="n">
        <v>0</v>
      </c>
      <c r="N3208" s="21" t="n">
        <v>0</v>
      </c>
      <c r="O3208" s="21" t="n">
        <v>0</v>
      </c>
      <c r="P3208" s="21" t="n">
        <v>0</v>
      </c>
      <c r="Q3208" s="21" t="n">
        <v>0</v>
      </c>
      <c r="R3208" s="21" t="n">
        <v>0</v>
      </c>
      <c r="S3208" s="21" t="n">
        <v>0</v>
      </c>
      <c r="T3208" s="21">
        <f>-$B$1811</f>
        <v/>
      </c>
      <c r="U3208" s="21">
        <f>-$B$1812</f>
        <v/>
      </c>
      <c r="V3208" s="21">
        <f>2*$B$1811+$D$3177</f>
        <v/>
      </c>
      <c r="W3208" s="21">
        <f>0</f>
        <v/>
      </c>
      <c r="X3208" s="21">
        <f>-$B$1811</f>
        <v/>
      </c>
      <c r="Y3208" s="21">
        <f>$B$1812</f>
        <v/>
      </c>
      <c r="Z3208" s="21" t="n">
        <v>0</v>
      </c>
      <c r="AA3208" s="21" t="n">
        <v>0</v>
      </c>
      <c r="AB3208" s="21" t="n">
        <v>0</v>
      </c>
      <c r="AC3208" s="21" t="n">
        <v>0</v>
      </c>
      <c r="AD3208" s="21" t="n">
        <v>0</v>
      </c>
      <c r="AE3208" s="21" t="n">
        <v>0</v>
      </c>
      <c r="AF3208" s="21" t="n">
        <v>0</v>
      </c>
      <c r="AG3208" s="21" t="n">
        <v>0</v>
      </c>
      <c r="AH3208" s="21" t="n">
        <v>0</v>
      </c>
      <c r="AI3208" s="21" t="n">
        <v>0</v>
      </c>
      <c r="AJ3208" s="21" t="n">
        <v>0</v>
      </c>
      <c r="AK3208" s="21" t="n">
        <v>0</v>
      </c>
      <c r="AL3208" s="21" t="n">
        <v>0</v>
      </c>
      <c r="AM3208" s="21" t="n">
        <v>0</v>
      </c>
      <c r="AN3208" s="21" t="n">
        <v>0</v>
      </c>
      <c r="AO3208" s="21" t="n">
        <v>0</v>
      </c>
      <c r="AP3208" s="21" t="n">
        <v>0</v>
      </c>
      <c r="AQ3208" s="21" t="n">
        <v>0</v>
      </c>
      <c r="AR3208" s="21" t="n">
        <v>0</v>
      </c>
      <c r="AS3208" s="21" t="n">
        <v>0</v>
      </c>
      <c r="AT3208" s="19" t="n"/>
    </row>
    <row r="3209">
      <c r="D3209" s="21" t="n">
        <v>0</v>
      </c>
      <c r="E3209" s="21" t="n">
        <v>0</v>
      </c>
      <c r="F3209" s="21" t="n">
        <v>0</v>
      </c>
      <c r="G3209" s="21" t="n">
        <v>0</v>
      </c>
      <c r="H3209" s="21" t="n">
        <v>0</v>
      </c>
      <c r="I3209" s="21" t="n">
        <v>0</v>
      </c>
      <c r="J3209" s="21" t="n">
        <v>0</v>
      </c>
      <c r="K3209" s="21" t="n">
        <v>0</v>
      </c>
      <c r="L3209" s="21" t="n">
        <v>0</v>
      </c>
      <c r="M3209" s="21" t="n">
        <v>0</v>
      </c>
      <c r="N3209" s="21" t="n">
        <v>0</v>
      </c>
      <c r="O3209" s="21" t="n">
        <v>0</v>
      </c>
      <c r="P3209" s="21" t="n">
        <v>0</v>
      </c>
      <c r="Q3209" s="21" t="n">
        <v>0</v>
      </c>
      <c r="R3209" s="21" t="n">
        <v>0</v>
      </c>
      <c r="S3209" s="21" t="n">
        <v>0</v>
      </c>
      <c r="T3209" s="21">
        <f>$B$1812</f>
        <v/>
      </c>
      <c r="U3209" s="21">
        <f>$B$1814</f>
        <v/>
      </c>
      <c r="V3209" s="21">
        <f>0</f>
        <v/>
      </c>
      <c r="W3209" s="21">
        <f>2*$B$1813</f>
        <v/>
      </c>
      <c r="X3209" s="21">
        <f>-$B$1812</f>
        <v/>
      </c>
      <c r="Y3209" s="21">
        <f>$B$1814</f>
        <v/>
      </c>
      <c r="Z3209" s="21" t="n">
        <v>0</v>
      </c>
      <c r="AA3209" s="21" t="n">
        <v>0</v>
      </c>
      <c r="AB3209" s="21" t="n">
        <v>0</v>
      </c>
      <c r="AC3209" s="21" t="n">
        <v>0</v>
      </c>
      <c r="AD3209" s="21" t="n">
        <v>0</v>
      </c>
      <c r="AE3209" s="21" t="n">
        <v>0</v>
      </c>
      <c r="AF3209" s="21" t="n">
        <v>0</v>
      </c>
      <c r="AG3209" s="21" t="n">
        <v>0</v>
      </c>
      <c r="AH3209" s="21" t="n">
        <v>0</v>
      </c>
      <c r="AI3209" s="21" t="n">
        <v>0</v>
      </c>
      <c r="AJ3209" s="21" t="n">
        <v>0</v>
      </c>
      <c r="AK3209" s="21" t="n">
        <v>0</v>
      </c>
      <c r="AL3209" s="21" t="n">
        <v>0</v>
      </c>
      <c r="AM3209" s="21" t="n">
        <v>0</v>
      </c>
      <c r="AN3209" s="21" t="n">
        <v>0</v>
      </c>
      <c r="AO3209" s="21" t="n">
        <v>0</v>
      </c>
      <c r="AP3209" s="21" t="n">
        <v>0</v>
      </c>
      <c r="AQ3209" s="21" t="n">
        <v>0</v>
      </c>
      <c r="AR3209" s="21" t="n">
        <v>0</v>
      </c>
      <c r="AS3209" s="21" t="n">
        <v>0</v>
      </c>
      <c r="AT3209" s="19" t="n"/>
    </row>
    <row r="3210">
      <c r="D3210" s="21" t="n">
        <v>0</v>
      </c>
      <c r="E3210" s="21" t="n">
        <v>0</v>
      </c>
      <c r="F3210" s="21" t="n">
        <v>0</v>
      </c>
      <c r="G3210" s="21" t="n">
        <v>0</v>
      </c>
      <c r="H3210" s="21" t="n">
        <v>0</v>
      </c>
      <c r="I3210" s="21" t="n">
        <v>0</v>
      </c>
      <c r="J3210" s="21" t="n">
        <v>0</v>
      </c>
      <c r="K3210" s="21" t="n">
        <v>0</v>
      </c>
      <c r="L3210" s="21" t="n">
        <v>0</v>
      </c>
      <c r="M3210" s="21" t="n">
        <v>0</v>
      </c>
      <c r="N3210" s="21" t="n">
        <v>0</v>
      </c>
      <c r="O3210" s="21" t="n">
        <v>0</v>
      </c>
      <c r="P3210" s="21" t="n">
        <v>0</v>
      </c>
      <c r="Q3210" s="21" t="n">
        <v>0</v>
      </c>
      <c r="R3210" s="21" t="n">
        <v>0</v>
      </c>
      <c r="S3210" s="21" t="n">
        <v>0</v>
      </c>
      <c r="T3210" s="21" t="n">
        <v>0</v>
      </c>
      <c r="U3210" s="21" t="n">
        <v>0</v>
      </c>
      <c r="V3210" s="21">
        <f>-$B$1811</f>
        <v/>
      </c>
      <c r="W3210" s="21">
        <f>-$B$1812</f>
        <v/>
      </c>
      <c r="X3210" s="21">
        <f>2*$B$1811+$D$3178</f>
        <v/>
      </c>
      <c r="Y3210" s="21">
        <f>0</f>
        <v/>
      </c>
      <c r="Z3210" s="21">
        <f>-$B$1811</f>
        <v/>
      </c>
      <c r="AA3210" s="21">
        <f>$B$1812</f>
        <v/>
      </c>
      <c r="AB3210" s="21" t="n">
        <v>0</v>
      </c>
      <c r="AC3210" s="21" t="n">
        <v>0</v>
      </c>
      <c r="AD3210" s="21" t="n">
        <v>0</v>
      </c>
      <c r="AE3210" s="21" t="n">
        <v>0</v>
      </c>
      <c r="AF3210" s="21" t="n">
        <v>0</v>
      </c>
      <c r="AG3210" s="21" t="n">
        <v>0</v>
      </c>
      <c r="AH3210" s="21" t="n">
        <v>0</v>
      </c>
      <c r="AI3210" s="21" t="n">
        <v>0</v>
      </c>
      <c r="AJ3210" s="21" t="n">
        <v>0</v>
      </c>
      <c r="AK3210" s="21" t="n">
        <v>0</v>
      </c>
      <c r="AL3210" s="21" t="n">
        <v>0</v>
      </c>
      <c r="AM3210" s="21" t="n">
        <v>0</v>
      </c>
      <c r="AN3210" s="21" t="n">
        <v>0</v>
      </c>
      <c r="AO3210" s="21" t="n">
        <v>0</v>
      </c>
      <c r="AP3210" s="21" t="n">
        <v>0</v>
      </c>
      <c r="AQ3210" s="21" t="n">
        <v>0</v>
      </c>
      <c r="AR3210" s="21" t="n">
        <v>0</v>
      </c>
      <c r="AS3210" s="21" t="n">
        <v>0</v>
      </c>
      <c r="AT3210" s="19" t="n"/>
    </row>
    <row r="3211">
      <c r="D3211" s="21" t="n">
        <v>0</v>
      </c>
      <c r="E3211" s="21" t="n">
        <v>0</v>
      </c>
      <c r="F3211" s="21" t="n">
        <v>0</v>
      </c>
      <c r="G3211" s="21" t="n">
        <v>0</v>
      </c>
      <c r="H3211" s="21" t="n">
        <v>0</v>
      </c>
      <c r="I3211" s="21" t="n">
        <v>0</v>
      </c>
      <c r="J3211" s="21" t="n">
        <v>0</v>
      </c>
      <c r="K3211" s="21" t="n">
        <v>0</v>
      </c>
      <c r="L3211" s="21" t="n">
        <v>0</v>
      </c>
      <c r="M3211" s="21" t="n">
        <v>0</v>
      </c>
      <c r="N3211" s="21" t="n">
        <v>0</v>
      </c>
      <c r="O3211" s="21" t="n">
        <v>0</v>
      </c>
      <c r="P3211" s="21" t="n">
        <v>0</v>
      </c>
      <c r="Q3211" s="21" t="n">
        <v>0</v>
      </c>
      <c r="R3211" s="21" t="n">
        <v>0</v>
      </c>
      <c r="S3211" s="21" t="n">
        <v>0</v>
      </c>
      <c r="T3211" s="21" t="n">
        <v>0</v>
      </c>
      <c r="U3211" s="21" t="n">
        <v>0</v>
      </c>
      <c r="V3211" s="21">
        <f>$B$1812</f>
        <v/>
      </c>
      <c r="W3211" s="21">
        <f>$B$1814</f>
        <v/>
      </c>
      <c r="X3211" s="21">
        <f>0</f>
        <v/>
      </c>
      <c r="Y3211" s="21">
        <f>2*$B$1813</f>
        <v/>
      </c>
      <c r="Z3211" s="21">
        <f>-$B$1812</f>
        <v/>
      </c>
      <c r="AA3211" s="21">
        <f>$B$1814</f>
        <v/>
      </c>
      <c r="AB3211" s="21" t="n">
        <v>0</v>
      </c>
      <c r="AC3211" s="21" t="n">
        <v>0</v>
      </c>
      <c r="AD3211" s="21" t="n">
        <v>0</v>
      </c>
      <c r="AE3211" s="21" t="n">
        <v>0</v>
      </c>
      <c r="AF3211" s="21" t="n">
        <v>0</v>
      </c>
      <c r="AG3211" s="21" t="n">
        <v>0</v>
      </c>
      <c r="AH3211" s="21" t="n">
        <v>0</v>
      </c>
      <c r="AI3211" s="21" t="n">
        <v>0</v>
      </c>
      <c r="AJ3211" s="21" t="n">
        <v>0</v>
      </c>
      <c r="AK3211" s="21" t="n">
        <v>0</v>
      </c>
      <c r="AL3211" s="21" t="n">
        <v>0</v>
      </c>
      <c r="AM3211" s="21" t="n">
        <v>0</v>
      </c>
      <c r="AN3211" s="21" t="n">
        <v>0</v>
      </c>
      <c r="AO3211" s="21" t="n">
        <v>0</v>
      </c>
      <c r="AP3211" s="21" t="n">
        <v>0</v>
      </c>
      <c r="AQ3211" s="21" t="n">
        <v>0</v>
      </c>
      <c r="AR3211" s="21" t="n">
        <v>0</v>
      </c>
      <c r="AS3211" s="21" t="n">
        <v>0</v>
      </c>
      <c r="AT3211" s="19" t="n"/>
    </row>
    <row r="3212">
      <c r="D3212" s="21" t="n">
        <v>0</v>
      </c>
      <c r="E3212" s="21" t="n">
        <v>0</v>
      </c>
      <c r="F3212" s="21" t="n">
        <v>0</v>
      </c>
      <c r="G3212" s="21" t="n">
        <v>0</v>
      </c>
      <c r="H3212" s="21" t="n">
        <v>0</v>
      </c>
      <c r="I3212" s="21" t="n">
        <v>0</v>
      </c>
      <c r="J3212" s="21" t="n">
        <v>0</v>
      </c>
      <c r="K3212" s="21" t="n">
        <v>0</v>
      </c>
      <c r="L3212" s="21" t="n">
        <v>0</v>
      </c>
      <c r="M3212" s="21" t="n">
        <v>0</v>
      </c>
      <c r="N3212" s="21" t="n">
        <v>0</v>
      </c>
      <c r="O3212" s="21" t="n">
        <v>0</v>
      </c>
      <c r="P3212" s="21" t="n">
        <v>0</v>
      </c>
      <c r="Q3212" s="21" t="n">
        <v>0</v>
      </c>
      <c r="R3212" s="21" t="n">
        <v>0</v>
      </c>
      <c r="S3212" s="21" t="n">
        <v>0</v>
      </c>
      <c r="T3212" s="21" t="n">
        <v>0</v>
      </c>
      <c r="U3212" s="21" t="n">
        <v>0</v>
      </c>
      <c r="V3212" s="21" t="n">
        <v>0</v>
      </c>
      <c r="W3212" s="21" t="n">
        <v>0</v>
      </c>
      <c r="X3212" s="21">
        <f>-$B$1811</f>
        <v/>
      </c>
      <c r="Y3212" s="21">
        <f>-$B$1812</f>
        <v/>
      </c>
      <c r="Z3212" s="21">
        <f>2*$B$1811+$D$3179</f>
        <v/>
      </c>
      <c r="AA3212" s="21">
        <f>0</f>
        <v/>
      </c>
      <c r="AB3212" s="21">
        <f>-$B$1811</f>
        <v/>
      </c>
      <c r="AC3212" s="21">
        <f>$B$1812</f>
        <v/>
      </c>
      <c r="AD3212" s="21" t="n">
        <v>0</v>
      </c>
      <c r="AE3212" s="21" t="n">
        <v>0</v>
      </c>
      <c r="AF3212" s="21" t="n">
        <v>0</v>
      </c>
      <c r="AG3212" s="21" t="n">
        <v>0</v>
      </c>
      <c r="AH3212" s="21" t="n">
        <v>0</v>
      </c>
      <c r="AI3212" s="21" t="n">
        <v>0</v>
      </c>
      <c r="AJ3212" s="21" t="n">
        <v>0</v>
      </c>
      <c r="AK3212" s="21" t="n">
        <v>0</v>
      </c>
      <c r="AL3212" s="21" t="n">
        <v>0</v>
      </c>
      <c r="AM3212" s="21" t="n">
        <v>0</v>
      </c>
      <c r="AN3212" s="21" t="n">
        <v>0</v>
      </c>
      <c r="AO3212" s="21" t="n">
        <v>0</v>
      </c>
      <c r="AP3212" s="21" t="n">
        <v>0</v>
      </c>
      <c r="AQ3212" s="21" t="n">
        <v>0</v>
      </c>
      <c r="AR3212" s="21" t="n">
        <v>0</v>
      </c>
      <c r="AS3212" s="21" t="n">
        <v>0</v>
      </c>
      <c r="AT3212" s="19" t="n"/>
    </row>
    <row r="3213">
      <c r="D3213" s="21" t="n">
        <v>0</v>
      </c>
      <c r="E3213" s="21" t="n">
        <v>0</v>
      </c>
      <c r="F3213" s="21" t="n">
        <v>0</v>
      </c>
      <c r="G3213" s="21" t="n">
        <v>0</v>
      </c>
      <c r="H3213" s="21" t="n">
        <v>0</v>
      </c>
      <c r="I3213" s="21" t="n">
        <v>0</v>
      </c>
      <c r="J3213" s="21" t="n">
        <v>0</v>
      </c>
      <c r="K3213" s="21" t="n">
        <v>0</v>
      </c>
      <c r="L3213" s="21" t="n">
        <v>0</v>
      </c>
      <c r="M3213" s="21" t="n">
        <v>0</v>
      </c>
      <c r="N3213" s="21" t="n">
        <v>0</v>
      </c>
      <c r="O3213" s="21" t="n">
        <v>0</v>
      </c>
      <c r="P3213" s="21" t="n">
        <v>0</v>
      </c>
      <c r="Q3213" s="21" t="n">
        <v>0</v>
      </c>
      <c r="R3213" s="21" t="n">
        <v>0</v>
      </c>
      <c r="S3213" s="21" t="n">
        <v>0</v>
      </c>
      <c r="T3213" s="21" t="n">
        <v>0</v>
      </c>
      <c r="U3213" s="21" t="n">
        <v>0</v>
      </c>
      <c r="V3213" s="21" t="n">
        <v>0</v>
      </c>
      <c r="W3213" s="21" t="n">
        <v>0</v>
      </c>
      <c r="X3213" s="21">
        <f>$B$1812</f>
        <v/>
      </c>
      <c r="Y3213" s="21">
        <f>$B$1814</f>
        <v/>
      </c>
      <c r="Z3213" s="21">
        <f>0</f>
        <v/>
      </c>
      <c r="AA3213" s="21">
        <f>2*$B$1813</f>
        <v/>
      </c>
      <c r="AB3213" s="21">
        <f>-$B$1812</f>
        <v/>
      </c>
      <c r="AC3213" s="21">
        <f>$B$1814</f>
        <v/>
      </c>
      <c r="AD3213" s="21" t="n">
        <v>0</v>
      </c>
      <c r="AE3213" s="21" t="n">
        <v>0</v>
      </c>
      <c r="AF3213" s="21" t="n">
        <v>0</v>
      </c>
      <c r="AG3213" s="21" t="n">
        <v>0</v>
      </c>
      <c r="AH3213" s="21" t="n">
        <v>0</v>
      </c>
      <c r="AI3213" s="21" t="n">
        <v>0</v>
      </c>
      <c r="AJ3213" s="21" t="n">
        <v>0</v>
      </c>
      <c r="AK3213" s="21" t="n">
        <v>0</v>
      </c>
      <c r="AL3213" s="21" t="n">
        <v>0</v>
      </c>
      <c r="AM3213" s="21" t="n">
        <v>0</v>
      </c>
      <c r="AN3213" s="21" t="n">
        <v>0</v>
      </c>
      <c r="AO3213" s="21" t="n">
        <v>0</v>
      </c>
      <c r="AP3213" s="21" t="n">
        <v>0</v>
      </c>
      <c r="AQ3213" s="21" t="n">
        <v>0</v>
      </c>
      <c r="AR3213" s="21" t="n">
        <v>0</v>
      </c>
      <c r="AS3213" s="21" t="n">
        <v>0</v>
      </c>
      <c r="AT3213" s="19" t="n"/>
    </row>
    <row r="3214">
      <c r="D3214" s="21" t="n">
        <v>0</v>
      </c>
      <c r="E3214" s="21" t="n">
        <v>0</v>
      </c>
      <c r="F3214" s="21" t="n">
        <v>0</v>
      </c>
      <c r="G3214" s="21" t="n">
        <v>0</v>
      </c>
      <c r="H3214" s="21" t="n">
        <v>0</v>
      </c>
      <c r="I3214" s="21" t="n">
        <v>0</v>
      </c>
      <c r="J3214" s="21" t="n">
        <v>0</v>
      </c>
      <c r="K3214" s="21" t="n">
        <v>0</v>
      </c>
      <c r="L3214" s="21" t="n">
        <v>0</v>
      </c>
      <c r="M3214" s="21" t="n">
        <v>0</v>
      </c>
      <c r="N3214" s="21" t="n">
        <v>0</v>
      </c>
      <c r="O3214" s="21" t="n">
        <v>0</v>
      </c>
      <c r="P3214" s="21" t="n">
        <v>0</v>
      </c>
      <c r="Q3214" s="21" t="n">
        <v>0</v>
      </c>
      <c r="R3214" s="21" t="n">
        <v>0</v>
      </c>
      <c r="S3214" s="21" t="n">
        <v>0</v>
      </c>
      <c r="T3214" s="21" t="n">
        <v>0</v>
      </c>
      <c r="U3214" s="21" t="n">
        <v>0</v>
      </c>
      <c r="V3214" s="21" t="n">
        <v>0</v>
      </c>
      <c r="W3214" s="21" t="n">
        <v>0</v>
      </c>
      <c r="X3214" s="21" t="n">
        <v>0</v>
      </c>
      <c r="Y3214" s="21" t="n">
        <v>0</v>
      </c>
      <c r="Z3214" s="21">
        <f>-$B$1811</f>
        <v/>
      </c>
      <c r="AA3214" s="21">
        <f>-$B$1812</f>
        <v/>
      </c>
      <c r="AB3214" s="21">
        <f>2*$B$1811+$D$3180</f>
        <v/>
      </c>
      <c r="AC3214" s="21">
        <f>0</f>
        <v/>
      </c>
      <c r="AD3214" s="21">
        <f>-$B$1811</f>
        <v/>
      </c>
      <c r="AE3214" s="21">
        <f>$B$1812</f>
        <v/>
      </c>
      <c r="AF3214" s="21" t="n">
        <v>0</v>
      </c>
      <c r="AG3214" s="21" t="n">
        <v>0</v>
      </c>
      <c r="AH3214" s="21" t="n">
        <v>0</v>
      </c>
      <c r="AI3214" s="21" t="n">
        <v>0</v>
      </c>
      <c r="AJ3214" s="21" t="n">
        <v>0</v>
      </c>
      <c r="AK3214" s="21" t="n">
        <v>0</v>
      </c>
      <c r="AL3214" s="21" t="n">
        <v>0</v>
      </c>
      <c r="AM3214" s="21" t="n">
        <v>0</v>
      </c>
      <c r="AN3214" s="21" t="n">
        <v>0</v>
      </c>
      <c r="AO3214" s="21" t="n">
        <v>0</v>
      </c>
      <c r="AP3214" s="21" t="n">
        <v>0</v>
      </c>
      <c r="AQ3214" s="21" t="n">
        <v>0</v>
      </c>
      <c r="AR3214" s="21" t="n">
        <v>0</v>
      </c>
      <c r="AS3214" s="21" t="n">
        <v>0</v>
      </c>
      <c r="AT3214" s="19" t="n"/>
    </row>
    <row r="3215">
      <c r="D3215" s="21" t="n">
        <v>0</v>
      </c>
      <c r="E3215" s="21" t="n">
        <v>0</v>
      </c>
      <c r="F3215" s="21" t="n">
        <v>0</v>
      </c>
      <c r="G3215" s="21" t="n">
        <v>0</v>
      </c>
      <c r="H3215" s="21" t="n">
        <v>0</v>
      </c>
      <c r="I3215" s="21" t="n">
        <v>0</v>
      </c>
      <c r="J3215" s="21" t="n">
        <v>0</v>
      </c>
      <c r="K3215" s="21" t="n">
        <v>0</v>
      </c>
      <c r="L3215" s="21" t="n">
        <v>0</v>
      </c>
      <c r="M3215" s="21" t="n">
        <v>0</v>
      </c>
      <c r="N3215" s="21" t="n">
        <v>0</v>
      </c>
      <c r="O3215" s="21" t="n">
        <v>0</v>
      </c>
      <c r="P3215" s="21" t="n">
        <v>0</v>
      </c>
      <c r="Q3215" s="21" t="n">
        <v>0</v>
      </c>
      <c r="R3215" s="21" t="n">
        <v>0</v>
      </c>
      <c r="S3215" s="21" t="n">
        <v>0</v>
      </c>
      <c r="T3215" s="21" t="n">
        <v>0</v>
      </c>
      <c r="U3215" s="21" t="n">
        <v>0</v>
      </c>
      <c r="V3215" s="21" t="n">
        <v>0</v>
      </c>
      <c r="W3215" s="21" t="n">
        <v>0</v>
      </c>
      <c r="X3215" s="21" t="n">
        <v>0</v>
      </c>
      <c r="Y3215" s="21" t="n">
        <v>0</v>
      </c>
      <c r="Z3215" s="21">
        <f>$B$1812</f>
        <v/>
      </c>
      <c r="AA3215" s="21">
        <f>$B$1814</f>
        <v/>
      </c>
      <c r="AB3215" s="21">
        <f>0</f>
        <v/>
      </c>
      <c r="AC3215" s="21">
        <f>2*$B$1813</f>
        <v/>
      </c>
      <c r="AD3215" s="21">
        <f>-$B$1812</f>
        <v/>
      </c>
      <c r="AE3215" s="21">
        <f>$B$1814</f>
        <v/>
      </c>
      <c r="AF3215" s="21" t="n">
        <v>0</v>
      </c>
      <c r="AG3215" s="21" t="n">
        <v>0</v>
      </c>
      <c r="AH3215" s="21" t="n">
        <v>0</v>
      </c>
      <c r="AI3215" s="21" t="n">
        <v>0</v>
      </c>
      <c r="AJ3215" s="21" t="n">
        <v>0</v>
      </c>
      <c r="AK3215" s="21" t="n">
        <v>0</v>
      </c>
      <c r="AL3215" s="21" t="n">
        <v>0</v>
      </c>
      <c r="AM3215" s="21" t="n">
        <v>0</v>
      </c>
      <c r="AN3215" s="21" t="n">
        <v>0</v>
      </c>
      <c r="AO3215" s="21" t="n">
        <v>0</v>
      </c>
      <c r="AP3215" s="21" t="n">
        <v>0</v>
      </c>
      <c r="AQ3215" s="21" t="n">
        <v>0</v>
      </c>
      <c r="AR3215" s="21" t="n">
        <v>0</v>
      </c>
      <c r="AS3215" s="21" t="n">
        <v>0</v>
      </c>
      <c r="AT3215" s="19" t="n"/>
    </row>
    <row r="3216">
      <c r="D3216" s="21" t="n">
        <v>0</v>
      </c>
      <c r="E3216" s="21" t="n">
        <v>0</v>
      </c>
      <c r="F3216" s="21" t="n">
        <v>0</v>
      </c>
      <c r="G3216" s="21" t="n">
        <v>0</v>
      </c>
      <c r="H3216" s="21" t="n">
        <v>0</v>
      </c>
      <c r="I3216" s="21" t="n">
        <v>0</v>
      </c>
      <c r="J3216" s="21" t="n">
        <v>0</v>
      </c>
      <c r="K3216" s="21" t="n">
        <v>0</v>
      </c>
      <c r="L3216" s="21" t="n">
        <v>0</v>
      </c>
      <c r="M3216" s="21" t="n">
        <v>0</v>
      </c>
      <c r="N3216" s="21" t="n">
        <v>0</v>
      </c>
      <c r="O3216" s="21" t="n">
        <v>0</v>
      </c>
      <c r="P3216" s="21" t="n">
        <v>0</v>
      </c>
      <c r="Q3216" s="21" t="n">
        <v>0</v>
      </c>
      <c r="R3216" s="21" t="n">
        <v>0</v>
      </c>
      <c r="S3216" s="21" t="n">
        <v>0</v>
      </c>
      <c r="T3216" s="21" t="n">
        <v>0</v>
      </c>
      <c r="U3216" s="21" t="n">
        <v>0</v>
      </c>
      <c r="V3216" s="21" t="n">
        <v>0</v>
      </c>
      <c r="W3216" s="21" t="n">
        <v>0</v>
      </c>
      <c r="X3216" s="21" t="n">
        <v>0</v>
      </c>
      <c r="Y3216" s="21" t="n">
        <v>0</v>
      </c>
      <c r="Z3216" s="21" t="n">
        <v>0</v>
      </c>
      <c r="AA3216" s="21" t="n">
        <v>0</v>
      </c>
      <c r="AB3216" s="21">
        <f>-$B$1811</f>
        <v/>
      </c>
      <c r="AC3216" s="21">
        <f>-$B$1812</f>
        <v/>
      </c>
      <c r="AD3216" s="21">
        <f>2*$B$1811+$D$3181</f>
        <v/>
      </c>
      <c r="AE3216" s="21">
        <f>0</f>
        <v/>
      </c>
      <c r="AF3216" s="21">
        <f>-$B$1811</f>
        <v/>
      </c>
      <c r="AG3216" s="21">
        <f>$B$1812</f>
        <v/>
      </c>
      <c r="AH3216" s="21" t="n">
        <v>0</v>
      </c>
      <c r="AI3216" s="21" t="n">
        <v>0</v>
      </c>
      <c r="AJ3216" s="21" t="n">
        <v>0</v>
      </c>
      <c r="AK3216" s="21" t="n">
        <v>0</v>
      </c>
      <c r="AL3216" s="21" t="n">
        <v>0</v>
      </c>
      <c r="AM3216" s="21" t="n">
        <v>0</v>
      </c>
      <c r="AN3216" s="21" t="n">
        <v>0</v>
      </c>
      <c r="AO3216" s="21" t="n">
        <v>0</v>
      </c>
      <c r="AP3216" s="21" t="n">
        <v>0</v>
      </c>
      <c r="AQ3216" s="21" t="n">
        <v>0</v>
      </c>
      <c r="AR3216" s="21" t="n">
        <v>0</v>
      </c>
      <c r="AS3216" s="21" t="n">
        <v>0</v>
      </c>
      <c r="AT3216" s="19" t="n"/>
    </row>
    <row r="3217">
      <c r="D3217" s="21" t="n">
        <v>0</v>
      </c>
      <c r="E3217" s="21" t="n">
        <v>0</v>
      </c>
      <c r="F3217" s="21" t="n">
        <v>0</v>
      </c>
      <c r="G3217" s="21" t="n">
        <v>0</v>
      </c>
      <c r="H3217" s="21" t="n">
        <v>0</v>
      </c>
      <c r="I3217" s="21" t="n">
        <v>0</v>
      </c>
      <c r="J3217" s="21" t="n">
        <v>0</v>
      </c>
      <c r="K3217" s="21" t="n">
        <v>0</v>
      </c>
      <c r="L3217" s="21" t="n">
        <v>0</v>
      </c>
      <c r="M3217" s="21" t="n">
        <v>0</v>
      </c>
      <c r="N3217" s="21" t="n">
        <v>0</v>
      </c>
      <c r="O3217" s="21" t="n">
        <v>0</v>
      </c>
      <c r="P3217" s="21" t="n">
        <v>0</v>
      </c>
      <c r="Q3217" s="21" t="n">
        <v>0</v>
      </c>
      <c r="R3217" s="21" t="n">
        <v>0</v>
      </c>
      <c r="S3217" s="21" t="n">
        <v>0</v>
      </c>
      <c r="T3217" s="21" t="n">
        <v>0</v>
      </c>
      <c r="U3217" s="21" t="n">
        <v>0</v>
      </c>
      <c r="V3217" s="21" t="n">
        <v>0</v>
      </c>
      <c r="W3217" s="21" t="n">
        <v>0</v>
      </c>
      <c r="X3217" s="21" t="n">
        <v>0</v>
      </c>
      <c r="Y3217" s="21" t="n">
        <v>0</v>
      </c>
      <c r="Z3217" s="21" t="n">
        <v>0</v>
      </c>
      <c r="AA3217" s="21" t="n">
        <v>0</v>
      </c>
      <c r="AB3217" s="21">
        <f>$B$1812</f>
        <v/>
      </c>
      <c r="AC3217" s="21">
        <f>$B$1814</f>
        <v/>
      </c>
      <c r="AD3217" s="21">
        <f>0</f>
        <v/>
      </c>
      <c r="AE3217" s="21">
        <f>2*$B$1813</f>
        <v/>
      </c>
      <c r="AF3217" s="21">
        <f>-$B$1812</f>
        <v/>
      </c>
      <c r="AG3217" s="21">
        <f>$B$1814</f>
        <v/>
      </c>
      <c r="AH3217" s="21" t="n">
        <v>0</v>
      </c>
      <c r="AI3217" s="21" t="n">
        <v>0</v>
      </c>
      <c r="AJ3217" s="21" t="n">
        <v>0</v>
      </c>
      <c r="AK3217" s="21" t="n">
        <v>0</v>
      </c>
      <c r="AL3217" s="21" t="n">
        <v>0</v>
      </c>
      <c r="AM3217" s="21" t="n">
        <v>0</v>
      </c>
      <c r="AN3217" s="21" t="n">
        <v>0</v>
      </c>
      <c r="AO3217" s="21" t="n">
        <v>0</v>
      </c>
      <c r="AP3217" s="21" t="n">
        <v>0</v>
      </c>
      <c r="AQ3217" s="21" t="n">
        <v>0</v>
      </c>
      <c r="AR3217" s="21" t="n">
        <v>0</v>
      </c>
      <c r="AS3217" s="21" t="n">
        <v>0</v>
      </c>
      <c r="AT3217" s="19" t="n"/>
    </row>
    <row r="3218">
      <c r="D3218" s="21" t="n">
        <v>0</v>
      </c>
      <c r="E3218" s="21" t="n">
        <v>0</v>
      </c>
      <c r="F3218" s="21" t="n">
        <v>0</v>
      </c>
      <c r="G3218" s="21" t="n">
        <v>0</v>
      </c>
      <c r="H3218" s="21" t="n">
        <v>0</v>
      </c>
      <c r="I3218" s="21" t="n">
        <v>0</v>
      </c>
      <c r="J3218" s="21" t="n">
        <v>0</v>
      </c>
      <c r="K3218" s="21" t="n">
        <v>0</v>
      </c>
      <c r="L3218" s="21" t="n">
        <v>0</v>
      </c>
      <c r="M3218" s="21" t="n">
        <v>0</v>
      </c>
      <c r="N3218" s="21" t="n">
        <v>0</v>
      </c>
      <c r="O3218" s="21" t="n">
        <v>0</v>
      </c>
      <c r="P3218" s="21" t="n">
        <v>0</v>
      </c>
      <c r="Q3218" s="21" t="n">
        <v>0</v>
      </c>
      <c r="R3218" s="21" t="n">
        <v>0</v>
      </c>
      <c r="S3218" s="21" t="n">
        <v>0</v>
      </c>
      <c r="T3218" s="21" t="n">
        <v>0</v>
      </c>
      <c r="U3218" s="21" t="n">
        <v>0</v>
      </c>
      <c r="V3218" s="21" t="n">
        <v>0</v>
      </c>
      <c r="W3218" s="21" t="n">
        <v>0</v>
      </c>
      <c r="X3218" s="21" t="n">
        <v>0</v>
      </c>
      <c r="Y3218" s="21" t="n">
        <v>0</v>
      </c>
      <c r="Z3218" s="21" t="n">
        <v>0</v>
      </c>
      <c r="AA3218" s="21" t="n">
        <v>0</v>
      </c>
      <c r="AB3218" s="21" t="n">
        <v>0</v>
      </c>
      <c r="AC3218" s="21" t="n">
        <v>0</v>
      </c>
      <c r="AD3218" s="21">
        <f>-$B$1811</f>
        <v/>
      </c>
      <c r="AE3218" s="21">
        <f>-$B$1812</f>
        <v/>
      </c>
      <c r="AF3218" s="21">
        <f>2*$B$1811+$D$3182</f>
        <v/>
      </c>
      <c r="AG3218" s="21">
        <f>0</f>
        <v/>
      </c>
      <c r="AH3218" s="21">
        <f>-$B$1811</f>
        <v/>
      </c>
      <c r="AI3218" s="21">
        <f>$B$1812</f>
        <v/>
      </c>
      <c r="AJ3218" s="21" t="n">
        <v>0</v>
      </c>
      <c r="AK3218" s="21" t="n">
        <v>0</v>
      </c>
      <c r="AL3218" s="21" t="n">
        <v>0</v>
      </c>
      <c r="AM3218" s="21" t="n">
        <v>0</v>
      </c>
      <c r="AN3218" s="21" t="n">
        <v>0</v>
      </c>
      <c r="AO3218" s="21" t="n">
        <v>0</v>
      </c>
      <c r="AP3218" s="21" t="n">
        <v>0</v>
      </c>
      <c r="AQ3218" s="21" t="n">
        <v>0</v>
      </c>
      <c r="AR3218" s="21" t="n">
        <v>0</v>
      </c>
      <c r="AS3218" s="21" t="n">
        <v>0</v>
      </c>
      <c r="AT3218" s="19" t="n"/>
    </row>
    <row r="3219">
      <c r="D3219" s="21" t="n">
        <v>0</v>
      </c>
      <c r="E3219" s="21" t="n">
        <v>0</v>
      </c>
      <c r="F3219" s="21" t="n">
        <v>0</v>
      </c>
      <c r="G3219" s="21" t="n">
        <v>0</v>
      </c>
      <c r="H3219" s="21" t="n">
        <v>0</v>
      </c>
      <c r="I3219" s="21" t="n">
        <v>0</v>
      </c>
      <c r="J3219" s="21" t="n">
        <v>0</v>
      </c>
      <c r="K3219" s="21" t="n">
        <v>0</v>
      </c>
      <c r="L3219" s="21" t="n">
        <v>0</v>
      </c>
      <c r="M3219" s="21" t="n">
        <v>0</v>
      </c>
      <c r="N3219" s="21" t="n">
        <v>0</v>
      </c>
      <c r="O3219" s="21" t="n">
        <v>0</v>
      </c>
      <c r="P3219" s="21" t="n">
        <v>0</v>
      </c>
      <c r="Q3219" s="21" t="n">
        <v>0</v>
      </c>
      <c r="R3219" s="21" t="n">
        <v>0</v>
      </c>
      <c r="S3219" s="21" t="n">
        <v>0</v>
      </c>
      <c r="T3219" s="21" t="n">
        <v>0</v>
      </c>
      <c r="U3219" s="21" t="n">
        <v>0</v>
      </c>
      <c r="V3219" s="21" t="n">
        <v>0</v>
      </c>
      <c r="W3219" s="21" t="n">
        <v>0</v>
      </c>
      <c r="X3219" s="21" t="n">
        <v>0</v>
      </c>
      <c r="Y3219" s="21" t="n">
        <v>0</v>
      </c>
      <c r="Z3219" s="21" t="n">
        <v>0</v>
      </c>
      <c r="AA3219" s="21" t="n">
        <v>0</v>
      </c>
      <c r="AB3219" s="21" t="n">
        <v>0</v>
      </c>
      <c r="AC3219" s="21" t="n">
        <v>0</v>
      </c>
      <c r="AD3219" s="21">
        <f>$B$1812</f>
        <v/>
      </c>
      <c r="AE3219" s="21">
        <f>$B$1814</f>
        <v/>
      </c>
      <c r="AF3219" s="21">
        <f>0</f>
        <v/>
      </c>
      <c r="AG3219" s="21">
        <f>2*$B$1813</f>
        <v/>
      </c>
      <c r="AH3219" s="21">
        <f>-$B$1812</f>
        <v/>
      </c>
      <c r="AI3219" s="21">
        <f>$B$1814</f>
        <v/>
      </c>
      <c r="AJ3219" s="21" t="n">
        <v>0</v>
      </c>
      <c r="AK3219" s="21" t="n">
        <v>0</v>
      </c>
      <c r="AL3219" s="21" t="n">
        <v>0</v>
      </c>
      <c r="AM3219" s="21" t="n">
        <v>0</v>
      </c>
      <c r="AN3219" s="21" t="n">
        <v>0</v>
      </c>
      <c r="AO3219" s="21" t="n">
        <v>0</v>
      </c>
      <c r="AP3219" s="21" t="n">
        <v>0</v>
      </c>
      <c r="AQ3219" s="21" t="n">
        <v>0</v>
      </c>
      <c r="AR3219" s="21" t="n">
        <v>0</v>
      </c>
      <c r="AS3219" s="21" t="n">
        <v>0</v>
      </c>
      <c r="AT3219" s="19" t="n"/>
    </row>
    <row r="3220">
      <c r="D3220" s="21" t="n">
        <v>0</v>
      </c>
      <c r="E3220" s="21" t="n">
        <v>0</v>
      </c>
      <c r="F3220" s="21" t="n">
        <v>0</v>
      </c>
      <c r="G3220" s="21" t="n">
        <v>0</v>
      </c>
      <c r="H3220" s="21" t="n">
        <v>0</v>
      </c>
      <c r="I3220" s="21" t="n">
        <v>0</v>
      </c>
      <c r="J3220" s="21" t="n">
        <v>0</v>
      </c>
      <c r="K3220" s="21" t="n">
        <v>0</v>
      </c>
      <c r="L3220" s="21" t="n">
        <v>0</v>
      </c>
      <c r="M3220" s="21" t="n">
        <v>0</v>
      </c>
      <c r="N3220" s="21" t="n">
        <v>0</v>
      </c>
      <c r="O3220" s="21" t="n">
        <v>0</v>
      </c>
      <c r="P3220" s="21" t="n">
        <v>0</v>
      </c>
      <c r="Q3220" s="21" t="n">
        <v>0</v>
      </c>
      <c r="R3220" s="21" t="n">
        <v>0</v>
      </c>
      <c r="S3220" s="21" t="n">
        <v>0</v>
      </c>
      <c r="T3220" s="21" t="n">
        <v>0</v>
      </c>
      <c r="U3220" s="21" t="n">
        <v>0</v>
      </c>
      <c r="V3220" s="21" t="n">
        <v>0</v>
      </c>
      <c r="W3220" s="21" t="n">
        <v>0</v>
      </c>
      <c r="X3220" s="21" t="n">
        <v>0</v>
      </c>
      <c r="Y3220" s="21" t="n">
        <v>0</v>
      </c>
      <c r="Z3220" s="21" t="n">
        <v>0</v>
      </c>
      <c r="AA3220" s="21" t="n">
        <v>0</v>
      </c>
      <c r="AB3220" s="21" t="n">
        <v>0</v>
      </c>
      <c r="AC3220" s="21" t="n">
        <v>0</v>
      </c>
      <c r="AD3220" s="21" t="n">
        <v>0</v>
      </c>
      <c r="AE3220" s="21" t="n">
        <v>0</v>
      </c>
      <c r="AF3220" s="21">
        <f>-$B$1811</f>
        <v/>
      </c>
      <c r="AG3220" s="21">
        <f>-$B$1812</f>
        <v/>
      </c>
      <c r="AH3220" s="21">
        <f>2*$B$1811+$D$3183</f>
        <v/>
      </c>
      <c r="AI3220" s="21">
        <f>0</f>
        <v/>
      </c>
      <c r="AJ3220" s="21">
        <f>-$B$1811</f>
        <v/>
      </c>
      <c r="AK3220" s="21">
        <f>$B$1812</f>
        <v/>
      </c>
      <c r="AL3220" s="21" t="n">
        <v>0</v>
      </c>
      <c r="AM3220" s="21" t="n">
        <v>0</v>
      </c>
      <c r="AN3220" s="21" t="n">
        <v>0</v>
      </c>
      <c r="AO3220" s="21" t="n">
        <v>0</v>
      </c>
      <c r="AP3220" s="21" t="n">
        <v>0</v>
      </c>
      <c r="AQ3220" s="21" t="n">
        <v>0</v>
      </c>
      <c r="AR3220" s="21" t="n">
        <v>0</v>
      </c>
      <c r="AS3220" s="21" t="n">
        <v>0</v>
      </c>
      <c r="AT3220" s="19" t="n"/>
    </row>
    <row r="3221">
      <c r="D3221" s="21" t="n">
        <v>0</v>
      </c>
      <c r="E3221" s="21" t="n">
        <v>0</v>
      </c>
      <c r="F3221" s="21" t="n">
        <v>0</v>
      </c>
      <c r="G3221" s="21" t="n">
        <v>0</v>
      </c>
      <c r="H3221" s="21" t="n">
        <v>0</v>
      </c>
      <c r="I3221" s="21" t="n">
        <v>0</v>
      </c>
      <c r="J3221" s="21" t="n">
        <v>0</v>
      </c>
      <c r="K3221" s="21" t="n">
        <v>0</v>
      </c>
      <c r="L3221" s="21" t="n">
        <v>0</v>
      </c>
      <c r="M3221" s="21" t="n">
        <v>0</v>
      </c>
      <c r="N3221" s="21" t="n">
        <v>0</v>
      </c>
      <c r="O3221" s="21" t="n">
        <v>0</v>
      </c>
      <c r="P3221" s="21" t="n">
        <v>0</v>
      </c>
      <c r="Q3221" s="21" t="n">
        <v>0</v>
      </c>
      <c r="R3221" s="21" t="n">
        <v>0</v>
      </c>
      <c r="S3221" s="21" t="n">
        <v>0</v>
      </c>
      <c r="T3221" s="21" t="n">
        <v>0</v>
      </c>
      <c r="U3221" s="21" t="n">
        <v>0</v>
      </c>
      <c r="V3221" s="21" t="n">
        <v>0</v>
      </c>
      <c r="W3221" s="21" t="n">
        <v>0</v>
      </c>
      <c r="X3221" s="21" t="n">
        <v>0</v>
      </c>
      <c r="Y3221" s="21" t="n">
        <v>0</v>
      </c>
      <c r="Z3221" s="21" t="n">
        <v>0</v>
      </c>
      <c r="AA3221" s="21" t="n">
        <v>0</v>
      </c>
      <c r="AB3221" s="21" t="n">
        <v>0</v>
      </c>
      <c r="AC3221" s="21" t="n">
        <v>0</v>
      </c>
      <c r="AD3221" s="21" t="n">
        <v>0</v>
      </c>
      <c r="AE3221" s="21" t="n">
        <v>0</v>
      </c>
      <c r="AF3221" s="21">
        <f>$B$1812</f>
        <v/>
      </c>
      <c r="AG3221" s="21">
        <f>$B$1814</f>
        <v/>
      </c>
      <c r="AH3221" s="21">
        <f>0</f>
        <v/>
      </c>
      <c r="AI3221" s="21">
        <f>2*$B$1813</f>
        <v/>
      </c>
      <c r="AJ3221" s="21">
        <f>-$B$1812</f>
        <v/>
      </c>
      <c r="AK3221" s="21">
        <f>$B$1814</f>
        <v/>
      </c>
      <c r="AL3221" s="21" t="n">
        <v>0</v>
      </c>
      <c r="AM3221" s="21" t="n">
        <v>0</v>
      </c>
      <c r="AN3221" s="21" t="n">
        <v>0</v>
      </c>
      <c r="AO3221" s="21" t="n">
        <v>0</v>
      </c>
      <c r="AP3221" s="21" t="n">
        <v>0</v>
      </c>
      <c r="AQ3221" s="21" t="n">
        <v>0</v>
      </c>
      <c r="AR3221" s="21" t="n">
        <v>0</v>
      </c>
      <c r="AS3221" s="21" t="n">
        <v>0</v>
      </c>
      <c r="AT3221" s="19" t="n"/>
    </row>
    <row r="3222">
      <c r="D3222" s="21" t="n">
        <v>0</v>
      </c>
      <c r="E3222" s="21" t="n">
        <v>0</v>
      </c>
      <c r="F3222" s="21" t="n">
        <v>0</v>
      </c>
      <c r="G3222" s="21" t="n">
        <v>0</v>
      </c>
      <c r="H3222" s="21" t="n">
        <v>0</v>
      </c>
      <c r="I3222" s="21" t="n">
        <v>0</v>
      </c>
      <c r="J3222" s="21" t="n">
        <v>0</v>
      </c>
      <c r="K3222" s="21" t="n">
        <v>0</v>
      </c>
      <c r="L3222" s="21" t="n">
        <v>0</v>
      </c>
      <c r="M3222" s="21" t="n">
        <v>0</v>
      </c>
      <c r="N3222" s="21" t="n">
        <v>0</v>
      </c>
      <c r="O3222" s="21" t="n">
        <v>0</v>
      </c>
      <c r="P3222" s="21" t="n">
        <v>0</v>
      </c>
      <c r="Q3222" s="21" t="n">
        <v>0</v>
      </c>
      <c r="R3222" s="21" t="n">
        <v>0</v>
      </c>
      <c r="S3222" s="21" t="n">
        <v>0</v>
      </c>
      <c r="T3222" s="21" t="n">
        <v>0</v>
      </c>
      <c r="U3222" s="21" t="n">
        <v>0</v>
      </c>
      <c r="V3222" s="21" t="n">
        <v>0</v>
      </c>
      <c r="W3222" s="21" t="n">
        <v>0</v>
      </c>
      <c r="X3222" s="21" t="n">
        <v>0</v>
      </c>
      <c r="Y3222" s="21" t="n">
        <v>0</v>
      </c>
      <c r="Z3222" s="21" t="n">
        <v>0</v>
      </c>
      <c r="AA3222" s="21" t="n">
        <v>0</v>
      </c>
      <c r="AB3222" s="21" t="n">
        <v>0</v>
      </c>
      <c r="AC3222" s="21" t="n">
        <v>0</v>
      </c>
      <c r="AD3222" s="21" t="n">
        <v>0</v>
      </c>
      <c r="AE3222" s="21" t="n">
        <v>0</v>
      </c>
      <c r="AF3222" s="21" t="n">
        <v>0</v>
      </c>
      <c r="AG3222" s="21" t="n">
        <v>0</v>
      </c>
      <c r="AH3222" s="21">
        <f>-$B$1811</f>
        <v/>
      </c>
      <c r="AI3222" s="21">
        <f>-$B$1812</f>
        <v/>
      </c>
      <c r="AJ3222" s="21">
        <f>2*$B$1811+$D$3184</f>
        <v/>
      </c>
      <c r="AK3222" s="21">
        <f>0</f>
        <v/>
      </c>
      <c r="AL3222" s="21">
        <f>-$B$1811</f>
        <v/>
      </c>
      <c r="AM3222" s="21">
        <f>$B$1812</f>
        <v/>
      </c>
      <c r="AN3222" s="21" t="n">
        <v>0</v>
      </c>
      <c r="AO3222" s="21" t="n">
        <v>0</v>
      </c>
      <c r="AP3222" s="21" t="n">
        <v>0</v>
      </c>
      <c r="AQ3222" s="21" t="n">
        <v>0</v>
      </c>
      <c r="AR3222" s="21" t="n">
        <v>0</v>
      </c>
      <c r="AS3222" s="21" t="n">
        <v>0</v>
      </c>
      <c r="AT3222" s="19" t="n"/>
    </row>
    <row r="3223">
      <c r="D3223" s="21" t="n">
        <v>0</v>
      </c>
      <c r="E3223" s="21" t="n">
        <v>0</v>
      </c>
      <c r="F3223" s="21" t="n">
        <v>0</v>
      </c>
      <c r="G3223" s="21" t="n">
        <v>0</v>
      </c>
      <c r="H3223" s="21" t="n">
        <v>0</v>
      </c>
      <c r="I3223" s="21" t="n">
        <v>0</v>
      </c>
      <c r="J3223" s="21" t="n">
        <v>0</v>
      </c>
      <c r="K3223" s="21" t="n">
        <v>0</v>
      </c>
      <c r="L3223" s="21" t="n">
        <v>0</v>
      </c>
      <c r="M3223" s="21" t="n">
        <v>0</v>
      </c>
      <c r="N3223" s="21" t="n">
        <v>0</v>
      </c>
      <c r="O3223" s="21" t="n">
        <v>0</v>
      </c>
      <c r="P3223" s="21" t="n">
        <v>0</v>
      </c>
      <c r="Q3223" s="21" t="n">
        <v>0</v>
      </c>
      <c r="R3223" s="21" t="n">
        <v>0</v>
      </c>
      <c r="S3223" s="21" t="n">
        <v>0</v>
      </c>
      <c r="T3223" s="21" t="n">
        <v>0</v>
      </c>
      <c r="U3223" s="21" t="n">
        <v>0</v>
      </c>
      <c r="V3223" s="21" t="n">
        <v>0</v>
      </c>
      <c r="W3223" s="21" t="n">
        <v>0</v>
      </c>
      <c r="X3223" s="21" t="n">
        <v>0</v>
      </c>
      <c r="Y3223" s="21" t="n">
        <v>0</v>
      </c>
      <c r="Z3223" s="21" t="n">
        <v>0</v>
      </c>
      <c r="AA3223" s="21" t="n">
        <v>0</v>
      </c>
      <c r="AB3223" s="21" t="n">
        <v>0</v>
      </c>
      <c r="AC3223" s="21" t="n">
        <v>0</v>
      </c>
      <c r="AD3223" s="21" t="n">
        <v>0</v>
      </c>
      <c r="AE3223" s="21" t="n">
        <v>0</v>
      </c>
      <c r="AF3223" s="21" t="n">
        <v>0</v>
      </c>
      <c r="AG3223" s="21" t="n">
        <v>0</v>
      </c>
      <c r="AH3223" s="21">
        <f>$B$1812</f>
        <v/>
      </c>
      <c r="AI3223" s="21">
        <f>$B$1814</f>
        <v/>
      </c>
      <c r="AJ3223" s="21">
        <f>0</f>
        <v/>
      </c>
      <c r="AK3223" s="21">
        <f>2*$B$1813</f>
        <v/>
      </c>
      <c r="AL3223" s="21">
        <f>-$B$1812</f>
        <v/>
      </c>
      <c r="AM3223" s="21">
        <f>$B$1814</f>
        <v/>
      </c>
      <c r="AN3223" s="21" t="n">
        <v>0</v>
      </c>
      <c r="AO3223" s="21" t="n">
        <v>0</v>
      </c>
      <c r="AP3223" s="21" t="n">
        <v>0</v>
      </c>
      <c r="AQ3223" s="21" t="n">
        <v>0</v>
      </c>
      <c r="AR3223" s="21" t="n">
        <v>0</v>
      </c>
      <c r="AS3223" s="21" t="n">
        <v>0</v>
      </c>
      <c r="AT3223" s="19" t="n"/>
    </row>
    <row r="3224">
      <c r="D3224" s="21" t="n">
        <v>0</v>
      </c>
      <c r="E3224" s="21" t="n">
        <v>0</v>
      </c>
      <c r="F3224" s="21" t="n">
        <v>0</v>
      </c>
      <c r="G3224" s="21" t="n">
        <v>0</v>
      </c>
      <c r="H3224" s="21" t="n">
        <v>0</v>
      </c>
      <c r="I3224" s="21" t="n">
        <v>0</v>
      </c>
      <c r="J3224" s="21" t="n">
        <v>0</v>
      </c>
      <c r="K3224" s="21" t="n">
        <v>0</v>
      </c>
      <c r="L3224" s="21" t="n">
        <v>0</v>
      </c>
      <c r="M3224" s="21" t="n">
        <v>0</v>
      </c>
      <c r="N3224" s="21" t="n">
        <v>0</v>
      </c>
      <c r="O3224" s="21" t="n">
        <v>0</v>
      </c>
      <c r="P3224" s="21" t="n">
        <v>0</v>
      </c>
      <c r="Q3224" s="21" t="n">
        <v>0</v>
      </c>
      <c r="R3224" s="21" t="n">
        <v>0</v>
      </c>
      <c r="S3224" s="21" t="n">
        <v>0</v>
      </c>
      <c r="T3224" s="21" t="n">
        <v>0</v>
      </c>
      <c r="U3224" s="21" t="n">
        <v>0</v>
      </c>
      <c r="V3224" s="21" t="n">
        <v>0</v>
      </c>
      <c r="W3224" s="21" t="n">
        <v>0</v>
      </c>
      <c r="X3224" s="21" t="n">
        <v>0</v>
      </c>
      <c r="Y3224" s="21" t="n">
        <v>0</v>
      </c>
      <c r="Z3224" s="21" t="n">
        <v>0</v>
      </c>
      <c r="AA3224" s="21" t="n">
        <v>0</v>
      </c>
      <c r="AB3224" s="21" t="n">
        <v>0</v>
      </c>
      <c r="AC3224" s="21" t="n">
        <v>0</v>
      </c>
      <c r="AD3224" s="21" t="n">
        <v>0</v>
      </c>
      <c r="AE3224" s="21" t="n">
        <v>0</v>
      </c>
      <c r="AF3224" s="21" t="n">
        <v>0</v>
      </c>
      <c r="AG3224" s="21" t="n">
        <v>0</v>
      </c>
      <c r="AH3224" s="21" t="n">
        <v>0</v>
      </c>
      <c r="AI3224" s="21" t="n">
        <v>0</v>
      </c>
      <c r="AJ3224" s="21">
        <f>-$B$1811</f>
        <v/>
      </c>
      <c r="AK3224" s="21">
        <f>-$B$1812</f>
        <v/>
      </c>
      <c r="AL3224" s="21">
        <f>2*$B$1811+$D$3185</f>
        <v/>
      </c>
      <c r="AM3224" s="21">
        <f>0</f>
        <v/>
      </c>
      <c r="AN3224" s="21">
        <f>-$B$1811</f>
        <v/>
      </c>
      <c r="AO3224" s="21">
        <f>$B$1812</f>
        <v/>
      </c>
      <c r="AP3224" s="21" t="n">
        <v>0</v>
      </c>
      <c r="AQ3224" s="21" t="n">
        <v>0</v>
      </c>
      <c r="AR3224" s="21" t="n">
        <v>0</v>
      </c>
      <c r="AS3224" s="21" t="n">
        <v>0</v>
      </c>
      <c r="AT3224" s="19" t="n"/>
    </row>
    <row r="3225">
      <c r="D3225" s="21" t="n">
        <v>0</v>
      </c>
      <c r="E3225" s="21" t="n">
        <v>0</v>
      </c>
      <c r="F3225" s="21" t="n">
        <v>0</v>
      </c>
      <c r="G3225" s="21" t="n">
        <v>0</v>
      </c>
      <c r="H3225" s="21" t="n">
        <v>0</v>
      </c>
      <c r="I3225" s="21" t="n">
        <v>0</v>
      </c>
      <c r="J3225" s="21" t="n">
        <v>0</v>
      </c>
      <c r="K3225" s="21" t="n">
        <v>0</v>
      </c>
      <c r="L3225" s="21" t="n">
        <v>0</v>
      </c>
      <c r="M3225" s="21" t="n">
        <v>0</v>
      </c>
      <c r="N3225" s="21" t="n">
        <v>0</v>
      </c>
      <c r="O3225" s="21" t="n">
        <v>0</v>
      </c>
      <c r="P3225" s="21" t="n">
        <v>0</v>
      </c>
      <c r="Q3225" s="21" t="n">
        <v>0</v>
      </c>
      <c r="R3225" s="21" t="n">
        <v>0</v>
      </c>
      <c r="S3225" s="21" t="n">
        <v>0</v>
      </c>
      <c r="T3225" s="21" t="n">
        <v>0</v>
      </c>
      <c r="U3225" s="21" t="n">
        <v>0</v>
      </c>
      <c r="V3225" s="21" t="n">
        <v>0</v>
      </c>
      <c r="W3225" s="21" t="n">
        <v>0</v>
      </c>
      <c r="X3225" s="21" t="n">
        <v>0</v>
      </c>
      <c r="Y3225" s="21" t="n">
        <v>0</v>
      </c>
      <c r="Z3225" s="21" t="n">
        <v>0</v>
      </c>
      <c r="AA3225" s="21" t="n">
        <v>0</v>
      </c>
      <c r="AB3225" s="21" t="n">
        <v>0</v>
      </c>
      <c r="AC3225" s="21" t="n">
        <v>0</v>
      </c>
      <c r="AD3225" s="21" t="n">
        <v>0</v>
      </c>
      <c r="AE3225" s="21" t="n">
        <v>0</v>
      </c>
      <c r="AF3225" s="21" t="n">
        <v>0</v>
      </c>
      <c r="AG3225" s="21" t="n">
        <v>0</v>
      </c>
      <c r="AH3225" s="21" t="n">
        <v>0</v>
      </c>
      <c r="AI3225" s="21" t="n">
        <v>0</v>
      </c>
      <c r="AJ3225" s="21">
        <f>$B$1812</f>
        <v/>
      </c>
      <c r="AK3225" s="21">
        <f>$B$1814</f>
        <v/>
      </c>
      <c r="AL3225" s="21">
        <f>0</f>
        <v/>
      </c>
      <c r="AM3225" s="21">
        <f>2*$B$1813</f>
        <v/>
      </c>
      <c r="AN3225" s="21">
        <f>-$B$1812</f>
        <v/>
      </c>
      <c r="AO3225" s="21">
        <f>$B$1814</f>
        <v/>
      </c>
      <c r="AP3225" s="21" t="n">
        <v>0</v>
      </c>
      <c r="AQ3225" s="21" t="n">
        <v>0</v>
      </c>
      <c r="AR3225" s="21" t="n">
        <v>0</v>
      </c>
      <c r="AS3225" s="21" t="n">
        <v>0</v>
      </c>
      <c r="AT3225" s="19" t="n"/>
    </row>
    <row r="3226">
      <c r="D3226" s="21" t="n">
        <v>0</v>
      </c>
      <c r="E3226" s="21" t="n">
        <v>0</v>
      </c>
      <c r="F3226" s="21" t="n">
        <v>0</v>
      </c>
      <c r="G3226" s="21" t="n">
        <v>0</v>
      </c>
      <c r="H3226" s="21" t="n">
        <v>0</v>
      </c>
      <c r="I3226" s="21" t="n">
        <v>0</v>
      </c>
      <c r="J3226" s="21" t="n">
        <v>0</v>
      </c>
      <c r="K3226" s="21" t="n">
        <v>0</v>
      </c>
      <c r="L3226" s="21" t="n">
        <v>0</v>
      </c>
      <c r="M3226" s="21" t="n">
        <v>0</v>
      </c>
      <c r="N3226" s="21" t="n">
        <v>0</v>
      </c>
      <c r="O3226" s="21" t="n">
        <v>0</v>
      </c>
      <c r="P3226" s="21" t="n">
        <v>0</v>
      </c>
      <c r="Q3226" s="21" t="n">
        <v>0</v>
      </c>
      <c r="R3226" s="21" t="n">
        <v>0</v>
      </c>
      <c r="S3226" s="21" t="n">
        <v>0</v>
      </c>
      <c r="T3226" s="21" t="n">
        <v>0</v>
      </c>
      <c r="U3226" s="21" t="n">
        <v>0</v>
      </c>
      <c r="V3226" s="21" t="n">
        <v>0</v>
      </c>
      <c r="W3226" s="21" t="n">
        <v>0</v>
      </c>
      <c r="X3226" s="21" t="n">
        <v>0</v>
      </c>
      <c r="Y3226" s="21" t="n">
        <v>0</v>
      </c>
      <c r="Z3226" s="21" t="n">
        <v>0</v>
      </c>
      <c r="AA3226" s="21" t="n">
        <v>0</v>
      </c>
      <c r="AB3226" s="21" t="n">
        <v>0</v>
      </c>
      <c r="AC3226" s="21" t="n">
        <v>0</v>
      </c>
      <c r="AD3226" s="21" t="n">
        <v>0</v>
      </c>
      <c r="AE3226" s="21" t="n">
        <v>0</v>
      </c>
      <c r="AF3226" s="21" t="n">
        <v>0</v>
      </c>
      <c r="AG3226" s="21" t="n">
        <v>0</v>
      </c>
      <c r="AH3226" s="21" t="n">
        <v>0</v>
      </c>
      <c r="AI3226" s="21" t="n">
        <v>0</v>
      </c>
      <c r="AJ3226" s="21" t="n">
        <v>0</v>
      </c>
      <c r="AK3226" s="21" t="n">
        <v>0</v>
      </c>
      <c r="AL3226" s="21">
        <f>-$B$1811</f>
        <v/>
      </c>
      <c r="AM3226" s="21">
        <f>-$B$1812</f>
        <v/>
      </c>
      <c r="AN3226" s="21">
        <f>2*$B$1811+$D$3186</f>
        <v/>
      </c>
      <c r="AO3226" s="21">
        <f>0</f>
        <v/>
      </c>
      <c r="AP3226" s="21">
        <f>-$B$1811</f>
        <v/>
      </c>
      <c r="AQ3226" s="21">
        <f>$B$1812</f>
        <v/>
      </c>
      <c r="AR3226" s="21" t="n">
        <v>0</v>
      </c>
      <c r="AS3226" s="21" t="n">
        <v>0</v>
      </c>
      <c r="AT3226" s="19" t="n"/>
    </row>
    <row r="3227">
      <c r="D3227" s="21" t="n">
        <v>0</v>
      </c>
      <c r="E3227" s="21" t="n">
        <v>0</v>
      </c>
      <c r="F3227" s="21" t="n">
        <v>0</v>
      </c>
      <c r="G3227" s="21" t="n">
        <v>0</v>
      </c>
      <c r="H3227" s="21" t="n">
        <v>0</v>
      </c>
      <c r="I3227" s="21" t="n">
        <v>0</v>
      </c>
      <c r="J3227" s="21" t="n">
        <v>0</v>
      </c>
      <c r="K3227" s="21" t="n">
        <v>0</v>
      </c>
      <c r="L3227" s="21" t="n">
        <v>0</v>
      </c>
      <c r="M3227" s="21" t="n">
        <v>0</v>
      </c>
      <c r="N3227" s="21" t="n">
        <v>0</v>
      </c>
      <c r="O3227" s="21" t="n">
        <v>0</v>
      </c>
      <c r="P3227" s="21" t="n">
        <v>0</v>
      </c>
      <c r="Q3227" s="21" t="n">
        <v>0</v>
      </c>
      <c r="R3227" s="21" t="n">
        <v>0</v>
      </c>
      <c r="S3227" s="21" t="n">
        <v>0</v>
      </c>
      <c r="T3227" s="21" t="n">
        <v>0</v>
      </c>
      <c r="U3227" s="21" t="n">
        <v>0</v>
      </c>
      <c r="V3227" s="21" t="n">
        <v>0</v>
      </c>
      <c r="W3227" s="21" t="n">
        <v>0</v>
      </c>
      <c r="X3227" s="21" t="n">
        <v>0</v>
      </c>
      <c r="Y3227" s="21" t="n">
        <v>0</v>
      </c>
      <c r="Z3227" s="21" t="n">
        <v>0</v>
      </c>
      <c r="AA3227" s="21" t="n">
        <v>0</v>
      </c>
      <c r="AB3227" s="21" t="n">
        <v>0</v>
      </c>
      <c r="AC3227" s="21" t="n">
        <v>0</v>
      </c>
      <c r="AD3227" s="21" t="n">
        <v>0</v>
      </c>
      <c r="AE3227" s="21" t="n">
        <v>0</v>
      </c>
      <c r="AF3227" s="21" t="n">
        <v>0</v>
      </c>
      <c r="AG3227" s="21" t="n">
        <v>0</v>
      </c>
      <c r="AH3227" s="21" t="n">
        <v>0</v>
      </c>
      <c r="AI3227" s="21" t="n">
        <v>0</v>
      </c>
      <c r="AJ3227" s="21" t="n">
        <v>0</v>
      </c>
      <c r="AK3227" s="21" t="n">
        <v>0</v>
      </c>
      <c r="AL3227" s="21">
        <f>$B$1812</f>
        <v/>
      </c>
      <c r="AM3227" s="21">
        <f>$B$1814</f>
        <v/>
      </c>
      <c r="AN3227" s="21">
        <f>0</f>
        <v/>
      </c>
      <c r="AO3227" s="21">
        <f>2*$B$1813</f>
        <v/>
      </c>
      <c r="AP3227" s="21">
        <f>-$B$1812</f>
        <v/>
      </c>
      <c r="AQ3227" s="21">
        <f>$B$1814</f>
        <v/>
      </c>
      <c r="AR3227" s="21" t="n">
        <v>0</v>
      </c>
      <c r="AS3227" s="21" t="n">
        <v>0</v>
      </c>
      <c r="AT3227" s="19" t="n"/>
    </row>
    <row r="3228">
      <c r="D3228" s="21" t="n">
        <v>0</v>
      </c>
      <c r="E3228" s="21" t="n">
        <v>0</v>
      </c>
      <c r="F3228" s="21" t="n">
        <v>0</v>
      </c>
      <c r="G3228" s="21" t="n">
        <v>0</v>
      </c>
      <c r="H3228" s="21" t="n">
        <v>0</v>
      </c>
      <c r="I3228" s="21" t="n">
        <v>0</v>
      </c>
      <c r="J3228" s="21" t="n">
        <v>0</v>
      </c>
      <c r="K3228" s="21" t="n">
        <v>0</v>
      </c>
      <c r="L3228" s="21" t="n">
        <v>0</v>
      </c>
      <c r="M3228" s="21" t="n">
        <v>0</v>
      </c>
      <c r="N3228" s="21" t="n">
        <v>0</v>
      </c>
      <c r="O3228" s="21" t="n">
        <v>0</v>
      </c>
      <c r="P3228" s="21" t="n">
        <v>0</v>
      </c>
      <c r="Q3228" s="21" t="n">
        <v>0</v>
      </c>
      <c r="R3228" s="21" t="n">
        <v>0</v>
      </c>
      <c r="S3228" s="21" t="n">
        <v>0</v>
      </c>
      <c r="T3228" s="21" t="n">
        <v>0</v>
      </c>
      <c r="U3228" s="21" t="n">
        <v>0</v>
      </c>
      <c r="V3228" s="21" t="n">
        <v>0</v>
      </c>
      <c r="W3228" s="21" t="n">
        <v>0</v>
      </c>
      <c r="X3228" s="21" t="n">
        <v>0</v>
      </c>
      <c r="Y3228" s="21" t="n">
        <v>0</v>
      </c>
      <c r="Z3228" s="21" t="n">
        <v>0</v>
      </c>
      <c r="AA3228" s="21" t="n">
        <v>0</v>
      </c>
      <c r="AB3228" s="21" t="n">
        <v>0</v>
      </c>
      <c r="AC3228" s="21" t="n">
        <v>0</v>
      </c>
      <c r="AD3228" s="21" t="n">
        <v>0</v>
      </c>
      <c r="AE3228" s="21" t="n">
        <v>0</v>
      </c>
      <c r="AF3228" s="21" t="n">
        <v>0</v>
      </c>
      <c r="AG3228" s="21" t="n">
        <v>0</v>
      </c>
      <c r="AH3228" s="21" t="n">
        <v>0</v>
      </c>
      <c r="AI3228" s="21" t="n">
        <v>0</v>
      </c>
      <c r="AJ3228" s="21" t="n">
        <v>0</v>
      </c>
      <c r="AK3228" s="21" t="n">
        <v>0</v>
      </c>
      <c r="AL3228" s="21" t="n">
        <v>0</v>
      </c>
      <c r="AM3228" s="21" t="n">
        <v>0</v>
      </c>
      <c r="AN3228" s="21">
        <f>-$B$1811</f>
        <v/>
      </c>
      <c r="AO3228" s="21">
        <f>-$B$1812</f>
        <v/>
      </c>
      <c r="AP3228" s="21">
        <f>2*$B$1811+$D$3187</f>
        <v/>
      </c>
      <c r="AQ3228" s="21">
        <f>0</f>
        <v/>
      </c>
      <c r="AR3228" s="21">
        <f>-$B$1811</f>
        <v/>
      </c>
      <c r="AS3228" s="21">
        <f>$B$1812</f>
        <v/>
      </c>
      <c r="AT3228" s="19" t="n"/>
    </row>
    <row r="3229">
      <c r="D3229" s="21" t="n">
        <v>0</v>
      </c>
      <c r="E3229" s="21" t="n">
        <v>0</v>
      </c>
      <c r="F3229" s="21" t="n">
        <v>0</v>
      </c>
      <c r="G3229" s="21" t="n">
        <v>0</v>
      </c>
      <c r="H3229" s="21" t="n">
        <v>0</v>
      </c>
      <c r="I3229" s="21" t="n">
        <v>0</v>
      </c>
      <c r="J3229" s="21" t="n">
        <v>0</v>
      </c>
      <c r="K3229" s="21" t="n">
        <v>0</v>
      </c>
      <c r="L3229" s="21" t="n">
        <v>0</v>
      </c>
      <c r="M3229" s="21" t="n">
        <v>0</v>
      </c>
      <c r="N3229" s="21" t="n">
        <v>0</v>
      </c>
      <c r="O3229" s="21" t="n">
        <v>0</v>
      </c>
      <c r="P3229" s="21" t="n">
        <v>0</v>
      </c>
      <c r="Q3229" s="21" t="n">
        <v>0</v>
      </c>
      <c r="R3229" s="21" t="n">
        <v>0</v>
      </c>
      <c r="S3229" s="21" t="n">
        <v>0</v>
      </c>
      <c r="T3229" s="21" t="n">
        <v>0</v>
      </c>
      <c r="U3229" s="21" t="n">
        <v>0</v>
      </c>
      <c r="V3229" s="21" t="n">
        <v>0</v>
      </c>
      <c r="W3229" s="21" t="n">
        <v>0</v>
      </c>
      <c r="X3229" s="21" t="n">
        <v>0</v>
      </c>
      <c r="Y3229" s="21" t="n">
        <v>0</v>
      </c>
      <c r="Z3229" s="21" t="n">
        <v>0</v>
      </c>
      <c r="AA3229" s="21" t="n">
        <v>0</v>
      </c>
      <c r="AB3229" s="21" t="n">
        <v>0</v>
      </c>
      <c r="AC3229" s="21" t="n">
        <v>0</v>
      </c>
      <c r="AD3229" s="21" t="n">
        <v>0</v>
      </c>
      <c r="AE3229" s="21" t="n">
        <v>0</v>
      </c>
      <c r="AF3229" s="21" t="n">
        <v>0</v>
      </c>
      <c r="AG3229" s="21" t="n">
        <v>0</v>
      </c>
      <c r="AH3229" s="21" t="n">
        <v>0</v>
      </c>
      <c r="AI3229" s="21" t="n">
        <v>0</v>
      </c>
      <c r="AJ3229" s="21" t="n">
        <v>0</v>
      </c>
      <c r="AK3229" s="21" t="n">
        <v>0</v>
      </c>
      <c r="AL3229" s="21" t="n">
        <v>0</v>
      </c>
      <c r="AM3229" s="21" t="n">
        <v>0</v>
      </c>
      <c r="AN3229" s="21">
        <f>$B$1812</f>
        <v/>
      </c>
      <c r="AO3229" s="21">
        <f>$B$1814</f>
        <v/>
      </c>
      <c r="AP3229" s="21">
        <f>0</f>
        <v/>
      </c>
      <c r="AQ3229" s="21">
        <f>2*$B$1813</f>
        <v/>
      </c>
      <c r="AR3229" s="21">
        <f>-$B$1812</f>
        <v/>
      </c>
      <c r="AS3229" s="21">
        <f>$B$1814</f>
        <v/>
      </c>
      <c r="AT3229" s="19" t="n"/>
    </row>
    <row r="3230">
      <c r="D3230" s="21" t="n">
        <v>0</v>
      </c>
      <c r="E3230" s="21" t="n">
        <v>0</v>
      </c>
      <c r="F3230" s="21" t="n">
        <v>0</v>
      </c>
      <c r="G3230" s="21" t="n">
        <v>0</v>
      </c>
      <c r="H3230" s="21" t="n">
        <v>0</v>
      </c>
      <c r="I3230" s="21" t="n">
        <v>0</v>
      </c>
      <c r="J3230" s="21" t="n">
        <v>0</v>
      </c>
      <c r="K3230" s="21" t="n">
        <v>0</v>
      </c>
      <c r="L3230" s="21" t="n">
        <v>0</v>
      </c>
      <c r="M3230" s="21" t="n">
        <v>0</v>
      </c>
      <c r="N3230" s="21" t="n">
        <v>0</v>
      </c>
      <c r="O3230" s="21" t="n">
        <v>0</v>
      </c>
      <c r="P3230" s="21" t="n">
        <v>0</v>
      </c>
      <c r="Q3230" s="21" t="n">
        <v>0</v>
      </c>
      <c r="R3230" s="21" t="n">
        <v>0</v>
      </c>
      <c r="S3230" s="21" t="n">
        <v>0</v>
      </c>
      <c r="T3230" s="21" t="n">
        <v>0</v>
      </c>
      <c r="U3230" s="21" t="n">
        <v>0</v>
      </c>
      <c r="V3230" s="21" t="n">
        <v>0</v>
      </c>
      <c r="W3230" s="21" t="n">
        <v>0</v>
      </c>
      <c r="X3230" s="21" t="n">
        <v>0</v>
      </c>
      <c r="Y3230" s="21" t="n">
        <v>0</v>
      </c>
      <c r="Z3230" s="21" t="n">
        <v>0</v>
      </c>
      <c r="AA3230" s="21" t="n">
        <v>0</v>
      </c>
      <c r="AB3230" s="21" t="n">
        <v>0</v>
      </c>
      <c r="AC3230" s="21" t="n">
        <v>0</v>
      </c>
      <c r="AD3230" s="21" t="n">
        <v>0</v>
      </c>
      <c r="AE3230" s="21" t="n">
        <v>0</v>
      </c>
      <c r="AF3230" s="21" t="n">
        <v>0</v>
      </c>
      <c r="AG3230" s="21" t="n">
        <v>0</v>
      </c>
      <c r="AH3230" s="21" t="n">
        <v>0</v>
      </c>
      <c r="AI3230" s="21" t="n">
        <v>0</v>
      </c>
      <c r="AJ3230" s="21" t="n">
        <v>0</v>
      </c>
      <c r="AK3230" s="21" t="n">
        <v>0</v>
      </c>
      <c r="AL3230" s="21" t="n">
        <v>0</v>
      </c>
      <c r="AM3230" s="21" t="n">
        <v>0</v>
      </c>
      <c r="AN3230" s="21" t="n">
        <v>0</v>
      </c>
      <c r="AO3230" s="21" t="n">
        <v>0</v>
      </c>
      <c r="AP3230" s="21">
        <f>-$B$1811</f>
        <v/>
      </c>
      <c r="AQ3230" s="21">
        <f>-$B$1812</f>
        <v/>
      </c>
      <c r="AR3230" s="21">
        <f>$B$1811+$D$3188</f>
        <v/>
      </c>
      <c r="AS3230" s="21">
        <f>-$B$1812</f>
        <v/>
      </c>
      <c r="AT3230" s="19" t="n"/>
    </row>
    <row r="3231">
      <c r="D3231" s="21" t="n">
        <v>0</v>
      </c>
      <c r="E3231" s="21" t="n">
        <v>0</v>
      </c>
      <c r="F3231" s="21" t="n">
        <v>0</v>
      </c>
      <c r="G3231" s="21" t="n">
        <v>0</v>
      </c>
      <c r="H3231" s="21" t="n">
        <v>0</v>
      </c>
      <c r="I3231" s="21" t="n">
        <v>0</v>
      </c>
      <c r="J3231" s="21" t="n">
        <v>0</v>
      </c>
      <c r="K3231" s="21" t="n">
        <v>0</v>
      </c>
      <c r="L3231" s="21" t="n">
        <v>0</v>
      </c>
      <c r="M3231" s="21" t="n">
        <v>0</v>
      </c>
      <c r="N3231" s="21" t="n">
        <v>0</v>
      </c>
      <c r="O3231" s="21" t="n">
        <v>0</v>
      </c>
      <c r="P3231" s="21" t="n">
        <v>0</v>
      </c>
      <c r="Q3231" s="21" t="n">
        <v>0</v>
      </c>
      <c r="R3231" s="21" t="n">
        <v>0</v>
      </c>
      <c r="S3231" s="21" t="n">
        <v>0</v>
      </c>
      <c r="T3231" s="21" t="n">
        <v>0</v>
      </c>
      <c r="U3231" s="21" t="n">
        <v>0</v>
      </c>
      <c r="V3231" s="21" t="n">
        <v>0</v>
      </c>
      <c r="W3231" s="21" t="n">
        <v>0</v>
      </c>
      <c r="X3231" s="21" t="n">
        <v>0</v>
      </c>
      <c r="Y3231" s="21" t="n">
        <v>0</v>
      </c>
      <c r="Z3231" s="21" t="n">
        <v>0</v>
      </c>
      <c r="AA3231" s="21" t="n">
        <v>0</v>
      </c>
      <c r="AB3231" s="21" t="n">
        <v>0</v>
      </c>
      <c r="AC3231" s="21" t="n">
        <v>0</v>
      </c>
      <c r="AD3231" s="21" t="n">
        <v>0</v>
      </c>
      <c r="AE3231" s="21" t="n">
        <v>0</v>
      </c>
      <c r="AF3231" s="21" t="n">
        <v>0</v>
      </c>
      <c r="AG3231" s="21" t="n">
        <v>0</v>
      </c>
      <c r="AH3231" s="21" t="n">
        <v>0</v>
      </c>
      <c r="AI3231" s="21" t="n">
        <v>0</v>
      </c>
      <c r="AJ3231" s="21" t="n">
        <v>0</v>
      </c>
      <c r="AK3231" s="21" t="n">
        <v>0</v>
      </c>
      <c r="AL3231" s="21" t="n">
        <v>0</v>
      </c>
      <c r="AM3231" s="21" t="n">
        <v>0</v>
      </c>
      <c r="AN3231" s="21" t="n">
        <v>0</v>
      </c>
      <c r="AO3231" s="21" t="n">
        <v>0</v>
      </c>
      <c r="AP3231" s="21">
        <f>$B$1812</f>
        <v/>
      </c>
      <c r="AQ3231" s="21">
        <f>$B$1814</f>
        <v/>
      </c>
      <c r="AR3231" s="21">
        <f>-$B$1812</f>
        <v/>
      </c>
      <c r="AS3231" s="21">
        <f>$B$1813</f>
        <v/>
      </c>
      <c r="AT3231" s="19" t="n"/>
    </row>
    <row r="3233">
      <c r="A3233" s="8" t="inlineStr">
        <is>
          <t>gen 21</t>
        </is>
      </c>
    </row>
    <row r="3234">
      <c r="D3234" s="19">
        <f>IF(ABS(IF(ABS($E$3168)&gt;0.000000001,$E$3168,0.000000001))=0,0,IF($E$1826&lt;=$B$1820,0,IF(ABS(IF(ABS($E$3168)&gt;0.000000001,$E$3168,0.000000001))&gt;=8*$B$1822,$H$1826,0.5*$H$1826*(ABS(IF(ABS($E$3168)&gt;0.000000001,$E$3168,0.000000001))/$B$1822)^(1/3)))/ABS(IF(ABS($E$3168)&gt;0.000000001,$E$3168,0.000000001))*$I$1826)</f>
        <v/>
      </c>
      <c r="E3234" s="19">
        <f>0.5*$E$3168+0.5*$AT$3256</f>
        <v/>
      </c>
      <c r="F3234" s="19">
        <f>$AT$3257</f>
        <v/>
      </c>
    </row>
    <row r="3235">
      <c r="D3235" s="19">
        <f>IF(ABS(IF(ABS($E$3169)&gt;0.000000001,$E$3169,0.000000001))=0,0,IF($E$1827&lt;=$B$1820,0,IF(ABS(IF(ABS($E$3169)&gt;0.000000001,$E$3169,0.000000001))&gt;=8*$B$1822,$H$1827,0.5*$H$1827*(ABS(IF(ABS($E$3169)&gt;0.000000001,$E$3169,0.000000001))/$B$1822)^(1/3)))/ABS(IF(ABS($E$3169)&gt;0.000000001,$E$3169,0.000000001))*$I$1827)</f>
        <v/>
      </c>
      <c r="E3235" s="19">
        <f>0.5*$E$3169+0.5*$AT$3258</f>
        <v/>
      </c>
      <c r="F3235" s="19">
        <f>$AT$3259</f>
        <v/>
      </c>
    </row>
    <row r="3236">
      <c r="D3236" s="19">
        <f>IF(ABS(IF(ABS($E$3170)&gt;0.000000001,$E$3170,0.000000001))=0,0,IF($E$1828&lt;=$B$1820,0,IF(ABS(IF(ABS($E$3170)&gt;0.000000001,$E$3170,0.000000001))&gt;=8*$B$1822,$H$1828,0.5*$H$1828*(ABS(IF(ABS($E$3170)&gt;0.000000001,$E$3170,0.000000001))/$B$1822)^(1/3)))/ABS(IF(ABS($E$3170)&gt;0.000000001,$E$3170,0.000000001))*$I$1828)</f>
        <v/>
      </c>
      <c r="E3236" s="19">
        <f>0.5*$E$3170+0.5*$AT$3260</f>
        <v/>
      </c>
      <c r="F3236" s="19">
        <f>$AT$3261</f>
        <v/>
      </c>
    </row>
    <row r="3237">
      <c r="D3237" s="19">
        <f>IF(ABS(IF(ABS($E$3171)&gt;0.000000001,$E$3171,0.000000001))=0,0,IF($E$1829&lt;=$B$1820,0,IF(ABS(IF(ABS($E$3171)&gt;0.000000001,$E$3171,0.000000001))&gt;=8*$B$1822,$H$1829,0.5*$H$1829*(ABS(IF(ABS($E$3171)&gt;0.000000001,$E$3171,0.000000001))/$B$1822)^(1/3)))/ABS(IF(ABS($E$3171)&gt;0.000000001,$E$3171,0.000000001))*$I$1829)</f>
        <v/>
      </c>
      <c r="E3237" s="19">
        <f>0.5*$E$3171+0.5*$AT$3262</f>
        <v/>
      </c>
      <c r="F3237" s="19">
        <f>$AT$3263</f>
        <v/>
      </c>
    </row>
    <row r="3238">
      <c r="D3238" s="19">
        <f>IF(ABS(IF(ABS($E$3172)&gt;0.000000001,$E$3172,0.000000001))=0,0,IF($E$1830&lt;=$B$1820,0,IF(ABS(IF(ABS($E$3172)&gt;0.000000001,$E$3172,0.000000001))&gt;=8*$B$1822,$H$1830,0.5*$H$1830*(ABS(IF(ABS($E$3172)&gt;0.000000001,$E$3172,0.000000001))/$B$1822)^(1/3)))/ABS(IF(ABS($E$3172)&gt;0.000000001,$E$3172,0.000000001))*$I$1830)</f>
        <v/>
      </c>
      <c r="E3238" s="19">
        <f>0.5*$E$3172+0.5*$AT$3264</f>
        <v/>
      </c>
      <c r="F3238" s="19">
        <f>$AT$3265</f>
        <v/>
      </c>
    </row>
    <row r="3239">
      <c r="D3239" s="19">
        <f>IF(ABS(IF(ABS($E$3173)&gt;0.000000001,$E$3173,0.000000001))=0,0,IF($E$1831&lt;=$B$1820,0,IF(ABS(IF(ABS($E$3173)&gt;0.000000001,$E$3173,0.000000001))&gt;=8*$B$1822,$H$1831,0.5*$H$1831*(ABS(IF(ABS($E$3173)&gt;0.000000001,$E$3173,0.000000001))/$B$1822)^(1/3)))/ABS(IF(ABS($E$3173)&gt;0.000000001,$E$3173,0.000000001))*$I$1831)</f>
        <v/>
      </c>
      <c r="E3239" s="19">
        <f>0.5*$E$3173+0.5*$AT$3266</f>
        <v/>
      </c>
      <c r="F3239" s="19">
        <f>$AT$3267</f>
        <v/>
      </c>
    </row>
    <row r="3240">
      <c r="D3240" s="19">
        <f>IF(ABS(IF(ABS($E$3174)&gt;0.000000001,$E$3174,0.000000001))=0,0,IF($E$1832&lt;=$B$1820,0,IF(ABS(IF(ABS($E$3174)&gt;0.000000001,$E$3174,0.000000001))&gt;=8*$B$1822,$H$1832,0.5*$H$1832*(ABS(IF(ABS($E$3174)&gt;0.000000001,$E$3174,0.000000001))/$B$1822)^(1/3)))/ABS(IF(ABS($E$3174)&gt;0.000000001,$E$3174,0.000000001))*$I$1832)</f>
        <v/>
      </c>
      <c r="E3240" s="19">
        <f>0.5*$E$3174+0.5*$AT$3268</f>
        <v/>
      </c>
      <c r="F3240" s="19">
        <f>$AT$3269</f>
        <v/>
      </c>
    </row>
    <row r="3241">
      <c r="D3241" s="19">
        <f>IF(ABS(IF(ABS($E$3175)&gt;0.000000001,$E$3175,0.000000001))=0,0,IF($E$1833&lt;=$B$1820,0,IF(ABS(IF(ABS($E$3175)&gt;0.000000001,$E$3175,0.000000001))&gt;=8*$B$1822,$H$1833,0.5*$H$1833*(ABS(IF(ABS($E$3175)&gt;0.000000001,$E$3175,0.000000001))/$B$1822)^(1/3)))/ABS(IF(ABS($E$3175)&gt;0.000000001,$E$3175,0.000000001))*$I$1833)</f>
        <v/>
      </c>
      <c r="E3241" s="19">
        <f>0.5*$E$3175+0.5*$AT$3270</f>
        <v/>
      </c>
      <c r="F3241" s="19">
        <f>$AT$3271</f>
        <v/>
      </c>
    </row>
    <row r="3242">
      <c r="D3242" s="19">
        <f>IF(ABS(IF(ABS($E$3176)&gt;0.000000001,$E$3176,0.000000001))=0,0,IF($E$1834&lt;=$B$1820,0,IF(ABS(IF(ABS($E$3176)&gt;0.000000001,$E$3176,0.000000001))&gt;=8*$B$1822,$H$1834,0.5*$H$1834*(ABS(IF(ABS($E$3176)&gt;0.000000001,$E$3176,0.000000001))/$B$1822)^(1/3)))/ABS(IF(ABS($E$3176)&gt;0.000000001,$E$3176,0.000000001))*$I$1834)</f>
        <v/>
      </c>
      <c r="E3242" s="19">
        <f>0.5*$E$3176+0.5*$AT$3272</f>
        <v/>
      </c>
      <c r="F3242" s="19">
        <f>$AT$3273</f>
        <v/>
      </c>
    </row>
    <row r="3243">
      <c r="D3243" s="19">
        <f>IF(ABS(IF(ABS($E$3177)&gt;0.000000001,$E$3177,0.000000001))=0,0,IF($E$1835&lt;=$B$1820,0,IF(ABS(IF(ABS($E$3177)&gt;0.000000001,$E$3177,0.000000001))&gt;=8*$B$1822,$H$1835,0.5*$H$1835*(ABS(IF(ABS($E$3177)&gt;0.000000001,$E$3177,0.000000001))/$B$1822)^(1/3)))/ABS(IF(ABS($E$3177)&gt;0.000000001,$E$3177,0.000000001))*$I$1835)</f>
        <v/>
      </c>
      <c r="E3243" s="19">
        <f>0.5*$E$3177+0.5*$AT$3274</f>
        <v/>
      </c>
      <c r="F3243" s="19">
        <f>$AT$3275</f>
        <v/>
      </c>
    </row>
    <row r="3244">
      <c r="D3244" s="19">
        <f>IF(ABS(IF(ABS($E$3178)&gt;0.000000001,$E$3178,0.000000001))=0,0,IF($E$1836&lt;=$B$1820,0,IF(ABS(IF(ABS($E$3178)&gt;0.000000001,$E$3178,0.000000001))&gt;=8*$B$1822,$H$1836,0.5*$H$1836*(ABS(IF(ABS($E$3178)&gt;0.000000001,$E$3178,0.000000001))/$B$1822)^(1/3)))/ABS(IF(ABS($E$3178)&gt;0.000000001,$E$3178,0.000000001))*$I$1836)</f>
        <v/>
      </c>
      <c r="E3244" s="19">
        <f>0.5*$E$3178+0.5*$AT$3276</f>
        <v/>
      </c>
      <c r="F3244" s="19">
        <f>$AT$3277</f>
        <v/>
      </c>
    </row>
    <row r="3245">
      <c r="D3245" s="19">
        <f>IF(ABS(IF(ABS($E$3179)&gt;0.000000001,$E$3179,0.000000001))=0,0,IF($E$1837&lt;=$B$1820,0,IF(ABS(IF(ABS($E$3179)&gt;0.000000001,$E$3179,0.000000001))&gt;=8*$B$1822,$H$1837,0.5*$H$1837*(ABS(IF(ABS($E$3179)&gt;0.000000001,$E$3179,0.000000001))/$B$1822)^(1/3)))/ABS(IF(ABS($E$3179)&gt;0.000000001,$E$3179,0.000000001))*$I$1837)</f>
        <v/>
      </c>
      <c r="E3245" s="19">
        <f>0.5*$E$3179+0.5*$AT$3278</f>
        <v/>
      </c>
      <c r="F3245" s="19">
        <f>$AT$3279</f>
        <v/>
      </c>
    </row>
    <row r="3246">
      <c r="D3246" s="19">
        <f>IF(ABS(IF(ABS($E$3180)&gt;0.000000001,$E$3180,0.000000001))=0,0,IF($E$1838&lt;=$B$1820,0,IF(ABS(IF(ABS($E$3180)&gt;0.000000001,$E$3180,0.000000001))&gt;=8*$B$1822,$H$1838,0.5*$H$1838*(ABS(IF(ABS($E$3180)&gt;0.000000001,$E$3180,0.000000001))/$B$1822)^(1/3)))/ABS(IF(ABS($E$3180)&gt;0.000000001,$E$3180,0.000000001))*$I$1838)</f>
        <v/>
      </c>
      <c r="E3246" s="19">
        <f>0.5*$E$3180+0.5*$AT$3280</f>
        <v/>
      </c>
      <c r="F3246" s="19">
        <f>$AT$3281</f>
        <v/>
      </c>
    </row>
    <row r="3247">
      <c r="D3247" s="19">
        <f>IF(ABS(IF(ABS($E$3181)&gt;0.000000001,$E$3181,0.000000001))=0,0,IF($E$1839&lt;=$B$1820,0,IF(ABS(IF(ABS($E$3181)&gt;0.000000001,$E$3181,0.000000001))&gt;=8*$B$1822,$H$1839,0.5*$H$1839*(ABS(IF(ABS($E$3181)&gt;0.000000001,$E$3181,0.000000001))/$B$1822)^(1/3)))/ABS(IF(ABS($E$3181)&gt;0.000000001,$E$3181,0.000000001))*$I$1839)</f>
        <v/>
      </c>
      <c r="E3247" s="19">
        <f>0.5*$E$3181+0.5*$AT$3282</f>
        <v/>
      </c>
      <c r="F3247" s="19">
        <f>$AT$3283</f>
        <v/>
      </c>
    </row>
    <row r="3248">
      <c r="D3248" s="19">
        <f>IF(ABS(IF(ABS($E$3182)&gt;0.000000001,$E$3182,0.000000001))=0,0,IF($E$1840&lt;=$B$1820,0,IF(ABS(IF(ABS($E$3182)&gt;0.000000001,$E$3182,0.000000001))&gt;=8*$B$1822,$H$1840,0.5*$H$1840*(ABS(IF(ABS($E$3182)&gt;0.000000001,$E$3182,0.000000001))/$B$1822)^(1/3)))/ABS(IF(ABS($E$3182)&gt;0.000000001,$E$3182,0.000000001))*$I$1840)</f>
        <v/>
      </c>
      <c r="E3248" s="19">
        <f>0.5*$E$3182+0.5*$AT$3284</f>
        <v/>
      </c>
      <c r="F3248" s="19">
        <f>$AT$3285</f>
        <v/>
      </c>
    </row>
    <row r="3249">
      <c r="D3249" s="19">
        <f>IF(ABS(IF(ABS($E$3183)&gt;0.000000001,$E$3183,0.000000001))=0,0,IF($E$1841&lt;=$B$1820,0,IF(ABS(IF(ABS($E$3183)&gt;0.000000001,$E$3183,0.000000001))&gt;=8*$B$1822,$H$1841,0.5*$H$1841*(ABS(IF(ABS($E$3183)&gt;0.000000001,$E$3183,0.000000001))/$B$1822)^(1/3)))/ABS(IF(ABS($E$3183)&gt;0.000000001,$E$3183,0.000000001))*$I$1841)</f>
        <v/>
      </c>
      <c r="E3249" s="19">
        <f>0.5*$E$3183+0.5*$AT$3286</f>
        <v/>
      </c>
      <c r="F3249" s="19">
        <f>$AT$3287</f>
        <v/>
      </c>
    </row>
    <row r="3250">
      <c r="D3250" s="19">
        <f>IF(ABS(IF(ABS($E$3184)&gt;0.000000001,$E$3184,0.000000001))=0,0,IF($E$1842&lt;=$B$1820,0,IF(ABS(IF(ABS($E$3184)&gt;0.000000001,$E$3184,0.000000001))&gt;=8*$B$1822,$H$1842,0.5*$H$1842*(ABS(IF(ABS($E$3184)&gt;0.000000001,$E$3184,0.000000001))/$B$1822)^(1/3)))/ABS(IF(ABS($E$3184)&gt;0.000000001,$E$3184,0.000000001))*$I$1842)</f>
        <v/>
      </c>
      <c r="E3250" s="19">
        <f>0.5*$E$3184+0.5*$AT$3288</f>
        <v/>
      </c>
      <c r="F3250" s="19">
        <f>$AT$3289</f>
        <v/>
      </c>
    </row>
    <row r="3251">
      <c r="D3251" s="19">
        <f>IF(ABS(IF(ABS($E$3185)&gt;0.000000001,$E$3185,0.000000001))=0,0,IF($E$1843&lt;=$B$1820,0,IF(ABS(IF(ABS($E$3185)&gt;0.000000001,$E$3185,0.000000001))&gt;=8*$B$1822,$H$1843,0.5*$H$1843*(ABS(IF(ABS($E$3185)&gt;0.000000001,$E$3185,0.000000001))/$B$1822)^(1/3)))/ABS(IF(ABS($E$3185)&gt;0.000000001,$E$3185,0.000000001))*$I$1843)</f>
        <v/>
      </c>
      <c r="E3251" s="19">
        <f>0.5*$E$3185+0.5*$AT$3290</f>
        <v/>
      </c>
      <c r="F3251" s="19">
        <f>$AT$3291</f>
        <v/>
      </c>
    </row>
    <row r="3252">
      <c r="D3252" s="19">
        <f>IF(ABS(IF(ABS($E$3186)&gt;0.000000001,$E$3186,0.000000001))=0,0,IF($E$1844&lt;=$B$1820,0,IF(ABS(IF(ABS($E$3186)&gt;0.000000001,$E$3186,0.000000001))&gt;=8*$B$1822,$H$1844,0.5*$H$1844*(ABS(IF(ABS($E$3186)&gt;0.000000001,$E$3186,0.000000001))/$B$1822)^(1/3)))/ABS(IF(ABS($E$3186)&gt;0.000000001,$E$3186,0.000000001))*$I$1844)</f>
        <v/>
      </c>
      <c r="E3252" s="19">
        <f>0.5*$E$3186+0.5*$AT$3292</f>
        <v/>
      </c>
      <c r="F3252" s="19">
        <f>$AT$3293</f>
        <v/>
      </c>
    </row>
    <row r="3253">
      <c r="D3253" s="19">
        <f>IF(ABS(IF(ABS($E$3187)&gt;0.000000001,$E$3187,0.000000001))=0,0,IF($E$1845&lt;=$B$1820,0,IF(ABS(IF(ABS($E$3187)&gt;0.000000001,$E$3187,0.000000001))&gt;=8*$B$1822,$H$1845,0.5*$H$1845*(ABS(IF(ABS($E$3187)&gt;0.000000001,$E$3187,0.000000001))/$B$1822)^(1/3)))/ABS(IF(ABS($E$3187)&gt;0.000000001,$E$3187,0.000000001))*$I$1845)</f>
        <v/>
      </c>
      <c r="E3253" s="19">
        <f>0.5*$E$3187+0.5*$AT$3294</f>
        <v/>
      </c>
      <c r="F3253" s="19">
        <f>$AT$3295</f>
        <v/>
      </c>
    </row>
    <row r="3254">
      <c r="D3254" s="19">
        <f>IF(ABS(IF(ABS($E$3188)&gt;0.000000001,$E$3188,0.000000001))=0,0,IF($E$1846&lt;=$B$1820,0,IF(ABS(IF(ABS($E$3188)&gt;0.000000001,$E$3188,0.000000001))&gt;=8*$B$1822,$H$1846,0.5*$H$1846*(ABS(IF(ABS($E$3188)&gt;0.000000001,$E$3188,0.000000001))/$B$1822)^(1/3)))/ABS(IF(ABS($E$3188)&gt;0.000000001,$E$3188,0.000000001))*$I$1846)</f>
        <v/>
      </c>
      <c r="E3254" s="19">
        <f>0.5*$E$3188+0.5*$AT$3296</f>
        <v/>
      </c>
      <c r="F3254" s="19">
        <f>$AT$3297</f>
        <v/>
      </c>
    </row>
    <row r="3256">
      <c r="D3256" s="21">
        <f>$B$1811+$D$3234</f>
        <v/>
      </c>
      <c r="E3256" s="21">
        <f>$B$1812</f>
        <v/>
      </c>
      <c r="F3256" s="21">
        <f>-$B$1811</f>
        <v/>
      </c>
      <c r="G3256" s="21">
        <f>$B$1812</f>
        <v/>
      </c>
      <c r="H3256" s="21" t="n">
        <v>0</v>
      </c>
      <c r="I3256" s="21" t="n">
        <v>0</v>
      </c>
      <c r="J3256" s="21" t="n">
        <v>0</v>
      </c>
      <c r="K3256" s="21" t="n">
        <v>0</v>
      </c>
      <c r="L3256" s="21" t="n">
        <v>0</v>
      </c>
      <c r="M3256" s="21" t="n">
        <v>0</v>
      </c>
      <c r="N3256" s="21" t="n">
        <v>0</v>
      </c>
      <c r="O3256" s="21" t="n">
        <v>0</v>
      </c>
      <c r="P3256" s="21" t="n">
        <v>0</v>
      </c>
      <c r="Q3256" s="21" t="n">
        <v>0</v>
      </c>
      <c r="R3256" s="21" t="n">
        <v>0</v>
      </c>
      <c r="S3256" s="21" t="n">
        <v>0</v>
      </c>
      <c r="T3256" s="21" t="n">
        <v>0</v>
      </c>
      <c r="U3256" s="21" t="n">
        <v>0</v>
      </c>
      <c r="V3256" s="21" t="n">
        <v>0</v>
      </c>
      <c r="W3256" s="21" t="n">
        <v>0</v>
      </c>
      <c r="X3256" s="21" t="n">
        <v>0</v>
      </c>
      <c r="Y3256" s="21" t="n">
        <v>0</v>
      </c>
      <c r="Z3256" s="21" t="n">
        <v>0</v>
      </c>
      <c r="AA3256" s="21" t="n">
        <v>0</v>
      </c>
      <c r="AB3256" s="21" t="n">
        <v>0</v>
      </c>
      <c r="AC3256" s="21" t="n">
        <v>0</v>
      </c>
      <c r="AD3256" s="21" t="n">
        <v>0</v>
      </c>
      <c r="AE3256" s="21" t="n">
        <v>0</v>
      </c>
      <c r="AF3256" s="21" t="n">
        <v>0</v>
      </c>
      <c r="AG3256" s="21" t="n">
        <v>0</v>
      </c>
      <c r="AH3256" s="21" t="n">
        <v>0</v>
      </c>
      <c r="AI3256" s="21" t="n">
        <v>0</v>
      </c>
      <c r="AJ3256" s="21" t="n">
        <v>0</v>
      </c>
      <c r="AK3256" s="21" t="n">
        <v>0</v>
      </c>
      <c r="AL3256" s="21" t="n">
        <v>0</v>
      </c>
      <c r="AM3256" s="21" t="n">
        <v>0</v>
      </c>
      <c r="AN3256" s="21" t="n">
        <v>0</v>
      </c>
      <c r="AO3256" s="21" t="n">
        <v>0</v>
      </c>
      <c r="AP3256" s="21" t="n">
        <v>0</v>
      </c>
      <c r="AQ3256" s="21" t="n">
        <v>0</v>
      </c>
      <c r="AR3256" s="21" t="n">
        <v>0</v>
      </c>
      <c r="AS3256" s="21" t="n">
        <v>0</v>
      </c>
      <c r="AT3256" s="19">
        <f t="array" ref="AT3256:AT3297">MMULT(MINVERSE($D$3256:$AS$3297),$D$1848:$D$1889)</f>
        <v/>
      </c>
    </row>
    <row r="3257">
      <c r="D3257" s="21">
        <f>$B$1812</f>
        <v/>
      </c>
      <c r="E3257" s="21">
        <f>$B$1813</f>
        <v/>
      </c>
      <c r="F3257" s="21">
        <f>-$B$1812</f>
        <v/>
      </c>
      <c r="G3257" s="21">
        <f>$B$1814</f>
        <v/>
      </c>
      <c r="H3257" s="21" t="n">
        <v>0</v>
      </c>
      <c r="I3257" s="21" t="n">
        <v>0</v>
      </c>
      <c r="J3257" s="21" t="n">
        <v>0</v>
      </c>
      <c r="K3257" s="21" t="n">
        <v>0</v>
      </c>
      <c r="L3257" s="21" t="n">
        <v>0</v>
      </c>
      <c r="M3257" s="21" t="n">
        <v>0</v>
      </c>
      <c r="N3257" s="21" t="n">
        <v>0</v>
      </c>
      <c r="O3257" s="21" t="n">
        <v>0</v>
      </c>
      <c r="P3257" s="21" t="n">
        <v>0</v>
      </c>
      <c r="Q3257" s="21" t="n">
        <v>0</v>
      </c>
      <c r="R3257" s="21" t="n">
        <v>0</v>
      </c>
      <c r="S3257" s="21" t="n">
        <v>0</v>
      </c>
      <c r="T3257" s="21" t="n">
        <v>0</v>
      </c>
      <c r="U3257" s="21" t="n">
        <v>0</v>
      </c>
      <c r="V3257" s="21" t="n">
        <v>0</v>
      </c>
      <c r="W3257" s="21" t="n">
        <v>0</v>
      </c>
      <c r="X3257" s="21" t="n">
        <v>0</v>
      </c>
      <c r="Y3257" s="21" t="n">
        <v>0</v>
      </c>
      <c r="Z3257" s="21" t="n">
        <v>0</v>
      </c>
      <c r="AA3257" s="21" t="n">
        <v>0</v>
      </c>
      <c r="AB3257" s="21" t="n">
        <v>0</v>
      </c>
      <c r="AC3257" s="21" t="n">
        <v>0</v>
      </c>
      <c r="AD3257" s="21" t="n">
        <v>0</v>
      </c>
      <c r="AE3257" s="21" t="n">
        <v>0</v>
      </c>
      <c r="AF3257" s="21" t="n">
        <v>0</v>
      </c>
      <c r="AG3257" s="21" t="n">
        <v>0</v>
      </c>
      <c r="AH3257" s="21" t="n">
        <v>0</v>
      </c>
      <c r="AI3257" s="21" t="n">
        <v>0</v>
      </c>
      <c r="AJ3257" s="21" t="n">
        <v>0</v>
      </c>
      <c r="AK3257" s="21" t="n">
        <v>0</v>
      </c>
      <c r="AL3257" s="21" t="n">
        <v>0</v>
      </c>
      <c r="AM3257" s="21" t="n">
        <v>0</v>
      </c>
      <c r="AN3257" s="21" t="n">
        <v>0</v>
      </c>
      <c r="AO3257" s="21" t="n">
        <v>0</v>
      </c>
      <c r="AP3257" s="21" t="n">
        <v>0</v>
      </c>
      <c r="AQ3257" s="21" t="n">
        <v>0</v>
      </c>
      <c r="AR3257" s="21" t="n">
        <v>0</v>
      </c>
      <c r="AS3257" s="21" t="n">
        <v>0</v>
      </c>
      <c r="AT3257" s="19" t="n"/>
    </row>
    <row r="3258">
      <c r="D3258" s="21">
        <f>-$B$1811</f>
        <v/>
      </c>
      <c r="E3258" s="21">
        <f>-$B$1812</f>
        <v/>
      </c>
      <c r="F3258" s="21">
        <f>2*$B$1811+$D$3235</f>
        <v/>
      </c>
      <c r="G3258" s="21">
        <f>0</f>
        <v/>
      </c>
      <c r="H3258" s="21">
        <f>-$B$1811</f>
        <v/>
      </c>
      <c r="I3258" s="21">
        <f>$B$1812</f>
        <v/>
      </c>
      <c r="J3258" s="21" t="n">
        <v>0</v>
      </c>
      <c r="K3258" s="21" t="n">
        <v>0</v>
      </c>
      <c r="L3258" s="21" t="n">
        <v>0</v>
      </c>
      <c r="M3258" s="21" t="n">
        <v>0</v>
      </c>
      <c r="N3258" s="21" t="n">
        <v>0</v>
      </c>
      <c r="O3258" s="21" t="n">
        <v>0</v>
      </c>
      <c r="P3258" s="21" t="n">
        <v>0</v>
      </c>
      <c r="Q3258" s="21" t="n">
        <v>0</v>
      </c>
      <c r="R3258" s="21" t="n">
        <v>0</v>
      </c>
      <c r="S3258" s="21" t="n">
        <v>0</v>
      </c>
      <c r="T3258" s="21" t="n">
        <v>0</v>
      </c>
      <c r="U3258" s="21" t="n">
        <v>0</v>
      </c>
      <c r="V3258" s="21" t="n">
        <v>0</v>
      </c>
      <c r="W3258" s="21" t="n">
        <v>0</v>
      </c>
      <c r="X3258" s="21" t="n">
        <v>0</v>
      </c>
      <c r="Y3258" s="21" t="n">
        <v>0</v>
      </c>
      <c r="Z3258" s="21" t="n">
        <v>0</v>
      </c>
      <c r="AA3258" s="21" t="n">
        <v>0</v>
      </c>
      <c r="AB3258" s="21" t="n">
        <v>0</v>
      </c>
      <c r="AC3258" s="21" t="n">
        <v>0</v>
      </c>
      <c r="AD3258" s="21" t="n">
        <v>0</v>
      </c>
      <c r="AE3258" s="21" t="n">
        <v>0</v>
      </c>
      <c r="AF3258" s="21" t="n">
        <v>0</v>
      </c>
      <c r="AG3258" s="21" t="n">
        <v>0</v>
      </c>
      <c r="AH3258" s="21" t="n">
        <v>0</v>
      </c>
      <c r="AI3258" s="21" t="n">
        <v>0</v>
      </c>
      <c r="AJ3258" s="21" t="n">
        <v>0</v>
      </c>
      <c r="AK3258" s="21" t="n">
        <v>0</v>
      </c>
      <c r="AL3258" s="21" t="n">
        <v>0</v>
      </c>
      <c r="AM3258" s="21" t="n">
        <v>0</v>
      </c>
      <c r="AN3258" s="21" t="n">
        <v>0</v>
      </c>
      <c r="AO3258" s="21" t="n">
        <v>0</v>
      </c>
      <c r="AP3258" s="21" t="n">
        <v>0</v>
      </c>
      <c r="AQ3258" s="21" t="n">
        <v>0</v>
      </c>
      <c r="AR3258" s="21" t="n">
        <v>0</v>
      </c>
      <c r="AS3258" s="21" t="n">
        <v>0</v>
      </c>
      <c r="AT3258" s="19" t="n"/>
    </row>
    <row r="3259">
      <c r="D3259" s="21">
        <f>$B$1812</f>
        <v/>
      </c>
      <c r="E3259" s="21">
        <f>$B$1814</f>
        <v/>
      </c>
      <c r="F3259" s="21">
        <f>0</f>
        <v/>
      </c>
      <c r="G3259" s="21">
        <f>2*$B$1813</f>
        <v/>
      </c>
      <c r="H3259" s="21">
        <f>-$B$1812</f>
        <v/>
      </c>
      <c r="I3259" s="21">
        <f>$B$1814</f>
        <v/>
      </c>
      <c r="J3259" s="21" t="n">
        <v>0</v>
      </c>
      <c r="K3259" s="21" t="n">
        <v>0</v>
      </c>
      <c r="L3259" s="21" t="n">
        <v>0</v>
      </c>
      <c r="M3259" s="21" t="n">
        <v>0</v>
      </c>
      <c r="N3259" s="21" t="n">
        <v>0</v>
      </c>
      <c r="O3259" s="21" t="n">
        <v>0</v>
      </c>
      <c r="P3259" s="21" t="n">
        <v>0</v>
      </c>
      <c r="Q3259" s="21" t="n">
        <v>0</v>
      </c>
      <c r="R3259" s="21" t="n">
        <v>0</v>
      </c>
      <c r="S3259" s="21" t="n">
        <v>0</v>
      </c>
      <c r="T3259" s="21" t="n">
        <v>0</v>
      </c>
      <c r="U3259" s="21" t="n">
        <v>0</v>
      </c>
      <c r="V3259" s="21" t="n">
        <v>0</v>
      </c>
      <c r="W3259" s="21" t="n">
        <v>0</v>
      </c>
      <c r="X3259" s="21" t="n">
        <v>0</v>
      </c>
      <c r="Y3259" s="21" t="n">
        <v>0</v>
      </c>
      <c r="Z3259" s="21" t="n">
        <v>0</v>
      </c>
      <c r="AA3259" s="21" t="n">
        <v>0</v>
      </c>
      <c r="AB3259" s="21" t="n">
        <v>0</v>
      </c>
      <c r="AC3259" s="21" t="n">
        <v>0</v>
      </c>
      <c r="AD3259" s="21" t="n">
        <v>0</v>
      </c>
      <c r="AE3259" s="21" t="n">
        <v>0</v>
      </c>
      <c r="AF3259" s="21" t="n">
        <v>0</v>
      </c>
      <c r="AG3259" s="21" t="n">
        <v>0</v>
      </c>
      <c r="AH3259" s="21" t="n">
        <v>0</v>
      </c>
      <c r="AI3259" s="21" t="n">
        <v>0</v>
      </c>
      <c r="AJ3259" s="21" t="n">
        <v>0</v>
      </c>
      <c r="AK3259" s="21" t="n">
        <v>0</v>
      </c>
      <c r="AL3259" s="21" t="n">
        <v>0</v>
      </c>
      <c r="AM3259" s="21" t="n">
        <v>0</v>
      </c>
      <c r="AN3259" s="21" t="n">
        <v>0</v>
      </c>
      <c r="AO3259" s="21" t="n">
        <v>0</v>
      </c>
      <c r="AP3259" s="21" t="n">
        <v>0</v>
      </c>
      <c r="AQ3259" s="21" t="n">
        <v>0</v>
      </c>
      <c r="AR3259" s="21" t="n">
        <v>0</v>
      </c>
      <c r="AS3259" s="21" t="n">
        <v>0</v>
      </c>
      <c r="AT3259" s="19" t="n"/>
    </row>
    <row r="3260">
      <c r="D3260" s="21" t="n">
        <v>0</v>
      </c>
      <c r="E3260" s="21" t="n">
        <v>0</v>
      </c>
      <c r="F3260" s="21">
        <f>-$B$1811</f>
        <v/>
      </c>
      <c r="G3260" s="21">
        <f>-$B$1812</f>
        <v/>
      </c>
      <c r="H3260" s="21">
        <f>2*$B$1811+$D$3236</f>
        <v/>
      </c>
      <c r="I3260" s="21">
        <f>0</f>
        <v/>
      </c>
      <c r="J3260" s="21">
        <f>-$B$1811</f>
        <v/>
      </c>
      <c r="K3260" s="21">
        <f>$B$1812</f>
        <v/>
      </c>
      <c r="L3260" s="21" t="n">
        <v>0</v>
      </c>
      <c r="M3260" s="21" t="n">
        <v>0</v>
      </c>
      <c r="N3260" s="21" t="n">
        <v>0</v>
      </c>
      <c r="O3260" s="21" t="n">
        <v>0</v>
      </c>
      <c r="P3260" s="21" t="n">
        <v>0</v>
      </c>
      <c r="Q3260" s="21" t="n">
        <v>0</v>
      </c>
      <c r="R3260" s="21" t="n">
        <v>0</v>
      </c>
      <c r="S3260" s="21" t="n">
        <v>0</v>
      </c>
      <c r="T3260" s="21" t="n">
        <v>0</v>
      </c>
      <c r="U3260" s="21" t="n">
        <v>0</v>
      </c>
      <c r="V3260" s="21" t="n">
        <v>0</v>
      </c>
      <c r="W3260" s="21" t="n">
        <v>0</v>
      </c>
      <c r="X3260" s="21" t="n">
        <v>0</v>
      </c>
      <c r="Y3260" s="21" t="n">
        <v>0</v>
      </c>
      <c r="Z3260" s="21" t="n">
        <v>0</v>
      </c>
      <c r="AA3260" s="21" t="n">
        <v>0</v>
      </c>
      <c r="AB3260" s="21" t="n">
        <v>0</v>
      </c>
      <c r="AC3260" s="21" t="n">
        <v>0</v>
      </c>
      <c r="AD3260" s="21" t="n">
        <v>0</v>
      </c>
      <c r="AE3260" s="21" t="n">
        <v>0</v>
      </c>
      <c r="AF3260" s="21" t="n">
        <v>0</v>
      </c>
      <c r="AG3260" s="21" t="n">
        <v>0</v>
      </c>
      <c r="AH3260" s="21" t="n">
        <v>0</v>
      </c>
      <c r="AI3260" s="21" t="n">
        <v>0</v>
      </c>
      <c r="AJ3260" s="21" t="n">
        <v>0</v>
      </c>
      <c r="AK3260" s="21" t="n">
        <v>0</v>
      </c>
      <c r="AL3260" s="21" t="n">
        <v>0</v>
      </c>
      <c r="AM3260" s="21" t="n">
        <v>0</v>
      </c>
      <c r="AN3260" s="21" t="n">
        <v>0</v>
      </c>
      <c r="AO3260" s="21" t="n">
        <v>0</v>
      </c>
      <c r="AP3260" s="21" t="n">
        <v>0</v>
      </c>
      <c r="AQ3260" s="21" t="n">
        <v>0</v>
      </c>
      <c r="AR3260" s="21" t="n">
        <v>0</v>
      </c>
      <c r="AS3260" s="21" t="n">
        <v>0</v>
      </c>
      <c r="AT3260" s="19" t="n"/>
    </row>
    <row r="3261">
      <c r="D3261" s="21" t="n">
        <v>0</v>
      </c>
      <c r="E3261" s="21" t="n">
        <v>0</v>
      </c>
      <c r="F3261" s="21">
        <f>$B$1812</f>
        <v/>
      </c>
      <c r="G3261" s="21">
        <f>$B$1814</f>
        <v/>
      </c>
      <c r="H3261" s="21">
        <f>0</f>
        <v/>
      </c>
      <c r="I3261" s="21">
        <f>2*$B$1813</f>
        <v/>
      </c>
      <c r="J3261" s="21">
        <f>-$B$1812</f>
        <v/>
      </c>
      <c r="K3261" s="21">
        <f>$B$1814</f>
        <v/>
      </c>
      <c r="L3261" s="21" t="n">
        <v>0</v>
      </c>
      <c r="M3261" s="21" t="n">
        <v>0</v>
      </c>
      <c r="N3261" s="21" t="n">
        <v>0</v>
      </c>
      <c r="O3261" s="21" t="n">
        <v>0</v>
      </c>
      <c r="P3261" s="21" t="n">
        <v>0</v>
      </c>
      <c r="Q3261" s="21" t="n">
        <v>0</v>
      </c>
      <c r="R3261" s="21" t="n">
        <v>0</v>
      </c>
      <c r="S3261" s="21" t="n">
        <v>0</v>
      </c>
      <c r="T3261" s="21" t="n">
        <v>0</v>
      </c>
      <c r="U3261" s="21" t="n">
        <v>0</v>
      </c>
      <c r="V3261" s="21" t="n">
        <v>0</v>
      </c>
      <c r="W3261" s="21" t="n">
        <v>0</v>
      </c>
      <c r="X3261" s="21" t="n">
        <v>0</v>
      </c>
      <c r="Y3261" s="21" t="n">
        <v>0</v>
      </c>
      <c r="Z3261" s="21" t="n">
        <v>0</v>
      </c>
      <c r="AA3261" s="21" t="n">
        <v>0</v>
      </c>
      <c r="AB3261" s="21" t="n">
        <v>0</v>
      </c>
      <c r="AC3261" s="21" t="n">
        <v>0</v>
      </c>
      <c r="AD3261" s="21" t="n">
        <v>0</v>
      </c>
      <c r="AE3261" s="21" t="n">
        <v>0</v>
      </c>
      <c r="AF3261" s="21" t="n">
        <v>0</v>
      </c>
      <c r="AG3261" s="21" t="n">
        <v>0</v>
      </c>
      <c r="AH3261" s="21" t="n">
        <v>0</v>
      </c>
      <c r="AI3261" s="21" t="n">
        <v>0</v>
      </c>
      <c r="AJ3261" s="21" t="n">
        <v>0</v>
      </c>
      <c r="AK3261" s="21" t="n">
        <v>0</v>
      </c>
      <c r="AL3261" s="21" t="n">
        <v>0</v>
      </c>
      <c r="AM3261" s="21" t="n">
        <v>0</v>
      </c>
      <c r="AN3261" s="21" t="n">
        <v>0</v>
      </c>
      <c r="AO3261" s="21" t="n">
        <v>0</v>
      </c>
      <c r="AP3261" s="21" t="n">
        <v>0</v>
      </c>
      <c r="AQ3261" s="21" t="n">
        <v>0</v>
      </c>
      <c r="AR3261" s="21" t="n">
        <v>0</v>
      </c>
      <c r="AS3261" s="21" t="n">
        <v>0</v>
      </c>
      <c r="AT3261" s="19" t="n"/>
    </row>
    <row r="3262">
      <c r="D3262" s="21" t="n">
        <v>0</v>
      </c>
      <c r="E3262" s="21" t="n">
        <v>0</v>
      </c>
      <c r="F3262" s="21" t="n">
        <v>0</v>
      </c>
      <c r="G3262" s="21" t="n">
        <v>0</v>
      </c>
      <c r="H3262" s="21">
        <f>-$B$1811</f>
        <v/>
      </c>
      <c r="I3262" s="21">
        <f>-$B$1812</f>
        <v/>
      </c>
      <c r="J3262" s="21">
        <f>2*$B$1811+$D$3237</f>
        <v/>
      </c>
      <c r="K3262" s="21">
        <f>0</f>
        <v/>
      </c>
      <c r="L3262" s="21">
        <f>-$B$1811</f>
        <v/>
      </c>
      <c r="M3262" s="21">
        <f>$B$1812</f>
        <v/>
      </c>
      <c r="N3262" s="21" t="n">
        <v>0</v>
      </c>
      <c r="O3262" s="21" t="n">
        <v>0</v>
      </c>
      <c r="P3262" s="21" t="n">
        <v>0</v>
      </c>
      <c r="Q3262" s="21" t="n">
        <v>0</v>
      </c>
      <c r="R3262" s="21" t="n">
        <v>0</v>
      </c>
      <c r="S3262" s="21" t="n">
        <v>0</v>
      </c>
      <c r="T3262" s="21" t="n">
        <v>0</v>
      </c>
      <c r="U3262" s="21" t="n">
        <v>0</v>
      </c>
      <c r="V3262" s="21" t="n">
        <v>0</v>
      </c>
      <c r="W3262" s="21" t="n">
        <v>0</v>
      </c>
      <c r="X3262" s="21" t="n">
        <v>0</v>
      </c>
      <c r="Y3262" s="21" t="n">
        <v>0</v>
      </c>
      <c r="Z3262" s="21" t="n">
        <v>0</v>
      </c>
      <c r="AA3262" s="21" t="n">
        <v>0</v>
      </c>
      <c r="AB3262" s="21" t="n">
        <v>0</v>
      </c>
      <c r="AC3262" s="21" t="n">
        <v>0</v>
      </c>
      <c r="AD3262" s="21" t="n">
        <v>0</v>
      </c>
      <c r="AE3262" s="21" t="n">
        <v>0</v>
      </c>
      <c r="AF3262" s="21" t="n">
        <v>0</v>
      </c>
      <c r="AG3262" s="21" t="n">
        <v>0</v>
      </c>
      <c r="AH3262" s="21" t="n">
        <v>0</v>
      </c>
      <c r="AI3262" s="21" t="n">
        <v>0</v>
      </c>
      <c r="AJ3262" s="21" t="n">
        <v>0</v>
      </c>
      <c r="AK3262" s="21" t="n">
        <v>0</v>
      </c>
      <c r="AL3262" s="21" t="n">
        <v>0</v>
      </c>
      <c r="AM3262" s="21" t="n">
        <v>0</v>
      </c>
      <c r="AN3262" s="21" t="n">
        <v>0</v>
      </c>
      <c r="AO3262" s="21" t="n">
        <v>0</v>
      </c>
      <c r="AP3262" s="21" t="n">
        <v>0</v>
      </c>
      <c r="AQ3262" s="21" t="n">
        <v>0</v>
      </c>
      <c r="AR3262" s="21" t="n">
        <v>0</v>
      </c>
      <c r="AS3262" s="21" t="n">
        <v>0</v>
      </c>
      <c r="AT3262" s="19" t="n"/>
    </row>
    <row r="3263">
      <c r="D3263" s="21" t="n">
        <v>0</v>
      </c>
      <c r="E3263" s="21" t="n">
        <v>0</v>
      </c>
      <c r="F3263" s="21" t="n">
        <v>0</v>
      </c>
      <c r="G3263" s="21" t="n">
        <v>0</v>
      </c>
      <c r="H3263" s="21">
        <f>$B$1812</f>
        <v/>
      </c>
      <c r="I3263" s="21">
        <f>$B$1814</f>
        <v/>
      </c>
      <c r="J3263" s="21">
        <f>0</f>
        <v/>
      </c>
      <c r="K3263" s="21">
        <f>2*$B$1813</f>
        <v/>
      </c>
      <c r="L3263" s="21">
        <f>-$B$1812</f>
        <v/>
      </c>
      <c r="M3263" s="21">
        <f>$B$1814</f>
        <v/>
      </c>
      <c r="N3263" s="21" t="n">
        <v>0</v>
      </c>
      <c r="O3263" s="21" t="n">
        <v>0</v>
      </c>
      <c r="P3263" s="21" t="n">
        <v>0</v>
      </c>
      <c r="Q3263" s="21" t="n">
        <v>0</v>
      </c>
      <c r="R3263" s="21" t="n">
        <v>0</v>
      </c>
      <c r="S3263" s="21" t="n">
        <v>0</v>
      </c>
      <c r="T3263" s="21" t="n">
        <v>0</v>
      </c>
      <c r="U3263" s="21" t="n">
        <v>0</v>
      </c>
      <c r="V3263" s="21" t="n">
        <v>0</v>
      </c>
      <c r="W3263" s="21" t="n">
        <v>0</v>
      </c>
      <c r="X3263" s="21" t="n">
        <v>0</v>
      </c>
      <c r="Y3263" s="21" t="n">
        <v>0</v>
      </c>
      <c r="Z3263" s="21" t="n">
        <v>0</v>
      </c>
      <c r="AA3263" s="21" t="n">
        <v>0</v>
      </c>
      <c r="AB3263" s="21" t="n">
        <v>0</v>
      </c>
      <c r="AC3263" s="21" t="n">
        <v>0</v>
      </c>
      <c r="AD3263" s="21" t="n">
        <v>0</v>
      </c>
      <c r="AE3263" s="21" t="n">
        <v>0</v>
      </c>
      <c r="AF3263" s="21" t="n">
        <v>0</v>
      </c>
      <c r="AG3263" s="21" t="n">
        <v>0</v>
      </c>
      <c r="AH3263" s="21" t="n">
        <v>0</v>
      </c>
      <c r="AI3263" s="21" t="n">
        <v>0</v>
      </c>
      <c r="AJ3263" s="21" t="n">
        <v>0</v>
      </c>
      <c r="AK3263" s="21" t="n">
        <v>0</v>
      </c>
      <c r="AL3263" s="21" t="n">
        <v>0</v>
      </c>
      <c r="AM3263" s="21" t="n">
        <v>0</v>
      </c>
      <c r="AN3263" s="21" t="n">
        <v>0</v>
      </c>
      <c r="AO3263" s="21" t="n">
        <v>0</v>
      </c>
      <c r="AP3263" s="21" t="n">
        <v>0</v>
      </c>
      <c r="AQ3263" s="21" t="n">
        <v>0</v>
      </c>
      <c r="AR3263" s="21" t="n">
        <v>0</v>
      </c>
      <c r="AS3263" s="21" t="n">
        <v>0</v>
      </c>
      <c r="AT3263" s="19" t="n"/>
    </row>
    <row r="3264">
      <c r="D3264" s="21" t="n">
        <v>0</v>
      </c>
      <c r="E3264" s="21" t="n">
        <v>0</v>
      </c>
      <c r="F3264" s="21" t="n">
        <v>0</v>
      </c>
      <c r="G3264" s="21" t="n">
        <v>0</v>
      </c>
      <c r="H3264" s="21" t="n">
        <v>0</v>
      </c>
      <c r="I3264" s="21" t="n">
        <v>0</v>
      </c>
      <c r="J3264" s="21">
        <f>-$B$1811</f>
        <v/>
      </c>
      <c r="K3264" s="21">
        <f>-$B$1812</f>
        <v/>
      </c>
      <c r="L3264" s="21">
        <f>2*$B$1811+$D$3238</f>
        <v/>
      </c>
      <c r="M3264" s="21">
        <f>0</f>
        <v/>
      </c>
      <c r="N3264" s="21">
        <f>-$B$1811</f>
        <v/>
      </c>
      <c r="O3264" s="21">
        <f>$B$1812</f>
        <v/>
      </c>
      <c r="P3264" s="21" t="n">
        <v>0</v>
      </c>
      <c r="Q3264" s="21" t="n">
        <v>0</v>
      </c>
      <c r="R3264" s="21" t="n">
        <v>0</v>
      </c>
      <c r="S3264" s="21" t="n">
        <v>0</v>
      </c>
      <c r="T3264" s="21" t="n">
        <v>0</v>
      </c>
      <c r="U3264" s="21" t="n">
        <v>0</v>
      </c>
      <c r="V3264" s="21" t="n">
        <v>0</v>
      </c>
      <c r="W3264" s="21" t="n">
        <v>0</v>
      </c>
      <c r="X3264" s="21" t="n">
        <v>0</v>
      </c>
      <c r="Y3264" s="21" t="n">
        <v>0</v>
      </c>
      <c r="Z3264" s="21" t="n">
        <v>0</v>
      </c>
      <c r="AA3264" s="21" t="n">
        <v>0</v>
      </c>
      <c r="AB3264" s="21" t="n">
        <v>0</v>
      </c>
      <c r="AC3264" s="21" t="n">
        <v>0</v>
      </c>
      <c r="AD3264" s="21" t="n">
        <v>0</v>
      </c>
      <c r="AE3264" s="21" t="n">
        <v>0</v>
      </c>
      <c r="AF3264" s="21" t="n">
        <v>0</v>
      </c>
      <c r="AG3264" s="21" t="n">
        <v>0</v>
      </c>
      <c r="AH3264" s="21" t="n">
        <v>0</v>
      </c>
      <c r="AI3264" s="21" t="n">
        <v>0</v>
      </c>
      <c r="AJ3264" s="21" t="n">
        <v>0</v>
      </c>
      <c r="AK3264" s="21" t="n">
        <v>0</v>
      </c>
      <c r="AL3264" s="21" t="n">
        <v>0</v>
      </c>
      <c r="AM3264" s="21" t="n">
        <v>0</v>
      </c>
      <c r="AN3264" s="21" t="n">
        <v>0</v>
      </c>
      <c r="AO3264" s="21" t="n">
        <v>0</v>
      </c>
      <c r="AP3264" s="21" t="n">
        <v>0</v>
      </c>
      <c r="AQ3264" s="21" t="n">
        <v>0</v>
      </c>
      <c r="AR3264" s="21" t="n">
        <v>0</v>
      </c>
      <c r="AS3264" s="21" t="n">
        <v>0</v>
      </c>
      <c r="AT3264" s="19" t="n"/>
    </row>
    <row r="3265">
      <c r="D3265" s="21" t="n">
        <v>0</v>
      </c>
      <c r="E3265" s="21" t="n">
        <v>0</v>
      </c>
      <c r="F3265" s="21" t="n">
        <v>0</v>
      </c>
      <c r="G3265" s="21" t="n">
        <v>0</v>
      </c>
      <c r="H3265" s="21" t="n">
        <v>0</v>
      </c>
      <c r="I3265" s="21" t="n">
        <v>0</v>
      </c>
      <c r="J3265" s="21">
        <f>$B$1812</f>
        <v/>
      </c>
      <c r="K3265" s="21">
        <f>$B$1814</f>
        <v/>
      </c>
      <c r="L3265" s="21">
        <f>0</f>
        <v/>
      </c>
      <c r="M3265" s="21">
        <f>2*$B$1813</f>
        <v/>
      </c>
      <c r="N3265" s="21">
        <f>-$B$1812</f>
        <v/>
      </c>
      <c r="O3265" s="21">
        <f>$B$1814</f>
        <v/>
      </c>
      <c r="P3265" s="21" t="n">
        <v>0</v>
      </c>
      <c r="Q3265" s="21" t="n">
        <v>0</v>
      </c>
      <c r="R3265" s="21" t="n">
        <v>0</v>
      </c>
      <c r="S3265" s="21" t="n">
        <v>0</v>
      </c>
      <c r="T3265" s="21" t="n">
        <v>0</v>
      </c>
      <c r="U3265" s="21" t="n">
        <v>0</v>
      </c>
      <c r="V3265" s="21" t="n">
        <v>0</v>
      </c>
      <c r="W3265" s="21" t="n">
        <v>0</v>
      </c>
      <c r="X3265" s="21" t="n">
        <v>0</v>
      </c>
      <c r="Y3265" s="21" t="n">
        <v>0</v>
      </c>
      <c r="Z3265" s="21" t="n">
        <v>0</v>
      </c>
      <c r="AA3265" s="21" t="n">
        <v>0</v>
      </c>
      <c r="AB3265" s="21" t="n">
        <v>0</v>
      </c>
      <c r="AC3265" s="21" t="n">
        <v>0</v>
      </c>
      <c r="AD3265" s="21" t="n">
        <v>0</v>
      </c>
      <c r="AE3265" s="21" t="n">
        <v>0</v>
      </c>
      <c r="AF3265" s="21" t="n">
        <v>0</v>
      </c>
      <c r="AG3265" s="21" t="n">
        <v>0</v>
      </c>
      <c r="AH3265" s="21" t="n">
        <v>0</v>
      </c>
      <c r="AI3265" s="21" t="n">
        <v>0</v>
      </c>
      <c r="AJ3265" s="21" t="n">
        <v>0</v>
      </c>
      <c r="AK3265" s="21" t="n">
        <v>0</v>
      </c>
      <c r="AL3265" s="21" t="n">
        <v>0</v>
      </c>
      <c r="AM3265" s="21" t="n">
        <v>0</v>
      </c>
      <c r="AN3265" s="21" t="n">
        <v>0</v>
      </c>
      <c r="AO3265" s="21" t="n">
        <v>0</v>
      </c>
      <c r="AP3265" s="21" t="n">
        <v>0</v>
      </c>
      <c r="AQ3265" s="21" t="n">
        <v>0</v>
      </c>
      <c r="AR3265" s="21" t="n">
        <v>0</v>
      </c>
      <c r="AS3265" s="21" t="n">
        <v>0</v>
      </c>
      <c r="AT3265" s="19" t="n"/>
    </row>
    <row r="3266">
      <c r="D3266" s="21" t="n">
        <v>0</v>
      </c>
      <c r="E3266" s="21" t="n">
        <v>0</v>
      </c>
      <c r="F3266" s="21" t="n">
        <v>0</v>
      </c>
      <c r="G3266" s="21" t="n">
        <v>0</v>
      </c>
      <c r="H3266" s="21" t="n">
        <v>0</v>
      </c>
      <c r="I3266" s="21" t="n">
        <v>0</v>
      </c>
      <c r="J3266" s="21" t="n">
        <v>0</v>
      </c>
      <c r="K3266" s="21" t="n">
        <v>0</v>
      </c>
      <c r="L3266" s="21">
        <f>-$B$1811</f>
        <v/>
      </c>
      <c r="M3266" s="21">
        <f>-$B$1812</f>
        <v/>
      </c>
      <c r="N3266" s="21">
        <f>2*$B$1811+$D$3239</f>
        <v/>
      </c>
      <c r="O3266" s="21">
        <f>0</f>
        <v/>
      </c>
      <c r="P3266" s="21">
        <f>-$B$1811</f>
        <v/>
      </c>
      <c r="Q3266" s="21">
        <f>$B$1812</f>
        <v/>
      </c>
      <c r="R3266" s="21" t="n">
        <v>0</v>
      </c>
      <c r="S3266" s="21" t="n">
        <v>0</v>
      </c>
      <c r="T3266" s="21" t="n">
        <v>0</v>
      </c>
      <c r="U3266" s="21" t="n">
        <v>0</v>
      </c>
      <c r="V3266" s="21" t="n">
        <v>0</v>
      </c>
      <c r="W3266" s="21" t="n">
        <v>0</v>
      </c>
      <c r="X3266" s="21" t="n">
        <v>0</v>
      </c>
      <c r="Y3266" s="21" t="n">
        <v>0</v>
      </c>
      <c r="Z3266" s="21" t="n">
        <v>0</v>
      </c>
      <c r="AA3266" s="21" t="n">
        <v>0</v>
      </c>
      <c r="AB3266" s="21" t="n">
        <v>0</v>
      </c>
      <c r="AC3266" s="21" t="n">
        <v>0</v>
      </c>
      <c r="AD3266" s="21" t="n">
        <v>0</v>
      </c>
      <c r="AE3266" s="21" t="n">
        <v>0</v>
      </c>
      <c r="AF3266" s="21" t="n">
        <v>0</v>
      </c>
      <c r="AG3266" s="21" t="n">
        <v>0</v>
      </c>
      <c r="AH3266" s="21" t="n">
        <v>0</v>
      </c>
      <c r="AI3266" s="21" t="n">
        <v>0</v>
      </c>
      <c r="AJ3266" s="21" t="n">
        <v>0</v>
      </c>
      <c r="AK3266" s="21" t="n">
        <v>0</v>
      </c>
      <c r="AL3266" s="21" t="n">
        <v>0</v>
      </c>
      <c r="AM3266" s="21" t="n">
        <v>0</v>
      </c>
      <c r="AN3266" s="21" t="n">
        <v>0</v>
      </c>
      <c r="AO3266" s="21" t="n">
        <v>0</v>
      </c>
      <c r="AP3266" s="21" t="n">
        <v>0</v>
      </c>
      <c r="AQ3266" s="21" t="n">
        <v>0</v>
      </c>
      <c r="AR3266" s="21" t="n">
        <v>0</v>
      </c>
      <c r="AS3266" s="21" t="n">
        <v>0</v>
      </c>
      <c r="AT3266" s="19" t="n"/>
    </row>
    <row r="3267">
      <c r="D3267" s="21" t="n">
        <v>0</v>
      </c>
      <c r="E3267" s="21" t="n">
        <v>0</v>
      </c>
      <c r="F3267" s="21" t="n">
        <v>0</v>
      </c>
      <c r="G3267" s="21" t="n">
        <v>0</v>
      </c>
      <c r="H3267" s="21" t="n">
        <v>0</v>
      </c>
      <c r="I3267" s="21" t="n">
        <v>0</v>
      </c>
      <c r="J3267" s="21" t="n">
        <v>0</v>
      </c>
      <c r="K3267" s="21" t="n">
        <v>0</v>
      </c>
      <c r="L3267" s="21">
        <f>$B$1812</f>
        <v/>
      </c>
      <c r="M3267" s="21">
        <f>$B$1814</f>
        <v/>
      </c>
      <c r="N3267" s="21">
        <f>0</f>
        <v/>
      </c>
      <c r="O3267" s="21">
        <f>2*$B$1813</f>
        <v/>
      </c>
      <c r="P3267" s="21">
        <f>-$B$1812</f>
        <v/>
      </c>
      <c r="Q3267" s="21">
        <f>$B$1814</f>
        <v/>
      </c>
      <c r="R3267" s="21" t="n">
        <v>0</v>
      </c>
      <c r="S3267" s="21" t="n">
        <v>0</v>
      </c>
      <c r="T3267" s="21" t="n">
        <v>0</v>
      </c>
      <c r="U3267" s="21" t="n">
        <v>0</v>
      </c>
      <c r="V3267" s="21" t="n">
        <v>0</v>
      </c>
      <c r="W3267" s="21" t="n">
        <v>0</v>
      </c>
      <c r="X3267" s="21" t="n">
        <v>0</v>
      </c>
      <c r="Y3267" s="21" t="n">
        <v>0</v>
      </c>
      <c r="Z3267" s="21" t="n">
        <v>0</v>
      </c>
      <c r="AA3267" s="21" t="n">
        <v>0</v>
      </c>
      <c r="AB3267" s="21" t="n">
        <v>0</v>
      </c>
      <c r="AC3267" s="21" t="n">
        <v>0</v>
      </c>
      <c r="AD3267" s="21" t="n">
        <v>0</v>
      </c>
      <c r="AE3267" s="21" t="n">
        <v>0</v>
      </c>
      <c r="AF3267" s="21" t="n">
        <v>0</v>
      </c>
      <c r="AG3267" s="21" t="n">
        <v>0</v>
      </c>
      <c r="AH3267" s="21" t="n">
        <v>0</v>
      </c>
      <c r="AI3267" s="21" t="n">
        <v>0</v>
      </c>
      <c r="AJ3267" s="21" t="n">
        <v>0</v>
      </c>
      <c r="AK3267" s="21" t="n">
        <v>0</v>
      </c>
      <c r="AL3267" s="21" t="n">
        <v>0</v>
      </c>
      <c r="AM3267" s="21" t="n">
        <v>0</v>
      </c>
      <c r="AN3267" s="21" t="n">
        <v>0</v>
      </c>
      <c r="AO3267" s="21" t="n">
        <v>0</v>
      </c>
      <c r="AP3267" s="21" t="n">
        <v>0</v>
      </c>
      <c r="AQ3267" s="21" t="n">
        <v>0</v>
      </c>
      <c r="AR3267" s="21" t="n">
        <v>0</v>
      </c>
      <c r="AS3267" s="21" t="n">
        <v>0</v>
      </c>
      <c r="AT3267" s="19" t="n"/>
    </row>
    <row r="3268">
      <c r="D3268" s="21" t="n">
        <v>0</v>
      </c>
      <c r="E3268" s="21" t="n">
        <v>0</v>
      </c>
      <c r="F3268" s="21" t="n">
        <v>0</v>
      </c>
      <c r="G3268" s="21" t="n">
        <v>0</v>
      </c>
      <c r="H3268" s="21" t="n">
        <v>0</v>
      </c>
      <c r="I3268" s="21" t="n">
        <v>0</v>
      </c>
      <c r="J3268" s="21" t="n">
        <v>0</v>
      </c>
      <c r="K3268" s="21" t="n">
        <v>0</v>
      </c>
      <c r="L3268" s="21" t="n">
        <v>0</v>
      </c>
      <c r="M3268" s="21" t="n">
        <v>0</v>
      </c>
      <c r="N3268" s="21">
        <f>-$B$1811</f>
        <v/>
      </c>
      <c r="O3268" s="21">
        <f>-$B$1812</f>
        <v/>
      </c>
      <c r="P3268" s="21">
        <f>2*$B$1811+$D$3240</f>
        <v/>
      </c>
      <c r="Q3268" s="21">
        <f>0</f>
        <v/>
      </c>
      <c r="R3268" s="21">
        <f>-$B$1811</f>
        <v/>
      </c>
      <c r="S3268" s="21">
        <f>$B$1812</f>
        <v/>
      </c>
      <c r="T3268" s="21" t="n">
        <v>0</v>
      </c>
      <c r="U3268" s="21" t="n">
        <v>0</v>
      </c>
      <c r="V3268" s="21" t="n">
        <v>0</v>
      </c>
      <c r="W3268" s="21" t="n">
        <v>0</v>
      </c>
      <c r="X3268" s="21" t="n">
        <v>0</v>
      </c>
      <c r="Y3268" s="21" t="n">
        <v>0</v>
      </c>
      <c r="Z3268" s="21" t="n">
        <v>0</v>
      </c>
      <c r="AA3268" s="21" t="n">
        <v>0</v>
      </c>
      <c r="AB3268" s="21" t="n">
        <v>0</v>
      </c>
      <c r="AC3268" s="21" t="n">
        <v>0</v>
      </c>
      <c r="AD3268" s="21" t="n">
        <v>0</v>
      </c>
      <c r="AE3268" s="21" t="n">
        <v>0</v>
      </c>
      <c r="AF3268" s="21" t="n">
        <v>0</v>
      </c>
      <c r="AG3268" s="21" t="n">
        <v>0</v>
      </c>
      <c r="AH3268" s="21" t="n">
        <v>0</v>
      </c>
      <c r="AI3268" s="21" t="n">
        <v>0</v>
      </c>
      <c r="AJ3268" s="21" t="n">
        <v>0</v>
      </c>
      <c r="AK3268" s="21" t="n">
        <v>0</v>
      </c>
      <c r="AL3268" s="21" t="n">
        <v>0</v>
      </c>
      <c r="AM3268" s="21" t="n">
        <v>0</v>
      </c>
      <c r="AN3268" s="21" t="n">
        <v>0</v>
      </c>
      <c r="AO3268" s="21" t="n">
        <v>0</v>
      </c>
      <c r="AP3268" s="21" t="n">
        <v>0</v>
      </c>
      <c r="AQ3268" s="21" t="n">
        <v>0</v>
      </c>
      <c r="AR3268" s="21" t="n">
        <v>0</v>
      </c>
      <c r="AS3268" s="21" t="n">
        <v>0</v>
      </c>
      <c r="AT3268" s="19" t="n"/>
    </row>
    <row r="3269">
      <c r="D3269" s="21" t="n">
        <v>0</v>
      </c>
      <c r="E3269" s="21" t="n">
        <v>0</v>
      </c>
      <c r="F3269" s="21" t="n">
        <v>0</v>
      </c>
      <c r="G3269" s="21" t="n">
        <v>0</v>
      </c>
      <c r="H3269" s="21" t="n">
        <v>0</v>
      </c>
      <c r="I3269" s="21" t="n">
        <v>0</v>
      </c>
      <c r="J3269" s="21" t="n">
        <v>0</v>
      </c>
      <c r="K3269" s="21" t="n">
        <v>0</v>
      </c>
      <c r="L3269" s="21" t="n">
        <v>0</v>
      </c>
      <c r="M3269" s="21" t="n">
        <v>0</v>
      </c>
      <c r="N3269" s="21">
        <f>$B$1812</f>
        <v/>
      </c>
      <c r="O3269" s="21">
        <f>$B$1814</f>
        <v/>
      </c>
      <c r="P3269" s="21">
        <f>0</f>
        <v/>
      </c>
      <c r="Q3269" s="21">
        <f>2*$B$1813</f>
        <v/>
      </c>
      <c r="R3269" s="21">
        <f>-$B$1812</f>
        <v/>
      </c>
      <c r="S3269" s="21">
        <f>$B$1814</f>
        <v/>
      </c>
      <c r="T3269" s="21" t="n">
        <v>0</v>
      </c>
      <c r="U3269" s="21" t="n">
        <v>0</v>
      </c>
      <c r="V3269" s="21" t="n">
        <v>0</v>
      </c>
      <c r="W3269" s="21" t="n">
        <v>0</v>
      </c>
      <c r="X3269" s="21" t="n">
        <v>0</v>
      </c>
      <c r="Y3269" s="21" t="n">
        <v>0</v>
      </c>
      <c r="Z3269" s="21" t="n">
        <v>0</v>
      </c>
      <c r="AA3269" s="21" t="n">
        <v>0</v>
      </c>
      <c r="AB3269" s="21" t="n">
        <v>0</v>
      </c>
      <c r="AC3269" s="21" t="n">
        <v>0</v>
      </c>
      <c r="AD3269" s="21" t="n">
        <v>0</v>
      </c>
      <c r="AE3269" s="21" t="n">
        <v>0</v>
      </c>
      <c r="AF3269" s="21" t="n">
        <v>0</v>
      </c>
      <c r="AG3269" s="21" t="n">
        <v>0</v>
      </c>
      <c r="AH3269" s="21" t="n">
        <v>0</v>
      </c>
      <c r="AI3269" s="21" t="n">
        <v>0</v>
      </c>
      <c r="AJ3269" s="21" t="n">
        <v>0</v>
      </c>
      <c r="AK3269" s="21" t="n">
        <v>0</v>
      </c>
      <c r="AL3269" s="21" t="n">
        <v>0</v>
      </c>
      <c r="AM3269" s="21" t="n">
        <v>0</v>
      </c>
      <c r="AN3269" s="21" t="n">
        <v>0</v>
      </c>
      <c r="AO3269" s="21" t="n">
        <v>0</v>
      </c>
      <c r="AP3269" s="21" t="n">
        <v>0</v>
      </c>
      <c r="AQ3269" s="21" t="n">
        <v>0</v>
      </c>
      <c r="AR3269" s="21" t="n">
        <v>0</v>
      </c>
      <c r="AS3269" s="21" t="n">
        <v>0</v>
      </c>
      <c r="AT3269" s="19" t="n"/>
    </row>
    <row r="3270">
      <c r="D3270" s="21" t="n">
        <v>0</v>
      </c>
      <c r="E3270" s="21" t="n">
        <v>0</v>
      </c>
      <c r="F3270" s="21" t="n">
        <v>0</v>
      </c>
      <c r="G3270" s="21" t="n">
        <v>0</v>
      </c>
      <c r="H3270" s="21" t="n">
        <v>0</v>
      </c>
      <c r="I3270" s="21" t="n">
        <v>0</v>
      </c>
      <c r="J3270" s="21" t="n">
        <v>0</v>
      </c>
      <c r="K3270" s="21" t="n">
        <v>0</v>
      </c>
      <c r="L3270" s="21" t="n">
        <v>0</v>
      </c>
      <c r="M3270" s="21" t="n">
        <v>0</v>
      </c>
      <c r="N3270" s="21" t="n">
        <v>0</v>
      </c>
      <c r="O3270" s="21" t="n">
        <v>0</v>
      </c>
      <c r="P3270" s="21">
        <f>-$B$1811</f>
        <v/>
      </c>
      <c r="Q3270" s="21">
        <f>-$B$1812</f>
        <v/>
      </c>
      <c r="R3270" s="21">
        <f>2*$B$1811+$D$3241</f>
        <v/>
      </c>
      <c r="S3270" s="21">
        <f>0</f>
        <v/>
      </c>
      <c r="T3270" s="21">
        <f>-$B$1811</f>
        <v/>
      </c>
      <c r="U3270" s="21">
        <f>$B$1812</f>
        <v/>
      </c>
      <c r="V3270" s="21" t="n">
        <v>0</v>
      </c>
      <c r="W3270" s="21" t="n">
        <v>0</v>
      </c>
      <c r="X3270" s="21" t="n">
        <v>0</v>
      </c>
      <c r="Y3270" s="21" t="n">
        <v>0</v>
      </c>
      <c r="Z3270" s="21" t="n">
        <v>0</v>
      </c>
      <c r="AA3270" s="21" t="n">
        <v>0</v>
      </c>
      <c r="AB3270" s="21" t="n">
        <v>0</v>
      </c>
      <c r="AC3270" s="21" t="n">
        <v>0</v>
      </c>
      <c r="AD3270" s="21" t="n">
        <v>0</v>
      </c>
      <c r="AE3270" s="21" t="n">
        <v>0</v>
      </c>
      <c r="AF3270" s="21" t="n">
        <v>0</v>
      </c>
      <c r="AG3270" s="21" t="n">
        <v>0</v>
      </c>
      <c r="AH3270" s="21" t="n">
        <v>0</v>
      </c>
      <c r="AI3270" s="21" t="n">
        <v>0</v>
      </c>
      <c r="AJ3270" s="21" t="n">
        <v>0</v>
      </c>
      <c r="AK3270" s="21" t="n">
        <v>0</v>
      </c>
      <c r="AL3270" s="21" t="n">
        <v>0</v>
      </c>
      <c r="AM3270" s="21" t="n">
        <v>0</v>
      </c>
      <c r="AN3270" s="21" t="n">
        <v>0</v>
      </c>
      <c r="AO3270" s="21" t="n">
        <v>0</v>
      </c>
      <c r="AP3270" s="21" t="n">
        <v>0</v>
      </c>
      <c r="AQ3270" s="21" t="n">
        <v>0</v>
      </c>
      <c r="AR3270" s="21" t="n">
        <v>0</v>
      </c>
      <c r="AS3270" s="21" t="n">
        <v>0</v>
      </c>
      <c r="AT3270" s="19" t="n"/>
    </row>
    <row r="3271">
      <c r="D3271" s="21" t="n">
        <v>0</v>
      </c>
      <c r="E3271" s="21" t="n">
        <v>0</v>
      </c>
      <c r="F3271" s="21" t="n">
        <v>0</v>
      </c>
      <c r="G3271" s="21" t="n">
        <v>0</v>
      </c>
      <c r="H3271" s="21" t="n">
        <v>0</v>
      </c>
      <c r="I3271" s="21" t="n">
        <v>0</v>
      </c>
      <c r="J3271" s="21" t="n">
        <v>0</v>
      </c>
      <c r="K3271" s="21" t="n">
        <v>0</v>
      </c>
      <c r="L3271" s="21" t="n">
        <v>0</v>
      </c>
      <c r="M3271" s="21" t="n">
        <v>0</v>
      </c>
      <c r="N3271" s="21" t="n">
        <v>0</v>
      </c>
      <c r="O3271" s="21" t="n">
        <v>0</v>
      </c>
      <c r="P3271" s="21">
        <f>$B$1812</f>
        <v/>
      </c>
      <c r="Q3271" s="21">
        <f>$B$1814</f>
        <v/>
      </c>
      <c r="R3271" s="21">
        <f>0</f>
        <v/>
      </c>
      <c r="S3271" s="21">
        <f>2*$B$1813</f>
        <v/>
      </c>
      <c r="T3271" s="21">
        <f>-$B$1812</f>
        <v/>
      </c>
      <c r="U3271" s="21">
        <f>$B$1814</f>
        <v/>
      </c>
      <c r="V3271" s="21" t="n">
        <v>0</v>
      </c>
      <c r="W3271" s="21" t="n">
        <v>0</v>
      </c>
      <c r="X3271" s="21" t="n">
        <v>0</v>
      </c>
      <c r="Y3271" s="21" t="n">
        <v>0</v>
      </c>
      <c r="Z3271" s="21" t="n">
        <v>0</v>
      </c>
      <c r="AA3271" s="21" t="n">
        <v>0</v>
      </c>
      <c r="AB3271" s="21" t="n">
        <v>0</v>
      </c>
      <c r="AC3271" s="21" t="n">
        <v>0</v>
      </c>
      <c r="AD3271" s="21" t="n">
        <v>0</v>
      </c>
      <c r="AE3271" s="21" t="n">
        <v>0</v>
      </c>
      <c r="AF3271" s="21" t="n">
        <v>0</v>
      </c>
      <c r="AG3271" s="21" t="n">
        <v>0</v>
      </c>
      <c r="AH3271" s="21" t="n">
        <v>0</v>
      </c>
      <c r="AI3271" s="21" t="n">
        <v>0</v>
      </c>
      <c r="AJ3271" s="21" t="n">
        <v>0</v>
      </c>
      <c r="AK3271" s="21" t="n">
        <v>0</v>
      </c>
      <c r="AL3271" s="21" t="n">
        <v>0</v>
      </c>
      <c r="AM3271" s="21" t="n">
        <v>0</v>
      </c>
      <c r="AN3271" s="21" t="n">
        <v>0</v>
      </c>
      <c r="AO3271" s="21" t="n">
        <v>0</v>
      </c>
      <c r="AP3271" s="21" t="n">
        <v>0</v>
      </c>
      <c r="AQ3271" s="21" t="n">
        <v>0</v>
      </c>
      <c r="AR3271" s="21" t="n">
        <v>0</v>
      </c>
      <c r="AS3271" s="21" t="n">
        <v>0</v>
      </c>
      <c r="AT3271" s="19" t="n"/>
    </row>
    <row r="3272">
      <c r="D3272" s="21" t="n">
        <v>0</v>
      </c>
      <c r="E3272" s="21" t="n">
        <v>0</v>
      </c>
      <c r="F3272" s="21" t="n">
        <v>0</v>
      </c>
      <c r="G3272" s="21" t="n">
        <v>0</v>
      </c>
      <c r="H3272" s="21" t="n">
        <v>0</v>
      </c>
      <c r="I3272" s="21" t="n">
        <v>0</v>
      </c>
      <c r="J3272" s="21" t="n">
        <v>0</v>
      </c>
      <c r="K3272" s="21" t="n">
        <v>0</v>
      </c>
      <c r="L3272" s="21" t="n">
        <v>0</v>
      </c>
      <c r="M3272" s="21" t="n">
        <v>0</v>
      </c>
      <c r="N3272" s="21" t="n">
        <v>0</v>
      </c>
      <c r="O3272" s="21" t="n">
        <v>0</v>
      </c>
      <c r="P3272" s="21" t="n">
        <v>0</v>
      </c>
      <c r="Q3272" s="21" t="n">
        <v>0</v>
      </c>
      <c r="R3272" s="21">
        <f>-$B$1811</f>
        <v/>
      </c>
      <c r="S3272" s="21">
        <f>-$B$1812</f>
        <v/>
      </c>
      <c r="T3272" s="21">
        <f>2*$B$1811+$D$3242</f>
        <v/>
      </c>
      <c r="U3272" s="21">
        <f>0</f>
        <v/>
      </c>
      <c r="V3272" s="21">
        <f>-$B$1811</f>
        <v/>
      </c>
      <c r="W3272" s="21">
        <f>$B$1812</f>
        <v/>
      </c>
      <c r="X3272" s="21" t="n">
        <v>0</v>
      </c>
      <c r="Y3272" s="21" t="n">
        <v>0</v>
      </c>
      <c r="Z3272" s="21" t="n">
        <v>0</v>
      </c>
      <c r="AA3272" s="21" t="n">
        <v>0</v>
      </c>
      <c r="AB3272" s="21" t="n">
        <v>0</v>
      </c>
      <c r="AC3272" s="21" t="n">
        <v>0</v>
      </c>
      <c r="AD3272" s="21" t="n">
        <v>0</v>
      </c>
      <c r="AE3272" s="21" t="n">
        <v>0</v>
      </c>
      <c r="AF3272" s="21" t="n">
        <v>0</v>
      </c>
      <c r="AG3272" s="21" t="n">
        <v>0</v>
      </c>
      <c r="AH3272" s="21" t="n">
        <v>0</v>
      </c>
      <c r="AI3272" s="21" t="n">
        <v>0</v>
      </c>
      <c r="AJ3272" s="21" t="n">
        <v>0</v>
      </c>
      <c r="AK3272" s="21" t="n">
        <v>0</v>
      </c>
      <c r="AL3272" s="21" t="n">
        <v>0</v>
      </c>
      <c r="AM3272" s="21" t="n">
        <v>0</v>
      </c>
      <c r="AN3272" s="21" t="n">
        <v>0</v>
      </c>
      <c r="AO3272" s="21" t="n">
        <v>0</v>
      </c>
      <c r="AP3272" s="21" t="n">
        <v>0</v>
      </c>
      <c r="AQ3272" s="21" t="n">
        <v>0</v>
      </c>
      <c r="AR3272" s="21" t="n">
        <v>0</v>
      </c>
      <c r="AS3272" s="21" t="n">
        <v>0</v>
      </c>
      <c r="AT3272" s="19" t="n"/>
    </row>
    <row r="3273">
      <c r="D3273" s="21" t="n">
        <v>0</v>
      </c>
      <c r="E3273" s="21" t="n">
        <v>0</v>
      </c>
      <c r="F3273" s="21" t="n">
        <v>0</v>
      </c>
      <c r="G3273" s="21" t="n">
        <v>0</v>
      </c>
      <c r="H3273" s="21" t="n">
        <v>0</v>
      </c>
      <c r="I3273" s="21" t="n">
        <v>0</v>
      </c>
      <c r="J3273" s="21" t="n">
        <v>0</v>
      </c>
      <c r="K3273" s="21" t="n">
        <v>0</v>
      </c>
      <c r="L3273" s="21" t="n">
        <v>0</v>
      </c>
      <c r="M3273" s="21" t="n">
        <v>0</v>
      </c>
      <c r="N3273" s="21" t="n">
        <v>0</v>
      </c>
      <c r="O3273" s="21" t="n">
        <v>0</v>
      </c>
      <c r="P3273" s="21" t="n">
        <v>0</v>
      </c>
      <c r="Q3273" s="21" t="n">
        <v>0</v>
      </c>
      <c r="R3273" s="21">
        <f>$B$1812</f>
        <v/>
      </c>
      <c r="S3273" s="21">
        <f>$B$1814</f>
        <v/>
      </c>
      <c r="T3273" s="21">
        <f>0</f>
        <v/>
      </c>
      <c r="U3273" s="21">
        <f>2*$B$1813</f>
        <v/>
      </c>
      <c r="V3273" s="21">
        <f>-$B$1812</f>
        <v/>
      </c>
      <c r="W3273" s="21">
        <f>$B$1814</f>
        <v/>
      </c>
      <c r="X3273" s="21" t="n">
        <v>0</v>
      </c>
      <c r="Y3273" s="21" t="n">
        <v>0</v>
      </c>
      <c r="Z3273" s="21" t="n">
        <v>0</v>
      </c>
      <c r="AA3273" s="21" t="n">
        <v>0</v>
      </c>
      <c r="AB3273" s="21" t="n">
        <v>0</v>
      </c>
      <c r="AC3273" s="21" t="n">
        <v>0</v>
      </c>
      <c r="AD3273" s="21" t="n">
        <v>0</v>
      </c>
      <c r="AE3273" s="21" t="n">
        <v>0</v>
      </c>
      <c r="AF3273" s="21" t="n">
        <v>0</v>
      </c>
      <c r="AG3273" s="21" t="n">
        <v>0</v>
      </c>
      <c r="AH3273" s="21" t="n">
        <v>0</v>
      </c>
      <c r="AI3273" s="21" t="n">
        <v>0</v>
      </c>
      <c r="AJ3273" s="21" t="n">
        <v>0</v>
      </c>
      <c r="AK3273" s="21" t="n">
        <v>0</v>
      </c>
      <c r="AL3273" s="21" t="n">
        <v>0</v>
      </c>
      <c r="AM3273" s="21" t="n">
        <v>0</v>
      </c>
      <c r="AN3273" s="21" t="n">
        <v>0</v>
      </c>
      <c r="AO3273" s="21" t="n">
        <v>0</v>
      </c>
      <c r="AP3273" s="21" t="n">
        <v>0</v>
      </c>
      <c r="AQ3273" s="21" t="n">
        <v>0</v>
      </c>
      <c r="AR3273" s="21" t="n">
        <v>0</v>
      </c>
      <c r="AS3273" s="21" t="n">
        <v>0</v>
      </c>
      <c r="AT3273" s="19" t="n"/>
    </row>
    <row r="3274">
      <c r="D3274" s="21" t="n">
        <v>0</v>
      </c>
      <c r="E3274" s="21" t="n">
        <v>0</v>
      </c>
      <c r="F3274" s="21" t="n">
        <v>0</v>
      </c>
      <c r="G3274" s="21" t="n">
        <v>0</v>
      </c>
      <c r="H3274" s="21" t="n">
        <v>0</v>
      </c>
      <c r="I3274" s="21" t="n">
        <v>0</v>
      </c>
      <c r="J3274" s="21" t="n">
        <v>0</v>
      </c>
      <c r="K3274" s="21" t="n">
        <v>0</v>
      </c>
      <c r="L3274" s="21" t="n">
        <v>0</v>
      </c>
      <c r="M3274" s="21" t="n">
        <v>0</v>
      </c>
      <c r="N3274" s="21" t="n">
        <v>0</v>
      </c>
      <c r="O3274" s="21" t="n">
        <v>0</v>
      </c>
      <c r="P3274" s="21" t="n">
        <v>0</v>
      </c>
      <c r="Q3274" s="21" t="n">
        <v>0</v>
      </c>
      <c r="R3274" s="21" t="n">
        <v>0</v>
      </c>
      <c r="S3274" s="21" t="n">
        <v>0</v>
      </c>
      <c r="T3274" s="21">
        <f>-$B$1811</f>
        <v/>
      </c>
      <c r="U3274" s="21">
        <f>-$B$1812</f>
        <v/>
      </c>
      <c r="V3274" s="21">
        <f>2*$B$1811+$D$3243</f>
        <v/>
      </c>
      <c r="W3274" s="21">
        <f>0</f>
        <v/>
      </c>
      <c r="X3274" s="21">
        <f>-$B$1811</f>
        <v/>
      </c>
      <c r="Y3274" s="21">
        <f>$B$1812</f>
        <v/>
      </c>
      <c r="Z3274" s="21" t="n">
        <v>0</v>
      </c>
      <c r="AA3274" s="21" t="n">
        <v>0</v>
      </c>
      <c r="AB3274" s="21" t="n">
        <v>0</v>
      </c>
      <c r="AC3274" s="21" t="n">
        <v>0</v>
      </c>
      <c r="AD3274" s="21" t="n">
        <v>0</v>
      </c>
      <c r="AE3274" s="21" t="n">
        <v>0</v>
      </c>
      <c r="AF3274" s="21" t="n">
        <v>0</v>
      </c>
      <c r="AG3274" s="21" t="n">
        <v>0</v>
      </c>
      <c r="AH3274" s="21" t="n">
        <v>0</v>
      </c>
      <c r="AI3274" s="21" t="n">
        <v>0</v>
      </c>
      <c r="AJ3274" s="21" t="n">
        <v>0</v>
      </c>
      <c r="AK3274" s="21" t="n">
        <v>0</v>
      </c>
      <c r="AL3274" s="21" t="n">
        <v>0</v>
      </c>
      <c r="AM3274" s="21" t="n">
        <v>0</v>
      </c>
      <c r="AN3274" s="21" t="n">
        <v>0</v>
      </c>
      <c r="AO3274" s="21" t="n">
        <v>0</v>
      </c>
      <c r="AP3274" s="21" t="n">
        <v>0</v>
      </c>
      <c r="AQ3274" s="21" t="n">
        <v>0</v>
      </c>
      <c r="AR3274" s="21" t="n">
        <v>0</v>
      </c>
      <c r="AS3274" s="21" t="n">
        <v>0</v>
      </c>
      <c r="AT3274" s="19" t="n"/>
    </row>
    <row r="3275">
      <c r="D3275" s="21" t="n">
        <v>0</v>
      </c>
      <c r="E3275" s="21" t="n">
        <v>0</v>
      </c>
      <c r="F3275" s="21" t="n">
        <v>0</v>
      </c>
      <c r="G3275" s="21" t="n">
        <v>0</v>
      </c>
      <c r="H3275" s="21" t="n">
        <v>0</v>
      </c>
      <c r="I3275" s="21" t="n">
        <v>0</v>
      </c>
      <c r="J3275" s="21" t="n">
        <v>0</v>
      </c>
      <c r="K3275" s="21" t="n">
        <v>0</v>
      </c>
      <c r="L3275" s="21" t="n">
        <v>0</v>
      </c>
      <c r="M3275" s="21" t="n">
        <v>0</v>
      </c>
      <c r="N3275" s="21" t="n">
        <v>0</v>
      </c>
      <c r="O3275" s="21" t="n">
        <v>0</v>
      </c>
      <c r="P3275" s="21" t="n">
        <v>0</v>
      </c>
      <c r="Q3275" s="21" t="n">
        <v>0</v>
      </c>
      <c r="R3275" s="21" t="n">
        <v>0</v>
      </c>
      <c r="S3275" s="21" t="n">
        <v>0</v>
      </c>
      <c r="T3275" s="21">
        <f>$B$1812</f>
        <v/>
      </c>
      <c r="U3275" s="21">
        <f>$B$1814</f>
        <v/>
      </c>
      <c r="V3275" s="21">
        <f>0</f>
        <v/>
      </c>
      <c r="W3275" s="21">
        <f>2*$B$1813</f>
        <v/>
      </c>
      <c r="X3275" s="21">
        <f>-$B$1812</f>
        <v/>
      </c>
      <c r="Y3275" s="21">
        <f>$B$1814</f>
        <v/>
      </c>
      <c r="Z3275" s="21" t="n">
        <v>0</v>
      </c>
      <c r="AA3275" s="21" t="n">
        <v>0</v>
      </c>
      <c r="AB3275" s="21" t="n">
        <v>0</v>
      </c>
      <c r="AC3275" s="21" t="n">
        <v>0</v>
      </c>
      <c r="AD3275" s="21" t="n">
        <v>0</v>
      </c>
      <c r="AE3275" s="21" t="n">
        <v>0</v>
      </c>
      <c r="AF3275" s="21" t="n">
        <v>0</v>
      </c>
      <c r="AG3275" s="21" t="n">
        <v>0</v>
      </c>
      <c r="AH3275" s="21" t="n">
        <v>0</v>
      </c>
      <c r="AI3275" s="21" t="n">
        <v>0</v>
      </c>
      <c r="AJ3275" s="21" t="n">
        <v>0</v>
      </c>
      <c r="AK3275" s="21" t="n">
        <v>0</v>
      </c>
      <c r="AL3275" s="21" t="n">
        <v>0</v>
      </c>
      <c r="AM3275" s="21" t="n">
        <v>0</v>
      </c>
      <c r="AN3275" s="21" t="n">
        <v>0</v>
      </c>
      <c r="AO3275" s="21" t="n">
        <v>0</v>
      </c>
      <c r="AP3275" s="21" t="n">
        <v>0</v>
      </c>
      <c r="AQ3275" s="21" t="n">
        <v>0</v>
      </c>
      <c r="AR3275" s="21" t="n">
        <v>0</v>
      </c>
      <c r="AS3275" s="21" t="n">
        <v>0</v>
      </c>
      <c r="AT3275" s="19" t="n"/>
    </row>
    <row r="3276">
      <c r="D3276" s="21" t="n">
        <v>0</v>
      </c>
      <c r="E3276" s="21" t="n">
        <v>0</v>
      </c>
      <c r="F3276" s="21" t="n">
        <v>0</v>
      </c>
      <c r="G3276" s="21" t="n">
        <v>0</v>
      </c>
      <c r="H3276" s="21" t="n">
        <v>0</v>
      </c>
      <c r="I3276" s="21" t="n">
        <v>0</v>
      </c>
      <c r="J3276" s="21" t="n">
        <v>0</v>
      </c>
      <c r="K3276" s="21" t="n">
        <v>0</v>
      </c>
      <c r="L3276" s="21" t="n">
        <v>0</v>
      </c>
      <c r="M3276" s="21" t="n">
        <v>0</v>
      </c>
      <c r="N3276" s="21" t="n">
        <v>0</v>
      </c>
      <c r="O3276" s="21" t="n">
        <v>0</v>
      </c>
      <c r="P3276" s="21" t="n">
        <v>0</v>
      </c>
      <c r="Q3276" s="21" t="n">
        <v>0</v>
      </c>
      <c r="R3276" s="21" t="n">
        <v>0</v>
      </c>
      <c r="S3276" s="21" t="n">
        <v>0</v>
      </c>
      <c r="T3276" s="21" t="n">
        <v>0</v>
      </c>
      <c r="U3276" s="21" t="n">
        <v>0</v>
      </c>
      <c r="V3276" s="21">
        <f>-$B$1811</f>
        <v/>
      </c>
      <c r="W3276" s="21">
        <f>-$B$1812</f>
        <v/>
      </c>
      <c r="X3276" s="21">
        <f>2*$B$1811+$D$3244</f>
        <v/>
      </c>
      <c r="Y3276" s="21">
        <f>0</f>
        <v/>
      </c>
      <c r="Z3276" s="21">
        <f>-$B$1811</f>
        <v/>
      </c>
      <c r="AA3276" s="21">
        <f>$B$1812</f>
        <v/>
      </c>
      <c r="AB3276" s="21" t="n">
        <v>0</v>
      </c>
      <c r="AC3276" s="21" t="n">
        <v>0</v>
      </c>
      <c r="AD3276" s="21" t="n">
        <v>0</v>
      </c>
      <c r="AE3276" s="21" t="n">
        <v>0</v>
      </c>
      <c r="AF3276" s="21" t="n">
        <v>0</v>
      </c>
      <c r="AG3276" s="21" t="n">
        <v>0</v>
      </c>
      <c r="AH3276" s="21" t="n">
        <v>0</v>
      </c>
      <c r="AI3276" s="21" t="n">
        <v>0</v>
      </c>
      <c r="AJ3276" s="21" t="n">
        <v>0</v>
      </c>
      <c r="AK3276" s="21" t="n">
        <v>0</v>
      </c>
      <c r="AL3276" s="21" t="n">
        <v>0</v>
      </c>
      <c r="AM3276" s="21" t="n">
        <v>0</v>
      </c>
      <c r="AN3276" s="21" t="n">
        <v>0</v>
      </c>
      <c r="AO3276" s="21" t="n">
        <v>0</v>
      </c>
      <c r="AP3276" s="21" t="n">
        <v>0</v>
      </c>
      <c r="AQ3276" s="21" t="n">
        <v>0</v>
      </c>
      <c r="AR3276" s="21" t="n">
        <v>0</v>
      </c>
      <c r="AS3276" s="21" t="n">
        <v>0</v>
      </c>
      <c r="AT3276" s="19" t="n"/>
    </row>
    <row r="3277">
      <c r="D3277" s="21" t="n">
        <v>0</v>
      </c>
      <c r="E3277" s="21" t="n">
        <v>0</v>
      </c>
      <c r="F3277" s="21" t="n">
        <v>0</v>
      </c>
      <c r="G3277" s="21" t="n">
        <v>0</v>
      </c>
      <c r="H3277" s="21" t="n">
        <v>0</v>
      </c>
      <c r="I3277" s="21" t="n">
        <v>0</v>
      </c>
      <c r="J3277" s="21" t="n">
        <v>0</v>
      </c>
      <c r="K3277" s="21" t="n">
        <v>0</v>
      </c>
      <c r="L3277" s="21" t="n">
        <v>0</v>
      </c>
      <c r="M3277" s="21" t="n">
        <v>0</v>
      </c>
      <c r="N3277" s="21" t="n">
        <v>0</v>
      </c>
      <c r="O3277" s="21" t="n">
        <v>0</v>
      </c>
      <c r="P3277" s="21" t="n">
        <v>0</v>
      </c>
      <c r="Q3277" s="21" t="n">
        <v>0</v>
      </c>
      <c r="R3277" s="21" t="n">
        <v>0</v>
      </c>
      <c r="S3277" s="21" t="n">
        <v>0</v>
      </c>
      <c r="T3277" s="21" t="n">
        <v>0</v>
      </c>
      <c r="U3277" s="21" t="n">
        <v>0</v>
      </c>
      <c r="V3277" s="21">
        <f>$B$1812</f>
        <v/>
      </c>
      <c r="W3277" s="21">
        <f>$B$1814</f>
        <v/>
      </c>
      <c r="X3277" s="21">
        <f>0</f>
        <v/>
      </c>
      <c r="Y3277" s="21">
        <f>2*$B$1813</f>
        <v/>
      </c>
      <c r="Z3277" s="21">
        <f>-$B$1812</f>
        <v/>
      </c>
      <c r="AA3277" s="21">
        <f>$B$1814</f>
        <v/>
      </c>
      <c r="AB3277" s="21" t="n">
        <v>0</v>
      </c>
      <c r="AC3277" s="21" t="n">
        <v>0</v>
      </c>
      <c r="AD3277" s="21" t="n">
        <v>0</v>
      </c>
      <c r="AE3277" s="21" t="n">
        <v>0</v>
      </c>
      <c r="AF3277" s="21" t="n">
        <v>0</v>
      </c>
      <c r="AG3277" s="21" t="n">
        <v>0</v>
      </c>
      <c r="AH3277" s="21" t="n">
        <v>0</v>
      </c>
      <c r="AI3277" s="21" t="n">
        <v>0</v>
      </c>
      <c r="AJ3277" s="21" t="n">
        <v>0</v>
      </c>
      <c r="AK3277" s="21" t="n">
        <v>0</v>
      </c>
      <c r="AL3277" s="21" t="n">
        <v>0</v>
      </c>
      <c r="AM3277" s="21" t="n">
        <v>0</v>
      </c>
      <c r="AN3277" s="21" t="n">
        <v>0</v>
      </c>
      <c r="AO3277" s="21" t="n">
        <v>0</v>
      </c>
      <c r="AP3277" s="21" t="n">
        <v>0</v>
      </c>
      <c r="AQ3277" s="21" t="n">
        <v>0</v>
      </c>
      <c r="AR3277" s="21" t="n">
        <v>0</v>
      </c>
      <c r="AS3277" s="21" t="n">
        <v>0</v>
      </c>
      <c r="AT3277" s="19" t="n"/>
    </row>
    <row r="3278">
      <c r="D3278" s="21" t="n">
        <v>0</v>
      </c>
      <c r="E3278" s="21" t="n">
        <v>0</v>
      </c>
      <c r="F3278" s="21" t="n">
        <v>0</v>
      </c>
      <c r="G3278" s="21" t="n">
        <v>0</v>
      </c>
      <c r="H3278" s="21" t="n">
        <v>0</v>
      </c>
      <c r="I3278" s="21" t="n">
        <v>0</v>
      </c>
      <c r="J3278" s="21" t="n">
        <v>0</v>
      </c>
      <c r="K3278" s="21" t="n">
        <v>0</v>
      </c>
      <c r="L3278" s="21" t="n">
        <v>0</v>
      </c>
      <c r="M3278" s="21" t="n">
        <v>0</v>
      </c>
      <c r="N3278" s="21" t="n">
        <v>0</v>
      </c>
      <c r="O3278" s="21" t="n">
        <v>0</v>
      </c>
      <c r="P3278" s="21" t="n">
        <v>0</v>
      </c>
      <c r="Q3278" s="21" t="n">
        <v>0</v>
      </c>
      <c r="R3278" s="21" t="n">
        <v>0</v>
      </c>
      <c r="S3278" s="21" t="n">
        <v>0</v>
      </c>
      <c r="T3278" s="21" t="n">
        <v>0</v>
      </c>
      <c r="U3278" s="21" t="n">
        <v>0</v>
      </c>
      <c r="V3278" s="21" t="n">
        <v>0</v>
      </c>
      <c r="W3278" s="21" t="n">
        <v>0</v>
      </c>
      <c r="X3278" s="21">
        <f>-$B$1811</f>
        <v/>
      </c>
      <c r="Y3278" s="21">
        <f>-$B$1812</f>
        <v/>
      </c>
      <c r="Z3278" s="21">
        <f>2*$B$1811+$D$3245</f>
        <v/>
      </c>
      <c r="AA3278" s="21">
        <f>0</f>
        <v/>
      </c>
      <c r="AB3278" s="21">
        <f>-$B$1811</f>
        <v/>
      </c>
      <c r="AC3278" s="21">
        <f>$B$1812</f>
        <v/>
      </c>
      <c r="AD3278" s="21" t="n">
        <v>0</v>
      </c>
      <c r="AE3278" s="21" t="n">
        <v>0</v>
      </c>
      <c r="AF3278" s="21" t="n">
        <v>0</v>
      </c>
      <c r="AG3278" s="21" t="n">
        <v>0</v>
      </c>
      <c r="AH3278" s="21" t="n">
        <v>0</v>
      </c>
      <c r="AI3278" s="21" t="n">
        <v>0</v>
      </c>
      <c r="AJ3278" s="21" t="n">
        <v>0</v>
      </c>
      <c r="AK3278" s="21" t="n">
        <v>0</v>
      </c>
      <c r="AL3278" s="21" t="n">
        <v>0</v>
      </c>
      <c r="AM3278" s="21" t="n">
        <v>0</v>
      </c>
      <c r="AN3278" s="21" t="n">
        <v>0</v>
      </c>
      <c r="AO3278" s="21" t="n">
        <v>0</v>
      </c>
      <c r="AP3278" s="21" t="n">
        <v>0</v>
      </c>
      <c r="AQ3278" s="21" t="n">
        <v>0</v>
      </c>
      <c r="AR3278" s="21" t="n">
        <v>0</v>
      </c>
      <c r="AS3278" s="21" t="n">
        <v>0</v>
      </c>
      <c r="AT3278" s="19" t="n"/>
    </row>
    <row r="3279">
      <c r="D3279" s="21" t="n">
        <v>0</v>
      </c>
      <c r="E3279" s="21" t="n">
        <v>0</v>
      </c>
      <c r="F3279" s="21" t="n">
        <v>0</v>
      </c>
      <c r="G3279" s="21" t="n">
        <v>0</v>
      </c>
      <c r="H3279" s="21" t="n">
        <v>0</v>
      </c>
      <c r="I3279" s="21" t="n">
        <v>0</v>
      </c>
      <c r="J3279" s="21" t="n">
        <v>0</v>
      </c>
      <c r="K3279" s="21" t="n">
        <v>0</v>
      </c>
      <c r="L3279" s="21" t="n">
        <v>0</v>
      </c>
      <c r="M3279" s="21" t="n">
        <v>0</v>
      </c>
      <c r="N3279" s="21" t="n">
        <v>0</v>
      </c>
      <c r="O3279" s="21" t="n">
        <v>0</v>
      </c>
      <c r="P3279" s="21" t="n">
        <v>0</v>
      </c>
      <c r="Q3279" s="21" t="n">
        <v>0</v>
      </c>
      <c r="R3279" s="21" t="n">
        <v>0</v>
      </c>
      <c r="S3279" s="21" t="n">
        <v>0</v>
      </c>
      <c r="T3279" s="21" t="n">
        <v>0</v>
      </c>
      <c r="U3279" s="21" t="n">
        <v>0</v>
      </c>
      <c r="V3279" s="21" t="n">
        <v>0</v>
      </c>
      <c r="W3279" s="21" t="n">
        <v>0</v>
      </c>
      <c r="X3279" s="21">
        <f>$B$1812</f>
        <v/>
      </c>
      <c r="Y3279" s="21">
        <f>$B$1814</f>
        <v/>
      </c>
      <c r="Z3279" s="21">
        <f>0</f>
        <v/>
      </c>
      <c r="AA3279" s="21">
        <f>2*$B$1813</f>
        <v/>
      </c>
      <c r="AB3279" s="21">
        <f>-$B$1812</f>
        <v/>
      </c>
      <c r="AC3279" s="21">
        <f>$B$1814</f>
        <v/>
      </c>
      <c r="AD3279" s="21" t="n">
        <v>0</v>
      </c>
      <c r="AE3279" s="21" t="n">
        <v>0</v>
      </c>
      <c r="AF3279" s="21" t="n">
        <v>0</v>
      </c>
      <c r="AG3279" s="21" t="n">
        <v>0</v>
      </c>
      <c r="AH3279" s="21" t="n">
        <v>0</v>
      </c>
      <c r="AI3279" s="21" t="n">
        <v>0</v>
      </c>
      <c r="AJ3279" s="21" t="n">
        <v>0</v>
      </c>
      <c r="AK3279" s="21" t="n">
        <v>0</v>
      </c>
      <c r="AL3279" s="21" t="n">
        <v>0</v>
      </c>
      <c r="AM3279" s="21" t="n">
        <v>0</v>
      </c>
      <c r="AN3279" s="21" t="n">
        <v>0</v>
      </c>
      <c r="AO3279" s="21" t="n">
        <v>0</v>
      </c>
      <c r="AP3279" s="21" t="n">
        <v>0</v>
      </c>
      <c r="AQ3279" s="21" t="n">
        <v>0</v>
      </c>
      <c r="AR3279" s="21" t="n">
        <v>0</v>
      </c>
      <c r="AS3279" s="21" t="n">
        <v>0</v>
      </c>
      <c r="AT3279" s="19" t="n"/>
    </row>
    <row r="3280">
      <c r="D3280" s="21" t="n">
        <v>0</v>
      </c>
      <c r="E3280" s="21" t="n">
        <v>0</v>
      </c>
      <c r="F3280" s="21" t="n">
        <v>0</v>
      </c>
      <c r="G3280" s="21" t="n">
        <v>0</v>
      </c>
      <c r="H3280" s="21" t="n">
        <v>0</v>
      </c>
      <c r="I3280" s="21" t="n">
        <v>0</v>
      </c>
      <c r="J3280" s="21" t="n">
        <v>0</v>
      </c>
      <c r="K3280" s="21" t="n">
        <v>0</v>
      </c>
      <c r="L3280" s="21" t="n">
        <v>0</v>
      </c>
      <c r="M3280" s="21" t="n">
        <v>0</v>
      </c>
      <c r="N3280" s="21" t="n">
        <v>0</v>
      </c>
      <c r="O3280" s="21" t="n">
        <v>0</v>
      </c>
      <c r="P3280" s="21" t="n">
        <v>0</v>
      </c>
      <c r="Q3280" s="21" t="n">
        <v>0</v>
      </c>
      <c r="R3280" s="21" t="n">
        <v>0</v>
      </c>
      <c r="S3280" s="21" t="n">
        <v>0</v>
      </c>
      <c r="T3280" s="21" t="n">
        <v>0</v>
      </c>
      <c r="U3280" s="21" t="n">
        <v>0</v>
      </c>
      <c r="V3280" s="21" t="n">
        <v>0</v>
      </c>
      <c r="W3280" s="21" t="n">
        <v>0</v>
      </c>
      <c r="X3280" s="21" t="n">
        <v>0</v>
      </c>
      <c r="Y3280" s="21" t="n">
        <v>0</v>
      </c>
      <c r="Z3280" s="21">
        <f>-$B$1811</f>
        <v/>
      </c>
      <c r="AA3280" s="21">
        <f>-$B$1812</f>
        <v/>
      </c>
      <c r="AB3280" s="21">
        <f>2*$B$1811+$D$3246</f>
        <v/>
      </c>
      <c r="AC3280" s="21">
        <f>0</f>
        <v/>
      </c>
      <c r="AD3280" s="21">
        <f>-$B$1811</f>
        <v/>
      </c>
      <c r="AE3280" s="21">
        <f>$B$1812</f>
        <v/>
      </c>
      <c r="AF3280" s="21" t="n">
        <v>0</v>
      </c>
      <c r="AG3280" s="21" t="n">
        <v>0</v>
      </c>
      <c r="AH3280" s="21" t="n">
        <v>0</v>
      </c>
      <c r="AI3280" s="21" t="n">
        <v>0</v>
      </c>
      <c r="AJ3280" s="21" t="n">
        <v>0</v>
      </c>
      <c r="AK3280" s="21" t="n">
        <v>0</v>
      </c>
      <c r="AL3280" s="21" t="n">
        <v>0</v>
      </c>
      <c r="AM3280" s="21" t="n">
        <v>0</v>
      </c>
      <c r="AN3280" s="21" t="n">
        <v>0</v>
      </c>
      <c r="AO3280" s="21" t="n">
        <v>0</v>
      </c>
      <c r="AP3280" s="21" t="n">
        <v>0</v>
      </c>
      <c r="AQ3280" s="21" t="n">
        <v>0</v>
      </c>
      <c r="AR3280" s="21" t="n">
        <v>0</v>
      </c>
      <c r="AS3280" s="21" t="n">
        <v>0</v>
      </c>
      <c r="AT3280" s="19" t="n"/>
    </row>
    <row r="3281">
      <c r="D3281" s="21" t="n">
        <v>0</v>
      </c>
      <c r="E3281" s="21" t="n">
        <v>0</v>
      </c>
      <c r="F3281" s="21" t="n">
        <v>0</v>
      </c>
      <c r="G3281" s="21" t="n">
        <v>0</v>
      </c>
      <c r="H3281" s="21" t="n">
        <v>0</v>
      </c>
      <c r="I3281" s="21" t="n">
        <v>0</v>
      </c>
      <c r="J3281" s="21" t="n">
        <v>0</v>
      </c>
      <c r="K3281" s="21" t="n">
        <v>0</v>
      </c>
      <c r="L3281" s="21" t="n">
        <v>0</v>
      </c>
      <c r="M3281" s="21" t="n">
        <v>0</v>
      </c>
      <c r="N3281" s="21" t="n">
        <v>0</v>
      </c>
      <c r="O3281" s="21" t="n">
        <v>0</v>
      </c>
      <c r="P3281" s="21" t="n">
        <v>0</v>
      </c>
      <c r="Q3281" s="21" t="n">
        <v>0</v>
      </c>
      <c r="R3281" s="21" t="n">
        <v>0</v>
      </c>
      <c r="S3281" s="21" t="n">
        <v>0</v>
      </c>
      <c r="T3281" s="21" t="n">
        <v>0</v>
      </c>
      <c r="U3281" s="21" t="n">
        <v>0</v>
      </c>
      <c r="V3281" s="21" t="n">
        <v>0</v>
      </c>
      <c r="W3281" s="21" t="n">
        <v>0</v>
      </c>
      <c r="X3281" s="21" t="n">
        <v>0</v>
      </c>
      <c r="Y3281" s="21" t="n">
        <v>0</v>
      </c>
      <c r="Z3281" s="21">
        <f>$B$1812</f>
        <v/>
      </c>
      <c r="AA3281" s="21">
        <f>$B$1814</f>
        <v/>
      </c>
      <c r="AB3281" s="21">
        <f>0</f>
        <v/>
      </c>
      <c r="AC3281" s="21">
        <f>2*$B$1813</f>
        <v/>
      </c>
      <c r="AD3281" s="21">
        <f>-$B$1812</f>
        <v/>
      </c>
      <c r="AE3281" s="21">
        <f>$B$1814</f>
        <v/>
      </c>
      <c r="AF3281" s="21" t="n">
        <v>0</v>
      </c>
      <c r="AG3281" s="21" t="n">
        <v>0</v>
      </c>
      <c r="AH3281" s="21" t="n">
        <v>0</v>
      </c>
      <c r="AI3281" s="21" t="n">
        <v>0</v>
      </c>
      <c r="AJ3281" s="21" t="n">
        <v>0</v>
      </c>
      <c r="AK3281" s="21" t="n">
        <v>0</v>
      </c>
      <c r="AL3281" s="21" t="n">
        <v>0</v>
      </c>
      <c r="AM3281" s="21" t="n">
        <v>0</v>
      </c>
      <c r="AN3281" s="21" t="n">
        <v>0</v>
      </c>
      <c r="AO3281" s="21" t="n">
        <v>0</v>
      </c>
      <c r="AP3281" s="21" t="n">
        <v>0</v>
      </c>
      <c r="AQ3281" s="21" t="n">
        <v>0</v>
      </c>
      <c r="AR3281" s="21" t="n">
        <v>0</v>
      </c>
      <c r="AS3281" s="21" t="n">
        <v>0</v>
      </c>
      <c r="AT3281" s="19" t="n"/>
    </row>
    <row r="3282">
      <c r="D3282" s="21" t="n">
        <v>0</v>
      </c>
      <c r="E3282" s="21" t="n">
        <v>0</v>
      </c>
      <c r="F3282" s="21" t="n">
        <v>0</v>
      </c>
      <c r="G3282" s="21" t="n">
        <v>0</v>
      </c>
      <c r="H3282" s="21" t="n">
        <v>0</v>
      </c>
      <c r="I3282" s="21" t="n">
        <v>0</v>
      </c>
      <c r="J3282" s="21" t="n">
        <v>0</v>
      </c>
      <c r="K3282" s="21" t="n">
        <v>0</v>
      </c>
      <c r="L3282" s="21" t="n">
        <v>0</v>
      </c>
      <c r="M3282" s="21" t="n">
        <v>0</v>
      </c>
      <c r="N3282" s="21" t="n">
        <v>0</v>
      </c>
      <c r="O3282" s="21" t="n">
        <v>0</v>
      </c>
      <c r="P3282" s="21" t="n">
        <v>0</v>
      </c>
      <c r="Q3282" s="21" t="n">
        <v>0</v>
      </c>
      <c r="R3282" s="21" t="n">
        <v>0</v>
      </c>
      <c r="S3282" s="21" t="n">
        <v>0</v>
      </c>
      <c r="T3282" s="21" t="n">
        <v>0</v>
      </c>
      <c r="U3282" s="21" t="n">
        <v>0</v>
      </c>
      <c r="V3282" s="21" t="n">
        <v>0</v>
      </c>
      <c r="W3282" s="21" t="n">
        <v>0</v>
      </c>
      <c r="X3282" s="21" t="n">
        <v>0</v>
      </c>
      <c r="Y3282" s="21" t="n">
        <v>0</v>
      </c>
      <c r="Z3282" s="21" t="n">
        <v>0</v>
      </c>
      <c r="AA3282" s="21" t="n">
        <v>0</v>
      </c>
      <c r="AB3282" s="21">
        <f>-$B$1811</f>
        <v/>
      </c>
      <c r="AC3282" s="21">
        <f>-$B$1812</f>
        <v/>
      </c>
      <c r="AD3282" s="21">
        <f>2*$B$1811+$D$3247</f>
        <v/>
      </c>
      <c r="AE3282" s="21">
        <f>0</f>
        <v/>
      </c>
      <c r="AF3282" s="21">
        <f>-$B$1811</f>
        <v/>
      </c>
      <c r="AG3282" s="21">
        <f>$B$1812</f>
        <v/>
      </c>
      <c r="AH3282" s="21" t="n">
        <v>0</v>
      </c>
      <c r="AI3282" s="21" t="n">
        <v>0</v>
      </c>
      <c r="AJ3282" s="21" t="n">
        <v>0</v>
      </c>
      <c r="AK3282" s="21" t="n">
        <v>0</v>
      </c>
      <c r="AL3282" s="21" t="n">
        <v>0</v>
      </c>
      <c r="AM3282" s="21" t="n">
        <v>0</v>
      </c>
      <c r="AN3282" s="21" t="n">
        <v>0</v>
      </c>
      <c r="AO3282" s="21" t="n">
        <v>0</v>
      </c>
      <c r="AP3282" s="21" t="n">
        <v>0</v>
      </c>
      <c r="AQ3282" s="21" t="n">
        <v>0</v>
      </c>
      <c r="AR3282" s="21" t="n">
        <v>0</v>
      </c>
      <c r="AS3282" s="21" t="n">
        <v>0</v>
      </c>
      <c r="AT3282" s="19" t="n"/>
    </row>
    <row r="3283">
      <c r="D3283" s="21" t="n">
        <v>0</v>
      </c>
      <c r="E3283" s="21" t="n">
        <v>0</v>
      </c>
      <c r="F3283" s="21" t="n">
        <v>0</v>
      </c>
      <c r="G3283" s="21" t="n">
        <v>0</v>
      </c>
      <c r="H3283" s="21" t="n">
        <v>0</v>
      </c>
      <c r="I3283" s="21" t="n">
        <v>0</v>
      </c>
      <c r="J3283" s="21" t="n">
        <v>0</v>
      </c>
      <c r="K3283" s="21" t="n">
        <v>0</v>
      </c>
      <c r="L3283" s="21" t="n">
        <v>0</v>
      </c>
      <c r="M3283" s="21" t="n">
        <v>0</v>
      </c>
      <c r="N3283" s="21" t="n">
        <v>0</v>
      </c>
      <c r="O3283" s="21" t="n">
        <v>0</v>
      </c>
      <c r="P3283" s="21" t="n">
        <v>0</v>
      </c>
      <c r="Q3283" s="21" t="n">
        <v>0</v>
      </c>
      <c r="R3283" s="21" t="n">
        <v>0</v>
      </c>
      <c r="S3283" s="21" t="n">
        <v>0</v>
      </c>
      <c r="T3283" s="21" t="n">
        <v>0</v>
      </c>
      <c r="U3283" s="21" t="n">
        <v>0</v>
      </c>
      <c r="V3283" s="21" t="n">
        <v>0</v>
      </c>
      <c r="W3283" s="21" t="n">
        <v>0</v>
      </c>
      <c r="X3283" s="21" t="n">
        <v>0</v>
      </c>
      <c r="Y3283" s="21" t="n">
        <v>0</v>
      </c>
      <c r="Z3283" s="21" t="n">
        <v>0</v>
      </c>
      <c r="AA3283" s="21" t="n">
        <v>0</v>
      </c>
      <c r="AB3283" s="21">
        <f>$B$1812</f>
        <v/>
      </c>
      <c r="AC3283" s="21">
        <f>$B$1814</f>
        <v/>
      </c>
      <c r="AD3283" s="21">
        <f>0</f>
        <v/>
      </c>
      <c r="AE3283" s="21">
        <f>2*$B$1813</f>
        <v/>
      </c>
      <c r="AF3283" s="21">
        <f>-$B$1812</f>
        <v/>
      </c>
      <c r="AG3283" s="21">
        <f>$B$1814</f>
        <v/>
      </c>
      <c r="AH3283" s="21" t="n">
        <v>0</v>
      </c>
      <c r="AI3283" s="21" t="n">
        <v>0</v>
      </c>
      <c r="AJ3283" s="21" t="n">
        <v>0</v>
      </c>
      <c r="AK3283" s="21" t="n">
        <v>0</v>
      </c>
      <c r="AL3283" s="21" t="n">
        <v>0</v>
      </c>
      <c r="AM3283" s="21" t="n">
        <v>0</v>
      </c>
      <c r="AN3283" s="21" t="n">
        <v>0</v>
      </c>
      <c r="AO3283" s="21" t="n">
        <v>0</v>
      </c>
      <c r="AP3283" s="21" t="n">
        <v>0</v>
      </c>
      <c r="AQ3283" s="21" t="n">
        <v>0</v>
      </c>
      <c r="AR3283" s="21" t="n">
        <v>0</v>
      </c>
      <c r="AS3283" s="21" t="n">
        <v>0</v>
      </c>
      <c r="AT3283" s="19" t="n"/>
    </row>
    <row r="3284">
      <c r="D3284" s="21" t="n">
        <v>0</v>
      </c>
      <c r="E3284" s="21" t="n">
        <v>0</v>
      </c>
      <c r="F3284" s="21" t="n">
        <v>0</v>
      </c>
      <c r="G3284" s="21" t="n">
        <v>0</v>
      </c>
      <c r="H3284" s="21" t="n">
        <v>0</v>
      </c>
      <c r="I3284" s="21" t="n">
        <v>0</v>
      </c>
      <c r="J3284" s="21" t="n">
        <v>0</v>
      </c>
      <c r="K3284" s="21" t="n">
        <v>0</v>
      </c>
      <c r="L3284" s="21" t="n">
        <v>0</v>
      </c>
      <c r="M3284" s="21" t="n">
        <v>0</v>
      </c>
      <c r="N3284" s="21" t="n">
        <v>0</v>
      </c>
      <c r="O3284" s="21" t="n">
        <v>0</v>
      </c>
      <c r="P3284" s="21" t="n">
        <v>0</v>
      </c>
      <c r="Q3284" s="21" t="n">
        <v>0</v>
      </c>
      <c r="R3284" s="21" t="n">
        <v>0</v>
      </c>
      <c r="S3284" s="21" t="n">
        <v>0</v>
      </c>
      <c r="T3284" s="21" t="n">
        <v>0</v>
      </c>
      <c r="U3284" s="21" t="n">
        <v>0</v>
      </c>
      <c r="V3284" s="21" t="n">
        <v>0</v>
      </c>
      <c r="W3284" s="21" t="n">
        <v>0</v>
      </c>
      <c r="X3284" s="21" t="n">
        <v>0</v>
      </c>
      <c r="Y3284" s="21" t="n">
        <v>0</v>
      </c>
      <c r="Z3284" s="21" t="n">
        <v>0</v>
      </c>
      <c r="AA3284" s="21" t="n">
        <v>0</v>
      </c>
      <c r="AB3284" s="21" t="n">
        <v>0</v>
      </c>
      <c r="AC3284" s="21" t="n">
        <v>0</v>
      </c>
      <c r="AD3284" s="21">
        <f>-$B$1811</f>
        <v/>
      </c>
      <c r="AE3284" s="21">
        <f>-$B$1812</f>
        <v/>
      </c>
      <c r="AF3284" s="21">
        <f>2*$B$1811+$D$3248</f>
        <v/>
      </c>
      <c r="AG3284" s="21">
        <f>0</f>
        <v/>
      </c>
      <c r="AH3284" s="21">
        <f>-$B$1811</f>
        <v/>
      </c>
      <c r="AI3284" s="21">
        <f>$B$1812</f>
        <v/>
      </c>
      <c r="AJ3284" s="21" t="n">
        <v>0</v>
      </c>
      <c r="AK3284" s="21" t="n">
        <v>0</v>
      </c>
      <c r="AL3284" s="21" t="n">
        <v>0</v>
      </c>
      <c r="AM3284" s="21" t="n">
        <v>0</v>
      </c>
      <c r="AN3284" s="21" t="n">
        <v>0</v>
      </c>
      <c r="AO3284" s="21" t="n">
        <v>0</v>
      </c>
      <c r="AP3284" s="21" t="n">
        <v>0</v>
      </c>
      <c r="AQ3284" s="21" t="n">
        <v>0</v>
      </c>
      <c r="AR3284" s="21" t="n">
        <v>0</v>
      </c>
      <c r="AS3284" s="21" t="n">
        <v>0</v>
      </c>
      <c r="AT3284" s="19" t="n"/>
    </row>
    <row r="3285">
      <c r="D3285" s="21" t="n">
        <v>0</v>
      </c>
      <c r="E3285" s="21" t="n">
        <v>0</v>
      </c>
      <c r="F3285" s="21" t="n">
        <v>0</v>
      </c>
      <c r="G3285" s="21" t="n">
        <v>0</v>
      </c>
      <c r="H3285" s="21" t="n">
        <v>0</v>
      </c>
      <c r="I3285" s="21" t="n">
        <v>0</v>
      </c>
      <c r="J3285" s="21" t="n">
        <v>0</v>
      </c>
      <c r="K3285" s="21" t="n">
        <v>0</v>
      </c>
      <c r="L3285" s="21" t="n">
        <v>0</v>
      </c>
      <c r="M3285" s="21" t="n">
        <v>0</v>
      </c>
      <c r="N3285" s="21" t="n">
        <v>0</v>
      </c>
      <c r="O3285" s="21" t="n">
        <v>0</v>
      </c>
      <c r="P3285" s="21" t="n">
        <v>0</v>
      </c>
      <c r="Q3285" s="21" t="n">
        <v>0</v>
      </c>
      <c r="R3285" s="21" t="n">
        <v>0</v>
      </c>
      <c r="S3285" s="21" t="n">
        <v>0</v>
      </c>
      <c r="T3285" s="21" t="n">
        <v>0</v>
      </c>
      <c r="U3285" s="21" t="n">
        <v>0</v>
      </c>
      <c r="V3285" s="21" t="n">
        <v>0</v>
      </c>
      <c r="W3285" s="21" t="n">
        <v>0</v>
      </c>
      <c r="X3285" s="21" t="n">
        <v>0</v>
      </c>
      <c r="Y3285" s="21" t="n">
        <v>0</v>
      </c>
      <c r="Z3285" s="21" t="n">
        <v>0</v>
      </c>
      <c r="AA3285" s="21" t="n">
        <v>0</v>
      </c>
      <c r="AB3285" s="21" t="n">
        <v>0</v>
      </c>
      <c r="AC3285" s="21" t="n">
        <v>0</v>
      </c>
      <c r="AD3285" s="21">
        <f>$B$1812</f>
        <v/>
      </c>
      <c r="AE3285" s="21">
        <f>$B$1814</f>
        <v/>
      </c>
      <c r="AF3285" s="21">
        <f>0</f>
        <v/>
      </c>
      <c r="AG3285" s="21">
        <f>2*$B$1813</f>
        <v/>
      </c>
      <c r="AH3285" s="21">
        <f>-$B$1812</f>
        <v/>
      </c>
      <c r="AI3285" s="21">
        <f>$B$1814</f>
        <v/>
      </c>
      <c r="AJ3285" s="21" t="n">
        <v>0</v>
      </c>
      <c r="AK3285" s="21" t="n">
        <v>0</v>
      </c>
      <c r="AL3285" s="21" t="n">
        <v>0</v>
      </c>
      <c r="AM3285" s="21" t="n">
        <v>0</v>
      </c>
      <c r="AN3285" s="21" t="n">
        <v>0</v>
      </c>
      <c r="AO3285" s="21" t="n">
        <v>0</v>
      </c>
      <c r="AP3285" s="21" t="n">
        <v>0</v>
      </c>
      <c r="AQ3285" s="21" t="n">
        <v>0</v>
      </c>
      <c r="AR3285" s="21" t="n">
        <v>0</v>
      </c>
      <c r="AS3285" s="21" t="n">
        <v>0</v>
      </c>
      <c r="AT3285" s="19" t="n"/>
    </row>
    <row r="3286">
      <c r="D3286" s="21" t="n">
        <v>0</v>
      </c>
      <c r="E3286" s="21" t="n">
        <v>0</v>
      </c>
      <c r="F3286" s="21" t="n">
        <v>0</v>
      </c>
      <c r="G3286" s="21" t="n">
        <v>0</v>
      </c>
      <c r="H3286" s="21" t="n">
        <v>0</v>
      </c>
      <c r="I3286" s="21" t="n">
        <v>0</v>
      </c>
      <c r="J3286" s="21" t="n">
        <v>0</v>
      </c>
      <c r="K3286" s="21" t="n">
        <v>0</v>
      </c>
      <c r="L3286" s="21" t="n">
        <v>0</v>
      </c>
      <c r="M3286" s="21" t="n">
        <v>0</v>
      </c>
      <c r="N3286" s="21" t="n">
        <v>0</v>
      </c>
      <c r="O3286" s="21" t="n">
        <v>0</v>
      </c>
      <c r="P3286" s="21" t="n">
        <v>0</v>
      </c>
      <c r="Q3286" s="21" t="n">
        <v>0</v>
      </c>
      <c r="R3286" s="21" t="n">
        <v>0</v>
      </c>
      <c r="S3286" s="21" t="n">
        <v>0</v>
      </c>
      <c r="T3286" s="21" t="n">
        <v>0</v>
      </c>
      <c r="U3286" s="21" t="n">
        <v>0</v>
      </c>
      <c r="V3286" s="21" t="n">
        <v>0</v>
      </c>
      <c r="W3286" s="21" t="n">
        <v>0</v>
      </c>
      <c r="X3286" s="21" t="n">
        <v>0</v>
      </c>
      <c r="Y3286" s="21" t="n">
        <v>0</v>
      </c>
      <c r="Z3286" s="21" t="n">
        <v>0</v>
      </c>
      <c r="AA3286" s="21" t="n">
        <v>0</v>
      </c>
      <c r="AB3286" s="21" t="n">
        <v>0</v>
      </c>
      <c r="AC3286" s="21" t="n">
        <v>0</v>
      </c>
      <c r="AD3286" s="21" t="n">
        <v>0</v>
      </c>
      <c r="AE3286" s="21" t="n">
        <v>0</v>
      </c>
      <c r="AF3286" s="21">
        <f>-$B$1811</f>
        <v/>
      </c>
      <c r="AG3286" s="21">
        <f>-$B$1812</f>
        <v/>
      </c>
      <c r="AH3286" s="21">
        <f>2*$B$1811+$D$3249</f>
        <v/>
      </c>
      <c r="AI3286" s="21">
        <f>0</f>
        <v/>
      </c>
      <c r="AJ3286" s="21">
        <f>-$B$1811</f>
        <v/>
      </c>
      <c r="AK3286" s="21">
        <f>$B$1812</f>
        <v/>
      </c>
      <c r="AL3286" s="21" t="n">
        <v>0</v>
      </c>
      <c r="AM3286" s="21" t="n">
        <v>0</v>
      </c>
      <c r="AN3286" s="21" t="n">
        <v>0</v>
      </c>
      <c r="AO3286" s="21" t="n">
        <v>0</v>
      </c>
      <c r="AP3286" s="21" t="n">
        <v>0</v>
      </c>
      <c r="AQ3286" s="21" t="n">
        <v>0</v>
      </c>
      <c r="AR3286" s="21" t="n">
        <v>0</v>
      </c>
      <c r="AS3286" s="21" t="n">
        <v>0</v>
      </c>
      <c r="AT3286" s="19" t="n"/>
    </row>
    <row r="3287">
      <c r="D3287" s="21" t="n">
        <v>0</v>
      </c>
      <c r="E3287" s="21" t="n">
        <v>0</v>
      </c>
      <c r="F3287" s="21" t="n">
        <v>0</v>
      </c>
      <c r="G3287" s="21" t="n">
        <v>0</v>
      </c>
      <c r="H3287" s="21" t="n">
        <v>0</v>
      </c>
      <c r="I3287" s="21" t="n">
        <v>0</v>
      </c>
      <c r="J3287" s="21" t="n">
        <v>0</v>
      </c>
      <c r="K3287" s="21" t="n">
        <v>0</v>
      </c>
      <c r="L3287" s="21" t="n">
        <v>0</v>
      </c>
      <c r="M3287" s="21" t="n">
        <v>0</v>
      </c>
      <c r="N3287" s="21" t="n">
        <v>0</v>
      </c>
      <c r="O3287" s="21" t="n">
        <v>0</v>
      </c>
      <c r="P3287" s="21" t="n">
        <v>0</v>
      </c>
      <c r="Q3287" s="21" t="n">
        <v>0</v>
      </c>
      <c r="R3287" s="21" t="n">
        <v>0</v>
      </c>
      <c r="S3287" s="21" t="n">
        <v>0</v>
      </c>
      <c r="T3287" s="21" t="n">
        <v>0</v>
      </c>
      <c r="U3287" s="21" t="n">
        <v>0</v>
      </c>
      <c r="V3287" s="21" t="n">
        <v>0</v>
      </c>
      <c r="W3287" s="21" t="n">
        <v>0</v>
      </c>
      <c r="X3287" s="21" t="n">
        <v>0</v>
      </c>
      <c r="Y3287" s="21" t="n">
        <v>0</v>
      </c>
      <c r="Z3287" s="21" t="n">
        <v>0</v>
      </c>
      <c r="AA3287" s="21" t="n">
        <v>0</v>
      </c>
      <c r="AB3287" s="21" t="n">
        <v>0</v>
      </c>
      <c r="AC3287" s="21" t="n">
        <v>0</v>
      </c>
      <c r="AD3287" s="21" t="n">
        <v>0</v>
      </c>
      <c r="AE3287" s="21" t="n">
        <v>0</v>
      </c>
      <c r="AF3287" s="21">
        <f>$B$1812</f>
        <v/>
      </c>
      <c r="AG3287" s="21">
        <f>$B$1814</f>
        <v/>
      </c>
      <c r="AH3287" s="21">
        <f>0</f>
        <v/>
      </c>
      <c r="AI3287" s="21">
        <f>2*$B$1813</f>
        <v/>
      </c>
      <c r="AJ3287" s="21">
        <f>-$B$1812</f>
        <v/>
      </c>
      <c r="AK3287" s="21">
        <f>$B$1814</f>
        <v/>
      </c>
      <c r="AL3287" s="21" t="n">
        <v>0</v>
      </c>
      <c r="AM3287" s="21" t="n">
        <v>0</v>
      </c>
      <c r="AN3287" s="21" t="n">
        <v>0</v>
      </c>
      <c r="AO3287" s="21" t="n">
        <v>0</v>
      </c>
      <c r="AP3287" s="21" t="n">
        <v>0</v>
      </c>
      <c r="AQ3287" s="21" t="n">
        <v>0</v>
      </c>
      <c r="AR3287" s="21" t="n">
        <v>0</v>
      </c>
      <c r="AS3287" s="21" t="n">
        <v>0</v>
      </c>
      <c r="AT3287" s="19" t="n"/>
    </row>
    <row r="3288">
      <c r="D3288" s="21" t="n">
        <v>0</v>
      </c>
      <c r="E3288" s="21" t="n">
        <v>0</v>
      </c>
      <c r="F3288" s="21" t="n">
        <v>0</v>
      </c>
      <c r="G3288" s="21" t="n">
        <v>0</v>
      </c>
      <c r="H3288" s="21" t="n">
        <v>0</v>
      </c>
      <c r="I3288" s="21" t="n">
        <v>0</v>
      </c>
      <c r="J3288" s="21" t="n">
        <v>0</v>
      </c>
      <c r="K3288" s="21" t="n">
        <v>0</v>
      </c>
      <c r="L3288" s="21" t="n">
        <v>0</v>
      </c>
      <c r="M3288" s="21" t="n">
        <v>0</v>
      </c>
      <c r="N3288" s="21" t="n">
        <v>0</v>
      </c>
      <c r="O3288" s="21" t="n">
        <v>0</v>
      </c>
      <c r="P3288" s="21" t="n">
        <v>0</v>
      </c>
      <c r="Q3288" s="21" t="n">
        <v>0</v>
      </c>
      <c r="R3288" s="21" t="n">
        <v>0</v>
      </c>
      <c r="S3288" s="21" t="n">
        <v>0</v>
      </c>
      <c r="T3288" s="21" t="n">
        <v>0</v>
      </c>
      <c r="U3288" s="21" t="n">
        <v>0</v>
      </c>
      <c r="V3288" s="21" t="n">
        <v>0</v>
      </c>
      <c r="W3288" s="21" t="n">
        <v>0</v>
      </c>
      <c r="X3288" s="21" t="n">
        <v>0</v>
      </c>
      <c r="Y3288" s="21" t="n">
        <v>0</v>
      </c>
      <c r="Z3288" s="21" t="n">
        <v>0</v>
      </c>
      <c r="AA3288" s="21" t="n">
        <v>0</v>
      </c>
      <c r="AB3288" s="21" t="n">
        <v>0</v>
      </c>
      <c r="AC3288" s="21" t="n">
        <v>0</v>
      </c>
      <c r="AD3288" s="21" t="n">
        <v>0</v>
      </c>
      <c r="AE3288" s="21" t="n">
        <v>0</v>
      </c>
      <c r="AF3288" s="21" t="n">
        <v>0</v>
      </c>
      <c r="AG3288" s="21" t="n">
        <v>0</v>
      </c>
      <c r="AH3288" s="21">
        <f>-$B$1811</f>
        <v/>
      </c>
      <c r="AI3288" s="21">
        <f>-$B$1812</f>
        <v/>
      </c>
      <c r="AJ3288" s="21">
        <f>2*$B$1811+$D$3250</f>
        <v/>
      </c>
      <c r="AK3288" s="21">
        <f>0</f>
        <v/>
      </c>
      <c r="AL3288" s="21">
        <f>-$B$1811</f>
        <v/>
      </c>
      <c r="AM3288" s="21">
        <f>$B$1812</f>
        <v/>
      </c>
      <c r="AN3288" s="21" t="n">
        <v>0</v>
      </c>
      <c r="AO3288" s="21" t="n">
        <v>0</v>
      </c>
      <c r="AP3288" s="21" t="n">
        <v>0</v>
      </c>
      <c r="AQ3288" s="21" t="n">
        <v>0</v>
      </c>
      <c r="AR3288" s="21" t="n">
        <v>0</v>
      </c>
      <c r="AS3288" s="21" t="n">
        <v>0</v>
      </c>
      <c r="AT3288" s="19" t="n"/>
    </row>
    <row r="3289">
      <c r="D3289" s="21" t="n">
        <v>0</v>
      </c>
      <c r="E3289" s="21" t="n">
        <v>0</v>
      </c>
      <c r="F3289" s="21" t="n">
        <v>0</v>
      </c>
      <c r="G3289" s="21" t="n">
        <v>0</v>
      </c>
      <c r="H3289" s="21" t="n">
        <v>0</v>
      </c>
      <c r="I3289" s="21" t="n">
        <v>0</v>
      </c>
      <c r="J3289" s="21" t="n">
        <v>0</v>
      </c>
      <c r="K3289" s="21" t="n">
        <v>0</v>
      </c>
      <c r="L3289" s="21" t="n">
        <v>0</v>
      </c>
      <c r="M3289" s="21" t="n">
        <v>0</v>
      </c>
      <c r="N3289" s="21" t="n">
        <v>0</v>
      </c>
      <c r="O3289" s="21" t="n">
        <v>0</v>
      </c>
      <c r="P3289" s="21" t="n">
        <v>0</v>
      </c>
      <c r="Q3289" s="21" t="n">
        <v>0</v>
      </c>
      <c r="R3289" s="21" t="n">
        <v>0</v>
      </c>
      <c r="S3289" s="21" t="n">
        <v>0</v>
      </c>
      <c r="T3289" s="21" t="n">
        <v>0</v>
      </c>
      <c r="U3289" s="21" t="n">
        <v>0</v>
      </c>
      <c r="V3289" s="21" t="n">
        <v>0</v>
      </c>
      <c r="W3289" s="21" t="n">
        <v>0</v>
      </c>
      <c r="X3289" s="21" t="n">
        <v>0</v>
      </c>
      <c r="Y3289" s="21" t="n">
        <v>0</v>
      </c>
      <c r="Z3289" s="21" t="n">
        <v>0</v>
      </c>
      <c r="AA3289" s="21" t="n">
        <v>0</v>
      </c>
      <c r="AB3289" s="21" t="n">
        <v>0</v>
      </c>
      <c r="AC3289" s="21" t="n">
        <v>0</v>
      </c>
      <c r="AD3289" s="21" t="n">
        <v>0</v>
      </c>
      <c r="AE3289" s="21" t="n">
        <v>0</v>
      </c>
      <c r="AF3289" s="21" t="n">
        <v>0</v>
      </c>
      <c r="AG3289" s="21" t="n">
        <v>0</v>
      </c>
      <c r="AH3289" s="21">
        <f>$B$1812</f>
        <v/>
      </c>
      <c r="AI3289" s="21">
        <f>$B$1814</f>
        <v/>
      </c>
      <c r="AJ3289" s="21">
        <f>0</f>
        <v/>
      </c>
      <c r="AK3289" s="21">
        <f>2*$B$1813</f>
        <v/>
      </c>
      <c r="AL3289" s="21">
        <f>-$B$1812</f>
        <v/>
      </c>
      <c r="AM3289" s="21">
        <f>$B$1814</f>
        <v/>
      </c>
      <c r="AN3289" s="21" t="n">
        <v>0</v>
      </c>
      <c r="AO3289" s="21" t="n">
        <v>0</v>
      </c>
      <c r="AP3289" s="21" t="n">
        <v>0</v>
      </c>
      <c r="AQ3289" s="21" t="n">
        <v>0</v>
      </c>
      <c r="AR3289" s="21" t="n">
        <v>0</v>
      </c>
      <c r="AS3289" s="21" t="n">
        <v>0</v>
      </c>
      <c r="AT3289" s="19" t="n"/>
    </row>
    <row r="3290">
      <c r="D3290" s="21" t="n">
        <v>0</v>
      </c>
      <c r="E3290" s="21" t="n">
        <v>0</v>
      </c>
      <c r="F3290" s="21" t="n">
        <v>0</v>
      </c>
      <c r="G3290" s="21" t="n">
        <v>0</v>
      </c>
      <c r="H3290" s="21" t="n">
        <v>0</v>
      </c>
      <c r="I3290" s="21" t="n">
        <v>0</v>
      </c>
      <c r="J3290" s="21" t="n">
        <v>0</v>
      </c>
      <c r="K3290" s="21" t="n">
        <v>0</v>
      </c>
      <c r="L3290" s="21" t="n">
        <v>0</v>
      </c>
      <c r="M3290" s="21" t="n">
        <v>0</v>
      </c>
      <c r="N3290" s="21" t="n">
        <v>0</v>
      </c>
      <c r="O3290" s="21" t="n">
        <v>0</v>
      </c>
      <c r="P3290" s="21" t="n">
        <v>0</v>
      </c>
      <c r="Q3290" s="21" t="n">
        <v>0</v>
      </c>
      <c r="R3290" s="21" t="n">
        <v>0</v>
      </c>
      <c r="S3290" s="21" t="n">
        <v>0</v>
      </c>
      <c r="T3290" s="21" t="n">
        <v>0</v>
      </c>
      <c r="U3290" s="21" t="n">
        <v>0</v>
      </c>
      <c r="V3290" s="21" t="n">
        <v>0</v>
      </c>
      <c r="W3290" s="21" t="n">
        <v>0</v>
      </c>
      <c r="X3290" s="21" t="n">
        <v>0</v>
      </c>
      <c r="Y3290" s="21" t="n">
        <v>0</v>
      </c>
      <c r="Z3290" s="21" t="n">
        <v>0</v>
      </c>
      <c r="AA3290" s="21" t="n">
        <v>0</v>
      </c>
      <c r="AB3290" s="21" t="n">
        <v>0</v>
      </c>
      <c r="AC3290" s="21" t="n">
        <v>0</v>
      </c>
      <c r="AD3290" s="21" t="n">
        <v>0</v>
      </c>
      <c r="AE3290" s="21" t="n">
        <v>0</v>
      </c>
      <c r="AF3290" s="21" t="n">
        <v>0</v>
      </c>
      <c r="AG3290" s="21" t="n">
        <v>0</v>
      </c>
      <c r="AH3290" s="21" t="n">
        <v>0</v>
      </c>
      <c r="AI3290" s="21" t="n">
        <v>0</v>
      </c>
      <c r="AJ3290" s="21">
        <f>-$B$1811</f>
        <v/>
      </c>
      <c r="AK3290" s="21">
        <f>-$B$1812</f>
        <v/>
      </c>
      <c r="AL3290" s="21">
        <f>2*$B$1811+$D$3251</f>
        <v/>
      </c>
      <c r="AM3290" s="21">
        <f>0</f>
        <v/>
      </c>
      <c r="AN3290" s="21">
        <f>-$B$1811</f>
        <v/>
      </c>
      <c r="AO3290" s="21">
        <f>$B$1812</f>
        <v/>
      </c>
      <c r="AP3290" s="21" t="n">
        <v>0</v>
      </c>
      <c r="AQ3290" s="21" t="n">
        <v>0</v>
      </c>
      <c r="AR3290" s="21" t="n">
        <v>0</v>
      </c>
      <c r="AS3290" s="21" t="n">
        <v>0</v>
      </c>
      <c r="AT3290" s="19" t="n"/>
    </row>
    <row r="3291">
      <c r="D3291" s="21" t="n">
        <v>0</v>
      </c>
      <c r="E3291" s="21" t="n">
        <v>0</v>
      </c>
      <c r="F3291" s="21" t="n">
        <v>0</v>
      </c>
      <c r="G3291" s="21" t="n">
        <v>0</v>
      </c>
      <c r="H3291" s="21" t="n">
        <v>0</v>
      </c>
      <c r="I3291" s="21" t="n">
        <v>0</v>
      </c>
      <c r="J3291" s="21" t="n">
        <v>0</v>
      </c>
      <c r="K3291" s="21" t="n">
        <v>0</v>
      </c>
      <c r="L3291" s="21" t="n">
        <v>0</v>
      </c>
      <c r="M3291" s="21" t="n">
        <v>0</v>
      </c>
      <c r="N3291" s="21" t="n">
        <v>0</v>
      </c>
      <c r="O3291" s="21" t="n">
        <v>0</v>
      </c>
      <c r="P3291" s="21" t="n">
        <v>0</v>
      </c>
      <c r="Q3291" s="21" t="n">
        <v>0</v>
      </c>
      <c r="R3291" s="21" t="n">
        <v>0</v>
      </c>
      <c r="S3291" s="21" t="n">
        <v>0</v>
      </c>
      <c r="T3291" s="21" t="n">
        <v>0</v>
      </c>
      <c r="U3291" s="21" t="n">
        <v>0</v>
      </c>
      <c r="V3291" s="21" t="n">
        <v>0</v>
      </c>
      <c r="W3291" s="21" t="n">
        <v>0</v>
      </c>
      <c r="X3291" s="21" t="n">
        <v>0</v>
      </c>
      <c r="Y3291" s="21" t="n">
        <v>0</v>
      </c>
      <c r="Z3291" s="21" t="n">
        <v>0</v>
      </c>
      <c r="AA3291" s="21" t="n">
        <v>0</v>
      </c>
      <c r="AB3291" s="21" t="n">
        <v>0</v>
      </c>
      <c r="AC3291" s="21" t="n">
        <v>0</v>
      </c>
      <c r="AD3291" s="21" t="n">
        <v>0</v>
      </c>
      <c r="AE3291" s="21" t="n">
        <v>0</v>
      </c>
      <c r="AF3291" s="21" t="n">
        <v>0</v>
      </c>
      <c r="AG3291" s="21" t="n">
        <v>0</v>
      </c>
      <c r="AH3291" s="21" t="n">
        <v>0</v>
      </c>
      <c r="AI3291" s="21" t="n">
        <v>0</v>
      </c>
      <c r="AJ3291" s="21">
        <f>$B$1812</f>
        <v/>
      </c>
      <c r="AK3291" s="21">
        <f>$B$1814</f>
        <v/>
      </c>
      <c r="AL3291" s="21">
        <f>0</f>
        <v/>
      </c>
      <c r="AM3291" s="21">
        <f>2*$B$1813</f>
        <v/>
      </c>
      <c r="AN3291" s="21">
        <f>-$B$1812</f>
        <v/>
      </c>
      <c r="AO3291" s="21">
        <f>$B$1814</f>
        <v/>
      </c>
      <c r="AP3291" s="21" t="n">
        <v>0</v>
      </c>
      <c r="AQ3291" s="21" t="n">
        <v>0</v>
      </c>
      <c r="AR3291" s="21" t="n">
        <v>0</v>
      </c>
      <c r="AS3291" s="21" t="n">
        <v>0</v>
      </c>
      <c r="AT3291" s="19" t="n"/>
    </row>
    <row r="3292">
      <c r="D3292" s="21" t="n">
        <v>0</v>
      </c>
      <c r="E3292" s="21" t="n">
        <v>0</v>
      </c>
      <c r="F3292" s="21" t="n">
        <v>0</v>
      </c>
      <c r="G3292" s="21" t="n">
        <v>0</v>
      </c>
      <c r="H3292" s="21" t="n">
        <v>0</v>
      </c>
      <c r="I3292" s="21" t="n">
        <v>0</v>
      </c>
      <c r="J3292" s="21" t="n">
        <v>0</v>
      </c>
      <c r="K3292" s="21" t="n">
        <v>0</v>
      </c>
      <c r="L3292" s="21" t="n">
        <v>0</v>
      </c>
      <c r="M3292" s="21" t="n">
        <v>0</v>
      </c>
      <c r="N3292" s="21" t="n">
        <v>0</v>
      </c>
      <c r="O3292" s="21" t="n">
        <v>0</v>
      </c>
      <c r="P3292" s="21" t="n">
        <v>0</v>
      </c>
      <c r="Q3292" s="21" t="n">
        <v>0</v>
      </c>
      <c r="R3292" s="21" t="n">
        <v>0</v>
      </c>
      <c r="S3292" s="21" t="n">
        <v>0</v>
      </c>
      <c r="T3292" s="21" t="n">
        <v>0</v>
      </c>
      <c r="U3292" s="21" t="n">
        <v>0</v>
      </c>
      <c r="V3292" s="21" t="n">
        <v>0</v>
      </c>
      <c r="W3292" s="21" t="n">
        <v>0</v>
      </c>
      <c r="X3292" s="21" t="n">
        <v>0</v>
      </c>
      <c r="Y3292" s="21" t="n">
        <v>0</v>
      </c>
      <c r="Z3292" s="21" t="n">
        <v>0</v>
      </c>
      <c r="AA3292" s="21" t="n">
        <v>0</v>
      </c>
      <c r="AB3292" s="21" t="n">
        <v>0</v>
      </c>
      <c r="AC3292" s="21" t="n">
        <v>0</v>
      </c>
      <c r="AD3292" s="21" t="n">
        <v>0</v>
      </c>
      <c r="AE3292" s="21" t="n">
        <v>0</v>
      </c>
      <c r="AF3292" s="21" t="n">
        <v>0</v>
      </c>
      <c r="AG3292" s="21" t="n">
        <v>0</v>
      </c>
      <c r="AH3292" s="21" t="n">
        <v>0</v>
      </c>
      <c r="AI3292" s="21" t="n">
        <v>0</v>
      </c>
      <c r="AJ3292" s="21" t="n">
        <v>0</v>
      </c>
      <c r="AK3292" s="21" t="n">
        <v>0</v>
      </c>
      <c r="AL3292" s="21">
        <f>-$B$1811</f>
        <v/>
      </c>
      <c r="AM3292" s="21">
        <f>-$B$1812</f>
        <v/>
      </c>
      <c r="AN3292" s="21">
        <f>2*$B$1811+$D$3252</f>
        <v/>
      </c>
      <c r="AO3292" s="21">
        <f>0</f>
        <v/>
      </c>
      <c r="AP3292" s="21">
        <f>-$B$1811</f>
        <v/>
      </c>
      <c r="AQ3292" s="21">
        <f>$B$1812</f>
        <v/>
      </c>
      <c r="AR3292" s="21" t="n">
        <v>0</v>
      </c>
      <c r="AS3292" s="21" t="n">
        <v>0</v>
      </c>
      <c r="AT3292" s="19" t="n"/>
    </row>
    <row r="3293">
      <c r="D3293" s="21" t="n">
        <v>0</v>
      </c>
      <c r="E3293" s="21" t="n">
        <v>0</v>
      </c>
      <c r="F3293" s="21" t="n">
        <v>0</v>
      </c>
      <c r="G3293" s="21" t="n">
        <v>0</v>
      </c>
      <c r="H3293" s="21" t="n">
        <v>0</v>
      </c>
      <c r="I3293" s="21" t="n">
        <v>0</v>
      </c>
      <c r="J3293" s="21" t="n">
        <v>0</v>
      </c>
      <c r="K3293" s="21" t="n">
        <v>0</v>
      </c>
      <c r="L3293" s="21" t="n">
        <v>0</v>
      </c>
      <c r="M3293" s="21" t="n">
        <v>0</v>
      </c>
      <c r="N3293" s="21" t="n">
        <v>0</v>
      </c>
      <c r="O3293" s="21" t="n">
        <v>0</v>
      </c>
      <c r="P3293" s="21" t="n">
        <v>0</v>
      </c>
      <c r="Q3293" s="21" t="n">
        <v>0</v>
      </c>
      <c r="R3293" s="21" t="n">
        <v>0</v>
      </c>
      <c r="S3293" s="21" t="n">
        <v>0</v>
      </c>
      <c r="T3293" s="21" t="n">
        <v>0</v>
      </c>
      <c r="U3293" s="21" t="n">
        <v>0</v>
      </c>
      <c r="V3293" s="21" t="n">
        <v>0</v>
      </c>
      <c r="W3293" s="21" t="n">
        <v>0</v>
      </c>
      <c r="X3293" s="21" t="n">
        <v>0</v>
      </c>
      <c r="Y3293" s="21" t="n">
        <v>0</v>
      </c>
      <c r="Z3293" s="21" t="n">
        <v>0</v>
      </c>
      <c r="AA3293" s="21" t="n">
        <v>0</v>
      </c>
      <c r="AB3293" s="21" t="n">
        <v>0</v>
      </c>
      <c r="AC3293" s="21" t="n">
        <v>0</v>
      </c>
      <c r="AD3293" s="21" t="n">
        <v>0</v>
      </c>
      <c r="AE3293" s="21" t="n">
        <v>0</v>
      </c>
      <c r="AF3293" s="21" t="n">
        <v>0</v>
      </c>
      <c r="AG3293" s="21" t="n">
        <v>0</v>
      </c>
      <c r="AH3293" s="21" t="n">
        <v>0</v>
      </c>
      <c r="AI3293" s="21" t="n">
        <v>0</v>
      </c>
      <c r="AJ3293" s="21" t="n">
        <v>0</v>
      </c>
      <c r="AK3293" s="21" t="n">
        <v>0</v>
      </c>
      <c r="AL3293" s="21">
        <f>$B$1812</f>
        <v/>
      </c>
      <c r="AM3293" s="21">
        <f>$B$1814</f>
        <v/>
      </c>
      <c r="AN3293" s="21">
        <f>0</f>
        <v/>
      </c>
      <c r="AO3293" s="21">
        <f>2*$B$1813</f>
        <v/>
      </c>
      <c r="AP3293" s="21">
        <f>-$B$1812</f>
        <v/>
      </c>
      <c r="AQ3293" s="21">
        <f>$B$1814</f>
        <v/>
      </c>
      <c r="AR3293" s="21" t="n">
        <v>0</v>
      </c>
      <c r="AS3293" s="21" t="n">
        <v>0</v>
      </c>
      <c r="AT3293" s="19" t="n"/>
    </row>
    <row r="3294">
      <c r="D3294" s="21" t="n">
        <v>0</v>
      </c>
      <c r="E3294" s="21" t="n">
        <v>0</v>
      </c>
      <c r="F3294" s="21" t="n">
        <v>0</v>
      </c>
      <c r="G3294" s="21" t="n">
        <v>0</v>
      </c>
      <c r="H3294" s="21" t="n">
        <v>0</v>
      </c>
      <c r="I3294" s="21" t="n">
        <v>0</v>
      </c>
      <c r="J3294" s="21" t="n">
        <v>0</v>
      </c>
      <c r="K3294" s="21" t="n">
        <v>0</v>
      </c>
      <c r="L3294" s="21" t="n">
        <v>0</v>
      </c>
      <c r="M3294" s="21" t="n">
        <v>0</v>
      </c>
      <c r="N3294" s="21" t="n">
        <v>0</v>
      </c>
      <c r="O3294" s="21" t="n">
        <v>0</v>
      </c>
      <c r="P3294" s="21" t="n">
        <v>0</v>
      </c>
      <c r="Q3294" s="21" t="n">
        <v>0</v>
      </c>
      <c r="R3294" s="21" t="n">
        <v>0</v>
      </c>
      <c r="S3294" s="21" t="n">
        <v>0</v>
      </c>
      <c r="T3294" s="21" t="n">
        <v>0</v>
      </c>
      <c r="U3294" s="21" t="n">
        <v>0</v>
      </c>
      <c r="V3294" s="21" t="n">
        <v>0</v>
      </c>
      <c r="W3294" s="21" t="n">
        <v>0</v>
      </c>
      <c r="X3294" s="21" t="n">
        <v>0</v>
      </c>
      <c r="Y3294" s="21" t="n">
        <v>0</v>
      </c>
      <c r="Z3294" s="21" t="n">
        <v>0</v>
      </c>
      <c r="AA3294" s="21" t="n">
        <v>0</v>
      </c>
      <c r="AB3294" s="21" t="n">
        <v>0</v>
      </c>
      <c r="AC3294" s="21" t="n">
        <v>0</v>
      </c>
      <c r="AD3294" s="21" t="n">
        <v>0</v>
      </c>
      <c r="AE3294" s="21" t="n">
        <v>0</v>
      </c>
      <c r="AF3294" s="21" t="n">
        <v>0</v>
      </c>
      <c r="AG3294" s="21" t="n">
        <v>0</v>
      </c>
      <c r="AH3294" s="21" t="n">
        <v>0</v>
      </c>
      <c r="AI3294" s="21" t="n">
        <v>0</v>
      </c>
      <c r="AJ3294" s="21" t="n">
        <v>0</v>
      </c>
      <c r="AK3294" s="21" t="n">
        <v>0</v>
      </c>
      <c r="AL3294" s="21" t="n">
        <v>0</v>
      </c>
      <c r="AM3294" s="21" t="n">
        <v>0</v>
      </c>
      <c r="AN3294" s="21">
        <f>-$B$1811</f>
        <v/>
      </c>
      <c r="AO3294" s="21">
        <f>-$B$1812</f>
        <v/>
      </c>
      <c r="AP3294" s="21">
        <f>2*$B$1811+$D$3253</f>
        <v/>
      </c>
      <c r="AQ3294" s="21">
        <f>0</f>
        <v/>
      </c>
      <c r="AR3294" s="21">
        <f>-$B$1811</f>
        <v/>
      </c>
      <c r="AS3294" s="21">
        <f>$B$1812</f>
        <v/>
      </c>
      <c r="AT3294" s="19" t="n"/>
    </row>
    <row r="3295">
      <c r="D3295" s="21" t="n">
        <v>0</v>
      </c>
      <c r="E3295" s="21" t="n">
        <v>0</v>
      </c>
      <c r="F3295" s="21" t="n">
        <v>0</v>
      </c>
      <c r="G3295" s="21" t="n">
        <v>0</v>
      </c>
      <c r="H3295" s="21" t="n">
        <v>0</v>
      </c>
      <c r="I3295" s="21" t="n">
        <v>0</v>
      </c>
      <c r="J3295" s="21" t="n">
        <v>0</v>
      </c>
      <c r="K3295" s="21" t="n">
        <v>0</v>
      </c>
      <c r="L3295" s="21" t="n">
        <v>0</v>
      </c>
      <c r="M3295" s="21" t="n">
        <v>0</v>
      </c>
      <c r="N3295" s="21" t="n">
        <v>0</v>
      </c>
      <c r="O3295" s="21" t="n">
        <v>0</v>
      </c>
      <c r="P3295" s="21" t="n">
        <v>0</v>
      </c>
      <c r="Q3295" s="21" t="n">
        <v>0</v>
      </c>
      <c r="R3295" s="21" t="n">
        <v>0</v>
      </c>
      <c r="S3295" s="21" t="n">
        <v>0</v>
      </c>
      <c r="T3295" s="21" t="n">
        <v>0</v>
      </c>
      <c r="U3295" s="21" t="n">
        <v>0</v>
      </c>
      <c r="V3295" s="21" t="n">
        <v>0</v>
      </c>
      <c r="W3295" s="21" t="n">
        <v>0</v>
      </c>
      <c r="X3295" s="21" t="n">
        <v>0</v>
      </c>
      <c r="Y3295" s="21" t="n">
        <v>0</v>
      </c>
      <c r="Z3295" s="21" t="n">
        <v>0</v>
      </c>
      <c r="AA3295" s="21" t="n">
        <v>0</v>
      </c>
      <c r="AB3295" s="21" t="n">
        <v>0</v>
      </c>
      <c r="AC3295" s="21" t="n">
        <v>0</v>
      </c>
      <c r="AD3295" s="21" t="n">
        <v>0</v>
      </c>
      <c r="AE3295" s="21" t="n">
        <v>0</v>
      </c>
      <c r="AF3295" s="21" t="n">
        <v>0</v>
      </c>
      <c r="AG3295" s="21" t="n">
        <v>0</v>
      </c>
      <c r="AH3295" s="21" t="n">
        <v>0</v>
      </c>
      <c r="AI3295" s="21" t="n">
        <v>0</v>
      </c>
      <c r="AJ3295" s="21" t="n">
        <v>0</v>
      </c>
      <c r="AK3295" s="21" t="n">
        <v>0</v>
      </c>
      <c r="AL3295" s="21" t="n">
        <v>0</v>
      </c>
      <c r="AM3295" s="21" t="n">
        <v>0</v>
      </c>
      <c r="AN3295" s="21">
        <f>$B$1812</f>
        <v/>
      </c>
      <c r="AO3295" s="21">
        <f>$B$1814</f>
        <v/>
      </c>
      <c r="AP3295" s="21">
        <f>0</f>
        <v/>
      </c>
      <c r="AQ3295" s="21">
        <f>2*$B$1813</f>
        <v/>
      </c>
      <c r="AR3295" s="21">
        <f>-$B$1812</f>
        <v/>
      </c>
      <c r="AS3295" s="21">
        <f>$B$1814</f>
        <v/>
      </c>
      <c r="AT3295" s="19" t="n"/>
    </row>
    <row r="3296">
      <c r="D3296" s="21" t="n">
        <v>0</v>
      </c>
      <c r="E3296" s="21" t="n">
        <v>0</v>
      </c>
      <c r="F3296" s="21" t="n">
        <v>0</v>
      </c>
      <c r="G3296" s="21" t="n">
        <v>0</v>
      </c>
      <c r="H3296" s="21" t="n">
        <v>0</v>
      </c>
      <c r="I3296" s="21" t="n">
        <v>0</v>
      </c>
      <c r="J3296" s="21" t="n">
        <v>0</v>
      </c>
      <c r="K3296" s="21" t="n">
        <v>0</v>
      </c>
      <c r="L3296" s="21" t="n">
        <v>0</v>
      </c>
      <c r="M3296" s="21" t="n">
        <v>0</v>
      </c>
      <c r="N3296" s="21" t="n">
        <v>0</v>
      </c>
      <c r="O3296" s="21" t="n">
        <v>0</v>
      </c>
      <c r="P3296" s="21" t="n">
        <v>0</v>
      </c>
      <c r="Q3296" s="21" t="n">
        <v>0</v>
      </c>
      <c r="R3296" s="21" t="n">
        <v>0</v>
      </c>
      <c r="S3296" s="21" t="n">
        <v>0</v>
      </c>
      <c r="T3296" s="21" t="n">
        <v>0</v>
      </c>
      <c r="U3296" s="21" t="n">
        <v>0</v>
      </c>
      <c r="V3296" s="21" t="n">
        <v>0</v>
      </c>
      <c r="W3296" s="21" t="n">
        <v>0</v>
      </c>
      <c r="X3296" s="21" t="n">
        <v>0</v>
      </c>
      <c r="Y3296" s="21" t="n">
        <v>0</v>
      </c>
      <c r="Z3296" s="21" t="n">
        <v>0</v>
      </c>
      <c r="AA3296" s="21" t="n">
        <v>0</v>
      </c>
      <c r="AB3296" s="21" t="n">
        <v>0</v>
      </c>
      <c r="AC3296" s="21" t="n">
        <v>0</v>
      </c>
      <c r="AD3296" s="21" t="n">
        <v>0</v>
      </c>
      <c r="AE3296" s="21" t="n">
        <v>0</v>
      </c>
      <c r="AF3296" s="21" t="n">
        <v>0</v>
      </c>
      <c r="AG3296" s="21" t="n">
        <v>0</v>
      </c>
      <c r="AH3296" s="21" t="n">
        <v>0</v>
      </c>
      <c r="AI3296" s="21" t="n">
        <v>0</v>
      </c>
      <c r="AJ3296" s="21" t="n">
        <v>0</v>
      </c>
      <c r="AK3296" s="21" t="n">
        <v>0</v>
      </c>
      <c r="AL3296" s="21" t="n">
        <v>0</v>
      </c>
      <c r="AM3296" s="21" t="n">
        <v>0</v>
      </c>
      <c r="AN3296" s="21" t="n">
        <v>0</v>
      </c>
      <c r="AO3296" s="21" t="n">
        <v>0</v>
      </c>
      <c r="AP3296" s="21">
        <f>-$B$1811</f>
        <v/>
      </c>
      <c r="AQ3296" s="21">
        <f>-$B$1812</f>
        <v/>
      </c>
      <c r="AR3296" s="21">
        <f>$B$1811+$D$3254</f>
        <v/>
      </c>
      <c r="AS3296" s="21">
        <f>-$B$1812</f>
        <v/>
      </c>
      <c r="AT3296" s="19" t="n"/>
    </row>
    <row r="3297">
      <c r="D3297" s="21" t="n">
        <v>0</v>
      </c>
      <c r="E3297" s="21" t="n">
        <v>0</v>
      </c>
      <c r="F3297" s="21" t="n">
        <v>0</v>
      </c>
      <c r="G3297" s="21" t="n">
        <v>0</v>
      </c>
      <c r="H3297" s="21" t="n">
        <v>0</v>
      </c>
      <c r="I3297" s="21" t="n">
        <v>0</v>
      </c>
      <c r="J3297" s="21" t="n">
        <v>0</v>
      </c>
      <c r="K3297" s="21" t="n">
        <v>0</v>
      </c>
      <c r="L3297" s="21" t="n">
        <v>0</v>
      </c>
      <c r="M3297" s="21" t="n">
        <v>0</v>
      </c>
      <c r="N3297" s="21" t="n">
        <v>0</v>
      </c>
      <c r="O3297" s="21" t="n">
        <v>0</v>
      </c>
      <c r="P3297" s="21" t="n">
        <v>0</v>
      </c>
      <c r="Q3297" s="21" t="n">
        <v>0</v>
      </c>
      <c r="R3297" s="21" t="n">
        <v>0</v>
      </c>
      <c r="S3297" s="21" t="n">
        <v>0</v>
      </c>
      <c r="T3297" s="21" t="n">
        <v>0</v>
      </c>
      <c r="U3297" s="21" t="n">
        <v>0</v>
      </c>
      <c r="V3297" s="21" t="n">
        <v>0</v>
      </c>
      <c r="W3297" s="21" t="n">
        <v>0</v>
      </c>
      <c r="X3297" s="21" t="n">
        <v>0</v>
      </c>
      <c r="Y3297" s="21" t="n">
        <v>0</v>
      </c>
      <c r="Z3297" s="21" t="n">
        <v>0</v>
      </c>
      <c r="AA3297" s="21" t="n">
        <v>0</v>
      </c>
      <c r="AB3297" s="21" t="n">
        <v>0</v>
      </c>
      <c r="AC3297" s="21" t="n">
        <v>0</v>
      </c>
      <c r="AD3297" s="21" t="n">
        <v>0</v>
      </c>
      <c r="AE3297" s="21" t="n">
        <v>0</v>
      </c>
      <c r="AF3297" s="21" t="n">
        <v>0</v>
      </c>
      <c r="AG3297" s="21" t="n">
        <v>0</v>
      </c>
      <c r="AH3297" s="21" t="n">
        <v>0</v>
      </c>
      <c r="AI3297" s="21" t="n">
        <v>0</v>
      </c>
      <c r="AJ3297" s="21" t="n">
        <v>0</v>
      </c>
      <c r="AK3297" s="21" t="n">
        <v>0</v>
      </c>
      <c r="AL3297" s="21" t="n">
        <v>0</v>
      </c>
      <c r="AM3297" s="21" t="n">
        <v>0</v>
      </c>
      <c r="AN3297" s="21" t="n">
        <v>0</v>
      </c>
      <c r="AO3297" s="21" t="n">
        <v>0</v>
      </c>
      <c r="AP3297" s="21">
        <f>$B$1812</f>
        <v/>
      </c>
      <c r="AQ3297" s="21">
        <f>$B$1814</f>
        <v/>
      </c>
      <c r="AR3297" s="21">
        <f>-$B$1812</f>
        <v/>
      </c>
      <c r="AS3297" s="21">
        <f>$B$1813</f>
        <v/>
      </c>
      <c r="AT3297" s="19" t="n"/>
    </row>
    <row r="3299">
      <c r="A3299" s="8" t="inlineStr">
        <is>
          <t>gen 22</t>
        </is>
      </c>
    </row>
    <row r="3300">
      <c r="D3300" s="19">
        <f>IF(ABS(IF(ABS($E$3234)&gt;0.000000001,$E$3234,0.000000001))=0,0,IF($E$1826&lt;=$B$1820,0,IF(ABS(IF(ABS($E$3234)&gt;0.000000001,$E$3234,0.000000001))&gt;=8*$B$1822,$H$1826,0.5*$H$1826*(ABS(IF(ABS($E$3234)&gt;0.000000001,$E$3234,0.000000001))/$B$1822)^(1/3)))/ABS(IF(ABS($E$3234)&gt;0.000000001,$E$3234,0.000000001))*$I$1826)</f>
        <v/>
      </c>
      <c r="E3300" s="19">
        <f>0.5*$E$3234+0.5*$AT$3322</f>
        <v/>
      </c>
      <c r="F3300" s="19">
        <f>$AT$3323</f>
        <v/>
      </c>
    </row>
    <row r="3301">
      <c r="D3301" s="19">
        <f>IF(ABS(IF(ABS($E$3235)&gt;0.000000001,$E$3235,0.000000001))=0,0,IF($E$1827&lt;=$B$1820,0,IF(ABS(IF(ABS($E$3235)&gt;0.000000001,$E$3235,0.000000001))&gt;=8*$B$1822,$H$1827,0.5*$H$1827*(ABS(IF(ABS($E$3235)&gt;0.000000001,$E$3235,0.000000001))/$B$1822)^(1/3)))/ABS(IF(ABS($E$3235)&gt;0.000000001,$E$3235,0.000000001))*$I$1827)</f>
        <v/>
      </c>
      <c r="E3301" s="19">
        <f>0.5*$E$3235+0.5*$AT$3324</f>
        <v/>
      </c>
      <c r="F3301" s="19">
        <f>$AT$3325</f>
        <v/>
      </c>
    </row>
    <row r="3302">
      <c r="D3302" s="19">
        <f>IF(ABS(IF(ABS($E$3236)&gt;0.000000001,$E$3236,0.000000001))=0,0,IF($E$1828&lt;=$B$1820,0,IF(ABS(IF(ABS($E$3236)&gt;0.000000001,$E$3236,0.000000001))&gt;=8*$B$1822,$H$1828,0.5*$H$1828*(ABS(IF(ABS($E$3236)&gt;0.000000001,$E$3236,0.000000001))/$B$1822)^(1/3)))/ABS(IF(ABS($E$3236)&gt;0.000000001,$E$3236,0.000000001))*$I$1828)</f>
        <v/>
      </c>
      <c r="E3302" s="19">
        <f>0.5*$E$3236+0.5*$AT$3326</f>
        <v/>
      </c>
      <c r="F3302" s="19">
        <f>$AT$3327</f>
        <v/>
      </c>
    </row>
    <row r="3303">
      <c r="D3303" s="19">
        <f>IF(ABS(IF(ABS($E$3237)&gt;0.000000001,$E$3237,0.000000001))=0,0,IF($E$1829&lt;=$B$1820,0,IF(ABS(IF(ABS($E$3237)&gt;0.000000001,$E$3237,0.000000001))&gt;=8*$B$1822,$H$1829,0.5*$H$1829*(ABS(IF(ABS($E$3237)&gt;0.000000001,$E$3237,0.000000001))/$B$1822)^(1/3)))/ABS(IF(ABS($E$3237)&gt;0.000000001,$E$3237,0.000000001))*$I$1829)</f>
        <v/>
      </c>
      <c r="E3303" s="19">
        <f>0.5*$E$3237+0.5*$AT$3328</f>
        <v/>
      </c>
      <c r="F3303" s="19">
        <f>$AT$3329</f>
        <v/>
      </c>
    </row>
    <row r="3304">
      <c r="D3304" s="19">
        <f>IF(ABS(IF(ABS($E$3238)&gt;0.000000001,$E$3238,0.000000001))=0,0,IF($E$1830&lt;=$B$1820,0,IF(ABS(IF(ABS($E$3238)&gt;0.000000001,$E$3238,0.000000001))&gt;=8*$B$1822,$H$1830,0.5*$H$1830*(ABS(IF(ABS($E$3238)&gt;0.000000001,$E$3238,0.000000001))/$B$1822)^(1/3)))/ABS(IF(ABS($E$3238)&gt;0.000000001,$E$3238,0.000000001))*$I$1830)</f>
        <v/>
      </c>
      <c r="E3304" s="19">
        <f>0.5*$E$3238+0.5*$AT$3330</f>
        <v/>
      </c>
      <c r="F3304" s="19">
        <f>$AT$3331</f>
        <v/>
      </c>
    </row>
    <row r="3305">
      <c r="D3305" s="19">
        <f>IF(ABS(IF(ABS($E$3239)&gt;0.000000001,$E$3239,0.000000001))=0,0,IF($E$1831&lt;=$B$1820,0,IF(ABS(IF(ABS($E$3239)&gt;0.000000001,$E$3239,0.000000001))&gt;=8*$B$1822,$H$1831,0.5*$H$1831*(ABS(IF(ABS($E$3239)&gt;0.000000001,$E$3239,0.000000001))/$B$1822)^(1/3)))/ABS(IF(ABS($E$3239)&gt;0.000000001,$E$3239,0.000000001))*$I$1831)</f>
        <v/>
      </c>
      <c r="E3305" s="19">
        <f>0.5*$E$3239+0.5*$AT$3332</f>
        <v/>
      </c>
      <c r="F3305" s="19">
        <f>$AT$3333</f>
        <v/>
      </c>
    </row>
    <row r="3306">
      <c r="D3306" s="19">
        <f>IF(ABS(IF(ABS($E$3240)&gt;0.000000001,$E$3240,0.000000001))=0,0,IF($E$1832&lt;=$B$1820,0,IF(ABS(IF(ABS($E$3240)&gt;0.000000001,$E$3240,0.000000001))&gt;=8*$B$1822,$H$1832,0.5*$H$1832*(ABS(IF(ABS($E$3240)&gt;0.000000001,$E$3240,0.000000001))/$B$1822)^(1/3)))/ABS(IF(ABS($E$3240)&gt;0.000000001,$E$3240,0.000000001))*$I$1832)</f>
        <v/>
      </c>
      <c r="E3306" s="19">
        <f>0.5*$E$3240+0.5*$AT$3334</f>
        <v/>
      </c>
      <c r="F3306" s="19">
        <f>$AT$3335</f>
        <v/>
      </c>
    </row>
    <row r="3307">
      <c r="D3307" s="19">
        <f>IF(ABS(IF(ABS($E$3241)&gt;0.000000001,$E$3241,0.000000001))=0,0,IF($E$1833&lt;=$B$1820,0,IF(ABS(IF(ABS($E$3241)&gt;0.000000001,$E$3241,0.000000001))&gt;=8*$B$1822,$H$1833,0.5*$H$1833*(ABS(IF(ABS($E$3241)&gt;0.000000001,$E$3241,0.000000001))/$B$1822)^(1/3)))/ABS(IF(ABS($E$3241)&gt;0.000000001,$E$3241,0.000000001))*$I$1833)</f>
        <v/>
      </c>
      <c r="E3307" s="19">
        <f>0.5*$E$3241+0.5*$AT$3336</f>
        <v/>
      </c>
      <c r="F3307" s="19">
        <f>$AT$3337</f>
        <v/>
      </c>
    </row>
    <row r="3308">
      <c r="D3308" s="19">
        <f>IF(ABS(IF(ABS($E$3242)&gt;0.000000001,$E$3242,0.000000001))=0,0,IF($E$1834&lt;=$B$1820,0,IF(ABS(IF(ABS($E$3242)&gt;0.000000001,$E$3242,0.000000001))&gt;=8*$B$1822,$H$1834,0.5*$H$1834*(ABS(IF(ABS($E$3242)&gt;0.000000001,$E$3242,0.000000001))/$B$1822)^(1/3)))/ABS(IF(ABS($E$3242)&gt;0.000000001,$E$3242,0.000000001))*$I$1834)</f>
        <v/>
      </c>
      <c r="E3308" s="19">
        <f>0.5*$E$3242+0.5*$AT$3338</f>
        <v/>
      </c>
      <c r="F3308" s="19">
        <f>$AT$3339</f>
        <v/>
      </c>
    </row>
    <row r="3309">
      <c r="D3309" s="19">
        <f>IF(ABS(IF(ABS($E$3243)&gt;0.000000001,$E$3243,0.000000001))=0,0,IF($E$1835&lt;=$B$1820,0,IF(ABS(IF(ABS($E$3243)&gt;0.000000001,$E$3243,0.000000001))&gt;=8*$B$1822,$H$1835,0.5*$H$1835*(ABS(IF(ABS($E$3243)&gt;0.000000001,$E$3243,0.000000001))/$B$1822)^(1/3)))/ABS(IF(ABS($E$3243)&gt;0.000000001,$E$3243,0.000000001))*$I$1835)</f>
        <v/>
      </c>
      <c r="E3309" s="19">
        <f>0.5*$E$3243+0.5*$AT$3340</f>
        <v/>
      </c>
      <c r="F3309" s="19">
        <f>$AT$3341</f>
        <v/>
      </c>
    </row>
    <row r="3310">
      <c r="D3310" s="19">
        <f>IF(ABS(IF(ABS($E$3244)&gt;0.000000001,$E$3244,0.000000001))=0,0,IF($E$1836&lt;=$B$1820,0,IF(ABS(IF(ABS($E$3244)&gt;0.000000001,$E$3244,0.000000001))&gt;=8*$B$1822,$H$1836,0.5*$H$1836*(ABS(IF(ABS($E$3244)&gt;0.000000001,$E$3244,0.000000001))/$B$1822)^(1/3)))/ABS(IF(ABS($E$3244)&gt;0.000000001,$E$3244,0.000000001))*$I$1836)</f>
        <v/>
      </c>
      <c r="E3310" s="19">
        <f>0.5*$E$3244+0.5*$AT$3342</f>
        <v/>
      </c>
      <c r="F3310" s="19">
        <f>$AT$3343</f>
        <v/>
      </c>
    </row>
    <row r="3311">
      <c r="D3311" s="19">
        <f>IF(ABS(IF(ABS($E$3245)&gt;0.000000001,$E$3245,0.000000001))=0,0,IF($E$1837&lt;=$B$1820,0,IF(ABS(IF(ABS($E$3245)&gt;0.000000001,$E$3245,0.000000001))&gt;=8*$B$1822,$H$1837,0.5*$H$1837*(ABS(IF(ABS($E$3245)&gt;0.000000001,$E$3245,0.000000001))/$B$1822)^(1/3)))/ABS(IF(ABS($E$3245)&gt;0.000000001,$E$3245,0.000000001))*$I$1837)</f>
        <v/>
      </c>
      <c r="E3311" s="19">
        <f>0.5*$E$3245+0.5*$AT$3344</f>
        <v/>
      </c>
      <c r="F3311" s="19">
        <f>$AT$3345</f>
        <v/>
      </c>
    </row>
    <row r="3312">
      <c r="D3312" s="19">
        <f>IF(ABS(IF(ABS($E$3246)&gt;0.000000001,$E$3246,0.000000001))=0,0,IF($E$1838&lt;=$B$1820,0,IF(ABS(IF(ABS($E$3246)&gt;0.000000001,$E$3246,0.000000001))&gt;=8*$B$1822,$H$1838,0.5*$H$1838*(ABS(IF(ABS($E$3246)&gt;0.000000001,$E$3246,0.000000001))/$B$1822)^(1/3)))/ABS(IF(ABS($E$3246)&gt;0.000000001,$E$3246,0.000000001))*$I$1838)</f>
        <v/>
      </c>
      <c r="E3312" s="19">
        <f>0.5*$E$3246+0.5*$AT$3346</f>
        <v/>
      </c>
      <c r="F3312" s="19">
        <f>$AT$3347</f>
        <v/>
      </c>
    </row>
    <row r="3313">
      <c r="D3313" s="19">
        <f>IF(ABS(IF(ABS($E$3247)&gt;0.000000001,$E$3247,0.000000001))=0,0,IF($E$1839&lt;=$B$1820,0,IF(ABS(IF(ABS($E$3247)&gt;0.000000001,$E$3247,0.000000001))&gt;=8*$B$1822,$H$1839,0.5*$H$1839*(ABS(IF(ABS($E$3247)&gt;0.000000001,$E$3247,0.000000001))/$B$1822)^(1/3)))/ABS(IF(ABS($E$3247)&gt;0.000000001,$E$3247,0.000000001))*$I$1839)</f>
        <v/>
      </c>
      <c r="E3313" s="19">
        <f>0.5*$E$3247+0.5*$AT$3348</f>
        <v/>
      </c>
      <c r="F3313" s="19">
        <f>$AT$3349</f>
        <v/>
      </c>
    </row>
    <row r="3314">
      <c r="D3314" s="19">
        <f>IF(ABS(IF(ABS($E$3248)&gt;0.000000001,$E$3248,0.000000001))=0,0,IF($E$1840&lt;=$B$1820,0,IF(ABS(IF(ABS($E$3248)&gt;0.000000001,$E$3248,0.000000001))&gt;=8*$B$1822,$H$1840,0.5*$H$1840*(ABS(IF(ABS($E$3248)&gt;0.000000001,$E$3248,0.000000001))/$B$1822)^(1/3)))/ABS(IF(ABS($E$3248)&gt;0.000000001,$E$3248,0.000000001))*$I$1840)</f>
        <v/>
      </c>
      <c r="E3314" s="19">
        <f>0.5*$E$3248+0.5*$AT$3350</f>
        <v/>
      </c>
      <c r="F3314" s="19">
        <f>$AT$3351</f>
        <v/>
      </c>
    </row>
    <row r="3315">
      <c r="D3315" s="19">
        <f>IF(ABS(IF(ABS($E$3249)&gt;0.000000001,$E$3249,0.000000001))=0,0,IF($E$1841&lt;=$B$1820,0,IF(ABS(IF(ABS($E$3249)&gt;0.000000001,$E$3249,0.000000001))&gt;=8*$B$1822,$H$1841,0.5*$H$1841*(ABS(IF(ABS($E$3249)&gt;0.000000001,$E$3249,0.000000001))/$B$1822)^(1/3)))/ABS(IF(ABS($E$3249)&gt;0.000000001,$E$3249,0.000000001))*$I$1841)</f>
        <v/>
      </c>
      <c r="E3315" s="19">
        <f>0.5*$E$3249+0.5*$AT$3352</f>
        <v/>
      </c>
      <c r="F3315" s="19">
        <f>$AT$3353</f>
        <v/>
      </c>
    </row>
    <row r="3316">
      <c r="D3316" s="19">
        <f>IF(ABS(IF(ABS($E$3250)&gt;0.000000001,$E$3250,0.000000001))=0,0,IF($E$1842&lt;=$B$1820,0,IF(ABS(IF(ABS($E$3250)&gt;0.000000001,$E$3250,0.000000001))&gt;=8*$B$1822,$H$1842,0.5*$H$1842*(ABS(IF(ABS($E$3250)&gt;0.000000001,$E$3250,0.000000001))/$B$1822)^(1/3)))/ABS(IF(ABS($E$3250)&gt;0.000000001,$E$3250,0.000000001))*$I$1842)</f>
        <v/>
      </c>
      <c r="E3316" s="19">
        <f>0.5*$E$3250+0.5*$AT$3354</f>
        <v/>
      </c>
      <c r="F3316" s="19">
        <f>$AT$3355</f>
        <v/>
      </c>
    </row>
    <row r="3317">
      <c r="D3317" s="19">
        <f>IF(ABS(IF(ABS($E$3251)&gt;0.000000001,$E$3251,0.000000001))=0,0,IF($E$1843&lt;=$B$1820,0,IF(ABS(IF(ABS($E$3251)&gt;0.000000001,$E$3251,0.000000001))&gt;=8*$B$1822,$H$1843,0.5*$H$1843*(ABS(IF(ABS($E$3251)&gt;0.000000001,$E$3251,0.000000001))/$B$1822)^(1/3)))/ABS(IF(ABS($E$3251)&gt;0.000000001,$E$3251,0.000000001))*$I$1843)</f>
        <v/>
      </c>
      <c r="E3317" s="19">
        <f>0.5*$E$3251+0.5*$AT$3356</f>
        <v/>
      </c>
      <c r="F3317" s="19">
        <f>$AT$3357</f>
        <v/>
      </c>
    </row>
    <row r="3318">
      <c r="D3318" s="19">
        <f>IF(ABS(IF(ABS($E$3252)&gt;0.000000001,$E$3252,0.000000001))=0,0,IF($E$1844&lt;=$B$1820,0,IF(ABS(IF(ABS($E$3252)&gt;0.000000001,$E$3252,0.000000001))&gt;=8*$B$1822,$H$1844,0.5*$H$1844*(ABS(IF(ABS($E$3252)&gt;0.000000001,$E$3252,0.000000001))/$B$1822)^(1/3)))/ABS(IF(ABS($E$3252)&gt;0.000000001,$E$3252,0.000000001))*$I$1844)</f>
        <v/>
      </c>
      <c r="E3318" s="19">
        <f>0.5*$E$3252+0.5*$AT$3358</f>
        <v/>
      </c>
      <c r="F3318" s="19">
        <f>$AT$3359</f>
        <v/>
      </c>
    </row>
    <row r="3319">
      <c r="D3319" s="19">
        <f>IF(ABS(IF(ABS($E$3253)&gt;0.000000001,$E$3253,0.000000001))=0,0,IF($E$1845&lt;=$B$1820,0,IF(ABS(IF(ABS($E$3253)&gt;0.000000001,$E$3253,0.000000001))&gt;=8*$B$1822,$H$1845,0.5*$H$1845*(ABS(IF(ABS($E$3253)&gt;0.000000001,$E$3253,0.000000001))/$B$1822)^(1/3)))/ABS(IF(ABS($E$3253)&gt;0.000000001,$E$3253,0.000000001))*$I$1845)</f>
        <v/>
      </c>
      <c r="E3319" s="19">
        <f>0.5*$E$3253+0.5*$AT$3360</f>
        <v/>
      </c>
      <c r="F3319" s="19">
        <f>$AT$3361</f>
        <v/>
      </c>
    </row>
    <row r="3320">
      <c r="D3320" s="19">
        <f>IF(ABS(IF(ABS($E$3254)&gt;0.000000001,$E$3254,0.000000001))=0,0,IF($E$1846&lt;=$B$1820,0,IF(ABS(IF(ABS($E$3254)&gt;0.000000001,$E$3254,0.000000001))&gt;=8*$B$1822,$H$1846,0.5*$H$1846*(ABS(IF(ABS($E$3254)&gt;0.000000001,$E$3254,0.000000001))/$B$1822)^(1/3)))/ABS(IF(ABS($E$3254)&gt;0.000000001,$E$3254,0.000000001))*$I$1846)</f>
        <v/>
      </c>
      <c r="E3320" s="19">
        <f>0.5*$E$3254+0.5*$AT$3362</f>
        <v/>
      </c>
      <c r="F3320" s="19">
        <f>$AT$3363</f>
        <v/>
      </c>
    </row>
    <row r="3322">
      <c r="D3322" s="21">
        <f>$B$1811+$D$3300</f>
        <v/>
      </c>
      <c r="E3322" s="21">
        <f>$B$1812</f>
        <v/>
      </c>
      <c r="F3322" s="21">
        <f>-$B$1811</f>
        <v/>
      </c>
      <c r="G3322" s="21">
        <f>$B$1812</f>
        <v/>
      </c>
      <c r="H3322" s="21" t="n">
        <v>0</v>
      </c>
      <c r="I3322" s="21" t="n">
        <v>0</v>
      </c>
      <c r="J3322" s="21" t="n">
        <v>0</v>
      </c>
      <c r="K3322" s="21" t="n">
        <v>0</v>
      </c>
      <c r="L3322" s="21" t="n">
        <v>0</v>
      </c>
      <c r="M3322" s="21" t="n">
        <v>0</v>
      </c>
      <c r="N3322" s="21" t="n">
        <v>0</v>
      </c>
      <c r="O3322" s="21" t="n">
        <v>0</v>
      </c>
      <c r="P3322" s="21" t="n">
        <v>0</v>
      </c>
      <c r="Q3322" s="21" t="n">
        <v>0</v>
      </c>
      <c r="R3322" s="21" t="n">
        <v>0</v>
      </c>
      <c r="S3322" s="21" t="n">
        <v>0</v>
      </c>
      <c r="T3322" s="21" t="n">
        <v>0</v>
      </c>
      <c r="U3322" s="21" t="n">
        <v>0</v>
      </c>
      <c r="V3322" s="21" t="n">
        <v>0</v>
      </c>
      <c r="W3322" s="21" t="n">
        <v>0</v>
      </c>
      <c r="X3322" s="21" t="n">
        <v>0</v>
      </c>
      <c r="Y3322" s="21" t="n">
        <v>0</v>
      </c>
      <c r="Z3322" s="21" t="n">
        <v>0</v>
      </c>
      <c r="AA3322" s="21" t="n">
        <v>0</v>
      </c>
      <c r="AB3322" s="21" t="n">
        <v>0</v>
      </c>
      <c r="AC3322" s="21" t="n">
        <v>0</v>
      </c>
      <c r="AD3322" s="21" t="n">
        <v>0</v>
      </c>
      <c r="AE3322" s="21" t="n">
        <v>0</v>
      </c>
      <c r="AF3322" s="21" t="n">
        <v>0</v>
      </c>
      <c r="AG3322" s="21" t="n">
        <v>0</v>
      </c>
      <c r="AH3322" s="21" t="n">
        <v>0</v>
      </c>
      <c r="AI3322" s="21" t="n">
        <v>0</v>
      </c>
      <c r="AJ3322" s="21" t="n">
        <v>0</v>
      </c>
      <c r="AK3322" s="21" t="n">
        <v>0</v>
      </c>
      <c r="AL3322" s="21" t="n">
        <v>0</v>
      </c>
      <c r="AM3322" s="21" t="n">
        <v>0</v>
      </c>
      <c r="AN3322" s="21" t="n">
        <v>0</v>
      </c>
      <c r="AO3322" s="21" t="n">
        <v>0</v>
      </c>
      <c r="AP3322" s="21" t="n">
        <v>0</v>
      </c>
      <c r="AQ3322" s="21" t="n">
        <v>0</v>
      </c>
      <c r="AR3322" s="21" t="n">
        <v>0</v>
      </c>
      <c r="AS3322" s="21" t="n">
        <v>0</v>
      </c>
      <c r="AT3322" s="19">
        <f t="array" ref="AT3322:AT3363">MMULT(MINVERSE($D$3322:$AS$3363),$D$1848:$D$1889)</f>
        <v/>
      </c>
    </row>
    <row r="3323">
      <c r="D3323" s="21">
        <f>$B$1812</f>
        <v/>
      </c>
      <c r="E3323" s="21">
        <f>$B$1813</f>
        <v/>
      </c>
      <c r="F3323" s="21">
        <f>-$B$1812</f>
        <v/>
      </c>
      <c r="G3323" s="21">
        <f>$B$1814</f>
        <v/>
      </c>
      <c r="H3323" s="21" t="n">
        <v>0</v>
      </c>
      <c r="I3323" s="21" t="n">
        <v>0</v>
      </c>
      <c r="J3323" s="21" t="n">
        <v>0</v>
      </c>
      <c r="K3323" s="21" t="n">
        <v>0</v>
      </c>
      <c r="L3323" s="21" t="n">
        <v>0</v>
      </c>
      <c r="M3323" s="21" t="n">
        <v>0</v>
      </c>
      <c r="N3323" s="21" t="n">
        <v>0</v>
      </c>
      <c r="O3323" s="21" t="n">
        <v>0</v>
      </c>
      <c r="P3323" s="21" t="n">
        <v>0</v>
      </c>
      <c r="Q3323" s="21" t="n">
        <v>0</v>
      </c>
      <c r="R3323" s="21" t="n">
        <v>0</v>
      </c>
      <c r="S3323" s="21" t="n">
        <v>0</v>
      </c>
      <c r="T3323" s="21" t="n">
        <v>0</v>
      </c>
      <c r="U3323" s="21" t="n">
        <v>0</v>
      </c>
      <c r="V3323" s="21" t="n">
        <v>0</v>
      </c>
      <c r="W3323" s="21" t="n">
        <v>0</v>
      </c>
      <c r="X3323" s="21" t="n">
        <v>0</v>
      </c>
      <c r="Y3323" s="21" t="n">
        <v>0</v>
      </c>
      <c r="Z3323" s="21" t="n">
        <v>0</v>
      </c>
      <c r="AA3323" s="21" t="n">
        <v>0</v>
      </c>
      <c r="AB3323" s="21" t="n">
        <v>0</v>
      </c>
      <c r="AC3323" s="21" t="n">
        <v>0</v>
      </c>
      <c r="AD3323" s="21" t="n">
        <v>0</v>
      </c>
      <c r="AE3323" s="21" t="n">
        <v>0</v>
      </c>
      <c r="AF3323" s="21" t="n">
        <v>0</v>
      </c>
      <c r="AG3323" s="21" t="n">
        <v>0</v>
      </c>
      <c r="AH3323" s="21" t="n">
        <v>0</v>
      </c>
      <c r="AI3323" s="21" t="n">
        <v>0</v>
      </c>
      <c r="AJ3323" s="21" t="n">
        <v>0</v>
      </c>
      <c r="AK3323" s="21" t="n">
        <v>0</v>
      </c>
      <c r="AL3323" s="21" t="n">
        <v>0</v>
      </c>
      <c r="AM3323" s="21" t="n">
        <v>0</v>
      </c>
      <c r="AN3323" s="21" t="n">
        <v>0</v>
      </c>
      <c r="AO3323" s="21" t="n">
        <v>0</v>
      </c>
      <c r="AP3323" s="21" t="n">
        <v>0</v>
      </c>
      <c r="AQ3323" s="21" t="n">
        <v>0</v>
      </c>
      <c r="AR3323" s="21" t="n">
        <v>0</v>
      </c>
      <c r="AS3323" s="21" t="n">
        <v>0</v>
      </c>
      <c r="AT3323" s="19" t="n"/>
    </row>
    <row r="3324">
      <c r="D3324" s="21">
        <f>-$B$1811</f>
        <v/>
      </c>
      <c r="E3324" s="21">
        <f>-$B$1812</f>
        <v/>
      </c>
      <c r="F3324" s="21">
        <f>2*$B$1811+$D$3301</f>
        <v/>
      </c>
      <c r="G3324" s="21">
        <f>0</f>
        <v/>
      </c>
      <c r="H3324" s="21">
        <f>-$B$1811</f>
        <v/>
      </c>
      <c r="I3324" s="21">
        <f>$B$1812</f>
        <v/>
      </c>
      <c r="J3324" s="21" t="n">
        <v>0</v>
      </c>
      <c r="K3324" s="21" t="n">
        <v>0</v>
      </c>
      <c r="L3324" s="21" t="n">
        <v>0</v>
      </c>
      <c r="M3324" s="21" t="n">
        <v>0</v>
      </c>
      <c r="N3324" s="21" t="n">
        <v>0</v>
      </c>
      <c r="O3324" s="21" t="n">
        <v>0</v>
      </c>
      <c r="P3324" s="21" t="n">
        <v>0</v>
      </c>
      <c r="Q3324" s="21" t="n">
        <v>0</v>
      </c>
      <c r="R3324" s="21" t="n">
        <v>0</v>
      </c>
      <c r="S3324" s="21" t="n">
        <v>0</v>
      </c>
      <c r="T3324" s="21" t="n">
        <v>0</v>
      </c>
      <c r="U3324" s="21" t="n">
        <v>0</v>
      </c>
      <c r="V3324" s="21" t="n">
        <v>0</v>
      </c>
      <c r="W3324" s="21" t="n">
        <v>0</v>
      </c>
      <c r="X3324" s="21" t="n">
        <v>0</v>
      </c>
      <c r="Y3324" s="21" t="n">
        <v>0</v>
      </c>
      <c r="Z3324" s="21" t="n">
        <v>0</v>
      </c>
      <c r="AA3324" s="21" t="n">
        <v>0</v>
      </c>
      <c r="AB3324" s="21" t="n">
        <v>0</v>
      </c>
      <c r="AC3324" s="21" t="n">
        <v>0</v>
      </c>
      <c r="AD3324" s="21" t="n">
        <v>0</v>
      </c>
      <c r="AE3324" s="21" t="n">
        <v>0</v>
      </c>
      <c r="AF3324" s="21" t="n">
        <v>0</v>
      </c>
      <c r="AG3324" s="21" t="n">
        <v>0</v>
      </c>
      <c r="AH3324" s="21" t="n">
        <v>0</v>
      </c>
      <c r="AI3324" s="21" t="n">
        <v>0</v>
      </c>
      <c r="AJ3324" s="21" t="n">
        <v>0</v>
      </c>
      <c r="AK3324" s="21" t="n">
        <v>0</v>
      </c>
      <c r="AL3324" s="21" t="n">
        <v>0</v>
      </c>
      <c r="AM3324" s="21" t="n">
        <v>0</v>
      </c>
      <c r="AN3324" s="21" t="n">
        <v>0</v>
      </c>
      <c r="AO3324" s="21" t="n">
        <v>0</v>
      </c>
      <c r="AP3324" s="21" t="n">
        <v>0</v>
      </c>
      <c r="AQ3324" s="21" t="n">
        <v>0</v>
      </c>
      <c r="AR3324" s="21" t="n">
        <v>0</v>
      </c>
      <c r="AS3324" s="21" t="n">
        <v>0</v>
      </c>
      <c r="AT3324" s="19" t="n"/>
    </row>
    <row r="3325">
      <c r="D3325" s="21">
        <f>$B$1812</f>
        <v/>
      </c>
      <c r="E3325" s="21">
        <f>$B$1814</f>
        <v/>
      </c>
      <c r="F3325" s="21">
        <f>0</f>
        <v/>
      </c>
      <c r="G3325" s="21">
        <f>2*$B$1813</f>
        <v/>
      </c>
      <c r="H3325" s="21">
        <f>-$B$1812</f>
        <v/>
      </c>
      <c r="I3325" s="21">
        <f>$B$1814</f>
        <v/>
      </c>
      <c r="J3325" s="21" t="n">
        <v>0</v>
      </c>
      <c r="K3325" s="21" t="n">
        <v>0</v>
      </c>
      <c r="L3325" s="21" t="n">
        <v>0</v>
      </c>
      <c r="M3325" s="21" t="n">
        <v>0</v>
      </c>
      <c r="N3325" s="21" t="n">
        <v>0</v>
      </c>
      <c r="O3325" s="21" t="n">
        <v>0</v>
      </c>
      <c r="P3325" s="21" t="n">
        <v>0</v>
      </c>
      <c r="Q3325" s="21" t="n">
        <v>0</v>
      </c>
      <c r="R3325" s="21" t="n">
        <v>0</v>
      </c>
      <c r="S3325" s="21" t="n">
        <v>0</v>
      </c>
      <c r="T3325" s="21" t="n">
        <v>0</v>
      </c>
      <c r="U3325" s="21" t="n">
        <v>0</v>
      </c>
      <c r="V3325" s="21" t="n">
        <v>0</v>
      </c>
      <c r="W3325" s="21" t="n">
        <v>0</v>
      </c>
      <c r="X3325" s="21" t="n">
        <v>0</v>
      </c>
      <c r="Y3325" s="21" t="n">
        <v>0</v>
      </c>
      <c r="Z3325" s="21" t="n">
        <v>0</v>
      </c>
      <c r="AA3325" s="21" t="n">
        <v>0</v>
      </c>
      <c r="AB3325" s="21" t="n">
        <v>0</v>
      </c>
      <c r="AC3325" s="21" t="n">
        <v>0</v>
      </c>
      <c r="AD3325" s="21" t="n">
        <v>0</v>
      </c>
      <c r="AE3325" s="21" t="n">
        <v>0</v>
      </c>
      <c r="AF3325" s="21" t="n">
        <v>0</v>
      </c>
      <c r="AG3325" s="21" t="n">
        <v>0</v>
      </c>
      <c r="AH3325" s="21" t="n">
        <v>0</v>
      </c>
      <c r="AI3325" s="21" t="n">
        <v>0</v>
      </c>
      <c r="AJ3325" s="21" t="n">
        <v>0</v>
      </c>
      <c r="AK3325" s="21" t="n">
        <v>0</v>
      </c>
      <c r="AL3325" s="21" t="n">
        <v>0</v>
      </c>
      <c r="AM3325" s="21" t="n">
        <v>0</v>
      </c>
      <c r="AN3325" s="21" t="n">
        <v>0</v>
      </c>
      <c r="AO3325" s="21" t="n">
        <v>0</v>
      </c>
      <c r="AP3325" s="21" t="n">
        <v>0</v>
      </c>
      <c r="AQ3325" s="21" t="n">
        <v>0</v>
      </c>
      <c r="AR3325" s="21" t="n">
        <v>0</v>
      </c>
      <c r="AS3325" s="21" t="n">
        <v>0</v>
      </c>
      <c r="AT3325" s="19" t="n"/>
    </row>
    <row r="3326">
      <c r="D3326" s="21" t="n">
        <v>0</v>
      </c>
      <c r="E3326" s="21" t="n">
        <v>0</v>
      </c>
      <c r="F3326" s="21">
        <f>-$B$1811</f>
        <v/>
      </c>
      <c r="G3326" s="21">
        <f>-$B$1812</f>
        <v/>
      </c>
      <c r="H3326" s="21">
        <f>2*$B$1811+$D$3302</f>
        <v/>
      </c>
      <c r="I3326" s="21">
        <f>0</f>
        <v/>
      </c>
      <c r="J3326" s="21">
        <f>-$B$1811</f>
        <v/>
      </c>
      <c r="K3326" s="21">
        <f>$B$1812</f>
        <v/>
      </c>
      <c r="L3326" s="21" t="n">
        <v>0</v>
      </c>
      <c r="M3326" s="21" t="n">
        <v>0</v>
      </c>
      <c r="N3326" s="21" t="n">
        <v>0</v>
      </c>
      <c r="O3326" s="21" t="n">
        <v>0</v>
      </c>
      <c r="P3326" s="21" t="n">
        <v>0</v>
      </c>
      <c r="Q3326" s="21" t="n">
        <v>0</v>
      </c>
      <c r="R3326" s="21" t="n">
        <v>0</v>
      </c>
      <c r="S3326" s="21" t="n">
        <v>0</v>
      </c>
      <c r="T3326" s="21" t="n">
        <v>0</v>
      </c>
      <c r="U3326" s="21" t="n">
        <v>0</v>
      </c>
      <c r="V3326" s="21" t="n">
        <v>0</v>
      </c>
      <c r="W3326" s="21" t="n">
        <v>0</v>
      </c>
      <c r="X3326" s="21" t="n">
        <v>0</v>
      </c>
      <c r="Y3326" s="21" t="n">
        <v>0</v>
      </c>
      <c r="Z3326" s="21" t="n">
        <v>0</v>
      </c>
      <c r="AA3326" s="21" t="n">
        <v>0</v>
      </c>
      <c r="AB3326" s="21" t="n">
        <v>0</v>
      </c>
      <c r="AC3326" s="21" t="n">
        <v>0</v>
      </c>
      <c r="AD3326" s="21" t="n">
        <v>0</v>
      </c>
      <c r="AE3326" s="21" t="n">
        <v>0</v>
      </c>
      <c r="AF3326" s="21" t="n">
        <v>0</v>
      </c>
      <c r="AG3326" s="21" t="n">
        <v>0</v>
      </c>
      <c r="AH3326" s="21" t="n">
        <v>0</v>
      </c>
      <c r="AI3326" s="21" t="n">
        <v>0</v>
      </c>
      <c r="AJ3326" s="21" t="n">
        <v>0</v>
      </c>
      <c r="AK3326" s="21" t="n">
        <v>0</v>
      </c>
      <c r="AL3326" s="21" t="n">
        <v>0</v>
      </c>
      <c r="AM3326" s="21" t="n">
        <v>0</v>
      </c>
      <c r="AN3326" s="21" t="n">
        <v>0</v>
      </c>
      <c r="AO3326" s="21" t="n">
        <v>0</v>
      </c>
      <c r="AP3326" s="21" t="n">
        <v>0</v>
      </c>
      <c r="AQ3326" s="21" t="n">
        <v>0</v>
      </c>
      <c r="AR3326" s="21" t="n">
        <v>0</v>
      </c>
      <c r="AS3326" s="21" t="n">
        <v>0</v>
      </c>
      <c r="AT3326" s="19" t="n"/>
    </row>
    <row r="3327">
      <c r="D3327" s="21" t="n">
        <v>0</v>
      </c>
      <c r="E3327" s="21" t="n">
        <v>0</v>
      </c>
      <c r="F3327" s="21">
        <f>$B$1812</f>
        <v/>
      </c>
      <c r="G3327" s="21">
        <f>$B$1814</f>
        <v/>
      </c>
      <c r="H3327" s="21">
        <f>0</f>
        <v/>
      </c>
      <c r="I3327" s="21">
        <f>2*$B$1813</f>
        <v/>
      </c>
      <c r="J3327" s="21">
        <f>-$B$1812</f>
        <v/>
      </c>
      <c r="K3327" s="21">
        <f>$B$1814</f>
        <v/>
      </c>
      <c r="L3327" s="21" t="n">
        <v>0</v>
      </c>
      <c r="M3327" s="21" t="n">
        <v>0</v>
      </c>
      <c r="N3327" s="21" t="n">
        <v>0</v>
      </c>
      <c r="O3327" s="21" t="n">
        <v>0</v>
      </c>
      <c r="P3327" s="21" t="n">
        <v>0</v>
      </c>
      <c r="Q3327" s="21" t="n">
        <v>0</v>
      </c>
      <c r="R3327" s="21" t="n">
        <v>0</v>
      </c>
      <c r="S3327" s="21" t="n">
        <v>0</v>
      </c>
      <c r="T3327" s="21" t="n">
        <v>0</v>
      </c>
      <c r="U3327" s="21" t="n">
        <v>0</v>
      </c>
      <c r="V3327" s="21" t="n">
        <v>0</v>
      </c>
      <c r="W3327" s="21" t="n">
        <v>0</v>
      </c>
      <c r="X3327" s="21" t="n">
        <v>0</v>
      </c>
      <c r="Y3327" s="21" t="n">
        <v>0</v>
      </c>
      <c r="Z3327" s="21" t="n">
        <v>0</v>
      </c>
      <c r="AA3327" s="21" t="n">
        <v>0</v>
      </c>
      <c r="AB3327" s="21" t="n">
        <v>0</v>
      </c>
      <c r="AC3327" s="21" t="n">
        <v>0</v>
      </c>
      <c r="AD3327" s="21" t="n">
        <v>0</v>
      </c>
      <c r="AE3327" s="21" t="n">
        <v>0</v>
      </c>
      <c r="AF3327" s="21" t="n">
        <v>0</v>
      </c>
      <c r="AG3327" s="21" t="n">
        <v>0</v>
      </c>
      <c r="AH3327" s="21" t="n">
        <v>0</v>
      </c>
      <c r="AI3327" s="21" t="n">
        <v>0</v>
      </c>
      <c r="AJ3327" s="21" t="n">
        <v>0</v>
      </c>
      <c r="AK3327" s="21" t="n">
        <v>0</v>
      </c>
      <c r="AL3327" s="21" t="n">
        <v>0</v>
      </c>
      <c r="AM3327" s="21" t="n">
        <v>0</v>
      </c>
      <c r="AN3327" s="21" t="n">
        <v>0</v>
      </c>
      <c r="AO3327" s="21" t="n">
        <v>0</v>
      </c>
      <c r="AP3327" s="21" t="n">
        <v>0</v>
      </c>
      <c r="AQ3327" s="21" t="n">
        <v>0</v>
      </c>
      <c r="AR3327" s="21" t="n">
        <v>0</v>
      </c>
      <c r="AS3327" s="21" t="n">
        <v>0</v>
      </c>
      <c r="AT3327" s="19" t="n"/>
    </row>
    <row r="3328">
      <c r="D3328" s="21" t="n">
        <v>0</v>
      </c>
      <c r="E3328" s="21" t="n">
        <v>0</v>
      </c>
      <c r="F3328" s="21" t="n">
        <v>0</v>
      </c>
      <c r="G3328" s="21" t="n">
        <v>0</v>
      </c>
      <c r="H3328" s="21">
        <f>-$B$1811</f>
        <v/>
      </c>
      <c r="I3328" s="21">
        <f>-$B$1812</f>
        <v/>
      </c>
      <c r="J3328" s="21">
        <f>2*$B$1811+$D$3303</f>
        <v/>
      </c>
      <c r="K3328" s="21">
        <f>0</f>
        <v/>
      </c>
      <c r="L3328" s="21">
        <f>-$B$1811</f>
        <v/>
      </c>
      <c r="M3328" s="21">
        <f>$B$1812</f>
        <v/>
      </c>
      <c r="N3328" s="21" t="n">
        <v>0</v>
      </c>
      <c r="O3328" s="21" t="n">
        <v>0</v>
      </c>
      <c r="P3328" s="21" t="n">
        <v>0</v>
      </c>
      <c r="Q3328" s="21" t="n">
        <v>0</v>
      </c>
      <c r="R3328" s="21" t="n">
        <v>0</v>
      </c>
      <c r="S3328" s="21" t="n">
        <v>0</v>
      </c>
      <c r="T3328" s="21" t="n">
        <v>0</v>
      </c>
      <c r="U3328" s="21" t="n">
        <v>0</v>
      </c>
      <c r="V3328" s="21" t="n">
        <v>0</v>
      </c>
      <c r="W3328" s="21" t="n">
        <v>0</v>
      </c>
      <c r="X3328" s="21" t="n">
        <v>0</v>
      </c>
      <c r="Y3328" s="21" t="n">
        <v>0</v>
      </c>
      <c r="Z3328" s="21" t="n">
        <v>0</v>
      </c>
      <c r="AA3328" s="21" t="n">
        <v>0</v>
      </c>
      <c r="AB3328" s="21" t="n">
        <v>0</v>
      </c>
      <c r="AC3328" s="21" t="n">
        <v>0</v>
      </c>
      <c r="AD3328" s="21" t="n">
        <v>0</v>
      </c>
      <c r="AE3328" s="21" t="n">
        <v>0</v>
      </c>
      <c r="AF3328" s="21" t="n">
        <v>0</v>
      </c>
      <c r="AG3328" s="21" t="n">
        <v>0</v>
      </c>
      <c r="AH3328" s="21" t="n">
        <v>0</v>
      </c>
      <c r="AI3328" s="21" t="n">
        <v>0</v>
      </c>
      <c r="AJ3328" s="21" t="n">
        <v>0</v>
      </c>
      <c r="AK3328" s="21" t="n">
        <v>0</v>
      </c>
      <c r="AL3328" s="21" t="n">
        <v>0</v>
      </c>
      <c r="AM3328" s="21" t="n">
        <v>0</v>
      </c>
      <c r="AN3328" s="21" t="n">
        <v>0</v>
      </c>
      <c r="AO3328" s="21" t="n">
        <v>0</v>
      </c>
      <c r="AP3328" s="21" t="n">
        <v>0</v>
      </c>
      <c r="AQ3328" s="21" t="n">
        <v>0</v>
      </c>
      <c r="AR3328" s="21" t="n">
        <v>0</v>
      </c>
      <c r="AS3328" s="21" t="n">
        <v>0</v>
      </c>
      <c r="AT3328" s="19" t="n"/>
    </row>
    <row r="3329">
      <c r="D3329" s="21" t="n">
        <v>0</v>
      </c>
      <c r="E3329" s="21" t="n">
        <v>0</v>
      </c>
      <c r="F3329" s="21" t="n">
        <v>0</v>
      </c>
      <c r="G3329" s="21" t="n">
        <v>0</v>
      </c>
      <c r="H3329" s="21">
        <f>$B$1812</f>
        <v/>
      </c>
      <c r="I3329" s="21">
        <f>$B$1814</f>
        <v/>
      </c>
      <c r="J3329" s="21">
        <f>0</f>
        <v/>
      </c>
      <c r="K3329" s="21">
        <f>2*$B$1813</f>
        <v/>
      </c>
      <c r="L3329" s="21">
        <f>-$B$1812</f>
        <v/>
      </c>
      <c r="M3329" s="21">
        <f>$B$1814</f>
        <v/>
      </c>
      <c r="N3329" s="21" t="n">
        <v>0</v>
      </c>
      <c r="O3329" s="21" t="n">
        <v>0</v>
      </c>
      <c r="P3329" s="21" t="n">
        <v>0</v>
      </c>
      <c r="Q3329" s="21" t="n">
        <v>0</v>
      </c>
      <c r="R3329" s="21" t="n">
        <v>0</v>
      </c>
      <c r="S3329" s="21" t="n">
        <v>0</v>
      </c>
      <c r="T3329" s="21" t="n">
        <v>0</v>
      </c>
      <c r="U3329" s="21" t="n">
        <v>0</v>
      </c>
      <c r="V3329" s="21" t="n">
        <v>0</v>
      </c>
      <c r="W3329" s="21" t="n">
        <v>0</v>
      </c>
      <c r="X3329" s="21" t="n">
        <v>0</v>
      </c>
      <c r="Y3329" s="21" t="n">
        <v>0</v>
      </c>
      <c r="Z3329" s="21" t="n">
        <v>0</v>
      </c>
      <c r="AA3329" s="21" t="n">
        <v>0</v>
      </c>
      <c r="AB3329" s="21" t="n">
        <v>0</v>
      </c>
      <c r="AC3329" s="21" t="n">
        <v>0</v>
      </c>
      <c r="AD3329" s="21" t="n">
        <v>0</v>
      </c>
      <c r="AE3329" s="21" t="n">
        <v>0</v>
      </c>
      <c r="AF3329" s="21" t="n">
        <v>0</v>
      </c>
      <c r="AG3329" s="21" t="n">
        <v>0</v>
      </c>
      <c r="AH3329" s="21" t="n">
        <v>0</v>
      </c>
      <c r="AI3329" s="21" t="n">
        <v>0</v>
      </c>
      <c r="AJ3329" s="21" t="n">
        <v>0</v>
      </c>
      <c r="AK3329" s="21" t="n">
        <v>0</v>
      </c>
      <c r="AL3329" s="21" t="n">
        <v>0</v>
      </c>
      <c r="AM3329" s="21" t="n">
        <v>0</v>
      </c>
      <c r="AN3329" s="21" t="n">
        <v>0</v>
      </c>
      <c r="AO3329" s="21" t="n">
        <v>0</v>
      </c>
      <c r="AP3329" s="21" t="n">
        <v>0</v>
      </c>
      <c r="AQ3329" s="21" t="n">
        <v>0</v>
      </c>
      <c r="AR3329" s="21" t="n">
        <v>0</v>
      </c>
      <c r="AS3329" s="21" t="n">
        <v>0</v>
      </c>
      <c r="AT3329" s="19" t="n"/>
    </row>
    <row r="3330">
      <c r="D3330" s="21" t="n">
        <v>0</v>
      </c>
      <c r="E3330" s="21" t="n">
        <v>0</v>
      </c>
      <c r="F3330" s="21" t="n">
        <v>0</v>
      </c>
      <c r="G3330" s="21" t="n">
        <v>0</v>
      </c>
      <c r="H3330" s="21" t="n">
        <v>0</v>
      </c>
      <c r="I3330" s="21" t="n">
        <v>0</v>
      </c>
      <c r="J3330" s="21">
        <f>-$B$1811</f>
        <v/>
      </c>
      <c r="K3330" s="21">
        <f>-$B$1812</f>
        <v/>
      </c>
      <c r="L3330" s="21">
        <f>2*$B$1811+$D$3304</f>
        <v/>
      </c>
      <c r="M3330" s="21">
        <f>0</f>
        <v/>
      </c>
      <c r="N3330" s="21">
        <f>-$B$1811</f>
        <v/>
      </c>
      <c r="O3330" s="21">
        <f>$B$1812</f>
        <v/>
      </c>
      <c r="P3330" s="21" t="n">
        <v>0</v>
      </c>
      <c r="Q3330" s="21" t="n">
        <v>0</v>
      </c>
      <c r="R3330" s="21" t="n">
        <v>0</v>
      </c>
      <c r="S3330" s="21" t="n">
        <v>0</v>
      </c>
      <c r="T3330" s="21" t="n">
        <v>0</v>
      </c>
      <c r="U3330" s="21" t="n">
        <v>0</v>
      </c>
      <c r="V3330" s="21" t="n">
        <v>0</v>
      </c>
      <c r="W3330" s="21" t="n">
        <v>0</v>
      </c>
      <c r="X3330" s="21" t="n">
        <v>0</v>
      </c>
      <c r="Y3330" s="21" t="n">
        <v>0</v>
      </c>
      <c r="Z3330" s="21" t="n">
        <v>0</v>
      </c>
      <c r="AA3330" s="21" t="n">
        <v>0</v>
      </c>
      <c r="AB3330" s="21" t="n">
        <v>0</v>
      </c>
      <c r="AC3330" s="21" t="n">
        <v>0</v>
      </c>
      <c r="AD3330" s="21" t="n">
        <v>0</v>
      </c>
      <c r="AE3330" s="21" t="n">
        <v>0</v>
      </c>
      <c r="AF3330" s="21" t="n">
        <v>0</v>
      </c>
      <c r="AG3330" s="21" t="n">
        <v>0</v>
      </c>
      <c r="AH3330" s="21" t="n">
        <v>0</v>
      </c>
      <c r="AI3330" s="21" t="n">
        <v>0</v>
      </c>
      <c r="AJ3330" s="21" t="n">
        <v>0</v>
      </c>
      <c r="AK3330" s="21" t="n">
        <v>0</v>
      </c>
      <c r="AL3330" s="21" t="n">
        <v>0</v>
      </c>
      <c r="AM3330" s="21" t="n">
        <v>0</v>
      </c>
      <c r="AN3330" s="21" t="n">
        <v>0</v>
      </c>
      <c r="AO3330" s="21" t="n">
        <v>0</v>
      </c>
      <c r="AP3330" s="21" t="n">
        <v>0</v>
      </c>
      <c r="AQ3330" s="21" t="n">
        <v>0</v>
      </c>
      <c r="AR3330" s="21" t="n">
        <v>0</v>
      </c>
      <c r="AS3330" s="21" t="n">
        <v>0</v>
      </c>
      <c r="AT3330" s="19" t="n"/>
    </row>
    <row r="3331">
      <c r="D3331" s="21" t="n">
        <v>0</v>
      </c>
      <c r="E3331" s="21" t="n">
        <v>0</v>
      </c>
      <c r="F3331" s="21" t="n">
        <v>0</v>
      </c>
      <c r="G3331" s="21" t="n">
        <v>0</v>
      </c>
      <c r="H3331" s="21" t="n">
        <v>0</v>
      </c>
      <c r="I3331" s="21" t="n">
        <v>0</v>
      </c>
      <c r="J3331" s="21">
        <f>$B$1812</f>
        <v/>
      </c>
      <c r="K3331" s="21">
        <f>$B$1814</f>
        <v/>
      </c>
      <c r="L3331" s="21">
        <f>0</f>
        <v/>
      </c>
      <c r="M3331" s="21">
        <f>2*$B$1813</f>
        <v/>
      </c>
      <c r="N3331" s="21">
        <f>-$B$1812</f>
        <v/>
      </c>
      <c r="O3331" s="21">
        <f>$B$1814</f>
        <v/>
      </c>
      <c r="P3331" s="21" t="n">
        <v>0</v>
      </c>
      <c r="Q3331" s="21" t="n">
        <v>0</v>
      </c>
      <c r="R3331" s="21" t="n">
        <v>0</v>
      </c>
      <c r="S3331" s="21" t="n">
        <v>0</v>
      </c>
      <c r="T3331" s="21" t="n">
        <v>0</v>
      </c>
      <c r="U3331" s="21" t="n">
        <v>0</v>
      </c>
      <c r="V3331" s="21" t="n">
        <v>0</v>
      </c>
      <c r="W3331" s="21" t="n">
        <v>0</v>
      </c>
      <c r="X3331" s="21" t="n">
        <v>0</v>
      </c>
      <c r="Y3331" s="21" t="n">
        <v>0</v>
      </c>
      <c r="Z3331" s="21" t="n">
        <v>0</v>
      </c>
      <c r="AA3331" s="21" t="n">
        <v>0</v>
      </c>
      <c r="AB3331" s="21" t="n">
        <v>0</v>
      </c>
      <c r="AC3331" s="21" t="n">
        <v>0</v>
      </c>
      <c r="AD3331" s="21" t="n">
        <v>0</v>
      </c>
      <c r="AE3331" s="21" t="n">
        <v>0</v>
      </c>
      <c r="AF3331" s="21" t="n">
        <v>0</v>
      </c>
      <c r="AG3331" s="21" t="n">
        <v>0</v>
      </c>
      <c r="AH3331" s="21" t="n">
        <v>0</v>
      </c>
      <c r="AI3331" s="21" t="n">
        <v>0</v>
      </c>
      <c r="AJ3331" s="21" t="n">
        <v>0</v>
      </c>
      <c r="AK3331" s="21" t="n">
        <v>0</v>
      </c>
      <c r="AL3331" s="21" t="n">
        <v>0</v>
      </c>
      <c r="AM3331" s="21" t="n">
        <v>0</v>
      </c>
      <c r="AN3331" s="21" t="n">
        <v>0</v>
      </c>
      <c r="AO3331" s="21" t="n">
        <v>0</v>
      </c>
      <c r="AP3331" s="21" t="n">
        <v>0</v>
      </c>
      <c r="AQ3331" s="21" t="n">
        <v>0</v>
      </c>
      <c r="AR3331" s="21" t="n">
        <v>0</v>
      </c>
      <c r="AS3331" s="21" t="n">
        <v>0</v>
      </c>
      <c r="AT3331" s="19" t="n"/>
    </row>
    <row r="3332">
      <c r="D3332" s="21" t="n">
        <v>0</v>
      </c>
      <c r="E3332" s="21" t="n">
        <v>0</v>
      </c>
      <c r="F3332" s="21" t="n">
        <v>0</v>
      </c>
      <c r="G3332" s="21" t="n">
        <v>0</v>
      </c>
      <c r="H3332" s="21" t="n">
        <v>0</v>
      </c>
      <c r="I3332" s="21" t="n">
        <v>0</v>
      </c>
      <c r="J3332" s="21" t="n">
        <v>0</v>
      </c>
      <c r="K3332" s="21" t="n">
        <v>0</v>
      </c>
      <c r="L3332" s="21">
        <f>-$B$1811</f>
        <v/>
      </c>
      <c r="M3332" s="21">
        <f>-$B$1812</f>
        <v/>
      </c>
      <c r="N3332" s="21">
        <f>2*$B$1811+$D$3305</f>
        <v/>
      </c>
      <c r="O3332" s="21">
        <f>0</f>
        <v/>
      </c>
      <c r="P3332" s="21">
        <f>-$B$1811</f>
        <v/>
      </c>
      <c r="Q3332" s="21">
        <f>$B$1812</f>
        <v/>
      </c>
      <c r="R3332" s="21" t="n">
        <v>0</v>
      </c>
      <c r="S3332" s="21" t="n">
        <v>0</v>
      </c>
      <c r="T3332" s="21" t="n">
        <v>0</v>
      </c>
      <c r="U3332" s="21" t="n">
        <v>0</v>
      </c>
      <c r="V3332" s="21" t="n">
        <v>0</v>
      </c>
      <c r="W3332" s="21" t="n">
        <v>0</v>
      </c>
      <c r="X3332" s="21" t="n">
        <v>0</v>
      </c>
      <c r="Y3332" s="21" t="n">
        <v>0</v>
      </c>
      <c r="Z3332" s="21" t="n">
        <v>0</v>
      </c>
      <c r="AA3332" s="21" t="n">
        <v>0</v>
      </c>
      <c r="AB3332" s="21" t="n">
        <v>0</v>
      </c>
      <c r="AC3332" s="21" t="n">
        <v>0</v>
      </c>
      <c r="AD3332" s="21" t="n">
        <v>0</v>
      </c>
      <c r="AE3332" s="21" t="n">
        <v>0</v>
      </c>
      <c r="AF3332" s="21" t="n">
        <v>0</v>
      </c>
      <c r="AG3332" s="21" t="n">
        <v>0</v>
      </c>
      <c r="AH3332" s="21" t="n">
        <v>0</v>
      </c>
      <c r="AI3332" s="21" t="n">
        <v>0</v>
      </c>
      <c r="AJ3332" s="21" t="n">
        <v>0</v>
      </c>
      <c r="AK3332" s="21" t="n">
        <v>0</v>
      </c>
      <c r="AL3332" s="21" t="n">
        <v>0</v>
      </c>
      <c r="AM3332" s="21" t="n">
        <v>0</v>
      </c>
      <c r="AN3332" s="21" t="n">
        <v>0</v>
      </c>
      <c r="AO3332" s="21" t="n">
        <v>0</v>
      </c>
      <c r="AP3332" s="21" t="n">
        <v>0</v>
      </c>
      <c r="AQ3332" s="21" t="n">
        <v>0</v>
      </c>
      <c r="AR3332" s="21" t="n">
        <v>0</v>
      </c>
      <c r="AS3332" s="21" t="n">
        <v>0</v>
      </c>
      <c r="AT3332" s="19" t="n"/>
    </row>
    <row r="3333">
      <c r="D3333" s="21" t="n">
        <v>0</v>
      </c>
      <c r="E3333" s="21" t="n">
        <v>0</v>
      </c>
      <c r="F3333" s="21" t="n">
        <v>0</v>
      </c>
      <c r="G3333" s="21" t="n">
        <v>0</v>
      </c>
      <c r="H3333" s="21" t="n">
        <v>0</v>
      </c>
      <c r="I3333" s="21" t="n">
        <v>0</v>
      </c>
      <c r="J3333" s="21" t="n">
        <v>0</v>
      </c>
      <c r="K3333" s="21" t="n">
        <v>0</v>
      </c>
      <c r="L3333" s="21">
        <f>$B$1812</f>
        <v/>
      </c>
      <c r="M3333" s="21">
        <f>$B$1814</f>
        <v/>
      </c>
      <c r="N3333" s="21">
        <f>0</f>
        <v/>
      </c>
      <c r="O3333" s="21">
        <f>2*$B$1813</f>
        <v/>
      </c>
      <c r="P3333" s="21">
        <f>-$B$1812</f>
        <v/>
      </c>
      <c r="Q3333" s="21">
        <f>$B$1814</f>
        <v/>
      </c>
      <c r="R3333" s="21" t="n">
        <v>0</v>
      </c>
      <c r="S3333" s="21" t="n">
        <v>0</v>
      </c>
      <c r="T3333" s="21" t="n">
        <v>0</v>
      </c>
      <c r="U3333" s="21" t="n">
        <v>0</v>
      </c>
      <c r="V3333" s="21" t="n">
        <v>0</v>
      </c>
      <c r="W3333" s="21" t="n">
        <v>0</v>
      </c>
      <c r="X3333" s="21" t="n">
        <v>0</v>
      </c>
      <c r="Y3333" s="21" t="n">
        <v>0</v>
      </c>
      <c r="Z3333" s="21" t="n">
        <v>0</v>
      </c>
      <c r="AA3333" s="21" t="n">
        <v>0</v>
      </c>
      <c r="AB3333" s="21" t="n">
        <v>0</v>
      </c>
      <c r="AC3333" s="21" t="n">
        <v>0</v>
      </c>
      <c r="AD3333" s="21" t="n">
        <v>0</v>
      </c>
      <c r="AE3333" s="21" t="n">
        <v>0</v>
      </c>
      <c r="AF3333" s="21" t="n">
        <v>0</v>
      </c>
      <c r="AG3333" s="21" t="n">
        <v>0</v>
      </c>
      <c r="AH3333" s="21" t="n">
        <v>0</v>
      </c>
      <c r="AI3333" s="21" t="n">
        <v>0</v>
      </c>
      <c r="AJ3333" s="21" t="n">
        <v>0</v>
      </c>
      <c r="AK3333" s="21" t="n">
        <v>0</v>
      </c>
      <c r="AL3333" s="21" t="n">
        <v>0</v>
      </c>
      <c r="AM3333" s="21" t="n">
        <v>0</v>
      </c>
      <c r="AN3333" s="21" t="n">
        <v>0</v>
      </c>
      <c r="AO3333" s="21" t="n">
        <v>0</v>
      </c>
      <c r="AP3333" s="21" t="n">
        <v>0</v>
      </c>
      <c r="AQ3333" s="21" t="n">
        <v>0</v>
      </c>
      <c r="AR3333" s="21" t="n">
        <v>0</v>
      </c>
      <c r="AS3333" s="21" t="n">
        <v>0</v>
      </c>
      <c r="AT3333" s="19" t="n"/>
    </row>
    <row r="3334">
      <c r="D3334" s="21" t="n">
        <v>0</v>
      </c>
      <c r="E3334" s="21" t="n">
        <v>0</v>
      </c>
      <c r="F3334" s="21" t="n">
        <v>0</v>
      </c>
      <c r="G3334" s="21" t="n">
        <v>0</v>
      </c>
      <c r="H3334" s="21" t="n">
        <v>0</v>
      </c>
      <c r="I3334" s="21" t="n">
        <v>0</v>
      </c>
      <c r="J3334" s="21" t="n">
        <v>0</v>
      </c>
      <c r="K3334" s="21" t="n">
        <v>0</v>
      </c>
      <c r="L3334" s="21" t="n">
        <v>0</v>
      </c>
      <c r="M3334" s="21" t="n">
        <v>0</v>
      </c>
      <c r="N3334" s="21">
        <f>-$B$1811</f>
        <v/>
      </c>
      <c r="O3334" s="21">
        <f>-$B$1812</f>
        <v/>
      </c>
      <c r="P3334" s="21">
        <f>2*$B$1811+$D$3306</f>
        <v/>
      </c>
      <c r="Q3334" s="21">
        <f>0</f>
        <v/>
      </c>
      <c r="R3334" s="21">
        <f>-$B$1811</f>
        <v/>
      </c>
      <c r="S3334" s="21">
        <f>$B$1812</f>
        <v/>
      </c>
      <c r="T3334" s="21" t="n">
        <v>0</v>
      </c>
      <c r="U3334" s="21" t="n">
        <v>0</v>
      </c>
      <c r="V3334" s="21" t="n">
        <v>0</v>
      </c>
      <c r="W3334" s="21" t="n">
        <v>0</v>
      </c>
      <c r="X3334" s="21" t="n">
        <v>0</v>
      </c>
      <c r="Y3334" s="21" t="n">
        <v>0</v>
      </c>
      <c r="Z3334" s="21" t="n">
        <v>0</v>
      </c>
      <c r="AA3334" s="21" t="n">
        <v>0</v>
      </c>
      <c r="AB3334" s="21" t="n">
        <v>0</v>
      </c>
      <c r="AC3334" s="21" t="n">
        <v>0</v>
      </c>
      <c r="AD3334" s="21" t="n">
        <v>0</v>
      </c>
      <c r="AE3334" s="21" t="n">
        <v>0</v>
      </c>
      <c r="AF3334" s="21" t="n">
        <v>0</v>
      </c>
      <c r="AG3334" s="21" t="n">
        <v>0</v>
      </c>
      <c r="AH3334" s="21" t="n">
        <v>0</v>
      </c>
      <c r="AI3334" s="21" t="n">
        <v>0</v>
      </c>
      <c r="AJ3334" s="21" t="n">
        <v>0</v>
      </c>
      <c r="AK3334" s="21" t="n">
        <v>0</v>
      </c>
      <c r="AL3334" s="21" t="n">
        <v>0</v>
      </c>
      <c r="AM3334" s="21" t="n">
        <v>0</v>
      </c>
      <c r="AN3334" s="21" t="n">
        <v>0</v>
      </c>
      <c r="AO3334" s="21" t="n">
        <v>0</v>
      </c>
      <c r="AP3334" s="21" t="n">
        <v>0</v>
      </c>
      <c r="AQ3334" s="21" t="n">
        <v>0</v>
      </c>
      <c r="AR3334" s="21" t="n">
        <v>0</v>
      </c>
      <c r="AS3334" s="21" t="n">
        <v>0</v>
      </c>
      <c r="AT3334" s="19" t="n"/>
    </row>
    <row r="3335">
      <c r="D3335" s="21" t="n">
        <v>0</v>
      </c>
      <c r="E3335" s="21" t="n">
        <v>0</v>
      </c>
      <c r="F3335" s="21" t="n">
        <v>0</v>
      </c>
      <c r="G3335" s="21" t="n">
        <v>0</v>
      </c>
      <c r="H3335" s="21" t="n">
        <v>0</v>
      </c>
      <c r="I3335" s="21" t="n">
        <v>0</v>
      </c>
      <c r="J3335" s="21" t="n">
        <v>0</v>
      </c>
      <c r="K3335" s="21" t="n">
        <v>0</v>
      </c>
      <c r="L3335" s="21" t="n">
        <v>0</v>
      </c>
      <c r="M3335" s="21" t="n">
        <v>0</v>
      </c>
      <c r="N3335" s="21">
        <f>$B$1812</f>
        <v/>
      </c>
      <c r="O3335" s="21">
        <f>$B$1814</f>
        <v/>
      </c>
      <c r="P3335" s="21">
        <f>0</f>
        <v/>
      </c>
      <c r="Q3335" s="21">
        <f>2*$B$1813</f>
        <v/>
      </c>
      <c r="R3335" s="21">
        <f>-$B$1812</f>
        <v/>
      </c>
      <c r="S3335" s="21">
        <f>$B$1814</f>
        <v/>
      </c>
      <c r="T3335" s="21" t="n">
        <v>0</v>
      </c>
      <c r="U3335" s="21" t="n">
        <v>0</v>
      </c>
      <c r="V3335" s="21" t="n">
        <v>0</v>
      </c>
      <c r="W3335" s="21" t="n">
        <v>0</v>
      </c>
      <c r="X3335" s="21" t="n">
        <v>0</v>
      </c>
      <c r="Y3335" s="21" t="n">
        <v>0</v>
      </c>
      <c r="Z3335" s="21" t="n">
        <v>0</v>
      </c>
      <c r="AA3335" s="21" t="n">
        <v>0</v>
      </c>
      <c r="AB3335" s="21" t="n">
        <v>0</v>
      </c>
      <c r="AC3335" s="21" t="n">
        <v>0</v>
      </c>
      <c r="AD3335" s="21" t="n">
        <v>0</v>
      </c>
      <c r="AE3335" s="21" t="n">
        <v>0</v>
      </c>
      <c r="AF3335" s="21" t="n">
        <v>0</v>
      </c>
      <c r="AG3335" s="21" t="n">
        <v>0</v>
      </c>
      <c r="AH3335" s="21" t="n">
        <v>0</v>
      </c>
      <c r="AI3335" s="21" t="n">
        <v>0</v>
      </c>
      <c r="AJ3335" s="21" t="n">
        <v>0</v>
      </c>
      <c r="AK3335" s="21" t="n">
        <v>0</v>
      </c>
      <c r="AL3335" s="21" t="n">
        <v>0</v>
      </c>
      <c r="AM3335" s="21" t="n">
        <v>0</v>
      </c>
      <c r="AN3335" s="21" t="n">
        <v>0</v>
      </c>
      <c r="AO3335" s="21" t="n">
        <v>0</v>
      </c>
      <c r="AP3335" s="21" t="n">
        <v>0</v>
      </c>
      <c r="AQ3335" s="21" t="n">
        <v>0</v>
      </c>
      <c r="AR3335" s="21" t="n">
        <v>0</v>
      </c>
      <c r="AS3335" s="21" t="n">
        <v>0</v>
      </c>
      <c r="AT3335" s="19" t="n"/>
    </row>
    <row r="3336">
      <c r="D3336" s="21" t="n">
        <v>0</v>
      </c>
      <c r="E3336" s="21" t="n">
        <v>0</v>
      </c>
      <c r="F3336" s="21" t="n">
        <v>0</v>
      </c>
      <c r="G3336" s="21" t="n">
        <v>0</v>
      </c>
      <c r="H3336" s="21" t="n">
        <v>0</v>
      </c>
      <c r="I3336" s="21" t="n">
        <v>0</v>
      </c>
      <c r="J3336" s="21" t="n">
        <v>0</v>
      </c>
      <c r="K3336" s="21" t="n">
        <v>0</v>
      </c>
      <c r="L3336" s="21" t="n">
        <v>0</v>
      </c>
      <c r="M3336" s="21" t="n">
        <v>0</v>
      </c>
      <c r="N3336" s="21" t="n">
        <v>0</v>
      </c>
      <c r="O3336" s="21" t="n">
        <v>0</v>
      </c>
      <c r="P3336" s="21">
        <f>-$B$1811</f>
        <v/>
      </c>
      <c r="Q3336" s="21">
        <f>-$B$1812</f>
        <v/>
      </c>
      <c r="R3336" s="21">
        <f>2*$B$1811+$D$3307</f>
        <v/>
      </c>
      <c r="S3336" s="21">
        <f>0</f>
        <v/>
      </c>
      <c r="T3336" s="21">
        <f>-$B$1811</f>
        <v/>
      </c>
      <c r="U3336" s="21">
        <f>$B$1812</f>
        <v/>
      </c>
      <c r="V3336" s="21" t="n">
        <v>0</v>
      </c>
      <c r="W3336" s="21" t="n">
        <v>0</v>
      </c>
      <c r="X3336" s="21" t="n">
        <v>0</v>
      </c>
      <c r="Y3336" s="21" t="n">
        <v>0</v>
      </c>
      <c r="Z3336" s="21" t="n">
        <v>0</v>
      </c>
      <c r="AA3336" s="21" t="n">
        <v>0</v>
      </c>
      <c r="AB3336" s="21" t="n">
        <v>0</v>
      </c>
      <c r="AC3336" s="21" t="n">
        <v>0</v>
      </c>
      <c r="AD3336" s="21" t="n">
        <v>0</v>
      </c>
      <c r="AE3336" s="21" t="n">
        <v>0</v>
      </c>
      <c r="AF3336" s="21" t="n">
        <v>0</v>
      </c>
      <c r="AG3336" s="21" t="n">
        <v>0</v>
      </c>
      <c r="AH3336" s="21" t="n">
        <v>0</v>
      </c>
      <c r="AI3336" s="21" t="n">
        <v>0</v>
      </c>
      <c r="AJ3336" s="21" t="n">
        <v>0</v>
      </c>
      <c r="AK3336" s="21" t="n">
        <v>0</v>
      </c>
      <c r="AL3336" s="21" t="n">
        <v>0</v>
      </c>
      <c r="AM3336" s="21" t="n">
        <v>0</v>
      </c>
      <c r="AN3336" s="21" t="n">
        <v>0</v>
      </c>
      <c r="AO3336" s="21" t="n">
        <v>0</v>
      </c>
      <c r="AP3336" s="21" t="n">
        <v>0</v>
      </c>
      <c r="AQ3336" s="21" t="n">
        <v>0</v>
      </c>
      <c r="AR3336" s="21" t="n">
        <v>0</v>
      </c>
      <c r="AS3336" s="21" t="n">
        <v>0</v>
      </c>
      <c r="AT3336" s="19" t="n"/>
    </row>
    <row r="3337">
      <c r="D3337" s="21" t="n">
        <v>0</v>
      </c>
      <c r="E3337" s="21" t="n">
        <v>0</v>
      </c>
      <c r="F3337" s="21" t="n">
        <v>0</v>
      </c>
      <c r="G3337" s="21" t="n">
        <v>0</v>
      </c>
      <c r="H3337" s="21" t="n">
        <v>0</v>
      </c>
      <c r="I3337" s="21" t="n">
        <v>0</v>
      </c>
      <c r="J3337" s="21" t="n">
        <v>0</v>
      </c>
      <c r="K3337" s="21" t="n">
        <v>0</v>
      </c>
      <c r="L3337" s="21" t="n">
        <v>0</v>
      </c>
      <c r="M3337" s="21" t="n">
        <v>0</v>
      </c>
      <c r="N3337" s="21" t="n">
        <v>0</v>
      </c>
      <c r="O3337" s="21" t="n">
        <v>0</v>
      </c>
      <c r="P3337" s="21">
        <f>$B$1812</f>
        <v/>
      </c>
      <c r="Q3337" s="21">
        <f>$B$1814</f>
        <v/>
      </c>
      <c r="R3337" s="21">
        <f>0</f>
        <v/>
      </c>
      <c r="S3337" s="21">
        <f>2*$B$1813</f>
        <v/>
      </c>
      <c r="T3337" s="21">
        <f>-$B$1812</f>
        <v/>
      </c>
      <c r="U3337" s="21">
        <f>$B$1814</f>
        <v/>
      </c>
      <c r="V3337" s="21" t="n">
        <v>0</v>
      </c>
      <c r="W3337" s="21" t="n">
        <v>0</v>
      </c>
      <c r="X3337" s="21" t="n">
        <v>0</v>
      </c>
      <c r="Y3337" s="21" t="n">
        <v>0</v>
      </c>
      <c r="Z3337" s="21" t="n">
        <v>0</v>
      </c>
      <c r="AA3337" s="21" t="n">
        <v>0</v>
      </c>
      <c r="AB3337" s="21" t="n">
        <v>0</v>
      </c>
      <c r="AC3337" s="21" t="n">
        <v>0</v>
      </c>
      <c r="AD3337" s="21" t="n">
        <v>0</v>
      </c>
      <c r="AE3337" s="21" t="n">
        <v>0</v>
      </c>
      <c r="AF3337" s="21" t="n">
        <v>0</v>
      </c>
      <c r="AG3337" s="21" t="n">
        <v>0</v>
      </c>
      <c r="AH3337" s="21" t="n">
        <v>0</v>
      </c>
      <c r="AI3337" s="21" t="n">
        <v>0</v>
      </c>
      <c r="AJ3337" s="21" t="n">
        <v>0</v>
      </c>
      <c r="AK3337" s="21" t="n">
        <v>0</v>
      </c>
      <c r="AL3337" s="21" t="n">
        <v>0</v>
      </c>
      <c r="AM3337" s="21" t="n">
        <v>0</v>
      </c>
      <c r="AN3337" s="21" t="n">
        <v>0</v>
      </c>
      <c r="AO3337" s="21" t="n">
        <v>0</v>
      </c>
      <c r="AP3337" s="21" t="n">
        <v>0</v>
      </c>
      <c r="AQ3337" s="21" t="n">
        <v>0</v>
      </c>
      <c r="AR3337" s="21" t="n">
        <v>0</v>
      </c>
      <c r="AS3337" s="21" t="n">
        <v>0</v>
      </c>
      <c r="AT3337" s="19" t="n"/>
    </row>
    <row r="3338">
      <c r="D3338" s="21" t="n">
        <v>0</v>
      </c>
      <c r="E3338" s="21" t="n">
        <v>0</v>
      </c>
      <c r="F3338" s="21" t="n">
        <v>0</v>
      </c>
      <c r="G3338" s="21" t="n">
        <v>0</v>
      </c>
      <c r="H3338" s="21" t="n">
        <v>0</v>
      </c>
      <c r="I3338" s="21" t="n">
        <v>0</v>
      </c>
      <c r="J3338" s="21" t="n">
        <v>0</v>
      </c>
      <c r="K3338" s="21" t="n">
        <v>0</v>
      </c>
      <c r="L3338" s="21" t="n">
        <v>0</v>
      </c>
      <c r="M3338" s="21" t="n">
        <v>0</v>
      </c>
      <c r="N3338" s="21" t="n">
        <v>0</v>
      </c>
      <c r="O3338" s="21" t="n">
        <v>0</v>
      </c>
      <c r="P3338" s="21" t="n">
        <v>0</v>
      </c>
      <c r="Q3338" s="21" t="n">
        <v>0</v>
      </c>
      <c r="R3338" s="21">
        <f>-$B$1811</f>
        <v/>
      </c>
      <c r="S3338" s="21">
        <f>-$B$1812</f>
        <v/>
      </c>
      <c r="T3338" s="21">
        <f>2*$B$1811+$D$3308</f>
        <v/>
      </c>
      <c r="U3338" s="21">
        <f>0</f>
        <v/>
      </c>
      <c r="V3338" s="21">
        <f>-$B$1811</f>
        <v/>
      </c>
      <c r="W3338" s="21">
        <f>$B$1812</f>
        <v/>
      </c>
      <c r="X3338" s="21" t="n">
        <v>0</v>
      </c>
      <c r="Y3338" s="21" t="n">
        <v>0</v>
      </c>
      <c r="Z3338" s="21" t="n">
        <v>0</v>
      </c>
      <c r="AA3338" s="21" t="n">
        <v>0</v>
      </c>
      <c r="AB3338" s="21" t="n">
        <v>0</v>
      </c>
      <c r="AC3338" s="21" t="n">
        <v>0</v>
      </c>
      <c r="AD3338" s="21" t="n">
        <v>0</v>
      </c>
      <c r="AE3338" s="21" t="n">
        <v>0</v>
      </c>
      <c r="AF3338" s="21" t="n">
        <v>0</v>
      </c>
      <c r="AG3338" s="21" t="n">
        <v>0</v>
      </c>
      <c r="AH3338" s="21" t="n">
        <v>0</v>
      </c>
      <c r="AI3338" s="21" t="n">
        <v>0</v>
      </c>
      <c r="AJ3338" s="21" t="n">
        <v>0</v>
      </c>
      <c r="AK3338" s="21" t="n">
        <v>0</v>
      </c>
      <c r="AL3338" s="21" t="n">
        <v>0</v>
      </c>
      <c r="AM3338" s="21" t="n">
        <v>0</v>
      </c>
      <c r="AN3338" s="21" t="n">
        <v>0</v>
      </c>
      <c r="AO3338" s="21" t="n">
        <v>0</v>
      </c>
      <c r="AP3338" s="21" t="n">
        <v>0</v>
      </c>
      <c r="AQ3338" s="21" t="n">
        <v>0</v>
      </c>
      <c r="AR3338" s="21" t="n">
        <v>0</v>
      </c>
      <c r="AS3338" s="21" t="n">
        <v>0</v>
      </c>
      <c r="AT3338" s="19" t="n"/>
    </row>
    <row r="3339">
      <c r="D3339" s="21" t="n">
        <v>0</v>
      </c>
      <c r="E3339" s="21" t="n">
        <v>0</v>
      </c>
      <c r="F3339" s="21" t="n">
        <v>0</v>
      </c>
      <c r="G3339" s="21" t="n">
        <v>0</v>
      </c>
      <c r="H3339" s="21" t="n">
        <v>0</v>
      </c>
      <c r="I3339" s="21" t="n">
        <v>0</v>
      </c>
      <c r="J3339" s="21" t="n">
        <v>0</v>
      </c>
      <c r="K3339" s="21" t="n">
        <v>0</v>
      </c>
      <c r="L3339" s="21" t="n">
        <v>0</v>
      </c>
      <c r="M3339" s="21" t="n">
        <v>0</v>
      </c>
      <c r="N3339" s="21" t="n">
        <v>0</v>
      </c>
      <c r="O3339" s="21" t="n">
        <v>0</v>
      </c>
      <c r="P3339" s="21" t="n">
        <v>0</v>
      </c>
      <c r="Q3339" s="21" t="n">
        <v>0</v>
      </c>
      <c r="R3339" s="21">
        <f>$B$1812</f>
        <v/>
      </c>
      <c r="S3339" s="21">
        <f>$B$1814</f>
        <v/>
      </c>
      <c r="T3339" s="21">
        <f>0</f>
        <v/>
      </c>
      <c r="U3339" s="21">
        <f>2*$B$1813</f>
        <v/>
      </c>
      <c r="V3339" s="21">
        <f>-$B$1812</f>
        <v/>
      </c>
      <c r="W3339" s="21">
        <f>$B$1814</f>
        <v/>
      </c>
      <c r="X3339" s="21" t="n">
        <v>0</v>
      </c>
      <c r="Y3339" s="21" t="n">
        <v>0</v>
      </c>
      <c r="Z3339" s="21" t="n">
        <v>0</v>
      </c>
      <c r="AA3339" s="21" t="n">
        <v>0</v>
      </c>
      <c r="AB3339" s="21" t="n">
        <v>0</v>
      </c>
      <c r="AC3339" s="21" t="n">
        <v>0</v>
      </c>
      <c r="AD3339" s="21" t="n">
        <v>0</v>
      </c>
      <c r="AE3339" s="21" t="n">
        <v>0</v>
      </c>
      <c r="AF3339" s="21" t="n">
        <v>0</v>
      </c>
      <c r="AG3339" s="21" t="n">
        <v>0</v>
      </c>
      <c r="AH3339" s="21" t="n">
        <v>0</v>
      </c>
      <c r="AI3339" s="21" t="n">
        <v>0</v>
      </c>
      <c r="AJ3339" s="21" t="n">
        <v>0</v>
      </c>
      <c r="AK3339" s="21" t="n">
        <v>0</v>
      </c>
      <c r="AL3339" s="21" t="n">
        <v>0</v>
      </c>
      <c r="AM3339" s="21" t="n">
        <v>0</v>
      </c>
      <c r="AN3339" s="21" t="n">
        <v>0</v>
      </c>
      <c r="AO3339" s="21" t="n">
        <v>0</v>
      </c>
      <c r="AP3339" s="21" t="n">
        <v>0</v>
      </c>
      <c r="AQ3339" s="21" t="n">
        <v>0</v>
      </c>
      <c r="AR3339" s="21" t="n">
        <v>0</v>
      </c>
      <c r="AS3339" s="21" t="n">
        <v>0</v>
      </c>
      <c r="AT3339" s="19" t="n"/>
    </row>
    <row r="3340">
      <c r="D3340" s="21" t="n">
        <v>0</v>
      </c>
      <c r="E3340" s="21" t="n">
        <v>0</v>
      </c>
      <c r="F3340" s="21" t="n">
        <v>0</v>
      </c>
      <c r="G3340" s="21" t="n">
        <v>0</v>
      </c>
      <c r="H3340" s="21" t="n">
        <v>0</v>
      </c>
      <c r="I3340" s="21" t="n">
        <v>0</v>
      </c>
      <c r="J3340" s="21" t="n">
        <v>0</v>
      </c>
      <c r="K3340" s="21" t="n">
        <v>0</v>
      </c>
      <c r="L3340" s="21" t="n">
        <v>0</v>
      </c>
      <c r="M3340" s="21" t="n">
        <v>0</v>
      </c>
      <c r="N3340" s="21" t="n">
        <v>0</v>
      </c>
      <c r="O3340" s="21" t="n">
        <v>0</v>
      </c>
      <c r="P3340" s="21" t="n">
        <v>0</v>
      </c>
      <c r="Q3340" s="21" t="n">
        <v>0</v>
      </c>
      <c r="R3340" s="21" t="n">
        <v>0</v>
      </c>
      <c r="S3340" s="21" t="n">
        <v>0</v>
      </c>
      <c r="T3340" s="21">
        <f>-$B$1811</f>
        <v/>
      </c>
      <c r="U3340" s="21">
        <f>-$B$1812</f>
        <v/>
      </c>
      <c r="V3340" s="21">
        <f>2*$B$1811+$D$3309</f>
        <v/>
      </c>
      <c r="W3340" s="21">
        <f>0</f>
        <v/>
      </c>
      <c r="X3340" s="21">
        <f>-$B$1811</f>
        <v/>
      </c>
      <c r="Y3340" s="21">
        <f>$B$1812</f>
        <v/>
      </c>
      <c r="Z3340" s="21" t="n">
        <v>0</v>
      </c>
      <c r="AA3340" s="21" t="n">
        <v>0</v>
      </c>
      <c r="AB3340" s="21" t="n">
        <v>0</v>
      </c>
      <c r="AC3340" s="21" t="n">
        <v>0</v>
      </c>
      <c r="AD3340" s="21" t="n">
        <v>0</v>
      </c>
      <c r="AE3340" s="21" t="n">
        <v>0</v>
      </c>
      <c r="AF3340" s="21" t="n">
        <v>0</v>
      </c>
      <c r="AG3340" s="21" t="n">
        <v>0</v>
      </c>
      <c r="AH3340" s="21" t="n">
        <v>0</v>
      </c>
      <c r="AI3340" s="21" t="n">
        <v>0</v>
      </c>
      <c r="AJ3340" s="21" t="n">
        <v>0</v>
      </c>
      <c r="AK3340" s="21" t="n">
        <v>0</v>
      </c>
      <c r="AL3340" s="21" t="n">
        <v>0</v>
      </c>
      <c r="AM3340" s="21" t="n">
        <v>0</v>
      </c>
      <c r="AN3340" s="21" t="n">
        <v>0</v>
      </c>
      <c r="AO3340" s="21" t="n">
        <v>0</v>
      </c>
      <c r="AP3340" s="21" t="n">
        <v>0</v>
      </c>
      <c r="AQ3340" s="21" t="n">
        <v>0</v>
      </c>
      <c r="AR3340" s="21" t="n">
        <v>0</v>
      </c>
      <c r="AS3340" s="21" t="n">
        <v>0</v>
      </c>
      <c r="AT3340" s="19" t="n"/>
    </row>
    <row r="3341">
      <c r="D3341" s="21" t="n">
        <v>0</v>
      </c>
      <c r="E3341" s="21" t="n">
        <v>0</v>
      </c>
      <c r="F3341" s="21" t="n">
        <v>0</v>
      </c>
      <c r="G3341" s="21" t="n">
        <v>0</v>
      </c>
      <c r="H3341" s="21" t="n">
        <v>0</v>
      </c>
      <c r="I3341" s="21" t="n">
        <v>0</v>
      </c>
      <c r="J3341" s="21" t="n">
        <v>0</v>
      </c>
      <c r="K3341" s="21" t="n">
        <v>0</v>
      </c>
      <c r="L3341" s="21" t="n">
        <v>0</v>
      </c>
      <c r="M3341" s="21" t="n">
        <v>0</v>
      </c>
      <c r="N3341" s="21" t="n">
        <v>0</v>
      </c>
      <c r="O3341" s="21" t="n">
        <v>0</v>
      </c>
      <c r="P3341" s="21" t="n">
        <v>0</v>
      </c>
      <c r="Q3341" s="21" t="n">
        <v>0</v>
      </c>
      <c r="R3341" s="21" t="n">
        <v>0</v>
      </c>
      <c r="S3341" s="21" t="n">
        <v>0</v>
      </c>
      <c r="T3341" s="21">
        <f>$B$1812</f>
        <v/>
      </c>
      <c r="U3341" s="21">
        <f>$B$1814</f>
        <v/>
      </c>
      <c r="V3341" s="21">
        <f>0</f>
        <v/>
      </c>
      <c r="W3341" s="21">
        <f>2*$B$1813</f>
        <v/>
      </c>
      <c r="X3341" s="21">
        <f>-$B$1812</f>
        <v/>
      </c>
      <c r="Y3341" s="21">
        <f>$B$1814</f>
        <v/>
      </c>
      <c r="Z3341" s="21" t="n">
        <v>0</v>
      </c>
      <c r="AA3341" s="21" t="n">
        <v>0</v>
      </c>
      <c r="AB3341" s="21" t="n">
        <v>0</v>
      </c>
      <c r="AC3341" s="21" t="n">
        <v>0</v>
      </c>
      <c r="AD3341" s="21" t="n">
        <v>0</v>
      </c>
      <c r="AE3341" s="21" t="n">
        <v>0</v>
      </c>
      <c r="AF3341" s="21" t="n">
        <v>0</v>
      </c>
      <c r="AG3341" s="21" t="n">
        <v>0</v>
      </c>
      <c r="AH3341" s="21" t="n">
        <v>0</v>
      </c>
      <c r="AI3341" s="21" t="n">
        <v>0</v>
      </c>
      <c r="AJ3341" s="21" t="n">
        <v>0</v>
      </c>
      <c r="AK3341" s="21" t="n">
        <v>0</v>
      </c>
      <c r="AL3341" s="21" t="n">
        <v>0</v>
      </c>
      <c r="AM3341" s="21" t="n">
        <v>0</v>
      </c>
      <c r="AN3341" s="21" t="n">
        <v>0</v>
      </c>
      <c r="AO3341" s="21" t="n">
        <v>0</v>
      </c>
      <c r="AP3341" s="21" t="n">
        <v>0</v>
      </c>
      <c r="AQ3341" s="21" t="n">
        <v>0</v>
      </c>
      <c r="AR3341" s="21" t="n">
        <v>0</v>
      </c>
      <c r="AS3341" s="21" t="n">
        <v>0</v>
      </c>
      <c r="AT3341" s="19" t="n"/>
    </row>
    <row r="3342">
      <c r="D3342" s="21" t="n">
        <v>0</v>
      </c>
      <c r="E3342" s="21" t="n">
        <v>0</v>
      </c>
      <c r="F3342" s="21" t="n">
        <v>0</v>
      </c>
      <c r="G3342" s="21" t="n">
        <v>0</v>
      </c>
      <c r="H3342" s="21" t="n">
        <v>0</v>
      </c>
      <c r="I3342" s="21" t="n">
        <v>0</v>
      </c>
      <c r="J3342" s="21" t="n">
        <v>0</v>
      </c>
      <c r="K3342" s="21" t="n">
        <v>0</v>
      </c>
      <c r="L3342" s="21" t="n">
        <v>0</v>
      </c>
      <c r="M3342" s="21" t="n">
        <v>0</v>
      </c>
      <c r="N3342" s="21" t="n">
        <v>0</v>
      </c>
      <c r="O3342" s="21" t="n">
        <v>0</v>
      </c>
      <c r="P3342" s="21" t="n">
        <v>0</v>
      </c>
      <c r="Q3342" s="21" t="n">
        <v>0</v>
      </c>
      <c r="R3342" s="21" t="n">
        <v>0</v>
      </c>
      <c r="S3342" s="21" t="n">
        <v>0</v>
      </c>
      <c r="T3342" s="21" t="n">
        <v>0</v>
      </c>
      <c r="U3342" s="21" t="n">
        <v>0</v>
      </c>
      <c r="V3342" s="21">
        <f>-$B$1811</f>
        <v/>
      </c>
      <c r="W3342" s="21">
        <f>-$B$1812</f>
        <v/>
      </c>
      <c r="X3342" s="21">
        <f>2*$B$1811+$D$3310</f>
        <v/>
      </c>
      <c r="Y3342" s="21">
        <f>0</f>
        <v/>
      </c>
      <c r="Z3342" s="21">
        <f>-$B$1811</f>
        <v/>
      </c>
      <c r="AA3342" s="21">
        <f>$B$1812</f>
        <v/>
      </c>
      <c r="AB3342" s="21" t="n">
        <v>0</v>
      </c>
      <c r="AC3342" s="21" t="n">
        <v>0</v>
      </c>
      <c r="AD3342" s="21" t="n">
        <v>0</v>
      </c>
      <c r="AE3342" s="21" t="n">
        <v>0</v>
      </c>
      <c r="AF3342" s="21" t="n">
        <v>0</v>
      </c>
      <c r="AG3342" s="21" t="n">
        <v>0</v>
      </c>
      <c r="AH3342" s="21" t="n">
        <v>0</v>
      </c>
      <c r="AI3342" s="21" t="n">
        <v>0</v>
      </c>
      <c r="AJ3342" s="21" t="n">
        <v>0</v>
      </c>
      <c r="AK3342" s="21" t="n">
        <v>0</v>
      </c>
      <c r="AL3342" s="21" t="n">
        <v>0</v>
      </c>
      <c r="AM3342" s="21" t="n">
        <v>0</v>
      </c>
      <c r="AN3342" s="21" t="n">
        <v>0</v>
      </c>
      <c r="AO3342" s="21" t="n">
        <v>0</v>
      </c>
      <c r="AP3342" s="21" t="n">
        <v>0</v>
      </c>
      <c r="AQ3342" s="21" t="n">
        <v>0</v>
      </c>
      <c r="AR3342" s="21" t="n">
        <v>0</v>
      </c>
      <c r="AS3342" s="21" t="n">
        <v>0</v>
      </c>
      <c r="AT3342" s="19" t="n"/>
    </row>
    <row r="3343">
      <c r="D3343" s="21" t="n">
        <v>0</v>
      </c>
      <c r="E3343" s="21" t="n">
        <v>0</v>
      </c>
      <c r="F3343" s="21" t="n">
        <v>0</v>
      </c>
      <c r="G3343" s="21" t="n">
        <v>0</v>
      </c>
      <c r="H3343" s="21" t="n">
        <v>0</v>
      </c>
      <c r="I3343" s="21" t="n">
        <v>0</v>
      </c>
      <c r="J3343" s="21" t="n">
        <v>0</v>
      </c>
      <c r="K3343" s="21" t="n">
        <v>0</v>
      </c>
      <c r="L3343" s="21" t="n">
        <v>0</v>
      </c>
      <c r="M3343" s="21" t="n">
        <v>0</v>
      </c>
      <c r="N3343" s="21" t="n">
        <v>0</v>
      </c>
      <c r="O3343" s="21" t="n">
        <v>0</v>
      </c>
      <c r="P3343" s="21" t="n">
        <v>0</v>
      </c>
      <c r="Q3343" s="21" t="n">
        <v>0</v>
      </c>
      <c r="R3343" s="21" t="n">
        <v>0</v>
      </c>
      <c r="S3343" s="21" t="n">
        <v>0</v>
      </c>
      <c r="T3343" s="21" t="n">
        <v>0</v>
      </c>
      <c r="U3343" s="21" t="n">
        <v>0</v>
      </c>
      <c r="V3343" s="21">
        <f>$B$1812</f>
        <v/>
      </c>
      <c r="W3343" s="21">
        <f>$B$1814</f>
        <v/>
      </c>
      <c r="X3343" s="21">
        <f>0</f>
        <v/>
      </c>
      <c r="Y3343" s="21">
        <f>2*$B$1813</f>
        <v/>
      </c>
      <c r="Z3343" s="21">
        <f>-$B$1812</f>
        <v/>
      </c>
      <c r="AA3343" s="21">
        <f>$B$1814</f>
        <v/>
      </c>
      <c r="AB3343" s="21" t="n">
        <v>0</v>
      </c>
      <c r="AC3343" s="21" t="n">
        <v>0</v>
      </c>
      <c r="AD3343" s="21" t="n">
        <v>0</v>
      </c>
      <c r="AE3343" s="21" t="n">
        <v>0</v>
      </c>
      <c r="AF3343" s="21" t="n">
        <v>0</v>
      </c>
      <c r="AG3343" s="21" t="n">
        <v>0</v>
      </c>
      <c r="AH3343" s="21" t="n">
        <v>0</v>
      </c>
      <c r="AI3343" s="21" t="n">
        <v>0</v>
      </c>
      <c r="AJ3343" s="21" t="n">
        <v>0</v>
      </c>
      <c r="AK3343" s="21" t="n">
        <v>0</v>
      </c>
      <c r="AL3343" s="21" t="n">
        <v>0</v>
      </c>
      <c r="AM3343" s="21" t="n">
        <v>0</v>
      </c>
      <c r="AN3343" s="21" t="n">
        <v>0</v>
      </c>
      <c r="AO3343" s="21" t="n">
        <v>0</v>
      </c>
      <c r="AP3343" s="21" t="n">
        <v>0</v>
      </c>
      <c r="AQ3343" s="21" t="n">
        <v>0</v>
      </c>
      <c r="AR3343" s="21" t="n">
        <v>0</v>
      </c>
      <c r="AS3343" s="21" t="n">
        <v>0</v>
      </c>
      <c r="AT3343" s="19" t="n"/>
    </row>
    <row r="3344">
      <c r="D3344" s="21" t="n">
        <v>0</v>
      </c>
      <c r="E3344" s="21" t="n">
        <v>0</v>
      </c>
      <c r="F3344" s="21" t="n">
        <v>0</v>
      </c>
      <c r="G3344" s="21" t="n">
        <v>0</v>
      </c>
      <c r="H3344" s="21" t="n">
        <v>0</v>
      </c>
      <c r="I3344" s="21" t="n">
        <v>0</v>
      </c>
      <c r="J3344" s="21" t="n">
        <v>0</v>
      </c>
      <c r="K3344" s="21" t="n">
        <v>0</v>
      </c>
      <c r="L3344" s="21" t="n">
        <v>0</v>
      </c>
      <c r="M3344" s="21" t="n">
        <v>0</v>
      </c>
      <c r="N3344" s="21" t="n">
        <v>0</v>
      </c>
      <c r="O3344" s="21" t="n">
        <v>0</v>
      </c>
      <c r="P3344" s="21" t="n">
        <v>0</v>
      </c>
      <c r="Q3344" s="21" t="n">
        <v>0</v>
      </c>
      <c r="R3344" s="21" t="n">
        <v>0</v>
      </c>
      <c r="S3344" s="21" t="n">
        <v>0</v>
      </c>
      <c r="T3344" s="21" t="n">
        <v>0</v>
      </c>
      <c r="U3344" s="21" t="n">
        <v>0</v>
      </c>
      <c r="V3344" s="21" t="n">
        <v>0</v>
      </c>
      <c r="W3344" s="21" t="n">
        <v>0</v>
      </c>
      <c r="X3344" s="21">
        <f>-$B$1811</f>
        <v/>
      </c>
      <c r="Y3344" s="21">
        <f>-$B$1812</f>
        <v/>
      </c>
      <c r="Z3344" s="21">
        <f>2*$B$1811+$D$3311</f>
        <v/>
      </c>
      <c r="AA3344" s="21">
        <f>0</f>
        <v/>
      </c>
      <c r="AB3344" s="21">
        <f>-$B$1811</f>
        <v/>
      </c>
      <c r="AC3344" s="21">
        <f>$B$1812</f>
        <v/>
      </c>
      <c r="AD3344" s="21" t="n">
        <v>0</v>
      </c>
      <c r="AE3344" s="21" t="n">
        <v>0</v>
      </c>
      <c r="AF3344" s="21" t="n">
        <v>0</v>
      </c>
      <c r="AG3344" s="21" t="n">
        <v>0</v>
      </c>
      <c r="AH3344" s="21" t="n">
        <v>0</v>
      </c>
      <c r="AI3344" s="21" t="n">
        <v>0</v>
      </c>
      <c r="AJ3344" s="21" t="n">
        <v>0</v>
      </c>
      <c r="AK3344" s="21" t="n">
        <v>0</v>
      </c>
      <c r="AL3344" s="21" t="n">
        <v>0</v>
      </c>
      <c r="AM3344" s="21" t="n">
        <v>0</v>
      </c>
      <c r="AN3344" s="21" t="n">
        <v>0</v>
      </c>
      <c r="AO3344" s="21" t="n">
        <v>0</v>
      </c>
      <c r="AP3344" s="21" t="n">
        <v>0</v>
      </c>
      <c r="AQ3344" s="21" t="n">
        <v>0</v>
      </c>
      <c r="AR3344" s="21" t="n">
        <v>0</v>
      </c>
      <c r="AS3344" s="21" t="n">
        <v>0</v>
      </c>
      <c r="AT3344" s="19" t="n"/>
    </row>
    <row r="3345">
      <c r="D3345" s="21" t="n">
        <v>0</v>
      </c>
      <c r="E3345" s="21" t="n">
        <v>0</v>
      </c>
      <c r="F3345" s="21" t="n">
        <v>0</v>
      </c>
      <c r="G3345" s="21" t="n">
        <v>0</v>
      </c>
      <c r="H3345" s="21" t="n">
        <v>0</v>
      </c>
      <c r="I3345" s="21" t="n">
        <v>0</v>
      </c>
      <c r="J3345" s="21" t="n">
        <v>0</v>
      </c>
      <c r="K3345" s="21" t="n">
        <v>0</v>
      </c>
      <c r="L3345" s="21" t="n">
        <v>0</v>
      </c>
      <c r="M3345" s="21" t="n">
        <v>0</v>
      </c>
      <c r="N3345" s="21" t="n">
        <v>0</v>
      </c>
      <c r="O3345" s="21" t="n">
        <v>0</v>
      </c>
      <c r="P3345" s="21" t="n">
        <v>0</v>
      </c>
      <c r="Q3345" s="21" t="n">
        <v>0</v>
      </c>
      <c r="R3345" s="21" t="n">
        <v>0</v>
      </c>
      <c r="S3345" s="21" t="n">
        <v>0</v>
      </c>
      <c r="T3345" s="21" t="n">
        <v>0</v>
      </c>
      <c r="U3345" s="21" t="n">
        <v>0</v>
      </c>
      <c r="V3345" s="21" t="n">
        <v>0</v>
      </c>
      <c r="W3345" s="21" t="n">
        <v>0</v>
      </c>
      <c r="X3345" s="21">
        <f>$B$1812</f>
        <v/>
      </c>
      <c r="Y3345" s="21">
        <f>$B$1814</f>
        <v/>
      </c>
      <c r="Z3345" s="21">
        <f>0</f>
        <v/>
      </c>
      <c r="AA3345" s="21">
        <f>2*$B$1813</f>
        <v/>
      </c>
      <c r="AB3345" s="21">
        <f>-$B$1812</f>
        <v/>
      </c>
      <c r="AC3345" s="21">
        <f>$B$1814</f>
        <v/>
      </c>
      <c r="AD3345" s="21" t="n">
        <v>0</v>
      </c>
      <c r="AE3345" s="21" t="n">
        <v>0</v>
      </c>
      <c r="AF3345" s="21" t="n">
        <v>0</v>
      </c>
      <c r="AG3345" s="21" t="n">
        <v>0</v>
      </c>
      <c r="AH3345" s="21" t="n">
        <v>0</v>
      </c>
      <c r="AI3345" s="21" t="n">
        <v>0</v>
      </c>
      <c r="AJ3345" s="21" t="n">
        <v>0</v>
      </c>
      <c r="AK3345" s="21" t="n">
        <v>0</v>
      </c>
      <c r="AL3345" s="21" t="n">
        <v>0</v>
      </c>
      <c r="AM3345" s="21" t="n">
        <v>0</v>
      </c>
      <c r="AN3345" s="21" t="n">
        <v>0</v>
      </c>
      <c r="AO3345" s="21" t="n">
        <v>0</v>
      </c>
      <c r="AP3345" s="21" t="n">
        <v>0</v>
      </c>
      <c r="AQ3345" s="21" t="n">
        <v>0</v>
      </c>
      <c r="AR3345" s="21" t="n">
        <v>0</v>
      </c>
      <c r="AS3345" s="21" t="n">
        <v>0</v>
      </c>
      <c r="AT3345" s="19" t="n"/>
    </row>
    <row r="3346">
      <c r="D3346" s="21" t="n">
        <v>0</v>
      </c>
      <c r="E3346" s="21" t="n">
        <v>0</v>
      </c>
      <c r="F3346" s="21" t="n">
        <v>0</v>
      </c>
      <c r="G3346" s="21" t="n">
        <v>0</v>
      </c>
      <c r="H3346" s="21" t="n">
        <v>0</v>
      </c>
      <c r="I3346" s="21" t="n">
        <v>0</v>
      </c>
      <c r="J3346" s="21" t="n">
        <v>0</v>
      </c>
      <c r="K3346" s="21" t="n">
        <v>0</v>
      </c>
      <c r="L3346" s="21" t="n">
        <v>0</v>
      </c>
      <c r="M3346" s="21" t="n">
        <v>0</v>
      </c>
      <c r="N3346" s="21" t="n">
        <v>0</v>
      </c>
      <c r="O3346" s="21" t="n">
        <v>0</v>
      </c>
      <c r="P3346" s="21" t="n">
        <v>0</v>
      </c>
      <c r="Q3346" s="21" t="n">
        <v>0</v>
      </c>
      <c r="R3346" s="21" t="n">
        <v>0</v>
      </c>
      <c r="S3346" s="21" t="n">
        <v>0</v>
      </c>
      <c r="T3346" s="21" t="n">
        <v>0</v>
      </c>
      <c r="U3346" s="21" t="n">
        <v>0</v>
      </c>
      <c r="V3346" s="21" t="n">
        <v>0</v>
      </c>
      <c r="W3346" s="21" t="n">
        <v>0</v>
      </c>
      <c r="X3346" s="21" t="n">
        <v>0</v>
      </c>
      <c r="Y3346" s="21" t="n">
        <v>0</v>
      </c>
      <c r="Z3346" s="21">
        <f>-$B$1811</f>
        <v/>
      </c>
      <c r="AA3346" s="21">
        <f>-$B$1812</f>
        <v/>
      </c>
      <c r="AB3346" s="21">
        <f>2*$B$1811+$D$3312</f>
        <v/>
      </c>
      <c r="AC3346" s="21">
        <f>0</f>
        <v/>
      </c>
      <c r="AD3346" s="21">
        <f>-$B$1811</f>
        <v/>
      </c>
      <c r="AE3346" s="21">
        <f>$B$1812</f>
        <v/>
      </c>
      <c r="AF3346" s="21" t="n">
        <v>0</v>
      </c>
      <c r="AG3346" s="21" t="n">
        <v>0</v>
      </c>
      <c r="AH3346" s="21" t="n">
        <v>0</v>
      </c>
      <c r="AI3346" s="21" t="n">
        <v>0</v>
      </c>
      <c r="AJ3346" s="21" t="n">
        <v>0</v>
      </c>
      <c r="AK3346" s="21" t="n">
        <v>0</v>
      </c>
      <c r="AL3346" s="21" t="n">
        <v>0</v>
      </c>
      <c r="AM3346" s="21" t="n">
        <v>0</v>
      </c>
      <c r="AN3346" s="21" t="n">
        <v>0</v>
      </c>
      <c r="AO3346" s="21" t="n">
        <v>0</v>
      </c>
      <c r="AP3346" s="21" t="n">
        <v>0</v>
      </c>
      <c r="AQ3346" s="21" t="n">
        <v>0</v>
      </c>
      <c r="AR3346" s="21" t="n">
        <v>0</v>
      </c>
      <c r="AS3346" s="21" t="n">
        <v>0</v>
      </c>
      <c r="AT3346" s="19" t="n"/>
    </row>
    <row r="3347">
      <c r="D3347" s="21" t="n">
        <v>0</v>
      </c>
      <c r="E3347" s="21" t="n">
        <v>0</v>
      </c>
      <c r="F3347" s="21" t="n">
        <v>0</v>
      </c>
      <c r="G3347" s="21" t="n">
        <v>0</v>
      </c>
      <c r="H3347" s="21" t="n">
        <v>0</v>
      </c>
      <c r="I3347" s="21" t="n">
        <v>0</v>
      </c>
      <c r="J3347" s="21" t="n">
        <v>0</v>
      </c>
      <c r="K3347" s="21" t="n">
        <v>0</v>
      </c>
      <c r="L3347" s="21" t="n">
        <v>0</v>
      </c>
      <c r="M3347" s="21" t="n">
        <v>0</v>
      </c>
      <c r="N3347" s="21" t="n">
        <v>0</v>
      </c>
      <c r="O3347" s="21" t="n">
        <v>0</v>
      </c>
      <c r="P3347" s="21" t="n">
        <v>0</v>
      </c>
      <c r="Q3347" s="21" t="n">
        <v>0</v>
      </c>
      <c r="R3347" s="21" t="n">
        <v>0</v>
      </c>
      <c r="S3347" s="21" t="n">
        <v>0</v>
      </c>
      <c r="T3347" s="21" t="n">
        <v>0</v>
      </c>
      <c r="U3347" s="21" t="n">
        <v>0</v>
      </c>
      <c r="V3347" s="21" t="n">
        <v>0</v>
      </c>
      <c r="W3347" s="21" t="n">
        <v>0</v>
      </c>
      <c r="X3347" s="21" t="n">
        <v>0</v>
      </c>
      <c r="Y3347" s="21" t="n">
        <v>0</v>
      </c>
      <c r="Z3347" s="21">
        <f>$B$1812</f>
        <v/>
      </c>
      <c r="AA3347" s="21">
        <f>$B$1814</f>
        <v/>
      </c>
      <c r="AB3347" s="21">
        <f>0</f>
        <v/>
      </c>
      <c r="AC3347" s="21">
        <f>2*$B$1813</f>
        <v/>
      </c>
      <c r="AD3347" s="21">
        <f>-$B$1812</f>
        <v/>
      </c>
      <c r="AE3347" s="21">
        <f>$B$1814</f>
        <v/>
      </c>
      <c r="AF3347" s="21" t="n">
        <v>0</v>
      </c>
      <c r="AG3347" s="21" t="n">
        <v>0</v>
      </c>
      <c r="AH3347" s="21" t="n">
        <v>0</v>
      </c>
      <c r="AI3347" s="21" t="n">
        <v>0</v>
      </c>
      <c r="AJ3347" s="21" t="n">
        <v>0</v>
      </c>
      <c r="AK3347" s="21" t="n">
        <v>0</v>
      </c>
      <c r="AL3347" s="21" t="n">
        <v>0</v>
      </c>
      <c r="AM3347" s="21" t="n">
        <v>0</v>
      </c>
      <c r="AN3347" s="21" t="n">
        <v>0</v>
      </c>
      <c r="AO3347" s="21" t="n">
        <v>0</v>
      </c>
      <c r="AP3347" s="21" t="n">
        <v>0</v>
      </c>
      <c r="AQ3347" s="21" t="n">
        <v>0</v>
      </c>
      <c r="AR3347" s="21" t="n">
        <v>0</v>
      </c>
      <c r="AS3347" s="21" t="n">
        <v>0</v>
      </c>
      <c r="AT3347" s="19" t="n"/>
    </row>
    <row r="3348">
      <c r="D3348" s="21" t="n">
        <v>0</v>
      </c>
      <c r="E3348" s="21" t="n">
        <v>0</v>
      </c>
      <c r="F3348" s="21" t="n">
        <v>0</v>
      </c>
      <c r="G3348" s="21" t="n">
        <v>0</v>
      </c>
      <c r="H3348" s="21" t="n">
        <v>0</v>
      </c>
      <c r="I3348" s="21" t="n">
        <v>0</v>
      </c>
      <c r="J3348" s="21" t="n">
        <v>0</v>
      </c>
      <c r="K3348" s="21" t="n">
        <v>0</v>
      </c>
      <c r="L3348" s="21" t="n">
        <v>0</v>
      </c>
      <c r="M3348" s="21" t="n">
        <v>0</v>
      </c>
      <c r="N3348" s="21" t="n">
        <v>0</v>
      </c>
      <c r="O3348" s="21" t="n">
        <v>0</v>
      </c>
      <c r="P3348" s="21" t="n">
        <v>0</v>
      </c>
      <c r="Q3348" s="21" t="n">
        <v>0</v>
      </c>
      <c r="R3348" s="21" t="n">
        <v>0</v>
      </c>
      <c r="S3348" s="21" t="n">
        <v>0</v>
      </c>
      <c r="T3348" s="21" t="n">
        <v>0</v>
      </c>
      <c r="U3348" s="21" t="n">
        <v>0</v>
      </c>
      <c r="V3348" s="21" t="n">
        <v>0</v>
      </c>
      <c r="W3348" s="21" t="n">
        <v>0</v>
      </c>
      <c r="X3348" s="21" t="n">
        <v>0</v>
      </c>
      <c r="Y3348" s="21" t="n">
        <v>0</v>
      </c>
      <c r="Z3348" s="21" t="n">
        <v>0</v>
      </c>
      <c r="AA3348" s="21" t="n">
        <v>0</v>
      </c>
      <c r="AB3348" s="21">
        <f>-$B$1811</f>
        <v/>
      </c>
      <c r="AC3348" s="21">
        <f>-$B$1812</f>
        <v/>
      </c>
      <c r="AD3348" s="21">
        <f>2*$B$1811+$D$3313</f>
        <v/>
      </c>
      <c r="AE3348" s="21">
        <f>0</f>
        <v/>
      </c>
      <c r="AF3348" s="21">
        <f>-$B$1811</f>
        <v/>
      </c>
      <c r="AG3348" s="21">
        <f>$B$1812</f>
        <v/>
      </c>
      <c r="AH3348" s="21" t="n">
        <v>0</v>
      </c>
      <c r="AI3348" s="21" t="n">
        <v>0</v>
      </c>
      <c r="AJ3348" s="21" t="n">
        <v>0</v>
      </c>
      <c r="AK3348" s="21" t="n">
        <v>0</v>
      </c>
      <c r="AL3348" s="21" t="n">
        <v>0</v>
      </c>
      <c r="AM3348" s="21" t="n">
        <v>0</v>
      </c>
      <c r="AN3348" s="21" t="n">
        <v>0</v>
      </c>
      <c r="AO3348" s="21" t="n">
        <v>0</v>
      </c>
      <c r="AP3348" s="21" t="n">
        <v>0</v>
      </c>
      <c r="AQ3348" s="21" t="n">
        <v>0</v>
      </c>
      <c r="AR3348" s="21" t="n">
        <v>0</v>
      </c>
      <c r="AS3348" s="21" t="n">
        <v>0</v>
      </c>
      <c r="AT3348" s="19" t="n"/>
    </row>
    <row r="3349">
      <c r="D3349" s="21" t="n">
        <v>0</v>
      </c>
      <c r="E3349" s="21" t="n">
        <v>0</v>
      </c>
      <c r="F3349" s="21" t="n">
        <v>0</v>
      </c>
      <c r="G3349" s="21" t="n">
        <v>0</v>
      </c>
      <c r="H3349" s="21" t="n">
        <v>0</v>
      </c>
      <c r="I3349" s="21" t="n">
        <v>0</v>
      </c>
      <c r="J3349" s="21" t="n">
        <v>0</v>
      </c>
      <c r="K3349" s="21" t="n">
        <v>0</v>
      </c>
      <c r="L3349" s="21" t="n">
        <v>0</v>
      </c>
      <c r="M3349" s="21" t="n">
        <v>0</v>
      </c>
      <c r="N3349" s="21" t="n">
        <v>0</v>
      </c>
      <c r="O3349" s="21" t="n">
        <v>0</v>
      </c>
      <c r="P3349" s="21" t="n">
        <v>0</v>
      </c>
      <c r="Q3349" s="21" t="n">
        <v>0</v>
      </c>
      <c r="R3349" s="21" t="n">
        <v>0</v>
      </c>
      <c r="S3349" s="21" t="n">
        <v>0</v>
      </c>
      <c r="T3349" s="21" t="n">
        <v>0</v>
      </c>
      <c r="U3349" s="21" t="n">
        <v>0</v>
      </c>
      <c r="V3349" s="21" t="n">
        <v>0</v>
      </c>
      <c r="W3349" s="21" t="n">
        <v>0</v>
      </c>
      <c r="X3349" s="21" t="n">
        <v>0</v>
      </c>
      <c r="Y3349" s="21" t="n">
        <v>0</v>
      </c>
      <c r="Z3349" s="21" t="n">
        <v>0</v>
      </c>
      <c r="AA3349" s="21" t="n">
        <v>0</v>
      </c>
      <c r="AB3349" s="21">
        <f>$B$1812</f>
        <v/>
      </c>
      <c r="AC3349" s="21">
        <f>$B$1814</f>
        <v/>
      </c>
      <c r="AD3349" s="21">
        <f>0</f>
        <v/>
      </c>
      <c r="AE3349" s="21">
        <f>2*$B$1813</f>
        <v/>
      </c>
      <c r="AF3349" s="21">
        <f>-$B$1812</f>
        <v/>
      </c>
      <c r="AG3349" s="21">
        <f>$B$1814</f>
        <v/>
      </c>
      <c r="AH3349" s="21" t="n">
        <v>0</v>
      </c>
      <c r="AI3349" s="21" t="n">
        <v>0</v>
      </c>
      <c r="AJ3349" s="21" t="n">
        <v>0</v>
      </c>
      <c r="AK3349" s="21" t="n">
        <v>0</v>
      </c>
      <c r="AL3349" s="21" t="n">
        <v>0</v>
      </c>
      <c r="AM3349" s="21" t="n">
        <v>0</v>
      </c>
      <c r="AN3349" s="21" t="n">
        <v>0</v>
      </c>
      <c r="AO3349" s="21" t="n">
        <v>0</v>
      </c>
      <c r="AP3349" s="21" t="n">
        <v>0</v>
      </c>
      <c r="AQ3349" s="21" t="n">
        <v>0</v>
      </c>
      <c r="AR3349" s="21" t="n">
        <v>0</v>
      </c>
      <c r="AS3349" s="21" t="n">
        <v>0</v>
      </c>
      <c r="AT3349" s="19" t="n"/>
    </row>
    <row r="3350">
      <c r="D3350" s="21" t="n">
        <v>0</v>
      </c>
      <c r="E3350" s="21" t="n">
        <v>0</v>
      </c>
      <c r="F3350" s="21" t="n">
        <v>0</v>
      </c>
      <c r="G3350" s="21" t="n">
        <v>0</v>
      </c>
      <c r="H3350" s="21" t="n">
        <v>0</v>
      </c>
      <c r="I3350" s="21" t="n">
        <v>0</v>
      </c>
      <c r="J3350" s="21" t="n">
        <v>0</v>
      </c>
      <c r="K3350" s="21" t="n">
        <v>0</v>
      </c>
      <c r="L3350" s="21" t="n">
        <v>0</v>
      </c>
      <c r="M3350" s="21" t="n">
        <v>0</v>
      </c>
      <c r="N3350" s="21" t="n">
        <v>0</v>
      </c>
      <c r="O3350" s="21" t="n">
        <v>0</v>
      </c>
      <c r="P3350" s="21" t="n">
        <v>0</v>
      </c>
      <c r="Q3350" s="21" t="n">
        <v>0</v>
      </c>
      <c r="R3350" s="21" t="n">
        <v>0</v>
      </c>
      <c r="S3350" s="21" t="n">
        <v>0</v>
      </c>
      <c r="T3350" s="21" t="n">
        <v>0</v>
      </c>
      <c r="U3350" s="21" t="n">
        <v>0</v>
      </c>
      <c r="V3350" s="21" t="n">
        <v>0</v>
      </c>
      <c r="W3350" s="21" t="n">
        <v>0</v>
      </c>
      <c r="X3350" s="21" t="n">
        <v>0</v>
      </c>
      <c r="Y3350" s="21" t="n">
        <v>0</v>
      </c>
      <c r="Z3350" s="21" t="n">
        <v>0</v>
      </c>
      <c r="AA3350" s="21" t="n">
        <v>0</v>
      </c>
      <c r="AB3350" s="21" t="n">
        <v>0</v>
      </c>
      <c r="AC3350" s="21" t="n">
        <v>0</v>
      </c>
      <c r="AD3350" s="21">
        <f>-$B$1811</f>
        <v/>
      </c>
      <c r="AE3350" s="21">
        <f>-$B$1812</f>
        <v/>
      </c>
      <c r="AF3350" s="21">
        <f>2*$B$1811+$D$3314</f>
        <v/>
      </c>
      <c r="AG3350" s="21">
        <f>0</f>
        <v/>
      </c>
      <c r="AH3350" s="21">
        <f>-$B$1811</f>
        <v/>
      </c>
      <c r="AI3350" s="21">
        <f>$B$1812</f>
        <v/>
      </c>
      <c r="AJ3350" s="21" t="n">
        <v>0</v>
      </c>
      <c r="AK3350" s="21" t="n">
        <v>0</v>
      </c>
      <c r="AL3350" s="21" t="n">
        <v>0</v>
      </c>
      <c r="AM3350" s="21" t="n">
        <v>0</v>
      </c>
      <c r="AN3350" s="21" t="n">
        <v>0</v>
      </c>
      <c r="AO3350" s="21" t="n">
        <v>0</v>
      </c>
      <c r="AP3350" s="21" t="n">
        <v>0</v>
      </c>
      <c r="AQ3350" s="21" t="n">
        <v>0</v>
      </c>
      <c r="AR3350" s="21" t="n">
        <v>0</v>
      </c>
      <c r="AS3350" s="21" t="n">
        <v>0</v>
      </c>
      <c r="AT3350" s="19" t="n"/>
    </row>
    <row r="3351">
      <c r="D3351" s="21" t="n">
        <v>0</v>
      </c>
      <c r="E3351" s="21" t="n">
        <v>0</v>
      </c>
      <c r="F3351" s="21" t="n">
        <v>0</v>
      </c>
      <c r="G3351" s="21" t="n">
        <v>0</v>
      </c>
      <c r="H3351" s="21" t="n">
        <v>0</v>
      </c>
      <c r="I3351" s="21" t="n">
        <v>0</v>
      </c>
      <c r="J3351" s="21" t="n">
        <v>0</v>
      </c>
      <c r="K3351" s="21" t="n">
        <v>0</v>
      </c>
      <c r="L3351" s="21" t="n">
        <v>0</v>
      </c>
      <c r="M3351" s="21" t="n">
        <v>0</v>
      </c>
      <c r="N3351" s="21" t="n">
        <v>0</v>
      </c>
      <c r="O3351" s="21" t="n">
        <v>0</v>
      </c>
      <c r="P3351" s="21" t="n">
        <v>0</v>
      </c>
      <c r="Q3351" s="21" t="n">
        <v>0</v>
      </c>
      <c r="R3351" s="21" t="n">
        <v>0</v>
      </c>
      <c r="S3351" s="21" t="n">
        <v>0</v>
      </c>
      <c r="T3351" s="21" t="n">
        <v>0</v>
      </c>
      <c r="U3351" s="21" t="n">
        <v>0</v>
      </c>
      <c r="V3351" s="21" t="n">
        <v>0</v>
      </c>
      <c r="W3351" s="21" t="n">
        <v>0</v>
      </c>
      <c r="X3351" s="21" t="n">
        <v>0</v>
      </c>
      <c r="Y3351" s="21" t="n">
        <v>0</v>
      </c>
      <c r="Z3351" s="21" t="n">
        <v>0</v>
      </c>
      <c r="AA3351" s="21" t="n">
        <v>0</v>
      </c>
      <c r="AB3351" s="21" t="n">
        <v>0</v>
      </c>
      <c r="AC3351" s="21" t="n">
        <v>0</v>
      </c>
      <c r="AD3351" s="21">
        <f>$B$1812</f>
        <v/>
      </c>
      <c r="AE3351" s="21">
        <f>$B$1814</f>
        <v/>
      </c>
      <c r="AF3351" s="21">
        <f>0</f>
        <v/>
      </c>
      <c r="AG3351" s="21">
        <f>2*$B$1813</f>
        <v/>
      </c>
      <c r="AH3351" s="21">
        <f>-$B$1812</f>
        <v/>
      </c>
      <c r="AI3351" s="21">
        <f>$B$1814</f>
        <v/>
      </c>
      <c r="AJ3351" s="21" t="n">
        <v>0</v>
      </c>
      <c r="AK3351" s="21" t="n">
        <v>0</v>
      </c>
      <c r="AL3351" s="21" t="n">
        <v>0</v>
      </c>
      <c r="AM3351" s="21" t="n">
        <v>0</v>
      </c>
      <c r="AN3351" s="21" t="n">
        <v>0</v>
      </c>
      <c r="AO3351" s="21" t="n">
        <v>0</v>
      </c>
      <c r="AP3351" s="21" t="n">
        <v>0</v>
      </c>
      <c r="AQ3351" s="21" t="n">
        <v>0</v>
      </c>
      <c r="AR3351" s="21" t="n">
        <v>0</v>
      </c>
      <c r="AS3351" s="21" t="n">
        <v>0</v>
      </c>
      <c r="AT3351" s="19" t="n"/>
    </row>
    <row r="3352">
      <c r="D3352" s="21" t="n">
        <v>0</v>
      </c>
      <c r="E3352" s="21" t="n">
        <v>0</v>
      </c>
      <c r="F3352" s="21" t="n">
        <v>0</v>
      </c>
      <c r="G3352" s="21" t="n">
        <v>0</v>
      </c>
      <c r="H3352" s="21" t="n">
        <v>0</v>
      </c>
      <c r="I3352" s="21" t="n">
        <v>0</v>
      </c>
      <c r="J3352" s="21" t="n">
        <v>0</v>
      </c>
      <c r="K3352" s="21" t="n">
        <v>0</v>
      </c>
      <c r="L3352" s="21" t="n">
        <v>0</v>
      </c>
      <c r="M3352" s="21" t="n">
        <v>0</v>
      </c>
      <c r="N3352" s="21" t="n">
        <v>0</v>
      </c>
      <c r="O3352" s="21" t="n">
        <v>0</v>
      </c>
      <c r="P3352" s="21" t="n">
        <v>0</v>
      </c>
      <c r="Q3352" s="21" t="n">
        <v>0</v>
      </c>
      <c r="R3352" s="21" t="n">
        <v>0</v>
      </c>
      <c r="S3352" s="21" t="n">
        <v>0</v>
      </c>
      <c r="T3352" s="21" t="n">
        <v>0</v>
      </c>
      <c r="U3352" s="21" t="n">
        <v>0</v>
      </c>
      <c r="V3352" s="21" t="n">
        <v>0</v>
      </c>
      <c r="W3352" s="21" t="n">
        <v>0</v>
      </c>
      <c r="X3352" s="21" t="n">
        <v>0</v>
      </c>
      <c r="Y3352" s="21" t="n">
        <v>0</v>
      </c>
      <c r="Z3352" s="21" t="n">
        <v>0</v>
      </c>
      <c r="AA3352" s="21" t="n">
        <v>0</v>
      </c>
      <c r="AB3352" s="21" t="n">
        <v>0</v>
      </c>
      <c r="AC3352" s="21" t="n">
        <v>0</v>
      </c>
      <c r="AD3352" s="21" t="n">
        <v>0</v>
      </c>
      <c r="AE3352" s="21" t="n">
        <v>0</v>
      </c>
      <c r="AF3352" s="21">
        <f>-$B$1811</f>
        <v/>
      </c>
      <c r="AG3352" s="21">
        <f>-$B$1812</f>
        <v/>
      </c>
      <c r="AH3352" s="21">
        <f>2*$B$1811+$D$3315</f>
        <v/>
      </c>
      <c r="AI3352" s="21">
        <f>0</f>
        <v/>
      </c>
      <c r="AJ3352" s="21">
        <f>-$B$1811</f>
        <v/>
      </c>
      <c r="AK3352" s="21">
        <f>$B$1812</f>
        <v/>
      </c>
      <c r="AL3352" s="21" t="n">
        <v>0</v>
      </c>
      <c r="AM3352" s="21" t="n">
        <v>0</v>
      </c>
      <c r="AN3352" s="21" t="n">
        <v>0</v>
      </c>
      <c r="AO3352" s="21" t="n">
        <v>0</v>
      </c>
      <c r="AP3352" s="21" t="n">
        <v>0</v>
      </c>
      <c r="AQ3352" s="21" t="n">
        <v>0</v>
      </c>
      <c r="AR3352" s="21" t="n">
        <v>0</v>
      </c>
      <c r="AS3352" s="21" t="n">
        <v>0</v>
      </c>
      <c r="AT3352" s="19" t="n"/>
    </row>
    <row r="3353">
      <c r="D3353" s="21" t="n">
        <v>0</v>
      </c>
      <c r="E3353" s="21" t="n">
        <v>0</v>
      </c>
      <c r="F3353" s="21" t="n">
        <v>0</v>
      </c>
      <c r="G3353" s="21" t="n">
        <v>0</v>
      </c>
      <c r="H3353" s="21" t="n">
        <v>0</v>
      </c>
      <c r="I3353" s="21" t="n">
        <v>0</v>
      </c>
      <c r="J3353" s="21" t="n">
        <v>0</v>
      </c>
      <c r="K3353" s="21" t="n">
        <v>0</v>
      </c>
      <c r="L3353" s="21" t="n">
        <v>0</v>
      </c>
      <c r="M3353" s="21" t="n">
        <v>0</v>
      </c>
      <c r="N3353" s="21" t="n">
        <v>0</v>
      </c>
      <c r="O3353" s="21" t="n">
        <v>0</v>
      </c>
      <c r="P3353" s="21" t="n">
        <v>0</v>
      </c>
      <c r="Q3353" s="21" t="n">
        <v>0</v>
      </c>
      <c r="R3353" s="21" t="n">
        <v>0</v>
      </c>
      <c r="S3353" s="21" t="n">
        <v>0</v>
      </c>
      <c r="T3353" s="21" t="n">
        <v>0</v>
      </c>
      <c r="U3353" s="21" t="n">
        <v>0</v>
      </c>
      <c r="V3353" s="21" t="n">
        <v>0</v>
      </c>
      <c r="W3353" s="21" t="n">
        <v>0</v>
      </c>
      <c r="X3353" s="21" t="n">
        <v>0</v>
      </c>
      <c r="Y3353" s="21" t="n">
        <v>0</v>
      </c>
      <c r="Z3353" s="21" t="n">
        <v>0</v>
      </c>
      <c r="AA3353" s="21" t="n">
        <v>0</v>
      </c>
      <c r="AB3353" s="21" t="n">
        <v>0</v>
      </c>
      <c r="AC3353" s="21" t="n">
        <v>0</v>
      </c>
      <c r="AD3353" s="21" t="n">
        <v>0</v>
      </c>
      <c r="AE3353" s="21" t="n">
        <v>0</v>
      </c>
      <c r="AF3353" s="21">
        <f>$B$1812</f>
        <v/>
      </c>
      <c r="AG3353" s="21">
        <f>$B$1814</f>
        <v/>
      </c>
      <c r="AH3353" s="21">
        <f>0</f>
        <v/>
      </c>
      <c r="AI3353" s="21">
        <f>2*$B$1813</f>
        <v/>
      </c>
      <c r="AJ3353" s="21">
        <f>-$B$1812</f>
        <v/>
      </c>
      <c r="AK3353" s="21">
        <f>$B$1814</f>
        <v/>
      </c>
      <c r="AL3353" s="21" t="n">
        <v>0</v>
      </c>
      <c r="AM3353" s="21" t="n">
        <v>0</v>
      </c>
      <c r="AN3353" s="21" t="n">
        <v>0</v>
      </c>
      <c r="AO3353" s="21" t="n">
        <v>0</v>
      </c>
      <c r="AP3353" s="21" t="n">
        <v>0</v>
      </c>
      <c r="AQ3353" s="21" t="n">
        <v>0</v>
      </c>
      <c r="AR3353" s="21" t="n">
        <v>0</v>
      </c>
      <c r="AS3353" s="21" t="n">
        <v>0</v>
      </c>
      <c r="AT3353" s="19" t="n"/>
    </row>
    <row r="3354">
      <c r="D3354" s="21" t="n">
        <v>0</v>
      </c>
      <c r="E3354" s="21" t="n">
        <v>0</v>
      </c>
      <c r="F3354" s="21" t="n">
        <v>0</v>
      </c>
      <c r="G3354" s="21" t="n">
        <v>0</v>
      </c>
      <c r="H3354" s="21" t="n">
        <v>0</v>
      </c>
      <c r="I3354" s="21" t="n">
        <v>0</v>
      </c>
      <c r="J3354" s="21" t="n">
        <v>0</v>
      </c>
      <c r="K3354" s="21" t="n">
        <v>0</v>
      </c>
      <c r="L3354" s="21" t="n">
        <v>0</v>
      </c>
      <c r="M3354" s="21" t="n">
        <v>0</v>
      </c>
      <c r="N3354" s="21" t="n">
        <v>0</v>
      </c>
      <c r="O3354" s="21" t="n">
        <v>0</v>
      </c>
      <c r="P3354" s="21" t="n">
        <v>0</v>
      </c>
      <c r="Q3354" s="21" t="n">
        <v>0</v>
      </c>
      <c r="R3354" s="21" t="n">
        <v>0</v>
      </c>
      <c r="S3354" s="21" t="n">
        <v>0</v>
      </c>
      <c r="T3354" s="21" t="n">
        <v>0</v>
      </c>
      <c r="U3354" s="21" t="n">
        <v>0</v>
      </c>
      <c r="V3354" s="21" t="n">
        <v>0</v>
      </c>
      <c r="W3354" s="21" t="n">
        <v>0</v>
      </c>
      <c r="X3354" s="21" t="n">
        <v>0</v>
      </c>
      <c r="Y3354" s="21" t="n">
        <v>0</v>
      </c>
      <c r="Z3354" s="21" t="n">
        <v>0</v>
      </c>
      <c r="AA3354" s="21" t="n">
        <v>0</v>
      </c>
      <c r="AB3354" s="21" t="n">
        <v>0</v>
      </c>
      <c r="AC3354" s="21" t="n">
        <v>0</v>
      </c>
      <c r="AD3354" s="21" t="n">
        <v>0</v>
      </c>
      <c r="AE3354" s="21" t="n">
        <v>0</v>
      </c>
      <c r="AF3354" s="21" t="n">
        <v>0</v>
      </c>
      <c r="AG3354" s="21" t="n">
        <v>0</v>
      </c>
      <c r="AH3354" s="21">
        <f>-$B$1811</f>
        <v/>
      </c>
      <c r="AI3354" s="21">
        <f>-$B$1812</f>
        <v/>
      </c>
      <c r="AJ3354" s="21">
        <f>2*$B$1811+$D$3316</f>
        <v/>
      </c>
      <c r="AK3354" s="21">
        <f>0</f>
        <v/>
      </c>
      <c r="AL3354" s="21">
        <f>-$B$1811</f>
        <v/>
      </c>
      <c r="AM3354" s="21">
        <f>$B$1812</f>
        <v/>
      </c>
      <c r="AN3354" s="21" t="n">
        <v>0</v>
      </c>
      <c r="AO3354" s="21" t="n">
        <v>0</v>
      </c>
      <c r="AP3354" s="21" t="n">
        <v>0</v>
      </c>
      <c r="AQ3354" s="21" t="n">
        <v>0</v>
      </c>
      <c r="AR3354" s="21" t="n">
        <v>0</v>
      </c>
      <c r="AS3354" s="21" t="n">
        <v>0</v>
      </c>
      <c r="AT3354" s="19" t="n"/>
    </row>
    <row r="3355">
      <c r="D3355" s="21" t="n">
        <v>0</v>
      </c>
      <c r="E3355" s="21" t="n">
        <v>0</v>
      </c>
      <c r="F3355" s="21" t="n">
        <v>0</v>
      </c>
      <c r="G3355" s="21" t="n">
        <v>0</v>
      </c>
      <c r="H3355" s="21" t="n">
        <v>0</v>
      </c>
      <c r="I3355" s="21" t="n">
        <v>0</v>
      </c>
      <c r="J3355" s="21" t="n">
        <v>0</v>
      </c>
      <c r="K3355" s="21" t="n">
        <v>0</v>
      </c>
      <c r="L3355" s="21" t="n">
        <v>0</v>
      </c>
      <c r="M3355" s="21" t="n">
        <v>0</v>
      </c>
      <c r="N3355" s="21" t="n">
        <v>0</v>
      </c>
      <c r="O3355" s="21" t="n">
        <v>0</v>
      </c>
      <c r="P3355" s="21" t="n">
        <v>0</v>
      </c>
      <c r="Q3355" s="21" t="n">
        <v>0</v>
      </c>
      <c r="R3355" s="21" t="n">
        <v>0</v>
      </c>
      <c r="S3355" s="21" t="n">
        <v>0</v>
      </c>
      <c r="T3355" s="21" t="n">
        <v>0</v>
      </c>
      <c r="U3355" s="21" t="n">
        <v>0</v>
      </c>
      <c r="V3355" s="21" t="n">
        <v>0</v>
      </c>
      <c r="W3355" s="21" t="n">
        <v>0</v>
      </c>
      <c r="X3355" s="21" t="n">
        <v>0</v>
      </c>
      <c r="Y3355" s="21" t="n">
        <v>0</v>
      </c>
      <c r="Z3355" s="21" t="n">
        <v>0</v>
      </c>
      <c r="AA3355" s="21" t="n">
        <v>0</v>
      </c>
      <c r="AB3355" s="21" t="n">
        <v>0</v>
      </c>
      <c r="AC3355" s="21" t="n">
        <v>0</v>
      </c>
      <c r="AD3355" s="21" t="n">
        <v>0</v>
      </c>
      <c r="AE3355" s="21" t="n">
        <v>0</v>
      </c>
      <c r="AF3355" s="21" t="n">
        <v>0</v>
      </c>
      <c r="AG3355" s="21" t="n">
        <v>0</v>
      </c>
      <c r="AH3355" s="21">
        <f>$B$1812</f>
        <v/>
      </c>
      <c r="AI3355" s="21">
        <f>$B$1814</f>
        <v/>
      </c>
      <c r="AJ3355" s="21">
        <f>0</f>
        <v/>
      </c>
      <c r="AK3355" s="21">
        <f>2*$B$1813</f>
        <v/>
      </c>
      <c r="AL3355" s="21">
        <f>-$B$1812</f>
        <v/>
      </c>
      <c r="AM3355" s="21">
        <f>$B$1814</f>
        <v/>
      </c>
      <c r="AN3355" s="21" t="n">
        <v>0</v>
      </c>
      <c r="AO3355" s="21" t="n">
        <v>0</v>
      </c>
      <c r="AP3355" s="21" t="n">
        <v>0</v>
      </c>
      <c r="AQ3355" s="21" t="n">
        <v>0</v>
      </c>
      <c r="AR3355" s="21" t="n">
        <v>0</v>
      </c>
      <c r="AS3355" s="21" t="n">
        <v>0</v>
      </c>
      <c r="AT3355" s="19" t="n"/>
    </row>
    <row r="3356">
      <c r="D3356" s="21" t="n">
        <v>0</v>
      </c>
      <c r="E3356" s="21" t="n">
        <v>0</v>
      </c>
      <c r="F3356" s="21" t="n">
        <v>0</v>
      </c>
      <c r="G3356" s="21" t="n">
        <v>0</v>
      </c>
      <c r="H3356" s="21" t="n">
        <v>0</v>
      </c>
      <c r="I3356" s="21" t="n">
        <v>0</v>
      </c>
      <c r="J3356" s="21" t="n">
        <v>0</v>
      </c>
      <c r="K3356" s="21" t="n">
        <v>0</v>
      </c>
      <c r="L3356" s="21" t="n">
        <v>0</v>
      </c>
      <c r="M3356" s="21" t="n">
        <v>0</v>
      </c>
      <c r="N3356" s="21" t="n">
        <v>0</v>
      </c>
      <c r="O3356" s="21" t="n">
        <v>0</v>
      </c>
      <c r="P3356" s="21" t="n">
        <v>0</v>
      </c>
      <c r="Q3356" s="21" t="n">
        <v>0</v>
      </c>
      <c r="R3356" s="21" t="n">
        <v>0</v>
      </c>
      <c r="S3356" s="21" t="n">
        <v>0</v>
      </c>
      <c r="T3356" s="21" t="n">
        <v>0</v>
      </c>
      <c r="U3356" s="21" t="n">
        <v>0</v>
      </c>
      <c r="V3356" s="21" t="n">
        <v>0</v>
      </c>
      <c r="W3356" s="21" t="n">
        <v>0</v>
      </c>
      <c r="X3356" s="21" t="n">
        <v>0</v>
      </c>
      <c r="Y3356" s="21" t="n">
        <v>0</v>
      </c>
      <c r="Z3356" s="21" t="n">
        <v>0</v>
      </c>
      <c r="AA3356" s="21" t="n">
        <v>0</v>
      </c>
      <c r="AB3356" s="21" t="n">
        <v>0</v>
      </c>
      <c r="AC3356" s="21" t="n">
        <v>0</v>
      </c>
      <c r="AD3356" s="21" t="n">
        <v>0</v>
      </c>
      <c r="AE3356" s="21" t="n">
        <v>0</v>
      </c>
      <c r="AF3356" s="21" t="n">
        <v>0</v>
      </c>
      <c r="AG3356" s="21" t="n">
        <v>0</v>
      </c>
      <c r="AH3356" s="21" t="n">
        <v>0</v>
      </c>
      <c r="AI3356" s="21" t="n">
        <v>0</v>
      </c>
      <c r="AJ3356" s="21">
        <f>-$B$1811</f>
        <v/>
      </c>
      <c r="AK3356" s="21">
        <f>-$B$1812</f>
        <v/>
      </c>
      <c r="AL3356" s="21">
        <f>2*$B$1811+$D$3317</f>
        <v/>
      </c>
      <c r="AM3356" s="21">
        <f>0</f>
        <v/>
      </c>
      <c r="AN3356" s="21">
        <f>-$B$1811</f>
        <v/>
      </c>
      <c r="AO3356" s="21">
        <f>$B$1812</f>
        <v/>
      </c>
      <c r="AP3356" s="21" t="n">
        <v>0</v>
      </c>
      <c r="AQ3356" s="21" t="n">
        <v>0</v>
      </c>
      <c r="AR3356" s="21" t="n">
        <v>0</v>
      </c>
      <c r="AS3356" s="21" t="n">
        <v>0</v>
      </c>
      <c r="AT3356" s="19" t="n"/>
    </row>
    <row r="3357">
      <c r="D3357" s="21" t="n">
        <v>0</v>
      </c>
      <c r="E3357" s="21" t="n">
        <v>0</v>
      </c>
      <c r="F3357" s="21" t="n">
        <v>0</v>
      </c>
      <c r="G3357" s="21" t="n">
        <v>0</v>
      </c>
      <c r="H3357" s="21" t="n">
        <v>0</v>
      </c>
      <c r="I3357" s="21" t="n">
        <v>0</v>
      </c>
      <c r="J3357" s="21" t="n">
        <v>0</v>
      </c>
      <c r="K3357" s="21" t="n">
        <v>0</v>
      </c>
      <c r="L3357" s="21" t="n">
        <v>0</v>
      </c>
      <c r="M3357" s="21" t="n">
        <v>0</v>
      </c>
      <c r="N3357" s="21" t="n">
        <v>0</v>
      </c>
      <c r="O3357" s="21" t="n">
        <v>0</v>
      </c>
      <c r="P3357" s="21" t="n">
        <v>0</v>
      </c>
      <c r="Q3357" s="21" t="n">
        <v>0</v>
      </c>
      <c r="R3357" s="21" t="n">
        <v>0</v>
      </c>
      <c r="S3357" s="21" t="n">
        <v>0</v>
      </c>
      <c r="T3357" s="21" t="n">
        <v>0</v>
      </c>
      <c r="U3357" s="21" t="n">
        <v>0</v>
      </c>
      <c r="V3357" s="21" t="n">
        <v>0</v>
      </c>
      <c r="W3357" s="21" t="n">
        <v>0</v>
      </c>
      <c r="X3357" s="21" t="n">
        <v>0</v>
      </c>
      <c r="Y3357" s="21" t="n">
        <v>0</v>
      </c>
      <c r="Z3357" s="21" t="n">
        <v>0</v>
      </c>
      <c r="AA3357" s="21" t="n">
        <v>0</v>
      </c>
      <c r="AB3357" s="21" t="n">
        <v>0</v>
      </c>
      <c r="AC3357" s="21" t="n">
        <v>0</v>
      </c>
      <c r="AD3357" s="21" t="n">
        <v>0</v>
      </c>
      <c r="AE3357" s="21" t="n">
        <v>0</v>
      </c>
      <c r="AF3357" s="21" t="n">
        <v>0</v>
      </c>
      <c r="AG3357" s="21" t="n">
        <v>0</v>
      </c>
      <c r="AH3357" s="21" t="n">
        <v>0</v>
      </c>
      <c r="AI3357" s="21" t="n">
        <v>0</v>
      </c>
      <c r="AJ3357" s="21">
        <f>$B$1812</f>
        <v/>
      </c>
      <c r="AK3357" s="21">
        <f>$B$1814</f>
        <v/>
      </c>
      <c r="AL3357" s="21">
        <f>0</f>
        <v/>
      </c>
      <c r="AM3357" s="21">
        <f>2*$B$1813</f>
        <v/>
      </c>
      <c r="AN3357" s="21">
        <f>-$B$1812</f>
        <v/>
      </c>
      <c r="AO3357" s="21">
        <f>$B$1814</f>
        <v/>
      </c>
      <c r="AP3357" s="21" t="n">
        <v>0</v>
      </c>
      <c r="AQ3357" s="21" t="n">
        <v>0</v>
      </c>
      <c r="AR3357" s="21" t="n">
        <v>0</v>
      </c>
      <c r="AS3357" s="21" t="n">
        <v>0</v>
      </c>
      <c r="AT3357" s="19" t="n"/>
    </row>
    <row r="3358">
      <c r="D3358" s="21" t="n">
        <v>0</v>
      </c>
      <c r="E3358" s="21" t="n">
        <v>0</v>
      </c>
      <c r="F3358" s="21" t="n">
        <v>0</v>
      </c>
      <c r="G3358" s="21" t="n">
        <v>0</v>
      </c>
      <c r="H3358" s="21" t="n">
        <v>0</v>
      </c>
      <c r="I3358" s="21" t="n">
        <v>0</v>
      </c>
      <c r="J3358" s="21" t="n">
        <v>0</v>
      </c>
      <c r="K3358" s="21" t="n">
        <v>0</v>
      </c>
      <c r="L3358" s="21" t="n">
        <v>0</v>
      </c>
      <c r="M3358" s="21" t="n">
        <v>0</v>
      </c>
      <c r="N3358" s="21" t="n">
        <v>0</v>
      </c>
      <c r="O3358" s="21" t="n">
        <v>0</v>
      </c>
      <c r="P3358" s="21" t="n">
        <v>0</v>
      </c>
      <c r="Q3358" s="21" t="n">
        <v>0</v>
      </c>
      <c r="R3358" s="21" t="n">
        <v>0</v>
      </c>
      <c r="S3358" s="21" t="n">
        <v>0</v>
      </c>
      <c r="T3358" s="21" t="n">
        <v>0</v>
      </c>
      <c r="U3358" s="21" t="n">
        <v>0</v>
      </c>
      <c r="V3358" s="21" t="n">
        <v>0</v>
      </c>
      <c r="W3358" s="21" t="n">
        <v>0</v>
      </c>
      <c r="X3358" s="21" t="n">
        <v>0</v>
      </c>
      <c r="Y3358" s="21" t="n">
        <v>0</v>
      </c>
      <c r="Z3358" s="21" t="n">
        <v>0</v>
      </c>
      <c r="AA3358" s="21" t="n">
        <v>0</v>
      </c>
      <c r="AB3358" s="21" t="n">
        <v>0</v>
      </c>
      <c r="AC3358" s="21" t="n">
        <v>0</v>
      </c>
      <c r="AD3358" s="21" t="n">
        <v>0</v>
      </c>
      <c r="AE3358" s="21" t="n">
        <v>0</v>
      </c>
      <c r="AF3358" s="21" t="n">
        <v>0</v>
      </c>
      <c r="AG3358" s="21" t="n">
        <v>0</v>
      </c>
      <c r="AH3358" s="21" t="n">
        <v>0</v>
      </c>
      <c r="AI3358" s="21" t="n">
        <v>0</v>
      </c>
      <c r="AJ3358" s="21" t="n">
        <v>0</v>
      </c>
      <c r="AK3358" s="21" t="n">
        <v>0</v>
      </c>
      <c r="AL3358" s="21">
        <f>-$B$1811</f>
        <v/>
      </c>
      <c r="AM3358" s="21">
        <f>-$B$1812</f>
        <v/>
      </c>
      <c r="AN3358" s="21">
        <f>2*$B$1811+$D$3318</f>
        <v/>
      </c>
      <c r="AO3358" s="21">
        <f>0</f>
        <v/>
      </c>
      <c r="AP3358" s="21">
        <f>-$B$1811</f>
        <v/>
      </c>
      <c r="AQ3358" s="21">
        <f>$B$1812</f>
        <v/>
      </c>
      <c r="AR3358" s="21" t="n">
        <v>0</v>
      </c>
      <c r="AS3358" s="21" t="n">
        <v>0</v>
      </c>
      <c r="AT3358" s="19" t="n"/>
    </row>
    <row r="3359">
      <c r="D3359" s="21" t="n">
        <v>0</v>
      </c>
      <c r="E3359" s="21" t="n">
        <v>0</v>
      </c>
      <c r="F3359" s="21" t="n">
        <v>0</v>
      </c>
      <c r="G3359" s="21" t="n">
        <v>0</v>
      </c>
      <c r="H3359" s="21" t="n">
        <v>0</v>
      </c>
      <c r="I3359" s="21" t="n">
        <v>0</v>
      </c>
      <c r="J3359" s="21" t="n">
        <v>0</v>
      </c>
      <c r="K3359" s="21" t="n">
        <v>0</v>
      </c>
      <c r="L3359" s="21" t="n">
        <v>0</v>
      </c>
      <c r="M3359" s="21" t="n">
        <v>0</v>
      </c>
      <c r="N3359" s="21" t="n">
        <v>0</v>
      </c>
      <c r="O3359" s="21" t="n">
        <v>0</v>
      </c>
      <c r="P3359" s="21" t="n">
        <v>0</v>
      </c>
      <c r="Q3359" s="21" t="n">
        <v>0</v>
      </c>
      <c r="R3359" s="21" t="n">
        <v>0</v>
      </c>
      <c r="S3359" s="21" t="n">
        <v>0</v>
      </c>
      <c r="T3359" s="21" t="n">
        <v>0</v>
      </c>
      <c r="U3359" s="21" t="n">
        <v>0</v>
      </c>
      <c r="V3359" s="21" t="n">
        <v>0</v>
      </c>
      <c r="W3359" s="21" t="n">
        <v>0</v>
      </c>
      <c r="X3359" s="21" t="n">
        <v>0</v>
      </c>
      <c r="Y3359" s="21" t="n">
        <v>0</v>
      </c>
      <c r="Z3359" s="21" t="n">
        <v>0</v>
      </c>
      <c r="AA3359" s="21" t="n">
        <v>0</v>
      </c>
      <c r="AB3359" s="21" t="n">
        <v>0</v>
      </c>
      <c r="AC3359" s="21" t="n">
        <v>0</v>
      </c>
      <c r="AD3359" s="21" t="n">
        <v>0</v>
      </c>
      <c r="AE3359" s="21" t="n">
        <v>0</v>
      </c>
      <c r="AF3359" s="21" t="n">
        <v>0</v>
      </c>
      <c r="AG3359" s="21" t="n">
        <v>0</v>
      </c>
      <c r="AH3359" s="21" t="n">
        <v>0</v>
      </c>
      <c r="AI3359" s="21" t="n">
        <v>0</v>
      </c>
      <c r="AJ3359" s="21" t="n">
        <v>0</v>
      </c>
      <c r="AK3359" s="21" t="n">
        <v>0</v>
      </c>
      <c r="AL3359" s="21">
        <f>$B$1812</f>
        <v/>
      </c>
      <c r="AM3359" s="21">
        <f>$B$1814</f>
        <v/>
      </c>
      <c r="AN3359" s="21">
        <f>0</f>
        <v/>
      </c>
      <c r="AO3359" s="21">
        <f>2*$B$1813</f>
        <v/>
      </c>
      <c r="AP3359" s="21">
        <f>-$B$1812</f>
        <v/>
      </c>
      <c r="AQ3359" s="21">
        <f>$B$1814</f>
        <v/>
      </c>
      <c r="AR3359" s="21" t="n">
        <v>0</v>
      </c>
      <c r="AS3359" s="21" t="n">
        <v>0</v>
      </c>
      <c r="AT3359" s="19" t="n"/>
    </row>
    <row r="3360">
      <c r="D3360" s="21" t="n">
        <v>0</v>
      </c>
      <c r="E3360" s="21" t="n">
        <v>0</v>
      </c>
      <c r="F3360" s="21" t="n">
        <v>0</v>
      </c>
      <c r="G3360" s="21" t="n">
        <v>0</v>
      </c>
      <c r="H3360" s="21" t="n">
        <v>0</v>
      </c>
      <c r="I3360" s="21" t="n">
        <v>0</v>
      </c>
      <c r="J3360" s="21" t="n">
        <v>0</v>
      </c>
      <c r="K3360" s="21" t="n">
        <v>0</v>
      </c>
      <c r="L3360" s="21" t="n">
        <v>0</v>
      </c>
      <c r="M3360" s="21" t="n">
        <v>0</v>
      </c>
      <c r="N3360" s="21" t="n">
        <v>0</v>
      </c>
      <c r="O3360" s="21" t="n">
        <v>0</v>
      </c>
      <c r="P3360" s="21" t="n">
        <v>0</v>
      </c>
      <c r="Q3360" s="21" t="n">
        <v>0</v>
      </c>
      <c r="R3360" s="21" t="n">
        <v>0</v>
      </c>
      <c r="S3360" s="21" t="n">
        <v>0</v>
      </c>
      <c r="T3360" s="21" t="n">
        <v>0</v>
      </c>
      <c r="U3360" s="21" t="n">
        <v>0</v>
      </c>
      <c r="V3360" s="21" t="n">
        <v>0</v>
      </c>
      <c r="W3360" s="21" t="n">
        <v>0</v>
      </c>
      <c r="X3360" s="21" t="n">
        <v>0</v>
      </c>
      <c r="Y3360" s="21" t="n">
        <v>0</v>
      </c>
      <c r="Z3360" s="21" t="n">
        <v>0</v>
      </c>
      <c r="AA3360" s="21" t="n">
        <v>0</v>
      </c>
      <c r="AB3360" s="21" t="n">
        <v>0</v>
      </c>
      <c r="AC3360" s="21" t="n">
        <v>0</v>
      </c>
      <c r="AD3360" s="21" t="n">
        <v>0</v>
      </c>
      <c r="AE3360" s="21" t="n">
        <v>0</v>
      </c>
      <c r="AF3360" s="21" t="n">
        <v>0</v>
      </c>
      <c r="AG3360" s="21" t="n">
        <v>0</v>
      </c>
      <c r="AH3360" s="21" t="n">
        <v>0</v>
      </c>
      <c r="AI3360" s="21" t="n">
        <v>0</v>
      </c>
      <c r="AJ3360" s="21" t="n">
        <v>0</v>
      </c>
      <c r="AK3360" s="21" t="n">
        <v>0</v>
      </c>
      <c r="AL3360" s="21" t="n">
        <v>0</v>
      </c>
      <c r="AM3360" s="21" t="n">
        <v>0</v>
      </c>
      <c r="AN3360" s="21">
        <f>-$B$1811</f>
        <v/>
      </c>
      <c r="AO3360" s="21">
        <f>-$B$1812</f>
        <v/>
      </c>
      <c r="AP3360" s="21">
        <f>2*$B$1811+$D$3319</f>
        <v/>
      </c>
      <c r="AQ3360" s="21">
        <f>0</f>
        <v/>
      </c>
      <c r="AR3360" s="21">
        <f>-$B$1811</f>
        <v/>
      </c>
      <c r="AS3360" s="21">
        <f>$B$1812</f>
        <v/>
      </c>
      <c r="AT3360" s="19" t="n"/>
    </row>
    <row r="3361">
      <c r="D3361" s="21" t="n">
        <v>0</v>
      </c>
      <c r="E3361" s="21" t="n">
        <v>0</v>
      </c>
      <c r="F3361" s="21" t="n">
        <v>0</v>
      </c>
      <c r="G3361" s="21" t="n">
        <v>0</v>
      </c>
      <c r="H3361" s="21" t="n">
        <v>0</v>
      </c>
      <c r="I3361" s="21" t="n">
        <v>0</v>
      </c>
      <c r="J3361" s="21" t="n">
        <v>0</v>
      </c>
      <c r="K3361" s="21" t="n">
        <v>0</v>
      </c>
      <c r="L3361" s="21" t="n">
        <v>0</v>
      </c>
      <c r="M3361" s="21" t="n">
        <v>0</v>
      </c>
      <c r="N3361" s="21" t="n">
        <v>0</v>
      </c>
      <c r="O3361" s="21" t="n">
        <v>0</v>
      </c>
      <c r="P3361" s="21" t="n">
        <v>0</v>
      </c>
      <c r="Q3361" s="21" t="n">
        <v>0</v>
      </c>
      <c r="R3361" s="21" t="n">
        <v>0</v>
      </c>
      <c r="S3361" s="21" t="n">
        <v>0</v>
      </c>
      <c r="T3361" s="21" t="n">
        <v>0</v>
      </c>
      <c r="U3361" s="21" t="n">
        <v>0</v>
      </c>
      <c r="V3361" s="21" t="n">
        <v>0</v>
      </c>
      <c r="W3361" s="21" t="n">
        <v>0</v>
      </c>
      <c r="X3361" s="21" t="n">
        <v>0</v>
      </c>
      <c r="Y3361" s="21" t="n">
        <v>0</v>
      </c>
      <c r="Z3361" s="21" t="n">
        <v>0</v>
      </c>
      <c r="AA3361" s="21" t="n">
        <v>0</v>
      </c>
      <c r="AB3361" s="21" t="n">
        <v>0</v>
      </c>
      <c r="AC3361" s="21" t="n">
        <v>0</v>
      </c>
      <c r="AD3361" s="21" t="n">
        <v>0</v>
      </c>
      <c r="AE3361" s="21" t="n">
        <v>0</v>
      </c>
      <c r="AF3361" s="21" t="n">
        <v>0</v>
      </c>
      <c r="AG3361" s="21" t="n">
        <v>0</v>
      </c>
      <c r="AH3361" s="21" t="n">
        <v>0</v>
      </c>
      <c r="AI3361" s="21" t="n">
        <v>0</v>
      </c>
      <c r="AJ3361" s="21" t="n">
        <v>0</v>
      </c>
      <c r="AK3361" s="21" t="n">
        <v>0</v>
      </c>
      <c r="AL3361" s="21" t="n">
        <v>0</v>
      </c>
      <c r="AM3361" s="21" t="n">
        <v>0</v>
      </c>
      <c r="AN3361" s="21">
        <f>$B$1812</f>
        <v/>
      </c>
      <c r="AO3361" s="21">
        <f>$B$1814</f>
        <v/>
      </c>
      <c r="AP3361" s="21">
        <f>0</f>
        <v/>
      </c>
      <c r="AQ3361" s="21">
        <f>2*$B$1813</f>
        <v/>
      </c>
      <c r="AR3361" s="21">
        <f>-$B$1812</f>
        <v/>
      </c>
      <c r="AS3361" s="21">
        <f>$B$1814</f>
        <v/>
      </c>
      <c r="AT3361" s="19" t="n"/>
    </row>
    <row r="3362">
      <c r="D3362" s="21" t="n">
        <v>0</v>
      </c>
      <c r="E3362" s="21" t="n">
        <v>0</v>
      </c>
      <c r="F3362" s="21" t="n">
        <v>0</v>
      </c>
      <c r="G3362" s="21" t="n">
        <v>0</v>
      </c>
      <c r="H3362" s="21" t="n">
        <v>0</v>
      </c>
      <c r="I3362" s="21" t="n">
        <v>0</v>
      </c>
      <c r="J3362" s="21" t="n">
        <v>0</v>
      </c>
      <c r="K3362" s="21" t="n">
        <v>0</v>
      </c>
      <c r="L3362" s="21" t="n">
        <v>0</v>
      </c>
      <c r="M3362" s="21" t="n">
        <v>0</v>
      </c>
      <c r="N3362" s="21" t="n">
        <v>0</v>
      </c>
      <c r="O3362" s="21" t="n">
        <v>0</v>
      </c>
      <c r="P3362" s="21" t="n">
        <v>0</v>
      </c>
      <c r="Q3362" s="21" t="n">
        <v>0</v>
      </c>
      <c r="R3362" s="21" t="n">
        <v>0</v>
      </c>
      <c r="S3362" s="21" t="n">
        <v>0</v>
      </c>
      <c r="T3362" s="21" t="n">
        <v>0</v>
      </c>
      <c r="U3362" s="21" t="n">
        <v>0</v>
      </c>
      <c r="V3362" s="21" t="n">
        <v>0</v>
      </c>
      <c r="W3362" s="21" t="n">
        <v>0</v>
      </c>
      <c r="X3362" s="21" t="n">
        <v>0</v>
      </c>
      <c r="Y3362" s="21" t="n">
        <v>0</v>
      </c>
      <c r="Z3362" s="21" t="n">
        <v>0</v>
      </c>
      <c r="AA3362" s="21" t="n">
        <v>0</v>
      </c>
      <c r="AB3362" s="21" t="n">
        <v>0</v>
      </c>
      <c r="AC3362" s="21" t="n">
        <v>0</v>
      </c>
      <c r="AD3362" s="21" t="n">
        <v>0</v>
      </c>
      <c r="AE3362" s="21" t="n">
        <v>0</v>
      </c>
      <c r="AF3362" s="21" t="n">
        <v>0</v>
      </c>
      <c r="AG3362" s="21" t="n">
        <v>0</v>
      </c>
      <c r="AH3362" s="21" t="n">
        <v>0</v>
      </c>
      <c r="AI3362" s="21" t="n">
        <v>0</v>
      </c>
      <c r="AJ3362" s="21" t="n">
        <v>0</v>
      </c>
      <c r="AK3362" s="21" t="n">
        <v>0</v>
      </c>
      <c r="AL3362" s="21" t="n">
        <v>0</v>
      </c>
      <c r="AM3362" s="21" t="n">
        <v>0</v>
      </c>
      <c r="AN3362" s="21" t="n">
        <v>0</v>
      </c>
      <c r="AO3362" s="21" t="n">
        <v>0</v>
      </c>
      <c r="AP3362" s="21">
        <f>-$B$1811</f>
        <v/>
      </c>
      <c r="AQ3362" s="21">
        <f>-$B$1812</f>
        <v/>
      </c>
      <c r="AR3362" s="21">
        <f>$B$1811+$D$3320</f>
        <v/>
      </c>
      <c r="AS3362" s="21">
        <f>-$B$1812</f>
        <v/>
      </c>
      <c r="AT3362" s="19" t="n"/>
    </row>
    <row r="3363">
      <c r="D3363" s="21" t="n">
        <v>0</v>
      </c>
      <c r="E3363" s="21" t="n">
        <v>0</v>
      </c>
      <c r="F3363" s="21" t="n">
        <v>0</v>
      </c>
      <c r="G3363" s="21" t="n">
        <v>0</v>
      </c>
      <c r="H3363" s="21" t="n">
        <v>0</v>
      </c>
      <c r="I3363" s="21" t="n">
        <v>0</v>
      </c>
      <c r="J3363" s="21" t="n">
        <v>0</v>
      </c>
      <c r="K3363" s="21" t="n">
        <v>0</v>
      </c>
      <c r="L3363" s="21" t="n">
        <v>0</v>
      </c>
      <c r="M3363" s="21" t="n">
        <v>0</v>
      </c>
      <c r="N3363" s="21" t="n">
        <v>0</v>
      </c>
      <c r="O3363" s="21" t="n">
        <v>0</v>
      </c>
      <c r="P3363" s="21" t="n">
        <v>0</v>
      </c>
      <c r="Q3363" s="21" t="n">
        <v>0</v>
      </c>
      <c r="R3363" s="21" t="n">
        <v>0</v>
      </c>
      <c r="S3363" s="21" t="n">
        <v>0</v>
      </c>
      <c r="T3363" s="21" t="n">
        <v>0</v>
      </c>
      <c r="U3363" s="21" t="n">
        <v>0</v>
      </c>
      <c r="V3363" s="21" t="n">
        <v>0</v>
      </c>
      <c r="W3363" s="21" t="n">
        <v>0</v>
      </c>
      <c r="X3363" s="21" t="n">
        <v>0</v>
      </c>
      <c r="Y3363" s="21" t="n">
        <v>0</v>
      </c>
      <c r="Z3363" s="21" t="n">
        <v>0</v>
      </c>
      <c r="AA3363" s="21" t="n">
        <v>0</v>
      </c>
      <c r="AB3363" s="21" t="n">
        <v>0</v>
      </c>
      <c r="AC3363" s="21" t="n">
        <v>0</v>
      </c>
      <c r="AD3363" s="21" t="n">
        <v>0</v>
      </c>
      <c r="AE3363" s="21" t="n">
        <v>0</v>
      </c>
      <c r="AF3363" s="21" t="n">
        <v>0</v>
      </c>
      <c r="AG3363" s="21" t="n">
        <v>0</v>
      </c>
      <c r="AH3363" s="21" t="n">
        <v>0</v>
      </c>
      <c r="AI3363" s="21" t="n">
        <v>0</v>
      </c>
      <c r="AJ3363" s="21" t="n">
        <v>0</v>
      </c>
      <c r="AK3363" s="21" t="n">
        <v>0</v>
      </c>
      <c r="AL3363" s="21" t="n">
        <v>0</v>
      </c>
      <c r="AM3363" s="21" t="n">
        <v>0</v>
      </c>
      <c r="AN3363" s="21" t="n">
        <v>0</v>
      </c>
      <c r="AO3363" s="21" t="n">
        <v>0</v>
      </c>
      <c r="AP3363" s="21">
        <f>$B$1812</f>
        <v/>
      </c>
      <c r="AQ3363" s="21">
        <f>$B$1814</f>
        <v/>
      </c>
      <c r="AR3363" s="21">
        <f>-$B$1812</f>
        <v/>
      </c>
      <c r="AS3363" s="21">
        <f>$B$1813</f>
        <v/>
      </c>
      <c r="AT3363" s="19" t="n"/>
    </row>
    <row r="3365">
      <c r="A3365" s="8" t="inlineStr">
        <is>
          <t>gen 23</t>
        </is>
      </c>
    </row>
    <row r="3366">
      <c r="D3366" s="19">
        <f>IF(ABS(IF(ABS($E$3300)&gt;0.000000001,$E$3300,0.000000001))=0,0,IF($E$1826&lt;=$B$1820,0,IF(ABS(IF(ABS($E$3300)&gt;0.000000001,$E$3300,0.000000001))&gt;=8*$B$1822,$H$1826,0.5*$H$1826*(ABS(IF(ABS($E$3300)&gt;0.000000001,$E$3300,0.000000001))/$B$1822)^(1/3)))/ABS(IF(ABS($E$3300)&gt;0.000000001,$E$3300,0.000000001))*$I$1826)</f>
        <v/>
      </c>
      <c r="E3366" s="19">
        <f>0.5*$E$3300+0.5*$AT$3388</f>
        <v/>
      </c>
      <c r="F3366" s="19">
        <f>$AT$3389</f>
        <v/>
      </c>
    </row>
    <row r="3367">
      <c r="D3367" s="19">
        <f>IF(ABS(IF(ABS($E$3301)&gt;0.000000001,$E$3301,0.000000001))=0,0,IF($E$1827&lt;=$B$1820,0,IF(ABS(IF(ABS($E$3301)&gt;0.000000001,$E$3301,0.000000001))&gt;=8*$B$1822,$H$1827,0.5*$H$1827*(ABS(IF(ABS($E$3301)&gt;0.000000001,$E$3301,0.000000001))/$B$1822)^(1/3)))/ABS(IF(ABS($E$3301)&gt;0.000000001,$E$3301,0.000000001))*$I$1827)</f>
        <v/>
      </c>
      <c r="E3367" s="19">
        <f>0.5*$E$3301+0.5*$AT$3390</f>
        <v/>
      </c>
      <c r="F3367" s="19">
        <f>$AT$3391</f>
        <v/>
      </c>
    </row>
    <row r="3368">
      <c r="D3368" s="19">
        <f>IF(ABS(IF(ABS($E$3302)&gt;0.000000001,$E$3302,0.000000001))=0,0,IF($E$1828&lt;=$B$1820,0,IF(ABS(IF(ABS($E$3302)&gt;0.000000001,$E$3302,0.000000001))&gt;=8*$B$1822,$H$1828,0.5*$H$1828*(ABS(IF(ABS($E$3302)&gt;0.000000001,$E$3302,0.000000001))/$B$1822)^(1/3)))/ABS(IF(ABS($E$3302)&gt;0.000000001,$E$3302,0.000000001))*$I$1828)</f>
        <v/>
      </c>
      <c r="E3368" s="19">
        <f>0.5*$E$3302+0.5*$AT$3392</f>
        <v/>
      </c>
      <c r="F3368" s="19">
        <f>$AT$3393</f>
        <v/>
      </c>
    </row>
    <row r="3369">
      <c r="D3369" s="19">
        <f>IF(ABS(IF(ABS($E$3303)&gt;0.000000001,$E$3303,0.000000001))=0,0,IF($E$1829&lt;=$B$1820,0,IF(ABS(IF(ABS($E$3303)&gt;0.000000001,$E$3303,0.000000001))&gt;=8*$B$1822,$H$1829,0.5*$H$1829*(ABS(IF(ABS($E$3303)&gt;0.000000001,$E$3303,0.000000001))/$B$1822)^(1/3)))/ABS(IF(ABS($E$3303)&gt;0.000000001,$E$3303,0.000000001))*$I$1829)</f>
        <v/>
      </c>
      <c r="E3369" s="19">
        <f>0.5*$E$3303+0.5*$AT$3394</f>
        <v/>
      </c>
      <c r="F3369" s="19">
        <f>$AT$3395</f>
        <v/>
      </c>
    </row>
    <row r="3370">
      <c r="D3370" s="19">
        <f>IF(ABS(IF(ABS($E$3304)&gt;0.000000001,$E$3304,0.000000001))=0,0,IF($E$1830&lt;=$B$1820,0,IF(ABS(IF(ABS($E$3304)&gt;0.000000001,$E$3304,0.000000001))&gt;=8*$B$1822,$H$1830,0.5*$H$1830*(ABS(IF(ABS($E$3304)&gt;0.000000001,$E$3304,0.000000001))/$B$1822)^(1/3)))/ABS(IF(ABS($E$3304)&gt;0.000000001,$E$3304,0.000000001))*$I$1830)</f>
        <v/>
      </c>
      <c r="E3370" s="19">
        <f>0.5*$E$3304+0.5*$AT$3396</f>
        <v/>
      </c>
      <c r="F3370" s="19">
        <f>$AT$3397</f>
        <v/>
      </c>
    </row>
    <row r="3371">
      <c r="D3371" s="19">
        <f>IF(ABS(IF(ABS($E$3305)&gt;0.000000001,$E$3305,0.000000001))=0,0,IF($E$1831&lt;=$B$1820,0,IF(ABS(IF(ABS($E$3305)&gt;0.000000001,$E$3305,0.000000001))&gt;=8*$B$1822,$H$1831,0.5*$H$1831*(ABS(IF(ABS($E$3305)&gt;0.000000001,$E$3305,0.000000001))/$B$1822)^(1/3)))/ABS(IF(ABS($E$3305)&gt;0.000000001,$E$3305,0.000000001))*$I$1831)</f>
        <v/>
      </c>
      <c r="E3371" s="19">
        <f>0.5*$E$3305+0.5*$AT$3398</f>
        <v/>
      </c>
      <c r="F3371" s="19">
        <f>$AT$3399</f>
        <v/>
      </c>
    </row>
    <row r="3372">
      <c r="D3372" s="19">
        <f>IF(ABS(IF(ABS($E$3306)&gt;0.000000001,$E$3306,0.000000001))=0,0,IF($E$1832&lt;=$B$1820,0,IF(ABS(IF(ABS($E$3306)&gt;0.000000001,$E$3306,0.000000001))&gt;=8*$B$1822,$H$1832,0.5*$H$1832*(ABS(IF(ABS($E$3306)&gt;0.000000001,$E$3306,0.000000001))/$B$1822)^(1/3)))/ABS(IF(ABS($E$3306)&gt;0.000000001,$E$3306,0.000000001))*$I$1832)</f>
        <v/>
      </c>
      <c r="E3372" s="19">
        <f>0.5*$E$3306+0.5*$AT$3400</f>
        <v/>
      </c>
      <c r="F3372" s="19">
        <f>$AT$3401</f>
        <v/>
      </c>
    </row>
    <row r="3373">
      <c r="D3373" s="19">
        <f>IF(ABS(IF(ABS($E$3307)&gt;0.000000001,$E$3307,0.000000001))=0,0,IF($E$1833&lt;=$B$1820,0,IF(ABS(IF(ABS($E$3307)&gt;0.000000001,$E$3307,0.000000001))&gt;=8*$B$1822,$H$1833,0.5*$H$1833*(ABS(IF(ABS($E$3307)&gt;0.000000001,$E$3307,0.000000001))/$B$1822)^(1/3)))/ABS(IF(ABS($E$3307)&gt;0.000000001,$E$3307,0.000000001))*$I$1833)</f>
        <v/>
      </c>
      <c r="E3373" s="19">
        <f>0.5*$E$3307+0.5*$AT$3402</f>
        <v/>
      </c>
      <c r="F3373" s="19">
        <f>$AT$3403</f>
        <v/>
      </c>
    </row>
    <row r="3374">
      <c r="D3374" s="19">
        <f>IF(ABS(IF(ABS($E$3308)&gt;0.000000001,$E$3308,0.000000001))=0,0,IF($E$1834&lt;=$B$1820,0,IF(ABS(IF(ABS($E$3308)&gt;0.000000001,$E$3308,0.000000001))&gt;=8*$B$1822,$H$1834,0.5*$H$1834*(ABS(IF(ABS($E$3308)&gt;0.000000001,$E$3308,0.000000001))/$B$1822)^(1/3)))/ABS(IF(ABS($E$3308)&gt;0.000000001,$E$3308,0.000000001))*$I$1834)</f>
        <v/>
      </c>
      <c r="E3374" s="19">
        <f>0.5*$E$3308+0.5*$AT$3404</f>
        <v/>
      </c>
      <c r="F3374" s="19">
        <f>$AT$3405</f>
        <v/>
      </c>
    </row>
    <row r="3375">
      <c r="D3375" s="19">
        <f>IF(ABS(IF(ABS($E$3309)&gt;0.000000001,$E$3309,0.000000001))=0,0,IF($E$1835&lt;=$B$1820,0,IF(ABS(IF(ABS($E$3309)&gt;0.000000001,$E$3309,0.000000001))&gt;=8*$B$1822,$H$1835,0.5*$H$1835*(ABS(IF(ABS($E$3309)&gt;0.000000001,$E$3309,0.000000001))/$B$1822)^(1/3)))/ABS(IF(ABS($E$3309)&gt;0.000000001,$E$3309,0.000000001))*$I$1835)</f>
        <v/>
      </c>
      <c r="E3375" s="19">
        <f>0.5*$E$3309+0.5*$AT$3406</f>
        <v/>
      </c>
      <c r="F3375" s="19">
        <f>$AT$3407</f>
        <v/>
      </c>
    </row>
    <row r="3376">
      <c r="D3376" s="19">
        <f>IF(ABS(IF(ABS($E$3310)&gt;0.000000001,$E$3310,0.000000001))=0,0,IF($E$1836&lt;=$B$1820,0,IF(ABS(IF(ABS($E$3310)&gt;0.000000001,$E$3310,0.000000001))&gt;=8*$B$1822,$H$1836,0.5*$H$1836*(ABS(IF(ABS($E$3310)&gt;0.000000001,$E$3310,0.000000001))/$B$1822)^(1/3)))/ABS(IF(ABS($E$3310)&gt;0.000000001,$E$3310,0.000000001))*$I$1836)</f>
        <v/>
      </c>
      <c r="E3376" s="19">
        <f>0.5*$E$3310+0.5*$AT$3408</f>
        <v/>
      </c>
      <c r="F3376" s="19">
        <f>$AT$3409</f>
        <v/>
      </c>
    </row>
    <row r="3377">
      <c r="D3377" s="19">
        <f>IF(ABS(IF(ABS($E$3311)&gt;0.000000001,$E$3311,0.000000001))=0,0,IF($E$1837&lt;=$B$1820,0,IF(ABS(IF(ABS($E$3311)&gt;0.000000001,$E$3311,0.000000001))&gt;=8*$B$1822,$H$1837,0.5*$H$1837*(ABS(IF(ABS($E$3311)&gt;0.000000001,$E$3311,0.000000001))/$B$1822)^(1/3)))/ABS(IF(ABS($E$3311)&gt;0.000000001,$E$3311,0.000000001))*$I$1837)</f>
        <v/>
      </c>
      <c r="E3377" s="19">
        <f>0.5*$E$3311+0.5*$AT$3410</f>
        <v/>
      </c>
      <c r="F3377" s="19">
        <f>$AT$3411</f>
        <v/>
      </c>
    </row>
    <row r="3378">
      <c r="D3378" s="19">
        <f>IF(ABS(IF(ABS($E$3312)&gt;0.000000001,$E$3312,0.000000001))=0,0,IF($E$1838&lt;=$B$1820,0,IF(ABS(IF(ABS($E$3312)&gt;0.000000001,$E$3312,0.000000001))&gt;=8*$B$1822,$H$1838,0.5*$H$1838*(ABS(IF(ABS($E$3312)&gt;0.000000001,$E$3312,0.000000001))/$B$1822)^(1/3)))/ABS(IF(ABS($E$3312)&gt;0.000000001,$E$3312,0.000000001))*$I$1838)</f>
        <v/>
      </c>
      <c r="E3378" s="19">
        <f>0.5*$E$3312+0.5*$AT$3412</f>
        <v/>
      </c>
      <c r="F3378" s="19">
        <f>$AT$3413</f>
        <v/>
      </c>
    </row>
    <row r="3379">
      <c r="D3379" s="19">
        <f>IF(ABS(IF(ABS($E$3313)&gt;0.000000001,$E$3313,0.000000001))=0,0,IF($E$1839&lt;=$B$1820,0,IF(ABS(IF(ABS($E$3313)&gt;0.000000001,$E$3313,0.000000001))&gt;=8*$B$1822,$H$1839,0.5*$H$1839*(ABS(IF(ABS($E$3313)&gt;0.000000001,$E$3313,0.000000001))/$B$1822)^(1/3)))/ABS(IF(ABS($E$3313)&gt;0.000000001,$E$3313,0.000000001))*$I$1839)</f>
        <v/>
      </c>
      <c r="E3379" s="19">
        <f>0.5*$E$3313+0.5*$AT$3414</f>
        <v/>
      </c>
      <c r="F3379" s="19">
        <f>$AT$3415</f>
        <v/>
      </c>
    </row>
    <row r="3380">
      <c r="D3380" s="19">
        <f>IF(ABS(IF(ABS($E$3314)&gt;0.000000001,$E$3314,0.000000001))=0,0,IF($E$1840&lt;=$B$1820,0,IF(ABS(IF(ABS($E$3314)&gt;0.000000001,$E$3314,0.000000001))&gt;=8*$B$1822,$H$1840,0.5*$H$1840*(ABS(IF(ABS($E$3314)&gt;0.000000001,$E$3314,0.000000001))/$B$1822)^(1/3)))/ABS(IF(ABS($E$3314)&gt;0.000000001,$E$3314,0.000000001))*$I$1840)</f>
        <v/>
      </c>
      <c r="E3380" s="19">
        <f>0.5*$E$3314+0.5*$AT$3416</f>
        <v/>
      </c>
      <c r="F3380" s="19">
        <f>$AT$3417</f>
        <v/>
      </c>
    </row>
    <row r="3381">
      <c r="D3381" s="19">
        <f>IF(ABS(IF(ABS($E$3315)&gt;0.000000001,$E$3315,0.000000001))=0,0,IF($E$1841&lt;=$B$1820,0,IF(ABS(IF(ABS($E$3315)&gt;0.000000001,$E$3315,0.000000001))&gt;=8*$B$1822,$H$1841,0.5*$H$1841*(ABS(IF(ABS($E$3315)&gt;0.000000001,$E$3315,0.000000001))/$B$1822)^(1/3)))/ABS(IF(ABS($E$3315)&gt;0.000000001,$E$3315,0.000000001))*$I$1841)</f>
        <v/>
      </c>
      <c r="E3381" s="19">
        <f>0.5*$E$3315+0.5*$AT$3418</f>
        <v/>
      </c>
      <c r="F3381" s="19">
        <f>$AT$3419</f>
        <v/>
      </c>
    </row>
    <row r="3382">
      <c r="D3382" s="19">
        <f>IF(ABS(IF(ABS($E$3316)&gt;0.000000001,$E$3316,0.000000001))=0,0,IF($E$1842&lt;=$B$1820,0,IF(ABS(IF(ABS($E$3316)&gt;0.000000001,$E$3316,0.000000001))&gt;=8*$B$1822,$H$1842,0.5*$H$1842*(ABS(IF(ABS($E$3316)&gt;0.000000001,$E$3316,0.000000001))/$B$1822)^(1/3)))/ABS(IF(ABS($E$3316)&gt;0.000000001,$E$3316,0.000000001))*$I$1842)</f>
        <v/>
      </c>
      <c r="E3382" s="19">
        <f>0.5*$E$3316+0.5*$AT$3420</f>
        <v/>
      </c>
      <c r="F3382" s="19">
        <f>$AT$3421</f>
        <v/>
      </c>
    </row>
    <row r="3383">
      <c r="D3383" s="19">
        <f>IF(ABS(IF(ABS($E$3317)&gt;0.000000001,$E$3317,0.000000001))=0,0,IF($E$1843&lt;=$B$1820,0,IF(ABS(IF(ABS($E$3317)&gt;0.000000001,$E$3317,0.000000001))&gt;=8*$B$1822,$H$1843,0.5*$H$1843*(ABS(IF(ABS($E$3317)&gt;0.000000001,$E$3317,0.000000001))/$B$1822)^(1/3)))/ABS(IF(ABS($E$3317)&gt;0.000000001,$E$3317,0.000000001))*$I$1843)</f>
        <v/>
      </c>
      <c r="E3383" s="19">
        <f>0.5*$E$3317+0.5*$AT$3422</f>
        <v/>
      </c>
      <c r="F3383" s="19">
        <f>$AT$3423</f>
        <v/>
      </c>
    </row>
    <row r="3384">
      <c r="D3384" s="19">
        <f>IF(ABS(IF(ABS($E$3318)&gt;0.000000001,$E$3318,0.000000001))=0,0,IF($E$1844&lt;=$B$1820,0,IF(ABS(IF(ABS($E$3318)&gt;0.000000001,$E$3318,0.000000001))&gt;=8*$B$1822,$H$1844,0.5*$H$1844*(ABS(IF(ABS($E$3318)&gt;0.000000001,$E$3318,0.000000001))/$B$1822)^(1/3)))/ABS(IF(ABS($E$3318)&gt;0.000000001,$E$3318,0.000000001))*$I$1844)</f>
        <v/>
      </c>
      <c r="E3384" s="19">
        <f>0.5*$E$3318+0.5*$AT$3424</f>
        <v/>
      </c>
      <c r="F3384" s="19">
        <f>$AT$3425</f>
        <v/>
      </c>
    </row>
    <row r="3385">
      <c r="D3385" s="19">
        <f>IF(ABS(IF(ABS($E$3319)&gt;0.000000001,$E$3319,0.000000001))=0,0,IF($E$1845&lt;=$B$1820,0,IF(ABS(IF(ABS($E$3319)&gt;0.000000001,$E$3319,0.000000001))&gt;=8*$B$1822,$H$1845,0.5*$H$1845*(ABS(IF(ABS($E$3319)&gt;0.000000001,$E$3319,0.000000001))/$B$1822)^(1/3)))/ABS(IF(ABS($E$3319)&gt;0.000000001,$E$3319,0.000000001))*$I$1845)</f>
        <v/>
      </c>
      <c r="E3385" s="19">
        <f>0.5*$E$3319+0.5*$AT$3426</f>
        <v/>
      </c>
      <c r="F3385" s="19">
        <f>$AT$3427</f>
        <v/>
      </c>
    </row>
    <row r="3386">
      <c r="D3386" s="19">
        <f>IF(ABS(IF(ABS($E$3320)&gt;0.000000001,$E$3320,0.000000001))=0,0,IF($E$1846&lt;=$B$1820,0,IF(ABS(IF(ABS($E$3320)&gt;0.000000001,$E$3320,0.000000001))&gt;=8*$B$1822,$H$1846,0.5*$H$1846*(ABS(IF(ABS($E$3320)&gt;0.000000001,$E$3320,0.000000001))/$B$1822)^(1/3)))/ABS(IF(ABS($E$3320)&gt;0.000000001,$E$3320,0.000000001))*$I$1846)</f>
        <v/>
      </c>
      <c r="E3386" s="19">
        <f>0.5*$E$3320+0.5*$AT$3428</f>
        <v/>
      </c>
      <c r="F3386" s="19">
        <f>$AT$3429</f>
        <v/>
      </c>
    </row>
    <row r="3388">
      <c r="D3388" s="21">
        <f>$B$1811+$D$3366</f>
        <v/>
      </c>
      <c r="E3388" s="21">
        <f>$B$1812</f>
        <v/>
      </c>
      <c r="F3388" s="21">
        <f>-$B$1811</f>
        <v/>
      </c>
      <c r="G3388" s="21">
        <f>$B$1812</f>
        <v/>
      </c>
      <c r="H3388" s="21" t="n">
        <v>0</v>
      </c>
      <c r="I3388" s="21" t="n">
        <v>0</v>
      </c>
      <c r="J3388" s="21" t="n">
        <v>0</v>
      </c>
      <c r="K3388" s="21" t="n">
        <v>0</v>
      </c>
      <c r="L3388" s="21" t="n">
        <v>0</v>
      </c>
      <c r="M3388" s="21" t="n">
        <v>0</v>
      </c>
      <c r="N3388" s="21" t="n">
        <v>0</v>
      </c>
      <c r="O3388" s="21" t="n">
        <v>0</v>
      </c>
      <c r="P3388" s="21" t="n">
        <v>0</v>
      </c>
      <c r="Q3388" s="21" t="n">
        <v>0</v>
      </c>
      <c r="R3388" s="21" t="n">
        <v>0</v>
      </c>
      <c r="S3388" s="21" t="n">
        <v>0</v>
      </c>
      <c r="T3388" s="21" t="n">
        <v>0</v>
      </c>
      <c r="U3388" s="21" t="n">
        <v>0</v>
      </c>
      <c r="V3388" s="21" t="n">
        <v>0</v>
      </c>
      <c r="W3388" s="21" t="n">
        <v>0</v>
      </c>
      <c r="X3388" s="21" t="n">
        <v>0</v>
      </c>
      <c r="Y3388" s="21" t="n">
        <v>0</v>
      </c>
      <c r="Z3388" s="21" t="n">
        <v>0</v>
      </c>
      <c r="AA3388" s="21" t="n">
        <v>0</v>
      </c>
      <c r="AB3388" s="21" t="n">
        <v>0</v>
      </c>
      <c r="AC3388" s="21" t="n">
        <v>0</v>
      </c>
      <c r="AD3388" s="21" t="n">
        <v>0</v>
      </c>
      <c r="AE3388" s="21" t="n">
        <v>0</v>
      </c>
      <c r="AF3388" s="21" t="n">
        <v>0</v>
      </c>
      <c r="AG3388" s="21" t="n">
        <v>0</v>
      </c>
      <c r="AH3388" s="21" t="n">
        <v>0</v>
      </c>
      <c r="AI3388" s="21" t="n">
        <v>0</v>
      </c>
      <c r="AJ3388" s="21" t="n">
        <v>0</v>
      </c>
      <c r="AK3388" s="21" t="n">
        <v>0</v>
      </c>
      <c r="AL3388" s="21" t="n">
        <v>0</v>
      </c>
      <c r="AM3388" s="21" t="n">
        <v>0</v>
      </c>
      <c r="AN3388" s="21" t="n">
        <v>0</v>
      </c>
      <c r="AO3388" s="21" t="n">
        <v>0</v>
      </c>
      <c r="AP3388" s="21" t="n">
        <v>0</v>
      </c>
      <c r="AQ3388" s="21" t="n">
        <v>0</v>
      </c>
      <c r="AR3388" s="21" t="n">
        <v>0</v>
      </c>
      <c r="AS3388" s="21" t="n">
        <v>0</v>
      </c>
      <c r="AT3388" s="19">
        <f t="array" ref="AT3388:AT3429">MMULT(MINVERSE($D$3388:$AS$3429),$D$1848:$D$1889)</f>
        <v/>
      </c>
    </row>
    <row r="3389">
      <c r="D3389" s="21">
        <f>$B$1812</f>
        <v/>
      </c>
      <c r="E3389" s="21">
        <f>$B$1813</f>
        <v/>
      </c>
      <c r="F3389" s="21">
        <f>-$B$1812</f>
        <v/>
      </c>
      <c r="G3389" s="21">
        <f>$B$1814</f>
        <v/>
      </c>
      <c r="H3389" s="21" t="n">
        <v>0</v>
      </c>
      <c r="I3389" s="21" t="n">
        <v>0</v>
      </c>
      <c r="J3389" s="21" t="n">
        <v>0</v>
      </c>
      <c r="K3389" s="21" t="n">
        <v>0</v>
      </c>
      <c r="L3389" s="21" t="n">
        <v>0</v>
      </c>
      <c r="M3389" s="21" t="n">
        <v>0</v>
      </c>
      <c r="N3389" s="21" t="n">
        <v>0</v>
      </c>
      <c r="O3389" s="21" t="n">
        <v>0</v>
      </c>
      <c r="P3389" s="21" t="n">
        <v>0</v>
      </c>
      <c r="Q3389" s="21" t="n">
        <v>0</v>
      </c>
      <c r="R3389" s="21" t="n">
        <v>0</v>
      </c>
      <c r="S3389" s="21" t="n">
        <v>0</v>
      </c>
      <c r="T3389" s="21" t="n">
        <v>0</v>
      </c>
      <c r="U3389" s="21" t="n">
        <v>0</v>
      </c>
      <c r="V3389" s="21" t="n">
        <v>0</v>
      </c>
      <c r="W3389" s="21" t="n">
        <v>0</v>
      </c>
      <c r="X3389" s="21" t="n">
        <v>0</v>
      </c>
      <c r="Y3389" s="21" t="n">
        <v>0</v>
      </c>
      <c r="Z3389" s="21" t="n">
        <v>0</v>
      </c>
      <c r="AA3389" s="21" t="n">
        <v>0</v>
      </c>
      <c r="AB3389" s="21" t="n">
        <v>0</v>
      </c>
      <c r="AC3389" s="21" t="n">
        <v>0</v>
      </c>
      <c r="AD3389" s="21" t="n">
        <v>0</v>
      </c>
      <c r="AE3389" s="21" t="n">
        <v>0</v>
      </c>
      <c r="AF3389" s="21" t="n">
        <v>0</v>
      </c>
      <c r="AG3389" s="21" t="n">
        <v>0</v>
      </c>
      <c r="AH3389" s="21" t="n">
        <v>0</v>
      </c>
      <c r="AI3389" s="21" t="n">
        <v>0</v>
      </c>
      <c r="AJ3389" s="21" t="n">
        <v>0</v>
      </c>
      <c r="AK3389" s="21" t="n">
        <v>0</v>
      </c>
      <c r="AL3389" s="21" t="n">
        <v>0</v>
      </c>
      <c r="AM3389" s="21" t="n">
        <v>0</v>
      </c>
      <c r="AN3389" s="21" t="n">
        <v>0</v>
      </c>
      <c r="AO3389" s="21" t="n">
        <v>0</v>
      </c>
      <c r="AP3389" s="21" t="n">
        <v>0</v>
      </c>
      <c r="AQ3389" s="21" t="n">
        <v>0</v>
      </c>
      <c r="AR3389" s="21" t="n">
        <v>0</v>
      </c>
      <c r="AS3389" s="21" t="n">
        <v>0</v>
      </c>
      <c r="AT3389" s="19" t="n"/>
    </row>
    <row r="3390">
      <c r="D3390" s="21">
        <f>-$B$1811</f>
        <v/>
      </c>
      <c r="E3390" s="21">
        <f>-$B$1812</f>
        <v/>
      </c>
      <c r="F3390" s="21">
        <f>2*$B$1811+$D$3367</f>
        <v/>
      </c>
      <c r="G3390" s="21">
        <f>0</f>
        <v/>
      </c>
      <c r="H3390" s="21">
        <f>-$B$1811</f>
        <v/>
      </c>
      <c r="I3390" s="21">
        <f>$B$1812</f>
        <v/>
      </c>
      <c r="J3390" s="21" t="n">
        <v>0</v>
      </c>
      <c r="K3390" s="21" t="n">
        <v>0</v>
      </c>
      <c r="L3390" s="21" t="n">
        <v>0</v>
      </c>
      <c r="M3390" s="21" t="n">
        <v>0</v>
      </c>
      <c r="N3390" s="21" t="n">
        <v>0</v>
      </c>
      <c r="O3390" s="21" t="n">
        <v>0</v>
      </c>
      <c r="P3390" s="21" t="n">
        <v>0</v>
      </c>
      <c r="Q3390" s="21" t="n">
        <v>0</v>
      </c>
      <c r="R3390" s="21" t="n">
        <v>0</v>
      </c>
      <c r="S3390" s="21" t="n">
        <v>0</v>
      </c>
      <c r="T3390" s="21" t="n">
        <v>0</v>
      </c>
      <c r="U3390" s="21" t="n">
        <v>0</v>
      </c>
      <c r="V3390" s="21" t="n">
        <v>0</v>
      </c>
      <c r="W3390" s="21" t="n">
        <v>0</v>
      </c>
      <c r="X3390" s="21" t="n">
        <v>0</v>
      </c>
      <c r="Y3390" s="21" t="n">
        <v>0</v>
      </c>
      <c r="Z3390" s="21" t="n">
        <v>0</v>
      </c>
      <c r="AA3390" s="21" t="n">
        <v>0</v>
      </c>
      <c r="AB3390" s="21" t="n">
        <v>0</v>
      </c>
      <c r="AC3390" s="21" t="n">
        <v>0</v>
      </c>
      <c r="AD3390" s="21" t="n">
        <v>0</v>
      </c>
      <c r="AE3390" s="21" t="n">
        <v>0</v>
      </c>
      <c r="AF3390" s="21" t="n">
        <v>0</v>
      </c>
      <c r="AG3390" s="21" t="n">
        <v>0</v>
      </c>
      <c r="AH3390" s="21" t="n">
        <v>0</v>
      </c>
      <c r="AI3390" s="21" t="n">
        <v>0</v>
      </c>
      <c r="AJ3390" s="21" t="n">
        <v>0</v>
      </c>
      <c r="AK3390" s="21" t="n">
        <v>0</v>
      </c>
      <c r="AL3390" s="21" t="n">
        <v>0</v>
      </c>
      <c r="AM3390" s="21" t="n">
        <v>0</v>
      </c>
      <c r="AN3390" s="21" t="n">
        <v>0</v>
      </c>
      <c r="AO3390" s="21" t="n">
        <v>0</v>
      </c>
      <c r="AP3390" s="21" t="n">
        <v>0</v>
      </c>
      <c r="AQ3390" s="21" t="n">
        <v>0</v>
      </c>
      <c r="AR3390" s="21" t="n">
        <v>0</v>
      </c>
      <c r="AS3390" s="21" t="n">
        <v>0</v>
      </c>
      <c r="AT3390" s="19" t="n"/>
    </row>
    <row r="3391">
      <c r="D3391" s="21">
        <f>$B$1812</f>
        <v/>
      </c>
      <c r="E3391" s="21">
        <f>$B$1814</f>
        <v/>
      </c>
      <c r="F3391" s="21">
        <f>0</f>
        <v/>
      </c>
      <c r="G3391" s="21">
        <f>2*$B$1813</f>
        <v/>
      </c>
      <c r="H3391" s="21">
        <f>-$B$1812</f>
        <v/>
      </c>
      <c r="I3391" s="21">
        <f>$B$1814</f>
        <v/>
      </c>
      <c r="J3391" s="21" t="n">
        <v>0</v>
      </c>
      <c r="K3391" s="21" t="n">
        <v>0</v>
      </c>
      <c r="L3391" s="21" t="n">
        <v>0</v>
      </c>
      <c r="M3391" s="21" t="n">
        <v>0</v>
      </c>
      <c r="N3391" s="21" t="n">
        <v>0</v>
      </c>
      <c r="O3391" s="21" t="n">
        <v>0</v>
      </c>
      <c r="P3391" s="21" t="n">
        <v>0</v>
      </c>
      <c r="Q3391" s="21" t="n">
        <v>0</v>
      </c>
      <c r="R3391" s="21" t="n">
        <v>0</v>
      </c>
      <c r="S3391" s="21" t="n">
        <v>0</v>
      </c>
      <c r="T3391" s="21" t="n">
        <v>0</v>
      </c>
      <c r="U3391" s="21" t="n">
        <v>0</v>
      </c>
      <c r="V3391" s="21" t="n">
        <v>0</v>
      </c>
      <c r="W3391" s="21" t="n">
        <v>0</v>
      </c>
      <c r="X3391" s="21" t="n">
        <v>0</v>
      </c>
      <c r="Y3391" s="21" t="n">
        <v>0</v>
      </c>
      <c r="Z3391" s="21" t="n">
        <v>0</v>
      </c>
      <c r="AA3391" s="21" t="n">
        <v>0</v>
      </c>
      <c r="AB3391" s="21" t="n">
        <v>0</v>
      </c>
      <c r="AC3391" s="21" t="n">
        <v>0</v>
      </c>
      <c r="AD3391" s="21" t="n">
        <v>0</v>
      </c>
      <c r="AE3391" s="21" t="n">
        <v>0</v>
      </c>
      <c r="AF3391" s="21" t="n">
        <v>0</v>
      </c>
      <c r="AG3391" s="21" t="n">
        <v>0</v>
      </c>
      <c r="AH3391" s="21" t="n">
        <v>0</v>
      </c>
      <c r="AI3391" s="21" t="n">
        <v>0</v>
      </c>
      <c r="AJ3391" s="21" t="n">
        <v>0</v>
      </c>
      <c r="AK3391" s="21" t="n">
        <v>0</v>
      </c>
      <c r="AL3391" s="21" t="n">
        <v>0</v>
      </c>
      <c r="AM3391" s="21" t="n">
        <v>0</v>
      </c>
      <c r="AN3391" s="21" t="n">
        <v>0</v>
      </c>
      <c r="AO3391" s="21" t="n">
        <v>0</v>
      </c>
      <c r="AP3391" s="21" t="n">
        <v>0</v>
      </c>
      <c r="AQ3391" s="21" t="n">
        <v>0</v>
      </c>
      <c r="AR3391" s="21" t="n">
        <v>0</v>
      </c>
      <c r="AS3391" s="21" t="n">
        <v>0</v>
      </c>
      <c r="AT3391" s="19" t="n"/>
    </row>
    <row r="3392">
      <c r="D3392" s="21" t="n">
        <v>0</v>
      </c>
      <c r="E3392" s="21" t="n">
        <v>0</v>
      </c>
      <c r="F3392" s="21">
        <f>-$B$1811</f>
        <v/>
      </c>
      <c r="G3392" s="21">
        <f>-$B$1812</f>
        <v/>
      </c>
      <c r="H3392" s="21">
        <f>2*$B$1811+$D$3368</f>
        <v/>
      </c>
      <c r="I3392" s="21">
        <f>0</f>
        <v/>
      </c>
      <c r="J3392" s="21">
        <f>-$B$1811</f>
        <v/>
      </c>
      <c r="K3392" s="21">
        <f>$B$1812</f>
        <v/>
      </c>
      <c r="L3392" s="21" t="n">
        <v>0</v>
      </c>
      <c r="M3392" s="21" t="n">
        <v>0</v>
      </c>
      <c r="N3392" s="21" t="n">
        <v>0</v>
      </c>
      <c r="O3392" s="21" t="n">
        <v>0</v>
      </c>
      <c r="P3392" s="21" t="n">
        <v>0</v>
      </c>
      <c r="Q3392" s="21" t="n">
        <v>0</v>
      </c>
      <c r="R3392" s="21" t="n">
        <v>0</v>
      </c>
      <c r="S3392" s="21" t="n">
        <v>0</v>
      </c>
      <c r="T3392" s="21" t="n">
        <v>0</v>
      </c>
      <c r="U3392" s="21" t="n">
        <v>0</v>
      </c>
      <c r="V3392" s="21" t="n">
        <v>0</v>
      </c>
      <c r="W3392" s="21" t="n">
        <v>0</v>
      </c>
      <c r="X3392" s="21" t="n">
        <v>0</v>
      </c>
      <c r="Y3392" s="21" t="n">
        <v>0</v>
      </c>
      <c r="Z3392" s="21" t="n">
        <v>0</v>
      </c>
      <c r="AA3392" s="21" t="n">
        <v>0</v>
      </c>
      <c r="AB3392" s="21" t="n">
        <v>0</v>
      </c>
      <c r="AC3392" s="21" t="n">
        <v>0</v>
      </c>
      <c r="AD3392" s="21" t="n">
        <v>0</v>
      </c>
      <c r="AE3392" s="21" t="n">
        <v>0</v>
      </c>
      <c r="AF3392" s="21" t="n">
        <v>0</v>
      </c>
      <c r="AG3392" s="21" t="n">
        <v>0</v>
      </c>
      <c r="AH3392" s="21" t="n">
        <v>0</v>
      </c>
      <c r="AI3392" s="21" t="n">
        <v>0</v>
      </c>
      <c r="AJ3392" s="21" t="n">
        <v>0</v>
      </c>
      <c r="AK3392" s="21" t="n">
        <v>0</v>
      </c>
      <c r="AL3392" s="21" t="n">
        <v>0</v>
      </c>
      <c r="AM3392" s="21" t="n">
        <v>0</v>
      </c>
      <c r="AN3392" s="21" t="n">
        <v>0</v>
      </c>
      <c r="AO3392" s="21" t="n">
        <v>0</v>
      </c>
      <c r="AP3392" s="21" t="n">
        <v>0</v>
      </c>
      <c r="AQ3392" s="21" t="n">
        <v>0</v>
      </c>
      <c r="AR3392" s="21" t="n">
        <v>0</v>
      </c>
      <c r="AS3392" s="21" t="n">
        <v>0</v>
      </c>
      <c r="AT3392" s="19" t="n"/>
    </row>
    <row r="3393">
      <c r="D3393" s="21" t="n">
        <v>0</v>
      </c>
      <c r="E3393" s="21" t="n">
        <v>0</v>
      </c>
      <c r="F3393" s="21">
        <f>$B$1812</f>
        <v/>
      </c>
      <c r="G3393" s="21">
        <f>$B$1814</f>
        <v/>
      </c>
      <c r="H3393" s="21">
        <f>0</f>
        <v/>
      </c>
      <c r="I3393" s="21">
        <f>2*$B$1813</f>
        <v/>
      </c>
      <c r="J3393" s="21">
        <f>-$B$1812</f>
        <v/>
      </c>
      <c r="K3393" s="21">
        <f>$B$1814</f>
        <v/>
      </c>
      <c r="L3393" s="21" t="n">
        <v>0</v>
      </c>
      <c r="M3393" s="21" t="n">
        <v>0</v>
      </c>
      <c r="N3393" s="21" t="n">
        <v>0</v>
      </c>
      <c r="O3393" s="21" t="n">
        <v>0</v>
      </c>
      <c r="P3393" s="21" t="n">
        <v>0</v>
      </c>
      <c r="Q3393" s="21" t="n">
        <v>0</v>
      </c>
      <c r="R3393" s="21" t="n">
        <v>0</v>
      </c>
      <c r="S3393" s="21" t="n">
        <v>0</v>
      </c>
      <c r="T3393" s="21" t="n">
        <v>0</v>
      </c>
      <c r="U3393" s="21" t="n">
        <v>0</v>
      </c>
      <c r="V3393" s="21" t="n">
        <v>0</v>
      </c>
      <c r="W3393" s="21" t="n">
        <v>0</v>
      </c>
      <c r="X3393" s="21" t="n">
        <v>0</v>
      </c>
      <c r="Y3393" s="21" t="n">
        <v>0</v>
      </c>
      <c r="Z3393" s="21" t="n">
        <v>0</v>
      </c>
      <c r="AA3393" s="21" t="n">
        <v>0</v>
      </c>
      <c r="AB3393" s="21" t="n">
        <v>0</v>
      </c>
      <c r="AC3393" s="21" t="n">
        <v>0</v>
      </c>
      <c r="AD3393" s="21" t="n">
        <v>0</v>
      </c>
      <c r="AE3393" s="21" t="n">
        <v>0</v>
      </c>
      <c r="AF3393" s="21" t="n">
        <v>0</v>
      </c>
      <c r="AG3393" s="21" t="n">
        <v>0</v>
      </c>
      <c r="AH3393" s="21" t="n">
        <v>0</v>
      </c>
      <c r="AI3393" s="21" t="n">
        <v>0</v>
      </c>
      <c r="AJ3393" s="21" t="n">
        <v>0</v>
      </c>
      <c r="AK3393" s="21" t="n">
        <v>0</v>
      </c>
      <c r="AL3393" s="21" t="n">
        <v>0</v>
      </c>
      <c r="AM3393" s="21" t="n">
        <v>0</v>
      </c>
      <c r="AN3393" s="21" t="n">
        <v>0</v>
      </c>
      <c r="AO3393" s="21" t="n">
        <v>0</v>
      </c>
      <c r="AP3393" s="21" t="n">
        <v>0</v>
      </c>
      <c r="AQ3393" s="21" t="n">
        <v>0</v>
      </c>
      <c r="AR3393" s="21" t="n">
        <v>0</v>
      </c>
      <c r="AS3393" s="21" t="n">
        <v>0</v>
      </c>
      <c r="AT3393" s="19" t="n"/>
    </row>
    <row r="3394">
      <c r="D3394" s="21" t="n">
        <v>0</v>
      </c>
      <c r="E3394" s="21" t="n">
        <v>0</v>
      </c>
      <c r="F3394" s="21" t="n">
        <v>0</v>
      </c>
      <c r="G3394" s="21" t="n">
        <v>0</v>
      </c>
      <c r="H3394" s="21">
        <f>-$B$1811</f>
        <v/>
      </c>
      <c r="I3394" s="21">
        <f>-$B$1812</f>
        <v/>
      </c>
      <c r="J3394" s="21">
        <f>2*$B$1811+$D$3369</f>
        <v/>
      </c>
      <c r="K3394" s="21">
        <f>0</f>
        <v/>
      </c>
      <c r="L3394" s="21">
        <f>-$B$1811</f>
        <v/>
      </c>
      <c r="M3394" s="21">
        <f>$B$1812</f>
        <v/>
      </c>
      <c r="N3394" s="21" t="n">
        <v>0</v>
      </c>
      <c r="O3394" s="21" t="n">
        <v>0</v>
      </c>
      <c r="P3394" s="21" t="n">
        <v>0</v>
      </c>
      <c r="Q3394" s="21" t="n">
        <v>0</v>
      </c>
      <c r="R3394" s="21" t="n">
        <v>0</v>
      </c>
      <c r="S3394" s="21" t="n">
        <v>0</v>
      </c>
      <c r="T3394" s="21" t="n">
        <v>0</v>
      </c>
      <c r="U3394" s="21" t="n">
        <v>0</v>
      </c>
      <c r="V3394" s="21" t="n">
        <v>0</v>
      </c>
      <c r="W3394" s="21" t="n">
        <v>0</v>
      </c>
      <c r="X3394" s="21" t="n">
        <v>0</v>
      </c>
      <c r="Y3394" s="21" t="n">
        <v>0</v>
      </c>
      <c r="Z3394" s="21" t="n">
        <v>0</v>
      </c>
      <c r="AA3394" s="21" t="n">
        <v>0</v>
      </c>
      <c r="AB3394" s="21" t="n">
        <v>0</v>
      </c>
      <c r="AC3394" s="21" t="n">
        <v>0</v>
      </c>
      <c r="AD3394" s="21" t="n">
        <v>0</v>
      </c>
      <c r="AE3394" s="21" t="n">
        <v>0</v>
      </c>
      <c r="AF3394" s="21" t="n">
        <v>0</v>
      </c>
      <c r="AG3394" s="21" t="n">
        <v>0</v>
      </c>
      <c r="AH3394" s="21" t="n">
        <v>0</v>
      </c>
      <c r="AI3394" s="21" t="n">
        <v>0</v>
      </c>
      <c r="AJ3394" s="21" t="n">
        <v>0</v>
      </c>
      <c r="AK3394" s="21" t="n">
        <v>0</v>
      </c>
      <c r="AL3394" s="21" t="n">
        <v>0</v>
      </c>
      <c r="AM3394" s="21" t="n">
        <v>0</v>
      </c>
      <c r="AN3394" s="21" t="n">
        <v>0</v>
      </c>
      <c r="AO3394" s="21" t="n">
        <v>0</v>
      </c>
      <c r="AP3394" s="21" t="n">
        <v>0</v>
      </c>
      <c r="AQ3394" s="21" t="n">
        <v>0</v>
      </c>
      <c r="AR3394" s="21" t="n">
        <v>0</v>
      </c>
      <c r="AS3394" s="21" t="n">
        <v>0</v>
      </c>
      <c r="AT3394" s="19" t="n"/>
    </row>
    <row r="3395">
      <c r="D3395" s="21" t="n">
        <v>0</v>
      </c>
      <c r="E3395" s="21" t="n">
        <v>0</v>
      </c>
      <c r="F3395" s="21" t="n">
        <v>0</v>
      </c>
      <c r="G3395" s="21" t="n">
        <v>0</v>
      </c>
      <c r="H3395" s="21">
        <f>$B$1812</f>
        <v/>
      </c>
      <c r="I3395" s="21">
        <f>$B$1814</f>
        <v/>
      </c>
      <c r="J3395" s="21">
        <f>0</f>
        <v/>
      </c>
      <c r="K3395" s="21">
        <f>2*$B$1813</f>
        <v/>
      </c>
      <c r="L3395" s="21">
        <f>-$B$1812</f>
        <v/>
      </c>
      <c r="M3395" s="21">
        <f>$B$1814</f>
        <v/>
      </c>
      <c r="N3395" s="21" t="n">
        <v>0</v>
      </c>
      <c r="O3395" s="21" t="n">
        <v>0</v>
      </c>
      <c r="P3395" s="21" t="n">
        <v>0</v>
      </c>
      <c r="Q3395" s="21" t="n">
        <v>0</v>
      </c>
      <c r="R3395" s="21" t="n">
        <v>0</v>
      </c>
      <c r="S3395" s="21" t="n">
        <v>0</v>
      </c>
      <c r="T3395" s="21" t="n">
        <v>0</v>
      </c>
      <c r="U3395" s="21" t="n">
        <v>0</v>
      </c>
      <c r="V3395" s="21" t="n">
        <v>0</v>
      </c>
      <c r="W3395" s="21" t="n">
        <v>0</v>
      </c>
      <c r="X3395" s="21" t="n">
        <v>0</v>
      </c>
      <c r="Y3395" s="21" t="n">
        <v>0</v>
      </c>
      <c r="Z3395" s="21" t="n">
        <v>0</v>
      </c>
      <c r="AA3395" s="21" t="n">
        <v>0</v>
      </c>
      <c r="AB3395" s="21" t="n">
        <v>0</v>
      </c>
      <c r="AC3395" s="21" t="n">
        <v>0</v>
      </c>
      <c r="AD3395" s="21" t="n">
        <v>0</v>
      </c>
      <c r="AE3395" s="21" t="n">
        <v>0</v>
      </c>
      <c r="AF3395" s="21" t="n">
        <v>0</v>
      </c>
      <c r="AG3395" s="21" t="n">
        <v>0</v>
      </c>
      <c r="AH3395" s="21" t="n">
        <v>0</v>
      </c>
      <c r="AI3395" s="21" t="n">
        <v>0</v>
      </c>
      <c r="AJ3395" s="21" t="n">
        <v>0</v>
      </c>
      <c r="AK3395" s="21" t="n">
        <v>0</v>
      </c>
      <c r="AL3395" s="21" t="n">
        <v>0</v>
      </c>
      <c r="AM3395" s="21" t="n">
        <v>0</v>
      </c>
      <c r="AN3395" s="21" t="n">
        <v>0</v>
      </c>
      <c r="AO3395" s="21" t="n">
        <v>0</v>
      </c>
      <c r="AP3395" s="21" t="n">
        <v>0</v>
      </c>
      <c r="AQ3395" s="21" t="n">
        <v>0</v>
      </c>
      <c r="AR3395" s="21" t="n">
        <v>0</v>
      </c>
      <c r="AS3395" s="21" t="n">
        <v>0</v>
      </c>
      <c r="AT3395" s="19" t="n"/>
    </row>
    <row r="3396">
      <c r="D3396" s="21" t="n">
        <v>0</v>
      </c>
      <c r="E3396" s="21" t="n">
        <v>0</v>
      </c>
      <c r="F3396" s="21" t="n">
        <v>0</v>
      </c>
      <c r="G3396" s="21" t="n">
        <v>0</v>
      </c>
      <c r="H3396" s="21" t="n">
        <v>0</v>
      </c>
      <c r="I3396" s="21" t="n">
        <v>0</v>
      </c>
      <c r="J3396" s="21">
        <f>-$B$1811</f>
        <v/>
      </c>
      <c r="K3396" s="21">
        <f>-$B$1812</f>
        <v/>
      </c>
      <c r="L3396" s="21">
        <f>2*$B$1811+$D$3370</f>
        <v/>
      </c>
      <c r="M3396" s="21">
        <f>0</f>
        <v/>
      </c>
      <c r="N3396" s="21">
        <f>-$B$1811</f>
        <v/>
      </c>
      <c r="O3396" s="21">
        <f>$B$1812</f>
        <v/>
      </c>
      <c r="P3396" s="21" t="n">
        <v>0</v>
      </c>
      <c r="Q3396" s="21" t="n">
        <v>0</v>
      </c>
      <c r="R3396" s="21" t="n">
        <v>0</v>
      </c>
      <c r="S3396" s="21" t="n">
        <v>0</v>
      </c>
      <c r="T3396" s="21" t="n">
        <v>0</v>
      </c>
      <c r="U3396" s="21" t="n">
        <v>0</v>
      </c>
      <c r="V3396" s="21" t="n">
        <v>0</v>
      </c>
      <c r="W3396" s="21" t="n">
        <v>0</v>
      </c>
      <c r="X3396" s="21" t="n">
        <v>0</v>
      </c>
      <c r="Y3396" s="21" t="n">
        <v>0</v>
      </c>
      <c r="Z3396" s="21" t="n">
        <v>0</v>
      </c>
      <c r="AA3396" s="21" t="n">
        <v>0</v>
      </c>
      <c r="AB3396" s="21" t="n">
        <v>0</v>
      </c>
      <c r="AC3396" s="21" t="n">
        <v>0</v>
      </c>
      <c r="AD3396" s="21" t="n">
        <v>0</v>
      </c>
      <c r="AE3396" s="21" t="n">
        <v>0</v>
      </c>
      <c r="AF3396" s="21" t="n">
        <v>0</v>
      </c>
      <c r="AG3396" s="21" t="n">
        <v>0</v>
      </c>
      <c r="AH3396" s="21" t="n">
        <v>0</v>
      </c>
      <c r="AI3396" s="21" t="n">
        <v>0</v>
      </c>
      <c r="AJ3396" s="21" t="n">
        <v>0</v>
      </c>
      <c r="AK3396" s="21" t="n">
        <v>0</v>
      </c>
      <c r="AL3396" s="21" t="n">
        <v>0</v>
      </c>
      <c r="AM3396" s="21" t="n">
        <v>0</v>
      </c>
      <c r="AN3396" s="21" t="n">
        <v>0</v>
      </c>
      <c r="AO3396" s="21" t="n">
        <v>0</v>
      </c>
      <c r="AP3396" s="21" t="n">
        <v>0</v>
      </c>
      <c r="AQ3396" s="21" t="n">
        <v>0</v>
      </c>
      <c r="AR3396" s="21" t="n">
        <v>0</v>
      </c>
      <c r="AS3396" s="21" t="n">
        <v>0</v>
      </c>
      <c r="AT3396" s="19" t="n"/>
    </row>
    <row r="3397">
      <c r="D3397" s="21" t="n">
        <v>0</v>
      </c>
      <c r="E3397" s="21" t="n">
        <v>0</v>
      </c>
      <c r="F3397" s="21" t="n">
        <v>0</v>
      </c>
      <c r="G3397" s="21" t="n">
        <v>0</v>
      </c>
      <c r="H3397" s="21" t="n">
        <v>0</v>
      </c>
      <c r="I3397" s="21" t="n">
        <v>0</v>
      </c>
      <c r="J3397" s="21">
        <f>$B$1812</f>
        <v/>
      </c>
      <c r="K3397" s="21">
        <f>$B$1814</f>
        <v/>
      </c>
      <c r="L3397" s="21">
        <f>0</f>
        <v/>
      </c>
      <c r="M3397" s="21">
        <f>2*$B$1813</f>
        <v/>
      </c>
      <c r="N3397" s="21">
        <f>-$B$1812</f>
        <v/>
      </c>
      <c r="O3397" s="21">
        <f>$B$1814</f>
        <v/>
      </c>
      <c r="P3397" s="21" t="n">
        <v>0</v>
      </c>
      <c r="Q3397" s="21" t="n">
        <v>0</v>
      </c>
      <c r="R3397" s="21" t="n">
        <v>0</v>
      </c>
      <c r="S3397" s="21" t="n">
        <v>0</v>
      </c>
      <c r="T3397" s="21" t="n">
        <v>0</v>
      </c>
      <c r="U3397" s="21" t="n">
        <v>0</v>
      </c>
      <c r="V3397" s="21" t="n">
        <v>0</v>
      </c>
      <c r="W3397" s="21" t="n">
        <v>0</v>
      </c>
      <c r="X3397" s="21" t="n">
        <v>0</v>
      </c>
      <c r="Y3397" s="21" t="n">
        <v>0</v>
      </c>
      <c r="Z3397" s="21" t="n">
        <v>0</v>
      </c>
      <c r="AA3397" s="21" t="n">
        <v>0</v>
      </c>
      <c r="AB3397" s="21" t="n">
        <v>0</v>
      </c>
      <c r="AC3397" s="21" t="n">
        <v>0</v>
      </c>
      <c r="AD3397" s="21" t="n">
        <v>0</v>
      </c>
      <c r="AE3397" s="21" t="n">
        <v>0</v>
      </c>
      <c r="AF3397" s="21" t="n">
        <v>0</v>
      </c>
      <c r="AG3397" s="21" t="n">
        <v>0</v>
      </c>
      <c r="AH3397" s="21" t="n">
        <v>0</v>
      </c>
      <c r="AI3397" s="21" t="n">
        <v>0</v>
      </c>
      <c r="AJ3397" s="21" t="n">
        <v>0</v>
      </c>
      <c r="AK3397" s="21" t="n">
        <v>0</v>
      </c>
      <c r="AL3397" s="21" t="n">
        <v>0</v>
      </c>
      <c r="AM3397" s="21" t="n">
        <v>0</v>
      </c>
      <c r="AN3397" s="21" t="n">
        <v>0</v>
      </c>
      <c r="AO3397" s="21" t="n">
        <v>0</v>
      </c>
      <c r="AP3397" s="21" t="n">
        <v>0</v>
      </c>
      <c r="AQ3397" s="21" t="n">
        <v>0</v>
      </c>
      <c r="AR3397" s="21" t="n">
        <v>0</v>
      </c>
      <c r="AS3397" s="21" t="n">
        <v>0</v>
      </c>
      <c r="AT3397" s="19" t="n"/>
    </row>
    <row r="3398">
      <c r="D3398" s="21" t="n">
        <v>0</v>
      </c>
      <c r="E3398" s="21" t="n">
        <v>0</v>
      </c>
      <c r="F3398" s="21" t="n">
        <v>0</v>
      </c>
      <c r="G3398" s="21" t="n">
        <v>0</v>
      </c>
      <c r="H3398" s="21" t="n">
        <v>0</v>
      </c>
      <c r="I3398" s="21" t="n">
        <v>0</v>
      </c>
      <c r="J3398" s="21" t="n">
        <v>0</v>
      </c>
      <c r="K3398" s="21" t="n">
        <v>0</v>
      </c>
      <c r="L3398" s="21">
        <f>-$B$1811</f>
        <v/>
      </c>
      <c r="M3398" s="21">
        <f>-$B$1812</f>
        <v/>
      </c>
      <c r="N3398" s="21">
        <f>2*$B$1811+$D$3371</f>
        <v/>
      </c>
      <c r="O3398" s="21">
        <f>0</f>
        <v/>
      </c>
      <c r="P3398" s="21">
        <f>-$B$1811</f>
        <v/>
      </c>
      <c r="Q3398" s="21">
        <f>$B$1812</f>
        <v/>
      </c>
      <c r="R3398" s="21" t="n">
        <v>0</v>
      </c>
      <c r="S3398" s="21" t="n">
        <v>0</v>
      </c>
      <c r="T3398" s="21" t="n">
        <v>0</v>
      </c>
      <c r="U3398" s="21" t="n">
        <v>0</v>
      </c>
      <c r="V3398" s="21" t="n">
        <v>0</v>
      </c>
      <c r="W3398" s="21" t="n">
        <v>0</v>
      </c>
      <c r="X3398" s="21" t="n">
        <v>0</v>
      </c>
      <c r="Y3398" s="21" t="n">
        <v>0</v>
      </c>
      <c r="Z3398" s="21" t="n">
        <v>0</v>
      </c>
      <c r="AA3398" s="21" t="n">
        <v>0</v>
      </c>
      <c r="AB3398" s="21" t="n">
        <v>0</v>
      </c>
      <c r="AC3398" s="21" t="n">
        <v>0</v>
      </c>
      <c r="AD3398" s="21" t="n">
        <v>0</v>
      </c>
      <c r="AE3398" s="21" t="n">
        <v>0</v>
      </c>
      <c r="AF3398" s="21" t="n">
        <v>0</v>
      </c>
      <c r="AG3398" s="21" t="n">
        <v>0</v>
      </c>
      <c r="AH3398" s="21" t="n">
        <v>0</v>
      </c>
      <c r="AI3398" s="21" t="n">
        <v>0</v>
      </c>
      <c r="AJ3398" s="21" t="n">
        <v>0</v>
      </c>
      <c r="AK3398" s="21" t="n">
        <v>0</v>
      </c>
      <c r="AL3398" s="21" t="n">
        <v>0</v>
      </c>
      <c r="AM3398" s="21" t="n">
        <v>0</v>
      </c>
      <c r="AN3398" s="21" t="n">
        <v>0</v>
      </c>
      <c r="AO3398" s="21" t="n">
        <v>0</v>
      </c>
      <c r="AP3398" s="21" t="n">
        <v>0</v>
      </c>
      <c r="AQ3398" s="21" t="n">
        <v>0</v>
      </c>
      <c r="AR3398" s="21" t="n">
        <v>0</v>
      </c>
      <c r="AS3398" s="21" t="n">
        <v>0</v>
      </c>
      <c r="AT3398" s="19" t="n"/>
    </row>
    <row r="3399">
      <c r="D3399" s="21" t="n">
        <v>0</v>
      </c>
      <c r="E3399" s="21" t="n">
        <v>0</v>
      </c>
      <c r="F3399" s="21" t="n">
        <v>0</v>
      </c>
      <c r="G3399" s="21" t="n">
        <v>0</v>
      </c>
      <c r="H3399" s="21" t="n">
        <v>0</v>
      </c>
      <c r="I3399" s="21" t="n">
        <v>0</v>
      </c>
      <c r="J3399" s="21" t="n">
        <v>0</v>
      </c>
      <c r="K3399" s="21" t="n">
        <v>0</v>
      </c>
      <c r="L3399" s="21">
        <f>$B$1812</f>
        <v/>
      </c>
      <c r="M3399" s="21">
        <f>$B$1814</f>
        <v/>
      </c>
      <c r="N3399" s="21">
        <f>0</f>
        <v/>
      </c>
      <c r="O3399" s="21">
        <f>2*$B$1813</f>
        <v/>
      </c>
      <c r="P3399" s="21">
        <f>-$B$1812</f>
        <v/>
      </c>
      <c r="Q3399" s="21">
        <f>$B$1814</f>
        <v/>
      </c>
      <c r="R3399" s="21" t="n">
        <v>0</v>
      </c>
      <c r="S3399" s="21" t="n">
        <v>0</v>
      </c>
      <c r="T3399" s="21" t="n">
        <v>0</v>
      </c>
      <c r="U3399" s="21" t="n">
        <v>0</v>
      </c>
      <c r="V3399" s="21" t="n">
        <v>0</v>
      </c>
      <c r="W3399" s="21" t="n">
        <v>0</v>
      </c>
      <c r="X3399" s="21" t="n">
        <v>0</v>
      </c>
      <c r="Y3399" s="21" t="n">
        <v>0</v>
      </c>
      <c r="Z3399" s="21" t="n">
        <v>0</v>
      </c>
      <c r="AA3399" s="21" t="n">
        <v>0</v>
      </c>
      <c r="AB3399" s="21" t="n">
        <v>0</v>
      </c>
      <c r="AC3399" s="21" t="n">
        <v>0</v>
      </c>
      <c r="AD3399" s="21" t="n">
        <v>0</v>
      </c>
      <c r="AE3399" s="21" t="n">
        <v>0</v>
      </c>
      <c r="AF3399" s="21" t="n">
        <v>0</v>
      </c>
      <c r="AG3399" s="21" t="n">
        <v>0</v>
      </c>
      <c r="AH3399" s="21" t="n">
        <v>0</v>
      </c>
      <c r="AI3399" s="21" t="n">
        <v>0</v>
      </c>
      <c r="AJ3399" s="21" t="n">
        <v>0</v>
      </c>
      <c r="AK3399" s="21" t="n">
        <v>0</v>
      </c>
      <c r="AL3399" s="21" t="n">
        <v>0</v>
      </c>
      <c r="AM3399" s="21" t="n">
        <v>0</v>
      </c>
      <c r="AN3399" s="21" t="n">
        <v>0</v>
      </c>
      <c r="AO3399" s="21" t="n">
        <v>0</v>
      </c>
      <c r="AP3399" s="21" t="n">
        <v>0</v>
      </c>
      <c r="AQ3399" s="21" t="n">
        <v>0</v>
      </c>
      <c r="AR3399" s="21" t="n">
        <v>0</v>
      </c>
      <c r="AS3399" s="21" t="n">
        <v>0</v>
      </c>
      <c r="AT3399" s="19" t="n"/>
    </row>
    <row r="3400">
      <c r="D3400" s="21" t="n">
        <v>0</v>
      </c>
      <c r="E3400" s="21" t="n">
        <v>0</v>
      </c>
      <c r="F3400" s="21" t="n">
        <v>0</v>
      </c>
      <c r="G3400" s="21" t="n">
        <v>0</v>
      </c>
      <c r="H3400" s="21" t="n">
        <v>0</v>
      </c>
      <c r="I3400" s="21" t="n">
        <v>0</v>
      </c>
      <c r="J3400" s="21" t="n">
        <v>0</v>
      </c>
      <c r="K3400" s="21" t="n">
        <v>0</v>
      </c>
      <c r="L3400" s="21" t="n">
        <v>0</v>
      </c>
      <c r="M3400" s="21" t="n">
        <v>0</v>
      </c>
      <c r="N3400" s="21">
        <f>-$B$1811</f>
        <v/>
      </c>
      <c r="O3400" s="21">
        <f>-$B$1812</f>
        <v/>
      </c>
      <c r="P3400" s="21">
        <f>2*$B$1811+$D$3372</f>
        <v/>
      </c>
      <c r="Q3400" s="21">
        <f>0</f>
        <v/>
      </c>
      <c r="R3400" s="21">
        <f>-$B$1811</f>
        <v/>
      </c>
      <c r="S3400" s="21">
        <f>$B$1812</f>
        <v/>
      </c>
      <c r="T3400" s="21" t="n">
        <v>0</v>
      </c>
      <c r="U3400" s="21" t="n">
        <v>0</v>
      </c>
      <c r="V3400" s="21" t="n">
        <v>0</v>
      </c>
      <c r="W3400" s="21" t="n">
        <v>0</v>
      </c>
      <c r="X3400" s="21" t="n">
        <v>0</v>
      </c>
      <c r="Y3400" s="21" t="n">
        <v>0</v>
      </c>
      <c r="Z3400" s="21" t="n">
        <v>0</v>
      </c>
      <c r="AA3400" s="21" t="n">
        <v>0</v>
      </c>
      <c r="AB3400" s="21" t="n">
        <v>0</v>
      </c>
      <c r="AC3400" s="21" t="n">
        <v>0</v>
      </c>
      <c r="AD3400" s="21" t="n">
        <v>0</v>
      </c>
      <c r="AE3400" s="21" t="n">
        <v>0</v>
      </c>
      <c r="AF3400" s="21" t="n">
        <v>0</v>
      </c>
      <c r="AG3400" s="21" t="n">
        <v>0</v>
      </c>
      <c r="AH3400" s="21" t="n">
        <v>0</v>
      </c>
      <c r="AI3400" s="21" t="n">
        <v>0</v>
      </c>
      <c r="AJ3400" s="21" t="n">
        <v>0</v>
      </c>
      <c r="AK3400" s="21" t="n">
        <v>0</v>
      </c>
      <c r="AL3400" s="21" t="n">
        <v>0</v>
      </c>
      <c r="AM3400" s="21" t="n">
        <v>0</v>
      </c>
      <c r="AN3400" s="21" t="n">
        <v>0</v>
      </c>
      <c r="AO3400" s="21" t="n">
        <v>0</v>
      </c>
      <c r="AP3400" s="21" t="n">
        <v>0</v>
      </c>
      <c r="AQ3400" s="21" t="n">
        <v>0</v>
      </c>
      <c r="AR3400" s="21" t="n">
        <v>0</v>
      </c>
      <c r="AS3400" s="21" t="n">
        <v>0</v>
      </c>
      <c r="AT3400" s="19" t="n"/>
    </row>
    <row r="3401">
      <c r="D3401" s="21" t="n">
        <v>0</v>
      </c>
      <c r="E3401" s="21" t="n">
        <v>0</v>
      </c>
      <c r="F3401" s="21" t="n">
        <v>0</v>
      </c>
      <c r="G3401" s="21" t="n">
        <v>0</v>
      </c>
      <c r="H3401" s="21" t="n">
        <v>0</v>
      </c>
      <c r="I3401" s="21" t="n">
        <v>0</v>
      </c>
      <c r="J3401" s="21" t="n">
        <v>0</v>
      </c>
      <c r="K3401" s="21" t="n">
        <v>0</v>
      </c>
      <c r="L3401" s="21" t="n">
        <v>0</v>
      </c>
      <c r="M3401" s="21" t="n">
        <v>0</v>
      </c>
      <c r="N3401" s="21">
        <f>$B$1812</f>
        <v/>
      </c>
      <c r="O3401" s="21">
        <f>$B$1814</f>
        <v/>
      </c>
      <c r="P3401" s="21">
        <f>0</f>
        <v/>
      </c>
      <c r="Q3401" s="21">
        <f>2*$B$1813</f>
        <v/>
      </c>
      <c r="R3401" s="21">
        <f>-$B$1812</f>
        <v/>
      </c>
      <c r="S3401" s="21">
        <f>$B$1814</f>
        <v/>
      </c>
      <c r="T3401" s="21" t="n">
        <v>0</v>
      </c>
      <c r="U3401" s="21" t="n">
        <v>0</v>
      </c>
      <c r="V3401" s="21" t="n">
        <v>0</v>
      </c>
      <c r="W3401" s="21" t="n">
        <v>0</v>
      </c>
      <c r="X3401" s="21" t="n">
        <v>0</v>
      </c>
      <c r="Y3401" s="21" t="n">
        <v>0</v>
      </c>
      <c r="Z3401" s="21" t="n">
        <v>0</v>
      </c>
      <c r="AA3401" s="21" t="n">
        <v>0</v>
      </c>
      <c r="AB3401" s="21" t="n">
        <v>0</v>
      </c>
      <c r="AC3401" s="21" t="n">
        <v>0</v>
      </c>
      <c r="AD3401" s="21" t="n">
        <v>0</v>
      </c>
      <c r="AE3401" s="21" t="n">
        <v>0</v>
      </c>
      <c r="AF3401" s="21" t="n">
        <v>0</v>
      </c>
      <c r="AG3401" s="21" t="n">
        <v>0</v>
      </c>
      <c r="AH3401" s="21" t="n">
        <v>0</v>
      </c>
      <c r="AI3401" s="21" t="n">
        <v>0</v>
      </c>
      <c r="AJ3401" s="21" t="n">
        <v>0</v>
      </c>
      <c r="AK3401" s="21" t="n">
        <v>0</v>
      </c>
      <c r="AL3401" s="21" t="n">
        <v>0</v>
      </c>
      <c r="AM3401" s="21" t="n">
        <v>0</v>
      </c>
      <c r="AN3401" s="21" t="n">
        <v>0</v>
      </c>
      <c r="AO3401" s="21" t="n">
        <v>0</v>
      </c>
      <c r="AP3401" s="21" t="n">
        <v>0</v>
      </c>
      <c r="AQ3401" s="21" t="n">
        <v>0</v>
      </c>
      <c r="AR3401" s="21" t="n">
        <v>0</v>
      </c>
      <c r="AS3401" s="21" t="n">
        <v>0</v>
      </c>
      <c r="AT3401" s="19" t="n"/>
    </row>
    <row r="3402">
      <c r="D3402" s="21" t="n">
        <v>0</v>
      </c>
      <c r="E3402" s="21" t="n">
        <v>0</v>
      </c>
      <c r="F3402" s="21" t="n">
        <v>0</v>
      </c>
      <c r="G3402" s="21" t="n">
        <v>0</v>
      </c>
      <c r="H3402" s="21" t="n">
        <v>0</v>
      </c>
      <c r="I3402" s="21" t="n">
        <v>0</v>
      </c>
      <c r="J3402" s="21" t="n">
        <v>0</v>
      </c>
      <c r="K3402" s="21" t="n">
        <v>0</v>
      </c>
      <c r="L3402" s="21" t="n">
        <v>0</v>
      </c>
      <c r="M3402" s="21" t="n">
        <v>0</v>
      </c>
      <c r="N3402" s="21" t="n">
        <v>0</v>
      </c>
      <c r="O3402" s="21" t="n">
        <v>0</v>
      </c>
      <c r="P3402" s="21">
        <f>-$B$1811</f>
        <v/>
      </c>
      <c r="Q3402" s="21">
        <f>-$B$1812</f>
        <v/>
      </c>
      <c r="R3402" s="21">
        <f>2*$B$1811+$D$3373</f>
        <v/>
      </c>
      <c r="S3402" s="21">
        <f>0</f>
        <v/>
      </c>
      <c r="T3402" s="21">
        <f>-$B$1811</f>
        <v/>
      </c>
      <c r="U3402" s="21">
        <f>$B$1812</f>
        <v/>
      </c>
      <c r="V3402" s="21" t="n">
        <v>0</v>
      </c>
      <c r="W3402" s="21" t="n">
        <v>0</v>
      </c>
      <c r="X3402" s="21" t="n">
        <v>0</v>
      </c>
      <c r="Y3402" s="21" t="n">
        <v>0</v>
      </c>
      <c r="Z3402" s="21" t="n">
        <v>0</v>
      </c>
      <c r="AA3402" s="21" t="n">
        <v>0</v>
      </c>
      <c r="AB3402" s="21" t="n">
        <v>0</v>
      </c>
      <c r="AC3402" s="21" t="n">
        <v>0</v>
      </c>
      <c r="AD3402" s="21" t="n">
        <v>0</v>
      </c>
      <c r="AE3402" s="21" t="n">
        <v>0</v>
      </c>
      <c r="AF3402" s="21" t="n">
        <v>0</v>
      </c>
      <c r="AG3402" s="21" t="n">
        <v>0</v>
      </c>
      <c r="AH3402" s="21" t="n">
        <v>0</v>
      </c>
      <c r="AI3402" s="21" t="n">
        <v>0</v>
      </c>
      <c r="AJ3402" s="21" t="n">
        <v>0</v>
      </c>
      <c r="AK3402" s="21" t="n">
        <v>0</v>
      </c>
      <c r="AL3402" s="21" t="n">
        <v>0</v>
      </c>
      <c r="AM3402" s="21" t="n">
        <v>0</v>
      </c>
      <c r="AN3402" s="21" t="n">
        <v>0</v>
      </c>
      <c r="AO3402" s="21" t="n">
        <v>0</v>
      </c>
      <c r="AP3402" s="21" t="n">
        <v>0</v>
      </c>
      <c r="AQ3402" s="21" t="n">
        <v>0</v>
      </c>
      <c r="AR3402" s="21" t="n">
        <v>0</v>
      </c>
      <c r="AS3402" s="21" t="n">
        <v>0</v>
      </c>
      <c r="AT3402" s="19" t="n"/>
    </row>
    <row r="3403">
      <c r="D3403" s="21" t="n">
        <v>0</v>
      </c>
      <c r="E3403" s="21" t="n">
        <v>0</v>
      </c>
      <c r="F3403" s="21" t="n">
        <v>0</v>
      </c>
      <c r="G3403" s="21" t="n">
        <v>0</v>
      </c>
      <c r="H3403" s="21" t="n">
        <v>0</v>
      </c>
      <c r="I3403" s="21" t="n">
        <v>0</v>
      </c>
      <c r="J3403" s="21" t="n">
        <v>0</v>
      </c>
      <c r="K3403" s="21" t="n">
        <v>0</v>
      </c>
      <c r="L3403" s="21" t="n">
        <v>0</v>
      </c>
      <c r="M3403" s="21" t="n">
        <v>0</v>
      </c>
      <c r="N3403" s="21" t="n">
        <v>0</v>
      </c>
      <c r="O3403" s="21" t="n">
        <v>0</v>
      </c>
      <c r="P3403" s="21">
        <f>$B$1812</f>
        <v/>
      </c>
      <c r="Q3403" s="21">
        <f>$B$1814</f>
        <v/>
      </c>
      <c r="R3403" s="21">
        <f>0</f>
        <v/>
      </c>
      <c r="S3403" s="21">
        <f>2*$B$1813</f>
        <v/>
      </c>
      <c r="T3403" s="21">
        <f>-$B$1812</f>
        <v/>
      </c>
      <c r="U3403" s="21">
        <f>$B$1814</f>
        <v/>
      </c>
      <c r="V3403" s="21" t="n">
        <v>0</v>
      </c>
      <c r="W3403" s="21" t="n">
        <v>0</v>
      </c>
      <c r="X3403" s="21" t="n">
        <v>0</v>
      </c>
      <c r="Y3403" s="21" t="n">
        <v>0</v>
      </c>
      <c r="Z3403" s="21" t="n">
        <v>0</v>
      </c>
      <c r="AA3403" s="21" t="n">
        <v>0</v>
      </c>
      <c r="AB3403" s="21" t="n">
        <v>0</v>
      </c>
      <c r="AC3403" s="21" t="n">
        <v>0</v>
      </c>
      <c r="AD3403" s="21" t="n">
        <v>0</v>
      </c>
      <c r="AE3403" s="21" t="n">
        <v>0</v>
      </c>
      <c r="AF3403" s="21" t="n">
        <v>0</v>
      </c>
      <c r="AG3403" s="21" t="n">
        <v>0</v>
      </c>
      <c r="AH3403" s="21" t="n">
        <v>0</v>
      </c>
      <c r="AI3403" s="21" t="n">
        <v>0</v>
      </c>
      <c r="AJ3403" s="21" t="n">
        <v>0</v>
      </c>
      <c r="AK3403" s="21" t="n">
        <v>0</v>
      </c>
      <c r="AL3403" s="21" t="n">
        <v>0</v>
      </c>
      <c r="AM3403" s="21" t="n">
        <v>0</v>
      </c>
      <c r="AN3403" s="21" t="n">
        <v>0</v>
      </c>
      <c r="AO3403" s="21" t="n">
        <v>0</v>
      </c>
      <c r="AP3403" s="21" t="n">
        <v>0</v>
      </c>
      <c r="AQ3403" s="21" t="n">
        <v>0</v>
      </c>
      <c r="AR3403" s="21" t="n">
        <v>0</v>
      </c>
      <c r="AS3403" s="21" t="n">
        <v>0</v>
      </c>
      <c r="AT3403" s="19" t="n"/>
    </row>
    <row r="3404">
      <c r="D3404" s="21" t="n">
        <v>0</v>
      </c>
      <c r="E3404" s="21" t="n">
        <v>0</v>
      </c>
      <c r="F3404" s="21" t="n">
        <v>0</v>
      </c>
      <c r="G3404" s="21" t="n">
        <v>0</v>
      </c>
      <c r="H3404" s="21" t="n">
        <v>0</v>
      </c>
      <c r="I3404" s="21" t="n">
        <v>0</v>
      </c>
      <c r="J3404" s="21" t="n">
        <v>0</v>
      </c>
      <c r="K3404" s="21" t="n">
        <v>0</v>
      </c>
      <c r="L3404" s="21" t="n">
        <v>0</v>
      </c>
      <c r="M3404" s="21" t="n">
        <v>0</v>
      </c>
      <c r="N3404" s="21" t="n">
        <v>0</v>
      </c>
      <c r="O3404" s="21" t="n">
        <v>0</v>
      </c>
      <c r="P3404" s="21" t="n">
        <v>0</v>
      </c>
      <c r="Q3404" s="21" t="n">
        <v>0</v>
      </c>
      <c r="R3404" s="21">
        <f>-$B$1811</f>
        <v/>
      </c>
      <c r="S3404" s="21">
        <f>-$B$1812</f>
        <v/>
      </c>
      <c r="T3404" s="21">
        <f>2*$B$1811+$D$3374</f>
        <v/>
      </c>
      <c r="U3404" s="21">
        <f>0</f>
        <v/>
      </c>
      <c r="V3404" s="21">
        <f>-$B$1811</f>
        <v/>
      </c>
      <c r="W3404" s="21">
        <f>$B$1812</f>
        <v/>
      </c>
      <c r="X3404" s="21" t="n">
        <v>0</v>
      </c>
      <c r="Y3404" s="21" t="n">
        <v>0</v>
      </c>
      <c r="Z3404" s="21" t="n">
        <v>0</v>
      </c>
      <c r="AA3404" s="21" t="n">
        <v>0</v>
      </c>
      <c r="AB3404" s="21" t="n">
        <v>0</v>
      </c>
      <c r="AC3404" s="21" t="n">
        <v>0</v>
      </c>
      <c r="AD3404" s="21" t="n">
        <v>0</v>
      </c>
      <c r="AE3404" s="21" t="n">
        <v>0</v>
      </c>
      <c r="AF3404" s="21" t="n">
        <v>0</v>
      </c>
      <c r="AG3404" s="21" t="n">
        <v>0</v>
      </c>
      <c r="AH3404" s="21" t="n">
        <v>0</v>
      </c>
      <c r="AI3404" s="21" t="n">
        <v>0</v>
      </c>
      <c r="AJ3404" s="21" t="n">
        <v>0</v>
      </c>
      <c r="AK3404" s="21" t="n">
        <v>0</v>
      </c>
      <c r="AL3404" s="21" t="n">
        <v>0</v>
      </c>
      <c r="AM3404" s="21" t="n">
        <v>0</v>
      </c>
      <c r="AN3404" s="21" t="n">
        <v>0</v>
      </c>
      <c r="AO3404" s="21" t="n">
        <v>0</v>
      </c>
      <c r="AP3404" s="21" t="n">
        <v>0</v>
      </c>
      <c r="AQ3404" s="21" t="n">
        <v>0</v>
      </c>
      <c r="AR3404" s="21" t="n">
        <v>0</v>
      </c>
      <c r="AS3404" s="21" t="n">
        <v>0</v>
      </c>
      <c r="AT3404" s="19" t="n"/>
    </row>
    <row r="3405">
      <c r="D3405" s="21" t="n">
        <v>0</v>
      </c>
      <c r="E3405" s="21" t="n">
        <v>0</v>
      </c>
      <c r="F3405" s="21" t="n">
        <v>0</v>
      </c>
      <c r="G3405" s="21" t="n">
        <v>0</v>
      </c>
      <c r="H3405" s="21" t="n">
        <v>0</v>
      </c>
      <c r="I3405" s="21" t="n">
        <v>0</v>
      </c>
      <c r="J3405" s="21" t="n">
        <v>0</v>
      </c>
      <c r="K3405" s="21" t="n">
        <v>0</v>
      </c>
      <c r="L3405" s="21" t="n">
        <v>0</v>
      </c>
      <c r="M3405" s="21" t="n">
        <v>0</v>
      </c>
      <c r="N3405" s="21" t="n">
        <v>0</v>
      </c>
      <c r="O3405" s="21" t="n">
        <v>0</v>
      </c>
      <c r="P3405" s="21" t="n">
        <v>0</v>
      </c>
      <c r="Q3405" s="21" t="n">
        <v>0</v>
      </c>
      <c r="R3405" s="21">
        <f>$B$1812</f>
        <v/>
      </c>
      <c r="S3405" s="21">
        <f>$B$1814</f>
        <v/>
      </c>
      <c r="T3405" s="21">
        <f>0</f>
        <v/>
      </c>
      <c r="U3405" s="21">
        <f>2*$B$1813</f>
        <v/>
      </c>
      <c r="V3405" s="21">
        <f>-$B$1812</f>
        <v/>
      </c>
      <c r="W3405" s="21">
        <f>$B$1814</f>
        <v/>
      </c>
      <c r="X3405" s="21" t="n">
        <v>0</v>
      </c>
      <c r="Y3405" s="21" t="n">
        <v>0</v>
      </c>
      <c r="Z3405" s="21" t="n">
        <v>0</v>
      </c>
      <c r="AA3405" s="21" t="n">
        <v>0</v>
      </c>
      <c r="AB3405" s="21" t="n">
        <v>0</v>
      </c>
      <c r="AC3405" s="21" t="n">
        <v>0</v>
      </c>
      <c r="AD3405" s="21" t="n">
        <v>0</v>
      </c>
      <c r="AE3405" s="21" t="n">
        <v>0</v>
      </c>
      <c r="AF3405" s="21" t="n">
        <v>0</v>
      </c>
      <c r="AG3405" s="21" t="n">
        <v>0</v>
      </c>
      <c r="AH3405" s="21" t="n">
        <v>0</v>
      </c>
      <c r="AI3405" s="21" t="n">
        <v>0</v>
      </c>
      <c r="AJ3405" s="21" t="n">
        <v>0</v>
      </c>
      <c r="AK3405" s="21" t="n">
        <v>0</v>
      </c>
      <c r="AL3405" s="21" t="n">
        <v>0</v>
      </c>
      <c r="AM3405" s="21" t="n">
        <v>0</v>
      </c>
      <c r="AN3405" s="21" t="n">
        <v>0</v>
      </c>
      <c r="AO3405" s="21" t="n">
        <v>0</v>
      </c>
      <c r="AP3405" s="21" t="n">
        <v>0</v>
      </c>
      <c r="AQ3405" s="21" t="n">
        <v>0</v>
      </c>
      <c r="AR3405" s="21" t="n">
        <v>0</v>
      </c>
      <c r="AS3405" s="21" t="n">
        <v>0</v>
      </c>
      <c r="AT3405" s="19" t="n"/>
    </row>
    <row r="3406">
      <c r="D3406" s="21" t="n">
        <v>0</v>
      </c>
      <c r="E3406" s="21" t="n">
        <v>0</v>
      </c>
      <c r="F3406" s="21" t="n">
        <v>0</v>
      </c>
      <c r="G3406" s="21" t="n">
        <v>0</v>
      </c>
      <c r="H3406" s="21" t="n">
        <v>0</v>
      </c>
      <c r="I3406" s="21" t="n">
        <v>0</v>
      </c>
      <c r="J3406" s="21" t="n">
        <v>0</v>
      </c>
      <c r="K3406" s="21" t="n">
        <v>0</v>
      </c>
      <c r="L3406" s="21" t="n">
        <v>0</v>
      </c>
      <c r="M3406" s="21" t="n">
        <v>0</v>
      </c>
      <c r="N3406" s="21" t="n">
        <v>0</v>
      </c>
      <c r="O3406" s="21" t="n">
        <v>0</v>
      </c>
      <c r="P3406" s="21" t="n">
        <v>0</v>
      </c>
      <c r="Q3406" s="21" t="n">
        <v>0</v>
      </c>
      <c r="R3406" s="21" t="n">
        <v>0</v>
      </c>
      <c r="S3406" s="21" t="n">
        <v>0</v>
      </c>
      <c r="T3406" s="21">
        <f>-$B$1811</f>
        <v/>
      </c>
      <c r="U3406" s="21">
        <f>-$B$1812</f>
        <v/>
      </c>
      <c r="V3406" s="21">
        <f>2*$B$1811+$D$3375</f>
        <v/>
      </c>
      <c r="W3406" s="21">
        <f>0</f>
        <v/>
      </c>
      <c r="X3406" s="21">
        <f>-$B$1811</f>
        <v/>
      </c>
      <c r="Y3406" s="21">
        <f>$B$1812</f>
        <v/>
      </c>
      <c r="Z3406" s="21" t="n">
        <v>0</v>
      </c>
      <c r="AA3406" s="21" t="n">
        <v>0</v>
      </c>
      <c r="AB3406" s="21" t="n">
        <v>0</v>
      </c>
      <c r="AC3406" s="21" t="n">
        <v>0</v>
      </c>
      <c r="AD3406" s="21" t="n">
        <v>0</v>
      </c>
      <c r="AE3406" s="21" t="n">
        <v>0</v>
      </c>
      <c r="AF3406" s="21" t="n">
        <v>0</v>
      </c>
      <c r="AG3406" s="21" t="n">
        <v>0</v>
      </c>
      <c r="AH3406" s="21" t="n">
        <v>0</v>
      </c>
      <c r="AI3406" s="21" t="n">
        <v>0</v>
      </c>
      <c r="AJ3406" s="21" t="n">
        <v>0</v>
      </c>
      <c r="AK3406" s="21" t="n">
        <v>0</v>
      </c>
      <c r="AL3406" s="21" t="n">
        <v>0</v>
      </c>
      <c r="AM3406" s="21" t="n">
        <v>0</v>
      </c>
      <c r="AN3406" s="21" t="n">
        <v>0</v>
      </c>
      <c r="AO3406" s="21" t="n">
        <v>0</v>
      </c>
      <c r="AP3406" s="21" t="n">
        <v>0</v>
      </c>
      <c r="AQ3406" s="21" t="n">
        <v>0</v>
      </c>
      <c r="AR3406" s="21" t="n">
        <v>0</v>
      </c>
      <c r="AS3406" s="21" t="n">
        <v>0</v>
      </c>
      <c r="AT3406" s="19" t="n"/>
    </row>
    <row r="3407">
      <c r="D3407" s="21" t="n">
        <v>0</v>
      </c>
      <c r="E3407" s="21" t="n">
        <v>0</v>
      </c>
      <c r="F3407" s="21" t="n">
        <v>0</v>
      </c>
      <c r="G3407" s="21" t="n">
        <v>0</v>
      </c>
      <c r="H3407" s="21" t="n">
        <v>0</v>
      </c>
      <c r="I3407" s="21" t="n">
        <v>0</v>
      </c>
      <c r="J3407" s="21" t="n">
        <v>0</v>
      </c>
      <c r="K3407" s="21" t="n">
        <v>0</v>
      </c>
      <c r="L3407" s="21" t="n">
        <v>0</v>
      </c>
      <c r="M3407" s="21" t="n">
        <v>0</v>
      </c>
      <c r="N3407" s="21" t="n">
        <v>0</v>
      </c>
      <c r="O3407" s="21" t="n">
        <v>0</v>
      </c>
      <c r="P3407" s="21" t="n">
        <v>0</v>
      </c>
      <c r="Q3407" s="21" t="n">
        <v>0</v>
      </c>
      <c r="R3407" s="21" t="n">
        <v>0</v>
      </c>
      <c r="S3407" s="21" t="n">
        <v>0</v>
      </c>
      <c r="T3407" s="21">
        <f>$B$1812</f>
        <v/>
      </c>
      <c r="U3407" s="21">
        <f>$B$1814</f>
        <v/>
      </c>
      <c r="V3407" s="21">
        <f>0</f>
        <v/>
      </c>
      <c r="W3407" s="21">
        <f>2*$B$1813</f>
        <v/>
      </c>
      <c r="X3407" s="21">
        <f>-$B$1812</f>
        <v/>
      </c>
      <c r="Y3407" s="21">
        <f>$B$1814</f>
        <v/>
      </c>
      <c r="Z3407" s="21" t="n">
        <v>0</v>
      </c>
      <c r="AA3407" s="21" t="n">
        <v>0</v>
      </c>
      <c r="AB3407" s="21" t="n">
        <v>0</v>
      </c>
      <c r="AC3407" s="21" t="n">
        <v>0</v>
      </c>
      <c r="AD3407" s="21" t="n">
        <v>0</v>
      </c>
      <c r="AE3407" s="21" t="n">
        <v>0</v>
      </c>
      <c r="AF3407" s="21" t="n">
        <v>0</v>
      </c>
      <c r="AG3407" s="21" t="n">
        <v>0</v>
      </c>
      <c r="AH3407" s="21" t="n">
        <v>0</v>
      </c>
      <c r="AI3407" s="21" t="n">
        <v>0</v>
      </c>
      <c r="AJ3407" s="21" t="n">
        <v>0</v>
      </c>
      <c r="AK3407" s="21" t="n">
        <v>0</v>
      </c>
      <c r="AL3407" s="21" t="n">
        <v>0</v>
      </c>
      <c r="AM3407" s="21" t="n">
        <v>0</v>
      </c>
      <c r="AN3407" s="21" t="n">
        <v>0</v>
      </c>
      <c r="AO3407" s="21" t="n">
        <v>0</v>
      </c>
      <c r="AP3407" s="21" t="n">
        <v>0</v>
      </c>
      <c r="AQ3407" s="21" t="n">
        <v>0</v>
      </c>
      <c r="AR3407" s="21" t="n">
        <v>0</v>
      </c>
      <c r="AS3407" s="21" t="n">
        <v>0</v>
      </c>
      <c r="AT3407" s="19" t="n"/>
    </row>
    <row r="3408">
      <c r="D3408" s="21" t="n">
        <v>0</v>
      </c>
      <c r="E3408" s="21" t="n">
        <v>0</v>
      </c>
      <c r="F3408" s="21" t="n">
        <v>0</v>
      </c>
      <c r="G3408" s="21" t="n">
        <v>0</v>
      </c>
      <c r="H3408" s="21" t="n">
        <v>0</v>
      </c>
      <c r="I3408" s="21" t="n">
        <v>0</v>
      </c>
      <c r="J3408" s="21" t="n">
        <v>0</v>
      </c>
      <c r="K3408" s="21" t="n">
        <v>0</v>
      </c>
      <c r="L3408" s="21" t="n">
        <v>0</v>
      </c>
      <c r="M3408" s="21" t="n">
        <v>0</v>
      </c>
      <c r="N3408" s="21" t="n">
        <v>0</v>
      </c>
      <c r="O3408" s="21" t="n">
        <v>0</v>
      </c>
      <c r="P3408" s="21" t="n">
        <v>0</v>
      </c>
      <c r="Q3408" s="21" t="n">
        <v>0</v>
      </c>
      <c r="R3408" s="21" t="n">
        <v>0</v>
      </c>
      <c r="S3408" s="21" t="n">
        <v>0</v>
      </c>
      <c r="T3408" s="21" t="n">
        <v>0</v>
      </c>
      <c r="U3408" s="21" t="n">
        <v>0</v>
      </c>
      <c r="V3408" s="21">
        <f>-$B$1811</f>
        <v/>
      </c>
      <c r="W3408" s="21">
        <f>-$B$1812</f>
        <v/>
      </c>
      <c r="X3408" s="21">
        <f>2*$B$1811+$D$3376</f>
        <v/>
      </c>
      <c r="Y3408" s="21">
        <f>0</f>
        <v/>
      </c>
      <c r="Z3408" s="21">
        <f>-$B$1811</f>
        <v/>
      </c>
      <c r="AA3408" s="21">
        <f>$B$1812</f>
        <v/>
      </c>
      <c r="AB3408" s="21" t="n">
        <v>0</v>
      </c>
      <c r="AC3408" s="21" t="n">
        <v>0</v>
      </c>
      <c r="AD3408" s="21" t="n">
        <v>0</v>
      </c>
      <c r="AE3408" s="21" t="n">
        <v>0</v>
      </c>
      <c r="AF3408" s="21" t="n">
        <v>0</v>
      </c>
      <c r="AG3408" s="21" t="n">
        <v>0</v>
      </c>
      <c r="AH3408" s="21" t="n">
        <v>0</v>
      </c>
      <c r="AI3408" s="21" t="n">
        <v>0</v>
      </c>
      <c r="AJ3408" s="21" t="n">
        <v>0</v>
      </c>
      <c r="AK3408" s="21" t="n">
        <v>0</v>
      </c>
      <c r="AL3408" s="21" t="n">
        <v>0</v>
      </c>
      <c r="AM3408" s="21" t="n">
        <v>0</v>
      </c>
      <c r="AN3408" s="21" t="n">
        <v>0</v>
      </c>
      <c r="AO3408" s="21" t="n">
        <v>0</v>
      </c>
      <c r="AP3408" s="21" t="n">
        <v>0</v>
      </c>
      <c r="AQ3408" s="21" t="n">
        <v>0</v>
      </c>
      <c r="AR3408" s="21" t="n">
        <v>0</v>
      </c>
      <c r="AS3408" s="21" t="n">
        <v>0</v>
      </c>
      <c r="AT3408" s="19" t="n"/>
    </row>
    <row r="3409">
      <c r="D3409" s="21" t="n">
        <v>0</v>
      </c>
      <c r="E3409" s="21" t="n">
        <v>0</v>
      </c>
      <c r="F3409" s="21" t="n">
        <v>0</v>
      </c>
      <c r="G3409" s="21" t="n">
        <v>0</v>
      </c>
      <c r="H3409" s="21" t="n">
        <v>0</v>
      </c>
      <c r="I3409" s="21" t="n">
        <v>0</v>
      </c>
      <c r="J3409" s="21" t="n">
        <v>0</v>
      </c>
      <c r="K3409" s="21" t="n">
        <v>0</v>
      </c>
      <c r="L3409" s="21" t="n">
        <v>0</v>
      </c>
      <c r="M3409" s="21" t="n">
        <v>0</v>
      </c>
      <c r="N3409" s="21" t="n">
        <v>0</v>
      </c>
      <c r="O3409" s="21" t="n">
        <v>0</v>
      </c>
      <c r="P3409" s="21" t="n">
        <v>0</v>
      </c>
      <c r="Q3409" s="21" t="n">
        <v>0</v>
      </c>
      <c r="R3409" s="21" t="n">
        <v>0</v>
      </c>
      <c r="S3409" s="21" t="n">
        <v>0</v>
      </c>
      <c r="T3409" s="21" t="n">
        <v>0</v>
      </c>
      <c r="U3409" s="21" t="n">
        <v>0</v>
      </c>
      <c r="V3409" s="21">
        <f>$B$1812</f>
        <v/>
      </c>
      <c r="W3409" s="21">
        <f>$B$1814</f>
        <v/>
      </c>
      <c r="X3409" s="21">
        <f>0</f>
        <v/>
      </c>
      <c r="Y3409" s="21">
        <f>2*$B$1813</f>
        <v/>
      </c>
      <c r="Z3409" s="21">
        <f>-$B$1812</f>
        <v/>
      </c>
      <c r="AA3409" s="21">
        <f>$B$1814</f>
        <v/>
      </c>
      <c r="AB3409" s="21" t="n">
        <v>0</v>
      </c>
      <c r="AC3409" s="21" t="n">
        <v>0</v>
      </c>
      <c r="AD3409" s="21" t="n">
        <v>0</v>
      </c>
      <c r="AE3409" s="21" t="n">
        <v>0</v>
      </c>
      <c r="AF3409" s="21" t="n">
        <v>0</v>
      </c>
      <c r="AG3409" s="21" t="n">
        <v>0</v>
      </c>
      <c r="AH3409" s="21" t="n">
        <v>0</v>
      </c>
      <c r="AI3409" s="21" t="n">
        <v>0</v>
      </c>
      <c r="AJ3409" s="21" t="n">
        <v>0</v>
      </c>
      <c r="AK3409" s="21" t="n">
        <v>0</v>
      </c>
      <c r="AL3409" s="21" t="n">
        <v>0</v>
      </c>
      <c r="AM3409" s="21" t="n">
        <v>0</v>
      </c>
      <c r="AN3409" s="21" t="n">
        <v>0</v>
      </c>
      <c r="AO3409" s="21" t="n">
        <v>0</v>
      </c>
      <c r="AP3409" s="21" t="n">
        <v>0</v>
      </c>
      <c r="AQ3409" s="21" t="n">
        <v>0</v>
      </c>
      <c r="AR3409" s="21" t="n">
        <v>0</v>
      </c>
      <c r="AS3409" s="21" t="n">
        <v>0</v>
      </c>
      <c r="AT3409" s="19" t="n"/>
    </row>
    <row r="3410">
      <c r="D3410" s="21" t="n">
        <v>0</v>
      </c>
      <c r="E3410" s="21" t="n">
        <v>0</v>
      </c>
      <c r="F3410" s="21" t="n">
        <v>0</v>
      </c>
      <c r="G3410" s="21" t="n">
        <v>0</v>
      </c>
      <c r="H3410" s="21" t="n">
        <v>0</v>
      </c>
      <c r="I3410" s="21" t="n">
        <v>0</v>
      </c>
      <c r="J3410" s="21" t="n">
        <v>0</v>
      </c>
      <c r="K3410" s="21" t="n">
        <v>0</v>
      </c>
      <c r="L3410" s="21" t="n">
        <v>0</v>
      </c>
      <c r="M3410" s="21" t="n">
        <v>0</v>
      </c>
      <c r="N3410" s="21" t="n">
        <v>0</v>
      </c>
      <c r="O3410" s="21" t="n">
        <v>0</v>
      </c>
      <c r="P3410" s="21" t="n">
        <v>0</v>
      </c>
      <c r="Q3410" s="21" t="n">
        <v>0</v>
      </c>
      <c r="R3410" s="21" t="n">
        <v>0</v>
      </c>
      <c r="S3410" s="21" t="n">
        <v>0</v>
      </c>
      <c r="T3410" s="21" t="n">
        <v>0</v>
      </c>
      <c r="U3410" s="21" t="n">
        <v>0</v>
      </c>
      <c r="V3410" s="21" t="n">
        <v>0</v>
      </c>
      <c r="W3410" s="21" t="n">
        <v>0</v>
      </c>
      <c r="X3410" s="21">
        <f>-$B$1811</f>
        <v/>
      </c>
      <c r="Y3410" s="21">
        <f>-$B$1812</f>
        <v/>
      </c>
      <c r="Z3410" s="21">
        <f>2*$B$1811+$D$3377</f>
        <v/>
      </c>
      <c r="AA3410" s="21">
        <f>0</f>
        <v/>
      </c>
      <c r="AB3410" s="21">
        <f>-$B$1811</f>
        <v/>
      </c>
      <c r="AC3410" s="21">
        <f>$B$1812</f>
        <v/>
      </c>
      <c r="AD3410" s="21" t="n">
        <v>0</v>
      </c>
      <c r="AE3410" s="21" t="n">
        <v>0</v>
      </c>
      <c r="AF3410" s="21" t="n">
        <v>0</v>
      </c>
      <c r="AG3410" s="21" t="n">
        <v>0</v>
      </c>
      <c r="AH3410" s="21" t="n">
        <v>0</v>
      </c>
      <c r="AI3410" s="21" t="n">
        <v>0</v>
      </c>
      <c r="AJ3410" s="21" t="n">
        <v>0</v>
      </c>
      <c r="AK3410" s="21" t="n">
        <v>0</v>
      </c>
      <c r="AL3410" s="21" t="n">
        <v>0</v>
      </c>
      <c r="AM3410" s="21" t="n">
        <v>0</v>
      </c>
      <c r="AN3410" s="21" t="n">
        <v>0</v>
      </c>
      <c r="AO3410" s="21" t="n">
        <v>0</v>
      </c>
      <c r="AP3410" s="21" t="n">
        <v>0</v>
      </c>
      <c r="AQ3410" s="21" t="n">
        <v>0</v>
      </c>
      <c r="AR3410" s="21" t="n">
        <v>0</v>
      </c>
      <c r="AS3410" s="21" t="n">
        <v>0</v>
      </c>
      <c r="AT3410" s="19" t="n"/>
    </row>
    <row r="3411">
      <c r="D3411" s="21" t="n">
        <v>0</v>
      </c>
      <c r="E3411" s="21" t="n">
        <v>0</v>
      </c>
      <c r="F3411" s="21" t="n">
        <v>0</v>
      </c>
      <c r="G3411" s="21" t="n">
        <v>0</v>
      </c>
      <c r="H3411" s="21" t="n">
        <v>0</v>
      </c>
      <c r="I3411" s="21" t="n">
        <v>0</v>
      </c>
      <c r="J3411" s="21" t="n">
        <v>0</v>
      </c>
      <c r="K3411" s="21" t="n">
        <v>0</v>
      </c>
      <c r="L3411" s="21" t="n">
        <v>0</v>
      </c>
      <c r="M3411" s="21" t="n">
        <v>0</v>
      </c>
      <c r="N3411" s="21" t="n">
        <v>0</v>
      </c>
      <c r="O3411" s="21" t="n">
        <v>0</v>
      </c>
      <c r="P3411" s="21" t="n">
        <v>0</v>
      </c>
      <c r="Q3411" s="21" t="n">
        <v>0</v>
      </c>
      <c r="R3411" s="21" t="n">
        <v>0</v>
      </c>
      <c r="S3411" s="21" t="n">
        <v>0</v>
      </c>
      <c r="T3411" s="21" t="n">
        <v>0</v>
      </c>
      <c r="U3411" s="21" t="n">
        <v>0</v>
      </c>
      <c r="V3411" s="21" t="n">
        <v>0</v>
      </c>
      <c r="W3411" s="21" t="n">
        <v>0</v>
      </c>
      <c r="X3411" s="21">
        <f>$B$1812</f>
        <v/>
      </c>
      <c r="Y3411" s="21">
        <f>$B$1814</f>
        <v/>
      </c>
      <c r="Z3411" s="21">
        <f>0</f>
        <v/>
      </c>
      <c r="AA3411" s="21">
        <f>2*$B$1813</f>
        <v/>
      </c>
      <c r="AB3411" s="21">
        <f>-$B$1812</f>
        <v/>
      </c>
      <c r="AC3411" s="21">
        <f>$B$1814</f>
        <v/>
      </c>
      <c r="AD3411" s="21" t="n">
        <v>0</v>
      </c>
      <c r="AE3411" s="21" t="n">
        <v>0</v>
      </c>
      <c r="AF3411" s="21" t="n">
        <v>0</v>
      </c>
      <c r="AG3411" s="21" t="n">
        <v>0</v>
      </c>
      <c r="AH3411" s="21" t="n">
        <v>0</v>
      </c>
      <c r="AI3411" s="21" t="n">
        <v>0</v>
      </c>
      <c r="AJ3411" s="21" t="n">
        <v>0</v>
      </c>
      <c r="AK3411" s="21" t="n">
        <v>0</v>
      </c>
      <c r="AL3411" s="21" t="n">
        <v>0</v>
      </c>
      <c r="AM3411" s="21" t="n">
        <v>0</v>
      </c>
      <c r="AN3411" s="21" t="n">
        <v>0</v>
      </c>
      <c r="AO3411" s="21" t="n">
        <v>0</v>
      </c>
      <c r="AP3411" s="21" t="n">
        <v>0</v>
      </c>
      <c r="AQ3411" s="21" t="n">
        <v>0</v>
      </c>
      <c r="AR3411" s="21" t="n">
        <v>0</v>
      </c>
      <c r="AS3411" s="21" t="n">
        <v>0</v>
      </c>
      <c r="AT3411" s="19" t="n"/>
    </row>
    <row r="3412">
      <c r="D3412" s="21" t="n">
        <v>0</v>
      </c>
      <c r="E3412" s="21" t="n">
        <v>0</v>
      </c>
      <c r="F3412" s="21" t="n">
        <v>0</v>
      </c>
      <c r="G3412" s="21" t="n">
        <v>0</v>
      </c>
      <c r="H3412" s="21" t="n">
        <v>0</v>
      </c>
      <c r="I3412" s="21" t="n">
        <v>0</v>
      </c>
      <c r="J3412" s="21" t="n">
        <v>0</v>
      </c>
      <c r="K3412" s="21" t="n">
        <v>0</v>
      </c>
      <c r="L3412" s="21" t="n">
        <v>0</v>
      </c>
      <c r="M3412" s="21" t="n">
        <v>0</v>
      </c>
      <c r="N3412" s="21" t="n">
        <v>0</v>
      </c>
      <c r="O3412" s="21" t="n">
        <v>0</v>
      </c>
      <c r="P3412" s="21" t="n">
        <v>0</v>
      </c>
      <c r="Q3412" s="21" t="n">
        <v>0</v>
      </c>
      <c r="R3412" s="21" t="n">
        <v>0</v>
      </c>
      <c r="S3412" s="21" t="n">
        <v>0</v>
      </c>
      <c r="T3412" s="21" t="n">
        <v>0</v>
      </c>
      <c r="U3412" s="21" t="n">
        <v>0</v>
      </c>
      <c r="V3412" s="21" t="n">
        <v>0</v>
      </c>
      <c r="W3412" s="21" t="n">
        <v>0</v>
      </c>
      <c r="X3412" s="21" t="n">
        <v>0</v>
      </c>
      <c r="Y3412" s="21" t="n">
        <v>0</v>
      </c>
      <c r="Z3412" s="21">
        <f>-$B$1811</f>
        <v/>
      </c>
      <c r="AA3412" s="21">
        <f>-$B$1812</f>
        <v/>
      </c>
      <c r="AB3412" s="21">
        <f>2*$B$1811+$D$3378</f>
        <v/>
      </c>
      <c r="AC3412" s="21">
        <f>0</f>
        <v/>
      </c>
      <c r="AD3412" s="21">
        <f>-$B$1811</f>
        <v/>
      </c>
      <c r="AE3412" s="21">
        <f>$B$1812</f>
        <v/>
      </c>
      <c r="AF3412" s="21" t="n">
        <v>0</v>
      </c>
      <c r="AG3412" s="21" t="n">
        <v>0</v>
      </c>
      <c r="AH3412" s="21" t="n">
        <v>0</v>
      </c>
      <c r="AI3412" s="21" t="n">
        <v>0</v>
      </c>
      <c r="AJ3412" s="21" t="n">
        <v>0</v>
      </c>
      <c r="AK3412" s="21" t="n">
        <v>0</v>
      </c>
      <c r="AL3412" s="21" t="n">
        <v>0</v>
      </c>
      <c r="AM3412" s="21" t="n">
        <v>0</v>
      </c>
      <c r="AN3412" s="21" t="n">
        <v>0</v>
      </c>
      <c r="AO3412" s="21" t="n">
        <v>0</v>
      </c>
      <c r="AP3412" s="21" t="n">
        <v>0</v>
      </c>
      <c r="AQ3412" s="21" t="n">
        <v>0</v>
      </c>
      <c r="AR3412" s="21" t="n">
        <v>0</v>
      </c>
      <c r="AS3412" s="21" t="n">
        <v>0</v>
      </c>
      <c r="AT3412" s="19" t="n"/>
    </row>
    <row r="3413">
      <c r="D3413" s="21" t="n">
        <v>0</v>
      </c>
      <c r="E3413" s="21" t="n">
        <v>0</v>
      </c>
      <c r="F3413" s="21" t="n">
        <v>0</v>
      </c>
      <c r="G3413" s="21" t="n">
        <v>0</v>
      </c>
      <c r="H3413" s="21" t="n">
        <v>0</v>
      </c>
      <c r="I3413" s="21" t="n">
        <v>0</v>
      </c>
      <c r="J3413" s="21" t="n">
        <v>0</v>
      </c>
      <c r="K3413" s="21" t="n">
        <v>0</v>
      </c>
      <c r="L3413" s="21" t="n">
        <v>0</v>
      </c>
      <c r="M3413" s="21" t="n">
        <v>0</v>
      </c>
      <c r="N3413" s="21" t="n">
        <v>0</v>
      </c>
      <c r="O3413" s="21" t="n">
        <v>0</v>
      </c>
      <c r="P3413" s="21" t="n">
        <v>0</v>
      </c>
      <c r="Q3413" s="21" t="n">
        <v>0</v>
      </c>
      <c r="R3413" s="21" t="n">
        <v>0</v>
      </c>
      <c r="S3413" s="21" t="n">
        <v>0</v>
      </c>
      <c r="T3413" s="21" t="n">
        <v>0</v>
      </c>
      <c r="U3413" s="21" t="n">
        <v>0</v>
      </c>
      <c r="V3413" s="21" t="n">
        <v>0</v>
      </c>
      <c r="W3413" s="21" t="n">
        <v>0</v>
      </c>
      <c r="X3413" s="21" t="n">
        <v>0</v>
      </c>
      <c r="Y3413" s="21" t="n">
        <v>0</v>
      </c>
      <c r="Z3413" s="21">
        <f>$B$1812</f>
        <v/>
      </c>
      <c r="AA3413" s="21">
        <f>$B$1814</f>
        <v/>
      </c>
      <c r="AB3413" s="21">
        <f>0</f>
        <v/>
      </c>
      <c r="AC3413" s="21">
        <f>2*$B$1813</f>
        <v/>
      </c>
      <c r="AD3413" s="21">
        <f>-$B$1812</f>
        <v/>
      </c>
      <c r="AE3413" s="21">
        <f>$B$1814</f>
        <v/>
      </c>
      <c r="AF3413" s="21" t="n">
        <v>0</v>
      </c>
      <c r="AG3413" s="21" t="n">
        <v>0</v>
      </c>
      <c r="AH3413" s="21" t="n">
        <v>0</v>
      </c>
      <c r="AI3413" s="21" t="n">
        <v>0</v>
      </c>
      <c r="AJ3413" s="21" t="n">
        <v>0</v>
      </c>
      <c r="AK3413" s="21" t="n">
        <v>0</v>
      </c>
      <c r="AL3413" s="21" t="n">
        <v>0</v>
      </c>
      <c r="AM3413" s="21" t="n">
        <v>0</v>
      </c>
      <c r="AN3413" s="21" t="n">
        <v>0</v>
      </c>
      <c r="AO3413" s="21" t="n">
        <v>0</v>
      </c>
      <c r="AP3413" s="21" t="n">
        <v>0</v>
      </c>
      <c r="AQ3413" s="21" t="n">
        <v>0</v>
      </c>
      <c r="AR3413" s="21" t="n">
        <v>0</v>
      </c>
      <c r="AS3413" s="21" t="n">
        <v>0</v>
      </c>
      <c r="AT3413" s="19" t="n"/>
    </row>
    <row r="3414">
      <c r="D3414" s="21" t="n">
        <v>0</v>
      </c>
      <c r="E3414" s="21" t="n">
        <v>0</v>
      </c>
      <c r="F3414" s="21" t="n">
        <v>0</v>
      </c>
      <c r="G3414" s="21" t="n">
        <v>0</v>
      </c>
      <c r="H3414" s="21" t="n">
        <v>0</v>
      </c>
      <c r="I3414" s="21" t="n">
        <v>0</v>
      </c>
      <c r="J3414" s="21" t="n">
        <v>0</v>
      </c>
      <c r="K3414" s="21" t="n">
        <v>0</v>
      </c>
      <c r="L3414" s="21" t="n">
        <v>0</v>
      </c>
      <c r="M3414" s="21" t="n">
        <v>0</v>
      </c>
      <c r="N3414" s="21" t="n">
        <v>0</v>
      </c>
      <c r="O3414" s="21" t="n">
        <v>0</v>
      </c>
      <c r="P3414" s="21" t="n">
        <v>0</v>
      </c>
      <c r="Q3414" s="21" t="n">
        <v>0</v>
      </c>
      <c r="R3414" s="21" t="n">
        <v>0</v>
      </c>
      <c r="S3414" s="21" t="n">
        <v>0</v>
      </c>
      <c r="T3414" s="21" t="n">
        <v>0</v>
      </c>
      <c r="U3414" s="21" t="n">
        <v>0</v>
      </c>
      <c r="V3414" s="21" t="n">
        <v>0</v>
      </c>
      <c r="W3414" s="21" t="n">
        <v>0</v>
      </c>
      <c r="X3414" s="21" t="n">
        <v>0</v>
      </c>
      <c r="Y3414" s="21" t="n">
        <v>0</v>
      </c>
      <c r="Z3414" s="21" t="n">
        <v>0</v>
      </c>
      <c r="AA3414" s="21" t="n">
        <v>0</v>
      </c>
      <c r="AB3414" s="21">
        <f>-$B$1811</f>
        <v/>
      </c>
      <c r="AC3414" s="21">
        <f>-$B$1812</f>
        <v/>
      </c>
      <c r="AD3414" s="21">
        <f>2*$B$1811+$D$3379</f>
        <v/>
      </c>
      <c r="AE3414" s="21">
        <f>0</f>
        <v/>
      </c>
      <c r="AF3414" s="21">
        <f>-$B$1811</f>
        <v/>
      </c>
      <c r="AG3414" s="21">
        <f>$B$1812</f>
        <v/>
      </c>
      <c r="AH3414" s="21" t="n">
        <v>0</v>
      </c>
      <c r="AI3414" s="21" t="n">
        <v>0</v>
      </c>
      <c r="AJ3414" s="21" t="n">
        <v>0</v>
      </c>
      <c r="AK3414" s="21" t="n">
        <v>0</v>
      </c>
      <c r="AL3414" s="21" t="n">
        <v>0</v>
      </c>
      <c r="AM3414" s="21" t="n">
        <v>0</v>
      </c>
      <c r="AN3414" s="21" t="n">
        <v>0</v>
      </c>
      <c r="AO3414" s="21" t="n">
        <v>0</v>
      </c>
      <c r="AP3414" s="21" t="n">
        <v>0</v>
      </c>
      <c r="AQ3414" s="21" t="n">
        <v>0</v>
      </c>
      <c r="AR3414" s="21" t="n">
        <v>0</v>
      </c>
      <c r="AS3414" s="21" t="n">
        <v>0</v>
      </c>
      <c r="AT3414" s="19" t="n"/>
    </row>
    <row r="3415">
      <c r="D3415" s="21" t="n">
        <v>0</v>
      </c>
      <c r="E3415" s="21" t="n">
        <v>0</v>
      </c>
      <c r="F3415" s="21" t="n">
        <v>0</v>
      </c>
      <c r="G3415" s="21" t="n">
        <v>0</v>
      </c>
      <c r="H3415" s="21" t="n">
        <v>0</v>
      </c>
      <c r="I3415" s="21" t="n">
        <v>0</v>
      </c>
      <c r="J3415" s="21" t="n">
        <v>0</v>
      </c>
      <c r="K3415" s="21" t="n">
        <v>0</v>
      </c>
      <c r="L3415" s="21" t="n">
        <v>0</v>
      </c>
      <c r="M3415" s="21" t="n">
        <v>0</v>
      </c>
      <c r="N3415" s="21" t="n">
        <v>0</v>
      </c>
      <c r="O3415" s="21" t="n">
        <v>0</v>
      </c>
      <c r="P3415" s="21" t="n">
        <v>0</v>
      </c>
      <c r="Q3415" s="21" t="n">
        <v>0</v>
      </c>
      <c r="R3415" s="21" t="n">
        <v>0</v>
      </c>
      <c r="S3415" s="21" t="n">
        <v>0</v>
      </c>
      <c r="T3415" s="21" t="n">
        <v>0</v>
      </c>
      <c r="U3415" s="21" t="n">
        <v>0</v>
      </c>
      <c r="V3415" s="21" t="n">
        <v>0</v>
      </c>
      <c r="W3415" s="21" t="n">
        <v>0</v>
      </c>
      <c r="X3415" s="21" t="n">
        <v>0</v>
      </c>
      <c r="Y3415" s="21" t="n">
        <v>0</v>
      </c>
      <c r="Z3415" s="21" t="n">
        <v>0</v>
      </c>
      <c r="AA3415" s="21" t="n">
        <v>0</v>
      </c>
      <c r="AB3415" s="21">
        <f>$B$1812</f>
        <v/>
      </c>
      <c r="AC3415" s="21">
        <f>$B$1814</f>
        <v/>
      </c>
      <c r="AD3415" s="21">
        <f>0</f>
        <v/>
      </c>
      <c r="AE3415" s="21">
        <f>2*$B$1813</f>
        <v/>
      </c>
      <c r="AF3415" s="21">
        <f>-$B$1812</f>
        <v/>
      </c>
      <c r="AG3415" s="21">
        <f>$B$1814</f>
        <v/>
      </c>
      <c r="AH3415" s="21" t="n">
        <v>0</v>
      </c>
      <c r="AI3415" s="21" t="n">
        <v>0</v>
      </c>
      <c r="AJ3415" s="21" t="n">
        <v>0</v>
      </c>
      <c r="AK3415" s="21" t="n">
        <v>0</v>
      </c>
      <c r="AL3415" s="21" t="n">
        <v>0</v>
      </c>
      <c r="AM3415" s="21" t="n">
        <v>0</v>
      </c>
      <c r="AN3415" s="21" t="n">
        <v>0</v>
      </c>
      <c r="AO3415" s="21" t="n">
        <v>0</v>
      </c>
      <c r="AP3415" s="21" t="n">
        <v>0</v>
      </c>
      <c r="AQ3415" s="21" t="n">
        <v>0</v>
      </c>
      <c r="AR3415" s="21" t="n">
        <v>0</v>
      </c>
      <c r="AS3415" s="21" t="n">
        <v>0</v>
      </c>
      <c r="AT3415" s="19" t="n"/>
    </row>
    <row r="3416">
      <c r="D3416" s="21" t="n">
        <v>0</v>
      </c>
      <c r="E3416" s="21" t="n">
        <v>0</v>
      </c>
      <c r="F3416" s="21" t="n">
        <v>0</v>
      </c>
      <c r="G3416" s="21" t="n">
        <v>0</v>
      </c>
      <c r="H3416" s="21" t="n">
        <v>0</v>
      </c>
      <c r="I3416" s="21" t="n">
        <v>0</v>
      </c>
      <c r="J3416" s="21" t="n">
        <v>0</v>
      </c>
      <c r="K3416" s="21" t="n">
        <v>0</v>
      </c>
      <c r="L3416" s="21" t="n">
        <v>0</v>
      </c>
      <c r="M3416" s="21" t="n">
        <v>0</v>
      </c>
      <c r="N3416" s="21" t="n">
        <v>0</v>
      </c>
      <c r="O3416" s="21" t="n">
        <v>0</v>
      </c>
      <c r="P3416" s="21" t="n">
        <v>0</v>
      </c>
      <c r="Q3416" s="21" t="n">
        <v>0</v>
      </c>
      <c r="R3416" s="21" t="n">
        <v>0</v>
      </c>
      <c r="S3416" s="21" t="n">
        <v>0</v>
      </c>
      <c r="T3416" s="21" t="n">
        <v>0</v>
      </c>
      <c r="U3416" s="21" t="n">
        <v>0</v>
      </c>
      <c r="V3416" s="21" t="n">
        <v>0</v>
      </c>
      <c r="W3416" s="21" t="n">
        <v>0</v>
      </c>
      <c r="X3416" s="21" t="n">
        <v>0</v>
      </c>
      <c r="Y3416" s="21" t="n">
        <v>0</v>
      </c>
      <c r="Z3416" s="21" t="n">
        <v>0</v>
      </c>
      <c r="AA3416" s="21" t="n">
        <v>0</v>
      </c>
      <c r="AB3416" s="21" t="n">
        <v>0</v>
      </c>
      <c r="AC3416" s="21" t="n">
        <v>0</v>
      </c>
      <c r="AD3416" s="21">
        <f>-$B$1811</f>
        <v/>
      </c>
      <c r="AE3416" s="21">
        <f>-$B$1812</f>
        <v/>
      </c>
      <c r="AF3416" s="21">
        <f>2*$B$1811+$D$3380</f>
        <v/>
      </c>
      <c r="AG3416" s="21">
        <f>0</f>
        <v/>
      </c>
      <c r="AH3416" s="21">
        <f>-$B$1811</f>
        <v/>
      </c>
      <c r="AI3416" s="21">
        <f>$B$1812</f>
        <v/>
      </c>
      <c r="AJ3416" s="21" t="n">
        <v>0</v>
      </c>
      <c r="AK3416" s="21" t="n">
        <v>0</v>
      </c>
      <c r="AL3416" s="21" t="n">
        <v>0</v>
      </c>
      <c r="AM3416" s="21" t="n">
        <v>0</v>
      </c>
      <c r="AN3416" s="21" t="n">
        <v>0</v>
      </c>
      <c r="AO3416" s="21" t="n">
        <v>0</v>
      </c>
      <c r="AP3416" s="21" t="n">
        <v>0</v>
      </c>
      <c r="AQ3416" s="21" t="n">
        <v>0</v>
      </c>
      <c r="AR3416" s="21" t="n">
        <v>0</v>
      </c>
      <c r="AS3416" s="21" t="n">
        <v>0</v>
      </c>
      <c r="AT3416" s="19" t="n"/>
    </row>
    <row r="3417">
      <c r="D3417" s="21" t="n">
        <v>0</v>
      </c>
      <c r="E3417" s="21" t="n">
        <v>0</v>
      </c>
      <c r="F3417" s="21" t="n">
        <v>0</v>
      </c>
      <c r="G3417" s="21" t="n">
        <v>0</v>
      </c>
      <c r="H3417" s="21" t="n">
        <v>0</v>
      </c>
      <c r="I3417" s="21" t="n">
        <v>0</v>
      </c>
      <c r="J3417" s="21" t="n">
        <v>0</v>
      </c>
      <c r="K3417" s="21" t="n">
        <v>0</v>
      </c>
      <c r="L3417" s="21" t="n">
        <v>0</v>
      </c>
      <c r="M3417" s="21" t="n">
        <v>0</v>
      </c>
      <c r="N3417" s="21" t="n">
        <v>0</v>
      </c>
      <c r="O3417" s="21" t="n">
        <v>0</v>
      </c>
      <c r="P3417" s="21" t="n">
        <v>0</v>
      </c>
      <c r="Q3417" s="21" t="n">
        <v>0</v>
      </c>
      <c r="R3417" s="21" t="n">
        <v>0</v>
      </c>
      <c r="S3417" s="21" t="n">
        <v>0</v>
      </c>
      <c r="T3417" s="21" t="n">
        <v>0</v>
      </c>
      <c r="U3417" s="21" t="n">
        <v>0</v>
      </c>
      <c r="V3417" s="21" t="n">
        <v>0</v>
      </c>
      <c r="W3417" s="21" t="n">
        <v>0</v>
      </c>
      <c r="X3417" s="21" t="n">
        <v>0</v>
      </c>
      <c r="Y3417" s="21" t="n">
        <v>0</v>
      </c>
      <c r="Z3417" s="21" t="n">
        <v>0</v>
      </c>
      <c r="AA3417" s="21" t="n">
        <v>0</v>
      </c>
      <c r="AB3417" s="21" t="n">
        <v>0</v>
      </c>
      <c r="AC3417" s="21" t="n">
        <v>0</v>
      </c>
      <c r="AD3417" s="21">
        <f>$B$1812</f>
        <v/>
      </c>
      <c r="AE3417" s="21">
        <f>$B$1814</f>
        <v/>
      </c>
      <c r="AF3417" s="21">
        <f>0</f>
        <v/>
      </c>
      <c r="AG3417" s="21">
        <f>2*$B$1813</f>
        <v/>
      </c>
      <c r="AH3417" s="21">
        <f>-$B$1812</f>
        <v/>
      </c>
      <c r="AI3417" s="21">
        <f>$B$1814</f>
        <v/>
      </c>
      <c r="AJ3417" s="21" t="n">
        <v>0</v>
      </c>
      <c r="AK3417" s="21" t="n">
        <v>0</v>
      </c>
      <c r="AL3417" s="21" t="n">
        <v>0</v>
      </c>
      <c r="AM3417" s="21" t="n">
        <v>0</v>
      </c>
      <c r="AN3417" s="21" t="n">
        <v>0</v>
      </c>
      <c r="AO3417" s="21" t="n">
        <v>0</v>
      </c>
      <c r="AP3417" s="21" t="n">
        <v>0</v>
      </c>
      <c r="AQ3417" s="21" t="n">
        <v>0</v>
      </c>
      <c r="AR3417" s="21" t="n">
        <v>0</v>
      </c>
      <c r="AS3417" s="21" t="n">
        <v>0</v>
      </c>
      <c r="AT3417" s="19" t="n"/>
    </row>
    <row r="3418">
      <c r="D3418" s="21" t="n">
        <v>0</v>
      </c>
      <c r="E3418" s="21" t="n">
        <v>0</v>
      </c>
      <c r="F3418" s="21" t="n">
        <v>0</v>
      </c>
      <c r="G3418" s="21" t="n">
        <v>0</v>
      </c>
      <c r="H3418" s="21" t="n">
        <v>0</v>
      </c>
      <c r="I3418" s="21" t="n">
        <v>0</v>
      </c>
      <c r="J3418" s="21" t="n">
        <v>0</v>
      </c>
      <c r="K3418" s="21" t="n">
        <v>0</v>
      </c>
      <c r="L3418" s="21" t="n">
        <v>0</v>
      </c>
      <c r="M3418" s="21" t="n">
        <v>0</v>
      </c>
      <c r="N3418" s="21" t="n">
        <v>0</v>
      </c>
      <c r="O3418" s="21" t="n">
        <v>0</v>
      </c>
      <c r="P3418" s="21" t="n">
        <v>0</v>
      </c>
      <c r="Q3418" s="21" t="n">
        <v>0</v>
      </c>
      <c r="R3418" s="21" t="n">
        <v>0</v>
      </c>
      <c r="S3418" s="21" t="n">
        <v>0</v>
      </c>
      <c r="T3418" s="21" t="n">
        <v>0</v>
      </c>
      <c r="U3418" s="21" t="n">
        <v>0</v>
      </c>
      <c r="V3418" s="21" t="n">
        <v>0</v>
      </c>
      <c r="W3418" s="21" t="n">
        <v>0</v>
      </c>
      <c r="X3418" s="21" t="n">
        <v>0</v>
      </c>
      <c r="Y3418" s="21" t="n">
        <v>0</v>
      </c>
      <c r="Z3418" s="21" t="n">
        <v>0</v>
      </c>
      <c r="AA3418" s="21" t="n">
        <v>0</v>
      </c>
      <c r="AB3418" s="21" t="n">
        <v>0</v>
      </c>
      <c r="AC3418" s="21" t="n">
        <v>0</v>
      </c>
      <c r="AD3418" s="21" t="n">
        <v>0</v>
      </c>
      <c r="AE3418" s="21" t="n">
        <v>0</v>
      </c>
      <c r="AF3418" s="21">
        <f>-$B$1811</f>
        <v/>
      </c>
      <c r="AG3418" s="21">
        <f>-$B$1812</f>
        <v/>
      </c>
      <c r="AH3418" s="21">
        <f>2*$B$1811+$D$3381</f>
        <v/>
      </c>
      <c r="AI3418" s="21">
        <f>0</f>
        <v/>
      </c>
      <c r="AJ3418" s="21">
        <f>-$B$1811</f>
        <v/>
      </c>
      <c r="AK3418" s="21">
        <f>$B$1812</f>
        <v/>
      </c>
      <c r="AL3418" s="21" t="n">
        <v>0</v>
      </c>
      <c r="AM3418" s="21" t="n">
        <v>0</v>
      </c>
      <c r="AN3418" s="21" t="n">
        <v>0</v>
      </c>
      <c r="AO3418" s="21" t="n">
        <v>0</v>
      </c>
      <c r="AP3418" s="21" t="n">
        <v>0</v>
      </c>
      <c r="AQ3418" s="21" t="n">
        <v>0</v>
      </c>
      <c r="AR3418" s="21" t="n">
        <v>0</v>
      </c>
      <c r="AS3418" s="21" t="n">
        <v>0</v>
      </c>
      <c r="AT3418" s="19" t="n"/>
    </row>
    <row r="3419">
      <c r="D3419" s="21" t="n">
        <v>0</v>
      </c>
      <c r="E3419" s="21" t="n">
        <v>0</v>
      </c>
      <c r="F3419" s="21" t="n">
        <v>0</v>
      </c>
      <c r="G3419" s="21" t="n">
        <v>0</v>
      </c>
      <c r="H3419" s="21" t="n">
        <v>0</v>
      </c>
      <c r="I3419" s="21" t="n">
        <v>0</v>
      </c>
      <c r="J3419" s="21" t="n">
        <v>0</v>
      </c>
      <c r="K3419" s="21" t="n">
        <v>0</v>
      </c>
      <c r="L3419" s="21" t="n">
        <v>0</v>
      </c>
      <c r="M3419" s="21" t="n">
        <v>0</v>
      </c>
      <c r="N3419" s="21" t="n">
        <v>0</v>
      </c>
      <c r="O3419" s="21" t="n">
        <v>0</v>
      </c>
      <c r="P3419" s="21" t="n">
        <v>0</v>
      </c>
      <c r="Q3419" s="21" t="n">
        <v>0</v>
      </c>
      <c r="R3419" s="21" t="n">
        <v>0</v>
      </c>
      <c r="S3419" s="21" t="n">
        <v>0</v>
      </c>
      <c r="T3419" s="21" t="n">
        <v>0</v>
      </c>
      <c r="U3419" s="21" t="n">
        <v>0</v>
      </c>
      <c r="V3419" s="21" t="n">
        <v>0</v>
      </c>
      <c r="W3419" s="21" t="n">
        <v>0</v>
      </c>
      <c r="X3419" s="21" t="n">
        <v>0</v>
      </c>
      <c r="Y3419" s="21" t="n">
        <v>0</v>
      </c>
      <c r="Z3419" s="21" t="n">
        <v>0</v>
      </c>
      <c r="AA3419" s="21" t="n">
        <v>0</v>
      </c>
      <c r="AB3419" s="21" t="n">
        <v>0</v>
      </c>
      <c r="AC3419" s="21" t="n">
        <v>0</v>
      </c>
      <c r="AD3419" s="21" t="n">
        <v>0</v>
      </c>
      <c r="AE3419" s="21" t="n">
        <v>0</v>
      </c>
      <c r="AF3419" s="21">
        <f>$B$1812</f>
        <v/>
      </c>
      <c r="AG3419" s="21">
        <f>$B$1814</f>
        <v/>
      </c>
      <c r="AH3419" s="21">
        <f>0</f>
        <v/>
      </c>
      <c r="AI3419" s="21">
        <f>2*$B$1813</f>
        <v/>
      </c>
      <c r="AJ3419" s="21">
        <f>-$B$1812</f>
        <v/>
      </c>
      <c r="AK3419" s="21">
        <f>$B$1814</f>
        <v/>
      </c>
      <c r="AL3419" s="21" t="n">
        <v>0</v>
      </c>
      <c r="AM3419" s="21" t="n">
        <v>0</v>
      </c>
      <c r="AN3419" s="21" t="n">
        <v>0</v>
      </c>
      <c r="AO3419" s="21" t="n">
        <v>0</v>
      </c>
      <c r="AP3419" s="21" t="n">
        <v>0</v>
      </c>
      <c r="AQ3419" s="21" t="n">
        <v>0</v>
      </c>
      <c r="AR3419" s="21" t="n">
        <v>0</v>
      </c>
      <c r="AS3419" s="21" t="n">
        <v>0</v>
      </c>
      <c r="AT3419" s="19" t="n"/>
    </row>
    <row r="3420">
      <c r="D3420" s="21" t="n">
        <v>0</v>
      </c>
      <c r="E3420" s="21" t="n">
        <v>0</v>
      </c>
      <c r="F3420" s="21" t="n">
        <v>0</v>
      </c>
      <c r="G3420" s="21" t="n">
        <v>0</v>
      </c>
      <c r="H3420" s="21" t="n">
        <v>0</v>
      </c>
      <c r="I3420" s="21" t="n">
        <v>0</v>
      </c>
      <c r="J3420" s="21" t="n">
        <v>0</v>
      </c>
      <c r="K3420" s="21" t="n">
        <v>0</v>
      </c>
      <c r="L3420" s="21" t="n">
        <v>0</v>
      </c>
      <c r="M3420" s="21" t="n">
        <v>0</v>
      </c>
      <c r="N3420" s="21" t="n">
        <v>0</v>
      </c>
      <c r="O3420" s="21" t="n">
        <v>0</v>
      </c>
      <c r="P3420" s="21" t="n">
        <v>0</v>
      </c>
      <c r="Q3420" s="21" t="n">
        <v>0</v>
      </c>
      <c r="R3420" s="21" t="n">
        <v>0</v>
      </c>
      <c r="S3420" s="21" t="n">
        <v>0</v>
      </c>
      <c r="T3420" s="21" t="n">
        <v>0</v>
      </c>
      <c r="U3420" s="21" t="n">
        <v>0</v>
      </c>
      <c r="V3420" s="21" t="n">
        <v>0</v>
      </c>
      <c r="W3420" s="21" t="n">
        <v>0</v>
      </c>
      <c r="X3420" s="21" t="n">
        <v>0</v>
      </c>
      <c r="Y3420" s="21" t="n">
        <v>0</v>
      </c>
      <c r="Z3420" s="21" t="n">
        <v>0</v>
      </c>
      <c r="AA3420" s="21" t="n">
        <v>0</v>
      </c>
      <c r="AB3420" s="21" t="n">
        <v>0</v>
      </c>
      <c r="AC3420" s="21" t="n">
        <v>0</v>
      </c>
      <c r="AD3420" s="21" t="n">
        <v>0</v>
      </c>
      <c r="AE3420" s="21" t="n">
        <v>0</v>
      </c>
      <c r="AF3420" s="21" t="n">
        <v>0</v>
      </c>
      <c r="AG3420" s="21" t="n">
        <v>0</v>
      </c>
      <c r="AH3420" s="21">
        <f>-$B$1811</f>
        <v/>
      </c>
      <c r="AI3420" s="21">
        <f>-$B$1812</f>
        <v/>
      </c>
      <c r="AJ3420" s="21">
        <f>2*$B$1811+$D$3382</f>
        <v/>
      </c>
      <c r="AK3420" s="21">
        <f>0</f>
        <v/>
      </c>
      <c r="AL3420" s="21">
        <f>-$B$1811</f>
        <v/>
      </c>
      <c r="AM3420" s="21">
        <f>$B$1812</f>
        <v/>
      </c>
      <c r="AN3420" s="21" t="n">
        <v>0</v>
      </c>
      <c r="AO3420" s="21" t="n">
        <v>0</v>
      </c>
      <c r="AP3420" s="21" t="n">
        <v>0</v>
      </c>
      <c r="AQ3420" s="21" t="n">
        <v>0</v>
      </c>
      <c r="AR3420" s="21" t="n">
        <v>0</v>
      </c>
      <c r="AS3420" s="21" t="n">
        <v>0</v>
      </c>
      <c r="AT3420" s="19" t="n"/>
    </row>
    <row r="3421">
      <c r="D3421" s="21" t="n">
        <v>0</v>
      </c>
      <c r="E3421" s="21" t="n">
        <v>0</v>
      </c>
      <c r="F3421" s="21" t="n">
        <v>0</v>
      </c>
      <c r="G3421" s="21" t="n">
        <v>0</v>
      </c>
      <c r="H3421" s="21" t="n">
        <v>0</v>
      </c>
      <c r="I3421" s="21" t="n">
        <v>0</v>
      </c>
      <c r="J3421" s="21" t="n">
        <v>0</v>
      </c>
      <c r="K3421" s="21" t="n">
        <v>0</v>
      </c>
      <c r="L3421" s="21" t="n">
        <v>0</v>
      </c>
      <c r="M3421" s="21" t="n">
        <v>0</v>
      </c>
      <c r="N3421" s="21" t="n">
        <v>0</v>
      </c>
      <c r="O3421" s="21" t="n">
        <v>0</v>
      </c>
      <c r="P3421" s="21" t="n">
        <v>0</v>
      </c>
      <c r="Q3421" s="21" t="n">
        <v>0</v>
      </c>
      <c r="R3421" s="21" t="n">
        <v>0</v>
      </c>
      <c r="S3421" s="21" t="n">
        <v>0</v>
      </c>
      <c r="T3421" s="21" t="n">
        <v>0</v>
      </c>
      <c r="U3421" s="21" t="n">
        <v>0</v>
      </c>
      <c r="V3421" s="21" t="n">
        <v>0</v>
      </c>
      <c r="W3421" s="21" t="n">
        <v>0</v>
      </c>
      <c r="X3421" s="21" t="n">
        <v>0</v>
      </c>
      <c r="Y3421" s="21" t="n">
        <v>0</v>
      </c>
      <c r="Z3421" s="21" t="n">
        <v>0</v>
      </c>
      <c r="AA3421" s="21" t="n">
        <v>0</v>
      </c>
      <c r="AB3421" s="21" t="n">
        <v>0</v>
      </c>
      <c r="AC3421" s="21" t="n">
        <v>0</v>
      </c>
      <c r="AD3421" s="21" t="n">
        <v>0</v>
      </c>
      <c r="AE3421" s="21" t="n">
        <v>0</v>
      </c>
      <c r="AF3421" s="21" t="n">
        <v>0</v>
      </c>
      <c r="AG3421" s="21" t="n">
        <v>0</v>
      </c>
      <c r="AH3421" s="21">
        <f>$B$1812</f>
        <v/>
      </c>
      <c r="AI3421" s="21">
        <f>$B$1814</f>
        <v/>
      </c>
      <c r="AJ3421" s="21">
        <f>0</f>
        <v/>
      </c>
      <c r="AK3421" s="21">
        <f>2*$B$1813</f>
        <v/>
      </c>
      <c r="AL3421" s="21">
        <f>-$B$1812</f>
        <v/>
      </c>
      <c r="AM3421" s="21">
        <f>$B$1814</f>
        <v/>
      </c>
      <c r="AN3421" s="21" t="n">
        <v>0</v>
      </c>
      <c r="AO3421" s="21" t="n">
        <v>0</v>
      </c>
      <c r="AP3421" s="21" t="n">
        <v>0</v>
      </c>
      <c r="AQ3421" s="21" t="n">
        <v>0</v>
      </c>
      <c r="AR3421" s="21" t="n">
        <v>0</v>
      </c>
      <c r="AS3421" s="21" t="n">
        <v>0</v>
      </c>
      <c r="AT3421" s="19" t="n"/>
    </row>
    <row r="3422">
      <c r="D3422" s="21" t="n">
        <v>0</v>
      </c>
      <c r="E3422" s="21" t="n">
        <v>0</v>
      </c>
      <c r="F3422" s="21" t="n">
        <v>0</v>
      </c>
      <c r="G3422" s="21" t="n">
        <v>0</v>
      </c>
      <c r="H3422" s="21" t="n">
        <v>0</v>
      </c>
      <c r="I3422" s="21" t="n">
        <v>0</v>
      </c>
      <c r="J3422" s="21" t="n">
        <v>0</v>
      </c>
      <c r="K3422" s="21" t="n">
        <v>0</v>
      </c>
      <c r="L3422" s="21" t="n">
        <v>0</v>
      </c>
      <c r="M3422" s="21" t="n">
        <v>0</v>
      </c>
      <c r="N3422" s="21" t="n">
        <v>0</v>
      </c>
      <c r="O3422" s="21" t="n">
        <v>0</v>
      </c>
      <c r="P3422" s="21" t="n">
        <v>0</v>
      </c>
      <c r="Q3422" s="21" t="n">
        <v>0</v>
      </c>
      <c r="R3422" s="21" t="n">
        <v>0</v>
      </c>
      <c r="S3422" s="21" t="n">
        <v>0</v>
      </c>
      <c r="T3422" s="21" t="n">
        <v>0</v>
      </c>
      <c r="U3422" s="21" t="n">
        <v>0</v>
      </c>
      <c r="V3422" s="21" t="n">
        <v>0</v>
      </c>
      <c r="W3422" s="21" t="n">
        <v>0</v>
      </c>
      <c r="X3422" s="21" t="n">
        <v>0</v>
      </c>
      <c r="Y3422" s="21" t="n">
        <v>0</v>
      </c>
      <c r="Z3422" s="21" t="n">
        <v>0</v>
      </c>
      <c r="AA3422" s="21" t="n">
        <v>0</v>
      </c>
      <c r="AB3422" s="21" t="n">
        <v>0</v>
      </c>
      <c r="AC3422" s="21" t="n">
        <v>0</v>
      </c>
      <c r="AD3422" s="21" t="n">
        <v>0</v>
      </c>
      <c r="AE3422" s="21" t="n">
        <v>0</v>
      </c>
      <c r="AF3422" s="21" t="n">
        <v>0</v>
      </c>
      <c r="AG3422" s="21" t="n">
        <v>0</v>
      </c>
      <c r="AH3422" s="21" t="n">
        <v>0</v>
      </c>
      <c r="AI3422" s="21" t="n">
        <v>0</v>
      </c>
      <c r="AJ3422" s="21">
        <f>-$B$1811</f>
        <v/>
      </c>
      <c r="AK3422" s="21">
        <f>-$B$1812</f>
        <v/>
      </c>
      <c r="AL3422" s="21">
        <f>2*$B$1811+$D$3383</f>
        <v/>
      </c>
      <c r="AM3422" s="21">
        <f>0</f>
        <v/>
      </c>
      <c r="AN3422" s="21">
        <f>-$B$1811</f>
        <v/>
      </c>
      <c r="AO3422" s="21">
        <f>$B$1812</f>
        <v/>
      </c>
      <c r="AP3422" s="21" t="n">
        <v>0</v>
      </c>
      <c r="AQ3422" s="21" t="n">
        <v>0</v>
      </c>
      <c r="AR3422" s="21" t="n">
        <v>0</v>
      </c>
      <c r="AS3422" s="21" t="n">
        <v>0</v>
      </c>
      <c r="AT3422" s="19" t="n"/>
    </row>
    <row r="3423">
      <c r="D3423" s="21" t="n">
        <v>0</v>
      </c>
      <c r="E3423" s="21" t="n">
        <v>0</v>
      </c>
      <c r="F3423" s="21" t="n">
        <v>0</v>
      </c>
      <c r="G3423" s="21" t="n">
        <v>0</v>
      </c>
      <c r="H3423" s="21" t="n">
        <v>0</v>
      </c>
      <c r="I3423" s="21" t="n">
        <v>0</v>
      </c>
      <c r="J3423" s="21" t="n">
        <v>0</v>
      </c>
      <c r="K3423" s="21" t="n">
        <v>0</v>
      </c>
      <c r="L3423" s="21" t="n">
        <v>0</v>
      </c>
      <c r="M3423" s="21" t="n">
        <v>0</v>
      </c>
      <c r="N3423" s="21" t="n">
        <v>0</v>
      </c>
      <c r="O3423" s="21" t="n">
        <v>0</v>
      </c>
      <c r="P3423" s="21" t="n">
        <v>0</v>
      </c>
      <c r="Q3423" s="21" t="n">
        <v>0</v>
      </c>
      <c r="R3423" s="21" t="n">
        <v>0</v>
      </c>
      <c r="S3423" s="21" t="n">
        <v>0</v>
      </c>
      <c r="T3423" s="21" t="n">
        <v>0</v>
      </c>
      <c r="U3423" s="21" t="n">
        <v>0</v>
      </c>
      <c r="V3423" s="21" t="n">
        <v>0</v>
      </c>
      <c r="W3423" s="21" t="n">
        <v>0</v>
      </c>
      <c r="X3423" s="21" t="n">
        <v>0</v>
      </c>
      <c r="Y3423" s="21" t="n">
        <v>0</v>
      </c>
      <c r="Z3423" s="21" t="n">
        <v>0</v>
      </c>
      <c r="AA3423" s="21" t="n">
        <v>0</v>
      </c>
      <c r="AB3423" s="21" t="n">
        <v>0</v>
      </c>
      <c r="AC3423" s="21" t="n">
        <v>0</v>
      </c>
      <c r="AD3423" s="21" t="n">
        <v>0</v>
      </c>
      <c r="AE3423" s="21" t="n">
        <v>0</v>
      </c>
      <c r="AF3423" s="21" t="n">
        <v>0</v>
      </c>
      <c r="AG3423" s="21" t="n">
        <v>0</v>
      </c>
      <c r="AH3423" s="21" t="n">
        <v>0</v>
      </c>
      <c r="AI3423" s="21" t="n">
        <v>0</v>
      </c>
      <c r="AJ3423" s="21">
        <f>$B$1812</f>
        <v/>
      </c>
      <c r="AK3423" s="21">
        <f>$B$1814</f>
        <v/>
      </c>
      <c r="AL3423" s="21">
        <f>0</f>
        <v/>
      </c>
      <c r="AM3423" s="21">
        <f>2*$B$1813</f>
        <v/>
      </c>
      <c r="AN3423" s="21">
        <f>-$B$1812</f>
        <v/>
      </c>
      <c r="AO3423" s="21">
        <f>$B$1814</f>
        <v/>
      </c>
      <c r="AP3423" s="21" t="n">
        <v>0</v>
      </c>
      <c r="AQ3423" s="21" t="n">
        <v>0</v>
      </c>
      <c r="AR3423" s="21" t="n">
        <v>0</v>
      </c>
      <c r="AS3423" s="21" t="n">
        <v>0</v>
      </c>
      <c r="AT3423" s="19" t="n"/>
    </row>
    <row r="3424">
      <c r="D3424" s="21" t="n">
        <v>0</v>
      </c>
      <c r="E3424" s="21" t="n">
        <v>0</v>
      </c>
      <c r="F3424" s="21" t="n">
        <v>0</v>
      </c>
      <c r="G3424" s="21" t="n">
        <v>0</v>
      </c>
      <c r="H3424" s="21" t="n">
        <v>0</v>
      </c>
      <c r="I3424" s="21" t="n">
        <v>0</v>
      </c>
      <c r="J3424" s="21" t="n">
        <v>0</v>
      </c>
      <c r="K3424" s="21" t="n">
        <v>0</v>
      </c>
      <c r="L3424" s="21" t="n">
        <v>0</v>
      </c>
      <c r="M3424" s="21" t="n">
        <v>0</v>
      </c>
      <c r="N3424" s="21" t="n">
        <v>0</v>
      </c>
      <c r="O3424" s="21" t="n">
        <v>0</v>
      </c>
      <c r="P3424" s="21" t="n">
        <v>0</v>
      </c>
      <c r="Q3424" s="21" t="n">
        <v>0</v>
      </c>
      <c r="R3424" s="21" t="n">
        <v>0</v>
      </c>
      <c r="S3424" s="21" t="n">
        <v>0</v>
      </c>
      <c r="T3424" s="21" t="n">
        <v>0</v>
      </c>
      <c r="U3424" s="21" t="n">
        <v>0</v>
      </c>
      <c r="V3424" s="21" t="n">
        <v>0</v>
      </c>
      <c r="W3424" s="21" t="n">
        <v>0</v>
      </c>
      <c r="X3424" s="21" t="n">
        <v>0</v>
      </c>
      <c r="Y3424" s="21" t="n">
        <v>0</v>
      </c>
      <c r="Z3424" s="21" t="n">
        <v>0</v>
      </c>
      <c r="AA3424" s="21" t="n">
        <v>0</v>
      </c>
      <c r="AB3424" s="21" t="n">
        <v>0</v>
      </c>
      <c r="AC3424" s="21" t="n">
        <v>0</v>
      </c>
      <c r="AD3424" s="21" t="n">
        <v>0</v>
      </c>
      <c r="AE3424" s="21" t="n">
        <v>0</v>
      </c>
      <c r="AF3424" s="21" t="n">
        <v>0</v>
      </c>
      <c r="AG3424" s="21" t="n">
        <v>0</v>
      </c>
      <c r="AH3424" s="21" t="n">
        <v>0</v>
      </c>
      <c r="AI3424" s="21" t="n">
        <v>0</v>
      </c>
      <c r="AJ3424" s="21" t="n">
        <v>0</v>
      </c>
      <c r="AK3424" s="21" t="n">
        <v>0</v>
      </c>
      <c r="AL3424" s="21">
        <f>-$B$1811</f>
        <v/>
      </c>
      <c r="AM3424" s="21">
        <f>-$B$1812</f>
        <v/>
      </c>
      <c r="AN3424" s="21">
        <f>2*$B$1811+$D$3384</f>
        <v/>
      </c>
      <c r="AO3424" s="21">
        <f>0</f>
        <v/>
      </c>
      <c r="AP3424" s="21">
        <f>-$B$1811</f>
        <v/>
      </c>
      <c r="AQ3424" s="21">
        <f>$B$1812</f>
        <v/>
      </c>
      <c r="AR3424" s="21" t="n">
        <v>0</v>
      </c>
      <c r="AS3424" s="21" t="n">
        <v>0</v>
      </c>
      <c r="AT3424" s="19" t="n"/>
    </row>
    <row r="3425">
      <c r="D3425" s="21" t="n">
        <v>0</v>
      </c>
      <c r="E3425" s="21" t="n">
        <v>0</v>
      </c>
      <c r="F3425" s="21" t="n">
        <v>0</v>
      </c>
      <c r="G3425" s="21" t="n">
        <v>0</v>
      </c>
      <c r="H3425" s="21" t="n">
        <v>0</v>
      </c>
      <c r="I3425" s="21" t="n">
        <v>0</v>
      </c>
      <c r="J3425" s="21" t="n">
        <v>0</v>
      </c>
      <c r="K3425" s="21" t="n">
        <v>0</v>
      </c>
      <c r="L3425" s="21" t="n">
        <v>0</v>
      </c>
      <c r="M3425" s="21" t="n">
        <v>0</v>
      </c>
      <c r="N3425" s="21" t="n">
        <v>0</v>
      </c>
      <c r="O3425" s="21" t="n">
        <v>0</v>
      </c>
      <c r="P3425" s="21" t="n">
        <v>0</v>
      </c>
      <c r="Q3425" s="21" t="n">
        <v>0</v>
      </c>
      <c r="R3425" s="21" t="n">
        <v>0</v>
      </c>
      <c r="S3425" s="21" t="n">
        <v>0</v>
      </c>
      <c r="T3425" s="21" t="n">
        <v>0</v>
      </c>
      <c r="U3425" s="21" t="n">
        <v>0</v>
      </c>
      <c r="V3425" s="21" t="n">
        <v>0</v>
      </c>
      <c r="W3425" s="21" t="n">
        <v>0</v>
      </c>
      <c r="X3425" s="21" t="n">
        <v>0</v>
      </c>
      <c r="Y3425" s="21" t="n">
        <v>0</v>
      </c>
      <c r="Z3425" s="21" t="n">
        <v>0</v>
      </c>
      <c r="AA3425" s="21" t="n">
        <v>0</v>
      </c>
      <c r="AB3425" s="21" t="n">
        <v>0</v>
      </c>
      <c r="AC3425" s="21" t="n">
        <v>0</v>
      </c>
      <c r="AD3425" s="21" t="n">
        <v>0</v>
      </c>
      <c r="AE3425" s="21" t="n">
        <v>0</v>
      </c>
      <c r="AF3425" s="21" t="n">
        <v>0</v>
      </c>
      <c r="AG3425" s="21" t="n">
        <v>0</v>
      </c>
      <c r="AH3425" s="21" t="n">
        <v>0</v>
      </c>
      <c r="AI3425" s="21" t="n">
        <v>0</v>
      </c>
      <c r="AJ3425" s="21" t="n">
        <v>0</v>
      </c>
      <c r="AK3425" s="21" t="n">
        <v>0</v>
      </c>
      <c r="AL3425" s="21">
        <f>$B$1812</f>
        <v/>
      </c>
      <c r="AM3425" s="21">
        <f>$B$1814</f>
        <v/>
      </c>
      <c r="AN3425" s="21">
        <f>0</f>
        <v/>
      </c>
      <c r="AO3425" s="21">
        <f>2*$B$1813</f>
        <v/>
      </c>
      <c r="AP3425" s="21">
        <f>-$B$1812</f>
        <v/>
      </c>
      <c r="AQ3425" s="21">
        <f>$B$1814</f>
        <v/>
      </c>
      <c r="AR3425" s="21" t="n">
        <v>0</v>
      </c>
      <c r="AS3425" s="21" t="n">
        <v>0</v>
      </c>
      <c r="AT3425" s="19" t="n"/>
    </row>
    <row r="3426">
      <c r="D3426" s="21" t="n">
        <v>0</v>
      </c>
      <c r="E3426" s="21" t="n">
        <v>0</v>
      </c>
      <c r="F3426" s="21" t="n">
        <v>0</v>
      </c>
      <c r="G3426" s="21" t="n">
        <v>0</v>
      </c>
      <c r="H3426" s="21" t="n">
        <v>0</v>
      </c>
      <c r="I3426" s="21" t="n">
        <v>0</v>
      </c>
      <c r="J3426" s="21" t="n">
        <v>0</v>
      </c>
      <c r="K3426" s="21" t="n">
        <v>0</v>
      </c>
      <c r="L3426" s="21" t="n">
        <v>0</v>
      </c>
      <c r="M3426" s="21" t="n">
        <v>0</v>
      </c>
      <c r="N3426" s="21" t="n">
        <v>0</v>
      </c>
      <c r="O3426" s="21" t="n">
        <v>0</v>
      </c>
      <c r="P3426" s="21" t="n">
        <v>0</v>
      </c>
      <c r="Q3426" s="21" t="n">
        <v>0</v>
      </c>
      <c r="R3426" s="21" t="n">
        <v>0</v>
      </c>
      <c r="S3426" s="21" t="n">
        <v>0</v>
      </c>
      <c r="T3426" s="21" t="n">
        <v>0</v>
      </c>
      <c r="U3426" s="21" t="n">
        <v>0</v>
      </c>
      <c r="V3426" s="21" t="n">
        <v>0</v>
      </c>
      <c r="W3426" s="21" t="n">
        <v>0</v>
      </c>
      <c r="X3426" s="21" t="n">
        <v>0</v>
      </c>
      <c r="Y3426" s="21" t="n">
        <v>0</v>
      </c>
      <c r="Z3426" s="21" t="n">
        <v>0</v>
      </c>
      <c r="AA3426" s="21" t="n">
        <v>0</v>
      </c>
      <c r="AB3426" s="21" t="n">
        <v>0</v>
      </c>
      <c r="AC3426" s="21" t="n">
        <v>0</v>
      </c>
      <c r="AD3426" s="21" t="n">
        <v>0</v>
      </c>
      <c r="AE3426" s="21" t="n">
        <v>0</v>
      </c>
      <c r="AF3426" s="21" t="n">
        <v>0</v>
      </c>
      <c r="AG3426" s="21" t="n">
        <v>0</v>
      </c>
      <c r="AH3426" s="21" t="n">
        <v>0</v>
      </c>
      <c r="AI3426" s="21" t="n">
        <v>0</v>
      </c>
      <c r="AJ3426" s="21" t="n">
        <v>0</v>
      </c>
      <c r="AK3426" s="21" t="n">
        <v>0</v>
      </c>
      <c r="AL3426" s="21" t="n">
        <v>0</v>
      </c>
      <c r="AM3426" s="21" t="n">
        <v>0</v>
      </c>
      <c r="AN3426" s="21">
        <f>-$B$1811</f>
        <v/>
      </c>
      <c r="AO3426" s="21">
        <f>-$B$1812</f>
        <v/>
      </c>
      <c r="AP3426" s="21">
        <f>2*$B$1811+$D$3385</f>
        <v/>
      </c>
      <c r="AQ3426" s="21">
        <f>0</f>
        <v/>
      </c>
      <c r="AR3426" s="21">
        <f>-$B$1811</f>
        <v/>
      </c>
      <c r="AS3426" s="21">
        <f>$B$1812</f>
        <v/>
      </c>
      <c r="AT3426" s="19" t="n"/>
    </row>
    <row r="3427">
      <c r="D3427" s="21" t="n">
        <v>0</v>
      </c>
      <c r="E3427" s="21" t="n">
        <v>0</v>
      </c>
      <c r="F3427" s="21" t="n">
        <v>0</v>
      </c>
      <c r="G3427" s="21" t="n">
        <v>0</v>
      </c>
      <c r="H3427" s="21" t="n">
        <v>0</v>
      </c>
      <c r="I3427" s="21" t="n">
        <v>0</v>
      </c>
      <c r="J3427" s="21" t="n">
        <v>0</v>
      </c>
      <c r="K3427" s="21" t="n">
        <v>0</v>
      </c>
      <c r="L3427" s="21" t="n">
        <v>0</v>
      </c>
      <c r="M3427" s="21" t="n">
        <v>0</v>
      </c>
      <c r="N3427" s="21" t="n">
        <v>0</v>
      </c>
      <c r="O3427" s="21" t="n">
        <v>0</v>
      </c>
      <c r="P3427" s="21" t="n">
        <v>0</v>
      </c>
      <c r="Q3427" s="21" t="n">
        <v>0</v>
      </c>
      <c r="R3427" s="21" t="n">
        <v>0</v>
      </c>
      <c r="S3427" s="21" t="n">
        <v>0</v>
      </c>
      <c r="T3427" s="21" t="n">
        <v>0</v>
      </c>
      <c r="U3427" s="21" t="n">
        <v>0</v>
      </c>
      <c r="V3427" s="21" t="n">
        <v>0</v>
      </c>
      <c r="W3427" s="21" t="n">
        <v>0</v>
      </c>
      <c r="X3427" s="21" t="n">
        <v>0</v>
      </c>
      <c r="Y3427" s="21" t="n">
        <v>0</v>
      </c>
      <c r="Z3427" s="21" t="n">
        <v>0</v>
      </c>
      <c r="AA3427" s="21" t="n">
        <v>0</v>
      </c>
      <c r="AB3427" s="21" t="n">
        <v>0</v>
      </c>
      <c r="AC3427" s="21" t="n">
        <v>0</v>
      </c>
      <c r="AD3427" s="21" t="n">
        <v>0</v>
      </c>
      <c r="AE3427" s="21" t="n">
        <v>0</v>
      </c>
      <c r="AF3427" s="21" t="n">
        <v>0</v>
      </c>
      <c r="AG3427" s="21" t="n">
        <v>0</v>
      </c>
      <c r="AH3427" s="21" t="n">
        <v>0</v>
      </c>
      <c r="AI3427" s="21" t="n">
        <v>0</v>
      </c>
      <c r="AJ3427" s="21" t="n">
        <v>0</v>
      </c>
      <c r="AK3427" s="21" t="n">
        <v>0</v>
      </c>
      <c r="AL3427" s="21" t="n">
        <v>0</v>
      </c>
      <c r="AM3427" s="21" t="n">
        <v>0</v>
      </c>
      <c r="AN3427" s="21">
        <f>$B$1812</f>
        <v/>
      </c>
      <c r="AO3427" s="21">
        <f>$B$1814</f>
        <v/>
      </c>
      <c r="AP3427" s="21">
        <f>0</f>
        <v/>
      </c>
      <c r="AQ3427" s="21">
        <f>2*$B$1813</f>
        <v/>
      </c>
      <c r="AR3427" s="21">
        <f>-$B$1812</f>
        <v/>
      </c>
      <c r="AS3427" s="21">
        <f>$B$1814</f>
        <v/>
      </c>
      <c r="AT3427" s="19" t="n"/>
    </row>
    <row r="3428">
      <c r="D3428" s="21" t="n">
        <v>0</v>
      </c>
      <c r="E3428" s="21" t="n">
        <v>0</v>
      </c>
      <c r="F3428" s="21" t="n">
        <v>0</v>
      </c>
      <c r="G3428" s="21" t="n">
        <v>0</v>
      </c>
      <c r="H3428" s="21" t="n">
        <v>0</v>
      </c>
      <c r="I3428" s="21" t="n">
        <v>0</v>
      </c>
      <c r="J3428" s="21" t="n">
        <v>0</v>
      </c>
      <c r="K3428" s="21" t="n">
        <v>0</v>
      </c>
      <c r="L3428" s="21" t="n">
        <v>0</v>
      </c>
      <c r="M3428" s="21" t="n">
        <v>0</v>
      </c>
      <c r="N3428" s="21" t="n">
        <v>0</v>
      </c>
      <c r="O3428" s="21" t="n">
        <v>0</v>
      </c>
      <c r="P3428" s="21" t="n">
        <v>0</v>
      </c>
      <c r="Q3428" s="21" t="n">
        <v>0</v>
      </c>
      <c r="R3428" s="21" t="n">
        <v>0</v>
      </c>
      <c r="S3428" s="21" t="n">
        <v>0</v>
      </c>
      <c r="T3428" s="21" t="n">
        <v>0</v>
      </c>
      <c r="U3428" s="21" t="n">
        <v>0</v>
      </c>
      <c r="V3428" s="21" t="n">
        <v>0</v>
      </c>
      <c r="W3428" s="21" t="n">
        <v>0</v>
      </c>
      <c r="X3428" s="21" t="n">
        <v>0</v>
      </c>
      <c r="Y3428" s="21" t="n">
        <v>0</v>
      </c>
      <c r="Z3428" s="21" t="n">
        <v>0</v>
      </c>
      <c r="AA3428" s="21" t="n">
        <v>0</v>
      </c>
      <c r="AB3428" s="21" t="n">
        <v>0</v>
      </c>
      <c r="AC3428" s="21" t="n">
        <v>0</v>
      </c>
      <c r="AD3428" s="21" t="n">
        <v>0</v>
      </c>
      <c r="AE3428" s="21" t="n">
        <v>0</v>
      </c>
      <c r="AF3428" s="21" t="n">
        <v>0</v>
      </c>
      <c r="AG3428" s="21" t="n">
        <v>0</v>
      </c>
      <c r="AH3428" s="21" t="n">
        <v>0</v>
      </c>
      <c r="AI3428" s="21" t="n">
        <v>0</v>
      </c>
      <c r="AJ3428" s="21" t="n">
        <v>0</v>
      </c>
      <c r="AK3428" s="21" t="n">
        <v>0</v>
      </c>
      <c r="AL3428" s="21" t="n">
        <v>0</v>
      </c>
      <c r="AM3428" s="21" t="n">
        <v>0</v>
      </c>
      <c r="AN3428" s="21" t="n">
        <v>0</v>
      </c>
      <c r="AO3428" s="21" t="n">
        <v>0</v>
      </c>
      <c r="AP3428" s="21">
        <f>-$B$1811</f>
        <v/>
      </c>
      <c r="AQ3428" s="21">
        <f>-$B$1812</f>
        <v/>
      </c>
      <c r="AR3428" s="21">
        <f>$B$1811+$D$3386</f>
        <v/>
      </c>
      <c r="AS3428" s="21">
        <f>-$B$1812</f>
        <v/>
      </c>
      <c r="AT3428" s="19" t="n"/>
    </row>
    <row r="3429">
      <c r="D3429" s="21" t="n">
        <v>0</v>
      </c>
      <c r="E3429" s="21" t="n">
        <v>0</v>
      </c>
      <c r="F3429" s="21" t="n">
        <v>0</v>
      </c>
      <c r="G3429" s="21" t="n">
        <v>0</v>
      </c>
      <c r="H3429" s="21" t="n">
        <v>0</v>
      </c>
      <c r="I3429" s="21" t="n">
        <v>0</v>
      </c>
      <c r="J3429" s="21" t="n">
        <v>0</v>
      </c>
      <c r="K3429" s="21" t="n">
        <v>0</v>
      </c>
      <c r="L3429" s="21" t="n">
        <v>0</v>
      </c>
      <c r="M3429" s="21" t="n">
        <v>0</v>
      </c>
      <c r="N3429" s="21" t="n">
        <v>0</v>
      </c>
      <c r="O3429" s="21" t="n">
        <v>0</v>
      </c>
      <c r="P3429" s="21" t="n">
        <v>0</v>
      </c>
      <c r="Q3429" s="21" t="n">
        <v>0</v>
      </c>
      <c r="R3429" s="21" t="n">
        <v>0</v>
      </c>
      <c r="S3429" s="21" t="n">
        <v>0</v>
      </c>
      <c r="T3429" s="21" t="n">
        <v>0</v>
      </c>
      <c r="U3429" s="21" t="n">
        <v>0</v>
      </c>
      <c r="V3429" s="21" t="n">
        <v>0</v>
      </c>
      <c r="W3429" s="21" t="n">
        <v>0</v>
      </c>
      <c r="X3429" s="21" t="n">
        <v>0</v>
      </c>
      <c r="Y3429" s="21" t="n">
        <v>0</v>
      </c>
      <c r="Z3429" s="21" t="n">
        <v>0</v>
      </c>
      <c r="AA3429" s="21" t="n">
        <v>0</v>
      </c>
      <c r="AB3429" s="21" t="n">
        <v>0</v>
      </c>
      <c r="AC3429" s="21" t="n">
        <v>0</v>
      </c>
      <c r="AD3429" s="21" t="n">
        <v>0</v>
      </c>
      <c r="AE3429" s="21" t="n">
        <v>0</v>
      </c>
      <c r="AF3429" s="21" t="n">
        <v>0</v>
      </c>
      <c r="AG3429" s="21" t="n">
        <v>0</v>
      </c>
      <c r="AH3429" s="21" t="n">
        <v>0</v>
      </c>
      <c r="AI3429" s="21" t="n">
        <v>0</v>
      </c>
      <c r="AJ3429" s="21" t="n">
        <v>0</v>
      </c>
      <c r="AK3429" s="21" t="n">
        <v>0</v>
      </c>
      <c r="AL3429" s="21" t="n">
        <v>0</v>
      </c>
      <c r="AM3429" s="21" t="n">
        <v>0</v>
      </c>
      <c r="AN3429" s="21" t="n">
        <v>0</v>
      </c>
      <c r="AO3429" s="21" t="n">
        <v>0</v>
      </c>
      <c r="AP3429" s="21">
        <f>$B$1812</f>
        <v/>
      </c>
      <c r="AQ3429" s="21">
        <f>$B$1814</f>
        <v/>
      </c>
      <c r="AR3429" s="21">
        <f>-$B$1812</f>
        <v/>
      </c>
      <c r="AS3429" s="21">
        <f>$B$1813</f>
        <v/>
      </c>
      <c r="AT3429" s="19" t="n"/>
    </row>
    <row r="3431">
      <c r="A3431" s="8" t="inlineStr">
        <is>
          <t>gen 24</t>
        </is>
      </c>
    </row>
    <row r="3432">
      <c r="D3432" s="19">
        <f>IF(ABS(IF(ABS($E$3366)&gt;0.000000001,$E$3366,0.000000001))=0,0,IF($E$1826&lt;=$B$1820,0,IF(ABS(IF(ABS($E$3366)&gt;0.000000001,$E$3366,0.000000001))&gt;=8*$B$1822,$H$1826,0.5*$H$1826*(ABS(IF(ABS($E$3366)&gt;0.000000001,$E$3366,0.000000001))/$B$1822)^(1/3)))/ABS(IF(ABS($E$3366)&gt;0.000000001,$E$3366,0.000000001))*$I$1826)</f>
        <v/>
      </c>
      <c r="E3432" s="19">
        <f>0.5*$E$3366+0.5*$AT$3454</f>
        <v/>
      </c>
      <c r="F3432" s="19">
        <f>$AT$3455</f>
        <v/>
      </c>
    </row>
    <row r="3433">
      <c r="D3433" s="19">
        <f>IF(ABS(IF(ABS($E$3367)&gt;0.000000001,$E$3367,0.000000001))=0,0,IF($E$1827&lt;=$B$1820,0,IF(ABS(IF(ABS($E$3367)&gt;0.000000001,$E$3367,0.000000001))&gt;=8*$B$1822,$H$1827,0.5*$H$1827*(ABS(IF(ABS($E$3367)&gt;0.000000001,$E$3367,0.000000001))/$B$1822)^(1/3)))/ABS(IF(ABS($E$3367)&gt;0.000000001,$E$3367,0.000000001))*$I$1827)</f>
        <v/>
      </c>
      <c r="E3433" s="19">
        <f>0.5*$E$3367+0.5*$AT$3456</f>
        <v/>
      </c>
      <c r="F3433" s="19">
        <f>$AT$3457</f>
        <v/>
      </c>
    </row>
    <row r="3434">
      <c r="D3434" s="19">
        <f>IF(ABS(IF(ABS($E$3368)&gt;0.000000001,$E$3368,0.000000001))=0,0,IF($E$1828&lt;=$B$1820,0,IF(ABS(IF(ABS($E$3368)&gt;0.000000001,$E$3368,0.000000001))&gt;=8*$B$1822,$H$1828,0.5*$H$1828*(ABS(IF(ABS($E$3368)&gt;0.000000001,$E$3368,0.000000001))/$B$1822)^(1/3)))/ABS(IF(ABS($E$3368)&gt;0.000000001,$E$3368,0.000000001))*$I$1828)</f>
        <v/>
      </c>
      <c r="E3434" s="19">
        <f>0.5*$E$3368+0.5*$AT$3458</f>
        <v/>
      </c>
      <c r="F3434" s="19">
        <f>$AT$3459</f>
        <v/>
      </c>
    </row>
    <row r="3435">
      <c r="D3435" s="19">
        <f>IF(ABS(IF(ABS($E$3369)&gt;0.000000001,$E$3369,0.000000001))=0,0,IF($E$1829&lt;=$B$1820,0,IF(ABS(IF(ABS($E$3369)&gt;0.000000001,$E$3369,0.000000001))&gt;=8*$B$1822,$H$1829,0.5*$H$1829*(ABS(IF(ABS($E$3369)&gt;0.000000001,$E$3369,0.000000001))/$B$1822)^(1/3)))/ABS(IF(ABS($E$3369)&gt;0.000000001,$E$3369,0.000000001))*$I$1829)</f>
        <v/>
      </c>
      <c r="E3435" s="19">
        <f>0.5*$E$3369+0.5*$AT$3460</f>
        <v/>
      </c>
      <c r="F3435" s="19">
        <f>$AT$3461</f>
        <v/>
      </c>
    </row>
    <row r="3436">
      <c r="D3436" s="19">
        <f>IF(ABS(IF(ABS($E$3370)&gt;0.000000001,$E$3370,0.000000001))=0,0,IF($E$1830&lt;=$B$1820,0,IF(ABS(IF(ABS($E$3370)&gt;0.000000001,$E$3370,0.000000001))&gt;=8*$B$1822,$H$1830,0.5*$H$1830*(ABS(IF(ABS($E$3370)&gt;0.000000001,$E$3370,0.000000001))/$B$1822)^(1/3)))/ABS(IF(ABS($E$3370)&gt;0.000000001,$E$3370,0.000000001))*$I$1830)</f>
        <v/>
      </c>
      <c r="E3436" s="19">
        <f>0.5*$E$3370+0.5*$AT$3462</f>
        <v/>
      </c>
      <c r="F3436" s="19">
        <f>$AT$3463</f>
        <v/>
      </c>
    </row>
    <row r="3437">
      <c r="D3437" s="19">
        <f>IF(ABS(IF(ABS($E$3371)&gt;0.000000001,$E$3371,0.000000001))=0,0,IF($E$1831&lt;=$B$1820,0,IF(ABS(IF(ABS($E$3371)&gt;0.000000001,$E$3371,0.000000001))&gt;=8*$B$1822,$H$1831,0.5*$H$1831*(ABS(IF(ABS($E$3371)&gt;0.000000001,$E$3371,0.000000001))/$B$1822)^(1/3)))/ABS(IF(ABS($E$3371)&gt;0.000000001,$E$3371,0.000000001))*$I$1831)</f>
        <v/>
      </c>
      <c r="E3437" s="19">
        <f>0.5*$E$3371+0.5*$AT$3464</f>
        <v/>
      </c>
      <c r="F3437" s="19">
        <f>$AT$3465</f>
        <v/>
      </c>
    </row>
    <row r="3438">
      <c r="D3438" s="19">
        <f>IF(ABS(IF(ABS($E$3372)&gt;0.000000001,$E$3372,0.000000001))=0,0,IF($E$1832&lt;=$B$1820,0,IF(ABS(IF(ABS($E$3372)&gt;0.000000001,$E$3372,0.000000001))&gt;=8*$B$1822,$H$1832,0.5*$H$1832*(ABS(IF(ABS($E$3372)&gt;0.000000001,$E$3372,0.000000001))/$B$1822)^(1/3)))/ABS(IF(ABS($E$3372)&gt;0.000000001,$E$3372,0.000000001))*$I$1832)</f>
        <v/>
      </c>
      <c r="E3438" s="19">
        <f>0.5*$E$3372+0.5*$AT$3466</f>
        <v/>
      </c>
      <c r="F3438" s="19">
        <f>$AT$3467</f>
        <v/>
      </c>
    </row>
    <row r="3439">
      <c r="D3439" s="19">
        <f>IF(ABS(IF(ABS($E$3373)&gt;0.000000001,$E$3373,0.000000001))=0,0,IF($E$1833&lt;=$B$1820,0,IF(ABS(IF(ABS($E$3373)&gt;0.000000001,$E$3373,0.000000001))&gt;=8*$B$1822,$H$1833,0.5*$H$1833*(ABS(IF(ABS($E$3373)&gt;0.000000001,$E$3373,0.000000001))/$B$1822)^(1/3)))/ABS(IF(ABS($E$3373)&gt;0.000000001,$E$3373,0.000000001))*$I$1833)</f>
        <v/>
      </c>
      <c r="E3439" s="19">
        <f>0.5*$E$3373+0.5*$AT$3468</f>
        <v/>
      </c>
      <c r="F3439" s="19">
        <f>$AT$3469</f>
        <v/>
      </c>
    </row>
    <row r="3440">
      <c r="D3440" s="19">
        <f>IF(ABS(IF(ABS($E$3374)&gt;0.000000001,$E$3374,0.000000001))=0,0,IF($E$1834&lt;=$B$1820,0,IF(ABS(IF(ABS($E$3374)&gt;0.000000001,$E$3374,0.000000001))&gt;=8*$B$1822,$H$1834,0.5*$H$1834*(ABS(IF(ABS($E$3374)&gt;0.000000001,$E$3374,0.000000001))/$B$1822)^(1/3)))/ABS(IF(ABS($E$3374)&gt;0.000000001,$E$3374,0.000000001))*$I$1834)</f>
        <v/>
      </c>
      <c r="E3440" s="19">
        <f>0.5*$E$3374+0.5*$AT$3470</f>
        <v/>
      </c>
      <c r="F3440" s="19">
        <f>$AT$3471</f>
        <v/>
      </c>
    </row>
    <row r="3441">
      <c r="D3441" s="19">
        <f>IF(ABS(IF(ABS($E$3375)&gt;0.000000001,$E$3375,0.000000001))=0,0,IF($E$1835&lt;=$B$1820,0,IF(ABS(IF(ABS($E$3375)&gt;0.000000001,$E$3375,0.000000001))&gt;=8*$B$1822,$H$1835,0.5*$H$1835*(ABS(IF(ABS($E$3375)&gt;0.000000001,$E$3375,0.000000001))/$B$1822)^(1/3)))/ABS(IF(ABS($E$3375)&gt;0.000000001,$E$3375,0.000000001))*$I$1835)</f>
        <v/>
      </c>
      <c r="E3441" s="19">
        <f>0.5*$E$3375+0.5*$AT$3472</f>
        <v/>
      </c>
      <c r="F3441" s="19">
        <f>$AT$3473</f>
        <v/>
      </c>
    </row>
    <row r="3442">
      <c r="D3442" s="19">
        <f>IF(ABS(IF(ABS($E$3376)&gt;0.000000001,$E$3376,0.000000001))=0,0,IF($E$1836&lt;=$B$1820,0,IF(ABS(IF(ABS($E$3376)&gt;0.000000001,$E$3376,0.000000001))&gt;=8*$B$1822,$H$1836,0.5*$H$1836*(ABS(IF(ABS($E$3376)&gt;0.000000001,$E$3376,0.000000001))/$B$1822)^(1/3)))/ABS(IF(ABS($E$3376)&gt;0.000000001,$E$3376,0.000000001))*$I$1836)</f>
        <v/>
      </c>
      <c r="E3442" s="19">
        <f>0.5*$E$3376+0.5*$AT$3474</f>
        <v/>
      </c>
      <c r="F3442" s="19">
        <f>$AT$3475</f>
        <v/>
      </c>
    </row>
    <row r="3443">
      <c r="D3443" s="19">
        <f>IF(ABS(IF(ABS($E$3377)&gt;0.000000001,$E$3377,0.000000001))=0,0,IF($E$1837&lt;=$B$1820,0,IF(ABS(IF(ABS($E$3377)&gt;0.000000001,$E$3377,0.000000001))&gt;=8*$B$1822,$H$1837,0.5*$H$1837*(ABS(IF(ABS($E$3377)&gt;0.000000001,$E$3377,0.000000001))/$B$1822)^(1/3)))/ABS(IF(ABS($E$3377)&gt;0.000000001,$E$3377,0.000000001))*$I$1837)</f>
        <v/>
      </c>
      <c r="E3443" s="19">
        <f>0.5*$E$3377+0.5*$AT$3476</f>
        <v/>
      </c>
      <c r="F3443" s="19">
        <f>$AT$3477</f>
        <v/>
      </c>
    </row>
    <row r="3444">
      <c r="D3444" s="19">
        <f>IF(ABS(IF(ABS($E$3378)&gt;0.000000001,$E$3378,0.000000001))=0,0,IF($E$1838&lt;=$B$1820,0,IF(ABS(IF(ABS($E$3378)&gt;0.000000001,$E$3378,0.000000001))&gt;=8*$B$1822,$H$1838,0.5*$H$1838*(ABS(IF(ABS($E$3378)&gt;0.000000001,$E$3378,0.000000001))/$B$1822)^(1/3)))/ABS(IF(ABS($E$3378)&gt;0.000000001,$E$3378,0.000000001))*$I$1838)</f>
        <v/>
      </c>
      <c r="E3444" s="19">
        <f>0.5*$E$3378+0.5*$AT$3478</f>
        <v/>
      </c>
      <c r="F3444" s="19">
        <f>$AT$3479</f>
        <v/>
      </c>
    </row>
    <row r="3445">
      <c r="D3445" s="19">
        <f>IF(ABS(IF(ABS($E$3379)&gt;0.000000001,$E$3379,0.000000001))=0,0,IF($E$1839&lt;=$B$1820,0,IF(ABS(IF(ABS($E$3379)&gt;0.000000001,$E$3379,0.000000001))&gt;=8*$B$1822,$H$1839,0.5*$H$1839*(ABS(IF(ABS($E$3379)&gt;0.000000001,$E$3379,0.000000001))/$B$1822)^(1/3)))/ABS(IF(ABS($E$3379)&gt;0.000000001,$E$3379,0.000000001))*$I$1839)</f>
        <v/>
      </c>
      <c r="E3445" s="19">
        <f>0.5*$E$3379+0.5*$AT$3480</f>
        <v/>
      </c>
      <c r="F3445" s="19">
        <f>$AT$3481</f>
        <v/>
      </c>
    </row>
    <row r="3446">
      <c r="D3446" s="19">
        <f>IF(ABS(IF(ABS($E$3380)&gt;0.000000001,$E$3380,0.000000001))=0,0,IF($E$1840&lt;=$B$1820,0,IF(ABS(IF(ABS($E$3380)&gt;0.000000001,$E$3380,0.000000001))&gt;=8*$B$1822,$H$1840,0.5*$H$1840*(ABS(IF(ABS($E$3380)&gt;0.000000001,$E$3380,0.000000001))/$B$1822)^(1/3)))/ABS(IF(ABS($E$3380)&gt;0.000000001,$E$3380,0.000000001))*$I$1840)</f>
        <v/>
      </c>
      <c r="E3446" s="19">
        <f>0.5*$E$3380+0.5*$AT$3482</f>
        <v/>
      </c>
      <c r="F3446" s="19">
        <f>$AT$3483</f>
        <v/>
      </c>
    </row>
    <row r="3447">
      <c r="D3447" s="19">
        <f>IF(ABS(IF(ABS($E$3381)&gt;0.000000001,$E$3381,0.000000001))=0,0,IF($E$1841&lt;=$B$1820,0,IF(ABS(IF(ABS($E$3381)&gt;0.000000001,$E$3381,0.000000001))&gt;=8*$B$1822,$H$1841,0.5*$H$1841*(ABS(IF(ABS($E$3381)&gt;0.000000001,$E$3381,0.000000001))/$B$1822)^(1/3)))/ABS(IF(ABS($E$3381)&gt;0.000000001,$E$3381,0.000000001))*$I$1841)</f>
        <v/>
      </c>
      <c r="E3447" s="19">
        <f>0.5*$E$3381+0.5*$AT$3484</f>
        <v/>
      </c>
      <c r="F3447" s="19">
        <f>$AT$3485</f>
        <v/>
      </c>
    </row>
    <row r="3448">
      <c r="D3448" s="19">
        <f>IF(ABS(IF(ABS($E$3382)&gt;0.000000001,$E$3382,0.000000001))=0,0,IF($E$1842&lt;=$B$1820,0,IF(ABS(IF(ABS($E$3382)&gt;0.000000001,$E$3382,0.000000001))&gt;=8*$B$1822,$H$1842,0.5*$H$1842*(ABS(IF(ABS($E$3382)&gt;0.000000001,$E$3382,0.000000001))/$B$1822)^(1/3)))/ABS(IF(ABS($E$3382)&gt;0.000000001,$E$3382,0.000000001))*$I$1842)</f>
        <v/>
      </c>
      <c r="E3448" s="19">
        <f>0.5*$E$3382+0.5*$AT$3486</f>
        <v/>
      </c>
      <c r="F3448" s="19">
        <f>$AT$3487</f>
        <v/>
      </c>
    </row>
    <row r="3449">
      <c r="D3449" s="19">
        <f>IF(ABS(IF(ABS($E$3383)&gt;0.000000001,$E$3383,0.000000001))=0,0,IF($E$1843&lt;=$B$1820,0,IF(ABS(IF(ABS($E$3383)&gt;0.000000001,$E$3383,0.000000001))&gt;=8*$B$1822,$H$1843,0.5*$H$1843*(ABS(IF(ABS($E$3383)&gt;0.000000001,$E$3383,0.000000001))/$B$1822)^(1/3)))/ABS(IF(ABS($E$3383)&gt;0.000000001,$E$3383,0.000000001))*$I$1843)</f>
        <v/>
      </c>
      <c r="E3449" s="19">
        <f>0.5*$E$3383+0.5*$AT$3488</f>
        <v/>
      </c>
      <c r="F3449" s="19">
        <f>$AT$3489</f>
        <v/>
      </c>
    </row>
    <row r="3450">
      <c r="D3450" s="19">
        <f>IF(ABS(IF(ABS($E$3384)&gt;0.000000001,$E$3384,0.000000001))=0,0,IF($E$1844&lt;=$B$1820,0,IF(ABS(IF(ABS($E$3384)&gt;0.000000001,$E$3384,0.000000001))&gt;=8*$B$1822,$H$1844,0.5*$H$1844*(ABS(IF(ABS($E$3384)&gt;0.000000001,$E$3384,0.000000001))/$B$1822)^(1/3)))/ABS(IF(ABS($E$3384)&gt;0.000000001,$E$3384,0.000000001))*$I$1844)</f>
        <v/>
      </c>
      <c r="E3450" s="19">
        <f>0.5*$E$3384+0.5*$AT$3490</f>
        <v/>
      </c>
      <c r="F3450" s="19">
        <f>$AT$3491</f>
        <v/>
      </c>
    </row>
    <row r="3451">
      <c r="D3451" s="19">
        <f>IF(ABS(IF(ABS($E$3385)&gt;0.000000001,$E$3385,0.000000001))=0,0,IF($E$1845&lt;=$B$1820,0,IF(ABS(IF(ABS($E$3385)&gt;0.000000001,$E$3385,0.000000001))&gt;=8*$B$1822,$H$1845,0.5*$H$1845*(ABS(IF(ABS($E$3385)&gt;0.000000001,$E$3385,0.000000001))/$B$1822)^(1/3)))/ABS(IF(ABS($E$3385)&gt;0.000000001,$E$3385,0.000000001))*$I$1845)</f>
        <v/>
      </c>
      <c r="E3451" s="19">
        <f>0.5*$E$3385+0.5*$AT$3492</f>
        <v/>
      </c>
      <c r="F3451" s="19">
        <f>$AT$3493</f>
        <v/>
      </c>
    </row>
    <row r="3452">
      <c r="D3452" s="19">
        <f>IF(ABS(IF(ABS($E$3386)&gt;0.000000001,$E$3386,0.000000001))=0,0,IF($E$1846&lt;=$B$1820,0,IF(ABS(IF(ABS($E$3386)&gt;0.000000001,$E$3386,0.000000001))&gt;=8*$B$1822,$H$1846,0.5*$H$1846*(ABS(IF(ABS($E$3386)&gt;0.000000001,$E$3386,0.000000001))/$B$1822)^(1/3)))/ABS(IF(ABS($E$3386)&gt;0.000000001,$E$3386,0.000000001))*$I$1846)</f>
        <v/>
      </c>
      <c r="E3452" s="19">
        <f>0.5*$E$3386+0.5*$AT$3494</f>
        <v/>
      </c>
      <c r="F3452" s="19">
        <f>$AT$3495</f>
        <v/>
      </c>
    </row>
    <row r="3454">
      <c r="D3454" s="21">
        <f>$B$1811+$D$3432</f>
        <v/>
      </c>
      <c r="E3454" s="21">
        <f>$B$1812</f>
        <v/>
      </c>
      <c r="F3454" s="21">
        <f>-$B$1811</f>
        <v/>
      </c>
      <c r="G3454" s="21">
        <f>$B$1812</f>
        <v/>
      </c>
      <c r="H3454" s="21" t="n">
        <v>0</v>
      </c>
      <c r="I3454" s="21" t="n">
        <v>0</v>
      </c>
      <c r="J3454" s="21" t="n">
        <v>0</v>
      </c>
      <c r="K3454" s="21" t="n">
        <v>0</v>
      </c>
      <c r="L3454" s="21" t="n">
        <v>0</v>
      </c>
      <c r="M3454" s="21" t="n">
        <v>0</v>
      </c>
      <c r="N3454" s="21" t="n">
        <v>0</v>
      </c>
      <c r="O3454" s="21" t="n">
        <v>0</v>
      </c>
      <c r="P3454" s="21" t="n">
        <v>0</v>
      </c>
      <c r="Q3454" s="21" t="n">
        <v>0</v>
      </c>
      <c r="R3454" s="21" t="n">
        <v>0</v>
      </c>
      <c r="S3454" s="21" t="n">
        <v>0</v>
      </c>
      <c r="T3454" s="21" t="n">
        <v>0</v>
      </c>
      <c r="U3454" s="21" t="n">
        <v>0</v>
      </c>
      <c r="V3454" s="21" t="n">
        <v>0</v>
      </c>
      <c r="W3454" s="21" t="n">
        <v>0</v>
      </c>
      <c r="X3454" s="21" t="n">
        <v>0</v>
      </c>
      <c r="Y3454" s="21" t="n">
        <v>0</v>
      </c>
      <c r="Z3454" s="21" t="n">
        <v>0</v>
      </c>
      <c r="AA3454" s="21" t="n">
        <v>0</v>
      </c>
      <c r="AB3454" s="21" t="n">
        <v>0</v>
      </c>
      <c r="AC3454" s="21" t="n">
        <v>0</v>
      </c>
      <c r="AD3454" s="21" t="n">
        <v>0</v>
      </c>
      <c r="AE3454" s="21" t="n">
        <v>0</v>
      </c>
      <c r="AF3454" s="21" t="n">
        <v>0</v>
      </c>
      <c r="AG3454" s="21" t="n">
        <v>0</v>
      </c>
      <c r="AH3454" s="21" t="n">
        <v>0</v>
      </c>
      <c r="AI3454" s="21" t="n">
        <v>0</v>
      </c>
      <c r="AJ3454" s="21" t="n">
        <v>0</v>
      </c>
      <c r="AK3454" s="21" t="n">
        <v>0</v>
      </c>
      <c r="AL3454" s="21" t="n">
        <v>0</v>
      </c>
      <c r="AM3454" s="21" t="n">
        <v>0</v>
      </c>
      <c r="AN3454" s="21" t="n">
        <v>0</v>
      </c>
      <c r="AO3454" s="21" t="n">
        <v>0</v>
      </c>
      <c r="AP3454" s="21" t="n">
        <v>0</v>
      </c>
      <c r="AQ3454" s="21" t="n">
        <v>0</v>
      </c>
      <c r="AR3454" s="21" t="n">
        <v>0</v>
      </c>
      <c r="AS3454" s="21" t="n">
        <v>0</v>
      </c>
      <c r="AT3454" s="19">
        <f t="array" ref="AT3454:AT3495">MMULT(MINVERSE($D$3454:$AS$3495),$D$1848:$D$1889)</f>
        <v/>
      </c>
    </row>
    <row r="3455">
      <c r="D3455" s="21">
        <f>$B$1812</f>
        <v/>
      </c>
      <c r="E3455" s="21">
        <f>$B$1813</f>
        <v/>
      </c>
      <c r="F3455" s="21">
        <f>-$B$1812</f>
        <v/>
      </c>
      <c r="G3455" s="21">
        <f>$B$1814</f>
        <v/>
      </c>
      <c r="H3455" s="21" t="n">
        <v>0</v>
      </c>
      <c r="I3455" s="21" t="n">
        <v>0</v>
      </c>
      <c r="J3455" s="21" t="n">
        <v>0</v>
      </c>
      <c r="K3455" s="21" t="n">
        <v>0</v>
      </c>
      <c r="L3455" s="21" t="n">
        <v>0</v>
      </c>
      <c r="M3455" s="21" t="n">
        <v>0</v>
      </c>
      <c r="N3455" s="21" t="n">
        <v>0</v>
      </c>
      <c r="O3455" s="21" t="n">
        <v>0</v>
      </c>
      <c r="P3455" s="21" t="n">
        <v>0</v>
      </c>
      <c r="Q3455" s="21" t="n">
        <v>0</v>
      </c>
      <c r="R3455" s="21" t="n">
        <v>0</v>
      </c>
      <c r="S3455" s="21" t="n">
        <v>0</v>
      </c>
      <c r="T3455" s="21" t="n">
        <v>0</v>
      </c>
      <c r="U3455" s="21" t="n">
        <v>0</v>
      </c>
      <c r="V3455" s="21" t="n">
        <v>0</v>
      </c>
      <c r="W3455" s="21" t="n">
        <v>0</v>
      </c>
      <c r="X3455" s="21" t="n">
        <v>0</v>
      </c>
      <c r="Y3455" s="21" t="n">
        <v>0</v>
      </c>
      <c r="Z3455" s="21" t="n">
        <v>0</v>
      </c>
      <c r="AA3455" s="21" t="n">
        <v>0</v>
      </c>
      <c r="AB3455" s="21" t="n">
        <v>0</v>
      </c>
      <c r="AC3455" s="21" t="n">
        <v>0</v>
      </c>
      <c r="AD3455" s="21" t="n">
        <v>0</v>
      </c>
      <c r="AE3455" s="21" t="n">
        <v>0</v>
      </c>
      <c r="AF3455" s="21" t="n">
        <v>0</v>
      </c>
      <c r="AG3455" s="21" t="n">
        <v>0</v>
      </c>
      <c r="AH3455" s="21" t="n">
        <v>0</v>
      </c>
      <c r="AI3455" s="21" t="n">
        <v>0</v>
      </c>
      <c r="AJ3455" s="21" t="n">
        <v>0</v>
      </c>
      <c r="AK3455" s="21" t="n">
        <v>0</v>
      </c>
      <c r="AL3455" s="21" t="n">
        <v>0</v>
      </c>
      <c r="AM3455" s="21" t="n">
        <v>0</v>
      </c>
      <c r="AN3455" s="21" t="n">
        <v>0</v>
      </c>
      <c r="AO3455" s="21" t="n">
        <v>0</v>
      </c>
      <c r="AP3455" s="21" t="n">
        <v>0</v>
      </c>
      <c r="AQ3455" s="21" t="n">
        <v>0</v>
      </c>
      <c r="AR3455" s="21" t="n">
        <v>0</v>
      </c>
      <c r="AS3455" s="21" t="n">
        <v>0</v>
      </c>
      <c r="AT3455" s="19" t="n"/>
    </row>
    <row r="3456">
      <c r="D3456" s="21">
        <f>-$B$1811</f>
        <v/>
      </c>
      <c r="E3456" s="21">
        <f>-$B$1812</f>
        <v/>
      </c>
      <c r="F3456" s="21">
        <f>2*$B$1811+$D$3433</f>
        <v/>
      </c>
      <c r="G3456" s="21">
        <f>0</f>
        <v/>
      </c>
      <c r="H3456" s="21">
        <f>-$B$1811</f>
        <v/>
      </c>
      <c r="I3456" s="21">
        <f>$B$1812</f>
        <v/>
      </c>
      <c r="J3456" s="21" t="n">
        <v>0</v>
      </c>
      <c r="K3456" s="21" t="n">
        <v>0</v>
      </c>
      <c r="L3456" s="21" t="n">
        <v>0</v>
      </c>
      <c r="M3456" s="21" t="n">
        <v>0</v>
      </c>
      <c r="N3456" s="21" t="n">
        <v>0</v>
      </c>
      <c r="O3456" s="21" t="n">
        <v>0</v>
      </c>
      <c r="P3456" s="21" t="n">
        <v>0</v>
      </c>
      <c r="Q3456" s="21" t="n">
        <v>0</v>
      </c>
      <c r="R3456" s="21" t="n">
        <v>0</v>
      </c>
      <c r="S3456" s="21" t="n">
        <v>0</v>
      </c>
      <c r="T3456" s="21" t="n">
        <v>0</v>
      </c>
      <c r="U3456" s="21" t="n">
        <v>0</v>
      </c>
      <c r="V3456" s="21" t="n">
        <v>0</v>
      </c>
      <c r="W3456" s="21" t="n">
        <v>0</v>
      </c>
      <c r="X3456" s="21" t="n">
        <v>0</v>
      </c>
      <c r="Y3456" s="21" t="n">
        <v>0</v>
      </c>
      <c r="Z3456" s="21" t="n">
        <v>0</v>
      </c>
      <c r="AA3456" s="21" t="n">
        <v>0</v>
      </c>
      <c r="AB3456" s="21" t="n">
        <v>0</v>
      </c>
      <c r="AC3456" s="21" t="n">
        <v>0</v>
      </c>
      <c r="AD3456" s="21" t="n">
        <v>0</v>
      </c>
      <c r="AE3456" s="21" t="n">
        <v>0</v>
      </c>
      <c r="AF3456" s="21" t="n">
        <v>0</v>
      </c>
      <c r="AG3456" s="21" t="n">
        <v>0</v>
      </c>
      <c r="AH3456" s="21" t="n">
        <v>0</v>
      </c>
      <c r="AI3456" s="21" t="n">
        <v>0</v>
      </c>
      <c r="AJ3456" s="21" t="n">
        <v>0</v>
      </c>
      <c r="AK3456" s="21" t="n">
        <v>0</v>
      </c>
      <c r="AL3456" s="21" t="n">
        <v>0</v>
      </c>
      <c r="AM3456" s="21" t="n">
        <v>0</v>
      </c>
      <c r="AN3456" s="21" t="n">
        <v>0</v>
      </c>
      <c r="AO3456" s="21" t="n">
        <v>0</v>
      </c>
      <c r="AP3456" s="21" t="n">
        <v>0</v>
      </c>
      <c r="AQ3456" s="21" t="n">
        <v>0</v>
      </c>
      <c r="AR3456" s="21" t="n">
        <v>0</v>
      </c>
      <c r="AS3456" s="21" t="n">
        <v>0</v>
      </c>
      <c r="AT3456" s="19" t="n"/>
    </row>
    <row r="3457">
      <c r="D3457" s="21">
        <f>$B$1812</f>
        <v/>
      </c>
      <c r="E3457" s="21">
        <f>$B$1814</f>
        <v/>
      </c>
      <c r="F3457" s="21">
        <f>0</f>
        <v/>
      </c>
      <c r="G3457" s="21">
        <f>2*$B$1813</f>
        <v/>
      </c>
      <c r="H3457" s="21">
        <f>-$B$1812</f>
        <v/>
      </c>
      <c r="I3457" s="21">
        <f>$B$1814</f>
        <v/>
      </c>
      <c r="J3457" s="21" t="n">
        <v>0</v>
      </c>
      <c r="K3457" s="21" t="n">
        <v>0</v>
      </c>
      <c r="L3457" s="21" t="n">
        <v>0</v>
      </c>
      <c r="M3457" s="21" t="n">
        <v>0</v>
      </c>
      <c r="N3457" s="21" t="n">
        <v>0</v>
      </c>
      <c r="O3457" s="21" t="n">
        <v>0</v>
      </c>
      <c r="P3457" s="21" t="n">
        <v>0</v>
      </c>
      <c r="Q3457" s="21" t="n">
        <v>0</v>
      </c>
      <c r="R3457" s="21" t="n">
        <v>0</v>
      </c>
      <c r="S3457" s="21" t="n">
        <v>0</v>
      </c>
      <c r="T3457" s="21" t="n">
        <v>0</v>
      </c>
      <c r="U3457" s="21" t="n">
        <v>0</v>
      </c>
      <c r="V3457" s="21" t="n">
        <v>0</v>
      </c>
      <c r="W3457" s="21" t="n">
        <v>0</v>
      </c>
      <c r="X3457" s="21" t="n">
        <v>0</v>
      </c>
      <c r="Y3457" s="21" t="n">
        <v>0</v>
      </c>
      <c r="Z3457" s="21" t="n">
        <v>0</v>
      </c>
      <c r="AA3457" s="21" t="n">
        <v>0</v>
      </c>
      <c r="AB3457" s="21" t="n">
        <v>0</v>
      </c>
      <c r="AC3457" s="21" t="n">
        <v>0</v>
      </c>
      <c r="AD3457" s="21" t="n">
        <v>0</v>
      </c>
      <c r="AE3457" s="21" t="n">
        <v>0</v>
      </c>
      <c r="AF3457" s="21" t="n">
        <v>0</v>
      </c>
      <c r="AG3457" s="21" t="n">
        <v>0</v>
      </c>
      <c r="AH3457" s="21" t="n">
        <v>0</v>
      </c>
      <c r="AI3457" s="21" t="n">
        <v>0</v>
      </c>
      <c r="AJ3457" s="21" t="n">
        <v>0</v>
      </c>
      <c r="AK3457" s="21" t="n">
        <v>0</v>
      </c>
      <c r="AL3457" s="21" t="n">
        <v>0</v>
      </c>
      <c r="AM3457" s="21" t="n">
        <v>0</v>
      </c>
      <c r="AN3457" s="21" t="n">
        <v>0</v>
      </c>
      <c r="AO3457" s="21" t="n">
        <v>0</v>
      </c>
      <c r="AP3457" s="21" t="n">
        <v>0</v>
      </c>
      <c r="AQ3457" s="21" t="n">
        <v>0</v>
      </c>
      <c r="AR3457" s="21" t="n">
        <v>0</v>
      </c>
      <c r="AS3457" s="21" t="n">
        <v>0</v>
      </c>
      <c r="AT3457" s="19" t="n"/>
    </row>
    <row r="3458">
      <c r="D3458" s="21" t="n">
        <v>0</v>
      </c>
      <c r="E3458" s="21" t="n">
        <v>0</v>
      </c>
      <c r="F3458" s="21">
        <f>-$B$1811</f>
        <v/>
      </c>
      <c r="G3458" s="21">
        <f>-$B$1812</f>
        <v/>
      </c>
      <c r="H3458" s="21">
        <f>2*$B$1811+$D$3434</f>
        <v/>
      </c>
      <c r="I3458" s="21">
        <f>0</f>
        <v/>
      </c>
      <c r="J3458" s="21">
        <f>-$B$1811</f>
        <v/>
      </c>
      <c r="K3458" s="21">
        <f>$B$1812</f>
        <v/>
      </c>
      <c r="L3458" s="21" t="n">
        <v>0</v>
      </c>
      <c r="M3458" s="21" t="n">
        <v>0</v>
      </c>
      <c r="N3458" s="21" t="n">
        <v>0</v>
      </c>
      <c r="O3458" s="21" t="n">
        <v>0</v>
      </c>
      <c r="P3458" s="21" t="n">
        <v>0</v>
      </c>
      <c r="Q3458" s="21" t="n">
        <v>0</v>
      </c>
      <c r="R3458" s="21" t="n">
        <v>0</v>
      </c>
      <c r="S3458" s="21" t="n">
        <v>0</v>
      </c>
      <c r="T3458" s="21" t="n">
        <v>0</v>
      </c>
      <c r="U3458" s="21" t="n">
        <v>0</v>
      </c>
      <c r="V3458" s="21" t="n">
        <v>0</v>
      </c>
      <c r="W3458" s="21" t="n">
        <v>0</v>
      </c>
      <c r="X3458" s="21" t="n">
        <v>0</v>
      </c>
      <c r="Y3458" s="21" t="n">
        <v>0</v>
      </c>
      <c r="Z3458" s="21" t="n">
        <v>0</v>
      </c>
      <c r="AA3458" s="21" t="n">
        <v>0</v>
      </c>
      <c r="AB3458" s="21" t="n">
        <v>0</v>
      </c>
      <c r="AC3458" s="21" t="n">
        <v>0</v>
      </c>
      <c r="AD3458" s="21" t="n">
        <v>0</v>
      </c>
      <c r="AE3458" s="21" t="n">
        <v>0</v>
      </c>
      <c r="AF3458" s="21" t="n">
        <v>0</v>
      </c>
      <c r="AG3458" s="21" t="n">
        <v>0</v>
      </c>
      <c r="AH3458" s="21" t="n">
        <v>0</v>
      </c>
      <c r="AI3458" s="21" t="n">
        <v>0</v>
      </c>
      <c r="AJ3458" s="21" t="n">
        <v>0</v>
      </c>
      <c r="AK3458" s="21" t="n">
        <v>0</v>
      </c>
      <c r="AL3458" s="21" t="n">
        <v>0</v>
      </c>
      <c r="AM3458" s="21" t="n">
        <v>0</v>
      </c>
      <c r="AN3458" s="21" t="n">
        <v>0</v>
      </c>
      <c r="AO3458" s="21" t="n">
        <v>0</v>
      </c>
      <c r="AP3458" s="21" t="n">
        <v>0</v>
      </c>
      <c r="AQ3458" s="21" t="n">
        <v>0</v>
      </c>
      <c r="AR3458" s="21" t="n">
        <v>0</v>
      </c>
      <c r="AS3458" s="21" t="n">
        <v>0</v>
      </c>
      <c r="AT3458" s="19" t="n"/>
    </row>
    <row r="3459">
      <c r="D3459" s="21" t="n">
        <v>0</v>
      </c>
      <c r="E3459" s="21" t="n">
        <v>0</v>
      </c>
      <c r="F3459" s="21">
        <f>$B$1812</f>
        <v/>
      </c>
      <c r="G3459" s="21">
        <f>$B$1814</f>
        <v/>
      </c>
      <c r="H3459" s="21">
        <f>0</f>
        <v/>
      </c>
      <c r="I3459" s="21">
        <f>2*$B$1813</f>
        <v/>
      </c>
      <c r="J3459" s="21">
        <f>-$B$1812</f>
        <v/>
      </c>
      <c r="K3459" s="21">
        <f>$B$1814</f>
        <v/>
      </c>
      <c r="L3459" s="21" t="n">
        <v>0</v>
      </c>
      <c r="M3459" s="21" t="n">
        <v>0</v>
      </c>
      <c r="N3459" s="21" t="n">
        <v>0</v>
      </c>
      <c r="O3459" s="21" t="n">
        <v>0</v>
      </c>
      <c r="P3459" s="21" t="n">
        <v>0</v>
      </c>
      <c r="Q3459" s="21" t="n">
        <v>0</v>
      </c>
      <c r="R3459" s="21" t="n">
        <v>0</v>
      </c>
      <c r="S3459" s="21" t="n">
        <v>0</v>
      </c>
      <c r="T3459" s="21" t="n">
        <v>0</v>
      </c>
      <c r="U3459" s="21" t="n">
        <v>0</v>
      </c>
      <c r="V3459" s="21" t="n">
        <v>0</v>
      </c>
      <c r="W3459" s="21" t="n">
        <v>0</v>
      </c>
      <c r="X3459" s="21" t="n">
        <v>0</v>
      </c>
      <c r="Y3459" s="21" t="n">
        <v>0</v>
      </c>
      <c r="Z3459" s="21" t="n">
        <v>0</v>
      </c>
      <c r="AA3459" s="21" t="n">
        <v>0</v>
      </c>
      <c r="AB3459" s="21" t="n">
        <v>0</v>
      </c>
      <c r="AC3459" s="21" t="n">
        <v>0</v>
      </c>
      <c r="AD3459" s="21" t="n">
        <v>0</v>
      </c>
      <c r="AE3459" s="21" t="n">
        <v>0</v>
      </c>
      <c r="AF3459" s="21" t="n">
        <v>0</v>
      </c>
      <c r="AG3459" s="21" t="n">
        <v>0</v>
      </c>
      <c r="AH3459" s="21" t="n">
        <v>0</v>
      </c>
      <c r="AI3459" s="21" t="n">
        <v>0</v>
      </c>
      <c r="AJ3459" s="21" t="n">
        <v>0</v>
      </c>
      <c r="AK3459" s="21" t="n">
        <v>0</v>
      </c>
      <c r="AL3459" s="21" t="n">
        <v>0</v>
      </c>
      <c r="AM3459" s="21" t="n">
        <v>0</v>
      </c>
      <c r="AN3459" s="21" t="n">
        <v>0</v>
      </c>
      <c r="AO3459" s="21" t="n">
        <v>0</v>
      </c>
      <c r="AP3459" s="21" t="n">
        <v>0</v>
      </c>
      <c r="AQ3459" s="21" t="n">
        <v>0</v>
      </c>
      <c r="AR3459" s="21" t="n">
        <v>0</v>
      </c>
      <c r="AS3459" s="21" t="n">
        <v>0</v>
      </c>
      <c r="AT3459" s="19" t="n"/>
    </row>
    <row r="3460">
      <c r="D3460" s="21" t="n">
        <v>0</v>
      </c>
      <c r="E3460" s="21" t="n">
        <v>0</v>
      </c>
      <c r="F3460" s="21" t="n">
        <v>0</v>
      </c>
      <c r="G3460" s="21" t="n">
        <v>0</v>
      </c>
      <c r="H3460" s="21">
        <f>-$B$1811</f>
        <v/>
      </c>
      <c r="I3460" s="21">
        <f>-$B$1812</f>
        <v/>
      </c>
      <c r="J3460" s="21">
        <f>2*$B$1811+$D$3435</f>
        <v/>
      </c>
      <c r="K3460" s="21">
        <f>0</f>
        <v/>
      </c>
      <c r="L3460" s="21">
        <f>-$B$1811</f>
        <v/>
      </c>
      <c r="M3460" s="21">
        <f>$B$1812</f>
        <v/>
      </c>
      <c r="N3460" s="21" t="n">
        <v>0</v>
      </c>
      <c r="O3460" s="21" t="n">
        <v>0</v>
      </c>
      <c r="P3460" s="21" t="n">
        <v>0</v>
      </c>
      <c r="Q3460" s="21" t="n">
        <v>0</v>
      </c>
      <c r="R3460" s="21" t="n">
        <v>0</v>
      </c>
      <c r="S3460" s="21" t="n">
        <v>0</v>
      </c>
      <c r="T3460" s="21" t="n">
        <v>0</v>
      </c>
      <c r="U3460" s="21" t="n">
        <v>0</v>
      </c>
      <c r="V3460" s="21" t="n">
        <v>0</v>
      </c>
      <c r="W3460" s="21" t="n">
        <v>0</v>
      </c>
      <c r="X3460" s="21" t="n">
        <v>0</v>
      </c>
      <c r="Y3460" s="21" t="n">
        <v>0</v>
      </c>
      <c r="Z3460" s="21" t="n">
        <v>0</v>
      </c>
      <c r="AA3460" s="21" t="n">
        <v>0</v>
      </c>
      <c r="AB3460" s="21" t="n">
        <v>0</v>
      </c>
      <c r="AC3460" s="21" t="n">
        <v>0</v>
      </c>
      <c r="AD3460" s="21" t="n">
        <v>0</v>
      </c>
      <c r="AE3460" s="21" t="n">
        <v>0</v>
      </c>
      <c r="AF3460" s="21" t="n">
        <v>0</v>
      </c>
      <c r="AG3460" s="21" t="n">
        <v>0</v>
      </c>
      <c r="AH3460" s="21" t="n">
        <v>0</v>
      </c>
      <c r="AI3460" s="21" t="n">
        <v>0</v>
      </c>
      <c r="AJ3460" s="21" t="n">
        <v>0</v>
      </c>
      <c r="AK3460" s="21" t="n">
        <v>0</v>
      </c>
      <c r="AL3460" s="21" t="n">
        <v>0</v>
      </c>
      <c r="AM3460" s="21" t="n">
        <v>0</v>
      </c>
      <c r="AN3460" s="21" t="n">
        <v>0</v>
      </c>
      <c r="AO3460" s="21" t="n">
        <v>0</v>
      </c>
      <c r="AP3460" s="21" t="n">
        <v>0</v>
      </c>
      <c r="AQ3460" s="21" t="n">
        <v>0</v>
      </c>
      <c r="AR3460" s="21" t="n">
        <v>0</v>
      </c>
      <c r="AS3460" s="21" t="n">
        <v>0</v>
      </c>
      <c r="AT3460" s="19" t="n"/>
    </row>
    <row r="3461">
      <c r="D3461" s="21" t="n">
        <v>0</v>
      </c>
      <c r="E3461" s="21" t="n">
        <v>0</v>
      </c>
      <c r="F3461" s="21" t="n">
        <v>0</v>
      </c>
      <c r="G3461" s="21" t="n">
        <v>0</v>
      </c>
      <c r="H3461" s="21">
        <f>$B$1812</f>
        <v/>
      </c>
      <c r="I3461" s="21">
        <f>$B$1814</f>
        <v/>
      </c>
      <c r="J3461" s="21">
        <f>0</f>
        <v/>
      </c>
      <c r="K3461" s="21">
        <f>2*$B$1813</f>
        <v/>
      </c>
      <c r="L3461" s="21">
        <f>-$B$1812</f>
        <v/>
      </c>
      <c r="M3461" s="21">
        <f>$B$1814</f>
        <v/>
      </c>
      <c r="N3461" s="21" t="n">
        <v>0</v>
      </c>
      <c r="O3461" s="21" t="n">
        <v>0</v>
      </c>
      <c r="P3461" s="21" t="n">
        <v>0</v>
      </c>
      <c r="Q3461" s="21" t="n">
        <v>0</v>
      </c>
      <c r="R3461" s="21" t="n">
        <v>0</v>
      </c>
      <c r="S3461" s="21" t="n">
        <v>0</v>
      </c>
      <c r="T3461" s="21" t="n">
        <v>0</v>
      </c>
      <c r="U3461" s="21" t="n">
        <v>0</v>
      </c>
      <c r="V3461" s="21" t="n">
        <v>0</v>
      </c>
      <c r="W3461" s="21" t="n">
        <v>0</v>
      </c>
      <c r="X3461" s="21" t="n">
        <v>0</v>
      </c>
      <c r="Y3461" s="21" t="n">
        <v>0</v>
      </c>
      <c r="Z3461" s="21" t="n">
        <v>0</v>
      </c>
      <c r="AA3461" s="21" t="n">
        <v>0</v>
      </c>
      <c r="AB3461" s="21" t="n">
        <v>0</v>
      </c>
      <c r="AC3461" s="21" t="n">
        <v>0</v>
      </c>
      <c r="AD3461" s="21" t="n">
        <v>0</v>
      </c>
      <c r="AE3461" s="21" t="n">
        <v>0</v>
      </c>
      <c r="AF3461" s="21" t="n">
        <v>0</v>
      </c>
      <c r="AG3461" s="21" t="n">
        <v>0</v>
      </c>
      <c r="AH3461" s="21" t="n">
        <v>0</v>
      </c>
      <c r="AI3461" s="21" t="n">
        <v>0</v>
      </c>
      <c r="AJ3461" s="21" t="n">
        <v>0</v>
      </c>
      <c r="AK3461" s="21" t="n">
        <v>0</v>
      </c>
      <c r="AL3461" s="21" t="n">
        <v>0</v>
      </c>
      <c r="AM3461" s="21" t="n">
        <v>0</v>
      </c>
      <c r="AN3461" s="21" t="n">
        <v>0</v>
      </c>
      <c r="AO3461" s="21" t="n">
        <v>0</v>
      </c>
      <c r="AP3461" s="21" t="n">
        <v>0</v>
      </c>
      <c r="AQ3461" s="21" t="n">
        <v>0</v>
      </c>
      <c r="AR3461" s="21" t="n">
        <v>0</v>
      </c>
      <c r="AS3461" s="21" t="n">
        <v>0</v>
      </c>
      <c r="AT3461" s="19" t="n"/>
    </row>
    <row r="3462">
      <c r="D3462" s="21" t="n">
        <v>0</v>
      </c>
      <c r="E3462" s="21" t="n">
        <v>0</v>
      </c>
      <c r="F3462" s="21" t="n">
        <v>0</v>
      </c>
      <c r="G3462" s="21" t="n">
        <v>0</v>
      </c>
      <c r="H3462" s="21" t="n">
        <v>0</v>
      </c>
      <c r="I3462" s="21" t="n">
        <v>0</v>
      </c>
      <c r="J3462" s="21">
        <f>-$B$1811</f>
        <v/>
      </c>
      <c r="K3462" s="21">
        <f>-$B$1812</f>
        <v/>
      </c>
      <c r="L3462" s="21">
        <f>2*$B$1811+$D$3436</f>
        <v/>
      </c>
      <c r="M3462" s="21">
        <f>0</f>
        <v/>
      </c>
      <c r="N3462" s="21">
        <f>-$B$1811</f>
        <v/>
      </c>
      <c r="O3462" s="21">
        <f>$B$1812</f>
        <v/>
      </c>
      <c r="P3462" s="21" t="n">
        <v>0</v>
      </c>
      <c r="Q3462" s="21" t="n">
        <v>0</v>
      </c>
      <c r="R3462" s="21" t="n">
        <v>0</v>
      </c>
      <c r="S3462" s="21" t="n">
        <v>0</v>
      </c>
      <c r="T3462" s="21" t="n">
        <v>0</v>
      </c>
      <c r="U3462" s="21" t="n">
        <v>0</v>
      </c>
      <c r="V3462" s="21" t="n">
        <v>0</v>
      </c>
      <c r="W3462" s="21" t="n">
        <v>0</v>
      </c>
      <c r="X3462" s="21" t="n">
        <v>0</v>
      </c>
      <c r="Y3462" s="21" t="n">
        <v>0</v>
      </c>
      <c r="Z3462" s="21" t="n">
        <v>0</v>
      </c>
      <c r="AA3462" s="21" t="n">
        <v>0</v>
      </c>
      <c r="AB3462" s="21" t="n">
        <v>0</v>
      </c>
      <c r="AC3462" s="21" t="n">
        <v>0</v>
      </c>
      <c r="AD3462" s="21" t="n">
        <v>0</v>
      </c>
      <c r="AE3462" s="21" t="n">
        <v>0</v>
      </c>
      <c r="AF3462" s="21" t="n">
        <v>0</v>
      </c>
      <c r="AG3462" s="21" t="n">
        <v>0</v>
      </c>
      <c r="AH3462" s="21" t="n">
        <v>0</v>
      </c>
      <c r="AI3462" s="21" t="n">
        <v>0</v>
      </c>
      <c r="AJ3462" s="21" t="n">
        <v>0</v>
      </c>
      <c r="AK3462" s="21" t="n">
        <v>0</v>
      </c>
      <c r="AL3462" s="21" t="n">
        <v>0</v>
      </c>
      <c r="AM3462" s="21" t="n">
        <v>0</v>
      </c>
      <c r="AN3462" s="21" t="n">
        <v>0</v>
      </c>
      <c r="AO3462" s="21" t="n">
        <v>0</v>
      </c>
      <c r="AP3462" s="21" t="n">
        <v>0</v>
      </c>
      <c r="AQ3462" s="21" t="n">
        <v>0</v>
      </c>
      <c r="AR3462" s="21" t="n">
        <v>0</v>
      </c>
      <c r="AS3462" s="21" t="n">
        <v>0</v>
      </c>
      <c r="AT3462" s="19" t="n"/>
    </row>
    <row r="3463">
      <c r="D3463" s="21" t="n">
        <v>0</v>
      </c>
      <c r="E3463" s="21" t="n">
        <v>0</v>
      </c>
      <c r="F3463" s="21" t="n">
        <v>0</v>
      </c>
      <c r="G3463" s="21" t="n">
        <v>0</v>
      </c>
      <c r="H3463" s="21" t="n">
        <v>0</v>
      </c>
      <c r="I3463" s="21" t="n">
        <v>0</v>
      </c>
      <c r="J3463" s="21">
        <f>$B$1812</f>
        <v/>
      </c>
      <c r="K3463" s="21">
        <f>$B$1814</f>
        <v/>
      </c>
      <c r="L3463" s="21">
        <f>0</f>
        <v/>
      </c>
      <c r="M3463" s="21">
        <f>2*$B$1813</f>
        <v/>
      </c>
      <c r="N3463" s="21">
        <f>-$B$1812</f>
        <v/>
      </c>
      <c r="O3463" s="21">
        <f>$B$1814</f>
        <v/>
      </c>
      <c r="P3463" s="21" t="n">
        <v>0</v>
      </c>
      <c r="Q3463" s="21" t="n">
        <v>0</v>
      </c>
      <c r="R3463" s="21" t="n">
        <v>0</v>
      </c>
      <c r="S3463" s="21" t="n">
        <v>0</v>
      </c>
      <c r="T3463" s="21" t="n">
        <v>0</v>
      </c>
      <c r="U3463" s="21" t="n">
        <v>0</v>
      </c>
      <c r="V3463" s="21" t="n">
        <v>0</v>
      </c>
      <c r="W3463" s="21" t="n">
        <v>0</v>
      </c>
      <c r="X3463" s="21" t="n">
        <v>0</v>
      </c>
      <c r="Y3463" s="21" t="n">
        <v>0</v>
      </c>
      <c r="Z3463" s="21" t="n">
        <v>0</v>
      </c>
      <c r="AA3463" s="21" t="n">
        <v>0</v>
      </c>
      <c r="AB3463" s="21" t="n">
        <v>0</v>
      </c>
      <c r="AC3463" s="21" t="n">
        <v>0</v>
      </c>
      <c r="AD3463" s="21" t="n">
        <v>0</v>
      </c>
      <c r="AE3463" s="21" t="n">
        <v>0</v>
      </c>
      <c r="AF3463" s="21" t="n">
        <v>0</v>
      </c>
      <c r="AG3463" s="21" t="n">
        <v>0</v>
      </c>
      <c r="AH3463" s="21" t="n">
        <v>0</v>
      </c>
      <c r="AI3463" s="21" t="n">
        <v>0</v>
      </c>
      <c r="AJ3463" s="21" t="n">
        <v>0</v>
      </c>
      <c r="AK3463" s="21" t="n">
        <v>0</v>
      </c>
      <c r="AL3463" s="21" t="n">
        <v>0</v>
      </c>
      <c r="AM3463" s="21" t="n">
        <v>0</v>
      </c>
      <c r="AN3463" s="21" t="n">
        <v>0</v>
      </c>
      <c r="AO3463" s="21" t="n">
        <v>0</v>
      </c>
      <c r="AP3463" s="21" t="n">
        <v>0</v>
      </c>
      <c r="AQ3463" s="21" t="n">
        <v>0</v>
      </c>
      <c r="AR3463" s="21" t="n">
        <v>0</v>
      </c>
      <c r="AS3463" s="21" t="n">
        <v>0</v>
      </c>
      <c r="AT3463" s="19" t="n"/>
    </row>
    <row r="3464">
      <c r="D3464" s="21" t="n">
        <v>0</v>
      </c>
      <c r="E3464" s="21" t="n">
        <v>0</v>
      </c>
      <c r="F3464" s="21" t="n">
        <v>0</v>
      </c>
      <c r="G3464" s="21" t="n">
        <v>0</v>
      </c>
      <c r="H3464" s="21" t="n">
        <v>0</v>
      </c>
      <c r="I3464" s="21" t="n">
        <v>0</v>
      </c>
      <c r="J3464" s="21" t="n">
        <v>0</v>
      </c>
      <c r="K3464" s="21" t="n">
        <v>0</v>
      </c>
      <c r="L3464" s="21">
        <f>-$B$1811</f>
        <v/>
      </c>
      <c r="M3464" s="21">
        <f>-$B$1812</f>
        <v/>
      </c>
      <c r="N3464" s="21">
        <f>2*$B$1811+$D$3437</f>
        <v/>
      </c>
      <c r="O3464" s="21">
        <f>0</f>
        <v/>
      </c>
      <c r="P3464" s="21">
        <f>-$B$1811</f>
        <v/>
      </c>
      <c r="Q3464" s="21">
        <f>$B$1812</f>
        <v/>
      </c>
      <c r="R3464" s="21" t="n">
        <v>0</v>
      </c>
      <c r="S3464" s="21" t="n">
        <v>0</v>
      </c>
      <c r="T3464" s="21" t="n">
        <v>0</v>
      </c>
      <c r="U3464" s="21" t="n">
        <v>0</v>
      </c>
      <c r="V3464" s="21" t="n">
        <v>0</v>
      </c>
      <c r="W3464" s="21" t="n">
        <v>0</v>
      </c>
      <c r="X3464" s="21" t="n">
        <v>0</v>
      </c>
      <c r="Y3464" s="21" t="n">
        <v>0</v>
      </c>
      <c r="Z3464" s="21" t="n">
        <v>0</v>
      </c>
      <c r="AA3464" s="21" t="n">
        <v>0</v>
      </c>
      <c r="AB3464" s="21" t="n">
        <v>0</v>
      </c>
      <c r="AC3464" s="21" t="n">
        <v>0</v>
      </c>
      <c r="AD3464" s="21" t="n">
        <v>0</v>
      </c>
      <c r="AE3464" s="21" t="n">
        <v>0</v>
      </c>
      <c r="AF3464" s="21" t="n">
        <v>0</v>
      </c>
      <c r="AG3464" s="21" t="n">
        <v>0</v>
      </c>
      <c r="AH3464" s="21" t="n">
        <v>0</v>
      </c>
      <c r="AI3464" s="21" t="n">
        <v>0</v>
      </c>
      <c r="AJ3464" s="21" t="n">
        <v>0</v>
      </c>
      <c r="AK3464" s="21" t="n">
        <v>0</v>
      </c>
      <c r="AL3464" s="21" t="n">
        <v>0</v>
      </c>
      <c r="AM3464" s="21" t="n">
        <v>0</v>
      </c>
      <c r="AN3464" s="21" t="n">
        <v>0</v>
      </c>
      <c r="AO3464" s="21" t="n">
        <v>0</v>
      </c>
      <c r="AP3464" s="21" t="n">
        <v>0</v>
      </c>
      <c r="AQ3464" s="21" t="n">
        <v>0</v>
      </c>
      <c r="AR3464" s="21" t="n">
        <v>0</v>
      </c>
      <c r="AS3464" s="21" t="n">
        <v>0</v>
      </c>
      <c r="AT3464" s="19" t="n"/>
    </row>
    <row r="3465">
      <c r="D3465" s="21" t="n">
        <v>0</v>
      </c>
      <c r="E3465" s="21" t="n">
        <v>0</v>
      </c>
      <c r="F3465" s="21" t="n">
        <v>0</v>
      </c>
      <c r="G3465" s="21" t="n">
        <v>0</v>
      </c>
      <c r="H3465" s="21" t="n">
        <v>0</v>
      </c>
      <c r="I3465" s="21" t="n">
        <v>0</v>
      </c>
      <c r="J3465" s="21" t="n">
        <v>0</v>
      </c>
      <c r="K3465" s="21" t="n">
        <v>0</v>
      </c>
      <c r="L3465" s="21">
        <f>$B$1812</f>
        <v/>
      </c>
      <c r="M3465" s="21">
        <f>$B$1814</f>
        <v/>
      </c>
      <c r="N3465" s="21">
        <f>0</f>
        <v/>
      </c>
      <c r="O3465" s="21">
        <f>2*$B$1813</f>
        <v/>
      </c>
      <c r="P3465" s="21">
        <f>-$B$1812</f>
        <v/>
      </c>
      <c r="Q3465" s="21">
        <f>$B$1814</f>
        <v/>
      </c>
      <c r="R3465" s="21" t="n">
        <v>0</v>
      </c>
      <c r="S3465" s="21" t="n">
        <v>0</v>
      </c>
      <c r="T3465" s="21" t="n">
        <v>0</v>
      </c>
      <c r="U3465" s="21" t="n">
        <v>0</v>
      </c>
      <c r="V3465" s="21" t="n">
        <v>0</v>
      </c>
      <c r="W3465" s="21" t="n">
        <v>0</v>
      </c>
      <c r="X3465" s="21" t="n">
        <v>0</v>
      </c>
      <c r="Y3465" s="21" t="n">
        <v>0</v>
      </c>
      <c r="Z3465" s="21" t="n">
        <v>0</v>
      </c>
      <c r="AA3465" s="21" t="n">
        <v>0</v>
      </c>
      <c r="AB3465" s="21" t="n">
        <v>0</v>
      </c>
      <c r="AC3465" s="21" t="n">
        <v>0</v>
      </c>
      <c r="AD3465" s="21" t="n">
        <v>0</v>
      </c>
      <c r="AE3465" s="21" t="n">
        <v>0</v>
      </c>
      <c r="AF3465" s="21" t="n">
        <v>0</v>
      </c>
      <c r="AG3465" s="21" t="n">
        <v>0</v>
      </c>
      <c r="AH3465" s="21" t="n">
        <v>0</v>
      </c>
      <c r="AI3465" s="21" t="n">
        <v>0</v>
      </c>
      <c r="AJ3465" s="21" t="n">
        <v>0</v>
      </c>
      <c r="AK3465" s="21" t="n">
        <v>0</v>
      </c>
      <c r="AL3465" s="21" t="n">
        <v>0</v>
      </c>
      <c r="AM3465" s="21" t="n">
        <v>0</v>
      </c>
      <c r="AN3465" s="21" t="n">
        <v>0</v>
      </c>
      <c r="AO3465" s="21" t="n">
        <v>0</v>
      </c>
      <c r="AP3465" s="21" t="n">
        <v>0</v>
      </c>
      <c r="AQ3465" s="21" t="n">
        <v>0</v>
      </c>
      <c r="AR3465" s="21" t="n">
        <v>0</v>
      </c>
      <c r="AS3465" s="21" t="n">
        <v>0</v>
      </c>
      <c r="AT3465" s="19" t="n"/>
    </row>
    <row r="3466">
      <c r="D3466" s="21" t="n">
        <v>0</v>
      </c>
      <c r="E3466" s="21" t="n">
        <v>0</v>
      </c>
      <c r="F3466" s="21" t="n">
        <v>0</v>
      </c>
      <c r="G3466" s="21" t="n">
        <v>0</v>
      </c>
      <c r="H3466" s="21" t="n">
        <v>0</v>
      </c>
      <c r="I3466" s="21" t="n">
        <v>0</v>
      </c>
      <c r="J3466" s="21" t="n">
        <v>0</v>
      </c>
      <c r="K3466" s="21" t="n">
        <v>0</v>
      </c>
      <c r="L3466" s="21" t="n">
        <v>0</v>
      </c>
      <c r="M3466" s="21" t="n">
        <v>0</v>
      </c>
      <c r="N3466" s="21">
        <f>-$B$1811</f>
        <v/>
      </c>
      <c r="O3466" s="21">
        <f>-$B$1812</f>
        <v/>
      </c>
      <c r="P3466" s="21">
        <f>2*$B$1811+$D$3438</f>
        <v/>
      </c>
      <c r="Q3466" s="21">
        <f>0</f>
        <v/>
      </c>
      <c r="R3466" s="21">
        <f>-$B$1811</f>
        <v/>
      </c>
      <c r="S3466" s="21">
        <f>$B$1812</f>
        <v/>
      </c>
      <c r="T3466" s="21" t="n">
        <v>0</v>
      </c>
      <c r="U3466" s="21" t="n">
        <v>0</v>
      </c>
      <c r="V3466" s="21" t="n">
        <v>0</v>
      </c>
      <c r="W3466" s="21" t="n">
        <v>0</v>
      </c>
      <c r="X3466" s="21" t="n">
        <v>0</v>
      </c>
      <c r="Y3466" s="21" t="n">
        <v>0</v>
      </c>
      <c r="Z3466" s="21" t="n">
        <v>0</v>
      </c>
      <c r="AA3466" s="21" t="n">
        <v>0</v>
      </c>
      <c r="AB3466" s="21" t="n">
        <v>0</v>
      </c>
      <c r="AC3466" s="21" t="n">
        <v>0</v>
      </c>
      <c r="AD3466" s="21" t="n">
        <v>0</v>
      </c>
      <c r="AE3466" s="21" t="n">
        <v>0</v>
      </c>
      <c r="AF3466" s="21" t="n">
        <v>0</v>
      </c>
      <c r="AG3466" s="21" t="n">
        <v>0</v>
      </c>
      <c r="AH3466" s="21" t="n">
        <v>0</v>
      </c>
      <c r="AI3466" s="21" t="n">
        <v>0</v>
      </c>
      <c r="AJ3466" s="21" t="n">
        <v>0</v>
      </c>
      <c r="AK3466" s="21" t="n">
        <v>0</v>
      </c>
      <c r="AL3466" s="21" t="n">
        <v>0</v>
      </c>
      <c r="AM3466" s="21" t="n">
        <v>0</v>
      </c>
      <c r="AN3466" s="21" t="n">
        <v>0</v>
      </c>
      <c r="AO3466" s="21" t="n">
        <v>0</v>
      </c>
      <c r="AP3466" s="21" t="n">
        <v>0</v>
      </c>
      <c r="AQ3466" s="21" t="n">
        <v>0</v>
      </c>
      <c r="AR3466" s="21" t="n">
        <v>0</v>
      </c>
      <c r="AS3466" s="21" t="n">
        <v>0</v>
      </c>
      <c r="AT3466" s="19" t="n"/>
    </row>
    <row r="3467">
      <c r="D3467" s="21" t="n">
        <v>0</v>
      </c>
      <c r="E3467" s="21" t="n">
        <v>0</v>
      </c>
      <c r="F3467" s="21" t="n">
        <v>0</v>
      </c>
      <c r="G3467" s="21" t="n">
        <v>0</v>
      </c>
      <c r="H3467" s="21" t="n">
        <v>0</v>
      </c>
      <c r="I3467" s="21" t="n">
        <v>0</v>
      </c>
      <c r="J3467" s="21" t="n">
        <v>0</v>
      </c>
      <c r="K3467" s="21" t="n">
        <v>0</v>
      </c>
      <c r="L3467" s="21" t="n">
        <v>0</v>
      </c>
      <c r="M3467" s="21" t="n">
        <v>0</v>
      </c>
      <c r="N3467" s="21">
        <f>$B$1812</f>
        <v/>
      </c>
      <c r="O3467" s="21">
        <f>$B$1814</f>
        <v/>
      </c>
      <c r="P3467" s="21">
        <f>0</f>
        <v/>
      </c>
      <c r="Q3467" s="21">
        <f>2*$B$1813</f>
        <v/>
      </c>
      <c r="R3467" s="21">
        <f>-$B$1812</f>
        <v/>
      </c>
      <c r="S3467" s="21">
        <f>$B$1814</f>
        <v/>
      </c>
      <c r="T3467" s="21" t="n">
        <v>0</v>
      </c>
      <c r="U3467" s="21" t="n">
        <v>0</v>
      </c>
      <c r="V3467" s="21" t="n">
        <v>0</v>
      </c>
      <c r="W3467" s="21" t="n">
        <v>0</v>
      </c>
      <c r="X3467" s="21" t="n">
        <v>0</v>
      </c>
      <c r="Y3467" s="21" t="n">
        <v>0</v>
      </c>
      <c r="Z3467" s="21" t="n">
        <v>0</v>
      </c>
      <c r="AA3467" s="21" t="n">
        <v>0</v>
      </c>
      <c r="AB3467" s="21" t="n">
        <v>0</v>
      </c>
      <c r="AC3467" s="21" t="n">
        <v>0</v>
      </c>
      <c r="AD3467" s="21" t="n">
        <v>0</v>
      </c>
      <c r="AE3467" s="21" t="n">
        <v>0</v>
      </c>
      <c r="AF3467" s="21" t="n">
        <v>0</v>
      </c>
      <c r="AG3467" s="21" t="n">
        <v>0</v>
      </c>
      <c r="AH3467" s="21" t="n">
        <v>0</v>
      </c>
      <c r="AI3467" s="21" t="n">
        <v>0</v>
      </c>
      <c r="AJ3467" s="21" t="n">
        <v>0</v>
      </c>
      <c r="AK3467" s="21" t="n">
        <v>0</v>
      </c>
      <c r="AL3467" s="21" t="n">
        <v>0</v>
      </c>
      <c r="AM3467" s="21" t="n">
        <v>0</v>
      </c>
      <c r="AN3467" s="21" t="n">
        <v>0</v>
      </c>
      <c r="AO3467" s="21" t="n">
        <v>0</v>
      </c>
      <c r="AP3467" s="21" t="n">
        <v>0</v>
      </c>
      <c r="AQ3467" s="21" t="n">
        <v>0</v>
      </c>
      <c r="AR3467" s="21" t="n">
        <v>0</v>
      </c>
      <c r="AS3467" s="21" t="n">
        <v>0</v>
      </c>
      <c r="AT3467" s="19" t="n"/>
    </row>
    <row r="3468">
      <c r="D3468" s="21" t="n">
        <v>0</v>
      </c>
      <c r="E3468" s="21" t="n">
        <v>0</v>
      </c>
      <c r="F3468" s="21" t="n">
        <v>0</v>
      </c>
      <c r="G3468" s="21" t="n">
        <v>0</v>
      </c>
      <c r="H3468" s="21" t="n">
        <v>0</v>
      </c>
      <c r="I3468" s="21" t="n">
        <v>0</v>
      </c>
      <c r="J3468" s="21" t="n">
        <v>0</v>
      </c>
      <c r="K3468" s="21" t="n">
        <v>0</v>
      </c>
      <c r="L3468" s="21" t="n">
        <v>0</v>
      </c>
      <c r="M3468" s="21" t="n">
        <v>0</v>
      </c>
      <c r="N3468" s="21" t="n">
        <v>0</v>
      </c>
      <c r="O3468" s="21" t="n">
        <v>0</v>
      </c>
      <c r="P3468" s="21">
        <f>-$B$1811</f>
        <v/>
      </c>
      <c r="Q3468" s="21">
        <f>-$B$1812</f>
        <v/>
      </c>
      <c r="R3468" s="21">
        <f>2*$B$1811+$D$3439</f>
        <v/>
      </c>
      <c r="S3468" s="21">
        <f>0</f>
        <v/>
      </c>
      <c r="T3468" s="21">
        <f>-$B$1811</f>
        <v/>
      </c>
      <c r="U3468" s="21">
        <f>$B$1812</f>
        <v/>
      </c>
      <c r="V3468" s="21" t="n">
        <v>0</v>
      </c>
      <c r="W3468" s="21" t="n">
        <v>0</v>
      </c>
      <c r="X3468" s="21" t="n">
        <v>0</v>
      </c>
      <c r="Y3468" s="21" t="n">
        <v>0</v>
      </c>
      <c r="Z3468" s="21" t="n">
        <v>0</v>
      </c>
      <c r="AA3468" s="21" t="n">
        <v>0</v>
      </c>
      <c r="AB3468" s="21" t="n">
        <v>0</v>
      </c>
      <c r="AC3468" s="21" t="n">
        <v>0</v>
      </c>
      <c r="AD3468" s="21" t="n">
        <v>0</v>
      </c>
      <c r="AE3468" s="21" t="n">
        <v>0</v>
      </c>
      <c r="AF3468" s="21" t="n">
        <v>0</v>
      </c>
      <c r="AG3468" s="21" t="n">
        <v>0</v>
      </c>
      <c r="AH3468" s="21" t="n">
        <v>0</v>
      </c>
      <c r="AI3468" s="21" t="n">
        <v>0</v>
      </c>
      <c r="AJ3468" s="21" t="n">
        <v>0</v>
      </c>
      <c r="AK3468" s="21" t="n">
        <v>0</v>
      </c>
      <c r="AL3468" s="21" t="n">
        <v>0</v>
      </c>
      <c r="AM3468" s="21" t="n">
        <v>0</v>
      </c>
      <c r="AN3468" s="21" t="n">
        <v>0</v>
      </c>
      <c r="AO3468" s="21" t="n">
        <v>0</v>
      </c>
      <c r="AP3468" s="21" t="n">
        <v>0</v>
      </c>
      <c r="AQ3468" s="21" t="n">
        <v>0</v>
      </c>
      <c r="AR3468" s="21" t="n">
        <v>0</v>
      </c>
      <c r="AS3468" s="21" t="n">
        <v>0</v>
      </c>
      <c r="AT3468" s="19" t="n"/>
    </row>
    <row r="3469">
      <c r="D3469" s="21" t="n">
        <v>0</v>
      </c>
      <c r="E3469" s="21" t="n">
        <v>0</v>
      </c>
      <c r="F3469" s="21" t="n">
        <v>0</v>
      </c>
      <c r="G3469" s="21" t="n">
        <v>0</v>
      </c>
      <c r="H3469" s="21" t="n">
        <v>0</v>
      </c>
      <c r="I3469" s="21" t="n">
        <v>0</v>
      </c>
      <c r="J3469" s="21" t="n">
        <v>0</v>
      </c>
      <c r="K3469" s="21" t="n">
        <v>0</v>
      </c>
      <c r="L3469" s="21" t="n">
        <v>0</v>
      </c>
      <c r="M3469" s="21" t="n">
        <v>0</v>
      </c>
      <c r="N3469" s="21" t="n">
        <v>0</v>
      </c>
      <c r="O3469" s="21" t="n">
        <v>0</v>
      </c>
      <c r="P3469" s="21">
        <f>$B$1812</f>
        <v/>
      </c>
      <c r="Q3469" s="21">
        <f>$B$1814</f>
        <v/>
      </c>
      <c r="R3469" s="21">
        <f>0</f>
        <v/>
      </c>
      <c r="S3469" s="21">
        <f>2*$B$1813</f>
        <v/>
      </c>
      <c r="T3469" s="21">
        <f>-$B$1812</f>
        <v/>
      </c>
      <c r="U3469" s="21">
        <f>$B$1814</f>
        <v/>
      </c>
      <c r="V3469" s="21" t="n">
        <v>0</v>
      </c>
      <c r="W3469" s="21" t="n">
        <v>0</v>
      </c>
      <c r="X3469" s="21" t="n">
        <v>0</v>
      </c>
      <c r="Y3469" s="21" t="n">
        <v>0</v>
      </c>
      <c r="Z3469" s="21" t="n">
        <v>0</v>
      </c>
      <c r="AA3469" s="21" t="n">
        <v>0</v>
      </c>
      <c r="AB3469" s="21" t="n">
        <v>0</v>
      </c>
      <c r="AC3469" s="21" t="n">
        <v>0</v>
      </c>
      <c r="AD3469" s="21" t="n">
        <v>0</v>
      </c>
      <c r="AE3469" s="21" t="n">
        <v>0</v>
      </c>
      <c r="AF3469" s="21" t="n">
        <v>0</v>
      </c>
      <c r="AG3469" s="21" t="n">
        <v>0</v>
      </c>
      <c r="AH3469" s="21" t="n">
        <v>0</v>
      </c>
      <c r="AI3469" s="21" t="n">
        <v>0</v>
      </c>
      <c r="AJ3469" s="21" t="n">
        <v>0</v>
      </c>
      <c r="AK3469" s="21" t="n">
        <v>0</v>
      </c>
      <c r="AL3469" s="21" t="n">
        <v>0</v>
      </c>
      <c r="AM3469" s="21" t="n">
        <v>0</v>
      </c>
      <c r="AN3469" s="21" t="n">
        <v>0</v>
      </c>
      <c r="AO3469" s="21" t="n">
        <v>0</v>
      </c>
      <c r="AP3469" s="21" t="n">
        <v>0</v>
      </c>
      <c r="AQ3469" s="21" t="n">
        <v>0</v>
      </c>
      <c r="AR3469" s="21" t="n">
        <v>0</v>
      </c>
      <c r="AS3469" s="21" t="n">
        <v>0</v>
      </c>
      <c r="AT3469" s="19" t="n"/>
    </row>
    <row r="3470">
      <c r="D3470" s="21" t="n">
        <v>0</v>
      </c>
      <c r="E3470" s="21" t="n">
        <v>0</v>
      </c>
      <c r="F3470" s="21" t="n">
        <v>0</v>
      </c>
      <c r="G3470" s="21" t="n">
        <v>0</v>
      </c>
      <c r="H3470" s="21" t="n">
        <v>0</v>
      </c>
      <c r="I3470" s="21" t="n">
        <v>0</v>
      </c>
      <c r="J3470" s="21" t="n">
        <v>0</v>
      </c>
      <c r="K3470" s="21" t="n">
        <v>0</v>
      </c>
      <c r="L3470" s="21" t="n">
        <v>0</v>
      </c>
      <c r="M3470" s="21" t="n">
        <v>0</v>
      </c>
      <c r="N3470" s="21" t="n">
        <v>0</v>
      </c>
      <c r="O3470" s="21" t="n">
        <v>0</v>
      </c>
      <c r="P3470" s="21" t="n">
        <v>0</v>
      </c>
      <c r="Q3470" s="21" t="n">
        <v>0</v>
      </c>
      <c r="R3470" s="21">
        <f>-$B$1811</f>
        <v/>
      </c>
      <c r="S3470" s="21">
        <f>-$B$1812</f>
        <v/>
      </c>
      <c r="T3470" s="21">
        <f>2*$B$1811+$D$3440</f>
        <v/>
      </c>
      <c r="U3470" s="21">
        <f>0</f>
        <v/>
      </c>
      <c r="V3470" s="21">
        <f>-$B$1811</f>
        <v/>
      </c>
      <c r="W3470" s="21">
        <f>$B$1812</f>
        <v/>
      </c>
      <c r="X3470" s="21" t="n">
        <v>0</v>
      </c>
      <c r="Y3470" s="21" t="n">
        <v>0</v>
      </c>
      <c r="Z3470" s="21" t="n">
        <v>0</v>
      </c>
      <c r="AA3470" s="21" t="n">
        <v>0</v>
      </c>
      <c r="AB3470" s="21" t="n">
        <v>0</v>
      </c>
      <c r="AC3470" s="21" t="n">
        <v>0</v>
      </c>
      <c r="AD3470" s="21" t="n">
        <v>0</v>
      </c>
      <c r="AE3470" s="21" t="n">
        <v>0</v>
      </c>
      <c r="AF3470" s="21" t="n">
        <v>0</v>
      </c>
      <c r="AG3470" s="21" t="n">
        <v>0</v>
      </c>
      <c r="AH3470" s="21" t="n">
        <v>0</v>
      </c>
      <c r="AI3470" s="21" t="n">
        <v>0</v>
      </c>
      <c r="AJ3470" s="21" t="n">
        <v>0</v>
      </c>
      <c r="AK3470" s="21" t="n">
        <v>0</v>
      </c>
      <c r="AL3470" s="21" t="n">
        <v>0</v>
      </c>
      <c r="AM3470" s="21" t="n">
        <v>0</v>
      </c>
      <c r="AN3470" s="21" t="n">
        <v>0</v>
      </c>
      <c r="AO3470" s="21" t="n">
        <v>0</v>
      </c>
      <c r="AP3470" s="21" t="n">
        <v>0</v>
      </c>
      <c r="AQ3470" s="21" t="n">
        <v>0</v>
      </c>
      <c r="AR3470" s="21" t="n">
        <v>0</v>
      </c>
      <c r="AS3470" s="21" t="n">
        <v>0</v>
      </c>
      <c r="AT3470" s="19" t="n"/>
    </row>
    <row r="3471">
      <c r="D3471" s="21" t="n">
        <v>0</v>
      </c>
      <c r="E3471" s="21" t="n">
        <v>0</v>
      </c>
      <c r="F3471" s="21" t="n">
        <v>0</v>
      </c>
      <c r="G3471" s="21" t="n">
        <v>0</v>
      </c>
      <c r="H3471" s="21" t="n">
        <v>0</v>
      </c>
      <c r="I3471" s="21" t="n">
        <v>0</v>
      </c>
      <c r="J3471" s="21" t="n">
        <v>0</v>
      </c>
      <c r="K3471" s="21" t="n">
        <v>0</v>
      </c>
      <c r="L3471" s="21" t="n">
        <v>0</v>
      </c>
      <c r="M3471" s="21" t="n">
        <v>0</v>
      </c>
      <c r="N3471" s="21" t="n">
        <v>0</v>
      </c>
      <c r="O3471" s="21" t="n">
        <v>0</v>
      </c>
      <c r="P3471" s="21" t="n">
        <v>0</v>
      </c>
      <c r="Q3471" s="21" t="n">
        <v>0</v>
      </c>
      <c r="R3471" s="21">
        <f>$B$1812</f>
        <v/>
      </c>
      <c r="S3471" s="21">
        <f>$B$1814</f>
        <v/>
      </c>
      <c r="T3471" s="21">
        <f>0</f>
        <v/>
      </c>
      <c r="U3471" s="21">
        <f>2*$B$1813</f>
        <v/>
      </c>
      <c r="V3471" s="21">
        <f>-$B$1812</f>
        <v/>
      </c>
      <c r="W3471" s="21">
        <f>$B$1814</f>
        <v/>
      </c>
      <c r="X3471" s="21" t="n">
        <v>0</v>
      </c>
      <c r="Y3471" s="21" t="n">
        <v>0</v>
      </c>
      <c r="Z3471" s="21" t="n">
        <v>0</v>
      </c>
      <c r="AA3471" s="21" t="n">
        <v>0</v>
      </c>
      <c r="AB3471" s="21" t="n">
        <v>0</v>
      </c>
      <c r="AC3471" s="21" t="n">
        <v>0</v>
      </c>
      <c r="AD3471" s="21" t="n">
        <v>0</v>
      </c>
      <c r="AE3471" s="21" t="n">
        <v>0</v>
      </c>
      <c r="AF3471" s="21" t="n">
        <v>0</v>
      </c>
      <c r="AG3471" s="21" t="n">
        <v>0</v>
      </c>
      <c r="AH3471" s="21" t="n">
        <v>0</v>
      </c>
      <c r="AI3471" s="21" t="n">
        <v>0</v>
      </c>
      <c r="AJ3471" s="21" t="n">
        <v>0</v>
      </c>
      <c r="AK3471" s="21" t="n">
        <v>0</v>
      </c>
      <c r="AL3471" s="21" t="n">
        <v>0</v>
      </c>
      <c r="AM3471" s="21" t="n">
        <v>0</v>
      </c>
      <c r="AN3471" s="21" t="n">
        <v>0</v>
      </c>
      <c r="AO3471" s="21" t="n">
        <v>0</v>
      </c>
      <c r="AP3471" s="21" t="n">
        <v>0</v>
      </c>
      <c r="AQ3471" s="21" t="n">
        <v>0</v>
      </c>
      <c r="AR3471" s="21" t="n">
        <v>0</v>
      </c>
      <c r="AS3471" s="21" t="n">
        <v>0</v>
      </c>
      <c r="AT3471" s="19" t="n"/>
    </row>
    <row r="3472">
      <c r="D3472" s="21" t="n">
        <v>0</v>
      </c>
      <c r="E3472" s="21" t="n">
        <v>0</v>
      </c>
      <c r="F3472" s="21" t="n">
        <v>0</v>
      </c>
      <c r="G3472" s="21" t="n">
        <v>0</v>
      </c>
      <c r="H3472" s="21" t="n">
        <v>0</v>
      </c>
      <c r="I3472" s="21" t="n">
        <v>0</v>
      </c>
      <c r="J3472" s="21" t="n">
        <v>0</v>
      </c>
      <c r="K3472" s="21" t="n">
        <v>0</v>
      </c>
      <c r="L3472" s="21" t="n">
        <v>0</v>
      </c>
      <c r="M3472" s="21" t="n">
        <v>0</v>
      </c>
      <c r="N3472" s="21" t="n">
        <v>0</v>
      </c>
      <c r="O3472" s="21" t="n">
        <v>0</v>
      </c>
      <c r="P3472" s="21" t="n">
        <v>0</v>
      </c>
      <c r="Q3472" s="21" t="n">
        <v>0</v>
      </c>
      <c r="R3472" s="21" t="n">
        <v>0</v>
      </c>
      <c r="S3472" s="21" t="n">
        <v>0</v>
      </c>
      <c r="T3472" s="21">
        <f>-$B$1811</f>
        <v/>
      </c>
      <c r="U3472" s="21">
        <f>-$B$1812</f>
        <v/>
      </c>
      <c r="V3472" s="21">
        <f>2*$B$1811+$D$3441</f>
        <v/>
      </c>
      <c r="W3472" s="21">
        <f>0</f>
        <v/>
      </c>
      <c r="X3472" s="21">
        <f>-$B$1811</f>
        <v/>
      </c>
      <c r="Y3472" s="21">
        <f>$B$1812</f>
        <v/>
      </c>
      <c r="Z3472" s="21" t="n">
        <v>0</v>
      </c>
      <c r="AA3472" s="21" t="n">
        <v>0</v>
      </c>
      <c r="AB3472" s="21" t="n">
        <v>0</v>
      </c>
      <c r="AC3472" s="21" t="n">
        <v>0</v>
      </c>
      <c r="AD3472" s="21" t="n">
        <v>0</v>
      </c>
      <c r="AE3472" s="21" t="n">
        <v>0</v>
      </c>
      <c r="AF3472" s="21" t="n">
        <v>0</v>
      </c>
      <c r="AG3472" s="21" t="n">
        <v>0</v>
      </c>
      <c r="AH3472" s="21" t="n">
        <v>0</v>
      </c>
      <c r="AI3472" s="21" t="n">
        <v>0</v>
      </c>
      <c r="AJ3472" s="21" t="n">
        <v>0</v>
      </c>
      <c r="AK3472" s="21" t="n">
        <v>0</v>
      </c>
      <c r="AL3472" s="21" t="n">
        <v>0</v>
      </c>
      <c r="AM3472" s="21" t="n">
        <v>0</v>
      </c>
      <c r="AN3472" s="21" t="n">
        <v>0</v>
      </c>
      <c r="AO3472" s="21" t="n">
        <v>0</v>
      </c>
      <c r="AP3472" s="21" t="n">
        <v>0</v>
      </c>
      <c r="AQ3472" s="21" t="n">
        <v>0</v>
      </c>
      <c r="AR3472" s="21" t="n">
        <v>0</v>
      </c>
      <c r="AS3472" s="21" t="n">
        <v>0</v>
      </c>
      <c r="AT3472" s="19" t="n"/>
    </row>
    <row r="3473">
      <c r="D3473" s="21" t="n">
        <v>0</v>
      </c>
      <c r="E3473" s="21" t="n">
        <v>0</v>
      </c>
      <c r="F3473" s="21" t="n">
        <v>0</v>
      </c>
      <c r="G3473" s="21" t="n">
        <v>0</v>
      </c>
      <c r="H3473" s="21" t="n">
        <v>0</v>
      </c>
      <c r="I3473" s="21" t="n">
        <v>0</v>
      </c>
      <c r="J3473" s="21" t="n">
        <v>0</v>
      </c>
      <c r="K3473" s="21" t="n">
        <v>0</v>
      </c>
      <c r="L3473" s="21" t="n">
        <v>0</v>
      </c>
      <c r="M3473" s="21" t="n">
        <v>0</v>
      </c>
      <c r="N3473" s="21" t="n">
        <v>0</v>
      </c>
      <c r="O3473" s="21" t="n">
        <v>0</v>
      </c>
      <c r="P3473" s="21" t="n">
        <v>0</v>
      </c>
      <c r="Q3473" s="21" t="n">
        <v>0</v>
      </c>
      <c r="R3473" s="21" t="n">
        <v>0</v>
      </c>
      <c r="S3473" s="21" t="n">
        <v>0</v>
      </c>
      <c r="T3473" s="21">
        <f>$B$1812</f>
        <v/>
      </c>
      <c r="U3473" s="21">
        <f>$B$1814</f>
        <v/>
      </c>
      <c r="V3473" s="21">
        <f>0</f>
        <v/>
      </c>
      <c r="W3473" s="21">
        <f>2*$B$1813</f>
        <v/>
      </c>
      <c r="X3473" s="21">
        <f>-$B$1812</f>
        <v/>
      </c>
      <c r="Y3473" s="21">
        <f>$B$1814</f>
        <v/>
      </c>
      <c r="Z3473" s="21" t="n">
        <v>0</v>
      </c>
      <c r="AA3473" s="21" t="n">
        <v>0</v>
      </c>
      <c r="AB3473" s="21" t="n">
        <v>0</v>
      </c>
      <c r="AC3473" s="21" t="n">
        <v>0</v>
      </c>
      <c r="AD3473" s="21" t="n">
        <v>0</v>
      </c>
      <c r="AE3473" s="21" t="n">
        <v>0</v>
      </c>
      <c r="AF3473" s="21" t="n">
        <v>0</v>
      </c>
      <c r="AG3473" s="21" t="n">
        <v>0</v>
      </c>
      <c r="AH3473" s="21" t="n">
        <v>0</v>
      </c>
      <c r="AI3473" s="21" t="n">
        <v>0</v>
      </c>
      <c r="AJ3473" s="21" t="n">
        <v>0</v>
      </c>
      <c r="AK3473" s="21" t="n">
        <v>0</v>
      </c>
      <c r="AL3473" s="21" t="n">
        <v>0</v>
      </c>
      <c r="AM3473" s="21" t="n">
        <v>0</v>
      </c>
      <c r="AN3473" s="21" t="n">
        <v>0</v>
      </c>
      <c r="AO3473" s="21" t="n">
        <v>0</v>
      </c>
      <c r="AP3473" s="21" t="n">
        <v>0</v>
      </c>
      <c r="AQ3473" s="21" t="n">
        <v>0</v>
      </c>
      <c r="AR3473" s="21" t="n">
        <v>0</v>
      </c>
      <c r="AS3473" s="21" t="n">
        <v>0</v>
      </c>
      <c r="AT3473" s="19" t="n"/>
    </row>
    <row r="3474">
      <c r="D3474" s="21" t="n">
        <v>0</v>
      </c>
      <c r="E3474" s="21" t="n">
        <v>0</v>
      </c>
      <c r="F3474" s="21" t="n">
        <v>0</v>
      </c>
      <c r="G3474" s="21" t="n">
        <v>0</v>
      </c>
      <c r="H3474" s="21" t="n">
        <v>0</v>
      </c>
      <c r="I3474" s="21" t="n">
        <v>0</v>
      </c>
      <c r="J3474" s="21" t="n">
        <v>0</v>
      </c>
      <c r="K3474" s="21" t="n">
        <v>0</v>
      </c>
      <c r="L3474" s="21" t="n">
        <v>0</v>
      </c>
      <c r="M3474" s="21" t="n">
        <v>0</v>
      </c>
      <c r="N3474" s="21" t="n">
        <v>0</v>
      </c>
      <c r="O3474" s="21" t="n">
        <v>0</v>
      </c>
      <c r="P3474" s="21" t="n">
        <v>0</v>
      </c>
      <c r="Q3474" s="21" t="n">
        <v>0</v>
      </c>
      <c r="R3474" s="21" t="n">
        <v>0</v>
      </c>
      <c r="S3474" s="21" t="n">
        <v>0</v>
      </c>
      <c r="T3474" s="21" t="n">
        <v>0</v>
      </c>
      <c r="U3474" s="21" t="n">
        <v>0</v>
      </c>
      <c r="V3474" s="21">
        <f>-$B$1811</f>
        <v/>
      </c>
      <c r="W3474" s="21">
        <f>-$B$1812</f>
        <v/>
      </c>
      <c r="X3474" s="21">
        <f>2*$B$1811+$D$3442</f>
        <v/>
      </c>
      <c r="Y3474" s="21">
        <f>0</f>
        <v/>
      </c>
      <c r="Z3474" s="21">
        <f>-$B$1811</f>
        <v/>
      </c>
      <c r="AA3474" s="21">
        <f>$B$1812</f>
        <v/>
      </c>
      <c r="AB3474" s="21" t="n">
        <v>0</v>
      </c>
      <c r="AC3474" s="21" t="n">
        <v>0</v>
      </c>
      <c r="AD3474" s="21" t="n">
        <v>0</v>
      </c>
      <c r="AE3474" s="21" t="n">
        <v>0</v>
      </c>
      <c r="AF3474" s="21" t="n">
        <v>0</v>
      </c>
      <c r="AG3474" s="21" t="n">
        <v>0</v>
      </c>
      <c r="AH3474" s="21" t="n">
        <v>0</v>
      </c>
      <c r="AI3474" s="21" t="n">
        <v>0</v>
      </c>
      <c r="AJ3474" s="21" t="n">
        <v>0</v>
      </c>
      <c r="AK3474" s="21" t="n">
        <v>0</v>
      </c>
      <c r="AL3474" s="21" t="n">
        <v>0</v>
      </c>
      <c r="AM3474" s="21" t="n">
        <v>0</v>
      </c>
      <c r="AN3474" s="21" t="n">
        <v>0</v>
      </c>
      <c r="AO3474" s="21" t="n">
        <v>0</v>
      </c>
      <c r="AP3474" s="21" t="n">
        <v>0</v>
      </c>
      <c r="AQ3474" s="21" t="n">
        <v>0</v>
      </c>
      <c r="AR3474" s="21" t="n">
        <v>0</v>
      </c>
      <c r="AS3474" s="21" t="n">
        <v>0</v>
      </c>
      <c r="AT3474" s="19" t="n"/>
    </row>
    <row r="3475">
      <c r="D3475" s="21" t="n">
        <v>0</v>
      </c>
      <c r="E3475" s="21" t="n">
        <v>0</v>
      </c>
      <c r="F3475" s="21" t="n">
        <v>0</v>
      </c>
      <c r="G3475" s="21" t="n">
        <v>0</v>
      </c>
      <c r="H3475" s="21" t="n">
        <v>0</v>
      </c>
      <c r="I3475" s="21" t="n">
        <v>0</v>
      </c>
      <c r="J3475" s="21" t="n">
        <v>0</v>
      </c>
      <c r="K3475" s="21" t="n">
        <v>0</v>
      </c>
      <c r="L3475" s="21" t="n">
        <v>0</v>
      </c>
      <c r="M3475" s="21" t="n">
        <v>0</v>
      </c>
      <c r="N3475" s="21" t="n">
        <v>0</v>
      </c>
      <c r="O3475" s="21" t="n">
        <v>0</v>
      </c>
      <c r="P3475" s="21" t="n">
        <v>0</v>
      </c>
      <c r="Q3475" s="21" t="n">
        <v>0</v>
      </c>
      <c r="R3475" s="21" t="n">
        <v>0</v>
      </c>
      <c r="S3475" s="21" t="n">
        <v>0</v>
      </c>
      <c r="T3475" s="21" t="n">
        <v>0</v>
      </c>
      <c r="U3475" s="21" t="n">
        <v>0</v>
      </c>
      <c r="V3475" s="21">
        <f>$B$1812</f>
        <v/>
      </c>
      <c r="W3475" s="21">
        <f>$B$1814</f>
        <v/>
      </c>
      <c r="X3475" s="21">
        <f>0</f>
        <v/>
      </c>
      <c r="Y3475" s="21">
        <f>2*$B$1813</f>
        <v/>
      </c>
      <c r="Z3475" s="21">
        <f>-$B$1812</f>
        <v/>
      </c>
      <c r="AA3475" s="21">
        <f>$B$1814</f>
        <v/>
      </c>
      <c r="AB3475" s="21" t="n">
        <v>0</v>
      </c>
      <c r="AC3475" s="21" t="n">
        <v>0</v>
      </c>
      <c r="AD3475" s="21" t="n">
        <v>0</v>
      </c>
      <c r="AE3475" s="21" t="n">
        <v>0</v>
      </c>
      <c r="AF3475" s="21" t="n">
        <v>0</v>
      </c>
      <c r="AG3475" s="21" t="n">
        <v>0</v>
      </c>
      <c r="AH3475" s="21" t="n">
        <v>0</v>
      </c>
      <c r="AI3475" s="21" t="n">
        <v>0</v>
      </c>
      <c r="AJ3475" s="21" t="n">
        <v>0</v>
      </c>
      <c r="AK3475" s="21" t="n">
        <v>0</v>
      </c>
      <c r="AL3475" s="21" t="n">
        <v>0</v>
      </c>
      <c r="AM3475" s="21" t="n">
        <v>0</v>
      </c>
      <c r="AN3475" s="21" t="n">
        <v>0</v>
      </c>
      <c r="AO3475" s="21" t="n">
        <v>0</v>
      </c>
      <c r="AP3475" s="21" t="n">
        <v>0</v>
      </c>
      <c r="AQ3475" s="21" t="n">
        <v>0</v>
      </c>
      <c r="AR3475" s="21" t="n">
        <v>0</v>
      </c>
      <c r="AS3475" s="21" t="n">
        <v>0</v>
      </c>
      <c r="AT3475" s="19" t="n"/>
    </row>
    <row r="3476">
      <c r="D3476" s="21" t="n">
        <v>0</v>
      </c>
      <c r="E3476" s="21" t="n">
        <v>0</v>
      </c>
      <c r="F3476" s="21" t="n">
        <v>0</v>
      </c>
      <c r="G3476" s="21" t="n">
        <v>0</v>
      </c>
      <c r="H3476" s="21" t="n">
        <v>0</v>
      </c>
      <c r="I3476" s="21" t="n">
        <v>0</v>
      </c>
      <c r="J3476" s="21" t="n">
        <v>0</v>
      </c>
      <c r="K3476" s="21" t="n">
        <v>0</v>
      </c>
      <c r="L3476" s="21" t="n">
        <v>0</v>
      </c>
      <c r="M3476" s="21" t="n">
        <v>0</v>
      </c>
      <c r="N3476" s="21" t="n">
        <v>0</v>
      </c>
      <c r="O3476" s="21" t="n">
        <v>0</v>
      </c>
      <c r="P3476" s="21" t="n">
        <v>0</v>
      </c>
      <c r="Q3476" s="21" t="n">
        <v>0</v>
      </c>
      <c r="R3476" s="21" t="n">
        <v>0</v>
      </c>
      <c r="S3476" s="21" t="n">
        <v>0</v>
      </c>
      <c r="T3476" s="21" t="n">
        <v>0</v>
      </c>
      <c r="U3476" s="21" t="n">
        <v>0</v>
      </c>
      <c r="V3476" s="21" t="n">
        <v>0</v>
      </c>
      <c r="W3476" s="21" t="n">
        <v>0</v>
      </c>
      <c r="X3476" s="21">
        <f>-$B$1811</f>
        <v/>
      </c>
      <c r="Y3476" s="21">
        <f>-$B$1812</f>
        <v/>
      </c>
      <c r="Z3476" s="21">
        <f>2*$B$1811+$D$3443</f>
        <v/>
      </c>
      <c r="AA3476" s="21">
        <f>0</f>
        <v/>
      </c>
      <c r="AB3476" s="21">
        <f>-$B$1811</f>
        <v/>
      </c>
      <c r="AC3476" s="21">
        <f>$B$1812</f>
        <v/>
      </c>
      <c r="AD3476" s="21" t="n">
        <v>0</v>
      </c>
      <c r="AE3476" s="21" t="n">
        <v>0</v>
      </c>
      <c r="AF3476" s="21" t="n">
        <v>0</v>
      </c>
      <c r="AG3476" s="21" t="n">
        <v>0</v>
      </c>
      <c r="AH3476" s="21" t="n">
        <v>0</v>
      </c>
      <c r="AI3476" s="21" t="n">
        <v>0</v>
      </c>
      <c r="AJ3476" s="21" t="n">
        <v>0</v>
      </c>
      <c r="AK3476" s="21" t="n">
        <v>0</v>
      </c>
      <c r="AL3476" s="21" t="n">
        <v>0</v>
      </c>
      <c r="AM3476" s="21" t="n">
        <v>0</v>
      </c>
      <c r="AN3476" s="21" t="n">
        <v>0</v>
      </c>
      <c r="AO3476" s="21" t="n">
        <v>0</v>
      </c>
      <c r="AP3476" s="21" t="n">
        <v>0</v>
      </c>
      <c r="AQ3476" s="21" t="n">
        <v>0</v>
      </c>
      <c r="AR3476" s="21" t="n">
        <v>0</v>
      </c>
      <c r="AS3476" s="21" t="n">
        <v>0</v>
      </c>
      <c r="AT3476" s="19" t="n"/>
    </row>
    <row r="3477">
      <c r="D3477" s="21" t="n">
        <v>0</v>
      </c>
      <c r="E3477" s="21" t="n">
        <v>0</v>
      </c>
      <c r="F3477" s="21" t="n">
        <v>0</v>
      </c>
      <c r="G3477" s="21" t="n">
        <v>0</v>
      </c>
      <c r="H3477" s="21" t="n">
        <v>0</v>
      </c>
      <c r="I3477" s="21" t="n">
        <v>0</v>
      </c>
      <c r="J3477" s="21" t="n">
        <v>0</v>
      </c>
      <c r="K3477" s="21" t="n">
        <v>0</v>
      </c>
      <c r="L3477" s="21" t="n">
        <v>0</v>
      </c>
      <c r="M3477" s="21" t="n">
        <v>0</v>
      </c>
      <c r="N3477" s="21" t="n">
        <v>0</v>
      </c>
      <c r="O3477" s="21" t="n">
        <v>0</v>
      </c>
      <c r="P3477" s="21" t="n">
        <v>0</v>
      </c>
      <c r="Q3477" s="21" t="n">
        <v>0</v>
      </c>
      <c r="R3477" s="21" t="n">
        <v>0</v>
      </c>
      <c r="S3477" s="21" t="n">
        <v>0</v>
      </c>
      <c r="T3477" s="21" t="n">
        <v>0</v>
      </c>
      <c r="U3477" s="21" t="n">
        <v>0</v>
      </c>
      <c r="V3477" s="21" t="n">
        <v>0</v>
      </c>
      <c r="W3477" s="21" t="n">
        <v>0</v>
      </c>
      <c r="X3477" s="21">
        <f>$B$1812</f>
        <v/>
      </c>
      <c r="Y3477" s="21">
        <f>$B$1814</f>
        <v/>
      </c>
      <c r="Z3477" s="21">
        <f>0</f>
        <v/>
      </c>
      <c r="AA3477" s="21">
        <f>2*$B$1813</f>
        <v/>
      </c>
      <c r="AB3477" s="21">
        <f>-$B$1812</f>
        <v/>
      </c>
      <c r="AC3477" s="21">
        <f>$B$1814</f>
        <v/>
      </c>
      <c r="AD3477" s="21" t="n">
        <v>0</v>
      </c>
      <c r="AE3477" s="21" t="n">
        <v>0</v>
      </c>
      <c r="AF3477" s="21" t="n">
        <v>0</v>
      </c>
      <c r="AG3477" s="21" t="n">
        <v>0</v>
      </c>
      <c r="AH3477" s="21" t="n">
        <v>0</v>
      </c>
      <c r="AI3477" s="21" t="n">
        <v>0</v>
      </c>
      <c r="AJ3477" s="21" t="n">
        <v>0</v>
      </c>
      <c r="AK3477" s="21" t="n">
        <v>0</v>
      </c>
      <c r="AL3477" s="21" t="n">
        <v>0</v>
      </c>
      <c r="AM3477" s="21" t="n">
        <v>0</v>
      </c>
      <c r="AN3477" s="21" t="n">
        <v>0</v>
      </c>
      <c r="AO3477" s="21" t="n">
        <v>0</v>
      </c>
      <c r="AP3477" s="21" t="n">
        <v>0</v>
      </c>
      <c r="AQ3477" s="21" t="n">
        <v>0</v>
      </c>
      <c r="AR3477" s="21" t="n">
        <v>0</v>
      </c>
      <c r="AS3477" s="21" t="n">
        <v>0</v>
      </c>
      <c r="AT3477" s="19" t="n"/>
    </row>
    <row r="3478">
      <c r="D3478" s="21" t="n">
        <v>0</v>
      </c>
      <c r="E3478" s="21" t="n">
        <v>0</v>
      </c>
      <c r="F3478" s="21" t="n">
        <v>0</v>
      </c>
      <c r="G3478" s="21" t="n">
        <v>0</v>
      </c>
      <c r="H3478" s="21" t="n">
        <v>0</v>
      </c>
      <c r="I3478" s="21" t="n">
        <v>0</v>
      </c>
      <c r="J3478" s="21" t="n">
        <v>0</v>
      </c>
      <c r="K3478" s="21" t="n">
        <v>0</v>
      </c>
      <c r="L3478" s="21" t="n">
        <v>0</v>
      </c>
      <c r="M3478" s="21" t="n">
        <v>0</v>
      </c>
      <c r="N3478" s="21" t="n">
        <v>0</v>
      </c>
      <c r="O3478" s="21" t="n">
        <v>0</v>
      </c>
      <c r="P3478" s="21" t="n">
        <v>0</v>
      </c>
      <c r="Q3478" s="21" t="n">
        <v>0</v>
      </c>
      <c r="R3478" s="21" t="n">
        <v>0</v>
      </c>
      <c r="S3478" s="21" t="n">
        <v>0</v>
      </c>
      <c r="T3478" s="21" t="n">
        <v>0</v>
      </c>
      <c r="U3478" s="21" t="n">
        <v>0</v>
      </c>
      <c r="V3478" s="21" t="n">
        <v>0</v>
      </c>
      <c r="W3478" s="21" t="n">
        <v>0</v>
      </c>
      <c r="X3478" s="21" t="n">
        <v>0</v>
      </c>
      <c r="Y3478" s="21" t="n">
        <v>0</v>
      </c>
      <c r="Z3478" s="21">
        <f>-$B$1811</f>
        <v/>
      </c>
      <c r="AA3478" s="21">
        <f>-$B$1812</f>
        <v/>
      </c>
      <c r="AB3478" s="21">
        <f>2*$B$1811+$D$3444</f>
        <v/>
      </c>
      <c r="AC3478" s="21">
        <f>0</f>
        <v/>
      </c>
      <c r="AD3478" s="21">
        <f>-$B$1811</f>
        <v/>
      </c>
      <c r="AE3478" s="21">
        <f>$B$1812</f>
        <v/>
      </c>
      <c r="AF3478" s="21" t="n">
        <v>0</v>
      </c>
      <c r="AG3478" s="21" t="n">
        <v>0</v>
      </c>
      <c r="AH3478" s="21" t="n">
        <v>0</v>
      </c>
      <c r="AI3478" s="21" t="n">
        <v>0</v>
      </c>
      <c r="AJ3478" s="21" t="n">
        <v>0</v>
      </c>
      <c r="AK3478" s="21" t="n">
        <v>0</v>
      </c>
      <c r="AL3478" s="21" t="n">
        <v>0</v>
      </c>
      <c r="AM3478" s="21" t="n">
        <v>0</v>
      </c>
      <c r="AN3478" s="21" t="n">
        <v>0</v>
      </c>
      <c r="AO3478" s="21" t="n">
        <v>0</v>
      </c>
      <c r="AP3478" s="21" t="n">
        <v>0</v>
      </c>
      <c r="AQ3478" s="21" t="n">
        <v>0</v>
      </c>
      <c r="AR3478" s="21" t="n">
        <v>0</v>
      </c>
      <c r="AS3478" s="21" t="n">
        <v>0</v>
      </c>
      <c r="AT3478" s="19" t="n"/>
    </row>
    <row r="3479">
      <c r="D3479" s="21" t="n">
        <v>0</v>
      </c>
      <c r="E3479" s="21" t="n">
        <v>0</v>
      </c>
      <c r="F3479" s="21" t="n">
        <v>0</v>
      </c>
      <c r="G3479" s="21" t="n">
        <v>0</v>
      </c>
      <c r="H3479" s="21" t="n">
        <v>0</v>
      </c>
      <c r="I3479" s="21" t="n">
        <v>0</v>
      </c>
      <c r="J3479" s="21" t="n">
        <v>0</v>
      </c>
      <c r="K3479" s="21" t="n">
        <v>0</v>
      </c>
      <c r="L3479" s="21" t="n">
        <v>0</v>
      </c>
      <c r="M3479" s="21" t="n">
        <v>0</v>
      </c>
      <c r="N3479" s="21" t="n">
        <v>0</v>
      </c>
      <c r="O3479" s="21" t="n">
        <v>0</v>
      </c>
      <c r="P3479" s="21" t="n">
        <v>0</v>
      </c>
      <c r="Q3479" s="21" t="n">
        <v>0</v>
      </c>
      <c r="R3479" s="21" t="n">
        <v>0</v>
      </c>
      <c r="S3479" s="21" t="n">
        <v>0</v>
      </c>
      <c r="T3479" s="21" t="n">
        <v>0</v>
      </c>
      <c r="U3479" s="21" t="n">
        <v>0</v>
      </c>
      <c r="V3479" s="21" t="n">
        <v>0</v>
      </c>
      <c r="W3479" s="21" t="n">
        <v>0</v>
      </c>
      <c r="X3479" s="21" t="n">
        <v>0</v>
      </c>
      <c r="Y3479" s="21" t="n">
        <v>0</v>
      </c>
      <c r="Z3479" s="21">
        <f>$B$1812</f>
        <v/>
      </c>
      <c r="AA3479" s="21">
        <f>$B$1814</f>
        <v/>
      </c>
      <c r="AB3479" s="21">
        <f>0</f>
        <v/>
      </c>
      <c r="AC3479" s="21">
        <f>2*$B$1813</f>
        <v/>
      </c>
      <c r="AD3479" s="21">
        <f>-$B$1812</f>
        <v/>
      </c>
      <c r="AE3479" s="21">
        <f>$B$1814</f>
        <v/>
      </c>
      <c r="AF3479" s="21" t="n">
        <v>0</v>
      </c>
      <c r="AG3479" s="21" t="n">
        <v>0</v>
      </c>
      <c r="AH3479" s="21" t="n">
        <v>0</v>
      </c>
      <c r="AI3479" s="21" t="n">
        <v>0</v>
      </c>
      <c r="AJ3479" s="21" t="n">
        <v>0</v>
      </c>
      <c r="AK3479" s="21" t="n">
        <v>0</v>
      </c>
      <c r="AL3479" s="21" t="n">
        <v>0</v>
      </c>
      <c r="AM3479" s="21" t="n">
        <v>0</v>
      </c>
      <c r="AN3479" s="21" t="n">
        <v>0</v>
      </c>
      <c r="AO3479" s="21" t="n">
        <v>0</v>
      </c>
      <c r="AP3479" s="21" t="n">
        <v>0</v>
      </c>
      <c r="AQ3479" s="21" t="n">
        <v>0</v>
      </c>
      <c r="AR3479" s="21" t="n">
        <v>0</v>
      </c>
      <c r="AS3479" s="21" t="n">
        <v>0</v>
      </c>
      <c r="AT3479" s="19" t="n"/>
    </row>
    <row r="3480">
      <c r="D3480" s="21" t="n">
        <v>0</v>
      </c>
      <c r="E3480" s="21" t="n">
        <v>0</v>
      </c>
      <c r="F3480" s="21" t="n">
        <v>0</v>
      </c>
      <c r="G3480" s="21" t="n">
        <v>0</v>
      </c>
      <c r="H3480" s="21" t="n">
        <v>0</v>
      </c>
      <c r="I3480" s="21" t="n">
        <v>0</v>
      </c>
      <c r="J3480" s="21" t="n">
        <v>0</v>
      </c>
      <c r="K3480" s="21" t="n">
        <v>0</v>
      </c>
      <c r="L3480" s="21" t="n">
        <v>0</v>
      </c>
      <c r="M3480" s="21" t="n">
        <v>0</v>
      </c>
      <c r="N3480" s="21" t="n">
        <v>0</v>
      </c>
      <c r="O3480" s="21" t="n">
        <v>0</v>
      </c>
      <c r="P3480" s="21" t="n">
        <v>0</v>
      </c>
      <c r="Q3480" s="21" t="n">
        <v>0</v>
      </c>
      <c r="R3480" s="21" t="n">
        <v>0</v>
      </c>
      <c r="S3480" s="21" t="n">
        <v>0</v>
      </c>
      <c r="T3480" s="21" t="n">
        <v>0</v>
      </c>
      <c r="U3480" s="21" t="n">
        <v>0</v>
      </c>
      <c r="V3480" s="21" t="n">
        <v>0</v>
      </c>
      <c r="W3480" s="21" t="n">
        <v>0</v>
      </c>
      <c r="X3480" s="21" t="n">
        <v>0</v>
      </c>
      <c r="Y3480" s="21" t="n">
        <v>0</v>
      </c>
      <c r="Z3480" s="21" t="n">
        <v>0</v>
      </c>
      <c r="AA3480" s="21" t="n">
        <v>0</v>
      </c>
      <c r="AB3480" s="21">
        <f>-$B$1811</f>
        <v/>
      </c>
      <c r="AC3480" s="21">
        <f>-$B$1812</f>
        <v/>
      </c>
      <c r="AD3480" s="21">
        <f>2*$B$1811+$D$3445</f>
        <v/>
      </c>
      <c r="AE3480" s="21">
        <f>0</f>
        <v/>
      </c>
      <c r="AF3480" s="21">
        <f>-$B$1811</f>
        <v/>
      </c>
      <c r="AG3480" s="21">
        <f>$B$1812</f>
        <v/>
      </c>
      <c r="AH3480" s="21" t="n">
        <v>0</v>
      </c>
      <c r="AI3480" s="21" t="n">
        <v>0</v>
      </c>
      <c r="AJ3480" s="21" t="n">
        <v>0</v>
      </c>
      <c r="AK3480" s="21" t="n">
        <v>0</v>
      </c>
      <c r="AL3480" s="21" t="n">
        <v>0</v>
      </c>
      <c r="AM3480" s="21" t="n">
        <v>0</v>
      </c>
      <c r="AN3480" s="21" t="n">
        <v>0</v>
      </c>
      <c r="AO3480" s="21" t="n">
        <v>0</v>
      </c>
      <c r="AP3480" s="21" t="n">
        <v>0</v>
      </c>
      <c r="AQ3480" s="21" t="n">
        <v>0</v>
      </c>
      <c r="AR3480" s="21" t="n">
        <v>0</v>
      </c>
      <c r="AS3480" s="21" t="n">
        <v>0</v>
      </c>
      <c r="AT3480" s="19" t="n"/>
    </row>
    <row r="3481">
      <c r="D3481" s="21" t="n">
        <v>0</v>
      </c>
      <c r="E3481" s="21" t="n">
        <v>0</v>
      </c>
      <c r="F3481" s="21" t="n">
        <v>0</v>
      </c>
      <c r="G3481" s="21" t="n">
        <v>0</v>
      </c>
      <c r="H3481" s="21" t="n">
        <v>0</v>
      </c>
      <c r="I3481" s="21" t="n">
        <v>0</v>
      </c>
      <c r="J3481" s="21" t="n">
        <v>0</v>
      </c>
      <c r="K3481" s="21" t="n">
        <v>0</v>
      </c>
      <c r="L3481" s="21" t="n">
        <v>0</v>
      </c>
      <c r="M3481" s="21" t="n">
        <v>0</v>
      </c>
      <c r="N3481" s="21" t="n">
        <v>0</v>
      </c>
      <c r="O3481" s="21" t="n">
        <v>0</v>
      </c>
      <c r="P3481" s="21" t="n">
        <v>0</v>
      </c>
      <c r="Q3481" s="21" t="n">
        <v>0</v>
      </c>
      <c r="R3481" s="21" t="n">
        <v>0</v>
      </c>
      <c r="S3481" s="21" t="n">
        <v>0</v>
      </c>
      <c r="T3481" s="21" t="n">
        <v>0</v>
      </c>
      <c r="U3481" s="21" t="n">
        <v>0</v>
      </c>
      <c r="V3481" s="21" t="n">
        <v>0</v>
      </c>
      <c r="W3481" s="21" t="n">
        <v>0</v>
      </c>
      <c r="X3481" s="21" t="n">
        <v>0</v>
      </c>
      <c r="Y3481" s="21" t="n">
        <v>0</v>
      </c>
      <c r="Z3481" s="21" t="n">
        <v>0</v>
      </c>
      <c r="AA3481" s="21" t="n">
        <v>0</v>
      </c>
      <c r="AB3481" s="21">
        <f>$B$1812</f>
        <v/>
      </c>
      <c r="AC3481" s="21">
        <f>$B$1814</f>
        <v/>
      </c>
      <c r="AD3481" s="21">
        <f>0</f>
        <v/>
      </c>
      <c r="AE3481" s="21">
        <f>2*$B$1813</f>
        <v/>
      </c>
      <c r="AF3481" s="21">
        <f>-$B$1812</f>
        <v/>
      </c>
      <c r="AG3481" s="21">
        <f>$B$1814</f>
        <v/>
      </c>
      <c r="AH3481" s="21" t="n">
        <v>0</v>
      </c>
      <c r="AI3481" s="21" t="n">
        <v>0</v>
      </c>
      <c r="AJ3481" s="21" t="n">
        <v>0</v>
      </c>
      <c r="AK3481" s="21" t="n">
        <v>0</v>
      </c>
      <c r="AL3481" s="21" t="n">
        <v>0</v>
      </c>
      <c r="AM3481" s="21" t="n">
        <v>0</v>
      </c>
      <c r="AN3481" s="21" t="n">
        <v>0</v>
      </c>
      <c r="AO3481" s="21" t="n">
        <v>0</v>
      </c>
      <c r="AP3481" s="21" t="n">
        <v>0</v>
      </c>
      <c r="AQ3481" s="21" t="n">
        <v>0</v>
      </c>
      <c r="AR3481" s="21" t="n">
        <v>0</v>
      </c>
      <c r="AS3481" s="21" t="n">
        <v>0</v>
      </c>
      <c r="AT3481" s="19" t="n"/>
    </row>
    <row r="3482">
      <c r="D3482" s="21" t="n">
        <v>0</v>
      </c>
      <c r="E3482" s="21" t="n">
        <v>0</v>
      </c>
      <c r="F3482" s="21" t="n">
        <v>0</v>
      </c>
      <c r="G3482" s="21" t="n">
        <v>0</v>
      </c>
      <c r="H3482" s="21" t="n">
        <v>0</v>
      </c>
      <c r="I3482" s="21" t="n">
        <v>0</v>
      </c>
      <c r="J3482" s="21" t="n">
        <v>0</v>
      </c>
      <c r="K3482" s="21" t="n">
        <v>0</v>
      </c>
      <c r="L3482" s="21" t="n">
        <v>0</v>
      </c>
      <c r="M3482" s="21" t="n">
        <v>0</v>
      </c>
      <c r="N3482" s="21" t="n">
        <v>0</v>
      </c>
      <c r="O3482" s="21" t="n">
        <v>0</v>
      </c>
      <c r="P3482" s="21" t="n">
        <v>0</v>
      </c>
      <c r="Q3482" s="21" t="n">
        <v>0</v>
      </c>
      <c r="R3482" s="21" t="n">
        <v>0</v>
      </c>
      <c r="S3482" s="21" t="n">
        <v>0</v>
      </c>
      <c r="T3482" s="21" t="n">
        <v>0</v>
      </c>
      <c r="U3482" s="21" t="n">
        <v>0</v>
      </c>
      <c r="V3482" s="21" t="n">
        <v>0</v>
      </c>
      <c r="W3482" s="21" t="n">
        <v>0</v>
      </c>
      <c r="X3482" s="21" t="n">
        <v>0</v>
      </c>
      <c r="Y3482" s="21" t="n">
        <v>0</v>
      </c>
      <c r="Z3482" s="21" t="n">
        <v>0</v>
      </c>
      <c r="AA3482" s="21" t="n">
        <v>0</v>
      </c>
      <c r="AB3482" s="21" t="n">
        <v>0</v>
      </c>
      <c r="AC3482" s="21" t="n">
        <v>0</v>
      </c>
      <c r="AD3482" s="21">
        <f>-$B$1811</f>
        <v/>
      </c>
      <c r="AE3482" s="21">
        <f>-$B$1812</f>
        <v/>
      </c>
      <c r="AF3482" s="21">
        <f>2*$B$1811+$D$3446</f>
        <v/>
      </c>
      <c r="AG3482" s="21">
        <f>0</f>
        <v/>
      </c>
      <c r="AH3482" s="21">
        <f>-$B$1811</f>
        <v/>
      </c>
      <c r="AI3482" s="21">
        <f>$B$1812</f>
        <v/>
      </c>
      <c r="AJ3482" s="21" t="n">
        <v>0</v>
      </c>
      <c r="AK3482" s="21" t="n">
        <v>0</v>
      </c>
      <c r="AL3482" s="21" t="n">
        <v>0</v>
      </c>
      <c r="AM3482" s="21" t="n">
        <v>0</v>
      </c>
      <c r="AN3482" s="21" t="n">
        <v>0</v>
      </c>
      <c r="AO3482" s="21" t="n">
        <v>0</v>
      </c>
      <c r="AP3482" s="21" t="n">
        <v>0</v>
      </c>
      <c r="AQ3482" s="21" t="n">
        <v>0</v>
      </c>
      <c r="AR3482" s="21" t="n">
        <v>0</v>
      </c>
      <c r="AS3482" s="21" t="n">
        <v>0</v>
      </c>
      <c r="AT3482" s="19" t="n"/>
    </row>
    <row r="3483">
      <c r="D3483" s="21" t="n">
        <v>0</v>
      </c>
      <c r="E3483" s="21" t="n">
        <v>0</v>
      </c>
      <c r="F3483" s="21" t="n">
        <v>0</v>
      </c>
      <c r="G3483" s="21" t="n">
        <v>0</v>
      </c>
      <c r="H3483" s="21" t="n">
        <v>0</v>
      </c>
      <c r="I3483" s="21" t="n">
        <v>0</v>
      </c>
      <c r="J3483" s="21" t="n">
        <v>0</v>
      </c>
      <c r="K3483" s="21" t="n">
        <v>0</v>
      </c>
      <c r="L3483" s="21" t="n">
        <v>0</v>
      </c>
      <c r="M3483" s="21" t="n">
        <v>0</v>
      </c>
      <c r="N3483" s="21" t="n">
        <v>0</v>
      </c>
      <c r="O3483" s="21" t="n">
        <v>0</v>
      </c>
      <c r="P3483" s="21" t="n">
        <v>0</v>
      </c>
      <c r="Q3483" s="21" t="n">
        <v>0</v>
      </c>
      <c r="R3483" s="21" t="n">
        <v>0</v>
      </c>
      <c r="S3483" s="21" t="n">
        <v>0</v>
      </c>
      <c r="T3483" s="21" t="n">
        <v>0</v>
      </c>
      <c r="U3483" s="21" t="n">
        <v>0</v>
      </c>
      <c r="V3483" s="21" t="n">
        <v>0</v>
      </c>
      <c r="W3483" s="21" t="n">
        <v>0</v>
      </c>
      <c r="X3483" s="21" t="n">
        <v>0</v>
      </c>
      <c r="Y3483" s="21" t="n">
        <v>0</v>
      </c>
      <c r="Z3483" s="21" t="n">
        <v>0</v>
      </c>
      <c r="AA3483" s="21" t="n">
        <v>0</v>
      </c>
      <c r="AB3483" s="21" t="n">
        <v>0</v>
      </c>
      <c r="AC3483" s="21" t="n">
        <v>0</v>
      </c>
      <c r="AD3483" s="21">
        <f>$B$1812</f>
        <v/>
      </c>
      <c r="AE3483" s="21">
        <f>$B$1814</f>
        <v/>
      </c>
      <c r="AF3483" s="21">
        <f>0</f>
        <v/>
      </c>
      <c r="AG3483" s="21">
        <f>2*$B$1813</f>
        <v/>
      </c>
      <c r="AH3483" s="21">
        <f>-$B$1812</f>
        <v/>
      </c>
      <c r="AI3483" s="21">
        <f>$B$1814</f>
        <v/>
      </c>
      <c r="AJ3483" s="21" t="n">
        <v>0</v>
      </c>
      <c r="AK3483" s="21" t="n">
        <v>0</v>
      </c>
      <c r="AL3483" s="21" t="n">
        <v>0</v>
      </c>
      <c r="AM3483" s="21" t="n">
        <v>0</v>
      </c>
      <c r="AN3483" s="21" t="n">
        <v>0</v>
      </c>
      <c r="AO3483" s="21" t="n">
        <v>0</v>
      </c>
      <c r="AP3483" s="21" t="n">
        <v>0</v>
      </c>
      <c r="AQ3483" s="21" t="n">
        <v>0</v>
      </c>
      <c r="AR3483" s="21" t="n">
        <v>0</v>
      </c>
      <c r="AS3483" s="21" t="n">
        <v>0</v>
      </c>
      <c r="AT3483" s="19" t="n"/>
    </row>
    <row r="3484">
      <c r="D3484" s="21" t="n">
        <v>0</v>
      </c>
      <c r="E3484" s="21" t="n">
        <v>0</v>
      </c>
      <c r="F3484" s="21" t="n">
        <v>0</v>
      </c>
      <c r="G3484" s="21" t="n">
        <v>0</v>
      </c>
      <c r="H3484" s="21" t="n">
        <v>0</v>
      </c>
      <c r="I3484" s="21" t="n">
        <v>0</v>
      </c>
      <c r="J3484" s="21" t="n">
        <v>0</v>
      </c>
      <c r="K3484" s="21" t="n">
        <v>0</v>
      </c>
      <c r="L3484" s="21" t="n">
        <v>0</v>
      </c>
      <c r="M3484" s="21" t="n">
        <v>0</v>
      </c>
      <c r="N3484" s="21" t="n">
        <v>0</v>
      </c>
      <c r="O3484" s="21" t="n">
        <v>0</v>
      </c>
      <c r="P3484" s="21" t="n">
        <v>0</v>
      </c>
      <c r="Q3484" s="21" t="n">
        <v>0</v>
      </c>
      <c r="R3484" s="21" t="n">
        <v>0</v>
      </c>
      <c r="S3484" s="21" t="n">
        <v>0</v>
      </c>
      <c r="T3484" s="21" t="n">
        <v>0</v>
      </c>
      <c r="U3484" s="21" t="n">
        <v>0</v>
      </c>
      <c r="V3484" s="21" t="n">
        <v>0</v>
      </c>
      <c r="W3484" s="21" t="n">
        <v>0</v>
      </c>
      <c r="X3484" s="21" t="n">
        <v>0</v>
      </c>
      <c r="Y3484" s="21" t="n">
        <v>0</v>
      </c>
      <c r="Z3484" s="21" t="n">
        <v>0</v>
      </c>
      <c r="AA3484" s="21" t="n">
        <v>0</v>
      </c>
      <c r="AB3484" s="21" t="n">
        <v>0</v>
      </c>
      <c r="AC3484" s="21" t="n">
        <v>0</v>
      </c>
      <c r="AD3484" s="21" t="n">
        <v>0</v>
      </c>
      <c r="AE3484" s="21" t="n">
        <v>0</v>
      </c>
      <c r="AF3484" s="21">
        <f>-$B$1811</f>
        <v/>
      </c>
      <c r="AG3484" s="21">
        <f>-$B$1812</f>
        <v/>
      </c>
      <c r="AH3484" s="21">
        <f>2*$B$1811+$D$3447</f>
        <v/>
      </c>
      <c r="AI3484" s="21">
        <f>0</f>
        <v/>
      </c>
      <c r="AJ3484" s="21">
        <f>-$B$1811</f>
        <v/>
      </c>
      <c r="AK3484" s="21">
        <f>$B$1812</f>
        <v/>
      </c>
      <c r="AL3484" s="21" t="n">
        <v>0</v>
      </c>
      <c r="AM3484" s="21" t="n">
        <v>0</v>
      </c>
      <c r="AN3484" s="21" t="n">
        <v>0</v>
      </c>
      <c r="AO3484" s="21" t="n">
        <v>0</v>
      </c>
      <c r="AP3484" s="21" t="n">
        <v>0</v>
      </c>
      <c r="AQ3484" s="21" t="n">
        <v>0</v>
      </c>
      <c r="AR3484" s="21" t="n">
        <v>0</v>
      </c>
      <c r="AS3484" s="21" t="n">
        <v>0</v>
      </c>
      <c r="AT3484" s="19" t="n"/>
    </row>
    <row r="3485">
      <c r="D3485" s="21" t="n">
        <v>0</v>
      </c>
      <c r="E3485" s="21" t="n">
        <v>0</v>
      </c>
      <c r="F3485" s="21" t="n">
        <v>0</v>
      </c>
      <c r="G3485" s="21" t="n">
        <v>0</v>
      </c>
      <c r="H3485" s="21" t="n">
        <v>0</v>
      </c>
      <c r="I3485" s="21" t="n">
        <v>0</v>
      </c>
      <c r="J3485" s="21" t="n">
        <v>0</v>
      </c>
      <c r="K3485" s="21" t="n">
        <v>0</v>
      </c>
      <c r="L3485" s="21" t="n">
        <v>0</v>
      </c>
      <c r="M3485" s="21" t="n">
        <v>0</v>
      </c>
      <c r="N3485" s="21" t="n">
        <v>0</v>
      </c>
      <c r="O3485" s="21" t="n">
        <v>0</v>
      </c>
      <c r="P3485" s="21" t="n">
        <v>0</v>
      </c>
      <c r="Q3485" s="21" t="n">
        <v>0</v>
      </c>
      <c r="R3485" s="21" t="n">
        <v>0</v>
      </c>
      <c r="S3485" s="21" t="n">
        <v>0</v>
      </c>
      <c r="T3485" s="21" t="n">
        <v>0</v>
      </c>
      <c r="U3485" s="21" t="n">
        <v>0</v>
      </c>
      <c r="V3485" s="21" t="n">
        <v>0</v>
      </c>
      <c r="W3485" s="21" t="n">
        <v>0</v>
      </c>
      <c r="X3485" s="21" t="n">
        <v>0</v>
      </c>
      <c r="Y3485" s="21" t="n">
        <v>0</v>
      </c>
      <c r="Z3485" s="21" t="n">
        <v>0</v>
      </c>
      <c r="AA3485" s="21" t="n">
        <v>0</v>
      </c>
      <c r="AB3485" s="21" t="n">
        <v>0</v>
      </c>
      <c r="AC3485" s="21" t="n">
        <v>0</v>
      </c>
      <c r="AD3485" s="21" t="n">
        <v>0</v>
      </c>
      <c r="AE3485" s="21" t="n">
        <v>0</v>
      </c>
      <c r="AF3485" s="21">
        <f>$B$1812</f>
        <v/>
      </c>
      <c r="AG3485" s="21">
        <f>$B$1814</f>
        <v/>
      </c>
      <c r="AH3485" s="21">
        <f>0</f>
        <v/>
      </c>
      <c r="AI3485" s="21">
        <f>2*$B$1813</f>
        <v/>
      </c>
      <c r="AJ3485" s="21">
        <f>-$B$1812</f>
        <v/>
      </c>
      <c r="AK3485" s="21">
        <f>$B$1814</f>
        <v/>
      </c>
      <c r="AL3485" s="21" t="n">
        <v>0</v>
      </c>
      <c r="AM3485" s="21" t="n">
        <v>0</v>
      </c>
      <c r="AN3485" s="21" t="n">
        <v>0</v>
      </c>
      <c r="AO3485" s="21" t="n">
        <v>0</v>
      </c>
      <c r="AP3485" s="21" t="n">
        <v>0</v>
      </c>
      <c r="AQ3485" s="21" t="n">
        <v>0</v>
      </c>
      <c r="AR3485" s="21" t="n">
        <v>0</v>
      </c>
      <c r="AS3485" s="21" t="n">
        <v>0</v>
      </c>
      <c r="AT3485" s="19" t="n"/>
    </row>
    <row r="3486">
      <c r="D3486" s="21" t="n">
        <v>0</v>
      </c>
      <c r="E3486" s="21" t="n">
        <v>0</v>
      </c>
      <c r="F3486" s="21" t="n">
        <v>0</v>
      </c>
      <c r="G3486" s="21" t="n">
        <v>0</v>
      </c>
      <c r="H3486" s="21" t="n">
        <v>0</v>
      </c>
      <c r="I3486" s="21" t="n">
        <v>0</v>
      </c>
      <c r="J3486" s="21" t="n">
        <v>0</v>
      </c>
      <c r="K3486" s="21" t="n">
        <v>0</v>
      </c>
      <c r="L3486" s="21" t="n">
        <v>0</v>
      </c>
      <c r="M3486" s="21" t="n">
        <v>0</v>
      </c>
      <c r="N3486" s="21" t="n">
        <v>0</v>
      </c>
      <c r="O3486" s="21" t="n">
        <v>0</v>
      </c>
      <c r="P3486" s="21" t="n">
        <v>0</v>
      </c>
      <c r="Q3486" s="21" t="n">
        <v>0</v>
      </c>
      <c r="R3486" s="21" t="n">
        <v>0</v>
      </c>
      <c r="S3486" s="21" t="n">
        <v>0</v>
      </c>
      <c r="T3486" s="21" t="n">
        <v>0</v>
      </c>
      <c r="U3486" s="21" t="n">
        <v>0</v>
      </c>
      <c r="V3486" s="21" t="n">
        <v>0</v>
      </c>
      <c r="W3486" s="21" t="n">
        <v>0</v>
      </c>
      <c r="X3486" s="21" t="n">
        <v>0</v>
      </c>
      <c r="Y3486" s="21" t="n">
        <v>0</v>
      </c>
      <c r="Z3486" s="21" t="n">
        <v>0</v>
      </c>
      <c r="AA3486" s="21" t="n">
        <v>0</v>
      </c>
      <c r="AB3486" s="21" t="n">
        <v>0</v>
      </c>
      <c r="AC3486" s="21" t="n">
        <v>0</v>
      </c>
      <c r="AD3486" s="21" t="n">
        <v>0</v>
      </c>
      <c r="AE3486" s="21" t="n">
        <v>0</v>
      </c>
      <c r="AF3486" s="21" t="n">
        <v>0</v>
      </c>
      <c r="AG3486" s="21" t="n">
        <v>0</v>
      </c>
      <c r="AH3486" s="21">
        <f>-$B$1811</f>
        <v/>
      </c>
      <c r="AI3486" s="21">
        <f>-$B$1812</f>
        <v/>
      </c>
      <c r="AJ3486" s="21">
        <f>2*$B$1811+$D$3448</f>
        <v/>
      </c>
      <c r="AK3486" s="21">
        <f>0</f>
        <v/>
      </c>
      <c r="AL3486" s="21">
        <f>-$B$1811</f>
        <v/>
      </c>
      <c r="AM3486" s="21">
        <f>$B$1812</f>
        <v/>
      </c>
      <c r="AN3486" s="21" t="n">
        <v>0</v>
      </c>
      <c r="AO3486" s="21" t="n">
        <v>0</v>
      </c>
      <c r="AP3486" s="21" t="n">
        <v>0</v>
      </c>
      <c r="AQ3486" s="21" t="n">
        <v>0</v>
      </c>
      <c r="AR3486" s="21" t="n">
        <v>0</v>
      </c>
      <c r="AS3486" s="21" t="n">
        <v>0</v>
      </c>
      <c r="AT3486" s="19" t="n"/>
    </row>
    <row r="3487">
      <c r="D3487" s="21" t="n">
        <v>0</v>
      </c>
      <c r="E3487" s="21" t="n">
        <v>0</v>
      </c>
      <c r="F3487" s="21" t="n">
        <v>0</v>
      </c>
      <c r="G3487" s="21" t="n">
        <v>0</v>
      </c>
      <c r="H3487" s="21" t="n">
        <v>0</v>
      </c>
      <c r="I3487" s="21" t="n">
        <v>0</v>
      </c>
      <c r="J3487" s="21" t="n">
        <v>0</v>
      </c>
      <c r="K3487" s="21" t="n">
        <v>0</v>
      </c>
      <c r="L3487" s="21" t="n">
        <v>0</v>
      </c>
      <c r="M3487" s="21" t="n">
        <v>0</v>
      </c>
      <c r="N3487" s="21" t="n">
        <v>0</v>
      </c>
      <c r="O3487" s="21" t="n">
        <v>0</v>
      </c>
      <c r="P3487" s="21" t="n">
        <v>0</v>
      </c>
      <c r="Q3487" s="21" t="n">
        <v>0</v>
      </c>
      <c r="R3487" s="21" t="n">
        <v>0</v>
      </c>
      <c r="S3487" s="21" t="n">
        <v>0</v>
      </c>
      <c r="T3487" s="21" t="n">
        <v>0</v>
      </c>
      <c r="U3487" s="21" t="n">
        <v>0</v>
      </c>
      <c r="V3487" s="21" t="n">
        <v>0</v>
      </c>
      <c r="W3487" s="21" t="n">
        <v>0</v>
      </c>
      <c r="X3487" s="21" t="n">
        <v>0</v>
      </c>
      <c r="Y3487" s="21" t="n">
        <v>0</v>
      </c>
      <c r="Z3487" s="21" t="n">
        <v>0</v>
      </c>
      <c r="AA3487" s="21" t="n">
        <v>0</v>
      </c>
      <c r="AB3487" s="21" t="n">
        <v>0</v>
      </c>
      <c r="AC3487" s="21" t="n">
        <v>0</v>
      </c>
      <c r="AD3487" s="21" t="n">
        <v>0</v>
      </c>
      <c r="AE3487" s="21" t="n">
        <v>0</v>
      </c>
      <c r="AF3487" s="21" t="n">
        <v>0</v>
      </c>
      <c r="AG3487" s="21" t="n">
        <v>0</v>
      </c>
      <c r="AH3487" s="21">
        <f>$B$1812</f>
        <v/>
      </c>
      <c r="AI3487" s="21">
        <f>$B$1814</f>
        <v/>
      </c>
      <c r="AJ3487" s="21">
        <f>0</f>
        <v/>
      </c>
      <c r="AK3487" s="21">
        <f>2*$B$1813</f>
        <v/>
      </c>
      <c r="AL3487" s="21">
        <f>-$B$1812</f>
        <v/>
      </c>
      <c r="AM3487" s="21">
        <f>$B$1814</f>
        <v/>
      </c>
      <c r="AN3487" s="21" t="n">
        <v>0</v>
      </c>
      <c r="AO3487" s="21" t="n">
        <v>0</v>
      </c>
      <c r="AP3487" s="21" t="n">
        <v>0</v>
      </c>
      <c r="AQ3487" s="21" t="n">
        <v>0</v>
      </c>
      <c r="AR3487" s="21" t="n">
        <v>0</v>
      </c>
      <c r="AS3487" s="21" t="n">
        <v>0</v>
      </c>
      <c r="AT3487" s="19" t="n"/>
    </row>
    <row r="3488">
      <c r="D3488" s="21" t="n">
        <v>0</v>
      </c>
      <c r="E3488" s="21" t="n">
        <v>0</v>
      </c>
      <c r="F3488" s="21" t="n">
        <v>0</v>
      </c>
      <c r="G3488" s="21" t="n">
        <v>0</v>
      </c>
      <c r="H3488" s="21" t="n">
        <v>0</v>
      </c>
      <c r="I3488" s="21" t="n">
        <v>0</v>
      </c>
      <c r="J3488" s="21" t="n">
        <v>0</v>
      </c>
      <c r="K3488" s="21" t="n">
        <v>0</v>
      </c>
      <c r="L3488" s="21" t="n">
        <v>0</v>
      </c>
      <c r="M3488" s="21" t="n">
        <v>0</v>
      </c>
      <c r="N3488" s="21" t="n">
        <v>0</v>
      </c>
      <c r="O3488" s="21" t="n">
        <v>0</v>
      </c>
      <c r="P3488" s="21" t="n">
        <v>0</v>
      </c>
      <c r="Q3488" s="21" t="n">
        <v>0</v>
      </c>
      <c r="R3488" s="21" t="n">
        <v>0</v>
      </c>
      <c r="S3488" s="21" t="n">
        <v>0</v>
      </c>
      <c r="T3488" s="21" t="n">
        <v>0</v>
      </c>
      <c r="U3488" s="21" t="n">
        <v>0</v>
      </c>
      <c r="V3488" s="21" t="n">
        <v>0</v>
      </c>
      <c r="W3488" s="21" t="n">
        <v>0</v>
      </c>
      <c r="X3488" s="21" t="n">
        <v>0</v>
      </c>
      <c r="Y3488" s="21" t="n">
        <v>0</v>
      </c>
      <c r="Z3488" s="21" t="n">
        <v>0</v>
      </c>
      <c r="AA3488" s="21" t="n">
        <v>0</v>
      </c>
      <c r="AB3488" s="21" t="n">
        <v>0</v>
      </c>
      <c r="AC3488" s="21" t="n">
        <v>0</v>
      </c>
      <c r="AD3488" s="21" t="n">
        <v>0</v>
      </c>
      <c r="AE3488" s="21" t="n">
        <v>0</v>
      </c>
      <c r="AF3488" s="21" t="n">
        <v>0</v>
      </c>
      <c r="AG3488" s="21" t="n">
        <v>0</v>
      </c>
      <c r="AH3488" s="21" t="n">
        <v>0</v>
      </c>
      <c r="AI3488" s="21" t="n">
        <v>0</v>
      </c>
      <c r="AJ3488" s="21">
        <f>-$B$1811</f>
        <v/>
      </c>
      <c r="AK3488" s="21">
        <f>-$B$1812</f>
        <v/>
      </c>
      <c r="AL3488" s="21">
        <f>2*$B$1811+$D$3449</f>
        <v/>
      </c>
      <c r="AM3488" s="21">
        <f>0</f>
        <v/>
      </c>
      <c r="AN3488" s="21">
        <f>-$B$1811</f>
        <v/>
      </c>
      <c r="AO3488" s="21">
        <f>$B$1812</f>
        <v/>
      </c>
      <c r="AP3488" s="21" t="n">
        <v>0</v>
      </c>
      <c r="AQ3488" s="21" t="n">
        <v>0</v>
      </c>
      <c r="AR3488" s="21" t="n">
        <v>0</v>
      </c>
      <c r="AS3488" s="21" t="n">
        <v>0</v>
      </c>
      <c r="AT3488" s="19" t="n"/>
    </row>
    <row r="3489">
      <c r="D3489" s="21" t="n">
        <v>0</v>
      </c>
      <c r="E3489" s="21" t="n">
        <v>0</v>
      </c>
      <c r="F3489" s="21" t="n">
        <v>0</v>
      </c>
      <c r="G3489" s="21" t="n">
        <v>0</v>
      </c>
      <c r="H3489" s="21" t="n">
        <v>0</v>
      </c>
      <c r="I3489" s="21" t="n">
        <v>0</v>
      </c>
      <c r="J3489" s="21" t="n">
        <v>0</v>
      </c>
      <c r="K3489" s="21" t="n">
        <v>0</v>
      </c>
      <c r="L3489" s="21" t="n">
        <v>0</v>
      </c>
      <c r="M3489" s="21" t="n">
        <v>0</v>
      </c>
      <c r="N3489" s="21" t="n">
        <v>0</v>
      </c>
      <c r="O3489" s="21" t="n">
        <v>0</v>
      </c>
      <c r="P3489" s="21" t="n">
        <v>0</v>
      </c>
      <c r="Q3489" s="21" t="n">
        <v>0</v>
      </c>
      <c r="R3489" s="21" t="n">
        <v>0</v>
      </c>
      <c r="S3489" s="21" t="n">
        <v>0</v>
      </c>
      <c r="T3489" s="21" t="n">
        <v>0</v>
      </c>
      <c r="U3489" s="21" t="n">
        <v>0</v>
      </c>
      <c r="V3489" s="21" t="n">
        <v>0</v>
      </c>
      <c r="W3489" s="21" t="n">
        <v>0</v>
      </c>
      <c r="X3489" s="21" t="n">
        <v>0</v>
      </c>
      <c r="Y3489" s="21" t="n">
        <v>0</v>
      </c>
      <c r="Z3489" s="21" t="n">
        <v>0</v>
      </c>
      <c r="AA3489" s="21" t="n">
        <v>0</v>
      </c>
      <c r="AB3489" s="21" t="n">
        <v>0</v>
      </c>
      <c r="AC3489" s="21" t="n">
        <v>0</v>
      </c>
      <c r="AD3489" s="21" t="n">
        <v>0</v>
      </c>
      <c r="AE3489" s="21" t="n">
        <v>0</v>
      </c>
      <c r="AF3489" s="21" t="n">
        <v>0</v>
      </c>
      <c r="AG3489" s="21" t="n">
        <v>0</v>
      </c>
      <c r="AH3489" s="21" t="n">
        <v>0</v>
      </c>
      <c r="AI3489" s="21" t="n">
        <v>0</v>
      </c>
      <c r="AJ3489" s="21">
        <f>$B$1812</f>
        <v/>
      </c>
      <c r="AK3489" s="21">
        <f>$B$1814</f>
        <v/>
      </c>
      <c r="AL3489" s="21">
        <f>0</f>
        <v/>
      </c>
      <c r="AM3489" s="21">
        <f>2*$B$1813</f>
        <v/>
      </c>
      <c r="AN3489" s="21">
        <f>-$B$1812</f>
        <v/>
      </c>
      <c r="AO3489" s="21">
        <f>$B$1814</f>
        <v/>
      </c>
      <c r="AP3489" s="21" t="n">
        <v>0</v>
      </c>
      <c r="AQ3489" s="21" t="n">
        <v>0</v>
      </c>
      <c r="AR3489" s="21" t="n">
        <v>0</v>
      </c>
      <c r="AS3489" s="21" t="n">
        <v>0</v>
      </c>
      <c r="AT3489" s="19" t="n"/>
    </row>
    <row r="3490">
      <c r="D3490" s="21" t="n">
        <v>0</v>
      </c>
      <c r="E3490" s="21" t="n">
        <v>0</v>
      </c>
      <c r="F3490" s="21" t="n">
        <v>0</v>
      </c>
      <c r="G3490" s="21" t="n">
        <v>0</v>
      </c>
      <c r="H3490" s="21" t="n">
        <v>0</v>
      </c>
      <c r="I3490" s="21" t="n">
        <v>0</v>
      </c>
      <c r="J3490" s="21" t="n">
        <v>0</v>
      </c>
      <c r="K3490" s="21" t="n">
        <v>0</v>
      </c>
      <c r="L3490" s="21" t="n">
        <v>0</v>
      </c>
      <c r="M3490" s="21" t="n">
        <v>0</v>
      </c>
      <c r="N3490" s="21" t="n">
        <v>0</v>
      </c>
      <c r="O3490" s="21" t="n">
        <v>0</v>
      </c>
      <c r="P3490" s="21" t="n">
        <v>0</v>
      </c>
      <c r="Q3490" s="21" t="n">
        <v>0</v>
      </c>
      <c r="R3490" s="21" t="n">
        <v>0</v>
      </c>
      <c r="S3490" s="21" t="n">
        <v>0</v>
      </c>
      <c r="T3490" s="21" t="n">
        <v>0</v>
      </c>
      <c r="U3490" s="21" t="n">
        <v>0</v>
      </c>
      <c r="V3490" s="21" t="n">
        <v>0</v>
      </c>
      <c r="W3490" s="21" t="n">
        <v>0</v>
      </c>
      <c r="X3490" s="21" t="n">
        <v>0</v>
      </c>
      <c r="Y3490" s="21" t="n">
        <v>0</v>
      </c>
      <c r="Z3490" s="21" t="n">
        <v>0</v>
      </c>
      <c r="AA3490" s="21" t="n">
        <v>0</v>
      </c>
      <c r="AB3490" s="21" t="n">
        <v>0</v>
      </c>
      <c r="AC3490" s="21" t="n">
        <v>0</v>
      </c>
      <c r="AD3490" s="21" t="n">
        <v>0</v>
      </c>
      <c r="AE3490" s="21" t="n">
        <v>0</v>
      </c>
      <c r="AF3490" s="21" t="n">
        <v>0</v>
      </c>
      <c r="AG3490" s="21" t="n">
        <v>0</v>
      </c>
      <c r="AH3490" s="21" t="n">
        <v>0</v>
      </c>
      <c r="AI3490" s="21" t="n">
        <v>0</v>
      </c>
      <c r="AJ3490" s="21" t="n">
        <v>0</v>
      </c>
      <c r="AK3490" s="21" t="n">
        <v>0</v>
      </c>
      <c r="AL3490" s="21">
        <f>-$B$1811</f>
        <v/>
      </c>
      <c r="AM3490" s="21">
        <f>-$B$1812</f>
        <v/>
      </c>
      <c r="AN3490" s="21">
        <f>2*$B$1811+$D$3450</f>
        <v/>
      </c>
      <c r="AO3490" s="21">
        <f>0</f>
        <v/>
      </c>
      <c r="AP3490" s="21">
        <f>-$B$1811</f>
        <v/>
      </c>
      <c r="AQ3490" s="21">
        <f>$B$1812</f>
        <v/>
      </c>
      <c r="AR3490" s="21" t="n">
        <v>0</v>
      </c>
      <c r="AS3490" s="21" t="n">
        <v>0</v>
      </c>
      <c r="AT3490" s="19" t="n"/>
    </row>
    <row r="3491">
      <c r="D3491" s="21" t="n">
        <v>0</v>
      </c>
      <c r="E3491" s="21" t="n">
        <v>0</v>
      </c>
      <c r="F3491" s="21" t="n">
        <v>0</v>
      </c>
      <c r="G3491" s="21" t="n">
        <v>0</v>
      </c>
      <c r="H3491" s="21" t="n">
        <v>0</v>
      </c>
      <c r="I3491" s="21" t="n">
        <v>0</v>
      </c>
      <c r="J3491" s="21" t="n">
        <v>0</v>
      </c>
      <c r="K3491" s="21" t="n">
        <v>0</v>
      </c>
      <c r="L3491" s="21" t="n">
        <v>0</v>
      </c>
      <c r="M3491" s="21" t="n">
        <v>0</v>
      </c>
      <c r="N3491" s="21" t="n">
        <v>0</v>
      </c>
      <c r="O3491" s="21" t="n">
        <v>0</v>
      </c>
      <c r="P3491" s="21" t="n">
        <v>0</v>
      </c>
      <c r="Q3491" s="21" t="n">
        <v>0</v>
      </c>
      <c r="R3491" s="21" t="n">
        <v>0</v>
      </c>
      <c r="S3491" s="21" t="n">
        <v>0</v>
      </c>
      <c r="T3491" s="21" t="n">
        <v>0</v>
      </c>
      <c r="U3491" s="21" t="n">
        <v>0</v>
      </c>
      <c r="V3491" s="21" t="n">
        <v>0</v>
      </c>
      <c r="W3491" s="21" t="n">
        <v>0</v>
      </c>
      <c r="X3491" s="21" t="n">
        <v>0</v>
      </c>
      <c r="Y3491" s="21" t="n">
        <v>0</v>
      </c>
      <c r="Z3491" s="21" t="n">
        <v>0</v>
      </c>
      <c r="AA3491" s="21" t="n">
        <v>0</v>
      </c>
      <c r="AB3491" s="21" t="n">
        <v>0</v>
      </c>
      <c r="AC3491" s="21" t="n">
        <v>0</v>
      </c>
      <c r="AD3491" s="21" t="n">
        <v>0</v>
      </c>
      <c r="AE3491" s="21" t="n">
        <v>0</v>
      </c>
      <c r="AF3491" s="21" t="n">
        <v>0</v>
      </c>
      <c r="AG3491" s="21" t="n">
        <v>0</v>
      </c>
      <c r="AH3491" s="21" t="n">
        <v>0</v>
      </c>
      <c r="AI3491" s="21" t="n">
        <v>0</v>
      </c>
      <c r="AJ3491" s="21" t="n">
        <v>0</v>
      </c>
      <c r="AK3491" s="21" t="n">
        <v>0</v>
      </c>
      <c r="AL3491" s="21">
        <f>$B$1812</f>
        <v/>
      </c>
      <c r="AM3491" s="21">
        <f>$B$1814</f>
        <v/>
      </c>
      <c r="AN3491" s="21">
        <f>0</f>
        <v/>
      </c>
      <c r="AO3491" s="21">
        <f>2*$B$1813</f>
        <v/>
      </c>
      <c r="AP3491" s="21">
        <f>-$B$1812</f>
        <v/>
      </c>
      <c r="AQ3491" s="21">
        <f>$B$1814</f>
        <v/>
      </c>
      <c r="AR3491" s="21" t="n">
        <v>0</v>
      </c>
      <c r="AS3491" s="21" t="n">
        <v>0</v>
      </c>
      <c r="AT3491" s="19" t="n"/>
    </row>
    <row r="3492">
      <c r="D3492" s="21" t="n">
        <v>0</v>
      </c>
      <c r="E3492" s="21" t="n">
        <v>0</v>
      </c>
      <c r="F3492" s="21" t="n">
        <v>0</v>
      </c>
      <c r="G3492" s="21" t="n">
        <v>0</v>
      </c>
      <c r="H3492" s="21" t="n">
        <v>0</v>
      </c>
      <c r="I3492" s="21" t="n">
        <v>0</v>
      </c>
      <c r="J3492" s="21" t="n">
        <v>0</v>
      </c>
      <c r="K3492" s="21" t="n">
        <v>0</v>
      </c>
      <c r="L3492" s="21" t="n">
        <v>0</v>
      </c>
      <c r="M3492" s="21" t="n">
        <v>0</v>
      </c>
      <c r="N3492" s="21" t="n">
        <v>0</v>
      </c>
      <c r="O3492" s="21" t="n">
        <v>0</v>
      </c>
      <c r="P3492" s="21" t="n">
        <v>0</v>
      </c>
      <c r="Q3492" s="21" t="n">
        <v>0</v>
      </c>
      <c r="R3492" s="21" t="n">
        <v>0</v>
      </c>
      <c r="S3492" s="21" t="n">
        <v>0</v>
      </c>
      <c r="T3492" s="21" t="n">
        <v>0</v>
      </c>
      <c r="U3492" s="21" t="n">
        <v>0</v>
      </c>
      <c r="V3492" s="21" t="n">
        <v>0</v>
      </c>
      <c r="W3492" s="21" t="n">
        <v>0</v>
      </c>
      <c r="X3492" s="21" t="n">
        <v>0</v>
      </c>
      <c r="Y3492" s="21" t="n">
        <v>0</v>
      </c>
      <c r="Z3492" s="21" t="n">
        <v>0</v>
      </c>
      <c r="AA3492" s="21" t="n">
        <v>0</v>
      </c>
      <c r="AB3492" s="21" t="n">
        <v>0</v>
      </c>
      <c r="AC3492" s="21" t="n">
        <v>0</v>
      </c>
      <c r="AD3492" s="21" t="n">
        <v>0</v>
      </c>
      <c r="AE3492" s="21" t="n">
        <v>0</v>
      </c>
      <c r="AF3492" s="21" t="n">
        <v>0</v>
      </c>
      <c r="AG3492" s="21" t="n">
        <v>0</v>
      </c>
      <c r="AH3492" s="21" t="n">
        <v>0</v>
      </c>
      <c r="AI3492" s="21" t="n">
        <v>0</v>
      </c>
      <c r="AJ3492" s="21" t="n">
        <v>0</v>
      </c>
      <c r="AK3492" s="21" t="n">
        <v>0</v>
      </c>
      <c r="AL3492" s="21" t="n">
        <v>0</v>
      </c>
      <c r="AM3492" s="21" t="n">
        <v>0</v>
      </c>
      <c r="AN3492" s="21">
        <f>-$B$1811</f>
        <v/>
      </c>
      <c r="AO3492" s="21">
        <f>-$B$1812</f>
        <v/>
      </c>
      <c r="AP3492" s="21">
        <f>2*$B$1811+$D$3451</f>
        <v/>
      </c>
      <c r="AQ3492" s="21">
        <f>0</f>
        <v/>
      </c>
      <c r="AR3492" s="21">
        <f>-$B$1811</f>
        <v/>
      </c>
      <c r="AS3492" s="21">
        <f>$B$1812</f>
        <v/>
      </c>
      <c r="AT3492" s="19" t="n"/>
    </row>
    <row r="3493">
      <c r="D3493" s="21" t="n">
        <v>0</v>
      </c>
      <c r="E3493" s="21" t="n">
        <v>0</v>
      </c>
      <c r="F3493" s="21" t="n">
        <v>0</v>
      </c>
      <c r="G3493" s="21" t="n">
        <v>0</v>
      </c>
      <c r="H3493" s="21" t="n">
        <v>0</v>
      </c>
      <c r="I3493" s="21" t="n">
        <v>0</v>
      </c>
      <c r="J3493" s="21" t="n">
        <v>0</v>
      </c>
      <c r="K3493" s="21" t="n">
        <v>0</v>
      </c>
      <c r="L3493" s="21" t="n">
        <v>0</v>
      </c>
      <c r="M3493" s="21" t="n">
        <v>0</v>
      </c>
      <c r="N3493" s="21" t="n">
        <v>0</v>
      </c>
      <c r="O3493" s="21" t="n">
        <v>0</v>
      </c>
      <c r="P3493" s="21" t="n">
        <v>0</v>
      </c>
      <c r="Q3493" s="21" t="n">
        <v>0</v>
      </c>
      <c r="R3493" s="21" t="n">
        <v>0</v>
      </c>
      <c r="S3493" s="21" t="n">
        <v>0</v>
      </c>
      <c r="T3493" s="21" t="n">
        <v>0</v>
      </c>
      <c r="U3493" s="21" t="n">
        <v>0</v>
      </c>
      <c r="V3493" s="21" t="n">
        <v>0</v>
      </c>
      <c r="W3493" s="21" t="n">
        <v>0</v>
      </c>
      <c r="X3493" s="21" t="n">
        <v>0</v>
      </c>
      <c r="Y3493" s="21" t="n">
        <v>0</v>
      </c>
      <c r="Z3493" s="21" t="n">
        <v>0</v>
      </c>
      <c r="AA3493" s="21" t="n">
        <v>0</v>
      </c>
      <c r="AB3493" s="21" t="n">
        <v>0</v>
      </c>
      <c r="AC3493" s="21" t="n">
        <v>0</v>
      </c>
      <c r="AD3493" s="21" t="n">
        <v>0</v>
      </c>
      <c r="AE3493" s="21" t="n">
        <v>0</v>
      </c>
      <c r="AF3493" s="21" t="n">
        <v>0</v>
      </c>
      <c r="AG3493" s="21" t="n">
        <v>0</v>
      </c>
      <c r="AH3493" s="21" t="n">
        <v>0</v>
      </c>
      <c r="AI3493" s="21" t="n">
        <v>0</v>
      </c>
      <c r="AJ3493" s="21" t="n">
        <v>0</v>
      </c>
      <c r="AK3493" s="21" t="n">
        <v>0</v>
      </c>
      <c r="AL3493" s="21" t="n">
        <v>0</v>
      </c>
      <c r="AM3493" s="21" t="n">
        <v>0</v>
      </c>
      <c r="AN3493" s="21">
        <f>$B$1812</f>
        <v/>
      </c>
      <c r="AO3493" s="21">
        <f>$B$1814</f>
        <v/>
      </c>
      <c r="AP3493" s="21">
        <f>0</f>
        <v/>
      </c>
      <c r="AQ3493" s="21">
        <f>2*$B$1813</f>
        <v/>
      </c>
      <c r="AR3493" s="21">
        <f>-$B$1812</f>
        <v/>
      </c>
      <c r="AS3493" s="21">
        <f>$B$1814</f>
        <v/>
      </c>
      <c r="AT3493" s="19" t="n"/>
    </row>
    <row r="3494">
      <c r="D3494" s="21" t="n">
        <v>0</v>
      </c>
      <c r="E3494" s="21" t="n">
        <v>0</v>
      </c>
      <c r="F3494" s="21" t="n">
        <v>0</v>
      </c>
      <c r="G3494" s="21" t="n">
        <v>0</v>
      </c>
      <c r="H3494" s="21" t="n">
        <v>0</v>
      </c>
      <c r="I3494" s="21" t="n">
        <v>0</v>
      </c>
      <c r="J3494" s="21" t="n">
        <v>0</v>
      </c>
      <c r="K3494" s="21" t="n">
        <v>0</v>
      </c>
      <c r="L3494" s="21" t="n">
        <v>0</v>
      </c>
      <c r="M3494" s="21" t="n">
        <v>0</v>
      </c>
      <c r="N3494" s="21" t="n">
        <v>0</v>
      </c>
      <c r="O3494" s="21" t="n">
        <v>0</v>
      </c>
      <c r="P3494" s="21" t="n">
        <v>0</v>
      </c>
      <c r="Q3494" s="21" t="n">
        <v>0</v>
      </c>
      <c r="R3494" s="21" t="n">
        <v>0</v>
      </c>
      <c r="S3494" s="21" t="n">
        <v>0</v>
      </c>
      <c r="T3494" s="21" t="n">
        <v>0</v>
      </c>
      <c r="U3494" s="21" t="n">
        <v>0</v>
      </c>
      <c r="V3494" s="21" t="n">
        <v>0</v>
      </c>
      <c r="W3494" s="21" t="n">
        <v>0</v>
      </c>
      <c r="X3494" s="21" t="n">
        <v>0</v>
      </c>
      <c r="Y3494" s="21" t="n">
        <v>0</v>
      </c>
      <c r="Z3494" s="21" t="n">
        <v>0</v>
      </c>
      <c r="AA3494" s="21" t="n">
        <v>0</v>
      </c>
      <c r="AB3494" s="21" t="n">
        <v>0</v>
      </c>
      <c r="AC3494" s="21" t="n">
        <v>0</v>
      </c>
      <c r="AD3494" s="21" t="n">
        <v>0</v>
      </c>
      <c r="AE3494" s="21" t="n">
        <v>0</v>
      </c>
      <c r="AF3494" s="21" t="n">
        <v>0</v>
      </c>
      <c r="AG3494" s="21" t="n">
        <v>0</v>
      </c>
      <c r="AH3494" s="21" t="n">
        <v>0</v>
      </c>
      <c r="AI3494" s="21" t="n">
        <v>0</v>
      </c>
      <c r="AJ3494" s="21" t="n">
        <v>0</v>
      </c>
      <c r="AK3494" s="21" t="n">
        <v>0</v>
      </c>
      <c r="AL3494" s="21" t="n">
        <v>0</v>
      </c>
      <c r="AM3494" s="21" t="n">
        <v>0</v>
      </c>
      <c r="AN3494" s="21" t="n">
        <v>0</v>
      </c>
      <c r="AO3494" s="21" t="n">
        <v>0</v>
      </c>
      <c r="AP3494" s="21">
        <f>-$B$1811</f>
        <v/>
      </c>
      <c r="AQ3494" s="21">
        <f>-$B$1812</f>
        <v/>
      </c>
      <c r="AR3494" s="21">
        <f>$B$1811+$D$3452</f>
        <v/>
      </c>
      <c r="AS3494" s="21">
        <f>-$B$1812</f>
        <v/>
      </c>
      <c r="AT3494" s="19" t="n"/>
    </row>
    <row r="3495">
      <c r="D3495" s="21" t="n">
        <v>0</v>
      </c>
      <c r="E3495" s="21" t="n">
        <v>0</v>
      </c>
      <c r="F3495" s="21" t="n">
        <v>0</v>
      </c>
      <c r="G3495" s="21" t="n">
        <v>0</v>
      </c>
      <c r="H3495" s="21" t="n">
        <v>0</v>
      </c>
      <c r="I3495" s="21" t="n">
        <v>0</v>
      </c>
      <c r="J3495" s="21" t="n">
        <v>0</v>
      </c>
      <c r="K3495" s="21" t="n">
        <v>0</v>
      </c>
      <c r="L3495" s="21" t="n">
        <v>0</v>
      </c>
      <c r="M3495" s="21" t="n">
        <v>0</v>
      </c>
      <c r="N3495" s="21" t="n">
        <v>0</v>
      </c>
      <c r="O3495" s="21" t="n">
        <v>0</v>
      </c>
      <c r="P3495" s="21" t="n">
        <v>0</v>
      </c>
      <c r="Q3495" s="21" t="n">
        <v>0</v>
      </c>
      <c r="R3495" s="21" t="n">
        <v>0</v>
      </c>
      <c r="S3495" s="21" t="n">
        <v>0</v>
      </c>
      <c r="T3495" s="21" t="n">
        <v>0</v>
      </c>
      <c r="U3495" s="21" t="n">
        <v>0</v>
      </c>
      <c r="V3495" s="21" t="n">
        <v>0</v>
      </c>
      <c r="W3495" s="21" t="n">
        <v>0</v>
      </c>
      <c r="X3495" s="21" t="n">
        <v>0</v>
      </c>
      <c r="Y3495" s="21" t="n">
        <v>0</v>
      </c>
      <c r="Z3495" s="21" t="n">
        <v>0</v>
      </c>
      <c r="AA3495" s="21" t="n">
        <v>0</v>
      </c>
      <c r="AB3495" s="21" t="n">
        <v>0</v>
      </c>
      <c r="AC3495" s="21" t="n">
        <v>0</v>
      </c>
      <c r="AD3495" s="21" t="n">
        <v>0</v>
      </c>
      <c r="AE3495" s="21" t="n">
        <v>0</v>
      </c>
      <c r="AF3495" s="21" t="n">
        <v>0</v>
      </c>
      <c r="AG3495" s="21" t="n">
        <v>0</v>
      </c>
      <c r="AH3495" s="21" t="n">
        <v>0</v>
      </c>
      <c r="AI3495" s="21" t="n">
        <v>0</v>
      </c>
      <c r="AJ3495" s="21" t="n">
        <v>0</v>
      </c>
      <c r="AK3495" s="21" t="n">
        <v>0</v>
      </c>
      <c r="AL3495" s="21" t="n">
        <v>0</v>
      </c>
      <c r="AM3495" s="21" t="n">
        <v>0</v>
      </c>
      <c r="AN3495" s="21" t="n">
        <v>0</v>
      </c>
      <c r="AO3495" s="21" t="n">
        <v>0</v>
      </c>
      <c r="AP3495" s="21">
        <f>$B$1812</f>
        <v/>
      </c>
      <c r="AQ3495" s="21">
        <f>$B$1814</f>
        <v/>
      </c>
      <c r="AR3495" s="21">
        <f>-$B$1812</f>
        <v/>
      </c>
      <c r="AS3495" s="21">
        <f>$B$1813</f>
        <v/>
      </c>
      <c r="AT3495" s="19" t="n"/>
    </row>
    <row r="3497">
      <c r="A3497" s="8" t="inlineStr">
        <is>
          <t>gen 25</t>
        </is>
      </c>
    </row>
    <row r="3498">
      <c r="D3498" s="19">
        <f>IF(ABS(IF(ABS($E$3432)&gt;0.000000001,$E$3432,0.000000001))=0,0,IF($E$1826&lt;=$B$1820,0,IF(ABS(IF(ABS($E$3432)&gt;0.000000001,$E$3432,0.000000001))&gt;=8*$B$1822,$H$1826,0.5*$H$1826*(ABS(IF(ABS($E$3432)&gt;0.000000001,$E$3432,0.000000001))/$B$1822)^(1/3)))/ABS(IF(ABS($E$3432)&gt;0.000000001,$E$3432,0.000000001))*$I$1826)</f>
        <v/>
      </c>
      <c r="E3498" s="19">
        <f>0.5*$E$3432+0.5*$AT$3520</f>
        <v/>
      </c>
      <c r="F3498" s="19">
        <f>$AT$3521</f>
        <v/>
      </c>
    </row>
    <row r="3499">
      <c r="D3499" s="19">
        <f>IF(ABS(IF(ABS($E$3433)&gt;0.000000001,$E$3433,0.000000001))=0,0,IF($E$1827&lt;=$B$1820,0,IF(ABS(IF(ABS($E$3433)&gt;0.000000001,$E$3433,0.000000001))&gt;=8*$B$1822,$H$1827,0.5*$H$1827*(ABS(IF(ABS($E$3433)&gt;0.000000001,$E$3433,0.000000001))/$B$1822)^(1/3)))/ABS(IF(ABS($E$3433)&gt;0.000000001,$E$3433,0.000000001))*$I$1827)</f>
        <v/>
      </c>
      <c r="E3499" s="19">
        <f>0.5*$E$3433+0.5*$AT$3522</f>
        <v/>
      </c>
      <c r="F3499" s="19">
        <f>$AT$3523</f>
        <v/>
      </c>
    </row>
    <row r="3500">
      <c r="D3500" s="19">
        <f>IF(ABS(IF(ABS($E$3434)&gt;0.000000001,$E$3434,0.000000001))=0,0,IF($E$1828&lt;=$B$1820,0,IF(ABS(IF(ABS($E$3434)&gt;0.000000001,$E$3434,0.000000001))&gt;=8*$B$1822,$H$1828,0.5*$H$1828*(ABS(IF(ABS($E$3434)&gt;0.000000001,$E$3434,0.000000001))/$B$1822)^(1/3)))/ABS(IF(ABS($E$3434)&gt;0.000000001,$E$3434,0.000000001))*$I$1828)</f>
        <v/>
      </c>
      <c r="E3500" s="19">
        <f>0.5*$E$3434+0.5*$AT$3524</f>
        <v/>
      </c>
      <c r="F3500" s="19">
        <f>$AT$3525</f>
        <v/>
      </c>
    </row>
    <row r="3501">
      <c r="D3501" s="19">
        <f>IF(ABS(IF(ABS($E$3435)&gt;0.000000001,$E$3435,0.000000001))=0,0,IF($E$1829&lt;=$B$1820,0,IF(ABS(IF(ABS($E$3435)&gt;0.000000001,$E$3435,0.000000001))&gt;=8*$B$1822,$H$1829,0.5*$H$1829*(ABS(IF(ABS($E$3435)&gt;0.000000001,$E$3435,0.000000001))/$B$1822)^(1/3)))/ABS(IF(ABS($E$3435)&gt;0.000000001,$E$3435,0.000000001))*$I$1829)</f>
        <v/>
      </c>
      <c r="E3501" s="19">
        <f>0.5*$E$3435+0.5*$AT$3526</f>
        <v/>
      </c>
      <c r="F3501" s="19">
        <f>$AT$3527</f>
        <v/>
      </c>
    </row>
    <row r="3502">
      <c r="D3502" s="19">
        <f>IF(ABS(IF(ABS($E$3436)&gt;0.000000001,$E$3436,0.000000001))=0,0,IF($E$1830&lt;=$B$1820,0,IF(ABS(IF(ABS($E$3436)&gt;0.000000001,$E$3436,0.000000001))&gt;=8*$B$1822,$H$1830,0.5*$H$1830*(ABS(IF(ABS($E$3436)&gt;0.000000001,$E$3436,0.000000001))/$B$1822)^(1/3)))/ABS(IF(ABS($E$3436)&gt;0.000000001,$E$3436,0.000000001))*$I$1830)</f>
        <v/>
      </c>
      <c r="E3502" s="19">
        <f>0.5*$E$3436+0.5*$AT$3528</f>
        <v/>
      </c>
      <c r="F3502" s="19">
        <f>$AT$3529</f>
        <v/>
      </c>
    </row>
    <row r="3503">
      <c r="D3503" s="19">
        <f>IF(ABS(IF(ABS($E$3437)&gt;0.000000001,$E$3437,0.000000001))=0,0,IF($E$1831&lt;=$B$1820,0,IF(ABS(IF(ABS($E$3437)&gt;0.000000001,$E$3437,0.000000001))&gt;=8*$B$1822,$H$1831,0.5*$H$1831*(ABS(IF(ABS($E$3437)&gt;0.000000001,$E$3437,0.000000001))/$B$1822)^(1/3)))/ABS(IF(ABS($E$3437)&gt;0.000000001,$E$3437,0.000000001))*$I$1831)</f>
        <v/>
      </c>
      <c r="E3503" s="19">
        <f>0.5*$E$3437+0.5*$AT$3530</f>
        <v/>
      </c>
      <c r="F3503" s="19">
        <f>$AT$3531</f>
        <v/>
      </c>
    </row>
    <row r="3504">
      <c r="D3504" s="19">
        <f>IF(ABS(IF(ABS($E$3438)&gt;0.000000001,$E$3438,0.000000001))=0,0,IF($E$1832&lt;=$B$1820,0,IF(ABS(IF(ABS($E$3438)&gt;0.000000001,$E$3438,0.000000001))&gt;=8*$B$1822,$H$1832,0.5*$H$1832*(ABS(IF(ABS($E$3438)&gt;0.000000001,$E$3438,0.000000001))/$B$1822)^(1/3)))/ABS(IF(ABS($E$3438)&gt;0.000000001,$E$3438,0.000000001))*$I$1832)</f>
        <v/>
      </c>
      <c r="E3504" s="19">
        <f>0.5*$E$3438+0.5*$AT$3532</f>
        <v/>
      </c>
      <c r="F3504" s="19">
        <f>$AT$3533</f>
        <v/>
      </c>
    </row>
    <row r="3505">
      <c r="D3505" s="19">
        <f>IF(ABS(IF(ABS($E$3439)&gt;0.000000001,$E$3439,0.000000001))=0,0,IF($E$1833&lt;=$B$1820,0,IF(ABS(IF(ABS($E$3439)&gt;0.000000001,$E$3439,0.000000001))&gt;=8*$B$1822,$H$1833,0.5*$H$1833*(ABS(IF(ABS($E$3439)&gt;0.000000001,$E$3439,0.000000001))/$B$1822)^(1/3)))/ABS(IF(ABS($E$3439)&gt;0.000000001,$E$3439,0.000000001))*$I$1833)</f>
        <v/>
      </c>
      <c r="E3505" s="19">
        <f>0.5*$E$3439+0.5*$AT$3534</f>
        <v/>
      </c>
      <c r="F3505" s="19">
        <f>$AT$3535</f>
        <v/>
      </c>
    </row>
    <row r="3506">
      <c r="D3506" s="19">
        <f>IF(ABS(IF(ABS($E$3440)&gt;0.000000001,$E$3440,0.000000001))=0,0,IF($E$1834&lt;=$B$1820,0,IF(ABS(IF(ABS($E$3440)&gt;0.000000001,$E$3440,0.000000001))&gt;=8*$B$1822,$H$1834,0.5*$H$1834*(ABS(IF(ABS($E$3440)&gt;0.000000001,$E$3440,0.000000001))/$B$1822)^(1/3)))/ABS(IF(ABS($E$3440)&gt;0.000000001,$E$3440,0.000000001))*$I$1834)</f>
        <v/>
      </c>
      <c r="E3506" s="19">
        <f>0.5*$E$3440+0.5*$AT$3536</f>
        <v/>
      </c>
      <c r="F3506" s="19">
        <f>$AT$3537</f>
        <v/>
      </c>
    </row>
    <row r="3507">
      <c r="D3507" s="19">
        <f>IF(ABS(IF(ABS($E$3441)&gt;0.000000001,$E$3441,0.000000001))=0,0,IF($E$1835&lt;=$B$1820,0,IF(ABS(IF(ABS($E$3441)&gt;0.000000001,$E$3441,0.000000001))&gt;=8*$B$1822,$H$1835,0.5*$H$1835*(ABS(IF(ABS($E$3441)&gt;0.000000001,$E$3441,0.000000001))/$B$1822)^(1/3)))/ABS(IF(ABS($E$3441)&gt;0.000000001,$E$3441,0.000000001))*$I$1835)</f>
        <v/>
      </c>
      <c r="E3507" s="19">
        <f>0.5*$E$3441+0.5*$AT$3538</f>
        <v/>
      </c>
      <c r="F3507" s="19">
        <f>$AT$3539</f>
        <v/>
      </c>
    </row>
    <row r="3508">
      <c r="D3508" s="19">
        <f>IF(ABS(IF(ABS($E$3442)&gt;0.000000001,$E$3442,0.000000001))=0,0,IF($E$1836&lt;=$B$1820,0,IF(ABS(IF(ABS($E$3442)&gt;0.000000001,$E$3442,0.000000001))&gt;=8*$B$1822,$H$1836,0.5*$H$1836*(ABS(IF(ABS($E$3442)&gt;0.000000001,$E$3442,0.000000001))/$B$1822)^(1/3)))/ABS(IF(ABS($E$3442)&gt;0.000000001,$E$3442,0.000000001))*$I$1836)</f>
        <v/>
      </c>
      <c r="E3508" s="19">
        <f>0.5*$E$3442+0.5*$AT$3540</f>
        <v/>
      </c>
      <c r="F3508" s="19">
        <f>$AT$3541</f>
        <v/>
      </c>
    </row>
    <row r="3509">
      <c r="D3509" s="19">
        <f>IF(ABS(IF(ABS($E$3443)&gt;0.000000001,$E$3443,0.000000001))=0,0,IF($E$1837&lt;=$B$1820,0,IF(ABS(IF(ABS($E$3443)&gt;0.000000001,$E$3443,0.000000001))&gt;=8*$B$1822,$H$1837,0.5*$H$1837*(ABS(IF(ABS($E$3443)&gt;0.000000001,$E$3443,0.000000001))/$B$1822)^(1/3)))/ABS(IF(ABS($E$3443)&gt;0.000000001,$E$3443,0.000000001))*$I$1837)</f>
        <v/>
      </c>
      <c r="E3509" s="19">
        <f>0.5*$E$3443+0.5*$AT$3542</f>
        <v/>
      </c>
      <c r="F3509" s="19">
        <f>$AT$3543</f>
        <v/>
      </c>
    </row>
    <row r="3510">
      <c r="D3510" s="19">
        <f>IF(ABS(IF(ABS($E$3444)&gt;0.000000001,$E$3444,0.000000001))=0,0,IF($E$1838&lt;=$B$1820,0,IF(ABS(IF(ABS($E$3444)&gt;0.000000001,$E$3444,0.000000001))&gt;=8*$B$1822,$H$1838,0.5*$H$1838*(ABS(IF(ABS($E$3444)&gt;0.000000001,$E$3444,0.000000001))/$B$1822)^(1/3)))/ABS(IF(ABS($E$3444)&gt;0.000000001,$E$3444,0.000000001))*$I$1838)</f>
        <v/>
      </c>
      <c r="E3510" s="19">
        <f>0.5*$E$3444+0.5*$AT$3544</f>
        <v/>
      </c>
      <c r="F3510" s="19">
        <f>$AT$3545</f>
        <v/>
      </c>
    </row>
    <row r="3511">
      <c r="D3511" s="19">
        <f>IF(ABS(IF(ABS($E$3445)&gt;0.000000001,$E$3445,0.000000001))=0,0,IF($E$1839&lt;=$B$1820,0,IF(ABS(IF(ABS($E$3445)&gt;0.000000001,$E$3445,0.000000001))&gt;=8*$B$1822,$H$1839,0.5*$H$1839*(ABS(IF(ABS($E$3445)&gt;0.000000001,$E$3445,0.000000001))/$B$1822)^(1/3)))/ABS(IF(ABS($E$3445)&gt;0.000000001,$E$3445,0.000000001))*$I$1839)</f>
        <v/>
      </c>
      <c r="E3511" s="19">
        <f>0.5*$E$3445+0.5*$AT$3546</f>
        <v/>
      </c>
      <c r="F3511" s="19">
        <f>$AT$3547</f>
        <v/>
      </c>
    </row>
    <row r="3512">
      <c r="D3512" s="19">
        <f>IF(ABS(IF(ABS($E$3446)&gt;0.000000001,$E$3446,0.000000001))=0,0,IF($E$1840&lt;=$B$1820,0,IF(ABS(IF(ABS($E$3446)&gt;0.000000001,$E$3446,0.000000001))&gt;=8*$B$1822,$H$1840,0.5*$H$1840*(ABS(IF(ABS($E$3446)&gt;0.000000001,$E$3446,0.000000001))/$B$1822)^(1/3)))/ABS(IF(ABS($E$3446)&gt;0.000000001,$E$3446,0.000000001))*$I$1840)</f>
        <v/>
      </c>
      <c r="E3512" s="19">
        <f>0.5*$E$3446+0.5*$AT$3548</f>
        <v/>
      </c>
      <c r="F3512" s="19">
        <f>$AT$3549</f>
        <v/>
      </c>
    </row>
    <row r="3513">
      <c r="D3513" s="19">
        <f>IF(ABS(IF(ABS($E$3447)&gt;0.000000001,$E$3447,0.000000001))=0,0,IF($E$1841&lt;=$B$1820,0,IF(ABS(IF(ABS($E$3447)&gt;0.000000001,$E$3447,0.000000001))&gt;=8*$B$1822,$H$1841,0.5*$H$1841*(ABS(IF(ABS($E$3447)&gt;0.000000001,$E$3447,0.000000001))/$B$1822)^(1/3)))/ABS(IF(ABS($E$3447)&gt;0.000000001,$E$3447,0.000000001))*$I$1841)</f>
        <v/>
      </c>
      <c r="E3513" s="19">
        <f>0.5*$E$3447+0.5*$AT$3550</f>
        <v/>
      </c>
      <c r="F3513" s="19">
        <f>$AT$3551</f>
        <v/>
      </c>
    </row>
    <row r="3514">
      <c r="D3514" s="19">
        <f>IF(ABS(IF(ABS($E$3448)&gt;0.000000001,$E$3448,0.000000001))=0,0,IF($E$1842&lt;=$B$1820,0,IF(ABS(IF(ABS($E$3448)&gt;0.000000001,$E$3448,0.000000001))&gt;=8*$B$1822,$H$1842,0.5*$H$1842*(ABS(IF(ABS($E$3448)&gt;0.000000001,$E$3448,0.000000001))/$B$1822)^(1/3)))/ABS(IF(ABS($E$3448)&gt;0.000000001,$E$3448,0.000000001))*$I$1842)</f>
        <v/>
      </c>
      <c r="E3514" s="19">
        <f>0.5*$E$3448+0.5*$AT$3552</f>
        <v/>
      </c>
      <c r="F3514" s="19">
        <f>$AT$3553</f>
        <v/>
      </c>
    </row>
    <row r="3515">
      <c r="D3515" s="19">
        <f>IF(ABS(IF(ABS($E$3449)&gt;0.000000001,$E$3449,0.000000001))=0,0,IF($E$1843&lt;=$B$1820,0,IF(ABS(IF(ABS($E$3449)&gt;0.000000001,$E$3449,0.000000001))&gt;=8*$B$1822,$H$1843,0.5*$H$1843*(ABS(IF(ABS($E$3449)&gt;0.000000001,$E$3449,0.000000001))/$B$1822)^(1/3)))/ABS(IF(ABS($E$3449)&gt;0.000000001,$E$3449,0.000000001))*$I$1843)</f>
        <v/>
      </c>
      <c r="E3515" s="19">
        <f>0.5*$E$3449+0.5*$AT$3554</f>
        <v/>
      </c>
      <c r="F3515" s="19">
        <f>$AT$3555</f>
        <v/>
      </c>
    </row>
    <row r="3516">
      <c r="D3516" s="19">
        <f>IF(ABS(IF(ABS($E$3450)&gt;0.000000001,$E$3450,0.000000001))=0,0,IF($E$1844&lt;=$B$1820,0,IF(ABS(IF(ABS($E$3450)&gt;0.000000001,$E$3450,0.000000001))&gt;=8*$B$1822,$H$1844,0.5*$H$1844*(ABS(IF(ABS($E$3450)&gt;0.000000001,$E$3450,0.000000001))/$B$1822)^(1/3)))/ABS(IF(ABS($E$3450)&gt;0.000000001,$E$3450,0.000000001))*$I$1844)</f>
        <v/>
      </c>
      <c r="E3516" s="19">
        <f>0.5*$E$3450+0.5*$AT$3556</f>
        <v/>
      </c>
      <c r="F3516" s="19">
        <f>$AT$3557</f>
        <v/>
      </c>
    </row>
    <row r="3517">
      <c r="D3517" s="19">
        <f>IF(ABS(IF(ABS($E$3451)&gt;0.000000001,$E$3451,0.000000001))=0,0,IF($E$1845&lt;=$B$1820,0,IF(ABS(IF(ABS($E$3451)&gt;0.000000001,$E$3451,0.000000001))&gt;=8*$B$1822,$H$1845,0.5*$H$1845*(ABS(IF(ABS($E$3451)&gt;0.000000001,$E$3451,0.000000001))/$B$1822)^(1/3)))/ABS(IF(ABS($E$3451)&gt;0.000000001,$E$3451,0.000000001))*$I$1845)</f>
        <v/>
      </c>
      <c r="E3517" s="19">
        <f>0.5*$E$3451+0.5*$AT$3558</f>
        <v/>
      </c>
      <c r="F3517" s="19">
        <f>$AT$3559</f>
        <v/>
      </c>
    </row>
    <row r="3518">
      <c r="D3518" s="19">
        <f>IF(ABS(IF(ABS($E$3452)&gt;0.000000001,$E$3452,0.000000001))=0,0,IF($E$1846&lt;=$B$1820,0,IF(ABS(IF(ABS($E$3452)&gt;0.000000001,$E$3452,0.000000001))&gt;=8*$B$1822,$H$1846,0.5*$H$1846*(ABS(IF(ABS($E$3452)&gt;0.000000001,$E$3452,0.000000001))/$B$1822)^(1/3)))/ABS(IF(ABS($E$3452)&gt;0.000000001,$E$3452,0.000000001))*$I$1846)</f>
        <v/>
      </c>
      <c r="E3518" s="19">
        <f>0.5*$E$3452+0.5*$AT$3560</f>
        <v/>
      </c>
      <c r="F3518" s="19">
        <f>$AT$3561</f>
        <v/>
      </c>
    </row>
    <row r="3520">
      <c r="D3520" s="21">
        <f>$B$1811+$D$3498</f>
        <v/>
      </c>
      <c r="E3520" s="21">
        <f>$B$1812</f>
        <v/>
      </c>
      <c r="F3520" s="21">
        <f>-$B$1811</f>
        <v/>
      </c>
      <c r="G3520" s="21">
        <f>$B$1812</f>
        <v/>
      </c>
      <c r="H3520" s="21" t="n">
        <v>0</v>
      </c>
      <c r="I3520" s="21" t="n">
        <v>0</v>
      </c>
      <c r="J3520" s="21" t="n">
        <v>0</v>
      </c>
      <c r="K3520" s="21" t="n">
        <v>0</v>
      </c>
      <c r="L3520" s="21" t="n">
        <v>0</v>
      </c>
      <c r="M3520" s="21" t="n">
        <v>0</v>
      </c>
      <c r="N3520" s="21" t="n">
        <v>0</v>
      </c>
      <c r="O3520" s="21" t="n">
        <v>0</v>
      </c>
      <c r="P3520" s="21" t="n">
        <v>0</v>
      </c>
      <c r="Q3520" s="21" t="n">
        <v>0</v>
      </c>
      <c r="R3520" s="21" t="n">
        <v>0</v>
      </c>
      <c r="S3520" s="21" t="n">
        <v>0</v>
      </c>
      <c r="T3520" s="21" t="n">
        <v>0</v>
      </c>
      <c r="U3520" s="21" t="n">
        <v>0</v>
      </c>
      <c r="V3520" s="21" t="n">
        <v>0</v>
      </c>
      <c r="W3520" s="21" t="n">
        <v>0</v>
      </c>
      <c r="X3520" s="21" t="n">
        <v>0</v>
      </c>
      <c r="Y3520" s="21" t="n">
        <v>0</v>
      </c>
      <c r="Z3520" s="21" t="n">
        <v>0</v>
      </c>
      <c r="AA3520" s="21" t="n">
        <v>0</v>
      </c>
      <c r="AB3520" s="21" t="n">
        <v>0</v>
      </c>
      <c r="AC3520" s="21" t="n">
        <v>0</v>
      </c>
      <c r="AD3520" s="21" t="n">
        <v>0</v>
      </c>
      <c r="AE3520" s="21" t="n">
        <v>0</v>
      </c>
      <c r="AF3520" s="21" t="n">
        <v>0</v>
      </c>
      <c r="AG3520" s="21" t="n">
        <v>0</v>
      </c>
      <c r="AH3520" s="21" t="n">
        <v>0</v>
      </c>
      <c r="AI3520" s="21" t="n">
        <v>0</v>
      </c>
      <c r="AJ3520" s="21" t="n">
        <v>0</v>
      </c>
      <c r="AK3520" s="21" t="n">
        <v>0</v>
      </c>
      <c r="AL3520" s="21" t="n">
        <v>0</v>
      </c>
      <c r="AM3520" s="21" t="n">
        <v>0</v>
      </c>
      <c r="AN3520" s="21" t="n">
        <v>0</v>
      </c>
      <c r="AO3520" s="21" t="n">
        <v>0</v>
      </c>
      <c r="AP3520" s="21" t="n">
        <v>0</v>
      </c>
      <c r="AQ3520" s="21" t="n">
        <v>0</v>
      </c>
      <c r="AR3520" s="21" t="n">
        <v>0</v>
      </c>
      <c r="AS3520" s="21" t="n">
        <v>0</v>
      </c>
      <c r="AT3520" s="19">
        <f t="array" ref="AT3520:AT3561">MMULT(MINVERSE($D$3520:$AS$3561),$D$1848:$D$1889)</f>
        <v/>
      </c>
    </row>
    <row r="3521">
      <c r="D3521" s="21">
        <f>$B$1812</f>
        <v/>
      </c>
      <c r="E3521" s="21">
        <f>$B$1813</f>
        <v/>
      </c>
      <c r="F3521" s="21">
        <f>-$B$1812</f>
        <v/>
      </c>
      <c r="G3521" s="21">
        <f>$B$1814</f>
        <v/>
      </c>
      <c r="H3521" s="21" t="n">
        <v>0</v>
      </c>
      <c r="I3521" s="21" t="n">
        <v>0</v>
      </c>
      <c r="J3521" s="21" t="n">
        <v>0</v>
      </c>
      <c r="K3521" s="21" t="n">
        <v>0</v>
      </c>
      <c r="L3521" s="21" t="n">
        <v>0</v>
      </c>
      <c r="M3521" s="21" t="n">
        <v>0</v>
      </c>
      <c r="N3521" s="21" t="n">
        <v>0</v>
      </c>
      <c r="O3521" s="21" t="n">
        <v>0</v>
      </c>
      <c r="P3521" s="21" t="n">
        <v>0</v>
      </c>
      <c r="Q3521" s="21" t="n">
        <v>0</v>
      </c>
      <c r="R3521" s="21" t="n">
        <v>0</v>
      </c>
      <c r="S3521" s="21" t="n">
        <v>0</v>
      </c>
      <c r="T3521" s="21" t="n">
        <v>0</v>
      </c>
      <c r="U3521" s="21" t="n">
        <v>0</v>
      </c>
      <c r="V3521" s="21" t="n">
        <v>0</v>
      </c>
      <c r="W3521" s="21" t="n">
        <v>0</v>
      </c>
      <c r="X3521" s="21" t="n">
        <v>0</v>
      </c>
      <c r="Y3521" s="21" t="n">
        <v>0</v>
      </c>
      <c r="Z3521" s="21" t="n">
        <v>0</v>
      </c>
      <c r="AA3521" s="21" t="n">
        <v>0</v>
      </c>
      <c r="AB3521" s="21" t="n">
        <v>0</v>
      </c>
      <c r="AC3521" s="21" t="n">
        <v>0</v>
      </c>
      <c r="AD3521" s="21" t="n">
        <v>0</v>
      </c>
      <c r="AE3521" s="21" t="n">
        <v>0</v>
      </c>
      <c r="AF3521" s="21" t="n">
        <v>0</v>
      </c>
      <c r="AG3521" s="21" t="n">
        <v>0</v>
      </c>
      <c r="AH3521" s="21" t="n">
        <v>0</v>
      </c>
      <c r="AI3521" s="21" t="n">
        <v>0</v>
      </c>
      <c r="AJ3521" s="21" t="n">
        <v>0</v>
      </c>
      <c r="AK3521" s="21" t="n">
        <v>0</v>
      </c>
      <c r="AL3521" s="21" t="n">
        <v>0</v>
      </c>
      <c r="AM3521" s="21" t="n">
        <v>0</v>
      </c>
      <c r="AN3521" s="21" t="n">
        <v>0</v>
      </c>
      <c r="AO3521" s="21" t="n">
        <v>0</v>
      </c>
      <c r="AP3521" s="21" t="n">
        <v>0</v>
      </c>
      <c r="AQ3521" s="21" t="n">
        <v>0</v>
      </c>
      <c r="AR3521" s="21" t="n">
        <v>0</v>
      </c>
      <c r="AS3521" s="21" t="n">
        <v>0</v>
      </c>
      <c r="AT3521" s="19" t="n"/>
    </row>
    <row r="3522">
      <c r="D3522" s="21">
        <f>-$B$1811</f>
        <v/>
      </c>
      <c r="E3522" s="21">
        <f>-$B$1812</f>
        <v/>
      </c>
      <c r="F3522" s="21">
        <f>2*$B$1811+$D$3499</f>
        <v/>
      </c>
      <c r="G3522" s="21">
        <f>0</f>
        <v/>
      </c>
      <c r="H3522" s="21">
        <f>-$B$1811</f>
        <v/>
      </c>
      <c r="I3522" s="21">
        <f>$B$1812</f>
        <v/>
      </c>
      <c r="J3522" s="21" t="n">
        <v>0</v>
      </c>
      <c r="K3522" s="21" t="n">
        <v>0</v>
      </c>
      <c r="L3522" s="21" t="n">
        <v>0</v>
      </c>
      <c r="M3522" s="21" t="n">
        <v>0</v>
      </c>
      <c r="N3522" s="21" t="n">
        <v>0</v>
      </c>
      <c r="O3522" s="21" t="n">
        <v>0</v>
      </c>
      <c r="P3522" s="21" t="n">
        <v>0</v>
      </c>
      <c r="Q3522" s="21" t="n">
        <v>0</v>
      </c>
      <c r="R3522" s="21" t="n">
        <v>0</v>
      </c>
      <c r="S3522" s="21" t="n">
        <v>0</v>
      </c>
      <c r="T3522" s="21" t="n">
        <v>0</v>
      </c>
      <c r="U3522" s="21" t="n">
        <v>0</v>
      </c>
      <c r="V3522" s="21" t="n">
        <v>0</v>
      </c>
      <c r="W3522" s="21" t="n">
        <v>0</v>
      </c>
      <c r="X3522" s="21" t="n">
        <v>0</v>
      </c>
      <c r="Y3522" s="21" t="n">
        <v>0</v>
      </c>
      <c r="Z3522" s="21" t="n">
        <v>0</v>
      </c>
      <c r="AA3522" s="21" t="n">
        <v>0</v>
      </c>
      <c r="AB3522" s="21" t="n">
        <v>0</v>
      </c>
      <c r="AC3522" s="21" t="n">
        <v>0</v>
      </c>
      <c r="AD3522" s="21" t="n">
        <v>0</v>
      </c>
      <c r="AE3522" s="21" t="n">
        <v>0</v>
      </c>
      <c r="AF3522" s="21" t="n">
        <v>0</v>
      </c>
      <c r="AG3522" s="21" t="n">
        <v>0</v>
      </c>
      <c r="AH3522" s="21" t="n">
        <v>0</v>
      </c>
      <c r="AI3522" s="21" t="n">
        <v>0</v>
      </c>
      <c r="AJ3522" s="21" t="n">
        <v>0</v>
      </c>
      <c r="AK3522" s="21" t="n">
        <v>0</v>
      </c>
      <c r="AL3522" s="21" t="n">
        <v>0</v>
      </c>
      <c r="AM3522" s="21" t="n">
        <v>0</v>
      </c>
      <c r="AN3522" s="21" t="n">
        <v>0</v>
      </c>
      <c r="AO3522" s="21" t="n">
        <v>0</v>
      </c>
      <c r="AP3522" s="21" t="n">
        <v>0</v>
      </c>
      <c r="AQ3522" s="21" t="n">
        <v>0</v>
      </c>
      <c r="AR3522" s="21" t="n">
        <v>0</v>
      </c>
      <c r="AS3522" s="21" t="n">
        <v>0</v>
      </c>
      <c r="AT3522" s="19" t="n"/>
    </row>
    <row r="3523">
      <c r="D3523" s="21">
        <f>$B$1812</f>
        <v/>
      </c>
      <c r="E3523" s="21">
        <f>$B$1814</f>
        <v/>
      </c>
      <c r="F3523" s="21">
        <f>0</f>
        <v/>
      </c>
      <c r="G3523" s="21">
        <f>2*$B$1813</f>
        <v/>
      </c>
      <c r="H3523" s="21">
        <f>-$B$1812</f>
        <v/>
      </c>
      <c r="I3523" s="21">
        <f>$B$1814</f>
        <v/>
      </c>
      <c r="J3523" s="21" t="n">
        <v>0</v>
      </c>
      <c r="K3523" s="21" t="n">
        <v>0</v>
      </c>
      <c r="L3523" s="21" t="n">
        <v>0</v>
      </c>
      <c r="M3523" s="21" t="n">
        <v>0</v>
      </c>
      <c r="N3523" s="21" t="n">
        <v>0</v>
      </c>
      <c r="O3523" s="21" t="n">
        <v>0</v>
      </c>
      <c r="P3523" s="21" t="n">
        <v>0</v>
      </c>
      <c r="Q3523" s="21" t="n">
        <v>0</v>
      </c>
      <c r="R3523" s="21" t="n">
        <v>0</v>
      </c>
      <c r="S3523" s="21" t="n">
        <v>0</v>
      </c>
      <c r="T3523" s="21" t="n">
        <v>0</v>
      </c>
      <c r="U3523" s="21" t="n">
        <v>0</v>
      </c>
      <c r="V3523" s="21" t="n">
        <v>0</v>
      </c>
      <c r="W3523" s="21" t="n">
        <v>0</v>
      </c>
      <c r="X3523" s="21" t="n">
        <v>0</v>
      </c>
      <c r="Y3523" s="21" t="n">
        <v>0</v>
      </c>
      <c r="Z3523" s="21" t="n">
        <v>0</v>
      </c>
      <c r="AA3523" s="21" t="n">
        <v>0</v>
      </c>
      <c r="AB3523" s="21" t="n">
        <v>0</v>
      </c>
      <c r="AC3523" s="21" t="n">
        <v>0</v>
      </c>
      <c r="AD3523" s="21" t="n">
        <v>0</v>
      </c>
      <c r="AE3523" s="21" t="n">
        <v>0</v>
      </c>
      <c r="AF3523" s="21" t="n">
        <v>0</v>
      </c>
      <c r="AG3523" s="21" t="n">
        <v>0</v>
      </c>
      <c r="AH3523" s="21" t="n">
        <v>0</v>
      </c>
      <c r="AI3523" s="21" t="n">
        <v>0</v>
      </c>
      <c r="AJ3523" s="21" t="n">
        <v>0</v>
      </c>
      <c r="AK3523" s="21" t="n">
        <v>0</v>
      </c>
      <c r="AL3523" s="21" t="n">
        <v>0</v>
      </c>
      <c r="AM3523" s="21" t="n">
        <v>0</v>
      </c>
      <c r="AN3523" s="21" t="n">
        <v>0</v>
      </c>
      <c r="AO3523" s="21" t="n">
        <v>0</v>
      </c>
      <c r="AP3523" s="21" t="n">
        <v>0</v>
      </c>
      <c r="AQ3523" s="21" t="n">
        <v>0</v>
      </c>
      <c r="AR3523" s="21" t="n">
        <v>0</v>
      </c>
      <c r="AS3523" s="21" t="n">
        <v>0</v>
      </c>
      <c r="AT3523" s="19" t="n"/>
    </row>
    <row r="3524">
      <c r="D3524" s="21" t="n">
        <v>0</v>
      </c>
      <c r="E3524" s="21" t="n">
        <v>0</v>
      </c>
      <c r="F3524" s="21">
        <f>-$B$1811</f>
        <v/>
      </c>
      <c r="G3524" s="21">
        <f>-$B$1812</f>
        <v/>
      </c>
      <c r="H3524" s="21">
        <f>2*$B$1811+$D$3500</f>
        <v/>
      </c>
      <c r="I3524" s="21">
        <f>0</f>
        <v/>
      </c>
      <c r="J3524" s="21">
        <f>-$B$1811</f>
        <v/>
      </c>
      <c r="K3524" s="21">
        <f>$B$1812</f>
        <v/>
      </c>
      <c r="L3524" s="21" t="n">
        <v>0</v>
      </c>
      <c r="M3524" s="21" t="n">
        <v>0</v>
      </c>
      <c r="N3524" s="21" t="n">
        <v>0</v>
      </c>
      <c r="O3524" s="21" t="n">
        <v>0</v>
      </c>
      <c r="P3524" s="21" t="n">
        <v>0</v>
      </c>
      <c r="Q3524" s="21" t="n">
        <v>0</v>
      </c>
      <c r="R3524" s="21" t="n">
        <v>0</v>
      </c>
      <c r="S3524" s="21" t="n">
        <v>0</v>
      </c>
      <c r="T3524" s="21" t="n">
        <v>0</v>
      </c>
      <c r="U3524" s="21" t="n">
        <v>0</v>
      </c>
      <c r="V3524" s="21" t="n">
        <v>0</v>
      </c>
      <c r="W3524" s="21" t="n">
        <v>0</v>
      </c>
      <c r="X3524" s="21" t="n">
        <v>0</v>
      </c>
      <c r="Y3524" s="21" t="n">
        <v>0</v>
      </c>
      <c r="Z3524" s="21" t="n">
        <v>0</v>
      </c>
      <c r="AA3524" s="21" t="n">
        <v>0</v>
      </c>
      <c r="AB3524" s="21" t="n">
        <v>0</v>
      </c>
      <c r="AC3524" s="21" t="n">
        <v>0</v>
      </c>
      <c r="AD3524" s="21" t="n">
        <v>0</v>
      </c>
      <c r="AE3524" s="21" t="n">
        <v>0</v>
      </c>
      <c r="AF3524" s="21" t="n">
        <v>0</v>
      </c>
      <c r="AG3524" s="21" t="n">
        <v>0</v>
      </c>
      <c r="AH3524" s="21" t="n">
        <v>0</v>
      </c>
      <c r="AI3524" s="21" t="n">
        <v>0</v>
      </c>
      <c r="AJ3524" s="21" t="n">
        <v>0</v>
      </c>
      <c r="AK3524" s="21" t="n">
        <v>0</v>
      </c>
      <c r="AL3524" s="21" t="n">
        <v>0</v>
      </c>
      <c r="AM3524" s="21" t="n">
        <v>0</v>
      </c>
      <c r="AN3524" s="21" t="n">
        <v>0</v>
      </c>
      <c r="AO3524" s="21" t="n">
        <v>0</v>
      </c>
      <c r="AP3524" s="21" t="n">
        <v>0</v>
      </c>
      <c r="AQ3524" s="21" t="n">
        <v>0</v>
      </c>
      <c r="AR3524" s="21" t="n">
        <v>0</v>
      </c>
      <c r="AS3524" s="21" t="n">
        <v>0</v>
      </c>
      <c r="AT3524" s="19" t="n"/>
    </row>
    <row r="3525">
      <c r="D3525" s="21" t="n">
        <v>0</v>
      </c>
      <c r="E3525" s="21" t="n">
        <v>0</v>
      </c>
      <c r="F3525" s="21">
        <f>$B$1812</f>
        <v/>
      </c>
      <c r="G3525" s="21">
        <f>$B$1814</f>
        <v/>
      </c>
      <c r="H3525" s="21">
        <f>0</f>
        <v/>
      </c>
      <c r="I3525" s="21">
        <f>2*$B$1813</f>
        <v/>
      </c>
      <c r="J3525" s="21">
        <f>-$B$1812</f>
        <v/>
      </c>
      <c r="K3525" s="21">
        <f>$B$1814</f>
        <v/>
      </c>
      <c r="L3525" s="21" t="n">
        <v>0</v>
      </c>
      <c r="M3525" s="21" t="n">
        <v>0</v>
      </c>
      <c r="N3525" s="21" t="n">
        <v>0</v>
      </c>
      <c r="O3525" s="21" t="n">
        <v>0</v>
      </c>
      <c r="P3525" s="21" t="n">
        <v>0</v>
      </c>
      <c r="Q3525" s="21" t="n">
        <v>0</v>
      </c>
      <c r="R3525" s="21" t="n">
        <v>0</v>
      </c>
      <c r="S3525" s="21" t="n">
        <v>0</v>
      </c>
      <c r="T3525" s="21" t="n">
        <v>0</v>
      </c>
      <c r="U3525" s="21" t="n">
        <v>0</v>
      </c>
      <c r="V3525" s="21" t="n">
        <v>0</v>
      </c>
      <c r="W3525" s="21" t="n">
        <v>0</v>
      </c>
      <c r="X3525" s="21" t="n">
        <v>0</v>
      </c>
      <c r="Y3525" s="21" t="n">
        <v>0</v>
      </c>
      <c r="Z3525" s="21" t="n">
        <v>0</v>
      </c>
      <c r="AA3525" s="21" t="n">
        <v>0</v>
      </c>
      <c r="AB3525" s="21" t="n">
        <v>0</v>
      </c>
      <c r="AC3525" s="21" t="n">
        <v>0</v>
      </c>
      <c r="AD3525" s="21" t="n">
        <v>0</v>
      </c>
      <c r="AE3525" s="21" t="n">
        <v>0</v>
      </c>
      <c r="AF3525" s="21" t="n">
        <v>0</v>
      </c>
      <c r="AG3525" s="21" t="n">
        <v>0</v>
      </c>
      <c r="AH3525" s="21" t="n">
        <v>0</v>
      </c>
      <c r="AI3525" s="21" t="n">
        <v>0</v>
      </c>
      <c r="AJ3525" s="21" t="n">
        <v>0</v>
      </c>
      <c r="AK3525" s="21" t="n">
        <v>0</v>
      </c>
      <c r="AL3525" s="21" t="n">
        <v>0</v>
      </c>
      <c r="AM3525" s="21" t="n">
        <v>0</v>
      </c>
      <c r="AN3525" s="21" t="n">
        <v>0</v>
      </c>
      <c r="AO3525" s="21" t="n">
        <v>0</v>
      </c>
      <c r="AP3525" s="21" t="n">
        <v>0</v>
      </c>
      <c r="AQ3525" s="21" t="n">
        <v>0</v>
      </c>
      <c r="AR3525" s="21" t="n">
        <v>0</v>
      </c>
      <c r="AS3525" s="21" t="n">
        <v>0</v>
      </c>
      <c r="AT3525" s="19" t="n"/>
    </row>
    <row r="3526">
      <c r="D3526" s="21" t="n">
        <v>0</v>
      </c>
      <c r="E3526" s="21" t="n">
        <v>0</v>
      </c>
      <c r="F3526" s="21" t="n">
        <v>0</v>
      </c>
      <c r="G3526" s="21" t="n">
        <v>0</v>
      </c>
      <c r="H3526" s="21">
        <f>-$B$1811</f>
        <v/>
      </c>
      <c r="I3526" s="21">
        <f>-$B$1812</f>
        <v/>
      </c>
      <c r="J3526" s="21">
        <f>2*$B$1811+$D$3501</f>
        <v/>
      </c>
      <c r="K3526" s="21">
        <f>0</f>
        <v/>
      </c>
      <c r="L3526" s="21">
        <f>-$B$1811</f>
        <v/>
      </c>
      <c r="M3526" s="21">
        <f>$B$1812</f>
        <v/>
      </c>
      <c r="N3526" s="21" t="n">
        <v>0</v>
      </c>
      <c r="O3526" s="21" t="n">
        <v>0</v>
      </c>
      <c r="P3526" s="21" t="n">
        <v>0</v>
      </c>
      <c r="Q3526" s="21" t="n">
        <v>0</v>
      </c>
      <c r="R3526" s="21" t="n">
        <v>0</v>
      </c>
      <c r="S3526" s="21" t="n">
        <v>0</v>
      </c>
      <c r="T3526" s="21" t="n">
        <v>0</v>
      </c>
      <c r="U3526" s="21" t="n">
        <v>0</v>
      </c>
      <c r="V3526" s="21" t="n">
        <v>0</v>
      </c>
      <c r="W3526" s="21" t="n">
        <v>0</v>
      </c>
      <c r="X3526" s="21" t="n">
        <v>0</v>
      </c>
      <c r="Y3526" s="21" t="n">
        <v>0</v>
      </c>
      <c r="Z3526" s="21" t="n">
        <v>0</v>
      </c>
      <c r="AA3526" s="21" t="n">
        <v>0</v>
      </c>
      <c r="AB3526" s="21" t="n">
        <v>0</v>
      </c>
      <c r="AC3526" s="21" t="n">
        <v>0</v>
      </c>
      <c r="AD3526" s="21" t="n">
        <v>0</v>
      </c>
      <c r="AE3526" s="21" t="n">
        <v>0</v>
      </c>
      <c r="AF3526" s="21" t="n">
        <v>0</v>
      </c>
      <c r="AG3526" s="21" t="n">
        <v>0</v>
      </c>
      <c r="AH3526" s="21" t="n">
        <v>0</v>
      </c>
      <c r="AI3526" s="21" t="n">
        <v>0</v>
      </c>
      <c r="AJ3526" s="21" t="n">
        <v>0</v>
      </c>
      <c r="AK3526" s="21" t="n">
        <v>0</v>
      </c>
      <c r="AL3526" s="21" t="n">
        <v>0</v>
      </c>
      <c r="AM3526" s="21" t="n">
        <v>0</v>
      </c>
      <c r="AN3526" s="21" t="n">
        <v>0</v>
      </c>
      <c r="AO3526" s="21" t="n">
        <v>0</v>
      </c>
      <c r="AP3526" s="21" t="n">
        <v>0</v>
      </c>
      <c r="AQ3526" s="21" t="n">
        <v>0</v>
      </c>
      <c r="AR3526" s="21" t="n">
        <v>0</v>
      </c>
      <c r="AS3526" s="21" t="n">
        <v>0</v>
      </c>
      <c r="AT3526" s="19" t="n"/>
    </row>
    <row r="3527">
      <c r="D3527" s="21" t="n">
        <v>0</v>
      </c>
      <c r="E3527" s="21" t="n">
        <v>0</v>
      </c>
      <c r="F3527" s="21" t="n">
        <v>0</v>
      </c>
      <c r="G3527" s="21" t="n">
        <v>0</v>
      </c>
      <c r="H3527" s="21">
        <f>$B$1812</f>
        <v/>
      </c>
      <c r="I3527" s="21">
        <f>$B$1814</f>
        <v/>
      </c>
      <c r="J3527" s="21">
        <f>0</f>
        <v/>
      </c>
      <c r="K3527" s="21">
        <f>2*$B$1813</f>
        <v/>
      </c>
      <c r="L3527" s="21">
        <f>-$B$1812</f>
        <v/>
      </c>
      <c r="M3527" s="21">
        <f>$B$1814</f>
        <v/>
      </c>
      <c r="N3527" s="21" t="n">
        <v>0</v>
      </c>
      <c r="O3527" s="21" t="n">
        <v>0</v>
      </c>
      <c r="P3527" s="21" t="n">
        <v>0</v>
      </c>
      <c r="Q3527" s="21" t="n">
        <v>0</v>
      </c>
      <c r="R3527" s="21" t="n">
        <v>0</v>
      </c>
      <c r="S3527" s="21" t="n">
        <v>0</v>
      </c>
      <c r="T3527" s="21" t="n">
        <v>0</v>
      </c>
      <c r="U3527" s="21" t="n">
        <v>0</v>
      </c>
      <c r="V3527" s="21" t="n">
        <v>0</v>
      </c>
      <c r="W3527" s="21" t="n">
        <v>0</v>
      </c>
      <c r="X3527" s="21" t="n">
        <v>0</v>
      </c>
      <c r="Y3527" s="21" t="n">
        <v>0</v>
      </c>
      <c r="Z3527" s="21" t="n">
        <v>0</v>
      </c>
      <c r="AA3527" s="21" t="n">
        <v>0</v>
      </c>
      <c r="AB3527" s="21" t="n">
        <v>0</v>
      </c>
      <c r="AC3527" s="21" t="n">
        <v>0</v>
      </c>
      <c r="AD3527" s="21" t="n">
        <v>0</v>
      </c>
      <c r="AE3527" s="21" t="n">
        <v>0</v>
      </c>
      <c r="AF3527" s="21" t="n">
        <v>0</v>
      </c>
      <c r="AG3527" s="21" t="n">
        <v>0</v>
      </c>
      <c r="AH3527" s="21" t="n">
        <v>0</v>
      </c>
      <c r="AI3527" s="21" t="n">
        <v>0</v>
      </c>
      <c r="AJ3527" s="21" t="n">
        <v>0</v>
      </c>
      <c r="AK3527" s="21" t="n">
        <v>0</v>
      </c>
      <c r="AL3527" s="21" t="n">
        <v>0</v>
      </c>
      <c r="AM3527" s="21" t="n">
        <v>0</v>
      </c>
      <c r="AN3527" s="21" t="n">
        <v>0</v>
      </c>
      <c r="AO3527" s="21" t="n">
        <v>0</v>
      </c>
      <c r="AP3527" s="21" t="n">
        <v>0</v>
      </c>
      <c r="AQ3527" s="21" t="n">
        <v>0</v>
      </c>
      <c r="AR3527" s="21" t="n">
        <v>0</v>
      </c>
      <c r="AS3527" s="21" t="n">
        <v>0</v>
      </c>
      <c r="AT3527" s="19" t="n"/>
    </row>
    <row r="3528">
      <c r="D3528" s="21" t="n">
        <v>0</v>
      </c>
      <c r="E3528" s="21" t="n">
        <v>0</v>
      </c>
      <c r="F3528" s="21" t="n">
        <v>0</v>
      </c>
      <c r="G3528" s="21" t="n">
        <v>0</v>
      </c>
      <c r="H3528" s="21" t="n">
        <v>0</v>
      </c>
      <c r="I3528" s="21" t="n">
        <v>0</v>
      </c>
      <c r="J3528" s="21">
        <f>-$B$1811</f>
        <v/>
      </c>
      <c r="K3528" s="21">
        <f>-$B$1812</f>
        <v/>
      </c>
      <c r="L3528" s="21">
        <f>2*$B$1811+$D$3502</f>
        <v/>
      </c>
      <c r="M3528" s="21">
        <f>0</f>
        <v/>
      </c>
      <c r="N3528" s="21">
        <f>-$B$1811</f>
        <v/>
      </c>
      <c r="O3528" s="21">
        <f>$B$1812</f>
        <v/>
      </c>
      <c r="P3528" s="21" t="n">
        <v>0</v>
      </c>
      <c r="Q3528" s="21" t="n">
        <v>0</v>
      </c>
      <c r="R3528" s="21" t="n">
        <v>0</v>
      </c>
      <c r="S3528" s="21" t="n">
        <v>0</v>
      </c>
      <c r="T3528" s="21" t="n">
        <v>0</v>
      </c>
      <c r="U3528" s="21" t="n">
        <v>0</v>
      </c>
      <c r="V3528" s="21" t="n">
        <v>0</v>
      </c>
      <c r="W3528" s="21" t="n">
        <v>0</v>
      </c>
      <c r="X3528" s="21" t="n">
        <v>0</v>
      </c>
      <c r="Y3528" s="21" t="n">
        <v>0</v>
      </c>
      <c r="Z3528" s="21" t="n">
        <v>0</v>
      </c>
      <c r="AA3528" s="21" t="n">
        <v>0</v>
      </c>
      <c r="AB3528" s="21" t="n">
        <v>0</v>
      </c>
      <c r="AC3528" s="21" t="n">
        <v>0</v>
      </c>
      <c r="AD3528" s="21" t="n">
        <v>0</v>
      </c>
      <c r="AE3528" s="21" t="n">
        <v>0</v>
      </c>
      <c r="AF3528" s="21" t="n">
        <v>0</v>
      </c>
      <c r="AG3528" s="21" t="n">
        <v>0</v>
      </c>
      <c r="AH3528" s="21" t="n">
        <v>0</v>
      </c>
      <c r="AI3528" s="21" t="n">
        <v>0</v>
      </c>
      <c r="AJ3528" s="21" t="n">
        <v>0</v>
      </c>
      <c r="AK3528" s="21" t="n">
        <v>0</v>
      </c>
      <c r="AL3528" s="21" t="n">
        <v>0</v>
      </c>
      <c r="AM3528" s="21" t="n">
        <v>0</v>
      </c>
      <c r="AN3528" s="21" t="n">
        <v>0</v>
      </c>
      <c r="AO3528" s="21" t="n">
        <v>0</v>
      </c>
      <c r="AP3528" s="21" t="n">
        <v>0</v>
      </c>
      <c r="AQ3528" s="21" t="n">
        <v>0</v>
      </c>
      <c r="AR3528" s="21" t="n">
        <v>0</v>
      </c>
      <c r="AS3528" s="21" t="n">
        <v>0</v>
      </c>
      <c r="AT3528" s="19" t="n"/>
    </row>
    <row r="3529">
      <c r="D3529" s="21" t="n">
        <v>0</v>
      </c>
      <c r="E3529" s="21" t="n">
        <v>0</v>
      </c>
      <c r="F3529" s="21" t="n">
        <v>0</v>
      </c>
      <c r="G3529" s="21" t="n">
        <v>0</v>
      </c>
      <c r="H3529" s="21" t="n">
        <v>0</v>
      </c>
      <c r="I3529" s="21" t="n">
        <v>0</v>
      </c>
      <c r="J3529" s="21">
        <f>$B$1812</f>
        <v/>
      </c>
      <c r="K3529" s="21">
        <f>$B$1814</f>
        <v/>
      </c>
      <c r="L3529" s="21">
        <f>0</f>
        <v/>
      </c>
      <c r="M3529" s="21">
        <f>2*$B$1813</f>
        <v/>
      </c>
      <c r="N3529" s="21">
        <f>-$B$1812</f>
        <v/>
      </c>
      <c r="O3529" s="21">
        <f>$B$1814</f>
        <v/>
      </c>
      <c r="P3529" s="21" t="n">
        <v>0</v>
      </c>
      <c r="Q3529" s="21" t="n">
        <v>0</v>
      </c>
      <c r="R3529" s="21" t="n">
        <v>0</v>
      </c>
      <c r="S3529" s="21" t="n">
        <v>0</v>
      </c>
      <c r="T3529" s="21" t="n">
        <v>0</v>
      </c>
      <c r="U3529" s="21" t="n">
        <v>0</v>
      </c>
      <c r="V3529" s="21" t="n">
        <v>0</v>
      </c>
      <c r="W3529" s="21" t="n">
        <v>0</v>
      </c>
      <c r="X3529" s="21" t="n">
        <v>0</v>
      </c>
      <c r="Y3529" s="21" t="n">
        <v>0</v>
      </c>
      <c r="Z3529" s="21" t="n">
        <v>0</v>
      </c>
      <c r="AA3529" s="21" t="n">
        <v>0</v>
      </c>
      <c r="AB3529" s="21" t="n">
        <v>0</v>
      </c>
      <c r="AC3529" s="21" t="n">
        <v>0</v>
      </c>
      <c r="AD3529" s="21" t="n">
        <v>0</v>
      </c>
      <c r="AE3529" s="21" t="n">
        <v>0</v>
      </c>
      <c r="AF3529" s="21" t="n">
        <v>0</v>
      </c>
      <c r="AG3529" s="21" t="n">
        <v>0</v>
      </c>
      <c r="AH3529" s="21" t="n">
        <v>0</v>
      </c>
      <c r="AI3529" s="21" t="n">
        <v>0</v>
      </c>
      <c r="AJ3529" s="21" t="n">
        <v>0</v>
      </c>
      <c r="AK3529" s="21" t="n">
        <v>0</v>
      </c>
      <c r="AL3529" s="21" t="n">
        <v>0</v>
      </c>
      <c r="AM3529" s="21" t="n">
        <v>0</v>
      </c>
      <c r="AN3529" s="21" t="n">
        <v>0</v>
      </c>
      <c r="AO3529" s="21" t="n">
        <v>0</v>
      </c>
      <c r="AP3529" s="21" t="n">
        <v>0</v>
      </c>
      <c r="AQ3529" s="21" t="n">
        <v>0</v>
      </c>
      <c r="AR3529" s="21" t="n">
        <v>0</v>
      </c>
      <c r="AS3529" s="21" t="n">
        <v>0</v>
      </c>
      <c r="AT3529" s="19" t="n"/>
    </row>
    <row r="3530">
      <c r="D3530" s="21" t="n">
        <v>0</v>
      </c>
      <c r="E3530" s="21" t="n">
        <v>0</v>
      </c>
      <c r="F3530" s="21" t="n">
        <v>0</v>
      </c>
      <c r="G3530" s="21" t="n">
        <v>0</v>
      </c>
      <c r="H3530" s="21" t="n">
        <v>0</v>
      </c>
      <c r="I3530" s="21" t="n">
        <v>0</v>
      </c>
      <c r="J3530" s="21" t="n">
        <v>0</v>
      </c>
      <c r="K3530" s="21" t="n">
        <v>0</v>
      </c>
      <c r="L3530" s="21">
        <f>-$B$1811</f>
        <v/>
      </c>
      <c r="M3530" s="21">
        <f>-$B$1812</f>
        <v/>
      </c>
      <c r="N3530" s="21">
        <f>2*$B$1811+$D$3503</f>
        <v/>
      </c>
      <c r="O3530" s="21">
        <f>0</f>
        <v/>
      </c>
      <c r="P3530" s="21">
        <f>-$B$1811</f>
        <v/>
      </c>
      <c r="Q3530" s="21">
        <f>$B$1812</f>
        <v/>
      </c>
      <c r="R3530" s="21" t="n">
        <v>0</v>
      </c>
      <c r="S3530" s="21" t="n">
        <v>0</v>
      </c>
      <c r="T3530" s="21" t="n">
        <v>0</v>
      </c>
      <c r="U3530" s="21" t="n">
        <v>0</v>
      </c>
      <c r="V3530" s="21" t="n">
        <v>0</v>
      </c>
      <c r="W3530" s="21" t="n">
        <v>0</v>
      </c>
      <c r="X3530" s="21" t="n">
        <v>0</v>
      </c>
      <c r="Y3530" s="21" t="n">
        <v>0</v>
      </c>
      <c r="Z3530" s="21" t="n">
        <v>0</v>
      </c>
      <c r="AA3530" s="21" t="n">
        <v>0</v>
      </c>
      <c r="AB3530" s="21" t="n">
        <v>0</v>
      </c>
      <c r="AC3530" s="21" t="n">
        <v>0</v>
      </c>
      <c r="AD3530" s="21" t="n">
        <v>0</v>
      </c>
      <c r="AE3530" s="21" t="n">
        <v>0</v>
      </c>
      <c r="AF3530" s="21" t="n">
        <v>0</v>
      </c>
      <c r="AG3530" s="21" t="n">
        <v>0</v>
      </c>
      <c r="AH3530" s="21" t="n">
        <v>0</v>
      </c>
      <c r="AI3530" s="21" t="n">
        <v>0</v>
      </c>
      <c r="AJ3530" s="21" t="n">
        <v>0</v>
      </c>
      <c r="AK3530" s="21" t="n">
        <v>0</v>
      </c>
      <c r="AL3530" s="21" t="n">
        <v>0</v>
      </c>
      <c r="AM3530" s="21" t="n">
        <v>0</v>
      </c>
      <c r="AN3530" s="21" t="n">
        <v>0</v>
      </c>
      <c r="AO3530" s="21" t="n">
        <v>0</v>
      </c>
      <c r="AP3530" s="21" t="n">
        <v>0</v>
      </c>
      <c r="AQ3530" s="21" t="n">
        <v>0</v>
      </c>
      <c r="AR3530" s="21" t="n">
        <v>0</v>
      </c>
      <c r="AS3530" s="21" t="n">
        <v>0</v>
      </c>
      <c r="AT3530" s="19" t="n"/>
    </row>
    <row r="3531">
      <c r="D3531" s="21" t="n">
        <v>0</v>
      </c>
      <c r="E3531" s="21" t="n">
        <v>0</v>
      </c>
      <c r="F3531" s="21" t="n">
        <v>0</v>
      </c>
      <c r="G3531" s="21" t="n">
        <v>0</v>
      </c>
      <c r="H3531" s="21" t="n">
        <v>0</v>
      </c>
      <c r="I3531" s="21" t="n">
        <v>0</v>
      </c>
      <c r="J3531" s="21" t="n">
        <v>0</v>
      </c>
      <c r="K3531" s="21" t="n">
        <v>0</v>
      </c>
      <c r="L3531" s="21">
        <f>$B$1812</f>
        <v/>
      </c>
      <c r="M3531" s="21">
        <f>$B$1814</f>
        <v/>
      </c>
      <c r="N3531" s="21">
        <f>0</f>
        <v/>
      </c>
      <c r="O3531" s="21">
        <f>2*$B$1813</f>
        <v/>
      </c>
      <c r="P3531" s="21">
        <f>-$B$1812</f>
        <v/>
      </c>
      <c r="Q3531" s="21">
        <f>$B$1814</f>
        <v/>
      </c>
      <c r="R3531" s="21" t="n">
        <v>0</v>
      </c>
      <c r="S3531" s="21" t="n">
        <v>0</v>
      </c>
      <c r="T3531" s="21" t="n">
        <v>0</v>
      </c>
      <c r="U3531" s="21" t="n">
        <v>0</v>
      </c>
      <c r="V3531" s="21" t="n">
        <v>0</v>
      </c>
      <c r="W3531" s="21" t="n">
        <v>0</v>
      </c>
      <c r="X3531" s="21" t="n">
        <v>0</v>
      </c>
      <c r="Y3531" s="21" t="n">
        <v>0</v>
      </c>
      <c r="Z3531" s="21" t="n">
        <v>0</v>
      </c>
      <c r="AA3531" s="21" t="n">
        <v>0</v>
      </c>
      <c r="AB3531" s="21" t="n">
        <v>0</v>
      </c>
      <c r="AC3531" s="21" t="n">
        <v>0</v>
      </c>
      <c r="AD3531" s="21" t="n">
        <v>0</v>
      </c>
      <c r="AE3531" s="21" t="n">
        <v>0</v>
      </c>
      <c r="AF3531" s="21" t="n">
        <v>0</v>
      </c>
      <c r="AG3531" s="21" t="n">
        <v>0</v>
      </c>
      <c r="AH3531" s="21" t="n">
        <v>0</v>
      </c>
      <c r="AI3531" s="21" t="n">
        <v>0</v>
      </c>
      <c r="AJ3531" s="21" t="n">
        <v>0</v>
      </c>
      <c r="AK3531" s="21" t="n">
        <v>0</v>
      </c>
      <c r="AL3531" s="21" t="n">
        <v>0</v>
      </c>
      <c r="AM3531" s="21" t="n">
        <v>0</v>
      </c>
      <c r="AN3531" s="21" t="n">
        <v>0</v>
      </c>
      <c r="AO3531" s="21" t="n">
        <v>0</v>
      </c>
      <c r="AP3531" s="21" t="n">
        <v>0</v>
      </c>
      <c r="AQ3531" s="21" t="n">
        <v>0</v>
      </c>
      <c r="AR3531" s="21" t="n">
        <v>0</v>
      </c>
      <c r="AS3531" s="21" t="n">
        <v>0</v>
      </c>
      <c r="AT3531" s="19" t="n"/>
    </row>
    <row r="3532">
      <c r="D3532" s="21" t="n">
        <v>0</v>
      </c>
      <c r="E3532" s="21" t="n">
        <v>0</v>
      </c>
      <c r="F3532" s="21" t="n">
        <v>0</v>
      </c>
      <c r="G3532" s="21" t="n">
        <v>0</v>
      </c>
      <c r="H3532" s="21" t="n">
        <v>0</v>
      </c>
      <c r="I3532" s="21" t="n">
        <v>0</v>
      </c>
      <c r="J3532" s="21" t="n">
        <v>0</v>
      </c>
      <c r="K3532" s="21" t="n">
        <v>0</v>
      </c>
      <c r="L3532" s="21" t="n">
        <v>0</v>
      </c>
      <c r="M3532" s="21" t="n">
        <v>0</v>
      </c>
      <c r="N3532" s="21">
        <f>-$B$1811</f>
        <v/>
      </c>
      <c r="O3532" s="21">
        <f>-$B$1812</f>
        <v/>
      </c>
      <c r="P3532" s="21">
        <f>2*$B$1811+$D$3504</f>
        <v/>
      </c>
      <c r="Q3532" s="21">
        <f>0</f>
        <v/>
      </c>
      <c r="R3532" s="21">
        <f>-$B$1811</f>
        <v/>
      </c>
      <c r="S3532" s="21">
        <f>$B$1812</f>
        <v/>
      </c>
      <c r="T3532" s="21" t="n">
        <v>0</v>
      </c>
      <c r="U3532" s="21" t="n">
        <v>0</v>
      </c>
      <c r="V3532" s="21" t="n">
        <v>0</v>
      </c>
      <c r="W3532" s="21" t="n">
        <v>0</v>
      </c>
      <c r="X3532" s="21" t="n">
        <v>0</v>
      </c>
      <c r="Y3532" s="21" t="n">
        <v>0</v>
      </c>
      <c r="Z3532" s="21" t="n">
        <v>0</v>
      </c>
      <c r="AA3532" s="21" t="n">
        <v>0</v>
      </c>
      <c r="AB3532" s="21" t="n">
        <v>0</v>
      </c>
      <c r="AC3532" s="21" t="n">
        <v>0</v>
      </c>
      <c r="AD3532" s="21" t="n">
        <v>0</v>
      </c>
      <c r="AE3532" s="21" t="n">
        <v>0</v>
      </c>
      <c r="AF3532" s="21" t="n">
        <v>0</v>
      </c>
      <c r="AG3532" s="21" t="n">
        <v>0</v>
      </c>
      <c r="AH3532" s="21" t="n">
        <v>0</v>
      </c>
      <c r="AI3532" s="21" t="n">
        <v>0</v>
      </c>
      <c r="AJ3532" s="21" t="n">
        <v>0</v>
      </c>
      <c r="AK3532" s="21" t="n">
        <v>0</v>
      </c>
      <c r="AL3532" s="21" t="n">
        <v>0</v>
      </c>
      <c r="AM3532" s="21" t="n">
        <v>0</v>
      </c>
      <c r="AN3532" s="21" t="n">
        <v>0</v>
      </c>
      <c r="AO3532" s="21" t="n">
        <v>0</v>
      </c>
      <c r="AP3532" s="21" t="n">
        <v>0</v>
      </c>
      <c r="AQ3532" s="21" t="n">
        <v>0</v>
      </c>
      <c r="AR3532" s="21" t="n">
        <v>0</v>
      </c>
      <c r="AS3532" s="21" t="n">
        <v>0</v>
      </c>
      <c r="AT3532" s="19" t="n"/>
    </row>
    <row r="3533">
      <c r="D3533" s="21" t="n">
        <v>0</v>
      </c>
      <c r="E3533" s="21" t="n">
        <v>0</v>
      </c>
      <c r="F3533" s="21" t="n">
        <v>0</v>
      </c>
      <c r="G3533" s="21" t="n">
        <v>0</v>
      </c>
      <c r="H3533" s="21" t="n">
        <v>0</v>
      </c>
      <c r="I3533" s="21" t="n">
        <v>0</v>
      </c>
      <c r="J3533" s="21" t="n">
        <v>0</v>
      </c>
      <c r="K3533" s="21" t="n">
        <v>0</v>
      </c>
      <c r="L3533" s="21" t="n">
        <v>0</v>
      </c>
      <c r="M3533" s="21" t="n">
        <v>0</v>
      </c>
      <c r="N3533" s="21">
        <f>$B$1812</f>
        <v/>
      </c>
      <c r="O3533" s="21">
        <f>$B$1814</f>
        <v/>
      </c>
      <c r="P3533" s="21">
        <f>0</f>
        <v/>
      </c>
      <c r="Q3533" s="21">
        <f>2*$B$1813</f>
        <v/>
      </c>
      <c r="R3533" s="21">
        <f>-$B$1812</f>
        <v/>
      </c>
      <c r="S3533" s="21">
        <f>$B$1814</f>
        <v/>
      </c>
      <c r="T3533" s="21" t="n">
        <v>0</v>
      </c>
      <c r="U3533" s="21" t="n">
        <v>0</v>
      </c>
      <c r="V3533" s="21" t="n">
        <v>0</v>
      </c>
      <c r="W3533" s="21" t="n">
        <v>0</v>
      </c>
      <c r="X3533" s="21" t="n">
        <v>0</v>
      </c>
      <c r="Y3533" s="21" t="n">
        <v>0</v>
      </c>
      <c r="Z3533" s="21" t="n">
        <v>0</v>
      </c>
      <c r="AA3533" s="21" t="n">
        <v>0</v>
      </c>
      <c r="AB3533" s="21" t="n">
        <v>0</v>
      </c>
      <c r="AC3533" s="21" t="n">
        <v>0</v>
      </c>
      <c r="AD3533" s="21" t="n">
        <v>0</v>
      </c>
      <c r="AE3533" s="21" t="n">
        <v>0</v>
      </c>
      <c r="AF3533" s="21" t="n">
        <v>0</v>
      </c>
      <c r="AG3533" s="21" t="n">
        <v>0</v>
      </c>
      <c r="AH3533" s="21" t="n">
        <v>0</v>
      </c>
      <c r="AI3533" s="21" t="n">
        <v>0</v>
      </c>
      <c r="AJ3533" s="21" t="n">
        <v>0</v>
      </c>
      <c r="AK3533" s="21" t="n">
        <v>0</v>
      </c>
      <c r="AL3533" s="21" t="n">
        <v>0</v>
      </c>
      <c r="AM3533" s="21" t="n">
        <v>0</v>
      </c>
      <c r="AN3533" s="21" t="n">
        <v>0</v>
      </c>
      <c r="AO3533" s="21" t="n">
        <v>0</v>
      </c>
      <c r="AP3533" s="21" t="n">
        <v>0</v>
      </c>
      <c r="AQ3533" s="21" t="n">
        <v>0</v>
      </c>
      <c r="AR3533" s="21" t="n">
        <v>0</v>
      </c>
      <c r="AS3533" s="21" t="n">
        <v>0</v>
      </c>
      <c r="AT3533" s="19" t="n"/>
    </row>
    <row r="3534">
      <c r="D3534" s="21" t="n">
        <v>0</v>
      </c>
      <c r="E3534" s="21" t="n">
        <v>0</v>
      </c>
      <c r="F3534" s="21" t="n">
        <v>0</v>
      </c>
      <c r="G3534" s="21" t="n">
        <v>0</v>
      </c>
      <c r="H3534" s="21" t="n">
        <v>0</v>
      </c>
      <c r="I3534" s="21" t="n">
        <v>0</v>
      </c>
      <c r="J3534" s="21" t="n">
        <v>0</v>
      </c>
      <c r="K3534" s="21" t="n">
        <v>0</v>
      </c>
      <c r="L3534" s="21" t="n">
        <v>0</v>
      </c>
      <c r="M3534" s="21" t="n">
        <v>0</v>
      </c>
      <c r="N3534" s="21" t="n">
        <v>0</v>
      </c>
      <c r="O3534" s="21" t="n">
        <v>0</v>
      </c>
      <c r="P3534" s="21">
        <f>-$B$1811</f>
        <v/>
      </c>
      <c r="Q3534" s="21">
        <f>-$B$1812</f>
        <v/>
      </c>
      <c r="R3534" s="21">
        <f>2*$B$1811+$D$3505</f>
        <v/>
      </c>
      <c r="S3534" s="21">
        <f>0</f>
        <v/>
      </c>
      <c r="T3534" s="21">
        <f>-$B$1811</f>
        <v/>
      </c>
      <c r="U3534" s="21">
        <f>$B$1812</f>
        <v/>
      </c>
      <c r="V3534" s="21" t="n">
        <v>0</v>
      </c>
      <c r="W3534" s="21" t="n">
        <v>0</v>
      </c>
      <c r="X3534" s="21" t="n">
        <v>0</v>
      </c>
      <c r="Y3534" s="21" t="n">
        <v>0</v>
      </c>
      <c r="Z3534" s="21" t="n">
        <v>0</v>
      </c>
      <c r="AA3534" s="21" t="n">
        <v>0</v>
      </c>
      <c r="AB3534" s="21" t="n">
        <v>0</v>
      </c>
      <c r="AC3534" s="21" t="n">
        <v>0</v>
      </c>
      <c r="AD3534" s="21" t="n">
        <v>0</v>
      </c>
      <c r="AE3534" s="21" t="n">
        <v>0</v>
      </c>
      <c r="AF3534" s="21" t="n">
        <v>0</v>
      </c>
      <c r="AG3534" s="21" t="n">
        <v>0</v>
      </c>
      <c r="AH3534" s="21" t="n">
        <v>0</v>
      </c>
      <c r="AI3534" s="21" t="n">
        <v>0</v>
      </c>
      <c r="AJ3534" s="21" t="n">
        <v>0</v>
      </c>
      <c r="AK3534" s="21" t="n">
        <v>0</v>
      </c>
      <c r="AL3534" s="21" t="n">
        <v>0</v>
      </c>
      <c r="AM3534" s="21" t="n">
        <v>0</v>
      </c>
      <c r="AN3534" s="21" t="n">
        <v>0</v>
      </c>
      <c r="AO3534" s="21" t="n">
        <v>0</v>
      </c>
      <c r="AP3534" s="21" t="n">
        <v>0</v>
      </c>
      <c r="AQ3534" s="21" t="n">
        <v>0</v>
      </c>
      <c r="AR3534" s="21" t="n">
        <v>0</v>
      </c>
      <c r="AS3534" s="21" t="n">
        <v>0</v>
      </c>
      <c r="AT3534" s="19" t="n"/>
    </row>
    <row r="3535">
      <c r="D3535" s="21" t="n">
        <v>0</v>
      </c>
      <c r="E3535" s="21" t="n">
        <v>0</v>
      </c>
      <c r="F3535" s="21" t="n">
        <v>0</v>
      </c>
      <c r="G3535" s="21" t="n">
        <v>0</v>
      </c>
      <c r="H3535" s="21" t="n">
        <v>0</v>
      </c>
      <c r="I3535" s="21" t="n">
        <v>0</v>
      </c>
      <c r="J3535" s="21" t="n">
        <v>0</v>
      </c>
      <c r="K3535" s="21" t="n">
        <v>0</v>
      </c>
      <c r="L3535" s="21" t="n">
        <v>0</v>
      </c>
      <c r="M3535" s="21" t="n">
        <v>0</v>
      </c>
      <c r="N3535" s="21" t="n">
        <v>0</v>
      </c>
      <c r="O3535" s="21" t="n">
        <v>0</v>
      </c>
      <c r="P3535" s="21">
        <f>$B$1812</f>
        <v/>
      </c>
      <c r="Q3535" s="21">
        <f>$B$1814</f>
        <v/>
      </c>
      <c r="R3535" s="21">
        <f>0</f>
        <v/>
      </c>
      <c r="S3535" s="21">
        <f>2*$B$1813</f>
        <v/>
      </c>
      <c r="T3535" s="21">
        <f>-$B$1812</f>
        <v/>
      </c>
      <c r="U3535" s="21">
        <f>$B$1814</f>
        <v/>
      </c>
      <c r="V3535" s="21" t="n">
        <v>0</v>
      </c>
      <c r="W3535" s="21" t="n">
        <v>0</v>
      </c>
      <c r="X3535" s="21" t="n">
        <v>0</v>
      </c>
      <c r="Y3535" s="21" t="n">
        <v>0</v>
      </c>
      <c r="Z3535" s="21" t="n">
        <v>0</v>
      </c>
      <c r="AA3535" s="21" t="n">
        <v>0</v>
      </c>
      <c r="AB3535" s="21" t="n">
        <v>0</v>
      </c>
      <c r="AC3535" s="21" t="n">
        <v>0</v>
      </c>
      <c r="AD3535" s="21" t="n">
        <v>0</v>
      </c>
      <c r="AE3535" s="21" t="n">
        <v>0</v>
      </c>
      <c r="AF3535" s="21" t="n">
        <v>0</v>
      </c>
      <c r="AG3535" s="21" t="n">
        <v>0</v>
      </c>
      <c r="AH3535" s="21" t="n">
        <v>0</v>
      </c>
      <c r="AI3535" s="21" t="n">
        <v>0</v>
      </c>
      <c r="AJ3535" s="21" t="n">
        <v>0</v>
      </c>
      <c r="AK3535" s="21" t="n">
        <v>0</v>
      </c>
      <c r="AL3535" s="21" t="n">
        <v>0</v>
      </c>
      <c r="AM3535" s="21" t="n">
        <v>0</v>
      </c>
      <c r="AN3535" s="21" t="n">
        <v>0</v>
      </c>
      <c r="AO3535" s="21" t="n">
        <v>0</v>
      </c>
      <c r="AP3535" s="21" t="n">
        <v>0</v>
      </c>
      <c r="AQ3535" s="21" t="n">
        <v>0</v>
      </c>
      <c r="AR3535" s="21" t="n">
        <v>0</v>
      </c>
      <c r="AS3535" s="21" t="n">
        <v>0</v>
      </c>
      <c r="AT3535" s="19" t="n"/>
    </row>
    <row r="3536">
      <c r="D3536" s="21" t="n">
        <v>0</v>
      </c>
      <c r="E3536" s="21" t="n">
        <v>0</v>
      </c>
      <c r="F3536" s="21" t="n">
        <v>0</v>
      </c>
      <c r="G3536" s="21" t="n">
        <v>0</v>
      </c>
      <c r="H3536" s="21" t="n">
        <v>0</v>
      </c>
      <c r="I3536" s="21" t="n">
        <v>0</v>
      </c>
      <c r="J3536" s="21" t="n">
        <v>0</v>
      </c>
      <c r="K3536" s="21" t="n">
        <v>0</v>
      </c>
      <c r="L3536" s="21" t="n">
        <v>0</v>
      </c>
      <c r="M3536" s="21" t="n">
        <v>0</v>
      </c>
      <c r="N3536" s="21" t="n">
        <v>0</v>
      </c>
      <c r="O3536" s="21" t="n">
        <v>0</v>
      </c>
      <c r="P3536" s="21" t="n">
        <v>0</v>
      </c>
      <c r="Q3536" s="21" t="n">
        <v>0</v>
      </c>
      <c r="R3536" s="21">
        <f>-$B$1811</f>
        <v/>
      </c>
      <c r="S3536" s="21">
        <f>-$B$1812</f>
        <v/>
      </c>
      <c r="T3536" s="21">
        <f>2*$B$1811+$D$3506</f>
        <v/>
      </c>
      <c r="U3536" s="21">
        <f>0</f>
        <v/>
      </c>
      <c r="V3536" s="21">
        <f>-$B$1811</f>
        <v/>
      </c>
      <c r="W3536" s="21">
        <f>$B$1812</f>
        <v/>
      </c>
      <c r="X3536" s="21" t="n">
        <v>0</v>
      </c>
      <c r="Y3536" s="21" t="n">
        <v>0</v>
      </c>
      <c r="Z3536" s="21" t="n">
        <v>0</v>
      </c>
      <c r="AA3536" s="21" t="n">
        <v>0</v>
      </c>
      <c r="AB3536" s="21" t="n">
        <v>0</v>
      </c>
      <c r="AC3536" s="21" t="n">
        <v>0</v>
      </c>
      <c r="AD3536" s="21" t="n">
        <v>0</v>
      </c>
      <c r="AE3536" s="21" t="n">
        <v>0</v>
      </c>
      <c r="AF3536" s="21" t="n">
        <v>0</v>
      </c>
      <c r="AG3536" s="21" t="n">
        <v>0</v>
      </c>
      <c r="AH3536" s="21" t="n">
        <v>0</v>
      </c>
      <c r="AI3536" s="21" t="n">
        <v>0</v>
      </c>
      <c r="AJ3536" s="21" t="n">
        <v>0</v>
      </c>
      <c r="AK3536" s="21" t="n">
        <v>0</v>
      </c>
      <c r="AL3536" s="21" t="n">
        <v>0</v>
      </c>
      <c r="AM3536" s="21" t="n">
        <v>0</v>
      </c>
      <c r="AN3536" s="21" t="n">
        <v>0</v>
      </c>
      <c r="AO3536" s="21" t="n">
        <v>0</v>
      </c>
      <c r="AP3536" s="21" t="n">
        <v>0</v>
      </c>
      <c r="AQ3536" s="21" t="n">
        <v>0</v>
      </c>
      <c r="AR3536" s="21" t="n">
        <v>0</v>
      </c>
      <c r="AS3536" s="21" t="n">
        <v>0</v>
      </c>
      <c r="AT3536" s="19" t="n"/>
    </row>
    <row r="3537">
      <c r="D3537" s="21" t="n">
        <v>0</v>
      </c>
      <c r="E3537" s="21" t="n">
        <v>0</v>
      </c>
      <c r="F3537" s="21" t="n">
        <v>0</v>
      </c>
      <c r="G3537" s="21" t="n">
        <v>0</v>
      </c>
      <c r="H3537" s="21" t="n">
        <v>0</v>
      </c>
      <c r="I3537" s="21" t="n">
        <v>0</v>
      </c>
      <c r="J3537" s="21" t="n">
        <v>0</v>
      </c>
      <c r="K3537" s="21" t="n">
        <v>0</v>
      </c>
      <c r="L3537" s="21" t="n">
        <v>0</v>
      </c>
      <c r="M3537" s="21" t="n">
        <v>0</v>
      </c>
      <c r="N3537" s="21" t="n">
        <v>0</v>
      </c>
      <c r="O3537" s="21" t="n">
        <v>0</v>
      </c>
      <c r="P3537" s="21" t="n">
        <v>0</v>
      </c>
      <c r="Q3537" s="21" t="n">
        <v>0</v>
      </c>
      <c r="R3537" s="21">
        <f>$B$1812</f>
        <v/>
      </c>
      <c r="S3537" s="21">
        <f>$B$1814</f>
        <v/>
      </c>
      <c r="T3537" s="21">
        <f>0</f>
        <v/>
      </c>
      <c r="U3537" s="21">
        <f>2*$B$1813</f>
        <v/>
      </c>
      <c r="V3537" s="21">
        <f>-$B$1812</f>
        <v/>
      </c>
      <c r="W3537" s="21">
        <f>$B$1814</f>
        <v/>
      </c>
      <c r="X3537" s="21" t="n">
        <v>0</v>
      </c>
      <c r="Y3537" s="21" t="n">
        <v>0</v>
      </c>
      <c r="Z3537" s="21" t="n">
        <v>0</v>
      </c>
      <c r="AA3537" s="21" t="n">
        <v>0</v>
      </c>
      <c r="AB3537" s="21" t="n">
        <v>0</v>
      </c>
      <c r="AC3537" s="21" t="n">
        <v>0</v>
      </c>
      <c r="AD3537" s="21" t="n">
        <v>0</v>
      </c>
      <c r="AE3537" s="21" t="n">
        <v>0</v>
      </c>
      <c r="AF3537" s="21" t="n">
        <v>0</v>
      </c>
      <c r="AG3537" s="21" t="n">
        <v>0</v>
      </c>
      <c r="AH3537" s="21" t="n">
        <v>0</v>
      </c>
      <c r="AI3537" s="21" t="n">
        <v>0</v>
      </c>
      <c r="AJ3537" s="21" t="n">
        <v>0</v>
      </c>
      <c r="AK3537" s="21" t="n">
        <v>0</v>
      </c>
      <c r="AL3537" s="21" t="n">
        <v>0</v>
      </c>
      <c r="AM3537" s="21" t="n">
        <v>0</v>
      </c>
      <c r="AN3537" s="21" t="n">
        <v>0</v>
      </c>
      <c r="AO3537" s="21" t="n">
        <v>0</v>
      </c>
      <c r="AP3537" s="21" t="n">
        <v>0</v>
      </c>
      <c r="AQ3537" s="21" t="n">
        <v>0</v>
      </c>
      <c r="AR3537" s="21" t="n">
        <v>0</v>
      </c>
      <c r="AS3537" s="21" t="n">
        <v>0</v>
      </c>
      <c r="AT3537" s="19" t="n"/>
    </row>
    <row r="3538">
      <c r="D3538" s="21" t="n">
        <v>0</v>
      </c>
      <c r="E3538" s="21" t="n">
        <v>0</v>
      </c>
      <c r="F3538" s="21" t="n">
        <v>0</v>
      </c>
      <c r="G3538" s="21" t="n">
        <v>0</v>
      </c>
      <c r="H3538" s="21" t="n">
        <v>0</v>
      </c>
      <c r="I3538" s="21" t="n">
        <v>0</v>
      </c>
      <c r="J3538" s="21" t="n">
        <v>0</v>
      </c>
      <c r="K3538" s="21" t="n">
        <v>0</v>
      </c>
      <c r="L3538" s="21" t="n">
        <v>0</v>
      </c>
      <c r="M3538" s="21" t="n">
        <v>0</v>
      </c>
      <c r="N3538" s="21" t="n">
        <v>0</v>
      </c>
      <c r="O3538" s="21" t="n">
        <v>0</v>
      </c>
      <c r="P3538" s="21" t="n">
        <v>0</v>
      </c>
      <c r="Q3538" s="21" t="n">
        <v>0</v>
      </c>
      <c r="R3538" s="21" t="n">
        <v>0</v>
      </c>
      <c r="S3538" s="21" t="n">
        <v>0</v>
      </c>
      <c r="T3538" s="21">
        <f>-$B$1811</f>
        <v/>
      </c>
      <c r="U3538" s="21">
        <f>-$B$1812</f>
        <v/>
      </c>
      <c r="V3538" s="21">
        <f>2*$B$1811+$D$3507</f>
        <v/>
      </c>
      <c r="W3538" s="21">
        <f>0</f>
        <v/>
      </c>
      <c r="X3538" s="21">
        <f>-$B$1811</f>
        <v/>
      </c>
      <c r="Y3538" s="21">
        <f>$B$1812</f>
        <v/>
      </c>
      <c r="Z3538" s="21" t="n">
        <v>0</v>
      </c>
      <c r="AA3538" s="21" t="n">
        <v>0</v>
      </c>
      <c r="AB3538" s="21" t="n">
        <v>0</v>
      </c>
      <c r="AC3538" s="21" t="n">
        <v>0</v>
      </c>
      <c r="AD3538" s="21" t="n">
        <v>0</v>
      </c>
      <c r="AE3538" s="21" t="n">
        <v>0</v>
      </c>
      <c r="AF3538" s="21" t="n">
        <v>0</v>
      </c>
      <c r="AG3538" s="21" t="n">
        <v>0</v>
      </c>
      <c r="AH3538" s="21" t="n">
        <v>0</v>
      </c>
      <c r="AI3538" s="21" t="n">
        <v>0</v>
      </c>
      <c r="AJ3538" s="21" t="n">
        <v>0</v>
      </c>
      <c r="AK3538" s="21" t="n">
        <v>0</v>
      </c>
      <c r="AL3538" s="21" t="n">
        <v>0</v>
      </c>
      <c r="AM3538" s="21" t="n">
        <v>0</v>
      </c>
      <c r="AN3538" s="21" t="n">
        <v>0</v>
      </c>
      <c r="AO3538" s="21" t="n">
        <v>0</v>
      </c>
      <c r="AP3538" s="21" t="n">
        <v>0</v>
      </c>
      <c r="AQ3538" s="21" t="n">
        <v>0</v>
      </c>
      <c r="AR3538" s="21" t="n">
        <v>0</v>
      </c>
      <c r="AS3538" s="21" t="n">
        <v>0</v>
      </c>
      <c r="AT3538" s="19" t="n"/>
    </row>
    <row r="3539">
      <c r="D3539" s="21" t="n">
        <v>0</v>
      </c>
      <c r="E3539" s="21" t="n">
        <v>0</v>
      </c>
      <c r="F3539" s="21" t="n">
        <v>0</v>
      </c>
      <c r="G3539" s="21" t="n">
        <v>0</v>
      </c>
      <c r="H3539" s="21" t="n">
        <v>0</v>
      </c>
      <c r="I3539" s="21" t="n">
        <v>0</v>
      </c>
      <c r="J3539" s="21" t="n">
        <v>0</v>
      </c>
      <c r="K3539" s="21" t="n">
        <v>0</v>
      </c>
      <c r="L3539" s="21" t="n">
        <v>0</v>
      </c>
      <c r="M3539" s="21" t="n">
        <v>0</v>
      </c>
      <c r="N3539" s="21" t="n">
        <v>0</v>
      </c>
      <c r="O3539" s="21" t="n">
        <v>0</v>
      </c>
      <c r="P3539" s="21" t="n">
        <v>0</v>
      </c>
      <c r="Q3539" s="21" t="n">
        <v>0</v>
      </c>
      <c r="R3539" s="21" t="n">
        <v>0</v>
      </c>
      <c r="S3539" s="21" t="n">
        <v>0</v>
      </c>
      <c r="T3539" s="21">
        <f>$B$1812</f>
        <v/>
      </c>
      <c r="U3539" s="21">
        <f>$B$1814</f>
        <v/>
      </c>
      <c r="V3539" s="21">
        <f>0</f>
        <v/>
      </c>
      <c r="W3539" s="21">
        <f>2*$B$1813</f>
        <v/>
      </c>
      <c r="X3539" s="21">
        <f>-$B$1812</f>
        <v/>
      </c>
      <c r="Y3539" s="21">
        <f>$B$1814</f>
        <v/>
      </c>
      <c r="Z3539" s="21" t="n">
        <v>0</v>
      </c>
      <c r="AA3539" s="21" t="n">
        <v>0</v>
      </c>
      <c r="AB3539" s="21" t="n">
        <v>0</v>
      </c>
      <c r="AC3539" s="21" t="n">
        <v>0</v>
      </c>
      <c r="AD3539" s="21" t="n">
        <v>0</v>
      </c>
      <c r="AE3539" s="21" t="n">
        <v>0</v>
      </c>
      <c r="AF3539" s="21" t="n">
        <v>0</v>
      </c>
      <c r="AG3539" s="21" t="n">
        <v>0</v>
      </c>
      <c r="AH3539" s="21" t="n">
        <v>0</v>
      </c>
      <c r="AI3539" s="21" t="n">
        <v>0</v>
      </c>
      <c r="AJ3539" s="21" t="n">
        <v>0</v>
      </c>
      <c r="AK3539" s="21" t="n">
        <v>0</v>
      </c>
      <c r="AL3539" s="21" t="n">
        <v>0</v>
      </c>
      <c r="AM3539" s="21" t="n">
        <v>0</v>
      </c>
      <c r="AN3539" s="21" t="n">
        <v>0</v>
      </c>
      <c r="AO3539" s="21" t="n">
        <v>0</v>
      </c>
      <c r="AP3539" s="21" t="n">
        <v>0</v>
      </c>
      <c r="AQ3539" s="21" t="n">
        <v>0</v>
      </c>
      <c r="AR3539" s="21" t="n">
        <v>0</v>
      </c>
      <c r="AS3539" s="21" t="n">
        <v>0</v>
      </c>
      <c r="AT3539" s="19" t="n"/>
    </row>
    <row r="3540">
      <c r="D3540" s="21" t="n">
        <v>0</v>
      </c>
      <c r="E3540" s="21" t="n">
        <v>0</v>
      </c>
      <c r="F3540" s="21" t="n">
        <v>0</v>
      </c>
      <c r="G3540" s="21" t="n">
        <v>0</v>
      </c>
      <c r="H3540" s="21" t="n">
        <v>0</v>
      </c>
      <c r="I3540" s="21" t="n">
        <v>0</v>
      </c>
      <c r="J3540" s="21" t="n">
        <v>0</v>
      </c>
      <c r="K3540" s="21" t="n">
        <v>0</v>
      </c>
      <c r="L3540" s="21" t="n">
        <v>0</v>
      </c>
      <c r="M3540" s="21" t="n">
        <v>0</v>
      </c>
      <c r="N3540" s="21" t="n">
        <v>0</v>
      </c>
      <c r="O3540" s="21" t="n">
        <v>0</v>
      </c>
      <c r="P3540" s="21" t="n">
        <v>0</v>
      </c>
      <c r="Q3540" s="21" t="n">
        <v>0</v>
      </c>
      <c r="R3540" s="21" t="n">
        <v>0</v>
      </c>
      <c r="S3540" s="21" t="n">
        <v>0</v>
      </c>
      <c r="T3540" s="21" t="n">
        <v>0</v>
      </c>
      <c r="U3540" s="21" t="n">
        <v>0</v>
      </c>
      <c r="V3540" s="21">
        <f>-$B$1811</f>
        <v/>
      </c>
      <c r="W3540" s="21">
        <f>-$B$1812</f>
        <v/>
      </c>
      <c r="X3540" s="21">
        <f>2*$B$1811+$D$3508</f>
        <v/>
      </c>
      <c r="Y3540" s="21">
        <f>0</f>
        <v/>
      </c>
      <c r="Z3540" s="21">
        <f>-$B$1811</f>
        <v/>
      </c>
      <c r="AA3540" s="21">
        <f>$B$1812</f>
        <v/>
      </c>
      <c r="AB3540" s="21" t="n">
        <v>0</v>
      </c>
      <c r="AC3540" s="21" t="n">
        <v>0</v>
      </c>
      <c r="AD3540" s="21" t="n">
        <v>0</v>
      </c>
      <c r="AE3540" s="21" t="n">
        <v>0</v>
      </c>
      <c r="AF3540" s="21" t="n">
        <v>0</v>
      </c>
      <c r="AG3540" s="21" t="n">
        <v>0</v>
      </c>
      <c r="AH3540" s="21" t="n">
        <v>0</v>
      </c>
      <c r="AI3540" s="21" t="n">
        <v>0</v>
      </c>
      <c r="AJ3540" s="21" t="n">
        <v>0</v>
      </c>
      <c r="AK3540" s="21" t="n">
        <v>0</v>
      </c>
      <c r="AL3540" s="21" t="n">
        <v>0</v>
      </c>
      <c r="AM3540" s="21" t="n">
        <v>0</v>
      </c>
      <c r="AN3540" s="21" t="n">
        <v>0</v>
      </c>
      <c r="AO3540" s="21" t="n">
        <v>0</v>
      </c>
      <c r="AP3540" s="21" t="n">
        <v>0</v>
      </c>
      <c r="AQ3540" s="21" t="n">
        <v>0</v>
      </c>
      <c r="AR3540" s="21" t="n">
        <v>0</v>
      </c>
      <c r="AS3540" s="21" t="n">
        <v>0</v>
      </c>
      <c r="AT3540" s="19" t="n"/>
    </row>
    <row r="3541">
      <c r="D3541" s="21" t="n">
        <v>0</v>
      </c>
      <c r="E3541" s="21" t="n">
        <v>0</v>
      </c>
      <c r="F3541" s="21" t="n">
        <v>0</v>
      </c>
      <c r="G3541" s="21" t="n">
        <v>0</v>
      </c>
      <c r="H3541" s="21" t="n">
        <v>0</v>
      </c>
      <c r="I3541" s="21" t="n">
        <v>0</v>
      </c>
      <c r="J3541" s="21" t="n">
        <v>0</v>
      </c>
      <c r="K3541" s="21" t="n">
        <v>0</v>
      </c>
      <c r="L3541" s="21" t="n">
        <v>0</v>
      </c>
      <c r="M3541" s="21" t="n">
        <v>0</v>
      </c>
      <c r="N3541" s="21" t="n">
        <v>0</v>
      </c>
      <c r="O3541" s="21" t="n">
        <v>0</v>
      </c>
      <c r="P3541" s="21" t="n">
        <v>0</v>
      </c>
      <c r="Q3541" s="21" t="n">
        <v>0</v>
      </c>
      <c r="R3541" s="21" t="n">
        <v>0</v>
      </c>
      <c r="S3541" s="21" t="n">
        <v>0</v>
      </c>
      <c r="T3541" s="21" t="n">
        <v>0</v>
      </c>
      <c r="U3541" s="21" t="n">
        <v>0</v>
      </c>
      <c r="V3541" s="21">
        <f>$B$1812</f>
        <v/>
      </c>
      <c r="W3541" s="21">
        <f>$B$1814</f>
        <v/>
      </c>
      <c r="X3541" s="21">
        <f>0</f>
        <v/>
      </c>
      <c r="Y3541" s="21">
        <f>2*$B$1813</f>
        <v/>
      </c>
      <c r="Z3541" s="21">
        <f>-$B$1812</f>
        <v/>
      </c>
      <c r="AA3541" s="21">
        <f>$B$1814</f>
        <v/>
      </c>
      <c r="AB3541" s="21" t="n">
        <v>0</v>
      </c>
      <c r="AC3541" s="21" t="n">
        <v>0</v>
      </c>
      <c r="AD3541" s="21" t="n">
        <v>0</v>
      </c>
      <c r="AE3541" s="21" t="n">
        <v>0</v>
      </c>
      <c r="AF3541" s="21" t="n">
        <v>0</v>
      </c>
      <c r="AG3541" s="21" t="n">
        <v>0</v>
      </c>
      <c r="AH3541" s="21" t="n">
        <v>0</v>
      </c>
      <c r="AI3541" s="21" t="n">
        <v>0</v>
      </c>
      <c r="AJ3541" s="21" t="n">
        <v>0</v>
      </c>
      <c r="AK3541" s="21" t="n">
        <v>0</v>
      </c>
      <c r="AL3541" s="21" t="n">
        <v>0</v>
      </c>
      <c r="AM3541" s="21" t="n">
        <v>0</v>
      </c>
      <c r="AN3541" s="21" t="n">
        <v>0</v>
      </c>
      <c r="AO3541" s="21" t="n">
        <v>0</v>
      </c>
      <c r="AP3541" s="21" t="n">
        <v>0</v>
      </c>
      <c r="AQ3541" s="21" t="n">
        <v>0</v>
      </c>
      <c r="AR3541" s="21" t="n">
        <v>0</v>
      </c>
      <c r="AS3541" s="21" t="n">
        <v>0</v>
      </c>
      <c r="AT3541" s="19" t="n"/>
    </row>
    <row r="3542">
      <c r="D3542" s="21" t="n">
        <v>0</v>
      </c>
      <c r="E3542" s="21" t="n">
        <v>0</v>
      </c>
      <c r="F3542" s="21" t="n">
        <v>0</v>
      </c>
      <c r="G3542" s="21" t="n">
        <v>0</v>
      </c>
      <c r="H3542" s="21" t="n">
        <v>0</v>
      </c>
      <c r="I3542" s="21" t="n">
        <v>0</v>
      </c>
      <c r="J3542" s="21" t="n">
        <v>0</v>
      </c>
      <c r="K3542" s="21" t="n">
        <v>0</v>
      </c>
      <c r="L3542" s="21" t="n">
        <v>0</v>
      </c>
      <c r="M3542" s="21" t="n">
        <v>0</v>
      </c>
      <c r="N3542" s="21" t="n">
        <v>0</v>
      </c>
      <c r="O3542" s="21" t="n">
        <v>0</v>
      </c>
      <c r="P3542" s="21" t="n">
        <v>0</v>
      </c>
      <c r="Q3542" s="21" t="n">
        <v>0</v>
      </c>
      <c r="R3542" s="21" t="n">
        <v>0</v>
      </c>
      <c r="S3542" s="21" t="n">
        <v>0</v>
      </c>
      <c r="T3542" s="21" t="n">
        <v>0</v>
      </c>
      <c r="U3542" s="21" t="n">
        <v>0</v>
      </c>
      <c r="V3542" s="21" t="n">
        <v>0</v>
      </c>
      <c r="W3542" s="21" t="n">
        <v>0</v>
      </c>
      <c r="X3542" s="21">
        <f>-$B$1811</f>
        <v/>
      </c>
      <c r="Y3542" s="21">
        <f>-$B$1812</f>
        <v/>
      </c>
      <c r="Z3542" s="21">
        <f>2*$B$1811+$D$3509</f>
        <v/>
      </c>
      <c r="AA3542" s="21">
        <f>0</f>
        <v/>
      </c>
      <c r="AB3542" s="21">
        <f>-$B$1811</f>
        <v/>
      </c>
      <c r="AC3542" s="21">
        <f>$B$1812</f>
        <v/>
      </c>
      <c r="AD3542" s="21" t="n">
        <v>0</v>
      </c>
      <c r="AE3542" s="21" t="n">
        <v>0</v>
      </c>
      <c r="AF3542" s="21" t="n">
        <v>0</v>
      </c>
      <c r="AG3542" s="21" t="n">
        <v>0</v>
      </c>
      <c r="AH3542" s="21" t="n">
        <v>0</v>
      </c>
      <c r="AI3542" s="21" t="n">
        <v>0</v>
      </c>
      <c r="AJ3542" s="21" t="n">
        <v>0</v>
      </c>
      <c r="AK3542" s="21" t="n">
        <v>0</v>
      </c>
      <c r="AL3542" s="21" t="n">
        <v>0</v>
      </c>
      <c r="AM3542" s="21" t="n">
        <v>0</v>
      </c>
      <c r="AN3542" s="21" t="n">
        <v>0</v>
      </c>
      <c r="AO3542" s="21" t="n">
        <v>0</v>
      </c>
      <c r="AP3542" s="21" t="n">
        <v>0</v>
      </c>
      <c r="AQ3542" s="21" t="n">
        <v>0</v>
      </c>
      <c r="AR3542" s="21" t="n">
        <v>0</v>
      </c>
      <c r="AS3542" s="21" t="n">
        <v>0</v>
      </c>
      <c r="AT3542" s="19" t="n"/>
    </row>
    <row r="3543">
      <c r="D3543" s="21" t="n">
        <v>0</v>
      </c>
      <c r="E3543" s="21" t="n">
        <v>0</v>
      </c>
      <c r="F3543" s="21" t="n">
        <v>0</v>
      </c>
      <c r="G3543" s="21" t="n">
        <v>0</v>
      </c>
      <c r="H3543" s="21" t="n">
        <v>0</v>
      </c>
      <c r="I3543" s="21" t="n">
        <v>0</v>
      </c>
      <c r="J3543" s="21" t="n">
        <v>0</v>
      </c>
      <c r="K3543" s="21" t="n">
        <v>0</v>
      </c>
      <c r="L3543" s="21" t="n">
        <v>0</v>
      </c>
      <c r="M3543" s="21" t="n">
        <v>0</v>
      </c>
      <c r="N3543" s="21" t="n">
        <v>0</v>
      </c>
      <c r="O3543" s="21" t="n">
        <v>0</v>
      </c>
      <c r="P3543" s="21" t="n">
        <v>0</v>
      </c>
      <c r="Q3543" s="21" t="n">
        <v>0</v>
      </c>
      <c r="R3543" s="21" t="n">
        <v>0</v>
      </c>
      <c r="S3543" s="21" t="n">
        <v>0</v>
      </c>
      <c r="T3543" s="21" t="n">
        <v>0</v>
      </c>
      <c r="U3543" s="21" t="n">
        <v>0</v>
      </c>
      <c r="V3543" s="21" t="n">
        <v>0</v>
      </c>
      <c r="W3543" s="21" t="n">
        <v>0</v>
      </c>
      <c r="X3543" s="21">
        <f>$B$1812</f>
        <v/>
      </c>
      <c r="Y3543" s="21">
        <f>$B$1814</f>
        <v/>
      </c>
      <c r="Z3543" s="21">
        <f>0</f>
        <v/>
      </c>
      <c r="AA3543" s="21">
        <f>2*$B$1813</f>
        <v/>
      </c>
      <c r="AB3543" s="21">
        <f>-$B$1812</f>
        <v/>
      </c>
      <c r="AC3543" s="21">
        <f>$B$1814</f>
        <v/>
      </c>
      <c r="AD3543" s="21" t="n">
        <v>0</v>
      </c>
      <c r="AE3543" s="21" t="n">
        <v>0</v>
      </c>
      <c r="AF3543" s="21" t="n">
        <v>0</v>
      </c>
      <c r="AG3543" s="21" t="n">
        <v>0</v>
      </c>
      <c r="AH3543" s="21" t="n">
        <v>0</v>
      </c>
      <c r="AI3543" s="21" t="n">
        <v>0</v>
      </c>
      <c r="AJ3543" s="21" t="n">
        <v>0</v>
      </c>
      <c r="AK3543" s="21" t="n">
        <v>0</v>
      </c>
      <c r="AL3543" s="21" t="n">
        <v>0</v>
      </c>
      <c r="AM3543" s="21" t="n">
        <v>0</v>
      </c>
      <c r="AN3543" s="21" t="n">
        <v>0</v>
      </c>
      <c r="AO3543" s="21" t="n">
        <v>0</v>
      </c>
      <c r="AP3543" s="21" t="n">
        <v>0</v>
      </c>
      <c r="AQ3543" s="21" t="n">
        <v>0</v>
      </c>
      <c r="AR3543" s="21" t="n">
        <v>0</v>
      </c>
      <c r="AS3543" s="21" t="n">
        <v>0</v>
      </c>
      <c r="AT3543" s="19" t="n"/>
    </row>
    <row r="3544">
      <c r="D3544" s="21" t="n">
        <v>0</v>
      </c>
      <c r="E3544" s="21" t="n">
        <v>0</v>
      </c>
      <c r="F3544" s="21" t="n">
        <v>0</v>
      </c>
      <c r="G3544" s="21" t="n">
        <v>0</v>
      </c>
      <c r="H3544" s="21" t="n">
        <v>0</v>
      </c>
      <c r="I3544" s="21" t="n">
        <v>0</v>
      </c>
      <c r="J3544" s="21" t="n">
        <v>0</v>
      </c>
      <c r="K3544" s="21" t="n">
        <v>0</v>
      </c>
      <c r="L3544" s="21" t="n">
        <v>0</v>
      </c>
      <c r="M3544" s="21" t="n">
        <v>0</v>
      </c>
      <c r="N3544" s="21" t="n">
        <v>0</v>
      </c>
      <c r="O3544" s="21" t="n">
        <v>0</v>
      </c>
      <c r="P3544" s="21" t="n">
        <v>0</v>
      </c>
      <c r="Q3544" s="21" t="n">
        <v>0</v>
      </c>
      <c r="R3544" s="21" t="n">
        <v>0</v>
      </c>
      <c r="S3544" s="21" t="n">
        <v>0</v>
      </c>
      <c r="T3544" s="21" t="n">
        <v>0</v>
      </c>
      <c r="U3544" s="21" t="n">
        <v>0</v>
      </c>
      <c r="V3544" s="21" t="n">
        <v>0</v>
      </c>
      <c r="W3544" s="21" t="n">
        <v>0</v>
      </c>
      <c r="X3544" s="21" t="n">
        <v>0</v>
      </c>
      <c r="Y3544" s="21" t="n">
        <v>0</v>
      </c>
      <c r="Z3544" s="21">
        <f>-$B$1811</f>
        <v/>
      </c>
      <c r="AA3544" s="21">
        <f>-$B$1812</f>
        <v/>
      </c>
      <c r="AB3544" s="21">
        <f>2*$B$1811+$D$3510</f>
        <v/>
      </c>
      <c r="AC3544" s="21">
        <f>0</f>
        <v/>
      </c>
      <c r="AD3544" s="21">
        <f>-$B$1811</f>
        <v/>
      </c>
      <c r="AE3544" s="21">
        <f>$B$1812</f>
        <v/>
      </c>
      <c r="AF3544" s="21" t="n">
        <v>0</v>
      </c>
      <c r="AG3544" s="21" t="n">
        <v>0</v>
      </c>
      <c r="AH3544" s="21" t="n">
        <v>0</v>
      </c>
      <c r="AI3544" s="21" t="n">
        <v>0</v>
      </c>
      <c r="AJ3544" s="21" t="n">
        <v>0</v>
      </c>
      <c r="AK3544" s="21" t="n">
        <v>0</v>
      </c>
      <c r="AL3544" s="21" t="n">
        <v>0</v>
      </c>
      <c r="AM3544" s="21" t="n">
        <v>0</v>
      </c>
      <c r="AN3544" s="21" t="n">
        <v>0</v>
      </c>
      <c r="AO3544" s="21" t="n">
        <v>0</v>
      </c>
      <c r="AP3544" s="21" t="n">
        <v>0</v>
      </c>
      <c r="AQ3544" s="21" t="n">
        <v>0</v>
      </c>
      <c r="AR3544" s="21" t="n">
        <v>0</v>
      </c>
      <c r="AS3544" s="21" t="n">
        <v>0</v>
      </c>
      <c r="AT3544" s="19" t="n"/>
    </row>
    <row r="3545">
      <c r="D3545" s="21" t="n">
        <v>0</v>
      </c>
      <c r="E3545" s="21" t="n">
        <v>0</v>
      </c>
      <c r="F3545" s="21" t="n">
        <v>0</v>
      </c>
      <c r="G3545" s="21" t="n">
        <v>0</v>
      </c>
      <c r="H3545" s="21" t="n">
        <v>0</v>
      </c>
      <c r="I3545" s="21" t="n">
        <v>0</v>
      </c>
      <c r="J3545" s="21" t="n">
        <v>0</v>
      </c>
      <c r="K3545" s="21" t="n">
        <v>0</v>
      </c>
      <c r="L3545" s="21" t="n">
        <v>0</v>
      </c>
      <c r="M3545" s="21" t="n">
        <v>0</v>
      </c>
      <c r="N3545" s="21" t="n">
        <v>0</v>
      </c>
      <c r="O3545" s="21" t="n">
        <v>0</v>
      </c>
      <c r="P3545" s="21" t="n">
        <v>0</v>
      </c>
      <c r="Q3545" s="21" t="n">
        <v>0</v>
      </c>
      <c r="R3545" s="21" t="n">
        <v>0</v>
      </c>
      <c r="S3545" s="21" t="n">
        <v>0</v>
      </c>
      <c r="T3545" s="21" t="n">
        <v>0</v>
      </c>
      <c r="U3545" s="21" t="n">
        <v>0</v>
      </c>
      <c r="V3545" s="21" t="n">
        <v>0</v>
      </c>
      <c r="W3545" s="21" t="n">
        <v>0</v>
      </c>
      <c r="X3545" s="21" t="n">
        <v>0</v>
      </c>
      <c r="Y3545" s="21" t="n">
        <v>0</v>
      </c>
      <c r="Z3545" s="21">
        <f>$B$1812</f>
        <v/>
      </c>
      <c r="AA3545" s="21">
        <f>$B$1814</f>
        <v/>
      </c>
      <c r="AB3545" s="21">
        <f>0</f>
        <v/>
      </c>
      <c r="AC3545" s="21">
        <f>2*$B$1813</f>
        <v/>
      </c>
      <c r="AD3545" s="21">
        <f>-$B$1812</f>
        <v/>
      </c>
      <c r="AE3545" s="21">
        <f>$B$1814</f>
        <v/>
      </c>
      <c r="AF3545" s="21" t="n">
        <v>0</v>
      </c>
      <c r="AG3545" s="21" t="n">
        <v>0</v>
      </c>
      <c r="AH3545" s="21" t="n">
        <v>0</v>
      </c>
      <c r="AI3545" s="21" t="n">
        <v>0</v>
      </c>
      <c r="AJ3545" s="21" t="n">
        <v>0</v>
      </c>
      <c r="AK3545" s="21" t="n">
        <v>0</v>
      </c>
      <c r="AL3545" s="21" t="n">
        <v>0</v>
      </c>
      <c r="AM3545" s="21" t="n">
        <v>0</v>
      </c>
      <c r="AN3545" s="21" t="n">
        <v>0</v>
      </c>
      <c r="AO3545" s="21" t="n">
        <v>0</v>
      </c>
      <c r="AP3545" s="21" t="n">
        <v>0</v>
      </c>
      <c r="AQ3545" s="21" t="n">
        <v>0</v>
      </c>
      <c r="AR3545" s="21" t="n">
        <v>0</v>
      </c>
      <c r="AS3545" s="21" t="n">
        <v>0</v>
      </c>
      <c r="AT3545" s="19" t="n"/>
    </row>
    <row r="3546">
      <c r="D3546" s="21" t="n">
        <v>0</v>
      </c>
      <c r="E3546" s="21" t="n">
        <v>0</v>
      </c>
      <c r="F3546" s="21" t="n">
        <v>0</v>
      </c>
      <c r="G3546" s="21" t="n">
        <v>0</v>
      </c>
      <c r="H3546" s="21" t="n">
        <v>0</v>
      </c>
      <c r="I3546" s="21" t="n">
        <v>0</v>
      </c>
      <c r="J3546" s="21" t="n">
        <v>0</v>
      </c>
      <c r="K3546" s="21" t="n">
        <v>0</v>
      </c>
      <c r="L3546" s="21" t="n">
        <v>0</v>
      </c>
      <c r="M3546" s="21" t="n">
        <v>0</v>
      </c>
      <c r="N3546" s="21" t="n">
        <v>0</v>
      </c>
      <c r="O3546" s="21" t="n">
        <v>0</v>
      </c>
      <c r="P3546" s="21" t="n">
        <v>0</v>
      </c>
      <c r="Q3546" s="21" t="n">
        <v>0</v>
      </c>
      <c r="R3546" s="21" t="n">
        <v>0</v>
      </c>
      <c r="S3546" s="21" t="n">
        <v>0</v>
      </c>
      <c r="T3546" s="21" t="n">
        <v>0</v>
      </c>
      <c r="U3546" s="21" t="n">
        <v>0</v>
      </c>
      <c r="V3546" s="21" t="n">
        <v>0</v>
      </c>
      <c r="W3546" s="21" t="n">
        <v>0</v>
      </c>
      <c r="X3546" s="21" t="n">
        <v>0</v>
      </c>
      <c r="Y3546" s="21" t="n">
        <v>0</v>
      </c>
      <c r="Z3546" s="21" t="n">
        <v>0</v>
      </c>
      <c r="AA3546" s="21" t="n">
        <v>0</v>
      </c>
      <c r="AB3546" s="21">
        <f>-$B$1811</f>
        <v/>
      </c>
      <c r="AC3546" s="21">
        <f>-$B$1812</f>
        <v/>
      </c>
      <c r="AD3546" s="21">
        <f>2*$B$1811+$D$3511</f>
        <v/>
      </c>
      <c r="AE3546" s="21">
        <f>0</f>
        <v/>
      </c>
      <c r="AF3546" s="21">
        <f>-$B$1811</f>
        <v/>
      </c>
      <c r="AG3546" s="21">
        <f>$B$1812</f>
        <v/>
      </c>
      <c r="AH3546" s="21" t="n">
        <v>0</v>
      </c>
      <c r="AI3546" s="21" t="n">
        <v>0</v>
      </c>
      <c r="AJ3546" s="21" t="n">
        <v>0</v>
      </c>
      <c r="AK3546" s="21" t="n">
        <v>0</v>
      </c>
      <c r="AL3546" s="21" t="n">
        <v>0</v>
      </c>
      <c r="AM3546" s="21" t="n">
        <v>0</v>
      </c>
      <c r="AN3546" s="21" t="n">
        <v>0</v>
      </c>
      <c r="AO3546" s="21" t="n">
        <v>0</v>
      </c>
      <c r="AP3546" s="21" t="n">
        <v>0</v>
      </c>
      <c r="AQ3546" s="21" t="n">
        <v>0</v>
      </c>
      <c r="AR3546" s="21" t="n">
        <v>0</v>
      </c>
      <c r="AS3546" s="21" t="n">
        <v>0</v>
      </c>
      <c r="AT3546" s="19" t="n"/>
    </row>
    <row r="3547">
      <c r="D3547" s="21" t="n">
        <v>0</v>
      </c>
      <c r="E3547" s="21" t="n">
        <v>0</v>
      </c>
      <c r="F3547" s="21" t="n">
        <v>0</v>
      </c>
      <c r="G3547" s="21" t="n">
        <v>0</v>
      </c>
      <c r="H3547" s="21" t="n">
        <v>0</v>
      </c>
      <c r="I3547" s="21" t="n">
        <v>0</v>
      </c>
      <c r="J3547" s="21" t="n">
        <v>0</v>
      </c>
      <c r="K3547" s="21" t="n">
        <v>0</v>
      </c>
      <c r="L3547" s="21" t="n">
        <v>0</v>
      </c>
      <c r="M3547" s="21" t="n">
        <v>0</v>
      </c>
      <c r="N3547" s="21" t="n">
        <v>0</v>
      </c>
      <c r="O3547" s="21" t="n">
        <v>0</v>
      </c>
      <c r="P3547" s="21" t="n">
        <v>0</v>
      </c>
      <c r="Q3547" s="21" t="n">
        <v>0</v>
      </c>
      <c r="R3547" s="21" t="n">
        <v>0</v>
      </c>
      <c r="S3547" s="21" t="n">
        <v>0</v>
      </c>
      <c r="T3547" s="21" t="n">
        <v>0</v>
      </c>
      <c r="U3547" s="21" t="n">
        <v>0</v>
      </c>
      <c r="V3547" s="21" t="n">
        <v>0</v>
      </c>
      <c r="W3547" s="21" t="n">
        <v>0</v>
      </c>
      <c r="X3547" s="21" t="n">
        <v>0</v>
      </c>
      <c r="Y3547" s="21" t="n">
        <v>0</v>
      </c>
      <c r="Z3547" s="21" t="n">
        <v>0</v>
      </c>
      <c r="AA3547" s="21" t="n">
        <v>0</v>
      </c>
      <c r="AB3547" s="21">
        <f>$B$1812</f>
        <v/>
      </c>
      <c r="AC3547" s="21">
        <f>$B$1814</f>
        <v/>
      </c>
      <c r="AD3547" s="21">
        <f>0</f>
        <v/>
      </c>
      <c r="AE3547" s="21">
        <f>2*$B$1813</f>
        <v/>
      </c>
      <c r="AF3547" s="21">
        <f>-$B$1812</f>
        <v/>
      </c>
      <c r="AG3547" s="21">
        <f>$B$1814</f>
        <v/>
      </c>
      <c r="AH3547" s="21" t="n">
        <v>0</v>
      </c>
      <c r="AI3547" s="21" t="n">
        <v>0</v>
      </c>
      <c r="AJ3547" s="21" t="n">
        <v>0</v>
      </c>
      <c r="AK3547" s="21" t="n">
        <v>0</v>
      </c>
      <c r="AL3547" s="21" t="n">
        <v>0</v>
      </c>
      <c r="AM3547" s="21" t="n">
        <v>0</v>
      </c>
      <c r="AN3547" s="21" t="n">
        <v>0</v>
      </c>
      <c r="AO3547" s="21" t="n">
        <v>0</v>
      </c>
      <c r="AP3547" s="21" t="n">
        <v>0</v>
      </c>
      <c r="AQ3547" s="21" t="n">
        <v>0</v>
      </c>
      <c r="AR3547" s="21" t="n">
        <v>0</v>
      </c>
      <c r="AS3547" s="21" t="n">
        <v>0</v>
      </c>
      <c r="AT3547" s="19" t="n"/>
    </row>
    <row r="3548">
      <c r="D3548" s="21" t="n">
        <v>0</v>
      </c>
      <c r="E3548" s="21" t="n">
        <v>0</v>
      </c>
      <c r="F3548" s="21" t="n">
        <v>0</v>
      </c>
      <c r="G3548" s="21" t="n">
        <v>0</v>
      </c>
      <c r="H3548" s="21" t="n">
        <v>0</v>
      </c>
      <c r="I3548" s="21" t="n">
        <v>0</v>
      </c>
      <c r="J3548" s="21" t="n">
        <v>0</v>
      </c>
      <c r="K3548" s="21" t="n">
        <v>0</v>
      </c>
      <c r="L3548" s="21" t="n">
        <v>0</v>
      </c>
      <c r="M3548" s="21" t="n">
        <v>0</v>
      </c>
      <c r="N3548" s="21" t="n">
        <v>0</v>
      </c>
      <c r="O3548" s="21" t="n">
        <v>0</v>
      </c>
      <c r="P3548" s="21" t="n">
        <v>0</v>
      </c>
      <c r="Q3548" s="21" t="n">
        <v>0</v>
      </c>
      <c r="R3548" s="21" t="n">
        <v>0</v>
      </c>
      <c r="S3548" s="21" t="n">
        <v>0</v>
      </c>
      <c r="T3548" s="21" t="n">
        <v>0</v>
      </c>
      <c r="U3548" s="21" t="n">
        <v>0</v>
      </c>
      <c r="V3548" s="21" t="n">
        <v>0</v>
      </c>
      <c r="W3548" s="21" t="n">
        <v>0</v>
      </c>
      <c r="X3548" s="21" t="n">
        <v>0</v>
      </c>
      <c r="Y3548" s="21" t="n">
        <v>0</v>
      </c>
      <c r="Z3548" s="21" t="n">
        <v>0</v>
      </c>
      <c r="AA3548" s="21" t="n">
        <v>0</v>
      </c>
      <c r="AB3548" s="21" t="n">
        <v>0</v>
      </c>
      <c r="AC3548" s="21" t="n">
        <v>0</v>
      </c>
      <c r="AD3548" s="21">
        <f>-$B$1811</f>
        <v/>
      </c>
      <c r="AE3548" s="21">
        <f>-$B$1812</f>
        <v/>
      </c>
      <c r="AF3548" s="21">
        <f>2*$B$1811+$D$3512</f>
        <v/>
      </c>
      <c r="AG3548" s="21">
        <f>0</f>
        <v/>
      </c>
      <c r="AH3548" s="21">
        <f>-$B$1811</f>
        <v/>
      </c>
      <c r="AI3548" s="21">
        <f>$B$1812</f>
        <v/>
      </c>
      <c r="AJ3548" s="21" t="n">
        <v>0</v>
      </c>
      <c r="AK3548" s="21" t="n">
        <v>0</v>
      </c>
      <c r="AL3548" s="21" t="n">
        <v>0</v>
      </c>
      <c r="AM3548" s="21" t="n">
        <v>0</v>
      </c>
      <c r="AN3548" s="21" t="n">
        <v>0</v>
      </c>
      <c r="AO3548" s="21" t="n">
        <v>0</v>
      </c>
      <c r="AP3548" s="21" t="n">
        <v>0</v>
      </c>
      <c r="AQ3548" s="21" t="n">
        <v>0</v>
      </c>
      <c r="AR3548" s="21" t="n">
        <v>0</v>
      </c>
      <c r="AS3548" s="21" t="n">
        <v>0</v>
      </c>
      <c r="AT3548" s="19" t="n"/>
    </row>
    <row r="3549">
      <c r="D3549" s="21" t="n">
        <v>0</v>
      </c>
      <c r="E3549" s="21" t="n">
        <v>0</v>
      </c>
      <c r="F3549" s="21" t="n">
        <v>0</v>
      </c>
      <c r="G3549" s="21" t="n">
        <v>0</v>
      </c>
      <c r="H3549" s="21" t="n">
        <v>0</v>
      </c>
      <c r="I3549" s="21" t="n">
        <v>0</v>
      </c>
      <c r="J3549" s="21" t="n">
        <v>0</v>
      </c>
      <c r="K3549" s="21" t="n">
        <v>0</v>
      </c>
      <c r="L3549" s="21" t="n">
        <v>0</v>
      </c>
      <c r="M3549" s="21" t="n">
        <v>0</v>
      </c>
      <c r="N3549" s="21" t="n">
        <v>0</v>
      </c>
      <c r="O3549" s="21" t="n">
        <v>0</v>
      </c>
      <c r="P3549" s="21" t="n">
        <v>0</v>
      </c>
      <c r="Q3549" s="21" t="n">
        <v>0</v>
      </c>
      <c r="R3549" s="21" t="n">
        <v>0</v>
      </c>
      <c r="S3549" s="21" t="n">
        <v>0</v>
      </c>
      <c r="T3549" s="21" t="n">
        <v>0</v>
      </c>
      <c r="U3549" s="21" t="n">
        <v>0</v>
      </c>
      <c r="V3549" s="21" t="n">
        <v>0</v>
      </c>
      <c r="W3549" s="21" t="n">
        <v>0</v>
      </c>
      <c r="X3549" s="21" t="n">
        <v>0</v>
      </c>
      <c r="Y3549" s="21" t="n">
        <v>0</v>
      </c>
      <c r="Z3549" s="21" t="n">
        <v>0</v>
      </c>
      <c r="AA3549" s="21" t="n">
        <v>0</v>
      </c>
      <c r="AB3549" s="21" t="n">
        <v>0</v>
      </c>
      <c r="AC3549" s="21" t="n">
        <v>0</v>
      </c>
      <c r="AD3549" s="21">
        <f>$B$1812</f>
        <v/>
      </c>
      <c r="AE3549" s="21">
        <f>$B$1814</f>
        <v/>
      </c>
      <c r="AF3549" s="21">
        <f>0</f>
        <v/>
      </c>
      <c r="AG3549" s="21">
        <f>2*$B$1813</f>
        <v/>
      </c>
      <c r="AH3549" s="21">
        <f>-$B$1812</f>
        <v/>
      </c>
      <c r="AI3549" s="21">
        <f>$B$1814</f>
        <v/>
      </c>
      <c r="AJ3549" s="21" t="n">
        <v>0</v>
      </c>
      <c r="AK3549" s="21" t="n">
        <v>0</v>
      </c>
      <c r="AL3549" s="21" t="n">
        <v>0</v>
      </c>
      <c r="AM3549" s="21" t="n">
        <v>0</v>
      </c>
      <c r="AN3549" s="21" t="n">
        <v>0</v>
      </c>
      <c r="AO3549" s="21" t="n">
        <v>0</v>
      </c>
      <c r="AP3549" s="21" t="n">
        <v>0</v>
      </c>
      <c r="AQ3549" s="21" t="n">
        <v>0</v>
      </c>
      <c r="AR3549" s="21" t="n">
        <v>0</v>
      </c>
      <c r="AS3549" s="21" t="n">
        <v>0</v>
      </c>
      <c r="AT3549" s="19" t="n"/>
    </row>
    <row r="3550">
      <c r="D3550" s="21" t="n">
        <v>0</v>
      </c>
      <c r="E3550" s="21" t="n">
        <v>0</v>
      </c>
      <c r="F3550" s="21" t="n">
        <v>0</v>
      </c>
      <c r="G3550" s="21" t="n">
        <v>0</v>
      </c>
      <c r="H3550" s="21" t="n">
        <v>0</v>
      </c>
      <c r="I3550" s="21" t="n">
        <v>0</v>
      </c>
      <c r="J3550" s="21" t="n">
        <v>0</v>
      </c>
      <c r="K3550" s="21" t="n">
        <v>0</v>
      </c>
      <c r="L3550" s="21" t="n">
        <v>0</v>
      </c>
      <c r="M3550" s="21" t="n">
        <v>0</v>
      </c>
      <c r="N3550" s="21" t="n">
        <v>0</v>
      </c>
      <c r="O3550" s="21" t="n">
        <v>0</v>
      </c>
      <c r="P3550" s="21" t="n">
        <v>0</v>
      </c>
      <c r="Q3550" s="21" t="n">
        <v>0</v>
      </c>
      <c r="R3550" s="21" t="n">
        <v>0</v>
      </c>
      <c r="S3550" s="21" t="n">
        <v>0</v>
      </c>
      <c r="T3550" s="21" t="n">
        <v>0</v>
      </c>
      <c r="U3550" s="21" t="n">
        <v>0</v>
      </c>
      <c r="V3550" s="21" t="n">
        <v>0</v>
      </c>
      <c r="W3550" s="21" t="n">
        <v>0</v>
      </c>
      <c r="X3550" s="21" t="n">
        <v>0</v>
      </c>
      <c r="Y3550" s="21" t="n">
        <v>0</v>
      </c>
      <c r="Z3550" s="21" t="n">
        <v>0</v>
      </c>
      <c r="AA3550" s="21" t="n">
        <v>0</v>
      </c>
      <c r="AB3550" s="21" t="n">
        <v>0</v>
      </c>
      <c r="AC3550" s="21" t="n">
        <v>0</v>
      </c>
      <c r="AD3550" s="21" t="n">
        <v>0</v>
      </c>
      <c r="AE3550" s="21" t="n">
        <v>0</v>
      </c>
      <c r="AF3550" s="21">
        <f>-$B$1811</f>
        <v/>
      </c>
      <c r="AG3550" s="21">
        <f>-$B$1812</f>
        <v/>
      </c>
      <c r="AH3550" s="21">
        <f>2*$B$1811+$D$3513</f>
        <v/>
      </c>
      <c r="AI3550" s="21">
        <f>0</f>
        <v/>
      </c>
      <c r="AJ3550" s="21">
        <f>-$B$1811</f>
        <v/>
      </c>
      <c r="AK3550" s="21">
        <f>$B$1812</f>
        <v/>
      </c>
      <c r="AL3550" s="21" t="n">
        <v>0</v>
      </c>
      <c r="AM3550" s="21" t="n">
        <v>0</v>
      </c>
      <c r="AN3550" s="21" t="n">
        <v>0</v>
      </c>
      <c r="AO3550" s="21" t="n">
        <v>0</v>
      </c>
      <c r="AP3550" s="21" t="n">
        <v>0</v>
      </c>
      <c r="AQ3550" s="21" t="n">
        <v>0</v>
      </c>
      <c r="AR3550" s="21" t="n">
        <v>0</v>
      </c>
      <c r="AS3550" s="21" t="n">
        <v>0</v>
      </c>
      <c r="AT3550" s="19" t="n"/>
    </row>
    <row r="3551">
      <c r="D3551" s="21" t="n">
        <v>0</v>
      </c>
      <c r="E3551" s="21" t="n">
        <v>0</v>
      </c>
      <c r="F3551" s="21" t="n">
        <v>0</v>
      </c>
      <c r="G3551" s="21" t="n">
        <v>0</v>
      </c>
      <c r="H3551" s="21" t="n">
        <v>0</v>
      </c>
      <c r="I3551" s="21" t="n">
        <v>0</v>
      </c>
      <c r="J3551" s="21" t="n">
        <v>0</v>
      </c>
      <c r="K3551" s="21" t="n">
        <v>0</v>
      </c>
      <c r="L3551" s="21" t="n">
        <v>0</v>
      </c>
      <c r="M3551" s="21" t="n">
        <v>0</v>
      </c>
      <c r="N3551" s="21" t="n">
        <v>0</v>
      </c>
      <c r="O3551" s="21" t="n">
        <v>0</v>
      </c>
      <c r="P3551" s="21" t="n">
        <v>0</v>
      </c>
      <c r="Q3551" s="21" t="n">
        <v>0</v>
      </c>
      <c r="R3551" s="21" t="n">
        <v>0</v>
      </c>
      <c r="S3551" s="21" t="n">
        <v>0</v>
      </c>
      <c r="T3551" s="21" t="n">
        <v>0</v>
      </c>
      <c r="U3551" s="21" t="n">
        <v>0</v>
      </c>
      <c r="V3551" s="21" t="n">
        <v>0</v>
      </c>
      <c r="W3551" s="21" t="n">
        <v>0</v>
      </c>
      <c r="X3551" s="21" t="n">
        <v>0</v>
      </c>
      <c r="Y3551" s="21" t="n">
        <v>0</v>
      </c>
      <c r="Z3551" s="21" t="n">
        <v>0</v>
      </c>
      <c r="AA3551" s="21" t="n">
        <v>0</v>
      </c>
      <c r="AB3551" s="21" t="n">
        <v>0</v>
      </c>
      <c r="AC3551" s="21" t="n">
        <v>0</v>
      </c>
      <c r="AD3551" s="21" t="n">
        <v>0</v>
      </c>
      <c r="AE3551" s="21" t="n">
        <v>0</v>
      </c>
      <c r="AF3551" s="21">
        <f>$B$1812</f>
        <v/>
      </c>
      <c r="AG3551" s="21">
        <f>$B$1814</f>
        <v/>
      </c>
      <c r="AH3551" s="21">
        <f>0</f>
        <v/>
      </c>
      <c r="AI3551" s="21">
        <f>2*$B$1813</f>
        <v/>
      </c>
      <c r="AJ3551" s="21">
        <f>-$B$1812</f>
        <v/>
      </c>
      <c r="AK3551" s="21">
        <f>$B$1814</f>
        <v/>
      </c>
      <c r="AL3551" s="21" t="n">
        <v>0</v>
      </c>
      <c r="AM3551" s="21" t="n">
        <v>0</v>
      </c>
      <c r="AN3551" s="21" t="n">
        <v>0</v>
      </c>
      <c r="AO3551" s="21" t="n">
        <v>0</v>
      </c>
      <c r="AP3551" s="21" t="n">
        <v>0</v>
      </c>
      <c r="AQ3551" s="21" t="n">
        <v>0</v>
      </c>
      <c r="AR3551" s="21" t="n">
        <v>0</v>
      </c>
      <c r="AS3551" s="21" t="n">
        <v>0</v>
      </c>
      <c r="AT3551" s="19" t="n"/>
    </row>
    <row r="3552">
      <c r="D3552" s="21" t="n">
        <v>0</v>
      </c>
      <c r="E3552" s="21" t="n">
        <v>0</v>
      </c>
      <c r="F3552" s="21" t="n">
        <v>0</v>
      </c>
      <c r="G3552" s="21" t="n">
        <v>0</v>
      </c>
      <c r="H3552" s="21" t="n">
        <v>0</v>
      </c>
      <c r="I3552" s="21" t="n">
        <v>0</v>
      </c>
      <c r="J3552" s="21" t="n">
        <v>0</v>
      </c>
      <c r="K3552" s="21" t="n">
        <v>0</v>
      </c>
      <c r="L3552" s="21" t="n">
        <v>0</v>
      </c>
      <c r="M3552" s="21" t="n">
        <v>0</v>
      </c>
      <c r="N3552" s="21" t="n">
        <v>0</v>
      </c>
      <c r="O3552" s="21" t="n">
        <v>0</v>
      </c>
      <c r="P3552" s="21" t="n">
        <v>0</v>
      </c>
      <c r="Q3552" s="21" t="n">
        <v>0</v>
      </c>
      <c r="R3552" s="21" t="n">
        <v>0</v>
      </c>
      <c r="S3552" s="21" t="n">
        <v>0</v>
      </c>
      <c r="T3552" s="21" t="n">
        <v>0</v>
      </c>
      <c r="U3552" s="21" t="n">
        <v>0</v>
      </c>
      <c r="V3552" s="21" t="n">
        <v>0</v>
      </c>
      <c r="W3552" s="21" t="n">
        <v>0</v>
      </c>
      <c r="X3552" s="21" t="n">
        <v>0</v>
      </c>
      <c r="Y3552" s="21" t="n">
        <v>0</v>
      </c>
      <c r="Z3552" s="21" t="n">
        <v>0</v>
      </c>
      <c r="AA3552" s="21" t="n">
        <v>0</v>
      </c>
      <c r="AB3552" s="21" t="n">
        <v>0</v>
      </c>
      <c r="AC3552" s="21" t="n">
        <v>0</v>
      </c>
      <c r="AD3552" s="21" t="n">
        <v>0</v>
      </c>
      <c r="AE3552" s="21" t="n">
        <v>0</v>
      </c>
      <c r="AF3552" s="21" t="n">
        <v>0</v>
      </c>
      <c r="AG3552" s="21" t="n">
        <v>0</v>
      </c>
      <c r="AH3552" s="21">
        <f>-$B$1811</f>
        <v/>
      </c>
      <c r="AI3552" s="21">
        <f>-$B$1812</f>
        <v/>
      </c>
      <c r="AJ3552" s="21">
        <f>2*$B$1811+$D$3514</f>
        <v/>
      </c>
      <c r="AK3552" s="21">
        <f>0</f>
        <v/>
      </c>
      <c r="AL3552" s="21">
        <f>-$B$1811</f>
        <v/>
      </c>
      <c r="AM3552" s="21">
        <f>$B$1812</f>
        <v/>
      </c>
      <c r="AN3552" s="21" t="n">
        <v>0</v>
      </c>
      <c r="AO3552" s="21" t="n">
        <v>0</v>
      </c>
      <c r="AP3552" s="21" t="n">
        <v>0</v>
      </c>
      <c r="AQ3552" s="21" t="n">
        <v>0</v>
      </c>
      <c r="AR3552" s="21" t="n">
        <v>0</v>
      </c>
      <c r="AS3552" s="21" t="n">
        <v>0</v>
      </c>
      <c r="AT3552" s="19" t="n"/>
    </row>
    <row r="3553">
      <c r="D3553" s="21" t="n">
        <v>0</v>
      </c>
      <c r="E3553" s="21" t="n">
        <v>0</v>
      </c>
      <c r="F3553" s="21" t="n">
        <v>0</v>
      </c>
      <c r="G3553" s="21" t="n">
        <v>0</v>
      </c>
      <c r="H3553" s="21" t="n">
        <v>0</v>
      </c>
      <c r="I3553" s="21" t="n">
        <v>0</v>
      </c>
      <c r="J3553" s="21" t="n">
        <v>0</v>
      </c>
      <c r="K3553" s="21" t="n">
        <v>0</v>
      </c>
      <c r="L3553" s="21" t="n">
        <v>0</v>
      </c>
      <c r="M3553" s="21" t="n">
        <v>0</v>
      </c>
      <c r="N3553" s="21" t="n">
        <v>0</v>
      </c>
      <c r="O3553" s="21" t="n">
        <v>0</v>
      </c>
      <c r="P3553" s="21" t="n">
        <v>0</v>
      </c>
      <c r="Q3553" s="21" t="n">
        <v>0</v>
      </c>
      <c r="R3553" s="21" t="n">
        <v>0</v>
      </c>
      <c r="S3553" s="21" t="n">
        <v>0</v>
      </c>
      <c r="T3553" s="21" t="n">
        <v>0</v>
      </c>
      <c r="U3553" s="21" t="n">
        <v>0</v>
      </c>
      <c r="V3553" s="21" t="n">
        <v>0</v>
      </c>
      <c r="W3553" s="21" t="n">
        <v>0</v>
      </c>
      <c r="X3553" s="21" t="n">
        <v>0</v>
      </c>
      <c r="Y3553" s="21" t="n">
        <v>0</v>
      </c>
      <c r="Z3553" s="21" t="n">
        <v>0</v>
      </c>
      <c r="AA3553" s="21" t="n">
        <v>0</v>
      </c>
      <c r="AB3553" s="21" t="n">
        <v>0</v>
      </c>
      <c r="AC3553" s="21" t="n">
        <v>0</v>
      </c>
      <c r="AD3553" s="21" t="n">
        <v>0</v>
      </c>
      <c r="AE3553" s="21" t="n">
        <v>0</v>
      </c>
      <c r="AF3553" s="21" t="n">
        <v>0</v>
      </c>
      <c r="AG3553" s="21" t="n">
        <v>0</v>
      </c>
      <c r="AH3553" s="21">
        <f>$B$1812</f>
        <v/>
      </c>
      <c r="AI3553" s="21">
        <f>$B$1814</f>
        <v/>
      </c>
      <c r="AJ3553" s="21">
        <f>0</f>
        <v/>
      </c>
      <c r="AK3553" s="21">
        <f>2*$B$1813</f>
        <v/>
      </c>
      <c r="AL3553" s="21">
        <f>-$B$1812</f>
        <v/>
      </c>
      <c r="AM3553" s="21">
        <f>$B$1814</f>
        <v/>
      </c>
      <c r="AN3553" s="21" t="n">
        <v>0</v>
      </c>
      <c r="AO3553" s="21" t="n">
        <v>0</v>
      </c>
      <c r="AP3553" s="21" t="n">
        <v>0</v>
      </c>
      <c r="AQ3553" s="21" t="n">
        <v>0</v>
      </c>
      <c r="AR3553" s="21" t="n">
        <v>0</v>
      </c>
      <c r="AS3553" s="21" t="n">
        <v>0</v>
      </c>
      <c r="AT3553" s="19" t="n"/>
    </row>
    <row r="3554">
      <c r="D3554" s="21" t="n">
        <v>0</v>
      </c>
      <c r="E3554" s="21" t="n">
        <v>0</v>
      </c>
      <c r="F3554" s="21" t="n">
        <v>0</v>
      </c>
      <c r="G3554" s="21" t="n">
        <v>0</v>
      </c>
      <c r="H3554" s="21" t="n">
        <v>0</v>
      </c>
      <c r="I3554" s="21" t="n">
        <v>0</v>
      </c>
      <c r="J3554" s="21" t="n">
        <v>0</v>
      </c>
      <c r="K3554" s="21" t="n">
        <v>0</v>
      </c>
      <c r="L3554" s="21" t="n">
        <v>0</v>
      </c>
      <c r="M3554" s="21" t="n">
        <v>0</v>
      </c>
      <c r="N3554" s="21" t="n">
        <v>0</v>
      </c>
      <c r="O3554" s="21" t="n">
        <v>0</v>
      </c>
      <c r="P3554" s="21" t="n">
        <v>0</v>
      </c>
      <c r="Q3554" s="21" t="n">
        <v>0</v>
      </c>
      <c r="R3554" s="21" t="n">
        <v>0</v>
      </c>
      <c r="S3554" s="21" t="n">
        <v>0</v>
      </c>
      <c r="T3554" s="21" t="n">
        <v>0</v>
      </c>
      <c r="U3554" s="21" t="n">
        <v>0</v>
      </c>
      <c r="V3554" s="21" t="n">
        <v>0</v>
      </c>
      <c r="W3554" s="21" t="n">
        <v>0</v>
      </c>
      <c r="X3554" s="21" t="n">
        <v>0</v>
      </c>
      <c r="Y3554" s="21" t="n">
        <v>0</v>
      </c>
      <c r="Z3554" s="21" t="n">
        <v>0</v>
      </c>
      <c r="AA3554" s="21" t="n">
        <v>0</v>
      </c>
      <c r="AB3554" s="21" t="n">
        <v>0</v>
      </c>
      <c r="AC3554" s="21" t="n">
        <v>0</v>
      </c>
      <c r="AD3554" s="21" t="n">
        <v>0</v>
      </c>
      <c r="AE3554" s="21" t="n">
        <v>0</v>
      </c>
      <c r="AF3554" s="21" t="n">
        <v>0</v>
      </c>
      <c r="AG3554" s="21" t="n">
        <v>0</v>
      </c>
      <c r="AH3554" s="21" t="n">
        <v>0</v>
      </c>
      <c r="AI3554" s="21" t="n">
        <v>0</v>
      </c>
      <c r="AJ3554" s="21">
        <f>-$B$1811</f>
        <v/>
      </c>
      <c r="AK3554" s="21">
        <f>-$B$1812</f>
        <v/>
      </c>
      <c r="AL3554" s="21">
        <f>2*$B$1811+$D$3515</f>
        <v/>
      </c>
      <c r="AM3554" s="21">
        <f>0</f>
        <v/>
      </c>
      <c r="AN3554" s="21">
        <f>-$B$1811</f>
        <v/>
      </c>
      <c r="AO3554" s="21">
        <f>$B$1812</f>
        <v/>
      </c>
      <c r="AP3554" s="21" t="n">
        <v>0</v>
      </c>
      <c r="AQ3554" s="21" t="n">
        <v>0</v>
      </c>
      <c r="AR3554" s="21" t="n">
        <v>0</v>
      </c>
      <c r="AS3554" s="21" t="n">
        <v>0</v>
      </c>
      <c r="AT3554" s="19" t="n"/>
    </row>
    <row r="3555">
      <c r="D3555" s="21" t="n">
        <v>0</v>
      </c>
      <c r="E3555" s="21" t="n">
        <v>0</v>
      </c>
      <c r="F3555" s="21" t="n">
        <v>0</v>
      </c>
      <c r="G3555" s="21" t="n">
        <v>0</v>
      </c>
      <c r="H3555" s="21" t="n">
        <v>0</v>
      </c>
      <c r="I3555" s="21" t="n">
        <v>0</v>
      </c>
      <c r="J3555" s="21" t="n">
        <v>0</v>
      </c>
      <c r="K3555" s="21" t="n">
        <v>0</v>
      </c>
      <c r="L3555" s="21" t="n">
        <v>0</v>
      </c>
      <c r="M3555" s="21" t="n">
        <v>0</v>
      </c>
      <c r="N3555" s="21" t="n">
        <v>0</v>
      </c>
      <c r="O3555" s="21" t="n">
        <v>0</v>
      </c>
      <c r="P3555" s="21" t="n">
        <v>0</v>
      </c>
      <c r="Q3555" s="21" t="n">
        <v>0</v>
      </c>
      <c r="R3555" s="21" t="n">
        <v>0</v>
      </c>
      <c r="S3555" s="21" t="n">
        <v>0</v>
      </c>
      <c r="T3555" s="21" t="n">
        <v>0</v>
      </c>
      <c r="U3555" s="21" t="n">
        <v>0</v>
      </c>
      <c r="V3555" s="21" t="n">
        <v>0</v>
      </c>
      <c r="W3555" s="21" t="n">
        <v>0</v>
      </c>
      <c r="X3555" s="21" t="n">
        <v>0</v>
      </c>
      <c r="Y3555" s="21" t="n">
        <v>0</v>
      </c>
      <c r="Z3555" s="21" t="n">
        <v>0</v>
      </c>
      <c r="AA3555" s="21" t="n">
        <v>0</v>
      </c>
      <c r="AB3555" s="21" t="n">
        <v>0</v>
      </c>
      <c r="AC3555" s="21" t="n">
        <v>0</v>
      </c>
      <c r="AD3555" s="21" t="n">
        <v>0</v>
      </c>
      <c r="AE3555" s="21" t="n">
        <v>0</v>
      </c>
      <c r="AF3555" s="21" t="n">
        <v>0</v>
      </c>
      <c r="AG3555" s="21" t="n">
        <v>0</v>
      </c>
      <c r="AH3555" s="21" t="n">
        <v>0</v>
      </c>
      <c r="AI3555" s="21" t="n">
        <v>0</v>
      </c>
      <c r="AJ3555" s="21">
        <f>$B$1812</f>
        <v/>
      </c>
      <c r="AK3555" s="21">
        <f>$B$1814</f>
        <v/>
      </c>
      <c r="AL3555" s="21">
        <f>0</f>
        <v/>
      </c>
      <c r="AM3555" s="21">
        <f>2*$B$1813</f>
        <v/>
      </c>
      <c r="AN3555" s="21">
        <f>-$B$1812</f>
        <v/>
      </c>
      <c r="AO3555" s="21">
        <f>$B$1814</f>
        <v/>
      </c>
      <c r="AP3555" s="21" t="n">
        <v>0</v>
      </c>
      <c r="AQ3555" s="21" t="n">
        <v>0</v>
      </c>
      <c r="AR3555" s="21" t="n">
        <v>0</v>
      </c>
      <c r="AS3555" s="21" t="n">
        <v>0</v>
      </c>
      <c r="AT3555" s="19" t="n"/>
    </row>
    <row r="3556">
      <c r="D3556" s="21" t="n">
        <v>0</v>
      </c>
      <c r="E3556" s="21" t="n">
        <v>0</v>
      </c>
      <c r="F3556" s="21" t="n">
        <v>0</v>
      </c>
      <c r="G3556" s="21" t="n">
        <v>0</v>
      </c>
      <c r="H3556" s="21" t="n">
        <v>0</v>
      </c>
      <c r="I3556" s="21" t="n">
        <v>0</v>
      </c>
      <c r="J3556" s="21" t="n">
        <v>0</v>
      </c>
      <c r="K3556" s="21" t="n">
        <v>0</v>
      </c>
      <c r="L3556" s="21" t="n">
        <v>0</v>
      </c>
      <c r="M3556" s="21" t="n">
        <v>0</v>
      </c>
      <c r="N3556" s="21" t="n">
        <v>0</v>
      </c>
      <c r="O3556" s="21" t="n">
        <v>0</v>
      </c>
      <c r="P3556" s="21" t="n">
        <v>0</v>
      </c>
      <c r="Q3556" s="21" t="n">
        <v>0</v>
      </c>
      <c r="R3556" s="21" t="n">
        <v>0</v>
      </c>
      <c r="S3556" s="21" t="n">
        <v>0</v>
      </c>
      <c r="T3556" s="21" t="n">
        <v>0</v>
      </c>
      <c r="U3556" s="21" t="n">
        <v>0</v>
      </c>
      <c r="V3556" s="21" t="n">
        <v>0</v>
      </c>
      <c r="W3556" s="21" t="n">
        <v>0</v>
      </c>
      <c r="X3556" s="21" t="n">
        <v>0</v>
      </c>
      <c r="Y3556" s="21" t="n">
        <v>0</v>
      </c>
      <c r="Z3556" s="21" t="n">
        <v>0</v>
      </c>
      <c r="AA3556" s="21" t="n">
        <v>0</v>
      </c>
      <c r="AB3556" s="21" t="n">
        <v>0</v>
      </c>
      <c r="AC3556" s="21" t="n">
        <v>0</v>
      </c>
      <c r="AD3556" s="21" t="n">
        <v>0</v>
      </c>
      <c r="AE3556" s="21" t="n">
        <v>0</v>
      </c>
      <c r="AF3556" s="21" t="n">
        <v>0</v>
      </c>
      <c r="AG3556" s="21" t="n">
        <v>0</v>
      </c>
      <c r="AH3556" s="21" t="n">
        <v>0</v>
      </c>
      <c r="AI3556" s="21" t="n">
        <v>0</v>
      </c>
      <c r="AJ3556" s="21" t="n">
        <v>0</v>
      </c>
      <c r="AK3556" s="21" t="n">
        <v>0</v>
      </c>
      <c r="AL3556" s="21">
        <f>-$B$1811</f>
        <v/>
      </c>
      <c r="AM3556" s="21">
        <f>-$B$1812</f>
        <v/>
      </c>
      <c r="AN3556" s="21">
        <f>2*$B$1811+$D$3516</f>
        <v/>
      </c>
      <c r="AO3556" s="21">
        <f>0</f>
        <v/>
      </c>
      <c r="AP3556" s="21">
        <f>-$B$1811</f>
        <v/>
      </c>
      <c r="AQ3556" s="21">
        <f>$B$1812</f>
        <v/>
      </c>
      <c r="AR3556" s="21" t="n">
        <v>0</v>
      </c>
      <c r="AS3556" s="21" t="n">
        <v>0</v>
      </c>
      <c r="AT3556" s="19" t="n"/>
    </row>
    <row r="3557">
      <c r="D3557" s="21" t="n">
        <v>0</v>
      </c>
      <c r="E3557" s="21" t="n">
        <v>0</v>
      </c>
      <c r="F3557" s="21" t="n">
        <v>0</v>
      </c>
      <c r="G3557" s="21" t="n">
        <v>0</v>
      </c>
      <c r="H3557" s="21" t="n">
        <v>0</v>
      </c>
      <c r="I3557" s="21" t="n">
        <v>0</v>
      </c>
      <c r="J3557" s="21" t="n">
        <v>0</v>
      </c>
      <c r="K3557" s="21" t="n">
        <v>0</v>
      </c>
      <c r="L3557" s="21" t="n">
        <v>0</v>
      </c>
      <c r="M3557" s="21" t="n">
        <v>0</v>
      </c>
      <c r="N3557" s="21" t="n">
        <v>0</v>
      </c>
      <c r="O3557" s="21" t="n">
        <v>0</v>
      </c>
      <c r="P3557" s="21" t="n">
        <v>0</v>
      </c>
      <c r="Q3557" s="21" t="n">
        <v>0</v>
      </c>
      <c r="R3557" s="21" t="n">
        <v>0</v>
      </c>
      <c r="S3557" s="21" t="n">
        <v>0</v>
      </c>
      <c r="T3557" s="21" t="n">
        <v>0</v>
      </c>
      <c r="U3557" s="21" t="n">
        <v>0</v>
      </c>
      <c r="V3557" s="21" t="n">
        <v>0</v>
      </c>
      <c r="W3557" s="21" t="n">
        <v>0</v>
      </c>
      <c r="X3557" s="21" t="n">
        <v>0</v>
      </c>
      <c r="Y3557" s="21" t="n">
        <v>0</v>
      </c>
      <c r="Z3557" s="21" t="n">
        <v>0</v>
      </c>
      <c r="AA3557" s="21" t="n">
        <v>0</v>
      </c>
      <c r="AB3557" s="21" t="n">
        <v>0</v>
      </c>
      <c r="AC3557" s="21" t="n">
        <v>0</v>
      </c>
      <c r="AD3557" s="21" t="n">
        <v>0</v>
      </c>
      <c r="AE3557" s="21" t="n">
        <v>0</v>
      </c>
      <c r="AF3557" s="21" t="n">
        <v>0</v>
      </c>
      <c r="AG3557" s="21" t="n">
        <v>0</v>
      </c>
      <c r="AH3557" s="21" t="n">
        <v>0</v>
      </c>
      <c r="AI3557" s="21" t="n">
        <v>0</v>
      </c>
      <c r="AJ3557" s="21" t="n">
        <v>0</v>
      </c>
      <c r="AK3557" s="21" t="n">
        <v>0</v>
      </c>
      <c r="AL3557" s="21">
        <f>$B$1812</f>
        <v/>
      </c>
      <c r="AM3557" s="21">
        <f>$B$1814</f>
        <v/>
      </c>
      <c r="AN3557" s="21">
        <f>0</f>
        <v/>
      </c>
      <c r="AO3557" s="21">
        <f>2*$B$1813</f>
        <v/>
      </c>
      <c r="AP3557" s="21">
        <f>-$B$1812</f>
        <v/>
      </c>
      <c r="AQ3557" s="21">
        <f>$B$1814</f>
        <v/>
      </c>
      <c r="AR3557" s="21" t="n">
        <v>0</v>
      </c>
      <c r="AS3557" s="21" t="n">
        <v>0</v>
      </c>
      <c r="AT3557" s="19" t="n"/>
    </row>
    <row r="3558">
      <c r="D3558" s="21" t="n">
        <v>0</v>
      </c>
      <c r="E3558" s="21" t="n">
        <v>0</v>
      </c>
      <c r="F3558" s="21" t="n">
        <v>0</v>
      </c>
      <c r="G3558" s="21" t="n">
        <v>0</v>
      </c>
      <c r="H3558" s="21" t="n">
        <v>0</v>
      </c>
      <c r="I3558" s="21" t="n">
        <v>0</v>
      </c>
      <c r="J3558" s="21" t="n">
        <v>0</v>
      </c>
      <c r="K3558" s="21" t="n">
        <v>0</v>
      </c>
      <c r="L3558" s="21" t="n">
        <v>0</v>
      </c>
      <c r="M3558" s="21" t="n">
        <v>0</v>
      </c>
      <c r="N3558" s="21" t="n">
        <v>0</v>
      </c>
      <c r="O3558" s="21" t="n">
        <v>0</v>
      </c>
      <c r="P3558" s="21" t="n">
        <v>0</v>
      </c>
      <c r="Q3558" s="21" t="n">
        <v>0</v>
      </c>
      <c r="R3558" s="21" t="n">
        <v>0</v>
      </c>
      <c r="S3558" s="21" t="n">
        <v>0</v>
      </c>
      <c r="T3558" s="21" t="n">
        <v>0</v>
      </c>
      <c r="U3558" s="21" t="n">
        <v>0</v>
      </c>
      <c r="V3558" s="21" t="n">
        <v>0</v>
      </c>
      <c r="W3558" s="21" t="n">
        <v>0</v>
      </c>
      <c r="X3558" s="21" t="n">
        <v>0</v>
      </c>
      <c r="Y3558" s="21" t="n">
        <v>0</v>
      </c>
      <c r="Z3558" s="21" t="n">
        <v>0</v>
      </c>
      <c r="AA3558" s="21" t="n">
        <v>0</v>
      </c>
      <c r="AB3558" s="21" t="n">
        <v>0</v>
      </c>
      <c r="AC3558" s="21" t="n">
        <v>0</v>
      </c>
      <c r="AD3558" s="21" t="n">
        <v>0</v>
      </c>
      <c r="AE3558" s="21" t="n">
        <v>0</v>
      </c>
      <c r="AF3558" s="21" t="n">
        <v>0</v>
      </c>
      <c r="AG3558" s="21" t="n">
        <v>0</v>
      </c>
      <c r="AH3558" s="21" t="n">
        <v>0</v>
      </c>
      <c r="AI3558" s="21" t="n">
        <v>0</v>
      </c>
      <c r="AJ3558" s="21" t="n">
        <v>0</v>
      </c>
      <c r="AK3558" s="21" t="n">
        <v>0</v>
      </c>
      <c r="AL3558" s="21" t="n">
        <v>0</v>
      </c>
      <c r="AM3558" s="21" t="n">
        <v>0</v>
      </c>
      <c r="AN3558" s="21">
        <f>-$B$1811</f>
        <v/>
      </c>
      <c r="AO3558" s="21">
        <f>-$B$1812</f>
        <v/>
      </c>
      <c r="AP3558" s="21">
        <f>2*$B$1811+$D$3517</f>
        <v/>
      </c>
      <c r="AQ3558" s="21">
        <f>0</f>
        <v/>
      </c>
      <c r="AR3558" s="21">
        <f>-$B$1811</f>
        <v/>
      </c>
      <c r="AS3558" s="21">
        <f>$B$1812</f>
        <v/>
      </c>
      <c r="AT3558" s="19" t="n"/>
    </row>
    <row r="3559">
      <c r="D3559" s="21" t="n">
        <v>0</v>
      </c>
      <c r="E3559" s="21" t="n">
        <v>0</v>
      </c>
      <c r="F3559" s="21" t="n">
        <v>0</v>
      </c>
      <c r="G3559" s="21" t="n">
        <v>0</v>
      </c>
      <c r="H3559" s="21" t="n">
        <v>0</v>
      </c>
      <c r="I3559" s="21" t="n">
        <v>0</v>
      </c>
      <c r="J3559" s="21" t="n">
        <v>0</v>
      </c>
      <c r="K3559" s="21" t="n">
        <v>0</v>
      </c>
      <c r="L3559" s="21" t="n">
        <v>0</v>
      </c>
      <c r="M3559" s="21" t="n">
        <v>0</v>
      </c>
      <c r="N3559" s="21" t="n">
        <v>0</v>
      </c>
      <c r="O3559" s="21" t="n">
        <v>0</v>
      </c>
      <c r="P3559" s="21" t="n">
        <v>0</v>
      </c>
      <c r="Q3559" s="21" t="n">
        <v>0</v>
      </c>
      <c r="R3559" s="21" t="n">
        <v>0</v>
      </c>
      <c r="S3559" s="21" t="n">
        <v>0</v>
      </c>
      <c r="T3559" s="21" t="n">
        <v>0</v>
      </c>
      <c r="U3559" s="21" t="n">
        <v>0</v>
      </c>
      <c r="V3559" s="21" t="n">
        <v>0</v>
      </c>
      <c r="W3559" s="21" t="n">
        <v>0</v>
      </c>
      <c r="X3559" s="21" t="n">
        <v>0</v>
      </c>
      <c r="Y3559" s="21" t="n">
        <v>0</v>
      </c>
      <c r="Z3559" s="21" t="n">
        <v>0</v>
      </c>
      <c r="AA3559" s="21" t="n">
        <v>0</v>
      </c>
      <c r="AB3559" s="21" t="n">
        <v>0</v>
      </c>
      <c r="AC3559" s="21" t="n">
        <v>0</v>
      </c>
      <c r="AD3559" s="21" t="n">
        <v>0</v>
      </c>
      <c r="AE3559" s="21" t="n">
        <v>0</v>
      </c>
      <c r="AF3559" s="21" t="n">
        <v>0</v>
      </c>
      <c r="AG3559" s="21" t="n">
        <v>0</v>
      </c>
      <c r="AH3559" s="21" t="n">
        <v>0</v>
      </c>
      <c r="AI3559" s="21" t="n">
        <v>0</v>
      </c>
      <c r="AJ3559" s="21" t="n">
        <v>0</v>
      </c>
      <c r="AK3559" s="21" t="n">
        <v>0</v>
      </c>
      <c r="AL3559" s="21" t="n">
        <v>0</v>
      </c>
      <c r="AM3559" s="21" t="n">
        <v>0</v>
      </c>
      <c r="AN3559" s="21">
        <f>$B$1812</f>
        <v/>
      </c>
      <c r="AO3559" s="21">
        <f>$B$1814</f>
        <v/>
      </c>
      <c r="AP3559" s="21">
        <f>0</f>
        <v/>
      </c>
      <c r="AQ3559" s="21">
        <f>2*$B$1813</f>
        <v/>
      </c>
      <c r="AR3559" s="21">
        <f>-$B$1812</f>
        <v/>
      </c>
      <c r="AS3559" s="21">
        <f>$B$1814</f>
        <v/>
      </c>
      <c r="AT3559" s="19" t="n"/>
    </row>
    <row r="3560">
      <c r="D3560" s="21" t="n">
        <v>0</v>
      </c>
      <c r="E3560" s="21" t="n">
        <v>0</v>
      </c>
      <c r="F3560" s="21" t="n">
        <v>0</v>
      </c>
      <c r="G3560" s="21" t="n">
        <v>0</v>
      </c>
      <c r="H3560" s="21" t="n">
        <v>0</v>
      </c>
      <c r="I3560" s="21" t="n">
        <v>0</v>
      </c>
      <c r="J3560" s="21" t="n">
        <v>0</v>
      </c>
      <c r="K3560" s="21" t="n">
        <v>0</v>
      </c>
      <c r="L3560" s="21" t="n">
        <v>0</v>
      </c>
      <c r="M3560" s="21" t="n">
        <v>0</v>
      </c>
      <c r="N3560" s="21" t="n">
        <v>0</v>
      </c>
      <c r="O3560" s="21" t="n">
        <v>0</v>
      </c>
      <c r="P3560" s="21" t="n">
        <v>0</v>
      </c>
      <c r="Q3560" s="21" t="n">
        <v>0</v>
      </c>
      <c r="R3560" s="21" t="n">
        <v>0</v>
      </c>
      <c r="S3560" s="21" t="n">
        <v>0</v>
      </c>
      <c r="T3560" s="21" t="n">
        <v>0</v>
      </c>
      <c r="U3560" s="21" t="n">
        <v>0</v>
      </c>
      <c r="V3560" s="21" t="n">
        <v>0</v>
      </c>
      <c r="W3560" s="21" t="n">
        <v>0</v>
      </c>
      <c r="X3560" s="21" t="n">
        <v>0</v>
      </c>
      <c r="Y3560" s="21" t="n">
        <v>0</v>
      </c>
      <c r="Z3560" s="21" t="n">
        <v>0</v>
      </c>
      <c r="AA3560" s="21" t="n">
        <v>0</v>
      </c>
      <c r="AB3560" s="21" t="n">
        <v>0</v>
      </c>
      <c r="AC3560" s="21" t="n">
        <v>0</v>
      </c>
      <c r="AD3560" s="21" t="n">
        <v>0</v>
      </c>
      <c r="AE3560" s="21" t="n">
        <v>0</v>
      </c>
      <c r="AF3560" s="21" t="n">
        <v>0</v>
      </c>
      <c r="AG3560" s="21" t="n">
        <v>0</v>
      </c>
      <c r="AH3560" s="21" t="n">
        <v>0</v>
      </c>
      <c r="AI3560" s="21" t="n">
        <v>0</v>
      </c>
      <c r="AJ3560" s="21" t="n">
        <v>0</v>
      </c>
      <c r="AK3560" s="21" t="n">
        <v>0</v>
      </c>
      <c r="AL3560" s="21" t="n">
        <v>0</v>
      </c>
      <c r="AM3560" s="21" t="n">
        <v>0</v>
      </c>
      <c r="AN3560" s="21" t="n">
        <v>0</v>
      </c>
      <c r="AO3560" s="21" t="n">
        <v>0</v>
      </c>
      <c r="AP3560" s="21">
        <f>-$B$1811</f>
        <v/>
      </c>
      <c r="AQ3560" s="21">
        <f>-$B$1812</f>
        <v/>
      </c>
      <c r="AR3560" s="21">
        <f>$B$1811+$D$3518</f>
        <v/>
      </c>
      <c r="AS3560" s="21">
        <f>-$B$1812</f>
        <v/>
      </c>
      <c r="AT3560" s="19" t="n"/>
    </row>
    <row r="3561">
      <c r="D3561" s="21" t="n">
        <v>0</v>
      </c>
      <c r="E3561" s="21" t="n">
        <v>0</v>
      </c>
      <c r="F3561" s="21" t="n">
        <v>0</v>
      </c>
      <c r="G3561" s="21" t="n">
        <v>0</v>
      </c>
      <c r="H3561" s="21" t="n">
        <v>0</v>
      </c>
      <c r="I3561" s="21" t="n">
        <v>0</v>
      </c>
      <c r="J3561" s="21" t="n">
        <v>0</v>
      </c>
      <c r="K3561" s="21" t="n">
        <v>0</v>
      </c>
      <c r="L3561" s="21" t="n">
        <v>0</v>
      </c>
      <c r="M3561" s="21" t="n">
        <v>0</v>
      </c>
      <c r="N3561" s="21" t="n">
        <v>0</v>
      </c>
      <c r="O3561" s="21" t="n">
        <v>0</v>
      </c>
      <c r="P3561" s="21" t="n">
        <v>0</v>
      </c>
      <c r="Q3561" s="21" t="n">
        <v>0</v>
      </c>
      <c r="R3561" s="21" t="n">
        <v>0</v>
      </c>
      <c r="S3561" s="21" t="n">
        <v>0</v>
      </c>
      <c r="T3561" s="21" t="n">
        <v>0</v>
      </c>
      <c r="U3561" s="21" t="n">
        <v>0</v>
      </c>
      <c r="V3561" s="21" t="n">
        <v>0</v>
      </c>
      <c r="W3561" s="21" t="n">
        <v>0</v>
      </c>
      <c r="X3561" s="21" t="n">
        <v>0</v>
      </c>
      <c r="Y3561" s="21" t="n">
        <v>0</v>
      </c>
      <c r="Z3561" s="21" t="n">
        <v>0</v>
      </c>
      <c r="AA3561" s="21" t="n">
        <v>0</v>
      </c>
      <c r="AB3561" s="21" t="n">
        <v>0</v>
      </c>
      <c r="AC3561" s="21" t="n">
        <v>0</v>
      </c>
      <c r="AD3561" s="21" t="n">
        <v>0</v>
      </c>
      <c r="AE3561" s="21" t="n">
        <v>0</v>
      </c>
      <c r="AF3561" s="21" t="n">
        <v>0</v>
      </c>
      <c r="AG3561" s="21" t="n">
        <v>0</v>
      </c>
      <c r="AH3561" s="21" t="n">
        <v>0</v>
      </c>
      <c r="AI3561" s="21" t="n">
        <v>0</v>
      </c>
      <c r="AJ3561" s="21" t="n">
        <v>0</v>
      </c>
      <c r="AK3561" s="21" t="n">
        <v>0</v>
      </c>
      <c r="AL3561" s="21" t="n">
        <v>0</v>
      </c>
      <c r="AM3561" s="21" t="n">
        <v>0</v>
      </c>
      <c r="AN3561" s="21" t="n">
        <v>0</v>
      </c>
      <c r="AO3561" s="21" t="n">
        <v>0</v>
      </c>
      <c r="AP3561" s="21">
        <f>$B$1812</f>
        <v/>
      </c>
      <c r="AQ3561" s="21">
        <f>$B$1814</f>
        <v/>
      </c>
      <c r="AR3561" s="21">
        <f>-$B$1812</f>
        <v/>
      </c>
      <c r="AS3561" s="21">
        <f>$B$1813</f>
        <v/>
      </c>
      <c r="AT3561" s="19" t="n"/>
    </row>
    <row r="3564">
      <c r="D3564" s="18" t="inlineStr">
        <is>
          <t>e</t>
        </is>
      </c>
      <c r="E3564" s="18" t="inlineStr">
        <is>
          <t>y_e</t>
        </is>
      </c>
      <c r="F3564" s="18" t="inlineStr">
        <is>
          <t>theta_e</t>
        </is>
      </c>
      <c r="G3564" s="18" t="inlineStr">
        <is>
          <t>y_e+1</t>
        </is>
      </c>
      <c r="H3564" s="18" t="inlineStr">
        <is>
          <t>theta_e+1</t>
        </is>
      </c>
      <c r="I3564" s="18" t="inlineStr">
        <is>
          <t>fe1</t>
        </is>
      </c>
      <c r="J3564" s="18" t="inlineStr">
        <is>
          <t>fe3</t>
        </is>
      </c>
      <c r="K3564" s="18" t="inlineStr">
        <is>
          <t>M (kN*m)</t>
        </is>
      </c>
    </row>
    <row r="3565">
      <c r="D3565" t="n">
        <v>0</v>
      </c>
      <c r="E3565" s="19">
        <f>$E$3498</f>
        <v/>
      </c>
      <c r="F3565" s="19">
        <f>$F$3498</f>
        <v/>
      </c>
      <c r="G3565" s="19">
        <f>$E$3499</f>
        <v/>
      </c>
      <c r="H3565" s="19">
        <f>$F$3499</f>
        <v/>
      </c>
      <c r="I3565" s="19">
        <f>$B$1812*$E$3565+$B$1813*$F$3565-$B$1812*$G$3565+$B$1814*$H$3565</f>
        <v/>
      </c>
      <c r="J3565" s="19">
        <f>$B$1812*$E$3565+$B$1814*$F$3565-$B$1812*$G$3565+$B$1813*$H$3565</f>
        <v/>
      </c>
      <c r="K3565" s="21">
        <f>-$I$3565</f>
        <v/>
      </c>
    </row>
    <row r="3566">
      <c r="D3566" t="n">
        <v>1</v>
      </c>
      <c r="E3566" s="19">
        <f>$E$3499</f>
        <v/>
      </c>
      <c r="F3566" s="19">
        <f>$F$3499</f>
        <v/>
      </c>
      <c r="G3566" s="19">
        <f>$E$3500</f>
        <v/>
      </c>
      <c r="H3566" s="19">
        <f>$F$3500</f>
        <v/>
      </c>
      <c r="I3566" s="19">
        <f>$B$1812*$E$3566+$B$1813*$F$3566-$B$1812*$G$3566+$B$1814*$H$3566</f>
        <v/>
      </c>
      <c r="J3566" s="19">
        <f>$B$1812*$E$3566+$B$1814*$F$3566-$B$1812*$G$3566+$B$1813*$H$3566</f>
        <v/>
      </c>
      <c r="K3566" s="21">
        <f>($J$3565-$I$3566)/2</f>
        <v/>
      </c>
    </row>
    <row r="3567">
      <c r="D3567" t="n">
        <v>2</v>
      </c>
      <c r="E3567" s="19">
        <f>$E$3500</f>
        <v/>
      </c>
      <c r="F3567" s="19">
        <f>$F$3500</f>
        <v/>
      </c>
      <c r="G3567" s="19">
        <f>$E$3501</f>
        <v/>
      </c>
      <c r="H3567" s="19">
        <f>$F$3501</f>
        <v/>
      </c>
      <c r="I3567" s="19">
        <f>$B$1812*$E$3567+$B$1813*$F$3567-$B$1812*$G$3567+$B$1814*$H$3567</f>
        <v/>
      </c>
      <c r="J3567" s="19">
        <f>$B$1812*$E$3567+$B$1814*$F$3567-$B$1812*$G$3567+$B$1813*$H$3567</f>
        <v/>
      </c>
      <c r="K3567" s="21">
        <f>($J$3566-$I$3567)/2</f>
        <v/>
      </c>
    </row>
    <row r="3568">
      <c r="D3568" t="n">
        <v>3</v>
      </c>
      <c r="E3568" s="19">
        <f>$E$3501</f>
        <v/>
      </c>
      <c r="F3568" s="19">
        <f>$F$3501</f>
        <v/>
      </c>
      <c r="G3568" s="19">
        <f>$E$3502</f>
        <v/>
      </c>
      <c r="H3568" s="19">
        <f>$F$3502</f>
        <v/>
      </c>
      <c r="I3568" s="19">
        <f>$B$1812*$E$3568+$B$1813*$F$3568-$B$1812*$G$3568+$B$1814*$H$3568</f>
        <v/>
      </c>
      <c r="J3568" s="19">
        <f>$B$1812*$E$3568+$B$1814*$F$3568-$B$1812*$G$3568+$B$1813*$H$3568</f>
        <v/>
      </c>
      <c r="K3568" s="21">
        <f>($J$3567-$I$3568)/2</f>
        <v/>
      </c>
    </row>
    <row r="3569">
      <c r="D3569" t="n">
        <v>4</v>
      </c>
      <c r="E3569" s="19">
        <f>$E$3502</f>
        <v/>
      </c>
      <c r="F3569" s="19">
        <f>$F$3502</f>
        <v/>
      </c>
      <c r="G3569" s="19">
        <f>$E$3503</f>
        <v/>
      </c>
      <c r="H3569" s="19">
        <f>$F$3503</f>
        <v/>
      </c>
      <c r="I3569" s="19">
        <f>$B$1812*$E$3569+$B$1813*$F$3569-$B$1812*$G$3569+$B$1814*$H$3569</f>
        <v/>
      </c>
      <c r="J3569" s="19">
        <f>$B$1812*$E$3569+$B$1814*$F$3569-$B$1812*$G$3569+$B$1813*$H$3569</f>
        <v/>
      </c>
      <c r="K3569" s="21">
        <f>($J$3568-$I$3569)/2</f>
        <v/>
      </c>
    </row>
    <row r="3570">
      <c r="D3570" t="n">
        <v>5</v>
      </c>
      <c r="E3570" s="19">
        <f>$E$3503</f>
        <v/>
      </c>
      <c r="F3570" s="19">
        <f>$F$3503</f>
        <v/>
      </c>
      <c r="G3570" s="19">
        <f>$E$3504</f>
        <v/>
      </c>
      <c r="H3570" s="19">
        <f>$F$3504</f>
        <v/>
      </c>
      <c r="I3570" s="19">
        <f>$B$1812*$E$3570+$B$1813*$F$3570-$B$1812*$G$3570+$B$1814*$H$3570</f>
        <v/>
      </c>
      <c r="J3570" s="19">
        <f>$B$1812*$E$3570+$B$1814*$F$3570-$B$1812*$G$3570+$B$1813*$H$3570</f>
        <v/>
      </c>
      <c r="K3570" s="21">
        <f>($J$3569-$I$3570)/2</f>
        <v/>
      </c>
    </row>
    <row r="3571">
      <c r="D3571" t="n">
        <v>6</v>
      </c>
      <c r="E3571" s="19">
        <f>$E$3504</f>
        <v/>
      </c>
      <c r="F3571" s="19">
        <f>$F$3504</f>
        <v/>
      </c>
      <c r="G3571" s="19">
        <f>$E$3505</f>
        <v/>
      </c>
      <c r="H3571" s="19">
        <f>$F$3505</f>
        <v/>
      </c>
      <c r="I3571" s="19">
        <f>$B$1812*$E$3571+$B$1813*$F$3571-$B$1812*$G$3571+$B$1814*$H$3571</f>
        <v/>
      </c>
      <c r="J3571" s="19">
        <f>$B$1812*$E$3571+$B$1814*$F$3571-$B$1812*$G$3571+$B$1813*$H$3571</f>
        <v/>
      </c>
      <c r="K3571" s="21">
        <f>($J$3570-$I$3571)/2</f>
        <v/>
      </c>
    </row>
    <row r="3572">
      <c r="D3572" t="n">
        <v>7</v>
      </c>
      <c r="E3572" s="19">
        <f>$E$3505</f>
        <v/>
      </c>
      <c r="F3572" s="19">
        <f>$F$3505</f>
        <v/>
      </c>
      <c r="G3572" s="19">
        <f>$E$3506</f>
        <v/>
      </c>
      <c r="H3572" s="19">
        <f>$F$3506</f>
        <v/>
      </c>
      <c r="I3572" s="19">
        <f>$B$1812*$E$3572+$B$1813*$F$3572-$B$1812*$G$3572+$B$1814*$H$3572</f>
        <v/>
      </c>
      <c r="J3572" s="19">
        <f>$B$1812*$E$3572+$B$1814*$F$3572-$B$1812*$G$3572+$B$1813*$H$3572</f>
        <v/>
      </c>
      <c r="K3572" s="21">
        <f>($J$3571-$I$3572)/2</f>
        <v/>
      </c>
    </row>
    <row r="3573">
      <c r="D3573" t="n">
        <v>8</v>
      </c>
      <c r="E3573" s="19">
        <f>$E$3506</f>
        <v/>
      </c>
      <c r="F3573" s="19">
        <f>$F$3506</f>
        <v/>
      </c>
      <c r="G3573" s="19">
        <f>$E$3507</f>
        <v/>
      </c>
      <c r="H3573" s="19">
        <f>$F$3507</f>
        <v/>
      </c>
      <c r="I3573" s="19">
        <f>$B$1812*$E$3573+$B$1813*$F$3573-$B$1812*$G$3573+$B$1814*$H$3573</f>
        <v/>
      </c>
      <c r="J3573" s="19">
        <f>$B$1812*$E$3573+$B$1814*$F$3573-$B$1812*$G$3573+$B$1813*$H$3573</f>
        <v/>
      </c>
      <c r="K3573" s="21">
        <f>($J$3572-$I$3573)/2</f>
        <v/>
      </c>
    </row>
    <row r="3574">
      <c r="D3574" t="n">
        <v>9</v>
      </c>
      <c r="E3574" s="19">
        <f>$E$3507</f>
        <v/>
      </c>
      <c r="F3574" s="19">
        <f>$F$3507</f>
        <v/>
      </c>
      <c r="G3574" s="19">
        <f>$E$3508</f>
        <v/>
      </c>
      <c r="H3574" s="19">
        <f>$F$3508</f>
        <v/>
      </c>
      <c r="I3574" s="19">
        <f>$B$1812*$E$3574+$B$1813*$F$3574-$B$1812*$G$3574+$B$1814*$H$3574</f>
        <v/>
      </c>
      <c r="J3574" s="19">
        <f>$B$1812*$E$3574+$B$1814*$F$3574-$B$1812*$G$3574+$B$1813*$H$3574</f>
        <v/>
      </c>
      <c r="K3574" s="21">
        <f>($J$3573-$I$3574)/2</f>
        <v/>
      </c>
    </row>
    <row r="3575">
      <c r="D3575" t="n">
        <v>10</v>
      </c>
      <c r="E3575" s="19">
        <f>$E$3508</f>
        <v/>
      </c>
      <c r="F3575" s="19">
        <f>$F$3508</f>
        <v/>
      </c>
      <c r="G3575" s="19">
        <f>$E$3509</f>
        <v/>
      </c>
      <c r="H3575" s="19">
        <f>$F$3509</f>
        <v/>
      </c>
      <c r="I3575" s="19">
        <f>$B$1812*$E$3575+$B$1813*$F$3575-$B$1812*$G$3575+$B$1814*$H$3575</f>
        <v/>
      </c>
      <c r="J3575" s="19">
        <f>$B$1812*$E$3575+$B$1814*$F$3575-$B$1812*$G$3575+$B$1813*$H$3575</f>
        <v/>
      </c>
      <c r="K3575" s="21">
        <f>($J$3574-$I$3575)/2</f>
        <v/>
      </c>
    </row>
    <row r="3576">
      <c r="D3576" t="n">
        <v>11</v>
      </c>
      <c r="E3576" s="19">
        <f>$E$3509</f>
        <v/>
      </c>
      <c r="F3576" s="19">
        <f>$F$3509</f>
        <v/>
      </c>
      <c r="G3576" s="19">
        <f>$E$3510</f>
        <v/>
      </c>
      <c r="H3576" s="19">
        <f>$F$3510</f>
        <v/>
      </c>
      <c r="I3576" s="19">
        <f>$B$1812*$E$3576+$B$1813*$F$3576-$B$1812*$G$3576+$B$1814*$H$3576</f>
        <v/>
      </c>
      <c r="J3576" s="19">
        <f>$B$1812*$E$3576+$B$1814*$F$3576-$B$1812*$G$3576+$B$1813*$H$3576</f>
        <v/>
      </c>
      <c r="K3576" s="21">
        <f>($J$3575-$I$3576)/2</f>
        <v/>
      </c>
    </row>
    <row r="3577">
      <c r="D3577" t="n">
        <v>12</v>
      </c>
      <c r="E3577" s="19">
        <f>$E$3510</f>
        <v/>
      </c>
      <c r="F3577" s="19">
        <f>$F$3510</f>
        <v/>
      </c>
      <c r="G3577" s="19">
        <f>$E$3511</f>
        <v/>
      </c>
      <c r="H3577" s="19">
        <f>$F$3511</f>
        <v/>
      </c>
      <c r="I3577" s="19">
        <f>$B$1812*$E$3577+$B$1813*$F$3577-$B$1812*$G$3577+$B$1814*$H$3577</f>
        <v/>
      </c>
      <c r="J3577" s="19">
        <f>$B$1812*$E$3577+$B$1814*$F$3577-$B$1812*$G$3577+$B$1813*$H$3577</f>
        <v/>
      </c>
      <c r="K3577" s="21">
        <f>($J$3576-$I$3577)/2</f>
        <v/>
      </c>
    </row>
    <row r="3578">
      <c r="D3578" t="n">
        <v>13</v>
      </c>
      <c r="E3578" s="19">
        <f>$E$3511</f>
        <v/>
      </c>
      <c r="F3578" s="19">
        <f>$F$3511</f>
        <v/>
      </c>
      <c r="G3578" s="19">
        <f>$E$3512</f>
        <v/>
      </c>
      <c r="H3578" s="19">
        <f>$F$3512</f>
        <v/>
      </c>
      <c r="I3578" s="19">
        <f>$B$1812*$E$3578+$B$1813*$F$3578-$B$1812*$G$3578+$B$1814*$H$3578</f>
        <v/>
      </c>
      <c r="J3578" s="19">
        <f>$B$1812*$E$3578+$B$1814*$F$3578-$B$1812*$G$3578+$B$1813*$H$3578</f>
        <v/>
      </c>
      <c r="K3578" s="21">
        <f>($J$3577-$I$3578)/2</f>
        <v/>
      </c>
    </row>
    <row r="3579">
      <c r="D3579" t="n">
        <v>14</v>
      </c>
      <c r="E3579" s="19">
        <f>$E$3512</f>
        <v/>
      </c>
      <c r="F3579" s="19">
        <f>$F$3512</f>
        <v/>
      </c>
      <c r="G3579" s="19">
        <f>$E$3513</f>
        <v/>
      </c>
      <c r="H3579" s="19">
        <f>$F$3513</f>
        <v/>
      </c>
      <c r="I3579" s="19">
        <f>$B$1812*$E$3579+$B$1813*$F$3579-$B$1812*$G$3579+$B$1814*$H$3579</f>
        <v/>
      </c>
      <c r="J3579" s="19">
        <f>$B$1812*$E$3579+$B$1814*$F$3579-$B$1812*$G$3579+$B$1813*$H$3579</f>
        <v/>
      </c>
      <c r="K3579" s="21">
        <f>($J$3578-$I$3579)/2</f>
        <v/>
      </c>
    </row>
    <row r="3580">
      <c r="D3580" t="n">
        <v>15</v>
      </c>
      <c r="E3580" s="19">
        <f>$E$3513</f>
        <v/>
      </c>
      <c r="F3580" s="19">
        <f>$F$3513</f>
        <v/>
      </c>
      <c r="G3580" s="19">
        <f>$E$3514</f>
        <v/>
      </c>
      <c r="H3580" s="19">
        <f>$F$3514</f>
        <v/>
      </c>
      <c r="I3580" s="19">
        <f>$B$1812*$E$3580+$B$1813*$F$3580-$B$1812*$G$3580+$B$1814*$H$3580</f>
        <v/>
      </c>
      <c r="J3580" s="19">
        <f>$B$1812*$E$3580+$B$1814*$F$3580-$B$1812*$G$3580+$B$1813*$H$3580</f>
        <v/>
      </c>
      <c r="K3580" s="21">
        <f>($J$3579-$I$3580)/2</f>
        <v/>
      </c>
    </row>
    <row r="3581">
      <c r="D3581" t="n">
        <v>16</v>
      </c>
      <c r="E3581" s="19">
        <f>$E$3514</f>
        <v/>
      </c>
      <c r="F3581" s="19">
        <f>$F$3514</f>
        <v/>
      </c>
      <c r="G3581" s="19">
        <f>$E$3515</f>
        <v/>
      </c>
      <c r="H3581" s="19">
        <f>$F$3515</f>
        <v/>
      </c>
      <c r="I3581" s="19">
        <f>$B$1812*$E$3581+$B$1813*$F$3581-$B$1812*$G$3581+$B$1814*$H$3581</f>
        <v/>
      </c>
      <c r="J3581" s="19">
        <f>$B$1812*$E$3581+$B$1814*$F$3581-$B$1812*$G$3581+$B$1813*$H$3581</f>
        <v/>
      </c>
      <c r="K3581" s="21">
        <f>($J$3580-$I$3581)/2</f>
        <v/>
      </c>
    </row>
    <row r="3582">
      <c r="D3582" t="n">
        <v>17</v>
      </c>
      <c r="E3582" s="19">
        <f>$E$3515</f>
        <v/>
      </c>
      <c r="F3582" s="19">
        <f>$F$3515</f>
        <v/>
      </c>
      <c r="G3582" s="19">
        <f>$E$3516</f>
        <v/>
      </c>
      <c r="H3582" s="19">
        <f>$F$3516</f>
        <v/>
      </c>
      <c r="I3582" s="19">
        <f>$B$1812*$E$3582+$B$1813*$F$3582-$B$1812*$G$3582+$B$1814*$H$3582</f>
        <v/>
      </c>
      <c r="J3582" s="19">
        <f>$B$1812*$E$3582+$B$1814*$F$3582-$B$1812*$G$3582+$B$1813*$H$3582</f>
        <v/>
      </c>
      <c r="K3582" s="21">
        <f>($J$3581-$I$3582)/2</f>
        <v/>
      </c>
    </row>
    <row r="3583">
      <c r="D3583" t="n">
        <v>18</v>
      </c>
      <c r="E3583" s="19">
        <f>$E$3516</f>
        <v/>
      </c>
      <c r="F3583" s="19">
        <f>$F$3516</f>
        <v/>
      </c>
      <c r="G3583" s="19">
        <f>$E$3517</f>
        <v/>
      </c>
      <c r="H3583" s="19">
        <f>$F$3517</f>
        <v/>
      </c>
      <c r="I3583" s="19">
        <f>$B$1812*$E$3583+$B$1813*$F$3583-$B$1812*$G$3583+$B$1814*$H$3583</f>
        <v/>
      </c>
      <c r="J3583" s="19">
        <f>$B$1812*$E$3583+$B$1814*$F$3583-$B$1812*$G$3583+$B$1813*$H$3583</f>
        <v/>
      </c>
      <c r="K3583" s="21">
        <f>($J$3582-$I$3583)/2</f>
        <v/>
      </c>
    </row>
    <row r="3584">
      <c r="D3584" t="n">
        <v>19</v>
      </c>
      <c r="E3584" s="19">
        <f>$E$3517</f>
        <v/>
      </c>
      <c r="F3584" s="19">
        <f>$F$3517</f>
        <v/>
      </c>
      <c r="G3584" s="19">
        <f>$E$3518</f>
        <v/>
      </c>
      <c r="H3584" s="19">
        <f>$F$3518</f>
        <v/>
      </c>
      <c r="I3584" s="19">
        <f>$B$1812*$E$3584+$B$1813*$F$3584-$B$1812*$G$3584+$B$1814*$H$3584</f>
        <v/>
      </c>
      <c r="J3584" s="19">
        <f>$B$1812*$E$3584+$B$1814*$F$3584-$B$1812*$G$3584+$B$1813*$H$3584</f>
        <v/>
      </c>
      <c r="K3584" s="21">
        <f>($J$3583-$I$3584)/2</f>
        <v/>
      </c>
    </row>
    <row r="3585">
      <c r="K3585" s="21">
        <f>$J$3584</f>
        <v/>
      </c>
    </row>
    <row r="3587">
      <c r="A3587" s="12" t="inlineStr">
        <is>
          <t>y_gl (mm)</t>
        </is>
      </c>
      <c r="B3587" s="22">
        <f>$E$3498*1000</f>
        <v/>
      </c>
    </row>
    <row r="3588">
      <c r="A3588" s="12" t="inlineStr">
        <is>
          <t>theta_gl (deg)</t>
        </is>
      </c>
      <c r="B3588" s="23">
        <f>DEGREES($F$3498)</f>
        <v/>
      </c>
    </row>
    <row r="3589">
      <c r="A3589" s="12" t="inlineStr">
        <is>
          <t>M_max (kN*m)</t>
        </is>
      </c>
      <c r="B3589" s="22">
        <f t="array" ref="B3589">MAX(ABS($K$3565:$K$3585))</f>
        <v/>
      </c>
    </row>
    <row r="3592">
      <c r="A3592" s="2" t="inlineStr">
        <is>
          <t>Serviceability acceptance -- eq. 5.3, doc Section 5.3</t>
        </is>
      </c>
    </row>
    <row r="3593">
      <c r="A3593" s="6" t="inlineStr">
        <is>
          <t>Deflection limit, y_limit (A16 default -- confirm w/ owner)</t>
        </is>
      </c>
      <c r="D3593" s="7" t="n">
        <v>12</v>
      </c>
      <c r="E3593" s="8" t="inlineStr">
        <is>
          <t>mm</t>
        </is>
      </c>
    </row>
    <row r="3594">
      <c r="A3594" s="6" t="inlineStr">
        <is>
          <t>Rotation limit, theta_limit (A16 default -- confirm w/ owner)</t>
        </is>
      </c>
      <c r="D3594" s="7" t="n">
        <v>0.5</v>
      </c>
      <c r="E3594" s="8" t="inlineStr">
        <is>
          <t>deg</t>
        </is>
      </c>
    </row>
    <row r="3595">
      <c r="A3595" s="12" t="inlineStr">
        <is>
          <t>Deflection OK?</t>
        </is>
      </c>
      <c r="D3595" s="13">
        <f>ABS('5b-pySolver'!$B$1794)&lt;=$D$3593</f>
        <v/>
      </c>
    </row>
    <row r="3596">
      <c r="A3596" s="12" t="inlineStr">
        <is>
          <t>Rotation OK?</t>
        </is>
      </c>
      <c r="D3596" s="13">
        <f>ABS('5b-pySolver'!$B$1795)&lt;=$D$3594</f>
        <v/>
      </c>
    </row>
    <row r="3597">
      <c r="A3597" s="12" t="inlineStr">
        <is>
          <t>Serviceability -- ALL PASS?</t>
        </is>
      </c>
      <c r="D3597" s="13">
        <f>AND($D$3595,$D$3596)</f>
        <v/>
      </c>
    </row>
    <row r="3598">
      <c r="A3598" s="6" t="inlineStr">
        <is>
          <t>y_service / y_limit ratio (feeds Step 10 trigger)</t>
        </is>
      </c>
      <c r="D3598" s="24">
        <f>ABS('5b-pySolver'!$B$1794)/$D$3593</f>
        <v/>
      </c>
      <c r="E3598" s="8" t="inlineStr">
        <is>
          <t>-</t>
        </is>
      </c>
    </row>
    <row r="3600">
      <c r="A3600" s="2" t="inlineStr">
        <is>
          <t>Pushover sweep (n=10 elements per point) -- eq. 5.3-3, lambda_ult / lambda_required(=1.0)</t>
        </is>
      </c>
    </row>
    <row r="3601">
      <c r="A3601" s="5" t="inlineStr">
        <is>
          <t>Each lambda below scales the strength-case (V,M) and re-solves independently (own coarse 10-element mesh, 45 unrolled iterations -- more than Service/Strength's 25 because convergence near collapse is much slower) -- a coarser mesh than Service/Strength since only bracketing the ultimate-capacity factor matters here, not tight serviceability precision. 'Collapse?' flags lambda where groundline deflection exceeds the 200 mm runaway threshold used by lateral_py.pushover's y_collapse_m default.</t>
        </is>
      </c>
    </row>
    <row r="3603">
      <c r="A3603" s="18" t="inlineStr">
        <is>
          <t>lambda</t>
        </is>
      </c>
      <c r="B3603" s="18" t="inlineStr">
        <is>
          <t>y_gl (mm)</t>
        </is>
      </c>
      <c r="C3603" s="18" t="inlineStr">
        <is>
          <t>Collapse?</t>
        </is>
      </c>
      <c r="E3603" s="12" t="inlineStr">
        <is>
          <t>lambda_ult =</t>
        </is>
      </c>
      <c r="F3603" s="25">
        <f t="array" ref="F3603">MAX(IF($C$3604:$C$3609="ok",$A$3604:$A$3609))</f>
        <v/>
      </c>
    </row>
    <row r="3604">
      <c r="A3604" s="26" t="n">
        <v>1</v>
      </c>
      <c r="B3604" s="26">
        <f>'5b-pySolver'!$B$5320</f>
        <v/>
      </c>
      <c r="C3604">
        <f>IF(ABS('5b-pySolver'!$B$5320)&gt;=200,"COLLAPSE","ok")</f>
        <v/>
      </c>
      <c r="E3604" s="12" t="inlineStr">
        <is>
          <t>Pushover FS &gt;= 2.0?</t>
        </is>
      </c>
      <c r="F3604">
        <f>$F$3603&gt;=2</f>
        <v/>
      </c>
    </row>
    <row r="3605">
      <c r="A3605" s="26" t="n">
        <v>4</v>
      </c>
      <c r="B3605" s="26">
        <f>'5b-pySolver'!$B$7033</f>
        <v/>
      </c>
      <c r="C3605">
        <f>IF(ABS('5b-pySolver'!$B$7033)&gt;=200,"COLLAPSE","ok")</f>
        <v/>
      </c>
    </row>
    <row r="3606">
      <c r="A3606" s="26" t="n">
        <v>8</v>
      </c>
      <c r="B3606" s="26">
        <f>'5b-pySolver'!$B$8746</f>
        <v/>
      </c>
      <c r="C3606">
        <f>IF(ABS('5b-pySolver'!$B$8746)&gt;=200,"COLLAPSE","ok")</f>
        <v/>
      </c>
    </row>
    <row r="3607">
      <c r="A3607" s="26" t="n">
        <v>9</v>
      </c>
      <c r="B3607" s="26">
        <f>'5b-pySolver'!$B$10459</f>
        <v/>
      </c>
      <c r="C3607">
        <f>IF(ABS('5b-pySolver'!$B$10459)&gt;=200,"COLLAPSE","ok")</f>
        <v/>
      </c>
    </row>
    <row r="3608">
      <c r="A3608" s="26" t="n">
        <v>10</v>
      </c>
      <c r="B3608" s="26">
        <f>'5b-pySolver'!$B$12172</f>
        <v/>
      </c>
      <c r="C3608">
        <f>IF(ABS('5b-pySolver'!$B$12172)&gt;=200,"COLLAPSE","ok")</f>
        <v/>
      </c>
    </row>
    <row r="3609">
      <c r="A3609" s="26" t="n">
        <v>10.5</v>
      </c>
      <c r="B3609" s="26">
        <f>'5b-pySolver'!$B$13885</f>
        <v/>
      </c>
      <c r="C3609">
        <f>IF(ABS('5b-pySolver'!$B$13885)&gt;=200,"COLLAPSE","ok")</f>
        <v/>
      </c>
    </row>
    <row r="3612">
      <c r="A3612" s="2" t="inlineStr">
        <is>
          <t>PUSHOVER lambda = 1 (n=10 elements, 45 unrolled iterations)</t>
        </is>
      </c>
    </row>
    <row r="3614">
      <c r="A3614" s="6" t="inlineStr">
        <is>
          <t>V (kN)</t>
        </is>
      </c>
      <c r="B3614" s="20">
        <f>1*'1-Loads'!$D$38</f>
        <v/>
      </c>
      <c r="C3614" s="8" t="inlineStr">
        <is>
          <t>kN</t>
        </is>
      </c>
    </row>
    <row r="3615">
      <c r="A3615" s="6" t="inlineStr">
        <is>
          <t>M (kN*m)</t>
        </is>
      </c>
      <c r="B3615" s="20">
        <f>-1*'1-Loads'!$D$39</f>
        <v/>
      </c>
      <c r="C3615" s="8" t="inlineStr">
        <is>
          <t>kN*m</t>
        </is>
      </c>
    </row>
    <row r="3616">
      <c r="A3616" s="6" t="inlineStr">
        <is>
          <t>D_shaft</t>
        </is>
      </c>
      <c r="B3616" s="20">
        <f>'3-Sizing'!$D$10</f>
        <v/>
      </c>
      <c r="C3616" s="8" t="inlineStr">
        <is>
          <t>m</t>
        </is>
      </c>
    </row>
    <row r="3617">
      <c r="A3617" s="6" t="inlineStr">
        <is>
          <t>t (corroded)</t>
        </is>
      </c>
      <c r="B3617" s="20">
        <f>'7-Corrosion'!$D$19/1000</f>
        <v/>
      </c>
      <c r="C3617" s="8" t="inlineStr">
        <is>
          <t>m</t>
        </is>
      </c>
    </row>
    <row r="3618">
      <c r="A3618" s="6" t="inlineStr">
        <is>
          <t>E, steel</t>
        </is>
      </c>
      <c r="B3618" s="20">
        <f>200000000</f>
        <v/>
      </c>
      <c r="C3618" s="8" t="inlineStr">
        <is>
          <t>kPa</t>
        </is>
      </c>
    </row>
    <row r="3619">
      <c r="A3619" s="6" t="inlineStr">
        <is>
          <t>I (pipe)</t>
        </is>
      </c>
      <c r="B3619" s="20">
        <f>PI()/64*($B$3616^4-($B$3616-2*$B$3617)^4)</f>
        <v/>
      </c>
      <c r="C3619" s="8" t="inlineStr">
        <is>
          <t>m^4</t>
        </is>
      </c>
    </row>
    <row r="3620">
      <c r="A3620" s="6" t="inlineStr">
        <is>
          <t>EI</t>
        </is>
      </c>
      <c r="B3620" s="20">
        <f>$B$3618*$B$3619</f>
        <v/>
      </c>
      <c r="C3620" s="8" t="inlineStr">
        <is>
          <t>kN*m^2</t>
        </is>
      </c>
    </row>
    <row r="3621">
      <c r="A3621" s="6" t="inlineStr">
        <is>
          <t>L, embedded length</t>
        </is>
      </c>
      <c r="B3621" s="20">
        <f>'3-Sizing'!$D$25</f>
        <v/>
      </c>
      <c r="C3621" s="8" t="inlineStr">
        <is>
          <t>m</t>
        </is>
      </c>
    </row>
    <row r="3622">
      <c r="A3622" s="6" t="inlineStr">
        <is>
          <t>n_elements</t>
        </is>
      </c>
      <c r="B3622" s="20" t="n">
        <v>10</v>
      </c>
      <c r="C3622" s="8" t="inlineStr">
        <is>
          <t>-</t>
        </is>
      </c>
    </row>
    <row r="3623">
      <c r="A3623" s="6" t="inlineStr">
        <is>
          <t>h = L/n</t>
        </is>
      </c>
      <c r="B3623" s="20">
        <f>$B$3621/$B$3622</f>
        <v/>
      </c>
      <c r="C3623" s="8" t="inlineStr">
        <is>
          <t>m</t>
        </is>
      </c>
    </row>
    <row r="3624">
      <c r="A3624" s="6" t="inlineStr">
        <is>
          <t>a = 12EI/h^3</t>
        </is>
      </c>
      <c r="B3624" s="20">
        <f>12*$B$3620/$B$3623^3</f>
        <v/>
      </c>
    </row>
    <row r="3625">
      <c r="A3625" s="6" t="inlineStr">
        <is>
          <t>b = 6EI/h^2</t>
        </is>
      </c>
      <c r="B3625" s="20">
        <f>6*$B$3620/$B$3623^2</f>
        <v/>
      </c>
    </row>
    <row r="3626">
      <c r="A3626" s="6" t="inlineStr">
        <is>
          <t>c = 4EI/h</t>
        </is>
      </c>
      <c r="B3626" s="20">
        <f>4*$B$3620/$B$3623</f>
        <v/>
      </c>
    </row>
    <row r="3627">
      <c r="A3627" s="6" t="inlineStr">
        <is>
          <t>d = 2EI/h</t>
        </is>
      </c>
      <c r="B3627" s="20">
        <f>2*$B$3620/$B$3623</f>
        <v/>
      </c>
    </row>
    <row r="3628">
      <c r="A3628" s="6" t="inlineStr">
        <is>
          <t>Su</t>
        </is>
      </c>
      <c r="B3628" s="20">
        <f>'2-Geotech'!$D$15</f>
        <v/>
      </c>
      <c r="C3628" s="8" t="inlineStr">
        <is>
          <t>kPa</t>
        </is>
      </c>
    </row>
    <row r="3629">
      <c r="A3629" s="6" t="inlineStr">
        <is>
          <t>gamma</t>
        </is>
      </c>
      <c r="B3629" s="20">
        <f>'2-Geotech'!$D$20</f>
        <v/>
      </c>
      <c r="C3629" s="8" t="inlineStr">
        <is>
          <t>kN/m3</t>
        </is>
      </c>
    </row>
    <row r="3630">
      <c r="A3630" s="6" t="inlineStr">
        <is>
          <t>gamma_sub</t>
        </is>
      </c>
      <c r="B3630" s="20">
        <f>'2-Geotech'!$D$22</f>
        <v/>
      </c>
      <c r="C3630" s="8" t="inlineStr">
        <is>
          <t>kN/m3</t>
        </is>
      </c>
    </row>
    <row r="3631">
      <c r="A3631" s="6" t="inlineStr">
        <is>
          <t>GWT depth</t>
        </is>
      </c>
      <c r="B3631" s="20">
        <f>'2-Geotech'!$D$23</f>
        <v/>
      </c>
      <c r="C3631" s="8" t="inlineStr">
        <is>
          <t>m</t>
        </is>
      </c>
    </row>
    <row r="3632">
      <c r="A3632" s="6" t="inlineStr">
        <is>
          <t>eps50</t>
        </is>
      </c>
      <c r="B3632" s="20">
        <f>'2-Geotech'!$D$18</f>
        <v/>
      </c>
      <c r="C3632" s="8" t="inlineStr">
        <is>
          <t>-</t>
        </is>
      </c>
    </row>
    <row r="3633">
      <c r="A3633" s="6" t="inlineStr">
        <is>
          <t>frost depth</t>
        </is>
      </c>
      <c r="B3633" s="20">
        <f>'2-Geotech'!$D$24</f>
        <v/>
      </c>
      <c r="C3633" s="8" t="inlineStr">
        <is>
          <t>m</t>
        </is>
      </c>
    </row>
    <row r="3634">
      <c r="A3634" s="6" t="inlineStr">
        <is>
          <t>J (Matlock)</t>
        </is>
      </c>
      <c r="B3634" s="20" t="n">
        <v>0.5</v>
      </c>
      <c r="C3634" s="8" t="inlineStr">
        <is>
          <t>-</t>
        </is>
      </c>
    </row>
    <row r="3635">
      <c r="A3635" s="6" t="inlineStr">
        <is>
          <t>y50 = 2.5*eps50*D</t>
        </is>
      </c>
      <c r="B3635" s="20">
        <f>2.5*$B$3632*$B$3616</f>
        <v/>
      </c>
      <c r="C3635" s="8" t="inlineStr">
        <is>
          <t>m</t>
        </is>
      </c>
    </row>
    <row r="3636">
      <c r="A3636" s="6" t="inlineStr">
        <is>
          <t>n_generations (unrolled iterations)</t>
        </is>
      </c>
      <c r="B3636" s="20" t="n">
        <v>45</v>
      </c>
      <c r="C3636" s="8" t="inlineStr">
        <is>
          <t>-</t>
        </is>
      </c>
    </row>
    <row r="3638">
      <c r="D3638" s="18" t="inlineStr">
        <is>
          <t>i</t>
        </is>
      </c>
      <c r="E3638" s="18" t="inlineStr">
        <is>
          <t>z (m)</t>
        </is>
      </c>
      <c r="F3638" s="18" t="inlineStr">
        <is>
          <t>sigma_v (kPa)</t>
        </is>
      </c>
      <c r="G3638" s="18" t="inlineStr">
        <is>
          <t>Np</t>
        </is>
      </c>
      <c r="H3638" s="18" t="inlineStr">
        <is>
          <t>pu (kN/m)</t>
        </is>
      </c>
      <c r="I3638" s="18" t="inlineStr">
        <is>
          <t>trib (m)</t>
        </is>
      </c>
    </row>
    <row r="3639">
      <c r="D3639" t="n">
        <v>0</v>
      </c>
      <c r="E3639" s="19">
        <f>$D$3639*$B$3623</f>
        <v/>
      </c>
      <c r="F3639" s="19">
        <f>IF($E$3639&lt;=$B$3631,$B$3629*$E$3639,$B$3629*$B$3631+$B$3630*($E$3639-$B$3631))</f>
        <v/>
      </c>
      <c r="G3639" s="19">
        <f>MIN(3+$F$3639/$B$3628+$B$3634*$E$3639/$B$3616,9)</f>
        <v/>
      </c>
      <c r="H3639" s="19">
        <f>$G$3639*$B$3628*$B$3616</f>
        <v/>
      </c>
      <c r="I3639" s="19">
        <f>IF(OR($D$3639=0,$D$3639=$B$3622),$B$3623/2,$B$3623)</f>
        <v/>
      </c>
    </row>
    <row r="3640">
      <c r="D3640" t="n">
        <v>1</v>
      </c>
      <c r="E3640" s="19">
        <f>$D$3640*$B$3623</f>
        <v/>
      </c>
      <c r="F3640" s="19">
        <f>IF($E$3640&lt;=$B$3631,$B$3629*$E$3640,$B$3629*$B$3631+$B$3630*($E$3640-$B$3631))</f>
        <v/>
      </c>
      <c r="G3640" s="19">
        <f>MIN(3+$F$3640/$B$3628+$B$3634*$E$3640/$B$3616,9)</f>
        <v/>
      </c>
      <c r="H3640" s="19">
        <f>$G$3640*$B$3628*$B$3616</f>
        <v/>
      </c>
      <c r="I3640" s="19">
        <f>IF(OR($D$3640=0,$D$3640=$B$3622),$B$3623/2,$B$3623)</f>
        <v/>
      </c>
    </row>
    <row r="3641">
      <c r="D3641" t="n">
        <v>2</v>
      </c>
      <c r="E3641" s="19">
        <f>$D$3641*$B$3623</f>
        <v/>
      </c>
      <c r="F3641" s="19">
        <f>IF($E$3641&lt;=$B$3631,$B$3629*$E$3641,$B$3629*$B$3631+$B$3630*($E$3641-$B$3631))</f>
        <v/>
      </c>
      <c r="G3641" s="19">
        <f>MIN(3+$F$3641/$B$3628+$B$3634*$E$3641/$B$3616,9)</f>
        <v/>
      </c>
      <c r="H3641" s="19">
        <f>$G$3641*$B$3628*$B$3616</f>
        <v/>
      </c>
      <c r="I3641" s="19">
        <f>IF(OR($D$3641=0,$D$3641=$B$3622),$B$3623/2,$B$3623)</f>
        <v/>
      </c>
    </row>
    <row r="3642">
      <c r="D3642" t="n">
        <v>3</v>
      </c>
      <c r="E3642" s="19">
        <f>$D$3642*$B$3623</f>
        <v/>
      </c>
      <c r="F3642" s="19">
        <f>IF($E$3642&lt;=$B$3631,$B$3629*$E$3642,$B$3629*$B$3631+$B$3630*($E$3642-$B$3631))</f>
        <v/>
      </c>
      <c r="G3642" s="19">
        <f>MIN(3+$F$3642/$B$3628+$B$3634*$E$3642/$B$3616,9)</f>
        <v/>
      </c>
      <c r="H3642" s="19">
        <f>$G$3642*$B$3628*$B$3616</f>
        <v/>
      </c>
      <c r="I3642" s="19">
        <f>IF(OR($D$3642=0,$D$3642=$B$3622),$B$3623/2,$B$3623)</f>
        <v/>
      </c>
    </row>
    <row r="3643">
      <c r="D3643" t="n">
        <v>4</v>
      </c>
      <c r="E3643" s="19">
        <f>$D$3643*$B$3623</f>
        <v/>
      </c>
      <c r="F3643" s="19">
        <f>IF($E$3643&lt;=$B$3631,$B$3629*$E$3643,$B$3629*$B$3631+$B$3630*($E$3643-$B$3631))</f>
        <v/>
      </c>
      <c r="G3643" s="19">
        <f>MIN(3+$F$3643/$B$3628+$B$3634*$E$3643/$B$3616,9)</f>
        <v/>
      </c>
      <c r="H3643" s="19">
        <f>$G$3643*$B$3628*$B$3616</f>
        <v/>
      </c>
      <c r="I3643" s="19">
        <f>IF(OR($D$3643=0,$D$3643=$B$3622),$B$3623/2,$B$3623)</f>
        <v/>
      </c>
    </row>
    <row r="3644">
      <c r="D3644" t="n">
        <v>5</v>
      </c>
      <c r="E3644" s="19">
        <f>$D$3644*$B$3623</f>
        <v/>
      </c>
      <c r="F3644" s="19">
        <f>IF($E$3644&lt;=$B$3631,$B$3629*$E$3644,$B$3629*$B$3631+$B$3630*($E$3644-$B$3631))</f>
        <v/>
      </c>
      <c r="G3644" s="19">
        <f>MIN(3+$F$3644/$B$3628+$B$3634*$E$3644/$B$3616,9)</f>
        <v/>
      </c>
      <c r="H3644" s="19">
        <f>$G$3644*$B$3628*$B$3616</f>
        <v/>
      </c>
      <c r="I3644" s="19">
        <f>IF(OR($D$3644=0,$D$3644=$B$3622),$B$3623/2,$B$3623)</f>
        <v/>
      </c>
    </row>
    <row r="3645">
      <c r="D3645" t="n">
        <v>6</v>
      </c>
      <c r="E3645" s="19">
        <f>$D$3645*$B$3623</f>
        <v/>
      </c>
      <c r="F3645" s="19">
        <f>IF($E$3645&lt;=$B$3631,$B$3629*$E$3645,$B$3629*$B$3631+$B$3630*($E$3645-$B$3631))</f>
        <v/>
      </c>
      <c r="G3645" s="19">
        <f>MIN(3+$F$3645/$B$3628+$B$3634*$E$3645/$B$3616,9)</f>
        <v/>
      </c>
      <c r="H3645" s="19">
        <f>$G$3645*$B$3628*$B$3616</f>
        <v/>
      </c>
      <c r="I3645" s="19">
        <f>IF(OR($D$3645=0,$D$3645=$B$3622),$B$3623/2,$B$3623)</f>
        <v/>
      </c>
    </row>
    <row r="3646">
      <c r="D3646" t="n">
        <v>7</v>
      </c>
      <c r="E3646" s="19">
        <f>$D$3646*$B$3623</f>
        <v/>
      </c>
      <c r="F3646" s="19">
        <f>IF($E$3646&lt;=$B$3631,$B$3629*$E$3646,$B$3629*$B$3631+$B$3630*($E$3646-$B$3631))</f>
        <v/>
      </c>
      <c r="G3646" s="19">
        <f>MIN(3+$F$3646/$B$3628+$B$3634*$E$3646/$B$3616,9)</f>
        <v/>
      </c>
      <c r="H3646" s="19">
        <f>$G$3646*$B$3628*$B$3616</f>
        <v/>
      </c>
      <c r="I3646" s="19">
        <f>IF(OR($D$3646=0,$D$3646=$B$3622),$B$3623/2,$B$3623)</f>
        <v/>
      </c>
    </row>
    <row r="3647">
      <c r="D3647" t="n">
        <v>8</v>
      </c>
      <c r="E3647" s="19">
        <f>$D$3647*$B$3623</f>
        <v/>
      </c>
      <c r="F3647" s="19">
        <f>IF($E$3647&lt;=$B$3631,$B$3629*$E$3647,$B$3629*$B$3631+$B$3630*($E$3647-$B$3631))</f>
        <v/>
      </c>
      <c r="G3647" s="19">
        <f>MIN(3+$F$3647/$B$3628+$B$3634*$E$3647/$B$3616,9)</f>
        <v/>
      </c>
      <c r="H3647" s="19">
        <f>$G$3647*$B$3628*$B$3616</f>
        <v/>
      </c>
      <c r="I3647" s="19">
        <f>IF(OR($D$3647=0,$D$3647=$B$3622),$B$3623/2,$B$3623)</f>
        <v/>
      </c>
    </row>
    <row r="3648">
      <c r="D3648" t="n">
        <v>9</v>
      </c>
      <c r="E3648" s="19">
        <f>$D$3648*$B$3623</f>
        <v/>
      </c>
      <c r="F3648" s="19">
        <f>IF($E$3648&lt;=$B$3631,$B$3629*$E$3648,$B$3629*$B$3631+$B$3630*($E$3648-$B$3631))</f>
        <v/>
      </c>
      <c r="G3648" s="19">
        <f>MIN(3+$F$3648/$B$3628+$B$3634*$E$3648/$B$3616,9)</f>
        <v/>
      </c>
      <c r="H3648" s="19">
        <f>$G$3648*$B$3628*$B$3616</f>
        <v/>
      </c>
      <c r="I3648" s="19">
        <f>IF(OR($D$3648=0,$D$3648=$B$3622),$B$3623/2,$B$3623)</f>
        <v/>
      </c>
    </row>
    <row r="3649">
      <c r="D3649" t="n">
        <v>10</v>
      </c>
      <c r="E3649" s="19">
        <f>$D$3649*$B$3623</f>
        <v/>
      </c>
      <c r="F3649" s="19">
        <f>IF($E$3649&lt;=$B$3631,$B$3629*$E$3649,$B$3629*$B$3631+$B$3630*($E$3649-$B$3631))</f>
        <v/>
      </c>
      <c r="G3649" s="19">
        <f>MIN(3+$F$3649/$B$3628+$B$3634*$E$3649/$B$3616,9)</f>
        <v/>
      </c>
      <c r="H3649" s="19">
        <f>$G$3649*$B$3628*$B$3616</f>
        <v/>
      </c>
      <c r="I3649" s="19">
        <f>IF(OR($D$3649=0,$D$3649=$B$3622),$B$3623/2,$B$3623)</f>
        <v/>
      </c>
    </row>
    <row r="3651">
      <c r="D3651" s="21">
        <f>$B$3614</f>
        <v/>
      </c>
    </row>
    <row r="3652">
      <c r="D3652" s="21">
        <f>$B$3615</f>
        <v/>
      </c>
    </row>
    <row r="3653">
      <c r="D3653" s="21" t="n">
        <v>0</v>
      </c>
    </row>
    <row r="3654">
      <c r="D3654" s="21" t="n">
        <v>0</v>
      </c>
    </row>
    <row r="3655">
      <c r="D3655" s="21" t="n">
        <v>0</v>
      </c>
    </row>
    <row r="3656">
      <c r="D3656" s="21" t="n">
        <v>0</v>
      </c>
    </row>
    <row r="3657">
      <c r="D3657" s="21" t="n">
        <v>0</v>
      </c>
    </row>
    <row r="3658">
      <c r="D3658" s="21" t="n">
        <v>0</v>
      </c>
    </row>
    <row r="3659">
      <c r="D3659" s="21" t="n">
        <v>0</v>
      </c>
    </row>
    <row r="3660">
      <c r="D3660" s="21" t="n">
        <v>0</v>
      </c>
    </row>
    <row r="3661">
      <c r="D3661" s="21" t="n">
        <v>0</v>
      </c>
    </row>
    <row r="3662">
      <c r="D3662" s="21" t="n">
        <v>0</v>
      </c>
    </row>
    <row r="3663">
      <c r="D3663" s="21" t="n">
        <v>0</v>
      </c>
    </row>
    <row r="3664">
      <c r="D3664" s="21" t="n">
        <v>0</v>
      </c>
    </row>
    <row r="3665">
      <c r="D3665" s="21" t="n">
        <v>0</v>
      </c>
    </row>
    <row r="3666">
      <c r="D3666" s="21" t="n">
        <v>0</v>
      </c>
    </row>
    <row r="3667">
      <c r="D3667" s="21" t="n">
        <v>0</v>
      </c>
    </row>
    <row r="3668">
      <c r="D3668" s="21" t="n">
        <v>0</v>
      </c>
    </row>
    <row r="3669">
      <c r="D3669" s="21" t="n">
        <v>0</v>
      </c>
    </row>
    <row r="3670">
      <c r="D3670" s="21" t="n">
        <v>0</v>
      </c>
    </row>
    <row r="3671">
      <c r="D3671" s="21" t="n">
        <v>0</v>
      </c>
    </row>
    <row r="3672">
      <c r="D3672" s="21" t="n">
        <v>0</v>
      </c>
    </row>
    <row r="3674">
      <c r="A3674" s="8" t="inlineStr">
        <is>
          <t>y seed (gen 0)</t>
        </is>
      </c>
    </row>
    <row r="3675">
      <c r="E3675" s="19" t="n">
        <v>1e-05</v>
      </c>
    </row>
    <row r="3676">
      <c r="E3676" s="19" t="n">
        <v>1e-05</v>
      </c>
    </row>
    <row r="3677">
      <c r="E3677" s="19" t="n">
        <v>1e-05</v>
      </c>
    </row>
    <row r="3678">
      <c r="E3678" s="19" t="n">
        <v>1e-05</v>
      </c>
    </row>
    <row r="3679">
      <c r="E3679" s="19" t="n">
        <v>1e-05</v>
      </c>
    </row>
    <row r="3680">
      <c r="E3680" s="19" t="n">
        <v>1e-05</v>
      </c>
    </row>
    <row r="3681">
      <c r="E3681" s="19" t="n">
        <v>1e-05</v>
      </c>
    </row>
    <row r="3682">
      <c r="E3682" s="19" t="n">
        <v>1e-05</v>
      </c>
    </row>
    <row r="3683">
      <c r="E3683" s="19" t="n">
        <v>1e-05</v>
      </c>
    </row>
    <row r="3684">
      <c r="E3684" s="19" t="n">
        <v>1e-05</v>
      </c>
    </row>
    <row r="3685">
      <c r="E3685" s="19" t="n">
        <v>1e-05</v>
      </c>
    </row>
    <row r="3686">
      <c r="A3686" s="8" t="inlineStr">
        <is>
          <t>gen 1</t>
        </is>
      </c>
    </row>
    <row r="3687">
      <c r="D3687" s="19">
        <f>IF(ABS(IF(ABS($E$3675)&gt;0.000000001,$E$3675,0.000000001))=0,0,IF($E$3639&lt;=$B$3633,0,IF(ABS(IF(ABS($E$3675)&gt;0.000000001,$E$3675,0.000000001))&gt;=8*$B$3635,$H$3639,0.5*$H$3639*(ABS(IF(ABS($E$3675)&gt;0.000000001,$E$3675,0.000000001))/$B$3635)^(1/3)))/ABS(IF(ABS($E$3675)&gt;0.000000001,$E$3675,0.000000001))*$I$3639)</f>
        <v/>
      </c>
      <c r="E3687" s="19">
        <f>0.5*$E$3675+0.5*$Z$3699</f>
        <v/>
      </c>
      <c r="F3687" s="19">
        <f>$Z$3700</f>
        <v/>
      </c>
    </row>
    <row r="3688">
      <c r="D3688" s="19">
        <f>IF(ABS(IF(ABS($E$3676)&gt;0.000000001,$E$3676,0.000000001))=0,0,IF($E$3640&lt;=$B$3633,0,IF(ABS(IF(ABS($E$3676)&gt;0.000000001,$E$3676,0.000000001))&gt;=8*$B$3635,$H$3640,0.5*$H$3640*(ABS(IF(ABS($E$3676)&gt;0.000000001,$E$3676,0.000000001))/$B$3635)^(1/3)))/ABS(IF(ABS($E$3676)&gt;0.000000001,$E$3676,0.000000001))*$I$3640)</f>
        <v/>
      </c>
      <c r="E3688" s="19">
        <f>0.5*$E$3676+0.5*$Z$3701</f>
        <v/>
      </c>
      <c r="F3688" s="19">
        <f>$Z$3702</f>
        <v/>
      </c>
    </row>
    <row r="3689">
      <c r="D3689" s="19">
        <f>IF(ABS(IF(ABS($E$3677)&gt;0.000000001,$E$3677,0.000000001))=0,0,IF($E$3641&lt;=$B$3633,0,IF(ABS(IF(ABS($E$3677)&gt;0.000000001,$E$3677,0.000000001))&gt;=8*$B$3635,$H$3641,0.5*$H$3641*(ABS(IF(ABS($E$3677)&gt;0.000000001,$E$3677,0.000000001))/$B$3635)^(1/3)))/ABS(IF(ABS($E$3677)&gt;0.000000001,$E$3677,0.000000001))*$I$3641)</f>
        <v/>
      </c>
      <c r="E3689" s="19">
        <f>0.5*$E$3677+0.5*$Z$3703</f>
        <v/>
      </c>
      <c r="F3689" s="19">
        <f>$Z$3704</f>
        <v/>
      </c>
    </row>
    <row r="3690">
      <c r="D3690" s="19">
        <f>IF(ABS(IF(ABS($E$3678)&gt;0.000000001,$E$3678,0.000000001))=0,0,IF($E$3642&lt;=$B$3633,0,IF(ABS(IF(ABS($E$3678)&gt;0.000000001,$E$3678,0.000000001))&gt;=8*$B$3635,$H$3642,0.5*$H$3642*(ABS(IF(ABS($E$3678)&gt;0.000000001,$E$3678,0.000000001))/$B$3635)^(1/3)))/ABS(IF(ABS($E$3678)&gt;0.000000001,$E$3678,0.000000001))*$I$3642)</f>
        <v/>
      </c>
      <c r="E3690" s="19">
        <f>0.5*$E$3678+0.5*$Z$3705</f>
        <v/>
      </c>
      <c r="F3690" s="19">
        <f>$Z$3706</f>
        <v/>
      </c>
    </row>
    <row r="3691">
      <c r="D3691" s="19">
        <f>IF(ABS(IF(ABS($E$3679)&gt;0.000000001,$E$3679,0.000000001))=0,0,IF($E$3643&lt;=$B$3633,0,IF(ABS(IF(ABS($E$3679)&gt;0.000000001,$E$3679,0.000000001))&gt;=8*$B$3635,$H$3643,0.5*$H$3643*(ABS(IF(ABS($E$3679)&gt;0.000000001,$E$3679,0.000000001))/$B$3635)^(1/3)))/ABS(IF(ABS($E$3679)&gt;0.000000001,$E$3679,0.000000001))*$I$3643)</f>
        <v/>
      </c>
      <c r="E3691" s="19">
        <f>0.5*$E$3679+0.5*$Z$3707</f>
        <v/>
      </c>
      <c r="F3691" s="19">
        <f>$Z$3708</f>
        <v/>
      </c>
    </row>
    <row r="3692">
      <c r="D3692" s="19">
        <f>IF(ABS(IF(ABS($E$3680)&gt;0.000000001,$E$3680,0.000000001))=0,0,IF($E$3644&lt;=$B$3633,0,IF(ABS(IF(ABS($E$3680)&gt;0.000000001,$E$3680,0.000000001))&gt;=8*$B$3635,$H$3644,0.5*$H$3644*(ABS(IF(ABS($E$3680)&gt;0.000000001,$E$3680,0.000000001))/$B$3635)^(1/3)))/ABS(IF(ABS($E$3680)&gt;0.000000001,$E$3680,0.000000001))*$I$3644)</f>
        <v/>
      </c>
      <c r="E3692" s="19">
        <f>0.5*$E$3680+0.5*$Z$3709</f>
        <v/>
      </c>
      <c r="F3692" s="19">
        <f>$Z$3710</f>
        <v/>
      </c>
    </row>
    <row r="3693">
      <c r="D3693" s="19">
        <f>IF(ABS(IF(ABS($E$3681)&gt;0.000000001,$E$3681,0.000000001))=0,0,IF($E$3645&lt;=$B$3633,0,IF(ABS(IF(ABS($E$3681)&gt;0.000000001,$E$3681,0.000000001))&gt;=8*$B$3635,$H$3645,0.5*$H$3645*(ABS(IF(ABS($E$3681)&gt;0.000000001,$E$3681,0.000000001))/$B$3635)^(1/3)))/ABS(IF(ABS($E$3681)&gt;0.000000001,$E$3681,0.000000001))*$I$3645)</f>
        <v/>
      </c>
      <c r="E3693" s="19">
        <f>0.5*$E$3681+0.5*$Z$3711</f>
        <v/>
      </c>
      <c r="F3693" s="19">
        <f>$Z$3712</f>
        <v/>
      </c>
    </row>
    <row r="3694">
      <c r="D3694" s="19">
        <f>IF(ABS(IF(ABS($E$3682)&gt;0.000000001,$E$3682,0.000000001))=0,0,IF($E$3646&lt;=$B$3633,0,IF(ABS(IF(ABS($E$3682)&gt;0.000000001,$E$3682,0.000000001))&gt;=8*$B$3635,$H$3646,0.5*$H$3646*(ABS(IF(ABS($E$3682)&gt;0.000000001,$E$3682,0.000000001))/$B$3635)^(1/3)))/ABS(IF(ABS($E$3682)&gt;0.000000001,$E$3682,0.000000001))*$I$3646)</f>
        <v/>
      </c>
      <c r="E3694" s="19">
        <f>0.5*$E$3682+0.5*$Z$3713</f>
        <v/>
      </c>
      <c r="F3694" s="19">
        <f>$Z$3714</f>
        <v/>
      </c>
    </row>
    <row r="3695">
      <c r="D3695" s="19">
        <f>IF(ABS(IF(ABS($E$3683)&gt;0.000000001,$E$3683,0.000000001))=0,0,IF($E$3647&lt;=$B$3633,0,IF(ABS(IF(ABS($E$3683)&gt;0.000000001,$E$3683,0.000000001))&gt;=8*$B$3635,$H$3647,0.5*$H$3647*(ABS(IF(ABS($E$3683)&gt;0.000000001,$E$3683,0.000000001))/$B$3635)^(1/3)))/ABS(IF(ABS($E$3683)&gt;0.000000001,$E$3683,0.000000001))*$I$3647)</f>
        <v/>
      </c>
      <c r="E3695" s="19">
        <f>0.5*$E$3683+0.5*$Z$3715</f>
        <v/>
      </c>
      <c r="F3695" s="19">
        <f>$Z$3716</f>
        <v/>
      </c>
    </row>
    <row r="3696">
      <c r="D3696" s="19">
        <f>IF(ABS(IF(ABS($E$3684)&gt;0.000000001,$E$3684,0.000000001))=0,0,IF($E$3648&lt;=$B$3633,0,IF(ABS(IF(ABS($E$3684)&gt;0.000000001,$E$3684,0.000000001))&gt;=8*$B$3635,$H$3648,0.5*$H$3648*(ABS(IF(ABS($E$3684)&gt;0.000000001,$E$3684,0.000000001))/$B$3635)^(1/3)))/ABS(IF(ABS($E$3684)&gt;0.000000001,$E$3684,0.000000001))*$I$3648)</f>
        <v/>
      </c>
      <c r="E3696" s="19">
        <f>0.5*$E$3684+0.5*$Z$3717</f>
        <v/>
      </c>
      <c r="F3696" s="19">
        <f>$Z$3718</f>
        <v/>
      </c>
    </row>
    <row r="3697">
      <c r="D3697" s="19">
        <f>IF(ABS(IF(ABS($E$3685)&gt;0.000000001,$E$3685,0.000000001))=0,0,IF($E$3649&lt;=$B$3633,0,IF(ABS(IF(ABS($E$3685)&gt;0.000000001,$E$3685,0.000000001))&gt;=8*$B$3635,$H$3649,0.5*$H$3649*(ABS(IF(ABS($E$3685)&gt;0.000000001,$E$3685,0.000000001))/$B$3635)^(1/3)))/ABS(IF(ABS($E$3685)&gt;0.000000001,$E$3685,0.000000001))*$I$3649)</f>
        <v/>
      </c>
      <c r="E3697" s="19">
        <f>0.5*$E$3685+0.5*$Z$3719</f>
        <v/>
      </c>
      <c r="F3697" s="19">
        <f>$Z$3720</f>
        <v/>
      </c>
    </row>
    <row r="3699">
      <c r="D3699" s="21">
        <f>$B$3624+$D$3687</f>
        <v/>
      </c>
      <c r="E3699" s="21">
        <f>$B$3625</f>
        <v/>
      </c>
      <c r="F3699" s="21">
        <f>-$B$3624</f>
        <v/>
      </c>
      <c r="G3699" s="21">
        <f>$B$3625</f>
        <v/>
      </c>
      <c r="H3699" s="21" t="n">
        <v>0</v>
      </c>
      <c r="I3699" s="21" t="n">
        <v>0</v>
      </c>
      <c r="J3699" s="21" t="n">
        <v>0</v>
      </c>
      <c r="K3699" s="21" t="n">
        <v>0</v>
      </c>
      <c r="L3699" s="21" t="n">
        <v>0</v>
      </c>
      <c r="M3699" s="21" t="n">
        <v>0</v>
      </c>
      <c r="N3699" s="21" t="n">
        <v>0</v>
      </c>
      <c r="O3699" s="21" t="n">
        <v>0</v>
      </c>
      <c r="P3699" s="21" t="n">
        <v>0</v>
      </c>
      <c r="Q3699" s="21" t="n">
        <v>0</v>
      </c>
      <c r="R3699" s="21" t="n">
        <v>0</v>
      </c>
      <c r="S3699" s="21" t="n">
        <v>0</v>
      </c>
      <c r="T3699" s="21" t="n">
        <v>0</v>
      </c>
      <c r="U3699" s="21" t="n">
        <v>0</v>
      </c>
      <c r="V3699" s="21" t="n">
        <v>0</v>
      </c>
      <c r="W3699" s="21" t="n">
        <v>0</v>
      </c>
      <c r="X3699" s="21" t="n">
        <v>0</v>
      </c>
      <c r="Y3699" s="21" t="n">
        <v>0</v>
      </c>
      <c r="Z3699" s="19">
        <f t="array" ref="Z3699:Z3720">MMULT(MINVERSE($D$3699:$Y$3720),$D$3651:$D$3672)</f>
        <v/>
      </c>
    </row>
    <row r="3700">
      <c r="D3700" s="21">
        <f>$B$3625</f>
        <v/>
      </c>
      <c r="E3700" s="21">
        <f>$B$3626</f>
        <v/>
      </c>
      <c r="F3700" s="21">
        <f>-$B$3625</f>
        <v/>
      </c>
      <c r="G3700" s="21">
        <f>$B$3627</f>
        <v/>
      </c>
      <c r="H3700" s="21" t="n">
        <v>0</v>
      </c>
      <c r="I3700" s="21" t="n">
        <v>0</v>
      </c>
      <c r="J3700" s="21" t="n">
        <v>0</v>
      </c>
      <c r="K3700" s="21" t="n">
        <v>0</v>
      </c>
      <c r="L3700" s="21" t="n">
        <v>0</v>
      </c>
      <c r="M3700" s="21" t="n">
        <v>0</v>
      </c>
      <c r="N3700" s="21" t="n">
        <v>0</v>
      </c>
      <c r="O3700" s="21" t="n">
        <v>0</v>
      </c>
      <c r="P3700" s="21" t="n">
        <v>0</v>
      </c>
      <c r="Q3700" s="21" t="n">
        <v>0</v>
      </c>
      <c r="R3700" s="21" t="n">
        <v>0</v>
      </c>
      <c r="S3700" s="21" t="n">
        <v>0</v>
      </c>
      <c r="T3700" s="21" t="n">
        <v>0</v>
      </c>
      <c r="U3700" s="21" t="n">
        <v>0</v>
      </c>
      <c r="V3700" s="21" t="n">
        <v>0</v>
      </c>
      <c r="W3700" s="21" t="n">
        <v>0</v>
      </c>
      <c r="X3700" s="21" t="n">
        <v>0</v>
      </c>
      <c r="Y3700" s="21" t="n">
        <v>0</v>
      </c>
      <c r="Z3700" s="19" t="n"/>
    </row>
    <row r="3701">
      <c r="D3701" s="21">
        <f>-$B$3624</f>
        <v/>
      </c>
      <c r="E3701" s="21">
        <f>-$B$3625</f>
        <v/>
      </c>
      <c r="F3701" s="21">
        <f>2*$B$3624+$D$3688</f>
        <v/>
      </c>
      <c r="G3701" s="21">
        <f>0</f>
        <v/>
      </c>
      <c r="H3701" s="21">
        <f>-$B$3624</f>
        <v/>
      </c>
      <c r="I3701" s="21">
        <f>$B$3625</f>
        <v/>
      </c>
      <c r="J3701" s="21" t="n">
        <v>0</v>
      </c>
      <c r="K3701" s="21" t="n">
        <v>0</v>
      </c>
      <c r="L3701" s="21" t="n">
        <v>0</v>
      </c>
      <c r="M3701" s="21" t="n">
        <v>0</v>
      </c>
      <c r="N3701" s="21" t="n">
        <v>0</v>
      </c>
      <c r="O3701" s="21" t="n">
        <v>0</v>
      </c>
      <c r="P3701" s="21" t="n">
        <v>0</v>
      </c>
      <c r="Q3701" s="21" t="n">
        <v>0</v>
      </c>
      <c r="R3701" s="21" t="n">
        <v>0</v>
      </c>
      <c r="S3701" s="21" t="n">
        <v>0</v>
      </c>
      <c r="T3701" s="21" t="n">
        <v>0</v>
      </c>
      <c r="U3701" s="21" t="n">
        <v>0</v>
      </c>
      <c r="V3701" s="21" t="n">
        <v>0</v>
      </c>
      <c r="W3701" s="21" t="n">
        <v>0</v>
      </c>
      <c r="X3701" s="21" t="n">
        <v>0</v>
      </c>
      <c r="Y3701" s="21" t="n">
        <v>0</v>
      </c>
      <c r="Z3701" s="19" t="n"/>
    </row>
    <row r="3702">
      <c r="D3702" s="21">
        <f>$B$3625</f>
        <v/>
      </c>
      <c r="E3702" s="21">
        <f>$B$3627</f>
        <v/>
      </c>
      <c r="F3702" s="21">
        <f>0</f>
        <v/>
      </c>
      <c r="G3702" s="21">
        <f>2*$B$3626</f>
        <v/>
      </c>
      <c r="H3702" s="21">
        <f>-$B$3625</f>
        <v/>
      </c>
      <c r="I3702" s="21">
        <f>$B$3627</f>
        <v/>
      </c>
      <c r="J3702" s="21" t="n">
        <v>0</v>
      </c>
      <c r="K3702" s="21" t="n">
        <v>0</v>
      </c>
      <c r="L3702" s="21" t="n">
        <v>0</v>
      </c>
      <c r="M3702" s="21" t="n">
        <v>0</v>
      </c>
      <c r="N3702" s="21" t="n">
        <v>0</v>
      </c>
      <c r="O3702" s="21" t="n">
        <v>0</v>
      </c>
      <c r="P3702" s="21" t="n">
        <v>0</v>
      </c>
      <c r="Q3702" s="21" t="n">
        <v>0</v>
      </c>
      <c r="R3702" s="21" t="n">
        <v>0</v>
      </c>
      <c r="S3702" s="21" t="n">
        <v>0</v>
      </c>
      <c r="T3702" s="21" t="n">
        <v>0</v>
      </c>
      <c r="U3702" s="21" t="n">
        <v>0</v>
      </c>
      <c r="V3702" s="21" t="n">
        <v>0</v>
      </c>
      <c r="W3702" s="21" t="n">
        <v>0</v>
      </c>
      <c r="X3702" s="21" t="n">
        <v>0</v>
      </c>
      <c r="Y3702" s="21" t="n">
        <v>0</v>
      </c>
      <c r="Z3702" s="19" t="n"/>
    </row>
    <row r="3703">
      <c r="D3703" s="21" t="n">
        <v>0</v>
      </c>
      <c r="E3703" s="21" t="n">
        <v>0</v>
      </c>
      <c r="F3703" s="21">
        <f>-$B$3624</f>
        <v/>
      </c>
      <c r="G3703" s="21">
        <f>-$B$3625</f>
        <v/>
      </c>
      <c r="H3703" s="21">
        <f>2*$B$3624+$D$3689</f>
        <v/>
      </c>
      <c r="I3703" s="21">
        <f>0</f>
        <v/>
      </c>
      <c r="J3703" s="21">
        <f>-$B$3624</f>
        <v/>
      </c>
      <c r="K3703" s="21">
        <f>$B$3625</f>
        <v/>
      </c>
      <c r="L3703" s="21" t="n">
        <v>0</v>
      </c>
      <c r="M3703" s="21" t="n">
        <v>0</v>
      </c>
      <c r="N3703" s="21" t="n">
        <v>0</v>
      </c>
      <c r="O3703" s="21" t="n">
        <v>0</v>
      </c>
      <c r="P3703" s="21" t="n">
        <v>0</v>
      </c>
      <c r="Q3703" s="21" t="n">
        <v>0</v>
      </c>
      <c r="R3703" s="21" t="n">
        <v>0</v>
      </c>
      <c r="S3703" s="21" t="n">
        <v>0</v>
      </c>
      <c r="T3703" s="21" t="n">
        <v>0</v>
      </c>
      <c r="U3703" s="21" t="n">
        <v>0</v>
      </c>
      <c r="V3703" s="21" t="n">
        <v>0</v>
      </c>
      <c r="W3703" s="21" t="n">
        <v>0</v>
      </c>
      <c r="X3703" s="21" t="n">
        <v>0</v>
      </c>
      <c r="Y3703" s="21" t="n">
        <v>0</v>
      </c>
      <c r="Z3703" s="19" t="n"/>
    </row>
    <row r="3704">
      <c r="D3704" s="21" t="n">
        <v>0</v>
      </c>
      <c r="E3704" s="21" t="n">
        <v>0</v>
      </c>
      <c r="F3704" s="21">
        <f>$B$3625</f>
        <v/>
      </c>
      <c r="G3704" s="21">
        <f>$B$3627</f>
        <v/>
      </c>
      <c r="H3704" s="21">
        <f>0</f>
        <v/>
      </c>
      <c r="I3704" s="21">
        <f>2*$B$3626</f>
        <v/>
      </c>
      <c r="J3704" s="21">
        <f>-$B$3625</f>
        <v/>
      </c>
      <c r="K3704" s="21">
        <f>$B$3627</f>
        <v/>
      </c>
      <c r="L3704" s="21" t="n">
        <v>0</v>
      </c>
      <c r="M3704" s="21" t="n">
        <v>0</v>
      </c>
      <c r="N3704" s="21" t="n">
        <v>0</v>
      </c>
      <c r="O3704" s="21" t="n">
        <v>0</v>
      </c>
      <c r="P3704" s="21" t="n">
        <v>0</v>
      </c>
      <c r="Q3704" s="21" t="n">
        <v>0</v>
      </c>
      <c r="R3704" s="21" t="n">
        <v>0</v>
      </c>
      <c r="S3704" s="21" t="n">
        <v>0</v>
      </c>
      <c r="T3704" s="21" t="n">
        <v>0</v>
      </c>
      <c r="U3704" s="21" t="n">
        <v>0</v>
      </c>
      <c r="V3704" s="21" t="n">
        <v>0</v>
      </c>
      <c r="W3704" s="21" t="n">
        <v>0</v>
      </c>
      <c r="X3704" s="21" t="n">
        <v>0</v>
      </c>
      <c r="Y3704" s="21" t="n">
        <v>0</v>
      </c>
      <c r="Z3704" s="19" t="n"/>
    </row>
    <row r="3705">
      <c r="D3705" s="21" t="n">
        <v>0</v>
      </c>
      <c r="E3705" s="21" t="n">
        <v>0</v>
      </c>
      <c r="F3705" s="21" t="n">
        <v>0</v>
      </c>
      <c r="G3705" s="21" t="n">
        <v>0</v>
      </c>
      <c r="H3705" s="21">
        <f>-$B$3624</f>
        <v/>
      </c>
      <c r="I3705" s="21">
        <f>-$B$3625</f>
        <v/>
      </c>
      <c r="J3705" s="21">
        <f>2*$B$3624+$D$3690</f>
        <v/>
      </c>
      <c r="K3705" s="21">
        <f>0</f>
        <v/>
      </c>
      <c r="L3705" s="21">
        <f>-$B$3624</f>
        <v/>
      </c>
      <c r="M3705" s="21">
        <f>$B$3625</f>
        <v/>
      </c>
      <c r="N3705" s="21" t="n">
        <v>0</v>
      </c>
      <c r="O3705" s="21" t="n">
        <v>0</v>
      </c>
      <c r="P3705" s="21" t="n">
        <v>0</v>
      </c>
      <c r="Q3705" s="21" t="n">
        <v>0</v>
      </c>
      <c r="R3705" s="21" t="n">
        <v>0</v>
      </c>
      <c r="S3705" s="21" t="n">
        <v>0</v>
      </c>
      <c r="T3705" s="21" t="n">
        <v>0</v>
      </c>
      <c r="U3705" s="21" t="n">
        <v>0</v>
      </c>
      <c r="V3705" s="21" t="n">
        <v>0</v>
      </c>
      <c r="W3705" s="21" t="n">
        <v>0</v>
      </c>
      <c r="X3705" s="21" t="n">
        <v>0</v>
      </c>
      <c r="Y3705" s="21" t="n">
        <v>0</v>
      </c>
      <c r="Z3705" s="19" t="n"/>
    </row>
    <row r="3706">
      <c r="D3706" s="21" t="n">
        <v>0</v>
      </c>
      <c r="E3706" s="21" t="n">
        <v>0</v>
      </c>
      <c r="F3706" s="21" t="n">
        <v>0</v>
      </c>
      <c r="G3706" s="21" t="n">
        <v>0</v>
      </c>
      <c r="H3706" s="21">
        <f>$B$3625</f>
        <v/>
      </c>
      <c r="I3706" s="21">
        <f>$B$3627</f>
        <v/>
      </c>
      <c r="J3706" s="21">
        <f>0</f>
        <v/>
      </c>
      <c r="K3706" s="21">
        <f>2*$B$3626</f>
        <v/>
      </c>
      <c r="L3706" s="21">
        <f>-$B$3625</f>
        <v/>
      </c>
      <c r="M3706" s="21">
        <f>$B$3627</f>
        <v/>
      </c>
      <c r="N3706" s="21" t="n">
        <v>0</v>
      </c>
      <c r="O3706" s="21" t="n">
        <v>0</v>
      </c>
      <c r="P3706" s="21" t="n">
        <v>0</v>
      </c>
      <c r="Q3706" s="21" t="n">
        <v>0</v>
      </c>
      <c r="R3706" s="21" t="n">
        <v>0</v>
      </c>
      <c r="S3706" s="21" t="n">
        <v>0</v>
      </c>
      <c r="T3706" s="21" t="n">
        <v>0</v>
      </c>
      <c r="U3706" s="21" t="n">
        <v>0</v>
      </c>
      <c r="V3706" s="21" t="n">
        <v>0</v>
      </c>
      <c r="W3706" s="21" t="n">
        <v>0</v>
      </c>
      <c r="X3706" s="21" t="n">
        <v>0</v>
      </c>
      <c r="Y3706" s="21" t="n">
        <v>0</v>
      </c>
      <c r="Z3706" s="19" t="n"/>
    </row>
    <row r="3707">
      <c r="D3707" s="21" t="n">
        <v>0</v>
      </c>
      <c r="E3707" s="21" t="n">
        <v>0</v>
      </c>
      <c r="F3707" s="21" t="n">
        <v>0</v>
      </c>
      <c r="G3707" s="21" t="n">
        <v>0</v>
      </c>
      <c r="H3707" s="21" t="n">
        <v>0</v>
      </c>
      <c r="I3707" s="21" t="n">
        <v>0</v>
      </c>
      <c r="J3707" s="21">
        <f>-$B$3624</f>
        <v/>
      </c>
      <c r="K3707" s="21">
        <f>-$B$3625</f>
        <v/>
      </c>
      <c r="L3707" s="21">
        <f>2*$B$3624+$D$3691</f>
        <v/>
      </c>
      <c r="M3707" s="21">
        <f>0</f>
        <v/>
      </c>
      <c r="N3707" s="21">
        <f>-$B$3624</f>
        <v/>
      </c>
      <c r="O3707" s="21">
        <f>$B$3625</f>
        <v/>
      </c>
      <c r="P3707" s="21" t="n">
        <v>0</v>
      </c>
      <c r="Q3707" s="21" t="n">
        <v>0</v>
      </c>
      <c r="R3707" s="21" t="n">
        <v>0</v>
      </c>
      <c r="S3707" s="21" t="n">
        <v>0</v>
      </c>
      <c r="T3707" s="21" t="n">
        <v>0</v>
      </c>
      <c r="U3707" s="21" t="n">
        <v>0</v>
      </c>
      <c r="V3707" s="21" t="n">
        <v>0</v>
      </c>
      <c r="W3707" s="21" t="n">
        <v>0</v>
      </c>
      <c r="X3707" s="21" t="n">
        <v>0</v>
      </c>
      <c r="Y3707" s="21" t="n">
        <v>0</v>
      </c>
      <c r="Z3707" s="19" t="n"/>
    </row>
    <row r="3708">
      <c r="D3708" s="21" t="n">
        <v>0</v>
      </c>
      <c r="E3708" s="21" t="n">
        <v>0</v>
      </c>
      <c r="F3708" s="21" t="n">
        <v>0</v>
      </c>
      <c r="G3708" s="21" t="n">
        <v>0</v>
      </c>
      <c r="H3708" s="21" t="n">
        <v>0</v>
      </c>
      <c r="I3708" s="21" t="n">
        <v>0</v>
      </c>
      <c r="J3708" s="21">
        <f>$B$3625</f>
        <v/>
      </c>
      <c r="K3708" s="21">
        <f>$B$3627</f>
        <v/>
      </c>
      <c r="L3708" s="21">
        <f>0</f>
        <v/>
      </c>
      <c r="M3708" s="21">
        <f>2*$B$3626</f>
        <v/>
      </c>
      <c r="N3708" s="21">
        <f>-$B$3625</f>
        <v/>
      </c>
      <c r="O3708" s="21">
        <f>$B$3627</f>
        <v/>
      </c>
      <c r="P3708" s="21" t="n">
        <v>0</v>
      </c>
      <c r="Q3708" s="21" t="n">
        <v>0</v>
      </c>
      <c r="R3708" s="21" t="n">
        <v>0</v>
      </c>
      <c r="S3708" s="21" t="n">
        <v>0</v>
      </c>
      <c r="T3708" s="21" t="n">
        <v>0</v>
      </c>
      <c r="U3708" s="21" t="n">
        <v>0</v>
      </c>
      <c r="V3708" s="21" t="n">
        <v>0</v>
      </c>
      <c r="W3708" s="21" t="n">
        <v>0</v>
      </c>
      <c r="X3708" s="21" t="n">
        <v>0</v>
      </c>
      <c r="Y3708" s="21" t="n">
        <v>0</v>
      </c>
      <c r="Z3708" s="19" t="n"/>
    </row>
    <row r="3709">
      <c r="D3709" s="21" t="n">
        <v>0</v>
      </c>
      <c r="E3709" s="21" t="n">
        <v>0</v>
      </c>
      <c r="F3709" s="21" t="n">
        <v>0</v>
      </c>
      <c r="G3709" s="21" t="n">
        <v>0</v>
      </c>
      <c r="H3709" s="21" t="n">
        <v>0</v>
      </c>
      <c r="I3709" s="21" t="n">
        <v>0</v>
      </c>
      <c r="J3709" s="21" t="n">
        <v>0</v>
      </c>
      <c r="K3709" s="21" t="n">
        <v>0</v>
      </c>
      <c r="L3709" s="21">
        <f>-$B$3624</f>
        <v/>
      </c>
      <c r="M3709" s="21">
        <f>-$B$3625</f>
        <v/>
      </c>
      <c r="N3709" s="21">
        <f>2*$B$3624+$D$3692</f>
        <v/>
      </c>
      <c r="O3709" s="21">
        <f>0</f>
        <v/>
      </c>
      <c r="P3709" s="21">
        <f>-$B$3624</f>
        <v/>
      </c>
      <c r="Q3709" s="21">
        <f>$B$3625</f>
        <v/>
      </c>
      <c r="R3709" s="21" t="n">
        <v>0</v>
      </c>
      <c r="S3709" s="21" t="n">
        <v>0</v>
      </c>
      <c r="T3709" s="21" t="n">
        <v>0</v>
      </c>
      <c r="U3709" s="21" t="n">
        <v>0</v>
      </c>
      <c r="V3709" s="21" t="n">
        <v>0</v>
      </c>
      <c r="W3709" s="21" t="n">
        <v>0</v>
      </c>
      <c r="X3709" s="21" t="n">
        <v>0</v>
      </c>
      <c r="Y3709" s="21" t="n">
        <v>0</v>
      </c>
      <c r="Z3709" s="19" t="n"/>
    </row>
    <row r="3710">
      <c r="D3710" s="21" t="n">
        <v>0</v>
      </c>
      <c r="E3710" s="21" t="n">
        <v>0</v>
      </c>
      <c r="F3710" s="21" t="n">
        <v>0</v>
      </c>
      <c r="G3710" s="21" t="n">
        <v>0</v>
      </c>
      <c r="H3710" s="21" t="n">
        <v>0</v>
      </c>
      <c r="I3710" s="21" t="n">
        <v>0</v>
      </c>
      <c r="J3710" s="21" t="n">
        <v>0</v>
      </c>
      <c r="K3710" s="21" t="n">
        <v>0</v>
      </c>
      <c r="L3710" s="21">
        <f>$B$3625</f>
        <v/>
      </c>
      <c r="M3710" s="21">
        <f>$B$3627</f>
        <v/>
      </c>
      <c r="N3710" s="21">
        <f>0</f>
        <v/>
      </c>
      <c r="O3710" s="21">
        <f>2*$B$3626</f>
        <v/>
      </c>
      <c r="P3710" s="21">
        <f>-$B$3625</f>
        <v/>
      </c>
      <c r="Q3710" s="21">
        <f>$B$3627</f>
        <v/>
      </c>
      <c r="R3710" s="21" t="n">
        <v>0</v>
      </c>
      <c r="S3710" s="21" t="n">
        <v>0</v>
      </c>
      <c r="T3710" s="21" t="n">
        <v>0</v>
      </c>
      <c r="U3710" s="21" t="n">
        <v>0</v>
      </c>
      <c r="V3710" s="21" t="n">
        <v>0</v>
      </c>
      <c r="W3710" s="21" t="n">
        <v>0</v>
      </c>
      <c r="X3710" s="21" t="n">
        <v>0</v>
      </c>
      <c r="Y3710" s="21" t="n">
        <v>0</v>
      </c>
      <c r="Z3710" s="19" t="n"/>
    </row>
    <row r="3711">
      <c r="D3711" s="21" t="n">
        <v>0</v>
      </c>
      <c r="E3711" s="21" t="n">
        <v>0</v>
      </c>
      <c r="F3711" s="21" t="n">
        <v>0</v>
      </c>
      <c r="G3711" s="21" t="n">
        <v>0</v>
      </c>
      <c r="H3711" s="21" t="n">
        <v>0</v>
      </c>
      <c r="I3711" s="21" t="n">
        <v>0</v>
      </c>
      <c r="J3711" s="21" t="n">
        <v>0</v>
      </c>
      <c r="K3711" s="21" t="n">
        <v>0</v>
      </c>
      <c r="L3711" s="21" t="n">
        <v>0</v>
      </c>
      <c r="M3711" s="21" t="n">
        <v>0</v>
      </c>
      <c r="N3711" s="21">
        <f>-$B$3624</f>
        <v/>
      </c>
      <c r="O3711" s="21">
        <f>-$B$3625</f>
        <v/>
      </c>
      <c r="P3711" s="21">
        <f>2*$B$3624+$D$3693</f>
        <v/>
      </c>
      <c r="Q3711" s="21">
        <f>0</f>
        <v/>
      </c>
      <c r="R3711" s="21">
        <f>-$B$3624</f>
        <v/>
      </c>
      <c r="S3711" s="21">
        <f>$B$3625</f>
        <v/>
      </c>
      <c r="T3711" s="21" t="n">
        <v>0</v>
      </c>
      <c r="U3711" s="21" t="n">
        <v>0</v>
      </c>
      <c r="V3711" s="21" t="n">
        <v>0</v>
      </c>
      <c r="W3711" s="21" t="n">
        <v>0</v>
      </c>
      <c r="X3711" s="21" t="n">
        <v>0</v>
      </c>
      <c r="Y3711" s="21" t="n">
        <v>0</v>
      </c>
      <c r="Z3711" s="19" t="n"/>
    </row>
    <row r="3712">
      <c r="D3712" s="21" t="n">
        <v>0</v>
      </c>
      <c r="E3712" s="21" t="n">
        <v>0</v>
      </c>
      <c r="F3712" s="21" t="n">
        <v>0</v>
      </c>
      <c r="G3712" s="21" t="n">
        <v>0</v>
      </c>
      <c r="H3712" s="21" t="n">
        <v>0</v>
      </c>
      <c r="I3712" s="21" t="n">
        <v>0</v>
      </c>
      <c r="J3712" s="21" t="n">
        <v>0</v>
      </c>
      <c r="K3712" s="21" t="n">
        <v>0</v>
      </c>
      <c r="L3712" s="21" t="n">
        <v>0</v>
      </c>
      <c r="M3712" s="21" t="n">
        <v>0</v>
      </c>
      <c r="N3712" s="21">
        <f>$B$3625</f>
        <v/>
      </c>
      <c r="O3712" s="21">
        <f>$B$3627</f>
        <v/>
      </c>
      <c r="P3712" s="21">
        <f>0</f>
        <v/>
      </c>
      <c r="Q3712" s="21">
        <f>2*$B$3626</f>
        <v/>
      </c>
      <c r="R3712" s="21">
        <f>-$B$3625</f>
        <v/>
      </c>
      <c r="S3712" s="21">
        <f>$B$3627</f>
        <v/>
      </c>
      <c r="T3712" s="21" t="n">
        <v>0</v>
      </c>
      <c r="U3712" s="21" t="n">
        <v>0</v>
      </c>
      <c r="V3712" s="21" t="n">
        <v>0</v>
      </c>
      <c r="W3712" s="21" t="n">
        <v>0</v>
      </c>
      <c r="X3712" s="21" t="n">
        <v>0</v>
      </c>
      <c r="Y3712" s="21" t="n">
        <v>0</v>
      </c>
      <c r="Z3712" s="19" t="n"/>
    </row>
    <row r="3713">
      <c r="D3713" s="21" t="n">
        <v>0</v>
      </c>
      <c r="E3713" s="21" t="n">
        <v>0</v>
      </c>
      <c r="F3713" s="21" t="n">
        <v>0</v>
      </c>
      <c r="G3713" s="21" t="n">
        <v>0</v>
      </c>
      <c r="H3713" s="21" t="n">
        <v>0</v>
      </c>
      <c r="I3713" s="21" t="n">
        <v>0</v>
      </c>
      <c r="J3713" s="21" t="n">
        <v>0</v>
      </c>
      <c r="K3713" s="21" t="n">
        <v>0</v>
      </c>
      <c r="L3713" s="21" t="n">
        <v>0</v>
      </c>
      <c r="M3713" s="21" t="n">
        <v>0</v>
      </c>
      <c r="N3713" s="21" t="n">
        <v>0</v>
      </c>
      <c r="O3713" s="21" t="n">
        <v>0</v>
      </c>
      <c r="P3713" s="21">
        <f>-$B$3624</f>
        <v/>
      </c>
      <c r="Q3713" s="21">
        <f>-$B$3625</f>
        <v/>
      </c>
      <c r="R3713" s="21">
        <f>2*$B$3624+$D$3694</f>
        <v/>
      </c>
      <c r="S3713" s="21">
        <f>0</f>
        <v/>
      </c>
      <c r="T3713" s="21">
        <f>-$B$3624</f>
        <v/>
      </c>
      <c r="U3713" s="21">
        <f>$B$3625</f>
        <v/>
      </c>
      <c r="V3713" s="21" t="n">
        <v>0</v>
      </c>
      <c r="W3713" s="21" t="n">
        <v>0</v>
      </c>
      <c r="X3713" s="21" t="n">
        <v>0</v>
      </c>
      <c r="Y3713" s="21" t="n">
        <v>0</v>
      </c>
      <c r="Z3713" s="19" t="n"/>
    </row>
    <row r="3714">
      <c r="D3714" s="21" t="n">
        <v>0</v>
      </c>
      <c r="E3714" s="21" t="n">
        <v>0</v>
      </c>
      <c r="F3714" s="21" t="n">
        <v>0</v>
      </c>
      <c r="G3714" s="21" t="n">
        <v>0</v>
      </c>
      <c r="H3714" s="21" t="n">
        <v>0</v>
      </c>
      <c r="I3714" s="21" t="n">
        <v>0</v>
      </c>
      <c r="J3714" s="21" t="n">
        <v>0</v>
      </c>
      <c r="K3714" s="21" t="n">
        <v>0</v>
      </c>
      <c r="L3714" s="21" t="n">
        <v>0</v>
      </c>
      <c r="M3714" s="21" t="n">
        <v>0</v>
      </c>
      <c r="N3714" s="21" t="n">
        <v>0</v>
      </c>
      <c r="O3714" s="21" t="n">
        <v>0</v>
      </c>
      <c r="P3714" s="21">
        <f>$B$3625</f>
        <v/>
      </c>
      <c r="Q3714" s="21">
        <f>$B$3627</f>
        <v/>
      </c>
      <c r="R3714" s="21">
        <f>0</f>
        <v/>
      </c>
      <c r="S3714" s="21">
        <f>2*$B$3626</f>
        <v/>
      </c>
      <c r="T3714" s="21">
        <f>-$B$3625</f>
        <v/>
      </c>
      <c r="U3714" s="21">
        <f>$B$3627</f>
        <v/>
      </c>
      <c r="V3714" s="21" t="n">
        <v>0</v>
      </c>
      <c r="W3714" s="21" t="n">
        <v>0</v>
      </c>
      <c r="X3714" s="21" t="n">
        <v>0</v>
      </c>
      <c r="Y3714" s="21" t="n">
        <v>0</v>
      </c>
      <c r="Z3714" s="19" t="n"/>
    </row>
    <row r="3715">
      <c r="D3715" s="21" t="n">
        <v>0</v>
      </c>
      <c r="E3715" s="21" t="n">
        <v>0</v>
      </c>
      <c r="F3715" s="21" t="n">
        <v>0</v>
      </c>
      <c r="G3715" s="21" t="n">
        <v>0</v>
      </c>
      <c r="H3715" s="21" t="n">
        <v>0</v>
      </c>
      <c r="I3715" s="21" t="n">
        <v>0</v>
      </c>
      <c r="J3715" s="21" t="n">
        <v>0</v>
      </c>
      <c r="K3715" s="21" t="n">
        <v>0</v>
      </c>
      <c r="L3715" s="21" t="n">
        <v>0</v>
      </c>
      <c r="M3715" s="21" t="n">
        <v>0</v>
      </c>
      <c r="N3715" s="21" t="n">
        <v>0</v>
      </c>
      <c r="O3715" s="21" t="n">
        <v>0</v>
      </c>
      <c r="P3715" s="21" t="n">
        <v>0</v>
      </c>
      <c r="Q3715" s="21" t="n">
        <v>0</v>
      </c>
      <c r="R3715" s="21">
        <f>-$B$3624</f>
        <v/>
      </c>
      <c r="S3715" s="21">
        <f>-$B$3625</f>
        <v/>
      </c>
      <c r="T3715" s="21">
        <f>2*$B$3624+$D$3695</f>
        <v/>
      </c>
      <c r="U3715" s="21">
        <f>0</f>
        <v/>
      </c>
      <c r="V3715" s="21">
        <f>-$B$3624</f>
        <v/>
      </c>
      <c r="W3715" s="21">
        <f>$B$3625</f>
        <v/>
      </c>
      <c r="X3715" s="21" t="n">
        <v>0</v>
      </c>
      <c r="Y3715" s="21" t="n">
        <v>0</v>
      </c>
      <c r="Z3715" s="19" t="n"/>
    </row>
    <row r="3716">
      <c r="D3716" s="21" t="n">
        <v>0</v>
      </c>
      <c r="E3716" s="21" t="n">
        <v>0</v>
      </c>
      <c r="F3716" s="21" t="n">
        <v>0</v>
      </c>
      <c r="G3716" s="21" t="n">
        <v>0</v>
      </c>
      <c r="H3716" s="21" t="n">
        <v>0</v>
      </c>
      <c r="I3716" s="21" t="n">
        <v>0</v>
      </c>
      <c r="J3716" s="21" t="n">
        <v>0</v>
      </c>
      <c r="K3716" s="21" t="n">
        <v>0</v>
      </c>
      <c r="L3716" s="21" t="n">
        <v>0</v>
      </c>
      <c r="M3716" s="21" t="n">
        <v>0</v>
      </c>
      <c r="N3716" s="21" t="n">
        <v>0</v>
      </c>
      <c r="O3716" s="21" t="n">
        <v>0</v>
      </c>
      <c r="P3716" s="21" t="n">
        <v>0</v>
      </c>
      <c r="Q3716" s="21" t="n">
        <v>0</v>
      </c>
      <c r="R3716" s="21">
        <f>$B$3625</f>
        <v/>
      </c>
      <c r="S3716" s="21">
        <f>$B$3627</f>
        <v/>
      </c>
      <c r="T3716" s="21">
        <f>0</f>
        <v/>
      </c>
      <c r="U3716" s="21">
        <f>2*$B$3626</f>
        <v/>
      </c>
      <c r="V3716" s="21">
        <f>-$B$3625</f>
        <v/>
      </c>
      <c r="W3716" s="21">
        <f>$B$3627</f>
        <v/>
      </c>
      <c r="X3716" s="21" t="n">
        <v>0</v>
      </c>
      <c r="Y3716" s="21" t="n">
        <v>0</v>
      </c>
      <c r="Z3716" s="19" t="n"/>
    </row>
    <row r="3717">
      <c r="D3717" s="21" t="n">
        <v>0</v>
      </c>
      <c r="E3717" s="21" t="n">
        <v>0</v>
      </c>
      <c r="F3717" s="21" t="n">
        <v>0</v>
      </c>
      <c r="G3717" s="21" t="n">
        <v>0</v>
      </c>
      <c r="H3717" s="21" t="n">
        <v>0</v>
      </c>
      <c r="I3717" s="21" t="n">
        <v>0</v>
      </c>
      <c r="J3717" s="21" t="n">
        <v>0</v>
      </c>
      <c r="K3717" s="21" t="n">
        <v>0</v>
      </c>
      <c r="L3717" s="21" t="n">
        <v>0</v>
      </c>
      <c r="M3717" s="21" t="n">
        <v>0</v>
      </c>
      <c r="N3717" s="21" t="n">
        <v>0</v>
      </c>
      <c r="O3717" s="21" t="n">
        <v>0</v>
      </c>
      <c r="P3717" s="21" t="n">
        <v>0</v>
      </c>
      <c r="Q3717" s="21" t="n">
        <v>0</v>
      </c>
      <c r="R3717" s="21" t="n">
        <v>0</v>
      </c>
      <c r="S3717" s="21" t="n">
        <v>0</v>
      </c>
      <c r="T3717" s="21">
        <f>-$B$3624</f>
        <v/>
      </c>
      <c r="U3717" s="21">
        <f>-$B$3625</f>
        <v/>
      </c>
      <c r="V3717" s="21">
        <f>2*$B$3624+$D$3696</f>
        <v/>
      </c>
      <c r="W3717" s="21">
        <f>0</f>
        <v/>
      </c>
      <c r="X3717" s="21">
        <f>-$B$3624</f>
        <v/>
      </c>
      <c r="Y3717" s="21">
        <f>$B$3625</f>
        <v/>
      </c>
      <c r="Z3717" s="19" t="n"/>
    </row>
    <row r="3718">
      <c r="D3718" s="21" t="n">
        <v>0</v>
      </c>
      <c r="E3718" s="21" t="n">
        <v>0</v>
      </c>
      <c r="F3718" s="21" t="n">
        <v>0</v>
      </c>
      <c r="G3718" s="21" t="n">
        <v>0</v>
      </c>
      <c r="H3718" s="21" t="n">
        <v>0</v>
      </c>
      <c r="I3718" s="21" t="n">
        <v>0</v>
      </c>
      <c r="J3718" s="21" t="n">
        <v>0</v>
      </c>
      <c r="K3718" s="21" t="n">
        <v>0</v>
      </c>
      <c r="L3718" s="21" t="n">
        <v>0</v>
      </c>
      <c r="M3718" s="21" t="n">
        <v>0</v>
      </c>
      <c r="N3718" s="21" t="n">
        <v>0</v>
      </c>
      <c r="O3718" s="21" t="n">
        <v>0</v>
      </c>
      <c r="P3718" s="21" t="n">
        <v>0</v>
      </c>
      <c r="Q3718" s="21" t="n">
        <v>0</v>
      </c>
      <c r="R3718" s="21" t="n">
        <v>0</v>
      </c>
      <c r="S3718" s="21" t="n">
        <v>0</v>
      </c>
      <c r="T3718" s="21">
        <f>$B$3625</f>
        <v/>
      </c>
      <c r="U3718" s="21">
        <f>$B$3627</f>
        <v/>
      </c>
      <c r="V3718" s="21">
        <f>0</f>
        <v/>
      </c>
      <c r="W3718" s="21">
        <f>2*$B$3626</f>
        <v/>
      </c>
      <c r="X3718" s="21">
        <f>-$B$3625</f>
        <v/>
      </c>
      <c r="Y3718" s="21">
        <f>$B$3627</f>
        <v/>
      </c>
      <c r="Z3718" s="19" t="n"/>
    </row>
    <row r="3719">
      <c r="D3719" s="21" t="n">
        <v>0</v>
      </c>
      <c r="E3719" s="21" t="n">
        <v>0</v>
      </c>
      <c r="F3719" s="21" t="n">
        <v>0</v>
      </c>
      <c r="G3719" s="21" t="n">
        <v>0</v>
      </c>
      <c r="H3719" s="21" t="n">
        <v>0</v>
      </c>
      <c r="I3719" s="21" t="n">
        <v>0</v>
      </c>
      <c r="J3719" s="21" t="n">
        <v>0</v>
      </c>
      <c r="K3719" s="21" t="n">
        <v>0</v>
      </c>
      <c r="L3719" s="21" t="n">
        <v>0</v>
      </c>
      <c r="M3719" s="21" t="n">
        <v>0</v>
      </c>
      <c r="N3719" s="21" t="n">
        <v>0</v>
      </c>
      <c r="O3719" s="21" t="n">
        <v>0</v>
      </c>
      <c r="P3719" s="21" t="n">
        <v>0</v>
      </c>
      <c r="Q3719" s="21" t="n">
        <v>0</v>
      </c>
      <c r="R3719" s="21" t="n">
        <v>0</v>
      </c>
      <c r="S3719" s="21" t="n">
        <v>0</v>
      </c>
      <c r="T3719" s="21" t="n">
        <v>0</v>
      </c>
      <c r="U3719" s="21" t="n">
        <v>0</v>
      </c>
      <c r="V3719" s="21">
        <f>-$B$3624</f>
        <v/>
      </c>
      <c r="W3719" s="21">
        <f>-$B$3625</f>
        <v/>
      </c>
      <c r="X3719" s="21">
        <f>$B$3624+$D$3697</f>
        <v/>
      </c>
      <c r="Y3719" s="21">
        <f>-$B$3625</f>
        <v/>
      </c>
      <c r="Z3719" s="19" t="n"/>
    </row>
    <row r="3720">
      <c r="D3720" s="21" t="n">
        <v>0</v>
      </c>
      <c r="E3720" s="21" t="n">
        <v>0</v>
      </c>
      <c r="F3720" s="21" t="n">
        <v>0</v>
      </c>
      <c r="G3720" s="21" t="n">
        <v>0</v>
      </c>
      <c r="H3720" s="21" t="n">
        <v>0</v>
      </c>
      <c r="I3720" s="21" t="n">
        <v>0</v>
      </c>
      <c r="J3720" s="21" t="n">
        <v>0</v>
      </c>
      <c r="K3720" s="21" t="n">
        <v>0</v>
      </c>
      <c r="L3720" s="21" t="n">
        <v>0</v>
      </c>
      <c r="M3720" s="21" t="n">
        <v>0</v>
      </c>
      <c r="N3720" s="21" t="n">
        <v>0</v>
      </c>
      <c r="O3720" s="21" t="n">
        <v>0</v>
      </c>
      <c r="P3720" s="21" t="n">
        <v>0</v>
      </c>
      <c r="Q3720" s="21" t="n">
        <v>0</v>
      </c>
      <c r="R3720" s="21" t="n">
        <v>0</v>
      </c>
      <c r="S3720" s="21" t="n">
        <v>0</v>
      </c>
      <c r="T3720" s="21" t="n">
        <v>0</v>
      </c>
      <c r="U3720" s="21" t="n">
        <v>0</v>
      </c>
      <c r="V3720" s="21">
        <f>$B$3625</f>
        <v/>
      </c>
      <c r="W3720" s="21">
        <f>$B$3627</f>
        <v/>
      </c>
      <c r="X3720" s="21">
        <f>-$B$3625</f>
        <v/>
      </c>
      <c r="Y3720" s="21">
        <f>$B$3626</f>
        <v/>
      </c>
      <c r="Z3720" s="19" t="n"/>
    </row>
    <row r="3722">
      <c r="A3722" s="8" t="inlineStr">
        <is>
          <t>gen 2</t>
        </is>
      </c>
    </row>
    <row r="3723">
      <c r="D3723" s="19">
        <f>IF(ABS(IF(ABS($E$3687)&gt;0.000000001,$E$3687,0.000000001))=0,0,IF($E$3639&lt;=$B$3633,0,IF(ABS(IF(ABS($E$3687)&gt;0.000000001,$E$3687,0.000000001))&gt;=8*$B$3635,$H$3639,0.5*$H$3639*(ABS(IF(ABS($E$3687)&gt;0.000000001,$E$3687,0.000000001))/$B$3635)^(1/3)))/ABS(IF(ABS($E$3687)&gt;0.000000001,$E$3687,0.000000001))*$I$3639)</f>
        <v/>
      </c>
      <c r="E3723" s="19">
        <f>0.5*$E$3687+0.5*$Z$3735</f>
        <v/>
      </c>
      <c r="F3723" s="19">
        <f>$Z$3736</f>
        <v/>
      </c>
    </row>
    <row r="3724">
      <c r="D3724" s="19">
        <f>IF(ABS(IF(ABS($E$3688)&gt;0.000000001,$E$3688,0.000000001))=0,0,IF($E$3640&lt;=$B$3633,0,IF(ABS(IF(ABS($E$3688)&gt;0.000000001,$E$3688,0.000000001))&gt;=8*$B$3635,$H$3640,0.5*$H$3640*(ABS(IF(ABS($E$3688)&gt;0.000000001,$E$3688,0.000000001))/$B$3635)^(1/3)))/ABS(IF(ABS($E$3688)&gt;0.000000001,$E$3688,0.000000001))*$I$3640)</f>
        <v/>
      </c>
      <c r="E3724" s="19">
        <f>0.5*$E$3688+0.5*$Z$3737</f>
        <v/>
      </c>
      <c r="F3724" s="19">
        <f>$Z$3738</f>
        <v/>
      </c>
    </row>
    <row r="3725">
      <c r="D3725" s="19">
        <f>IF(ABS(IF(ABS($E$3689)&gt;0.000000001,$E$3689,0.000000001))=0,0,IF($E$3641&lt;=$B$3633,0,IF(ABS(IF(ABS($E$3689)&gt;0.000000001,$E$3689,0.000000001))&gt;=8*$B$3635,$H$3641,0.5*$H$3641*(ABS(IF(ABS($E$3689)&gt;0.000000001,$E$3689,0.000000001))/$B$3635)^(1/3)))/ABS(IF(ABS($E$3689)&gt;0.000000001,$E$3689,0.000000001))*$I$3641)</f>
        <v/>
      </c>
      <c r="E3725" s="19">
        <f>0.5*$E$3689+0.5*$Z$3739</f>
        <v/>
      </c>
      <c r="F3725" s="19">
        <f>$Z$3740</f>
        <v/>
      </c>
    </row>
    <row r="3726">
      <c r="D3726" s="19">
        <f>IF(ABS(IF(ABS($E$3690)&gt;0.000000001,$E$3690,0.000000001))=0,0,IF($E$3642&lt;=$B$3633,0,IF(ABS(IF(ABS($E$3690)&gt;0.000000001,$E$3690,0.000000001))&gt;=8*$B$3635,$H$3642,0.5*$H$3642*(ABS(IF(ABS($E$3690)&gt;0.000000001,$E$3690,0.000000001))/$B$3635)^(1/3)))/ABS(IF(ABS($E$3690)&gt;0.000000001,$E$3690,0.000000001))*$I$3642)</f>
        <v/>
      </c>
      <c r="E3726" s="19">
        <f>0.5*$E$3690+0.5*$Z$3741</f>
        <v/>
      </c>
      <c r="F3726" s="19">
        <f>$Z$3742</f>
        <v/>
      </c>
    </row>
    <row r="3727">
      <c r="D3727" s="19">
        <f>IF(ABS(IF(ABS($E$3691)&gt;0.000000001,$E$3691,0.000000001))=0,0,IF($E$3643&lt;=$B$3633,0,IF(ABS(IF(ABS($E$3691)&gt;0.000000001,$E$3691,0.000000001))&gt;=8*$B$3635,$H$3643,0.5*$H$3643*(ABS(IF(ABS($E$3691)&gt;0.000000001,$E$3691,0.000000001))/$B$3635)^(1/3)))/ABS(IF(ABS($E$3691)&gt;0.000000001,$E$3691,0.000000001))*$I$3643)</f>
        <v/>
      </c>
      <c r="E3727" s="19">
        <f>0.5*$E$3691+0.5*$Z$3743</f>
        <v/>
      </c>
      <c r="F3727" s="19">
        <f>$Z$3744</f>
        <v/>
      </c>
    </row>
    <row r="3728">
      <c r="D3728" s="19">
        <f>IF(ABS(IF(ABS($E$3692)&gt;0.000000001,$E$3692,0.000000001))=0,0,IF($E$3644&lt;=$B$3633,0,IF(ABS(IF(ABS($E$3692)&gt;0.000000001,$E$3692,0.000000001))&gt;=8*$B$3635,$H$3644,0.5*$H$3644*(ABS(IF(ABS($E$3692)&gt;0.000000001,$E$3692,0.000000001))/$B$3635)^(1/3)))/ABS(IF(ABS($E$3692)&gt;0.000000001,$E$3692,0.000000001))*$I$3644)</f>
        <v/>
      </c>
      <c r="E3728" s="19">
        <f>0.5*$E$3692+0.5*$Z$3745</f>
        <v/>
      </c>
      <c r="F3728" s="19">
        <f>$Z$3746</f>
        <v/>
      </c>
    </row>
    <row r="3729">
      <c r="D3729" s="19">
        <f>IF(ABS(IF(ABS($E$3693)&gt;0.000000001,$E$3693,0.000000001))=0,0,IF($E$3645&lt;=$B$3633,0,IF(ABS(IF(ABS($E$3693)&gt;0.000000001,$E$3693,0.000000001))&gt;=8*$B$3635,$H$3645,0.5*$H$3645*(ABS(IF(ABS($E$3693)&gt;0.000000001,$E$3693,0.000000001))/$B$3635)^(1/3)))/ABS(IF(ABS($E$3693)&gt;0.000000001,$E$3693,0.000000001))*$I$3645)</f>
        <v/>
      </c>
      <c r="E3729" s="19">
        <f>0.5*$E$3693+0.5*$Z$3747</f>
        <v/>
      </c>
      <c r="F3729" s="19">
        <f>$Z$3748</f>
        <v/>
      </c>
    </row>
    <row r="3730">
      <c r="D3730" s="19">
        <f>IF(ABS(IF(ABS($E$3694)&gt;0.000000001,$E$3694,0.000000001))=0,0,IF($E$3646&lt;=$B$3633,0,IF(ABS(IF(ABS($E$3694)&gt;0.000000001,$E$3694,0.000000001))&gt;=8*$B$3635,$H$3646,0.5*$H$3646*(ABS(IF(ABS($E$3694)&gt;0.000000001,$E$3694,0.000000001))/$B$3635)^(1/3)))/ABS(IF(ABS($E$3694)&gt;0.000000001,$E$3694,0.000000001))*$I$3646)</f>
        <v/>
      </c>
      <c r="E3730" s="19">
        <f>0.5*$E$3694+0.5*$Z$3749</f>
        <v/>
      </c>
      <c r="F3730" s="19">
        <f>$Z$3750</f>
        <v/>
      </c>
    </row>
    <row r="3731">
      <c r="D3731" s="19">
        <f>IF(ABS(IF(ABS($E$3695)&gt;0.000000001,$E$3695,0.000000001))=0,0,IF($E$3647&lt;=$B$3633,0,IF(ABS(IF(ABS($E$3695)&gt;0.000000001,$E$3695,0.000000001))&gt;=8*$B$3635,$H$3647,0.5*$H$3647*(ABS(IF(ABS($E$3695)&gt;0.000000001,$E$3695,0.000000001))/$B$3635)^(1/3)))/ABS(IF(ABS($E$3695)&gt;0.000000001,$E$3695,0.000000001))*$I$3647)</f>
        <v/>
      </c>
      <c r="E3731" s="19">
        <f>0.5*$E$3695+0.5*$Z$3751</f>
        <v/>
      </c>
      <c r="F3731" s="19">
        <f>$Z$3752</f>
        <v/>
      </c>
    </row>
    <row r="3732">
      <c r="D3732" s="19">
        <f>IF(ABS(IF(ABS($E$3696)&gt;0.000000001,$E$3696,0.000000001))=0,0,IF($E$3648&lt;=$B$3633,0,IF(ABS(IF(ABS($E$3696)&gt;0.000000001,$E$3696,0.000000001))&gt;=8*$B$3635,$H$3648,0.5*$H$3648*(ABS(IF(ABS($E$3696)&gt;0.000000001,$E$3696,0.000000001))/$B$3635)^(1/3)))/ABS(IF(ABS($E$3696)&gt;0.000000001,$E$3696,0.000000001))*$I$3648)</f>
        <v/>
      </c>
      <c r="E3732" s="19">
        <f>0.5*$E$3696+0.5*$Z$3753</f>
        <v/>
      </c>
      <c r="F3732" s="19">
        <f>$Z$3754</f>
        <v/>
      </c>
    </row>
    <row r="3733">
      <c r="D3733" s="19">
        <f>IF(ABS(IF(ABS($E$3697)&gt;0.000000001,$E$3697,0.000000001))=0,0,IF($E$3649&lt;=$B$3633,0,IF(ABS(IF(ABS($E$3697)&gt;0.000000001,$E$3697,0.000000001))&gt;=8*$B$3635,$H$3649,0.5*$H$3649*(ABS(IF(ABS($E$3697)&gt;0.000000001,$E$3697,0.000000001))/$B$3635)^(1/3)))/ABS(IF(ABS($E$3697)&gt;0.000000001,$E$3697,0.000000001))*$I$3649)</f>
        <v/>
      </c>
      <c r="E3733" s="19">
        <f>0.5*$E$3697+0.5*$Z$3755</f>
        <v/>
      </c>
      <c r="F3733" s="19">
        <f>$Z$3756</f>
        <v/>
      </c>
    </row>
    <row r="3735">
      <c r="D3735" s="21">
        <f>$B$3624+$D$3723</f>
        <v/>
      </c>
      <c r="E3735" s="21">
        <f>$B$3625</f>
        <v/>
      </c>
      <c r="F3735" s="21">
        <f>-$B$3624</f>
        <v/>
      </c>
      <c r="G3735" s="21">
        <f>$B$3625</f>
        <v/>
      </c>
      <c r="H3735" s="21" t="n">
        <v>0</v>
      </c>
      <c r="I3735" s="21" t="n">
        <v>0</v>
      </c>
      <c r="J3735" s="21" t="n">
        <v>0</v>
      </c>
      <c r="K3735" s="21" t="n">
        <v>0</v>
      </c>
      <c r="L3735" s="21" t="n">
        <v>0</v>
      </c>
      <c r="M3735" s="21" t="n">
        <v>0</v>
      </c>
      <c r="N3735" s="21" t="n">
        <v>0</v>
      </c>
      <c r="O3735" s="21" t="n">
        <v>0</v>
      </c>
      <c r="P3735" s="21" t="n">
        <v>0</v>
      </c>
      <c r="Q3735" s="21" t="n">
        <v>0</v>
      </c>
      <c r="R3735" s="21" t="n">
        <v>0</v>
      </c>
      <c r="S3735" s="21" t="n">
        <v>0</v>
      </c>
      <c r="T3735" s="21" t="n">
        <v>0</v>
      </c>
      <c r="U3735" s="21" t="n">
        <v>0</v>
      </c>
      <c r="V3735" s="21" t="n">
        <v>0</v>
      </c>
      <c r="W3735" s="21" t="n">
        <v>0</v>
      </c>
      <c r="X3735" s="21" t="n">
        <v>0</v>
      </c>
      <c r="Y3735" s="21" t="n">
        <v>0</v>
      </c>
      <c r="Z3735" s="19">
        <f t="array" ref="Z3735:Z3756">MMULT(MINVERSE($D$3735:$Y$3756),$D$3651:$D$3672)</f>
        <v/>
      </c>
    </row>
    <row r="3736">
      <c r="D3736" s="21">
        <f>$B$3625</f>
        <v/>
      </c>
      <c r="E3736" s="21">
        <f>$B$3626</f>
        <v/>
      </c>
      <c r="F3736" s="21">
        <f>-$B$3625</f>
        <v/>
      </c>
      <c r="G3736" s="21">
        <f>$B$3627</f>
        <v/>
      </c>
      <c r="H3736" s="21" t="n">
        <v>0</v>
      </c>
      <c r="I3736" s="21" t="n">
        <v>0</v>
      </c>
      <c r="J3736" s="21" t="n">
        <v>0</v>
      </c>
      <c r="K3736" s="21" t="n">
        <v>0</v>
      </c>
      <c r="L3736" s="21" t="n">
        <v>0</v>
      </c>
      <c r="M3736" s="21" t="n">
        <v>0</v>
      </c>
      <c r="N3736" s="21" t="n">
        <v>0</v>
      </c>
      <c r="O3736" s="21" t="n">
        <v>0</v>
      </c>
      <c r="P3736" s="21" t="n">
        <v>0</v>
      </c>
      <c r="Q3736" s="21" t="n">
        <v>0</v>
      </c>
      <c r="R3736" s="21" t="n">
        <v>0</v>
      </c>
      <c r="S3736" s="21" t="n">
        <v>0</v>
      </c>
      <c r="T3736" s="21" t="n">
        <v>0</v>
      </c>
      <c r="U3736" s="21" t="n">
        <v>0</v>
      </c>
      <c r="V3736" s="21" t="n">
        <v>0</v>
      </c>
      <c r="W3736" s="21" t="n">
        <v>0</v>
      </c>
      <c r="X3736" s="21" t="n">
        <v>0</v>
      </c>
      <c r="Y3736" s="21" t="n">
        <v>0</v>
      </c>
      <c r="Z3736" s="19" t="n"/>
    </row>
    <row r="3737">
      <c r="D3737" s="21">
        <f>-$B$3624</f>
        <v/>
      </c>
      <c r="E3737" s="21">
        <f>-$B$3625</f>
        <v/>
      </c>
      <c r="F3737" s="21">
        <f>2*$B$3624+$D$3724</f>
        <v/>
      </c>
      <c r="G3737" s="21">
        <f>0</f>
        <v/>
      </c>
      <c r="H3737" s="21">
        <f>-$B$3624</f>
        <v/>
      </c>
      <c r="I3737" s="21">
        <f>$B$3625</f>
        <v/>
      </c>
      <c r="J3737" s="21" t="n">
        <v>0</v>
      </c>
      <c r="K3737" s="21" t="n">
        <v>0</v>
      </c>
      <c r="L3737" s="21" t="n">
        <v>0</v>
      </c>
      <c r="M3737" s="21" t="n">
        <v>0</v>
      </c>
      <c r="N3737" s="21" t="n">
        <v>0</v>
      </c>
      <c r="O3737" s="21" t="n">
        <v>0</v>
      </c>
      <c r="P3737" s="21" t="n">
        <v>0</v>
      </c>
      <c r="Q3737" s="21" t="n">
        <v>0</v>
      </c>
      <c r="R3737" s="21" t="n">
        <v>0</v>
      </c>
      <c r="S3737" s="21" t="n">
        <v>0</v>
      </c>
      <c r="T3737" s="21" t="n">
        <v>0</v>
      </c>
      <c r="U3737" s="21" t="n">
        <v>0</v>
      </c>
      <c r="V3737" s="21" t="n">
        <v>0</v>
      </c>
      <c r="W3737" s="21" t="n">
        <v>0</v>
      </c>
      <c r="X3737" s="21" t="n">
        <v>0</v>
      </c>
      <c r="Y3737" s="21" t="n">
        <v>0</v>
      </c>
      <c r="Z3737" s="19" t="n"/>
    </row>
    <row r="3738">
      <c r="D3738" s="21">
        <f>$B$3625</f>
        <v/>
      </c>
      <c r="E3738" s="21">
        <f>$B$3627</f>
        <v/>
      </c>
      <c r="F3738" s="21">
        <f>0</f>
        <v/>
      </c>
      <c r="G3738" s="21">
        <f>2*$B$3626</f>
        <v/>
      </c>
      <c r="H3738" s="21">
        <f>-$B$3625</f>
        <v/>
      </c>
      <c r="I3738" s="21">
        <f>$B$3627</f>
        <v/>
      </c>
      <c r="J3738" s="21" t="n">
        <v>0</v>
      </c>
      <c r="K3738" s="21" t="n">
        <v>0</v>
      </c>
      <c r="L3738" s="21" t="n">
        <v>0</v>
      </c>
      <c r="M3738" s="21" t="n">
        <v>0</v>
      </c>
      <c r="N3738" s="21" t="n">
        <v>0</v>
      </c>
      <c r="O3738" s="21" t="n">
        <v>0</v>
      </c>
      <c r="P3738" s="21" t="n">
        <v>0</v>
      </c>
      <c r="Q3738" s="21" t="n">
        <v>0</v>
      </c>
      <c r="R3738" s="21" t="n">
        <v>0</v>
      </c>
      <c r="S3738" s="21" t="n">
        <v>0</v>
      </c>
      <c r="T3738" s="21" t="n">
        <v>0</v>
      </c>
      <c r="U3738" s="21" t="n">
        <v>0</v>
      </c>
      <c r="V3738" s="21" t="n">
        <v>0</v>
      </c>
      <c r="W3738" s="21" t="n">
        <v>0</v>
      </c>
      <c r="X3738" s="21" t="n">
        <v>0</v>
      </c>
      <c r="Y3738" s="21" t="n">
        <v>0</v>
      </c>
      <c r="Z3738" s="19" t="n"/>
    </row>
    <row r="3739">
      <c r="D3739" s="21" t="n">
        <v>0</v>
      </c>
      <c r="E3739" s="21" t="n">
        <v>0</v>
      </c>
      <c r="F3739" s="21">
        <f>-$B$3624</f>
        <v/>
      </c>
      <c r="G3739" s="21">
        <f>-$B$3625</f>
        <v/>
      </c>
      <c r="H3739" s="21">
        <f>2*$B$3624+$D$3725</f>
        <v/>
      </c>
      <c r="I3739" s="21">
        <f>0</f>
        <v/>
      </c>
      <c r="J3739" s="21">
        <f>-$B$3624</f>
        <v/>
      </c>
      <c r="K3739" s="21">
        <f>$B$3625</f>
        <v/>
      </c>
      <c r="L3739" s="21" t="n">
        <v>0</v>
      </c>
      <c r="M3739" s="21" t="n">
        <v>0</v>
      </c>
      <c r="N3739" s="21" t="n">
        <v>0</v>
      </c>
      <c r="O3739" s="21" t="n">
        <v>0</v>
      </c>
      <c r="P3739" s="21" t="n">
        <v>0</v>
      </c>
      <c r="Q3739" s="21" t="n">
        <v>0</v>
      </c>
      <c r="R3739" s="21" t="n">
        <v>0</v>
      </c>
      <c r="S3739" s="21" t="n">
        <v>0</v>
      </c>
      <c r="T3739" s="21" t="n">
        <v>0</v>
      </c>
      <c r="U3739" s="21" t="n">
        <v>0</v>
      </c>
      <c r="V3739" s="21" t="n">
        <v>0</v>
      </c>
      <c r="W3739" s="21" t="n">
        <v>0</v>
      </c>
      <c r="X3739" s="21" t="n">
        <v>0</v>
      </c>
      <c r="Y3739" s="21" t="n">
        <v>0</v>
      </c>
      <c r="Z3739" s="19" t="n"/>
    </row>
    <row r="3740">
      <c r="D3740" s="21" t="n">
        <v>0</v>
      </c>
      <c r="E3740" s="21" t="n">
        <v>0</v>
      </c>
      <c r="F3740" s="21">
        <f>$B$3625</f>
        <v/>
      </c>
      <c r="G3740" s="21">
        <f>$B$3627</f>
        <v/>
      </c>
      <c r="H3740" s="21">
        <f>0</f>
        <v/>
      </c>
      <c r="I3740" s="21">
        <f>2*$B$3626</f>
        <v/>
      </c>
      <c r="J3740" s="21">
        <f>-$B$3625</f>
        <v/>
      </c>
      <c r="K3740" s="21">
        <f>$B$3627</f>
        <v/>
      </c>
      <c r="L3740" s="21" t="n">
        <v>0</v>
      </c>
      <c r="M3740" s="21" t="n">
        <v>0</v>
      </c>
      <c r="N3740" s="21" t="n">
        <v>0</v>
      </c>
      <c r="O3740" s="21" t="n">
        <v>0</v>
      </c>
      <c r="P3740" s="21" t="n">
        <v>0</v>
      </c>
      <c r="Q3740" s="21" t="n">
        <v>0</v>
      </c>
      <c r="R3740" s="21" t="n">
        <v>0</v>
      </c>
      <c r="S3740" s="21" t="n">
        <v>0</v>
      </c>
      <c r="T3740" s="21" t="n">
        <v>0</v>
      </c>
      <c r="U3740" s="21" t="n">
        <v>0</v>
      </c>
      <c r="V3740" s="21" t="n">
        <v>0</v>
      </c>
      <c r="W3740" s="21" t="n">
        <v>0</v>
      </c>
      <c r="X3740" s="21" t="n">
        <v>0</v>
      </c>
      <c r="Y3740" s="21" t="n">
        <v>0</v>
      </c>
      <c r="Z3740" s="19" t="n"/>
    </row>
    <row r="3741">
      <c r="D3741" s="21" t="n">
        <v>0</v>
      </c>
      <c r="E3741" s="21" t="n">
        <v>0</v>
      </c>
      <c r="F3741" s="21" t="n">
        <v>0</v>
      </c>
      <c r="G3741" s="21" t="n">
        <v>0</v>
      </c>
      <c r="H3741" s="21">
        <f>-$B$3624</f>
        <v/>
      </c>
      <c r="I3741" s="21">
        <f>-$B$3625</f>
        <v/>
      </c>
      <c r="J3741" s="21">
        <f>2*$B$3624+$D$3726</f>
        <v/>
      </c>
      <c r="K3741" s="21">
        <f>0</f>
        <v/>
      </c>
      <c r="L3741" s="21">
        <f>-$B$3624</f>
        <v/>
      </c>
      <c r="M3741" s="21">
        <f>$B$3625</f>
        <v/>
      </c>
      <c r="N3741" s="21" t="n">
        <v>0</v>
      </c>
      <c r="O3741" s="21" t="n">
        <v>0</v>
      </c>
      <c r="P3741" s="21" t="n">
        <v>0</v>
      </c>
      <c r="Q3741" s="21" t="n">
        <v>0</v>
      </c>
      <c r="R3741" s="21" t="n">
        <v>0</v>
      </c>
      <c r="S3741" s="21" t="n">
        <v>0</v>
      </c>
      <c r="T3741" s="21" t="n">
        <v>0</v>
      </c>
      <c r="U3741" s="21" t="n">
        <v>0</v>
      </c>
      <c r="V3741" s="21" t="n">
        <v>0</v>
      </c>
      <c r="W3741" s="21" t="n">
        <v>0</v>
      </c>
      <c r="X3741" s="21" t="n">
        <v>0</v>
      </c>
      <c r="Y3741" s="21" t="n">
        <v>0</v>
      </c>
      <c r="Z3741" s="19" t="n"/>
    </row>
    <row r="3742">
      <c r="D3742" s="21" t="n">
        <v>0</v>
      </c>
      <c r="E3742" s="21" t="n">
        <v>0</v>
      </c>
      <c r="F3742" s="21" t="n">
        <v>0</v>
      </c>
      <c r="G3742" s="21" t="n">
        <v>0</v>
      </c>
      <c r="H3742" s="21">
        <f>$B$3625</f>
        <v/>
      </c>
      <c r="I3742" s="21">
        <f>$B$3627</f>
        <v/>
      </c>
      <c r="J3742" s="21">
        <f>0</f>
        <v/>
      </c>
      <c r="K3742" s="21">
        <f>2*$B$3626</f>
        <v/>
      </c>
      <c r="L3742" s="21">
        <f>-$B$3625</f>
        <v/>
      </c>
      <c r="M3742" s="21">
        <f>$B$3627</f>
        <v/>
      </c>
      <c r="N3742" s="21" t="n">
        <v>0</v>
      </c>
      <c r="O3742" s="21" t="n">
        <v>0</v>
      </c>
      <c r="P3742" s="21" t="n">
        <v>0</v>
      </c>
      <c r="Q3742" s="21" t="n">
        <v>0</v>
      </c>
      <c r="R3742" s="21" t="n">
        <v>0</v>
      </c>
      <c r="S3742" s="21" t="n">
        <v>0</v>
      </c>
      <c r="T3742" s="21" t="n">
        <v>0</v>
      </c>
      <c r="U3742" s="21" t="n">
        <v>0</v>
      </c>
      <c r="V3742" s="21" t="n">
        <v>0</v>
      </c>
      <c r="W3742" s="21" t="n">
        <v>0</v>
      </c>
      <c r="X3742" s="21" t="n">
        <v>0</v>
      </c>
      <c r="Y3742" s="21" t="n">
        <v>0</v>
      </c>
      <c r="Z3742" s="19" t="n"/>
    </row>
    <row r="3743">
      <c r="D3743" s="21" t="n">
        <v>0</v>
      </c>
      <c r="E3743" s="21" t="n">
        <v>0</v>
      </c>
      <c r="F3743" s="21" t="n">
        <v>0</v>
      </c>
      <c r="G3743" s="21" t="n">
        <v>0</v>
      </c>
      <c r="H3743" s="21" t="n">
        <v>0</v>
      </c>
      <c r="I3743" s="21" t="n">
        <v>0</v>
      </c>
      <c r="J3743" s="21">
        <f>-$B$3624</f>
        <v/>
      </c>
      <c r="K3743" s="21">
        <f>-$B$3625</f>
        <v/>
      </c>
      <c r="L3743" s="21">
        <f>2*$B$3624+$D$3727</f>
        <v/>
      </c>
      <c r="M3743" s="21">
        <f>0</f>
        <v/>
      </c>
      <c r="N3743" s="21">
        <f>-$B$3624</f>
        <v/>
      </c>
      <c r="O3743" s="21">
        <f>$B$3625</f>
        <v/>
      </c>
      <c r="P3743" s="21" t="n">
        <v>0</v>
      </c>
      <c r="Q3743" s="21" t="n">
        <v>0</v>
      </c>
      <c r="R3743" s="21" t="n">
        <v>0</v>
      </c>
      <c r="S3743" s="21" t="n">
        <v>0</v>
      </c>
      <c r="T3743" s="21" t="n">
        <v>0</v>
      </c>
      <c r="U3743" s="21" t="n">
        <v>0</v>
      </c>
      <c r="V3743" s="21" t="n">
        <v>0</v>
      </c>
      <c r="W3743" s="21" t="n">
        <v>0</v>
      </c>
      <c r="X3743" s="21" t="n">
        <v>0</v>
      </c>
      <c r="Y3743" s="21" t="n">
        <v>0</v>
      </c>
      <c r="Z3743" s="19" t="n"/>
    </row>
    <row r="3744">
      <c r="D3744" s="21" t="n">
        <v>0</v>
      </c>
      <c r="E3744" s="21" t="n">
        <v>0</v>
      </c>
      <c r="F3744" s="21" t="n">
        <v>0</v>
      </c>
      <c r="G3744" s="21" t="n">
        <v>0</v>
      </c>
      <c r="H3744" s="21" t="n">
        <v>0</v>
      </c>
      <c r="I3744" s="21" t="n">
        <v>0</v>
      </c>
      <c r="J3744" s="21">
        <f>$B$3625</f>
        <v/>
      </c>
      <c r="K3744" s="21">
        <f>$B$3627</f>
        <v/>
      </c>
      <c r="L3744" s="21">
        <f>0</f>
        <v/>
      </c>
      <c r="M3744" s="21">
        <f>2*$B$3626</f>
        <v/>
      </c>
      <c r="N3744" s="21">
        <f>-$B$3625</f>
        <v/>
      </c>
      <c r="O3744" s="21">
        <f>$B$3627</f>
        <v/>
      </c>
      <c r="P3744" s="21" t="n">
        <v>0</v>
      </c>
      <c r="Q3744" s="21" t="n">
        <v>0</v>
      </c>
      <c r="R3744" s="21" t="n">
        <v>0</v>
      </c>
      <c r="S3744" s="21" t="n">
        <v>0</v>
      </c>
      <c r="T3744" s="21" t="n">
        <v>0</v>
      </c>
      <c r="U3744" s="21" t="n">
        <v>0</v>
      </c>
      <c r="V3744" s="21" t="n">
        <v>0</v>
      </c>
      <c r="W3744" s="21" t="n">
        <v>0</v>
      </c>
      <c r="X3744" s="21" t="n">
        <v>0</v>
      </c>
      <c r="Y3744" s="21" t="n">
        <v>0</v>
      </c>
      <c r="Z3744" s="19" t="n"/>
    </row>
    <row r="3745">
      <c r="D3745" s="21" t="n">
        <v>0</v>
      </c>
      <c r="E3745" s="21" t="n">
        <v>0</v>
      </c>
      <c r="F3745" s="21" t="n">
        <v>0</v>
      </c>
      <c r="G3745" s="21" t="n">
        <v>0</v>
      </c>
      <c r="H3745" s="21" t="n">
        <v>0</v>
      </c>
      <c r="I3745" s="21" t="n">
        <v>0</v>
      </c>
      <c r="J3745" s="21" t="n">
        <v>0</v>
      </c>
      <c r="K3745" s="21" t="n">
        <v>0</v>
      </c>
      <c r="L3745" s="21">
        <f>-$B$3624</f>
        <v/>
      </c>
      <c r="M3745" s="21">
        <f>-$B$3625</f>
        <v/>
      </c>
      <c r="N3745" s="21">
        <f>2*$B$3624+$D$3728</f>
        <v/>
      </c>
      <c r="O3745" s="21">
        <f>0</f>
        <v/>
      </c>
      <c r="P3745" s="21">
        <f>-$B$3624</f>
        <v/>
      </c>
      <c r="Q3745" s="21">
        <f>$B$3625</f>
        <v/>
      </c>
      <c r="R3745" s="21" t="n">
        <v>0</v>
      </c>
      <c r="S3745" s="21" t="n">
        <v>0</v>
      </c>
      <c r="T3745" s="21" t="n">
        <v>0</v>
      </c>
      <c r="U3745" s="21" t="n">
        <v>0</v>
      </c>
      <c r="V3745" s="21" t="n">
        <v>0</v>
      </c>
      <c r="W3745" s="21" t="n">
        <v>0</v>
      </c>
      <c r="X3745" s="21" t="n">
        <v>0</v>
      </c>
      <c r="Y3745" s="21" t="n">
        <v>0</v>
      </c>
      <c r="Z3745" s="19" t="n"/>
    </row>
    <row r="3746">
      <c r="D3746" s="21" t="n">
        <v>0</v>
      </c>
      <c r="E3746" s="21" t="n">
        <v>0</v>
      </c>
      <c r="F3746" s="21" t="n">
        <v>0</v>
      </c>
      <c r="G3746" s="21" t="n">
        <v>0</v>
      </c>
      <c r="H3746" s="21" t="n">
        <v>0</v>
      </c>
      <c r="I3746" s="21" t="n">
        <v>0</v>
      </c>
      <c r="J3746" s="21" t="n">
        <v>0</v>
      </c>
      <c r="K3746" s="21" t="n">
        <v>0</v>
      </c>
      <c r="L3746" s="21">
        <f>$B$3625</f>
        <v/>
      </c>
      <c r="M3746" s="21">
        <f>$B$3627</f>
        <v/>
      </c>
      <c r="N3746" s="21">
        <f>0</f>
        <v/>
      </c>
      <c r="O3746" s="21">
        <f>2*$B$3626</f>
        <v/>
      </c>
      <c r="P3746" s="21">
        <f>-$B$3625</f>
        <v/>
      </c>
      <c r="Q3746" s="21">
        <f>$B$3627</f>
        <v/>
      </c>
      <c r="R3746" s="21" t="n">
        <v>0</v>
      </c>
      <c r="S3746" s="21" t="n">
        <v>0</v>
      </c>
      <c r="T3746" s="21" t="n">
        <v>0</v>
      </c>
      <c r="U3746" s="21" t="n">
        <v>0</v>
      </c>
      <c r="V3746" s="21" t="n">
        <v>0</v>
      </c>
      <c r="W3746" s="21" t="n">
        <v>0</v>
      </c>
      <c r="X3746" s="21" t="n">
        <v>0</v>
      </c>
      <c r="Y3746" s="21" t="n">
        <v>0</v>
      </c>
      <c r="Z3746" s="19" t="n"/>
    </row>
    <row r="3747">
      <c r="D3747" s="21" t="n">
        <v>0</v>
      </c>
      <c r="E3747" s="21" t="n">
        <v>0</v>
      </c>
      <c r="F3747" s="21" t="n">
        <v>0</v>
      </c>
      <c r="G3747" s="21" t="n">
        <v>0</v>
      </c>
      <c r="H3747" s="21" t="n">
        <v>0</v>
      </c>
      <c r="I3747" s="21" t="n">
        <v>0</v>
      </c>
      <c r="J3747" s="21" t="n">
        <v>0</v>
      </c>
      <c r="K3747" s="21" t="n">
        <v>0</v>
      </c>
      <c r="L3747" s="21" t="n">
        <v>0</v>
      </c>
      <c r="M3747" s="21" t="n">
        <v>0</v>
      </c>
      <c r="N3747" s="21">
        <f>-$B$3624</f>
        <v/>
      </c>
      <c r="O3747" s="21">
        <f>-$B$3625</f>
        <v/>
      </c>
      <c r="P3747" s="21">
        <f>2*$B$3624+$D$3729</f>
        <v/>
      </c>
      <c r="Q3747" s="21">
        <f>0</f>
        <v/>
      </c>
      <c r="R3747" s="21">
        <f>-$B$3624</f>
        <v/>
      </c>
      <c r="S3747" s="21">
        <f>$B$3625</f>
        <v/>
      </c>
      <c r="T3747" s="21" t="n">
        <v>0</v>
      </c>
      <c r="U3747" s="21" t="n">
        <v>0</v>
      </c>
      <c r="V3747" s="21" t="n">
        <v>0</v>
      </c>
      <c r="W3747" s="21" t="n">
        <v>0</v>
      </c>
      <c r="X3747" s="21" t="n">
        <v>0</v>
      </c>
      <c r="Y3747" s="21" t="n">
        <v>0</v>
      </c>
      <c r="Z3747" s="19" t="n"/>
    </row>
    <row r="3748">
      <c r="D3748" s="21" t="n">
        <v>0</v>
      </c>
      <c r="E3748" s="21" t="n">
        <v>0</v>
      </c>
      <c r="F3748" s="21" t="n">
        <v>0</v>
      </c>
      <c r="G3748" s="21" t="n">
        <v>0</v>
      </c>
      <c r="H3748" s="21" t="n">
        <v>0</v>
      </c>
      <c r="I3748" s="21" t="n">
        <v>0</v>
      </c>
      <c r="J3748" s="21" t="n">
        <v>0</v>
      </c>
      <c r="K3748" s="21" t="n">
        <v>0</v>
      </c>
      <c r="L3748" s="21" t="n">
        <v>0</v>
      </c>
      <c r="M3748" s="21" t="n">
        <v>0</v>
      </c>
      <c r="N3748" s="21">
        <f>$B$3625</f>
        <v/>
      </c>
      <c r="O3748" s="21">
        <f>$B$3627</f>
        <v/>
      </c>
      <c r="P3748" s="21">
        <f>0</f>
        <v/>
      </c>
      <c r="Q3748" s="21">
        <f>2*$B$3626</f>
        <v/>
      </c>
      <c r="R3748" s="21">
        <f>-$B$3625</f>
        <v/>
      </c>
      <c r="S3748" s="21">
        <f>$B$3627</f>
        <v/>
      </c>
      <c r="T3748" s="21" t="n">
        <v>0</v>
      </c>
      <c r="U3748" s="21" t="n">
        <v>0</v>
      </c>
      <c r="V3748" s="21" t="n">
        <v>0</v>
      </c>
      <c r="W3748" s="21" t="n">
        <v>0</v>
      </c>
      <c r="X3748" s="21" t="n">
        <v>0</v>
      </c>
      <c r="Y3748" s="21" t="n">
        <v>0</v>
      </c>
      <c r="Z3748" s="19" t="n"/>
    </row>
    <row r="3749">
      <c r="D3749" s="21" t="n">
        <v>0</v>
      </c>
      <c r="E3749" s="21" t="n">
        <v>0</v>
      </c>
      <c r="F3749" s="21" t="n">
        <v>0</v>
      </c>
      <c r="G3749" s="21" t="n">
        <v>0</v>
      </c>
      <c r="H3749" s="21" t="n">
        <v>0</v>
      </c>
      <c r="I3749" s="21" t="n">
        <v>0</v>
      </c>
      <c r="J3749" s="21" t="n">
        <v>0</v>
      </c>
      <c r="K3749" s="21" t="n">
        <v>0</v>
      </c>
      <c r="L3749" s="21" t="n">
        <v>0</v>
      </c>
      <c r="M3749" s="21" t="n">
        <v>0</v>
      </c>
      <c r="N3749" s="21" t="n">
        <v>0</v>
      </c>
      <c r="O3749" s="21" t="n">
        <v>0</v>
      </c>
      <c r="P3749" s="21">
        <f>-$B$3624</f>
        <v/>
      </c>
      <c r="Q3749" s="21">
        <f>-$B$3625</f>
        <v/>
      </c>
      <c r="R3749" s="21">
        <f>2*$B$3624+$D$3730</f>
        <v/>
      </c>
      <c r="S3749" s="21">
        <f>0</f>
        <v/>
      </c>
      <c r="T3749" s="21">
        <f>-$B$3624</f>
        <v/>
      </c>
      <c r="U3749" s="21">
        <f>$B$3625</f>
        <v/>
      </c>
      <c r="V3749" s="21" t="n">
        <v>0</v>
      </c>
      <c r="W3749" s="21" t="n">
        <v>0</v>
      </c>
      <c r="X3749" s="21" t="n">
        <v>0</v>
      </c>
      <c r="Y3749" s="21" t="n">
        <v>0</v>
      </c>
      <c r="Z3749" s="19" t="n"/>
    </row>
    <row r="3750">
      <c r="D3750" s="21" t="n">
        <v>0</v>
      </c>
      <c r="E3750" s="21" t="n">
        <v>0</v>
      </c>
      <c r="F3750" s="21" t="n">
        <v>0</v>
      </c>
      <c r="G3750" s="21" t="n">
        <v>0</v>
      </c>
      <c r="H3750" s="21" t="n">
        <v>0</v>
      </c>
      <c r="I3750" s="21" t="n">
        <v>0</v>
      </c>
      <c r="J3750" s="21" t="n">
        <v>0</v>
      </c>
      <c r="K3750" s="21" t="n">
        <v>0</v>
      </c>
      <c r="L3750" s="21" t="n">
        <v>0</v>
      </c>
      <c r="M3750" s="21" t="n">
        <v>0</v>
      </c>
      <c r="N3750" s="21" t="n">
        <v>0</v>
      </c>
      <c r="O3750" s="21" t="n">
        <v>0</v>
      </c>
      <c r="P3750" s="21">
        <f>$B$3625</f>
        <v/>
      </c>
      <c r="Q3750" s="21">
        <f>$B$3627</f>
        <v/>
      </c>
      <c r="R3750" s="21">
        <f>0</f>
        <v/>
      </c>
      <c r="S3750" s="21">
        <f>2*$B$3626</f>
        <v/>
      </c>
      <c r="T3750" s="21">
        <f>-$B$3625</f>
        <v/>
      </c>
      <c r="U3750" s="21">
        <f>$B$3627</f>
        <v/>
      </c>
      <c r="V3750" s="21" t="n">
        <v>0</v>
      </c>
      <c r="W3750" s="21" t="n">
        <v>0</v>
      </c>
      <c r="X3750" s="21" t="n">
        <v>0</v>
      </c>
      <c r="Y3750" s="21" t="n">
        <v>0</v>
      </c>
      <c r="Z3750" s="19" t="n"/>
    </row>
    <row r="3751">
      <c r="D3751" s="21" t="n">
        <v>0</v>
      </c>
      <c r="E3751" s="21" t="n">
        <v>0</v>
      </c>
      <c r="F3751" s="21" t="n">
        <v>0</v>
      </c>
      <c r="G3751" s="21" t="n">
        <v>0</v>
      </c>
      <c r="H3751" s="21" t="n">
        <v>0</v>
      </c>
      <c r="I3751" s="21" t="n">
        <v>0</v>
      </c>
      <c r="J3751" s="21" t="n">
        <v>0</v>
      </c>
      <c r="K3751" s="21" t="n">
        <v>0</v>
      </c>
      <c r="L3751" s="21" t="n">
        <v>0</v>
      </c>
      <c r="M3751" s="21" t="n">
        <v>0</v>
      </c>
      <c r="N3751" s="21" t="n">
        <v>0</v>
      </c>
      <c r="O3751" s="21" t="n">
        <v>0</v>
      </c>
      <c r="P3751" s="21" t="n">
        <v>0</v>
      </c>
      <c r="Q3751" s="21" t="n">
        <v>0</v>
      </c>
      <c r="R3751" s="21">
        <f>-$B$3624</f>
        <v/>
      </c>
      <c r="S3751" s="21">
        <f>-$B$3625</f>
        <v/>
      </c>
      <c r="T3751" s="21">
        <f>2*$B$3624+$D$3731</f>
        <v/>
      </c>
      <c r="U3751" s="21">
        <f>0</f>
        <v/>
      </c>
      <c r="V3751" s="21">
        <f>-$B$3624</f>
        <v/>
      </c>
      <c r="W3751" s="21">
        <f>$B$3625</f>
        <v/>
      </c>
      <c r="X3751" s="21" t="n">
        <v>0</v>
      </c>
      <c r="Y3751" s="21" t="n">
        <v>0</v>
      </c>
      <c r="Z3751" s="19" t="n"/>
    </row>
    <row r="3752">
      <c r="D3752" s="21" t="n">
        <v>0</v>
      </c>
      <c r="E3752" s="21" t="n">
        <v>0</v>
      </c>
      <c r="F3752" s="21" t="n">
        <v>0</v>
      </c>
      <c r="G3752" s="21" t="n">
        <v>0</v>
      </c>
      <c r="H3752" s="21" t="n">
        <v>0</v>
      </c>
      <c r="I3752" s="21" t="n">
        <v>0</v>
      </c>
      <c r="J3752" s="21" t="n">
        <v>0</v>
      </c>
      <c r="K3752" s="21" t="n">
        <v>0</v>
      </c>
      <c r="L3752" s="21" t="n">
        <v>0</v>
      </c>
      <c r="M3752" s="21" t="n">
        <v>0</v>
      </c>
      <c r="N3752" s="21" t="n">
        <v>0</v>
      </c>
      <c r="O3752" s="21" t="n">
        <v>0</v>
      </c>
      <c r="P3752" s="21" t="n">
        <v>0</v>
      </c>
      <c r="Q3752" s="21" t="n">
        <v>0</v>
      </c>
      <c r="R3752" s="21">
        <f>$B$3625</f>
        <v/>
      </c>
      <c r="S3752" s="21">
        <f>$B$3627</f>
        <v/>
      </c>
      <c r="T3752" s="21">
        <f>0</f>
        <v/>
      </c>
      <c r="U3752" s="21">
        <f>2*$B$3626</f>
        <v/>
      </c>
      <c r="V3752" s="21">
        <f>-$B$3625</f>
        <v/>
      </c>
      <c r="W3752" s="21">
        <f>$B$3627</f>
        <v/>
      </c>
      <c r="X3752" s="21" t="n">
        <v>0</v>
      </c>
      <c r="Y3752" s="21" t="n">
        <v>0</v>
      </c>
      <c r="Z3752" s="19" t="n"/>
    </row>
    <row r="3753">
      <c r="D3753" s="21" t="n">
        <v>0</v>
      </c>
      <c r="E3753" s="21" t="n">
        <v>0</v>
      </c>
      <c r="F3753" s="21" t="n">
        <v>0</v>
      </c>
      <c r="G3753" s="21" t="n">
        <v>0</v>
      </c>
      <c r="H3753" s="21" t="n">
        <v>0</v>
      </c>
      <c r="I3753" s="21" t="n">
        <v>0</v>
      </c>
      <c r="J3753" s="21" t="n">
        <v>0</v>
      </c>
      <c r="K3753" s="21" t="n">
        <v>0</v>
      </c>
      <c r="L3753" s="21" t="n">
        <v>0</v>
      </c>
      <c r="M3753" s="21" t="n">
        <v>0</v>
      </c>
      <c r="N3753" s="21" t="n">
        <v>0</v>
      </c>
      <c r="O3753" s="21" t="n">
        <v>0</v>
      </c>
      <c r="P3753" s="21" t="n">
        <v>0</v>
      </c>
      <c r="Q3753" s="21" t="n">
        <v>0</v>
      </c>
      <c r="R3753" s="21" t="n">
        <v>0</v>
      </c>
      <c r="S3753" s="21" t="n">
        <v>0</v>
      </c>
      <c r="T3753" s="21">
        <f>-$B$3624</f>
        <v/>
      </c>
      <c r="U3753" s="21">
        <f>-$B$3625</f>
        <v/>
      </c>
      <c r="V3753" s="21">
        <f>2*$B$3624+$D$3732</f>
        <v/>
      </c>
      <c r="W3753" s="21">
        <f>0</f>
        <v/>
      </c>
      <c r="X3753" s="21">
        <f>-$B$3624</f>
        <v/>
      </c>
      <c r="Y3753" s="21">
        <f>$B$3625</f>
        <v/>
      </c>
      <c r="Z3753" s="19" t="n"/>
    </row>
    <row r="3754">
      <c r="D3754" s="21" t="n">
        <v>0</v>
      </c>
      <c r="E3754" s="21" t="n">
        <v>0</v>
      </c>
      <c r="F3754" s="21" t="n">
        <v>0</v>
      </c>
      <c r="G3754" s="21" t="n">
        <v>0</v>
      </c>
      <c r="H3754" s="21" t="n">
        <v>0</v>
      </c>
      <c r="I3754" s="21" t="n">
        <v>0</v>
      </c>
      <c r="J3754" s="21" t="n">
        <v>0</v>
      </c>
      <c r="K3754" s="21" t="n">
        <v>0</v>
      </c>
      <c r="L3754" s="21" t="n">
        <v>0</v>
      </c>
      <c r="M3754" s="21" t="n">
        <v>0</v>
      </c>
      <c r="N3754" s="21" t="n">
        <v>0</v>
      </c>
      <c r="O3754" s="21" t="n">
        <v>0</v>
      </c>
      <c r="P3754" s="21" t="n">
        <v>0</v>
      </c>
      <c r="Q3754" s="21" t="n">
        <v>0</v>
      </c>
      <c r="R3754" s="21" t="n">
        <v>0</v>
      </c>
      <c r="S3754" s="21" t="n">
        <v>0</v>
      </c>
      <c r="T3754" s="21">
        <f>$B$3625</f>
        <v/>
      </c>
      <c r="U3754" s="21">
        <f>$B$3627</f>
        <v/>
      </c>
      <c r="V3754" s="21">
        <f>0</f>
        <v/>
      </c>
      <c r="W3754" s="21">
        <f>2*$B$3626</f>
        <v/>
      </c>
      <c r="X3754" s="21">
        <f>-$B$3625</f>
        <v/>
      </c>
      <c r="Y3754" s="21">
        <f>$B$3627</f>
        <v/>
      </c>
      <c r="Z3754" s="19" t="n"/>
    </row>
    <row r="3755">
      <c r="D3755" s="21" t="n">
        <v>0</v>
      </c>
      <c r="E3755" s="21" t="n">
        <v>0</v>
      </c>
      <c r="F3755" s="21" t="n">
        <v>0</v>
      </c>
      <c r="G3755" s="21" t="n">
        <v>0</v>
      </c>
      <c r="H3755" s="21" t="n">
        <v>0</v>
      </c>
      <c r="I3755" s="21" t="n">
        <v>0</v>
      </c>
      <c r="J3755" s="21" t="n">
        <v>0</v>
      </c>
      <c r="K3755" s="21" t="n">
        <v>0</v>
      </c>
      <c r="L3755" s="21" t="n">
        <v>0</v>
      </c>
      <c r="M3755" s="21" t="n">
        <v>0</v>
      </c>
      <c r="N3755" s="21" t="n">
        <v>0</v>
      </c>
      <c r="O3755" s="21" t="n">
        <v>0</v>
      </c>
      <c r="P3755" s="21" t="n">
        <v>0</v>
      </c>
      <c r="Q3755" s="21" t="n">
        <v>0</v>
      </c>
      <c r="R3755" s="21" t="n">
        <v>0</v>
      </c>
      <c r="S3755" s="21" t="n">
        <v>0</v>
      </c>
      <c r="T3755" s="21" t="n">
        <v>0</v>
      </c>
      <c r="U3755" s="21" t="n">
        <v>0</v>
      </c>
      <c r="V3755" s="21">
        <f>-$B$3624</f>
        <v/>
      </c>
      <c r="W3755" s="21">
        <f>-$B$3625</f>
        <v/>
      </c>
      <c r="X3755" s="21">
        <f>$B$3624+$D$3733</f>
        <v/>
      </c>
      <c r="Y3755" s="21">
        <f>-$B$3625</f>
        <v/>
      </c>
      <c r="Z3755" s="19" t="n"/>
    </row>
    <row r="3756">
      <c r="D3756" s="21" t="n">
        <v>0</v>
      </c>
      <c r="E3756" s="21" t="n">
        <v>0</v>
      </c>
      <c r="F3756" s="21" t="n">
        <v>0</v>
      </c>
      <c r="G3756" s="21" t="n">
        <v>0</v>
      </c>
      <c r="H3756" s="21" t="n">
        <v>0</v>
      </c>
      <c r="I3756" s="21" t="n">
        <v>0</v>
      </c>
      <c r="J3756" s="21" t="n">
        <v>0</v>
      </c>
      <c r="K3756" s="21" t="n">
        <v>0</v>
      </c>
      <c r="L3756" s="21" t="n">
        <v>0</v>
      </c>
      <c r="M3756" s="21" t="n">
        <v>0</v>
      </c>
      <c r="N3756" s="21" t="n">
        <v>0</v>
      </c>
      <c r="O3756" s="21" t="n">
        <v>0</v>
      </c>
      <c r="P3756" s="21" t="n">
        <v>0</v>
      </c>
      <c r="Q3756" s="21" t="n">
        <v>0</v>
      </c>
      <c r="R3756" s="21" t="n">
        <v>0</v>
      </c>
      <c r="S3756" s="21" t="n">
        <v>0</v>
      </c>
      <c r="T3756" s="21" t="n">
        <v>0</v>
      </c>
      <c r="U3756" s="21" t="n">
        <v>0</v>
      </c>
      <c r="V3756" s="21">
        <f>$B$3625</f>
        <v/>
      </c>
      <c r="W3756" s="21">
        <f>$B$3627</f>
        <v/>
      </c>
      <c r="X3756" s="21">
        <f>-$B$3625</f>
        <v/>
      </c>
      <c r="Y3756" s="21">
        <f>$B$3626</f>
        <v/>
      </c>
      <c r="Z3756" s="19" t="n"/>
    </row>
    <row r="3758">
      <c r="A3758" s="8" t="inlineStr">
        <is>
          <t>gen 3</t>
        </is>
      </c>
    </row>
    <row r="3759">
      <c r="D3759" s="19">
        <f>IF(ABS(IF(ABS($E$3723)&gt;0.000000001,$E$3723,0.000000001))=0,0,IF($E$3639&lt;=$B$3633,0,IF(ABS(IF(ABS($E$3723)&gt;0.000000001,$E$3723,0.000000001))&gt;=8*$B$3635,$H$3639,0.5*$H$3639*(ABS(IF(ABS($E$3723)&gt;0.000000001,$E$3723,0.000000001))/$B$3635)^(1/3)))/ABS(IF(ABS($E$3723)&gt;0.000000001,$E$3723,0.000000001))*$I$3639)</f>
        <v/>
      </c>
      <c r="E3759" s="19">
        <f>0.5*$E$3723+0.5*$Z$3771</f>
        <v/>
      </c>
      <c r="F3759" s="19">
        <f>$Z$3772</f>
        <v/>
      </c>
    </row>
    <row r="3760">
      <c r="D3760" s="19">
        <f>IF(ABS(IF(ABS($E$3724)&gt;0.000000001,$E$3724,0.000000001))=0,0,IF($E$3640&lt;=$B$3633,0,IF(ABS(IF(ABS($E$3724)&gt;0.000000001,$E$3724,0.000000001))&gt;=8*$B$3635,$H$3640,0.5*$H$3640*(ABS(IF(ABS($E$3724)&gt;0.000000001,$E$3724,0.000000001))/$B$3635)^(1/3)))/ABS(IF(ABS($E$3724)&gt;0.000000001,$E$3724,0.000000001))*$I$3640)</f>
        <v/>
      </c>
      <c r="E3760" s="19">
        <f>0.5*$E$3724+0.5*$Z$3773</f>
        <v/>
      </c>
      <c r="F3760" s="19">
        <f>$Z$3774</f>
        <v/>
      </c>
    </row>
    <row r="3761">
      <c r="D3761" s="19">
        <f>IF(ABS(IF(ABS($E$3725)&gt;0.000000001,$E$3725,0.000000001))=0,0,IF($E$3641&lt;=$B$3633,0,IF(ABS(IF(ABS($E$3725)&gt;0.000000001,$E$3725,0.000000001))&gt;=8*$B$3635,$H$3641,0.5*$H$3641*(ABS(IF(ABS($E$3725)&gt;0.000000001,$E$3725,0.000000001))/$B$3635)^(1/3)))/ABS(IF(ABS($E$3725)&gt;0.000000001,$E$3725,0.000000001))*$I$3641)</f>
        <v/>
      </c>
      <c r="E3761" s="19">
        <f>0.5*$E$3725+0.5*$Z$3775</f>
        <v/>
      </c>
      <c r="F3761" s="19">
        <f>$Z$3776</f>
        <v/>
      </c>
    </row>
    <row r="3762">
      <c r="D3762" s="19">
        <f>IF(ABS(IF(ABS($E$3726)&gt;0.000000001,$E$3726,0.000000001))=0,0,IF($E$3642&lt;=$B$3633,0,IF(ABS(IF(ABS($E$3726)&gt;0.000000001,$E$3726,0.000000001))&gt;=8*$B$3635,$H$3642,0.5*$H$3642*(ABS(IF(ABS($E$3726)&gt;0.000000001,$E$3726,0.000000001))/$B$3635)^(1/3)))/ABS(IF(ABS($E$3726)&gt;0.000000001,$E$3726,0.000000001))*$I$3642)</f>
        <v/>
      </c>
      <c r="E3762" s="19">
        <f>0.5*$E$3726+0.5*$Z$3777</f>
        <v/>
      </c>
      <c r="F3762" s="19">
        <f>$Z$3778</f>
        <v/>
      </c>
    </row>
    <row r="3763">
      <c r="D3763" s="19">
        <f>IF(ABS(IF(ABS($E$3727)&gt;0.000000001,$E$3727,0.000000001))=0,0,IF($E$3643&lt;=$B$3633,0,IF(ABS(IF(ABS($E$3727)&gt;0.000000001,$E$3727,0.000000001))&gt;=8*$B$3635,$H$3643,0.5*$H$3643*(ABS(IF(ABS($E$3727)&gt;0.000000001,$E$3727,0.000000001))/$B$3635)^(1/3)))/ABS(IF(ABS($E$3727)&gt;0.000000001,$E$3727,0.000000001))*$I$3643)</f>
        <v/>
      </c>
      <c r="E3763" s="19">
        <f>0.5*$E$3727+0.5*$Z$3779</f>
        <v/>
      </c>
      <c r="F3763" s="19">
        <f>$Z$3780</f>
        <v/>
      </c>
    </row>
    <row r="3764">
      <c r="D3764" s="19">
        <f>IF(ABS(IF(ABS($E$3728)&gt;0.000000001,$E$3728,0.000000001))=0,0,IF($E$3644&lt;=$B$3633,0,IF(ABS(IF(ABS($E$3728)&gt;0.000000001,$E$3728,0.000000001))&gt;=8*$B$3635,$H$3644,0.5*$H$3644*(ABS(IF(ABS($E$3728)&gt;0.000000001,$E$3728,0.000000001))/$B$3635)^(1/3)))/ABS(IF(ABS($E$3728)&gt;0.000000001,$E$3728,0.000000001))*$I$3644)</f>
        <v/>
      </c>
      <c r="E3764" s="19">
        <f>0.5*$E$3728+0.5*$Z$3781</f>
        <v/>
      </c>
      <c r="F3764" s="19">
        <f>$Z$3782</f>
        <v/>
      </c>
    </row>
    <row r="3765">
      <c r="D3765" s="19">
        <f>IF(ABS(IF(ABS($E$3729)&gt;0.000000001,$E$3729,0.000000001))=0,0,IF($E$3645&lt;=$B$3633,0,IF(ABS(IF(ABS($E$3729)&gt;0.000000001,$E$3729,0.000000001))&gt;=8*$B$3635,$H$3645,0.5*$H$3645*(ABS(IF(ABS($E$3729)&gt;0.000000001,$E$3729,0.000000001))/$B$3635)^(1/3)))/ABS(IF(ABS($E$3729)&gt;0.000000001,$E$3729,0.000000001))*$I$3645)</f>
        <v/>
      </c>
      <c r="E3765" s="19">
        <f>0.5*$E$3729+0.5*$Z$3783</f>
        <v/>
      </c>
      <c r="F3765" s="19">
        <f>$Z$3784</f>
        <v/>
      </c>
    </row>
    <row r="3766">
      <c r="D3766" s="19">
        <f>IF(ABS(IF(ABS($E$3730)&gt;0.000000001,$E$3730,0.000000001))=0,0,IF($E$3646&lt;=$B$3633,0,IF(ABS(IF(ABS($E$3730)&gt;0.000000001,$E$3730,0.000000001))&gt;=8*$B$3635,$H$3646,0.5*$H$3646*(ABS(IF(ABS($E$3730)&gt;0.000000001,$E$3730,0.000000001))/$B$3635)^(1/3)))/ABS(IF(ABS($E$3730)&gt;0.000000001,$E$3730,0.000000001))*$I$3646)</f>
        <v/>
      </c>
      <c r="E3766" s="19">
        <f>0.5*$E$3730+0.5*$Z$3785</f>
        <v/>
      </c>
      <c r="F3766" s="19">
        <f>$Z$3786</f>
        <v/>
      </c>
    </row>
    <row r="3767">
      <c r="D3767" s="19">
        <f>IF(ABS(IF(ABS($E$3731)&gt;0.000000001,$E$3731,0.000000001))=0,0,IF($E$3647&lt;=$B$3633,0,IF(ABS(IF(ABS($E$3731)&gt;0.000000001,$E$3731,0.000000001))&gt;=8*$B$3635,$H$3647,0.5*$H$3647*(ABS(IF(ABS($E$3731)&gt;0.000000001,$E$3731,0.000000001))/$B$3635)^(1/3)))/ABS(IF(ABS($E$3731)&gt;0.000000001,$E$3731,0.000000001))*$I$3647)</f>
        <v/>
      </c>
      <c r="E3767" s="19">
        <f>0.5*$E$3731+0.5*$Z$3787</f>
        <v/>
      </c>
      <c r="F3767" s="19">
        <f>$Z$3788</f>
        <v/>
      </c>
    </row>
    <row r="3768">
      <c r="D3768" s="19">
        <f>IF(ABS(IF(ABS($E$3732)&gt;0.000000001,$E$3732,0.000000001))=0,0,IF($E$3648&lt;=$B$3633,0,IF(ABS(IF(ABS($E$3732)&gt;0.000000001,$E$3732,0.000000001))&gt;=8*$B$3635,$H$3648,0.5*$H$3648*(ABS(IF(ABS($E$3732)&gt;0.000000001,$E$3732,0.000000001))/$B$3635)^(1/3)))/ABS(IF(ABS($E$3732)&gt;0.000000001,$E$3732,0.000000001))*$I$3648)</f>
        <v/>
      </c>
      <c r="E3768" s="19">
        <f>0.5*$E$3732+0.5*$Z$3789</f>
        <v/>
      </c>
      <c r="F3768" s="19">
        <f>$Z$3790</f>
        <v/>
      </c>
    </row>
    <row r="3769">
      <c r="D3769" s="19">
        <f>IF(ABS(IF(ABS($E$3733)&gt;0.000000001,$E$3733,0.000000001))=0,0,IF($E$3649&lt;=$B$3633,0,IF(ABS(IF(ABS($E$3733)&gt;0.000000001,$E$3733,0.000000001))&gt;=8*$B$3635,$H$3649,0.5*$H$3649*(ABS(IF(ABS($E$3733)&gt;0.000000001,$E$3733,0.000000001))/$B$3635)^(1/3)))/ABS(IF(ABS($E$3733)&gt;0.000000001,$E$3733,0.000000001))*$I$3649)</f>
        <v/>
      </c>
      <c r="E3769" s="19">
        <f>0.5*$E$3733+0.5*$Z$3791</f>
        <v/>
      </c>
      <c r="F3769" s="19">
        <f>$Z$3792</f>
        <v/>
      </c>
    </row>
    <row r="3771">
      <c r="D3771" s="21">
        <f>$B$3624+$D$3759</f>
        <v/>
      </c>
      <c r="E3771" s="21">
        <f>$B$3625</f>
        <v/>
      </c>
      <c r="F3771" s="21">
        <f>-$B$3624</f>
        <v/>
      </c>
      <c r="G3771" s="21">
        <f>$B$3625</f>
        <v/>
      </c>
      <c r="H3771" s="21" t="n">
        <v>0</v>
      </c>
      <c r="I3771" s="21" t="n">
        <v>0</v>
      </c>
      <c r="J3771" s="21" t="n">
        <v>0</v>
      </c>
      <c r="K3771" s="21" t="n">
        <v>0</v>
      </c>
      <c r="L3771" s="21" t="n">
        <v>0</v>
      </c>
      <c r="M3771" s="21" t="n">
        <v>0</v>
      </c>
      <c r="N3771" s="21" t="n">
        <v>0</v>
      </c>
      <c r="O3771" s="21" t="n">
        <v>0</v>
      </c>
      <c r="P3771" s="21" t="n">
        <v>0</v>
      </c>
      <c r="Q3771" s="21" t="n">
        <v>0</v>
      </c>
      <c r="R3771" s="21" t="n">
        <v>0</v>
      </c>
      <c r="S3771" s="21" t="n">
        <v>0</v>
      </c>
      <c r="T3771" s="21" t="n">
        <v>0</v>
      </c>
      <c r="U3771" s="21" t="n">
        <v>0</v>
      </c>
      <c r="V3771" s="21" t="n">
        <v>0</v>
      </c>
      <c r="W3771" s="21" t="n">
        <v>0</v>
      </c>
      <c r="X3771" s="21" t="n">
        <v>0</v>
      </c>
      <c r="Y3771" s="21" t="n">
        <v>0</v>
      </c>
      <c r="Z3771" s="19">
        <f t="array" ref="Z3771:Z3792">MMULT(MINVERSE($D$3771:$Y$3792),$D$3651:$D$3672)</f>
        <v/>
      </c>
    </row>
    <row r="3772">
      <c r="D3772" s="21">
        <f>$B$3625</f>
        <v/>
      </c>
      <c r="E3772" s="21">
        <f>$B$3626</f>
        <v/>
      </c>
      <c r="F3772" s="21">
        <f>-$B$3625</f>
        <v/>
      </c>
      <c r="G3772" s="21">
        <f>$B$3627</f>
        <v/>
      </c>
      <c r="H3772" s="21" t="n">
        <v>0</v>
      </c>
      <c r="I3772" s="21" t="n">
        <v>0</v>
      </c>
      <c r="J3772" s="21" t="n">
        <v>0</v>
      </c>
      <c r="K3772" s="21" t="n">
        <v>0</v>
      </c>
      <c r="L3772" s="21" t="n">
        <v>0</v>
      </c>
      <c r="M3772" s="21" t="n">
        <v>0</v>
      </c>
      <c r="N3772" s="21" t="n">
        <v>0</v>
      </c>
      <c r="O3772" s="21" t="n">
        <v>0</v>
      </c>
      <c r="P3772" s="21" t="n">
        <v>0</v>
      </c>
      <c r="Q3772" s="21" t="n">
        <v>0</v>
      </c>
      <c r="R3772" s="21" t="n">
        <v>0</v>
      </c>
      <c r="S3772" s="21" t="n">
        <v>0</v>
      </c>
      <c r="T3772" s="21" t="n">
        <v>0</v>
      </c>
      <c r="U3772" s="21" t="n">
        <v>0</v>
      </c>
      <c r="V3772" s="21" t="n">
        <v>0</v>
      </c>
      <c r="W3772" s="21" t="n">
        <v>0</v>
      </c>
      <c r="X3772" s="21" t="n">
        <v>0</v>
      </c>
      <c r="Y3772" s="21" t="n">
        <v>0</v>
      </c>
      <c r="Z3772" s="19" t="n"/>
    </row>
    <row r="3773">
      <c r="D3773" s="21">
        <f>-$B$3624</f>
        <v/>
      </c>
      <c r="E3773" s="21">
        <f>-$B$3625</f>
        <v/>
      </c>
      <c r="F3773" s="21">
        <f>2*$B$3624+$D$3760</f>
        <v/>
      </c>
      <c r="G3773" s="21">
        <f>0</f>
        <v/>
      </c>
      <c r="H3773" s="21">
        <f>-$B$3624</f>
        <v/>
      </c>
      <c r="I3773" s="21">
        <f>$B$3625</f>
        <v/>
      </c>
      <c r="J3773" s="21" t="n">
        <v>0</v>
      </c>
      <c r="K3773" s="21" t="n">
        <v>0</v>
      </c>
      <c r="L3773" s="21" t="n">
        <v>0</v>
      </c>
      <c r="M3773" s="21" t="n">
        <v>0</v>
      </c>
      <c r="N3773" s="21" t="n">
        <v>0</v>
      </c>
      <c r="O3773" s="21" t="n">
        <v>0</v>
      </c>
      <c r="P3773" s="21" t="n">
        <v>0</v>
      </c>
      <c r="Q3773" s="21" t="n">
        <v>0</v>
      </c>
      <c r="R3773" s="21" t="n">
        <v>0</v>
      </c>
      <c r="S3773" s="21" t="n">
        <v>0</v>
      </c>
      <c r="T3773" s="21" t="n">
        <v>0</v>
      </c>
      <c r="U3773" s="21" t="n">
        <v>0</v>
      </c>
      <c r="V3773" s="21" t="n">
        <v>0</v>
      </c>
      <c r="W3773" s="21" t="n">
        <v>0</v>
      </c>
      <c r="X3773" s="21" t="n">
        <v>0</v>
      </c>
      <c r="Y3773" s="21" t="n">
        <v>0</v>
      </c>
      <c r="Z3773" s="19" t="n"/>
    </row>
    <row r="3774">
      <c r="D3774" s="21">
        <f>$B$3625</f>
        <v/>
      </c>
      <c r="E3774" s="21">
        <f>$B$3627</f>
        <v/>
      </c>
      <c r="F3774" s="21">
        <f>0</f>
        <v/>
      </c>
      <c r="G3774" s="21">
        <f>2*$B$3626</f>
        <v/>
      </c>
      <c r="H3774" s="21">
        <f>-$B$3625</f>
        <v/>
      </c>
      <c r="I3774" s="21">
        <f>$B$3627</f>
        <v/>
      </c>
      <c r="J3774" s="21" t="n">
        <v>0</v>
      </c>
      <c r="K3774" s="21" t="n">
        <v>0</v>
      </c>
      <c r="L3774" s="21" t="n">
        <v>0</v>
      </c>
      <c r="M3774" s="21" t="n">
        <v>0</v>
      </c>
      <c r="N3774" s="21" t="n">
        <v>0</v>
      </c>
      <c r="O3774" s="21" t="n">
        <v>0</v>
      </c>
      <c r="P3774" s="21" t="n">
        <v>0</v>
      </c>
      <c r="Q3774" s="21" t="n">
        <v>0</v>
      </c>
      <c r="R3774" s="21" t="n">
        <v>0</v>
      </c>
      <c r="S3774" s="21" t="n">
        <v>0</v>
      </c>
      <c r="T3774" s="21" t="n">
        <v>0</v>
      </c>
      <c r="U3774" s="21" t="n">
        <v>0</v>
      </c>
      <c r="V3774" s="21" t="n">
        <v>0</v>
      </c>
      <c r="W3774" s="21" t="n">
        <v>0</v>
      </c>
      <c r="X3774" s="21" t="n">
        <v>0</v>
      </c>
      <c r="Y3774" s="21" t="n">
        <v>0</v>
      </c>
      <c r="Z3774" s="19" t="n"/>
    </row>
    <row r="3775">
      <c r="D3775" s="21" t="n">
        <v>0</v>
      </c>
      <c r="E3775" s="21" t="n">
        <v>0</v>
      </c>
      <c r="F3775" s="21">
        <f>-$B$3624</f>
        <v/>
      </c>
      <c r="G3775" s="21">
        <f>-$B$3625</f>
        <v/>
      </c>
      <c r="H3775" s="21">
        <f>2*$B$3624+$D$3761</f>
        <v/>
      </c>
      <c r="I3775" s="21">
        <f>0</f>
        <v/>
      </c>
      <c r="J3775" s="21">
        <f>-$B$3624</f>
        <v/>
      </c>
      <c r="K3775" s="21">
        <f>$B$3625</f>
        <v/>
      </c>
      <c r="L3775" s="21" t="n">
        <v>0</v>
      </c>
      <c r="M3775" s="21" t="n">
        <v>0</v>
      </c>
      <c r="N3775" s="21" t="n">
        <v>0</v>
      </c>
      <c r="O3775" s="21" t="n">
        <v>0</v>
      </c>
      <c r="P3775" s="21" t="n">
        <v>0</v>
      </c>
      <c r="Q3775" s="21" t="n">
        <v>0</v>
      </c>
      <c r="R3775" s="21" t="n">
        <v>0</v>
      </c>
      <c r="S3775" s="21" t="n">
        <v>0</v>
      </c>
      <c r="T3775" s="21" t="n">
        <v>0</v>
      </c>
      <c r="U3775" s="21" t="n">
        <v>0</v>
      </c>
      <c r="V3775" s="21" t="n">
        <v>0</v>
      </c>
      <c r="W3775" s="21" t="n">
        <v>0</v>
      </c>
      <c r="X3775" s="21" t="n">
        <v>0</v>
      </c>
      <c r="Y3775" s="21" t="n">
        <v>0</v>
      </c>
      <c r="Z3775" s="19" t="n"/>
    </row>
    <row r="3776">
      <c r="D3776" s="21" t="n">
        <v>0</v>
      </c>
      <c r="E3776" s="21" t="n">
        <v>0</v>
      </c>
      <c r="F3776" s="21">
        <f>$B$3625</f>
        <v/>
      </c>
      <c r="G3776" s="21">
        <f>$B$3627</f>
        <v/>
      </c>
      <c r="H3776" s="21">
        <f>0</f>
        <v/>
      </c>
      <c r="I3776" s="21">
        <f>2*$B$3626</f>
        <v/>
      </c>
      <c r="J3776" s="21">
        <f>-$B$3625</f>
        <v/>
      </c>
      <c r="K3776" s="21">
        <f>$B$3627</f>
        <v/>
      </c>
      <c r="L3776" s="21" t="n">
        <v>0</v>
      </c>
      <c r="M3776" s="21" t="n">
        <v>0</v>
      </c>
      <c r="N3776" s="21" t="n">
        <v>0</v>
      </c>
      <c r="O3776" s="21" t="n">
        <v>0</v>
      </c>
      <c r="P3776" s="21" t="n">
        <v>0</v>
      </c>
      <c r="Q3776" s="21" t="n">
        <v>0</v>
      </c>
      <c r="R3776" s="21" t="n">
        <v>0</v>
      </c>
      <c r="S3776" s="21" t="n">
        <v>0</v>
      </c>
      <c r="T3776" s="21" t="n">
        <v>0</v>
      </c>
      <c r="U3776" s="21" t="n">
        <v>0</v>
      </c>
      <c r="V3776" s="21" t="n">
        <v>0</v>
      </c>
      <c r="W3776" s="21" t="n">
        <v>0</v>
      </c>
      <c r="X3776" s="21" t="n">
        <v>0</v>
      </c>
      <c r="Y3776" s="21" t="n">
        <v>0</v>
      </c>
      <c r="Z3776" s="19" t="n"/>
    </row>
    <row r="3777">
      <c r="D3777" s="21" t="n">
        <v>0</v>
      </c>
      <c r="E3777" s="21" t="n">
        <v>0</v>
      </c>
      <c r="F3777" s="21" t="n">
        <v>0</v>
      </c>
      <c r="G3777" s="21" t="n">
        <v>0</v>
      </c>
      <c r="H3777" s="21">
        <f>-$B$3624</f>
        <v/>
      </c>
      <c r="I3777" s="21">
        <f>-$B$3625</f>
        <v/>
      </c>
      <c r="J3777" s="21">
        <f>2*$B$3624+$D$3762</f>
        <v/>
      </c>
      <c r="K3777" s="21">
        <f>0</f>
        <v/>
      </c>
      <c r="L3777" s="21">
        <f>-$B$3624</f>
        <v/>
      </c>
      <c r="M3777" s="21">
        <f>$B$3625</f>
        <v/>
      </c>
      <c r="N3777" s="21" t="n">
        <v>0</v>
      </c>
      <c r="O3777" s="21" t="n">
        <v>0</v>
      </c>
      <c r="P3777" s="21" t="n">
        <v>0</v>
      </c>
      <c r="Q3777" s="21" t="n">
        <v>0</v>
      </c>
      <c r="R3777" s="21" t="n">
        <v>0</v>
      </c>
      <c r="S3777" s="21" t="n">
        <v>0</v>
      </c>
      <c r="T3777" s="21" t="n">
        <v>0</v>
      </c>
      <c r="U3777" s="21" t="n">
        <v>0</v>
      </c>
      <c r="V3777" s="21" t="n">
        <v>0</v>
      </c>
      <c r="W3777" s="21" t="n">
        <v>0</v>
      </c>
      <c r="X3777" s="21" t="n">
        <v>0</v>
      </c>
      <c r="Y3777" s="21" t="n">
        <v>0</v>
      </c>
      <c r="Z3777" s="19" t="n"/>
    </row>
    <row r="3778">
      <c r="D3778" s="21" t="n">
        <v>0</v>
      </c>
      <c r="E3778" s="21" t="n">
        <v>0</v>
      </c>
      <c r="F3778" s="21" t="n">
        <v>0</v>
      </c>
      <c r="G3778" s="21" t="n">
        <v>0</v>
      </c>
      <c r="H3778" s="21">
        <f>$B$3625</f>
        <v/>
      </c>
      <c r="I3778" s="21">
        <f>$B$3627</f>
        <v/>
      </c>
      <c r="J3778" s="21">
        <f>0</f>
        <v/>
      </c>
      <c r="K3778" s="21">
        <f>2*$B$3626</f>
        <v/>
      </c>
      <c r="L3778" s="21">
        <f>-$B$3625</f>
        <v/>
      </c>
      <c r="M3778" s="21">
        <f>$B$3627</f>
        <v/>
      </c>
      <c r="N3778" s="21" t="n">
        <v>0</v>
      </c>
      <c r="O3778" s="21" t="n">
        <v>0</v>
      </c>
      <c r="P3778" s="21" t="n">
        <v>0</v>
      </c>
      <c r="Q3778" s="21" t="n">
        <v>0</v>
      </c>
      <c r="R3778" s="21" t="n">
        <v>0</v>
      </c>
      <c r="S3778" s="21" t="n">
        <v>0</v>
      </c>
      <c r="T3778" s="21" t="n">
        <v>0</v>
      </c>
      <c r="U3778" s="21" t="n">
        <v>0</v>
      </c>
      <c r="V3778" s="21" t="n">
        <v>0</v>
      </c>
      <c r="W3778" s="21" t="n">
        <v>0</v>
      </c>
      <c r="X3778" s="21" t="n">
        <v>0</v>
      </c>
      <c r="Y3778" s="21" t="n">
        <v>0</v>
      </c>
      <c r="Z3778" s="19" t="n"/>
    </row>
    <row r="3779">
      <c r="D3779" s="21" t="n">
        <v>0</v>
      </c>
      <c r="E3779" s="21" t="n">
        <v>0</v>
      </c>
      <c r="F3779" s="21" t="n">
        <v>0</v>
      </c>
      <c r="G3779" s="21" t="n">
        <v>0</v>
      </c>
      <c r="H3779" s="21" t="n">
        <v>0</v>
      </c>
      <c r="I3779" s="21" t="n">
        <v>0</v>
      </c>
      <c r="J3779" s="21">
        <f>-$B$3624</f>
        <v/>
      </c>
      <c r="K3779" s="21">
        <f>-$B$3625</f>
        <v/>
      </c>
      <c r="L3779" s="21">
        <f>2*$B$3624+$D$3763</f>
        <v/>
      </c>
      <c r="M3779" s="21">
        <f>0</f>
        <v/>
      </c>
      <c r="N3779" s="21">
        <f>-$B$3624</f>
        <v/>
      </c>
      <c r="O3779" s="21">
        <f>$B$3625</f>
        <v/>
      </c>
      <c r="P3779" s="21" t="n">
        <v>0</v>
      </c>
      <c r="Q3779" s="21" t="n">
        <v>0</v>
      </c>
      <c r="R3779" s="21" t="n">
        <v>0</v>
      </c>
      <c r="S3779" s="21" t="n">
        <v>0</v>
      </c>
      <c r="T3779" s="21" t="n">
        <v>0</v>
      </c>
      <c r="U3779" s="21" t="n">
        <v>0</v>
      </c>
      <c r="V3779" s="21" t="n">
        <v>0</v>
      </c>
      <c r="W3779" s="21" t="n">
        <v>0</v>
      </c>
      <c r="X3779" s="21" t="n">
        <v>0</v>
      </c>
      <c r="Y3779" s="21" t="n">
        <v>0</v>
      </c>
      <c r="Z3779" s="19" t="n"/>
    </row>
    <row r="3780">
      <c r="D3780" s="21" t="n">
        <v>0</v>
      </c>
      <c r="E3780" s="21" t="n">
        <v>0</v>
      </c>
      <c r="F3780" s="21" t="n">
        <v>0</v>
      </c>
      <c r="G3780" s="21" t="n">
        <v>0</v>
      </c>
      <c r="H3780" s="21" t="n">
        <v>0</v>
      </c>
      <c r="I3780" s="21" t="n">
        <v>0</v>
      </c>
      <c r="J3780" s="21">
        <f>$B$3625</f>
        <v/>
      </c>
      <c r="K3780" s="21">
        <f>$B$3627</f>
        <v/>
      </c>
      <c r="L3780" s="21">
        <f>0</f>
        <v/>
      </c>
      <c r="M3780" s="21">
        <f>2*$B$3626</f>
        <v/>
      </c>
      <c r="N3780" s="21">
        <f>-$B$3625</f>
        <v/>
      </c>
      <c r="O3780" s="21">
        <f>$B$3627</f>
        <v/>
      </c>
      <c r="P3780" s="21" t="n">
        <v>0</v>
      </c>
      <c r="Q3780" s="21" t="n">
        <v>0</v>
      </c>
      <c r="R3780" s="21" t="n">
        <v>0</v>
      </c>
      <c r="S3780" s="21" t="n">
        <v>0</v>
      </c>
      <c r="T3780" s="21" t="n">
        <v>0</v>
      </c>
      <c r="U3780" s="21" t="n">
        <v>0</v>
      </c>
      <c r="V3780" s="21" t="n">
        <v>0</v>
      </c>
      <c r="W3780" s="21" t="n">
        <v>0</v>
      </c>
      <c r="X3780" s="21" t="n">
        <v>0</v>
      </c>
      <c r="Y3780" s="21" t="n">
        <v>0</v>
      </c>
      <c r="Z3780" s="19" t="n"/>
    </row>
    <row r="3781">
      <c r="D3781" s="21" t="n">
        <v>0</v>
      </c>
      <c r="E3781" s="21" t="n">
        <v>0</v>
      </c>
      <c r="F3781" s="21" t="n">
        <v>0</v>
      </c>
      <c r="G3781" s="21" t="n">
        <v>0</v>
      </c>
      <c r="H3781" s="21" t="n">
        <v>0</v>
      </c>
      <c r="I3781" s="21" t="n">
        <v>0</v>
      </c>
      <c r="J3781" s="21" t="n">
        <v>0</v>
      </c>
      <c r="K3781" s="21" t="n">
        <v>0</v>
      </c>
      <c r="L3781" s="21">
        <f>-$B$3624</f>
        <v/>
      </c>
      <c r="M3781" s="21">
        <f>-$B$3625</f>
        <v/>
      </c>
      <c r="N3781" s="21">
        <f>2*$B$3624+$D$3764</f>
        <v/>
      </c>
      <c r="O3781" s="21">
        <f>0</f>
        <v/>
      </c>
      <c r="P3781" s="21">
        <f>-$B$3624</f>
        <v/>
      </c>
      <c r="Q3781" s="21">
        <f>$B$3625</f>
        <v/>
      </c>
      <c r="R3781" s="21" t="n">
        <v>0</v>
      </c>
      <c r="S3781" s="21" t="n">
        <v>0</v>
      </c>
      <c r="T3781" s="21" t="n">
        <v>0</v>
      </c>
      <c r="U3781" s="21" t="n">
        <v>0</v>
      </c>
      <c r="V3781" s="21" t="n">
        <v>0</v>
      </c>
      <c r="W3781" s="21" t="n">
        <v>0</v>
      </c>
      <c r="X3781" s="21" t="n">
        <v>0</v>
      </c>
      <c r="Y3781" s="21" t="n">
        <v>0</v>
      </c>
      <c r="Z3781" s="19" t="n"/>
    </row>
    <row r="3782">
      <c r="D3782" s="21" t="n">
        <v>0</v>
      </c>
      <c r="E3782" s="21" t="n">
        <v>0</v>
      </c>
      <c r="F3782" s="21" t="n">
        <v>0</v>
      </c>
      <c r="G3782" s="21" t="n">
        <v>0</v>
      </c>
      <c r="H3782" s="21" t="n">
        <v>0</v>
      </c>
      <c r="I3782" s="21" t="n">
        <v>0</v>
      </c>
      <c r="J3782" s="21" t="n">
        <v>0</v>
      </c>
      <c r="K3782" s="21" t="n">
        <v>0</v>
      </c>
      <c r="L3782" s="21">
        <f>$B$3625</f>
        <v/>
      </c>
      <c r="M3782" s="21">
        <f>$B$3627</f>
        <v/>
      </c>
      <c r="N3782" s="21">
        <f>0</f>
        <v/>
      </c>
      <c r="O3782" s="21">
        <f>2*$B$3626</f>
        <v/>
      </c>
      <c r="P3782" s="21">
        <f>-$B$3625</f>
        <v/>
      </c>
      <c r="Q3782" s="21">
        <f>$B$3627</f>
        <v/>
      </c>
      <c r="R3782" s="21" t="n">
        <v>0</v>
      </c>
      <c r="S3782" s="21" t="n">
        <v>0</v>
      </c>
      <c r="T3782" s="21" t="n">
        <v>0</v>
      </c>
      <c r="U3782" s="21" t="n">
        <v>0</v>
      </c>
      <c r="V3782" s="21" t="n">
        <v>0</v>
      </c>
      <c r="W3782" s="21" t="n">
        <v>0</v>
      </c>
      <c r="X3782" s="21" t="n">
        <v>0</v>
      </c>
      <c r="Y3782" s="21" t="n">
        <v>0</v>
      </c>
      <c r="Z3782" s="19" t="n"/>
    </row>
    <row r="3783">
      <c r="D3783" s="21" t="n">
        <v>0</v>
      </c>
      <c r="E3783" s="21" t="n">
        <v>0</v>
      </c>
      <c r="F3783" s="21" t="n">
        <v>0</v>
      </c>
      <c r="G3783" s="21" t="n">
        <v>0</v>
      </c>
      <c r="H3783" s="21" t="n">
        <v>0</v>
      </c>
      <c r="I3783" s="21" t="n">
        <v>0</v>
      </c>
      <c r="J3783" s="21" t="n">
        <v>0</v>
      </c>
      <c r="K3783" s="21" t="n">
        <v>0</v>
      </c>
      <c r="L3783" s="21" t="n">
        <v>0</v>
      </c>
      <c r="M3783" s="21" t="n">
        <v>0</v>
      </c>
      <c r="N3783" s="21">
        <f>-$B$3624</f>
        <v/>
      </c>
      <c r="O3783" s="21">
        <f>-$B$3625</f>
        <v/>
      </c>
      <c r="P3783" s="21">
        <f>2*$B$3624+$D$3765</f>
        <v/>
      </c>
      <c r="Q3783" s="21">
        <f>0</f>
        <v/>
      </c>
      <c r="R3783" s="21">
        <f>-$B$3624</f>
        <v/>
      </c>
      <c r="S3783" s="21">
        <f>$B$3625</f>
        <v/>
      </c>
      <c r="T3783" s="21" t="n">
        <v>0</v>
      </c>
      <c r="U3783" s="21" t="n">
        <v>0</v>
      </c>
      <c r="V3783" s="21" t="n">
        <v>0</v>
      </c>
      <c r="W3783" s="21" t="n">
        <v>0</v>
      </c>
      <c r="X3783" s="21" t="n">
        <v>0</v>
      </c>
      <c r="Y3783" s="21" t="n">
        <v>0</v>
      </c>
      <c r="Z3783" s="19" t="n"/>
    </row>
    <row r="3784">
      <c r="D3784" s="21" t="n">
        <v>0</v>
      </c>
      <c r="E3784" s="21" t="n">
        <v>0</v>
      </c>
      <c r="F3784" s="21" t="n">
        <v>0</v>
      </c>
      <c r="G3784" s="21" t="n">
        <v>0</v>
      </c>
      <c r="H3784" s="21" t="n">
        <v>0</v>
      </c>
      <c r="I3784" s="21" t="n">
        <v>0</v>
      </c>
      <c r="J3784" s="21" t="n">
        <v>0</v>
      </c>
      <c r="K3784" s="21" t="n">
        <v>0</v>
      </c>
      <c r="L3784" s="21" t="n">
        <v>0</v>
      </c>
      <c r="M3784" s="21" t="n">
        <v>0</v>
      </c>
      <c r="N3784" s="21">
        <f>$B$3625</f>
        <v/>
      </c>
      <c r="O3784" s="21">
        <f>$B$3627</f>
        <v/>
      </c>
      <c r="P3784" s="21">
        <f>0</f>
        <v/>
      </c>
      <c r="Q3784" s="21">
        <f>2*$B$3626</f>
        <v/>
      </c>
      <c r="R3784" s="21">
        <f>-$B$3625</f>
        <v/>
      </c>
      <c r="S3784" s="21">
        <f>$B$3627</f>
        <v/>
      </c>
      <c r="T3784" s="21" t="n">
        <v>0</v>
      </c>
      <c r="U3784" s="21" t="n">
        <v>0</v>
      </c>
      <c r="V3784" s="21" t="n">
        <v>0</v>
      </c>
      <c r="W3784" s="21" t="n">
        <v>0</v>
      </c>
      <c r="X3784" s="21" t="n">
        <v>0</v>
      </c>
      <c r="Y3784" s="21" t="n">
        <v>0</v>
      </c>
      <c r="Z3784" s="19" t="n"/>
    </row>
    <row r="3785">
      <c r="D3785" s="21" t="n">
        <v>0</v>
      </c>
      <c r="E3785" s="21" t="n">
        <v>0</v>
      </c>
      <c r="F3785" s="21" t="n">
        <v>0</v>
      </c>
      <c r="G3785" s="21" t="n">
        <v>0</v>
      </c>
      <c r="H3785" s="21" t="n">
        <v>0</v>
      </c>
      <c r="I3785" s="21" t="n">
        <v>0</v>
      </c>
      <c r="J3785" s="21" t="n">
        <v>0</v>
      </c>
      <c r="K3785" s="21" t="n">
        <v>0</v>
      </c>
      <c r="L3785" s="21" t="n">
        <v>0</v>
      </c>
      <c r="M3785" s="21" t="n">
        <v>0</v>
      </c>
      <c r="N3785" s="21" t="n">
        <v>0</v>
      </c>
      <c r="O3785" s="21" t="n">
        <v>0</v>
      </c>
      <c r="P3785" s="21">
        <f>-$B$3624</f>
        <v/>
      </c>
      <c r="Q3785" s="21">
        <f>-$B$3625</f>
        <v/>
      </c>
      <c r="R3785" s="21">
        <f>2*$B$3624+$D$3766</f>
        <v/>
      </c>
      <c r="S3785" s="21">
        <f>0</f>
        <v/>
      </c>
      <c r="T3785" s="21">
        <f>-$B$3624</f>
        <v/>
      </c>
      <c r="U3785" s="21">
        <f>$B$3625</f>
        <v/>
      </c>
      <c r="V3785" s="21" t="n">
        <v>0</v>
      </c>
      <c r="W3785" s="21" t="n">
        <v>0</v>
      </c>
      <c r="X3785" s="21" t="n">
        <v>0</v>
      </c>
      <c r="Y3785" s="21" t="n">
        <v>0</v>
      </c>
      <c r="Z3785" s="19" t="n"/>
    </row>
    <row r="3786">
      <c r="D3786" s="21" t="n">
        <v>0</v>
      </c>
      <c r="E3786" s="21" t="n">
        <v>0</v>
      </c>
      <c r="F3786" s="21" t="n">
        <v>0</v>
      </c>
      <c r="G3786" s="21" t="n">
        <v>0</v>
      </c>
      <c r="H3786" s="21" t="n">
        <v>0</v>
      </c>
      <c r="I3786" s="21" t="n">
        <v>0</v>
      </c>
      <c r="J3786" s="21" t="n">
        <v>0</v>
      </c>
      <c r="K3786" s="21" t="n">
        <v>0</v>
      </c>
      <c r="L3786" s="21" t="n">
        <v>0</v>
      </c>
      <c r="M3786" s="21" t="n">
        <v>0</v>
      </c>
      <c r="N3786" s="21" t="n">
        <v>0</v>
      </c>
      <c r="O3786" s="21" t="n">
        <v>0</v>
      </c>
      <c r="P3786" s="21">
        <f>$B$3625</f>
        <v/>
      </c>
      <c r="Q3786" s="21">
        <f>$B$3627</f>
        <v/>
      </c>
      <c r="R3786" s="21">
        <f>0</f>
        <v/>
      </c>
      <c r="S3786" s="21">
        <f>2*$B$3626</f>
        <v/>
      </c>
      <c r="T3786" s="21">
        <f>-$B$3625</f>
        <v/>
      </c>
      <c r="U3786" s="21">
        <f>$B$3627</f>
        <v/>
      </c>
      <c r="V3786" s="21" t="n">
        <v>0</v>
      </c>
      <c r="W3786" s="21" t="n">
        <v>0</v>
      </c>
      <c r="X3786" s="21" t="n">
        <v>0</v>
      </c>
      <c r="Y3786" s="21" t="n">
        <v>0</v>
      </c>
      <c r="Z3786" s="19" t="n"/>
    </row>
    <row r="3787">
      <c r="D3787" s="21" t="n">
        <v>0</v>
      </c>
      <c r="E3787" s="21" t="n">
        <v>0</v>
      </c>
      <c r="F3787" s="21" t="n">
        <v>0</v>
      </c>
      <c r="G3787" s="21" t="n">
        <v>0</v>
      </c>
      <c r="H3787" s="21" t="n">
        <v>0</v>
      </c>
      <c r="I3787" s="21" t="n">
        <v>0</v>
      </c>
      <c r="J3787" s="21" t="n">
        <v>0</v>
      </c>
      <c r="K3787" s="21" t="n">
        <v>0</v>
      </c>
      <c r="L3787" s="21" t="n">
        <v>0</v>
      </c>
      <c r="M3787" s="21" t="n">
        <v>0</v>
      </c>
      <c r="N3787" s="21" t="n">
        <v>0</v>
      </c>
      <c r="O3787" s="21" t="n">
        <v>0</v>
      </c>
      <c r="P3787" s="21" t="n">
        <v>0</v>
      </c>
      <c r="Q3787" s="21" t="n">
        <v>0</v>
      </c>
      <c r="R3787" s="21">
        <f>-$B$3624</f>
        <v/>
      </c>
      <c r="S3787" s="21">
        <f>-$B$3625</f>
        <v/>
      </c>
      <c r="T3787" s="21">
        <f>2*$B$3624+$D$3767</f>
        <v/>
      </c>
      <c r="U3787" s="21">
        <f>0</f>
        <v/>
      </c>
      <c r="V3787" s="21">
        <f>-$B$3624</f>
        <v/>
      </c>
      <c r="W3787" s="21">
        <f>$B$3625</f>
        <v/>
      </c>
      <c r="X3787" s="21" t="n">
        <v>0</v>
      </c>
      <c r="Y3787" s="21" t="n">
        <v>0</v>
      </c>
      <c r="Z3787" s="19" t="n"/>
    </row>
    <row r="3788">
      <c r="D3788" s="21" t="n">
        <v>0</v>
      </c>
      <c r="E3788" s="21" t="n">
        <v>0</v>
      </c>
      <c r="F3788" s="21" t="n">
        <v>0</v>
      </c>
      <c r="G3788" s="21" t="n">
        <v>0</v>
      </c>
      <c r="H3788" s="21" t="n">
        <v>0</v>
      </c>
      <c r="I3788" s="21" t="n">
        <v>0</v>
      </c>
      <c r="J3788" s="21" t="n">
        <v>0</v>
      </c>
      <c r="K3788" s="21" t="n">
        <v>0</v>
      </c>
      <c r="L3788" s="21" t="n">
        <v>0</v>
      </c>
      <c r="M3788" s="21" t="n">
        <v>0</v>
      </c>
      <c r="N3788" s="21" t="n">
        <v>0</v>
      </c>
      <c r="O3788" s="21" t="n">
        <v>0</v>
      </c>
      <c r="P3788" s="21" t="n">
        <v>0</v>
      </c>
      <c r="Q3788" s="21" t="n">
        <v>0</v>
      </c>
      <c r="R3788" s="21">
        <f>$B$3625</f>
        <v/>
      </c>
      <c r="S3788" s="21">
        <f>$B$3627</f>
        <v/>
      </c>
      <c r="T3788" s="21">
        <f>0</f>
        <v/>
      </c>
      <c r="U3788" s="21">
        <f>2*$B$3626</f>
        <v/>
      </c>
      <c r="V3788" s="21">
        <f>-$B$3625</f>
        <v/>
      </c>
      <c r="W3788" s="21">
        <f>$B$3627</f>
        <v/>
      </c>
      <c r="X3788" s="21" t="n">
        <v>0</v>
      </c>
      <c r="Y3788" s="21" t="n">
        <v>0</v>
      </c>
      <c r="Z3788" s="19" t="n"/>
    </row>
    <row r="3789">
      <c r="D3789" s="21" t="n">
        <v>0</v>
      </c>
      <c r="E3789" s="21" t="n">
        <v>0</v>
      </c>
      <c r="F3789" s="21" t="n">
        <v>0</v>
      </c>
      <c r="G3789" s="21" t="n">
        <v>0</v>
      </c>
      <c r="H3789" s="21" t="n">
        <v>0</v>
      </c>
      <c r="I3789" s="21" t="n">
        <v>0</v>
      </c>
      <c r="J3789" s="21" t="n">
        <v>0</v>
      </c>
      <c r="K3789" s="21" t="n">
        <v>0</v>
      </c>
      <c r="L3789" s="21" t="n">
        <v>0</v>
      </c>
      <c r="M3789" s="21" t="n">
        <v>0</v>
      </c>
      <c r="N3789" s="21" t="n">
        <v>0</v>
      </c>
      <c r="O3789" s="21" t="n">
        <v>0</v>
      </c>
      <c r="P3789" s="21" t="n">
        <v>0</v>
      </c>
      <c r="Q3789" s="21" t="n">
        <v>0</v>
      </c>
      <c r="R3789" s="21" t="n">
        <v>0</v>
      </c>
      <c r="S3789" s="21" t="n">
        <v>0</v>
      </c>
      <c r="T3789" s="21">
        <f>-$B$3624</f>
        <v/>
      </c>
      <c r="U3789" s="21">
        <f>-$B$3625</f>
        <v/>
      </c>
      <c r="V3789" s="21">
        <f>2*$B$3624+$D$3768</f>
        <v/>
      </c>
      <c r="W3789" s="21">
        <f>0</f>
        <v/>
      </c>
      <c r="X3789" s="21">
        <f>-$B$3624</f>
        <v/>
      </c>
      <c r="Y3789" s="21">
        <f>$B$3625</f>
        <v/>
      </c>
      <c r="Z3789" s="19" t="n"/>
    </row>
    <row r="3790">
      <c r="D3790" s="21" t="n">
        <v>0</v>
      </c>
      <c r="E3790" s="21" t="n">
        <v>0</v>
      </c>
      <c r="F3790" s="21" t="n">
        <v>0</v>
      </c>
      <c r="G3790" s="21" t="n">
        <v>0</v>
      </c>
      <c r="H3790" s="21" t="n">
        <v>0</v>
      </c>
      <c r="I3790" s="21" t="n">
        <v>0</v>
      </c>
      <c r="J3790" s="21" t="n">
        <v>0</v>
      </c>
      <c r="K3790" s="21" t="n">
        <v>0</v>
      </c>
      <c r="L3790" s="21" t="n">
        <v>0</v>
      </c>
      <c r="M3790" s="21" t="n">
        <v>0</v>
      </c>
      <c r="N3790" s="21" t="n">
        <v>0</v>
      </c>
      <c r="O3790" s="21" t="n">
        <v>0</v>
      </c>
      <c r="P3790" s="21" t="n">
        <v>0</v>
      </c>
      <c r="Q3790" s="21" t="n">
        <v>0</v>
      </c>
      <c r="R3790" s="21" t="n">
        <v>0</v>
      </c>
      <c r="S3790" s="21" t="n">
        <v>0</v>
      </c>
      <c r="T3790" s="21">
        <f>$B$3625</f>
        <v/>
      </c>
      <c r="U3790" s="21">
        <f>$B$3627</f>
        <v/>
      </c>
      <c r="V3790" s="21">
        <f>0</f>
        <v/>
      </c>
      <c r="W3790" s="21">
        <f>2*$B$3626</f>
        <v/>
      </c>
      <c r="X3790" s="21">
        <f>-$B$3625</f>
        <v/>
      </c>
      <c r="Y3790" s="21">
        <f>$B$3627</f>
        <v/>
      </c>
      <c r="Z3790" s="19" t="n"/>
    </row>
    <row r="3791">
      <c r="D3791" s="21" t="n">
        <v>0</v>
      </c>
      <c r="E3791" s="21" t="n">
        <v>0</v>
      </c>
      <c r="F3791" s="21" t="n">
        <v>0</v>
      </c>
      <c r="G3791" s="21" t="n">
        <v>0</v>
      </c>
      <c r="H3791" s="21" t="n">
        <v>0</v>
      </c>
      <c r="I3791" s="21" t="n">
        <v>0</v>
      </c>
      <c r="J3791" s="21" t="n">
        <v>0</v>
      </c>
      <c r="K3791" s="21" t="n">
        <v>0</v>
      </c>
      <c r="L3791" s="21" t="n">
        <v>0</v>
      </c>
      <c r="M3791" s="21" t="n">
        <v>0</v>
      </c>
      <c r="N3791" s="21" t="n">
        <v>0</v>
      </c>
      <c r="O3791" s="21" t="n">
        <v>0</v>
      </c>
      <c r="P3791" s="21" t="n">
        <v>0</v>
      </c>
      <c r="Q3791" s="21" t="n">
        <v>0</v>
      </c>
      <c r="R3791" s="21" t="n">
        <v>0</v>
      </c>
      <c r="S3791" s="21" t="n">
        <v>0</v>
      </c>
      <c r="T3791" s="21" t="n">
        <v>0</v>
      </c>
      <c r="U3791" s="21" t="n">
        <v>0</v>
      </c>
      <c r="V3791" s="21">
        <f>-$B$3624</f>
        <v/>
      </c>
      <c r="W3791" s="21">
        <f>-$B$3625</f>
        <v/>
      </c>
      <c r="X3791" s="21">
        <f>$B$3624+$D$3769</f>
        <v/>
      </c>
      <c r="Y3791" s="21">
        <f>-$B$3625</f>
        <v/>
      </c>
      <c r="Z3791" s="19" t="n"/>
    </row>
    <row r="3792">
      <c r="D3792" s="21" t="n">
        <v>0</v>
      </c>
      <c r="E3792" s="21" t="n">
        <v>0</v>
      </c>
      <c r="F3792" s="21" t="n">
        <v>0</v>
      </c>
      <c r="G3792" s="21" t="n">
        <v>0</v>
      </c>
      <c r="H3792" s="21" t="n">
        <v>0</v>
      </c>
      <c r="I3792" s="21" t="n">
        <v>0</v>
      </c>
      <c r="J3792" s="21" t="n">
        <v>0</v>
      </c>
      <c r="K3792" s="21" t="n">
        <v>0</v>
      </c>
      <c r="L3792" s="21" t="n">
        <v>0</v>
      </c>
      <c r="M3792" s="21" t="n">
        <v>0</v>
      </c>
      <c r="N3792" s="21" t="n">
        <v>0</v>
      </c>
      <c r="O3792" s="21" t="n">
        <v>0</v>
      </c>
      <c r="P3792" s="21" t="n">
        <v>0</v>
      </c>
      <c r="Q3792" s="21" t="n">
        <v>0</v>
      </c>
      <c r="R3792" s="21" t="n">
        <v>0</v>
      </c>
      <c r="S3792" s="21" t="n">
        <v>0</v>
      </c>
      <c r="T3792" s="21" t="n">
        <v>0</v>
      </c>
      <c r="U3792" s="21" t="n">
        <v>0</v>
      </c>
      <c r="V3792" s="21">
        <f>$B$3625</f>
        <v/>
      </c>
      <c r="W3792" s="21">
        <f>$B$3627</f>
        <v/>
      </c>
      <c r="X3792" s="21">
        <f>-$B$3625</f>
        <v/>
      </c>
      <c r="Y3792" s="21">
        <f>$B$3626</f>
        <v/>
      </c>
      <c r="Z3792" s="19" t="n"/>
    </row>
    <row r="3794">
      <c r="A3794" s="8" t="inlineStr">
        <is>
          <t>gen 4</t>
        </is>
      </c>
    </row>
    <row r="3795">
      <c r="D3795" s="19">
        <f>IF(ABS(IF(ABS($E$3759)&gt;0.000000001,$E$3759,0.000000001))=0,0,IF($E$3639&lt;=$B$3633,0,IF(ABS(IF(ABS($E$3759)&gt;0.000000001,$E$3759,0.000000001))&gt;=8*$B$3635,$H$3639,0.5*$H$3639*(ABS(IF(ABS($E$3759)&gt;0.000000001,$E$3759,0.000000001))/$B$3635)^(1/3)))/ABS(IF(ABS($E$3759)&gt;0.000000001,$E$3759,0.000000001))*$I$3639)</f>
        <v/>
      </c>
      <c r="E3795" s="19">
        <f>0.5*$E$3759+0.5*$Z$3807</f>
        <v/>
      </c>
      <c r="F3795" s="19">
        <f>$Z$3808</f>
        <v/>
      </c>
    </row>
    <row r="3796">
      <c r="D3796" s="19">
        <f>IF(ABS(IF(ABS($E$3760)&gt;0.000000001,$E$3760,0.000000001))=0,0,IF($E$3640&lt;=$B$3633,0,IF(ABS(IF(ABS($E$3760)&gt;0.000000001,$E$3760,0.000000001))&gt;=8*$B$3635,$H$3640,0.5*$H$3640*(ABS(IF(ABS($E$3760)&gt;0.000000001,$E$3760,0.000000001))/$B$3635)^(1/3)))/ABS(IF(ABS($E$3760)&gt;0.000000001,$E$3760,0.000000001))*$I$3640)</f>
        <v/>
      </c>
      <c r="E3796" s="19">
        <f>0.5*$E$3760+0.5*$Z$3809</f>
        <v/>
      </c>
      <c r="F3796" s="19">
        <f>$Z$3810</f>
        <v/>
      </c>
    </row>
    <row r="3797">
      <c r="D3797" s="19">
        <f>IF(ABS(IF(ABS($E$3761)&gt;0.000000001,$E$3761,0.000000001))=0,0,IF($E$3641&lt;=$B$3633,0,IF(ABS(IF(ABS($E$3761)&gt;0.000000001,$E$3761,0.000000001))&gt;=8*$B$3635,$H$3641,0.5*$H$3641*(ABS(IF(ABS($E$3761)&gt;0.000000001,$E$3761,0.000000001))/$B$3635)^(1/3)))/ABS(IF(ABS($E$3761)&gt;0.000000001,$E$3761,0.000000001))*$I$3641)</f>
        <v/>
      </c>
      <c r="E3797" s="19">
        <f>0.5*$E$3761+0.5*$Z$3811</f>
        <v/>
      </c>
      <c r="F3797" s="19">
        <f>$Z$3812</f>
        <v/>
      </c>
    </row>
    <row r="3798">
      <c r="D3798" s="19">
        <f>IF(ABS(IF(ABS($E$3762)&gt;0.000000001,$E$3762,0.000000001))=0,0,IF($E$3642&lt;=$B$3633,0,IF(ABS(IF(ABS($E$3762)&gt;0.000000001,$E$3762,0.000000001))&gt;=8*$B$3635,$H$3642,0.5*$H$3642*(ABS(IF(ABS($E$3762)&gt;0.000000001,$E$3762,0.000000001))/$B$3635)^(1/3)))/ABS(IF(ABS($E$3762)&gt;0.000000001,$E$3762,0.000000001))*$I$3642)</f>
        <v/>
      </c>
      <c r="E3798" s="19">
        <f>0.5*$E$3762+0.5*$Z$3813</f>
        <v/>
      </c>
      <c r="F3798" s="19">
        <f>$Z$3814</f>
        <v/>
      </c>
    </row>
    <row r="3799">
      <c r="D3799" s="19">
        <f>IF(ABS(IF(ABS($E$3763)&gt;0.000000001,$E$3763,0.000000001))=0,0,IF($E$3643&lt;=$B$3633,0,IF(ABS(IF(ABS($E$3763)&gt;0.000000001,$E$3763,0.000000001))&gt;=8*$B$3635,$H$3643,0.5*$H$3643*(ABS(IF(ABS($E$3763)&gt;0.000000001,$E$3763,0.000000001))/$B$3635)^(1/3)))/ABS(IF(ABS($E$3763)&gt;0.000000001,$E$3763,0.000000001))*$I$3643)</f>
        <v/>
      </c>
      <c r="E3799" s="19">
        <f>0.5*$E$3763+0.5*$Z$3815</f>
        <v/>
      </c>
      <c r="F3799" s="19">
        <f>$Z$3816</f>
        <v/>
      </c>
    </row>
    <row r="3800">
      <c r="D3800" s="19">
        <f>IF(ABS(IF(ABS($E$3764)&gt;0.000000001,$E$3764,0.000000001))=0,0,IF($E$3644&lt;=$B$3633,0,IF(ABS(IF(ABS($E$3764)&gt;0.000000001,$E$3764,0.000000001))&gt;=8*$B$3635,$H$3644,0.5*$H$3644*(ABS(IF(ABS($E$3764)&gt;0.000000001,$E$3764,0.000000001))/$B$3635)^(1/3)))/ABS(IF(ABS($E$3764)&gt;0.000000001,$E$3764,0.000000001))*$I$3644)</f>
        <v/>
      </c>
      <c r="E3800" s="19">
        <f>0.5*$E$3764+0.5*$Z$3817</f>
        <v/>
      </c>
      <c r="F3800" s="19">
        <f>$Z$3818</f>
        <v/>
      </c>
    </row>
    <row r="3801">
      <c r="D3801" s="19">
        <f>IF(ABS(IF(ABS($E$3765)&gt;0.000000001,$E$3765,0.000000001))=0,0,IF($E$3645&lt;=$B$3633,0,IF(ABS(IF(ABS($E$3765)&gt;0.000000001,$E$3765,0.000000001))&gt;=8*$B$3635,$H$3645,0.5*$H$3645*(ABS(IF(ABS($E$3765)&gt;0.000000001,$E$3765,0.000000001))/$B$3635)^(1/3)))/ABS(IF(ABS($E$3765)&gt;0.000000001,$E$3765,0.000000001))*$I$3645)</f>
        <v/>
      </c>
      <c r="E3801" s="19">
        <f>0.5*$E$3765+0.5*$Z$3819</f>
        <v/>
      </c>
      <c r="F3801" s="19">
        <f>$Z$3820</f>
        <v/>
      </c>
    </row>
    <row r="3802">
      <c r="D3802" s="19">
        <f>IF(ABS(IF(ABS($E$3766)&gt;0.000000001,$E$3766,0.000000001))=0,0,IF($E$3646&lt;=$B$3633,0,IF(ABS(IF(ABS($E$3766)&gt;0.000000001,$E$3766,0.000000001))&gt;=8*$B$3635,$H$3646,0.5*$H$3646*(ABS(IF(ABS($E$3766)&gt;0.000000001,$E$3766,0.000000001))/$B$3635)^(1/3)))/ABS(IF(ABS($E$3766)&gt;0.000000001,$E$3766,0.000000001))*$I$3646)</f>
        <v/>
      </c>
      <c r="E3802" s="19">
        <f>0.5*$E$3766+0.5*$Z$3821</f>
        <v/>
      </c>
      <c r="F3802" s="19">
        <f>$Z$3822</f>
        <v/>
      </c>
    </row>
    <row r="3803">
      <c r="D3803" s="19">
        <f>IF(ABS(IF(ABS($E$3767)&gt;0.000000001,$E$3767,0.000000001))=0,0,IF($E$3647&lt;=$B$3633,0,IF(ABS(IF(ABS($E$3767)&gt;0.000000001,$E$3767,0.000000001))&gt;=8*$B$3635,$H$3647,0.5*$H$3647*(ABS(IF(ABS($E$3767)&gt;0.000000001,$E$3767,0.000000001))/$B$3635)^(1/3)))/ABS(IF(ABS($E$3767)&gt;0.000000001,$E$3767,0.000000001))*$I$3647)</f>
        <v/>
      </c>
      <c r="E3803" s="19">
        <f>0.5*$E$3767+0.5*$Z$3823</f>
        <v/>
      </c>
      <c r="F3803" s="19">
        <f>$Z$3824</f>
        <v/>
      </c>
    </row>
    <row r="3804">
      <c r="D3804" s="19">
        <f>IF(ABS(IF(ABS($E$3768)&gt;0.000000001,$E$3768,0.000000001))=0,0,IF($E$3648&lt;=$B$3633,0,IF(ABS(IF(ABS($E$3768)&gt;0.000000001,$E$3768,0.000000001))&gt;=8*$B$3635,$H$3648,0.5*$H$3648*(ABS(IF(ABS($E$3768)&gt;0.000000001,$E$3768,0.000000001))/$B$3635)^(1/3)))/ABS(IF(ABS($E$3768)&gt;0.000000001,$E$3768,0.000000001))*$I$3648)</f>
        <v/>
      </c>
      <c r="E3804" s="19">
        <f>0.5*$E$3768+0.5*$Z$3825</f>
        <v/>
      </c>
      <c r="F3804" s="19">
        <f>$Z$3826</f>
        <v/>
      </c>
    </row>
    <row r="3805">
      <c r="D3805" s="19">
        <f>IF(ABS(IF(ABS($E$3769)&gt;0.000000001,$E$3769,0.000000001))=0,0,IF($E$3649&lt;=$B$3633,0,IF(ABS(IF(ABS($E$3769)&gt;0.000000001,$E$3769,0.000000001))&gt;=8*$B$3635,$H$3649,0.5*$H$3649*(ABS(IF(ABS($E$3769)&gt;0.000000001,$E$3769,0.000000001))/$B$3635)^(1/3)))/ABS(IF(ABS($E$3769)&gt;0.000000001,$E$3769,0.000000001))*$I$3649)</f>
        <v/>
      </c>
      <c r="E3805" s="19">
        <f>0.5*$E$3769+0.5*$Z$3827</f>
        <v/>
      </c>
      <c r="F3805" s="19">
        <f>$Z$3828</f>
        <v/>
      </c>
    </row>
    <row r="3807">
      <c r="D3807" s="21">
        <f>$B$3624+$D$3795</f>
        <v/>
      </c>
      <c r="E3807" s="21">
        <f>$B$3625</f>
        <v/>
      </c>
      <c r="F3807" s="21">
        <f>-$B$3624</f>
        <v/>
      </c>
      <c r="G3807" s="21">
        <f>$B$3625</f>
        <v/>
      </c>
      <c r="H3807" s="21" t="n">
        <v>0</v>
      </c>
      <c r="I3807" s="21" t="n">
        <v>0</v>
      </c>
      <c r="J3807" s="21" t="n">
        <v>0</v>
      </c>
      <c r="K3807" s="21" t="n">
        <v>0</v>
      </c>
      <c r="L3807" s="21" t="n">
        <v>0</v>
      </c>
      <c r="M3807" s="21" t="n">
        <v>0</v>
      </c>
      <c r="N3807" s="21" t="n">
        <v>0</v>
      </c>
      <c r="O3807" s="21" t="n">
        <v>0</v>
      </c>
      <c r="P3807" s="21" t="n">
        <v>0</v>
      </c>
      <c r="Q3807" s="21" t="n">
        <v>0</v>
      </c>
      <c r="R3807" s="21" t="n">
        <v>0</v>
      </c>
      <c r="S3807" s="21" t="n">
        <v>0</v>
      </c>
      <c r="T3807" s="21" t="n">
        <v>0</v>
      </c>
      <c r="U3807" s="21" t="n">
        <v>0</v>
      </c>
      <c r="V3807" s="21" t="n">
        <v>0</v>
      </c>
      <c r="W3807" s="21" t="n">
        <v>0</v>
      </c>
      <c r="X3807" s="21" t="n">
        <v>0</v>
      </c>
      <c r="Y3807" s="21" t="n">
        <v>0</v>
      </c>
      <c r="Z3807" s="19">
        <f t="array" ref="Z3807:Z3828">MMULT(MINVERSE($D$3807:$Y$3828),$D$3651:$D$3672)</f>
        <v/>
      </c>
    </row>
    <row r="3808">
      <c r="D3808" s="21">
        <f>$B$3625</f>
        <v/>
      </c>
      <c r="E3808" s="21">
        <f>$B$3626</f>
        <v/>
      </c>
      <c r="F3808" s="21">
        <f>-$B$3625</f>
        <v/>
      </c>
      <c r="G3808" s="21">
        <f>$B$3627</f>
        <v/>
      </c>
      <c r="H3808" s="21" t="n">
        <v>0</v>
      </c>
      <c r="I3808" s="21" t="n">
        <v>0</v>
      </c>
      <c r="J3808" s="21" t="n">
        <v>0</v>
      </c>
      <c r="K3808" s="21" t="n">
        <v>0</v>
      </c>
      <c r="L3808" s="21" t="n">
        <v>0</v>
      </c>
      <c r="M3808" s="21" t="n">
        <v>0</v>
      </c>
      <c r="N3808" s="21" t="n">
        <v>0</v>
      </c>
      <c r="O3808" s="21" t="n">
        <v>0</v>
      </c>
      <c r="P3808" s="21" t="n">
        <v>0</v>
      </c>
      <c r="Q3808" s="21" t="n">
        <v>0</v>
      </c>
      <c r="R3808" s="21" t="n">
        <v>0</v>
      </c>
      <c r="S3808" s="21" t="n">
        <v>0</v>
      </c>
      <c r="T3808" s="21" t="n">
        <v>0</v>
      </c>
      <c r="U3808" s="21" t="n">
        <v>0</v>
      </c>
      <c r="V3808" s="21" t="n">
        <v>0</v>
      </c>
      <c r="W3808" s="21" t="n">
        <v>0</v>
      </c>
      <c r="X3808" s="21" t="n">
        <v>0</v>
      </c>
      <c r="Y3808" s="21" t="n">
        <v>0</v>
      </c>
      <c r="Z3808" s="19" t="n"/>
    </row>
    <row r="3809">
      <c r="D3809" s="21">
        <f>-$B$3624</f>
        <v/>
      </c>
      <c r="E3809" s="21">
        <f>-$B$3625</f>
        <v/>
      </c>
      <c r="F3809" s="21">
        <f>2*$B$3624+$D$3796</f>
        <v/>
      </c>
      <c r="G3809" s="21">
        <f>0</f>
        <v/>
      </c>
      <c r="H3809" s="21">
        <f>-$B$3624</f>
        <v/>
      </c>
      <c r="I3809" s="21">
        <f>$B$3625</f>
        <v/>
      </c>
      <c r="J3809" s="21" t="n">
        <v>0</v>
      </c>
      <c r="K3809" s="21" t="n">
        <v>0</v>
      </c>
      <c r="L3809" s="21" t="n">
        <v>0</v>
      </c>
      <c r="M3809" s="21" t="n">
        <v>0</v>
      </c>
      <c r="N3809" s="21" t="n">
        <v>0</v>
      </c>
      <c r="O3809" s="21" t="n">
        <v>0</v>
      </c>
      <c r="P3809" s="21" t="n">
        <v>0</v>
      </c>
      <c r="Q3809" s="21" t="n">
        <v>0</v>
      </c>
      <c r="R3809" s="21" t="n">
        <v>0</v>
      </c>
      <c r="S3809" s="21" t="n">
        <v>0</v>
      </c>
      <c r="T3809" s="21" t="n">
        <v>0</v>
      </c>
      <c r="U3809" s="21" t="n">
        <v>0</v>
      </c>
      <c r="V3809" s="21" t="n">
        <v>0</v>
      </c>
      <c r="W3809" s="21" t="n">
        <v>0</v>
      </c>
      <c r="X3809" s="21" t="n">
        <v>0</v>
      </c>
      <c r="Y3809" s="21" t="n">
        <v>0</v>
      </c>
      <c r="Z3809" s="19" t="n"/>
    </row>
    <row r="3810">
      <c r="D3810" s="21">
        <f>$B$3625</f>
        <v/>
      </c>
      <c r="E3810" s="21">
        <f>$B$3627</f>
        <v/>
      </c>
      <c r="F3810" s="21">
        <f>0</f>
        <v/>
      </c>
      <c r="G3810" s="21">
        <f>2*$B$3626</f>
        <v/>
      </c>
      <c r="H3810" s="21">
        <f>-$B$3625</f>
        <v/>
      </c>
      <c r="I3810" s="21">
        <f>$B$3627</f>
        <v/>
      </c>
      <c r="J3810" s="21" t="n">
        <v>0</v>
      </c>
      <c r="K3810" s="21" t="n">
        <v>0</v>
      </c>
      <c r="L3810" s="21" t="n">
        <v>0</v>
      </c>
      <c r="M3810" s="21" t="n">
        <v>0</v>
      </c>
      <c r="N3810" s="21" t="n">
        <v>0</v>
      </c>
      <c r="O3810" s="21" t="n">
        <v>0</v>
      </c>
      <c r="P3810" s="21" t="n">
        <v>0</v>
      </c>
      <c r="Q3810" s="21" t="n">
        <v>0</v>
      </c>
      <c r="R3810" s="21" t="n">
        <v>0</v>
      </c>
      <c r="S3810" s="21" t="n">
        <v>0</v>
      </c>
      <c r="T3810" s="21" t="n">
        <v>0</v>
      </c>
      <c r="U3810" s="21" t="n">
        <v>0</v>
      </c>
      <c r="V3810" s="21" t="n">
        <v>0</v>
      </c>
      <c r="W3810" s="21" t="n">
        <v>0</v>
      </c>
      <c r="X3810" s="21" t="n">
        <v>0</v>
      </c>
      <c r="Y3810" s="21" t="n">
        <v>0</v>
      </c>
      <c r="Z3810" s="19" t="n"/>
    </row>
    <row r="3811">
      <c r="D3811" s="21" t="n">
        <v>0</v>
      </c>
      <c r="E3811" s="21" t="n">
        <v>0</v>
      </c>
      <c r="F3811" s="21">
        <f>-$B$3624</f>
        <v/>
      </c>
      <c r="G3811" s="21">
        <f>-$B$3625</f>
        <v/>
      </c>
      <c r="H3811" s="21">
        <f>2*$B$3624+$D$3797</f>
        <v/>
      </c>
      <c r="I3811" s="21">
        <f>0</f>
        <v/>
      </c>
      <c r="J3811" s="21">
        <f>-$B$3624</f>
        <v/>
      </c>
      <c r="K3811" s="21">
        <f>$B$3625</f>
        <v/>
      </c>
      <c r="L3811" s="21" t="n">
        <v>0</v>
      </c>
      <c r="M3811" s="21" t="n">
        <v>0</v>
      </c>
      <c r="N3811" s="21" t="n">
        <v>0</v>
      </c>
      <c r="O3811" s="21" t="n">
        <v>0</v>
      </c>
      <c r="P3811" s="21" t="n">
        <v>0</v>
      </c>
      <c r="Q3811" s="21" t="n">
        <v>0</v>
      </c>
      <c r="R3811" s="21" t="n">
        <v>0</v>
      </c>
      <c r="S3811" s="21" t="n">
        <v>0</v>
      </c>
      <c r="T3811" s="21" t="n">
        <v>0</v>
      </c>
      <c r="U3811" s="21" t="n">
        <v>0</v>
      </c>
      <c r="V3811" s="21" t="n">
        <v>0</v>
      </c>
      <c r="W3811" s="21" t="n">
        <v>0</v>
      </c>
      <c r="X3811" s="21" t="n">
        <v>0</v>
      </c>
      <c r="Y3811" s="21" t="n">
        <v>0</v>
      </c>
      <c r="Z3811" s="19" t="n"/>
    </row>
    <row r="3812">
      <c r="D3812" s="21" t="n">
        <v>0</v>
      </c>
      <c r="E3812" s="21" t="n">
        <v>0</v>
      </c>
      <c r="F3812" s="21">
        <f>$B$3625</f>
        <v/>
      </c>
      <c r="G3812" s="21">
        <f>$B$3627</f>
        <v/>
      </c>
      <c r="H3812" s="21">
        <f>0</f>
        <v/>
      </c>
      <c r="I3812" s="21">
        <f>2*$B$3626</f>
        <v/>
      </c>
      <c r="J3812" s="21">
        <f>-$B$3625</f>
        <v/>
      </c>
      <c r="K3812" s="21">
        <f>$B$3627</f>
        <v/>
      </c>
      <c r="L3812" s="21" t="n">
        <v>0</v>
      </c>
      <c r="M3812" s="21" t="n">
        <v>0</v>
      </c>
      <c r="N3812" s="21" t="n">
        <v>0</v>
      </c>
      <c r="O3812" s="21" t="n">
        <v>0</v>
      </c>
      <c r="P3812" s="21" t="n">
        <v>0</v>
      </c>
      <c r="Q3812" s="21" t="n">
        <v>0</v>
      </c>
      <c r="R3812" s="21" t="n">
        <v>0</v>
      </c>
      <c r="S3812" s="21" t="n">
        <v>0</v>
      </c>
      <c r="T3812" s="21" t="n">
        <v>0</v>
      </c>
      <c r="U3812" s="21" t="n">
        <v>0</v>
      </c>
      <c r="V3812" s="21" t="n">
        <v>0</v>
      </c>
      <c r="W3812" s="21" t="n">
        <v>0</v>
      </c>
      <c r="X3812" s="21" t="n">
        <v>0</v>
      </c>
      <c r="Y3812" s="21" t="n">
        <v>0</v>
      </c>
      <c r="Z3812" s="19" t="n"/>
    </row>
    <row r="3813">
      <c r="D3813" s="21" t="n">
        <v>0</v>
      </c>
      <c r="E3813" s="21" t="n">
        <v>0</v>
      </c>
      <c r="F3813" s="21" t="n">
        <v>0</v>
      </c>
      <c r="G3813" s="21" t="n">
        <v>0</v>
      </c>
      <c r="H3813" s="21">
        <f>-$B$3624</f>
        <v/>
      </c>
      <c r="I3813" s="21">
        <f>-$B$3625</f>
        <v/>
      </c>
      <c r="J3813" s="21">
        <f>2*$B$3624+$D$3798</f>
        <v/>
      </c>
      <c r="K3813" s="21">
        <f>0</f>
        <v/>
      </c>
      <c r="L3813" s="21">
        <f>-$B$3624</f>
        <v/>
      </c>
      <c r="M3813" s="21">
        <f>$B$3625</f>
        <v/>
      </c>
      <c r="N3813" s="21" t="n">
        <v>0</v>
      </c>
      <c r="O3813" s="21" t="n">
        <v>0</v>
      </c>
      <c r="P3813" s="21" t="n">
        <v>0</v>
      </c>
      <c r="Q3813" s="21" t="n">
        <v>0</v>
      </c>
      <c r="R3813" s="21" t="n">
        <v>0</v>
      </c>
      <c r="S3813" s="21" t="n">
        <v>0</v>
      </c>
      <c r="T3813" s="21" t="n">
        <v>0</v>
      </c>
      <c r="U3813" s="21" t="n">
        <v>0</v>
      </c>
      <c r="V3813" s="21" t="n">
        <v>0</v>
      </c>
      <c r="W3813" s="21" t="n">
        <v>0</v>
      </c>
      <c r="X3813" s="21" t="n">
        <v>0</v>
      </c>
      <c r="Y3813" s="21" t="n">
        <v>0</v>
      </c>
      <c r="Z3813" s="19" t="n"/>
    </row>
    <row r="3814">
      <c r="D3814" s="21" t="n">
        <v>0</v>
      </c>
      <c r="E3814" s="21" t="n">
        <v>0</v>
      </c>
      <c r="F3814" s="21" t="n">
        <v>0</v>
      </c>
      <c r="G3814" s="21" t="n">
        <v>0</v>
      </c>
      <c r="H3814" s="21">
        <f>$B$3625</f>
        <v/>
      </c>
      <c r="I3814" s="21">
        <f>$B$3627</f>
        <v/>
      </c>
      <c r="J3814" s="21">
        <f>0</f>
        <v/>
      </c>
      <c r="K3814" s="21">
        <f>2*$B$3626</f>
        <v/>
      </c>
      <c r="L3814" s="21">
        <f>-$B$3625</f>
        <v/>
      </c>
      <c r="M3814" s="21">
        <f>$B$3627</f>
        <v/>
      </c>
      <c r="N3814" s="21" t="n">
        <v>0</v>
      </c>
      <c r="O3814" s="21" t="n">
        <v>0</v>
      </c>
      <c r="P3814" s="21" t="n">
        <v>0</v>
      </c>
      <c r="Q3814" s="21" t="n">
        <v>0</v>
      </c>
      <c r="R3814" s="21" t="n">
        <v>0</v>
      </c>
      <c r="S3814" s="21" t="n">
        <v>0</v>
      </c>
      <c r="T3814" s="21" t="n">
        <v>0</v>
      </c>
      <c r="U3814" s="21" t="n">
        <v>0</v>
      </c>
      <c r="V3814" s="21" t="n">
        <v>0</v>
      </c>
      <c r="W3814" s="21" t="n">
        <v>0</v>
      </c>
      <c r="X3814" s="21" t="n">
        <v>0</v>
      </c>
      <c r="Y3814" s="21" t="n">
        <v>0</v>
      </c>
      <c r="Z3814" s="19" t="n"/>
    </row>
    <row r="3815">
      <c r="D3815" s="21" t="n">
        <v>0</v>
      </c>
      <c r="E3815" s="21" t="n">
        <v>0</v>
      </c>
      <c r="F3815" s="21" t="n">
        <v>0</v>
      </c>
      <c r="G3815" s="21" t="n">
        <v>0</v>
      </c>
      <c r="H3815" s="21" t="n">
        <v>0</v>
      </c>
      <c r="I3815" s="21" t="n">
        <v>0</v>
      </c>
      <c r="J3815" s="21">
        <f>-$B$3624</f>
        <v/>
      </c>
      <c r="K3815" s="21">
        <f>-$B$3625</f>
        <v/>
      </c>
      <c r="L3815" s="21">
        <f>2*$B$3624+$D$3799</f>
        <v/>
      </c>
      <c r="M3815" s="21">
        <f>0</f>
        <v/>
      </c>
      <c r="N3815" s="21">
        <f>-$B$3624</f>
        <v/>
      </c>
      <c r="O3815" s="21">
        <f>$B$3625</f>
        <v/>
      </c>
      <c r="P3815" s="21" t="n">
        <v>0</v>
      </c>
      <c r="Q3815" s="21" t="n">
        <v>0</v>
      </c>
      <c r="R3815" s="21" t="n">
        <v>0</v>
      </c>
      <c r="S3815" s="21" t="n">
        <v>0</v>
      </c>
      <c r="T3815" s="21" t="n">
        <v>0</v>
      </c>
      <c r="U3815" s="21" t="n">
        <v>0</v>
      </c>
      <c r="V3815" s="21" t="n">
        <v>0</v>
      </c>
      <c r="W3815" s="21" t="n">
        <v>0</v>
      </c>
      <c r="X3815" s="21" t="n">
        <v>0</v>
      </c>
      <c r="Y3815" s="21" t="n">
        <v>0</v>
      </c>
      <c r="Z3815" s="19" t="n"/>
    </row>
    <row r="3816">
      <c r="D3816" s="21" t="n">
        <v>0</v>
      </c>
      <c r="E3816" s="21" t="n">
        <v>0</v>
      </c>
      <c r="F3816" s="21" t="n">
        <v>0</v>
      </c>
      <c r="G3816" s="21" t="n">
        <v>0</v>
      </c>
      <c r="H3816" s="21" t="n">
        <v>0</v>
      </c>
      <c r="I3816" s="21" t="n">
        <v>0</v>
      </c>
      <c r="J3816" s="21">
        <f>$B$3625</f>
        <v/>
      </c>
      <c r="K3816" s="21">
        <f>$B$3627</f>
        <v/>
      </c>
      <c r="L3816" s="21">
        <f>0</f>
        <v/>
      </c>
      <c r="M3816" s="21">
        <f>2*$B$3626</f>
        <v/>
      </c>
      <c r="N3816" s="21">
        <f>-$B$3625</f>
        <v/>
      </c>
      <c r="O3816" s="21">
        <f>$B$3627</f>
        <v/>
      </c>
      <c r="P3816" s="21" t="n">
        <v>0</v>
      </c>
      <c r="Q3816" s="21" t="n">
        <v>0</v>
      </c>
      <c r="R3816" s="21" t="n">
        <v>0</v>
      </c>
      <c r="S3816" s="21" t="n">
        <v>0</v>
      </c>
      <c r="T3816" s="21" t="n">
        <v>0</v>
      </c>
      <c r="U3816" s="21" t="n">
        <v>0</v>
      </c>
      <c r="V3816" s="21" t="n">
        <v>0</v>
      </c>
      <c r="W3816" s="21" t="n">
        <v>0</v>
      </c>
      <c r="X3816" s="21" t="n">
        <v>0</v>
      </c>
      <c r="Y3816" s="21" t="n">
        <v>0</v>
      </c>
      <c r="Z3816" s="19" t="n"/>
    </row>
    <row r="3817">
      <c r="D3817" s="21" t="n">
        <v>0</v>
      </c>
      <c r="E3817" s="21" t="n">
        <v>0</v>
      </c>
      <c r="F3817" s="21" t="n">
        <v>0</v>
      </c>
      <c r="G3817" s="21" t="n">
        <v>0</v>
      </c>
      <c r="H3817" s="21" t="n">
        <v>0</v>
      </c>
      <c r="I3817" s="21" t="n">
        <v>0</v>
      </c>
      <c r="J3817" s="21" t="n">
        <v>0</v>
      </c>
      <c r="K3817" s="21" t="n">
        <v>0</v>
      </c>
      <c r="L3817" s="21">
        <f>-$B$3624</f>
        <v/>
      </c>
      <c r="M3817" s="21">
        <f>-$B$3625</f>
        <v/>
      </c>
      <c r="N3817" s="21">
        <f>2*$B$3624+$D$3800</f>
        <v/>
      </c>
      <c r="O3817" s="21">
        <f>0</f>
        <v/>
      </c>
      <c r="P3817" s="21">
        <f>-$B$3624</f>
        <v/>
      </c>
      <c r="Q3817" s="21">
        <f>$B$3625</f>
        <v/>
      </c>
      <c r="R3817" s="21" t="n">
        <v>0</v>
      </c>
      <c r="S3817" s="21" t="n">
        <v>0</v>
      </c>
      <c r="T3817" s="21" t="n">
        <v>0</v>
      </c>
      <c r="U3817" s="21" t="n">
        <v>0</v>
      </c>
      <c r="V3817" s="21" t="n">
        <v>0</v>
      </c>
      <c r="W3817" s="21" t="n">
        <v>0</v>
      </c>
      <c r="X3817" s="21" t="n">
        <v>0</v>
      </c>
      <c r="Y3817" s="21" t="n">
        <v>0</v>
      </c>
      <c r="Z3817" s="19" t="n"/>
    </row>
    <row r="3818">
      <c r="D3818" s="21" t="n">
        <v>0</v>
      </c>
      <c r="E3818" s="21" t="n">
        <v>0</v>
      </c>
      <c r="F3818" s="21" t="n">
        <v>0</v>
      </c>
      <c r="G3818" s="21" t="n">
        <v>0</v>
      </c>
      <c r="H3818" s="21" t="n">
        <v>0</v>
      </c>
      <c r="I3818" s="21" t="n">
        <v>0</v>
      </c>
      <c r="J3818" s="21" t="n">
        <v>0</v>
      </c>
      <c r="K3818" s="21" t="n">
        <v>0</v>
      </c>
      <c r="L3818" s="21">
        <f>$B$3625</f>
        <v/>
      </c>
      <c r="M3818" s="21">
        <f>$B$3627</f>
        <v/>
      </c>
      <c r="N3818" s="21">
        <f>0</f>
        <v/>
      </c>
      <c r="O3818" s="21">
        <f>2*$B$3626</f>
        <v/>
      </c>
      <c r="P3818" s="21">
        <f>-$B$3625</f>
        <v/>
      </c>
      <c r="Q3818" s="21">
        <f>$B$3627</f>
        <v/>
      </c>
      <c r="R3818" s="21" t="n">
        <v>0</v>
      </c>
      <c r="S3818" s="21" t="n">
        <v>0</v>
      </c>
      <c r="T3818" s="21" t="n">
        <v>0</v>
      </c>
      <c r="U3818" s="21" t="n">
        <v>0</v>
      </c>
      <c r="V3818" s="21" t="n">
        <v>0</v>
      </c>
      <c r="W3818" s="21" t="n">
        <v>0</v>
      </c>
      <c r="X3818" s="21" t="n">
        <v>0</v>
      </c>
      <c r="Y3818" s="21" t="n">
        <v>0</v>
      </c>
      <c r="Z3818" s="19" t="n"/>
    </row>
    <row r="3819">
      <c r="D3819" s="21" t="n">
        <v>0</v>
      </c>
      <c r="E3819" s="21" t="n">
        <v>0</v>
      </c>
      <c r="F3819" s="21" t="n">
        <v>0</v>
      </c>
      <c r="G3819" s="21" t="n">
        <v>0</v>
      </c>
      <c r="H3819" s="21" t="n">
        <v>0</v>
      </c>
      <c r="I3819" s="21" t="n">
        <v>0</v>
      </c>
      <c r="J3819" s="21" t="n">
        <v>0</v>
      </c>
      <c r="K3819" s="21" t="n">
        <v>0</v>
      </c>
      <c r="L3819" s="21" t="n">
        <v>0</v>
      </c>
      <c r="M3819" s="21" t="n">
        <v>0</v>
      </c>
      <c r="N3819" s="21">
        <f>-$B$3624</f>
        <v/>
      </c>
      <c r="O3819" s="21">
        <f>-$B$3625</f>
        <v/>
      </c>
      <c r="P3819" s="21">
        <f>2*$B$3624+$D$3801</f>
        <v/>
      </c>
      <c r="Q3819" s="21">
        <f>0</f>
        <v/>
      </c>
      <c r="R3819" s="21">
        <f>-$B$3624</f>
        <v/>
      </c>
      <c r="S3819" s="21">
        <f>$B$3625</f>
        <v/>
      </c>
      <c r="T3819" s="21" t="n">
        <v>0</v>
      </c>
      <c r="U3819" s="21" t="n">
        <v>0</v>
      </c>
      <c r="V3819" s="21" t="n">
        <v>0</v>
      </c>
      <c r="W3819" s="21" t="n">
        <v>0</v>
      </c>
      <c r="X3819" s="21" t="n">
        <v>0</v>
      </c>
      <c r="Y3819" s="21" t="n">
        <v>0</v>
      </c>
      <c r="Z3819" s="19" t="n"/>
    </row>
    <row r="3820">
      <c r="D3820" s="21" t="n">
        <v>0</v>
      </c>
      <c r="E3820" s="21" t="n">
        <v>0</v>
      </c>
      <c r="F3820" s="21" t="n">
        <v>0</v>
      </c>
      <c r="G3820" s="21" t="n">
        <v>0</v>
      </c>
      <c r="H3820" s="21" t="n">
        <v>0</v>
      </c>
      <c r="I3820" s="21" t="n">
        <v>0</v>
      </c>
      <c r="J3820" s="21" t="n">
        <v>0</v>
      </c>
      <c r="K3820" s="21" t="n">
        <v>0</v>
      </c>
      <c r="L3820" s="21" t="n">
        <v>0</v>
      </c>
      <c r="M3820" s="21" t="n">
        <v>0</v>
      </c>
      <c r="N3820" s="21">
        <f>$B$3625</f>
        <v/>
      </c>
      <c r="O3820" s="21">
        <f>$B$3627</f>
        <v/>
      </c>
      <c r="P3820" s="21">
        <f>0</f>
        <v/>
      </c>
      <c r="Q3820" s="21">
        <f>2*$B$3626</f>
        <v/>
      </c>
      <c r="R3820" s="21">
        <f>-$B$3625</f>
        <v/>
      </c>
      <c r="S3820" s="21">
        <f>$B$3627</f>
        <v/>
      </c>
      <c r="T3820" s="21" t="n">
        <v>0</v>
      </c>
      <c r="U3820" s="21" t="n">
        <v>0</v>
      </c>
      <c r="V3820" s="21" t="n">
        <v>0</v>
      </c>
      <c r="W3820" s="21" t="n">
        <v>0</v>
      </c>
      <c r="X3820" s="21" t="n">
        <v>0</v>
      </c>
      <c r="Y3820" s="21" t="n">
        <v>0</v>
      </c>
      <c r="Z3820" s="19" t="n"/>
    </row>
    <row r="3821">
      <c r="D3821" s="21" t="n">
        <v>0</v>
      </c>
      <c r="E3821" s="21" t="n">
        <v>0</v>
      </c>
      <c r="F3821" s="21" t="n">
        <v>0</v>
      </c>
      <c r="G3821" s="21" t="n">
        <v>0</v>
      </c>
      <c r="H3821" s="21" t="n">
        <v>0</v>
      </c>
      <c r="I3821" s="21" t="n">
        <v>0</v>
      </c>
      <c r="J3821" s="21" t="n">
        <v>0</v>
      </c>
      <c r="K3821" s="21" t="n">
        <v>0</v>
      </c>
      <c r="L3821" s="21" t="n">
        <v>0</v>
      </c>
      <c r="M3821" s="21" t="n">
        <v>0</v>
      </c>
      <c r="N3821" s="21" t="n">
        <v>0</v>
      </c>
      <c r="O3821" s="21" t="n">
        <v>0</v>
      </c>
      <c r="P3821" s="21">
        <f>-$B$3624</f>
        <v/>
      </c>
      <c r="Q3821" s="21">
        <f>-$B$3625</f>
        <v/>
      </c>
      <c r="R3821" s="21">
        <f>2*$B$3624+$D$3802</f>
        <v/>
      </c>
      <c r="S3821" s="21">
        <f>0</f>
        <v/>
      </c>
      <c r="T3821" s="21">
        <f>-$B$3624</f>
        <v/>
      </c>
      <c r="U3821" s="21">
        <f>$B$3625</f>
        <v/>
      </c>
      <c r="V3821" s="21" t="n">
        <v>0</v>
      </c>
      <c r="W3821" s="21" t="n">
        <v>0</v>
      </c>
      <c r="X3821" s="21" t="n">
        <v>0</v>
      </c>
      <c r="Y3821" s="21" t="n">
        <v>0</v>
      </c>
      <c r="Z3821" s="19" t="n"/>
    </row>
    <row r="3822">
      <c r="D3822" s="21" t="n">
        <v>0</v>
      </c>
      <c r="E3822" s="21" t="n">
        <v>0</v>
      </c>
      <c r="F3822" s="21" t="n">
        <v>0</v>
      </c>
      <c r="G3822" s="21" t="n">
        <v>0</v>
      </c>
      <c r="H3822" s="21" t="n">
        <v>0</v>
      </c>
      <c r="I3822" s="21" t="n">
        <v>0</v>
      </c>
      <c r="J3822" s="21" t="n">
        <v>0</v>
      </c>
      <c r="K3822" s="21" t="n">
        <v>0</v>
      </c>
      <c r="L3822" s="21" t="n">
        <v>0</v>
      </c>
      <c r="M3822" s="21" t="n">
        <v>0</v>
      </c>
      <c r="N3822" s="21" t="n">
        <v>0</v>
      </c>
      <c r="O3822" s="21" t="n">
        <v>0</v>
      </c>
      <c r="P3822" s="21">
        <f>$B$3625</f>
        <v/>
      </c>
      <c r="Q3822" s="21">
        <f>$B$3627</f>
        <v/>
      </c>
      <c r="R3822" s="21">
        <f>0</f>
        <v/>
      </c>
      <c r="S3822" s="21">
        <f>2*$B$3626</f>
        <v/>
      </c>
      <c r="T3822" s="21">
        <f>-$B$3625</f>
        <v/>
      </c>
      <c r="U3822" s="21">
        <f>$B$3627</f>
        <v/>
      </c>
      <c r="V3822" s="21" t="n">
        <v>0</v>
      </c>
      <c r="W3822" s="21" t="n">
        <v>0</v>
      </c>
      <c r="X3822" s="21" t="n">
        <v>0</v>
      </c>
      <c r="Y3822" s="21" t="n">
        <v>0</v>
      </c>
      <c r="Z3822" s="19" t="n"/>
    </row>
    <row r="3823">
      <c r="D3823" s="21" t="n">
        <v>0</v>
      </c>
      <c r="E3823" s="21" t="n">
        <v>0</v>
      </c>
      <c r="F3823" s="21" t="n">
        <v>0</v>
      </c>
      <c r="G3823" s="21" t="n">
        <v>0</v>
      </c>
      <c r="H3823" s="21" t="n">
        <v>0</v>
      </c>
      <c r="I3823" s="21" t="n">
        <v>0</v>
      </c>
      <c r="J3823" s="21" t="n">
        <v>0</v>
      </c>
      <c r="K3823" s="21" t="n">
        <v>0</v>
      </c>
      <c r="L3823" s="21" t="n">
        <v>0</v>
      </c>
      <c r="M3823" s="21" t="n">
        <v>0</v>
      </c>
      <c r="N3823" s="21" t="n">
        <v>0</v>
      </c>
      <c r="O3823" s="21" t="n">
        <v>0</v>
      </c>
      <c r="P3823" s="21" t="n">
        <v>0</v>
      </c>
      <c r="Q3823" s="21" t="n">
        <v>0</v>
      </c>
      <c r="R3823" s="21">
        <f>-$B$3624</f>
        <v/>
      </c>
      <c r="S3823" s="21">
        <f>-$B$3625</f>
        <v/>
      </c>
      <c r="T3823" s="21">
        <f>2*$B$3624+$D$3803</f>
        <v/>
      </c>
      <c r="U3823" s="21">
        <f>0</f>
        <v/>
      </c>
      <c r="V3823" s="21">
        <f>-$B$3624</f>
        <v/>
      </c>
      <c r="W3823" s="21">
        <f>$B$3625</f>
        <v/>
      </c>
      <c r="X3823" s="21" t="n">
        <v>0</v>
      </c>
      <c r="Y3823" s="21" t="n">
        <v>0</v>
      </c>
      <c r="Z3823" s="19" t="n"/>
    </row>
    <row r="3824">
      <c r="D3824" s="21" t="n">
        <v>0</v>
      </c>
      <c r="E3824" s="21" t="n">
        <v>0</v>
      </c>
      <c r="F3824" s="21" t="n">
        <v>0</v>
      </c>
      <c r="G3824" s="21" t="n">
        <v>0</v>
      </c>
      <c r="H3824" s="21" t="n">
        <v>0</v>
      </c>
      <c r="I3824" s="21" t="n">
        <v>0</v>
      </c>
      <c r="J3824" s="21" t="n">
        <v>0</v>
      </c>
      <c r="K3824" s="21" t="n">
        <v>0</v>
      </c>
      <c r="L3824" s="21" t="n">
        <v>0</v>
      </c>
      <c r="M3824" s="21" t="n">
        <v>0</v>
      </c>
      <c r="N3824" s="21" t="n">
        <v>0</v>
      </c>
      <c r="O3824" s="21" t="n">
        <v>0</v>
      </c>
      <c r="P3824" s="21" t="n">
        <v>0</v>
      </c>
      <c r="Q3824" s="21" t="n">
        <v>0</v>
      </c>
      <c r="R3824" s="21">
        <f>$B$3625</f>
        <v/>
      </c>
      <c r="S3824" s="21">
        <f>$B$3627</f>
        <v/>
      </c>
      <c r="T3824" s="21">
        <f>0</f>
        <v/>
      </c>
      <c r="U3824" s="21">
        <f>2*$B$3626</f>
        <v/>
      </c>
      <c r="V3824" s="21">
        <f>-$B$3625</f>
        <v/>
      </c>
      <c r="W3824" s="21">
        <f>$B$3627</f>
        <v/>
      </c>
      <c r="X3824" s="21" t="n">
        <v>0</v>
      </c>
      <c r="Y3824" s="21" t="n">
        <v>0</v>
      </c>
      <c r="Z3824" s="19" t="n"/>
    </row>
    <row r="3825">
      <c r="D3825" s="21" t="n">
        <v>0</v>
      </c>
      <c r="E3825" s="21" t="n">
        <v>0</v>
      </c>
      <c r="F3825" s="21" t="n">
        <v>0</v>
      </c>
      <c r="G3825" s="21" t="n">
        <v>0</v>
      </c>
      <c r="H3825" s="21" t="n">
        <v>0</v>
      </c>
      <c r="I3825" s="21" t="n">
        <v>0</v>
      </c>
      <c r="J3825" s="21" t="n">
        <v>0</v>
      </c>
      <c r="K3825" s="21" t="n">
        <v>0</v>
      </c>
      <c r="L3825" s="21" t="n">
        <v>0</v>
      </c>
      <c r="M3825" s="21" t="n">
        <v>0</v>
      </c>
      <c r="N3825" s="21" t="n">
        <v>0</v>
      </c>
      <c r="O3825" s="21" t="n">
        <v>0</v>
      </c>
      <c r="P3825" s="21" t="n">
        <v>0</v>
      </c>
      <c r="Q3825" s="21" t="n">
        <v>0</v>
      </c>
      <c r="R3825" s="21" t="n">
        <v>0</v>
      </c>
      <c r="S3825" s="21" t="n">
        <v>0</v>
      </c>
      <c r="T3825" s="21">
        <f>-$B$3624</f>
        <v/>
      </c>
      <c r="U3825" s="21">
        <f>-$B$3625</f>
        <v/>
      </c>
      <c r="V3825" s="21">
        <f>2*$B$3624+$D$3804</f>
        <v/>
      </c>
      <c r="W3825" s="21">
        <f>0</f>
        <v/>
      </c>
      <c r="X3825" s="21">
        <f>-$B$3624</f>
        <v/>
      </c>
      <c r="Y3825" s="21">
        <f>$B$3625</f>
        <v/>
      </c>
      <c r="Z3825" s="19" t="n"/>
    </row>
    <row r="3826">
      <c r="D3826" s="21" t="n">
        <v>0</v>
      </c>
      <c r="E3826" s="21" t="n">
        <v>0</v>
      </c>
      <c r="F3826" s="21" t="n">
        <v>0</v>
      </c>
      <c r="G3826" s="21" t="n">
        <v>0</v>
      </c>
      <c r="H3826" s="21" t="n">
        <v>0</v>
      </c>
      <c r="I3826" s="21" t="n">
        <v>0</v>
      </c>
      <c r="J3826" s="21" t="n">
        <v>0</v>
      </c>
      <c r="K3826" s="21" t="n">
        <v>0</v>
      </c>
      <c r="L3826" s="21" t="n">
        <v>0</v>
      </c>
      <c r="M3826" s="21" t="n">
        <v>0</v>
      </c>
      <c r="N3826" s="21" t="n">
        <v>0</v>
      </c>
      <c r="O3826" s="21" t="n">
        <v>0</v>
      </c>
      <c r="P3826" s="21" t="n">
        <v>0</v>
      </c>
      <c r="Q3826" s="21" t="n">
        <v>0</v>
      </c>
      <c r="R3826" s="21" t="n">
        <v>0</v>
      </c>
      <c r="S3826" s="21" t="n">
        <v>0</v>
      </c>
      <c r="T3826" s="21">
        <f>$B$3625</f>
        <v/>
      </c>
      <c r="U3826" s="21">
        <f>$B$3627</f>
        <v/>
      </c>
      <c r="V3826" s="21">
        <f>0</f>
        <v/>
      </c>
      <c r="W3826" s="21">
        <f>2*$B$3626</f>
        <v/>
      </c>
      <c r="X3826" s="21">
        <f>-$B$3625</f>
        <v/>
      </c>
      <c r="Y3826" s="21">
        <f>$B$3627</f>
        <v/>
      </c>
      <c r="Z3826" s="19" t="n"/>
    </row>
    <row r="3827">
      <c r="D3827" s="21" t="n">
        <v>0</v>
      </c>
      <c r="E3827" s="21" t="n">
        <v>0</v>
      </c>
      <c r="F3827" s="21" t="n">
        <v>0</v>
      </c>
      <c r="G3827" s="21" t="n">
        <v>0</v>
      </c>
      <c r="H3827" s="21" t="n">
        <v>0</v>
      </c>
      <c r="I3827" s="21" t="n">
        <v>0</v>
      </c>
      <c r="J3827" s="21" t="n">
        <v>0</v>
      </c>
      <c r="K3827" s="21" t="n">
        <v>0</v>
      </c>
      <c r="L3827" s="21" t="n">
        <v>0</v>
      </c>
      <c r="M3827" s="21" t="n">
        <v>0</v>
      </c>
      <c r="N3827" s="21" t="n">
        <v>0</v>
      </c>
      <c r="O3827" s="21" t="n">
        <v>0</v>
      </c>
      <c r="P3827" s="21" t="n">
        <v>0</v>
      </c>
      <c r="Q3827" s="21" t="n">
        <v>0</v>
      </c>
      <c r="R3827" s="21" t="n">
        <v>0</v>
      </c>
      <c r="S3827" s="21" t="n">
        <v>0</v>
      </c>
      <c r="T3827" s="21" t="n">
        <v>0</v>
      </c>
      <c r="U3827" s="21" t="n">
        <v>0</v>
      </c>
      <c r="V3827" s="21">
        <f>-$B$3624</f>
        <v/>
      </c>
      <c r="W3827" s="21">
        <f>-$B$3625</f>
        <v/>
      </c>
      <c r="X3827" s="21">
        <f>$B$3624+$D$3805</f>
        <v/>
      </c>
      <c r="Y3827" s="21">
        <f>-$B$3625</f>
        <v/>
      </c>
      <c r="Z3827" s="19" t="n"/>
    </row>
    <row r="3828">
      <c r="D3828" s="21" t="n">
        <v>0</v>
      </c>
      <c r="E3828" s="21" t="n">
        <v>0</v>
      </c>
      <c r="F3828" s="21" t="n">
        <v>0</v>
      </c>
      <c r="G3828" s="21" t="n">
        <v>0</v>
      </c>
      <c r="H3828" s="21" t="n">
        <v>0</v>
      </c>
      <c r="I3828" s="21" t="n">
        <v>0</v>
      </c>
      <c r="J3828" s="21" t="n">
        <v>0</v>
      </c>
      <c r="K3828" s="21" t="n">
        <v>0</v>
      </c>
      <c r="L3828" s="21" t="n">
        <v>0</v>
      </c>
      <c r="M3828" s="21" t="n">
        <v>0</v>
      </c>
      <c r="N3828" s="21" t="n">
        <v>0</v>
      </c>
      <c r="O3828" s="21" t="n">
        <v>0</v>
      </c>
      <c r="P3828" s="21" t="n">
        <v>0</v>
      </c>
      <c r="Q3828" s="21" t="n">
        <v>0</v>
      </c>
      <c r="R3828" s="21" t="n">
        <v>0</v>
      </c>
      <c r="S3828" s="21" t="n">
        <v>0</v>
      </c>
      <c r="T3828" s="21" t="n">
        <v>0</v>
      </c>
      <c r="U3828" s="21" t="n">
        <v>0</v>
      </c>
      <c r="V3828" s="21">
        <f>$B$3625</f>
        <v/>
      </c>
      <c r="W3828" s="21">
        <f>$B$3627</f>
        <v/>
      </c>
      <c r="X3828" s="21">
        <f>-$B$3625</f>
        <v/>
      </c>
      <c r="Y3828" s="21">
        <f>$B$3626</f>
        <v/>
      </c>
      <c r="Z3828" s="19" t="n"/>
    </row>
    <row r="3830">
      <c r="A3830" s="8" t="inlineStr">
        <is>
          <t>gen 5</t>
        </is>
      </c>
    </row>
    <row r="3831">
      <c r="D3831" s="19">
        <f>IF(ABS(IF(ABS($E$3795)&gt;0.000000001,$E$3795,0.000000001))=0,0,IF($E$3639&lt;=$B$3633,0,IF(ABS(IF(ABS($E$3795)&gt;0.000000001,$E$3795,0.000000001))&gt;=8*$B$3635,$H$3639,0.5*$H$3639*(ABS(IF(ABS($E$3795)&gt;0.000000001,$E$3795,0.000000001))/$B$3635)^(1/3)))/ABS(IF(ABS($E$3795)&gt;0.000000001,$E$3795,0.000000001))*$I$3639)</f>
        <v/>
      </c>
      <c r="E3831" s="19">
        <f>0.5*$E$3795+0.5*$Z$3843</f>
        <v/>
      </c>
      <c r="F3831" s="19">
        <f>$Z$3844</f>
        <v/>
      </c>
    </row>
    <row r="3832">
      <c r="D3832" s="19">
        <f>IF(ABS(IF(ABS($E$3796)&gt;0.000000001,$E$3796,0.000000001))=0,0,IF($E$3640&lt;=$B$3633,0,IF(ABS(IF(ABS($E$3796)&gt;0.000000001,$E$3796,0.000000001))&gt;=8*$B$3635,$H$3640,0.5*$H$3640*(ABS(IF(ABS($E$3796)&gt;0.000000001,$E$3796,0.000000001))/$B$3635)^(1/3)))/ABS(IF(ABS($E$3796)&gt;0.000000001,$E$3796,0.000000001))*$I$3640)</f>
        <v/>
      </c>
      <c r="E3832" s="19">
        <f>0.5*$E$3796+0.5*$Z$3845</f>
        <v/>
      </c>
      <c r="F3832" s="19">
        <f>$Z$3846</f>
        <v/>
      </c>
    </row>
    <row r="3833">
      <c r="D3833" s="19">
        <f>IF(ABS(IF(ABS($E$3797)&gt;0.000000001,$E$3797,0.000000001))=0,0,IF($E$3641&lt;=$B$3633,0,IF(ABS(IF(ABS($E$3797)&gt;0.000000001,$E$3797,0.000000001))&gt;=8*$B$3635,$H$3641,0.5*$H$3641*(ABS(IF(ABS($E$3797)&gt;0.000000001,$E$3797,0.000000001))/$B$3635)^(1/3)))/ABS(IF(ABS($E$3797)&gt;0.000000001,$E$3797,0.000000001))*$I$3641)</f>
        <v/>
      </c>
      <c r="E3833" s="19">
        <f>0.5*$E$3797+0.5*$Z$3847</f>
        <v/>
      </c>
      <c r="F3833" s="19">
        <f>$Z$3848</f>
        <v/>
      </c>
    </row>
    <row r="3834">
      <c r="D3834" s="19">
        <f>IF(ABS(IF(ABS($E$3798)&gt;0.000000001,$E$3798,0.000000001))=0,0,IF($E$3642&lt;=$B$3633,0,IF(ABS(IF(ABS($E$3798)&gt;0.000000001,$E$3798,0.000000001))&gt;=8*$B$3635,$H$3642,0.5*$H$3642*(ABS(IF(ABS($E$3798)&gt;0.000000001,$E$3798,0.000000001))/$B$3635)^(1/3)))/ABS(IF(ABS($E$3798)&gt;0.000000001,$E$3798,0.000000001))*$I$3642)</f>
        <v/>
      </c>
      <c r="E3834" s="19">
        <f>0.5*$E$3798+0.5*$Z$3849</f>
        <v/>
      </c>
      <c r="F3834" s="19">
        <f>$Z$3850</f>
        <v/>
      </c>
    </row>
    <row r="3835">
      <c r="D3835" s="19">
        <f>IF(ABS(IF(ABS($E$3799)&gt;0.000000001,$E$3799,0.000000001))=0,0,IF($E$3643&lt;=$B$3633,0,IF(ABS(IF(ABS($E$3799)&gt;0.000000001,$E$3799,0.000000001))&gt;=8*$B$3635,$H$3643,0.5*$H$3643*(ABS(IF(ABS($E$3799)&gt;0.000000001,$E$3799,0.000000001))/$B$3635)^(1/3)))/ABS(IF(ABS($E$3799)&gt;0.000000001,$E$3799,0.000000001))*$I$3643)</f>
        <v/>
      </c>
      <c r="E3835" s="19">
        <f>0.5*$E$3799+0.5*$Z$3851</f>
        <v/>
      </c>
      <c r="F3835" s="19">
        <f>$Z$3852</f>
        <v/>
      </c>
    </row>
    <row r="3836">
      <c r="D3836" s="19">
        <f>IF(ABS(IF(ABS($E$3800)&gt;0.000000001,$E$3800,0.000000001))=0,0,IF($E$3644&lt;=$B$3633,0,IF(ABS(IF(ABS($E$3800)&gt;0.000000001,$E$3800,0.000000001))&gt;=8*$B$3635,$H$3644,0.5*$H$3644*(ABS(IF(ABS($E$3800)&gt;0.000000001,$E$3800,0.000000001))/$B$3635)^(1/3)))/ABS(IF(ABS($E$3800)&gt;0.000000001,$E$3800,0.000000001))*$I$3644)</f>
        <v/>
      </c>
      <c r="E3836" s="19">
        <f>0.5*$E$3800+0.5*$Z$3853</f>
        <v/>
      </c>
      <c r="F3836" s="19">
        <f>$Z$3854</f>
        <v/>
      </c>
    </row>
    <row r="3837">
      <c r="D3837" s="19">
        <f>IF(ABS(IF(ABS($E$3801)&gt;0.000000001,$E$3801,0.000000001))=0,0,IF($E$3645&lt;=$B$3633,0,IF(ABS(IF(ABS($E$3801)&gt;0.000000001,$E$3801,0.000000001))&gt;=8*$B$3635,$H$3645,0.5*$H$3645*(ABS(IF(ABS($E$3801)&gt;0.000000001,$E$3801,0.000000001))/$B$3635)^(1/3)))/ABS(IF(ABS($E$3801)&gt;0.000000001,$E$3801,0.000000001))*$I$3645)</f>
        <v/>
      </c>
      <c r="E3837" s="19">
        <f>0.5*$E$3801+0.5*$Z$3855</f>
        <v/>
      </c>
      <c r="F3837" s="19">
        <f>$Z$3856</f>
        <v/>
      </c>
    </row>
    <row r="3838">
      <c r="D3838" s="19">
        <f>IF(ABS(IF(ABS($E$3802)&gt;0.000000001,$E$3802,0.000000001))=0,0,IF($E$3646&lt;=$B$3633,0,IF(ABS(IF(ABS($E$3802)&gt;0.000000001,$E$3802,0.000000001))&gt;=8*$B$3635,$H$3646,0.5*$H$3646*(ABS(IF(ABS($E$3802)&gt;0.000000001,$E$3802,0.000000001))/$B$3635)^(1/3)))/ABS(IF(ABS($E$3802)&gt;0.000000001,$E$3802,0.000000001))*$I$3646)</f>
        <v/>
      </c>
      <c r="E3838" s="19">
        <f>0.5*$E$3802+0.5*$Z$3857</f>
        <v/>
      </c>
      <c r="F3838" s="19">
        <f>$Z$3858</f>
        <v/>
      </c>
    </row>
    <row r="3839">
      <c r="D3839" s="19">
        <f>IF(ABS(IF(ABS($E$3803)&gt;0.000000001,$E$3803,0.000000001))=0,0,IF($E$3647&lt;=$B$3633,0,IF(ABS(IF(ABS($E$3803)&gt;0.000000001,$E$3803,0.000000001))&gt;=8*$B$3635,$H$3647,0.5*$H$3647*(ABS(IF(ABS($E$3803)&gt;0.000000001,$E$3803,0.000000001))/$B$3635)^(1/3)))/ABS(IF(ABS($E$3803)&gt;0.000000001,$E$3803,0.000000001))*$I$3647)</f>
        <v/>
      </c>
      <c r="E3839" s="19">
        <f>0.5*$E$3803+0.5*$Z$3859</f>
        <v/>
      </c>
      <c r="F3839" s="19">
        <f>$Z$3860</f>
        <v/>
      </c>
    </row>
    <row r="3840">
      <c r="D3840" s="19">
        <f>IF(ABS(IF(ABS($E$3804)&gt;0.000000001,$E$3804,0.000000001))=0,0,IF($E$3648&lt;=$B$3633,0,IF(ABS(IF(ABS($E$3804)&gt;0.000000001,$E$3804,0.000000001))&gt;=8*$B$3635,$H$3648,0.5*$H$3648*(ABS(IF(ABS($E$3804)&gt;0.000000001,$E$3804,0.000000001))/$B$3635)^(1/3)))/ABS(IF(ABS($E$3804)&gt;0.000000001,$E$3804,0.000000001))*$I$3648)</f>
        <v/>
      </c>
      <c r="E3840" s="19">
        <f>0.5*$E$3804+0.5*$Z$3861</f>
        <v/>
      </c>
      <c r="F3840" s="19">
        <f>$Z$3862</f>
        <v/>
      </c>
    </row>
    <row r="3841">
      <c r="D3841" s="19">
        <f>IF(ABS(IF(ABS($E$3805)&gt;0.000000001,$E$3805,0.000000001))=0,0,IF($E$3649&lt;=$B$3633,0,IF(ABS(IF(ABS($E$3805)&gt;0.000000001,$E$3805,0.000000001))&gt;=8*$B$3635,$H$3649,0.5*$H$3649*(ABS(IF(ABS($E$3805)&gt;0.000000001,$E$3805,0.000000001))/$B$3635)^(1/3)))/ABS(IF(ABS($E$3805)&gt;0.000000001,$E$3805,0.000000001))*$I$3649)</f>
        <v/>
      </c>
      <c r="E3841" s="19">
        <f>0.5*$E$3805+0.5*$Z$3863</f>
        <v/>
      </c>
      <c r="F3841" s="19">
        <f>$Z$3864</f>
        <v/>
      </c>
    </row>
    <row r="3843">
      <c r="D3843" s="21">
        <f>$B$3624+$D$3831</f>
        <v/>
      </c>
      <c r="E3843" s="21">
        <f>$B$3625</f>
        <v/>
      </c>
      <c r="F3843" s="21">
        <f>-$B$3624</f>
        <v/>
      </c>
      <c r="G3843" s="21">
        <f>$B$3625</f>
        <v/>
      </c>
      <c r="H3843" s="21" t="n">
        <v>0</v>
      </c>
      <c r="I3843" s="21" t="n">
        <v>0</v>
      </c>
      <c r="J3843" s="21" t="n">
        <v>0</v>
      </c>
      <c r="K3843" s="21" t="n">
        <v>0</v>
      </c>
      <c r="L3843" s="21" t="n">
        <v>0</v>
      </c>
      <c r="M3843" s="21" t="n">
        <v>0</v>
      </c>
      <c r="N3843" s="21" t="n">
        <v>0</v>
      </c>
      <c r="O3843" s="21" t="n">
        <v>0</v>
      </c>
      <c r="P3843" s="21" t="n">
        <v>0</v>
      </c>
      <c r="Q3843" s="21" t="n">
        <v>0</v>
      </c>
      <c r="R3843" s="21" t="n">
        <v>0</v>
      </c>
      <c r="S3843" s="21" t="n">
        <v>0</v>
      </c>
      <c r="T3843" s="21" t="n">
        <v>0</v>
      </c>
      <c r="U3843" s="21" t="n">
        <v>0</v>
      </c>
      <c r="V3843" s="21" t="n">
        <v>0</v>
      </c>
      <c r="W3843" s="21" t="n">
        <v>0</v>
      </c>
      <c r="X3843" s="21" t="n">
        <v>0</v>
      </c>
      <c r="Y3843" s="21" t="n">
        <v>0</v>
      </c>
      <c r="Z3843" s="19">
        <f t="array" ref="Z3843:Z3864">MMULT(MINVERSE($D$3843:$Y$3864),$D$3651:$D$3672)</f>
        <v/>
      </c>
    </row>
    <row r="3844">
      <c r="D3844" s="21">
        <f>$B$3625</f>
        <v/>
      </c>
      <c r="E3844" s="21">
        <f>$B$3626</f>
        <v/>
      </c>
      <c r="F3844" s="21">
        <f>-$B$3625</f>
        <v/>
      </c>
      <c r="G3844" s="21">
        <f>$B$3627</f>
        <v/>
      </c>
      <c r="H3844" s="21" t="n">
        <v>0</v>
      </c>
      <c r="I3844" s="21" t="n">
        <v>0</v>
      </c>
      <c r="J3844" s="21" t="n">
        <v>0</v>
      </c>
      <c r="K3844" s="21" t="n">
        <v>0</v>
      </c>
      <c r="L3844" s="21" t="n">
        <v>0</v>
      </c>
      <c r="M3844" s="21" t="n">
        <v>0</v>
      </c>
      <c r="N3844" s="21" t="n">
        <v>0</v>
      </c>
      <c r="O3844" s="21" t="n">
        <v>0</v>
      </c>
      <c r="P3844" s="21" t="n">
        <v>0</v>
      </c>
      <c r="Q3844" s="21" t="n">
        <v>0</v>
      </c>
      <c r="R3844" s="21" t="n">
        <v>0</v>
      </c>
      <c r="S3844" s="21" t="n">
        <v>0</v>
      </c>
      <c r="T3844" s="21" t="n">
        <v>0</v>
      </c>
      <c r="U3844" s="21" t="n">
        <v>0</v>
      </c>
      <c r="V3844" s="21" t="n">
        <v>0</v>
      </c>
      <c r="W3844" s="21" t="n">
        <v>0</v>
      </c>
      <c r="X3844" s="21" t="n">
        <v>0</v>
      </c>
      <c r="Y3844" s="21" t="n">
        <v>0</v>
      </c>
      <c r="Z3844" s="19" t="n"/>
    </row>
    <row r="3845">
      <c r="D3845" s="21">
        <f>-$B$3624</f>
        <v/>
      </c>
      <c r="E3845" s="21">
        <f>-$B$3625</f>
        <v/>
      </c>
      <c r="F3845" s="21">
        <f>2*$B$3624+$D$3832</f>
        <v/>
      </c>
      <c r="G3845" s="21">
        <f>0</f>
        <v/>
      </c>
      <c r="H3845" s="21">
        <f>-$B$3624</f>
        <v/>
      </c>
      <c r="I3845" s="21">
        <f>$B$3625</f>
        <v/>
      </c>
      <c r="J3845" s="21" t="n">
        <v>0</v>
      </c>
      <c r="K3845" s="21" t="n">
        <v>0</v>
      </c>
      <c r="L3845" s="21" t="n">
        <v>0</v>
      </c>
      <c r="M3845" s="21" t="n">
        <v>0</v>
      </c>
      <c r="N3845" s="21" t="n">
        <v>0</v>
      </c>
      <c r="O3845" s="21" t="n">
        <v>0</v>
      </c>
      <c r="P3845" s="21" t="n">
        <v>0</v>
      </c>
      <c r="Q3845" s="21" t="n">
        <v>0</v>
      </c>
      <c r="R3845" s="21" t="n">
        <v>0</v>
      </c>
      <c r="S3845" s="21" t="n">
        <v>0</v>
      </c>
      <c r="T3845" s="21" t="n">
        <v>0</v>
      </c>
      <c r="U3845" s="21" t="n">
        <v>0</v>
      </c>
      <c r="V3845" s="21" t="n">
        <v>0</v>
      </c>
      <c r="W3845" s="21" t="n">
        <v>0</v>
      </c>
      <c r="X3845" s="21" t="n">
        <v>0</v>
      </c>
      <c r="Y3845" s="21" t="n">
        <v>0</v>
      </c>
      <c r="Z3845" s="19" t="n"/>
    </row>
    <row r="3846">
      <c r="D3846" s="21">
        <f>$B$3625</f>
        <v/>
      </c>
      <c r="E3846" s="21">
        <f>$B$3627</f>
        <v/>
      </c>
      <c r="F3846" s="21">
        <f>0</f>
        <v/>
      </c>
      <c r="G3846" s="21">
        <f>2*$B$3626</f>
        <v/>
      </c>
      <c r="H3846" s="21">
        <f>-$B$3625</f>
        <v/>
      </c>
      <c r="I3846" s="21">
        <f>$B$3627</f>
        <v/>
      </c>
      <c r="J3846" s="21" t="n">
        <v>0</v>
      </c>
      <c r="K3846" s="21" t="n">
        <v>0</v>
      </c>
      <c r="L3846" s="21" t="n">
        <v>0</v>
      </c>
      <c r="M3846" s="21" t="n">
        <v>0</v>
      </c>
      <c r="N3846" s="21" t="n">
        <v>0</v>
      </c>
      <c r="O3846" s="21" t="n">
        <v>0</v>
      </c>
      <c r="P3846" s="21" t="n">
        <v>0</v>
      </c>
      <c r="Q3846" s="21" t="n">
        <v>0</v>
      </c>
      <c r="R3846" s="21" t="n">
        <v>0</v>
      </c>
      <c r="S3846" s="21" t="n">
        <v>0</v>
      </c>
      <c r="T3846" s="21" t="n">
        <v>0</v>
      </c>
      <c r="U3846" s="21" t="n">
        <v>0</v>
      </c>
      <c r="V3846" s="21" t="n">
        <v>0</v>
      </c>
      <c r="W3846" s="21" t="n">
        <v>0</v>
      </c>
      <c r="X3846" s="21" t="n">
        <v>0</v>
      </c>
      <c r="Y3846" s="21" t="n">
        <v>0</v>
      </c>
      <c r="Z3846" s="19" t="n"/>
    </row>
    <row r="3847">
      <c r="D3847" s="21" t="n">
        <v>0</v>
      </c>
      <c r="E3847" s="21" t="n">
        <v>0</v>
      </c>
      <c r="F3847" s="21">
        <f>-$B$3624</f>
        <v/>
      </c>
      <c r="G3847" s="21">
        <f>-$B$3625</f>
        <v/>
      </c>
      <c r="H3847" s="21">
        <f>2*$B$3624+$D$3833</f>
        <v/>
      </c>
      <c r="I3847" s="21">
        <f>0</f>
        <v/>
      </c>
      <c r="J3847" s="21">
        <f>-$B$3624</f>
        <v/>
      </c>
      <c r="K3847" s="21">
        <f>$B$3625</f>
        <v/>
      </c>
      <c r="L3847" s="21" t="n">
        <v>0</v>
      </c>
      <c r="M3847" s="21" t="n">
        <v>0</v>
      </c>
      <c r="N3847" s="21" t="n">
        <v>0</v>
      </c>
      <c r="O3847" s="21" t="n">
        <v>0</v>
      </c>
      <c r="P3847" s="21" t="n">
        <v>0</v>
      </c>
      <c r="Q3847" s="21" t="n">
        <v>0</v>
      </c>
      <c r="R3847" s="21" t="n">
        <v>0</v>
      </c>
      <c r="S3847" s="21" t="n">
        <v>0</v>
      </c>
      <c r="T3847" s="21" t="n">
        <v>0</v>
      </c>
      <c r="U3847" s="21" t="n">
        <v>0</v>
      </c>
      <c r="V3847" s="21" t="n">
        <v>0</v>
      </c>
      <c r="W3847" s="21" t="n">
        <v>0</v>
      </c>
      <c r="X3847" s="21" t="n">
        <v>0</v>
      </c>
      <c r="Y3847" s="21" t="n">
        <v>0</v>
      </c>
      <c r="Z3847" s="19" t="n"/>
    </row>
    <row r="3848">
      <c r="D3848" s="21" t="n">
        <v>0</v>
      </c>
      <c r="E3848" s="21" t="n">
        <v>0</v>
      </c>
      <c r="F3848" s="21">
        <f>$B$3625</f>
        <v/>
      </c>
      <c r="G3848" s="21">
        <f>$B$3627</f>
        <v/>
      </c>
      <c r="H3848" s="21">
        <f>0</f>
        <v/>
      </c>
      <c r="I3848" s="21">
        <f>2*$B$3626</f>
        <v/>
      </c>
      <c r="J3848" s="21">
        <f>-$B$3625</f>
        <v/>
      </c>
      <c r="K3848" s="21">
        <f>$B$3627</f>
        <v/>
      </c>
      <c r="L3848" s="21" t="n">
        <v>0</v>
      </c>
      <c r="M3848" s="21" t="n">
        <v>0</v>
      </c>
      <c r="N3848" s="21" t="n">
        <v>0</v>
      </c>
      <c r="O3848" s="21" t="n">
        <v>0</v>
      </c>
      <c r="P3848" s="21" t="n">
        <v>0</v>
      </c>
      <c r="Q3848" s="21" t="n">
        <v>0</v>
      </c>
      <c r="R3848" s="21" t="n">
        <v>0</v>
      </c>
      <c r="S3848" s="21" t="n">
        <v>0</v>
      </c>
      <c r="T3848" s="21" t="n">
        <v>0</v>
      </c>
      <c r="U3848" s="21" t="n">
        <v>0</v>
      </c>
      <c r="V3848" s="21" t="n">
        <v>0</v>
      </c>
      <c r="W3848" s="21" t="n">
        <v>0</v>
      </c>
      <c r="X3848" s="21" t="n">
        <v>0</v>
      </c>
      <c r="Y3848" s="21" t="n">
        <v>0</v>
      </c>
      <c r="Z3848" s="19" t="n"/>
    </row>
    <row r="3849">
      <c r="D3849" s="21" t="n">
        <v>0</v>
      </c>
      <c r="E3849" s="21" t="n">
        <v>0</v>
      </c>
      <c r="F3849" s="21" t="n">
        <v>0</v>
      </c>
      <c r="G3849" s="21" t="n">
        <v>0</v>
      </c>
      <c r="H3849" s="21">
        <f>-$B$3624</f>
        <v/>
      </c>
      <c r="I3849" s="21">
        <f>-$B$3625</f>
        <v/>
      </c>
      <c r="J3849" s="21">
        <f>2*$B$3624+$D$3834</f>
        <v/>
      </c>
      <c r="K3849" s="21">
        <f>0</f>
        <v/>
      </c>
      <c r="L3849" s="21">
        <f>-$B$3624</f>
        <v/>
      </c>
      <c r="M3849" s="21">
        <f>$B$3625</f>
        <v/>
      </c>
      <c r="N3849" s="21" t="n">
        <v>0</v>
      </c>
      <c r="O3849" s="21" t="n">
        <v>0</v>
      </c>
      <c r="P3849" s="21" t="n">
        <v>0</v>
      </c>
      <c r="Q3849" s="21" t="n">
        <v>0</v>
      </c>
      <c r="R3849" s="21" t="n">
        <v>0</v>
      </c>
      <c r="S3849" s="21" t="n">
        <v>0</v>
      </c>
      <c r="T3849" s="21" t="n">
        <v>0</v>
      </c>
      <c r="U3849" s="21" t="n">
        <v>0</v>
      </c>
      <c r="V3849" s="21" t="n">
        <v>0</v>
      </c>
      <c r="W3849" s="21" t="n">
        <v>0</v>
      </c>
      <c r="X3849" s="21" t="n">
        <v>0</v>
      </c>
      <c r="Y3849" s="21" t="n">
        <v>0</v>
      </c>
      <c r="Z3849" s="19" t="n"/>
    </row>
    <row r="3850">
      <c r="D3850" s="21" t="n">
        <v>0</v>
      </c>
      <c r="E3850" s="21" t="n">
        <v>0</v>
      </c>
      <c r="F3850" s="21" t="n">
        <v>0</v>
      </c>
      <c r="G3850" s="21" t="n">
        <v>0</v>
      </c>
      <c r="H3850" s="21">
        <f>$B$3625</f>
        <v/>
      </c>
      <c r="I3850" s="21">
        <f>$B$3627</f>
        <v/>
      </c>
      <c r="J3850" s="21">
        <f>0</f>
        <v/>
      </c>
      <c r="K3850" s="21">
        <f>2*$B$3626</f>
        <v/>
      </c>
      <c r="L3850" s="21">
        <f>-$B$3625</f>
        <v/>
      </c>
      <c r="M3850" s="21">
        <f>$B$3627</f>
        <v/>
      </c>
      <c r="N3850" s="21" t="n">
        <v>0</v>
      </c>
      <c r="O3850" s="21" t="n">
        <v>0</v>
      </c>
      <c r="P3850" s="21" t="n">
        <v>0</v>
      </c>
      <c r="Q3850" s="21" t="n">
        <v>0</v>
      </c>
      <c r="R3850" s="21" t="n">
        <v>0</v>
      </c>
      <c r="S3850" s="21" t="n">
        <v>0</v>
      </c>
      <c r="T3850" s="21" t="n">
        <v>0</v>
      </c>
      <c r="U3850" s="21" t="n">
        <v>0</v>
      </c>
      <c r="V3850" s="21" t="n">
        <v>0</v>
      </c>
      <c r="W3850" s="21" t="n">
        <v>0</v>
      </c>
      <c r="X3850" s="21" t="n">
        <v>0</v>
      </c>
      <c r="Y3850" s="21" t="n">
        <v>0</v>
      </c>
      <c r="Z3850" s="19" t="n"/>
    </row>
    <row r="3851">
      <c r="D3851" s="21" t="n">
        <v>0</v>
      </c>
      <c r="E3851" s="21" t="n">
        <v>0</v>
      </c>
      <c r="F3851" s="21" t="n">
        <v>0</v>
      </c>
      <c r="G3851" s="21" t="n">
        <v>0</v>
      </c>
      <c r="H3851" s="21" t="n">
        <v>0</v>
      </c>
      <c r="I3851" s="21" t="n">
        <v>0</v>
      </c>
      <c r="J3851" s="21">
        <f>-$B$3624</f>
        <v/>
      </c>
      <c r="K3851" s="21">
        <f>-$B$3625</f>
        <v/>
      </c>
      <c r="L3851" s="21">
        <f>2*$B$3624+$D$3835</f>
        <v/>
      </c>
      <c r="M3851" s="21">
        <f>0</f>
        <v/>
      </c>
      <c r="N3851" s="21">
        <f>-$B$3624</f>
        <v/>
      </c>
      <c r="O3851" s="21">
        <f>$B$3625</f>
        <v/>
      </c>
      <c r="P3851" s="21" t="n">
        <v>0</v>
      </c>
      <c r="Q3851" s="21" t="n">
        <v>0</v>
      </c>
      <c r="R3851" s="21" t="n">
        <v>0</v>
      </c>
      <c r="S3851" s="21" t="n">
        <v>0</v>
      </c>
      <c r="T3851" s="21" t="n">
        <v>0</v>
      </c>
      <c r="U3851" s="21" t="n">
        <v>0</v>
      </c>
      <c r="V3851" s="21" t="n">
        <v>0</v>
      </c>
      <c r="W3851" s="21" t="n">
        <v>0</v>
      </c>
      <c r="X3851" s="21" t="n">
        <v>0</v>
      </c>
      <c r="Y3851" s="21" t="n">
        <v>0</v>
      </c>
      <c r="Z3851" s="19" t="n"/>
    </row>
    <row r="3852">
      <c r="D3852" s="21" t="n">
        <v>0</v>
      </c>
      <c r="E3852" s="21" t="n">
        <v>0</v>
      </c>
      <c r="F3852" s="21" t="n">
        <v>0</v>
      </c>
      <c r="G3852" s="21" t="n">
        <v>0</v>
      </c>
      <c r="H3852" s="21" t="n">
        <v>0</v>
      </c>
      <c r="I3852" s="21" t="n">
        <v>0</v>
      </c>
      <c r="J3852" s="21">
        <f>$B$3625</f>
        <v/>
      </c>
      <c r="K3852" s="21">
        <f>$B$3627</f>
        <v/>
      </c>
      <c r="L3852" s="21">
        <f>0</f>
        <v/>
      </c>
      <c r="M3852" s="21">
        <f>2*$B$3626</f>
        <v/>
      </c>
      <c r="N3852" s="21">
        <f>-$B$3625</f>
        <v/>
      </c>
      <c r="O3852" s="21">
        <f>$B$3627</f>
        <v/>
      </c>
      <c r="P3852" s="21" t="n">
        <v>0</v>
      </c>
      <c r="Q3852" s="21" t="n">
        <v>0</v>
      </c>
      <c r="R3852" s="21" t="n">
        <v>0</v>
      </c>
      <c r="S3852" s="21" t="n">
        <v>0</v>
      </c>
      <c r="T3852" s="21" t="n">
        <v>0</v>
      </c>
      <c r="U3852" s="21" t="n">
        <v>0</v>
      </c>
      <c r="V3852" s="21" t="n">
        <v>0</v>
      </c>
      <c r="W3852" s="21" t="n">
        <v>0</v>
      </c>
      <c r="X3852" s="21" t="n">
        <v>0</v>
      </c>
      <c r="Y3852" s="21" t="n">
        <v>0</v>
      </c>
      <c r="Z3852" s="19" t="n"/>
    </row>
    <row r="3853">
      <c r="D3853" s="21" t="n">
        <v>0</v>
      </c>
      <c r="E3853" s="21" t="n">
        <v>0</v>
      </c>
      <c r="F3853" s="21" t="n">
        <v>0</v>
      </c>
      <c r="G3853" s="21" t="n">
        <v>0</v>
      </c>
      <c r="H3853" s="21" t="n">
        <v>0</v>
      </c>
      <c r="I3853" s="21" t="n">
        <v>0</v>
      </c>
      <c r="J3853" s="21" t="n">
        <v>0</v>
      </c>
      <c r="K3853" s="21" t="n">
        <v>0</v>
      </c>
      <c r="L3853" s="21">
        <f>-$B$3624</f>
        <v/>
      </c>
      <c r="M3853" s="21">
        <f>-$B$3625</f>
        <v/>
      </c>
      <c r="N3853" s="21">
        <f>2*$B$3624+$D$3836</f>
        <v/>
      </c>
      <c r="O3853" s="21">
        <f>0</f>
        <v/>
      </c>
      <c r="P3853" s="21">
        <f>-$B$3624</f>
        <v/>
      </c>
      <c r="Q3853" s="21">
        <f>$B$3625</f>
        <v/>
      </c>
      <c r="R3853" s="21" t="n">
        <v>0</v>
      </c>
      <c r="S3853" s="21" t="n">
        <v>0</v>
      </c>
      <c r="T3853" s="21" t="n">
        <v>0</v>
      </c>
      <c r="U3853" s="21" t="n">
        <v>0</v>
      </c>
      <c r="V3853" s="21" t="n">
        <v>0</v>
      </c>
      <c r="W3853" s="21" t="n">
        <v>0</v>
      </c>
      <c r="X3853" s="21" t="n">
        <v>0</v>
      </c>
      <c r="Y3853" s="21" t="n">
        <v>0</v>
      </c>
      <c r="Z3853" s="19" t="n"/>
    </row>
    <row r="3854">
      <c r="D3854" s="21" t="n">
        <v>0</v>
      </c>
      <c r="E3854" s="21" t="n">
        <v>0</v>
      </c>
      <c r="F3854" s="21" t="n">
        <v>0</v>
      </c>
      <c r="G3854" s="21" t="n">
        <v>0</v>
      </c>
      <c r="H3854" s="21" t="n">
        <v>0</v>
      </c>
      <c r="I3854" s="21" t="n">
        <v>0</v>
      </c>
      <c r="J3854" s="21" t="n">
        <v>0</v>
      </c>
      <c r="K3854" s="21" t="n">
        <v>0</v>
      </c>
      <c r="L3854" s="21">
        <f>$B$3625</f>
        <v/>
      </c>
      <c r="M3854" s="21">
        <f>$B$3627</f>
        <v/>
      </c>
      <c r="N3854" s="21">
        <f>0</f>
        <v/>
      </c>
      <c r="O3854" s="21">
        <f>2*$B$3626</f>
        <v/>
      </c>
      <c r="P3854" s="21">
        <f>-$B$3625</f>
        <v/>
      </c>
      <c r="Q3854" s="21">
        <f>$B$3627</f>
        <v/>
      </c>
      <c r="R3854" s="21" t="n">
        <v>0</v>
      </c>
      <c r="S3854" s="21" t="n">
        <v>0</v>
      </c>
      <c r="T3854" s="21" t="n">
        <v>0</v>
      </c>
      <c r="U3854" s="21" t="n">
        <v>0</v>
      </c>
      <c r="V3854" s="21" t="n">
        <v>0</v>
      </c>
      <c r="W3854" s="21" t="n">
        <v>0</v>
      </c>
      <c r="X3854" s="21" t="n">
        <v>0</v>
      </c>
      <c r="Y3854" s="21" t="n">
        <v>0</v>
      </c>
      <c r="Z3854" s="19" t="n"/>
    </row>
    <row r="3855">
      <c r="D3855" s="21" t="n">
        <v>0</v>
      </c>
      <c r="E3855" s="21" t="n">
        <v>0</v>
      </c>
      <c r="F3855" s="21" t="n">
        <v>0</v>
      </c>
      <c r="G3855" s="21" t="n">
        <v>0</v>
      </c>
      <c r="H3855" s="21" t="n">
        <v>0</v>
      </c>
      <c r="I3855" s="21" t="n">
        <v>0</v>
      </c>
      <c r="J3855" s="21" t="n">
        <v>0</v>
      </c>
      <c r="K3855" s="21" t="n">
        <v>0</v>
      </c>
      <c r="L3855" s="21" t="n">
        <v>0</v>
      </c>
      <c r="M3855" s="21" t="n">
        <v>0</v>
      </c>
      <c r="N3855" s="21">
        <f>-$B$3624</f>
        <v/>
      </c>
      <c r="O3855" s="21">
        <f>-$B$3625</f>
        <v/>
      </c>
      <c r="P3855" s="21">
        <f>2*$B$3624+$D$3837</f>
        <v/>
      </c>
      <c r="Q3855" s="21">
        <f>0</f>
        <v/>
      </c>
      <c r="R3855" s="21">
        <f>-$B$3624</f>
        <v/>
      </c>
      <c r="S3855" s="21">
        <f>$B$3625</f>
        <v/>
      </c>
      <c r="T3855" s="21" t="n">
        <v>0</v>
      </c>
      <c r="U3855" s="21" t="n">
        <v>0</v>
      </c>
      <c r="V3855" s="21" t="n">
        <v>0</v>
      </c>
      <c r="W3855" s="21" t="n">
        <v>0</v>
      </c>
      <c r="X3855" s="21" t="n">
        <v>0</v>
      </c>
      <c r="Y3855" s="21" t="n">
        <v>0</v>
      </c>
      <c r="Z3855" s="19" t="n"/>
    </row>
    <row r="3856">
      <c r="D3856" s="21" t="n">
        <v>0</v>
      </c>
      <c r="E3856" s="21" t="n">
        <v>0</v>
      </c>
      <c r="F3856" s="21" t="n">
        <v>0</v>
      </c>
      <c r="G3856" s="21" t="n">
        <v>0</v>
      </c>
      <c r="H3856" s="21" t="n">
        <v>0</v>
      </c>
      <c r="I3856" s="21" t="n">
        <v>0</v>
      </c>
      <c r="J3856" s="21" t="n">
        <v>0</v>
      </c>
      <c r="K3856" s="21" t="n">
        <v>0</v>
      </c>
      <c r="L3856" s="21" t="n">
        <v>0</v>
      </c>
      <c r="M3856" s="21" t="n">
        <v>0</v>
      </c>
      <c r="N3856" s="21">
        <f>$B$3625</f>
        <v/>
      </c>
      <c r="O3856" s="21">
        <f>$B$3627</f>
        <v/>
      </c>
      <c r="P3856" s="21">
        <f>0</f>
        <v/>
      </c>
      <c r="Q3856" s="21">
        <f>2*$B$3626</f>
        <v/>
      </c>
      <c r="R3856" s="21">
        <f>-$B$3625</f>
        <v/>
      </c>
      <c r="S3856" s="21">
        <f>$B$3627</f>
        <v/>
      </c>
      <c r="T3856" s="21" t="n">
        <v>0</v>
      </c>
      <c r="U3856" s="21" t="n">
        <v>0</v>
      </c>
      <c r="V3856" s="21" t="n">
        <v>0</v>
      </c>
      <c r="W3856" s="21" t="n">
        <v>0</v>
      </c>
      <c r="X3856" s="21" t="n">
        <v>0</v>
      </c>
      <c r="Y3856" s="21" t="n">
        <v>0</v>
      </c>
      <c r="Z3856" s="19" t="n"/>
    </row>
    <row r="3857">
      <c r="D3857" s="21" t="n">
        <v>0</v>
      </c>
      <c r="E3857" s="21" t="n">
        <v>0</v>
      </c>
      <c r="F3857" s="21" t="n">
        <v>0</v>
      </c>
      <c r="G3857" s="21" t="n">
        <v>0</v>
      </c>
      <c r="H3857" s="21" t="n">
        <v>0</v>
      </c>
      <c r="I3857" s="21" t="n">
        <v>0</v>
      </c>
      <c r="J3857" s="21" t="n">
        <v>0</v>
      </c>
      <c r="K3857" s="21" t="n">
        <v>0</v>
      </c>
      <c r="L3857" s="21" t="n">
        <v>0</v>
      </c>
      <c r="M3857" s="21" t="n">
        <v>0</v>
      </c>
      <c r="N3857" s="21" t="n">
        <v>0</v>
      </c>
      <c r="O3857" s="21" t="n">
        <v>0</v>
      </c>
      <c r="P3857" s="21">
        <f>-$B$3624</f>
        <v/>
      </c>
      <c r="Q3857" s="21">
        <f>-$B$3625</f>
        <v/>
      </c>
      <c r="R3857" s="21">
        <f>2*$B$3624+$D$3838</f>
        <v/>
      </c>
      <c r="S3857" s="21">
        <f>0</f>
        <v/>
      </c>
      <c r="T3857" s="21">
        <f>-$B$3624</f>
        <v/>
      </c>
      <c r="U3857" s="21">
        <f>$B$3625</f>
        <v/>
      </c>
      <c r="V3857" s="21" t="n">
        <v>0</v>
      </c>
      <c r="W3857" s="21" t="n">
        <v>0</v>
      </c>
      <c r="X3857" s="21" t="n">
        <v>0</v>
      </c>
      <c r="Y3857" s="21" t="n">
        <v>0</v>
      </c>
      <c r="Z3857" s="19" t="n"/>
    </row>
    <row r="3858">
      <c r="D3858" s="21" t="n">
        <v>0</v>
      </c>
      <c r="E3858" s="21" t="n">
        <v>0</v>
      </c>
      <c r="F3858" s="21" t="n">
        <v>0</v>
      </c>
      <c r="G3858" s="21" t="n">
        <v>0</v>
      </c>
      <c r="H3858" s="21" t="n">
        <v>0</v>
      </c>
      <c r="I3858" s="21" t="n">
        <v>0</v>
      </c>
      <c r="J3858" s="21" t="n">
        <v>0</v>
      </c>
      <c r="K3858" s="21" t="n">
        <v>0</v>
      </c>
      <c r="L3858" s="21" t="n">
        <v>0</v>
      </c>
      <c r="M3858" s="21" t="n">
        <v>0</v>
      </c>
      <c r="N3858" s="21" t="n">
        <v>0</v>
      </c>
      <c r="O3858" s="21" t="n">
        <v>0</v>
      </c>
      <c r="P3858" s="21">
        <f>$B$3625</f>
        <v/>
      </c>
      <c r="Q3858" s="21">
        <f>$B$3627</f>
        <v/>
      </c>
      <c r="R3858" s="21">
        <f>0</f>
        <v/>
      </c>
      <c r="S3858" s="21">
        <f>2*$B$3626</f>
        <v/>
      </c>
      <c r="T3858" s="21">
        <f>-$B$3625</f>
        <v/>
      </c>
      <c r="U3858" s="21">
        <f>$B$3627</f>
        <v/>
      </c>
      <c r="V3858" s="21" t="n">
        <v>0</v>
      </c>
      <c r="W3858" s="21" t="n">
        <v>0</v>
      </c>
      <c r="X3858" s="21" t="n">
        <v>0</v>
      </c>
      <c r="Y3858" s="21" t="n">
        <v>0</v>
      </c>
      <c r="Z3858" s="19" t="n"/>
    </row>
    <row r="3859">
      <c r="D3859" s="21" t="n">
        <v>0</v>
      </c>
      <c r="E3859" s="21" t="n">
        <v>0</v>
      </c>
      <c r="F3859" s="21" t="n">
        <v>0</v>
      </c>
      <c r="G3859" s="21" t="n">
        <v>0</v>
      </c>
      <c r="H3859" s="21" t="n">
        <v>0</v>
      </c>
      <c r="I3859" s="21" t="n">
        <v>0</v>
      </c>
      <c r="J3859" s="21" t="n">
        <v>0</v>
      </c>
      <c r="K3859" s="21" t="n">
        <v>0</v>
      </c>
      <c r="L3859" s="21" t="n">
        <v>0</v>
      </c>
      <c r="M3859" s="21" t="n">
        <v>0</v>
      </c>
      <c r="N3859" s="21" t="n">
        <v>0</v>
      </c>
      <c r="O3859" s="21" t="n">
        <v>0</v>
      </c>
      <c r="P3859" s="21" t="n">
        <v>0</v>
      </c>
      <c r="Q3859" s="21" t="n">
        <v>0</v>
      </c>
      <c r="R3859" s="21">
        <f>-$B$3624</f>
        <v/>
      </c>
      <c r="S3859" s="21">
        <f>-$B$3625</f>
        <v/>
      </c>
      <c r="T3859" s="21">
        <f>2*$B$3624+$D$3839</f>
        <v/>
      </c>
      <c r="U3859" s="21">
        <f>0</f>
        <v/>
      </c>
      <c r="V3859" s="21">
        <f>-$B$3624</f>
        <v/>
      </c>
      <c r="W3859" s="21">
        <f>$B$3625</f>
        <v/>
      </c>
      <c r="X3859" s="21" t="n">
        <v>0</v>
      </c>
      <c r="Y3859" s="21" t="n">
        <v>0</v>
      </c>
      <c r="Z3859" s="19" t="n"/>
    </row>
    <row r="3860">
      <c r="D3860" s="21" t="n">
        <v>0</v>
      </c>
      <c r="E3860" s="21" t="n">
        <v>0</v>
      </c>
      <c r="F3860" s="21" t="n">
        <v>0</v>
      </c>
      <c r="G3860" s="21" t="n">
        <v>0</v>
      </c>
      <c r="H3860" s="21" t="n">
        <v>0</v>
      </c>
      <c r="I3860" s="21" t="n">
        <v>0</v>
      </c>
      <c r="J3860" s="21" t="n">
        <v>0</v>
      </c>
      <c r="K3860" s="21" t="n">
        <v>0</v>
      </c>
      <c r="L3860" s="21" t="n">
        <v>0</v>
      </c>
      <c r="M3860" s="21" t="n">
        <v>0</v>
      </c>
      <c r="N3860" s="21" t="n">
        <v>0</v>
      </c>
      <c r="O3860" s="21" t="n">
        <v>0</v>
      </c>
      <c r="P3860" s="21" t="n">
        <v>0</v>
      </c>
      <c r="Q3860" s="21" t="n">
        <v>0</v>
      </c>
      <c r="R3860" s="21">
        <f>$B$3625</f>
        <v/>
      </c>
      <c r="S3860" s="21">
        <f>$B$3627</f>
        <v/>
      </c>
      <c r="T3860" s="21">
        <f>0</f>
        <v/>
      </c>
      <c r="U3860" s="21">
        <f>2*$B$3626</f>
        <v/>
      </c>
      <c r="V3860" s="21">
        <f>-$B$3625</f>
        <v/>
      </c>
      <c r="W3860" s="21">
        <f>$B$3627</f>
        <v/>
      </c>
      <c r="X3860" s="21" t="n">
        <v>0</v>
      </c>
      <c r="Y3860" s="21" t="n">
        <v>0</v>
      </c>
      <c r="Z3860" s="19" t="n"/>
    </row>
    <row r="3861">
      <c r="D3861" s="21" t="n">
        <v>0</v>
      </c>
      <c r="E3861" s="21" t="n">
        <v>0</v>
      </c>
      <c r="F3861" s="21" t="n">
        <v>0</v>
      </c>
      <c r="G3861" s="21" t="n">
        <v>0</v>
      </c>
      <c r="H3861" s="21" t="n">
        <v>0</v>
      </c>
      <c r="I3861" s="21" t="n">
        <v>0</v>
      </c>
      <c r="J3861" s="21" t="n">
        <v>0</v>
      </c>
      <c r="K3861" s="21" t="n">
        <v>0</v>
      </c>
      <c r="L3861" s="21" t="n">
        <v>0</v>
      </c>
      <c r="M3861" s="21" t="n">
        <v>0</v>
      </c>
      <c r="N3861" s="21" t="n">
        <v>0</v>
      </c>
      <c r="O3861" s="21" t="n">
        <v>0</v>
      </c>
      <c r="P3861" s="21" t="n">
        <v>0</v>
      </c>
      <c r="Q3861" s="21" t="n">
        <v>0</v>
      </c>
      <c r="R3861" s="21" t="n">
        <v>0</v>
      </c>
      <c r="S3861" s="21" t="n">
        <v>0</v>
      </c>
      <c r="T3861" s="21">
        <f>-$B$3624</f>
        <v/>
      </c>
      <c r="U3861" s="21">
        <f>-$B$3625</f>
        <v/>
      </c>
      <c r="V3861" s="21">
        <f>2*$B$3624+$D$3840</f>
        <v/>
      </c>
      <c r="W3861" s="21">
        <f>0</f>
        <v/>
      </c>
      <c r="X3861" s="21">
        <f>-$B$3624</f>
        <v/>
      </c>
      <c r="Y3861" s="21">
        <f>$B$3625</f>
        <v/>
      </c>
      <c r="Z3861" s="19" t="n"/>
    </row>
    <row r="3862">
      <c r="D3862" s="21" t="n">
        <v>0</v>
      </c>
      <c r="E3862" s="21" t="n">
        <v>0</v>
      </c>
      <c r="F3862" s="21" t="n">
        <v>0</v>
      </c>
      <c r="G3862" s="21" t="n">
        <v>0</v>
      </c>
      <c r="H3862" s="21" t="n">
        <v>0</v>
      </c>
      <c r="I3862" s="21" t="n">
        <v>0</v>
      </c>
      <c r="J3862" s="21" t="n">
        <v>0</v>
      </c>
      <c r="K3862" s="21" t="n">
        <v>0</v>
      </c>
      <c r="L3862" s="21" t="n">
        <v>0</v>
      </c>
      <c r="M3862" s="21" t="n">
        <v>0</v>
      </c>
      <c r="N3862" s="21" t="n">
        <v>0</v>
      </c>
      <c r="O3862" s="21" t="n">
        <v>0</v>
      </c>
      <c r="P3862" s="21" t="n">
        <v>0</v>
      </c>
      <c r="Q3862" s="21" t="n">
        <v>0</v>
      </c>
      <c r="R3862" s="21" t="n">
        <v>0</v>
      </c>
      <c r="S3862" s="21" t="n">
        <v>0</v>
      </c>
      <c r="T3862" s="21">
        <f>$B$3625</f>
        <v/>
      </c>
      <c r="U3862" s="21">
        <f>$B$3627</f>
        <v/>
      </c>
      <c r="V3862" s="21">
        <f>0</f>
        <v/>
      </c>
      <c r="W3862" s="21">
        <f>2*$B$3626</f>
        <v/>
      </c>
      <c r="X3862" s="21">
        <f>-$B$3625</f>
        <v/>
      </c>
      <c r="Y3862" s="21">
        <f>$B$3627</f>
        <v/>
      </c>
      <c r="Z3862" s="19" t="n"/>
    </row>
    <row r="3863">
      <c r="D3863" s="21" t="n">
        <v>0</v>
      </c>
      <c r="E3863" s="21" t="n">
        <v>0</v>
      </c>
      <c r="F3863" s="21" t="n">
        <v>0</v>
      </c>
      <c r="G3863" s="21" t="n">
        <v>0</v>
      </c>
      <c r="H3863" s="21" t="n">
        <v>0</v>
      </c>
      <c r="I3863" s="21" t="n">
        <v>0</v>
      </c>
      <c r="J3863" s="21" t="n">
        <v>0</v>
      </c>
      <c r="K3863" s="21" t="n">
        <v>0</v>
      </c>
      <c r="L3863" s="21" t="n">
        <v>0</v>
      </c>
      <c r="M3863" s="21" t="n">
        <v>0</v>
      </c>
      <c r="N3863" s="21" t="n">
        <v>0</v>
      </c>
      <c r="O3863" s="21" t="n">
        <v>0</v>
      </c>
      <c r="P3863" s="21" t="n">
        <v>0</v>
      </c>
      <c r="Q3863" s="21" t="n">
        <v>0</v>
      </c>
      <c r="R3863" s="21" t="n">
        <v>0</v>
      </c>
      <c r="S3863" s="21" t="n">
        <v>0</v>
      </c>
      <c r="T3863" s="21" t="n">
        <v>0</v>
      </c>
      <c r="U3863" s="21" t="n">
        <v>0</v>
      </c>
      <c r="V3863" s="21">
        <f>-$B$3624</f>
        <v/>
      </c>
      <c r="W3863" s="21">
        <f>-$B$3625</f>
        <v/>
      </c>
      <c r="X3863" s="21">
        <f>$B$3624+$D$3841</f>
        <v/>
      </c>
      <c r="Y3863" s="21">
        <f>-$B$3625</f>
        <v/>
      </c>
      <c r="Z3863" s="19" t="n"/>
    </row>
    <row r="3864">
      <c r="D3864" s="21" t="n">
        <v>0</v>
      </c>
      <c r="E3864" s="21" t="n">
        <v>0</v>
      </c>
      <c r="F3864" s="21" t="n">
        <v>0</v>
      </c>
      <c r="G3864" s="21" t="n">
        <v>0</v>
      </c>
      <c r="H3864" s="21" t="n">
        <v>0</v>
      </c>
      <c r="I3864" s="21" t="n">
        <v>0</v>
      </c>
      <c r="J3864" s="21" t="n">
        <v>0</v>
      </c>
      <c r="K3864" s="21" t="n">
        <v>0</v>
      </c>
      <c r="L3864" s="21" t="n">
        <v>0</v>
      </c>
      <c r="M3864" s="21" t="n">
        <v>0</v>
      </c>
      <c r="N3864" s="21" t="n">
        <v>0</v>
      </c>
      <c r="O3864" s="21" t="n">
        <v>0</v>
      </c>
      <c r="P3864" s="21" t="n">
        <v>0</v>
      </c>
      <c r="Q3864" s="21" t="n">
        <v>0</v>
      </c>
      <c r="R3864" s="21" t="n">
        <v>0</v>
      </c>
      <c r="S3864" s="21" t="n">
        <v>0</v>
      </c>
      <c r="T3864" s="21" t="n">
        <v>0</v>
      </c>
      <c r="U3864" s="21" t="n">
        <v>0</v>
      </c>
      <c r="V3864" s="21">
        <f>$B$3625</f>
        <v/>
      </c>
      <c r="W3864" s="21">
        <f>$B$3627</f>
        <v/>
      </c>
      <c r="X3864" s="21">
        <f>-$B$3625</f>
        <v/>
      </c>
      <c r="Y3864" s="21">
        <f>$B$3626</f>
        <v/>
      </c>
      <c r="Z3864" s="19" t="n"/>
    </row>
    <row r="3866">
      <c r="A3866" s="8" t="inlineStr">
        <is>
          <t>gen 6</t>
        </is>
      </c>
    </row>
    <row r="3867">
      <c r="D3867" s="19">
        <f>IF(ABS(IF(ABS($E$3831)&gt;0.000000001,$E$3831,0.000000001))=0,0,IF($E$3639&lt;=$B$3633,0,IF(ABS(IF(ABS($E$3831)&gt;0.000000001,$E$3831,0.000000001))&gt;=8*$B$3635,$H$3639,0.5*$H$3639*(ABS(IF(ABS($E$3831)&gt;0.000000001,$E$3831,0.000000001))/$B$3635)^(1/3)))/ABS(IF(ABS($E$3831)&gt;0.000000001,$E$3831,0.000000001))*$I$3639)</f>
        <v/>
      </c>
      <c r="E3867" s="19">
        <f>0.5*$E$3831+0.5*$Z$3879</f>
        <v/>
      </c>
      <c r="F3867" s="19">
        <f>$Z$3880</f>
        <v/>
      </c>
    </row>
    <row r="3868">
      <c r="D3868" s="19">
        <f>IF(ABS(IF(ABS($E$3832)&gt;0.000000001,$E$3832,0.000000001))=0,0,IF($E$3640&lt;=$B$3633,0,IF(ABS(IF(ABS($E$3832)&gt;0.000000001,$E$3832,0.000000001))&gt;=8*$B$3635,$H$3640,0.5*$H$3640*(ABS(IF(ABS($E$3832)&gt;0.000000001,$E$3832,0.000000001))/$B$3635)^(1/3)))/ABS(IF(ABS($E$3832)&gt;0.000000001,$E$3832,0.000000001))*$I$3640)</f>
        <v/>
      </c>
      <c r="E3868" s="19">
        <f>0.5*$E$3832+0.5*$Z$3881</f>
        <v/>
      </c>
      <c r="F3868" s="19">
        <f>$Z$3882</f>
        <v/>
      </c>
    </row>
    <row r="3869">
      <c r="D3869" s="19">
        <f>IF(ABS(IF(ABS($E$3833)&gt;0.000000001,$E$3833,0.000000001))=0,0,IF($E$3641&lt;=$B$3633,0,IF(ABS(IF(ABS($E$3833)&gt;0.000000001,$E$3833,0.000000001))&gt;=8*$B$3635,$H$3641,0.5*$H$3641*(ABS(IF(ABS($E$3833)&gt;0.000000001,$E$3833,0.000000001))/$B$3635)^(1/3)))/ABS(IF(ABS($E$3833)&gt;0.000000001,$E$3833,0.000000001))*$I$3641)</f>
        <v/>
      </c>
      <c r="E3869" s="19">
        <f>0.5*$E$3833+0.5*$Z$3883</f>
        <v/>
      </c>
      <c r="F3869" s="19">
        <f>$Z$3884</f>
        <v/>
      </c>
    </row>
    <row r="3870">
      <c r="D3870" s="19">
        <f>IF(ABS(IF(ABS($E$3834)&gt;0.000000001,$E$3834,0.000000001))=0,0,IF($E$3642&lt;=$B$3633,0,IF(ABS(IF(ABS($E$3834)&gt;0.000000001,$E$3834,0.000000001))&gt;=8*$B$3635,$H$3642,0.5*$H$3642*(ABS(IF(ABS($E$3834)&gt;0.000000001,$E$3834,0.000000001))/$B$3635)^(1/3)))/ABS(IF(ABS($E$3834)&gt;0.000000001,$E$3834,0.000000001))*$I$3642)</f>
        <v/>
      </c>
      <c r="E3870" s="19">
        <f>0.5*$E$3834+0.5*$Z$3885</f>
        <v/>
      </c>
      <c r="F3870" s="19">
        <f>$Z$3886</f>
        <v/>
      </c>
    </row>
    <row r="3871">
      <c r="D3871" s="19">
        <f>IF(ABS(IF(ABS($E$3835)&gt;0.000000001,$E$3835,0.000000001))=0,0,IF($E$3643&lt;=$B$3633,0,IF(ABS(IF(ABS($E$3835)&gt;0.000000001,$E$3835,0.000000001))&gt;=8*$B$3635,$H$3643,0.5*$H$3643*(ABS(IF(ABS($E$3835)&gt;0.000000001,$E$3835,0.000000001))/$B$3635)^(1/3)))/ABS(IF(ABS($E$3835)&gt;0.000000001,$E$3835,0.000000001))*$I$3643)</f>
        <v/>
      </c>
      <c r="E3871" s="19">
        <f>0.5*$E$3835+0.5*$Z$3887</f>
        <v/>
      </c>
      <c r="F3871" s="19">
        <f>$Z$3888</f>
        <v/>
      </c>
    </row>
    <row r="3872">
      <c r="D3872" s="19">
        <f>IF(ABS(IF(ABS($E$3836)&gt;0.000000001,$E$3836,0.000000001))=0,0,IF($E$3644&lt;=$B$3633,0,IF(ABS(IF(ABS($E$3836)&gt;0.000000001,$E$3836,0.000000001))&gt;=8*$B$3635,$H$3644,0.5*$H$3644*(ABS(IF(ABS($E$3836)&gt;0.000000001,$E$3836,0.000000001))/$B$3635)^(1/3)))/ABS(IF(ABS($E$3836)&gt;0.000000001,$E$3836,0.000000001))*$I$3644)</f>
        <v/>
      </c>
      <c r="E3872" s="19">
        <f>0.5*$E$3836+0.5*$Z$3889</f>
        <v/>
      </c>
      <c r="F3872" s="19">
        <f>$Z$3890</f>
        <v/>
      </c>
    </row>
    <row r="3873">
      <c r="D3873" s="19">
        <f>IF(ABS(IF(ABS($E$3837)&gt;0.000000001,$E$3837,0.000000001))=0,0,IF($E$3645&lt;=$B$3633,0,IF(ABS(IF(ABS($E$3837)&gt;0.000000001,$E$3837,0.000000001))&gt;=8*$B$3635,$H$3645,0.5*$H$3645*(ABS(IF(ABS($E$3837)&gt;0.000000001,$E$3837,0.000000001))/$B$3635)^(1/3)))/ABS(IF(ABS($E$3837)&gt;0.000000001,$E$3837,0.000000001))*$I$3645)</f>
        <v/>
      </c>
      <c r="E3873" s="19">
        <f>0.5*$E$3837+0.5*$Z$3891</f>
        <v/>
      </c>
      <c r="F3873" s="19">
        <f>$Z$3892</f>
        <v/>
      </c>
    </row>
    <row r="3874">
      <c r="D3874" s="19">
        <f>IF(ABS(IF(ABS($E$3838)&gt;0.000000001,$E$3838,0.000000001))=0,0,IF($E$3646&lt;=$B$3633,0,IF(ABS(IF(ABS($E$3838)&gt;0.000000001,$E$3838,0.000000001))&gt;=8*$B$3635,$H$3646,0.5*$H$3646*(ABS(IF(ABS($E$3838)&gt;0.000000001,$E$3838,0.000000001))/$B$3635)^(1/3)))/ABS(IF(ABS($E$3838)&gt;0.000000001,$E$3838,0.000000001))*$I$3646)</f>
        <v/>
      </c>
      <c r="E3874" s="19">
        <f>0.5*$E$3838+0.5*$Z$3893</f>
        <v/>
      </c>
      <c r="F3874" s="19">
        <f>$Z$3894</f>
        <v/>
      </c>
    </row>
    <row r="3875">
      <c r="D3875" s="19">
        <f>IF(ABS(IF(ABS($E$3839)&gt;0.000000001,$E$3839,0.000000001))=0,0,IF($E$3647&lt;=$B$3633,0,IF(ABS(IF(ABS($E$3839)&gt;0.000000001,$E$3839,0.000000001))&gt;=8*$B$3635,$H$3647,0.5*$H$3647*(ABS(IF(ABS($E$3839)&gt;0.000000001,$E$3839,0.000000001))/$B$3635)^(1/3)))/ABS(IF(ABS($E$3839)&gt;0.000000001,$E$3839,0.000000001))*$I$3647)</f>
        <v/>
      </c>
      <c r="E3875" s="19">
        <f>0.5*$E$3839+0.5*$Z$3895</f>
        <v/>
      </c>
      <c r="F3875" s="19">
        <f>$Z$3896</f>
        <v/>
      </c>
    </row>
    <row r="3876">
      <c r="D3876" s="19">
        <f>IF(ABS(IF(ABS($E$3840)&gt;0.000000001,$E$3840,0.000000001))=0,0,IF($E$3648&lt;=$B$3633,0,IF(ABS(IF(ABS($E$3840)&gt;0.000000001,$E$3840,0.000000001))&gt;=8*$B$3635,$H$3648,0.5*$H$3648*(ABS(IF(ABS($E$3840)&gt;0.000000001,$E$3840,0.000000001))/$B$3635)^(1/3)))/ABS(IF(ABS($E$3840)&gt;0.000000001,$E$3840,0.000000001))*$I$3648)</f>
        <v/>
      </c>
      <c r="E3876" s="19">
        <f>0.5*$E$3840+0.5*$Z$3897</f>
        <v/>
      </c>
      <c r="F3876" s="19">
        <f>$Z$3898</f>
        <v/>
      </c>
    </row>
    <row r="3877">
      <c r="D3877" s="19">
        <f>IF(ABS(IF(ABS($E$3841)&gt;0.000000001,$E$3841,0.000000001))=0,0,IF($E$3649&lt;=$B$3633,0,IF(ABS(IF(ABS($E$3841)&gt;0.000000001,$E$3841,0.000000001))&gt;=8*$B$3635,$H$3649,0.5*$H$3649*(ABS(IF(ABS($E$3841)&gt;0.000000001,$E$3841,0.000000001))/$B$3635)^(1/3)))/ABS(IF(ABS($E$3841)&gt;0.000000001,$E$3841,0.000000001))*$I$3649)</f>
        <v/>
      </c>
      <c r="E3877" s="19">
        <f>0.5*$E$3841+0.5*$Z$3899</f>
        <v/>
      </c>
      <c r="F3877" s="19">
        <f>$Z$3900</f>
        <v/>
      </c>
    </row>
    <row r="3879">
      <c r="D3879" s="21">
        <f>$B$3624+$D$3867</f>
        <v/>
      </c>
      <c r="E3879" s="21">
        <f>$B$3625</f>
        <v/>
      </c>
      <c r="F3879" s="21">
        <f>-$B$3624</f>
        <v/>
      </c>
      <c r="G3879" s="21">
        <f>$B$3625</f>
        <v/>
      </c>
      <c r="H3879" s="21" t="n">
        <v>0</v>
      </c>
      <c r="I3879" s="21" t="n">
        <v>0</v>
      </c>
      <c r="J3879" s="21" t="n">
        <v>0</v>
      </c>
      <c r="K3879" s="21" t="n">
        <v>0</v>
      </c>
      <c r="L3879" s="21" t="n">
        <v>0</v>
      </c>
      <c r="M3879" s="21" t="n">
        <v>0</v>
      </c>
      <c r="N3879" s="21" t="n">
        <v>0</v>
      </c>
      <c r="O3879" s="21" t="n">
        <v>0</v>
      </c>
      <c r="P3879" s="21" t="n">
        <v>0</v>
      </c>
      <c r="Q3879" s="21" t="n">
        <v>0</v>
      </c>
      <c r="R3879" s="21" t="n">
        <v>0</v>
      </c>
      <c r="S3879" s="21" t="n">
        <v>0</v>
      </c>
      <c r="T3879" s="21" t="n">
        <v>0</v>
      </c>
      <c r="U3879" s="21" t="n">
        <v>0</v>
      </c>
      <c r="V3879" s="21" t="n">
        <v>0</v>
      </c>
      <c r="W3879" s="21" t="n">
        <v>0</v>
      </c>
      <c r="X3879" s="21" t="n">
        <v>0</v>
      </c>
      <c r="Y3879" s="21" t="n">
        <v>0</v>
      </c>
      <c r="Z3879" s="19">
        <f t="array" ref="Z3879:Z3900">MMULT(MINVERSE($D$3879:$Y$3900),$D$3651:$D$3672)</f>
        <v/>
      </c>
    </row>
    <row r="3880">
      <c r="D3880" s="21">
        <f>$B$3625</f>
        <v/>
      </c>
      <c r="E3880" s="21">
        <f>$B$3626</f>
        <v/>
      </c>
      <c r="F3880" s="21">
        <f>-$B$3625</f>
        <v/>
      </c>
      <c r="G3880" s="21">
        <f>$B$3627</f>
        <v/>
      </c>
      <c r="H3880" s="21" t="n">
        <v>0</v>
      </c>
      <c r="I3880" s="21" t="n">
        <v>0</v>
      </c>
      <c r="J3880" s="21" t="n">
        <v>0</v>
      </c>
      <c r="K3880" s="21" t="n">
        <v>0</v>
      </c>
      <c r="L3880" s="21" t="n">
        <v>0</v>
      </c>
      <c r="M3880" s="21" t="n">
        <v>0</v>
      </c>
      <c r="N3880" s="21" t="n">
        <v>0</v>
      </c>
      <c r="O3880" s="21" t="n">
        <v>0</v>
      </c>
      <c r="P3880" s="21" t="n">
        <v>0</v>
      </c>
      <c r="Q3880" s="21" t="n">
        <v>0</v>
      </c>
      <c r="R3880" s="21" t="n">
        <v>0</v>
      </c>
      <c r="S3880" s="21" t="n">
        <v>0</v>
      </c>
      <c r="T3880" s="21" t="n">
        <v>0</v>
      </c>
      <c r="U3880" s="21" t="n">
        <v>0</v>
      </c>
      <c r="V3880" s="21" t="n">
        <v>0</v>
      </c>
      <c r="W3880" s="21" t="n">
        <v>0</v>
      </c>
      <c r="X3880" s="21" t="n">
        <v>0</v>
      </c>
      <c r="Y3880" s="21" t="n">
        <v>0</v>
      </c>
      <c r="Z3880" s="19" t="n"/>
    </row>
    <row r="3881">
      <c r="D3881" s="21">
        <f>-$B$3624</f>
        <v/>
      </c>
      <c r="E3881" s="21">
        <f>-$B$3625</f>
        <v/>
      </c>
      <c r="F3881" s="21">
        <f>2*$B$3624+$D$3868</f>
        <v/>
      </c>
      <c r="G3881" s="21">
        <f>0</f>
        <v/>
      </c>
      <c r="H3881" s="21">
        <f>-$B$3624</f>
        <v/>
      </c>
      <c r="I3881" s="21">
        <f>$B$3625</f>
        <v/>
      </c>
      <c r="J3881" s="21" t="n">
        <v>0</v>
      </c>
      <c r="K3881" s="21" t="n">
        <v>0</v>
      </c>
      <c r="L3881" s="21" t="n">
        <v>0</v>
      </c>
      <c r="M3881" s="21" t="n">
        <v>0</v>
      </c>
      <c r="N3881" s="21" t="n">
        <v>0</v>
      </c>
      <c r="O3881" s="21" t="n">
        <v>0</v>
      </c>
      <c r="P3881" s="21" t="n">
        <v>0</v>
      </c>
      <c r="Q3881" s="21" t="n">
        <v>0</v>
      </c>
      <c r="R3881" s="21" t="n">
        <v>0</v>
      </c>
      <c r="S3881" s="21" t="n">
        <v>0</v>
      </c>
      <c r="T3881" s="21" t="n">
        <v>0</v>
      </c>
      <c r="U3881" s="21" t="n">
        <v>0</v>
      </c>
      <c r="V3881" s="21" t="n">
        <v>0</v>
      </c>
      <c r="W3881" s="21" t="n">
        <v>0</v>
      </c>
      <c r="X3881" s="21" t="n">
        <v>0</v>
      </c>
      <c r="Y3881" s="21" t="n">
        <v>0</v>
      </c>
      <c r="Z3881" s="19" t="n"/>
    </row>
    <row r="3882">
      <c r="D3882" s="21">
        <f>$B$3625</f>
        <v/>
      </c>
      <c r="E3882" s="21">
        <f>$B$3627</f>
        <v/>
      </c>
      <c r="F3882" s="21">
        <f>0</f>
        <v/>
      </c>
      <c r="G3882" s="21">
        <f>2*$B$3626</f>
        <v/>
      </c>
      <c r="H3882" s="21">
        <f>-$B$3625</f>
        <v/>
      </c>
      <c r="I3882" s="21">
        <f>$B$3627</f>
        <v/>
      </c>
      <c r="J3882" s="21" t="n">
        <v>0</v>
      </c>
      <c r="K3882" s="21" t="n">
        <v>0</v>
      </c>
      <c r="L3882" s="21" t="n">
        <v>0</v>
      </c>
      <c r="M3882" s="21" t="n">
        <v>0</v>
      </c>
      <c r="N3882" s="21" t="n">
        <v>0</v>
      </c>
      <c r="O3882" s="21" t="n">
        <v>0</v>
      </c>
      <c r="P3882" s="21" t="n">
        <v>0</v>
      </c>
      <c r="Q3882" s="21" t="n">
        <v>0</v>
      </c>
      <c r="R3882" s="21" t="n">
        <v>0</v>
      </c>
      <c r="S3882" s="21" t="n">
        <v>0</v>
      </c>
      <c r="T3882" s="21" t="n">
        <v>0</v>
      </c>
      <c r="U3882" s="21" t="n">
        <v>0</v>
      </c>
      <c r="V3882" s="21" t="n">
        <v>0</v>
      </c>
      <c r="W3882" s="21" t="n">
        <v>0</v>
      </c>
      <c r="X3882" s="21" t="n">
        <v>0</v>
      </c>
      <c r="Y3882" s="21" t="n">
        <v>0</v>
      </c>
      <c r="Z3882" s="19" t="n"/>
    </row>
    <row r="3883">
      <c r="D3883" s="21" t="n">
        <v>0</v>
      </c>
      <c r="E3883" s="21" t="n">
        <v>0</v>
      </c>
      <c r="F3883" s="21">
        <f>-$B$3624</f>
        <v/>
      </c>
      <c r="G3883" s="21">
        <f>-$B$3625</f>
        <v/>
      </c>
      <c r="H3883" s="21">
        <f>2*$B$3624+$D$3869</f>
        <v/>
      </c>
      <c r="I3883" s="21">
        <f>0</f>
        <v/>
      </c>
      <c r="J3883" s="21">
        <f>-$B$3624</f>
        <v/>
      </c>
      <c r="K3883" s="21">
        <f>$B$3625</f>
        <v/>
      </c>
      <c r="L3883" s="21" t="n">
        <v>0</v>
      </c>
      <c r="M3883" s="21" t="n">
        <v>0</v>
      </c>
      <c r="N3883" s="21" t="n">
        <v>0</v>
      </c>
      <c r="O3883" s="21" t="n">
        <v>0</v>
      </c>
      <c r="P3883" s="21" t="n">
        <v>0</v>
      </c>
      <c r="Q3883" s="21" t="n">
        <v>0</v>
      </c>
      <c r="R3883" s="21" t="n">
        <v>0</v>
      </c>
      <c r="S3883" s="21" t="n">
        <v>0</v>
      </c>
      <c r="T3883" s="21" t="n">
        <v>0</v>
      </c>
      <c r="U3883" s="21" t="n">
        <v>0</v>
      </c>
      <c r="V3883" s="21" t="n">
        <v>0</v>
      </c>
      <c r="W3883" s="21" t="n">
        <v>0</v>
      </c>
      <c r="X3883" s="21" t="n">
        <v>0</v>
      </c>
      <c r="Y3883" s="21" t="n">
        <v>0</v>
      </c>
      <c r="Z3883" s="19" t="n"/>
    </row>
    <row r="3884">
      <c r="D3884" s="21" t="n">
        <v>0</v>
      </c>
      <c r="E3884" s="21" t="n">
        <v>0</v>
      </c>
      <c r="F3884" s="21">
        <f>$B$3625</f>
        <v/>
      </c>
      <c r="G3884" s="21">
        <f>$B$3627</f>
        <v/>
      </c>
      <c r="H3884" s="21">
        <f>0</f>
        <v/>
      </c>
      <c r="I3884" s="21">
        <f>2*$B$3626</f>
        <v/>
      </c>
      <c r="J3884" s="21">
        <f>-$B$3625</f>
        <v/>
      </c>
      <c r="K3884" s="21">
        <f>$B$3627</f>
        <v/>
      </c>
      <c r="L3884" s="21" t="n">
        <v>0</v>
      </c>
      <c r="M3884" s="21" t="n">
        <v>0</v>
      </c>
      <c r="N3884" s="21" t="n">
        <v>0</v>
      </c>
      <c r="O3884" s="21" t="n">
        <v>0</v>
      </c>
      <c r="P3884" s="21" t="n">
        <v>0</v>
      </c>
      <c r="Q3884" s="21" t="n">
        <v>0</v>
      </c>
      <c r="R3884" s="21" t="n">
        <v>0</v>
      </c>
      <c r="S3884" s="21" t="n">
        <v>0</v>
      </c>
      <c r="T3884" s="21" t="n">
        <v>0</v>
      </c>
      <c r="U3884" s="21" t="n">
        <v>0</v>
      </c>
      <c r="V3884" s="21" t="n">
        <v>0</v>
      </c>
      <c r="W3884" s="21" t="n">
        <v>0</v>
      </c>
      <c r="X3884" s="21" t="n">
        <v>0</v>
      </c>
      <c r="Y3884" s="21" t="n">
        <v>0</v>
      </c>
      <c r="Z3884" s="19" t="n"/>
    </row>
    <row r="3885">
      <c r="D3885" s="21" t="n">
        <v>0</v>
      </c>
      <c r="E3885" s="21" t="n">
        <v>0</v>
      </c>
      <c r="F3885" s="21" t="n">
        <v>0</v>
      </c>
      <c r="G3885" s="21" t="n">
        <v>0</v>
      </c>
      <c r="H3885" s="21">
        <f>-$B$3624</f>
        <v/>
      </c>
      <c r="I3885" s="21">
        <f>-$B$3625</f>
        <v/>
      </c>
      <c r="J3885" s="21">
        <f>2*$B$3624+$D$3870</f>
        <v/>
      </c>
      <c r="K3885" s="21">
        <f>0</f>
        <v/>
      </c>
      <c r="L3885" s="21">
        <f>-$B$3624</f>
        <v/>
      </c>
      <c r="M3885" s="21">
        <f>$B$3625</f>
        <v/>
      </c>
      <c r="N3885" s="21" t="n">
        <v>0</v>
      </c>
      <c r="O3885" s="21" t="n">
        <v>0</v>
      </c>
      <c r="P3885" s="21" t="n">
        <v>0</v>
      </c>
      <c r="Q3885" s="21" t="n">
        <v>0</v>
      </c>
      <c r="R3885" s="21" t="n">
        <v>0</v>
      </c>
      <c r="S3885" s="21" t="n">
        <v>0</v>
      </c>
      <c r="T3885" s="21" t="n">
        <v>0</v>
      </c>
      <c r="U3885" s="21" t="n">
        <v>0</v>
      </c>
      <c r="V3885" s="21" t="n">
        <v>0</v>
      </c>
      <c r="W3885" s="21" t="n">
        <v>0</v>
      </c>
      <c r="X3885" s="21" t="n">
        <v>0</v>
      </c>
      <c r="Y3885" s="21" t="n">
        <v>0</v>
      </c>
      <c r="Z3885" s="19" t="n"/>
    </row>
    <row r="3886">
      <c r="D3886" s="21" t="n">
        <v>0</v>
      </c>
      <c r="E3886" s="21" t="n">
        <v>0</v>
      </c>
      <c r="F3886" s="21" t="n">
        <v>0</v>
      </c>
      <c r="G3886" s="21" t="n">
        <v>0</v>
      </c>
      <c r="H3886" s="21">
        <f>$B$3625</f>
        <v/>
      </c>
      <c r="I3886" s="21">
        <f>$B$3627</f>
        <v/>
      </c>
      <c r="J3886" s="21">
        <f>0</f>
        <v/>
      </c>
      <c r="K3886" s="21">
        <f>2*$B$3626</f>
        <v/>
      </c>
      <c r="L3886" s="21">
        <f>-$B$3625</f>
        <v/>
      </c>
      <c r="M3886" s="21">
        <f>$B$3627</f>
        <v/>
      </c>
      <c r="N3886" s="21" t="n">
        <v>0</v>
      </c>
      <c r="O3886" s="21" t="n">
        <v>0</v>
      </c>
      <c r="P3886" s="21" t="n">
        <v>0</v>
      </c>
      <c r="Q3886" s="21" t="n">
        <v>0</v>
      </c>
      <c r="R3886" s="21" t="n">
        <v>0</v>
      </c>
      <c r="S3886" s="21" t="n">
        <v>0</v>
      </c>
      <c r="T3886" s="21" t="n">
        <v>0</v>
      </c>
      <c r="U3886" s="21" t="n">
        <v>0</v>
      </c>
      <c r="V3886" s="21" t="n">
        <v>0</v>
      </c>
      <c r="W3886" s="21" t="n">
        <v>0</v>
      </c>
      <c r="X3886" s="21" t="n">
        <v>0</v>
      </c>
      <c r="Y3886" s="21" t="n">
        <v>0</v>
      </c>
      <c r="Z3886" s="19" t="n"/>
    </row>
    <row r="3887">
      <c r="D3887" s="21" t="n">
        <v>0</v>
      </c>
      <c r="E3887" s="21" t="n">
        <v>0</v>
      </c>
      <c r="F3887" s="21" t="n">
        <v>0</v>
      </c>
      <c r="G3887" s="21" t="n">
        <v>0</v>
      </c>
      <c r="H3887" s="21" t="n">
        <v>0</v>
      </c>
      <c r="I3887" s="21" t="n">
        <v>0</v>
      </c>
      <c r="J3887" s="21">
        <f>-$B$3624</f>
        <v/>
      </c>
      <c r="K3887" s="21">
        <f>-$B$3625</f>
        <v/>
      </c>
      <c r="L3887" s="21">
        <f>2*$B$3624+$D$3871</f>
        <v/>
      </c>
      <c r="M3887" s="21">
        <f>0</f>
        <v/>
      </c>
      <c r="N3887" s="21">
        <f>-$B$3624</f>
        <v/>
      </c>
      <c r="O3887" s="21">
        <f>$B$3625</f>
        <v/>
      </c>
      <c r="P3887" s="21" t="n">
        <v>0</v>
      </c>
      <c r="Q3887" s="21" t="n">
        <v>0</v>
      </c>
      <c r="R3887" s="21" t="n">
        <v>0</v>
      </c>
      <c r="S3887" s="21" t="n">
        <v>0</v>
      </c>
      <c r="T3887" s="21" t="n">
        <v>0</v>
      </c>
      <c r="U3887" s="21" t="n">
        <v>0</v>
      </c>
      <c r="V3887" s="21" t="n">
        <v>0</v>
      </c>
      <c r="W3887" s="21" t="n">
        <v>0</v>
      </c>
      <c r="X3887" s="21" t="n">
        <v>0</v>
      </c>
      <c r="Y3887" s="21" t="n">
        <v>0</v>
      </c>
      <c r="Z3887" s="19" t="n"/>
    </row>
    <row r="3888">
      <c r="D3888" s="21" t="n">
        <v>0</v>
      </c>
      <c r="E3888" s="21" t="n">
        <v>0</v>
      </c>
      <c r="F3888" s="21" t="n">
        <v>0</v>
      </c>
      <c r="G3888" s="21" t="n">
        <v>0</v>
      </c>
      <c r="H3888" s="21" t="n">
        <v>0</v>
      </c>
      <c r="I3888" s="21" t="n">
        <v>0</v>
      </c>
      <c r="J3888" s="21">
        <f>$B$3625</f>
        <v/>
      </c>
      <c r="K3888" s="21">
        <f>$B$3627</f>
        <v/>
      </c>
      <c r="L3888" s="21">
        <f>0</f>
        <v/>
      </c>
      <c r="M3888" s="21">
        <f>2*$B$3626</f>
        <v/>
      </c>
      <c r="N3888" s="21">
        <f>-$B$3625</f>
        <v/>
      </c>
      <c r="O3888" s="21">
        <f>$B$3627</f>
        <v/>
      </c>
      <c r="P3888" s="21" t="n">
        <v>0</v>
      </c>
      <c r="Q3888" s="21" t="n">
        <v>0</v>
      </c>
      <c r="R3888" s="21" t="n">
        <v>0</v>
      </c>
      <c r="S3888" s="21" t="n">
        <v>0</v>
      </c>
      <c r="T3888" s="21" t="n">
        <v>0</v>
      </c>
      <c r="U3888" s="21" t="n">
        <v>0</v>
      </c>
      <c r="V3888" s="21" t="n">
        <v>0</v>
      </c>
      <c r="W3888" s="21" t="n">
        <v>0</v>
      </c>
      <c r="X3888" s="21" t="n">
        <v>0</v>
      </c>
      <c r="Y3888" s="21" t="n">
        <v>0</v>
      </c>
      <c r="Z3888" s="19" t="n"/>
    </row>
    <row r="3889">
      <c r="D3889" s="21" t="n">
        <v>0</v>
      </c>
      <c r="E3889" s="21" t="n">
        <v>0</v>
      </c>
      <c r="F3889" s="21" t="n">
        <v>0</v>
      </c>
      <c r="G3889" s="21" t="n">
        <v>0</v>
      </c>
      <c r="H3889" s="21" t="n">
        <v>0</v>
      </c>
      <c r="I3889" s="21" t="n">
        <v>0</v>
      </c>
      <c r="J3889" s="21" t="n">
        <v>0</v>
      </c>
      <c r="K3889" s="21" t="n">
        <v>0</v>
      </c>
      <c r="L3889" s="21">
        <f>-$B$3624</f>
        <v/>
      </c>
      <c r="M3889" s="21">
        <f>-$B$3625</f>
        <v/>
      </c>
      <c r="N3889" s="21">
        <f>2*$B$3624+$D$3872</f>
        <v/>
      </c>
      <c r="O3889" s="21">
        <f>0</f>
        <v/>
      </c>
      <c r="P3889" s="21">
        <f>-$B$3624</f>
        <v/>
      </c>
      <c r="Q3889" s="21">
        <f>$B$3625</f>
        <v/>
      </c>
      <c r="R3889" s="21" t="n">
        <v>0</v>
      </c>
      <c r="S3889" s="21" t="n">
        <v>0</v>
      </c>
      <c r="T3889" s="21" t="n">
        <v>0</v>
      </c>
      <c r="U3889" s="21" t="n">
        <v>0</v>
      </c>
      <c r="V3889" s="21" t="n">
        <v>0</v>
      </c>
      <c r="W3889" s="21" t="n">
        <v>0</v>
      </c>
      <c r="X3889" s="21" t="n">
        <v>0</v>
      </c>
      <c r="Y3889" s="21" t="n">
        <v>0</v>
      </c>
      <c r="Z3889" s="19" t="n"/>
    </row>
    <row r="3890">
      <c r="D3890" s="21" t="n">
        <v>0</v>
      </c>
      <c r="E3890" s="21" t="n">
        <v>0</v>
      </c>
      <c r="F3890" s="21" t="n">
        <v>0</v>
      </c>
      <c r="G3890" s="21" t="n">
        <v>0</v>
      </c>
      <c r="H3890" s="21" t="n">
        <v>0</v>
      </c>
      <c r="I3890" s="21" t="n">
        <v>0</v>
      </c>
      <c r="J3890" s="21" t="n">
        <v>0</v>
      </c>
      <c r="K3890" s="21" t="n">
        <v>0</v>
      </c>
      <c r="L3890" s="21">
        <f>$B$3625</f>
        <v/>
      </c>
      <c r="M3890" s="21">
        <f>$B$3627</f>
        <v/>
      </c>
      <c r="N3890" s="21">
        <f>0</f>
        <v/>
      </c>
      <c r="O3890" s="21">
        <f>2*$B$3626</f>
        <v/>
      </c>
      <c r="P3890" s="21">
        <f>-$B$3625</f>
        <v/>
      </c>
      <c r="Q3890" s="21">
        <f>$B$3627</f>
        <v/>
      </c>
      <c r="R3890" s="21" t="n">
        <v>0</v>
      </c>
      <c r="S3890" s="21" t="n">
        <v>0</v>
      </c>
      <c r="T3890" s="21" t="n">
        <v>0</v>
      </c>
      <c r="U3890" s="21" t="n">
        <v>0</v>
      </c>
      <c r="V3890" s="21" t="n">
        <v>0</v>
      </c>
      <c r="W3890" s="21" t="n">
        <v>0</v>
      </c>
      <c r="X3890" s="21" t="n">
        <v>0</v>
      </c>
      <c r="Y3890" s="21" t="n">
        <v>0</v>
      </c>
      <c r="Z3890" s="19" t="n"/>
    </row>
    <row r="3891">
      <c r="D3891" s="21" t="n">
        <v>0</v>
      </c>
      <c r="E3891" s="21" t="n">
        <v>0</v>
      </c>
      <c r="F3891" s="21" t="n">
        <v>0</v>
      </c>
      <c r="G3891" s="21" t="n">
        <v>0</v>
      </c>
      <c r="H3891" s="21" t="n">
        <v>0</v>
      </c>
      <c r="I3891" s="21" t="n">
        <v>0</v>
      </c>
      <c r="J3891" s="21" t="n">
        <v>0</v>
      </c>
      <c r="K3891" s="21" t="n">
        <v>0</v>
      </c>
      <c r="L3891" s="21" t="n">
        <v>0</v>
      </c>
      <c r="M3891" s="21" t="n">
        <v>0</v>
      </c>
      <c r="N3891" s="21">
        <f>-$B$3624</f>
        <v/>
      </c>
      <c r="O3891" s="21">
        <f>-$B$3625</f>
        <v/>
      </c>
      <c r="P3891" s="21">
        <f>2*$B$3624+$D$3873</f>
        <v/>
      </c>
      <c r="Q3891" s="21">
        <f>0</f>
        <v/>
      </c>
      <c r="R3891" s="21">
        <f>-$B$3624</f>
        <v/>
      </c>
      <c r="S3891" s="21">
        <f>$B$3625</f>
        <v/>
      </c>
      <c r="T3891" s="21" t="n">
        <v>0</v>
      </c>
      <c r="U3891" s="21" t="n">
        <v>0</v>
      </c>
      <c r="V3891" s="21" t="n">
        <v>0</v>
      </c>
      <c r="W3891" s="21" t="n">
        <v>0</v>
      </c>
      <c r="X3891" s="21" t="n">
        <v>0</v>
      </c>
      <c r="Y3891" s="21" t="n">
        <v>0</v>
      </c>
      <c r="Z3891" s="19" t="n"/>
    </row>
    <row r="3892">
      <c r="D3892" s="21" t="n">
        <v>0</v>
      </c>
      <c r="E3892" s="21" t="n">
        <v>0</v>
      </c>
      <c r="F3892" s="21" t="n">
        <v>0</v>
      </c>
      <c r="G3892" s="21" t="n">
        <v>0</v>
      </c>
      <c r="H3892" s="21" t="n">
        <v>0</v>
      </c>
      <c r="I3892" s="21" t="n">
        <v>0</v>
      </c>
      <c r="J3892" s="21" t="n">
        <v>0</v>
      </c>
      <c r="K3892" s="21" t="n">
        <v>0</v>
      </c>
      <c r="L3892" s="21" t="n">
        <v>0</v>
      </c>
      <c r="M3892" s="21" t="n">
        <v>0</v>
      </c>
      <c r="N3892" s="21">
        <f>$B$3625</f>
        <v/>
      </c>
      <c r="O3892" s="21">
        <f>$B$3627</f>
        <v/>
      </c>
      <c r="P3892" s="21">
        <f>0</f>
        <v/>
      </c>
      <c r="Q3892" s="21">
        <f>2*$B$3626</f>
        <v/>
      </c>
      <c r="R3892" s="21">
        <f>-$B$3625</f>
        <v/>
      </c>
      <c r="S3892" s="21">
        <f>$B$3627</f>
        <v/>
      </c>
      <c r="T3892" s="21" t="n">
        <v>0</v>
      </c>
      <c r="U3892" s="21" t="n">
        <v>0</v>
      </c>
      <c r="V3892" s="21" t="n">
        <v>0</v>
      </c>
      <c r="W3892" s="21" t="n">
        <v>0</v>
      </c>
      <c r="X3892" s="21" t="n">
        <v>0</v>
      </c>
      <c r="Y3892" s="21" t="n">
        <v>0</v>
      </c>
      <c r="Z3892" s="19" t="n"/>
    </row>
    <row r="3893">
      <c r="D3893" s="21" t="n">
        <v>0</v>
      </c>
      <c r="E3893" s="21" t="n">
        <v>0</v>
      </c>
      <c r="F3893" s="21" t="n">
        <v>0</v>
      </c>
      <c r="G3893" s="21" t="n">
        <v>0</v>
      </c>
      <c r="H3893" s="21" t="n">
        <v>0</v>
      </c>
      <c r="I3893" s="21" t="n">
        <v>0</v>
      </c>
      <c r="J3893" s="21" t="n">
        <v>0</v>
      </c>
      <c r="K3893" s="21" t="n">
        <v>0</v>
      </c>
      <c r="L3893" s="21" t="n">
        <v>0</v>
      </c>
      <c r="M3893" s="21" t="n">
        <v>0</v>
      </c>
      <c r="N3893" s="21" t="n">
        <v>0</v>
      </c>
      <c r="O3893" s="21" t="n">
        <v>0</v>
      </c>
      <c r="P3893" s="21">
        <f>-$B$3624</f>
        <v/>
      </c>
      <c r="Q3893" s="21">
        <f>-$B$3625</f>
        <v/>
      </c>
      <c r="R3893" s="21">
        <f>2*$B$3624+$D$3874</f>
        <v/>
      </c>
      <c r="S3893" s="21">
        <f>0</f>
        <v/>
      </c>
      <c r="T3893" s="21">
        <f>-$B$3624</f>
        <v/>
      </c>
      <c r="U3893" s="21">
        <f>$B$3625</f>
        <v/>
      </c>
      <c r="V3893" s="21" t="n">
        <v>0</v>
      </c>
      <c r="W3893" s="21" t="n">
        <v>0</v>
      </c>
      <c r="X3893" s="21" t="n">
        <v>0</v>
      </c>
      <c r="Y3893" s="21" t="n">
        <v>0</v>
      </c>
      <c r="Z3893" s="19" t="n"/>
    </row>
    <row r="3894">
      <c r="D3894" s="21" t="n">
        <v>0</v>
      </c>
      <c r="E3894" s="21" t="n">
        <v>0</v>
      </c>
      <c r="F3894" s="21" t="n">
        <v>0</v>
      </c>
      <c r="G3894" s="21" t="n">
        <v>0</v>
      </c>
      <c r="H3894" s="21" t="n">
        <v>0</v>
      </c>
      <c r="I3894" s="21" t="n">
        <v>0</v>
      </c>
      <c r="J3894" s="21" t="n">
        <v>0</v>
      </c>
      <c r="K3894" s="21" t="n">
        <v>0</v>
      </c>
      <c r="L3894" s="21" t="n">
        <v>0</v>
      </c>
      <c r="M3894" s="21" t="n">
        <v>0</v>
      </c>
      <c r="N3894" s="21" t="n">
        <v>0</v>
      </c>
      <c r="O3894" s="21" t="n">
        <v>0</v>
      </c>
      <c r="P3894" s="21">
        <f>$B$3625</f>
        <v/>
      </c>
      <c r="Q3894" s="21">
        <f>$B$3627</f>
        <v/>
      </c>
      <c r="R3894" s="21">
        <f>0</f>
        <v/>
      </c>
      <c r="S3894" s="21">
        <f>2*$B$3626</f>
        <v/>
      </c>
      <c r="T3894" s="21">
        <f>-$B$3625</f>
        <v/>
      </c>
      <c r="U3894" s="21">
        <f>$B$3627</f>
        <v/>
      </c>
      <c r="V3894" s="21" t="n">
        <v>0</v>
      </c>
      <c r="W3894" s="21" t="n">
        <v>0</v>
      </c>
      <c r="X3894" s="21" t="n">
        <v>0</v>
      </c>
      <c r="Y3894" s="21" t="n">
        <v>0</v>
      </c>
      <c r="Z3894" s="19" t="n"/>
    </row>
    <row r="3895">
      <c r="D3895" s="21" t="n">
        <v>0</v>
      </c>
      <c r="E3895" s="21" t="n">
        <v>0</v>
      </c>
      <c r="F3895" s="21" t="n">
        <v>0</v>
      </c>
      <c r="G3895" s="21" t="n">
        <v>0</v>
      </c>
      <c r="H3895" s="21" t="n">
        <v>0</v>
      </c>
      <c r="I3895" s="21" t="n">
        <v>0</v>
      </c>
      <c r="J3895" s="21" t="n">
        <v>0</v>
      </c>
      <c r="K3895" s="21" t="n">
        <v>0</v>
      </c>
      <c r="L3895" s="21" t="n">
        <v>0</v>
      </c>
      <c r="M3895" s="21" t="n">
        <v>0</v>
      </c>
      <c r="N3895" s="21" t="n">
        <v>0</v>
      </c>
      <c r="O3895" s="21" t="n">
        <v>0</v>
      </c>
      <c r="P3895" s="21" t="n">
        <v>0</v>
      </c>
      <c r="Q3895" s="21" t="n">
        <v>0</v>
      </c>
      <c r="R3895" s="21">
        <f>-$B$3624</f>
        <v/>
      </c>
      <c r="S3895" s="21">
        <f>-$B$3625</f>
        <v/>
      </c>
      <c r="T3895" s="21">
        <f>2*$B$3624+$D$3875</f>
        <v/>
      </c>
      <c r="U3895" s="21">
        <f>0</f>
        <v/>
      </c>
      <c r="V3895" s="21">
        <f>-$B$3624</f>
        <v/>
      </c>
      <c r="W3895" s="21">
        <f>$B$3625</f>
        <v/>
      </c>
      <c r="X3895" s="21" t="n">
        <v>0</v>
      </c>
      <c r="Y3895" s="21" t="n">
        <v>0</v>
      </c>
      <c r="Z3895" s="19" t="n"/>
    </row>
    <row r="3896">
      <c r="D3896" s="21" t="n">
        <v>0</v>
      </c>
      <c r="E3896" s="21" t="n">
        <v>0</v>
      </c>
      <c r="F3896" s="21" t="n">
        <v>0</v>
      </c>
      <c r="G3896" s="21" t="n">
        <v>0</v>
      </c>
      <c r="H3896" s="21" t="n">
        <v>0</v>
      </c>
      <c r="I3896" s="21" t="n">
        <v>0</v>
      </c>
      <c r="J3896" s="21" t="n">
        <v>0</v>
      </c>
      <c r="K3896" s="21" t="n">
        <v>0</v>
      </c>
      <c r="L3896" s="21" t="n">
        <v>0</v>
      </c>
      <c r="M3896" s="21" t="n">
        <v>0</v>
      </c>
      <c r="N3896" s="21" t="n">
        <v>0</v>
      </c>
      <c r="O3896" s="21" t="n">
        <v>0</v>
      </c>
      <c r="P3896" s="21" t="n">
        <v>0</v>
      </c>
      <c r="Q3896" s="21" t="n">
        <v>0</v>
      </c>
      <c r="R3896" s="21">
        <f>$B$3625</f>
        <v/>
      </c>
      <c r="S3896" s="21">
        <f>$B$3627</f>
        <v/>
      </c>
      <c r="T3896" s="21">
        <f>0</f>
        <v/>
      </c>
      <c r="U3896" s="21">
        <f>2*$B$3626</f>
        <v/>
      </c>
      <c r="V3896" s="21">
        <f>-$B$3625</f>
        <v/>
      </c>
      <c r="W3896" s="21">
        <f>$B$3627</f>
        <v/>
      </c>
      <c r="X3896" s="21" t="n">
        <v>0</v>
      </c>
      <c r="Y3896" s="21" t="n">
        <v>0</v>
      </c>
      <c r="Z3896" s="19" t="n"/>
    </row>
    <row r="3897">
      <c r="D3897" s="21" t="n">
        <v>0</v>
      </c>
      <c r="E3897" s="21" t="n">
        <v>0</v>
      </c>
      <c r="F3897" s="21" t="n">
        <v>0</v>
      </c>
      <c r="G3897" s="21" t="n">
        <v>0</v>
      </c>
      <c r="H3897" s="21" t="n">
        <v>0</v>
      </c>
      <c r="I3897" s="21" t="n">
        <v>0</v>
      </c>
      <c r="J3897" s="21" t="n">
        <v>0</v>
      </c>
      <c r="K3897" s="21" t="n">
        <v>0</v>
      </c>
      <c r="L3897" s="21" t="n">
        <v>0</v>
      </c>
      <c r="M3897" s="21" t="n">
        <v>0</v>
      </c>
      <c r="N3897" s="21" t="n">
        <v>0</v>
      </c>
      <c r="O3897" s="21" t="n">
        <v>0</v>
      </c>
      <c r="P3897" s="21" t="n">
        <v>0</v>
      </c>
      <c r="Q3897" s="21" t="n">
        <v>0</v>
      </c>
      <c r="R3897" s="21" t="n">
        <v>0</v>
      </c>
      <c r="S3897" s="21" t="n">
        <v>0</v>
      </c>
      <c r="T3897" s="21">
        <f>-$B$3624</f>
        <v/>
      </c>
      <c r="U3897" s="21">
        <f>-$B$3625</f>
        <v/>
      </c>
      <c r="V3897" s="21">
        <f>2*$B$3624+$D$3876</f>
        <v/>
      </c>
      <c r="W3897" s="21">
        <f>0</f>
        <v/>
      </c>
      <c r="X3897" s="21">
        <f>-$B$3624</f>
        <v/>
      </c>
      <c r="Y3897" s="21">
        <f>$B$3625</f>
        <v/>
      </c>
      <c r="Z3897" s="19" t="n"/>
    </row>
    <row r="3898">
      <c r="D3898" s="21" t="n">
        <v>0</v>
      </c>
      <c r="E3898" s="21" t="n">
        <v>0</v>
      </c>
      <c r="F3898" s="21" t="n">
        <v>0</v>
      </c>
      <c r="G3898" s="21" t="n">
        <v>0</v>
      </c>
      <c r="H3898" s="21" t="n">
        <v>0</v>
      </c>
      <c r="I3898" s="21" t="n">
        <v>0</v>
      </c>
      <c r="J3898" s="21" t="n">
        <v>0</v>
      </c>
      <c r="K3898" s="21" t="n">
        <v>0</v>
      </c>
      <c r="L3898" s="21" t="n">
        <v>0</v>
      </c>
      <c r="M3898" s="21" t="n">
        <v>0</v>
      </c>
      <c r="N3898" s="21" t="n">
        <v>0</v>
      </c>
      <c r="O3898" s="21" t="n">
        <v>0</v>
      </c>
      <c r="P3898" s="21" t="n">
        <v>0</v>
      </c>
      <c r="Q3898" s="21" t="n">
        <v>0</v>
      </c>
      <c r="R3898" s="21" t="n">
        <v>0</v>
      </c>
      <c r="S3898" s="21" t="n">
        <v>0</v>
      </c>
      <c r="T3898" s="21">
        <f>$B$3625</f>
        <v/>
      </c>
      <c r="U3898" s="21">
        <f>$B$3627</f>
        <v/>
      </c>
      <c r="V3898" s="21">
        <f>0</f>
        <v/>
      </c>
      <c r="W3898" s="21">
        <f>2*$B$3626</f>
        <v/>
      </c>
      <c r="X3898" s="21">
        <f>-$B$3625</f>
        <v/>
      </c>
      <c r="Y3898" s="21">
        <f>$B$3627</f>
        <v/>
      </c>
      <c r="Z3898" s="19" t="n"/>
    </row>
    <row r="3899">
      <c r="D3899" s="21" t="n">
        <v>0</v>
      </c>
      <c r="E3899" s="21" t="n">
        <v>0</v>
      </c>
      <c r="F3899" s="21" t="n">
        <v>0</v>
      </c>
      <c r="G3899" s="21" t="n">
        <v>0</v>
      </c>
      <c r="H3899" s="21" t="n">
        <v>0</v>
      </c>
      <c r="I3899" s="21" t="n">
        <v>0</v>
      </c>
      <c r="J3899" s="21" t="n">
        <v>0</v>
      </c>
      <c r="K3899" s="21" t="n">
        <v>0</v>
      </c>
      <c r="L3899" s="21" t="n">
        <v>0</v>
      </c>
      <c r="M3899" s="21" t="n">
        <v>0</v>
      </c>
      <c r="N3899" s="21" t="n">
        <v>0</v>
      </c>
      <c r="O3899" s="21" t="n">
        <v>0</v>
      </c>
      <c r="P3899" s="21" t="n">
        <v>0</v>
      </c>
      <c r="Q3899" s="21" t="n">
        <v>0</v>
      </c>
      <c r="R3899" s="21" t="n">
        <v>0</v>
      </c>
      <c r="S3899" s="21" t="n">
        <v>0</v>
      </c>
      <c r="T3899" s="21" t="n">
        <v>0</v>
      </c>
      <c r="U3899" s="21" t="n">
        <v>0</v>
      </c>
      <c r="V3899" s="21">
        <f>-$B$3624</f>
        <v/>
      </c>
      <c r="W3899" s="21">
        <f>-$B$3625</f>
        <v/>
      </c>
      <c r="X3899" s="21">
        <f>$B$3624+$D$3877</f>
        <v/>
      </c>
      <c r="Y3899" s="21">
        <f>-$B$3625</f>
        <v/>
      </c>
      <c r="Z3899" s="19" t="n"/>
    </row>
    <row r="3900">
      <c r="D3900" s="21" t="n">
        <v>0</v>
      </c>
      <c r="E3900" s="21" t="n">
        <v>0</v>
      </c>
      <c r="F3900" s="21" t="n">
        <v>0</v>
      </c>
      <c r="G3900" s="21" t="n">
        <v>0</v>
      </c>
      <c r="H3900" s="21" t="n">
        <v>0</v>
      </c>
      <c r="I3900" s="21" t="n">
        <v>0</v>
      </c>
      <c r="J3900" s="21" t="n">
        <v>0</v>
      </c>
      <c r="K3900" s="21" t="n">
        <v>0</v>
      </c>
      <c r="L3900" s="21" t="n">
        <v>0</v>
      </c>
      <c r="M3900" s="21" t="n">
        <v>0</v>
      </c>
      <c r="N3900" s="21" t="n">
        <v>0</v>
      </c>
      <c r="O3900" s="21" t="n">
        <v>0</v>
      </c>
      <c r="P3900" s="21" t="n">
        <v>0</v>
      </c>
      <c r="Q3900" s="21" t="n">
        <v>0</v>
      </c>
      <c r="R3900" s="21" t="n">
        <v>0</v>
      </c>
      <c r="S3900" s="21" t="n">
        <v>0</v>
      </c>
      <c r="T3900" s="21" t="n">
        <v>0</v>
      </c>
      <c r="U3900" s="21" t="n">
        <v>0</v>
      </c>
      <c r="V3900" s="21">
        <f>$B$3625</f>
        <v/>
      </c>
      <c r="W3900" s="21">
        <f>$B$3627</f>
        <v/>
      </c>
      <c r="X3900" s="21">
        <f>-$B$3625</f>
        <v/>
      </c>
      <c r="Y3900" s="21">
        <f>$B$3626</f>
        <v/>
      </c>
      <c r="Z3900" s="19" t="n"/>
    </row>
    <row r="3902">
      <c r="A3902" s="8" t="inlineStr">
        <is>
          <t>gen 7</t>
        </is>
      </c>
    </row>
    <row r="3903">
      <c r="D3903" s="19">
        <f>IF(ABS(IF(ABS($E$3867)&gt;0.000000001,$E$3867,0.000000001))=0,0,IF($E$3639&lt;=$B$3633,0,IF(ABS(IF(ABS($E$3867)&gt;0.000000001,$E$3867,0.000000001))&gt;=8*$B$3635,$H$3639,0.5*$H$3639*(ABS(IF(ABS($E$3867)&gt;0.000000001,$E$3867,0.000000001))/$B$3635)^(1/3)))/ABS(IF(ABS($E$3867)&gt;0.000000001,$E$3867,0.000000001))*$I$3639)</f>
        <v/>
      </c>
      <c r="E3903" s="19">
        <f>0.5*$E$3867+0.5*$Z$3915</f>
        <v/>
      </c>
      <c r="F3903" s="19">
        <f>$Z$3916</f>
        <v/>
      </c>
    </row>
    <row r="3904">
      <c r="D3904" s="19">
        <f>IF(ABS(IF(ABS($E$3868)&gt;0.000000001,$E$3868,0.000000001))=0,0,IF($E$3640&lt;=$B$3633,0,IF(ABS(IF(ABS($E$3868)&gt;0.000000001,$E$3868,0.000000001))&gt;=8*$B$3635,$H$3640,0.5*$H$3640*(ABS(IF(ABS($E$3868)&gt;0.000000001,$E$3868,0.000000001))/$B$3635)^(1/3)))/ABS(IF(ABS($E$3868)&gt;0.000000001,$E$3868,0.000000001))*$I$3640)</f>
        <v/>
      </c>
      <c r="E3904" s="19">
        <f>0.5*$E$3868+0.5*$Z$3917</f>
        <v/>
      </c>
      <c r="F3904" s="19">
        <f>$Z$3918</f>
        <v/>
      </c>
    </row>
    <row r="3905">
      <c r="D3905" s="19">
        <f>IF(ABS(IF(ABS($E$3869)&gt;0.000000001,$E$3869,0.000000001))=0,0,IF($E$3641&lt;=$B$3633,0,IF(ABS(IF(ABS($E$3869)&gt;0.000000001,$E$3869,0.000000001))&gt;=8*$B$3635,$H$3641,0.5*$H$3641*(ABS(IF(ABS($E$3869)&gt;0.000000001,$E$3869,0.000000001))/$B$3635)^(1/3)))/ABS(IF(ABS($E$3869)&gt;0.000000001,$E$3869,0.000000001))*$I$3641)</f>
        <v/>
      </c>
      <c r="E3905" s="19">
        <f>0.5*$E$3869+0.5*$Z$3919</f>
        <v/>
      </c>
      <c r="F3905" s="19">
        <f>$Z$3920</f>
        <v/>
      </c>
    </row>
    <row r="3906">
      <c r="D3906" s="19">
        <f>IF(ABS(IF(ABS($E$3870)&gt;0.000000001,$E$3870,0.000000001))=0,0,IF($E$3642&lt;=$B$3633,0,IF(ABS(IF(ABS($E$3870)&gt;0.000000001,$E$3870,0.000000001))&gt;=8*$B$3635,$H$3642,0.5*$H$3642*(ABS(IF(ABS($E$3870)&gt;0.000000001,$E$3870,0.000000001))/$B$3635)^(1/3)))/ABS(IF(ABS($E$3870)&gt;0.000000001,$E$3870,0.000000001))*$I$3642)</f>
        <v/>
      </c>
      <c r="E3906" s="19">
        <f>0.5*$E$3870+0.5*$Z$3921</f>
        <v/>
      </c>
      <c r="F3906" s="19">
        <f>$Z$3922</f>
        <v/>
      </c>
    </row>
    <row r="3907">
      <c r="D3907" s="19">
        <f>IF(ABS(IF(ABS($E$3871)&gt;0.000000001,$E$3871,0.000000001))=0,0,IF($E$3643&lt;=$B$3633,0,IF(ABS(IF(ABS($E$3871)&gt;0.000000001,$E$3871,0.000000001))&gt;=8*$B$3635,$H$3643,0.5*$H$3643*(ABS(IF(ABS($E$3871)&gt;0.000000001,$E$3871,0.000000001))/$B$3635)^(1/3)))/ABS(IF(ABS($E$3871)&gt;0.000000001,$E$3871,0.000000001))*$I$3643)</f>
        <v/>
      </c>
      <c r="E3907" s="19">
        <f>0.5*$E$3871+0.5*$Z$3923</f>
        <v/>
      </c>
      <c r="F3907" s="19">
        <f>$Z$3924</f>
        <v/>
      </c>
    </row>
    <row r="3908">
      <c r="D3908" s="19">
        <f>IF(ABS(IF(ABS($E$3872)&gt;0.000000001,$E$3872,0.000000001))=0,0,IF($E$3644&lt;=$B$3633,0,IF(ABS(IF(ABS($E$3872)&gt;0.000000001,$E$3872,0.000000001))&gt;=8*$B$3635,$H$3644,0.5*$H$3644*(ABS(IF(ABS($E$3872)&gt;0.000000001,$E$3872,0.000000001))/$B$3635)^(1/3)))/ABS(IF(ABS($E$3872)&gt;0.000000001,$E$3872,0.000000001))*$I$3644)</f>
        <v/>
      </c>
      <c r="E3908" s="19">
        <f>0.5*$E$3872+0.5*$Z$3925</f>
        <v/>
      </c>
      <c r="F3908" s="19">
        <f>$Z$3926</f>
        <v/>
      </c>
    </row>
    <row r="3909">
      <c r="D3909" s="19">
        <f>IF(ABS(IF(ABS($E$3873)&gt;0.000000001,$E$3873,0.000000001))=0,0,IF($E$3645&lt;=$B$3633,0,IF(ABS(IF(ABS($E$3873)&gt;0.000000001,$E$3873,0.000000001))&gt;=8*$B$3635,$H$3645,0.5*$H$3645*(ABS(IF(ABS($E$3873)&gt;0.000000001,$E$3873,0.000000001))/$B$3635)^(1/3)))/ABS(IF(ABS($E$3873)&gt;0.000000001,$E$3873,0.000000001))*$I$3645)</f>
        <v/>
      </c>
      <c r="E3909" s="19">
        <f>0.5*$E$3873+0.5*$Z$3927</f>
        <v/>
      </c>
      <c r="F3909" s="19">
        <f>$Z$3928</f>
        <v/>
      </c>
    </row>
    <row r="3910">
      <c r="D3910" s="19">
        <f>IF(ABS(IF(ABS($E$3874)&gt;0.000000001,$E$3874,0.000000001))=0,0,IF($E$3646&lt;=$B$3633,0,IF(ABS(IF(ABS($E$3874)&gt;0.000000001,$E$3874,0.000000001))&gt;=8*$B$3635,$H$3646,0.5*$H$3646*(ABS(IF(ABS($E$3874)&gt;0.000000001,$E$3874,0.000000001))/$B$3635)^(1/3)))/ABS(IF(ABS($E$3874)&gt;0.000000001,$E$3874,0.000000001))*$I$3646)</f>
        <v/>
      </c>
      <c r="E3910" s="19">
        <f>0.5*$E$3874+0.5*$Z$3929</f>
        <v/>
      </c>
      <c r="F3910" s="19">
        <f>$Z$3930</f>
        <v/>
      </c>
    </row>
    <row r="3911">
      <c r="D3911" s="19">
        <f>IF(ABS(IF(ABS($E$3875)&gt;0.000000001,$E$3875,0.000000001))=0,0,IF($E$3647&lt;=$B$3633,0,IF(ABS(IF(ABS($E$3875)&gt;0.000000001,$E$3875,0.000000001))&gt;=8*$B$3635,$H$3647,0.5*$H$3647*(ABS(IF(ABS($E$3875)&gt;0.000000001,$E$3875,0.000000001))/$B$3635)^(1/3)))/ABS(IF(ABS($E$3875)&gt;0.000000001,$E$3875,0.000000001))*$I$3647)</f>
        <v/>
      </c>
      <c r="E3911" s="19">
        <f>0.5*$E$3875+0.5*$Z$3931</f>
        <v/>
      </c>
      <c r="F3911" s="19">
        <f>$Z$3932</f>
        <v/>
      </c>
    </row>
    <row r="3912">
      <c r="D3912" s="19">
        <f>IF(ABS(IF(ABS($E$3876)&gt;0.000000001,$E$3876,0.000000001))=0,0,IF($E$3648&lt;=$B$3633,0,IF(ABS(IF(ABS($E$3876)&gt;0.000000001,$E$3876,0.000000001))&gt;=8*$B$3635,$H$3648,0.5*$H$3648*(ABS(IF(ABS($E$3876)&gt;0.000000001,$E$3876,0.000000001))/$B$3635)^(1/3)))/ABS(IF(ABS($E$3876)&gt;0.000000001,$E$3876,0.000000001))*$I$3648)</f>
        <v/>
      </c>
      <c r="E3912" s="19">
        <f>0.5*$E$3876+0.5*$Z$3933</f>
        <v/>
      </c>
      <c r="F3912" s="19">
        <f>$Z$3934</f>
        <v/>
      </c>
    </row>
    <row r="3913">
      <c r="D3913" s="19">
        <f>IF(ABS(IF(ABS($E$3877)&gt;0.000000001,$E$3877,0.000000001))=0,0,IF($E$3649&lt;=$B$3633,0,IF(ABS(IF(ABS($E$3877)&gt;0.000000001,$E$3877,0.000000001))&gt;=8*$B$3635,$H$3649,0.5*$H$3649*(ABS(IF(ABS($E$3877)&gt;0.000000001,$E$3877,0.000000001))/$B$3635)^(1/3)))/ABS(IF(ABS($E$3877)&gt;0.000000001,$E$3877,0.000000001))*$I$3649)</f>
        <v/>
      </c>
      <c r="E3913" s="19">
        <f>0.5*$E$3877+0.5*$Z$3935</f>
        <v/>
      </c>
      <c r="F3913" s="19">
        <f>$Z$3936</f>
        <v/>
      </c>
    </row>
    <row r="3915">
      <c r="D3915" s="21">
        <f>$B$3624+$D$3903</f>
        <v/>
      </c>
      <c r="E3915" s="21">
        <f>$B$3625</f>
        <v/>
      </c>
      <c r="F3915" s="21">
        <f>-$B$3624</f>
        <v/>
      </c>
      <c r="G3915" s="21">
        <f>$B$3625</f>
        <v/>
      </c>
      <c r="H3915" s="21" t="n">
        <v>0</v>
      </c>
      <c r="I3915" s="21" t="n">
        <v>0</v>
      </c>
      <c r="J3915" s="21" t="n">
        <v>0</v>
      </c>
      <c r="K3915" s="21" t="n">
        <v>0</v>
      </c>
      <c r="L3915" s="21" t="n">
        <v>0</v>
      </c>
      <c r="M3915" s="21" t="n">
        <v>0</v>
      </c>
      <c r="N3915" s="21" t="n">
        <v>0</v>
      </c>
      <c r="O3915" s="21" t="n">
        <v>0</v>
      </c>
      <c r="P3915" s="21" t="n">
        <v>0</v>
      </c>
      <c r="Q3915" s="21" t="n">
        <v>0</v>
      </c>
      <c r="R3915" s="21" t="n">
        <v>0</v>
      </c>
      <c r="S3915" s="21" t="n">
        <v>0</v>
      </c>
      <c r="T3915" s="21" t="n">
        <v>0</v>
      </c>
      <c r="U3915" s="21" t="n">
        <v>0</v>
      </c>
      <c r="V3915" s="21" t="n">
        <v>0</v>
      </c>
      <c r="W3915" s="21" t="n">
        <v>0</v>
      </c>
      <c r="X3915" s="21" t="n">
        <v>0</v>
      </c>
      <c r="Y3915" s="21" t="n">
        <v>0</v>
      </c>
      <c r="Z3915" s="19">
        <f t="array" ref="Z3915:Z3936">MMULT(MINVERSE($D$3915:$Y$3936),$D$3651:$D$3672)</f>
        <v/>
      </c>
    </row>
    <row r="3916">
      <c r="D3916" s="21">
        <f>$B$3625</f>
        <v/>
      </c>
      <c r="E3916" s="21">
        <f>$B$3626</f>
        <v/>
      </c>
      <c r="F3916" s="21">
        <f>-$B$3625</f>
        <v/>
      </c>
      <c r="G3916" s="21">
        <f>$B$3627</f>
        <v/>
      </c>
      <c r="H3916" s="21" t="n">
        <v>0</v>
      </c>
      <c r="I3916" s="21" t="n">
        <v>0</v>
      </c>
      <c r="J3916" s="21" t="n">
        <v>0</v>
      </c>
      <c r="K3916" s="21" t="n">
        <v>0</v>
      </c>
      <c r="L3916" s="21" t="n">
        <v>0</v>
      </c>
      <c r="M3916" s="21" t="n">
        <v>0</v>
      </c>
      <c r="N3916" s="21" t="n">
        <v>0</v>
      </c>
      <c r="O3916" s="21" t="n">
        <v>0</v>
      </c>
      <c r="P3916" s="21" t="n">
        <v>0</v>
      </c>
      <c r="Q3916" s="21" t="n">
        <v>0</v>
      </c>
      <c r="R3916" s="21" t="n">
        <v>0</v>
      </c>
      <c r="S3916" s="21" t="n">
        <v>0</v>
      </c>
      <c r="T3916" s="21" t="n">
        <v>0</v>
      </c>
      <c r="U3916" s="21" t="n">
        <v>0</v>
      </c>
      <c r="V3916" s="21" t="n">
        <v>0</v>
      </c>
      <c r="W3916" s="21" t="n">
        <v>0</v>
      </c>
      <c r="X3916" s="21" t="n">
        <v>0</v>
      </c>
      <c r="Y3916" s="21" t="n">
        <v>0</v>
      </c>
      <c r="Z3916" s="19" t="n"/>
    </row>
    <row r="3917">
      <c r="D3917" s="21">
        <f>-$B$3624</f>
        <v/>
      </c>
      <c r="E3917" s="21">
        <f>-$B$3625</f>
        <v/>
      </c>
      <c r="F3917" s="21">
        <f>2*$B$3624+$D$3904</f>
        <v/>
      </c>
      <c r="G3917" s="21">
        <f>0</f>
        <v/>
      </c>
      <c r="H3917" s="21">
        <f>-$B$3624</f>
        <v/>
      </c>
      <c r="I3917" s="21">
        <f>$B$3625</f>
        <v/>
      </c>
      <c r="J3917" s="21" t="n">
        <v>0</v>
      </c>
      <c r="K3917" s="21" t="n">
        <v>0</v>
      </c>
      <c r="L3917" s="21" t="n">
        <v>0</v>
      </c>
      <c r="M3917" s="21" t="n">
        <v>0</v>
      </c>
      <c r="N3917" s="21" t="n">
        <v>0</v>
      </c>
      <c r="O3917" s="21" t="n">
        <v>0</v>
      </c>
      <c r="P3917" s="21" t="n">
        <v>0</v>
      </c>
      <c r="Q3917" s="21" t="n">
        <v>0</v>
      </c>
      <c r="R3917" s="21" t="n">
        <v>0</v>
      </c>
      <c r="S3917" s="21" t="n">
        <v>0</v>
      </c>
      <c r="T3917" s="21" t="n">
        <v>0</v>
      </c>
      <c r="U3917" s="21" t="n">
        <v>0</v>
      </c>
      <c r="V3917" s="21" t="n">
        <v>0</v>
      </c>
      <c r="W3917" s="21" t="n">
        <v>0</v>
      </c>
      <c r="X3917" s="21" t="n">
        <v>0</v>
      </c>
      <c r="Y3917" s="21" t="n">
        <v>0</v>
      </c>
      <c r="Z3917" s="19" t="n"/>
    </row>
    <row r="3918">
      <c r="D3918" s="21">
        <f>$B$3625</f>
        <v/>
      </c>
      <c r="E3918" s="21">
        <f>$B$3627</f>
        <v/>
      </c>
      <c r="F3918" s="21">
        <f>0</f>
        <v/>
      </c>
      <c r="G3918" s="21">
        <f>2*$B$3626</f>
        <v/>
      </c>
      <c r="H3918" s="21">
        <f>-$B$3625</f>
        <v/>
      </c>
      <c r="I3918" s="21">
        <f>$B$3627</f>
        <v/>
      </c>
      <c r="J3918" s="21" t="n">
        <v>0</v>
      </c>
      <c r="K3918" s="21" t="n">
        <v>0</v>
      </c>
      <c r="L3918" s="21" t="n">
        <v>0</v>
      </c>
      <c r="M3918" s="21" t="n">
        <v>0</v>
      </c>
      <c r="N3918" s="21" t="n">
        <v>0</v>
      </c>
      <c r="O3918" s="21" t="n">
        <v>0</v>
      </c>
      <c r="P3918" s="21" t="n">
        <v>0</v>
      </c>
      <c r="Q3918" s="21" t="n">
        <v>0</v>
      </c>
      <c r="R3918" s="21" t="n">
        <v>0</v>
      </c>
      <c r="S3918" s="21" t="n">
        <v>0</v>
      </c>
      <c r="T3918" s="21" t="n">
        <v>0</v>
      </c>
      <c r="U3918" s="21" t="n">
        <v>0</v>
      </c>
      <c r="V3918" s="21" t="n">
        <v>0</v>
      </c>
      <c r="W3918" s="21" t="n">
        <v>0</v>
      </c>
      <c r="X3918" s="21" t="n">
        <v>0</v>
      </c>
      <c r="Y3918" s="21" t="n">
        <v>0</v>
      </c>
      <c r="Z3918" s="19" t="n"/>
    </row>
    <row r="3919">
      <c r="D3919" s="21" t="n">
        <v>0</v>
      </c>
      <c r="E3919" s="21" t="n">
        <v>0</v>
      </c>
      <c r="F3919" s="21">
        <f>-$B$3624</f>
        <v/>
      </c>
      <c r="G3919" s="21">
        <f>-$B$3625</f>
        <v/>
      </c>
      <c r="H3919" s="21">
        <f>2*$B$3624+$D$3905</f>
        <v/>
      </c>
      <c r="I3919" s="21">
        <f>0</f>
        <v/>
      </c>
      <c r="J3919" s="21">
        <f>-$B$3624</f>
        <v/>
      </c>
      <c r="K3919" s="21">
        <f>$B$3625</f>
        <v/>
      </c>
      <c r="L3919" s="21" t="n">
        <v>0</v>
      </c>
      <c r="M3919" s="21" t="n">
        <v>0</v>
      </c>
      <c r="N3919" s="21" t="n">
        <v>0</v>
      </c>
      <c r="O3919" s="21" t="n">
        <v>0</v>
      </c>
      <c r="P3919" s="21" t="n">
        <v>0</v>
      </c>
      <c r="Q3919" s="21" t="n">
        <v>0</v>
      </c>
      <c r="R3919" s="21" t="n">
        <v>0</v>
      </c>
      <c r="S3919" s="21" t="n">
        <v>0</v>
      </c>
      <c r="T3919" s="21" t="n">
        <v>0</v>
      </c>
      <c r="U3919" s="21" t="n">
        <v>0</v>
      </c>
      <c r="V3919" s="21" t="n">
        <v>0</v>
      </c>
      <c r="W3919" s="21" t="n">
        <v>0</v>
      </c>
      <c r="X3919" s="21" t="n">
        <v>0</v>
      </c>
      <c r="Y3919" s="21" t="n">
        <v>0</v>
      </c>
      <c r="Z3919" s="19" t="n"/>
    </row>
    <row r="3920">
      <c r="D3920" s="21" t="n">
        <v>0</v>
      </c>
      <c r="E3920" s="21" t="n">
        <v>0</v>
      </c>
      <c r="F3920" s="21">
        <f>$B$3625</f>
        <v/>
      </c>
      <c r="G3920" s="21">
        <f>$B$3627</f>
        <v/>
      </c>
      <c r="H3920" s="21">
        <f>0</f>
        <v/>
      </c>
      <c r="I3920" s="21">
        <f>2*$B$3626</f>
        <v/>
      </c>
      <c r="J3920" s="21">
        <f>-$B$3625</f>
        <v/>
      </c>
      <c r="K3920" s="21">
        <f>$B$3627</f>
        <v/>
      </c>
      <c r="L3920" s="21" t="n">
        <v>0</v>
      </c>
      <c r="M3920" s="21" t="n">
        <v>0</v>
      </c>
      <c r="N3920" s="21" t="n">
        <v>0</v>
      </c>
      <c r="O3920" s="21" t="n">
        <v>0</v>
      </c>
      <c r="P3920" s="21" t="n">
        <v>0</v>
      </c>
      <c r="Q3920" s="21" t="n">
        <v>0</v>
      </c>
      <c r="R3920" s="21" t="n">
        <v>0</v>
      </c>
      <c r="S3920" s="21" t="n">
        <v>0</v>
      </c>
      <c r="T3920" s="21" t="n">
        <v>0</v>
      </c>
      <c r="U3920" s="21" t="n">
        <v>0</v>
      </c>
      <c r="V3920" s="21" t="n">
        <v>0</v>
      </c>
      <c r="W3920" s="21" t="n">
        <v>0</v>
      </c>
      <c r="X3920" s="21" t="n">
        <v>0</v>
      </c>
      <c r="Y3920" s="21" t="n">
        <v>0</v>
      </c>
      <c r="Z3920" s="19" t="n"/>
    </row>
    <row r="3921">
      <c r="D3921" s="21" t="n">
        <v>0</v>
      </c>
      <c r="E3921" s="21" t="n">
        <v>0</v>
      </c>
      <c r="F3921" s="21" t="n">
        <v>0</v>
      </c>
      <c r="G3921" s="21" t="n">
        <v>0</v>
      </c>
      <c r="H3921" s="21">
        <f>-$B$3624</f>
        <v/>
      </c>
      <c r="I3921" s="21">
        <f>-$B$3625</f>
        <v/>
      </c>
      <c r="J3921" s="21">
        <f>2*$B$3624+$D$3906</f>
        <v/>
      </c>
      <c r="K3921" s="21">
        <f>0</f>
        <v/>
      </c>
      <c r="L3921" s="21">
        <f>-$B$3624</f>
        <v/>
      </c>
      <c r="M3921" s="21">
        <f>$B$3625</f>
        <v/>
      </c>
      <c r="N3921" s="21" t="n">
        <v>0</v>
      </c>
      <c r="O3921" s="21" t="n">
        <v>0</v>
      </c>
      <c r="P3921" s="21" t="n">
        <v>0</v>
      </c>
      <c r="Q3921" s="21" t="n">
        <v>0</v>
      </c>
      <c r="R3921" s="21" t="n">
        <v>0</v>
      </c>
      <c r="S3921" s="21" t="n">
        <v>0</v>
      </c>
      <c r="T3921" s="21" t="n">
        <v>0</v>
      </c>
      <c r="U3921" s="21" t="n">
        <v>0</v>
      </c>
      <c r="V3921" s="21" t="n">
        <v>0</v>
      </c>
      <c r="W3921" s="21" t="n">
        <v>0</v>
      </c>
      <c r="X3921" s="21" t="n">
        <v>0</v>
      </c>
      <c r="Y3921" s="21" t="n">
        <v>0</v>
      </c>
      <c r="Z3921" s="19" t="n"/>
    </row>
    <row r="3922">
      <c r="D3922" s="21" t="n">
        <v>0</v>
      </c>
      <c r="E3922" s="21" t="n">
        <v>0</v>
      </c>
      <c r="F3922" s="21" t="n">
        <v>0</v>
      </c>
      <c r="G3922" s="21" t="n">
        <v>0</v>
      </c>
      <c r="H3922" s="21">
        <f>$B$3625</f>
        <v/>
      </c>
      <c r="I3922" s="21">
        <f>$B$3627</f>
        <v/>
      </c>
      <c r="J3922" s="21">
        <f>0</f>
        <v/>
      </c>
      <c r="K3922" s="21">
        <f>2*$B$3626</f>
        <v/>
      </c>
      <c r="L3922" s="21">
        <f>-$B$3625</f>
        <v/>
      </c>
      <c r="M3922" s="21">
        <f>$B$3627</f>
        <v/>
      </c>
      <c r="N3922" s="21" t="n">
        <v>0</v>
      </c>
      <c r="O3922" s="21" t="n">
        <v>0</v>
      </c>
      <c r="P3922" s="21" t="n">
        <v>0</v>
      </c>
      <c r="Q3922" s="21" t="n">
        <v>0</v>
      </c>
      <c r="R3922" s="21" t="n">
        <v>0</v>
      </c>
      <c r="S3922" s="21" t="n">
        <v>0</v>
      </c>
      <c r="T3922" s="21" t="n">
        <v>0</v>
      </c>
      <c r="U3922" s="21" t="n">
        <v>0</v>
      </c>
      <c r="V3922" s="21" t="n">
        <v>0</v>
      </c>
      <c r="W3922" s="21" t="n">
        <v>0</v>
      </c>
      <c r="X3922" s="21" t="n">
        <v>0</v>
      </c>
      <c r="Y3922" s="21" t="n">
        <v>0</v>
      </c>
      <c r="Z3922" s="19" t="n"/>
    </row>
    <row r="3923">
      <c r="D3923" s="21" t="n">
        <v>0</v>
      </c>
      <c r="E3923" s="21" t="n">
        <v>0</v>
      </c>
      <c r="F3923" s="21" t="n">
        <v>0</v>
      </c>
      <c r="G3923" s="21" t="n">
        <v>0</v>
      </c>
      <c r="H3923" s="21" t="n">
        <v>0</v>
      </c>
      <c r="I3923" s="21" t="n">
        <v>0</v>
      </c>
      <c r="J3923" s="21">
        <f>-$B$3624</f>
        <v/>
      </c>
      <c r="K3923" s="21">
        <f>-$B$3625</f>
        <v/>
      </c>
      <c r="L3923" s="21">
        <f>2*$B$3624+$D$3907</f>
        <v/>
      </c>
      <c r="M3923" s="21">
        <f>0</f>
        <v/>
      </c>
      <c r="N3923" s="21">
        <f>-$B$3624</f>
        <v/>
      </c>
      <c r="O3923" s="21">
        <f>$B$3625</f>
        <v/>
      </c>
      <c r="P3923" s="21" t="n">
        <v>0</v>
      </c>
      <c r="Q3923" s="21" t="n">
        <v>0</v>
      </c>
      <c r="R3923" s="21" t="n">
        <v>0</v>
      </c>
      <c r="S3923" s="21" t="n">
        <v>0</v>
      </c>
      <c r="T3923" s="21" t="n">
        <v>0</v>
      </c>
      <c r="U3923" s="21" t="n">
        <v>0</v>
      </c>
      <c r="V3923" s="21" t="n">
        <v>0</v>
      </c>
      <c r="W3923" s="21" t="n">
        <v>0</v>
      </c>
      <c r="X3923" s="21" t="n">
        <v>0</v>
      </c>
      <c r="Y3923" s="21" t="n">
        <v>0</v>
      </c>
      <c r="Z3923" s="19" t="n"/>
    </row>
    <row r="3924">
      <c r="D3924" s="21" t="n">
        <v>0</v>
      </c>
      <c r="E3924" s="21" t="n">
        <v>0</v>
      </c>
      <c r="F3924" s="21" t="n">
        <v>0</v>
      </c>
      <c r="G3924" s="21" t="n">
        <v>0</v>
      </c>
      <c r="H3924" s="21" t="n">
        <v>0</v>
      </c>
      <c r="I3924" s="21" t="n">
        <v>0</v>
      </c>
      <c r="J3924" s="21">
        <f>$B$3625</f>
        <v/>
      </c>
      <c r="K3924" s="21">
        <f>$B$3627</f>
        <v/>
      </c>
      <c r="L3924" s="21">
        <f>0</f>
        <v/>
      </c>
      <c r="M3924" s="21">
        <f>2*$B$3626</f>
        <v/>
      </c>
      <c r="N3924" s="21">
        <f>-$B$3625</f>
        <v/>
      </c>
      <c r="O3924" s="21">
        <f>$B$3627</f>
        <v/>
      </c>
      <c r="P3924" s="21" t="n">
        <v>0</v>
      </c>
      <c r="Q3924" s="21" t="n">
        <v>0</v>
      </c>
      <c r="R3924" s="21" t="n">
        <v>0</v>
      </c>
      <c r="S3924" s="21" t="n">
        <v>0</v>
      </c>
      <c r="T3924" s="21" t="n">
        <v>0</v>
      </c>
      <c r="U3924" s="21" t="n">
        <v>0</v>
      </c>
      <c r="V3924" s="21" t="n">
        <v>0</v>
      </c>
      <c r="W3924" s="21" t="n">
        <v>0</v>
      </c>
      <c r="X3924" s="21" t="n">
        <v>0</v>
      </c>
      <c r="Y3924" s="21" t="n">
        <v>0</v>
      </c>
      <c r="Z3924" s="19" t="n"/>
    </row>
    <row r="3925">
      <c r="D3925" s="21" t="n">
        <v>0</v>
      </c>
      <c r="E3925" s="21" t="n">
        <v>0</v>
      </c>
      <c r="F3925" s="21" t="n">
        <v>0</v>
      </c>
      <c r="G3925" s="21" t="n">
        <v>0</v>
      </c>
      <c r="H3925" s="21" t="n">
        <v>0</v>
      </c>
      <c r="I3925" s="21" t="n">
        <v>0</v>
      </c>
      <c r="J3925" s="21" t="n">
        <v>0</v>
      </c>
      <c r="K3925" s="21" t="n">
        <v>0</v>
      </c>
      <c r="L3925" s="21">
        <f>-$B$3624</f>
        <v/>
      </c>
      <c r="M3925" s="21">
        <f>-$B$3625</f>
        <v/>
      </c>
      <c r="N3925" s="21">
        <f>2*$B$3624+$D$3908</f>
        <v/>
      </c>
      <c r="O3925" s="21">
        <f>0</f>
        <v/>
      </c>
      <c r="P3925" s="21">
        <f>-$B$3624</f>
        <v/>
      </c>
      <c r="Q3925" s="21">
        <f>$B$3625</f>
        <v/>
      </c>
      <c r="R3925" s="21" t="n">
        <v>0</v>
      </c>
      <c r="S3925" s="21" t="n">
        <v>0</v>
      </c>
      <c r="T3925" s="21" t="n">
        <v>0</v>
      </c>
      <c r="U3925" s="21" t="n">
        <v>0</v>
      </c>
      <c r="V3925" s="21" t="n">
        <v>0</v>
      </c>
      <c r="W3925" s="21" t="n">
        <v>0</v>
      </c>
      <c r="X3925" s="21" t="n">
        <v>0</v>
      </c>
      <c r="Y3925" s="21" t="n">
        <v>0</v>
      </c>
      <c r="Z3925" s="19" t="n"/>
    </row>
    <row r="3926">
      <c r="D3926" s="21" t="n">
        <v>0</v>
      </c>
      <c r="E3926" s="21" t="n">
        <v>0</v>
      </c>
      <c r="F3926" s="21" t="n">
        <v>0</v>
      </c>
      <c r="G3926" s="21" t="n">
        <v>0</v>
      </c>
      <c r="H3926" s="21" t="n">
        <v>0</v>
      </c>
      <c r="I3926" s="21" t="n">
        <v>0</v>
      </c>
      <c r="J3926" s="21" t="n">
        <v>0</v>
      </c>
      <c r="K3926" s="21" t="n">
        <v>0</v>
      </c>
      <c r="L3926" s="21">
        <f>$B$3625</f>
        <v/>
      </c>
      <c r="M3926" s="21">
        <f>$B$3627</f>
        <v/>
      </c>
      <c r="N3926" s="21">
        <f>0</f>
        <v/>
      </c>
      <c r="O3926" s="21">
        <f>2*$B$3626</f>
        <v/>
      </c>
      <c r="P3926" s="21">
        <f>-$B$3625</f>
        <v/>
      </c>
      <c r="Q3926" s="21">
        <f>$B$3627</f>
        <v/>
      </c>
      <c r="R3926" s="21" t="n">
        <v>0</v>
      </c>
      <c r="S3926" s="21" t="n">
        <v>0</v>
      </c>
      <c r="T3926" s="21" t="n">
        <v>0</v>
      </c>
      <c r="U3926" s="21" t="n">
        <v>0</v>
      </c>
      <c r="V3926" s="21" t="n">
        <v>0</v>
      </c>
      <c r="W3926" s="21" t="n">
        <v>0</v>
      </c>
      <c r="X3926" s="21" t="n">
        <v>0</v>
      </c>
      <c r="Y3926" s="21" t="n">
        <v>0</v>
      </c>
      <c r="Z3926" s="19" t="n"/>
    </row>
    <row r="3927">
      <c r="D3927" s="21" t="n">
        <v>0</v>
      </c>
      <c r="E3927" s="21" t="n">
        <v>0</v>
      </c>
      <c r="F3927" s="21" t="n">
        <v>0</v>
      </c>
      <c r="G3927" s="21" t="n">
        <v>0</v>
      </c>
      <c r="H3927" s="21" t="n">
        <v>0</v>
      </c>
      <c r="I3927" s="21" t="n">
        <v>0</v>
      </c>
      <c r="J3927" s="21" t="n">
        <v>0</v>
      </c>
      <c r="K3927" s="21" t="n">
        <v>0</v>
      </c>
      <c r="L3927" s="21" t="n">
        <v>0</v>
      </c>
      <c r="M3927" s="21" t="n">
        <v>0</v>
      </c>
      <c r="N3927" s="21">
        <f>-$B$3624</f>
        <v/>
      </c>
      <c r="O3927" s="21">
        <f>-$B$3625</f>
        <v/>
      </c>
      <c r="P3927" s="21">
        <f>2*$B$3624+$D$3909</f>
        <v/>
      </c>
      <c r="Q3927" s="21">
        <f>0</f>
        <v/>
      </c>
      <c r="R3927" s="21">
        <f>-$B$3624</f>
        <v/>
      </c>
      <c r="S3927" s="21">
        <f>$B$3625</f>
        <v/>
      </c>
      <c r="T3927" s="21" t="n">
        <v>0</v>
      </c>
      <c r="U3927" s="21" t="n">
        <v>0</v>
      </c>
      <c r="V3927" s="21" t="n">
        <v>0</v>
      </c>
      <c r="W3927" s="21" t="n">
        <v>0</v>
      </c>
      <c r="X3927" s="21" t="n">
        <v>0</v>
      </c>
      <c r="Y3927" s="21" t="n">
        <v>0</v>
      </c>
      <c r="Z3927" s="19" t="n"/>
    </row>
    <row r="3928">
      <c r="D3928" s="21" t="n">
        <v>0</v>
      </c>
      <c r="E3928" s="21" t="n">
        <v>0</v>
      </c>
      <c r="F3928" s="21" t="n">
        <v>0</v>
      </c>
      <c r="G3928" s="21" t="n">
        <v>0</v>
      </c>
      <c r="H3928" s="21" t="n">
        <v>0</v>
      </c>
      <c r="I3928" s="21" t="n">
        <v>0</v>
      </c>
      <c r="J3928" s="21" t="n">
        <v>0</v>
      </c>
      <c r="K3928" s="21" t="n">
        <v>0</v>
      </c>
      <c r="L3928" s="21" t="n">
        <v>0</v>
      </c>
      <c r="M3928" s="21" t="n">
        <v>0</v>
      </c>
      <c r="N3928" s="21">
        <f>$B$3625</f>
        <v/>
      </c>
      <c r="O3928" s="21">
        <f>$B$3627</f>
        <v/>
      </c>
      <c r="P3928" s="21">
        <f>0</f>
        <v/>
      </c>
      <c r="Q3928" s="21">
        <f>2*$B$3626</f>
        <v/>
      </c>
      <c r="R3928" s="21">
        <f>-$B$3625</f>
        <v/>
      </c>
      <c r="S3928" s="21">
        <f>$B$3627</f>
        <v/>
      </c>
      <c r="T3928" s="21" t="n">
        <v>0</v>
      </c>
      <c r="U3928" s="21" t="n">
        <v>0</v>
      </c>
      <c r="V3928" s="21" t="n">
        <v>0</v>
      </c>
      <c r="W3928" s="21" t="n">
        <v>0</v>
      </c>
      <c r="X3928" s="21" t="n">
        <v>0</v>
      </c>
      <c r="Y3928" s="21" t="n">
        <v>0</v>
      </c>
      <c r="Z3928" s="19" t="n"/>
    </row>
    <row r="3929">
      <c r="D3929" s="21" t="n">
        <v>0</v>
      </c>
      <c r="E3929" s="21" t="n">
        <v>0</v>
      </c>
      <c r="F3929" s="21" t="n">
        <v>0</v>
      </c>
      <c r="G3929" s="21" t="n">
        <v>0</v>
      </c>
      <c r="H3929" s="21" t="n">
        <v>0</v>
      </c>
      <c r="I3929" s="21" t="n">
        <v>0</v>
      </c>
      <c r="J3929" s="21" t="n">
        <v>0</v>
      </c>
      <c r="K3929" s="21" t="n">
        <v>0</v>
      </c>
      <c r="L3929" s="21" t="n">
        <v>0</v>
      </c>
      <c r="M3929" s="21" t="n">
        <v>0</v>
      </c>
      <c r="N3929" s="21" t="n">
        <v>0</v>
      </c>
      <c r="O3929" s="21" t="n">
        <v>0</v>
      </c>
      <c r="P3929" s="21">
        <f>-$B$3624</f>
        <v/>
      </c>
      <c r="Q3929" s="21">
        <f>-$B$3625</f>
        <v/>
      </c>
      <c r="R3929" s="21">
        <f>2*$B$3624+$D$3910</f>
        <v/>
      </c>
      <c r="S3929" s="21">
        <f>0</f>
        <v/>
      </c>
      <c r="T3929" s="21">
        <f>-$B$3624</f>
        <v/>
      </c>
      <c r="U3929" s="21">
        <f>$B$3625</f>
        <v/>
      </c>
      <c r="V3929" s="21" t="n">
        <v>0</v>
      </c>
      <c r="W3929" s="21" t="n">
        <v>0</v>
      </c>
      <c r="X3929" s="21" t="n">
        <v>0</v>
      </c>
      <c r="Y3929" s="21" t="n">
        <v>0</v>
      </c>
      <c r="Z3929" s="19" t="n"/>
    </row>
    <row r="3930">
      <c r="D3930" s="21" t="n">
        <v>0</v>
      </c>
      <c r="E3930" s="21" t="n">
        <v>0</v>
      </c>
      <c r="F3930" s="21" t="n">
        <v>0</v>
      </c>
      <c r="G3930" s="21" t="n">
        <v>0</v>
      </c>
      <c r="H3930" s="21" t="n">
        <v>0</v>
      </c>
      <c r="I3930" s="21" t="n">
        <v>0</v>
      </c>
      <c r="J3930" s="21" t="n">
        <v>0</v>
      </c>
      <c r="K3930" s="21" t="n">
        <v>0</v>
      </c>
      <c r="L3930" s="21" t="n">
        <v>0</v>
      </c>
      <c r="M3930" s="21" t="n">
        <v>0</v>
      </c>
      <c r="N3930" s="21" t="n">
        <v>0</v>
      </c>
      <c r="O3930" s="21" t="n">
        <v>0</v>
      </c>
      <c r="P3930" s="21">
        <f>$B$3625</f>
        <v/>
      </c>
      <c r="Q3930" s="21">
        <f>$B$3627</f>
        <v/>
      </c>
      <c r="R3930" s="21">
        <f>0</f>
        <v/>
      </c>
      <c r="S3930" s="21">
        <f>2*$B$3626</f>
        <v/>
      </c>
      <c r="T3930" s="21">
        <f>-$B$3625</f>
        <v/>
      </c>
      <c r="U3930" s="21">
        <f>$B$3627</f>
        <v/>
      </c>
      <c r="V3930" s="21" t="n">
        <v>0</v>
      </c>
      <c r="W3930" s="21" t="n">
        <v>0</v>
      </c>
      <c r="X3930" s="21" t="n">
        <v>0</v>
      </c>
      <c r="Y3930" s="21" t="n">
        <v>0</v>
      </c>
      <c r="Z3930" s="19" t="n"/>
    </row>
    <row r="3931">
      <c r="D3931" s="21" t="n">
        <v>0</v>
      </c>
      <c r="E3931" s="21" t="n">
        <v>0</v>
      </c>
      <c r="F3931" s="21" t="n">
        <v>0</v>
      </c>
      <c r="G3931" s="21" t="n">
        <v>0</v>
      </c>
      <c r="H3931" s="21" t="n">
        <v>0</v>
      </c>
      <c r="I3931" s="21" t="n">
        <v>0</v>
      </c>
      <c r="J3931" s="21" t="n">
        <v>0</v>
      </c>
      <c r="K3931" s="21" t="n">
        <v>0</v>
      </c>
      <c r="L3931" s="21" t="n">
        <v>0</v>
      </c>
      <c r="M3931" s="21" t="n">
        <v>0</v>
      </c>
      <c r="N3931" s="21" t="n">
        <v>0</v>
      </c>
      <c r="O3931" s="21" t="n">
        <v>0</v>
      </c>
      <c r="P3931" s="21" t="n">
        <v>0</v>
      </c>
      <c r="Q3931" s="21" t="n">
        <v>0</v>
      </c>
      <c r="R3931" s="21">
        <f>-$B$3624</f>
        <v/>
      </c>
      <c r="S3931" s="21">
        <f>-$B$3625</f>
        <v/>
      </c>
      <c r="T3931" s="21">
        <f>2*$B$3624+$D$3911</f>
        <v/>
      </c>
      <c r="U3931" s="21">
        <f>0</f>
        <v/>
      </c>
      <c r="V3931" s="21">
        <f>-$B$3624</f>
        <v/>
      </c>
      <c r="W3931" s="21">
        <f>$B$3625</f>
        <v/>
      </c>
      <c r="X3931" s="21" t="n">
        <v>0</v>
      </c>
      <c r="Y3931" s="21" t="n">
        <v>0</v>
      </c>
      <c r="Z3931" s="19" t="n"/>
    </row>
    <row r="3932">
      <c r="D3932" s="21" t="n">
        <v>0</v>
      </c>
      <c r="E3932" s="21" t="n">
        <v>0</v>
      </c>
      <c r="F3932" s="21" t="n">
        <v>0</v>
      </c>
      <c r="G3932" s="21" t="n">
        <v>0</v>
      </c>
      <c r="H3932" s="21" t="n">
        <v>0</v>
      </c>
      <c r="I3932" s="21" t="n">
        <v>0</v>
      </c>
      <c r="J3932" s="21" t="n">
        <v>0</v>
      </c>
      <c r="K3932" s="21" t="n">
        <v>0</v>
      </c>
      <c r="L3932" s="21" t="n">
        <v>0</v>
      </c>
      <c r="M3932" s="21" t="n">
        <v>0</v>
      </c>
      <c r="N3932" s="21" t="n">
        <v>0</v>
      </c>
      <c r="O3932" s="21" t="n">
        <v>0</v>
      </c>
      <c r="P3932" s="21" t="n">
        <v>0</v>
      </c>
      <c r="Q3932" s="21" t="n">
        <v>0</v>
      </c>
      <c r="R3932" s="21">
        <f>$B$3625</f>
        <v/>
      </c>
      <c r="S3932" s="21">
        <f>$B$3627</f>
        <v/>
      </c>
      <c r="T3932" s="21">
        <f>0</f>
        <v/>
      </c>
      <c r="U3932" s="21">
        <f>2*$B$3626</f>
        <v/>
      </c>
      <c r="V3932" s="21">
        <f>-$B$3625</f>
        <v/>
      </c>
      <c r="W3932" s="21">
        <f>$B$3627</f>
        <v/>
      </c>
      <c r="X3932" s="21" t="n">
        <v>0</v>
      </c>
      <c r="Y3932" s="21" t="n">
        <v>0</v>
      </c>
      <c r="Z3932" s="19" t="n"/>
    </row>
    <row r="3933">
      <c r="D3933" s="21" t="n">
        <v>0</v>
      </c>
      <c r="E3933" s="21" t="n">
        <v>0</v>
      </c>
      <c r="F3933" s="21" t="n">
        <v>0</v>
      </c>
      <c r="G3933" s="21" t="n">
        <v>0</v>
      </c>
      <c r="H3933" s="21" t="n">
        <v>0</v>
      </c>
      <c r="I3933" s="21" t="n">
        <v>0</v>
      </c>
      <c r="J3933" s="21" t="n">
        <v>0</v>
      </c>
      <c r="K3933" s="21" t="n">
        <v>0</v>
      </c>
      <c r="L3933" s="21" t="n">
        <v>0</v>
      </c>
      <c r="M3933" s="21" t="n">
        <v>0</v>
      </c>
      <c r="N3933" s="21" t="n">
        <v>0</v>
      </c>
      <c r="O3933" s="21" t="n">
        <v>0</v>
      </c>
      <c r="P3933" s="21" t="n">
        <v>0</v>
      </c>
      <c r="Q3933" s="21" t="n">
        <v>0</v>
      </c>
      <c r="R3933" s="21" t="n">
        <v>0</v>
      </c>
      <c r="S3933" s="21" t="n">
        <v>0</v>
      </c>
      <c r="T3933" s="21">
        <f>-$B$3624</f>
        <v/>
      </c>
      <c r="U3933" s="21">
        <f>-$B$3625</f>
        <v/>
      </c>
      <c r="V3933" s="21">
        <f>2*$B$3624+$D$3912</f>
        <v/>
      </c>
      <c r="W3933" s="21">
        <f>0</f>
        <v/>
      </c>
      <c r="X3933" s="21">
        <f>-$B$3624</f>
        <v/>
      </c>
      <c r="Y3933" s="21">
        <f>$B$3625</f>
        <v/>
      </c>
      <c r="Z3933" s="19" t="n"/>
    </row>
    <row r="3934">
      <c r="D3934" s="21" t="n">
        <v>0</v>
      </c>
      <c r="E3934" s="21" t="n">
        <v>0</v>
      </c>
      <c r="F3934" s="21" t="n">
        <v>0</v>
      </c>
      <c r="G3934" s="21" t="n">
        <v>0</v>
      </c>
      <c r="H3934" s="21" t="n">
        <v>0</v>
      </c>
      <c r="I3934" s="21" t="n">
        <v>0</v>
      </c>
      <c r="J3934" s="21" t="n">
        <v>0</v>
      </c>
      <c r="K3934" s="21" t="n">
        <v>0</v>
      </c>
      <c r="L3934" s="21" t="n">
        <v>0</v>
      </c>
      <c r="M3934" s="21" t="n">
        <v>0</v>
      </c>
      <c r="N3934" s="21" t="n">
        <v>0</v>
      </c>
      <c r="O3934" s="21" t="n">
        <v>0</v>
      </c>
      <c r="P3934" s="21" t="n">
        <v>0</v>
      </c>
      <c r="Q3934" s="21" t="n">
        <v>0</v>
      </c>
      <c r="R3934" s="21" t="n">
        <v>0</v>
      </c>
      <c r="S3934" s="21" t="n">
        <v>0</v>
      </c>
      <c r="T3934" s="21">
        <f>$B$3625</f>
        <v/>
      </c>
      <c r="U3934" s="21">
        <f>$B$3627</f>
        <v/>
      </c>
      <c r="V3934" s="21">
        <f>0</f>
        <v/>
      </c>
      <c r="W3934" s="21">
        <f>2*$B$3626</f>
        <v/>
      </c>
      <c r="X3934" s="21">
        <f>-$B$3625</f>
        <v/>
      </c>
      <c r="Y3934" s="21">
        <f>$B$3627</f>
        <v/>
      </c>
      <c r="Z3934" s="19" t="n"/>
    </row>
    <row r="3935">
      <c r="D3935" s="21" t="n">
        <v>0</v>
      </c>
      <c r="E3935" s="21" t="n">
        <v>0</v>
      </c>
      <c r="F3935" s="21" t="n">
        <v>0</v>
      </c>
      <c r="G3935" s="21" t="n">
        <v>0</v>
      </c>
      <c r="H3935" s="21" t="n">
        <v>0</v>
      </c>
      <c r="I3935" s="21" t="n">
        <v>0</v>
      </c>
      <c r="J3935" s="21" t="n">
        <v>0</v>
      </c>
      <c r="K3935" s="21" t="n">
        <v>0</v>
      </c>
      <c r="L3935" s="21" t="n">
        <v>0</v>
      </c>
      <c r="M3935" s="21" t="n">
        <v>0</v>
      </c>
      <c r="N3935" s="21" t="n">
        <v>0</v>
      </c>
      <c r="O3935" s="21" t="n">
        <v>0</v>
      </c>
      <c r="P3935" s="21" t="n">
        <v>0</v>
      </c>
      <c r="Q3935" s="21" t="n">
        <v>0</v>
      </c>
      <c r="R3935" s="21" t="n">
        <v>0</v>
      </c>
      <c r="S3935" s="21" t="n">
        <v>0</v>
      </c>
      <c r="T3935" s="21" t="n">
        <v>0</v>
      </c>
      <c r="U3935" s="21" t="n">
        <v>0</v>
      </c>
      <c r="V3935" s="21">
        <f>-$B$3624</f>
        <v/>
      </c>
      <c r="W3935" s="21">
        <f>-$B$3625</f>
        <v/>
      </c>
      <c r="X3935" s="21">
        <f>$B$3624+$D$3913</f>
        <v/>
      </c>
      <c r="Y3935" s="21">
        <f>-$B$3625</f>
        <v/>
      </c>
      <c r="Z3935" s="19" t="n"/>
    </row>
    <row r="3936">
      <c r="D3936" s="21" t="n">
        <v>0</v>
      </c>
      <c r="E3936" s="21" t="n">
        <v>0</v>
      </c>
      <c r="F3936" s="21" t="n">
        <v>0</v>
      </c>
      <c r="G3936" s="21" t="n">
        <v>0</v>
      </c>
      <c r="H3936" s="21" t="n">
        <v>0</v>
      </c>
      <c r="I3936" s="21" t="n">
        <v>0</v>
      </c>
      <c r="J3936" s="21" t="n">
        <v>0</v>
      </c>
      <c r="K3936" s="21" t="n">
        <v>0</v>
      </c>
      <c r="L3936" s="21" t="n">
        <v>0</v>
      </c>
      <c r="M3936" s="21" t="n">
        <v>0</v>
      </c>
      <c r="N3936" s="21" t="n">
        <v>0</v>
      </c>
      <c r="O3936" s="21" t="n">
        <v>0</v>
      </c>
      <c r="P3936" s="21" t="n">
        <v>0</v>
      </c>
      <c r="Q3936" s="21" t="n">
        <v>0</v>
      </c>
      <c r="R3936" s="21" t="n">
        <v>0</v>
      </c>
      <c r="S3936" s="21" t="n">
        <v>0</v>
      </c>
      <c r="T3936" s="21" t="n">
        <v>0</v>
      </c>
      <c r="U3936" s="21" t="n">
        <v>0</v>
      </c>
      <c r="V3936" s="21">
        <f>$B$3625</f>
        <v/>
      </c>
      <c r="W3936" s="21">
        <f>$B$3627</f>
        <v/>
      </c>
      <c r="X3936" s="21">
        <f>-$B$3625</f>
        <v/>
      </c>
      <c r="Y3936" s="21">
        <f>$B$3626</f>
        <v/>
      </c>
      <c r="Z3936" s="19" t="n"/>
    </row>
    <row r="3938">
      <c r="A3938" s="8" t="inlineStr">
        <is>
          <t>gen 8</t>
        </is>
      </c>
    </row>
    <row r="3939">
      <c r="D3939" s="19">
        <f>IF(ABS(IF(ABS($E$3903)&gt;0.000000001,$E$3903,0.000000001))=0,0,IF($E$3639&lt;=$B$3633,0,IF(ABS(IF(ABS($E$3903)&gt;0.000000001,$E$3903,0.000000001))&gt;=8*$B$3635,$H$3639,0.5*$H$3639*(ABS(IF(ABS($E$3903)&gt;0.000000001,$E$3903,0.000000001))/$B$3635)^(1/3)))/ABS(IF(ABS($E$3903)&gt;0.000000001,$E$3903,0.000000001))*$I$3639)</f>
        <v/>
      </c>
      <c r="E3939" s="19">
        <f>0.5*$E$3903+0.5*$Z$3951</f>
        <v/>
      </c>
      <c r="F3939" s="19">
        <f>$Z$3952</f>
        <v/>
      </c>
    </row>
    <row r="3940">
      <c r="D3940" s="19">
        <f>IF(ABS(IF(ABS($E$3904)&gt;0.000000001,$E$3904,0.000000001))=0,0,IF($E$3640&lt;=$B$3633,0,IF(ABS(IF(ABS($E$3904)&gt;0.000000001,$E$3904,0.000000001))&gt;=8*$B$3635,$H$3640,0.5*$H$3640*(ABS(IF(ABS($E$3904)&gt;0.000000001,$E$3904,0.000000001))/$B$3635)^(1/3)))/ABS(IF(ABS($E$3904)&gt;0.000000001,$E$3904,0.000000001))*$I$3640)</f>
        <v/>
      </c>
      <c r="E3940" s="19">
        <f>0.5*$E$3904+0.5*$Z$3953</f>
        <v/>
      </c>
      <c r="F3940" s="19">
        <f>$Z$3954</f>
        <v/>
      </c>
    </row>
    <row r="3941">
      <c r="D3941" s="19">
        <f>IF(ABS(IF(ABS($E$3905)&gt;0.000000001,$E$3905,0.000000001))=0,0,IF($E$3641&lt;=$B$3633,0,IF(ABS(IF(ABS($E$3905)&gt;0.000000001,$E$3905,0.000000001))&gt;=8*$B$3635,$H$3641,0.5*$H$3641*(ABS(IF(ABS($E$3905)&gt;0.000000001,$E$3905,0.000000001))/$B$3635)^(1/3)))/ABS(IF(ABS($E$3905)&gt;0.000000001,$E$3905,0.000000001))*$I$3641)</f>
        <v/>
      </c>
      <c r="E3941" s="19">
        <f>0.5*$E$3905+0.5*$Z$3955</f>
        <v/>
      </c>
      <c r="F3941" s="19">
        <f>$Z$3956</f>
        <v/>
      </c>
    </row>
    <row r="3942">
      <c r="D3942" s="19">
        <f>IF(ABS(IF(ABS($E$3906)&gt;0.000000001,$E$3906,0.000000001))=0,0,IF($E$3642&lt;=$B$3633,0,IF(ABS(IF(ABS($E$3906)&gt;0.000000001,$E$3906,0.000000001))&gt;=8*$B$3635,$H$3642,0.5*$H$3642*(ABS(IF(ABS($E$3906)&gt;0.000000001,$E$3906,0.000000001))/$B$3635)^(1/3)))/ABS(IF(ABS($E$3906)&gt;0.000000001,$E$3906,0.000000001))*$I$3642)</f>
        <v/>
      </c>
      <c r="E3942" s="19">
        <f>0.5*$E$3906+0.5*$Z$3957</f>
        <v/>
      </c>
      <c r="F3942" s="19">
        <f>$Z$3958</f>
        <v/>
      </c>
    </row>
    <row r="3943">
      <c r="D3943" s="19">
        <f>IF(ABS(IF(ABS($E$3907)&gt;0.000000001,$E$3907,0.000000001))=0,0,IF($E$3643&lt;=$B$3633,0,IF(ABS(IF(ABS($E$3907)&gt;0.000000001,$E$3907,0.000000001))&gt;=8*$B$3635,$H$3643,0.5*$H$3643*(ABS(IF(ABS($E$3907)&gt;0.000000001,$E$3907,0.000000001))/$B$3635)^(1/3)))/ABS(IF(ABS($E$3907)&gt;0.000000001,$E$3907,0.000000001))*$I$3643)</f>
        <v/>
      </c>
      <c r="E3943" s="19">
        <f>0.5*$E$3907+0.5*$Z$3959</f>
        <v/>
      </c>
      <c r="F3943" s="19">
        <f>$Z$3960</f>
        <v/>
      </c>
    </row>
    <row r="3944">
      <c r="D3944" s="19">
        <f>IF(ABS(IF(ABS($E$3908)&gt;0.000000001,$E$3908,0.000000001))=0,0,IF($E$3644&lt;=$B$3633,0,IF(ABS(IF(ABS($E$3908)&gt;0.000000001,$E$3908,0.000000001))&gt;=8*$B$3635,$H$3644,0.5*$H$3644*(ABS(IF(ABS($E$3908)&gt;0.000000001,$E$3908,0.000000001))/$B$3635)^(1/3)))/ABS(IF(ABS($E$3908)&gt;0.000000001,$E$3908,0.000000001))*$I$3644)</f>
        <v/>
      </c>
      <c r="E3944" s="19">
        <f>0.5*$E$3908+0.5*$Z$3961</f>
        <v/>
      </c>
      <c r="F3944" s="19">
        <f>$Z$3962</f>
        <v/>
      </c>
    </row>
    <row r="3945">
      <c r="D3945" s="19">
        <f>IF(ABS(IF(ABS($E$3909)&gt;0.000000001,$E$3909,0.000000001))=0,0,IF($E$3645&lt;=$B$3633,0,IF(ABS(IF(ABS($E$3909)&gt;0.000000001,$E$3909,0.000000001))&gt;=8*$B$3635,$H$3645,0.5*$H$3645*(ABS(IF(ABS($E$3909)&gt;0.000000001,$E$3909,0.000000001))/$B$3635)^(1/3)))/ABS(IF(ABS($E$3909)&gt;0.000000001,$E$3909,0.000000001))*$I$3645)</f>
        <v/>
      </c>
      <c r="E3945" s="19">
        <f>0.5*$E$3909+0.5*$Z$3963</f>
        <v/>
      </c>
      <c r="F3945" s="19">
        <f>$Z$3964</f>
        <v/>
      </c>
    </row>
    <row r="3946">
      <c r="D3946" s="19">
        <f>IF(ABS(IF(ABS($E$3910)&gt;0.000000001,$E$3910,0.000000001))=0,0,IF($E$3646&lt;=$B$3633,0,IF(ABS(IF(ABS($E$3910)&gt;0.000000001,$E$3910,0.000000001))&gt;=8*$B$3635,$H$3646,0.5*$H$3646*(ABS(IF(ABS($E$3910)&gt;0.000000001,$E$3910,0.000000001))/$B$3635)^(1/3)))/ABS(IF(ABS($E$3910)&gt;0.000000001,$E$3910,0.000000001))*$I$3646)</f>
        <v/>
      </c>
      <c r="E3946" s="19">
        <f>0.5*$E$3910+0.5*$Z$3965</f>
        <v/>
      </c>
      <c r="F3946" s="19">
        <f>$Z$3966</f>
        <v/>
      </c>
    </row>
    <row r="3947">
      <c r="D3947" s="19">
        <f>IF(ABS(IF(ABS($E$3911)&gt;0.000000001,$E$3911,0.000000001))=0,0,IF($E$3647&lt;=$B$3633,0,IF(ABS(IF(ABS($E$3911)&gt;0.000000001,$E$3911,0.000000001))&gt;=8*$B$3635,$H$3647,0.5*$H$3647*(ABS(IF(ABS($E$3911)&gt;0.000000001,$E$3911,0.000000001))/$B$3635)^(1/3)))/ABS(IF(ABS($E$3911)&gt;0.000000001,$E$3911,0.000000001))*$I$3647)</f>
        <v/>
      </c>
      <c r="E3947" s="19">
        <f>0.5*$E$3911+0.5*$Z$3967</f>
        <v/>
      </c>
      <c r="F3947" s="19">
        <f>$Z$3968</f>
        <v/>
      </c>
    </row>
    <row r="3948">
      <c r="D3948" s="19">
        <f>IF(ABS(IF(ABS($E$3912)&gt;0.000000001,$E$3912,0.000000001))=0,0,IF($E$3648&lt;=$B$3633,0,IF(ABS(IF(ABS($E$3912)&gt;0.000000001,$E$3912,0.000000001))&gt;=8*$B$3635,$H$3648,0.5*$H$3648*(ABS(IF(ABS($E$3912)&gt;0.000000001,$E$3912,0.000000001))/$B$3635)^(1/3)))/ABS(IF(ABS($E$3912)&gt;0.000000001,$E$3912,0.000000001))*$I$3648)</f>
        <v/>
      </c>
      <c r="E3948" s="19">
        <f>0.5*$E$3912+0.5*$Z$3969</f>
        <v/>
      </c>
      <c r="F3948" s="19">
        <f>$Z$3970</f>
        <v/>
      </c>
    </row>
    <row r="3949">
      <c r="D3949" s="19">
        <f>IF(ABS(IF(ABS($E$3913)&gt;0.000000001,$E$3913,0.000000001))=0,0,IF($E$3649&lt;=$B$3633,0,IF(ABS(IF(ABS($E$3913)&gt;0.000000001,$E$3913,0.000000001))&gt;=8*$B$3635,$H$3649,0.5*$H$3649*(ABS(IF(ABS($E$3913)&gt;0.000000001,$E$3913,0.000000001))/$B$3635)^(1/3)))/ABS(IF(ABS($E$3913)&gt;0.000000001,$E$3913,0.000000001))*$I$3649)</f>
        <v/>
      </c>
      <c r="E3949" s="19">
        <f>0.5*$E$3913+0.5*$Z$3971</f>
        <v/>
      </c>
      <c r="F3949" s="19">
        <f>$Z$3972</f>
        <v/>
      </c>
    </row>
    <row r="3951">
      <c r="D3951" s="21">
        <f>$B$3624+$D$3939</f>
        <v/>
      </c>
      <c r="E3951" s="21">
        <f>$B$3625</f>
        <v/>
      </c>
      <c r="F3951" s="21">
        <f>-$B$3624</f>
        <v/>
      </c>
      <c r="G3951" s="21">
        <f>$B$3625</f>
        <v/>
      </c>
      <c r="H3951" s="21" t="n">
        <v>0</v>
      </c>
      <c r="I3951" s="21" t="n">
        <v>0</v>
      </c>
      <c r="J3951" s="21" t="n">
        <v>0</v>
      </c>
      <c r="K3951" s="21" t="n">
        <v>0</v>
      </c>
      <c r="L3951" s="21" t="n">
        <v>0</v>
      </c>
      <c r="M3951" s="21" t="n">
        <v>0</v>
      </c>
      <c r="N3951" s="21" t="n">
        <v>0</v>
      </c>
      <c r="O3951" s="21" t="n">
        <v>0</v>
      </c>
      <c r="P3951" s="21" t="n">
        <v>0</v>
      </c>
      <c r="Q3951" s="21" t="n">
        <v>0</v>
      </c>
      <c r="R3951" s="21" t="n">
        <v>0</v>
      </c>
      <c r="S3951" s="21" t="n">
        <v>0</v>
      </c>
      <c r="T3951" s="21" t="n">
        <v>0</v>
      </c>
      <c r="U3951" s="21" t="n">
        <v>0</v>
      </c>
      <c r="V3951" s="21" t="n">
        <v>0</v>
      </c>
      <c r="W3951" s="21" t="n">
        <v>0</v>
      </c>
      <c r="X3951" s="21" t="n">
        <v>0</v>
      </c>
      <c r="Y3951" s="21" t="n">
        <v>0</v>
      </c>
      <c r="Z3951" s="19">
        <f t="array" ref="Z3951:Z3972">MMULT(MINVERSE($D$3951:$Y$3972),$D$3651:$D$3672)</f>
        <v/>
      </c>
    </row>
    <row r="3952">
      <c r="D3952" s="21">
        <f>$B$3625</f>
        <v/>
      </c>
      <c r="E3952" s="21">
        <f>$B$3626</f>
        <v/>
      </c>
      <c r="F3952" s="21">
        <f>-$B$3625</f>
        <v/>
      </c>
      <c r="G3952" s="21">
        <f>$B$3627</f>
        <v/>
      </c>
      <c r="H3952" s="21" t="n">
        <v>0</v>
      </c>
      <c r="I3952" s="21" t="n">
        <v>0</v>
      </c>
      <c r="J3952" s="21" t="n">
        <v>0</v>
      </c>
      <c r="K3952" s="21" t="n">
        <v>0</v>
      </c>
      <c r="L3952" s="21" t="n">
        <v>0</v>
      </c>
      <c r="M3952" s="21" t="n">
        <v>0</v>
      </c>
      <c r="N3952" s="21" t="n">
        <v>0</v>
      </c>
      <c r="O3952" s="21" t="n">
        <v>0</v>
      </c>
      <c r="P3952" s="21" t="n">
        <v>0</v>
      </c>
      <c r="Q3952" s="21" t="n">
        <v>0</v>
      </c>
      <c r="R3952" s="21" t="n">
        <v>0</v>
      </c>
      <c r="S3952" s="21" t="n">
        <v>0</v>
      </c>
      <c r="T3952" s="21" t="n">
        <v>0</v>
      </c>
      <c r="U3952" s="21" t="n">
        <v>0</v>
      </c>
      <c r="V3952" s="21" t="n">
        <v>0</v>
      </c>
      <c r="W3952" s="21" t="n">
        <v>0</v>
      </c>
      <c r="X3952" s="21" t="n">
        <v>0</v>
      </c>
      <c r="Y3952" s="21" t="n">
        <v>0</v>
      </c>
      <c r="Z3952" s="19" t="n"/>
    </row>
    <row r="3953">
      <c r="D3953" s="21">
        <f>-$B$3624</f>
        <v/>
      </c>
      <c r="E3953" s="21">
        <f>-$B$3625</f>
        <v/>
      </c>
      <c r="F3953" s="21">
        <f>2*$B$3624+$D$3940</f>
        <v/>
      </c>
      <c r="G3953" s="21">
        <f>0</f>
        <v/>
      </c>
      <c r="H3953" s="21">
        <f>-$B$3624</f>
        <v/>
      </c>
      <c r="I3953" s="21">
        <f>$B$3625</f>
        <v/>
      </c>
      <c r="J3953" s="21" t="n">
        <v>0</v>
      </c>
      <c r="K3953" s="21" t="n">
        <v>0</v>
      </c>
      <c r="L3953" s="21" t="n">
        <v>0</v>
      </c>
      <c r="M3953" s="21" t="n">
        <v>0</v>
      </c>
      <c r="N3953" s="21" t="n">
        <v>0</v>
      </c>
      <c r="O3953" s="21" t="n">
        <v>0</v>
      </c>
      <c r="P3953" s="21" t="n">
        <v>0</v>
      </c>
      <c r="Q3953" s="21" t="n">
        <v>0</v>
      </c>
      <c r="R3953" s="21" t="n">
        <v>0</v>
      </c>
      <c r="S3953" s="21" t="n">
        <v>0</v>
      </c>
      <c r="T3953" s="21" t="n">
        <v>0</v>
      </c>
      <c r="U3953" s="21" t="n">
        <v>0</v>
      </c>
      <c r="V3953" s="21" t="n">
        <v>0</v>
      </c>
      <c r="W3953" s="21" t="n">
        <v>0</v>
      </c>
      <c r="X3953" s="21" t="n">
        <v>0</v>
      </c>
      <c r="Y3953" s="21" t="n">
        <v>0</v>
      </c>
      <c r="Z3953" s="19" t="n"/>
    </row>
    <row r="3954">
      <c r="D3954" s="21">
        <f>$B$3625</f>
        <v/>
      </c>
      <c r="E3954" s="21">
        <f>$B$3627</f>
        <v/>
      </c>
      <c r="F3954" s="21">
        <f>0</f>
        <v/>
      </c>
      <c r="G3954" s="21">
        <f>2*$B$3626</f>
        <v/>
      </c>
      <c r="H3954" s="21">
        <f>-$B$3625</f>
        <v/>
      </c>
      <c r="I3954" s="21">
        <f>$B$3627</f>
        <v/>
      </c>
      <c r="J3954" s="21" t="n">
        <v>0</v>
      </c>
      <c r="K3954" s="21" t="n">
        <v>0</v>
      </c>
      <c r="L3954" s="21" t="n">
        <v>0</v>
      </c>
      <c r="M3954" s="21" t="n">
        <v>0</v>
      </c>
      <c r="N3954" s="21" t="n">
        <v>0</v>
      </c>
      <c r="O3954" s="21" t="n">
        <v>0</v>
      </c>
      <c r="P3954" s="21" t="n">
        <v>0</v>
      </c>
      <c r="Q3954" s="21" t="n">
        <v>0</v>
      </c>
      <c r="R3954" s="21" t="n">
        <v>0</v>
      </c>
      <c r="S3954" s="21" t="n">
        <v>0</v>
      </c>
      <c r="T3954" s="21" t="n">
        <v>0</v>
      </c>
      <c r="U3954" s="21" t="n">
        <v>0</v>
      </c>
      <c r="V3954" s="21" t="n">
        <v>0</v>
      </c>
      <c r="W3954" s="21" t="n">
        <v>0</v>
      </c>
      <c r="X3954" s="21" t="n">
        <v>0</v>
      </c>
      <c r="Y3954" s="21" t="n">
        <v>0</v>
      </c>
      <c r="Z3954" s="19" t="n"/>
    </row>
    <row r="3955">
      <c r="D3955" s="21" t="n">
        <v>0</v>
      </c>
      <c r="E3955" s="21" t="n">
        <v>0</v>
      </c>
      <c r="F3955" s="21">
        <f>-$B$3624</f>
        <v/>
      </c>
      <c r="G3955" s="21">
        <f>-$B$3625</f>
        <v/>
      </c>
      <c r="H3955" s="21">
        <f>2*$B$3624+$D$3941</f>
        <v/>
      </c>
      <c r="I3955" s="21">
        <f>0</f>
        <v/>
      </c>
      <c r="J3955" s="21">
        <f>-$B$3624</f>
        <v/>
      </c>
      <c r="K3955" s="21">
        <f>$B$3625</f>
        <v/>
      </c>
      <c r="L3955" s="21" t="n">
        <v>0</v>
      </c>
      <c r="M3955" s="21" t="n">
        <v>0</v>
      </c>
      <c r="N3955" s="21" t="n">
        <v>0</v>
      </c>
      <c r="O3955" s="21" t="n">
        <v>0</v>
      </c>
      <c r="P3955" s="21" t="n">
        <v>0</v>
      </c>
      <c r="Q3955" s="21" t="n">
        <v>0</v>
      </c>
      <c r="R3955" s="21" t="n">
        <v>0</v>
      </c>
      <c r="S3955" s="21" t="n">
        <v>0</v>
      </c>
      <c r="T3955" s="21" t="n">
        <v>0</v>
      </c>
      <c r="U3955" s="21" t="n">
        <v>0</v>
      </c>
      <c r="V3955" s="21" t="n">
        <v>0</v>
      </c>
      <c r="W3955" s="21" t="n">
        <v>0</v>
      </c>
      <c r="X3955" s="21" t="n">
        <v>0</v>
      </c>
      <c r="Y3955" s="21" t="n">
        <v>0</v>
      </c>
      <c r="Z3955" s="19" t="n"/>
    </row>
    <row r="3956">
      <c r="D3956" s="21" t="n">
        <v>0</v>
      </c>
      <c r="E3956" s="21" t="n">
        <v>0</v>
      </c>
      <c r="F3956" s="21">
        <f>$B$3625</f>
        <v/>
      </c>
      <c r="G3956" s="21">
        <f>$B$3627</f>
        <v/>
      </c>
      <c r="H3956" s="21">
        <f>0</f>
        <v/>
      </c>
      <c r="I3956" s="21">
        <f>2*$B$3626</f>
        <v/>
      </c>
      <c r="J3956" s="21">
        <f>-$B$3625</f>
        <v/>
      </c>
      <c r="K3956" s="21">
        <f>$B$3627</f>
        <v/>
      </c>
      <c r="L3956" s="21" t="n">
        <v>0</v>
      </c>
      <c r="M3956" s="21" t="n">
        <v>0</v>
      </c>
      <c r="N3956" s="21" t="n">
        <v>0</v>
      </c>
      <c r="O3956" s="21" t="n">
        <v>0</v>
      </c>
      <c r="P3956" s="21" t="n">
        <v>0</v>
      </c>
      <c r="Q3956" s="21" t="n">
        <v>0</v>
      </c>
      <c r="R3956" s="21" t="n">
        <v>0</v>
      </c>
      <c r="S3956" s="21" t="n">
        <v>0</v>
      </c>
      <c r="T3956" s="21" t="n">
        <v>0</v>
      </c>
      <c r="U3956" s="21" t="n">
        <v>0</v>
      </c>
      <c r="V3956" s="21" t="n">
        <v>0</v>
      </c>
      <c r="W3956" s="21" t="n">
        <v>0</v>
      </c>
      <c r="X3956" s="21" t="n">
        <v>0</v>
      </c>
      <c r="Y3956" s="21" t="n">
        <v>0</v>
      </c>
      <c r="Z3956" s="19" t="n"/>
    </row>
    <row r="3957">
      <c r="D3957" s="21" t="n">
        <v>0</v>
      </c>
      <c r="E3957" s="21" t="n">
        <v>0</v>
      </c>
      <c r="F3957" s="21" t="n">
        <v>0</v>
      </c>
      <c r="G3957" s="21" t="n">
        <v>0</v>
      </c>
      <c r="H3957" s="21">
        <f>-$B$3624</f>
        <v/>
      </c>
      <c r="I3957" s="21">
        <f>-$B$3625</f>
        <v/>
      </c>
      <c r="J3957" s="21">
        <f>2*$B$3624+$D$3942</f>
        <v/>
      </c>
      <c r="K3957" s="21">
        <f>0</f>
        <v/>
      </c>
      <c r="L3957" s="21">
        <f>-$B$3624</f>
        <v/>
      </c>
      <c r="M3957" s="21">
        <f>$B$3625</f>
        <v/>
      </c>
      <c r="N3957" s="21" t="n">
        <v>0</v>
      </c>
      <c r="O3957" s="21" t="n">
        <v>0</v>
      </c>
      <c r="P3957" s="21" t="n">
        <v>0</v>
      </c>
      <c r="Q3957" s="21" t="n">
        <v>0</v>
      </c>
      <c r="R3957" s="21" t="n">
        <v>0</v>
      </c>
      <c r="S3957" s="21" t="n">
        <v>0</v>
      </c>
      <c r="T3957" s="21" t="n">
        <v>0</v>
      </c>
      <c r="U3957" s="21" t="n">
        <v>0</v>
      </c>
      <c r="V3957" s="21" t="n">
        <v>0</v>
      </c>
      <c r="W3957" s="21" t="n">
        <v>0</v>
      </c>
      <c r="X3957" s="21" t="n">
        <v>0</v>
      </c>
      <c r="Y3957" s="21" t="n">
        <v>0</v>
      </c>
      <c r="Z3957" s="19" t="n"/>
    </row>
    <row r="3958">
      <c r="D3958" s="21" t="n">
        <v>0</v>
      </c>
      <c r="E3958" s="21" t="n">
        <v>0</v>
      </c>
      <c r="F3958" s="21" t="n">
        <v>0</v>
      </c>
      <c r="G3958" s="21" t="n">
        <v>0</v>
      </c>
      <c r="H3958" s="21">
        <f>$B$3625</f>
        <v/>
      </c>
      <c r="I3958" s="21">
        <f>$B$3627</f>
        <v/>
      </c>
      <c r="J3958" s="21">
        <f>0</f>
        <v/>
      </c>
      <c r="K3958" s="21">
        <f>2*$B$3626</f>
        <v/>
      </c>
      <c r="L3958" s="21">
        <f>-$B$3625</f>
        <v/>
      </c>
      <c r="M3958" s="21">
        <f>$B$3627</f>
        <v/>
      </c>
      <c r="N3958" s="21" t="n">
        <v>0</v>
      </c>
      <c r="O3958" s="21" t="n">
        <v>0</v>
      </c>
      <c r="P3958" s="21" t="n">
        <v>0</v>
      </c>
      <c r="Q3958" s="21" t="n">
        <v>0</v>
      </c>
      <c r="R3958" s="21" t="n">
        <v>0</v>
      </c>
      <c r="S3958" s="21" t="n">
        <v>0</v>
      </c>
      <c r="T3958" s="21" t="n">
        <v>0</v>
      </c>
      <c r="U3958" s="21" t="n">
        <v>0</v>
      </c>
      <c r="V3958" s="21" t="n">
        <v>0</v>
      </c>
      <c r="W3958" s="21" t="n">
        <v>0</v>
      </c>
      <c r="X3958" s="21" t="n">
        <v>0</v>
      </c>
      <c r="Y3958" s="21" t="n">
        <v>0</v>
      </c>
      <c r="Z3958" s="19" t="n"/>
    </row>
    <row r="3959">
      <c r="D3959" s="21" t="n">
        <v>0</v>
      </c>
      <c r="E3959" s="21" t="n">
        <v>0</v>
      </c>
      <c r="F3959" s="21" t="n">
        <v>0</v>
      </c>
      <c r="G3959" s="21" t="n">
        <v>0</v>
      </c>
      <c r="H3959" s="21" t="n">
        <v>0</v>
      </c>
      <c r="I3959" s="21" t="n">
        <v>0</v>
      </c>
      <c r="J3959" s="21">
        <f>-$B$3624</f>
        <v/>
      </c>
      <c r="K3959" s="21">
        <f>-$B$3625</f>
        <v/>
      </c>
      <c r="L3959" s="21">
        <f>2*$B$3624+$D$3943</f>
        <v/>
      </c>
      <c r="M3959" s="21">
        <f>0</f>
        <v/>
      </c>
      <c r="N3959" s="21">
        <f>-$B$3624</f>
        <v/>
      </c>
      <c r="O3959" s="21">
        <f>$B$3625</f>
        <v/>
      </c>
      <c r="P3959" s="21" t="n">
        <v>0</v>
      </c>
      <c r="Q3959" s="21" t="n">
        <v>0</v>
      </c>
      <c r="R3959" s="21" t="n">
        <v>0</v>
      </c>
      <c r="S3959" s="21" t="n">
        <v>0</v>
      </c>
      <c r="T3959" s="21" t="n">
        <v>0</v>
      </c>
      <c r="U3959" s="21" t="n">
        <v>0</v>
      </c>
      <c r="V3959" s="21" t="n">
        <v>0</v>
      </c>
      <c r="W3959" s="21" t="n">
        <v>0</v>
      </c>
      <c r="X3959" s="21" t="n">
        <v>0</v>
      </c>
      <c r="Y3959" s="21" t="n">
        <v>0</v>
      </c>
      <c r="Z3959" s="19" t="n"/>
    </row>
    <row r="3960">
      <c r="D3960" s="21" t="n">
        <v>0</v>
      </c>
      <c r="E3960" s="21" t="n">
        <v>0</v>
      </c>
      <c r="F3960" s="21" t="n">
        <v>0</v>
      </c>
      <c r="G3960" s="21" t="n">
        <v>0</v>
      </c>
      <c r="H3960" s="21" t="n">
        <v>0</v>
      </c>
      <c r="I3960" s="21" t="n">
        <v>0</v>
      </c>
      <c r="J3960" s="21">
        <f>$B$3625</f>
        <v/>
      </c>
      <c r="K3960" s="21">
        <f>$B$3627</f>
        <v/>
      </c>
      <c r="L3960" s="21">
        <f>0</f>
        <v/>
      </c>
      <c r="M3960" s="21">
        <f>2*$B$3626</f>
        <v/>
      </c>
      <c r="N3960" s="21">
        <f>-$B$3625</f>
        <v/>
      </c>
      <c r="O3960" s="21">
        <f>$B$3627</f>
        <v/>
      </c>
      <c r="P3960" s="21" t="n">
        <v>0</v>
      </c>
      <c r="Q3960" s="21" t="n">
        <v>0</v>
      </c>
      <c r="R3960" s="21" t="n">
        <v>0</v>
      </c>
      <c r="S3960" s="21" t="n">
        <v>0</v>
      </c>
      <c r="T3960" s="21" t="n">
        <v>0</v>
      </c>
      <c r="U3960" s="21" t="n">
        <v>0</v>
      </c>
      <c r="V3960" s="21" t="n">
        <v>0</v>
      </c>
      <c r="W3960" s="21" t="n">
        <v>0</v>
      </c>
      <c r="X3960" s="21" t="n">
        <v>0</v>
      </c>
      <c r="Y3960" s="21" t="n">
        <v>0</v>
      </c>
      <c r="Z3960" s="19" t="n"/>
    </row>
    <row r="3961">
      <c r="D3961" s="21" t="n">
        <v>0</v>
      </c>
      <c r="E3961" s="21" t="n">
        <v>0</v>
      </c>
      <c r="F3961" s="21" t="n">
        <v>0</v>
      </c>
      <c r="G3961" s="21" t="n">
        <v>0</v>
      </c>
      <c r="H3961" s="21" t="n">
        <v>0</v>
      </c>
      <c r="I3961" s="21" t="n">
        <v>0</v>
      </c>
      <c r="J3961" s="21" t="n">
        <v>0</v>
      </c>
      <c r="K3961" s="21" t="n">
        <v>0</v>
      </c>
      <c r="L3961" s="21">
        <f>-$B$3624</f>
        <v/>
      </c>
      <c r="M3961" s="21">
        <f>-$B$3625</f>
        <v/>
      </c>
      <c r="N3961" s="21">
        <f>2*$B$3624+$D$3944</f>
        <v/>
      </c>
      <c r="O3961" s="21">
        <f>0</f>
        <v/>
      </c>
      <c r="P3961" s="21">
        <f>-$B$3624</f>
        <v/>
      </c>
      <c r="Q3961" s="21">
        <f>$B$3625</f>
        <v/>
      </c>
      <c r="R3961" s="21" t="n">
        <v>0</v>
      </c>
      <c r="S3961" s="21" t="n">
        <v>0</v>
      </c>
      <c r="T3961" s="21" t="n">
        <v>0</v>
      </c>
      <c r="U3961" s="21" t="n">
        <v>0</v>
      </c>
      <c r="V3961" s="21" t="n">
        <v>0</v>
      </c>
      <c r="W3961" s="21" t="n">
        <v>0</v>
      </c>
      <c r="X3961" s="21" t="n">
        <v>0</v>
      </c>
      <c r="Y3961" s="21" t="n">
        <v>0</v>
      </c>
      <c r="Z3961" s="19" t="n"/>
    </row>
    <row r="3962">
      <c r="D3962" s="21" t="n">
        <v>0</v>
      </c>
      <c r="E3962" s="21" t="n">
        <v>0</v>
      </c>
      <c r="F3962" s="21" t="n">
        <v>0</v>
      </c>
      <c r="G3962" s="21" t="n">
        <v>0</v>
      </c>
      <c r="H3962" s="21" t="n">
        <v>0</v>
      </c>
      <c r="I3962" s="21" t="n">
        <v>0</v>
      </c>
      <c r="J3962" s="21" t="n">
        <v>0</v>
      </c>
      <c r="K3962" s="21" t="n">
        <v>0</v>
      </c>
      <c r="L3962" s="21">
        <f>$B$3625</f>
        <v/>
      </c>
      <c r="M3962" s="21">
        <f>$B$3627</f>
        <v/>
      </c>
      <c r="N3962" s="21">
        <f>0</f>
        <v/>
      </c>
      <c r="O3962" s="21">
        <f>2*$B$3626</f>
        <v/>
      </c>
      <c r="P3962" s="21">
        <f>-$B$3625</f>
        <v/>
      </c>
      <c r="Q3962" s="21">
        <f>$B$3627</f>
        <v/>
      </c>
      <c r="R3962" s="21" t="n">
        <v>0</v>
      </c>
      <c r="S3962" s="21" t="n">
        <v>0</v>
      </c>
      <c r="T3962" s="21" t="n">
        <v>0</v>
      </c>
      <c r="U3962" s="21" t="n">
        <v>0</v>
      </c>
      <c r="V3962" s="21" t="n">
        <v>0</v>
      </c>
      <c r="W3962" s="21" t="n">
        <v>0</v>
      </c>
      <c r="X3962" s="21" t="n">
        <v>0</v>
      </c>
      <c r="Y3962" s="21" t="n">
        <v>0</v>
      </c>
      <c r="Z3962" s="19" t="n"/>
    </row>
    <row r="3963">
      <c r="D3963" s="21" t="n">
        <v>0</v>
      </c>
      <c r="E3963" s="21" t="n">
        <v>0</v>
      </c>
      <c r="F3963" s="21" t="n">
        <v>0</v>
      </c>
      <c r="G3963" s="21" t="n">
        <v>0</v>
      </c>
      <c r="H3963" s="21" t="n">
        <v>0</v>
      </c>
      <c r="I3963" s="21" t="n">
        <v>0</v>
      </c>
      <c r="J3963" s="21" t="n">
        <v>0</v>
      </c>
      <c r="K3963" s="21" t="n">
        <v>0</v>
      </c>
      <c r="L3963" s="21" t="n">
        <v>0</v>
      </c>
      <c r="M3963" s="21" t="n">
        <v>0</v>
      </c>
      <c r="N3963" s="21">
        <f>-$B$3624</f>
        <v/>
      </c>
      <c r="O3963" s="21">
        <f>-$B$3625</f>
        <v/>
      </c>
      <c r="P3963" s="21">
        <f>2*$B$3624+$D$3945</f>
        <v/>
      </c>
      <c r="Q3963" s="21">
        <f>0</f>
        <v/>
      </c>
      <c r="R3963" s="21">
        <f>-$B$3624</f>
        <v/>
      </c>
      <c r="S3963" s="21">
        <f>$B$3625</f>
        <v/>
      </c>
      <c r="T3963" s="21" t="n">
        <v>0</v>
      </c>
      <c r="U3963" s="21" t="n">
        <v>0</v>
      </c>
      <c r="V3963" s="21" t="n">
        <v>0</v>
      </c>
      <c r="W3963" s="21" t="n">
        <v>0</v>
      </c>
      <c r="X3963" s="21" t="n">
        <v>0</v>
      </c>
      <c r="Y3963" s="21" t="n">
        <v>0</v>
      </c>
      <c r="Z3963" s="19" t="n"/>
    </row>
    <row r="3964">
      <c r="D3964" s="21" t="n">
        <v>0</v>
      </c>
      <c r="E3964" s="21" t="n">
        <v>0</v>
      </c>
      <c r="F3964" s="21" t="n">
        <v>0</v>
      </c>
      <c r="G3964" s="21" t="n">
        <v>0</v>
      </c>
      <c r="H3964" s="21" t="n">
        <v>0</v>
      </c>
      <c r="I3964" s="21" t="n">
        <v>0</v>
      </c>
      <c r="J3964" s="21" t="n">
        <v>0</v>
      </c>
      <c r="K3964" s="21" t="n">
        <v>0</v>
      </c>
      <c r="L3964" s="21" t="n">
        <v>0</v>
      </c>
      <c r="M3964" s="21" t="n">
        <v>0</v>
      </c>
      <c r="N3964" s="21">
        <f>$B$3625</f>
        <v/>
      </c>
      <c r="O3964" s="21">
        <f>$B$3627</f>
        <v/>
      </c>
      <c r="P3964" s="21">
        <f>0</f>
        <v/>
      </c>
      <c r="Q3964" s="21">
        <f>2*$B$3626</f>
        <v/>
      </c>
      <c r="R3964" s="21">
        <f>-$B$3625</f>
        <v/>
      </c>
      <c r="S3964" s="21">
        <f>$B$3627</f>
        <v/>
      </c>
      <c r="T3964" s="21" t="n">
        <v>0</v>
      </c>
      <c r="U3964" s="21" t="n">
        <v>0</v>
      </c>
      <c r="V3964" s="21" t="n">
        <v>0</v>
      </c>
      <c r="W3964" s="21" t="n">
        <v>0</v>
      </c>
      <c r="X3964" s="21" t="n">
        <v>0</v>
      </c>
      <c r="Y3964" s="21" t="n">
        <v>0</v>
      </c>
      <c r="Z3964" s="19" t="n"/>
    </row>
    <row r="3965">
      <c r="D3965" s="21" t="n">
        <v>0</v>
      </c>
      <c r="E3965" s="21" t="n">
        <v>0</v>
      </c>
      <c r="F3965" s="21" t="n">
        <v>0</v>
      </c>
      <c r="G3965" s="21" t="n">
        <v>0</v>
      </c>
      <c r="H3965" s="21" t="n">
        <v>0</v>
      </c>
      <c r="I3965" s="21" t="n">
        <v>0</v>
      </c>
      <c r="J3965" s="21" t="n">
        <v>0</v>
      </c>
      <c r="K3965" s="21" t="n">
        <v>0</v>
      </c>
      <c r="L3965" s="21" t="n">
        <v>0</v>
      </c>
      <c r="M3965" s="21" t="n">
        <v>0</v>
      </c>
      <c r="N3965" s="21" t="n">
        <v>0</v>
      </c>
      <c r="O3965" s="21" t="n">
        <v>0</v>
      </c>
      <c r="P3965" s="21">
        <f>-$B$3624</f>
        <v/>
      </c>
      <c r="Q3965" s="21">
        <f>-$B$3625</f>
        <v/>
      </c>
      <c r="R3965" s="21">
        <f>2*$B$3624+$D$3946</f>
        <v/>
      </c>
      <c r="S3965" s="21">
        <f>0</f>
        <v/>
      </c>
      <c r="T3965" s="21">
        <f>-$B$3624</f>
        <v/>
      </c>
      <c r="U3965" s="21">
        <f>$B$3625</f>
        <v/>
      </c>
      <c r="V3965" s="21" t="n">
        <v>0</v>
      </c>
      <c r="W3965" s="21" t="n">
        <v>0</v>
      </c>
      <c r="X3965" s="21" t="n">
        <v>0</v>
      </c>
      <c r="Y3965" s="21" t="n">
        <v>0</v>
      </c>
      <c r="Z3965" s="19" t="n"/>
    </row>
    <row r="3966">
      <c r="D3966" s="21" t="n">
        <v>0</v>
      </c>
      <c r="E3966" s="21" t="n">
        <v>0</v>
      </c>
      <c r="F3966" s="21" t="n">
        <v>0</v>
      </c>
      <c r="G3966" s="21" t="n">
        <v>0</v>
      </c>
      <c r="H3966" s="21" t="n">
        <v>0</v>
      </c>
      <c r="I3966" s="21" t="n">
        <v>0</v>
      </c>
      <c r="J3966" s="21" t="n">
        <v>0</v>
      </c>
      <c r="K3966" s="21" t="n">
        <v>0</v>
      </c>
      <c r="L3966" s="21" t="n">
        <v>0</v>
      </c>
      <c r="M3966" s="21" t="n">
        <v>0</v>
      </c>
      <c r="N3966" s="21" t="n">
        <v>0</v>
      </c>
      <c r="O3966" s="21" t="n">
        <v>0</v>
      </c>
      <c r="P3966" s="21">
        <f>$B$3625</f>
        <v/>
      </c>
      <c r="Q3966" s="21">
        <f>$B$3627</f>
        <v/>
      </c>
      <c r="R3966" s="21">
        <f>0</f>
        <v/>
      </c>
      <c r="S3966" s="21">
        <f>2*$B$3626</f>
        <v/>
      </c>
      <c r="T3966" s="21">
        <f>-$B$3625</f>
        <v/>
      </c>
      <c r="U3966" s="21">
        <f>$B$3627</f>
        <v/>
      </c>
      <c r="V3966" s="21" t="n">
        <v>0</v>
      </c>
      <c r="W3966" s="21" t="n">
        <v>0</v>
      </c>
      <c r="X3966" s="21" t="n">
        <v>0</v>
      </c>
      <c r="Y3966" s="21" t="n">
        <v>0</v>
      </c>
      <c r="Z3966" s="19" t="n"/>
    </row>
    <row r="3967">
      <c r="D3967" s="21" t="n">
        <v>0</v>
      </c>
      <c r="E3967" s="21" t="n">
        <v>0</v>
      </c>
      <c r="F3967" s="21" t="n">
        <v>0</v>
      </c>
      <c r="G3967" s="21" t="n">
        <v>0</v>
      </c>
      <c r="H3967" s="21" t="n">
        <v>0</v>
      </c>
      <c r="I3967" s="21" t="n">
        <v>0</v>
      </c>
      <c r="J3967" s="21" t="n">
        <v>0</v>
      </c>
      <c r="K3967" s="21" t="n">
        <v>0</v>
      </c>
      <c r="L3967" s="21" t="n">
        <v>0</v>
      </c>
      <c r="M3967" s="21" t="n">
        <v>0</v>
      </c>
      <c r="N3967" s="21" t="n">
        <v>0</v>
      </c>
      <c r="O3967" s="21" t="n">
        <v>0</v>
      </c>
      <c r="P3967" s="21" t="n">
        <v>0</v>
      </c>
      <c r="Q3967" s="21" t="n">
        <v>0</v>
      </c>
      <c r="R3967" s="21">
        <f>-$B$3624</f>
        <v/>
      </c>
      <c r="S3967" s="21">
        <f>-$B$3625</f>
        <v/>
      </c>
      <c r="T3967" s="21">
        <f>2*$B$3624+$D$3947</f>
        <v/>
      </c>
      <c r="U3967" s="21">
        <f>0</f>
        <v/>
      </c>
      <c r="V3967" s="21">
        <f>-$B$3624</f>
        <v/>
      </c>
      <c r="W3967" s="21">
        <f>$B$3625</f>
        <v/>
      </c>
      <c r="X3967" s="21" t="n">
        <v>0</v>
      </c>
      <c r="Y3967" s="21" t="n">
        <v>0</v>
      </c>
      <c r="Z3967" s="19" t="n"/>
    </row>
    <row r="3968">
      <c r="D3968" s="21" t="n">
        <v>0</v>
      </c>
      <c r="E3968" s="21" t="n">
        <v>0</v>
      </c>
      <c r="F3968" s="21" t="n">
        <v>0</v>
      </c>
      <c r="G3968" s="21" t="n">
        <v>0</v>
      </c>
      <c r="H3968" s="21" t="n">
        <v>0</v>
      </c>
      <c r="I3968" s="21" t="n">
        <v>0</v>
      </c>
      <c r="J3968" s="21" t="n">
        <v>0</v>
      </c>
      <c r="K3968" s="21" t="n">
        <v>0</v>
      </c>
      <c r="L3968" s="21" t="n">
        <v>0</v>
      </c>
      <c r="M3968" s="21" t="n">
        <v>0</v>
      </c>
      <c r="N3968" s="21" t="n">
        <v>0</v>
      </c>
      <c r="O3968" s="21" t="n">
        <v>0</v>
      </c>
      <c r="P3968" s="21" t="n">
        <v>0</v>
      </c>
      <c r="Q3968" s="21" t="n">
        <v>0</v>
      </c>
      <c r="R3968" s="21">
        <f>$B$3625</f>
        <v/>
      </c>
      <c r="S3968" s="21">
        <f>$B$3627</f>
        <v/>
      </c>
      <c r="T3968" s="21">
        <f>0</f>
        <v/>
      </c>
      <c r="U3968" s="21">
        <f>2*$B$3626</f>
        <v/>
      </c>
      <c r="V3968" s="21">
        <f>-$B$3625</f>
        <v/>
      </c>
      <c r="W3968" s="21">
        <f>$B$3627</f>
        <v/>
      </c>
      <c r="X3968" s="21" t="n">
        <v>0</v>
      </c>
      <c r="Y3968" s="21" t="n">
        <v>0</v>
      </c>
      <c r="Z3968" s="19" t="n"/>
    </row>
    <row r="3969">
      <c r="D3969" s="21" t="n">
        <v>0</v>
      </c>
      <c r="E3969" s="21" t="n">
        <v>0</v>
      </c>
      <c r="F3969" s="21" t="n">
        <v>0</v>
      </c>
      <c r="G3969" s="21" t="n">
        <v>0</v>
      </c>
      <c r="H3969" s="21" t="n">
        <v>0</v>
      </c>
      <c r="I3969" s="21" t="n">
        <v>0</v>
      </c>
      <c r="J3969" s="21" t="n">
        <v>0</v>
      </c>
      <c r="K3969" s="21" t="n">
        <v>0</v>
      </c>
      <c r="L3969" s="21" t="n">
        <v>0</v>
      </c>
      <c r="M3969" s="21" t="n">
        <v>0</v>
      </c>
      <c r="N3969" s="21" t="n">
        <v>0</v>
      </c>
      <c r="O3969" s="21" t="n">
        <v>0</v>
      </c>
      <c r="P3969" s="21" t="n">
        <v>0</v>
      </c>
      <c r="Q3969" s="21" t="n">
        <v>0</v>
      </c>
      <c r="R3969" s="21" t="n">
        <v>0</v>
      </c>
      <c r="S3969" s="21" t="n">
        <v>0</v>
      </c>
      <c r="T3969" s="21">
        <f>-$B$3624</f>
        <v/>
      </c>
      <c r="U3969" s="21">
        <f>-$B$3625</f>
        <v/>
      </c>
      <c r="V3969" s="21">
        <f>2*$B$3624+$D$3948</f>
        <v/>
      </c>
      <c r="W3969" s="21">
        <f>0</f>
        <v/>
      </c>
      <c r="X3969" s="21">
        <f>-$B$3624</f>
        <v/>
      </c>
      <c r="Y3969" s="21">
        <f>$B$3625</f>
        <v/>
      </c>
      <c r="Z3969" s="19" t="n"/>
    </row>
    <row r="3970">
      <c r="D3970" s="21" t="n">
        <v>0</v>
      </c>
      <c r="E3970" s="21" t="n">
        <v>0</v>
      </c>
      <c r="F3970" s="21" t="n">
        <v>0</v>
      </c>
      <c r="G3970" s="21" t="n">
        <v>0</v>
      </c>
      <c r="H3970" s="21" t="n">
        <v>0</v>
      </c>
      <c r="I3970" s="21" t="n">
        <v>0</v>
      </c>
      <c r="J3970" s="21" t="n">
        <v>0</v>
      </c>
      <c r="K3970" s="21" t="n">
        <v>0</v>
      </c>
      <c r="L3970" s="21" t="n">
        <v>0</v>
      </c>
      <c r="M3970" s="21" t="n">
        <v>0</v>
      </c>
      <c r="N3970" s="21" t="n">
        <v>0</v>
      </c>
      <c r="O3970" s="21" t="n">
        <v>0</v>
      </c>
      <c r="P3970" s="21" t="n">
        <v>0</v>
      </c>
      <c r="Q3970" s="21" t="n">
        <v>0</v>
      </c>
      <c r="R3970" s="21" t="n">
        <v>0</v>
      </c>
      <c r="S3970" s="21" t="n">
        <v>0</v>
      </c>
      <c r="T3970" s="21">
        <f>$B$3625</f>
        <v/>
      </c>
      <c r="U3970" s="21">
        <f>$B$3627</f>
        <v/>
      </c>
      <c r="V3970" s="21">
        <f>0</f>
        <v/>
      </c>
      <c r="W3970" s="21">
        <f>2*$B$3626</f>
        <v/>
      </c>
      <c r="X3970" s="21">
        <f>-$B$3625</f>
        <v/>
      </c>
      <c r="Y3970" s="21">
        <f>$B$3627</f>
        <v/>
      </c>
      <c r="Z3970" s="19" t="n"/>
    </row>
    <row r="3971">
      <c r="D3971" s="21" t="n">
        <v>0</v>
      </c>
      <c r="E3971" s="21" t="n">
        <v>0</v>
      </c>
      <c r="F3971" s="21" t="n">
        <v>0</v>
      </c>
      <c r="G3971" s="21" t="n">
        <v>0</v>
      </c>
      <c r="H3971" s="21" t="n">
        <v>0</v>
      </c>
      <c r="I3971" s="21" t="n">
        <v>0</v>
      </c>
      <c r="J3971" s="21" t="n">
        <v>0</v>
      </c>
      <c r="K3971" s="21" t="n">
        <v>0</v>
      </c>
      <c r="L3971" s="21" t="n">
        <v>0</v>
      </c>
      <c r="M3971" s="21" t="n">
        <v>0</v>
      </c>
      <c r="N3971" s="21" t="n">
        <v>0</v>
      </c>
      <c r="O3971" s="21" t="n">
        <v>0</v>
      </c>
      <c r="P3971" s="21" t="n">
        <v>0</v>
      </c>
      <c r="Q3971" s="21" t="n">
        <v>0</v>
      </c>
      <c r="R3971" s="21" t="n">
        <v>0</v>
      </c>
      <c r="S3971" s="21" t="n">
        <v>0</v>
      </c>
      <c r="T3971" s="21" t="n">
        <v>0</v>
      </c>
      <c r="U3971" s="21" t="n">
        <v>0</v>
      </c>
      <c r="V3971" s="21">
        <f>-$B$3624</f>
        <v/>
      </c>
      <c r="W3971" s="21">
        <f>-$B$3625</f>
        <v/>
      </c>
      <c r="X3971" s="21">
        <f>$B$3624+$D$3949</f>
        <v/>
      </c>
      <c r="Y3971" s="21">
        <f>-$B$3625</f>
        <v/>
      </c>
      <c r="Z3971" s="19" t="n"/>
    </row>
    <row r="3972">
      <c r="D3972" s="21" t="n">
        <v>0</v>
      </c>
      <c r="E3972" s="21" t="n">
        <v>0</v>
      </c>
      <c r="F3972" s="21" t="n">
        <v>0</v>
      </c>
      <c r="G3972" s="21" t="n">
        <v>0</v>
      </c>
      <c r="H3972" s="21" t="n">
        <v>0</v>
      </c>
      <c r="I3972" s="21" t="n">
        <v>0</v>
      </c>
      <c r="J3972" s="21" t="n">
        <v>0</v>
      </c>
      <c r="K3972" s="21" t="n">
        <v>0</v>
      </c>
      <c r="L3972" s="21" t="n">
        <v>0</v>
      </c>
      <c r="M3972" s="21" t="n">
        <v>0</v>
      </c>
      <c r="N3972" s="21" t="n">
        <v>0</v>
      </c>
      <c r="O3972" s="21" t="n">
        <v>0</v>
      </c>
      <c r="P3972" s="21" t="n">
        <v>0</v>
      </c>
      <c r="Q3972" s="21" t="n">
        <v>0</v>
      </c>
      <c r="R3972" s="21" t="n">
        <v>0</v>
      </c>
      <c r="S3972" s="21" t="n">
        <v>0</v>
      </c>
      <c r="T3972" s="21" t="n">
        <v>0</v>
      </c>
      <c r="U3972" s="21" t="n">
        <v>0</v>
      </c>
      <c r="V3972" s="21">
        <f>$B$3625</f>
        <v/>
      </c>
      <c r="W3972" s="21">
        <f>$B$3627</f>
        <v/>
      </c>
      <c r="X3972" s="21">
        <f>-$B$3625</f>
        <v/>
      </c>
      <c r="Y3972" s="21">
        <f>$B$3626</f>
        <v/>
      </c>
      <c r="Z3972" s="19" t="n"/>
    </row>
    <row r="3974">
      <c r="A3974" s="8" t="inlineStr">
        <is>
          <t>gen 9</t>
        </is>
      </c>
    </row>
    <row r="3975">
      <c r="D3975" s="19">
        <f>IF(ABS(IF(ABS($E$3939)&gt;0.000000001,$E$3939,0.000000001))=0,0,IF($E$3639&lt;=$B$3633,0,IF(ABS(IF(ABS($E$3939)&gt;0.000000001,$E$3939,0.000000001))&gt;=8*$B$3635,$H$3639,0.5*$H$3639*(ABS(IF(ABS($E$3939)&gt;0.000000001,$E$3939,0.000000001))/$B$3635)^(1/3)))/ABS(IF(ABS($E$3939)&gt;0.000000001,$E$3939,0.000000001))*$I$3639)</f>
        <v/>
      </c>
      <c r="E3975" s="19">
        <f>0.5*$E$3939+0.5*$Z$3987</f>
        <v/>
      </c>
      <c r="F3975" s="19">
        <f>$Z$3988</f>
        <v/>
      </c>
    </row>
    <row r="3976">
      <c r="D3976" s="19">
        <f>IF(ABS(IF(ABS($E$3940)&gt;0.000000001,$E$3940,0.000000001))=0,0,IF($E$3640&lt;=$B$3633,0,IF(ABS(IF(ABS($E$3940)&gt;0.000000001,$E$3940,0.000000001))&gt;=8*$B$3635,$H$3640,0.5*$H$3640*(ABS(IF(ABS($E$3940)&gt;0.000000001,$E$3940,0.000000001))/$B$3635)^(1/3)))/ABS(IF(ABS($E$3940)&gt;0.000000001,$E$3940,0.000000001))*$I$3640)</f>
        <v/>
      </c>
      <c r="E3976" s="19">
        <f>0.5*$E$3940+0.5*$Z$3989</f>
        <v/>
      </c>
      <c r="F3976" s="19">
        <f>$Z$3990</f>
        <v/>
      </c>
    </row>
    <row r="3977">
      <c r="D3977" s="19">
        <f>IF(ABS(IF(ABS($E$3941)&gt;0.000000001,$E$3941,0.000000001))=0,0,IF($E$3641&lt;=$B$3633,0,IF(ABS(IF(ABS($E$3941)&gt;0.000000001,$E$3941,0.000000001))&gt;=8*$B$3635,$H$3641,0.5*$H$3641*(ABS(IF(ABS($E$3941)&gt;0.000000001,$E$3941,0.000000001))/$B$3635)^(1/3)))/ABS(IF(ABS($E$3941)&gt;0.000000001,$E$3941,0.000000001))*$I$3641)</f>
        <v/>
      </c>
      <c r="E3977" s="19">
        <f>0.5*$E$3941+0.5*$Z$3991</f>
        <v/>
      </c>
      <c r="F3977" s="19">
        <f>$Z$3992</f>
        <v/>
      </c>
    </row>
    <row r="3978">
      <c r="D3978" s="19">
        <f>IF(ABS(IF(ABS($E$3942)&gt;0.000000001,$E$3942,0.000000001))=0,0,IF($E$3642&lt;=$B$3633,0,IF(ABS(IF(ABS($E$3942)&gt;0.000000001,$E$3942,0.000000001))&gt;=8*$B$3635,$H$3642,0.5*$H$3642*(ABS(IF(ABS($E$3942)&gt;0.000000001,$E$3942,0.000000001))/$B$3635)^(1/3)))/ABS(IF(ABS($E$3942)&gt;0.000000001,$E$3942,0.000000001))*$I$3642)</f>
        <v/>
      </c>
      <c r="E3978" s="19">
        <f>0.5*$E$3942+0.5*$Z$3993</f>
        <v/>
      </c>
      <c r="F3978" s="19">
        <f>$Z$3994</f>
        <v/>
      </c>
    </row>
    <row r="3979">
      <c r="D3979" s="19">
        <f>IF(ABS(IF(ABS($E$3943)&gt;0.000000001,$E$3943,0.000000001))=0,0,IF($E$3643&lt;=$B$3633,0,IF(ABS(IF(ABS($E$3943)&gt;0.000000001,$E$3943,0.000000001))&gt;=8*$B$3635,$H$3643,0.5*$H$3643*(ABS(IF(ABS($E$3943)&gt;0.000000001,$E$3943,0.000000001))/$B$3635)^(1/3)))/ABS(IF(ABS($E$3943)&gt;0.000000001,$E$3943,0.000000001))*$I$3643)</f>
        <v/>
      </c>
      <c r="E3979" s="19">
        <f>0.5*$E$3943+0.5*$Z$3995</f>
        <v/>
      </c>
      <c r="F3979" s="19">
        <f>$Z$3996</f>
        <v/>
      </c>
    </row>
    <row r="3980">
      <c r="D3980" s="19">
        <f>IF(ABS(IF(ABS($E$3944)&gt;0.000000001,$E$3944,0.000000001))=0,0,IF($E$3644&lt;=$B$3633,0,IF(ABS(IF(ABS($E$3944)&gt;0.000000001,$E$3944,0.000000001))&gt;=8*$B$3635,$H$3644,0.5*$H$3644*(ABS(IF(ABS($E$3944)&gt;0.000000001,$E$3944,0.000000001))/$B$3635)^(1/3)))/ABS(IF(ABS($E$3944)&gt;0.000000001,$E$3944,0.000000001))*$I$3644)</f>
        <v/>
      </c>
      <c r="E3980" s="19">
        <f>0.5*$E$3944+0.5*$Z$3997</f>
        <v/>
      </c>
      <c r="F3980" s="19">
        <f>$Z$3998</f>
        <v/>
      </c>
    </row>
    <row r="3981">
      <c r="D3981" s="19">
        <f>IF(ABS(IF(ABS($E$3945)&gt;0.000000001,$E$3945,0.000000001))=0,0,IF($E$3645&lt;=$B$3633,0,IF(ABS(IF(ABS($E$3945)&gt;0.000000001,$E$3945,0.000000001))&gt;=8*$B$3635,$H$3645,0.5*$H$3645*(ABS(IF(ABS($E$3945)&gt;0.000000001,$E$3945,0.000000001))/$B$3635)^(1/3)))/ABS(IF(ABS($E$3945)&gt;0.000000001,$E$3945,0.000000001))*$I$3645)</f>
        <v/>
      </c>
      <c r="E3981" s="19">
        <f>0.5*$E$3945+0.5*$Z$3999</f>
        <v/>
      </c>
      <c r="F3981" s="19">
        <f>$Z$4000</f>
        <v/>
      </c>
    </row>
    <row r="3982">
      <c r="D3982" s="19">
        <f>IF(ABS(IF(ABS($E$3946)&gt;0.000000001,$E$3946,0.000000001))=0,0,IF($E$3646&lt;=$B$3633,0,IF(ABS(IF(ABS($E$3946)&gt;0.000000001,$E$3946,0.000000001))&gt;=8*$B$3635,$H$3646,0.5*$H$3646*(ABS(IF(ABS($E$3946)&gt;0.000000001,$E$3946,0.000000001))/$B$3635)^(1/3)))/ABS(IF(ABS($E$3946)&gt;0.000000001,$E$3946,0.000000001))*$I$3646)</f>
        <v/>
      </c>
      <c r="E3982" s="19">
        <f>0.5*$E$3946+0.5*$Z$4001</f>
        <v/>
      </c>
      <c r="F3982" s="19">
        <f>$Z$4002</f>
        <v/>
      </c>
    </row>
    <row r="3983">
      <c r="D3983" s="19">
        <f>IF(ABS(IF(ABS($E$3947)&gt;0.000000001,$E$3947,0.000000001))=0,0,IF($E$3647&lt;=$B$3633,0,IF(ABS(IF(ABS($E$3947)&gt;0.000000001,$E$3947,0.000000001))&gt;=8*$B$3635,$H$3647,0.5*$H$3647*(ABS(IF(ABS($E$3947)&gt;0.000000001,$E$3947,0.000000001))/$B$3635)^(1/3)))/ABS(IF(ABS($E$3947)&gt;0.000000001,$E$3947,0.000000001))*$I$3647)</f>
        <v/>
      </c>
      <c r="E3983" s="19">
        <f>0.5*$E$3947+0.5*$Z$4003</f>
        <v/>
      </c>
      <c r="F3983" s="19">
        <f>$Z$4004</f>
        <v/>
      </c>
    </row>
    <row r="3984">
      <c r="D3984" s="19">
        <f>IF(ABS(IF(ABS($E$3948)&gt;0.000000001,$E$3948,0.000000001))=0,0,IF($E$3648&lt;=$B$3633,0,IF(ABS(IF(ABS($E$3948)&gt;0.000000001,$E$3948,0.000000001))&gt;=8*$B$3635,$H$3648,0.5*$H$3648*(ABS(IF(ABS($E$3948)&gt;0.000000001,$E$3948,0.000000001))/$B$3635)^(1/3)))/ABS(IF(ABS($E$3948)&gt;0.000000001,$E$3948,0.000000001))*$I$3648)</f>
        <v/>
      </c>
      <c r="E3984" s="19">
        <f>0.5*$E$3948+0.5*$Z$4005</f>
        <v/>
      </c>
      <c r="F3984" s="19">
        <f>$Z$4006</f>
        <v/>
      </c>
    </row>
    <row r="3985">
      <c r="D3985" s="19">
        <f>IF(ABS(IF(ABS($E$3949)&gt;0.000000001,$E$3949,0.000000001))=0,0,IF($E$3649&lt;=$B$3633,0,IF(ABS(IF(ABS($E$3949)&gt;0.000000001,$E$3949,0.000000001))&gt;=8*$B$3635,$H$3649,0.5*$H$3649*(ABS(IF(ABS($E$3949)&gt;0.000000001,$E$3949,0.000000001))/$B$3635)^(1/3)))/ABS(IF(ABS($E$3949)&gt;0.000000001,$E$3949,0.000000001))*$I$3649)</f>
        <v/>
      </c>
      <c r="E3985" s="19">
        <f>0.5*$E$3949+0.5*$Z$4007</f>
        <v/>
      </c>
      <c r="F3985" s="19">
        <f>$Z$4008</f>
        <v/>
      </c>
    </row>
    <row r="3987">
      <c r="D3987" s="21">
        <f>$B$3624+$D$3975</f>
        <v/>
      </c>
      <c r="E3987" s="21">
        <f>$B$3625</f>
        <v/>
      </c>
      <c r="F3987" s="21">
        <f>-$B$3624</f>
        <v/>
      </c>
      <c r="G3987" s="21">
        <f>$B$3625</f>
        <v/>
      </c>
      <c r="H3987" s="21" t="n">
        <v>0</v>
      </c>
      <c r="I3987" s="21" t="n">
        <v>0</v>
      </c>
      <c r="J3987" s="21" t="n">
        <v>0</v>
      </c>
      <c r="K3987" s="21" t="n">
        <v>0</v>
      </c>
      <c r="L3987" s="21" t="n">
        <v>0</v>
      </c>
      <c r="M3987" s="21" t="n">
        <v>0</v>
      </c>
      <c r="N3987" s="21" t="n">
        <v>0</v>
      </c>
      <c r="O3987" s="21" t="n">
        <v>0</v>
      </c>
      <c r="P3987" s="21" t="n">
        <v>0</v>
      </c>
      <c r="Q3987" s="21" t="n">
        <v>0</v>
      </c>
      <c r="R3987" s="21" t="n">
        <v>0</v>
      </c>
      <c r="S3987" s="21" t="n">
        <v>0</v>
      </c>
      <c r="T3987" s="21" t="n">
        <v>0</v>
      </c>
      <c r="U3987" s="21" t="n">
        <v>0</v>
      </c>
      <c r="V3987" s="21" t="n">
        <v>0</v>
      </c>
      <c r="W3987" s="21" t="n">
        <v>0</v>
      </c>
      <c r="X3987" s="21" t="n">
        <v>0</v>
      </c>
      <c r="Y3987" s="21" t="n">
        <v>0</v>
      </c>
      <c r="Z3987" s="19">
        <f t="array" ref="Z3987:Z4008">MMULT(MINVERSE($D$3987:$Y$4008),$D$3651:$D$3672)</f>
        <v/>
      </c>
    </row>
    <row r="3988">
      <c r="D3988" s="21">
        <f>$B$3625</f>
        <v/>
      </c>
      <c r="E3988" s="21">
        <f>$B$3626</f>
        <v/>
      </c>
      <c r="F3988" s="21">
        <f>-$B$3625</f>
        <v/>
      </c>
      <c r="G3988" s="21">
        <f>$B$3627</f>
        <v/>
      </c>
      <c r="H3988" s="21" t="n">
        <v>0</v>
      </c>
      <c r="I3988" s="21" t="n">
        <v>0</v>
      </c>
      <c r="J3988" s="21" t="n">
        <v>0</v>
      </c>
      <c r="K3988" s="21" t="n">
        <v>0</v>
      </c>
      <c r="L3988" s="21" t="n">
        <v>0</v>
      </c>
      <c r="M3988" s="21" t="n">
        <v>0</v>
      </c>
      <c r="N3988" s="21" t="n">
        <v>0</v>
      </c>
      <c r="O3988" s="21" t="n">
        <v>0</v>
      </c>
      <c r="P3988" s="21" t="n">
        <v>0</v>
      </c>
      <c r="Q3988" s="21" t="n">
        <v>0</v>
      </c>
      <c r="R3988" s="21" t="n">
        <v>0</v>
      </c>
      <c r="S3988" s="21" t="n">
        <v>0</v>
      </c>
      <c r="T3988" s="21" t="n">
        <v>0</v>
      </c>
      <c r="U3988" s="21" t="n">
        <v>0</v>
      </c>
      <c r="V3988" s="21" t="n">
        <v>0</v>
      </c>
      <c r="W3988" s="21" t="n">
        <v>0</v>
      </c>
      <c r="X3988" s="21" t="n">
        <v>0</v>
      </c>
      <c r="Y3988" s="21" t="n">
        <v>0</v>
      </c>
      <c r="Z3988" s="19" t="n"/>
    </row>
    <row r="3989">
      <c r="D3989" s="21">
        <f>-$B$3624</f>
        <v/>
      </c>
      <c r="E3989" s="21">
        <f>-$B$3625</f>
        <v/>
      </c>
      <c r="F3989" s="21">
        <f>2*$B$3624+$D$3976</f>
        <v/>
      </c>
      <c r="G3989" s="21">
        <f>0</f>
        <v/>
      </c>
      <c r="H3989" s="21">
        <f>-$B$3624</f>
        <v/>
      </c>
      <c r="I3989" s="21">
        <f>$B$3625</f>
        <v/>
      </c>
      <c r="J3989" s="21" t="n">
        <v>0</v>
      </c>
      <c r="K3989" s="21" t="n">
        <v>0</v>
      </c>
      <c r="L3989" s="21" t="n">
        <v>0</v>
      </c>
      <c r="M3989" s="21" t="n">
        <v>0</v>
      </c>
      <c r="N3989" s="21" t="n">
        <v>0</v>
      </c>
      <c r="O3989" s="21" t="n">
        <v>0</v>
      </c>
      <c r="P3989" s="21" t="n">
        <v>0</v>
      </c>
      <c r="Q3989" s="21" t="n">
        <v>0</v>
      </c>
      <c r="R3989" s="21" t="n">
        <v>0</v>
      </c>
      <c r="S3989" s="21" t="n">
        <v>0</v>
      </c>
      <c r="T3989" s="21" t="n">
        <v>0</v>
      </c>
      <c r="U3989" s="21" t="n">
        <v>0</v>
      </c>
      <c r="V3989" s="21" t="n">
        <v>0</v>
      </c>
      <c r="W3989" s="21" t="n">
        <v>0</v>
      </c>
      <c r="X3989" s="21" t="n">
        <v>0</v>
      </c>
      <c r="Y3989" s="21" t="n">
        <v>0</v>
      </c>
      <c r="Z3989" s="19" t="n"/>
    </row>
    <row r="3990">
      <c r="D3990" s="21">
        <f>$B$3625</f>
        <v/>
      </c>
      <c r="E3990" s="21">
        <f>$B$3627</f>
        <v/>
      </c>
      <c r="F3990" s="21">
        <f>0</f>
        <v/>
      </c>
      <c r="G3990" s="21">
        <f>2*$B$3626</f>
        <v/>
      </c>
      <c r="H3990" s="21">
        <f>-$B$3625</f>
        <v/>
      </c>
      <c r="I3990" s="21">
        <f>$B$3627</f>
        <v/>
      </c>
      <c r="J3990" s="21" t="n">
        <v>0</v>
      </c>
      <c r="K3990" s="21" t="n">
        <v>0</v>
      </c>
      <c r="L3990" s="21" t="n">
        <v>0</v>
      </c>
      <c r="M3990" s="21" t="n">
        <v>0</v>
      </c>
      <c r="N3990" s="21" t="n">
        <v>0</v>
      </c>
      <c r="O3990" s="21" t="n">
        <v>0</v>
      </c>
      <c r="P3990" s="21" t="n">
        <v>0</v>
      </c>
      <c r="Q3990" s="21" t="n">
        <v>0</v>
      </c>
      <c r="R3990" s="21" t="n">
        <v>0</v>
      </c>
      <c r="S3990" s="21" t="n">
        <v>0</v>
      </c>
      <c r="T3990" s="21" t="n">
        <v>0</v>
      </c>
      <c r="U3990" s="21" t="n">
        <v>0</v>
      </c>
      <c r="V3990" s="21" t="n">
        <v>0</v>
      </c>
      <c r="W3990" s="21" t="n">
        <v>0</v>
      </c>
      <c r="X3990" s="21" t="n">
        <v>0</v>
      </c>
      <c r="Y3990" s="21" t="n">
        <v>0</v>
      </c>
      <c r="Z3990" s="19" t="n"/>
    </row>
    <row r="3991">
      <c r="D3991" s="21" t="n">
        <v>0</v>
      </c>
      <c r="E3991" s="21" t="n">
        <v>0</v>
      </c>
      <c r="F3991" s="21">
        <f>-$B$3624</f>
        <v/>
      </c>
      <c r="G3991" s="21">
        <f>-$B$3625</f>
        <v/>
      </c>
      <c r="H3991" s="21">
        <f>2*$B$3624+$D$3977</f>
        <v/>
      </c>
      <c r="I3991" s="21">
        <f>0</f>
        <v/>
      </c>
      <c r="J3991" s="21">
        <f>-$B$3624</f>
        <v/>
      </c>
      <c r="K3991" s="21">
        <f>$B$3625</f>
        <v/>
      </c>
      <c r="L3991" s="21" t="n">
        <v>0</v>
      </c>
      <c r="M3991" s="21" t="n">
        <v>0</v>
      </c>
      <c r="N3991" s="21" t="n">
        <v>0</v>
      </c>
      <c r="O3991" s="21" t="n">
        <v>0</v>
      </c>
      <c r="P3991" s="21" t="n">
        <v>0</v>
      </c>
      <c r="Q3991" s="21" t="n">
        <v>0</v>
      </c>
      <c r="R3991" s="21" t="n">
        <v>0</v>
      </c>
      <c r="S3991" s="21" t="n">
        <v>0</v>
      </c>
      <c r="T3991" s="21" t="n">
        <v>0</v>
      </c>
      <c r="U3991" s="21" t="n">
        <v>0</v>
      </c>
      <c r="V3991" s="21" t="n">
        <v>0</v>
      </c>
      <c r="W3991" s="21" t="n">
        <v>0</v>
      </c>
      <c r="X3991" s="21" t="n">
        <v>0</v>
      </c>
      <c r="Y3991" s="21" t="n">
        <v>0</v>
      </c>
      <c r="Z3991" s="19" t="n"/>
    </row>
    <row r="3992">
      <c r="D3992" s="21" t="n">
        <v>0</v>
      </c>
      <c r="E3992" s="21" t="n">
        <v>0</v>
      </c>
      <c r="F3992" s="21">
        <f>$B$3625</f>
        <v/>
      </c>
      <c r="G3992" s="21">
        <f>$B$3627</f>
        <v/>
      </c>
      <c r="H3992" s="21">
        <f>0</f>
        <v/>
      </c>
      <c r="I3992" s="21">
        <f>2*$B$3626</f>
        <v/>
      </c>
      <c r="J3992" s="21">
        <f>-$B$3625</f>
        <v/>
      </c>
      <c r="K3992" s="21">
        <f>$B$3627</f>
        <v/>
      </c>
      <c r="L3992" s="21" t="n">
        <v>0</v>
      </c>
      <c r="M3992" s="21" t="n">
        <v>0</v>
      </c>
      <c r="N3992" s="21" t="n">
        <v>0</v>
      </c>
      <c r="O3992" s="21" t="n">
        <v>0</v>
      </c>
      <c r="P3992" s="21" t="n">
        <v>0</v>
      </c>
      <c r="Q3992" s="21" t="n">
        <v>0</v>
      </c>
      <c r="R3992" s="21" t="n">
        <v>0</v>
      </c>
      <c r="S3992" s="21" t="n">
        <v>0</v>
      </c>
      <c r="T3992" s="21" t="n">
        <v>0</v>
      </c>
      <c r="U3992" s="21" t="n">
        <v>0</v>
      </c>
      <c r="V3992" s="21" t="n">
        <v>0</v>
      </c>
      <c r="W3992" s="21" t="n">
        <v>0</v>
      </c>
      <c r="X3992" s="21" t="n">
        <v>0</v>
      </c>
      <c r="Y3992" s="21" t="n">
        <v>0</v>
      </c>
      <c r="Z3992" s="19" t="n"/>
    </row>
    <row r="3993">
      <c r="D3993" s="21" t="n">
        <v>0</v>
      </c>
      <c r="E3993" s="21" t="n">
        <v>0</v>
      </c>
      <c r="F3993" s="21" t="n">
        <v>0</v>
      </c>
      <c r="G3993" s="21" t="n">
        <v>0</v>
      </c>
      <c r="H3993" s="21">
        <f>-$B$3624</f>
        <v/>
      </c>
      <c r="I3993" s="21">
        <f>-$B$3625</f>
        <v/>
      </c>
      <c r="J3993" s="21">
        <f>2*$B$3624+$D$3978</f>
        <v/>
      </c>
      <c r="K3993" s="21">
        <f>0</f>
        <v/>
      </c>
      <c r="L3993" s="21">
        <f>-$B$3624</f>
        <v/>
      </c>
      <c r="M3993" s="21">
        <f>$B$3625</f>
        <v/>
      </c>
      <c r="N3993" s="21" t="n">
        <v>0</v>
      </c>
      <c r="O3993" s="21" t="n">
        <v>0</v>
      </c>
      <c r="P3993" s="21" t="n">
        <v>0</v>
      </c>
      <c r="Q3993" s="21" t="n">
        <v>0</v>
      </c>
      <c r="R3993" s="21" t="n">
        <v>0</v>
      </c>
      <c r="S3993" s="21" t="n">
        <v>0</v>
      </c>
      <c r="T3993" s="21" t="n">
        <v>0</v>
      </c>
      <c r="U3993" s="21" t="n">
        <v>0</v>
      </c>
      <c r="V3993" s="21" t="n">
        <v>0</v>
      </c>
      <c r="W3993" s="21" t="n">
        <v>0</v>
      </c>
      <c r="X3993" s="21" t="n">
        <v>0</v>
      </c>
      <c r="Y3993" s="21" t="n">
        <v>0</v>
      </c>
      <c r="Z3993" s="19" t="n"/>
    </row>
    <row r="3994">
      <c r="D3994" s="21" t="n">
        <v>0</v>
      </c>
      <c r="E3994" s="21" t="n">
        <v>0</v>
      </c>
      <c r="F3994" s="21" t="n">
        <v>0</v>
      </c>
      <c r="G3994" s="21" t="n">
        <v>0</v>
      </c>
      <c r="H3994" s="21">
        <f>$B$3625</f>
        <v/>
      </c>
      <c r="I3994" s="21">
        <f>$B$3627</f>
        <v/>
      </c>
      <c r="J3994" s="21">
        <f>0</f>
        <v/>
      </c>
      <c r="K3994" s="21">
        <f>2*$B$3626</f>
        <v/>
      </c>
      <c r="L3994" s="21">
        <f>-$B$3625</f>
        <v/>
      </c>
      <c r="M3994" s="21">
        <f>$B$3627</f>
        <v/>
      </c>
      <c r="N3994" s="21" t="n">
        <v>0</v>
      </c>
      <c r="O3994" s="21" t="n">
        <v>0</v>
      </c>
      <c r="P3994" s="21" t="n">
        <v>0</v>
      </c>
      <c r="Q3994" s="21" t="n">
        <v>0</v>
      </c>
      <c r="R3994" s="21" t="n">
        <v>0</v>
      </c>
      <c r="S3994" s="21" t="n">
        <v>0</v>
      </c>
      <c r="T3994" s="21" t="n">
        <v>0</v>
      </c>
      <c r="U3994" s="21" t="n">
        <v>0</v>
      </c>
      <c r="V3994" s="21" t="n">
        <v>0</v>
      </c>
      <c r="W3994" s="21" t="n">
        <v>0</v>
      </c>
      <c r="X3994" s="21" t="n">
        <v>0</v>
      </c>
      <c r="Y3994" s="21" t="n">
        <v>0</v>
      </c>
      <c r="Z3994" s="19" t="n"/>
    </row>
    <row r="3995">
      <c r="D3995" s="21" t="n">
        <v>0</v>
      </c>
      <c r="E3995" s="21" t="n">
        <v>0</v>
      </c>
      <c r="F3995" s="21" t="n">
        <v>0</v>
      </c>
      <c r="G3995" s="21" t="n">
        <v>0</v>
      </c>
      <c r="H3995" s="21" t="n">
        <v>0</v>
      </c>
      <c r="I3995" s="21" t="n">
        <v>0</v>
      </c>
      <c r="J3995" s="21">
        <f>-$B$3624</f>
        <v/>
      </c>
      <c r="K3995" s="21">
        <f>-$B$3625</f>
        <v/>
      </c>
      <c r="L3995" s="21">
        <f>2*$B$3624+$D$3979</f>
        <v/>
      </c>
      <c r="M3995" s="21">
        <f>0</f>
        <v/>
      </c>
      <c r="N3995" s="21">
        <f>-$B$3624</f>
        <v/>
      </c>
      <c r="O3995" s="21">
        <f>$B$3625</f>
        <v/>
      </c>
      <c r="P3995" s="21" t="n">
        <v>0</v>
      </c>
      <c r="Q3995" s="21" t="n">
        <v>0</v>
      </c>
      <c r="R3995" s="21" t="n">
        <v>0</v>
      </c>
      <c r="S3995" s="21" t="n">
        <v>0</v>
      </c>
      <c r="T3995" s="21" t="n">
        <v>0</v>
      </c>
      <c r="U3995" s="21" t="n">
        <v>0</v>
      </c>
      <c r="V3995" s="21" t="n">
        <v>0</v>
      </c>
      <c r="W3995" s="21" t="n">
        <v>0</v>
      </c>
      <c r="X3995" s="21" t="n">
        <v>0</v>
      </c>
      <c r="Y3995" s="21" t="n">
        <v>0</v>
      </c>
      <c r="Z3995" s="19" t="n"/>
    </row>
    <row r="3996">
      <c r="D3996" s="21" t="n">
        <v>0</v>
      </c>
      <c r="E3996" s="21" t="n">
        <v>0</v>
      </c>
      <c r="F3996" s="21" t="n">
        <v>0</v>
      </c>
      <c r="G3996" s="21" t="n">
        <v>0</v>
      </c>
      <c r="H3996" s="21" t="n">
        <v>0</v>
      </c>
      <c r="I3996" s="21" t="n">
        <v>0</v>
      </c>
      <c r="J3996" s="21">
        <f>$B$3625</f>
        <v/>
      </c>
      <c r="K3996" s="21">
        <f>$B$3627</f>
        <v/>
      </c>
      <c r="L3996" s="21">
        <f>0</f>
        <v/>
      </c>
      <c r="M3996" s="21">
        <f>2*$B$3626</f>
        <v/>
      </c>
      <c r="N3996" s="21">
        <f>-$B$3625</f>
        <v/>
      </c>
      <c r="O3996" s="21">
        <f>$B$3627</f>
        <v/>
      </c>
      <c r="P3996" s="21" t="n">
        <v>0</v>
      </c>
      <c r="Q3996" s="21" t="n">
        <v>0</v>
      </c>
      <c r="R3996" s="21" t="n">
        <v>0</v>
      </c>
      <c r="S3996" s="21" t="n">
        <v>0</v>
      </c>
      <c r="T3996" s="21" t="n">
        <v>0</v>
      </c>
      <c r="U3996" s="21" t="n">
        <v>0</v>
      </c>
      <c r="V3996" s="21" t="n">
        <v>0</v>
      </c>
      <c r="W3996" s="21" t="n">
        <v>0</v>
      </c>
      <c r="X3996" s="21" t="n">
        <v>0</v>
      </c>
      <c r="Y3996" s="21" t="n">
        <v>0</v>
      </c>
      <c r="Z3996" s="19" t="n"/>
    </row>
    <row r="3997">
      <c r="D3997" s="21" t="n">
        <v>0</v>
      </c>
      <c r="E3997" s="21" t="n">
        <v>0</v>
      </c>
      <c r="F3997" s="21" t="n">
        <v>0</v>
      </c>
      <c r="G3997" s="21" t="n">
        <v>0</v>
      </c>
      <c r="H3997" s="21" t="n">
        <v>0</v>
      </c>
      <c r="I3997" s="21" t="n">
        <v>0</v>
      </c>
      <c r="J3997" s="21" t="n">
        <v>0</v>
      </c>
      <c r="K3997" s="21" t="n">
        <v>0</v>
      </c>
      <c r="L3997" s="21">
        <f>-$B$3624</f>
        <v/>
      </c>
      <c r="M3997" s="21">
        <f>-$B$3625</f>
        <v/>
      </c>
      <c r="N3997" s="21">
        <f>2*$B$3624+$D$3980</f>
        <v/>
      </c>
      <c r="O3997" s="21">
        <f>0</f>
        <v/>
      </c>
      <c r="P3997" s="21">
        <f>-$B$3624</f>
        <v/>
      </c>
      <c r="Q3997" s="21">
        <f>$B$3625</f>
        <v/>
      </c>
      <c r="R3997" s="21" t="n">
        <v>0</v>
      </c>
      <c r="S3997" s="21" t="n">
        <v>0</v>
      </c>
      <c r="T3997" s="21" t="n">
        <v>0</v>
      </c>
      <c r="U3997" s="21" t="n">
        <v>0</v>
      </c>
      <c r="V3997" s="21" t="n">
        <v>0</v>
      </c>
      <c r="W3997" s="21" t="n">
        <v>0</v>
      </c>
      <c r="X3997" s="21" t="n">
        <v>0</v>
      </c>
      <c r="Y3997" s="21" t="n">
        <v>0</v>
      </c>
      <c r="Z3997" s="19" t="n"/>
    </row>
    <row r="3998">
      <c r="D3998" s="21" t="n">
        <v>0</v>
      </c>
      <c r="E3998" s="21" t="n">
        <v>0</v>
      </c>
      <c r="F3998" s="21" t="n">
        <v>0</v>
      </c>
      <c r="G3998" s="21" t="n">
        <v>0</v>
      </c>
      <c r="H3998" s="21" t="n">
        <v>0</v>
      </c>
      <c r="I3998" s="21" t="n">
        <v>0</v>
      </c>
      <c r="J3998" s="21" t="n">
        <v>0</v>
      </c>
      <c r="K3998" s="21" t="n">
        <v>0</v>
      </c>
      <c r="L3998" s="21">
        <f>$B$3625</f>
        <v/>
      </c>
      <c r="M3998" s="21">
        <f>$B$3627</f>
        <v/>
      </c>
      <c r="N3998" s="21">
        <f>0</f>
        <v/>
      </c>
      <c r="O3998" s="21">
        <f>2*$B$3626</f>
        <v/>
      </c>
      <c r="P3998" s="21">
        <f>-$B$3625</f>
        <v/>
      </c>
      <c r="Q3998" s="21">
        <f>$B$3627</f>
        <v/>
      </c>
      <c r="R3998" s="21" t="n">
        <v>0</v>
      </c>
      <c r="S3998" s="21" t="n">
        <v>0</v>
      </c>
      <c r="T3998" s="21" t="n">
        <v>0</v>
      </c>
      <c r="U3998" s="21" t="n">
        <v>0</v>
      </c>
      <c r="V3998" s="21" t="n">
        <v>0</v>
      </c>
      <c r="W3998" s="21" t="n">
        <v>0</v>
      </c>
      <c r="X3998" s="21" t="n">
        <v>0</v>
      </c>
      <c r="Y3998" s="21" t="n">
        <v>0</v>
      </c>
      <c r="Z3998" s="19" t="n"/>
    </row>
    <row r="3999">
      <c r="D3999" s="21" t="n">
        <v>0</v>
      </c>
      <c r="E3999" s="21" t="n">
        <v>0</v>
      </c>
      <c r="F3999" s="21" t="n">
        <v>0</v>
      </c>
      <c r="G3999" s="21" t="n">
        <v>0</v>
      </c>
      <c r="H3999" s="21" t="n">
        <v>0</v>
      </c>
      <c r="I3999" s="21" t="n">
        <v>0</v>
      </c>
      <c r="J3999" s="21" t="n">
        <v>0</v>
      </c>
      <c r="K3999" s="21" t="n">
        <v>0</v>
      </c>
      <c r="L3999" s="21" t="n">
        <v>0</v>
      </c>
      <c r="M3999" s="21" t="n">
        <v>0</v>
      </c>
      <c r="N3999" s="21">
        <f>-$B$3624</f>
        <v/>
      </c>
      <c r="O3999" s="21">
        <f>-$B$3625</f>
        <v/>
      </c>
      <c r="P3999" s="21">
        <f>2*$B$3624+$D$3981</f>
        <v/>
      </c>
      <c r="Q3999" s="21">
        <f>0</f>
        <v/>
      </c>
      <c r="R3999" s="21">
        <f>-$B$3624</f>
        <v/>
      </c>
      <c r="S3999" s="21">
        <f>$B$3625</f>
        <v/>
      </c>
      <c r="T3999" s="21" t="n">
        <v>0</v>
      </c>
      <c r="U3999" s="21" t="n">
        <v>0</v>
      </c>
      <c r="V3999" s="21" t="n">
        <v>0</v>
      </c>
      <c r="W3999" s="21" t="n">
        <v>0</v>
      </c>
      <c r="X3999" s="21" t="n">
        <v>0</v>
      </c>
      <c r="Y3999" s="21" t="n">
        <v>0</v>
      </c>
      <c r="Z3999" s="19" t="n"/>
    </row>
    <row r="4000">
      <c r="D4000" s="21" t="n">
        <v>0</v>
      </c>
      <c r="E4000" s="21" t="n">
        <v>0</v>
      </c>
      <c r="F4000" s="21" t="n">
        <v>0</v>
      </c>
      <c r="G4000" s="21" t="n">
        <v>0</v>
      </c>
      <c r="H4000" s="21" t="n">
        <v>0</v>
      </c>
      <c r="I4000" s="21" t="n">
        <v>0</v>
      </c>
      <c r="J4000" s="21" t="n">
        <v>0</v>
      </c>
      <c r="K4000" s="21" t="n">
        <v>0</v>
      </c>
      <c r="L4000" s="21" t="n">
        <v>0</v>
      </c>
      <c r="M4000" s="21" t="n">
        <v>0</v>
      </c>
      <c r="N4000" s="21">
        <f>$B$3625</f>
        <v/>
      </c>
      <c r="O4000" s="21">
        <f>$B$3627</f>
        <v/>
      </c>
      <c r="P4000" s="21">
        <f>0</f>
        <v/>
      </c>
      <c r="Q4000" s="21">
        <f>2*$B$3626</f>
        <v/>
      </c>
      <c r="R4000" s="21">
        <f>-$B$3625</f>
        <v/>
      </c>
      <c r="S4000" s="21">
        <f>$B$3627</f>
        <v/>
      </c>
      <c r="T4000" s="21" t="n">
        <v>0</v>
      </c>
      <c r="U4000" s="21" t="n">
        <v>0</v>
      </c>
      <c r="V4000" s="21" t="n">
        <v>0</v>
      </c>
      <c r="W4000" s="21" t="n">
        <v>0</v>
      </c>
      <c r="X4000" s="21" t="n">
        <v>0</v>
      </c>
      <c r="Y4000" s="21" t="n">
        <v>0</v>
      </c>
      <c r="Z4000" s="19" t="n"/>
    </row>
    <row r="4001">
      <c r="D4001" s="21" t="n">
        <v>0</v>
      </c>
      <c r="E4001" s="21" t="n">
        <v>0</v>
      </c>
      <c r="F4001" s="21" t="n">
        <v>0</v>
      </c>
      <c r="G4001" s="21" t="n">
        <v>0</v>
      </c>
      <c r="H4001" s="21" t="n">
        <v>0</v>
      </c>
      <c r="I4001" s="21" t="n">
        <v>0</v>
      </c>
      <c r="J4001" s="21" t="n">
        <v>0</v>
      </c>
      <c r="K4001" s="21" t="n">
        <v>0</v>
      </c>
      <c r="L4001" s="21" t="n">
        <v>0</v>
      </c>
      <c r="M4001" s="21" t="n">
        <v>0</v>
      </c>
      <c r="N4001" s="21" t="n">
        <v>0</v>
      </c>
      <c r="O4001" s="21" t="n">
        <v>0</v>
      </c>
      <c r="P4001" s="21">
        <f>-$B$3624</f>
        <v/>
      </c>
      <c r="Q4001" s="21">
        <f>-$B$3625</f>
        <v/>
      </c>
      <c r="R4001" s="21">
        <f>2*$B$3624+$D$3982</f>
        <v/>
      </c>
      <c r="S4001" s="21">
        <f>0</f>
        <v/>
      </c>
      <c r="T4001" s="21">
        <f>-$B$3624</f>
        <v/>
      </c>
      <c r="U4001" s="21">
        <f>$B$3625</f>
        <v/>
      </c>
      <c r="V4001" s="21" t="n">
        <v>0</v>
      </c>
      <c r="W4001" s="21" t="n">
        <v>0</v>
      </c>
      <c r="X4001" s="21" t="n">
        <v>0</v>
      </c>
      <c r="Y4001" s="21" t="n">
        <v>0</v>
      </c>
      <c r="Z4001" s="19" t="n"/>
    </row>
    <row r="4002">
      <c r="D4002" s="21" t="n">
        <v>0</v>
      </c>
      <c r="E4002" s="21" t="n">
        <v>0</v>
      </c>
      <c r="F4002" s="21" t="n">
        <v>0</v>
      </c>
      <c r="G4002" s="21" t="n">
        <v>0</v>
      </c>
      <c r="H4002" s="21" t="n">
        <v>0</v>
      </c>
      <c r="I4002" s="21" t="n">
        <v>0</v>
      </c>
      <c r="J4002" s="21" t="n">
        <v>0</v>
      </c>
      <c r="K4002" s="21" t="n">
        <v>0</v>
      </c>
      <c r="L4002" s="21" t="n">
        <v>0</v>
      </c>
      <c r="M4002" s="21" t="n">
        <v>0</v>
      </c>
      <c r="N4002" s="21" t="n">
        <v>0</v>
      </c>
      <c r="O4002" s="21" t="n">
        <v>0</v>
      </c>
      <c r="P4002" s="21">
        <f>$B$3625</f>
        <v/>
      </c>
      <c r="Q4002" s="21">
        <f>$B$3627</f>
        <v/>
      </c>
      <c r="R4002" s="21">
        <f>0</f>
        <v/>
      </c>
      <c r="S4002" s="21">
        <f>2*$B$3626</f>
        <v/>
      </c>
      <c r="T4002" s="21">
        <f>-$B$3625</f>
        <v/>
      </c>
      <c r="U4002" s="21">
        <f>$B$3627</f>
        <v/>
      </c>
      <c r="V4002" s="21" t="n">
        <v>0</v>
      </c>
      <c r="W4002" s="21" t="n">
        <v>0</v>
      </c>
      <c r="X4002" s="21" t="n">
        <v>0</v>
      </c>
      <c r="Y4002" s="21" t="n">
        <v>0</v>
      </c>
      <c r="Z4002" s="19" t="n"/>
    </row>
    <row r="4003">
      <c r="D4003" s="21" t="n">
        <v>0</v>
      </c>
      <c r="E4003" s="21" t="n">
        <v>0</v>
      </c>
      <c r="F4003" s="21" t="n">
        <v>0</v>
      </c>
      <c r="G4003" s="21" t="n">
        <v>0</v>
      </c>
      <c r="H4003" s="21" t="n">
        <v>0</v>
      </c>
      <c r="I4003" s="21" t="n">
        <v>0</v>
      </c>
      <c r="J4003" s="21" t="n">
        <v>0</v>
      </c>
      <c r="K4003" s="21" t="n">
        <v>0</v>
      </c>
      <c r="L4003" s="21" t="n">
        <v>0</v>
      </c>
      <c r="M4003" s="21" t="n">
        <v>0</v>
      </c>
      <c r="N4003" s="21" t="n">
        <v>0</v>
      </c>
      <c r="O4003" s="21" t="n">
        <v>0</v>
      </c>
      <c r="P4003" s="21" t="n">
        <v>0</v>
      </c>
      <c r="Q4003" s="21" t="n">
        <v>0</v>
      </c>
      <c r="R4003" s="21">
        <f>-$B$3624</f>
        <v/>
      </c>
      <c r="S4003" s="21">
        <f>-$B$3625</f>
        <v/>
      </c>
      <c r="T4003" s="21">
        <f>2*$B$3624+$D$3983</f>
        <v/>
      </c>
      <c r="U4003" s="21">
        <f>0</f>
        <v/>
      </c>
      <c r="V4003" s="21">
        <f>-$B$3624</f>
        <v/>
      </c>
      <c r="W4003" s="21">
        <f>$B$3625</f>
        <v/>
      </c>
      <c r="X4003" s="21" t="n">
        <v>0</v>
      </c>
      <c r="Y4003" s="21" t="n">
        <v>0</v>
      </c>
      <c r="Z4003" s="19" t="n"/>
    </row>
    <row r="4004">
      <c r="D4004" s="21" t="n">
        <v>0</v>
      </c>
      <c r="E4004" s="21" t="n">
        <v>0</v>
      </c>
      <c r="F4004" s="21" t="n">
        <v>0</v>
      </c>
      <c r="G4004" s="21" t="n">
        <v>0</v>
      </c>
      <c r="H4004" s="21" t="n">
        <v>0</v>
      </c>
      <c r="I4004" s="21" t="n">
        <v>0</v>
      </c>
      <c r="J4004" s="21" t="n">
        <v>0</v>
      </c>
      <c r="K4004" s="21" t="n">
        <v>0</v>
      </c>
      <c r="L4004" s="21" t="n">
        <v>0</v>
      </c>
      <c r="M4004" s="21" t="n">
        <v>0</v>
      </c>
      <c r="N4004" s="21" t="n">
        <v>0</v>
      </c>
      <c r="O4004" s="21" t="n">
        <v>0</v>
      </c>
      <c r="P4004" s="21" t="n">
        <v>0</v>
      </c>
      <c r="Q4004" s="21" t="n">
        <v>0</v>
      </c>
      <c r="R4004" s="21">
        <f>$B$3625</f>
        <v/>
      </c>
      <c r="S4004" s="21">
        <f>$B$3627</f>
        <v/>
      </c>
      <c r="T4004" s="21">
        <f>0</f>
        <v/>
      </c>
      <c r="U4004" s="21">
        <f>2*$B$3626</f>
        <v/>
      </c>
      <c r="V4004" s="21">
        <f>-$B$3625</f>
        <v/>
      </c>
      <c r="W4004" s="21">
        <f>$B$3627</f>
        <v/>
      </c>
      <c r="X4004" s="21" t="n">
        <v>0</v>
      </c>
      <c r="Y4004" s="21" t="n">
        <v>0</v>
      </c>
      <c r="Z4004" s="19" t="n"/>
    </row>
    <row r="4005">
      <c r="D4005" s="21" t="n">
        <v>0</v>
      </c>
      <c r="E4005" s="21" t="n">
        <v>0</v>
      </c>
      <c r="F4005" s="21" t="n">
        <v>0</v>
      </c>
      <c r="G4005" s="21" t="n">
        <v>0</v>
      </c>
      <c r="H4005" s="21" t="n">
        <v>0</v>
      </c>
      <c r="I4005" s="21" t="n">
        <v>0</v>
      </c>
      <c r="J4005" s="21" t="n">
        <v>0</v>
      </c>
      <c r="K4005" s="21" t="n">
        <v>0</v>
      </c>
      <c r="L4005" s="21" t="n">
        <v>0</v>
      </c>
      <c r="M4005" s="21" t="n">
        <v>0</v>
      </c>
      <c r="N4005" s="21" t="n">
        <v>0</v>
      </c>
      <c r="O4005" s="21" t="n">
        <v>0</v>
      </c>
      <c r="P4005" s="21" t="n">
        <v>0</v>
      </c>
      <c r="Q4005" s="21" t="n">
        <v>0</v>
      </c>
      <c r="R4005" s="21" t="n">
        <v>0</v>
      </c>
      <c r="S4005" s="21" t="n">
        <v>0</v>
      </c>
      <c r="T4005" s="21">
        <f>-$B$3624</f>
        <v/>
      </c>
      <c r="U4005" s="21">
        <f>-$B$3625</f>
        <v/>
      </c>
      <c r="V4005" s="21">
        <f>2*$B$3624+$D$3984</f>
        <v/>
      </c>
      <c r="W4005" s="21">
        <f>0</f>
        <v/>
      </c>
      <c r="X4005" s="21">
        <f>-$B$3624</f>
        <v/>
      </c>
      <c r="Y4005" s="21">
        <f>$B$3625</f>
        <v/>
      </c>
      <c r="Z4005" s="19" t="n"/>
    </row>
    <row r="4006">
      <c r="D4006" s="21" t="n">
        <v>0</v>
      </c>
      <c r="E4006" s="21" t="n">
        <v>0</v>
      </c>
      <c r="F4006" s="21" t="n">
        <v>0</v>
      </c>
      <c r="G4006" s="21" t="n">
        <v>0</v>
      </c>
      <c r="H4006" s="21" t="n">
        <v>0</v>
      </c>
      <c r="I4006" s="21" t="n">
        <v>0</v>
      </c>
      <c r="J4006" s="21" t="n">
        <v>0</v>
      </c>
      <c r="K4006" s="21" t="n">
        <v>0</v>
      </c>
      <c r="L4006" s="21" t="n">
        <v>0</v>
      </c>
      <c r="M4006" s="21" t="n">
        <v>0</v>
      </c>
      <c r="N4006" s="21" t="n">
        <v>0</v>
      </c>
      <c r="O4006" s="21" t="n">
        <v>0</v>
      </c>
      <c r="P4006" s="21" t="n">
        <v>0</v>
      </c>
      <c r="Q4006" s="21" t="n">
        <v>0</v>
      </c>
      <c r="R4006" s="21" t="n">
        <v>0</v>
      </c>
      <c r="S4006" s="21" t="n">
        <v>0</v>
      </c>
      <c r="T4006" s="21">
        <f>$B$3625</f>
        <v/>
      </c>
      <c r="U4006" s="21">
        <f>$B$3627</f>
        <v/>
      </c>
      <c r="V4006" s="21">
        <f>0</f>
        <v/>
      </c>
      <c r="W4006" s="21">
        <f>2*$B$3626</f>
        <v/>
      </c>
      <c r="X4006" s="21">
        <f>-$B$3625</f>
        <v/>
      </c>
      <c r="Y4006" s="21">
        <f>$B$3627</f>
        <v/>
      </c>
      <c r="Z4006" s="19" t="n"/>
    </row>
    <row r="4007">
      <c r="D4007" s="21" t="n">
        <v>0</v>
      </c>
      <c r="E4007" s="21" t="n">
        <v>0</v>
      </c>
      <c r="F4007" s="21" t="n">
        <v>0</v>
      </c>
      <c r="G4007" s="21" t="n">
        <v>0</v>
      </c>
      <c r="H4007" s="21" t="n">
        <v>0</v>
      </c>
      <c r="I4007" s="21" t="n">
        <v>0</v>
      </c>
      <c r="J4007" s="21" t="n">
        <v>0</v>
      </c>
      <c r="K4007" s="21" t="n">
        <v>0</v>
      </c>
      <c r="L4007" s="21" t="n">
        <v>0</v>
      </c>
      <c r="M4007" s="21" t="n">
        <v>0</v>
      </c>
      <c r="N4007" s="21" t="n">
        <v>0</v>
      </c>
      <c r="O4007" s="21" t="n">
        <v>0</v>
      </c>
      <c r="P4007" s="21" t="n">
        <v>0</v>
      </c>
      <c r="Q4007" s="21" t="n">
        <v>0</v>
      </c>
      <c r="R4007" s="21" t="n">
        <v>0</v>
      </c>
      <c r="S4007" s="21" t="n">
        <v>0</v>
      </c>
      <c r="T4007" s="21" t="n">
        <v>0</v>
      </c>
      <c r="U4007" s="21" t="n">
        <v>0</v>
      </c>
      <c r="V4007" s="21">
        <f>-$B$3624</f>
        <v/>
      </c>
      <c r="W4007" s="21">
        <f>-$B$3625</f>
        <v/>
      </c>
      <c r="X4007" s="21">
        <f>$B$3624+$D$3985</f>
        <v/>
      </c>
      <c r="Y4007" s="21">
        <f>-$B$3625</f>
        <v/>
      </c>
      <c r="Z4007" s="19" t="n"/>
    </row>
    <row r="4008">
      <c r="D4008" s="21" t="n">
        <v>0</v>
      </c>
      <c r="E4008" s="21" t="n">
        <v>0</v>
      </c>
      <c r="F4008" s="21" t="n">
        <v>0</v>
      </c>
      <c r="G4008" s="21" t="n">
        <v>0</v>
      </c>
      <c r="H4008" s="21" t="n">
        <v>0</v>
      </c>
      <c r="I4008" s="21" t="n">
        <v>0</v>
      </c>
      <c r="J4008" s="21" t="n">
        <v>0</v>
      </c>
      <c r="K4008" s="21" t="n">
        <v>0</v>
      </c>
      <c r="L4008" s="21" t="n">
        <v>0</v>
      </c>
      <c r="M4008" s="21" t="n">
        <v>0</v>
      </c>
      <c r="N4008" s="21" t="n">
        <v>0</v>
      </c>
      <c r="O4008" s="21" t="n">
        <v>0</v>
      </c>
      <c r="P4008" s="21" t="n">
        <v>0</v>
      </c>
      <c r="Q4008" s="21" t="n">
        <v>0</v>
      </c>
      <c r="R4008" s="21" t="n">
        <v>0</v>
      </c>
      <c r="S4008" s="21" t="n">
        <v>0</v>
      </c>
      <c r="T4008" s="21" t="n">
        <v>0</v>
      </c>
      <c r="U4008" s="21" t="n">
        <v>0</v>
      </c>
      <c r="V4008" s="21">
        <f>$B$3625</f>
        <v/>
      </c>
      <c r="W4008" s="21">
        <f>$B$3627</f>
        <v/>
      </c>
      <c r="X4008" s="21">
        <f>-$B$3625</f>
        <v/>
      </c>
      <c r="Y4008" s="21">
        <f>$B$3626</f>
        <v/>
      </c>
      <c r="Z4008" s="19" t="n"/>
    </row>
    <row r="4010">
      <c r="A4010" s="8" t="inlineStr">
        <is>
          <t>gen 10</t>
        </is>
      </c>
    </row>
    <row r="4011">
      <c r="D4011" s="19">
        <f>IF(ABS(IF(ABS($E$3975)&gt;0.000000001,$E$3975,0.000000001))=0,0,IF($E$3639&lt;=$B$3633,0,IF(ABS(IF(ABS($E$3975)&gt;0.000000001,$E$3975,0.000000001))&gt;=8*$B$3635,$H$3639,0.5*$H$3639*(ABS(IF(ABS($E$3975)&gt;0.000000001,$E$3975,0.000000001))/$B$3635)^(1/3)))/ABS(IF(ABS($E$3975)&gt;0.000000001,$E$3975,0.000000001))*$I$3639)</f>
        <v/>
      </c>
      <c r="E4011" s="19">
        <f>0.5*$E$3975+0.5*$Z$4023</f>
        <v/>
      </c>
      <c r="F4011" s="19">
        <f>$Z$4024</f>
        <v/>
      </c>
    </row>
    <row r="4012">
      <c r="D4012" s="19">
        <f>IF(ABS(IF(ABS($E$3976)&gt;0.000000001,$E$3976,0.000000001))=0,0,IF($E$3640&lt;=$B$3633,0,IF(ABS(IF(ABS($E$3976)&gt;0.000000001,$E$3976,0.000000001))&gt;=8*$B$3635,$H$3640,0.5*$H$3640*(ABS(IF(ABS($E$3976)&gt;0.000000001,$E$3976,0.000000001))/$B$3635)^(1/3)))/ABS(IF(ABS($E$3976)&gt;0.000000001,$E$3976,0.000000001))*$I$3640)</f>
        <v/>
      </c>
      <c r="E4012" s="19">
        <f>0.5*$E$3976+0.5*$Z$4025</f>
        <v/>
      </c>
      <c r="F4012" s="19">
        <f>$Z$4026</f>
        <v/>
      </c>
    </row>
    <row r="4013">
      <c r="D4013" s="19">
        <f>IF(ABS(IF(ABS($E$3977)&gt;0.000000001,$E$3977,0.000000001))=0,0,IF($E$3641&lt;=$B$3633,0,IF(ABS(IF(ABS($E$3977)&gt;0.000000001,$E$3977,0.000000001))&gt;=8*$B$3635,$H$3641,0.5*$H$3641*(ABS(IF(ABS($E$3977)&gt;0.000000001,$E$3977,0.000000001))/$B$3635)^(1/3)))/ABS(IF(ABS($E$3977)&gt;0.000000001,$E$3977,0.000000001))*$I$3641)</f>
        <v/>
      </c>
      <c r="E4013" s="19">
        <f>0.5*$E$3977+0.5*$Z$4027</f>
        <v/>
      </c>
      <c r="F4013" s="19">
        <f>$Z$4028</f>
        <v/>
      </c>
    </row>
    <row r="4014">
      <c r="D4014" s="19">
        <f>IF(ABS(IF(ABS($E$3978)&gt;0.000000001,$E$3978,0.000000001))=0,0,IF($E$3642&lt;=$B$3633,0,IF(ABS(IF(ABS($E$3978)&gt;0.000000001,$E$3978,0.000000001))&gt;=8*$B$3635,$H$3642,0.5*$H$3642*(ABS(IF(ABS($E$3978)&gt;0.000000001,$E$3978,0.000000001))/$B$3635)^(1/3)))/ABS(IF(ABS($E$3978)&gt;0.000000001,$E$3978,0.000000001))*$I$3642)</f>
        <v/>
      </c>
      <c r="E4014" s="19">
        <f>0.5*$E$3978+0.5*$Z$4029</f>
        <v/>
      </c>
      <c r="F4014" s="19">
        <f>$Z$4030</f>
        <v/>
      </c>
    </row>
    <row r="4015">
      <c r="D4015" s="19">
        <f>IF(ABS(IF(ABS($E$3979)&gt;0.000000001,$E$3979,0.000000001))=0,0,IF($E$3643&lt;=$B$3633,0,IF(ABS(IF(ABS($E$3979)&gt;0.000000001,$E$3979,0.000000001))&gt;=8*$B$3635,$H$3643,0.5*$H$3643*(ABS(IF(ABS($E$3979)&gt;0.000000001,$E$3979,0.000000001))/$B$3635)^(1/3)))/ABS(IF(ABS($E$3979)&gt;0.000000001,$E$3979,0.000000001))*$I$3643)</f>
        <v/>
      </c>
      <c r="E4015" s="19">
        <f>0.5*$E$3979+0.5*$Z$4031</f>
        <v/>
      </c>
      <c r="F4015" s="19">
        <f>$Z$4032</f>
        <v/>
      </c>
    </row>
    <row r="4016">
      <c r="D4016" s="19">
        <f>IF(ABS(IF(ABS($E$3980)&gt;0.000000001,$E$3980,0.000000001))=0,0,IF($E$3644&lt;=$B$3633,0,IF(ABS(IF(ABS($E$3980)&gt;0.000000001,$E$3980,0.000000001))&gt;=8*$B$3635,$H$3644,0.5*$H$3644*(ABS(IF(ABS($E$3980)&gt;0.000000001,$E$3980,0.000000001))/$B$3635)^(1/3)))/ABS(IF(ABS($E$3980)&gt;0.000000001,$E$3980,0.000000001))*$I$3644)</f>
        <v/>
      </c>
      <c r="E4016" s="19">
        <f>0.5*$E$3980+0.5*$Z$4033</f>
        <v/>
      </c>
      <c r="F4016" s="19">
        <f>$Z$4034</f>
        <v/>
      </c>
    </row>
    <row r="4017">
      <c r="D4017" s="19">
        <f>IF(ABS(IF(ABS($E$3981)&gt;0.000000001,$E$3981,0.000000001))=0,0,IF($E$3645&lt;=$B$3633,0,IF(ABS(IF(ABS($E$3981)&gt;0.000000001,$E$3981,0.000000001))&gt;=8*$B$3635,$H$3645,0.5*$H$3645*(ABS(IF(ABS($E$3981)&gt;0.000000001,$E$3981,0.000000001))/$B$3635)^(1/3)))/ABS(IF(ABS($E$3981)&gt;0.000000001,$E$3981,0.000000001))*$I$3645)</f>
        <v/>
      </c>
      <c r="E4017" s="19">
        <f>0.5*$E$3981+0.5*$Z$4035</f>
        <v/>
      </c>
      <c r="F4017" s="19">
        <f>$Z$4036</f>
        <v/>
      </c>
    </row>
    <row r="4018">
      <c r="D4018" s="19">
        <f>IF(ABS(IF(ABS($E$3982)&gt;0.000000001,$E$3982,0.000000001))=0,0,IF($E$3646&lt;=$B$3633,0,IF(ABS(IF(ABS($E$3982)&gt;0.000000001,$E$3982,0.000000001))&gt;=8*$B$3635,$H$3646,0.5*$H$3646*(ABS(IF(ABS($E$3982)&gt;0.000000001,$E$3982,0.000000001))/$B$3635)^(1/3)))/ABS(IF(ABS($E$3982)&gt;0.000000001,$E$3982,0.000000001))*$I$3646)</f>
        <v/>
      </c>
      <c r="E4018" s="19">
        <f>0.5*$E$3982+0.5*$Z$4037</f>
        <v/>
      </c>
      <c r="F4018" s="19">
        <f>$Z$4038</f>
        <v/>
      </c>
    </row>
    <row r="4019">
      <c r="D4019" s="19">
        <f>IF(ABS(IF(ABS($E$3983)&gt;0.000000001,$E$3983,0.000000001))=0,0,IF($E$3647&lt;=$B$3633,0,IF(ABS(IF(ABS($E$3983)&gt;0.000000001,$E$3983,0.000000001))&gt;=8*$B$3635,$H$3647,0.5*$H$3647*(ABS(IF(ABS($E$3983)&gt;0.000000001,$E$3983,0.000000001))/$B$3635)^(1/3)))/ABS(IF(ABS($E$3983)&gt;0.000000001,$E$3983,0.000000001))*$I$3647)</f>
        <v/>
      </c>
      <c r="E4019" s="19">
        <f>0.5*$E$3983+0.5*$Z$4039</f>
        <v/>
      </c>
      <c r="F4019" s="19">
        <f>$Z$4040</f>
        <v/>
      </c>
    </row>
    <row r="4020">
      <c r="D4020" s="19">
        <f>IF(ABS(IF(ABS($E$3984)&gt;0.000000001,$E$3984,0.000000001))=0,0,IF($E$3648&lt;=$B$3633,0,IF(ABS(IF(ABS($E$3984)&gt;0.000000001,$E$3984,0.000000001))&gt;=8*$B$3635,$H$3648,0.5*$H$3648*(ABS(IF(ABS($E$3984)&gt;0.000000001,$E$3984,0.000000001))/$B$3635)^(1/3)))/ABS(IF(ABS($E$3984)&gt;0.000000001,$E$3984,0.000000001))*$I$3648)</f>
        <v/>
      </c>
      <c r="E4020" s="19">
        <f>0.5*$E$3984+0.5*$Z$4041</f>
        <v/>
      </c>
      <c r="F4020" s="19">
        <f>$Z$4042</f>
        <v/>
      </c>
    </row>
    <row r="4021">
      <c r="D4021" s="19">
        <f>IF(ABS(IF(ABS($E$3985)&gt;0.000000001,$E$3985,0.000000001))=0,0,IF($E$3649&lt;=$B$3633,0,IF(ABS(IF(ABS($E$3985)&gt;0.000000001,$E$3985,0.000000001))&gt;=8*$B$3635,$H$3649,0.5*$H$3649*(ABS(IF(ABS($E$3985)&gt;0.000000001,$E$3985,0.000000001))/$B$3635)^(1/3)))/ABS(IF(ABS($E$3985)&gt;0.000000001,$E$3985,0.000000001))*$I$3649)</f>
        <v/>
      </c>
      <c r="E4021" s="19">
        <f>0.5*$E$3985+0.5*$Z$4043</f>
        <v/>
      </c>
      <c r="F4021" s="19">
        <f>$Z$4044</f>
        <v/>
      </c>
    </row>
    <row r="4023">
      <c r="D4023" s="21">
        <f>$B$3624+$D$4011</f>
        <v/>
      </c>
      <c r="E4023" s="21">
        <f>$B$3625</f>
        <v/>
      </c>
      <c r="F4023" s="21">
        <f>-$B$3624</f>
        <v/>
      </c>
      <c r="G4023" s="21">
        <f>$B$3625</f>
        <v/>
      </c>
      <c r="H4023" s="21" t="n">
        <v>0</v>
      </c>
      <c r="I4023" s="21" t="n">
        <v>0</v>
      </c>
      <c r="J4023" s="21" t="n">
        <v>0</v>
      </c>
      <c r="K4023" s="21" t="n">
        <v>0</v>
      </c>
      <c r="L4023" s="21" t="n">
        <v>0</v>
      </c>
      <c r="M4023" s="21" t="n">
        <v>0</v>
      </c>
      <c r="N4023" s="21" t="n">
        <v>0</v>
      </c>
      <c r="O4023" s="21" t="n">
        <v>0</v>
      </c>
      <c r="P4023" s="21" t="n">
        <v>0</v>
      </c>
      <c r="Q4023" s="21" t="n">
        <v>0</v>
      </c>
      <c r="R4023" s="21" t="n">
        <v>0</v>
      </c>
      <c r="S4023" s="21" t="n">
        <v>0</v>
      </c>
      <c r="T4023" s="21" t="n">
        <v>0</v>
      </c>
      <c r="U4023" s="21" t="n">
        <v>0</v>
      </c>
      <c r="V4023" s="21" t="n">
        <v>0</v>
      </c>
      <c r="W4023" s="21" t="n">
        <v>0</v>
      </c>
      <c r="X4023" s="21" t="n">
        <v>0</v>
      </c>
      <c r="Y4023" s="21" t="n">
        <v>0</v>
      </c>
      <c r="Z4023" s="19">
        <f t="array" ref="Z4023:Z4044">MMULT(MINVERSE($D$4023:$Y$4044),$D$3651:$D$3672)</f>
        <v/>
      </c>
    </row>
    <row r="4024">
      <c r="D4024" s="21">
        <f>$B$3625</f>
        <v/>
      </c>
      <c r="E4024" s="21">
        <f>$B$3626</f>
        <v/>
      </c>
      <c r="F4024" s="21">
        <f>-$B$3625</f>
        <v/>
      </c>
      <c r="G4024" s="21">
        <f>$B$3627</f>
        <v/>
      </c>
      <c r="H4024" s="21" t="n">
        <v>0</v>
      </c>
      <c r="I4024" s="21" t="n">
        <v>0</v>
      </c>
      <c r="J4024" s="21" t="n">
        <v>0</v>
      </c>
      <c r="K4024" s="21" t="n">
        <v>0</v>
      </c>
      <c r="L4024" s="21" t="n">
        <v>0</v>
      </c>
      <c r="M4024" s="21" t="n">
        <v>0</v>
      </c>
      <c r="N4024" s="21" t="n">
        <v>0</v>
      </c>
      <c r="O4024" s="21" t="n">
        <v>0</v>
      </c>
      <c r="P4024" s="21" t="n">
        <v>0</v>
      </c>
      <c r="Q4024" s="21" t="n">
        <v>0</v>
      </c>
      <c r="R4024" s="21" t="n">
        <v>0</v>
      </c>
      <c r="S4024" s="21" t="n">
        <v>0</v>
      </c>
      <c r="T4024" s="21" t="n">
        <v>0</v>
      </c>
      <c r="U4024" s="21" t="n">
        <v>0</v>
      </c>
      <c r="V4024" s="21" t="n">
        <v>0</v>
      </c>
      <c r="W4024" s="21" t="n">
        <v>0</v>
      </c>
      <c r="X4024" s="21" t="n">
        <v>0</v>
      </c>
      <c r="Y4024" s="21" t="n">
        <v>0</v>
      </c>
      <c r="Z4024" s="19" t="n"/>
    </row>
    <row r="4025">
      <c r="D4025" s="21">
        <f>-$B$3624</f>
        <v/>
      </c>
      <c r="E4025" s="21">
        <f>-$B$3625</f>
        <v/>
      </c>
      <c r="F4025" s="21">
        <f>2*$B$3624+$D$4012</f>
        <v/>
      </c>
      <c r="G4025" s="21">
        <f>0</f>
        <v/>
      </c>
      <c r="H4025" s="21">
        <f>-$B$3624</f>
        <v/>
      </c>
      <c r="I4025" s="21">
        <f>$B$3625</f>
        <v/>
      </c>
      <c r="J4025" s="21" t="n">
        <v>0</v>
      </c>
      <c r="K4025" s="21" t="n">
        <v>0</v>
      </c>
      <c r="L4025" s="21" t="n">
        <v>0</v>
      </c>
      <c r="M4025" s="21" t="n">
        <v>0</v>
      </c>
      <c r="N4025" s="21" t="n">
        <v>0</v>
      </c>
      <c r="O4025" s="21" t="n">
        <v>0</v>
      </c>
      <c r="P4025" s="21" t="n">
        <v>0</v>
      </c>
      <c r="Q4025" s="21" t="n">
        <v>0</v>
      </c>
      <c r="R4025" s="21" t="n">
        <v>0</v>
      </c>
      <c r="S4025" s="21" t="n">
        <v>0</v>
      </c>
      <c r="T4025" s="21" t="n">
        <v>0</v>
      </c>
      <c r="U4025" s="21" t="n">
        <v>0</v>
      </c>
      <c r="V4025" s="21" t="n">
        <v>0</v>
      </c>
      <c r="W4025" s="21" t="n">
        <v>0</v>
      </c>
      <c r="X4025" s="21" t="n">
        <v>0</v>
      </c>
      <c r="Y4025" s="21" t="n">
        <v>0</v>
      </c>
      <c r="Z4025" s="19" t="n"/>
    </row>
    <row r="4026">
      <c r="D4026" s="21">
        <f>$B$3625</f>
        <v/>
      </c>
      <c r="E4026" s="21">
        <f>$B$3627</f>
        <v/>
      </c>
      <c r="F4026" s="21">
        <f>0</f>
        <v/>
      </c>
      <c r="G4026" s="21">
        <f>2*$B$3626</f>
        <v/>
      </c>
      <c r="H4026" s="21">
        <f>-$B$3625</f>
        <v/>
      </c>
      <c r="I4026" s="21">
        <f>$B$3627</f>
        <v/>
      </c>
      <c r="J4026" s="21" t="n">
        <v>0</v>
      </c>
      <c r="K4026" s="21" t="n">
        <v>0</v>
      </c>
      <c r="L4026" s="21" t="n">
        <v>0</v>
      </c>
      <c r="M4026" s="21" t="n">
        <v>0</v>
      </c>
      <c r="N4026" s="21" t="n">
        <v>0</v>
      </c>
      <c r="O4026" s="21" t="n">
        <v>0</v>
      </c>
      <c r="P4026" s="21" t="n">
        <v>0</v>
      </c>
      <c r="Q4026" s="21" t="n">
        <v>0</v>
      </c>
      <c r="R4026" s="21" t="n">
        <v>0</v>
      </c>
      <c r="S4026" s="21" t="n">
        <v>0</v>
      </c>
      <c r="T4026" s="21" t="n">
        <v>0</v>
      </c>
      <c r="U4026" s="21" t="n">
        <v>0</v>
      </c>
      <c r="V4026" s="21" t="n">
        <v>0</v>
      </c>
      <c r="W4026" s="21" t="n">
        <v>0</v>
      </c>
      <c r="X4026" s="21" t="n">
        <v>0</v>
      </c>
      <c r="Y4026" s="21" t="n">
        <v>0</v>
      </c>
      <c r="Z4026" s="19" t="n"/>
    </row>
    <row r="4027">
      <c r="D4027" s="21" t="n">
        <v>0</v>
      </c>
      <c r="E4027" s="21" t="n">
        <v>0</v>
      </c>
      <c r="F4027" s="21">
        <f>-$B$3624</f>
        <v/>
      </c>
      <c r="G4027" s="21">
        <f>-$B$3625</f>
        <v/>
      </c>
      <c r="H4027" s="21">
        <f>2*$B$3624+$D$4013</f>
        <v/>
      </c>
      <c r="I4027" s="21">
        <f>0</f>
        <v/>
      </c>
      <c r="J4027" s="21">
        <f>-$B$3624</f>
        <v/>
      </c>
      <c r="K4027" s="21">
        <f>$B$3625</f>
        <v/>
      </c>
      <c r="L4027" s="21" t="n">
        <v>0</v>
      </c>
      <c r="M4027" s="21" t="n">
        <v>0</v>
      </c>
      <c r="N4027" s="21" t="n">
        <v>0</v>
      </c>
      <c r="O4027" s="21" t="n">
        <v>0</v>
      </c>
      <c r="P4027" s="21" t="n">
        <v>0</v>
      </c>
      <c r="Q4027" s="21" t="n">
        <v>0</v>
      </c>
      <c r="R4027" s="21" t="n">
        <v>0</v>
      </c>
      <c r="S4027" s="21" t="n">
        <v>0</v>
      </c>
      <c r="T4027" s="21" t="n">
        <v>0</v>
      </c>
      <c r="U4027" s="21" t="n">
        <v>0</v>
      </c>
      <c r="V4027" s="21" t="n">
        <v>0</v>
      </c>
      <c r="W4027" s="21" t="n">
        <v>0</v>
      </c>
      <c r="X4027" s="21" t="n">
        <v>0</v>
      </c>
      <c r="Y4027" s="21" t="n">
        <v>0</v>
      </c>
      <c r="Z4027" s="19" t="n"/>
    </row>
    <row r="4028">
      <c r="D4028" s="21" t="n">
        <v>0</v>
      </c>
      <c r="E4028" s="21" t="n">
        <v>0</v>
      </c>
      <c r="F4028" s="21">
        <f>$B$3625</f>
        <v/>
      </c>
      <c r="G4028" s="21">
        <f>$B$3627</f>
        <v/>
      </c>
      <c r="H4028" s="21">
        <f>0</f>
        <v/>
      </c>
      <c r="I4028" s="21">
        <f>2*$B$3626</f>
        <v/>
      </c>
      <c r="J4028" s="21">
        <f>-$B$3625</f>
        <v/>
      </c>
      <c r="K4028" s="21">
        <f>$B$3627</f>
        <v/>
      </c>
      <c r="L4028" s="21" t="n">
        <v>0</v>
      </c>
      <c r="M4028" s="21" t="n">
        <v>0</v>
      </c>
      <c r="N4028" s="21" t="n">
        <v>0</v>
      </c>
      <c r="O4028" s="21" t="n">
        <v>0</v>
      </c>
      <c r="P4028" s="21" t="n">
        <v>0</v>
      </c>
      <c r="Q4028" s="21" t="n">
        <v>0</v>
      </c>
      <c r="R4028" s="21" t="n">
        <v>0</v>
      </c>
      <c r="S4028" s="21" t="n">
        <v>0</v>
      </c>
      <c r="T4028" s="21" t="n">
        <v>0</v>
      </c>
      <c r="U4028" s="21" t="n">
        <v>0</v>
      </c>
      <c r="V4028" s="21" t="n">
        <v>0</v>
      </c>
      <c r="W4028" s="21" t="n">
        <v>0</v>
      </c>
      <c r="X4028" s="21" t="n">
        <v>0</v>
      </c>
      <c r="Y4028" s="21" t="n">
        <v>0</v>
      </c>
      <c r="Z4028" s="19" t="n"/>
    </row>
    <row r="4029">
      <c r="D4029" s="21" t="n">
        <v>0</v>
      </c>
      <c r="E4029" s="21" t="n">
        <v>0</v>
      </c>
      <c r="F4029" s="21" t="n">
        <v>0</v>
      </c>
      <c r="G4029" s="21" t="n">
        <v>0</v>
      </c>
      <c r="H4029" s="21">
        <f>-$B$3624</f>
        <v/>
      </c>
      <c r="I4029" s="21">
        <f>-$B$3625</f>
        <v/>
      </c>
      <c r="J4029" s="21">
        <f>2*$B$3624+$D$4014</f>
        <v/>
      </c>
      <c r="K4029" s="21">
        <f>0</f>
        <v/>
      </c>
      <c r="L4029" s="21">
        <f>-$B$3624</f>
        <v/>
      </c>
      <c r="M4029" s="21">
        <f>$B$3625</f>
        <v/>
      </c>
      <c r="N4029" s="21" t="n">
        <v>0</v>
      </c>
      <c r="O4029" s="21" t="n">
        <v>0</v>
      </c>
      <c r="P4029" s="21" t="n">
        <v>0</v>
      </c>
      <c r="Q4029" s="21" t="n">
        <v>0</v>
      </c>
      <c r="R4029" s="21" t="n">
        <v>0</v>
      </c>
      <c r="S4029" s="21" t="n">
        <v>0</v>
      </c>
      <c r="T4029" s="21" t="n">
        <v>0</v>
      </c>
      <c r="U4029" s="21" t="n">
        <v>0</v>
      </c>
      <c r="V4029" s="21" t="n">
        <v>0</v>
      </c>
      <c r="W4029" s="21" t="n">
        <v>0</v>
      </c>
      <c r="X4029" s="21" t="n">
        <v>0</v>
      </c>
      <c r="Y4029" s="21" t="n">
        <v>0</v>
      </c>
      <c r="Z4029" s="19" t="n"/>
    </row>
    <row r="4030">
      <c r="D4030" s="21" t="n">
        <v>0</v>
      </c>
      <c r="E4030" s="21" t="n">
        <v>0</v>
      </c>
      <c r="F4030" s="21" t="n">
        <v>0</v>
      </c>
      <c r="G4030" s="21" t="n">
        <v>0</v>
      </c>
      <c r="H4030" s="21">
        <f>$B$3625</f>
        <v/>
      </c>
      <c r="I4030" s="21">
        <f>$B$3627</f>
        <v/>
      </c>
      <c r="J4030" s="21">
        <f>0</f>
        <v/>
      </c>
      <c r="K4030" s="21">
        <f>2*$B$3626</f>
        <v/>
      </c>
      <c r="L4030" s="21">
        <f>-$B$3625</f>
        <v/>
      </c>
      <c r="M4030" s="21">
        <f>$B$3627</f>
        <v/>
      </c>
      <c r="N4030" s="21" t="n">
        <v>0</v>
      </c>
      <c r="O4030" s="21" t="n">
        <v>0</v>
      </c>
      <c r="P4030" s="21" t="n">
        <v>0</v>
      </c>
      <c r="Q4030" s="21" t="n">
        <v>0</v>
      </c>
      <c r="R4030" s="21" t="n">
        <v>0</v>
      </c>
      <c r="S4030" s="21" t="n">
        <v>0</v>
      </c>
      <c r="T4030" s="21" t="n">
        <v>0</v>
      </c>
      <c r="U4030" s="21" t="n">
        <v>0</v>
      </c>
      <c r="V4030" s="21" t="n">
        <v>0</v>
      </c>
      <c r="W4030" s="21" t="n">
        <v>0</v>
      </c>
      <c r="X4030" s="21" t="n">
        <v>0</v>
      </c>
      <c r="Y4030" s="21" t="n">
        <v>0</v>
      </c>
      <c r="Z4030" s="19" t="n"/>
    </row>
    <row r="4031">
      <c r="D4031" s="21" t="n">
        <v>0</v>
      </c>
      <c r="E4031" s="21" t="n">
        <v>0</v>
      </c>
      <c r="F4031" s="21" t="n">
        <v>0</v>
      </c>
      <c r="G4031" s="21" t="n">
        <v>0</v>
      </c>
      <c r="H4031" s="21" t="n">
        <v>0</v>
      </c>
      <c r="I4031" s="21" t="n">
        <v>0</v>
      </c>
      <c r="J4031" s="21">
        <f>-$B$3624</f>
        <v/>
      </c>
      <c r="K4031" s="21">
        <f>-$B$3625</f>
        <v/>
      </c>
      <c r="L4031" s="21">
        <f>2*$B$3624+$D$4015</f>
        <v/>
      </c>
      <c r="M4031" s="21">
        <f>0</f>
        <v/>
      </c>
      <c r="N4031" s="21">
        <f>-$B$3624</f>
        <v/>
      </c>
      <c r="O4031" s="21">
        <f>$B$3625</f>
        <v/>
      </c>
      <c r="P4031" s="21" t="n">
        <v>0</v>
      </c>
      <c r="Q4031" s="21" t="n">
        <v>0</v>
      </c>
      <c r="R4031" s="21" t="n">
        <v>0</v>
      </c>
      <c r="S4031" s="21" t="n">
        <v>0</v>
      </c>
      <c r="T4031" s="21" t="n">
        <v>0</v>
      </c>
      <c r="U4031" s="21" t="n">
        <v>0</v>
      </c>
      <c r="V4031" s="21" t="n">
        <v>0</v>
      </c>
      <c r="W4031" s="21" t="n">
        <v>0</v>
      </c>
      <c r="X4031" s="21" t="n">
        <v>0</v>
      </c>
      <c r="Y4031" s="21" t="n">
        <v>0</v>
      </c>
      <c r="Z4031" s="19" t="n"/>
    </row>
    <row r="4032">
      <c r="D4032" s="21" t="n">
        <v>0</v>
      </c>
      <c r="E4032" s="21" t="n">
        <v>0</v>
      </c>
      <c r="F4032" s="21" t="n">
        <v>0</v>
      </c>
      <c r="G4032" s="21" t="n">
        <v>0</v>
      </c>
      <c r="H4032" s="21" t="n">
        <v>0</v>
      </c>
      <c r="I4032" s="21" t="n">
        <v>0</v>
      </c>
      <c r="J4032" s="21">
        <f>$B$3625</f>
        <v/>
      </c>
      <c r="K4032" s="21">
        <f>$B$3627</f>
        <v/>
      </c>
      <c r="L4032" s="21">
        <f>0</f>
        <v/>
      </c>
      <c r="M4032" s="21">
        <f>2*$B$3626</f>
        <v/>
      </c>
      <c r="N4032" s="21">
        <f>-$B$3625</f>
        <v/>
      </c>
      <c r="O4032" s="21">
        <f>$B$3627</f>
        <v/>
      </c>
      <c r="P4032" s="21" t="n">
        <v>0</v>
      </c>
      <c r="Q4032" s="21" t="n">
        <v>0</v>
      </c>
      <c r="R4032" s="21" t="n">
        <v>0</v>
      </c>
      <c r="S4032" s="21" t="n">
        <v>0</v>
      </c>
      <c r="T4032" s="21" t="n">
        <v>0</v>
      </c>
      <c r="U4032" s="21" t="n">
        <v>0</v>
      </c>
      <c r="V4032" s="21" t="n">
        <v>0</v>
      </c>
      <c r="W4032" s="21" t="n">
        <v>0</v>
      </c>
      <c r="X4032" s="21" t="n">
        <v>0</v>
      </c>
      <c r="Y4032" s="21" t="n">
        <v>0</v>
      </c>
      <c r="Z4032" s="19" t="n"/>
    </row>
    <row r="4033">
      <c r="D4033" s="21" t="n">
        <v>0</v>
      </c>
      <c r="E4033" s="21" t="n">
        <v>0</v>
      </c>
      <c r="F4033" s="21" t="n">
        <v>0</v>
      </c>
      <c r="G4033" s="21" t="n">
        <v>0</v>
      </c>
      <c r="H4033" s="21" t="n">
        <v>0</v>
      </c>
      <c r="I4033" s="21" t="n">
        <v>0</v>
      </c>
      <c r="J4033" s="21" t="n">
        <v>0</v>
      </c>
      <c r="K4033" s="21" t="n">
        <v>0</v>
      </c>
      <c r="L4033" s="21">
        <f>-$B$3624</f>
        <v/>
      </c>
      <c r="M4033" s="21">
        <f>-$B$3625</f>
        <v/>
      </c>
      <c r="N4033" s="21">
        <f>2*$B$3624+$D$4016</f>
        <v/>
      </c>
      <c r="O4033" s="21">
        <f>0</f>
        <v/>
      </c>
      <c r="P4033" s="21">
        <f>-$B$3624</f>
        <v/>
      </c>
      <c r="Q4033" s="21">
        <f>$B$3625</f>
        <v/>
      </c>
      <c r="R4033" s="21" t="n">
        <v>0</v>
      </c>
      <c r="S4033" s="21" t="n">
        <v>0</v>
      </c>
      <c r="T4033" s="21" t="n">
        <v>0</v>
      </c>
      <c r="U4033" s="21" t="n">
        <v>0</v>
      </c>
      <c r="V4033" s="21" t="n">
        <v>0</v>
      </c>
      <c r="W4033" s="21" t="n">
        <v>0</v>
      </c>
      <c r="X4033" s="21" t="n">
        <v>0</v>
      </c>
      <c r="Y4033" s="21" t="n">
        <v>0</v>
      </c>
      <c r="Z4033" s="19" t="n"/>
    </row>
    <row r="4034">
      <c r="D4034" s="21" t="n">
        <v>0</v>
      </c>
      <c r="E4034" s="21" t="n">
        <v>0</v>
      </c>
      <c r="F4034" s="21" t="n">
        <v>0</v>
      </c>
      <c r="G4034" s="21" t="n">
        <v>0</v>
      </c>
      <c r="H4034" s="21" t="n">
        <v>0</v>
      </c>
      <c r="I4034" s="21" t="n">
        <v>0</v>
      </c>
      <c r="J4034" s="21" t="n">
        <v>0</v>
      </c>
      <c r="K4034" s="21" t="n">
        <v>0</v>
      </c>
      <c r="L4034" s="21">
        <f>$B$3625</f>
        <v/>
      </c>
      <c r="M4034" s="21">
        <f>$B$3627</f>
        <v/>
      </c>
      <c r="N4034" s="21">
        <f>0</f>
        <v/>
      </c>
      <c r="O4034" s="21">
        <f>2*$B$3626</f>
        <v/>
      </c>
      <c r="P4034" s="21">
        <f>-$B$3625</f>
        <v/>
      </c>
      <c r="Q4034" s="21">
        <f>$B$3627</f>
        <v/>
      </c>
      <c r="R4034" s="21" t="n">
        <v>0</v>
      </c>
      <c r="S4034" s="21" t="n">
        <v>0</v>
      </c>
      <c r="T4034" s="21" t="n">
        <v>0</v>
      </c>
      <c r="U4034" s="21" t="n">
        <v>0</v>
      </c>
      <c r="V4034" s="21" t="n">
        <v>0</v>
      </c>
      <c r="W4034" s="21" t="n">
        <v>0</v>
      </c>
      <c r="X4034" s="21" t="n">
        <v>0</v>
      </c>
      <c r="Y4034" s="21" t="n">
        <v>0</v>
      </c>
      <c r="Z4034" s="19" t="n"/>
    </row>
    <row r="4035">
      <c r="D4035" s="21" t="n">
        <v>0</v>
      </c>
      <c r="E4035" s="21" t="n">
        <v>0</v>
      </c>
      <c r="F4035" s="21" t="n">
        <v>0</v>
      </c>
      <c r="G4035" s="21" t="n">
        <v>0</v>
      </c>
      <c r="H4035" s="21" t="n">
        <v>0</v>
      </c>
      <c r="I4035" s="21" t="n">
        <v>0</v>
      </c>
      <c r="J4035" s="21" t="n">
        <v>0</v>
      </c>
      <c r="K4035" s="21" t="n">
        <v>0</v>
      </c>
      <c r="L4035" s="21" t="n">
        <v>0</v>
      </c>
      <c r="M4035" s="21" t="n">
        <v>0</v>
      </c>
      <c r="N4035" s="21">
        <f>-$B$3624</f>
        <v/>
      </c>
      <c r="O4035" s="21">
        <f>-$B$3625</f>
        <v/>
      </c>
      <c r="P4035" s="21">
        <f>2*$B$3624+$D$4017</f>
        <v/>
      </c>
      <c r="Q4035" s="21">
        <f>0</f>
        <v/>
      </c>
      <c r="R4035" s="21">
        <f>-$B$3624</f>
        <v/>
      </c>
      <c r="S4035" s="21">
        <f>$B$3625</f>
        <v/>
      </c>
      <c r="T4035" s="21" t="n">
        <v>0</v>
      </c>
      <c r="U4035" s="21" t="n">
        <v>0</v>
      </c>
      <c r="V4035" s="21" t="n">
        <v>0</v>
      </c>
      <c r="W4035" s="21" t="n">
        <v>0</v>
      </c>
      <c r="X4035" s="21" t="n">
        <v>0</v>
      </c>
      <c r="Y4035" s="21" t="n">
        <v>0</v>
      </c>
      <c r="Z4035" s="19" t="n"/>
    </row>
    <row r="4036">
      <c r="D4036" s="21" t="n">
        <v>0</v>
      </c>
      <c r="E4036" s="21" t="n">
        <v>0</v>
      </c>
      <c r="F4036" s="21" t="n">
        <v>0</v>
      </c>
      <c r="G4036" s="21" t="n">
        <v>0</v>
      </c>
      <c r="H4036" s="21" t="n">
        <v>0</v>
      </c>
      <c r="I4036" s="21" t="n">
        <v>0</v>
      </c>
      <c r="J4036" s="21" t="n">
        <v>0</v>
      </c>
      <c r="K4036" s="21" t="n">
        <v>0</v>
      </c>
      <c r="L4036" s="21" t="n">
        <v>0</v>
      </c>
      <c r="M4036" s="21" t="n">
        <v>0</v>
      </c>
      <c r="N4036" s="21">
        <f>$B$3625</f>
        <v/>
      </c>
      <c r="O4036" s="21">
        <f>$B$3627</f>
        <v/>
      </c>
      <c r="P4036" s="21">
        <f>0</f>
        <v/>
      </c>
      <c r="Q4036" s="21">
        <f>2*$B$3626</f>
        <v/>
      </c>
      <c r="R4036" s="21">
        <f>-$B$3625</f>
        <v/>
      </c>
      <c r="S4036" s="21">
        <f>$B$3627</f>
        <v/>
      </c>
      <c r="T4036" s="21" t="n">
        <v>0</v>
      </c>
      <c r="U4036" s="21" t="n">
        <v>0</v>
      </c>
      <c r="V4036" s="21" t="n">
        <v>0</v>
      </c>
      <c r="W4036" s="21" t="n">
        <v>0</v>
      </c>
      <c r="X4036" s="21" t="n">
        <v>0</v>
      </c>
      <c r="Y4036" s="21" t="n">
        <v>0</v>
      </c>
      <c r="Z4036" s="19" t="n"/>
    </row>
    <row r="4037">
      <c r="D4037" s="21" t="n">
        <v>0</v>
      </c>
      <c r="E4037" s="21" t="n">
        <v>0</v>
      </c>
      <c r="F4037" s="21" t="n">
        <v>0</v>
      </c>
      <c r="G4037" s="21" t="n">
        <v>0</v>
      </c>
      <c r="H4037" s="21" t="n">
        <v>0</v>
      </c>
      <c r="I4037" s="21" t="n">
        <v>0</v>
      </c>
      <c r="J4037" s="21" t="n">
        <v>0</v>
      </c>
      <c r="K4037" s="21" t="n">
        <v>0</v>
      </c>
      <c r="L4037" s="21" t="n">
        <v>0</v>
      </c>
      <c r="M4037" s="21" t="n">
        <v>0</v>
      </c>
      <c r="N4037" s="21" t="n">
        <v>0</v>
      </c>
      <c r="O4037" s="21" t="n">
        <v>0</v>
      </c>
      <c r="P4037" s="21">
        <f>-$B$3624</f>
        <v/>
      </c>
      <c r="Q4037" s="21">
        <f>-$B$3625</f>
        <v/>
      </c>
      <c r="R4037" s="21">
        <f>2*$B$3624+$D$4018</f>
        <v/>
      </c>
      <c r="S4037" s="21">
        <f>0</f>
        <v/>
      </c>
      <c r="T4037" s="21">
        <f>-$B$3624</f>
        <v/>
      </c>
      <c r="U4037" s="21">
        <f>$B$3625</f>
        <v/>
      </c>
      <c r="V4037" s="21" t="n">
        <v>0</v>
      </c>
      <c r="W4037" s="21" t="n">
        <v>0</v>
      </c>
      <c r="X4037" s="21" t="n">
        <v>0</v>
      </c>
      <c r="Y4037" s="21" t="n">
        <v>0</v>
      </c>
      <c r="Z4037" s="19" t="n"/>
    </row>
    <row r="4038">
      <c r="D4038" s="21" t="n">
        <v>0</v>
      </c>
      <c r="E4038" s="21" t="n">
        <v>0</v>
      </c>
      <c r="F4038" s="21" t="n">
        <v>0</v>
      </c>
      <c r="G4038" s="21" t="n">
        <v>0</v>
      </c>
      <c r="H4038" s="21" t="n">
        <v>0</v>
      </c>
      <c r="I4038" s="21" t="n">
        <v>0</v>
      </c>
      <c r="J4038" s="21" t="n">
        <v>0</v>
      </c>
      <c r="K4038" s="21" t="n">
        <v>0</v>
      </c>
      <c r="L4038" s="21" t="n">
        <v>0</v>
      </c>
      <c r="M4038" s="21" t="n">
        <v>0</v>
      </c>
      <c r="N4038" s="21" t="n">
        <v>0</v>
      </c>
      <c r="O4038" s="21" t="n">
        <v>0</v>
      </c>
      <c r="P4038" s="21">
        <f>$B$3625</f>
        <v/>
      </c>
      <c r="Q4038" s="21">
        <f>$B$3627</f>
        <v/>
      </c>
      <c r="R4038" s="21">
        <f>0</f>
        <v/>
      </c>
      <c r="S4038" s="21">
        <f>2*$B$3626</f>
        <v/>
      </c>
      <c r="T4038" s="21">
        <f>-$B$3625</f>
        <v/>
      </c>
      <c r="U4038" s="21">
        <f>$B$3627</f>
        <v/>
      </c>
      <c r="V4038" s="21" t="n">
        <v>0</v>
      </c>
      <c r="W4038" s="21" t="n">
        <v>0</v>
      </c>
      <c r="X4038" s="21" t="n">
        <v>0</v>
      </c>
      <c r="Y4038" s="21" t="n">
        <v>0</v>
      </c>
      <c r="Z4038" s="19" t="n"/>
    </row>
    <row r="4039">
      <c r="D4039" s="21" t="n">
        <v>0</v>
      </c>
      <c r="E4039" s="21" t="n">
        <v>0</v>
      </c>
      <c r="F4039" s="21" t="n">
        <v>0</v>
      </c>
      <c r="G4039" s="21" t="n">
        <v>0</v>
      </c>
      <c r="H4039" s="21" t="n">
        <v>0</v>
      </c>
      <c r="I4039" s="21" t="n">
        <v>0</v>
      </c>
      <c r="J4039" s="21" t="n">
        <v>0</v>
      </c>
      <c r="K4039" s="21" t="n">
        <v>0</v>
      </c>
      <c r="L4039" s="21" t="n">
        <v>0</v>
      </c>
      <c r="M4039" s="21" t="n">
        <v>0</v>
      </c>
      <c r="N4039" s="21" t="n">
        <v>0</v>
      </c>
      <c r="O4039" s="21" t="n">
        <v>0</v>
      </c>
      <c r="P4039" s="21" t="n">
        <v>0</v>
      </c>
      <c r="Q4039" s="21" t="n">
        <v>0</v>
      </c>
      <c r="R4039" s="21">
        <f>-$B$3624</f>
        <v/>
      </c>
      <c r="S4039" s="21">
        <f>-$B$3625</f>
        <v/>
      </c>
      <c r="T4039" s="21">
        <f>2*$B$3624+$D$4019</f>
        <v/>
      </c>
      <c r="U4039" s="21">
        <f>0</f>
        <v/>
      </c>
      <c r="V4039" s="21">
        <f>-$B$3624</f>
        <v/>
      </c>
      <c r="W4039" s="21">
        <f>$B$3625</f>
        <v/>
      </c>
      <c r="X4039" s="21" t="n">
        <v>0</v>
      </c>
      <c r="Y4039" s="21" t="n">
        <v>0</v>
      </c>
      <c r="Z4039" s="19" t="n"/>
    </row>
    <row r="4040">
      <c r="D4040" s="21" t="n">
        <v>0</v>
      </c>
      <c r="E4040" s="21" t="n">
        <v>0</v>
      </c>
      <c r="F4040" s="21" t="n">
        <v>0</v>
      </c>
      <c r="G4040" s="21" t="n">
        <v>0</v>
      </c>
      <c r="H4040" s="21" t="n">
        <v>0</v>
      </c>
      <c r="I4040" s="21" t="n">
        <v>0</v>
      </c>
      <c r="J4040" s="21" t="n">
        <v>0</v>
      </c>
      <c r="K4040" s="21" t="n">
        <v>0</v>
      </c>
      <c r="L4040" s="21" t="n">
        <v>0</v>
      </c>
      <c r="M4040" s="21" t="n">
        <v>0</v>
      </c>
      <c r="N4040" s="21" t="n">
        <v>0</v>
      </c>
      <c r="O4040" s="21" t="n">
        <v>0</v>
      </c>
      <c r="P4040" s="21" t="n">
        <v>0</v>
      </c>
      <c r="Q4040" s="21" t="n">
        <v>0</v>
      </c>
      <c r="R4040" s="21">
        <f>$B$3625</f>
        <v/>
      </c>
      <c r="S4040" s="21">
        <f>$B$3627</f>
        <v/>
      </c>
      <c r="T4040" s="21">
        <f>0</f>
        <v/>
      </c>
      <c r="U4040" s="21">
        <f>2*$B$3626</f>
        <v/>
      </c>
      <c r="V4040" s="21">
        <f>-$B$3625</f>
        <v/>
      </c>
      <c r="W4040" s="21">
        <f>$B$3627</f>
        <v/>
      </c>
      <c r="X4040" s="21" t="n">
        <v>0</v>
      </c>
      <c r="Y4040" s="21" t="n">
        <v>0</v>
      </c>
      <c r="Z4040" s="19" t="n"/>
    </row>
    <row r="4041">
      <c r="D4041" s="21" t="n">
        <v>0</v>
      </c>
      <c r="E4041" s="21" t="n">
        <v>0</v>
      </c>
      <c r="F4041" s="21" t="n">
        <v>0</v>
      </c>
      <c r="G4041" s="21" t="n">
        <v>0</v>
      </c>
      <c r="H4041" s="21" t="n">
        <v>0</v>
      </c>
      <c r="I4041" s="21" t="n">
        <v>0</v>
      </c>
      <c r="J4041" s="21" t="n">
        <v>0</v>
      </c>
      <c r="K4041" s="21" t="n">
        <v>0</v>
      </c>
      <c r="L4041" s="21" t="n">
        <v>0</v>
      </c>
      <c r="M4041" s="21" t="n">
        <v>0</v>
      </c>
      <c r="N4041" s="21" t="n">
        <v>0</v>
      </c>
      <c r="O4041" s="21" t="n">
        <v>0</v>
      </c>
      <c r="P4041" s="21" t="n">
        <v>0</v>
      </c>
      <c r="Q4041" s="21" t="n">
        <v>0</v>
      </c>
      <c r="R4041" s="21" t="n">
        <v>0</v>
      </c>
      <c r="S4041" s="21" t="n">
        <v>0</v>
      </c>
      <c r="T4041" s="21">
        <f>-$B$3624</f>
        <v/>
      </c>
      <c r="U4041" s="21">
        <f>-$B$3625</f>
        <v/>
      </c>
      <c r="V4041" s="21">
        <f>2*$B$3624+$D$4020</f>
        <v/>
      </c>
      <c r="W4041" s="21">
        <f>0</f>
        <v/>
      </c>
      <c r="X4041" s="21">
        <f>-$B$3624</f>
        <v/>
      </c>
      <c r="Y4041" s="21">
        <f>$B$3625</f>
        <v/>
      </c>
      <c r="Z4041" s="19" t="n"/>
    </row>
    <row r="4042">
      <c r="D4042" s="21" t="n">
        <v>0</v>
      </c>
      <c r="E4042" s="21" t="n">
        <v>0</v>
      </c>
      <c r="F4042" s="21" t="n">
        <v>0</v>
      </c>
      <c r="G4042" s="21" t="n">
        <v>0</v>
      </c>
      <c r="H4042" s="21" t="n">
        <v>0</v>
      </c>
      <c r="I4042" s="21" t="n">
        <v>0</v>
      </c>
      <c r="J4042" s="21" t="n">
        <v>0</v>
      </c>
      <c r="K4042" s="21" t="n">
        <v>0</v>
      </c>
      <c r="L4042" s="21" t="n">
        <v>0</v>
      </c>
      <c r="M4042" s="21" t="n">
        <v>0</v>
      </c>
      <c r="N4042" s="21" t="n">
        <v>0</v>
      </c>
      <c r="O4042" s="21" t="n">
        <v>0</v>
      </c>
      <c r="P4042" s="21" t="n">
        <v>0</v>
      </c>
      <c r="Q4042" s="21" t="n">
        <v>0</v>
      </c>
      <c r="R4042" s="21" t="n">
        <v>0</v>
      </c>
      <c r="S4042" s="21" t="n">
        <v>0</v>
      </c>
      <c r="T4042" s="21">
        <f>$B$3625</f>
        <v/>
      </c>
      <c r="U4042" s="21">
        <f>$B$3627</f>
        <v/>
      </c>
      <c r="V4042" s="21">
        <f>0</f>
        <v/>
      </c>
      <c r="W4042" s="21">
        <f>2*$B$3626</f>
        <v/>
      </c>
      <c r="X4042" s="21">
        <f>-$B$3625</f>
        <v/>
      </c>
      <c r="Y4042" s="21">
        <f>$B$3627</f>
        <v/>
      </c>
      <c r="Z4042" s="19" t="n"/>
    </row>
    <row r="4043">
      <c r="D4043" s="21" t="n">
        <v>0</v>
      </c>
      <c r="E4043" s="21" t="n">
        <v>0</v>
      </c>
      <c r="F4043" s="21" t="n">
        <v>0</v>
      </c>
      <c r="G4043" s="21" t="n">
        <v>0</v>
      </c>
      <c r="H4043" s="21" t="n">
        <v>0</v>
      </c>
      <c r="I4043" s="21" t="n">
        <v>0</v>
      </c>
      <c r="J4043" s="21" t="n">
        <v>0</v>
      </c>
      <c r="K4043" s="21" t="n">
        <v>0</v>
      </c>
      <c r="L4043" s="21" t="n">
        <v>0</v>
      </c>
      <c r="M4043" s="21" t="n">
        <v>0</v>
      </c>
      <c r="N4043" s="21" t="n">
        <v>0</v>
      </c>
      <c r="O4043" s="21" t="n">
        <v>0</v>
      </c>
      <c r="P4043" s="21" t="n">
        <v>0</v>
      </c>
      <c r="Q4043" s="21" t="n">
        <v>0</v>
      </c>
      <c r="R4043" s="21" t="n">
        <v>0</v>
      </c>
      <c r="S4043" s="21" t="n">
        <v>0</v>
      </c>
      <c r="T4043" s="21" t="n">
        <v>0</v>
      </c>
      <c r="U4043" s="21" t="n">
        <v>0</v>
      </c>
      <c r="V4043" s="21">
        <f>-$B$3624</f>
        <v/>
      </c>
      <c r="W4043" s="21">
        <f>-$B$3625</f>
        <v/>
      </c>
      <c r="X4043" s="21">
        <f>$B$3624+$D$4021</f>
        <v/>
      </c>
      <c r="Y4043" s="21">
        <f>-$B$3625</f>
        <v/>
      </c>
      <c r="Z4043" s="19" t="n"/>
    </row>
    <row r="4044">
      <c r="D4044" s="21" t="n">
        <v>0</v>
      </c>
      <c r="E4044" s="21" t="n">
        <v>0</v>
      </c>
      <c r="F4044" s="21" t="n">
        <v>0</v>
      </c>
      <c r="G4044" s="21" t="n">
        <v>0</v>
      </c>
      <c r="H4044" s="21" t="n">
        <v>0</v>
      </c>
      <c r="I4044" s="21" t="n">
        <v>0</v>
      </c>
      <c r="J4044" s="21" t="n">
        <v>0</v>
      </c>
      <c r="K4044" s="21" t="n">
        <v>0</v>
      </c>
      <c r="L4044" s="21" t="n">
        <v>0</v>
      </c>
      <c r="M4044" s="21" t="n">
        <v>0</v>
      </c>
      <c r="N4044" s="21" t="n">
        <v>0</v>
      </c>
      <c r="O4044" s="21" t="n">
        <v>0</v>
      </c>
      <c r="P4044" s="21" t="n">
        <v>0</v>
      </c>
      <c r="Q4044" s="21" t="n">
        <v>0</v>
      </c>
      <c r="R4044" s="21" t="n">
        <v>0</v>
      </c>
      <c r="S4044" s="21" t="n">
        <v>0</v>
      </c>
      <c r="T4044" s="21" t="n">
        <v>0</v>
      </c>
      <c r="U4044" s="21" t="n">
        <v>0</v>
      </c>
      <c r="V4044" s="21">
        <f>$B$3625</f>
        <v/>
      </c>
      <c r="W4044" s="21">
        <f>$B$3627</f>
        <v/>
      </c>
      <c r="X4044" s="21">
        <f>-$B$3625</f>
        <v/>
      </c>
      <c r="Y4044" s="21">
        <f>$B$3626</f>
        <v/>
      </c>
      <c r="Z4044" s="19" t="n"/>
    </row>
    <row r="4046">
      <c r="A4046" s="8" t="inlineStr">
        <is>
          <t>gen 11</t>
        </is>
      </c>
    </row>
    <row r="4047">
      <c r="D4047" s="19">
        <f>IF(ABS(IF(ABS($E$4011)&gt;0.000000001,$E$4011,0.000000001))=0,0,IF($E$3639&lt;=$B$3633,0,IF(ABS(IF(ABS($E$4011)&gt;0.000000001,$E$4011,0.000000001))&gt;=8*$B$3635,$H$3639,0.5*$H$3639*(ABS(IF(ABS($E$4011)&gt;0.000000001,$E$4011,0.000000001))/$B$3635)^(1/3)))/ABS(IF(ABS($E$4011)&gt;0.000000001,$E$4011,0.000000001))*$I$3639)</f>
        <v/>
      </c>
      <c r="E4047" s="19">
        <f>0.5*$E$4011+0.5*$Z$4059</f>
        <v/>
      </c>
      <c r="F4047" s="19">
        <f>$Z$4060</f>
        <v/>
      </c>
    </row>
    <row r="4048">
      <c r="D4048" s="19">
        <f>IF(ABS(IF(ABS($E$4012)&gt;0.000000001,$E$4012,0.000000001))=0,0,IF($E$3640&lt;=$B$3633,0,IF(ABS(IF(ABS($E$4012)&gt;0.000000001,$E$4012,0.000000001))&gt;=8*$B$3635,$H$3640,0.5*$H$3640*(ABS(IF(ABS($E$4012)&gt;0.000000001,$E$4012,0.000000001))/$B$3635)^(1/3)))/ABS(IF(ABS($E$4012)&gt;0.000000001,$E$4012,0.000000001))*$I$3640)</f>
        <v/>
      </c>
      <c r="E4048" s="19">
        <f>0.5*$E$4012+0.5*$Z$4061</f>
        <v/>
      </c>
      <c r="F4048" s="19">
        <f>$Z$4062</f>
        <v/>
      </c>
    </row>
    <row r="4049">
      <c r="D4049" s="19">
        <f>IF(ABS(IF(ABS($E$4013)&gt;0.000000001,$E$4013,0.000000001))=0,0,IF($E$3641&lt;=$B$3633,0,IF(ABS(IF(ABS($E$4013)&gt;0.000000001,$E$4013,0.000000001))&gt;=8*$B$3635,$H$3641,0.5*$H$3641*(ABS(IF(ABS($E$4013)&gt;0.000000001,$E$4013,0.000000001))/$B$3635)^(1/3)))/ABS(IF(ABS($E$4013)&gt;0.000000001,$E$4013,0.000000001))*$I$3641)</f>
        <v/>
      </c>
      <c r="E4049" s="19">
        <f>0.5*$E$4013+0.5*$Z$4063</f>
        <v/>
      </c>
      <c r="F4049" s="19">
        <f>$Z$4064</f>
        <v/>
      </c>
    </row>
    <row r="4050">
      <c r="D4050" s="19">
        <f>IF(ABS(IF(ABS($E$4014)&gt;0.000000001,$E$4014,0.000000001))=0,0,IF($E$3642&lt;=$B$3633,0,IF(ABS(IF(ABS($E$4014)&gt;0.000000001,$E$4014,0.000000001))&gt;=8*$B$3635,$H$3642,0.5*$H$3642*(ABS(IF(ABS($E$4014)&gt;0.000000001,$E$4014,0.000000001))/$B$3635)^(1/3)))/ABS(IF(ABS($E$4014)&gt;0.000000001,$E$4014,0.000000001))*$I$3642)</f>
        <v/>
      </c>
      <c r="E4050" s="19">
        <f>0.5*$E$4014+0.5*$Z$4065</f>
        <v/>
      </c>
      <c r="F4050" s="19">
        <f>$Z$4066</f>
        <v/>
      </c>
    </row>
    <row r="4051">
      <c r="D4051" s="19">
        <f>IF(ABS(IF(ABS($E$4015)&gt;0.000000001,$E$4015,0.000000001))=0,0,IF($E$3643&lt;=$B$3633,0,IF(ABS(IF(ABS($E$4015)&gt;0.000000001,$E$4015,0.000000001))&gt;=8*$B$3635,$H$3643,0.5*$H$3643*(ABS(IF(ABS($E$4015)&gt;0.000000001,$E$4015,0.000000001))/$B$3635)^(1/3)))/ABS(IF(ABS($E$4015)&gt;0.000000001,$E$4015,0.000000001))*$I$3643)</f>
        <v/>
      </c>
      <c r="E4051" s="19">
        <f>0.5*$E$4015+0.5*$Z$4067</f>
        <v/>
      </c>
      <c r="F4051" s="19">
        <f>$Z$4068</f>
        <v/>
      </c>
    </row>
    <row r="4052">
      <c r="D4052" s="19">
        <f>IF(ABS(IF(ABS($E$4016)&gt;0.000000001,$E$4016,0.000000001))=0,0,IF($E$3644&lt;=$B$3633,0,IF(ABS(IF(ABS($E$4016)&gt;0.000000001,$E$4016,0.000000001))&gt;=8*$B$3635,$H$3644,0.5*$H$3644*(ABS(IF(ABS($E$4016)&gt;0.000000001,$E$4016,0.000000001))/$B$3635)^(1/3)))/ABS(IF(ABS($E$4016)&gt;0.000000001,$E$4016,0.000000001))*$I$3644)</f>
        <v/>
      </c>
      <c r="E4052" s="19">
        <f>0.5*$E$4016+0.5*$Z$4069</f>
        <v/>
      </c>
      <c r="F4052" s="19">
        <f>$Z$4070</f>
        <v/>
      </c>
    </row>
    <row r="4053">
      <c r="D4053" s="19">
        <f>IF(ABS(IF(ABS($E$4017)&gt;0.000000001,$E$4017,0.000000001))=0,0,IF($E$3645&lt;=$B$3633,0,IF(ABS(IF(ABS($E$4017)&gt;0.000000001,$E$4017,0.000000001))&gt;=8*$B$3635,$H$3645,0.5*$H$3645*(ABS(IF(ABS($E$4017)&gt;0.000000001,$E$4017,0.000000001))/$B$3635)^(1/3)))/ABS(IF(ABS($E$4017)&gt;0.000000001,$E$4017,0.000000001))*$I$3645)</f>
        <v/>
      </c>
      <c r="E4053" s="19">
        <f>0.5*$E$4017+0.5*$Z$4071</f>
        <v/>
      </c>
      <c r="F4053" s="19">
        <f>$Z$4072</f>
        <v/>
      </c>
    </row>
    <row r="4054">
      <c r="D4054" s="19">
        <f>IF(ABS(IF(ABS($E$4018)&gt;0.000000001,$E$4018,0.000000001))=0,0,IF($E$3646&lt;=$B$3633,0,IF(ABS(IF(ABS($E$4018)&gt;0.000000001,$E$4018,0.000000001))&gt;=8*$B$3635,$H$3646,0.5*$H$3646*(ABS(IF(ABS($E$4018)&gt;0.000000001,$E$4018,0.000000001))/$B$3635)^(1/3)))/ABS(IF(ABS($E$4018)&gt;0.000000001,$E$4018,0.000000001))*$I$3646)</f>
        <v/>
      </c>
      <c r="E4054" s="19">
        <f>0.5*$E$4018+0.5*$Z$4073</f>
        <v/>
      </c>
      <c r="F4054" s="19">
        <f>$Z$4074</f>
        <v/>
      </c>
    </row>
    <row r="4055">
      <c r="D4055" s="19">
        <f>IF(ABS(IF(ABS($E$4019)&gt;0.000000001,$E$4019,0.000000001))=0,0,IF($E$3647&lt;=$B$3633,0,IF(ABS(IF(ABS($E$4019)&gt;0.000000001,$E$4019,0.000000001))&gt;=8*$B$3635,$H$3647,0.5*$H$3647*(ABS(IF(ABS($E$4019)&gt;0.000000001,$E$4019,0.000000001))/$B$3635)^(1/3)))/ABS(IF(ABS($E$4019)&gt;0.000000001,$E$4019,0.000000001))*$I$3647)</f>
        <v/>
      </c>
      <c r="E4055" s="19">
        <f>0.5*$E$4019+0.5*$Z$4075</f>
        <v/>
      </c>
      <c r="F4055" s="19">
        <f>$Z$4076</f>
        <v/>
      </c>
    </row>
    <row r="4056">
      <c r="D4056" s="19">
        <f>IF(ABS(IF(ABS($E$4020)&gt;0.000000001,$E$4020,0.000000001))=0,0,IF($E$3648&lt;=$B$3633,0,IF(ABS(IF(ABS($E$4020)&gt;0.000000001,$E$4020,0.000000001))&gt;=8*$B$3635,$H$3648,0.5*$H$3648*(ABS(IF(ABS($E$4020)&gt;0.000000001,$E$4020,0.000000001))/$B$3635)^(1/3)))/ABS(IF(ABS($E$4020)&gt;0.000000001,$E$4020,0.000000001))*$I$3648)</f>
        <v/>
      </c>
      <c r="E4056" s="19">
        <f>0.5*$E$4020+0.5*$Z$4077</f>
        <v/>
      </c>
      <c r="F4056" s="19">
        <f>$Z$4078</f>
        <v/>
      </c>
    </row>
    <row r="4057">
      <c r="D4057" s="19">
        <f>IF(ABS(IF(ABS($E$4021)&gt;0.000000001,$E$4021,0.000000001))=0,0,IF($E$3649&lt;=$B$3633,0,IF(ABS(IF(ABS($E$4021)&gt;0.000000001,$E$4021,0.000000001))&gt;=8*$B$3635,$H$3649,0.5*$H$3649*(ABS(IF(ABS($E$4021)&gt;0.000000001,$E$4021,0.000000001))/$B$3635)^(1/3)))/ABS(IF(ABS($E$4021)&gt;0.000000001,$E$4021,0.000000001))*$I$3649)</f>
        <v/>
      </c>
      <c r="E4057" s="19">
        <f>0.5*$E$4021+0.5*$Z$4079</f>
        <v/>
      </c>
      <c r="F4057" s="19">
        <f>$Z$4080</f>
        <v/>
      </c>
    </row>
    <row r="4059">
      <c r="D4059" s="21">
        <f>$B$3624+$D$4047</f>
        <v/>
      </c>
      <c r="E4059" s="21">
        <f>$B$3625</f>
        <v/>
      </c>
      <c r="F4059" s="21">
        <f>-$B$3624</f>
        <v/>
      </c>
      <c r="G4059" s="21">
        <f>$B$3625</f>
        <v/>
      </c>
      <c r="H4059" s="21" t="n">
        <v>0</v>
      </c>
      <c r="I4059" s="21" t="n">
        <v>0</v>
      </c>
      <c r="J4059" s="21" t="n">
        <v>0</v>
      </c>
      <c r="K4059" s="21" t="n">
        <v>0</v>
      </c>
      <c r="L4059" s="21" t="n">
        <v>0</v>
      </c>
      <c r="M4059" s="21" t="n">
        <v>0</v>
      </c>
      <c r="N4059" s="21" t="n">
        <v>0</v>
      </c>
      <c r="O4059" s="21" t="n">
        <v>0</v>
      </c>
      <c r="P4059" s="21" t="n">
        <v>0</v>
      </c>
      <c r="Q4059" s="21" t="n">
        <v>0</v>
      </c>
      <c r="R4059" s="21" t="n">
        <v>0</v>
      </c>
      <c r="S4059" s="21" t="n">
        <v>0</v>
      </c>
      <c r="T4059" s="21" t="n">
        <v>0</v>
      </c>
      <c r="U4059" s="21" t="n">
        <v>0</v>
      </c>
      <c r="V4059" s="21" t="n">
        <v>0</v>
      </c>
      <c r="W4059" s="21" t="n">
        <v>0</v>
      </c>
      <c r="X4059" s="21" t="n">
        <v>0</v>
      </c>
      <c r="Y4059" s="21" t="n">
        <v>0</v>
      </c>
      <c r="Z4059" s="19">
        <f t="array" ref="Z4059:Z4080">MMULT(MINVERSE($D$4059:$Y$4080),$D$3651:$D$3672)</f>
        <v/>
      </c>
    </row>
    <row r="4060">
      <c r="D4060" s="21">
        <f>$B$3625</f>
        <v/>
      </c>
      <c r="E4060" s="21">
        <f>$B$3626</f>
        <v/>
      </c>
      <c r="F4060" s="21">
        <f>-$B$3625</f>
        <v/>
      </c>
      <c r="G4060" s="21">
        <f>$B$3627</f>
        <v/>
      </c>
      <c r="H4060" s="21" t="n">
        <v>0</v>
      </c>
      <c r="I4060" s="21" t="n">
        <v>0</v>
      </c>
      <c r="J4060" s="21" t="n">
        <v>0</v>
      </c>
      <c r="K4060" s="21" t="n">
        <v>0</v>
      </c>
      <c r="L4060" s="21" t="n">
        <v>0</v>
      </c>
      <c r="M4060" s="21" t="n">
        <v>0</v>
      </c>
      <c r="N4060" s="21" t="n">
        <v>0</v>
      </c>
      <c r="O4060" s="21" t="n">
        <v>0</v>
      </c>
      <c r="P4060" s="21" t="n">
        <v>0</v>
      </c>
      <c r="Q4060" s="21" t="n">
        <v>0</v>
      </c>
      <c r="R4060" s="21" t="n">
        <v>0</v>
      </c>
      <c r="S4060" s="21" t="n">
        <v>0</v>
      </c>
      <c r="T4060" s="21" t="n">
        <v>0</v>
      </c>
      <c r="U4060" s="21" t="n">
        <v>0</v>
      </c>
      <c r="V4060" s="21" t="n">
        <v>0</v>
      </c>
      <c r="W4060" s="21" t="n">
        <v>0</v>
      </c>
      <c r="X4060" s="21" t="n">
        <v>0</v>
      </c>
      <c r="Y4060" s="21" t="n">
        <v>0</v>
      </c>
      <c r="Z4060" s="19" t="n"/>
    </row>
    <row r="4061">
      <c r="D4061" s="21">
        <f>-$B$3624</f>
        <v/>
      </c>
      <c r="E4061" s="21">
        <f>-$B$3625</f>
        <v/>
      </c>
      <c r="F4061" s="21">
        <f>2*$B$3624+$D$4048</f>
        <v/>
      </c>
      <c r="G4061" s="21">
        <f>0</f>
        <v/>
      </c>
      <c r="H4061" s="21">
        <f>-$B$3624</f>
        <v/>
      </c>
      <c r="I4061" s="21">
        <f>$B$3625</f>
        <v/>
      </c>
      <c r="J4061" s="21" t="n">
        <v>0</v>
      </c>
      <c r="K4061" s="21" t="n">
        <v>0</v>
      </c>
      <c r="L4061" s="21" t="n">
        <v>0</v>
      </c>
      <c r="M4061" s="21" t="n">
        <v>0</v>
      </c>
      <c r="N4061" s="21" t="n">
        <v>0</v>
      </c>
      <c r="O4061" s="21" t="n">
        <v>0</v>
      </c>
      <c r="P4061" s="21" t="n">
        <v>0</v>
      </c>
      <c r="Q4061" s="21" t="n">
        <v>0</v>
      </c>
      <c r="R4061" s="21" t="n">
        <v>0</v>
      </c>
      <c r="S4061" s="21" t="n">
        <v>0</v>
      </c>
      <c r="T4061" s="21" t="n">
        <v>0</v>
      </c>
      <c r="U4061" s="21" t="n">
        <v>0</v>
      </c>
      <c r="V4061" s="21" t="n">
        <v>0</v>
      </c>
      <c r="W4061" s="21" t="n">
        <v>0</v>
      </c>
      <c r="X4061" s="21" t="n">
        <v>0</v>
      </c>
      <c r="Y4061" s="21" t="n">
        <v>0</v>
      </c>
      <c r="Z4061" s="19" t="n"/>
    </row>
    <row r="4062">
      <c r="D4062" s="21">
        <f>$B$3625</f>
        <v/>
      </c>
      <c r="E4062" s="21">
        <f>$B$3627</f>
        <v/>
      </c>
      <c r="F4062" s="21">
        <f>0</f>
        <v/>
      </c>
      <c r="G4062" s="21">
        <f>2*$B$3626</f>
        <v/>
      </c>
      <c r="H4062" s="21">
        <f>-$B$3625</f>
        <v/>
      </c>
      <c r="I4062" s="21">
        <f>$B$3627</f>
        <v/>
      </c>
      <c r="J4062" s="21" t="n">
        <v>0</v>
      </c>
      <c r="K4062" s="21" t="n">
        <v>0</v>
      </c>
      <c r="L4062" s="21" t="n">
        <v>0</v>
      </c>
      <c r="M4062" s="21" t="n">
        <v>0</v>
      </c>
      <c r="N4062" s="21" t="n">
        <v>0</v>
      </c>
      <c r="O4062" s="21" t="n">
        <v>0</v>
      </c>
      <c r="P4062" s="21" t="n">
        <v>0</v>
      </c>
      <c r="Q4062" s="21" t="n">
        <v>0</v>
      </c>
      <c r="R4062" s="21" t="n">
        <v>0</v>
      </c>
      <c r="S4062" s="21" t="n">
        <v>0</v>
      </c>
      <c r="T4062" s="21" t="n">
        <v>0</v>
      </c>
      <c r="U4062" s="21" t="n">
        <v>0</v>
      </c>
      <c r="V4062" s="21" t="n">
        <v>0</v>
      </c>
      <c r="W4062" s="21" t="n">
        <v>0</v>
      </c>
      <c r="X4062" s="21" t="n">
        <v>0</v>
      </c>
      <c r="Y4062" s="21" t="n">
        <v>0</v>
      </c>
      <c r="Z4062" s="19" t="n"/>
    </row>
    <row r="4063">
      <c r="D4063" s="21" t="n">
        <v>0</v>
      </c>
      <c r="E4063" s="21" t="n">
        <v>0</v>
      </c>
      <c r="F4063" s="21">
        <f>-$B$3624</f>
        <v/>
      </c>
      <c r="G4063" s="21">
        <f>-$B$3625</f>
        <v/>
      </c>
      <c r="H4063" s="21">
        <f>2*$B$3624+$D$4049</f>
        <v/>
      </c>
      <c r="I4063" s="21">
        <f>0</f>
        <v/>
      </c>
      <c r="J4063" s="21">
        <f>-$B$3624</f>
        <v/>
      </c>
      <c r="K4063" s="21">
        <f>$B$3625</f>
        <v/>
      </c>
      <c r="L4063" s="21" t="n">
        <v>0</v>
      </c>
      <c r="M4063" s="21" t="n">
        <v>0</v>
      </c>
      <c r="N4063" s="21" t="n">
        <v>0</v>
      </c>
      <c r="O4063" s="21" t="n">
        <v>0</v>
      </c>
      <c r="P4063" s="21" t="n">
        <v>0</v>
      </c>
      <c r="Q4063" s="21" t="n">
        <v>0</v>
      </c>
      <c r="R4063" s="21" t="n">
        <v>0</v>
      </c>
      <c r="S4063" s="21" t="n">
        <v>0</v>
      </c>
      <c r="T4063" s="21" t="n">
        <v>0</v>
      </c>
      <c r="U4063" s="21" t="n">
        <v>0</v>
      </c>
      <c r="V4063" s="21" t="n">
        <v>0</v>
      </c>
      <c r="W4063" s="21" t="n">
        <v>0</v>
      </c>
      <c r="X4063" s="21" t="n">
        <v>0</v>
      </c>
      <c r="Y4063" s="21" t="n">
        <v>0</v>
      </c>
      <c r="Z4063" s="19" t="n"/>
    </row>
    <row r="4064">
      <c r="D4064" s="21" t="n">
        <v>0</v>
      </c>
      <c r="E4064" s="21" t="n">
        <v>0</v>
      </c>
      <c r="F4064" s="21">
        <f>$B$3625</f>
        <v/>
      </c>
      <c r="G4064" s="21">
        <f>$B$3627</f>
        <v/>
      </c>
      <c r="H4064" s="21">
        <f>0</f>
        <v/>
      </c>
      <c r="I4064" s="21">
        <f>2*$B$3626</f>
        <v/>
      </c>
      <c r="J4064" s="21">
        <f>-$B$3625</f>
        <v/>
      </c>
      <c r="K4064" s="21">
        <f>$B$3627</f>
        <v/>
      </c>
      <c r="L4064" s="21" t="n">
        <v>0</v>
      </c>
      <c r="M4064" s="21" t="n">
        <v>0</v>
      </c>
      <c r="N4064" s="21" t="n">
        <v>0</v>
      </c>
      <c r="O4064" s="21" t="n">
        <v>0</v>
      </c>
      <c r="P4064" s="21" t="n">
        <v>0</v>
      </c>
      <c r="Q4064" s="21" t="n">
        <v>0</v>
      </c>
      <c r="R4064" s="21" t="n">
        <v>0</v>
      </c>
      <c r="S4064" s="21" t="n">
        <v>0</v>
      </c>
      <c r="T4064" s="21" t="n">
        <v>0</v>
      </c>
      <c r="U4064" s="21" t="n">
        <v>0</v>
      </c>
      <c r="V4064" s="21" t="n">
        <v>0</v>
      </c>
      <c r="W4064" s="21" t="n">
        <v>0</v>
      </c>
      <c r="X4064" s="21" t="n">
        <v>0</v>
      </c>
      <c r="Y4064" s="21" t="n">
        <v>0</v>
      </c>
      <c r="Z4064" s="19" t="n"/>
    </row>
    <row r="4065">
      <c r="D4065" s="21" t="n">
        <v>0</v>
      </c>
      <c r="E4065" s="21" t="n">
        <v>0</v>
      </c>
      <c r="F4065" s="21" t="n">
        <v>0</v>
      </c>
      <c r="G4065" s="21" t="n">
        <v>0</v>
      </c>
      <c r="H4065" s="21">
        <f>-$B$3624</f>
        <v/>
      </c>
      <c r="I4065" s="21">
        <f>-$B$3625</f>
        <v/>
      </c>
      <c r="J4065" s="21">
        <f>2*$B$3624+$D$4050</f>
        <v/>
      </c>
      <c r="K4065" s="21">
        <f>0</f>
        <v/>
      </c>
      <c r="L4065" s="21">
        <f>-$B$3624</f>
        <v/>
      </c>
      <c r="M4065" s="21">
        <f>$B$3625</f>
        <v/>
      </c>
      <c r="N4065" s="21" t="n">
        <v>0</v>
      </c>
      <c r="O4065" s="21" t="n">
        <v>0</v>
      </c>
      <c r="P4065" s="21" t="n">
        <v>0</v>
      </c>
      <c r="Q4065" s="21" t="n">
        <v>0</v>
      </c>
      <c r="R4065" s="21" t="n">
        <v>0</v>
      </c>
      <c r="S4065" s="21" t="n">
        <v>0</v>
      </c>
      <c r="T4065" s="21" t="n">
        <v>0</v>
      </c>
      <c r="U4065" s="21" t="n">
        <v>0</v>
      </c>
      <c r="V4065" s="21" t="n">
        <v>0</v>
      </c>
      <c r="W4065" s="21" t="n">
        <v>0</v>
      </c>
      <c r="X4065" s="21" t="n">
        <v>0</v>
      </c>
      <c r="Y4065" s="21" t="n">
        <v>0</v>
      </c>
      <c r="Z4065" s="19" t="n"/>
    </row>
    <row r="4066">
      <c r="D4066" s="21" t="n">
        <v>0</v>
      </c>
      <c r="E4066" s="21" t="n">
        <v>0</v>
      </c>
      <c r="F4066" s="21" t="n">
        <v>0</v>
      </c>
      <c r="G4066" s="21" t="n">
        <v>0</v>
      </c>
      <c r="H4066" s="21">
        <f>$B$3625</f>
        <v/>
      </c>
      <c r="I4066" s="21">
        <f>$B$3627</f>
        <v/>
      </c>
      <c r="J4066" s="21">
        <f>0</f>
        <v/>
      </c>
      <c r="K4066" s="21">
        <f>2*$B$3626</f>
        <v/>
      </c>
      <c r="L4066" s="21">
        <f>-$B$3625</f>
        <v/>
      </c>
      <c r="M4066" s="21">
        <f>$B$3627</f>
        <v/>
      </c>
      <c r="N4066" s="21" t="n">
        <v>0</v>
      </c>
      <c r="O4066" s="21" t="n">
        <v>0</v>
      </c>
      <c r="P4066" s="21" t="n">
        <v>0</v>
      </c>
      <c r="Q4066" s="21" t="n">
        <v>0</v>
      </c>
      <c r="R4066" s="21" t="n">
        <v>0</v>
      </c>
      <c r="S4066" s="21" t="n">
        <v>0</v>
      </c>
      <c r="T4066" s="21" t="n">
        <v>0</v>
      </c>
      <c r="U4066" s="21" t="n">
        <v>0</v>
      </c>
      <c r="V4066" s="21" t="n">
        <v>0</v>
      </c>
      <c r="W4066" s="21" t="n">
        <v>0</v>
      </c>
      <c r="X4066" s="21" t="n">
        <v>0</v>
      </c>
      <c r="Y4066" s="21" t="n">
        <v>0</v>
      </c>
      <c r="Z4066" s="19" t="n"/>
    </row>
    <row r="4067">
      <c r="D4067" s="21" t="n">
        <v>0</v>
      </c>
      <c r="E4067" s="21" t="n">
        <v>0</v>
      </c>
      <c r="F4067" s="21" t="n">
        <v>0</v>
      </c>
      <c r="G4067" s="21" t="n">
        <v>0</v>
      </c>
      <c r="H4067" s="21" t="n">
        <v>0</v>
      </c>
      <c r="I4067" s="21" t="n">
        <v>0</v>
      </c>
      <c r="J4067" s="21">
        <f>-$B$3624</f>
        <v/>
      </c>
      <c r="K4067" s="21">
        <f>-$B$3625</f>
        <v/>
      </c>
      <c r="L4067" s="21">
        <f>2*$B$3624+$D$4051</f>
        <v/>
      </c>
      <c r="M4067" s="21">
        <f>0</f>
        <v/>
      </c>
      <c r="N4067" s="21">
        <f>-$B$3624</f>
        <v/>
      </c>
      <c r="O4067" s="21">
        <f>$B$3625</f>
        <v/>
      </c>
      <c r="P4067" s="21" t="n">
        <v>0</v>
      </c>
      <c r="Q4067" s="21" t="n">
        <v>0</v>
      </c>
      <c r="R4067" s="21" t="n">
        <v>0</v>
      </c>
      <c r="S4067" s="21" t="n">
        <v>0</v>
      </c>
      <c r="T4067" s="21" t="n">
        <v>0</v>
      </c>
      <c r="U4067" s="21" t="n">
        <v>0</v>
      </c>
      <c r="V4067" s="21" t="n">
        <v>0</v>
      </c>
      <c r="W4067" s="21" t="n">
        <v>0</v>
      </c>
      <c r="X4067" s="21" t="n">
        <v>0</v>
      </c>
      <c r="Y4067" s="21" t="n">
        <v>0</v>
      </c>
      <c r="Z4067" s="19" t="n"/>
    </row>
    <row r="4068">
      <c r="D4068" s="21" t="n">
        <v>0</v>
      </c>
      <c r="E4068" s="21" t="n">
        <v>0</v>
      </c>
      <c r="F4068" s="21" t="n">
        <v>0</v>
      </c>
      <c r="G4068" s="21" t="n">
        <v>0</v>
      </c>
      <c r="H4068" s="21" t="n">
        <v>0</v>
      </c>
      <c r="I4068" s="21" t="n">
        <v>0</v>
      </c>
      <c r="J4068" s="21">
        <f>$B$3625</f>
        <v/>
      </c>
      <c r="K4068" s="21">
        <f>$B$3627</f>
        <v/>
      </c>
      <c r="L4068" s="21">
        <f>0</f>
        <v/>
      </c>
      <c r="M4068" s="21">
        <f>2*$B$3626</f>
        <v/>
      </c>
      <c r="N4068" s="21">
        <f>-$B$3625</f>
        <v/>
      </c>
      <c r="O4068" s="21">
        <f>$B$3627</f>
        <v/>
      </c>
      <c r="P4068" s="21" t="n">
        <v>0</v>
      </c>
      <c r="Q4068" s="21" t="n">
        <v>0</v>
      </c>
      <c r="R4068" s="21" t="n">
        <v>0</v>
      </c>
      <c r="S4068" s="21" t="n">
        <v>0</v>
      </c>
      <c r="T4068" s="21" t="n">
        <v>0</v>
      </c>
      <c r="U4068" s="21" t="n">
        <v>0</v>
      </c>
      <c r="V4068" s="21" t="n">
        <v>0</v>
      </c>
      <c r="W4068" s="21" t="n">
        <v>0</v>
      </c>
      <c r="X4068" s="21" t="n">
        <v>0</v>
      </c>
      <c r="Y4068" s="21" t="n">
        <v>0</v>
      </c>
      <c r="Z4068" s="19" t="n"/>
    </row>
    <row r="4069">
      <c r="D4069" s="21" t="n">
        <v>0</v>
      </c>
      <c r="E4069" s="21" t="n">
        <v>0</v>
      </c>
      <c r="F4069" s="21" t="n">
        <v>0</v>
      </c>
      <c r="G4069" s="21" t="n">
        <v>0</v>
      </c>
      <c r="H4069" s="21" t="n">
        <v>0</v>
      </c>
      <c r="I4069" s="21" t="n">
        <v>0</v>
      </c>
      <c r="J4069" s="21" t="n">
        <v>0</v>
      </c>
      <c r="K4069" s="21" t="n">
        <v>0</v>
      </c>
      <c r="L4069" s="21">
        <f>-$B$3624</f>
        <v/>
      </c>
      <c r="M4069" s="21">
        <f>-$B$3625</f>
        <v/>
      </c>
      <c r="N4069" s="21">
        <f>2*$B$3624+$D$4052</f>
        <v/>
      </c>
      <c r="O4069" s="21">
        <f>0</f>
        <v/>
      </c>
      <c r="P4069" s="21">
        <f>-$B$3624</f>
        <v/>
      </c>
      <c r="Q4069" s="21">
        <f>$B$3625</f>
        <v/>
      </c>
      <c r="R4069" s="21" t="n">
        <v>0</v>
      </c>
      <c r="S4069" s="21" t="n">
        <v>0</v>
      </c>
      <c r="T4069" s="21" t="n">
        <v>0</v>
      </c>
      <c r="U4069" s="21" t="n">
        <v>0</v>
      </c>
      <c r="V4069" s="21" t="n">
        <v>0</v>
      </c>
      <c r="W4069" s="21" t="n">
        <v>0</v>
      </c>
      <c r="X4069" s="21" t="n">
        <v>0</v>
      </c>
      <c r="Y4069" s="21" t="n">
        <v>0</v>
      </c>
      <c r="Z4069" s="19" t="n"/>
    </row>
    <row r="4070">
      <c r="D4070" s="21" t="n">
        <v>0</v>
      </c>
      <c r="E4070" s="21" t="n">
        <v>0</v>
      </c>
      <c r="F4070" s="21" t="n">
        <v>0</v>
      </c>
      <c r="G4070" s="21" t="n">
        <v>0</v>
      </c>
      <c r="H4070" s="21" t="n">
        <v>0</v>
      </c>
      <c r="I4070" s="21" t="n">
        <v>0</v>
      </c>
      <c r="J4070" s="21" t="n">
        <v>0</v>
      </c>
      <c r="K4070" s="21" t="n">
        <v>0</v>
      </c>
      <c r="L4070" s="21">
        <f>$B$3625</f>
        <v/>
      </c>
      <c r="M4070" s="21">
        <f>$B$3627</f>
        <v/>
      </c>
      <c r="N4070" s="21">
        <f>0</f>
        <v/>
      </c>
      <c r="O4070" s="21">
        <f>2*$B$3626</f>
        <v/>
      </c>
      <c r="P4070" s="21">
        <f>-$B$3625</f>
        <v/>
      </c>
      <c r="Q4070" s="21">
        <f>$B$3627</f>
        <v/>
      </c>
      <c r="R4070" s="21" t="n">
        <v>0</v>
      </c>
      <c r="S4070" s="21" t="n">
        <v>0</v>
      </c>
      <c r="T4070" s="21" t="n">
        <v>0</v>
      </c>
      <c r="U4070" s="21" t="n">
        <v>0</v>
      </c>
      <c r="V4070" s="21" t="n">
        <v>0</v>
      </c>
      <c r="W4070" s="21" t="n">
        <v>0</v>
      </c>
      <c r="X4070" s="21" t="n">
        <v>0</v>
      </c>
      <c r="Y4070" s="21" t="n">
        <v>0</v>
      </c>
      <c r="Z4070" s="19" t="n"/>
    </row>
    <row r="4071">
      <c r="D4071" s="21" t="n">
        <v>0</v>
      </c>
      <c r="E4071" s="21" t="n">
        <v>0</v>
      </c>
      <c r="F4071" s="21" t="n">
        <v>0</v>
      </c>
      <c r="G4071" s="21" t="n">
        <v>0</v>
      </c>
      <c r="H4071" s="21" t="n">
        <v>0</v>
      </c>
      <c r="I4071" s="21" t="n">
        <v>0</v>
      </c>
      <c r="J4071" s="21" t="n">
        <v>0</v>
      </c>
      <c r="K4071" s="21" t="n">
        <v>0</v>
      </c>
      <c r="L4071" s="21" t="n">
        <v>0</v>
      </c>
      <c r="M4071" s="21" t="n">
        <v>0</v>
      </c>
      <c r="N4071" s="21">
        <f>-$B$3624</f>
        <v/>
      </c>
      <c r="O4071" s="21">
        <f>-$B$3625</f>
        <v/>
      </c>
      <c r="P4071" s="21">
        <f>2*$B$3624+$D$4053</f>
        <v/>
      </c>
      <c r="Q4071" s="21">
        <f>0</f>
        <v/>
      </c>
      <c r="R4071" s="21">
        <f>-$B$3624</f>
        <v/>
      </c>
      <c r="S4071" s="21">
        <f>$B$3625</f>
        <v/>
      </c>
      <c r="T4071" s="21" t="n">
        <v>0</v>
      </c>
      <c r="U4071" s="21" t="n">
        <v>0</v>
      </c>
      <c r="V4071" s="21" t="n">
        <v>0</v>
      </c>
      <c r="W4071" s="21" t="n">
        <v>0</v>
      </c>
      <c r="X4071" s="21" t="n">
        <v>0</v>
      </c>
      <c r="Y4071" s="21" t="n">
        <v>0</v>
      </c>
      <c r="Z4071" s="19" t="n"/>
    </row>
    <row r="4072">
      <c r="D4072" s="21" t="n">
        <v>0</v>
      </c>
      <c r="E4072" s="21" t="n">
        <v>0</v>
      </c>
      <c r="F4072" s="21" t="n">
        <v>0</v>
      </c>
      <c r="G4072" s="21" t="n">
        <v>0</v>
      </c>
      <c r="H4072" s="21" t="n">
        <v>0</v>
      </c>
      <c r="I4072" s="21" t="n">
        <v>0</v>
      </c>
      <c r="J4072" s="21" t="n">
        <v>0</v>
      </c>
      <c r="K4072" s="21" t="n">
        <v>0</v>
      </c>
      <c r="L4072" s="21" t="n">
        <v>0</v>
      </c>
      <c r="M4072" s="21" t="n">
        <v>0</v>
      </c>
      <c r="N4072" s="21">
        <f>$B$3625</f>
        <v/>
      </c>
      <c r="O4072" s="21">
        <f>$B$3627</f>
        <v/>
      </c>
      <c r="P4072" s="21">
        <f>0</f>
        <v/>
      </c>
      <c r="Q4072" s="21">
        <f>2*$B$3626</f>
        <v/>
      </c>
      <c r="R4072" s="21">
        <f>-$B$3625</f>
        <v/>
      </c>
      <c r="S4072" s="21">
        <f>$B$3627</f>
        <v/>
      </c>
      <c r="T4072" s="21" t="n">
        <v>0</v>
      </c>
      <c r="U4072" s="21" t="n">
        <v>0</v>
      </c>
      <c r="V4072" s="21" t="n">
        <v>0</v>
      </c>
      <c r="W4072" s="21" t="n">
        <v>0</v>
      </c>
      <c r="X4072" s="21" t="n">
        <v>0</v>
      </c>
      <c r="Y4072" s="21" t="n">
        <v>0</v>
      </c>
      <c r="Z4072" s="19" t="n"/>
    </row>
    <row r="4073">
      <c r="D4073" s="21" t="n">
        <v>0</v>
      </c>
      <c r="E4073" s="21" t="n">
        <v>0</v>
      </c>
      <c r="F4073" s="21" t="n">
        <v>0</v>
      </c>
      <c r="G4073" s="21" t="n">
        <v>0</v>
      </c>
      <c r="H4073" s="21" t="n">
        <v>0</v>
      </c>
      <c r="I4073" s="21" t="n">
        <v>0</v>
      </c>
      <c r="J4073" s="21" t="n">
        <v>0</v>
      </c>
      <c r="K4073" s="21" t="n">
        <v>0</v>
      </c>
      <c r="L4073" s="21" t="n">
        <v>0</v>
      </c>
      <c r="M4073" s="21" t="n">
        <v>0</v>
      </c>
      <c r="N4073" s="21" t="n">
        <v>0</v>
      </c>
      <c r="O4073" s="21" t="n">
        <v>0</v>
      </c>
      <c r="P4073" s="21">
        <f>-$B$3624</f>
        <v/>
      </c>
      <c r="Q4073" s="21">
        <f>-$B$3625</f>
        <v/>
      </c>
      <c r="R4073" s="21">
        <f>2*$B$3624+$D$4054</f>
        <v/>
      </c>
      <c r="S4073" s="21">
        <f>0</f>
        <v/>
      </c>
      <c r="T4073" s="21">
        <f>-$B$3624</f>
        <v/>
      </c>
      <c r="U4073" s="21">
        <f>$B$3625</f>
        <v/>
      </c>
      <c r="V4073" s="21" t="n">
        <v>0</v>
      </c>
      <c r="W4073" s="21" t="n">
        <v>0</v>
      </c>
      <c r="X4073" s="21" t="n">
        <v>0</v>
      </c>
      <c r="Y4073" s="21" t="n">
        <v>0</v>
      </c>
      <c r="Z4073" s="19" t="n"/>
    </row>
    <row r="4074">
      <c r="D4074" s="21" t="n">
        <v>0</v>
      </c>
      <c r="E4074" s="21" t="n">
        <v>0</v>
      </c>
      <c r="F4074" s="21" t="n">
        <v>0</v>
      </c>
      <c r="G4074" s="21" t="n">
        <v>0</v>
      </c>
      <c r="H4074" s="21" t="n">
        <v>0</v>
      </c>
      <c r="I4074" s="21" t="n">
        <v>0</v>
      </c>
      <c r="J4074" s="21" t="n">
        <v>0</v>
      </c>
      <c r="K4074" s="21" t="n">
        <v>0</v>
      </c>
      <c r="L4074" s="21" t="n">
        <v>0</v>
      </c>
      <c r="M4074" s="21" t="n">
        <v>0</v>
      </c>
      <c r="N4074" s="21" t="n">
        <v>0</v>
      </c>
      <c r="O4074" s="21" t="n">
        <v>0</v>
      </c>
      <c r="P4074" s="21">
        <f>$B$3625</f>
        <v/>
      </c>
      <c r="Q4074" s="21">
        <f>$B$3627</f>
        <v/>
      </c>
      <c r="R4074" s="21">
        <f>0</f>
        <v/>
      </c>
      <c r="S4074" s="21">
        <f>2*$B$3626</f>
        <v/>
      </c>
      <c r="T4074" s="21">
        <f>-$B$3625</f>
        <v/>
      </c>
      <c r="U4074" s="21">
        <f>$B$3627</f>
        <v/>
      </c>
      <c r="V4074" s="21" t="n">
        <v>0</v>
      </c>
      <c r="W4074" s="21" t="n">
        <v>0</v>
      </c>
      <c r="X4074" s="21" t="n">
        <v>0</v>
      </c>
      <c r="Y4074" s="21" t="n">
        <v>0</v>
      </c>
      <c r="Z4074" s="19" t="n"/>
    </row>
    <row r="4075">
      <c r="D4075" s="21" t="n">
        <v>0</v>
      </c>
      <c r="E4075" s="21" t="n">
        <v>0</v>
      </c>
      <c r="F4075" s="21" t="n">
        <v>0</v>
      </c>
      <c r="G4075" s="21" t="n">
        <v>0</v>
      </c>
      <c r="H4075" s="21" t="n">
        <v>0</v>
      </c>
      <c r="I4075" s="21" t="n">
        <v>0</v>
      </c>
      <c r="J4075" s="21" t="n">
        <v>0</v>
      </c>
      <c r="K4075" s="21" t="n">
        <v>0</v>
      </c>
      <c r="L4075" s="21" t="n">
        <v>0</v>
      </c>
      <c r="M4075" s="21" t="n">
        <v>0</v>
      </c>
      <c r="N4075" s="21" t="n">
        <v>0</v>
      </c>
      <c r="O4075" s="21" t="n">
        <v>0</v>
      </c>
      <c r="P4075" s="21" t="n">
        <v>0</v>
      </c>
      <c r="Q4075" s="21" t="n">
        <v>0</v>
      </c>
      <c r="R4075" s="21">
        <f>-$B$3624</f>
        <v/>
      </c>
      <c r="S4075" s="21">
        <f>-$B$3625</f>
        <v/>
      </c>
      <c r="T4075" s="21">
        <f>2*$B$3624+$D$4055</f>
        <v/>
      </c>
      <c r="U4075" s="21">
        <f>0</f>
        <v/>
      </c>
      <c r="V4075" s="21">
        <f>-$B$3624</f>
        <v/>
      </c>
      <c r="W4075" s="21">
        <f>$B$3625</f>
        <v/>
      </c>
      <c r="X4075" s="21" t="n">
        <v>0</v>
      </c>
      <c r="Y4075" s="21" t="n">
        <v>0</v>
      </c>
      <c r="Z4075" s="19" t="n"/>
    </row>
    <row r="4076">
      <c r="D4076" s="21" t="n">
        <v>0</v>
      </c>
      <c r="E4076" s="21" t="n">
        <v>0</v>
      </c>
      <c r="F4076" s="21" t="n">
        <v>0</v>
      </c>
      <c r="G4076" s="21" t="n">
        <v>0</v>
      </c>
      <c r="H4076" s="21" t="n">
        <v>0</v>
      </c>
      <c r="I4076" s="21" t="n">
        <v>0</v>
      </c>
      <c r="J4076" s="21" t="n">
        <v>0</v>
      </c>
      <c r="K4076" s="21" t="n">
        <v>0</v>
      </c>
      <c r="L4076" s="21" t="n">
        <v>0</v>
      </c>
      <c r="M4076" s="21" t="n">
        <v>0</v>
      </c>
      <c r="N4076" s="21" t="n">
        <v>0</v>
      </c>
      <c r="O4076" s="21" t="n">
        <v>0</v>
      </c>
      <c r="P4076" s="21" t="n">
        <v>0</v>
      </c>
      <c r="Q4076" s="21" t="n">
        <v>0</v>
      </c>
      <c r="R4076" s="21">
        <f>$B$3625</f>
        <v/>
      </c>
      <c r="S4076" s="21">
        <f>$B$3627</f>
        <v/>
      </c>
      <c r="T4076" s="21">
        <f>0</f>
        <v/>
      </c>
      <c r="U4076" s="21">
        <f>2*$B$3626</f>
        <v/>
      </c>
      <c r="V4076" s="21">
        <f>-$B$3625</f>
        <v/>
      </c>
      <c r="W4076" s="21">
        <f>$B$3627</f>
        <v/>
      </c>
      <c r="X4076" s="21" t="n">
        <v>0</v>
      </c>
      <c r="Y4076" s="21" t="n">
        <v>0</v>
      </c>
      <c r="Z4076" s="19" t="n"/>
    </row>
    <row r="4077">
      <c r="D4077" s="21" t="n">
        <v>0</v>
      </c>
      <c r="E4077" s="21" t="n">
        <v>0</v>
      </c>
      <c r="F4077" s="21" t="n">
        <v>0</v>
      </c>
      <c r="G4077" s="21" t="n">
        <v>0</v>
      </c>
      <c r="H4077" s="21" t="n">
        <v>0</v>
      </c>
      <c r="I4077" s="21" t="n">
        <v>0</v>
      </c>
      <c r="J4077" s="21" t="n">
        <v>0</v>
      </c>
      <c r="K4077" s="21" t="n">
        <v>0</v>
      </c>
      <c r="L4077" s="21" t="n">
        <v>0</v>
      </c>
      <c r="M4077" s="21" t="n">
        <v>0</v>
      </c>
      <c r="N4077" s="21" t="n">
        <v>0</v>
      </c>
      <c r="O4077" s="21" t="n">
        <v>0</v>
      </c>
      <c r="P4077" s="21" t="n">
        <v>0</v>
      </c>
      <c r="Q4077" s="21" t="n">
        <v>0</v>
      </c>
      <c r="R4077" s="21" t="n">
        <v>0</v>
      </c>
      <c r="S4077" s="21" t="n">
        <v>0</v>
      </c>
      <c r="T4077" s="21">
        <f>-$B$3624</f>
        <v/>
      </c>
      <c r="U4077" s="21">
        <f>-$B$3625</f>
        <v/>
      </c>
      <c r="V4077" s="21">
        <f>2*$B$3624+$D$4056</f>
        <v/>
      </c>
      <c r="W4077" s="21">
        <f>0</f>
        <v/>
      </c>
      <c r="X4077" s="21">
        <f>-$B$3624</f>
        <v/>
      </c>
      <c r="Y4077" s="21">
        <f>$B$3625</f>
        <v/>
      </c>
      <c r="Z4077" s="19" t="n"/>
    </row>
    <row r="4078">
      <c r="D4078" s="21" t="n">
        <v>0</v>
      </c>
      <c r="E4078" s="21" t="n">
        <v>0</v>
      </c>
      <c r="F4078" s="21" t="n">
        <v>0</v>
      </c>
      <c r="G4078" s="21" t="n">
        <v>0</v>
      </c>
      <c r="H4078" s="21" t="n">
        <v>0</v>
      </c>
      <c r="I4078" s="21" t="n">
        <v>0</v>
      </c>
      <c r="J4078" s="21" t="n">
        <v>0</v>
      </c>
      <c r="K4078" s="21" t="n">
        <v>0</v>
      </c>
      <c r="L4078" s="21" t="n">
        <v>0</v>
      </c>
      <c r="M4078" s="21" t="n">
        <v>0</v>
      </c>
      <c r="N4078" s="21" t="n">
        <v>0</v>
      </c>
      <c r="O4078" s="21" t="n">
        <v>0</v>
      </c>
      <c r="P4078" s="21" t="n">
        <v>0</v>
      </c>
      <c r="Q4078" s="21" t="n">
        <v>0</v>
      </c>
      <c r="R4078" s="21" t="n">
        <v>0</v>
      </c>
      <c r="S4078" s="21" t="n">
        <v>0</v>
      </c>
      <c r="T4078" s="21">
        <f>$B$3625</f>
        <v/>
      </c>
      <c r="U4078" s="21">
        <f>$B$3627</f>
        <v/>
      </c>
      <c r="V4078" s="21">
        <f>0</f>
        <v/>
      </c>
      <c r="W4078" s="21">
        <f>2*$B$3626</f>
        <v/>
      </c>
      <c r="X4078" s="21">
        <f>-$B$3625</f>
        <v/>
      </c>
      <c r="Y4078" s="21">
        <f>$B$3627</f>
        <v/>
      </c>
      <c r="Z4078" s="19" t="n"/>
    </row>
    <row r="4079">
      <c r="D4079" s="21" t="n">
        <v>0</v>
      </c>
      <c r="E4079" s="21" t="n">
        <v>0</v>
      </c>
      <c r="F4079" s="21" t="n">
        <v>0</v>
      </c>
      <c r="G4079" s="21" t="n">
        <v>0</v>
      </c>
      <c r="H4079" s="21" t="n">
        <v>0</v>
      </c>
      <c r="I4079" s="21" t="n">
        <v>0</v>
      </c>
      <c r="J4079" s="21" t="n">
        <v>0</v>
      </c>
      <c r="K4079" s="21" t="n">
        <v>0</v>
      </c>
      <c r="L4079" s="21" t="n">
        <v>0</v>
      </c>
      <c r="M4079" s="21" t="n">
        <v>0</v>
      </c>
      <c r="N4079" s="21" t="n">
        <v>0</v>
      </c>
      <c r="O4079" s="21" t="n">
        <v>0</v>
      </c>
      <c r="P4079" s="21" t="n">
        <v>0</v>
      </c>
      <c r="Q4079" s="21" t="n">
        <v>0</v>
      </c>
      <c r="R4079" s="21" t="n">
        <v>0</v>
      </c>
      <c r="S4079" s="21" t="n">
        <v>0</v>
      </c>
      <c r="T4079" s="21" t="n">
        <v>0</v>
      </c>
      <c r="U4079" s="21" t="n">
        <v>0</v>
      </c>
      <c r="V4079" s="21">
        <f>-$B$3624</f>
        <v/>
      </c>
      <c r="W4079" s="21">
        <f>-$B$3625</f>
        <v/>
      </c>
      <c r="X4079" s="21">
        <f>$B$3624+$D$4057</f>
        <v/>
      </c>
      <c r="Y4079" s="21">
        <f>-$B$3625</f>
        <v/>
      </c>
      <c r="Z4079" s="19" t="n"/>
    </row>
    <row r="4080">
      <c r="D4080" s="21" t="n">
        <v>0</v>
      </c>
      <c r="E4080" s="21" t="n">
        <v>0</v>
      </c>
      <c r="F4080" s="21" t="n">
        <v>0</v>
      </c>
      <c r="G4080" s="21" t="n">
        <v>0</v>
      </c>
      <c r="H4080" s="21" t="n">
        <v>0</v>
      </c>
      <c r="I4080" s="21" t="n">
        <v>0</v>
      </c>
      <c r="J4080" s="21" t="n">
        <v>0</v>
      </c>
      <c r="K4080" s="21" t="n">
        <v>0</v>
      </c>
      <c r="L4080" s="21" t="n">
        <v>0</v>
      </c>
      <c r="M4080" s="21" t="n">
        <v>0</v>
      </c>
      <c r="N4080" s="21" t="n">
        <v>0</v>
      </c>
      <c r="O4080" s="21" t="n">
        <v>0</v>
      </c>
      <c r="P4080" s="21" t="n">
        <v>0</v>
      </c>
      <c r="Q4080" s="21" t="n">
        <v>0</v>
      </c>
      <c r="R4080" s="21" t="n">
        <v>0</v>
      </c>
      <c r="S4080" s="21" t="n">
        <v>0</v>
      </c>
      <c r="T4080" s="21" t="n">
        <v>0</v>
      </c>
      <c r="U4080" s="21" t="n">
        <v>0</v>
      </c>
      <c r="V4080" s="21">
        <f>$B$3625</f>
        <v/>
      </c>
      <c r="W4080" s="21">
        <f>$B$3627</f>
        <v/>
      </c>
      <c r="X4080" s="21">
        <f>-$B$3625</f>
        <v/>
      </c>
      <c r="Y4080" s="21">
        <f>$B$3626</f>
        <v/>
      </c>
      <c r="Z4080" s="19" t="n"/>
    </row>
    <row r="4082">
      <c r="A4082" s="8" t="inlineStr">
        <is>
          <t>gen 12</t>
        </is>
      </c>
    </row>
    <row r="4083">
      <c r="D4083" s="19">
        <f>IF(ABS(IF(ABS($E$4047)&gt;0.000000001,$E$4047,0.000000001))=0,0,IF($E$3639&lt;=$B$3633,0,IF(ABS(IF(ABS($E$4047)&gt;0.000000001,$E$4047,0.000000001))&gt;=8*$B$3635,$H$3639,0.5*$H$3639*(ABS(IF(ABS($E$4047)&gt;0.000000001,$E$4047,0.000000001))/$B$3635)^(1/3)))/ABS(IF(ABS($E$4047)&gt;0.000000001,$E$4047,0.000000001))*$I$3639)</f>
        <v/>
      </c>
      <c r="E4083" s="19">
        <f>0.5*$E$4047+0.5*$Z$4095</f>
        <v/>
      </c>
      <c r="F4083" s="19">
        <f>$Z$4096</f>
        <v/>
      </c>
    </row>
    <row r="4084">
      <c r="D4084" s="19">
        <f>IF(ABS(IF(ABS($E$4048)&gt;0.000000001,$E$4048,0.000000001))=0,0,IF($E$3640&lt;=$B$3633,0,IF(ABS(IF(ABS($E$4048)&gt;0.000000001,$E$4048,0.000000001))&gt;=8*$B$3635,$H$3640,0.5*$H$3640*(ABS(IF(ABS($E$4048)&gt;0.000000001,$E$4048,0.000000001))/$B$3635)^(1/3)))/ABS(IF(ABS($E$4048)&gt;0.000000001,$E$4048,0.000000001))*$I$3640)</f>
        <v/>
      </c>
      <c r="E4084" s="19">
        <f>0.5*$E$4048+0.5*$Z$4097</f>
        <v/>
      </c>
      <c r="F4084" s="19">
        <f>$Z$4098</f>
        <v/>
      </c>
    </row>
    <row r="4085">
      <c r="D4085" s="19">
        <f>IF(ABS(IF(ABS($E$4049)&gt;0.000000001,$E$4049,0.000000001))=0,0,IF($E$3641&lt;=$B$3633,0,IF(ABS(IF(ABS($E$4049)&gt;0.000000001,$E$4049,0.000000001))&gt;=8*$B$3635,$H$3641,0.5*$H$3641*(ABS(IF(ABS($E$4049)&gt;0.000000001,$E$4049,0.000000001))/$B$3635)^(1/3)))/ABS(IF(ABS($E$4049)&gt;0.000000001,$E$4049,0.000000001))*$I$3641)</f>
        <v/>
      </c>
      <c r="E4085" s="19">
        <f>0.5*$E$4049+0.5*$Z$4099</f>
        <v/>
      </c>
      <c r="F4085" s="19">
        <f>$Z$4100</f>
        <v/>
      </c>
    </row>
    <row r="4086">
      <c r="D4086" s="19">
        <f>IF(ABS(IF(ABS($E$4050)&gt;0.000000001,$E$4050,0.000000001))=0,0,IF($E$3642&lt;=$B$3633,0,IF(ABS(IF(ABS($E$4050)&gt;0.000000001,$E$4050,0.000000001))&gt;=8*$B$3635,$H$3642,0.5*$H$3642*(ABS(IF(ABS($E$4050)&gt;0.000000001,$E$4050,0.000000001))/$B$3635)^(1/3)))/ABS(IF(ABS($E$4050)&gt;0.000000001,$E$4050,0.000000001))*$I$3642)</f>
        <v/>
      </c>
      <c r="E4086" s="19">
        <f>0.5*$E$4050+0.5*$Z$4101</f>
        <v/>
      </c>
      <c r="F4086" s="19">
        <f>$Z$4102</f>
        <v/>
      </c>
    </row>
    <row r="4087">
      <c r="D4087" s="19">
        <f>IF(ABS(IF(ABS($E$4051)&gt;0.000000001,$E$4051,0.000000001))=0,0,IF($E$3643&lt;=$B$3633,0,IF(ABS(IF(ABS($E$4051)&gt;0.000000001,$E$4051,0.000000001))&gt;=8*$B$3635,$H$3643,0.5*$H$3643*(ABS(IF(ABS($E$4051)&gt;0.000000001,$E$4051,0.000000001))/$B$3635)^(1/3)))/ABS(IF(ABS($E$4051)&gt;0.000000001,$E$4051,0.000000001))*$I$3643)</f>
        <v/>
      </c>
      <c r="E4087" s="19">
        <f>0.5*$E$4051+0.5*$Z$4103</f>
        <v/>
      </c>
      <c r="F4087" s="19">
        <f>$Z$4104</f>
        <v/>
      </c>
    </row>
    <row r="4088">
      <c r="D4088" s="19">
        <f>IF(ABS(IF(ABS($E$4052)&gt;0.000000001,$E$4052,0.000000001))=0,0,IF($E$3644&lt;=$B$3633,0,IF(ABS(IF(ABS($E$4052)&gt;0.000000001,$E$4052,0.000000001))&gt;=8*$B$3635,$H$3644,0.5*$H$3644*(ABS(IF(ABS($E$4052)&gt;0.000000001,$E$4052,0.000000001))/$B$3635)^(1/3)))/ABS(IF(ABS($E$4052)&gt;0.000000001,$E$4052,0.000000001))*$I$3644)</f>
        <v/>
      </c>
      <c r="E4088" s="19">
        <f>0.5*$E$4052+0.5*$Z$4105</f>
        <v/>
      </c>
      <c r="F4088" s="19">
        <f>$Z$4106</f>
        <v/>
      </c>
    </row>
    <row r="4089">
      <c r="D4089" s="19">
        <f>IF(ABS(IF(ABS($E$4053)&gt;0.000000001,$E$4053,0.000000001))=0,0,IF($E$3645&lt;=$B$3633,0,IF(ABS(IF(ABS($E$4053)&gt;0.000000001,$E$4053,0.000000001))&gt;=8*$B$3635,$H$3645,0.5*$H$3645*(ABS(IF(ABS($E$4053)&gt;0.000000001,$E$4053,0.000000001))/$B$3635)^(1/3)))/ABS(IF(ABS($E$4053)&gt;0.000000001,$E$4053,0.000000001))*$I$3645)</f>
        <v/>
      </c>
      <c r="E4089" s="19">
        <f>0.5*$E$4053+0.5*$Z$4107</f>
        <v/>
      </c>
      <c r="F4089" s="19">
        <f>$Z$4108</f>
        <v/>
      </c>
    </row>
    <row r="4090">
      <c r="D4090" s="19">
        <f>IF(ABS(IF(ABS($E$4054)&gt;0.000000001,$E$4054,0.000000001))=0,0,IF($E$3646&lt;=$B$3633,0,IF(ABS(IF(ABS($E$4054)&gt;0.000000001,$E$4054,0.000000001))&gt;=8*$B$3635,$H$3646,0.5*$H$3646*(ABS(IF(ABS($E$4054)&gt;0.000000001,$E$4054,0.000000001))/$B$3635)^(1/3)))/ABS(IF(ABS($E$4054)&gt;0.000000001,$E$4054,0.000000001))*$I$3646)</f>
        <v/>
      </c>
      <c r="E4090" s="19">
        <f>0.5*$E$4054+0.5*$Z$4109</f>
        <v/>
      </c>
      <c r="F4090" s="19">
        <f>$Z$4110</f>
        <v/>
      </c>
    </row>
    <row r="4091">
      <c r="D4091" s="19">
        <f>IF(ABS(IF(ABS($E$4055)&gt;0.000000001,$E$4055,0.000000001))=0,0,IF($E$3647&lt;=$B$3633,0,IF(ABS(IF(ABS($E$4055)&gt;0.000000001,$E$4055,0.000000001))&gt;=8*$B$3635,$H$3647,0.5*$H$3647*(ABS(IF(ABS($E$4055)&gt;0.000000001,$E$4055,0.000000001))/$B$3635)^(1/3)))/ABS(IF(ABS($E$4055)&gt;0.000000001,$E$4055,0.000000001))*$I$3647)</f>
        <v/>
      </c>
      <c r="E4091" s="19">
        <f>0.5*$E$4055+0.5*$Z$4111</f>
        <v/>
      </c>
      <c r="F4091" s="19">
        <f>$Z$4112</f>
        <v/>
      </c>
    </row>
    <row r="4092">
      <c r="D4092" s="19">
        <f>IF(ABS(IF(ABS($E$4056)&gt;0.000000001,$E$4056,0.000000001))=0,0,IF($E$3648&lt;=$B$3633,0,IF(ABS(IF(ABS($E$4056)&gt;0.000000001,$E$4056,0.000000001))&gt;=8*$B$3635,$H$3648,0.5*$H$3648*(ABS(IF(ABS($E$4056)&gt;0.000000001,$E$4056,0.000000001))/$B$3635)^(1/3)))/ABS(IF(ABS($E$4056)&gt;0.000000001,$E$4056,0.000000001))*$I$3648)</f>
        <v/>
      </c>
      <c r="E4092" s="19">
        <f>0.5*$E$4056+0.5*$Z$4113</f>
        <v/>
      </c>
      <c r="F4092" s="19">
        <f>$Z$4114</f>
        <v/>
      </c>
    </row>
    <row r="4093">
      <c r="D4093" s="19">
        <f>IF(ABS(IF(ABS($E$4057)&gt;0.000000001,$E$4057,0.000000001))=0,0,IF($E$3649&lt;=$B$3633,0,IF(ABS(IF(ABS($E$4057)&gt;0.000000001,$E$4057,0.000000001))&gt;=8*$B$3635,$H$3649,0.5*$H$3649*(ABS(IF(ABS($E$4057)&gt;0.000000001,$E$4057,0.000000001))/$B$3635)^(1/3)))/ABS(IF(ABS($E$4057)&gt;0.000000001,$E$4057,0.000000001))*$I$3649)</f>
        <v/>
      </c>
      <c r="E4093" s="19">
        <f>0.5*$E$4057+0.5*$Z$4115</f>
        <v/>
      </c>
      <c r="F4093" s="19">
        <f>$Z$4116</f>
        <v/>
      </c>
    </row>
    <row r="4095">
      <c r="D4095" s="21">
        <f>$B$3624+$D$4083</f>
        <v/>
      </c>
      <c r="E4095" s="21">
        <f>$B$3625</f>
        <v/>
      </c>
      <c r="F4095" s="21">
        <f>-$B$3624</f>
        <v/>
      </c>
      <c r="G4095" s="21">
        <f>$B$3625</f>
        <v/>
      </c>
      <c r="H4095" s="21" t="n">
        <v>0</v>
      </c>
      <c r="I4095" s="21" t="n">
        <v>0</v>
      </c>
      <c r="J4095" s="21" t="n">
        <v>0</v>
      </c>
      <c r="K4095" s="21" t="n">
        <v>0</v>
      </c>
      <c r="L4095" s="21" t="n">
        <v>0</v>
      </c>
      <c r="M4095" s="21" t="n">
        <v>0</v>
      </c>
      <c r="N4095" s="21" t="n">
        <v>0</v>
      </c>
      <c r="O4095" s="21" t="n">
        <v>0</v>
      </c>
      <c r="P4095" s="21" t="n">
        <v>0</v>
      </c>
      <c r="Q4095" s="21" t="n">
        <v>0</v>
      </c>
      <c r="R4095" s="21" t="n">
        <v>0</v>
      </c>
      <c r="S4095" s="21" t="n">
        <v>0</v>
      </c>
      <c r="T4095" s="21" t="n">
        <v>0</v>
      </c>
      <c r="U4095" s="21" t="n">
        <v>0</v>
      </c>
      <c r="V4095" s="21" t="n">
        <v>0</v>
      </c>
      <c r="W4095" s="21" t="n">
        <v>0</v>
      </c>
      <c r="X4095" s="21" t="n">
        <v>0</v>
      </c>
      <c r="Y4095" s="21" t="n">
        <v>0</v>
      </c>
      <c r="Z4095" s="19">
        <f t="array" ref="Z4095:Z4116">MMULT(MINVERSE($D$4095:$Y$4116),$D$3651:$D$3672)</f>
        <v/>
      </c>
    </row>
    <row r="4096">
      <c r="D4096" s="21">
        <f>$B$3625</f>
        <v/>
      </c>
      <c r="E4096" s="21">
        <f>$B$3626</f>
        <v/>
      </c>
      <c r="F4096" s="21">
        <f>-$B$3625</f>
        <v/>
      </c>
      <c r="G4096" s="21">
        <f>$B$3627</f>
        <v/>
      </c>
      <c r="H4096" s="21" t="n">
        <v>0</v>
      </c>
      <c r="I4096" s="21" t="n">
        <v>0</v>
      </c>
      <c r="J4096" s="21" t="n">
        <v>0</v>
      </c>
      <c r="K4096" s="21" t="n">
        <v>0</v>
      </c>
      <c r="L4096" s="21" t="n">
        <v>0</v>
      </c>
      <c r="M4096" s="21" t="n">
        <v>0</v>
      </c>
      <c r="N4096" s="21" t="n">
        <v>0</v>
      </c>
      <c r="O4096" s="21" t="n">
        <v>0</v>
      </c>
      <c r="P4096" s="21" t="n">
        <v>0</v>
      </c>
      <c r="Q4096" s="21" t="n">
        <v>0</v>
      </c>
      <c r="R4096" s="21" t="n">
        <v>0</v>
      </c>
      <c r="S4096" s="21" t="n">
        <v>0</v>
      </c>
      <c r="T4096" s="21" t="n">
        <v>0</v>
      </c>
      <c r="U4096" s="21" t="n">
        <v>0</v>
      </c>
      <c r="V4096" s="21" t="n">
        <v>0</v>
      </c>
      <c r="W4096" s="21" t="n">
        <v>0</v>
      </c>
      <c r="X4096" s="21" t="n">
        <v>0</v>
      </c>
      <c r="Y4096" s="21" t="n">
        <v>0</v>
      </c>
      <c r="Z4096" s="19" t="n"/>
    </row>
    <row r="4097">
      <c r="D4097" s="21">
        <f>-$B$3624</f>
        <v/>
      </c>
      <c r="E4097" s="21">
        <f>-$B$3625</f>
        <v/>
      </c>
      <c r="F4097" s="21">
        <f>2*$B$3624+$D$4084</f>
        <v/>
      </c>
      <c r="G4097" s="21">
        <f>0</f>
        <v/>
      </c>
      <c r="H4097" s="21">
        <f>-$B$3624</f>
        <v/>
      </c>
      <c r="I4097" s="21">
        <f>$B$3625</f>
        <v/>
      </c>
      <c r="J4097" s="21" t="n">
        <v>0</v>
      </c>
      <c r="K4097" s="21" t="n">
        <v>0</v>
      </c>
      <c r="L4097" s="21" t="n">
        <v>0</v>
      </c>
      <c r="M4097" s="21" t="n">
        <v>0</v>
      </c>
      <c r="N4097" s="21" t="n">
        <v>0</v>
      </c>
      <c r="O4097" s="21" t="n">
        <v>0</v>
      </c>
      <c r="P4097" s="21" t="n">
        <v>0</v>
      </c>
      <c r="Q4097" s="21" t="n">
        <v>0</v>
      </c>
      <c r="R4097" s="21" t="n">
        <v>0</v>
      </c>
      <c r="S4097" s="21" t="n">
        <v>0</v>
      </c>
      <c r="T4097" s="21" t="n">
        <v>0</v>
      </c>
      <c r="U4097" s="21" t="n">
        <v>0</v>
      </c>
      <c r="V4097" s="21" t="n">
        <v>0</v>
      </c>
      <c r="W4097" s="21" t="n">
        <v>0</v>
      </c>
      <c r="X4097" s="21" t="n">
        <v>0</v>
      </c>
      <c r="Y4097" s="21" t="n">
        <v>0</v>
      </c>
      <c r="Z4097" s="19" t="n"/>
    </row>
    <row r="4098">
      <c r="D4098" s="21">
        <f>$B$3625</f>
        <v/>
      </c>
      <c r="E4098" s="21">
        <f>$B$3627</f>
        <v/>
      </c>
      <c r="F4098" s="21">
        <f>0</f>
        <v/>
      </c>
      <c r="G4098" s="21">
        <f>2*$B$3626</f>
        <v/>
      </c>
      <c r="H4098" s="21">
        <f>-$B$3625</f>
        <v/>
      </c>
      <c r="I4098" s="21">
        <f>$B$3627</f>
        <v/>
      </c>
      <c r="J4098" s="21" t="n">
        <v>0</v>
      </c>
      <c r="K4098" s="21" t="n">
        <v>0</v>
      </c>
      <c r="L4098" s="21" t="n">
        <v>0</v>
      </c>
      <c r="M4098" s="21" t="n">
        <v>0</v>
      </c>
      <c r="N4098" s="21" t="n">
        <v>0</v>
      </c>
      <c r="O4098" s="21" t="n">
        <v>0</v>
      </c>
      <c r="P4098" s="21" t="n">
        <v>0</v>
      </c>
      <c r="Q4098" s="21" t="n">
        <v>0</v>
      </c>
      <c r="R4098" s="21" t="n">
        <v>0</v>
      </c>
      <c r="S4098" s="21" t="n">
        <v>0</v>
      </c>
      <c r="T4098" s="21" t="n">
        <v>0</v>
      </c>
      <c r="U4098" s="21" t="n">
        <v>0</v>
      </c>
      <c r="V4098" s="21" t="n">
        <v>0</v>
      </c>
      <c r="W4098" s="21" t="n">
        <v>0</v>
      </c>
      <c r="X4098" s="21" t="n">
        <v>0</v>
      </c>
      <c r="Y4098" s="21" t="n">
        <v>0</v>
      </c>
      <c r="Z4098" s="19" t="n"/>
    </row>
    <row r="4099">
      <c r="D4099" s="21" t="n">
        <v>0</v>
      </c>
      <c r="E4099" s="21" t="n">
        <v>0</v>
      </c>
      <c r="F4099" s="21">
        <f>-$B$3624</f>
        <v/>
      </c>
      <c r="G4099" s="21">
        <f>-$B$3625</f>
        <v/>
      </c>
      <c r="H4099" s="21">
        <f>2*$B$3624+$D$4085</f>
        <v/>
      </c>
      <c r="I4099" s="21">
        <f>0</f>
        <v/>
      </c>
      <c r="J4099" s="21">
        <f>-$B$3624</f>
        <v/>
      </c>
      <c r="K4099" s="21">
        <f>$B$3625</f>
        <v/>
      </c>
      <c r="L4099" s="21" t="n">
        <v>0</v>
      </c>
      <c r="M4099" s="21" t="n">
        <v>0</v>
      </c>
      <c r="N4099" s="21" t="n">
        <v>0</v>
      </c>
      <c r="O4099" s="21" t="n">
        <v>0</v>
      </c>
      <c r="P4099" s="21" t="n">
        <v>0</v>
      </c>
      <c r="Q4099" s="21" t="n">
        <v>0</v>
      </c>
      <c r="R4099" s="21" t="n">
        <v>0</v>
      </c>
      <c r="S4099" s="21" t="n">
        <v>0</v>
      </c>
      <c r="T4099" s="21" t="n">
        <v>0</v>
      </c>
      <c r="U4099" s="21" t="n">
        <v>0</v>
      </c>
      <c r="V4099" s="21" t="n">
        <v>0</v>
      </c>
      <c r="W4099" s="21" t="n">
        <v>0</v>
      </c>
      <c r="X4099" s="21" t="n">
        <v>0</v>
      </c>
      <c r="Y4099" s="21" t="n">
        <v>0</v>
      </c>
      <c r="Z4099" s="19" t="n"/>
    </row>
    <row r="4100">
      <c r="D4100" s="21" t="n">
        <v>0</v>
      </c>
      <c r="E4100" s="21" t="n">
        <v>0</v>
      </c>
      <c r="F4100" s="21">
        <f>$B$3625</f>
        <v/>
      </c>
      <c r="G4100" s="21">
        <f>$B$3627</f>
        <v/>
      </c>
      <c r="H4100" s="21">
        <f>0</f>
        <v/>
      </c>
      <c r="I4100" s="21">
        <f>2*$B$3626</f>
        <v/>
      </c>
      <c r="J4100" s="21">
        <f>-$B$3625</f>
        <v/>
      </c>
      <c r="K4100" s="21">
        <f>$B$3627</f>
        <v/>
      </c>
      <c r="L4100" s="21" t="n">
        <v>0</v>
      </c>
      <c r="M4100" s="21" t="n">
        <v>0</v>
      </c>
      <c r="N4100" s="21" t="n">
        <v>0</v>
      </c>
      <c r="O4100" s="21" t="n">
        <v>0</v>
      </c>
      <c r="P4100" s="21" t="n">
        <v>0</v>
      </c>
      <c r="Q4100" s="21" t="n">
        <v>0</v>
      </c>
      <c r="R4100" s="21" t="n">
        <v>0</v>
      </c>
      <c r="S4100" s="21" t="n">
        <v>0</v>
      </c>
      <c r="T4100" s="21" t="n">
        <v>0</v>
      </c>
      <c r="U4100" s="21" t="n">
        <v>0</v>
      </c>
      <c r="V4100" s="21" t="n">
        <v>0</v>
      </c>
      <c r="W4100" s="21" t="n">
        <v>0</v>
      </c>
      <c r="X4100" s="21" t="n">
        <v>0</v>
      </c>
      <c r="Y4100" s="21" t="n">
        <v>0</v>
      </c>
      <c r="Z4100" s="19" t="n"/>
    </row>
    <row r="4101">
      <c r="D4101" s="21" t="n">
        <v>0</v>
      </c>
      <c r="E4101" s="21" t="n">
        <v>0</v>
      </c>
      <c r="F4101" s="21" t="n">
        <v>0</v>
      </c>
      <c r="G4101" s="21" t="n">
        <v>0</v>
      </c>
      <c r="H4101" s="21">
        <f>-$B$3624</f>
        <v/>
      </c>
      <c r="I4101" s="21">
        <f>-$B$3625</f>
        <v/>
      </c>
      <c r="J4101" s="21">
        <f>2*$B$3624+$D$4086</f>
        <v/>
      </c>
      <c r="K4101" s="21">
        <f>0</f>
        <v/>
      </c>
      <c r="L4101" s="21">
        <f>-$B$3624</f>
        <v/>
      </c>
      <c r="M4101" s="21">
        <f>$B$3625</f>
        <v/>
      </c>
      <c r="N4101" s="21" t="n">
        <v>0</v>
      </c>
      <c r="O4101" s="21" t="n">
        <v>0</v>
      </c>
      <c r="P4101" s="21" t="n">
        <v>0</v>
      </c>
      <c r="Q4101" s="21" t="n">
        <v>0</v>
      </c>
      <c r="R4101" s="21" t="n">
        <v>0</v>
      </c>
      <c r="S4101" s="21" t="n">
        <v>0</v>
      </c>
      <c r="T4101" s="21" t="n">
        <v>0</v>
      </c>
      <c r="U4101" s="21" t="n">
        <v>0</v>
      </c>
      <c r="V4101" s="21" t="n">
        <v>0</v>
      </c>
      <c r="W4101" s="21" t="n">
        <v>0</v>
      </c>
      <c r="X4101" s="21" t="n">
        <v>0</v>
      </c>
      <c r="Y4101" s="21" t="n">
        <v>0</v>
      </c>
      <c r="Z4101" s="19" t="n"/>
    </row>
    <row r="4102">
      <c r="D4102" s="21" t="n">
        <v>0</v>
      </c>
      <c r="E4102" s="21" t="n">
        <v>0</v>
      </c>
      <c r="F4102" s="21" t="n">
        <v>0</v>
      </c>
      <c r="G4102" s="21" t="n">
        <v>0</v>
      </c>
      <c r="H4102" s="21">
        <f>$B$3625</f>
        <v/>
      </c>
      <c r="I4102" s="21">
        <f>$B$3627</f>
        <v/>
      </c>
      <c r="J4102" s="21">
        <f>0</f>
        <v/>
      </c>
      <c r="K4102" s="21">
        <f>2*$B$3626</f>
        <v/>
      </c>
      <c r="L4102" s="21">
        <f>-$B$3625</f>
        <v/>
      </c>
      <c r="M4102" s="21">
        <f>$B$3627</f>
        <v/>
      </c>
      <c r="N4102" s="21" t="n">
        <v>0</v>
      </c>
      <c r="O4102" s="21" t="n">
        <v>0</v>
      </c>
      <c r="P4102" s="21" t="n">
        <v>0</v>
      </c>
      <c r="Q4102" s="21" t="n">
        <v>0</v>
      </c>
      <c r="R4102" s="21" t="n">
        <v>0</v>
      </c>
      <c r="S4102" s="21" t="n">
        <v>0</v>
      </c>
      <c r="T4102" s="21" t="n">
        <v>0</v>
      </c>
      <c r="U4102" s="21" t="n">
        <v>0</v>
      </c>
      <c r="V4102" s="21" t="n">
        <v>0</v>
      </c>
      <c r="W4102" s="21" t="n">
        <v>0</v>
      </c>
      <c r="X4102" s="21" t="n">
        <v>0</v>
      </c>
      <c r="Y4102" s="21" t="n">
        <v>0</v>
      </c>
      <c r="Z4102" s="19" t="n"/>
    </row>
    <row r="4103">
      <c r="D4103" s="21" t="n">
        <v>0</v>
      </c>
      <c r="E4103" s="21" t="n">
        <v>0</v>
      </c>
      <c r="F4103" s="21" t="n">
        <v>0</v>
      </c>
      <c r="G4103" s="21" t="n">
        <v>0</v>
      </c>
      <c r="H4103" s="21" t="n">
        <v>0</v>
      </c>
      <c r="I4103" s="21" t="n">
        <v>0</v>
      </c>
      <c r="J4103" s="21">
        <f>-$B$3624</f>
        <v/>
      </c>
      <c r="K4103" s="21">
        <f>-$B$3625</f>
        <v/>
      </c>
      <c r="L4103" s="21">
        <f>2*$B$3624+$D$4087</f>
        <v/>
      </c>
      <c r="M4103" s="21">
        <f>0</f>
        <v/>
      </c>
      <c r="N4103" s="21">
        <f>-$B$3624</f>
        <v/>
      </c>
      <c r="O4103" s="21">
        <f>$B$3625</f>
        <v/>
      </c>
      <c r="P4103" s="21" t="n">
        <v>0</v>
      </c>
      <c r="Q4103" s="21" t="n">
        <v>0</v>
      </c>
      <c r="R4103" s="21" t="n">
        <v>0</v>
      </c>
      <c r="S4103" s="21" t="n">
        <v>0</v>
      </c>
      <c r="T4103" s="21" t="n">
        <v>0</v>
      </c>
      <c r="U4103" s="21" t="n">
        <v>0</v>
      </c>
      <c r="V4103" s="21" t="n">
        <v>0</v>
      </c>
      <c r="W4103" s="21" t="n">
        <v>0</v>
      </c>
      <c r="X4103" s="21" t="n">
        <v>0</v>
      </c>
      <c r="Y4103" s="21" t="n">
        <v>0</v>
      </c>
      <c r="Z4103" s="19" t="n"/>
    </row>
    <row r="4104">
      <c r="D4104" s="21" t="n">
        <v>0</v>
      </c>
      <c r="E4104" s="21" t="n">
        <v>0</v>
      </c>
      <c r="F4104" s="21" t="n">
        <v>0</v>
      </c>
      <c r="G4104" s="21" t="n">
        <v>0</v>
      </c>
      <c r="H4104" s="21" t="n">
        <v>0</v>
      </c>
      <c r="I4104" s="21" t="n">
        <v>0</v>
      </c>
      <c r="J4104" s="21">
        <f>$B$3625</f>
        <v/>
      </c>
      <c r="K4104" s="21">
        <f>$B$3627</f>
        <v/>
      </c>
      <c r="L4104" s="21">
        <f>0</f>
        <v/>
      </c>
      <c r="M4104" s="21">
        <f>2*$B$3626</f>
        <v/>
      </c>
      <c r="N4104" s="21">
        <f>-$B$3625</f>
        <v/>
      </c>
      <c r="O4104" s="21">
        <f>$B$3627</f>
        <v/>
      </c>
      <c r="P4104" s="21" t="n">
        <v>0</v>
      </c>
      <c r="Q4104" s="21" t="n">
        <v>0</v>
      </c>
      <c r="R4104" s="21" t="n">
        <v>0</v>
      </c>
      <c r="S4104" s="21" t="n">
        <v>0</v>
      </c>
      <c r="T4104" s="21" t="n">
        <v>0</v>
      </c>
      <c r="U4104" s="21" t="n">
        <v>0</v>
      </c>
      <c r="V4104" s="21" t="n">
        <v>0</v>
      </c>
      <c r="W4104" s="21" t="n">
        <v>0</v>
      </c>
      <c r="X4104" s="21" t="n">
        <v>0</v>
      </c>
      <c r="Y4104" s="21" t="n">
        <v>0</v>
      </c>
      <c r="Z4104" s="19" t="n"/>
    </row>
    <row r="4105">
      <c r="D4105" s="21" t="n">
        <v>0</v>
      </c>
      <c r="E4105" s="21" t="n">
        <v>0</v>
      </c>
      <c r="F4105" s="21" t="n">
        <v>0</v>
      </c>
      <c r="G4105" s="21" t="n">
        <v>0</v>
      </c>
      <c r="H4105" s="21" t="n">
        <v>0</v>
      </c>
      <c r="I4105" s="21" t="n">
        <v>0</v>
      </c>
      <c r="J4105" s="21" t="n">
        <v>0</v>
      </c>
      <c r="K4105" s="21" t="n">
        <v>0</v>
      </c>
      <c r="L4105" s="21">
        <f>-$B$3624</f>
        <v/>
      </c>
      <c r="M4105" s="21">
        <f>-$B$3625</f>
        <v/>
      </c>
      <c r="N4105" s="21">
        <f>2*$B$3624+$D$4088</f>
        <v/>
      </c>
      <c r="O4105" s="21">
        <f>0</f>
        <v/>
      </c>
      <c r="P4105" s="21">
        <f>-$B$3624</f>
        <v/>
      </c>
      <c r="Q4105" s="21">
        <f>$B$3625</f>
        <v/>
      </c>
      <c r="R4105" s="21" t="n">
        <v>0</v>
      </c>
      <c r="S4105" s="21" t="n">
        <v>0</v>
      </c>
      <c r="T4105" s="21" t="n">
        <v>0</v>
      </c>
      <c r="U4105" s="21" t="n">
        <v>0</v>
      </c>
      <c r="V4105" s="21" t="n">
        <v>0</v>
      </c>
      <c r="W4105" s="21" t="n">
        <v>0</v>
      </c>
      <c r="X4105" s="21" t="n">
        <v>0</v>
      </c>
      <c r="Y4105" s="21" t="n">
        <v>0</v>
      </c>
      <c r="Z4105" s="19" t="n"/>
    </row>
    <row r="4106">
      <c r="D4106" s="21" t="n">
        <v>0</v>
      </c>
      <c r="E4106" s="21" t="n">
        <v>0</v>
      </c>
      <c r="F4106" s="21" t="n">
        <v>0</v>
      </c>
      <c r="G4106" s="21" t="n">
        <v>0</v>
      </c>
      <c r="H4106" s="21" t="n">
        <v>0</v>
      </c>
      <c r="I4106" s="21" t="n">
        <v>0</v>
      </c>
      <c r="J4106" s="21" t="n">
        <v>0</v>
      </c>
      <c r="K4106" s="21" t="n">
        <v>0</v>
      </c>
      <c r="L4106" s="21">
        <f>$B$3625</f>
        <v/>
      </c>
      <c r="M4106" s="21">
        <f>$B$3627</f>
        <v/>
      </c>
      <c r="N4106" s="21">
        <f>0</f>
        <v/>
      </c>
      <c r="O4106" s="21">
        <f>2*$B$3626</f>
        <v/>
      </c>
      <c r="P4106" s="21">
        <f>-$B$3625</f>
        <v/>
      </c>
      <c r="Q4106" s="21">
        <f>$B$3627</f>
        <v/>
      </c>
      <c r="R4106" s="21" t="n">
        <v>0</v>
      </c>
      <c r="S4106" s="21" t="n">
        <v>0</v>
      </c>
      <c r="T4106" s="21" t="n">
        <v>0</v>
      </c>
      <c r="U4106" s="21" t="n">
        <v>0</v>
      </c>
      <c r="V4106" s="21" t="n">
        <v>0</v>
      </c>
      <c r="W4106" s="21" t="n">
        <v>0</v>
      </c>
      <c r="X4106" s="21" t="n">
        <v>0</v>
      </c>
      <c r="Y4106" s="21" t="n">
        <v>0</v>
      </c>
      <c r="Z4106" s="19" t="n"/>
    </row>
    <row r="4107">
      <c r="D4107" s="21" t="n">
        <v>0</v>
      </c>
      <c r="E4107" s="21" t="n">
        <v>0</v>
      </c>
      <c r="F4107" s="21" t="n">
        <v>0</v>
      </c>
      <c r="G4107" s="21" t="n">
        <v>0</v>
      </c>
      <c r="H4107" s="21" t="n">
        <v>0</v>
      </c>
      <c r="I4107" s="21" t="n">
        <v>0</v>
      </c>
      <c r="J4107" s="21" t="n">
        <v>0</v>
      </c>
      <c r="K4107" s="21" t="n">
        <v>0</v>
      </c>
      <c r="L4107" s="21" t="n">
        <v>0</v>
      </c>
      <c r="M4107" s="21" t="n">
        <v>0</v>
      </c>
      <c r="N4107" s="21">
        <f>-$B$3624</f>
        <v/>
      </c>
      <c r="O4107" s="21">
        <f>-$B$3625</f>
        <v/>
      </c>
      <c r="P4107" s="21">
        <f>2*$B$3624+$D$4089</f>
        <v/>
      </c>
      <c r="Q4107" s="21">
        <f>0</f>
        <v/>
      </c>
      <c r="R4107" s="21">
        <f>-$B$3624</f>
        <v/>
      </c>
      <c r="S4107" s="21">
        <f>$B$3625</f>
        <v/>
      </c>
      <c r="T4107" s="21" t="n">
        <v>0</v>
      </c>
      <c r="U4107" s="21" t="n">
        <v>0</v>
      </c>
      <c r="V4107" s="21" t="n">
        <v>0</v>
      </c>
      <c r="W4107" s="21" t="n">
        <v>0</v>
      </c>
      <c r="X4107" s="21" t="n">
        <v>0</v>
      </c>
      <c r="Y4107" s="21" t="n">
        <v>0</v>
      </c>
      <c r="Z4107" s="19" t="n"/>
    </row>
    <row r="4108">
      <c r="D4108" s="21" t="n">
        <v>0</v>
      </c>
      <c r="E4108" s="21" t="n">
        <v>0</v>
      </c>
      <c r="F4108" s="21" t="n">
        <v>0</v>
      </c>
      <c r="G4108" s="21" t="n">
        <v>0</v>
      </c>
      <c r="H4108" s="21" t="n">
        <v>0</v>
      </c>
      <c r="I4108" s="21" t="n">
        <v>0</v>
      </c>
      <c r="J4108" s="21" t="n">
        <v>0</v>
      </c>
      <c r="K4108" s="21" t="n">
        <v>0</v>
      </c>
      <c r="L4108" s="21" t="n">
        <v>0</v>
      </c>
      <c r="M4108" s="21" t="n">
        <v>0</v>
      </c>
      <c r="N4108" s="21">
        <f>$B$3625</f>
        <v/>
      </c>
      <c r="O4108" s="21">
        <f>$B$3627</f>
        <v/>
      </c>
      <c r="P4108" s="21">
        <f>0</f>
        <v/>
      </c>
      <c r="Q4108" s="21">
        <f>2*$B$3626</f>
        <v/>
      </c>
      <c r="R4108" s="21">
        <f>-$B$3625</f>
        <v/>
      </c>
      <c r="S4108" s="21">
        <f>$B$3627</f>
        <v/>
      </c>
      <c r="T4108" s="21" t="n">
        <v>0</v>
      </c>
      <c r="U4108" s="21" t="n">
        <v>0</v>
      </c>
      <c r="V4108" s="21" t="n">
        <v>0</v>
      </c>
      <c r="W4108" s="21" t="n">
        <v>0</v>
      </c>
      <c r="X4108" s="21" t="n">
        <v>0</v>
      </c>
      <c r="Y4108" s="21" t="n">
        <v>0</v>
      </c>
      <c r="Z4108" s="19" t="n"/>
    </row>
    <row r="4109">
      <c r="D4109" s="21" t="n">
        <v>0</v>
      </c>
      <c r="E4109" s="21" t="n">
        <v>0</v>
      </c>
      <c r="F4109" s="21" t="n">
        <v>0</v>
      </c>
      <c r="G4109" s="21" t="n">
        <v>0</v>
      </c>
      <c r="H4109" s="21" t="n">
        <v>0</v>
      </c>
      <c r="I4109" s="21" t="n">
        <v>0</v>
      </c>
      <c r="J4109" s="21" t="n">
        <v>0</v>
      </c>
      <c r="K4109" s="21" t="n">
        <v>0</v>
      </c>
      <c r="L4109" s="21" t="n">
        <v>0</v>
      </c>
      <c r="M4109" s="21" t="n">
        <v>0</v>
      </c>
      <c r="N4109" s="21" t="n">
        <v>0</v>
      </c>
      <c r="O4109" s="21" t="n">
        <v>0</v>
      </c>
      <c r="P4109" s="21">
        <f>-$B$3624</f>
        <v/>
      </c>
      <c r="Q4109" s="21">
        <f>-$B$3625</f>
        <v/>
      </c>
      <c r="R4109" s="21">
        <f>2*$B$3624+$D$4090</f>
        <v/>
      </c>
      <c r="S4109" s="21">
        <f>0</f>
        <v/>
      </c>
      <c r="T4109" s="21">
        <f>-$B$3624</f>
        <v/>
      </c>
      <c r="U4109" s="21">
        <f>$B$3625</f>
        <v/>
      </c>
      <c r="V4109" s="21" t="n">
        <v>0</v>
      </c>
      <c r="W4109" s="21" t="n">
        <v>0</v>
      </c>
      <c r="X4109" s="21" t="n">
        <v>0</v>
      </c>
      <c r="Y4109" s="21" t="n">
        <v>0</v>
      </c>
      <c r="Z4109" s="19" t="n"/>
    </row>
    <row r="4110">
      <c r="D4110" s="21" t="n">
        <v>0</v>
      </c>
      <c r="E4110" s="21" t="n">
        <v>0</v>
      </c>
      <c r="F4110" s="21" t="n">
        <v>0</v>
      </c>
      <c r="G4110" s="21" t="n">
        <v>0</v>
      </c>
      <c r="H4110" s="21" t="n">
        <v>0</v>
      </c>
      <c r="I4110" s="21" t="n">
        <v>0</v>
      </c>
      <c r="J4110" s="21" t="n">
        <v>0</v>
      </c>
      <c r="K4110" s="21" t="n">
        <v>0</v>
      </c>
      <c r="L4110" s="21" t="n">
        <v>0</v>
      </c>
      <c r="M4110" s="21" t="n">
        <v>0</v>
      </c>
      <c r="N4110" s="21" t="n">
        <v>0</v>
      </c>
      <c r="O4110" s="21" t="n">
        <v>0</v>
      </c>
      <c r="P4110" s="21">
        <f>$B$3625</f>
        <v/>
      </c>
      <c r="Q4110" s="21">
        <f>$B$3627</f>
        <v/>
      </c>
      <c r="R4110" s="21">
        <f>0</f>
        <v/>
      </c>
      <c r="S4110" s="21">
        <f>2*$B$3626</f>
        <v/>
      </c>
      <c r="T4110" s="21">
        <f>-$B$3625</f>
        <v/>
      </c>
      <c r="U4110" s="21">
        <f>$B$3627</f>
        <v/>
      </c>
      <c r="V4110" s="21" t="n">
        <v>0</v>
      </c>
      <c r="W4110" s="21" t="n">
        <v>0</v>
      </c>
      <c r="X4110" s="21" t="n">
        <v>0</v>
      </c>
      <c r="Y4110" s="21" t="n">
        <v>0</v>
      </c>
      <c r="Z4110" s="19" t="n"/>
    </row>
    <row r="4111">
      <c r="D4111" s="21" t="n">
        <v>0</v>
      </c>
      <c r="E4111" s="21" t="n">
        <v>0</v>
      </c>
      <c r="F4111" s="21" t="n">
        <v>0</v>
      </c>
      <c r="G4111" s="21" t="n">
        <v>0</v>
      </c>
      <c r="H4111" s="21" t="n">
        <v>0</v>
      </c>
      <c r="I4111" s="21" t="n">
        <v>0</v>
      </c>
      <c r="J4111" s="21" t="n">
        <v>0</v>
      </c>
      <c r="K4111" s="21" t="n">
        <v>0</v>
      </c>
      <c r="L4111" s="21" t="n">
        <v>0</v>
      </c>
      <c r="M4111" s="21" t="n">
        <v>0</v>
      </c>
      <c r="N4111" s="21" t="n">
        <v>0</v>
      </c>
      <c r="O4111" s="21" t="n">
        <v>0</v>
      </c>
      <c r="P4111" s="21" t="n">
        <v>0</v>
      </c>
      <c r="Q4111" s="21" t="n">
        <v>0</v>
      </c>
      <c r="R4111" s="21">
        <f>-$B$3624</f>
        <v/>
      </c>
      <c r="S4111" s="21">
        <f>-$B$3625</f>
        <v/>
      </c>
      <c r="T4111" s="21">
        <f>2*$B$3624+$D$4091</f>
        <v/>
      </c>
      <c r="U4111" s="21">
        <f>0</f>
        <v/>
      </c>
      <c r="V4111" s="21">
        <f>-$B$3624</f>
        <v/>
      </c>
      <c r="W4111" s="21">
        <f>$B$3625</f>
        <v/>
      </c>
      <c r="X4111" s="21" t="n">
        <v>0</v>
      </c>
      <c r="Y4111" s="21" t="n">
        <v>0</v>
      </c>
      <c r="Z4111" s="19" t="n"/>
    </row>
    <row r="4112">
      <c r="D4112" s="21" t="n">
        <v>0</v>
      </c>
      <c r="E4112" s="21" t="n">
        <v>0</v>
      </c>
      <c r="F4112" s="21" t="n">
        <v>0</v>
      </c>
      <c r="G4112" s="21" t="n">
        <v>0</v>
      </c>
      <c r="H4112" s="21" t="n">
        <v>0</v>
      </c>
      <c r="I4112" s="21" t="n">
        <v>0</v>
      </c>
      <c r="J4112" s="21" t="n">
        <v>0</v>
      </c>
      <c r="K4112" s="21" t="n">
        <v>0</v>
      </c>
      <c r="L4112" s="21" t="n">
        <v>0</v>
      </c>
      <c r="M4112" s="21" t="n">
        <v>0</v>
      </c>
      <c r="N4112" s="21" t="n">
        <v>0</v>
      </c>
      <c r="O4112" s="21" t="n">
        <v>0</v>
      </c>
      <c r="P4112" s="21" t="n">
        <v>0</v>
      </c>
      <c r="Q4112" s="21" t="n">
        <v>0</v>
      </c>
      <c r="R4112" s="21">
        <f>$B$3625</f>
        <v/>
      </c>
      <c r="S4112" s="21">
        <f>$B$3627</f>
        <v/>
      </c>
      <c r="T4112" s="21">
        <f>0</f>
        <v/>
      </c>
      <c r="U4112" s="21">
        <f>2*$B$3626</f>
        <v/>
      </c>
      <c r="V4112" s="21">
        <f>-$B$3625</f>
        <v/>
      </c>
      <c r="W4112" s="21">
        <f>$B$3627</f>
        <v/>
      </c>
      <c r="X4112" s="21" t="n">
        <v>0</v>
      </c>
      <c r="Y4112" s="21" t="n">
        <v>0</v>
      </c>
      <c r="Z4112" s="19" t="n"/>
    </row>
    <row r="4113">
      <c r="D4113" s="21" t="n">
        <v>0</v>
      </c>
      <c r="E4113" s="21" t="n">
        <v>0</v>
      </c>
      <c r="F4113" s="21" t="n">
        <v>0</v>
      </c>
      <c r="G4113" s="21" t="n">
        <v>0</v>
      </c>
      <c r="H4113" s="21" t="n">
        <v>0</v>
      </c>
      <c r="I4113" s="21" t="n">
        <v>0</v>
      </c>
      <c r="J4113" s="21" t="n">
        <v>0</v>
      </c>
      <c r="K4113" s="21" t="n">
        <v>0</v>
      </c>
      <c r="L4113" s="21" t="n">
        <v>0</v>
      </c>
      <c r="M4113" s="21" t="n">
        <v>0</v>
      </c>
      <c r="N4113" s="21" t="n">
        <v>0</v>
      </c>
      <c r="O4113" s="21" t="n">
        <v>0</v>
      </c>
      <c r="P4113" s="21" t="n">
        <v>0</v>
      </c>
      <c r="Q4113" s="21" t="n">
        <v>0</v>
      </c>
      <c r="R4113" s="21" t="n">
        <v>0</v>
      </c>
      <c r="S4113" s="21" t="n">
        <v>0</v>
      </c>
      <c r="T4113" s="21">
        <f>-$B$3624</f>
        <v/>
      </c>
      <c r="U4113" s="21">
        <f>-$B$3625</f>
        <v/>
      </c>
      <c r="V4113" s="21">
        <f>2*$B$3624+$D$4092</f>
        <v/>
      </c>
      <c r="W4113" s="21">
        <f>0</f>
        <v/>
      </c>
      <c r="X4113" s="21">
        <f>-$B$3624</f>
        <v/>
      </c>
      <c r="Y4113" s="21">
        <f>$B$3625</f>
        <v/>
      </c>
      <c r="Z4113" s="19" t="n"/>
    </row>
    <row r="4114">
      <c r="D4114" s="21" t="n">
        <v>0</v>
      </c>
      <c r="E4114" s="21" t="n">
        <v>0</v>
      </c>
      <c r="F4114" s="21" t="n">
        <v>0</v>
      </c>
      <c r="G4114" s="21" t="n">
        <v>0</v>
      </c>
      <c r="H4114" s="21" t="n">
        <v>0</v>
      </c>
      <c r="I4114" s="21" t="n">
        <v>0</v>
      </c>
      <c r="J4114" s="21" t="n">
        <v>0</v>
      </c>
      <c r="K4114" s="21" t="n">
        <v>0</v>
      </c>
      <c r="L4114" s="21" t="n">
        <v>0</v>
      </c>
      <c r="M4114" s="21" t="n">
        <v>0</v>
      </c>
      <c r="N4114" s="21" t="n">
        <v>0</v>
      </c>
      <c r="O4114" s="21" t="n">
        <v>0</v>
      </c>
      <c r="P4114" s="21" t="n">
        <v>0</v>
      </c>
      <c r="Q4114" s="21" t="n">
        <v>0</v>
      </c>
      <c r="R4114" s="21" t="n">
        <v>0</v>
      </c>
      <c r="S4114" s="21" t="n">
        <v>0</v>
      </c>
      <c r="T4114" s="21">
        <f>$B$3625</f>
        <v/>
      </c>
      <c r="U4114" s="21">
        <f>$B$3627</f>
        <v/>
      </c>
      <c r="V4114" s="21">
        <f>0</f>
        <v/>
      </c>
      <c r="W4114" s="21">
        <f>2*$B$3626</f>
        <v/>
      </c>
      <c r="X4114" s="21">
        <f>-$B$3625</f>
        <v/>
      </c>
      <c r="Y4114" s="21">
        <f>$B$3627</f>
        <v/>
      </c>
      <c r="Z4114" s="19" t="n"/>
    </row>
    <row r="4115">
      <c r="D4115" s="21" t="n">
        <v>0</v>
      </c>
      <c r="E4115" s="21" t="n">
        <v>0</v>
      </c>
      <c r="F4115" s="21" t="n">
        <v>0</v>
      </c>
      <c r="G4115" s="21" t="n">
        <v>0</v>
      </c>
      <c r="H4115" s="21" t="n">
        <v>0</v>
      </c>
      <c r="I4115" s="21" t="n">
        <v>0</v>
      </c>
      <c r="J4115" s="21" t="n">
        <v>0</v>
      </c>
      <c r="K4115" s="21" t="n">
        <v>0</v>
      </c>
      <c r="L4115" s="21" t="n">
        <v>0</v>
      </c>
      <c r="M4115" s="21" t="n">
        <v>0</v>
      </c>
      <c r="N4115" s="21" t="n">
        <v>0</v>
      </c>
      <c r="O4115" s="21" t="n">
        <v>0</v>
      </c>
      <c r="P4115" s="21" t="n">
        <v>0</v>
      </c>
      <c r="Q4115" s="21" t="n">
        <v>0</v>
      </c>
      <c r="R4115" s="21" t="n">
        <v>0</v>
      </c>
      <c r="S4115" s="21" t="n">
        <v>0</v>
      </c>
      <c r="T4115" s="21" t="n">
        <v>0</v>
      </c>
      <c r="U4115" s="21" t="n">
        <v>0</v>
      </c>
      <c r="V4115" s="21">
        <f>-$B$3624</f>
        <v/>
      </c>
      <c r="W4115" s="21">
        <f>-$B$3625</f>
        <v/>
      </c>
      <c r="X4115" s="21">
        <f>$B$3624+$D$4093</f>
        <v/>
      </c>
      <c r="Y4115" s="21">
        <f>-$B$3625</f>
        <v/>
      </c>
      <c r="Z4115" s="19" t="n"/>
    </row>
    <row r="4116">
      <c r="D4116" s="21" t="n">
        <v>0</v>
      </c>
      <c r="E4116" s="21" t="n">
        <v>0</v>
      </c>
      <c r="F4116" s="21" t="n">
        <v>0</v>
      </c>
      <c r="G4116" s="21" t="n">
        <v>0</v>
      </c>
      <c r="H4116" s="21" t="n">
        <v>0</v>
      </c>
      <c r="I4116" s="21" t="n">
        <v>0</v>
      </c>
      <c r="J4116" s="21" t="n">
        <v>0</v>
      </c>
      <c r="K4116" s="21" t="n">
        <v>0</v>
      </c>
      <c r="L4116" s="21" t="n">
        <v>0</v>
      </c>
      <c r="M4116" s="21" t="n">
        <v>0</v>
      </c>
      <c r="N4116" s="21" t="n">
        <v>0</v>
      </c>
      <c r="O4116" s="21" t="n">
        <v>0</v>
      </c>
      <c r="P4116" s="21" t="n">
        <v>0</v>
      </c>
      <c r="Q4116" s="21" t="n">
        <v>0</v>
      </c>
      <c r="R4116" s="21" t="n">
        <v>0</v>
      </c>
      <c r="S4116" s="21" t="n">
        <v>0</v>
      </c>
      <c r="T4116" s="21" t="n">
        <v>0</v>
      </c>
      <c r="U4116" s="21" t="n">
        <v>0</v>
      </c>
      <c r="V4116" s="21">
        <f>$B$3625</f>
        <v/>
      </c>
      <c r="W4116" s="21">
        <f>$B$3627</f>
        <v/>
      </c>
      <c r="X4116" s="21">
        <f>-$B$3625</f>
        <v/>
      </c>
      <c r="Y4116" s="21">
        <f>$B$3626</f>
        <v/>
      </c>
      <c r="Z4116" s="19" t="n"/>
    </row>
    <row r="4118">
      <c r="A4118" s="8" t="inlineStr">
        <is>
          <t>gen 13</t>
        </is>
      </c>
    </row>
    <row r="4119">
      <c r="D4119" s="19">
        <f>IF(ABS(IF(ABS($E$4083)&gt;0.000000001,$E$4083,0.000000001))=0,0,IF($E$3639&lt;=$B$3633,0,IF(ABS(IF(ABS($E$4083)&gt;0.000000001,$E$4083,0.000000001))&gt;=8*$B$3635,$H$3639,0.5*$H$3639*(ABS(IF(ABS($E$4083)&gt;0.000000001,$E$4083,0.000000001))/$B$3635)^(1/3)))/ABS(IF(ABS($E$4083)&gt;0.000000001,$E$4083,0.000000001))*$I$3639)</f>
        <v/>
      </c>
      <c r="E4119" s="19">
        <f>0.5*$E$4083+0.5*$Z$4131</f>
        <v/>
      </c>
      <c r="F4119" s="19">
        <f>$Z$4132</f>
        <v/>
      </c>
    </row>
    <row r="4120">
      <c r="D4120" s="19">
        <f>IF(ABS(IF(ABS($E$4084)&gt;0.000000001,$E$4084,0.000000001))=0,0,IF($E$3640&lt;=$B$3633,0,IF(ABS(IF(ABS($E$4084)&gt;0.000000001,$E$4084,0.000000001))&gt;=8*$B$3635,$H$3640,0.5*$H$3640*(ABS(IF(ABS($E$4084)&gt;0.000000001,$E$4084,0.000000001))/$B$3635)^(1/3)))/ABS(IF(ABS($E$4084)&gt;0.000000001,$E$4084,0.000000001))*$I$3640)</f>
        <v/>
      </c>
      <c r="E4120" s="19">
        <f>0.5*$E$4084+0.5*$Z$4133</f>
        <v/>
      </c>
      <c r="F4120" s="19">
        <f>$Z$4134</f>
        <v/>
      </c>
    </row>
    <row r="4121">
      <c r="D4121" s="19">
        <f>IF(ABS(IF(ABS($E$4085)&gt;0.000000001,$E$4085,0.000000001))=0,0,IF($E$3641&lt;=$B$3633,0,IF(ABS(IF(ABS($E$4085)&gt;0.000000001,$E$4085,0.000000001))&gt;=8*$B$3635,$H$3641,0.5*$H$3641*(ABS(IF(ABS($E$4085)&gt;0.000000001,$E$4085,0.000000001))/$B$3635)^(1/3)))/ABS(IF(ABS($E$4085)&gt;0.000000001,$E$4085,0.000000001))*$I$3641)</f>
        <v/>
      </c>
      <c r="E4121" s="19">
        <f>0.5*$E$4085+0.5*$Z$4135</f>
        <v/>
      </c>
      <c r="F4121" s="19">
        <f>$Z$4136</f>
        <v/>
      </c>
    </row>
    <row r="4122">
      <c r="D4122" s="19">
        <f>IF(ABS(IF(ABS($E$4086)&gt;0.000000001,$E$4086,0.000000001))=0,0,IF($E$3642&lt;=$B$3633,0,IF(ABS(IF(ABS($E$4086)&gt;0.000000001,$E$4086,0.000000001))&gt;=8*$B$3635,$H$3642,0.5*$H$3642*(ABS(IF(ABS($E$4086)&gt;0.000000001,$E$4086,0.000000001))/$B$3635)^(1/3)))/ABS(IF(ABS($E$4086)&gt;0.000000001,$E$4086,0.000000001))*$I$3642)</f>
        <v/>
      </c>
      <c r="E4122" s="19">
        <f>0.5*$E$4086+0.5*$Z$4137</f>
        <v/>
      </c>
      <c r="F4122" s="19">
        <f>$Z$4138</f>
        <v/>
      </c>
    </row>
    <row r="4123">
      <c r="D4123" s="19">
        <f>IF(ABS(IF(ABS($E$4087)&gt;0.000000001,$E$4087,0.000000001))=0,0,IF($E$3643&lt;=$B$3633,0,IF(ABS(IF(ABS($E$4087)&gt;0.000000001,$E$4087,0.000000001))&gt;=8*$B$3635,$H$3643,0.5*$H$3643*(ABS(IF(ABS($E$4087)&gt;0.000000001,$E$4087,0.000000001))/$B$3635)^(1/3)))/ABS(IF(ABS($E$4087)&gt;0.000000001,$E$4087,0.000000001))*$I$3643)</f>
        <v/>
      </c>
      <c r="E4123" s="19">
        <f>0.5*$E$4087+0.5*$Z$4139</f>
        <v/>
      </c>
      <c r="F4123" s="19">
        <f>$Z$4140</f>
        <v/>
      </c>
    </row>
    <row r="4124">
      <c r="D4124" s="19">
        <f>IF(ABS(IF(ABS($E$4088)&gt;0.000000001,$E$4088,0.000000001))=0,0,IF($E$3644&lt;=$B$3633,0,IF(ABS(IF(ABS($E$4088)&gt;0.000000001,$E$4088,0.000000001))&gt;=8*$B$3635,$H$3644,0.5*$H$3644*(ABS(IF(ABS($E$4088)&gt;0.000000001,$E$4088,0.000000001))/$B$3635)^(1/3)))/ABS(IF(ABS($E$4088)&gt;0.000000001,$E$4088,0.000000001))*$I$3644)</f>
        <v/>
      </c>
      <c r="E4124" s="19">
        <f>0.5*$E$4088+0.5*$Z$4141</f>
        <v/>
      </c>
      <c r="F4124" s="19">
        <f>$Z$4142</f>
        <v/>
      </c>
    </row>
    <row r="4125">
      <c r="D4125" s="19">
        <f>IF(ABS(IF(ABS($E$4089)&gt;0.000000001,$E$4089,0.000000001))=0,0,IF($E$3645&lt;=$B$3633,0,IF(ABS(IF(ABS($E$4089)&gt;0.000000001,$E$4089,0.000000001))&gt;=8*$B$3635,$H$3645,0.5*$H$3645*(ABS(IF(ABS($E$4089)&gt;0.000000001,$E$4089,0.000000001))/$B$3635)^(1/3)))/ABS(IF(ABS($E$4089)&gt;0.000000001,$E$4089,0.000000001))*$I$3645)</f>
        <v/>
      </c>
      <c r="E4125" s="19">
        <f>0.5*$E$4089+0.5*$Z$4143</f>
        <v/>
      </c>
      <c r="F4125" s="19">
        <f>$Z$4144</f>
        <v/>
      </c>
    </row>
    <row r="4126">
      <c r="D4126" s="19">
        <f>IF(ABS(IF(ABS($E$4090)&gt;0.000000001,$E$4090,0.000000001))=0,0,IF($E$3646&lt;=$B$3633,0,IF(ABS(IF(ABS($E$4090)&gt;0.000000001,$E$4090,0.000000001))&gt;=8*$B$3635,$H$3646,0.5*$H$3646*(ABS(IF(ABS($E$4090)&gt;0.000000001,$E$4090,0.000000001))/$B$3635)^(1/3)))/ABS(IF(ABS($E$4090)&gt;0.000000001,$E$4090,0.000000001))*$I$3646)</f>
        <v/>
      </c>
      <c r="E4126" s="19">
        <f>0.5*$E$4090+0.5*$Z$4145</f>
        <v/>
      </c>
      <c r="F4126" s="19">
        <f>$Z$4146</f>
        <v/>
      </c>
    </row>
    <row r="4127">
      <c r="D4127" s="19">
        <f>IF(ABS(IF(ABS($E$4091)&gt;0.000000001,$E$4091,0.000000001))=0,0,IF($E$3647&lt;=$B$3633,0,IF(ABS(IF(ABS($E$4091)&gt;0.000000001,$E$4091,0.000000001))&gt;=8*$B$3635,$H$3647,0.5*$H$3647*(ABS(IF(ABS($E$4091)&gt;0.000000001,$E$4091,0.000000001))/$B$3635)^(1/3)))/ABS(IF(ABS($E$4091)&gt;0.000000001,$E$4091,0.000000001))*$I$3647)</f>
        <v/>
      </c>
      <c r="E4127" s="19">
        <f>0.5*$E$4091+0.5*$Z$4147</f>
        <v/>
      </c>
      <c r="F4127" s="19">
        <f>$Z$4148</f>
        <v/>
      </c>
    </row>
    <row r="4128">
      <c r="D4128" s="19">
        <f>IF(ABS(IF(ABS($E$4092)&gt;0.000000001,$E$4092,0.000000001))=0,0,IF($E$3648&lt;=$B$3633,0,IF(ABS(IF(ABS($E$4092)&gt;0.000000001,$E$4092,0.000000001))&gt;=8*$B$3635,$H$3648,0.5*$H$3648*(ABS(IF(ABS($E$4092)&gt;0.000000001,$E$4092,0.000000001))/$B$3635)^(1/3)))/ABS(IF(ABS($E$4092)&gt;0.000000001,$E$4092,0.000000001))*$I$3648)</f>
        <v/>
      </c>
      <c r="E4128" s="19">
        <f>0.5*$E$4092+0.5*$Z$4149</f>
        <v/>
      </c>
      <c r="F4128" s="19">
        <f>$Z$4150</f>
        <v/>
      </c>
    </row>
    <row r="4129">
      <c r="D4129" s="19">
        <f>IF(ABS(IF(ABS($E$4093)&gt;0.000000001,$E$4093,0.000000001))=0,0,IF($E$3649&lt;=$B$3633,0,IF(ABS(IF(ABS($E$4093)&gt;0.000000001,$E$4093,0.000000001))&gt;=8*$B$3635,$H$3649,0.5*$H$3649*(ABS(IF(ABS($E$4093)&gt;0.000000001,$E$4093,0.000000001))/$B$3635)^(1/3)))/ABS(IF(ABS($E$4093)&gt;0.000000001,$E$4093,0.000000001))*$I$3649)</f>
        <v/>
      </c>
      <c r="E4129" s="19">
        <f>0.5*$E$4093+0.5*$Z$4151</f>
        <v/>
      </c>
      <c r="F4129" s="19">
        <f>$Z$4152</f>
        <v/>
      </c>
    </row>
    <row r="4131">
      <c r="D4131" s="21">
        <f>$B$3624+$D$4119</f>
        <v/>
      </c>
      <c r="E4131" s="21">
        <f>$B$3625</f>
        <v/>
      </c>
      <c r="F4131" s="21">
        <f>-$B$3624</f>
        <v/>
      </c>
      <c r="G4131" s="21">
        <f>$B$3625</f>
        <v/>
      </c>
      <c r="H4131" s="21" t="n">
        <v>0</v>
      </c>
      <c r="I4131" s="21" t="n">
        <v>0</v>
      </c>
      <c r="J4131" s="21" t="n">
        <v>0</v>
      </c>
      <c r="K4131" s="21" t="n">
        <v>0</v>
      </c>
      <c r="L4131" s="21" t="n">
        <v>0</v>
      </c>
      <c r="M4131" s="21" t="n">
        <v>0</v>
      </c>
      <c r="N4131" s="21" t="n">
        <v>0</v>
      </c>
      <c r="O4131" s="21" t="n">
        <v>0</v>
      </c>
      <c r="P4131" s="21" t="n">
        <v>0</v>
      </c>
      <c r="Q4131" s="21" t="n">
        <v>0</v>
      </c>
      <c r="R4131" s="21" t="n">
        <v>0</v>
      </c>
      <c r="S4131" s="21" t="n">
        <v>0</v>
      </c>
      <c r="T4131" s="21" t="n">
        <v>0</v>
      </c>
      <c r="U4131" s="21" t="n">
        <v>0</v>
      </c>
      <c r="V4131" s="21" t="n">
        <v>0</v>
      </c>
      <c r="W4131" s="21" t="n">
        <v>0</v>
      </c>
      <c r="X4131" s="21" t="n">
        <v>0</v>
      </c>
      <c r="Y4131" s="21" t="n">
        <v>0</v>
      </c>
      <c r="Z4131" s="19">
        <f t="array" ref="Z4131:Z4152">MMULT(MINVERSE($D$4131:$Y$4152),$D$3651:$D$3672)</f>
        <v/>
      </c>
    </row>
    <row r="4132">
      <c r="D4132" s="21">
        <f>$B$3625</f>
        <v/>
      </c>
      <c r="E4132" s="21">
        <f>$B$3626</f>
        <v/>
      </c>
      <c r="F4132" s="21">
        <f>-$B$3625</f>
        <v/>
      </c>
      <c r="G4132" s="21">
        <f>$B$3627</f>
        <v/>
      </c>
      <c r="H4132" s="21" t="n">
        <v>0</v>
      </c>
      <c r="I4132" s="21" t="n">
        <v>0</v>
      </c>
      <c r="J4132" s="21" t="n">
        <v>0</v>
      </c>
      <c r="K4132" s="21" t="n">
        <v>0</v>
      </c>
      <c r="L4132" s="21" t="n">
        <v>0</v>
      </c>
      <c r="M4132" s="21" t="n">
        <v>0</v>
      </c>
      <c r="N4132" s="21" t="n">
        <v>0</v>
      </c>
      <c r="O4132" s="21" t="n">
        <v>0</v>
      </c>
      <c r="P4132" s="21" t="n">
        <v>0</v>
      </c>
      <c r="Q4132" s="21" t="n">
        <v>0</v>
      </c>
      <c r="R4132" s="21" t="n">
        <v>0</v>
      </c>
      <c r="S4132" s="21" t="n">
        <v>0</v>
      </c>
      <c r="T4132" s="21" t="n">
        <v>0</v>
      </c>
      <c r="U4132" s="21" t="n">
        <v>0</v>
      </c>
      <c r="V4132" s="21" t="n">
        <v>0</v>
      </c>
      <c r="W4132" s="21" t="n">
        <v>0</v>
      </c>
      <c r="X4132" s="21" t="n">
        <v>0</v>
      </c>
      <c r="Y4132" s="21" t="n">
        <v>0</v>
      </c>
      <c r="Z4132" s="19" t="n"/>
    </row>
    <row r="4133">
      <c r="D4133" s="21">
        <f>-$B$3624</f>
        <v/>
      </c>
      <c r="E4133" s="21">
        <f>-$B$3625</f>
        <v/>
      </c>
      <c r="F4133" s="21">
        <f>2*$B$3624+$D$4120</f>
        <v/>
      </c>
      <c r="G4133" s="21">
        <f>0</f>
        <v/>
      </c>
      <c r="H4133" s="21">
        <f>-$B$3624</f>
        <v/>
      </c>
      <c r="I4133" s="21">
        <f>$B$3625</f>
        <v/>
      </c>
      <c r="J4133" s="21" t="n">
        <v>0</v>
      </c>
      <c r="K4133" s="21" t="n">
        <v>0</v>
      </c>
      <c r="L4133" s="21" t="n">
        <v>0</v>
      </c>
      <c r="M4133" s="21" t="n">
        <v>0</v>
      </c>
      <c r="N4133" s="21" t="n">
        <v>0</v>
      </c>
      <c r="O4133" s="21" t="n">
        <v>0</v>
      </c>
      <c r="P4133" s="21" t="n">
        <v>0</v>
      </c>
      <c r="Q4133" s="21" t="n">
        <v>0</v>
      </c>
      <c r="R4133" s="21" t="n">
        <v>0</v>
      </c>
      <c r="S4133" s="21" t="n">
        <v>0</v>
      </c>
      <c r="T4133" s="21" t="n">
        <v>0</v>
      </c>
      <c r="U4133" s="21" t="n">
        <v>0</v>
      </c>
      <c r="V4133" s="21" t="n">
        <v>0</v>
      </c>
      <c r="W4133" s="21" t="n">
        <v>0</v>
      </c>
      <c r="X4133" s="21" t="n">
        <v>0</v>
      </c>
      <c r="Y4133" s="21" t="n">
        <v>0</v>
      </c>
      <c r="Z4133" s="19" t="n"/>
    </row>
    <row r="4134">
      <c r="D4134" s="21">
        <f>$B$3625</f>
        <v/>
      </c>
      <c r="E4134" s="21">
        <f>$B$3627</f>
        <v/>
      </c>
      <c r="F4134" s="21">
        <f>0</f>
        <v/>
      </c>
      <c r="G4134" s="21">
        <f>2*$B$3626</f>
        <v/>
      </c>
      <c r="H4134" s="21">
        <f>-$B$3625</f>
        <v/>
      </c>
      <c r="I4134" s="21">
        <f>$B$3627</f>
        <v/>
      </c>
      <c r="J4134" s="21" t="n">
        <v>0</v>
      </c>
      <c r="K4134" s="21" t="n">
        <v>0</v>
      </c>
      <c r="L4134" s="21" t="n">
        <v>0</v>
      </c>
      <c r="M4134" s="21" t="n">
        <v>0</v>
      </c>
      <c r="N4134" s="21" t="n">
        <v>0</v>
      </c>
      <c r="O4134" s="21" t="n">
        <v>0</v>
      </c>
      <c r="P4134" s="21" t="n">
        <v>0</v>
      </c>
      <c r="Q4134" s="21" t="n">
        <v>0</v>
      </c>
      <c r="R4134" s="21" t="n">
        <v>0</v>
      </c>
      <c r="S4134" s="21" t="n">
        <v>0</v>
      </c>
      <c r="T4134" s="21" t="n">
        <v>0</v>
      </c>
      <c r="U4134" s="21" t="n">
        <v>0</v>
      </c>
      <c r="V4134" s="21" t="n">
        <v>0</v>
      </c>
      <c r="W4134" s="21" t="n">
        <v>0</v>
      </c>
      <c r="X4134" s="21" t="n">
        <v>0</v>
      </c>
      <c r="Y4134" s="21" t="n">
        <v>0</v>
      </c>
      <c r="Z4134" s="19" t="n"/>
    </row>
    <row r="4135">
      <c r="D4135" s="21" t="n">
        <v>0</v>
      </c>
      <c r="E4135" s="21" t="n">
        <v>0</v>
      </c>
      <c r="F4135" s="21">
        <f>-$B$3624</f>
        <v/>
      </c>
      <c r="G4135" s="21">
        <f>-$B$3625</f>
        <v/>
      </c>
      <c r="H4135" s="21">
        <f>2*$B$3624+$D$4121</f>
        <v/>
      </c>
      <c r="I4135" s="21">
        <f>0</f>
        <v/>
      </c>
      <c r="J4135" s="21">
        <f>-$B$3624</f>
        <v/>
      </c>
      <c r="K4135" s="21">
        <f>$B$3625</f>
        <v/>
      </c>
      <c r="L4135" s="21" t="n">
        <v>0</v>
      </c>
      <c r="M4135" s="21" t="n">
        <v>0</v>
      </c>
      <c r="N4135" s="21" t="n">
        <v>0</v>
      </c>
      <c r="O4135" s="21" t="n">
        <v>0</v>
      </c>
      <c r="P4135" s="21" t="n">
        <v>0</v>
      </c>
      <c r="Q4135" s="21" t="n">
        <v>0</v>
      </c>
      <c r="R4135" s="21" t="n">
        <v>0</v>
      </c>
      <c r="S4135" s="21" t="n">
        <v>0</v>
      </c>
      <c r="T4135" s="21" t="n">
        <v>0</v>
      </c>
      <c r="U4135" s="21" t="n">
        <v>0</v>
      </c>
      <c r="V4135" s="21" t="n">
        <v>0</v>
      </c>
      <c r="W4135" s="21" t="n">
        <v>0</v>
      </c>
      <c r="X4135" s="21" t="n">
        <v>0</v>
      </c>
      <c r="Y4135" s="21" t="n">
        <v>0</v>
      </c>
      <c r="Z4135" s="19" t="n"/>
    </row>
    <row r="4136">
      <c r="D4136" s="21" t="n">
        <v>0</v>
      </c>
      <c r="E4136" s="21" t="n">
        <v>0</v>
      </c>
      <c r="F4136" s="21">
        <f>$B$3625</f>
        <v/>
      </c>
      <c r="G4136" s="21">
        <f>$B$3627</f>
        <v/>
      </c>
      <c r="H4136" s="21">
        <f>0</f>
        <v/>
      </c>
      <c r="I4136" s="21">
        <f>2*$B$3626</f>
        <v/>
      </c>
      <c r="J4136" s="21">
        <f>-$B$3625</f>
        <v/>
      </c>
      <c r="K4136" s="21">
        <f>$B$3627</f>
        <v/>
      </c>
      <c r="L4136" s="21" t="n">
        <v>0</v>
      </c>
      <c r="M4136" s="21" t="n">
        <v>0</v>
      </c>
      <c r="N4136" s="21" t="n">
        <v>0</v>
      </c>
      <c r="O4136" s="21" t="n">
        <v>0</v>
      </c>
      <c r="P4136" s="21" t="n">
        <v>0</v>
      </c>
      <c r="Q4136" s="21" t="n">
        <v>0</v>
      </c>
      <c r="R4136" s="21" t="n">
        <v>0</v>
      </c>
      <c r="S4136" s="21" t="n">
        <v>0</v>
      </c>
      <c r="T4136" s="21" t="n">
        <v>0</v>
      </c>
      <c r="U4136" s="21" t="n">
        <v>0</v>
      </c>
      <c r="V4136" s="21" t="n">
        <v>0</v>
      </c>
      <c r="W4136" s="21" t="n">
        <v>0</v>
      </c>
      <c r="X4136" s="21" t="n">
        <v>0</v>
      </c>
      <c r="Y4136" s="21" t="n">
        <v>0</v>
      </c>
      <c r="Z4136" s="19" t="n"/>
    </row>
    <row r="4137">
      <c r="D4137" s="21" t="n">
        <v>0</v>
      </c>
      <c r="E4137" s="21" t="n">
        <v>0</v>
      </c>
      <c r="F4137" s="21" t="n">
        <v>0</v>
      </c>
      <c r="G4137" s="21" t="n">
        <v>0</v>
      </c>
      <c r="H4137" s="21">
        <f>-$B$3624</f>
        <v/>
      </c>
      <c r="I4137" s="21">
        <f>-$B$3625</f>
        <v/>
      </c>
      <c r="J4137" s="21">
        <f>2*$B$3624+$D$4122</f>
        <v/>
      </c>
      <c r="K4137" s="21">
        <f>0</f>
        <v/>
      </c>
      <c r="L4137" s="21">
        <f>-$B$3624</f>
        <v/>
      </c>
      <c r="M4137" s="21">
        <f>$B$3625</f>
        <v/>
      </c>
      <c r="N4137" s="21" t="n">
        <v>0</v>
      </c>
      <c r="O4137" s="21" t="n">
        <v>0</v>
      </c>
      <c r="P4137" s="21" t="n">
        <v>0</v>
      </c>
      <c r="Q4137" s="21" t="n">
        <v>0</v>
      </c>
      <c r="R4137" s="21" t="n">
        <v>0</v>
      </c>
      <c r="S4137" s="21" t="n">
        <v>0</v>
      </c>
      <c r="T4137" s="21" t="n">
        <v>0</v>
      </c>
      <c r="U4137" s="21" t="n">
        <v>0</v>
      </c>
      <c r="V4137" s="21" t="n">
        <v>0</v>
      </c>
      <c r="W4137" s="21" t="n">
        <v>0</v>
      </c>
      <c r="X4137" s="21" t="n">
        <v>0</v>
      </c>
      <c r="Y4137" s="21" t="n">
        <v>0</v>
      </c>
      <c r="Z4137" s="19" t="n"/>
    </row>
    <row r="4138">
      <c r="D4138" s="21" t="n">
        <v>0</v>
      </c>
      <c r="E4138" s="21" t="n">
        <v>0</v>
      </c>
      <c r="F4138" s="21" t="n">
        <v>0</v>
      </c>
      <c r="G4138" s="21" t="n">
        <v>0</v>
      </c>
      <c r="H4138" s="21">
        <f>$B$3625</f>
        <v/>
      </c>
      <c r="I4138" s="21">
        <f>$B$3627</f>
        <v/>
      </c>
      <c r="J4138" s="21">
        <f>0</f>
        <v/>
      </c>
      <c r="K4138" s="21">
        <f>2*$B$3626</f>
        <v/>
      </c>
      <c r="L4138" s="21">
        <f>-$B$3625</f>
        <v/>
      </c>
      <c r="M4138" s="21">
        <f>$B$3627</f>
        <v/>
      </c>
      <c r="N4138" s="21" t="n">
        <v>0</v>
      </c>
      <c r="O4138" s="21" t="n">
        <v>0</v>
      </c>
      <c r="P4138" s="21" t="n">
        <v>0</v>
      </c>
      <c r="Q4138" s="21" t="n">
        <v>0</v>
      </c>
      <c r="R4138" s="21" t="n">
        <v>0</v>
      </c>
      <c r="S4138" s="21" t="n">
        <v>0</v>
      </c>
      <c r="T4138" s="21" t="n">
        <v>0</v>
      </c>
      <c r="U4138" s="21" t="n">
        <v>0</v>
      </c>
      <c r="V4138" s="21" t="n">
        <v>0</v>
      </c>
      <c r="W4138" s="21" t="n">
        <v>0</v>
      </c>
      <c r="X4138" s="21" t="n">
        <v>0</v>
      </c>
      <c r="Y4138" s="21" t="n">
        <v>0</v>
      </c>
      <c r="Z4138" s="19" t="n"/>
    </row>
    <row r="4139">
      <c r="D4139" s="21" t="n">
        <v>0</v>
      </c>
      <c r="E4139" s="21" t="n">
        <v>0</v>
      </c>
      <c r="F4139" s="21" t="n">
        <v>0</v>
      </c>
      <c r="G4139" s="21" t="n">
        <v>0</v>
      </c>
      <c r="H4139" s="21" t="n">
        <v>0</v>
      </c>
      <c r="I4139" s="21" t="n">
        <v>0</v>
      </c>
      <c r="J4139" s="21">
        <f>-$B$3624</f>
        <v/>
      </c>
      <c r="K4139" s="21">
        <f>-$B$3625</f>
        <v/>
      </c>
      <c r="L4139" s="21">
        <f>2*$B$3624+$D$4123</f>
        <v/>
      </c>
      <c r="M4139" s="21">
        <f>0</f>
        <v/>
      </c>
      <c r="N4139" s="21">
        <f>-$B$3624</f>
        <v/>
      </c>
      <c r="O4139" s="21">
        <f>$B$3625</f>
        <v/>
      </c>
      <c r="P4139" s="21" t="n">
        <v>0</v>
      </c>
      <c r="Q4139" s="21" t="n">
        <v>0</v>
      </c>
      <c r="R4139" s="21" t="n">
        <v>0</v>
      </c>
      <c r="S4139" s="21" t="n">
        <v>0</v>
      </c>
      <c r="T4139" s="21" t="n">
        <v>0</v>
      </c>
      <c r="U4139" s="21" t="n">
        <v>0</v>
      </c>
      <c r="V4139" s="21" t="n">
        <v>0</v>
      </c>
      <c r="W4139" s="21" t="n">
        <v>0</v>
      </c>
      <c r="X4139" s="21" t="n">
        <v>0</v>
      </c>
      <c r="Y4139" s="21" t="n">
        <v>0</v>
      </c>
      <c r="Z4139" s="19" t="n"/>
    </row>
    <row r="4140">
      <c r="D4140" s="21" t="n">
        <v>0</v>
      </c>
      <c r="E4140" s="21" t="n">
        <v>0</v>
      </c>
      <c r="F4140" s="21" t="n">
        <v>0</v>
      </c>
      <c r="G4140" s="21" t="n">
        <v>0</v>
      </c>
      <c r="H4140" s="21" t="n">
        <v>0</v>
      </c>
      <c r="I4140" s="21" t="n">
        <v>0</v>
      </c>
      <c r="J4140" s="21">
        <f>$B$3625</f>
        <v/>
      </c>
      <c r="K4140" s="21">
        <f>$B$3627</f>
        <v/>
      </c>
      <c r="L4140" s="21">
        <f>0</f>
        <v/>
      </c>
      <c r="M4140" s="21">
        <f>2*$B$3626</f>
        <v/>
      </c>
      <c r="N4140" s="21">
        <f>-$B$3625</f>
        <v/>
      </c>
      <c r="O4140" s="21">
        <f>$B$3627</f>
        <v/>
      </c>
      <c r="P4140" s="21" t="n">
        <v>0</v>
      </c>
      <c r="Q4140" s="21" t="n">
        <v>0</v>
      </c>
      <c r="R4140" s="21" t="n">
        <v>0</v>
      </c>
      <c r="S4140" s="21" t="n">
        <v>0</v>
      </c>
      <c r="T4140" s="21" t="n">
        <v>0</v>
      </c>
      <c r="U4140" s="21" t="n">
        <v>0</v>
      </c>
      <c r="V4140" s="21" t="n">
        <v>0</v>
      </c>
      <c r="W4140" s="21" t="n">
        <v>0</v>
      </c>
      <c r="X4140" s="21" t="n">
        <v>0</v>
      </c>
      <c r="Y4140" s="21" t="n">
        <v>0</v>
      </c>
      <c r="Z4140" s="19" t="n"/>
    </row>
    <row r="4141">
      <c r="D4141" s="21" t="n">
        <v>0</v>
      </c>
      <c r="E4141" s="21" t="n">
        <v>0</v>
      </c>
      <c r="F4141" s="21" t="n">
        <v>0</v>
      </c>
      <c r="G4141" s="21" t="n">
        <v>0</v>
      </c>
      <c r="H4141" s="21" t="n">
        <v>0</v>
      </c>
      <c r="I4141" s="21" t="n">
        <v>0</v>
      </c>
      <c r="J4141" s="21" t="n">
        <v>0</v>
      </c>
      <c r="K4141" s="21" t="n">
        <v>0</v>
      </c>
      <c r="L4141" s="21">
        <f>-$B$3624</f>
        <v/>
      </c>
      <c r="M4141" s="21">
        <f>-$B$3625</f>
        <v/>
      </c>
      <c r="N4141" s="21">
        <f>2*$B$3624+$D$4124</f>
        <v/>
      </c>
      <c r="O4141" s="21">
        <f>0</f>
        <v/>
      </c>
      <c r="P4141" s="21">
        <f>-$B$3624</f>
        <v/>
      </c>
      <c r="Q4141" s="21">
        <f>$B$3625</f>
        <v/>
      </c>
      <c r="R4141" s="21" t="n">
        <v>0</v>
      </c>
      <c r="S4141" s="21" t="n">
        <v>0</v>
      </c>
      <c r="T4141" s="21" t="n">
        <v>0</v>
      </c>
      <c r="U4141" s="21" t="n">
        <v>0</v>
      </c>
      <c r="V4141" s="21" t="n">
        <v>0</v>
      </c>
      <c r="W4141" s="21" t="n">
        <v>0</v>
      </c>
      <c r="X4141" s="21" t="n">
        <v>0</v>
      </c>
      <c r="Y4141" s="21" t="n">
        <v>0</v>
      </c>
      <c r="Z4141" s="19" t="n"/>
    </row>
    <row r="4142">
      <c r="D4142" s="21" t="n">
        <v>0</v>
      </c>
      <c r="E4142" s="21" t="n">
        <v>0</v>
      </c>
      <c r="F4142" s="21" t="n">
        <v>0</v>
      </c>
      <c r="G4142" s="21" t="n">
        <v>0</v>
      </c>
      <c r="H4142" s="21" t="n">
        <v>0</v>
      </c>
      <c r="I4142" s="21" t="n">
        <v>0</v>
      </c>
      <c r="J4142" s="21" t="n">
        <v>0</v>
      </c>
      <c r="K4142" s="21" t="n">
        <v>0</v>
      </c>
      <c r="L4142" s="21">
        <f>$B$3625</f>
        <v/>
      </c>
      <c r="M4142" s="21">
        <f>$B$3627</f>
        <v/>
      </c>
      <c r="N4142" s="21">
        <f>0</f>
        <v/>
      </c>
      <c r="O4142" s="21">
        <f>2*$B$3626</f>
        <v/>
      </c>
      <c r="P4142" s="21">
        <f>-$B$3625</f>
        <v/>
      </c>
      <c r="Q4142" s="21">
        <f>$B$3627</f>
        <v/>
      </c>
      <c r="R4142" s="21" t="n">
        <v>0</v>
      </c>
      <c r="S4142" s="21" t="n">
        <v>0</v>
      </c>
      <c r="T4142" s="21" t="n">
        <v>0</v>
      </c>
      <c r="U4142" s="21" t="n">
        <v>0</v>
      </c>
      <c r="V4142" s="21" t="n">
        <v>0</v>
      </c>
      <c r="W4142" s="21" t="n">
        <v>0</v>
      </c>
      <c r="X4142" s="21" t="n">
        <v>0</v>
      </c>
      <c r="Y4142" s="21" t="n">
        <v>0</v>
      </c>
      <c r="Z4142" s="19" t="n"/>
    </row>
    <row r="4143">
      <c r="D4143" s="21" t="n">
        <v>0</v>
      </c>
      <c r="E4143" s="21" t="n">
        <v>0</v>
      </c>
      <c r="F4143" s="21" t="n">
        <v>0</v>
      </c>
      <c r="G4143" s="21" t="n">
        <v>0</v>
      </c>
      <c r="H4143" s="21" t="n">
        <v>0</v>
      </c>
      <c r="I4143" s="21" t="n">
        <v>0</v>
      </c>
      <c r="J4143" s="21" t="n">
        <v>0</v>
      </c>
      <c r="K4143" s="21" t="n">
        <v>0</v>
      </c>
      <c r="L4143" s="21" t="n">
        <v>0</v>
      </c>
      <c r="M4143" s="21" t="n">
        <v>0</v>
      </c>
      <c r="N4143" s="21">
        <f>-$B$3624</f>
        <v/>
      </c>
      <c r="O4143" s="21">
        <f>-$B$3625</f>
        <v/>
      </c>
      <c r="P4143" s="21">
        <f>2*$B$3624+$D$4125</f>
        <v/>
      </c>
      <c r="Q4143" s="21">
        <f>0</f>
        <v/>
      </c>
      <c r="R4143" s="21">
        <f>-$B$3624</f>
        <v/>
      </c>
      <c r="S4143" s="21">
        <f>$B$3625</f>
        <v/>
      </c>
      <c r="T4143" s="21" t="n">
        <v>0</v>
      </c>
      <c r="U4143" s="21" t="n">
        <v>0</v>
      </c>
      <c r="V4143" s="21" t="n">
        <v>0</v>
      </c>
      <c r="W4143" s="21" t="n">
        <v>0</v>
      </c>
      <c r="X4143" s="21" t="n">
        <v>0</v>
      </c>
      <c r="Y4143" s="21" t="n">
        <v>0</v>
      </c>
      <c r="Z4143" s="19" t="n"/>
    </row>
    <row r="4144">
      <c r="D4144" s="21" t="n">
        <v>0</v>
      </c>
      <c r="E4144" s="21" t="n">
        <v>0</v>
      </c>
      <c r="F4144" s="21" t="n">
        <v>0</v>
      </c>
      <c r="G4144" s="21" t="n">
        <v>0</v>
      </c>
      <c r="H4144" s="21" t="n">
        <v>0</v>
      </c>
      <c r="I4144" s="21" t="n">
        <v>0</v>
      </c>
      <c r="J4144" s="21" t="n">
        <v>0</v>
      </c>
      <c r="K4144" s="21" t="n">
        <v>0</v>
      </c>
      <c r="L4144" s="21" t="n">
        <v>0</v>
      </c>
      <c r="M4144" s="21" t="n">
        <v>0</v>
      </c>
      <c r="N4144" s="21">
        <f>$B$3625</f>
        <v/>
      </c>
      <c r="O4144" s="21">
        <f>$B$3627</f>
        <v/>
      </c>
      <c r="P4144" s="21">
        <f>0</f>
        <v/>
      </c>
      <c r="Q4144" s="21">
        <f>2*$B$3626</f>
        <v/>
      </c>
      <c r="R4144" s="21">
        <f>-$B$3625</f>
        <v/>
      </c>
      <c r="S4144" s="21">
        <f>$B$3627</f>
        <v/>
      </c>
      <c r="T4144" s="21" t="n">
        <v>0</v>
      </c>
      <c r="U4144" s="21" t="n">
        <v>0</v>
      </c>
      <c r="V4144" s="21" t="n">
        <v>0</v>
      </c>
      <c r="W4144" s="21" t="n">
        <v>0</v>
      </c>
      <c r="X4144" s="21" t="n">
        <v>0</v>
      </c>
      <c r="Y4144" s="21" t="n">
        <v>0</v>
      </c>
      <c r="Z4144" s="19" t="n"/>
    </row>
    <row r="4145">
      <c r="D4145" s="21" t="n">
        <v>0</v>
      </c>
      <c r="E4145" s="21" t="n">
        <v>0</v>
      </c>
      <c r="F4145" s="21" t="n">
        <v>0</v>
      </c>
      <c r="G4145" s="21" t="n">
        <v>0</v>
      </c>
      <c r="H4145" s="21" t="n">
        <v>0</v>
      </c>
      <c r="I4145" s="21" t="n">
        <v>0</v>
      </c>
      <c r="J4145" s="21" t="n">
        <v>0</v>
      </c>
      <c r="K4145" s="21" t="n">
        <v>0</v>
      </c>
      <c r="L4145" s="21" t="n">
        <v>0</v>
      </c>
      <c r="M4145" s="21" t="n">
        <v>0</v>
      </c>
      <c r="N4145" s="21" t="n">
        <v>0</v>
      </c>
      <c r="O4145" s="21" t="n">
        <v>0</v>
      </c>
      <c r="P4145" s="21">
        <f>-$B$3624</f>
        <v/>
      </c>
      <c r="Q4145" s="21">
        <f>-$B$3625</f>
        <v/>
      </c>
      <c r="R4145" s="21">
        <f>2*$B$3624+$D$4126</f>
        <v/>
      </c>
      <c r="S4145" s="21">
        <f>0</f>
        <v/>
      </c>
      <c r="T4145" s="21">
        <f>-$B$3624</f>
        <v/>
      </c>
      <c r="U4145" s="21">
        <f>$B$3625</f>
        <v/>
      </c>
      <c r="V4145" s="21" t="n">
        <v>0</v>
      </c>
      <c r="W4145" s="21" t="n">
        <v>0</v>
      </c>
      <c r="X4145" s="21" t="n">
        <v>0</v>
      </c>
      <c r="Y4145" s="21" t="n">
        <v>0</v>
      </c>
      <c r="Z4145" s="19" t="n"/>
    </row>
    <row r="4146">
      <c r="D4146" s="21" t="n">
        <v>0</v>
      </c>
      <c r="E4146" s="21" t="n">
        <v>0</v>
      </c>
      <c r="F4146" s="21" t="n">
        <v>0</v>
      </c>
      <c r="G4146" s="21" t="n">
        <v>0</v>
      </c>
      <c r="H4146" s="21" t="n">
        <v>0</v>
      </c>
      <c r="I4146" s="21" t="n">
        <v>0</v>
      </c>
      <c r="J4146" s="21" t="n">
        <v>0</v>
      </c>
      <c r="K4146" s="21" t="n">
        <v>0</v>
      </c>
      <c r="L4146" s="21" t="n">
        <v>0</v>
      </c>
      <c r="M4146" s="21" t="n">
        <v>0</v>
      </c>
      <c r="N4146" s="21" t="n">
        <v>0</v>
      </c>
      <c r="O4146" s="21" t="n">
        <v>0</v>
      </c>
      <c r="P4146" s="21">
        <f>$B$3625</f>
        <v/>
      </c>
      <c r="Q4146" s="21">
        <f>$B$3627</f>
        <v/>
      </c>
      <c r="R4146" s="21">
        <f>0</f>
        <v/>
      </c>
      <c r="S4146" s="21">
        <f>2*$B$3626</f>
        <v/>
      </c>
      <c r="T4146" s="21">
        <f>-$B$3625</f>
        <v/>
      </c>
      <c r="U4146" s="21">
        <f>$B$3627</f>
        <v/>
      </c>
      <c r="V4146" s="21" t="n">
        <v>0</v>
      </c>
      <c r="W4146" s="21" t="n">
        <v>0</v>
      </c>
      <c r="X4146" s="21" t="n">
        <v>0</v>
      </c>
      <c r="Y4146" s="21" t="n">
        <v>0</v>
      </c>
      <c r="Z4146" s="19" t="n"/>
    </row>
    <row r="4147">
      <c r="D4147" s="21" t="n">
        <v>0</v>
      </c>
      <c r="E4147" s="21" t="n">
        <v>0</v>
      </c>
      <c r="F4147" s="21" t="n">
        <v>0</v>
      </c>
      <c r="G4147" s="21" t="n">
        <v>0</v>
      </c>
      <c r="H4147" s="21" t="n">
        <v>0</v>
      </c>
      <c r="I4147" s="21" t="n">
        <v>0</v>
      </c>
      <c r="J4147" s="21" t="n">
        <v>0</v>
      </c>
      <c r="K4147" s="21" t="n">
        <v>0</v>
      </c>
      <c r="L4147" s="21" t="n">
        <v>0</v>
      </c>
      <c r="M4147" s="21" t="n">
        <v>0</v>
      </c>
      <c r="N4147" s="21" t="n">
        <v>0</v>
      </c>
      <c r="O4147" s="21" t="n">
        <v>0</v>
      </c>
      <c r="P4147" s="21" t="n">
        <v>0</v>
      </c>
      <c r="Q4147" s="21" t="n">
        <v>0</v>
      </c>
      <c r="R4147" s="21">
        <f>-$B$3624</f>
        <v/>
      </c>
      <c r="S4147" s="21">
        <f>-$B$3625</f>
        <v/>
      </c>
      <c r="T4147" s="21">
        <f>2*$B$3624+$D$4127</f>
        <v/>
      </c>
      <c r="U4147" s="21">
        <f>0</f>
        <v/>
      </c>
      <c r="V4147" s="21">
        <f>-$B$3624</f>
        <v/>
      </c>
      <c r="W4147" s="21">
        <f>$B$3625</f>
        <v/>
      </c>
      <c r="X4147" s="21" t="n">
        <v>0</v>
      </c>
      <c r="Y4147" s="21" t="n">
        <v>0</v>
      </c>
      <c r="Z4147" s="19" t="n"/>
    </row>
    <row r="4148">
      <c r="D4148" s="21" t="n">
        <v>0</v>
      </c>
      <c r="E4148" s="21" t="n">
        <v>0</v>
      </c>
      <c r="F4148" s="21" t="n">
        <v>0</v>
      </c>
      <c r="G4148" s="21" t="n">
        <v>0</v>
      </c>
      <c r="H4148" s="21" t="n">
        <v>0</v>
      </c>
      <c r="I4148" s="21" t="n">
        <v>0</v>
      </c>
      <c r="J4148" s="21" t="n">
        <v>0</v>
      </c>
      <c r="K4148" s="21" t="n">
        <v>0</v>
      </c>
      <c r="L4148" s="21" t="n">
        <v>0</v>
      </c>
      <c r="M4148" s="21" t="n">
        <v>0</v>
      </c>
      <c r="N4148" s="21" t="n">
        <v>0</v>
      </c>
      <c r="O4148" s="21" t="n">
        <v>0</v>
      </c>
      <c r="P4148" s="21" t="n">
        <v>0</v>
      </c>
      <c r="Q4148" s="21" t="n">
        <v>0</v>
      </c>
      <c r="R4148" s="21">
        <f>$B$3625</f>
        <v/>
      </c>
      <c r="S4148" s="21">
        <f>$B$3627</f>
        <v/>
      </c>
      <c r="T4148" s="21">
        <f>0</f>
        <v/>
      </c>
      <c r="U4148" s="21">
        <f>2*$B$3626</f>
        <v/>
      </c>
      <c r="V4148" s="21">
        <f>-$B$3625</f>
        <v/>
      </c>
      <c r="W4148" s="21">
        <f>$B$3627</f>
        <v/>
      </c>
      <c r="X4148" s="21" t="n">
        <v>0</v>
      </c>
      <c r="Y4148" s="21" t="n">
        <v>0</v>
      </c>
      <c r="Z4148" s="19" t="n"/>
    </row>
    <row r="4149">
      <c r="D4149" s="21" t="n">
        <v>0</v>
      </c>
      <c r="E4149" s="21" t="n">
        <v>0</v>
      </c>
      <c r="F4149" s="21" t="n">
        <v>0</v>
      </c>
      <c r="G4149" s="21" t="n">
        <v>0</v>
      </c>
      <c r="H4149" s="21" t="n">
        <v>0</v>
      </c>
      <c r="I4149" s="21" t="n">
        <v>0</v>
      </c>
      <c r="J4149" s="21" t="n">
        <v>0</v>
      </c>
      <c r="K4149" s="21" t="n">
        <v>0</v>
      </c>
      <c r="L4149" s="21" t="n">
        <v>0</v>
      </c>
      <c r="M4149" s="21" t="n">
        <v>0</v>
      </c>
      <c r="N4149" s="21" t="n">
        <v>0</v>
      </c>
      <c r="O4149" s="21" t="n">
        <v>0</v>
      </c>
      <c r="P4149" s="21" t="n">
        <v>0</v>
      </c>
      <c r="Q4149" s="21" t="n">
        <v>0</v>
      </c>
      <c r="R4149" s="21" t="n">
        <v>0</v>
      </c>
      <c r="S4149" s="21" t="n">
        <v>0</v>
      </c>
      <c r="T4149" s="21">
        <f>-$B$3624</f>
        <v/>
      </c>
      <c r="U4149" s="21">
        <f>-$B$3625</f>
        <v/>
      </c>
      <c r="V4149" s="21">
        <f>2*$B$3624+$D$4128</f>
        <v/>
      </c>
      <c r="W4149" s="21">
        <f>0</f>
        <v/>
      </c>
      <c r="X4149" s="21">
        <f>-$B$3624</f>
        <v/>
      </c>
      <c r="Y4149" s="21">
        <f>$B$3625</f>
        <v/>
      </c>
      <c r="Z4149" s="19" t="n"/>
    </row>
    <row r="4150">
      <c r="D4150" s="21" t="n">
        <v>0</v>
      </c>
      <c r="E4150" s="21" t="n">
        <v>0</v>
      </c>
      <c r="F4150" s="21" t="n">
        <v>0</v>
      </c>
      <c r="G4150" s="21" t="n">
        <v>0</v>
      </c>
      <c r="H4150" s="21" t="n">
        <v>0</v>
      </c>
      <c r="I4150" s="21" t="n">
        <v>0</v>
      </c>
      <c r="J4150" s="21" t="n">
        <v>0</v>
      </c>
      <c r="K4150" s="21" t="n">
        <v>0</v>
      </c>
      <c r="L4150" s="21" t="n">
        <v>0</v>
      </c>
      <c r="M4150" s="21" t="n">
        <v>0</v>
      </c>
      <c r="N4150" s="21" t="n">
        <v>0</v>
      </c>
      <c r="O4150" s="21" t="n">
        <v>0</v>
      </c>
      <c r="P4150" s="21" t="n">
        <v>0</v>
      </c>
      <c r="Q4150" s="21" t="n">
        <v>0</v>
      </c>
      <c r="R4150" s="21" t="n">
        <v>0</v>
      </c>
      <c r="S4150" s="21" t="n">
        <v>0</v>
      </c>
      <c r="T4150" s="21">
        <f>$B$3625</f>
        <v/>
      </c>
      <c r="U4150" s="21">
        <f>$B$3627</f>
        <v/>
      </c>
      <c r="V4150" s="21">
        <f>0</f>
        <v/>
      </c>
      <c r="W4150" s="21">
        <f>2*$B$3626</f>
        <v/>
      </c>
      <c r="X4150" s="21">
        <f>-$B$3625</f>
        <v/>
      </c>
      <c r="Y4150" s="21">
        <f>$B$3627</f>
        <v/>
      </c>
      <c r="Z4150" s="19" t="n"/>
    </row>
    <row r="4151">
      <c r="D4151" s="21" t="n">
        <v>0</v>
      </c>
      <c r="E4151" s="21" t="n">
        <v>0</v>
      </c>
      <c r="F4151" s="21" t="n">
        <v>0</v>
      </c>
      <c r="G4151" s="21" t="n">
        <v>0</v>
      </c>
      <c r="H4151" s="21" t="n">
        <v>0</v>
      </c>
      <c r="I4151" s="21" t="n">
        <v>0</v>
      </c>
      <c r="J4151" s="21" t="n">
        <v>0</v>
      </c>
      <c r="K4151" s="21" t="n">
        <v>0</v>
      </c>
      <c r="L4151" s="21" t="n">
        <v>0</v>
      </c>
      <c r="M4151" s="21" t="n">
        <v>0</v>
      </c>
      <c r="N4151" s="21" t="n">
        <v>0</v>
      </c>
      <c r="O4151" s="21" t="n">
        <v>0</v>
      </c>
      <c r="P4151" s="21" t="n">
        <v>0</v>
      </c>
      <c r="Q4151" s="21" t="n">
        <v>0</v>
      </c>
      <c r="R4151" s="21" t="n">
        <v>0</v>
      </c>
      <c r="S4151" s="21" t="n">
        <v>0</v>
      </c>
      <c r="T4151" s="21" t="n">
        <v>0</v>
      </c>
      <c r="U4151" s="21" t="n">
        <v>0</v>
      </c>
      <c r="V4151" s="21">
        <f>-$B$3624</f>
        <v/>
      </c>
      <c r="W4151" s="21">
        <f>-$B$3625</f>
        <v/>
      </c>
      <c r="X4151" s="21">
        <f>$B$3624+$D$4129</f>
        <v/>
      </c>
      <c r="Y4151" s="21">
        <f>-$B$3625</f>
        <v/>
      </c>
      <c r="Z4151" s="19" t="n"/>
    </row>
    <row r="4152">
      <c r="D4152" s="21" t="n">
        <v>0</v>
      </c>
      <c r="E4152" s="21" t="n">
        <v>0</v>
      </c>
      <c r="F4152" s="21" t="n">
        <v>0</v>
      </c>
      <c r="G4152" s="21" t="n">
        <v>0</v>
      </c>
      <c r="H4152" s="21" t="n">
        <v>0</v>
      </c>
      <c r="I4152" s="21" t="n">
        <v>0</v>
      </c>
      <c r="J4152" s="21" t="n">
        <v>0</v>
      </c>
      <c r="K4152" s="21" t="n">
        <v>0</v>
      </c>
      <c r="L4152" s="21" t="n">
        <v>0</v>
      </c>
      <c r="M4152" s="21" t="n">
        <v>0</v>
      </c>
      <c r="N4152" s="21" t="n">
        <v>0</v>
      </c>
      <c r="O4152" s="21" t="n">
        <v>0</v>
      </c>
      <c r="P4152" s="21" t="n">
        <v>0</v>
      </c>
      <c r="Q4152" s="21" t="n">
        <v>0</v>
      </c>
      <c r="R4152" s="21" t="n">
        <v>0</v>
      </c>
      <c r="S4152" s="21" t="n">
        <v>0</v>
      </c>
      <c r="T4152" s="21" t="n">
        <v>0</v>
      </c>
      <c r="U4152" s="21" t="n">
        <v>0</v>
      </c>
      <c r="V4152" s="21">
        <f>$B$3625</f>
        <v/>
      </c>
      <c r="W4152" s="21">
        <f>$B$3627</f>
        <v/>
      </c>
      <c r="X4152" s="21">
        <f>-$B$3625</f>
        <v/>
      </c>
      <c r="Y4152" s="21">
        <f>$B$3626</f>
        <v/>
      </c>
      <c r="Z4152" s="19" t="n"/>
    </row>
    <row r="4154">
      <c r="A4154" s="8" t="inlineStr">
        <is>
          <t>gen 14</t>
        </is>
      </c>
    </row>
    <row r="4155">
      <c r="D4155" s="19">
        <f>IF(ABS(IF(ABS($E$4119)&gt;0.000000001,$E$4119,0.000000001))=0,0,IF($E$3639&lt;=$B$3633,0,IF(ABS(IF(ABS($E$4119)&gt;0.000000001,$E$4119,0.000000001))&gt;=8*$B$3635,$H$3639,0.5*$H$3639*(ABS(IF(ABS($E$4119)&gt;0.000000001,$E$4119,0.000000001))/$B$3635)^(1/3)))/ABS(IF(ABS($E$4119)&gt;0.000000001,$E$4119,0.000000001))*$I$3639)</f>
        <v/>
      </c>
      <c r="E4155" s="19">
        <f>0.5*$E$4119+0.5*$Z$4167</f>
        <v/>
      </c>
      <c r="F4155" s="19">
        <f>$Z$4168</f>
        <v/>
      </c>
    </row>
    <row r="4156">
      <c r="D4156" s="19">
        <f>IF(ABS(IF(ABS($E$4120)&gt;0.000000001,$E$4120,0.000000001))=0,0,IF($E$3640&lt;=$B$3633,0,IF(ABS(IF(ABS($E$4120)&gt;0.000000001,$E$4120,0.000000001))&gt;=8*$B$3635,$H$3640,0.5*$H$3640*(ABS(IF(ABS($E$4120)&gt;0.000000001,$E$4120,0.000000001))/$B$3635)^(1/3)))/ABS(IF(ABS($E$4120)&gt;0.000000001,$E$4120,0.000000001))*$I$3640)</f>
        <v/>
      </c>
      <c r="E4156" s="19">
        <f>0.5*$E$4120+0.5*$Z$4169</f>
        <v/>
      </c>
      <c r="F4156" s="19">
        <f>$Z$4170</f>
        <v/>
      </c>
    </row>
    <row r="4157">
      <c r="D4157" s="19">
        <f>IF(ABS(IF(ABS($E$4121)&gt;0.000000001,$E$4121,0.000000001))=0,0,IF($E$3641&lt;=$B$3633,0,IF(ABS(IF(ABS($E$4121)&gt;0.000000001,$E$4121,0.000000001))&gt;=8*$B$3635,$H$3641,0.5*$H$3641*(ABS(IF(ABS($E$4121)&gt;0.000000001,$E$4121,0.000000001))/$B$3635)^(1/3)))/ABS(IF(ABS($E$4121)&gt;0.000000001,$E$4121,0.000000001))*$I$3641)</f>
        <v/>
      </c>
      <c r="E4157" s="19">
        <f>0.5*$E$4121+0.5*$Z$4171</f>
        <v/>
      </c>
      <c r="F4157" s="19">
        <f>$Z$4172</f>
        <v/>
      </c>
    </row>
    <row r="4158">
      <c r="D4158" s="19">
        <f>IF(ABS(IF(ABS($E$4122)&gt;0.000000001,$E$4122,0.000000001))=0,0,IF($E$3642&lt;=$B$3633,0,IF(ABS(IF(ABS($E$4122)&gt;0.000000001,$E$4122,0.000000001))&gt;=8*$B$3635,$H$3642,0.5*$H$3642*(ABS(IF(ABS($E$4122)&gt;0.000000001,$E$4122,0.000000001))/$B$3635)^(1/3)))/ABS(IF(ABS($E$4122)&gt;0.000000001,$E$4122,0.000000001))*$I$3642)</f>
        <v/>
      </c>
      <c r="E4158" s="19">
        <f>0.5*$E$4122+0.5*$Z$4173</f>
        <v/>
      </c>
      <c r="F4158" s="19">
        <f>$Z$4174</f>
        <v/>
      </c>
    </row>
    <row r="4159">
      <c r="D4159" s="19">
        <f>IF(ABS(IF(ABS($E$4123)&gt;0.000000001,$E$4123,0.000000001))=0,0,IF($E$3643&lt;=$B$3633,0,IF(ABS(IF(ABS($E$4123)&gt;0.000000001,$E$4123,0.000000001))&gt;=8*$B$3635,$H$3643,0.5*$H$3643*(ABS(IF(ABS($E$4123)&gt;0.000000001,$E$4123,0.000000001))/$B$3635)^(1/3)))/ABS(IF(ABS($E$4123)&gt;0.000000001,$E$4123,0.000000001))*$I$3643)</f>
        <v/>
      </c>
      <c r="E4159" s="19">
        <f>0.5*$E$4123+0.5*$Z$4175</f>
        <v/>
      </c>
      <c r="F4159" s="19">
        <f>$Z$4176</f>
        <v/>
      </c>
    </row>
    <row r="4160">
      <c r="D4160" s="19">
        <f>IF(ABS(IF(ABS($E$4124)&gt;0.000000001,$E$4124,0.000000001))=0,0,IF($E$3644&lt;=$B$3633,0,IF(ABS(IF(ABS($E$4124)&gt;0.000000001,$E$4124,0.000000001))&gt;=8*$B$3635,$H$3644,0.5*$H$3644*(ABS(IF(ABS($E$4124)&gt;0.000000001,$E$4124,0.000000001))/$B$3635)^(1/3)))/ABS(IF(ABS($E$4124)&gt;0.000000001,$E$4124,0.000000001))*$I$3644)</f>
        <v/>
      </c>
      <c r="E4160" s="19">
        <f>0.5*$E$4124+0.5*$Z$4177</f>
        <v/>
      </c>
      <c r="F4160" s="19">
        <f>$Z$4178</f>
        <v/>
      </c>
    </row>
    <row r="4161">
      <c r="D4161" s="19">
        <f>IF(ABS(IF(ABS($E$4125)&gt;0.000000001,$E$4125,0.000000001))=0,0,IF($E$3645&lt;=$B$3633,0,IF(ABS(IF(ABS($E$4125)&gt;0.000000001,$E$4125,0.000000001))&gt;=8*$B$3635,$H$3645,0.5*$H$3645*(ABS(IF(ABS($E$4125)&gt;0.000000001,$E$4125,0.000000001))/$B$3635)^(1/3)))/ABS(IF(ABS($E$4125)&gt;0.000000001,$E$4125,0.000000001))*$I$3645)</f>
        <v/>
      </c>
      <c r="E4161" s="19">
        <f>0.5*$E$4125+0.5*$Z$4179</f>
        <v/>
      </c>
      <c r="F4161" s="19">
        <f>$Z$4180</f>
        <v/>
      </c>
    </row>
    <row r="4162">
      <c r="D4162" s="19">
        <f>IF(ABS(IF(ABS($E$4126)&gt;0.000000001,$E$4126,0.000000001))=0,0,IF($E$3646&lt;=$B$3633,0,IF(ABS(IF(ABS($E$4126)&gt;0.000000001,$E$4126,0.000000001))&gt;=8*$B$3635,$H$3646,0.5*$H$3646*(ABS(IF(ABS($E$4126)&gt;0.000000001,$E$4126,0.000000001))/$B$3635)^(1/3)))/ABS(IF(ABS($E$4126)&gt;0.000000001,$E$4126,0.000000001))*$I$3646)</f>
        <v/>
      </c>
      <c r="E4162" s="19">
        <f>0.5*$E$4126+0.5*$Z$4181</f>
        <v/>
      </c>
      <c r="F4162" s="19">
        <f>$Z$4182</f>
        <v/>
      </c>
    </row>
    <row r="4163">
      <c r="D4163" s="19">
        <f>IF(ABS(IF(ABS($E$4127)&gt;0.000000001,$E$4127,0.000000001))=0,0,IF($E$3647&lt;=$B$3633,0,IF(ABS(IF(ABS($E$4127)&gt;0.000000001,$E$4127,0.000000001))&gt;=8*$B$3635,$H$3647,0.5*$H$3647*(ABS(IF(ABS($E$4127)&gt;0.000000001,$E$4127,0.000000001))/$B$3635)^(1/3)))/ABS(IF(ABS($E$4127)&gt;0.000000001,$E$4127,0.000000001))*$I$3647)</f>
        <v/>
      </c>
      <c r="E4163" s="19">
        <f>0.5*$E$4127+0.5*$Z$4183</f>
        <v/>
      </c>
      <c r="F4163" s="19">
        <f>$Z$4184</f>
        <v/>
      </c>
    </row>
    <row r="4164">
      <c r="D4164" s="19">
        <f>IF(ABS(IF(ABS($E$4128)&gt;0.000000001,$E$4128,0.000000001))=0,0,IF($E$3648&lt;=$B$3633,0,IF(ABS(IF(ABS($E$4128)&gt;0.000000001,$E$4128,0.000000001))&gt;=8*$B$3635,$H$3648,0.5*$H$3648*(ABS(IF(ABS($E$4128)&gt;0.000000001,$E$4128,0.000000001))/$B$3635)^(1/3)))/ABS(IF(ABS($E$4128)&gt;0.000000001,$E$4128,0.000000001))*$I$3648)</f>
        <v/>
      </c>
      <c r="E4164" s="19">
        <f>0.5*$E$4128+0.5*$Z$4185</f>
        <v/>
      </c>
      <c r="F4164" s="19">
        <f>$Z$4186</f>
        <v/>
      </c>
    </row>
    <row r="4165">
      <c r="D4165" s="19">
        <f>IF(ABS(IF(ABS($E$4129)&gt;0.000000001,$E$4129,0.000000001))=0,0,IF($E$3649&lt;=$B$3633,0,IF(ABS(IF(ABS($E$4129)&gt;0.000000001,$E$4129,0.000000001))&gt;=8*$B$3635,$H$3649,0.5*$H$3649*(ABS(IF(ABS($E$4129)&gt;0.000000001,$E$4129,0.000000001))/$B$3635)^(1/3)))/ABS(IF(ABS($E$4129)&gt;0.000000001,$E$4129,0.000000001))*$I$3649)</f>
        <v/>
      </c>
      <c r="E4165" s="19">
        <f>0.5*$E$4129+0.5*$Z$4187</f>
        <v/>
      </c>
      <c r="F4165" s="19">
        <f>$Z$4188</f>
        <v/>
      </c>
    </row>
    <row r="4167">
      <c r="D4167" s="21">
        <f>$B$3624+$D$4155</f>
        <v/>
      </c>
      <c r="E4167" s="21">
        <f>$B$3625</f>
        <v/>
      </c>
      <c r="F4167" s="21">
        <f>-$B$3624</f>
        <v/>
      </c>
      <c r="G4167" s="21">
        <f>$B$3625</f>
        <v/>
      </c>
      <c r="H4167" s="21" t="n">
        <v>0</v>
      </c>
      <c r="I4167" s="21" t="n">
        <v>0</v>
      </c>
      <c r="J4167" s="21" t="n">
        <v>0</v>
      </c>
      <c r="K4167" s="21" t="n">
        <v>0</v>
      </c>
      <c r="L4167" s="21" t="n">
        <v>0</v>
      </c>
      <c r="M4167" s="21" t="n">
        <v>0</v>
      </c>
      <c r="N4167" s="21" t="n">
        <v>0</v>
      </c>
      <c r="O4167" s="21" t="n">
        <v>0</v>
      </c>
      <c r="P4167" s="21" t="n">
        <v>0</v>
      </c>
      <c r="Q4167" s="21" t="n">
        <v>0</v>
      </c>
      <c r="R4167" s="21" t="n">
        <v>0</v>
      </c>
      <c r="S4167" s="21" t="n">
        <v>0</v>
      </c>
      <c r="T4167" s="21" t="n">
        <v>0</v>
      </c>
      <c r="U4167" s="21" t="n">
        <v>0</v>
      </c>
      <c r="V4167" s="21" t="n">
        <v>0</v>
      </c>
      <c r="W4167" s="21" t="n">
        <v>0</v>
      </c>
      <c r="X4167" s="21" t="n">
        <v>0</v>
      </c>
      <c r="Y4167" s="21" t="n">
        <v>0</v>
      </c>
      <c r="Z4167" s="19">
        <f t="array" ref="Z4167:Z4188">MMULT(MINVERSE($D$4167:$Y$4188),$D$3651:$D$3672)</f>
        <v/>
      </c>
    </row>
    <row r="4168">
      <c r="D4168" s="21">
        <f>$B$3625</f>
        <v/>
      </c>
      <c r="E4168" s="21">
        <f>$B$3626</f>
        <v/>
      </c>
      <c r="F4168" s="21">
        <f>-$B$3625</f>
        <v/>
      </c>
      <c r="G4168" s="21">
        <f>$B$3627</f>
        <v/>
      </c>
      <c r="H4168" s="21" t="n">
        <v>0</v>
      </c>
      <c r="I4168" s="21" t="n">
        <v>0</v>
      </c>
      <c r="J4168" s="21" t="n">
        <v>0</v>
      </c>
      <c r="K4168" s="21" t="n">
        <v>0</v>
      </c>
      <c r="L4168" s="21" t="n">
        <v>0</v>
      </c>
      <c r="M4168" s="21" t="n">
        <v>0</v>
      </c>
      <c r="N4168" s="21" t="n">
        <v>0</v>
      </c>
      <c r="O4168" s="21" t="n">
        <v>0</v>
      </c>
      <c r="P4168" s="21" t="n">
        <v>0</v>
      </c>
      <c r="Q4168" s="21" t="n">
        <v>0</v>
      </c>
      <c r="R4168" s="21" t="n">
        <v>0</v>
      </c>
      <c r="S4168" s="21" t="n">
        <v>0</v>
      </c>
      <c r="T4168" s="21" t="n">
        <v>0</v>
      </c>
      <c r="U4168" s="21" t="n">
        <v>0</v>
      </c>
      <c r="V4168" s="21" t="n">
        <v>0</v>
      </c>
      <c r="W4168" s="21" t="n">
        <v>0</v>
      </c>
      <c r="X4168" s="21" t="n">
        <v>0</v>
      </c>
      <c r="Y4168" s="21" t="n">
        <v>0</v>
      </c>
      <c r="Z4168" s="19" t="n"/>
    </row>
    <row r="4169">
      <c r="D4169" s="21">
        <f>-$B$3624</f>
        <v/>
      </c>
      <c r="E4169" s="21">
        <f>-$B$3625</f>
        <v/>
      </c>
      <c r="F4169" s="21">
        <f>2*$B$3624+$D$4156</f>
        <v/>
      </c>
      <c r="G4169" s="21">
        <f>0</f>
        <v/>
      </c>
      <c r="H4169" s="21">
        <f>-$B$3624</f>
        <v/>
      </c>
      <c r="I4169" s="21">
        <f>$B$3625</f>
        <v/>
      </c>
      <c r="J4169" s="21" t="n">
        <v>0</v>
      </c>
      <c r="K4169" s="21" t="n">
        <v>0</v>
      </c>
      <c r="L4169" s="21" t="n">
        <v>0</v>
      </c>
      <c r="M4169" s="21" t="n">
        <v>0</v>
      </c>
      <c r="N4169" s="21" t="n">
        <v>0</v>
      </c>
      <c r="O4169" s="21" t="n">
        <v>0</v>
      </c>
      <c r="P4169" s="21" t="n">
        <v>0</v>
      </c>
      <c r="Q4169" s="21" t="n">
        <v>0</v>
      </c>
      <c r="R4169" s="21" t="n">
        <v>0</v>
      </c>
      <c r="S4169" s="21" t="n">
        <v>0</v>
      </c>
      <c r="T4169" s="21" t="n">
        <v>0</v>
      </c>
      <c r="U4169" s="21" t="n">
        <v>0</v>
      </c>
      <c r="V4169" s="21" t="n">
        <v>0</v>
      </c>
      <c r="W4169" s="21" t="n">
        <v>0</v>
      </c>
      <c r="X4169" s="21" t="n">
        <v>0</v>
      </c>
      <c r="Y4169" s="21" t="n">
        <v>0</v>
      </c>
      <c r="Z4169" s="19" t="n"/>
    </row>
    <row r="4170">
      <c r="D4170" s="21">
        <f>$B$3625</f>
        <v/>
      </c>
      <c r="E4170" s="21">
        <f>$B$3627</f>
        <v/>
      </c>
      <c r="F4170" s="21">
        <f>0</f>
        <v/>
      </c>
      <c r="G4170" s="21">
        <f>2*$B$3626</f>
        <v/>
      </c>
      <c r="H4170" s="21">
        <f>-$B$3625</f>
        <v/>
      </c>
      <c r="I4170" s="21">
        <f>$B$3627</f>
        <v/>
      </c>
      <c r="J4170" s="21" t="n">
        <v>0</v>
      </c>
      <c r="K4170" s="21" t="n">
        <v>0</v>
      </c>
      <c r="L4170" s="21" t="n">
        <v>0</v>
      </c>
      <c r="M4170" s="21" t="n">
        <v>0</v>
      </c>
      <c r="N4170" s="21" t="n">
        <v>0</v>
      </c>
      <c r="O4170" s="21" t="n">
        <v>0</v>
      </c>
      <c r="P4170" s="21" t="n">
        <v>0</v>
      </c>
      <c r="Q4170" s="21" t="n">
        <v>0</v>
      </c>
      <c r="R4170" s="21" t="n">
        <v>0</v>
      </c>
      <c r="S4170" s="21" t="n">
        <v>0</v>
      </c>
      <c r="T4170" s="21" t="n">
        <v>0</v>
      </c>
      <c r="U4170" s="21" t="n">
        <v>0</v>
      </c>
      <c r="V4170" s="21" t="n">
        <v>0</v>
      </c>
      <c r="W4170" s="21" t="n">
        <v>0</v>
      </c>
      <c r="X4170" s="21" t="n">
        <v>0</v>
      </c>
      <c r="Y4170" s="21" t="n">
        <v>0</v>
      </c>
      <c r="Z4170" s="19" t="n"/>
    </row>
    <row r="4171">
      <c r="D4171" s="21" t="n">
        <v>0</v>
      </c>
      <c r="E4171" s="21" t="n">
        <v>0</v>
      </c>
      <c r="F4171" s="21">
        <f>-$B$3624</f>
        <v/>
      </c>
      <c r="G4171" s="21">
        <f>-$B$3625</f>
        <v/>
      </c>
      <c r="H4171" s="21">
        <f>2*$B$3624+$D$4157</f>
        <v/>
      </c>
      <c r="I4171" s="21">
        <f>0</f>
        <v/>
      </c>
      <c r="J4171" s="21">
        <f>-$B$3624</f>
        <v/>
      </c>
      <c r="K4171" s="21">
        <f>$B$3625</f>
        <v/>
      </c>
      <c r="L4171" s="21" t="n">
        <v>0</v>
      </c>
      <c r="M4171" s="21" t="n">
        <v>0</v>
      </c>
      <c r="N4171" s="21" t="n">
        <v>0</v>
      </c>
      <c r="O4171" s="21" t="n">
        <v>0</v>
      </c>
      <c r="P4171" s="21" t="n">
        <v>0</v>
      </c>
      <c r="Q4171" s="21" t="n">
        <v>0</v>
      </c>
      <c r="R4171" s="21" t="n">
        <v>0</v>
      </c>
      <c r="S4171" s="21" t="n">
        <v>0</v>
      </c>
      <c r="T4171" s="21" t="n">
        <v>0</v>
      </c>
      <c r="U4171" s="21" t="n">
        <v>0</v>
      </c>
      <c r="V4171" s="21" t="n">
        <v>0</v>
      </c>
      <c r="W4171" s="21" t="n">
        <v>0</v>
      </c>
      <c r="X4171" s="21" t="n">
        <v>0</v>
      </c>
      <c r="Y4171" s="21" t="n">
        <v>0</v>
      </c>
      <c r="Z4171" s="19" t="n"/>
    </row>
    <row r="4172">
      <c r="D4172" s="21" t="n">
        <v>0</v>
      </c>
      <c r="E4172" s="21" t="n">
        <v>0</v>
      </c>
      <c r="F4172" s="21">
        <f>$B$3625</f>
        <v/>
      </c>
      <c r="G4172" s="21">
        <f>$B$3627</f>
        <v/>
      </c>
      <c r="H4172" s="21">
        <f>0</f>
        <v/>
      </c>
      <c r="I4172" s="21">
        <f>2*$B$3626</f>
        <v/>
      </c>
      <c r="J4172" s="21">
        <f>-$B$3625</f>
        <v/>
      </c>
      <c r="K4172" s="21">
        <f>$B$3627</f>
        <v/>
      </c>
      <c r="L4172" s="21" t="n">
        <v>0</v>
      </c>
      <c r="M4172" s="21" t="n">
        <v>0</v>
      </c>
      <c r="N4172" s="21" t="n">
        <v>0</v>
      </c>
      <c r="O4172" s="21" t="n">
        <v>0</v>
      </c>
      <c r="P4172" s="21" t="n">
        <v>0</v>
      </c>
      <c r="Q4172" s="21" t="n">
        <v>0</v>
      </c>
      <c r="R4172" s="21" t="n">
        <v>0</v>
      </c>
      <c r="S4172" s="21" t="n">
        <v>0</v>
      </c>
      <c r="T4172" s="21" t="n">
        <v>0</v>
      </c>
      <c r="U4172" s="21" t="n">
        <v>0</v>
      </c>
      <c r="V4172" s="21" t="n">
        <v>0</v>
      </c>
      <c r="W4172" s="21" t="n">
        <v>0</v>
      </c>
      <c r="X4172" s="21" t="n">
        <v>0</v>
      </c>
      <c r="Y4172" s="21" t="n">
        <v>0</v>
      </c>
      <c r="Z4172" s="19" t="n"/>
    </row>
    <row r="4173">
      <c r="D4173" s="21" t="n">
        <v>0</v>
      </c>
      <c r="E4173" s="21" t="n">
        <v>0</v>
      </c>
      <c r="F4173" s="21" t="n">
        <v>0</v>
      </c>
      <c r="G4173" s="21" t="n">
        <v>0</v>
      </c>
      <c r="H4173" s="21">
        <f>-$B$3624</f>
        <v/>
      </c>
      <c r="I4173" s="21">
        <f>-$B$3625</f>
        <v/>
      </c>
      <c r="J4173" s="21">
        <f>2*$B$3624+$D$4158</f>
        <v/>
      </c>
      <c r="K4173" s="21">
        <f>0</f>
        <v/>
      </c>
      <c r="L4173" s="21">
        <f>-$B$3624</f>
        <v/>
      </c>
      <c r="M4173" s="21">
        <f>$B$3625</f>
        <v/>
      </c>
      <c r="N4173" s="21" t="n">
        <v>0</v>
      </c>
      <c r="O4173" s="21" t="n">
        <v>0</v>
      </c>
      <c r="P4173" s="21" t="n">
        <v>0</v>
      </c>
      <c r="Q4173" s="21" t="n">
        <v>0</v>
      </c>
      <c r="R4173" s="21" t="n">
        <v>0</v>
      </c>
      <c r="S4173" s="21" t="n">
        <v>0</v>
      </c>
      <c r="T4173" s="21" t="n">
        <v>0</v>
      </c>
      <c r="U4173" s="21" t="n">
        <v>0</v>
      </c>
      <c r="V4173" s="21" t="n">
        <v>0</v>
      </c>
      <c r="W4173" s="21" t="n">
        <v>0</v>
      </c>
      <c r="X4173" s="21" t="n">
        <v>0</v>
      </c>
      <c r="Y4173" s="21" t="n">
        <v>0</v>
      </c>
      <c r="Z4173" s="19" t="n"/>
    </row>
    <row r="4174">
      <c r="D4174" s="21" t="n">
        <v>0</v>
      </c>
      <c r="E4174" s="21" t="n">
        <v>0</v>
      </c>
      <c r="F4174" s="21" t="n">
        <v>0</v>
      </c>
      <c r="G4174" s="21" t="n">
        <v>0</v>
      </c>
      <c r="H4174" s="21">
        <f>$B$3625</f>
        <v/>
      </c>
      <c r="I4174" s="21">
        <f>$B$3627</f>
        <v/>
      </c>
      <c r="J4174" s="21">
        <f>0</f>
        <v/>
      </c>
      <c r="K4174" s="21">
        <f>2*$B$3626</f>
        <v/>
      </c>
      <c r="L4174" s="21">
        <f>-$B$3625</f>
        <v/>
      </c>
      <c r="M4174" s="21">
        <f>$B$3627</f>
        <v/>
      </c>
      <c r="N4174" s="21" t="n">
        <v>0</v>
      </c>
      <c r="O4174" s="21" t="n">
        <v>0</v>
      </c>
      <c r="P4174" s="21" t="n">
        <v>0</v>
      </c>
      <c r="Q4174" s="21" t="n">
        <v>0</v>
      </c>
      <c r="R4174" s="21" t="n">
        <v>0</v>
      </c>
      <c r="S4174" s="21" t="n">
        <v>0</v>
      </c>
      <c r="T4174" s="21" t="n">
        <v>0</v>
      </c>
      <c r="U4174" s="21" t="n">
        <v>0</v>
      </c>
      <c r="V4174" s="21" t="n">
        <v>0</v>
      </c>
      <c r="W4174" s="21" t="n">
        <v>0</v>
      </c>
      <c r="X4174" s="21" t="n">
        <v>0</v>
      </c>
      <c r="Y4174" s="21" t="n">
        <v>0</v>
      </c>
      <c r="Z4174" s="19" t="n"/>
    </row>
    <row r="4175">
      <c r="D4175" s="21" t="n">
        <v>0</v>
      </c>
      <c r="E4175" s="21" t="n">
        <v>0</v>
      </c>
      <c r="F4175" s="21" t="n">
        <v>0</v>
      </c>
      <c r="G4175" s="21" t="n">
        <v>0</v>
      </c>
      <c r="H4175" s="21" t="n">
        <v>0</v>
      </c>
      <c r="I4175" s="21" t="n">
        <v>0</v>
      </c>
      <c r="J4175" s="21">
        <f>-$B$3624</f>
        <v/>
      </c>
      <c r="K4175" s="21">
        <f>-$B$3625</f>
        <v/>
      </c>
      <c r="L4175" s="21">
        <f>2*$B$3624+$D$4159</f>
        <v/>
      </c>
      <c r="M4175" s="21">
        <f>0</f>
        <v/>
      </c>
      <c r="N4175" s="21">
        <f>-$B$3624</f>
        <v/>
      </c>
      <c r="O4175" s="21">
        <f>$B$3625</f>
        <v/>
      </c>
      <c r="P4175" s="21" t="n">
        <v>0</v>
      </c>
      <c r="Q4175" s="21" t="n">
        <v>0</v>
      </c>
      <c r="R4175" s="21" t="n">
        <v>0</v>
      </c>
      <c r="S4175" s="21" t="n">
        <v>0</v>
      </c>
      <c r="T4175" s="21" t="n">
        <v>0</v>
      </c>
      <c r="U4175" s="21" t="n">
        <v>0</v>
      </c>
      <c r="V4175" s="21" t="n">
        <v>0</v>
      </c>
      <c r="W4175" s="21" t="n">
        <v>0</v>
      </c>
      <c r="X4175" s="21" t="n">
        <v>0</v>
      </c>
      <c r="Y4175" s="21" t="n">
        <v>0</v>
      </c>
      <c r="Z4175" s="19" t="n"/>
    </row>
    <row r="4176">
      <c r="D4176" s="21" t="n">
        <v>0</v>
      </c>
      <c r="E4176" s="21" t="n">
        <v>0</v>
      </c>
      <c r="F4176" s="21" t="n">
        <v>0</v>
      </c>
      <c r="G4176" s="21" t="n">
        <v>0</v>
      </c>
      <c r="H4176" s="21" t="n">
        <v>0</v>
      </c>
      <c r="I4176" s="21" t="n">
        <v>0</v>
      </c>
      <c r="J4176" s="21">
        <f>$B$3625</f>
        <v/>
      </c>
      <c r="K4176" s="21">
        <f>$B$3627</f>
        <v/>
      </c>
      <c r="L4176" s="21">
        <f>0</f>
        <v/>
      </c>
      <c r="M4176" s="21">
        <f>2*$B$3626</f>
        <v/>
      </c>
      <c r="N4176" s="21">
        <f>-$B$3625</f>
        <v/>
      </c>
      <c r="O4176" s="21">
        <f>$B$3627</f>
        <v/>
      </c>
      <c r="P4176" s="21" t="n">
        <v>0</v>
      </c>
      <c r="Q4176" s="21" t="n">
        <v>0</v>
      </c>
      <c r="R4176" s="21" t="n">
        <v>0</v>
      </c>
      <c r="S4176" s="21" t="n">
        <v>0</v>
      </c>
      <c r="T4176" s="21" t="n">
        <v>0</v>
      </c>
      <c r="U4176" s="21" t="n">
        <v>0</v>
      </c>
      <c r="V4176" s="21" t="n">
        <v>0</v>
      </c>
      <c r="W4176" s="21" t="n">
        <v>0</v>
      </c>
      <c r="X4176" s="21" t="n">
        <v>0</v>
      </c>
      <c r="Y4176" s="21" t="n">
        <v>0</v>
      </c>
      <c r="Z4176" s="19" t="n"/>
    </row>
    <row r="4177">
      <c r="D4177" s="21" t="n">
        <v>0</v>
      </c>
      <c r="E4177" s="21" t="n">
        <v>0</v>
      </c>
      <c r="F4177" s="21" t="n">
        <v>0</v>
      </c>
      <c r="G4177" s="21" t="n">
        <v>0</v>
      </c>
      <c r="H4177" s="21" t="n">
        <v>0</v>
      </c>
      <c r="I4177" s="21" t="n">
        <v>0</v>
      </c>
      <c r="J4177" s="21" t="n">
        <v>0</v>
      </c>
      <c r="K4177" s="21" t="n">
        <v>0</v>
      </c>
      <c r="L4177" s="21">
        <f>-$B$3624</f>
        <v/>
      </c>
      <c r="M4177" s="21">
        <f>-$B$3625</f>
        <v/>
      </c>
      <c r="N4177" s="21">
        <f>2*$B$3624+$D$4160</f>
        <v/>
      </c>
      <c r="O4177" s="21">
        <f>0</f>
        <v/>
      </c>
      <c r="P4177" s="21">
        <f>-$B$3624</f>
        <v/>
      </c>
      <c r="Q4177" s="21">
        <f>$B$3625</f>
        <v/>
      </c>
      <c r="R4177" s="21" t="n">
        <v>0</v>
      </c>
      <c r="S4177" s="21" t="n">
        <v>0</v>
      </c>
      <c r="T4177" s="21" t="n">
        <v>0</v>
      </c>
      <c r="U4177" s="21" t="n">
        <v>0</v>
      </c>
      <c r="V4177" s="21" t="n">
        <v>0</v>
      </c>
      <c r="W4177" s="21" t="n">
        <v>0</v>
      </c>
      <c r="X4177" s="21" t="n">
        <v>0</v>
      </c>
      <c r="Y4177" s="21" t="n">
        <v>0</v>
      </c>
      <c r="Z4177" s="19" t="n"/>
    </row>
    <row r="4178">
      <c r="D4178" s="21" t="n">
        <v>0</v>
      </c>
      <c r="E4178" s="21" t="n">
        <v>0</v>
      </c>
      <c r="F4178" s="21" t="n">
        <v>0</v>
      </c>
      <c r="G4178" s="21" t="n">
        <v>0</v>
      </c>
      <c r="H4178" s="21" t="n">
        <v>0</v>
      </c>
      <c r="I4178" s="21" t="n">
        <v>0</v>
      </c>
      <c r="J4178" s="21" t="n">
        <v>0</v>
      </c>
      <c r="K4178" s="21" t="n">
        <v>0</v>
      </c>
      <c r="L4178" s="21">
        <f>$B$3625</f>
        <v/>
      </c>
      <c r="M4178" s="21">
        <f>$B$3627</f>
        <v/>
      </c>
      <c r="N4178" s="21">
        <f>0</f>
        <v/>
      </c>
      <c r="O4178" s="21">
        <f>2*$B$3626</f>
        <v/>
      </c>
      <c r="P4178" s="21">
        <f>-$B$3625</f>
        <v/>
      </c>
      <c r="Q4178" s="21">
        <f>$B$3627</f>
        <v/>
      </c>
      <c r="R4178" s="21" t="n">
        <v>0</v>
      </c>
      <c r="S4178" s="21" t="n">
        <v>0</v>
      </c>
      <c r="T4178" s="21" t="n">
        <v>0</v>
      </c>
      <c r="U4178" s="21" t="n">
        <v>0</v>
      </c>
      <c r="V4178" s="21" t="n">
        <v>0</v>
      </c>
      <c r="W4178" s="21" t="n">
        <v>0</v>
      </c>
      <c r="X4178" s="21" t="n">
        <v>0</v>
      </c>
      <c r="Y4178" s="21" t="n">
        <v>0</v>
      </c>
      <c r="Z4178" s="19" t="n"/>
    </row>
    <row r="4179">
      <c r="D4179" s="21" t="n">
        <v>0</v>
      </c>
      <c r="E4179" s="21" t="n">
        <v>0</v>
      </c>
      <c r="F4179" s="21" t="n">
        <v>0</v>
      </c>
      <c r="G4179" s="21" t="n">
        <v>0</v>
      </c>
      <c r="H4179" s="21" t="n">
        <v>0</v>
      </c>
      <c r="I4179" s="21" t="n">
        <v>0</v>
      </c>
      <c r="J4179" s="21" t="n">
        <v>0</v>
      </c>
      <c r="K4179" s="21" t="n">
        <v>0</v>
      </c>
      <c r="L4179" s="21" t="n">
        <v>0</v>
      </c>
      <c r="M4179" s="21" t="n">
        <v>0</v>
      </c>
      <c r="N4179" s="21">
        <f>-$B$3624</f>
        <v/>
      </c>
      <c r="O4179" s="21">
        <f>-$B$3625</f>
        <v/>
      </c>
      <c r="P4179" s="21">
        <f>2*$B$3624+$D$4161</f>
        <v/>
      </c>
      <c r="Q4179" s="21">
        <f>0</f>
        <v/>
      </c>
      <c r="R4179" s="21">
        <f>-$B$3624</f>
        <v/>
      </c>
      <c r="S4179" s="21">
        <f>$B$3625</f>
        <v/>
      </c>
      <c r="T4179" s="21" t="n">
        <v>0</v>
      </c>
      <c r="U4179" s="21" t="n">
        <v>0</v>
      </c>
      <c r="V4179" s="21" t="n">
        <v>0</v>
      </c>
      <c r="W4179" s="21" t="n">
        <v>0</v>
      </c>
      <c r="X4179" s="21" t="n">
        <v>0</v>
      </c>
      <c r="Y4179" s="21" t="n">
        <v>0</v>
      </c>
      <c r="Z4179" s="19" t="n"/>
    </row>
    <row r="4180">
      <c r="D4180" s="21" t="n">
        <v>0</v>
      </c>
      <c r="E4180" s="21" t="n">
        <v>0</v>
      </c>
      <c r="F4180" s="21" t="n">
        <v>0</v>
      </c>
      <c r="G4180" s="21" t="n">
        <v>0</v>
      </c>
      <c r="H4180" s="21" t="n">
        <v>0</v>
      </c>
      <c r="I4180" s="21" t="n">
        <v>0</v>
      </c>
      <c r="J4180" s="21" t="n">
        <v>0</v>
      </c>
      <c r="K4180" s="21" t="n">
        <v>0</v>
      </c>
      <c r="L4180" s="21" t="n">
        <v>0</v>
      </c>
      <c r="M4180" s="21" t="n">
        <v>0</v>
      </c>
      <c r="N4180" s="21">
        <f>$B$3625</f>
        <v/>
      </c>
      <c r="O4180" s="21">
        <f>$B$3627</f>
        <v/>
      </c>
      <c r="P4180" s="21">
        <f>0</f>
        <v/>
      </c>
      <c r="Q4180" s="21">
        <f>2*$B$3626</f>
        <v/>
      </c>
      <c r="R4180" s="21">
        <f>-$B$3625</f>
        <v/>
      </c>
      <c r="S4180" s="21">
        <f>$B$3627</f>
        <v/>
      </c>
      <c r="T4180" s="21" t="n">
        <v>0</v>
      </c>
      <c r="U4180" s="21" t="n">
        <v>0</v>
      </c>
      <c r="V4180" s="21" t="n">
        <v>0</v>
      </c>
      <c r="W4180" s="21" t="n">
        <v>0</v>
      </c>
      <c r="X4180" s="21" t="n">
        <v>0</v>
      </c>
      <c r="Y4180" s="21" t="n">
        <v>0</v>
      </c>
      <c r="Z4180" s="19" t="n"/>
    </row>
    <row r="4181">
      <c r="D4181" s="21" t="n">
        <v>0</v>
      </c>
      <c r="E4181" s="21" t="n">
        <v>0</v>
      </c>
      <c r="F4181" s="21" t="n">
        <v>0</v>
      </c>
      <c r="G4181" s="21" t="n">
        <v>0</v>
      </c>
      <c r="H4181" s="21" t="n">
        <v>0</v>
      </c>
      <c r="I4181" s="21" t="n">
        <v>0</v>
      </c>
      <c r="J4181" s="21" t="n">
        <v>0</v>
      </c>
      <c r="K4181" s="21" t="n">
        <v>0</v>
      </c>
      <c r="L4181" s="21" t="n">
        <v>0</v>
      </c>
      <c r="M4181" s="21" t="n">
        <v>0</v>
      </c>
      <c r="N4181" s="21" t="n">
        <v>0</v>
      </c>
      <c r="O4181" s="21" t="n">
        <v>0</v>
      </c>
      <c r="P4181" s="21">
        <f>-$B$3624</f>
        <v/>
      </c>
      <c r="Q4181" s="21">
        <f>-$B$3625</f>
        <v/>
      </c>
      <c r="R4181" s="21">
        <f>2*$B$3624+$D$4162</f>
        <v/>
      </c>
      <c r="S4181" s="21">
        <f>0</f>
        <v/>
      </c>
      <c r="T4181" s="21">
        <f>-$B$3624</f>
        <v/>
      </c>
      <c r="U4181" s="21">
        <f>$B$3625</f>
        <v/>
      </c>
      <c r="V4181" s="21" t="n">
        <v>0</v>
      </c>
      <c r="W4181" s="21" t="n">
        <v>0</v>
      </c>
      <c r="X4181" s="21" t="n">
        <v>0</v>
      </c>
      <c r="Y4181" s="21" t="n">
        <v>0</v>
      </c>
      <c r="Z4181" s="19" t="n"/>
    </row>
    <row r="4182">
      <c r="D4182" s="21" t="n">
        <v>0</v>
      </c>
      <c r="E4182" s="21" t="n">
        <v>0</v>
      </c>
      <c r="F4182" s="21" t="n">
        <v>0</v>
      </c>
      <c r="G4182" s="21" t="n">
        <v>0</v>
      </c>
      <c r="H4182" s="21" t="n">
        <v>0</v>
      </c>
      <c r="I4182" s="21" t="n">
        <v>0</v>
      </c>
      <c r="J4182" s="21" t="n">
        <v>0</v>
      </c>
      <c r="K4182" s="21" t="n">
        <v>0</v>
      </c>
      <c r="L4182" s="21" t="n">
        <v>0</v>
      </c>
      <c r="M4182" s="21" t="n">
        <v>0</v>
      </c>
      <c r="N4182" s="21" t="n">
        <v>0</v>
      </c>
      <c r="O4182" s="21" t="n">
        <v>0</v>
      </c>
      <c r="P4182" s="21">
        <f>$B$3625</f>
        <v/>
      </c>
      <c r="Q4182" s="21">
        <f>$B$3627</f>
        <v/>
      </c>
      <c r="R4182" s="21">
        <f>0</f>
        <v/>
      </c>
      <c r="S4182" s="21">
        <f>2*$B$3626</f>
        <v/>
      </c>
      <c r="T4182" s="21">
        <f>-$B$3625</f>
        <v/>
      </c>
      <c r="U4182" s="21">
        <f>$B$3627</f>
        <v/>
      </c>
      <c r="V4182" s="21" t="n">
        <v>0</v>
      </c>
      <c r="W4182" s="21" t="n">
        <v>0</v>
      </c>
      <c r="X4182" s="21" t="n">
        <v>0</v>
      </c>
      <c r="Y4182" s="21" t="n">
        <v>0</v>
      </c>
      <c r="Z4182" s="19" t="n"/>
    </row>
    <row r="4183">
      <c r="D4183" s="21" t="n">
        <v>0</v>
      </c>
      <c r="E4183" s="21" t="n">
        <v>0</v>
      </c>
      <c r="F4183" s="21" t="n">
        <v>0</v>
      </c>
      <c r="G4183" s="21" t="n">
        <v>0</v>
      </c>
      <c r="H4183" s="21" t="n">
        <v>0</v>
      </c>
      <c r="I4183" s="21" t="n">
        <v>0</v>
      </c>
      <c r="J4183" s="21" t="n">
        <v>0</v>
      </c>
      <c r="K4183" s="21" t="n">
        <v>0</v>
      </c>
      <c r="L4183" s="21" t="n">
        <v>0</v>
      </c>
      <c r="M4183" s="21" t="n">
        <v>0</v>
      </c>
      <c r="N4183" s="21" t="n">
        <v>0</v>
      </c>
      <c r="O4183" s="21" t="n">
        <v>0</v>
      </c>
      <c r="P4183" s="21" t="n">
        <v>0</v>
      </c>
      <c r="Q4183" s="21" t="n">
        <v>0</v>
      </c>
      <c r="R4183" s="21">
        <f>-$B$3624</f>
        <v/>
      </c>
      <c r="S4183" s="21">
        <f>-$B$3625</f>
        <v/>
      </c>
      <c r="T4183" s="21">
        <f>2*$B$3624+$D$4163</f>
        <v/>
      </c>
      <c r="U4183" s="21">
        <f>0</f>
        <v/>
      </c>
      <c r="V4183" s="21">
        <f>-$B$3624</f>
        <v/>
      </c>
      <c r="W4183" s="21">
        <f>$B$3625</f>
        <v/>
      </c>
      <c r="X4183" s="21" t="n">
        <v>0</v>
      </c>
      <c r="Y4183" s="21" t="n">
        <v>0</v>
      </c>
      <c r="Z4183" s="19" t="n"/>
    </row>
    <row r="4184">
      <c r="D4184" s="21" t="n">
        <v>0</v>
      </c>
      <c r="E4184" s="21" t="n">
        <v>0</v>
      </c>
      <c r="F4184" s="21" t="n">
        <v>0</v>
      </c>
      <c r="G4184" s="21" t="n">
        <v>0</v>
      </c>
      <c r="H4184" s="21" t="n">
        <v>0</v>
      </c>
      <c r="I4184" s="21" t="n">
        <v>0</v>
      </c>
      <c r="J4184" s="21" t="n">
        <v>0</v>
      </c>
      <c r="K4184" s="21" t="n">
        <v>0</v>
      </c>
      <c r="L4184" s="21" t="n">
        <v>0</v>
      </c>
      <c r="M4184" s="21" t="n">
        <v>0</v>
      </c>
      <c r="N4184" s="21" t="n">
        <v>0</v>
      </c>
      <c r="O4184" s="21" t="n">
        <v>0</v>
      </c>
      <c r="P4184" s="21" t="n">
        <v>0</v>
      </c>
      <c r="Q4184" s="21" t="n">
        <v>0</v>
      </c>
      <c r="R4184" s="21">
        <f>$B$3625</f>
        <v/>
      </c>
      <c r="S4184" s="21">
        <f>$B$3627</f>
        <v/>
      </c>
      <c r="T4184" s="21">
        <f>0</f>
        <v/>
      </c>
      <c r="U4184" s="21">
        <f>2*$B$3626</f>
        <v/>
      </c>
      <c r="V4184" s="21">
        <f>-$B$3625</f>
        <v/>
      </c>
      <c r="W4184" s="21">
        <f>$B$3627</f>
        <v/>
      </c>
      <c r="X4184" s="21" t="n">
        <v>0</v>
      </c>
      <c r="Y4184" s="21" t="n">
        <v>0</v>
      </c>
      <c r="Z4184" s="19" t="n"/>
    </row>
    <row r="4185">
      <c r="D4185" s="21" t="n">
        <v>0</v>
      </c>
      <c r="E4185" s="21" t="n">
        <v>0</v>
      </c>
      <c r="F4185" s="21" t="n">
        <v>0</v>
      </c>
      <c r="G4185" s="21" t="n">
        <v>0</v>
      </c>
      <c r="H4185" s="21" t="n">
        <v>0</v>
      </c>
      <c r="I4185" s="21" t="n">
        <v>0</v>
      </c>
      <c r="J4185" s="21" t="n">
        <v>0</v>
      </c>
      <c r="K4185" s="21" t="n">
        <v>0</v>
      </c>
      <c r="L4185" s="21" t="n">
        <v>0</v>
      </c>
      <c r="M4185" s="21" t="n">
        <v>0</v>
      </c>
      <c r="N4185" s="21" t="n">
        <v>0</v>
      </c>
      <c r="O4185" s="21" t="n">
        <v>0</v>
      </c>
      <c r="P4185" s="21" t="n">
        <v>0</v>
      </c>
      <c r="Q4185" s="21" t="n">
        <v>0</v>
      </c>
      <c r="R4185" s="21" t="n">
        <v>0</v>
      </c>
      <c r="S4185" s="21" t="n">
        <v>0</v>
      </c>
      <c r="T4185" s="21">
        <f>-$B$3624</f>
        <v/>
      </c>
      <c r="U4185" s="21">
        <f>-$B$3625</f>
        <v/>
      </c>
      <c r="V4185" s="21">
        <f>2*$B$3624+$D$4164</f>
        <v/>
      </c>
      <c r="W4185" s="21">
        <f>0</f>
        <v/>
      </c>
      <c r="X4185" s="21">
        <f>-$B$3624</f>
        <v/>
      </c>
      <c r="Y4185" s="21">
        <f>$B$3625</f>
        <v/>
      </c>
      <c r="Z4185" s="19" t="n"/>
    </row>
    <row r="4186">
      <c r="D4186" s="21" t="n">
        <v>0</v>
      </c>
      <c r="E4186" s="21" t="n">
        <v>0</v>
      </c>
      <c r="F4186" s="21" t="n">
        <v>0</v>
      </c>
      <c r="G4186" s="21" t="n">
        <v>0</v>
      </c>
      <c r="H4186" s="21" t="n">
        <v>0</v>
      </c>
      <c r="I4186" s="21" t="n">
        <v>0</v>
      </c>
      <c r="J4186" s="21" t="n">
        <v>0</v>
      </c>
      <c r="K4186" s="21" t="n">
        <v>0</v>
      </c>
      <c r="L4186" s="21" t="n">
        <v>0</v>
      </c>
      <c r="M4186" s="21" t="n">
        <v>0</v>
      </c>
      <c r="N4186" s="21" t="n">
        <v>0</v>
      </c>
      <c r="O4186" s="21" t="n">
        <v>0</v>
      </c>
      <c r="P4186" s="21" t="n">
        <v>0</v>
      </c>
      <c r="Q4186" s="21" t="n">
        <v>0</v>
      </c>
      <c r="R4186" s="21" t="n">
        <v>0</v>
      </c>
      <c r="S4186" s="21" t="n">
        <v>0</v>
      </c>
      <c r="T4186" s="21">
        <f>$B$3625</f>
        <v/>
      </c>
      <c r="U4186" s="21">
        <f>$B$3627</f>
        <v/>
      </c>
      <c r="V4186" s="21">
        <f>0</f>
        <v/>
      </c>
      <c r="W4186" s="21">
        <f>2*$B$3626</f>
        <v/>
      </c>
      <c r="X4186" s="21">
        <f>-$B$3625</f>
        <v/>
      </c>
      <c r="Y4186" s="21">
        <f>$B$3627</f>
        <v/>
      </c>
      <c r="Z4186" s="19" t="n"/>
    </row>
    <row r="4187">
      <c r="D4187" s="21" t="n">
        <v>0</v>
      </c>
      <c r="E4187" s="21" t="n">
        <v>0</v>
      </c>
      <c r="F4187" s="21" t="n">
        <v>0</v>
      </c>
      <c r="G4187" s="21" t="n">
        <v>0</v>
      </c>
      <c r="H4187" s="21" t="n">
        <v>0</v>
      </c>
      <c r="I4187" s="21" t="n">
        <v>0</v>
      </c>
      <c r="J4187" s="21" t="n">
        <v>0</v>
      </c>
      <c r="K4187" s="21" t="n">
        <v>0</v>
      </c>
      <c r="L4187" s="21" t="n">
        <v>0</v>
      </c>
      <c r="M4187" s="21" t="n">
        <v>0</v>
      </c>
      <c r="N4187" s="21" t="n">
        <v>0</v>
      </c>
      <c r="O4187" s="21" t="n">
        <v>0</v>
      </c>
      <c r="P4187" s="21" t="n">
        <v>0</v>
      </c>
      <c r="Q4187" s="21" t="n">
        <v>0</v>
      </c>
      <c r="R4187" s="21" t="n">
        <v>0</v>
      </c>
      <c r="S4187" s="21" t="n">
        <v>0</v>
      </c>
      <c r="T4187" s="21" t="n">
        <v>0</v>
      </c>
      <c r="U4187" s="21" t="n">
        <v>0</v>
      </c>
      <c r="V4187" s="21">
        <f>-$B$3624</f>
        <v/>
      </c>
      <c r="W4187" s="21">
        <f>-$B$3625</f>
        <v/>
      </c>
      <c r="X4187" s="21">
        <f>$B$3624+$D$4165</f>
        <v/>
      </c>
      <c r="Y4187" s="21">
        <f>-$B$3625</f>
        <v/>
      </c>
      <c r="Z4187" s="19" t="n"/>
    </row>
    <row r="4188">
      <c r="D4188" s="21" t="n">
        <v>0</v>
      </c>
      <c r="E4188" s="21" t="n">
        <v>0</v>
      </c>
      <c r="F4188" s="21" t="n">
        <v>0</v>
      </c>
      <c r="G4188" s="21" t="n">
        <v>0</v>
      </c>
      <c r="H4188" s="21" t="n">
        <v>0</v>
      </c>
      <c r="I4188" s="21" t="n">
        <v>0</v>
      </c>
      <c r="J4188" s="21" t="n">
        <v>0</v>
      </c>
      <c r="K4188" s="21" t="n">
        <v>0</v>
      </c>
      <c r="L4188" s="21" t="n">
        <v>0</v>
      </c>
      <c r="M4188" s="21" t="n">
        <v>0</v>
      </c>
      <c r="N4188" s="21" t="n">
        <v>0</v>
      </c>
      <c r="O4188" s="21" t="n">
        <v>0</v>
      </c>
      <c r="P4188" s="21" t="n">
        <v>0</v>
      </c>
      <c r="Q4188" s="21" t="n">
        <v>0</v>
      </c>
      <c r="R4188" s="21" t="n">
        <v>0</v>
      </c>
      <c r="S4188" s="21" t="n">
        <v>0</v>
      </c>
      <c r="T4188" s="21" t="n">
        <v>0</v>
      </c>
      <c r="U4188" s="21" t="n">
        <v>0</v>
      </c>
      <c r="V4188" s="21">
        <f>$B$3625</f>
        <v/>
      </c>
      <c r="W4188" s="21">
        <f>$B$3627</f>
        <v/>
      </c>
      <c r="X4188" s="21">
        <f>-$B$3625</f>
        <v/>
      </c>
      <c r="Y4188" s="21">
        <f>$B$3626</f>
        <v/>
      </c>
      <c r="Z4188" s="19" t="n"/>
    </row>
    <row r="4190">
      <c r="A4190" s="8" t="inlineStr">
        <is>
          <t>gen 15</t>
        </is>
      </c>
    </row>
    <row r="4191">
      <c r="D4191" s="19">
        <f>IF(ABS(IF(ABS($E$4155)&gt;0.000000001,$E$4155,0.000000001))=0,0,IF($E$3639&lt;=$B$3633,0,IF(ABS(IF(ABS($E$4155)&gt;0.000000001,$E$4155,0.000000001))&gt;=8*$B$3635,$H$3639,0.5*$H$3639*(ABS(IF(ABS($E$4155)&gt;0.000000001,$E$4155,0.000000001))/$B$3635)^(1/3)))/ABS(IF(ABS($E$4155)&gt;0.000000001,$E$4155,0.000000001))*$I$3639)</f>
        <v/>
      </c>
      <c r="E4191" s="19">
        <f>0.5*$E$4155+0.5*$Z$4203</f>
        <v/>
      </c>
      <c r="F4191" s="19">
        <f>$Z$4204</f>
        <v/>
      </c>
    </row>
    <row r="4192">
      <c r="D4192" s="19">
        <f>IF(ABS(IF(ABS($E$4156)&gt;0.000000001,$E$4156,0.000000001))=0,0,IF($E$3640&lt;=$B$3633,0,IF(ABS(IF(ABS($E$4156)&gt;0.000000001,$E$4156,0.000000001))&gt;=8*$B$3635,$H$3640,0.5*$H$3640*(ABS(IF(ABS($E$4156)&gt;0.000000001,$E$4156,0.000000001))/$B$3635)^(1/3)))/ABS(IF(ABS($E$4156)&gt;0.000000001,$E$4156,0.000000001))*$I$3640)</f>
        <v/>
      </c>
      <c r="E4192" s="19">
        <f>0.5*$E$4156+0.5*$Z$4205</f>
        <v/>
      </c>
      <c r="F4192" s="19">
        <f>$Z$4206</f>
        <v/>
      </c>
    </row>
    <row r="4193">
      <c r="D4193" s="19">
        <f>IF(ABS(IF(ABS($E$4157)&gt;0.000000001,$E$4157,0.000000001))=0,0,IF($E$3641&lt;=$B$3633,0,IF(ABS(IF(ABS($E$4157)&gt;0.000000001,$E$4157,0.000000001))&gt;=8*$B$3635,$H$3641,0.5*$H$3641*(ABS(IF(ABS($E$4157)&gt;0.000000001,$E$4157,0.000000001))/$B$3635)^(1/3)))/ABS(IF(ABS($E$4157)&gt;0.000000001,$E$4157,0.000000001))*$I$3641)</f>
        <v/>
      </c>
      <c r="E4193" s="19">
        <f>0.5*$E$4157+0.5*$Z$4207</f>
        <v/>
      </c>
      <c r="F4193" s="19">
        <f>$Z$4208</f>
        <v/>
      </c>
    </row>
    <row r="4194">
      <c r="D4194" s="19">
        <f>IF(ABS(IF(ABS($E$4158)&gt;0.000000001,$E$4158,0.000000001))=0,0,IF($E$3642&lt;=$B$3633,0,IF(ABS(IF(ABS($E$4158)&gt;0.000000001,$E$4158,0.000000001))&gt;=8*$B$3635,$H$3642,0.5*$H$3642*(ABS(IF(ABS($E$4158)&gt;0.000000001,$E$4158,0.000000001))/$B$3635)^(1/3)))/ABS(IF(ABS($E$4158)&gt;0.000000001,$E$4158,0.000000001))*$I$3642)</f>
        <v/>
      </c>
      <c r="E4194" s="19">
        <f>0.5*$E$4158+0.5*$Z$4209</f>
        <v/>
      </c>
      <c r="F4194" s="19">
        <f>$Z$4210</f>
        <v/>
      </c>
    </row>
    <row r="4195">
      <c r="D4195" s="19">
        <f>IF(ABS(IF(ABS($E$4159)&gt;0.000000001,$E$4159,0.000000001))=0,0,IF($E$3643&lt;=$B$3633,0,IF(ABS(IF(ABS($E$4159)&gt;0.000000001,$E$4159,0.000000001))&gt;=8*$B$3635,$H$3643,0.5*$H$3643*(ABS(IF(ABS($E$4159)&gt;0.000000001,$E$4159,0.000000001))/$B$3635)^(1/3)))/ABS(IF(ABS($E$4159)&gt;0.000000001,$E$4159,0.000000001))*$I$3643)</f>
        <v/>
      </c>
      <c r="E4195" s="19">
        <f>0.5*$E$4159+0.5*$Z$4211</f>
        <v/>
      </c>
      <c r="F4195" s="19">
        <f>$Z$4212</f>
        <v/>
      </c>
    </row>
    <row r="4196">
      <c r="D4196" s="19">
        <f>IF(ABS(IF(ABS($E$4160)&gt;0.000000001,$E$4160,0.000000001))=0,0,IF($E$3644&lt;=$B$3633,0,IF(ABS(IF(ABS($E$4160)&gt;0.000000001,$E$4160,0.000000001))&gt;=8*$B$3635,$H$3644,0.5*$H$3644*(ABS(IF(ABS($E$4160)&gt;0.000000001,$E$4160,0.000000001))/$B$3635)^(1/3)))/ABS(IF(ABS($E$4160)&gt;0.000000001,$E$4160,0.000000001))*$I$3644)</f>
        <v/>
      </c>
      <c r="E4196" s="19">
        <f>0.5*$E$4160+0.5*$Z$4213</f>
        <v/>
      </c>
      <c r="F4196" s="19">
        <f>$Z$4214</f>
        <v/>
      </c>
    </row>
    <row r="4197">
      <c r="D4197" s="19">
        <f>IF(ABS(IF(ABS($E$4161)&gt;0.000000001,$E$4161,0.000000001))=0,0,IF($E$3645&lt;=$B$3633,0,IF(ABS(IF(ABS($E$4161)&gt;0.000000001,$E$4161,0.000000001))&gt;=8*$B$3635,$H$3645,0.5*$H$3645*(ABS(IF(ABS($E$4161)&gt;0.000000001,$E$4161,0.000000001))/$B$3635)^(1/3)))/ABS(IF(ABS($E$4161)&gt;0.000000001,$E$4161,0.000000001))*$I$3645)</f>
        <v/>
      </c>
      <c r="E4197" s="19">
        <f>0.5*$E$4161+0.5*$Z$4215</f>
        <v/>
      </c>
      <c r="F4197" s="19">
        <f>$Z$4216</f>
        <v/>
      </c>
    </row>
    <row r="4198">
      <c r="D4198" s="19">
        <f>IF(ABS(IF(ABS($E$4162)&gt;0.000000001,$E$4162,0.000000001))=0,0,IF($E$3646&lt;=$B$3633,0,IF(ABS(IF(ABS($E$4162)&gt;0.000000001,$E$4162,0.000000001))&gt;=8*$B$3635,$H$3646,0.5*$H$3646*(ABS(IF(ABS($E$4162)&gt;0.000000001,$E$4162,0.000000001))/$B$3635)^(1/3)))/ABS(IF(ABS($E$4162)&gt;0.000000001,$E$4162,0.000000001))*$I$3646)</f>
        <v/>
      </c>
      <c r="E4198" s="19">
        <f>0.5*$E$4162+0.5*$Z$4217</f>
        <v/>
      </c>
      <c r="F4198" s="19">
        <f>$Z$4218</f>
        <v/>
      </c>
    </row>
    <row r="4199">
      <c r="D4199" s="19">
        <f>IF(ABS(IF(ABS($E$4163)&gt;0.000000001,$E$4163,0.000000001))=0,0,IF($E$3647&lt;=$B$3633,0,IF(ABS(IF(ABS($E$4163)&gt;0.000000001,$E$4163,0.000000001))&gt;=8*$B$3635,$H$3647,0.5*$H$3647*(ABS(IF(ABS($E$4163)&gt;0.000000001,$E$4163,0.000000001))/$B$3635)^(1/3)))/ABS(IF(ABS($E$4163)&gt;0.000000001,$E$4163,0.000000001))*$I$3647)</f>
        <v/>
      </c>
      <c r="E4199" s="19">
        <f>0.5*$E$4163+0.5*$Z$4219</f>
        <v/>
      </c>
      <c r="F4199" s="19">
        <f>$Z$4220</f>
        <v/>
      </c>
    </row>
    <row r="4200">
      <c r="D4200" s="19">
        <f>IF(ABS(IF(ABS($E$4164)&gt;0.000000001,$E$4164,0.000000001))=0,0,IF($E$3648&lt;=$B$3633,0,IF(ABS(IF(ABS($E$4164)&gt;0.000000001,$E$4164,0.000000001))&gt;=8*$B$3635,$H$3648,0.5*$H$3648*(ABS(IF(ABS($E$4164)&gt;0.000000001,$E$4164,0.000000001))/$B$3635)^(1/3)))/ABS(IF(ABS($E$4164)&gt;0.000000001,$E$4164,0.000000001))*$I$3648)</f>
        <v/>
      </c>
      <c r="E4200" s="19">
        <f>0.5*$E$4164+0.5*$Z$4221</f>
        <v/>
      </c>
      <c r="F4200" s="19">
        <f>$Z$4222</f>
        <v/>
      </c>
    </row>
    <row r="4201">
      <c r="D4201" s="19">
        <f>IF(ABS(IF(ABS($E$4165)&gt;0.000000001,$E$4165,0.000000001))=0,0,IF($E$3649&lt;=$B$3633,0,IF(ABS(IF(ABS($E$4165)&gt;0.000000001,$E$4165,0.000000001))&gt;=8*$B$3635,$H$3649,0.5*$H$3649*(ABS(IF(ABS($E$4165)&gt;0.000000001,$E$4165,0.000000001))/$B$3635)^(1/3)))/ABS(IF(ABS($E$4165)&gt;0.000000001,$E$4165,0.000000001))*$I$3649)</f>
        <v/>
      </c>
      <c r="E4201" s="19">
        <f>0.5*$E$4165+0.5*$Z$4223</f>
        <v/>
      </c>
      <c r="F4201" s="19">
        <f>$Z$4224</f>
        <v/>
      </c>
    </row>
    <row r="4203">
      <c r="D4203" s="21">
        <f>$B$3624+$D$4191</f>
        <v/>
      </c>
      <c r="E4203" s="21">
        <f>$B$3625</f>
        <v/>
      </c>
      <c r="F4203" s="21">
        <f>-$B$3624</f>
        <v/>
      </c>
      <c r="G4203" s="21">
        <f>$B$3625</f>
        <v/>
      </c>
      <c r="H4203" s="21" t="n">
        <v>0</v>
      </c>
      <c r="I4203" s="21" t="n">
        <v>0</v>
      </c>
      <c r="J4203" s="21" t="n">
        <v>0</v>
      </c>
      <c r="K4203" s="21" t="n">
        <v>0</v>
      </c>
      <c r="L4203" s="21" t="n">
        <v>0</v>
      </c>
      <c r="M4203" s="21" t="n">
        <v>0</v>
      </c>
      <c r="N4203" s="21" t="n">
        <v>0</v>
      </c>
      <c r="O4203" s="21" t="n">
        <v>0</v>
      </c>
      <c r="P4203" s="21" t="n">
        <v>0</v>
      </c>
      <c r="Q4203" s="21" t="n">
        <v>0</v>
      </c>
      <c r="R4203" s="21" t="n">
        <v>0</v>
      </c>
      <c r="S4203" s="21" t="n">
        <v>0</v>
      </c>
      <c r="T4203" s="21" t="n">
        <v>0</v>
      </c>
      <c r="U4203" s="21" t="n">
        <v>0</v>
      </c>
      <c r="V4203" s="21" t="n">
        <v>0</v>
      </c>
      <c r="W4203" s="21" t="n">
        <v>0</v>
      </c>
      <c r="X4203" s="21" t="n">
        <v>0</v>
      </c>
      <c r="Y4203" s="21" t="n">
        <v>0</v>
      </c>
      <c r="Z4203" s="19">
        <f t="array" ref="Z4203:Z4224">MMULT(MINVERSE($D$4203:$Y$4224),$D$3651:$D$3672)</f>
        <v/>
      </c>
    </row>
    <row r="4204">
      <c r="D4204" s="21">
        <f>$B$3625</f>
        <v/>
      </c>
      <c r="E4204" s="21">
        <f>$B$3626</f>
        <v/>
      </c>
      <c r="F4204" s="21">
        <f>-$B$3625</f>
        <v/>
      </c>
      <c r="G4204" s="21">
        <f>$B$3627</f>
        <v/>
      </c>
      <c r="H4204" s="21" t="n">
        <v>0</v>
      </c>
      <c r="I4204" s="21" t="n">
        <v>0</v>
      </c>
      <c r="J4204" s="21" t="n">
        <v>0</v>
      </c>
      <c r="K4204" s="21" t="n">
        <v>0</v>
      </c>
      <c r="L4204" s="21" t="n">
        <v>0</v>
      </c>
      <c r="M4204" s="21" t="n">
        <v>0</v>
      </c>
      <c r="N4204" s="21" t="n">
        <v>0</v>
      </c>
      <c r="O4204" s="21" t="n">
        <v>0</v>
      </c>
      <c r="P4204" s="21" t="n">
        <v>0</v>
      </c>
      <c r="Q4204" s="21" t="n">
        <v>0</v>
      </c>
      <c r="R4204" s="21" t="n">
        <v>0</v>
      </c>
      <c r="S4204" s="21" t="n">
        <v>0</v>
      </c>
      <c r="T4204" s="21" t="n">
        <v>0</v>
      </c>
      <c r="U4204" s="21" t="n">
        <v>0</v>
      </c>
      <c r="V4204" s="21" t="n">
        <v>0</v>
      </c>
      <c r="W4204" s="21" t="n">
        <v>0</v>
      </c>
      <c r="X4204" s="21" t="n">
        <v>0</v>
      </c>
      <c r="Y4204" s="21" t="n">
        <v>0</v>
      </c>
      <c r="Z4204" s="19" t="n"/>
    </row>
    <row r="4205">
      <c r="D4205" s="21">
        <f>-$B$3624</f>
        <v/>
      </c>
      <c r="E4205" s="21">
        <f>-$B$3625</f>
        <v/>
      </c>
      <c r="F4205" s="21">
        <f>2*$B$3624+$D$4192</f>
        <v/>
      </c>
      <c r="G4205" s="21">
        <f>0</f>
        <v/>
      </c>
      <c r="H4205" s="21">
        <f>-$B$3624</f>
        <v/>
      </c>
      <c r="I4205" s="21">
        <f>$B$3625</f>
        <v/>
      </c>
      <c r="J4205" s="21" t="n">
        <v>0</v>
      </c>
      <c r="K4205" s="21" t="n">
        <v>0</v>
      </c>
      <c r="L4205" s="21" t="n">
        <v>0</v>
      </c>
      <c r="M4205" s="21" t="n">
        <v>0</v>
      </c>
      <c r="N4205" s="21" t="n">
        <v>0</v>
      </c>
      <c r="O4205" s="21" t="n">
        <v>0</v>
      </c>
      <c r="P4205" s="21" t="n">
        <v>0</v>
      </c>
      <c r="Q4205" s="21" t="n">
        <v>0</v>
      </c>
      <c r="R4205" s="21" t="n">
        <v>0</v>
      </c>
      <c r="S4205" s="21" t="n">
        <v>0</v>
      </c>
      <c r="T4205" s="21" t="n">
        <v>0</v>
      </c>
      <c r="U4205" s="21" t="n">
        <v>0</v>
      </c>
      <c r="V4205" s="21" t="n">
        <v>0</v>
      </c>
      <c r="W4205" s="21" t="n">
        <v>0</v>
      </c>
      <c r="X4205" s="21" t="n">
        <v>0</v>
      </c>
      <c r="Y4205" s="21" t="n">
        <v>0</v>
      </c>
      <c r="Z4205" s="19" t="n"/>
    </row>
    <row r="4206">
      <c r="D4206" s="21">
        <f>$B$3625</f>
        <v/>
      </c>
      <c r="E4206" s="21">
        <f>$B$3627</f>
        <v/>
      </c>
      <c r="F4206" s="21">
        <f>0</f>
        <v/>
      </c>
      <c r="G4206" s="21">
        <f>2*$B$3626</f>
        <v/>
      </c>
      <c r="H4206" s="21">
        <f>-$B$3625</f>
        <v/>
      </c>
      <c r="I4206" s="21">
        <f>$B$3627</f>
        <v/>
      </c>
      <c r="J4206" s="21" t="n">
        <v>0</v>
      </c>
      <c r="K4206" s="21" t="n">
        <v>0</v>
      </c>
      <c r="L4206" s="21" t="n">
        <v>0</v>
      </c>
      <c r="M4206" s="21" t="n">
        <v>0</v>
      </c>
      <c r="N4206" s="21" t="n">
        <v>0</v>
      </c>
      <c r="O4206" s="21" t="n">
        <v>0</v>
      </c>
      <c r="P4206" s="21" t="n">
        <v>0</v>
      </c>
      <c r="Q4206" s="21" t="n">
        <v>0</v>
      </c>
      <c r="R4206" s="21" t="n">
        <v>0</v>
      </c>
      <c r="S4206" s="21" t="n">
        <v>0</v>
      </c>
      <c r="T4206" s="21" t="n">
        <v>0</v>
      </c>
      <c r="U4206" s="21" t="n">
        <v>0</v>
      </c>
      <c r="V4206" s="21" t="n">
        <v>0</v>
      </c>
      <c r="W4206" s="21" t="n">
        <v>0</v>
      </c>
      <c r="X4206" s="21" t="n">
        <v>0</v>
      </c>
      <c r="Y4206" s="21" t="n">
        <v>0</v>
      </c>
      <c r="Z4206" s="19" t="n"/>
    </row>
    <row r="4207">
      <c r="D4207" s="21" t="n">
        <v>0</v>
      </c>
      <c r="E4207" s="21" t="n">
        <v>0</v>
      </c>
      <c r="F4207" s="21">
        <f>-$B$3624</f>
        <v/>
      </c>
      <c r="G4207" s="21">
        <f>-$B$3625</f>
        <v/>
      </c>
      <c r="H4207" s="21">
        <f>2*$B$3624+$D$4193</f>
        <v/>
      </c>
      <c r="I4207" s="21">
        <f>0</f>
        <v/>
      </c>
      <c r="J4207" s="21">
        <f>-$B$3624</f>
        <v/>
      </c>
      <c r="K4207" s="21">
        <f>$B$3625</f>
        <v/>
      </c>
      <c r="L4207" s="21" t="n">
        <v>0</v>
      </c>
      <c r="M4207" s="21" t="n">
        <v>0</v>
      </c>
      <c r="N4207" s="21" t="n">
        <v>0</v>
      </c>
      <c r="O4207" s="21" t="n">
        <v>0</v>
      </c>
      <c r="P4207" s="21" t="n">
        <v>0</v>
      </c>
      <c r="Q4207" s="21" t="n">
        <v>0</v>
      </c>
      <c r="R4207" s="21" t="n">
        <v>0</v>
      </c>
      <c r="S4207" s="21" t="n">
        <v>0</v>
      </c>
      <c r="T4207" s="21" t="n">
        <v>0</v>
      </c>
      <c r="U4207" s="21" t="n">
        <v>0</v>
      </c>
      <c r="V4207" s="21" t="n">
        <v>0</v>
      </c>
      <c r="W4207" s="21" t="n">
        <v>0</v>
      </c>
      <c r="X4207" s="21" t="n">
        <v>0</v>
      </c>
      <c r="Y4207" s="21" t="n">
        <v>0</v>
      </c>
      <c r="Z4207" s="19" t="n"/>
    </row>
    <row r="4208">
      <c r="D4208" s="21" t="n">
        <v>0</v>
      </c>
      <c r="E4208" s="21" t="n">
        <v>0</v>
      </c>
      <c r="F4208" s="21">
        <f>$B$3625</f>
        <v/>
      </c>
      <c r="G4208" s="21">
        <f>$B$3627</f>
        <v/>
      </c>
      <c r="H4208" s="21">
        <f>0</f>
        <v/>
      </c>
      <c r="I4208" s="21">
        <f>2*$B$3626</f>
        <v/>
      </c>
      <c r="J4208" s="21">
        <f>-$B$3625</f>
        <v/>
      </c>
      <c r="K4208" s="21">
        <f>$B$3627</f>
        <v/>
      </c>
      <c r="L4208" s="21" t="n">
        <v>0</v>
      </c>
      <c r="M4208" s="21" t="n">
        <v>0</v>
      </c>
      <c r="N4208" s="21" t="n">
        <v>0</v>
      </c>
      <c r="O4208" s="21" t="n">
        <v>0</v>
      </c>
      <c r="P4208" s="21" t="n">
        <v>0</v>
      </c>
      <c r="Q4208" s="21" t="n">
        <v>0</v>
      </c>
      <c r="R4208" s="21" t="n">
        <v>0</v>
      </c>
      <c r="S4208" s="21" t="n">
        <v>0</v>
      </c>
      <c r="T4208" s="21" t="n">
        <v>0</v>
      </c>
      <c r="U4208" s="21" t="n">
        <v>0</v>
      </c>
      <c r="V4208" s="21" t="n">
        <v>0</v>
      </c>
      <c r="W4208" s="21" t="n">
        <v>0</v>
      </c>
      <c r="X4208" s="21" t="n">
        <v>0</v>
      </c>
      <c r="Y4208" s="21" t="n">
        <v>0</v>
      </c>
      <c r="Z4208" s="19" t="n"/>
    </row>
    <row r="4209">
      <c r="D4209" s="21" t="n">
        <v>0</v>
      </c>
      <c r="E4209" s="21" t="n">
        <v>0</v>
      </c>
      <c r="F4209" s="21" t="n">
        <v>0</v>
      </c>
      <c r="G4209" s="21" t="n">
        <v>0</v>
      </c>
      <c r="H4209" s="21">
        <f>-$B$3624</f>
        <v/>
      </c>
      <c r="I4209" s="21">
        <f>-$B$3625</f>
        <v/>
      </c>
      <c r="J4209" s="21">
        <f>2*$B$3624+$D$4194</f>
        <v/>
      </c>
      <c r="K4209" s="21">
        <f>0</f>
        <v/>
      </c>
      <c r="L4209" s="21">
        <f>-$B$3624</f>
        <v/>
      </c>
      <c r="M4209" s="21">
        <f>$B$3625</f>
        <v/>
      </c>
      <c r="N4209" s="21" t="n">
        <v>0</v>
      </c>
      <c r="O4209" s="21" t="n">
        <v>0</v>
      </c>
      <c r="P4209" s="21" t="n">
        <v>0</v>
      </c>
      <c r="Q4209" s="21" t="n">
        <v>0</v>
      </c>
      <c r="R4209" s="21" t="n">
        <v>0</v>
      </c>
      <c r="S4209" s="21" t="n">
        <v>0</v>
      </c>
      <c r="T4209" s="21" t="n">
        <v>0</v>
      </c>
      <c r="U4209" s="21" t="n">
        <v>0</v>
      </c>
      <c r="V4209" s="21" t="n">
        <v>0</v>
      </c>
      <c r="W4209" s="21" t="n">
        <v>0</v>
      </c>
      <c r="X4209" s="21" t="n">
        <v>0</v>
      </c>
      <c r="Y4209" s="21" t="n">
        <v>0</v>
      </c>
      <c r="Z4209" s="19" t="n"/>
    </row>
    <row r="4210">
      <c r="D4210" s="21" t="n">
        <v>0</v>
      </c>
      <c r="E4210" s="21" t="n">
        <v>0</v>
      </c>
      <c r="F4210" s="21" t="n">
        <v>0</v>
      </c>
      <c r="G4210" s="21" t="n">
        <v>0</v>
      </c>
      <c r="H4210" s="21">
        <f>$B$3625</f>
        <v/>
      </c>
      <c r="I4210" s="21">
        <f>$B$3627</f>
        <v/>
      </c>
      <c r="J4210" s="21">
        <f>0</f>
        <v/>
      </c>
      <c r="K4210" s="21">
        <f>2*$B$3626</f>
        <v/>
      </c>
      <c r="L4210" s="21">
        <f>-$B$3625</f>
        <v/>
      </c>
      <c r="M4210" s="21">
        <f>$B$3627</f>
        <v/>
      </c>
      <c r="N4210" s="21" t="n">
        <v>0</v>
      </c>
      <c r="O4210" s="21" t="n">
        <v>0</v>
      </c>
      <c r="P4210" s="21" t="n">
        <v>0</v>
      </c>
      <c r="Q4210" s="21" t="n">
        <v>0</v>
      </c>
      <c r="R4210" s="21" t="n">
        <v>0</v>
      </c>
      <c r="S4210" s="21" t="n">
        <v>0</v>
      </c>
      <c r="T4210" s="21" t="n">
        <v>0</v>
      </c>
      <c r="U4210" s="21" t="n">
        <v>0</v>
      </c>
      <c r="V4210" s="21" t="n">
        <v>0</v>
      </c>
      <c r="W4210" s="21" t="n">
        <v>0</v>
      </c>
      <c r="X4210" s="21" t="n">
        <v>0</v>
      </c>
      <c r="Y4210" s="21" t="n">
        <v>0</v>
      </c>
      <c r="Z4210" s="19" t="n"/>
    </row>
    <row r="4211">
      <c r="D4211" s="21" t="n">
        <v>0</v>
      </c>
      <c r="E4211" s="21" t="n">
        <v>0</v>
      </c>
      <c r="F4211" s="21" t="n">
        <v>0</v>
      </c>
      <c r="G4211" s="21" t="n">
        <v>0</v>
      </c>
      <c r="H4211" s="21" t="n">
        <v>0</v>
      </c>
      <c r="I4211" s="21" t="n">
        <v>0</v>
      </c>
      <c r="J4211" s="21">
        <f>-$B$3624</f>
        <v/>
      </c>
      <c r="K4211" s="21">
        <f>-$B$3625</f>
        <v/>
      </c>
      <c r="L4211" s="21">
        <f>2*$B$3624+$D$4195</f>
        <v/>
      </c>
      <c r="M4211" s="21">
        <f>0</f>
        <v/>
      </c>
      <c r="N4211" s="21">
        <f>-$B$3624</f>
        <v/>
      </c>
      <c r="O4211" s="21">
        <f>$B$3625</f>
        <v/>
      </c>
      <c r="P4211" s="21" t="n">
        <v>0</v>
      </c>
      <c r="Q4211" s="21" t="n">
        <v>0</v>
      </c>
      <c r="R4211" s="21" t="n">
        <v>0</v>
      </c>
      <c r="S4211" s="21" t="n">
        <v>0</v>
      </c>
      <c r="T4211" s="21" t="n">
        <v>0</v>
      </c>
      <c r="U4211" s="21" t="n">
        <v>0</v>
      </c>
      <c r="V4211" s="21" t="n">
        <v>0</v>
      </c>
      <c r="W4211" s="21" t="n">
        <v>0</v>
      </c>
      <c r="X4211" s="21" t="n">
        <v>0</v>
      </c>
      <c r="Y4211" s="21" t="n">
        <v>0</v>
      </c>
      <c r="Z4211" s="19" t="n"/>
    </row>
    <row r="4212">
      <c r="D4212" s="21" t="n">
        <v>0</v>
      </c>
      <c r="E4212" s="21" t="n">
        <v>0</v>
      </c>
      <c r="F4212" s="21" t="n">
        <v>0</v>
      </c>
      <c r="G4212" s="21" t="n">
        <v>0</v>
      </c>
      <c r="H4212" s="21" t="n">
        <v>0</v>
      </c>
      <c r="I4212" s="21" t="n">
        <v>0</v>
      </c>
      <c r="J4212" s="21">
        <f>$B$3625</f>
        <v/>
      </c>
      <c r="K4212" s="21">
        <f>$B$3627</f>
        <v/>
      </c>
      <c r="L4212" s="21">
        <f>0</f>
        <v/>
      </c>
      <c r="M4212" s="21">
        <f>2*$B$3626</f>
        <v/>
      </c>
      <c r="N4212" s="21">
        <f>-$B$3625</f>
        <v/>
      </c>
      <c r="O4212" s="21">
        <f>$B$3627</f>
        <v/>
      </c>
      <c r="P4212" s="21" t="n">
        <v>0</v>
      </c>
      <c r="Q4212" s="21" t="n">
        <v>0</v>
      </c>
      <c r="R4212" s="21" t="n">
        <v>0</v>
      </c>
      <c r="S4212" s="21" t="n">
        <v>0</v>
      </c>
      <c r="T4212" s="21" t="n">
        <v>0</v>
      </c>
      <c r="U4212" s="21" t="n">
        <v>0</v>
      </c>
      <c r="V4212" s="21" t="n">
        <v>0</v>
      </c>
      <c r="W4212" s="21" t="n">
        <v>0</v>
      </c>
      <c r="X4212" s="21" t="n">
        <v>0</v>
      </c>
      <c r="Y4212" s="21" t="n">
        <v>0</v>
      </c>
      <c r="Z4212" s="19" t="n"/>
    </row>
    <row r="4213">
      <c r="D4213" s="21" t="n">
        <v>0</v>
      </c>
      <c r="E4213" s="21" t="n">
        <v>0</v>
      </c>
      <c r="F4213" s="21" t="n">
        <v>0</v>
      </c>
      <c r="G4213" s="21" t="n">
        <v>0</v>
      </c>
      <c r="H4213" s="21" t="n">
        <v>0</v>
      </c>
      <c r="I4213" s="21" t="n">
        <v>0</v>
      </c>
      <c r="J4213" s="21" t="n">
        <v>0</v>
      </c>
      <c r="K4213" s="21" t="n">
        <v>0</v>
      </c>
      <c r="L4213" s="21">
        <f>-$B$3624</f>
        <v/>
      </c>
      <c r="M4213" s="21">
        <f>-$B$3625</f>
        <v/>
      </c>
      <c r="N4213" s="21">
        <f>2*$B$3624+$D$4196</f>
        <v/>
      </c>
      <c r="O4213" s="21">
        <f>0</f>
        <v/>
      </c>
      <c r="P4213" s="21">
        <f>-$B$3624</f>
        <v/>
      </c>
      <c r="Q4213" s="21">
        <f>$B$3625</f>
        <v/>
      </c>
      <c r="R4213" s="21" t="n">
        <v>0</v>
      </c>
      <c r="S4213" s="21" t="n">
        <v>0</v>
      </c>
      <c r="T4213" s="21" t="n">
        <v>0</v>
      </c>
      <c r="U4213" s="21" t="n">
        <v>0</v>
      </c>
      <c r="V4213" s="21" t="n">
        <v>0</v>
      </c>
      <c r="W4213" s="21" t="n">
        <v>0</v>
      </c>
      <c r="X4213" s="21" t="n">
        <v>0</v>
      </c>
      <c r="Y4213" s="21" t="n">
        <v>0</v>
      </c>
      <c r="Z4213" s="19" t="n"/>
    </row>
    <row r="4214">
      <c r="D4214" s="21" t="n">
        <v>0</v>
      </c>
      <c r="E4214" s="21" t="n">
        <v>0</v>
      </c>
      <c r="F4214" s="21" t="n">
        <v>0</v>
      </c>
      <c r="G4214" s="21" t="n">
        <v>0</v>
      </c>
      <c r="H4214" s="21" t="n">
        <v>0</v>
      </c>
      <c r="I4214" s="21" t="n">
        <v>0</v>
      </c>
      <c r="J4214" s="21" t="n">
        <v>0</v>
      </c>
      <c r="K4214" s="21" t="n">
        <v>0</v>
      </c>
      <c r="L4214" s="21">
        <f>$B$3625</f>
        <v/>
      </c>
      <c r="M4214" s="21">
        <f>$B$3627</f>
        <v/>
      </c>
      <c r="N4214" s="21">
        <f>0</f>
        <v/>
      </c>
      <c r="O4214" s="21">
        <f>2*$B$3626</f>
        <v/>
      </c>
      <c r="P4214" s="21">
        <f>-$B$3625</f>
        <v/>
      </c>
      <c r="Q4214" s="21">
        <f>$B$3627</f>
        <v/>
      </c>
      <c r="R4214" s="21" t="n">
        <v>0</v>
      </c>
      <c r="S4214" s="21" t="n">
        <v>0</v>
      </c>
      <c r="T4214" s="21" t="n">
        <v>0</v>
      </c>
      <c r="U4214" s="21" t="n">
        <v>0</v>
      </c>
      <c r="V4214" s="21" t="n">
        <v>0</v>
      </c>
      <c r="W4214" s="21" t="n">
        <v>0</v>
      </c>
      <c r="X4214" s="21" t="n">
        <v>0</v>
      </c>
      <c r="Y4214" s="21" t="n">
        <v>0</v>
      </c>
      <c r="Z4214" s="19" t="n"/>
    </row>
    <row r="4215">
      <c r="D4215" s="21" t="n">
        <v>0</v>
      </c>
      <c r="E4215" s="21" t="n">
        <v>0</v>
      </c>
      <c r="F4215" s="21" t="n">
        <v>0</v>
      </c>
      <c r="G4215" s="21" t="n">
        <v>0</v>
      </c>
      <c r="H4215" s="21" t="n">
        <v>0</v>
      </c>
      <c r="I4215" s="21" t="n">
        <v>0</v>
      </c>
      <c r="J4215" s="21" t="n">
        <v>0</v>
      </c>
      <c r="K4215" s="21" t="n">
        <v>0</v>
      </c>
      <c r="L4215" s="21" t="n">
        <v>0</v>
      </c>
      <c r="M4215" s="21" t="n">
        <v>0</v>
      </c>
      <c r="N4215" s="21">
        <f>-$B$3624</f>
        <v/>
      </c>
      <c r="O4215" s="21">
        <f>-$B$3625</f>
        <v/>
      </c>
      <c r="P4215" s="21">
        <f>2*$B$3624+$D$4197</f>
        <v/>
      </c>
      <c r="Q4215" s="21">
        <f>0</f>
        <v/>
      </c>
      <c r="R4215" s="21">
        <f>-$B$3624</f>
        <v/>
      </c>
      <c r="S4215" s="21">
        <f>$B$3625</f>
        <v/>
      </c>
      <c r="T4215" s="21" t="n">
        <v>0</v>
      </c>
      <c r="U4215" s="21" t="n">
        <v>0</v>
      </c>
      <c r="V4215" s="21" t="n">
        <v>0</v>
      </c>
      <c r="W4215" s="21" t="n">
        <v>0</v>
      </c>
      <c r="X4215" s="21" t="n">
        <v>0</v>
      </c>
      <c r="Y4215" s="21" t="n">
        <v>0</v>
      </c>
      <c r="Z4215" s="19" t="n"/>
    </row>
    <row r="4216">
      <c r="D4216" s="21" t="n">
        <v>0</v>
      </c>
      <c r="E4216" s="21" t="n">
        <v>0</v>
      </c>
      <c r="F4216" s="21" t="n">
        <v>0</v>
      </c>
      <c r="G4216" s="21" t="n">
        <v>0</v>
      </c>
      <c r="H4216" s="21" t="n">
        <v>0</v>
      </c>
      <c r="I4216" s="21" t="n">
        <v>0</v>
      </c>
      <c r="J4216" s="21" t="n">
        <v>0</v>
      </c>
      <c r="K4216" s="21" t="n">
        <v>0</v>
      </c>
      <c r="L4216" s="21" t="n">
        <v>0</v>
      </c>
      <c r="M4216" s="21" t="n">
        <v>0</v>
      </c>
      <c r="N4216" s="21">
        <f>$B$3625</f>
        <v/>
      </c>
      <c r="O4216" s="21">
        <f>$B$3627</f>
        <v/>
      </c>
      <c r="P4216" s="21">
        <f>0</f>
        <v/>
      </c>
      <c r="Q4216" s="21">
        <f>2*$B$3626</f>
        <v/>
      </c>
      <c r="R4216" s="21">
        <f>-$B$3625</f>
        <v/>
      </c>
      <c r="S4216" s="21">
        <f>$B$3627</f>
        <v/>
      </c>
      <c r="T4216" s="21" t="n">
        <v>0</v>
      </c>
      <c r="U4216" s="21" t="n">
        <v>0</v>
      </c>
      <c r="V4216" s="21" t="n">
        <v>0</v>
      </c>
      <c r="W4216" s="21" t="n">
        <v>0</v>
      </c>
      <c r="X4216" s="21" t="n">
        <v>0</v>
      </c>
      <c r="Y4216" s="21" t="n">
        <v>0</v>
      </c>
      <c r="Z4216" s="19" t="n"/>
    </row>
    <row r="4217">
      <c r="D4217" s="21" t="n">
        <v>0</v>
      </c>
      <c r="E4217" s="21" t="n">
        <v>0</v>
      </c>
      <c r="F4217" s="21" t="n">
        <v>0</v>
      </c>
      <c r="G4217" s="21" t="n">
        <v>0</v>
      </c>
      <c r="H4217" s="21" t="n">
        <v>0</v>
      </c>
      <c r="I4217" s="21" t="n">
        <v>0</v>
      </c>
      <c r="J4217" s="21" t="n">
        <v>0</v>
      </c>
      <c r="K4217" s="21" t="n">
        <v>0</v>
      </c>
      <c r="L4217" s="21" t="n">
        <v>0</v>
      </c>
      <c r="M4217" s="21" t="n">
        <v>0</v>
      </c>
      <c r="N4217" s="21" t="n">
        <v>0</v>
      </c>
      <c r="O4217" s="21" t="n">
        <v>0</v>
      </c>
      <c r="P4217" s="21">
        <f>-$B$3624</f>
        <v/>
      </c>
      <c r="Q4217" s="21">
        <f>-$B$3625</f>
        <v/>
      </c>
      <c r="R4217" s="21">
        <f>2*$B$3624+$D$4198</f>
        <v/>
      </c>
      <c r="S4217" s="21">
        <f>0</f>
        <v/>
      </c>
      <c r="T4217" s="21">
        <f>-$B$3624</f>
        <v/>
      </c>
      <c r="U4217" s="21">
        <f>$B$3625</f>
        <v/>
      </c>
      <c r="V4217" s="21" t="n">
        <v>0</v>
      </c>
      <c r="W4217" s="21" t="n">
        <v>0</v>
      </c>
      <c r="X4217" s="21" t="n">
        <v>0</v>
      </c>
      <c r="Y4217" s="21" t="n">
        <v>0</v>
      </c>
      <c r="Z4217" s="19" t="n"/>
    </row>
    <row r="4218">
      <c r="D4218" s="21" t="n">
        <v>0</v>
      </c>
      <c r="E4218" s="21" t="n">
        <v>0</v>
      </c>
      <c r="F4218" s="21" t="n">
        <v>0</v>
      </c>
      <c r="G4218" s="21" t="n">
        <v>0</v>
      </c>
      <c r="H4218" s="21" t="n">
        <v>0</v>
      </c>
      <c r="I4218" s="21" t="n">
        <v>0</v>
      </c>
      <c r="J4218" s="21" t="n">
        <v>0</v>
      </c>
      <c r="K4218" s="21" t="n">
        <v>0</v>
      </c>
      <c r="L4218" s="21" t="n">
        <v>0</v>
      </c>
      <c r="M4218" s="21" t="n">
        <v>0</v>
      </c>
      <c r="N4218" s="21" t="n">
        <v>0</v>
      </c>
      <c r="O4218" s="21" t="n">
        <v>0</v>
      </c>
      <c r="P4218" s="21">
        <f>$B$3625</f>
        <v/>
      </c>
      <c r="Q4218" s="21">
        <f>$B$3627</f>
        <v/>
      </c>
      <c r="R4218" s="21">
        <f>0</f>
        <v/>
      </c>
      <c r="S4218" s="21">
        <f>2*$B$3626</f>
        <v/>
      </c>
      <c r="T4218" s="21">
        <f>-$B$3625</f>
        <v/>
      </c>
      <c r="U4218" s="21">
        <f>$B$3627</f>
        <v/>
      </c>
      <c r="V4218" s="21" t="n">
        <v>0</v>
      </c>
      <c r="W4218" s="21" t="n">
        <v>0</v>
      </c>
      <c r="X4218" s="21" t="n">
        <v>0</v>
      </c>
      <c r="Y4218" s="21" t="n">
        <v>0</v>
      </c>
      <c r="Z4218" s="19" t="n"/>
    </row>
    <row r="4219">
      <c r="D4219" s="21" t="n">
        <v>0</v>
      </c>
      <c r="E4219" s="21" t="n">
        <v>0</v>
      </c>
      <c r="F4219" s="21" t="n">
        <v>0</v>
      </c>
      <c r="G4219" s="21" t="n">
        <v>0</v>
      </c>
      <c r="H4219" s="21" t="n">
        <v>0</v>
      </c>
      <c r="I4219" s="21" t="n">
        <v>0</v>
      </c>
      <c r="J4219" s="21" t="n">
        <v>0</v>
      </c>
      <c r="K4219" s="21" t="n">
        <v>0</v>
      </c>
      <c r="L4219" s="21" t="n">
        <v>0</v>
      </c>
      <c r="M4219" s="21" t="n">
        <v>0</v>
      </c>
      <c r="N4219" s="21" t="n">
        <v>0</v>
      </c>
      <c r="O4219" s="21" t="n">
        <v>0</v>
      </c>
      <c r="P4219" s="21" t="n">
        <v>0</v>
      </c>
      <c r="Q4219" s="21" t="n">
        <v>0</v>
      </c>
      <c r="R4219" s="21">
        <f>-$B$3624</f>
        <v/>
      </c>
      <c r="S4219" s="21">
        <f>-$B$3625</f>
        <v/>
      </c>
      <c r="T4219" s="21">
        <f>2*$B$3624+$D$4199</f>
        <v/>
      </c>
      <c r="U4219" s="21">
        <f>0</f>
        <v/>
      </c>
      <c r="V4219" s="21">
        <f>-$B$3624</f>
        <v/>
      </c>
      <c r="W4219" s="21">
        <f>$B$3625</f>
        <v/>
      </c>
      <c r="X4219" s="21" t="n">
        <v>0</v>
      </c>
      <c r="Y4219" s="21" t="n">
        <v>0</v>
      </c>
      <c r="Z4219" s="19" t="n"/>
    </row>
    <row r="4220">
      <c r="D4220" s="21" t="n">
        <v>0</v>
      </c>
      <c r="E4220" s="21" t="n">
        <v>0</v>
      </c>
      <c r="F4220" s="21" t="n">
        <v>0</v>
      </c>
      <c r="G4220" s="21" t="n">
        <v>0</v>
      </c>
      <c r="H4220" s="21" t="n">
        <v>0</v>
      </c>
      <c r="I4220" s="21" t="n">
        <v>0</v>
      </c>
      <c r="J4220" s="21" t="n">
        <v>0</v>
      </c>
      <c r="K4220" s="21" t="n">
        <v>0</v>
      </c>
      <c r="L4220" s="21" t="n">
        <v>0</v>
      </c>
      <c r="M4220" s="21" t="n">
        <v>0</v>
      </c>
      <c r="N4220" s="21" t="n">
        <v>0</v>
      </c>
      <c r="O4220" s="21" t="n">
        <v>0</v>
      </c>
      <c r="P4220" s="21" t="n">
        <v>0</v>
      </c>
      <c r="Q4220" s="21" t="n">
        <v>0</v>
      </c>
      <c r="R4220" s="21">
        <f>$B$3625</f>
        <v/>
      </c>
      <c r="S4220" s="21">
        <f>$B$3627</f>
        <v/>
      </c>
      <c r="T4220" s="21">
        <f>0</f>
        <v/>
      </c>
      <c r="U4220" s="21">
        <f>2*$B$3626</f>
        <v/>
      </c>
      <c r="V4220" s="21">
        <f>-$B$3625</f>
        <v/>
      </c>
      <c r="W4220" s="21">
        <f>$B$3627</f>
        <v/>
      </c>
      <c r="X4220" s="21" t="n">
        <v>0</v>
      </c>
      <c r="Y4220" s="21" t="n">
        <v>0</v>
      </c>
      <c r="Z4220" s="19" t="n"/>
    </row>
    <row r="4221">
      <c r="D4221" s="21" t="n">
        <v>0</v>
      </c>
      <c r="E4221" s="21" t="n">
        <v>0</v>
      </c>
      <c r="F4221" s="21" t="n">
        <v>0</v>
      </c>
      <c r="G4221" s="21" t="n">
        <v>0</v>
      </c>
      <c r="H4221" s="21" t="n">
        <v>0</v>
      </c>
      <c r="I4221" s="21" t="n">
        <v>0</v>
      </c>
      <c r="J4221" s="21" t="n">
        <v>0</v>
      </c>
      <c r="K4221" s="21" t="n">
        <v>0</v>
      </c>
      <c r="L4221" s="21" t="n">
        <v>0</v>
      </c>
      <c r="M4221" s="21" t="n">
        <v>0</v>
      </c>
      <c r="N4221" s="21" t="n">
        <v>0</v>
      </c>
      <c r="O4221" s="21" t="n">
        <v>0</v>
      </c>
      <c r="P4221" s="21" t="n">
        <v>0</v>
      </c>
      <c r="Q4221" s="21" t="n">
        <v>0</v>
      </c>
      <c r="R4221" s="21" t="n">
        <v>0</v>
      </c>
      <c r="S4221" s="21" t="n">
        <v>0</v>
      </c>
      <c r="T4221" s="21">
        <f>-$B$3624</f>
        <v/>
      </c>
      <c r="U4221" s="21">
        <f>-$B$3625</f>
        <v/>
      </c>
      <c r="V4221" s="21">
        <f>2*$B$3624+$D$4200</f>
        <v/>
      </c>
      <c r="W4221" s="21">
        <f>0</f>
        <v/>
      </c>
      <c r="X4221" s="21">
        <f>-$B$3624</f>
        <v/>
      </c>
      <c r="Y4221" s="21">
        <f>$B$3625</f>
        <v/>
      </c>
      <c r="Z4221" s="19" t="n"/>
    </row>
    <row r="4222">
      <c r="D4222" s="21" t="n">
        <v>0</v>
      </c>
      <c r="E4222" s="21" t="n">
        <v>0</v>
      </c>
      <c r="F4222" s="21" t="n">
        <v>0</v>
      </c>
      <c r="G4222" s="21" t="n">
        <v>0</v>
      </c>
      <c r="H4222" s="21" t="n">
        <v>0</v>
      </c>
      <c r="I4222" s="21" t="n">
        <v>0</v>
      </c>
      <c r="J4222" s="21" t="n">
        <v>0</v>
      </c>
      <c r="K4222" s="21" t="n">
        <v>0</v>
      </c>
      <c r="L4222" s="21" t="n">
        <v>0</v>
      </c>
      <c r="M4222" s="21" t="n">
        <v>0</v>
      </c>
      <c r="N4222" s="21" t="n">
        <v>0</v>
      </c>
      <c r="O4222" s="21" t="n">
        <v>0</v>
      </c>
      <c r="P4222" s="21" t="n">
        <v>0</v>
      </c>
      <c r="Q4222" s="21" t="n">
        <v>0</v>
      </c>
      <c r="R4222" s="21" t="n">
        <v>0</v>
      </c>
      <c r="S4222" s="21" t="n">
        <v>0</v>
      </c>
      <c r="T4222" s="21">
        <f>$B$3625</f>
        <v/>
      </c>
      <c r="U4222" s="21">
        <f>$B$3627</f>
        <v/>
      </c>
      <c r="V4222" s="21">
        <f>0</f>
        <v/>
      </c>
      <c r="W4222" s="21">
        <f>2*$B$3626</f>
        <v/>
      </c>
      <c r="X4222" s="21">
        <f>-$B$3625</f>
        <v/>
      </c>
      <c r="Y4222" s="21">
        <f>$B$3627</f>
        <v/>
      </c>
      <c r="Z4222" s="19" t="n"/>
    </row>
    <row r="4223">
      <c r="D4223" s="21" t="n">
        <v>0</v>
      </c>
      <c r="E4223" s="21" t="n">
        <v>0</v>
      </c>
      <c r="F4223" s="21" t="n">
        <v>0</v>
      </c>
      <c r="G4223" s="21" t="n">
        <v>0</v>
      </c>
      <c r="H4223" s="21" t="n">
        <v>0</v>
      </c>
      <c r="I4223" s="21" t="n">
        <v>0</v>
      </c>
      <c r="J4223" s="21" t="n">
        <v>0</v>
      </c>
      <c r="K4223" s="21" t="n">
        <v>0</v>
      </c>
      <c r="L4223" s="21" t="n">
        <v>0</v>
      </c>
      <c r="M4223" s="21" t="n">
        <v>0</v>
      </c>
      <c r="N4223" s="21" t="n">
        <v>0</v>
      </c>
      <c r="O4223" s="21" t="n">
        <v>0</v>
      </c>
      <c r="P4223" s="21" t="n">
        <v>0</v>
      </c>
      <c r="Q4223" s="21" t="n">
        <v>0</v>
      </c>
      <c r="R4223" s="21" t="n">
        <v>0</v>
      </c>
      <c r="S4223" s="21" t="n">
        <v>0</v>
      </c>
      <c r="T4223" s="21" t="n">
        <v>0</v>
      </c>
      <c r="U4223" s="21" t="n">
        <v>0</v>
      </c>
      <c r="V4223" s="21">
        <f>-$B$3624</f>
        <v/>
      </c>
      <c r="W4223" s="21">
        <f>-$B$3625</f>
        <v/>
      </c>
      <c r="X4223" s="21">
        <f>$B$3624+$D$4201</f>
        <v/>
      </c>
      <c r="Y4223" s="21">
        <f>-$B$3625</f>
        <v/>
      </c>
      <c r="Z4223" s="19" t="n"/>
    </row>
    <row r="4224">
      <c r="D4224" s="21" t="n">
        <v>0</v>
      </c>
      <c r="E4224" s="21" t="n">
        <v>0</v>
      </c>
      <c r="F4224" s="21" t="n">
        <v>0</v>
      </c>
      <c r="G4224" s="21" t="n">
        <v>0</v>
      </c>
      <c r="H4224" s="21" t="n">
        <v>0</v>
      </c>
      <c r="I4224" s="21" t="n">
        <v>0</v>
      </c>
      <c r="J4224" s="21" t="n">
        <v>0</v>
      </c>
      <c r="K4224" s="21" t="n">
        <v>0</v>
      </c>
      <c r="L4224" s="21" t="n">
        <v>0</v>
      </c>
      <c r="M4224" s="21" t="n">
        <v>0</v>
      </c>
      <c r="N4224" s="21" t="n">
        <v>0</v>
      </c>
      <c r="O4224" s="21" t="n">
        <v>0</v>
      </c>
      <c r="P4224" s="21" t="n">
        <v>0</v>
      </c>
      <c r="Q4224" s="21" t="n">
        <v>0</v>
      </c>
      <c r="R4224" s="21" t="n">
        <v>0</v>
      </c>
      <c r="S4224" s="21" t="n">
        <v>0</v>
      </c>
      <c r="T4224" s="21" t="n">
        <v>0</v>
      </c>
      <c r="U4224" s="21" t="n">
        <v>0</v>
      </c>
      <c r="V4224" s="21">
        <f>$B$3625</f>
        <v/>
      </c>
      <c r="W4224" s="21">
        <f>$B$3627</f>
        <v/>
      </c>
      <c r="X4224" s="21">
        <f>-$B$3625</f>
        <v/>
      </c>
      <c r="Y4224" s="21">
        <f>$B$3626</f>
        <v/>
      </c>
      <c r="Z4224" s="19" t="n"/>
    </row>
    <row r="4226">
      <c r="A4226" s="8" t="inlineStr">
        <is>
          <t>gen 16</t>
        </is>
      </c>
    </row>
    <row r="4227">
      <c r="D4227" s="19">
        <f>IF(ABS(IF(ABS($E$4191)&gt;0.000000001,$E$4191,0.000000001))=0,0,IF($E$3639&lt;=$B$3633,0,IF(ABS(IF(ABS($E$4191)&gt;0.000000001,$E$4191,0.000000001))&gt;=8*$B$3635,$H$3639,0.5*$H$3639*(ABS(IF(ABS($E$4191)&gt;0.000000001,$E$4191,0.000000001))/$B$3635)^(1/3)))/ABS(IF(ABS($E$4191)&gt;0.000000001,$E$4191,0.000000001))*$I$3639)</f>
        <v/>
      </c>
      <c r="E4227" s="19">
        <f>0.5*$E$4191+0.5*$Z$4239</f>
        <v/>
      </c>
      <c r="F4227" s="19">
        <f>$Z$4240</f>
        <v/>
      </c>
    </row>
    <row r="4228">
      <c r="D4228" s="19">
        <f>IF(ABS(IF(ABS($E$4192)&gt;0.000000001,$E$4192,0.000000001))=0,0,IF($E$3640&lt;=$B$3633,0,IF(ABS(IF(ABS($E$4192)&gt;0.000000001,$E$4192,0.000000001))&gt;=8*$B$3635,$H$3640,0.5*$H$3640*(ABS(IF(ABS($E$4192)&gt;0.000000001,$E$4192,0.000000001))/$B$3635)^(1/3)))/ABS(IF(ABS($E$4192)&gt;0.000000001,$E$4192,0.000000001))*$I$3640)</f>
        <v/>
      </c>
      <c r="E4228" s="19">
        <f>0.5*$E$4192+0.5*$Z$4241</f>
        <v/>
      </c>
      <c r="F4228" s="19">
        <f>$Z$4242</f>
        <v/>
      </c>
    </row>
    <row r="4229">
      <c r="D4229" s="19">
        <f>IF(ABS(IF(ABS($E$4193)&gt;0.000000001,$E$4193,0.000000001))=0,0,IF($E$3641&lt;=$B$3633,0,IF(ABS(IF(ABS($E$4193)&gt;0.000000001,$E$4193,0.000000001))&gt;=8*$B$3635,$H$3641,0.5*$H$3641*(ABS(IF(ABS($E$4193)&gt;0.000000001,$E$4193,0.000000001))/$B$3635)^(1/3)))/ABS(IF(ABS($E$4193)&gt;0.000000001,$E$4193,0.000000001))*$I$3641)</f>
        <v/>
      </c>
      <c r="E4229" s="19">
        <f>0.5*$E$4193+0.5*$Z$4243</f>
        <v/>
      </c>
      <c r="F4229" s="19">
        <f>$Z$4244</f>
        <v/>
      </c>
    </row>
    <row r="4230">
      <c r="D4230" s="19">
        <f>IF(ABS(IF(ABS($E$4194)&gt;0.000000001,$E$4194,0.000000001))=0,0,IF($E$3642&lt;=$B$3633,0,IF(ABS(IF(ABS($E$4194)&gt;0.000000001,$E$4194,0.000000001))&gt;=8*$B$3635,$H$3642,0.5*$H$3642*(ABS(IF(ABS($E$4194)&gt;0.000000001,$E$4194,0.000000001))/$B$3635)^(1/3)))/ABS(IF(ABS($E$4194)&gt;0.000000001,$E$4194,0.000000001))*$I$3642)</f>
        <v/>
      </c>
      <c r="E4230" s="19">
        <f>0.5*$E$4194+0.5*$Z$4245</f>
        <v/>
      </c>
      <c r="F4230" s="19">
        <f>$Z$4246</f>
        <v/>
      </c>
    </row>
    <row r="4231">
      <c r="D4231" s="19">
        <f>IF(ABS(IF(ABS($E$4195)&gt;0.000000001,$E$4195,0.000000001))=0,0,IF($E$3643&lt;=$B$3633,0,IF(ABS(IF(ABS($E$4195)&gt;0.000000001,$E$4195,0.000000001))&gt;=8*$B$3635,$H$3643,0.5*$H$3643*(ABS(IF(ABS($E$4195)&gt;0.000000001,$E$4195,0.000000001))/$B$3635)^(1/3)))/ABS(IF(ABS($E$4195)&gt;0.000000001,$E$4195,0.000000001))*$I$3643)</f>
        <v/>
      </c>
      <c r="E4231" s="19">
        <f>0.5*$E$4195+0.5*$Z$4247</f>
        <v/>
      </c>
      <c r="F4231" s="19">
        <f>$Z$4248</f>
        <v/>
      </c>
    </row>
    <row r="4232">
      <c r="D4232" s="19">
        <f>IF(ABS(IF(ABS($E$4196)&gt;0.000000001,$E$4196,0.000000001))=0,0,IF($E$3644&lt;=$B$3633,0,IF(ABS(IF(ABS($E$4196)&gt;0.000000001,$E$4196,0.000000001))&gt;=8*$B$3635,$H$3644,0.5*$H$3644*(ABS(IF(ABS($E$4196)&gt;0.000000001,$E$4196,0.000000001))/$B$3635)^(1/3)))/ABS(IF(ABS($E$4196)&gt;0.000000001,$E$4196,0.000000001))*$I$3644)</f>
        <v/>
      </c>
      <c r="E4232" s="19">
        <f>0.5*$E$4196+0.5*$Z$4249</f>
        <v/>
      </c>
      <c r="F4232" s="19">
        <f>$Z$4250</f>
        <v/>
      </c>
    </row>
    <row r="4233">
      <c r="D4233" s="19">
        <f>IF(ABS(IF(ABS($E$4197)&gt;0.000000001,$E$4197,0.000000001))=0,0,IF($E$3645&lt;=$B$3633,0,IF(ABS(IF(ABS($E$4197)&gt;0.000000001,$E$4197,0.000000001))&gt;=8*$B$3635,$H$3645,0.5*$H$3645*(ABS(IF(ABS($E$4197)&gt;0.000000001,$E$4197,0.000000001))/$B$3635)^(1/3)))/ABS(IF(ABS($E$4197)&gt;0.000000001,$E$4197,0.000000001))*$I$3645)</f>
        <v/>
      </c>
      <c r="E4233" s="19">
        <f>0.5*$E$4197+0.5*$Z$4251</f>
        <v/>
      </c>
      <c r="F4233" s="19">
        <f>$Z$4252</f>
        <v/>
      </c>
    </row>
    <row r="4234">
      <c r="D4234" s="19">
        <f>IF(ABS(IF(ABS($E$4198)&gt;0.000000001,$E$4198,0.000000001))=0,0,IF($E$3646&lt;=$B$3633,0,IF(ABS(IF(ABS($E$4198)&gt;0.000000001,$E$4198,0.000000001))&gt;=8*$B$3635,$H$3646,0.5*$H$3646*(ABS(IF(ABS($E$4198)&gt;0.000000001,$E$4198,0.000000001))/$B$3635)^(1/3)))/ABS(IF(ABS($E$4198)&gt;0.000000001,$E$4198,0.000000001))*$I$3646)</f>
        <v/>
      </c>
      <c r="E4234" s="19">
        <f>0.5*$E$4198+0.5*$Z$4253</f>
        <v/>
      </c>
      <c r="F4234" s="19">
        <f>$Z$4254</f>
        <v/>
      </c>
    </row>
    <row r="4235">
      <c r="D4235" s="19">
        <f>IF(ABS(IF(ABS($E$4199)&gt;0.000000001,$E$4199,0.000000001))=0,0,IF($E$3647&lt;=$B$3633,0,IF(ABS(IF(ABS($E$4199)&gt;0.000000001,$E$4199,0.000000001))&gt;=8*$B$3635,$H$3647,0.5*$H$3647*(ABS(IF(ABS($E$4199)&gt;0.000000001,$E$4199,0.000000001))/$B$3635)^(1/3)))/ABS(IF(ABS($E$4199)&gt;0.000000001,$E$4199,0.000000001))*$I$3647)</f>
        <v/>
      </c>
      <c r="E4235" s="19">
        <f>0.5*$E$4199+0.5*$Z$4255</f>
        <v/>
      </c>
      <c r="F4235" s="19">
        <f>$Z$4256</f>
        <v/>
      </c>
    </row>
    <row r="4236">
      <c r="D4236" s="19">
        <f>IF(ABS(IF(ABS($E$4200)&gt;0.000000001,$E$4200,0.000000001))=0,0,IF($E$3648&lt;=$B$3633,0,IF(ABS(IF(ABS($E$4200)&gt;0.000000001,$E$4200,0.000000001))&gt;=8*$B$3635,$H$3648,0.5*$H$3648*(ABS(IF(ABS($E$4200)&gt;0.000000001,$E$4200,0.000000001))/$B$3635)^(1/3)))/ABS(IF(ABS($E$4200)&gt;0.000000001,$E$4200,0.000000001))*$I$3648)</f>
        <v/>
      </c>
      <c r="E4236" s="19">
        <f>0.5*$E$4200+0.5*$Z$4257</f>
        <v/>
      </c>
      <c r="F4236" s="19">
        <f>$Z$4258</f>
        <v/>
      </c>
    </row>
    <row r="4237">
      <c r="D4237" s="19">
        <f>IF(ABS(IF(ABS($E$4201)&gt;0.000000001,$E$4201,0.000000001))=0,0,IF($E$3649&lt;=$B$3633,0,IF(ABS(IF(ABS($E$4201)&gt;0.000000001,$E$4201,0.000000001))&gt;=8*$B$3635,$H$3649,0.5*$H$3649*(ABS(IF(ABS($E$4201)&gt;0.000000001,$E$4201,0.000000001))/$B$3635)^(1/3)))/ABS(IF(ABS($E$4201)&gt;0.000000001,$E$4201,0.000000001))*$I$3649)</f>
        <v/>
      </c>
      <c r="E4237" s="19">
        <f>0.5*$E$4201+0.5*$Z$4259</f>
        <v/>
      </c>
      <c r="F4237" s="19">
        <f>$Z$4260</f>
        <v/>
      </c>
    </row>
    <row r="4239">
      <c r="D4239" s="21">
        <f>$B$3624+$D$4227</f>
        <v/>
      </c>
      <c r="E4239" s="21">
        <f>$B$3625</f>
        <v/>
      </c>
      <c r="F4239" s="21">
        <f>-$B$3624</f>
        <v/>
      </c>
      <c r="G4239" s="21">
        <f>$B$3625</f>
        <v/>
      </c>
      <c r="H4239" s="21" t="n">
        <v>0</v>
      </c>
      <c r="I4239" s="21" t="n">
        <v>0</v>
      </c>
      <c r="J4239" s="21" t="n">
        <v>0</v>
      </c>
      <c r="K4239" s="21" t="n">
        <v>0</v>
      </c>
      <c r="L4239" s="21" t="n">
        <v>0</v>
      </c>
      <c r="M4239" s="21" t="n">
        <v>0</v>
      </c>
      <c r="N4239" s="21" t="n">
        <v>0</v>
      </c>
      <c r="O4239" s="21" t="n">
        <v>0</v>
      </c>
      <c r="P4239" s="21" t="n">
        <v>0</v>
      </c>
      <c r="Q4239" s="21" t="n">
        <v>0</v>
      </c>
      <c r="R4239" s="21" t="n">
        <v>0</v>
      </c>
      <c r="S4239" s="21" t="n">
        <v>0</v>
      </c>
      <c r="T4239" s="21" t="n">
        <v>0</v>
      </c>
      <c r="U4239" s="21" t="n">
        <v>0</v>
      </c>
      <c r="V4239" s="21" t="n">
        <v>0</v>
      </c>
      <c r="W4239" s="21" t="n">
        <v>0</v>
      </c>
      <c r="X4239" s="21" t="n">
        <v>0</v>
      </c>
      <c r="Y4239" s="21" t="n">
        <v>0</v>
      </c>
      <c r="Z4239" s="19">
        <f t="array" ref="Z4239:Z4260">MMULT(MINVERSE($D$4239:$Y$4260),$D$3651:$D$3672)</f>
        <v/>
      </c>
    </row>
    <row r="4240">
      <c r="D4240" s="21">
        <f>$B$3625</f>
        <v/>
      </c>
      <c r="E4240" s="21">
        <f>$B$3626</f>
        <v/>
      </c>
      <c r="F4240" s="21">
        <f>-$B$3625</f>
        <v/>
      </c>
      <c r="G4240" s="21">
        <f>$B$3627</f>
        <v/>
      </c>
      <c r="H4240" s="21" t="n">
        <v>0</v>
      </c>
      <c r="I4240" s="21" t="n">
        <v>0</v>
      </c>
      <c r="J4240" s="21" t="n">
        <v>0</v>
      </c>
      <c r="K4240" s="21" t="n">
        <v>0</v>
      </c>
      <c r="L4240" s="21" t="n">
        <v>0</v>
      </c>
      <c r="M4240" s="21" t="n">
        <v>0</v>
      </c>
      <c r="N4240" s="21" t="n">
        <v>0</v>
      </c>
      <c r="O4240" s="21" t="n">
        <v>0</v>
      </c>
      <c r="P4240" s="21" t="n">
        <v>0</v>
      </c>
      <c r="Q4240" s="21" t="n">
        <v>0</v>
      </c>
      <c r="R4240" s="21" t="n">
        <v>0</v>
      </c>
      <c r="S4240" s="21" t="n">
        <v>0</v>
      </c>
      <c r="T4240" s="21" t="n">
        <v>0</v>
      </c>
      <c r="U4240" s="21" t="n">
        <v>0</v>
      </c>
      <c r="V4240" s="21" t="n">
        <v>0</v>
      </c>
      <c r="W4240" s="21" t="n">
        <v>0</v>
      </c>
      <c r="X4240" s="21" t="n">
        <v>0</v>
      </c>
      <c r="Y4240" s="21" t="n">
        <v>0</v>
      </c>
      <c r="Z4240" s="19" t="n"/>
    </row>
    <row r="4241">
      <c r="D4241" s="21">
        <f>-$B$3624</f>
        <v/>
      </c>
      <c r="E4241" s="21">
        <f>-$B$3625</f>
        <v/>
      </c>
      <c r="F4241" s="21">
        <f>2*$B$3624+$D$4228</f>
        <v/>
      </c>
      <c r="G4241" s="21">
        <f>0</f>
        <v/>
      </c>
      <c r="H4241" s="21">
        <f>-$B$3624</f>
        <v/>
      </c>
      <c r="I4241" s="21">
        <f>$B$3625</f>
        <v/>
      </c>
      <c r="J4241" s="21" t="n">
        <v>0</v>
      </c>
      <c r="K4241" s="21" t="n">
        <v>0</v>
      </c>
      <c r="L4241" s="21" t="n">
        <v>0</v>
      </c>
      <c r="M4241" s="21" t="n">
        <v>0</v>
      </c>
      <c r="N4241" s="21" t="n">
        <v>0</v>
      </c>
      <c r="O4241" s="21" t="n">
        <v>0</v>
      </c>
      <c r="P4241" s="21" t="n">
        <v>0</v>
      </c>
      <c r="Q4241" s="21" t="n">
        <v>0</v>
      </c>
      <c r="R4241" s="21" t="n">
        <v>0</v>
      </c>
      <c r="S4241" s="21" t="n">
        <v>0</v>
      </c>
      <c r="T4241" s="21" t="n">
        <v>0</v>
      </c>
      <c r="U4241" s="21" t="n">
        <v>0</v>
      </c>
      <c r="V4241" s="21" t="n">
        <v>0</v>
      </c>
      <c r="W4241" s="21" t="n">
        <v>0</v>
      </c>
      <c r="X4241" s="21" t="n">
        <v>0</v>
      </c>
      <c r="Y4241" s="21" t="n">
        <v>0</v>
      </c>
      <c r="Z4241" s="19" t="n"/>
    </row>
    <row r="4242">
      <c r="D4242" s="21">
        <f>$B$3625</f>
        <v/>
      </c>
      <c r="E4242" s="21">
        <f>$B$3627</f>
        <v/>
      </c>
      <c r="F4242" s="21">
        <f>0</f>
        <v/>
      </c>
      <c r="G4242" s="21">
        <f>2*$B$3626</f>
        <v/>
      </c>
      <c r="H4242" s="21">
        <f>-$B$3625</f>
        <v/>
      </c>
      <c r="I4242" s="21">
        <f>$B$3627</f>
        <v/>
      </c>
      <c r="J4242" s="21" t="n">
        <v>0</v>
      </c>
      <c r="K4242" s="21" t="n">
        <v>0</v>
      </c>
      <c r="L4242" s="21" t="n">
        <v>0</v>
      </c>
      <c r="M4242" s="21" t="n">
        <v>0</v>
      </c>
      <c r="N4242" s="21" t="n">
        <v>0</v>
      </c>
      <c r="O4242" s="21" t="n">
        <v>0</v>
      </c>
      <c r="P4242" s="21" t="n">
        <v>0</v>
      </c>
      <c r="Q4242" s="21" t="n">
        <v>0</v>
      </c>
      <c r="R4242" s="21" t="n">
        <v>0</v>
      </c>
      <c r="S4242" s="21" t="n">
        <v>0</v>
      </c>
      <c r="T4242" s="21" t="n">
        <v>0</v>
      </c>
      <c r="U4242" s="21" t="n">
        <v>0</v>
      </c>
      <c r="V4242" s="21" t="n">
        <v>0</v>
      </c>
      <c r="W4242" s="21" t="n">
        <v>0</v>
      </c>
      <c r="X4242" s="21" t="n">
        <v>0</v>
      </c>
      <c r="Y4242" s="21" t="n">
        <v>0</v>
      </c>
      <c r="Z4242" s="19" t="n"/>
    </row>
    <row r="4243">
      <c r="D4243" s="21" t="n">
        <v>0</v>
      </c>
      <c r="E4243" s="21" t="n">
        <v>0</v>
      </c>
      <c r="F4243" s="21">
        <f>-$B$3624</f>
        <v/>
      </c>
      <c r="G4243" s="21">
        <f>-$B$3625</f>
        <v/>
      </c>
      <c r="H4243" s="21">
        <f>2*$B$3624+$D$4229</f>
        <v/>
      </c>
      <c r="I4243" s="21">
        <f>0</f>
        <v/>
      </c>
      <c r="J4243" s="21">
        <f>-$B$3624</f>
        <v/>
      </c>
      <c r="K4243" s="21">
        <f>$B$3625</f>
        <v/>
      </c>
      <c r="L4243" s="21" t="n">
        <v>0</v>
      </c>
      <c r="M4243" s="21" t="n">
        <v>0</v>
      </c>
      <c r="N4243" s="21" t="n">
        <v>0</v>
      </c>
      <c r="O4243" s="21" t="n">
        <v>0</v>
      </c>
      <c r="P4243" s="21" t="n">
        <v>0</v>
      </c>
      <c r="Q4243" s="21" t="n">
        <v>0</v>
      </c>
      <c r="R4243" s="21" t="n">
        <v>0</v>
      </c>
      <c r="S4243" s="21" t="n">
        <v>0</v>
      </c>
      <c r="T4243" s="21" t="n">
        <v>0</v>
      </c>
      <c r="U4243" s="21" t="n">
        <v>0</v>
      </c>
      <c r="V4243" s="21" t="n">
        <v>0</v>
      </c>
      <c r="W4243" s="21" t="n">
        <v>0</v>
      </c>
      <c r="X4243" s="21" t="n">
        <v>0</v>
      </c>
      <c r="Y4243" s="21" t="n">
        <v>0</v>
      </c>
      <c r="Z4243" s="19" t="n"/>
    </row>
    <row r="4244">
      <c r="D4244" s="21" t="n">
        <v>0</v>
      </c>
      <c r="E4244" s="21" t="n">
        <v>0</v>
      </c>
      <c r="F4244" s="21">
        <f>$B$3625</f>
        <v/>
      </c>
      <c r="G4244" s="21">
        <f>$B$3627</f>
        <v/>
      </c>
      <c r="H4244" s="21">
        <f>0</f>
        <v/>
      </c>
      <c r="I4244" s="21">
        <f>2*$B$3626</f>
        <v/>
      </c>
      <c r="J4244" s="21">
        <f>-$B$3625</f>
        <v/>
      </c>
      <c r="K4244" s="21">
        <f>$B$3627</f>
        <v/>
      </c>
      <c r="L4244" s="21" t="n">
        <v>0</v>
      </c>
      <c r="M4244" s="21" t="n">
        <v>0</v>
      </c>
      <c r="N4244" s="21" t="n">
        <v>0</v>
      </c>
      <c r="O4244" s="21" t="n">
        <v>0</v>
      </c>
      <c r="P4244" s="21" t="n">
        <v>0</v>
      </c>
      <c r="Q4244" s="21" t="n">
        <v>0</v>
      </c>
      <c r="R4244" s="21" t="n">
        <v>0</v>
      </c>
      <c r="S4244" s="21" t="n">
        <v>0</v>
      </c>
      <c r="T4244" s="21" t="n">
        <v>0</v>
      </c>
      <c r="U4244" s="21" t="n">
        <v>0</v>
      </c>
      <c r="V4244" s="21" t="n">
        <v>0</v>
      </c>
      <c r="W4244" s="21" t="n">
        <v>0</v>
      </c>
      <c r="X4244" s="21" t="n">
        <v>0</v>
      </c>
      <c r="Y4244" s="21" t="n">
        <v>0</v>
      </c>
      <c r="Z4244" s="19" t="n"/>
    </row>
    <row r="4245">
      <c r="D4245" s="21" t="n">
        <v>0</v>
      </c>
      <c r="E4245" s="21" t="n">
        <v>0</v>
      </c>
      <c r="F4245" s="21" t="n">
        <v>0</v>
      </c>
      <c r="G4245" s="21" t="n">
        <v>0</v>
      </c>
      <c r="H4245" s="21">
        <f>-$B$3624</f>
        <v/>
      </c>
      <c r="I4245" s="21">
        <f>-$B$3625</f>
        <v/>
      </c>
      <c r="J4245" s="21">
        <f>2*$B$3624+$D$4230</f>
        <v/>
      </c>
      <c r="K4245" s="21">
        <f>0</f>
        <v/>
      </c>
      <c r="L4245" s="21">
        <f>-$B$3624</f>
        <v/>
      </c>
      <c r="M4245" s="21">
        <f>$B$3625</f>
        <v/>
      </c>
      <c r="N4245" s="21" t="n">
        <v>0</v>
      </c>
      <c r="O4245" s="21" t="n">
        <v>0</v>
      </c>
      <c r="P4245" s="21" t="n">
        <v>0</v>
      </c>
      <c r="Q4245" s="21" t="n">
        <v>0</v>
      </c>
      <c r="R4245" s="21" t="n">
        <v>0</v>
      </c>
      <c r="S4245" s="21" t="n">
        <v>0</v>
      </c>
      <c r="T4245" s="21" t="n">
        <v>0</v>
      </c>
      <c r="U4245" s="21" t="n">
        <v>0</v>
      </c>
      <c r="V4245" s="21" t="n">
        <v>0</v>
      </c>
      <c r="W4245" s="21" t="n">
        <v>0</v>
      </c>
      <c r="X4245" s="21" t="n">
        <v>0</v>
      </c>
      <c r="Y4245" s="21" t="n">
        <v>0</v>
      </c>
      <c r="Z4245" s="19" t="n"/>
    </row>
    <row r="4246">
      <c r="D4246" s="21" t="n">
        <v>0</v>
      </c>
      <c r="E4246" s="21" t="n">
        <v>0</v>
      </c>
      <c r="F4246" s="21" t="n">
        <v>0</v>
      </c>
      <c r="G4246" s="21" t="n">
        <v>0</v>
      </c>
      <c r="H4246" s="21">
        <f>$B$3625</f>
        <v/>
      </c>
      <c r="I4246" s="21">
        <f>$B$3627</f>
        <v/>
      </c>
      <c r="J4246" s="21">
        <f>0</f>
        <v/>
      </c>
      <c r="K4246" s="21">
        <f>2*$B$3626</f>
        <v/>
      </c>
      <c r="L4246" s="21">
        <f>-$B$3625</f>
        <v/>
      </c>
      <c r="M4246" s="21">
        <f>$B$3627</f>
        <v/>
      </c>
      <c r="N4246" s="21" t="n">
        <v>0</v>
      </c>
      <c r="O4246" s="21" t="n">
        <v>0</v>
      </c>
      <c r="P4246" s="21" t="n">
        <v>0</v>
      </c>
      <c r="Q4246" s="21" t="n">
        <v>0</v>
      </c>
      <c r="R4246" s="21" t="n">
        <v>0</v>
      </c>
      <c r="S4246" s="21" t="n">
        <v>0</v>
      </c>
      <c r="T4246" s="21" t="n">
        <v>0</v>
      </c>
      <c r="U4246" s="21" t="n">
        <v>0</v>
      </c>
      <c r="V4246" s="21" t="n">
        <v>0</v>
      </c>
      <c r="W4246" s="21" t="n">
        <v>0</v>
      </c>
      <c r="X4246" s="21" t="n">
        <v>0</v>
      </c>
      <c r="Y4246" s="21" t="n">
        <v>0</v>
      </c>
      <c r="Z4246" s="19" t="n"/>
    </row>
    <row r="4247">
      <c r="D4247" s="21" t="n">
        <v>0</v>
      </c>
      <c r="E4247" s="21" t="n">
        <v>0</v>
      </c>
      <c r="F4247" s="21" t="n">
        <v>0</v>
      </c>
      <c r="G4247" s="21" t="n">
        <v>0</v>
      </c>
      <c r="H4247" s="21" t="n">
        <v>0</v>
      </c>
      <c r="I4247" s="21" t="n">
        <v>0</v>
      </c>
      <c r="J4247" s="21">
        <f>-$B$3624</f>
        <v/>
      </c>
      <c r="K4247" s="21">
        <f>-$B$3625</f>
        <v/>
      </c>
      <c r="L4247" s="21">
        <f>2*$B$3624+$D$4231</f>
        <v/>
      </c>
      <c r="M4247" s="21">
        <f>0</f>
        <v/>
      </c>
      <c r="N4247" s="21">
        <f>-$B$3624</f>
        <v/>
      </c>
      <c r="O4247" s="21">
        <f>$B$3625</f>
        <v/>
      </c>
      <c r="P4247" s="21" t="n">
        <v>0</v>
      </c>
      <c r="Q4247" s="21" t="n">
        <v>0</v>
      </c>
      <c r="R4247" s="21" t="n">
        <v>0</v>
      </c>
      <c r="S4247" s="21" t="n">
        <v>0</v>
      </c>
      <c r="T4247" s="21" t="n">
        <v>0</v>
      </c>
      <c r="U4247" s="21" t="n">
        <v>0</v>
      </c>
      <c r="V4247" s="21" t="n">
        <v>0</v>
      </c>
      <c r="W4247" s="21" t="n">
        <v>0</v>
      </c>
      <c r="X4247" s="21" t="n">
        <v>0</v>
      </c>
      <c r="Y4247" s="21" t="n">
        <v>0</v>
      </c>
      <c r="Z4247" s="19" t="n"/>
    </row>
    <row r="4248">
      <c r="D4248" s="21" t="n">
        <v>0</v>
      </c>
      <c r="E4248" s="21" t="n">
        <v>0</v>
      </c>
      <c r="F4248" s="21" t="n">
        <v>0</v>
      </c>
      <c r="G4248" s="21" t="n">
        <v>0</v>
      </c>
      <c r="H4248" s="21" t="n">
        <v>0</v>
      </c>
      <c r="I4248" s="21" t="n">
        <v>0</v>
      </c>
      <c r="J4248" s="21">
        <f>$B$3625</f>
        <v/>
      </c>
      <c r="K4248" s="21">
        <f>$B$3627</f>
        <v/>
      </c>
      <c r="L4248" s="21">
        <f>0</f>
        <v/>
      </c>
      <c r="M4248" s="21">
        <f>2*$B$3626</f>
        <v/>
      </c>
      <c r="N4248" s="21">
        <f>-$B$3625</f>
        <v/>
      </c>
      <c r="O4248" s="21">
        <f>$B$3627</f>
        <v/>
      </c>
      <c r="P4248" s="21" t="n">
        <v>0</v>
      </c>
      <c r="Q4248" s="21" t="n">
        <v>0</v>
      </c>
      <c r="R4248" s="21" t="n">
        <v>0</v>
      </c>
      <c r="S4248" s="21" t="n">
        <v>0</v>
      </c>
      <c r="T4248" s="21" t="n">
        <v>0</v>
      </c>
      <c r="U4248" s="21" t="n">
        <v>0</v>
      </c>
      <c r="V4248" s="21" t="n">
        <v>0</v>
      </c>
      <c r="W4248" s="21" t="n">
        <v>0</v>
      </c>
      <c r="X4248" s="21" t="n">
        <v>0</v>
      </c>
      <c r="Y4248" s="21" t="n">
        <v>0</v>
      </c>
      <c r="Z4248" s="19" t="n"/>
    </row>
    <row r="4249">
      <c r="D4249" s="21" t="n">
        <v>0</v>
      </c>
      <c r="E4249" s="21" t="n">
        <v>0</v>
      </c>
      <c r="F4249" s="21" t="n">
        <v>0</v>
      </c>
      <c r="G4249" s="21" t="n">
        <v>0</v>
      </c>
      <c r="H4249" s="21" t="n">
        <v>0</v>
      </c>
      <c r="I4249" s="21" t="n">
        <v>0</v>
      </c>
      <c r="J4249" s="21" t="n">
        <v>0</v>
      </c>
      <c r="K4249" s="21" t="n">
        <v>0</v>
      </c>
      <c r="L4249" s="21">
        <f>-$B$3624</f>
        <v/>
      </c>
      <c r="M4249" s="21">
        <f>-$B$3625</f>
        <v/>
      </c>
      <c r="N4249" s="21">
        <f>2*$B$3624+$D$4232</f>
        <v/>
      </c>
      <c r="O4249" s="21">
        <f>0</f>
        <v/>
      </c>
      <c r="P4249" s="21">
        <f>-$B$3624</f>
        <v/>
      </c>
      <c r="Q4249" s="21">
        <f>$B$3625</f>
        <v/>
      </c>
      <c r="R4249" s="21" t="n">
        <v>0</v>
      </c>
      <c r="S4249" s="21" t="n">
        <v>0</v>
      </c>
      <c r="T4249" s="21" t="n">
        <v>0</v>
      </c>
      <c r="U4249" s="21" t="n">
        <v>0</v>
      </c>
      <c r="V4249" s="21" t="n">
        <v>0</v>
      </c>
      <c r="W4249" s="21" t="n">
        <v>0</v>
      </c>
      <c r="X4249" s="21" t="n">
        <v>0</v>
      </c>
      <c r="Y4249" s="21" t="n">
        <v>0</v>
      </c>
      <c r="Z4249" s="19" t="n"/>
    </row>
    <row r="4250">
      <c r="D4250" s="21" t="n">
        <v>0</v>
      </c>
      <c r="E4250" s="21" t="n">
        <v>0</v>
      </c>
      <c r="F4250" s="21" t="n">
        <v>0</v>
      </c>
      <c r="G4250" s="21" t="n">
        <v>0</v>
      </c>
      <c r="H4250" s="21" t="n">
        <v>0</v>
      </c>
      <c r="I4250" s="21" t="n">
        <v>0</v>
      </c>
      <c r="J4250" s="21" t="n">
        <v>0</v>
      </c>
      <c r="K4250" s="21" t="n">
        <v>0</v>
      </c>
      <c r="L4250" s="21">
        <f>$B$3625</f>
        <v/>
      </c>
      <c r="M4250" s="21">
        <f>$B$3627</f>
        <v/>
      </c>
      <c r="N4250" s="21">
        <f>0</f>
        <v/>
      </c>
      <c r="O4250" s="21">
        <f>2*$B$3626</f>
        <v/>
      </c>
      <c r="P4250" s="21">
        <f>-$B$3625</f>
        <v/>
      </c>
      <c r="Q4250" s="21">
        <f>$B$3627</f>
        <v/>
      </c>
      <c r="R4250" s="21" t="n">
        <v>0</v>
      </c>
      <c r="S4250" s="21" t="n">
        <v>0</v>
      </c>
      <c r="T4250" s="21" t="n">
        <v>0</v>
      </c>
      <c r="U4250" s="21" t="n">
        <v>0</v>
      </c>
      <c r="V4250" s="21" t="n">
        <v>0</v>
      </c>
      <c r="W4250" s="21" t="n">
        <v>0</v>
      </c>
      <c r="X4250" s="21" t="n">
        <v>0</v>
      </c>
      <c r="Y4250" s="21" t="n">
        <v>0</v>
      </c>
      <c r="Z4250" s="19" t="n"/>
    </row>
    <row r="4251">
      <c r="D4251" s="21" t="n">
        <v>0</v>
      </c>
      <c r="E4251" s="21" t="n">
        <v>0</v>
      </c>
      <c r="F4251" s="21" t="n">
        <v>0</v>
      </c>
      <c r="G4251" s="21" t="n">
        <v>0</v>
      </c>
      <c r="H4251" s="21" t="n">
        <v>0</v>
      </c>
      <c r="I4251" s="21" t="n">
        <v>0</v>
      </c>
      <c r="J4251" s="21" t="n">
        <v>0</v>
      </c>
      <c r="K4251" s="21" t="n">
        <v>0</v>
      </c>
      <c r="L4251" s="21" t="n">
        <v>0</v>
      </c>
      <c r="M4251" s="21" t="n">
        <v>0</v>
      </c>
      <c r="N4251" s="21">
        <f>-$B$3624</f>
        <v/>
      </c>
      <c r="O4251" s="21">
        <f>-$B$3625</f>
        <v/>
      </c>
      <c r="P4251" s="21">
        <f>2*$B$3624+$D$4233</f>
        <v/>
      </c>
      <c r="Q4251" s="21">
        <f>0</f>
        <v/>
      </c>
      <c r="R4251" s="21">
        <f>-$B$3624</f>
        <v/>
      </c>
      <c r="S4251" s="21">
        <f>$B$3625</f>
        <v/>
      </c>
      <c r="T4251" s="21" t="n">
        <v>0</v>
      </c>
      <c r="U4251" s="21" t="n">
        <v>0</v>
      </c>
      <c r="V4251" s="21" t="n">
        <v>0</v>
      </c>
      <c r="W4251" s="21" t="n">
        <v>0</v>
      </c>
      <c r="X4251" s="21" t="n">
        <v>0</v>
      </c>
      <c r="Y4251" s="21" t="n">
        <v>0</v>
      </c>
      <c r="Z4251" s="19" t="n"/>
    </row>
    <row r="4252">
      <c r="D4252" s="21" t="n">
        <v>0</v>
      </c>
      <c r="E4252" s="21" t="n">
        <v>0</v>
      </c>
      <c r="F4252" s="21" t="n">
        <v>0</v>
      </c>
      <c r="G4252" s="21" t="n">
        <v>0</v>
      </c>
      <c r="H4252" s="21" t="n">
        <v>0</v>
      </c>
      <c r="I4252" s="21" t="n">
        <v>0</v>
      </c>
      <c r="J4252" s="21" t="n">
        <v>0</v>
      </c>
      <c r="K4252" s="21" t="n">
        <v>0</v>
      </c>
      <c r="L4252" s="21" t="n">
        <v>0</v>
      </c>
      <c r="M4252" s="21" t="n">
        <v>0</v>
      </c>
      <c r="N4252" s="21">
        <f>$B$3625</f>
        <v/>
      </c>
      <c r="O4252" s="21">
        <f>$B$3627</f>
        <v/>
      </c>
      <c r="P4252" s="21">
        <f>0</f>
        <v/>
      </c>
      <c r="Q4252" s="21">
        <f>2*$B$3626</f>
        <v/>
      </c>
      <c r="R4252" s="21">
        <f>-$B$3625</f>
        <v/>
      </c>
      <c r="S4252" s="21">
        <f>$B$3627</f>
        <v/>
      </c>
      <c r="T4252" s="21" t="n">
        <v>0</v>
      </c>
      <c r="U4252" s="21" t="n">
        <v>0</v>
      </c>
      <c r="V4252" s="21" t="n">
        <v>0</v>
      </c>
      <c r="W4252" s="21" t="n">
        <v>0</v>
      </c>
      <c r="X4252" s="21" t="n">
        <v>0</v>
      </c>
      <c r="Y4252" s="21" t="n">
        <v>0</v>
      </c>
      <c r="Z4252" s="19" t="n"/>
    </row>
    <row r="4253">
      <c r="D4253" s="21" t="n">
        <v>0</v>
      </c>
      <c r="E4253" s="21" t="n">
        <v>0</v>
      </c>
      <c r="F4253" s="21" t="n">
        <v>0</v>
      </c>
      <c r="G4253" s="21" t="n">
        <v>0</v>
      </c>
      <c r="H4253" s="21" t="n">
        <v>0</v>
      </c>
      <c r="I4253" s="21" t="n">
        <v>0</v>
      </c>
      <c r="J4253" s="21" t="n">
        <v>0</v>
      </c>
      <c r="K4253" s="21" t="n">
        <v>0</v>
      </c>
      <c r="L4253" s="21" t="n">
        <v>0</v>
      </c>
      <c r="M4253" s="21" t="n">
        <v>0</v>
      </c>
      <c r="N4253" s="21" t="n">
        <v>0</v>
      </c>
      <c r="O4253" s="21" t="n">
        <v>0</v>
      </c>
      <c r="P4253" s="21">
        <f>-$B$3624</f>
        <v/>
      </c>
      <c r="Q4253" s="21">
        <f>-$B$3625</f>
        <v/>
      </c>
      <c r="R4253" s="21">
        <f>2*$B$3624+$D$4234</f>
        <v/>
      </c>
      <c r="S4253" s="21">
        <f>0</f>
        <v/>
      </c>
      <c r="T4253" s="21">
        <f>-$B$3624</f>
        <v/>
      </c>
      <c r="U4253" s="21">
        <f>$B$3625</f>
        <v/>
      </c>
      <c r="V4253" s="21" t="n">
        <v>0</v>
      </c>
      <c r="W4253" s="21" t="n">
        <v>0</v>
      </c>
      <c r="X4253" s="21" t="n">
        <v>0</v>
      </c>
      <c r="Y4253" s="21" t="n">
        <v>0</v>
      </c>
      <c r="Z4253" s="19" t="n"/>
    </row>
    <row r="4254">
      <c r="D4254" s="21" t="n">
        <v>0</v>
      </c>
      <c r="E4254" s="21" t="n">
        <v>0</v>
      </c>
      <c r="F4254" s="21" t="n">
        <v>0</v>
      </c>
      <c r="G4254" s="21" t="n">
        <v>0</v>
      </c>
      <c r="H4254" s="21" t="n">
        <v>0</v>
      </c>
      <c r="I4254" s="21" t="n">
        <v>0</v>
      </c>
      <c r="J4254" s="21" t="n">
        <v>0</v>
      </c>
      <c r="K4254" s="21" t="n">
        <v>0</v>
      </c>
      <c r="L4254" s="21" t="n">
        <v>0</v>
      </c>
      <c r="M4254" s="21" t="n">
        <v>0</v>
      </c>
      <c r="N4254" s="21" t="n">
        <v>0</v>
      </c>
      <c r="O4254" s="21" t="n">
        <v>0</v>
      </c>
      <c r="P4254" s="21">
        <f>$B$3625</f>
        <v/>
      </c>
      <c r="Q4254" s="21">
        <f>$B$3627</f>
        <v/>
      </c>
      <c r="R4254" s="21">
        <f>0</f>
        <v/>
      </c>
      <c r="S4254" s="21">
        <f>2*$B$3626</f>
        <v/>
      </c>
      <c r="T4254" s="21">
        <f>-$B$3625</f>
        <v/>
      </c>
      <c r="U4254" s="21">
        <f>$B$3627</f>
        <v/>
      </c>
      <c r="V4254" s="21" t="n">
        <v>0</v>
      </c>
      <c r="W4254" s="21" t="n">
        <v>0</v>
      </c>
      <c r="X4254" s="21" t="n">
        <v>0</v>
      </c>
      <c r="Y4254" s="21" t="n">
        <v>0</v>
      </c>
      <c r="Z4254" s="19" t="n"/>
    </row>
    <row r="4255">
      <c r="D4255" s="21" t="n">
        <v>0</v>
      </c>
      <c r="E4255" s="21" t="n">
        <v>0</v>
      </c>
      <c r="F4255" s="21" t="n">
        <v>0</v>
      </c>
      <c r="G4255" s="21" t="n">
        <v>0</v>
      </c>
      <c r="H4255" s="21" t="n">
        <v>0</v>
      </c>
      <c r="I4255" s="21" t="n">
        <v>0</v>
      </c>
      <c r="J4255" s="21" t="n">
        <v>0</v>
      </c>
      <c r="K4255" s="21" t="n">
        <v>0</v>
      </c>
      <c r="L4255" s="21" t="n">
        <v>0</v>
      </c>
      <c r="M4255" s="21" t="n">
        <v>0</v>
      </c>
      <c r="N4255" s="21" t="n">
        <v>0</v>
      </c>
      <c r="O4255" s="21" t="n">
        <v>0</v>
      </c>
      <c r="P4255" s="21" t="n">
        <v>0</v>
      </c>
      <c r="Q4255" s="21" t="n">
        <v>0</v>
      </c>
      <c r="R4255" s="21">
        <f>-$B$3624</f>
        <v/>
      </c>
      <c r="S4255" s="21">
        <f>-$B$3625</f>
        <v/>
      </c>
      <c r="T4255" s="21">
        <f>2*$B$3624+$D$4235</f>
        <v/>
      </c>
      <c r="U4255" s="21">
        <f>0</f>
        <v/>
      </c>
      <c r="V4255" s="21">
        <f>-$B$3624</f>
        <v/>
      </c>
      <c r="W4255" s="21">
        <f>$B$3625</f>
        <v/>
      </c>
      <c r="X4255" s="21" t="n">
        <v>0</v>
      </c>
      <c r="Y4255" s="21" t="n">
        <v>0</v>
      </c>
      <c r="Z4255" s="19" t="n"/>
    </row>
    <row r="4256">
      <c r="D4256" s="21" t="n">
        <v>0</v>
      </c>
      <c r="E4256" s="21" t="n">
        <v>0</v>
      </c>
      <c r="F4256" s="21" t="n">
        <v>0</v>
      </c>
      <c r="G4256" s="21" t="n">
        <v>0</v>
      </c>
      <c r="H4256" s="21" t="n">
        <v>0</v>
      </c>
      <c r="I4256" s="21" t="n">
        <v>0</v>
      </c>
      <c r="J4256" s="21" t="n">
        <v>0</v>
      </c>
      <c r="K4256" s="21" t="n">
        <v>0</v>
      </c>
      <c r="L4256" s="21" t="n">
        <v>0</v>
      </c>
      <c r="M4256" s="21" t="n">
        <v>0</v>
      </c>
      <c r="N4256" s="21" t="n">
        <v>0</v>
      </c>
      <c r="O4256" s="21" t="n">
        <v>0</v>
      </c>
      <c r="P4256" s="21" t="n">
        <v>0</v>
      </c>
      <c r="Q4256" s="21" t="n">
        <v>0</v>
      </c>
      <c r="R4256" s="21">
        <f>$B$3625</f>
        <v/>
      </c>
      <c r="S4256" s="21">
        <f>$B$3627</f>
        <v/>
      </c>
      <c r="T4256" s="21">
        <f>0</f>
        <v/>
      </c>
      <c r="U4256" s="21">
        <f>2*$B$3626</f>
        <v/>
      </c>
      <c r="V4256" s="21">
        <f>-$B$3625</f>
        <v/>
      </c>
      <c r="W4256" s="21">
        <f>$B$3627</f>
        <v/>
      </c>
      <c r="X4256" s="21" t="n">
        <v>0</v>
      </c>
      <c r="Y4256" s="21" t="n">
        <v>0</v>
      </c>
      <c r="Z4256" s="19" t="n"/>
    </row>
    <row r="4257">
      <c r="D4257" s="21" t="n">
        <v>0</v>
      </c>
      <c r="E4257" s="21" t="n">
        <v>0</v>
      </c>
      <c r="F4257" s="21" t="n">
        <v>0</v>
      </c>
      <c r="G4257" s="21" t="n">
        <v>0</v>
      </c>
      <c r="H4257" s="21" t="n">
        <v>0</v>
      </c>
      <c r="I4257" s="21" t="n">
        <v>0</v>
      </c>
      <c r="J4257" s="21" t="n">
        <v>0</v>
      </c>
      <c r="K4257" s="21" t="n">
        <v>0</v>
      </c>
      <c r="L4257" s="21" t="n">
        <v>0</v>
      </c>
      <c r="M4257" s="21" t="n">
        <v>0</v>
      </c>
      <c r="N4257" s="21" t="n">
        <v>0</v>
      </c>
      <c r="O4257" s="21" t="n">
        <v>0</v>
      </c>
      <c r="P4257" s="21" t="n">
        <v>0</v>
      </c>
      <c r="Q4257" s="21" t="n">
        <v>0</v>
      </c>
      <c r="R4257" s="21" t="n">
        <v>0</v>
      </c>
      <c r="S4257" s="21" t="n">
        <v>0</v>
      </c>
      <c r="T4257" s="21">
        <f>-$B$3624</f>
        <v/>
      </c>
      <c r="U4257" s="21">
        <f>-$B$3625</f>
        <v/>
      </c>
      <c r="V4257" s="21">
        <f>2*$B$3624+$D$4236</f>
        <v/>
      </c>
      <c r="W4257" s="21">
        <f>0</f>
        <v/>
      </c>
      <c r="X4257" s="21">
        <f>-$B$3624</f>
        <v/>
      </c>
      <c r="Y4257" s="21">
        <f>$B$3625</f>
        <v/>
      </c>
      <c r="Z4257" s="19" t="n"/>
    </row>
    <row r="4258">
      <c r="D4258" s="21" t="n">
        <v>0</v>
      </c>
      <c r="E4258" s="21" t="n">
        <v>0</v>
      </c>
      <c r="F4258" s="21" t="n">
        <v>0</v>
      </c>
      <c r="G4258" s="21" t="n">
        <v>0</v>
      </c>
      <c r="H4258" s="21" t="n">
        <v>0</v>
      </c>
      <c r="I4258" s="21" t="n">
        <v>0</v>
      </c>
      <c r="J4258" s="21" t="n">
        <v>0</v>
      </c>
      <c r="K4258" s="21" t="n">
        <v>0</v>
      </c>
      <c r="L4258" s="21" t="n">
        <v>0</v>
      </c>
      <c r="M4258" s="21" t="n">
        <v>0</v>
      </c>
      <c r="N4258" s="21" t="n">
        <v>0</v>
      </c>
      <c r="O4258" s="21" t="n">
        <v>0</v>
      </c>
      <c r="P4258" s="21" t="n">
        <v>0</v>
      </c>
      <c r="Q4258" s="21" t="n">
        <v>0</v>
      </c>
      <c r="R4258" s="21" t="n">
        <v>0</v>
      </c>
      <c r="S4258" s="21" t="n">
        <v>0</v>
      </c>
      <c r="T4258" s="21">
        <f>$B$3625</f>
        <v/>
      </c>
      <c r="U4258" s="21">
        <f>$B$3627</f>
        <v/>
      </c>
      <c r="V4258" s="21">
        <f>0</f>
        <v/>
      </c>
      <c r="W4258" s="21">
        <f>2*$B$3626</f>
        <v/>
      </c>
      <c r="X4258" s="21">
        <f>-$B$3625</f>
        <v/>
      </c>
      <c r="Y4258" s="21">
        <f>$B$3627</f>
        <v/>
      </c>
      <c r="Z4258" s="19" t="n"/>
    </row>
    <row r="4259">
      <c r="D4259" s="21" t="n">
        <v>0</v>
      </c>
      <c r="E4259" s="21" t="n">
        <v>0</v>
      </c>
      <c r="F4259" s="21" t="n">
        <v>0</v>
      </c>
      <c r="G4259" s="21" t="n">
        <v>0</v>
      </c>
      <c r="H4259" s="21" t="n">
        <v>0</v>
      </c>
      <c r="I4259" s="21" t="n">
        <v>0</v>
      </c>
      <c r="J4259" s="21" t="n">
        <v>0</v>
      </c>
      <c r="K4259" s="21" t="n">
        <v>0</v>
      </c>
      <c r="L4259" s="21" t="n">
        <v>0</v>
      </c>
      <c r="M4259" s="21" t="n">
        <v>0</v>
      </c>
      <c r="N4259" s="21" t="n">
        <v>0</v>
      </c>
      <c r="O4259" s="21" t="n">
        <v>0</v>
      </c>
      <c r="P4259" s="21" t="n">
        <v>0</v>
      </c>
      <c r="Q4259" s="21" t="n">
        <v>0</v>
      </c>
      <c r="R4259" s="21" t="n">
        <v>0</v>
      </c>
      <c r="S4259" s="21" t="n">
        <v>0</v>
      </c>
      <c r="T4259" s="21" t="n">
        <v>0</v>
      </c>
      <c r="U4259" s="21" t="n">
        <v>0</v>
      </c>
      <c r="V4259" s="21">
        <f>-$B$3624</f>
        <v/>
      </c>
      <c r="W4259" s="21">
        <f>-$B$3625</f>
        <v/>
      </c>
      <c r="X4259" s="21">
        <f>$B$3624+$D$4237</f>
        <v/>
      </c>
      <c r="Y4259" s="21">
        <f>-$B$3625</f>
        <v/>
      </c>
      <c r="Z4259" s="19" t="n"/>
    </row>
    <row r="4260">
      <c r="D4260" s="21" t="n">
        <v>0</v>
      </c>
      <c r="E4260" s="21" t="n">
        <v>0</v>
      </c>
      <c r="F4260" s="21" t="n">
        <v>0</v>
      </c>
      <c r="G4260" s="21" t="n">
        <v>0</v>
      </c>
      <c r="H4260" s="21" t="n">
        <v>0</v>
      </c>
      <c r="I4260" s="21" t="n">
        <v>0</v>
      </c>
      <c r="J4260" s="21" t="n">
        <v>0</v>
      </c>
      <c r="K4260" s="21" t="n">
        <v>0</v>
      </c>
      <c r="L4260" s="21" t="n">
        <v>0</v>
      </c>
      <c r="M4260" s="21" t="n">
        <v>0</v>
      </c>
      <c r="N4260" s="21" t="n">
        <v>0</v>
      </c>
      <c r="O4260" s="21" t="n">
        <v>0</v>
      </c>
      <c r="P4260" s="21" t="n">
        <v>0</v>
      </c>
      <c r="Q4260" s="21" t="n">
        <v>0</v>
      </c>
      <c r="R4260" s="21" t="n">
        <v>0</v>
      </c>
      <c r="S4260" s="21" t="n">
        <v>0</v>
      </c>
      <c r="T4260" s="21" t="n">
        <v>0</v>
      </c>
      <c r="U4260" s="21" t="n">
        <v>0</v>
      </c>
      <c r="V4260" s="21">
        <f>$B$3625</f>
        <v/>
      </c>
      <c r="W4260" s="21">
        <f>$B$3627</f>
        <v/>
      </c>
      <c r="X4260" s="21">
        <f>-$B$3625</f>
        <v/>
      </c>
      <c r="Y4260" s="21">
        <f>$B$3626</f>
        <v/>
      </c>
      <c r="Z4260" s="19" t="n"/>
    </row>
    <row r="4262">
      <c r="A4262" s="8" t="inlineStr">
        <is>
          <t>gen 17</t>
        </is>
      </c>
    </row>
    <row r="4263">
      <c r="D4263" s="19">
        <f>IF(ABS(IF(ABS($E$4227)&gt;0.000000001,$E$4227,0.000000001))=0,0,IF($E$3639&lt;=$B$3633,0,IF(ABS(IF(ABS($E$4227)&gt;0.000000001,$E$4227,0.000000001))&gt;=8*$B$3635,$H$3639,0.5*$H$3639*(ABS(IF(ABS($E$4227)&gt;0.000000001,$E$4227,0.000000001))/$B$3635)^(1/3)))/ABS(IF(ABS($E$4227)&gt;0.000000001,$E$4227,0.000000001))*$I$3639)</f>
        <v/>
      </c>
      <c r="E4263" s="19">
        <f>0.5*$E$4227+0.5*$Z$4275</f>
        <v/>
      </c>
      <c r="F4263" s="19">
        <f>$Z$4276</f>
        <v/>
      </c>
    </row>
    <row r="4264">
      <c r="D4264" s="19">
        <f>IF(ABS(IF(ABS($E$4228)&gt;0.000000001,$E$4228,0.000000001))=0,0,IF($E$3640&lt;=$B$3633,0,IF(ABS(IF(ABS($E$4228)&gt;0.000000001,$E$4228,0.000000001))&gt;=8*$B$3635,$H$3640,0.5*$H$3640*(ABS(IF(ABS($E$4228)&gt;0.000000001,$E$4228,0.000000001))/$B$3635)^(1/3)))/ABS(IF(ABS($E$4228)&gt;0.000000001,$E$4228,0.000000001))*$I$3640)</f>
        <v/>
      </c>
      <c r="E4264" s="19">
        <f>0.5*$E$4228+0.5*$Z$4277</f>
        <v/>
      </c>
      <c r="F4264" s="19">
        <f>$Z$4278</f>
        <v/>
      </c>
    </row>
    <row r="4265">
      <c r="D4265" s="19">
        <f>IF(ABS(IF(ABS($E$4229)&gt;0.000000001,$E$4229,0.000000001))=0,0,IF($E$3641&lt;=$B$3633,0,IF(ABS(IF(ABS($E$4229)&gt;0.000000001,$E$4229,0.000000001))&gt;=8*$B$3635,$H$3641,0.5*$H$3641*(ABS(IF(ABS($E$4229)&gt;0.000000001,$E$4229,0.000000001))/$B$3635)^(1/3)))/ABS(IF(ABS($E$4229)&gt;0.000000001,$E$4229,0.000000001))*$I$3641)</f>
        <v/>
      </c>
      <c r="E4265" s="19">
        <f>0.5*$E$4229+0.5*$Z$4279</f>
        <v/>
      </c>
      <c r="F4265" s="19">
        <f>$Z$4280</f>
        <v/>
      </c>
    </row>
    <row r="4266">
      <c r="D4266" s="19">
        <f>IF(ABS(IF(ABS($E$4230)&gt;0.000000001,$E$4230,0.000000001))=0,0,IF($E$3642&lt;=$B$3633,0,IF(ABS(IF(ABS($E$4230)&gt;0.000000001,$E$4230,0.000000001))&gt;=8*$B$3635,$H$3642,0.5*$H$3642*(ABS(IF(ABS($E$4230)&gt;0.000000001,$E$4230,0.000000001))/$B$3635)^(1/3)))/ABS(IF(ABS($E$4230)&gt;0.000000001,$E$4230,0.000000001))*$I$3642)</f>
        <v/>
      </c>
      <c r="E4266" s="19">
        <f>0.5*$E$4230+0.5*$Z$4281</f>
        <v/>
      </c>
      <c r="F4266" s="19">
        <f>$Z$4282</f>
        <v/>
      </c>
    </row>
    <row r="4267">
      <c r="D4267" s="19">
        <f>IF(ABS(IF(ABS($E$4231)&gt;0.000000001,$E$4231,0.000000001))=0,0,IF($E$3643&lt;=$B$3633,0,IF(ABS(IF(ABS($E$4231)&gt;0.000000001,$E$4231,0.000000001))&gt;=8*$B$3635,$H$3643,0.5*$H$3643*(ABS(IF(ABS($E$4231)&gt;0.000000001,$E$4231,0.000000001))/$B$3635)^(1/3)))/ABS(IF(ABS($E$4231)&gt;0.000000001,$E$4231,0.000000001))*$I$3643)</f>
        <v/>
      </c>
      <c r="E4267" s="19">
        <f>0.5*$E$4231+0.5*$Z$4283</f>
        <v/>
      </c>
      <c r="F4267" s="19">
        <f>$Z$4284</f>
        <v/>
      </c>
    </row>
    <row r="4268">
      <c r="D4268" s="19">
        <f>IF(ABS(IF(ABS($E$4232)&gt;0.000000001,$E$4232,0.000000001))=0,0,IF($E$3644&lt;=$B$3633,0,IF(ABS(IF(ABS($E$4232)&gt;0.000000001,$E$4232,0.000000001))&gt;=8*$B$3635,$H$3644,0.5*$H$3644*(ABS(IF(ABS($E$4232)&gt;0.000000001,$E$4232,0.000000001))/$B$3635)^(1/3)))/ABS(IF(ABS($E$4232)&gt;0.000000001,$E$4232,0.000000001))*$I$3644)</f>
        <v/>
      </c>
      <c r="E4268" s="19">
        <f>0.5*$E$4232+0.5*$Z$4285</f>
        <v/>
      </c>
      <c r="F4268" s="19">
        <f>$Z$4286</f>
        <v/>
      </c>
    </row>
    <row r="4269">
      <c r="D4269" s="19">
        <f>IF(ABS(IF(ABS($E$4233)&gt;0.000000001,$E$4233,0.000000001))=0,0,IF($E$3645&lt;=$B$3633,0,IF(ABS(IF(ABS($E$4233)&gt;0.000000001,$E$4233,0.000000001))&gt;=8*$B$3635,$H$3645,0.5*$H$3645*(ABS(IF(ABS($E$4233)&gt;0.000000001,$E$4233,0.000000001))/$B$3635)^(1/3)))/ABS(IF(ABS($E$4233)&gt;0.000000001,$E$4233,0.000000001))*$I$3645)</f>
        <v/>
      </c>
      <c r="E4269" s="19">
        <f>0.5*$E$4233+0.5*$Z$4287</f>
        <v/>
      </c>
      <c r="F4269" s="19">
        <f>$Z$4288</f>
        <v/>
      </c>
    </row>
    <row r="4270">
      <c r="D4270" s="19">
        <f>IF(ABS(IF(ABS($E$4234)&gt;0.000000001,$E$4234,0.000000001))=0,0,IF($E$3646&lt;=$B$3633,0,IF(ABS(IF(ABS($E$4234)&gt;0.000000001,$E$4234,0.000000001))&gt;=8*$B$3635,$H$3646,0.5*$H$3646*(ABS(IF(ABS($E$4234)&gt;0.000000001,$E$4234,0.000000001))/$B$3635)^(1/3)))/ABS(IF(ABS($E$4234)&gt;0.000000001,$E$4234,0.000000001))*$I$3646)</f>
        <v/>
      </c>
      <c r="E4270" s="19">
        <f>0.5*$E$4234+0.5*$Z$4289</f>
        <v/>
      </c>
      <c r="F4270" s="19">
        <f>$Z$4290</f>
        <v/>
      </c>
    </row>
    <row r="4271">
      <c r="D4271" s="19">
        <f>IF(ABS(IF(ABS($E$4235)&gt;0.000000001,$E$4235,0.000000001))=0,0,IF($E$3647&lt;=$B$3633,0,IF(ABS(IF(ABS($E$4235)&gt;0.000000001,$E$4235,0.000000001))&gt;=8*$B$3635,$H$3647,0.5*$H$3647*(ABS(IF(ABS($E$4235)&gt;0.000000001,$E$4235,0.000000001))/$B$3635)^(1/3)))/ABS(IF(ABS($E$4235)&gt;0.000000001,$E$4235,0.000000001))*$I$3647)</f>
        <v/>
      </c>
      <c r="E4271" s="19">
        <f>0.5*$E$4235+0.5*$Z$4291</f>
        <v/>
      </c>
      <c r="F4271" s="19">
        <f>$Z$4292</f>
        <v/>
      </c>
    </row>
    <row r="4272">
      <c r="D4272" s="19">
        <f>IF(ABS(IF(ABS($E$4236)&gt;0.000000001,$E$4236,0.000000001))=0,0,IF($E$3648&lt;=$B$3633,0,IF(ABS(IF(ABS($E$4236)&gt;0.000000001,$E$4236,0.000000001))&gt;=8*$B$3635,$H$3648,0.5*$H$3648*(ABS(IF(ABS($E$4236)&gt;0.000000001,$E$4236,0.000000001))/$B$3635)^(1/3)))/ABS(IF(ABS($E$4236)&gt;0.000000001,$E$4236,0.000000001))*$I$3648)</f>
        <v/>
      </c>
      <c r="E4272" s="19">
        <f>0.5*$E$4236+0.5*$Z$4293</f>
        <v/>
      </c>
      <c r="F4272" s="19">
        <f>$Z$4294</f>
        <v/>
      </c>
    </row>
    <row r="4273">
      <c r="D4273" s="19">
        <f>IF(ABS(IF(ABS($E$4237)&gt;0.000000001,$E$4237,0.000000001))=0,0,IF($E$3649&lt;=$B$3633,0,IF(ABS(IF(ABS($E$4237)&gt;0.000000001,$E$4237,0.000000001))&gt;=8*$B$3635,$H$3649,0.5*$H$3649*(ABS(IF(ABS($E$4237)&gt;0.000000001,$E$4237,0.000000001))/$B$3635)^(1/3)))/ABS(IF(ABS($E$4237)&gt;0.000000001,$E$4237,0.000000001))*$I$3649)</f>
        <v/>
      </c>
      <c r="E4273" s="19">
        <f>0.5*$E$4237+0.5*$Z$4295</f>
        <v/>
      </c>
      <c r="F4273" s="19">
        <f>$Z$4296</f>
        <v/>
      </c>
    </row>
    <row r="4275">
      <c r="D4275" s="21">
        <f>$B$3624+$D$4263</f>
        <v/>
      </c>
      <c r="E4275" s="21">
        <f>$B$3625</f>
        <v/>
      </c>
      <c r="F4275" s="21">
        <f>-$B$3624</f>
        <v/>
      </c>
      <c r="G4275" s="21">
        <f>$B$3625</f>
        <v/>
      </c>
      <c r="H4275" s="21" t="n">
        <v>0</v>
      </c>
      <c r="I4275" s="21" t="n">
        <v>0</v>
      </c>
      <c r="J4275" s="21" t="n">
        <v>0</v>
      </c>
      <c r="K4275" s="21" t="n">
        <v>0</v>
      </c>
      <c r="L4275" s="21" t="n">
        <v>0</v>
      </c>
      <c r="M4275" s="21" t="n">
        <v>0</v>
      </c>
      <c r="N4275" s="21" t="n">
        <v>0</v>
      </c>
      <c r="O4275" s="21" t="n">
        <v>0</v>
      </c>
      <c r="P4275" s="21" t="n">
        <v>0</v>
      </c>
      <c r="Q4275" s="21" t="n">
        <v>0</v>
      </c>
      <c r="R4275" s="21" t="n">
        <v>0</v>
      </c>
      <c r="S4275" s="21" t="n">
        <v>0</v>
      </c>
      <c r="T4275" s="21" t="n">
        <v>0</v>
      </c>
      <c r="U4275" s="21" t="n">
        <v>0</v>
      </c>
      <c r="V4275" s="21" t="n">
        <v>0</v>
      </c>
      <c r="W4275" s="21" t="n">
        <v>0</v>
      </c>
      <c r="X4275" s="21" t="n">
        <v>0</v>
      </c>
      <c r="Y4275" s="21" t="n">
        <v>0</v>
      </c>
      <c r="Z4275" s="19">
        <f t="array" ref="Z4275:Z4296">MMULT(MINVERSE($D$4275:$Y$4296),$D$3651:$D$3672)</f>
        <v/>
      </c>
    </row>
    <row r="4276">
      <c r="D4276" s="21">
        <f>$B$3625</f>
        <v/>
      </c>
      <c r="E4276" s="21">
        <f>$B$3626</f>
        <v/>
      </c>
      <c r="F4276" s="21">
        <f>-$B$3625</f>
        <v/>
      </c>
      <c r="G4276" s="21">
        <f>$B$3627</f>
        <v/>
      </c>
      <c r="H4276" s="21" t="n">
        <v>0</v>
      </c>
      <c r="I4276" s="21" t="n">
        <v>0</v>
      </c>
      <c r="J4276" s="21" t="n">
        <v>0</v>
      </c>
      <c r="K4276" s="21" t="n">
        <v>0</v>
      </c>
      <c r="L4276" s="21" t="n">
        <v>0</v>
      </c>
      <c r="M4276" s="21" t="n">
        <v>0</v>
      </c>
      <c r="N4276" s="21" t="n">
        <v>0</v>
      </c>
      <c r="O4276" s="21" t="n">
        <v>0</v>
      </c>
      <c r="P4276" s="21" t="n">
        <v>0</v>
      </c>
      <c r="Q4276" s="21" t="n">
        <v>0</v>
      </c>
      <c r="R4276" s="21" t="n">
        <v>0</v>
      </c>
      <c r="S4276" s="21" t="n">
        <v>0</v>
      </c>
      <c r="T4276" s="21" t="n">
        <v>0</v>
      </c>
      <c r="U4276" s="21" t="n">
        <v>0</v>
      </c>
      <c r="V4276" s="21" t="n">
        <v>0</v>
      </c>
      <c r="W4276" s="21" t="n">
        <v>0</v>
      </c>
      <c r="X4276" s="21" t="n">
        <v>0</v>
      </c>
      <c r="Y4276" s="21" t="n">
        <v>0</v>
      </c>
      <c r="Z4276" s="19" t="n"/>
    </row>
    <row r="4277">
      <c r="D4277" s="21">
        <f>-$B$3624</f>
        <v/>
      </c>
      <c r="E4277" s="21">
        <f>-$B$3625</f>
        <v/>
      </c>
      <c r="F4277" s="21">
        <f>2*$B$3624+$D$4264</f>
        <v/>
      </c>
      <c r="G4277" s="21">
        <f>0</f>
        <v/>
      </c>
      <c r="H4277" s="21">
        <f>-$B$3624</f>
        <v/>
      </c>
      <c r="I4277" s="21">
        <f>$B$3625</f>
        <v/>
      </c>
      <c r="J4277" s="21" t="n">
        <v>0</v>
      </c>
      <c r="K4277" s="21" t="n">
        <v>0</v>
      </c>
      <c r="L4277" s="21" t="n">
        <v>0</v>
      </c>
      <c r="M4277" s="21" t="n">
        <v>0</v>
      </c>
      <c r="N4277" s="21" t="n">
        <v>0</v>
      </c>
      <c r="O4277" s="21" t="n">
        <v>0</v>
      </c>
      <c r="P4277" s="21" t="n">
        <v>0</v>
      </c>
      <c r="Q4277" s="21" t="n">
        <v>0</v>
      </c>
      <c r="R4277" s="21" t="n">
        <v>0</v>
      </c>
      <c r="S4277" s="21" t="n">
        <v>0</v>
      </c>
      <c r="T4277" s="21" t="n">
        <v>0</v>
      </c>
      <c r="U4277" s="21" t="n">
        <v>0</v>
      </c>
      <c r="V4277" s="21" t="n">
        <v>0</v>
      </c>
      <c r="W4277" s="21" t="n">
        <v>0</v>
      </c>
      <c r="X4277" s="21" t="n">
        <v>0</v>
      </c>
      <c r="Y4277" s="21" t="n">
        <v>0</v>
      </c>
      <c r="Z4277" s="19" t="n"/>
    </row>
    <row r="4278">
      <c r="D4278" s="21">
        <f>$B$3625</f>
        <v/>
      </c>
      <c r="E4278" s="21">
        <f>$B$3627</f>
        <v/>
      </c>
      <c r="F4278" s="21">
        <f>0</f>
        <v/>
      </c>
      <c r="G4278" s="21">
        <f>2*$B$3626</f>
        <v/>
      </c>
      <c r="H4278" s="21">
        <f>-$B$3625</f>
        <v/>
      </c>
      <c r="I4278" s="21">
        <f>$B$3627</f>
        <v/>
      </c>
      <c r="J4278" s="21" t="n">
        <v>0</v>
      </c>
      <c r="K4278" s="21" t="n">
        <v>0</v>
      </c>
      <c r="L4278" s="21" t="n">
        <v>0</v>
      </c>
      <c r="M4278" s="21" t="n">
        <v>0</v>
      </c>
      <c r="N4278" s="21" t="n">
        <v>0</v>
      </c>
      <c r="O4278" s="21" t="n">
        <v>0</v>
      </c>
      <c r="P4278" s="21" t="n">
        <v>0</v>
      </c>
      <c r="Q4278" s="21" t="n">
        <v>0</v>
      </c>
      <c r="R4278" s="21" t="n">
        <v>0</v>
      </c>
      <c r="S4278" s="21" t="n">
        <v>0</v>
      </c>
      <c r="T4278" s="21" t="n">
        <v>0</v>
      </c>
      <c r="U4278" s="21" t="n">
        <v>0</v>
      </c>
      <c r="V4278" s="21" t="n">
        <v>0</v>
      </c>
      <c r="W4278" s="21" t="n">
        <v>0</v>
      </c>
      <c r="X4278" s="21" t="n">
        <v>0</v>
      </c>
      <c r="Y4278" s="21" t="n">
        <v>0</v>
      </c>
      <c r="Z4278" s="19" t="n"/>
    </row>
    <row r="4279">
      <c r="D4279" s="21" t="n">
        <v>0</v>
      </c>
      <c r="E4279" s="21" t="n">
        <v>0</v>
      </c>
      <c r="F4279" s="21">
        <f>-$B$3624</f>
        <v/>
      </c>
      <c r="G4279" s="21">
        <f>-$B$3625</f>
        <v/>
      </c>
      <c r="H4279" s="21">
        <f>2*$B$3624+$D$4265</f>
        <v/>
      </c>
      <c r="I4279" s="21">
        <f>0</f>
        <v/>
      </c>
      <c r="J4279" s="21">
        <f>-$B$3624</f>
        <v/>
      </c>
      <c r="K4279" s="21">
        <f>$B$3625</f>
        <v/>
      </c>
      <c r="L4279" s="21" t="n">
        <v>0</v>
      </c>
      <c r="M4279" s="21" t="n">
        <v>0</v>
      </c>
      <c r="N4279" s="21" t="n">
        <v>0</v>
      </c>
      <c r="O4279" s="21" t="n">
        <v>0</v>
      </c>
      <c r="P4279" s="21" t="n">
        <v>0</v>
      </c>
      <c r="Q4279" s="21" t="n">
        <v>0</v>
      </c>
      <c r="R4279" s="21" t="n">
        <v>0</v>
      </c>
      <c r="S4279" s="21" t="n">
        <v>0</v>
      </c>
      <c r="T4279" s="21" t="n">
        <v>0</v>
      </c>
      <c r="U4279" s="21" t="n">
        <v>0</v>
      </c>
      <c r="V4279" s="21" t="n">
        <v>0</v>
      </c>
      <c r="W4279" s="21" t="n">
        <v>0</v>
      </c>
      <c r="X4279" s="21" t="n">
        <v>0</v>
      </c>
      <c r="Y4279" s="21" t="n">
        <v>0</v>
      </c>
      <c r="Z4279" s="19" t="n"/>
    </row>
    <row r="4280">
      <c r="D4280" s="21" t="n">
        <v>0</v>
      </c>
      <c r="E4280" s="21" t="n">
        <v>0</v>
      </c>
      <c r="F4280" s="21">
        <f>$B$3625</f>
        <v/>
      </c>
      <c r="G4280" s="21">
        <f>$B$3627</f>
        <v/>
      </c>
      <c r="H4280" s="21">
        <f>0</f>
        <v/>
      </c>
      <c r="I4280" s="21">
        <f>2*$B$3626</f>
        <v/>
      </c>
      <c r="J4280" s="21">
        <f>-$B$3625</f>
        <v/>
      </c>
      <c r="K4280" s="21">
        <f>$B$3627</f>
        <v/>
      </c>
      <c r="L4280" s="21" t="n">
        <v>0</v>
      </c>
      <c r="M4280" s="21" t="n">
        <v>0</v>
      </c>
      <c r="N4280" s="21" t="n">
        <v>0</v>
      </c>
      <c r="O4280" s="21" t="n">
        <v>0</v>
      </c>
      <c r="P4280" s="21" t="n">
        <v>0</v>
      </c>
      <c r="Q4280" s="21" t="n">
        <v>0</v>
      </c>
      <c r="R4280" s="21" t="n">
        <v>0</v>
      </c>
      <c r="S4280" s="21" t="n">
        <v>0</v>
      </c>
      <c r="T4280" s="21" t="n">
        <v>0</v>
      </c>
      <c r="U4280" s="21" t="n">
        <v>0</v>
      </c>
      <c r="V4280" s="21" t="n">
        <v>0</v>
      </c>
      <c r="W4280" s="21" t="n">
        <v>0</v>
      </c>
      <c r="X4280" s="21" t="n">
        <v>0</v>
      </c>
      <c r="Y4280" s="21" t="n">
        <v>0</v>
      </c>
      <c r="Z4280" s="19" t="n"/>
    </row>
    <row r="4281">
      <c r="D4281" s="21" t="n">
        <v>0</v>
      </c>
      <c r="E4281" s="21" t="n">
        <v>0</v>
      </c>
      <c r="F4281" s="21" t="n">
        <v>0</v>
      </c>
      <c r="G4281" s="21" t="n">
        <v>0</v>
      </c>
      <c r="H4281" s="21">
        <f>-$B$3624</f>
        <v/>
      </c>
      <c r="I4281" s="21">
        <f>-$B$3625</f>
        <v/>
      </c>
      <c r="J4281" s="21">
        <f>2*$B$3624+$D$4266</f>
        <v/>
      </c>
      <c r="K4281" s="21">
        <f>0</f>
        <v/>
      </c>
      <c r="L4281" s="21">
        <f>-$B$3624</f>
        <v/>
      </c>
      <c r="M4281" s="21">
        <f>$B$3625</f>
        <v/>
      </c>
      <c r="N4281" s="21" t="n">
        <v>0</v>
      </c>
      <c r="O4281" s="21" t="n">
        <v>0</v>
      </c>
      <c r="P4281" s="21" t="n">
        <v>0</v>
      </c>
      <c r="Q4281" s="21" t="n">
        <v>0</v>
      </c>
      <c r="R4281" s="21" t="n">
        <v>0</v>
      </c>
      <c r="S4281" s="21" t="n">
        <v>0</v>
      </c>
      <c r="T4281" s="21" t="n">
        <v>0</v>
      </c>
      <c r="U4281" s="21" t="n">
        <v>0</v>
      </c>
      <c r="V4281" s="21" t="n">
        <v>0</v>
      </c>
      <c r="W4281" s="21" t="n">
        <v>0</v>
      </c>
      <c r="X4281" s="21" t="n">
        <v>0</v>
      </c>
      <c r="Y4281" s="21" t="n">
        <v>0</v>
      </c>
      <c r="Z4281" s="19" t="n"/>
    </row>
    <row r="4282">
      <c r="D4282" s="21" t="n">
        <v>0</v>
      </c>
      <c r="E4282" s="21" t="n">
        <v>0</v>
      </c>
      <c r="F4282" s="21" t="n">
        <v>0</v>
      </c>
      <c r="G4282" s="21" t="n">
        <v>0</v>
      </c>
      <c r="H4282" s="21">
        <f>$B$3625</f>
        <v/>
      </c>
      <c r="I4282" s="21">
        <f>$B$3627</f>
        <v/>
      </c>
      <c r="J4282" s="21">
        <f>0</f>
        <v/>
      </c>
      <c r="K4282" s="21">
        <f>2*$B$3626</f>
        <v/>
      </c>
      <c r="L4282" s="21">
        <f>-$B$3625</f>
        <v/>
      </c>
      <c r="M4282" s="21">
        <f>$B$3627</f>
        <v/>
      </c>
      <c r="N4282" s="21" t="n">
        <v>0</v>
      </c>
      <c r="O4282" s="21" t="n">
        <v>0</v>
      </c>
      <c r="P4282" s="21" t="n">
        <v>0</v>
      </c>
      <c r="Q4282" s="21" t="n">
        <v>0</v>
      </c>
      <c r="R4282" s="21" t="n">
        <v>0</v>
      </c>
      <c r="S4282" s="21" t="n">
        <v>0</v>
      </c>
      <c r="T4282" s="21" t="n">
        <v>0</v>
      </c>
      <c r="U4282" s="21" t="n">
        <v>0</v>
      </c>
      <c r="V4282" s="21" t="n">
        <v>0</v>
      </c>
      <c r="W4282" s="21" t="n">
        <v>0</v>
      </c>
      <c r="X4282" s="21" t="n">
        <v>0</v>
      </c>
      <c r="Y4282" s="21" t="n">
        <v>0</v>
      </c>
      <c r="Z4282" s="19" t="n"/>
    </row>
    <row r="4283">
      <c r="D4283" s="21" t="n">
        <v>0</v>
      </c>
      <c r="E4283" s="21" t="n">
        <v>0</v>
      </c>
      <c r="F4283" s="21" t="n">
        <v>0</v>
      </c>
      <c r="G4283" s="21" t="n">
        <v>0</v>
      </c>
      <c r="H4283" s="21" t="n">
        <v>0</v>
      </c>
      <c r="I4283" s="21" t="n">
        <v>0</v>
      </c>
      <c r="J4283" s="21">
        <f>-$B$3624</f>
        <v/>
      </c>
      <c r="K4283" s="21">
        <f>-$B$3625</f>
        <v/>
      </c>
      <c r="L4283" s="21">
        <f>2*$B$3624+$D$4267</f>
        <v/>
      </c>
      <c r="M4283" s="21">
        <f>0</f>
        <v/>
      </c>
      <c r="N4283" s="21">
        <f>-$B$3624</f>
        <v/>
      </c>
      <c r="O4283" s="21">
        <f>$B$3625</f>
        <v/>
      </c>
      <c r="P4283" s="21" t="n">
        <v>0</v>
      </c>
      <c r="Q4283" s="21" t="n">
        <v>0</v>
      </c>
      <c r="R4283" s="21" t="n">
        <v>0</v>
      </c>
      <c r="S4283" s="21" t="n">
        <v>0</v>
      </c>
      <c r="T4283" s="21" t="n">
        <v>0</v>
      </c>
      <c r="U4283" s="21" t="n">
        <v>0</v>
      </c>
      <c r="V4283" s="21" t="n">
        <v>0</v>
      </c>
      <c r="W4283" s="21" t="n">
        <v>0</v>
      </c>
      <c r="X4283" s="21" t="n">
        <v>0</v>
      </c>
      <c r="Y4283" s="21" t="n">
        <v>0</v>
      </c>
      <c r="Z4283" s="19" t="n"/>
    </row>
    <row r="4284">
      <c r="D4284" s="21" t="n">
        <v>0</v>
      </c>
      <c r="E4284" s="21" t="n">
        <v>0</v>
      </c>
      <c r="F4284" s="21" t="n">
        <v>0</v>
      </c>
      <c r="G4284" s="21" t="n">
        <v>0</v>
      </c>
      <c r="H4284" s="21" t="n">
        <v>0</v>
      </c>
      <c r="I4284" s="21" t="n">
        <v>0</v>
      </c>
      <c r="J4284" s="21">
        <f>$B$3625</f>
        <v/>
      </c>
      <c r="K4284" s="21">
        <f>$B$3627</f>
        <v/>
      </c>
      <c r="L4284" s="21">
        <f>0</f>
        <v/>
      </c>
      <c r="M4284" s="21">
        <f>2*$B$3626</f>
        <v/>
      </c>
      <c r="N4284" s="21">
        <f>-$B$3625</f>
        <v/>
      </c>
      <c r="O4284" s="21">
        <f>$B$3627</f>
        <v/>
      </c>
      <c r="P4284" s="21" t="n">
        <v>0</v>
      </c>
      <c r="Q4284" s="21" t="n">
        <v>0</v>
      </c>
      <c r="R4284" s="21" t="n">
        <v>0</v>
      </c>
      <c r="S4284" s="21" t="n">
        <v>0</v>
      </c>
      <c r="T4284" s="21" t="n">
        <v>0</v>
      </c>
      <c r="U4284" s="21" t="n">
        <v>0</v>
      </c>
      <c r="V4284" s="21" t="n">
        <v>0</v>
      </c>
      <c r="W4284" s="21" t="n">
        <v>0</v>
      </c>
      <c r="X4284" s="21" t="n">
        <v>0</v>
      </c>
      <c r="Y4284" s="21" t="n">
        <v>0</v>
      </c>
      <c r="Z4284" s="19" t="n"/>
    </row>
    <row r="4285">
      <c r="D4285" s="21" t="n">
        <v>0</v>
      </c>
      <c r="E4285" s="21" t="n">
        <v>0</v>
      </c>
      <c r="F4285" s="21" t="n">
        <v>0</v>
      </c>
      <c r="G4285" s="21" t="n">
        <v>0</v>
      </c>
      <c r="H4285" s="21" t="n">
        <v>0</v>
      </c>
      <c r="I4285" s="21" t="n">
        <v>0</v>
      </c>
      <c r="J4285" s="21" t="n">
        <v>0</v>
      </c>
      <c r="K4285" s="21" t="n">
        <v>0</v>
      </c>
      <c r="L4285" s="21">
        <f>-$B$3624</f>
        <v/>
      </c>
      <c r="M4285" s="21">
        <f>-$B$3625</f>
        <v/>
      </c>
      <c r="N4285" s="21">
        <f>2*$B$3624+$D$4268</f>
        <v/>
      </c>
      <c r="O4285" s="21">
        <f>0</f>
        <v/>
      </c>
      <c r="P4285" s="21">
        <f>-$B$3624</f>
        <v/>
      </c>
      <c r="Q4285" s="21">
        <f>$B$3625</f>
        <v/>
      </c>
      <c r="R4285" s="21" t="n">
        <v>0</v>
      </c>
      <c r="S4285" s="21" t="n">
        <v>0</v>
      </c>
      <c r="T4285" s="21" t="n">
        <v>0</v>
      </c>
      <c r="U4285" s="21" t="n">
        <v>0</v>
      </c>
      <c r="V4285" s="21" t="n">
        <v>0</v>
      </c>
      <c r="W4285" s="21" t="n">
        <v>0</v>
      </c>
      <c r="X4285" s="21" t="n">
        <v>0</v>
      </c>
      <c r="Y4285" s="21" t="n">
        <v>0</v>
      </c>
      <c r="Z4285" s="19" t="n"/>
    </row>
    <row r="4286">
      <c r="D4286" s="21" t="n">
        <v>0</v>
      </c>
      <c r="E4286" s="21" t="n">
        <v>0</v>
      </c>
      <c r="F4286" s="21" t="n">
        <v>0</v>
      </c>
      <c r="G4286" s="21" t="n">
        <v>0</v>
      </c>
      <c r="H4286" s="21" t="n">
        <v>0</v>
      </c>
      <c r="I4286" s="21" t="n">
        <v>0</v>
      </c>
      <c r="J4286" s="21" t="n">
        <v>0</v>
      </c>
      <c r="K4286" s="21" t="n">
        <v>0</v>
      </c>
      <c r="L4286" s="21">
        <f>$B$3625</f>
        <v/>
      </c>
      <c r="M4286" s="21">
        <f>$B$3627</f>
        <v/>
      </c>
      <c r="N4286" s="21">
        <f>0</f>
        <v/>
      </c>
      <c r="O4286" s="21">
        <f>2*$B$3626</f>
        <v/>
      </c>
      <c r="P4286" s="21">
        <f>-$B$3625</f>
        <v/>
      </c>
      <c r="Q4286" s="21">
        <f>$B$3627</f>
        <v/>
      </c>
      <c r="R4286" s="21" t="n">
        <v>0</v>
      </c>
      <c r="S4286" s="21" t="n">
        <v>0</v>
      </c>
      <c r="T4286" s="21" t="n">
        <v>0</v>
      </c>
      <c r="U4286" s="21" t="n">
        <v>0</v>
      </c>
      <c r="V4286" s="21" t="n">
        <v>0</v>
      </c>
      <c r="W4286" s="21" t="n">
        <v>0</v>
      </c>
      <c r="X4286" s="21" t="n">
        <v>0</v>
      </c>
      <c r="Y4286" s="21" t="n">
        <v>0</v>
      </c>
      <c r="Z4286" s="19" t="n"/>
    </row>
    <row r="4287">
      <c r="D4287" s="21" t="n">
        <v>0</v>
      </c>
      <c r="E4287" s="21" t="n">
        <v>0</v>
      </c>
      <c r="F4287" s="21" t="n">
        <v>0</v>
      </c>
      <c r="G4287" s="21" t="n">
        <v>0</v>
      </c>
      <c r="H4287" s="21" t="n">
        <v>0</v>
      </c>
      <c r="I4287" s="21" t="n">
        <v>0</v>
      </c>
      <c r="J4287" s="21" t="n">
        <v>0</v>
      </c>
      <c r="K4287" s="21" t="n">
        <v>0</v>
      </c>
      <c r="L4287" s="21" t="n">
        <v>0</v>
      </c>
      <c r="M4287" s="21" t="n">
        <v>0</v>
      </c>
      <c r="N4287" s="21">
        <f>-$B$3624</f>
        <v/>
      </c>
      <c r="O4287" s="21">
        <f>-$B$3625</f>
        <v/>
      </c>
      <c r="P4287" s="21">
        <f>2*$B$3624+$D$4269</f>
        <v/>
      </c>
      <c r="Q4287" s="21">
        <f>0</f>
        <v/>
      </c>
      <c r="R4287" s="21">
        <f>-$B$3624</f>
        <v/>
      </c>
      <c r="S4287" s="21">
        <f>$B$3625</f>
        <v/>
      </c>
      <c r="T4287" s="21" t="n">
        <v>0</v>
      </c>
      <c r="U4287" s="21" t="n">
        <v>0</v>
      </c>
      <c r="V4287" s="21" t="n">
        <v>0</v>
      </c>
      <c r="W4287" s="21" t="n">
        <v>0</v>
      </c>
      <c r="X4287" s="21" t="n">
        <v>0</v>
      </c>
      <c r="Y4287" s="21" t="n">
        <v>0</v>
      </c>
      <c r="Z4287" s="19" t="n"/>
    </row>
    <row r="4288">
      <c r="D4288" s="21" t="n">
        <v>0</v>
      </c>
      <c r="E4288" s="21" t="n">
        <v>0</v>
      </c>
      <c r="F4288" s="21" t="n">
        <v>0</v>
      </c>
      <c r="G4288" s="21" t="n">
        <v>0</v>
      </c>
      <c r="H4288" s="21" t="n">
        <v>0</v>
      </c>
      <c r="I4288" s="21" t="n">
        <v>0</v>
      </c>
      <c r="J4288" s="21" t="n">
        <v>0</v>
      </c>
      <c r="K4288" s="21" t="n">
        <v>0</v>
      </c>
      <c r="L4288" s="21" t="n">
        <v>0</v>
      </c>
      <c r="M4288" s="21" t="n">
        <v>0</v>
      </c>
      <c r="N4288" s="21">
        <f>$B$3625</f>
        <v/>
      </c>
      <c r="O4288" s="21">
        <f>$B$3627</f>
        <v/>
      </c>
      <c r="P4288" s="21">
        <f>0</f>
        <v/>
      </c>
      <c r="Q4288" s="21">
        <f>2*$B$3626</f>
        <v/>
      </c>
      <c r="R4288" s="21">
        <f>-$B$3625</f>
        <v/>
      </c>
      <c r="S4288" s="21">
        <f>$B$3627</f>
        <v/>
      </c>
      <c r="T4288" s="21" t="n">
        <v>0</v>
      </c>
      <c r="U4288" s="21" t="n">
        <v>0</v>
      </c>
      <c r="V4288" s="21" t="n">
        <v>0</v>
      </c>
      <c r="W4288" s="21" t="n">
        <v>0</v>
      </c>
      <c r="X4288" s="21" t="n">
        <v>0</v>
      </c>
      <c r="Y4288" s="21" t="n">
        <v>0</v>
      </c>
      <c r="Z4288" s="19" t="n"/>
    </row>
    <row r="4289">
      <c r="D4289" s="21" t="n">
        <v>0</v>
      </c>
      <c r="E4289" s="21" t="n">
        <v>0</v>
      </c>
      <c r="F4289" s="21" t="n">
        <v>0</v>
      </c>
      <c r="G4289" s="21" t="n">
        <v>0</v>
      </c>
      <c r="H4289" s="21" t="n">
        <v>0</v>
      </c>
      <c r="I4289" s="21" t="n">
        <v>0</v>
      </c>
      <c r="J4289" s="21" t="n">
        <v>0</v>
      </c>
      <c r="K4289" s="21" t="n">
        <v>0</v>
      </c>
      <c r="L4289" s="21" t="n">
        <v>0</v>
      </c>
      <c r="M4289" s="21" t="n">
        <v>0</v>
      </c>
      <c r="N4289" s="21" t="n">
        <v>0</v>
      </c>
      <c r="O4289" s="21" t="n">
        <v>0</v>
      </c>
      <c r="P4289" s="21">
        <f>-$B$3624</f>
        <v/>
      </c>
      <c r="Q4289" s="21">
        <f>-$B$3625</f>
        <v/>
      </c>
      <c r="R4289" s="21">
        <f>2*$B$3624+$D$4270</f>
        <v/>
      </c>
      <c r="S4289" s="21">
        <f>0</f>
        <v/>
      </c>
      <c r="T4289" s="21">
        <f>-$B$3624</f>
        <v/>
      </c>
      <c r="U4289" s="21">
        <f>$B$3625</f>
        <v/>
      </c>
      <c r="V4289" s="21" t="n">
        <v>0</v>
      </c>
      <c r="W4289" s="21" t="n">
        <v>0</v>
      </c>
      <c r="X4289" s="21" t="n">
        <v>0</v>
      </c>
      <c r="Y4289" s="21" t="n">
        <v>0</v>
      </c>
      <c r="Z4289" s="19" t="n"/>
    </row>
    <row r="4290">
      <c r="D4290" s="21" t="n">
        <v>0</v>
      </c>
      <c r="E4290" s="21" t="n">
        <v>0</v>
      </c>
      <c r="F4290" s="21" t="n">
        <v>0</v>
      </c>
      <c r="G4290" s="21" t="n">
        <v>0</v>
      </c>
      <c r="H4290" s="21" t="n">
        <v>0</v>
      </c>
      <c r="I4290" s="21" t="n">
        <v>0</v>
      </c>
      <c r="J4290" s="21" t="n">
        <v>0</v>
      </c>
      <c r="K4290" s="21" t="n">
        <v>0</v>
      </c>
      <c r="L4290" s="21" t="n">
        <v>0</v>
      </c>
      <c r="M4290" s="21" t="n">
        <v>0</v>
      </c>
      <c r="N4290" s="21" t="n">
        <v>0</v>
      </c>
      <c r="O4290" s="21" t="n">
        <v>0</v>
      </c>
      <c r="P4290" s="21">
        <f>$B$3625</f>
        <v/>
      </c>
      <c r="Q4290" s="21">
        <f>$B$3627</f>
        <v/>
      </c>
      <c r="R4290" s="21">
        <f>0</f>
        <v/>
      </c>
      <c r="S4290" s="21">
        <f>2*$B$3626</f>
        <v/>
      </c>
      <c r="T4290" s="21">
        <f>-$B$3625</f>
        <v/>
      </c>
      <c r="U4290" s="21">
        <f>$B$3627</f>
        <v/>
      </c>
      <c r="V4290" s="21" t="n">
        <v>0</v>
      </c>
      <c r="W4290" s="21" t="n">
        <v>0</v>
      </c>
      <c r="X4290" s="21" t="n">
        <v>0</v>
      </c>
      <c r="Y4290" s="21" t="n">
        <v>0</v>
      </c>
      <c r="Z4290" s="19" t="n"/>
    </row>
    <row r="4291">
      <c r="D4291" s="21" t="n">
        <v>0</v>
      </c>
      <c r="E4291" s="21" t="n">
        <v>0</v>
      </c>
      <c r="F4291" s="21" t="n">
        <v>0</v>
      </c>
      <c r="G4291" s="21" t="n">
        <v>0</v>
      </c>
      <c r="H4291" s="21" t="n">
        <v>0</v>
      </c>
      <c r="I4291" s="21" t="n">
        <v>0</v>
      </c>
      <c r="J4291" s="21" t="n">
        <v>0</v>
      </c>
      <c r="K4291" s="21" t="n">
        <v>0</v>
      </c>
      <c r="L4291" s="21" t="n">
        <v>0</v>
      </c>
      <c r="M4291" s="21" t="n">
        <v>0</v>
      </c>
      <c r="N4291" s="21" t="n">
        <v>0</v>
      </c>
      <c r="O4291" s="21" t="n">
        <v>0</v>
      </c>
      <c r="P4291" s="21" t="n">
        <v>0</v>
      </c>
      <c r="Q4291" s="21" t="n">
        <v>0</v>
      </c>
      <c r="R4291" s="21">
        <f>-$B$3624</f>
        <v/>
      </c>
      <c r="S4291" s="21">
        <f>-$B$3625</f>
        <v/>
      </c>
      <c r="T4291" s="21">
        <f>2*$B$3624+$D$4271</f>
        <v/>
      </c>
      <c r="U4291" s="21">
        <f>0</f>
        <v/>
      </c>
      <c r="V4291" s="21">
        <f>-$B$3624</f>
        <v/>
      </c>
      <c r="W4291" s="21">
        <f>$B$3625</f>
        <v/>
      </c>
      <c r="X4291" s="21" t="n">
        <v>0</v>
      </c>
      <c r="Y4291" s="21" t="n">
        <v>0</v>
      </c>
      <c r="Z4291" s="19" t="n"/>
    </row>
    <row r="4292">
      <c r="D4292" s="21" t="n">
        <v>0</v>
      </c>
      <c r="E4292" s="21" t="n">
        <v>0</v>
      </c>
      <c r="F4292" s="21" t="n">
        <v>0</v>
      </c>
      <c r="G4292" s="21" t="n">
        <v>0</v>
      </c>
      <c r="H4292" s="21" t="n">
        <v>0</v>
      </c>
      <c r="I4292" s="21" t="n">
        <v>0</v>
      </c>
      <c r="J4292" s="21" t="n">
        <v>0</v>
      </c>
      <c r="K4292" s="21" t="n">
        <v>0</v>
      </c>
      <c r="L4292" s="21" t="n">
        <v>0</v>
      </c>
      <c r="M4292" s="21" t="n">
        <v>0</v>
      </c>
      <c r="N4292" s="21" t="n">
        <v>0</v>
      </c>
      <c r="O4292" s="21" t="n">
        <v>0</v>
      </c>
      <c r="P4292" s="21" t="n">
        <v>0</v>
      </c>
      <c r="Q4292" s="21" t="n">
        <v>0</v>
      </c>
      <c r="R4292" s="21">
        <f>$B$3625</f>
        <v/>
      </c>
      <c r="S4292" s="21">
        <f>$B$3627</f>
        <v/>
      </c>
      <c r="T4292" s="21">
        <f>0</f>
        <v/>
      </c>
      <c r="U4292" s="21">
        <f>2*$B$3626</f>
        <v/>
      </c>
      <c r="V4292" s="21">
        <f>-$B$3625</f>
        <v/>
      </c>
      <c r="W4292" s="21">
        <f>$B$3627</f>
        <v/>
      </c>
      <c r="X4292" s="21" t="n">
        <v>0</v>
      </c>
      <c r="Y4292" s="21" t="n">
        <v>0</v>
      </c>
      <c r="Z4292" s="19" t="n"/>
    </row>
    <row r="4293">
      <c r="D4293" s="21" t="n">
        <v>0</v>
      </c>
      <c r="E4293" s="21" t="n">
        <v>0</v>
      </c>
      <c r="F4293" s="21" t="n">
        <v>0</v>
      </c>
      <c r="G4293" s="21" t="n">
        <v>0</v>
      </c>
      <c r="H4293" s="21" t="n">
        <v>0</v>
      </c>
      <c r="I4293" s="21" t="n">
        <v>0</v>
      </c>
      <c r="J4293" s="21" t="n">
        <v>0</v>
      </c>
      <c r="K4293" s="21" t="n">
        <v>0</v>
      </c>
      <c r="L4293" s="21" t="n">
        <v>0</v>
      </c>
      <c r="M4293" s="21" t="n">
        <v>0</v>
      </c>
      <c r="N4293" s="21" t="n">
        <v>0</v>
      </c>
      <c r="O4293" s="21" t="n">
        <v>0</v>
      </c>
      <c r="P4293" s="21" t="n">
        <v>0</v>
      </c>
      <c r="Q4293" s="21" t="n">
        <v>0</v>
      </c>
      <c r="R4293" s="21" t="n">
        <v>0</v>
      </c>
      <c r="S4293" s="21" t="n">
        <v>0</v>
      </c>
      <c r="T4293" s="21">
        <f>-$B$3624</f>
        <v/>
      </c>
      <c r="U4293" s="21">
        <f>-$B$3625</f>
        <v/>
      </c>
      <c r="V4293" s="21">
        <f>2*$B$3624+$D$4272</f>
        <v/>
      </c>
      <c r="W4293" s="21">
        <f>0</f>
        <v/>
      </c>
      <c r="X4293" s="21">
        <f>-$B$3624</f>
        <v/>
      </c>
      <c r="Y4293" s="21">
        <f>$B$3625</f>
        <v/>
      </c>
      <c r="Z4293" s="19" t="n"/>
    </row>
    <row r="4294">
      <c r="D4294" s="21" t="n">
        <v>0</v>
      </c>
      <c r="E4294" s="21" t="n">
        <v>0</v>
      </c>
      <c r="F4294" s="21" t="n">
        <v>0</v>
      </c>
      <c r="G4294" s="21" t="n">
        <v>0</v>
      </c>
      <c r="H4294" s="21" t="n">
        <v>0</v>
      </c>
      <c r="I4294" s="21" t="n">
        <v>0</v>
      </c>
      <c r="J4294" s="21" t="n">
        <v>0</v>
      </c>
      <c r="K4294" s="21" t="n">
        <v>0</v>
      </c>
      <c r="L4294" s="21" t="n">
        <v>0</v>
      </c>
      <c r="M4294" s="21" t="n">
        <v>0</v>
      </c>
      <c r="N4294" s="21" t="n">
        <v>0</v>
      </c>
      <c r="O4294" s="21" t="n">
        <v>0</v>
      </c>
      <c r="P4294" s="21" t="n">
        <v>0</v>
      </c>
      <c r="Q4294" s="21" t="n">
        <v>0</v>
      </c>
      <c r="R4294" s="21" t="n">
        <v>0</v>
      </c>
      <c r="S4294" s="21" t="n">
        <v>0</v>
      </c>
      <c r="T4294" s="21">
        <f>$B$3625</f>
        <v/>
      </c>
      <c r="U4294" s="21">
        <f>$B$3627</f>
        <v/>
      </c>
      <c r="V4294" s="21">
        <f>0</f>
        <v/>
      </c>
      <c r="W4294" s="21">
        <f>2*$B$3626</f>
        <v/>
      </c>
      <c r="X4294" s="21">
        <f>-$B$3625</f>
        <v/>
      </c>
      <c r="Y4294" s="21">
        <f>$B$3627</f>
        <v/>
      </c>
      <c r="Z4294" s="19" t="n"/>
    </row>
    <row r="4295">
      <c r="D4295" s="21" t="n">
        <v>0</v>
      </c>
      <c r="E4295" s="21" t="n">
        <v>0</v>
      </c>
      <c r="F4295" s="21" t="n">
        <v>0</v>
      </c>
      <c r="G4295" s="21" t="n">
        <v>0</v>
      </c>
      <c r="H4295" s="21" t="n">
        <v>0</v>
      </c>
      <c r="I4295" s="21" t="n">
        <v>0</v>
      </c>
      <c r="J4295" s="21" t="n">
        <v>0</v>
      </c>
      <c r="K4295" s="21" t="n">
        <v>0</v>
      </c>
      <c r="L4295" s="21" t="n">
        <v>0</v>
      </c>
      <c r="M4295" s="21" t="n">
        <v>0</v>
      </c>
      <c r="N4295" s="21" t="n">
        <v>0</v>
      </c>
      <c r="O4295" s="21" t="n">
        <v>0</v>
      </c>
      <c r="P4295" s="21" t="n">
        <v>0</v>
      </c>
      <c r="Q4295" s="21" t="n">
        <v>0</v>
      </c>
      <c r="R4295" s="21" t="n">
        <v>0</v>
      </c>
      <c r="S4295" s="21" t="n">
        <v>0</v>
      </c>
      <c r="T4295" s="21" t="n">
        <v>0</v>
      </c>
      <c r="U4295" s="21" t="n">
        <v>0</v>
      </c>
      <c r="V4295" s="21">
        <f>-$B$3624</f>
        <v/>
      </c>
      <c r="W4295" s="21">
        <f>-$B$3625</f>
        <v/>
      </c>
      <c r="X4295" s="21">
        <f>$B$3624+$D$4273</f>
        <v/>
      </c>
      <c r="Y4295" s="21">
        <f>-$B$3625</f>
        <v/>
      </c>
      <c r="Z4295" s="19" t="n"/>
    </row>
    <row r="4296">
      <c r="D4296" s="21" t="n">
        <v>0</v>
      </c>
      <c r="E4296" s="21" t="n">
        <v>0</v>
      </c>
      <c r="F4296" s="21" t="n">
        <v>0</v>
      </c>
      <c r="G4296" s="21" t="n">
        <v>0</v>
      </c>
      <c r="H4296" s="21" t="n">
        <v>0</v>
      </c>
      <c r="I4296" s="21" t="n">
        <v>0</v>
      </c>
      <c r="J4296" s="21" t="n">
        <v>0</v>
      </c>
      <c r="K4296" s="21" t="n">
        <v>0</v>
      </c>
      <c r="L4296" s="21" t="n">
        <v>0</v>
      </c>
      <c r="M4296" s="21" t="n">
        <v>0</v>
      </c>
      <c r="N4296" s="21" t="n">
        <v>0</v>
      </c>
      <c r="O4296" s="21" t="n">
        <v>0</v>
      </c>
      <c r="P4296" s="21" t="n">
        <v>0</v>
      </c>
      <c r="Q4296" s="21" t="n">
        <v>0</v>
      </c>
      <c r="R4296" s="21" t="n">
        <v>0</v>
      </c>
      <c r="S4296" s="21" t="n">
        <v>0</v>
      </c>
      <c r="T4296" s="21" t="n">
        <v>0</v>
      </c>
      <c r="U4296" s="21" t="n">
        <v>0</v>
      </c>
      <c r="V4296" s="21">
        <f>$B$3625</f>
        <v/>
      </c>
      <c r="W4296" s="21">
        <f>$B$3627</f>
        <v/>
      </c>
      <c r="X4296" s="21">
        <f>-$B$3625</f>
        <v/>
      </c>
      <c r="Y4296" s="21">
        <f>$B$3626</f>
        <v/>
      </c>
      <c r="Z4296" s="19" t="n"/>
    </row>
    <row r="4298">
      <c r="A4298" s="8" t="inlineStr">
        <is>
          <t>gen 18</t>
        </is>
      </c>
    </row>
    <row r="4299">
      <c r="D4299" s="19">
        <f>IF(ABS(IF(ABS($E$4263)&gt;0.000000001,$E$4263,0.000000001))=0,0,IF($E$3639&lt;=$B$3633,0,IF(ABS(IF(ABS($E$4263)&gt;0.000000001,$E$4263,0.000000001))&gt;=8*$B$3635,$H$3639,0.5*$H$3639*(ABS(IF(ABS($E$4263)&gt;0.000000001,$E$4263,0.000000001))/$B$3635)^(1/3)))/ABS(IF(ABS($E$4263)&gt;0.000000001,$E$4263,0.000000001))*$I$3639)</f>
        <v/>
      </c>
      <c r="E4299" s="19">
        <f>0.5*$E$4263+0.5*$Z$4311</f>
        <v/>
      </c>
      <c r="F4299" s="19">
        <f>$Z$4312</f>
        <v/>
      </c>
    </row>
    <row r="4300">
      <c r="D4300" s="19">
        <f>IF(ABS(IF(ABS($E$4264)&gt;0.000000001,$E$4264,0.000000001))=0,0,IF($E$3640&lt;=$B$3633,0,IF(ABS(IF(ABS($E$4264)&gt;0.000000001,$E$4264,0.000000001))&gt;=8*$B$3635,$H$3640,0.5*$H$3640*(ABS(IF(ABS($E$4264)&gt;0.000000001,$E$4264,0.000000001))/$B$3635)^(1/3)))/ABS(IF(ABS($E$4264)&gt;0.000000001,$E$4264,0.000000001))*$I$3640)</f>
        <v/>
      </c>
      <c r="E4300" s="19">
        <f>0.5*$E$4264+0.5*$Z$4313</f>
        <v/>
      </c>
      <c r="F4300" s="19">
        <f>$Z$4314</f>
        <v/>
      </c>
    </row>
    <row r="4301">
      <c r="D4301" s="19">
        <f>IF(ABS(IF(ABS($E$4265)&gt;0.000000001,$E$4265,0.000000001))=0,0,IF($E$3641&lt;=$B$3633,0,IF(ABS(IF(ABS($E$4265)&gt;0.000000001,$E$4265,0.000000001))&gt;=8*$B$3635,$H$3641,0.5*$H$3641*(ABS(IF(ABS($E$4265)&gt;0.000000001,$E$4265,0.000000001))/$B$3635)^(1/3)))/ABS(IF(ABS($E$4265)&gt;0.000000001,$E$4265,0.000000001))*$I$3641)</f>
        <v/>
      </c>
      <c r="E4301" s="19">
        <f>0.5*$E$4265+0.5*$Z$4315</f>
        <v/>
      </c>
      <c r="F4301" s="19">
        <f>$Z$4316</f>
        <v/>
      </c>
    </row>
    <row r="4302">
      <c r="D4302" s="19">
        <f>IF(ABS(IF(ABS($E$4266)&gt;0.000000001,$E$4266,0.000000001))=0,0,IF($E$3642&lt;=$B$3633,0,IF(ABS(IF(ABS($E$4266)&gt;0.000000001,$E$4266,0.000000001))&gt;=8*$B$3635,$H$3642,0.5*$H$3642*(ABS(IF(ABS($E$4266)&gt;0.000000001,$E$4266,0.000000001))/$B$3635)^(1/3)))/ABS(IF(ABS($E$4266)&gt;0.000000001,$E$4266,0.000000001))*$I$3642)</f>
        <v/>
      </c>
      <c r="E4302" s="19">
        <f>0.5*$E$4266+0.5*$Z$4317</f>
        <v/>
      </c>
      <c r="F4302" s="19">
        <f>$Z$4318</f>
        <v/>
      </c>
    </row>
    <row r="4303">
      <c r="D4303" s="19">
        <f>IF(ABS(IF(ABS($E$4267)&gt;0.000000001,$E$4267,0.000000001))=0,0,IF($E$3643&lt;=$B$3633,0,IF(ABS(IF(ABS($E$4267)&gt;0.000000001,$E$4267,0.000000001))&gt;=8*$B$3635,$H$3643,0.5*$H$3643*(ABS(IF(ABS($E$4267)&gt;0.000000001,$E$4267,0.000000001))/$B$3635)^(1/3)))/ABS(IF(ABS($E$4267)&gt;0.000000001,$E$4267,0.000000001))*$I$3643)</f>
        <v/>
      </c>
      <c r="E4303" s="19">
        <f>0.5*$E$4267+0.5*$Z$4319</f>
        <v/>
      </c>
      <c r="F4303" s="19">
        <f>$Z$4320</f>
        <v/>
      </c>
    </row>
    <row r="4304">
      <c r="D4304" s="19">
        <f>IF(ABS(IF(ABS($E$4268)&gt;0.000000001,$E$4268,0.000000001))=0,0,IF($E$3644&lt;=$B$3633,0,IF(ABS(IF(ABS($E$4268)&gt;0.000000001,$E$4268,0.000000001))&gt;=8*$B$3635,$H$3644,0.5*$H$3644*(ABS(IF(ABS($E$4268)&gt;0.000000001,$E$4268,0.000000001))/$B$3635)^(1/3)))/ABS(IF(ABS($E$4268)&gt;0.000000001,$E$4268,0.000000001))*$I$3644)</f>
        <v/>
      </c>
      <c r="E4304" s="19">
        <f>0.5*$E$4268+0.5*$Z$4321</f>
        <v/>
      </c>
      <c r="F4304" s="19">
        <f>$Z$4322</f>
        <v/>
      </c>
    </row>
    <row r="4305">
      <c r="D4305" s="19">
        <f>IF(ABS(IF(ABS($E$4269)&gt;0.000000001,$E$4269,0.000000001))=0,0,IF($E$3645&lt;=$B$3633,0,IF(ABS(IF(ABS($E$4269)&gt;0.000000001,$E$4269,0.000000001))&gt;=8*$B$3635,$H$3645,0.5*$H$3645*(ABS(IF(ABS($E$4269)&gt;0.000000001,$E$4269,0.000000001))/$B$3635)^(1/3)))/ABS(IF(ABS($E$4269)&gt;0.000000001,$E$4269,0.000000001))*$I$3645)</f>
        <v/>
      </c>
      <c r="E4305" s="19">
        <f>0.5*$E$4269+0.5*$Z$4323</f>
        <v/>
      </c>
      <c r="F4305" s="19">
        <f>$Z$4324</f>
        <v/>
      </c>
    </row>
    <row r="4306">
      <c r="D4306" s="19">
        <f>IF(ABS(IF(ABS($E$4270)&gt;0.000000001,$E$4270,0.000000001))=0,0,IF($E$3646&lt;=$B$3633,0,IF(ABS(IF(ABS($E$4270)&gt;0.000000001,$E$4270,0.000000001))&gt;=8*$B$3635,$H$3646,0.5*$H$3646*(ABS(IF(ABS($E$4270)&gt;0.000000001,$E$4270,0.000000001))/$B$3635)^(1/3)))/ABS(IF(ABS($E$4270)&gt;0.000000001,$E$4270,0.000000001))*$I$3646)</f>
        <v/>
      </c>
      <c r="E4306" s="19">
        <f>0.5*$E$4270+0.5*$Z$4325</f>
        <v/>
      </c>
      <c r="F4306" s="19">
        <f>$Z$4326</f>
        <v/>
      </c>
    </row>
    <row r="4307">
      <c r="D4307" s="19">
        <f>IF(ABS(IF(ABS($E$4271)&gt;0.000000001,$E$4271,0.000000001))=0,0,IF($E$3647&lt;=$B$3633,0,IF(ABS(IF(ABS($E$4271)&gt;0.000000001,$E$4271,0.000000001))&gt;=8*$B$3635,$H$3647,0.5*$H$3647*(ABS(IF(ABS($E$4271)&gt;0.000000001,$E$4271,0.000000001))/$B$3635)^(1/3)))/ABS(IF(ABS($E$4271)&gt;0.000000001,$E$4271,0.000000001))*$I$3647)</f>
        <v/>
      </c>
      <c r="E4307" s="19">
        <f>0.5*$E$4271+0.5*$Z$4327</f>
        <v/>
      </c>
      <c r="F4307" s="19">
        <f>$Z$4328</f>
        <v/>
      </c>
    </row>
    <row r="4308">
      <c r="D4308" s="19">
        <f>IF(ABS(IF(ABS($E$4272)&gt;0.000000001,$E$4272,0.000000001))=0,0,IF($E$3648&lt;=$B$3633,0,IF(ABS(IF(ABS($E$4272)&gt;0.000000001,$E$4272,0.000000001))&gt;=8*$B$3635,$H$3648,0.5*$H$3648*(ABS(IF(ABS($E$4272)&gt;0.000000001,$E$4272,0.000000001))/$B$3635)^(1/3)))/ABS(IF(ABS($E$4272)&gt;0.000000001,$E$4272,0.000000001))*$I$3648)</f>
        <v/>
      </c>
      <c r="E4308" s="19">
        <f>0.5*$E$4272+0.5*$Z$4329</f>
        <v/>
      </c>
      <c r="F4308" s="19">
        <f>$Z$4330</f>
        <v/>
      </c>
    </row>
    <row r="4309">
      <c r="D4309" s="19">
        <f>IF(ABS(IF(ABS($E$4273)&gt;0.000000001,$E$4273,0.000000001))=0,0,IF($E$3649&lt;=$B$3633,0,IF(ABS(IF(ABS($E$4273)&gt;0.000000001,$E$4273,0.000000001))&gt;=8*$B$3635,$H$3649,0.5*$H$3649*(ABS(IF(ABS($E$4273)&gt;0.000000001,$E$4273,0.000000001))/$B$3635)^(1/3)))/ABS(IF(ABS($E$4273)&gt;0.000000001,$E$4273,0.000000001))*$I$3649)</f>
        <v/>
      </c>
      <c r="E4309" s="19">
        <f>0.5*$E$4273+0.5*$Z$4331</f>
        <v/>
      </c>
      <c r="F4309" s="19">
        <f>$Z$4332</f>
        <v/>
      </c>
    </row>
    <row r="4311">
      <c r="D4311" s="21">
        <f>$B$3624+$D$4299</f>
        <v/>
      </c>
      <c r="E4311" s="21">
        <f>$B$3625</f>
        <v/>
      </c>
      <c r="F4311" s="21">
        <f>-$B$3624</f>
        <v/>
      </c>
      <c r="G4311" s="21">
        <f>$B$3625</f>
        <v/>
      </c>
      <c r="H4311" s="21" t="n">
        <v>0</v>
      </c>
      <c r="I4311" s="21" t="n">
        <v>0</v>
      </c>
      <c r="J4311" s="21" t="n">
        <v>0</v>
      </c>
      <c r="K4311" s="21" t="n">
        <v>0</v>
      </c>
      <c r="L4311" s="21" t="n">
        <v>0</v>
      </c>
      <c r="M4311" s="21" t="n">
        <v>0</v>
      </c>
      <c r="N4311" s="21" t="n">
        <v>0</v>
      </c>
      <c r="O4311" s="21" t="n">
        <v>0</v>
      </c>
      <c r="P4311" s="21" t="n">
        <v>0</v>
      </c>
      <c r="Q4311" s="21" t="n">
        <v>0</v>
      </c>
      <c r="R4311" s="21" t="n">
        <v>0</v>
      </c>
      <c r="S4311" s="21" t="n">
        <v>0</v>
      </c>
      <c r="T4311" s="21" t="n">
        <v>0</v>
      </c>
      <c r="U4311" s="21" t="n">
        <v>0</v>
      </c>
      <c r="V4311" s="21" t="n">
        <v>0</v>
      </c>
      <c r="W4311" s="21" t="n">
        <v>0</v>
      </c>
      <c r="X4311" s="21" t="n">
        <v>0</v>
      </c>
      <c r="Y4311" s="21" t="n">
        <v>0</v>
      </c>
      <c r="Z4311" s="19">
        <f t="array" ref="Z4311:Z4332">MMULT(MINVERSE($D$4311:$Y$4332),$D$3651:$D$3672)</f>
        <v/>
      </c>
    </row>
    <row r="4312">
      <c r="D4312" s="21">
        <f>$B$3625</f>
        <v/>
      </c>
      <c r="E4312" s="21">
        <f>$B$3626</f>
        <v/>
      </c>
      <c r="F4312" s="21">
        <f>-$B$3625</f>
        <v/>
      </c>
      <c r="G4312" s="21">
        <f>$B$3627</f>
        <v/>
      </c>
      <c r="H4312" s="21" t="n">
        <v>0</v>
      </c>
      <c r="I4312" s="21" t="n">
        <v>0</v>
      </c>
      <c r="J4312" s="21" t="n">
        <v>0</v>
      </c>
      <c r="K4312" s="21" t="n">
        <v>0</v>
      </c>
      <c r="L4312" s="21" t="n">
        <v>0</v>
      </c>
      <c r="M4312" s="21" t="n">
        <v>0</v>
      </c>
      <c r="N4312" s="21" t="n">
        <v>0</v>
      </c>
      <c r="O4312" s="21" t="n">
        <v>0</v>
      </c>
      <c r="P4312" s="21" t="n">
        <v>0</v>
      </c>
      <c r="Q4312" s="21" t="n">
        <v>0</v>
      </c>
      <c r="R4312" s="21" t="n">
        <v>0</v>
      </c>
      <c r="S4312" s="21" t="n">
        <v>0</v>
      </c>
      <c r="T4312" s="21" t="n">
        <v>0</v>
      </c>
      <c r="U4312" s="21" t="n">
        <v>0</v>
      </c>
      <c r="V4312" s="21" t="n">
        <v>0</v>
      </c>
      <c r="W4312" s="21" t="n">
        <v>0</v>
      </c>
      <c r="X4312" s="21" t="n">
        <v>0</v>
      </c>
      <c r="Y4312" s="21" t="n">
        <v>0</v>
      </c>
      <c r="Z4312" s="19" t="n"/>
    </row>
    <row r="4313">
      <c r="D4313" s="21">
        <f>-$B$3624</f>
        <v/>
      </c>
      <c r="E4313" s="21">
        <f>-$B$3625</f>
        <v/>
      </c>
      <c r="F4313" s="21">
        <f>2*$B$3624+$D$4300</f>
        <v/>
      </c>
      <c r="G4313" s="21">
        <f>0</f>
        <v/>
      </c>
      <c r="H4313" s="21">
        <f>-$B$3624</f>
        <v/>
      </c>
      <c r="I4313" s="21">
        <f>$B$3625</f>
        <v/>
      </c>
      <c r="J4313" s="21" t="n">
        <v>0</v>
      </c>
      <c r="K4313" s="21" t="n">
        <v>0</v>
      </c>
      <c r="L4313" s="21" t="n">
        <v>0</v>
      </c>
      <c r="M4313" s="21" t="n">
        <v>0</v>
      </c>
      <c r="N4313" s="21" t="n">
        <v>0</v>
      </c>
      <c r="O4313" s="21" t="n">
        <v>0</v>
      </c>
      <c r="P4313" s="21" t="n">
        <v>0</v>
      </c>
      <c r="Q4313" s="21" t="n">
        <v>0</v>
      </c>
      <c r="R4313" s="21" t="n">
        <v>0</v>
      </c>
      <c r="S4313" s="21" t="n">
        <v>0</v>
      </c>
      <c r="T4313" s="21" t="n">
        <v>0</v>
      </c>
      <c r="U4313" s="21" t="n">
        <v>0</v>
      </c>
      <c r="V4313" s="21" t="n">
        <v>0</v>
      </c>
      <c r="W4313" s="21" t="n">
        <v>0</v>
      </c>
      <c r="X4313" s="21" t="n">
        <v>0</v>
      </c>
      <c r="Y4313" s="21" t="n">
        <v>0</v>
      </c>
      <c r="Z4313" s="19" t="n"/>
    </row>
    <row r="4314">
      <c r="D4314" s="21">
        <f>$B$3625</f>
        <v/>
      </c>
      <c r="E4314" s="21">
        <f>$B$3627</f>
        <v/>
      </c>
      <c r="F4314" s="21">
        <f>0</f>
        <v/>
      </c>
      <c r="G4314" s="21">
        <f>2*$B$3626</f>
        <v/>
      </c>
      <c r="H4314" s="21">
        <f>-$B$3625</f>
        <v/>
      </c>
      <c r="I4314" s="21">
        <f>$B$3627</f>
        <v/>
      </c>
      <c r="J4314" s="21" t="n">
        <v>0</v>
      </c>
      <c r="K4314" s="21" t="n">
        <v>0</v>
      </c>
      <c r="L4314" s="21" t="n">
        <v>0</v>
      </c>
      <c r="M4314" s="21" t="n">
        <v>0</v>
      </c>
      <c r="N4314" s="21" t="n">
        <v>0</v>
      </c>
      <c r="O4314" s="21" t="n">
        <v>0</v>
      </c>
      <c r="P4314" s="21" t="n">
        <v>0</v>
      </c>
      <c r="Q4314" s="21" t="n">
        <v>0</v>
      </c>
      <c r="R4314" s="21" t="n">
        <v>0</v>
      </c>
      <c r="S4314" s="21" t="n">
        <v>0</v>
      </c>
      <c r="T4314" s="21" t="n">
        <v>0</v>
      </c>
      <c r="U4314" s="21" t="n">
        <v>0</v>
      </c>
      <c r="V4314" s="21" t="n">
        <v>0</v>
      </c>
      <c r="W4314" s="21" t="n">
        <v>0</v>
      </c>
      <c r="X4314" s="21" t="n">
        <v>0</v>
      </c>
      <c r="Y4314" s="21" t="n">
        <v>0</v>
      </c>
      <c r="Z4314" s="19" t="n"/>
    </row>
    <row r="4315">
      <c r="D4315" s="21" t="n">
        <v>0</v>
      </c>
      <c r="E4315" s="21" t="n">
        <v>0</v>
      </c>
      <c r="F4315" s="21">
        <f>-$B$3624</f>
        <v/>
      </c>
      <c r="G4315" s="21">
        <f>-$B$3625</f>
        <v/>
      </c>
      <c r="H4315" s="21">
        <f>2*$B$3624+$D$4301</f>
        <v/>
      </c>
      <c r="I4315" s="21">
        <f>0</f>
        <v/>
      </c>
      <c r="J4315" s="21">
        <f>-$B$3624</f>
        <v/>
      </c>
      <c r="K4315" s="21">
        <f>$B$3625</f>
        <v/>
      </c>
      <c r="L4315" s="21" t="n">
        <v>0</v>
      </c>
      <c r="M4315" s="21" t="n">
        <v>0</v>
      </c>
      <c r="N4315" s="21" t="n">
        <v>0</v>
      </c>
      <c r="O4315" s="21" t="n">
        <v>0</v>
      </c>
      <c r="P4315" s="21" t="n">
        <v>0</v>
      </c>
      <c r="Q4315" s="21" t="n">
        <v>0</v>
      </c>
      <c r="R4315" s="21" t="n">
        <v>0</v>
      </c>
      <c r="S4315" s="21" t="n">
        <v>0</v>
      </c>
      <c r="T4315" s="21" t="n">
        <v>0</v>
      </c>
      <c r="U4315" s="21" t="n">
        <v>0</v>
      </c>
      <c r="V4315" s="21" t="n">
        <v>0</v>
      </c>
      <c r="W4315" s="21" t="n">
        <v>0</v>
      </c>
      <c r="X4315" s="21" t="n">
        <v>0</v>
      </c>
      <c r="Y4315" s="21" t="n">
        <v>0</v>
      </c>
      <c r="Z4315" s="19" t="n"/>
    </row>
    <row r="4316">
      <c r="D4316" s="21" t="n">
        <v>0</v>
      </c>
      <c r="E4316" s="21" t="n">
        <v>0</v>
      </c>
      <c r="F4316" s="21">
        <f>$B$3625</f>
        <v/>
      </c>
      <c r="G4316" s="21">
        <f>$B$3627</f>
        <v/>
      </c>
      <c r="H4316" s="21">
        <f>0</f>
        <v/>
      </c>
      <c r="I4316" s="21">
        <f>2*$B$3626</f>
        <v/>
      </c>
      <c r="J4316" s="21">
        <f>-$B$3625</f>
        <v/>
      </c>
      <c r="K4316" s="21">
        <f>$B$3627</f>
        <v/>
      </c>
      <c r="L4316" s="21" t="n">
        <v>0</v>
      </c>
      <c r="M4316" s="21" t="n">
        <v>0</v>
      </c>
      <c r="N4316" s="21" t="n">
        <v>0</v>
      </c>
      <c r="O4316" s="21" t="n">
        <v>0</v>
      </c>
      <c r="P4316" s="21" t="n">
        <v>0</v>
      </c>
      <c r="Q4316" s="21" t="n">
        <v>0</v>
      </c>
      <c r="R4316" s="21" t="n">
        <v>0</v>
      </c>
      <c r="S4316" s="21" t="n">
        <v>0</v>
      </c>
      <c r="T4316" s="21" t="n">
        <v>0</v>
      </c>
      <c r="U4316" s="21" t="n">
        <v>0</v>
      </c>
      <c r="V4316" s="21" t="n">
        <v>0</v>
      </c>
      <c r="W4316" s="21" t="n">
        <v>0</v>
      </c>
      <c r="X4316" s="21" t="n">
        <v>0</v>
      </c>
      <c r="Y4316" s="21" t="n">
        <v>0</v>
      </c>
      <c r="Z4316" s="19" t="n"/>
    </row>
    <row r="4317">
      <c r="D4317" s="21" t="n">
        <v>0</v>
      </c>
      <c r="E4317" s="21" t="n">
        <v>0</v>
      </c>
      <c r="F4317" s="21" t="n">
        <v>0</v>
      </c>
      <c r="G4317" s="21" t="n">
        <v>0</v>
      </c>
      <c r="H4317" s="21">
        <f>-$B$3624</f>
        <v/>
      </c>
      <c r="I4317" s="21">
        <f>-$B$3625</f>
        <v/>
      </c>
      <c r="J4317" s="21">
        <f>2*$B$3624+$D$4302</f>
        <v/>
      </c>
      <c r="K4317" s="21">
        <f>0</f>
        <v/>
      </c>
      <c r="L4317" s="21">
        <f>-$B$3624</f>
        <v/>
      </c>
      <c r="M4317" s="21">
        <f>$B$3625</f>
        <v/>
      </c>
      <c r="N4317" s="21" t="n">
        <v>0</v>
      </c>
      <c r="O4317" s="21" t="n">
        <v>0</v>
      </c>
      <c r="P4317" s="21" t="n">
        <v>0</v>
      </c>
      <c r="Q4317" s="21" t="n">
        <v>0</v>
      </c>
      <c r="R4317" s="21" t="n">
        <v>0</v>
      </c>
      <c r="S4317" s="21" t="n">
        <v>0</v>
      </c>
      <c r="T4317" s="21" t="n">
        <v>0</v>
      </c>
      <c r="U4317" s="21" t="n">
        <v>0</v>
      </c>
      <c r="V4317" s="21" t="n">
        <v>0</v>
      </c>
      <c r="W4317" s="21" t="n">
        <v>0</v>
      </c>
      <c r="X4317" s="21" t="n">
        <v>0</v>
      </c>
      <c r="Y4317" s="21" t="n">
        <v>0</v>
      </c>
      <c r="Z4317" s="19" t="n"/>
    </row>
    <row r="4318">
      <c r="D4318" s="21" t="n">
        <v>0</v>
      </c>
      <c r="E4318" s="21" t="n">
        <v>0</v>
      </c>
      <c r="F4318" s="21" t="n">
        <v>0</v>
      </c>
      <c r="G4318" s="21" t="n">
        <v>0</v>
      </c>
      <c r="H4318" s="21">
        <f>$B$3625</f>
        <v/>
      </c>
      <c r="I4318" s="21">
        <f>$B$3627</f>
        <v/>
      </c>
      <c r="J4318" s="21">
        <f>0</f>
        <v/>
      </c>
      <c r="K4318" s="21">
        <f>2*$B$3626</f>
        <v/>
      </c>
      <c r="L4318" s="21">
        <f>-$B$3625</f>
        <v/>
      </c>
      <c r="M4318" s="21">
        <f>$B$3627</f>
        <v/>
      </c>
      <c r="N4318" s="21" t="n">
        <v>0</v>
      </c>
      <c r="O4318" s="21" t="n">
        <v>0</v>
      </c>
      <c r="P4318" s="21" t="n">
        <v>0</v>
      </c>
      <c r="Q4318" s="21" t="n">
        <v>0</v>
      </c>
      <c r="R4318" s="21" t="n">
        <v>0</v>
      </c>
      <c r="S4318" s="21" t="n">
        <v>0</v>
      </c>
      <c r="T4318" s="21" t="n">
        <v>0</v>
      </c>
      <c r="U4318" s="21" t="n">
        <v>0</v>
      </c>
      <c r="V4318" s="21" t="n">
        <v>0</v>
      </c>
      <c r="W4318" s="21" t="n">
        <v>0</v>
      </c>
      <c r="X4318" s="21" t="n">
        <v>0</v>
      </c>
      <c r="Y4318" s="21" t="n">
        <v>0</v>
      </c>
      <c r="Z4318" s="19" t="n"/>
    </row>
    <row r="4319">
      <c r="D4319" s="21" t="n">
        <v>0</v>
      </c>
      <c r="E4319" s="21" t="n">
        <v>0</v>
      </c>
      <c r="F4319" s="21" t="n">
        <v>0</v>
      </c>
      <c r="G4319" s="21" t="n">
        <v>0</v>
      </c>
      <c r="H4319" s="21" t="n">
        <v>0</v>
      </c>
      <c r="I4319" s="21" t="n">
        <v>0</v>
      </c>
      <c r="J4319" s="21">
        <f>-$B$3624</f>
        <v/>
      </c>
      <c r="K4319" s="21">
        <f>-$B$3625</f>
        <v/>
      </c>
      <c r="L4319" s="21">
        <f>2*$B$3624+$D$4303</f>
        <v/>
      </c>
      <c r="M4319" s="21">
        <f>0</f>
        <v/>
      </c>
      <c r="N4319" s="21">
        <f>-$B$3624</f>
        <v/>
      </c>
      <c r="O4319" s="21">
        <f>$B$3625</f>
        <v/>
      </c>
      <c r="P4319" s="21" t="n">
        <v>0</v>
      </c>
      <c r="Q4319" s="21" t="n">
        <v>0</v>
      </c>
      <c r="R4319" s="21" t="n">
        <v>0</v>
      </c>
      <c r="S4319" s="21" t="n">
        <v>0</v>
      </c>
      <c r="T4319" s="21" t="n">
        <v>0</v>
      </c>
      <c r="U4319" s="21" t="n">
        <v>0</v>
      </c>
      <c r="V4319" s="21" t="n">
        <v>0</v>
      </c>
      <c r="W4319" s="21" t="n">
        <v>0</v>
      </c>
      <c r="X4319" s="21" t="n">
        <v>0</v>
      </c>
      <c r="Y4319" s="21" t="n">
        <v>0</v>
      </c>
      <c r="Z4319" s="19" t="n"/>
    </row>
    <row r="4320">
      <c r="D4320" s="21" t="n">
        <v>0</v>
      </c>
      <c r="E4320" s="21" t="n">
        <v>0</v>
      </c>
      <c r="F4320" s="21" t="n">
        <v>0</v>
      </c>
      <c r="G4320" s="21" t="n">
        <v>0</v>
      </c>
      <c r="H4320" s="21" t="n">
        <v>0</v>
      </c>
      <c r="I4320" s="21" t="n">
        <v>0</v>
      </c>
      <c r="J4320" s="21">
        <f>$B$3625</f>
        <v/>
      </c>
      <c r="K4320" s="21">
        <f>$B$3627</f>
        <v/>
      </c>
      <c r="L4320" s="21">
        <f>0</f>
        <v/>
      </c>
      <c r="M4320" s="21">
        <f>2*$B$3626</f>
        <v/>
      </c>
      <c r="N4320" s="21">
        <f>-$B$3625</f>
        <v/>
      </c>
      <c r="O4320" s="21">
        <f>$B$3627</f>
        <v/>
      </c>
      <c r="P4320" s="21" t="n">
        <v>0</v>
      </c>
      <c r="Q4320" s="21" t="n">
        <v>0</v>
      </c>
      <c r="R4320" s="21" t="n">
        <v>0</v>
      </c>
      <c r="S4320" s="21" t="n">
        <v>0</v>
      </c>
      <c r="T4320" s="21" t="n">
        <v>0</v>
      </c>
      <c r="U4320" s="21" t="n">
        <v>0</v>
      </c>
      <c r="V4320" s="21" t="n">
        <v>0</v>
      </c>
      <c r="W4320" s="21" t="n">
        <v>0</v>
      </c>
      <c r="X4320" s="21" t="n">
        <v>0</v>
      </c>
      <c r="Y4320" s="21" t="n">
        <v>0</v>
      </c>
      <c r="Z4320" s="19" t="n"/>
    </row>
    <row r="4321">
      <c r="D4321" s="21" t="n">
        <v>0</v>
      </c>
      <c r="E4321" s="21" t="n">
        <v>0</v>
      </c>
      <c r="F4321" s="21" t="n">
        <v>0</v>
      </c>
      <c r="G4321" s="21" t="n">
        <v>0</v>
      </c>
      <c r="H4321" s="21" t="n">
        <v>0</v>
      </c>
      <c r="I4321" s="21" t="n">
        <v>0</v>
      </c>
      <c r="J4321" s="21" t="n">
        <v>0</v>
      </c>
      <c r="K4321" s="21" t="n">
        <v>0</v>
      </c>
      <c r="L4321" s="21">
        <f>-$B$3624</f>
        <v/>
      </c>
      <c r="M4321" s="21">
        <f>-$B$3625</f>
        <v/>
      </c>
      <c r="N4321" s="21">
        <f>2*$B$3624+$D$4304</f>
        <v/>
      </c>
      <c r="O4321" s="21">
        <f>0</f>
        <v/>
      </c>
      <c r="P4321" s="21">
        <f>-$B$3624</f>
        <v/>
      </c>
      <c r="Q4321" s="21">
        <f>$B$3625</f>
        <v/>
      </c>
      <c r="R4321" s="21" t="n">
        <v>0</v>
      </c>
      <c r="S4321" s="21" t="n">
        <v>0</v>
      </c>
      <c r="T4321" s="21" t="n">
        <v>0</v>
      </c>
      <c r="U4321" s="21" t="n">
        <v>0</v>
      </c>
      <c r="V4321" s="21" t="n">
        <v>0</v>
      </c>
      <c r="W4321" s="21" t="n">
        <v>0</v>
      </c>
      <c r="X4321" s="21" t="n">
        <v>0</v>
      </c>
      <c r="Y4321" s="21" t="n">
        <v>0</v>
      </c>
      <c r="Z4321" s="19" t="n"/>
    </row>
    <row r="4322">
      <c r="D4322" s="21" t="n">
        <v>0</v>
      </c>
      <c r="E4322" s="21" t="n">
        <v>0</v>
      </c>
      <c r="F4322" s="21" t="n">
        <v>0</v>
      </c>
      <c r="G4322" s="21" t="n">
        <v>0</v>
      </c>
      <c r="H4322" s="21" t="n">
        <v>0</v>
      </c>
      <c r="I4322" s="21" t="n">
        <v>0</v>
      </c>
      <c r="J4322" s="21" t="n">
        <v>0</v>
      </c>
      <c r="K4322" s="21" t="n">
        <v>0</v>
      </c>
      <c r="L4322" s="21">
        <f>$B$3625</f>
        <v/>
      </c>
      <c r="M4322" s="21">
        <f>$B$3627</f>
        <v/>
      </c>
      <c r="N4322" s="21">
        <f>0</f>
        <v/>
      </c>
      <c r="O4322" s="21">
        <f>2*$B$3626</f>
        <v/>
      </c>
      <c r="P4322" s="21">
        <f>-$B$3625</f>
        <v/>
      </c>
      <c r="Q4322" s="21">
        <f>$B$3627</f>
        <v/>
      </c>
      <c r="R4322" s="21" t="n">
        <v>0</v>
      </c>
      <c r="S4322" s="21" t="n">
        <v>0</v>
      </c>
      <c r="T4322" s="21" t="n">
        <v>0</v>
      </c>
      <c r="U4322" s="21" t="n">
        <v>0</v>
      </c>
      <c r="V4322" s="21" t="n">
        <v>0</v>
      </c>
      <c r="W4322" s="21" t="n">
        <v>0</v>
      </c>
      <c r="X4322" s="21" t="n">
        <v>0</v>
      </c>
      <c r="Y4322" s="21" t="n">
        <v>0</v>
      </c>
      <c r="Z4322" s="19" t="n"/>
    </row>
    <row r="4323">
      <c r="D4323" s="21" t="n">
        <v>0</v>
      </c>
      <c r="E4323" s="21" t="n">
        <v>0</v>
      </c>
      <c r="F4323" s="21" t="n">
        <v>0</v>
      </c>
      <c r="G4323" s="21" t="n">
        <v>0</v>
      </c>
      <c r="H4323" s="21" t="n">
        <v>0</v>
      </c>
      <c r="I4323" s="21" t="n">
        <v>0</v>
      </c>
      <c r="J4323" s="21" t="n">
        <v>0</v>
      </c>
      <c r="K4323" s="21" t="n">
        <v>0</v>
      </c>
      <c r="L4323" s="21" t="n">
        <v>0</v>
      </c>
      <c r="M4323" s="21" t="n">
        <v>0</v>
      </c>
      <c r="N4323" s="21">
        <f>-$B$3624</f>
        <v/>
      </c>
      <c r="O4323" s="21">
        <f>-$B$3625</f>
        <v/>
      </c>
      <c r="P4323" s="21">
        <f>2*$B$3624+$D$4305</f>
        <v/>
      </c>
      <c r="Q4323" s="21">
        <f>0</f>
        <v/>
      </c>
      <c r="R4323" s="21">
        <f>-$B$3624</f>
        <v/>
      </c>
      <c r="S4323" s="21">
        <f>$B$3625</f>
        <v/>
      </c>
      <c r="T4323" s="21" t="n">
        <v>0</v>
      </c>
      <c r="U4323" s="21" t="n">
        <v>0</v>
      </c>
      <c r="V4323" s="21" t="n">
        <v>0</v>
      </c>
      <c r="W4323" s="21" t="n">
        <v>0</v>
      </c>
      <c r="X4323" s="21" t="n">
        <v>0</v>
      </c>
      <c r="Y4323" s="21" t="n">
        <v>0</v>
      </c>
      <c r="Z4323" s="19" t="n"/>
    </row>
    <row r="4324">
      <c r="D4324" s="21" t="n">
        <v>0</v>
      </c>
      <c r="E4324" s="21" t="n">
        <v>0</v>
      </c>
      <c r="F4324" s="21" t="n">
        <v>0</v>
      </c>
      <c r="G4324" s="21" t="n">
        <v>0</v>
      </c>
      <c r="H4324" s="21" t="n">
        <v>0</v>
      </c>
      <c r="I4324" s="21" t="n">
        <v>0</v>
      </c>
      <c r="J4324" s="21" t="n">
        <v>0</v>
      </c>
      <c r="K4324" s="21" t="n">
        <v>0</v>
      </c>
      <c r="L4324" s="21" t="n">
        <v>0</v>
      </c>
      <c r="M4324" s="21" t="n">
        <v>0</v>
      </c>
      <c r="N4324" s="21">
        <f>$B$3625</f>
        <v/>
      </c>
      <c r="O4324" s="21">
        <f>$B$3627</f>
        <v/>
      </c>
      <c r="P4324" s="21">
        <f>0</f>
        <v/>
      </c>
      <c r="Q4324" s="21">
        <f>2*$B$3626</f>
        <v/>
      </c>
      <c r="R4324" s="21">
        <f>-$B$3625</f>
        <v/>
      </c>
      <c r="S4324" s="21">
        <f>$B$3627</f>
        <v/>
      </c>
      <c r="T4324" s="21" t="n">
        <v>0</v>
      </c>
      <c r="U4324" s="21" t="n">
        <v>0</v>
      </c>
      <c r="V4324" s="21" t="n">
        <v>0</v>
      </c>
      <c r="W4324" s="21" t="n">
        <v>0</v>
      </c>
      <c r="X4324" s="21" t="n">
        <v>0</v>
      </c>
      <c r="Y4324" s="21" t="n">
        <v>0</v>
      </c>
      <c r="Z4324" s="19" t="n"/>
    </row>
    <row r="4325">
      <c r="D4325" s="21" t="n">
        <v>0</v>
      </c>
      <c r="E4325" s="21" t="n">
        <v>0</v>
      </c>
      <c r="F4325" s="21" t="n">
        <v>0</v>
      </c>
      <c r="G4325" s="21" t="n">
        <v>0</v>
      </c>
      <c r="H4325" s="21" t="n">
        <v>0</v>
      </c>
      <c r="I4325" s="21" t="n">
        <v>0</v>
      </c>
      <c r="J4325" s="21" t="n">
        <v>0</v>
      </c>
      <c r="K4325" s="21" t="n">
        <v>0</v>
      </c>
      <c r="L4325" s="21" t="n">
        <v>0</v>
      </c>
      <c r="M4325" s="21" t="n">
        <v>0</v>
      </c>
      <c r="N4325" s="21" t="n">
        <v>0</v>
      </c>
      <c r="O4325" s="21" t="n">
        <v>0</v>
      </c>
      <c r="P4325" s="21">
        <f>-$B$3624</f>
        <v/>
      </c>
      <c r="Q4325" s="21">
        <f>-$B$3625</f>
        <v/>
      </c>
      <c r="R4325" s="21">
        <f>2*$B$3624+$D$4306</f>
        <v/>
      </c>
      <c r="S4325" s="21">
        <f>0</f>
        <v/>
      </c>
      <c r="T4325" s="21">
        <f>-$B$3624</f>
        <v/>
      </c>
      <c r="U4325" s="21">
        <f>$B$3625</f>
        <v/>
      </c>
      <c r="V4325" s="21" t="n">
        <v>0</v>
      </c>
      <c r="W4325" s="21" t="n">
        <v>0</v>
      </c>
      <c r="X4325" s="21" t="n">
        <v>0</v>
      </c>
      <c r="Y4325" s="21" t="n">
        <v>0</v>
      </c>
      <c r="Z4325" s="19" t="n"/>
    </row>
    <row r="4326">
      <c r="D4326" s="21" t="n">
        <v>0</v>
      </c>
      <c r="E4326" s="21" t="n">
        <v>0</v>
      </c>
      <c r="F4326" s="21" t="n">
        <v>0</v>
      </c>
      <c r="G4326" s="21" t="n">
        <v>0</v>
      </c>
      <c r="H4326" s="21" t="n">
        <v>0</v>
      </c>
      <c r="I4326" s="21" t="n">
        <v>0</v>
      </c>
      <c r="J4326" s="21" t="n">
        <v>0</v>
      </c>
      <c r="K4326" s="21" t="n">
        <v>0</v>
      </c>
      <c r="L4326" s="21" t="n">
        <v>0</v>
      </c>
      <c r="M4326" s="21" t="n">
        <v>0</v>
      </c>
      <c r="N4326" s="21" t="n">
        <v>0</v>
      </c>
      <c r="O4326" s="21" t="n">
        <v>0</v>
      </c>
      <c r="P4326" s="21">
        <f>$B$3625</f>
        <v/>
      </c>
      <c r="Q4326" s="21">
        <f>$B$3627</f>
        <v/>
      </c>
      <c r="R4326" s="21">
        <f>0</f>
        <v/>
      </c>
      <c r="S4326" s="21">
        <f>2*$B$3626</f>
        <v/>
      </c>
      <c r="T4326" s="21">
        <f>-$B$3625</f>
        <v/>
      </c>
      <c r="U4326" s="21">
        <f>$B$3627</f>
        <v/>
      </c>
      <c r="V4326" s="21" t="n">
        <v>0</v>
      </c>
      <c r="W4326" s="21" t="n">
        <v>0</v>
      </c>
      <c r="X4326" s="21" t="n">
        <v>0</v>
      </c>
      <c r="Y4326" s="21" t="n">
        <v>0</v>
      </c>
      <c r="Z4326" s="19" t="n"/>
    </row>
    <row r="4327">
      <c r="D4327" s="21" t="n">
        <v>0</v>
      </c>
      <c r="E4327" s="21" t="n">
        <v>0</v>
      </c>
      <c r="F4327" s="21" t="n">
        <v>0</v>
      </c>
      <c r="G4327" s="21" t="n">
        <v>0</v>
      </c>
      <c r="H4327" s="21" t="n">
        <v>0</v>
      </c>
      <c r="I4327" s="21" t="n">
        <v>0</v>
      </c>
      <c r="J4327" s="21" t="n">
        <v>0</v>
      </c>
      <c r="K4327" s="21" t="n">
        <v>0</v>
      </c>
      <c r="L4327" s="21" t="n">
        <v>0</v>
      </c>
      <c r="M4327" s="21" t="n">
        <v>0</v>
      </c>
      <c r="N4327" s="21" t="n">
        <v>0</v>
      </c>
      <c r="O4327" s="21" t="n">
        <v>0</v>
      </c>
      <c r="P4327" s="21" t="n">
        <v>0</v>
      </c>
      <c r="Q4327" s="21" t="n">
        <v>0</v>
      </c>
      <c r="R4327" s="21">
        <f>-$B$3624</f>
        <v/>
      </c>
      <c r="S4327" s="21">
        <f>-$B$3625</f>
        <v/>
      </c>
      <c r="T4327" s="21">
        <f>2*$B$3624+$D$4307</f>
        <v/>
      </c>
      <c r="U4327" s="21">
        <f>0</f>
        <v/>
      </c>
      <c r="V4327" s="21">
        <f>-$B$3624</f>
        <v/>
      </c>
      <c r="W4327" s="21">
        <f>$B$3625</f>
        <v/>
      </c>
      <c r="X4327" s="21" t="n">
        <v>0</v>
      </c>
      <c r="Y4327" s="21" t="n">
        <v>0</v>
      </c>
      <c r="Z4327" s="19" t="n"/>
    </row>
    <row r="4328">
      <c r="D4328" s="21" t="n">
        <v>0</v>
      </c>
      <c r="E4328" s="21" t="n">
        <v>0</v>
      </c>
      <c r="F4328" s="21" t="n">
        <v>0</v>
      </c>
      <c r="G4328" s="21" t="n">
        <v>0</v>
      </c>
      <c r="H4328" s="21" t="n">
        <v>0</v>
      </c>
      <c r="I4328" s="21" t="n">
        <v>0</v>
      </c>
      <c r="J4328" s="21" t="n">
        <v>0</v>
      </c>
      <c r="K4328" s="21" t="n">
        <v>0</v>
      </c>
      <c r="L4328" s="21" t="n">
        <v>0</v>
      </c>
      <c r="M4328" s="21" t="n">
        <v>0</v>
      </c>
      <c r="N4328" s="21" t="n">
        <v>0</v>
      </c>
      <c r="O4328" s="21" t="n">
        <v>0</v>
      </c>
      <c r="P4328" s="21" t="n">
        <v>0</v>
      </c>
      <c r="Q4328" s="21" t="n">
        <v>0</v>
      </c>
      <c r="R4328" s="21">
        <f>$B$3625</f>
        <v/>
      </c>
      <c r="S4328" s="21">
        <f>$B$3627</f>
        <v/>
      </c>
      <c r="T4328" s="21">
        <f>0</f>
        <v/>
      </c>
      <c r="U4328" s="21">
        <f>2*$B$3626</f>
        <v/>
      </c>
      <c r="V4328" s="21">
        <f>-$B$3625</f>
        <v/>
      </c>
      <c r="W4328" s="21">
        <f>$B$3627</f>
        <v/>
      </c>
      <c r="X4328" s="21" t="n">
        <v>0</v>
      </c>
      <c r="Y4328" s="21" t="n">
        <v>0</v>
      </c>
      <c r="Z4328" s="19" t="n"/>
    </row>
    <row r="4329">
      <c r="D4329" s="21" t="n">
        <v>0</v>
      </c>
      <c r="E4329" s="21" t="n">
        <v>0</v>
      </c>
      <c r="F4329" s="21" t="n">
        <v>0</v>
      </c>
      <c r="G4329" s="21" t="n">
        <v>0</v>
      </c>
      <c r="H4329" s="21" t="n">
        <v>0</v>
      </c>
      <c r="I4329" s="21" t="n">
        <v>0</v>
      </c>
      <c r="J4329" s="21" t="n">
        <v>0</v>
      </c>
      <c r="K4329" s="21" t="n">
        <v>0</v>
      </c>
      <c r="L4329" s="21" t="n">
        <v>0</v>
      </c>
      <c r="M4329" s="21" t="n">
        <v>0</v>
      </c>
      <c r="N4329" s="21" t="n">
        <v>0</v>
      </c>
      <c r="O4329" s="21" t="n">
        <v>0</v>
      </c>
      <c r="P4329" s="21" t="n">
        <v>0</v>
      </c>
      <c r="Q4329" s="21" t="n">
        <v>0</v>
      </c>
      <c r="R4329" s="21" t="n">
        <v>0</v>
      </c>
      <c r="S4329" s="21" t="n">
        <v>0</v>
      </c>
      <c r="T4329" s="21">
        <f>-$B$3624</f>
        <v/>
      </c>
      <c r="U4329" s="21">
        <f>-$B$3625</f>
        <v/>
      </c>
      <c r="V4329" s="21">
        <f>2*$B$3624+$D$4308</f>
        <v/>
      </c>
      <c r="W4329" s="21">
        <f>0</f>
        <v/>
      </c>
      <c r="X4329" s="21">
        <f>-$B$3624</f>
        <v/>
      </c>
      <c r="Y4329" s="21">
        <f>$B$3625</f>
        <v/>
      </c>
      <c r="Z4329" s="19" t="n"/>
    </row>
    <row r="4330">
      <c r="D4330" s="21" t="n">
        <v>0</v>
      </c>
      <c r="E4330" s="21" t="n">
        <v>0</v>
      </c>
      <c r="F4330" s="21" t="n">
        <v>0</v>
      </c>
      <c r="G4330" s="21" t="n">
        <v>0</v>
      </c>
      <c r="H4330" s="21" t="n">
        <v>0</v>
      </c>
      <c r="I4330" s="21" t="n">
        <v>0</v>
      </c>
      <c r="J4330" s="21" t="n">
        <v>0</v>
      </c>
      <c r="K4330" s="21" t="n">
        <v>0</v>
      </c>
      <c r="L4330" s="21" t="n">
        <v>0</v>
      </c>
      <c r="M4330" s="21" t="n">
        <v>0</v>
      </c>
      <c r="N4330" s="21" t="n">
        <v>0</v>
      </c>
      <c r="O4330" s="21" t="n">
        <v>0</v>
      </c>
      <c r="P4330" s="21" t="n">
        <v>0</v>
      </c>
      <c r="Q4330" s="21" t="n">
        <v>0</v>
      </c>
      <c r="R4330" s="21" t="n">
        <v>0</v>
      </c>
      <c r="S4330" s="21" t="n">
        <v>0</v>
      </c>
      <c r="T4330" s="21">
        <f>$B$3625</f>
        <v/>
      </c>
      <c r="U4330" s="21">
        <f>$B$3627</f>
        <v/>
      </c>
      <c r="V4330" s="21">
        <f>0</f>
        <v/>
      </c>
      <c r="W4330" s="21">
        <f>2*$B$3626</f>
        <v/>
      </c>
      <c r="X4330" s="21">
        <f>-$B$3625</f>
        <v/>
      </c>
      <c r="Y4330" s="21">
        <f>$B$3627</f>
        <v/>
      </c>
      <c r="Z4330" s="19" t="n"/>
    </row>
    <row r="4331">
      <c r="D4331" s="21" t="n">
        <v>0</v>
      </c>
      <c r="E4331" s="21" t="n">
        <v>0</v>
      </c>
      <c r="F4331" s="21" t="n">
        <v>0</v>
      </c>
      <c r="G4331" s="21" t="n">
        <v>0</v>
      </c>
      <c r="H4331" s="21" t="n">
        <v>0</v>
      </c>
      <c r="I4331" s="21" t="n">
        <v>0</v>
      </c>
      <c r="J4331" s="21" t="n">
        <v>0</v>
      </c>
      <c r="K4331" s="21" t="n">
        <v>0</v>
      </c>
      <c r="L4331" s="21" t="n">
        <v>0</v>
      </c>
      <c r="M4331" s="21" t="n">
        <v>0</v>
      </c>
      <c r="N4331" s="21" t="n">
        <v>0</v>
      </c>
      <c r="O4331" s="21" t="n">
        <v>0</v>
      </c>
      <c r="P4331" s="21" t="n">
        <v>0</v>
      </c>
      <c r="Q4331" s="21" t="n">
        <v>0</v>
      </c>
      <c r="R4331" s="21" t="n">
        <v>0</v>
      </c>
      <c r="S4331" s="21" t="n">
        <v>0</v>
      </c>
      <c r="T4331" s="21" t="n">
        <v>0</v>
      </c>
      <c r="U4331" s="21" t="n">
        <v>0</v>
      </c>
      <c r="V4331" s="21">
        <f>-$B$3624</f>
        <v/>
      </c>
      <c r="W4331" s="21">
        <f>-$B$3625</f>
        <v/>
      </c>
      <c r="X4331" s="21">
        <f>$B$3624+$D$4309</f>
        <v/>
      </c>
      <c r="Y4331" s="21">
        <f>-$B$3625</f>
        <v/>
      </c>
      <c r="Z4331" s="19" t="n"/>
    </row>
    <row r="4332">
      <c r="D4332" s="21" t="n">
        <v>0</v>
      </c>
      <c r="E4332" s="21" t="n">
        <v>0</v>
      </c>
      <c r="F4332" s="21" t="n">
        <v>0</v>
      </c>
      <c r="G4332" s="21" t="n">
        <v>0</v>
      </c>
      <c r="H4332" s="21" t="n">
        <v>0</v>
      </c>
      <c r="I4332" s="21" t="n">
        <v>0</v>
      </c>
      <c r="J4332" s="21" t="n">
        <v>0</v>
      </c>
      <c r="K4332" s="21" t="n">
        <v>0</v>
      </c>
      <c r="L4332" s="21" t="n">
        <v>0</v>
      </c>
      <c r="M4332" s="21" t="n">
        <v>0</v>
      </c>
      <c r="N4332" s="21" t="n">
        <v>0</v>
      </c>
      <c r="O4332" s="21" t="n">
        <v>0</v>
      </c>
      <c r="P4332" s="21" t="n">
        <v>0</v>
      </c>
      <c r="Q4332" s="21" t="n">
        <v>0</v>
      </c>
      <c r="R4332" s="21" t="n">
        <v>0</v>
      </c>
      <c r="S4332" s="21" t="n">
        <v>0</v>
      </c>
      <c r="T4332" s="21" t="n">
        <v>0</v>
      </c>
      <c r="U4332" s="21" t="n">
        <v>0</v>
      </c>
      <c r="V4332" s="21">
        <f>$B$3625</f>
        <v/>
      </c>
      <c r="W4332" s="21">
        <f>$B$3627</f>
        <v/>
      </c>
      <c r="X4332" s="21">
        <f>-$B$3625</f>
        <v/>
      </c>
      <c r="Y4332" s="21">
        <f>$B$3626</f>
        <v/>
      </c>
      <c r="Z4332" s="19" t="n"/>
    </row>
    <row r="4334">
      <c r="A4334" s="8" t="inlineStr">
        <is>
          <t>gen 19</t>
        </is>
      </c>
    </row>
    <row r="4335">
      <c r="D4335" s="19">
        <f>IF(ABS(IF(ABS($E$4299)&gt;0.000000001,$E$4299,0.000000001))=0,0,IF($E$3639&lt;=$B$3633,0,IF(ABS(IF(ABS($E$4299)&gt;0.000000001,$E$4299,0.000000001))&gt;=8*$B$3635,$H$3639,0.5*$H$3639*(ABS(IF(ABS($E$4299)&gt;0.000000001,$E$4299,0.000000001))/$B$3635)^(1/3)))/ABS(IF(ABS($E$4299)&gt;0.000000001,$E$4299,0.000000001))*$I$3639)</f>
        <v/>
      </c>
      <c r="E4335" s="19">
        <f>0.5*$E$4299+0.5*$Z$4347</f>
        <v/>
      </c>
      <c r="F4335" s="19">
        <f>$Z$4348</f>
        <v/>
      </c>
    </row>
    <row r="4336">
      <c r="D4336" s="19">
        <f>IF(ABS(IF(ABS($E$4300)&gt;0.000000001,$E$4300,0.000000001))=0,0,IF($E$3640&lt;=$B$3633,0,IF(ABS(IF(ABS($E$4300)&gt;0.000000001,$E$4300,0.000000001))&gt;=8*$B$3635,$H$3640,0.5*$H$3640*(ABS(IF(ABS($E$4300)&gt;0.000000001,$E$4300,0.000000001))/$B$3635)^(1/3)))/ABS(IF(ABS($E$4300)&gt;0.000000001,$E$4300,0.000000001))*$I$3640)</f>
        <v/>
      </c>
      <c r="E4336" s="19">
        <f>0.5*$E$4300+0.5*$Z$4349</f>
        <v/>
      </c>
      <c r="F4336" s="19">
        <f>$Z$4350</f>
        <v/>
      </c>
    </row>
    <row r="4337">
      <c r="D4337" s="19">
        <f>IF(ABS(IF(ABS($E$4301)&gt;0.000000001,$E$4301,0.000000001))=0,0,IF($E$3641&lt;=$B$3633,0,IF(ABS(IF(ABS($E$4301)&gt;0.000000001,$E$4301,0.000000001))&gt;=8*$B$3635,$H$3641,0.5*$H$3641*(ABS(IF(ABS($E$4301)&gt;0.000000001,$E$4301,0.000000001))/$B$3635)^(1/3)))/ABS(IF(ABS($E$4301)&gt;0.000000001,$E$4301,0.000000001))*$I$3641)</f>
        <v/>
      </c>
      <c r="E4337" s="19">
        <f>0.5*$E$4301+0.5*$Z$4351</f>
        <v/>
      </c>
      <c r="F4337" s="19">
        <f>$Z$4352</f>
        <v/>
      </c>
    </row>
    <row r="4338">
      <c r="D4338" s="19">
        <f>IF(ABS(IF(ABS($E$4302)&gt;0.000000001,$E$4302,0.000000001))=0,0,IF($E$3642&lt;=$B$3633,0,IF(ABS(IF(ABS($E$4302)&gt;0.000000001,$E$4302,0.000000001))&gt;=8*$B$3635,$H$3642,0.5*$H$3642*(ABS(IF(ABS($E$4302)&gt;0.000000001,$E$4302,0.000000001))/$B$3635)^(1/3)))/ABS(IF(ABS($E$4302)&gt;0.000000001,$E$4302,0.000000001))*$I$3642)</f>
        <v/>
      </c>
      <c r="E4338" s="19">
        <f>0.5*$E$4302+0.5*$Z$4353</f>
        <v/>
      </c>
      <c r="F4338" s="19">
        <f>$Z$4354</f>
        <v/>
      </c>
    </row>
    <row r="4339">
      <c r="D4339" s="19">
        <f>IF(ABS(IF(ABS($E$4303)&gt;0.000000001,$E$4303,0.000000001))=0,0,IF($E$3643&lt;=$B$3633,0,IF(ABS(IF(ABS($E$4303)&gt;0.000000001,$E$4303,0.000000001))&gt;=8*$B$3635,$H$3643,0.5*$H$3643*(ABS(IF(ABS($E$4303)&gt;0.000000001,$E$4303,0.000000001))/$B$3635)^(1/3)))/ABS(IF(ABS($E$4303)&gt;0.000000001,$E$4303,0.000000001))*$I$3643)</f>
        <v/>
      </c>
      <c r="E4339" s="19">
        <f>0.5*$E$4303+0.5*$Z$4355</f>
        <v/>
      </c>
      <c r="F4339" s="19">
        <f>$Z$4356</f>
        <v/>
      </c>
    </row>
    <row r="4340">
      <c r="D4340" s="19">
        <f>IF(ABS(IF(ABS($E$4304)&gt;0.000000001,$E$4304,0.000000001))=0,0,IF($E$3644&lt;=$B$3633,0,IF(ABS(IF(ABS($E$4304)&gt;0.000000001,$E$4304,0.000000001))&gt;=8*$B$3635,$H$3644,0.5*$H$3644*(ABS(IF(ABS($E$4304)&gt;0.000000001,$E$4304,0.000000001))/$B$3635)^(1/3)))/ABS(IF(ABS($E$4304)&gt;0.000000001,$E$4304,0.000000001))*$I$3644)</f>
        <v/>
      </c>
      <c r="E4340" s="19">
        <f>0.5*$E$4304+0.5*$Z$4357</f>
        <v/>
      </c>
      <c r="F4340" s="19">
        <f>$Z$4358</f>
        <v/>
      </c>
    </row>
    <row r="4341">
      <c r="D4341" s="19">
        <f>IF(ABS(IF(ABS($E$4305)&gt;0.000000001,$E$4305,0.000000001))=0,0,IF($E$3645&lt;=$B$3633,0,IF(ABS(IF(ABS($E$4305)&gt;0.000000001,$E$4305,0.000000001))&gt;=8*$B$3635,$H$3645,0.5*$H$3645*(ABS(IF(ABS($E$4305)&gt;0.000000001,$E$4305,0.000000001))/$B$3635)^(1/3)))/ABS(IF(ABS($E$4305)&gt;0.000000001,$E$4305,0.000000001))*$I$3645)</f>
        <v/>
      </c>
      <c r="E4341" s="19">
        <f>0.5*$E$4305+0.5*$Z$4359</f>
        <v/>
      </c>
      <c r="F4341" s="19">
        <f>$Z$4360</f>
        <v/>
      </c>
    </row>
    <row r="4342">
      <c r="D4342" s="19">
        <f>IF(ABS(IF(ABS($E$4306)&gt;0.000000001,$E$4306,0.000000001))=0,0,IF($E$3646&lt;=$B$3633,0,IF(ABS(IF(ABS($E$4306)&gt;0.000000001,$E$4306,0.000000001))&gt;=8*$B$3635,$H$3646,0.5*$H$3646*(ABS(IF(ABS($E$4306)&gt;0.000000001,$E$4306,0.000000001))/$B$3635)^(1/3)))/ABS(IF(ABS($E$4306)&gt;0.000000001,$E$4306,0.000000001))*$I$3646)</f>
        <v/>
      </c>
      <c r="E4342" s="19">
        <f>0.5*$E$4306+0.5*$Z$4361</f>
        <v/>
      </c>
      <c r="F4342" s="19">
        <f>$Z$4362</f>
        <v/>
      </c>
    </row>
    <row r="4343">
      <c r="D4343" s="19">
        <f>IF(ABS(IF(ABS($E$4307)&gt;0.000000001,$E$4307,0.000000001))=0,0,IF($E$3647&lt;=$B$3633,0,IF(ABS(IF(ABS($E$4307)&gt;0.000000001,$E$4307,0.000000001))&gt;=8*$B$3635,$H$3647,0.5*$H$3647*(ABS(IF(ABS($E$4307)&gt;0.000000001,$E$4307,0.000000001))/$B$3635)^(1/3)))/ABS(IF(ABS($E$4307)&gt;0.000000001,$E$4307,0.000000001))*$I$3647)</f>
        <v/>
      </c>
      <c r="E4343" s="19">
        <f>0.5*$E$4307+0.5*$Z$4363</f>
        <v/>
      </c>
      <c r="F4343" s="19">
        <f>$Z$4364</f>
        <v/>
      </c>
    </row>
    <row r="4344">
      <c r="D4344" s="19">
        <f>IF(ABS(IF(ABS($E$4308)&gt;0.000000001,$E$4308,0.000000001))=0,0,IF($E$3648&lt;=$B$3633,0,IF(ABS(IF(ABS($E$4308)&gt;0.000000001,$E$4308,0.000000001))&gt;=8*$B$3635,$H$3648,0.5*$H$3648*(ABS(IF(ABS($E$4308)&gt;0.000000001,$E$4308,0.000000001))/$B$3635)^(1/3)))/ABS(IF(ABS($E$4308)&gt;0.000000001,$E$4308,0.000000001))*$I$3648)</f>
        <v/>
      </c>
      <c r="E4344" s="19">
        <f>0.5*$E$4308+0.5*$Z$4365</f>
        <v/>
      </c>
      <c r="F4344" s="19">
        <f>$Z$4366</f>
        <v/>
      </c>
    </row>
    <row r="4345">
      <c r="D4345" s="19">
        <f>IF(ABS(IF(ABS($E$4309)&gt;0.000000001,$E$4309,0.000000001))=0,0,IF($E$3649&lt;=$B$3633,0,IF(ABS(IF(ABS($E$4309)&gt;0.000000001,$E$4309,0.000000001))&gt;=8*$B$3635,$H$3649,0.5*$H$3649*(ABS(IF(ABS($E$4309)&gt;0.000000001,$E$4309,0.000000001))/$B$3635)^(1/3)))/ABS(IF(ABS($E$4309)&gt;0.000000001,$E$4309,0.000000001))*$I$3649)</f>
        <v/>
      </c>
      <c r="E4345" s="19">
        <f>0.5*$E$4309+0.5*$Z$4367</f>
        <v/>
      </c>
      <c r="F4345" s="19">
        <f>$Z$4368</f>
        <v/>
      </c>
    </row>
    <row r="4347">
      <c r="D4347" s="21">
        <f>$B$3624+$D$4335</f>
        <v/>
      </c>
      <c r="E4347" s="21">
        <f>$B$3625</f>
        <v/>
      </c>
      <c r="F4347" s="21">
        <f>-$B$3624</f>
        <v/>
      </c>
      <c r="G4347" s="21">
        <f>$B$3625</f>
        <v/>
      </c>
      <c r="H4347" s="21" t="n">
        <v>0</v>
      </c>
      <c r="I4347" s="21" t="n">
        <v>0</v>
      </c>
      <c r="J4347" s="21" t="n">
        <v>0</v>
      </c>
      <c r="K4347" s="21" t="n">
        <v>0</v>
      </c>
      <c r="L4347" s="21" t="n">
        <v>0</v>
      </c>
      <c r="M4347" s="21" t="n">
        <v>0</v>
      </c>
      <c r="N4347" s="21" t="n">
        <v>0</v>
      </c>
      <c r="O4347" s="21" t="n">
        <v>0</v>
      </c>
      <c r="P4347" s="21" t="n">
        <v>0</v>
      </c>
      <c r="Q4347" s="21" t="n">
        <v>0</v>
      </c>
      <c r="R4347" s="21" t="n">
        <v>0</v>
      </c>
      <c r="S4347" s="21" t="n">
        <v>0</v>
      </c>
      <c r="T4347" s="21" t="n">
        <v>0</v>
      </c>
      <c r="U4347" s="21" t="n">
        <v>0</v>
      </c>
      <c r="V4347" s="21" t="n">
        <v>0</v>
      </c>
      <c r="W4347" s="21" t="n">
        <v>0</v>
      </c>
      <c r="X4347" s="21" t="n">
        <v>0</v>
      </c>
      <c r="Y4347" s="21" t="n">
        <v>0</v>
      </c>
      <c r="Z4347" s="19">
        <f t="array" ref="Z4347:Z4368">MMULT(MINVERSE($D$4347:$Y$4368),$D$3651:$D$3672)</f>
        <v/>
      </c>
    </row>
    <row r="4348">
      <c r="D4348" s="21">
        <f>$B$3625</f>
        <v/>
      </c>
      <c r="E4348" s="21">
        <f>$B$3626</f>
        <v/>
      </c>
      <c r="F4348" s="21">
        <f>-$B$3625</f>
        <v/>
      </c>
      <c r="G4348" s="21">
        <f>$B$3627</f>
        <v/>
      </c>
      <c r="H4348" s="21" t="n">
        <v>0</v>
      </c>
      <c r="I4348" s="21" t="n">
        <v>0</v>
      </c>
      <c r="J4348" s="21" t="n">
        <v>0</v>
      </c>
      <c r="K4348" s="21" t="n">
        <v>0</v>
      </c>
      <c r="L4348" s="21" t="n">
        <v>0</v>
      </c>
      <c r="M4348" s="21" t="n">
        <v>0</v>
      </c>
      <c r="N4348" s="21" t="n">
        <v>0</v>
      </c>
      <c r="O4348" s="21" t="n">
        <v>0</v>
      </c>
      <c r="P4348" s="21" t="n">
        <v>0</v>
      </c>
      <c r="Q4348" s="21" t="n">
        <v>0</v>
      </c>
      <c r="R4348" s="21" t="n">
        <v>0</v>
      </c>
      <c r="S4348" s="21" t="n">
        <v>0</v>
      </c>
      <c r="T4348" s="21" t="n">
        <v>0</v>
      </c>
      <c r="U4348" s="21" t="n">
        <v>0</v>
      </c>
      <c r="V4348" s="21" t="n">
        <v>0</v>
      </c>
      <c r="W4348" s="21" t="n">
        <v>0</v>
      </c>
      <c r="X4348" s="21" t="n">
        <v>0</v>
      </c>
      <c r="Y4348" s="21" t="n">
        <v>0</v>
      </c>
      <c r="Z4348" s="19" t="n"/>
    </row>
    <row r="4349">
      <c r="D4349" s="21">
        <f>-$B$3624</f>
        <v/>
      </c>
      <c r="E4349" s="21">
        <f>-$B$3625</f>
        <v/>
      </c>
      <c r="F4349" s="21">
        <f>2*$B$3624+$D$4336</f>
        <v/>
      </c>
      <c r="G4349" s="21">
        <f>0</f>
        <v/>
      </c>
      <c r="H4349" s="21">
        <f>-$B$3624</f>
        <v/>
      </c>
      <c r="I4349" s="21">
        <f>$B$3625</f>
        <v/>
      </c>
      <c r="J4349" s="21" t="n">
        <v>0</v>
      </c>
      <c r="K4349" s="21" t="n">
        <v>0</v>
      </c>
      <c r="L4349" s="21" t="n">
        <v>0</v>
      </c>
      <c r="M4349" s="21" t="n">
        <v>0</v>
      </c>
      <c r="N4349" s="21" t="n">
        <v>0</v>
      </c>
      <c r="O4349" s="21" t="n">
        <v>0</v>
      </c>
      <c r="P4349" s="21" t="n">
        <v>0</v>
      </c>
      <c r="Q4349" s="21" t="n">
        <v>0</v>
      </c>
      <c r="R4349" s="21" t="n">
        <v>0</v>
      </c>
      <c r="S4349" s="21" t="n">
        <v>0</v>
      </c>
      <c r="T4349" s="21" t="n">
        <v>0</v>
      </c>
      <c r="U4349" s="21" t="n">
        <v>0</v>
      </c>
      <c r="V4349" s="21" t="n">
        <v>0</v>
      </c>
      <c r="W4349" s="21" t="n">
        <v>0</v>
      </c>
      <c r="X4349" s="21" t="n">
        <v>0</v>
      </c>
      <c r="Y4349" s="21" t="n">
        <v>0</v>
      </c>
      <c r="Z4349" s="19" t="n"/>
    </row>
    <row r="4350">
      <c r="D4350" s="21">
        <f>$B$3625</f>
        <v/>
      </c>
      <c r="E4350" s="21">
        <f>$B$3627</f>
        <v/>
      </c>
      <c r="F4350" s="21">
        <f>0</f>
        <v/>
      </c>
      <c r="G4350" s="21">
        <f>2*$B$3626</f>
        <v/>
      </c>
      <c r="H4350" s="21">
        <f>-$B$3625</f>
        <v/>
      </c>
      <c r="I4350" s="21">
        <f>$B$3627</f>
        <v/>
      </c>
      <c r="J4350" s="21" t="n">
        <v>0</v>
      </c>
      <c r="K4350" s="21" t="n">
        <v>0</v>
      </c>
      <c r="L4350" s="21" t="n">
        <v>0</v>
      </c>
      <c r="M4350" s="21" t="n">
        <v>0</v>
      </c>
      <c r="N4350" s="21" t="n">
        <v>0</v>
      </c>
      <c r="O4350" s="21" t="n">
        <v>0</v>
      </c>
      <c r="P4350" s="21" t="n">
        <v>0</v>
      </c>
      <c r="Q4350" s="21" t="n">
        <v>0</v>
      </c>
      <c r="R4350" s="21" t="n">
        <v>0</v>
      </c>
      <c r="S4350" s="21" t="n">
        <v>0</v>
      </c>
      <c r="T4350" s="21" t="n">
        <v>0</v>
      </c>
      <c r="U4350" s="21" t="n">
        <v>0</v>
      </c>
      <c r="V4350" s="21" t="n">
        <v>0</v>
      </c>
      <c r="W4350" s="21" t="n">
        <v>0</v>
      </c>
      <c r="X4350" s="21" t="n">
        <v>0</v>
      </c>
      <c r="Y4350" s="21" t="n">
        <v>0</v>
      </c>
      <c r="Z4350" s="19" t="n"/>
    </row>
    <row r="4351">
      <c r="D4351" s="21" t="n">
        <v>0</v>
      </c>
      <c r="E4351" s="21" t="n">
        <v>0</v>
      </c>
      <c r="F4351" s="21">
        <f>-$B$3624</f>
        <v/>
      </c>
      <c r="G4351" s="21">
        <f>-$B$3625</f>
        <v/>
      </c>
      <c r="H4351" s="21">
        <f>2*$B$3624+$D$4337</f>
        <v/>
      </c>
      <c r="I4351" s="21">
        <f>0</f>
        <v/>
      </c>
      <c r="J4351" s="21">
        <f>-$B$3624</f>
        <v/>
      </c>
      <c r="K4351" s="21">
        <f>$B$3625</f>
        <v/>
      </c>
      <c r="L4351" s="21" t="n">
        <v>0</v>
      </c>
      <c r="M4351" s="21" t="n">
        <v>0</v>
      </c>
      <c r="N4351" s="21" t="n">
        <v>0</v>
      </c>
      <c r="O4351" s="21" t="n">
        <v>0</v>
      </c>
      <c r="P4351" s="21" t="n">
        <v>0</v>
      </c>
      <c r="Q4351" s="21" t="n">
        <v>0</v>
      </c>
      <c r="R4351" s="21" t="n">
        <v>0</v>
      </c>
      <c r="S4351" s="21" t="n">
        <v>0</v>
      </c>
      <c r="T4351" s="21" t="n">
        <v>0</v>
      </c>
      <c r="U4351" s="21" t="n">
        <v>0</v>
      </c>
      <c r="V4351" s="21" t="n">
        <v>0</v>
      </c>
      <c r="W4351" s="21" t="n">
        <v>0</v>
      </c>
      <c r="X4351" s="21" t="n">
        <v>0</v>
      </c>
      <c r="Y4351" s="21" t="n">
        <v>0</v>
      </c>
      <c r="Z4351" s="19" t="n"/>
    </row>
    <row r="4352">
      <c r="D4352" s="21" t="n">
        <v>0</v>
      </c>
      <c r="E4352" s="21" t="n">
        <v>0</v>
      </c>
      <c r="F4352" s="21">
        <f>$B$3625</f>
        <v/>
      </c>
      <c r="G4352" s="21">
        <f>$B$3627</f>
        <v/>
      </c>
      <c r="H4352" s="21">
        <f>0</f>
        <v/>
      </c>
      <c r="I4352" s="21">
        <f>2*$B$3626</f>
        <v/>
      </c>
      <c r="J4352" s="21">
        <f>-$B$3625</f>
        <v/>
      </c>
      <c r="K4352" s="21">
        <f>$B$3627</f>
        <v/>
      </c>
      <c r="L4352" s="21" t="n">
        <v>0</v>
      </c>
      <c r="M4352" s="21" t="n">
        <v>0</v>
      </c>
      <c r="N4352" s="21" t="n">
        <v>0</v>
      </c>
      <c r="O4352" s="21" t="n">
        <v>0</v>
      </c>
      <c r="P4352" s="21" t="n">
        <v>0</v>
      </c>
      <c r="Q4352" s="21" t="n">
        <v>0</v>
      </c>
      <c r="R4352" s="21" t="n">
        <v>0</v>
      </c>
      <c r="S4352" s="21" t="n">
        <v>0</v>
      </c>
      <c r="T4352" s="21" t="n">
        <v>0</v>
      </c>
      <c r="U4352" s="21" t="n">
        <v>0</v>
      </c>
      <c r="V4352" s="21" t="n">
        <v>0</v>
      </c>
      <c r="W4352" s="21" t="n">
        <v>0</v>
      </c>
      <c r="X4352" s="21" t="n">
        <v>0</v>
      </c>
      <c r="Y4352" s="21" t="n">
        <v>0</v>
      </c>
      <c r="Z4352" s="19" t="n"/>
    </row>
    <row r="4353">
      <c r="D4353" s="21" t="n">
        <v>0</v>
      </c>
      <c r="E4353" s="21" t="n">
        <v>0</v>
      </c>
      <c r="F4353" s="21" t="n">
        <v>0</v>
      </c>
      <c r="G4353" s="21" t="n">
        <v>0</v>
      </c>
      <c r="H4353" s="21">
        <f>-$B$3624</f>
        <v/>
      </c>
      <c r="I4353" s="21">
        <f>-$B$3625</f>
        <v/>
      </c>
      <c r="J4353" s="21">
        <f>2*$B$3624+$D$4338</f>
        <v/>
      </c>
      <c r="K4353" s="21">
        <f>0</f>
        <v/>
      </c>
      <c r="L4353" s="21">
        <f>-$B$3624</f>
        <v/>
      </c>
      <c r="M4353" s="21">
        <f>$B$3625</f>
        <v/>
      </c>
      <c r="N4353" s="21" t="n">
        <v>0</v>
      </c>
      <c r="O4353" s="21" t="n">
        <v>0</v>
      </c>
      <c r="P4353" s="21" t="n">
        <v>0</v>
      </c>
      <c r="Q4353" s="21" t="n">
        <v>0</v>
      </c>
      <c r="R4353" s="21" t="n">
        <v>0</v>
      </c>
      <c r="S4353" s="21" t="n">
        <v>0</v>
      </c>
      <c r="T4353" s="21" t="n">
        <v>0</v>
      </c>
      <c r="U4353" s="21" t="n">
        <v>0</v>
      </c>
      <c r="V4353" s="21" t="n">
        <v>0</v>
      </c>
      <c r="W4353" s="21" t="n">
        <v>0</v>
      </c>
      <c r="X4353" s="21" t="n">
        <v>0</v>
      </c>
      <c r="Y4353" s="21" t="n">
        <v>0</v>
      </c>
      <c r="Z4353" s="19" t="n"/>
    </row>
    <row r="4354">
      <c r="D4354" s="21" t="n">
        <v>0</v>
      </c>
      <c r="E4354" s="21" t="n">
        <v>0</v>
      </c>
      <c r="F4354" s="21" t="n">
        <v>0</v>
      </c>
      <c r="G4354" s="21" t="n">
        <v>0</v>
      </c>
      <c r="H4354" s="21">
        <f>$B$3625</f>
        <v/>
      </c>
      <c r="I4354" s="21">
        <f>$B$3627</f>
        <v/>
      </c>
      <c r="J4354" s="21">
        <f>0</f>
        <v/>
      </c>
      <c r="K4354" s="21">
        <f>2*$B$3626</f>
        <v/>
      </c>
      <c r="L4354" s="21">
        <f>-$B$3625</f>
        <v/>
      </c>
      <c r="M4354" s="21">
        <f>$B$3627</f>
        <v/>
      </c>
      <c r="N4354" s="21" t="n">
        <v>0</v>
      </c>
      <c r="O4354" s="21" t="n">
        <v>0</v>
      </c>
      <c r="P4354" s="21" t="n">
        <v>0</v>
      </c>
      <c r="Q4354" s="21" t="n">
        <v>0</v>
      </c>
      <c r="R4354" s="21" t="n">
        <v>0</v>
      </c>
      <c r="S4354" s="21" t="n">
        <v>0</v>
      </c>
      <c r="T4354" s="21" t="n">
        <v>0</v>
      </c>
      <c r="U4354" s="21" t="n">
        <v>0</v>
      </c>
      <c r="V4354" s="21" t="n">
        <v>0</v>
      </c>
      <c r="W4354" s="21" t="n">
        <v>0</v>
      </c>
      <c r="X4354" s="21" t="n">
        <v>0</v>
      </c>
      <c r="Y4354" s="21" t="n">
        <v>0</v>
      </c>
      <c r="Z4354" s="19" t="n"/>
    </row>
    <row r="4355">
      <c r="D4355" s="21" t="n">
        <v>0</v>
      </c>
      <c r="E4355" s="21" t="n">
        <v>0</v>
      </c>
      <c r="F4355" s="21" t="n">
        <v>0</v>
      </c>
      <c r="G4355" s="21" t="n">
        <v>0</v>
      </c>
      <c r="H4355" s="21" t="n">
        <v>0</v>
      </c>
      <c r="I4355" s="21" t="n">
        <v>0</v>
      </c>
      <c r="J4355" s="21">
        <f>-$B$3624</f>
        <v/>
      </c>
      <c r="K4355" s="21">
        <f>-$B$3625</f>
        <v/>
      </c>
      <c r="L4355" s="21">
        <f>2*$B$3624+$D$4339</f>
        <v/>
      </c>
      <c r="M4355" s="21">
        <f>0</f>
        <v/>
      </c>
      <c r="N4355" s="21">
        <f>-$B$3624</f>
        <v/>
      </c>
      <c r="O4355" s="21">
        <f>$B$3625</f>
        <v/>
      </c>
      <c r="P4355" s="21" t="n">
        <v>0</v>
      </c>
      <c r="Q4355" s="21" t="n">
        <v>0</v>
      </c>
      <c r="R4355" s="21" t="n">
        <v>0</v>
      </c>
      <c r="S4355" s="21" t="n">
        <v>0</v>
      </c>
      <c r="T4355" s="21" t="n">
        <v>0</v>
      </c>
      <c r="U4355" s="21" t="n">
        <v>0</v>
      </c>
      <c r="V4355" s="21" t="n">
        <v>0</v>
      </c>
      <c r="W4355" s="21" t="n">
        <v>0</v>
      </c>
      <c r="X4355" s="21" t="n">
        <v>0</v>
      </c>
      <c r="Y4355" s="21" t="n">
        <v>0</v>
      </c>
      <c r="Z4355" s="19" t="n"/>
    </row>
    <row r="4356">
      <c r="D4356" s="21" t="n">
        <v>0</v>
      </c>
      <c r="E4356" s="21" t="n">
        <v>0</v>
      </c>
      <c r="F4356" s="21" t="n">
        <v>0</v>
      </c>
      <c r="G4356" s="21" t="n">
        <v>0</v>
      </c>
      <c r="H4356" s="21" t="n">
        <v>0</v>
      </c>
      <c r="I4356" s="21" t="n">
        <v>0</v>
      </c>
      <c r="J4356" s="21">
        <f>$B$3625</f>
        <v/>
      </c>
      <c r="K4356" s="21">
        <f>$B$3627</f>
        <v/>
      </c>
      <c r="L4356" s="21">
        <f>0</f>
        <v/>
      </c>
      <c r="M4356" s="21">
        <f>2*$B$3626</f>
        <v/>
      </c>
      <c r="N4356" s="21">
        <f>-$B$3625</f>
        <v/>
      </c>
      <c r="O4356" s="21">
        <f>$B$3627</f>
        <v/>
      </c>
      <c r="P4356" s="21" t="n">
        <v>0</v>
      </c>
      <c r="Q4356" s="21" t="n">
        <v>0</v>
      </c>
      <c r="R4356" s="21" t="n">
        <v>0</v>
      </c>
      <c r="S4356" s="21" t="n">
        <v>0</v>
      </c>
      <c r="T4356" s="21" t="n">
        <v>0</v>
      </c>
      <c r="U4356" s="21" t="n">
        <v>0</v>
      </c>
      <c r="V4356" s="21" t="n">
        <v>0</v>
      </c>
      <c r="W4356" s="21" t="n">
        <v>0</v>
      </c>
      <c r="X4356" s="21" t="n">
        <v>0</v>
      </c>
      <c r="Y4356" s="21" t="n">
        <v>0</v>
      </c>
      <c r="Z4356" s="19" t="n"/>
    </row>
    <row r="4357">
      <c r="D4357" s="21" t="n">
        <v>0</v>
      </c>
      <c r="E4357" s="21" t="n">
        <v>0</v>
      </c>
      <c r="F4357" s="21" t="n">
        <v>0</v>
      </c>
      <c r="G4357" s="21" t="n">
        <v>0</v>
      </c>
      <c r="H4357" s="21" t="n">
        <v>0</v>
      </c>
      <c r="I4357" s="21" t="n">
        <v>0</v>
      </c>
      <c r="J4357" s="21" t="n">
        <v>0</v>
      </c>
      <c r="K4357" s="21" t="n">
        <v>0</v>
      </c>
      <c r="L4357" s="21">
        <f>-$B$3624</f>
        <v/>
      </c>
      <c r="M4357" s="21">
        <f>-$B$3625</f>
        <v/>
      </c>
      <c r="N4357" s="21">
        <f>2*$B$3624+$D$4340</f>
        <v/>
      </c>
      <c r="O4357" s="21">
        <f>0</f>
        <v/>
      </c>
      <c r="P4357" s="21">
        <f>-$B$3624</f>
        <v/>
      </c>
      <c r="Q4357" s="21">
        <f>$B$3625</f>
        <v/>
      </c>
      <c r="R4357" s="21" t="n">
        <v>0</v>
      </c>
      <c r="S4357" s="21" t="n">
        <v>0</v>
      </c>
      <c r="T4357" s="21" t="n">
        <v>0</v>
      </c>
      <c r="U4357" s="21" t="n">
        <v>0</v>
      </c>
      <c r="V4357" s="21" t="n">
        <v>0</v>
      </c>
      <c r="W4357" s="21" t="n">
        <v>0</v>
      </c>
      <c r="X4357" s="21" t="n">
        <v>0</v>
      </c>
      <c r="Y4357" s="21" t="n">
        <v>0</v>
      </c>
      <c r="Z4357" s="19" t="n"/>
    </row>
    <row r="4358">
      <c r="D4358" s="21" t="n">
        <v>0</v>
      </c>
      <c r="E4358" s="21" t="n">
        <v>0</v>
      </c>
      <c r="F4358" s="21" t="n">
        <v>0</v>
      </c>
      <c r="G4358" s="21" t="n">
        <v>0</v>
      </c>
      <c r="H4358" s="21" t="n">
        <v>0</v>
      </c>
      <c r="I4358" s="21" t="n">
        <v>0</v>
      </c>
      <c r="J4358" s="21" t="n">
        <v>0</v>
      </c>
      <c r="K4358" s="21" t="n">
        <v>0</v>
      </c>
      <c r="L4358" s="21">
        <f>$B$3625</f>
        <v/>
      </c>
      <c r="M4358" s="21">
        <f>$B$3627</f>
        <v/>
      </c>
      <c r="N4358" s="21">
        <f>0</f>
        <v/>
      </c>
      <c r="O4358" s="21">
        <f>2*$B$3626</f>
        <v/>
      </c>
      <c r="P4358" s="21">
        <f>-$B$3625</f>
        <v/>
      </c>
      <c r="Q4358" s="21">
        <f>$B$3627</f>
        <v/>
      </c>
      <c r="R4358" s="21" t="n">
        <v>0</v>
      </c>
      <c r="S4358" s="21" t="n">
        <v>0</v>
      </c>
      <c r="T4358" s="21" t="n">
        <v>0</v>
      </c>
      <c r="U4358" s="21" t="n">
        <v>0</v>
      </c>
      <c r="V4358" s="21" t="n">
        <v>0</v>
      </c>
      <c r="W4358" s="21" t="n">
        <v>0</v>
      </c>
      <c r="X4358" s="21" t="n">
        <v>0</v>
      </c>
      <c r="Y4358" s="21" t="n">
        <v>0</v>
      </c>
      <c r="Z4358" s="19" t="n"/>
    </row>
    <row r="4359">
      <c r="D4359" s="21" t="n">
        <v>0</v>
      </c>
      <c r="E4359" s="21" t="n">
        <v>0</v>
      </c>
      <c r="F4359" s="21" t="n">
        <v>0</v>
      </c>
      <c r="G4359" s="21" t="n">
        <v>0</v>
      </c>
      <c r="H4359" s="21" t="n">
        <v>0</v>
      </c>
      <c r="I4359" s="21" t="n">
        <v>0</v>
      </c>
      <c r="J4359" s="21" t="n">
        <v>0</v>
      </c>
      <c r="K4359" s="21" t="n">
        <v>0</v>
      </c>
      <c r="L4359" s="21" t="n">
        <v>0</v>
      </c>
      <c r="M4359" s="21" t="n">
        <v>0</v>
      </c>
      <c r="N4359" s="21">
        <f>-$B$3624</f>
        <v/>
      </c>
      <c r="O4359" s="21">
        <f>-$B$3625</f>
        <v/>
      </c>
      <c r="P4359" s="21">
        <f>2*$B$3624+$D$4341</f>
        <v/>
      </c>
      <c r="Q4359" s="21">
        <f>0</f>
        <v/>
      </c>
      <c r="R4359" s="21">
        <f>-$B$3624</f>
        <v/>
      </c>
      <c r="S4359" s="21">
        <f>$B$3625</f>
        <v/>
      </c>
      <c r="T4359" s="21" t="n">
        <v>0</v>
      </c>
      <c r="U4359" s="21" t="n">
        <v>0</v>
      </c>
      <c r="V4359" s="21" t="n">
        <v>0</v>
      </c>
      <c r="W4359" s="21" t="n">
        <v>0</v>
      </c>
      <c r="X4359" s="21" t="n">
        <v>0</v>
      </c>
      <c r="Y4359" s="21" t="n">
        <v>0</v>
      </c>
      <c r="Z4359" s="19" t="n"/>
    </row>
    <row r="4360">
      <c r="D4360" s="21" t="n">
        <v>0</v>
      </c>
      <c r="E4360" s="21" t="n">
        <v>0</v>
      </c>
      <c r="F4360" s="21" t="n">
        <v>0</v>
      </c>
      <c r="G4360" s="21" t="n">
        <v>0</v>
      </c>
      <c r="H4360" s="21" t="n">
        <v>0</v>
      </c>
      <c r="I4360" s="21" t="n">
        <v>0</v>
      </c>
      <c r="J4360" s="21" t="n">
        <v>0</v>
      </c>
      <c r="K4360" s="21" t="n">
        <v>0</v>
      </c>
      <c r="L4360" s="21" t="n">
        <v>0</v>
      </c>
      <c r="M4360" s="21" t="n">
        <v>0</v>
      </c>
      <c r="N4360" s="21">
        <f>$B$3625</f>
        <v/>
      </c>
      <c r="O4360" s="21">
        <f>$B$3627</f>
        <v/>
      </c>
      <c r="P4360" s="21">
        <f>0</f>
        <v/>
      </c>
      <c r="Q4360" s="21">
        <f>2*$B$3626</f>
        <v/>
      </c>
      <c r="R4360" s="21">
        <f>-$B$3625</f>
        <v/>
      </c>
      <c r="S4360" s="21">
        <f>$B$3627</f>
        <v/>
      </c>
      <c r="T4360" s="21" t="n">
        <v>0</v>
      </c>
      <c r="U4360" s="21" t="n">
        <v>0</v>
      </c>
      <c r="V4360" s="21" t="n">
        <v>0</v>
      </c>
      <c r="W4360" s="21" t="n">
        <v>0</v>
      </c>
      <c r="X4360" s="21" t="n">
        <v>0</v>
      </c>
      <c r="Y4360" s="21" t="n">
        <v>0</v>
      </c>
      <c r="Z4360" s="19" t="n"/>
    </row>
    <row r="4361">
      <c r="D4361" s="21" t="n">
        <v>0</v>
      </c>
      <c r="E4361" s="21" t="n">
        <v>0</v>
      </c>
      <c r="F4361" s="21" t="n">
        <v>0</v>
      </c>
      <c r="G4361" s="21" t="n">
        <v>0</v>
      </c>
      <c r="H4361" s="21" t="n">
        <v>0</v>
      </c>
      <c r="I4361" s="21" t="n">
        <v>0</v>
      </c>
      <c r="J4361" s="21" t="n">
        <v>0</v>
      </c>
      <c r="K4361" s="21" t="n">
        <v>0</v>
      </c>
      <c r="L4361" s="21" t="n">
        <v>0</v>
      </c>
      <c r="M4361" s="21" t="n">
        <v>0</v>
      </c>
      <c r="N4361" s="21" t="n">
        <v>0</v>
      </c>
      <c r="O4361" s="21" t="n">
        <v>0</v>
      </c>
      <c r="P4361" s="21">
        <f>-$B$3624</f>
        <v/>
      </c>
      <c r="Q4361" s="21">
        <f>-$B$3625</f>
        <v/>
      </c>
      <c r="R4361" s="21">
        <f>2*$B$3624+$D$4342</f>
        <v/>
      </c>
      <c r="S4361" s="21">
        <f>0</f>
        <v/>
      </c>
      <c r="T4361" s="21">
        <f>-$B$3624</f>
        <v/>
      </c>
      <c r="U4361" s="21">
        <f>$B$3625</f>
        <v/>
      </c>
      <c r="V4361" s="21" t="n">
        <v>0</v>
      </c>
      <c r="W4361" s="21" t="n">
        <v>0</v>
      </c>
      <c r="X4361" s="21" t="n">
        <v>0</v>
      </c>
      <c r="Y4361" s="21" t="n">
        <v>0</v>
      </c>
      <c r="Z4361" s="19" t="n"/>
    </row>
    <row r="4362">
      <c r="D4362" s="21" t="n">
        <v>0</v>
      </c>
      <c r="E4362" s="21" t="n">
        <v>0</v>
      </c>
      <c r="F4362" s="21" t="n">
        <v>0</v>
      </c>
      <c r="G4362" s="21" t="n">
        <v>0</v>
      </c>
      <c r="H4362" s="21" t="n">
        <v>0</v>
      </c>
      <c r="I4362" s="21" t="n">
        <v>0</v>
      </c>
      <c r="J4362" s="21" t="n">
        <v>0</v>
      </c>
      <c r="K4362" s="21" t="n">
        <v>0</v>
      </c>
      <c r="L4362" s="21" t="n">
        <v>0</v>
      </c>
      <c r="M4362" s="21" t="n">
        <v>0</v>
      </c>
      <c r="N4362" s="21" t="n">
        <v>0</v>
      </c>
      <c r="O4362" s="21" t="n">
        <v>0</v>
      </c>
      <c r="P4362" s="21">
        <f>$B$3625</f>
        <v/>
      </c>
      <c r="Q4362" s="21">
        <f>$B$3627</f>
        <v/>
      </c>
      <c r="R4362" s="21">
        <f>0</f>
        <v/>
      </c>
      <c r="S4362" s="21">
        <f>2*$B$3626</f>
        <v/>
      </c>
      <c r="T4362" s="21">
        <f>-$B$3625</f>
        <v/>
      </c>
      <c r="U4362" s="21">
        <f>$B$3627</f>
        <v/>
      </c>
      <c r="V4362" s="21" t="n">
        <v>0</v>
      </c>
      <c r="W4362" s="21" t="n">
        <v>0</v>
      </c>
      <c r="X4362" s="21" t="n">
        <v>0</v>
      </c>
      <c r="Y4362" s="21" t="n">
        <v>0</v>
      </c>
      <c r="Z4362" s="19" t="n"/>
    </row>
    <row r="4363">
      <c r="D4363" s="21" t="n">
        <v>0</v>
      </c>
      <c r="E4363" s="21" t="n">
        <v>0</v>
      </c>
      <c r="F4363" s="21" t="n">
        <v>0</v>
      </c>
      <c r="G4363" s="21" t="n">
        <v>0</v>
      </c>
      <c r="H4363" s="21" t="n">
        <v>0</v>
      </c>
      <c r="I4363" s="21" t="n">
        <v>0</v>
      </c>
      <c r="J4363" s="21" t="n">
        <v>0</v>
      </c>
      <c r="K4363" s="21" t="n">
        <v>0</v>
      </c>
      <c r="L4363" s="21" t="n">
        <v>0</v>
      </c>
      <c r="M4363" s="21" t="n">
        <v>0</v>
      </c>
      <c r="N4363" s="21" t="n">
        <v>0</v>
      </c>
      <c r="O4363" s="21" t="n">
        <v>0</v>
      </c>
      <c r="P4363" s="21" t="n">
        <v>0</v>
      </c>
      <c r="Q4363" s="21" t="n">
        <v>0</v>
      </c>
      <c r="R4363" s="21">
        <f>-$B$3624</f>
        <v/>
      </c>
      <c r="S4363" s="21">
        <f>-$B$3625</f>
        <v/>
      </c>
      <c r="T4363" s="21">
        <f>2*$B$3624+$D$4343</f>
        <v/>
      </c>
      <c r="U4363" s="21">
        <f>0</f>
        <v/>
      </c>
      <c r="V4363" s="21">
        <f>-$B$3624</f>
        <v/>
      </c>
      <c r="W4363" s="21">
        <f>$B$3625</f>
        <v/>
      </c>
      <c r="X4363" s="21" t="n">
        <v>0</v>
      </c>
      <c r="Y4363" s="21" t="n">
        <v>0</v>
      </c>
      <c r="Z4363" s="19" t="n"/>
    </row>
    <row r="4364">
      <c r="D4364" s="21" t="n">
        <v>0</v>
      </c>
      <c r="E4364" s="21" t="n">
        <v>0</v>
      </c>
      <c r="F4364" s="21" t="n">
        <v>0</v>
      </c>
      <c r="G4364" s="21" t="n">
        <v>0</v>
      </c>
      <c r="H4364" s="21" t="n">
        <v>0</v>
      </c>
      <c r="I4364" s="21" t="n">
        <v>0</v>
      </c>
      <c r="J4364" s="21" t="n">
        <v>0</v>
      </c>
      <c r="K4364" s="21" t="n">
        <v>0</v>
      </c>
      <c r="L4364" s="21" t="n">
        <v>0</v>
      </c>
      <c r="M4364" s="21" t="n">
        <v>0</v>
      </c>
      <c r="N4364" s="21" t="n">
        <v>0</v>
      </c>
      <c r="O4364" s="21" t="n">
        <v>0</v>
      </c>
      <c r="P4364" s="21" t="n">
        <v>0</v>
      </c>
      <c r="Q4364" s="21" t="n">
        <v>0</v>
      </c>
      <c r="R4364" s="21">
        <f>$B$3625</f>
        <v/>
      </c>
      <c r="S4364" s="21">
        <f>$B$3627</f>
        <v/>
      </c>
      <c r="T4364" s="21">
        <f>0</f>
        <v/>
      </c>
      <c r="U4364" s="21">
        <f>2*$B$3626</f>
        <v/>
      </c>
      <c r="V4364" s="21">
        <f>-$B$3625</f>
        <v/>
      </c>
      <c r="W4364" s="21">
        <f>$B$3627</f>
        <v/>
      </c>
      <c r="X4364" s="21" t="n">
        <v>0</v>
      </c>
      <c r="Y4364" s="21" t="n">
        <v>0</v>
      </c>
      <c r="Z4364" s="19" t="n"/>
    </row>
    <row r="4365">
      <c r="D4365" s="21" t="n">
        <v>0</v>
      </c>
      <c r="E4365" s="21" t="n">
        <v>0</v>
      </c>
      <c r="F4365" s="21" t="n">
        <v>0</v>
      </c>
      <c r="G4365" s="21" t="n">
        <v>0</v>
      </c>
      <c r="H4365" s="21" t="n">
        <v>0</v>
      </c>
      <c r="I4365" s="21" t="n">
        <v>0</v>
      </c>
      <c r="J4365" s="21" t="n">
        <v>0</v>
      </c>
      <c r="K4365" s="21" t="n">
        <v>0</v>
      </c>
      <c r="L4365" s="21" t="n">
        <v>0</v>
      </c>
      <c r="M4365" s="21" t="n">
        <v>0</v>
      </c>
      <c r="N4365" s="21" t="n">
        <v>0</v>
      </c>
      <c r="O4365" s="21" t="n">
        <v>0</v>
      </c>
      <c r="P4365" s="21" t="n">
        <v>0</v>
      </c>
      <c r="Q4365" s="21" t="n">
        <v>0</v>
      </c>
      <c r="R4365" s="21" t="n">
        <v>0</v>
      </c>
      <c r="S4365" s="21" t="n">
        <v>0</v>
      </c>
      <c r="T4365" s="21">
        <f>-$B$3624</f>
        <v/>
      </c>
      <c r="U4365" s="21">
        <f>-$B$3625</f>
        <v/>
      </c>
      <c r="V4365" s="21">
        <f>2*$B$3624+$D$4344</f>
        <v/>
      </c>
      <c r="W4365" s="21">
        <f>0</f>
        <v/>
      </c>
      <c r="X4365" s="21">
        <f>-$B$3624</f>
        <v/>
      </c>
      <c r="Y4365" s="21">
        <f>$B$3625</f>
        <v/>
      </c>
      <c r="Z4365" s="19" t="n"/>
    </row>
    <row r="4366">
      <c r="D4366" s="21" t="n">
        <v>0</v>
      </c>
      <c r="E4366" s="21" t="n">
        <v>0</v>
      </c>
      <c r="F4366" s="21" t="n">
        <v>0</v>
      </c>
      <c r="G4366" s="21" t="n">
        <v>0</v>
      </c>
      <c r="H4366" s="21" t="n">
        <v>0</v>
      </c>
      <c r="I4366" s="21" t="n">
        <v>0</v>
      </c>
      <c r="J4366" s="21" t="n">
        <v>0</v>
      </c>
      <c r="K4366" s="21" t="n">
        <v>0</v>
      </c>
      <c r="L4366" s="21" t="n">
        <v>0</v>
      </c>
      <c r="M4366" s="21" t="n">
        <v>0</v>
      </c>
      <c r="N4366" s="21" t="n">
        <v>0</v>
      </c>
      <c r="O4366" s="21" t="n">
        <v>0</v>
      </c>
      <c r="P4366" s="21" t="n">
        <v>0</v>
      </c>
      <c r="Q4366" s="21" t="n">
        <v>0</v>
      </c>
      <c r="R4366" s="21" t="n">
        <v>0</v>
      </c>
      <c r="S4366" s="21" t="n">
        <v>0</v>
      </c>
      <c r="T4366" s="21">
        <f>$B$3625</f>
        <v/>
      </c>
      <c r="U4366" s="21">
        <f>$B$3627</f>
        <v/>
      </c>
      <c r="V4366" s="21">
        <f>0</f>
        <v/>
      </c>
      <c r="W4366" s="21">
        <f>2*$B$3626</f>
        <v/>
      </c>
      <c r="X4366" s="21">
        <f>-$B$3625</f>
        <v/>
      </c>
      <c r="Y4366" s="21">
        <f>$B$3627</f>
        <v/>
      </c>
      <c r="Z4366" s="19" t="n"/>
    </row>
    <row r="4367">
      <c r="D4367" s="21" t="n">
        <v>0</v>
      </c>
      <c r="E4367" s="21" t="n">
        <v>0</v>
      </c>
      <c r="F4367" s="21" t="n">
        <v>0</v>
      </c>
      <c r="G4367" s="21" t="n">
        <v>0</v>
      </c>
      <c r="H4367" s="21" t="n">
        <v>0</v>
      </c>
      <c r="I4367" s="21" t="n">
        <v>0</v>
      </c>
      <c r="J4367" s="21" t="n">
        <v>0</v>
      </c>
      <c r="K4367" s="21" t="n">
        <v>0</v>
      </c>
      <c r="L4367" s="21" t="n">
        <v>0</v>
      </c>
      <c r="M4367" s="21" t="n">
        <v>0</v>
      </c>
      <c r="N4367" s="21" t="n">
        <v>0</v>
      </c>
      <c r="O4367" s="21" t="n">
        <v>0</v>
      </c>
      <c r="P4367" s="21" t="n">
        <v>0</v>
      </c>
      <c r="Q4367" s="21" t="n">
        <v>0</v>
      </c>
      <c r="R4367" s="21" t="n">
        <v>0</v>
      </c>
      <c r="S4367" s="21" t="n">
        <v>0</v>
      </c>
      <c r="T4367" s="21" t="n">
        <v>0</v>
      </c>
      <c r="U4367" s="21" t="n">
        <v>0</v>
      </c>
      <c r="V4367" s="21">
        <f>-$B$3624</f>
        <v/>
      </c>
      <c r="W4367" s="21">
        <f>-$B$3625</f>
        <v/>
      </c>
      <c r="X4367" s="21">
        <f>$B$3624+$D$4345</f>
        <v/>
      </c>
      <c r="Y4367" s="21">
        <f>-$B$3625</f>
        <v/>
      </c>
      <c r="Z4367" s="19" t="n"/>
    </row>
    <row r="4368">
      <c r="D4368" s="21" t="n">
        <v>0</v>
      </c>
      <c r="E4368" s="21" t="n">
        <v>0</v>
      </c>
      <c r="F4368" s="21" t="n">
        <v>0</v>
      </c>
      <c r="G4368" s="21" t="n">
        <v>0</v>
      </c>
      <c r="H4368" s="21" t="n">
        <v>0</v>
      </c>
      <c r="I4368" s="21" t="n">
        <v>0</v>
      </c>
      <c r="J4368" s="21" t="n">
        <v>0</v>
      </c>
      <c r="K4368" s="21" t="n">
        <v>0</v>
      </c>
      <c r="L4368" s="21" t="n">
        <v>0</v>
      </c>
      <c r="M4368" s="21" t="n">
        <v>0</v>
      </c>
      <c r="N4368" s="21" t="n">
        <v>0</v>
      </c>
      <c r="O4368" s="21" t="n">
        <v>0</v>
      </c>
      <c r="P4368" s="21" t="n">
        <v>0</v>
      </c>
      <c r="Q4368" s="21" t="n">
        <v>0</v>
      </c>
      <c r="R4368" s="21" t="n">
        <v>0</v>
      </c>
      <c r="S4368" s="21" t="n">
        <v>0</v>
      </c>
      <c r="T4368" s="21" t="n">
        <v>0</v>
      </c>
      <c r="U4368" s="21" t="n">
        <v>0</v>
      </c>
      <c r="V4368" s="21">
        <f>$B$3625</f>
        <v/>
      </c>
      <c r="W4368" s="21">
        <f>$B$3627</f>
        <v/>
      </c>
      <c r="X4368" s="21">
        <f>-$B$3625</f>
        <v/>
      </c>
      <c r="Y4368" s="21">
        <f>$B$3626</f>
        <v/>
      </c>
      <c r="Z4368" s="19" t="n"/>
    </row>
    <row r="4370">
      <c r="A4370" s="8" t="inlineStr">
        <is>
          <t>gen 20</t>
        </is>
      </c>
    </row>
    <row r="4371">
      <c r="D4371" s="19">
        <f>IF(ABS(IF(ABS($E$4335)&gt;0.000000001,$E$4335,0.000000001))=0,0,IF($E$3639&lt;=$B$3633,0,IF(ABS(IF(ABS($E$4335)&gt;0.000000001,$E$4335,0.000000001))&gt;=8*$B$3635,$H$3639,0.5*$H$3639*(ABS(IF(ABS($E$4335)&gt;0.000000001,$E$4335,0.000000001))/$B$3635)^(1/3)))/ABS(IF(ABS($E$4335)&gt;0.000000001,$E$4335,0.000000001))*$I$3639)</f>
        <v/>
      </c>
      <c r="E4371" s="19">
        <f>0.5*$E$4335+0.5*$Z$4383</f>
        <v/>
      </c>
      <c r="F4371" s="19">
        <f>$Z$4384</f>
        <v/>
      </c>
    </row>
    <row r="4372">
      <c r="D4372" s="19">
        <f>IF(ABS(IF(ABS($E$4336)&gt;0.000000001,$E$4336,0.000000001))=0,0,IF($E$3640&lt;=$B$3633,0,IF(ABS(IF(ABS($E$4336)&gt;0.000000001,$E$4336,0.000000001))&gt;=8*$B$3635,$H$3640,0.5*$H$3640*(ABS(IF(ABS($E$4336)&gt;0.000000001,$E$4336,0.000000001))/$B$3635)^(1/3)))/ABS(IF(ABS($E$4336)&gt;0.000000001,$E$4336,0.000000001))*$I$3640)</f>
        <v/>
      </c>
      <c r="E4372" s="19">
        <f>0.5*$E$4336+0.5*$Z$4385</f>
        <v/>
      </c>
      <c r="F4372" s="19">
        <f>$Z$4386</f>
        <v/>
      </c>
    </row>
    <row r="4373">
      <c r="D4373" s="19">
        <f>IF(ABS(IF(ABS($E$4337)&gt;0.000000001,$E$4337,0.000000001))=0,0,IF($E$3641&lt;=$B$3633,0,IF(ABS(IF(ABS($E$4337)&gt;0.000000001,$E$4337,0.000000001))&gt;=8*$B$3635,$H$3641,0.5*$H$3641*(ABS(IF(ABS($E$4337)&gt;0.000000001,$E$4337,0.000000001))/$B$3635)^(1/3)))/ABS(IF(ABS($E$4337)&gt;0.000000001,$E$4337,0.000000001))*$I$3641)</f>
        <v/>
      </c>
      <c r="E4373" s="19">
        <f>0.5*$E$4337+0.5*$Z$4387</f>
        <v/>
      </c>
      <c r="F4373" s="19">
        <f>$Z$4388</f>
        <v/>
      </c>
    </row>
    <row r="4374">
      <c r="D4374" s="19">
        <f>IF(ABS(IF(ABS($E$4338)&gt;0.000000001,$E$4338,0.000000001))=0,0,IF($E$3642&lt;=$B$3633,0,IF(ABS(IF(ABS($E$4338)&gt;0.000000001,$E$4338,0.000000001))&gt;=8*$B$3635,$H$3642,0.5*$H$3642*(ABS(IF(ABS($E$4338)&gt;0.000000001,$E$4338,0.000000001))/$B$3635)^(1/3)))/ABS(IF(ABS($E$4338)&gt;0.000000001,$E$4338,0.000000001))*$I$3642)</f>
        <v/>
      </c>
      <c r="E4374" s="19">
        <f>0.5*$E$4338+0.5*$Z$4389</f>
        <v/>
      </c>
      <c r="F4374" s="19">
        <f>$Z$4390</f>
        <v/>
      </c>
    </row>
    <row r="4375">
      <c r="D4375" s="19">
        <f>IF(ABS(IF(ABS($E$4339)&gt;0.000000001,$E$4339,0.000000001))=0,0,IF($E$3643&lt;=$B$3633,0,IF(ABS(IF(ABS($E$4339)&gt;0.000000001,$E$4339,0.000000001))&gt;=8*$B$3635,$H$3643,0.5*$H$3643*(ABS(IF(ABS($E$4339)&gt;0.000000001,$E$4339,0.000000001))/$B$3635)^(1/3)))/ABS(IF(ABS($E$4339)&gt;0.000000001,$E$4339,0.000000001))*$I$3643)</f>
        <v/>
      </c>
      <c r="E4375" s="19">
        <f>0.5*$E$4339+0.5*$Z$4391</f>
        <v/>
      </c>
      <c r="F4375" s="19">
        <f>$Z$4392</f>
        <v/>
      </c>
    </row>
    <row r="4376">
      <c r="D4376" s="19">
        <f>IF(ABS(IF(ABS($E$4340)&gt;0.000000001,$E$4340,0.000000001))=0,0,IF($E$3644&lt;=$B$3633,0,IF(ABS(IF(ABS($E$4340)&gt;0.000000001,$E$4340,0.000000001))&gt;=8*$B$3635,$H$3644,0.5*$H$3644*(ABS(IF(ABS($E$4340)&gt;0.000000001,$E$4340,0.000000001))/$B$3635)^(1/3)))/ABS(IF(ABS($E$4340)&gt;0.000000001,$E$4340,0.000000001))*$I$3644)</f>
        <v/>
      </c>
      <c r="E4376" s="19">
        <f>0.5*$E$4340+0.5*$Z$4393</f>
        <v/>
      </c>
      <c r="F4376" s="19">
        <f>$Z$4394</f>
        <v/>
      </c>
    </row>
    <row r="4377">
      <c r="D4377" s="19">
        <f>IF(ABS(IF(ABS($E$4341)&gt;0.000000001,$E$4341,0.000000001))=0,0,IF($E$3645&lt;=$B$3633,0,IF(ABS(IF(ABS($E$4341)&gt;0.000000001,$E$4341,0.000000001))&gt;=8*$B$3635,$H$3645,0.5*$H$3645*(ABS(IF(ABS($E$4341)&gt;0.000000001,$E$4341,0.000000001))/$B$3635)^(1/3)))/ABS(IF(ABS($E$4341)&gt;0.000000001,$E$4341,0.000000001))*$I$3645)</f>
        <v/>
      </c>
      <c r="E4377" s="19">
        <f>0.5*$E$4341+0.5*$Z$4395</f>
        <v/>
      </c>
      <c r="F4377" s="19">
        <f>$Z$4396</f>
        <v/>
      </c>
    </row>
    <row r="4378">
      <c r="D4378" s="19">
        <f>IF(ABS(IF(ABS($E$4342)&gt;0.000000001,$E$4342,0.000000001))=0,0,IF($E$3646&lt;=$B$3633,0,IF(ABS(IF(ABS($E$4342)&gt;0.000000001,$E$4342,0.000000001))&gt;=8*$B$3635,$H$3646,0.5*$H$3646*(ABS(IF(ABS($E$4342)&gt;0.000000001,$E$4342,0.000000001))/$B$3635)^(1/3)))/ABS(IF(ABS($E$4342)&gt;0.000000001,$E$4342,0.000000001))*$I$3646)</f>
        <v/>
      </c>
      <c r="E4378" s="19">
        <f>0.5*$E$4342+0.5*$Z$4397</f>
        <v/>
      </c>
      <c r="F4378" s="19">
        <f>$Z$4398</f>
        <v/>
      </c>
    </row>
    <row r="4379">
      <c r="D4379" s="19">
        <f>IF(ABS(IF(ABS($E$4343)&gt;0.000000001,$E$4343,0.000000001))=0,0,IF($E$3647&lt;=$B$3633,0,IF(ABS(IF(ABS($E$4343)&gt;0.000000001,$E$4343,0.000000001))&gt;=8*$B$3635,$H$3647,0.5*$H$3647*(ABS(IF(ABS($E$4343)&gt;0.000000001,$E$4343,0.000000001))/$B$3635)^(1/3)))/ABS(IF(ABS($E$4343)&gt;0.000000001,$E$4343,0.000000001))*$I$3647)</f>
        <v/>
      </c>
      <c r="E4379" s="19">
        <f>0.5*$E$4343+0.5*$Z$4399</f>
        <v/>
      </c>
      <c r="F4379" s="19">
        <f>$Z$4400</f>
        <v/>
      </c>
    </row>
    <row r="4380">
      <c r="D4380" s="19">
        <f>IF(ABS(IF(ABS($E$4344)&gt;0.000000001,$E$4344,0.000000001))=0,0,IF($E$3648&lt;=$B$3633,0,IF(ABS(IF(ABS($E$4344)&gt;0.000000001,$E$4344,0.000000001))&gt;=8*$B$3635,$H$3648,0.5*$H$3648*(ABS(IF(ABS($E$4344)&gt;0.000000001,$E$4344,0.000000001))/$B$3635)^(1/3)))/ABS(IF(ABS($E$4344)&gt;0.000000001,$E$4344,0.000000001))*$I$3648)</f>
        <v/>
      </c>
      <c r="E4380" s="19">
        <f>0.5*$E$4344+0.5*$Z$4401</f>
        <v/>
      </c>
      <c r="F4380" s="19">
        <f>$Z$4402</f>
        <v/>
      </c>
    </row>
    <row r="4381">
      <c r="D4381" s="19">
        <f>IF(ABS(IF(ABS($E$4345)&gt;0.000000001,$E$4345,0.000000001))=0,0,IF($E$3649&lt;=$B$3633,0,IF(ABS(IF(ABS($E$4345)&gt;0.000000001,$E$4345,0.000000001))&gt;=8*$B$3635,$H$3649,0.5*$H$3649*(ABS(IF(ABS($E$4345)&gt;0.000000001,$E$4345,0.000000001))/$B$3635)^(1/3)))/ABS(IF(ABS($E$4345)&gt;0.000000001,$E$4345,0.000000001))*$I$3649)</f>
        <v/>
      </c>
      <c r="E4381" s="19">
        <f>0.5*$E$4345+0.5*$Z$4403</f>
        <v/>
      </c>
      <c r="F4381" s="19">
        <f>$Z$4404</f>
        <v/>
      </c>
    </row>
    <row r="4383">
      <c r="D4383" s="21">
        <f>$B$3624+$D$4371</f>
        <v/>
      </c>
      <c r="E4383" s="21">
        <f>$B$3625</f>
        <v/>
      </c>
      <c r="F4383" s="21">
        <f>-$B$3624</f>
        <v/>
      </c>
      <c r="G4383" s="21">
        <f>$B$3625</f>
        <v/>
      </c>
      <c r="H4383" s="21" t="n">
        <v>0</v>
      </c>
      <c r="I4383" s="21" t="n">
        <v>0</v>
      </c>
      <c r="J4383" s="21" t="n">
        <v>0</v>
      </c>
      <c r="K4383" s="21" t="n">
        <v>0</v>
      </c>
      <c r="L4383" s="21" t="n">
        <v>0</v>
      </c>
      <c r="M4383" s="21" t="n">
        <v>0</v>
      </c>
      <c r="N4383" s="21" t="n">
        <v>0</v>
      </c>
      <c r="O4383" s="21" t="n">
        <v>0</v>
      </c>
      <c r="P4383" s="21" t="n">
        <v>0</v>
      </c>
      <c r="Q4383" s="21" t="n">
        <v>0</v>
      </c>
      <c r="R4383" s="21" t="n">
        <v>0</v>
      </c>
      <c r="S4383" s="21" t="n">
        <v>0</v>
      </c>
      <c r="T4383" s="21" t="n">
        <v>0</v>
      </c>
      <c r="U4383" s="21" t="n">
        <v>0</v>
      </c>
      <c r="V4383" s="21" t="n">
        <v>0</v>
      </c>
      <c r="W4383" s="21" t="n">
        <v>0</v>
      </c>
      <c r="X4383" s="21" t="n">
        <v>0</v>
      </c>
      <c r="Y4383" s="21" t="n">
        <v>0</v>
      </c>
      <c r="Z4383" s="19">
        <f t="array" ref="Z4383:Z4404">MMULT(MINVERSE($D$4383:$Y$4404),$D$3651:$D$3672)</f>
        <v/>
      </c>
    </row>
    <row r="4384">
      <c r="D4384" s="21">
        <f>$B$3625</f>
        <v/>
      </c>
      <c r="E4384" s="21">
        <f>$B$3626</f>
        <v/>
      </c>
      <c r="F4384" s="21">
        <f>-$B$3625</f>
        <v/>
      </c>
      <c r="G4384" s="21">
        <f>$B$3627</f>
        <v/>
      </c>
      <c r="H4384" s="21" t="n">
        <v>0</v>
      </c>
      <c r="I4384" s="21" t="n">
        <v>0</v>
      </c>
      <c r="J4384" s="21" t="n">
        <v>0</v>
      </c>
      <c r="K4384" s="21" t="n">
        <v>0</v>
      </c>
      <c r="L4384" s="21" t="n">
        <v>0</v>
      </c>
      <c r="M4384" s="21" t="n">
        <v>0</v>
      </c>
      <c r="N4384" s="21" t="n">
        <v>0</v>
      </c>
      <c r="O4384" s="21" t="n">
        <v>0</v>
      </c>
      <c r="P4384" s="21" t="n">
        <v>0</v>
      </c>
      <c r="Q4384" s="21" t="n">
        <v>0</v>
      </c>
      <c r="R4384" s="21" t="n">
        <v>0</v>
      </c>
      <c r="S4384" s="21" t="n">
        <v>0</v>
      </c>
      <c r="T4384" s="21" t="n">
        <v>0</v>
      </c>
      <c r="U4384" s="21" t="n">
        <v>0</v>
      </c>
      <c r="V4384" s="21" t="n">
        <v>0</v>
      </c>
      <c r="W4384" s="21" t="n">
        <v>0</v>
      </c>
      <c r="X4384" s="21" t="n">
        <v>0</v>
      </c>
      <c r="Y4384" s="21" t="n">
        <v>0</v>
      </c>
      <c r="Z4384" s="19" t="n"/>
    </row>
    <row r="4385">
      <c r="D4385" s="21">
        <f>-$B$3624</f>
        <v/>
      </c>
      <c r="E4385" s="21">
        <f>-$B$3625</f>
        <v/>
      </c>
      <c r="F4385" s="21">
        <f>2*$B$3624+$D$4372</f>
        <v/>
      </c>
      <c r="G4385" s="21">
        <f>0</f>
        <v/>
      </c>
      <c r="H4385" s="21">
        <f>-$B$3624</f>
        <v/>
      </c>
      <c r="I4385" s="21">
        <f>$B$3625</f>
        <v/>
      </c>
      <c r="J4385" s="21" t="n">
        <v>0</v>
      </c>
      <c r="K4385" s="21" t="n">
        <v>0</v>
      </c>
      <c r="L4385" s="21" t="n">
        <v>0</v>
      </c>
      <c r="M4385" s="21" t="n">
        <v>0</v>
      </c>
      <c r="N4385" s="21" t="n">
        <v>0</v>
      </c>
      <c r="O4385" s="21" t="n">
        <v>0</v>
      </c>
      <c r="P4385" s="21" t="n">
        <v>0</v>
      </c>
      <c r="Q4385" s="21" t="n">
        <v>0</v>
      </c>
      <c r="R4385" s="21" t="n">
        <v>0</v>
      </c>
      <c r="S4385" s="21" t="n">
        <v>0</v>
      </c>
      <c r="T4385" s="21" t="n">
        <v>0</v>
      </c>
      <c r="U4385" s="21" t="n">
        <v>0</v>
      </c>
      <c r="V4385" s="21" t="n">
        <v>0</v>
      </c>
      <c r="W4385" s="21" t="n">
        <v>0</v>
      </c>
      <c r="X4385" s="21" t="n">
        <v>0</v>
      </c>
      <c r="Y4385" s="21" t="n">
        <v>0</v>
      </c>
      <c r="Z4385" s="19" t="n"/>
    </row>
    <row r="4386">
      <c r="D4386" s="21">
        <f>$B$3625</f>
        <v/>
      </c>
      <c r="E4386" s="21">
        <f>$B$3627</f>
        <v/>
      </c>
      <c r="F4386" s="21">
        <f>0</f>
        <v/>
      </c>
      <c r="G4386" s="21">
        <f>2*$B$3626</f>
        <v/>
      </c>
      <c r="H4386" s="21">
        <f>-$B$3625</f>
        <v/>
      </c>
      <c r="I4386" s="21">
        <f>$B$3627</f>
        <v/>
      </c>
      <c r="J4386" s="21" t="n">
        <v>0</v>
      </c>
      <c r="K4386" s="21" t="n">
        <v>0</v>
      </c>
      <c r="L4386" s="21" t="n">
        <v>0</v>
      </c>
      <c r="M4386" s="21" t="n">
        <v>0</v>
      </c>
      <c r="N4386" s="21" t="n">
        <v>0</v>
      </c>
      <c r="O4386" s="21" t="n">
        <v>0</v>
      </c>
      <c r="P4386" s="21" t="n">
        <v>0</v>
      </c>
      <c r="Q4386" s="21" t="n">
        <v>0</v>
      </c>
      <c r="R4386" s="21" t="n">
        <v>0</v>
      </c>
      <c r="S4386" s="21" t="n">
        <v>0</v>
      </c>
      <c r="T4386" s="21" t="n">
        <v>0</v>
      </c>
      <c r="U4386" s="21" t="n">
        <v>0</v>
      </c>
      <c r="V4386" s="21" t="n">
        <v>0</v>
      </c>
      <c r="W4386" s="21" t="n">
        <v>0</v>
      </c>
      <c r="X4386" s="21" t="n">
        <v>0</v>
      </c>
      <c r="Y4386" s="21" t="n">
        <v>0</v>
      </c>
      <c r="Z4386" s="19" t="n"/>
    </row>
    <row r="4387">
      <c r="D4387" s="21" t="n">
        <v>0</v>
      </c>
      <c r="E4387" s="21" t="n">
        <v>0</v>
      </c>
      <c r="F4387" s="21">
        <f>-$B$3624</f>
        <v/>
      </c>
      <c r="G4387" s="21">
        <f>-$B$3625</f>
        <v/>
      </c>
      <c r="H4387" s="21">
        <f>2*$B$3624+$D$4373</f>
        <v/>
      </c>
      <c r="I4387" s="21">
        <f>0</f>
        <v/>
      </c>
      <c r="J4387" s="21">
        <f>-$B$3624</f>
        <v/>
      </c>
      <c r="K4387" s="21">
        <f>$B$3625</f>
        <v/>
      </c>
      <c r="L4387" s="21" t="n">
        <v>0</v>
      </c>
      <c r="M4387" s="21" t="n">
        <v>0</v>
      </c>
      <c r="N4387" s="21" t="n">
        <v>0</v>
      </c>
      <c r="O4387" s="21" t="n">
        <v>0</v>
      </c>
      <c r="P4387" s="21" t="n">
        <v>0</v>
      </c>
      <c r="Q4387" s="21" t="n">
        <v>0</v>
      </c>
      <c r="R4387" s="21" t="n">
        <v>0</v>
      </c>
      <c r="S4387" s="21" t="n">
        <v>0</v>
      </c>
      <c r="T4387" s="21" t="n">
        <v>0</v>
      </c>
      <c r="U4387" s="21" t="n">
        <v>0</v>
      </c>
      <c r="V4387" s="21" t="n">
        <v>0</v>
      </c>
      <c r="W4387" s="21" t="n">
        <v>0</v>
      </c>
      <c r="X4387" s="21" t="n">
        <v>0</v>
      </c>
      <c r="Y4387" s="21" t="n">
        <v>0</v>
      </c>
      <c r="Z4387" s="19" t="n"/>
    </row>
    <row r="4388">
      <c r="D4388" s="21" t="n">
        <v>0</v>
      </c>
      <c r="E4388" s="21" t="n">
        <v>0</v>
      </c>
      <c r="F4388" s="21">
        <f>$B$3625</f>
        <v/>
      </c>
      <c r="G4388" s="21">
        <f>$B$3627</f>
        <v/>
      </c>
      <c r="H4388" s="21">
        <f>0</f>
        <v/>
      </c>
      <c r="I4388" s="21">
        <f>2*$B$3626</f>
        <v/>
      </c>
      <c r="J4388" s="21">
        <f>-$B$3625</f>
        <v/>
      </c>
      <c r="K4388" s="21">
        <f>$B$3627</f>
        <v/>
      </c>
      <c r="L4388" s="21" t="n">
        <v>0</v>
      </c>
      <c r="M4388" s="21" t="n">
        <v>0</v>
      </c>
      <c r="N4388" s="21" t="n">
        <v>0</v>
      </c>
      <c r="O4388" s="21" t="n">
        <v>0</v>
      </c>
      <c r="P4388" s="21" t="n">
        <v>0</v>
      </c>
      <c r="Q4388" s="21" t="n">
        <v>0</v>
      </c>
      <c r="R4388" s="21" t="n">
        <v>0</v>
      </c>
      <c r="S4388" s="21" t="n">
        <v>0</v>
      </c>
      <c r="T4388" s="21" t="n">
        <v>0</v>
      </c>
      <c r="U4388" s="21" t="n">
        <v>0</v>
      </c>
      <c r="V4388" s="21" t="n">
        <v>0</v>
      </c>
      <c r="W4388" s="21" t="n">
        <v>0</v>
      </c>
      <c r="X4388" s="21" t="n">
        <v>0</v>
      </c>
      <c r="Y4388" s="21" t="n">
        <v>0</v>
      </c>
      <c r="Z4388" s="19" t="n"/>
    </row>
    <row r="4389">
      <c r="D4389" s="21" t="n">
        <v>0</v>
      </c>
      <c r="E4389" s="21" t="n">
        <v>0</v>
      </c>
      <c r="F4389" s="21" t="n">
        <v>0</v>
      </c>
      <c r="G4389" s="21" t="n">
        <v>0</v>
      </c>
      <c r="H4389" s="21">
        <f>-$B$3624</f>
        <v/>
      </c>
      <c r="I4389" s="21">
        <f>-$B$3625</f>
        <v/>
      </c>
      <c r="J4389" s="21">
        <f>2*$B$3624+$D$4374</f>
        <v/>
      </c>
      <c r="K4389" s="21">
        <f>0</f>
        <v/>
      </c>
      <c r="L4389" s="21">
        <f>-$B$3624</f>
        <v/>
      </c>
      <c r="M4389" s="21">
        <f>$B$3625</f>
        <v/>
      </c>
      <c r="N4389" s="21" t="n">
        <v>0</v>
      </c>
      <c r="O4389" s="21" t="n">
        <v>0</v>
      </c>
      <c r="P4389" s="21" t="n">
        <v>0</v>
      </c>
      <c r="Q4389" s="21" t="n">
        <v>0</v>
      </c>
      <c r="R4389" s="21" t="n">
        <v>0</v>
      </c>
      <c r="S4389" s="21" t="n">
        <v>0</v>
      </c>
      <c r="T4389" s="21" t="n">
        <v>0</v>
      </c>
      <c r="U4389" s="21" t="n">
        <v>0</v>
      </c>
      <c r="V4389" s="21" t="n">
        <v>0</v>
      </c>
      <c r="W4389" s="21" t="n">
        <v>0</v>
      </c>
      <c r="X4389" s="21" t="n">
        <v>0</v>
      </c>
      <c r="Y4389" s="21" t="n">
        <v>0</v>
      </c>
      <c r="Z4389" s="19" t="n"/>
    </row>
    <row r="4390">
      <c r="D4390" s="21" t="n">
        <v>0</v>
      </c>
      <c r="E4390" s="21" t="n">
        <v>0</v>
      </c>
      <c r="F4390" s="21" t="n">
        <v>0</v>
      </c>
      <c r="G4390" s="21" t="n">
        <v>0</v>
      </c>
      <c r="H4390" s="21">
        <f>$B$3625</f>
        <v/>
      </c>
      <c r="I4390" s="21">
        <f>$B$3627</f>
        <v/>
      </c>
      <c r="J4390" s="21">
        <f>0</f>
        <v/>
      </c>
      <c r="K4390" s="21">
        <f>2*$B$3626</f>
        <v/>
      </c>
      <c r="L4390" s="21">
        <f>-$B$3625</f>
        <v/>
      </c>
      <c r="M4390" s="21">
        <f>$B$3627</f>
        <v/>
      </c>
      <c r="N4390" s="21" t="n">
        <v>0</v>
      </c>
      <c r="O4390" s="21" t="n">
        <v>0</v>
      </c>
      <c r="P4390" s="21" t="n">
        <v>0</v>
      </c>
      <c r="Q4390" s="21" t="n">
        <v>0</v>
      </c>
      <c r="R4390" s="21" t="n">
        <v>0</v>
      </c>
      <c r="S4390" s="21" t="n">
        <v>0</v>
      </c>
      <c r="T4390" s="21" t="n">
        <v>0</v>
      </c>
      <c r="U4390" s="21" t="n">
        <v>0</v>
      </c>
      <c r="V4390" s="21" t="n">
        <v>0</v>
      </c>
      <c r="W4390" s="21" t="n">
        <v>0</v>
      </c>
      <c r="X4390" s="21" t="n">
        <v>0</v>
      </c>
      <c r="Y4390" s="21" t="n">
        <v>0</v>
      </c>
      <c r="Z4390" s="19" t="n"/>
    </row>
    <row r="4391">
      <c r="D4391" s="21" t="n">
        <v>0</v>
      </c>
      <c r="E4391" s="21" t="n">
        <v>0</v>
      </c>
      <c r="F4391" s="21" t="n">
        <v>0</v>
      </c>
      <c r="G4391" s="21" t="n">
        <v>0</v>
      </c>
      <c r="H4391" s="21" t="n">
        <v>0</v>
      </c>
      <c r="I4391" s="21" t="n">
        <v>0</v>
      </c>
      <c r="J4391" s="21">
        <f>-$B$3624</f>
        <v/>
      </c>
      <c r="K4391" s="21">
        <f>-$B$3625</f>
        <v/>
      </c>
      <c r="L4391" s="21">
        <f>2*$B$3624+$D$4375</f>
        <v/>
      </c>
      <c r="M4391" s="21">
        <f>0</f>
        <v/>
      </c>
      <c r="N4391" s="21">
        <f>-$B$3624</f>
        <v/>
      </c>
      <c r="O4391" s="21">
        <f>$B$3625</f>
        <v/>
      </c>
      <c r="P4391" s="21" t="n">
        <v>0</v>
      </c>
      <c r="Q4391" s="21" t="n">
        <v>0</v>
      </c>
      <c r="R4391" s="21" t="n">
        <v>0</v>
      </c>
      <c r="S4391" s="21" t="n">
        <v>0</v>
      </c>
      <c r="T4391" s="21" t="n">
        <v>0</v>
      </c>
      <c r="U4391" s="21" t="n">
        <v>0</v>
      </c>
      <c r="V4391" s="21" t="n">
        <v>0</v>
      </c>
      <c r="W4391" s="21" t="n">
        <v>0</v>
      </c>
      <c r="X4391" s="21" t="n">
        <v>0</v>
      </c>
      <c r="Y4391" s="21" t="n">
        <v>0</v>
      </c>
      <c r="Z4391" s="19" t="n"/>
    </row>
    <row r="4392">
      <c r="D4392" s="21" t="n">
        <v>0</v>
      </c>
      <c r="E4392" s="21" t="n">
        <v>0</v>
      </c>
      <c r="F4392" s="21" t="n">
        <v>0</v>
      </c>
      <c r="G4392" s="21" t="n">
        <v>0</v>
      </c>
      <c r="H4392" s="21" t="n">
        <v>0</v>
      </c>
      <c r="I4392" s="21" t="n">
        <v>0</v>
      </c>
      <c r="J4392" s="21">
        <f>$B$3625</f>
        <v/>
      </c>
      <c r="K4392" s="21">
        <f>$B$3627</f>
        <v/>
      </c>
      <c r="L4392" s="21">
        <f>0</f>
        <v/>
      </c>
      <c r="M4392" s="21">
        <f>2*$B$3626</f>
        <v/>
      </c>
      <c r="N4392" s="21">
        <f>-$B$3625</f>
        <v/>
      </c>
      <c r="O4392" s="21">
        <f>$B$3627</f>
        <v/>
      </c>
      <c r="P4392" s="21" t="n">
        <v>0</v>
      </c>
      <c r="Q4392" s="21" t="n">
        <v>0</v>
      </c>
      <c r="R4392" s="21" t="n">
        <v>0</v>
      </c>
      <c r="S4392" s="21" t="n">
        <v>0</v>
      </c>
      <c r="T4392" s="21" t="n">
        <v>0</v>
      </c>
      <c r="U4392" s="21" t="n">
        <v>0</v>
      </c>
      <c r="V4392" s="21" t="n">
        <v>0</v>
      </c>
      <c r="W4392" s="21" t="n">
        <v>0</v>
      </c>
      <c r="X4392" s="21" t="n">
        <v>0</v>
      </c>
      <c r="Y4392" s="21" t="n">
        <v>0</v>
      </c>
      <c r="Z4392" s="19" t="n"/>
    </row>
    <row r="4393">
      <c r="D4393" s="21" t="n">
        <v>0</v>
      </c>
      <c r="E4393" s="21" t="n">
        <v>0</v>
      </c>
      <c r="F4393" s="21" t="n">
        <v>0</v>
      </c>
      <c r="G4393" s="21" t="n">
        <v>0</v>
      </c>
      <c r="H4393" s="21" t="n">
        <v>0</v>
      </c>
      <c r="I4393" s="21" t="n">
        <v>0</v>
      </c>
      <c r="J4393" s="21" t="n">
        <v>0</v>
      </c>
      <c r="K4393" s="21" t="n">
        <v>0</v>
      </c>
      <c r="L4393" s="21">
        <f>-$B$3624</f>
        <v/>
      </c>
      <c r="M4393" s="21">
        <f>-$B$3625</f>
        <v/>
      </c>
      <c r="N4393" s="21">
        <f>2*$B$3624+$D$4376</f>
        <v/>
      </c>
      <c r="O4393" s="21">
        <f>0</f>
        <v/>
      </c>
      <c r="P4393" s="21">
        <f>-$B$3624</f>
        <v/>
      </c>
      <c r="Q4393" s="21">
        <f>$B$3625</f>
        <v/>
      </c>
      <c r="R4393" s="21" t="n">
        <v>0</v>
      </c>
      <c r="S4393" s="21" t="n">
        <v>0</v>
      </c>
      <c r="T4393" s="21" t="n">
        <v>0</v>
      </c>
      <c r="U4393" s="21" t="n">
        <v>0</v>
      </c>
      <c r="V4393" s="21" t="n">
        <v>0</v>
      </c>
      <c r="W4393" s="21" t="n">
        <v>0</v>
      </c>
      <c r="X4393" s="21" t="n">
        <v>0</v>
      </c>
      <c r="Y4393" s="21" t="n">
        <v>0</v>
      </c>
      <c r="Z4393" s="19" t="n"/>
    </row>
    <row r="4394">
      <c r="D4394" s="21" t="n">
        <v>0</v>
      </c>
      <c r="E4394" s="21" t="n">
        <v>0</v>
      </c>
      <c r="F4394" s="21" t="n">
        <v>0</v>
      </c>
      <c r="G4394" s="21" t="n">
        <v>0</v>
      </c>
      <c r="H4394" s="21" t="n">
        <v>0</v>
      </c>
      <c r="I4394" s="21" t="n">
        <v>0</v>
      </c>
      <c r="J4394" s="21" t="n">
        <v>0</v>
      </c>
      <c r="K4394" s="21" t="n">
        <v>0</v>
      </c>
      <c r="L4394" s="21">
        <f>$B$3625</f>
        <v/>
      </c>
      <c r="M4394" s="21">
        <f>$B$3627</f>
        <v/>
      </c>
      <c r="N4394" s="21">
        <f>0</f>
        <v/>
      </c>
      <c r="O4394" s="21">
        <f>2*$B$3626</f>
        <v/>
      </c>
      <c r="P4394" s="21">
        <f>-$B$3625</f>
        <v/>
      </c>
      <c r="Q4394" s="21">
        <f>$B$3627</f>
        <v/>
      </c>
      <c r="R4394" s="21" t="n">
        <v>0</v>
      </c>
      <c r="S4394" s="21" t="n">
        <v>0</v>
      </c>
      <c r="T4394" s="21" t="n">
        <v>0</v>
      </c>
      <c r="U4394" s="21" t="n">
        <v>0</v>
      </c>
      <c r="V4394" s="21" t="n">
        <v>0</v>
      </c>
      <c r="W4394" s="21" t="n">
        <v>0</v>
      </c>
      <c r="X4394" s="21" t="n">
        <v>0</v>
      </c>
      <c r="Y4394" s="21" t="n">
        <v>0</v>
      </c>
      <c r="Z4394" s="19" t="n"/>
    </row>
    <row r="4395">
      <c r="D4395" s="21" t="n">
        <v>0</v>
      </c>
      <c r="E4395" s="21" t="n">
        <v>0</v>
      </c>
      <c r="F4395" s="21" t="n">
        <v>0</v>
      </c>
      <c r="G4395" s="21" t="n">
        <v>0</v>
      </c>
      <c r="H4395" s="21" t="n">
        <v>0</v>
      </c>
      <c r="I4395" s="21" t="n">
        <v>0</v>
      </c>
      <c r="J4395" s="21" t="n">
        <v>0</v>
      </c>
      <c r="K4395" s="21" t="n">
        <v>0</v>
      </c>
      <c r="L4395" s="21" t="n">
        <v>0</v>
      </c>
      <c r="M4395" s="21" t="n">
        <v>0</v>
      </c>
      <c r="N4395" s="21">
        <f>-$B$3624</f>
        <v/>
      </c>
      <c r="O4395" s="21">
        <f>-$B$3625</f>
        <v/>
      </c>
      <c r="P4395" s="21">
        <f>2*$B$3624+$D$4377</f>
        <v/>
      </c>
      <c r="Q4395" s="21">
        <f>0</f>
        <v/>
      </c>
      <c r="R4395" s="21">
        <f>-$B$3624</f>
        <v/>
      </c>
      <c r="S4395" s="21">
        <f>$B$3625</f>
        <v/>
      </c>
      <c r="T4395" s="21" t="n">
        <v>0</v>
      </c>
      <c r="U4395" s="21" t="n">
        <v>0</v>
      </c>
      <c r="V4395" s="21" t="n">
        <v>0</v>
      </c>
      <c r="W4395" s="21" t="n">
        <v>0</v>
      </c>
      <c r="X4395" s="21" t="n">
        <v>0</v>
      </c>
      <c r="Y4395" s="21" t="n">
        <v>0</v>
      </c>
      <c r="Z4395" s="19" t="n"/>
    </row>
    <row r="4396">
      <c r="D4396" s="21" t="n">
        <v>0</v>
      </c>
      <c r="E4396" s="21" t="n">
        <v>0</v>
      </c>
      <c r="F4396" s="21" t="n">
        <v>0</v>
      </c>
      <c r="G4396" s="21" t="n">
        <v>0</v>
      </c>
      <c r="H4396" s="21" t="n">
        <v>0</v>
      </c>
      <c r="I4396" s="21" t="n">
        <v>0</v>
      </c>
      <c r="J4396" s="21" t="n">
        <v>0</v>
      </c>
      <c r="K4396" s="21" t="n">
        <v>0</v>
      </c>
      <c r="L4396" s="21" t="n">
        <v>0</v>
      </c>
      <c r="M4396" s="21" t="n">
        <v>0</v>
      </c>
      <c r="N4396" s="21">
        <f>$B$3625</f>
        <v/>
      </c>
      <c r="O4396" s="21">
        <f>$B$3627</f>
        <v/>
      </c>
      <c r="P4396" s="21">
        <f>0</f>
        <v/>
      </c>
      <c r="Q4396" s="21">
        <f>2*$B$3626</f>
        <v/>
      </c>
      <c r="R4396" s="21">
        <f>-$B$3625</f>
        <v/>
      </c>
      <c r="S4396" s="21">
        <f>$B$3627</f>
        <v/>
      </c>
      <c r="T4396" s="21" t="n">
        <v>0</v>
      </c>
      <c r="U4396" s="21" t="n">
        <v>0</v>
      </c>
      <c r="V4396" s="21" t="n">
        <v>0</v>
      </c>
      <c r="W4396" s="21" t="n">
        <v>0</v>
      </c>
      <c r="X4396" s="21" t="n">
        <v>0</v>
      </c>
      <c r="Y4396" s="21" t="n">
        <v>0</v>
      </c>
      <c r="Z4396" s="19" t="n"/>
    </row>
    <row r="4397">
      <c r="D4397" s="21" t="n">
        <v>0</v>
      </c>
      <c r="E4397" s="21" t="n">
        <v>0</v>
      </c>
      <c r="F4397" s="21" t="n">
        <v>0</v>
      </c>
      <c r="G4397" s="21" t="n">
        <v>0</v>
      </c>
      <c r="H4397" s="21" t="n">
        <v>0</v>
      </c>
      <c r="I4397" s="21" t="n">
        <v>0</v>
      </c>
      <c r="J4397" s="21" t="n">
        <v>0</v>
      </c>
      <c r="K4397" s="21" t="n">
        <v>0</v>
      </c>
      <c r="L4397" s="21" t="n">
        <v>0</v>
      </c>
      <c r="M4397" s="21" t="n">
        <v>0</v>
      </c>
      <c r="N4397" s="21" t="n">
        <v>0</v>
      </c>
      <c r="O4397" s="21" t="n">
        <v>0</v>
      </c>
      <c r="P4397" s="21">
        <f>-$B$3624</f>
        <v/>
      </c>
      <c r="Q4397" s="21">
        <f>-$B$3625</f>
        <v/>
      </c>
      <c r="R4397" s="21">
        <f>2*$B$3624+$D$4378</f>
        <v/>
      </c>
      <c r="S4397" s="21">
        <f>0</f>
        <v/>
      </c>
      <c r="T4397" s="21">
        <f>-$B$3624</f>
        <v/>
      </c>
      <c r="U4397" s="21">
        <f>$B$3625</f>
        <v/>
      </c>
      <c r="V4397" s="21" t="n">
        <v>0</v>
      </c>
      <c r="W4397" s="21" t="n">
        <v>0</v>
      </c>
      <c r="X4397" s="21" t="n">
        <v>0</v>
      </c>
      <c r="Y4397" s="21" t="n">
        <v>0</v>
      </c>
      <c r="Z4397" s="19" t="n"/>
    </row>
    <row r="4398">
      <c r="D4398" s="21" t="n">
        <v>0</v>
      </c>
      <c r="E4398" s="21" t="n">
        <v>0</v>
      </c>
      <c r="F4398" s="21" t="n">
        <v>0</v>
      </c>
      <c r="G4398" s="21" t="n">
        <v>0</v>
      </c>
      <c r="H4398" s="21" t="n">
        <v>0</v>
      </c>
      <c r="I4398" s="21" t="n">
        <v>0</v>
      </c>
      <c r="J4398" s="21" t="n">
        <v>0</v>
      </c>
      <c r="K4398" s="21" t="n">
        <v>0</v>
      </c>
      <c r="L4398" s="21" t="n">
        <v>0</v>
      </c>
      <c r="M4398" s="21" t="n">
        <v>0</v>
      </c>
      <c r="N4398" s="21" t="n">
        <v>0</v>
      </c>
      <c r="O4398" s="21" t="n">
        <v>0</v>
      </c>
      <c r="P4398" s="21">
        <f>$B$3625</f>
        <v/>
      </c>
      <c r="Q4398" s="21">
        <f>$B$3627</f>
        <v/>
      </c>
      <c r="R4398" s="21">
        <f>0</f>
        <v/>
      </c>
      <c r="S4398" s="21">
        <f>2*$B$3626</f>
        <v/>
      </c>
      <c r="T4398" s="21">
        <f>-$B$3625</f>
        <v/>
      </c>
      <c r="U4398" s="21">
        <f>$B$3627</f>
        <v/>
      </c>
      <c r="V4398" s="21" t="n">
        <v>0</v>
      </c>
      <c r="W4398" s="21" t="n">
        <v>0</v>
      </c>
      <c r="X4398" s="21" t="n">
        <v>0</v>
      </c>
      <c r="Y4398" s="21" t="n">
        <v>0</v>
      </c>
      <c r="Z4398" s="19" t="n"/>
    </row>
    <row r="4399">
      <c r="D4399" s="21" t="n">
        <v>0</v>
      </c>
      <c r="E4399" s="21" t="n">
        <v>0</v>
      </c>
      <c r="F4399" s="21" t="n">
        <v>0</v>
      </c>
      <c r="G4399" s="21" t="n">
        <v>0</v>
      </c>
      <c r="H4399" s="21" t="n">
        <v>0</v>
      </c>
      <c r="I4399" s="21" t="n">
        <v>0</v>
      </c>
      <c r="J4399" s="21" t="n">
        <v>0</v>
      </c>
      <c r="K4399" s="21" t="n">
        <v>0</v>
      </c>
      <c r="L4399" s="21" t="n">
        <v>0</v>
      </c>
      <c r="M4399" s="21" t="n">
        <v>0</v>
      </c>
      <c r="N4399" s="21" t="n">
        <v>0</v>
      </c>
      <c r="O4399" s="21" t="n">
        <v>0</v>
      </c>
      <c r="P4399" s="21" t="n">
        <v>0</v>
      </c>
      <c r="Q4399" s="21" t="n">
        <v>0</v>
      </c>
      <c r="R4399" s="21">
        <f>-$B$3624</f>
        <v/>
      </c>
      <c r="S4399" s="21">
        <f>-$B$3625</f>
        <v/>
      </c>
      <c r="T4399" s="21">
        <f>2*$B$3624+$D$4379</f>
        <v/>
      </c>
      <c r="U4399" s="21">
        <f>0</f>
        <v/>
      </c>
      <c r="V4399" s="21">
        <f>-$B$3624</f>
        <v/>
      </c>
      <c r="W4399" s="21">
        <f>$B$3625</f>
        <v/>
      </c>
      <c r="X4399" s="21" t="n">
        <v>0</v>
      </c>
      <c r="Y4399" s="21" t="n">
        <v>0</v>
      </c>
      <c r="Z4399" s="19" t="n"/>
    </row>
    <row r="4400">
      <c r="D4400" s="21" t="n">
        <v>0</v>
      </c>
      <c r="E4400" s="21" t="n">
        <v>0</v>
      </c>
      <c r="F4400" s="21" t="n">
        <v>0</v>
      </c>
      <c r="G4400" s="21" t="n">
        <v>0</v>
      </c>
      <c r="H4400" s="21" t="n">
        <v>0</v>
      </c>
      <c r="I4400" s="21" t="n">
        <v>0</v>
      </c>
      <c r="J4400" s="21" t="n">
        <v>0</v>
      </c>
      <c r="K4400" s="21" t="n">
        <v>0</v>
      </c>
      <c r="L4400" s="21" t="n">
        <v>0</v>
      </c>
      <c r="M4400" s="21" t="n">
        <v>0</v>
      </c>
      <c r="N4400" s="21" t="n">
        <v>0</v>
      </c>
      <c r="O4400" s="21" t="n">
        <v>0</v>
      </c>
      <c r="P4400" s="21" t="n">
        <v>0</v>
      </c>
      <c r="Q4400" s="21" t="n">
        <v>0</v>
      </c>
      <c r="R4400" s="21">
        <f>$B$3625</f>
        <v/>
      </c>
      <c r="S4400" s="21">
        <f>$B$3627</f>
        <v/>
      </c>
      <c r="T4400" s="21">
        <f>0</f>
        <v/>
      </c>
      <c r="U4400" s="21">
        <f>2*$B$3626</f>
        <v/>
      </c>
      <c r="V4400" s="21">
        <f>-$B$3625</f>
        <v/>
      </c>
      <c r="W4400" s="21">
        <f>$B$3627</f>
        <v/>
      </c>
      <c r="X4400" s="21" t="n">
        <v>0</v>
      </c>
      <c r="Y4400" s="21" t="n">
        <v>0</v>
      </c>
      <c r="Z4400" s="19" t="n"/>
    </row>
    <row r="4401">
      <c r="D4401" s="21" t="n">
        <v>0</v>
      </c>
      <c r="E4401" s="21" t="n">
        <v>0</v>
      </c>
      <c r="F4401" s="21" t="n">
        <v>0</v>
      </c>
      <c r="G4401" s="21" t="n">
        <v>0</v>
      </c>
      <c r="H4401" s="21" t="n">
        <v>0</v>
      </c>
      <c r="I4401" s="21" t="n">
        <v>0</v>
      </c>
      <c r="J4401" s="21" t="n">
        <v>0</v>
      </c>
      <c r="K4401" s="21" t="n">
        <v>0</v>
      </c>
      <c r="L4401" s="21" t="n">
        <v>0</v>
      </c>
      <c r="M4401" s="21" t="n">
        <v>0</v>
      </c>
      <c r="N4401" s="21" t="n">
        <v>0</v>
      </c>
      <c r="O4401" s="21" t="n">
        <v>0</v>
      </c>
      <c r="P4401" s="21" t="n">
        <v>0</v>
      </c>
      <c r="Q4401" s="21" t="n">
        <v>0</v>
      </c>
      <c r="R4401" s="21" t="n">
        <v>0</v>
      </c>
      <c r="S4401" s="21" t="n">
        <v>0</v>
      </c>
      <c r="T4401" s="21">
        <f>-$B$3624</f>
        <v/>
      </c>
      <c r="U4401" s="21">
        <f>-$B$3625</f>
        <v/>
      </c>
      <c r="V4401" s="21">
        <f>2*$B$3624+$D$4380</f>
        <v/>
      </c>
      <c r="W4401" s="21">
        <f>0</f>
        <v/>
      </c>
      <c r="X4401" s="21">
        <f>-$B$3624</f>
        <v/>
      </c>
      <c r="Y4401" s="21">
        <f>$B$3625</f>
        <v/>
      </c>
      <c r="Z4401" s="19" t="n"/>
    </row>
    <row r="4402">
      <c r="D4402" s="21" t="n">
        <v>0</v>
      </c>
      <c r="E4402" s="21" t="n">
        <v>0</v>
      </c>
      <c r="F4402" s="21" t="n">
        <v>0</v>
      </c>
      <c r="G4402" s="21" t="n">
        <v>0</v>
      </c>
      <c r="H4402" s="21" t="n">
        <v>0</v>
      </c>
      <c r="I4402" s="21" t="n">
        <v>0</v>
      </c>
      <c r="J4402" s="21" t="n">
        <v>0</v>
      </c>
      <c r="K4402" s="21" t="n">
        <v>0</v>
      </c>
      <c r="L4402" s="21" t="n">
        <v>0</v>
      </c>
      <c r="M4402" s="21" t="n">
        <v>0</v>
      </c>
      <c r="N4402" s="21" t="n">
        <v>0</v>
      </c>
      <c r="O4402" s="21" t="n">
        <v>0</v>
      </c>
      <c r="P4402" s="21" t="n">
        <v>0</v>
      </c>
      <c r="Q4402" s="21" t="n">
        <v>0</v>
      </c>
      <c r="R4402" s="21" t="n">
        <v>0</v>
      </c>
      <c r="S4402" s="21" t="n">
        <v>0</v>
      </c>
      <c r="T4402" s="21">
        <f>$B$3625</f>
        <v/>
      </c>
      <c r="U4402" s="21">
        <f>$B$3627</f>
        <v/>
      </c>
      <c r="V4402" s="21">
        <f>0</f>
        <v/>
      </c>
      <c r="W4402" s="21">
        <f>2*$B$3626</f>
        <v/>
      </c>
      <c r="X4402" s="21">
        <f>-$B$3625</f>
        <v/>
      </c>
      <c r="Y4402" s="21">
        <f>$B$3627</f>
        <v/>
      </c>
      <c r="Z4402" s="19" t="n"/>
    </row>
    <row r="4403">
      <c r="D4403" s="21" t="n">
        <v>0</v>
      </c>
      <c r="E4403" s="21" t="n">
        <v>0</v>
      </c>
      <c r="F4403" s="21" t="n">
        <v>0</v>
      </c>
      <c r="G4403" s="21" t="n">
        <v>0</v>
      </c>
      <c r="H4403" s="21" t="n">
        <v>0</v>
      </c>
      <c r="I4403" s="21" t="n">
        <v>0</v>
      </c>
      <c r="J4403" s="21" t="n">
        <v>0</v>
      </c>
      <c r="K4403" s="21" t="n">
        <v>0</v>
      </c>
      <c r="L4403" s="21" t="n">
        <v>0</v>
      </c>
      <c r="M4403" s="21" t="n">
        <v>0</v>
      </c>
      <c r="N4403" s="21" t="n">
        <v>0</v>
      </c>
      <c r="O4403" s="21" t="n">
        <v>0</v>
      </c>
      <c r="P4403" s="21" t="n">
        <v>0</v>
      </c>
      <c r="Q4403" s="21" t="n">
        <v>0</v>
      </c>
      <c r="R4403" s="21" t="n">
        <v>0</v>
      </c>
      <c r="S4403" s="21" t="n">
        <v>0</v>
      </c>
      <c r="T4403" s="21" t="n">
        <v>0</v>
      </c>
      <c r="U4403" s="21" t="n">
        <v>0</v>
      </c>
      <c r="V4403" s="21">
        <f>-$B$3624</f>
        <v/>
      </c>
      <c r="W4403" s="21">
        <f>-$B$3625</f>
        <v/>
      </c>
      <c r="X4403" s="21">
        <f>$B$3624+$D$4381</f>
        <v/>
      </c>
      <c r="Y4403" s="21">
        <f>-$B$3625</f>
        <v/>
      </c>
      <c r="Z4403" s="19" t="n"/>
    </row>
    <row r="4404">
      <c r="D4404" s="21" t="n">
        <v>0</v>
      </c>
      <c r="E4404" s="21" t="n">
        <v>0</v>
      </c>
      <c r="F4404" s="21" t="n">
        <v>0</v>
      </c>
      <c r="G4404" s="21" t="n">
        <v>0</v>
      </c>
      <c r="H4404" s="21" t="n">
        <v>0</v>
      </c>
      <c r="I4404" s="21" t="n">
        <v>0</v>
      </c>
      <c r="J4404" s="21" t="n">
        <v>0</v>
      </c>
      <c r="K4404" s="21" t="n">
        <v>0</v>
      </c>
      <c r="L4404" s="21" t="n">
        <v>0</v>
      </c>
      <c r="M4404" s="21" t="n">
        <v>0</v>
      </c>
      <c r="N4404" s="21" t="n">
        <v>0</v>
      </c>
      <c r="O4404" s="21" t="n">
        <v>0</v>
      </c>
      <c r="P4404" s="21" t="n">
        <v>0</v>
      </c>
      <c r="Q4404" s="21" t="n">
        <v>0</v>
      </c>
      <c r="R4404" s="21" t="n">
        <v>0</v>
      </c>
      <c r="S4404" s="21" t="n">
        <v>0</v>
      </c>
      <c r="T4404" s="21" t="n">
        <v>0</v>
      </c>
      <c r="U4404" s="21" t="n">
        <v>0</v>
      </c>
      <c r="V4404" s="21">
        <f>$B$3625</f>
        <v/>
      </c>
      <c r="W4404" s="21">
        <f>$B$3627</f>
        <v/>
      </c>
      <c r="X4404" s="21">
        <f>-$B$3625</f>
        <v/>
      </c>
      <c r="Y4404" s="21">
        <f>$B$3626</f>
        <v/>
      </c>
      <c r="Z4404" s="19" t="n"/>
    </row>
    <row r="4406">
      <c r="A4406" s="8" t="inlineStr">
        <is>
          <t>gen 21</t>
        </is>
      </c>
    </row>
    <row r="4407">
      <c r="D4407" s="19">
        <f>IF(ABS(IF(ABS($E$4371)&gt;0.000000001,$E$4371,0.000000001))=0,0,IF($E$3639&lt;=$B$3633,0,IF(ABS(IF(ABS($E$4371)&gt;0.000000001,$E$4371,0.000000001))&gt;=8*$B$3635,$H$3639,0.5*$H$3639*(ABS(IF(ABS($E$4371)&gt;0.000000001,$E$4371,0.000000001))/$B$3635)^(1/3)))/ABS(IF(ABS($E$4371)&gt;0.000000001,$E$4371,0.000000001))*$I$3639)</f>
        <v/>
      </c>
      <c r="E4407" s="19">
        <f>0.5*$E$4371+0.5*$Z$4419</f>
        <v/>
      </c>
      <c r="F4407" s="19">
        <f>$Z$4420</f>
        <v/>
      </c>
    </row>
    <row r="4408">
      <c r="D4408" s="19">
        <f>IF(ABS(IF(ABS($E$4372)&gt;0.000000001,$E$4372,0.000000001))=0,0,IF($E$3640&lt;=$B$3633,0,IF(ABS(IF(ABS($E$4372)&gt;0.000000001,$E$4372,0.000000001))&gt;=8*$B$3635,$H$3640,0.5*$H$3640*(ABS(IF(ABS($E$4372)&gt;0.000000001,$E$4372,0.000000001))/$B$3635)^(1/3)))/ABS(IF(ABS($E$4372)&gt;0.000000001,$E$4372,0.000000001))*$I$3640)</f>
        <v/>
      </c>
      <c r="E4408" s="19">
        <f>0.5*$E$4372+0.5*$Z$4421</f>
        <v/>
      </c>
      <c r="F4408" s="19">
        <f>$Z$4422</f>
        <v/>
      </c>
    </row>
    <row r="4409">
      <c r="D4409" s="19">
        <f>IF(ABS(IF(ABS($E$4373)&gt;0.000000001,$E$4373,0.000000001))=0,0,IF($E$3641&lt;=$B$3633,0,IF(ABS(IF(ABS($E$4373)&gt;0.000000001,$E$4373,0.000000001))&gt;=8*$B$3635,$H$3641,0.5*$H$3641*(ABS(IF(ABS($E$4373)&gt;0.000000001,$E$4373,0.000000001))/$B$3635)^(1/3)))/ABS(IF(ABS($E$4373)&gt;0.000000001,$E$4373,0.000000001))*$I$3641)</f>
        <v/>
      </c>
      <c r="E4409" s="19">
        <f>0.5*$E$4373+0.5*$Z$4423</f>
        <v/>
      </c>
      <c r="F4409" s="19">
        <f>$Z$4424</f>
        <v/>
      </c>
    </row>
    <row r="4410">
      <c r="D4410" s="19">
        <f>IF(ABS(IF(ABS($E$4374)&gt;0.000000001,$E$4374,0.000000001))=0,0,IF($E$3642&lt;=$B$3633,0,IF(ABS(IF(ABS($E$4374)&gt;0.000000001,$E$4374,0.000000001))&gt;=8*$B$3635,$H$3642,0.5*$H$3642*(ABS(IF(ABS($E$4374)&gt;0.000000001,$E$4374,0.000000001))/$B$3635)^(1/3)))/ABS(IF(ABS($E$4374)&gt;0.000000001,$E$4374,0.000000001))*$I$3642)</f>
        <v/>
      </c>
      <c r="E4410" s="19">
        <f>0.5*$E$4374+0.5*$Z$4425</f>
        <v/>
      </c>
      <c r="F4410" s="19">
        <f>$Z$4426</f>
        <v/>
      </c>
    </row>
    <row r="4411">
      <c r="D4411" s="19">
        <f>IF(ABS(IF(ABS($E$4375)&gt;0.000000001,$E$4375,0.000000001))=0,0,IF($E$3643&lt;=$B$3633,0,IF(ABS(IF(ABS($E$4375)&gt;0.000000001,$E$4375,0.000000001))&gt;=8*$B$3635,$H$3643,0.5*$H$3643*(ABS(IF(ABS($E$4375)&gt;0.000000001,$E$4375,0.000000001))/$B$3635)^(1/3)))/ABS(IF(ABS($E$4375)&gt;0.000000001,$E$4375,0.000000001))*$I$3643)</f>
        <v/>
      </c>
      <c r="E4411" s="19">
        <f>0.5*$E$4375+0.5*$Z$4427</f>
        <v/>
      </c>
      <c r="F4411" s="19">
        <f>$Z$4428</f>
        <v/>
      </c>
    </row>
    <row r="4412">
      <c r="D4412" s="19">
        <f>IF(ABS(IF(ABS($E$4376)&gt;0.000000001,$E$4376,0.000000001))=0,0,IF($E$3644&lt;=$B$3633,0,IF(ABS(IF(ABS($E$4376)&gt;0.000000001,$E$4376,0.000000001))&gt;=8*$B$3635,$H$3644,0.5*$H$3644*(ABS(IF(ABS($E$4376)&gt;0.000000001,$E$4376,0.000000001))/$B$3635)^(1/3)))/ABS(IF(ABS($E$4376)&gt;0.000000001,$E$4376,0.000000001))*$I$3644)</f>
        <v/>
      </c>
      <c r="E4412" s="19">
        <f>0.5*$E$4376+0.5*$Z$4429</f>
        <v/>
      </c>
      <c r="F4412" s="19">
        <f>$Z$4430</f>
        <v/>
      </c>
    </row>
    <row r="4413">
      <c r="D4413" s="19">
        <f>IF(ABS(IF(ABS($E$4377)&gt;0.000000001,$E$4377,0.000000001))=0,0,IF($E$3645&lt;=$B$3633,0,IF(ABS(IF(ABS($E$4377)&gt;0.000000001,$E$4377,0.000000001))&gt;=8*$B$3635,$H$3645,0.5*$H$3645*(ABS(IF(ABS($E$4377)&gt;0.000000001,$E$4377,0.000000001))/$B$3635)^(1/3)))/ABS(IF(ABS($E$4377)&gt;0.000000001,$E$4377,0.000000001))*$I$3645)</f>
        <v/>
      </c>
      <c r="E4413" s="19">
        <f>0.5*$E$4377+0.5*$Z$4431</f>
        <v/>
      </c>
      <c r="F4413" s="19">
        <f>$Z$4432</f>
        <v/>
      </c>
    </row>
    <row r="4414">
      <c r="D4414" s="19">
        <f>IF(ABS(IF(ABS($E$4378)&gt;0.000000001,$E$4378,0.000000001))=0,0,IF($E$3646&lt;=$B$3633,0,IF(ABS(IF(ABS($E$4378)&gt;0.000000001,$E$4378,0.000000001))&gt;=8*$B$3635,$H$3646,0.5*$H$3646*(ABS(IF(ABS($E$4378)&gt;0.000000001,$E$4378,0.000000001))/$B$3635)^(1/3)))/ABS(IF(ABS($E$4378)&gt;0.000000001,$E$4378,0.000000001))*$I$3646)</f>
        <v/>
      </c>
      <c r="E4414" s="19">
        <f>0.5*$E$4378+0.5*$Z$4433</f>
        <v/>
      </c>
      <c r="F4414" s="19">
        <f>$Z$4434</f>
        <v/>
      </c>
    </row>
    <row r="4415">
      <c r="D4415" s="19">
        <f>IF(ABS(IF(ABS($E$4379)&gt;0.000000001,$E$4379,0.000000001))=0,0,IF($E$3647&lt;=$B$3633,0,IF(ABS(IF(ABS($E$4379)&gt;0.000000001,$E$4379,0.000000001))&gt;=8*$B$3635,$H$3647,0.5*$H$3647*(ABS(IF(ABS($E$4379)&gt;0.000000001,$E$4379,0.000000001))/$B$3635)^(1/3)))/ABS(IF(ABS($E$4379)&gt;0.000000001,$E$4379,0.000000001))*$I$3647)</f>
        <v/>
      </c>
      <c r="E4415" s="19">
        <f>0.5*$E$4379+0.5*$Z$4435</f>
        <v/>
      </c>
      <c r="F4415" s="19">
        <f>$Z$4436</f>
        <v/>
      </c>
    </row>
    <row r="4416">
      <c r="D4416" s="19">
        <f>IF(ABS(IF(ABS($E$4380)&gt;0.000000001,$E$4380,0.000000001))=0,0,IF($E$3648&lt;=$B$3633,0,IF(ABS(IF(ABS($E$4380)&gt;0.000000001,$E$4380,0.000000001))&gt;=8*$B$3635,$H$3648,0.5*$H$3648*(ABS(IF(ABS($E$4380)&gt;0.000000001,$E$4380,0.000000001))/$B$3635)^(1/3)))/ABS(IF(ABS($E$4380)&gt;0.000000001,$E$4380,0.000000001))*$I$3648)</f>
        <v/>
      </c>
      <c r="E4416" s="19">
        <f>0.5*$E$4380+0.5*$Z$4437</f>
        <v/>
      </c>
      <c r="F4416" s="19">
        <f>$Z$4438</f>
        <v/>
      </c>
    </row>
    <row r="4417">
      <c r="D4417" s="19">
        <f>IF(ABS(IF(ABS($E$4381)&gt;0.000000001,$E$4381,0.000000001))=0,0,IF($E$3649&lt;=$B$3633,0,IF(ABS(IF(ABS($E$4381)&gt;0.000000001,$E$4381,0.000000001))&gt;=8*$B$3635,$H$3649,0.5*$H$3649*(ABS(IF(ABS($E$4381)&gt;0.000000001,$E$4381,0.000000001))/$B$3635)^(1/3)))/ABS(IF(ABS($E$4381)&gt;0.000000001,$E$4381,0.000000001))*$I$3649)</f>
        <v/>
      </c>
      <c r="E4417" s="19">
        <f>0.5*$E$4381+0.5*$Z$4439</f>
        <v/>
      </c>
      <c r="F4417" s="19">
        <f>$Z$4440</f>
        <v/>
      </c>
    </row>
    <row r="4419">
      <c r="D4419" s="21">
        <f>$B$3624+$D$4407</f>
        <v/>
      </c>
      <c r="E4419" s="21">
        <f>$B$3625</f>
        <v/>
      </c>
      <c r="F4419" s="21">
        <f>-$B$3624</f>
        <v/>
      </c>
      <c r="G4419" s="21">
        <f>$B$3625</f>
        <v/>
      </c>
      <c r="H4419" s="21" t="n">
        <v>0</v>
      </c>
      <c r="I4419" s="21" t="n">
        <v>0</v>
      </c>
      <c r="J4419" s="21" t="n">
        <v>0</v>
      </c>
      <c r="K4419" s="21" t="n">
        <v>0</v>
      </c>
      <c r="L4419" s="21" t="n">
        <v>0</v>
      </c>
      <c r="M4419" s="21" t="n">
        <v>0</v>
      </c>
      <c r="N4419" s="21" t="n">
        <v>0</v>
      </c>
      <c r="O4419" s="21" t="n">
        <v>0</v>
      </c>
      <c r="P4419" s="21" t="n">
        <v>0</v>
      </c>
      <c r="Q4419" s="21" t="n">
        <v>0</v>
      </c>
      <c r="R4419" s="21" t="n">
        <v>0</v>
      </c>
      <c r="S4419" s="21" t="n">
        <v>0</v>
      </c>
      <c r="T4419" s="21" t="n">
        <v>0</v>
      </c>
      <c r="U4419" s="21" t="n">
        <v>0</v>
      </c>
      <c r="V4419" s="21" t="n">
        <v>0</v>
      </c>
      <c r="W4419" s="21" t="n">
        <v>0</v>
      </c>
      <c r="X4419" s="21" t="n">
        <v>0</v>
      </c>
      <c r="Y4419" s="21" t="n">
        <v>0</v>
      </c>
      <c r="Z4419" s="19">
        <f t="array" ref="Z4419:Z4440">MMULT(MINVERSE($D$4419:$Y$4440),$D$3651:$D$3672)</f>
        <v/>
      </c>
    </row>
    <row r="4420">
      <c r="D4420" s="21">
        <f>$B$3625</f>
        <v/>
      </c>
      <c r="E4420" s="21">
        <f>$B$3626</f>
        <v/>
      </c>
      <c r="F4420" s="21">
        <f>-$B$3625</f>
        <v/>
      </c>
      <c r="G4420" s="21">
        <f>$B$3627</f>
        <v/>
      </c>
      <c r="H4420" s="21" t="n">
        <v>0</v>
      </c>
      <c r="I4420" s="21" t="n">
        <v>0</v>
      </c>
      <c r="J4420" s="21" t="n">
        <v>0</v>
      </c>
      <c r="K4420" s="21" t="n">
        <v>0</v>
      </c>
      <c r="L4420" s="21" t="n">
        <v>0</v>
      </c>
      <c r="M4420" s="21" t="n">
        <v>0</v>
      </c>
      <c r="N4420" s="21" t="n">
        <v>0</v>
      </c>
      <c r="O4420" s="21" t="n">
        <v>0</v>
      </c>
      <c r="P4420" s="21" t="n">
        <v>0</v>
      </c>
      <c r="Q4420" s="21" t="n">
        <v>0</v>
      </c>
      <c r="R4420" s="21" t="n">
        <v>0</v>
      </c>
      <c r="S4420" s="21" t="n">
        <v>0</v>
      </c>
      <c r="T4420" s="21" t="n">
        <v>0</v>
      </c>
      <c r="U4420" s="21" t="n">
        <v>0</v>
      </c>
      <c r="V4420" s="21" t="n">
        <v>0</v>
      </c>
      <c r="W4420" s="21" t="n">
        <v>0</v>
      </c>
      <c r="X4420" s="21" t="n">
        <v>0</v>
      </c>
      <c r="Y4420" s="21" t="n">
        <v>0</v>
      </c>
      <c r="Z4420" s="19" t="n"/>
    </row>
    <row r="4421">
      <c r="D4421" s="21">
        <f>-$B$3624</f>
        <v/>
      </c>
      <c r="E4421" s="21">
        <f>-$B$3625</f>
        <v/>
      </c>
      <c r="F4421" s="21">
        <f>2*$B$3624+$D$4408</f>
        <v/>
      </c>
      <c r="G4421" s="21">
        <f>0</f>
        <v/>
      </c>
      <c r="H4421" s="21">
        <f>-$B$3624</f>
        <v/>
      </c>
      <c r="I4421" s="21">
        <f>$B$3625</f>
        <v/>
      </c>
      <c r="J4421" s="21" t="n">
        <v>0</v>
      </c>
      <c r="K4421" s="21" t="n">
        <v>0</v>
      </c>
      <c r="L4421" s="21" t="n">
        <v>0</v>
      </c>
      <c r="M4421" s="21" t="n">
        <v>0</v>
      </c>
      <c r="N4421" s="21" t="n">
        <v>0</v>
      </c>
      <c r="O4421" s="21" t="n">
        <v>0</v>
      </c>
      <c r="P4421" s="21" t="n">
        <v>0</v>
      </c>
      <c r="Q4421" s="21" t="n">
        <v>0</v>
      </c>
      <c r="R4421" s="21" t="n">
        <v>0</v>
      </c>
      <c r="S4421" s="21" t="n">
        <v>0</v>
      </c>
      <c r="T4421" s="21" t="n">
        <v>0</v>
      </c>
      <c r="U4421" s="21" t="n">
        <v>0</v>
      </c>
      <c r="V4421" s="21" t="n">
        <v>0</v>
      </c>
      <c r="W4421" s="21" t="n">
        <v>0</v>
      </c>
      <c r="X4421" s="21" t="n">
        <v>0</v>
      </c>
      <c r="Y4421" s="21" t="n">
        <v>0</v>
      </c>
      <c r="Z4421" s="19" t="n"/>
    </row>
    <row r="4422">
      <c r="D4422" s="21">
        <f>$B$3625</f>
        <v/>
      </c>
      <c r="E4422" s="21">
        <f>$B$3627</f>
        <v/>
      </c>
      <c r="F4422" s="21">
        <f>0</f>
        <v/>
      </c>
      <c r="G4422" s="21">
        <f>2*$B$3626</f>
        <v/>
      </c>
      <c r="H4422" s="21">
        <f>-$B$3625</f>
        <v/>
      </c>
      <c r="I4422" s="21">
        <f>$B$3627</f>
        <v/>
      </c>
      <c r="J4422" s="21" t="n">
        <v>0</v>
      </c>
      <c r="K4422" s="21" t="n">
        <v>0</v>
      </c>
      <c r="L4422" s="21" t="n">
        <v>0</v>
      </c>
      <c r="M4422" s="21" t="n">
        <v>0</v>
      </c>
      <c r="N4422" s="21" t="n">
        <v>0</v>
      </c>
      <c r="O4422" s="21" t="n">
        <v>0</v>
      </c>
      <c r="P4422" s="21" t="n">
        <v>0</v>
      </c>
      <c r="Q4422" s="21" t="n">
        <v>0</v>
      </c>
      <c r="R4422" s="21" t="n">
        <v>0</v>
      </c>
      <c r="S4422" s="21" t="n">
        <v>0</v>
      </c>
      <c r="T4422" s="21" t="n">
        <v>0</v>
      </c>
      <c r="U4422" s="21" t="n">
        <v>0</v>
      </c>
      <c r="V4422" s="21" t="n">
        <v>0</v>
      </c>
      <c r="W4422" s="21" t="n">
        <v>0</v>
      </c>
      <c r="X4422" s="21" t="n">
        <v>0</v>
      </c>
      <c r="Y4422" s="21" t="n">
        <v>0</v>
      </c>
      <c r="Z4422" s="19" t="n"/>
    </row>
    <row r="4423">
      <c r="D4423" s="21" t="n">
        <v>0</v>
      </c>
      <c r="E4423" s="21" t="n">
        <v>0</v>
      </c>
      <c r="F4423" s="21">
        <f>-$B$3624</f>
        <v/>
      </c>
      <c r="G4423" s="21">
        <f>-$B$3625</f>
        <v/>
      </c>
      <c r="H4423" s="21">
        <f>2*$B$3624+$D$4409</f>
        <v/>
      </c>
      <c r="I4423" s="21">
        <f>0</f>
        <v/>
      </c>
      <c r="J4423" s="21">
        <f>-$B$3624</f>
        <v/>
      </c>
      <c r="K4423" s="21">
        <f>$B$3625</f>
        <v/>
      </c>
      <c r="L4423" s="21" t="n">
        <v>0</v>
      </c>
      <c r="M4423" s="21" t="n">
        <v>0</v>
      </c>
      <c r="N4423" s="21" t="n">
        <v>0</v>
      </c>
      <c r="O4423" s="21" t="n">
        <v>0</v>
      </c>
      <c r="P4423" s="21" t="n">
        <v>0</v>
      </c>
      <c r="Q4423" s="21" t="n">
        <v>0</v>
      </c>
      <c r="R4423" s="21" t="n">
        <v>0</v>
      </c>
      <c r="S4423" s="21" t="n">
        <v>0</v>
      </c>
      <c r="T4423" s="21" t="n">
        <v>0</v>
      </c>
      <c r="U4423" s="21" t="n">
        <v>0</v>
      </c>
      <c r="V4423" s="21" t="n">
        <v>0</v>
      </c>
      <c r="W4423" s="21" t="n">
        <v>0</v>
      </c>
      <c r="X4423" s="21" t="n">
        <v>0</v>
      </c>
      <c r="Y4423" s="21" t="n">
        <v>0</v>
      </c>
      <c r="Z4423" s="19" t="n"/>
    </row>
    <row r="4424">
      <c r="D4424" s="21" t="n">
        <v>0</v>
      </c>
      <c r="E4424" s="21" t="n">
        <v>0</v>
      </c>
      <c r="F4424" s="21">
        <f>$B$3625</f>
        <v/>
      </c>
      <c r="G4424" s="21">
        <f>$B$3627</f>
        <v/>
      </c>
      <c r="H4424" s="21">
        <f>0</f>
        <v/>
      </c>
      <c r="I4424" s="21">
        <f>2*$B$3626</f>
        <v/>
      </c>
      <c r="J4424" s="21">
        <f>-$B$3625</f>
        <v/>
      </c>
      <c r="K4424" s="21">
        <f>$B$3627</f>
        <v/>
      </c>
      <c r="L4424" s="21" t="n">
        <v>0</v>
      </c>
      <c r="M4424" s="21" t="n">
        <v>0</v>
      </c>
      <c r="N4424" s="21" t="n">
        <v>0</v>
      </c>
      <c r="O4424" s="21" t="n">
        <v>0</v>
      </c>
      <c r="P4424" s="21" t="n">
        <v>0</v>
      </c>
      <c r="Q4424" s="21" t="n">
        <v>0</v>
      </c>
      <c r="R4424" s="21" t="n">
        <v>0</v>
      </c>
      <c r="S4424" s="21" t="n">
        <v>0</v>
      </c>
      <c r="T4424" s="21" t="n">
        <v>0</v>
      </c>
      <c r="U4424" s="21" t="n">
        <v>0</v>
      </c>
      <c r="V4424" s="21" t="n">
        <v>0</v>
      </c>
      <c r="W4424" s="21" t="n">
        <v>0</v>
      </c>
      <c r="X4424" s="21" t="n">
        <v>0</v>
      </c>
      <c r="Y4424" s="21" t="n">
        <v>0</v>
      </c>
      <c r="Z4424" s="19" t="n"/>
    </row>
    <row r="4425">
      <c r="D4425" s="21" t="n">
        <v>0</v>
      </c>
      <c r="E4425" s="21" t="n">
        <v>0</v>
      </c>
      <c r="F4425" s="21" t="n">
        <v>0</v>
      </c>
      <c r="G4425" s="21" t="n">
        <v>0</v>
      </c>
      <c r="H4425" s="21">
        <f>-$B$3624</f>
        <v/>
      </c>
      <c r="I4425" s="21">
        <f>-$B$3625</f>
        <v/>
      </c>
      <c r="J4425" s="21">
        <f>2*$B$3624+$D$4410</f>
        <v/>
      </c>
      <c r="K4425" s="21">
        <f>0</f>
        <v/>
      </c>
      <c r="L4425" s="21">
        <f>-$B$3624</f>
        <v/>
      </c>
      <c r="M4425" s="21">
        <f>$B$3625</f>
        <v/>
      </c>
      <c r="N4425" s="21" t="n">
        <v>0</v>
      </c>
      <c r="O4425" s="21" t="n">
        <v>0</v>
      </c>
      <c r="P4425" s="21" t="n">
        <v>0</v>
      </c>
      <c r="Q4425" s="21" t="n">
        <v>0</v>
      </c>
      <c r="R4425" s="21" t="n">
        <v>0</v>
      </c>
      <c r="S4425" s="21" t="n">
        <v>0</v>
      </c>
      <c r="T4425" s="21" t="n">
        <v>0</v>
      </c>
      <c r="U4425" s="21" t="n">
        <v>0</v>
      </c>
      <c r="V4425" s="21" t="n">
        <v>0</v>
      </c>
      <c r="W4425" s="21" t="n">
        <v>0</v>
      </c>
      <c r="X4425" s="21" t="n">
        <v>0</v>
      </c>
      <c r="Y4425" s="21" t="n">
        <v>0</v>
      </c>
      <c r="Z4425" s="19" t="n"/>
    </row>
    <row r="4426">
      <c r="D4426" s="21" t="n">
        <v>0</v>
      </c>
      <c r="E4426" s="21" t="n">
        <v>0</v>
      </c>
      <c r="F4426" s="21" t="n">
        <v>0</v>
      </c>
      <c r="G4426" s="21" t="n">
        <v>0</v>
      </c>
      <c r="H4426" s="21">
        <f>$B$3625</f>
        <v/>
      </c>
      <c r="I4426" s="21">
        <f>$B$3627</f>
        <v/>
      </c>
      <c r="J4426" s="21">
        <f>0</f>
        <v/>
      </c>
      <c r="K4426" s="21">
        <f>2*$B$3626</f>
        <v/>
      </c>
      <c r="L4426" s="21">
        <f>-$B$3625</f>
        <v/>
      </c>
      <c r="M4426" s="21">
        <f>$B$3627</f>
        <v/>
      </c>
      <c r="N4426" s="21" t="n">
        <v>0</v>
      </c>
      <c r="O4426" s="21" t="n">
        <v>0</v>
      </c>
      <c r="P4426" s="21" t="n">
        <v>0</v>
      </c>
      <c r="Q4426" s="21" t="n">
        <v>0</v>
      </c>
      <c r="R4426" s="21" t="n">
        <v>0</v>
      </c>
      <c r="S4426" s="21" t="n">
        <v>0</v>
      </c>
      <c r="T4426" s="21" t="n">
        <v>0</v>
      </c>
      <c r="U4426" s="21" t="n">
        <v>0</v>
      </c>
      <c r="V4426" s="21" t="n">
        <v>0</v>
      </c>
      <c r="W4426" s="21" t="n">
        <v>0</v>
      </c>
      <c r="X4426" s="21" t="n">
        <v>0</v>
      </c>
      <c r="Y4426" s="21" t="n">
        <v>0</v>
      </c>
      <c r="Z4426" s="19" t="n"/>
    </row>
    <row r="4427">
      <c r="D4427" s="21" t="n">
        <v>0</v>
      </c>
      <c r="E4427" s="21" t="n">
        <v>0</v>
      </c>
      <c r="F4427" s="21" t="n">
        <v>0</v>
      </c>
      <c r="G4427" s="21" t="n">
        <v>0</v>
      </c>
      <c r="H4427" s="21" t="n">
        <v>0</v>
      </c>
      <c r="I4427" s="21" t="n">
        <v>0</v>
      </c>
      <c r="J4427" s="21">
        <f>-$B$3624</f>
        <v/>
      </c>
      <c r="K4427" s="21">
        <f>-$B$3625</f>
        <v/>
      </c>
      <c r="L4427" s="21">
        <f>2*$B$3624+$D$4411</f>
        <v/>
      </c>
      <c r="M4427" s="21">
        <f>0</f>
        <v/>
      </c>
      <c r="N4427" s="21">
        <f>-$B$3624</f>
        <v/>
      </c>
      <c r="O4427" s="21">
        <f>$B$3625</f>
        <v/>
      </c>
      <c r="P4427" s="21" t="n">
        <v>0</v>
      </c>
      <c r="Q4427" s="21" t="n">
        <v>0</v>
      </c>
      <c r="R4427" s="21" t="n">
        <v>0</v>
      </c>
      <c r="S4427" s="21" t="n">
        <v>0</v>
      </c>
      <c r="T4427" s="21" t="n">
        <v>0</v>
      </c>
      <c r="U4427" s="21" t="n">
        <v>0</v>
      </c>
      <c r="V4427" s="21" t="n">
        <v>0</v>
      </c>
      <c r="W4427" s="21" t="n">
        <v>0</v>
      </c>
      <c r="X4427" s="21" t="n">
        <v>0</v>
      </c>
      <c r="Y4427" s="21" t="n">
        <v>0</v>
      </c>
      <c r="Z4427" s="19" t="n"/>
    </row>
    <row r="4428">
      <c r="D4428" s="21" t="n">
        <v>0</v>
      </c>
      <c r="E4428" s="21" t="n">
        <v>0</v>
      </c>
      <c r="F4428" s="21" t="n">
        <v>0</v>
      </c>
      <c r="G4428" s="21" t="n">
        <v>0</v>
      </c>
      <c r="H4428" s="21" t="n">
        <v>0</v>
      </c>
      <c r="I4428" s="21" t="n">
        <v>0</v>
      </c>
      <c r="J4428" s="21">
        <f>$B$3625</f>
        <v/>
      </c>
      <c r="K4428" s="21">
        <f>$B$3627</f>
        <v/>
      </c>
      <c r="L4428" s="21">
        <f>0</f>
        <v/>
      </c>
      <c r="M4428" s="21">
        <f>2*$B$3626</f>
        <v/>
      </c>
      <c r="N4428" s="21">
        <f>-$B$3625</f>
        <v/>
      </c>
      <c r="O4428" s="21">
        <f>$B$3627</f>
        <v/>
      </c>
      <c r="P4428" s="21" t="n">
        <v>0</v>
      </c>
      <c r="Q4428" s="21" t="n">
        <v>0</v>
      </c>
      <c r="R4428" s="21" t="n">
        <v>0</v>
      </c>
      <c r="S4428" s="21" t="n">
        <v>0</v>
      </c>
      <c r="T4428" s="21" t="n">
        <v>0</v>
      </c>
      <c r="U4428" s="21" t="n">
        <v>0</v>
      </c>
      <c r="V4428" s="21" t="n">
        <v>0</v>
      </c>
      <c r="W4428" s="21" t="n">
        <v>0</v>
      </c>
      <c r="X4428" s="21" t="n">
        <v>0</v>
      </c>
      <c r="Y4428" s="21" t="n">
        <v>0</v>
      </c>
      <c r="Z4428" s="19" t="n"/>
    </row>
    <row r="4429">
      <c r="D4429" s="21" t="n">
        <v>0</v>
      </c>
      <c r="E4429" s="21" t="n">
        <v>0</v>
      </c>
      <c r="F4429" s="21" t="n">
        <v>0</v>
      </c>
      <c r="G4429" s="21" t="n">
        <v>0</v>
      </c>
      <c r="H4429" s="21" t="n">
        <v>0</v>
      </c>
      <c r="I4429" s="21" t="n">
        <v>0</v>
      </c>
      <c r="J4429" s="21" t="n">
        <v>0</v>
      </c>
      <c r="K4429" s="21" t="n">
        <v>0</v>
      </c>
      <c r="L4429" s="21">
        <f>-$B$3624</f>
        <v/>
      </c>
      <c r="M4429" s="21">
        <f>-$B$3625</f>
        <v/>
      </c>
      <c r="N4429" s="21">
        <f>2*$B$3624+$D$4412</f>
        <v/>
      </c>
      <c r="O4429" s="21">
        <f>0</f>
        <v/>
      </c>
      <c r="P4429" s="21">
        <f>-$B$3624</f>
        <v/>
      </c>
      <c r="Q4429" s="21">
        <f>$B$3625</f>
        <v/>
      </c>
      <c r="R4429" s="21" t="n">
        <v>0</v>
      </c>
      <c r="S4429" s="21" t="n">
        <v>0</v>
      </c>
      <c r="T4429" s="21" t="n">
        <v>0</v>
      </c>
      <c r="U4429" s="21" t="n">
        <v>0</v>
      </c>
      <c r="V4429" s="21" t="n">
        <v>0</v>
      </c>
      <c r="W4429" s="21" t="n">
        <v>0</v>
      </c>
      <c r="X4429" s="21" t="n">
        <v>0</v>
      </c>
      <c r="Y4429" s="21" t="n">
        <v>0</v>
      </c>
      <c r="Z4429" s="19" t="n"/>
    </row>
    <row r="4430">
      <c r="D4430" s="21" t="n">
        <v>0</v>
      </c>
      <c r="E4430" s="21" t="n">
        <v>0</v>
      </c>
      <c r="F4430" s="21" t="n">
        <v>0</v>
      </c>
      <c r="G4430" s="21" t="n">
        <v>0</v>
      </c>
      <c r="H4430" s="21" t="n">
        <v>0</v>
      </c>
      <c r="I4430" s="21" t="n">
        <v>0</v>
      </c>
      <c r="J4430" s="21" t="n">
        <v>0</v>
      </c>
      <c r="K4430" s="21" t="n">
        <v>0</v>
      </c>
      <c r="L4430" s="21">
        <f>$B$3625</f>
        <v/>
      </c>
      <c r="M4430" s="21">
        <f>$B$3627</f>
        <v/>
      </c>
      <c r="N4430" s="21">
        <f>0</f>
        <v/>
      </c>
      <c r="O4430" s="21">
        <f>2*$B$3626</f>
        <v/>
      </c>
      <c r="P4430" s="21">
        <f>-$B$3625</f>
        <v/>
      </c>
      <c r="Q4430" s="21">
        <f>$B$3627</f>
        <v/>
      </c>
      <c r="R4430" s="21" t="n">
        <v>0</v>
      </c>
      <c r="S4430" s="21" t="n">
        <v>0</v>
      </c>
      <c r="T4430" s="21" t="n">
        <v>0</v>
      </c>
      <c r="U4430" s="21" t="n">
        <v>0</v>
      </c>
      <c r="V4430" s="21" t="n">
        <v>0</v>
      </c>
      <c r="W4430" s="21" t="n">
        <v>0</v>
      </c>
      <c r="X4430" s="21" t="n">
        <v>0</v>
      </c>
      <c r="Y4430" s="21" t="n">
        <v>0</v>
      </c>
      <c r="Z4430" s="19" t="n"/>
    </row>
    <row r="4431">
      <c r="D4431" s="21" t="n">
        <v>0</v>
      </c>
      <c r="E4431" s="21" t="n">
        <v>0</v>
      </c>
      <c r="F4431" s="21" t="n">
        <v>0</v>
      </c>
      <c r="G4431" s="21" t="n">
        <v>0</v>
      </c>
      <c r="H4431" s="21" t="n">
        <v>0</v>
      </c>
      <c r="I4431" s="21" t="n">
        <v>0</v>
      </c>
      <c r="J4431" s="21" t="n">
        <v>0</v>
      </c>
      <c r="K4431" s="21" t="n">
        <v>0</v>
      </c>
      <c r="L4431" s="21" t="n">
        <v>0</v>
      </c>
      <c r="M4431" s="21" t="n">
        <v>0</v>
      </c>
      <c r="N4431" s="21">
        <f>-$B$3624</f>
        <v/>
      </c>
      <c r="O4431" s="21">
        <f>-$B$3625</f>
        <v/>
      </c>
      <c r="P4431" s="21">
        <f>2*$B$3624+$D$4413</f>
        <v/>
      </c>
      <c r="Q4431" s="21">
        <f>0</f>
        <v/>
      </c>
      <c r="R4431" s="21">
        <f>-$B$3624</f>
        <v/>
      </c>
      <c r="S4431" s="21">
        <f>$B$3625</f>
        <v/>
      </c>
      <c r="T4431" s="21" t="n">
        <v>0</v>
      </c>
      <c r="U4431" s="21" t="n">
        <v>0</v>
      </c>
      <c r="V4431" s="21" t="n">
        <v>0</v>
      </c>
      <c r="W4431" s="21" t="n">
        <v>0</v>
      </c>
      <c r="X4431" s="21" t="n">
        <v>0</v>
      </c>
      <c r="Y4431" s="21" t="n">
        <v>0</v>
      </c>
      <c r="Z4431" s="19" t="n"/>
    </row>
    <row r="4432">
      <c r="D4432" s="21" t="n">
        <v>0</v>
      </c>
      <c r="E4432" s="21" t="n">
        <v>0</v>
      </c>
      <c r="F4432" s="21" t="n">
        <v>0</v>
      </c>
      <c r="G4432" s="21" t="n">
        <v>0</v>
      </c>
      <c r="H4432" s="21" t="n">
        <v>0</v>
      </c>
      <c r="I4432" s="21" t="n">
        <v>0</v>
      </c>
      <c r="J4432" s="21" t="n">
        <v>0</v>
      </c>
      <c r="K4432" s="21" t="n">
        <v>0</v>
      </c>
      <c r="L4432" s="21" t="n">
        <v>0</v>
      </c>
      <c r="M4432" s="21" t="n">
        <v>0</v>
      </c>
      <c r="N4432" s="21">
        <f>$B$3625</f>
        <v/>
      </c>
      <c r="O4432" s="21">
        <f>$B$3627</f>
        <v/>
      </c>
      <c r="P4432" s="21">
        <f>0</f>
        <v/>
      </c>
      <c r="Q4432" s="21">
        <f>2*$B$3626</f>
        <v/>
      </c>
      <c r="R4432" s="21">
        <f>-$B$3625</f>
        <v/>
      </c>
      <c r="S4432" s="21">
        <f>$B$3627</f>
        <v/>
      </c>
      <c r="T4432" s="21" t="n">
        <v>0</v>
      </c>
      <c r="U4432" s="21" t="n">
        <v>0</v>
      </c>
      <c r="V4432" s="21" t="n">
        <v>0</v>
      </c>
      <c r="W4432" s="21" t="n">
        <v>0</v>
      </c>
      <c r="X4432" s="21" t="n">
        <v>0</v>
      </c>
      <c r="Y4432" s="21" t="n">
        <v>0</v>
      </c>
      <c r="Z4432" s="19" t="n"/>
    </row>
    <row r="4433">
      <c r="D4433" s="21" t="n">
        <v>0</v>
      </c>
      <c r="E4433" s="21" t="n">
        <v>0</v>
      </c>
      <c r="F4433" s="21" t="n">
        <v>0</v>
      </c>
      <c r="G4433" s="21" t="n">
        <v>0</v>
      </c>
      <c r="H4433" s="21" t="n">
        <v>0</v>
      </c>
      <c r="I4433" s="21" t="n">
        <v>0</v>
      </c>
      <c r="J4433" s="21" t="n">
        <v>0</v>
      </c>
      <c r="K4433" s="21" t="n">
        <v>0</v>
      </c>
      <c r="L4433" s="21" t="n">
        <v>0</v>
      </c>
      <c r="M4433" s="21" t="n">
        <v>0</v>
      </c>
      <c r="N4433" s="21" t="n">
        <v>0</v>
      </c>
      <c r="O4433" s="21" t="n">
        <v>0</v>
      </c>
      <c r="P4433" s="21">
        <f>-$B$3624</f>
        <v/>
      </c>
      <c r="Q4433" s="21">
        <f>-$B$3625</f>
        <v/>
      </c>
      <c r="R4433" s="21">
        <f>2*$B$3624+$D$4414</f>
        <v/>
      </c>
      <c r="S4433" s="21">
        <f>0</f>
        <v/>
      </c>
      <c r="T4433" s="21">
        <f>-$B$3624</f>
        <v/>
      </c>
      <c r="U4433" s="21">
        <f>$B$3625</f>
        <v/>
      </c>
      <c r="V4433" s="21" t="n">
        <v>0</v>
      </c>
      <c r="W4433" s="21" t="n">
        <v>0</v>
      </c>
      <c r="X4433" s="21" t="n">
        <v>0</v>
      </c>
      <c r="Y4433" s="21" t="n">
        <v>0</v>
      </c>
      <c r="Z4433" s="19" t="n"/>
    </row>
    <row r="4434">
      <c r="D4434" s="21" t="n">
        <v>0</v>
      </c>
      <c r="E4434" s="21" t="n">
        <v>0</v>
      </c>
      <c r="F4434" s="21" t="n">
        <v>0</v>
      </c>
      <c r="G4434" s="21" t="n">
        <v>0</v>
      </c>
      <c r="H4434" s="21" t="n">
        <v>0</v>
      </c>
      <c r="I4434" s="21" t="n">
        <v>0</v>
      </c>
      <c r="J4434" s="21" t="n">
        <v>0</v>
      </c>
      <c r="K4434" s="21" t="n">
        <v>0</v>
      </c>
      <c r="L4434" s="21" t="n">
        <v>0</v>
      </c>
      <c r="M4434" s="21" t="n">
        <v>0</v>
      </c>
      <c r="N4434" s="21" t="n">
        <v>0</v>
      </c>
      <c r="O4434" s="21" t="n">
        <v>0</v>
      </c>
      <c r="P4434" s="21">
        <f>$B$3625</f>
        <v/>
      </c>
      <c r="Q4434" s="21">
        <f>$B$3627</f>
        <v/>
      </c>
      <c r="R4434" s="21">
        <f>0</f>
        <v/>
      </c>
      <c r="S4434" s="21">
        <f>2*$B$3626</f>
        <v/>
      </c>
      <c r="T4434" s="21">
        <f>-$B$3625</f>
        <v/>
      </c>
      <c r="U4434" s="21">
        <f>$B$3627</f>
        <v/>
      </c>
      <c r="V4434" s="21" t="n">
        <v>0</v>
      </c>
      <c r="W4434" s="21" t="n">
        <v>0</v>
      </c>
      <c r="X4434" s="21" t="n">
        <v>0</v>
      </c>
      <c r="Y4434" s="21" t="n">
        <v>0</v>
      </c>
      <c r="Z4434" s="19" t="n"/>
    </row>
    <row r="4435">
      <c r="D4435" s="21" t="n">
        <v>0</v>
      </c>
      <c r="E4435" s="21" t="n">
        <v>0</v>
      </c>
      <c r="F4435" s="21" t="n">
        <v>0</v>
      </c>
      <c r="G4435" s="21" t="n">
        <v>0</v>
      </c>
      <c r="H4435" s="21" t="n">
        <v>0</v>
      </c>
      <c r="I4435" s="21" t="n">
        <v>0</v>
      </c>
      <c r="J4435" s="21" t="n">
        <v>0</v>
      </c>
      <c r="K4435" s="21" t="n">
        <v>0</v>
      </c>
      <c r="L4435" s="21" t="n">
        <v>0</v>
      </c>
      <c r="M4435" s="21" t="n">
        <v>0</v>
      </c>
      <c r="N4435" s="21" t="n">
        <v>0</v>
      </c>
      <c r="O4435" s="21" t="n">
        <v>0</v>
      </c>
      <c r="P4435" s="21" t="n">
        <v>0</v>
      </c>
      <c r="Q4435" s="21" t="n">
        <v>0</v>
      </c>
      <c r="R4435" s="21">
        <f>-$B$3624</f>
        <v/>
      </c>
      <c r="S4435" s="21">
        <f>-$B$3625</f>
        <v/>
      </c>
      <c r="T4435" s="21">
        <f>2*$B$3624+$D$4415</f>
        <v/>
      </c>
      <c r="U4435" s="21">
        <f>0</f>
        <v/>
      </c>
      <c r="V4435" s="21">
        <f>-$B$3624</f>
        <v/>
      </c>
      <c r="W4435" s="21">
        <f>$B$3625</f>
        <v/>
      </c>
      <c r="X4435" s="21" t="n">
        <v>0</v>
      </c>
      <c r="Y4435" s="21" t="n">
        <v>0</v>
      </c>
      <c r="Z4435" s="19" t="n"/>
    </row>
    <row r="4436">
      <c r="D4436" s="21" t="n">
        <v>0</v>
      </c>
      <c r="E4436" s="21" t="n">
        <v>0</v>
      </c>
      <c r="F4436" s="21" t="n">
        <v>0</v>
      </c>
      <c r="G4436" s="21" t="n">
        <v>0</v>
      </c>
      <c r="H4436" s="21" t="n">
        <v>0</v>
      </c>
      <c r="I4436" s="21" t="n">
        <v>0</v>
      </c>
      <c r="J4436" s="21" t="n">
        <v>0</v>
      </c>
      <c r="K4436" s="21" t="n">
        <v>0</v>
      </c>
      <c r="L4436" s="21" t="n">
        <v>0</v>
      </c>
      <c r="M4436" s="21" t="n">
        <v>0</v>
      </c>
      <c r="N4436" s="21" t="n">
        <v>0</v>
      </c>
      <c r="O4436" s="21" t="n">
        <v>0</v>
      </c>
      <c r="P4436" s="21" t="n">
        <v>0</v>
      </c>
      <c r="Q4436" s="21" t="n">
        <v>0</v>
      </c>
      <c r="R4436" s="21">
        <f>$B$3625</f>
        <v/>
      </c>
      <c r="S4436" s="21">
        <f>$B$3627</f>
        <v/>
      </c>
      <c r="T4436" s="21">
        <f>0</f>
        <v/>
      </c>
      <c r="U4436" s="21">
        <f>2*$B$3626</f>
        <v/>
      </c>
      <c r="V4436" s="21">
        <f>-$B$3625</f>
        <v/>
      </c>
      <c r="W4436" s="21">
        <f>$B$3627</f>
        <v/>
      </c>
      <c r="X4436" s="21" t="n">
        <v>0</v>
      </c>
      <c r="Y4436" s="21" t="n">
        <v>0</v>
      </c>
      <c r="Z4436" s="19" t="n"/>
    </row>
    <row r="4437">
      <c r="D4437" s="21" t="n">
        <v>0</v>
      </c>
      <c r="E4437" s="21" t="n">
        <v>0</v>
      </c>
      <c r="F4437" s="21" t="n">
        <v>0</v>
      </c>
      <c r="G4437" s="21" t="n">
        <v>0</v>
      </c>
      <c r="H4437" s="21" t="n">
        <v>0</v>
      </c>
      <c r="I4437" s="21" t="n">
        <v>0</v>
      </c>
      <c r="J4437" s="21" t="n">
        <v>0</v>
      </c>
      <c r="K4437" s="21" t="n">
        <v>0</v>
      </c>
      <c r="L4437" s="21" t="n">
        <v>0</v>
      </c>
      <c r="M4437" s="21" t="n">
        <v>0</v>
      </c>
      <c r="N4437" s="21" t="n">
        <v>0</v>
      </c>
      <c r="O4437" s="21" t="n">
        <v>0</v>
      </c>
      <c r="P4437" s="21" t="n">
        <v>0</v>
      </c>
      <c r="Q4437" s="21" t="n">
        <v>0</v>
      </c>
      <c r="R4437" s="21" t="n">
        <v>0</v>
      </c>
      <c r="S4437" s="21" t="n">
        <v>0</v>
      </c>
      <c r="T4437" s="21">
        <f>-$B$3624</f>
        <v/>
      </c>
      <c r="U4437" s="21">
        <f>-$B$3625</f>
        <v/>
      </c>
      <c r="V4437" s="21">
        <f>2*$B$3624+$D$4416</f>
        <v/>
      </c>
      <c r="W4437" s="21">
        <f>0</f>
        <v/>
      </c>
      <c r="X4437" s="21">
        <f>-$B$3624</f>
        <v/>
      </c>
      <c r="Y4437" s="21">
        <f>$B$3625</f>
        <v/>
      </c>
      <c r="Z4437" s="19" t="n"/>
    </row>
    <row r="4438">
      <c r="D4438" s="21" t="n">
        <v>0</v>
      </c>
      <c r="E4438" s="21" t="n">
        <v>0</v>
      </c>
      <c r="F4438" s="21" t="n">
        <v>0</v>
      </c>
      <c r="G4438" s="21" t="n">
        <v>0</v>
      </c>
      <c r="H4438" s="21" t="n">
        <v>0</v>
      </c>
      <c r="I4438" s="21" t="n">
        <v>0</v>
      </c>
      <c r="J4438" s="21" t="n">
        <v>0</v>
      </c>
      <c r="K4438" s="21" t="n">
        <v>0</v>
      </c>
      <c r="L4438" s="21" t="n">
        <v>0</v>
      </c>
      <c r="M4438" s="21" t="n">
        <v>0</v>
      </c>
      <c r="N4438" s="21" t="n">
        <v>0</v>
      </c>
      <c r="O4438" s="21" t="n">
        <v>0</v>
      </c>
      <c r="P4438" s="21" t="n">
        <v>0</v>
      </c>
      <c r="Q4438" s="21" t="n">
        <v>0</v>
      </c>
      <c r="R4438" s="21" t="n">
        <v>0</v>
      </c>
      <c r="S4438" s="21" t="n">
        <v>0</v>
      </c>
      <c r="T4438" s="21">
        <f>$B$3625</f>
        <v/>
      </c>
      <c r="U4438" s="21">
        <f>$B$3627</f>
        <v/>
      </c>
      <c r="V4438" s="21">
        <f>0</f>
        <v/>
      </c>
      <c r="W4438" s="21">
        <f>2*$B$3626</f>
        <v/>
      </c>
      <c r="X4438" s="21">
        <f>-$B$3625</f>
        <v/>
      </c>
      <c r="Y4438" s="21">
        <f>$B$3627</f>
        <v/>
      </c>
      <c r="Z4438" s="19" t="n"/>
    </row>
    <row r="4439">
      <c r="D4439" s="21" t="n">
        <v>0</v>
      </c>
      <c r="E4439" s="21" t="n">
        <v>0</v>
      </c>
      <c r="F4439" s="21" t="n">
        <v>0</v>
      </c>
      <c r="G4439" s="21" t="n">
        <v>0</v>
      </c>
      <c r="H4439" s="21" t="n">
        <v>0</v>
      </c>
      <c r="I4439" s="21" t="n">
        <v>0</v>
      </c>
      <c r="J4439" s="21" t="n">
        <v>0</v>
      </c>
      <c r="K4439" s="21" t="n">
        <v>0</v>
      </c>
      <c r="L4439" s="21" t="n">
        <v>0</v>
      </c>
      <c r="M4439" s="21" t="n">
        <v>0</v>
      </c>
      <c r="N4439" s="21" t="n">
        <v>0</v>
      </c>
      <c r="O4439" s="21" t="n">
        <v>0</v>
      </c>
      <c r="P4439" s="21" t="n">
        <v>0</v>
      </c>
      <c r="Q4439" s="21" t="n">
        <v>0</v>
      </c>
      <c r="R4439" s="21" t="n">
        <v>0</v>
      </c>
      <c r="S4439" s="21" t="n">
        <v>0</v>
      </c>
      <c r="T4439" s="21" t="n">
        <v>0</v>
      </c>
      <c r="U4439" s="21" t="n">
        <v>0</v>
      </c>
      <c r="V4439" s="21">
        <f>-$B$3624</f>
        <v/>
      </c>
      <c r="W4439" s="21">
        <f>-$B$3625</f>
        <v/>
      </c>
      <c r="X4439" s="21">
        <f>$B$3624+$D$4417</f>
        <v/>
      </c>
      <c r="Y4439" s="21">
        <f>-$B$3625</f>
        <v/>
      </c>
      <c r="Z4439" s="19" t="n"/>
    </row>
    <row r="4440">
      <c r="D4440" s="21" t="n">
        <v>0</v>
      </c>
      <c r="E4440" s="21" t="n">
        <v>0</v>
      </c>
      <c r="F4440" s="21" t="n">
        <v>0</v>
      </c>
      <c r="G4440" s="21" t="n">
        <v>0</v>
      </c>
      <c r="H4440" s="21" t="n">
        <v>0</v>
      </c>
      <c r="I4440" s="21" t="n">
        <v>0</v>
      </c>
      <c r="J4440" s="21" t="n">
        <v>0</v>
      </c>
      <c r="K4440" s="21" t="n">
        <v>0</v>
      </c>
      <c r="L4440" s="21" t="n">
        <v>0</v>
      </c>
      <c r="M4440" s="21" t="n">
        <v>0</v>
      </c>
      <c r="N4440" s="21" t="n">
        <v>0</v>
      </c>
      <c r="O4440" s="21" t="n">
        <v>0</v>
      </c>
      <c r="P4440" s="21" t="n">
        <v>0</v>
      </c>
      <c r="Q4440" s="21" t="n">
        <v>0</v>
      </c>
      <c r="R4440" s="21" t="n">
        <v>0</v>
      </c>
      <c r="S4440" s="21" t="n">
        <v>0</v>
      </c>
      <c r="T4440" s="21" t="n">
        <v>0</v>
      </c>
      <c r="U4440" s="21" t="n">
        <v>0</v>
      </c>
      <c r="V4440" s="21">
        <f>$B$3625</f>
        <v/>
      </c>
      <c r="W4440" s="21">
        <f>$B$3627</f>
        <v/>
      </c>
      <c r="X4440" s="21">
        <f>-$B$3625</f>
        <v/>
      </c>
      <c r="Y4440" s="21">
        <f>$B$3626</f>
        <v/>
      </c>
      <c r="Z4440" s="19" t="n"/>
    </row>
    <row r="4442">
      <c r="A4442" s="8" t="inlineStr">
        <is>
          <t>gen 22</t>
        </is>
      </c>
    </row>
    <row r="4443">
      <c r="D4443" s="19">
        <f>IF(ABS(IF(ABS($E$4407)&gt;0.000000001,$E$4407,0.000000001))=0,0,IF($E$3639&lt;=$B$3633,0,IF(ABS(IF(ABS($E$4407)&gt;0.000000001,$E$4407,0.000000001))&gt;=8*$B$3635,$H$3639,0.5*$H$3639*(ABS(IF(ABS($E$4407)&gt;0.000000001,$E$4407,0.000000001))/$B$3635)^(1/3)))/ABS(IF(ABS($E$4407)&gt;0.000000001,$E$4407,0.000000001))*$I$3639)</f>
        <v/>
      </c>
      <c r="E4443" s="19">
        <f>0.5*$E$4407+0.5*$Z$4455</f>
        <v/>
      </c>
      <c r="F4443" s="19">
        <f>$Z$4456</f>
        <v/>
      </c>
    </row>
    <row r="4444">
      <c r="D4444" s="19">
        <f>IF(ABS(IF(ABS($E$4408)&gt;0.000000001,$E$4408,0.000000001))=0,0,IF($E$3640&lt;=$B$3633,0,IF(ABS(IF(ABS($E$4408)&gt;0.000000001,$E$4408,0.000000001))&gt;=8*$B$3635,$H$3640,0.5*$H$3640*(ABS(IF(ABS($E$4408)&gt;0.000000001,$E$4408,0.000000001))/$B$3635)^(1/3)))/ABS(IF(ABS($E$4408)&gt;0.000000001,$E$4408,0.000000001))*$I$3640)</f>
        <v/>
      </c>
      <c r="E4444" s="19">
        <f>0.5*$E$4408+0.5*$Z$4457</f>
        <v/>
      </c>
      <c r="F4444" s="19">
        <f>$Z$4458</f>
        <v/>
      </c>
    </row>
    <row r="4445">
      <c r="D4445" s="19">
        <f>IF(ABS(IF(ABS($E$4409)&gt;0.000000001,$E$4409,0.000000001))=0,0,IF($E$3641&lt;=$B$3633,0,IF(ABS(IF(ABS($E$4409)&gt;0.000000001,$E$4409,0.000000001))&gt;=8*$B$3635,$H$3641,0.5*$H$3641*(ABS(IF(ABS($E$4409)&gt;0.000000001,$E$4409,0.000000001))/$B$3635)^(1/3)))/ABS(IF(ABS($E$4409)&gt;0.000000001,$E$4409,0.000000001))*$I$3641)</f>
        <v/>
      </c>
      <c r="E4445" s="19">
        <f>0.5*$E$4409+0.5*$Z$4459</f>
        <v/>
      </c>
      <c r="F4445" s="19">
        <f>$Z$4460</f>
        <v/>
      </c>
    </row>
    <row r="4446">
      <c r="D4446" s="19">
        <f>IF(ABS(IF(ABS($E$4410)&gt;0.000000001,$E$4410,0.000000001))=0,0,IF($E$3642&lt;=$B$3633,0,IF(ABS(IF(ABS($E$4410)&gt;0.000000001,$E$4410,0.000000001))&gt;=8*$B$3635,$H$3642,0.5*$H$3642*(ABS(IF(ABS($E$4410)&gt;0.000000001,$E$4410,0.000000001))/$B$3635)^(1/3)))/ABS(IF(ABS($E$4410)&gt;0.000000001,$E$4410,0.000000001))*$I$3642)</f>
        <v/>
      </c>
      <c r="E4446" s="19">
        <f>0.5*$E$4410+0.5*$Z$4461</f>
        <v/>
      </c>
      <c r="F4446" s="19">
        <f>$Z$4462</f>
        <v/>
      </c>
    </row>
    <row r="4447">
      <c r="D4447" s="19">
        <f>IF(ABS(IF(ABS($E$4411)&gt;0.000000001,$E$4411,0.000000001))=0,0,IF($E$3643&lt;=$B$3633,0,IF(ABS(IF(ABS($E$4411)&gt;0.000000001,$E$4411,0.000000001))&gt;=8*$B$3635,$H$3643,0.5*$H$3643*(ABS(IF(ABS($E$4411)&gt;0.000000001,$E$4411,0.000000001))/$B$3635)^(1/3)))/ABS(IF(ABS($E$4411)&gt;0.000000001,$E$4411,0.000000001))*$I$3643)</f>
        <v/>
      </c>
      <c r="E4447" s="19">
        <f>0.5*$E$4411+0.5*$Z$4463</f>
        <v/>
      </c>
      <c r="F4447" s="19">
        <f>$Z$4464</f>
        <v/>
      </c>
    </row>
    <row r="4448">
      <c r="D4448" s="19">
        <f>IF(ABS(IF(ABS($E$4412)&gt;0.000000001,$E$4412,0.000000001))=0,0,IF($E$3644&lt;=$B$3633,0,IF(ABS(IF(ABS($E$4412)&gt;0.000000001,$E$4412,0.000000001))&gt;=8*$B$3635,$H$3644,0.5*$H$3644*(ABS(IF(ABS($E$4412)&gt;0.000000001,$E$4412,0.000000001))/$B$3635)^(1/3)))/ABS(IF(ABS($E$4412)&gt;0.000000001,$E$4412,0.000000001))*$I$3644)</f>
        <v/>
      </c>
      <c r="E4448" s="19">
        <f>0.5*$E$4412+0.5*$Z$4465</f>
        <v/>
      </c>
      <c r="F4448" s="19">
        <f>$Z$4466</f>
        <v/>
      </c>
    </row>
    <row r="4449">
      <c r="D4449" s="19">
        <f>IF(ABS(IF(ABS($E$4413)&gt;0.000000001,$E$4413,0.000000001))=0,0,IF($E$3645&lt;=$B$3633,0,IF(ABS(IF(ABS($E$4413)&gt;0.000000001,$E$4413,0.000000001))&gt;=8*$B$3635,$H$3645,0.5*$H$3645*(ABS(IF(ABS($E$4413)&gt;0.000000001,$E$4413,0.000000001))/$B$3635)^(1/3)))/ABS(IF(ABS($E$4413)&gt;0.000000001,$E$4413,0.000000001))*$I$3645)</f>
        <v/>
      </c>
      <c r="E4449" s="19">
        <f>0.5*$E$4413+0.5*$Z$4467</f>
        <v/>
      </c>
      <c r="F4449" s="19">
        <f>$Z$4468</f>
        <v/>
      </c>
    </row>
    <row r="4450">
      <c r="D4450" s="19">
        <f>IF(ABS(IF(ABS($E$4414)&gt;0.000000001,$E$4414,0.000000001))=0,0,IF($E$3646&lt;=$B$3633,0,IF(ABS(IF(ABS($E$4414)&gt;0.000000001,$E$4414,0.000000001))&gt;=8*$B$3635,$H$3646,0.5*$H$3646*(ABS(IF(ABS($E$4414)&gt;0.000000001,$E$4414,0.000000001))/$B$3635)^(1/3)))/ABS(IF(ABS($E$4414)&gt;0.000000001,$E$4414,0.000000001))*$I$3646)</f>
        <v/>
      </c>
      <c r="E4450" s="19">
        <f>0.5*$E$4414+0.5*$Z$4469</f>
        <v/>
      </c>
      <c r="F4450" s="19">
        <f>$Z$4470</f>
        <v/>
      </c>
    </row>
    <row r="4451">
      <c r="D4451" s="19">
        <f>IF(ABS(IF(ABS($E$4415)&gt;0.000000001,$E$4415,0.000000001))=0,0,IF($E$3647&lt;=$B$3633,0,IF(ABS(IF(ABS($E$4415)&gt;0.000000001,$E$4415,0.000000001))&gt;=8*$B$3635,$H$3647,0.5*$H$3647*(ABS(IF(ABS($E$4415)&gt;0.000000001,$E$4415,0.000000001))/$B$3635)^(1/3)))/ABS(IF(ABS($E$4415)&gt;0.000000001,$E$4415,0.000000001))*$I$3647)</f>
        <v/>
      </c>
      <c r="E4451" s="19">
        <f>0.5*$E$4415+0.5*$Z$4471</f>
        <v/>
      </c>
      <c r="F4451" s="19">
        <f>$Z$4472</f>
        <v/>
      </c>
    </row>
    <row r="4452">
      <c r="D4452" s="19">
        <f>IF(ABS(IF(ABS($E$4416)&gt;0.000000001,$E$4416,0.000000001))=0,0,IF($E$3648&lt;=$B$3633,0,IF(ABS(IF(ABS($E$4416)&gt;0.000000001,$E$4416,0.000000001))&gt;=8*$B$3635,$H$3648,0.5*$H$3648*(ABS(IF(ABS($E$4416)&gt;0.000000001,$E$4416,0.000000001))/$B$3635)^(1/3)))/ABS(IF(ABS($E$4416)&gt;0.000000001,$E$4416,0.000000001))*$I$3648)</f>
        <v/>
      </c>
      <c r="E4452" s="19">
        <f>0.5*$E$4416+0.5*$Z$4473</f>
        <v/>
      </c>
      <c r="F4452" s="19">
        <f>$Z$4474</f>
        <v/>
      </c>
    </row>
    <row r="4453">
      <c r="D4453" s="19">
        <f>IF(ABS(IF(ABS($E$4417)&gt;0.000000001,$E$4417,0.000000001))=0,0,IF($E$3649&lt;=$B$3633,0,IF(ABS(IF(ABS($E$4417)&gt;0.000000001,$E$4417,0.000000001))&gt;=8*$B$3635,$H$3649,0.5*$H$3649*(ABS(IF(ABS($E$4417)&gt;0.000000001,$E$4417,0.000000001))/$B$3635)^(1/3)))/ABS(IF(ABS($E$4417)&gt;0.000000001,$E$4417,0.000000001))*$I$3649)</f>
        <v/>
      </c>
      <c r="E4453" s="19">
        <f>0.5*$E$4417+0.5*$Z$4475</f>
        <v/>
      </c>
      <c r="F4453" s="19">
        <f>$Z$4476</f>
        <v/>
      </c>
    </row>
    <row r="4455">
      <c r="D4455" s="21">
        <f>$B$3624+$D$4443</f>
        <v/>
      </c>
      <c r="E4455" s="21">
        <f>$B$3625</f>
        <v/>
      </c>
      <c r="F4455" s="21">
        <f>-$B$3624</f>
        <v/>
      </c>
      <c r="G4455" s="21">
        <f>$B$3625</f>
        <v/>
      </c>
      <c r="H4455" s="21" t="n">
        <v>0</v>
      </c>
      <c r="I4455" s="21" t="n">
        <v>0</v>
      </c>
      <c r="J4455" s="21" t="n">
        <v>0</v>
      </c>
      <c r="K4455" s="21" t="n">
        <v>0</v>
      </c>
      <c r="L4455" s="21" t="n">
        <v>0</v>
      </c>
      <c r="M4455" s="21" t="n">
        <v>0</v>
      </c>
      <c r="N4455" s="21" t="n">
        <v>0</v>
      </c>
      <c r="O4455" s="21" t="n">
        <v>0</v>
      </c>
      <c r="P4455" s="21" t="n">
        <v>0</v>
      </c>
      <c r="Q4455" s="21" t="n">
        <v>0</v>
      </c>
      <c r="R4455" s="21" t="n">
        <v>0</v>
      </c>
      <c r="S4455" s="21" t="n">
        <v>0</v>
      </c>
      <c r="T4455" s="21" t="n">
        <v>0</v>
      </c>
      <c r="U4455" s="21" t="n">
        <v>0</v>
      </c>
      <c r="V4455" s="21" t="n">
        <v>0</v>
      </c>
      <c r="W4455" s="21" t="n">
        <v>0</v>
      </c>
      <c r="X4455" s="21" t="n">
        <v>0</v>
      </c>
      <c r="Y4455" s="21" t="n">
        <v>0</v>
      </c>
      <c r="Z4455" s="19">
        <f t="array" ref="Z4455:Z4476">MMULT(MINVERSE($D$4455:$Y$4476),$D$3651:$D$3672)</f>
        <v/>
      </c>
    </row>
    <row r="4456">
      <c r="D4456" s="21">
        <f>$B$3625</f>
        <v/>
      </c>
      <c r="E4456" s="21">
        <f>$B$3626</f>
        <v/>
      </c>
      <c r="F4456" s="21">
        <f>-$B$3625</f>
        <v/>
      </c>
      <c r="G4456" s="21">
        <f>$B$3627</f>
        <v/>
      </c>
      <c r="H4456" s="21" t="n">
        <v>0</v>
      </c>
      <c r="I4456" s="21" t="n">
        <v>0</v>
      </c>
      <c r="J4456" s="21" t="n">
        <v>0</v>
      </c>
      <c r="K4456" s="21" t="n">
        <v>0</v>
      </c>
      <c r="L4456" s="21" t="n">
        <v>0</v>
      </c>
      <c r="M4456" s="21" t="n">
        <v>0</v>
      </c>
      <c r="N4456" s="21" t="n">
        <v>0</v>
      </c>
      <c r="O4456" s="21" t="n">
        <v>0</v>
      </c>
      <c r="P4456" s="21" t="n">
        <v>0</v>
      </c>
      <c r="Q4456" s="21" t="n">
        <v>0</v>
      </c>
      <c r="R4456" s="21" t="n">
        <v>0</v>
      </c>
      <c r="S4456" s="21" t="n">
        <v>0</v>
      </c>
      <c r="T4456" s="21" t="n">
        <v>0</v>
      </c>
      <c r="U4456" s="21" t="n">
        <v>0</v>
      </c>
      <c r="V4456" s="21" t="n">
        <v>0</v>
      </c>
      <c r="W4456" s="21" t="n">
        <v>0</v>
      </c>
      <c r="X4456" s="21" t="n">
        <v>0</v>
      </c>
      <c r="Y4456" s="21" t="n">
        <v>0</v>
      </c>
      <c r="Z4456" s="19" t="n"/>
    </row>
    <row r="4457">
      <c r="D4457" s="21">
        <f>-$B$3624</f>
        <v/>
      </c>
      <c r="E4457" s="21">
        <f>-$B$3625</f>
        <v/>
      </c>
      <c r="F4457" s="21">
        <f>2*$B$3624+$D$4444</f>
        <v/>
      </c>
      <c r="G4457" s="21">
        <f>0</f>
        <v/>
      </c>
      <c r="H4457" s="21">
        <f>-$B$3624</f>
        <v/>
      </c>
      <c r="I4457" s="21">
        <f>$B$3625</f>
        <v/>
      </c>
      <c r="J4457" s="21" t="n">
        <v>0</v>
      </c>
      <c r="K4457" s="21" t="n">
        <v>0</v>
      </c>
      <c r="L4457" s="21" t="n">
        <v>0</v>
      </c>
      <c r="M4457" s="21" t="n">
        <v>0</v>
      </c>
      <c r="N4457" s="21" t="n">
        <v>0</v>
      </c>
      <c r="O4457" s="21" t="n">
        <v>0</v>
      </c>
      <c r="P4457" s="21" t="n">
        <v>0</v>
      </c>
      <c r="Q4457" s="21" t="n">
        <v>0</v>
      </c>
      <c r="R4457" s="21" t="n">
        <v>0</v>
      </c>
      <c r="S4457" s="21" t="n">
        <v>0</v>
      </c>
      <c r="T4457" s="21" t="n">
        <v>0</v>
      </c>
      <c r="U4457" s="21" t="n">
        <v>0</v>
      </c>
      <c r="V4457" s="21" t="n">
        <v>0</v>
      </c>
      <c r="W4457" s="21" t="n">
        <v>0</v>
      </c>
      <c r="X4457" s="21" t="n">
        <v>0</v>
      </c>
      <c r="Y4457" s="21" t="n">
        <v>0</v>
      </c>
      <c r="Z4457" s="19" t="n"/>
    </row>
    <row r="4458">
      <c r="D4458" s="21">
        <f>$B$3625</f>
        <v/>
      </c>
      <c r="E4458" s="21">
        <f>$B$3627</f>
        <v/>
      </c>
      <c r="F4458" s="21">
        <f>0</f>
        <v/>
      </c>
      <c r="G4458" s="21">
        <f>2*$B$3626</f>
        <v/>
      </c>
      <c r="H4458" s="21">
        <f>-$B$3625</f>
        <v/>
      </c>
      <c r="I4458" s="21">
        <f>$B$3627</f>
        <v/>
      </c>
      <c r="J4458" s="21" t="n">
        <v>0</v>
      </c>
      <c r="K4458" s="21" t="n">
        <v>0</v>
      </c>
      <c r="L4458" s="21" t="n">
        <v>0</v>
      </c>
      <c r="M4458" s="21" t="n">
        <v>0</v>
      </c>
      <c r="N4458" s="21" t="n">
        <v>0</v>
      </c>
      <c r="O4458" s="21" t="n">
        <v>0</v>
      </c>
      <c r="P4458" s="21" t="n">
        <v>0</v>
      </c>
      <c r="Q4458" s="21" t="n">
        <v>0</v>
      </c>
      <c r="R4458" s="21" t="n">
        <v>0</v>
      </c>
      <c r="S4458" s="21" t="n">
        <v>0</v>
      </c>
      <c r="T4458" s="21" t="n">
        <v>0</v>
      </c>
      <c r="U4458" s="21" t="n">
        <v>0</v>
      </c>
      <c r="V4458" s="21" t="n">
        <v>0</v>
      </c>
      <c r="W4458" s="21" t="n">
        <v>0</v>
      </c>
      <c r="X4458" s="21" t="n">
        <v>0</v>
      </c>
      <c r="Y4458" s="21" t="n">
        <v>0</v>
      </c>
      <c r="Z4458" s="19" t="n"/>
    </row>
    <row r="4459">
      <c r="D4459" s="21" t="n">
        <v>0</v>
      </c>
      <c r="E4459" s="21" t="n">
        <v>0</v>
      </c>
      <c r="F4459" s="21">
        <f>-$B$3624</f>
        <v/>
      </c>
      <c r="G4459" s="21">
        <f>-$B$3625</f>
        <v/>
      </c>
      <c r="H4459" s="21">
        <f>2*$B$3624+$D$4445</f>
        <v/>
      </c>
      <c r="I4459" s="21">
        <f>0</f>
        <v/>
      </c>
      <c r="J4459" s="21">
        <f>-$B$3624</f>
        <v/>
      </c>
      <c r="K4459" s="21">
        <f>$B$3625</f>
        <v/>
      </c>
      <c r="L4459" s="21" t="n">
        <v>0</v>
      </c>
      <c r="M4459" s="21" t="n">
        <v>0</v>
      </c>
      <c r="N4459" s="21" t="n">
        <v>0</v>
      </c>
      <c r="O4459" s="21" t="n">
        <v>0</v>
      </c>
      <c r="P4459" s="21" t="n">
        <v>0</v>
      </c>
      <c r="Q4459" s="21" t="n">
        <v>0</v>
      </c>
      <c r="R4459" s="21" t="n">
        <v>0</v>
      </c>
      <c r="S4459" s="21" t="n">
        <v>0</v>
      </c>
      <c r="T4459" s="21" t="n">
        <v>0</v>
      </c>
      <c r="U4459" s="21" t="n">
        <v>0</v>
      </c>
      <c r="V4459" s="21" t="n">
        <v>0</v>
      </c>
      <c r="W4459" s="21" t="n">
        <v>0</v>
      </c>
      <c r="X4459" s="21" t="n">
        <v>0</v>
      </c>
      <c r="Y4459" s="21" t="n">
        <v>0</v>
      </c>
      <c r="Z4459" s="19" t="n"/>
    </row>
    <row r="4460">
      <c r="D4460" s="21" t="n">
        <v>0</v>
      </c>
      <c r="E4460" s="21" t="n">
        <v>0</v>
      </c>
      <c r="F4460" s="21">
        <f>$B$3625</f>
        <v/>
      </c>
      <c r="G4460" s="21">
        <f>$B$3627</f>
        <v/>
      </c>
      <c r="H4460" s="21">
        <f>0</f>
        <v/>
      </c>
      <c r="I4460" s="21">
        <f>2*$B$3626</f>
        <v/>
      </c>
      <c r="J4460" s="21">
        <f>-$B$3625</f>
        <v/>
      </c>
      <c r="K4460" s="21">
        <f>$B$3627</f>
        <v/>
      </c>
      <c r="L4460" s="21" t="n">
        <v>0</v>
      </c>
      <c r="M4460" s="21" t="n">
        <v>0</v>
      </c>
      <c r="N4460" s="21" t="n">
        <v>0</v>
      </c>
      <c r="O4460" s="21" t="n">
        <v>0</v>
      </c>
      <c r="P4460" s="21" t="n">
        <v>0</v>
      </c>
      <c r="Q4460" s="21" t="n">
        <v>0</v>
      </c>
      <c r="R4460" s="21" t="n">
        <v>0</v>
      </c>
      <c r="S4460" s="21" t="n">
        <v>0</v>
      </c>
      <c r="T4460" s="21" t="n">
        <v>0</v>
      </c>
      <c r="U4460" s="21" t="n">
        <v>0</v>
      </c>
      <c r="V4460" s="21" t="n">
        <v>0</v>
      </c>
      <c r="W4460" s="21" t="n">
        <v>0</v>
      </c>
      <c r="X4460" s="21" t="n">
        <v>0</v>
      </c>
      <c r="Y4460" s="21" t="n">
        <v>0</v>
      </c>
      <c r="Z4460" s="19" t="n"/>
    </row>
    <row r="4461">
      <c r="D4461" s="21" t="n">
        <v>0</v>
      </c>
      <c r="E4461" s="21" t="n">
        <v>0</v>
      </c>
      <c r="F4461" s="21" t="n">
        <v>0</v>
      </c>
      <c r="G4461" s="21" t="n">
        <v>0</v>
      </c>
      <c r="H4461" s="21">
        <f>-$B$3624</f>
        <v/>
      </c>
      <c r="I4461" s="21">
        <f>-$B$3625</f>
        <v/>
      </c>
      <c r="J4461" s="21">
        <f>2*$B$3624+$D$4446</f>
        <v/>
      </c>
      <c r="K4461" s="21">
        <f>0</f>
        <v/>
      </c>
      <c r="L4461" s="21">
        <f>-$B$3624</f>
        <v/>
      </c>
      <c r="M4461" s="21">
        <f>$B$3625</f>
        <v/>
      </c>
      <c r="N4461" s="21" t="n">
        <v>0</v>
      </c>
      <c r="O4461" s="21" t="n">
        <v>0</v>
      </c>
      <c r="P4461" s="21" t="n">
        <v>0</v>
      </c>
      <c r="Q4461" s="21" t="n">
        <v>0</v>
      </c>
      <c r="R4461" s="21" t="n">
        <v>0</v>
      </c>
      <c r="S4461" s="21" t="n">
        <v>0</v>
      </c>
      <c r="T4461" s="21" t="n">
        <v>0</v>
      </c>
      <c r="U4461" s="21" t="n">
        <v>0</v>
      </c>
      <c r="V4461" s="21" t="n">
        <v>0</v>
      </c>
      <c r="W4461" s="21" t="n">
        <v>0</v>
      </c>
      <c r="X4461" s="21" t="n">
        <v>0</v>
      </c>
      <c r="Y4461" s="21" t="n">
        <v>0</v>
      </c>
      <c r="Z4461" s="19" t="n"/>
    </row>
    <row r="4462">
      <c r="D4462" s="21" t="n">
        <v>0</v>
      </c>
      <c r="E4462" s="21" t="n">
        <v>0</v>
      </c>
      <c r="F4462" s="21" t="n">
        <v>0</v>
      </c>
      <c r="G4462" s="21" t="n">
        <v>0</v>
      </c>
      <c r="H4462" s="21">
        <f>$B$3625</f>
        <v/>
      </c>
      <c r="I4462" s="21">
        <f>$B$3627</f>
        <v/>
      </c>
      <c r="J4462" s="21">
        <f>0</f>
        <v/>
      </c>
      <c r="K4462" s="21">
        <f>2*$B$3626</f>
        <v/>
      </c>
      <c r="L4462" s="21">
        <f>-$B$3625</f>
        <v/>
      </c>
      <c r="M4462" s="21">
        <f>$B$3627</f>
        <v/>
      </c>
      <c r="N4462" s="21" t="n">
        <v>0</v>
      </c>
      <c r="O4462" s="21" t="n">
        <v>0</v>
      </c>
      <c r="P4462" s="21" t="n">
        <v>0</v>
      </c>
      <c r="Q4462" s="21" t="n">
        <v>0</v>
      </c>
      <c r="R4462" s="21" t="n">
        <v>0</v>
      </c>
      <c r="S4462" s="21" t="n">
        <v>0</v>
      </c>
      <c r="T4462" s="21" t="n">
        <v>0</v>
      </c>
      <c r="U4462" s="21" t="n">
        <v>0</v>
      </c>
      <c r="V4462" s="21" t="n">
        <v>0</v>
      </c>
      <c r="W4462" s="21" t="n">
        <v>0</v>
      </c>
      <c r="X4462" s="21" t="n">
        <v>0</v>
      </c>
      <c r="Y4462" s="21" t="n">
        <v>0</v>
      </c>
      <c r="Z4462" s="19" t="n"/>
    </row>
    <row r="4463">
      <c r="D4463" s="21" t="n">
        <v>0</v>
      </c>
      <c r="E4463" s="21" t="n">
        <v>0</v>
      </c>
      <c r="F4463" s="21" t="n">
        <v>0</v>
      </c>
      <c r="G4463" s="21" t="n">
        <v>0</v>
      </c>
      <c r="H4463" s="21" t="n">
        <v>0</v>
      </c>
      <c r="I4463" s="21" t="n">
        <v>0</v>
      </c>
      <c r="J4463" s="21">
        <f>-$B$3624</f>
        <v/>
      </c>
      <c r="K4463" s="21">
        <f>-$B$3625</f>
        <v/>
      </c>
      <c r="L4463" s="21">
        <f>2*$B$3624+$D$4447</f>
        <v/>
      </c>
      <c r="M4463" s="21">
        <f>0</f>
        <v/>
      </c>
      <c r="N4463" s="21">
        <f>-$B$3624</f>
        <v/>
      </c>
      <c r="O4463" s="21">
        <f>$B$3625</f>
        <v/>
      </c>
      <c r="P4463" s="21" t="n">
        <v>0</v>
      </c>
      <c r="Q4463" s="21" t="n">
        <v>0</v>
      </c>
      <c r="R4463" s="21" t="n">
        <v>0</v>
      </c>
      <c r="S4463" s="21" t="n">
        <v>0</v>
      </c>
      <c r="T4463" s="21" t="n">
        <v>0</v>
      </c>
      <c r="U4463" s="21" t="n">
        <v>0</v>
      </c>
      <c r="V4463" s="21" t="n">
        <v>0</v>
      </c>
      <c r="W4463" s="21" t="n">
        <v>0</v>
      </c>
      <c r="X4463" s="21" t="n">
        <v>0</v>
      </c>
      <c r="Y4463" s="21" t="n">
        <v>0</v>
      </c>
      <c r="Z4463" s="19" t="n"/>
    </row>
    <row r="4464">
      <c r="D4464" s="21" t="n">
        <v>0</v>
      </c>
      <c r="E4464" s="21" t="n">
        <v>0</v>
      </c>
      <c r="F4464" s="21" t="n">
        <v>0</v>
      </c>
      <c r="G4464" s="21" t="n">
        <v>0</v>
      </c>
      <c r="H4464" s="21" t="n">
        <v>0</v>
      </c>
      <c r="I4464" s="21" t="n">
        <v>0</v>
      </c>
      <c r="J4464" s="21">
        <f>$B$3625</f>
        <v/>
      </c>
      <c r="K4464" s="21">
        <f>$B$3627</f>
        <v/>
      </c>
      <c r="L4464" s="21">
        <f>0</f>
        <v/>
      </c>
      <c r="M4464" s="21">
        <f>2*$B$3626</f>
        <v/>
      </c>
      <c r="N4464" s="21">
        <f>-$B$3625</f>
        <v/>
      </c>
      <c r="O4464" s="21">
        <f>$B$3627</f>
        <v/>
      </c>
      <c r="P4464" s="21" t="n">
        <v>0</v>
      </c>
      <c r="Q4464" s="21" t="n">
        <v>0</v>
      </c>
      <c r="R4464" s="21" t="n">
        <v>0</v>
      </c>
      <c r="S4464" s="21" t="n">
        <v>0</v>
      </c>
      <c r="T4464" s="21" t="n">
        <v>0</v>
      </c>
      <c r="U4464" s="21" t="n">
        <v>0</v>
      </c>
      <c r="V4464" s="21" t="n">
        <v>0</v>
      </c>
      <c r="W4464" s="21" t="n">
        <v>0</v>
      </c>
      <c r="X4464" s="21" t="n">
        <v>0</v>
      </c>
      <c r="Y4464" s="21" t="n">
        <v>0</v>
      </c>
      <c r="Z4464" s="19" t="n"/>
    </row>
    <row r="4465">
      <c r="D4465" s="21" t="n">
        <v>0</v>
      </c>
      <c r="E4465" s="21" t="n">
        <v>0</v>
      </c>
      <c r="F4465" s="21" t="n">
        <v>0</v>
      </c>
      <c r="G4465" s="21" t="n">
        <v>0</v>
      </c>
      <c r="H4465" s="21" t="n">
        <v>0</v>
      </c>
      <c r="I4465" s="21" t="n">
        <v>0</v>
      </c>
      <c r="J4465" s="21" t="n">
        <v>0</v>
      </c>
      <c r="K4465" s="21" t="n">
        <v>0</v>
      </c>
      <c r="L4465" s="21">
        <f>-$B$3624</f>
        <v/>
      </c>
      <c r="M4465" s="21">
        <f>-$B$3625</f>
        <v/>
      </c>
      <c r="N4465" s="21">
        <f>2*$B$3624+$D$4448</f>
        <v/>
      </c>
      <c r="O4465" s="21">
        <f>0</f>
        <v/>
      </c>
      <c r="P4465" s="21">
        <f>-$B$3624</f>
        <v/>
      </c>
      <c r="Q4465" s="21">
        <f>$B$3625</f>
        <v/>
      </c>
      <c r="R4465" s="21" t="n">
        <v>0</v>
      </c>
      <c r="S4465" s="21" t="n">
        <v>0</v>
      </c>
      <c r="T4465" s="21" t="n">
        <v>0</v>
      </c>
      <c r="U4465" s="21" t="n">
        <v>0</v>
      </c>
      <c r="V4465" s="21" t="n">
        <v>0</v>
      </c>
      <c r="W4465" s="21" t="n">
        <v>0</v>
      </c>
      <c r="X4465" s="21" t="n">
        <v>0</v>
      </c>
      <c r="Y4465" s="21" t="n">
        <v>0</v>
      </c>
      <c r="Z4465" s="19" t="n"/>
    </row>
    <row r="4466">
      <c r="D4466" s="21" t="n">
        <v>0</v>
      </c>
      <c r="E4466" s="21" t="n">
        <v>0</v>
      </c>
      <c r="F4466" s="21" t="n">
        <v>0</v>
      </c>
      <c r="G4466" s="21" t="n">
        <v>0</v>
      </c>
      <c r="H4466" s="21" t="n">
        <v>0</v>
      </c>
      <c r="I4466" s="21" t="n">
        <v>0</v>
      </c>
      <c r="J4466" s="21" t="n">
        <v>0</v>
      </c>
      <c r="K4466" s="21" t="n">
        <v>0</v>
      </c>
      <c r="L4466" s="21">
        <f>$B$3625</f>
        <v/>
      </c>
      <c r="M4466" s="21">
        <f>$B$3627</f>
        <v/>
      </c>
      <c r="N4466" s="21">
        <f>0</f>
        <v/>
      </c>
      <c r="O4466" s="21">
        <f>2*$B$3626</f>
        <v/>
      </c>
      <c r="P4466" s="21">
        <f>-$B$3625</f>
        <v/>
      </c>
      <c r="Q4466" s="21">
        <f>$B$3627</f>
        <v/>
      </c>
      <c r="R4466" s="21" t="n">
        <v>0</v>
      </c>
      <c r="S4466" s="21" t="n">
        <v>0</v>
      </c>
      <c r="T4466" s="21" t="n">
        <v>0</v>
      </c>
      <c r="U4466" s="21" t="n">
        <v>0</v>
      </c>
      <c r="V4466" s="21" t="n">
        <v>0</v>
      </c>
      <c r="W4466" s="21" t="n">
        <v>0</v>
      </c>
      <c r="X4466" s="21" t="n">
        <v>0</v>
      </c>
      <c r="Y4466" s="21" t="n">
        <v>0</v>
      </c>
      <c r="Z4466" s="19" t="n"/>
    </row>
    <row r="4467">
      <c r="D4467" s="21" t="n">
        <v>0</v>
      </c>
      <c r="E4467" s="21" t="n">
        <v>0</v>
      </c>
      <c r="F4467" s="21" t="n">
        <v>0</v>
      </c>
      <c r="G4467" s="21" t="n">
        <v>0</v>
      </c>
      <c r="H4467" s="21" t="n">
        <v>0</v>
      </c>
      <c r="I4467" s="21" t="n">
        <v>0</v>
      </c>
      <c r="J4467" s="21" t="n">
        <v>0</v>
      </c>
      <c r="K4467" s="21" t="n">
        <v>0</v>
      </c>
      <c r="L4467" s="21" t="n">
        <v>0</v>
      </c>
      <c r="M4467" s="21" t="n">
        <v>0</v>
      </c>
      <c r="N4467" s="21">
        <f>-$B$3624</f>
        <v/>
      </c>
      <c r="O4467" s="21">
        <f>-$B$3625</f>
        <v/>
      </c>
      <c r="P4467" s="21">
        <f>2*$B$3624+$D$4449</f>
        <v/>
      </c>
      <c r="Q4467" s="21">
        <f>0</f>
        <v/>
      </c>
      <c r="R4467" s="21">
        <f>-$B$3624</f>
        <v/>
      </c>
      <c r="S4467" s="21">
        <f>$B$3625</f>
        <v/>
      </c>
      <c r="T4467" s="21" t="n">
        <v>0</v>
      </c>
      <c r="U4467" s="21" t="n">
        <v>0</v>
      </c>
      <c r="V4467" s="21" t="n">
        <v>0</v>
      </c>
      <c r="W4467" s="21" t="n">
        <v>0</v>
      </c>
      <c r="X4467" s="21" t="n">
        <v>0</v>
      </c>
      <c r="Y4467" s="21" t="n">
        <v>0</v>
      </c>
      <c r="Z4467" s="19" t="n"/>
    </row>
    <row r="4468">
      <c r="D4468" s="21" t="n">
        <v>0</v>
      </c>
      <c r="E4468" s="21" t="n">
        <v>0</v>
      </c>
      <c r="F4468" s="21" t="n">
        <v>0</v>
      </c>
      <c r="G4468" s="21" t="n">
        <v>0</v>
      </c>
      <c r="H4468" s="21" t="n">
        <v>0</v>
      </c>
      <c r="I4468" s="21" t="n">
        <v>0</v>
      </c>
      <c r="J4468" s="21" t="n">
        <v>0</v>
      </c>
      <c r="K4468" s="21" t="n">
        <v>0</v>
      </c>
      <c r="L4468" s="21" t="n">
        <v>0</v>
      </c>
      <c r="M4468" s="21" t="n">
        <v>0</v>
      </c>
      <c r="N4468" s="21">
        <f>$B$3625</f>
        <v/>
      </c>
      <c r="O4468" s="21">
        <f>$B$3627</f>
        <v/>
      </c>
      <c r="P4468" s="21">
        <f>0</f>
        <v/>
      </c>
      <c r="Q4468" s="21">
        <f>2*$B$3626</f>
        <v/>
      </c>
      <c r="R4468" s="21">
        <f>-$B$3625</f>
        <v/>
      </c>
      <c r="S4468" s="21">
        <f>$B$3627</f>
        <v/>
      </c>
      <c r="T4468" s="21" t="n">
        <v>0</v>
      </c>
      <c r="U4468" s="21" t="n">
        <v>0</v>
      </c>
      <c r="V4468" s="21" t="n">
        <v>0</v>
      </c>
      <c r="W4468" s="21" t="n">
        <v>0</v>
      </c>
      <c r="X4468" s="21" t="n">
        <v>0</v>
      </c>
      <c r="Y4468" s="21" t="n">
        <v>0</v>
      </c>
      <c r="Z4468" s="19" t="n"/>
    </row>
    <row r="4469">
      <c r="D4469" s="21" t="n">
        <v>0</v>
      </c>
      <c r="E4469" s="21" t="n">
        <v>0</v>
      </c>
      <c r="F4469" s="21" t="n">
        <v>0</v>
      </c>
      <c r="G4469" s="21" t="n">
        <v>0</v>
      </c>
      <c r="H4469" s="21" t="n">
        <v>0</v>
      </c>
      <c r="I4469" s="21" t="n">
        <v>0</v>
      </c>
      <c r="J4469" s="21" t="n">
        <v>0</v>
      </c>
      <c r="K4469" s="21" t="n">
        <v>0</v>
      </c>
      <c r="L4469" s="21" t="n">
        <v>0</v>
      </c>
      <c r="M4469" s="21" t="n">
        <v>0</v>
      </c>
      <c r="N4469" s="21" t="n">
        <v>0</v>
      </c>
      <c r="O4469" s="21" t="n">
        <v>0</v>
      </c>
      <c r="P4469" s="21">
        <f>-$B$3624</f>
        <v/>
      </c>
      <c r="Q4469" s="21">
        <f>-$B$3625</f>
        <v/>
      </c>
      <c r="R4469" s="21">
        <f>2*$B$3624+$D$4450</f>
        <v/>
      </c>
      <c r="S4469" s="21">
        <f>0</f>
        <v/>
      </c>
      <c r="T4469" s="21">
        <f>-$B$3624</f>
        <v/>
      </c>
      <c r="U4469" s="21">
        <f>$B$3625</f>
        <v/>
      </c>
      <c r="V4469" s="21" t="n">
        <v>0</v>
      </c>
      <c r="W4469" s="21" t="n">
        <v>0</v>
      </c>
      <c r="X4469" s="21" t="n">
        <v>0</v>
      </c>
      <c r="Y4469" s="21" t="n">
        <v>0</v>
      </c>
      <c r="Z4469" s="19" t="n"/>
    </row>
    <row r="4470">
      <c r="D4470" s="21" t="n">
        <v>0</v>
      </c>
      <c r="E4470" s="21" t="n">
        <v>0</v>
      </c>
      <c r="F4470" s="21" t="n">
        <v>0</v>
      </c>
      <c r="G4470" s="21" t="n">
        <v>0</v>
      </c>
      <c r="H4470" s="21" t="n">
        <v>0</v>
      </c>
      <c r="I4470" s="21" t="n">
        <v>0</v>
      </c>
      <c r="J4470" s="21" t="n">
        <v>0</v>
      </c>
      <c r="K4470" s="21" t="n">
        <v>0</v>
      </c>
      <c r="L4470" s="21" t="n">
        <v>0</v>
      </c>
      <c r="M4470" s="21" t="n">
        <v>0</v>
      </c>
      <c r="N4470" s="21" t="n">
        <v>0</v>
      </c>
      <c r="O4470" s="21" t="n">
        <v>0</v>
      </c>
      <c r="P4470" s="21">
        <f>$B$3625</f>
        <v/>
      </c>
      <c r="Q4470" s="21">
        <f>$B$3627</f>
        <v/>
      </c>
      <c r="R4470" s="21">
        <f>0</f>
        <v/>
      </c>
      <c r="S4470" s="21">
        <f>2*$B$3626</f>
        <v/>
      </c>
      <c r="T4470" s="21">
        <f>-$B$3625</f>
        <v/>
      </c>
      <c r="U4470" s="21">
        <f>$B$3627</f>
        <v/>
      </c>
      <c r="V4470" s="21" t="n">
        <v>0</v>
      </c>
      <c r="W4470" s="21" t="n">
        <v>0</v>
      </c>
      <c r="X4470" s="21" t="n">
        <v>0</v>
      </c>
      <c r="Y4470" s="21" t="n">
        <v>0</v>
      </c>
      <c r="Z4470" s="19" t="n"/>
    </row>
    <row r="4471">
      <c r="D4471" s="21" t="n">
        <v>0</v>
      </c>
      <c r="E4471" s="21" t="n">
        <v>0</v>
      </c>
      <c r="F4471" s="21" t="n">
        <v>0</v>
      </c>
      <c r="G4471" s="21" t="n">
        <v>0</v>
      </c>
      <c r="H4471" s="21" t="n">
        <v>0</v>
      </c>
      <c r="I4471" s="21" t="n">
        <v>0</v>
      </c>
      <c r="J4471" s="21" t="n">
        <v>0</v>
      </c>
      <c r="K4471" s="21" t="n">
        <v>0</v>
      </c>
      <c r="L4471" s="21" t="n">
        <v>0</v>
      </c>
      <c r="M4471" s="21" t="n">
        <v>0</v>
      </c>
      <c r="N4471" s="21" t="n">
        <v>0</v>
      </c>
      <c r="O4471" s="21" t="n">
        <v>0</v>
      </c>
      <c r="P4471" s="21" t="n">
        <v>0</v>
      </c>
      <c r="Q4471" s="21" t="n">
        <v>0</v>
      </c>
      <c r="R4471" s="21">
        <f>-$B$3624</f>
        <v/>
      </c>
      <c r="S4471" s="21">
        <f>-$B$3625</f>
        <v/>
      </c>
      <c r="T4471" s="21">
        <f>2*$B$3624+$D$4451</f>
        <v/>
      </c>
      <c r="U4471" s="21">
        <f>0</f>
        <v/>
      </c>
      <c r="V4471" s="21">
        <f>-$B$3624</f>
        <v/>
      </c>
      <c r="W4471" s="21">
        <f>$B$3625</f>
        <v/>
      </c>
      <c r="X4471" s="21" t="n">
        <v>0</v>
      </c>
      <c r="Y4471" s="21" t="n">
        <v>0</v>
      </c>
      <c r="Z4471" s="19" t="n"/>
    </row>
    <row r="4472">
      <c r="D4472" s="21" t="n">
        <v>0</v>
      </c>
      <c r="E4472" s="21" t="n">
        <v>0</v>
      </c>
      <c r="F4472" s="21" t="n">
        <v>0</v>
      </c>
      <c r="G4472" s="21" t="n">
        <v>0</v>
      </c>
      <c r="H4472" s="21" t="n">
        <v>0</v>
      </c>
      <c r="I4472" s="21" t="n">
        <v>0</v>
      </c>
      <c r="J4472" s="21" t="n">
        <v>0</v>
      </c>
      <c r="K4472" s="21" t="n">
        <v>0</v>
      </c>
      <c r="L4472" s="21" t="n">
        <v>0</v>
      </c>
      <c r="M4472" s="21" t="n">
        <v>0</v>
      </c>
      <c r="N4472" s="21" t="n">
        <v>0</v>
      </c>
      <c r="O4472" s="21" t="n">
        <v>0</v>
      </c>
      <c r="P4472" s="21" t="n">
        <v>0</v>
      </c>
      <c r="Q4472" s="21" t="n">
        <v>0</v>
      </c>
      <c r="R4472" s="21">
        <f>$B$3625</f>
        <v/>
      </c>
      <c r="S4472" s="21">
        <f>$B$3627</f>
        <v/>
      </c>
      <c r="T4472" s="21">
        <f>0</f>
        <v/>
      </c>
      <c r="U4472" s="21">
        <f>2*$B$3626</f>
        <v/>
      </c>
      <c r="V4472" s="21">
        <f>-$B$3625</f>
        <v/>
      </c>
      <c r="W4472" s="21">
        <f>$B$3627</f>
        <v/>
      </c>
      <c r="X4472" s="21" t="n">
        <v>0</v>
      </c>
      <c r="Y4472" s="21" t="n">
        <v>0</v>
      </c>
      <c r="Z4472" s="19" t="n"/>
    </row>
    <row r="4473">
      <c r="D4473" s="21" t="n">
        <v>0</v>
      </c>
      <c r="E4473" s="21" t="n">
        <v>0</v>
      </c>
      <c r="F4473" s="21" t="n">
        <v>0</v>
      </c>
      <c r="G4473" s="21" t="n">
        <v>0</v>
      </c>
      <c r="H4473" s="21" t="n">
        <v>0</v>
      </c>
      <c r="I4473" s="21" t="n">
        <v>0</v>
      </c>
      <c r="J4473" s="21" t="n">
        <v>0</v>
      </c>
      <c r="K4473" s="21" t="n">
        <v>0</v>
      </c>
      <c r="L4473" s="21" t="n">
        <v>0</v>
      </c>
      <c r="M4473" s="21" t="n">
        <v>0</v>
      </c>
      <c r="N4473" s="21" t="n">
        <v>0</v>
      </c>
      <c r="O4473" s="21" t="n">
        <v>0</v>
      </c>
      <c r="P4473" s="21" t="n">
        <v>0</v>
      </c>
      <c r="Q4473" s="21" t="n">
        <v>0</v>
      </c>
      <c r="R4473" s="21" t="n">
        <v>0</v>
      </c>
      <c r="S4473" s="21" t="n">
        <v>0</v>
      </c>
      <c r="T4473" s="21">
        <f>-$B$3624</f>
        <v/>
      </c>
      <c r="U4473" s="21">
        <f>-$B$3625</f>
        <v/>
      </c>
      <c r="V4473" s="21">
        <f>2*$B$3624+$D$4452</f>
        <v/>
      </c>
      <c r="W4473" s="21">
        <f>0</f>
        <v/>
      </c>
      <c r="X4473" s="21">
        <f>-$B$3624</f>
        <v/>
      </c>
      <c r="Y4473" s="21">
        <f>$B$3625</f>
        <v/>
      </c>
      <c r="Z4473" s="19" t="n"/>
    </row>
    <row r="4474">
      <c r="D4474" s="21" t="n">
        <v>0</v>
      </c>
      <c r="E4474" s="21" t="n">
        <v>0</v>
      </c>
      <c r="F4474" s="21" t="n">
        <v>0</v>
      </c>
      <c r="G4474" s="21" t="n">
        <v>0</v>
      </c>
      <c r="H4474" s="21" t="n">
        <v>0</v>
      </c>
      <c r="I4474" s="21" t="n">
        <v>0</v>
      </c>
      <c r="J4474" s="21" t="n">
        <v>0</v>
      </c>
      <c r="K4474" s="21" t="n">
        <v>0</v>
      </c>
      <c r="L4474" s="21" t="n">
        <v>0</v>
      </c>
      <c r="M4474" s="21" t="n">
        <v>0</v>
      </c>
      <c r="N4474" s="21" t="n">
        <v>0</v>
      </c>
      <c r="O4474" s="21" t="n">
        <v>0</v>
      </c>
      <c r="P4474" s="21" t="n">
        <v>0</v>
      </c>
      <c r="Q4474" s="21" t="n">
        <v>0</v>
      </c>
      <c r="R4474" s="21" t="n">
        <v>0</v>
      </c>
      <c r="S4474" s="21" t="n">
        <v>0</v>
      </c>
      <c r="T4474" s="21">
        <f>$B$3625</f>
        <v/>
      </c>
      <c r="U4474" s="21">
        <f>$B$3627</f>
        <v/>
      </c>
      <c r="V4474" s="21">
        <f>0</f>
        <v/>
      </c>
      <c r="W4474" s="21">
        <f>2*$B$3626</f>
        <v/>
      </c>
      <c r="X4474" s="21">
        <f>-$B$3625</f>
        <v/>
      </c>
      <c r="Y4474" s="21">
        <f>$B$3627</f>
        <v/>
      </c>
      <c r="Z4474" s="19" t="n"/>
    </row>
    <row r="4475">
      <c r="D4475" s="21" t="n">
        <v>0</v>
      </c>
      <c r="E4475" s="21" t="n">
        <v>0</v>
      </c>
      <c r="F4475" s="21" t="n">
        <v>0</v>
      </c>
      <c r="G4475" s="21" t="n">
        <v>0</v>
      </c>
      <c r="H4475" s="21" t="n">
        <v>0</v>
      </c>
      <c r="I4475" s="21" t="n">
        <v>0</v>
      </c>
      <c r="J4475" s="21" t="n">
        <v>0</v>
      </c>
      <c r="K4475" s="21" t="n">
        <v>0</v>
      </c>
      <c r="L4475" s="21" t="n">
        <v>0</v>
      </c>
      <c r="M4475" s="21" t="n">
        <v>0</v>
      </c>
      <c r="N4475" s="21" t="n">
        <v>0</v>
      </c>
      <c r="O4475" s="21" t="n">
        <v>0</v>
      </c>
      <c r="P4475" s="21" t="n">
        <v>0</v>
      </c>
      <c r="Q4475" s="21" t="n">
        <v>0</v>
      </c>
      <c r="R4475" s="21" t="n">
        <v>0</v>
      </c>
      <c r="S4475" s="21" t="n">
        <v>0</v>
      </c>
      <c r="T4475" s="21" t="n">
        <v>0</v>
      </c>
      <c r="U4475" s="21" t="n">
        <v>0</v>
      </c>
      <c r="V4475" s="21">
        <f>-$B$3624</f>
        <v/>
      </c>
      <c r="W4475" s="21">
        <f>-$B$3625</f>
        <v/>
      </c>
      <c r="X4475" s="21">
        <f>$B$3624+$D$4453</f>
        <v/>
      </c>
      <c r="Y4475" s="21">
        <f>-$B$3625</f>
        <v/>
      </c>
      <c r="Z4475" s="19" t="n"/>
    </row>
    <row r="4476">
      <c r="D4476" s="21" t="n">
        <v>0</v>
      </c>
      <c r="E4476" s="21" t="n">
        <v>0</v>
      </c>
      <c r="F4476" s="21" t="n">
        <v>0</v>
      </c>
      <c r="G4476" s="21" t="n">
        <v>0</v>
      </c>
      <c r="H4476" s="21" t="n">
        <v>0</v>
      </c>
      <c r="I4476" s="21" t="n">
        <v>0</v>
      </c>
      <c r="J4476" s="21" t="n">
        <v>0</v>
      </c>
      <c r="K4476" s="21" t="n">
        <v>0</v>
      </c>
      <c r="L4476" s="21" t="n">
        <v>0</v>
      </c>
      <c r="M4476" s="21" t="n">
        <v>0</v>
      </c>
      <c r="N4476" s="21" t="n">
        <v>0</v>
      </c>
      <c r="O4476" s="21" t="n">
        <v>0</v>
      </c>
      <c r="P4476" s="21" t="n">
        <v>0</v>
      </c>
      <c r="Q4476" s="21" t="n">
        <v>0</v>
      </c>
      <c r="R4476" s="21" t="n">
        <v>0</v>
      </c>
      <c r="S4476" s="21" t="n">
        <v>0</v>
      </c>
      <c r="T4476" s="21" t="n">
        <v>0</v>
      </c>
      <c r="U4476" s="21" t="n">
        <v>0</v>
      </c>
      <c r="V4476" s="21">
        <f>$B$3625</f>
        <v/>
      </c>
      <c r="W4476" s="21">
        <f>$B$3627</f>
        <v/>
      </c>
      <c r="X4476" s="21">
        <f>-$B$3625</f>
        <v/>
      </c>
      <c r="Y4476" s="21">
        <f>$B$3626</f>
        <v/>
      </c>
      <c r="Z4476" s="19" t="n"/>
    </row>
    <row r="4478">
      <c r="A4478" s="8" t="inlineStr">
        <is>
          <t>gen 23</t>
        </is>
      </c>
    </row>
    <row r="4479">
      <c r="D4479" s="19">
        <f>IF(ABS(IF(ABS($E$4443)&gt;0.000000001,$E$4443,0.000000001))=0,0,IF($E$3639&lt;=$B$3633,0,IF(ABS(IF(ABS($E$4443)&gt;0.000000001,$E$4443,0.000000001))&gt;=8*$B$3635,$H$3639,0.5*$H$3639*(ABS(IF(ABS($E$4443)&gt;0.000000001,$E$4443,0.000000001))/$B$3635)^(1/3)))/ABS(IF(ABS($E$4443)&gt;0.000000001,$E$4443,0.000000001))*$I$3639)</f>
        <v/>
      </c>
      <c r="E4479" s="19">
        <f>0.5*$E$4443+0.5*$Z$4491</f>
        <v/>
      </c>
      <c r="F4479" s="19">
        <f>$Z$4492</f>
        <v/>
      </c>
    </row>
    <row r="4480">
      <c r="D4480" s="19">
        <f>IF(ABS(IF(ABS($E$4444)&gt;0.000000001,$E$4444,0.000000001))=0,0,IF($E$3640&lt;=$B$3633,0,IF(ABS(IF(ABS($E$4444)&gt;0.000000001,$E$4444,0.000000001))&gt;=8*$B$3635,$H$3640,0.5*$H$3640*(ABS(IF(ABS($E$4444)&gt;0.000000001,$E$4444,0.000000001))/$B$3635)^(1/3)))/ABS(IF(ABS($E$4444)&gt;0.000000001,$E$4444,0.000000001))*$I$3640)</f>
        <v/>
      </c>
      <c r="E4480" s="19">
        <f>0.5*$E$4444+0.5*$Z$4493</f>
        <v/>
      </c>
      <c r="F4480" s="19">
        <f>$Z$4494</f>
        <v/>
      </c>
    </row>
    <row r="4481">
      <c r="D4481" s="19">
        <f>IF(ABS(IF(ABS($E$4445)&gt;0.000000001,$E$4445,0.000000001))=0,0,IF($E$3641&lt;=$B$3633,0,IF(ABS(IF(ABS($E$4445)&gt;0.000000001,$E$4445,0.000000001))&gt;=8*$B$3635,$H$3641,0.5*$H$3641*(ABS(IF(ABS($E$4445)&gt;0.000000001,$E$4445,0.000000001))/$B$3635)^(1/3)))/ABS(IF(ABS($E$4445)&gt;0.000000001,$E$4445,0.000000001))*$I$3641)</f>
        <v/>
      </c>
      <c r="E4481" s="19">
        <f>0.5*$E$4445+0.5*$Z$4495</f>
        <v/>
      </c>
      <c r="F4481" s="19">
        <f>$Z$4496</f>
        <v/>
      </c>
    </row>
    <row r="4482">
      <c r="D4482" s="19">
        <f>IF(ABS(IF(ABS($E$4446)&gt;0.000000001,$E$4446,0.000000001))=0,0,IF($E$3642&lt;=$B$3633,0,IF(ABS(IF(ABS($E$4446)&gt;0.000000001,$E$4446,0.000000001))&gt;=8*$B$3635,$H$3642,0.5*$H$3642*(ABS(IF(ABS($E$4446)&gt;0.000000001,$E$4446,0.000000001))/$B$3635)^(1/3)))/ABS(IF(ABS($E$4446)&gt;0.000000001,$E$4446,0.000000001))*$I$3642)</f>
        <v/>
      </c>
      <c r="E4482" s="19">
        <f>0.5*$E$4446+0.5*$Z$4497</f>
        <v/>
      </c>
      <c r="F4482" s="19">
        <f>$Z$4498</f>
        <v/>
      </c>
    </row>
    <row r="4483">
      <c r="D4483" s="19">
        <f>IF(ABS(IF(ABS($E$4447)&gt;0.000000001,$E$4447,0.000000001))=0,0,IF($E$3643&lt;=$B$3633,0,IF(ABS(IF(ABS($E$4447)&gt;0.000000001,$E$4447,0.000000001))&gt;=8*$B$3635,$H$3643,0.5*$H$3643*(ABS(IF(ABS($E$4447)&gt;0.000000001,$E$4447,0.000000001))/$B$3635)^(1/3)))/ABS(IF(ABS($E$4447)&gt;0.000000001,$E$4447,0.000000001))*$I$3643)</f>
        <v/>
      </c>
      <c r="E4483" s="19">
        <f>0.5*$E$4447+0.5*$Z$4499</f>
        <v/>
      </c>
      <c r="F4483" s="19">
        <f>$Z$4500</f>
        <v/>
      </c>
    </row>
    <row r="4484">
      <c r="D4484" s="19">
        <f>IF(ABS(IF(ABS($E$4448)&gt;0.000000001,$E$4448,0.000000001))=0,0,IF($E$3644&lt;=$B$3633,0,IF(ABS(IF(ABS($E$4448)&gt;0.000000001,$E$4448,0.000000001))&gt;=8*$B$3635,$H$3644,0.5*$H$3644*(ABS(IF(ABS($E$4448)&gt;0.000000001,$E$4448,0.000000001))/$B$3635)^(1/3)))/ABS(IF(ABS($E$4448)&gt;0.000000001,$E$4448,0.000000001))*$I$3644)</f>
        <v/>
      </c>
      <c r="E4484" s="19">
        <f>0.5*$E$4448+0.5*$Z$4501</f>
        <v/>
      </c>
      <c r="F4484" s="19">
        <f>$Z$4502</f>
        <v/>
      </c>
    </row>
    <row r="4485">
      <c r="D4485" s="19">
        <f>IF(ABS(IF(ABS($E$4449)&gt;0.000000001,$E$4449,0.000000001))=0,0,IF($E$3645&lt;=$B$3633,0,IF(ABS(IF(ABS($E$4449)&gt;0.000000001,$E$4449,0.000000001))&gt;=8*$B$3635,$H$3645,0.5*$H$3645*(ABS(IF(ABS($E$4449)&gt;0.000000001,$E$4449,0.000000001))/$B$3635)^(1/3)))/ABS(IF(ABS($E$4449)&gt;0.000000001,$E$4449,0.000000001))*$I$3645)</f>
        <v/>
      </c>
      <c r="E4485" s="19">
        <f>0.5*$E$4449+0.5*$Z$4503</f>
        <v/>
      </c>
      <c r="F4485" s="19">
        <f>$Z$4504</f>
        <v/>
      </c>
    </row>
    <row r="4486">
      <c r="D4486" s="19">
        <f>IF(ABS(IF(ABS($E$4450)&gt;0.000000001,$E$4450,0.000000001))=0,0,IF($E$3646&lt;=$B$3633,0,IF(ABS(IF(ABS($E$4450)&gt;0.000000001,$E$4450,0.000000001))&gt;=8*$B$3635,$H$3646,0.5*$H$3646*(ABS(IF(ABS($E$4450)&gt;0.000000001,$E$4450,0.000000001))/$B$3635)^(1/3)))/ABS(IF(ABS($E$4450)&gt;0.000000001,$E$4450,0.000000001))*$I$3646)</f>
        <v/>
      </c>
      <c r="E4486" s="19">
        <f>0.5*$E$4450+0.5*$Z$4505</f>
        <v/>
      </c>
      <c r="F4486" s="19">
        <f>$Z$4506</f>
        <v/>
      </c>
    </row>
    <row r="4487">
      <c r="D4487" s="19">
        <f>IF(ABS(IF(ABS($E$4451)&gt;0.000000001,$E$4451,0.000000001))=0,0,IF($E$3647&lt;=$B$3633,0,IF(ABS(IF(ABS($E$4451)&gt;0.000000001,$E$4451,0.000000001))&gt;=8*$B$3635,$H$3647,0.5*$H$3647*(ABS(IF(ABS($E$4451)&gt;0.000000001,$E$4451,0.000000001))/$B$3635)^(1/3)))/ABS(IF(ABS($E$4451)&gt;0.000000001,$E$4451,0.000000001))*$I$3647)</f>
        <v/>
      </c>
      <c r="E4487" s="19">
        <f>0.5*$E$4451+0.5*$Z$4507</f>
        <v/>
      </c>
      <c r="F4487" s="19">
        <f>$Z$4508</f>
        <v/>
      </c>
    </row>
    <row r="4488">
      <c r="D4488" s="19">
        <f>IF(ABS(IF(ABS($E$4452)&gt;0.000000001,$E$4452,0.000000001))=0,0,IF($E$3648&lt;=$B$3633,0,IF(ABS(IF(ABS($E$4452)&gt;0.000000001,$E$4452,0.000000001))&gt;=8*$B$3635,$H$3648,0.5*$H$3648*(ABS(IF(ABS($E$4452)&gt;0.000000001,$E$4452,0.000000001))/$B$3635)^(1/3)))/ABS(IF(ABS($E$4452)&gt;0.000000001,$E$4452,0.000000001))*$I$3648)</f>
        <v/>
      </c>
      <c r="E4488" s="19">
        <f>0.5*$E$4452+0.5*$Z$4509</f>
        <v/>
      </c>
      <c r="F4488" s="19">
        <f>$Z$4510</f>
        <v/>
      </c>
    </row>
    <row r="4489">
      <c r="D4489" s="19">
        <f>IF(ABS(IF(ABS($E$4453)&gt;0.000000001,$E$4453,0.000000001))=0,0,IF($E$3649&lt;=$B$3633,0,IF(ABS(IF(ABS($E$4453)&gt;0.000000001,$E$4453,0.000000001))&gt;=8*$B$3635,$H$3649,0.5*$H$3649*(ABS(IF(ABS($E$4453)&gt;0.000000001,$E$4453,0.000000001))/$B$3635)^(1/3)))/ABS(IF(ABS($E$4453)&gt;0.000000001,$E$4453,0.000000001))*$I$3649)</f>
        <v/>
      </c>
      <c r="E4489" s="19">
        <f>0.5*$E$4453+0.5*$Z$4511</f>
        <v/>
      </c>
      <c r="F4489" s="19">
        <f>$Z$4512</f>
        <v/>
      </c>
    </row>
    <row r="4491">
      <c r="D4491" s="21">
        <f>$B$3624+$D$4479</f>
        <v/>
      </c>
      <c r="E4491" s="21">
        <f>$B$3625</f>
        <v/>
      </c>
      <c r="F4491" s="21">
        <f>-$B$3624</f>
        <v/>
      </c>
      <c r="G4491" s="21">
        <f>$B$3625</f>
        <v/>
      </c>
      <c r="H4491" s="21" t="n">
        <v>0</v>
      </c>
      <c r="I4491" s="21" t="n">
        <v>0</v>
      </c>
      <c r="J4491" s="21" t="n">
        <v>0</v>
      </c>
      <c r="K4491" s="21" t="n">
        <v>0</v>
      </c>
      <c r="L4491" s="21" t="n">
        <v>0</v>
      </c>
      <c r="M4491" s="21" t="n">
        <v>0</v>
      </c>
      <c r="N4491" s="21" t="n">
        <v>0</v>
      </c>
      <c r="O4491" s="21" t="n">
        <v>0</v>
      </c>
      <c r="P4491" s="21" t="n">
        <v>0</v>
      </c>
      <c r="Q4491" s="21" t="n">
        <v>0</v>
      </c>
      <c r="R4491" s="21" t="n">
        <v>0</v>
      </c>
      <c r="S4491" s="21" t="n">
        <v>0</v>
      </c>
      <c r="T4491" s="21" t="n">
        <v>0</v>
      </c>
      <c r="U4491" s="21" t="n">
        <v>0</v>
      </c>
      <c r="V4491" s="21" t="n">
        <v>0</v>
      </c>
      <c r="W4491" s="21" t="n">
        <v>0</v>
      </c>
      <c r="X4491" s="21" t="n">
        <v>0</v>
      </c>
      <c r="Y4491" s="21" t="n">
        <v>0</v>
      </c>
      <c r="Z4491" s="19">
        <f t="array" ref="Z4491:Z4512">MMULT(MINVERSE($D$4491:$Y$4512),$D$3651:$D$3672)</f>
        <v/>
      </c>
    </row>
    <row r="4492">
      <c r="D4492" s="21">
        <f>$B$3625</f>
        <v/>
      </c>
      <c r="E4492" s="21">
        <f>$B$3626</f>
        <v/>
      </c>
      <c r="F4492" s="21">
        <f>-$B$3625</f>
        <v/>
      </c>
      <c r="G4492" s="21">
        <f>$B$3627</f>
        <v/>
      </c>
      <c r="H4492" s="21" t="n">
        <v>0</v>
      </c>
      <c r="I4492" s="21" t="n">
        <v>0</v>
      </c>
      <c r="J4492" s="21" t="n">
        <v>0</v>
      </c>
      <c r="K4492" s="21" t="n">
        <v>0</v>
      </c>
      <c r="L4492" s="21" t="n">
        <v>0</v>
      </c>
      <c r="M4492" s="21" t="n">
        <v>0</v>
      </c>
      <c r="N4492" s="21" t="n">
        <v>0</v>
      </c>
      <c r="O4492" s="21" t="n">
        <v>0</v>
      </c>
      <c r="P4492" s="21" t="n">
        <v>0</v>
      </c>
      <c r="Q4492" s="21" t="n">
        <v>0</v>
      </c>
      <c r="R4492" s="21" t="n">
        <v>0</v>
      </c>
      <c r="S4492" s="21" t="n">
        <v>0</v>
      </c>
      <c r="T4492" s="21" t="n">
        <v>0</v>
      </c>
      <c r="U4492" s="21" t="n">
        <v>0</v>
      </c>
      <c r="V4492" s="21" t="n">
        <v>0</v>
      </c>
      <c r="W4492" s="21" t="n">
        <v>0</v>
      </c>
      <c r="X4492" s="21" t="n">
        <v>0</v>
      </c>
      <c r="Y4492" s="21" t="n">
        <v>0</v>
      </c>
      <c r="Z4492" s="19" t="n"/>
    </row>
    <row r="4493">
      <c r="D4493" s="21">
        <f>-$B$3624</f>
        <v/>
      </c>
      <c r="E4493" s="21">
        <f>-$B$3625</f>
        <v/>
      </c>
      <c r="F4493" s="21">
        <f>2*$B$3624+$D$4480</f>
        <v/>
      </c>
      <c r="G4493" s="21">
        <f>0</f>
        <v/>
      </c>
      <c r="H4493" s="21">
        <f>-$B$3624</f>
        <v/>
      </c>
      <c r="I4493" s="21">
        <f>$B$3625</f>
        <v/>
      </c>
      <c r="J4493" s="21" t="n">
        <v>0</v>
      </c>
      <c r="K4493" s="21" t="n">
        <v>0</v>
      </c>
      <c r="L4493" s="21" t="n">
        <v>0</v>
      </c>
      <c r="M4493" s="21" t="n">
        <v>0</v>
      </c>
      <c r="N4493" s="21" t="n">
        <v>0</v>
      </c>
      <c r="O4493" s="21" t="n">
        <v>0</v>
      </c>
      <c r="P4493" s="21" t="n">
        <v>0</v>
      </c>
      <c r="Q4493" s="21" t="n">
        <v>0</v>
      </c>
      <c r="R4493" s="21" t="n">
        <v>0</v>
      </c>
      <c r="S4493" s="21" t="n">
        <v>0</v>
      </c>
      <c r="T4493" s="21" t="n">
        <v>0</v>
      </c>
      <c r="U4493" s="21" t="n">
        <v>0</v>
      </c>
      <c r="V4493" s="21" t="n">
        <v>0</v>
      </c>
      <c r="W4493" s="21" t="n">
        <v>0</v>
      </c>
      <c r="X4493" s="21" t="n">
        <v>0</v>
      </c>
      <c r="Y4493" s="21" t="n">
        <v>0</v>
      </c>
      <c r="Z4493" s="19" t="n"/>
    </row>
    <row r="4494">
      <c r="D4494" s="21">
        <f>$B$3625</f>
        <v/>
      </c>
      <c r="E4494" s="21">
        <f>$B$3627</f>
        <v/>
      </c>
      <c r="F4494" s="21">
        <f>0</f>
        <v/>
      </c>
      <c r="G4494" s="21">
        <f>2*$B$3626</f>
        <v/>
      </c>
      <c r="H4494" s="21">
        <f>-$B$3625</f>
        <v/>
      </c>
      <c r="I4494" s="21">
        <f>$B$3627</f>
        <v/>
      </c>
      <c r="J4494" s="21" t="n">
        <v>0</v>
      </c>
      <c r="K4494" s="21" t="n">
        <v>0</v>
      </c>
      <c r="L4494" s="21" t="n">
        <v>0</v>
      </c>
      <c r="M4494" s="21" t="n">
        <v>0</v>
      </c>
      <c r="N4494" s="21" t="n">
        <v>0</v>
      </c>
      <c r="O4494" s="21" t="n">
        <v>0</v>
      </c>
      <c r="P4494" s="21" t="n">
        <v>0</v>
      </c>
      <c r="Q4494" s="21" t="n">
        <v>0</v>
      </c>
      <c r="R4494" s="21" t="n">
        <v>0</v>
      </c>
      <c r="S4494" s="21" t="n">
        <v>0</v>
      </c>
      <c r="T4494" s="21" t="n">
        <v>0</v>
      </c>
      <c r="U4494" s="21" t="n">
        <v>0</v>
      </c>
      <c r="V4494" s="21" t="n">
        <v>0</v>
      </c>
      <c r="W4494" s="21" t="n">
        <v>0</v>
      </c>
      <c r="X4494" s="21" t="n">
        <v>0</v>
      </c>
      <c r="Y4494" s="21" t="n">
        <v>0</v>
      </c>
      <c r="Z4494" s="19" t="n"/>
    </row>
    <row r="4495">
      <c r="D4495" s="21" t="n">
        <v>0</v>
      </c>
      <c r="E4495" s="21" t="n">
        <v>0</v>
      </c>
      <c r="F4495" s="21">
        <f>-$B$3624</f>
        <v/>
      </c>
      <c r="G4495" s="21">
        <f>-$B$3625</f>
        <v/>
      </c>
      <c r="H4495" s="21">
        <f>2*$B$3624+$D$4481</f>
        <v/>
      </c>
      <c r="I4495" s="21">
        <f>0</f>
        <v/>
      </c>
      <c r="J4495" s="21">
        <f>-$B$3624</f>
        <v/>
      </c>
      <c r="K4495" s="21">
        <f>$B$3625</f>
        <v/>
      </c>
      <c r="L4495" s="21" t="n">
        <v>0</v>
      </c>
      <c r="M4495" s="21" t="n">
        <v>0</v>
      </c>
      <c r="N4495" s="21" t="n">
        <v>0</v>
      </c>
      <c r="O4495" s="21" t="n">
        <v>0</v>
      </c>
      <c r="P4495" s="21" t="n">
        <v>0</v>
      </c>
      <c r="Q4495" s="21" t="n">
        <v>0</v>
      </c>
      <c r="R4495" s="21" t="n">
        <v>0</v>
      </c>
      <c r="S4495" s="21" t="n">
        <v>0</v>
      </c>
      <c r="T4495" s="21" t="n">
        <v>0</v>
      </c>
      <c r="U4495" s="21" t="n">
        <v>0</v>
      </c>
      <c r="V4495" s="21" t="n">
        <v>0</v>
      </c>
      <c r="W4495" s="21" t="n">
        <v>0</v>
      </c>
      <c r="X4495" s="21" t="n">
        <v>0</v>
      </c>
      <c r="Y4495" s="21" t="n">
        <v>0</v>
      </c>
      <c r="Z4495" s="19" t="n"/>
    </row>
    <row r="4496">
      <c r="D4496" s="21" t="n">
        <v>0</v>
      </c>
      <c r="E4496" s="21" t="n">
        <v>0</v>
      </c>
      <c r="F4496" s="21">
        <f>$B$3625</f>
        <v/>
      </c>
      <c r="G4496" s="21">
        <f>$B$3627</f>
        <v/>
      </c>
      <c r="H4496" s="21">
        <f>0</f>
        <v/>
      </c>
      <c r="I4496" s="21">
        <f>2*$B$3626</f>
        <v/>
      </c>
      <c r="J4496" s="21">
        <f>-$B$3625</f>
        <v/>
      </c>
      <c r="K4496" s="21">
        <f>$B$3627</f>
        <v/>
      </c>
      <c r="L4496" s="21" t="n">
        <v>0</v>
      </c>
      <c r="M4496" s="21" t="n">
        <v>0</v>
      </c>
      <c r="N4496" s="21" t="n">
        <v>0</v>
      </c>
      <c r="O4496" s="21" t="n">
        <v>0</v>
      </c>
      <c r="P4496" s="21" t="n">
        <v>0</v>
      </c>
      <c r="Q4496" s="21" t="n">
        <v>0</v>
      </c>
      <c r="R4496" s="21" t="n">
        <v>0</v>
      </c>
      <c r="S4496" s="21" t="n">
        <v>0</v>
      </c>
      <c r="T4496" s="21" t="n">
        <v>0</v>
      </c>
      <c r="U4496" s="21" t="n">
        <v>0</v>
      </c>
      <c r="V4496" s="21" t="n">
        <v>0</v>
      </c>
      <c r="W4496" s="21" t="n">
        <v>0</v>
      </c>
      <c r="X4496" s="21" t="n">
        <v>0</v>
      </c>
      <c r="Y4496" s="21" t="n">
        <v>0</v>
      </c>
      <c r="Z4496" s="19" t="n"/>
    </row>
    <row r="4497">
      <c r="D4497" s="21" t="n">
        <v>0</v>
      </c>
      <c r="E4497" s="21" t="n">
        <v>0</v>
      </c>
      <c r="F4497" s="21" t="n">
        <v>0</v>
      </c>
      <c r="G4497" s="21" t="n">
        <v>0</v>
      </c>
      <c r="H4497" s="21">
        <f>-$B$3624</f>
        <v/>
      </c>
      <c r="I4497" s="21">
        <f>-$B$3625</f>
        <v/>
      </c>
      <c r="J4497" s="21">
        <f>2*$B$3624+$D$4482</f>
        <v/>
      </c>
      <c r="K4497" s="21">
        <f>0</f>
        <v/>
      </c>
      <c r="L4497" s="21">
        <f>-$B$3624</f>
        <v/>
      </c>
      <c r="M4497" s="21">
        <f>$B$3625</f>
        <v/>
      </c>
      <c r="N4497" s="21" t="n">
        <v>0</v>
      </c>
      <c r="O4497" s="21" t="n">
        <v>0</v>
      </c>
      <c r="P4497" s="21" t="n">
        <v>0</v>
      </c>
      <c r="Q4497" s="21" t="n">
        <v>0</v>
      </c>
      <c r="R4497" s="21" t="n">
        <v>0</v>
      </c>
      <c r="S4497" s="21" t="n">
        <v>0</v>
      </c>
      <c r="T4497" s="21" t="n">
        <v>0</v>
      </c>
      <c r="U4497" s="21" t="n">
        <v>0</v>
      </c>
      <c r="V4497" s="21" t="n">
        <v>0</v>
      </c>
      <c r="W4497" s="21" t="n">
        <v>0</v>
      </c>
      <c r="X4497" s="21" t="n">
        <v>0</v>
      </c>
      <c r="Y4497" s="21" t="n">
        <v>0</v>
      </c>
      <c r="Z4497" s="19" t="n"/>
    </row>
    <row r="4498">
      <c r="D4498" s="21" t="n">
        <v>0</v>
      </c>
      <c r="E4498" s="21" t="n">
        <v>0</v>
      </c>
      <c r="F4498" s="21" t="n">
        <v>0</v>
      </c>
      <c r="G4498" s="21" t="n">
        <v>0</v>
      </c>
      <c r="H4498" s="21">
        <f>$B$3625</f>
        <v/>
      </c>
      <c r="I4498" s="21">
        <f>$B$3627</f>
        <v/>
      </c>
      <c r="J4498" s="21">
        <f>0</f>
        <v/>
      </c>
      <c r="K4498" s="21">
        <f>2*$B$3626</f>
        <v/>
      </c>
      <c r="L4498" s="21">
        <f>-$B$3625</f>
        <v/>
      </c>
      <c r="M4498" s="21">
        <f>$B$3627</f>
        <v/>
      </c>
      <c r="N4498" s="21" t="n">
        <v>0</v>
      </c>
      <c r="O4498" s="21" t="n">
        <v>0</v>
      </c>
      <c r="P4498" s="21" t="n">
        <v>0</v>
      </c>
      <c r="Q4498" s="21" t="n">
        <v>0</v>
      </c>
      <c r="R4498" s="21" t="n">
        <v>0</v>
      </c>
      <c r="S4498" s="21" t="n">
        <v>0</v>
      </c>
      <c r="T4498" s="21" t="n">
        <v>0</v>
      </c>
      <c r="U4498" s="21" t="n">
        <v>0</v>
      </c>
      <c r="V4498" s="21" t="n">
        <v>0</v>
      </c>
      <c r="W4498" s="21" t="n">
        <v>0</v>
      </c>
      <c r="X4498" s="21" t="n">
        <v>0</v>
      </c>
      <c r="Y4498" s="21" t="n">
        <v>0</v>
      </c>
      <c r="Z4498" s="19" t="n"/>
    </row>
    <row r="4499">
      <c r="D4499" s="21" t="n">
        <v>0</v>
      </c>
      <c r="E4499" s="21" t="n">
        <v>0</v>
      </c>
      <c r="F4499" s="21" t="n">
        <v>0</v>
      </c>
      <c r="G4499" s="21" t="n">
        <v>0</v>
      </c>
      <c r="H4499" s="21" t="n">
        <v>0</v>
      </c>
      <c r="I4499" s="21" t="n">
        <v>0</v>
      </c>
      <c r="J4499" s="21">
        <f>-$B$3624</f>
        <v/>
      </c>
      <c r="K4499" s="21">
        <f>-$B$3625</f>
        <v/>
      </c>
      <c r="L4499" s="21">
        <f>2*$B$3624+$D$4483</f>
        <v/>
      </c>
      <c r="M4499" s="21">
        <f>0</f>
        <v/>
      </c>
      <c r="N4499" s="21">
        <f>-$B$3624</f>
        <v/>
      </c>
      <c r="O4499" s="21">
        <f>$B$3625</f>
        <v/>
      </c>
      <c r="P4499" s="21" t="n">
        <v>0</v>
      </c>
      <c r="Q4499" s="21" t="n">
        <v>0</v>
      </c>
      <c r="R4499" s="21" t="n">
        <v>0</v>
      </c>
      <c r="S4499" s="21" t="n">
        <v>0</v>
      </c>
      <c r="T4499" s="21" t="n">
        <v>0</v>
      </c>
      <c r="U4499" s="21" t="n">
        <v>0</v>
      </c>
      <c r="V4499" s="21" t="n">
        <v>0</v>
      </c>
      <c r="W4499" s="21" t="n">
        <v>0</v>
      </c>
      <c r="X4499" s="21" t="n">
        <v>0</v>
      </c>
      <c r="Y4499" s="21" t="n">
        <v>0</v>
      </c>
      <c r="Z4499" s="19" t="n"/>
    </row>
    <row r="4500">
      <c r="D4500" s="21" t="n">
        <v>0</v>
      </c>
      <c r="E4500" s="21" t="n">
        <v>0</v>
      </c>
      <c r="F4500" s="21" t="n">
        <v>0</v>
      </c>
      <c r="G4500" s="21" t="n">
        <v>0</v>
      </c>
      <c r="H4500" s="21" t="n">
        <v>0</v>
      </c>
      <c r="I4500" s="21" t="n">
        <v>0</v>
      </c>
      <c r="J4500" s="21">
        <f>$B$3625</f>
        <v/>
      </c>
      <c r="K4500" s="21">
        <f>$B$3627</f>
        <v/>
      </c>
      <c r="L4500" s="21">
        <f>0</f>
        <v/>
      </c>
      <c r="M4500" s="21">
        <f>2*$B$3626</f>
        <v/>
      </c>
      <c r="N4500" s="21">
        <f>-$B$3625</f>
        <v/>
      </c>
      <c r="O4500" s="21">
        <f>$B$3627</f>
        <v/>
      </c>
      <c r="P4500" s="21" t="n">
        <v>0</v>
      </c>
      <c r="Q4500" s="21" t="n">
        <v>0</v>
      </c>
      <c r="R4500" s="21" t="n">
        <v>0</v>
      </c>
      <c r="S4500" s="21" t="n">
        <v>0</v>
      </c>
      <c r="T4500" s="21" t="n">
        <v>0</v>
      </c>
      <c r="U4500" s="21" t="n">
        <v>0</v>
      </c>
      <c r="V4500" s="21" t="n">
        <v>0</v>
      </c>
      <c r="W4500" s="21" t="n">
        <v>0</v>
      </c>
      <c r="X4500" s="21" t="n">
        <v>0</v>
      </c>
      <c r="Y4500" s="21" t="n">
        <v>0</v>
      </c>
      <c r="Z4500" s="19" t="n"/>
    </row>
    <row r="4501">
      <c r="D4501" s="21" t="n">
        <v>0</v>
      </c>
      <c r="E4501" s="21" t="n">
        <v>0</v>
      </c>
      <c r="F4501" s="21" t="n">
        <v>0</v>
      </c>
      <c r="G4501" s="21" t="n">
        <v>0</v>
      </c>
      <c r="H4501" s="21" t="n">
        <v>0</v>
      </c>
      <c r="I4501" s="21" t="n">
        <v>0</v>
      </c>
      <c r="J4501" s="21" t="n">
        <v>0</v>
      </c>
      <c r="K4501" s="21" t="n">
        <v>0</v>
      </c>
      <c r="L4501" s="21">
        <f>-$B$3624</f>
        <v/>
      </c>
      <c r="M4501" s="21">
        <f>-$B$3625</f>
        <v/>
      </c>
      <c r="N4501" s="21">
        <f>2*$B$3624+$D$4484</f>
        <v/>
      </c>
      <c r="O4501" s="21">
        <f>0</f>
        <v/>
      </c>
      <c r="P4501" s="21">
        <f>-$B$3624</f>
        <v/>
      </c>
      <c r="Q4501" s="21">
        <f>$B$3625</f>
        <v/>
      </c>
      <c r="R4501" s="21" t="n">
        <v>0</v>
      </c>
      <c r="S4501" s="21" t="n">
        <v>0</v>
      </c>
      <c r="T4501" s="21" t="n">
        <v>0</v>
      </c>
      <c r="U4501" s="21" t="n">
        <v>0</v>
      </c>
      <c r="V4501" s="21" t="n">
        <v>0</v>
      </c>
      <c r="W4501" s="21" t="n">
        <v>0</v>
      </c>
      <c r="X4501" s="21" t="n">
        <v>0</v>
      </c>
      <c r="Y4501" s="21" t="n">
        <v>0</v>
      </c>
      <c r="Z4501" s="19" t="n"/>
    </row>
    <row r="4502">
      <c r="D4502" s="21" t="n">
        <v>0</v>
      </c>
      <c r="E4502" s="21" t="n">
        <v>0</v>
      </c>
      <c r="F4502" s="21" t="n">
        <v>0</v>
      </c>
      <c r="G4502" s="21" t="n">
        <v>0</v>
      </c>
      <c r="H4502" s="21" t="n">
        <v>0</v>
      </c>
      <c r="I4502" s="21" t="n">
        <v>0</v>
      </c>
      <c r="J4502" s="21" t="n">
        <v>0</v>
      </c>
      <c r="K4502" s="21" t="n">
        <v>0</v>
      </c>
      <c r="L4502" s="21">
        <f>$B$3625</f>
        <v/>
      </c>
      <c r="M4502" s="21">
        <f>$B$3627</f>
        <v/>
      </c>
      <c r="N4502" s="21">
        <f>0</f>
        <v/>
      </c>
      <c r="O4502" s="21">
        <f>2*$B$3626</f>
        <v/>
      </c>
      <c r="P4502" s="21">
        <f>-$B$3625</f>
        <v/>
      </c>
      <c r="Q4502" s="21">
        <f>$B$3627</f>
        <v/>
      </c>
      <c r="R4502" s="21" t="n">
        <v>0</v>
      </c>
      <c r="S4502" s="21" t="n">
        <v>0</v>
      </c>
      <c r="T4502" s="21" t="n">
        <v>0</v>
      </c>
      <c r="U4502" s="21" t="n">
        <v>0</v>
      </c>
      <c r="V4502" s="21" t="n">
        <v>0</v>
      </c>
      <c r="W4502" s="21" t="n">
        <v>0</v>
      </c>
      <c r="X4502" s="21" t="n">
        <v>0</v>
      </c>
      <c r="Y4502" s="21" t="n">
        <v>0</v>
      </c>
      <c r="Z4502" s="19" t="n"/>
    </row>
    <row r="4503">
      <c r="D4503" s="21" t="n">
        <v>0</v>
      </c>
      <c r="E4503" s="21" t="n">
        <v>0</v>
      </c>
      <c r="F4503" s="21" t="n">
        <v>0</v>
      </c>
      <c r="G4503" s="21" t="n">
        <v>0</v>
      </c>
      <c r="H4503" s="21" t="n">
        <v>0</v>
      </c>
      <c r="I4503" s="21" t="n">
        <v>0</v>
      </c>
      <c r="J4503" s="21" t="n">
        <v>0</v>
      </c>
      <c r="K4503" s="21" t="n">
        <v>0</v>
      </c>
      <c r="L4503" s="21" t="n">
        <v>0</v>
      </c>
      <c r="M4503" s="21" t="n">
        <v>0</v>
      </c>
      <c r="N4503" s="21">
        <f>-$B$3624</f>
        <v/>
      </c>
      <c r="O4503" s="21">
        <f>-$B$3625</f>
        <v/>
      </c>
      <c r="P4503" s="21">
        <f>2*$B$3624+$D$4485</f>
        <v/>
      </c>
      <c r="Q4503" s="21">
        <f>0</f>
        <v/>
      </c>
      <c r="R4503" s="21">
        <f>-$B$3624</f>
        <v/>
      </c>
      <c r="S4503" s="21">
        <f>$B$3625</f>
        <v/>
      </c>
      <c r="T4503" s="21" t="n">
        <v>0</v>
      </c>
      <c r="U4503" s="21" t="n">
        <v>0</v>
      </c>
      <c r="V4503" s="21" t="n">
        <v>0</v>
      </c>
      <c r="W4503" s="21" t="n">
        <v>0</v>
      </c>
      <c r="X4503" s="21" t="n">
        <v>0</v>
      </c>
      <c r="Y4503" s="21" t="n">
        <v>0</v>
      </c>
      <c r="Z4503" s="19" t="n"/>
    </row>
    <row r="4504">
      <c r="D4504" s="21" t="n">
        <v>0</v>
      </c>
      <c r="E4504" s="21" t="n">
        <v>0</v>
      </c>
      <c r="F4504" s="21" t="n">
        <v>0</v>
      </c>
      <c r="G4504" s="21" t="n">
        <v>0</v>
      </c>
      <c r="H4504" s="21" t="n">
        <v>0</v>
      </c>
      <c r="I4504" s="21" t="n">
        <v>0</v>
      </c>
      <c r="J4504" s="21" t="n">
        <v>0</v>
      </c>
      <c r="K4504" s="21" t="n">
        <v>0</v>
      </c>
      <c r="L4504" s="21" t="n">
        <v>0</v>
      </c>
      <c r="M4504" s="21" t="n">
        <v>0</v>
      </c>
      <c r="N4504" s="21">
        <f>$B$3625</f>
        <v/>
      </c>
      <c r="O4504" s="21">
        <f>$B$3627</f>
        <v/>
      </c>
      <c r="P4504" s="21">
        <f>0</f>
        <v/>
      </c>
      <c r="Q4504" s="21">
        <f>2*$B$3626</f>
        <v/>
      </c>
      <c r="R4504" s="21">
        <f>-$B$3625</f>
        <v/>
      </c>
      <c r="S4504" s="21">
        <f>$B$3627</f>
        <v/>
      </c>
      <c r="T4504" s="21" t="n">
        <v>0</v>
      </c>
      <c r="U4504" s="21" t="n">
        <v>0</v>
      </c>
      <c r="V4504" s="21" t="n">
        <v>0</v>
      </c>
      <c r="W4504" s="21" t="n">
        <v>0</v>
      </c>
      <c r="X4504" s="21" t="n">
        <v>0</v>
      </c>
      <c r="Y4504" s="21" t="n">
        <v>0</v>
      </c>
      <c r="Z4504" s="19" t="n"/>
    </row>
    <row r="4505">
      <c r="D4505" s="21" t="n">
        <v>0</v>
      </c>
      <c r="E4505" s="21" t="n">
        <v>0</v>
      </c>
      <c r="F4505" s="21" t="n">
        <v>0</v>
      </c>
      <c r="G4505" s="21" t="n">
        <v>0</v>
      </c>
      <c r="H4505" s="21" t="n">
        <v>0</v>
      </c>
      <c r="I4505" s="21" t="n">
        <v>0</v>
      </c>
      <c r="J4505" s="21" t="n">
        <v>0</v>
      </c>
      <c r="K4505" s="21" t="n">
        <v>0</v>
      </c>
      <c r="L4505" s="21" t="n">
        <v>0</v>
      </c>
      <c r="M4505" s="21" t="n">
        <v>0</v>
      </c>
      <c r="N4505" s="21" t="n">
        <v>0</v>
      </c>
      <c r="O4505" s="21" t="n">
        <v>0</v>
      </c>
      <c r="P4505" s="21">
        <f>-$B$3624</f>
        <v/>
      </c>
      <c r="Q4505" s="21">
        <f>-$B$3625</f>
        <v/>
      </c>
      <c r="R4505" s="21">
        <f>2*$B$3624+$D$4486</f>
        <v/>
      </c>
      <c r="S4505" s="21">
        <f>0</f>
        <v/>
      </c>
      <c r="T4505" s="21">
        <f>-$B$3624</f>
        <v/>
      </c>
      <c r="U4505" s="21">
        <f>$B$3625</f>
        <v/>
      </c>
      <c r="V4505" s="21" t="n">
        <v>0</v>
      </c>
      <c r="W4505" s="21" t="n">
        <v>0</v>
      </c>
      <c r="X4505" s="21" t="n">
        <v>0</v>
      </c>
      <c r="Y4505" s="21" t="n">
        <v>0</v>
      </c>
      <c r="Z4505" s="19" t="n"/>
    </row>
    <row r="4506">
      <c r="D4506" s="21" t="n">
        <v>0</v>
      </c>
      <c r="E4506" s="21" t="n">
        <v>0</v>
      </c>
      <c r="F4506" s="21" t="n">
        <v>0</v>
      </c>
      <c r="G4506" s="21" t="n">
        <v>0</v>
      </c>
      <c r="H4506" s="21" t="n">
        <v>0</v>
      </c>
      <c r="I4506" s="21" t="n">
        <v>0</v>
      </c>
      <c r="J4506" s="21" t="n">
        <v>0</v>
      </c>
      <c r="K4506" s="21" t="n">
        <v>0</v>
      </c>
      <c r="L4506" s="21" t="n">
        <v>0</v>
      </c>
      <c r="M4506" s="21" t="n">
        <v>0</v>
      </c>
      <c r="N4506" s="21" t="n">
        <v>0</v>
      </c>
      <c r="O4506" s="21" t="n">
        <v>0</v>
      </c>
      <c r="P4506" s="21">
        <f>$B$3625</f>
        <v/>
      </c>
      <c r="Q4506" s="21">
        <f>$B$3627</f>
        <v/>
      </c>
      <c r="R4506" s="21">
        <f>0</f>
        <v/>
      </c>
      <c r="S4506" s="21">
        <f>2*$B$3626</f>
        <v/>
      </c>
      <c r="T4506" s="21">
        <f>-$B$3625</f>
        <v/>
      </c>
      <c r="U4506" s="21">
        <f>$B$3627</f>
        <v/>
      </c>
      <c r="V4506" s="21" t="n">
        <v>0</v>
      </c>
      <c r="W4506" s="21" t="n">
        <v>0</v>
      </c>
      <c r="X4506" s="21" t="n">
        <v>0</v>
      </c>
      <c r="Y4506" s="21" t="n">
        <v>0</v>
      </c>
      <c r="Z4506" s="19" t="n"/>
    </row>
    <row r="4507">
      <c r="D4507" s="21" t="n">
        <v>0</v>
      </c>
      <c r="E4507" s="21" t="n">
        <v>0</v>
      </c>
      <c r="F4507" s="21" t="n">
        <v>0</v>
      </c>
      <c r="G4507" s="21" t="n">
        <v>0</v>
      </c>
      <c r="H4507" s="21" t="n">
        <v>0</v>
      </c>
      <c r="I4507" s="21" t="n">
        <v>0</v>
      </c>
      <c r="J4507" s="21" t="n">
        <v>0</v>
      </c>
      <c r="K4507" s="21" t="n">
        <v>0</v>
      </c>
      <c r="L4507" s="21" t="n">
        <v>0</v>
      </c>
      <c r="M4507" s="21" t="n">
        <v>0</v>
      </c>
      <c r="N4507" s="21" t="n">
        <v>0</v>
      </c>
      <c r="O4507" s="21" t="n">
        <v>0</v>
      </c>
      <c r="P4507" s="21" t="n">
        <v>0</v>
      </c>
      <c r="Q4507" s="21" t="n">
        <v>0</v>
      </c>
      <c r="R4507" s="21">
        <f>-$B$3624</f>
        <v/>
      </c>
      <c r="S4507" s="21">
        <f>-$B$3625</f>
        <v/>
      </c>
      <c r="T4507" s="21">
        <f>2*$B$3624+$D$4487</f>
        <v/>
      </c>
      <c r="U4507" s="21">
        <f>0</f>
        <v/>
      </c>
      <c r="V4507" s="21">
        <f>-$B$3624</f>
        <v/>
      </c>
      <c r="W4507" s="21">
        <f>$B$3625</f>
        <v/>
      </c>
      <c r="X4507" s="21" t="n">
        <v>0</v>
      </c>
      <c r="Y4507" s="21" t="n">
        <v>0</v>
      </c>
      <c r="Z4507" s="19" t="n"/>
    </row>
    <row r="4508">
      <c r="D4508" s="21" t="n">
        <v>0</v>
      </c>
      <c r="E4508" s="21" t="n">
        <v>0</v>
      </c>
      <c r="F4508" s="21" t="n">
        <v>0</v>
      </c>
      <c r="G4508" s="21" t="n">
        <v>0</v>
      </c>
      <c r="H4508" s="21" t="n">
        <v>0</v>
      </c>
      <c r="I4508" s="21" t="n">
        <v>0</v>
      </c>
      <c r="J4508" s="21" t="n">
        <v>0</v>
      </c>
      <c r="K4508" s="21" t="n">
        <v>0</v>
      </c>
      <c r="L4508" s="21" t="n">
        <v>0</v>
      </c>
      <c r="M4508" s="21" t="n">
        <v>0</v>
      </c>
      <c r="N4508" s="21" t="n">
        <v>0</v>
      </c>
      <c r="O4508" s="21" t="n">
        <v>0</v>
      </c>
      <c r="P4508" s="21" t="n">
        <v>0</v>
      </c>
      <c r="Q4508" s="21" t="n">
        <v>0</v>
      </c>
      <c r="R4508" s="21">
        <f>$B$3625</f>
        <v/>
      </c>
      <c r="S4508" s="21">
        <f>$B$3627</f>
        <v/>
      </c>
      <c r="T4508" s="21">
        <f>0</f>
        <v/>
      </c>
      <c r="U4508" s="21">
        <f>2*$B$3626</f>
        <v/>
      </c>
      <c r="V4508" s="21">
        <f>-$B$3625</f>
        <v/>
      </c>
      <c r="W4508" s="21">
        <f>$B$3627</f>
        <v/>
      </c>
      <c r="X4508" s="21" t="n">
        <v>0</v>
      </c>
      <c r="Y4508" s="21" t="n">
        <v>0</v>
      </c>
      <c r="Z4508" s="19" t="n"/>
    </row>
    <row r="4509">
      <c r="D4509" s="21" t="n">
        <v>0</v>
      </c>
      <c r="E4509" s="21" t="n">
        <v>0</v>
      </c>
      <c r="F4509" s="21" t="n">
        <v>0</v>
      </c>
      <c r="G4509" s="21" t="n">
        <v>0</v>
      </c>
      <c r="H4509" s="21" t="n">
        <v>0</v>
      </c>
      <c r="I4509" s="21" t="n">
        <v>0</v>
      </c>
      <c r="J4509" s="21" t="n">
        <v>0</v>
      </c>
      <c r="K4509" s="21" t="n">
        <v>0</v>
      </c>
      <c r="L4509" s="21" t="n">
        <v>0</v>
      </c>
      <c r="M4509" s="21" t="n">
        <v>0</v>
      </c>
      <c r="N4509" s="21" t="n">
        <v>0</v>
      </c>
      <c r="O4509" s="21" t="n">
        <v>0</v>
      </c>
      <c r="P4509" s="21" t="n">
        <v>0</v>
      </c>
      <c r="Q4509" s="21" t="n">
        <v>0</v>
      </c>
      <c r="R4509" s="21" t="n">
        <v>0</v>
      </c>
      <c r="S4509" s="21" t="n">
        <v>0</v>
      </c>
      <c r="T4509" s="21">
        <f>-$B$3624</f>
        <v/>
      </c>
      <c r="U4509" s="21">
        <f>-$B$3625</f>
        <v/>
      </c>
      <c r="V4509" s="21">
        <f>2*$B$3624+$D$4488</f>
        <v/>
      </c>
      <c r="W4509" s="21">
        <f>0</f>
        <v/>
      </c>
      <c r="X4509" s="21">
        <f>-$B$3624</f>
        <v/>
      </c>
      <c r="Y4509" s="21">
        <f>$B$3625</f>
        <v/>
      </c>
      <c r="Z4509" s="19" t="n"/>
    </row>
    <row r="4510">
      <c r="D4510" s="21" t="n">
        <v>0</v>
      </c>
      <c r="E4510" s="21" t="n">
        <v>0</v>
      </c>
      <c r="F4510" s="21" t="n">
        <v>0</v>
      </c>
      <c r="G4510" s="21" t="n">
        <v>0</v>
      </c>
      <c r="H4510" s="21" t="n">
        <v>0</v>
      </c>
      <c r="I4510" s="21" t="n">
        <v>0</v>
      </c>
      <c r="J4510" s="21" t="n">
        <v>0</v>
      </c>
      <c r="K4510" s="21" t="n">
        <v>0</v>
      </c>
      <c r="L4510" s="21" t="n">
        <v>0</v>
      </c>
      <c r="M4510" s="21" t="n">
        <v>0</v>
      </c>
      <c r="N4510" s="21" t="n">
        <v>0</v>
      </c>
      <c r="O4510" s="21" t="n">
        <v>0</v>
      </c>
      <c r="P4510" s="21" t="n">
        <v>0</v>
      </c>
      <c r="Q4510" s="21" t="n">
        <v>0</v>
      </c>
      <c r="R4510" s="21" t="n">
        <v>0</v>
      </c>
      <c r="S4510" s="21" t="n">
        <v>0</v>
      </c>
      <c r="T4510" s="21">
        <f>$B$3625</f>
        <v/>
      </c>
      <c r="U4510" s="21">
        <f>$B$3627</f>
        <v/>
      </c>
      <c r="V4510" s="21">
        <f>0</f>
        <v/>
      </c>
      <c r="W4510" s="21">
        <f>2*$B$3626</f>
        <v/>
      </c>
      <c r="X4510" s="21">
        <f>-$B$3625</f>
        <v/>
      </c>
      <c r="Y4510" s="21">
        <f>$B$3627</f>
        <v/>
      </c>
      <c r="Z4510" s="19" t="n"/>
    </row>
    <row r="4511">
      <c r="D4511" s="21" t="n">
        <v>0</v>
      </c>
      <c r="E4511" s="21" t="n">
        <v>0</v>
      </c>
      <c r="F4511" s="21" t="n">
        <v>0</v>
      </c>
      <c r="G4511" s="21" t="n">
        <v>0</v>
      </c>
      <c r="H4511" s="21" t="n">
        <v>0</v>
      </c>
      <c r="I4511" s="21" t="n">
        <v>0</v>
      </c>
      <c r="J4511" s="21" t="n">
        <v>0</v>
      </c>
      <c r="K4511" s="21" t="n">
        <v>0</v>
      </c>
      <c r="L4511" s="21" t="n">
        <v>0</v>
      </c>
      <c r="M4511" s="21" t="n">
        <v>0</v>
      </c>
      <c r="N4511" s="21" t="n">
        <v>0</v>
      </c>
      <c r="O4511" s="21" t="n">
        <v>0</v>
      </c>
      <c r="P4511" s="21" t="n">
        <v>0</v>
      </c>
      <c r="Q4511" s="21" t="n">
        <v>0</v>
      </c>
      <c r="R4511" s="21" t="n">
        <v>0</v>
      </c>
      <c r="S4511" s="21" t="n">
        <v>0</v>
      </c>
      <c r="T4511" s="21" t="n">
        <v>0</v>
      </c>
      <c r="U4511" s="21" t="n">
        <v>0</v>
      </c>
      <c r="V4511" s="21">
        <f>-$B$3624</f>
        <v/>
      </c>
      <c r="W4511" s="21">
        <f>-$B$3625</f>
        <v/>
      </c>
      <c r="X4511" s="21">
        <f>$B$3624+$D$4489</f>
        <v/>
      </c>
      <c r="Y4511" s="21">
        <f>-$B$3625</f>
        <v/>
      </c>
      <c r="Z4511" s="19" t="n"/>
    </row>
    <row r="4512">
      <c r="D4512" s="21" t="n">
        <v>0</v>
      </c>
      <c r="E4512" s="21" t="n">
        <v>0</v>
      </c>
      <c r="F4512" s="21" t="n">
        <v>0</v>
      </c>
      <c r="G4512" s="21" t="n">
        <v>0</v>
      </c>
      <c r="H4512" s="21" t="n">
        <v>0</v>
      </c>
      <c r="I4512" s="21" t="n">
        <v>0</v>
      </c>
      <c r="J4512" s="21" t="n">
        <v>0</v>
      </c>
      <c r="K4512" s="21" t="n">
        <v>0</v>
      </c>
      <c r="L4512" s="21" t="n">
        <v>0</v>
      </c>
      <c r="M4512" s="21" t="n">
        <v>0</v>
      </c>
      <c r="N4512" s="21" t="n">
        <v>0</v>
      </c>
      <c r="O4512" s="21" t="n">
        <v>0</v>
      </c>
      <c r="P4512" s="21" t="n">
        <v>0</v>
      </c>
      <c r="Q4512" s="21" t="n">
        <v>0</v>
      </c>
      <c r="R4512" s="21" t="n">
        <v>0</v>
      </c>
      <c r="S4512" s="21" t="n">
        <v>0</v>
      </c>
      <c r="T4512" s="21" t="n">
        <v>0</v>
      </c>
      <c r="U4512" s="21" t="n">
        <v>0</v>
      </c>
      <c r="V4512" s="21">
        <f>$B$3625</f>
        <v/>
      </c>
      <c r="W4512" s="21">
        <f>$B$3627</f>
        <v/>
      </c>
      <c r="X4512" s="21">
        <f>-$B$3625</f>
        <v/>
      </c>
      <c r="Y4512" s="21">
        <f>$B$3626</f>
        <v/>
      </c>
      <c r="Z4512" s="19" t="n"/>
    </row>
    <row r="4514">
      <c r="A4514" s="8" t="inlineStr">
        <is>
          <t>gen 24</t>
        </is>
      </c>
    </row>
    <row r="4515">
      <c r="D4515" s="19">
        <f>IF(ABS(IF(ABS($E$4479)&gt;0.000000001,$E$4479,0.000000001))=0,0,IF($E$3639&lt;=$B$3633,0,IF(ABS(IF(ABS($E$4479)&gt;0.000000001,$E$4479,0.000000001))&gt;=8*$B$3635,$H$3639,0.5*$H$3639*(ABS(IF(ABS($E$4479)&gt;0.000000001,$E$4479,0.000000001))/$B$3635)^(1/3)))/ABS(IF(ABS($E$4479)&gt;0.000000001,$E$4479,0.000000001))*$I$3639)</f>
        <v/>
      </c>
      <c r="E4515" s="19">
        <f>0.5*$E$4479+0.5*$Z$4527</f>
        <v/>
      </c>
      <c r="F4515" s="19">
        <f>$Z$4528</f>
        <v/>
      </c>
    </row>
    <row r="4516">
      <c r="D4516" s="19">
        <f>IF(ABS(IF(ABS($E$4480)&gt;0.000000001,$E$4480,0.000000001))=0,0,IF($E$3640&lt;=$B$3633,0,IF(ABS(IF(ABS($E$4480)&gt;0.000000001,$E$4480,0.000000001))&gt;=8*$B$3635,$H$3640,0.5*$H$3640*(ABS(IF(ABS($E$4480)&gt;0.000000001,$E$4480,0.000000001))/$B$3635)^(1/3)))/ABS(IF(ABS($E$4480)&gt;0.000000001,$E$4480,0.000000001))*$I$3640)</f>
        <v/>
      </c>
      <c r="E4516" s="19">
        <f>0.5*$E$4480+0.5*$Z$4529</f>
        <v/>
      </c>
      <c r="F4516" s="19">
        <f>$Z$4530</f>
        <v/>
      </c>
    </row>
    <row r="4517">
      <c r="D4517" s="19">
        <f>IF(ABS(IF(ABS($E$4481)&gt;0.000000001,$E$4481,0.000000001))=0,0,IF($E$3641&lt;=$B$3633,0,IF(ABS(IF(ABS($E$4481)&gt;0.000000001,$E$4481,0.000000001))&gt;=8*$B$3635,$H$3641,0.5*$H$3641*(ABS(IF(ABS($E$4481)&gt;0.000000001,$E$4481,0.000000001))/$B$3635)^(1/3)))/ABS(IF(ABS($E$4481)&gt;0.000000001,$E$4481,0.000000001))*$I$3641)</f>
        <v/>
      </c>
      <c r="E4517" s="19">
        <f>0.5*$E$4481+0.5*$Z$4531</f>
        <v/>
      </c>
      <c r="F4517" s="19">
        <f>$Z$4532</f>
        <v/>
      </c>
    </row>
    <row r="4518">
      <c r="D4518" s="19">
        <f>IF(ABS(IF(ABS($E$4482)&gt;0.000000001,$E$4482,0.000000001))=0,0,IF($E$3642&lt;=$B$3633,0,IF(ABS(IF(ABS($E$4482)&gt;0.000000001,$E$4482,0.000000001))&gt;=8*$B$3635,$H$3642,0.5*$H$3642*(ABS(IF(ABS($E$4482)&gt;0.000000001,$E$4482,0.000000001))/$B$3635)^(1/3)))/ABS(IF(ABS($E$4482)&gt;0.000000001,$E$4482,0.000000001))*$I$3642)</f>
        <v/>
      </c>
      <c r="E4518" s="19">
        <f>0.5*$E$4482+0.5*$Z$4533</f>
        <v/>
      </c>
      <c r="F4518" s="19">
        <f>$Z$4534</f>
        <v/>
      </c>
    </row>
    <row r="4519">
      <c r="D4519" s="19">
        <f>IF(ABS(IF(ABS($E$4483)&gt;0.000000001,$E$4483,0.000000001))=0,0,IF($E$3643&lt;=$B$3633,0,IF(ABS(IF(ABS($E$4483)&gt;0.000000001,$E$4483,0.000000001))&gt;=8*$B$3635,$H$3643,0.5*$H$3643*(ABS(IF(ABS($E$4483)&gt;0.000000001,$E$4483,0.000000001))/$B$3635)^(1/3)))/ABS(IF(ABS($E$4483)&gt;0.000000001,$E$4483,0.000000001))*$I$3643)</f>
        <v/>
      </c>
      <c r="E4519" s="19">
        <f>0.5*$E$4483+0.5*$Z$4535</f>
        <v/>
      </c>
      <c r="F4519" s="19">
        <f>$Z$4536</f>
        <v/>
      </c>
    </row>
    <row r="4520">
      <c r="D4520" s="19">
        <f>IF(ABS(IF(ABS($E$4484)&gt;0.000000001,$E$4484,0.000000001))=0,0,IF($E$3644&lt;=$B$3633,0,IF(ABS(IF(ABS($E$4484)&gt;0.000000001,$E$4484,0.000000001))&gt;=8*$B$3635,$H$3644,0.5*$H$3644*(ABS(IF(ABS($E$4484)&gt;0.000000001,$E$4484,0.000000001))/$B$3635)^(1/3)))/ABS(IF(ABS($E$4484)&gt;0.000000001,$E$4484,0.000000001))*$I$3644)</f>
        <v/>
      </c>
      <c r="E4520" s="19">
        <f>0.5*$E$4484+0.5*$Z$4537</f>
        <v/>
      </c>
      <c r="F4520" s="19">
        <f>$Z$4538</f>
        <v/>
      </c>
    </row>
    <row r="4521">
      <c r="D4521" s="19">
        <f>IF(ABS(IF(ABS($E$4485)&gt;0.000000001,$E$4485,0.000000001))=0,0,IF($E$3645&lt;=$B$3633,0,IF(ABS(IF(ABS($E$4485)&gt;0.000000001,$E$4485,0.000000001))&gt;=8*$B$3635,$H$3645,0.5*$H$3645*(ABS(IF(ABS($E$4485)&gt;0.000000001,$E$4485,0.000000001))/$B$3635)^(1/3)))/ABS(IF(ABS($E$4485)&gt;0.000000001,$E$4485,0.000000001))*$I$3645)</f>
        <v/>
      </c>
      <c r="E4521" s="19">
        <f>0.5*$E$4485+0.5*$Z$4539</f>
        <v/>
      </c>
      <c r="F4521" s="19">
        <f>$Z$4540</f>
        <v/>
      </c>
    </row>
    <row r="4522">
      <c r="D4522" s="19">
        <f>IF(ABS(IF(ABS($E$4486)&gt;0.000000001,$E$4486,0.000000001))=0,0,IF($E$3646&lt;=$B$3633,0,IF(ABS(IF(ABS($E$4486)&gt;0.000000001,$E$4486,0.000000001))&gt;=8*$B$3635,$H$3646,0.5*$H$3646*(ABS(IF(ABS($E$4486)&gt;0.000000001,$E$4486,0.000000001))/$B$3635)^(1/3)))/ABS(IF(ABS($E$4486)&gt;0.000000001,$E$4486,0.000000001))*$I$3646)</f>
        <v/>
      </c>
      <c r="E4522" s="19">
        <f>0.5*$E$4486+0.5*$Z$4541</f>
        <v/>
      </c>
      <c r="F4522" s="19">
        <f>$Z$4542</f>
        <v/>
      </c>
    </row>
    <row r="4523">
      <c r="D4523" s="19">
        <f>IF(ABS(IF(ABS($E$4487)&gt;0.000000001,$E$4487,0.000000001))=0,0,IF($E$3647&lt;=$B$3633,0,IF(ABS(IF(ABS($E$4487)&gt;0.000000001,$E$4487,0.000000001))&gt;=8*$B$3635,$H$3647,0.5*$H$3647*(ABS(IF(ABS($E$4487)&gt;0.000000001,$E$4487,0.000000001))/$B$3635)^(1/3)))/ABS(IF(ABS($E$4487)&gt;0.000000001,$E$4487,0.000000001))*$I$3647)</f>
        <v/>
      </c>
      <c r="E4523" s="19">
        <f>0.5*$E$4487+0.5*$Z$4543</f>
        <v/>
      </c>
      <c r="F4523" s="19">
        <f>$Z$4544</f>
        <v/>
      </c>
    </row>
    <row r="4524">
      <c r="D4524" s="19">
        <f>IF(ABS(IF(ABS($E$4488)&gt;0.000000001,$E$4488,0.000000001))=0,0,IF($E$3648&lt;=$B$3633,0,IF(ABS(IF(ABS($E$4488)&gt;0.000000001,$E$4488,0.000000001))&gt;=8*$B$3635,$H$3648,0.5*$H$3648*(ABS(IF(ABS($E$4488)&gt;0.000000001,$E$4488,0.000000001))/$B$3635)^(1/3)))/ABS(IF(ABS($E$4488)&gt;0.000000001,$E$4488,0.000000001))*$I$3648)</f>
        <v/>
      </c>
      <c r="E4524" s="19">
        <f>0.5*$E$4488+0.5*$Z$4545</f>
        <v/>
      </c>
      <c r="F4524" s="19">
        <f>$Z$4546</f>
        <v/>
      </c>
    </row>
    <row r="4525">
      <c r="D4525" s="19">
        <f>IF(ABS(IF(ABS($E$4489)&gt;0.000000001,$E$4489,0.000000001))=0,0,IF($E$3649&lt;=$B$3633,0,IF(ABS(IF(ABS($E$4489)&gt;0.000000001,$E$4489,0.000000001))&gt;=8*$B$3635,$H$3649,0.5*$H$3649*(ABS(IF(ABS($E$4489)&gt;0.000000001,$E$4489,0.000000001))/$B$3635)^(1/3)))/ABS(IF(ABS($E$4489)&gt;0.000000001,$E$4489,0.000000001))*$I$3649)</f>
        <v/>
      </c>
      <c r="E4525" s="19">
        <f>0.5*$E$4489+0.5*$Z$4547</f>
        <v/>
      </c>
      <c r="F4525" s="19">
        <f>$Z$4548</f>
        <v/>
      </c>
    </row>
    <row r="4527">
      <c r="D4527" s="21">
        <f>$B$3624+$D$4515</f>
        <v/>
      </c>
      <c r="E4527" s="21">
        <f>$B$3625</f>
        <v/>
      </c>
      <c r="F4527" s="21">
        <f>-$B$3624</f>
        <v/>
      </c>
      <c r="G4527" s="21">
        <f>$B$3625</f>
        <v/>
      </c>
      <c r="H4527" s="21" t="n">
        <v>0</v>
      </c>
      <c r="I4527" s="21" t="n">
        <v>0</v>
      </c>
      <c r="J4527" s="21" t="n">
        <v>0</v>
      </c>
      <c r="K4527" s="21" t="n">
        <v>0</v>
      </c>
      <c r="L4527" s="21" t="n">
        <v>0</v>
      </c>
      <c r="M4527" s="21" t="n">
        <v>0</v>
      </c>
      <c r="N4527" s="21" t="n">
        <v>0</v>
      </c>
      <c r="O4527" s="21" t="n">
        <v>0</v>
      </c>
      <c r="P4527" s="21" t="n">
        <v>0</v>
      </c>
      <c r="Q4527" s="21" t="n">
        <v>0</v>
      </c>
      <c r="R4527" s="21" t="n">
        <v>0</v>
      </c>
      <c r="S4527" s="21" t="n">
        <v>0</v>
      </c>
      <c r="T4527" s="21" t="n">
        <v>0</v>
      </c>
      <c r="U4527" s="21" t="n">
        <v>0</v>
      </c>
      <c r="V4527" s="21" t="n">
        <v>0</v>
      </c>
      <c r="W4527" s="21" t="n">
        <v>0</v>
      </c>
      <c r="X4527" s="21" t="n">
        <v>0</v>
      </c>
      <c r="Y4527" s="21" t="n">
        <v>0</v>
      </c>
      <c r="Z4527" s="19">
        <f t="array" ref="Z4527:Z4548">MMULT(MINVERSE($D$4527:$Y$4548),$D$3651:$D$3672)</f>
        <v/>
      </c>
    </row>
    <row r="4528">
      <c r="D4528" s="21">
        <f>$B$3625</f>
        <v/>
      </c>
      <c r="E4528" s="21">
        <f>$B$3626</f>
        <v/>
      </c>
      <c r="F4528" s="21">
        <f>-$B$3625</f>
        <v/>
      </c>
      <c r="G4528" s="21">
        <f>$B$3627</f>
        <v/>
      </c>
      <c r="H4528" s="21" t="n">
        <v>0</v>
      </c>
      <c r="I4528" s="21" t="n">
        <v>0</v>
      </c>
      <c r="J4528" s="21" t="n">
        <v>0</v>
      </c>
      <c r="K4528" s="21" t="n">
        <v>0</v>
      </c>
      <c r="L4528" s="21" t="n">
        <v>0</v>
      </c>
      <c r="M4528" s="21" t="n">
        <v>0</v>
      </c>
      <c r="N4528" s="21" t="n">
        <v>0</v>
      </c>
      <c r="O4528" s="21" t="n">
        <v>0</v>
      </c>
      <c r="P4528" s="21" t="n">
        <v>0</v>
      </c>
      <c r="Q4528" s="21" t="n">
        <v>0</v>
      </c>
      <c r="R4528" s="21" t="n">
        <v>0</v>
      </c>
      <c r="S4528" s="21" t="n">
        <v>0</v>
      </c>
      <c r="T4528" s="21" t="n">
        <v>0</v>
      </c>
      <c r="U4528" s="21" t="n">
        <v>0</v>
      </c>
      <c r="V4528" s="21" t="n">
        <v>0</v>
      </c>
      <c r="W4528" s="21" t="n">
        <v>0</v>
      </c>
      <c r="X4528" s="21" t="n">
        <v>0</v>
      </c>
      <c r="Y4528" s="21" t="n">
        <v>0</v>
      </c>
      <c r="Z4528" s="19" t="n"/>
    </row>
    <row r="4529">
      <c r="D4529" s="21">
        <f>-$B$3624</f>
        <v/>
      </c>
      <c r="E4529" s="21">
        <f>-$B$3625</f>
        <v/>
      </c>
      <c r="F4529" s="21">
        <f>2*$B$3624+$D$4516</f>
        <v/>
      </c>
      <c r="G4529" s="21">
        <f>0</f>
        <v/>
      </c>
      <c r="H4529" s="21">
        <f>-$B$3624</f>
        <v/>
      </c>
      <c r="I4529" s="21">
        <f>$B$3625</f>
        <v/>
      </c>
      <c r="J4529" s="21" t="n">
        <v>0</v>
      </c>
      <c r="K4529" s="21" t="n">
        <v>0</v>
      </c>
      <c r="L4529" s="21" t="n">
        <v>0</v>
      </c>
      <c r="M4529" s="21" t="n">
        <v>0</v>
      </c>
      <c r="N4529" s="21" t="n">
        <v>0</v>
      </c>
      <c r="O4529" s="21" t="n">
        <v>0</v>
      </c>
      <c r="P4529" s="21" t="n">
        <v>0</v>
      </c>
      <c r="Q4529" s="21" t="n">
        <v>0</v>
      </c>
      <c r="R4529" s="21" t="n">
        <v>0</v>
      </c>
      <c r="S4529" s="21" t="n">
        <v>0</v>
      </c>
      <c r="T4529" s="21" t="n">
        <v>0</v>
      </c>
      <c r="U4529" s="21" t="n">
        <v>0</v>
      </c>
      <c r="V4529" s="21" t="n">
        <v>0</v>
      </c>
      <c r="W4529" s="21" t="n">
        <v>0</v>
      </c>
      <c r="X4529" s="21" t="n">
        <v>0</v>
      </c>
      <c r="Y4529" s="21" t="n">
        <v>0</v>
      </c>
      <c r="Z4529" s="19" t="n"/>
    </row>
    <row r="4530">
      <c r="D4530" s="21">
        <f>$B$3625</f>
        <v/>
      </c>
      <c r="E4530" s="21">
        <f>$B$3627</f>
        <v/>
      </c>
      <c r="F4530" s="21">
        <f>0</f>
        <v/>
      </c>
      <c r="G4530" s="21">
        <f>2*$B$3626</f>
        <v/>
      </c>
      <c r="H4530" s="21">
        <f>-$B$3625</f>
        <v/>
      </c>
      <c r="I4530" s="21">
        <f>$B$3627</f>
        <v/>
      </c>
      <c r="J4530" s="21" t="n">
        <v>0</v>
      </c>
      <c r="K4530" s="21" t="n">
        <v>0</v>
      </c>
      <c r="L4530" s="21" t="n">
        <v>0</v>
      </c>
      <c r="M4530" s="21" t="n">
        <v>0</v>
      </c>
      <c r="N4530" s="21" t="n">
        <v>0</v>
      </c>
      <c r="O4530" s="21" t="n">
        <v>0</v>
      </c>
      <c r="P4530" s="21" t="n">
        <v>0</v>
      </c>
      <c r="Q4530" s="21" t="n">
        <v>0</v>
      </c>
      <c r="R4530" s="21" t="n">
        <v>0</v>
      </c>
      <c r="S4530" s="21" t="n">
        <v>0</v>
      </c>
      <c r="T4530" s="21" t="n">
        <v>0</v>
      </c>
      <c r="U4530" s="21" t="n">
        <v>0</v>
      </c>
      <c r="V4530" s="21" t="n">
        <v>0</v>
      </c>
      <c r="W4530" s="21" t="n">
        <v>0</v>
      </c>
      <c r="X4530" s="21" t="n">
        <v>0</v>
      </c>
      <c r="Y4530" s="21" t="n">
        <v>0</v>
      </c>
      <c r="Z4530" s="19" t="n"/>
    </row>
    <row r="4531">
      <c r="D4531" s="21" t="n">
        <v>0</v>
      </c>
      <c r="E4531" s="21" t="n">
        <v>0</v>
      </c>
      <c r="F4531" s="21">
        <f>-$B$3624</f>
        <v/>
      </c>
      <c r="G4531" s="21">
        <f>-$B$3625</f>
        <v/>
      </c>
      <c r="H4531" s="21">
        <f>2*$B$3624+$D$4517</f>
        <v/>
      </c>
      <c r="I4531" s="21">
        <f>0</f>
        <v/>
      </c>
      <c r="J4531" s="21">
        <f>-$B$3624</f>
        <v/>
      </c>
      <c r="K4531" s="21">
        <f>$B$3625</f>
        <v/>
      </c>
      <c r="L4531" s="21" t="n">
        <v>0</v>
      </c>
      <c r="M4531" s="21" t="n">
        <v>0</v>
      </c>
      <c r="N4531" s="21" t="n">
        <v>0</v>
      </c>
      <c r="O4531" s="21" t="n">
        <v>0</v>
      </c>
      <c r="P4531" s="21" t="n">
        <v>0</v>
      </c>
      <c r="Q4531" s="21" t="n">
        <v>0</v>
      </c>
      <c r="R4531" s="21" t="n">
        <v>0</v>
      </c>
      <c r="S4531" s="21" t="n">
        <v>0</v>
      </c>
      <c r="T4531" s="21" t="n">
        <v>0</v>
      </c>
      <c r="U4531" s="21" t="n">
        <v>0</v>
      </c>
      <c r="V4531" s="21" t="n">
        <v>0</v>
      </c>
      <c r="W4531" s="21" t="n">
        <v>0</v>
      </c>
      <c r="X4531" s="21" t="n">
        <v>0</v>
      </c>
      <c r="Y4531" s="21" t="n">
        <v>0</v>
      </c>
      <c r="Z4531" s="19" t="n"/>
    </row>
    <row r="4532">
      <c r="D4532" s="21" t="n">
        <v>0</v>
      </c>
      <c r="E4532" s="21" t="n">
        <v>0</v>
      </c>
      <c r="F4532" s="21">
        <f>$B$3625</f>
        <v/>
      </c>
      <c r="G4532" s="21">
        <f>$B$3627</f>
        <v/>
      </c>
      <c r="H4532" s="21">
        <f>0</f>
        <v/>
      </c>
      <c r="I4532" s="21">
        <f>2*$B$3626</f>
        <v/>
      </c>
      <c r="J4532" s="21">
        <f>-$B$3625</f>
        <v/>
      </c>
      <c r="K4532" s="21">
        <f>$B$3627</f>
        <v/>
      </c>
      <c r="L4532" s="21" t="n">
        <v>0</v>
      </c>
      <c r="M4532" s="21" t="n">
        <v>0</v>
      </c>
      <c r="N4532" s="21" t="n">
        <v>0</v>
      </c>
      <c r="O4532" s="21" t="n">
        <v>0</v>
      </c>
      <c r="P4532" s="21" t="n">
        <v>0</v>
      </c>
      <c r="Q4532" s="21" t="n">
        <v>0</v>
      </c>
      <c r="R4532" s="21" t="n">
        <v>0</v>
      </c>
      <c r="S4532" s="21" t="n">
        <v>0</v>
      </c>
      <c r="T4532" s="21" t="n">
        <v>0</v>
      </c>
      <c r="U4532" s="21" t="n">
        <v>0</v>
      </c>
      <c r="V4532" s="21" t="n">
        <v>0</v>
      </c>
      <c r="W4532" s="21" t="n">
        <v>0</v>
      </c>
      <c r="X4532" s="21" t="n">
        <v>0</v>
      </c>
      <c r="Y4532" s="21" t="n">
        <v>0</v>
      </c>
      <c r="Z4532" s="19" t="n"/>
    </row>
    <row r="4533">
      <c r="D4533" s="21" t="n">
        <v>0</v>
      </c>
      <c r="E4533" s="21" t="n">
        <v>0</v>
      </c>
      <c r="F4533" s="21" t="n">
        <v>0</v>
      </c>
      <c r="G4533" s="21" t="n">
        <v>0</v>
      </c>
      <c r="H4533" s="21">
        <f>-$B$3624</f>
        <v/>
      </c>
      <c r="I4533" s="21">
        <f>-$B$3625</f>
        <v/>
      </c>
      <c r="J4533" s="21">
        <f>2*$B$3624+$D$4518</f>
        <v/>
      </c>
      <c r="K4533" s="21">
        <f>0</f>
        <v/>
      </c>
      <c r="L4533" s="21">
        <f>-$B$3624</f>
        <v/>
      </c>
      <c r="M4533" s="21">
        <f>$B$3625</f>
        <v/>
      </c>
      <c r="N4533" s="21" t="n">
        <v>0</v>
      </c>
      <c r="O4533" s="21" t="n">
        <v>0</v>
      </c>
      <c r="P4533" s="21" t="n">
        <v>0</v>
      </c>
      <c r="Q4533" s="21" t="n">
        <v>0</v>
      </c>
      <c r="R4533" s="21" t="n">
        <v>0</v>
      </c>
      <c r="S4533" s="21" t="n">
        <v>0</v>
      </c>
      <c r="T4533" s="21" t="n">
        <v>0</v>
      </c>
      <c r="U4533" s="21" t="n">
        <v>0</v>
      </c>
      <c r="V4533" s="21" t="n">
        <v>0</v>
      </c>
      <c r="W4533" s="21" t="n">
        <v>0</v>
      </c>
      <c r="X4533" s="21" t="n">
        <v>0</v>
      </c>
      <c r="Y4533" s="21" t="n">
        <v>0</v>
      </c>
      <c r="Z4533" s="19" t="n"/>
    </row>
    <row r="4534">
      <c r="D4534" s="21" t="n">
        <v>0</v>
      </c>
      <c r="E4534" s="21" t="n">
        <v>0</v>
      </c>
      <c r="F4534" s="21" t="n">
        <v>0</v>
      </c>
      <c r="G4534" s="21" t="n">
        <v>0</v>
      </c>
      <c r="H4534" s="21">
        <f>$B$3625</f>
        <v/>
      </c>
      <c r="I4534" s="21">
        <f>$B$3627</f>
        <v/>
      </c>
      <c r="J4534" s="21">
        <f>0</f>
        <v/>
      </c>
      <c r="K4534" s="21">
        <f>2*$B$3626</f>
        <v/>
      </c>
      <c r="L4534" s="21">
        <f>-$B$3625</f>
        <v/>
      </c>
      <c r="M4534" s="21">
        <f>$B$3627</f>
        <v/>
      </c>
      <c r="N4534" s="21" t="n">
        <v>0</v>
      </c>
      <c r="O4534" s="21" t="n">
        <v>0</v>
      </c>
      <c r="P4534" s="21" t="n">
        <v>0</v>
      </c>
      <c r="Q4534" s="21" t="n">
        <v>0</v>
      </c>
      <c r="R4534" s="21" t="n">
        <v>0</v>
      </c>
      <c r="S4534" s="21" t="n">
        <v>0</v>
      </c>
      <c r="T4534" s="21" t="n">
        <v>0</v>
      </c>
      <c r="U4534" s="21" t="n">
        <v>0</v>
      </c>
      <c r="V4534" s="21" t="n">
        <v>0</v>
      </c>
      <c r="W4534" s="21" t="n">
        <v>0</v>
      </c>
      <c r="X4534" s="21" t="n">
        <v>0</v>
      </c>
      <c r="Y4534" s="21" t="n">
        <v>0</v>
      </c>
      <c r="Z4534" s="19" t="n"/>
    </row>
    <row r="4535">
      <c r="D4535" s="21" t="n">
        <v>0</v>
      </c>
      <c r="E4535" s="21" t="n">
        <v>0</v>
      </c>
      <c r="F4535" s="21" t="n">
        <v>0</v>
      </c>
      <c r="G4535" s="21" t="n">
        <v>0</v>
      </c>
      <c r="H4535" s="21" t="n">
        <v>0</v>
      </c>
      <c r="I4535" s="21" t="n">
        <v>0</v>
      </c>
      <c r="J4535" s="21">
        <f>-$B$3624</f>
        <v/>
      </c>
      <c r="K4535" s="21">
        <f>-$B$3625</f>
        <v/>
      </c>
      <c r="L4535" s="21">
        <f>2*$B$3624+$D$4519</f>
        <v/>
      </c>
      <c r="M4535" s="21">
        <f>0</f>
        <v/>
      </c>
      <c r="N4535" s="21">
        <f>-$B$3624</f>
        <v/>
      </c>
      <c r="O4535" s="21">
        <f>$B$3625</f>
        <v/>
      </c>
      <c r="P4535" s="21" t="n">
        <v>0</v>
      </c>
      <c r="Q4535" s="21" t="n">
        <v>0</v>
      </c>
      <c r="R4535" s="21" t="n">
        <v>0</v>
      </c>
      <c r="S4535" s="21" t="n">
        <v>0</v>
      </c>
      <c r="T4535" s="21" t="n">
        <v>0</v>
      </c>
      <c r="U4535" s="21" t="n">
        <v>0</v>
      </c>
      <c r="V4535" s="21" t="n">
        <v>0</v>
      </c>
      <c r="W4535" s="21" t="n">
        <v>0</v>
      </c>
      <c r="X4535" s="21" t="n">
        <v>0</v>
      </c>
      <c r="Y4535" s="21" t="n">
        <v>0</v>
      </c>
      <c r="Z4535" s="19" t="n"/>
    </row>
    <row r="4536">
      <c r="D4536" s="21" t="n">
        <v>0</v>
      </c>
      <c r="E4536" s="21" t="n">
        <v>0</v>
      </c>
      <c r="F4536" s="21" t="n">
        <v>0</v>
      </c>
      <c r="G4536" s="21" t="n">
        <v>0</v>
      </c>
      <c r="H4536" s="21" t="n">
        <v>0</v>
      </c>
      <c r="I4536" s="21" t="n">
        <v>0</v>
      </c>
      <c r="J4536" s="21">
        <f>$B$3625</f>
        <v/>
      </c>
      <c r="K4536" s="21">
        <f>$B$3627</f>
        <v/>
      </c>
      <c r="L4536" s="21">
        <f>0</f>
        <v/>
      </c>
      <c r="M4536" s="21">
        <f>2*$B$3626</f>
        <v/>
      </c>
      <c r="N4536" s="21">
        <f>-$B$3625</f>
        <v/>
      </c>
      <c r="O4536" s="21">
        <f>$B$3627</f>
        <v/>
      </c>
      <c r="P4536" s="21" t="n">
        <v>0</v>
      </c>
      <c r="Q4536" s="21" t="n">
        <v>0</v>
      </c>
      <c r="R4536" s="21" t="n">
        <v>0</v>
      </c>
      <c r="S4536" s="21" t="n">
        <v>0</v>
      </c>
      <c r="T4536" s="21" t="n">
        <v>0</v>
      </c>
      <c r="U4536" s="21" t="n">
        <v>0</v>
      </c>
      <c r="V4536" s="21" t="n">
        <v>0</v>
      </c>
      <c r="W4536" s="21" t="n">
        <v>0</v>
      </c>
      <c r="X4536" s="21" t="n">
        <v>0</v>
      </c>
      <c r="Y4536" s="21" t="n">
        <v>0</v>
      </c>
      <c r="Z4536" s="19" t="n"/>
    </row>
    <row r="4537">
      <c r="D4537" s="21" t="n">
        <v>0</v>
      </c>
      <c r="E4537" s="21" t="n">
        <v>0</v>
      </c>
      <c r="F4537" s="21" t="n">
        <v>0</v>
      </c>
      <c r="G4537" s="21" t="n">
        <v>0</v>
      </c>
      <c r="H4537" s="21" t="n">
        <v>0</v>
      </c>
      <c r="I4537" s="21" t="n">
        <v>0</v>
      </c>
      <c r="J4537" s="21" t="n">
        <v>0</v>
      </c>
      <c r="K4537" s="21" t="n">
        <v>0</v>
      </c>
      <c r="L4537" s="21">
        <f>-$B$3624</f>
        <v/>
      </c>
      <c r="M4537" s="21">
        <f>-$B$3625</f>
        <v/>
      </c>
      <c r="N4537" s="21">
        <f>2*$B$3624+$D$4520</f>
        <v/>
      </c>
      <c r="O4537" s="21">
        <f>0</f>
        <v/>
      </c>
      <c r="P4537" s="21">
        <f>-$B$3624</f>
        <v/>
      </c>
      <c r="Q4537" s="21">
        <f>$B$3625</f>
        <v/>
      </c>
      <c r="R4537" s="21" t="n">
        <v>0</v>
      </c>
      <c r="S4537" s="21" t="n">
        <v>0</v>
      </c>
      <c r="T4537" s="21" t="n">
        <v>0</v>
      </c>
      <c r="U4537" s="21" t="n">
        <v>0</v>
      </c>
      <c r="V4537" s="21" t="n">
        <v>0</v>
      </c>
      <c r="W4537" s="21" t="n">
        <v>0</v>
      </c>
      <c r="X4537" s="21" t="n">
        <v>0</v>
      </c>
      <c r="Y4537" s="21" t="n">
        <v>0</v>
      </c>
      <c r="Z4537" s="19" t="n"/>
    </row>
    <row r="4538">
      <c r="D4538" s="21" t="n">
        <v>0</v>
      </c>
      <c r="E4538" s="21" t="n">
        <v>0</v>
      </c>
      <c r="F4538" s="21" t="n">
        <v>0</v>
      </c>
      <c r="G4538" s="21" t="n">
        <v>0</v>
      </c>
      <c r="H4538" s="21" t="n">
        <v>0</v>
      </c>
      <c r="I4538" s="21" t="n">
        <v>0</v>
      </c>
      <c r="J4538" s="21" t="n">
        <v>0</v>
      </c>
      <c r="K4538" s="21" t="n">
        <v>0</v>
      </c>
      <c r="L4538" s="21">
        <f>$B$3625</f>
        <v/>
      </c>
      <c r="M4538" s="21">
        <f>$B$3627</f>
        <v/>
      </c>
      <c r="N4538" s="21">
        <f>0</f>
        <v/>
      </c>
      <c r="O4538" s="21">
        <f>2*$B$3626</f>
        <v/>
      </c>
      <c r="P4538" s="21">
        <f>-$B$3625</f>
        <v/>
      </c>
      <c r="Q4538" s="21">
        <f>$B$3627</f>
        <v/>
      </c>
      <c r="R4538" s="21" t="n">
        <v>0</v>
      </c>
      <c r="S4538" s="21" t="n">
        <v>0</v>
      </c>
      <c r="T4538" s="21" t="n">
        <v>0</v>
      </c>
      <c r="U4538" s="21" t="n">
        <v>0</v>
      </c>
      <c r="V4538" s="21" t="n">
        <v>0</v>
      </c>
      <c r="W4538" s="21" t="n">
        <v>0</v>
      </c>
      <c r="X4538" s="21" t="n">
        <v>0</v>
      </c>
      <c r="Y4538" s="21" t="n">
        <v>0</v>
      </c>
      <c r="Z4538" s="19" t="n"/>
    </row>
    <row r="4539">
      <c r="D4539" s="21" t="n">
        <v>0</v>
      </c>
      <c r="E4539" s="21" t="n">
        <v>0</v>
      </c>
      <c r="F4539" s="21" t="n">
        <v>0</v>
      </c>
      <c r="G4539" s="21" t="n">
        <v>0</v>
      </c>
      <c r="H4539" s="21" t="n">
        <v>0</v>
      </c>
      <c r="I4539" s="21" t="n">
        <v>0</v>
      </c>
      <c r="J4539" s="21" t="n">
        <v>0</v>
      </c>
      <c r="K4539" s="21" t="n">
        <v>0</v>
      </c>
      <c r="L4539" s="21" t="n">
        <v>0</v>
      </c>
      <c r="M4539" s="21" t="n">
        <v>0</v>
      </c>
      <c r="N4539" s="21">
        <f>-$B$3624</f>
        <v/>
      </c>
      <c r="O4539" s="21">
        <f>-$B$3625</f>
        <v/>
      </c>
      <c r="P4539" s="21">
        <f>2*$B$3624+$D$4521</f>
        <v/>
      </c>
      <c r="Q4539" s="21">
        <f>0</f>
        <v/>
      </c>
      <c r="R4539" s="21">
        <f>-$B$3624</f>
        <v/>
      </c>
      <c r="S4539" s="21">
        <f>$B$3625</f>
        <v/>
      </c>
      <c r="T4539" s="21" t="n">
        <v>0</v>
      </c>
      <c r="U4539" s="21" t="n">
        <v>0</v>
      </c>
      <c r="V4539" s="21" t="n">
        <v>0</v>
      </c>
      <c r="W4539" s="21" t="n">
        <v>0</v>
      </c>
      <c r="X4539" s="21" t="n">
        <v>0</v>
      </c>
      <c r="Y4539" s="21" t="n">
        <v>0</v>
      </c>
      <c r="Z4539" s="19" t="n"/>
    </row>
    <row r="4540">
      <c r="D4540" s="21" t="n">
        <v>0</v>
      </c>
      <c r="E4540" s="21" t="n">
        <v>0</v>
      </c>
      <c r="F4540" s="21" t="n">
        <v>0</v>
      </c>
      <c r="G4540" s="21" t="n">
        <v>0</v>
      </c>
      <c r="H4540" s="21" t="n">
        <v>0</v>
      </c>
      <c r="I4540" s="21" t="n">
        <v>0</v>
      </c>
      <c r="J4540" s="21" t="n">
        <v>0</v>
      </c>
      <c r="K4540" s="21" t="n">
        <v>0</v>
      </c>
      <c r="L4540" s="21" t="n">
        <v>0</v>
      </c>
      <c r="M4540" s="21" t="n">
        <v>0</v>
      </c>
      <c r="N4540" s="21">
        <f>$B$3625</f>
        <v/>
      </c>
      <c r="O4540" s="21">
        <f>$B$3627</f>
        <v/>
      </c>
      <c r="P4540" s="21">
        <f>0</f>
        <v/>
      </c>
      <c r="Q4540" s="21">
        <f>2*$B$3626</f>
        <v/>
      </c>
      <c r="R4540" s="21">
        <f>-$B$3625</f>
        <v/>
      </c>
      <c r="S4540" s="21">
        <f>$B$3627</f>
        <v/>
      </c>
      <c r="T4540" s="21" t="n">
        <v>0</v>
      </c>
      <c r="U4540" s="21" t="n">
        <v>0</v>
      </c>
      <c r="V4540" s="21" t="n">
        <v>0</v>
      </c>
      <c r="W4540" s="21" t="n">
        <v>0</v>
      </c>
      <c r="X4540" s="21" t="n">
        <v>0</v>
      </c>
      <c r="Y4540" s="21" t="n">
        <v>0</v>
      </c>
      <c r="Z4540" s="19" t="n"/>
    </row>
    <row r="4541">
      <c r="D4541" s="21" t="n">
        <v>0</v>
      </c>
      <c r="E4541" s="21" t="n">
        <v>0</v>
      </c>
      <c r="F4541" s="21" t="n">
        <v>0</v>
      </c>
      <c r="G4541" s="21" t="n">
        <v>0</v>
      </c>
      <c r="H4541" s="21" t="n">
        <v>0</v>
      </c>
      <c r="I4541" s="21" t="n">
        <v>0</v>
      </c>
      <c r="J4541" s="21" t="n">
        <v>0</v>
      </c>
      <c r="K4541" s="21" t="n">
        <v>0</v>
      </c>
      <c r="L4541" s="21" t="n">
        <v>0</v>
      </c>
      <c r="M4541" s="21" t="n">
        <v>0</v>
      </c>
      <c r="N4541" s="21" t="n">
        <v>0</v>
      </c>
      <c r="O4541" s="21" t="n">
        <v>0</v>
      </c>
      <c r="P4541" s="21">
        <f>-$B$3624</f>
        <v/>
      </c>
      <c r="Q4541" s="21">
        <f>-$B$3625</f>
        <v/>
      </c>
      <c r="R4541" s="21">
        <f>2*$B$3624+$D$4522</f>
        <v/>
      </c>
      <c r="S4541" s="21">
        <f>0</f>
        <v/>
      </c>
      <c r="T4541" s="21">
        <f>-$B$3624</f>
        <v/>
      </c>
      <c r="U4541" s="21">
        <f>$B$3625</f>
        <v/>
      </c>
      <c r="V4541" s="21" t="n">
        <v>0</v>
      </c>
      <c r="W4541" s="21" t="n">
        <v>0</v>
      </c>
      <c r="X4541" s="21" t="n">
        <v>0</v>
      </c>
      <c r="Y4541" s="21" t="n">
        <v>0</v>
      </c>
      <c r="Z4541" s="19" t="n"/>
    </row>
    <row r="4542">
      <c r="D4542" s="21" t="n">
        <v>0</v>
      </c>
      <c r="E4542" s="21" t="n">
        <v>0</v>
      </c>
      <c r="F4542" s="21" t="n">
        <v>0</v>
      </c>
      <c r="G4542" s="21" t="n">
        <v>0</v>
      </c>
      <c r="H4542" s="21" t="n">
        <v>0</v>
      </c>
      <c r="I4542" s="21" t="n">
        <v>0</v>
      </c>
      <c r="J4542" s="21" t="n">
        <v>0</v>
      </c>
      <c r="K4542" s="21" t="n">
        <v>0</v>
      </c>
      <c r="L4542" s="21" t="n">
        <v>0</v>
      </c>
      <c r="M4542" s="21" t="n">
        <v>0</v>
      </c>
      <c r="N4542" s="21" t="n">
        <v>0</v>
      </c>
      <c r="O4542" s="21" t="n">
        <v>0</v>
      </c>
      <c r="P4542" s="21">
        <f>$B$3625</f>
        <v/>
      </c>
      <c r="Q4542" s="21">
        <f>$B$3627</f>
        <v/>
      </c>
      <c r="R4542" s="21">
        <f>0</f>
        <v/>
      </c>
      <c r="S4542" s="21">
        <f>2*$B$3626</f>
        <v/>
      </c>
      <c r="T4542" s="21">
        <f>-$B$3625</f>
        <v/>
      </c>
      <c r="U4542" s="21">
        <f>$B$3627</f>
        <v/>
      </c>
      <c r="V4542" s="21" t="n">
        <v>0</v>
      </c>
      <c r="W4542" s="21" t="n">
        <v>0</v>
      </c>
      <c r="X4542" s="21" t="n">
        <v>0</v>
      </c>
      <c r="Y4542" s="21" t="n">
        <v>0</v>
      </c>
      <c r="Z4542" s="19" t="n"/>
    </row>
    <row r="4543">
      <c r="D4543" s="21" t="n">
        <v>0</v>
      </c>
      <c r="E4543" s="21" t="n">
        <v>0</v>
      </c>
      <c r="F4543" s="21" t="n">
        <v>0</v>
      </c>
      <c r="G4543" s="21" t="n">
        <v>0</v>
      </c>
      <c r="H4543" s="21" t="n">
        <v>0</v>
      </c>
      <c r="I4543" s="21" t="n">
        <v>0</v>
      </c>
      <c r="J4543" s="21" t="n">
        <v>0</v>
      </c>
      <c r="K4543" s="21" t="n">
        <v>0</v>
      </c>
      <c r="L4543" s="21" t="n">
        <v>0</v>
      </c>
      <c r="M4543" s="21" t="n">
        <v>0</v>
      </c>
      <c r="N4543" s="21" t="n">
        <v>0</v>
      </c>
      <c r="O4543" s="21" t="n">
        <v>0</v>
      </c>
      <c r="P4543" s="21" t="n">
        <v>0</v>
      </c>
      <c r="Q4543" s="21" t="n">
        <v>0</v>
      </c>
      <c r="R4543" s="21">
        <f>-$B$3624</f>
        <v/>
      </c>
      <c r="S4543" s="21">
        <f>-$B$3625</f>
        <v/>
      </c>
      <c r="T4543" s="21">
        <f>2*$B$3624+$D$4523</f>
        <v/>
      </c>
      <c r="U4543" s="21">
        <f>0</f>
        <v/>
      </c>
      <c r="V4543" s="21">
        <f>-$B$3624</f>
        <v/>
      </c>
      <c r="W4543" s="21">
        <f>$B$3625</f>
        <v/>
      </c>
      <c r="X4543" s="21" t="n">
        <v>0</v>
      </c>
      <c r="Y4543" s="21" t="n">
        <v>0</v>
      </c>
      <c r="Z4543" s="19" t="n"/>
    </row>
    <row r="4544">
      <c r="D4544" s="21" t="n">
        <v>0</v>
      </c>
      <c r="E4544" s="21" t="n">
        <v>0</v>
      </c>
      <c r="F4544" s="21" t="n">
        <v>0</v>
      </c>
      <c r="G4544" s="21" t="n">
        <v>0</v>
      </c>
      <c r="H4544" s="21" t="n">
        <v>0</v>
      </c>
      <c r="I4544" s="21" t="n">
        <v>0</v>
      </c>
      <c r="J4544" s="21" t="n">
        <v>0</v>
      </c>
      <c r="K4544" s="21" t="n">
        <v>0</v>
      </c>
      <c r="L4544" s="21" t="n">
        <v>0</v>
      </c>
      <c r="M4544" s="21" t="n">
        <v>0</v>
      </c>
      <c r="N4544" s="21" t="n">
        <v>0</v>
      </c>
      <c r="O4544" s="21" t="n">
        <v>0</v>
      </c>
      <c r="P4544" s="21" t="n">
        <v>0</v>
      </c>
      <c r="Q4544" s="21" t="n">
        <v>0</v>
      </c>
      <c r="R4544" s="21">
        <f>$B$3625</f>
        <v/>
      </c>
      <c r="S4544" s="21">
        <f>$B$3627</f>
        <v/>
      </c>
      <c r="T4544" s="21">
        <f>0</f>
        <v/>
      </c>
      <c r="U4544" s="21">
        <f>2*$B$3626</f>
        <v/>
      </c>
      <c r="V4544" s="21">
        <f>-$B$3625</f>
        <v/>
      </c>
      <c r="W4544" s="21">
        <f>$B$3627</f>
        <v/>
      </c>
      <c r="X4544" s="21" t="n">
        <v>0</v>
      </c>
      <c r="Y4544" s="21" t="n">
        <v>0</v>
      </c>
      <c r="Z4544" s="19" t="n"/>
    </row>
    <row r="4545">
      <c r="D4545" s="21" t="n">
        <v>0</v>
      </c>
      <c r="E4545" s="21" t="n">
        <v>0</v>
      </c>
      <c r="F4545" s="21" t="n">
        <v>0</v>
      </c>
      <c r="G4545" s="21" t="n">
        <v>0</v>
      </c>
      <c r="H4545" s="21" t="n">
        <v>0</v>
      </c>
      <c r="I4545" s="21" t="n">
        <v>0</v>
      </c>
      <c r="J4545" s="21" t="n">
        <v>0</v>
      </c>
      <c r="K4545" s="21" t="n">
        <v>0</v>
      </c>
      <c r="L4545" s="21" t="n">
        <v>0</v>
      </c>
      <c r="M4545" s="21" t="n">
        <v>0</v>
      </c>
      <c r="N4545" s="21" t="n">
        <v>0</v>
      </c>
      <c r="O4545" s="21" t="n">
        <v>0</v>
      </c>
      <c r="P4545" s="21" t="n">
        <v>0</v>
      </c>
      <c r="Q4545" s="21" t="n">
        <v>0</v>
      </c>
      <c r="R4545" s="21" t="n">
        <v>0</v>
      </c>
      <c r="S4545" s="21" t="n">
        <v>0</v>
      </c>
      <c r="T4545" s="21">
        <f>-$B$3624</f>
        <v/>
      </c>
      <c r="U4545" s="21">
        <f>-$B$3625</f>
        <v/>
      </c>
      <c r="V4545" s="21">
        <f>2*$B$3624+$D$4524</f>
        <v/>
      </c>
      <c r="W4545" s="21">
        <f>0</f>
        <v/>
      </c>
      <c r="X4545" s="21">
        <f>-$B$3624</f>
        <v/>
      </c>
      <c r="Y4545" s="21">
        <f>$B$3625</f>
        <v/>
      </c>
      <c r="Z4545" s="19" t="n"/>
    </row>
    <row r="4546">
      <c r="D4546" s="21" t="n">
        <v>0</v>
      </c>
      <c r="E4546" s="21" t="n">
        <v>0</v>
      </c>
      <c r="F4546" s="21" t="n">
        <v>0</v>
      </c>
      <c r="G4546" s="21" t="n">
        <v>0</v>
      </c>
      <c r="H4546" s="21" t="n">
        <v>0</v>
      </c>
      <c r="I4546" s="21" t="n">
        <v>0</v>
      </c>
      <c r="J4546" s="21" t="n">
        <v>0</v>
      </c>
      <c r="K4546" s="21" t="n">
        <v>0</v>
      </c>
      <c r="L4546" s="21" t="n">
        <v>0</v>
      </c>
      <c r="M4546" s="21" t="n">
        <v>0</v>
      </c>
      <c r="N4546" s="21" t="n">
        <v>0</v>
      </c>
      <c r="O4546" s="21" t="n">
        <v>0</v>
      </c>
      <c r="P4546" s="21" t="n">
        <v>0</v>
      </c>
      <c r="Q4546" s="21" t="n">
        <v>0</v>
      </c>
      <c r="R4546" s="21" t="n">
        <v>0</v>
      </c>
      <c r="S4546" s="21" t="n">
        <v>0</v>
      </c>
      <c r="T4546" s="21">
        <f>$B$3625</f>
        <v/>
      </c>
      <c r="U4546" s="21">
        <f>$B$3627</f>
        <v/>
      </c>
      <c r="V4546" s="21">
        <f>0</f>
        <v/>
      </c>
      <c r="W4546" s="21">
        <f>2*$B$3626</f>
        <v/>
      </c>
      <c r="X4546" s="21">
        <f>-$B$3625</f>
        <v/>
      </c>
      <c r="Y4546" s="21">
        <f>$B$3627</f>
        <v/>
      </c>
      <c r="Z4546" s="19" t="n"/>
    </row>
    <row r="4547">
      <c r="D4547" s="21" t="n">
        <v>0</v>
      </c>
      <c r="E4547" s="21" t="n">
        <v>0</v>
      </c>
      <c r="F4547" s="21" t="n">
        <v>0</v>
      </c>
      <c r="G4547" s="21" t="n">
        <v>0</v>
      </c>
      <c r="H4547" s="21" t="n">
        <v>0</v>
      </c>
      <c r="I4547" s="21" t="n">
        <v>0</v>
      </c>
      <c r="J4547" s="21" t="n">
        <v>0</v>
      </c>
      <c r="K4547" s="21" t="n">
        <v>0</v>
      </c>
      <c r="L4547" s="21" t="n">
        <v>0</v>
      </c>
      <c r="M4547" s="21" t="n">
        <v>0</v>
      </c>
      <c r="N4547" s="21" t="n">
        <v>0</v>
      </c>
      <c r="O4547" s="21" t="n">
        <v>0</v>
      </c>
      <c r="P4547" s="21" t="n">
        <v>0</v>
      </c>
      <c r="Q4547" s="21" t="n">
        <v>0</v>
      </c>
      <c r="R4547" s="21" t="n">
        <v>0</v>
      </c>
      <c r="S4547" s="21" t="n">
        <v>0</v>
      </c>
      <c r="T4547" s="21" t="n">
        <v>0</v>
      </c>
      <c r="U4547" s="21" t="n">
        <v>0</v>
      </c>
      <c r="V4547" s="21">
        <f>-$B$3624</f>
        <v/>
      </c>
      <c r="W4547" s="21">
        <f>-$B$3625</f>
        <v/>
      </c>
      <c r="X4547" s="21">
        <f>$B$3624+$D$4525</f>
        <v/>
      </c>
      <c r="Y4547" s="21">
        <f>-$B$3625</f>
        <v/>
      </c>
      <c r="Z4547" s="19" t="n"/>
    </row>
    <row r="4548">
      <c r="D4548" s="21" t="n">
        <v>0</v>
      </c>
      <c r="E4548" s="21" t="n">
        <v>0</v>
      </c>
      <c r="F4548" s="21" t="n">
        <v>0</v>
      </c>
      <c r="G4548" s="21" t="n">
        <v>0</v>
      </c>
      <c r="H4548" s="21" t="n">
        <v>0</v>
      </c>
      <c r="I4548" s="21" t="n">
        <v>0</v>
      </c>
      <c r="J4548" s="21" t="n">
        <v>0</v>
      </c>
      <c r="K4548" s="21" t="n">
        <v>0</v>
      </c>
      <c r="L4548" s="21" t="n">
        <v>0</v>
      </c>
      <c r="M4548" s="21" t="n">
        <v>0</v>
      </c>
      <c r="N4548" s="21" t="n">
        <v>0</v>
      </c>
      <c r="O4548" s="21" t="n">
        <v>0</v>
      </c>
      <c r="P4548" s="21" t="n">
        <v>0</v>
      </c>
      <c r="Q4548" s="21" t="n">
        <v>0</v>
      </c>
      <c r="R4548" s="21" t="n">
        <v>0</v>
      </c>
      <c r="S4548" s="21" t="n">
        <v>0</v>
      </c>
      <c r="T4548" s="21" t="n">
        <v>0</v>
      </c>
      <c r="U4548" s="21" t="n">
        <v>0</v>
      </c>
      <c r="V4548" s="21">
        <f>$B$3625</f>
        <v/>
      </c>
      <c r="W4548" s="21">
        <f>$B$3627</f>
        <v/>
      </c>
      <c r="X4548" s="21">
        <f>-$B$3625</f>
        <v/>
      </c>
      <c r="Y4548" s="21">
        <f>$B$3626</f>
        <v/>
      </c>
      <c r="Z4548" s="19" t="n"/>
    </row>
    <row r="4550">
      <c r="A4550" s="8" t="inlineStr">
        <is>
          <t>gen 25</t>
        </is>
      </c>
    </row>
    <row r="4551">
      <c r="D4551" s="19">
        <f>IF(ABS(IF(ABS($E$4515)&gt;0.000000001,$E$4515,0.000000001))=0,0,IF($E$3639&lt;=$B$3633,0,IF(ABS(IF(ABS($E$4515)&gt;0.000000001,$E$4515,0.000000001))&gt;=8*$B$3635,$H$3639,0.5*$H$3639*(ABS(IF(ABS($E$4515)&gt;0.000000001,$E$4515,0.000000001))/$B$3635)^(1/3)))/ABS(IF(ABS($E$4515)&gt;0.000000001,$E$4515,0.000000001))*$I$3639)</f>
        <v/>
      </c>
      <c r="E4551" s="19">
        <f>0.5*$E$4515+0.5*$Z$4563</f>
        <v/>
      </c>
      <c r="F4551" s="19">
        <f>$Z$4564</f>
        <v/>
      </c>
    </row>
    <row r="4552">
      <c r="D4552" s="19">
        <f>IF(ABS(IF(ABS($E$4516)&gt;0.000000001,$E$4516,0.000000001))=0,0,IF($E$3640&lt;=$B$3633,0,IF(ABS(IF(ABS($E$4516)&gt;0.000000001,$E$4516,0.000000001))&gt;=8*$B$3635,$H$3640,0.5*$H$3640*(ABS(IF(ABS($E$4516)&gt;0.000000001,$E$4516,0.000000001))/$B$3635)^(1/3)))/ABS(IF(ABS($E$4516)&gt;0.000000001,$E$4516,0.000000001))*$I$3640)</f>
        <v/>
      </c>
      <c r="E4552" s="19">
        <f>0.5*$E$4516+0.5*$Z$4565</f>
        <v/>
      </c>
      <c r="F4552" s="19">
        <f>$Z$4566</f>
        <v/>
      </c>
    </row>
    <row r="4553">
      <c r="D4553" s="19">
        <f>IF(ABS(IF(ABS($E$4517)&gt;0.000000001,$E$4517,0.000000001))=0,0,IF($E$3641&lt;=$B$3633,0,IF(ABS(IF(ABS($E$4517)&gt;0.000000001,$E$4517,0.000000001))&gt;=8*$B$3635,$H$3641,0.5*$H$3641*(ABS(IF(ABS($E$4517)&gt;0.000000001,$E$4517,0.000000001))/$B$3635)^(1/3)))/ABS(IF(ABS($E$4517)&gt;0.000000001,$E$4517,0.000000001))*$I$3641)</f>
        <v/>
      </c>
      <c r="E4553" s="19">
        <f>0.5*$E$4517+0.5*$Z$4567</f>
        <v/>
      </c>
      <c r="F4553" s="19">
        <f>$Z$4568</f>
        <v/>
      </c>
    </row>
    <row r="4554">
      <c r="D4554" s="19">
        <f>IF(ABS(IF(ABS($E$4518)&gt;0.000000001,$E$4518,0.000000001))=0,0,IF($E$3642&lt;=$B$3633,0,IF(ABS(IF(ABS($E$4518)&gt;0.000000001,$E$4518,0.000000001))&gt;=8*$B$3635,$H$3642,0.5*$H$3642*(ABS(IF(ABS($E$4518)&gt;0.000000001,$E$4518,0.000000001))/$B$3635)^(1/3)))/ABS(IF(ABS($E$4518)&gt;0.000000001,$E$4518,0.000000001))*$I$3642)</f>
        <v/>
      </c>
      <c r="E4554" s="19">
        <f>0.5*$E$4518+0.5*$Z$4569</f>
        <v/>
      </c>
      <c r="F4554" s="19">
        <f>$Z$4570</f>
        <v/>
      </c>
    </row>
    <row r="4555">
      <c r="D4555" s="19">
        <f>IF(ABS(IF(ABS($E$4519)&gt;0.000000001,$E$4519,0.000000001))=0,0,IF($E$3643&lt;=$B$3633,0,IF(ABS(IF(ABS($E$4519)&gt;0.000000001,$E$4519,0.000000001))&gt;=8*$B$3635,$H$3643,0.5*$H$3643*(ABS(IF(ABS($E$4519)&gt;0.000000001,$E$4519,0.000000001))/$B$3635)^(1/3)))/ABS(IF(ABS($E$4519)&gt;0.000000001,$E$4519,0.000000001))*$I$3643)</f>
        <v/>
      </c>
      <c r="E4555" s="19">
        <f>0.5*$E$4519+0.5*$Z$4571</f>
        <v/>
      </c>
      <c r="F4555" s="19">
        <f>$Z$4572</f>
        <v/>
      </c>
    </row>
    <row r="4556">
      <c r="D4556" s="19">
        <f>IF(ABS(IF(ABS($E$4520)&gt;0.000000001,$E$4520,0.000000001))=0,0,IF($E$3644&lt;=$B$3633,0,IF(ABS(IF(ABS($E$4520)&gt;0.000000001,$E$4520,0.000000001))&gt;=8*$B$3635,$H$3644,0.5*$H$3644*(ABS(IF(ABS($E$4520)&gt;0.000000001,$E$4520,0.000000001))/$B$3635)^(1/3)))/ABS(IF(ABS($E$4520)&gt;0.000000001,$E$4520,0.000000001))*$I$3644)</f>
        <v/>
      </c>
      <c r="E4556" s="19">
        <f>0.5*$E$4520+0.5*$Z$4573</f>
        <v/>
      </c>
      <c r="F4556" s="19">
        <f>$Z$4574</f>
        <v/>
      </c>
    </row>
    <row r="4557">
      <c r="D4557" s="19">
        <f>IF(ABS(IF(ABS($E$4521)&gt;0.000000001,$E$4521,0.000000001))=0,0,IF($E$3645&lt;=$B$3633,0,IF(ABS(IF(ABS($E$4521)&gt;0.000000001,$E$4521,0.000000001))&gt;=8*$B$3635,$H$3645,0.5*$H$3645*(ABS(IF(ABS($E$4521)&gt;0.000000001,$E$4521,0.000000001))/$B$3635)^(1/3)))/ABS(IF(ABS($E$4521)&gt;0.000000001,$E$4521,0.000000001))*$I$3645)</f>
        <v/>
      </c>
      <c r="E4557" s="19">
        <f>0.5*$E$4521+0.5*$Z$4575</f>
        <v/>
      </c>
      <c r="F4557" s="19">
        <f>$Z$4576</f>
        <v/>
      </c>
    </row>
    <row r="4558">
      <c r="D4558" s="19">
        <f>IF(ABS(IF(ABS($E$4522)&gt;0.000000001,$E$4522,0.000000001))=0,0,IF($E$3646&lt;=$B$3633,0,IF(ABS(IF(ABS($E$4522)&gt;0.000000001,$E$4522,0.000000001))&gt;=8*$B$3635,$H$3646,0.5*$H$3646*(ABS(IF(ABS($E$4522)&gt;0.000000001,$E$4522,0.000000001))/$B$3635)^(1/3)))/ABS(IF(ABS($E$4522)&gt;0.000000001,$E$4522,0.000000001))*$I$3646)</f>
        <v/>
      </c>
      <c r="E4558" s="19">
        <f>0.5*$E$4522+0.5*$Z$4577</f>
        <v/>
      </c>
      <c r="F4558" s="19">
        <f>$Z$4578</f>
        <v/>
      </c>
    </row>
    <row r="4559">
      <c r="D4559" s="19">
        <f>IF(ABS(IF(ABS($E$4523)&gt;0.000000001,$E$4523,0.000000001))=0,0,IF($E$3647&lt;=$B$3633,0,IF(ABS(IF(ABS($E$4523)&gt;0.000000001,$E$4523,0.000000001))&gt;=8*$B$3635,$H$3647,0.5*$H$3647*(ABS(IF(ABS($E$4523)&gt;0.000000001,$E$4523,0.000000001))/$B$3635)^(1/3)))/ABS(IF(ABS($E$4523)&gt;0.000000001,$E$4523,0.000000001))*$I$3647)</f>
        <v/>
      </c>
      <c r="E4559" s="19">
        <f>0.5*$E$4523+0.5*$Z$4579</f>
        <v/>
      </c>
      <c r="F4559" s="19">
        <f>$Z$4580</f>
        <v/>
      </c>
    </row>
    <row r="4560">
      <c r="D4560" s="19">
        <f>IF(ABS(IF(ABS($E$4524)&gt;0.000000001,$E$4524,0.000000001))=0,0,IF($E$3648&lt;=$B$3633,0,IF(ABS(IF(ABS($E$4524)&gt;0.000000001,$E$4524,0.000000001))&gt;=8*$B$3635,$H$3648,0.5*$H$3648*(ABS(IF(ABS($E$4524)&gt;0.000000001,$E$4524,0.000000001))/$B$3635)^(1/3)))/ABS(IF(ABS($E$4524)&gt;0.000000001,$E$4524,0.000000001))*$I$3648)</f>
        <v/>
      </c>
      <c r="E4560" s="19">
        <f>0.5*$E$4524+0.5*$Z$4581</f>
        <v/>
      </c>
      <c r="F4560" s="19">
        <f>$Z$4582</f>
        <v/>
      </c>
    </row>
    <row r="4561">
      <c r="D4561" s="19">
        <f>IF(ABS(IF(ABS($E$4525)&gt;0.000000001,$E$4525,0.000000001))=0,0,IF($E$3649&lt;=$B$3633,0,IF(ABS(IF(ABS($E$4525)&gt;0.000000001,$E$4525,0.000000001))&gt;=8*$B$3635,$H$3649,0.5*$H$3649*(ABS(IF(ABS($E$4525)&gt;0.000000001,$E$4525,0.000000001))/$B$3635)^(1/3)))/ABS(IF(ABS($E$4525)&gt;0.000000001,$E$4525,0.000000001))*$I$3649)</f>
        <v/>
      </c>
      <c r="E4561" s="19">
        <f>0.5*$E$4525+0.5*$Z$4583</f>
        <v/>
      </c>
      <c r="F4561" s="19">
        <f>$Z$4584</f>
        <v/>
      </c>
    </row>
    <row r="4563">
      <c r="D4563" s="21">
        <f>$B$3624+$D$4551</f>
        <v/>
      </c>
      <c r="E4563" s="21">
        <f>$B$3625</f>
        <v/>
      </c>
      <c r="F4563" s="21">
        <f>-$B$3624</f>
        <v/>
      </c>
      <c r="G4563" s="21">
        <f>$B$3625</f>
        <v/>
      </c>
      <c r="H4563" s="21" t="n">
        <v>0</v>
      </c>
      <c r="I4563" s="21" t="n">
        <v>0</v>
      </c>
      <c r="J4563" s="21" t="n">
        <v>0</v>
      </c>
      <c r="K4563" s="21" t="n">
        <v>0</v>
      </c>
      <c r="L4563" s="21" t="n">
        <v>0</v>
      </c>
      <c r="M4563" s="21" t="n">
        <v>0</v>
      </c>
      <c r="N4563" s="21" t="n">
        <v>0</v>
      </c>
      <c r="O4563" s="21" t="n">
        <v>0</v>
      </c>
      <c r="P4563" s="21" t="n">
        <v>0</v>
      </c>
      <c r="Q4563" s="21" t="n">
        <v>0</v>
      </c>
      <c r="R4563" s="21" t="n">
        <v>0</v>
      </c>
      <c r="S4563" s="21" t="n">
        <v>0</v>
      </c>
      <c r="T4563" s="21" t="n">
        <v>0</v>
      </c>
      <c r="U4563" s="21" t="n">
        <v>0</v>
      </c>
      <c r="V4563" s="21" t="n">
        <v>0</v>
      </c>
      <c r="W4563" s="21" t="n">
        <v>0</v>
      </c>
      <c r="X4563" s="21" t="n">
        <v>0</v>
      </c>
      <c r="Y4563" s="21" t="n">
        <v>0</v>
      </c>
      <c r="Z4563" s="19">
        <f t="array" ref="Z4563:Z4584">MMULT(MINVERSE($D$4563:$Y$4584),$D$3651:$D$3672)</f>
        <v/>
      </c>
    </row>
    <row r="4564">
      <c r="D4564" s="21">
        <f>$B$3625</f>
        <v/>
      </c>
      <c r="E4564" s="21">
        <f>$B$3626</f>
        <v/>
      </c>
      <c r="F4564" s="21">
        <f>-$B$3625</f>
        <v/>
      </c>
      <c r="G4564" s="21">
        <f>$B$3627</f>
        <v/>
      </c>
      <c r="H4564" s="21" t="n">
        <v>0</v>
      </c>
      <c r="I4564" s="21" t="n">
        <v>0</v>
      </c>
      <c r="J4564" s="21" t="n">
        <v>0</v>
      </c>
      <c r="K4564" s="21" t="n">
        <v>0</v>
      </c>
      <c r="L4564" s="21" t="n">
        <v>0</v>
      </c>
      <c r="M4564" s="21" t="n">
        <v>0</v>
      </c>
      <c r="N4564" s="21" t="n">
        <v>0</v>
      </c>
      <c r="O4564" s="21" t="n">
        <v>0</v>
      </c>
      <c r="P4564" s="21" t="n">
        <v>0</v>
      </c>
      <c r="Q4564" s="21" t="n">
        <v>0</v>
      </c>
      <c r="R4564" s="21" t="n">
        <v>0</v>
      </c>
      <c r="S4564" s="21" t="n">
        <v>0</v>
      </c>
      <c r="T4564" s="21" t="n">
        <v>0</v>
      </c>
      <c r="U4564" s="21" t="n">
        <v>0</v>
      </c>
      <c r="V4564" s="21" t="n">
        <v>0</v>
      </c>
      <c r="W4564" s="21" t="n">
        <v>0</v>
      </c>
      <c r="X4564" s="21" t="n">
        <v>0</v>
      </c>
      <c r="Y4564" s="21" t="n">
        <v>0</v>
      </c>
      <c r="Z4564" s="19" t="n"/>
    </row>
    <row r="4565">
      <c r="D4565" s="21">
        <f>-$B$3624</f>
        <v/>
      </c>
      <c r="E4565" s="21">
        <f>-$B$3625</f>
        <v/>
      </c>
      <c r="F4565" s="21">
        <f>2*$B$3624+$D$4552</f>
        <v/>
      </c>
      <c r="G4565" s="21">
        <f>0</f>
        <v/>
      </c>
      <c r="H4565" s="21">
        <f>-$B$3624</f>
        <v/>
      </c>
      <c r="I4565" s="21">
        <f>$B$3625</f>
        <v/>
      </c>
      <c r="J4565" s="21" t="n">
        <v>0</v>
      </c>
      <c r="K4565" s="21" t="n">
        <v>0</v>
      </c>
      <c r="L4565" s="21" t="n">
        <v>0</v>
      </c>
      <c r="M4565" s="21" t="n">
        <v>0</v>
      </c>
      <c r="N4565" s="21" t="n">
        <v>0</v>
      </c>
      <c r="O4565" s="21" t="n">
        <v>0</v>
      </c>
      <c r="P4565" s="21" t="n">
        <v>0</v>
      </c>
      <c r="Q4565" s="21" t="n">
        <v>0</v>
      </c>
      <c r="R4565" s="21" t="n">
        <v>0</v>
      </c>
      <c r="S4565" s="21" t="n">
        <v>0</v>
      </c>
      <c r="T4565" s="21" t="n">
        <v>0</v>
      </c>
      <c r="U4565" s="21" t="n">
        <v>0</v>
      </c>
      <c r="V4565" s="21" t="n">
        <v>0</v>
      </c>
      <c r="W4565" s="21" t="n">
        <v>0</v>
      </c>
      <c r="X4565" s="21" t="n">
        <v>0</v>
      </c>
      <c r="Y4565" s="21" t="n">
        <v>0</v>
      </c>
      <c r="Z4565" s="19" t="n"/>
    </row>
    <row r="4566">
      <c r="D4566" s="21">
        <f>$B$3625</f>
        <v/>
      </c>
      <c r="E4566" s="21">
        <f>$B$3627</f>
        <v/>
      </c>
      <c r="F4566" s="21">
        <f>0</f>
        <v/>
      </c>
      <c r="G4566" s="21">
        <f>2*$B$3626</f>
        <v/>
      </c>
      <c r="H4566" s="21">
        <f>-$B$3625</f>
        <v/>
      </c>
      <c r="I4566" s="21">
        <f>$B$3627</f>
        <v/>
      </c>
      <c r="J4566" s="21" t="n">
        <v>0</v>
      </c>
      <c r="K4566" s="21" t="n">
        <v>0</v>
      </c>
      <c r="L4566" s="21" t="n">
        <v>0</v>
      </c>
      <c r="M4566" s="21" t="n">
        <v>0</v>
      </c>
      <c r="N4566" s="21" t="n">
        <v>0</v>
      </c>
      <c r="O4566" s="21" t="n">
        <v>0</v>
      </c>
      <c r="P4566" s="21" t="n">
        <v>0</v>
      </c>
      <c r="Q4566" s="21" t="n">
        <v>0</v>
      </c>
      <c r="R4566" s="21" t="n">
        <v>0</v>
      </c>
      <c r="S4566" s="21" t="n">
        <v>0</v>
      </c>
      <c r="T4566" s="21" t="n">
        <v>0</v>
      </c>
      <c r="U4566" s="21" t="n">
        <v>0</v>
      </c>
      <c r="V4566" s="21" t="n">
        <v>0</v>
      </c>
      <c r="W4566" s="21" t="n">
        <v>0</v>
      </c>
      <c r="X4566" s="21" t="n">
        <v>0</v>
      </c>
      <c r="Y4566" s="21" t="n">
        <v>0</v>
      </c>
      <c r="Z4566" s="19" t="n"/>
    </row>
    <row r="4567">
      <c r="D4567" s="21" t="n">
        <v>0</v>
      </c>
      <c r="E4567" s="21" t="n">
        <v>0</v>
      </c>
      <c r="F4567" s="21">
        <f>-$B$3624</f>
        <v/>
      </c>
      <c r="G4567" s="21">
        <f>-$B$3625</f>
        <v/>
      </c>
      <c r="H4567" s="21">
        <f>2*$B$3624+$D$4553</f>
        <v/>
      </c>
      <c r="I4567" s="21">
        <f>0</f>
        <v/>
      </c>
      <c r="J4567" s="21">
        <f>-$B$3624</f>
        <v/>
      </c>
      <c r="K4567" s="21">
        <f>$B$3625</f>
        <v/>
      </c>
      <c r="L4567" s="21" t="n">
        <v>0</v>
      </c>
      <c r="M4567" s="21" t="n">
        <v>0</v>
      </c>
      <c r="N4567" s="21" t="n">
        <v>0</v>
      </c>
      <c r="O4567" s="21" t="n">
        <v>0</v>
      </c>
      <c r="P4567" s="21" t="n">
        <v>0</v>
      </c>
      <c r="Q4567" s="21" t="n">
        <v>0</v>
      </c>
      <c r="R4567" s="21" t="n">
        <v>0</v>
      </c>
      <c r="S4567" s="21" t="n">
        <v>0</v>
      </c>
      <c r="T4567" s="21" t="n">
        <v>0</v>
      </c>
      <c r="U4567" s="21" t="n">
        <v>0</v>
      </c>
      <c r="V4567" s="21" t="n">
        <v>0</v>
      </c>
      <c r="W4567" s="21" t="n">
        <v>0</v>
      </c>
      <c r="X4567" s="21" t="n">
        <v>0</v>
      </c>
      <c r="Y4567" s="21" t="n">
        <v>0</v>
      </c>
      <c r="Z4567" s="19" t="n"/>
    </row>
    <row r="4568">
      <c r="D4568" s="21" t="n">
        <v>0</v>
      </c>
      <c r="E4568" s="21" t="n">
        <v>0</v>
      </c>
      <c r="F4568" s="21">
        <f>$B$3625</f>
        <v/>
      </c>
      <c r="G4568" s="21">
        <f>$B$3627</f>
        <v/>
      </c>
      <c r="H4568" s="21">
        <f>0</f>
        <v/>
      </c>
      <c r="I4568" s="21">
        <f>2*$B$3626</f>
        <v/>
      </c>
      <c r="J4568" s="21">
        <f>-$B$3625</f>
        <v/>
      </c>
      <c r="K4568" s="21">
        <f>$B$3627</f>
        <v/>
      </c>
      <c r="L4568" s="21" t="n">
        <v>0</v>
      </c>
      <c r="M4568" s="21" t="n">
        <v>0</v>
      </c>
      <c r="N4568" s="21" t="n">
        <v>0</v>
      </c>
      <c r="O4568" s="21" t="n">
        <v>0</v>
      </c>
      <c r="P4568" s="21" t="n">
        <v>0</v>
      </c>
      <c r="Q4568" s="21" t="n">
        <v>0</v>
      </c>
      <c r="R4568" s="21" t="n">
        <v>0</v>
      </c>
      <c r="S4568" s="21" t="n">
        <v>0</v>
      </c>
      <c r="T4568" s="21" t="n">
        <v>0</v>
      </c>
      <c r="U4568" s="21" t="n">
        <v>0</v>
      </c>
      <c r="V4568" s="21" t="n">
        <v>0</v>
      </c>
      <c r="W4568" s="21" t="n">
        <v>0</v>
      </c>
      <c r="X4568" s="21" t="n">
        <v>0</v>
      </c>
      <c r="Y4568" s="21" t="n">
        <v>0</v>
      </c>
      <c r="Z4568" s="19" t="n"/>
    </row>
    <row r="4569">
      <c r="D4569" s="21" t="n">
        <v>0</v>
      </c>
      <c r="E4569" s="21" t="n">
        <v>0</v>
      </c>
      <c r="F4569" s="21" t="n">
        <v>0</v>
      </c>
      <c r="G4569" s="21" t="n">
        <v>0</v>
      </c>
      <c r="H4569" s="21">
        <f>-$B$3624</f>
        <v/>
      </c>
      <c r="I4569" s="21">
        <f>-$B$3625</f>
        <v/>
      </c>
      <c r="J4569" s="21">
        <f>2*$B$3624+$D$4554</f>
        <v/>
      </c>
      <c r="K4569" s="21">
        <f>0</f>
        <v/>
      </c>
      <c r="L4569" s="21">
        <f>-$B$3624</f>
        <v/>
      </c>
      <c r="M4569" s="21">
        <f>$B$3625</f>
        <v/>
      </c>
      <c r="N4569" s="21" t="n">
        <v>0</v>
      </c>
      <c r="O4569" s="21" t="n">
        <v>0</v>
      </c>
      <c r="P4569" s="21" t="n">
        <v>0</v>
      </c>
      <c r="Q4569" s="21" t="n">
        <v>0</v>
      </c>
      <c r="R4569" s="21" t="n">
        <v>0</v>
      </c>
      <c r="S4569" s="21" t="n">
        <v>0</v>
      </c>
      <c r="T4569" s="21" t="n">
        <v>0</v>
      </c>
      <c r="U4569" s="21" t="n">
        <v>0</v>
      </c>
      <c r="V4569" s="21" t="n">
        <v>0</v>
      </c>
      <c r="W4569" s="21" t="n">
        <v>0</v>
      </c>
      <c r="X4569" s="21" t="n">
        <v>0</v>
      </c>
      <c r="Y4569" s="21" t="n">
        <v>0</v>
      </c>
      <c r="Z4569" s="19" t="n"/>
    </row>
    <row r="4570">
      <c r="D4570" s="21" t="n">
        <v>0</v>
      </c>
      <c r="E4570" s="21" t="n">
        <v>0</v>
      </c>
      <c r="F4570" s="21" t="n">
        <v>0</v>
      </c>
      <c r="G4570" s="21" t="n">
        <v>0</v>
      </c>
      <c r="H4570" s="21">
        <f>$B$3625</f>
        <v/>
      </c>
      <c r="I4570" s="21">
        <f>$B$3627</f>
        <v/>
      </c>
      <c r="J4570" s="21">
        <f>0</f>
        <v/>
      </c>
      <c r="K4570" s="21">
        <f>2*$B$3626</f>
        <v/>
      </c>
      <c r="L4570" s="21">
        <f>-$B$3625</f>
        <v/>
      </c>
      <c r="M4570" s="21">
        <f>$B$3627</f>
        <v/>
      </c>
      <c r="N4570" s="21" t="n">
        <v>0</v>
      </c>
      <c r="O4570" s="21" t="n">
        <v>0</v>
      </c>
      <c r="P4570" s="21" t="n">
        <v>0</v>
      </c>
      <c r="Q4570" s="21" t="n">
        <v>0</v>
      </c>
      <c r="R4570" s="21" t="n">
        <v>0</v>
      </c>
      <c r="S4570" s="21" t="n">
        <v>0</v>
      </c>
      <c r="T4570" s="21" t="n">
        <v>0</v>
      </c>
      <c r="U4570" s="21" t="n">
        <v>0</v>
      </c>
      <c r="V4570" s="21" t="n">
        <v>0</v>
      </c>
      <c r="W4570" s="21" t="n">
        <v>0</v>
      </c>
      <c r="X4570" s="21" t="n">
        <v>0</v>
      </c>
      <c r="Y4570" s="21" t="n">
        <v>0</v>
      </c>
      <c r="Z4570" s="19" t="n"/>
    </row>
    <row r="4571">
      <c r="D4571" s="21" t="n">
        <v>0</v>
      </c>
      <c r="E4571" s="21" t="n">
        <v>0</v>
      </c>
      <c r="F4571" s="21" t="n">
        <v>0</v>
      </c>
      <c r="G4571" s="21" t="n">
        <v>0</v>
      </c>
      <c r="H4571" s="21" t="n">
        <v>0</v>
      </c>
      <c r="I4571" s="21" t="n">
        <v>0</v>
      </c>
      <c r="J4571" s="21">
        <f>-$B$3624</f>
        <v/>
      </c>
      <c r="K4571" s="21">
        <f>-$B$3625</f>
        <v/>
      </c>
      <c r="L4571" s="21">
        <f>2*$B$3624+$D$4555</f>
        <v/>
      </c>
      <c r="M4571" s="21">
        <f>0</f>
        <v/>
      </c>
      <c r="N4571" s="21">
        <f>-$B$3624</f>
        <v/>
      </c>
      <c r="O4571" s="21">
        <f>$B$3625</f>
        <v/>
      </c>
      <c r="P4571" s="21" t="n">
        <v>0</v>
      </c>
      <c r="Q4571" s="21" t="n">
        <v>0</v>
      </c>
      <c r="R4571" s="21" t="n">
        <v>0</v>
      </c>
      <c r="S4571" s="21" t="n">
        <v>0</v>
      </c>
      <c r="T4571" s="21" t="n">
        <v>0</v>
      </c>
      <c r="U4571" s="21" t="n">
        <v>0</v>
      </c>
      <c r="V4571" s="21" t="n">
        <v>0</v>
      </c>
      <c r="W4571" s="21" t="n">
        <v>0</v>
      </c>
      <c r="X4571" s="21" t="n">
        <v>0</v>
      </c>
      <c r="Y4571" s="21" t="n">
        <v>0</v>
      </c>
      <c r="Z4571" s="19" t="n"/>
    </row>
    <row r="4572">
      <c r="D4572" s="21" t="n">
        <v>0</v>
      </c>
      <c r="E4572" s="21" t="n">
        <v>0</v>
      </c>
      <c r="F4572" s="21" t="n">
        <v>0</v>
      </c>
      <c r="G4572" s="21" t="n">
        <v>0</v>
      </c>
      <c r="H4572" s="21" t="n">
        <v>0</v>
      </c>
      <c r="I4572" s="21" t="n">
        <v>0</v>
      </c>
      <c r="J4572" s="21">
        <f>$B$3625</f>
        <v/>
      </c>
      <c r="K4572" s="21">
        <f>$B$3627</f>
        <v/>
      </c>
      <c r="L4572" s="21">
        <f>0</f>
        <v/>
      </c>
      <c r="M4572" s="21">
        <f>2*$B$3626</f>
        <v/>
      </c>
      <c r="N4572" s="21">
        <f>-$B$3625</f>
        <v/>
      </c>
      <c r="O4572" s="21">
        <f>$B$3627</f>
        <v/>
      </c>
      <c r="P4572" s="21" t="n">
        <v>0</v>
      </c>
      <c r="Q4572" s="21" t="n">
        <v>0</v>
      </c>
      <c r="R4572" s="21" t="n">
        <v>0</v>
      </c>
      <c r="S4572" s="21" t="n">
        <v>0</v>
      </c>
      <c r="T4572" s="21" t="n">
        <v>0</v>
      </c>
      <c r="U4572" s="21" t="n">
        <v>0</v>
      </c>
      <c r="V4572" s="21" t="n">
        <v>0</v>
      </c>
      <c r="W4572" s="21" t="n">
        <v>0</v>
      </c>
      <c r="X4572" s="21" t="n">
        <v>0</v>
      </c>
      <c r="Y4572" s="21" t="n">
        <v>0</v>
      </c>
      <c r="Z4572" s="19" t="n"/>
    </row>
    <row r="4573">
      <c r="D4573" s="21" t="n">
        <v>0</v>
      </c>
      <c r="E4573" s="21" t="n">
        <v>0</v>
      </c>
      <c r="F4573" s="21" t="n">
        <v>0</v>
      </c>
      <c r="G4573" s="21" t="n">
        <v>0</v>
      </c>
      <c r="H4573" s="21" t="n">
        <v>0</v>
      </c>
      <c r="I4573" s="21" t="n">
        <v>0</v>
      </c>
      <c r="J4573" s="21" t="n">
        <v>0</v>
      </c>
      <c r="K4573" s="21" t="n">
        <v>0</v>
      </c>
      <c r="L4573" s="21">
        <f>-$B$3624</f>
        <v/>
      </c>
      <c r="M4573" s="21">
        <f>-$B$3625</f>
        <v/>
      </c>
      <c r="N4573" s="21">
        <f>2*$B$3624+$D$4556</f>
        <v/>
      </c>
      <c r="O4573" s="21">
        <f>0</f>
        <v/>
      </c>
      <c r="P4573" s="21">
        <f>-$B$3624</f>
        <v/>
      </c>
      <c r="Q4573" s="21">
        <f>$B$3625</f>
        <v/>
      </c>
      <c r="R4573" s="21" t="n">
        <v>0</v>
      </c>
      <c r="S4573" s="21" t="n">
        <v>0</v>
      </c>
      <c r="T4573" s="21" t="n">
        <v>0</v>
      </c>
      <c r="U4573" s="21" t="n">
        <v>0</v>
      </c>
      <c r="V4573" s="21" t="n">
        <v>0</v>
      </c>
      <c r="W4573" s="21" t="n">
        <v>0</v>
      </c>
      <c r="X4573" s="21" t="n">
        <v>0</v>
      </c>
      <c r="Y4573" s="21" t="n">
        <v>0</v>
      </c>
      <c r="Z4573" s="19" t="n"/>
    </row>
    <row r="4574">
      <c r="D4574" s="21" t="n">
        <v>0</v>
      </c>
      <c r="E4574" s="21" t="n">
        <v>0</v>
      </c>
      <c r="F4574" s="21" t="n">
        <v>0</v>
      </c>
      <c r="G4574" s="21" t="n">
        <v>0</v>
      </c>
      <c r="H4574" s="21" t="n">
        <v>0</v>
      </c>
      <c r="I4574" s="21" t="n">
        <v>0</v>
      </c>
      <c r="J4574" s="21" t="n">
        <v>0</v>
      </c>
      <c r="K4574" s="21" t="n">
        <v>0</v>
      </c>
      <c r="L4574" s="21">
        <f>$B$3625</f>
        <v/>
      </c>
      <c r="M4574" s="21">
        <f>$B$3627</f>
        <v/>
      </c>
      <c r="N4574" s="21">
        <f>0</f>
        <v/>
      </c>
      <c r="O4574" s="21">
        <f>2*$B$3626</f>
        <v/>
      </c>
      <c r="P4574" s="21">
        <f>-$B$3625</f>
        <v/>
      </c>
      <c r="Q4574" s="21">
        <f>$B$3627</f>
        <v/>
      </c>
      <c r="R4574" s="21" t="n">
        <v>0</v>
      </c>
      <c r="S4574" s="21" t="n">
        <v>0</v>
      </c>
      <c r="T4574" s="21" t="n">
        <v>0</v>
      </c>
      <c r="U4574" s="21" t="n">
        <v>0</v>
      </c>
      <c r="V4574" s="21" t="n">
        <v>0</v>
      </c>
      <c r="W4574" s="21" t="n">
        <v>0</v>
      </c>
      <c r="X4574" s="21" t="n">
        <v>0</v>
      </c>
      <c r="Y4574" s="21" t="n">
        <v>0</v>
      </c>
      <c r="Z4574" s="19" t="n"/>
    </row>
    <row r="4575">
      <c r="D4575" s="21" t="n">
        <v>0</v>
      </c>
      <c r="E4575" s="21" t="n">
        <v>0</v>
      </c>
      <c r="F4575" s="21" t="n">
        <v>0</v>
      </c>
      <c r="G4575" s="21" t="n">
        <v>0</v>
      </c>
      <c r="H4575" s="21" t="n">
        <v>0</v>
      </c>
      <c r="I4575" s="21" t="n">
        <v>0</v>
      </c>
      <c r="J4575" s="21" t="n">
        <v>0</v>
      </c>
      <c r="K4575" s="21" t="n">
        <v>0</v>
      </c>
      <c r="L4575" s="21" t="n">
        <v>0</v>
      </c>
      <c r="M4575" s="21" t="n">
        <v>0</v>
      </c>
      <c r="N4575" s="21">
        <f>-$B$3624</f>
        <v/>
      </c>
      <c r="O4575" s="21">
        <f>-$B$3625</f>
        <v/>
      </c>
      <c r="P4575" s="21">
        <f>2*$B$3624+$D$4557</f>
        <v/>
      </c>
      <c r="Q4575" s="21">
        <f>0</f>
        <v/>
      </c>
      <c r="R4575" s="21">
        <f>-$B$3624</f>
        <v/>
      </c>
      <c r="S4575" s="21">
        <f>$B$3625</f>
        <v/>
      </c>
      <c r="T4575" s="21" t="n">
        <v>0</v>
      </c>
      <c r="U4575" s="21" t="n">
        <v>0</v>
      </c>
      <c r="V4575" s="21" t="n">
        <v>0</v>
      </c>
      <c r="W4575" s="21" t="n">
        <v>0</v>
      </c>
      <c r="X4575" s="21" t="n">
        <v>0</v>
      </c>
      <c r="Y4575" s="21" t="n">
        <v>0</v>
      </c>
      <c r="Z4575" s="19" t="n"/>
    </row>
    <row r="4576">
      <c r="D4576" s="21" t="n">
        <v>0</v>
      </c>
      <c r="E4576" s="21" t="n">
        <v>0</v>
      </c>
      <c r="F4576" s="21" t="n">
        <v>0</v>
      </c>
      <c r="G4576" s="21" t="n">
        <v>0</v>
      </c>
      <c r="H4576" s="21" t="n">
        <v>0</v>
      </c>
      <c r="I4576" s="21" t="n">
        <v>0</v>
      </c>
      <c r="J4576" s="21" t="n">
        <v>0</v>
      </c>
      <c r="K4576" s="21" t="n">
        <v>0</v>
      </c>
      <c r="L4576" s="21" t="n">
        <v>0</v>
      </c>
      <c r="M4576" s="21" t="n">
        <v>0</v>
      </c>
      <c r="N4576" s="21">
        <f>$B$3625</f>
        <v/>
      </c>
      <c r="O4576" s="21">
        <f>$B$3627</f>
        <v/>
      </c>
      <c r="P4576" s="21">
        <f>0</f>
        <v/>
      </c>
      <c r="Q4576" s="21">
        <f>2*$B$3626</f>
        <v/>
      </c>
      <c r="R4576" s="21">
        <f>-$B$3625</f>
        <v/>
      </c>
      <c r="S4576" s="21">
        <f>$B$3627</f>
        <v/>
      </c>
      <c r="T4576" s="21" t="n">
        <v>0</v>
      </c>
      <c r="U4576" s="21" t="n">
        <v>0</v>
      </c>
      <c r="V4576" s="21" t="n">
        <v>0</v>
      </c>
      <c r="W4576" s="21" t="n">
        <v>0</v>
      </c>
      <c r="X4576" s="21" t="n">
        <v>0</v>
      </c>
      <c r="Y4576" s="21" t="n">
        <v>0</v>
      </c>
      <c r="Z4576" s="19" t="n"/>
    </row>
    <row r="4577">
      <c r="D4577" s="21" t="n">
        <v>0</v>
      </c>
      <c r="E4577" s="21" t="n">
        <v>0</v>
      </c>
      <c r="F4577" s="21" t="n">
        <v>0</v>
      </c>
      <c r="G4577" s="21" t="n">
        <v>0</v>
      </c>
      <c r="H4577" s="21" t="n">
        <v>0</v>
      </c>
      <c r="I4577" s="21" t="n">
        <v>0</v>
      </c>
      <c r="J4577" s="21" t="n">
        <v>0</v>
      </c>
      <c r="K4577" s="21" t="n">
        <v>0</v>
      </c>
      <c r="L4577" s="21" t="n">
        <v>0</v>
      </c>
      <c r="M4577" s="21" t="n">
        <v>0</v>
      </c>
      <c r="N4577" s="21" t="n">
        <v>0</v>
      </c>
      <c r="O4577" s="21" t="n">
        <v>0</v>
      </c>
      <c r="P4577" s="21">
        <f>-$B$3624</f>
        <v/>
      </c>
      <c r="Q4577" s="21">
        <f>-$B$3625</f>
        <v/>
      </c>
      <c r="R4577" s="21">
        <f>2*$B$3624+$D$4558</f>
        <v/>
      </c>
      <c r="S4577" s="21">
        <f>0</f>
        <v/>
      </c>
      <c r="T4577" s="21">
        <f>-$B$3624</f>
        <v/>
      </c>
      <c r="U4577" s="21">
        <f>$B$3625</f>
        <v/>
      </c>
      <c r="V4577" s="21" t="n">
        <v>0</v>
      </c>
      <c r="W4577" s="21" t="n">
        <v>0</v>
      </c>
      <c r="X4577" s="21" t="n">
        <v>0</v>
      </c>
      <c r="Y4577" s="21" t="n">
        <v>0</v>
      </c>
      <c r="Z4577" s="19" t="n"/>
    </row>
    <row r="4578">
      <c r="D4578" s="21" t="n">
        <v>0</v>
      </c>
      <c r="E4578" s="21" t="n">
        <v>0</v>
      </c>
      <c r="F4578" s="21" t="n">
        <v>0</v>
      </c>
      <c r="G4578" s="21" t="n">
        <v>0</v>
      </c>
      <c r="H4578" s="21" t="n">
        <v>0</v>
      </c>
      <c r="I4578" s="21" t="n">
        <v>0</v>
      </c>
      <c r="J4578" s="21" t="n">
        <v>0</v>
      </c>
      <c r="K4578" s="21" t="n">
        <v>0</v>
      </c>
      <c r="L4578" s="21" t="n">
        <v>0</v>
      </c>
      <c r="M4578" s="21" t="n">
        <v>0</v>
      </c>
      <c r="N4578" s="21" t="n">
        <v>0</v>
      </c>
      <c r="O4578" s="21" t="n">
        <v>0</v>
      </c>
      <c r="P4578" s="21">
        <f>$B$3625</f>
        <v/>
      </c>
      <c r="Q4578" s="21">
        <f>$B$3627</f>
        <v/>
      </c>
      <c r="R4578" s="21">
        <f>0</f>
        <v/>
      </c>
      <c r="S4578" s="21">
        <f>2*$B$3626</f>
        <v/>
      </c>
      <c r="T4578" s="21">
        <f>-$B$3625</f>
        <v/>
      </c>
      <c r="U4578" s="21">
        <f>$B$3627</f>
        <v/>
      </c>
      <c r="V4578" s="21" t="n">
        <v>0</v>
      </c>
      <c r="W4578" s="21" t="n">
        <v>0</v>
      </c>
      <c r="X4578" s="21" t="n">
        <v>0</v>
      </c>
      <c r="Y4578" s="21" t="n">
        <v>0</v>
      </c>
      <c r="Z4578" s="19" t="n"/>
    </row>
    <row r="4579">
      <c r="D4579" s="21" t="n">
        <v>0</v>
      </c>
      <c r="E4579" s="21" t="n">
        <v>0</v>
      </c>
      <c r="F4579" s="21" t="n">
        <v>0</v>
      </c>
      <c r="G4579" s="21" t="n">
        <v>0</v>
      </c>
      <c r="H4579" s="21" t="n">
        <v>0</v>
      </c>
      <c r="I4579" s="21" t="n">
        <v>0</v>
      </c>
      <c r="J4579" s="21" t="n">
        <v>0</v>
      </c>
      <c r="K4579" s="21" t="n">
        <v>0</v>
      </c>
      <c r="L4579" s="21" t="n">
        <v>0</v>
      </c>
      <c r="M4579" s="21" t="n">
        <v>0</v>
      </c>
      <c r="N4579" s="21" t="n">
        <v>0</v>
      </c>
      <c r="O4579" s="21" t="n">
        <v>0</v>
      </c>
      <c r="P4579" s="21" t="n">
        <v>0</v>
      </c>
      <c r="Q4579" s="21" t="n">
        <v>0</v>
      </c>
      <c r="R4579" s="21">
        <f>-$B$3624</f>
        <v/>
      </c>
      <c r="S4579" s="21">
        <f>-$B$3625</f>
        <v/>
      </c>
      <c r="T4579" s="21">
        <f>2*$B$3624+$D$4559</f>
        <v/>
      </c>
      <c r="U4579" s="21">
        <f>0</f>
        <v/>
      </c>
      <c r="V4579" s="21">
        <f>-$B$3624</f>
        <v/>
      </c>
      <c r="W4579" s="21">
        <f>$B$3625</f>
        <v/>
      </c>
      <c r="X4579" s="21" t="n">
        <v>0</v>
      </c>
      <c r="Y4579" s="21" t="n">
        <v>0</v>
      </c>
      <c r="Z4579" s="19" t="n"/>
    </row>
    <row r="4580">
      <c r="D4580" s="21" t="n">
        <v>0</v>
      </c>
      <c r="E4580" s="21" t="n">
        <v>0</v>
      </c>
      <c r="F4580" s="21" t="n">
        <v>0</v>
      </c>
      <c r="G4580" s="21" t="n">
        <v>0</v>
      </c>
      <c r="H4580" s="21" t="n">
        <v>0</v>
      </c>
      <c r="I4580" s="21" t="n">
        <v>0</v>
      </c>
      <c r="J4580" s="21" t="n">
        <v>0</v>
      </c>
      <c r="K4580" s="21" t="n">
        <v>0</v>
      </c>
      <c r="L4580" s="21" t="n">
        <v>0</v>
      </c>
      <c r="M4580" s="21" t="n">
        <v>0</v>
      </c>
      <c r="N4580" s="21" t="n">
        <v>0</v>
      </c>
      <c r="O4580" s="21" t="n">
        <v>0</v>
      </c>
      <c r="P4580" s="21" t="n">
        <v>0</v>
      </c>
      <c r="Q4580" s="21" t="n">
        <v>0</v>
      </c>
      <c r="R4580" s="21">
        <f>$B$3625</f>
        <v/>
      </c>
      <c r="S4580" s="21">
        <f>$B$3627</f>
        <v/>
      </c>
      <c r="T4580" s="21">
        <f>0</f>
        <v/>
      </c>
      <c r="U4580" s="21">
        <f>2*$B$3626</f>
        <v/>
      </c>
      <c r="V4580" s="21">
        <f>-$B$3625</f>
        <v/>
      </c>
      <c r="W4580" s="21">
        <f>$B$3627</f>
        <v/>
      </c>
      <c r="X4580" s="21" t="n">
        <v>0</v>
      </c>
      <c r="Y4580" s="21" t="n">
        <v>0</v>
      </c>
      <c r="Z4580" s="19" t="n"/>
    </row>
    <row r="4581">
      <c r="D4581" s="21" t="n">
        <v>0</v>
      </c>
      <c r="E4581" s="21" t="n">
        <v>0</v>
      </c>
      <c r="F4581" s="21" t="n">
        <v>0</v>
      </c>
      <c r="G4581" s="21" t="n">
        <v>0</v>
      </c>
      <c r="H4581" s="21" t="n">
        <v>0</v>
      </c>
      <c r="I4581" s="21" t="n">
        <v>0</v>
      </c>
      <c r="J4581" s="21" t="n">
        <v>0</v>
      </c>
      <c r="K4581" s="21" t="n">
        <v>0</v>
      </c>
      <c r="L4581" s="21" t="n">
        <v>0</v>
      </c>
      <c r="M4581" s="21" t="n">
        <v>0</v>
      </c>
      <c r="N4581" s="21" t="n">
        <v>0</v>
      </c>
      <c r="O4581" s="21" t="n">
        <v>0</v>
      </c>
      <c r="P4581" s="21" t="n">
        <v>0</v>
      </c>
      <c r="Q4581" s="21" t="n">
        <v>0</v>
      </c>
      <c r="R4581" s="21" t="n">
        <v>0</v>
      </c>
      <c r="S4581" s="21" t="n">
        <v>0</v>
      </c>
      <c r="T4581" s="21">
        <f>-$B$3624</f>
        <v/>
      </c>
      <c r="U4581" s="21">
        <f>-$B$3625</f>
        <v/>
      </c>
      <c r="V4581" s="21">
        <f>2*$B$3624+$D$4560</f>
        <v/>
      </c>
      <c r="W4581" s="21">
        <f>0</f>
        <v/>
      </c>
      <c r="X4581" s="21">
        <f>-$B$3624</f>
        <v/>
      </c>
      <c r="Y4581" s="21">
        <f>$B$3625</f>
        <v/>
      </c>
      <c r="Z4581" s="19" t="n"/>
    </row>
    <row r="4582">
      <c r="D4582" s="21" t="n">
        <v>0</v>
      </c>
      <c r="E4582" s="21" t="n">
        <v>0</v>
      </c>
      <c r="F4582" s="21" t="n">
        <v>0</v>
      </c>
      <c r="G4582" s="21" t="n">
        <v>0</v>
      </c>
      <c r="H4582" s="21" t="n">
        <v>0</v>
      </c>
      <c r="I4582" s="21" t="n">
        <v>0</v>
      </c>
      <c r="J4582" s="21" t="n">
        <v>0</v>
      </c>
      <c r="K4582" s="21" t="n">
        <v>0</v>
      </c>
      <c r="L4582" s="21" t="n">
        <v>0</v>
      </c>
      <c r="M4582" s="21" t="n">
        <v>0</v>
      </c>
      <c r="N4582" s="21" t="n">
        <v>0</v>
      </c>
      <c r="O4582" s="21" t="n">
        <v>0</v>
      </c>
      <c r="P4582" s="21" t="n">
        <v>0</v>
      </c>
      <c r="Q4582" s="21" t="n">
        <v>0</v>
      </c>
      <c r="R4582" s="21" t="n">
        <v>0</v>
      </c>
      <c r="S4582" s="21" t="n">
        <v>0</v>
      </c>
      <c r="T4582" s="21">
        <f>$B$3625</f>
        <v/>
      </c>
      <c r="U4582" s="21">
        <f>$B$3627</f>
        <v/>
      </c>
      <c r="V4582" s="21">
        <f>0</f>
        <v/>
      </c>
      <c r="W4582" s="21">
        <f>2*$B$3626</f>
        <v/>
      </c>
      <c r="X4582" s="21">
        <f>-$B$3625</f>
        <v/>
      </c>
      <c r="Y4582" s="21">
        <f>$B$3627</f>
        <v/>
      </c>
      <c r="Z4582" s="19" t="n"/>
    </row>
    <row r="4583">
      <c r="D4583" s="21" t="n">
        <v>0</v>
      </c>
      <c r="E4583" s="21" t="n">
        <v>0</v>
      </c>
      <c r="F4583" s="21" t="n">
        <v>0</v>
      </c>
      <c r="G4583" s="21" t="n">
        <v>0</v>
      </c>
      <c r="H4583" s="21" t="n">
        <v>0</v>
      </c>
      <c r="I4583" s="21" t="n">
        <v>0</v>
      </c>
      <c r="J4583" s="21" t="n">
        <v>0</v>
      </c>
      <c r="K4583" s="21" t="n">
        <v>0</v>
      </c>
      <c r="L4583" s="21" t="n">
        <v>0</v>
      </c>
      <c r="M4583" s="21" t="n">
        <v>0</v>
      </c>
      <c r="N4583" s="21" t="n">
        <v>0</v>
      </c>
      <c r="O4583" s="21" t="n">
        <v>0</v>
      </c>
      <c r="P4583" s="21" t="n">
        <v>0</v>
      </c>
      <c r="Q4583" s="21" t="n">
        <v>0</v>
      </c>
      <c r="R4583" s="21" t="n">
        <v>0</v>
      </c>
      <c r="S4583" s="21" t="n">
        <v>0</v>
      </c>
      <c r="T4583" s="21" t="n">
        <v>0</v>
      </c>
      <c r="U4583" s="21" t="n">
        <v>0</v>
      </c>
      <c r="V4583" s="21">
        <f>-$B$3624</f>
        <v/>
      </c>
      <c r="W4583" s="21">
        <f>-$B$3625</f>
        <v/>
      </c>
      <c r="X4583" s="21">
        <f>$B$3624+$D$4561</f>
        <v/>
      </c>
      <c r="Y4583" s="21">
        <f>-$B$3625</f>
        <v/>
      </c>
      <c r="Z4583" s="19" t="n"/>
    </row>
    <row r="4584">
      <c r="D4584" s="21" t="n">
        <v>0</v>
      </c>
      <c r="E4584" s="21" t="n">
        <v>0</v>
      </c>
      <c r="F4584" s="21" t="n">
        <v>0</v>
      </c>
      <c r="G4584" s="21" t="n">
        <v>0</v>
      </c>
      <c r="H4584" s="21" t="n">
        <v>0</v>
      </c>
      <c r="I4584" s="21" t="n">
        <v>0</v>
      </c>
      <c r="J4584" s="21" t="n">
        <v>0</v>
      </c>
      <c r="K4584" s="21" t="n">
        <v>0</v>
      </c>
      <c r="L4584" s="21" t="n">
        <v>0</v>
      </c>
      <c r="M4584" s="21" t="n">
        <v>0</v>
      </c>
      <c r="N4584" s="21" t="n">
        <v>0</v>
      </c>
      <c r="O4584" s="21" t="n">
        <v>0</v>
      </c>
      <c r="P4584" s="21" t="n">
        <v>0</v>
      </c>
      <c r="Q4584" s="21" t="n">
        <v>0</v>
      </c>
      <c r="R4584" s="21" t="n">
        <v>0</v>
      </c>
      <c r="S4584" s="21" t="n">
        <v>0</v>
      </c>
      <c r="T4584" s="21" t="n">
        <v>0</v>
      </c>
      <c r="U4584" s="21" t="n">
        <v>0</v>
      </c>
      <c r="V4584" s="21">
        <f>$B$3625</f>
        <v/>
      </c>
      <c r="W4584" s="21">
        <f>$B$3627</f>
        <v/>
      </c>
      <c r="X4584" s="21">
        <f>-$B$3625</f>
        <v/>
      </c>
      <c r="Y4584" s="21">
        <f>$B$3626</f>
        <v/>
      </c>
      <c r="Z4584" s="19" t="n"/>
    </row>
    <row r="4586">
      <c r="A4586" s="8" t="inlineStr">
        <is>
          <t>gen 26</t>
        </is>
      </c>
    </row>
    <row r="4587">
      <c r="D4587" s="19">
        <f>IF(ABS(IF(ABS($E$4551)&gt;0.000000001,$E$4551,0.000000001))=0,0,IF($E$3639&lt;=$B$3633,0,IF(ABS(IF(ABS($E$4551)&gt;0.000000001,$E$4551,0.000000001))&gt;=8*$B$3635,$H$3639,0.5*$H$3639*(ABS(IF(ABS($E$4551)&gt;0.000000001,$E$4551,0.000000001))/$B$3635)^(1/3)))/ABS(IF(ABS($E$4551)&gt;0.000000001,$E$4551,0.000000001))*$I$3639)</f>
        <v/>
      </c>
      <c r="E4587" s="19">
        <f>0.5*$E$4551+0.5*$Z$4599</f>
        <v/>
      </c>
      <c r="F4587" s="19">
        <f>$Z$4600</f>
        <v/>
      </c>
    </row>
    <row r="4588">
      <c r="D4588" s="19">
        <f>IF(ABS(IF(ABS($E$4552)&gt;0.000000001,$E$4552,0.000000001))=0,0,IF($E$3640&lt;=$B$3633,0,IF(ABS(IF(ABS($E$4552)&gt;0.000000001,$E$4552,0.000000001))&gt;=8*$B$3635,$H$3640,0.5*$H$3640*(ABS(IF(ABS($E$4552)&gt;0.000000001,$E$4552,0.000000001))/$B$3635)^(1/3)))/ABS(IF(ABS($E$4552)&gt;0.000000001,$E$4552,0.000000001))*$I$3640)</f>
        <v/>
      </c>
      <c r="E4588" s="19">
        <f>0.5*$E$4552+0.5*$Z$4601</f>
        <v/>
      </c>
      <c r="F4588" s="19">
        <f>$Z$4602</f>
        <v/>
      </c>
    </row>
    <row r="4589">
      <c r="D4589" s="19">
        <f>IF(ABS(IF(ABS($E$4553)&gt;0.000000001,$E$4553,0.000000001))=0,0,IF($E$3641&lt;=$B$3633,0,IF(ABS(IF(ABS($E$4553)&gt;0.000000001,$E$4553,0.000000001))&gt;=8*$B$3635,$H$3641,0.5*$H$3641*(ABS(IF(ABS($E$4553)&gt;0.000000001,$E$4553,0.000000001))/$B$3635)^(1/3)))/ABS(IF(ABS($E$4553)&gt;0.000000001,$E$4553,0.000000001))*$I$3641)</f>
        <v/>
      </c>
      <c r="E4589" s="19">
        <f>0.5*$E$4553+0.5*$Z$4603</f>
        <v/>
      </c>
      <c r="F4589" s="19">
        <f>$Z$4604</f>
        <v/>
      </c>
    </row>
    <row r="4590">
      <c r="D4590" s="19">
        <f>IF(ABS(IF(ABS($E$4554)&gt;0.000000001,$E$4554,0.000000001))=0,0,IF($E$3642&lt;=$B$3633,0,IF(ABS(IF(ABS($E$4554)&gt;0.000000001,$E$4554,0.000000001))&gt;=8*$B$3635,$H$3642,0.5*$H$3642*(ABS(IF(ABS($E$4554)&gt;0.000000001,$E$4554,0.000000001))/$B$3635)^(1/3)))/ABS(IF(ABS($E$4554)&gt;0.000000001,$E$4554,0.000000001))*$I$3642)</f>
        <v/>
      </c>
      <c r="E4590" s="19">
        <f>0.5*$E$4554+0.5*$Z$4605</f>
        <v/>
      </c>
      <c r="F4590" s="19">
        <f>$Z$4606</f>
        <v/>
      </c>
    </row>
    <row r="4591">
      <c r="D4591" s="19">
        <f>IF(ABS(IF(ABS($E$4555)&gt;0.000000001,$E$4555,0.000000001))=0,0,IF($E$3643&lt;=$B$3633,0,IF(ABS(IF(ABS($E$4555)&gt;0.000000001,$E$4555,0.000000001))&gt;=8*$B$3635,$H$3643,0.5*$H$3643*(ABS(IF(ABS($E$4555)&gt;0.000000001,$E$4555,0.000000001))/$B$3635)^(1/3)))/ABS(IF(ABS($E$4555)&gt;0.000000001,$E$4555,0.000000001))*$I$3643)</f>
        <v/>
      </c>
      <c r="E4591" s="19">
        <f>0.5*$E$4555+0.5*$Z$4607</f>
        <v/>
      </c>
      <c r="F4591" s="19">
        <f>$Z$4608</f>
        <v/>
      </c>
    </row>
    <row r="4592">
      <c r="D4592" s="19">
        <f>IF(ABS(IF(ABS($E$4556)&gt;0.000000001,$E$4556,0.000000001))=0,0,IF($E$3644&lt;=$B$3633,0,IF(ABS(IF(ABS($E$4556)&gt;0.000000001,$E$4556,0.000000001))&gt;=8*$B$3635,$H$3644,0.5*$H$3644*(ABS(IF(ABS($E$4556)&gt;0.000000001,$E$4556,0.000000001))/$B$3635)^(1/3)))/ABS(IF(ABS($E$4556)&gt;0.000000001,$E$4556,0.000000001))*$I$3644)</f>
        <v/>
      </c>
      <c r="E4592" s="19">
        <f>0.5*$E$4556+0.5*$Z$4609</f>
        <v/>
      </c>
      <c r="F4592" s="19">
        <f>$Z$4610</f>
        <v/>
      </c>
    </row>
    <row r="4593">
      <c r="D4593" s="19">
        <f>IF(ABS(IF(ABS($E$4557)&gt;0.000000001,$E$4557,0.000000001))=0,0,IF($E$3645&lt;=$B$3633,0,IF(ABS(IF(ABS($E$4557)&gt;0.000000001,$E$4557,0.000000001))&gt;=8*$B$3635,$H$3645,0.5*$H$3645*(ABS(IF(ABS($E$4557)&gt;0.000000001,$E$4557,0.000000001))/$B$3635)^(1/3)))/ABS(IF(ABS($E$4557)&gt;0.000000001,$E$4557,0.000000001))*$I$3645)</f>
        <v/>
      </c>
      <c r="E4593" s="19">
        <f>0.5*$E$4557+0.5*$Z$4611</f>
        <v/>
      </c>
      <c r="F4593" s="19">
        <f>$Z$4612</f>
        <v/>
      </c>
    </row>
    <row r="4594">
      <c r="D4594" s="19">
        <f>IF(ABS(IF(ABS($E$4558)&gt;0.000000001,$E$4558,0.000000001))=0,0,IF($E$3646&lt;=$B$3633,0,IF(ABS(IF(ABS($E$4558)&gt;0.000000001,$E$4558,0.000000001))&gt;=8*$B$3635,$H$3646,0.5*$H$3646*(ABS(IF(ABS($E$4558)&gt;0.000000001,$E$4558,0.000000001))/$B$3635)^(1/3)))/ABS(IF(ABS($E$4558)&gt;0.000000001,$E$4558,0.000000001))*$I$3646)</f>
        <v/>
      </c>
      <c r="E4594" s="19">
        <f>0.5*$E$4558+0.5*$Z$4613</f>
        <v/>
      </c>
      <c r="F4594" s="19">
        <f>$Z$4614</f>
        <v/>
      </c>
    </row>
    <row r="4595">
      <c r="D4595" s="19">
        <f>IF(ABS(IF(ABS($E$4559)&gt;0.000000001,$E$4559,0.000000001))=0,0,IF($E$3647&lt;=$B$3633,0,IF(ABS(IF(ABS($E$4559)&gt;0.000000001,$E$4559,0.000000001))&gt;=8*$B$3635,$H$3647,0.5*$H$3647*(ABS(IF(ABS($E$4559)&gt;0.000000001,$E$4559,0.000000001))/$B$3635)^(1/3)))/ABS(IF(ABS($E$4559)&gt;0.000000001,$E$4559,0.000000001))*$I$3647)</f>
        <v/>
      </c>
      <c r="E4595" s="19">
        <f>0.5*$E$4559+0.5*$Z$4615</f>
        <v/>
      </c>
      <c r="F4595" s="19">
        <f>$Z$4616</f>
        <v/>
      </c>
    </row>
    <row r="4596">
      <c r="D4596" s="19">
        <f>IF(ABS(IF(ABS($E$4560)&gt;0.000000001,$E$4560,0.000000001))=0,0,IF($E$3648&lt;=$B$3633,0,IF(ABS(IF(ABS($E$4560)&gt;0.000000001,$E$4560,0.000000001))&gt;=8*$B$3635,$H$3648,0.5*$H$3648*(ABS(IF(ABS($E$4560)&gt;0.000000001,$E$4560,0.000000001))/$B$3635)^(1/3)))/ABS(IF(ABS($E$4560)&gt;0.000000001,$E$4560,0.000000001))*$I$3648)</f>
        <v/>
      </c>
      <c r="E4596" s="19">
        <f>0.5*$E$4560+0.5*$Z$4617</f>
        <v/>
      </c>
      <c r="F4596" s="19">
        <f>$Z$4618</f>
        <v/>
      </c>
    </row>
    <row r="4597">
      <c r="D4597" s="19">
        <f>IF(ABS(IF(ABS($E$4561)&gt;0.000000001,$E$4561,0.000000001))=0,0,IF($E$3649&lt;=$B$3633,0,IF(ABS(IF(ABS($E$4561)&gt;0.000000001,$E$4561,0.000000001))&gt;=8*$B$3635,$H$3649,0.5*$H$3649*(ABS(IF(ABS($E$4561)&gt;0.000000001,$E$4561,0.000000001))/$B$3635)^(1/3)))/ABS(IF(ABS($E$4561)&gt;0.000000001,$E$4561,0.000000001))*$I$3649)</f>
        <v/>
      </c>
      <c r="E4597" s="19">
        <f>0.5*$E$4561+0.5*$Z$4619</f>
        <v/>
      </c>
      <c r="F4597" s="19">
        <f>$Z$4620</f>
        <v/>
      </c>
    </row>
    <row r="4599">
      <c r="D4599" s="21">
        <f>$B$3624+$D$4587</f>
        <v/>
      </c>
      <c r="E4599" s="21">
        <f>$B$3625</f>
        <v/>
      </c>
      <c r="F4599" s="21">
        <f>-$B$3624</f>
        <v/>
      </c>
      <c r="G4599" s="21">
        <f>$B$3625</f>
        <v/>
      </c>
      <c r="H4599" s="21" t="n">
        <v>0</v>
      </c>
      <c r="I4599" s="21" t="n">
        <v>0</v>
      </c>
      <c r="J4599" s="21" t="n">
        <v>0</v>
      </c>
      <c r="K4599" s="21" t="n">
        <v>0</v>
      </c>
      <c r="L4599" s="21" t="n">
        <v>0</v>
      </c>
      <c r="M4599" s="21" t="n">
        <v>0</v>
      </c>
      <c r="N4599" s="21" t="n">
        <v>0</v>
      </c>
      <c r="O4599" s="21" t="n">
        <v>0</v>
      </c>
      <c r="P4599" s="21" t="n">
        <v>0</v>
      </c>
      <c r="Q4599" s="21" t="n">
        <v>0</v>
      </c>
      <c r="R4599" s="21" t="n">
        <v>0</v>
      </c>
      <c r="S4599" s="21" t="n">
        <v>0</v>
      </c>
      <c r="T4599" s="21" t="n">
        <v>0</v>
      </c>
      <c r="U4599" s="21" t="n">
        <v>0</v>
      </c>
      <c r="V4599" s="21" t="n">
        <v>0</v>
      </c>
      <c r="W4599" s="21" t="n">
        <v>0</v>
      </c>
      <c r="X4599" s="21" t="n">
        <v>0</v>
      </c>
      <c r="Y4599" s="21" t="n">
        <v>0</v>
      </c>
      <c r="Z4599" s="19">
        <f t="array" ref="Z4599:Z4620">MMULT(MINVERSE($D$4599:$Y$4620),$D$3651:$D$3672)</f>
        <v/>
      </c>
    </row>
    <row r="4600">
      <c r="D4600" s="21">
        <f>$B$3625</f>
        <v/>
      </c>
      <c r="E4600" s="21">
        <f>$B$3626</f>
        <v/>
      </c>
      <c r="F4600" s="21">
        <f>-$B$3625</f>
        <v/>
      </c>
      <c r="G4600" s="21">
        <f>$B$3627</f>
        <v/>
      </c>
      <c r="H4600" s="21" t="n">
        <v>0</v>
      </c>
      <c r="I4600" s="21" t="n">
        <v>0</v>
      </c>
      <c r="J4600" s="21" t="n">
        <v>0</v>
      </c>
      <c r="K4600" s="21" t="n">
        <v>0</v>
      </c>
      <c r="L4600" s="21" t="n">
        <v>0</v>
      </c>
      <c r="M4600" s="21" t="n">
        <v>0</v>
      </c>
      <c r="N4600" s="21" t="n">
        <v>0</v>
      </c>
      <c r="O4600" s="21" t="n">
        <v>0</v>
      </c>
      <c r="P4600" s="21" t="n">
        <v>0</v>
      </c>
      <c r="Q4600" s="21" t="n">
        <v>0</v>
      </c>
      <c r="R4600" s="21" t="n">
        <v>0</v>
      </c>
      <c r="S4600" s="21" t="n">
        <v>0</v>
      </c>
      <c r="T4600" s="21" t="n">
        <v>0</v>
      </c>
      <c r="U4600" s="21" t="n">
        <v>0</v>
      </c>
      <c r="V4600" s="21" t="n">
        <v>0</v>
      </c>
      <c r="W4600" s="21" t="n">
        <v>0</v>
      </c>
      <c r="X4600" s="21" t="n">
        <v>0</v>
      </c>
      <c r="Y4600" s="21" t="n">
        <v>0</v>
      </c>
      <c r="Z4600" s="19" t="n"/>
    </row>
    <row r="4601">
      <c r="D4601" s="21">
        <f>-$B$3624</f>
        <v/>
      </c>
      <c r="E4601" s="21">
        <f>-$B$3625</f>
        <v/>
      </c>
      <c r="F4601" s="21">
        <f>2*$B$3624+$D$4588</f>
        <v/>
      </c>
      <c r="G4601" s="21">
        <f>0</f>
        <v/>
      </c>
      <c r="H4601" s="21">
        <f>-$B$3624</f>
        <v/>
      </c>
      <c r="I4601" s="21">
        <f>$B$3625</f>
        <v/>
      </c>
      <c r="J4601" s="21" t="n">
        <v>0</v>
      </c>
      <c r="K4601" s="21" t="n">
        <v>0</v>
      </c>
      <c r="L4601" s="21" t="n">
        <v>0</v>
      </c>
      <c r="M4601" s="21" t="n">
        <v>0</v>
      </c>
      <c r="N4601" s="21" t="n">
        <v>0</v>
      </c>
      <c r="O4601" s="21" t="n">
        <v>0</v>
      </c>
      <c r="P4601" s="21" t="n">
        <v>0</v>
      </c>
      <c r="Q4601" s="21" t="n">
        <v>0</v>
      </c>
      <c r="R4601" s="21" t="n">
        <v>0</v>
      </c>
      <c r="S4601" s="21" t="n">
        <v>0</v>
      </c>
      <c r="T4601" s="21" t="n">
        <v>0</v>
      </c>
      <c r="U4601" s="21" t="n">
        <v>0</v>
      </c>
      <c r="V4601" s="21" t="n">
        <v>0</v>
      </c>
      <c r="W4601" s="21" t="n">
        <v>0</v>
      </c>
      <c r="X4601" s="21" t="n">
        <v>0</v>
      </c>
      <c r="Y4601" s="21" t="n">
        <v>0</v>
      </c>
      <c r="Z4601" s="19" t="n"/>
    </row>
    <row r="4602">
      <c r="D4602" s="21">
        <f>$B$3625</f>
        <v/>
      </c>
      <c r="E4602" s="21">
        <f>$B$3627</f>
        <v/>
      </c>
      <c r="F4602" s="21">
        <f>0</f>
        <v/>
      </c>
      <c r="G4602" s="21">
        <f>2*$B$3626</f>
        <v/>
      </c>
      <c r="H4602" s="21">
        <f>-$B$3625</f>
        <v/>
      </c>
      <c r="I4602" s="21">
        <f>$B$3627</f>
        <v/>
      </c>
      <c r="J4602" s="21" t="n">
        <v>0</v>
      </c>
      <c r="K4602" s="21" t="n">
        <v>0</v>
      </c>
      <c r="L4602" s="21" t="n">
        <v>0</v>
      </c>
      <c r="M4602" s="21" t="n">
        <v>0</v>
      </c>
      <c r="N4602" s="21" t="n">
        <v>0</v>
      </c>
      <c r="O4602" s="21" t="n">
        <v>0</v>
      </c>
      <c r="P4602" s="21" t="n">
        <v>0</v>
      </c>
      <c r="Q4602" s="21" t="n">
        <v>0</v>
      </c>
      <c r="R4602" s="21" t="n">
        <v>0</v>
      </c>
      <c r="S4602" s="21" t="n">
        <v>0</v>
      </c>
      <c r="T4602" s="21" t="n">
        <v>0</v>
      </c>
      <c r="U4602" s="21" t="n">
        <v>0</v>
      </c>
      <c r="V4602" s="21" t="n">
        <v>0</v>
      </c>
      <c r="W4602" s="21" t="n">
        <v>0</v>
      </c>
      <c r="X4602" s="21" t="n">
        <v>0</v>
      </c>
      <c r="Y4602" s="21" t="n">
        <v>0</v>
      </c>
      <c r="Z4602" s="19" t="n"/>
    </row>
    <row r="4603">
      <c r="D4603" s="21" t="n">
        <v>0</v>
      </c>
      <c r="E4603" s="21" t="n">
        <v>0</v>
      </c>
      <c r="F4603" s="21">
        <f>-$B$3624</f>
        <v/>
      </c>
      <c r="G4603" s="21">
        <f>-$B$3625</f>
        <v/>
      </c>
      <c r="H4603" s="21">
        <f>2*$B$3624+$D$4589</f>
        <v/>
      </c>
      <c r="I4603" s="21">
        <f>0</f>
        <v/>
      </c>
      <c r="J4603" s="21">
        <f>-$B$3624</f>
        <v/>
      </c>
      <c r="K4603" s="21">
        <f>$B$3625</f>
        <v/>
      </c>
      <c r="L4603" s="21" t="n">
        <v>0</v>
      </c>
      <c r="M4603" s="21" t="n">
        <v>0</v>
      </c>
      <c r="N4603" s="21" t="n">
        <v>0</v>
      </c>
      <c r="O4603" s="21" t="n">
        <v>0</v>
      </c>
      <c r="P4603" s="21" t="n">
        <v>0</v>
      </c>
      <c r="Q4603" s="21" t="n">
        <v>0</v>
      </c>
      <c r="R4603" s="21" t="n">
        <v>0</v>
      </c>
      <c r="S4603" s="21" t="n">
        <v>0</v>
      </c>
      <c r="T4603" s="21" t="n">
        <v>0</v>
      </c>
      <c r="U4603" s="21" t="n">
        <v>0</v>
      </c>
      <c r="V4603" s="21" t="n">
        <v>0</v>
      </c>
      <c r="W4603" s="21" t="n">
        <v>0</v>
      </c>
      <c r="X4603" s="21" t="n">
        <v>0</v>
      </c>
      <c r="Y4603" s="21" t="n">
        <v>0</v>
      </c>
      <c r="Z4603" s="19" t="n"/>
    </row>
    <row r="4604">
      <c r="D4604" s="21" t="n">
        <v>0</v>
      </c>
      <c r="E4604" s="21" t="n">
        <v>0</v>
      </c>
      <c r="F4604" s="21">
        <f>$B$3625</f>
        <v/>
      </c>
      <c r="G4604" s="21">
        <f>$B$3627</f>
        <v/>
      </c>
      <c r="H4604" s="21">
        <f>0</f>
        <v/>
      </c>
      <c r="I4604" s="21">
        <f>2*$B$3626</f>
        <v/>
      </c>
      <c r="J4604" s="21">
        <f>-$B$3625</f>
        <v/>
      </c>
      <c r="K4604" s="21">
        <f>$B$3627</f>
        <v/>
      </c>
      <c r="L4604" s="21" t="n">
        <v>0</v>
      </c>
      <c r="M4604" s="21" t="n">
        <v>0</v>
      </c>
      <c r="N4604" s="21" t="n">
        <v>0</v>
      </c>
      <c r="O4604" s="21" t="n">
        <v>0</v>
      </c>
      <c r="P4604" s="21" t="n">
        <v>0</v>
      </c>
      <c r="Q4604" s="21" t="n">
        <v>0</v>
      </c>
      <c r="R4604" s="21" t="n">
        <v>0</v>
      </c>
      <c r="S4604" s="21" t="n">
        <v>0</v>
      </c>
      <c r="T4604" s="21" t="n">
        <v>0</v>
      </c>
      <c r="U4604" s="21" t="n">
        <v>0</v>
      </c>
      <c r="V4604" s="21" t="n">
        <v>0</v>
      </c>
      <c r="W4604" s="21" t="n">
        <v>0</v>
      </c>
      <c r="X4604" s="21" t="n">
        <v>0</v>
      </c>
      <c r="Y4604" s="21" t="n">
        <v>0</v>
      </c>
      <c r="Z4604" s="19" t="n"/>
    </row>
    <row r="4605">
      <c r="D4605" s="21" t="n">
        <v>0</v>
      </c>
      <c r="E4605" s="21" t="n">
        <v>0</v>
      </c>
      <c r="F4605" s="21" t="n">
        <v>0</v>
      </c>
      <c r="G4605" s="21" t="n">
        <v>0</v>
      </c>
      <c r="H4605" s="21">
        <f>-$B$3624</f>
        <v/>
      </c>
      <c r="I4605" s="21">
        <f>-$B$3625</f>
        <v/>
      </c>
      <c r="J4605" s="21">
        <f>2*$B$3624+$D$4590</f>
        <v/>
      </c>
      <c r="K4605" s="21">
        <f>0</f>
        <v/>
      </c>
      <c r="L4605" s="21">
        <f>-$B$3624</f>
        <v/>
      </c>
      <c r="M4605" s="21">
        <f>$B$3625</f>
        <v/>
      </c>
      <c r="N4605" s="21" t="n">
        <v>0</v>
      </c>
      <c r="O4605" s="21" t="n">
        <v>0</v>
      </c>
      <c r="P4605" s="21" t="n">
        <v>0</v>
      </c>
      <c r="Q4605" s="21" t="n">
        <v>0</v>
      </c>
      <c r="R4605" s="21" t="n">
        <v>0</v>
      </c>
      <c r="S4605" s="21" t="n">
        <v>0</v>
      </c>
      <c r="T4605" s="21" t="n">
        <v>0</v>
      </c>
      <c r="U4605" s="21" t="n">
        <v>0</v>
      </c>
      <c r="V4605" s="21" t="n">
        <v>0</v>
      </c>
      <c r="W4605" s="21" t="n">
        <v>0</v>
      </c>
      <c r="X4605" s="21" t="n">
        <v>0</v>
      </c>
      <c r="Y4605" s="21" t="n">
        <v>0</v>
      </c>
      <c r="Z4605" s="19" t="n"/>
    </row>
    <row r="4606">
      <c r="D4606" s="21" t="n">
        <v>0</v>
      </c>
      <c r="E4606" s="21" t="n">
        <v>0</v>
      </c>
      <c r="F4606" s="21" t="n">
        <v>0</v>
      </c>
      <c r="G4606" s="21" t="n">
        <v>0</v>
      </c>
      <c r="H4606" s="21">
        <f>$B$3625</f>
        <v/>
      </c>
      <c r="I4606" s="21">
        <f>$B$3627</f>
        <v/>
      </c>
      <c r="J4606" s="21">
        <f>0</f>
        <v/>
      </c>
      <c r="K4606" s="21">
        <f>2*$B$3626</f>
        <v/>
      </c>
      <c r="L4606" s="21">
        <f>-$B$3625</f>
        <v/>
      </c>
      <c r="M4606" s="21">
        <f>$B$3627</f>
        <v/>
      </c>
      <c r="N4606" s="21" t="n">
        <v>0</v>
      </c>
      <c r="O4606" s="21" t="n">
        <v>0</v>
      </c>
      <c r="P4606" s="21" t="n">
        <v>0</v>
      </c>
      <c r="Q4606" s="21" t="n">
        <v>0</v>
      </c>
      <c r="R4606" s="21" t="n">
        <v>0</v>
      </c>
      <c r="S4606" s="21" t="n">
        <v>0</v>
      </c>
      <c r="T4606" s="21" t="n">
        <v>0</v>
      </c>
      <c r="U4606" s="21" t="n">
        <v>0</v>
      </c>
      <c r="V4606" s="21" t="n">
        <v>0</v>
      </c>
      <c r="W4606" s="21" t="n">
        <v>0</v>
      </c>
      <c r="X4606" s="21" t="n">
        <v>0</v>
      </c>
      <c r="Y4606" s="21" t="n">
        <v>0</v>
      </c>
      <c r="Z4606" s="19" t="n"/>
    </row>
    <row r="4607">
      <c r="D4607" s="21" t="n">
        <v>0</v>
      </c>
      <c r="E4607" s="21" t="n">
        <v>0</v>
      </c>
      <c r="F4607" s="21" t="n">
        <v>0</v>
      </c>
      <c r="G4607" s="21" t="n">
        <v>0</v>
      </c>
      <c r="H4607" s="21" t="n">
        <v>0</v>
      </c>
      <c r="I4607" s="21" t="n">
        <v>0</v>
      </c>
      <c r="J4607" s="21">
        <f>-$B$3624</f>
        <v/>
      </c>
      <c r="K4607" s="21">
        <f>-$B$3625</f>
        <v/>
      </c>
      <c r="L4607" s="21">
        <f>2*$B$3624+$D$4591</f>
        <v/>
      </c>
      <c r="M4607" s="21">
        <f>0</f>
        <v/>
      </c>
      <c r="N4607" s="21">
        <f>-$B$3624</f>
        <v/>
      </c>
      <c r="O4607" s="21">
        <f>$B$3625</f>
        <v/>
      </c>
      <c r="P4607" s="21" t="n">
        <v>0</v>
      </c>
      <c r="Q4607" s="21" t="n">
        <v>0</v>
      </c>
      <c r="R4607" s="21" t="n">
        <v>0</v>
      </c>
      <c r="S4607" s="21" t="n">
        <v>0</v>
      </c>
      <c r="T4607" s="21" t="n">
        <v>0</v>
      </c>
      <c r="U4607" s="21" t="n">
        <v>0</v>
      </c>
      <c r="V4607" s="21" t="n">
        <v>0</v>
      </c>
      <c r="W4607" s="21" t="n">
        <v>0</v>
      </c>
      <c r="X4607" s="21" t="n">
        <v>0</v>
      </c>
      <c r="Y4607" s="21" t="n">
        <v>0</v>
      </c>
      <c r="Z4607" s="19" t="n"/>
    </row>
    <row r="4608">
      <c r="D4608" s="21" t="n">
        <v>0</v>
      </c>
      <c r="E4608" s="21" t="n">
        <v>0</v>
      </c>
      <c r="F4608" s="21" t="n">
        <v>0</v>
      </c>
      <c r="G4608" s="21" t="n">
        <v>0</v>
      </c>
      <c r="H4608" s="21" t="n">
        <v>0</v>
      </c>
      <c r="I4608" s="21" t="n">
        <v>0</v>
      </c>
      <c r="J4608" s="21">
        <f>$B$3625</f>
        <v/>
      </c>
      <c r="K4608" s="21">
        <f>$B$3627</f>
        <v/>
      </c>
      <c r="L4608" s="21">
        <f>0</f>
        <v/>
      </c>
      <c r="M4608" s="21">
        <f>2*$B$3626</f>
        <v/>
      </c>
      <c r="N4608" s="21">
        <f>-$B$3625</f>
        <v/>
      </c>
      <c r="O4608" s="21">
        <f>$B$3627</f>
        <v/>
      </c>
      <c r="P4608" s="21" t="n">
        <v>0</v>
      </c>
      <c r="Q4608" s="21" t="n">
        <v>0</v>
      </c>
      <c r="R4608" s="21" t="n">
        <v>0</v>
      </c>
      <c r="S4608" s="21" t="n">
        <v>0</v>
      </c>
      <c r="T4608" s="21" t="n">
        <v>0</v>
      </c>
      <c r="U4608" s="21" t="n">
        <v>0</v>
      </c>
      <c r="V4608" s="21" t="n">
        <v>0</v>
      </c>
      <c r="W4608" s="21" t="n">
        <v>0</v>
      </c>
      <c r="X4608" s="21" t="n">
        <v>0</v>
      </c>
      <c r="Y4608" s="21" t="n">
        <v>0</v>
      </c>
      <c r="Z4608" s="19" t="n"/>
    </row>
    <row r="4609">
      <c r="D4609" s="21" t="n">
        <v>0</v>
      </c>
      <c r="E4609" s="21" t="n">
        <v>0</v>
      </c>
      <c r="F4609" s="21" t="n">
        <v>0</v>
      </c>
      <c r="G4609" s="21" t="n">
        <v>0</v>
      </c>
      <c r="H4609" s="21" t="n">
        <v>0</v>
      </c>
      <c r="I4609" s="21" t="n">
        <v>0</v>
      </c>
      <c r="J4609" s="21" t="n">
        <v>0</v>
      </c>
      <c r="K4609" s="21" t="n">
        <v>0</v>
      </c>
      <c r="L4609" s="21">
        <f>-$B$3624</f>
        <v/>
      </c>
      <c r="M4609" s="21">
        <f>-$B$3625</f>
        <v/>
      </c>
      <c r="N4609" s="21">
        <f>2*$B$3624+$D$4592</f>
        <v/>
      </c>
      <c r="O4609" s="21">
        <f>0</f>
        <v/>
      </c>
      <c r="P4609" s="21">
        <f>-$B$3624</f>
        <v/>
      </c>
      <c r="Q4609" s="21">
        <f>$B$3625</f>
        <v/>
      </c>
      <c r="R4609" s="21" t="n">
        <v>0</v>
      </c>
      <c r="S4609" s="21" t="n">
        <v>0</v>
      </c>
      <c r="T4609" s="21" t="n">
        <v>0</v>
      </c>
      <c r="U4609" s="21" t="n">
        <v>0</v>
      </c>
      <c r="V4609" s="21" t="n">
        <v>0</v>
      </c>
      <c r="W4609" s="21" t="n">
        <v>0</v>
      </c>
      <c r="X4609" s="21" t="n">
        <v>0</v>
      </c>
      <c r="Y4609" s="21" t="n">
        <v>0</v>
      </c>
      <c r="Z4609" s="19" t="n"/>
    </row>
    <row r="4610">
      <c r="D4610" s="21" t="n">
        <v>0</v>
      </c>
      <c r="E4610" s="21" t="n">
        <v>0</v>
      </c>
      <c r="F4610" s="21" t="n">
        <v>0</v>
      </c>
      <c r="G4610" s="21" t="n">
        <v>0</v>
      </c>
      <c r="H4610" s="21" t="n">
        <v>0</v>
      </c>
      <c r="I4610" s="21" t="n">
        <v>0</v>
      </c>
      <c r="J4610" s="21" t="n">
        <v>0</v>
      </c>
      <c r="K4610" s="21" t="n">
        <v>0</v>
      </c>
      <c r="L4610" s="21">
        <f>$B$3625</f>
        <v/>
      </c>
      <c r="M4610" s="21">
        <f>$B$3627</f>
        <v/>
      </c>
      <c r="N4610" s="21">
        <f>0</f>
        <v/>
      </c>
      <c r="O4610" s="21">
        <f>2*$B$3626</f>
        <v/>
      </c>
      <c r="P4610" s="21">
        <f>-$B$3625</f>
        <v/>
      </c>
      <c r="Q4610" s="21">
        <f>$B$3627</f>
        <v/>
      </c>
      <c r="R4610" s="21" t="n">
        <v>0</v>
      </c>
      <c r="S4610" s="21" t="n">
        <v>0</v>
      </c>
      <c r="T4610" s="21" t="n">
        <v>0</v>
      </c>
      <c r="U4610" s="21" t="n">
        <v>0</v>
      </c>
      <c r="V4610" s="21" t="n">
        <v>0</v>
      </c>
      <c r="W4610" s="21" t="n">
        <v>0</v>
      </c>
      <c r="X4610" s="21" t="n">
        <v>0</v>
      </c>
      <c r="Y4610" s="21" t="n">
        <v>0</v>
      </c>
      <c r="Z4610" s="19" t="n"/>
    </row>
    <row r="4611">
      <c r="D4611" s="21" t="n">
        <v>0</v>
      </c>
      <c r="E4611" s="21" t="n">
        <v>0</v>
      </c>
      <c r="F4611" s="21" t="n">
        <v>0</v>
      </c>
      <c r="G4611" s="21" t="n">
        <v>0</v>
      </c>
      <c r="H4611" s="21" t="n">
        <v>0</v>
      </c>
      <c r="I4611" s="21" t="n">
        <v>0</v>
      </c>
      <c r="J4611" s="21" t="n">
        <v>0</v>
      </c>
      <c r="K4611" s="21" t="n">
        <v>0</v>
      </c>
      <c r="L4611" s="21" t="n">
        <v>0</v>
      </c>
      <c r="M4611" s="21" t="n">
        <v>0</v>
      </c>
      <c r="N4611" s="21">
        <f>-$B$3624</f>
        <v/>
      </c>
      <c r="O4611" s="21">
        <f>-$B$3625</f>
        <v/>
      </c>
      <c r="P4611" s="21">
        <f>2*$B$3624+$D$4593</f>
        <v/>
      </c>
      <c r="Q4611" s="21">
        <f>0</f>
        <v/>
      </c>
      <c r="R4611" s="21">
        <f>-$B$3624</f>
        <v/>
      </c>
      <c r="S4611" s="21">
        <f>$B$3625</f>
        <v/>
      </c>
      <c r="T4611" s="21" t="n">
        <v>0</v>
      </c>
      <c r="U4611" s="21" t="n">
        <v>0</v>
      </c>
      <c r="V4611" s="21" t="n">
        <v>0</v>
      </c>
      <c r="W4611" s="21" t="n">
        <v>0</v>
      </c>
      <c r="X4611" s="21" t="n">
        <v>0</v>
      </c>
      <c r="Y4611" s="21" t="n">
        <v>0</v>
      </c>
      <c r="Z4611" s="19" t="n"/>
    </row>
    <row r="4612">
      <c r="D4612" s="21" t="n">
        <v>0</v>
      </c>
      <c r="E4612" s="21" t="n">
        <v>0</v>
      </c>
      <c r="F4612" s="21" t="n">
        <v>0</v>
      </c>
      <c r="G4612" s="21" t="n">
        <v>0</v>
      </c>
      <c r="H4612" s="21" t="n">
        <v>0</v>
      </c>
      <c r="I4612" s="21" t="n">
        <v>0</v>
      </c>
      <c r="J4612" s="21" t="n">
        <v>0</v>
      </c>
      <c r="K4612" s="21" t="n">
        <v>0</v>
      </c>
      <c r="L4612" s="21" t="n">
        <v>0</v>
      </c>
      <c r="M4612" s="21" t="n">
        <v>0</v>
      </c>
      <c r="N4612" s="21">
        <f>$B$3625</f>
        <v/>
      </c>
      <c r="O4612" s="21">
        <f>$B$3627</f>
        <v/>
      </c>
      <c r="P4612" s="21">
        <f>0</f>
        <v/>
      </c>
      <c r="Q4612" s="21">
        <f>2*$B$3626</f>
        <v/>
      </c>
      <c r="R4612" s="21">
        <f>-$B$3625</f>
        <v/>
      </c>
      <c r="S4612" s="21">
        <f>$B$3627</f>
        <v/>
      </c>
      <c r="T4612" s="21" t="n">
        <v>0</v>
      </c>
      <c r="U4612" s="21" t="n">
        <v>0</v>
      </c>
      <c r="V4612" s="21" t="n">
        <v>0</v>
      </c>
      <c r="W4612" s="21" t="n">
        <v>0</v>
      </c>
      <c r="X4612" s="21" t="n">
        <v>0</v>
      </c>
      <c r="Y4612" s="21" t="n">
        <v>0</v>
      </c>
      <c r="Z4612" s="19" t="n"/>
    </row>
    <row r="4613">
      <c r="D4613" s="21" t="n">
        <v>0</v>
      </c>
      <c r="E4613" s="21" t="n">
        <v>0</v>
      </c>
      <c r="F4613" s="21" t="n">
        <v>0</v>
      </c>
      <c r="G4613" s="21" t="n">
        <v>0</v>
      </c>
      <c r="H4613" s="21" t="n">
        <v>0</v>
      </c>
      <c r="I4613" s="21" t="n">
        <v>0</v>
      </c>
      <c r="J4613" s="21" t="n">
        <v>0</v>
      </c>
      <c r="K4613" s="21" t="n">
        <v>0</v>
      </c>
      <c r="L4613" s="21" t="n">
        <v>0</v>
      </c>
      <c r="M4613" s="21" t="n">
        <v>0</v>
      </c>
      <c r="N4613" s="21" t="n">
        <v>0</v>
      </c>
      <c r="O4613" s="21" t="n">
        <v>0</v>
      </c>
      <c r="P4613" s="21">
        <f>-$B$3624</f>
        <v/>
      </c>
      <c r="Q4613" s="21">
        <f>-$B$3625</f>
        <v/>
      </c>
      <c r="R4613" s="21">
        <f>2*$B$3624+$D$4594</f>
        <v/>
      </c>
      <c r="S4613" s="21">
        <f>0</f>
        <v/>
      </c>
      <c r="T4613" s="21">
        <f>-$B$3624</f>
        <v/>
      </c>
      <c r="U4613" s="21">
        <f>$B$3625</f>
        <v/>
      </c>
      <c r="V4613" s="21" t="n">
        <v>0</v>
      </c>
      <c r="W4613" s="21" t="n">
        <v>0</v>
      </c>
      <c r="X4613" s="21" t="n">
        <v>0</v>
      </c>
      <c r="Y4613" s="21" t="n">
        <v>0</v>
      </c>
      <c r="Z4613" s="19" t="n"/>
    </row>
    <row r="4614">
      <c r="D4614" s="21" t="n">
        <v>0</v>
      </c>
      <c r="E4614" s="21" t="n">
        <v>0</v>
      </c>
      <c r="F4614" s="21" t="n">
        <v>0</v>
      </c>
      <c r="G4614" s="21" t="n">
        <v>0</v>
      </c>
      <c r="H4614" s="21" t="n">
        <v>0</v>
      </c>
      <c r="I4614" s="21" t="n">
        <v>0</v>
      </c>
      <c r="J4614" s="21" t="n">
        <v>0</v>
      </c>
      <c r="K4614" s="21" t="n">
        <v>0</v>
      </c>
      <c r="L4614" s="21" t="n">
        <v>0</v>
      </c>
      <c r="M4614" s="21" t="n">
        <v>0</v>
      </c>
      <c r="N4614" s="21" t="n">
        <v>0</v>
      </c>
      <c r="O4614" s="21" t="n">
        <v>0</v>
      </c>
      <c r="P4614" s="21">
        <f>$B$3625</f>
        <v/>
      </c>
      <c r="Q4614" s="21">
        <f>$B$3627</f>
        <v/>
      </c>
      <c r="R4614" s="21">
        <f>0</f>
        <v/>
      </c>
      <c r="S4614" s="21">
        <f>2*$B$3626</f>
        <v/>
      </c>
      <c r="T4614" s="21">
        <f>-$B$3625</f>
        <v/>
      </c>
      <c r="U4614" s="21">
        <f>$B$3627</f>
        <v/>
      </c>
      <c r="V4614" s="21" t="n">
        <v>0</v>
      </c>
      <c r="W4614" s="21" t="n">
        <v>0</v>
      </c>
      <c r="X4614" s="21" t="n">
        <v>0</v>
      </c>
      <c r="Y4614" s="21" t="n">
        <v>0</v>
      </c>
      <c r="Z4614" s="19" t="n"/>
    </row>
    <row r="4615">
      <c r="D4615" s="21" t="n">
        <v>0</v>
      </c>
      <c r="E4615" s="21" t="n">
        <v>0</v>
      </c>
      <c r="F4615" s="21" t="n">
        <v>0</v>
      </c>
      <c r="G4615" s="21" t="n">
        <v>0</v>
      </c>
      <c r="H4615" s="21" t="n">
        <v>0</v>
      </c>
      <c r="I4615" s="21" t="n">
        <v>0</v>
      </c>
      <c r="J4615" s="21" t="n">
        <v>0</v>
      </c>
      <c r="K4615" s="21" t="n">
        <v>0</v>
      </c>
      <c r="L4615" s="21" t="n">
        <v>0</v>
      </c>
      <c r="M4615" s="21" t="n">
        <v>0</v>
      </c>
      <c r="N4615" s="21" t="n">
        <v>0</v>
      </c>
      <c r="O4615" s="21" t="n">
        <v>0</v>
      </c>
      <c r="P4615" s="21" t="n">
        <v>0</v>
      </c>
      <c r="Q4615" s="21" t="n">
        <v>0</v>
      </c>
      <c r="R4615" s="21">
        <f>-$B$3624</f>
        <v/>
      </c>
      <c r="S4615" s="21">
        <f>-$B$3625</f>
        <v/>
      </c>
      <c r="T4615" s="21">
        <f>2*$B$3624+$D$4595</f>
        <v/>
      </c>
      <c r="U4615" s="21">
        <f>0</f>
        <v/>
      </c>
      <c r="V4615" s="21">
        <f>-$B$3624</f>
        <v/>
      </c>
      <c r="W4615" s="21">
        <f>$B$3625</f>
        <v/>
      </c>
      <c r="X4615" s="21" t="n">
        <v>0</v>
      </c>
      <c r="Y4615" s="21" t="n">
        <v>0</v>
      </c>
      <c r="Z4615" s="19" t="n"/>
    </row>
    <row r="4616">
      <c r="D4616" s="21" t="n">
        <v>0</v>
      </c>
      <c r="E4616" s="21" t="n">
        <v>0</v>
      </c>
      <c r="F4616" s="21" t="n">
        <v>0</v>
      </c>
      <c r="G4616" s="21" t="n">
        <v>0</v>
      </c>
      <c r="H4616" s="21" t="n">
        <v>0</v>
      </c>
      <c r="I4616" s="21" t="n">
        <v>0</v>
      </c>
      <c r="J4616" s="21" t="n">
        <v>0</v>
      </c>
      <c r="K4616" s="21" t="n">
        <v>0</v>
      </c>
      <c r="L4616" s="21" t="n">
        <v>0</v>
      </c>
      <c r="M4616" s="21" t="n">
        <v>0</v>
      </c>
      <c r="N4616" s="21" t="n">
        <v>0</v>
      </c>
      <c r="O4616" s="21" t="n">
        <v>0</v>
      </c>
      <c r="P4616" s="21" t="n">
        <v>0</v>
      </c>
      <c r="Q4616" s="21" t="n">
        <v>0</v>
      </c>
      <c r="R4616" s="21">
        <f>$B$3625</f>
        <v/>
      </c>
      <c r="S4616" s="21">
        <f>$B$3627</f>
        <v/>
      </c>
      <c r="T4616" s="21">
        <f>0</f>
        <v/>
      </c>
      <c r="U4616" s="21">
        <f>2*$B$3626</f>
        <v/>
      </c>
      <c r="V4616" s="21">
        <f>-$B$3625</f>
        <v/>
      </c>
      <c r="W4616" s="21">
        <f>$B$3627</f>
        <v/>
      </c>
      <c r="X4616" s="21" t="n">
        <v>0</v>
      </c>
      <c r="Y4616" s="21" t="n">
        <v>0</v>
      </c>
      <c r="Z4616" s="19" t="n"/>
    </row>
    <row r="4617">
      <c r="D4617" s="21" t="n">
        <v>0</v>
      </c>
      <c r="E4617" s="21" t="n">
        <v>0</v>
      </c>
      <c r="F4617" s="21" t="n">
        <v>0</v>
      </c>
      <c r="G4617" s="21" t="n">
        <v>0</v>
      </c>
      <c r="H4617" s="21" t="n">
        <v>0</v>
      </c>
      <c r="I4617" s="21" t="n">
        <v>0</v>
      </c>
      <c r="J4617" s="21" t="n">
        <v>0</v>
      </c>
      <c r="K4617" s="21" t="n">
        <v>0</v>
      </c>
      <c r="L4617" s="21" t="n">
        <v>0</v>
      </c>
      <c r="M4617" s="21" t="n">
        <v>0</v>
      </c>
      <c r="N4617" s="21" t="n">
        <v>0</v>
      </c>
      <c r="O4617" s="21" t="n">
        <v>0</v>
      </c>
      <c r="P4617" s="21" t="n">
        <v>0</v>
      </c>
      <c r="Q4617" s="21" t="n">
        <v>0</v>
      </c>
      <c r="R4617" s="21" t="n">
        <v>0</v>
      </c>
      <c r="S4617" s="21" t="n">
        <v>0</v>
      </c>
      <c r="T4617" s="21">
        <f>-$B$3624</f>
        <v/>
      </c>
      <c r="U4617" s="21">
        <f>-$B$3625</f>
        <v/>
      </c>
      <c r="V4617" s="21">
        <f>2*$B$3624+$D$4596</f>
        <v/>
      </c>
      <c r="W4617" s="21">
        <f>0</f>
        <v/>
      </c>
      <c r="X4617" s="21">
        <f>-$B$3624</f>
        <v/>
      </c>
      <c r="Y4617" s="21">
        <f>$B$3625</f>
        <v/>
      </c>
      <c r="Z4617" s="19" t="n"/>
    </row>
    <row r="4618">
      <c r="D4618" s="21" t="n">
        <v>0</v>
      </c>
      <c r="E4618" s="21" t="n">
        <v>0</v>
      </c>
      <c r="F4618" s="21" t="n">
        <v>0</v>
      </c>
      <c r="G4618" s="21" t="n">
        <v>0</v>
      </c>
      <c r="H4618" s="21" t="n">
        <v>0</v>
      </c>
      <c r="I4618" s="21" t="n">
        <v>0</v>
      </c>
      <c r="J4618" s="21" t="n">
        <v>0</v>
      </c>
      <c r="K4618" s="21" t="n">
        <v>0</v>
      </c>
      <c r="L4618" s="21" t="n">
        <v>0</v>
      </c>
      <c r="M4618" s="21" t="n">
        <v>0</v>
      </c>
      <c r="N4618" s="21" t="n">
        <v>0</v>
      </c>
      <c r="O4618" s="21" t="n">
        <v>0</v>
      </c>
      <c r="P4618" s="21" t="n">
        <v>0</v>
      </c>
      <c r="Q4618" s="21" t="n">
        <v>0</v>
      </c>
      <c r="R4618" s="21" t="n">
        <v>0</v>
      </c>
      <c r="S4618" s="21" t="n">
        <v>0</v>
      </c>
      <c r="T4618" s="21">
        <f>$B$3625</f>
        <v/>
      </c>
      <c r="U4618" s="21">
        <f>$B$3627</f>
        <v/>
      </c>
      <c r="V4618" s="21">
        <f>0</f>
        <v/>
      </c>
      <c r="W4618" s="21">
        <f>2*$B$3626</f>
        <v/>
      </c>
      <c r="X4618" s="21">
        <f>-$B$3625</f>
        <v/>
      </c>
      <c r="Y4618" s="21">
        <f>$B$3627</f>
        <v/>
      </c>
      <c r="Z4618" s="19" t="n"/>
    </row>
    <row r="4619">
      <c r="D4619" s="21" t="n">
        <v>0</v>
      </c>
      <c r="E4619" s="21" t="n">
        <v>0</v>
      </c>
      <c r="F4619" s="21" t="n">
        <v>0</v>
      </c>
      <c r="G4619" s="21" t="n">
        <v>0</v>
      </c>
      <c r="H4619" s="21" t="n">
        <v>0</v>
      </c>
      <c r="I4619" s="21" t="n">
        <v>0</v>
      </c>
      <c r="J4619" s="21" t="n">
        <v>0</v>
      </c>
      <c r="K4619" s="21" t="n">
        <v>0</v>
      </c>
      <c r="L4619" s="21" t="n">
        <v>0</v>
      </c>
      <c r="M4619" s="21" t="n">
        <v>0</v>
      </c>
      <c r="N4619" s="21" t="n">
        <v>0</v>
      </c>
      <c r="O4619" s="21" t="n">
        <v>0</v>
      </c>
      <c r="P4619" s="21" t="n">
        <v>0</v>
      </c>
      <c r="Q4619" s="21" t="n">
        <v>0</v>
      </c>
      <c r="R4619" s="21" t="n">
        <v>0</v>
      </c>
      <c r="S4619" s="21" t="n">
        <v>0</v>
      </c>
      <c r="T4619" s="21" t="n">
        <v>0</v>
      </c>
      <c r="U4619" s="21" t="n">
        <v>0</v>
      </c>
      <c r="V4619" s="21">
        <f>-$B$3624</f>
        <v/>
      </c>
      <c r="W4619" s="21">
        <f>-$B$3625</f>
        <v/>
      </c>
      <c r="X4619" s="21">
        <f>$B$3624+$D$4597</f>
        <v/>
      </c>
      <c r="Y4619" s="21">
        <f>-$B$3625</f>
        <v/>
      </c>
      <c r="Z4619" s="19" t="n"/>
    </row>
    <row r="4620">
      <c r="D4620" s="21" t="n">
        <v>0</v>
      </c>
      <c r="E4620" s="21" t="n">
        <v>0</v>
      </c>
      <c r="F4620" s="21" t="n">
        <v>0</v>
      </c>
      <c r="G4620" s="21" t="n">
        <v>0</v>
      </c>
      <c r="H4620" s="21" t="n">
        <v>0</v>
      </c>
      <c r="I4620" s="21" t="n">
        <v>0</v>
      </c>
      <c r="J4620" s="21" t="n">
        <v>0</v>
      </c>
      <c r="K4620" s="21" t="n">
        <v>0</v>
      </c>
      <c r="L4620" s="21" t="n">
        <v>0</v>
      </c>
      <c r="M4620" s="21" t="n">
        <v>0</v>
      </c>
      <c r="N4620" s="21" t="n">
        <v>0</v>
      </c>
      <c r="O4620" s="21" t="n">
        <v>0</v>
      </c>
      <c r="P4620" s="21" t="n">
        <v>0</v>
      </c>
      <c r="Q4620" s="21" t="n">
        <v>0</v>
      </c>
      <c r="R4620" s="21" t="n">
        <v>0</v>
      </c>
      <c r="S4620" s="21" t="n">
        <v>0</v>
      </c>
      <c r="T4620" s="21" t="n">
        <v>0</v>
      </c>
      <c r="U4620" s="21" t="n">
        <v>0</v>
      </c>
      <c r="V4620" s="21">
        <f>$B$3625</f>
        <v/>
      </c>
      <c r="W4620" s="21">
        <f>$B$3627</f>
        <v/>
      </c>
      <c r="X4620" s="21">
        <f>-$B$3625</f>
        <v/>
      </c>
      <c r="Y4620" s="21">
        <f>$B$3626</f>
        <v/>
      </c>
      <c r="Z4620" s="19" t="n"/>
    </row>
    <row r="4622">
      <c r="A4622" s="8" t="inlineStr">
        <is>
          <t>gen 27</t>
        </is>
      </c>
    </row>
    <row r="4623">
      <c r="D4623" s="19">
        <f>IF(ABS(IF(ABS($E$4587)&gt;0.000000001,$E$4587,0.000000001))=0,0,IF($E$3639&lt;=$B$3633,0,IF(ABS(IF(ABS($E$4587)&gt;0.000000001,$E$4587,0.000000001))&gt;=8*$B$3635,$H$3639,0.5*$H$3639*(ABS(IF(ABS($E$4587)&gt;0.000000001,$E$4587,0.000000001))/$B$3635)^(1/3)))/ABS(IF(ABS($E$4587)&gt;0.000000001,$E$4587,0.000000001))*$I$3639)</f>
        <v/>
      </c>
      <c r="E4623" s="19">
        <f>0.5*$E$4587+0.5*$Z$4635</f>
        <v/>
      </c>
      <c r="F4623" s="19">
        <f>$Z$4636</f>
        <v/>
      </c>
    </row>
    <row r="4624">
      <c r="D4624" s="19">
        <f>IF(ABS(IF(ABS($E$4588)&gt;0.000000001,$E$4588,0.000000001))=0,0,IF($E$3640&lt;=$B$3633,0,IF(ABS(IF(ABS($E$4588)&gt;0.000000001,$E$4588,0.000000001))&gt;=8*$B$3635,$H$3640,0.5*$H$3640*(ABS(IF(ABS($E$4588)&gt;0.000000001,$E$4588,0.000000001))/$B$3635)^(1/3)))/ABS(IF(ABS($E$4588)&gt;0.000000001,$E$4588,0.000000001))*$I$3640)</f>
        <v/>
      </c>
      <c r="E4624" s="19">
        <f>0.5*$E$4588+0.5*$Z$4637</f>
        <v/>
      </c>
      <c r="F4624" s="19">
        <f>$Z$4638</f>
        <v/>
      </c>
    </row>
    <row r="4625">
      <c r="D4625" s="19">
        <f>IF(ABS(IF(ABS($E$4589)&gt;0.000000001,$E$4589,0.000000001))=0,0,IF($E$3641&lt;=$B$3633,0,IF(ABS(IF(ABS($E$4589)&gt;0.000000001,$E$4589,0.000000001))&gt;=8*$B$3635,$H$3641,0.5*$H$3641*(ABS(IF(ABS($E$4589)&gt;0.000000001,$E$4589,0.000000001))/$B$3635)^(1/3)))/ABS(IF(ABS($E$4589)&gt;0.000000001,$E$4589,0.000000001))*$I$3641)</f>
        <v/>
      </c>
      <c r="E4625" s="19">
        <f>0.5*$E$4589+0.5*$Z$4639</f>
        <v/>
      </c>
      <c r="F4625" s="19">
        <f>$Z$4640</f>
        <v/>
      </c>
    </row>
    <row r="4626">
      <c r="D4626" s="19">
        <f>IF(ABS(IF(ABS($E$4590)&gt;0.000000001,$E$4590,0.000000001))=0,0,IF($E$3642&lt;=$B$3633,0,IF(ABS(IF(ABS($E$4590)&gt;0.000000001,$E$4590,0.000000001))&gt;=8*$B$3635,$H$3642,0.5*$H$3642*(ABS(IF(ABS($E$4590)&gt;0.000000001,$E$4590,0.000000001))/$B$3635)^(1/3)))/ABS(IF(ABS($E$4590)&gt;0.000000001,$E$4590,0.000000001))*$I$3642)</f>
        <v/>
      </c>
      <c r="E4626" s="19">
        <f>0.5*$E$4590+0.5*$Z$4641</f>
        <v/>
      </c>
      <c r="F4626" s="19">
        <f>$Z$4642</f>
        <v/>
      </c>
    </row>
    <row r="4627">
      <c r="D4627" s="19">
        <f>IF(ABS(IF(ABS($E$4591)&gt;0.000000001,$E$4591,0.000000001))=0,0,IF($E$3643&lt;=$B$3633,0,IF(ABS(IF(ABS($E$4591)&gt;0.000000001,$E$4591,0.000000001))&gt;=8*$B$3635,$H$3643,0.5*$H$3643*(ABS(IF(ABS($E$4591)&gt;0.000000001,$E$4591,0.000000001))/$B$3635)^(1/3)))/ABS(IF(ABS($E$4591)&gt;0.000000001,$E$4591,0.000000001))*$I$3643)</f>
        <v/>
      </c>
      <c r="E4627" s="19">
        <f>0.5*$E$4591+0.5*$Z$4643</f>
        <v/>
      </c>
      <c r="F4627" s="19">
        <f>$Z$4644</f>
        <v/>
      </c>
    </row>
    <row r="4628">
      <c r="D4628" s="19">
        <f>IF(ABS(IF(ABS($E$4592)&gt;0.000000001,$E$4592,0.000000001))=0,0,IF($E$3644&lt;=$B$3633,0,IF(ABS(IF(ABS($E$4592)&gt;0.000000001,$E$4592,0.000000001))&gt;=8*$B$3635,$H$3644,0.5*$H$3644*(ABS(IF(ABS($E$4592)&gt;0.000000001,$E$4592,0.000000001))/$B$3635)^(1/3)))/ABS(IF(ABS($E$4592)&gt;0.000000001,$E$4592,0.000000001))*$I$3644)</f>
        <v/>
      </c>
      <c r="E4628" s="19">
        <f>0.5*$E$4592+0.5*$Z$4645</f>
        <v/>
      </c>
      <c r="F4628" s="19">
        <f>$Z$4646</f>
        <v/>
      </c>
    </row>
    <row r="4629">
      <c r="D4629" s="19">
        <f>IF(ABS(IF(ABS($E$4593)&gt;0.000000001,$E$4593,0.000000001))=0,0,IF($E$3645&lt;=$B$3633,0,IF(ABS(IF(ABS($E$4593)&gt;0.000000001,$E$4593,0.000000001))&gt;=8*$B$3635,$H$3645,0.5*$H$3645*(ABS(IF(ABS($E$4593)&gt;0.000000001,$E$4593,0.000000001))/$B$3635)^(1/3)))/ABS(IF(ABS($E$4593)&gt;0.000000001,$E$4593,0.000000001))*$I$3645)</f>
        <v/>
      </c>
      <c r="E4629" s="19">
        <f>0.5*$E$4593+0.5*$Z$4647</f>
        <v/>
      </c>
      <c r="F4629" s="19">
        <f>$Z$4648</f>
        <v/>
      </c>
    </row>
    <row r="4630">
      <c r="D4630" s="19">
        <f>IF(ABS(IF(ABS($E$4594)&gt;0.000000001,$E$4594,0.000000001))=0,0,IF($E$3646&lt;=$B$3633,0,IF(ABS(IF(ABS($E$4594)&gt;0.000000001,$E$4594,0.000000001))&gt;=8*$B$3635,$H$3646,0.5*$H$3646*(ABS(IF(ABS($E$4594)&gt;0.000000001,$E$4594,0.000000001))/$B$3635)^(1/3)))/ABS(IF(ABS($E$4594)&gt;0.000000001,$E$4594,0.000000001))*$I$3646)</f>
        <v/>
      </c>
      <c r="E4630" s="19">
        <f>0.5*$E$4594+0.5*$Z$4649</f>
        <v/>
      </c>
      <c r="F4630" s="19">
        <f>$Z$4650</f>
        <v/>
      </c>
    </row>
    <row r="4631">
      <c r="D4631" s="19">
        <f>IF(ABS(IF(ABS($E$4595)&gt;0.000000001,$E$4595,0.000000001))=0,0,IF($E$3647&lt;=$B$3633,0,IF(ABS(IF(ABS($E$4595)&gt;0.000000001,$E$4595,0.000000001))&gt;=8*$B$3635,$H$3647,0.5*$H$3647*(ABS(IF(ABS($E$4595)&gt;0.000000001,$E$4595,0.000000001))/$B$3635)^(1/3)))/ABS(IF(ABS($E$4595)&gt;0.000000001,$E$4595,0.000000001))*$I$3647)</f>
        <v/>
      </c>
      <c r="E4631" s="19">
        <f>0.5*$E$4595+0.5*$Z$4651</f>
        <v/>
      </c>
      <c r="F4631" s="19">
        <f>$Z$4652</f>
        <v/>
      </c>
    </row>
    <row r="4632">
      <c r="D4632" s="19">
        <f>IF(ABS(IF(ABS($E$4596)&gt;0.000000001,$E$4596,0.000000001))=0,0,IF($E$3648&lt;=$B$3633,0,IF(ABS(IF(ABS($E$4596)&gt;0.000000001,$E$4596,0.000000001))&gt;=8*$B$3635,$H$3648,0.5*$H$3648*(ABS(IF(ABS($E$4596)&gt;0.000000001,$E$4596,0.000000001))/$B$3635)^(1/3)))/ABS(IF(ABS($E$4596)&gt;0.000000001,$E$4596,0.000000001))*$I$3648)</f>
        <v/>
      </c>
      <c r="E4632" s="19">
        <f>0.5*$E$4596+0.5*$Z$4653</f>
        <v/>
      </c>
      <c r="F4632" s="19">
        <f>$Z$4654</f>
        <v/>
      </c>
    </row>
    <row r="4633">
      <c r="D4633" s="19">
        <f>IF(ABS(IF(ABS($E$4597)&gt;0.000000001,$E$4597,0.000000001))=0,0,IF($E$3649&lt;=$B$3633,0,IF(ABS(IF(ABS($E$4597)&gt;0.000000001,$E$4597,0.000000001))&gt;=8*$B$3635,$H$3649,0.5*$H$3649*(ABS(IF(ABS($E$4597)&gt;0.000000001,$E$4597,0.000000001))/$B$3635)^(1/3)))/ABS(IF(ABS($E$4597)&gt;0.000000001,$E$4597,0.000000001))*$I$3649)</f>
        <v/>
      </c>
      <c r="E4633" s="19">
        <f>0.5*$E$4597+0.5*$Z$4655</f>
        <v/>
      </c>
      <c r="F4633" s="19">
        <f>$Z$4656</f>
        <v/>
      </c>
    </row>
    <row r="4635">
      <c r="D4635" s="21">
        <f>$B$3624+$D$4623</f>
        <v/>
      </c>
      <c r="E4635" s="21">
        <f>$B$3625</f>
        <v/>
      </c>
      <c r="F4635" s="21">
        <f>-$B$3624</f>
        <v/>
      </c>
      <c r="G4635" s="21">
        <f>$B$3625</f>
        <v/>
      </c>
      <c r="H4635" s="21" t="n">
        <v>0</v>
      </c>
      <c r="I4635" s="21" t="n">
        <v>0</v>
      </c>
      <c r="J4635" s="21" t="n">
        <v>0</v>
      </c>
      <c r="K4635" s="21" t="n">
        <v>0</v>
      </c>
      <c r="L4635" s="21" t="n">
        <v>0</v>
      </c>
      <c r="M4635" s="21" t="n">
        <v>0</v>
      </c>
      <c r="N4635" s="21" t="n">
        <v>0</v>
      </c>
      <c r="O4635" s="21" t="n">
        <v>0</v>
      </c>
      <c r="P4635" s="21" t="n">
        <v>0</v>
      </c>
      <c r="Q4635" s="21" t="n">
        <v>0</v>
      </c>
      <c r="R4635" s="21" t="n">
        <v>0</v>
      </c>
      <c r="S4635" s="21" t="n">
        <v>0</v>
      </c>
      <c r="T4635" s="21" t="n">
        <v>0</v>
      </c>
      <c r="U4635" s="21" t="n">
        <v>0</v>
      </c>
      <c r="V4635" s="21" t="n">
        <v>0</v>
      </c>
      <c r="W4635" s="21" t="n">
        <v>0</v>
      </c>
      <c r="X4635" s="21" t="n">
        <v>0</v>
      </c>
      <c r="Y4635" s="21" t="n">
        <v>0</v>
      </c>
      <c r="Z4635" s="19">
        <f t="array" ref="Z4635:Z4656">MMULT(MINVERSE($D$4635:$Y$4656),$D$3651:$D$3672)</f>
        <v/>
      </c>
    </row>
    <row r="4636">
      <c r="D4636" s="21">
        <f>$B$3625</f>
        <v/>
      </c>
      <c r="E4636" s="21">
        <f>$B$3626</f>
        <v/>
      </c>
      <c r="F4636" s="21">
        <f>-$B$3625</f>
        <v/>
      </c>
      <c r="G4636" s="21">
        <f>$B$3627</f>
        <v/>
      </c>
      <c r="H4636" s="21" t="n">
        <v>0</v>
      </c>
      <c r="I4636" s="21" t="n">
        <v>0</v>
      </c>
      <c r="J4636" s="21" t="n">
        <v>0</v>
      </c>
      <c r="K4636" s="21" t="n">
        <v>0</v>
      </c>
      <c r="L4636" s="21" t="n">
        <v>0</v>
      </c>
      <c r="M4636" s="21" t="n">
        <v>0</v>
      </c>
      <c r="N4636" s="21" t="n">
        <v>0</v>
      </c>
      <c r="O4636" s="21" t="n">
        <v>0</v>
      </c>
      <c r="P4636" s="21" t="n">
        <v>0</v>
      </c>
      <c r="Q4636" s="21" t="n">
        <v>0</v>
      </c>
      <c r="R4636" s="21" t="n">
        <v>0</v>
      </c>
      <c r="S4636" s="21" t="n">
        <v>0</v>
      </c>
      <c r="T4636" s="21" t="n">
        <v>0</v>
      </c>
      <c r="U4636" s="21" t="n">
        <v>0</v>
      </c>
      <c r="V4636" s="21" t="n">
        <v>0</v>
      </c>
      <c r="W4636" s="21" t="n">
        <v>0</v>
      </c>
      <c r="X4636" s="21" t="n">
        <v>0</v>
      </c>
      <c r="Y4636" s="21" t="n">
        <v>0</v>
      </c>
      <c r="Z4636" s="19" t="n"/>
    </row>
    <row r="4637">
      <c r="D4637" s="21">
        <f>-$B$3624</f>
        <v/>
      </c>
      <c r="E4637" s="21">
        <f>-$B$3625</f>
        <v/>
      </c>
      <c r="F4637" s="21">
        <f>2*$B$3624+$D$4624</f>
        <v/>
      </c>
      <c r="G4637" s="21">
        <f>0</f>
        <v/>
      </c>
      <c r="H4637" s="21">
        <f>-$B$3624</f>
        <v/>
      </c>
      <c r="I4637" s="21">
        <f>$B$3625</f>
        <v/>
      </c>
      <c r="J4637" s="21" t="n">
        <v>0</v>
      </c>
      <c r="K4637" s="21" t="n">
        <v>0</v>
      </c>
      <c r="L4637" s="21" t="n">
        <v>0</v>
      </c>
      <c r="M4637" s="21" t="n">
        <v>0</v>
      </c>
      <c r="N4637" s="21" t="n">
        <v>0</v>
      </c>
      <c r="O4637" s="21" t="n">
        <v>0</v>
      </c>
      <c r="P4637" s="21" t="n">
        <v>0</v>
      </c>
      <c r="Q4637" s="21" t="n">
        <v>0</v>
      </c>
      <c r="R4637" s="21" t="n">
        <v>0</v>
      </c>
      <c r="S4637" s="21" t="n">
        <v>0</v>
      </c>
      <c r="T4637" s="21" t="n">
        <v>0</v>
      </c>
      <c r="U4637" s="21" t="n">
        <v>0</v>
      </c>
      <c r="V4637" s="21" t="n">
        <v>0</v>
      </c>
      <c r="W4637" s="21" t="n">
        <v>0</v>
      </c>
      <c r="X4637" s="21" t="n">
        <v>0</v>
      </c>
      <c r="Y4637" s="21" t="n">
        <v>0</v>
      </c>
      <c r="Z4637" s="19" t="n"/>
    </row>
    <row r="4638">
      <c r="D4638" s="21">
        <f>$B$3625</f>
        <v/>
      </c>
      <c r="E4638" s="21">
        <f>$B$3627</f>
        <v/>
      </c>
      <c r="F4638" s="21">
        <f>0</f>
        <v/>
      </c>
      <c r="G4638" s="21">
        <f>2*$B$3626</f>
        <v/>
      </c>
      <c r="H4638" s="21">
        <f>-$B$3625</f>
        <v/>
      </c>
      <c r="I4638" s="21">
        <f>$B$3627</f>
        <v/>
      </c>
      <c r="J4638" s="21" t="n">
        <v>0</v>
      </c>
      <c r="K4638" s="21" t="n">
        <v>0</v>
      </c>
      <c r="L4638" s="21" t="n">
        <v>0</v>
      </c>
      <c r="M4638" s="21" t="n">
        <v>0</v>
      </c>
      <c r="N4638" s="21" t="n">
        <v>0</v>
      </c>
      <c r="O4638" s="21" t="n">
        <v>0</v>
      </c>
      <c r="P4638" s="21" t="n">
        <v>0</v>
      </c>
      <c r="Q4638" s="21" t="n">
        <v>0</v>
      </c>
      <c r="R4638" s="21" t="n">
        <v>0</v>
      </c>
      <c r="S4638" s="21" t="n">
        <v>0</v>
      </c>
      <c r="T4638" s="21" t="n">
        <v>0</v>
      </c>
      <c r="U4638" s="21" t="n">
        <v>0</v>
      </c>
      <c r="V4638" s="21" t="n">
        <v>0</v>
      </c>
      <c r="W4638" s="21" t="n">
        <v>0</v>
      </c>
      <c r="X4638" s="21" t="n">
        <v>0</v>
      </c>
      <c r="Y4638" s="21" t="n">
        <v>0</v>
      </c>
      <c r="Z4638" s="19" t="n"/>
    </row>
    <row r="4639">
      <c r="D4639" s="21" t="n">
        <v>0</v>
      </c>
      <c r="E4639" s="21" t="n">
        <v>0</v>
      </c>
      <c r="F4639" s="21">
        <f>-$B$3624</f>
        <v/>
      </c>
      <c r="G4639" s="21">
        <f>-$B$3625</f>
        <v/>
      </c>
      <c r="H4639" s="21">
        <f>2*$B$3624+$D$4625</f>
        <v/>
      </c>
      <c r="I4639" s="21">
        <f>0</f>
        <v/>
      </c>
      <c r="J4639" s="21">
        <f>-$B$3624</f>
        <v/>
      </c>
      <c r="K4639" s="21">
        <f>$B$3625</f>
        <v/>
      </c>
      <c r="L4639" s="21" t="n">
        <v>0</v>
      </c>
      <c r="M4639" s="21" t="n">
        <v>0</v>
      </c>
      <c r="N4639" s="21" t="n">
        <v>0</v>
      </c>
      <c r="O4639" s="21" t="n">
        <v>0</v>
      </c>
      <c r="P4639" s="21" t="n">
        <v>0</v>
      </c>
      <c r="Q4639" s="21" t="n">
        <v>0</v>
      </c>
      <c r="R4639" s="21" t="n">
        <v>0</v>
      </c>
      <c r="S4639" s="21" t="n">
        <v>0</v>
      </c>
      <c r="T4639" s="21" t="n">
        <v>0</v>
      </c>
      <c r="U4639" s="21" t="n">
        <v>0</v>
      </c>
      <c r="V4639" s="21" t="n">
        <v>0</v>
      </c>
      <c r="W4639" s="21" t="n">
        <v>0</v>
      </c>
      <c r="X4639" s="21" t="n">
        <v>0</v>
      </c>
      <c r="Y4639" s="21" t="n">
        <v>0</v>
      </c>
      <c r="Z4639" s="19" t="n"/>
    </row>
    <row r="4640">
      <c r="D4640" s="21" t="n">
        <v>0</v>
      </c>
      <c r="E4640" s="21" t="n">
        <v>0</v>
      </c>
      <c r="F4640" s="21">
        <f>$B$3625</f>
        <v/>
      </c>
      <c r="G4640" s="21">
        <f>$B$3627</f>
        <v/>
      </c>
      <c r="H4640" s="21">
        <f>0</f>
        <v/>
      </c>
      <c r="I4640" s="21">
        <f>2*$B$3626</f>
        <v/>
      </c>
      <c r="J4640" s="21">
        <f>-$B$3625</f>
        <v/>
      </c>
      <c r="K4640" s="21">
        <f>$B$3627</f>
        <v/>
      </c>
      <c r="L4640" s="21" t="n">
        <v>0</v>
      </c>
      <c r="M4640" s="21" t="n">
        <v>0</v>
      </c>
      <c r="N4640" s="21" t="n">
        <v>0</v>
      </c>
      <c r="O4640" s="21" t="n">
        <v>0</v>
      </c>
      <c r="P4640" s="21" t="n">
        <v>0</v>
      </c>
      <c r="Q4640" s="21" t="n">
        <v>0</v>
      </c>
      <c r="R4640" s="21" t="n">
        <v>0</v>
      </c>
      <c r="S4640" s="21" t="n">
        <v>0</v>
      </c>
      <c r="T4640" s="21" t="n">
        <v>0</v>
      </c>
      <c r="U4640" s="21" t="n">
        <v>0</v>
      </c>
      <c r="V4640" s="21" t="n">
        <v>0</v>
      </c>
      <c r="W4640" s="21" t="n">
        <v>0</v>
      </c>
      <c r="X4640" s="21" t="n">
        <v>0</v>
      </c>
      <c r="Y4640" s="21" t="n">
        <v>0</v>
      </c>
      <c r="Z4640" s="19" t="n"/>
    </row>
    <row r="4641">
      <c r="D4641" s="21" t="n">
        <v>0</v>
      </c>
      <c r="E4641" s="21" t="n">
        <v>0</v>
      </c>
      <c r="F4641" s="21" t="n">
        <v>0</v>
      </c>
      <c r="G4641" s="21" t="n">
        <v>0</v>
      </c>
      <c r="H4641" s="21">
        <f>-$B$3624</f>
        <v/>
      </c>
      <c r="I4641" s="21">
        <f>-$B$3625</f>
        <v/>
      </c>
      <c r="J4641" s="21">
        <f>2*$B$3624+$D$4626</f>
        <v/>
      </c>
      <c r="K4641" s="21">
        <f>0</f>
        <v/>
      </c>
      <c r="L4641" s="21">
        <f>-$B$3624</f>
        <v/>
      </c>
      <c r="M4641" s="21">
        <f>$B$3625</f>
        <v/>
      </c>
      <c r="N4641" s="21" t="n">
        <v>0</v>
      </c>
      <c r="O4641" s="21" t="n">
        <v>0</v>
      </c>
      <c r="P4641" s="21" t="n">
        <v>0</v>
      </c>
      <c r="Q4641" s="21" t="n">
        <v>0</v>
      </c>
      <c r="R4641" s="21" t="n">
        <v>0</v>
      </c>
      <c r="S4641" s="21" t="n">
        <v>0</v>
      </c>
      <c r="T4641" s="21" t="n">
        <v>0</v>
      </c>
      <c r="U4641" s="21" t="n">
        <v>0</v>
      </c>
      <c r="V4641" s="21" t="n">
        <v>0</v>
      </c>
      <c r="W4641" s="21" t="n">
        <v>0</v>
      </c>
      <c r="X4641" s="21" t="n">
        <v>0</v>
      </c>
      <c r="Y4641" s="21" t="n">
        <v>0</v>
      </c>
      <c r="Z4641" s="19" t="n"/>
    </row>
    <row r="4642">
      <c r="D4642" s="21" t="n">
        <v>0</v>
      </c>
      <c r="E4642" s="21" t="n">
        <v>0</v>
      </c>
      <c r="F4642" s="21" t="n">
        <v>0</v>
      </c>
      <c r="G4642" s="21" t="n">
        <v>0</v>
      </c>
      <c r="H4642" s="21">
        <f>$B$3625</f>
        <v/>
      </c>
      <c r="I4642" s="21">
        <f>$B$3627</f>
        <v/>
      </c>
      <c r="J4642" s="21">
        <f>0</f>
        <v/>
      </c>
      <c r="K4642" s="21">
        <f>2*$B$3626</f>
        <v/>
      </c>
      <c r="L4642" s="21">
        <f>-$B$3625</f>
        <v/>
      </c>
      <c r="M4642" s="21">
        <f>$B$3627</f>
        <v/>
      </c>
      <c r="N4642" s="21" t="n">
        <v>0</v>
      </c>
      <c r="O4642" s="21" t="n">
        <v>0</v>
      </c>
      <c r="P4642" s="21" t="n">
        <v>0</v>
      </c>
      <c r="Q4642" s="21" t="n">
        <v>0</v>
      </c>
      <c r="R4642" s="21" t="n">
        <v>0</v>
      </c>
      <c r="S4642" s="21" t="n">
        <v>0</v>
      </c>
      <c r="T4642" s="21" t="n">
        <v>0</v>
      </c>
      <c r="U4642" s="21" t="n">
        <v>0</v>
      </c>
      <c r="V4642" s="21" t="n">
        <v>0</v>
      </c>
      <c r="W4642" s="21" t="n">
        <v>0</v>
      </c>
      <c r="X4642" s="21" t="n">
        <v>0</v>
      </c>
      <c r="Y4642" s="21" t="n">
        <v>0</v>
      </c>
      <c r="Z4642" s="19" t="n"/>
    </row>
    <row r="4643">
      <c r="D4643" s="21" t="n">
        <v>0</v>
      </c>
      <c r="E4643" s="21" t="n">
        <v>0</v>
      </c>
      <c r="F4643" s="21" t="n">
        <v>0</v>
      </c>
      <c r="G4643" s="21" t="n">
        <v>0</v>
      </c>
      <c r="H4643" s="21" t="n">
        <v>0</v>
      </c>
      <c r="I4643" s="21" t="n">
        <v>0</v>
      </c>
      <c r="J4643" s="21">
        <f>-$B$3624</f>
        <v/>
      </c>
      <c r="K4643" s="21">
        <f>-$B$3625</f>
        <v/>
      </c>
      <c r="L4643" s="21">
        <f>2*$B$3624+$D$4627</f>
        <v/>
      </c>
      <c r="M4643" s="21">
        <f>0</f>
        <v/>
      </c>
      <c r="N4643" s="21">
        <f>-$B$3624</f>
        <v/>
      </c>
      <c r="O4643" s="21">
        <f>$B$3625</f>
        <v/>
      </c>
      <c r="P4643" s="21" t="n">
        <v>0</v>
      </c>
      <c r="Q4643" s="21" t="n">
        <v>0</v>
      </c>
      <c r="R4643" s="21" t="n">
        <v>0</v>
      </c>
      <c r="S4643" s="21" t="n">
        <v>0</v>
      </c>
      <c r="T4643" s="21" t="n">
        <v>0</v>
      </c>
      <c r="U4643" s="21" t="n">
        <v>0</v>
      </c>
      <c r="V4643" s="21" t="n">
        <v>0</v>
      </c>
      <c r="W4643" s="21" t="n">
        <v>0</v>
      </c>
      <c r="X4643" s="21" t="n">
        <v>0</v>
      </c>
      <c r="Y4643" s="21" t="n">
        <v>0</v>
      </c>
      <c r="Z4643" s="19" t="n"/>
    </row>
    <row r="4644">
      <c r="D4644" s="21" t="n">
        <v>0</v>
      </c>
      <c r="E4644" s="21" t="n">
        <v>0</v>
      </c>
      <c r="F4644" s="21" t="n">
        <v>0</v>
      </c>
      <c r="G4644" s="21" t="n">
        <v>0</v>
      </c>
      <c r="H4644" s="21" t="n">
        <v>0</v>
      </c>
      <c r="I4644" s="21" t="n">
        <v>0</v>
      </c>
      <c r="J4644" s="21">
        <f>$B$3625</f>
        <v/>
      </c>
      <c r="K4644" s="21">
        <f>$B$3627</f>
        <v/>
      </c>
      <c r="L4644" s="21">
        <f>0</f>
        <v/>
      </c>
      <c r="M4644" s="21">
        <f>2*$B$3626</f>
        <v/>
      </c>
      <c r="N4644" s="21">
        <f>-$B$3625</f>
        <v/>
      </c>
      <c r="O4644" s="21">
        <f>$B$3627</f>
        <v/>
      </c>
      <c r="P4644" s="21" t="n">
        <v>0</v>
      </c>
      <c r="Q4644" s="21" t="n">
        <v>0</v>
      </c>
      <c r="R4644" s="21" t="n">
        <v>0</v>
      </c>
      <c r="S4644" s="21" t="n">
        <v>0</v>
      </c>
      <c r="T4644" s="21" t="n">
        <v>0</v>
      </c>
      <c r="U4644" s="21" t="n">
        <v>0</v>
      </c>
      <c r="V4644" s="21" t="n">
        <v>0</v>
      </c>
      <c r="W4644" s="21" t="n">
        <v>0</v>
      </c>
      <c r="X4644" s="21" t="n">
        <v>0</v>
      </c>
      <c r="Y4644" s="21" t="n">
        <v>0</v>
      </c>
      <c r="Z4644" s="19" t="n"/>
    </row>
    <row r="4645">
      <c r="D4645" s="21" t="n">
        <v>0</v>
      </c>
      <c r="E4645" s="21" t="n">
        <v>0</v>
      </c>
      <c r="F4645" s="21" t="n">
        <v>0</v>
      </c>
      <c r="G4645" s="21" t="n">
        <v>0</v>
      </c>
      <c r="H4645" s="21" t="n">
        <v>0</v>
      </c>
      <c r="I4645" s="21" t="n">
        <v>0</v>
      </c>
      <c r="J4645" s="21" t="n">
        <v>0</v>
      </c>
      <c r="K4645" s="21" t="n">
        <v>0</v>
      </c>
      <c r="L4645" s="21">
        <f>-$B$3624</f>
        <v/>
      </c>
      <c r="M4645" s="21">
        <f>-$B$3625</f>
        <v/>
      </c>
      <c r="N4645" s="21">
        <f>2*$B$3624+$D$4628</f>
        <v/>
      </c>
      <c r="O4645" s="21">
        <f>0</f>
        <v/>
      </c>
      <c r="P4645" s="21">
        <f>-$B$3624</f>
        <v/>
      </c>
      <c r="Q4645" s="21">
        <f>$B$3625</f>
        <v/>
      </c>
      <c r="R4645" s="21" t="n">
        <v>0</v>
      </c>
      <c r="S4645" s="21" t="n">
        <v>0</v>
      </c>
      <c r="T4645" s="21" t="n">
        <v>0</v>
      </c>
      <c r="U4645" s="21" t="n">
        <v>0</v>
      </c>
      <c r="V4645" s="21" t="n">
        <v>0</v>
      </c>
      <c r="W4645" s="21" t="n">
        <v>0</v>
      </c>
      <c r="X4645" s="21" t="n">
        <v>0</v>
      </c>
      <c r="Y4645" s="21" t="n">
        <v>0</v>
      </c>
      <c r="Z4645" s="19" t="n"/>
    </row>
    <row r="4646">
      <c r="D4646" s="21" t="n">
        <v>0</v>
      </c>
      <c r="E4646" s="21" t="n">
        <v>0</v>
      </c>
      <c r="F4646" s="21" t="n">
        <v>0</v>
      </c>
      <c r="G4646" s="21" t="n">
        <v>0</v>
      </c>
      <c r="H4646" s="21" t="n">
        <v>0</v>
      </c>
      <c r="I4646" s="21" t="n">
        <v>0</v>
      </c>
      <c r="J4646" s="21" t="n">
        <v>0</v>
      </c>
      <c r="K4646" s="21" t="n">
        <v>0</v>
      </c>
      <c r="L4646" s="21">
        <f>$B$3625</f>
        <v/>
      </c>
      <c r="M4646" s="21">
        <f>$B$3627</f>
        <v/>
      </c>
      <c r="N4646" s="21">
        <f>0</f>
        <v/>
      </c>
      <c r="O4646" s="21">
        <f>2*$B$3626</f>
        <v/>
      </c>
      <c r="P4646" s="21">
        <f>-$B$3625</f>
        <v/>
      </c>
      <c r="Q4646" s="21">
        <f>$B$3627</f>
        <v/>
      </c>
      <c r="R4646" s="21" t="n">
        <v>0</v>
      </c>
      <c r="S4646" s="21" t="n">
        <v>0</v>
      </c>
      <c r="T4646" s="21" t="n">
        <v>0</v>
      </c>
      <c r="U4646" s="21" t="n">
        <v>0</v>
      </c>
      <c r="V4646" s="21" t="n">
        <v>0</v>
      </c>
      <c r="W4646" s="21" t="n">
        <v>0</v>
      </c>
      <c r="X4646" s="21" t="n">
        <v>0</v>
      </c>
      <c r="Y4646" s="21" t="n">
        <v>0</v>
      </c>
      <c r="Z4646" s="19" t="n"/>
    </row>
    <row r="4647">
      <c r="D4647" s="21" t="n">
        <v>0</v>
      </c>
      <c r="E4647" s="21" t="n">
        <v>0</v>
      </c>
      <c r="F4647" s="21" t="n">
        <v>0</v>
      </c>
      <c r="G4647" s="21" t="n">
        <v>0</v>
      </c>
      <c r="H4647" s="21" t="n">
        <v>0</v>
      </c>
      <c r="I4647" s="21" t="n">
        <v>0</v>
      </c>
      <c r="J4647" s="21" t="n">
        <v>0</v>
      </c>
      <c r="K4647" s="21" t="n">
        <v>0</v>
      </c>
      <c r="L4647" s="21" t="n">
        <v>0</v>
      </c>
      <c r="M4647" s="21" t="n">
        <v>0</v>
      </c>
      <c r="N4647" s="21">
        <f>-$B$3624</f>
        <v/>
      </c>
      <c r="O4647" s="21">
        <f>-$B$3625</f>
        <v/>
      </c>
      <c r="P4647" s="21">
        <f>2*$B$3624+$D$4629</f>
        <v/>
      </c>
      <c r="Q4647" s="21">
        <f>0</f>
        <v/>
      </c>
      <c r="R4647" s="21">
        <f>-$B$3624</f>
        <v/>
      </c>
      <c r="S4647" s="21">
        <f>$B$3625</f>
        <v/>
      </c>
      <c r="T4647" s="21" t="n">
        <v>0</v>
      </c>
      <c r="U4647" s="21" t="n">
        <v>0</v>
      </c>
      <c r="V4647" s="21" t="n">
        <v>0</v>
      </c>
      <c r="W4647" s="21" t="n">
        <v>0</v>
      </c>
      <c r="X4647" s="21" t="n">
        <v>0</v>
      </c>
      <c r="Y4647" s="21" t="n">
        <v>0</v>
      </c>
      <c r="Z4647" s="19" t="n"/>
    </row>
    <row r="4648">
      <c r="D4648" s="21" t="n">
        <v>0</v>
      </c>
      <c r="E4648" s="21" t="n">
        <v>0</v>
      </c>
      <c r="F4648" s="21" t="n">
        <v>0</v>
      </c>
      <c r="G4648" s="21" t="n">
        <v>0</v>
      </c>
      <c r="H4648" s="21" t="n">
        <v>0</v>
      </c>
      <c r="I4648" s="21" t="n">
        <v>0</v>
      </c>
      <c r="J4648" s="21" t="n">
        <v>0</v>
      </c>
      <c r="K4648" s="21" t="n">
        <v>0</v>
      </c>
      <c r="L4648" s="21" t="n">
        <v>0</v>
      </c>
      <c r="M4648" s="21" t="n">
        <v>0</v>
      </c>
      <c r="N4648" s="21">
        <f>$B$3625</f>
        <v/>
      </c>
      <c r="O4648" s="21">
        <f>$B$3627</f>
        <v/>
      </c>
      <c r="P4648" s="21">
        <f>0</f>
        <v/>
      </c>
      <c r="Q4648" s="21">
        <f>2*$B$3626</f>
        <v/>
      </c>
      <c r="R4648" s="21">
        <f>-$B$3625</f>
        <v/>
      </c>
      <c r="S4648" s="21">
        <f>$B$3627</f>
        <v/>
      </c>
      <c r="T4648" s="21" t="n">
        <v>0</v>
      </c>
      <c r="U4648" s="21" t="n">
        <v>0</v>
      </c>
      <c r="V4648" s="21" t="n">
        <v>0</v>
      </c>
      <c r="W4648" s="21" t="n">
        <v>0</v>
      </c>
      <c r="X4648" s="21" t="n">
        <v>0</v>
      </c>
      <c r="Y4648" s="21" t="n">
        <v>0</v>
      </c>
      <c r="Z4648" s="19" t="n"/>
    </row>
    <row r="4649">
      <c r="D4649" s="21" t="n">
        <v>0</v>
      </c>
      <c r="E4649" s="21" t="n">
        <v>0</v>
      </c>
      <c r="F4649" s="21" t="n">
        <v>0</v>
      </c>
      <c r="G4649" s="21" t="n">
        <v>0</v>
      </c>
      <c r="H4649" s="21" t="n">
        <v>0</v>
      </c>
      <c r="I4649" s="21" t="n">
        <v>0</v>
      </c>
      <c r="J4649" s="21" t="n">
        <v>0</v>
      </c>
      <c r="K4649" s="21" t="n">
        <v>0</v>
      </c>
      <c r="L4649" s="21" t="n">
        <v>0</v>
      </c>
      <c r="M4649" s="21" t="n">
        <v>0</v>
      </c>
      <c r="N4649" s="21" t="n">
        <v>0</v>
      </c>
      <c r="O4649" s="21" t="n">
        <v>0</v>
      </c>
      <c r="P4649" s="21">
        <f>-$B$3624</f>
        <v/>
      </c>
      <c r="Q4649" s="21">
        <f>-$B$3625</f>
        <v/>
      </c>
      <c r="R4649" s="21">
        <f>2*$B$3624+$D$4630</f>
        <v/>
      </c>
      <c r="S4649" s="21">
        <f>0</f>
        <v/>
      </c>
      <c r="T4649" s="21">
        <f>-$B$3624</f>
        <v/>
      </c>
      <c r="U4649" s="21">
        <f>$B$3625</f>
        <v/>
      </c>
      <c r="V4649" s="21" t="n">
        <v>0</v>
      </c>
      <c r="W4649" s="21" t="n">
        <v>0</v>
      </c>
      <c r="X4649" s="21" t="n">
        <v>0</v>
      </c>
      <c r="Y4649" s="21" t="n">
        <v>0</v>
      </c>
      <c r="Z4649" s="19" t="n"/>
    </row>
    <row r="4650">
      <c r="D4650" s="21" t="n">
        <v>0</v>
      </c>
      <c r="E4650" s="21" t="n">
        <v>0</v>
      </c>
      <c r="F4650" s="21" t="n">
        <v>0</v>
      </c>
      <c r="G4650" s="21" t="n">
        <v>0</v>
      </c>
      <c r="H4650" s="21" t="n">
        <v>0</v>
      </c>
      <c r="I4650" s="21" t="n">
        <v>0</v>
      </c>
      <c r="J4650" s="21" t="n">
        <v>0</v>
      </c>
      <c r="K4650" s="21" t="n">
        <v>0</v>
      </c>
      <c r="L4650" s="21" t="n">
        <v>0</v>
      </c>
      <c r="M4650" s="21" t="n">
        <v>0</v>
      </c>
      <c r="N4650" s="21" t="n">
        <v>0</v>
      </c>
      <c r="O4650" s="21" t="n">
        <v>0</v>
      </c>
      <c r="P4650" s="21">
        <f>$B$3625</f>
        <v/>
      </c>
      <c r="Q4650" s="21">
        <f>$B$3627</f>
        <v/>
      </c>
      <c r="R4650" s="21">
        <f>0</f>
        <v/>
      </c>
      <c r="S4650" s="21">
        <f>2*$B$3626</f>
        <v/>
      </c>
      <c r="T4650" s="21">
        <f>-$B$3625</f>
        <v/>
      </c>
      <c r="U4650" s="21">
        <f>$B$3627</f>
        <v/>
      </c>
      <c r="V4650" s="21" t="n">
        <v>0</v>
      </c>
      <c r="W4650" s="21" t="n">
        <v>0</v>
      </c>
      <c r="X4650" s="21" t="n">
        <v>0</v>
      </c>
      <c r="Y4650" s="21" t="n">
        <v>0</v>
      </c>
      <c r="Z4650" s="19" t="n"/>
    </row>
    <row r="4651">
      <c r="D4651" s="21" t="n">
        <v>0</v>
      </c>
      <c r="E4651" s="21" t="n">
        <v>0</v>
      </c>
      <c r="F4651" s="21" t="n">
        <v>0</v>
      </c>
      <c r="G4651" s="21" t="n">
        <v>0</v>
      </c>
      <c r="H4651" s="21" t="n">
        <v>0</v>
      </c>
      <c r="I4651" s="21" t="n">
        <v>0</v>
      </c>
      <c r="J4651" s="21" t="n">
        <v>0</v>
      </c>
      <c r="K4651" s="21" t="n">
        <v>0</v>
      </c>
      <c r="L4651" s="21" t="n">
        <v>0</v>
      </c>
      <c r="M4651" s="21" t="n">
        <v>0</v>
      </c>
      <c r="N4651" s="21" t="n">
        <v>0</v>
      </c>
      <c r="O4651" s="21" t="n">
        <v>0</v>
      </c>
      <c r="P4651" s="21" t="n">
        <v>0</v>
      </c>
      <c r="Q4651" s="21" t="n">
        <v>0</v>
      </c>
      <c r="R4651" s="21">
        <f>-$B$3624</f>
        <v/>
      </c>
      <c r="S4651" s="21">
        <f>-$B$3625</f>
        <v/>
      </c>
      <c r="T4651" s="21">
        <f>2*$B$3624+$D$4631</f>
        <v/>
      </c>
      <c r="U4651" s="21">
        <f>0</f>
        <v/>
      </c>
      <c r="V4651" s="21">
        <f>-$B$3624</f>
        <v/>
      </c>
      <c r="W4651" s="21">
        <f>$B$3625</f>
        <v/>
      </c>
      <c r="X4651" s="21" t="n">
        <v>0</v>
      </c>
      <c r="Y4651" s="21" t="n">
        <v>0</v>
      </c>
      <c r="Z4651" s="19" t="n"/>
    </row>
    <row r="4652">
      <c r="D4652" s="21" t="n">
        <v>0</v>
      </c>
      <c r="E4652" s="21" t="n">
        <v>0</v>
      </c>
      <c r="F4652" s="21" t="n">
        <v>0</v>
      </c>
      <c r="G4652" s="21" t="n">
        <v>0</v>
      </c>
      <c r="H4652" s="21" t="n">
        <v>0</v>
      </c>
      <c r="I4652" s="21" t="n">
        <v>0</v>
      </c>
      <c r="J4652" s="21" t="n">
        <v>0</v>
      </c>
      <c r="K4652" s="21" t="n">
        <v>0</v>
      </c>
      <c r="L4652" s="21" t="n">
        <v>0</v>
      </c>
      <c r="M4652" s="21" t="n">
        <v>0</v>
      </c>
      <c r="N4652" s="21" t="n">
        <v>0</v>
      </c>
      <c r="O4652" s="21" t="n">
        <v>0</v>
      </c>
      <c r="P4652" s="21" t="n">
        <v>0</v>
      </c>
      <c r="Q4652" s="21" t="n">
        <v>0</v>
      </c>
      <c r="R4652" s="21">
        <f>$B$3625</f>
        <v/>
      </c>
      <c r="S4652" s="21">
        <f>$B$3627</f>
        <v/>
      </c>
      <c r="T4652" s="21">
        <f>0</f>
        <v/>
      </c>
      <c r="U4652" s="21">
        <f>2*$B$3626</f>
        <v/>
      </c>
      <c r="V4652" s="21">
        <f>-$B$3625</f>
        <v/>
      </c>
      <c r="W4652" s="21">
        <f>$B$3627</f>
        <v/>
      </c>
      <c r="X4652" s="21" t="n">
        <v>0</v>
      </c>
      <c r="Y4652" s="21" t="n">
        <v>0</v>
      </c>
      <c r="Z4652" s="19" t="n"/>
    </row>
    <row r="4653">
      <c r="D4653" s="21" t="n">
        <v>0</v>
      </c>
      <c r="E4653" s="21" t="n">
        <v>0</v>
      </c>
      <c r="F4653" s="21" t="n">
        <v>0</v>
      </c>
      <c r="G4653" s="21" t="n">
        <v>0</v>
      </c>
      <c r="H4653" s="21" t="n">
        <v>0</v>
      </c>
      <c r="I4653" s="21" t="n">
        <v>0</v>
      </c>
      <c r="J4653" s="21" t="n">
        <v>0</v>
      </c>
      <c r="K4653" s="21" t="n">
        <v>0</v>
      </c>
      <c r="L4653" s="21" t="n">
        <v>0</v>
      </c>
      <c r="M4653" s="21" t="n">
        <v>0</v>
      </c>
      <c r="N4653" s="21" t="n">
        <v>0</v>
      </c>
      <c r="O4653" s="21" t="n">
        <v>0</v>
      </c>
      <c r="P4653" s="21" t="n">
        <v>0</v>
      </c>
      <c r="Q4653" s="21" t="n">
        <v>0</v>
      </c>
      <c r="R4653" s="21" t="n">
        <v>0</v>
      </c>
      <c r="S4653" s="21" t="n">
        <v>0</v>
      </c>
      <c r="T4653" s="21">
        <f>-$B$3624</f>
        <v/>
      </c>
      <c r="U4653" s="21">
        <f>-$B$3625</f>
        <v/>
      </c>
      <c r="V4653" s="21">
        <f>2*$B$3624+$D$4632</f>
        <v/>
      </c>
      <c r="W4653" s="21">
        <f>0</f>
        <v/>
      </c>
      <c r="X4653" s="21">
        <f>-$B$3624</f>
        <v/>
      </c>
      <c r="Y4653" s="21">
        <f>$B$3625</f>
        <v/>
      </c>
      <c r="Z4653" s="19" t="n"/>
    </row>
    <row r="4654">
      <c r="D4654" s="21" t="n">
        <v>0</v>
      </c>
      <c r="E4654" s="21" t="n">
        <v>0</v>
      </c>
      <c r="F4654" s="21" t="n">
        <v>0</v>
      </c>
      <c r="G4654" s="21" t="n">
        <v>0</v>
      </c>
      <c r="H4654" s="21" t="n">
        <v>0</v>
      </c>
      <c r="I4654" s="21" t="n">
        <v>0</v>
      </c>
      <c r="J4654" s="21" t="n">
        <v>0</v>
      </c>
      <c r="K4654" s="21" t="n">
        <v>0</v>
      </c>
      <c r="L4654" s="21" t="n">
        <v>0</v>
      </c>
      <c r="M4654" s="21" t="n">
        <v>0</v>
      </c>
      <c r="N4654" s="21" t="n">
        <v>0</v>
      </c>
      <c r="O4654" s="21" t="n">
        <v>0</v>
      </c>
      <c r="P4654" s="21" t="n">
        <v>0</v>
      </c>
      <c r="Q4654" s="21" t="n">
        <v>0</v>
      </c>
      <c r="R4654" s="21" t="n">
        <v>0</v>
      </c>
      <c r="S4654" s="21" t="n">
        <v>0</v>
      </c>
      <c r="T4654" s="21">
        <f>$B$3625</f>
        <v/>
      </c>
      <c r="U4654" s="21">
        <f>$B$3627</f>
        <v/>
      </c>
      <c r="V4654" s="21">
        <f>0</f>
        <v/>
      </c>
      <c r="W4654" s="21">
        <f>2*$B$3626</f>
        <v/>
      </c>
      <c r="X4654" s="21">
        <f>-$B$3625</f>
        <v/>
      </c>
      <c r="Y4654" s="21">
        <f>$B$3627</f>
        <v/>
      </c>
      <c r="Z4654" s="19" t="n"/>
    </row>
    <row r="4655">
      <c r="D4655" s="21" t="n">
        <v>0</v>
      </c>
      <c r="E4655" s="21" t="n">
        <v>0</v>
      </c>
      <c r="F4655" s="21" t="n">
        <v>0</v>
      </c>
      <c r="G4655" s="21" t="n">
        <v>0</v>
      </c>
      <c r="H4655" s="21" t="n">
        <v>0</v>
      </c>
      <c r="I4655" s="21" t="n">
        <v>0</v>
      </c>
      <c r="J4655" s="21" t="n">
        <v>0</v>
      </c>
      <c r="K4655" s="21" t="n">
        <v>0</v>
      </c>
      <c r="L4655" s="21" t="n">
        <v>0</v>
      </c>
      <c r="M4655" s="21" t="n">
        <v>0</v>
      </c>
      <c r="N4655" s="21" t="n">
        <v>0</v>
      </c>
      <c r="O4655" s="21" t="n">
        <v>0</v>
      </c>
      <c r="P4655" s="21" t="n">
        <v>0</v>
      </c>
      <c r="Q4655" s="21" t="n">
        <v>0</v>
      </c>
      <c r="R4655" s="21" t="n">
        <v>0</v>
      </c>
      <c r="S4655" s="21" t="n">
        <v>0</v>
      </c>
      <c r="T4655" s="21" t="n">
        <v>0</v>
      </c>
      <c r="U4655" s="21" t="n">
        <v>0</v>
      </c>
      <c r="V4655" s="21">
        <f>-$B$3624</f>
        <v/>
      </c>
      <c r="W4655" s="21">
        <f>-$B$3625</f>
        <v/>
      </c>
      <c r="X4655" s="21">
        <f>$B$3624+$D$4633</f>
        <v/>
      </c>
      <c r="Y4655" s="21">
        <f>-$B$3625</f>
        <v/>
      </c>
      <c r="Z4655" s="19" t="n"/>
    </row>
    <row r="4656">
      <c r="D4656" s="21" t="n">
        <v>0</v>
      </c>
      <c r="E4656" s="21" t="n">
        <v>0</v>
      </c>
      <c r="F4656" s="21" t="n">
        <v>0</v>
      </c>
      <c r="G4656" s="21" t="n">
        <v>0</v>
      </c>
      <c r="H4656" s="21" t="n">
        <v>0</v>
      </c>
      <c r="I4656" s="21" t="n">
        <v>0</v>
      </c>
      <c r="J4656" s="21" t="n">
        <v>0</v>
      </c>
      <c r="K4656" s="21" t="n">
        <v>0</v>
      </c>
      <c r="L4656" s="21" t="n">
        <v>0</v>
      </c>
      <c r="M4656" s="21" t="n">
        <v>0</v>
      </c>
      <c r="N4656" s="21" t="n">
        <v>0</v>
      </c>
      <c r="O4656" s="21" t="n">
        <v>0</v>
      </c>
      <c r="P4656" s="21" t="n">
        <v>0</v>
      </c>
      <c r="Q4656" s="21" t="n">
        <v>0</v>
      </c>
      <c r="R4656" s="21" t="n">
        <v>0</v>
      </c>
      <c r="S4656" s="21" t="n">
        <v>0</v>
      </c>
      <c r="T4656" s="21" t="n">
        <v>0</v>
      </c>
      <c r="U4656" s="21" t="n">
        <v>0</v>
      </c>
      <c r="V4656" s="21">
        <f>$B$3625</f>
        <v/>
      </c>
      <c r="W4656" s="21">
        <f>$B$3627</f>
        <v/>
      </c>
      <c r="X4656" s="21">
        <f>-$B$3625</f>
        <v/>
      </c>
      <c r="Y4656" s="21">
        <f>$B$3626</f>
        <v/>
      </c>
      <c r="Z4656" s="19" t="n"/>
    </row>
    <row r="4658">
      <c r="A4658" s="8" t="inlineStr">
        <is>
          <t>gen 28</t>
        </is>
      </c>
    </row>
    <row r="4659">
      <c r="D4659" s="19">
        <f>IF(ABS(IF(ABS($E$4623)&gt;0.000000001,$E$4623,0.000000001))=0,0,IF($E$3639&lt;=$B$3633,0,IF(ABS(IF(ABS($E$4623)&gt;0.000000001,$E$4623,0.000000001))&gt;=8*$B$3635,$H$3639,0.5*$H$3639*(ABS(IF(ABS($E$4623)&gt;0.000000001,$E$4623,0.000000001))/$B$3635)^(1/3)))/ABS(IF(ABS($E$4623)&gt;0.000000001,$E$4623,0.000000001))*$I$3639)</f>
        <v/>
      </c>
      <c r="E4659" s="19">
        <f>0.5*$E$4623+0.5*$Z$4671</f>
        <v/>
      </c>
      <c r="F4659" s="19">
        <f>$Z$4672</f>
        <v/>
      </c>
    </row>
    <row r="4660">
      <c r="D4660" s="19">
        <f>IF(ABS(IF(ABS($E$4624)&gt;0.000000001,$E$4624,0.000000001))=0,0,IF($E$3640&lt;=$B$3633,0,IF(ABS(IF(ABS($E$4624)&gt;0.000000001,$E$4624,0.000000001))&gt;=8*$B$3635,$H$3640,0.5*$H$3640*(ABS(IF(ABS($E$4624)&gt;0.000000001,$E$4624,0.000000001))/$B$3635)^(1/3)))/ABS(IF(ABS($E$4624)&gt;0.000000001,$E$4624,0.000000001))*$I$3640)</f>
        <v/>
      </c>
      <c r="E4660" s="19">
        <f>0.5*$E$4624+0.5*$Z$4673</f>
        <v/>
      </c>
      <c r="F4660" s="19">
        <f>$Z$4674</f>
        <v/>
      </c>
    </row>
    <row r="4661">
      <c r="D4661" s="19">
        <f>IF(ABS(IF(ABS($E$4625)&gt;0.000000001,$E$4625,0.000000001))=0,0,IF($E$3641&lt;=$B$3633,0,IF(ABS(IF(ABS($E$4625)&gt;0.000000001,$E$4625,0.000000001))&gt;=8*$B$3635,$H$3641,0.5*$H$3641*(ABS(IF(ABS($E$4625)&gt;0.000000001,$E$4625,0.000000001))/$B$3635)^(1/3)))/ABS(IF(ABS($E$4625)&gt;0.000000001,$E$4625,0.000000001))*$I$3641)</f>
        <v/>
      </c>
      <c r="E4661" s="19">
        <f>0.5*$E$4625+0.5*$Z$4675</f>
        <v/>
      </c>
      <c r="F4661" s="19">
        <f>$Z$4676</f>
        <v/>
      </c>
    </row>
    <row r="4662">
      <c r="D4662" s="19">
        <f>IF(ABS(IF(ABS($E$4626)&gt;0.000000001,$E$4626,0.000000001))=0,0,IF($E$3642&lt;=$B$3633,0,IF(ABS(IF(ABS($E$4626)&gt;0.000000001,$E$4626,0.000000001))&gt;=8*$B$3635,$H$3642,0.5*$H$3642*(ABS(IF(ABS($E$4626)&gt;0.000000001,$E$4626,0.000000001))/$B$3635)^(1/3)))/ABS(IF(ABS($E$4626)&gt;0.000000001,$E$4626,0.000000001))*$I$3642)</f>
        <v/>
      </c>
      <c r="E4662" s="19">
        <f>0.5*$E$4626+0.5*$Z$4677</f>
        <v/>
      </c>
      <c r="F4662" s="19">
        <f>$Z$4678</f>
        <v/>
      </c>
    </row>
    <row r="4663">
      <c r="D4663" s="19">
        <f>IF(ABS(IF(ABS($E$4627)&gt;0.000000001,$E$4627,0.000000001))=0,0,IF($E$3643&lt;=$B$3633,0,IF(ABS(IF(ABS($E$4627)&gt;0.000000001,$E$4627,0.000000001))&gt;=8*$B$3635,$H$3643,0.5*$H$3643*(ABS(IF(ABS($E$4627)&gt;0.000000001,$E$4627,0.000000001))/$B$3635)^(1/3)))/ABS(IF(ABS($E$4627)&gt;0.000000001,$E$4627,0.000000001))*$I$3643)</f>
        <v/>
      </c>
      <c r="E4663" s="19">
        <f>0.5*$E$4627+0.5*$Z$4679</f>
        <v/>
      </c>
      <c r="F4663" s="19">
        <f>$Z$4680</f>
        <v/>
      </c>
    </row>
    <row r="4664">
      <c r="D4664" s="19">
        <f>IF(ABS(IF(ABS($E$4628)&gt;0.000000001,$E$4628,0.000000001))=0,0,IF($E$3644&lt;=$B$3633,0,IF(ABS(IF(ABS($E$4628)&gt;0.000000001,$E$4628,0.000000001))&gt;=8*$B$3635,$H$3644,0.5*$H$3644*(ABS(IF(ABS($E$4628)&gt;0.000000001,$E$4628,0.000000001))/$B$3635)^(1/3)))/ABS(IF(ABS($E$4628)&gt;0.000000001,$E$4628,0.000000001))*$I$3644)</f>
        <v/>
      </c>
      <c r="E4664" s="19">
        <f>0.5*$E$4628+0.5*$Z$4681</f>
        <v/>
      </c>
      <c r="F4664" s="19">
        <f>$Z$4682</f>
        <v/>
      </c>
    </row>
    <row r="4665">
      <c r="D4665" s="19">
        <f>IF(ABS(IF(ABS($E$4629)&gt;0.000000001,$E$4629,0.000000001))=0,0,IF($E$3645&lt;=$B$3633,0,IF(ABS(IF(ABS($E$4629)&gt;0.000000001,$E$4629,0.000000001))&gt;=8*$B$3635,$H$3645,0.5*$H$3645*(ABS(IF(ABS($E$4629)&gt;0.000000001,$E$4629,0.000000001))/$B$3635)^(1/3)))/ABS(IF(ABS($E$4629)&gt;0.000000001,$E$4629,0.000000001))*$I$3645)</f>
        <v/>
      </c>
      <c r="E4665" s="19">
        <f>0.5*$E$4629+0.5*$Z$4683</f>
        <v/>
      </c>
      <c r="F4665" s="19">
        <f>$Z$4684</f>
        <v/>
      </c>
    </row>
    <row r="4666">
      <c r="D4666" s="19">
        <f>IF(ABS(IF(ABS($E$4630)&gt;0.000000001,$E$4630,0.000000001))=0,0,IF($E$3646&lt;=$B$3633,0,IF(ABS(IF(ABS($E$4630)&gt;0.000000001,$E$4630,0.000000001))&gt;=8*$B$3635,$H$3646,0.5*$H$3646*(ABS(IF(ABS($E$4630)&gt;0.000000001,$E$4630,0.000000001))/$B$3635)^(1/3)))/ABS(IF(ABS($E$4630)&gt;0.000000001,$E$4630,0.000000001))*$I$3646)</f>
        <v/>
      </c>
      <c r="E4666" s="19">
        <f>0.5*$E$4630+0.5*$Z$4685</f>
        <v/>
      </c>
      <c r="F4666" s="19">
        <f>$Z$4686</f>
        <v/>
      </c>
    </row>
    <row r="4667">
      <c r="D4667" s="19">
        <f>IF(ABS(IF(ABS($E$4631)&gt;0.000000001,$E$4631,0.000000001))=0,0,IF($E$3647&lt;=$B$3633,0,IF(ABS(IF(ABS($E$4631)&gt;0.000000001,$E$4631,0.000000001))&gt;=8*$B$3635,$H$3647,0.5*$H$3647*(ABS(IF(ABS($E$4631)&gt;0.000000001,$E$4631,0.000000001))/$B$3635)^(1/3)))/ABS(IF(ABS($E$4631)&gt;0.000000001,$E$4631,0.000000001))*$I$3647)</f>
        <v/>
      </c>
      <c r="E4667" s="19">
        <f>0.5*$E$4631+0.5*$Z$4687</f>
        <v/>
      </c>
      <c r="F4667" s="19">
        <f>$Z$4688</f>
        <v/>
      </c>
    </row>
    <row r="4668">
      <c r="D4668" s="19">
        <f>IF(ABS(IF(ABS($E$4632)&gt;0.000000001,$E$4632,0.000000001))=0,0,IF($E$3648&lt;=$B$3633,0,IF(ABS(IF(ABS($E$4632)&gt;0.000000001,$E$4632,0.000000001))&gt;=8*$B$3635,$H$3648,0.5*$H$3648*(ABS(IF(ABS($E$4632)&gt;0.000000001,$E$4632,0.000000001))/$B$3635)^(1/3)))/ABS(IF(ABS($E$4632)&gt;0.000000001,$E$4632,0.000000001))*$I$3648)</f>
        <v/>
      </c>
      <c r="E4668" s="19">
        <f>0.5*$E$4632+0.5*$Z$4689</f>
        <v/>
      </c>
      <c r="F4668" s="19">
        <f>$Z$4690</f>
        <v/>
      </c>
    </row>
    <row r="4669">
      <c r="D4669" s="19">
        <f>IF(ABS(IF(ABS($E$4633)&gt;0.000000001,$E$4633,0.000000001))=0,0,IF($E$3649&lt;=$B$3633,0,IF(ABS(IF(ABS($E$4633)&gt;0.000000001,$E$4633,0.000000001))&gt;=8*$B$3635,$H$3649,0.5*$H$3649*(ABS(IF(ABS($E$4633)&gt;0.000000001,$E$4633,0.000000001))/$B$3635)^(1/3)))/ABS(IF(ABS($E$4633)&gt;0.000000001,$E$4633,0.000000001))*$I$3649)</f>
        <v/>
      </c>
      <c r="E4669" s="19">
        <f>0.5*$E$4633+0.5*$Z$4691</f>
        <v/>
      </c>
      <c r="F4669" s="19">
        <f>$Z$4692</f>
        <v/>
      </c>
    </row>
    <row r="4671">
      <c r="D4671" s="21">
        <f>$B$3624+$D$4659</f>
        <v/>
      </c>
      <c r="E4671" s="21">
        <f>$B$3625</f>
        <v/>
      </c>
      <c r="F4671" s="21">
        <f>-$B$3624</f>
        <v/>
      </c>
      <c r="G4671" s="21">
        <f>$B$3625</f>
        <v/>
      </c>
      <c r="H4671" s="21" t="n">
        <v>0</v>
      </c>
      <c r="I4671" s="21" t="n">
        <v>0</v>
      </c>
      <c r="J4671" s="21" t="n">
        <v>0</v>
      </c>
      <c r="K4671" s="21" t="n">
        <v>0</v>
      </c>
      <c r="L4671" s="21" t="n">
        <v>0</v>
      </c>
      <c r="M4671" s="21" t="n">
        <v>0</v>
      </c>
      <c r="N4671" s="21" t="n">
        <v>0</v>
      </c>
      <c r="O4671" s="21" t="n">
        <v>0</v>
      </c>
      <c r="P4671" s="21" t="n">
        <v>0</v>
      </c>
      <c r="Q4671" s="21" t="n">
        <v>0</v>
      </c>
      <c r="R4671" s="21" t="n">
        <v>0</v>
      </c>
      <c r="S4671" s="21" t="n">
        <v>0</v>
      </c>
      <c r="T4671" s="21" t="n">
        <v>0</v>
      </c>
      <c r="U4671" s="21" t="n">
        <v>0</v>
      </c>
      <c r="V4671" s="21" t="n">
        <v>0</v>
      </c>
      <c r="W4671" s="21" t="n">
        <v>0</v>
      </c>
      <c r="X4671" s="21" t="n">
        <v>0</v>
      </c>
      <c r="Y4671" s="21" t="n">
        <v>0</v>
      </c>
      <c r="Z4671" s="19">
        <f t="array" ref="Z4671:Z4692">MMULT(MINVERSE($D$4671:$Y$4692),$D$3651:$D$3672)</f>
        <v/>
      </c>
    </row>
    <row r="4672">
      <c r="D4672" s="21">
        <f>$B$3625</f>
        <v/>
      </c>
      <c r="E4672" s="21">
        <f>$B$3626</f>
        <v/>
      </c>
      <c r="F4672" s="21">
        <f>-$B$3625</f>
        <v/>
      </c>
      <c r="G4672" s="21">
        <f>$B$3627</f>
        <v/>
      </c>
      <c r="H4672" s="21" t="n">
        <v>0</v>
      </c>
      <c r="I4672" s="21" t="n">
        <v>0</v>
      </c>
      <c r="J4672" s="21" t="n">
        <v>0</v>
      </c>
      <c r="K4672" s="21" t="n">
        <v>0</v>
      </c>
      <c r="L4672" s="21" t="n">
        <v>0</v>
      </c>
      <c r="M4672" s="21" t="n">
        <v>0</v>
      </c>
      <c r="N4672" s="21" t="n">
        <v>0</v>
      </c>
      <c r="O4672" s="21" t="n">
        <v>0</v>
      </c>
      <c r="P4672" s="21" t="n">
        <v>0</v>
      </c>
      <c r="Q4672" s="21" t="n">
        <v>0</v>
      </c>
      <c r="R4672" s="21" t="n">
        <v>0</v>
      </c>
      <c r="S4672" s="21" t="n">
        <v>0</v>
      </c>
      <c r="T4672" s="21" t="n">
        <v>0</v>
      </c>
      <c r="U4672" s="21" t="n">
        <v>0</v>
      </c>
      <c r="V4672" s="21" t="n">
        <v>0</v>
      </c>
      <c r="W4672" s="21" t="n">
        <v>0</v>
      </c>
      <c r="X4672" s="21" t="n">
        <v>0</v>
      </c>
      <c r="Y4672" s="21" t="n">
        <v>0</v>
      </c>
      <c r="Z4672" s="19" t="n"/>
    </row>
    <row r="4673">
      <c r="D4673" s="21">
        <f>-$B$3624</f>
        <v/>
      </c>
      <c r="E4673" s="21">
        <f>-$B$3625</f>
        <v/>
      </c>
      <c r="F4673" s="21">
        <f>2*$B$3624+$D$4660</f>
        <v/>
      </c>
      <c r="G4673" s="21">
        <f>0</f>
        <v/>
      </c>
      <c r="H4673" s="21">
        <f>-$B$3624</f>
        <v/>
      </c>
      <c r="I4673" s="21">
        <f>$B$3625</f>
        <v/>
      </c>
      <c r="J4673" s="21" t="n">
        <v>0</v>
      </c>
      <c r="K4673" s="21" t="n">
        <v>0</v>
      </c>
      <c r="L4673" s="21" t="n">
        <v>0</v>
      </c>
      <c r="M4673" s="21" t="n">
        <v>0</v>
      </c>
      <c r="N4673" s="21" t="n">
        <v>0</v>
      </c>
      <c r="O4673" s="21" t="n">
        <v>0</v>
      </c>
      <c r="P4673" s="21" t="n">
        <v>0</v>
      </c>
      <c r="Q4673" s="21" t="n">
        <v>0</v>
      </c>
      <c r="R4673" s="21" t="n">
        <v>0</v>
      </c>
      <c r="S4673" s="21" t="n">
        <v>0</v>
      </c>
      <c r="T4673" s="21" t="n">
        <v>0</v>
      </c>
      <c r="U4673" s="21" t="n">
        <v>0</v>
      </c>
      <c r="V4673" s="21" t="n">
        <v>0</v>
      </c>
      <c r="W4673" s="21" t="n">
        <v>0</v>
      </c>
      <c r="X4673" s="21" t="n">
        <v>0</v>
      </c>
      <c r="Y4673" s="21" t="n">
        <v>0</v>
      </c>
      <c r="Z4673" s="19" t="n"/>
    </row>
    <row r="4674">
      <c r="D4674" s="21">
        <f>$B$3625</f>
        <v/>
      </c>
      <c r="E4674" s="21">
        <f>$B$3627</f>
        <v/>
      </c>
      <c r="F4674" s="21">
        <f>0</f>
        <v/>
      </c>
      <c r="G4674" s="21">
        <f>2*$B$3626</f>
        <v/>
      </c>
      <c r="H4674" s="21">
        <f>-$B$3625</f>
        <v/>
      </c>
      <c r="I4674" s="21">
        <f>$B$3627</f>
        <v/>
      </c>
      <c r="J4674" s="21" t="n">
        <v>0</v>
      </c>
      <c r="K4674" s="21" t="n">
        <v>0</v>
      </c>
      <c r="L4674" s="21" t="n">
        <v>0</v>
      </c>
      <c r="M4674" s="21" t="n">
        <v>0</v>
      </c>
      <c r="N4674" s="21" t="n">
        <v>0</v>
      </c>
      <c r="O4674" s="21" t="n">
        <v>0</v>
      </c>
      <c r="P4674" s="21" t="n">
        <v>0</v>
      </c>
      <c r="Q4674" s="21" t="n">
        <v>0</v>
      </c>
      <c r="R4674" s="21" t="n">
        <v>0</v>
      </c>
      <c r="S4674" s="21" t="n">
        <v>0</v>
      </c>
      <c r="T4674" s="21" t="n">
        <v>0</v>
      </c>
      <c r="U4674" s="21" t="n">
        <v>0</v>
      </c>
      <c r="V4674" s="21" t="n">
        <v>0</v>
      </c>
      <c r="W4674" s="21" t="n">
        <v>0</v>
      </c>
      <c r="X4674" s="21" t="n">
        <v>0</v>
      </c>
      <c r="Y4674" s="21" t="n">
        <v>0</v>
      </c>
      <c r="Z4674" s="19" t="n"/>
    </row>
    <row r="4675">
      <c r="D4675" s="21" t="n">
        <v>0</v>
      </c>
      <c r="E4675" s="21" t="n">
        <v>0</v>
      </c>
      <c r="F4675" s="21">
        <f>-$B$3624</f>
        <v/>
      </c>
      <c r="G4675" s="21">
        <f>-$B$3625</f>
        <v/>
      </c>
      <c r="H4675" s="21">
        <f>2*$B$3624+$D$4661</f>
        <v/>
      </c>
      <c r="I4675" s="21">
        <f>0</f>
        <v/>
      </c>
      <c r="J4675" s="21">
        <f>-$B$3624</f>
        <v/>
      </c>
      <c r="K4675" s="21">
        <f>$B$3625</f>
        <v/>
      </c>
      <c r="L4675" s="21" t="n">
        <v>0</v>
      </c>
      <c r="M4675" s="21" t="n">
        <v>0</v>
      </c>
      <c r="N4675" s="21" t="n">
        <v>0</v>
      </c>
      <c r="O4675" s="21" t="n">
        <v>0</v>
      </c>
      <c r="P4675" s="21" t="n">
        <v>0</v>
      </c>
      <c r="Q4675" s="21" t="n">
        <v>0</v>
      </c>
      <c r="R4675" s="21" t="n">
        <v>0</v>
      </c>
      <c r="S4675" s="21" t="n">
        <v>0</v>
      </c>
      <c r="T4675" s="21" t="n">
        <v>0</v>
      </c>
      <c r="U4675" s="21" t="n">
        <v>0</v>
      </c>
      <c r="V4675" s="21" t="n">
        <v>0</v>
      </c>
      <c r="W4675" s="21" t="n">
        <v>0</v>
      </c>
      <c r="X4675" s="21" t="n">
        <v>0</v>
      </c>
      <c r="Y4675" s="21" t="n">
        <v>0</v>
      </c>
      <c r="Z4675" s="19" t="n"/>
    </row>
    <row r="4676">
      <c r="D4676" s="21" t="n">
        <v>0</v>
      </c>
      <c r="E4676" s="21" t="n">
        <v>0</v>
      </c>
      <c r="F4676" s="21">
        <f>$B$3625</f>
        <v/>
      </c>
      <c r="G4676" s="21">
        <f>$B$3627</f>
        <v/>
      </c>
      <c r="H4676" s="21">
        <f>0</f>
        <v/>
      </c>
      <c r="I4676" s="21">
        <f>2*$B$3626</f>
        <v/>
      </c>
      <c r="J4676" s="21">
        <f>-$B$3625</f>
        <v/>
      </c>
      <c r="K4676" s="21">
        <f>$B$3627</f>
        <v/>
      </c>
      <c r="L4676" s="21" t="n">
        <v>0</v>
      </c>
      <c r="M4676" s="21" t="n">
        <v>0</v>
      </c>
      <c r="N4676" s="21" t="n">
        <v>0</v>
      </c>
      <c r="O4676" s="21" t="n">
        <v>0</v>
      </c>
      <c r="P4676" s="21" t="n">
        <v>0</v>
      </c>
      <c r="Q4676" s="21" t="n">
        <v>0</v>
      </c>
      <c r="R4676" s="21" t="n">
        <v>0</v>
      </c>
      <c r="S4676" s="21" t="n">
        <v>0</v>
      </c>
      <c r="T4676" s="21" t="n">
        <v>0</v>
      </c>
      <c r="U4676" s="21" t="n">
        <v>0</v>
      </c>
      <c r="V4676" s="21" t="n">
        <v>0</v>
      </c>
      <c r="W4676" s="21" t="n">
        <v>0</v>
      </c>
      <c r="X4676" s="21" t="n">
        <v>0</v>
      </c>
      <c r="Y4676" s="21" t="n">
        <v>0</v>
      </c>
      <c r="Z4676" s="19" t="n"/>
    </row>
    <row r="4677">
      <c r="D4677" s="21" t="n">
        <v>0</v>
      </c>
      <c r="E4677" s="21" t="n">
        <v>0</v>
      </c>
      <c r="F4677" s="21" t="n">
        <v>0</v>
      </c>
      <c r="G4677" s="21" t="n">
        <v>0</v>
      </c>
      <c r="H4677" s="21">
        <f>-$B$3624</f>
        <v/>
      </c>
      <c r="I4677" s="21">
        <f>-$B$3625</f>
        <v/>
      </c>
      <c r="J4677" s="21">
        <f>2*$B$3624+$D$4662</f>
        <v/>
      </c>
      <c r="K4677" s="21">
        <f>0</f>
        <v/>
      </c>
      <c r="L4677" s="21">
        <f>-$B$3624</f>
        <v/>
      </c>
      <c r="M4677" s="21">
        <f>$B$3625</f>
        <v/>
      </c>
      <c r="N4677" s="21" t="n">
        <v>0</v>
      </c>
      <c r="O4677" s="21" t="n">
        <v>0</v>
      </c>
      <c r="P4677" s="21" t="n">
        <v>0</v>
      </c>
      <c r="Q4677" s="21" t="n">
        <v>0</v>
      </c>
      <c r="R4677" s="21" t="n">
        <v>0</v>
      </c>
      <c r="S4677" s="21" t="n">
        <v>0</v>
      </c>
      <c r="T4677" s="21" t="n">
        <v>0</v>
      </c>
      <c r="U4677" s="21" t="n">
        <v>0</v>
      </c>
      <c r="V4677" s="21" t="n">
        <v>0</v>
      </c>
      <c r="W4677" s="21" t="n">
        <v>0</v>
      </c>
      <c r="X4677" s="21" t="n">
        <v>0</v>
      </c>
      <c r="Y4677" s="21" t="n">
        <v>0</v>
      </c>
      <c r="Z4677" s="19" t="n"/>
    </row>
    <row r="4678">
      <c r="D4678" s="21" t="n">
        <v>0</v>
      </c>
      <c r="E4678" s="21" t="n">
        <v>0</v>
      </c>
      <c r="F4678" s="21" t="n">
        <v>0</v>
      </c>
      <c r="G4678" s="21" t="n">
        <v>0</v>
      </c>
      <c r="H4678" s="21">
        <f>$B$3625</f>
        <v/>
      </c>
      <c r="I4678" s="21">
        <f>$B$3627</f>
        <v/>
      </c>
      <c r="J4678" s="21">
        <f>0</f>
        <v/>
      </c>
      <c r="K4678" s="21">
        <f>2*$B$3626</f>
        <v/>
      </c>
      <c r="L4678" s="21">
        <f>-$B$3625</f>
        <v/>
      </c>
      <c r="M4678" s="21">
        <f>$B$3627</f>
        <v/>
      </c>
      <c r="N4678" s="21" t="n">
        <v>0</v>
      </c>
      <c r="O4678" s="21" t="n">
        <v>0</v>
      </c>
      <c r="P4678" s="21" t="n">
        <v>0</v>
      </c>
      <c r="Q4678" s="21" t="n">
        <v>0</v>
      </c>
      <c r="R4678" s="21" t="n">
        <v>0</v>
      </c>
      <c r="S4678" s="21" t="n">
        <v>0</v>
      </c>
      <c r="T4678" s="21" t="n">
        <v>0</v>
      </c>
      <c r="U4678" s="21" t="n">
        <v>0</v>
      </c>
      <c r="V4678" s="21" t="n">
        <v>0</v>
      </c>
      <c r="W4678" s="21" t="n">
        <v>0</v>
      </c>
      <c r="X4678" s="21" t="n">
        <v>0</v>
      </c>
      <c r="Y4678" s="21" t="n">
        <v>0</v>
      </c>
      <c r="Z4678" s="19" t="n"/>
    </row>
    <row r="4679">
      <c r="D4679" s="21" t="n">
        <v>0</v>
      </c>
      <c r="E4679" s="21" t="n">
        <v>0</v>
      </c>
      <c r="F4679" s="21" t="n">
        <v>0</v>
      </c>
      <c r="G4679" s="21" t="n">
        <v>0</v>
      </c>
      <c r="H4679" s="21" t="n">
        <v>0</v>
      </c>
      <c r="I4679" s="21" t="n">
        <v>0</v>
      </c>
      <c r="J4679" s="21">
        <f>-$B$3624</f>
        <v/>
      </c>
      <c r="K4679" s="21">
        <f>-$B$3625</f>
        <v/>
      </c>
      <c r="L4679" s="21">
        <f>2*$B$3624+$D$4663</f>
        <v/>
      </c>
      <c r="M4679" s="21">
        <f>0</f>
        <v/>
      </c>
      <c r="N4679" s="21">
        <f>-$B$3624</f>
        <v/>
      </c>
      <c r="O4679" s="21">
        <f>$B$3625</f>
        <v/>
      </c>
      <c r="P4679" s="21" t="n">
        <v>0</v>
      </c>
      <c r="Q4679" s="21" t="n">
        <v>0</v>
      </c>
      <c r="R4679" s="21" t="n">
        <v>0</v>
      </c>
      <c r="S4679" s="21" t="n">
        <v>0</v>
      </c>
      <c r="T4679" s="21" t="n">
        <v>0</v>
      </c>
      <c r="U4679" s="21" t="n">
        <v>0</v>
      </c>
      <c r="V4679" s="21" t="n">
        <v>0</v>
      </c>
      <c r="W4679" s="21" t="n">
        <v>0</v>
      </c>
      <c r="X4679" s="21" t="n">
        <v>0</v>
      </c>
      <c r="Y4679" s="21" t="n">
        <v>0</v>
      </c>
      <c r="Z4679" s="19" t="n"/>
    </row>
    <row r="4680">
      <c r="D4680" s="21" t="n">
        <v>0</v>
      </c>
      <c r="E4680" s="21" t="n">
        <v>0</v>
      </c>
      <c r="F4680" s="21" t="n">
        <v>0</v>
      </c>
      <c r="G4680" s="21" t="n">
        <v>0</v>
      </c>
      <c r="H4680" s="21" t="n">
        <v>0</v>
      </c>
      <c r="I4680" s="21" t="n">
        <v>0</v>
      </c>
      <c r="J4680" s="21">
        <f>$B$3625</f>
        <v/>
      </c>
      <c r="K4680" s="21">
        <f>$B$3627</f>
        <v/>
      </c>
      <c r="L4680" s="21">
        <f>0</f>
        <v/>
      </c>
      <c r="M4680" s="21">
        <f>2*$B$3626</f>
        <v/>
      </c>
      <c r="N4680" s="21">
        <f>-$B$3625</f>
        <v/>
      </c>
      <c r="O4680" s="21">
        <f>$B$3627</f>
        <v/>
      </c>
      <c r="P4680" s="21" t="n">
        <v>0</v>
      </c>
      <c r="Q4680" s="21" t="n">
        <v>0</v>
      </c>
      <c r="R4680" s="21" t="n">
        <v>0</v>
      </c>
      <c r="S4680" s="21" t="n">
        <v>0</v>
      </c>
      <c r="T4680" s="21" t="n">
        <v>0</v>
      </c>
      <c r="U4680" s="21" t="n">
        <v>0</v>
      </c>
      <c r="V4680" s="21" t="n">
        <v>0</v>
      </c>
      <c r="W4680" s="21" t="n">
        <v>0</v>
      </c>
      <c r="X4680" s="21" t="n">
        <v>0</v>
      </c>
      <c r="Y4680" s="21" t="n">
        <v>0</v>
      </c>
      <c r="Z4680" s="19" t="n"/>
    </row>
    <row r="4681">
      <c r="D4681" s="21" t="n">
        <v>0</v>
      </c>
      <c r="E4681" s="21" t="n">
        <v>0</v>
      </c>
      <c r="F4681" s="21" t="n">
        <v>0</v>
      </c>
      <c r="G4681" s="21" t="n">
        <v>0</v>
      </c>
      <c r="H4681" s="21" t="n">
        <v>0</v>
      </c>
      <c r="I4681" s="21" t="n">
        <v>0</v>
      </c>
      <c r="J4681" s="21" t="n">
        <v>0</v>
      </c>
      <c r="K4681" s="21" t="n">
        <v>0</v>
      </c>
      <c r="L4681" s="21">
        <f>-$B$3624</f>
        <v/>
      </c>
      <c r="M4681" s="21">
        <f>-$B$3625</f>
        <v/>
      </c>
      <c r="N4681" s="21">
        <f>2*$B$3624+$D$4664</f>
        <v/>
      </c>
      <c r="O4681" s="21">
        <f>0</f>
        <v/>
      </c>
      <c r="P4681" s="21">
        <f>-$B$3624</f>
        <v/>
      </c>
      <c r="Q4681" s="21">
        <f>$B$3625</f>
        <v/>
      </c>
      <c r="R4681" s="21" t="n">
        <v>0</v>
      </c>
      <c r="S4681" s="21" t="n">
        <v>0</v>
      </c>
      <c r="T4681" s="21" t="n">
        <v>0</v>
      </c>
      <c r="U4681" s="21" t="n">
        <v>0</v>
      </c>
      <c r="V4681" s="21" t="n">
        <v>0</v>
      </c>
      <c r="W4681" s="21" t="n">
        <v>0</v>
      </c>
      <c r="X4681" s="21" t="n">
        <v>0</v>
      </c>
      <c r="Y4681" s="21" t="n">
        <v>0</v>
      </c>
      <c r="Z4681" s="19" t="n"/>
    </row>
    <row r="4682">
      <c r="D4682" s="21" t="n">
        <v>0</v>
      </c>
      <c r="E4682" s="21" t="n">
        <v>0</v>
      </c>
      <c r="F4682" s="21" t="n">
        <v>0</v>
      </c>
      <c r="G4682" s="21" t="n">
        <v>0</v>
      </c>
      <c r="H4682" s="21" t="n">
        <v>0</v>
      </c>
      <c r="I4682" s="21" t="n">
        <v>0</v>
      </c>
      <c r="J4682" s="21" t="n">
        <v>0</v>
      </c>
      <c r="K4682" s="21" t="n">
        <v>0</v>
      </c>
      <c r="L4682" s="21">
        <f>$B$3625</f>
        <v/>
      </c>
      <c r="M4682" s="21">
        <f>$B$3627</f>
        <v/>
      </c>
      <c r="N4682" s="21">
        <f>0</f>
        <v/>
      </c>
      <c r="O4682" s="21">
        <f>2*$B$3626</f>
        <v/>
      </c>
      <c r="P4682" s="21">
        <f>-$B$3625</f>
        <v/>
      </c>
      <c r="Q4682" s="21">
        <f>$B$3627</f>
        <v/>
      </c>
      <c r="R4682" s="21" t="n">
        <v>0</v>
      </c>
      <c r="S4682" s="21" t="n">
        <v>0</v>
      </c>
      <c r="T4682" s="21" t="n">
        <v>0</v>
      </c>
      <c r="U4682" s="21" t="n">
        <v>0</v>
      </c>
      <c r="V4682" s="21" t="n">
        <v>0</v>
      </c>
      <c r="W4682" s="21" t="n">
        <v>0</v>
      </c>
      <c r="X4682" s="21" t="n">
        <v>0</v>
      </c>
      <c r="Y4682" s="21" t="n">
        <v>0</v>
      </c>
      <c r="Z4682" s="19" t="n"/>
    </row>
    <row r="4683">
      <c r="D4683" s="21" t="n">
        <v>0</v>
      </c>
      <c r="E4683" s="21" t="n">
        <v>0</v>
      </c>
      <c r="F4683" s="21" t="n">
        <v>0</v>
      </c>
      <c r="G4683" s="21" t="n">
        <v>0</v>
      </c>
      <c r="H4683" s="21" t="n">
        <v>0</v>
      </c>
      <c r="I4683" s="21" t="n">
        <v>0</v>
      </c>
      <c r="J4683" s="21" t="n">
        <v>0</v>
      </c>
      <c r="K4683" s="21" t="n">
        <v>0</v>
      </c>
      <c r="L4683" s="21" t="n">
        <v>0</v>
      </c>
      <c r="M4683" s="21" t="n">
        <v>0</v>
      </c>
      <c r="N4683" s="21">
        <f>-$B$3624</f>
        <v/>
      </c>
      <c r="O4683" s="21">
        <f>-$B$3625</f>
        <v/>
      </c>
      <c r="P4683" s="21">
        <f>2*$B$3624+$D$4665</f>
        <v/>
      </c>
      <c r="Q4683" s="21">
        <f>0</f>
        <v/>
      </c>
      <c r="R4683" s="21">
        <f>-$B$3624</f>
        <v/>
      </c>
      <c r="S4683" s="21">
        <f>$B$3625</f>
        <v/>
      </c>
      <c r="T4683" s="21" t="n">
        <v>0</v>
      </c>
      <c r="U4683" s="21" t="n">
        <v>0</v>
      </c>
      <c r="V4683" s="21" t="n">
        <v>0</v>
      </c>
      <c r="W4683" s="21" t="n">
        <v>0</v>
      </c>
      <c r="X4683" s="21" t="n">
        <v>0</v>
      </c>
      <c r="Y4683" s="21" t="n">
        <v>0</v>
      </c>
      <c r="Z4683" s="19" t="n"/>
    </row>
    <row r="4684">
      <c r="D4684" s="21" t="n">
        <v>0</v>
      </c>
      <c r="E4684" s="21" t="n">
        <v>0</v>
      </c>
      <c r="F4684" s="21" t="n">
        <v>0</v>
      </c>
      <c r="G4684" s="21" t="n">
        <v>0</v>
      </c>
      <c r="H4684" s="21" t="n">
        <v>0</v>
      </c>
      <c r="I4684" s="21" t="n">
        <v>0</v>
      </c>
      <c r="J4684" s="21" t="n">
        <v>0</v>
      </c>
      <c r="K4684" s="21" t="n">
        <v>0</v>
      </c>
      <c r="L4684" s="21" t="n">
        <v>0</v>
      </c>
      <c r="M4684" s="21" t="n">
        <v>0</v>
      </c>
      <c r="N4684" s="21">
        <f>$B$3625</f>
        <v/>
      </c>
      <c r="O4684" s="21">
        <f>$B$3627</f>
        <v/>
      </c>
      <c r="P4684" s="21">
        <f>0</f>
        <v/>
      </c>
      <c r="Q4684" s="21">
        <f>2*$B$3626</f>
        <v/>
      </c>
      <c r="R4684" s="21">
        <f>-$B$3625</f>
        <v/>
      </c>
      <c r="S4684" s="21">
        <f>$B$3627</f>
        <v/>
      </c>
      <c r="T4684" s="21" t="n">
        <v>0</v>
      </c>
      <c r="U4684" s="21" t="n">
        <v>0</v>
      </c>
      <c r="V4684" s="21" t="n">
        <v>0</v>
      </c>
      <c r="W4684" s="21" t="n">
        <v>0</v>
      </c>
      <c r="X4684" s="21" t="n">
        <v>0</v>
      </c>
      <c r="Y4684" s="21" t="n">
        <v>0</v>
      </c>
      <c r="Z4684" s="19" t="n"/>
    </row>
    <row r="4685">
      <c r="D4685" s="21" t="n">
        <v>0</v>
      </c>
      <c r="E4685" s="21" t="n">
        <v>0</v>
      </c>
      <c r="F4685" s="21" t="n">
        <v>0</v>
      </c>
      <c r="G4685" s="21" t="n">
        <v>0</v>
      </c>
      <c r="H4685" s="21" t="n">
        <v>0</v>
      </c>
      <c r="I4685" s="21" t="n">
        <v>0</v>
      </c>
      <c r="J4685" s="21" t="n">
        <v>0</v>
      </c>
      <c r="K4685" s="21" t="n">
        <v>0</v>
      </c>
      <c r="L4685" s="21" t="n">
        <v>0</v>
      </c>
      <c r="M4685" s="21" t="n">
        <v>0</v>
      </c>
      <c r="N4685" s="21" t="n">
        <v>0</v>
      </c>
      <c r="O4685" s="21" t="n">
        <v>0</v>
      </c>
      <c r="P4685" s="21">
        <f>-$B$3624</f>
        <v/>
      </c>
      <c r="Q4685" s="21">
        <f>-$B$3625</f>
        <v/>
      </c>
      <c r="R4685" s="21">
        <f>2*$B$3624+$D$4666</f>
        <v/>
      </c>
      <c r="S4685" s="21">
        <f>0</f>
        <v/>
      </c>
      <c r="T4685" s="21">
        <f>-$B$3624</f>
        <v/>
      </c>
      <c r="U4685" s="21">
        <f>$B$3625</f>
        <v/>
      </c>
      <c r="V4685" s="21" t="n">
        <v>0</v>
      </c>
      <c r="W4685" s="21" t="n">
        <v>0</v>
      </c>
      <c r="X4685" s="21" t="n">
        <v>0</v>
      </c>
      <c r="Y4685" s="21" t="n">
        <v>0</v>
      </c>
      <c r="Z4685" s="19" t="n"/>
    </row>
    <row r="4686">
      <c r="D4686" s="21" t="n">
        <v>0</v>
      </c>
      <c r="E4686" s="21" t="n">
        <v>0</v>
      </c>
      <c r="F4686" s="21" t="n">
        <v>0</v>
      </c>
      <c r="G4686" s="21" t="n">
        <v>0</v>
      </c>
      <c r="H4686" s="21" t="n">
        <v>0</v>
      </c>
      <c r="I4686" s="21" t="n">
        <v>0</v>
      </c>
      <c r="J4686" s="21" t="n">
        <v>0</v>
      </c>
      <c r="K4686" s="21" t="n">
        <v>0</v>
      </c>
      <c r="L4686" s="21" t="n">
        <v>0</v>
      </c>
      <c r="M4686" s="21" t="n">
        <v>0</v>
      </c>
      <c r="N4686" s="21" t="n">
        <v>0</v>
      </c>
      <c r="O4686" s="21" t="n">
        <v>0</v>
      </c>
      <c r="P4686" s="21">
        <f>$B$3625</f>
        <v/>
      </c>
      <c r="Q4686" s="21">
        <f>$B$3627</f>
        <v/>
      </c>
      <c r="R4686" s="21">
        <f>0</f>
        <v/>
      </c>
      <c r="S4686" s="21">
        <f>2*$B$3626</f>
        <v/>
      </c>
      <c r="T4686" s="21">
        <f>-$B$3625</f>
        <v/>
      </c>
      <c r="U4686" s="21">
        <f>$B$3627</f>
        <v/>
      </c>
      <c r="V4686" s="21" t="n">
        <v>0</v>
      </c>
      <c r="W4686" s="21" t="n">
        <v>0</v>
      </c>
      <c r="X4686" s="21" t="n">
        <v>0</v>
      </c>
      <c r="Y4686" s="21" t="n">
        <v>0</v>
      </c>
      <c r="Z4686" s="19" t="n"/>
    </row>
    <row r="4687">
      <c r="D4687" s="21" t="n">
        <v>0</v>
      </c>
      <c r="E4687" s="21" t="n">
        <v>0</v>
      </c>
      <c r="F4687" s="21" t="n">
        <v>0</v>
      </c>
      <c r="G4687" s="21" t="n">
        <v>0</v>
      </c>
      <c r="H4687" s="21" t="n">
        <v>0</v>
      </c>
      <c r="I4687" s="21" t="n">
        <v>0</v>
      </c>
      <c r="J4687" s="21" t="n">
        <v>0</v>
      </c>
      <c r="K4687" s="21" t="n">
        <v>0</v>
      </c>
      <c r="L4687" s="21" t="n">
        <v>0</v>
      </c>
      <c r="M4687" s="21" t="n">
        <v>0</v>
      </c>
      <c r="N4687" s="21" t="n">
        <v>0</v>
      </c>
      <c r="O4687" s="21" t="n">
        <v>0</v>
      </c>
      <c r="P4687" s="21" t="n">
        <v>0</v>
      </c>
      <c r="Q4687" s="21" t="n">
        <v>0</v>
      </c>
      <c r="R4687" s="21">
        <f>-$B$3624</f>
        <v/>
      </c>
      <c r="S4687" s="21">
        <f>-$B$3625</f>
        <v/>
      </c>
      <c r="T4687" s="21">
        <f>2*$B$3624+$D$4667</f>
        <v/>
      </c>
      <c r="U4687" s="21">
        <f>0</f>
        <v/>
      </c>
      <c r="V4687" s="21">
        <f>-$B$3624</f>
        <v/>
      </c>
      <c r="W4687" s="21">
        <f>$B$3625</f>
        <v/>
      </c>
      <c r="X4687" s="21" t="n">
        <v>0</v>
      </c>
      <c r="Y4687" s="21" t="n">
        <v>0</v>
      </c>
      <c r="Z4687" s="19" t="n"/>
    </row>
    <row r="4688">
      <c r="D4688" s="21" t="n">
        <v>0</v>
      </c>
      <c r="E4688" s="21" t="n">
        <v>0</v>
      </c>
      <c r="F4688" s="21" t="n">
        <v>0</v>
      </c>
      <c r="G4688" s="21" t="n">
        <v>0</v>
      </c>
      <c r="H4688" s="21" t="n">
        <v>0</v>
      </c>
      <c r="I4688" s="21" t="n">
        <v>0</v>
      </c>
      <c r="J4688" s="21" t="n">
        <v>0</v>
      </c>
      <c r="K4688" s="21" t="n">
        <v>0</v>
      </c>
      <c r="L4688" s="21" t="n">
        <v>0</v>
      </c>
      <c r="M4688" s="21" t="n">
        <v>0</v>
      </c>
      <c r="N4688" s="21" t="n">
        <v>0</v>
      </c>
      <c r="O4688" s="21" t="n">
        <v>0</v>
      </c>
      <c r="P4688" s="21" t="n">
        <v>0</v>
      </c>
      <c r="Q4688" s="21" t="n">
        <v>0</v>
      </c>
      <c r="R4688" s="21">
        <f>$B$3625</f>
        <v/>
      </c>
      <c r="S4688" s="21">
        <f>$B$3627</f>
        <v/>
      </c>
      <c r="T4688" s="21">
        <f>0</f>
        <v/>
      </c>
      <c r="U4688" s="21">
        <f>2*$B$3626</f>
        <v/>
      </c>
      <c r="V4688" s="21">
        <f>-$B$3625</f>
        <v/>
      </c>
      <c r="W4688" s="21">
        <f>$B$3627</f>
        <v/>
      </c>
      <c r="X4688" s="21" t="n">
        <v>0</v>
      </c>
      <c r="Y4688" s="21" t="n">
        <v>0</v>
      </c>
      <c r="Z4688" s="19" t="n"/>
    </row>
    <row r="4689">
      <c r="D4689" s="21" t="n">
        <v>0</v>
      </c>
      <c r="E4689" s="21" t="n">
        <v>0</v>
      </c>
      <c r="F4689" s="21" t="n">
        <v>0</v>
      </c>
      <c r="G4689" s="21" t="n">
        <v>0</v>
      </c>
      <c r="H4689" s="21" t="n">
        <v>0</v>
      </c>
      <c r="I4689" s="21" t="n">
        <v>0</v>
      </c>
      <c r="J4689" s="21" t="n">
        <v>0</v>
      </c>
      <c r="K4689" s="21" t="n">
        <v>0</v>
      </c>
      <c r="L4689" s="21" t="n">
        <v>0</v>
      </c>
      <c r="M4689" s="21" t="n">
        <v>0</v>
      </c>
      <c r="N4689" s="21" t="n">
        <v>0</v>
      </c>
      <c r="O4689" s="21" t="n">
        <v>0</v>
      </c>
      <c r="P4689" s="21" t="n">
        <v>0</v>
      </c>
      <c r="Q4689" s="21" t="n">
        <v>0</v>
      </c>
      <c r="R4689" s="21" t="n">
        <v>0</v>
      </c>
      <c r="S4689" s="21" t="n">
        <v>0</v>
      </c>
      <c r="T4689" s="21">
        <f>-$B$3624</f>
        <v/>
      </c>
      <c r="U4689" s="21">
        <f>-$B$3625</f>
        <v/>
      </c>
      <c r="V4689" s="21">
        <f>2*$B$3624+$D$4668</f>
        <v/>
      </c>
      <c r="W4689" s="21">
        <f>0</f>
        <v/>
      </c>
      <c r="X4689" s="21">
        <f>-$B$3624</f>
        <v/>
      </c>
      <c r="Y4689" s="21">
        <f>$B$3625</f>
        <v/>
      </c>
      <c r="Z4689" s="19" t="n"/>
    </row>
    <row r="4690">
      <c r="D4690" s="21" t="n">
        <v>0</v>
      </c>
      <c r="E4690" s="21" t="n">
        <v>0</v>
      </c>
      <c r="F4690" s="21" t="n">
        <v>0</v>
      </c>
      <c r="G4690" s="21" t="n">
        <v>0</v>
      </c>
      <c r="H4690" s="21" t="n">
        <v>0</v>
      </c>
      <c r="I4690" s="21" t="n">
        <v>0</v>
      </c>
      <c r="J4690" s="21" t="n">
        <v>0</v>
      </c>
      <c r="K4690" s="21" t="n">
        <v>0</v>
      </c>
      <c r="L4690" s="21" t="n">
        <v>0</v>
      </c>
      <c r="M4690" s="21" t="n">
        <v>0</v>
      </c>
      <c r="N4690" s="21" t="n">
        <v>0</v>
      </c>
      <c r="O4690" s="21" t="n">
        <v>0</v>
      </c>
      <c r="P4690" s="21" t="n">
        <v>0</v>
      </c>
      <c r="Q4690" s="21" t="n">
        <v>0</v>
      </c>
      <c r="R4690" s="21" t="n">
        <v>0</v>
      </c>
      <c r="S4690" s="21" t="n">
        <v>0</v>
      </c>
      <c r="T4690" s="21">
        <f>$B$3625</f>
        <v/>
      </c>
      <c r="U4690" s="21">
        <f>$B$3627</f>
        <v/>
      </c>
      <c r="V4690" s="21">
        <f>0</f>
        <v/>
      </c>
      <c r="W4690" s="21">
        <f>2*$B$3626</f>
        <v/>
      </c>
      <c r="X4690" s="21">
        <f>-$B$3625</f>
        <v/>
      </c>
      <c r="Y4690" s="21">
        <f>$B$3627</f>
        <v/>
      </c>
      <c r="Z4690" s="19" t="n"/>
    </row>
    <row r="4691">
      <c r="D4691" s="21" t="n">
        <v>0</v>
      </c>
      <c r="E4691" s="21" t="n">
        <v>0</v>
      </c>
      <c r="F4691" s="21" t="n">
        <v>0</v>
      </c>
      <c r="G4691" s="21" t="n">
        <v>0</v>
      </c>
      <c r="H4691" s="21" t="n">
        <v>0</v>
      </c>
      <c r="I4691" s="21" t="n">
        <v>0</v>
      </c>
      <c r="J4691" s="21" t="n">
        <v>0</v>
      </c>
      <c r="K4691" s="21" t="n">
        <v>0</v>
      </c>
      <c r="L4691" s="21" t="n">
        <v>0</v>
      </c>
      <c r="M4691" s="21" t="n">
        <v>0</v>
      </c>
      <c r="N4691" s="21" t="n">
        <v>0</v>
      </c>
      <c r="O4691" s="21" t="n">
        <v>0</v>
      </c>
      <c r="P4691" s="21" t="n">
        <v>0</v>
      </c>
      <c r="Q4691" s="21" t="n">
        <v>0</v>
      </c>
      <c r="R4691" s="21" t="n">
        <v>0</v>
      </c>
      <c r="S4691" s="21" t="n">
        <v>0</v>
      </c>
      <c r="T4691" s="21" t="n">
        <v>0</v>
      </c>
      <c r="U4691" s="21" t="n">
        <v>0</v>
      </c>
      <c r="V4691" s="21">
        <f>-$B$3624</f>
        <v/>
      </c>
      <c r="W4691" s="21">
        <f>-$B$3625</f>
        <v/>
      </c>
      <c r="X4691" s="21">
        <f>$B$3624+$D$4669</f>
        <v/>
      </c>
      <c r="Y4691" s="21">
        <f>-$B$3625</f>
        <v/>
      </c>
      <c r="Z4691" s="19" t="n"/>
    </row>
    <row r="4692">
      <c r="D4692" s="21" t="n">
        <v>0</v>
      </c>
      <c r="E4692" s="21" t="n">
        <v>0</v>
      </c>
      <c r="F4692" s="21" t="n">
        <v>0</v>
      </c>
      <c r="G4692" s="21" t="n">
        <v>0</v>
      </c>
      <c r="H4692" s="21" t="n">
        <v>0</v>
      </c>
      <c r="I4692" s="21" t="n">
        <v>0</v>
      </c>
      <c r="J4692" s="21" t="n">
        <v>0</v>
      </c>
      <c r="K4692" s="21" t="n">
        <v>0</v>
      </c>
      <c r="L4692" s="21" t="n">
        <v>0</v>
      </c>
      <c r="M4692" s="21" t="n">
        <v>0</v>
      </c>
      <c r="N4692" s="21" t="n">
        <v>0</v>
      </c>
      <c r="O4692" s="21" t="n">
        <v>0</v>
      </c>
      <c r="P4692" s="21" t="n">
        <v>0</v>
      </c>
      <c r="Q4692" s="21" t="n">
        <v>0</v>
      </c>
      <c r="R4692" s="21" t="n">
        <v>0</v>
      </c>
      <c r="S4692" s="21" t="n">
        <v>0</v>
      </c>
      <c r="T4692" s="21" t="n">
        <v>0</v>
      </c>
      <c r="U4692" s="21" t="n">
        <v>0</v>
      </c>
      <c r="V4692" s="21">
        <f>$B$3625</f>
        <v/>
      </c>
      <c r="W4692" s="21">
        <f>$B$3627</f>
        <v/>
      </c>
      <c r="X4692" s="21">
        <f>-$B$3625</f>
        <v/>
      </c>
      <c r="Y4692" s="21">
        <f>$B$3626</f>
        <v/>
      </c>
      <c r="Z4692" s="19" t="n"/>
    </row>
    <row r="4694">
      <c r="A4694" s="8" t="inlineStr">
        <is>
          <t>gen 29</t>
        </is>
      </c>
    </row>
    <row r="4695">
      <c r="D4695" s="19">
        <f>IF(ABS(IF(ABS($E$4659)&gt;0.000000001,$E$4659,0.000000001))=0,0,IF($E$3639&lt;=$B$3633,0,IF(ABS(IF(ABS($E$4659)&gt;0.000000001,$E$4659,0.000000001))&gt;=8*$B$3635,$H$3639,0.5*$H$3639*(ABS(IF(ABS($E$4659)&gt;0.000000001,$E$4659,0.000000001))/$B$3635)^(1/3)))/ABS(IF(ABS($E$4659)&gt;0.000000001,$E$4659,0.000000001))*$I$3639)</f>
        <v/>
      </c>
      <c r="E4695" s="19">
        <f>0.5*$E$4659+0.5*$Z$4707</f>
        <v/>
      </c>
      <c r="F4695" s="19">
        <f>$Z$4708</f>
        <v/>
      </c>
    </row>
    <row r="4696">
      <c r="D4696" s="19">
        <f>IF(ABS(IF(ABS($E$4660)&gt;0.000000001,$E$4660,0.000000001))=0,0,IF($E$3640&lt;=$B$3633,0,IF(ABS(IF(ABS($E$4660)&gt;0.000000001,$E$4660,0.000000001))&gt;=8*$B$3635,$H$3640,0.5*$H$3640*(ABS(IF(ABS($E$4660)&gt;0.000000001,$E$4660,0.000000001))/$B$3635)^(1/3)))/ABS(IF(ABS($E$4660)&gt;0.000000001,$E$4660,0.000000001))*$I$3640)</f>
        <v/>
      </c>
      <c r="E4696" s="19">
        <f>0.5*$E$4660+0.5*$Z$4709</f>
        <v/>
      </c>
      <c r="F4696" s="19">
        <f>$Z$4710</f>
        <v/>
      </c>
    </row>
    <row r="4697">
      <c r="D4697" s="19">
        <f>IF(ABS(IF(ABS($E$4661)&gt;0.000000001,$E$4661,0.000000001))=0,0,IF($E$3641&lt;=$B$3633,0,IF(ABS(IF(ABS($E$4661)&gt;0.000000001,$E$4661,0.000000001))&gt;=8*$B$3635,$H$3641,0.5*$H$3641*(ABS(IF(ABS($E$4661)&gt;0.000000001,$E$4661,0.000000001))/$B$3635)^(1/3)))/ABS(IF(ABS($E$4661)&gt;0.000000001,$E$4661,0.000000001))*$I$3641)</f>
        <v/>
      </c>
      <c r="E4697" s="19">
        <f>0.5*$E$4661+0.5*$Z$4711</f>
        <v/>
      </c>
      <c r="F4697" s="19">
        <f>$Z$4712</f>
        <v/>
      </c>
    </row>
    <row r="4698">
      <c r="D4698" s="19">
        <f>IF(ABS(IF(ABS($E$4662)&gt;0.000000001,$E$4662,0.000000001))=0,0,IF($E$3642&lt;=$B$3633,0,IF(ABS(IF(ABS($E$4662)&gt;0.000000001,$E$4662,0.000000001))&gt;=8*$B$3635,$H$3642,0.5*$H$3642*(ABS(IF(ABS($E$4662)&gt;0.000000001,$E$4662,0.000000001))/$B$3635)^(1/3)))/ABS(IF(ABS($E$4662)&gt;0.000000001,$E$4662,0.000000001))*$I$3642)</f>
        <v/>
      </c>
      <c r="E4698" s="19">
        <f>0.5*$E$4662+0.5*$Z$4713</f>
        <v/>
      </c>
      <c r="F4698" s="19">
        <f>$Z$4714</f>
        <v/>
      </c>
    </row>
    <row r="4699">
      <c r="D4699" s="19">
        <f>IF(ABS(IF(ABS($E$4663)&gt;0.000000001,$E$4663,0.000000001))=0,0,IF($E$3643&lt;=$B$3633,0,IF(ABS(IF(ABS($E$4663)&gt;0.000000001,$E$4663,0.000000001))&gt;=8*$B$3635,$H$3643,0.5*$H$3643*(ABS(IF(ABS($E$4663)&gt;0.000000001,$E$4663,0.000000001))/$B$3635)^(1/3)))/ABS(IF(ABS($E$4663)&gt;0.000000001,$E$4663,0.000000001))*$I$3643)</f>
        <v/>
      </c>
      <c r="E4699" s="19">
        <f>0.5*$E$4663+0.5*$Z$4715</f>
        <v/>
      </c>
      <c r="F4699" s="19">
        <f>$Z$4716</f>
        <v/>
      </c>
    </row>
    <row r="4700">
      <c r="D4700" s="19">
        <f>IF(ABS(IF(ABS($E$4664)&gt;0.000000001,$E$4664,0.000000001))=0,0,IF($E$3644&lt;=$B$3633,0,IF(ABS(IF(ABS($E$4664)&gt;0.000000001,$E$4664,0.000000001))&gt;=8*$B$3635,$H$3644,0.5*$H$3644*(ABS(IF(ABS($E$4664)&gt;0.000000001,$E$4664,0.000000001))/$B$3635)^(1/3)))/ABS(IF(ABS($E$4664)&gt;0.000000001,$E$4664,0.000000001))*$I$3644)</f>
        <v/>
      </c>
      <c r="E4700" s="19">
        <f>0.5*$E$4664+0.5*$Z$4717</f>
        <v/>
      </c>
      <c r="F4700" s="19">
        <f>$Z$4718</f>
        <v/>
      </c>
    </row>
    <row r="4701">
      <c r="D4701" s="19">
        <f>IF(ABS(IF(ABS($E$4665)&gt;0.000000001,$E$4665,0.000000001))=0,0,IF($E$3645&lt;=$B$3633,0,IF(ABS(IF(ABS($E$4665)&gt;0.000000001,$E$4665,0.000000001))&gt;=8*$B$3635,$H$3645,0.5*$H$3645*(ABS(IF(ABS($E$4665)&gt;0.000000001,$E$4665,0.000000001))/$B$3635)^(1/3)))/ABS(IF(ABS($E$4665)&gt;0.000000001,$E$4665,0.000000001))*$I$3645)</f>
        <v/>
      </c>
      <c r="E4701" s="19">
        <f>0.5*$E$4665+0.5*$Z$4719</f>
        <v/>
      </c>
      <c r="F4701" s="19">
        <f>$Z$4720</f>
        <v/>
      </c>
    </row>
    <row r="4702">
      <c r="D4702" s="19">
        <f>IF(ABS(IF(ABS($E$4666)&gt;0.000000001,$E$4666,0.000000001))=0,0,IF($E$3646&lt;=$B$3633,0,IF(ABS(IF(ABS($E$4666)&gt;0.000000001,$E$4666,0.000000001))&gt;=8*$B$3635,$H$3646,0.5*$H$3646*(ABS(IF(ABS($E$4666)&gt;0.000000001,$E$4666,0.000000001))/$B$3635)^(1/3)))/ABS(IF(ABS($E$4666)&gt;0.000000001,$E$4666,0.000000001))*$I$3646)</f>
        <v/>
      </c>
      <c r="E4702" s="19">
        <f>0.5*$E$4666+0.5*$Z$4721</f>
        <v/>
      </c>
      <c r="F4702" s="19">
        <f>$Z$4722</f>
        <v/>
      </c>
    </row>
    <row r="4703">
      <c r="D4703" s="19">
        <f>IF(ABS(IF(ABS($E$4667)&gt;0.000000001,$E$4667,0.000000001))=0,0,IF($E$3647&lt;=$B$3633,0,IF(ABS(IF(ABS($E$4667)&gt;0.000000001,$E$4667,0.000000001))&gt;=8*$B$3635,$H$3647,0.5*$H$3647*(ABS(IF(ABS($E$4667)&gt;0.000000001,$E$4667,0.000000001))/$B$3635)^(1/3)))/ABS(IF(ABS($E$4667)&gt;0.000000001,$E$4667,0.000000001))*$I$3647)</f>
        <v/>
      </c>
      <c r="E4703" s="19">
        <f>0.5*$E$4667+0.5*$Z$4723</f>
        <v/>
      </c>
      <c r="F4703" s="19">
        <f>$Z$4724</f>
        <v/>
      </c>
    </row>
    <row r="4704">
      <c r="D4704" s="19">
        <f>IF(ABS(IF(ABS($E$4668)&gt;0.000000001,$E$4668,0.000000001))=0,0,IF($E$3648&lt;=$B$3633,0,IF(ABS(IF(ABS($E$4668)&gt;0.000000001,$E$4668,0.000000001))&gt;=8*$B$3635,$H$3648,0.5*$H$3648*(ABS(IF(ABS($E$4668)&gt;0.000000001,$E$4668,0.000000001))/$B$3635)^(1/3)))/ABS(IF(ABS($E$4668)&gt;0.000000001,$E$4668,0.000000001))*$I$3648)</f>
        <v/>
      </c>
      <c r="E4704" s="19">
        <f>0.5*$E$4668+0.5*$Z$4725</f>
        <v/>
      </c>
      <c r="F4704" s="19">
        <f>$Z$4726</f>
        <v/>
      </c>
    </row>
    <row r="4705">
      <c r="D4705" s="19">
        <f>IF(ABS(IF(ABS($E$4669)&gt;0.000000001,$E$4669,0.000000001))=0,0,IF($E$3649&lt;=$B$3633,0,IF(ABS(IF(ABS($E$4669)&gt;0.000000001,$E$4669,0.000000001))&gt;=8*$B$3635,$H$3649,0.5*$H$3649*(ABS(IF(ABS($E$4669)&gt;0.000000001,$E$4669,0.000000001))/$B$3635)^(1/3)))/ABS(IF(ABS($E$4669)&gt;0.000000001,$E$4669,0.000000001))*$I$3649)</f>
        <v/>
      </c>
      <c r="E4705" s="19">
        <f>0.5*$E$4669+0.5*$Z$4727</f>
        <v/>
      </c>
      <c r="F4705" s="19">
        <f>$Z$4728</f>
        <v/>
      </c>
    </row>
    <row r="4707">
      <c r="D4707" s="21">
        <f>$B$3624+$D$4695</f>
        <v/>
      </c>
      <c r="E4707" s="21">
        <f>$B$3625</f>
        <v/>
      </c>
      <c r="F4707" s="21">
        <f>-$B$3624</f>
        <v/>
      </c>
      <c r="G4707" s="21">
        <f>$B$3625</f>
        <v/>
      </c>
      <c r="H4707" s="21" t="n">
        <v>0</v>
      </c>
      <c r="I4707" s="21" t="n">
        <v>0</v>
      </c>
      <c r="J4707" s="21" t="n">
        <v>0</v>
      </c>
      <c r="K4707" s="21" t="n">
        <v>0</v>
      </c>
      <c r="L4707" s="21" t="n">
        <v>0</v>
      </c>
      <c r="M4707" s="21" t="n">
        <v>0</v>
      </c>
      <c r="N4707" s="21" t="n">
        <v>0</v>
      </c>
      <c r="O4707" s="21" t="n">
        <v>0</v>
      </c>
      <c r="P4707" s="21" t="n">
        <v>0</v>
      </c>
      <c r="Q4707" s="21" t="n">
        <v>0</v>
      </c>
      <c r="R4707" s="21" t="n">
        <v>0</v>
      </c>
      <c r="S4707" s="21" t="n">
        <v>0</v>
      </c>
      <c r="T4707" s="21" t="n">
        <v>0</v>
      </c>
      <c r="U4707" s="21" t="n">
        <v>0</v>
      </c>
      <c r="V4707" s="21" t="n">
        <v>0</v>
      </c>
      <c r="W4707" s="21" t="n">
        <v>0</v>
      </c>
      <c r="X4707" s="21" t="n">
        <v>0</v>
      </c>
      <c r="Y4707" s="21" t="n">
        <v>0</v>
      </c>
      <c r="Z4707" s="19">
        <f t="array" ref="Z4707:Z4728">MMULT(MINVERSE($D$4707:$Y$4728),$D$3651:$D$3672)</f>
        <v/>
      </c>
    </row>
    <row r="4708">
      <c r="D4708" s="21">
        <f>$B$3625</f>
        <v/>
      </c>
      <c r="E4708" s="21">
        <f>$B$3626</f>
        <v/>
      </c>
      <c r="F4708" s="21">
        <f>-$B$3625</f>
        <v/>
      </c>
      <c r="G4708" s="21">
        <f>$B$3627</f>
        <v/>
      </c>
      <c r="H4708" s="21" t="n">
        <v>0</v>
      </c>
      <c r="I4708" s="21" t="n">
        <v>0</v>
      </c>
      <c r="J4708" s="21" t="n">
        <v>0</v>
      </c>
      <c r="K4708" s="21" t="n">
        <v>0</v>
      </c>
      <c r="L4708" s="21" t="n">
        <v>0</v>
      </c>
      <c r="M4708" s="21" t="n">
        <v>0</v>
      </c>
      <c r="N4708" s="21" t="n">
        <v>0</v>
      </c>
      <c r="O4708" s="21" t="n">
        <v>0</v>
      </c>
      <c r="P4708" s="21" t="n">
        <v>0</v>
      </c>
      <c r="Q4708" s="21" t="n">
        <v>0</v>
      </c>
      <c r="R4708" s="21" t="n">
        <v>0</v>
      </c>
      <c r="S4708" s="21" t="n">
        <v>0</v>
      </c>
      <c r="T4708" s="21" t="n">
        <v>0</v>
      </c>
      <c r="U4708" s="21" t="n">
        <v>0</v>
      </c>
      <c r="V4708" s="21" t="n">
        <v>0</v>
      </c>
      <c r="W4708" s="21" t="n">
        <v>0</v>
      </c>
      <c r="X4708" s="21" t="n">
        <v>0</v>
      </c>
      <c r="Y4708" s="21" t="n">
        <v>0</v>
      </c>
      <c r="Z4708" s="19" t="n"/>
    </row>
    <row r="4709">
      <c r="D4709" s="21">
        <f>-$B$3624</f>
        <v/>
      </c>
      <c r="E4709" s="21">
        <f>-$B$3625</f>
        <v/>
      </c>
      <c r="F4709" s="21">
        <f>2*$B$3624+$D$4696</f>
        <v/>
      </c>
      <c r="G4709" s="21">
        <f>0</f>
        <v/>
      </c>
      <c r="H4709" s="21">
        <f>-$B$3624</f>
        <v/>
      </c>
      <c r="I4709" s="21">
        <f>$B$3625</f>
        <v/>
      </c>
      <c r="J4709" s="21" t="n">
        <v>0</v>
      </c>
      <c r="K4709" s="21" t="n">
        <v>0</v>
      </c>
      <c r="L4709" s="21" t="n">
        <v>0</v>
      </c>
      <c r="M4709" s="21" t="n">
        <v>0</v>
      </c>
      <c r="N4709" s="21" t="n">
        <v>0</v>
      </c>
      <c r="O4709" s="21" t="n">
        <v>0</v>
      </c>
      <c r="P4709" s="21" t="n">
        <v>0</v>
      </c>
      <c r="Q4709" s="21" t="n">
        <v>0</v>
      </c>
      <c r="R4709" s="21" t="n">
        <v>0</v>
      </c>
      <c r="S4709" s="21" t="n">
        <v>0</v>
      </c>
      <c r="T4709" s="21" t="n">
        <v>0</v>
      </c>
      <c r="U4709" s="21" t="n">
        <v>0</v>
      </c>
      <c r="V4709" s="21" t="n">
        <v>0</v>
      </c>
      <c r="W4709" s="21" t="n">
        <v>0</v>
      </c>
      <c r="X4709" s="21" t="n">
        <v>0</v>
      </c>
      <c r="Y4709" s="21" t="n">
        <v>0</v>
      </c>
      <c r="Z4709" s="19" t="n"/>
    </row>
    <row r="4710">
      <c r="D4710" s="21">
        <f>$B$3625</f>
        <v/>
      </c>
      <c r="E4710" s="21">
        <f>$B$3627</f>
        <v/>
      </c>
      <c r="F4710" s="21">
        <f>0</f>
        <v/>
      </c>
      <c r="G4710" s="21">
        <f>2*$B$3626</f>
        <v/>
      </c>
      <c r="H4710" s="21">
        <f>-$B$3625</f>
        <v/>
      </c>
      <c r="I4710" s="21">
        <f>$B$3627</f>
        <v/>
      </c>
      <c r="J4710" s="21" t="n">
        <v>0</v>
      </c>
      <c r="K4710" s="21" t="n">
        <v>0</v>
      </c>
      <c r="L4710" s="21" t="n">
        <v>0</v>
      </c>
      <c r="M4710" s="21" t="n">
        <v>0</v>
      </c>
      <c r="N4710" s="21" t="n">
        <v>0</v>
      </c>
      <c r="O4710" s="21" t="n">
        <v>0</v>
      </c>
      <c r="P4710" s="21" t="n">
        <v>0</v>
      </c>
      <c r="Q4710" s="21" t="n">
        <v>0</v>
      </c>
      <c r="R4710" s="21" t="n">
        <v>0</v>
      </c>
      <c r="S4710" s="21" t="n">
        <v>0</v>
      </c>
      <c r="T4710" s="21" t="n">
        <v>0</v>
      </c>
      <c r="U4710" s="21" t="n">
        <v>0</v>
      </c>
      <c r="V4710" s="21" t="n">
        <v>0</v>
      </c>
      <c r="W4710" s="21" t="n">
        <v>0</v>
      </c>
      <c r="X4710" s="21" t="n">
        <v>0</v>
      </c>
      <c r="Y4710" s="21" t="n">
        <v>0</v>
      </c>
      <c r="Z4710" s="19" t="n"/>
    </row>
    <row r="4711">
      <c r="D4711" s="21" t="n">
        <v>0</v>
      </c>
      <c r="E4711" s="21" t="n">
        <v>0</v>
      </c>
      <c r="F4711" s="21">
        <f>-$B$3624</f>
        <v/>
      </c>
      <c r="G4711" s="21">
        <f>-$B$3625</f>
        <v/>
      </c>
      <c r="H4711" s="21">
        <f>2*$B$3624+$D$4697</f>
        <v/>
      </c>
      <c r="I4711" s="21">
        <f>0</f>
        <v/>
      </c>
      <c r="J4711" s="21">
        <f>-$B$3624</f>
        <v/>
      </c>
      <c r="K4711" s="21">
        <f>$B$3625</f>
        <v/>
      </c>
      <c r="L4711" s="21" t="n">
        <v>0</v>
      </c>
      <c r="M4711" s="21" t="n">
        <v>0</v>
      </c>
      <c r="N4711" s="21" t="n">
        <v>0</v>
      </c>
      <c r="O4711" s="21" t="n">
        <v>0</v>
      </c>
      <c r="P4711" s="21" t="n">
        <v>0</v>
      </c>
      <c r="Q4711" s="21" t="n">
        <v>0</v>
      </c>
      <c r="R4711" s="21" t="n">
        <v>0</v>
      </c>
      <c r="S4711" s="21" t="n">
        <v>0</v>
      </c>
      <c r="T4711" s="21" t="n">
        <v>0</v>
      </c>
      <c r="U4711" s="21" t="n">
        <v>0</v>
      </c>
      <c r="V4711" s="21" t="n">
        <v>0</v>
      </c>
      <c r="W4711" s="21" t="n">
        <v>0</v>
      </c>
      <c r="X4711" s="21" t="n">
        <v>0</v>
      </c>
      <c r="Y4711" s="21" t="n">
        <v>0</v>
      </c>
      <c r="Z4711" s="19" t="n"/>
    </row>
    <row r="4712">
      <c r="D4712" s="21" t="n">
        <v>0</v>
      </c>
      <c r="E4712" s="21" t="n">
        <v>0</v>
      </c>
      <c r="F4712" s="21">
        <f>$B$3625</f>
        <v/>
      </c>
      <c r="G4712" s="21">
        <f>$B$3627</f>
        <v/>
      </c>
      <c r="H4712" s="21">
        <f>0</f>
        <v/>
      </c>
      <c r="I4712" s="21">
        <f>2*$B$3626</f>
        <v/>
      </c>
      <c r="J4712" s="21">
        <f>-$B$3625</f>
        <v/>
      </c>
      <c r="K4712" s="21">
        <f>$B$3627</f>
        <v/>
      </c>
      <c r="L4712" s="21" t="n">
        <v>0</v>
      </c>
      <c r="M4712" s="21" t="n">
        <v>0</v>
      </c>
      <c r="N4712" s="21" t="n">
        <v>0</v>
      </c>
      <c r="O4712" s="21" t="n">
        <v>0</v>
      </c>
      <c r="P4712" s="21" t="n">
        <v>0</v>
      </c>
      <c r="Q4712" s="21" t="n">
        <v>0</v>
      </c>
      <c r="R4712" s="21" t="n">
        <v>0</v>
      </c>
      <c r="S4712" s="21" t="n">
        <v>0</v>
      </c>
      <c r="T4712" s="21" t="n">
        <v>0</v>
      </c>
      <c r="U4712" s="21" t="n">
        <v>0</v>
      </c>
      <c r="V4712" s="21" t="n">
        <v>0</v>
      </c>
      <c r="W4712" s="21" t="n">
        <v>0</v>
      </c>
      <c r="X4712" s="21" t="n">
        <v>0</v>
      </c>
      <c r="Y4712" s="21" t="n">
        <v>0</v>
      </c>
      <c r="Z4712" s="19" t="n"/>
    </row>
    <row r="4713">
      <c r="D4713" s="21" t="n">
        <v>0</v>
      </c>
      <c r="E4713" s="21" t="n">
        <v>0</v>
      </c>
      <c r="F4713" s="21" t="n">
        <v>0</v>
      </c>
      <c r="G4713" s="21" t="n">
        <v>0</v>
      </c>
      <c r="H4713" s="21">
        <f>-$B$3624</f>
        <v/>
      </c>
      <c r="I4713" s="21">
        <f>-$B$3625</f>
        <v/>
      </c>
      <c r="J4713" s="21">
        <f>2*$B$3624+$D$4698</f>
        <v/>
      </c>
      <c r="K4713" s="21">
        <f>0</f>
        <v/>
      </c>
      <c r="L4713" s="21">
        <f>-$B$3624</f>
        <v/>
      </c>
      <c r="M4713" s="21">
        <f>$B$3625</f>
        <v/>
      </c>
      <c r="N4713" s="21" t="n">
        <v>0</v>
      </c>
      <c r="O4713" s="21" t="n">
        <v>0</v>
      </c>
      <c r="P4713" s="21" t="n">
        <v>0</v>
      </c>
      <c r="Q4713" s="21" t="n">
        <v>0</v>
      </c>
      <c r="R4713" s="21" t="n">
        <v>0</v>
      </c>
      <c r="S4713" s="21" t="n">
        <v>0</v>
      </c>
      <c r="T4713" s="21" t="n">
        <v>0</v>
      </c>
      <c r="U4713" s="21" t="n">
        <v>0</v>
      </c>
      <c r="V4713" s="21" t="n">
        <v>0</v>
      </c>
      <c r="W4713" s="21" t="n">
        <v>0</v>
      </c>
      <c r="X4713" s="21" t="n">
        <v>0</v>
      </c>
      <c r="Y4713" s="21" t="n">
        <v>0</v>
      </c>
      <c r="Z4713" s="19" t="n"/>
    </row>
    <row r="4714">
      <c r="D4714" s="21" t="n">
        <v>0</v>
      </c>
      <c r="E4714" s="21" t="n">
        <v>0</v>
      </c>
      <c r="F4714" s="21" t="n">
        <v>0</v>
      </c>
      <c r="G4714" s="21" t="n">
        <v>0</v>
      </c>
      <c r="H4714" s="21">
        <f>$B$3625</f>
        <v/>
      </c>
      <c r="I4714" s="21">
        <f>$B$3627</f>
        <v/>
      </c>
      <c r="J4714" s="21">
        <f>0</f>
        <v/>
      </c>
      <c r="K4714" s="21">
        <f>2*$B$3626</f>
        <v/>
      </c>
      <c r="L4714" s="21">
        <f>-$B$3625</f>
        <v/>
      </c>
      <c r="M4714" s="21">
        <f>$B$3627</f>
        <v/>
      </c>
      <c r="N4714" s="21" t="n">
        <v>0</v>
      </c>
      <c r="O4714" s="21" t="n">
        <v>0</v>
      </c>
      <c r="P4714" s="21" t="n">
        <v>0</v>
      </c>
      <c r="Q4714" s="21" t="n">
        <v>0</v>
      </c>
      <c r="R4714" s="21" t="n">
        <v>0</v>
      </c>
      <c r="S4714" s="21" t="n">
        <v>0</v>
      </c>
      <c r="T4714" s="21" t="n">
        <v>0</v>
      </c>
      <c r="U4714" s="21" t="n">
        <v>0</v>
      </c>
      <c r="V4714" s="21" t="n">
        <v>0</v>
      </c>
      <c r="W4714" s="21" t="n">
        <v>0</v>
      </c>
      <c r="X4714" s="21" t="n">
        <v>0</v>
      </c>
      <c r="Y4714" s="21" t="n">
        <v>0</v>
      </c>
      <c r="Z4714" s="19" t="n"/>
    </row>
    <row r="4715">
      <c r="D4715" s="21" t="n">
        <v>0</v>
      </c>
      <c r="E4715" s="21" t="n">
        <v>0</v>
      </c>
      <c r="F4715" s="21" t="n">
        <v>0</v>
      </c>
      <c r="G4715" s="21" t="n">
        <v>0</v>
      </c>
      <c r="H4715" s="21" t="n">
        <v>0</v>
      </c>
      <c r="I4715" s="21" t="n">
        <v>0</v>
      </c>
      <c r="J4715" s="21">
        <f>-$B$3624</f>
        <v/>
      </c>
      <c r="K4715" s="21">
        <f>-$B$3625</f>
        <v/>
      </c>
      <c r="L4715" s="21">
        <f>2*$B$3624+$D$4699</f>
        <v/>
      </c>
      <c r="M4715" s="21">
        <f>0</f>
        <v/>
      </c>
      <c r="N4715" s="21">
        <f>-$B$3624</f>
        <v/>
      </c>
      <c r="O4715" s="21">
        <f>$B$3625</f>
        <v/>
      </c>
      <c r="P4715" s="21" t="n">
        <v>0</v>
      </c>
      <c r="Q4715" s="21" t="n">
        <v>0</v>
      </c>
      <c r="R4715" s="21" t="n">
        <v>0</v>
      </c>
      <c r="S4715" s="21" t="n">
        <v>0</v>
      </c>
      <c r="T4715" s="21" t="n">
        <v>0</v>
      </c>
      <c r="U4715" s="21" t="n">
        <v>0</v>
      </c>
      <c r="V4715" s="21" t="n">
        <v>0</v>
      </c>
      <c r="W4715" s="21" t="n">
        <v>0</v>
      </c>
      <c r="X4715" s="21" t="n">
        <v>0</v>
      </c>
      <c r="Y4715" s="21" t="n">
        <v>0</v>
      </c>
      <c r="Z4715" s="19" t="n"/>
    </row>
    <row r="4716">
      <c r="D4716" s="21" t="n">
        <v>0</v>
      </c>
      <c r="E4716" s="21" t="n">
        <v>0</v>
      </c>
      <c r="F4716" s="21" t="n">
        <v>0</v>
      </c>
      <c r="G4716" s="21" t="n">
        <v>0</v>
      </c>
      <c r="H4716" s="21" t="n">
        <v>0</v>
      </c>
      <c r="I4716" s="21" t="n">
        <v>0</v>
      </c>
      <c r="J4716" s="21">
        <f>$B$3625</f>
        <v/>
      </c>
      <c r="K4716" s="21">
        <f>$B$3627</f>
        <v/>
      </c>
      <c r="L4716" s="21">
        <f>0</f>
        <v/>
      </c>
      <c r="M4716" s="21">
        <f>2*$B$3626</f>
        <v/>
      </c>
      <c r="N4716" s="21">
        <f>-$B$3625</f>
        <v/>
      </c>
      <c r="O4716" s="21">
        <f>$B$3627</f>
        <v/>
      </c>
      <c r="P4716" s="21" t="n">
        <v>0</v>
      </c>
      <c r="Q4716" s="21" t="n">
        <v>0</v>
      </c>
      <c r="R4716" s="21" t="n">
        <v>0</v>
      </c>
      <c r="S4716" s="21" t="n">
        <v>0</v>
      </c>
      <c r="T4716" s="21" t="n">
        <v>0</v>
      </c>
      <c r="U4716" s="21" t="n">
        <v>0</v>
      </c>
      <c r="V4716" s="21" t="n">
        <v>0</v>
      </c>
      <c r="W4716" s="21" t="n">
        <v>0</v>
      </c>
      <c r="X4716" s="21" t="n">
        <v>0</v>
      </c>
      <c r="Y4716" s="21" t="n">
        <v>0</v>
      </c>
      <c r="Z4716" s="19" t="n"/>
    </row>
    <row r="4717">
      <c r="D4717" s="21" t="n">
        <v>0</v>
      </c>
      <c r="E4717" s="21" t="n">
        <v>0</v>
      </c>
      <c r="F4717" s="21" t="n">
        <v>0</v>
      </c>
      <c r="G4717" s="21" t="n">
        <v>0</v>
      </c>
      <c r="H4717" s="21" t="n">
        <v>0</v>
      </c>
      <c r="I4717" s="21" t="n">
        <v>0</v>
      </c>
      <c r="J4717" s="21" t="n">
        <v>0</v>
      </c>
      <c r="K4717" s="21" t="n">
        <v>0</v>
      </c>
      <c r="L4717" s="21">
        <f>-$B$3624</f>
        <v/>
      </c>
      <c r="M4717" s="21">
        <f>-$B$3625</f>
        <v/>
      </c>
      <c r="N4717" s="21">
        <f>2*$B$3624+$D$4700</f>
        <v/>
      </c>
      <c r="O4717" s="21">
        <f>0</f>
        <v/>
      </c>
      <c r="P4717" s="21">
        <f>-$B$3624</f>
        <v/>
      </c>
      <c r="Q4717" s="21">
        <f>$B$3625</f>
        <v/>
      </c>
      <c r="R4717" s="21" t="n">
        <v>0</v>
      </c>
      <c r="S4717" s="21" t="n">
        <v>0</v>
      </c>
      <c r="T4717" s="21" t="n">
        <v>0</v>
      </c>
      <c r="U4717" s="21" t="n">
        <v>0</v>
      </c>
      <c r="V4717" s="21" t="n">
        <v>0</v>
      </c>
      <c r="W4717" s="21" t="n">
        <v>0</v>
      </c>
      <c r="X4717" s="21" t="n">
        <v>0</v>
      </c>
      <c r="Y4717" s="21" t="n">
        <v>0</v>
      </c>
      <c r="Z4717" s="19" t="n"/>
    </row>
    <row r="4718">
      <c r="D4718" s="21" t="n">
        <v>0</v>
      </c>
      <c r="E4718" s="21" t="n">
        <v>0</v>
      </c>
      <c r="F4718" s="21" t="n">
        <v>0</v>
      </c>
      <c r="G4718" s="21" t="n">
        <v>0</v>
      </c>
      <c r="H4718" s="21" t="n">
        <v>0</v>
      </c>
      <c r="I4718" s="21" t="n">
        <v>0</v>
      </c>
      <c r="J4718" s="21" t="n">
        <v>0</v>
      </c>
      <c r="K4718" s="21" t="n">
        <v>0</v>
      </c>
      <c r="L4718" s="21">
        <f>$B$3625</f>
        <v/>
      </c>
      <c r="M4718" s="21">
        <f>$B$3627</f>
        <v/>
      </c>
      <c r="N4718" s="21">
        <f>0</f>
        <v/>
      </c>
      <c r="O4718" s="21">
        <f>2*$B$3626</f>
        <v/>
      </c>
      <c r="P4718" s="21">
        <f>-$B$3625</f>
        <v/>
      </c>
      <c r="Q4718" s="21">
        <f>$B$3627</f>
        <v/>
      </c>
      <c r="R4718" s="21" t="n">
        <v>0</v>
      </c>
      <c r="S4718" s="21" t="n">
        <v>0</v>
      </c>
      <c r="T4718" s="21" t="n">
        <v>0</v>
      </c>
      <c r="U4718" s="21" t="n">
        <v>0</v>
      </c>
      <c r="V4718" s="21" t="n">
        <v>0</v>
      </c>
      <c r="W4718" s="21" t="n">
        <v>0</v>
      </c>
      <c r="X4718" s="21" t="n">
        <v>0</v>
      </c>
      <c r="Y4718" s="21" t="n">
        <v>0</v>
      </c>
      <c r="Z4718" s="19" t="n"/>
    </row>
    <row r="4719">
      <c r="D4719" s="21" t="n">
        <v>0</v>
      </c>
      <c r="E4719" s="21" t="n">
        <v>0</v>
      </c>
      <c r="F4719" s="21" t="n">
        <v>0</v>
      </c>
      <c r="G4719" s="21" t="n">
        <v>0</v>
      </c>
      <c r="H4719" s="21" t="n">
        <v>0</v>
      </c>
      <c r="I4719" s="21" t="n">
        <v>0</v>
      </c>
      <c r="J4719" s="21" t="n">
        <v>0</v>
      </c>
      <c r="K4719" s="21" t="n">
        <v>0</v>
      </c>
      <c r="L4719" s="21" t="n">
        <v>0</v>
      </c>
      <c r="M4719" s="21" t="n">
        <v>0</v>
      </c>
      <c r="N4719" s="21">
        <f>-$B$3624</f>
        <v/>
      </c>
      <c r="O4719" s="21">
        <f>-$B$3625</f>
        <v/>
      </c>
      <c r="P4719" s="21">
        <f>2*$B$3624+$D$4701</f>
        <v/>
      </c>
      <c r="Q4719" s="21">
        <f>0</f>
        <v/>
      </c>
      <c r="R4719" s="21">
        <f>-$B$3624</f>
        <v/>
      </c>
      <c r="S4719" s="21">
        <f>$B$3625</f>
        <v/>
      </c>
      <c r="T4719" s="21" t="n">
        <v>0</v>
      </c>
      <c r="U4719" s="21" t="n">
        <v>0</v>
      </c>
      <c r="V4719" s="21" t="n">
        <v>0</v>
      </c>
      <c r="W4719" s="21" t="n">
        <v>0</v>
      </c>
      <c r="X4719" s="21" t="n">
        <v>0</v>
      </c>
      <c r="Y4719" s="21" t="n">
        <v>0</v>
      </c>
      <c r="Z4719" s="19" t="n"/>
    </row>
    <row r="4720">
      <c r="D4720" s="21" t="n">
        <v>0</v>
      </c>
      <c r="E4720" s="21" t="n">
        <v>0</v>
      </c>
      <c r="F4720" s="21" t="n">
        <v>0</v>
      </c>
      <c r="G4720" s="21" t="n">
        <v>0</v>
      </c>
      <c r="H4720" s="21" t="n">
        <v>0</v>
      </c>
      <c r="I4720" s="21" t="n">
        <v>0</v>
      </c>
      <c r="J4720" s="21" t="n">
        <v>0</v>
      </c>
      <c r="K4720" s="21" t="n">
        <v>0</v>
      </c>
      <c r="L4720" s="21" t="n">
        <v>0</v>
      </c>
      <c r="M4720" s="21" t="n">
        <v>0</v>
      </c>
      <c r="N4720" s="21">
        <f>$B$3625</f>
        <v/>
      </c>
      <c r="O4720" s="21">
        <f>$B$3627</f>
        <v/>
      </c>
      <c r="P4720" s="21">
        <f>0</f>
        <v/>
      </c>
      <c r="Q4720" s="21">
        <f>2*$B$3626</f>
        <v/>
      </c>
      <c r="R4720" s="21">
        <f>-$B$3625</f>
        <v/>
      </c>
      <c r="S4720" s="21">
        <f>$B$3627</f>
        <v/>
      </c>
      <c r="T4720" s="21" t="n">
        <v>0</v>
      </c>
      <c r="U4720" s="21" t="n">
        <v>0</v>
      </c>
      <c r="V4720" s="21" t="n">
        <v>0</v>
      </c>
      <c r="W4720" s="21" t="n">
        <v>0</v>
      </c>
      <c r="X4720" s="21" t="n">
        <v>0</v>
      </c>
      <c r="Y4720" s="21" t="n">
        <v>0</v>
      </c>
      <c r="Z4720" s="19" t="n"/>
    </row>
    <row r="4721">
      <c r="D4721" s="21" t="n">
        <v>0</v>
      </c>
      <c r="E4721" s="21" t="n">
        <v>0</v>
      </c>
      <c r="F4721" s="21" t="n">
        <v>0</v>
      </c>
      <c r="G4721" s="21" t="n">
        <v>0</v>
      </c>
      <c r="H4721" s="21" t="n">
        <v>0</v>
      </c>
      <c r="I4721" s="21" t="n">
        <v>0</v>
      </c>
      <c r="J4721" s="21" t="n">
        <v>0</v>
      </c>
      <c r="K4721" s="21" t="n">
        <v>0</v>
      </c>
      <c r="L4721" s="21" t="n">
        <v>0</v>
      </c>
      <c r="M4721" s="21" t="n">
        <v>0</v>
      </c>
      <c r="N4721" s="21" t="n">
        <v>0</v>
      </c>
      <c r="O4721" s="21" t="n">
        <v>0</v>
      </c>
      <c r="P4721" s="21">
        <f>-$B$3624</f>
        <v/>
      </c>
      <c r="Q4721" s="21">
        <f>-$B$3625</f>
        <v/>
      </c>
      <c r="R4721" s="21">
        <f>2*$B$3624+$D$4702</f>
        <v/>
      </c>
      <c r="S4721" s="21">
        <f>0</f>
        <v/>
      </c>
      <c r="T4721" s="21">
        <f>-$B$3624</f>
        <v/>
      </c>
      <c r="U4721" s="21">
        <f>$B$3625</f>
        <v/>
      </c>
      <c r="V4721" s="21" t="n">
        <v>0</v>
      </c>
      <c r="W4721" s="21" t="n">
        <v>0</v>
      </c>
      <c r="X4721" s="21" t="n">
        <v>0</v>
      </c>
      <c r="Y4721" s="21" t="n">
        <v>0</v>
      </c>
      <c r="Z4721" s="19" t="n"/>
    </row>
    <row r="4722">
      <c r="D4722" s="21" t="n">
        <v>0</v>
      </c>
      <c r="E4722" s="21" t="n">
        <v>0</v>
      </c>
      <c r="F4722" s="21" t="n">
        <v>0</v>
      </c>
      <c r="G4722" s="21" t="n">
        <v>0</v>
      </c>
      <c r="H4722" s="21" t="n">
        <v>0</v>
      </c>
      <c r="I4722" s="21" t="n">
        <v>0</v>
      </c>
      <c r="J4722" s="21" t="n">
        <v>0</v>
      </c>
      <c r="K4722" s="21" t="n">
        <v>0</v>
      </c>
      <c r="L4722" s="21" t="n">
        <v>0</v>
      </c>
      <c r="M4722" s="21" t="n">
        <v>0</v>
      </c>
      <c r="N4722" s="21" t="n">
        <v>0</v>
      </c>
      <c r="O4722" s="21" t="n">
        <v>0</v>
      </c>
      <c r="P4722" s="21">
        <f>$B$3625</f>
        <v/>
      </c>
      <c r="Q4722" s="21">
        <f>$B$3627</f>
        <v/>
      </c>
      <c r="R4722" s="21">
        <f>0</f>
        <v/>
      </c>
      <c r="S4722" s="21">
        <f>2*$B$3626</f>
        <v/>
      </c>
      <c r="T4722" s="21">
        <f>-$B$3625</f>
        <v/>
      </c>
      <c r="U4722" s="21">
        <f>$B$3627</f>
        <v/>
      </c>
      <c r="V4722" s="21" t="n">
        <v>0</v>
      </c>
      <c r="W4722" s="21" t="n">
        <v>0</v>
      </c>
      <c r="X4722" s="21" t="n">
        <v>0</v>
      </c>
      <c r="Y4722" s="21" t="n">
        <v>0</v>
      </c>
      <c r="Z4722" s="19" t="n"/>
    </row>
    <row r="4723">
      <c r="D4723" s="21" t="n">
        <v>0</v>
      </c>
      <c r="E4723" s="21" t="n">
        <v>0</v>
      </c>
      <c r="F4723" s="21" t="n">
        <v>0</v>
      </c>
      <c r="G4723" s="21" t="n">
        <v>0</v>
      </c>
      <c r="H4723" s="21" t="n">
        <v>0</v>
      </c>
      <c r="I4723" s="21" t="n">
        <v>0</v>
      </c>
      <c r="J4723" s="21" t="n">
        <v>0</v>
      </c>
      <c r="K4723" s="21" t="n">
        <v>0</v>
      </c>
      <c r="L4723" s="21" t="n">
        <v>0</v>
      </c>
      <c r="M4723" s="21" t="n">
        <v>0</v>
      </c>
      <c r="N4723" s="21" t="n">
        <v>0</v>
      </c>
      <c r="O4723" s="21" t="n">
        <v>0</v>
      </c>
      <c r="P4723" s="21" t="n">
        <v>0</v>
      </c>
      <c r="Q4723" s="21" t="n">
        <v>0</v>
      </c>
      <c r="R4723" s="21">
        <f>-$B$3624</f>
        <v/>
      </c>
      <c r="S4723" s="21">
        <f>-$B$3625</f>
        <v/>
      </c>
      <c r="T4723" s="21">
        <f>2*$B$3624+$D$4703</f>
        <v/>
      </c>
      <c r="U4723" s="21">
        <f>0</f>
        <v/>
      </c>
      <c r="V4723" s="21">
        <f>-$B$3624</f>
        <v/>
      </c>
      <c r="W4723" s="21">
        <f>$B$3625</f>
        <v/>
      </c>
      <c r="X4723" s="21" t="n">
        <v>0</v>
      </c>
      <c r="Y4723" s="21" t="n">
        <v>0</v>
      </c>
      <c r="Z4723" s="19" t="n"/>
    </row>
    <row r="4724">
      <c r="D4724" s="21" t="n">
        <v>0</v>
      </c>
      <c r="E4724" s="21" t="n">
        <v>0</v>
      </c>
      <c r="F4724" s="21" t="n">
        <v>0</v>
      </c>
      <c r="G4724" s="21" t="n">
        <v>0</v>
      </c>
      <c r="H4724" s="21" t="n">
        <v>0</v>
      </c>
      <c r="I4724" s="21" t="n">
        <v>0</v>
      </c>
      <c r="J4724" s="21" t="n">
        <v>0</v>
      </c>
      <c r="K4724" s="21" t="n">
        <v>0</v>
      </c>
      <c r="L4724" s="21" t="n">
        <v>0</v>
      </c>
      <c r="M4724" s="21" t="n">
        <v>0</v>
      </c>
      <c r="N4724" s="21" t="n">
        <v>0</v>
      </c>
      <c r="O4724" s="21" t="n">
        <v>0</v>
      </c>
      <c r="P4724" s="21" t="n">
        <v>0</v>
      </c>
      <c r="Q4724" s="21" t="n">
        <v>0</v>
      </c>
      <c r="R4724" s="21">
        <f>$B$3625</f>
        <v/>
      </c>
      <c r="S4724" s="21">
        <f>$B$3627</f>
        <v/>
      </c>
      <c r="T4724" s="21">
        <f>0</f>
        <v/>
      </c>
      <c r="U4724" s="21">
        <f>2*$B$3626</f>
        <v/>
      </c>
      <c r="V4724" s="21">
        <f>-$B$3625</f>
        <v/>
      </c>
      <c r="W4724" s="21">
        <f>$B$3627</f>
        <v/>
      </c>
      <c r="X4724" s="21" t="n">
        <v>0</v>
      </c>
      <c r="Y4724" s="21" t="n">
        <v>0</v>
      </c>
      <c r="Z4724" s="19" t="n"/>
    </row>
    <row r="4725">
      <c r="D4725" s="21" t="n">
        <v>0</v>
      </c>
      <c r="E4725" s="21" t="n">
        <v>0</v>
      </c>
      <c r="F4725" s="21" t="n">
        <v>0</v>
      </c>
      <c r="G4725" s="21" t="n">
        <v>0</v>
      </c>
      <c r="H4725" s="21" t="n">
        <v>0</v>
      </c>
      <c r="I4725" s="21" t="n">
        <v>0</v>
      </c>
      <c r="J4725" s="21" t="n">
        <v>0</v>
      </c>
      <c r="K4725" s="21" t="n">
        <v>0</v>
      </c>
      <c r="L4725" s="21" t="n">
        <v>0</v>
      </c>
      <c r="M4725" s="21" t="n">
        <v>0</v>
      </c>
      <c r="N4725" s="21" t="n">
        <v>0</v>
      </c>
      <c r="O4725" s="21" t="n">
        <v>0</v>
      </c>
      <c r="P4725" s="21" t="n">
        <v>0</v>
      </c>
      <c r="Q4725" s="21" t="n">
        <v>0</v>
      </c>
      <c r="R4725" s="21" t="n">
        <v>0</v>
      </c>
      <c r="S4725" s="21" t="n">
        <v>0</v>
      </c>
      <c r="T4725" s="21">
        <f>-$B$3624</f>
        <v/>
      </c>
      <c r="U4725" s="21">
        <f>-$B$3625</f>
        <v/>
      </c>
      <c r="V4725" s="21">
        <f>2*$B$3624+$D$4704</f>
        <v/>
      </c>
      <c r="W4725" s="21">
        <f>0</f>
        <v/>
      </c>
      <c r="X4725" s="21">
        <f>-$B$3624</f>
        <v/>
      </c>
      <c r="Y4725" s="21">
        <f>$B$3625</f>
        <v/>
      </c>
      <c r="Z4725" s="19" t="n"/>
    </row>
    <row r="4726">
      <c r="D4726" s="21" t="n">
        <v>0</v>
      </c>
      <c r="E4726" s="21" t="n">
        <v>0</v>
      </c>
      <c r="F4726" s="21" t="n">
        <v>0</v>
      </c>
      <c r="G4726" s="21" t="n">
        <v>0</v>
      </c>
      <c r="H4726" s="21" t="n">
        <v>0</v>
      </c>
      <c r="I4726" s="21" t="n">
        <v>0</v>
      </c>
      <c r="J4726" s="21" t="n">
        <v>0</v>
      </c>
      <c r="K4726" s="21" t="n">
        <v>0</v>
      </c>
      <c r="L4726" s="21" t="n">
        <v>0</v>
      </c>
      <c r="M4726" s="21" t="n">
        <v>0</v>
      </c>
      <c r="N4726" s="21" t="n">
        <v>0</v>
      </c>
      <c r="O4726" s="21" t="n">
        <v>0</v>
      </c>
      <c r="P4726" s="21" t="n">
        <v>0</v>
      </c>
      <c r="Q4726" s="21" t="n">
        <v>0</v>
      </c>
      <c r="R4726" s="21" t="n">
        <v>0</v>
      </c>
      <c r="S4726" s="21" t="n">
        <v>0</v>
      </c>
      <c r="T4726" s="21">
        <f>$B$3625</f>
        <v/>
      </c>
      <c r="U4726" s="21">
        <f>$B$3627</f>
        <v/>
      </c>
      <c r="V4726" s="21">
        <f>0</f>
        <v/>
      </c>
      <c r="W4726" s="21">
        <f>2*$B$3626</f>
        <v/>
      </c>
      <c r="X4726" s="21">
        <f>-$B$3625</f>
        <v/>
      </c>
      <c r="Y4726" s="21">
        <f>$B$3627</f>
        <v/>
      </c>
      <c r="Z4726" s="19" t="n"/>
    </row>
    <row r="4727">
      <c r="D4727" s="21" t="n">
        <v>0</v>
      </c>
      <c r="E4727" s="21" t="n">
        <v>0</v>
      </c>
      <c r="F4727" s="21" t="n">
        <v>0</v>
      </c>
      <c r="G4727" s="21" t="n">
        <v>0</v>
      </c>
      <c r="H4727" s="21" t="n">
        <v>0</v>
      </c>
      <c r="I4727" s="21" t="n">
        <v>0</v>
      </c>
      <c r="J4727" s="21" t="n">
        <v>0</v>
      </c>
      <c r="K4727" s="21" t="n">
        <v>0</v>
      </c>
      <c r="L4727" s="21" t="n">
        <v>0</v>
      </c>
      <c r="M4727" s="21" t="n">
        <v>0</v>
      </c>
      <c r="N4727" s="21" t="n">
        <v>0</v>
      </c>
      <c r="O4727" s="21" t="n">
        <v>0</v>
      </c>
      <c r="P4727" s="21" t="n">
        <v>0</v>
      </c>
      <c r="Q4727" s="21" t="n">
        <v>0</v>
      </c>
      <c r="R4727" s="21" t="n">
        <v>0</v>
      </c>
      <c r="S4727" s="21" t="n">
        <v>0</v>
      </c>
      <c r="T4727" s="21" t="n">
        <v>0</v>
      </c>
      <c r="U4727" s="21" t="n">
        <v>0</v>
      </c>
      <c r="V4727" s="21">
        <f>-$B$3624</f>
        <v/>
      </c>
      <c r="W4727" s="21">
        <f>-$B$3625</f>
        <v/>
      </c>
      <c r="X4727" s="21">
        <f>$B$3624+$D$4705</f>
        <v/>
      </c>
      <c r="Y4727" s="21">
        <f>-$B$3625</f>
        <v/>
      </c>
      <c r="Z4727" s="19" t="n"/>
    </row>
    <row r="4728">
      <c r="D4728" s="21" t="n">
        <v>0</v>
      </c>
      <c r="E4728" s="21" t="n">
        <v>0</v>
      </c>
      <c r="F4728" s="21" t="n">
        <v>0</v>
      </c>
      <c r="G4728" s="21" t="n">
        <v>0</v>
      </c>
      <c r="H4728" s="21" t="n">
        <v>0</v>
      </c>
      <c r="I4728" s="21" t="n">
        <v>0</v>
      </c>
      <c r="J4728" s="21" t="n">
        <v>0</v>
      </c>
      <c r="K4728" s="21" t="n">
        <v>0</v>
      </c>
      <c r="L4728" s="21" t="n">
        <v>0</v>
      </c>
      <c r="M4728" s="21" t="n">
        <v>0</v>
      </c>
      <c r="N4728" s="21" t="n">
        <v>0</v>
      </c>
      <c r="O4728" s="21" t="n">
        <v>0</v>
      </c>
      <c r="P4728" s="21" t="n">
        <v>0</v>
      </c>
      <c r="Q4728" s="21" t="n">
        <v>0</v>
      </c>
      <c r="R4728" s="21" t="n">
        <v>0</v>
      </c>
      <c r="S4728" s="21" t="n">
        <v>0</v>
      </c>
      <c r="T4728" s="21" t="n">
        <v>0</v>
      </c>
      <c r="U4728" s="21" t="n">
        <v>0</v>
      </c>
      <c r="V4728" s="21">
        <f>$B$3625</f>
        <v/>
      </c>
      <c r="W4728" s="21">
        <f>$B$3627</f>
        <v/>
      </c>
      <c r="X4728" s="21">
        <f>-$B$3625</f>
        <v/>
      </c>
      <c r="Y4728" s="21">
        <f>$B$3626</f>
        <v/>
      </c>
      <c r="Z4728" s="19" t="n"/>
    </row>
    <row r="4730">
      <c r="A4730" s="8" t="inlineStr">
        <is>
          <t>gen 30</t>
        </is>
      </c>
    </row>
    <row r="4731">
      <c r="D4731" s="19">
        <f>IF(ABS(IF(ABS($E$4695)&gt;0.000000001,$E$4695,0.000000001))=0,0,IF($E$3639&lt;=$B$3633,0,IF(ABS(IF(ABS($E$4695)&gt;0.000000001,$E$4695,0.000000001))&gt;=8*$B$3635,$H$3639,0.5*$H$3639*(ABS(IF(ABS($E$4695)&gt;0.000000001,$E$4695,0.000000001))/$B$3635)^(1/3)))/ABS(IF(ABS($E$4695)&gt;0.000000001,$E$4695,0.000000001))*$I$3639)</f>
        <v/>
      </c>
      <c r="E4731" s="19">
        <f>0.5*$E$4695+0.5*$Z$4743</f>
        <v/>
      </c>
      <c r="F4731" s="19">
        <f>$Z$4744</f>
        <v/>
      </c>
    </row>
    <row r="4732">
      <c r="D4732" s="19">
        <f>IF(ABS(IF(ABS($E$4696)&gt;0.000000001,$E$4696,0.000000001))=0,0,IF($E$3640&lt;=$B$3633,0,IF(ABS(IF(ABS($E$4696)&gt;0.000000001,$E$4696,0.000000001))&gt;=8*$B$3635,$H$3640,0.5*$H$3640*(ABS(IF(ABS($E$4696)&gt;0.000000001,$E$4696,0.000000001))/$B$3635)^(1/3)))/ABS(IF(ABS($E$4696)&gt;0.000000001,$E$4696,0.000000001))*$I$3640)</f>
        <v/>
      </c>
      <c r="E4732" s="19">
        <f>0.5*$E$4696+0.5*$Z$4745</f>
        <v/>
      </c>
      <c r="F4732" s="19">
        <f>$Z$4746</f>
        <v/>
      </c>
    </row>
    <row r="4733">
      <c r="D4733" s="19">
        <f>IF(ABS(IF(ABS($E$4697)&gt;0.000000001,$E$4697,0.000000001))=0,0,IF($E$3641&lt;=$B$3633,0,IF(ABS(IF(ABS($E$4697)&gt;0.000000001,$E$4697,0.000000001))&gt;=8*$B$3635,$H$3641,0.5*$H$3641*(ABS(IF(ABS($E$4697)&gt;0.000000001,$E$4697,0.000000001))/$B$3635)^(1/3)))/ABS(IF(ABS($E$4697)&gt;0.000000001,$E$4697,0.000000001))*$I$3641)</f>
        <v/>
      </c>
      <c r="E4733" s="19">
        <f>0.5*$E$4697+0.5*$Z$4747</f>
        <v/>
      </c>
      <c r="F4733" s="19">
        <f>$Z$4748</f>
        <v/>
      </c>
    </row>
    <row r="4734">
      <c r="D4734" s="19">
        <f>IF(ABS(IF(ABS($E$4698)&gt;0.000000001,$E$4698,0.000000001))=0,0,IF($E$3642&lt;=$B$3633,0,IF(ABS(IF(ABS($E$4698)&gt;0.000000001,$E$4698,0.000000001))&gt;=8*$B$3635,$H$3642,0.5*$H$3642*(ABS(IF(ABS($E$4698)&gt;0.000000001,$E$4698,0.000000001))/$B$3635)^(1/3)))/ABS(IF(ABS($E$4698)&gt;0.000000001,$E$4698,0.000000001))*$I$3642)</f>
        <v/>
      </c>
      <c r="E4734" s="19">
        <f>0.5*$E$4698+0.5*$Z$4749</f>
        <v/>
      </c>
      <c r="F4734" s="19">
        <f>$Z$4750</f>
        <v/>
      </c>
    </row>
    <row r="4735">
      <c r="D4735" s="19">
        <f>IF(ABS(IF(ABS($E$4699)&gt;0.000000001,$E$4699,0.000000001))=0,0,IF($E$3643&lt;=$B$3633,0,IF(ABS(IF(ABS($E$4699)&gt;0.000000001,$E$4699,0.000000001))&gt;=8*$B$3635,$H$3643,0.5*$H$3643*(ABS(IF(ABS($E$4699)&gt;0.000000001,$E$4699,0.000000001))/$B$3635)^(1/3)))/ABS(IF(ABS($E$4699)&gt;0.000000001,$E$4699,0.000000001))*$I$3643)</f>
        <v/>
      </c>
      <c r="E4735" s="19">
        <f>0.5*$E$4699+0.5*$Z$4751</f>
        <v/>
      </c>
      <c r="F4735" s="19">
        <f>$Z$4752</f>
        <v/>
      </c>
    </row>
    <row r="4736">
      <c r="D4736" s="19">
        <f>IF(ABS(IF(ABS($E$4700)&gt;0.000000001,$E$4700,0.000000001))=0,0,IF($E$3644&lt;=$B$3633,0,IF(ABS(IF(ABS($E$4700)&gt;0.000000001,$E$4700,0.000000001))&gt;=8*$B$3635,$H$3644,0.5*$H$3644*(ABS(IF(ABS($E$4700)&gt;0.000000001,$E$4700,0.000000001))/$B$3635)^(1/3)))/ABS(IF(ABS($E$4700)&gt;0.000000001,$E$4700,0.000000001))*$I$3644)</f>
        <v/>
      </c>
      <c r="E4736" s="19">
        <f>0.5*$E$4700+0.5*$Z$4753</f>
        <v/>
      </c>
      <c r="F4736" s="19">
        <f>$Z$4754</f>
        <v/>
      </c>
    </row>
    <row r="4737">
      <c r="D4737" s="19">
        <f>IF(ABS(IF(ABS($E$4701)&gt;0.000000001,$E$4701,0.000000001))=0,0,IF($E$3645&lt;=$B$3633,0,IF(ABS(IF(ABS($E$4701)&gt;0.000000001,$E$4701,0.000000001))&gt;=8*$B$3635,$H$3645,0.5*$H$3645*(ABS(IF(ABS($E$4701)&gt;0.000000001,$E$4701,0.000000001))/$B$3635)^(1/3)))/ABS(IF(ABS($E$4701)&gt;0.000000001,$E$4701,0.000000001))*$I$3645)</f>
        <v/>
      </c>
      <c r="E4737" s="19">
        <f>0.5*$E$4701+0.5*$Z$4755</f>
        <v/>
      </c>
      <c r="F4737" s="19">
        <f>$Z$4756</f>
        <v/>
      </c>
    </row>
    <row r="4738">
      <c r="D4738" s="19">
        <f>IF(ABS(IF(ABS($E$4702)&gt;0.000000001,$E$4702,0.000000001))=0,0,IF($E$3646&lt;=$B$3633,0,IF(ABS(IF(ABS($E$4702)&gt;0.000000001,$E$4702,0.000000001))&gt;=8*$B$3635,$H$3646,0.5*$H$3646*(ABS(IF(ABS($E$4702)&gt;0.000000001,$E$4702,0.000000001))/$B$3635)^(1/3)))/ABS(IF(ABS($E$4702)&gt;0.000000001,$E$4702,0.000000001))*$I$3646)</f>
        <v/>
      </c>
      <c r="E4738" s="19">
        <f>0.5*$E$4702+0.5*$Z$4757</f>
        <v/>
      </c>
      <c r="F4738" s="19">
        <f>$Z$4758</f>
        <v/>
      </c>
    </row>
    <row r="4739">
      <c r="D4739" s="19">
        <f>IF(ABS(IF(ABS($E$4703)&gt;0.000000001,$E$4703,0.000000001))=0,0,IF($E$3647&lt;=$B$3633,0,IF(ABS(IF(ABS($E$4703)&gt;0.000000001,$E$4703,0.000000001))&gt;=8*$B$3635,$H$3647,0.5*$H$3647*(ABS(IF(ABS($E$4703)&gt;0.000000001,$E$4703,0.000000001))/$B$3635)^(1/3)))/ABS(IF(ABS($E$4703)&gt;0.000000001,$E$4703,0.000000001))*$I$3647)</f>
        <v/>
      </c>
      <c r="E4739" s="19">
        <f>0.5*$E$4703+0.5*$Z$4759</f>
        <v/>
      </c>
      <c r="F4739" s="19">
        <f>$Z$4760</f>
        <v/>
      </c>
    </row>
    <row r="4740">
      <c r="D4740" s="19">
        <f>IF(ABS(IF(ABS($E$4704)&gt;0.000000001,$E$4704,0.000000001))=0,0,IF($E$3648&lt;=$B$3633,0,IF(ABS(IF(ABS($E$4704)&gt;0.000000001,$E$4704,0.000000001))&gt;=8*$B$3635,$H$3648,0.5*$H$3648*(ABS(IF(ABS($E$4704)&gt;0.000000001,$E$4704,0.000000001))/$B$3635)^(1/3)))/ABS(IF(ABS($E$4704)&gt;0.000000001,$E$4704,0.000000001))*$I$3648)</f>
        <v/>
      </c>
      <c r="E4740" s="19">
        <f>0.5*$E$4704+0.5*$Z$4761</f>
        <v/>
      </c>
      <c r="F4740" s="19">
        <f>$Z$4762</f>
        <v/>
      </c>
    </row>
    <row r="4741">
      <c r="D4741" s="19">
        <f>IF(ABS(IF(ABS($E$4705)&gt;0.000000001,$E$4705,0.000000001))=0,0,IF($E$3649&lt;=$B$3633,0,IF(ABS(IF(ABS($E$4705)&gt;0.000000001,$E$4705,0.000000001))&gt;=8*$B$3635,$H$3649,0.5*$H$3649*(ABS(IF(ABS($E$4705)&gt;0.000000001,$E$4705,0.000000001))/$B$3635)^(1/3)))/ABS(IF(ABS($E$4705)&gt;0.000000001,$E$4705,0.000000001))*$I$3649)</f>
        <v/>
      </c>
      <c r="E4741" s="19">
        <f>0.5*$E$4705+0.5*$Z$4763</f>
        <v/>
      </c>
      <c r="F4741" s="19">
        <f>$Z$4764</f>
        <v/>
      </c>
    </row>
    <row r="4743">
      <c r="D4743" s="21">
        <f>$B$3624+$D$4731</f>
        <v/>
      </c>
      <c r="E4743" s="21">
        <f>$B$3625</f>
        <v/>
      </c>
      <c r="F4743" s="21">
        <f>-$B$3624</f>
        <v/>
      </c>
      <c r="G4743" s="21">
        <f>$B$3625</f>
        <v/>
      </c>
      <c r="H4743" s="21" t="n">
        <v>0</v>
      </c>
      <c r="I4743" s="21" t="n">
        <v>0</v>
      </c>
      <c r="J4743" s="21" t="n">
        <v>0</v>
      </c>
      <c r="K4743" s="21" t="n">
        <v>0</v>
      </c>
      <c r="L4743" s="21" t="n">
        <v>0</v>
      </c>
      <c r="M4743" s="21" t="n">
        <v>0</v>
      </c>
      <c r="N4743" s="21" t="n">
        <v>0</v>
      </c>
      <c r="O4743" s="21" t="n">
        <v>0</v>
      </c>
      <c r="P4743" s="21" t="n">
        <v>0</v>
      </c>
      <c r="Q4743" s="21" t="n">
        <v>0</v>
      </c>
      <c r="R4743" s="21" t="n">
        <v>0</v>
      </c>
      <c r="S4743" s="21" t="n">
        <v>0</v>
      </c>
      <c r="T4743" s="21" t="n">
        <v>0</v>
      </c>
      <c r="U4743" s="21" t="n">
        <v>0</v>
      </c>
      <c r="V4743" s="21" t="n">
        <v>0</v>
      </c>
      <c r="W4743" s="21" t="n">
        <v>0</v>
      </c>
      <c r="X4743" s="21" t="n">
        <v>0</v>
      </c>
      <c r="Y4743" s="21" t="n">
        <v>0</v>
      </c>
      <c r="Z4743" s="19">
        <f t="array" ref="Z4743:Z4764">MMULT(MINVERSE($D$4743:$Y$4764),$D$3651:$D$3672)</f>
        <v/>
      </c>
    </row>
    <row r="4744">
      <c r="D4744" s="21">
        <f>$B$3625</f>
        <v/>
      </c>
      <c r="E4744" s="21">
        <f>$B$3626</f>
        <v/>
      </c>
      <c r="F4744" s="21">
        <f>-$B$3625</f>
        <v/>
      </c>
      <c r="G4744" s="21">
        <f>$B$3627</f>
        <v/>
      </c>
      <c r="H4744" s="21" t="n">
        <v>0</v>
      </c>
      <c r="I4744" s="21" t="n">
        <v>0</v>
      </c>
      <c r="J4744" s="21" t="n">
        <v>0</v>
      </c>
      <c r="K4744" s="21" t="n">
        <v>0</v>
      </c>
      <c r="L4744" s="21" t="n">
        <v>0</v>
      </c>
      <c r="M4744" s="21" t="n">
        <v>0</v>
      </c>
      <c r="N4744" s="21" t="n">
        <v>0</v>
      </c>
      <c r="O4744" s="21" t="n">
        <v>0</v>
      </c>
      <c r="P4744" s="21" t="n">
        <v>0</v>
      </c>
      <c r="Q4744" s="21" t="n">
        <v>0</v>
      </c>
      <c r="R4744" s="21" t="n">
        <v>0</v>
      </c>
      <c r="S4744" s="21" t="n">
        <v>0</v>
      </c>
      <c r="T4744" s="21" t="n">
        <v>0</v>
      </c>
      <c r="U4744" s="21" t="n">
        <v>0</v>
      </c>
      <c r="V4744" s="21" t="n">
        <v>0</v>
      </c>
      <c r="W4744" s="21" t="n">
        <v>0</v>
      </c>
      <c r="X4744" s="21" t="n">
        <v>0</v>
      </c>
      <c r="Y4744" s="21" t="n">
        <v>0</v>
      </c>
      <c r="Z4744" s="19" t="n"/>
    </row>
    <row r="4745">
      <c r="D4745" s="21">
        <f>-$B$3624</f>
        <v/>
      </c>
      <c r="E4745" s="21">
        <f>-$B$3625</f>
        <v/>
      </c>
      <c r="F4745" s="21">
        <f>2*$B$3624+$D$4732</f>
        <v/>
      </c>
      <c r="G4745" s="21">
        <f>0</f>
        <v/>
      </c>
      <c r="H4745" s="21">
        <f>-$B$3624</f>
        <v/>
      </c>
      <c r="I4745" s="21">
        <f>$B$3625</f>
        <v/>
      </c>
      <c r="J4745" s="21" t="n">
        <v>0</v>
      </c>
      <c r="K4745" s="21" t="n">
        <v>0</v>
      </c>
      <c r="L4745" s="21" t="n">
        <v>0</v>
      </c>
      <c r="M4745" s="21" t="n">
        <v>0</v>
      </c>
      <c r="N4745" s="21" t="n">
        <v>0</v>
      </c>
      <c r="O4745" s="21" t="n">
        <v>0</v>
      </c>
      <c r="P4745" s="21" t="n">
        <v>0</v>
      </c>
      <c r="Q4745" s="21" t="n">
        <v>0</v>
      </c>
      <c r="R4745" s="21" t="n">
        <v>0</v>
      </c>
      <c r="S4745" s="21" t="n">
        <v>0</v>
      </c>
      <c r="T4745" s="21" t="n">
        <v>0</v>
      </c>
      <c r="U4745" s="21" t="n">
        <v>0</v>
      </c>
      <c r="V4745" s="21" t="n">
        <v>0</v>
      </c>
      <c r="W4745" s="21" t="n">
        <v>0</v>
      </c>
      <c r="X4745" s="21" t="n">
        <v>0</v>
      </c>
      <c r="Y4745" s="21" t="n">
        <v>0</v>
      </c>
      <c r="Z4745" s="19" t="n"/>
    </row>
    <row r="4746">
      <c r="D4746" s="21">
        <f>$B$3625</f>
        <v/>
      </c>
      <c r="E4746" s="21">
        <f>$B$3627</f>
        <v/>
      </c>
      <c r="F4746" s="21">
        <f>0</f>
        <v/>
      </c>
      <c r="G4746" s="21">
        <f>2*$B$3626</f>
        <v/>
      </c>
      <c r="H4746" s="21">
        <f>-$B$3625</f>
        <v/>
      </c>
      <c r="I4746" s="21">
        <f>$B$3627</f>
        <v/>
      </c>
      <c r="J4746" s="21" t="n">
        <v>0</v>
      </c>
      <c r="K4746" s="21" t="n">
        <v>0</v>
      </c>
      <c r="L4746" s="21" t="n">
        <v>0</v>
      </c>
      <c r="M4746" s="21" t="n">
        <v>0</v>
      </c>
      <c r="N4746" s="21" t="n">
        <v>0</v>
      </c>
      <c r="O4746" s="21" t="n">
        <v>0</v>
      </c>
      <c r="P4746" s="21" t="n">
        <v>0</v>
      </c>
      <c r="Q4746" s="21" t="n">
        <v>0</v>
      </c>
      <c r="R4746" s="21" t="n">
        <v>0</v>
      </c>
      <c r="S4746" s="21" t="n">
        <v>0</v>
      </c>
      <c r="T4746" s="21" t="n">
        <v>0</v>
      </c>
      <c r="U4746" s="21" t="n">
        <v>0</v>
      </c>
      <c r="V4746" s="21" t="n">
        <v>0</v>
      </c>
      <c r="W4746" s="21" t="n">
        <v>0</v>
      </c>
      <c r="X4746" s="21" t="n">
        <v>0</v>
      </c>
      <c r="Y4746" s="21" t="n">
        <v>0</v>
      </c>
      <c r="Z4746" s="19" t="n"/>
    </row>
    <row r="4747">
      <c r="D4747" s="21" t="n">
        <v>0</v>
      </c>
      <c r="E4747" s="21" t="n">
        <v>0</v>
      </c>
      <c r="F4747" s="21">
        <f>-$B$3624</f>
        <v/>
      </c>
      <c r="G4747" s="21">
        <f>-$B$3625</f>
        <v/>
      </c>
      <c r="H4747" s="21">
        <f>2*$B$3624+$D$4733</f>
        <v/>
      </c>
      <c r="I4747" s="21">
        <f>0</f>
        <v/>
      </c>
      <c r="J4747" s="21">
        <f>-$B$3624</f>
        <v/>
      </c>
      <c r="K4747" s="21">
        <f>$B$3625</f>
        <v/>
      </c>
      <c r="L4747" s="21" t="n">
        <v>0</v>
      </c>
      <c r="M4747" s="21" t="n">
        <v>0</v>
      </c>
      <c r="N4747" s="21" t="n">
        <v>0</v>
      </c>
      <c r="O4747" s="21" t="n">
        <v>0</v>
      </c>
      <c r="P4747" s="21" t="n">
        <v>0</v>
      </c>
      <c r="Q4747" s="21" t="n">
        <v>0</v>
      </c>
      <c r="R4747" s="21" t="n">
        <v>0</v>
      </c>
      <c r="S4747" s="21" t="n">
        <v>0</v>
      </c>
      <c r="T4747" s="21" t="n">
        <v>0</v>
      </c>
      <c r="U4747" s="21" t="n">
        <v>0</v>
      </c>
      <c r="V4747" s="21" t="n">
        <v>0</v>
      </c>
      <c r="W4747" s="21" t="n">
        <v>0</v>
      </c>
      <c r="X4747" s="21" t="n">
        <v>0</v>
      </c>
      <c r="Y4747" s="21" t="n">
        <v>0</v>
      </c>
      <c r="Z4747" s="19" t="n"/>
    </row>
    <row r="4748">
      <c r="D4748" s="21" t="n">
        <v>0</v>
      </c>
      <c r="E4748" s="21" t="n">
        <v>0</v>
      </c>
      <c r="F4748" s="21">
        <f>$B$3625</f>
        <v/>
      </c>
      <c r="G4748" s="21">
        <f>$B$3627</f>
        <v/>
      </c>
      <c r="H4748" s="21">
        <f>0</f>
        <v/>
      </c>
      <c r="I4748" s="21">
        <f>2*$B$3626</f>
        <v/>
      </c>
      <c r="J4748" s="21">
        <f>-$B$3625</f>
        <v/>
      </c>
      <c r="K4748" s="21">
        <f>$B$3627</f>
        <v/>
      </c>
      <c r="L4748" s="21" t="n">
        <v>0</v>
      </c>
      <c r="M4748" s="21" t="n">
        <v>0</v>
      </c>
      <c r="N4748" s="21" t="n">
        <v>0</v>
      </c>
      <c r="O4748" s="21" t="n">
        <v>0</v>
      </c>
      <c r="P4748" s="21" t="n">
        <v>0</v>
      </c>
      <c r="Q4748" s="21" t="n">
        <v>0</v>
      </c>
      <c r="R4748" s="21" t="n">
        <v>0</v>
      </c>
      <c r="S4748" s="21" t="n">
        <v>0</v>
      </c>
      <c r="T4748" s="21" t="n">
        <v>0</v>
      </c>
      <c r="U4748" s="21" t="n">
        <v>0</v>
      </c>
      <c r="V4748" s="21" t="n">
        <v>0</v>
      </c>
      <c r="W4748" s="21" t="n">
        <v>0</v>
      </c>
      <c r="X4748" s="21" t="n">
        <v>0</v>
      </c>
      <c r="Y4748" s="21" t="n">
        <v>0</v>
      </c>
      <c r="Z4748" s="19" t="n"/>
    </row>
    <row r="4749">
      <c r="D4749" s="21" t="n">
        <v>0</v>
      </c>
      <c r="E4749" s="21" t="n">
        <v>0</v>
      </c>
      <c r="F4749" s="21" t="n">
        <v>0</v>
      </c>
      <c r="G4749" s="21" t="n">
        <v>0</v>
      </c>
      <c r="H4749" s="21">
        <f>-$B$3624</f>
        <v/>
      </c>
      <c r="I4749" s="21">
        <f>-$B$3625</f>
        <v/>
      </c>
      <c r="J4749" s="21">
        <f>2*$B$3624+$D$4734</f>
        <v/>
      </c>
      <c r="K4749" s="21">
        <f>0</f>
        <v/>
      </c>
      <c r="L4749" s="21">
        <f>-$B$3624</f>
        <v/>
      </c>
      <c r="M4749" s="21">
        <f>$B$3625</f>
        <v/>
      </c>
      <c r="N4749" s="21" t="n">
        <v>0</v>
      </c>
      <c r="O4749" s="21" t="n">
        <v>0</v>
      </c>
      <c r="P4749" s="21" t="n">
        <v>0</v>
      </c>
      <c r="Q4749" s="21" t="n">
        <v>0</v>
      </c>
      <c r="R4749" s="21" t="n">
        <v>0</v>
      </c>
      <c r="S4749" s="21" t="n">
        <v>0</v>
      </c>
      <c r="T4749" s="21" t="n">
        <v>0</v>
      </c>
      <c r="U4749" s="21" t="n">
        <v>0</v>
      </c>
      <c r="V4749" s="21" t="n">
        <v>0</v>
      </c>
      <c r="W4749" s="21" t="n">
        <v>0</v>
      </c>
      <c r="X4749" s="21" t="n">
        <v>0</v>
      </c>
      <c r="Y4749" s="21" t="n">
        <v>0</v>
      </c>
      <c r="Z4749" s="19" t="n"/>
    </row>
    <row r="4750">
      <c r="D4750" s="21" t="n">
        <v>0</v>
      </c>
      <c r="E4750" s="21" t="n">
        <v>0</v>
      </c>
      <c r="F4750" s="21" t="n">
        <v>0</v>
      </c>
      <c r="G4750" s="21" t="n">
        <v>0</v>
      </c>
      <c r="H4750" s="21">
        <f>$B$3625</f>
        <v/>
      </c>
      <c r="I4750" s="21">
        <f>$B$3627</f>
        <v/>
      </c>
      <c r="J4750" s="21">
        <f>0</f>
        <v/>
      </c>
      <c r="K4750" s="21">
        <f>2*$B$3626</f>
        <v/>
      </c>
      <c r="L4750" s="21">
        <f>-$B$3625</f>
        <v/>
      </c>
      <c r="M4750" s="21">
        <f>$B$3627</f>
        <v/>
      </c>
      <c r="N4750" s="21" t="n">
        <v>0</v>
      </c>
      <c r="O4750" s="21" t="n">
        <v>0</v>
      </c>
      <c r="P4750" s="21" t="n">
        <v>0</v>
      </c>
      <c r="Q4750" s="21" t="n">
        <v>0</v>
      </c>
      <c r="R4750" s="21" t="n">
        <v>0</v>
      </c>
      <c r="S4750" s="21" t="n">
        <v>0</v>
      </c>
      <c r="T4750" s="21" t="n">
        <v>0</v>
      </c>
      <c r="U4750" s="21" t="n">
        <v>0</v>
      </c>
      <c r="V4750" s="21" t="n">
        <v>0</v>
      </c>
      <c r="W4750" s="21" t="n">
        <v>0</v>
      </c>
      <c r="X4750" s="21" t="n">
        <v>0</v>
      </c>
      <c r="Y4750" s="21" t="n">
        <v>0</v>
      </c>
      <c r="Z4750" s="19" t="n"/>
    </row>
    <row r="4751">
      <c r="D4751" s="21" t="n">
        <v>0</v>
      </c>
      <c r="E4751" s="21" t="n">
        <v>0</v>
      </c>
      <c r="F4751" s="21" t="n">
        <v>0</v>
      </c>
      <c r="G4751" s="21" t="n">
        <v>0</v>
      </c>
      <c r="H4751" s="21" t="n">
        <v>0</v>
      </c>
      <c r="I4751" s="21" t="n">
        <v>0</v>
      </c>
      <c r="J4751" s="21">
        <f>-$B$3624</f>
        <v/>
      </c>
      <c r="K4751" s="21">
        <f>-$B$3625</f>
        <v/>
      </c>
      <c r="L4751" s="21">
        <f>2*$B$3624+$D$4735</f>
        <v/>
      </c>
      <c r="M4751" s="21">
        <f>0</f>
        <v/>
      </c>
      <c r="N4751" s="21">
        <f>-$B$3624</f>
        <v/>
      </c>
      <c r="O4751" s="21">
        <f>$B$3625</f>
        <v/>
      </c>
      <c r="P4751" s="21" t="n">
        <v>0</v>
      </c>
      <c r="Q4751" s="21" t="n">
        <v>0</v>
      </c>
      <c r="R4751" s="21" t="n">
        <v>0</v>
      </c>
      <c r="S4751" s="21" t="n">
        <v>0</v>
      </c>
      <c r="T4751" s="21" t="n">
        <v>0</v>
      </c>
      <c r="U4751" s="21" t="n">
        <v>0</v>
      </c>
      <c r="V4751" s="21" t="n">
        <v>0</v>
      </c>
      <c r="W4751" s="21" t="n">
        <v>0</v>
      </c>
      <c r="X4751" s="21" t="n">
        <v>0</v>
      </c>
      <c r="Y4751" s="21" t="n">
        <v>0</v>
      </c>
      <c r="Z4751" s="19" t="n"/>
    </row>
    <row r="4752">
      <c r="D4752" s="21" t="n">
        <v>0</v>
      </c>
      <c r="E4752" s="21" t="n">
        <v>0</v>
      </c>
      <c r="F4752" s="21" t="n">
        <v>0</v>
      </c>
      <c r="G4752" s="21" t="n">
        <v>0</v>
      </c>
      <c r="H4752" s="21" t="n">
        <v>0</v>
      </c>
      <c r="I4752" s="21" t="n">
        <v>0</v>
      </c>
      <c r="J4752" s="21">
        <f>$B$3625</f>
        <v/>
      </c>
      <c r="K4752" s="21">
        <f>$B$3627</f>
        <v/>
      </c>
      <c r="L4752" s="21">
        <f>0</f>
        <v/>
      </c>
      <c r="M4752" s="21">
        <f>2*$B$3626</f>
        <v/>
      </c>
      <c r="N4752" s="21">
        <f>-$B$3625</f>
        <v/>
      </c>
      <c r="O4752" s="21">
        <f>$B$3627</f>
        <v/>
      </c>
      <c r="P4752" s="21" t="n">
        <v>0</v>
      </c>
      <c r="Q4752" s="21" t="n">
        <v>0</v>
      </c>
      <c r="R4752" s="21" t="n">
        <v>0</v>
      </c>
      <c r="S4752" s="21" t="n">
        <v>0</v>
      </c>
      <c r="T4752" s="21" t="n">
        <v>0</v>
      </c>
      <c r="U4752" s="21" t="n">
        <v>0</v>
      </c>
      <c r="V4752" s="21" t="n">
        <v>0</v>
      </c>
      <c r="W4752" s="21" t="n">
        <v>0</v>
      </c>
      <c r="X4752" s="21" t="n">
        <v>0</v>
      </c>
      <c r="Y4752" s="21" t="n">
        <v>0</v>
      </c>
      <c r="Z4752" s="19" t="n"/>
    </row>
    <row r="4753">
      <c r="D4753" s="21" t="n">
        <v>0</v>
      </c>
      <c r="E4753" s="21" t="n">
        <v>0</v>
      </c>
      <c r="F4753" s="21" t="n">
        <v>0</v>
      </c>
      <c r="G4753" s="21" t="n">
        <v>0</v>
      </c>
      <c r="H4753" s="21" t="n">
        <v>0</v>
      </c>
      <c r="I4753" s="21" t="n">
        <v>0</v>
      </c>
      <c r="J4753" s="21" t="n">
        <v>0</v>
      </c>
      <c r="K4753" s="21" t="n">
        <v>0</v>
      </c>
      <c r="L4753" s="21">
        <f>-$B$3624</f>
        <v/>
      </c>
      <c r="M4753" s="21">
        <f>-$B$3625</f>
        <v/>
      </c>
      <c r="N4753" s="21">
        <f>2*$B$3624+$D$4736</f>
        <v/>
      </c>
      <c r="O4753" s="21">
        <f>0</f>
        <v/>
      </c>
      <c r="P4753" s="21">
        <f>-$B$3624</f>
        <v/>
      </c>
      <c r="Q4753" s="21">
        <f>$B$3625</f>
        <v/>
      </c>
      <c r="R4753" s="21" t="n">
        <v>0</v>
      </c>
      <c r="S4753" s="21" t="n">
        <v>0</v>
      </c>
      <c r="T4753" s="21" t="n">
        <v>0</v>
      </c>
      <c r="U4753" s="21" t="n">
        <v>0</v>
      </c>
      <c r="V4753" s="21" t="n">
        <v>0</v>
      </c>
      <c r="W4753" s="21" t="n">
        <v>0</v>
      </c>
      <c r="X4753" s="21" t="n">
        <v>0</v>
      </c>
      <c r="Y4753" s="21" t="n">
        <v>0</v>
      </c>
      <c r="Z4753" s="19" t="n"/>
    </row>
    <row r="4754">
      <c r="D4754" s="21" t="n">
        <v>0</v>
      </c>
      <c r="E4754" s="21" t="n">
        <v>0</v>
      </c>
      <c r="F4754" s="21" t="n">
        <v>0</v>
      </c>
      <c r="G4754" s="21" t="n">
        <v>0</v>
      </c>
      <c r="H4754" s="21" t="n">
        <v>0</v>
      </c>
      <c r="I4754" s="21" t="n">
        <v>0</v>
      </c>
      <c r="J4754" s="21" t="n">
        <v>0</v>
      </c>
      <c r="K4754" s="21" t="n">
        <v>0</v>
      </c>
      <c r="L4754" s="21">
        <f>$B$3625</f>
        <v/>
      </c>
      <c r="M4754" s="21">
        <f>$B$3627</f>
        <v/>
      </c>
      <c r="N4754" s="21">
        <f>0</f>
        <v/>
      </c>
      <c r="O4754" s="21">
        <f>2*$B$3626</f>
        <v/>
      </c>
      <c r="P4754" s="21">
        <f>-$B$3625</f>
        <v/>
      </c>
      <c r="Q4754" s="21">
        <f>$B$3627</f>
        <v/>
      </c>
      <c r="R4754" s="21" t="n">
        <v>0</v>
      </c>
      <c r="S4754" s="21" t="n">
        <v>0</v>
      </c>
      <c r="T4754" s="21" t="n">
        <v>0</v>
      </c>
      <c r="U4754" s="21" t="n">
        <v>0</v>
      </c>
      <c r="V4754" s="21" t="n">
        <v>0</v>
      </c>
      <c r="W4754" s="21" t="n">
        <v>0</v>
      </c>
      <c r="X4754" s="21" t="n">
        <v>0</v>
      </c>
      <c r="Y4754" s="21" t="n">
        <v>0</v>
      </c>
      <c r="Z4754" s="19" t="n"/>
    </row>
    <row r="4755">
      <c r="D4755" s="21" t="n">
        <v>0</v>
      </c>
      <c r="E4755" s="21" t="n">
        <v>0</v>
      </c>
      <c r="F4755" s="21" t="n">
        <v>0</v>
      </c>
      <c r="G4755" s="21" t="n">
        <v>0</v>
      </c>
      <c r="H4755" s="21" t="n">
        <v>0</v>
      </c>
      <c r="I4755" s="21" t="n">
        <v>0</v>
      </c>
      <c r="J4755" s="21" t="n">
        <v>0</v>
      </c>
      <c r="K4755" s="21" t="n">
        <v>0</v>
      </c>
      <c r="L4755" s="21" t="n">
        <v>0</v>
      </c>
      <c r="M4755" s="21" t="n">
        <v>0</v>
      </c>
      <c r="N4755" s="21">
        <f>-$B$3624</f>
        <v/>
      </c>
      <c r="O4755" s="21">
        <f>-$B$3625</f>
        <v/>
      </c>
      <c r="P4755" s="21">
        <f>2*$B$3624+$D$4737</f>
        <v/>
      </c>
      <c r="Q4755" s="21">
        <f>0</f>
        <v/>
      </c>
      <c r="R4755" s="21">
        <f>-$B$3624</f>
        <v/>
      </c>
      <c r="S4755" s="21">
        <f>$B$3625</f>
        <v/>
      </c>
      <c r="T4755" s="21" t="n">
        <v>0</v>
      </c>
      <c r="U4755" s="21" t="n">
        <v>0</v>
      </c>
      <c r="V4755" s="21" t="n">
        <v>0</v>
      </c>
      <c r="W4755" s="21" t="n">
        <v>0</v>
      </c>
      <c r="X4755" s="21" t="n">
        <v>0</v>
      </c>
      <c r="Y4755" s="21" t="n">
        <v>0</v>
      </c>
      <c r="Z4755" s="19" t="n"/>
    </row>
    <row r="4756">
      <c r="D4756" s="21" t="n">
        <v>0</v>
      </c>
      <c r="E4756" s="21" t="n">
        <v>0</v>
      </c>
      <c r="F4756" s="21" t="n">
        <v>0</v>
      </c>
      <c r="G4756" s="21" t="n">
        <v>0</v>
      </c>
      <c r="H4756" s="21" t="n">
        <v>0</v>
      </c>
      <c r="I4756" s="21" t="n">
        <v>0</v>
      </c>
      <c r="J4756" s="21" t="n">
        <v>0</v>
      </c>
      <c r="K4756" s="21" t="n">
        <v>0</v>
      </c>
      <c r="L4756" s="21" t="n">
        <v>0</v>
      </c>
      <c r="M4756" s="21" t="n">
        <v>0</v>
      </c>
      <c r="N4756" s="21">
        <f>$B$3625</f>
        <v/>
      </c>
      <c r="O4756" s="21">
        <f>$B$3627</f>
        <v/>
      </c>
      <c r="P4756" s="21">
        <f>0</f>
        <v/>
      </c>
      <c r="Q4756" s="21">
        <f>2*$B$3626</f>
        <v/>
      </c>
      <c r="R4756" s="21">
        <f>-$B$3625</f>
        <v/>
      </c>
      <c r="S4756" s="21">
        <f>$B$3627</f>
        <v/>
      </c>
      <c r="T4756" s="21" t="n">
        <v>0</v>
      </c>
      <c r="U4756" s="21" t="n">
        <v>0</v>
      </c>
      <c r="V4756" s="21" t="n">
        <v>0</v>
      </c>
      <c r="W4756" s="21" t="n">
        <v>0</v>
      </c>
      <c r="X4756" s="21" t="n">
        <v>0</v>
      </c>
      <c r="Y4756" s="21" t="n">
        <v>0</v>
      </c>
      <c r="Z4756" s="19" t="n"/>
    </row>
    <row r="4757">
      <c r="D4757" s="21" t="n">
        <v>0</v>
      </c>
      <c r="E4757" s="21" t="n">
        <v>0</v>
      </c>
      <c r="F4757" s="21" t="n">
        <v>0</v>
      </c>
      <c r="G4757" s="21" t="n">
        <v>0</v>
      </c>
      <c r="H4757" s="21" t="n">
        <v>0</v>
      </c>
      <c r="I4757" s="21" t="n">
        <v>0</v>
      </c>
      <c r="J4757" s="21" t="n">
        <v>0</v>
      </c>
      <c r="K4757" s="21" t="n">
        <v>0</v>
      </c>
      <c r="L4757" s="21" t="n">
        <v>0</v>
      </c>
      <c r="M4757" s="21" t="n">
        <v>0</v>
      </c>
      <c r="N4757" s="21" t="n">
        <v>0</v>
      </c>
      <c r="O4757" s="21" t="n">
        <v>0</v>
      </c>
      <c r="P4757" s="21">
        <f>-$B$3624</f>
        <v/>
      </c>
      <c r="Q4757" s="21">
        <f>-$B$3625</f>
        <v/>
      </c>
      <c r="R4757" s="21">
        <f>2*$B$3624+$D$4738</f>
        <v/>
      </c>
      <c r="S4757" s="21">
        <f>0</f>
        <v/>
      </c>
      <c r="T4757" s="21">
        <f>-$B$3624</f>
        <v/>
      </c>
      <c r="U4757" s="21">
        <f>$B$3625</f>
        <v/>
      </c>
      <c r="V4757" s="21" t="n">
        <v>0</v>
      </c>
      <c r="W4757" s="21" t="n">
        <v>0</v>
      </c>
      <c r="X4757" s="21" t="n">
        <v>0</v>
      </c>
      <c r="Y4757" s="21" t="n">
        <v>0</v>
      </c>
      <c r="Z4757" s="19" t="n"/>
    </row>
    <row r="4758">
      <c r="D4758" s="21" t="n">
        <v>0</v>
      </c>
      <c r="E4758" s="21" t="n">
        <v>0</v>
      </c>
      <c r="F4758" s="21" t="n">
        <v>0</v>
      </c>
      <c r="G4758" s="21" t="n">
        <v>0</v>
      </c>
      <c r="H4758" s="21" t="n">
        <v>0</v>
      </c>
      <c r="I4758" s="21" t="n">
        <v>0</v>
      </c>
      <c r="J4758" s="21" t="n">
        <v>0</v>
      </c>
      <c r="K4758" s="21" t="n">
        <v>0</v>
      </c>
      <c r="L4758" s="21" t="n">
        <v>0</v>
      </c>
      <c r="M4758" s="21" t="n">
        <v>0</v>
      </c>
      <c r="N4758" s="21" t="n">
        <v>0</v>
      </c>
      <c r="O4758" s="21" t="n">
        <v>0</v>
      </c>
      <c r="P4758" s="21">
        <f>$B$3625</f>
        <v/>
      </c>
      <c r="Q4758" s="21">
        <f>$B$3627</f>
        <v/>
      </c>
      <c r="R4758" s="21">
        <f>0</f>
        <v/>
      </c>
      <c r="S4758" s="21">
        <f>2*$B$3626</f>
        <v/>
      </c>
      <c r="T4758" s="21">
        <f>-$B$3625</f>
        <v/>
      </c>
      <c r="U4758" s="21">
        <f>$B$3627</f>
        <v/>
      </c>
      <c r="V4758" s="21" t="n">
        <v>0</v>
      </c>
      <c r="W4758" s="21" t="n">
        <v>0</v>
      </c>
      <c r="X4758" s="21" t="n">
        <v>0</v>
      </c>
      <c r="Y4758" s="21" t="n">
        <v>0</v>
      </c>
      <c r="Z4758" s="19" t="n"/>
    </row>
    <row r="4759">
      <c r="D4759" s="21" t="n">
        <v>0</v>
      </c>
      <c r="E4759" s="21" t="n">
        <v>0</v>
      </c>
      <c r="F4759" s="21" t="n">
        <v>0</v>
      </c>
      <c r="G4759" s="21" t="n">
        <v>0</v>
      </c>
      <c r="H4759" s="21" t="n">
        <v>0</v>
      </c>
      <c r="I4759" s="21" t="n">
        <v>0</v>
      </c>
      <c r="J4759" s="21" t="n">
        <v>0</v>
      </c>
      <c r="K4759" s="21" t="n">
        <v>0</v>
      </c>
      <c r="L4759" s="21" t="n">
        <v>0</v>
      </c>
      <c r="M4759" s="21" t="n">
        <v>0</v>
      </c>
      <c r="N4759" s="21" t="n">
        <v>0</v>
      </c>
      <c r="O4759" s="21" t="n">
        <v>0</v>
      </c>
      <c r="P4759" s="21" t="n">
        <v>0</v>
      </c>
      <c r="Q4759" s="21" t="n">
        <v>0</v>
      </c>
      <c r="R4759" s="21">
        <f>-$B$3624</f>
        <v/>
      </c>
      <c r="S4759" s="21">
        <f>-$B$3625</f>
        <v/>
      </c>
      <c r="T4759" s="21">
        <f>2*$B$3624+$D$4739</f>
        <v/>
      </c>
      <c r="U4759" s="21">
        <f>0</f>
        <v/>
      </c>
      <c r="V4759" s="21">
        <f>-$B$3624</f>
        <v/>
      </c>
      <c r="W4759" s="21">
        <f>$B$3625</f>
        <v/>
      </c>
      <c r="X4759" s="21" t="n">
        <v>0</v>
      </c>
      <c r="Y4759" s="21" t="n">
        <v>0</v>
      </c>
      <c r="Z4759" s="19" t="n"/>
    </row>
    <row r="4760">
      <c r="D4760" s="21" t="n">
        <v>0</v>
      </c>
      <c r="E4760" s="21" t="n">
        <v>0</v>
      </c>
      <c r="F4760" s="21" t="n">
        <v>0</v>
      </c>
      <c r="G4760" s="21" t="n">
        <v>0</v>
      </c>
      <c r="H4760" s="21" t="n">
        <v>0</v>
      </c>
      <c r="I4760" s="21" t="n">
        <v>0</v>
      </c>
      <c r="J4760" s="21" t="n">
        <v>0</v>
      </c>
      <c r="K4760" s="21" t="n">
        <v>0</v>
      </c>
      <c r="L4760" s="21" t="n">
        <v>0</v>
      </c>
      <c r="M4760" s="21" t="n">
        <v>0</v>
      </c>
      <c r="N4760" s="21" t="n">
        <v>0</v>
      </c>
      <c r="O4760" s="21" t="n">
        <v>0</v>
      </c>
      <c r="P4760" s="21" t="n">
        <v>0</v>
      </c>
      <c r="Q4760" s="21" t="n">
        <v>0</v>
      </c>
      <c r="R4760" s="21">
        <f>$B$3625</f>
        <v/>
      </c>
      <c r="S4760" s="21">
        <f>$B$3627</f>
        <v/>
      </c>
      <c r="T4760" s="21">
        <f>0</f>
        <v/>
      </c>
      <c r="U4760" s="21">
        <f>2*$B$3626</f>
        <v/>
      </c>
      <c r="V4760" s="21">
        <f>-$B$3625</f>
        <v/>
      </c>
      <c r="W4760" s="21">
        <f>$B$3627</f>
        <v/>
      </c>
      <c r="X4760" s="21" t="n">
        <v>0</v>
      </c>
      <c r="Y4760" s="21" t="n">
        <v>0</v>
      </c>
      <c r="Z4760" s="19" t="n"/>
    </row>
    <row r="4761">
      <c r="D4761" s="21" t="n">
        <v>0</v>
      </c>
      <c r="E4761" s="21" t="n">
        <v>0</v>
      </c>
      <c r="F4761" s="21" t="n">
        <v>0</v>
      </c>
      <c r="G4761" s="21" t="n">
        <v>0</v>
      </c>
      <c r="H4761" s="21" t="n">
        <v>0</v>
      </c>
      <c r="I4761" s="21" t="n">
        <v>0</v>
      </c>
      <c r="J4761" s="21" t="n">
        <v>0</v>
      </c>
      <c r="K4761" s="21" t="n">
        <v>0</v>
      </c>
      <c r="L4761" s="21" t="n">
        <v>0</v>
      </c>
      <c r="M4761" s="21" t="n">
        <v>0</v>
      </c>
      <c r="N4761" s="21" t="n">
        <v>0</v>
      </c>
      <c r="O4761" s="21" t="n">
        <v>0</v>
      </c>
      <c r="P4761" s="21" t="n">
        <v>0</v>
      </c>
      <c r="Q4761" s="21" t="n">
        <v>0</v>
      </c>
      <c r="R4761" s="21" t="n">
        <v>0</v>
      </c>
      <c r="S4761" s="21" t="n">
        <v>0</v>
      </c>
      <c r="T4761" s="21">
        <f>-$B$3624</f>
        <v/>
      </c>
      <c r="U4761" s="21">
        <f>-$B$3625</f>
        <v/>
      </c>
      <c r="V4761" s="21">
        <f>2*$B$3624+$D$4740</f>
        <v/>
      </c>
      <c r="W4761" s="21">
        <f>0</f>
        <v/>
      </c>
      <c r="X4761" s="21">
        <f>-$B$3624</f>
        <v/>
      </c>
      <c r="Y4761" s="21">
        <f>$B$3625</f>
        <v/>
      </c>
      <c r="Z4761" s="19" t="n"/>
    </row>
    <row r="4762">
      <c r="D4762" s="21" t="n">
        <v>0</v>
      </c>
      <c r="E4762" s="21" t="n">
        <v>0</v>
      </c>
      <c r="F4762" s="21" t="n">
        <v>0</v>
      </c>
      <c r="G4762" s="21" t="n">
        <v>0</v>
      </c>
      <c r="H4762" s="21" t="n">
        <v>0</v>
      </c>
      <c r="I4762" s="21" t="n">
        <v>0</v>
      </c>
      <c r="J4762" s="21" t="n">
        <v>0</v>
      </c>
      <c r="K4762" s="21" t="n">
        <v>0</v>
      </c>
      <c r="L4762" s="21" t="n">
        <v>0</v>
      </c>
      <c r="M4762" s="21" t="n">
        <v>0</v>
      </c>
      <c r="N4762" s="21" t="n">
        <v>0</v>
      </c>
      <c r="O4762" s="21" t="n">
        <v>0</v>
      </c>
      <c r="P4762" s="21" t="n">
        <v>0</v>
      </c>
      <c r="Q4762" s="21" t="n">
        <v>0</v>
      </c>
      <c r="R4762" s="21" t="n">
        <v>0</v>
      </c>
      <c r="S4762" s="21" t="n">
        <v>0</v>
      </c>
      <c r="T4762" s="21">
        <f>$B$3625</f>
        <v/>
      </c>
      <c r="U4762" s="21">
        <f>$B$3627</f>
        <v/>
      </c>
      <c r="V4762" s="21">
        <f>0</f>
        <v/>
      </c>
      <c r="W4762" s="21">
        <f>2*$B$3626</f>
        <v/>
      </c>
      <c r="X4762" s="21">
        <f>-$B$3625</f>
        <v/>
      </c>
      <c r="Y4762" s="21">
        <f>$B$3627</f>
        <v/>
      </c>
      <c r="Z4762" s="19" t="n"/>
    </row>
    <row r="4763">
      <c r="D4763" s="21" t="n">
        <v>0</v>
      </c>
      <c r="E4763" s="21" t="n">
        <v>0</v>
      </c>
      <c r="F4763" s="21" t="n">
        <v>0</v>
      </c>
      <c r="G4763" s="21" t="n">
        <v>0</v>
      </c>
      <c r="H4763" s="21" t="n">
        <v>0</v>
      </c>
      <c r="I4763" s="21" t="n">
        <v>0</v>
      </c>
      <c r="J4763" s="21" t="n">
        <v>0</v>
      </c>
      <c r="K4763" s="21" t="n">
        <v>0</v>
      </c>
      <c r="L4763" s="21" t="n">
        <v>0</v>
      </c>
      <c r="M4763" s="21" t="n">
        <v>0</v>
      </c>
      <c r="N4763" s="21" t="n">
        <v>0</v>
      </c>
      <c r="O4763" s="21" t="n">
        <v>0</v>
      </c>
      <c r="P4763" s="21" t="n">
        <v>0</v>
      </c>
      <c r="Q4763" s="21" t="n">
        <v>0</v>
      </c>
      <c r="R4763" s="21" t="n">
        <v>0</v>
      </c>
      <c r="S4763" s="21" t="n">
        <v>0</v>
      </c>
      <c r="T4763" s="21" t="n">
        <v>0</v>
      </c>
      <c r="U4763" s="21" t="n">
        <v>0</v>
      </c>
      <c r="V4763" s="21">
        <f>-$B$3624</f>
        <v/>
      </c>
      <c r="W4763" s="21">
        <f>-$B$3625</f>
        <v/>
      </c>
      <c r="X4763" s="21">
        <f>$B$3624+$D$4741</f>
        <v/>
      </c>
      <c r="Y4763" s="21">
        <f>-$B$3625</f>
        <v/>
      </c>
      <c r="Z4763" s="19" t="n"/>
    </row>
    <row r="4764">
      <c r="D4764" s="21" t="n">
        <v>0</v>
      </c>
      <c r="E4764" s="21" t="n">
        <v>0</v>
      </c>
      <c r="F4764" s="21" t="n">
        <v>0</v>
      </c>
      <c r="G4764" s="21" t="n">
        <v>0</v>
      </c>
      <c r="H4764" s="21" t="n">
        <v>0</v>
      </c>
      <c r="I4764" s="21" t="n">
        <v>0</v>
      </c>
      <c r="J4764" s="21" t="n">
        <v>0</v>
      </c>
      <c r="K4764" s="21" t="n">
        <v>0</v>
      </c>
      <c r="L4764" s="21" t="n">
        <v>0</v>
      </c>
      <c r="M4764" s="21" t="n">
        <v>0</v>
      </c>
      <c r="N4764" s="21" t="n">
        <v>0</v>
      </c>
      <c r="O4764" s="21" t="n">
        <v>0</v>
      </c>
      <c r="P4764" s="21" t="n">
        <v>0</v>
      </c>
      <c r="Q4764" s="21" t="n">
        <v>0</v>
      </c>
      <c r="R4764" s="21" t="n">
        <v>0</v>
      </c>
      <c r="S4764" s="21" t="n">
        <v>0</v>
      </c>
      <c r="T4764" s="21" t="n">
        <v>0</v>
      </c>
      <c r="U4764" s="21" t="n">
        <v>0</v>
      </c>
      <c r="V4764" s="21">
        <f>$B$3625</f>
        <v/>
      </c>
      <c r="W4764" s="21">
        <f>$B$3627</f>
        <v/>
      </c>
      <c r="X4764" s="21">
        <f>-$B$3625</f>
        <v/>
      </c>
      <c r="Y4764" s="21">
        <f>$B$3626</f>
        <v/>
      </c>
      <c r="Z4764" s="19" t="n"/>
    </row>
    <row r="4766">
      <c r="A4766" s="8" t="inlineStr">
        <is>
          <t>gen 31</t>
        </is>
      </c>
    </row>
    <row r="4767">
      <c r="D4767" s="19">
        <f>IF(ABS(IF(ABS($E$4731)&gt;0.000000001,$E$4731,0.000000001))=0,0,IF($E$3639&lt;=$B$3633,0,IF(ABS(IF(ABS($E$4731)&gt;0.000000001,$E$4731,0.000000001))&gt;=8*$B$3635,$H$3639,0.5*$H$3639*(ABS(IF(ABS($E$4731)&gt;0.000000001,$E$4731,0.000000001))/$B$3635)^(1/3)))/ABS(IF(ABS($E$4731)&gt;0.000000001,$E$4731,0.000000001))*$I$3639)</f>
        <v/>
      </c>
      <c r="E4767" s="19">
        <f>0.5*$E$4731+0.5*$Z$4779</f>
        <v/>
      </c>
      <c r="F4767" s="19">
        <f>$Z$4780</f>
        <v/>
      </c>
    </row>
    <row r="4768">
      <c r="D4768" s="19">
        <f>IF(ABS(IF(ABS($E$4732)&gt;0.000000001,$E$4732,0.000000001))=0,0,IF($E$3640&lt;=$B$3633,0,IF(ABS(IF(ABS($E$4732)&gt;0.000000001,$E$4732,0.000000001))&gt;=8*$B$3635,$H$3640,0.5*$H$3640*(ABS(IF(ABS($E$4732)&gt;0.000000001,$E$4732,0.000000001))/$B$3635)^(1/3)))/ABS(IF(ABS($E$4732)&gt;0.000000001,$E$4732,0.000000001))*$I$3640)</f>
        <v/>
      </c>
      <c r="E4768" s="19">
        <f>0.5*$E$4732+0.5*$Z$4781</f>
        <v/>
      </c>
      <c r="F4768" s="19">
        <f>$Z$4782</f>
        <v/>
      </c>
    </row>
    <row r="4769">
      <c r="D4769" s="19">
        <f>IF(ABS(IF(ABS($E$4733)&gt;0.000000001,$E$4733,0.000000001))=0,0,IF($E$3641&lt;=$B$3633,0,IF(ABS(IF(ABS($E$4733)&gt;0.000000001,$E$4733,0.000000001))&gt;=8*$B$3635,$H$3641,0.5*$H$3641*(ABS(IF(ABS($E$4733)&gt;0.000000001,$E$4733,0.000000001))/$B$3635)^(1/3)))/ABS(IF(ABS($E$4733)&gt;0.000000001,$E$4733,0.000000001))*$I$3641)</f>
        <v/>
      </c>
      <c r="E4769" s="19">
        <f>0.5*$E$4733+0.5*$Z$4783</f>
        <v/>
      </c>
      <c r="F4769" s="19">
        <f>$Z$4784</f>
        <v/>
      </c>
    </row>
    <row r="4770">
      <c r="D4770" s="19">
        <f>IF(ABS(IF(ABS($E$4734)&gt;0.000000001,$E$4734,0.000000001))=0,0,IF($E$3642&lt;=$B$3633,0,IF(ABS(IF(ABS($E$4734)&gt;0.000000001,$E$4734,0.000000001))&gt;=8*$B$3635,$H$3642,0.5*$H$3642*(ABS(IF(ABS($E$4734)&gt;0.000000001,$E$4734,0.000000001))/$B$3635)^(1/3)))/ABS(IF(ABS($E$4734)&gt;0.000000001,$E$4734,0.000000001))*$I$3642)</f>
        <v/>
      </c>
      <c r="E4770" s="19">
        <f>0.5*$E$4734+0.5*$Z$4785</f>
        <v/>
      </c>
      <c r="F4770" s="19">
        <f>$Z$4786</f>
        <v/>
      </c>
    </row>
    <row r="4771">
      <c r="D4771" s="19">
        <f>IF(ABS(IF(ABS($E$4735)&gt;0.000000001,$E$4735,0.000000001))=0,0,IF($E$3643&lt;=$B$3633,0,IF(ABS(IF(ABS($E$4735)&gt;0.000000001,$E$4735,0.000000001))&gt;=8*$B$3635,$H$3643,0.5*$H$3643*(ABS(IF(ABS($E$4735)&gt;0.000000001,$E$4735,0.000000001))/$B$3635)^(1/3)))/ABS(IF(ABS($E$4735)&gt;0.000000001,$E$4735,0.000000001))*$I$3643)</f>
        <v/>
      </c>
      <c r="E4771" s="19">
        <f>0.5*$E$4735+0.5*$Z$4787</f>
        <v/>
      </c>
      <c r="F4771" s="19">
        <f>$Z$4788</f>
        <v/>
      </c>
    </row>
    <row r="4772">
      <c r="D4772" s="19">
        <f>IF(ABS(IF(ABS($E$4736)&gt;0.000000001,$E$4736,0.000000001))=0,0,IF($E$3644&lt;=$B$3633,0,IF(ABS(IF(ABS($E$4736)&gt;0.000000001,$E$4736,0.000000001))&gt;=8*$B$3635,$H$3644,0.5*$H$3644*(ABS(IF(ABS($E$4736)&gt;0.000000001,$E$4736,0.000000001))/$B$3635)^(1/3)))/ABS(IF(ABS($E$4736)&gt;0.000000001,$E$4736,0.000000001))*$I$3644)</f>
        <v/>
      </c>
      <c r="E4772" s="19">
        <f>0.5*$E$4736+0.5*$Z$4789</f>
        <v/>
      </c>
      <c r="F4772" s="19">
        <f>$Z$4790</f>
        <v/>
      </c>
    </row>
    <row r="4773">
      <c r="D4773" s="19">
        <f>IF(ABS(IF(ABS($E$4737)&gt;0.000000001,$E$4737,0.000000001))=0,0,IF($E$3645&lt;=$B$3633,0,IF(ABS(IF(ABS($E$4737)&gt;0.000000001,$E$4737,0.000000001))&gt;=8*$B$3635,$H$3645,0.5*$H$3645*(ABS(IF(ABS($E$4737)&gt;0.000000001,$E$4737,0.000000001))/$B$3635)^(1/3)))/ABS(IF(ABS($E$4737)&gt;0.000000001,$E$4737,0.000000001))*$I$3645)</f>
        <v/>
      </c>
      <c r="E4773" s="19">
        <f>0.5*$E$4737+0.5*$Z$4791</f>
        <v/>
      </c>
      <c r="F4773" s="19">
        <f>$Z$4792</f>
        <v/>
      </c>
    </row>
    <row r="4774">
      <c r="D4774" s="19">
        <f>IF(ABS(IF(ABS($E$4738)&gt;0.000000001,$E$4738,0.000000001))=0,0,IF($E$3646&lt;=$B$3633,0,IF(ABS(IF(ABS($E$4738)&gt;0.000000001,$E$4738,0.000000001))&gt;=8*$B$3635,$H$3646,0.5*$H$3646*(ABS(IF(ABS($E$4738)&gt;0.000000001,$E$4738,0.000000001))/$B$3635)^(1/3)))/ABS(IF(ABS($E$4738)&gt;0.000000001,$E$4738,0.000000001))*$I$3646)</f>
        <v/>
      </c>
      <c r="E4774" s="19">
        <f>0.5*$E$4738+0.5*$Z$4793</f>
        <v/>
      </c>
      <c r="F4774" s="19">
        <f>$Z$4794</f>
        <v/>
      </c>
    </row>
    <row r="4775">
      <c r="D4775" s="19">
        <f>IF(ABS(IF(ABS($E$4739)&gt;0.000000001,$E$4739,0.000000001))=0,0,IF($E$3647&lt;=$B$3633,0,IF(ABS(IF(ABS($E$4739)&gt;0.000000001,$E$4739,0.000000001))&gt;=8*$B$3635,$H$3647,0.5*$H$3647*(ABS(IF(ABS($E$4739)&gt;0.000000001,$E$4739,0.000000001))/$B$3635)^(1/3)))/ABS(IF(ABS($E$4739)&gt;0.000000001,$E$4739,0.000000001))*$I$3647)</f>
        <v/>
      </c>
      <c r="E4775" s="19">
        <f>0.5*$E$4739+0.5*$Z$4795</f>
        <v/>
      </c>
      <c r="F4775" s="19">
        <f>$Z$4796</f>
        <v/>
      </c>
    </row>
    <row r="4776">
      <c r="D4776" s="19">
        <f>IF(ABS(IF(ABS($E$4740)&gt;0.000000001,$E$4740,0.000000001))=0,0,IF($E$3648&lt;=$B$3633,0,IF(ABS(IF(ABS($E$4740)&gt;0.000000001,$E$4740,0.000000001))&gt;=8*$B$3635,$H$3648,0.5*$H$3648*(ABS(IF(ABS($E$4740)&gt;0.000000001,$E$4740,0.000000001))/$B$3635)^(1/3)))/ABS(IF(ABS($E$4740)&gt;0.000000001,$E$4740,0.000000001))*$I$3648)</f>
        <v/>
      </c>
      <c r="E4776" s="19">
        <f>0.5*$E$4740+0.5*$Z$4797</f>
        <v/>
      </c>
      <c r="F4776" s="19">
        <f>$Z$4798</f>
        <v/>
      </c>
    </row>
    <row r="4777">
      <c r="D4777" s="19">
        <f>IF(ABS(IF(ABS($E$4741)&gt;0.000000001,$E$4741,0.000000001))=0,0,IF($E$3649&lt;=$B$3633,0,IF(ABS(IF(ABS($E$4741)&gt;0.000000001,$E$4741,0.000000001))&gt;=8*$B$3635,$H$3649,0.5*$H$3649*(ABS(IF(ABS($E$4741)&gt;0.000000001,$E$4741,0.000000001))/$B$3635)^(1/3)))/ABS(IF(ABS($E$4741)&gt;0.000000001,$E$4741,0.000000001))*$I$3649)</f>
        <v/>
      </c>
      <c r="E4777" s="19">
        <f>0.5*$E$4741+0.5*$Z$4799</f>
        <v/>
      </c>
      <c r="F4777" s="19">
        <f>$Z$4800</f>
        <v/>
      </c>
    </row>
    <row r="4779">
      <c r="D4779" s="21">
        <f>$B$3624+$D$4767</f>
        <v/>
      </c>
      <c r="E4779" s="21">
        <f>$B$3625</f>
        <v/>
      </c>
      <c r="F4779" s="21">
        <f>-$B$3624</f>
        <v/>
      </c>
      <c r="G4779" s="21">
        <f>$B$3625</f>
        <v/>
      </c>
      <c r="H4779" s="21" t="n">
        <v>0</v>
      </c>
      <c r="I4779" s="21" t="n">
        <v>0</v>
      </c>
      <c r="J4779" s="21" t="n">
        <v>0</v>
      </c>
      <c r="K4779" s="21" t="n">
        <v>0</v>
      </c>
      <c r="L4779" s="21" t="n">
        <v>0</v>
      </c>
      <c r="M4779" s="21" t="n">
        <v>0</v>
      </c>
      <c r="N4779" s="21" t="n">
        <v>0</v>
      </c>
      <c r="O4779" s="21" t="n">
        <v>0</v>
      </c>
      <c r="P4779" s="21" t="n">
        <v>0</v>
      </c>
      <c r="Q4779" s="21" t="n">
        <v>0</v>
      </c>
      <c r="R4779" s="21" t="n">
        <v>0</v>
      </c>
      <c r="S4779" s="21" t="n">
        <v>0</v>
      </c>
      <c r="T4779" s="21" t="n">
        <v>0</v>
      </c>
      <c r="U4779" s="21" t="n">
        <v>0</v>
      </c>
      <c r="V4779" s="21" t="n">
        <v>0</v>
      </c>
      <c r="W4779" s="21" t="n">
        <v>0</v>
      </c>
      <c r="X4779" s="21" t="n">
        <v>0</v>
      </c>
      <c r="Y4779" s="21" t="n">
        <v>0</v>
      </c>
      <c r="Z4779" s="19">
        <f t="array" ref="Z4779:Z4800">MMULT(MINVERSE($D$4779:$Y$4800),$D$3651:$D$3672)</f>
        <v/>
      </c>
    </row>
    <row r="4780">
      <c r="D4780" s="21">
        <f>$B$3625</f>
        <v/>
      </c>
      <c r="E4780" s="21">
        <f>$B$3626</f>
        <v/>
      </c>
      <c r="F4780" s="21">
        <f>-$B$3625</f>
        <v/>
      </c>
      <c r="G4780" s="21">
        <f>$B$3627</f>
        <v/>
      </c>
      <c r="H4780" s="21" t="n">
        <v>0</v>
      </c>
      <c r="I4780" s="21" t="n">
        <v>0</v>
      </c>
      <c r="J4780" s="21" t="n">
        <v>0</v>
      </c>
      <c r="K4780" s="21" t="n">
        <v>0</v>
      </c>
      <c r="L4780" s="21" t="n">
        <v>0</v>
      </c>
      <c r="M4780" s="21" t="n">
        <v>0</v>
      </c>
      <c r="N4780" s="21" t="n">
        <v>0</v>
      </c>
      <c r="O4780" s="21" t="n">
        <v>0</v>
      </c>
      <c r="P4780" s="21" t="n">
        <v>0</v>
      </c>
      <c r="Q4780" s="21" t="n">
        <v>0</v>
      </c>
      <c r="R4780" s="21" t="n">
        <v>0</v>
      </c>
      <c r="S4780" s="21" t="n">
        <v>0</v>
      </c>
      <c r="T4780" s="21" t="n">
        <v>0</v>
      </c>
      <c r="U4780" s="21" t="n">
        <v>0</v>
      </c>
      <c r="V4780" s="21" t="n">
        <v>0</v>
      </c>
      <c r="W4780" s="21" t="n">
        <v>0</v>
      </c>
      <c r="X4780" s="21" t="n">
        <v>0</v>
      </c>
      <c r="Y4780" s="21" t="n">
        <v>0</v>
      </c>
      <c r="Z4780" s="19" t="n"/>
    </row>
    <row r="4781">
      <c r="D4781" s="21">
        <f>-$B$3624</f>
        <v/>
      </c>
      <c r="E4781" s="21">
        <f>-$B$3625</f>
        <v/>
      </c>
      <c r="F4781" s="21">
        <f>2*$B$3624+$D$4768</f>
        <v/>
      </c>
      <c r="G4781" s="21">
        <f>0</f>
        <v/>
      </c>
      <c r="H4781" s="21">
        <f>-$B$3624</f>
        <v/>
      </c>
      <c r="I4781" s="21">
        <f>$B$3625</f>
        <v/>
      </c>
      <c r="J4781" s="21" t="n">
        <v>0</v>
      </c>
      <c r="K4781" s="21" t="n">
        <v>0</v>
      </c>
      <c r="L4781" s="21" t="n">
        <v>0</v>
      </c>
      <c r="M4781" s="21" t="n">
        <v>0</v>
      </c>
      <c r="N4781" s="21" t="n">
        <v>0</v>
      </c>
      <c r="O4781" s="21" t="n">
        <v>0</v>
      </c>
      <c r="P4781" s="21" t="n">
        <v>0</v>
      </c>
      <c r="Q4781" s="21" t="n">
        <v>0</v>
      </c>
      <c r="R4781" s="21" t="n">
        <v>0</v>
      </c>
      <c r="S4781" s="21" t="n">
        <v>0</v>
      </c>
      <c r="T4781" s="21" t="n">
        <v>0</v>
      </c>
      <c r="U4781" s="21" t="n">
        <v>0</v>
      </c>
      <c r="V4781" s="21" t="n">
        <v>0</v>
      </c>
      <c r="W4781" s="21" t="n">
        <v>0</v>
      </c>
      <c r="X4781" s="21" t="n">
        <v>0</v>
      </c>
      <c r="Y4781" s="21" t="n">
        <v>0</v>
      </c>
      <c r="Z4781" s="19" t="n"/>
    </row>
    <row r="4782">
      <c r="D4782" s="21">
        <f>$B$3625</f>
        <v/>
      </c>
      <c r="E4782" s="21">
        <f>$B$3627</f>
        <v/>
      </c>
      <c r="F4782" s="21">
        <f>0</f>
        <v/>
      </c>
      <c r="G4782" s="21">
        <f>2*$B$3626</f>
        <v/>
      </c>
      <c r="H4782" s="21">
        <f>-$B$3625</f>
        <v/>
      </c>
      <c r="I4782" s="21">
        <f>$B$3627</f>
        <v/>
      </c>
      <c r="J4782" s="21" t="n">
        <v>0</v>
      </c>
      <c r="K4782" s="21" t="n">
        <v>0</v>
      </c>
      <c r="L4782" s="21" t="n">
        <v>0</v>
      </c>
      <c r="M4782" s="21" t="n">
        <v>0</v>
      </c>
      <c r="N4782" s="21" t="n">
        <v>0</v>
      </c>
      <c r="O4782" s="21" t="n">
        <v>0</v>
      </c>
      <c r="P4782" s="21" t="n">
        <v>0</v>
      </c>
      <c r="Q4782" s="21" t="n">
        <v>0</v>
      </c>
      <c r="R4782" s="21" t="n">
        <v>0</v>
      </c>
      <c r="S4782" s="21" t="n">
        <v>0</v>
      </c>
      <c r="T4782" s="21" t="n">
        <v>0</v>
      </c>
      <c r="U4782" s="21" t="n">
        <v>0</v>
      </c>
      <c r="V4782" s="21" t="n">
        <v>0</v>
      </c>
      <c r="W4782" s="21" t="n">
        <v>0</v>
      </c>
      <c r="X4782" s="21" t="n">
        <v>0</v>
      </c>
      <c r="Y4782" s="21" t="n">
        <v>0</v>
      </c>
      <c r="Z4782" s="19" t="n"/>
    </row>
    <row r="4783">
      <c r="D4783" s="21" t="n">
        <v>0</v>
      </c>
      <c r="E4783" s="21" t="n">
        <v>0</v>
      </c>
      <c r="F4783" s="21">
        <f>-$B$3624</f>
        <v/>
      </c>
      <c r="G4783" s="21">
        <f>-$B$3625</f>
        <v/>
      </c>
      <c r="H4783" s="21">
        <f>2*$B$3624+$D$4769</f>
        <v/>
      </c>
      <c r="I4783" s="21">
        <f>0</f>
        <v/>
      </c>
      <c r="J4783" s="21">
        <f>-$B$3624</f>
        <v/>
      </c>
      <c r="K4783" s="21">
        <f>$B$3625</f>
        <v/>
      </c>
      <c r="L4783" s="21" t="n">
        <v>0</v>
      </c>
      <c r="M4783" s="21" t="n">
        <v>0</v>
      </c>
      <c r="N4783" s="21" t="n">
        <v>0</v>
      </c>
      <c r="O4783" s="21" t="n">
        <v>0</v>
      </c>
      <c r="P4783" s="21" t="n">
        <v>0</v>
      </c>
      <c r="Q4783" s="21" t="n">
        <v>0</v>
      </c>
      <c r="R4783" s="21" t="n">
        <v>0</v>
      </c>
      <c r="S4783" s="21" t="n">
        <v>0</v>
      </c>
      <c r="T4783" s="21" t="n">
        <v>0</v>
      </c>
      <c r="U4783" s="21" t="n">
        <v>0</v>
      </c>
      <c r="V4783" s="21" t="n">
        <v>0</v>
      </c>
      <c r="W4783" s="21" t="n">
        <v>0</v>
      </c>
      <c r="X4783" s="21" t="n">
        <v>0</v>
      </c>
      <c r="Y4783" s="21" t="n">
        <v>0</v>
      </c>
      <c r="Z4783" s="19" t="n"/>
    </row>
    <row r="4784">
      <c r="D4784" s="21" t="n">
        <v>0</v>
      </c>
      <c r="E4784" s="21" t="n">
        <v>0</v>
      </c>
      <c r="F4784" s="21">
        <f>$B$3625</f>
        <v/>
      </c>
      <c r="G4784" s="21">
        <f>$B$3627</f>
        <v/>
      </c>
      <c r="H4784" s="21">
        <f>0</f>
        <v/>
      </c>
      <c r="I4784" s="21">
        <f>2*$B$3626</f>
        <v/>
      </c>
      <c r="J4784" s="21">
        <f>-$B$3625</f>
        <v/>
      </c>
      <c r="K4784" s="21">
        <f>$B$3627</f>
        <v/>
      </c>
      <c r="L4784" s="21" t="n">
        <v>0</v>
      </c>
      <c r="M4784" s="21" t="n">
        <v>0</v>
      </c>
      <c r="N4784" s="21" t="n">
        <v>0</v>
      </c>
      <c r="O4784" s="21" t="n">
        <v>0</v>
      </c>
      <c r="P4784" s="21" t="n">
        <v>0</v>
      </c>
      <c r="Q4784" s="21" t="n">
        <v>0</v>
      </c>
      <c r="R4784" s="21" t="n">
        <v>0</v>
      </c>
      <c r="S4784" s="21" t="n">
        <v>0</v>
      </c>
      <c r="T4784" s="21" t="n">
        <v>0</v>
      </c>
      <c r="U4784" s="21" t="n">
        <v>0</v>
      </c>
      <c r="V4784" s="21" t="n">
        <v>0</v>
      </c>
      <c r="W4784" s="21" t="n">
        <v>0</v>
      </c>
      <c r="X4784" s="21" t="n">
        <v>0</v>
      </c>
      <c r="Y4784" s="21" t="n">
        <v>0</v>
      </c>
      <c r="Z4784" s="19" t="n"/>
    </row>
    <row r="4785">
      <c r="D4785" s="21" t="n">
        <v>0</v>
      </c>
      <c r="E4785" s="21" t="n">
        <v>0</v>
      </c>
      <c r="F4785" s="21" t="n">
        <v>0</v>
      </c>
      <c r="G4785" s="21" t="n">
        <v>0</v>
      </c>
      <c r="H4785" s="21">
        <f>-$B$3624</f>
        <v/>
      </c>
      <c r="I4785" s="21">
        <f>-$B$3625</f>
        <v/>
      </c>
      <c r="J4785" s="21">
        <f>2*$B$3624+$D$4770</f>
        <v/>
      </c>
      <c r="K4785" s="21">
        <f>0</f>
        <v/>
      </c>
      <c r="L4785" s="21">
        <f>-$B$3624</f>
        <v/>
      </c>
      <c r="M4785" s="21">
        <f>$B$3625</f>
        <v/>
      </c>
      <c r="N4785" s="21" t="n">
        <v>0</v>
      </c>
      <c r="O4785" s="21" t="n">
        <v>0</v>
      </c>
      <c r="P4785" s="21" t="n">
        <v>0</v>
      </c>
      <c r="Q4785" s="21" t="n">
        <v>0</v>
      </c>
      <c r="R4785" s="21" t="n">
        <v>0</v>
      </c>
      <c r="S4785" s="21" t="n">
        <v>0</v>
      </c>
      <c r="T4785" s="21" t="n">
        <v>0</v>
      </c>
      <c r="U4785" s="21" t="n">
        <v>0</v>
      </c>
      <c r="V4785" s="21" t="n">
        <v>0</v>
      </c>
      <c r="W4785" s="21" t="n">
        <v>0</v>
      </c>
      <c r="X4785" s="21" t="n">
        <v>0</v>
      </c>
      <c r="Y4785" s="21" t="n">
        <v>0</v>
      </c>
      <c r="Z4785" s="19" t="n"/>
    </row>
    <row r="4786">
      <c r="D4786" s="21" t="n">
        <v>0</v>
      </c>
      <c r="E4786" s="21" t="n">
        <v>0</v>
      </c>
      <c r="F4786" s="21" t="n">
        <v>0</v>
      </c>
      <c r="G4786" s="21" t="n">
        <v>0</v>
      </c>
      <c r="H4786" s="21">
        <f>$B$3625</f>
        <v/>
      </c>
      <c r="I4786" s="21">
        <f>$B$3627</f>
        <v/>
      </c>
      <c r="J4786" s="21">
        <f>0</f>
        <v/>
      </c>
      <c r="K4786" s="21">
        <f>2*$B$3626</f>
        <v/>
      </c>
      <c r="L4786" s="21">
        <f>-$B$3625</f>
        <v/>
      </c>
      <c r="M4786" s="21">
        <f>$B$3627</f>
        <v/>
      </c>
      <c r="N4786" s="21" t="n">
        <v>0</v>
      </c>
      <c r="O4786" s="21" t="n">
        <v>0</v>
      </c>
      <c r="P4786" s="21" t="n">
        <v>0</v>
      </c>
      <c r="Q4786" s="21" t="n">
        <v>0</v>
      </c>
      <c r="R4786" s="21" t="n">
        <v>0</v>
      </c>
      <c r="S4786" s="21" t="n">
        <v>0</v>
      </c>
      <c r="T4786" s="21" t="n">
        <v>0</v>
      </c>
      <c r="U4786" s="21" t="n">
        <v>0</v>
      </c>
      <c r="V4786" s="21" t="n">
        <v>0</v>
      </c>
      <c r="W4786" s="21" t="n">
        <v>0</v>
      </c>
      <c r="X4786" s="21" t="n">
        <v>0</v>
      </c>
      <c r="Y4786" s="21" t="n">
        <v>0</v>
      </c>
      <c r="Z4786" s="19" t="n"/>
    </row>
    <row r="4787">
      <c r="D4787" s="21" t="n">
        <v>0</v>
      </c>
      <c r="E4787" s="21" t="n">
        <v>0</v>
      </c>
      <c r="F4787" s="21" t="n">
        <v>0</v>
      </c>
      <c r="G4787" s="21" t="n">
        <v>0</v>
      </c>
      <c r="H4787" s="21" t="n">
        <v>0</v>
      </c>
      <c r="I4787" s="21" t="n">
        <v>0</v>
      </c>
      <c r="J4787" s="21">
        <f>-$B$3624</f>
        <v/>
      </c>
      <c r="K4787" s="21">
        <f>-$B$3625</f>
        <v/>
      </c>
      <c r="L4787" s="21">
        <f>2*$B$3624+$D$4771</f>
        <v/>
      </c>
      <c r="M4787" s="21">
        <f>0</f>
        <v/>
      </c>
      <c r="N4787" s="21">
        <f>-$B$3624</f>
        <v/>
      </c>
      <c r="O4787" s="21">
        <f>$B$3625</f>
        <v/>
      </c>
      <c r="P4787" s="21" t="n">
        <v>0</v>
      </c>
      <c r="Q4787" s="21" t="n">
        <v>0</v>
      </c>
      <c r="R4787" s="21" t="n">
        <v>0</v>
      </c>
      <c r="S4787" s="21" t="n">
        <v>0</v>
      </c>
      <c r="T4787" s="21" t="n">
        <v>0</v>
      </c>
      <c r="U4787" s="21" t="n">
        <v>0</v>
      </c>
      <c r="V4787" s="21" t="n">
        <v>0</v>
      </c>
      <c r="W4787" s="21" t="n">
        <v>0</v>
      </c>
      <c r="X4787" s="21" t="n">
        <v>0</v>
      </c>
      <c r="Y4787" s="21" t="n">
        <v>0</v>
      </c>
      <c r="Z4787" s="19" t="n"/>
    </row>
    <row r="4788">
      <c r="D4788" s="21" t="n">
        <v>0</v>
      </c>
      <c r="E4788" s="21" t="n">
        <v>0</v>
      </c>
      <c r="F4788" s="21" t="n">
        <v>0</v>
      </c>
      <c r="G4788" s="21" t="n">
        <v>0</v>
      </c>
      <c r="H4788" s="21" t="n">
        <v>0</v>
      </c>
      <c r="I4788" s="21" t="n">
        <v>0</v>
      </c>
      <c r="J4788" s="21">
        <f>$B$3625</f>
        <v/>
      </c>
      <c r="K4788" s="21">
        <f>$B$3627</f>
        <v/>
      </c>
      <c r="L4788" s="21">
        <f>0</f>
        <v/>
      </c>
      <c r="M4788" s="21">
        <f>2*$B$3626</f>
        <v/>
      </c>
      <c r="N4788" s="21">
        <f>-$B$3625</f>
        <v/>
      </c>
      <c r="O4788" s="21">
        <f>$B$3627</f>
        <v/>
      </c>
      <c r="P4788" s="21" t="n">
        <v>0</v>
      </c>
      <c r="Q4788" s="21" t="n">
        <v>0</v>
      </c>
      <c r="R4788" s="21" t="n">
        <v>0</v>
      </c>
      <c r="S4788" s="21" t="n">
        <v>0</v>
      </c>
      <c r="T4788" s="21" t="n">
        <v>0</v>
      </c>
      <c r="U4788" s="21" t="n">
        <v>0</v>
      </c>
      <c r="V4788" s="21" t="n">
        <v>0</v>
      </c>
      <c r="W4788" s="21" t="n">
        <v>0</v>
      </c>
      <c r="X4788" s="21" t="n">
        <v>0</v>
      </c>
      <c r="Y4788" s="21" t="n">
        <v>0</v>
      </c>
      <c r="Z4788" s="19" t="n"/>
    </row>
    <row r="4789">
      <c r="D4789" s="21" t="n">
        <v>0</v>
      </c>
      <c r="E4789" s="21" t="n">
        <v>0</v>
      </c>
      <c r="F4789" s="21" t="n">
        <v>0</v>
      </c>
      <c r="G4789" s="21" t="n">
        <v>0</v>
      </c>
      <c r="H4789" s="21" t="n">
        <v>0</v>
      </c>
      <c r="I4789" s="21" t="n">
        <v>0</v>
      </c>
      <c r="J4789" s="21" t="n">
        <v>0</v>
      </c>
      <c r="K4789" s="21" t="n">
        <v>0</v>
      </c>
      <c r="L4789" s="21">
        <f>-$B$3624</f>
        <v/>
      </c>
      <c r="M4789" s="21">
        <f>-$B$3625</f>
        <v/>
      </c>
      <c r="N4789" s="21">
        <f>2*$B$3624+$D$4772</f>
        <v/>
      </c>
      <c r="O4789" s="21">
        <f>0</f>
        <v/>
      </c>
      <c r="P4789" s="21">
        <f>-$B$3624</f>
        <v/>
      </c>
      <c r="Q4789" s="21">
        <f>$B$3625</f>
        <v/>
      </c>
      <c r="R4789" s="21" t="n">
        <v>0</v>
      </c>
      <c r="S4789" s="21" t="n">
        <v>0</v>
      </c>
      <c r="T4789" s="21" t="n">
        <v>0</v>
      </c>
      <c r="U4789" s="21" t="n">
        <v>0</v>
      </c>
      <c r="V4789" s="21" t="n">
        <v>0</v>
      </c>
      <c r="W4789" s="21" t="n">
        <v>0</v>
      </c>
      <c r="X4789" s="21" t="n">
        <v>0</v>
      </c>
      <c r="Y4789" s="21" t="n">
        <v>0</v>
      </c>
      <c r="Z4789" s="19" t="n"/>
    </row>
    <row r="4790">
      <c r="D4790" s="21" t="n">
        <v>0</v>
      </c>
      <c r="E4790" s="21" t="n">
        <v>0</v>
      </c>
      <c r="F4790" s="21" t="n">
        <v>0</v>
      </c>
      <c r="G4790" s="21" t="n">
        <v>0</v>
      </c>
      <c r="H4790" s="21" t="n">
        <v>0</v>
      </c>
      <c r="I4790" s="21" t="n">
        <v>0</v>
      </c>
      <c r="J4790" s="21" t="n">
        <v>0</v>
      </c>
      <c r="K4790" s="21" t="n">
        <v>0</v>
      </c>
      <c r="L4790" s="21">
        <f>$B$3625</f>
        <v/>
      </c>
      <c r="M4790" s="21">
        <f>$B$3627</f>
        <v/>
      </c>
      <c r="N4790" s="21">
        <f>0</f>
        <v/>
      </c>
      <c r="O4790" s="21">
        <f>2*$B$3626</f>
        <v/>
      </c>
      <c r="P4790" s="21">
        <f>-$B$3625</f>
        <v/>
      </c>
      <c r="Q4790" s="21">
        <f>$B$3627</f>
        <v/>
      </c>
      <c r="R4790" s="21" t="n">
        <v>0</v>
      </c>
      <c r="S4790" s="21" t="n">
        <v>0</v>
      </c>
      <c r="T4790" s="21" t="n">
        <v>0</v>
      </c>
      <c r="U4790" s="21" t="n">
        <v>0</v>
      </c>
      <c r="V4790" s="21" t="n">
        <v>0</v>
      </c>
      <c r="W4790" s="21" t="n">
        <v>0</v>
      </c>
      <c r="X4790" s="21" t="n">
        <v>0</v>
      </c>
      <c r="Y4790" s="21" t="n">
        <v>0</v>
      </c>
      <c r="Z4790" s="19" t="n"/>
    </row>
    <row r="4791">
      <c r="D4791" s="21" t="n">
        <v>0</v>
      </c>
      <c r="E4791" s="21" t="n">
        <v>0</v>
      </c>
      <c r="F4791" s="21" t="n">
        <v>0</v>
      </c>
      <c r="G4791" s="21" t="n">
        <v>0</v>
      </c>
      <c r="H4791" s="21" t="n">
        <v>0</v>
      </c>
      <c r="I4791" s="21" t="n">
        <v>0</v>
      </c>
      <c r="J4791" s="21" t="n">
        <v>0</v>
      </c>
      <c r="K4791" s="21" t="n">
        <v>0</v>
      </c>
      <c r="L4791" s="21" t="n">
        <v>0</v>
      </c>
      <c r="M4791" s="21" t="n">
        <v>0</v>
      </c>
      <c r="N4791" s="21">
        <f>-$B$3624</f>
        <v/>
      </c>
      <c r="O4791" s="21">
        <f>-$B$3625</f>
        <v/>
      </c>
      <c r="P4791" s="21">
        <f>2*$B$3624+$D$4773</f>
        <v/>
      </c>
      <c r="Q4791" s="21">
        <f>0</f>
        <v/>
      </c>
      <c r="R4791" s="21">
        <f>-$B$3624</f>
        <v/>
      </c>
      <c r="S4791" s="21">
        <f>$B$3625</f>
        <v/>
      </c>
      <c r="T4791" s="21" t="n">
        <v>0</v>
      </c>
      <c r="U4791" s="21" t="n">
        <v>0</v>
      </c>
      <c r="V4791" s="21" t="n">
        <v>0</v>
      </c>
      <c r="W4791" s="21" t="n">
        <v>0</v>
      </c>
      <c r="X4791" s="21" t="n">
        <v>0</v>
      </c>
      <c r="Y4791" s="21" t="n">
        <v>0</v>
      </c>
      <c r="Z4791" s="19" t="n"/>
    </row>
    <row r="4792">
      <c r="D4792" s="21" t="n">
        <v>0</v>
      </c>
      <c r="E4792" s="21" t="n">
        <v>0</v>
      </c>
      <c r="F4792" s="21" t="n">
        <v>0</v>
      </c>
      <c r="G4792" s="21" t="n">
        <v>0</v>
      </c>
      <c r="H4792" s="21" t="n">
        <v>0</v>
      </c>
      <c r="I4792" s="21" t="n">
        <v>0</v>
      </c>
      <c r="J4792" s="21" t="n">
        <v>0</v>
      </c>
      <c r="K4792" s="21" t="n">
        <v>0</v>
      </c>
      <c r="L4792" s="21" t="n">
        <v>0</v>
      </c>
      <c r="M4792" s="21" t="n">
        <v>0</v>
      </c>
      <c r="N4792" s="21">
        <f>$B$3625</f>
        <v/>
      </c>
      <c r="O4792" s="21">
        <f>$B$3627</f>
        <v/>
      </c>
      <c r="P4792" s="21">
        <f>0</f>
        <v/>
      </c>
      <c r="Q4792" s="21">
        <f>2*$B$3626</f>
        <v/>
      </c>
      <c r="R4792" s="21">
        <f>-$B$3625</f>
        <v/>
      </c>
      <c r="S4792" s="21">
        <f>$B$3627</f>
        <v/>
      </c>
      <c r="T4792" s="21" t="n">
        <v>0</v>
      </c>
      <c r="U4792" s="21" t="n">
        <v>0</v>
      </c>
      <c r="V4792" s="21" t="n">
        <v>0</v>
      </c>
      <c r="W4792" s="21" t="n">
        <v>0</v>
      </c>
      <c r="X4792" s="21" t="n">
        <v>0</v>
      </c>
      <c r="Y4792" s="21" t="n">
        <v>0</v>
      </c>
      <c r="Z4792" s="19" t="n"/>
    </row>
    <row r="4793">
      <c r="D4793" s="21" t="n">
        <v>0</v>
      </c>
      <c r="E4793" s="21" t="n">
        <v>0</v>
      </c>
      <c r="F4793" s="21" t="n">
        <v>0</v>
      </c>
      <c r="G4793" s="21" t="n">
        <v>0</v>
      </c>
      <c r="H4793" s="21" t="n">
        <v>0</v>
      </c>
      <c r="I4793" s="21" t="n">
        <v>0</v>
      </c>
      <c r="J4793" s="21" t="n">
        <v>0</v>
      </c>
      <c r="K4793" s="21" t="n">
        <v>0</v>
      </c>
      <c r="L4793" s="21" t="n">
        <v>0</v>
      </c>
      <c r="M4793" s="21" t="n">
        <v>0</v>
      </c>
      <c r="N4793" s="21" t="n">
        <v>0</v>
      </c>
      <c r="O4793" s="21" t="n">
        <v>0</v>
      </c>
      <c r="P4793" s="21">
        <f>-$B$3624</f>
        <v/>
      </c>
      <c r="Q4793" s="21">
        <f>-$B$3625</f>
        <v/>
      </c>
      <c r="R4793" s="21">
        <f>2*$B$3624+$D$4774</f>
        <v/>
      </c>
      <c r="S4793" s="21">
        <f>0</f>
        <v/>
      </c>
      <c r="T4793" s="21">
        <f>-$B$3624</f>
        <v/>
      </c>
      <c r="U4793" s="21">
        <f>$B$3625</f>
        <v/>
      </c>
      <c r="V4793" s="21" t="n">
        <v>0</v>
      </c>
      <c r="W4793" s="21" t="n">
        <v>0</v>
      </c>
      <c r="X4793" s="21" t="n">
        <v>0</v>
      </c>
      <c r="Y4793" s="21" t="n">
        <v>0</v>
      </c>
      <c r="Z4793" s="19" t="n"/>
    </row>
    <row r="4794">
      <c r="D4794" s="21" t="n">
        <v>0</v>
      </c>
      <c r="E4794" s="21" t="n">
        <v>0</v>
      </c>
      <c r="F4794" s="21" t="n">
        <v>0</v>
      </c>
      <c r="G4794" s="21" t="n">
        <v>0</v>
      </c>
      <c r="H4794" s="21" t="n">
        <v>0</v>
      </c>
      <c r="I4794" s="21" t="n">
        <v>0</v>
      </c>
      <c r="J4794" s="21" t="n">
        <v>0</v>
      </c>
      <c r="K4794" s="21" t="n">
        <v>0</v>
      </c>
      <c r="L4794" s="21" t="n">
        <v>0</v>
      </c>
      <c r="M4794" s="21" t="n">
        <v>0</v>
      </c>
      <c r="N4794" s="21" t="n">
        <v>0</v>
      </c>
      <c r="O4794" s="21" t="n">
        <v>0</v>
      </c>
      <c r="P4794" s="21">
        <f>$B$3625</f>
        <v/>
      </c>
      <c r="Q4794" s="21">
        <f>$B$3627</f>
        <v/>
      </c>
      <c r="R4794" s="21">
        <f>0</f>
        <v/>
      </c>
      <c r="S4794" s="21">
        <f>2*$B$3626</f>
        <v/>
      </c>
      <c r="T4794" s="21">
        <f>-$B$3625</f>
        <v/>
      </c>
      <c r="U4794" s="21">
        <f>$B$3627</f>
        <v/>
      </c>
      <c r="V4794" s="21" t="n">
        <v>0</v>
      </c>
      <c r="W4794" s="21" t="n">
        <v>0</v>
      </c>
      <c r="X4794" s="21" t="n">
        <v>0</v>
      </c>
      <c r="Y4794" s="21" t="n">
        <v>0</v>
      </c>
      <c r="Z4794" s="19" t="n"/>
    </row>
    <row r="4795">
      <c r="D4795" s="21" t="n">
        <v>0</v>
      </c>
      <c r="E4795" s="21" t="n">
        <v>0</v>
      </c>
      <c r="F4795" s="21" t="n">
        <v>0</v>
      </c>
      <c r="G4795" s="21" t="n">
        <v>0</v>
      </c>
      <c r="H4795" s="21" t="n">
        <v>0</v>
      </c>
      <c r="I4795" s="21" t="n">
        <v>0</v>
      </c>
      <c r="J4795" s="21" t="n">
        <v>0</v>
      </c>
      <c r="K4795" s="21" t="n">
        <v>0</v>
      </c>
      <c r="L4795" s="21" t="n">
        <v>0</v>
      </c>
      <c r="M4795" s="21" t="n">
        <v>0</v>
      </c>
      <c r="N4795" s="21" t="n">
        <v>0</v>
      </c>
      <c r="O4795" s="21" t="n">
        <v>0</v>
      </c>
      <c r="P4795" s="21" t="n">
        <v>0</v>
      </c>
      <c r="Q4795" s="21" t="n">
        <v>0</v>
      </c>
      <c r="R4795" s="21">
        <f>-$B$3624</f>
        <v/>
      </c>
      <c r="S4795" s="21">
        <f>-$B$3625</f>
        <v/>
      </c>
      <c r="T4795" s="21">
        <f>2*$B$3624+$D$4775</f>
        <v/>
      </c>
      <c r="U4795" s="21">
        <f>0</f>
        <v/>
      </c>
      <c r="V4795" s="21">
        <f>-$B$3624</f>
        <v/>
      </c>
      <c r="W4795" s="21">
        <f>$B$3625</f>
        <v/>
      </c>
      <c r="X4795" s="21" t="n">
        <v>0</v>
      </c>
      <c r="Y4795" s="21" t="n">
        <v>0</v>
      </c>
      <c r="Z4795" s="19" t="n"/>
    </row>
    <row r="4796">
      <c r="D4796" s="21" t="n">
        <v>0</v>
      </c>
      <c r="E4796" s="21" t="n">
        <v>0</v>
      </c>
      <c r="F4796" s="21" t="n">
        <v>0</v>
      </c>
      <c r="G4796" s="21" t="n">
        <v>0</v>
      </c>
      <c r="H4796" s="21" t="n">
        <v>0</v>
      </c>
      <c r="I4796" s="21" t="n">
        <v>0</v>
      </c>
      <c r="J4796" s="21" t="n">
        <v>0</v>
      </c>
      <c r="K4796" s="21" t="n">
        <v>0</v>
      </c>
      <c r="L4796" s="21" t="n">
        <v>0</v>
      </c>
      <c r="M4796" s="21" t="n">
        <v>0</v>
      </c>
      <c r="N4796" s="21" t="n">
        <v>0</v>
      </c>
      <c r="O4796" s="21" t="n">
        <v>0</v>
      </c>
      <c r="P4796" s="21" t="n">
        <v>0</v>
      </c>
      <c r="Q4796" s="21" t="n">
        <v>0</v>
      </c>
      <c r="R4796" s="21">
        <f>$B$3625</f>
        <v/>
      </c>
      <c r="S4796" s="21">
        <f>$B$3627</f>
        <v/>
      </c>
      <c r="T4796" s="21">
        <f>0</f>
        <v/>
      </c>
      <c r="U4796" s="21">
        <f>2*$B$3626</f>
        <v/>
      </c>
      <c r="V4796" s="21">
        <f>-$B$3625</f>
        <v/>
      </c>
      <c r="W4796" s="21">
        <f>$B$3627</f>
        <v/>
      </c>
      <c r="X4796" s="21" t="n">
        <v>0</v>
      </c>
      <c r="Y4796" s="21" t="n">
        <v>0</v>
      </c>
      <c r="Z4796" s="19" t="n"/>
    </row>
    <row r="4797">
      <c r="D4797" s="21" t="n">
        <v>0</v>
      </c>
      <c r="E4797" s="21" t="n">
        <v>0</v>
      </c>
      <c r="F4797" s="21" t="n">
        <v>0</v>
      </c>
      <c r="G4797" s="21" t="n">
        <v>0</v>
      </c>
      <c r="H4797" s="21" t="n">
        <v>0</v>
      </c>
      <c r="I4797" s="21" t="n">
        <v>0</v>
      </c>
      <c r="J4797" s="21" t="n">
        <v>0</v>
      </c>
      <c r="K4797" s="21" t="n">
        <v>0</v>
      </c>
      <c r="L4797" s="21" t="n">
        <v>0</v>
      </c>
      <c r="M4797" s="21" t="n">
        <v>0</v>
      </c>
      <c r="N4797" s="21" t="n">
        <v>0</v>
      </c>
      <c r="O4797" s="21" t="n">
        <v>0</v>
      </c>
      <c r="P4797" s="21" t="n">
        <v>0</v>
      </c>
      <c r="Q4797" s="21" t="n">
        <v>0</v>
      </c>
      <c r="R4797" s="21" t="n">
        <v>0</v>
      </c>
      <c r="S4797" s="21" t="n">
        <v>0</v>
      </c>
      <c r="T4797" s="21">
        <f>-$B$3624</f>
        <v/>
      </c>
      <c r="U4797" s="21">
        <f>-$B$3625</f>
        <v/>
      </c>
      <c r="V4797" s="21">
        <f>2*$B$3624+$D$4776</f>
        <v/>
      </c>
      <c r="W4797" s="21">
        <f>0</f>
        <v/>
      </c>
      <c r="X4797" s="21">
        <f>-$B$3624</f>
        <v/>
      </c>
      <c r="Y4797" s="21">
        <f>$B$3625</f>
        <v/>
      </c>
      <c r="Z4797" s="19" t="n"/>
    </row>
    <row r="4798">
      <c r="D4798" s="21" t="n">
        <v>0</v>
      </c>
      <c r="E4798" s="21" t="n">
        <v>0</v>
      </c>
      <c r="F4798" s="21" t="n">
        <v>0</v>
      </c>
      <c r="G4798" s="21" t="n">
        <v>0</v>
      </c>
      <c r="H4798" s="21" t="n">
        <v>0</v>
      </c>
      <c r="I4798" s="21" t="n">
        <v>0</v>
      </c>
      <c r="J4798" s="21" t="n">
        <v>0</v>
      </c>
      <c r="K4798" s="21" t="n">
        <v>0</v>
      </c>
      <c r="L4798" s="21" t="n">
        <v>0</v>
      </c>
      <c r="M4798" s="21" t="n">
        <v>0</v>
      </c>
      <c r="N4798" s="21" t="n">
        <v>0</v>
      </c>
      <c r="O4798" s="21" t="n">
        <v>0</v>
      </c>
      <c r="P4798" s="21" t="n">
        <v>0</v>
      </c>
      <c r="Q4798" s="21" t="n">
        <v>0</v>
      </c>
      <c r="R4798" s="21" t="n">
        <v>0</v>
      </c>
      <c r="S4798" s="21" t="n">
        <v>0</v>
      </c>
      <c r="T4798" s="21">
        <f>$B$3625</f>
        <v/>
      </c>
      <c r="U4798" s="21">
        <f>$B$3627</f>
        <v/>
      </c>
      <c r="V4798" s="21">
        <f>0</f>
        <v/>
      </c>
      <c r="W4798" s="21">
        <f>2*$B$3626</f>
        <v/>
      </c>
      <c r="X4798" s="21">
        <f>-$B$3625</f>
        <v/>
      </c>
      <c r="Y4798" s="21">
        <f>$B$3627</f>
        <v/>
      </c>
      <c r="Z4798" s="19" t="n"/>
    </row>
    <row r="4799">
      <c r="D4799" s="21" t="n">
        <v>0</v>
      </c>
      <c r="E4799" s="21" t="n">
        <v>0</v>
      </c>
      <c r="F4799" s="21" t="n">
        <v>0</v>
      </c>
      <c r="G4799" s="21" t="n">
        <v>0</v>
      </c>
      <c r="H4799" s="21" t="n">
        <v>0</v>
      </c>
      <c r="I4799" s="21" t="n">
        <v>0</v>
      </c>
      <c r="J4799" s="21" t="n">
        <v>0</v>
      </c>
      <c r="K4799" s="21" t="n">
        <v>0</v>
      </c>
      <c r="L4799" s="21" t="n">
        <v>0</v>
      </c>
      <c r="M4799" s="21" t="n">
        <v>0</v>
      </c>
      <c r="N4799" s="21" t="n">
        <v>0</v>
      </c>
      <c r="O4799" s="21" t="n">
        <v>0</v>
      </c>
      <c r="P4799" s="21" t="n">
        <v>0</v>
      </c>
      <c r="Q4799" s="21" t="n">
        <v>0</v>
      </c>
      <c r="R4799" s="21" t="n">
        <v>0</v>
      </c>
      <c r="S4799" s="21" t="n">
        <v>0</v>
      </c>
      <c r="T4799" s="21" t="n">
        <v>0</v>
      </c>
      <c r="U4799" s="21" t="n">
        <v>0</v>
      </c>
      <c r="V4799" s="21">
        <f>-$B$3624</f>
        <v/>
      </c>
      <c r="W4799" s="21">
        <f>-$B$3625</f>
        <v/>
      </c>
      <c r="X4799" s="21">
        <f>$B$3624+$D$4777</f>
        <v/>
      </c>
      <c r="Y4799" s="21">
        <f>-$B$3625</f>
        <v/>
      </c>
      <c r="Z4799" s="19" t="n"/>
    </row>
    <row r="4800">
      <c r="D4800" s="21" t="n">
        <v>0</v>
      </c>
      <c r="E4800" s="21" t="n">
        <v>0</v>
      </c>
      <c r="F4800" s="21" t="n">
        <v>0</v>
      </c>
      <c r="G4800" s="21" t="n">
        <v>0</v>
      </c>
      <c r="H4800" s="21" t="n">
        <v>0</v>
      </c>
      <c r="I4800" s="21" t="n">
        <v>0</v>
      </c>
      <c r="J4800" s="21" t="n">
        <v>0</v>
      </c>
      <c r="K4800" s="21" t="n">
        <v>0</v>
      </c>
      <c r="L4800" s="21" t="n">
        <v>0</v>
      </c>
      <c r="M4800" s="21" t="n">
        <v>0</v>
      </c>
      <c r="N4800" s="21" t="n">
        <v>0</v>
      </c>
      <c r="O4800" s="21" t="n">
        <v>0</v>
      </c>
      <c r="P4800" s="21" t="n">
        <v>0</v>
      </c>
      <c r="Q4800" s="21" t="n">
        <v>0</v>
      </c>
      <c r="R4800" s="21" t="n">
        <v>0</v>
      </c>
      <c r="S4800" s="21" t="n">
        <v>0</v>
      </c>
      <c r="T4800" s="21" t="n">
        <v>0</v>
      </c>
      <c r="U4800" s="21" t="n">
        <v>0</v>
      </c>
      <c r="V4800" s="21">
        <f>$B$3625</f>
        <v/>
      </c>
      <c r="W4800" s="21">
        <f>$B$3627</f>
        <v/>
      </c>
      <c r="X4800" s="21">
        <f>-$B$3625</f>
        <v/>
      </c>
      <c r="Y4800" s="21">
        <f>$B$3626</f>
        <v/>
      </c>
      <c r="Z4800" s="19" t="n"/>
    </row>
    <row r="4802">
      <c r="A4802" s="8" t="inlineStr">
        <is>
          <t>gen 32</t>
        </is>
      </c>
    </row>
    <row r="4803">
      <c r="D4803" s="19">
        <f>IF(ABS(IF(ABS($E$4767)&gt;0.000000001,$E$4767,0.000000001))=0,0,IF($E$3639&lt;=$B$3633,0,IF(ABS(IF(ABS($E$4767)&gt;0.000000001,$E$4767,0.000000001))&gt;=8*$B$3635,$H$3639,0.5*$H$3639*(ABS(IF(ABS($E$4767)&gt;0.000000001,$E$4767,0.000000001))/$B$3635)^(1/3)))/ABS(IF(ABS($E$4767)&gt;0.000000001,$E$4767,0.000000001))*$I$3639)</f>
        <v/>
      </c>
      <c r="E4803" s="19">
        <f>0.5*$E$4767+0.5*$Z$4815</f>
        <v/>
      </c>
      <c r="F4803" s="19">
        <f>$Z$4816</f>
        <v/>
      </c>
    </row>
    <row r="4804">
      <c r="D4804" s="19">
        <f>IF(ABS(IF(ABS($E$4768)&gt;0.000000001,$E$4768,0.000000001))=0,0,IF($E$3640&lt;=$B$3633,0,IF(ABS(IF(ABS($E$4768)&gt;0.000000001,$E$4768,0.000000001))&gt;=8*$B$3635,$H$3640,0.5*$H$3640*(ABS(IF(ABS($E$4768)&gt;0.000000001,$E$4768,0.000000001))/$B$3635)^(1/3)))/ABS(IF(ABS($E$4768)&gt;0.000000001,$E$4768,0.000000001))*$I$3640)</f>
        <v/>
      </c>
      <c r="E4804" s="19">
        <f>0.5*$E$4768+0.5*$Z$4817</f>
        <v/>
      </c>
      <c r="F4804" s="19">
        <f>$Z$4818</f>
        <v/>
      </c>
    </row>
    <row r="4805">
      <c r="D4805" s="19">
        <f>IF(ABS(IF(ABS($E$4769)&gt;0.000000001,$E$4769,0.000000001))=0,0,IF($E$3641&lt;=$B$3633,0,IF(ABS(IF(ABS($E$4769)&gt;0.000000001,$E$4769,0.000000001))&gt;=8*$B$3635,$H$3641,0.5*$H$3641*(ABS(IF(ABS($E$4769)&gt;0.000000001,$E$4769,0.000000001))/$B$3635)^(1/3)))/ABS(IF(ABS($E$4769)&gt;0.000000001,$E$4769,0.000000001))*$I$3641)</f>
        <v/>
      </c>
      <c r="E4805" s="19">
        <f>0.5*$E$4769+0.5*$Z$4819</f>
        <v/>
      </c>
      <c r="F4805" s="19">
        <f>$Z$4820</f>
        <v/>
      </c>
    </row>
    <row r="4806">
      <c r="D4806" s="19">
        <f>IF(ABS(IF(ABS($E$4770)&gt;0.000000001,$E$4770,0.000000001))=0,0,IF($E$3642&lt;=$B$3633,0,IF(ABS(IF(ABS($E$4770)&gt;0.000000001,$E$4770,0.000000001))&gt;=8*$B$3635,$H$3642,0.5*$H$3642*(ABS(IF(ABS($E$4770)&gt;0.000000001,$E$4770,0.000000001))/$B$3635)^(1/3)))/ABS(IF(ABS($E$4770)&gt;0.000000001,$E$4770,0.000000001))*$I$3642)</f>
        <v/>
      </c>
      <c r="E4806" s="19">
        <f>0.5*$E$4770+0.5*$Z$4821</f>
        <v/>
      </c>
      <c r="F4806" s="19">
        <f>$Z$4822</f>
        <v/>
      </c>
    </row>
    <row r="4807">
      <c r="D4807" s="19">
        <f>IF(ABS(IF(ABS($E$4771)&gt;0.000000001,$E$4771,0.000000001))=0,0,IF($E$3643&lt;=$B$3633,0,IF(ABS(IF(ABS($E$4771)&gt;0.000000001,$E$4771,0.000000001))&gt;=8*$B$3635,$H$3643,0.5*$H$3643*(ABS(IF(ABS($E$4771)&gt;0.000000001,$E$4771,0.000000001))/$B$3635)^(1/3)))/ABS(IF(ABS($E$4771)&gt;0.000000001,$E$4771,0.000000001))*$I$3643)</f>
        <v/>
      </c>
      <c r="E4807" s="19">
        <f>0.5*$E$4771+0.5*$Z$4823</f>
        <v/>
      </c>
      <c r="F4807" s="19">
        <f>$Z$4824</f>
        <v/>
      </c>
    </row>
    <row r="4808">
      <c r="D4808" s="19">
        <f>IF(ABS(IF(ABS($E$4772)&gt;0.000000001,$E$4772,0.000000001))=0,0,IF($E$3644&lt;=$B$3633,0,IF(ABS(IF(ABS($E$4772)&gt;0.000000001,$E$4772,0.000000001))&gt;=8*$B$3635,$H$3644,0.5*$H$3644*(ABS(IF(ABS($E$4772)&gt;0.000000001,$E$4772,0.000000001))/$B$3635)^(1/3)))/ABS(IF(ABS($E$4772)&gt;0.000000001,$E$4772,0.000000001))*$I$3644)</f>
        <v/>
      </c>
      <c r="E4808" s="19">
        <f>0.5*$E$4772+0.5*$Z$4825</f>
        <v/>
      </c>
      <c r="F4808" s="19">
        <f>$Z$4826</f>
        <v/>
      </c>
    </row>
    <row r="4809">
      <c r="D4809" s="19">
        <f>IF(ABS(IF(ABS($E$4773)&gt;0.000000001,$E$4773,0.000000001))=0,0,IF($E$3645&lt;=$B$3633,0,IF(ABS(IF(ABS($E$4773)&gt;0.000000001,$E$4773,0.000000001))&gt;=8*$B$3635,$H$3645,0.5*$H$3645*(ABS(IF(ABS($E$4773)&gt;0.000000001,$E$4773,0.000000001))/$B$3635)^(1/3)))/ABS(IF(ABS($E$4773)&gt;0.000000001,$E$4773,0.000000001))*$I$3645)</f>
        <v/>
      </c>
      <c r="E4809" s="19">
        <f>0.5*$E$4773+0.5*$Z$4827</f>
        <v/>
      </c>
      <c r="F4809" s="19">
        <f>$Z$4828</f>
        <v/>
      </c>
    </row>
    <row r="4810">
      <c r="D4810" s="19">
        <f>IF(ABS(IF(ABS($E$4774)&gt;0.000000001,$E$4774,0.000000001))=0,0,IF($E$3646&lt;=$B$3633,0,IF(ABS(IF(ABS($E$4774)&gt;0.000000001,$E$4774,0.000000001))&gt;=8*$B$3635,$H$3646,0.5*$H$3646*(ABS(IF(ABS($E$4774)&gt;0.000000001,$E$4774,0.000000001))/$B$3635)^(1/3)))/ABS(IF(ABS($E$4774)&gt;0.000000001,$E$4774,0.000000001))*$I$3646)</f>
        <v/>
      </c>
      <c r="E4810" s="19">
        <f>0.5*$E$4774+0.5*$Z$4829</f>
        <v/>
      </c>
      <c r="F4810" s="19">
        <f>$Z$4830</f>
        <v/>
      </c>
    </row>
    <row r="4811">
      <c r="D4811" s="19">
        <f>IF(ABS(IF(ABS($E$4775)&gt;0.000000001,$E$4775,0.000000001))=0,0,IF($E$3647&lt;=$B$3633,0,IF(ABS(IF(ABS($E$4775)&gt;0.000000001,$E$4775,0.000000001))&gt;=8*$B$3635,$H$3647,0.5*$H$3647*(ABS(IF(ABS($E$4775)&gt;0.000000001,$E$4775,0.000000001))/$B$3635)^(1/3)))/ABS(IF(ABS($E$4775)&gt;0.000000001,$E$4775,0.000000001))*$I$3647)</f>
        <v/>
      </c>
      <c r="E4811" s="19">
        <f>0.5*$E$4775+0.5*$Z$4831</f>
        <v/>
      </c>
      <c r="F4811" s="19">
        <f>$Z$4832</f>
        <v/>
      </c>
    </row>
    <row r="4812">
      <c r="D4812" s="19">
        <f>IF(ABS(IF(ABS($E$4776)&gt;0.000000001,$E$4776,0.000000001))=0,0,IF($E$3648&lt;=$B$3633,0,IF(ABS(IF(ABS($E$4776)&gt;0.000000001,$E$4776,0.000000001))&gt;=8*$B$3635,$H$3648,0.5*$H$3648*(ABS(IF(ABS($E$4776)&gt;0.000000001,$E$4776,0.000000001))/$B$3635)^(1/3)))/ABS(IF(ABS($E$4776)&gt;0.000000001,$E$4776,0.000000001))*$I$3648)</f>
        <v/>
      </c>
      <c r="E4812" s="19">
        <f>0.5*$E$4776+0.5*$Z$4833</f>
        <v/>
      </c>
      <c r="F4812" s="19">
        <f>$Z$4834</f>
        <v/>
      </c>
    </row>
    <row r="4813">
      <c r="D4813" s="19">
        <f>IF(ABS(IF(ABS($E$4777)&gt;0.000000001,$E$4777,0.000000001))=0,0,IF($E$3649&lt;=$B$3633,0,IF(ABS(IF(ABS($E$4777)&gt;0.000000001,$E$4777,0.000000001))&gt;=8*$B$3635,$H$3649,0.5*$H$3649*(ABS(IF(ABS($E$4777)&gt;0.000000001,$E$4777,0.000000001))/$B$3635)^(1/3)))/ABS(IF(ABS($E$4777)&gt;0.000000001,$E$4777,0.000000001))*$I$3649)</f>
        <v/>
      </c>
      <c r="E4813" s="19">
        <f>0.5*$E$4777+0.5*$Z$4835</f>
        <v/>
      </c>
      <c r="F4813" s="19">
        <f>$Z$4836</f>
        <v/>
      </c>
    </row>
    <row r="4815">
      <c r="D4815" s="21">
        <f>$B$3624+$D$4803</f>
        <v/>
      </c>
      <c r="E4815" s="21">
        <f>$B$3625</f>
        <v/>
      </c>
      <c r="F4815" s="21">
        <f>-$B$3624</f>
        <v/>
      </c>
      <c r="G4815" s="21">
        <f>$B$3625</f>
        <v/>
      </c>
      <c r="H4815" s="21" t="n">
        <v>0</v>
      </c>
      <c r="I4815" s="21" t="n">
        <v>0</v>
      </c>
      <c r="J4815" s="21" t="n">
        <v>0</v>
      </c>
      <c r="K4815" s="21" t="n">
        <v>0</v>
      </c>
      <c r="L4815" s="21" t="n">
        <v>0</v>
      </c>
      <c r="M4815" s="21" t="n">
        <v>0</v>
      </c>
      <c r="N4815" s="21" t="n">
        <v>0</v>
      </c>
      <c r="O4815" s="21" t="n">
        <v>0</v>
      </c>
      <c r="P4815" s="21" t="n">
        <v>0</v>
      </c>
      <c r="Q4815" s="21" t="n">
        <v>0</v>
      </c>
      <c r="R4815" s="21" t="n">
        <v>0</v>
      </c>
      <c r="S4815" s="21" t="n">
        <v>0</v>
      </c>
      <c r="T4815" s="21" t="n">
        <v>0</v>
      </c>
      <c r="U4815" s="21" t="n">
        <v>0</v>
      </c>
      <c r="V4815" s="21" t="n">
        <v>0</v>
      </c>
      <c r="W4815" s="21" t="n">
        <v>0</v>
      </c>
      <c r="X4815" s="21" t="n">
        <v>0</v>
      </c>
      <c r="Y4815" s="21" t="n">
        <v>0</v>
      </c>
      <c r="Z4815" s="19">
        <f t="array" ref="Z4815:Z4836">MMULT(MINVERSE($D$4815:$Y$4836),$D$3651:$D$3672)</f>
        <v/>
      </c>
    </row>
    <row r="4816">
      <c r="D4816" s="21">
        <f>$B$3625</f>
        <v/>
      </c>
      <c r="E4816" s="21">
        <f>$B$3626</f>
        <v/>
      </c>
      <c r="F4816" s="21">
        <f>-$B$3625</f>
        <v/>
      </c>
      <c r="G4816" s="21">
        <f>$B$3627</f>
        <v/>
      </c>
      <c r="H4816" s="21" t="n">
        <v>0</v>
      </c>
      <c r="I4816" s="21" t="n">
        <v>0</v>
      </c>
      <c r="J4816" s="21" t="n">
        <v>0</v>
      </c>
      <c r="K4816" s="21" t="n">
        <v>0</v>
      </c>
      <c r="L4816" s="21" t="n">
        <v>0</v>
      </c>
      <c r="M4816" s="21" t="n">
        <v>0</v>
      </c>
      <c r="N4816" s="21" t="n">
        <v>0</v>
      </c>
      <c r="O4816" s="21" t="n">
        <v>0</v>
      </c>
      <c r="P4816" s="21" t="n">
        <v>0</v>
      </c>
      <c r="Q4816" s="21" t="n">
        <v>0</v>
      </c>
      <c r="R4816" s="21" t="n">
        <v>0</v>
      </c>
      <c r="S4816" s="21" t="n">
        <v>0</v>
      </c>
      <c r="T4816" s="21" t="n">
        <v>0</v>
      </c>
      <c r="U4816" s="21" t="n">
        <v>0</v>
      </c>
      <c r="V4816" s="21" t="n">
        <v>0</v>
      </c>
      <c r="W4816" s="21" t="n">
        <v>0</v>
      </c>
      <c r="X4816" s="21" t="n">
        <v>0</v>
      </c>
      <c r="Y4816" s="21" t="n">
        <v>0</v>
      </c>
      <c r="Z4816" s="19" t="n"/>
    </row>
    <row r="4817">
      <c r="D4817" s="21">
        <f>-$B$3624</f>
        <v/>
      </c>
      <c r="E4817" s="21">
        <f>-$B$3625</f>
        <v/>
      </c>
      <c r="F4817" s="21">
        <f>2*$B$3624+$D$4804</f>
        <v/>
      </c>
      <c r="G4817" s="21">
        <f>0</f>
        <v/>
      </c>
      <c r="H4817" s="21">
        <f>-$B$3624</f>
        <v/>
      </c>
      <c r="I4817" s="21">
        <f>$B$3625</f>
        <v/>
      </c>
      <c r="J4817" s="21" t="n">
        <v>0</v>
      </c>
      <c r="K4817" s="21" t="n">
        <v>0</v>
      </c>
      <c r="L4817" s="21" t="n">
        <v>0</v>
      </c>
      <c r="M4817" s="21" t="n">
        <v>0</v>
      </c>
      <c r="N4817" s="21" t="n">
        <v>0</v>
      </c>
      <c r="O4817" s="21" t="n">
        <v>0</v>
      </c>
      <c r="P4817" s="21" t="n">
        <v>0</v>
      </c>
      <c r="Q4817" s="21" t="n">
        <v>0</v>
      </c>
      <c r="R4817" s="21" t="n">
        <v>0</v>
      </c>
      <c r="S4817" s="21" t="n">
        <v>0</v>
      </c>
      <c r="T4817" s="21" t="n">
        <v>0</v>
      </c>
      <c r="U4817" s="21" t="n">
        <v>0</v>
      </c>
      <c r="V4817" s="21" t="n">
        <v>0</v>
      </c>
      <c r="W4817" s="21" t="n">
        <v>0</v>
      </c>
      <c r="X4817" s="21" t="n">
        <v>0</v>
      </c>
      <c r="Y4817" s="21" t="n">
        <v>0</v>
      </c>
      <c r="Z4817" s="19" t="n"/>
    </row>
    <row r="4818">
      <c r="D4818" s="21">
        <f>$B$3625</f>
        <v/>
      </c>
      <c r="E4818" s="21">
        <f>$B$3627</f>
        <v/>
      </c>
      <c r="F4818" s="21">
        <f>0</f>
        <v/>
      </c>
      <c r="G4818" s="21">
        <f>2*$B$3626</f>
        <v/>
      </c>
      <c r="H4818" s="21">
        <f>-$B$3625</f>
        <v/>
      </c>
      <c r="I4818" s="21">
        <f>$B$3627</f>
        <v/>
      </c>
      <c r="J4818" s="21" t="n">
        <v>0</v>
      </c>
      <c r="K4818" s="21" t="n">
        <v>0</v>
      </c>
      <c r="L4818" s="21" t="n">
        <v>0</v>
      </c>
      <c r="M4818" s="21" t="n">
        <v>0</v>
      </c>
      <c r="N4818" s="21" t="n">
        <v>0</v>
      </c>
      <c r="O4818" s="21" t="n">
        <v>0</v>
      </c>
      <c r="P4818" s="21" t="n">
        <v>0</v>
      </c>
      <c r="Q4818" s="21" t="n">
        <v>0</v>
      </c>
      <c r="R4818" s="21" t="n">
        <v>0</v>
      </c>
      <c r="S4818" s="21" t="n">
        <v>0</v>
      </c>
      <c r="T4818" s="21" t="n">
        <v>0</v>
      </c>
      <c r="U4818" s="21" t="n">
        <v>0</v>
      </c>
      <c r="V4818" s="21" t="n">
        <v>0</v>
      </c>
      <c r="W4818" s="21" t="n">
        <v>0</v>
      </c>
      <c r="X4818" s="21" t="n">
        <v>0</v>
      </c>
      <c r="Y4818" s="21" t="n">
        <v>0</v>
      </c>
      <c r="Z4818" s="19" t="n"/>
    </row>
    <row r="4819">
      <c r="D4819" s="21" t="n">
        <v>0</v>
      </c>
      <c r="E4819" s="21" t="n">
        <v>0</v>
      </c>
      <c r="F4819" s="21">
        <f>-$B$3624</f>
        <v/>
      </c>
      <c r="G4819" s="21">
        <f>-$B$3625</f>
        <v/>
      </c>
      <c r="H4819" s="21">
        <f>2*$B$3624+$D$4805</f>
        <v/>
      </c>
      <c r="I4819" s="21">
        <f>0</f>
        <v/>
      </c>
      <c r="J4819" s="21">
        <f>-$B$3624</f>
        <v/>
      </c>
      <c r="K4819" s="21">
        <f>$B$3625</f>
        <v/>
      </c>
      <c r="L4819" s="21" t="n">
        <v>0</v>
      </c>
      <c r="M4819" s="21" t="n">
        <v>0</v>
      </c>
      <c r="N4819" s="21" t="n">
        <v>0</v>
      </c>
      <c r="O4819" s="21" t="n">
        <v>0</v>
      </c>
      <c r="P4819" s="21" t="n">
        <v>0</v>
      </c>
      <c r="Q4819" s="21" t="n">
        <v>0</v>
      </c>
      <c r="R4819" s="21" t="n">
        <v>0</v>
      </c>
      <c r="S4819" s="21" t="n">
        <v>0</v>
      </c>
      <c r="T4819" s="21" t="n">
        <v>0</v>
      </c>
      <c r="U4819" s="21" t="n">
        <v>0</v>
      </c>
      <c r="V4819" s="21" t="n">
        <v>0</v>
      </c>
      <c r="W4819" s="21" t="n">
        <v>0</v>
      </c>
      <c r="X4819" s="21" t="n">
        <v>0</v>
      </c>
      <c r="Y4819" s="21" t="n">
        <v>0</v>
      </c>
      <c r="Z4819" s="19" t="n"/>
    </row>
    <row r="4820">
      <c r="D4820" s="21" t="n">
        <v>0</v>
      </c>
      <c r="E4820" s="21" t="n">
        <v>0</v>
      </c>
      <c r="F4820" s="21">
        <f>$B$3625</f>
        <v/>
      </c>
      <c r="G4820" s="21">
        <f>$B$3627</f>
        <v/>
      </c>
      <c r="H4820" s="21">
        <f>0</f>
        <v/>
      </c>
      <c r="I4820" s="21">
        <f>2*$B$3626</f>
        <v/>
      </c>
      <c r="J4820" s="21">
        <f>-$B$3625</f>
        <v/>
      </c>
      <c r="K4820" s="21">
        <f>$B$3627</f>
        <v/>
      </c>
      <c r="L4820" s="21" t="n">
        <v>0</v>
      </c>
      <c r="M4820" s="21" t="n">
        <v>0</v>
      </c>
      <c r="N4820" s="21" t="n">
        <v>0</v>
      </c>
      <c r="O4820" s="21" t="n">
        <v>0</v>
      </c>
      <c r="P4820" s="21" t="n">
        <v>0</v>
      </c>
      <c r="Q4820" s="21" t="n">
        <v>0</v>
      </c>
      <c r="R4820" s="21" t="n">
        <v>0</v>
      </c>
      <c r="S4820" s="21" t="n">
        <v>0</v>
      </c>
      <c r="T4820" s="21" t="n">
        <v>0</v>
      </c>
      <c r="U4820" s="21" t="n">
        <v>0</v>
      </c>
      <c r="V4820" s="21" t="n">
        <v>0</v>
      </c>
      <c r="W4820" s="21" t="n">
        <v>0</v>
      </c>
      <c r="X4820" s="21" t="n">
        <v>0</v>
      </c>
      <c r="Y4820" s="21" t="n">
        <v>0</v>
      </c>
      <c r="Z4820" s="19" t="n"/>
    </row>
    <row r="4821">
      <c r="D4821" s="21" t="n">
        <v>0</v>
      </c>
      <c r="E4821" s="21" t="n">
        <v>0</v>
      </c>
      <c r="F4821" s="21" t="n">
        <v>0</v>
      </c>
      <c r="G4821" s="21" t="n">
        <v>0</v>
      </c>
      <c r="H4821" s="21">
        <f>-$B$3624</f>
        <v/>
      </c>
      <c r="I4821" s="21">
        <f>-$B$3625</f>
        <v/>
      </c>
      <c r="J4821" s="21">
        <f>2*$B$3624+$D$4806</f>
        <v/>
      </c>
      <c r="K4821" s="21">
        <f>0</f>
        <v/>
      </c>
      <c r="L4821" s="21">
        <f>-$B$3624</f>
        <v/>
      </c>
      <c r="M4821" s="21">
        <f>$B$3625</f>
        <v/>
      </c>
      <c r="N4821" s="21" t="n">
        <v>0</v>
      </c>
      <c r="O4821" s="21" t="n">
        <v>0</v>
      </c>
      <c r="P4821" s="21" t="n">
        <v>0</v>
      </c>
      <c r="Q4821" s="21" t="n">
        <v>0</v>
      </c>
      <c r="R4821" s="21" t="n">
        <v>0</v>
      </c>
      <c r="S4821" s="21" t="n">
        <v>0</v>
      </c>
      <c r="T4821" s="21" t="n">
        <v>0</v>
      </c>
      <c r="U4821" s="21" t="n">
        <v>0</v>
      </c>
      <c r="V4821" s="21" t="n">
        <v>0</v>
      </c>
      <c r="W4821" s="21" t="n">
        <v>0</v>
      </c>
      <c r="X4821" s="21" t="n">
        <v>0</v>
      </c>
      <c r="Y4821" s="21" t="n">
        <v>0</v>
      </c>
      <c r="Z4821" s="19" t="n"/>
    </row>
    <row r="4822">
      <c r="D4822" s="21" t="n">
        <v>0</v>
      </c>
      <c r="E4822" s="21" t="n">
        <v>0</v>
      </c>
      <c r="F4822" s="21" t="n">
        <v>0</v>
      </c>
      <c r="G4822" s="21" t="n">
        <v>0</v>
      </c>
      <c r="H4822" s="21">
        <f>$B$3625</f>
        <v/>
      </c>
      <c r="I4822" s="21">
        <f>$B$3627</f>
        <v/>
      </c>
      <c r="J4822" s="21">
        <f>0</f>
        <v/>
      </c>
      <c r="K4822" s="21">
        <f>2*$B$3626</f>
        <v/>
      </c>
      <c r="L4822" s="21">
        <f>-$B$3625</f>
        <v/>
      </c>
      <c r="M4822" s="21">
        <f>$B$3627</f>
        <v/>
      </c>
      <c r="N4822" s="21" t="n">
        <v>0</v>
      </c>
      <c r="O4822" s="21" t="n">
        <v>0</v>
      </c>
      <c r="P4822" s="21" t="n">
        <v>0</v>
      </c>
      <c r="Q4822" s="21" t="n">
        <v>0</v>
      </c>
      <c r="R4822" s="21" t="n">
        <v>0</v>
      </c>
      <c r="S4822" s="21" t="n">
        <v>0</v>
      </c>
      <c r="T4822" s="21" t="n">
        <v>0</v>
      </c>
      <c r="U4822" s="21" t="n">
        <v>0</v>
      </c>
      <c r="V4822" s="21" t="n">
        <v>0</v>
      </c>
      <c r="W4822" s="21" t="n">
        <v>0</v>
      </c>
      <c r="X4822" s="21" t="n">
        <v>0</v>
      </c>
      <c r="Y4822" s="21" t="n">
        <v>0</v>
      </c>
      <c r="Z4822" s="19" t="n"/>
    </row>
    <row r="4823">
      <c r="D4823" s="21" t="n">
        <v>0</v>
      </c>
      <c r="E4823" s="21" t="n">
        <v>0</v>
      </c>
      <c r="F4823" s="21" t="n">
        <v>0</v>
      </c>
      <c r="G4823" s="21" t="n">
        <v>0</v>
      </c>
      <c r="H4823" s="21" t="n">
        <v>0</v>
      </c>
      <c r="I4823" s="21" t="n">
        <v>0</v>
      </c>
      <c r="J4823" s="21">
        <f>-$B$3624</f>
        <v/>
      </c>
      <c r="K4823" s="21">
        <f>-$B$3625</f>
        <v/>
      </c>
      <c r="L4823" s="21">
        <f>2*$B$3624+$D$4807</f>
        <v/>
      </c>
      <c r="M4823" s="21">
        <f>0</f>
        <v/>
      </c>
      <c r="N4823" s="21">
        <f>-$B$3624</f>
        <v/>
      </c>
      <c r="O4823" s="21">
        <f>$B$3625</f>
        <v/>
      </c>
      <c r="P4823" s="21" t="n">
        <v>0</v>
      </c>
      <c r="Q4823" s="21" t="n">
        <v>0</v>
      </c>
      <c r="R4823" s="21" t="n">
        <v>0</v>
      </c>
      <c r="S4823" s="21" t="n">
        <v>0</v>
      </c>
      <c r="T4823" s="21" t="n">
        <v>0</v>
      </c>
      <c r="U4823" s="21" t="n">
        <v>0</v>
      </c>
      <c r="V4823" s="21" t="n">
        <v>0</v>
      </c>
      <c r="W4823" s="21" t="n">
        <v>0</v>
      </c>
      <c r="X4823" s="21" t="n">
        <v>0</v>
      </c>
      <c r="Y4823" s="21" t="n">
        <v>0</v>
      </c>
      <c r="Z4823" s="19" t="n"/>
    </row>
    <row r="4824">
      <c r="D4824" s="21" t="n">
        <v>0</v>
      </c>
      <c r="E4824" s="21" t="n">
        <v>0</v>
      </c>
      <c r="F4824" s="21" t="n">
        <v>0</v>
      </c>
      <c r="G4824" s="21" t="n">
        <v>0</v>
      </c>
      <c r="H4824" s="21" t="n">
        <v>0</v>
      </c>
      <c r="I4824" s="21" t="n">
        <v>0</v>
      </c>
      <c r="J4824" s="21">
        <f>$B$3625</f>
        <v/>
      </c>
      <c r="K4824" s="21">
        <f>$B$3627</f>
        <v/>
      </c>
      <c r="L4824" s="21">
        <f>0</f>
        <v/>
      </c>
      <c r="M4824" s="21">
        <f>2*$B$3626</f>
        <v/>
      </c>
      <c r="N4824" s="21">
        <f>-$B$3625</f>
        <v/>
      </c>
      <c r="O4824" s="21">
        <f>$B$3627</f>
        <v/>
      </c>
      <c r="P4824" s="21" t="n">
        <v>0</v>
      </c>
      <c r="Q4824" s="21" t="n">
        <v>0</v>
      </c>
      <c r="R4824" s="21" t="n">
        <v>0</v>
      </c>
      <c r="S4824" s="21" t="n">
        <v>0</v>
      </c>
      <c r="T4824" s="21" t="n">
        <v>0</v>
      </c>
      <c r="U4824" s="21" t="n">
        <v>0</v>
      </c>
      <c r="V4824" s="21" t="n">
        <v>0</v>
      </c>
      <c r="W4824" s="21" t="n">
        <v>0</v>
      </c>
      <c r="X4824" s="21" t="n">
        <v>0</v>
      </c>
      <c r="Y4824" s="21" t="n">
        <v>0</v>
      </c>
      <c r="Z4824" s="19" t="n"/>
    </row>
    <row r="4825">
      <c r="D4825" s="21" t="n">
        <v>0</v>
      </c>
      <c r="E4825" s="21" t="n">
        <v>0</v>
      </c>
      <c r="F4825" s="21" t="n">
        <v>0</v>
      </c>
      <c r="G4825" s="21" t="n">
        <v>0</v>
      </c>
      <c r="H4825" s="21" t="n">
        <v>0</v>
      </c>
      <c r="I4825" s="21" t="n">
        <v>0</v>
      </c>
      <c r="J4825" s="21" t="n">
        <v>0</v>
      </c>
      <c r="K4825" s="21" t="n">
        <v>0</v>
      </c>
      <c r="L4825" s="21">
        <f>-$B$3624</f>
        <v/>
      </c>
      <c r="M4825" s="21">
        <f>-$B$3625</f>
        <v/>
      </c>
      <c r="N4825" s="21">
        <f>2*$B$3624+$D$4808</f>
        <v/>
      </c>
      <c r="O4825" s="21">
        <f>0</f>
        <v/>
      </c>
      <c r="P4825" s="21">
        <f>-$B$3624</f>
        <v/>
      </c>
      <c r="Q4825" s="21">
        <f>$B$3625</f>
        <v/>
      </c>
      <c r="R4825" s="21" t="n">
        <v>0</v>
      </c>
      <c r="S4825" s="21" t="n">
        <v>0</v>
      </c>
      <c r="T4825" s="21" t="n">
        <v>0</v>
      </c>
      <c r="U4825" s="21" t="n">
        <v>0</v>
      </c>
      <c r="V4825" s="21" t="n">
        <v>0</v>
      </c>
      <c r="W4825" s="21" t="n">
        <v>0</v>
      </c>
      <c r="X4825" s="21" t="n">
        <v>0</v>
      </c>
      <c r="Y4825" s="21" t="n">
        <v>0</v>
      </c>
      <c r="Z4825" s="19" t="n"/>
    </row>
    <row r="4826">
      <c r="D4826" s="21" t="n">
        <v>0</v>
      </c>
      <c r="E4826" s="21" t="n">
        <v>0</v>
      </c>
      <c r="F4826" s="21" t="n">
        <v>0</v>
      </c>
      <c r="G4826" s="21" t="n">
        <v>0</v>
      </c>
      <c r="H4826" s="21" t="n">
        <v>0</v>
      </c>
      <c r="I4826" s="21" t="n">
        <v>0</v>
      </c>
      <c r="J4826" s="21" t="n">
        <v>0</v>
      </c>
      <c r="K4826" s="21" t="n">
        <v>0</v>
      </c>
      <c r="L4826" s="21">
        <f>$B$3625</f>
        <v/>
      </c>
      <c r="M4826" s="21">
        <f>$B$3627</f>
        <v/>
      </c>
      <c r="N4826" s="21">
        <f>0</f>
        <v/>
      </c>
      <c r="O4826" s="21">
        <f>2*$B$3626</f>
        <v/>
      </c>
      <c r="P4826" s="21">
        <f>-$B$3625</f>
        <v/>
      </c>
      <c r="Q4826" s="21">
        <f>$B$3627</f>
        <v/>
      </c>
      <c r="R4826" s="21" t="n">
        <v>0</v>
      </c>
      <c r="S4826" s="21" t="n">
        <v>0</v>
      </c>
      <c r="T4826" s="21" t="n">
        <v>0</v>
      </c>
      <c r="U4826" s="21" t="n">
        <v>0</v>
      </c>
      <c r="V4826" s="21" t="n">
        <v>0</v>
      </c>
      <c r="W4826" s="21" t="n">
        <v>0</v>
      </c>
      <c r="X4826" s="21" t="n">
        <v>0</v>
      </c>
      <c r="Y4826" s="21" t="n">
        <v>0</v>
      </c>
      <c r="Z4826" s="19" t="n"/>
    </row>
    <row r="4827">
      <c r="D4827" s="21" t="n">
        <v>0</v>
      </c>
      <c r="E4827" s="21" t="n">
        <v>0</v>
      </c>
      <c r="F4827" s="21" t="n">
        <v>0</v>
      </c>
      <c r="G4827" s="21" t="n">
        <v>0</v>
      </c>
      <c r="H4827" s="21" t="n">
        <v>0</v>
      </c>
      <c r="I4827" s="21" t="n">
        <v>0</v>
      </c>
      <c r="J4827" s="21" t="n">
        <v>0</v>
      </c>
      <c r="K4827" s="21" t="n">
        <v>0</v>
      </c>
      <c r="L4827" s="21" t="n">
        <v>0</v>
      </c>
      <c r="M4827" s="21" t="n">
        <v>0</v>
      </c>
      <c r="N4827" s="21">
        <f>-$B$3624</f>
        <v/>
      </c>
      <c r="O4827" s="21">
        <f>-$B$3625</f>
        <v/>
      </c>
      <c r="P4827" s="21">
        <f>2*$B$3624+$D$4809</f>
        <v/>
      </c>
      <c r="Q4827" s="21">
        <f>0</f>
        <v/>
      </c>
      <c r="R4827" s="21">
        <f>-$B$3624</f>
        <v/>
      </c>
      <c r="S4827" s="21">
        <f>$B$3625</f>
        <v/>
      </c>
      <c r="T4827" s="21" t="n">
        <v>0</v>
      </c>
      <c r="U4827" s="21" t="n">
        <v>0</v>
      </c>
      <c r="V4827" s="21" t="n">
        <v>0</v>
      </c>
      <c r="W4827" s="21" t="n">
        <v>0</v>
      </c>
      <c r="X4827" s="21" t="n">
        <v>0</v>
      </c>
      <c r="Y4827" s="21" t="n">
        <v>0</v>
      </c>
      <c r="Z4827" s="19" t="n"/>
    </row>
    <row r="4828">
      <c r="D4828" s="21" t="n">
        <v>0</v>
      </c>
      <c r="E4828" s="21" t="n">
        <v>0</v>
      </c>
      <c r="F4828" s="21" t="n">
        <v>0</v>
      </c>
      <c r="G4828" s="21" t="n">
        <v>0</v>
      </c>
      <c r="H4828" s="21" t="n">
        <v>0</v>
      </c>
      <c r="I4828" s="21" t="n">
        <v>0</v>
      </c>
      <c r="J4828" s="21" t="n">
        <v>0</v>
      </c>
      <c r="K4828" s="21" t="n">
        <v>0</v>
      </c>
      <c r="L4828" s="21" t="n">
        <v>0</v>
      </c>
      <c r="M4828" s="21" t="n">
        <v>0</v>
      </c>
      <c r="N4828" s="21">
        <f>$B$3625</f>
        <v/>
      </c>
      <c r="O4828" s="21">
        <f>$B$3627</f>
        <v/>
      </c>
      <c r="P4828" s="21">
        <f>0</f>
        <v/>
      </c>
      <c r="Q4828" s="21">
        <f>2*$B$3626</f>
        <v/>
      </c>
      <c r="R4828" s="21">
        <f>-$B$3625</f>
        <v/>
      </c>
      <c r="S4828" s="21">
        <f>$B$3627</f>
        <v/>
      </c>
      <c r="T4828" s="21" t="n">
        <v>0</v>
      </c>
      <c r="U4828" s="21" t="n">
        <v>0</v>
      </c>
      <c r="V4828" s="21" t="n">
        <v>0</v>
      </c>
      <c r="W4828" s="21" t="n">
        <v>0</v>
      </c>
      <c r="X4828" s="21" t="n">
        <v>0</v>
      </c>
      <c r="Y4828" s="21" t="n">
        <v>0</v>
      </c>
      <c r="Z4828" s="19" t="n"/>
    </row>
    <row r="4829">
      <c r="D4829" s="21" t="n">
        <v>0</v>
      </c>
      <c r="E4829" s="21" t="n">
        <v>0</v>
      </c>
      <c r="F4829" s="21" t="n">
        <v>0</v>
      </c>
      <c r="G4829" s="21" t="n">
        <v>0</v>
      </c>
      <c r="H4829" s="21" t="n">
        <v>0</v>
      </c>
      <c r="I4829" s="21" t="n">
        <v>0</v>
      </c>
      <c r="J4829" s="21" t="n">
        <v>0</v>
      </c>
      <c r="K4829" s="21" t="n">
        <v>0</v>
      </c>
      <c r="L4829" s="21" t="n">
        <v>0</v>
      </c>
      <c r="M4829" s="21" t="n">
        <v>0</v>
      </c>
      <c r="N4829" s="21" t="n">
        <v>0</v>
      </c>
      <c r="O4829" s="21" t="n">
        <v>0</v>
      </c>
      <c r="P4829" s="21">
        <f>-$B$3624</f>
        <v/>
      </c>
      <c r="Q4829" s="21">
        <f>-$B$3625</f>
        <v/>
      </c>
      <c r="R4829" s="21">
        <f>2*$B$3624+$D$4810</f>
        <v/>
      </c>
      <c r="S4829" s="21">
        <f>0</f>
        <v/>
      </c>
      <c r="T4829" s="21">
        <f>-$B$3624</f>
        <v/>
      </c>
      <c r="U4829" s="21">
        <f>$B$3625</f>
        <v/>
      </c>
      <c r="V4829" s="21" t="n">
        <v>0</v>
      </c>
      <c r="W4829" s="21" t="n">
        <v>0</v>
      </c>
      <c r="X4829" s="21" t="n">
        <v>0</v>
      </c>
      <c r="Y4829" s="21" t="n">
        <v>0</v>
      </c>
      <c r="Z4829" s="19" t="n"/>
    </row>
    <row r="4830">
      <c r="D4830" s="21" t="n">
        <v>0</v>
      </c>
      <c r="E4830" s="21" t="n">
        <v>0</v>
      </c>
      <c r="F4830" s="21" t="n">
        <v>0</v>
      </c>
      <c r="G4830" s="21" t="n">
        <v>0</v>
      </c>
      <c r="H4830" s="21" t="n">
        <v>0</v>
      </c>
      <c r="I4830" s="21" t="n">
        <v>0</v>
      </c>
      <c r="J4830" s="21" t="n">
        <v>0</v>
      </c>
      <c r="K4830" s="21" t="n">
        <v>0</v>
      </c>
      <c r="L4830" s="21" t="n">
        <v>0</v>
      </c>
      <c r="M4830" s="21" t="n">
        <v>0</v>
      </c>
      <c r="N4830" s="21" t="n">
        <v>0</v>
      </c>
      <c r="O4830" s="21" t="n">
        <v>0</v>
      </c>
      <c r="P4830" s="21">
        <f>$B$3625</f>
        <v/>
      </c>
      <c r="Q4830" s="21">
        <f>$B$3627</f>
        <v/>
      </c>
      <c r="R4830" s="21">
        <f>0</f>
        <v/>
      </c>
      <c r="S4830" s="21">
        <f>2*$B$3626</f>
        <v/>
      </c>
      <c r="T4830" s="21">
        <f>-$B$3625</f>
        <v/>
      </c>
      <c r="U4830" s="21">
        <f>$B$3627</f>
        <v/>
      </c>
      <c r="V4830" s="21" t="n">
        <v>0</v>
      </c>
      <c r="W4830" s="21" t="n">
        <v>0</v>
      </c>
      <c r="X4830" s="21" t="n">
        <v>0</v>
      </c>
      <c r="Y4830" s="21" t="n">
        <v>0</v>
      </c>
      <c r="Z4830" s="19" t="n"/>
    </row>
    <row r="4831">
      <c r="D4831" s="21" t="n">
        <v>0</v>
      </c>
      <c r="E4831" s="21" t="n">
        <v>0</v>
      </c>
      <c r="F4831" s="21" t="n">
        <v>0</v>
      </c>
      <c r="G4831" s="21" t="n">
        <v>0</v>
      </c>
      <c r="H4831" s="21" t="n">
        <v>0</v>
      </c>
      <c r="I4831" s="21" t="n">
        <v>0</v>
      </c>
      <c r="J4831" s="21" t="n">
        <v>0</v>
      </c>
      <c r="K4831" s="21" t="n">
        <v>0</v>
      </c>
      <c r="L4831" s="21" t="n">
        <v>0</v>
      </c>
      <c r="M4831" s="21" t="n">
        <v>0</v>
      </c>
      <c r="N4831" s="21" t="n">
        <v>0</v>
      </c>
      <c r="O4831" s="21" t="n">
        <v>0</v>
      </c>
      <c r="P4831" s="21" t="n">
        <v>0</v>
      </c>
      <c r="Q4831" s="21" t="n">
        <v>0</v>
      </c>
      <c r="R4831" s="21">
        <f>-$B$3624</f>
        <v/>
      </c>
      <c r="S4831" s="21">
        <f>-$B$3625</f>
        <v/>
      </c>
      <c r="T4831" s="21">
        <f>2*$B$3624+$D$4811</f>
        <v/>
      </c>
      <c r="U4831" s="21">
        <f>0</f>
        <v/>
      </c>
      <c r="V4831" s="21">
        <f>-$B$3624</f>
        <v/>
      </c>
      <c r="W4831" s="21">
        <f>$B$3625</f>
        <v/>
      </c>
      <c r="X4831" s="21" t="n">
        <v>0</v>
      </c>
      <c r="Y4831" s="21" t="n">
        <v>0</v>
      </c>
      <c r="Z4831" s="19" t="n"/>
    </row>
    <row r="4832">
      <c r="D4832" s="21" t="n">
        <v>0</v>
      </c>
      <c r="E4832" s="21" t="n">
        <v>0</v>
      </c>
      <c r="F4832" s="21" t="n">
        <v>0</v>
      </c>
      <c r="G4832" s="21" t="n">
        <v>0</v>
      </c>
      <c r="H4832" s="21" t="n">
        <v>0</v>
      </c>
      <c r="I4832" s="21" t="n">
        <v>0</v>
      </c>
      <c r="J4832" s="21" t="n">
        <v>0</v>
      </c>
      <c r="K4832" s="21" t="n">
        <v>0</v>
      </c>
      <c r="L4832" s="21" t="n">
        <v>0</v>
      </c>
      <c r="M4832" s="21" t="n">
        <v>0</v>
      </c>
      <c r="N4832" s="21" t="n">
        <v>0</v>
      </c>
      <c r="O4832" s="21" t="n">
        <v>0</v>
      </c>
      <c r="P4832" s="21" t="n">
        <v>0</v>
      </c>
      <c r="Q4832" s="21" t="n">
        <v>0</v>
      </c>
      <c r="R4832" s="21">
        <f>$B$3625</f>
        <v/>
      </c>
      <c r="S4832" s="21">
        <f>$B$3627</f>
        <v/>
      </c>
      <c r="T4832" s="21">
        <f>0</f>
        <v/>
      </c>
      <c r="U4832" s="21">
        <f>2*$B$3626</f>
        <v/>
      </c>
      <c r="V4832" s="21">
        <f>-$B$3625</f>
        <v/>
      </c>
      <c r="W4832" s="21">
        <f>$B$3627</f>
        <v/>
      </c>
      <c r="X4832" s="21" t="n">
        <v>0</v>
      </c>
      <c r="Y4832" s="21" t="n">
        <v>0</v>
      </c>
      <c r="Z4832" s="19" t="n"/>
    </row>
    <row r="4833">
      <c r="D4833" s="21" t="n">
        <v>0</v>
      </c>
      <c r="E4833" s="21" t="n">
        <v>0</v>
      </c>
      <c r="F4833" s="21" t="n">
        <v>0</v>
      </c>
      <c r="G4833" s="21" t="n">
        <v>0</v>
      </c>
      <c r="H4833" s="21" t="n">
        <v>0</v>
      </c>
      <c r="I4833" s="21" t="n">
        <v>0</v>
      </c>
      <c r="J4833" s="21" t="n">
        <v>0</v>
      </c>
      <c r="K4833" s="21" t="n">
        <v>0</v>
      </c>
      <c r="L4833" s="21" t="n">
        <v>0</v>
      </c>
      <c r="M4833" s="21" t="n">
        <v>0</v>
      </c>
      <c r="N4833" s="21" t="n">
        <v>0</v>
      </c>
      <c r="O4833" s="21" t="n">
        <v>0</v>
      </c>
      <c r="P4833" s="21" t="n">
        <v>0</v>
      </c>
      <c r="Q4833" s="21" t="n">
        <v>0</v>
      </c>
      <c r="R4833" s="21" t="n">
        <v>0</v>
      </c>
      <c r="S4833" s="21" t="n">
        <v>0</v>
      </c>
      <c r="T4833" s="21">
        <f>-$B$3624</f>
        <v/>
      </c>
      <c r="U4833" s="21">
        <f>-$B$3625</f>
        <v/>
      </c>
      <c r="V4833" s="21">
        <f>2*$B$3624+$D$4812</f>
        <v/>
      </c>
      <c r="W4833" s="21">
        <f>0</f>
        <v/>
      </c>
      <c r="X4833" s="21">
        <f>-$B$3624</f>
        <v/>
      </c>
      <c r="Y4833" s="21">
        <f>$B$3625</f>
        <v/>
      </c>
      <c r="Z4833" s="19" t="n"/>
    </row>
    <row r="4834">
      <c r="D4834" s="21" t="n">
        <v>0</v>
      </c>
      <c r="E4834" s="21" t="n">
        <v>0</v>
      </c>
      <c r="F4834" s="21" t="n">
        <v>0</v>
      </c>
      <c r="G4834" s="21" t="n">
        <v>0</v>
      </c>
      <c r="H4834" s="21" t="n">
        <v>0</v>
      </c>
      <c r="I4834" s="21" t="n">
        <v>0</v>
      </c>
      <c r="J4834" s="21" t="n">
        <v>0</v>
      </c>
      <c r="K4834" s="21" t="n">
        <v>0</v>
      </c>
      <c r="L4834" s="21" t="n">
        <v>0</v>
      </c>
      <c r="M4834" s="21" t="n">
        <v>0</v>
      </c>
      <c r="N4834" s="21" t="n">
        <v>0</v>
      </c>
      <c r="O4834" s="21" t="n">
        <v>0</v>
      </c>
      <c r="P4834" s="21" t="n">
        <v>0</v>
      </c>
      <c r="Q4834" s="21" t="n">
        <v>0</v>
      </c>
      <c r="R4834" s="21" t="n">
        <v>0</v>
      </c>
      <c r="S4834" s="21" t="n">
        <v>0</v>
      </c>
      <c r="T4834" s="21">
        <f>$B$3625</f>
        <v/>
      </c>
      <c r="U4834" s="21">
        <f>$B$3627</f>
        <v/>
      </c>
      <c r="V4834" s="21">
        <f>0</f>
        <v/>
      </c>
      <c r="W4834" s="21">
        <f>2*$B$3626</f>
        <v/>
      </c>
      <c r="X4834" s="21">
        <f>-$B$3625</f>
        <v/>
      </c>
      <c r="Y4834" s="21">
        <f>$B$3627</f>
        <v/>
      </c>
      <c r="Z4834" s="19" t="n"/>
    </row>
    <row r="4835">
      <c r="D4835" s="21" t="n">
        <v>0</v>
      </c>
      <c r="E4835" s="21" t="n">
        <v>0</v>
      </c>
      <c r="F4835" s="21" t="n">
        <v>0</v>
      </c>
      <c r="G4835" s="21" t="n">
        <v>0</v>
      </c>
      <c r="H4835" s="21" t="n">
        <v>0</v>
      </c>
      <c r="I4835" s="21" t="n">
        <v>0</v>
      </c>
      <c r="J4835" s="21" t="n">
        <v>0</v>
      </c>
      <c r="K4835" s="21" t="n">
        <v>0</v>
      </c>
      <c r="L4835" s="21" t="n">
        <v>0</v>
      </c>
      <c r="M4835" s="21" t="n">
        <v>0</v>
      </c>
      <c r="N4835" s="21" t="n">
        <v>0</v>
      </c>
      <c r="O4835" s="21" t="n">
        <v>0</v>
      </c>
      <c r="P4835" s="21" t="n">
        <v>0</v>
      </c>
      <c r="Q4835" s="21" t="n">
        <v>0</v>
      </c>
      <c r="R4835" s="21" t="n">
        <v>0</v>
      </c>
      <c r="S4835" s="21" t="n">
        <v>0</v>
      </c>
      <c r="T4835" s="21" t="n">
        <v>0</v>
      </c>
      <c r="U4835" s="21" t="n">
        <v>0</v>
      </c>
      <c r="V4835" s="21">
        <f>-$B$3624</f>
        <v/>
      </c>
      <c r="W4835" s="21">
        <f>-$B$3625</f>
        <v/>
      </c>
      <c r="X4835" s="21">
        <f>$B$3624+$D$4813</f>
        <v/>
      </c>
      <c r="Y4835" s="21">
        <f>-$B$3625</f>
        <v/>
      </c>
      <c r="Z4835" s="19" t="n"/>
    </row>
    <row r="4836">
      <c r="D4836" s="21" t="n">
        <v>0</v>
      </c>
      <c r="E4836" s="21" t="n">
        <v>0</v>
      </c>
      <c r="F4836" s="21" t="n">
        <v>0</v>
      </c>
      <c r="G4836" s="21" t="n">
        <v>0</v>
      </c>
      <c r="H4836" s="21" t="n">
        <v>0</v>
      </c>
      <c r="I4836" s="21" t="n">
        <v>0</v>
      </c>
      <c r="J4836" s="21" t="n">
        <v>0</v>
      </c>
      <c r="K4836" s="21" t="n">
        <v>0</v>
      </c>
      <c r="L4836" s="21" t="n">
        <v>0</v>
      </c>
      <c r="M4836" s="21" t="n">
        <v>0</v>
      </c>
      <c r="N4836" s="21" t="n">
        <v>0</v>
      </c>
      <c r="O4836" s="21" t="n">
        <v>0</v>
      </c>
      <c r="P4836" s="21" t="n">
        <v>0</v>
      </c>
      <c r="Q4836" s="21" t="n">
        <v>0</v>
      </c>
      <c r="R4836" s="21" t="n">
        <v>0</v>
      </c>
      <c r="S4836" s="21" t="n">
        <v>0</v>
      </c>
      <c r="T4836" s="21" t="n">
        <v>0</v>
      </c>
      <c r="U4836" s="21" t="n">
        <v>0</v>
      </c>
      <c r="V4836" s="21">
        <f>$B$3625</f>
        <v/>
      </c>
      <c r="W4836" s="21">
        <f>$B$3627</f>
        <v/>
      </c>
      <c r="X4836" s="21">
        <f>-$B$3625</f>
        <v/>
      </c>
      <c r="Y4836" s="21">
        <f>$B$3626</f>
        <v/>
      </c>
      <c r="Z4836" s="19" t="n"/>
    </row>
    <row r="4838">
      <c r="A4838" s="8" t="inlineStr">
        <is>
          <t>gen 33</t>
        </is>
      </c>
    </row>
    <row r="4839">
      <c r="D4839" s="19">
        <f>IF(ABS(IF(ABS($E$4803)&gt;0.000000001,$E$4803,0.000000001))=0,0,IF($E$3639&lt;=$B$3633,0,IF(ABS(IF(ABS($E$4803)&gt;0.000000001,$E$4803,0.000000001))&gt;=8*$B$3635,$H$3639,0.5*$H$3639*(ABS(IF(ABS($E$4803)&gt;0.000000001,$E$4803,0.000000001))/$B$3635)^(1/3)))/ABS(IF(ABS($E$4803)&gt;0.000000001,$E$4803,0.000000001))*$I$3639)</f>
        <v/>
      </c>
      <c r="E4839" s="19">
        <f>0.5*$E$4803+0.5*$Z$4851</f>
        <v/>
      </c>
      <c r="F4839" s="19">
        <f>$Z$4852</f>
        <v/>
      </c>
    </row>
    <row r="4840">
      <c r="D4840" s="19">
        <f>IF(ABS(IF(ABS($E$4804)&gt;0.000000001,$E$4804,0.000000001))=0,0,IF($E$3640&lt;=$B$3633,0,IF(ABS(IF(ABS($E$4804)&gt;0.000000001,$E$4804,0.000000001))&gt;=8*$B$3635,$H$3640,0.5*$H$3640*(ABS(IF(ABS($E$4804)&gt;0.000000001,$E$4804,0.000000001))/$B$3635)^(1/3)))/ABS(IF(ABS($E$4804)&gt;0.000000001,$E$4804,0.000000001))*$I$3640)</f>
        <v/>
      </c>
      <c r="E4840" s="19">
        <f>0.5*$E$4804+0.5*$Z$4853</f>
        <v/>
      </c>
      <c r="F4840" s="19">
        <f>$Z$4854</f>
        <v/>
      </c>
    </row>
    <row r="4841">
      <c r="D4841" s="19">
        <f>IF(ABS(IF(ABS($E$4805)&gt;0.000000001,$E$4805,0.000000001))=0,0,IF($E$3641&lt;=$B$3633,0,IF(ABS(IF(ABS($E$4805)&gt;0.000000001,$E$4805,0.000000001))&gt;=8*$B$3635,$H$3641,0.5*$H$3641*(ABS(IF(ABS($E$4805)&gt;0.000000001,$E$4805,0.000000001))/$B$3635)^(1/3)))/ABS(IF(ABS($E$4805)&gt;0.000000001,$E$4805,0.000000001))*$I$3641)</f>
        <v/>
      </c>
      <c r="E4841" s="19">
        <f>0.5*$E$4805+0.5*$Z$4855</f>
        <v/>
      </c>
      <c r="F4841" s="19">
        <f>$Z$4856</f>
        <v/>
      </c>
    </row>
    <row r="4842">
      <c r="D4842" s="19">
        <f>IF(ABS(IF(ABS($E$4806)&gt;0.000000001,$E$4806,0.000000001))=0,0,IF($E$3642&lt;=$B$3633,0,IF(ABS(IF(ABS($E$4806)&gt;0.000000001,$E$4806,0.000000001))&gt;=8*$B$3635,$H$3642,0.5*$H$3642*(ABS(IF(ABS($E$4806)&gt;0.000000001,$E$4806,0.000000001))/$B$3635)^(1/3)))/ABS(IF(ABS($E$4806)&gt;0.000000001,$E$4806,0.000000001))*$I$3642)</f>
        <v/>
      </c>
      <c r="E4842" s="19">
        <f>0.5*$E$4806+0.5*$Z$4857</f>
        <v/>
      </c>
      <c r="F4842" s="19">
        <f>$Z$4858</f>
        <v/>
      </c>
    </row>
    <row r="4843">
      <c r="D4843" s="19">
        <f>IF(ABS(IF(ABS($E$4807)&gt;0.000000001,$E$4807,0.000000001))=0,0,IF($E$3643&lt;=$B$3633,0,IF(ABS(IF(ABS($E$4807)&gt;0.000000001,$E$4807,0.000000001))&gt;=8*$B$3635,$H$3643,0.5*$H$3643*(ABS(IF(ABS($E$4807)&gt;0.000000001,$E$4807,0.000000001))/$B$3635)^(1/3)))/ABS(IF(ABS($E$4807)&gt;0.000000001,$E$4807,0.000000001))*$I$3643)</f>
        <v/>
      </c>
      <c r="E4843" s="19">
        <f>0.5*$E$4807+0.5*$Z$4859</f>
        <v/>
      </c>
      <c r="F4843" s="19">
        <f>$Z$4860</f>
        <v/>
      </c>
    </row>
    <row r="4844">
      <c r="D4844" s="19">
        <f>IF(ABS(IF(ABS($E$4808)&gt;0.000000001,$E$4808,0.000000001))=0,0,IF($E$3644&lt;=$B$3633,0,IF(ABS(IF(ABS($E$4808)&gt;0.000000001,$E$4808,0.000000001))&gt;=8*$B$3635,$H$3644,0.5*$H$3644*(ABS(IF(ABS($E$4808)&gt;0.000000001,$E$4808,0.000000001))/$B$3635)^(1/3)))/ABS(IF(ABS($E$4808)&gt;0.000000001,$E$4808,0.000000001))*$I$3644)</f>
        <v/>
      </c>
      <c r="E4844" s="19">
        <f>0.5*$E$4808+0.5*$Z$4861</f>
        <v/>
      </c>
      <c r="F4844" s="19">
        <f>$Z$4862</f>
        <v/>
      </c>
    </row>
    <row r="4845">
      <c r="D4845" s="19">
        <f>IF(ABS(IF(ABS($E$4809)&gt;0.000000001,$E$4809,0.000000001))=0,0,IF($E$3645&lt;=$B$3633,0,IF(ABS(IF(ABS($E$4809)&gt;0.000000001,$E$4809,0.000000001))&gt;=8*$B$3635,$H$3645,0.5*$H$3645*(ABS(IF(ABS($E$4809)&gt;0.000000001,$E$4809,0.000000001))/$B$3635)^(1/3)))/ABS(IF(ABS($E$4809)&gt;0.000000001,$E$4809,0.000000001))*$I$3645)</f>
        <v/>
      </c>
      <c r="E4845" s="19">
        <f>0.5*$E$4809+0.5*$Z$4863</f>
        <v/>
      </c>
      <c r="F4845" s="19">
        <f>$Z$4864</f>
        <v/>
      </c>
    </row>
    <row r="4846">
      <c r="D4846" s="19">
        <f>IF(ABS(IF(ABS($E$4810)&gt;0.000000001,$E$4810,0.000000001))=0,0,IF($E$3646&lt;=$B$3633,0,IF(ABS(IF(ABS($E$4810)&gt;0.000000001,$E$4810,0.000000001))&gt;=8*$B$3635,$H$3646,0.5*$H$3646*(ABS(IF(ABS($E$4810)&gt;0.000000001,$E$4810,0.000000001))/$B$3635)^(1/3)))/ABS(IF(ABS($E$4810)&gt;0.000000001,$E$4810,0.000000001))*$I$3646)</f>
        <v/>
      </c>
      <c r="E4846" s="19">
        <f>0.5*$E$4810+0.5*$Z$4865</f>
        <v/>
      </c>
      <c r="F4846" s="19">
        <f>$Z$4866</f>
        <v/>
      </c>
    </row>
    <row r="4847">
      <c r="D4847" s="19">
        <f>IF(ABS(IF(ABS($E$4811)&gt;0.000000001,$E$4811,0.000000001))=0,0,IF($E$3647&lt;=$B$3633,0,IF(ABS(IF(ABS($E$4811)&gt;0.000000001,$E$4811,0.000000001))&gt;=8*$B$3635,$H$3647,0.5*$H$3647*(ABS(IF(ABS($E$4811)&gt;0.000000001,$E$4811,0.000000001))/$B$3635)^(1/3)))/ABS(IF(ABS($E$4811)&gt;0.000000001,$E$4811,0.000000001))*$I$3647)</f>
        <v/>
      </c>
      <c r="E4847" s="19">
        <f>0.5*$E$4811+0.5*$Z$4867</f>
        <v/>
      </c>
      <c r="F4847" s="19">
        <f>$Z$4868</f>
        <v/>
      </c>
    </row>
    <row r="4848">
      <c r="D4848" s="19">
        <f>IF(ABS(IF(ABS($E$4812)&gt;0.000000001,$E$4812,0.000000001))=0,0,IF($E$3648&lt;=$B$3633,0,IF(ABS(IF(ABS($E$4812)&gt;0.000000001,$E$4812,0.000000001))&gt;=8*$B$3635,$H$3648,0.5*$H$3648*(ABS(IF(ABS($E$4812)&gt;0.000000001,$E$4812,0.000000001))/$B$3635)^(1/3)))/ABS(IF(ABS($E$4812)&gt;0.000000001,$E$4812,0.000000001))*$I$3648)</f>
        <v/>
      </c>
      <c r="E4848" s="19">
        <f>0.5*$E$4812+0.5*$Z$4869</f>
        <v/>
      </c>
      <c r="F4848" s="19">
        <f>$Z$4870</f>
        <v/>
      </c>
    </row>
    <row r="4849">
      <c r="D4849" s="19">
        <f>IF(ABS(IF(ABS($E$4813)&gt;0.000000001,$E$4813,0.000000001))=0,0,IF($E$3649&lt;=$B$3633,0,IF(ABS(IF(ABS($E$4813)&gt;0.000000001,$E$4813,0.000000001))&gt;=8*$B$3635,$H$3649,0.5*$H$3649*(ABS(IF(ABS($E$4813)&gt;0.000000001,$E$4813,0.000000001))/$B$3635)^(1/3)))/ABS(IF(ABS($E$4813)&gt;0.000000001,$E$4813,0.000000001))*$I$3649)</f>
        <v/>
      </c>
      <c r="E4849" s="19">
        <f>0.5*$E$4813+0.5*$Z$4871</f>
        <v/>
      </c>
      <c r="F4849" s="19">
        <f>$Z$4872</f>
        <v/>
      </c>
    </row>
    <row r="4851">
      <c r="D4851" s="21">
        <f>$B$3624+$D$4839</f>
        <v/>
      </c>
      <c r="E4851" s="21">
        <f>$B$3625</f>
        <v/>
      </c>
      <c r="F4851" s="21">
        <f>-$B$3624</f>
        <v/>
      </c>
      <c r="G4851" s="21">
        <f>$B$3625</f>
        <v/>
      </c>
      <c r="H4851" s="21" t="n">
        <v>0</v>
      </c>
      <c r="I4851" s="21" t="n">
        <v>0</v>
      </c>
      <c r="J4851" s="21" t="n">
        <v>0</v>
      </c>
      <c r="K4851" s="21" t="n">
        <v>0</v>
      </c>
      <c r="L4851" s="21" t="n">
        <v>0</v>
      </c>
      <c r="M4851" s="21" t="n">
        <v>0</v>
      </c>
      <c r="N4851" s="21" t="n">
        <v>0</v>
      </c>
      <c r="O4851" s="21" t="n">
        <v>0</v>
      </c>
      <c r="P4851" s="21" t="n">
        <v>0</v>
      </c>
      <c r="Q4851" s="21" t="n">
        <v>0</v>
      </c>
      <c r="R4851" s="21" t="n">
        <v>0</v>
      </c>
      <c r="S4851" s="21" t="n">
        <v>0</v>
      </c>
      <c r="T4851" s="21" t="n">
        <v>0</v>
      </c>
      <c r="U4851" s="21" t="n">
        <v>0</v>
      </c>
      <c r="V4851" s="21" t="n">
        <v>0</v>
      </c>
      <c r="W4851" s="21" t="n">
        <v>0</v>
      </c>
      <c r="X4851" s="21" t="n">
        <v>0</v>
      </c>
      <c r="Y4851" s="21" t="n">
        <v>0</v>
      </c>
      <c r="Z4851" s="19">
        <f t="array" ref="Z4851:Z4872">MMULT(MINVERSE($D$4851:$Y$4872),$D$3651:$D$3672)</f>
        <v/>
      </c>
    </row>
    <row r="4852">
      <c r="D4852" s="21">
        <f>$B$3625</f>
        <v/>
      </c>
      <c r="E4852" s="21">
        <f>$B$3626</f>
        <v/>
      </c>
      <c r="F4852" s="21">
        <f>-$B$3625</f>
        <v/>
      </c>
      <c r="G4852" s="21">
        <f>$B$3627</f>
        <v/>
      </c>
      <c r="H4852" s="21" t="n">
        <v>0</v>
      </c>
      <c r="I4852" s="21" t="n">
        <v>0</v>
      </c>
      <c r="J4852" s="21" t="n">
        <v>0</v>
      </c>
      <c r="K4852" s="21" t="n">
        <v>0</v>
      </c>
      <c r="L4852" s="21" t="n">
        <v>0</v>
      </c>
      <c r="M4852" s="21" t="n">
        <v>0</v>
      </c>
      <c r="N4852" s="21" t="n">
        <v>0</v>
      </c>
      <c r="O4852" s="21" t="n">
        <v>0</v>
      </c>
      <c r="P4852" s="21" t="n">
        <v>0</v>
      </c>
      <c r="Q4852" s="21" t="n">
        <v>0</v>
      </c>
      <c r="R4852" s="21" t="n">
        <v>0</v>
      </c>
      <c r="S4852" s="21" t="n">
        <v>0</v>
      </c>
      <c r="T4852" s="21" t="n">
        <v>0</v>
      </c>
      <c r="U4852" s="21" t="n">
        <v>0</v>
      </c>
      <c r="V4852" s="21" t="n">
        <v>0</v>
      </c>
      <c r="W4852" s="21" t="n">
        <v>0</v>
      </c>
      <c r="X4852" s="21" t="n">
        <v>0</v>
      </c>
      <c r="Y4852" s="21" t="n">
        <v>0</v>
      </c>
      <c r="Z4852" s="19" t="n"/>
    </row>
    <row r="4853">
      <c r="D4853" s="21">
        <f>-$B$3624</f>
        <v/>
      </c>
      <c r="E4853" s="21">
        <f>-$B$3625</f>
        <v/>
      </c>
      <c r="F4853" s="21">
        <f>2*$B$3624+$D$4840</f>
        <v/>
      </c>
      <c r="G4853" s="21">
        <f>0</f>
        <v/>
      </c>
      <c r="H4853" s="21">
        <f>-$B$3624</f>
        <v/>
      </c>
      <c r="I4853" s="21">
        <f>$B$3625</f>
        <v/>
      </c>
      <c r="J4853" s="21" t="n">
        <v>0</v>
      </c>
      <c r="K4853" s="21" t="n">
        <v>0</v>
      </c>
      <c r="L4853" s="21" t="n">
        <v>0</v>
      </c>
      <c r="M4853" s="21" t="n">
        <v>0</v>
      </c>
      <c r="N4853" s="21" t="n">
        <v>0</v>
      </c>
      <c r="O4853" s="21" t="n">
        <v>0</v>
      </c>
      <c r="P4853" s="21" t="n">
        <v>0</v>
      </c>
      <c r="Q4853" s="21" t="n">
        <v>0</v>
      </c>
      <c r="R4853" s="21" t="n">
        <v>0</v>
      </c>
      <c r="S4853" s="21" t="n">
        <v>0</v>
      </c>
      <c r="T4853" s="21" t="n">
        <v>0</v>
      </c>
      <c r="U4853" s="21" t="n">
        <v>0</v>
      </c>
      <c r="V4853" s="21" t="n">
        <v>0</v>
      </c>
      <c r="W4853" s="21" t="n">
        <v>0</v>
      </c>
      <c r="X4853" s="21" t="n">
        <v>0</v>
      </c>
      <c r="Y4853" s="21" t="n">
        <v>0</v>
      </c>
      <c r="Z4853" s="19" t="n"/>
    </row>
    <row r="4854">
      <c r="D4854" s="21">
        <f>$B$3625</f>
        <v/>
      </c>
      <c r="E4854" s="21">
        <f>$B$3627</f>
        <v/>
      </c>
      <c r="F4854" s="21">
        <f>0</f>
        <v/>
      </c>
      <c r="G4854" s="21">
        <f>2*$B$3626</f>
        <v/>
      </c>
      <c r="H4854" s="21">
        <f>-$B$3625</f>
        <v/>
      </c>
      <c r="I4854" s="21">
        <f>$B$3627</f>
        <v/>
      </c>
      <c r="J4854" s="21" t="n">
        <v>0</v>
      </c>
      <c r="K4854" s="21" t="n">
        <v>0</v>
      </c>
      <c r="L4854" s="21" t="n">
        <v>0</v>
      </c>
      <c r="M4854" s="21" t="n">
        <v>0</v>
      </c>
      <c r="N4854" s="21" t="n">
        <v>0</v>
      </c>
      <c r="O4854" s="21" t="n">
        <v>0</v>
      </c>
      <c r="P4854" s="21" t="n">
        <v>0</v>
      </c>
      <c r="Q4854" s="21" t="n">
        <v>0</v>
      </c>
      <c r="R4854" s="21" t="n">
        <v>0</v>
      </c>
      <c r="S4854" s="21" t="n">
        <v>0</v>
      </c>
      <c r="T4854" s="21" t="n">
        <v>0</v>
      </c>
      <c r="U4854" s="21" t="n">
        <v>0</v>
      </c>
      <c r="V4854" s="21" t="n">
        <v>0</v>
      </c>
      <c r="W4854" s="21" t="n">
        <v>0</v>
      </c>
      <c r="X4854" s="21" t="n">
        <v>0</v>
      </c>
      <c r="Y4854" s="21" t="n">
        <v>0</v>
      </c>
      <c r="Z4854" s="19" t="n"/>
    </row>
    <row r="4855">
      <c r="D4855" s="21" t="n">
        <v>0</v>
      </c>
      <c r="E4855" s="21" t="n">
        <v>0</v>
      </c>
      <c r="F4855" s="21">
        <f>-$B$3624</f>
        <v/>
      </c>
      <c r="G4855" s="21">
        <f>-$B$3625</f>
        <v/>
      </c>
      <c r="H4855" s="21">
        <f>2*$B$3624+$D$4841</f>
        <v/>
      </c>
      <c r="I4855" s="21">
        <f>0</f>
        <v/>
      </c>
      <c r="J4855" s="21">
        <f>-$B$3624</f>
        <v/>
      </c>
      <c r="K4855" s="21">
        <f>$B$3625</f>
        <v/>
      </c>
      <c r="L4855" s="21" t="n">
        <v>0</v>
      </c>
      <c r="M4855" s="21" t="n">
        <v>0</v>
      </c>
      <c r="N4855" s="21" t="n">
        <v>0</v>
      </c>
      <c r="O4855" s="21" t="n">
        <v>0</v>
      </c>
      <c r="P4855" s="21" t="n">
        <v>0</v>
      </c>
      <c r="Q4855" s="21" t="n">
        <v>0</v>
      </c>
      <c r="R4855" s="21" t="n">
        <v>0</v>
      </c>
      <c r="S4855" s="21" t="n">
        <v>0</v>
      </c>
      <c r="T4855" s="21" t="n">
        <v>0</v>
      </c>
      <c r="U4855" s="21" t="n">
        <v>0</v>
      </c>
      <c r="V4855" s="21" t="n">
        <v>0</v>
      </c>
      <c r="W4855" s="21" t="n">
        <v>0</v>
      </c>
      <c r="X4855" s="21" t="n">
        <v>0</v>
      </c>
      <c r="Y4855" s="21" t="n">
        <v>0</v>
      </c>
      <c r="Z4855" s="19" t="n"/>
    </row>
    <row r="4856">
      <c r="D4856" s="21" t="n">
        <v>0</v>
      </c>
      <c r="E4856" s="21" t="n">
        <v>0</v>
      </c>
      <c r="F4856" s="21">
        <f>$B$3625</f>
        <v/>
      </c>
      <c r="G4856" s="21">
        <f>$B$3627</f>
        <v/>
      </c>
      <c r="H4856" s="21">
        <f>0</f>
        <v/>
      </c>
      <c r="I4856" s="21">
        <f>2*$B$3626</f>
        <v/>
      </c>
      <c r="J4856" s="21">
        <f>-$B$3625</f>
        <v/>
      </c>
      <c r="K4856" s="21">
        <f>$B$3627</f>
        <v/>
      </c>
      <c r="L4856" s="21" t="n">
        <v>0</v>
      </c>
      <c r="M4856" s="21" t="n">
        <v>0</v>
      </c>
      <c r="N4856" s="21" t="n">
        <v>0</v>
      </c>
      <c r="O4856" s="21" t="n">
        <v>0</v>
      </c>
      <c r="P4856" s="21" t="n">
        <v>0</v>
      </c>
      <c r="Q4856" s="21" t="n">
        <v>0</v>
      </c>
      <c r="R4856" s="21" t="n">
        <v>0</v>
      </c>
      <c r="S4856" s="21" t="n">
        <v>0</v>
      </c>
      <c r="T4856" s="21" t="n">
        <v>0</v>
      </c>
      <c r="U4856" s="21" t="n">
        <v>0</v>
      </c>
      <c r="V4856" s="21" t="n">
        <v>0</v>
      </c>
      <c r="W4856" s="21" t="n">
        <v>0</v>
      </c>
      <c r="X4856" s="21" t="n">
        <v>0</v>
      </c>
      <c r="Y4856" s="21" t="n">
        <v>0</v>
      </c>
      <c r="Z4856" s="19" t="n"/>
    </row>
    <row r="4857">
      <c r="D4857" s="21" t="n">
        <v>0</v>
      </c>
      <c r="E4857" s="21" t="n">
        <v>0</v>
      </c>
      <c r="F4857" s="21" t="n">
        <v>0</v>
      </c>
      <c r="G4857" s="21" t="n">
        <v>0</v>
      </c>
      <c r="H4857" s="21">
        <f>-$B$3624</f>
        <v/>
      </c>
      <c r="I4857" s="21">
        <f>-$B$3625</f>
        <v/>
      </c>
      <c r="J4857" s="21">
        <f>2*$B$3624+$D$4842</f>
        <v/>
      </c>
      <c r="K4857" s="21">
        <f>0</f>
        <v/>
      </c>
      <c r="L4857" s="21">
        <f>-$B$3624</f>
        <v/>
      </c>
      <c r="M4857" s="21">
        <f>$B$3625</f>
        <v/>
      </c>
      <c r="N4857" s="21" t="n">
        <v>0</v>
      </c>
      <c r="O4857" s="21" t="n">
        <v>0</v>
      </c>
      <c r="P4857" s="21" t="n">
        <v>0</v>
      </c>
      <c r="Q4857" s="21" t="n">
        <v>0</v>
      </c>
      <c r="R4857" s="21" t="n">
        <v>0</v>
      </c>
      <c r="S4857" s="21" t="n">
        <v>0</v>
      </c>
      <c r="T4857" s="21" t="n">
        <v>0</v>
      </c>
      <c r="U4857" s="21" t="n">
        <v>0</v>
      </c>
      <c r="V4857" s="21" t="n">
        <v>0</v>
      </c>
      <c r="W4857" s="21" t="n">
        <v>0</v>
      </c>
      <c r="X4857" s="21" t="n">
        <v>0</v>
      </c>
      <c r="Y4857" s="21" t="n">
        <v>0</v>
      </c>
      <c r="Z4857" s="19" t="n"/>
    </row>
    <row r="4858">
      <c r="D4858" s="21" t="n">
        <v>0</v>
      </c>
      <c r="E4858" s="21" t="n">
        <v>0</v>
      </c>
      <c r="F4858" s="21" t="n">
        <v>0</v>
      </c>
      <c r="G4858" s="21" t="n">
        <v>0</v>
      </c>
      <c r="H4858" s="21">
        <f>$B$3625</f>
        <v/>
      </c>
      <c r="I4858" s="21">
        <f>$B$3627</f>
        <v/>
      </c>
      <c r="J4858" s="21">
        <f>0</f>
        <v/>
      </c>
      <c r="K4858" s="21">
        <f>2*$B$3626</f>
        <v/>
      </c>
      <c r="L4858" s="21">
        <f>-$B$3625</f>
        <v/>
      </c>
      <c r="M4858" s="21">
        <f>$B$3627</f>
        <v/>
      </c>
      <c r="N4858" s="21" t="n">
        <v>0</v>
      </c>
      <c r="O4858" s="21" t="n">
        <v>0</v>
      </c>
      <c r="P4858" s="21" t="n">
        <v>0</v>
      </c>
      <c r="Q4858" s="21" t="n">
        <v>0</v>
      </c>
      <c r="R4858" s="21" t="n">
        <v>0</v>
      </c>
      <c r="S4858" s="21" t="n">
        <v>0</v>
      </c>
      <c r="T4858" s="21" t="n">
        <v>0</v>
      </c>
      <c r="U4858" s="21" t="n">
        <v>0</v>
      </c>
      <c r="V4858" s="21" t="n">
        <v>0</v>
      </c>
      <c r="W4858" s="21" t="n">
        <v>0</v>
      </c>
      <c r="X4858" s="21" t="n">
        <v>0</v>
      </c>
      <c r="Y4858" s="21" t="n">
        <v>0</v>
      </c>
      <c r="Z4858" s="19" t="n"/>
    </row>
    <row r="4859">
      <c r="D4859" s="21" t="n">
        <v>0</v>
      </c>
      <c r="E4859" s="21" t="n">
        <v>0</v>
      </c>
      <c r="F4859" s="21" t="n">
        <v>0</v>
      </c>
      <c r="G4859" s="21" t="n">
        <v>0</v>
      </c>
      <c r="H4859" s="21" t="n">
        <v>0</v>
      </c>
      <c r="I4859" s="21" t="n">
        <v>0</v>
      </c>
      <c r="J4859" s="21">
        <f>-$B$3624</f>
        <v/>
      </c>
      <c r="K4859" s="21">
        <f>-$B$3625</f>
        <v/>
      </c>
      <c r="L4859" s="21">
        <f>2*$B$3624+$D$4843</f>
        <v/>
      </c>
      <c r="M4859" s="21">
        <f>0</f>
        <v/>
      </c>
      <c r="N4859" s="21">
        <f>-$B$3624</f>
        <v/>
      </c>
      <c r="O4859" s="21">
        <f>$B$3625</f>
        <v/>
      </c>
      <c r="P4859" s="21" t="n">
        <v>0</v>
      </c>
      <c r="Q4859" s="21" t="n">
        <v>0</v>
      </c>
      <c r="R4859" s="21" t="n">
        <v>0</v>
      </c>
      <c r="S4859" s="21" t="n">
        <v>0</v>
      </c>
      <c r="T4859" s="21" t="n">
        <v>0</v>
      </c>
      <c r="U4859" s="21" t="n">
        <v>0</v>
      </c>
      <c r="V4859" s="21" t="n">
        <v>0</v>
      </c>
      <c r="W4859" s="21" t="n">
        <v>0</v>
      </c>
      <c r="X4859" s="21" t="n">
        <v>0</v>
      </c>
      <c r="Y4859" s="21" t="n">
        <v>0</v>
      </c>
      <c r="Z4859" s="19" t="n"/>
    </row>
    <row r="4860">
      <c r="D4860" s="21" t="n">
        <v>0</v>
      </c>
      <c r="E4860" s="21" t="n">
        <v>0</v>
      </c>
      <c r="F4860" s="21" t="n">
        <v>0</v>
      </c>
      <c r="G4860" s="21" t="n">
        <v>0</v>
      </c>
      <c r="H4860" s="21" t="n">
        <v>0</v>
      </c>
      <c r="I4860" s="21" t="n">
        <v>0</v>
      </c>
      <c r="J4860" s="21">
        <f>$B$3625</f>
        <v/>
      </c>
      <c r="K4860" s="21">
        <f>$B$3627</f>
        <v/>
      </c>
      <c r="L4860" s="21">
        <f>0</f>
        <v/>
      </c>
      <c r="M4860" s="21">
        <f>2*$B$3626</f>
        <v/>
      </c>
      <c r="N4860" s="21">
        <f>-$B$3625</f>
        <v/>
      </c>
      <c r="O4860" s="21">
        <f>$B$3627</f>
        <v/>
      </c>
      <c r="P4860" s="21" t="n">
        <v>0</v>
      </c>
      <c r="Q4860" s="21" t="n">
        <v>0</v>
      </c>
      <c r="R4860" s="21" t="n">
        <v>0</v>
      </c>
      <c r="S4860" s="21" t="n">
        <v>0</v>
      </c>
      <c r="T4860" s="21" t="n">
        <v>0</v>
      </c>
      <c r="U4860" s="21" t="n">
        <v>0</v>
      </c>
      <c r="V4860" s="21" t="n">
        <v>0</v>
      </c>
      <c r="W4860" s="21" t="n">
        <v>0</v>
      </c>
      <c r="X4860" s="21" t="n">
        <v>0</v>
      </c>
      <c r="Y4860" s="21" t="n">
        <v>0</v>
      </c>
      <c r="Z4860" s="19" t="n"/>
    </row>
    <row r="4861">
      <c r="D4861" s="21" t="n">
        <v>0</v>
      </c>
      <c r="E4861" s="21" t="n">
        <v>0</v>
      </c>
      <c r="F4861" s="21" t="n">
        <v>0</v>
      </c>
      <c r="G4861" s="21" t="n">
        <v>0</v>
      </c>
      <c r="H4861" s="21" t="n">
        <v>0</v>
      </c>
      <c r="I4861" s="21" t="n">
        <v>0</v>
      </c>
      <c r="J4861" s="21" t="n">
        <v>0</v>
      </c>
      <c r="K4861" s="21" t="n">
        <v>0</v>
      </c>
      <c r="L4861" s="21">
        <f>-$B$3624</f>
        <v/>
      </c>
      <c r="M4861" s="21">
        <f>-$B$3625</f>
        <v/>
      </c>
      <c r="N4861" s="21">
        <f>2*$B$3624+$D$4844</f>
        <v/>
      </c>
      <c r="O4861" s="21">
        <f>0</f>
        <v/>
      </c>
      <c r="P4861" s="21">
        <f>-$B$3624</f>
        <v/>
      </c>
      <c r="Q4861" s="21">
        <f>$B$3625</f>
        <v/>
      </c>
      <c r="R4861" s="21" t="n">
        <v>0</v>
      </c>
      <c r="S4861" s="21" t="n">
        <v>0</v>
      </c>
      <c r="T4861" s="21" t="n">
        <v>0</v>
      </c>
      <c r="U4861" s="21" t="n">
        <v>0</v>
      </c>
      <c r="V4861" s="21" t="n">
        <v>0</v>
      </c>
      <c r="W4861" s="21" t="n">
        <v>0</v>
      </c>
      <c r="X4861" s="21" t="n">
        <v>0</v>
      </c>
      <c r="Y4861" s="21" t="n">
        <v>0</v>
      </c>
      <c r="Z4861" s="19" t="n"/>
    </row>
    <row r="4862">
      <c r="D4862" s="21" t="n">
        <v>0</v>
      </c>
      <c r="E4862" s="21" t="n">
        <v>0</v>
      </c>
      <c r="F4862" s="21" t="n">
        <v>0</v>
      </c>
      <c r="G4862" s="21" t="n">
        <v>0</v>
      </c>
      <c r="H4862" s="21" t="n">
        <v>0</v>
      </c>
      <c r="I4862" s="21" t="n">
        <v>0</v>
      </c>
      <c r="J4862" s="21" t="n">
        <v>0</v>
      </c>
      <c r="K4862" s="21" t="n">
        <v>0</v>
      </c>
      <c r="L4862" s="21">
        <f>$B$3625</f>
        <v/>
      </c>
      <c r="M4862" s="21">
        <f>$B$3627</f>
        <v/>
      </c>
      <c r="N4862" s="21">
        <f>0</f>
        <v/>
      </c>
      <c r="O4862" s="21">
        <f>2*$B$3626</f>
        <v/>
      </c>
      <c r="P4862" s="21">
        <f>-$B$3625</f>
        <v/>
      </c>
      <c r="Q4862" s="21">
        <f>$B$3627</f>
        <v/>
      </c>
      <c r="R4862" s="21" t="n">
        <v>0</v>
      </c>
      <c r="S4862" s="21" t="n">
        <v>0</v>
      </c>
      <c r="T4862" s="21" t="n">
        <v>0</v>
      </c>
      <c r="U4862" s="21" t="n">
        <v>0</v>
      </c>
      <c r="V4862" s="21" t="n">
        <v>0</v>
      </c>
      <c r="W4862" s="21" t="n">
        <v>0</v>
      </c>
      <c r="X4862" s="21" t="n">
        <v>0</v>
      </c>
      <c r="Y4862" s="21" t="n">
        <v>0</v>
      </c>
      <c r="Z4862" s="19" t="n"/>
    </row>
    <row r="4863">
      <c r="D4863" s="21" t="n">
        <v>0</v>
      </c>
      <c r="E4863" s="21" t="n">
        <v>0</v>
      </c>
      <c r="F4863" s="21" t="n">
        <v>0</v>
      </c>
      <c r="G4863" s="21" t="n">
        <v>0</v>
      </c>
      <c r="H4863" s="21" t="n">
        <v>0</v>
      </c>
      <c r="I4863" s="21" t="n">
        <v>0</v>
      </c>
      <c r="J4863" s="21" t="n">
        <v>0</v>
      </c>
      <c r="K4863" s="21" t="n">
        <v>0</v>
      </c>
      <c r="L4863" s="21" t="n">
        <v>0</v>
      </c>
      <c r="M4863" s="21" t="n">
        <v>0</v>
      </c>
      <c r="N4863" s="21">
        <f>-$B$3624</f>
        <v/>
      </c>
      <c r="O4863" s="21">
        <f>-$B$3625</f>
        <v/>
      </c>
      <c r="P4863" s="21">
        <f>2*$B$3624+$D$4845</f>
        <v/>
      </c>
      <c r="Q4863" s="21">
        <f>0</f>
        <v/>
      </c>
      <c r="R4863" s="21">
        <f>-$B$3624</f>
        <v/>
      </c>
      <c r="S4863" s="21">
        <f>$B$3625</f>
        <v/>
      </c>
      <c r="T4863" s="21" t="n">
        <v>0</v>
      </c>
      <c r="U4863" s="21" t="n">
        <v>0</v>
      </c>
      <c r="V4863" s="21" t="n">
        <v>0</v>
      </c>
      <c r="W4863" s="21" t="n">
        <v>0</v>
      </c>
      <c r="X4863" s="21" t="n">
        <v>0</v>
      </c>
      <c r="Y4863" s="21" t="n">
        <v>0</v>
      </c>
      <c r="Z4863" s="19" t="n"/>
    </row>
    <row r="4864">
      <c r="D4864" s="21" t="n">
        <v>0</v>
      </c>
      <c r="E4864" s="21" t="n">
        <v>0</v>
      </c>
      <c r="F4864" s="21" t="n">
        <v>0</v>
      </c>
      <c r="G4864" s="21" t="n">
        <v>0</v>
      </c>
      <c r="H4864" s="21" t="n">
        <v>0</v>
      </c>
      <c r="I4864" s="21" t="n">
        <v>0</v>
      </c>
      <c r="J4864" s="21" t="n">
        <v>0</v>
      </c>
      <c r="K4864" s="21" t="n">
        <v>0</v>
      </c>
      <c r="L4864" s="21" t="n">
        <v>0</v>
      </c>
      <c r="M4864" s="21" t="n">
        <v>0</v>
      </c>
      <c r="N4864" s="21">
        <f>$B$3625</f>
        <v/>
      </c>
      <c r="O4864" s="21">
        <f>$B$3627</f>
        <v/>
      </c>
      <c r="P4864" s="21">
        <f>0</f>
        <v/>
      </c>
      <c r="Q4864" s="21">
        <f>2*$B$3626</f>
        <v/>
      </c>
      <c r="R4864" s="21">
        <f>-$B$3625</f>
        <v/>
      </c>
      <c r="S4864" s="21">
        <f>$B$3627</f>
        <v/>
      </c>
      <c r="T4864" s="21" t="n">
        <v>0</v>
      </c>
      <c r="U4864" s="21" t="n">
        <v>0</v>
      </c>
      <c r="V4864" s="21" t="n">
        <v>0</v>
      </c>
      <c r="W4864" s="21" t="n">
        <v>0</v>
      </c>
      <c r="X4864" s="21" t="n">
        <v>0</v>
      </c>
      <c r="Y4864" s="21" t="n">
        <v>0</v>
      </c>
      <c r="Z4864" s="19" t="n"/>
    </row>
    <row r="4865">
      <c r="D4865" s="21" t="n">
        <v>0</v>
      </c>
      <c r="E4865" s="21" t="n">
        <v>0</v>
      </c>
      <c r="F4865" s="21" t="n">
        <v>0</v>
      </c>
      <c r="G4865" s="21" t="n">
        <v>0</v>
      </c>
      <c r="H4865" s="21" t="n">
        <v>0</v>
      </c>
      <c r="I4865" s="21" t="n">
        <v>0</v>
      </c>
      <c r="J4865" s="21" t="n">
        <v>0</v>
      </c>
      <c r="K4865" s="21" t="n">
        <v>0</v>
      </c>
      <c r="L4865" s="21" t="n">
        <v>0</v>
      </c>
      <c r="M4865" s="21" t="n">
        <v>0</v>
      </c>
      <c r="N4865" s="21" t="n">
        <v>0</v>
      </c>
      <c r="O4865" s="21" t="n">
        <v>0</v>
      </c>
      <c r="P4865" s="21">
        <f>-$B$3624</f>
        <v/>
      </c>
      <c r="Q4865" s="21">
        <f>-$B$3625</f>
        <v/>
      </c>
      <c r="R4865" s="21">
        <f>2*$B$3624+$D$4846</f>
        <v/>
      </c>
      <c r="S4865" s="21">
        <f>0</f>
        <v/>
      </c>
      <c r="T4865" s="21">
        <f>-$B$3624</f>
        <v/>
      </c>
      <c r="U4865" s="21">
        <f>$B$3625</f>
        <v/>
      </c>
      <c r="V4865" s="21" t="n">
        <v>0</v>
      </c>
      <c r="W4865" s="21" t="n">
        <v>0</v>
      </c>
      <c r="X4865" s="21" t="n">
        <v>0</v>
      </c>
      <c r="Y4865" s="21" t="n">
        <v>0</v>
      </c>
      <c r="Z4865" s="19" t="n"/>
    </row>
    <row r="4866">
      <c r="D4866" s="21" t="n">
        <v>0</v>
      </c>
      <c r="E4866" s="21" t="n">
        <v>0</v>
      </c>
      <c r="F4866" s="21" t="n">
        <v>0</v>
      </c>
      <c r="G4866" s="21" t="n">
        <v>0</v>
      </c>
      <c r="H4866" s="21" t="n">
        <v>0</v>
      </c>
      <c r="I4866" s="21" t="n">
        <v>0</v>
      </c>
      <c r="J4866" s="21" t="n">
        <v>0</v>
      </c>
      <c r="K4866" s="21" t="n">
        <v>0</v>
      </c>
      <c r="L4866" s="21" t="n">
        <v>0</v>
      </c>
      <c r="M4866" s="21" t="n">
        <v>0</v>
      </c>
      <c r="N4866" s="21" t="n">
        <v>0</v>
      </c>
      <c r="O4866" s="21" t="n">
        <v>0</v>
      </c>
      <c r="P4866" s="21">
        <f>$B$3625</f>
        <v/>
      </c>
      <c r="Q4866" s="21">
        <f>$B$3627</f>
        <v/>
      </c>
      <c r="R4866" s="21">
        <f>0</f>
        <v/>
      </c>
      <c r="S4866" s="21">
        <f>2*$B$3626</f>
        <v/>
      </c>
      <c r="T4866" s="21">
        <f>-$B$3625</f>
        <v/>
      </c>
      <c r="U4866" s="21">
        <f>$B$3627</f>
        <v/>
      </c>
      <c r="V4866" s="21" t="n">
        <v>0</v>
      </c>
      <c r="W4866" s="21" t="n">
        <v>0</v>
      </c>
      <c r="X4866" s="21" t="n">
        <v>0</v>
      </c>
      <c r="Y4866" s="21" t="n">
        <v>0</v>
      </c>
      <c r="Z4866" s="19" t="n"/>
    </row>
    <row r="4867">
      <c r="D4867" s="21" t="n">
        <v>0</v>
      </c>
      <c r="E4867" s="21" t="n">
        <v>0</v>
      </c>
      <c r="F4867" s="21" t="n">
        <v>0</v>
      </c>
      <c r="G4867" s="21" t="n">
        <v>0</v>
      </c>
      <c r="H4867" s="21" t="n">
        <v>0</v>
      </c>
      <c r="I4867" s="21" t="n">
        <v>0</v>
      </c>
      <c r="J4867" s="21" t="n">
        <v>0</v>
      </c>
      <c r="K4867" s="21" t="n">
        <v>0</v>
      </c>
      <c r="L4867" s="21" t="n">
        <v>0</v>
      </c>
      <c r="M4867" s="21" t="n">
        <v>0</v>
      </c>
      <c r="N4867" s="21" t="n">
        <v>0</v>
      </c>
      <c r="O4867" s="21" t="n">
        <v>0</v>
      </c>
      <c r="P4867" s="21" t="n">
        <v>0</v>
      </c>
      <c r="Q4867" s="21" t="n">
        <v>0</v>
      </c>
      <c r="R4867" s="21">
        <f>-$B$3624</f>
        <v/>
      </c>
      <c r="S4867" s="21">
        <f>-$B$3625</f>
        <v/>
      </c>
      <c r="T4867" s="21">
        <f>2*$B$3624+$D$4847</f>
        <v/>
      </c>
      <c r="U4867" s="21">
        <f>0</f>
        <v/>
      </c>
      <c r="V4867" s="21">
        <f>-$B$3624</f>
        <v/>
      </c>
      <c r="W4867" s="21">
        <f>$B$3625</f>
        <v/>
      </c>
      <c r="X4867" s="21" t="n">
        <v>0</v>
      </c>
      <c r="Y4867" s="21" t="n">
        <v>0</v>
      </c>
      <c r="Z4867" s="19" t="n"/>
    </row>
    <row r="4868">
      <c r="D4868" s="21" t="n">
        <v>0</v>
      </c>
      <c r="E4868" s="21" t="n">
        <v>0</v>
      </c>
      <c r="F4868" s="21" t="n">
        <v>0</v>
      </c>
      <c r="G4868" s="21" t="n">
        <v>0</v>
      </c>
      <c r="H4868" s="21" t="n">
        <v>0</v>
      </c>
      <c r="I4868" s="21" t="n">
        <v>0</v>
      </c>
      <c r="J4868" s="21" t="n">
        <v>0</v>
      </c>
      <c r="K4868" s="21" t="n">
        <v>0</v>
      </c>
      <c r="L4868" s="21" t="n">
        <v>0</v>
      </c>
      <c r="M4868" s="21" t="n">
        <v>0</v>
      </c>
      <c r="N4868" s="21" t="n">
        <v>0</v>
      </c>
      <c r="O4868" s="21" t="n">
        <v>0</v>
      </c>
      <c r="P4868" s="21" t="n">
        <v>0</v>
      </c>
      <c r="Q4868" s="21" t="n">
        <v>0</v>
      </c>
      <c r="R4868" s="21">
        <f>$B$3625</f>
        <v/>
      </c>
      <c r="S4868" s="21">
        <f>$B$3627</f>
        <v/>
      </c>
      <c r="T4868" s="21">
        <f>0</f>
        <v/>
      </c>
      <c r="U4868" s="21">
        <f>2*$B$3626</f>
        <v/>
      </c>
      <c r="V4868" s="21">
        <f>-$B$3625</f>
        <v/>
      </c>
      <c r="W4868" s="21">
        <f>$B$3627</f>
        <v/>
      </c>
      <c r="X4868" s="21" t="n">
        <v>0</v>
      </c>
      <c r="Y4868" s="21" t="n">
        <v>0</v>
      </c>
      <c r="Z4868" s="19" t="n"/>
    </row>
    <row r="4869">
      <c r="D4869" s="21" t="n">
        <v>0</v>
      </c>
      <c r="E4869" s="21" t="n">
        <v>0</v>
      </c>
      <c r="F4869" s="21" t="n">
        <v>0</v>
      </c>
      <c r="G4869" s="21" t="n">
        <v>0</v>
      </c>
      <c r="H4869" s="21" t="n">
        <v>0</v>
      </c>
      <c r="I4869" s="21" t="n">
        <v>0</v>
      </c>
      <c r="J4869" s="21" t="n">
        <v>0</v>
      </c>
      <c r="K4869" s="21" t="n">
        <v>0</v>
      </c>
      <c r="L4869" s="21" t="n">
        <v>0</v>
      </c>
      <c r="M4869" s="21" t="n">
        <v>0</v>
      </c>
      <c r="N4869" s="21" t="n">
        <v>0</v>
      </c>
      <c r="O4869" s="21" t="n">
        <v>0</v>
      </c>
      <c r="P4869" s="21" t="n">
        <v>0</v>
      </c>
      <c r="Q4869" s="21" t="n">
        <v>0</v>
      </c>
      <c r="R4869" s="21" t="n">
        <v>0</v>
      </c>
      <c r="S4869" s="21" t="n">
        <v>0</v>
      </c>
      <c r="T4869" s="21">
        <f>-$B$3624</f>
        <v/>
      </c>
      <c r="U4869" s="21">
        <f>-$B$3625</f>
        <v/>
      </c>
      <c r="V4869" s="21">
        <f>2*$B$3624+$D$4848</f>
        <v/>
      </c>
      <c r="W4869" s="21">
        <f>0</f>
        <v/>
      </c>
      <c r="X4869" s="21">
        <f>-$B$3624</f>
        <v/>
      </c>
      <c r="Y4869" s="21">
        <f>$B$3625</f>
        <v/>
      </c>
      <c r="Z4869" s="19" t="n"/>
    </row>
    <row r="4870">
      <c r="D4870" s="21" t="n">
        <v>0</v>
      </c>
      <c r="E4870" s="21" t="n">
        <v>0</v>
      </c>
      <c r="F4870" s="21" t="n">
        <v>0</v>
      </c>
      <c r="G4870" s="21" t="n">
        <v>0</v>
      </c>
      <c r="H4870" s="21" t="n">
        <v>0</v>
      </c>
      <c r="I4870" s="21" t="n">
        <v>0</v>
      </c>
      <c r="J4870" s="21" t="n">
        <v>0</v>
      </c>
      <c r="K4870" s="21" t="n">
        <v>0</v>
      </c>
      <c r="L4870" s="21" t="n">
        <v>0</v>
      </c>
      <c r="M4870" s="21" t="n">
        <v>0</v>
      </c>
      <c r="N4870" s="21" t="n">
        <v>0</v>
      </c>
      <c r="O4870" s="21" t="n">
        <v>0</v>
      </c>
      <c r="P4870" s="21" t="n">
        <v>0</v>
      </c>
      <c r="Q4870" s="21" t="n">
        <v>0</v>
      </c>
      <c r="R4870" s="21" t="n">
        <v>0</v>
      </c>
      <c r="S4870" s="21" t="n">
        <v>0</v>
      </c>
      <c r="T4870" s="21">
        <f>$B$3625</f>
        <v/>
      </c>
      <c r="U4870" s="21">
        <f>$B$3627</f>
        <v/>
      </c>
      <c r="V4870" s="21">
        <f>0</f>
        <v/>
      </c>
      <c r="W4870" s="21">
        <f>2*$B$3626</f>
        <v/>
      </c>
      <c r="X4870" s="21">
        <f>-$B$3625</f>
        <v/>
      </c>
      <c r="Y4870" s="21">
        <f>$B$3627</f>
        <v/>
      </c>
      <c r="Z4870" s="19" t="n"/>
    </row>
    <row r="4871">
      <c r="D4871" s="21" t="n">
        <v>0</v>
      </c>
      <c r="E4871" s="21" t="n">
        <v>0</v>
      </c>
      <c r="F4871" s="21" t="n">
        <v>0</v>
      </c>
      <c r="G4871" s="21" t="n">
        <v>0</v>
      </c>
      <c r="H4871" s="21" t="n">
        <v>0</v>
      </c>
      <c r="I4871" s="21" t="n">
        <v>0</v>
      </c>
      <c r="J4871" s="21" t="n">
        <v>0</v>
      </c>
      <c r="K4871" s="21" t="n">
        <v>0</v>
      </c>
      <c r="L4871" s="21" t="n">
        <v>0</v>
      </c>
      <c r="M4871" s="21" t="n">
        <v>0</v>
      </c>
      <c r="N4871" s="21" t="n">
        <v>0</v>
      </c>
      <c r="O4871" s="21" t="n">
        <v>0</v>
      </c>
      <c r="P4871" s="21" t="n">
        <v>0</v>
      </c>
      <c r="Q4871" s="21" t="n">
        <v>0</v>
      </c>
      <c r="R4871" s="21" t="n">
        <v>0</v>
      </c>
      <c r="S4871" s="21" t="n">
        <v>0</v>
      </c>
      <c r="T4871" s="21" t="n">
        <v>0</v>
      </c>
      <c r="U4871" s="21" t="n">
        <v>0</v>
      </c>
      <c r="V4871" s="21">
        <f>-$B$3624</f>
        <v/>
      </c>
      <c r="W4871" s="21">
        <f>-$B$3625</f>
        <v/>
      </c>
      <c r="X4871" s="21">
        <f>$B$3624+$D$4849</f>
        <v/>
      </c>
      <c r="Y4871" s="21">
        <f>-$B$3625</f>
        <v/>
      </c>
      <c r="Z4871" s="19" t="n"/>
    </row>
    <row r="4872">
      <c r="D4872" s="21" t="n">
        <v>0</v>
      </c>
      <c r="E4872" s="21" t="n">
        <v>0</v>
      </c>
      <c r="F4872" s="21" t="n">
        <v>0</v>
      </c>
      <c r="G4872" s="21" t="n">
        <v>0</v>
      </c>
      <c r="H4872" s="21" t="n">
        <v>0</v>
      </c>
      <c r="I4872" s="21" t="n">
        <v>0</v>
      </c>
      <c r="J4872" s="21" t="n">
        <v>0</v>
      </c>
      <c r="K4872" s="21" t="n">
        <v>0</v>
      </c>
      <c r="L4872" s="21" t="n">
        <v>0</v>
      </c>
      <c r="M4872" s="21" t="n">
        <v>0</v>
      </c>
      <c r="N4872" s="21" t="n">
        <v>0</v>
      </c>
      <c r="O4872" s="21" t="n">
        <v>0</v>
      </c>
      <c r="P4872" s="21" t="n">
        <v>0</v>
      </c>
      <c r="Q4872" s="21" t="n">
        <v>0</v>
      </c>
      <c r="R4872" s="21" t="n">
        <v>0</v>
      </c>
      <c r="S4872" s="21" t="n">
        <v>0</v>
      </c>
      <c r="T4872" s="21" t="n">
        <v>0</v>
      </c>
      <c r="U4872" s="21" t="n">
        <v>0</v>
      </c>
      <c r="V4872" s="21">
        <f>$B$3625</f>
        <v/>
      </c>
      <c r="W4872" s="21">
        <f>$B$3627</f>
        <v/>
      </c>
      <c r="X4872" s="21">
        <f>-$B$3625</f>
        <v/>
      </c>
      <c r="Y4872" s="21">
        <f>$B$3626</f>
        <v/>
      </c>
      <c r="Z4872" s="19" t="n"/>
    </row>
    <row r="4874">
      <c r="A4874" s="8" t="inlineStr">
        <is>
          <t>gen 34</t>
        </is>
      </c>
    </row>
    <row r="4875">
      <c r="D4875" s="19">
        <f>IF(ABS(IF(ABS($E$4839)&gt;0.000000001,$E$4839,0.000000001))=0,0,IF($E$3639&lt;=$B$3633,0,IF(ABS(IF(ABS($E$4839)&gt;0.000000001,$E$4839,0.000000001))&gt;=8*$B$3635,$H$3639,0.5*$H$3639*(ABS(IF(ABS($E$4839)&gt;0.000000001,$E$4839,0.000000001))/$B$3635)^(1/3)))/ABS(IF(ABS($E$4839)&gt;0.000000001,$E$4839,0.000000001))*$I$3639)</f>
        <v/>
      </c>
      <c r="E4875" s="19">
        <f>0.5*$E$4839+0.5*$Z$4887</f>
        <v/>
      </c>
      <c r="F4875" s="19">
        <f>$Z$4888</f>
        <v/>
      </c>
    </row>
    <row r="4876">
      <c r="D4876" s="19">
        <f>IF(ABS(IF(ABS($E$4840)&gt;0.000000001,$E$4840,0.000000001))=0,0,IF($E$3640&lt;=$B$3633,0,IF(ABS(IF(ABS($E$4840)&gt;0.000000001,$E$4840,0.000000001))&gt;=8*$B$3635,$H$3640,0.5*$H$3640*(ABS(IF(ABS($E$4840)&gt;0.000000001,$E$4840,0.000000001))/$B$3635)^(1/3)))/ABS(IF(ABS($E$4840)&gt;0.000000001,$E$4840,0.000000001))*$I$3640)</f>
        <v/>
      </c>
      <c r="E4876" s="19">
        <f>0.5*$E$4840+0.5*$Z$4889</f>
        <v/>
      </c>
      <c r="F4876" s="19">
        <f>$Z$4890</f>
        <v/>
      </c>
    </row>
    <row r="4877">
      <c r="D4877" s="19">
        <f>IF(ABS(IF(ABS($E$4841)&gt;0.000000001,$E$4841,0.000000001))=0,0,IF($E$3641&lt;=$B$3633,0,IF(ABS(IF(ABS($E$4841)&gt;0.000000001,$E$4841,0.000000001))&gt;=8*$B$3635,$H$3641,0.5*$H$3641*(ABS(IF(ABS($E$4841)&gt;0.000000001,$E$4841,0.000000001))/$B$3635)^(1/3)))/ABS(IF(ABS($E$4841)&gt;0.000000001,$E$4841,0.000000001))*$I$3641)</f>
        <v/>
      </c>
      <c r="E4877" s="19">
        <f>0.5*$E$4841+0.5*$Z$4891</f>
        <v/>
      </c>
      <c r="F4877" s="19">
        <f>$Z$4892</f>
        <v/>
      </c>
    </row>
    <row r="4878">
      <c r="D4878" s="19">
        <f>IF(ABS(IF(ABS($E$4842)&gt;0.000000001,$E$4842,0.000000001))=0,0,IF($E$3642&lt;=$B$3633,0,IF(ABS(IF(ABS($E$4842)&gt;0.000000001,$E$4842,0.000000001))&gt;=8*$B$3635,$H$3642,0.5*$H$3642*(ABS(IF(ABS($E$4842)&gt;0.000000001,$E$4842,0.000000001))/$B$3635)^(1/3)))/ABS(IF(ABS($E$4842)&gt;0.000000001,$E$4842,0.000000001))*$I$3642)</f>
        <v/>
      </c>
      <c r="E4878" s="19">
        <f>0.5*$E$4842+0.5*$Z$4893</f>
        <v/>
      </c>
      <c r="F4878" s="19">
        <f>$Z$4894</f>
        <v/>
      </c>
    </row>
    <row r="4879">
      <c r="D4879" s="19">
        <f>IF(ABS(IF(ABS($E$4843)&gt;0.000000001,$E$4843,0.000000001))=0,0,IF($E$3643&lt;=$B$3633,0,IF(ABS(IF(ABS($E$4843)&gt;0.000000001,$E$4843,0.000000001))&gt;=8*$B$3635,$H$3643,0.5*$H$3643*(ABS(IF(ABS($E$4843)&gt;0.000000001,$E$4843,0.000000001))/$B$3635)^(1/3)))/ABS(IF(ABS($E$4843)&gt;0.000000001,$E$4843,0.000000001))*$I$3643)</f>
        <v/>
      </c>
      <c r="E4879" s="19">
        <f>0.5*$E$4843+0.5*$Z$4895</f>
        <v/>
      </c>
      <c r="F4879" s="19">
        <f>$Z$4896</f>
        <v/>
      </c>
    </row>
    <row r="4880">
      <c r="D4880" s="19">
        <f>IF(ABS(IF(ABS($E$4844)&gt;0.000000001,$E$4844,0.000000001))=0,0,IF($E$3644&lt;=$B$3633,0,IF(ABS(IF(ABS($E$4844)&gt;0.000000001,$E$4844,0.000000001))&gt;=8*$B$3635,$H$3644,0.5*$H$3644*(ABS(IF(ABS($E$4844)&gt;0.000000001,$E$4844,0.000000001))/$B$3635)^(1/3)))/ABS(IF(ABS($E$4844)&gt;0.000000001,$E$4844,0.000000001))*$I$3644)</f>
        <v/>
      </c>
      <c r="E4880" s="19">
        <f>0.5*$E$4844+0.5*$Z$4897</f>
        <v/>
      </c>
      <c r="F4880" s="19">
        <f>$Z$4898</f>
        <v/>
      </c>
    </row>
    <row r="4881">
      <c r="D4881" s="19">
        <f>IF(ABS(IF(ABS($E$4845)&gt;0.000000001,$E$4845,0.000000001))=0,0,IF($E$3645&lt;=$B$3633,0,IF(ABS(IF(ABS($E$4845)&gt;0.000000001,$E$4845,0.000000001))&gt;=8*$B$3635,$H$3645,0.5*$H$3645*(ABS(IF(ABS($E$4845)&gt;0.000000001,$E$4845,0.000000001))/$B$3635)^(1/3)))/ABS(IF(ABS($E$4845)&gt;0.000000001,$E$4845,0.000000001))*$I$3645)</f>
        <v/>
      </c>
      <c r="E4881" s="19">
        <f>0.5*$E$4845+0.5*$Z$4899</f>
        <v/>
      </c>
      <c r="F4881" s="19">
        <f>$Z$4900</f>
        <v/>
      </c>
    </row>
    <row r="4882">
      <c r="D4882" s="19">
        <f>IF(ABS(IF(ABS($E$4846)&gt;0.000000001,$E$4846,0.000000001))=0,0,IF($E$3646&lt;=$B$3633,0,IF(ABS(IF(ABS($E$4846)&gt;0.000000001,$E$4846,0.000000001))&gt;=8*$B$3635,$H$3646,0.5*$H$3646*(ABS(IF(ABS($E$4846)&gt;0.000000001,$E$4846,0.000000001))/$B$3635)^(1/3)))/ABS(IF(ABS($E$4846)&gt;0.000000001,$E$4846,0.000000001))*$I$3646)</f>
        <v/>
      </c>
      <c r="E4882" s="19">
        <f>0.5*$E$4846+0.5*$Z$4901</f>
        <v/>
      </c>
      <c r="F4882" s="19">
        <f>$Z$4902</f>
        <v/>
      </c>
    </row>
    <row r="4883">
      <c r="D4883" s="19">
        <f>IF(ABS(IF(ABS($E$4847)&gt;0.000000001,$E$4847,0.000000001))=0,0,IF($E$3647&lt;=$B$3633,0,IF(ABS(IF(ABS($E$4847)&gt;0.000000001,$E$4847,0.000000001))&gt;=8*$B$3635,$H$3647,0.5*$H$3647*(ABS(IF(ABS($E$4847)&gt;0.000000001,$E$4847,0.000000001))/$B$3635)^(1/3)))/ABS(IF(ABS($E$4847)&gt;0.000000001,$E$4847,0.000000001))*$I$3647)</f>
        <v/>
      </c>
      <c r="E4883" s="19">
        <f>0.5*$E$4847+0.5*$Z$4903</f>
        <v/>
      </c>
      <c r="F4883" s="19">
        <f>$Z$4904</f>
        <v/>
      </c>
    </row>
    <row r="4884">
      <c r="D4884" s="19">
        <f>IF(ABS(IF(ABS($E$4848)&gt;0.000000001,$E$4848,0.000000001))=0,0,IF($E$3648&lt;=$B$3633,0,IF(ABS(IF(ABS($E$4848)&gt;0.000000001,$E$4848,0.000000001))&gt;=8*$B$3635,$H$3648,0.5*$H$3648*(ABS(IF(ABS($E$4848)&gt;0.000000001,$E$4848,0.000000001))/$B$3635)^(1/3)))/ABS(IF(ABS($E$4848)&gt;0.000000001,$E$4848,0.000000001))*$I$3648)</f>
        <v/>
      </c>
      <c r="E4884" s="19">
        <f>0.5*$E$4848+0.5*$Z$4905</f>
        <v/>
      </c>
      <c r="F4884" s="19">
        <f>$Z$4906</f>
        <v/>
      </c>
    </row>
    <row r="4885">
      <c r="D4885" s="19">
        <f>IF(ABS(IF(ABS($E$4849)&gt;0.000000001,$E$4849,0.000000001))=0,0,IF($E$3649&lt;=$B$3633,0,IF(ABS(IF(ABS($E$4849)&gt;0.000000001,$E$4849,0.000000001))&gt;=8*$B$3635,$H$3649,0.5*$H$3649*(ABS(IF(ABS($E$4849)&gt;0.000000001,$E$4849,0.000000001))/$B$3635)^(1/3)))/ABS(IF(ABS($E$4849)&gt;0.000000001,$E$4849,0.000000001))*$I$3649)</f>
        <v/>
      </c>
      <c r="E4885" s="19">
        <f>0.5*$E$4849+0.5*$Z$4907</f>
        <v/>
      </c>
      <c r="F4885" s="19">
        <f>$Z$4908</f>
        <v/>
      </c>
    </row>
    <row r="4887">
      <c r="D4887" s="21">
        <f>$B$3624+$D$4875</f>
        <v/>
      </c>
      <c r="E4887" s="21">
        <f>$B$3625</f>
        <v/>
      </c>
      <c r="F4887" s="21">
        <f>-$B$3624</f>
        <v/>
      </c>
      <c r="G4887" s="21">
        <f>$B$3625</f>
        <v/>
      </c>
      <c r="H4887" s="21" t="n">
        <v>0</v>
      </c>
      <c r="I4887" s="21" t="n">
        <v>0</v>
      </c>
      <c r="J4887" s="21" t="n">
        <v>0</v>
      </c>
      <c r="K4887" s="21" t="n">
        <v>0</v>
      </c>
      <c r="L4887" s="21" t="n">
        <v>0</v>
      </c>
      <c r="M4887" s="21" t="n">
        <v>0</v>
      </c>
      <c r="N4887" s="21" t="n">
        <v>0</v>
      </c>
      <c r="O4887" s="21" t="n">
        <v>0</v>
      </c>
      <c r="P4887" s="21" t="n">
        <v>0</v>
      </c>
      <c r="Q4887" s="21" t="n">
        <v>0</v>
      </c>
      <c r="R4887" s="21" t="n">
        <v>0</v>
      </c>
      <c r="S4887" s="21" t="n">
        <v>0</v>
      </c>
      <c r="T4887" s="21" t="n">
        <v>0</v>
      </c>
      <c r="U4887" s="21" t="n">
        <v>0</v>
      </c>
      <c r="V4887" s="21" t="n">
        <v>0</v>
      </c>
      <c r="W4887" s="21" t="n">
        <v>0</v>
      </c>
      <c r="X4887" s="21" t="n">
        <v>0</v>
      </c>
      <c r="Y4887" s="21" t="n">
        <v>0</v>
      </c>
      <c r="Z4887" s="19">
        <f t="array" ref="Z4887:Z4908">MMULT(MINVERSE($D$4887:$Y$4908),$D$3651:$D$3672)</f>
        <v/>
      </c>
    </row>
    <row r="4888">
      <c r="D4888" s="21">
        <f>$B$3625</f>
        <v/>
      </c>
      <c r="E4888" s="21">
        <f>$B$3626</f>
        <v/>
      </c>
      <c r="F4888" s="21">
        <f>-$B$3625</f>
        <v/>
      </c>
      <c r="G4888" s="21">
        <f>$B$3627</f>
        <v/>
      </c>
      <c r="H4888" s="21" t="n">
        <v>0</v>
      </c>
      <c r="I4888" s="21" t="n">
        <v>0</v>
      </c>
      <c r="J4888" s="21" t="n">
        <v>0</v>
      </c>
      <c r="K4888" s="21" t="n">
        <v>0</v>
      </c>
      <c r="L4888" s="21" t="n">
        <v>0</v>
      </c>
      <c r="M4888" s="21" t="n">
        <v>0</v>
      </c>
      <c r="N4888" s="21" t="n">
        <v>0</v>
      </c>
      <c r="O4888" s="21" t="n">
        <v>0</v>
      </c>
      <c r="P4888" s="21" t="n">
        <v>0</v>
      </c>
      <c r="Q4888" s="21" t="n">
        <v>0</v>
      </c>
      <c r="R4888" s="21" t="n">
        <v>0</v>
      </c>
      <c r="S4888" s="21" t="n">
        <v>0</v>
      </c>
      <c r="T4888" s="21" t="n">
        <v>0</v>
      </c>
      <c r="U4888" s="21" t="n">
        <v>0</v>
      </c>
      <c r="V4888" s="21" t="n">
        <v>0</v>
      </c>
      <c r="W4888" s="21" t="n">
        <v>0</v>
      </c>
      <c r="X4888" s="21" t="n">
        <v>0</v>
      </c>
      <c r="Y4888" s="21" t="n">
        <v>0</v>
      </c>
      <c r="Z4888" s="19" t="n"/>
    </row>
    <row r="4889">
      <c r="D4889" s="21">
        <f>-$B$3624</f>
        <v/>
      </c>
      <c r="E4889" s="21">
        <f>-$B$3625</f>
        <v/>
      </c>
      <c r="F4889" s="21">
        <f>2*$B$3624+$D$4876</f>
        <v/>
      </c>
      <c r="G4889" s="21">
        <f>0</f>
        <v/>
      </c>
      <c r="H4889" s="21">
        <f>-$B$3624</f>
        <v/>
      </c>
      <c r="I4889" s="21">
        <f>$B$3625</f>
        <v/>
      </c>
      <c r="J4889" s="21" t="n">
        <v>0</v>
      </c>
      <c r="K4889" s="21" t="n">
        <v>0</v>
      </c>
      <c r="L4889" s="21" t="n">
        <v>0</v>
      </c>
      <c r="M4889" s="21" t="n">
        <v>0</v>
      </c>
      <c r="N4889" s="21" t="n">
        <v>0</v>
      </c>
      <c r="O4889" s="21" t="n">
        <v>0</v>
      </c>
      <c r="P4889" s="21" t="n">
        <v>0</v>
      </c>
      <c r="Q4889" s="21" t="n">
        <v>0</v>
      </c>
      <c r="R4889" s="21" t="n">
        <v>0</v>
      </c>
      <c r="S4889" s="21" t="n">
        <v>0</v>
      </c>
      <c r="T4889" s="21" t="n">
        <v>0</v>
      </c>
      <c r="U4889" s="21" t="n">
        <v>0</v>
      </c>
      <c r="V4889" s="21" t="n">
        <v>0</v>
      </c>
      <c r="W4889" s="21" t="n">
        <v>0</v>
      </c>
      <c r="X4889" s="21" t="n">
        <v>0</v>
      </c>
      <c r="Y4889" s="21" t="n">
        <v>0</v>
      </c>
      <c r="Z4889" s="19" t="n"/>
    </row>
    <row r="4890">
      <c r="D4890" s="21">
        <f>$B$3625</f>
        <v/>
      </c>
      <c r="E4890" s="21">
        <f>$B$3627</f>
        <v/>
      </c>
      <c r="F4890" s="21">
        <f>0</f>
        <v/>
      </c>
      <c r="G4890" s="21">
        <f>2*$B$3626</f>
        <v/>
      </c>
      <c r="H4890" s="21">
        <f>-$B$3625</f>
        <v/>
      </c>
      <c r="I4890" s="21">
        <f>$B$3627</f>
        <v/>
      </c>
      <c r="J4890" s="21" t="n">
        <v>0</v>
      </c>
      <c r="K4890" s="21" t="n">
        <v>0</v>
      </c>
      <c r="L4890" s="21" t="n">
        <v>0</v>
      </c>
      <c r="M4890" s="21" t="n">
        <v>0</v>
      </c>
      <c r="N4890" s="21" t="n">
        <v>0</v>
      </c>
      <c r="O4890" s="21" t="n">
        <v>0</v>
      </c>
      <c r="P4890" s="21" t="n">
        <v>0</v>
      </c>
      <c r="Q4890" s="21" t="n">
        <v>0</v>
      </c>
      <c r="R4890" s="21" t="n">
        <v>0</v>
      </c>
      <c r="S4890" s="21" t="n">
        <v>0</v>
      </c>
      <c r="T4890" s="21" t="n">
        <v>0</v>
      </c>
      <c r="U4890" s="21" t="n">
        <v>0</v>
      </c>
      <c r="V4890" s="21" t="n">
        <v>0</v>
      </c>
      <c r="W4890" s="21" t="n">
        <v>0</v>
      </c>
      <c r="X4890" s="21" t="n">
        <v>0</v>
      </c>
      <c r="Y4890" s="21" t="n">
        <v>0</v>
      </c>
      <c r="Z4890" s="19" t="n"/>
    </row>
    <row r="4891">
      <c r="D4891" s="21" t="n">
        <v>0</v>
      </c>
      <c r="E4891" s="21" t="n">
        <v>0</v>
      </c>
      <c r="F4891" s="21">
        <f>-$B$3624</f>
        <v/>
      </c>
      <c r="G4891" s="21">
        <f>-$B$3625</f>
        <v/>
      </c>
      <c r="H4891" s="21">
        <f>2*$B$3624+$D$4877</f>
        <v/>
      </c>
      <c r="I4891" s="21">
        <f>0</f>
        <v/>
      </c>
      <c r="J4891" s="21">
        <f>-$B$3624</f>
        <v/>
      </c>
      <c r="K4891" s="21">
        <f>$B$3625</f>
        <v/>
      </c>
      <c r="L4891" s="21" t="n">
        <v>0</v>
      </c>
      <c r="M4891" s="21" t="n">
        <v>0</v>
      </c>
      <c r="N4891" s="21" t="n">
        <v>0</v>
      </c>
      <c r="O4891" s="21" t="n">
        <v>0</v>
      </c>
      <c r="P4891" s="21" t="n">
        <v>0</v>
      </c>
      <c r="Q4891" s="21" t="n">
        <v>0</v>
      </c>
      <c r="R4891" s="21" t="n">
        <v>0</v>
      </c>
      <c r="S4891" s="21" t="n">
        <v>0</v>
      </c>
      <c r="T4891" s="21" t="n">
        <v>0</v>
      </c>
      <c r="U4891" s="21" t="n">
        <v>0</v>
      </c>
      <c r="V4891" s="21" t="n">
        <v>0</v>
      </c>
      <c r="W4891" s="21" t="n">
        <v>0</v>
      </c>
      <c r="X4891" s="21" t="n">
        <v>0</v>
      </c>
      <c r="Y4891" s="21" t="n">
        <v>0</v>
      </c>
      <c r="Z4891" s="19" t="n"/>
    </row>
    <row r="4892">
      <c r="D4892" s="21" t="n">
        <v>0</v>
      </c>
      <c r="E4892" s="21" t="n">
        <v>0</v>
      </c>
      <c r="F4892" s="21">
        <f>$B$3625</f>
        <v/>
      </c>
      <c r="G4892" s="21">
        <f>$B$3627</f>
        <v/>
      </c>
      <c r="H4892" s="21">
        <f>0</f>
        <v/>
      </c>
      <c r="I4892" s="21">
        <f>2*$B$3626</f>
        <v/>
      </c>
      <c r="J4892" s="21">
        <f>-$B$3625</f>
        <v/>
      </c>
      <c r="K4892" s="21">
        <f>$B$3627</f>
        <v/>
      </c>
      <c r="L4892" s="21" t="n">
        <v>0</v>
      </c>
      <c r="M4892" s="21" t="n">
        <v>0</v>
      </c>
      <c r="N4892" s="21" t="n">
        <v>0</v>
      </c>
      <c r="O4892" s="21" t="n">
        <v>0</v>
      </c>
      <c r="P4892" s="21" t="n">
        <v>0</v>
      </c>
      <c r="Q4892" s="21" t="n">
        <v>0</v>
      </c>
      <c r="R4892" s="21" t="n">
        <v>0</v>
      </c>
      <c r="S4892" s="21" t="n">
        <v>0</v>
      </c>
      <c r="T4892" s="21" t="n">
        <v>0</v>
      </c>
      <c r="U4892" s="21" t="n">
        <v>0</v>
      </c>
      <c r="V4892" s="21" t="n">
        <v>0</v>
      </c>
      <c r="W4892" s="21" t="n">
        <v>0</v>
      </c>
      <c r="X4892" s="21" t="n">
        <v>0</v>
      </c>
      <c r="Y4892" s="21" t="n">
        <v>0</v>
      </c>
      <c r="Z4892" s="19" t="n"/>
    </row>
    <row r="4893">
      <c r="D4893" s="21" t="n">
        <v>0</v>
      </c>
      <c r="E4893" s="21" t="n">
        <v>0</v>
      </c>
      <c r="F4893" s="21" t="n">
        <v>0</v>
      </c>
      <c r="G4893" s="21" t="n">
        <v>0</v>
      </c>
      <c r="H4893" s="21">
        <f>-$B$3624</f>
        <v/>
      </c>
      <c r="I4893" s="21">
        <f>-$B$3625</f>
        <v/>
      </c>
      <c r="J4893" s="21">
        <f>2*$B$3624+$D$4878</f>
        <v/>
      </c>
      <c r="K4893" s="21">
        <f>0</f>
        <v/>
      </c>
      <c r="L4893" s="21">
        <f>-$B$3624</f>
        <v/>
      </c>
      <c r="M4893" s="21">
        <f>$B$3625</f>
        <v/>
      </c>
      <c r="N4893" s="21" t="n">
        <v>0</v>
      </c>
      <c r="O4893" s="21" t="n">
        <v>0</v>
      </c>
      <c r="P4893" s="21" t="n">
        <v>0</v>
      </c>
      <c r="Q4893" s="21" t="n">
        <v>0</v>
      </c>
      <c r="R4893" s="21" t="n">
        <v>0</v>
      </c>
      <c r="S4893" s="21" t="n">
        <v>0</v>
      </c>
      <c r="T4893" s="21" t="n">
        <v>0</v>
      </c>
      <c r="U4893" s="21" t="n">
        <v>0</v>
      </c>
      <c r="V4893" s="21" t="n">
        <v>0</v>
      </c>
      <c r="W4893" s="21" t="n">
        <v>0</v>
      </c>
      <c r="X4893" s="21" t="n">
        <v>0</v>
      </c>
      <c r="Y4893" s="21" t="n">
        <v>0</v>
      </c>
      <c r="Z4893" s="19" t="n"/>
    </row>
    <row r="4894">
      <c r="D4894" s="21" t="n">
        <v>0</v>
      </c>
      <c r="E4894" s="21" t="n">
        <v>0</v>
      </c>
      <c r="F4894" s="21" t="n">
        <v>0</v>
      </c>
      <c r="G4894" s="21" t="n">
        <v>0</v>
      </c>
      <c r="H4894" s="21">
        <f>$B$3625</f>
        <v/>
      </c>
      <c r="I4894" s="21">
        <f>$B$3627</f>
        <v/>
      </c>
      <c r="J4894" s="21">
        <f>0</f>
        <v/>
      </c>
      <c r="K4894" s="21">
        <f>2*$B$3626</f>
        <v/>
      </c>
      <c r="L4894" s="21">
        <f>-$B$3625</f>
        <v/>
      </c>
      <c r="M4894" s="21">
        <f>$B$3627</f>
        <v/>
      </c>
      <c r="N4894" s="21" t="n">
        <v>0</v>
      </c>
      <c r="O4894" s="21" t="n">
        <v>0</v>
      </c>
      <c r="P4894" s="21" t="n">
        <v>0</v>
      </c>
      <c r="Q4894" s="21" t="n">
        <v>0</v>
      </c>
      <c r="R4894" s="21" t="n">
        <v>0</v>
      </c>
      <c r="S4894" s="21" t="n">
        <v>0</v>
      </c>
      <c r="T4894" s="21" t="n">
        <v>0</v>
      </c>
      <c r="U4894" s="21" t="n">
        <v>0</v>
      </c>
      <c r="V4894" s="21" t="n">
        <v>0</v>
      </c>
      <c r="W4894" s="21" t="n">
        <v>0</v>
      </c>
      <c r="X4894" s="21" t="n">
        <v>0</v>
      </c>
      <c r="Y4894" s="21" t="n">
        <v>0</v>
      </c>
      <c r="Z4894" s="19" t="n"/>
    </row>
    <row r="4895">
      <c r="D4895" s="21" t="n">
        <v>0</v>
      </c>
      <c r="E4895" s="21" t="n">
        <v>0</v>
      </c>
      <c r="F4895" s="21" t="n">
        <v>0</v>
      </c>
      <c r="G4895" s="21" t="n">
        <v>0</v>
      </c>
      <c r="H4895" s="21" t="n">
        <v>0</v>
      </c>
      <c r="I4895" s="21" t="n">
        <v>0</v>
      </c>
      <c r="J4895" s="21">
        <f>-$B$3624</f>
        <v/>
      </c>
      <c r="K4895" s="21">
        <f>-$B$3625</f>
        <v/>
      </c>
      <c r="L4895" s="21">
        <f>2*$B$3624+$D$4879</f>
        <v/>
      </c>
      <c r="M4895" s="21">
        <f>0</f>
        <v/>
      </c>
      <c r="N4895" s="21">
        <f>-$B$3624</f>
        <v/>
      </c>
      <c r="O4895" s="21">
        <f>$B$3625</f>
        <v/>
      </c>
      <c r="P4895" s="21" t="n">
        <v>0</v>
      </c>
      <c r="Q4895" s="21" t="n">
        <v>0</v>
      </c>
      <c r="R4895" s="21" t="n">
        <v>0</v>
      </c>
      <c r="S4895" s="21" t="n">
        <v>0</v>
      </c>
      <c r="T4895" s="21" t="n">
        <v>0</v>
      </c>
      <c r="U4895" s="21" t="n">
        <v>0</v>
      </c>
      <c r="V4895" s="21" t="n">
        <v>0</v>
      </c>
      <c r="W4895" s="21" t="n">
        <v>0</v>
      </c>
      <c r="X4895" s="21" t="n">
        <v>0</v>
      </c>
      <c r="Y4895" s="21" t="n">
        <v>0</v>
      </c>
      <c r="Z4895" s="19" t="n"/>
    </row>
    <row r="4896">
      <c r="D4896" s="21" t="n">
        <v>0</v>
      </c>
      <c r="E4896" s="21" t="n">
        <v>0</v>
      </c>
      <c r="F4896" s="21" t="n">
        <v>0</v>
      </c>
      <c r="G4896" s="21" t="n">
        <v>0</v>
      </c>
      <c r="H4896" s="21" t="n">
        <v>0</v>
      </c>
      <c r="I4896" s="21" t="n">
        <v>0</v>
      </c>
      <c r="J4896" s="21">
        <f>$B$3625</f>
        <v/>
      </c>
      <c r="K4896" s="21">
        <f>$B$3627</f>
        <v/>
      </c>
      <c r="L4896" s="21">
        <f>0</f>
        <v/>
      </c>
      <c r="M4896" s="21">
        <f>2*$B$3626</f>
        <v/>
      </c>
      <c r="N4896" s="21">
        <f>-$B$3625</f>
        <v/>
      </c>
      <c r="O4896" s="21">
        <f>$B$3627</f>
        <v/>
      </c>
      <c r="P4896" s="21" t="n">
        <v>0</v>
      </c>
      <c r="Q4896" s="21" t="n">
        <v>0</v>
      </c>
      <c r="R4896" s="21" t="n">
        <v>0</v>
      </c>
      <c r="S4896" s="21" t="n">
        <v>0</v>
      </c>
      <c r="T4896" s="21" t="n">
        <v>0</v>
      </c>
      <c r="U4896" s="21" t="n">
        <v>0</v>
      </c>
      <c r="V4896" s="21" t="n">
        <v>0</v>
      </c>
      <c r="W4896" s="21" t="n">
        <v>0</v>
      </c>
      <c r="X4896" s="21" t="n">
        <v>0</v>
      </c>
      <c r="Y4896" s="21" t="n">
        <v>0</v>
      </c>
      <c r="Z4896" s="19" t="n"/>
    </row>
    <row r="4897">
      <c r="D4897" s="21" t="n">
        <v>0</v>
      </c>
      <c r="E4897" s="21" t="n">
        <v>0</v>
      </c>
      <c r="F4897" s="21" t="n">
        <v>0</v>
      </c>
      <c r="G4897" s="21" t="n">
        <v>0</v>
      </c>
      <c r="H4897" s="21" t="n">
        <v>0</v>
      </c>
      <c r="I4897" s="21" t="n">
        <v>0</v>
      </c>
      <c r="J4897" s="21" t="n">
        <v>0</v>
      </c>
      <c r="K4897" s="21" t="n">
        <v>0</v>
      </c>
      <c r="L4897" s="21">
        <f>-$B$3624</f>
        <v/>
      </c>
      <c r="M4897" s="21">
        <f>-$B$3625</f>
        <v/>
      </c>
      <c r="N4897" s="21">
        <f>2*$B$3624+$D$4880</f>
        <v/>
      </c>
      <c r="O4897" s="21">
        <f>0</f>
        <v/>
      </c>
      <c r="P4897" s="21">
        <f>-$B$3624</f>
        <v/>
      </c>
      <c r="Q4897" s="21">
        <f>$B$3625</f>
        <v/>
      </c>
      <c r="R4897" s="21" t="n">
        <v>0</v>
      </c>
      <c r="S4897" s="21" t="n">
        <v>0</v>
      </c>
      <c r="T4897" s="21" t="n">
        <v>0</v>
      </c>
      <c r="U4897" s="21" t="n">
        <v>0</v>
      </c>
      <c r="V4897" s="21" t="n">
        <v>0</v>
      </c>
      <c r="W4897" s="21" t="n">
        <v>0</v>
      </c>
      <c r="X4897" s="21" t="n">
        <v>0</v>
      </c>
      <c r="Y4897" s="21" t="n">
        <v>0</v>
      </c>
      <c r="Z4897" s="19" t="n"/>
    </row>
    <row r="4898">
      <c r="D4898" s="21" t="n">
        <v>0</v>
      </c>
      <c r="E4898" s="21" t="n">
        <v>0</v>
      </c>
      <c r="F4898" s="21" t="n">
        <v>0</v>
      </c>
      <c r="G4898" s="21" t="n">
        <v>0</v>
      </c>
      <c r="H4898" s="21" t="n">
        <v>0</v>
      </c>
      <c r="I4898" s="21" t="n">
        <v>0</v>
      </c>
      <c r="J4898" s="21" t="n">
        <v>0</v>
      </c>
      <c r="K4898" s="21" t="n">
        <v>0</v>
      </c>
      <c r="L4898" s="21">
        <f>$B$3625</f>
        <v/>
      </c>
      <c r="M4898" s="21">
        <f>$B$3627</f>
        <v/>
      </c>
      <c r="N4898" s="21">
        <f>0</f>
        <v/>
      </c>
      <c r="O4898" s="21">
        <f>2*$B$3626</f>
        <v/>
      </c>
      <c r="P4898" s="21">
        <f>-$B$3625</f>
        <v/>
      </c>
      <c r="Q4898" s="21">
        <f>$B$3627</f>
        <v/>
      </c>
      <c r="R4898" s="21" t="n">
        <v>0</v>
      </c>
      <c r="S4898" s="21" t="n">
        <v>0</v>
      </c>
      <c r="T4898" s="21" t="n">
        <v>0</v>
      </c>
      <c r="U4898" s="21" t="n">
        <v>0</v>
      </c>
      <c r="V4898" s="21" t="n">
        <v>0</v>
      </c>
      <c r="W4898" s="21" t="n">
        <v>0</v>
      </c>
      <c r="X4898" s="21" t="n">
        <v>0</v>
      </c>
      <c r="Y4898" s="21" t="n">
        <v>0</v>
      </c>
      <c r="Z4898" s="19" t="n"/>
    </row>
    <row r="4899">
      <c r="D4899" s="21" t="n">
        <v>0</v>
      </c>
      <c r="E4899" s="21" t="n">
        <v>0</v>
      </c>
      <c r="F4899" s="21" t="n">
        <v>0</v>
      </c>
      <c r="G4899" s="21" t="n">
        <v>0</v>
      </c>
      <c r="H4899" s="21" t="n">
        <v>0</v>
      </c>
      <c r="I4899" s="21" t="n">
        <v>0</v>
      </c>
      <c r="J4899" s="21" t="n">
        <v>0</v>
      </c>
      <c r="K4899" s="21" t="n">
        <v>0</v>
      </c>
      <c r="L4899" s="21" t="n">
        <v>0</v>
      </c>
      <c r="M4899" s="21" t="n">
        <v>0</v>
      </c>
      <c r="N4899" s="21">
        <f>-$B$3624</f>
        <v/>
      </c>
      <c r="O4899" s="21">
        <f>-$B$3625</f>
        <v/>
      </c>
      <c r="P4899" s="21">
        <f>2*$B$3624+$D$4881</f>
        <v/>
      </c>
      <c r="Q4899" s="21">
        <f>0</f>
        <v/>
      </c>
      <c r="R4899" s="21">
        <f>-$B$3624</f>
        <v/>
      </c>
      <c r="S4899" s="21">
        <f>$B$3625</f>
        <v/>
      </c>
      <c r="T4899" s="21" t="n">
        <v>0</v>
      </c>
      <c r="U4899" s="21" t="n">
        <v>0</v>
      </c>
      <c r="V4899" s="21" t="n">
        <v>0</v>
      </c>
      <c r="W4899" s="21" t="n">
        <v>0</v>
      </c>
      <c r="X4899" s="21" t="n">
        <v>0</v>
      </c>
      <c r="Y4899" s="21" t="n">
        <v>0</v>
      </c>
      <c r="Z4899" s="19" t="n"/>
    </row>
    <row r="4900">
      <c r="D4900" s="21" t="n">
        <v>0</v>
      </c>
      <c r="E4900" s="21" t="n">
        <v>0</v>
      </c>
      <c r="F4900" s="21" t="n">
        <v>0</v>
      </c>
      <c r="G4900" s="21" t="n">
        <v>0</v>
      </c>
      <c r="H4900" s="21" t="n">
        <v>0</v>
      </c>
      <c r="I4900" s="21" t="n">
        <v>0</v>
      </c>
      <c r="J4900" s="21" t="n">
        <v>0</v>
      </c>
      <c r="K4900" s="21" t="n">
        <v>0</v>
      </c>
      <c r="L4900" s="21" t="n">
        <v>0</v>
      </c>
      <c r="M4900" s="21" t="n">
        <v>0</v>
      </c>
      <c r="N4900" s="21">
        <f>$B$3625</f>
        <v/>
      </c>
      <c r="O4900" s="21">
        <f>$B$3627</f>
        <v/>
      </c>
      <c r="P4900" s="21">
        <f>0</f>
        <v/>
      </c>
      <c r="Q4900" s="21">
        <f>2*$B$3626</f>
        <v/>
      </c>
      <c r="R4900" s="21">
        <f>-$B$3625</f>
        <v/>
      </c>
      <c r="S4900" s="21">
        <f>$B$3627</f>
        <v/>
      </c>
      <c r="T4900" s="21" t="n">
        <v>0</v>
      </c>
      <c r="U4900" s="21" t="n">
        <v>0</v>
      </c>
      <c r="V4900" s="21" t="n">
        <v>0</v>
      </c>
      <c r="W4900" s="21" t="n">
        <v>0</v>
      </c>
      <c r="X4900" s="21" t="n">
        <v>0</v>
      </c>
      <c r="Y4900" s="21" t="n">
        <v>0</v>
      </c>
      <c r="Z4900" s="19" t="n"/>
    </row>
    <row r="4901">
      <c r="D4901" s="21" t="n">
        <v>0</v>
      </c>
      <c r="E4901" s="21" t="n">
        <v>0</v>
      </c>
      <c r="F4901" s="21" t="n">
        <v>0</v>
      </c>
      <c r="G4901" s="21" t="n">
        <v>0</v>
      </c>
      <c r="H4901" s="21" t="n">
        <v>0</v>
      </c>
      <c r="I4901" s="21" t="n">
        <v>0</v>
      </c>
      <c r="J4901" s="21" t="n">
        <v>0</v>
      </c>
      <c r="K4901" s="21" t="n">
        <v>0</v>
      </c>
      <c r="L4901" s="21" t="n">
        <v>0</v>
      </c>
      <c r="M4901" s="21" t="n">
        <v>0</v>
      </c>
      <c r="N4901" s="21" t="n">
        <v>0</v>
      </c>
      <c r="O4901" s="21" t="n">
        <v>0</v>
      </c>
      <c r="P4901" s="21">
        <f>-$B$3624</f>
        <v/>
      </c>
      <c r="Q4901" s="21">
        <f>-$B$3625</f>
        <v/>
      </c>
      <c r="R4901" s="21">
        <f>2*$B$3624+$D$4882</f>
        <v/>
      </c>
      <c r="S4901" s="21">
        <f>0</f>
        <v/>
      </c>
      <c r="T4901" s="21">
        <f>-$B$3624</f>
        <v/>
      </c>
      <c r="U4901" s="21">
        <f>$B$3625</f>
        <v/>
      </c>
      <c r="V4901" s="21" t="n">
        <v>0</v>
      </c>
      <c r="W4901" s="21" t="n">
        <v>0</v>
      </c>
      <c r="X4901" s="21" t="n">
        <v>0</v>
      </c>
      <c r="Y4901" s="21" t="n">
        <v>0</v>
      </c>
      <c r="Z4901" s="19" t="n"/>
    </row>
    <row r="4902">
      <c r="D4902" s="21" t="n">
        <v>0</v>
      </c>
      <c r="E4902" s="21" t="n">
        <v>0</v>
      </c>
      <c r="F4902" s="21" t="n">
        <v>0</v>
      </c>
      <c r="G4902" s="21" t="n">
        <v>0</v>
      </c>
      <c r="H4902" s="21" t="n">
        <v>0</v>
      </c>
      <c r="I4902" s="21" t="n">
        <v>0</v>
      </c>
      <c r="J4902" s="21" t="n">
        <v>0</v>
      </c>
      <c r="K4902" s="21" t="n">
        <v>0</v>
      </c>
      <c r="L4902" s="21" t="n">
        <v>0</v>
      </c>
      <c r="M4902" s="21" t="n">
        <v>0</v>
      </c>
      <c r="N4902" s="21" t="n">
        <v>0</v>
      </c>
      <c r="O4902" s="21" t="n">
        <v>0</v>
      </c>
      <c r="P4902" s="21">
        <f>$B$3625</f>
        <v/>
      </c>
      <c r="Q4902" s="21">
        <f>$B$3627</f>
        <v/>
      </c>
      <c r="R4902" s="21">
        <f>0</f>
        <v/>
      </c>
      <c r="S4902" s="21">
        <f>2*$B$3626</f>
        <v/>
      </c>
      <c r="T4902" s="21">
        <f>-$B$3625</f>
        <v/>
      </c>
      <c r="U4902" s="21">
        <f>$B$3627</f>
        <v/>
      </c>
      <c r="V4902" s="21" t="n">
        <v>0</v>
      </c>
      <c r="W4902" s="21" t="n">
        <v>0</v>
      </c>
      <c r="X4902" s="21" t="n">
        <v>0</v>
      </c>
      <c r="Y4902" s="21" t="n">
        <v>0</v>
      </c>
      <c r="Z4902" s="19" t="n"/>
    </row>
    <row r="4903">
      <c r="D4903" s="21" t="n">
        <v>0</v>
      </c>
      <c r="E4903" s="21" t="n">
        <v>0</v>
      </c>
      <c r="F4903" s="21" t="n">
        <v>0</v>
      </c>
      <c r="G4903" s="21" t="n">
        <v>0</v>
      </c>
      <c r="H4903" s="21" t="n">
        <v>0</v>
      </c>
      <c r="I4903" s="21" t="n">
        <v>0</v>
      </c>
      <c r="J4903" s="21" t="n">
        <v>0</v>
      </c>
      <c r="K4903" s="21" t="n">
        <v>0</v>
      </c>
      <c r="L4903" s="21" t="n">
        <v>0</v>
      </c>
      <c r="M4903" s="21" t="n">
        <v>0</v>
      </c>
      <c r="N4903" s="21" t="n">
        <v>0</v>
      </c>
      <c r="O4903" s="21" t="n">
        <v>0</v>
      </c>
      <c r="P4903" s="21" t="n">
        <v>0</v>
      </c>
      <c r="Q4903" s="21" t="n">
        <v>0</v>
      </c>
      <c r="R4903" s="21">
        <f>-$B$3624</f>
        <v/>
      </c>
      <c r="S4903" s="21">
        <f>-$B$3625</f>
        <v/>
      </c>
      <c r="T4903" s="21">
        <f>2*$B$3624+$D$4883</f>
        <v/>
      </c>
      <c r="U4903" s="21">
        <f>0</f>
        <v/>
      </c>
      <c r="V4903" s="21">
        <f>-$B$3624</f>
        <v/>
      </c>
      <c r="W4903" s="21">
        <f>$B$3625</f>
        <v/>
      </c>
      <c r="X4903" s="21" t="n">
        <v>0</v>
      </c>
      <c r="Y4903" s="21" t="n">
        <v>0</v>
      </c>
      <c r="Z4903" s="19" t="n"/>
    </row>
    <row r="4904">
      <c r="D4904" s="21" t="n">
        <v>0</v>
      </c>
      <c r="E4904" s="21" t="n">
        <v>0</v>
      </c>
      <c r="F4904" s="21" t="n">
        <v>0</v>
      </c>
      <c r="G4904" s="21" t="n">
        <v>0</v>
      </c>
      <c r="H4904" s="21" t="n">
        <v>0</v>
      </c>
      <c r="I4904" s="21" t="n">
        <v>0</v>
      </c>
      <c r="J4904" s="21" t="n">
        <v>0</v>
      </c>
      <c r="K4904" s="21" t="n">
        <v>0</v>
      </c>
      <c r="L4904" s="21" t="n">
        <v>0</v>
      </c>
      <c r="M4904" s="21" t="n">
        <v>0</v>
      </c>
      <c r="N4904" s="21" t="n">
        <v>0</v>
      </c>
      <c r="O4904" s="21" t="n">
        <v>0</v>
      </c>
      <c r="P4904" s="21" t="n">
        <v>0</v>
      </c>
      <c r="Q4904" s="21" t="n">
        <v>0</v>
      </c>
      <c r="R4904" s="21">
        <f>$B$3625</f>
        <v/>
      </c>
      <c r="S4904" s="21">
        <f>$B$3627</f>
        <v/>
      </c>
      <c r="T4904" s="21">
        <f>0</f>
        <v/>
      </c>
      <c r="U4904" s="21">
        <f>2*$B$3626</f>
        <v/>
      </c>
      <c r="V4904" s="21">
        <f>-$B$3625</f>
        <v/>
      </c>
      <c r="W4904" s="21">
        <f>$B$3627</f>
        <v/>
      </c>
      <c r="X4904" s="21" t="n">
        <v>0</v>
      </c>
      <c r="Y4904" s="21" t="n">
        <v>0</v>
      </c>
      <c r="Z4904" s="19" t="n"/>
    </row>
    <row r="4905">
      <c r="D4905" s="21" t="n">
        <v>0</v>
      </c>
      <c r="E4905" s="21" t="n">
        <v>0</v>
      </c>
      <c r="F4905" s="21" t="n">
        <v>0</v>
      </c>
      <c r="G4905" s="21" t="n">
        <v>0</v>
      </c>
      <c r="H4905" s="21" t="n">
        <v>0</v>
      </c>
      <c r="I4905" s="21" t="n">
        <v>0</v>
      </c>
      <c r="J4905" s="21" t="n">
        <v>0</v>
      </c>
      <c r="K4905" s="21" t="n">
        <v>0</v>
      </c>
      <c r="L4905" s="21" t="n">
        <v>0</v>
      </c>
      <c r="M4905" s="21" t="n">
        <v>0</v>
      </c>
      <c r="N4905" s="21" t="n">
        <v>0</v>
      </c>
      <c r="O4905" s="21" t="n">
        <v>0</v>
      </c>
      <c r="P4905" s="21" t="n">
        <v>0</v>
      </c>
      <c r="Q4905" s="21" t="n">
        <v>0</v>
      </c>
      <c r="R4905" s="21" t="n">
        <v>0</v>
      </c>
      <c r="S4905" s="21" t="n">
        <v>0</v>
      </c>
      <c r="T4905" s="21">
        <f>-$B$3624</f>
        <v/>
      </c>
      <c r="U4905" s="21">
        <f>-$B$3625</f>
        <v/>
      </c>
      <c r="V4905" s="21">
        <f>2*$B$3624+$D$4884</f>
        <v/>
      </c>
      <c r="W4905" s="21">
        <f>0</f>
        <v/>
      </c>
      <c r="X4905" s="21">
        <f>-$B$3624</f>
        <v/>
      </c>
      <c r="Y4905" s="21">
        <f>$B$3625</f>
        <v/>
      </c>
      <c r="Z4905" s="19" t="n"/>
    </row>
    <row r="4906">
      <c r="D4906" s="21" t="n">
        <v>0</v>
      </c>
      <c r="E4906" s="21" t="n">
        <v>0</v>
      </c>
      <c r="F4906" s="21" t="n">
        <v>0</v>
      </c>
      <c r="G4906" s="21" t="n">
        <v>0</v>
      </c>
      <c r="H4906" s="21" t="n">
        <v>0</v>
      </c>
      <c r="I4906" s="21" t="n">
        <v>0</v>
      </c>
      <c r="J4906" s="21" t="n">
        <v>0</v>
      </c>
      <c r="K4906" s="21" t="n">
        <v>0</v>
      </c>
      <c r="L4906" s="21" t="n">
        <v>0</v>
      </c>
      <c r="M4906" s="21" t="n">
        <v>0</v>
      </c>
      <c r="N4906" s="21" t="n">
        <v>0</v>
      </c>
      <c r="O4906" s="21" t="n">
        <v>0</v>
      </c>
      <c r="P4906" s="21" t="n">
        <v>0</v>
      </c>
      <c r="Q4906" s="21" t="n">
        <v>0</v>
      </c>
      <c r="R4906" s="21" t="n">
        <v>0</v>
      </c>
      <c r="S4906" s="21" t="n">
        <v>0</v>
      </c>
      <c r="T4906" s="21">
        <f>$B$3625</f>
        <v/>
      </c>
      <c r="U4906" s="21">
        <f>$B$3627</f>
        <v/>
      </c>
      <c r="V4906" s="21">
        <f>0</f>
        <v/>
      </c>
      <c r="W4906" s="21">
        <f>2*$B$3626</f>
        <v/>
      </c>
      <c r="X4906" s="21">
        <f>-$B$3625</f>
        <v/>
      </c>
      <c r="Y4906" s="21">
        <f>$B$3627</f>
        <v/>
      </c>
      <c r="Z4906" s="19" t="n"/>
    </row>
    <row r="4907">
      <c r="D4907" s="21" t="n">
        <v>0</v>
      </c>
      <c r="E4907" s="21" t="n">
        <v>0</v>
      </c>
      <c r="F4907" s="21" t="n">
        <v>0</v>
      </c>
      <c r="G4907" s="21" t="n">
        <v>0</v>
      </c>
      <c r="H4907" s="21" t="n">
        <v>0</v>
      </c>
      <c r="I4907" s="21" t="n">
        <v>0</v>
      </c>
      <c r="J4907" s="21" t="n">
        <v>0</v>
      </c>
      <c r="K4907" s="21" t="n">
        <v>0</v>
      </c>
      <c r="L4907" s="21" t="n">
        <v>0</v>
      </c>
      <c r="M4907" s="21" t="n">
        <v>0</v>
      </c>
      <c r="N4907" s="21" t="n">
        <v>0</v>
      </c>
      <c r="O4907" s="21" t="n">
        <v>0</v>
      </c>
      <c r="P4907" s="21" t="n">
        <v>0</v>
      </c>
      <c r="Q4907" s="21" t="n">
        <v>0</v>
      </c>
      <c r="R4907" s="21" t="n">
        <v>0</v>
      </c>
      <c r="S4907" s="21" t="n">
        <v>0</v>
      </c>
      <c r="T4907" s="21" t="n">
        <v>0</v>
      </c>
      <c r="U4907" s="21" t="n">
        <v>0</v>
      </c>
      <c r="V4907" s="21">
        <f>-$B$3624</f>
        <v/>
      </c>
      <c r="W4907" s="21">
        <f>-$B$3625</f>
        <v/>
      </c>
      <c r="X4907" s="21">
        <f>$B$3624+$D$4885</f>
        <v/>
      </c>
      <c r="Y4907" s="21">
        <f>-$B$3625</f>
        <v/>
      </c>
      <c r="Z4907" s="19" t="n"/>
    </row>
    <row r="4908">
      <c r="D4908" s="21" t="n">
        <v>0</v>
      </c>
      <c r="E4908" s="21" t="n">
        <v>0</v>
      </c>
      <c r="F4908" s="21" t="n">
        <v>0</v>
      </c>
      <c r="G4908" s="21" t="n">
        <v>0</v>
      </c>
      <c r="H4908" s="21" t="n">
        <v>0</v>
      </c>
      <c r="I4908" s="21" t="n">
        <v>0</v>
      </c>
      <c r="J4908" s="21" t="n">
        <v>0</v>
      </c>
      <c r="K4908" s="21" t="n">
        <v>0</v>
      </c>
      <c r="L4908" s="21" t="n">
        <v>0</v>
      </c>
      <c r="M4908" s="21" t="n">
        <v>0</v>
      </c>
      <c r="N4908" s="21" t="n">
        <v>0</v>
      </c>
      <c r="O4908" s="21" t="n">
        <v>0</v>
      </c>
      <c r="P4908" s="21" t="n">
        <v>0</v>
      </c>
      <c r="Q4908" s="21" t="n">
        <v>0</v>
      </c>
      <c r="R4908" s="21" t="n">
        <v>0</v>
      </c>
      <c r="S4908" s="21" t="n">
        <v>0</v>
      </c>
      <c r="T4908" s="21" t="n">
        <v>0</v>
      </c>
      <c r="U4908" s="21" t="n">
        <v>0</v>
      </c>
      <c r="V4908" s="21">
        <f>$B$3625</f>
        <v/>
      </c>
      <c r="W4908" s="21">
        <f>$B$3627</f>
        <v/>
      </c>
      <c r="X4908" s="21">
        <f>-$B$3625</f>
        <v/>
      </c>
      <c r="Y4908" s="21">
        <f>$B$3626</f>
        <v/>
      </c>
      <c r="Z4908" s="19" t="n"/>
    </row>
    <row r="4910">
      <c r="A4910" s="8" t="inlineStr">
        <is>
          <t>gen 35</t>
        </is>
      </c>
    </row>
    <row r="4911">
      <c r="D4911" s="19">
        <f>IF(ABS(IF(ABS($E$4875)&gt;0.000000001,$E$4875,0.000000001))=0,0,IF($E$3639&lt;=$B$3633,0,IF(ABS(IF(ABS($E$4875)&gt;0.000000001,$E$4875,0.000000001))&gt;=8*$B$3635,$H$3639,0.5*$H$3639*(ABS(IF(ABS($E$4875)&gt;0.000000001,$E$4875,0.000000001))/$B$3635)^(1/3)))/ABS(IF(ABS($E$4875)&gt;0.000000001,$E$4875,0.000000001))*$I$3639)</f>
        <v/>
      </c>
      <c r="E4911" s="19">
        <f>0.5*$E$4875+0.5*$Z$4923</f>
        <v/>
      </c>
      <c r="F4911" s="19">
        <f>$Z$4924</f>
        <v/>
      </c>
    </row>
    <row r="4912">
      <c r="D4912" s="19">
        <f>IF(ABS(IF(ABS($E$4876)&gt;0.000000001,$E$4876,0.000000001))=0,0,IF($E$3640&lt;=$B$3633,0,IF(ABS(IF(ABS($E$4876)&gt;0.000000001,$E$4876,0.000000001))&gt;=8*$B$3635,$H$3640,0.5*$H$3640*(ABS(IF(ABS($E$4876)&gt;0.000000001,$E$4876,0.000000001))/$B$3635)^(1/3)))/ABS(IF(ABS($E$4876)&gt;0.000000001,$E$4876,0.000000001))*$I$3640)</f>
        <v/>
      </c>
      <c r="E4912" s="19">
        <f>0.5*$E$4876+0.5*$Z$4925</f>
        <v/>
      </c>
      <c r="F4912" s="19">
        <f>$Z$4926</f>
        <v/>
      </c>
    </row>
    <row r="4913">
      <c r="D4913" s="19">
        <f>IF(ABS(IF(ABS($E$4877)&gt;0.000000001,$E$4877,0.000000001))=0,0,IF($E$3641&lt;=$B$3633,0,IF(ABS(IF(ABS($E$4877)&gt;0.000000001,$E$4877,0.000000001))&gt;=8*$B$3635,$H$3641,0.5*$H$3641*(ABS(IF(ABS($E$4877)&gt;0.000000001,$E$4877,0.000000001))/$B$3635)^(1/3)))/ABS(IF(ABS($E$4877)&gt;0.000000001,$E$4877,0.000000001))*$I$3641)</f>
        <v/>
      </c>
      <c r="E4913" s="19">
        <f>0.5*$E$4877+0.5*$Z$4927</f>
        <v/>
      </c>
      <c r="F4913" s="19">
        <f>$Z$4928</f>
        <v/>
      </c>
    </row>
    <row r="4914">
      <c r="D4914" s="19">
        <f>IF(ABS(IF(ABS($E$4878)&gt;0.000000001,$E$4878,0.000000001))=0,0,IF($E$3642&lt;=$B$3633,0,IF(ABS(IF(ABS($E$4878)&gt;0.000000001,$E$4878,0.000000001))&gt;=8*$B$3635,$H$3642,0.5*$H$3642*(ABS(IF(ABS($E$4878)&gt;0.000000001,$E$4878,0.000000001))/$B$3635)^(1/3)))/ABS(IF(ABS($E$4878)&gt;0.000000001,$E$4878,0.000000001))*$I$3642)</f>
        <v/>
      </c>
      <c r="E4914" s="19">
        <f>0.5*$E$4878+0.5*$Z$4929</f>
        <v/>
      </c>
      <c r="F4914" s="19">
        <f>$Z$4930</f>
        <v/>
      </c>
    </row>
    <row r="4915">
      <c r="D4915" s="19">
        <f>IF(ABS(IF(ABS($E$4879)&gt;0.000000001,$E$4879,0.000000001))=0,0,IF($E$3643&lt;=$B$3633,0,IF(ABS(IF(ABS($E$4879)&gt;0.000000001,$E$4879,0.000000001))&gt;=8*$B$3635,$H$3643,0.5*$H$3643*(ABS(IF(ABS($E$4879)&gt;0.000000001,$E$4879,0.000000001))/$B$3635)^(1/3)))/ABS(IF(ABS($E$4879)&gt;0.000000001,$E$4879,0.000000001))*$I$3643)</f>
        <v/>
      </c>
      <c r="E4915" s="19">
        <f>0.5*$E$4879+0.5*$Z$4931</f>
        <v/>
      </c>
      <c r="F4915" s="19">
        <f>$Z$4932</f>
        <v/>
      </c>
    </row>
    <row r="4916">
      <c r="D4916" s="19">
        <f>IF(ABS(IF(ABS($E$4880)&gt;0.000000001,$E$4880,0.000000001))=0,0,IF($E$3644&lt;=$B$3633,0,IF(ABS(IF(ABS($E$4880)&gt;0.000000001,$E$4880,0.000000001))&gt;=8*$B$3635,$H$3644,0.5*$H$3644*(ABS(IF(ABS($E$4880)&gt;0.000000001,$E$4880,0.000000001))/$B$3635)^(1/3)))/ABS(IF(ABS($E$4880)&gt;0.000000001,$E$4880,0.000000001))*$I$3644)</f>
        <v/>
      </c>
      <c r="E4916" s="19">
        <f>0.5*$E$4880+0.5*$Z$4933</f>
        <v/>
      </c>
      <c r="F4916" s="19">
        <f>$Z$4934</f>
        <v/>
      </c>
    </row>
    <row r="4917">
      <c r="D4917" s="19">
        <f>IF(ABS(IF(ABS($E$4881)&gt;0.000000001,$E$4881,0.000000001))=0,0,IF($E$3645&lt;=$B$3633,0,IF(ABS(IF(ABS($E$4881)&gt;0.000000001,$E$4881,0.000000001))&gt;=8*$B$3635,$H$3645,0.5*$H$3645*(ABS(IF(ABS($E$4881)&gt;0.000000001,$E$4881,0.000000001))/$B$3635)^(1/3)))/ABS(IF(ABS($E$4881)&gt;0.000000001,$E$4881,0.000000001))*$I$3645)</f>
        <v/>
      </c>
      <c r="E4917" s="19">
        <f>0.5*$E$4881+0.5*$Z$4935</f>
        <v/>
      </c>
      <c r="F4917" s="19">
        <f>$Z$4936</f>
        <v/>
      </c>
    </row>
    <row r="4918">
      <c r="D4918" s="19">
        <f>IF(ABS(IF(ABS($E$4882)&gt;0.000000001,$E$4882,0.000000001))=0,0,IF($E$3646&lt;=$B$3633,0,IF(ABS(IF(ABS($E$4882)&gt;0.000000001,$E$4882,0.000000001))&gt;=8*$B$3635,$H$3646,0.5*$H$3646*(ABS(IF(ABS($E$4882)&gt;0.000000001,$E$4882,0.000000001))/$B$3635)^(1/3)))/ABS(IF(ABS($E$4882)&gt;0.000000001,$E$4882,0.000000001))*$I$3646)</f>
        <v/>
      </c>
      <c r="E4918" s="19">
        <f>0.5*$E$4882+0.5*$Z$4937</f>
        <v/>
      </c>
      <c r="F4918" s="19">
        <f>$Z$4938</f>
        <v/>
      </c>
    </row>
    <row r="4919">
      <c r="D4919" s="19">
        <f>IF(ABS(IF(ABS($E$4883)&gt;0.000000001,$E$4883,0.000000001))=0,0,IF($E$3647&lt;=$B$3633,0,IF(ABS(IF(ABS($E$4883)&gt;0.000000001,$E$4883,0.000000001))&gt;=8*$B$3635,$H$3647,0.5*$H$3647*(ABS(IF(ABS($E$4883)&gt;0.000000001,$E$4883,0.000000001))/$B$3635)^(1/3)))/ABS(IF(ABS($E$4883)&gt;0.000000001,$E$4883,0.000000001))*$I$3647)</f>
        <v/>
      </c>
      <c r="E4919" s="19">
        <f>0.5*$E$4883+0.5*$Z$4939</f>
        <v/>
      </c>
      <c r="F4919" s="19">
        <f>$Z$4940</f>
        <v/>
      </c>
    </row>
    <row r="4920">
      <c r="D4920" s="19">
        <f>IF(ABS(IF(ABS($E$4884)&gt;0.000000001,$E$4884,0.000000001))=0,0,IF($E$3648&lt;=$B$3633,0,IF(ABS(IF(ABS($E$4884)&gt;0.000000001,$E$4884,0.000000001))&gt;=8*$B$3635,$H$3648,0.5*$H$3648*(ABS(IF(ABS($E$4884)&gt;0.000000001,$E$4884,0.000000001))/$B$3635)^(1/3)))/ABS(IF(ABS($E$4884)&gt;0.000000001,$E$4884,0.000000001))*$I$3648)</f>
        <v/>
      </c>
      <c r="E4920" s="19">
        <f>0.5*$E$4884+0.5*$Z$4941</f>
        <v/>
      </c>
      <c r="F4920" s="19">
        <f>$Z$4942</f>
        <v/>
      </c>
    </row>
    <row r="4921">
      <c r="D4921" s="19">
        <f>IF(ABS(IF(ABS($E$4885)&gt;0.000000001,$E$4885,0.000000001))=0,0,IF($E$3649&lt;=$B$3633,0,IF(ABS(IF(ABS($E$4885)&gt;0.000000001,$E$4885,0.000000001))&gt;=8*$B$3635,$H$3649,0.5*$H$3649*(ABS(IF(ABS($E$4885)&gt;0.000000001,$E$4885,0.000000001))/$B$3635)^(1/3)))/ABS(IF(ABS($E$4885)&gt;0.000000001,$E$4885,0.000000001))*$I$3649)</f>
        <v/>
      </c>
      <c r="E4921" s="19">
        <f>0.5*$E$4885+0.5*$Z$4943</f>
        <v/>
      </c>
      <c r="F4921" s="19">
        <f>$Z$4944</f>
        <v/>
      </c>
    </row>
    <row r="4923">
      <c r="D4923" s="21">
        <f>$B$3624+$D$4911</f>
        <v/>
      </c>
      <c r="E4923" s="21">
        <f>$B$3625</f>
        <v/>
      </c>
      <c r="F4923" s="21">
        <f>-$B$3624</f>
        <v/>
      </c>
      <c r="G4923" s="21">
        <f>$B$3625</f>
        <v/>
      </c>
      <c r="H4923" s="21" t="n">
        <v>0</v>
      </c>
      <c r="I4923" s="21" t="n">
        <v>0</v>
      </c>
      <c r="J4923" s="21" t="n">
        <v>0</v>
      </c>
      <c r="K4923" s="21" t="n">
        <v>0</v>
      </c>
      <c r="L4923" s="21" t="n">
        <v>0</v>
      </c>
      <c r="M4923" s="21" t="n">
        <v>0</v>
      </c>
      <c r="N4923" s="21" t="n">
        <v>0</v>
      </c>
      <c r="O4923" s="21" t="n">
        <v>0</v>
      </c>
      <c r="P4923" s="21" t="n">
        <v>0</v>
      </c>
      <c r="Q4923" s="21" t="n">
        <v>0</v>
      </c>
      <c r="R4923" s="21" t="n">
        <v>0</v>
      </c>
      <c r="S4923" s="21" t="n">
        <v>0</v>
      </c>
      <c r="T4923" s="21" t="n">
        <v>0</v>
      </c>
      <c r="U4923" s="21" t="n">
        <v>0</v>
      </c>
      <c r="V4923" s="21" t="n">
        <v>0</v>
      </c>
      <c r="W4923" s="21" t="n">
        <v>0</v>
      </c>
      <c r="X4923" s="21" t="n">
        <v>0</v>
      </c>
      <c r="Y4923" s="21" t="n">
        <v>0</v>
      </c>
      <c r="Z4923" s="19">
        <f t="array" ref="Z4923:Z4944">MMULT(MINVERSE($D$4923:$Y$4944),$D$3651:$D$3672)</f>
        <v/>
      </c>
    </row>
    <row r="4924">
      <c r="D4924" s="21">
        <f>$B$3625</f>
        <v/>
      </c>
      <c r="E4924" s="21">
        <f>$B$3626</f>
        <v/>
      </c>
      <c r="F4924" s="21">
        <f>-$B$3625</f>
        <v/>
      </c>
      <c r="G4924" s="21">
        <f>$B$3627</f>
        <v/>
      </c>
      <c r="H4924" s="21" t="n">
        <v>0</v>
      </c>
      <c r="I4924" s="21" t="n">
        <v>0</v>
      </c>
      <c r="J4924" s="21" t="n">
        <v>0</v>
      </c>
      <c r="K4924" s="21" t="n">
        <v>0</v>
      </c>
      <c r="L4924" s="21" t="n">
        <v>0</v>
      </c>
      <c r="M4924" s="21" t="n">
        <v>0</v>
      </c>
      <c r="N4924" s="21" t="n">
        <v>0</v>
      </c>
      <c r="O4924" s="21" t="n">
        <v>0</v>
      </c>
      <c r="P4924" s="21" t="n">
        <v>0</v>
      </c>
      <c r="Q4924" s="21" t="n">
        <v>0</v>
      </c>
      <c r="R4924" s="21" t="n">
        <v>0</v>
      </c>
      <c r="S4924" s="21" t="n">
        <v>0</v>
      </c>
      <c r="T4924" s="21" t="n">
        <v>0</v>
      </c>
      <c r="U4924" s="21" t="n">
        <v>0</v>
      </c>
      <c r="V4924" s="21" t="n">
        <v>0</v>
      </c>
      <c r="W4924" s="21" t="n">
        <v>0</v>
      </c>
      <c r="X4924" s="21" t="n">
        <v>0</v>
      </c>
      <c r="Y4924" s="21" t="n">
        <v>0</v>
      </c>
      <c r="Z4924" s="19" t="n"/>
    </row>
    <row r="4925">
      <c r="D4925" s="21">
        <f>-$B$3624</f>
        <v/>
      </c>
      <c r="E4925" s="21">
        <f>-$B$3625</f>
        <v/>
      </c>
      <c r="F4925" s="21">
        <f>2*$B$3624+$D$4912</f>
        <v/>
      </c>
      <c r="G4925" s="21">
        <f>0</f>
        <v/>
      </c>
      <c r="H4925" s="21">
        <f>-$B$3624</f>
        <v/>
      </c>
      <c r="I4925" s="21">
        <f>$B$3625</f>
        <v/>
      </c>
      <c r="J4925" s="21" t="n">
        <v>0</v>
      </c>
      <c r="K4925" s="21" t="n">
        <v>0</v>
      </c>
      <c r="L4925" s="21" t="n">
        <v>0</v>
      </c>
      <c r="M4925" s="21" t="n">
        <v>0</v>
      </c>
      <c r="N4925" s="21" t="n">
        <v>0</v>
      </c>
      <c r="O4925" s="21" t="n">
        <v>0</v>
      </c>
      <c r="P4925" s="21" t="n">
        <v>0</v>
      </c>
      <c r="Q4925" s="21" t="n">
        <v>0</v>
      </c>
      <c r="R4925" s="21" t="n">
        <v>0</v>
      </c>
      <c r="S4925" s="21" t="n">
        <v>0</v>
      </c>
      <c r="T4925" s="21" t="n">
        <v>0</v>
      </c>
      <c r="U4925" s="21" t="n">
        <v>0</v>
      </c>
      <c r="V4925" s="21" t="n">
        <v>0</v>
      </c>
      <c r="W4925" s="21" t="n">
        <v>0</v>
      </c>
      <c r="X4925" s="21" t="n">
        <v>0</v>
      </c>
      <c r="Y4925" s="21" t="n">
        <v>0</v>
      </c>
      <c r="Z4925" s="19" t="n"/>
    </row>
    <row r="4926">
      <c r="D4926" s="21">
        <f>$B$3625</f>
        <v/>
      </c>
      <c r="E4926" s="21">
        <f>$B$3627</f>
        <v/>
      </c>
      <c r="F4926" s="21">
        <f>0</f>
        <v/>
      </c>
      <c r="G4926" s="21">
        <f>2*$B$3626</f>
        <v/>
      </c>
      <c r="H4926" s="21">
        <f>-$B$3625</f>
        <v/>
      </c>
      <c r="I4926" s="21">
        <f>$B$3627</f>
        <v/>
      </c>
      <c r="J4926" s="21" t="n">
        <v>0</v>
      </c>
      <c r="K4926" s="21" t="n">
        <v>0</v>
      </c>
      <c r="L4926" s="21" t="n">
        <v>0</v>
      </c>
      <c r="M4926" s="21" t="n">
        <v>0</v>
      </c>
      <c r="N4926" s="21" t="n">
        <v>0</v>
      </c>
      <c r="O4926" s="21" t="n">
        <v>0</v>
      </c>
      <c r="P4926" s="21" t="n">
        <v>0</v>
      </c>
      <c r="Q4926" s="21" t="n">
        <v>0</v>
      </c>
      <c r="R4926" s="21" t="n">
        <v>0</v>
      </c>
      <c r="S4926" s="21" t="n">
        <v>0</v>
      </c>
      <c r="T4926" s="21" t="n">
        <v>0</v>
      </c>
      <c r="U4926" s="21" t="n">
        <v>0</v>
      </c>
      <c r="V4926" s="21" t="n">
        <v>0</v>
      </c>
      <c r="W4926" s="21" t="n">
        <v>0</v>
      </c>
      <c r="X4926" s="21" t="n">
        <v>0</v>
      </c>
      <c r="Y4926" s="21" t="n">
        <v>0</v>
      </c>
      <c r="Z4926" s="19" t="n"/>
    </row>
    <row r="4927">
      <c r="D4927" s="21" t="n">
        <v>0</v>
      </c>
      <c r="E4927" s="21" t="n">
        <v>0</v>
      </c>
      <c r="F4927" s="21">
        <f>-$B$3624</f>
        <v/>
      </c>
      <c r="G4927" s="21">
        <f>-$B$3625</f>
        <v/>
      </c>
      <c r="H4927" s="21">
        <f>2*$B$3624+$D$4913</f>
        <v/>
      </c>
      <c r="I4927" s="21">
        <f>0</f>
        <v/>
      </c>
      <c r="J4927" s="21">
        <f>-$B$3624</f>
        <v/>
      </c>
      <c r="K4927" s="21">
        <f>$B$3625</f>
        <v/>
      </c>
      <c r="L4927" s="21" t="n">
        <v>0</v>
      </c>
      <c r="M4927" s="21" t="n">
        <v>0</v>
      </c>
      <c r="N4927" s="21" t="n">
        <v>0</v>
      </c>
      <c r="O4927" s="21" t="n">
        <v>0</v>
      </c>
      <c r="P4927" s="21" t="n">
        <v>0</v>
      </c>
      <c r="Q4927" s="21" t="n">
        <v>0</v>
      </c>
      <c r="R4927" s="21" t="n">
        <v>0</v>
      </c>
      <c r="S4927" s="21" t="n">
        <v>0</v>
      </c>
      <c r="T4927" s="21" t="n">
        <v>0</v>
      </c>
      <c r="U4927" s="21" t="n">
        <v>0</v>
      </c>
      <c r="V4927" s="21" t="n">
        <v>0</v>
      </c>
      <c r="W4927" s="21" t="n">
        <v>0</v>
      </c>
      <c r="X4927" s="21" t="n">
        <v>0</v>
      </c>
      <c r="Y4927" s="21" t="n">
        <v>0</v>
      </c>
      <c r="Z4927" s="19" t="n"/>
    </row>
    <row r="4928">
      <c r="D4928" s="21" t="n">
        <v>0</v>
      </c>
      <c r="E4928" s="21" t="n">
        <v>0</v>
      </c>
      <c r="F4928" s="21">
        <f>$B$3625</f>
        <v/>
      </c>
      <c r="G4928" s="21">
        <f>$B$3627</f>
        <v/>
      </c>
      <c r="H4928" s="21">
        <f>0</f>
        <v/>
      </c>
      <c r="I4928" s="21">
        <f>2*$B$3626</f>
        <v/>
      </c>
      <c r="J4928" s="21">
        <f>-$B$3625</f>
        <v/>
      </c>
      <c r="K4928" s="21">
        <f>$B$3627</f>
        <v/>
      </c>
      <c r="L4928" s="21" t="n">
        <v>0</v>
      </c>
      <c r="M4928" s="21" t="n">
        <v>0</v>
      </c>
      <c r="N4928" s="21" t="n">
        <v>0</v>
      </c>
      <c r="O4928" s="21" t="n">
        <v>0</v>
      </c>
      <c r="P4928" s="21" t="n">
        <v>0</v>
      </c>
      <c r="Q4928" s="21" t="n">
        <v>0</v>
      </c>
      <c r="R4928" s="21" t="n">
        <v>0</v>
      </c>
      <c r="S4928" s="21" t="n">
        <v>0</v>
      </c>
      <c r="T4928" s="21" t="n">
        <v>0</v>
      </c>
      <c r="U4928" s="21" t="n">
        <v>0</v>
      </c>
      <c r="V4928" s="21" t="n">
        <v>0</v>
      </c>
      <c r="W4928" s="21" t="n">
        <v>0</v>
      </c>
      <c r="X4928" s="21" t="n">
        <v>0</v>
      </c>
      <c r="Y4928" s="21" t="n">
        <v>0</v>
      </c>
      <c r="Z4928" s="19" t="n"/>
    </row>
    <row r="4929">
      <c r="D4929" s="21" t="n">
        <v>0</v>
      </c>
      <c r="E4929" s="21" t="n">
        <v>0</v>
      </c>
      <c r="F4929" s="21" t="n">
        <v>0</v>
      </c>
      <c r="G4929" s="21" t="n">
        <v>0</v>
      </c>
      <c r="H4929" s="21">
        <f>-$B$3624</f>
        <v/>
      </c>
      <c r="I4929" s="21">
        <f>-$B$3625</f>
        <v/>
      </c>
      <c r="J4929" s="21">
        <f>2*$B$3624+$D$4914</f>
        <v/>
      </c>
      <c r="K4929" s="21">
        <f>0</f>
        <v/>
      </c>
      <c r="L4929" s="21">
        <f>-$B$3624</f>
        <v/>
      </c>
      <c r="M4929" s="21">
        <f>$B$3625</f>
        <v/>
      </c>
      <c r="N4929" s="21" t="n">
        <v>0</v>
      </c>
      <c r="O4929" s="21" t="n">
        <v>0</v>
      </c>
      <c r="P4929" s="21" t="n">
        <v>0</v>
      </c>
      <c r="Q4929" s="21" t="n">
        <v>0</v>
      </c>
      <c r="R4929" s="21" t="n">
        <v>0</v>
      </c>
      <c r="S4929" s="21" t="n">
        <v>0</v>
      </c>
      <c r="T4929" s="21" t="n">
        <v>0</v>
      </c>
      <c r="U4929" s="21" t="n">
        <v>0</v>
      </c>
      <c r="V4929" s="21" t="n">
        <v>0</v>
      </c>
      <c r="W4929" s="21" t="n">
        <v>0</v>
      </c>
      <c r="X4929" s="21" t="n">
        <v>0</v>
      </c>
      <c r="Y4929" s="21" t="n">
        <v>0</v>
      </c>
      <c r="Z4929" s="19" t="n"/>
    </row>
    <row r="4930">
      <c r="D4930" s="21" t="n">
        <v>0</v>
      </c>
      <c r="E4930" s="21" t="n">
        <v>0</v>
      </c>
      <c r="F4930" s="21" t="n">
        <v>0</v>
      </c>
      <c r="G4930" s="21" t="n">
        <v>0</v>
      </c>
      <c r="H4930" s="21">
        <f>$B$3625</f>
        <v/>
      </c>
      <c r="I4930" s="21">
        <f>$B$3627</f>
        <v/>
      </c>
      <c r="J4930" s="21">
        <f>0</f>
        <v/>
      </c>
      <c r="K4930" s="21">
        <f>2*$B$3626</f>
        <v/>
      </c>
      <c r="L4930" s="21">
        <f>-$B$3625</f>
        <v/>
      </c>
      <c r="M4930" s="21">
        <f>$B$3627</f>
        <v/>
      </c>
      <c r="N4930" s="21" t="n">
        <v>0</v>
      </c>
      <c r="O4930" s="21" t="n">
        <v>0</v>
      </c>
      <c r="P4930" s="21" t="n">
        <v>0</v>
      </c>
      <c r="Q4930" s="21" t="n">
        <v>0</v>
      </c>
      <c r="R4930" s="21" t="n">
        <v>0</v>
      </c>
      <c r="S4930" s="21" t="n">
        <v>0</v>
      </c>
      <c r="T4930" s="21" t="n">
        <v>0</v>
      </c>
      <c r="U4930" s="21" t="n">
        <v>0</v>
      </c>
      <c r="V4930" s="21" t="n">
        <v>0</v>
      </c>
      <c r="W4930" s="21" t="n">
        <v>0</v>
      </c>
      <c r="X4930" s="21" t="n">
        <v>0</v>
      </c>
      <c r="Y4930" s="21" t="n">
        <v>0</v>
      </c>
      <c r="Z4930" s="19" t="n"/>
    </row>
    <row r="4931">
      <c r="D4931" s="21" t="n">
        <v>0</v>
      </c>
      <c r="E4931" s="21" t="n">
        <v>0</v>
      </c>
      <c r="F4931" s="21" t="n">
        <v>0</v>
      </c>
      <c r="G4931" s="21" t="n">
        <v>0</v>
      </c>
      <c r="H4931" s="21" t="n">
        <v>0</v>
      </c>
      <c r="I4931" s="21" t="n">
        <v>0</v>
      </c>
      <c r="J4931" s="21">
        <f>-$B$3624</f>
        <v/>
      </c>
      <c r="K4931" s="21">
        <f>-$B$3625</f>
        <v/>
      </c>
      <c r="L4931" s="21">
        <f>2*$B$3624+$D$4915</f>
        <v/>
      </c>
      <c r="M4931" s="21">
        <f>0</f>
        <v/>
      </c>
      <c r="N4931" s="21">
        <f>-$B$3624</f>
        <v/>
      </c>
      <c r="O4931" s="21">
        <f>$B$3625</f>
        <v/>
      </c>
      <c r="P4931" s="21" t="n">
        <v>0</v>
      </c>
      <c r="Q4931" s="21" t="n">
        <v>0</v>
      </c>
      <c r="R4931" s="21" t="n">
        <v>0</v>
      </c>
      <c r="S4931" s="21" t="n">
        <v>0</v>
      </c>
      <c r="T4931" s="21" t="n">
        <v>0</v>
      </c>
      <c r="U4931" s="21" t="n">
        <v>0</v>
      </c>
      <c r="V4931" s="21" t="n">
        <v>0</v>
      </c>
      <c r="W4931" s="21" t="n">
        <v>0</v>
      </c>
      <c r="X4931" s="21" t="n">
        <v>0</v>
      </c>
      <c r="Y4931" s="21" t="n">
        <v>0</v>
      </c>
      <c r="Z4931" s="19" t="n"/>
    </row>
    <row r="4932">
      <c r="D4932" s="21" t="n">
        <v>0</v>
      </c>
      <c r="E4932" s="21" t="n">
        <v>0</v>
      </c>
      <c r="F4932" s="21" t="n">
        <v>0</v>
      </c>
      <c r="G4932" s="21" t="n">
        <v>0</v>
      </c>
      <c r="H4932" s="21" t="n">
        <v>0</v>
      </c>
      <c r="I4932" s="21" t="n">
        <v>0</v>
      </c>
      <c r="J4932" s="21">
        <f>$B$3625</f>
        <v/>
      </c>
      <c r="K4932" s="21">
        <f>$B$3627</f>
        <v/>
      </c>
      <c r="L4932" s="21">
        <f>0</f>
        <v/>
      </c>
      <c r="M4932" s="21">
        <f>2*$B$3626</f>
        <v/>
      </c>
      <c r="N4932" s="21">
        <f>-$B$3625</f>
        <v/>
      </c>
      <c r="O4932" s="21">
        <f>$B$3627</f>
        <v/>
      </c>
      <c r="P4932" s="21" t="n">
        <v>0</v>
      </c>
      <c r="Q4932" s="21" t="n">
        <v>0</v>
      </c>
      <c r="R4932" s="21" t="n">
        <v>0</v>
      </c>
      <c r="S4932" s="21" t="n">
        <v>0</v>
      </c>
      <c r="T4932" s="21" t="n">
        <v>0</v>
      </c>
      <c r="U4932" s="21" t="n">
        <v>0</v>
      </c>
      <c r="V4932" s="21" t="n">
        <v>0</v>
      </c>
      <c r="W4932" s="21" t="n">
        <v>0</v>
      </c>
      <c r="X4932" s="21" t="n">
        <v>0</v>
      </c>
      <c r="Y4932" s="21" t="n">
        <v>0</v>
      </c>
      <c r="Z4932" s="19" t="n"/>
    </row>
    <row r="4933">
      <c r="D4933" s="21" t="n">
        <v>0</v>
      </c>
      <c r="E4933" s="21" t="n">
        <v>0</v>
      </c>
      <c r="F4933" s="21" t="n">
        <v>0</v>
      </c>
      <c r="G4933" s="21" t="n">
        <v>0</v>
      </c>
      <c r="H4933" s="21" t="n">
        <v>0</v>
      </c>
      <c r="I4933" s="21" t="n">
        <v>0</v>
      </c>
      <c r="J4933" s="21" t="n">
        <v>0</v>
      </c>
      <c r="K4933" s="21" t="n">
        <v>0</v>
      </c>
      <c r="L4933" s="21">
        <f>-$B$3624</f>
        <v/>
      </c>
      <c r="M4933" s="21">
        <f>-$B$3625</f>
        <v/>
      </c>
      <c r="N4933" s="21">
        <f>2*$B$3624+$D$4916</f>
        <v/>
      </c>
      <c r="O4933" s="21">
        <f>0</f>
        <v/>
      </c>
      <c r="P4933" s="21">
        <f>-$B$3624</f>
        <v/>
      </c>
      <c r="Q4933" s="21">
        <f>$B$3625</f>
        <v/>
      </c>
      <c r="R4933" s="21" t="n">
        <v>0</v>
      </c>
      <c r="S4933" s="21" t="n">
        <v>0</v>
      </c>
      <c r="T4933" s="21" t="n">
        <v>0</v>
      </c>
      <c r="U4933" s="21" t="n">
        <v>0</v>
      </c>
      <c r="V4933" s="21" t="n">
        <v>0</v>
      </c>
      <c r="W4933" s="21" t="n">
        <v>0</v>
      </c>
      <c r="X4933" s="21" t="n">
        <v>0</v>
      </c>
      <c r="Y4933" s="21" t="n">
        <v>0</v>
      </c>
      <c r="Z4933" s="19" t="n"/>
    </row>
    <row r="4934">
      <c r="D4934" s="21" t="n">
        <v>0</v>
      </c>
      <c r="E4934" s="21" t="n">
        <v>0</v>
      </c>
      <c r="F4934" s="21" t="n">
        <v>0</v>
      </c>
      <c r="G4934" s="21" t="n">
        <v>0</v>
      </c>
      <c r="H4934" s="21" t="n">
        <v>0</v>
      </c>
      <c r="I4934" s="21" t="n">
        <v>0</v>
      </c>
      <c r="J4934" s="21" t="n">
        <v>0</v>
      </c>
      <c r="K4934" s="21" t="n">
        <v>0</v>
      </c>
      <c r="L4934" s="21">
        <f>$B$3625</f>
        <v/>
      </c>
      <c r="M4934" s="21">
        <f>$B$3627</f>
        <v/>
      </c>
      <c r="N4934" s="21">
        <f>0</f>
        <v/>
      </c>
      <c r="O4934" s="21">
        <f>2*$B$3626</f>
        <v/>
      </c>
      <c r="P4934" s="21">
        <f>-$B$3625</f>
        <v/>
      </c>
      <c r="Q4934" s="21">
        <f>$B$3627</f>
        <v/>
      </c>
      <c r="R4934" s="21" t="n">
        <v>0</v>
      </c>
      <c r="S4934" s="21" t="n">
        <v>0</v>
      </c>
      <c r="T4934" s="21" t="n">
        <v>0</v>
      </c>
      <c r="U4934" s="21" t="n">
        <v>0</v>
      </c>
      <c r="V4934" s="21" t="n">
        <v>0</v>
      </c>
      <c r="W4934" s="21" t="n">
        <v>0</v>
      </c>
      <c r="X4934" s="21" t="n">
        <v>0</v>
      </c>
      <c r="Y4934" s="21" t="n">
        <v>0</v>
      </c>
      <c r="Z4934" s="19" t="n"/>
    </row>
    <row r="4935">
      <c r="D4935" s="21" t="n">
        <v>0</v>
      </c>
      <c r="E4935" s="21" t="n">
        <v>0</v>
      </c>
      <c r="F4935" s="21" t="n">
        <v>0</v>
      </c>
      <c r="G4935" s="21" t="n">
        <v>0</v>
      </c>
      <c r="H4935" s="21" t="n">
        <v>0</v>
      </c>
      <c r="I4935" s="21" t="n">
        <v>0</v>
      </c>
      <c r="J4935" s="21" t="n">
        <v>0</v>
      </c>
      <c r="K4935" s="21" t="n">
        <v>0</v>
      </c>
      <c r="L4935" s="21" t="n">
        <v>0</v>
      </c>
      <c r="M4935" s="21" t="n">
        <v>0</v>
      </c>
      <c r="N4935" s="21">
        <f>-$B$3624</f>
        <v/>
      </c>
      <c r="O4935" s="21">
        <f>-$B$3625</f>
        <v/>
      </c>
      <c r="P4935" s="21">
        <f>2*$B$3624+$D$4917</f>
        <v/>
      </c>
      <c r="Q4935" s="21">
        <f>0</f>
        <v/>
      </c>
      <c r="R4935" s="21">
        <f>-$B$3624</f>
        <v/>
      </c>
      <c r="S4935" s="21">
        <f>$B$3625</f>
        <v/>
      </c>
      <c r="T4935" s="21" t="n">
        <v>0</v>
      </c>
      <c r="U4935" s="21" t="n">
        <v>0</v>
      </c>
      <c r="V4935" s="21" t="n">
        <v>0</v>
      </c>
      <c r="W4935" s="21" t="n">
        <v>0</v>
      </c>
      <c r="X4935" s="21" t="n">
        <v>0</v>
      </c>
      <c r="Y4935" s="21" t="n">
        <v>0</v>
      </c>
      <c r="Z4935" s="19" t="n"/>
    </row>
    <row r="4936">
      <c r="D4936" s="21" t="n">
        <v>0</v>
      </c>
      <c r="E4936" s="21" t="n">
        <v>0</v>
      </c>
      <c r="F4936" s="21" t="n">
        <v>0</v>
      </c>
      <c r="G4936" s="21" t="n">
        <v>0</v>
      </c>
      <c r="H4936" s="21" t="n">
        <v>0</v>
      </c>
      <c r="I4936" s="21" t="n">
        <v>0</v>
      </c>
      <c r="J4936" s="21" t="n">
        <v>0</v>
      </c>
      <c r="K4936" s="21" t="n">
        <v>0</v>
      </c>
      <c r="L4936" s="21" t="n">
        <v>0</v>
      </c>
      <c r="M4936" s="21" t="n">
        <v>0</v>
      </c>
      <c r="N4936" s="21">
        <f>$B$3625</f>
        <v/>
      </c>
      <c r="O4936" s="21">
        <f>$B$3627</f>
        <v/>
      </c>
      <c r="P4936" s="21">
        <f>0</f>
        <v/>
      </c>
      <c r="Q4936" s="21">
        <f>2*$B$3626</f>
        <v/>
      </c>
      <c r="R4936" s="21">
        <f>-$B$3625</f>
        <v/>
      </c>
      <c r="S4936" s="21">
        <f>$B$3627</f>
        <v/>
      </c>
      <c r="T4936" s="21" t="n">
        <v>0</v>
      </c>
      <c r="U4936" s="21" t="n">
        <v>0</v>
      </c>
      <c r="V4936" s="21" t="n">
        <v>0</v>
      </c>
      <c r="W4936" s="21" t="n">
        <v>0</v>
      </c>
      <c r="X4936" s="21" t="n">
        <v>0</v>
      </c>
      <c r="Y4936" s="21" t="n">
        <v>0</v>
      </c>
      <c r="Z4936" s="19" t="n"/>
    </row>
    <row r="4937">
      <c r="D4937" s="21" t="n">
        <v>0</v>
      </c>
      <c r="E4937" s="21" t="n">
        <v>0</v>
      </c>
      <c r="F4937" s="21" t="n">
        <v>0</v>
      </c>
      <c r="G4937" s="21" t="n">
        <v>0</v>
      </c>
      <c r="H4937" s="21" t="n">
        <v>0</v>
      </c>
      <c r="I4937" s="21" t="n">
        <v>0</v>
      </c>
      <c r="J4937" s="21" t="n">
        <v>0</v>
      </c>
      <c r="K4937" s="21" t="n">
        <v>0</v>
      </c>
      <c r="L4937" s="21" t="n">
        <v>0</v>
      </c>
      <c r="M4937" s="21" t="n">
        <v>0</v>
      </c>
      <c r="N4937" s="21" t="n">
        <v>0</v>
      </c>
      <c r="O4937" s="21" t="n">
        <v>0</v>
      </c>
      <c r="P4937" s="21">
        <f>-$B$3624</f>
        <v/>
      </c>
      <c r="Q4937" s="21">
        <f>-$B$3625</f>
        <v/>
      </c>
      <c r="R4937" s="21">
        <f>2*$B$3624+$D$4918</f>
        <v/>
      </c>
      <c r="S4937" s="21">
        <f>0</f>
        <v/>
      </c>
      <c r="T4937" s="21">
        <f>-$B$3624</f>
        <v/>
      </c>
      <c r="U4937" s="21">
        <f>$B$3625</f>
        <v/>
      </c>
      <c r="V4937" s="21" t="n">
        <v>0</v>
      </c>
      <c r="W4937" s="21" t="n">
        <v>0</v>
      </c>
      <c r="X4937" s="21" t="n">
        <v>0</v>
      </c>
      <c r="Y4937" s="21" t="n">
        <v>0</v>
      </c>
      <c r="Z4937" s="19" t="n"/>
    </row>
    <row r="4938">
      <c r="D4938" s="21" t="n">
        <v>0</v>
      </c>
      <c r="E4938" s="21" t="n">
        <v>0</v>
      </c>
      <c r="F4938" s="21" t="n">
        <v>0</v>
      </c>
      <c r="G4938" s="21" t="n">
        <v>0</v>
      </c>
      <c r="H4938" s="21" t="n">
        <v>0</v>
      </c>
      <c r="I4938" s="21" t="n">
        <v>0</v>
      </c>
      <c r="J4938" s="21" t="n">
        <v>0</v>
      </c>
      <c r="K4938" s="21" t="n">
        <v>0</v>
      </c>
      <c r="L4938" s="21" t="n">
        <v>0</v>
      </c>
      <c r="M4938" s="21" t="n">
        <v>0</v>
      </c>
      <c r="N4938" s="21" t="n">
        <v>0</v>
      </c>
      <c r="O4938" s="21" t="n">
        <v>0</v>
      </c>
      <c r="P4938" s="21">
        <f>$B$3625</f>
        <v/>
      </c>
      <c r="Q4938" s="21">
        <f>$B$3627</f>
        <v/>
      </c>
      <c r="R4938" s="21">
        <f>0</f>
        <v/>
      </c>
      <c r="S4938" s="21">
        <f>2*$B$3626</f>
        <v/>
      </c>
      <c r="T4938" s="21">
        <f>-$B$3625</f>
        <v/>
      </c>
      <c r="U4938" s="21">
        <f>$B$3627</f>
        <v/>
      </c>
      <c r="V4938" s="21" t="n">
        <v>0</v>
      </c>
      <c r="W4938" s="21" t="n">
        <v>0</v>
      </c>
      <c r="X4938" s="21" t="n">
        <v>0</v>
      </c>
      <c r="Y4938" s="21" t="n">
        <v>0</v>
      </c>
      <c r="Z4938" s="19" t="n"/>
    </row>
    <row r="4939">
      <c r="D4939" s="21" t="n">
        <v>0</v>
      </c>
      <c r="E4939" s="21" t="n">
        <v>0</v>
      </c>
      <c r="F4939" s="21" t="n">
        <v>0</v>
      </c>
      <c r="G4939" s="21" t="n">
        <v>0</v>
      </c>
      <c r="H4939" s="21" t="n">
        <v>0</v>
      </c>
      <c r="I4939" s="21" t="n">
        <v>0</v>
      </c>
      <c r="J4939" s="21" t="n">
        <v>0</v>
      </c>
      <c r="K4939" s="21" t="n">
        <v>0</v>
      </c>
      <c r="L4939" s="21" t="n">
        <v>0</v>
      </c>
      <c r="M4939" s="21" t="n">
        <v>0</v>
      </c>
      <c r="N4939" s="21" t="n">
        <v>0</v>
      </c>
      <c r="O4939" s="21" t="n">
        <v>0</v>
      </c>
      <c r="P4939" s="21" t="n">
        <v>0</v>
      </c>
      <c r="Q4939" s="21" t="n">
        <v>0</v>
      </c>
      <c r="R4939" s="21">
        <f>-$B$3624</f>
        <v/>
      </c>
      <c r="S4939" s="21">
        <f>-$B$3625</f>
        <v/>
      </c>
      <c r="T4939" s="21">
        <f>2*$B$3624+$D$4919</f>
        <v/>
      </c>
      <c r="U4939" s="21">
        <f>0</f>
        <v/>
      </c>
      <c r="V4939" s="21">
        <f>-$B$3624</f>
        <v/>
      </c>
      <c r="W4939" s="21">
        <f>$B$3625</f>
        <v/>
      </c>
      <c r="X4939" s="21" t="n">
        <v>0</v>
      </c>
      <c r="Y4939" s="21" t="n">
        <v>0</v>
      </c>
      <c r="Z4939" s="19" t="n"/>
    </row>
    <row r="4940">
      <c r="D4940" s="21" t="n">
        <v>0</v>
      </c>
      <c r="E4940" s="21" t="n">
        <v>0</v>
      </c>
      <c r="F4940" s="21" t="n">
        <v>0</v>
      </c>
      <c r="G4940" s="21" t="n">
        <v>0</v>
      </c>
      <c r="H4940" s="21" t="n">
        <v>0</v>
      </c>
      <c r="I4940" s="21" t="n">
        <v>0</v>
      </c>
      <c r="J4940" s="21" t="n">
        <v>0</v>
      </c>
      <c r="K4940" s="21" t="n">
        <v>0</v>
      </c>
      <c r="L4940" s="21" t="n">
        <v>0</v>
      </c>
      <c r="M4940" s="21" t="n">
        <v>0</v>
      </c>
      <c r="N4940" s="21" t="n">
        <v>0</v>
      </c>
      <c r="O4940" s="21" t="n">
        <v>0</v>
      </c>
      <c r="P4940" s="21" t="n">
        <v>0</v>
      </c>
      <c r="Q4940" s="21" t="n">
        <v>0</v>
      </c>
      <c r="R4940" s="21">
        <f>$B$3625</f>
        <v/>
      </c>
      <c r="S4940" s="21">
        <f>$B$3627</f>
        <v/>
      </c>
      <c r="T4940" s="21">
        <f>0</f>
        <v/>
      </c>
      <c r="U4940" s="21">
        <f>2*$B$3626</f>
        <v/>
      </c>
      <c r="V4940" s="21">
        <f>-$B$3625</f>
        <v/>
      </c>
      <c r="W4940" s="21">
        <f>$B$3627</f>
        <v/>
      </c>
      <c r="X4940" s="21" t="n">
        <v>0</v>
      </c>
      <c r="Y4940" s="21" t="n">
        <v>0</v>
      </c>
      <c r="Z4940" s="19" t="n"/>
    </row>
    <row r="4941">
      <c r="D4941" s="21" t="n">
        <v>0</v>
      </c>
      <c r="E4941" s="21" t="n">
        <v>0</v>
      </c>
      <c r="F4941" s="21" t="n">
        <v>0</v>
      </c>
      <c r="G4941" s="21" t="n">
        <v>0</v>
      </c>
      <c r="H4941" s="21" t="n">
        <v>0</v>
      </c>
      <c r="I4941" s="21" t="n">
        <v>0</v>
      </c>
      <c r="J4941" s="21" t="n">
        <v>0</v>
      </c>
      <c r="K4941" s="21" t="n">
        <v>0</v>
      </c>
      <c r="L4941" s="21" t="n">
        <v>0</v>
      </c>
      <c r="M4941" s="21" t="n">
        <v>0</v>
      </c>
      <c r="N4941" s="21" t="n">
        <v>0</v>
      </c>
      <c r="O4941" s="21" t="n">
        <v>0</v>
      </c>
      <c r="P4941" s="21" t="n">
        <v>0</v>
      </c>
      <c r="Q4941" s="21" t="n">
        <v>0</v>
      </c>
      <c r="R4941" s="21" t="n">
        <v>0</v>
      </c>
      <c r="S4941" s="21" t="n">
        <v>0</v>
      </c>
      <c r="T4941" s="21">
        <f>-$B$3624</f>
        <v/>
      </c>
      <c r="U4941" s="21">
        <f>-$B$3625</f>
        <v/>
      </c>
      <c r="V4941" s="21">
        <f>2*$B$3624+$D$4920</f>
        <v/>
      </c>
      <c r="W4941" s="21">
        <f>0</f>
        <v/>
      </c>
      <c r="X4941" s="21">
        <f>-$B$3624</f>
        <v/>
      </c>
      <c r="Y4941" s="21">
        <f>$B$3625</f>
        <v/>
      </c>
      <c r="Z4941" s="19" t="n"/>
    </row>
    <row r="4942">
      <c r="D4942" s="21" t="n">
        <v>0</v>
      </c>
      <c r="E4942" s="21" t="n">
        <v>0</v>
      </c>
      <c r="F4942" s="21" t="n">
        <v>0</v>
      </c>
      <c r="G4942" s="21" t="n">
        <v>0</v>
      </c>
      <c r="H4942" s="21" t="n">
        <v>0</v>
      </c>
      <c r="I4942" s="21" t="n">
        <v>0</v>
      </c>
      <c r="J4942" s="21" t="n">
        <v>0</v>
      </c>
      <c r="K4942" s="21" t="n">
        <v>0</v>
      </c>
      <c r="L4942" s="21" t="n">
        <v>0</v>
      </c>
      <c r="M4942" s="21" t="n">
        <v>0</v>
      </c>
      <c r="N4942" s="21" t="n">
        <v>0</v>
      </c>
      <c r="O4942" s="21" t="n">
        <v>0</v>
      </c>
      <c r="P4942" s="21" t="n">
        <v>0</v>
      </c>
      <c r="Q4942" s="21" t="n">
        <v>0</v>
      </c>
      <c r="R4942" s="21" t="n">
        <v>0</v>
      </c>
      <c r="S4942" s="21" t="n">
        <v>0</v>
      </c>
      <c r="T4942" s="21">
        <f>$B$3625</f>
        <v/>
      </c>
      <c r="U4942" s="21">
        <f>$B$3627</f>
        <v/>
      </c>
      <c r="V4942" s="21">
        <f>0</f>
        <v/>
      </c>
      <c r="W4942" s="21">
        <f>2*$B$3626</f>
        <v/>
      </c>
      <c r="X4942" s="21">
        <f>-$B$3625</f>
        <v/>
      </c>
      <c r="Y4942" s="21">
        <f>$B$3627</f>
        <v/>
      </c>
      <c r="Z4942" s="19" t="n"/>
    </row>
    <row r="4943">
      <c r="D4943" s="21" t="n">
        <v>0</v>
      </c>
      <c r="E4943" s="21" t="n">
        <v>0</v>
      </c>
      <c r="F4943" s="21" t="n">
        <v>0</v>
      </c>
      <c r="G4943" s="21" t="n">
        <v>0</v>
      </c>
      <c r="H4943" s="21" t="n">
        <v>0</v>
      </c>
      <c r="I4943" s="21" t="n">
        <v>0</v>
      </c>
      <c r="J4943" s="21" t="n">
        <v>0</v>
      </c>
      <c r="K4943" s="21" t="n">
        <v>0</v>
      </c>
      <c r="L4943" s="21" t="n">
        <v>0</v>
      </c>
      <c r="M4943" s="21" t="n">
        <v>0</v>
      </c>
      <c r="N4943" s="21" t="n">
        <v>0</v>
      </c>
      <c r="O4943" s="21" t="n">
        <v>0</v>
      </c>
      <c r="P4943" s="21" t="n">
        <v>0</v>
      </c>
      <c r="Q4943" s="21" t="n">
        <v>0</v>
      </c>
      <c r="R4943" s="21" t="n">
        <v>0</v>
      </c>
      <c r="S4943" s="21" t="n">
        <v>0</v>
      </c>
      <c r="T4943" s="21" t="n">
        <v>0</v>
      </c>
      <c r="U4943" s="21" t="n">
        <v>0</v>
      </c>
      <c r="V4943" s="21">
        <f>-$B$3624</f>
        <v/>
      </c>
      <c r="W4943" s="21">
        <f>-$B$3625</f>
        <v/>
      </c>
      <c r="X4943" s="21">
        <f>$B$3624+$D$4921</f>
        <v/>
      </c>
      <c r="Y4943" s="21">
        <f>-$B$3625</f>
        <v/>
      </c>
      <c r="Z4943" s="19" t="n"/>
    </row>
    <row r="4944">
      <c r="D4944" s="21" t="n">
        <v>0</v>
      </c>
      <c r="E4944" s="21" t="n">
        <v>0</v>
      </c>
      <c r="F4944" s="21" t="n">
        <v>0</v>
      </c>
      <c r="G4944" s="21" t="n">
        <v>0</v>
      </c>
      <c r="H4944" s="21" t="n">
        <v>0</v>
      </c>
      <c r="I4944" s="21" t="n">
        <v>0</v>
      </c>
      <c r="J4944" s="21" t="n">
        <v>0</v>
      </c>
      <c r="K4944" s="21" t="n">
        <v>0</v>
      </c>
      <c r="L4944" s="21" t="n">
        <v>0</v>
      </c>
      <c r="M4944" s="21" t="n">
        <v>0</v>
      </c>
      <c r="N4944" s="21" t="n">
        <v>0</v>
      </c>
      <c r="O4944" s="21" t="n">
        <v>0</v>
      </c>
      <c r="P4944" s="21" t="n">
        <v>0</v>
      </c>
      <c r="Q4944" s="21" t="n">
        <v>0</v>
      </c>
      <c r="R4944" s="21" t="n">
        <v>0</v>
      </c>
      <c r="S4944" s="21" t="n">
        <v>0</v>
      </c>
      <c r="T4944" s="21" t="n">
        <v>0</v>
      </c>
      <c r="U4944" s="21" t="n">
        <v>0</v>
      </c>
      <c r="V4944" s="21">
        <f>$B$3625</f>
        <v/>
      </c>
      <c r="W4944" s="21">
        <f>$B$3627</f>
        <v/>
      </c>
      <c r="X4944" s="21">
        <f>-$B$3625</f>
        <v/>
      </c>
      <c r="Y4944" s="21">
        <f>$B$3626</f>
        <v/>
      </c>
      <c r="Z4944" s="19" t="n"/>
    </row>
    <row r="4946">
      <c r="A4946" s="8" t="inlineStr">
        <is>
          <t>gen 36</t>
        </is>
      </c>
    </row>
    <row r="4947">
      <c r="D4947" s="19">
        <f>IF(ABS(IF(ABS($E$4911)&gt;0.000000001,$E$4911,0.000000001))=0,0,IF($E$3639&lt;=$B$3633,0,IF(ABS(IF(ABS($E$4911)&gt;0.000000001,$E$4911,0.000000001))&gt;=8*$B$3635,$H$3639,0.5*$H$3639*(ABS(IF(ABS($E$4911)&gt;0.000000001,$E$4911,0.000000001))/$B$3635)^(1/3)))/ABS(IF(ABS($E$4911)&gt;0.000000001,$E$4911,0.000000001))*$I$3639)</f>
        <v/>
      </c>
      <c r="E4947" s="19">
        <f>0.5*$E$4911+0.5*$Z$4959</f>
        <v/>
      </c>
      <c r="F4947" s="19">
        <f>$Z$4960</f>
        <v/>
      </c>
    </row>
    <row r="4948">
      <c r="D4948" s="19">
        <f>IF(ABS(IF(ABS($E$4912)&gt;0.000000001,$E$4912,0.000000001))=0,0,IF($E$3640&lt;=$B$3633,0,IF(ABS(IF(ABS($E$4912)&gt;0.000000001,$E$4912,0.000000001))&gt;=8*$B$3635,$H$3640,0.5*$H$3640*(ABS(IF(ABS($E$4912)&gt;0.000000001,$E$4912,0.000000001))/$B$3635)^(1/3)))/ABS(IF(ABS($E$4912)&gt;0.000000001,$E$4912,0.000000001))*$I$3640)</f>
        <v/>
      </c>
      <c r="E4948" s="19">
        <f>0.5*$E$4912+0.5*$Z$4961</f>
        <v/>
      </c>
      <c r="F4948" s="19">
        <f>$Z$4962</f>
        <v/>
      </c>
    </row>
    <row r="4949">
      <c r="D4949" s="19">
        <f>IF(ABS(IF(ABS($E$4913)&gt;0.000000001,$E$4913,0.000000001))=0,0,IF($E$3641&lt;=$B$3633,0,IF(ABS(IF(ABS($E$4913)&gt;0.000000001,$E$4913,0.000000001))&gt;=8*$B$3635,$H$3641,0.5*$H$3641*(ABS(IF(ABS($E$4913)&gt;0.000000001,$E$4913,0.000000001))/$B$3635)^(1/3)))/ABS(IF(ABS($E$4913)&gt;0.000000001,$E$4913,0.000000001))*$I$3641)</f>
        <v/>
      </c>
      <c r="E4949" s="19">
        <f>0.5*$E$4913+0.5*$Z$4963</f>
        <v/>
      </c>
      <c r="F4949" s="19">
        <f>$Z$4964</f>
        <v/>
      </c>
    </row>
    <row r="4950">
      <c r="D4950" s="19">
        <f>IF(ABS(IF(ABS($E$4914)&gt;0.000000001,$E$4914,0.000000001))=0,0,IF($E$3642&lt;=$B$3633,0,IF(ABS(IF(ABS($E$4914)&gt;0.000000001,$E$4914,0.000000001))&gt;=8*$B$3635,$H$3642,0.5*$H$3642*(ABS(IF(ABS($E$4914)&gt;0.000000001,$E$4914,0.000000001))/$B$3635)^(1/3)))/ABS(IF(ABS($E$4914)&gt;0.000000001,$E$4914,0.000000001))*$I$3642)</f>
        <v/>
      </c>
      <c r="E4950" s="19">
        <f>0.5*$E$4914+0.5*$Z$4965</f>
        <v/>
      </c>
      <c r="F4950" s="19">
        <f>$Z$4966</f>
        <v/>
      </c>
    </row>
    <row r="4951">
      <c r="D4951" s="19">
        <f>IF(ABS(IF(ABS($E$4915)&gt;0.000000001,$E$4915,0.000000001))=0,0,IF($E$3643&lt;=$B$3633,0,IF(ABS(IF(ABS($E$4915)&gt;0.000000001,$E$4915,0.000000001))&gt;=8*$B$3635,$H$3643,0.5*$H$3643*(ABS(IF(ABS($E$4915)&gt;0.000000001,$E$4915,0.000000001))/$B$3635)^(1/3)))/ABS(IF(ABS($E$4915)&gt;0.000000001,$E$4915,0.000000001))*$I$3643)</f>
        <v/>
      </c>
      <c r="E4951" s="19">
        <f>0.5*$E$4915+0.5*$Z$4967</f>
        <v/>
      </c>
      <c r="F4951" s="19">
        <f>$Z$4968</f>
        <v/>
      </c>
    </row>
    <row r="4952">
      <c r="D4952" s="19">
        <f>IF(ABS(IF(ABS($E$4916)&gt;0.000000001,$E$4916,0.000000001))=0,0,IF($E$3644&lt;=$B$3633,0,IF(ABS(IF(ABS($E$4916)&gt;0.000000001,$E$4916,0.000000001))&gt;=8*$B$3635,$H$3644,0.5*$H$3644*(ABS(IF(ABS($E$4916)&gt;0.000000001,$E$4916,0.000000001))/$B$3635)^(1/3)))/ABS(IF(ABS($E$4916)&gt;0.000000001,$E$4916,0.000000001))*$I$3644)</f>
        <v/>
      </c>
      <c r="E4952" s="19">
        <f>0.5*$E$4916+0.5*$Z$4969</f>
        <v/>
      </c>
      <c r="F4952" s="19">
        <f>$Z$4970</f>
        <v/>
      </c>
    </row>
    <row r="4953">
      <c r="D4953" s="19">
        <f>IF(ABS(IF(ABS($E$4917)&gt;0.000000001,$E$4917,0.000000001))=0,0,IF($E$3645&lt;=$B$3633,0,IF(ABS(IF(ABS($E$4917)&gt;0.000000001,$E$4917,0.000000001))&gt;=8*$B$3635,$H$3645,0.5*$H$3645*(ABS(IF(ABS($E$4917)&gt;0.000000001,$E$4917,0.000000001))/$B$3635)^(1/3)))/ABS(IF(ABS($E$4917)&gt;0.000000001,$E$4917,0.000000001))*$I$3645)</f>
        <v/>
      </c>
      <c r="E4953" s="19">
        <f>0.5*$E$4917+0.5*$Z$4971</f>
        <v/>
      </c>
      <c r="F4953" s="19">
        <f>$Z$4972</f>
        <v/>
      </c>
    </row>
    <row r="4954">
      <c r="D4954" s="19">
        <f>IF(ABS(IF(ABS($E$4918)&gt;0.000000001,$E$4918,0.000000001))=0,0,IF($E$3646&lt;=$B$3633,0,IF(ABS(IF(ABS($E$4918)&gt;0.000000001,$E$4918,0.000000001))&gt;=8*$B$3635,$H$3646,0.5*$H$3646*(ABS(IF(ABS($E$4918)&gt;0.000000001,$E$4918,0.000000001))/$B$3635)^(1/3)))/ABS(IF(ABS($E$4918)&gt;0.000000001,$E$4918,0.000000001))*$I$3646)</f>
        <v/>
      </c>
      <c r="E4954" s="19">
        <f>0.5*$E$4918+0.5*$Z$4973</f>
        <v/>
      </c>
      <c r="F4954" s="19">
        <f>$Z$4974</f>
        <v/>
      </c>
    </row>
    <row r="4955">
      <c r="D4955" s="19">
        <f>IF(ABS(IF(ABS($E$4919)&gt;0.000000001,$E$4919,0.000000001))=0,0,IF($E$3647&lt;=$B$3633,0,IF(ABS(IF(ABS($E$4919)&gt;0.000000001,$E$4919,0.000000001))&gt;=8*$B$3635,$H$3647,0.5*$H$3647*(ABS(IF(ABS($E$4919)&gt;0.000000001,$E$4919,0.000000001))/$B$3635)^(1/3)))/ABS(IF(ABS($E$4919)&gt;0.000000001,$E$4919,0.000000001))*$I$3647)</f>
        <v/>
      </c>
      <c r="E4955" s="19">
        <f>0.5*$E$4919+0.5*$Z$4975</f>
        <v/>
      </c>
      <c r="F4955" s="19">
        <f>$Z$4976</f>
        <v/>
      </c>
    </row>
    <row r="4956">
      <c r="D4956" s="19">
        <f>IF(ABS(IF(ABS($E$4920)&gt;0.000000001,$E$4920,0.000000001))=0,0,IF($E$3648&lt;=$B$3633,0,IF(ABS(IF(ABS($E$4920)&gt;0.000000001,$E$4920,0.000000001))&gt;=8*$B$3635,$H$3648,0.5*$H$3648*(ABS(IF(ABS($E$4920)&gt;0.000000001,$E$4920,0.000000001))/$B$3635)^(1/3)))/ABS(IF(ABS($E$4920)&gt;0.000000001,$E$4920,0.000000001))*$I$3648)</f>
        <v/>
      </c>
      <c r="E4956" s="19">
        <f>0.5*$E$4920+0.5*$Z$4977</f>
        <v/>
      </c>
      <c r="F4956" s="19">
        <f>$Z$4978</f>
        <v/>
      </c>
    </row>
    <row r="4957">
      <c r="D4957" s="19">
        <f>IF(ABS(IF(ABS($E$4921)&gt;0.000000001,$E$4921,0.000000001))=0,0,IF($E$3649&lt;=$B$3633,0,IF(ABS(IF(ABS($E$4921)&gt;0.000000001,$E$4921,0.000000001))&gt;=8*$B$3635,$H$3649,0.5*$H$3649*(ABS(IF(ABS($E$4921)&gt;0.000000001,$E$4921,0.000000001))/$B$3635)^(1/3)))/ABS(IF(ABS($E$4921)&gt;0.000000001,$E$4921,0.000000001))*$I$3649)</f>
        <v/>
      </c>
      <c r="E4957" s="19">
        <f>0.5*$E$4921+0.5*$Z$4979</f>
        <v/>
      </c>
      <c r="F4957" s="19">
        <f>$Z$4980</f>
        <v/>
      </c>
    </row>
    <row r="4959">
      <c r="D4959" s="21">
        <f>$B$3624+$D$4947</f>
        <v/>
      </c>
      <c r="E4959" s="21">
        <f>$B$3625</f>
        <v/>
      </c>
      <c r="F4959" s="21">
        <f>-$B$3624</f>
        <v/>
      </c>
      <c r="G4959" s="21">
        <f>$B$3625</f>
        <v/>
      </c>
      <c r="H4959" s="21" t="n">
        <v>0</v>
      </c>
      <c r="I4959" s="21" t="n">
        <v>0</v>
      </c>
      <c r="J4959" s="21" t="n">
        <v>0</v>
      </c>
      <c r="K4959" s="21" t="n">
        <v>0</v>
      </c>
      <c r="L4959" s="21" t="n">
        <v>0</v>
      </c>
      <c r="M4959" s="21" t="n">
        <v>0</v>
      </c>
      <c r="N4959" s="21" t="n">
        <v>0</v>
      </c>
      <c r="O4959" s="21" t="n">
        <v>0</v>
      </c>
      <c r="P4959" s="21" t="n">
        <v>0</v>
      </c>
      <c r="Q4959" s="21" t="n">
        <v>0</v>
      </c>
      <c r="R4959" s="21" t="n">
        <v>0</v>
      </c>
      <c r="S4959" s="21" t="n">
        <v>0</v>
      </c>
      <c r="T4959" s="21" t="n">
        <v>0</v>
      </c>
      <c r="U4959" s="21" t="n">
        <v>0</v>
      </c>
      <c r="V4959" s="21" t="n">
        <v>0</v>
      </c>
      <c r="W4959" s="21" t="n">
        <v>0</v>
      </c>
      <c r="X4959" s="21" t="n">
        <v>0</v>
      </c>
      <c r="Y4959" s="21" t="n">
        <v>0</v>
      </c>
      <c r="Z4959" s="19">
        <f t="array" ref="Z4959:Z4980">MMULT(MINVERSE($D$4959:$Y$4980),$D$3651:$D$3672)</f>
        <v/>
      </c>
    </row>
    <row r="4960">
      <c r="D4960" s="21">
        <f>$B$3625</f>
        <v/>
      </c>
      <c r="E4960" s="21">
        <f>$B$3626</f>
        <v/>
      </c>
      <c r="F4960" s="21">
        <f>-$B$3625</f>
        <v/>
      </c>
      <c r="G4960" s="21">
        <f>$B$3627</f>
        <v/>
      </c>
      <c r="H4960" s="21" t="n">
        <v>0</v>
      </c>
      <c r="I4960" s="21" t="n">
        <v>0</v>
      </c>
      <c r="J4960" s="21" t="n">
        <v>0</v>
      </c>
      <c r="K4960" s="21" t="n">
        <v>0</v>
      </c>
      <c r="L4960" s="21" t="n">
        <v>0</v>
      </c>
      <c r="M4960" s="21" t="n">
        <v>0</v>
      </c>
      <c r="N4960" s="21" t="n">
        <v>0</v>
      </c>
      <c r="O4960" s="21" t="n">
        <v>0</v>
      </c>
      <c r="P4960" s="21" t="n">
        <v>0</v>
      </c>
      <c r="Q4960" s="21" t="n">
        <v>0</v>
      </c>
      <c r="R4960" s="21" t="n">
        <v>0</v>
      </c>
      <c r="S4960" s="21" t="n">
        <v>0</v>
      </c>
      <c r="T4960" s="21" t="n">
        <v>0</v>
      </c>
      <c r="U4960" s="21" t="n">
        <v>0</v>
      </c>
      <c r="V4960" s="21" t="n">
        <v>0</v>
      </c>
      <c r="W4960" s="21" t="n">
        <v>0</v>
      </c>
      <c r="X4960" s="21" t="n">
        <v>0</v>
      </c>
      <c r="Y4960" s="21" t="n">
        <v>0</v>
      </c>
      <c r="Z4960" s="19" t="n"/>
    </row>
    <row r="4961">
      <c r="D4961" s="21">
        <f>-$B$3624</f>
        <v/>
      </c>
      <c r="E4961" s="21">
        <f>-$B$3625</f>
        <v/>
      </c>
      <c r="F4961" s="21">
        <f>2*$B$3624+$D$4948</f>
        <v/>
      </c>
      <c r="G4961" s="21">
        <f>0</f>
        <v/>
      </c>
      <c r="H4961" s="21">
        <f>-$B$3624</f>
        <v/>
      </c>
      <c r="I4961" s="21">
        <f>$B$3625</f>
        <v/>
      </c>
      <c r="J4961" s="21" t="n">
        <v>0</v>
      </c>
      <c r="K4961" s="21" t="n">
        <v>0</v>
      </c>
      <c r="L4961" s="21" t="n">
        <v>0</v>
      </c>
      <c r="M4961" s="21" t="n">
        <v>0</v>
      </c>
      <c r="N4961" s="21" t="n">
        <v>0</v>
      </c>
      <c r="O4961" s="21" t="n">
        <v>0</v>
      </c>
      <c r="P4961" s="21" t="n">
        <v>0</v>
      </c>
      <c r="Q4961" s="21" t="n">
        <v>0</v>
      </c>
      <c r="R4961" s="21" t="n">
        <v>0</v>
      </c>
      <c r="S4961" s="21" t="n">
        <v>0</v>
      </c>
      <c r="T4961" s="21" t="n">
        <v>0</v>
      </c>
      <c r="U4961" s="21" t="n">
        <v>0</v>
      </c>
      <c r="V4961" s="21" t="n">
        <v>0</v>
      </c>
      <c r="W4961" s="21" t="n">
        <v>0</v>
      </c>
      <c r="X4961" s="21" t="n">
        <v>0</v>
      </c>
      <c r="Y4961" s="21" t="n">
        <v>0</v>
      </c>
      <c r="Z4961" s="19" t="n"/>
    </row>
    <row r="4962">
      <c r="D4962" s="21">
        <f>$B$3625</f>
        <v/>
      </c>
      <c r="E4962" s="21">
        <f>$B$3627</f>
        <v/>
      </c>
      <c r="F4962" s="21">
        <f>0</f>
        <v/>
      </c>
      <c r="G4962" s="21">
        <f>2*$B$3626</f>
        <v/>
      </c>
      <c r="H4962" s="21">
        <f>-$B$3625</f>
        <v/>
      </c>
      <c r="I4962" s="21">
        <f>$B$3627</f>
        <v/>
      </c>
      <c r="J4962" s="21" t="n">
        <v>0</v>
      </c>
      <c r="K4962" s="21" t="n">
        <v>0</v>
      </c>
      <c r="L4962" s="21" t="n">
        <v>0</v>
      </c>
      <c r="M4962" s="21" t="n">
        <v>0</v>
      </c>
      <c r="N4962" s="21" t="n">
        <v>0</v>
      </c>
      <c r="O4962" s="21" t="n">
        <v>0</v>
      </c>
      <c r="P4962" s="21" t="n">
        <v>0</v>
      </c>
      <c r="Q4962" s="21" t="n">
        <v>0</v>
      </c>
      <c r="R4962" s="21" t="n">
        <v>0</v>
      </c>
      <c r="S4962" s="21" t="n">
        <v>0</v>
      </c>
      <c r="T4962" s="21" t="n">
        <v>0</v>
      </c>
      <c r="U4962" s="21" t="n">
        <v>0</v>
      </c>
      <c r="V4962" s="21" t="n">
        <v>0</v>
      </c>
      <c r="W4962" s="21" t="n">
        <v>0</v>
      </c>
      <c r="X4962" s="21" t="n">
        <v>0</v>
      </c>
      <c r="Y4962" s="21" t="n">
        <v>0</v>
      </c>
      <c r="Z4962" s="19" t="n"/>
    </row>
    <row r="4963">
      <c r="D4963" s="21" t="n">
        <v>0</v>
      </c>
      <c r="E4963" s="21" t="n">
        <v>0</v>
      </c>
      <c r="F4963" s="21">
        <f>-$B$3624</f>
        <v/>
      </c>
      <c r="G4963" s="21">
        <f>-$B$3625</f>
        <v/>
      </c>
      <c r="H4963" s="21">
        <f>2*$B$3624+$D$4949</f>
        <v/>
      </c>
      <c r="I4963" s="21">
        <f>0</f>
        <v/>
      </c>
      <c r="J4963" s="21">
        <f>-$B$3624</f>
        <v/>
      </c>
      <c r="K4963" s="21">
        <f>$B$3625</f>
        <v/>
      </c>
      <c r="L4963" s="21" t="n">
        <v>0</v>
      </c>
      <c r="M4963" s="21" t="n">
        <v>0</v>
      </c>
      <c r="N4963" s="21" t="n">
        <v>0</v>
      </c>
      <c r="O4963" s="21" t="n">
        <v>0</v>
      </c>
      <c r="P4963" s="21" t="n">
        <v>0</v>
      </c>
      <c r="Q4963" s="21" t="n">
        <v>0</v>
      </c>
      <c r="R4963" s="21" t="n">
        <v>0</v>
      </c>
      <c r="S4963" s="21" t="n">
        <v>0</v>
      </c>
      <c r="T4963" s="21" t="n">
        <v>0</v>
      </c>
      <c r="U4963" s="21" t="n">
        <v>0</v>
      </c>
      <c r="V4963" s="21" t="n">
        <v>0</v>
      </c>
      <c r="W4963" s="21" t="n">
        <v>0</v>
      </c>
      <c r="X4963" s="21" t="n">
        <v>0</v>
      </c>
      <c r="Y4963" s="21" t="n">
        <v>0</v>
      </c>
      <c r="Z4963" s="19" t="n"/>
    </row>
    <row r="4964">
      <c r="D4964" s="21" t="n">
        <v>0</v>
      </c>
      <c r="E4964" s="21" t="n">
        <v>0</v>
      </c>
      <c r="F4964" s="21">
        <f>$B$3625</f>
        <v/>
      </c>
      <c r="G4964" s="21">
        <f>$B$3627</f>
        <v/>
      </c>
      <c r="H4964" s="21">
        <f>0</f>
        <v/>
      </c>
      <c r="I4964" s="21">
        <f>2*$B$3626</f>
        <v/>
      </c>
      <c r="J4964" s="21">
        <f>-$B$3625</f>
        <v/>
      </c>
      <c r="K4964" s="21">
        <f>$B$3627</f>
        <v/>
      </c>
      <c r="L4964" s="21" t="n">
        <v>0</v>
      </c>
      <c r="M4964" s="21" t="n">
        <v>0</v>
      </c>
      <c r="N4964" s="21" t="n">
        <v>0</v>
      </c>
      <c r="O4964" s="21" t="n">
        <v>0</v>
      </c>
      <c r="P4964" s="21" t="n">
        <v>0</v>
      </c>
      <c r="Q4964" s="21" t="n">
        <v>0</v>
      </c>
      <c r="R4964" s="21" t="n">
        <v>0</v>
      </c>
      <c r="S4964" s="21" t="n">
        <v>0</v>
      </c>
      <c r="T4964" s="21" t="n">
        <v>0</v>
      </c>
      <c r="U4964" s="21" t="n">
        <v>0</v>
      </c>
      <c r="V4964" s="21" t="n">
        <v>0</v>
      </c>
      <c r="W4964" s="21" t="n">
        <v>0</v>
      </c>
      <c r="X4964" s="21" t="n">
        <v>0</v>
      </c>
      <c r="Y4964" s="21" t="n">
        <v>0</v>
      </c>
      <c r="Z4964" s="19" t="n"/>
    </row>
    <row r="4965">
      <c r="D4965" s="21" t="n">
        <v>0</v>
      </c>
      <c r="E4965" s="21" t="n">
        <v>0</v>
      </c>
      <c r="F4965" s="21" t="n">
        <v>0</v>
      </c>
      <c r="G4965" s="21" t="n">
        <v>0</v>
      </c>
      <c r="H4965" s="21">
        <f>-$B$3624</f>
        <v/>
      </c>
      <c r="I4965" s="21">
        <f>-$B$3625</f>
        <v/>
      </c>
      <c r="J4965" s="21">
        <f>2*$B$3624+$D$4950</f>
        <v/>
      </c>
      <c r="K4965" s="21">
        <f>0</f>
        <v/>
      </c>
      <c r="L4965" s="21">
        <f>-$B$3624</f>
        <v/>
      </c>
      <c r="M4965" s="21">
        <f>$B$3625</f>
        <v/>
      </c>
      <c r="N4965" s="21" t="n">
        <v>0</v>
      </c>
      <c r="O4965" s="21" t="n">
        <v>0</v>
      </c>
      <c r="P4965" s="21" t="n">
        <v>0</v>
      </c>
      <c r="Q4965" s="21" t="n">
        <v>0</v>
      </c>
      <c r="R4965" s="21" t="n">
        <v>0</v>
      </c>
      <c r="S4965" s="21" t="n">
        <v>0</v>
      </c>
      <c r="T4965" s="21" t="n">
        <v>0</v>
      </c>
      <c r="U4965" s="21" t="n">
        <v>0</v>
      </c>
      <c r="V4965" s="21" t="n">
        <v>0</v>
      </c>
      <c r="W4965" s="21" t="n">
        <v>0</v>
      </c>
      <c r="X4965" s="21" t="n">
        <v>0</v>
      </c>
      <c r="Y4965" s="21" t="n">
        <v>0</v>
      </c>
      <c r="Z4965" s="19" t="n"/>
    </row>
    <row r="4966">
      <c r="D4966" s="21" t="n">
        <v>0</v>
      </c>
      <c r="E4966" s="21" t="n">
        <v>0</v>
      </c>
      <c r="F4966" s="21" t="n">
        <v>0</v>
      </c>
      <c r="G4966" s="21" t="n">
        <v>0</v>
      </c>
      <c r="H4966" s="21">
        <f>$B$3625</f>
        <v/>
      </c>
      <c r="I4966" s="21">
        <f>$B$3627</f>
        <v/>
      </c>
      <c r="J4966" s="21">
        <f>0</f>
        <v/>
      </c>
      <c r="K4966" s="21">
        <f>2*$B$3626</f>
        <v/>
      </c>
      <c r="L4966" s="21">
        <f>-$B$3625</f>
        <v/>
      </c>
      <c r="M4966" s="21">
        <f>$B$3627</f>
        <v/>
      </c>
      <c r="N4966" s="21" t="n">
        <v>0</v>
      </c>
      <c r="O4966" s="21" t="n">
        <v>0</v>
      </c>
      <c r="P4966" s="21" t="n">
        <v>0</v>
      </c>
      <c r="Q4966" s="21" t="n">
        <v>0</v>
      </c>
      <c r="R4966" s="21" t="n">
        <v>0</v>
      </c>
      <c r="S4966" s="21" t="n">
        <v>0</v>
      </c>
      <c r="T4966" s="21" t="n">
        <v>0</v>
      </c>
      <c r="U4966" s="21" t="n">
        <v>0</v>
      </c>
      <c r="V4966" s="21" t="n">
        <v>0</v>
      </c>
      <c r="W4966" s="21" t="n">
        <v>0</v>
      </c>
      <c r="X4966" s="21" t="n">
        <v>0</v>
      </c>
      <c r="Y4966" s="21" t="n">
        <v>0</v>
      </c>
      <c r="Z4966" s="19" t="n"/>
    </row>
    <row r="4967">
      <c r="D4967" s="21" t="n">
        <v>0</v>
      </c>
      <c r="E4967" s="21" t="n">
        <v>0</v>
      </c>
      <c r="F4967" s="21" t="n">
        <v>0</v>
      </c>
      <c r="G4967" s="21" t="n">
        <v>0</v>
      </c>
      <c r="H4967" s="21" t="n">
        <v>0</v>
      </c>
      <c r="I4967" s="21" t="n">
        <v>0</v>
      </c>
      <c r="J4967" s="21">
        <f>-$B$3624</f>
        <v/>
      </c>
      <c r="K4967" s="21">
        <f>-$B$3625</f>
        <v/>
      </c>
      <c r="L4967" s="21">
        <f>2*$B$3624+$D$4951</f>
        <v/>
      </c>
      <c r="M4967" s="21">
        <f>0</f>
        <v/>
      </c>
      <c r="N4967" s="21">
        <f>-$B$3624</f>
        <v/>
      </c>
      <c r="O4967" s="21">
        <f>$B$3625</f>
        <v/>
      </c>
      <c r="P4967" s="21" t="n">
        <v>0</v>
      </c>
      <c r="Q4967" s="21" t="n">
        <v>0</v>
      </c>
      <c r="R4967" s="21" t="n">
        <v>0</v>
      </c>
      <c r="S4967" s="21" t="n">
        <v>0</v>
      </c>
      <c r="T4967" s="21" t="n">
        <v>0</v>
      </c>
      <c r="U4967" s="21" t="n">
        <v>0</v>
      </c>
      <c r="V4967" s="21" t="n">
        <v>0</v>
      </c>
      <c r="W4967" s="21" t="n">
        <v>0</v>
      </c>
      <c r="X4967" s="21" t="n">
        <v>0</v>
      </c>
      <c r="Y4967" s="21" t="n">
        <v>0</v>
      </c>
      <c r="Z4967" s="19" t="n"/>
    </row>
    <row r="4968">
      <c r="D4968" s="21" t="n">
        <v>0</v>
      </c>
      <c r="E4968" s="21" t="n">
        <v>0</v>
      </c>
      <c r="F4968" s="21" t="n">
        <v>0</v>
      </c>
      <c r="G4968" s="21" t="n">
        <v>0</v>
      </c>
      <c r="H4968" s="21" t="n">
        <v>0</v>
      </c>
      <c r="I4968" s="21" t="n">
        <v>0</v>
      </c>
      <c r="J4968" s="21">
        <f>$B$3625</f>
        <v/>
      </c>
      <c r="K4968" s="21">
        <f>$B$3627</f>
        <v/>
      </c>
      <c r="L4968" s="21">
        <f>0</f>
        <v/>
      </c>
      <c r="M4968" s="21">
        <f>2*$B$3626</f>
        <v/>
      </c>
      <c r="N4968" s="21">
        <f>-$B$3625</f>
        <v/>
      </c>
      <c r="O4968" s="21">
        <f>$B$3627</f>
        <v/>
      </c>
      <c r="P4968" s="21" t="n">
        <v>0</v>
      </c>
      <c r="Q4968" s="21" t="n">
        <v>0</v>
      </c>
      <c r="R4968" s="21" t="n">
        <v>0</v>
      </c>
      <c r="S4968" s="21" t="n">
        <v>0</v>
      </c>
      <c r="T4968" s="21" t="n">
        <v>0</v>
      </c>
      <c r="U4968" s="21" t="n">
        <v>0</v>
      </c>
      <c r="V4968" s="21" t="n">
        <v>0</v>
      </c>
      <c r="W4968" s="21" t="n">
        <v>0</v>
      </c>
      <c r="X4968" s="21" t="n">
        <v>0</v>
      </c>
      <c r="Y4968" s="21" t="n">
        <v>0</v>
      </c>
      <c r="Z4968" s="19" t="n"/>
    </row>
    <row r="4969">
      <c r="D4969" s="21" t="n">
        <v>0</v>
      </c>
      <c r="E4969" s="21" t="n">
        <v>0</v>
      </c>
      <c r="F4969" s="21" t="n">
        <v>0</v>
      </c>
      <c r="G4969" s="21" t="n">
        <v>0</v>
      </c>
      <c r="H4969" s="21" t="n">
        <v>0</v>
      </c>
      <c r="I4969" s="21" t="n">
        <v>0</v>
      </c>
      <c r="J4969" s="21" t="n">
        <v>0</v>
      </c>
      <c r="K4969" s="21" t="n">
        <v>0</v>
      </c>
      <c r="L4969" s="21">
        <f>-$B$3624</f>
        <v/>
      </c>
      <c r="M4969" s="21">
        <f>-$B$3625</f>
        <v/>
      </c>
      <c r="N4969" s="21">
        <f>2*$B$3624+$D$4952</f>
        <v/>
      </c>
      <c r="O4969" s="21">
        <f>0</f>
        <v/>
      </c>
      <c r="P4969" s="21">
        <f>-$B$3624</f>
        <v/>
      </c>
      <c r="Q4969" s="21">
        <f>$B$3625</f>
        <v/>
      </c>
      <c r="R4969" s="21" t="n">
        <v>0</v>
      </c>
      <c r="S4969" s="21" t="n">
        <v>0</v>
      </c>
      <c r="T4969" s="21" t="n">
        <v>0</v>
      </c>
      <c r="U4969" s="21" t="n">
        <v>0</v>
      </c>
      <c r="V4969" s="21" t="n">
        <v>0</v>
      </c>
      <c r="W4969" s="21" t="n">
        <v>0</v>
      </c>
      <c r="X4969" s="21" t="n">
        <v>0</v>
      </c>
      <c r="Y4969" s="21" t="n">
        <v>0</v>
      </c>
      <c r="Z4969" s="19" t="n"/>
    </row>
    <row r="4970">
      <c r="D4970" s="21" t="n">
        <v>0</v>
      </c>
      <c r="E4970" s="21" t="n">
        <v>0</v>
      </c>
      <c r="F4970" s="21" t="n">
        <v>0</v>
      </c>
      <c r="G4970" s="21" t="n">
        <v>0</v>
      </c>
      <c r="H4970" s="21" t="n">
        <v>0</v>
      </c>
      <c r="I4970" s="21" t="n">
        <v>0</v>
      </c>
      <c r="J4970" s="21" t="n">
        <v>0</v>
      </c>
      <c r="K4970" s="21" t="n">
        <v>0</v>
      </c>
      <c r="L4970" s="21">
        <f>$B$3625</f>
        <v/>
      </c>
      <c r="M4970" s="21">
        <f>$B$3627</f>
        <v/>
      </c>
      <c r="N4970" s="21">
        <f>0</f>
        <v/>
      </c>
      <c r="O4970" s="21">
        <f>2*$B$3626</f>
        <v/>
      </c>
      <c r="P4970" s="21">
        <f>-$B$3625</f>
        <v/>
      </c>
      <c r="Q4970" s="21">
        <f>$B$3627</f>
        <v/>
      </c>
      <c r="R4970" s="21" t="n">
        <v>0</v>
      </c>
      <c r="S4970" s="21" t="n">
        <v>0</v>
      </c>
      <c r="T4970" s="21" t="n">
        <v>0</v>
      </c>
      <c r="U4970" s="21" t="n">
        <v>0</v>
      </c>
      <c r="V4970" s="21" t="n">
        <v>0</v>
      </c>
      <c r="W4970" s="21" t="n">
        <v>0</v>
      </c>
      <c r="X4970" s="21" t="n">
        <v>0</v>
      </c>
      <c r="Y4970" s="21" t="n">
        <v>0</v>
      </c>
      <c r="Z4970" s="19" t="n"/>
    </row>
    <row r="4971">
      <c r="D4971" s="21" t="n">
        <v>0</v>
      </c>
      <c r="E4971" s="21" t="n">
        <v>0</v>
      </c>
      <c r="F4971" s="21" t="n">
        <v>0</v>
      </c>
      <c r="G4971" s="21" t="n">
        <v>0</v>
      </c>
      <c r="H4971" s="21" t="n">
        <v>0</v>
      </c>
      <c r="I4971" s="21" t="n">
        <v>0</v>
      </c>
      <c r="J4971" s="21" t="n">
        <v>0</v>
      </c>
      <c r="K4971" s="21" t="n">
        <v>0</v>
      </c>
      <c r="L4971" s="21" t="n">
        <v>0</v>
      </c>
      <c r="M4971" s="21" t="n">
        <v>0</v>
      </c>
      <c r="N4971" s="21">
        <f>-$B$3624</f>
        <v/>
      </c>
      <c r="O4971" s="21">
        <f>-$B$3625</f>
        <v/>
      </c>
      <c r="P4971" s="21">
        <f>2*$B$3624+$D$4953</f>
        <v/>
      </c>
      <c r="Q4971" s="21">
        <f>0</f>
        <v/>
      </c>
      <c r="R4971" s="21">
        <f>-$B$3624</f>
        <v/>
      </c>
      <c r="S4971" s="21">
        <f>$B$3625</f>
        <v/>
      </c>
      <c r="T4971" s="21" t="n">
        <v>0</v>
      </c>
      <c r="U4971" s="21" t="n">
        <v>0</v>
      </c>
      <c r="V4971" s="21" t="n">
        <v>0</v>
      </c>
      <c r="W4971" s="21" t="n">
        <v>0</v>
      </c>
      <c r="X4971" s="21" t="n">
        <v>0</v>
      </c>
      <c r="Y4971" s="21" t="n">
        <v>0</v>
      </c>
      <c r="Z4971" s="19" t="n"/>
    </row>
    <row r="4972">
      <c r="D4972" s="21" t="n">
        <v>0</v>
      </c>
      <c r="E4972" s="21" t="n">
        <v>0</v>
      </c>
      <c r="F4972" s="21" t="n">
        <v>0</v>
      </c>
      <c r="G4972" s="21" t="n">
        <v>0</v>
      </c>
      <c r="H4972" s="21" t="n">
        <v>0</v>
      </c>
      <c r="I4972" s="21" t="n">
        <v>0</v>
      </c>
      <c r="J4972" s="21" t="n">
        <v>0</v>
      </c>
      <c r="K4972" s="21" t="n">
        <v>0</v>
      </c>
      <c r="L4972" s="21" t="n">
        <v>0</v>
      </c>
      <c r="M4972" s="21" t="n">
        <v>0</v>
      </c>
      <c r="N4972" s="21">
        <f>$B$3625</f>
        <v/>
      </c>
      <c r="O4972" s="21">
        <f>$B$3627</f>
        <v/>
      </c>
      <c r="P4972" s="21">
        <f>0</f>
        <v/>
      </c>
      <c r="Q4972" s="21">
        <f>2*$B$3626</f>
        <v/>
      </c>
      <c r="R4972" s="21">
        <f>-$B$3625</f>
        <v/>
      </c>
      <c r="S4972" s="21">
        <f>$B$3627</f>
        <v/>
      </c>
      <c r="T4972" s="21" t="n">
        <v>0</v>
      </c>
      <c r="U4972" s="21" t="n">
        <v>0</v>
      </c>
      <c r="V4972" s="21" t="n">
        <v>0</v>
      </c>
      <c r="W4972" s="21" t="n">
        <v>0</v>
      </c>
      <c r="X4972" s="21" t="n">
        <v>0</v>
      </c>
      <c r="Y4972" s="21" t="n">
        <v>0</v>
      </c>
      <c r="Z4972" s="19" t="n"/>
    </row>
    <row r="4973">
      <c r="D4973" s="21" t="n">
        <v>0</v>
      </c>
      <c r="E4973" s="21" t="n">
        <v>0</v>
      </c>
      <c r="F4973" s="21" t="n">
        <v>0</v>
      </c>
      <c r="G4973" s="21" t="n">
        <v>0</v>
      </c>
      <c r="H4973" s="21" t="n">
        <v>0</v>
      </c>
      <c r="I4973" s="21" t="n">
        <v>0</v>
      </c>
      <c r="J4973" s="21" t="n">
        <v>0</v>
      </c>
      <c r="K4973" s="21" t="n">
        <v>0</v>
      </c>
      <c r="L4973" s="21" t="n">
        <v>0</v>
      </c>
      <c r="M4973" s="21" t="n">
        <v>0</v>
      </c>
      <c r="N4973" s="21" t="n">
        <v>0</v>
      </c>
      <c r="O4973" s="21" t="n">
        <v>0</v>
      </c>
      <c r="P4973" s="21">
        <f>-$B$3624</f>
        <v/>
      </c>
      <c r="Q4973" s="21">
        <f>-$B$3625</f>
        <v/>
      </c>
      <c r="R4973" s="21">
        <f>2*$B$3624+$D$4954</f>
        <v/>
      </c>
      <c r="S4973" s="21">
        <f>0</f>
        <v/>
      </c>
      <c r="T4973" s="21">
        <f>-$B$3624</f>
        <v/>
      </c>
      <c r="U4973" s="21">
        <f>$B$3625</f>
        <v/>
      </c>
      <c r="V4973" s="21" t="n">
        <v>0</v>
      </c>
      <c r="W4973" s="21" t="n">
        <v>0</v>
      </c>
      <c r="X4973" s="21" t="n">
        <v>0</v>
      </c>
      <c r="Y4973" s="21" t="n">
        <v>0</v>
      </c>
      <c r="Z4973" s="19" t="n"/>
    </row>
    <row r="4974">
      <c r="D4974" s="21" t="n">
        <v>0</v>
      </c>
      <c r="E4974" s="21" t="n">
        <v>0</v>
      </c>
      <c r="F4974" s="21" t="n">
        <v>0</v>
      </c>
      <c r="G4974" s="21" t="n">
        <v>0</v>
      </c>
      <c r="H4974" s="21" t="n">
        <v>0</v>
      </c>
      <c r="I4974" s="21" t="n">
        <v>0</v>
      </c>
      <c r="J4974" s="21" t="n">
        <v>0</v>
      </c>
      <c r="K4974" s="21" t="n">
        <v>0</v>
      </c>
      <c r="L4974" s="21" t="n">
        <v>0</v>
      </c>
      <c r="M4974" s="21" t="n">
        <v>0</v>
      </c>
      <c r="N4974" s="21" t="n">
        <v>0</v>
      </c>
      <c r="O4974" s="21" t="n">
        <v>0</v>
      </c>
      <c r="P4974" s="21">
        <f>$B$3625</f>
        <v/>
      </c>
      <c r="Q4974" s="21">
        <f>$B$3627</f>
        <v/>
      </c>
      <c r="R4974" s="21">
        <f>0</f>
        <v/>
      </c>
      <c r="S4974" s="21">
        <f>2*$B$3626</f>
        <v/>
      </c>
      <c r="T4974" s="21">
        <f>-$B$3625</f>
        <v/>
      </c>
      <c r="U4974" s="21">
        <f>$B$3627</f>
        <v/>
      </c>
      <c r="V4974" s="21" t="n">
        <v>0</v>
      </c>
      <c r="W4974" s="21" t="n">
        <v>0</v>
      </c>
      <c r="X4974" s="21" t="n">
        <v>0</v>
      </c>
      <c r="Y4974" s="21" t="n">
        <v>0</v>
      </c>
      <c r="Z4974" s="19" t="n"/>
    </row>
    <row r="4975">
      <c r="D4975" s="21" t="n">
        <v>0</v>
      </c>
      <c r="E4975" s="21" t="n">
        <v>0</v>
      </c>
      <c r="F4975" s="21" t="n">
        <v>0</v>
      </c>
      <c r="G4975" s="21" t="n">
        <v>0</v>
      </c>
      <c r="H4975" s="21" t="n">
        <v>0</v>
      </c>
      <c r="I4975" s="21" t="n">
        <v>0</v>
      </c>
      <c r="J4975" s="21" t="n">
        <v>0</v>
      </c>
      <c r="K4975" s="21" t="n">
        <v>0</v>
      </c>
      <c r="L4975" s="21" t="n">
        <v>0</v>
      </c>
      <c r="M4975" s="21" t="n">
        <v>0</v>
      </c>
      <c r="N4975" s="21" t="n">
        <v>0</v>
      </c>
      <c r="O4975" s="21" t="n">
        <v>0</v>
      </c>
      <c r="P4975" s="21" t="n">
        <v>0</v>
      </c>
      <c r="Q4975" s="21" t="n">
        <v>0</v>
      </c>
      <c r="R4975" s="21">
        <f>-$B$3624</f>
        <v/>
      </c>
      <c r="S4975" s="21">
        <f>-$B$3625</f>
        <v/>
      </c>
      <c r="T4975" s="21">
        <f>2*$B$3624+$D$4955</f>
        <v/>
      </c>
      <c r="U4975" s="21">
        <f>0</f>
        <v/>
      </c>
      <c r="V4975" s="21">
        <f>-$B$3624</f>
        <v/>
      </c>
      <c r="W4975" s="21">
        <f>$B$3625</f>
        <v/>
      </c>
      <c r="X4975" s="21" t="n">
        <v>0</v>
      </c>
      <c r="Y4975" s="21" t="n">
        <v>0</v>
      </c>
      <c r="Z4975" s="19" t="n"/>
    </row>
    <row r="4976">
      <c r="D4976" s="21" t="n">
        <v>0</v>
      </c>
      <c r="E4976" s="21" t="n">
        <v>0</v>
      </c>
      <c r="F4976" s="21" t="n">
        <v>0</v>
      </c>
      <c r="G4976" s="21" t="n">
        <v>0</v>
      </c>
      <c r="H4976" s="21" t="n">
        <v>0</v>
      </c>
      <c r="I4976" s="21" t="n">
        <v>0</v>
      </c>
      <c r="J4976" s="21" t="n">
        <v>0</v>
      </c>
      <c r="K4976" s="21" t="n">
        <v>0</v>
      </c>
      <c r="L4976" s="21" t="n">
        <v>0</v>
      </c>
      <c r="M4976" s="21" t="n">
        <v>0</v>
      </c>
      <c r="N4976" s="21" t="n">
        <v>0</v>
      </c>
      <c r="O4976" s="21" t="n">
        <v>0</v>
      </c>
      <c r="P4976" s="21" t="n">
        <v>0</v>
      </c>
      <c r="Q4976" s="21" t="n">
        <v>0</v>
      </c>
      <c r="R4976" s="21">
        <f>$B$3625</f>
        <v/>
      </c>
      <c r="S4976" s="21">
        <f>$B$3627</f>
        <v/>
      </c>
      <c r="T4976" s="21">
        <f>0</f>
        <v/>
      </c>
      <c r="U4976" s="21">
        <f>2*$B$3626</f>
        <v/>
      </c>
      <c r="V4976" s="21">
        <f>-$B$3625</f>
        <v/>
      </c>
      <c r="W4976" s="21">
        <f>$B$3627</f>
        <v/>
      </c>
      <c r="X4976" s="21" t="n">
        <v>0</v>
      </c>
      <c r="Y4976" s="21" t="n">
        <v>0</v>
      </c>
      <c r="Z4976" s="19" t="n"/>
    </row>
    <row r="4977">
      <c r="D4977" s="21" t="n">
        <v>0</v>
      </c>
      <c r="E4977" s="21" t="n">
        <v>0</v>
      </c>
      <c r="F4977" s="21" t="n">
        <v>0</v>
      </c>
      <c r="G4977" s="21" t="n">
        <v>0</v>
      </c>
      <c r="H4977" s="21" t="n">
        <v>0</v>
      </c>
      <c r="I4977" s="21" t="n">
        <v>0</v>
      </c>
      <c r="J4977" s="21" t="n">
        <v>0</v>
      </c>
      <c r="K4977" s="21" t="n">
        <v>0</v>
      </c>
      <c r="L4977" s="21" t="n">
        <v>0</v>
      </c>
      <c r="M4977" s="21" t="n">
        <v>0</v>
      </c>
      <c r="N4977" s="21" t="n">
        <v>0</v>
      </c>
      <c r="O4977" s="21" t="n">
        <v>0</v>
      </c>
      <c r="P4977" s="21" t="n">
        <v>0</v>
      </c>
      <c r="Q4977" s="21" t="n">
        <v>0</v>
      </c>
      <c r="R4977" s="21" t="n">
        <v>0</v>
      </c>
      <c r="S4977" s="21" t="n">
        <v>0</v>
      </c>
      <c r="T4977" s="21">
        <f>-$B$3624</f>
        <v/>
      </c>
      <c r="U4977" s="21">
        <f>-$B$3625</f>
        <v/>
      </c>
      <c r="V4977" s="21">
        <f>2*$B$3624+$D$4956</f>
        <v/>
      </c>
      <c r="W4977" s="21">
        <f>0</f>
        <v/>
      </c>
      <c r="X4977" s="21">
        <f>-$B$3624</f>
        <v/>
      </c>
      <c r="Y4977" s="21">
        <f>$B$3625</f>
        <v/>
      </c>
      <c r="Z4977" s="19" t="n"/>
    </row>
    <row r="4978">
      <c r="D4978" s="21" t="n">
        <v>0</v>
      </c>
      <c r="E4978" s="21" t="n">
        <v>0</v>
      </c>
      <c r="F4978" s="21" t="n">
        <v>0</v>
      </c>
      <c r="G4978" s="21" t="n">
        <v>0</v>
      </c>
      <c r="H4978" s="21" t="n">
        <v>0</v>
      </c>
      <c r="I4978" s="21" t="n">
        <v>0</v>
      </c>
      <c r="J4978" s="21" t="n">
        <v>0</v>
      </c>
      <c r="K4978" s="21" t="n">
        <v>0</v>
      </c>
      <c r="L4978" s="21" t="n">
        <v>0</v>
      </c>
      <c r="M4978" s="21" t="n">
        <v>0</v>
      </c>
      <c r="N4978" s="21" t="n">
        <v>0</v>
      </c>
      <c r="O4978" s="21" t="n">
        <v>0</v>
      </c>
      <c r="P4978" s="21" t="n">
        <v>0</v>
      </c>
      <c r="Q4978" s="21" t="n">
        <v>0</v>
      </c>
      <c r="R4978" s="21" t="n">
        <v>0</v>
      </c>
      <c r="S4978" s="21" t="n">
        <v>0</v>
      </c>
      <c r="T4978" s="21">
        <f>$B$3625</f>
        <v/>
      </c>
      <c r="U4978" s="21">
        <f>$B$3627</f>
        <v/>
      </c>
      <c r="V4978" s="21">
        <f>0</f>
        <v/>
      </c>
      <c r="W4978" s="21">
        <f>2*$B$3626</f>
        <v/>
      </c>
      <c r="X4978" s="21">
        <f>-$B$3625</f>
        <v/>
      </c>
      <c r="Y4978" s="21">
        <f>$B$3627</f>
        <v/>
      </c>
      <c r="Z4978" s="19" t="n"/>
    </row>
    <row r="4979">
      <c r="D4979" s="21" t="n">
        <v>0</v>
      </c>
      <c r="E4979" s="21" t="n">
        <v>0</v>
      </c>
      <c r="F4979" s="21" t="n">
        <v>0</v>
      </c>
      <c r="G4979" s="21" t="n">
        <v>0</v>
      </c>
      <c r="H4979" s="21" t="n">
        <v>0</v>
      </c>
      <c r="I4979" s="21" t="n">
        <v>0</v>
      </c>
      <c r="J4979" s="21" t="n">
        <v>0</v>
      </c>
      <c r="K4979" s="21" t="n">
        <v>0</v>
      </c>
      <c r="L4979" s="21" t="n">
        <v>0</v>
      </c>
      <c r="M4979" s="21" t="n">
        <v>0</v>
      </c>
      <c r="N4979" s="21" t="n">
        <v>0</v>
      </c>
      <c r="O4979" s="21" t="n">
        <v>0</v>
      </c>
      <c r="P4979" s="21" t="n">
        <v>0</v>
      </c>
      <c r="Q4979" s="21" t="n">
        <v>0</v>
      </c>
      <c r="R4979" s="21" t="n">
        <v>0</v>
      </c>
      <c r="S4979" s="21" t="n">
        <v>0</v>
      </c>
      <c r="T4979" s="21" t="n">
        <v>0</v>
      </c>
      <c r="U4979" s="21" t="n">
        <v>0</v>
      </c>
      <c r="V4979" s="21">
        <f>-$B$3624</f>
        <v/>
      </c>
      <c r="W4979" s="21">
        <f>-$B$3625</f>
        <v/>
      </c>
      <c r="X4979" s="21">
        <f>$B$3624+$D$4957</f>
        <v/>
      </c>
      <c r="Y4979" s="21">
        <f>-$B$3625</f>
        <v/>
      </c>
      <c r="Z4979" s="19" t="n"/>
    </row>
    <row r="4980">
      <c r="D4980" s="21" t="n">
        <v>0</v>
      </c>
      <c r="E4980" s="21" t="n">
        <v>0</v>
      </c>
      <c r="F4980" s="21" t="n">
        <v>0</v>
      </c>
      <c r="G4980" s="21" t="n">
        <v>0</v>
      </c>
      <c r="H4980" s="21" t="n">
        <v>0</v>
      </c>
      <c r="I4980" s="21" t="n">
        <v>0</v>
      </c>
      <c r="J4980" s="21" t="n">
        <v>0</v>
      </c>
      <c r="K4980" s="21" t="n">
        <v>0</v>
      </c>
      <c r="L4980" s="21" t="n">
        <v>0</v>
      </c>
      <c r="M4980" s="21" t="n">
        <v>0</v>
      </c>
      <c r="N4980" s="21" t="n">
        <v>0</v>
      </c>
      <c r="O4980" s="21" t="n">
        <v>0</v>
      </c>
      <c r="P4980" s="21" t="n">
        <v>0</v>
      </c>
      <c r="Q4980" s="21" t="n">
        <v>0</v>
      </c>
      <c r="R4980" s="21" t="n">
        <v>0</v>
      </c>
      <c r="S4980" s="21" t="n">
        <v>0</v>
      </c>
      <c r="T4980" s="21" t="n">
        <v>0</v>
      </c>
      <c r="U4980" s="21" t="n">
        <v>0</v>
      </c>
      <c r="V4980" s="21">
        <f>$B$3625</f>
        <v/>
      </c>
      <c r="W4980" s="21">
        <f>$B$3627</f>
        <v/>
      </c>
      <c r="X4980" s="21">
        <f>-$B$3625</f>
        <v/>
      </c>
      <c r="Y4980" s="21">
        <f>$B$3626</f>
        <v/>
      </c>
      <c r="Z4980" s="19" t="n"/>
    </row>
    <row r="4982">
      <c r="A4982" s="8" t="inlineStr">
        <is>
          <t>gen 37</t>
        </is>
      </c>
    </row>
    <row r="4983">
      <c r="D4983" s="19">
        <f>IF(ABS(IF(ABS($E$4947)&gt;0.000000001,$E$4947,0.000000001))=0,0,IF($E$3639&lt;=$B$3633,0,IF(ABS(IF(ABS($E$4947)&gt;0.000000001,$E$4947,0.000000001))&gt;=8*$B$3635,$H$3639,0.5*$H$3639*(ABS(IF(ABS($E$4947)&gt;0.000000001,$E$4947,0.000000001))/$B$3635)^(1/3)))/ABS(IF(ABS($E$4947)&gt;0.000000001,$E$4947,0.000000001))*$I$3639)</f>
        <v/>
      </c>
      <c r="E4983" s="19">
        <f>0.5*$E$4947+0.5*$Z$4995</f>
        <v/>
      </c>
      <c r="F4983" s="19">
        <f>$Z$4996</f>
        <v/>
      </c>
    </row>
    <row r="4984">
      <c r="D4984" s="19">
        <f>IF(ABS(IF(ABS($E$4948)&gt;0.000000001,$E$4948,0.000000001))=0,0,IF($E$3640&lt;=$B$3633,0,IF(ABS(IF(ABS($E$4948)&gt;0.000000001,$E$4948,0.000000001))&gt;=8*$B$3635,$H$3640,0.5*$H$3640*(ABS(IF(ABS($E$4948)&gt;0.000000001,$E$4948,0.000000001))/$B$3635)^(1/3)))/ABS(IF(ABS($E$4948)&gt;0.000000001,$E$4948,0.000000001))*$I$3640)</f>
        <v/>
      </c>
      <c r="E4984" s="19">
        <f>0.5*$E$4948+0.5*$Z$4997</f>
        <v/>
      </c>
      <c r="F4984" s="19">
        <f>$Z$4998</f>
        <v/>
      </c>
    </row>
    <row r="4985">
      <c r="D4985" s="19">
        <f>IF(ABS(IF(ABS($E$4949)&gt;0.000000001,$E$4949,0.000000001))=0,0,IF($E$3641&lt;=$B$3633,0,IF(ABS(IF(ABS($E$4949)&gt;0.000000001,$E$4949,0.000000001))&gt;=8*$B$3635,$H$3641,0.5*$H$3641*(ABS(IF(ABS($E$4949)&gt;0.000000001,$E$4949,0.000000001))/$B$3635)^(1/3)))/ABS(IF(ABS($E$4949)&gt;0.000000001,$E$4949,0.000000001))*$I$3641)</f>
        <v/>
      </c>
      <c r="E4985" s="19">
        <f>0.5*$E$4949+0.5*$Z$4999</f>
        <v/>
      </c>
      <c r="F4985" s="19">
        <f>$Z$5000</f>
        <v/>
      </c>
    </row>
    <row r="4986">
      <c r="D4986" s="19">
        <f>IF(ABS(IF(ABS($E$4950)&gt;0.000000001,$E$4950,0.000000001))=0,0,IF($E$3642&lt;=$B$3633,0,IF(ABS(IF(ABS($E$4950)&gt;0.000000001,$E$4950,0.000000001))&gt;=8*$B$3635,$H$3642,0.5*$H$3642*(ABS(IF(ABS($E$4950)&gt;0.000000001,$E$4950,0.000000001))/$B$3635)^(1/3)))/ABS(IF(ABS($E$4950)&gt;0.000000001,$E$4950,0.000000001))*$I$3642)</f>
        <v/>
      </c>
      <c r="E4986" s="19">
        <f>0.5*$E$4950+0.5*$Z$5001</f>
        <v/>
      </c>
      <c r="F4986" s="19">
        <f>$Z$5002</f>
        <v/>
      </c>
    </row>
    <row r="4987">
      <c r="D4987" s="19">
        <f>IF(ABS(IF(ABS($E$4951)&gt;0.000000001,$E$4951,0.000000001))=0,0,IF($E$3643&lt;=$B$3633,0,IF(ABS(IF(ABS($E$4951)&gt;0.000000001,$E$4951,0.000000001))&gt;=8*$B$3635,$H$3643,0.5*$H$3643*(ABS(IF(ABS($E$4951)&gt;0.000000001,$E$4951,0.000000001))/$B$3635)^(1/3)))/ABS(IF(ABS($E$4951)&gt;0.000000001,$E$4951,0.000000001))*$I$3643)</f>
        <v/>
      </c>
      <c r="E4987" s="19">
        <f>0.5*$E$4951+0.5*$Z$5003</f>
        <v/>
      </c>
      <c r="F4987" s="19">
        <f>$Z$5004</f>
        <v/>
      </c>
    </row>
    <row r="4988">
      <c r="D4988" s="19">
        <f>IF(ABS(IF(ABS($E$4952)&gt;0.000000001,$E$4952,0.000000001))=0,0,IF($E$3644&lt;=$B$3633,0,IF(ABS(IF(ABS($E$4952)&gt;0.000000001,$E$4952,0.000000001))&gt;=8*$B$3635,$H$3644,0.5*$H$3644*(ABS(IF(ABS($E$4952)&gt;0.000000001,$E$4952,0.000000001))/$B$3635)^(1/3)))/ABS(IF(ABS($E$4952)&gt;0.000000001,$E$4952,0.000000001))*$I$3644)</f>
        <v/>
      </c>
      <c r="E4988" s="19">
        <f>0.5*$E$4952+0.5*$Z$5005</f>
        <v/>
      </c>
      <c r="F4988" s="19">
        <f>$Z$5006</f>
        <v/>
      </c>
    </row>
    <row r="4989">
      <c r="D4989" s="19">
        <f>IF(ABS(IF(ABS($E$4953)&gt;0.000000001,$E$4953,0.000000001))=0,0,IF($E$3645&lt;=$B$3633,0,IF(ABS(IF(ABS($E$4953)&gt;0.000000001,$E$4953,0.000000001))&gt;=8*$B$3635,$H$3645,0.5*$H$3645*(ABS(IF(ABS($E$4953)&gt;0.000000001,$E$4953,0.000000001))/$B$3635)^(1/3)))/ABS(IF(ABS($E$4953)&gt;0.000000001,$E$4953,0.000000001))*$I$3645)</f>
        <v/>
      </c>
      <c r="E4989" s="19">
        <f>0.5*$E$4953+0.5*$Z$5007</f>
        <v/>
      </c>
      <c r="F4989" s="19">
        <f>$Z$5008</f>
        <v/>
      </c>
    </row>
    <row r="4990">
      <c r="D4990" s="19">
        <f>IF(ABS(IF(ABS($E$4954)&gt;0.000000001,$E$4954,0.000000001))=0,0,IF($E$3646&lt;=$B$3633,0,IF(ABS(IF(ABS($E$4954)&gt;0.000000001,$E$4954,0.000000001))&gt;=8*$B$3635,$H$3646,0.5*$H$3646*(ABS(IF(ABS($E$4954)&gt;0.000000001,$E$4954,0.000000001))/$B$3635)^(1/3)))/ABS(IF(ABS($E$4954)&gt;0.000000001,$E$4954,0.000000001))*$I$3646)</f>
        <v/>
      </c>
      <c r="E4990" s="19">
        <f>0.5*$E$4954+0.5*$Z$5009</f>
        <v/>
      </c>
      <c r="F4990" s="19">
        <f>$Z$5010</f>
        <v/>
      </c>
    </row>
    <row r="4991">
      <c r="D4991" s="19">
        <f>IF(ABS(IF(ABS($E$4955)&gt;0.000000001,$E$4955,0.000000001))=0,0,IF($E$3647&lt;=$B$3633,0,IF(ABS(IF(ABS($E$4955)&gt;0.000000001,$E$4955,0.000000001))&gt;=8*$B$3635,$H$3647,0.5*$H$3647*(ABS(IF(ABS($E$4955)&gt;0.000000001,$E$4955,0.000000001))/$B$3635)^(1/3)))/ABS(IF(ABS($E$4955)&gt;0.000000001,$E$4955,0.000000001))*$I$3647)</f>
        <v/>
      </c>
      <c r="E4991" s="19">
        <f>0.5*$E$4955+0.5*$Z$5011</f>
        <v/>
      </c>
      <c r="F4991" s="19">
        <f>$Z$5012</f>
        <v/>
      </c>
    </row>
    <row r="4992">
      <c r="D4992" s="19">
        <f>IF(ABS(IF(ABS($E$4956)&gt;0.000000001,$E$4956,0.000000001))=0,0,IF($E$3648&lt;=$B$3633,0,IF(ABS(IF(ABS($E$4956)&gt;0.000000001,$E$4956,0.000000001))&gt;=8*$B$3635,$H$3648,0.5*$H$3648*(ABS(IF(ABS($E$4956)&gt;0.000000001,$E$4956,0.000000001))/$B$3635)^(1/3)))/ABS(IF(ABS($E$4956)&gt;0.000000001,$E$4956,0.000000001))*$I$3648)</f>
        <v/>
      </c>
      <c r="E4992" s="19">
        <f>0.5*$E$4956+0.5*$Z$5013</f>
        <v/>
      </c>
      <c r="F4992" s="19">
        <f>$Z$5014</f>
        <v/>
      </c>
    </row>
    <row r="4993">
      <c r="D4993" s="19">
        <f>IF(ABS(IF(ABS($E$4957)&gt;0.000000001,$E$4957,0.000000001))=0,0,IF($E$3649&lt;=$B$3633,0,IF(ABS(IF(ABS($E$4957)&gt;0.000000001,$E$4957,0.000000001))&gt;=8*$B$3635,$H$3649,0.5*$H$3649*(ABS(IF(ABS($E$4957)&gt;0.000000001,$E$4957,0.000000001))/$B$3635)^(1/3)))/ABS(IF(ABS($E$4957)&gt;0.000000001,$E$4957,0.000000001))*$I$3649)</f>
        <v/>
      </c>
      <c r="E4993" s="19">
        <f>0.5*$E$4957+0.5*$Z$5015</f>
        <v/>
      </c>
      <c r="F4993" s="19">
        <f>$Z$5016</f>
        <v/>
      </c>
    </row>
    <row r="4995">
      <c r="D4995" s="21">
        <f>$B$3624+$D$4983</f>
        <v/>
      </c>
      <c r="E4995" s="21">
        <f>$B$3625</f>
        <v/>
      </c>
      <c r="F4995" s="21">
        <f>-$B$3624</f>
        <v/>
      </c>
      <c r="G4995" s="21">
        <f>$B$3625</f>
        <v/>
      </c>
      <c r="H4995" s="21" t="n">
        <v>0</v>
      </c>
      <c r="I4995" s="21" t="n">
        <v>0</v>
      </c>
      <c r="J4995" s="21" t="n">
        <v>0</v>
      </c>
      <c r="K4995" s="21" t="n">
        <v>0</v>
      </c>
      <c r="L4995" s="21" t="n">
        <v>0</v>
      </c>
      <c r="M4995" s="21" t="n">
        <v>0</v>
      </c>
      <c r="N4995" s="21" t="n">
        <v>0</v>
      </c>
      <c r="O4995" s="21" t="n">
        <v>0</v>
      </c>
      <c r="P4995" s="21" t="n">
        <v>0</v>
      </c>
      <c r="Q4995" s="21" t="n">
        <v>0</v>
      </c>
      <c r="R4995" s="21" t="n">
        <v>0</v>
      </c>
      <c r="S4995" s="21" t="n">
        <v>0</v>
      </c>
      <c r="T4995" s="21" t="n">
        <v>0</v>
      </c>
      <c r="U4995" s="21" t="n">
        <v>0</v>
      </c>
      <c r="V4995" s="21" t="n">
        <v>0</v>
      </c>
      <c r="W4995" s="21" t="n">
        <v>0</v>
      </c>
      <c r="X4995" s="21" t="n">
        <v>0</v>
      </c>
      <c r="Y4995" s="21" t="n">
        <v>0</v>
      </c>
      <c r="Z4995" s="19">
        <f t="array" ref="Z4995:Z5016">MMULT(MINVERSE($D$4995:$Y$5016),$D$3651:$D$3672)</f>
        <v/>
      </c>
    </row>
    <row r="4996">
      <c r="D4996" s="21">
        <f>$B$3625</f>
        <v/>
      </c>
      <c r="E4996" s="21">
        <f>$B$3626</f>
        <v/>
      </c>
      <c r="F4996" s="21">
        <f>-$B$3625</f>
        <v/>
      </c>
      <c r="G4996" s="21">
        <f>$B$3627</f>
        <v/>
      </c>
      <c r="H4996" s="21" t="n">
        <v>0</v>
      </c>
      <c r="I4996" s="21" t="n">
        <v>0</v>
      </c>
      <c r="J4996" s="21" t="n">
        <v>0</v>
      </c>
      <c r="K4996" s="21" t="n">
        <v>0</v>
      </c>
      <c r="L4996" s="21" t="n">
        <v>0</v>
      </c>
      <c r="M4996" s="21" t="n">
        <v>0</v>
      </c>
      <c r="N4996" s="21" t="n">
        <v>0</v>
      </c>
      <c r="O4996" s="21" t="n">
        <v>0</v>
      </c>
      <c r="P4996" s="21" t="n">
        <v>0</v>
      </c>
      <c r="Q4996" s="21" t="n">
        <v>0</v>
      </c>
      <c r="R4996" s="21" t="n">
        <v>0</v>
      </c>
      <c r="S4996" s="21" t="n">
        <v>0</v>
      </c>
      <c r="T4996" s="21" t="n">
        <v>0</v>
      </c>
      <c r="U4996" s="21" t="n">
        <v>0</v>
      </c>
      <c r="V4996" s="21" t="n">
        <v>0</v>
      </c>
      <c r="W4996" s="21" t="n">
        <v>0</v>
      </c>
      <c r="X4996" s="21" t="n">
        <v>0</v>
      </c>
      <c r="Y4996" s="21" t="n">
        <v>0</v>
      </c>
      <c r="Z4996" s="19" t="n"/>
    </row>
    <row r="4997">
      <c r="D4997" s="21">
        <f>-$B$3624</f>
        <v/>
      </c>
      <c r="E4997" s="21">
        <f>-$B$3625</f>
        <v/>
      </c>
      <c r="F4997" s="21">
        <f>2*$B$3624+$D$4984</f>
        <v/>
      </c>
      <c r="G4997" s="21">
        <f>0</f>
        <v/>
      </c>
      <c r="H4997" s="21">
        <f>-$B$3624</f>
        <v/>
      </c>
      <c r="I4997" s="21">
        <f>$B$3625</f>
        <v/>
      </c>
      <c r="J4997" s="21" t="n">
        <v>0</v>
      </c>
      <c r="K4997" s="21" t="n">
        <v>0</v>
      </c>
      <c r="L4997" s="21" t="n">
        <v>0</v>
      </c>
      <c r="M4997" s="21" t="n">
        <v>0</v>
      </c>
      <c r="N4997" s="21" t="n">
        <v>0</v>
      </c>
      <c r="O4997" s="21" t="n">
        <v>0</v>
      </c>
      <c r="P4997" s="21" t="n">
        <v>0</v>
      </c>
      <c r="Q4997" s="21" t="n">
        <v>0</v>
      </c>
      <c r="R4997" s="21" t="n">
        <v>0</v>
      </c>
      <c r="S4997" s="21" t="n">
        <v>0</v>
      </c>
      <c r="T4997" s="21" t="n">
        <v>0</v>
      </c>
      <c r="U4997" s="21" t="n">
        <v>0</v>
      </c>
      <c r="V4997" s="21" t="n">
        <v>0</v>
      </c>
      <c r="W4997" s="21" t="n">
        <v>0</v>
      </c>
      <c r="X4997" s="21" t="n">
        <v>0</v>
      </c>
      <c r="Y4997" s="21" t="n">
        <v>0</v>
      </c>
      <c r="Z4997" s="19" t="n"/>
    </row>
    <row r="4998">
      <c r="D4998" s="21">
        <f>$B$3625</f>
        <v/>
      </c>
      <c r="E4998" s="21">
        <f>$B$3627</f>
        <v/>
      </c>
      <c r="F4998" s="21">
        <f>0</f>
        <v/>
      </c>
      <c r="G4998" s="21">
        <f>2*$B$3626</f>
        <v/>
      </c>
      <c r="H4998" s="21">
        <f>-$B$3625</f>
        <v/>
      </c>
      <c r="I4998" s="21">
        <f>$B$3627</f>
        <v/>
      </c>
      <c r="J4998" s="21" t="n">
        <v>0</v>
      </c>
      <c r="K4998" s="21" t="n">
        <v>0</v>
      </c>
      <c r="L4998" s="21" t="n">
        <v>0</v>
      </c>
      <c r="M4998" s="21" t="n">
        <v>0</v>
      </c>
      <c r="N4998" s="21" t="n">
        <v>0</v>
      </c>
      <c r="O4998" s="21" t="n">
        <v>0</v>
      </c>
      <c r="P4998" s="21" t="n">
        <v>0</v>
      </c>
      <c r="Q4998" s="21" t="n">
        <v>0</v>
      </c>
      <c r="R4998" s="21" t="n">
        <v>0</v>
      </c>
      <c r="S4998" s="21" t="n">
        <v>0</v>
      </c>
      <c r="T4998" s="21" t="n">
        <v>0</v>
      </c>
      <c r="U4998" s="21" t="n">
        <v>0</v>
      </c>
      <c r="V4998" s="21" t="n">
        <v>0</v>
      </c>
      <c r="W4998" s="21" t="n">
        <v>0</v>
      </c>
      <c r="X4998" s="21" t="n">
        <v>0</v>
      </c>
      <c r="Y4998" s="21" t="n">
        <v>0</v>
      </c>
      <c r="Z4998" s="19" t="n"/>
    </row>
    <row r="4999">
      <c r="D4999" s="21" t="n">
        <v>0</v>
      </c>
      <c r="E4999" s="21" t="n">
        <v>0</v>
      </c>
      <c r="F4999" s="21">
        <f>-$B$3624</f>
        <v/>
      </c>
      <c r="G4999" s="21">
        <f>-$B$3625</f>
        <v/>
      </c>
      <c r="H4999" s="21">
        <f>2*$B$3624+$D$4985</f>
        <v/>
      </c>
      <c r="I4999" s="21">
        <f>0</f>
        <v/>
      </c>
      <c r="J4999" s="21">
        <f>-$B$3624</f>
        <v/>
      </c>
      <c r="K4999" s="21">
        <f>$B$3625</f>
        <v/>
      </c>
      <c r="L4999" s="21" t="n">
        <v>0</v>
      </c>
      <c r="M4999" s="21" t="n">
        <v>0</v>
      </c>
      <c r="N4999" s="21" t="n">
        <v>0</v>
      </c>
      <c r="O4999" s="21" t="n">
        <v>0</v>
      </c>
      <c r="P4999" s="21" t="n">
        <v>0</v>
      </c>
      <c r="Q4999" s="21" t="n">
        <v>0</v>
      </c>
      <c r="R4999" s="21" t="n">
        <v>0</v>
      </c>
      <c r="S4999" s="21" t="n">
        <v>0</v>
      </c>
      <c r="T4999" s="21" t="n">
        <v>0</v>
      </c>
      <c r="U4999" s="21" t="n">
        <v>0</v>
      </c>
      <c r="V4999" s="21" t="n">
        <v>0</v>
      </c>
      <c r="W4999" s="21" t="n">
        <v>0</v>
      </c>
      <c r="X4999" s="21" t="n">
        <v>0</v>
      </c>
      <c r="Y4999" s="21" t="n">
        <v>0</v>
      </c>
      <c r="Z4999" s="19" t="n"/>
    </row>
    <row r="5000">
      <c r="D5000" s="21" t="n">
        <v>0</v>
      </c>
      <c r="E5000" s="21" t="n">
        <v>0</v>
      </c>
      <c r="F5000" s="21">
        <f>$B$3625</f>
        <v/>
      </c>
      <c r="G5000" s="21">
        <f>$B$3627</f>
        <v/>
      </c>
      <c r="H5000" s="21">
        <f>0</f>
        <v/>
      </c>
      <c r="I5000" s="21">
        <f>2*$B$3626</f>
        <v/>
      </c>
      <c r="J5000" s="21">
        <f>-$B$3625</f>
        <v/>
      </c>
      <c r="K5000" s="21">
        <f>$B$3627</f>
        <v/>
      </c>
      <c r="L5000" s="21" t="n">
        <v>0</v>
      </c>
      <c r="M5000" s="21" t="n">
        <v>0</v>
      </c>
      <c r="N5000" s="21" t="n">
        <v>0</v>
      </c>
      <c r="O5000" s="21" t="n">
        <v>0</v>
      </c>
      <c r="P5000" s="21" t="n">
        <v>0</v>
      </c>
      <c r="Q5000" s="21" t="n">
        <v>0</v>
      </c>
      <c r="R5000" s="21" t="n">
        <v>0</v>
      </c>
      <c r="S5000" s="21" t="n">
        <v>0</v>
      </c>
      <c r="T5000" s="21" t="n">
        <v>0</v>
      </c>
      <c r="U5000" s="21" t="n">
        <v>0</v>
      </c>
      <c r="V5000" s="21" t="n">
        <v>0</v>
      </c>
      <c r="W5000" s="21" t="n">
        <v>0</v>
      </c>
      <c r="X5000" s="21" t="n">
        <v>0</v>
      </c>
      <c r="Y5000" s="21" t="n">
        <v>0</v>
      </c>
      <c r="Z5000" s="19" t="n"/>
    </row>
    <row r="5001">
      <c r="D5001" s="21" t="n">
        <v>0</v>
      </c>
      <c r="E5001" s="21" t="n">
        <v>0</v>
      </c>
      <c r="F5001" s="21" t="n">
        <v>0</v>
      </c>
      <c r="G5001" s="21" t="n">
        <v>0</v>
      </c>
      <c r="H5001" s="21">
        <f>-$B$3624</f>
        <v/>
      </c>
      <c r="I5001" s="21">
        <f>-$B$3625</f>
        <v/>
      </c>
      <c r="J5001" s="21">
        <f>2*$B$3624+$D$4986</f>
        <v/>
      </c>
      <c r="K5001" s="21">
        <f>0</f>
        <v/>
      </c>
      <c r="L5001" s="21">
        <f>-$B$3624</f>
        <v/>
      </c>
      <c r="M5001" s="21">
        <f>$B$3625</f>
        <v/>
      </c>
      <c r="N5001" s="21" t="n">
        <v>0</v>
      </c>
      <c r="O5001" s="21" t="n">
        <v>0</v>
      </c>
      <c r="P5001" s="21" t="n">
        <v>0</v>
      </c>
      <c r="Q5001" s="21" t="n">
        <v>0</v>
      </c>
      <c r="R5001" s="21" t="n">
        <v>0</v>
      </c>
      <c r="S5001" s="21" t="n">
        <v>0</v>
      </c>
      <c r="T5001" s="21" t="n">
        <v>0</v>
      </c>
      <c r="U5001" s="21" t="n">
        <v>0</v>
      </c>
      <c r="V5001" s="21" t="n">
        <v>0</v>
      </c>
      <c r="W5001" s="21" t="n">
        <v>0</v>
      </c>
      <c r="X5001" s="21" t="n">
        <v>0</v>
      </c>
      <c r="Y5001" s="21" t="n">
        <v>0</v>
      </c>
      <c r="Z5001" s="19" t="n"/>
    </row>
    <row r="5002">
      <c r="D5002" s="21" t="n">
        <v>0</v>
      </c>
      <c r="E5002" s="21" t="n">
        <v>0</v>
      </c>
      <c r="F5002" s="21" t="n">
        <v>0</v>
      </c>
      <c r="G5002" s="21" t="n">
        <v>0</v>
      </c>
      <c r="H5002" s="21">
        <f>$B$3625</f>
        <v/>
      </c>
      <c r="I5002" s="21">
        <f>$B$3627</f>
        <v/>
      </c>
      <c r="J5002" s="21">
        <f>0</f>
        <v/>
      </c>
      <c r="K5002" s="21">
        <f>2*$B$3626</f>
        <v/>
      </c>
      <c r="L5002" s="21">
        <f>-$B$3625</f>
        <v/>
      </c>
      <c r="M5002" s="21">
        <f>$B$3627</f>
        <v/>
      </c>
      <c r="N5002" s="21" t="n">
        <v>0</v>
      </c>
      <c r="O5002" s="21" t="n">
        <v>0</v>
      </c>
      <c r="P5002" s="21" t="n">
        <v>0</v>
      </c>
      <c r="Q5002" s="21" t="n">
        <v>0</v>
      </c>
      <c r="R5002" s="21" t="n">
        <v>0</v>
      </c>
      <c r="S5002" s="21" t="n">
        <v>0</v>
      </c>
      <c r="T5002" s="21" t="n">
        <v>0</v>
      </c>
      <c r="U5002" s="21" t="n">
        <v>0</v>
      </c>
      <c r="V5002" s="21" t="n">
        <v>0</v>
      </c>
      <c r="W5002" s="21" t="n">
        <v>0</v>
      </c>
      <c r="X5002" s="21" t="n">
        <v>0</v>
      </c>
      <c r="Y5002" s="21" t="n">
        <v>0</v>
      </c>
      <c r="Z5002" s="19" t="n"/>
    </row>
    <row r="5003">
      <c r="D5003" s="21" t="n">
        <v>0</v>
      </c>
      <c r="E5003" s="21" t="n">
        <v>0</v>
      </c>
      <c r="F5003" s="21" t="n">
        <v>0</v>
      </c>
      <c r="G5003" s="21" t="n">
        <v>0</v>
      </c>
      <c r="H5003" s="21" t="n">
        <v>0</v>
      </c>
      <c r="I5003" s="21" t="n">
        <v>0</v>
      </c>
      <c r="J5003" s="21">
        <f>-$B$3624</f>
        <v/>
      </c>
      <c r="K5003" s="21">
        <f>-$B$3625</f>
        <v/>
      </c>
      <c r="L5003" s="21">
        <f>2*$B$3624+$D$4987</f>
        <v/>
      </c>
      <c r="M5003" s="21">
        <f>0</f>
        <v/>
      </c>
      <c r="N5003" s="21">
        <f>-$B$3624</f>
        <v/>
      </c>
      <c r="O5003" s="21">
        <f>$B$3625</f>
        <v/>
      </c>
      <c r="P5003" s="21" t="n">
        <v>0</v>
      </c>
      <c r="Q5003" s="21" t="n">
        <v>0</v>
      </c>
      <c r="R5003" s="21" t="n">
        <v>0</v>
      </c>
      <c r="S5003" s="21" t="n">
        <v>0</v>
      </c>
      <c r="T5003" s="21" t="n">
        <v>0</v>
      </c>
      <c r="U5003" s="21" t="n">
        <v>0</v>
      </c>
      <c r="V5003" s="21" t="n">
        <v>0</v>
      </c>
      <c r="W5003" s="21" t="n">
        <v>0</v>
      </c>
      <c r="X5003" s="21" t="n">
        <v>0</v>
      </c>
      <c r="Y5003" s="21" t="n">
        <v>0</v>
      </c>
      <c r="Z5003" s="19" t="n"/>
    </row>
    <row r="5004">
      <c r="D5004" s="21" t="n">
        <v>0</v>
      </c>
      <c r="E5004" s="21" t="n">
        <v>0</v>
      </c>
      <c r="F5004" s="21" t="n">
        <v>0</v>
      </c>
      <c r="G5004" s="21" t="n">
        <v>0</v>
      </c>
      <c r="H5004" s="21" t="n">
        <v>0</v>
      </c>
      <c r="I5004" s="21" t="n">
        <v>0</v>
      </c>
      <c r="J5004" s="21">
        <f>$B$3625</f>
        <v/>
      </c>
      <c r="K5004" s="21">
        <f>$B$3627</f>
        <v/>
      </c>
      <c r="L5004" s="21">
        <f>0</f>
        <v/>
      </c>
      <c r="M5004" s="21">
        <f>2*$B$3626</f>
        <v/>
      </c>
      <c r="N5004" s="21">
        <f>-$B$3625</f>
        <v/>
      </c>
      <c r="O5004" s="21">
        <f>$B$3627</f>
        <v/>
      </c>
      <c r="P5004" s="21" t="n">
        <v>0</v>
      </c>
      <c r="Q5004" s="21" t="n">
        <v>0</v>
      </c>
      <c r="R5004" s="21" t="n">
        <v>0</v>
      </c>
      <c r="S5004" s="21" t="n">
        <v>0</v>
      </c>
      <c r="T5004" s="21" t="n">
        <v>0</v>
      </c>
      <c r="U5004" s="21" t="n">
        <v>0</v>
      </c>
      <c r="V5004" s="21" t="n">
        <v>0</v>
      </c>
      <c r="W5004" s="21" t="n">
        <v>0</v>
      </c>
      <c r="X5004" s="21" t="n">
        <v>0</v>
      </c>
      <c r="Y5004" s="21" t="n">
        <v>0</v>
      </c>
      <c r="Z5004" s="19" t="n"/>
    </row>
    <row r="5005">
      <c r="D5005" s="21" t="n">
        <v>0</v>
      </c>
      <c r="E5005" s="21" t="n">
        <v>0</v>
      </c>
      <c r="F5005" s="21" t="n">
        <v>0</v>
      </c>
      <c r="G5005" s="21" t="n">
        <v>0</v>
      </c>
      <c r="H5005" s="21" t="n">
        <v>0</v>
      </c>
      <c r="I5005" s="21" t="n">
        <v>0</v>
      </c>
      <c r="J5005" s="21" t="n">
        <v>0</v>
      </c>
      <c r="K5005" s="21" t="n">
        <v>0</v>
      </c>
      <c r="L5005" s="21">
        <f>-$B$3624</f>
        <v/>
      </c>
      <c r="M5005" s="21">
        <f>-$B$3625</f>
        <v/>
      </c>
      <c r="N5005" s="21">
        <f>2*$B$3624+$D$4988</f>
        <v/>
      </c>
      <c r="O5005" s="21">
        <f>0</f>
        <v/>
      </c>
      <c r="P5005" s="21">
        <f>-$B$3624</f>
        <v/>
      </c>
      <c r="Q5005" s="21">
        <f>$B$3625</f>
        <v/>
      </c>
      <c r="R5005" s="21" t="n">
        <v>0</v>
      </c>
      <c r="S5005" s="21" t="n">
        <v>0</v>
      </c>
      <c r="T5005" s="21" t="n">
        <v>0</v>
      </c>
      <c r="U5005" s="21" t="n">
        <v>0</v>
      </c>
      <c r="V5005" s="21" t="n">
        <v>0</v>
      </c>
      <c r="W5005" s="21" t="n">
        <v>0</v>
      </c>
      <c r="X5005" s="21" t="n">
        <v>0</v>
      </c>
      <c r="Y5005" s="21" t="n">
        <v>0</v>
      </c>
      <c r="Z5005" s="19" t="n"/>
    </row>
    <row r="5006">
      <c r="D5006" s="21" t="n">
        <v>0</v>
      </c>
      <c r="E5006" s="21" t="n">
        <v>0</v>
      </c>
      <c r="F5006" s="21" t="n">
        <v>0</v>
      </c>
      <c r="G5006" s="21" t="n">
        <v>0</v>
      </c>
      <c r="H5006" s="21" t="n">
        <v>0</v>
      </c>
      <c r="I5006" s="21" t="n">
        <v>0</v>
      </c>
      <c r="J5006" s="21" t="n">
        <v>0</v>
      </c>
      <c r="K5006" s="21" t="n">
        <v>0</v>
      </c>
      <c r="L5006" s="21">
        <f>$B$3625</f>
        <v/>
      </c>
      <c r="M5006" s="21">
        <f>$B$3627</f>
        <v/>
      </c>
      <c r="N5006" s="21">
        <f>0</f>
        <v/>
      </c>
      <c r="O5006" s="21">
        <f>2*$B$3626</f>
        <v/>
      </c>
      <c r="P5006" s="21">
        <f>-$B$3625</f>
        <v/>
      </c>
      <c r="Q5006" s="21">
        <f>$B$3627</f>
        <v/>
      </c>
      <c r="R5006" s="21" t="n">
        <v>0</v>
      </c>
      <c r="S5006" s="21" t="n">
        <v>0</v>
      </c>
      <c r="T5006" s="21" t="n">
        <v>0</v>
      </c>
      <c r="U5006" s="21" t="n">
        <v>0</v>
      </c>
      <c r="V5006" s="21" t="n">
        <v>0</v>
      </c>
      <c r="W5006" s="21" t="n">
        <v>0</v>
      </c>
      <c r="X5006" s="21" t="n">
        <v>0</v>
      </c>
      <c r="Y5006" s="21" t="n">
        <v>0</v>
      </c>
      <c r="Z5006" s="19" t="n"/>
    </row>
    <row r="5007">
      <c r="D5007" s="21" t="n">
        <v>0</v>
      </c>
      <c r="E5007" s="21" t="n">
        <v>0</v>
      </c>
      <c r="F5007" s="21" t="n">
        <v>0</v>
      </c>
      <c r="G5007" s="21" t="n">
        <v>0</v>
      </c>
      <c r="H5007" s="21" t="n">
        <v>0</v>
      </c>
      <c r="I5007" s="21" t="n">
        <v>0</v>
      </c>
      <c r="J5007" s="21" t="n">
        <v>0</v>
      </c>
      <c r="K5007" s="21" t="n">
        <v>0</v>
      </c>
      <c r="L5007" s="21" t="n">
        <v>0</v>
      </c>
      <c r="M5007" s="21" t="n">
        <v>0</v>
      </c>
      <c r="N5007" s="21">
        <f>-$B$3624</f>
        <v/>
      </c>
      <c r="O5007" s="21">
        <f>-$B$3625</f>
        <v/>
      </c>
      <c r="P5007" s="21">
        <f>2*$B$3624+$D$4989</f>
        <v/>
      </c>
      <c r="Q5007" s="21">
        <f>0</f>
        <v/>
      </c>
      <c r="R5007" s="21">
        <f>-$B$3624</f>
        <v/>
      </c>
      <c r="S5007" s="21">
        <f>$B$3625</f>
        <v/>
      </c>
      <c r="T5007" s="21" t="n">
        <v>0</v>
      </c>
      <c r="U5007" s="21" t="n">
        <v>0</v>
      </c>
      <c r="V5007" s="21" t="n">
        <v>0</v>
      </c>
      <c r="W5007" s="21" t="n">
        <v>0</v>
      </c>
      <c r="X5007" s="21" t="n">
        <v>0</v>
      </c>
      <c r="Y5007" s="21" t="n">
        <v>0</v>
      </c>
      <c r="Z5007" s="19" t="n"/>
    </row>
    <row r="5008">
      <c r="D5008" s="21" t="n">
        <v>0</v>
      </c>
      <c r="E5008" s="21" t="n">
        <v>0</v>
      </c>
      <c r="F5008" s="21" t="n">
        <v>0</v>
      </c>
      <c r="G5008" s="21" t="n">
        <v>0</v>
      </c>
      <c r="H5008" s="21" t="n">
        <v>0</v>
      </c>
      <c r="I5008" s="21" t="n">
        <v>0</v>
      </c>
      <c r="J5008" s="21" t="n">
        <v>0</v>
      </c>
      <c r="K5008" s="21" t="n">
        <v>0</v>
      </c>
      <c r="L5008" s="21" t="n">
        <v>0</v>
      </c>
      <c r="M5008" s="21" t="n">
        <v>0</v>
      </c>
      <c r="N5008" s="21">
        <f>$B$3625</f>
        <v/>
      </c>
      <c r="O5008" s="21">
        <f>$B$3627</f>
        <v/>
      </c>
      <c r="P5008" s="21">
        <f>0</f>
        <v/>
      </c>
      <c r="Q5008" s="21">
        <f>2*$B$3626</f>
        <v/>
      </c>
      <c r="R5008" s="21">
        <f>-$B$3625</f>
        <v/>
      </c>
      <c r="S5008" s="21">
        <f>$B$3627</f>
        <v/>
      </c>
      <c r="T5008" s="21" t="n">
        <v>0</v>
      </c>
      <c r="U5008" s="21" t="n">
        <v>0</v>
      </c>
      <c r="V5008" s="21" t="n">
        <v>0</v>
      </c>
      <c r="W5008" s="21" t="n">
        <v>0</v>
      </c>
      <c r="X5008" s="21" t="n">
        <v>0</v>
      </c>
      <c r="Y5008" s="21" t="n">
        <v>0</v>
      </c>
      <c r="Z5008" s="19" t="n"/>
    </row>
    <row r="5009">
      <c r="D5009" s="21" t="n">
        <v>0</v>
      </c>
      <c r="E5009" s="21" t="n">
        <v>0</v>
      </c>
      <c r="F5009" s="21" t="n">
        <v>0</v>
      </c>
      <c r="G5009" s="21" t="n">
        <v>0</v>
      </c>
      <c r="H5009" s="21" t="n">
        <v>0</v>
      </c>
      <c r="I5009" s="21" t="n">
        <v>0</v>
      </c>
      <c r="J5009" s="21" t="n">
        <v>0</v>
      </c>
      <c r="K5009" s="21" t="n">
        <v>0</v>
      </c>
      <c r="L5009" s="21" t="n">
        <v>0</v>
      </c>
      <c r="M5009" s="21" t="n">
        <v>0</v>
      </c>
      <c r="N5009" s="21" t="n">
        <v>0</v>
      </c>
      <c r="O5009" s="21" t="n">
        <v>0</v>
      </c>
      <c r="P5009" s="21">
        <f>-$B$3624</f>
        <v/>
      </c>
      <c r="Q5009" s="21">
        <f>-$B$3625</f>
        <v/>
      </c>
      <c r="R5009" s="21">
        <f>2*$B$3624+$D$4990</f>
        <v/>
      </c>
      <c r="S5009" s="21">
        <f>0</f>
        <v/>
      </c>
      <c r="T5009" s="21">
        <f>-$B$3624</f>
        <v/>
      </c>
      <c r="U5009" s="21">
        <f>$B$3625</f>
        <v/>
      </c>
      <c r="V5009" s="21" t="n">
        <v>0</v>
      </c>
      <c r="W5009" s="21" t="n">
        <v>0</v>
      </c>
      <c r="X5009" s="21" t="n">
        <v>0</v>
      </c>
      <c r="Y5009" s="21" t="n">
        <v>0</v>
      </c>
      <c r="Z5009" s="19" t="n"/>
    </row>
    <row r="5010">
      <c r="D5010" s="21" t="n">
        <v>0</v>
      </c>
      <c r="E5010" s="21" t="n">
        <v>0</v>
      </c>
      <c r="F5010" s="21" t="n">
        <v>0</v>
      </c>
      <c r="G5010" s="21" t="n">
        <v>0</v>
      </c>
      <c r="H5010" s="21" t="n">
        <v>0</v>
      </c>
      <c r="I5010" s="21" t="n">
        <v>0</v>
      </c>
      <c r="J5010" s="21" t="n">
        <v>0</v>
      </c>
      <c r="K5010" s="21" t="n">
        <v>0</v>
      </c>
      <c r="L5010" s="21" t="n">
        <v>0</v>
      </c>
      <c r="M5010" s="21" t="n">
        <v>0</v>
      </c>
      <c r="N5010" s="21" t="n">
        <v>0</v>
      </c>
      <c r="O5010" s="21" t="n">
        <v>0</v>
      </c>
      <c r="P5010" s="21">
        <f>$B$3625</f>
        <v/>
      </c>
      <c r="Q5010" s="21">
        <f>$B$3627</f>
        <v/>
      </c>
      <c r="R5010" s="21">
        <f>0</f>
        <v/>
      </c>
      <c r="S5010" s="21">
        <f>2*$B$3626</f>
        <v/>
      </c>
      <c r="T5010" s="21">
        <f>-$B$3625</f>
        <v/>
      </c>
      <c r="U5010" s="21">
        <f>$B$3627</f>
        <v/>
      </c>
      <c r="V5010" s="21" t="n">
        <v>0</v>
      </c>
      <c r="W5010" s="21" t="n">
        <v>0</v>
      </c>
      <c r="X5010" s="21" t="n">
        <v>0</v>
      </c>
      <c r="Y5010" s="21" t="n">
        <v>0</v>
      </c>
      <c r="Z5010" s="19" t="n"/>
    </row>
    <row r="5011">
      <c r="D5011" s="21" t="n">
        <v>0</v>
      </c>
      <c r="E5011" s="21" t="n">
        <v>0</v>
      </c>
      <c r="F5011" s="21" t="n">
        <v>0</v>
      </c>
      <c r="G5011" s="21" t="n">
        <v>0</v>
      </c>
      <c r="H5011" s="21" t="n">
        <v>0</v>
      </c>
      <c r="I5011" s="21" t="n">
        <v>0</v>
      </c>
      <c r="J5011" s="21" t="n">
        <v>0</v>
      </c>
      <c r="K5011" s="21" t="n">
        <v>0</v>
      </c>
      <c r="L5011" s="21" t="n">
        <v>0</v>
      </c>
      <c r="M5011" s="21" t="n">
        <v>0</v>
      </c>
      <c r="N5011" s="21" t="n">
        <v>0</v>
      </c>
      <c r="O5011" s="21" t="n">
        <v>0</v>
      </c>
      <c r="P5011" s="21" t="n">
        <v>0</v>
      </c>
      <c r="Q5011" s="21" t="n">
        <v>0</v>
      </c>
      <c r="R5011" s="21">
        <f>-$B$3624</f>
        <v/>
      </c>
      <c r="S5011" s="21">
        <f>-$B$3625</f>
        <v/>
      </c>
      <c r="T5011" s="21">
        <f>2*$B$3624+$D$4991</f>
        <v/>
      </c>
      <c r="U5011" s="21">
        <f>0</f>
        <v/>
      </c>
      <c r="V5011" s="21">
        <f>-$B$3624</f>
        <v/>
      </c>
      <c r="W5011" s="21">
        <f>$B$3625</f>
        <v/>
      </c>
      <c r="X5011" s="21" t="n">
        <v>0</v>
      </c>
      <c r="Y5011" s="21" t="n">
        <v>0</v>
      </c>
      <c r="Z5011" s="19" t="n"/>
    </row>
    <row r="5012">
      <c r="D5012" s="21" t="n">
        <v>0</v>
      </c>
      <c r="E5012" s="21" t="n">
        <v>0</v>
      </c>
      <c r="F5012" s="21" t="n">
        <v>0</v>
      </c>
      <c r="G5012" s="21" t="n">
        <v>0</v>
      </c>
      <c r="H5012" s="21" t="n">
        <v>0</v>
      </c>
      <c r="I5012" s="21" t="n">
        <v>0</v>
      </c>
      <c r="J5012" s="21" t="n">
        <v>0</v>
      </c>
      <c r="K5012" s="21" t="n">
        <v>0</v>
      </c>
      <c r="L5012" s="21" t="n">
        <v>0</v>
      </c>
      <c r="M5012" s="21" t="n">
        <v>0</v>
      </c>
      <c r="N5012" s="21" t="n">
        <v>0</v>
      </c>
      <c r="O5012" s="21" t="n">
        <v>0</v>
      </c>
      <c r="P5012" s="21" t="n">
        <v>0</v>
      </c>
      <c r="Q5012" s="21" t="n">
        <v>0</v>
      </c>
      <c r="R5012" s="21">
        <f>$B$3625</f>
        <v/>
      </c>
      <c r="S5012" s="21">
        <f>$B$3627</f>
        <v/>
      </c>
      <c r="T5012" s="21">
        <f>0</f>
        <v/>
      </c>
      <c r="U5012" s="21">
        <f>2*$B$3626</f>
        <v/>
      </c>
      <c r="V5012" s="21">
        <f>-$B$3625</f>
        <v/>
      </c>
      <c r="W5012" s="21">
        <f>$B$3627</f>
        <v/>
      </c>
      <c r="X5012" s="21" t="n">
        <v>0</v>
      </c>
      <c r="Y5012" s="21" t="n">
        <v>0</v>
      </c>
      <c r="Z5012" s="19" t="n"/>
    </row>
    <row r="5013">
      <c r="D5013" s="21" t="n">
        <v>0</v>
      </c>
      <c r="E5013" s="21" t="n">
        <v>0</v>
      </c>
      <c r="F5013" s="21" t="n">
        <v>0</v>
      </c>
      <c r="G5013" s="21" t="n">
        <v>0</v>
      </c>
      <c r="H5013" s="21" t="n">
        <v>0</v>
      </c>
      <c r="I5013" s="21" t="n">
        <v>0</v>
      </c>
      <c r="J5013" s="21" t="n">
        <v>0</v>
      </c>
      <c r="K5013" s="21" t="n">
        <v>0</v>
      </c>
      <c r="L5013" s="21" t="n">
        <v>0</v>
      </c>
      <c r="M5013" s="21" t="n">
        <v>0</v>
      </c>
      <c r="N5013" s="21" t="n">
        <v>0</v>
      </c>
      <c r="O5013" s="21" t="n">
        <v>0</v>
      </c>
      <c r="P5013" s="21" t="n">
        <v>0</v>
      </c>
      <c r="Q5013" s="21" t="n">
        <v>0</v>
      </c>
      <c r="R5013" s="21" t="n">
        <v>0</v>
      </c>
      <c r="S5013" s="21" t="n">
        <v>0</v>
      </c>
      <c r="T5013" s="21">
        <f>-$B$3624</f>
        <v/>
      </c>
      <c r="U5013" s="21">
        <f>-$B$3625</f>
        <v/>
      </c>
      <c r="V5013" s="21">
        <f>2*$B$3624+$D$4992</f>
        <v/>
      </c>
      <c r="W5013" s="21">
        <f>0</f>
        <v/>
      </c>
      <c r="X5013" s="21">
        <f>-$B$3624</f>
        <v/>
      </c>
      <c r="Y5013" s="21">
        <f>$B$3625</f>
        <v/>
      </c>
      <c r="Z5013" s="19" t="n"/>
    </row>
    <row r="5014">
      <c r="D5014" s="21" t="n">
        <v>0</v>
      </c>
      <c r="E5014" s="21" t="n">
        <v>0</v>
      </c>
      <c r="F5014" s="21" t="n">
        <v>0</v>
      </c>
      <c r="G5014" s="21" t="n">
        <v>0</v>
      </c>
      <c r="H5014" s="21" t="n">
        <v>0</v>
      </c>
      <c r="I5014" s="21" t="n">
        <v>0</v>
      </c>
      <c r="J5014" s="21" t="n">
        <v>0</v>
      </c>
      <c r="K5014" s="21" t="n">
        <v>0</v>
      </c>
      <c r="L5014" s="21" t="n">
        <v>0</v>
      </c>
      <c r="M5014" s="21" t="n">
        <v>0</v>
      </c>
      <c r="N5014" s="21" t="n">
        <v>0</v>
      </c>
      <c r="O5014" s="21" t="n">
        <v>0</v>
      </c>
      <c r="P5014" s="21" t="n">
        <v>0</v>
      </c>
      <c r="Q5014" s="21" t="n">
        <v>0</v>
      </c>
      <c r="R5014" s="21" t="n">
        <v>0</v>
      </c>
      <c r="S5014" s="21" t="n">
        <v>0</v>
      </c>
      <c r="T5014" s="21">
        <f>$B$3625</f>
        <v/>
      </c>
      <c r="U5014" s="21">
        <f>$B$3627</f>
        <v/>
      </c>
      <c r="V5014" s="21">
        <f>0</f>
        <v/>
      </c>
      <c r="W5014" s="21">
        <f>2*$B$3626</f>
        <v/>
      </c>
      <c r="X5014" s="21">
        <f>-$B$3625</f>
        <v/>
      </c>
      <c r="Y5014" s="21">
        <f>$B$3627</f>
        <v/>
      </c>
      <c r="Z5014" s="19" t="n"/>
    </row>
    <row r="5015">
      <c r="D5015" s="21" t="n">
        <v>0</v>
      </c>
      <c r="E5015" s="21" t="n">
        <v>0</v>
      </c>
      <c r="F5015" s="21" t="n">
        <v>0</v>
      </c>
      <c r="G5015" s="21" t="n">
        <v>0</v>
      </c>
      <c r="H5015" s="21" t="n">
        <v>0</v>
      </c>
      <c r="I5015" s="21" t="n">
        <v>0</v>
      </c>
      <c r="J5015" s="21" t="n">
        <v>0</v>
      </c>
      <c r="K5015" s="21" t="n">
        <v>0</v>
      </c>
      <c r="L5015" s="21" t="n">
        <v>0</v>
      </c>
      <c r="M5015" s="21" t="n">
        <v>0</v>
      </c>
      <c r="N5015" s="21" t="n">
        <v>0</v>
      </c>
      <c r="O5015" s="21" t="n">
        <v>0</v>
      </c>
      <c r="P5015" s="21" t="n">
        <v>0</v>
      </c>
      <c r="Q5015" s="21" t="n">
        <v>0</v>
      </c>
      <c r="R5015" s="21" t="n">
        <v>0</v>
      </c>
      <c r="S5015" s="21" t="n">
        <v>0</v>
      </c>
      <c r="T5015" s="21" t="n">
        <v>0</v>
      </c>
      <c r="U5015" s="21" t="n">
        <v>0</v>
      </c>
      <c r="V5015" s="21">
        <f>-$B$3624</f>
        <v/>
      </c>
      <c r="W5015" s="21">
        <f>-$B$3625</f>
        <v/>
      </c>
      <c r="X5015" s="21">
        <f>$B$3624+$D$4993</f>
        <v/>
      </c>
      <c r="Y5015" s="21">
        <f>-$B$3625</f>
        <v/>
      </c>
      <c r="Z5015" s="19" t="n"/>
    </row>
    <row r="5016">
      <c r="D5016" s="21" t="n">
        <v>0</v>
      </c>
      <c r="E5016" s="21" t="n">
        <v>0</v>
      </c>
      <c r="F5016" s="21" t="n">
        <v>0</v>
      </c>
      <c r="G5016" s="21" t="n">
        <v>0</v>
      </c>
      <c r="H5016" s="21" t="n">
        <v>0</v>
      </c>
      <c r="I5016" s="21" t="n">
        <v>0</v>
      </c>
      <c r="J5016" s="21" t="n">
        <v>0</v>
      </c>
      <c r="K5016" s="21" t="n">
        <v>0</v>
      </c>
      <c r="L5016" s="21" t="n">
        <v>0</v>
      </c>
      <c r="M5016" s="21" t="n">
        <v>0</v>
      </c>
      <c r="N5016" s="21" t="n">
        <v>0</v>
      </c>
      <c r="O5016" s="21" t="n">
        <v>0</v>
      </c>
      <c r="P5016" s="21" t="n">
        <v>0</v>
      </c>
      <c r="Q5016" s="21" t="n">
        <v>0</v>
      </c>
      <c r="R5016" s="21" t="n">
        <v>0</v>
      </c>
      <c r="S5016" s="21" t="n">
        <v>0</v>
      </c>
      <c r="T5016" s="21" t="n">
        <v>0</v>
      </c>
      <c r="U5016" s="21" t="n">
        <v>0</v>
      </c>
      <c r="V5016" s="21">
        <f>$B$3625</f>
        <v/>
      </c>
      <c r="W5016" s="21">
        <f>$B$3627</f>
        <v/>
      </c>
      <c r="X5016" s="21">
        <f>-$B$3625</f>
        <v/>
      </c>
      <c r="Y5016" s="21">
        <f>$B$3626</f>
        <v/>
      </c>
      <c r="Z5016" s="19" t="n"/>
    </row>
    <row r="5018">
      <c r="A5018" s="8" t="inlineStr">
        <is>
          <t>gen 38</t>
        </is>
      </c>
    </row>
    <row r="5019">
      <c r="D5019" s="19">
        <f>IF(ABS(IF(ABS($E$4983)&gt;0.000000001,$E$4983,0.000000001))=0,0,IF($E$3639&lt;=$B$3633,0,IF(ABS(IF(ABS($E$4983)&gt;0.000000001,$E$4983,0.000000001))&gt;=8*$B$3635,$H$3639,0.5*$H$3639*(ABS(IF(ABS($E$4983)&gt;0.000000001,$E$4983,0.000000001))/$B$3635)^(1/3)))/ABS(IF(ABS($E$4983)&gt;0.000000001,$E$4983,0.000000001))*$I$3639)</f>
        <v/>
      </c>
      <c r="E5019" s="19">
        <f>0.5*$E$4983+0.5*$Z$5031</f>
        <v/>
      </c>
      <c r="F5019" s="19">
        <f>$Z$5032</f>
        <v/>
      </c>
    </row>
    <row r="5020">
      <c r="D5020" s="19">
        <f>IF(ABS(IF(ABS($E$4984)&gt;0.000000001,$E$4984,0.000000001))=0,0,IF($E$3640&lt;=$B$3633,0,IF(ABS(IF(ABS($E$4984)&gt;0.000000001,$E$4984,0.000000001))&gt;=8*$B$3635,$H$3640,0.5*$H$3640*(ABS(IF(ABS($E$4984)&gt;0.000000001,$E$4984,0.000000001))/$B$3635)^(1/3)))/ABS(IF(ABS($E$4984)&gt;0.000000001,$E$4984,0.000000001))*$I$3640)</f>
        <v/>
      </c>
      <c r="E5020" s="19">
        <f>0.5*$E$4984+0.5*$Z$5033</f>
        <v/>
      </c>
      <c r="F5020" s="19">
        <f>$Z$5034</f>
        <v/>
      </c>
    </row>
    <row r="5021">
      <c r="D5021" s="19">
        <f>IF(ABS(IF(ABS($E$4985)&gt;0.000000001,$E$4985,0.000000001))=0,0,IF($E$3641&lt;=$B$3633,0,IF(ABS(IF(ABS($E$4985)&gt;0.000000001,$E$4985,0.000000001))&gt;=8*$B$3635,$H$3641,0.5*$H$3641*(ABS(IF(ABS($E$4985)&gt;0.000000001,$E$4985,0.000000001))/$B$3635)^(1/3)))/ABS(IF(ABS($E$4985)&gt;0.000000001,$E$4985,0.000000001))*$I$3641)</f>
        <v/>
      </c>
      <c r="E5021" s="19">
        <f>0.5*$E$4985+0.5*$Z$5035</f>
        <v/>
      </c>
      <c r="F5021" s="19">
        <f>$Z$5036</f>
        <v/>
      </c>
    </row>
    <row r="5022">
      <c r="D5022" s="19">
        <f>IF(ABS(IF(ABS($E$4986)&gt;0.000000001,$E$4986,0.000000001))=0,0,IF($E$3642&lt;=$B$3633,0,IF(ABS(IF(ABS($E$4986)&gt;0.000000001,$E$4986,0.000000001))&gt;=8*$B$3635,$H$3642,0.5*$H$3642*(ABS(IF(ABS($E$4986)&gt;0.000000001,$E$4986,0.000000001))/$B$3635)^(1/3)))/ABS(IF(ABS($E$4986)&gt;0.000000001,$E$4986,0.000000001))*$I$3642)</f>
        <v/>
      </c>
      <c r="E5022" s="19">
        <f>0.5*$E$4986+0.5*$Z$5037</f>
        <v/>
      </c>
      <c r="F5022" s="19">
        <f>$Z$5038</f>
        <v/>
      </c>
    </row>
    <row r="5023">
      <c r="D5023" s="19">
        <f>IF(ABS(IF(ABS($E$4987)&gt;0.000000001,$E$4987,0.000000001))=0,0,IF($E$3643&lt;=$B$3633,0,IF(ABS(IF(ABS($E$4987)&gt;0.000000001,$E$4987,0.000000001))&gt;=8*$B$3635,$H$3643,0.5*$H$3643*(ABS(IF(ABS($E$4987)&gt;0.000000001,$E$4987,0.000000001))/$B$3635)^(1/3)))/ABS(IF(ABS($E$4987)&gt;0.000000001,$E$4987,0.000000001))*$I$3643)</f>
        <v/>
      </c>
      <c r="E5023" s="19">
        <f>0.5*$E$4987+0.5*$Z$5039</f>
        <v/>
      </c>
      <c r="F5023" s="19">
        <f>$Z$5040</f>
        <v/>
      </c>
    </row>
    <row r="5024">
      <c r="D5024" s="19">
        <f>IF(ABS(IF(ABS($E$4988)&gt;0.000000001,$E$4988,0.000000001))=0,0,IF($E$3644&lt;=$B$3633,0,IF(ABS(IF(ABS($E$4988)&gt;0.000000001,$E$4988,0.000000001))&gt;=8*$B$3635,$H$3644,0.5*$H$3644*(ABS(IF(ABS($E$4988)&gt;0.000000001,$E$4988,0.000000001))/$B$3635)^(1/3)))/ABS(IF(ABS($E$4988)&gt;0.000000001,$E$4988,0.000000001))*$I$3644)</f>
        <v/>
      </c>
      <c r="E5024" s="19">
        <f>0.5*$E$4988+0.5*$Z$5041</f>
        <v/>
      </c>
      <c r="F5024" s="19">
        <f>$Z$5042</f>
        <v/>
      </c>
    </row>
    <row r="5025">
      <c r="D5025" s="19">
        <f>IF(ABS(IF(ABS($E$4989)&gt;0.000000001,$E$4989,0.000000001))=0,0,IF($E$3645&lt;=$B$3633,0,IF(ABS(IF(ABS($E$4989)&gt;0.000000001,$E$4989,0.000000001))&gt;=8*$B$3635,$H$3645,0.5*$H$3645*(ABS(IF(ABS($E$4989)&gt;0.000000001,$E$4989,0.000000001))/$B$3635)^(1/3)))/ABS(IF(ABS($E$4989)&gt;0.000000001,$E$4989,0.000000001))*$I$3645)</f>
        <v/>
      </c>
      <c r="E5025" s="19">
        <f>0.5*$E$4989+0.5*$Z$5043</f>
        <v/>
      </c>
      <c r="F5025" s="19">
        <f>$Z$5044</f>
        <v/>
      </c>
    </row>
    <row r="5026">
      <c r="D5026" s="19">
        <f>IF(ABS(IF(ABS($E$4990)&gt;0.000000001,$E$4990,0.000000001))=0,0,IF($E$3646&lt;=$B$3633,0,IF(ABS(IF(ABS($E$4990)&gt;0.000000001,$E$4990,0.000000001))&gt;=8*$B$3635,$H$3646,0.5*$H$3646*(ABS(IF(ABS($E$4990)&gt;0.000000001,$E$4990,0.000000001))/$B$3635)^(1/3)))/ABS(IF(ABS($E$4990)&gt;0.000000001,$E$4990,0.000000001))*$I$3646)</f>
        <v/>
      </c>
      <c r="E5026" s="19">
        <f>0.5*$E$4990+0.5*$Z$5045</f>
        <v/>
      </c>
      <c r="F5026" s="19">
        <f>$Z$5046</f>
        <v/>
      </c>
    </row>
    <row r="5027">
      <c r="D5027" s="19">
        <f>IF(ABS(IF(ABS($E$4991)&gt;0.000000001,$E$4991,0.000000001))=0,0,IF($E$3647&lt;=$B$3633,0,IF(ABS(IF(ABS($E$4991)&gt;0.000000001,$E$4991,0.000000001))&gt;=8*$B$3635,$H$3647,0.5*$H$3647*(ABS(IF(ABS($E$4991)&gt;0.000000001,$E$4991,0.000000001))/$B$3635)^(1/3)))/ABS(IF(ABS($E$4991)&gt;0.000000001,$E$4991,0.000000001))*$I$3647)</f>
        <v/>
      </c>
      <c r="E5027" s="19">
        <f>0.5*$E$4991+0.5*$Z$5047</f>
        <v/>
      </c>
      <c r="F5027" s="19">
        <f>$Z$5048</f>
        <v/>
      </c>
    </row>
    <row r="5028">
      <c r="D5028" s="19">
        <f>IF(ABS(IF(ABS($E$4992)&gt;0.000000001,$E$4992,0.000000001))=0,0,IF($E$3648&lt;=$B$3633,0,IF(ABS(IF(ABS($E$4992)&gt;0.000000001,$E$4992,0.000000001))&gt;=8*$B$3635,$H$3648,0.5*$H$3648*(ABS(IF(ABS($E$4992)&gt;0.000000001,$E$4992,0.000000001))/$B$3635)^(1/3)))/ABS(IF(ABS($E$4992)&gt;0.000000001,$E$4992,0.000000001))*$I$3648)</f>
        <v/>
      </c>
      <c r="E5028" s="19">
        <f>0.5*$E$4992+0.5*$Z$5049</f>
        <v/>
      </c>
      <c r="F5028" s="19">
        <f>$Z$5050</f>
        <v/>
      </c>
    </row>
    <row r="5029">
      <c r="D5029" s="19">
        <f>IF(ABS(IF(ABS($E$4993)&gt;0.000000001,$E$4993,0.000000001))=0,0,IF($E$3649&lt;=$B$3633,0,IF(ABS(IF(ABS($E$4993)&gt;0.000000001,$E$4993,0.000000001))&gt;=8*$B$3635,$H$3649,0.5*$H$3649*(ABS(IF(ABS($E$4993)&gt;0.000000001,$E$4993,0.000000001))/$B$3635)^(1/3)))/ABS(IF(ABS($E$4993)&gt;0.000000001,$E$4993,0.000000001))*$I$3649)</f>
        <v/>
      </c>
      <c r="E5029" s="19">
        <f>0.5*$E$4993+0.5*$Z$5051</f>
        <v/>
      </c>
      <c r="F5029" s="19">
        <f>$Z$5052</f>
        <v/>
      </c>
    </row>
    <row r="5031">
      <c r="D5031" s="21">
        <f>$B$3624+$D$5019</f>
        <v/>
      </c>
      <c r="E5031" s="21">
        <f>$B$3625</f>
        <v/>
      </c>
      <c r="F5031" s="21">
        <f>-$B$3624</f>
        <v/>
      </c>
      <c r="G5031" s="21">
        <f>$B$3625</f>
        <v/>
      </c>
      <c r="H5031" s="21" t="n">
        <v>0</v>
      </c>
      <c r="I5031" s="21" t="n">
        <v>0</v>
      </c>
      <c r="J5031" s="21" t="n">
        <v>0</v>
      </c>
      <c r="K5031" s="21" t="n">
        <v>0</v>
      </c>
      <c r="L5031" s="21" t="n">
        <v>0</v>
      </c>
      <c r="M5031" s="21" t="n">
        <v>0</v>
      </c>
      <c r="N5031" s="21" t="n">
        <v>0</v>
      </c>
      <c r="O5031" s="21" t="n">
        <v>0</v>
      </c>
      <c r="P5031" s="21" t="n">
        <v>0</v>
      </c>
      <c r="Q5031" s="21" t="n">
        <v>0</v>
      </c>
      <c r="R5031" s="21" t="n">
        <v>0</v>
      </c>
      <c r="S5031" s="21" t="n">
        <v>0</v>
      </c>
      <c r="T5031" s="21" t="n">
        <v>0</v>
      </c>
      <c r="U5031" s="21" t="n">
        <v>0</v>
      </c>
      <c r="V5031" s="21" t="n">
        <v>0</v>
      </c>
      <c r="W5031" s="21" t="n">
        <v>0</v>
      </c>
      <c r="X5031" s="21" t="n">
        <v>0</v>
      </c>
      <c r="Y5031" s="21" t="n">
        <v>0</v>
      </c>
      <c r="Z5031" s="19">
        <f t="array" ref="Z5031:Z5052">MMULT(MINVERSE($D$5031:$Y$5052),$D$3651:$D$3672)</f>
        <v/>
      </c>
    </row>
    <row r="5032">
      <c r="D5032" s="21">
        <f>$B$3625</f>
        <v/>
      </c>
      <c r="E5032" s="21">
        <f>$B$3626</f>
        <v/>
      </c>
      <c r="F5032" s="21">
        <f>-$B$3625</f>
        <v/>
      </c>
      <c r="G5032" s="21">
        <f>$B$3627</f>
        <v/>
      </c>
      <c r="H5032" s="21" t="n">
        <v>0</v>
      </c>
      <c r="I5032" s="21" t="n">
        <v>0</v>
      </c>
      <c r="J5032" s="21" t="n">
        <v>0</v>
      </c>
      <c r="K5032" s="21" t="n">
        <v>0</v>
      </c>
      <c r="L5032" s="21" t="n">
        <v>0</v>
      </c>
      <c r="M5032" s="21" t="n">
        <v>0</v>
      </c>
      <c r="N5032" s="21" t="n">
        <v>0</v>
      </c>
      <c r="O5032" s="21" t="n">
        <v>0</v>
      </c>
      <c r="P5032" s="21" t="n">
        <v>0</v>
      </c>
      <c r="Q5032" s="21" t="n">
        <v>0</v>
      </c>
      <c r="R5032" s="21" t="n">
        <v>0</v>
      </c>
      <c r="S5032" s="21" t="n">
        <v>0</v>
      </c>
      <c r="T5032" s="21" t="n">
        <v>0</v>
      </c>
      <c r="U5032" s="21" t="n">
        <v>0</v>
      </c>
      <c r="V5032" s="21" t="n">
        <v>0</v>
      </c>
      <c r="W5032" s="21" t="n">
        <v>0</v>
      </c>
      <c r="X5032" s="21" t="n">
        <v>0</v>
      </c>
      <c r="Y5032" s="21" t="n">
        <v>0</v>
      </c>
      <c r="Z5032" s="19" t="n"/>
    </row>
    <row r="5033">
      <c r="D5033" s="21">
        <f>-$B$3624</f>
        <v/>
      </c>
      <c r="E5033" s="21">
        <f>-$B$3625</f>
        <v/>
      </c>
      <c r="F5033" s="21">
        <f>2*$B$3624+$D$5020</f>
        <v/>
      </c>
      <c r="G5033" s="21">
        <f>0</f>
        <v/>
      </c>
      <c r="H5033" s="21">
        <f>-$B$3624</f>
        <v/>
      </c>
      <c r="I5033" s="21">
        <f>$B$3625</f>
        <v/>
      </c>
      <c r="J5033" s="21" t="n">
        <v>0</v>
      </c>
      <c r="K5033" s="21" t="n">
        <v>0</v>
      </c>
      <c r="L5033" s="21" t="n">
        <v>0</v>
      </c>
      <c r="M5033" s="21" t="n">
        <v>0</v>
      </c>
      <c r="N5033" s="21" t="n">
        <v>0</v>
      </c>
      <c r="O5033" s="21" t="n">
        <v>0</v>
      </c>
      <c r="P5033" s="21" t="n">
        <v>0</v>
      </c>
      <c r="Q5033" s="21" t="n">
        <v>0</v>
      </c>
      <c r="R5033" s="21" t="n">
        <v>0</v>
      </c>
      <c r="S5033" s="21" t="n">
        <v>0</v>
      </c>
      <c r="T5033" s="21" t="n">
        <v>0</v>
      </c>
      <c r="U5033" s="21" t="n">
        <v>0</v>
      </c>
      <c r="V5033" s="21" t="n">
        <v>0</v>
      </c>
      <c r="W5033" s="21" t="n">
        <v>0</v>
      </c>
      <c r="X5033" s="21" t="n">
        <v>0</v>
      </c>
      <c r="Y5033" s="21" t="n">
        <v>0</v>
      </c>
      <c r="Z5033" s="19" t="n"/>
    </row>
    <row r="5034">
      <c r="D5034" s="21">
        <f>$B$3625</f>
        <v/>
      </c>
      <c r="E5034" s="21">
        <f>$B$3627</f>
        <v/>
      </c>
      <c r="F5034" s="21">
        <f>0</f>
        <v/>
      </c>
      <c r="G5034" s="21">
        <f>2*$B$3626</f>
        <v/>
      </c>
      <c r="H5034" s="21">
        <f>-$B$3625</f>
        <v/>
      </c>
      <c r="I5034" s="21">
        <f>$B$3627</f>
        <v/>
      </c>
      <c r="J5034" s="21" t="n">
        <v>0</v>
      </c>
      <c r="K5034" s="21" t="n">
        <v>0</v>
      </c>
      <c r="L5034" s="21" t="n">
        <v>0</v>
      </c>
      <c r="M5034" s="21" t="n">
        <v>0</v>
      </c>
      <c r="N5034" s="21" t="n">
        <v>0</v>
      </c>
      <c r="O5034" s="21" t="n">
        <v>0</v>
      </c>
      <c r="P5034" s="21" t="n">
        <v>0</v>
      </c>
      <c r="Q5034" s="21" t="n">
        <v>0</v>
      </c>
      <c r="R5034" s="21" t="n">
        <v>0</v>
      </c>
      <c r="S5034" s="21" t="n">
        <v>0</v>
      </c>
      <c r="T5034" s="21" t="n">
        <v>0</v>
      </c>
      <c r="U5034" s="21" t="n">
        <v>0</v>
      </c>
      <c r="V5034" s="21" t="n">
        <v>0</v>
      </c>
      <c r="W5034" s="21" t="n">
        <v>0</v>
      </c>
      <c r="X5034" s="21" t="n">
        <v>0</v>
      </c>
      <c r="Y5034" s="21" t="n">
        <v>0</v>
      </c>
      <c r="Z5034" s="19" t="n"/>
    </row>
    <row r="5035">
      <c r="D5035" s="21" t="n">
        <v>0</v>
      </c>
      <c r="E5035" s="21" t="n">
        <v>0</v>
      </c>
      <c r="F5035" s="21">
        <f>-$B$3624</f>
        <v/>
      </c>
      <c r="G5035" s="21">
        <f>-$B$3625</f>
        <v/>
      </c>
      <c r="H5035" s="21">
        <f>2*$B$3624+$D$5021</f>
        <v/>
      </c>
      <c r="I5035" s="21">
        <f>0</f>
        <v/>
      </c>
      <c r="J5035" s="21">
        <f>-$B$3624</f>
        <v/>
      </c>
      <c r="K5035" s="21">
        <f>$B$3625</f>
        <v/>
      </c>
      <c r="L5035" s="21" t="n">
        <v>0</v>
      </c>
      <c r="M5035" s="21" t="n">
        <v>0</v>
      </c>
      <c r="N5035" s="21" t="n">
        <v>0</v>
      </c>
      <c r="O5035" s="21" t="n">
        <v>0</v>
      </c>
      <c r="P5035" s="21" t="n">
        <v>0</v>
      </c>
      <c r="Q5035" s="21" t="n">
        <v>0</v>
      </c>
      <c r="R5035" s="21" t="n">
        <v>0</v>
      </c>
      <c r="S5035" s="21" t="n">
        <v>0</v>
      </c>
      <c r="T5035" s="21" t="n">
        <v>0</v>
      </c>
      <c r="U5035" s="21" t="n">
        <v>0</v>
      </c>
      <c r="V5035" s="21" t="n">
        <v>0</v>
      </c>
      <c r="W5035" s="21" t="n">
        <v>0</v>
      </c>
      <c r="X5035" s="21" t="n">
        <v>0</v>
      </c>
      <c r="Y5035" s="21" t="n">
        <v>0</v>
      </c>
      <c r="Z5035" s="19" t="n"/>
    </row>
    <row r="5036">
      <c r="D5036" s="21" t="n">
        <v>0</v>
      </c>
      <c r="E5036" s="21" t="n">
        <v>0</v>
      </c>
      <c r="F5036" s="21">
        <f>$B$3625</f>
        <v/>
      </c>
      <c r="G5036" s="21">
        <f>$B$3627</f>
        <v/>
      </c>
      <c r="H5036" s="21">
        <f>0</f>
        <v/>
      </c>
      <c r="I5036" s="21">
        <f>2*$B$3626</f>
        <v/>
      </c>
      <c r="J5036" s="21">
        <f>-$B$3625</f>
        <v/>
      </c>
      <c r="K5036" s="21">
        <f>$B$3627</f>
        <v/>
      </c>
      <c r="L5036" s="21" t="n">
        <v>0</v>
      </c>
      <c r="M5036" s="21" t="n">
        <v>0</v>
      </c>
      <c r="N5036" s="21" t="n">
        <v>0</v>
      </c>
      <c r="O5036" s="21" t="n">
        <v>0</v>
      </c>
      <c r="P5036" s="21" t="n">
        <v>0</v>
      </c>
      <c r="Q5036" s="21" t="n">
        <v>0</v>
      </c>
      <c r="R5036" s="21" t="n">
        <v>0</v>
      </c>
      <c r="S5036" s="21" t="n">
        <v>0</v>
      </c>
      <c r="T5036" s="21" t="n">
        <v>0</v>
      </c>
      <c r="U5036" s="21" t="n">
        <v>0</v>
      </c>
      <c r="V5036" s="21" t="n">
        <v>0</v>
      </c>
      <c r="W5036" s="21" t="n">
        <v>0</v>
      </c>
      <c r="X5036" s="21" t="n">
        <v>0</v>
      </c>
      <c r="Y5036" s="21" t="n">
        <v>0</v>
      </c>
      <c r="Z5036" s="19" t="n"/>
    </row>
    <row r="5037">
      <c r="D5037" s="21" t="n">
        <v>0</v>
      </c>
      <c r="E5037" s="21" t="n">
        <v>0</v>
      </c>
      <c r="F5037" s="21" t="n">
        <v>0</v>
      </c>
      <c r="G5037" s="21" t="n">
        <v>0</v>
      </c>
      <c r="H5037" s="21">
        <f>-$B$3624</f>
        <v/>
      </c>
      <c r="I5037" s="21">
        <f>-$B$3625</f>
        <v/>
      </c>
      <c r="J5037" s="21">
        <f>2*$B$3624+$D$5022</f>
        <v/>
      </c>
      <c r="K5037" s="21">
        <f>0</f>
        <v/>
      </c>
      <c r="L5037" s="21">
        <f>-$B$3624</f>
        <v/>
      </c>
      <c r="M5037" s="21">
        <f>$B$3625</f>
        <v/>
      </c>
      <c r="N5037" s="21" t="n">
        <v>0</v>
      </c>
      <c r="O5037" s="21" t="n">
        <v>0</v>
      </c>
      <c r="P5037" s="21" t="n">
        <v>0</v>
      </c>
      <c r="Q5037" s="21" t="n">
        <v>0</v>
      </c>
      <c r="R5037" s="21" t="n">
        <v>0</v>
      </c>
      <c r="S5037" s="21" t="n">
        <v>0</v>
      </c>
      <c r="T5037" s="21" t="n">
        <v>0</v>
      </c>
      <c r="U5037" s="21" t="n">
        <v>0</v>
      </c>
      <c r="V5037" s="21" t="n">
        <v>0</v>
      </c>
      <c r="W5037" s="21" t="n">
        <v>0</v>
      </c>
      <c r="X5037" s="21" t="n">
        <v>0</v>
      </c>
      <c r="Y5037" s="21" t="n">
        <v>0</v>
      </c>
      <c r="Z5037" s="19" t="n"/>
    </row>
    <row r="5038">
      <c r="D5038" s="21" t="n">
        <v>0</v>
      </c>
      <c r="E5038" s="21" t="n">
        <v>0</v>
      </c>
      <c r="F5038" s="21" t="n">
        <v>0</v>
      </c>
      <c r="G5038" s="21" t="n">
        <v>0</v>
      </c>
      <c r="H5038" s="21">
        <f>$B$3625</f>
        <v/>
      </c>
      <c r="I5038" s="21">
        <f>$B$3627</f>
        <v/>
      </c>
      <c r="J5038" s="21">
        <f>0</f>
        <v/>
      </c>
      <c r="K5038" s="21">
        <f>2*$B$3626</f>
        <v/>
      </c>
      <c r="L5038" s="21">
        <f>-$B$3625</f>
        <v/>
      </c>
      <c r="M5038" s="21">
        <f>$B$3627</f>
        <v/>
      </c>
      <c r="N5038" s="21" t="n">
        <v>0</v>
      </c>
      <c r="O5038" s="21" t="n">
        <v>0</v>
      </c>
      <c r="P5038" s="21" t="n">
        <v>0</v>
      </c>
      <c r="Q5038" s="21" t="n">
        <v>0</v>
      </c>
      <c r="R5038" s="21" t="n">
        <v>0</v>
      </c>
      <c r="S5038" s="21" t="n">
        <v>0</v>
      </c>
      <c r="T5038" s="21" t="n">
        <v>0</v>
      </c>
      <c r="U5038" s="21" t="n">
        <v>0</v>
      </c>
      <c r="V5038" s="21" t="n">
        <v>0</v>
      </c>
      <c r="W5038" s="21" t="n">
        <v>0</v>
      </c>
      <c r="X5038" s="21" t="n">
        <v>0</v>
      </c>
      <c r="Y5038" s="21" t="n">
        <v>0</v>
      </c>
      <c r="Z5038" s="19" t="n"/>
    </row>
    <row r="5039">
      <c r="D5039" s="21" t="n">
        <v>0</v>
      </c>
      <c r="E5039" s="21" t="n">
        <v>0</v>
      </c>
      <c r="F5039" s="21" t="n">
        <v>0</v>
      </c>
      <c r="G5039" s="21" t="n">
        <v>0</v>
      </c>
      <c r="H5039" s="21" t="n">
        <v>0</v>
      </c>
      <c r="I5039" s="21" t="n">
        <v>0</v>
      </c>
      <c r="J5039" s="21">
        <f>-$B$3624</f>
        <v/>
      </c>
      <c r="K5039" s="21">
        <f>-$B$3625</f>
        <v/>
      </c>
      <c r="L5039" s="21">
        <f>2*$B$3624+$D$5023</f>
        <v/>
      </c>
      <c r="M5039" s="21">
        <f>0</f>
        <v/>
      </c>
      <c r="N5039" s="21">
        <f>-$B$3624</f>
        <v/>
      </c>
      <c r="O5039" s="21">
        <f>$B$3625</f>
        <v/>
      </c>
      <c r="P5039" s="21" t="n">
        <v>0</v>
      </c>
      <c r="Q5039" s="21" t="n">
        <v>0</v>
      </c>
      <c r="R5039" s="21" t="n">
        <v>0</v>
      </c>
      <c r="S5039" s="21" t="n">
        <v>0</v>
      </c>
      <c r="T5039" s="21" t="n">
        <v>0</v>
      </c>
      <c r="U5039" s="21" t="n">
        <v>0</v>
      </c>
      <c r="V5039" s="21" t="n">
        <v>0</v>
      </c>
      <c r="W5039" s="21" t="n">
        <v>0</v>
      </c>
      <c r="X5039" s="21" t="n">
        <v>0</v>
      </c>
      <c r="Y5039" s="21" t="n">
        <v>0</v>
      </c>
      <c r="Z5039" s="19" t="n"/>
    </row>
    <row r="5040">
      <c r="D5040" s="21" t="n">
        <v>0</v>
      </c>
      <c r="E5040" s="21" t="n">
        <v>0</v>
      </c>
      <c r="F5040" s="21" t="n">
        <v>0</v>
      </c>
      <c r="G5040" s="21" t="n">
        <v>0</v>
      </c>
      <c r="H5040" s="21" t="n">
        <v>0</v>
      </c>
      <c r="I5040" s="21" t="n">
        <v>0</v>
      </c>
      <c r="J5040" s="21">
        <f>$B$3625</f>
        <v/>
      </c>
      <c r="K5040" s="21">
        <f>$B$3627</f>
        <v/>
      </c>
      <c r="L5040" s="21">
        <f>0</f>
        <v/>
      </c>
      <c r="M5040" s="21">
        <f>2*$B$3626</f>
        <v/>
      </c>
      <c r="N5040" s="21">
        <f>-$B$3625</f>
        <v/>
      </c>
      <c r="O5040" s="21">
        <f>$B$3627</f>
        <v/>
      </c>
      <c r="P5040" s="21" t="n">
        <v>0</v>
      </c>
      <c r="Q5040" s="21" t="n">
        <v>0</v>
      </c>
      <c r="R5040" s="21" t="n">
        <v>0</v>
      </c>
      <c r="S5040" s="21" t="n">
        <v>0</v>
      </c>
      <c r="T5040" s="21" t="n">
        <v>0</v>
      </c>
      <c r="U5040" s="21" t="n">
        <v>0</v>
      </c>
      <c r="V5040" s="21" t="n">
        <v>0</v>
      </c>
      <c r="W5040" s="21" t="n">
        <v>0</v>
      </c>
      <c r="X5040" s="21" t="n">
        <v>0</v>
      </c>
      <c r="Y5040" s="21" t="n">
        <v>0</v>
      </c>
      <c r="Z5040" s="19" t="n"/>
    </row>
    <row r="5041">
      <c r="D5041" s="21" t="n">
        <v>0</v>
      </c>
      <c r="E5041" s="21" t="n">
        <v>0</v>
      </c>
      <c r="F5041" s="21" t="n">
        <v>0</v>
      </c>
      <c r="G5041" s="21" t="n">
        <v>0</v>
      </c>
      <c r="H5041" s="21" t="n">
        <v>0</v>
      </c>
      <c r="I5041" s="21" t="n">
        <v>0</v>
      </c>
      <c r="J5041" s="21" t="n">
        <v>0</v>
      </c>
      <c r="K5041" s="21" t="n">
        <v>0</v>
      </c>
      <c r="L5041" s="21">
        <f>-$B$3624</f>
        <v/>
      </c>
      <c r="M5041" s="21">
        <f>-$B$3625</f>
        <v/>
      </c>
      <c r="N5041" s="21">
        <f>2*$B$3624+$D$5024</f>
        <v/>
      </c>
      <c r="O5041" s="21">
        <f>0</f>
        <v/>
      </c>
      <c r="P5041" s="21">
        <f>-$B$3624</f>
        <v/>
      </c>
      <c r="Q5041" s="21">
        <f>$B$3625</f>
        <v/>
      </c>
      <c r="R5041" s="21" t="n">
        <v>0</v>
      </c>
      <c r="S5041" s="21" t="n">
        <v>0</v>
      </c>
      <c r="T5041" s="21" t="n">
        <v>0</v>
      </c>
      <c r="U5041" s="21" t="n">
        <v>0</v>
      </c>
      <c r="V5041" s="21" t="n">
        <v>0</v>
      </c>
      <c r="W5041" s="21" t="n">
        <v>0</v>
      </c>
      <c r="X5041" s="21" t="n">
        <v>0</v>
      </c>
      <c r="Y5041" s="21" t="n">
        <v>0</v>
      </c>
      <c r="Z5041" s="19" t="n"/>
    </row>
    <row r="5042">
      <c r="D5042" s="21" t="n">
        <v>0</v>
      </c>
      <c r="E5042" s="21" t="n">
        <v>0</v>
      </c>
      <c r="F5042" s="21" t="n">
        <v>0</v>
      </c>
      <c r="G5042" s="21" t="n">
        <v>0</v>
      </c>
      <c r="H5042" s="21" t="n">
        <v>0</v>
      </c>
      <c r="I5042" s="21" t="n">
        <v>0</v>
      </c>
      <c r="J5042" s="21" t="n">
        <v>0</v>
      </c>
      <c r="K5042" s="21" t="n">
        <v>0</v>
      </c>
      <c r="L5042" s="21">
        <f>$B$3625</f>
        <v/>
      </c>
      <c r="M5042" s="21">
        <f>$B$3627</f>
        <v/>
      </c>
      <c r="N5042" s="21">
        <f>0</f>
        <v/>
      </c>
      <c r="O5042" s="21">
        <f>2*$B$3626</f>
        <v/>
      </c>
      <c r="P5042" s="21">
        <f>-$B$3625</f>
        <v/>
      </c>
      <c r="Q5042" s="21">
        <f>$B$3627</f>
        <v/>
      </c>
      <c r="R5042" s="21" t="n">
        <v>0</v>
      </c>
      <c r="S5042" s="21" t="n">
        <v>0</v>
      </c>
      <c r="T5042" s="21" t="n">
        <v>0</v>
      </c>
      <c r="U5042" s="21" t="n">
        <v>0</v>
      </c>
      <c r="V5042" s="21" t="n">
        <v>0</v>
      </c>
      <c r="W5042" s="21" t="n">
        <v>0</v>
      </c>
      <c r="X5042" s="21" t="n">
        <v>0</v>
      </c>
      <c r="Y5042" s="21" t="n">
        <v>0</v>
      </c>
      <c r="Z5042" s="19" t="n"/>
    </row>
    <row r="5043">
      <c r="D5043" s="21" t="n">
        <v>0</v>
      </c>
      <c r="E5043" s="21" t="n">
        <v>0</v>
      </c>
      <c r="F5043" s="21" t="n">
        <v>0</v>
      </c>
      <c r="G5043" s="21" t="n">
        <v>0</v>
      </c>
      <c r="H5043" s="21" t="n">
        <v>0</v>
      </c>
      <c r="I5043" s="21" t="n">
        <v>0</v>
      </c>
      <c r="J5043" s="21" t="n">
        <v>0</v>
      </c>
      <c r="K5043" s="21" t="n">
        <v>0</v>
      </c>
      <c r="L5043" s="21" t="n">
        <v>0</v>
      </c>
      <c r="M5043" s="21" t="n">
        <v>0</v>
      </c>
      <c r="N5043" s="21">
        <f>-$B$3624</f>
        <v/>
      </c>
      <c r="O5043" s="21">
        <f>-$B$3625</f>
        <v/>
      </c>
      <c r="P5043" s="21">
        <f>2*$B$3624+$D$5025</f>
        <v/>
      </c>
      <c r="Q5043" s="21">
        <f>0</f>
        <v/>
      </c>
      <c r="R5043" s="21">
        <f>-$B$3624</f>
        <v/>
      </c>
      <c r="S5043" s="21">
        <f>$B$3625</f>
        <v/>
      </c>
      <c r="T5043" s="21" t="n">
        <v>0</v>
      </c>
      <c r="U5043" s="21" t="n">
        <v>0</v>
      </c>
      <c r="V5043" s="21" t="n">
        <v>0</v>
      </c>
      <c r="W5043" s="21" t="n">
        <v>0</v>
      </c>
      <c r="X5043" s="21" t="n">
        <v>0</v>
      </c>
      <c r="Y5043" s="21" t="n">
        <v>0</v>
      </c>
      <c r="Z5043" s="19" t="n"/>
    </row>
    <row r="5044">
      <c r="D5044" s="21" t="n">
        <v>0</v>
      </c>
      <c r="E5044" s="21" t="n">
        <v>0</v>
      </c>
      <c r="F5044" s="21" t="n">
        <v>0</v>
      </c>
      <c r="G5044" s="21" t="n">
        <v>0</v>
      </c>
      <c r="H5044" s="21" t="n">
        <v>0</v>
      </c>
      <c r="I5044" s="21" t="n">
        <v>0</v>
      </c>
      <c r="J5044" s="21" t="n">
        <v>0</v>
      </c>
      <c r="K5044" s="21" t="n">
        <v>0</v>
      </c>
      <c r="L5044" s="21" t="n">
        <v>0</v>
      </c>
      <c r="M5044" s="21" t="n">
        <v>0</v>
      </c>
      <c r="N5044" s="21">
        <f>$B$3625</f>
        <v/>
      </c>
      <c r="O5044" s="21">
        <f>$B$3627</f>
        <v/>
      </c>
      <c r="P5044" s="21">
        <f>0</f>
        <v/>
      </c>
      <c r="Q5044" s="21">
        <f>2*$B$3626</f>
        <v/>
      </c>
      <c r="R5044" s="21">
        <f>-$B$3625</f>
        <v/>
      </c>
      <c r="S5044" s="21">
        <f>$B$3627</f>
        <v/>
      </c>
      <c r="T5044" s="21" t="n">
        <v>0</v>
      </c>
      <c r="U5044" s="21" t="n">
        <v>0</v>
      </c>
      <c r="V5044" s="21" t="n">
        <v>0</v>
      </c>
      <c r="W5044" s="21" t="n">
        <v>0</v>
      </c>
      <c r="X5044" s="21" t="n">
        <v>0</v>
      </c>
      <c r="Y5044" s="21" t="n">
        <v>0</v>
      </c>
      <c r="Z5044" s="19" t="n"/>
    </row>
    <row r="5045">
      <c r="D5045" s="21" t="n">
        <v>0</v>
      </c>
      <c r="E5045" s="21" t="n">
        <v>0</v>
      </c>
      <c r="F5045" s="21" t="n">
        <v>0</v>
      </c>
      <c r="G5045" s="21" t="n">
        <v>0</v>
      </c>
      <c r="H5045" s="21" t="n">
        <v>0</v>
      </c>
      <c r="I5045" s="21" t="n">
        <v>0</v>
      </c>
      <c r="J5045" s="21" t="n">
        <v>0</v>
      </c>
      <c r="K5045" s="21" t="n">
        <v>0</v>
      </c>
      <c r="L5045" s="21" t="n">
        <v>0</v>
      </c>
      <c r="M5045" s="21" t="n">
        <v>0</v>
      </c>
      <c r="N5045" s="21" t="n">
        <v>0</v>
      </c>
      <c r="O5045" s="21" t="n">
        <v>0</v>
      </c>
      <c r="P5045" s="21">
        <f>-$B$3624</f>
        <v/>
      </c>
      <c r="Q5045" s="21">
        <f>-$B$3625</f>
        <v/>
      </c>
      <c r="R5045" s="21">
        <f>2*$B$3624+$D$5026</f>
        <v/>
      </c>
      <c r="S5045" s="21">
        <f>0</f>
        <v/>
      </c>
      <c r="T5045" s="21">
        <f>-$B$3624</f>
        <v/>
      </c>
      <c r="U5045" s="21">
        <f>$B$3625</f>
        <v/>
      </c>
      <c r="V5045" s="21" t="n">
        <v>0</v>
      </c>
      <c r="W5045" s="21" t="n">
        <v>0</v>
      </c>
      <c r="X5045" s="21" t="n">
        <v>0</v>
      </c>
      <c r="Y5045" s="21" t="n">
        <v>0</v>
      </c>
      <c r="Z5045" s="19" t="n"/>
    </row>
    <row r="5046">
      <c r="D5046" s="21" t="n">
        <v>0</v>
      </c>
      <c r="E5046" s="21" t="n">
        <v>0</v>
      </c>
      <c r="F5046" s="21" t="n">
        <v>0</v>
      </c>
      <c r="G5046" s="21" t="n">
        <v>0</v>
      </c>
      <c r="H5046" s="21" t="n">
        <v>0</v>
      </c>
      <c r="I5046" s="21" t="n">
        <v>0</v>
      </c>
      <c r="J5046" s="21" t="n">
        <v>0</v>
      </c>
      <c r="K5046" s="21" t="n">
        <v>0</v>
      </c>
      <c r="L5046" s="21" t="n">
        <v>0</v>
      </c>
      <c r="M5046" s="21" t="n">
        <v>0</v>
      </c>
      <c r="N5046" s="21" t="n">
        <v>0</v>
      </c>
      <c r="O5046" s="21" t="n">
        <v>0</v>
      </c>
      <c r="P5046" s="21">
        <f>$B$3625</f>
        <v/>
      </c>
      <c r="Q5046" s="21">
        <f>$B$3627</f>
        <v/>
      </c>
      <c r="R5046" s="21">
        <f>0</f>
        <v/>
      </c>
      <c r="S5046" s="21">
        <f>2*$B$3626</f>
        <v/>
      </c>
      <c r="T5046" s="21">
        <f>-$B$3625</f>
        <v/>
      </c>
      <c r="U5046" s="21">
        <f>$B$3627</f>
        <v/>
      </c>
      <c r="V5046" s="21" t="n">
        <v>0</v>
      </c>
      <c r="W5046" s="21" t="n">
        <v>0</v>
      </c>
      <c r="X5046" s="21" t="n">
        <v>0</v>
      </c>
      <c r="Y5046" s="21" t="n">
        <v>0</v>
      </c>
      <c r="Z5046" s="19" t="n"/>
    </row>
    <row r="5047">
      <c r="D5047" s="21" t="n">
        <v>0</v>
      </c>
      <c r="E5047" s="21" t="n">
        <v>0</v>
      </c>
      <c r="F5047" s="21" t="n">
        <v>0</v>
      </c>
      <c r="G5047" s="21" t="n">
        <v>0</v>
      </c>
      <c r="H5047" s="21" t="n">
        <v>0</v>
      </c>
      <c r="I5047" s="21" t="n">
        <v>0</v>
      </c>
      <c r="J5047" s="21" t="n">
        <v>0</v>
      </c>
      <c r="K5047" s="21" t="n">
        <v>0</v>
      </c>
      <c r="L5047" s="21" t="n">
        <v>0</v>
      </c>
      <c r="M5047" s="21" t="n">
        <v>0</v>
      </c>
      <c r="N5047" s="21" t="n">
        <v>0</v>
      </c>
      <c r="O5047" s="21" t="n">
        <v>0</v>
      </c>
      <c r="P5047" s="21" t="n">
        <v>0</v>
      </c>
      <c r="Q5047" s="21" t="n">
        <v>0</v>
      </c>
      <c r="R5047" s="21">
        <f>-$B$3624</f>
        <v/>
      </c>
      <c r="S5047" s="21">
        <f>-$B$3625</f>
        <v/>
      </c>
      <c r="T5047" s="21">
        <f>2*$B$3624+$D$5027</f>
        <v/>
      </c>
      <c r="U5047" s="21">
        <f>0</f>
        <v/>
      </c>
      <c r="V5047" s="21">
        <f>-$B$3624</f>
        <v/>
      </c>
      <c r="W5047" s="21">
        <f>$B$3625</f>
        <v/>
      </c>
      <c r="X5047" s="21" t="n">
        <v>0</v>
      </c>
      <c r="Y5047" s="21" t="n">
        <v>0</v>
      </c>
      <c r="Z5047" s="19" t="n"/>
    </row>
    <row r="5048">
      <c r="D5048" s="21" t="n">
        <v>0</v>
      </c>
      <c r="E5048" s="21" t="n">
        <v>0</v>
      </c>
      <c r="F5048" s="21" t="n">
        <v>0</v>
      </c>
      <c r="G5048" s="21" t="n">
        <v>0</v>
      </c>
      <c r="H5048" s="21" t="n">
        <v>0</v>
      </c>
      <c r="I5048" s="21" t="n">
        <v>0</v>
      </c>
      <c r="J5048" s="21" t="n">
        <v>0</v>
      </c>
      <c r="K5048" s="21" t="n">
        <v>0</v>
      </c>
      <c r="L5048" s="21" t="n">
        <v>0</v>
      </c>
      <c r="M5048" s="21" t="n">
        <v>0</v>
      </c>
      <c r="N5048" s="21" t="n">
        <v>0</v>
      </c>
      <c r="O5048" s="21" t="n">
        <v>0</v>
      </c>
      <c r="P5048" s="21" t="n">
        <v>0</v>
      </c>
      <c r="Q5048" s="21" t="n">
        <v>0</v>
      </c>
      <c r="R5048" s="21">
        <f>$B$3625</f>
        <v/>
      </c>
      <c r="S5048" s="21">
        <f>$B$3627</f>
        <v/>
      </c>
      <c r="T5048" s="21">
        <f>0</f>
        <v/>
      </c>
      <c r="U5048" s="21">
        <f>2*$B$3626</f>
        <v/>
      </c>
      <c r="V5048" s="21">
        <f>-$B$3625</f>
        <v/>
      </c>
      <c r="W5048" s="21">
        <f>$B$3627</f>
        <v/>
      </c>
      <c r="X5048" s="21" t="n">
        <v>0</v>
      </c>
      <c r="Y5048" s="21" t="n">
        <v>0</v>
      </c>
      <c r="Z5048" s="19" t="n"/>
    </row>
    <row r="5049">
      <c r="D5049" s="21" t="n">
        <v>0</v>
      </c>
      <c r="E5049" s="21" t="n">
        <v>0</v>
      </c>
      <c r="F5049" s="21" t="n">
        <v>0</v>
      </c>
      <c r="G5049" s="21" t="n">
        <v>0</v>
      </c>
      <c r="H5049" s="21" t="n">
        <v>0</v>
      </c>
      <c r="I5049" s="21" t="n">
        <v>0</v>
      </c>
      <c r="J5049" s="21" t="n">
        <v>0</v>
      </c>
      <c r="K5049" s="21" t="n">
        <v>0</v>
      </c>
      <c r="L5049" s="21" t="n">
        <v>0</v>
      </c>
      <c r="M5049" s="21" t="n">
        <v>0</v>
      </c>
      <c r="N5049" s="21" t="n">
        <v>0</v>
      </c>
      <c r="O5049" s="21" t="n">
        <v>0</v>
      </c>
      <c r="P5049" s="21" t="n">
        <v>0</v>
      </c>
      <c r="Q5049" s="21" t="n">
        <v>0</v>
      </c>
      <c r="R5049" s="21" t="n">
        <v>0</v>
      </c>
      <c r="S5049" s="21" t="n">
        <v>0</v>
      </c>
      <c r="T5049" s="21">
        <f>-$B$3624</f>
        <v/>
      </c>
      <c r="U5049" s="21">
        <f>-$B$3625</f>
        <v/>
      </c>
      <c r="V5049" s="21">
        <f>2*$B$3624+$D$5028</f>
        <v/>
      </c>
      <c r="W5049" s="21">
        <f>0</f>
        <v/>
      </c>
      <c r="X5049" s="21">
        <f>-$B$3624</f>
        <v/>
      </c>
      <c r="Y5049" s="21">
        <f>$B$3625</f>
        <v/>
      </c>
      <c r="Z5049" s="19" t="n"/>
    </row>
    <row r="5050">
      <c r="D5050" s="21" t="n">
        <v>0</v>
      </c>
      <c r="E5050" s="21" t="n">
        <v>0</v>
      </c>
      <c r="F5050" s="21" t="n">
        <v>0</v>
      </c>
      <c r="G5050" s="21" t="n">
        <v>0</v>
      </c>
      <c r="H5050" s="21" t="n">
        <v>0</v>
      </c>
      <c r="I5050" s="21" t="n">
        <v>0</v>
      </c>
      <c r="J5050" s="21" t="n">
        <v>0</v>
      </c>
      <c r="K5050" s="21" t="n">
        <v>0</v>
      </c>
      <c r="L5050" s="21" t="n">
        <v>0</v>
      </c>
      <c r="M5050" s="21" t="n">
        <v>0</v>
      </c>
      <c r="N5050" s="21" t="n">
        <v>0</v>
      </c>
      <c r="O5050" s="21" t="n">
        <v>0</v>
      </c>
      <c r="P5050" s="21" t="n">
        <v>0</v>
      </c>
      <c r="Q5050" s="21" t="n">
        <v>0</v>
      </c>
      <c r="R5050" s="21" t="n">
        <v>0</v>
      </c>
      <c r="S5050" s="21" t="n">
        <v>0</v>
      </c>
      <c r="T5050" s="21">
        <f>$B$3625</f>
        <v/>
      </c>
      <c r="U5050" s="21">
        <f>$B$3627</f>
        <v/>
      </c>
      <c r="V5050" s="21">
        <f>0</f>
        <v/>
      </c>
      <c r="W5050" s="21">
        <f>2*$B$3626</f>
        <v/>
      </c>
      <c r="X5050" s="21">
        <f>-$B$3625</f>
        <v/>
      </c>
      <c r="Y5050" s="21">
        <f>$B$3627</f>
        <v/>
      </c>
      <c r="Z5050" s="19" t="n"/>
    </row>
    <row r="5051">
      <c r="D5051" s="21" t="n">
        <v>0</v>
      </c>
      <c r="E5051" s="21" t="n">
        <v>0</v>
      </c>
      <c r="F5051" s="21" t="n">
        <v>0</v>
      </c>
      <c r="G5051" s="21" t="n">
        <v>0</v>
      </c>
      <c r="H5051" s="21" t="n">
        <v>0</v>
      </c>
      <c r="I5051" s="21" t="n">
        <v>0</v>
      </c>
      <c r="J5051" s="21" t="n">
        <v>0</v>
      </c>
      <c r="K5051" s="21" t="n">
        <v>0</v>
      </c>
      <c r="L5051" s="21" t="n">
        <v>0</v>
      </c>
      <c r="M5051" s="21" t="n">
        <v>0</v>
      </c>
      <c r="N5051" s="21" t="n">
        <v>0</v>
      </c>
      <c r="O5051" s="21" t="n">
        <v>0</v>
      </c>
      <c r="P5051" s="21" t="n">
        <v>0</v>
      </c>
      <c r="Q5051" s="21" t="n">
        <v>0</v>
      </c>
      <c r="R5051" s="21" t="n">
        <v>0</v>
      </c>
      <c r="S5051" s="21" t="n">
        <v>0</v>
      </c>
      <c r="T5051" s="21" t="n">
        <v>0</v>
      </c>
      <c r="U5051" s="21" t="n">
        <v>0</v>
      </c>
      <c r="V5051" s="21">
        <f>-$B$3624</f>
        <v/>
      </c>
      <c r="W5051" s="21">
        <f>-$B$3625</f>
        <v/>
      </c>
      <c r="X5051" s="21">
        <f>$B$3624+$D$5029</f>
        <v/>
      </c>
      <c r="Y5051" s="21">
        <f>-$B$3625</f>
        <v/>
      </c>
      <c r="Z5051" s="19" t="n"/>
    </row>
    <row r="5052">
      <c r="D5052" s="21" t="n">
        <v>0</v>
      </c>
      <c r="E5052" s="21" t="n">
        <v>0</v>
      </c>
      <c r="F5052" s="21" t="n">
        <v>0</v>
      </c>
      <c r="G5052" s="21" t="n">
        <v>0</v>
      </c>
      <c r="H5052" s="21" t="n">
        <v>0</v>
      </c>
      <c r="I5052" s="21" t="n">
        <v>0</v>
      </c>
      <c r="J5052" s="21" t="n">
        <v>0</v>
      </c>
      <c r="K5052" s="21" t="n">
        <v>0</v>
      </c>
      <c r="L5052" s="21" t="n">
        <v>0</v>
      </c>
      <c r="M5052" s="21" t="n">
        <v>0</v>
      </c>
      <c r="N5052" s="21" t="n">
        <v>0</v>
      </c>
      <c r="O5052" s="21" t="n">
        <v>0</v>
      </c>
      <c r="P5052" s="21" t="n">
        <v>0</v>
      </c>
      <c r="Q5052" s="21" t="n">
        <v>0</v>
      </c>
      <c r="R5052" s="21" t="n">
        <v>0</v>
      </c>
      <c r="S5052" s="21" t="n">
        <v>0</v>
      </c>
      <c r="T5052" s="21" t="n">
        <v>0</v>
      </c>
      <c r="U5052" s="21" t="n">
        <v>0</v>
      </c>
      <c r="V5052" s="21">
        <f>$B$3625</f>
        <v/>
      </c>
      <c r="W5052" s="21">
        <f>$B$3627</f>
        <v/>
      </c>
      <c r="X5052" s="21">
        <f>-$B$3625</f>
        <v/>
      </c>
      <c r="Y5052" s="21">
        <f>$B$3626</f>
        <v/>
      </c>
      <c r="Z5052" s="19" t="n"/>
    </row>
    <row r="5054">
      <c r="A5054" s="8" t="inlineStr">
        <is>
          <t>gen 39</t>
        </is>
      </c>
    </row>
    <row r="5055">
      <c r="D5055" s="19">
        <f>IF(ABS(IF(ABS($E$5019)&gt;0.000000001,$E$5019,0.000000001))=0,0,IF($E$3639&lt;=$B$3633,0,IF(ABS(IF(ABS($E$5019)&gt;0.000000001,$E$5019,0.000000001))&gt;=8*$B$3635,$H$3639,0.5*$H$3639*(ABS(IF(ABS($E$5019)&gt;0.000000001,$E$5019,0.000000001))/$B$3635)^(1/3)))/ABS(IF(ABS($E$5019)&gt;0.000000001,$E$5019,0.000000001))*$I$3639)</f>
        <v/>
      </c>
      <c r="E5055" s="19">
        <f>0.5*$E$5019+0.5*$Z$5067</f>
        <v/>
      </c>
      <c r="F5055" s="19">
        <f>$Z$5068</f>
        <v/>
      </c>
    </row>
    <row r="5056">
      <c r="D5056" s="19">
        <f>IF(ABS(IF(ABS($E$5020)&gt;0.000000001,$E$5020,0.000000001))=0,0,IF($E$3640&lt;=$B$3633,0,IF(ABS(IF(ABS($E$5020)&gt;0.000000001,$E$5020,0.000000001))&gt;=8*$B$3635,$H$3640,0.5*$H$3640*(ABS(IF(ABS($E$5020)&gt;0.000000001,$E$5020,0.000000001))/$B$3635)^(1/3)))/ABS(IF(ABS($E$5020)&gt;0.000000001,$E$5020,0.000000001))*$I$3640)</f>
        <v/>
      </c>
      <c r="E5056" s="19">
        <f>0.5*$E$5020+0.5*$Z$5069</f>
        <v/>
      </c>
      <c r="F5056" s="19">
        <f>$Z$5070</f>
        <v/>
      </c>
    </row>
    <row r="5057">
      <c r="D5057" s="19">
        <f>IF(ABS(IF(ABS($E$5021)&gt;0.000000001,$E$5021,0.000000001))=0,0,IF($E$3641&lt;=$B$3633,0,IF(ABS(IF(ABS($E$5021)&gt;0.000000001,$E$5021,0.000000001))&gt;=8*$B$3635,$H$3641,0.5*$H$3641*(ABS(IF(ABS($E$5021)&gt;0.000000001,$E$5021,0.000000001))/$B$3635)^(1/3)))/ABS(IF(ABS($E$5021)&gt;0.000000001,$E$5021,0.000000001))*$I$3641)</f>
        <v/>
      </c>
      <c r="E5057" s="19">
        <f>0.5*$E$5021+0.5*$Z$5071</f>
        <v/>
      </c>
      <c r="F5057" s="19">
        <f>$Z$5072</f>
        <v/>
      </c>
    </row>
    <row r="5058">
      <c r="D5058" s="19">
        <f>IF(ABS(IF(ABS($E$5022)&gt;0.000000001,$E$5022,0.000000001))=0,0,IF($E$3642&lt;=$B$3633,0,IF(ABS(IF(ABS($E$5022)&gt;0.000000001,$E$5022,0.000000001))&gt;=8*$B$3635,$H$3642,0.5*$H$3642*(ABS(IF(ABS($E$5022)&gt;0.000000001,$E$5022,0.000000001))/$B$3635)^(1/3)))/ABS(IF(ABS($E$5022)&gt;0.000000001,$E$5022,0.000000001))*$I$3642)</f>
        <v/>
      </c>
      <c r="E5058" s="19">
        <f>0.5*$E$5022+0.5*$Z$5073</f>
        <v/>
      </c>
      <c r="F5058" s="19">
        <f>$Z$5074</f>
        <v/>
      </c>
    </row>
    <row r="5059">
      <c r="D5059" s="19">
        <f>IF(ABS(IF(ABS($E$5023)&gt;0.000000001,$E$5023,0.000000001))=0,0,IF($E$3643&lt;=$B$3633,0,IF(ABS(IF(ABS($E$5023)&gt;0.000000001,$E$5023,0.000000001))&gt;=8*$B$3635,$H$3643,0.5*$H$3643*(ABS(IF(ABS($E$5023)&gt;0.000000001,$E$5023,0.000000001))/$B$3635)^(1/3)))/ABS(IF(ABS($E$5023)&gt;0.000000001,$E$5023,0.000000001))*$I$3643)</f>
        <v/>
      </c>
      <c r="E5059" s="19">
        <f>0.5*$E$5023+0.5*$Z$5075</f>
        <v/>
      </c>
      <c r="F5059" s="19">
        <f>$Z$5076</f>
        <v/>
      </c>
    </row>
    <row r="5060">
      <c r="D5060" s="19">
        <f>IF(ABS(IF(ABS($E$5024)&gt;0.000000001,$E$5024,0.000000001))=0,0,IF($E$3644&lt;=$B$3633,0,IF(ABS(IF(ABS($E$5024)&gt;0.000000001,$E$5024,0.000000001))&gt;=8*$B$3635,$H$3644,0.5*$H$3644*(ABS(IF(ABS($E$5024)&gt;0.000000001,$E$5024,0.000000001))/$B$3635)^(1/3)))/ABS(IF(ABS($E$5024)&gt;0.000000001,$E$5024,0.000000001))*$I$3644)</f>
        <v/>
      </c>
      <c r="E5060" s="19">
        <f>0.5*$E$5024+0.5*$Z$5077</f>
        <v/>
      </c>
      <c r="F5060" s="19">
        <f>$Z$5078</f>
        <v/>
      </c>
    </row>
    <row r="5061">
      <c r="D5061" s="19">
        <f>IF(ABS(IF(ABS($E$5025)&gt;0.000000001,$E$5025,0.000000001))=0,0,IF($E$3645&lt;=$B$3633,0,IF(ABS(IF(ABS($E$5025)&gt;0.000000001,$E$5025,0.000000001))&gt;=8*$B$3635,$H$3645,0.5*$H$3645*(ABS(IF(ABS($E$5025)&gt;0.000000001,$E$5025,0.000000001))/$B$3635)^(1/3)))/ABS(IF(ABS($E$5025)&gt;0.000000001,$E$5025,0.000000001))*$I$3645)</f>
        <v/>
      </c>
      <c r="E5061" s="19">
        <f>0.5*$E$5025+0.5*$Z$5079</f>
        <v/>
      </c>
      <c r="F5061" s="19">
        <f>$Z$5080</f>
        <v/>
      </c>
    </row>
    <row r="5062">
      <c r="D5062" s="19">
        <f>IF(ABS(IF(ABS($E$5026)&gt;0.000000001,$E$5026,0.000000001))=0,0,IF($E$3646&lt;=$B$3633,0,IF(ABS(IF(ABS($E$5026)&gt;0.000000001,$E$5026,0.000000001))&gt;=8*$B$3635,$H$3646,0.5*$H$3646*(ABS(IF(ABS($E$5026)&gt;0.000000001,$E$5026,0.000000001))/$B$3635)^(1/3)))/ABS(IF(ABS($E$5026)&gt;0.000000001,$E$5026,0.000000001))*$I$3646)</f>
        <v/>
      </c>
      <c r="E5062" s="19">
        <f>0.5*$E$5026+0.5*$Z$5081</f>
        <v/>
      </c>
      <c r="F5062" s="19">
        <f>$Z$5082</f>
        <v/>
      </c>
    </row>
    <row r="5063">
      <c r="D5063" s="19">
        <f>IF(ABS(IF(ABS($E$5027)&gt;0.000000001,$E$5027,0.000000001))=0,0,IF($E$3647&lt;=$B$3633,0,IF(ABS(IF(ABS($E$5027)&gt;0.000000001,$E$5027,0.000000001))&gt;=8*$B$3635,$H$3647,0.5*$H$3647*(ABS(IF(ABS($E$5027)&gt;0.000000001,$E$5027,0.000000001))/$B$3635)^(1/3)))/ABS(IF(ABS($E$5027)&gt;0.000000001,$E$5027,0.000000001))*$I$3647)</f>
        <v/>
      </c>
      <c r="E5063" s="19">
        <f>0.5*$E$5027+0.5*$Z$5083</f>
        <v/>
      </c>
      <c r="F5063" s="19">
        <f>$Z$5084</f>
        <v/>
      </c>
    </row>
    <row r="5064">
      <c r="D5064" s="19">
        <f>IF(ABS(IF(ABS($E$5028)&gt;0.000000001,$E$5028,0.000000001))=0,0,IF($E$3648&lt;=$B$3633,0,IF(ABS(IF(ABS($E$5028)&gt;0.000000001,$E$5028,0.000000001))&gt;=8*$B$3635,$H$3648,0.5*$H$3648*(ABS(IF(ABS($E$5028)&gt;0.000000001,$E$5028,0.000000001))/$B$3635)^(1/3)))/ABS(IF(ABS($E$5028)&gt;0.000000001,$E$5028,0.000000001))*$I$3648)</f>
        <v/>
      </c>
      <c r="E5064" s="19">
        <f>0.5*$E$5028+0.5*$Z$5085</f>
        <v/>
      </c>
      <c r="F5064" s="19">
        <f>$Z$5086</f>
        <v/>
      </c>
    </row>
    <row r="5065">
      <c r="D5065" s="19">
        <f>IF(ABS(IF(ABS($E$5029)&gt;0.000000001,$E$5029,0.000000001))=0,0,IF($E$3649&lt;=$B$3633,0,IF(ABS(IF(ABS($E$5029)&gt;0.000000001,$E$5029,0.000000001))&gt;=8*$B$3635,$H$3649,0.5*$H$3649*(ABS(IF(ABS($E$5029)&gt;0.000000001,$E$5029,0.000000001))/$B$3635)^(1/3)))/ABS(IF(ABS($E$5029)&gt;0.000000001,$E$5029,0.000000001))*$I$3649)</f>
        <v/>
      </c>
      <c r="E5065" s="19">
        <f>0.5*$E$5029+0.5*$Z$5087</f>
        <v/>
      </c>
      <c r="F5065" s="19">
        <f>$Z$5088</f>
        <v/>
      </c>
    </row>
    <row r="5067">
      <c r="D5067" s="21">
        <f>$B$3624+$D$5055</f>
        <v/>
      </c>
      <c r="E5067" s="21">
        <f>$B$3625</f>
        <v/>
      </c>
      <c r="F5067" s="21">
        <f>-$B$3624</f>
        <v/>
      </c>
      <c r="G5067" s="21">
        <f>$B$3625</f>
        <v/>
      </c>
      <c r="H5067" s="21" t="n">
        <v>0</v>
      </c>
      <c r="I5067" s="21" t="n">
        <v>0</v>
      </c>
      <c r="J5067" s="21" t="n">
        <v>0</v>
      </c>
      <c r="K5067" s="21" t="n">
        <v>0</v>
      </c>
      <c r="L5067" s="21" t="n">
        <v>0</v>
      </c>
      <c r="M5067" s="21" t="n">
        <v>0</v>
      </c>
      <c r="N5067" s="21" t="n">
        <v>0</v>
      </c>
      <c r="O5067" s="21" t="n">
        <v>0</v>
      </c>
      <c r="P5067" s="21" t="n">
        <v>0</v>
      </c>
      <c r="Q5067" s="21" t="n">
        <v>0</v>
      </c>
      <c r="R5067" s="21" t="n">
        <v>0</v>
      </c>
      <c r="S5067" s="21" t="n">
        <v>0</v>
      </c>
      <c r="T5067" s="21" t="n">
        <v>0</v>
      </c>
      <c r="U5067" s="21" t="n">
        <v>0</v>
      </c>
      <c r="V5067" s="21" t="n">
        <v>0</v>
      </c>
      <c r="W5067" s="21" t="n">
        <v>0</v>
      </c>
      <c r="X5067" s="21" t="n">
        <v>0</v>
      </c>
      <c r="Y5067" s="21" t="n">
        <v>0</v>
      </c>
      <c r="Z5067" s="19">
        <f t="array" ref="Z5067:Z5088">MMULT(MINVERSE($D$5067:$Y$5088),$D$3651:$D$3672)</f>
        <v/>
      </c>
    </row>
    <row r="5068">
      <c r="D5068" s="21">
        <f>$B$3625</f>
        <v/>
      </c>
      <c r="E5068" s="21">
        <f>$B$3626</f>
        <v/>
      </c>
      <c r="F5068" s="21">
        <f>-$B$3625</f>
        <v/>
      </c>
      <c r="G5068" s="21">
        <f>$B$3627</f>
        <v/>
      </c>
      <c r="H5068" s="21" t="n">
        <v>0</v>
      </c>
      <c r="I5068" s="21" t="n">
        <v>0</v>
      </c>
      <c r="J5068" s="21" t="n">
        <v>0</v>
      </c>
      <c r="K5068" s="21" t="n">
        <v>0</v>
      </c>
      <c r="L5068" s="21" t="n">
        <v>0</v>
      </c>
      <c r="M5068" s="21" t="n">
        <v>0</v>
      </c>
      <c r="N5068" s="21" t="n">
        <v>0</v>
      </c>
      <c r="O5068" s="21" t="n">
        <v>0</v>
      </c>
      <c r="P5068" s="21" t="n">
        <v>0</v>
      </c>
      <c r="Q5068" s="21" t="n">
        <v>0</v>
      </c>
      <c r="R5068" s="21" t="n">
        <v>0</v>
      </c>
      <c r="S5068" s="21" t="n">
        <v>0</v>
      </c>
      <c r="T5068" s="21" t="n">
        <v>0</v>
      </c>
      <c r="U5068" s="21" t="n">
        <v>0</v>
      </c>
      <c r="V5068" s="21" t="n">
        <v>0</v>
      </c>
      <c r="W5068" s="21" t="n">
        <v>0</v>
      </c>
      <c r="X5068" s="21" t="n">
        <v>0</v>
      </c>
      <c r="Y5068" s="21" t="n">
        <v>0</v>
      </c>
      <c r="Z5068" s="19" t="n"/>
    </row>
    <row r="5069">
      <c r="D5069" s="21">
        <f>-$B$3624</f>
        <v/>
      </c>
      <c r="E5069" s="21">
        <f>-$B$3625</f>
        <v/>
      </c>
      <c r="F5069" s="21">
        <f>2*$B$3624+$D$5056</f>
        <v/>
      </c>
      <c r="G5069" s="21">
        <f>0</f>
        <v/>
      </c>
      <c r="H5069" s="21">
        <f>-$B$3624</f>
        <v/>
      </c>
      <c r="I5069" s="21">
        <f>$B$3625</f>
        <v/>
      </c>
      <c r="J5069" s="21" t="n">
        <v>0</v>
      </c>
      <c r="K5069" s="21" t="n">
        <v>0</v>
      </c>
      <c r="L5069" s="21" t="n">
        <v>0</v>
      </c>
      <c r="M5069" s="21" t="n">
        <v>0</v>
      </c>
      <c r="N5069" s="21" t="n">
        <v>0</v>
      </c>
      <c r="O5069" s="21" t="n">
        <v>0</v>
      </c>
      <c r="P5069" s="21" t="n">
        <v>0</v>
      </c>
      <c r="Q5069" s="21" t="n">
        <v>0</v>
      </c>
      <c r="R5069" s="21" t="n">
        <v>0</v>
      </c>
      <c r="S5069" s="21" t="n">
        <v>0</v>
      </c>
      <c r="T5069" s="21" t="n">
        <v>0</v>
      </c>
      <c r="U5069" s="21" t="n">
        <v>0</v>
      </c>
      <c r="V5069" s="21" t="n">
        <v>0</v>
      </c>
      <c r="W5069" s="21" t="n">
        <v>0</v>
      </c>
      <c r="X5069" s="21" t="n">
        <v>0</v>
      </c>
      <c r="Y5069" s="21" t="n">
        <v>0</v>
      </c>
      <c r="Z5069" s="19" t="n"/>
    </row>
    <row r="5070">
      <c r="D5070" s="21">
        <f>$B$3625</f>
        <v/>
      </c>
      <c r="E5070" s="21">
        <f>$B$3627</f>
        <v/>
      </c>
      <c r="F5070" s="21">
        <f>0</f>
        <v/>
      </c>
      <c r="G5070" s="21">
        <f>2*$B$3626</f>
        <v/>
      </c>
      <c r="H5070" s="21">
        <f>-$B$3625</f>
        <v/>
      </c>
      <c r="I5070" s="21">
        <f>$B$3627</f>
        <v/>
      </c>
      <c r="J5070" s="21" t="n">
        <v>0</v>
      </c>
      <c r="K5070" s="21" t="n">
        <v>0</v>
      </c>
      <c r="L5070" s="21" t="n">
        <v>0</v>
      </c>
      <c r="M5070" s="21" t="n">
        <v>0</v>
      </c>
      <c r="N5070" s="21" t="n">
        <v>0</v>
      </c>
      <c r="O5070" s="21" t="n">
        <v>0</v>
      </c>
      <c r="P5070" s="21" t="n">
        <v>0</v>
      </c>
      <c r="Q5070" s="21" t="n">
        <v>0</v>
      </c>
      <c r="R5070" s="21" t="n">
        <v>0</v>
      </c>
      <c r="S5070" s="21" t="n">
        <v>0</v>
      </c>
      <c r="T5070" s="21" t="n">
        <v>0</v>
      </c>
      <c r="U5070" s="21" t="n">
        <v>0</v>
      </c>
      <c r="V5070" s="21" t="n">
        <v>0</v>
      </c>
      <c r="W5070" s="21" t="n">
        <v>0</v>
      </c>
      <c r="X5070" s="21" t="n">
        <v>0</v>
      </c>
      <c r="Y5070" s="21" t="n">
        <v>0</v>
      </c>
      <c r="Z5070" s="19" t="n"/>
    </row>
    <row r="5071">
      <c r="D5071" s="21" t="n">
        <v>0</v>
      </c>
      <c r="E5071" s="21" t="n">
        <v>0</v>
      </c>
      <c r="F5071" s="21">
        <f>-$B$3624</f>
        <v/>
      </c>
      <c r="G5071" s="21">
        <f>-$B$3625</f>
        <v/>
      </c>
      <c r="H5071" s="21">
        <f>2*$B$3624+$D$5057</f>
        <v/>
      </c>
      <c r="I5071" s="21">
        <f>0</f>
        <v/>
      </c>
      <c r="J5071" s="21">
        <f>-$B$3624</f>
        <v/>
      </c>
      <c r="K5071" s="21">
        <f>$B$3625</f>
        <v/>
      </c>
      <c r="L5071" s="21" t="n">
        <v>0</v>
      </c>
      <c r="M5071" s="21" t="n">
        <v>0</v>
      </c>
      <c r="N5071" s="21" t="n">
        <v>0</v>
      </c>
      <c r="O5071" s="21" t="n">
        <v>0</v>
      </c>
      <c r="P5071" s="21" t="n">
        <v>0</v>
      </c>
      <c r="Q5071" s="21" t="n">
        <v>0</v>
      </c>
      <c r="R5071" s="21" t="n">
        <v>0</v>
      </c>
      <c r="S5071" s="21" t="n">
        <v>0</v>
      </c>
      <c r="T5071" s="21" t="n">
        <v>0</v>
      </c>
      <c r="U5071" s="21" t="n">
        <v>0</v>
      </c>
      <c r="V5071" s="21" t="n">
        <v>0</v>
      </c>
      <c r="W5071" s="21" t="n">
        <v>0</v>
      </c>
      <c r="X5071" s="21" t="n">
        <v>0</v>
      </c>
      <c r="Y5071" s="21" t="n">
        <v>0</v>
      </c>
      <c r="Z5071" s="19" t="n"/>
    </row>
    <row r="5072">
      <c r="D5072" s="21" t="n">
        <v>0</v>
      </c>
      <c r="E5072" s="21" t="n">
        <v>0</v>
      </c>
      <c r="F5072" s="21">
        <f>$B$3625</f>
        <v/>
      </c>
      <c r="G5072" s="21">
        <f>$B$3627</f>
        <v/>
      </c>
      <c r="H5072" s="21">
        <f>0</f>
        <v/>
      </c>
      <c r="I5072" s="21">
        <f>2*$B$3626</f>
        <v/>
      </c>
      <c r="J5072" s="21">
        <f>-$B$3625</f>
        <v/>
      </c>
      <c r="K5072" s="21">
        <f>$B$3627</f>
        <v/>
      </c>
      <c r="L5072" s="21" t="n">
        <v>0</v>
      </c>
      <c r="M5072" s="21" t="n">
        <v>0</v>
      </c>
      <c r="N5072" s="21" t="n">
        <v>0</v>
      </c>
      <c r="O5072" s="21" t="n">
        <v>0</v>
      </c>
      <c r="P5072" s="21" t="n">
        <v>0</v>
      </c>
      <c r="Q5072" s="21" t="n">
        <v>0</v>
      </c>
      <c r="R5072" s="21" t="n">
        <v>0</v>
      </c>
      <c r="S5072" s="21" t="n">
        <v>0</v>
      </c>
      <c r="T5072" s="21" t="n">
        <v>0</v>
      </c>
      <c r="U5072" s="21" t="n">
        <v>0</v>
      </c>
      <c r="V5072" s="21" t="n">
        <v>0</v>
      </c>
      <c r="W5072" s="21" t="n">
        <v>0</v>
      </c>
      <c r="X5072" s="21" t="n">
        <v>0</v>
      </c>
      <c r="Y5072" s="21" t="n">
        <v>0</v>
      </c>
      <c r="Z5072" s="19" t="n"/>
    </row>
    <row r="5073">
      <c r="D5073" s="21" t="n">
        <v>0</v>
      </c>
      <c r="E5073" s="21" t="n">
        <v>0</v>
      </c>
      <c r="F5073" s="21" t="n">
        <v>0</v>
      </c>
      <c r="G5073" s="21" t="n">
        <v>0</v>
      </c>
      <c r="H5073" s="21">
        <f>-$B$3624</f>
        <v/>
      </c>
      <c r="I5073" s="21">
        <f>-$B$3625</f>
        <v/>
      </c>
      <c r="J5073" s="21">
        <f>2*$B$3624+$D$5058</f>
        <v/>
      </c>
      <c r="K5073" s="21">
        <f>0</f>
        <v/>
      </c>
      <c r="L5073" s="21">
        <f>-$B$3624</f>
        <v/>
      </c>
      <c r="M5073" s="21">
        <f>$B$3625</f>
        <v/>
      </c>
      <c r="N5073" s="21" t="n">
        <v>0</v>
      </c>
      <c r="O5073" s="21" t="n">
        <v>0</v>
      </c>
      <c r="P5073" s="21" t="n">
        <v>0</v>
      </c>
      <c r="Q5073" s="21" t="n">
        <v>0</v>
      </c>
      <c r="R5073" s="21" t="n">
        <v>0</v>
      </c>
      <c r="S5073" s="21" t="n">
        <v>0</v>
      </c>
      <c r="T5073" s="21" t="n">
        <v>0</v>
      </c>
      <c r="U5073" s="21" t="n">
        <v>0</v>
      </c>
      <c r="V5073" s="21" t="n">
        <v>0</v>
      </c>
      <c r="W5073" s="21" t="n">
        <v>0</v>
      </c>
      <c r="X5073" s="21" t="n">
        <v>0</v>
      </c>
      <c r="Y5073" s="21" t="n">
        <v>0</v>
      </c>
      <c r="Z5073" s="19" t="n"/>
    </row>
    <row r="5074">
      <c r="D5074" s="21" t="n">
        <v>0</v>
      </c>
      <c r="E5074" s="21" t="n">
        <v>0</v>
      </c>
      <c r="F5074" s="21" t="n">
        <v>0</v>
      </c>
      <c r="G5074" s="21" t="n">
        <v>0</v>
      </c>
      <c r="H5074" s="21">
        <f>$B$3625</f>
        <v/>
      </c>
      <c r="I5074" s="21">
        <f>$B$3627</f>
        <v/>
      </c>
      <c r="J5074" s="21">
        <f>0</f>
        <v/>
      </c>
      <c r="K5074" s="21">
        <f>2*$B$3626</f>
        <v/>
      </c>
      <c r="L5074" s="21">
        <f>-$B$3625</f>
        <v/>
      </c>
      <c r="M5074" s="21">
        <f>$B$3627</f>
        <v/>
      </c>
      <c r="N5074" s="21" t="n">
        <v>0</v>
      </c>
      <c r="O5074" s="21" t="n">
        <v>0</v>
      </c>
      <c r="P5074" s="21" t="n">
        <v>0</v>
      </c>
      <c r="Q5074" s="21" t="n">
        <v>0</v>
      </c>
      <c r="R5074" s="21" t="n">
        <v>0</v>
      </c>
      <c r="S5074" s="21" t="n">
        <v>0</v>
      </c>
      <c r="T5074" s="21" t="n">
        <v>0</v>
      </c>
      <c r="U5074" s="21" t="n">
        <v>0</v>
      </c>
      <c r="V5074" s="21" t="n">
        <v>0</v>
      </c>
      <c r="W5074" s="21" t="n">
        <v>0</v>
      </c>
      <c r="X5074" s="21" t="n">
        <v>0</v>
      </c>
      <c r="Y5074" s="21" t="n">
        <v>0</v>
      </c>
      <c r="Z5074" s="19" t="n"/>
    </row>
    <row r="5075">
      <c r="D5075" s="21" t="n">
        <v>0</v>
      </c>
      <c r="E5075" s="21" t="n">
        <v>0</v>
      </c>
      <c r="F5075" s="21" t="n">
        <v>0</v>
      </c>
      <c r="G5075" s="21" t="n">
        <v>0</v>
      </c>
      <c r="H5075" s="21" t="n">
        <v>0</v>
      </c>
      <c r="I5075" s="21" t="n">
        <v>0</v>
      </c>
      <c r="J5075" s="21">
        <f>-$B$3624</f>
        <v/>
      </c>
      <c r="K5075" s="21">
        <f>-$B$3625</f>
        <v/>
      </c>
      <c r="L5075" s="21">
        <f>2*$B$3624+$D$5059</f>
        <v/>
      </c>
      <c r="M5075" s="21">
        <f>0</f>
        <v/>
      </c>
      <c r="N5075" s="21">
        <f>-$B$3624</f>
        <v/>
      </c>
      <c r="O5075" s="21">
        <f>$B$3625</f>
        <v/>
      </c>
      <c r="P5075" s="21" t="n">
        <v>0</v>
      </c>
      <c r="Q5075" s="21" t="n">
        <v>0</v>
      </c>
      <c r="R5075" s="21" t="n">
        <v>0</v>
      </c>
      <c r="S5075" s="21" t="n">
        <v>0</v>
      </c>
      <c r="T5075" s="21" t="n">
        <v>0</v>
      </c>
      <c r="U5075" s="21" t="n">
        <v>0</v>
      </c>
      <c r="V5075" s="21" t="n">
        <v>0</v>
      </c>
      <c r="W5075" s="21" t="n">
        <v>0</v>
      </c>
      <c r="X5075" s="21" t="n">
        <v>0</v>
      </c>
      <c r="Y5075" s="21" t="n">
        <v>0</v>
      </c>
      <c r="Z5075" s="19" t="n"/>
    </row>
    <row r="5076">
      <c r="D5076" s="21" t="n">
        <v>0</v>
      </c>
      <c r="E5076" s="21" t="n">
        <v>0</v>
      </c>
      <c r="F5076" s="21" t="n">
        <v>0</v>
      </c>
      <c r="G5076" s="21" t="n">
        <v>0</v>
      </c>
      <c r="H5076" s="21" t="n">
        <v>0</v>
      </c>
      <c r="I5076" s="21" t="n">
        <v>0</v>
      </c>
      <c r="J5076" s="21">
        <f>$B$3625</f>
        <v/>
      </c>
      <c r="K5076" s="21">
        <f>$B$3627</f>
        <v/>
      </c>
      <c r="L5076" s="21">
        <f>0</f>
        <v/>
      </c>
      <c r="M5076" s="21">
        <f>2*$B$3626</f>
        <v/>
      </c>
      <c r="N5076" s="21">
        <f>-$B$3625</f>
        <v/>
      </c>
      <c r="O5076" s="21">
        <f>$B$3627</f>
        <v/>
      </c>
      <c r="P5076" s="21" t="n">
        <v>0</v>
      </c>
      <c r="Q5076" s="21" t="n">
        <v>0</v>
      </c>
      <c r="R5076" s="21" t="n">
        <v>0</v>
      </c>
      <c r="S5076" s="21" t="n">
        <v>0</v>
      </c>
      <c r="T5076" s="21" t="n">
        <v>0</v>
      </c>
      <c r="U5076" s="21" t="n">
        <v>0</v>
      </c>
      <c r="V5076" s="21" t="n">
        <v>0</v>
      </c>
      <c r="W5076" s="21" t="n">
        <v>0</v>
      </c>
      <c r="X5076" s="21" t="n">
        <v>0</v>
      </c>
      <c r="Y5076" s="21" t="n">
        <v>0</v>
      </c>
      <c r="Z5076" s="19" t="n"/>
    </row>
    <row r="5077">
      <c r="D5077" s="21" t="n">
        <v>0</v>
      </c>
      <c r="E5077" s="21" t="n">
        <v>0</v>
      </c>
      <c r="F5077" s="21" t="n">
        <v>0</v>
      </c>
      <c r="G5077" s="21" t="n">
        <v>0</v>
      </c>
      <c r="H5077" s="21" t="n">
        <v>0</v>
      </c>
      <c r="I5077" s="21" t="n">
        <v>0</v>
      </c>
      <c r="J5077" s="21" t="n">
        <v>0</v>
      </c>
      <c r="K5077" s="21" t="n">
        <v>0</v>
      </c>
      <c r="L5077" s="21">
        <f>-$B$3624</f>
        <v/>
      </c>
      <c r="M5077" s="21">
        <f>-$B$3625</f>
        <v/>
      </c>
      <c r="N5077" s="21">
        <f>2*$B$3624+$D$5060</f>
        <v/>
      </c>
      <c r="O5077" s="21">
        <f>0</f>
        <v/>
      </c>
      <c r="P5077" s="21">
        <f>-$B$3624</f>
        <v/>
      </c>
      <c r="Q5077" s="21">
        <f>$B$3625</f>
        <v/>
      </c>
      <c r="R5077" s="21" t="n">
        <v>0</v>
      </c>
      <c r="S5077" s="21" t="n">
        <v>0</v>
      </c>
      <c r="T5077" s="21" t="n">
        <v>0</v>
      </c>
      <c r="U5077" s="21" t="n">
        <v>0</v>
      </c>
      <c r="V5077" s="21" t="n">
        <v>0</v>
      </c>
      <c r="W5077" s="21" t="n">
        <v>0</v>
      </c>
      <c r="X5077" s="21" t="n">
        <v>0</v>
      </c>
      <c r="Y5077" s="21" t="n">
        <v>0</v>
      </c>
      <c r="Z5077" s="19" t="n"/>
    </row>
    <row r="5078">
      <c r="D5078" s="21" t="n">
        <v>0</v>
      </c>
      <c r="E5078" s="21" t="n">
        <v>0</v>
      </c>
      <c r="F5078" s="21" t="n">
        <v>0</v>
      </c>
      <c r="G5078" s="21" t="n">
        <v>0</v>
      </c>
      <c r="H5078" s="21" t="n">
        <v>0</v>
      </c>
      <c r="I5078" s="21" t="n">
        <v>0</v>
      </c>
      <c r="J5078" s="21" t="n">
        <v>0</v>
      </c>
      <c r="K5078" s="21" t="n">
        <v>0</v>
      </c>
      <c r="L5078" s="21">
        <f>$B$3625</f>
        <v/>
      </c>
      <c r="M5078" s="21">
        <f>$B$3627</f>
        <v/>
      </c>
      <c r="N5078" s="21">
        <f>0</f>
        <v/>
      </c>
      <c r="O5078" s="21">
        <f>2*$B$3626</f>
        <v/>
      </c>
      <c r="P5078" s="21">
        <f>-$B$3625</f>
        <v/>
      </c>
      <c r="Q5078" s="21">
        <f>$B$3627</f>
        <v/>
      </c>
      <c r="R5078" s="21" t="n">
        <v>0</v>
      </c>
      <c r="S5078" s="21" t="n">
        <v>0</v>
      </c>
      <c r="T5078" s="21" t="n">
        <v>0</v>
      </c>
      <c r="U5078" s="21" t="n">
        <v>0</v>
      </c>
      <c r="V5078" s="21" t="n">
        <v>0</v>
      </c>
      <c r="W5078" s="21" t="n">
        <v>0</v>
      </c>
      <c r="X5078" s="21" t="n">
        <v>0</v>
      </c>
      <c r="Y5078" s="21" t="n">
        <v>0</v>
      </c>
      <c r="Z5078" s="19" t="n"/>
    </row>
    <row r="5079">
      <c r="D5079" s="21" t="n">
        <v>0</v>
      </c>
      <c r="E5079" s="21" t="n">
        <v>0</v>
      </c>
      <c r="F5079" s="21" t="n">
        <v>0</v>
      </c>
      <c r="G5079" s="21" t="n">
        <v>0</v>
      </c>
      <c r="H5079" s="21" t="n">
        <v>0</v>
      </c>
      <c r="I5079" s="21" t="n">
        <v>0</v>
      </c>
      <c r="J5079" s="21" t="n">
        <v>0</v>
      </c>
      <c r="K5079" s="21" t="n">
        <v>0</v>
      </c>
      <c r="L5079" s="21" t="n">
        <v>0</v>
      </c>
      <c r="M5079" s="21" t="n">
        <v>0</v>
      </c>
      <c r="N5079" s="21">
        <f>-$B$3624</f>
        <v/>
      </c>
      <c r="O5079" s="21">
        <f>-$B$3625</f>
        <v/>
      </c>
      <c r="P5079" s="21">
        <f>2*$B$3624+$D$5061</f>
        <v/>
      </c>
      <c r="Q5079" s="21">
        <f>0</f>
        <v/>
      </c>
      <c r="R5079" s="21">
        <f>-$B$3624</f>
        <v/>
      </c>
      <c r="S5079" s="21">
        <f>$B$3625</f>
        <v/>
      </c>
      <c r="T5079" s="21" t="n">
        <v>0</v>
      </c>
      <c r="U5079" s="21" t="n">
        <v>0</v>
      </c>
      <c r="V5079" s="21" t="n">
        <v>0</v>
      </c>
      <c r="W5079" s="21" t="n">
        <v>0</v>
      </c>
      <c r="X5079" s="21" t="n">
        <v>0</v>
      </c>
      <c r="Y5079" s="21" t="n">
        <v>0</v>
      </c>
      <c r="Z5079" s="19" t="n"/>
    </row>
    <row r="5080">
      <c r="D5080" s="21" t="n">
        <v>0</v>
      </c>
      <c r="E5080" s="21" t="n">
        <v>0</v>
      </c>
      <c r="F5080" s="21" t="n">
        <v>0</v>
      </c>
      <c r="G5080" s="21" t="n">
        <v>0</v>
      </c>
      <c r="H5080" s="21" t="n">
        <v>0</v>
      </c>
      <c r="I5080" s="21" t="n">
        <v>0</v>
      </c>
      <c r="J5080" s="21" t="n">
        <v>0</v>
      </c>
      <c r="K5080" s="21" t="n">
        <v>0</v>
      </c>
      <c r="L5080" s="21" t="n">
        <v>0</v>
      </c>
      <c r="M5080" s="21" t="n">
        <v>0</v>
      </c>
      <c r="N5080" s="21">
        <f>$B$3625</f>
        <v/>
      </c>
      <c r="O5080" s="21">
        <f>$B$3627</f>
        <v/>
      </c>
      <c r="P5080" s="21">
        <f>0</f>
        <v/>
      </c>
      <c r="Q5080" s="21">
        <f>2*$B$3626</f>
        <v/>
      </c>
      <c r="R5080" s="21">
        <f>-$B$3625</f>
        <v/>
      </c>
      <c r="S5080" s="21">
        <f>$B$3627</f>
        <v/>
      </c>
      <c r="T5080" s="21" t="n">
        <v>0</v>
      </c>
      <c r="U5080" s="21" t="n">
        <v>0</v>
      </c>
      <c r="V5080" s="21" t="n">
        <v>0</v>
      </c>
      <c r="W5080" s="21" t="n">
        <v>0</v>
      </c>
      <c r="X5080" s="21" t="n">
        <v>0</v>
      </c>
      <c r="Y5080" s="21" t="n">
        <v>0</v>
      </c>
      <c r="Z5080" s="19" t="n"/>
    </row>
    <row r="5081">
      <c r="D5081" s="21" t="n">
        <v>0</v>
      </c>
      <c r="E5081" s="21" t="n">
        <v>0</v>
      </c>
      <c r="F5081" s="21" t="n">
        <v>0</v>
      </c>
      <c r="G5081" s="21" t="n">
        <v>0</v>
      </c>
      <c r="H5081" s="21" t="n">
        <v>0</v>
      </c>
      <c r="I5081" s="21" t="n">
        <v>0</v>
      </c>
      <c r="J5081" s="21" t="n">
        <v>0</v>
      </c>
      <c r="K5081" s="21" t="n">
        <v>0</v>
      </c>
      <c r="L5081" s="21" t="n">
        <v>0</v>
      </c>
      <c r="M5081" s="21" t="n">
        <v>0</v>
      </c>
      <c r="N5081" s="21" t="n">
        <v>0</v>
      </c>
      <c r="O5081" s="21" t="n">
        <v>0</v>
      </c>
      <c r="P5081" s="21">
        <f>-$B$3624</f>
        <v/>
      </c>
      <c r="Q5081" s="21">
        <f>-$B$3625</f>
        <v/>
      </c>
      <c r="R5081" s="21">
        <f>2*$B$3624+$D$5062</f>
        <v/>
      </c>
      <c r="S5081" s="21">
        <f>0</f>
        <v/>
      </c>
      <c r="T5081" s="21">
        <f>-$B$3624</f>
        <v/>
      </c>
      <c r="U5081" s="21">
        <f>$B$3625</f>
        <v/>
      </c>
      <c r="V5081" s="21" t="n">
        <v>0</v>
      </c>
      <c r="W5081" s="21" t="n">
        <v>0</v>
      </c>
      <c r="X5081" s="21" t="n">
        <v>0</v>
      </c>
      <c r="Y5081" s="21" t="n">
        <v>0</v>
      </c>
      <c r="Z5081" s="19" t="n"/>
    </row>
    <row r="5082">
      <c r="D5082" s="21" t="n">
        <v>0</v>
      </c>
      <c r="E5082" s="21" t="n">
        <v>0</v>
      </c>
      <c r="F5082" s="21" t="n">
        <v>0</v>
      </c>
      <c r="G5082" s="21" t="n">
        <v>0</v>
      </c>
      <c r="H5082" s="21" t="n">
        <v>0</v>
      </c>
      <c r="I5082" s="21" t="n">
        <v>0</v>
      </c>
      <c r="J5082" s="21" t="n">
        <v>0</v>
      </c>
      <c r="K5082" s="21" t="n">
        <v>0</v>
      </c>
      <c r="L5082" s="21" t="n">
        <v>0</v>
      </c>
      <c r="M5082" s="21" t="n">
        <v>0</v>
      </c>
      <c r="N5082" s="21" t="n">
        <v>0</v>
      </c>
      <c r="O5082" s="21" t="n">
        <v>0</v>
      </c>
      <c r="P5082" s="21">
        <f>$B$3625</f>
        <v/>
      </c>
      <c r="Q5082" s="21">
        <f>$B$3627</f>
        <v/>
      </c>
      <c r="R5082" s="21">
        <f>0</f>
        <v/>
      </c>
      <c r="S5082" s="21">
        <f>2*$B$3626</f>
        <v/>
      </c>
      <c r="T5082" s="21">
        <f>-$B$3625</f>
        <v/>
      </c>
      <c r="U5082" s="21">
        <f>$B$3627</f>
        <v/>
      </c>
      <c r="V5082" s="21" t="n">
        <v>0</v>
      </c>
      <c r="W5082" s="21" t="n">
        <v>0</v>
      </c>
      <c r="X5082" s="21" t="n">
        <v>0</v>
      </c>
      <c r="Y5082" s="21" t="n">
        <v>0</v>
      </c>
      <c r="Z5082" s="19" t="n"/>
    </row>
    <row r="5083">
      <c r="D5083" s="21" t="n">
        <v>0</v>
      </c>
      <c r="E5083" s="21" t="n">
        <v>0</v>
      </c>
      <c r="F5083" s="21" t="n">
        <v>0</v>
      </c>
      <c r="G5083" s="21" t="n">
        <v>0</v>
      </c>
      <c r="H5083" s="21" t="n">
        <v>0</v>
      </c>
      <c r="I5083" s="21" t="n">
        <v>0</v>
      </c>
      <c r="J5083" s="21" t="n">
        <v>0</v>
      </c>
      <c r="K5083" s="21" t="n">
        <v>0</v>
      </c>
      <c r="L5083" s="21" t="n">
        <v>0</v>
      </c>
      <c r="M5083" s="21" t="n">
        <v>0</v>
      </c>
      <c r="N5083" s="21" t="n">
        <v>0</v>
      </c>
      <c r="O5083" s="21" t="n">
        <v>0</v>
      </c>
      <c r="P5083" s="21" t="n">
        <v>0</v>
      </c>
      <c r="Q5083" s="21" t="n">
        <v>0</v>
      </c>
      <c r="R5083" s="21">
        <f>-$B$3624</f>
        <v/>
      </c>
      <c r="S5083" s="21">
        <f>-$B$3625</f>
        <v/>
      </c>
      <c r="T5083" s="21">
        <f>2*$B$3624+$D$5063</f>
        <v/>
      </c>
      <c r="U5083" s="21">
        <f>0</f>
        <v/>
      </c>
      <c r="V5083" s="21">
        <f>-$B$3624</f>
        <v/>
      </c>
      <c r="W5083" s="21">
        <f>$B$3625</f>
        <v/>
      </c>
      <c r="X5083" s="21" t="n">
        <v>0</v>
      </c>
      <c r="Y5083" s="21" t="n">
        <v>0</v>
      </c>
      <c r="Z5083" s="19" t="n"/>
    </row>
    <row r="5084">
      <c r="D5084" s="21" t="n">
        <v>0</v>
      </c>
      <c r="E5084" s="21" t="n">
        <v>0</v>
      </c>
      <c r="F5084" s="21" t="n">
        <v>0</v>
      </c>
      <c r="G5084" s="21" t="n">
        <v>0</v>
      </c>
      <c r="H5084" s="21" t="n">
        <v>0</v>
      </c>
      <c r="I5084" s="21" t="n">
        <v>0</v>
      </c>
      <c r="J5084" s="21" t="n">
        <v>0</v>
      </c>
      <c r="K5084" s="21" t="n">
        <v>0</v>
      </c>
      <c r="L5084" s="21" t="n">
        <v>0</v>
      </c>
      <c r="M5084" s="21" t="n">
        <v>0</v>
      </c>
      <c r="N5084" s="21" t="n">
        <v>0</v>
      </c>
      <c r="O5084" s="21" t="n">
        <v>0</v>
      </c>
      <c r="P5084" s="21" t="n">
        <v>0</v>
      </c>
      <c r="Q5084" s="21" t="n">
        <v>0</v>
      </c>
      <c r="R5084" s="21">
        <f>$B$3625</f>
        <v/>
      </c>
      <c r="S5084" s="21">
        <f>$B$3627</f>
        <v/>
      </c>
      <c r="T5084" s="21">
        <f>0</f>
        <v/>
      </c>
      <c r="U5084" s="21">
        <f>2*$B$3626</f>
        <v/>
      </c>
      <c r="V5084" s="21">
        <f>-$B$3625</f>
        <v/>
      </c>
      <c r="W5084" s="21">
        <f>$B$3627</f>
        <v/>
      </c>
      <c r="X5084" s="21" t="n">
        <v>0</v>
      </c>
      <c r="Y5084" s="21" t="n">
        <v>0</v>
      </c>
      <c r="Z5084" s="19" t="n"/>
    </row>
    <row r="5085">
      <c r="D5085" s="21" t="n">
        <v>0</v>
      </c>
      <c r="E5085" s="21" t="n">
        <v>0</v>
      </c>
      <c r="F5085" s="21" t="n">
        <v>0</v>
      </c>
      <c r="G5085" s="21" t="n">
        <v>0</v>
      </c>
      <c r="H5085" s="21" t="n">
        <v>0</v>
      </c>
      <c r="I5085" s="21" t="n">
        <v>0</v>
      </c>
      <c r="J5085" s="21" t="n">
        <v>0</v>
      </c>
      <c r="K5085" s="21" t="n">
        <v>0</v>
      </c>
      <c r="L5085" s="21" t="n">
        <v>0</v>
      </c>
      <c r="M5085" s="21" t="n">
        <v>0</v>
      </c>
      <c r="N5085" s="21" t="n">
        <v>0</v>
      </c>
      <c r="O5085" s="21" t="n">
        <v>0</v>
      </c>
      <c r="P5085" s="21" t="n">
        <v>0</v>
      </c>
      <c r="Q5085" s="21" t="n">
        <v>0</v>
      </c>
      <c r="R5085" s="21" t="n">
        <v>0</v>
      </c>
      <c r="S5085" s="21" t="n">
        <v>0</v>
      </c>
      <c r="T5085" s="21">
        <f>-$B$3624</f>
        <v/>
      </c>
      <c r="U5085" s="21">
        <f>-$B$3625</f>
        <v/>
      </c>
      <c r="V5085" s="21">
        <f>2*$B$3624+$D$5064</f>
        <v/>
      </c>
      <c r="W5085" s="21">
        <f>0</f>
        <v/>
      </c>
      <c r="X5085" s="21">
        <f>-$B$3624</f>
        <v/>
      </c>
      <c r="Y5085" s="21">
        <f>$B$3625</f>
        <v/>
      </c>
      <c r="Z5085" s="19" t="n"/>
    </row>
    <row r="5086">
      <c r="D5086" s="21" t="n">
        <v>0</v>
      </c>
      <c r="E5086" s="21" t="n">
        <v>0</v>
      </c>
      <c r="F5086" s="21" t="n">
        <v>0</v>
      </c>
      <c r="G5086" s="21" t="n">
        <v>0</v>
      </c>
      <c r="H5086" s="21" t="n">
        <v>0</v>
      </c>
      <c r="I5086" s="21" t="n">
        <v>0</v>
      </c>
      <c r="J5086" s="21" t="n">
        <v>0</v>
      </c>
      <c r="K5086" s="21" t="n">
        <v>0</v>
      </c>
      <c r="L5086" s="21" t="n">
        <v>0</v>
      </c>
      <c r="M5086" s="21" t="n">
        <v>0</v>
      </c>
      <c r="N5086" s="21" t="n">
        <v>0</v>
      </c>
      <c r="O5086" s="21" t="n">
        <v>0</v>
      </c>
      <c r="P5086" s="21" t="n">
        <v>0</v>
      </c>
      <c r="Q5086" s="21" t="n">
        <v>0</v>
      </c>
      <c r="R5086" s="21" t="n">
        <v>0</v>
      </c>
      <c r="S5086" s="21" t="n">
        <v>0</v>
      </c>
      <c r="T5086" s="21">
        <f>$B$3625</f>
        <v/>
      </c>
      <c r="U5086" s="21">
        <f>$B$3627</f>
        <v/>
      </c>
      <c r="V5086" s="21">
        <f>0</f>
        <v/>
      </c>
      <c r="W5086" s="21">
        <f>2*$B$3626</f>
        <v/>
      </c>
      <c r="X5086" s="21">
        <f>-$B$3625</f>
        <v/>
      </c>
      <c r="Y5086" s="21">
        <f>$B$3627</f>
        <v/>
      </c>
      <c r="Z5086" s="19" t="n"/>
    </row>
    <row r="5087">
      <c r="D5087" s="21" t="n">
        <v>0</v>
      </c>
      <c r="E5087" s="21" t="n">
        <v>0</v>
      </c>
      <c r="F5087" s="21" t="n">
        <v>0</v>
      </c>
      <c r="G5087" s="21" t="n">
        <v>0</v>
      </c>
      <c r="H5087" s="21" t="n">
        <v>0</v>
      </c>
      <c r="I5087" s="21" t="n">
        <v>0</v>
      </c>
      <c r="J5087" s="21" t="n">
        <v>0</v>
      </c>
      <c r="K5087" s="21" t="n">
        <v>0</v>
      </c>
      <c r="L5087" s="21" t="n">
        <v>0</v>
      </c>
      <c r="M5087" s="21" t="n">
        <v>0</v>
      </c>
      <c r="N5087" s="21" t="n">
        <v>0</v>
      </c>
      <c r="O5087" s="21" t="n">
        <v>0</v>
      </c>
      <c r="P5087" s="21" t="n">
        <v>0</v>
      </c>
      <c r="Q5087" s="21" t="n">
        <v>0</v>
      </c>
      <c r="R5087" s="21" t="n">
        <v>0</v>
      </c>
      <c r="S5087" s="21" t="n">
        <v>0</v>
      </c>
      <c r="T5087" s="21" t="n">
        <v>0</v>
      </c>
      <c r="U5087" s="21" t="n">
        <v>0</v>
      </c>
      <c r="V5087" s="21">
        <f>-$B$3624</f>
        <v/>
      </c>
      <c r="W5087" s="21">
        <f>-$B$3625</f>
        <v/>
      </c>
      <c r="X5087" s="21">
        <f>$B$3624+$D$5065</f>
        <v/>
      </c>
      <c r="Y5087" s="21">
        <f>-$B$3625</f>
        <v/>
      </c>
      <c r="Z5087" s="19" t="n"/>
    </row>
    <row r="5088">
      <c r="D5088" s="21" t="n">
        <v>0</v>
      </c>
      <c r="E5088" s="21" t="n">
        <v>0</v>
      </c>
      <c r="F5088" s="21" t="n">
        <v>0</v>
      </c>
      <c r="G5088" s="21" t="n">
        <v>0</v>
      </c>
      <c r="H5088" s="21" t="n">
        <v>0</v>
      </c>
      <c r="I5088" s="21" t="n">
        <v>0</v>
      </c>
      <c r="J5088" s="21" t="n">
        <v>0</v>
      </c>
      <c r="K5088" s="21" t="n">
        <v>0</v>
      </c>
      <c r="L5088" s="21" t="n">
        <v>0</v>
      </c>
      <c r="M5088" s="21" t="n">
        <v>0</v>
      </c>
      <c r="N5088" s="21" t="n">
        <v>0</v>
      </c>
      <c r="O5088" s="21" t="n">
        <v>0</v>
      </c>
      <c r="P5088" s="21" t="n">
        <v>0</v>
      </c>
      <c r="Q5088" s="21" t="n">
        <v>0</v>
      </c>
      <c r="R5088" s="21" t="n">
        <v>0</v>
      </c>
      <c r="S5088" s="21" t="n">
        <v>0</v>
      </c>
      <c r="T5088" s="21" t="n">
        <v>0</v>
      </c>
      <c r="U5088" s="21" t="n">
        <v>0</v>
      </c>
      <c r="V5088" s="21">
        <f>$B$3625</f>
        <v/>
      </c>
      <c r="W5088" s="21">
        <f>$B$3627</f>
        <v/>
      </c>
      <c r="X5088" s="21">
        <f>-$B$3625</f>
        <v/>
      </c>
      <c r="Y5088" s="21">
        <f>$B$3626</f>
        <v/>
      </c>
      <c r="Z5088" s="19" t="n"/>
    </row>
    <row r="5090">
      <c r="A5090" s="8" t="inlineStr">
        <is>
          <t>gen 40</t>
        </is>
      </c>
    </row>
    <row r="5091">
      <c r="D5091" s="19">
        <f>IF(ABS(IF(ABS($E$5055)&gt;0.000000001,$E$5055,0.000000001))=0,0,IF($E$3639&lt;=$B$3633,0,IF(ABS(IF(ABS($E$5055)&gt;0.000000001,$E$5055,0.000000001))&gt;=8*$B$3635,$H$3639,0.5*$H$3639*(ABS(IF(ABS($E$5055)&gt;0.000000001,$E$5055,0.000000001))/$B$3635)^(1/3)))/ABS(IF(ABS($E$5055)&gt;0.000000001,$E$5055,0.000000001))*$I$3639)</f>
        <v/>
      </c>
      <c r="E5091" s="19">
        <f>0.5*$E$5055+0.5*$Z$5103</f>
        <v/>
      </c>
      <c r="F5091" s="19">
        <f>$Z$5104</f>
        <v/>
      </c>
    </row>
    <row r="5092">
      <c r="D5092" s="19">
        <f>IF(ABS(IF(ABS($E$5056)&gt;0.000000001,$E$5056,0.000000001))=0,0,IF($E$3640&lt;=$B$3633,0,IF(ABS(IF(ABS($E$5056)&gt;0.000000001,$E$5056,0.000000001))&gt;=8*$B$3635,$H$3640,0.5*$H$3640*(ABS(IF(ABS($E$5056)&gt;0.000000001,$E$5056,0.000000001))/$B$3635)^(1/3)))/ABS(IF(ABS($E$5056)&gt;0.000000001,$E$5056,0.000000001))*$I$3640)</f>
        <v/>
      </c>
      <c r="E5092" s="19">
        <f>0.5*$E$5056+0.5*$Z$5105</f>
        <v/>
      </c>
      <c r="F5092" s="19">
        <f>$Z$5106</f>
        <v/>
      </c>
    </row>
    <row r="5093">
      <c r="D5093" s="19">
        <f>IF(ABS(IF(ABS($E$5057)&gt;0.000000001,$E$5057,0.000000001))=0,0,IF($E$3641&lt;=$B$3633,0,IF(ABS(IF(ABS($E$5057)&gt;0.000000001,$E$5057,0.000000001))&gt;=8*$B$3635,$H$3641,0.5*$H$3641*(ABS(IF(ABS($E$5057)&gt;0.000000001,$E$5057,0.000000001))/$B$3635)^(1/3)))/ABS(IF(ABS($E$5057)&gt;0.000000001,$E$5057,0.000000001))*$I$3641)</f>
        <v/>
      </c>
      <c r="E5093" s="19">
        <f>0.5*$E$5057+0.5*$Z$5107</f>
        <v/>
      </c>
      <c r="F5093" s="19">
        <f>$Z$5108</f>
        <v/>
      </c>
    </row>
    <row r="5094">
      <c r="D5094" s="19">
        <f>IF(ABS(IF(ABS($E$5058)&gt;0.000000001,$E$5058,0.000000001))=0,0,IF($E$3642&lt;=$B$3633,0,IF(ABS(IF(ABS($E$5058)&gt;0.000000001,$E$5058,0.000000001))&gt;=8*$B$3635,$H$3642,0.5*$H$3642*(ABS(IF(ABS($E$5058)&gt;0.000000001,$E$5058,0.000000001))/$B$3635)^(1/3)))/ABS(IF(ABS($E$5058)&gt;0.000000001,$E$5058,0.000000001))*$I$3642)</f>
        <v/>
      </c>
      <c r="E5094" s="19">
        <f>0.5*$E$5058+0.5*$Z$5109</f>
        <v/>
      </c>
      <c r="F5094" s="19">
        <f>$Z$5110</f>
        <v/>
      </c>
    </row>
    <row r="5095">
      <c r="D5095" s="19">
        <f>IF(ABS(IF(ABS($E$5059)&gt;0.000000001,$E$5059,0.000000001))=0,0,IF($E$3643&lt;=$B$3633,0,IF(ABS(IF(ABS($E$5059)&gt;0.000000001,$E$5059,0.000000001))&gt;=8*$B$3635,$H$3643,0.5*$H$3643*(ABS(IF(ABS($E$5059)&gt;0.000000001,$E$5059,0.000000001))/$B$3635)^(1/3)))/ABS(IF(ABS($E$5059)&gt;0.000000001,$E$5059,0.000000001))*$I$3643)</f>
        <v/>
      </c>
      <c r="E5095" s="19">
        <f>0.5*$E$5059+0.5*$Z$5111</f>
        <v/>
      </c>
      <c r="F5095" s="19">
        <f>$Z$5112</f>
        <v/>
      </c>
    </row>
    <row r="5096">
      <c r="D5096" s="19">
        <f>IF(ABS(IF(ABS($E$5060)&gt;0.000000001,$E$5060,0.000000001))=0,0,IF($E$3644&lt;=$B$3633,0,IF(ABS(IF(ABS($E$5060)&gt;0.000000001,$E$5060,0.000000001))&gt;=8*$B$3635,$H$3644,0.5*$H$3644*(ABS(IF(ABS($E$5060)&gt;0.000000001,$E$5060,0.000000001))/$B$3635)^(1/3)))/ABS(IF(ABS($E$5060)&gt;0.000000001,$E$5060,0.000000001))*$I$3644)</f>
        <v/>
      </c>
      <c r="E5096" s="19">
        <f>0.5*$E$5060+0.5*$Z$5113</f>
        <v/>
      </c>
      <c r="F5096" s="19">
        <f>$Z$5114</f>
        <v/>
      </c>
    </row>
    <row r="5097">
      <c r="D5097" s="19">
        <f>IF(ABS(IF(ABS($E$5061)&gt;0.000000001,$E$5061,0.000000001))=0,0,IF($E$3645&lt;=$B$3633,0,IF(ABS(IF(ABS($E$5061)&gt;0.000000001,$E$5061,0.000000001))&gt;=8*$B$3635,$H$3645,0.5*$H$3645*(ABS(IF(ABS($E$5061)&gt;0.000000001,$E$5061,0.000000001))/$B$3635)^(1/3)))/ABS(IF(ABS($E$5061)&gt;0.000000001,$E$5061,0.000000001))*$I$3645)</f>
        <v/>
      </c>
      <c r="E5097" s="19">
        <f>0.5*$E$5061+0.5*$Z$5115</f>
        <v/>
      </c>
      <c r="F5097" s="19">
        <f>$Z$5116</f>
        <v/>
      </c>
    </row>
    <row r="5098">
      <c r="D5098" s="19">
        <f>IF(ABS(IF(ABS($E$5062)&gt;0.000000001,$E$5062,0.000000001))=0,0,IF($E$3646&lt;=$B$3633,0,IF(ABS(IF(ABS($E$5062)&gt;0.000000001,$E$5062,0.000000001))&gt;=8*$B$3635,$H$3646,0.5*$H$3646*(ABS(IF(ABS($E$5062)&gt;0.000000001,$E$5062,0.000000001))/$B$3635)^(1/3)))/ABS(IF(ABS($E$5062)&gt;0.000000001,$E$5062,0.000000001))*$I$3646)</f>
        <v/>
      </c>
      <c r="E5098" s="19">
        <f>0.5*$E$5062+0.5*$Z$5117</f>
        <v/>
      </c>
      <c r="F5098" s="19">
        <f>$Z$5118</f>
        <v/>
      </c>
    </row>
    <row r="5099">
      <c r="D5099" s="19">
        <f>IF(ABS(IF(ABS($E$5063)&gt;0.000000001,$E$5063,0.000000001))=0,0,IF($E$3647&lt;=$B$3633,0,IF(ABS(IF(ABS($E$5063)&gt;0.000000001,$E$5063,0.000000001))&gt;=8*$B$3635,$H$3647,0.5*$H$3647*(ABS(IF(ABS($E$5063)&gt;0.000000001,$E$5063,0.000000001))/$B$3635)^(1/3)))/ABS(IF(ABS($E$5063)&gt;0.000000001,$E$5063,0.000000001))*$I$3647)</f>
        <v/>
      </c>
      <c r="E5099" s="19">
        <f>0.5*$E$5063+0.5*$Z$5119</f>
        <v/>
      </c>
      <c r="F5099" s="19">
        <f>$Z$5120</f>
        <v/>
      </c>
    </row>
    <row r="5100">
      <c r="D5100" s="19">
        <f>IF(ABS(IF(ABS($E$5064)&gt;0.000000001,$E$5064,0.000000001))=0,0,IF($E$3648&lt;=$B$3633,0,IF(ABS(IF(ABS($E$5064)&gt;0.000000001,$E$5064,0.000000001))&gt;=8*$B$3635,$H$3648,0.5*$H$3648*(ABS(IF(ABS($E$5064)&gt;0.000000001,$E$5064,0.000000001))/$B$3635)^(1/3)))/ABS(IF(ABS($E$5064)&gt;0.000000001,$E$5064,0.000000001))*$I$3648)</f>
        <v/>
      </c>
      <c r="E5100" s="19">
        <f>0.5*$E$5064+0.5*$Z$5121</f>
        <v/>
      </c>
      <c r="F5100" s="19">
        <f>$Z$5122</f>
        <v/>
      </c>
    </row>
    <row r="5101">
      <c r="D5101" s="19">
        <f>IF(ABS(IF(ABS($E$5065)&gt;0.000000001,$E$5065,0.000000001))=0,0,IF($E$3649&lt;=$B$3633,0,IF(ABS(IF(ABS($E$5065)&gt;0.000000001,$E$5065,0.000000001))&gt;=8*$B$3635,$H$3649,0.5*$H$3649*(ABS(IF(ABS($E$5065)&gt;0.000000001,$E$5065,0.000000001))/$B$3635)^(1/3)))/ABS(IF(ABS($E$5065)&gt;0.000000001,$E$5065,0.000000001))*$I$3649)</f>
        <v/>
      </c>
      <c r="E5101" s="19">
        <f>0.5*$E$5065+0.5*$Z$5123</f>
        <v/>
      </c>
      <c r="F5101" s="19">
        <f>$Z$5124</f>
        <v/>
      </c>
    </row>
    <row r="5103">
      <c r="D5103" s="21">
        <f>$B$3624+$D$5091</f>
        <v/>
      </c>
      <c r="E5103" s="21">
        <f>$B$3625</f>
        <v/>
      </c>
      <c r="F5103" s="21">
        <f>-$B$3624</f>
        <v/>
      </c>
      <c r="G5103" s="21">
        <f>$B$3625</f>
        <v/>
      </c>
      <c r="H5103" s="21" t="n">
        <v>0</v>
      </c>
      <c r="I5103" s="21" t="n">
        <v>0</v>
      </c>
      <c r="J5103" s="21" t="n">
        <v>0</v>
      </c>
      <c r="K5103" s="21" t="n">
        <v>0</v>
      </c>
      <c r="L5103" s="21" t="n">
        <v>0</v>
      </c>
      <c r="M5103" s="21" t="n">
        <v>0</v>
      </c>
      <c r="N5103" s="21" t="n">
        <v>0</v>
      </c>
      <c r="O5103" s="21" t="n">
        <v>0</v>
      </c>
      <c r="P5103" s="21" t="n">
        <v>0</v>
      </c>
      <c r="Q5103" s="21" t="n">
        <v>0</v>
      </c>
      <c r="R5103" s="21" t="n">
        <v>0</v>
      </c>
      <c r="S5103" s="21" t="n">
        <v>0</v>
      </c>
      <c r="T5103" s="21" t="n">
        <v>0</v>
      </c>
      <c r="U5103" s="21" t="n">
        <v>0</v>
      </c>
      <c r="V5103" s="21" t="n">
        <v>0</v>
      </c>
      <c r="W5103" s="21" t="n">
        <v>0</v>
      </c>
      <c r="X5103" s="21" t="n">
        <v>0</v>
      </c>
      <c r="Y5103" s="21" t="n">
        <v>0</v>
      </c>
      <c r="Z5103" s="19">
        <f t="array" ref="Z5103:Z5124">MMULT(MINVERSE($D$5103:$Y$5124),$D$3651:$D$3672)</f>
        <v/>
      </c>
    </row>
    <row r="5104">
      <c r="D5104" s="21">
        <f>$B$3625</f>
        <v/>
      </c>
      <c r="E5104" s="21">
        <f>$B$3626</f>
        <v/>
      </c>
      <c r="F5104" s="21">
        <f>-$B$3625</f>
        <v/>
      </c>
      <c r="G5104" s="21">
        <f>$B$3627</f>
        <v/>
      </c>
      <c r="H5104" s="21" t="n">
        <v>0</v>
      </c>
      <c r="I5104" s="21" t="n">
        <v>0</v>
      </c>
      <c r="J5104" s="21" t="n">
        <v>0</v>
      </c>
      <c r="K5104" s="21" t="n">
        <v>0</v>
      </c>
      <c r="L5104" s="21" t="n">
        <v>0</v>
      </c>
      <c r="M5104" s="21" t="n">
        <v>0</v>
      </c>
      <c r="N5104" s="21" t="n">
        <v>0</v>
      </c>
      <c r="O5104" s="21" t="n">
        <v>0</v>
      </c>
      <c r="P5104" s="21" t="n">
        <v>0</v>
      </c>
      <c r="Q5104" s="21" t="n">
        <v>0</v>
      </c>
      <c r="R5104" s="21" t="n">
        <v>0</v>
      </c>
      <c r="S5104" s="21" t="n">
        <v>0</v>
      </c>
      <c r="T5104" s="21" t="n">
        <v>0</v>
      </c>
      <c r="U5104" s="21" t="n">
        <v>0</v>
      </c>
      <c r="V5104" s="21" t="n">
        <v>0</v>
      </c>
      <c r="W5104" s="21" t="n">
        <v>0</v>
      </c>
      <c r="X5104" s="21" t="n">
        <v>0</v>
      </c>
      <c r="Y5104" s="21" t="n">
        <v>0</v>
      </c>
      <c r="Z5104" s="19" t="n"/>
    </row>
    <row r="5105">
      <c r="D5105" s="21">
        <f>-$B$3624</f>
        <v/>
      </c>
      <c r="E5105" s="21">
        <f>-$B$3625</f>
        <v/>
      </c>
      <c r="F5105" s="21">
        <f>2*$B$3624+$D$5092</f>
        <v/>
      </c>
      <c r="G5105" s="21">
        <f>0</f>
        <v/>
      </c>
      <c r="H5105" s="21">
        <f>-$B$3624</f>
        <v/>
      </c>
      <c r="I5105" s="21">
        <f>$B$3625</f>
        <v/>
      </c>
      <c r="J5105" s="21" t="n">
        <v>0</v>
      </c>
      <c r="K5105" s="21" t="n">
        <v>0</v>
      </c>
      <c r="L5105" s="21" t="n">
        <v>0</v>
      </c>
      <c r="M5105" s="21" t="n">
        <v>0</v>
      </c>
      <c r="N5105" s="21" t="n">
        <v>0</v>
      </c>
      <c r="O5105" s="21" t="n">
        <v>0</v>
      </c>
      <c r="P5105" s="21" t="n">
        <v>0</v>
      </c>
      <c r="Q5105" s="21" t="n">
        <v>0</v>
      </c>
      <c r="R5105" s="21" t="n">
        <v>0</v>
      </c>
      <c r="S5105" s="21" t="n">
        <v>0</v>
      </c>
      <c r="T5105" s="21" t="n">
        <v>0</v>
      </c>
      <c r="U5105" s="21" t="n">
        <v>0</v>
      </c>
      <c r="V5105" s="21" t="n">
        <v>0</v>
      </c>
      <c r="W5105" s="21" t="n">
        <v>0</v>
      </c>
      <c r="X5105" s="21" t="n">
        <v>0</v>
      </c>
      <c r="Y5105" s="21" t="n">
        <v>0</v>
      </c>
      <c r="Z5105" s="19" t="n"/>
    </row>
    <row r="5106">
      <c r="D5106" s="21">
        <f>$B$3625</f>
        <v/>
      </c>
      <c r="E5106" s="21">
        <f>$B$3627</f>
        <v/>
      </c>
      <c r="F5106" s="21">
        <f>0</f>
        <v/>
      </c>
      <c r="G5106" s="21">
        <f>2*$B$3626</f>
        <v/>
      </c>
      <c r="H5106" s="21">
        <f>-$B$3625</f>
        <v/>
      </c>
      <c r="I5106" s="21">
        <f>$B$3627</f>
        <v/>
      </c>
      <c r="J5106" s="21" t="n">
        <v>0</v>
      </c>
      <c r="K5106" s="21" t="n">
        <v>0</v>
      </c>
      <c r="L5106" s="21" t="n">
        <v>0</v>
      </c>
      <c r="M5106" s="21" t="n">
        <v>0</v>
      </c>
      <c r="N5106" s="21" t="n">
        <v>0</v>
      </c>
      <c r="O5106" s="21" t="n">
        <v>0</v>
      </c>
      <c r="P5106" s="21" t="n">
        <v>0</v>
      </c>
      <c r="Q5106" s="21" t="n">
        <v>0</v>
      </c>
      <c r="R5106" s="21" t="n">
        <v>0</v>
      </c>
      <c r="S5106" s="21" t="n">
        <v>0</v>
      </c>
      <c r="T5106" s="21" t="n">
        <v>0</v>
      </c>
      <c r="U5106" s="21" t="n">
        <v>0</v>
      </c>
      <c r="V5106" s="21" t="n">
        <v>0</v>
      </c>
      <c r="W5106" s="21" t="n">
        <v>0</v>
      </c>
      <c r="X5106" s="21" t="n">
        <v>0</v>
      </c>
      <c r="Y5106" s="21" t="n">
        <v>0</v>
      </c>
      <c r="Z5106" s="19" t="n"/>
    </row>
    <row r="5107">
      <c r="D5107" s="21" t="n">
        <v>0</v>
      </c>
      <c r="E5107" s="21" t="n">
        <v>0</v>
      </c>
      <c r="F5107" s="21">
        <f>-$B$3624</f>
        <v/>
      </c>
      <c r="G5107" s="21">
        <f>-$B$3625</f>
        <v/>
      </c>
      <c r="H5107" s="21">
        <f>2*$B$3624+$D$5093</f>
        <v/>
      </c>
      <c r="I5107" s="21">
        <f>0</f>
        <v/>
      </c>
      <c r="J5107" s="21">
        <f>-$B$3624</f>
        <v/>
      </c>
      <c r="K5107" s="21">
        <f>$B$3625</f>
        <v/>
      </c>
      <c r="L5107" s="21" t="n">
        <v>0</v>
      </c>
      <c r="M5107" s="21" t="n">
        <v>0</v>
      </c>
      <c r="N5107" s="21" t="n">
        <v>0</v>
      </c>
      <c r="O5107" s="21" t="n">
        <v>0</v>
      </c>
      <c r="P5107" s="21" t="n">
        <v>0</v>
      </c>
      <c r="Q5107" s="21" t="n">
        <v>0</v>
      </c>
      <c r="R5107" s="21" t="n">
        <v>0</v>
      </c>
      <c r="S5107" s="21" t="n">
        <v>0</v>
      </c>
      <c r="T5107" s="21" t="n">
        <v>0</v>
      </c>
      <c r="U5107" s="21" t="n">
        <v>0</v>
      </c>
      <c r="V5107" s="21" t="n">
        <v>0</v>
      </c>
      <c r="W5107" s="21" t="n">
        <v>0</v>
      </c>
      <c r="X5107" s="21" t="n">
        <v>0</v>
      </c>
      <c r="Y5107" s="21" t="n">
        <v>0</v>
      </c>
      <c r="Z5107" s="19" t="n"/>
    </row>
    <row r="5108">
      <c r="D5108" s="21" t="n">
        <v>0</v>
      </c>
      <c r="E5108" s="21" t="n">
        <v>0</v>
      </c>
      <c r="F5108" s="21">
        <f>$B$3625</f>
        <v/>
      </c>
      <c r="G5108" s="21">
        <f>$B$3627</f>
        <v/>
      </c>
      <c r="H5108" s="21">
        <f>0</f>
        <v/>
      </c>
      <c r="I5108" s="21">
        <f>2*$B$3626</f>
        <v/>
      </c>
      <c r="J5108" s="21">
        <f>-$B$3625</f>
        <v/>
      </c>
      <c r="K5108" s="21">
        <f>$B$3627</f>
        <v/>
      </c>
      <c r="L5108" s="21" t="n">
        <v>0</v>
      </c>
      <c r="M5108" s="21" t="n">
        <v>0</v>
      </c>
      <c r="N5108" s="21" t="n">
        <v>0</v>
      </c>
      <c r="O5108" s="21" t="n">
        <v>0</v>
      </c>
      <c r="P5108" s="21" t="n">
        <v>0</v>
      </c>
      <c r="Q5108" s="21" t="n">
        <v>0</v>
      </c>
      <c r="R5108" s="21" t="n">
        <v>0</v>
      </c>
      <c r="S5108" s="21" t="n">
        <v>0</v>
      </c>
      <c r="T5108" s="21" t="n">
        <v>0</v>
      </c>
      <c r="U5108" s="21" t="n">
        <v>0</v>
      </c>
      <c r="V5108" s="21" t="n">
        <v>0</v>
      </c>
      <c r="W5108" s="21" t="n">
        <v>0</v>
      </c>
      <c r="X5108" s="21" t="n">
        <v>0</v>
      </c>
      <c r="Y5108" s="21" t="n">
        <v>0</v>
      </c>
      <c r="Z5108" s="19" t="n"/>
    </row>
    <row r="5109">
      <c r="D5109" s="21" t="n">
        <v>0</v>
      </c>
      <c r="E5109" s="21" t="n">
        <v>0</v>
      </c>
      <c r="F5109" s="21" t="n">
        <v>0</v>
      </c>
      <c r="G5109" s="21" t="n">
        <v>0</v>
      </c>
      <c r="H5109" s="21">
        <f>-$B$3624</f>
        <v/>
      </c>
      <c r="I5109" s="21">
        <f>-$B$3625</f>
        <v/>
      </c>
      <c r="J5109" s="21">
        <f>2*$B$3624+$D$5094</f>
        <v/>
      </c>
      <c r="K5109" s="21">
        <f>0</f>
        <v/>
      </c>
      <c r="L5109" s="21">
        <f>-$B$3624</f>
        <v/>
      </c>
      <c r="M5109" s="21">
        <f>$B$3625</f>
        <v/>
      </c>
      <c r="N5109" s="21" t="n">
        <v>0</v>
      </c>
      <c r="O5109" s="21" t="n">
        <v>0</v>
      </c>
      <c r="P5109" s="21" t="n">
        <v>0</v>
      </c>
      <c r="Q5109" s="21" t="n">
        <v>0</v>
      </c>
      <c r="R5109" s="21" t="n">
        <v>0</v>
      </c>
      <c r="S5109" s="21" t="n">
        <v>0</v>
      </c>
      <c r="T5109" s="21" t="n">
        <v>0</v>
      </c>
      <c r="U5109" s="21" t="n">
        <v>0</v>
      </c>
      <c r="V5109" s="21" t="n">
        <v>0</v>
      </c>
      <c r="W5109" s="21" t="n">
        <v>0</v>
      </c>
      <c r="X5109" s="21" t="n">
        <v>0</v>
      </c>
      <c r="Y5109" s="21" t="n">
        <v>0</v>
      </c>
      <c r="Z5109" s="19" t="n"/>
    </row>
    <row r="5110">
      <c r="D5110" s="21" t="n">
        <v>0</v>
      </c>
      <c r="E5110" s="21" t="n">
        <v>0</v>
      </c>
      <c r="F5110" s="21" t="n">
        <v>0</v>
      </c>
      <c r="G5110" s="21" t="n">
        <v>0</v>
      </c>
      <c r="H5110" s="21">
        <f>$B$3625</f>
        <v/>
      </c>
      <c r="I5110" s="21">
        <f>$B$3627</f>
        <v/>
      </c>
      <c r="J5110" s="21">
        <f>0</f>
        <v/>
      </c>
      <c r="K5110" s="21">
        <f>2*$B$3626</f>
        <v/>
      </c>
      <c r="L5110" s="21">
        <f>-$B$3625</f>
        <v/>
      </c>
      <c r="M5110" s="21">
        <f>$B$3627</f>
        <v/>
      </c>
      <c r="N5110" s="21" t="n">
        <v>0</v>
      </c>
      <c r="O5110" s="21" t="n">
        <v>0</v>
      </c>
      <c r="P5110" s="21" t="n">
        <v>0</v>
      </c>
      <c r="Q5110" s="21" t="n">
        <v>0</v>
      </c>
      <c r="R5110" s="21" t="n">
        <v>0</v>
      </c>
      <c r="S5110" s="21" t="n">
        <v>0</v>
      </c>
      <c r="T5110" s="21" t="n">
        <v>0</v>
      </c>
      <c r="U5110" s="21" t="n">
        <v>0</v>
      </c>
      <c r="V5110" s="21" t="n">
        <v>0</v>
      </c>
      <c r="W5110" s="21" t="n">
        <v>0</v>
      </c>
      <c r="X5110" s="21" t="n">
        <v>0</v>
      </c>
      <c r="Y5110" s="21" t="n">
        <v>0</v>
      </c>
      <c r="Z5110" s="19" t="n"/>
    </row>
    <row r="5111">
      <c r="D5111" s="21" t="n">
        <v>0</v>
      </c>
      <c r="E5111" s="21" t="n">
        <v>0</v>
      </c>
      <c r="F5111" s="21" t="n">
        <v>0</v>
      </c>
      <c r="G5111" s="21" t="n">
        <v>0</v>
      </c>
      <c r="H5111" s="21" t="n">
        <v>0</v>
      </c>
      <c r="I5111" s="21" t="n">
        <v>0</v>
      </c>
      <c r="J5111" s="21">
        <f>-$B$3624</f>
        <v/>
      </c>
      <c r="K5111" s="21">
        <f>-$B$3625</f>
        <v/>
      </c>
      <c r="L5111" s="21">
        <f>2*$B$3624+$D$5095</f>
        <v/>
      </c>
      <c r="M5111" s="21">
        <f>0</f>
        <v/>
      </c>
      <c r="N5111" s="21">
        <f>-$B$3624</f>
        <v/>
      </c>
      <c r="O5111" s="21">
        <f>$B$3625</f>
        <v/>
      </c>
      <c r="P5111" s="21" t="n">
        <v>0</v>
      </c>
      <c r="Q5111" s="21" t="n">
        <v>0</v>
      </c>
      <c r="R5111" s="21" t="n">
        <v>0</v>
      </c>
      <c r="S5111" s="21" t="n">
        <v>0</v>
      </c>
      <c r="T5111" s="21" t="n">
        <v>0</v>
      </c>
      <c r="U5111" s="21" t="n">
        <v>0</v>
      </c>
      <c r="V5111" s="21" t="n">
        <v>0</v>
      </c>
      <c r="W5111" s="21" t="n">
        <v>0</v>
      </c>
      <c r="X5111" s="21" t="n">
        <v>0</v>
      </c>
      <c r="Y5111" s="21" t="n">
        <v>0</v>
      </c>
      <c r="Z5111" s="19" t="n"/>
    </row>
    <row r="5112">
      <c r="D5112" s="21" t="n">
        <v>0</v>
      </c>
      <c r="E5112" s="21" t="n">
        <v>0</v>
      </c>
      <c r="F5112" s="21" t="n">
        <v>0</v>
      </c>
      <c r="G5112" s="21" t="n">
        <v>0</v>
      </c>
      <c r="H5112" s="21" t="n">
        <v>0</v>
      </c>
      <c r="I5112" s="21" t="n">
        <v>0</v>
      </c>
      <c r="J5112" s="21">
        <f>$B$3625</f>
        <v/>
      </c>
      <c r="K5112" s="21">
        <f>$B$3627</f>
        <v/>
      </c>
      <c r="L5112" s="21">
        <f>0</f>
        <v/>
      </c>
      <c r="M5112" s="21">
        <f>2*$B$3626</f>
        <v/>
      </c>
      <c r="N5112" s="21">
        <f>-$B$3625</f>
        <v/>
      </c>
      <c r="O5112" s="21">
        <f>$B$3627</f>
        <v/>
      </c>
      <c r="P5112" s="21" t="n">
        <v>0</v>
      </c>
      <c r="Q5112" s="21" t="n">
        <v>0</v>
      </c>
      <c r="R5112" s="21" t="n">
        <v>0</v>
      </c>
      <c r="S5112" s="21" t="n">
        <v>0</v>
      </c>
      <c r="T5112" s="21" t="n">
        <v>0</v>
      </c>
      <c r="U5112" s="21" t="n">
        <v>0</v>
      </c>
      <c r="V5112" s="21" t="n">
        <v>0</v>
      </c>
      <c r="W5112" s="21" t="n">
        <v>0</v>
      </c>
      <c r="X5112" s="21" t="n">
        <v>0</v>
      </c>
      <c r="Y5112" s="21" t="n">
        <v>0</v>
      </c>
      <c r="Z5112" s="19" t="n"/>
    </row>
    <row r="5113">
      <c r="D5113" s="21" t="n">
        <v>0</v>
      </c>
      <c r="E5113" s="21" t="n">
        <v>0</v>
      </c>
      <c r="F5113" s="21" t="n">
        <v>0</v>
      </c>
      <c r="G5113" s="21" t="n">
        <v>0</v>
      </c>
      <c r="H5113" s="21" t="n">
        <v>0</v>
      </c>
      <c r="I5113" s="21" t="n">
        <v>0</v>
      </c>
      <c r="J5113" s="21" t="n">
        <v>0</v>
      </c>
      <c r="K5113" s="21" t="n">
        <v>0</v>
      </c>
      <c r="L5113" s="21">
        <f>-$B$3624</f>
        <v/>
      </c>
      <c r="M5113" s="21">
        <f>-$B$3625</f>
        <v/>
      </c>
      <c r="N5113" s="21">
        <f>2*$B$3624+$D$5096</f>
        <v/>
      </c>
      <c r="O5113" s="21">
        <f>0</f>
        <v/>
      </c>
      <c r="P5113" s="21">
        <f>-$B$3624</f>
        <v/>
      </c>
      <c r="Q5113" s="21">
        <f>$B$3625</f>
        <v/>
      </c>
      <c r="R5113" s="21" t="n">
        <v>0</v>
      </c>
      <c r="S5113" s="21" t="n">
        <v>0</v>
      </c>
      <c r="T5113" s="21" t="n">
        <v>0</v>
      </c>
      <c r="U5113" s="21" t="n">
        <v>0</v>
      </c>
      <c r="V5113" s="21" t="n">
        <v>0</v>
      </c>
      <c r="W5113" s="21" t="n">
        <v>0</v>
      </c>
      <c r="X5113" s="21" t="n">
        <v>0</v>
      </c>
      <c r="Y5113" s="21" t="n">
        <v>0</v>
      </c>
      <c r="Z5113" s="19" t="n"/>
    </row>
    <row r="5114">
      <c r="D5114" s="21" t="n">
        <v>0</v>
      </c>
      <c r="E5114" s="21" t="n">
        <v>0</v>
      </c>
      <c r="F5114" s="21" t="n">
        <v>0</v>
      </c>
      <c r="G5114" s="21" t="n">
        <v>0</v>
      </c>
      <c r="H5114" s="21" t="n">
        <v>0</v>
      </c>
      <c r="I5114" s="21" t="n">
        <v>0</v>
      </c>
      <c r="J5114" s="21" t="n">
        <v>0</v>
      </c>
      <c r="K5114" s="21" t="n">
        <v>0</v>
      </c>
      <c r="L5114" s="21">
        <f>$B$3625</f>
        <v/>
      </c>
      <c r="M5114" s="21">
        <f>$B$3627</f>
        <v/>
      </c>
      <c r="N5114" s="21">
        <f>0</f>
        <v/>
      </c>
      <c r="O5114" s="21">
        <f>2*$B$3626</f>
        <v/>
      </c>
      <c r="P5114" s="21">
        <f>-$B$3625</f>
        <v/>
      </c>
      <c r="Q5114" s="21">
        <f>$B$3627</f>
        <v/>
      </c>
      <c r="R5114" s="21" t="n">
        <v>0</v>
      </c>
      <c r="S5114" s="21" t="n">
        <v>0</v>
      </c>
      <c r="T5114" s="21" t="n">
        <v>0</v>
      </c>
      <c r="U5114" s="21" t="n">
        <v>0</v>
      </c>
      <c r="V5114" s="21" t="n">
        <v>0</v>
      </c>
      <c r="W5114" s="21" t="n">
        <v>0</v>
      </c>
      <c r="X5114" s="21" t="n">
        <v>0</v>
      </c>
      <c r="Y5114" s="21" t="n">
        <v>0</v>
      </c>
      <c r="Z5114" s="19" t="n"/>
    </row>
    <row r="5115">
      <c r="D5115" s="21" t="n">
        <v>0</v>
      </c>
      <c r="E5115" s="21" t="n">
        <v>0</v>
      </c>
      <c r="F5115" s="21" t="n">
        <v>0</v>
      </c>
      <c r="G5115" s="21" t="n">
        <v>0</v>
      </c>
      <c r="H5115" s="21" t="n">
        <v>0</v>
      </c>
      <c r="I5115" s="21" t="n">
        <v>0</v>
      </c>
      <c r="J5115" s="21" t="n">
        <v>0</v>
      </c>
      <c r="K5115" s="21" t="n">
        <v>0</v>
      </c>
      <c r="L5115" s="21" t="n">
        <v>0</v>
      </c>
      <c r="M5115" s="21" t="n">
        <v>0</v>
      </c>
      <c r="N5115" s="21">
        <f>-$B$3624</f>
        <v/>
      </c>
      <c r="O5115" s="21">
        <f>-$B$3625</f>
        <v/>
      </c>
      <c r="P5115" s="21">
        <f>2*$B$3624+$D$5097</f>
        <v/>
      </c>
      <c r="Q5115" s="21">
        <f>0</f>
        <v/>
      </c>
      <c r="R5115" s="21">
        <f>-$B$3624</f>
        <v/>
      </c>
      <c r="S5115" s="21">
        <f>$B$3625</f>
        <v/>
      </c>
      <c r="T5115" s="21" t="n">
        <v>0</v>
      </c>
      <c r="U5115" s="21" t="n">
        <v>0</v>
      </c>
      <c r="V5115" s="21" t="n">
        <v>0</v>
      </c>
      <c r="W5115" s="21" t="n">
        <v>0</v>
      </c>
      <c r="X5115" s="21" t="n">
        <v>0</v>
      </c>
      <c r="Y5115" s="21" t="n">
        <v>0</v>
      </c>
      <c r="Z5115" s="19" t="n"/>
    </row>
    <row r="5116">
      <c r="D5116" s="21" t="n">
        <v>0</v>
      </c>
      <c r="E5116" s="21" t="n">
        <v>0</v>
      </c>
      <c r="F5116" s="21" t="n">
        <v>0</v>
      </c>
      <c r="G5116" s="21" t="n">
        <v>0</v>
      </c>
      <c r="H5116" s="21" t="n">
        <v>0</v>
      </c>
      <c r="I5116" s="21" t="n">
        <v>0</v>
      </c>
      <c r="J5116" s="21" t="n">
        <v>0</v>
      </c>
      <c r="K5116" s="21" t="n">
        <v>0</v>
      </c>
      <c r="L5116" s="21" t="n">
        <v>0</v>
      </c>
      <c r="M5116" s="21" t="n">
        <v>0</v>
      </c>
      <c r="N5116" s="21">
        <f>$B$3625</f>
        <v/>
      </c>
      <c r="O5116" s="21">
        <f>$B$3627</f>
        <v/>
      </c>
      <c r="P5116" s="21">
        <f>0</f>
        <v/>
      </c>
      <c r="Q5116" s="21">
        <f>2*$B$3626</f>
        <v/>
      </c>
      <c r="R5116" s="21">
        <f>-$B$3625</f>
        <v/>
      </c>
      <c r="S5116" s="21">
        <f>$B$3627</f>
        <v/>
      </c>
      <c r="T5116" s="21" t="n">
        <v>0</v>
      </c>
      <c r="U5116" s="21" t="n">
        <v>0</v>
      </c>
      <c r="V5116" s="21" t="n">
        <v>0</v>
      </c>
      <c r="W5116" s="21" t="n">
        <v>0</v>
      </c>
      <c r="X5116" s="21" t="n">
        <v>0</v>
      </c>
      <c r="Y5116" s="21" t="n">
        <v>0</v>
      </c>
      <c r="Z5116" s="19" t="n"/>
    </row>
    <row r="5117">
      <c r="D5117" s="21" t="n">
        <v>0</v>
      </c>
      <c r="E5117" s="21" t="n">
        <v>0</v>
      </c>
      <c r="F5117" s="21" t="n">
        <v>0</v>
      </c>
      <c r="G5117" s="21" t="n">
        <v>0</v>
      </c>
      <c r="H5117" s="21" t="n">
        <v>0</v>
      </c>
      <c r="I5117" s="21" t="n">
        <v>0</v>
      </c>
      <c r="J5117" s="21" t="n">
        <v>0</v>
      </c>
      <c r="K5117" s="21" t="n">
        <v>0</v>
      </c>
      <c r="L5117" s="21" t="n">
        <v>0</v>
      </c>
      <c r="M5117" s="21" t="n">
        <v>0</v>
      </c>
      <c r="N5117" s="21" t="n">
        <v>0</v>
      </c>
      <c r="O5117" s="21" t="n">
        <v>0</v>
      </c>
      <c r="P5117" s="21">
        <f>-$B$3624</f>
        <v/>
      </c>
      <c r="Q5117" s="21">
        <f>-$B$3625</f>
        <v/>
      </c>
      <c r="R5117" s="21">
        <f>2*$B$3624+$D$5098</f>
        <v/>
      </c>
      <c r="S5117" s="21">
        <f>0</f>
        <v/>
      </c>
      <c r="T5117" s="21">
        <f>-$B$3624</f>
        <v/>
      </c>
      <c r="U5117" s="21">
        <f>$B$3625</f>
        <v/>
      </c>
      <c r="V5117" s="21" t="n">
        <v>0</v>
      </c>
      <c r="W5117" s="21" t="n">
        <v>0</v>
      </c>
      <c r="X5117" s="21" t="n">
        <v>0</v>
      </c>
      <c r="Y5117" s="21" t="n">
        <v>0</v>
      </c>
      <c r="Z5117" s="19" t="n"/>
    </row>
    <row r="5118">
      <c r="D5118" s="21" t="n">
        <v>0</v>
      </c>
      <c r="E5118" s="21" t="n">
        <v>0</v>
      </c>
      <c r="F5118" s="21" t="n">
        <v>0</v>
      </c>
      <c r="G5118" s="21" t="n">
        <v>0</v>
      </c>
      <c r="H5118" s="21" t="n">
        <v>0</v>
      </c>
      <c r="I5118" s="21" t="n">
        <v>0</v>
      </c>
      <c r="J5118" s="21" t="n">
        <v>0</v>
      </c>
      <c r="K5118" s="21" t="n">
        <v>0</v>
      </c>
      <c r="L5118" s="21" t="n">
        <v>0</v>
      </c>
      <c r="M5118" s="21" t="n">
        <v>0</v>
      </c>
      <c r="N5118" s="21" t="n">
        <v>0</v>
      </c>
      <c r="O5118" s="21" t="n">
        <v>0</v>
      </c>
      <c r="P5118" s="21">
        <f>$B$3625</f>
        <v/>
      </c>
      <c r="Q5118" s="21">
        <f>$B$3627</f>
        <v/>
      </c>
      <c r="R5118" s="21">
        <f>0</f>
        <v/>
      </c>
      <c r="S5118" s="21">
        <f>2*$B$3626</f>
        <v/>
      </c>
      <c r="T5118" s="21">
        <f>-$B$3625</f>
        <v/>
      </c>
      <c r="U5118" s="21">
        <f>$B$3627</f>
        <v/>
      </c>
      <c r="V5118" s="21" t="n">
        <v>0</v>
      </c>
      <c r="W5118" s="21" t="n">
        <v>0</v>
      </c>
      <c r="X5118" s="21" t="n">
        <v>0</v>
      </c>
      <c r="Y5118" s="21" t="n">
        <v>0</v>
      </c>
      <c r="Z5118" s="19" t="n"/>
    </row>
    <row r="5119">
      <c r="D5119" s="21" t="n">
        <v>0</v>
      </c>
      <c r="E5119" s="21" t="n">
        <v>0</v>
      </c>
      <c r="F5119" s="21" t="n">
        <v>0</v>
      </c>
      <c r="G5119" s="21" t="n">
        <v>0</v>
      </c>
      <c r="H5119" s="21" t="n">
        <v>0</v>
      </c>
      <c r="I5119" s="21" t="n">
        <v>0</v>
      </c>
      <c r="J5119" s="21" t="n">
        <v>0</v>
      </c>
      <c r="K5119" s="21" t="n">
        <v>0</v>
      </c>
      <c r="L5119" s="21" t="n">
        <v>0</v>
      </c>
      <c r="M5119" s="21" t="n">
        <v>0</v>
      </c>
      <c r="N5119" s="21" t="n">
        <v>0</v>
      </c>
      <c r="O5119" s="21" t="n">
        <v>0</v>
      </c>
      <c r="P5119" s="21" t="n">
        <v>0</v>
      </c>
      <c r="Q5119" s="21" t="n">
        <v>0</v>
      </c>
      <c r="R5119" s="21">
        <f>-$B$3624</f>
        <v/>
      </c>
      <c r="S5119" s="21">
        <f>-$B$3625</f>
        <v/>
      </c>
      <c r="T5119" s="21">
        <f>2*$B$3624+$D$5099</f>
        <v/>
      </c>
      <c r="U5119" s="21">
        <f>0</f>
        <v/>
      </c>
      <c r="V5119" s="21">
        <f>-$B$3624</f>
        <v/>
      </c>
      <c r="W5119" s="21">
        <f>$B$3625</f>
        <v/>
      </c>
      <c r="X5119" s="21" t="n">
        <v>0</v>
      </c>
      <c r="Y5119" s="21" t="n">
        <v>0</v>
      </c>
      <c r="Z5119" s="19" t="n"/>
    </row>
    <row r="5120">
      <c r="D5120" s="21" t="n">
        <v>0</v>
      </c>
      <c r="E5120" s="21" t="n">
        <v>0</v>
      </c>
      <c r="F5120" s="21" t="n">
        <v>0</v>
      </c>
      <c r="G5120" s="21" t="n">
        <v>0</v>
      </c>
      <c r="H5120" s="21" t="n">
        <v>0</v>
      </c>
      <c r="I5120" s="21" t="n">
        <v>0</v>
      </c>
      <c r="J5120" s="21" t="n">
        <v>0</v>
      </c>
      <c r="K5120" s="21" t="n">
        <v>0</v>
      </c>
      <c r="L5120" s="21" t="n">
        <v>0</v>
      </c>
      <c r="M5120" s="21" t="n">
        <v>0</v>
      </c>
      <c r="N5120" s="21" t="n">
        <v>0</v>
      </c>
      <c r="O5120" s="21" t="n">
        <v>0</v>
      </c>
      <c r="P5120" s="21" t="n">
        <v>0</v>
      </c>
      <c r="Q5120" s="21" t="n">
        <v>0</v>
      </c>
      <c r="R5120" s="21">
        <f>$B$3625</f>
        <v/>
      </c>
      <c r="S5120" s="21">
        <f>$B$3627</f>
        <v/>
      </c>
      <c r="T5120" s="21">
        <f>0</f>
        <v/>
      </c>
      <c r="U5120" s="21">
        <f>2*$B$3626</f>
        <v/>
      </c>
      <c r="V5120" s="21">
        <f>-$B$3625</f>
        <v/>
      </c>
      <c r="W5120" s="21">
        <f>$B$3627</f>
        <v/>
      </c>
      <c r="X5120" s="21" t="n">
        <v>0</v>
      </c>
      <c r="Y5120" s="21" t="n">
        <v>0</v>
      </c>
      <c r="Z5120" s="19" t="n"/>
    </row>
    <row r="5121">
      <c r="D5121" s="21" t="n">
        <v>0</v>
      </c>
      <c r="E5121" s="21" t="n">
        <v>0</v>
      </c>
      <c r="F5121" s="21" t="n">
        <v>0</v>
      </c>
      <c r="G5121" s="21" t="n">
        <v>0</v>
      </c>
      <c r="H5121" s="21" t="n">
        <v>0</v>
      </c>
      <c r="I5121" s="21" t="n">
        <v>0</v>
      </c>
      <c r="J5121" s="21" t="n">
        <v>0</v>
      </c>
      <c r="K5121" s="21" t="n">
        <v>0</v>
      </c>
      <c r="L5121" s="21" t="n">
        <v>0</v>
      </c>
      <c r="M5121" s="21" t="n">
        <v>0</v>
      </c>
      <c r="N5121" s="21" t="n">
        <v>0</v>
      </c>
      <c r="O5121" s="21" t="n">
        <v>0</v>
      </c>
      <c r="P5121" s="21" t="n">
        <v>0</v>
      </c>
      <c r="Q5121" s="21" t="n">
        <v>0</v>
      </c>
      <c r="R5121" s="21" t="n">
        <v>0</v>
      </c>
      <c r="S5121" s="21" t="n">
        <v>0</v>
      </c>
      <c r="T5121" s="21">
        <f>-$B$3624</f>
        <v/>
      </c>
      <c r="U5121" s="21">
        <f>-$B$3625</f>
        <v/>
      </c>
      <c r="V5121" s="21">
        <f>2*$B$3624+$D$5100</f>
        <v/>
      </c>
      <c r="W5121" s="21">
        <f>0</f>
        <v/>
      </c>
      <c r="X5121" s="21">
        <f>-$B$3624</f>
        <v/>
      </c>
      <c r="Y5121" s="21">
        <f>$B$3625</f>
        <v/>
      </c>
      <c r="Z5121" s="19" t="n"/>
    </row>
    <row r="5122">
      <c r="D5122" s="21" t="n">
        <v>0</v>
      </c>
      <c r="E5122" s="21" t="n">
        <v>0</v>
      </c>
      <c r="F5122" s="21" t="n">
        <v>0</v>
      </c>
      <c r="G5122" s="21" t="n">
        <v>0</v>
      </c>
      <c r="H5122" s="21" t="n">
        <v>0</v>
      </c>
      <c r="I5122" s="21" t="n">
        <v>0</v>
      </c>
      <c r="J5122" s="21" t="n">
        <v>0</v>
      </c>
      <c r="K5122" s="21" t="n">
        <v>0</v>
      </c>
      <c r="L5122" s="21" t="n">
        <v>0</v>
      </c>
      <c r="M5122" s="21" t="n">
        <v>0</v>
      </c>
      <c r="N5122" s="21" t="n">
        <v>0</v>
      </c>
      <c r="O5122" s="21" t="n">
        <v>0</v>
      </c>
      <c r="P5122" s="21" t="n">
        <v>0</v>
      </c>
      <c r="Q5122" s="21" t="n">
        <v>0</v>
      </c>
      <c r="R5122" s="21" t="n">
        <v>0</v>
      </c>
      <c r="S5122" s="21" t="n">
        <v>0</v>
      </c>
      <c r="T5122" s="21">
        <f>$B$3625</f>
        <v/>
      </c>
      <c r="U5122" s="21">
        <f>$B$3627</f>
        <v/>
      </c>
      <c r="V5122" s="21">
        <f>0</f>
        <v/>
      </c>
      <c r="W5122" s="21">
        <f>2*$B$3626</f>
        <v/>
      </c>
      <c r="X5122" s="21">
        <f>-$B$3625</f>
        <v/>
      </c>
      <c r="Y5122" s="21">
        <f>$B$3627</f>
        <v/>
      </c>
      <c r="Z5122" s="19" t="n"/>
    </row>
    <row r="5123">
      <c r="D5123" s="21" t="n">
        <v>0</v>
      </c>
      <c r="E5123" s="21" t="n">
        <v>0</v>
      </c>
      <c r="F5123" s="21" t="n">
        <v>0</v>
      </c>
      <c r="G5123" s="21" t="n">
        <v>0</v>
      </c>
      <c r="H5123" s="21" t="n">
        <v>0</v>
      </c>
      <c r="I5123" s="21" t="n">
        <v>0</v>
      </c>
      <c r="J5123" s="21" t="n">
        <v>0</v>
      </c>
      <c r="K5123" s="21" t="n">
        <v>0</v>
      </c>
      <c r="L5123" s="21" t="n">
        <v>0</v>
      </c>
      <c r="M5123" s="21" t="n">
        <v>0</v>
      </c>
      <c r="N5123" s="21" t="n">
        <v>0</v>
      </c>
      <c r="O5123" s="21" t="n">
        <v>0</v>
      </c>
      <c r="P5123" s="21" t="n">
        <v>0</v>
      </c>
      <c r="Q5123" s="21" t="n">
        <v>0</v>
      </c>
      <c r="R5123" s="21" t="n">
        <v>0</v>
      </c>
      <c r="S5123" s="21" t="n">
        <v>0</v>
      </c>
      <c r="T5123" s="21" t="n">
        <v>0</v>
      </c>
      <c r="U5123" s="21" t="n">
        <v>0</v>
      </c>
      <c r="V5123" s="21">
        <f>-$B$3624</f>
        <v/>
      </c>
      <c r="W5123" s="21">
        <f>-$B$3625</f>
        <v/>
      </c>
      <c r="X5123" s="21">
        <f>$B$3624+$D$5101</f>
        <v/>
      </c>
      <c r="Y5123" s="21">
        <f>-$B$3625</f>
        <v/>
      </c>
      <c r="Z5123" s="19" t="n"/>
    </row>
    <row r="5124">
      <c r="D5124" s="21" t="n">
        <v>0</v>
      </c>
      <c r="E5124" s="21" t="n">
        <v>0</v>
      </c>
      <c r="F5124" s="21" t="n">
        <v>0</v>
      </c>
      <c r="G5124" s="21" t="n">
        <v>0</v>
      </c>
      <c r="H5124" s="21" t="n">
        <v>0</v>
      </c>
      <c r="I5124" s="21" t="n">
        <v>0</v>
      </c>
      <c r="J5124" s="21" t="n">
        <v>0</v>
      </c>
      <c r="K5124" s="21" t="n">
        <v>0</v>
      </c>
      <c r="L5124" s="21" t="n">
        <v>0</v>
      </c>
      <c r="M5124" s="21" t="n">
        <v>0</v>
      </c>
      <c r="N5124" s="21" t="n">
        <v>0</v>
      </c>
      <c r="O5124" s="21" t="n">
        <v>0</v>
      </c>
      <c r="P5124" s="21" t="n">
        <v>0</v>
      </c>
      <c r="Q5124" s="21" t="n">
        <v>0</v>
      </c>
      <c r="R5124" s="21" t="n">
        <v>0</v>
      </c>
      <c r="S5124" s="21" t="n">
        <v>0</v>
      </c>
      <c r="T5124" s="21" t="n">
        <v>0</v>
      </c>
      <c r="U5124" s="21" t="n">
        <v>0</v>
      </c>
      <c r="V5124" s="21">
        <f>$B$3625</f>
        <v/>
      </c>
      <c r="W5124" s="21">
        <f>$B$3627</f>
        <v/>
      </c>
      <c r="X5124" s="21">
        <f>-$B$3625</f>
        <v/>
      </c>
      <c r="Y5124" s="21">
        <f>$B$3626</f>
        <v/>
      </c>
      <c r="Z5124" s="19" t="n"/>
    </row>
    <row r="5126">
      <c r="A5126" s="8" t="inlineStr">
        <is>
          <t>gen 41</t>
        </is>
      </c>
    </row>
    <row r="5127">
      <c r="D5127" s="19">
        <f>IF(ABS(IF(ABS($E$5091)&gt;0.000000001,$E$5091,0.000000001))=0,0,IF($E$3639&lt;=$B$3633,0,IF(ABS(IF(ABS($E$5091)&gt;0.000000001,$E$5091,0.000000001))&gt;=8*$B$3635,$H$3639,0.5*$H$3639*(ABS(IF(ABS($E$5091)&gt;0.000000001,$E$5091,0.000000001))/$B$3635)^(1/3)))/ABS(IF(ABS($E$5091)&gt;0.000000001,$E$5091,0.000000001))*$I$3639)</f>
        <v/>
      </c>
      <c r="E5127" s="19">
        <f>0.5*$E$5091+0.5*$Z$5139</f>
        <v/>
      </c>
      <c r="F5127" s="19">
        <f>$Z$5140</f>
        <v/>
      </c>
    </row>
    <row r="5128">
      <c r="D5128" s="19">
        <f>IF(ABS(IF(ABS($E$5092)&gt;0.000000001,$E$5092,0.000000001))=0,0,IF($E$3640&lt;=$B$3633,0,IF(ABS(IF(ABS($E$5092)&gt;0.000000001,$E$5092,0.000000001))&gt;=8*$B$3635,$H$3640,0.5*$H$3640*(ABS(IF(ABS($E$5092)&gt;0.000000001,$E$5092,0.000000001))/$B$3635)^(1/3)))/ABS(IF(ABS($E$5092)&gt;0.000000001,$E$5092,0.000000001))*$I$3640)</f>
        <v/>
      </c>
      <c r="E5128" s="19">
        <f>0.5*$E$5092+0.5*$Z$5141</f>
        <v/>
      </c>
      <c r="F5128" s="19">
        <f>$Z$5142</f>
        <v/>
      </c>
    </row>
    <row r="5129">
      <c r="D5129" s="19">
        <f>IF(ABS(IF(ABS($E$5093)&gt;0.000000001,$E$5093,0.000000001))=0,0,IF($E$3641&lt;=$B$3633,0,IF(ABS(IF(ABS($E$5093)&gt;0.000000001,$E$5093,0.000000001))&gt;=8*$B$3635,$H$3641,0.5*$H$3641*(ABS(IF(ABS($E$5093)&gt;0.000000001,$E$5093,0.000000001))/$B$3635)^(1/3)))/ABS(IF(ABS($E$5093)&gt;0.000000001,$E$5093,0.000000001))*$I$3641)</f>
        <v/>
      </c>
      <c r="E5129" s="19">
        <f>0.5*$E$5093+0.5*$Z$5143</f>
        <v/>
      </c>
      <c r="F5129" s="19">
        <f>$Z$5144</f>
        <v/>
      </c>
    </row>
    <row r="5130">
      <c r="D5130" s="19">
        <f>IF(ABS(IF(ABS($E$5094)&gt;0.000000001,$E$5094,0.000000001))=0,0,IF($E$3642&lt;=$B$3633,0,IF(ABS(IF(ABS($E$5094)&gt;0.000000001,$E$5094,0.000000001))&gt;=8*$B$3635,$H$3642,0.5*$H$3642*(ABS(IF(ABS($E$5094)&gt;0.000000001,$E$5094,0.000000001))/$B$3635)^(1/3)))/ABS(IF(ABS($E$5094)&gt;0.000000001,$E$5094,0.000000001))*$I$3642)</f>
        <v/>
      </c>
      <c r="E5130" s="19">
        <f>0.5*$E$5094+0.5*$Z$5145</f>
        <v/>
      </c>
      <c r="F5130" s="19">
        <f>$Z$5146</f>
        <v/>
      </c>
    </row>
    <row r="5131">
      <c r="D5131" s="19">
        <f>IF(ABS(IF(ABS($E$5095)&gt;0.000000001,$E$5095,0.000000001))=0,0,IF($E$3643&lt;=$B$3633,0,IF(ABS(IF(ABS($E$5095)&gt;0.000000001,$E$5095,0.000000001))&gt;=8*$B$3635,$H$3643,0.5*$H$3643*(ABS(IF(ABS($E$5095)&gt;0.000000001,$E$5095,0.000000001))/$B$3635)^(1/3)))/ABS(IF(ABS($E$5095)&gt;0.000000001,$E$5095,0.000000001))*$I$3643)</f>
        <v/>
      </c>
      <c r="E5131" s="19">
        <f>0.5*$E$5095+0.5*$Z$5147</f>
        <v/>
      </c>
      <c r="F5131" s="19">
        <f>$Z$5148</f>
        <v/>
      </c>
    </row>
    <row r="5132">
      <c r="D5132" s="19">
        <f>IF(ABS(IF(ABS($E$5096)&gt;0.000000001,$E$5096,0.000000001))=0,0,IF($E$3644&lt;=$B$3633,0,IF(ABS(IF(ABS($E$5096)&gt;0.000000001,$E$5096,0.000000001))&gt;=8*$B$3635,$H$3644,0.5*$H$3644*(ABS(IF(ABS($E$5096)&gt;0.000000001,$E$5096,0.000000001))/$B$3635)^(1/3)))/ABS(IF(ABS($E$5096)&gt;0.000000001,$E$5096,0.000000001))*$I$3644)</f>
        <v/>
      </c>
      <c r="E5132" s="19">
        <f>0.5*$E$5096+0.5*$Z$5149</f>
        <v/>
      </c>
      <c r="F5132" s="19">
        <f>$Z$5150</f>
        <v/>
      </c>
    </row>
    <row r="5133">
      <c r="D5133" s="19">
        <f>IF(ABS(IF(ABS($E$5097)&gt;0.000000001,$E$5097,0.000000001))=0,0,IF($E$3645&lt;=$B$3633,0,IF(ABS(IF(ABS($E$5097)&gt;0.000000001,$E$5097,0.000000001))&gt;=8*$B$3635,$H$3645,0.5*$H$3645*(ABS(IF(ABS($E$5097)&gt;0.000000001,$E$5097,0.000000001))/$B$3635)^(1/3)))/ABS(IF(ABS($E$5097)&gt;0.000000001,$E$5097,0.000000001))*$I$3645)</f>
        <v/>
      </c>
      <c r="E5133" s="19">
        <f>0.5*$E$5097+0.5*$Z$5151</f>
        <v/>
      </c>
      <c r="F5133" s="19">
        <f>$Z$5152</f>
        <v/>
      </c>
    </row>
    <row r="5134">
      <c r="D5134" s="19">
        <f>IF(ABS(IF(ABS($E$5098)&gt;0.000000001,$E$5098,0.000000001))=0,0,IF($E$3646&lt;=$B$3633,0,IF(ABS(IF(ABS($E$5098)&gt;0.000000001,$E$5098,0.000000001))&gt;=8*$B$3635,$H$3646,0.5*$H$3646*(ABS(IF(ABS($E$5098)&gt;0.000000001,$E$5098,0.000000001))/$B$3635)^(1/3)))/ABS(IF(ABS($E$5098)&gt;0.000000001,$E$5098,0.000000001))*$I$3646)</f>
        <v/>
      </c>
      <c r="E5134" s="19">
        <f>0.5*$E$5098+0.5*$Z$5153</f>
        <v/>
      </c>
      <c r="F5134" s="19">
        <f>$Z$5154</f>
        <v/>
      </c>
    </row>
    <row r="5135">
      <c r="D5135" s="19">
        <f>IF(ABS(IF(ABS($E$5099)&gt;0.000000001,$E$5099,0.000000001))=0,0,IF($E$3647&lt;=$B$3633,0,IF(ABS(IF(ABS($E$5099)&gt;0.000000001,$E$5099,0.000000001))&gt;=8*$B$3635,$H$3647,0.5*$H$3647*(ABS(IF(ABS($E$5099)&gt;0.000000001,$E$5099,0.000000001))/$B$3635)^(1/3)))/ABS(IF(ABS($E$5099)&gt;0.000000001,$E$5099,0.000000001))*$I$3647)</f>
        <v/>
      </c>
      <c r="E5135" s="19">
        <f>0.5*$E$5099+0.5*$Z$5155</f>
        <v/>
      </c>
      <c r="F5135" s="19">
        <f>$Z$5156</f>
        <v/>
      </c>
    </row>
    <row r="5136">
      <c r="D5136" s="19">
        <f>IF(ABS(IF(ABS($E$5100)&gt;0.000000001,$E$5100,0.000000001))=0,0,IF($E$3648&lt;=$B$3633,0,IF(ABS(IF(ABS($E$5100)&gt;0.000000001,$E$5100,0.000000001))&gt;=8*$B$3635,$H$3648,0.5*$H$3648*(ABS(IF(ABS($E$5100)&gt;0.000000001,$E$5100,0.000000001))/$B$3635)^(1/3)))/ABS(IF(ABS($E$5100)&gt;0.000000001,$E$5100,0.000000001))*$I$3648)</f>
        <v/>
      </c>
      <c r="E5136" s="19">
        <f>0.5*$E$5100+0.5*$Z$5157</f>
        <v/>
      </c>
      <c r="F5136" s="19">
        <f>$Z$5158</f>
        <v/>
      </c>
    </row>
    <row r="5137">
      <c r="D5137" s="19">
        <f>IF(ABS(IF(ABS($E$5101)&gt;0.000000001,$E$5101,0.000000001))=0,0,IF($E$3649&lt;=$B$3633,0,IF(ABS(IF(ABS($E$5101)&gt;0.000000001,$E$5101,0.000000001))&gt;=8*$B$3635,$H$3649,0.5*$H$3649*(ABS(IF(ABS($E$5101)&gt;0.000000001,$E$5101,0.000000001))/$B$3635)^(1/3)))/ABS(IF(ABS($E$5101)&gt;0.000000001,$E$5101,0.000000001))*$I$3649)</f>
        <v/>
      </c>
      <c r="E5137" s="19">
        <f>0.5*$E$5101+0.5*$Z$5159</f>
        <v/>
      </c>
      <c r="F5137" s="19">
        <f>$Z$5160</f>
        <v/>
      </c>
    </row>
    <row r="5139">
      <c r="D5139" s="21">
        <f>$B$3624+$D$5127</f>
        <v/>
      </c>
      <c r="E5139" s="21">
        <f>$B$3625</f>
        <v/>
      </c>
      <c r="F5139" s="21">
        <f>-$B$3624</f>
        <v/>
      </c>
      <c r="G5139" s="21">
        <f>$B$3625</f>
        <v/>
      </c>
      <c r="H5139" s="21" t="n">
        <v>0</v>
      </c>
      <c r="I5139" s="21" t="n">
        <v>0</v>
      </c>
      <c r="J5139" s="21" t="n">
        <v>0</v>
      </c>
      <c r="K5139" s="21" t="n">
        <v>0</v>
      </c>
      <c r="L5139" s="21" t="n">
        <v>0</v>
      </c>
      <c r="M5139" s="21" t="n">
        <v>0</v>
      </c>
      <c r="N5139" s="21" t="n">
        <v>0</v>
      </c>
      <c r="O5139" s="21" t="n">
        <v>0</v>
      </c>
      <c r="P5139" s="21" t="n">
        <v>0</v>
      </c>
      <c r="Q5139" s="21" t="n">
        <v>0</v>
      </c>
      <c r="R5139" s="21" t="n">
        <v>0</v>
      </c>
      <c r="S5139" s="21" t="n">
        <v>0</v>
      </c>
      <c r="T5139" s="21" t="n">
        <v>0</v>
      </c>
      <c r="U5139" s="21" t="n">
        <v>0</v>
      </c>
      <c r="V5139" s="21" t="n">
        <v>0</v>
      </c>
      <c r="W5139" s="21" t="n">
        <v>0</v>
      </c>
      <c r="X5139" s="21" t="n">
        <v>0</v>
      </c>
      <c r="Y5139" s="21" t="n">
        <v>0</v>
      </c>
      <c r="Z5139" s="19">
        <f t="array" ref="Z5139:Z5160">MMULT(MINVERSE($D$5139:$Y$5160),$D$3651:$D$3672)</f>
        <v/>
      </c>
    </row>
    <row r="5140">
      <c r="D5140" s="21">
        <f>$B$3625</f>
        <v/>
      </c>
      <c r="E5140" s="21">
        <f>$B$3626</f>
        <v/>
      </c>
      <c r="F5140" s="21">
        <f>-$B$3625</f>
        <v/>
      </c>
      <c r="G5140" s="21">
        <f>$B$3627</f>
        <v/>
      </c>
      <c r="H5140" s="21" t="n">
        <v>0</v>
      </c>
      <c r="I5140" s="21" t="n">
        <v>0</v>
      </c>
      <c r="J5140" s="21" t="n">
        <v>0</v>
      </c>
      <c r="K5140" s="21" t="n">
        <v>0</v>
      </c>
      <c r="L5140" s="21" t="n">
        <v>0</v>
      </c>
      <c r="M5140" s="21" t="n">
        <v>0</v>
      </c>
      <c r="N5140" s="21" t="n">
        <v>0</v>
      </c>
      <c r="O5140" s="21" t="n">
        <v>0</v>
      </c>
      <c r="P5140" s="21" t="n">
        <v>0</v>
      </c>
      <c r="Q5140" s="21" t="n">
        <v>0</v>
      </c>
      <c r="R5140" s="21" t="n">
        <v>0</v>
      </c>
      <c r="S5140" s="21" t="n">
        <v>0</v>
      </c>
      <c r="T5140" s="21" t="n">
        <v>0</v>
      </c>
      <c r="U5140" s="21" t="n">
        <v>0</v>
      </c>
      <c r="V5140" s="21" t="n">
        <v>0</v>
      </c>
      <c r="W5140" s="21" t="n">
        <v>0</v>
      </c>
      <c r="X5140" s="21" t="n">
        <v>0</v>
      </c>
      <c r="Y5140" s="21" t="n">
        <v>0</v>
      </c>
      <c r="Z5140" s="19" t="n"/>
    </row>
    <row r="5141">
      <c r="D5141" s="21">
        <f>-$B$3624</f>
        <v/>
      </c>
      <c r="E5141" s="21">
        <f>-$B$3625</f>
        <v/>
      </c>
      <c r="F5141" s="21">
        <f>2*$B$3624+$D$5128</f>
        <v/>
      </c>
      <c r="G5141" s="21">
        <f>0</f>
        <v/>
      </c>
      <c r="H5141" s="21">
        <f>-$B$3624</f>
        <v/>
      </c>
      <c r="I5141" s="21">
        <f>$B$3625</f>
        <v/>
      </c>
      <c r="J5141" s="21" t="n">
        <v>0</v>
      </c>
      <c r="K5141" s="21" t="n">
        <v>0</v>
      </c>
      <c r="L5141" s="21" t="n">
        <v>0</v>
      </c>
      <c r="M5141" s="21" t="n">
        <v>0</v>
      </c>
      <c r="N5141" s="21" t="n">
        <v>0</v>
      </c>
      <c r="O5141" s="21" t="n">
        <v>0</v>
      </c>
      <c r="P5141" s="21" t="n">
        <v>0</v>
      </c>
      <c r="Q5141" s="21" t="n">
        <v>0</v>
      </c>
      <c r="R5141" s="21" t="n">
        <v>0</v>
      </c>
      <c r="S5141" s="21" t="n">
        <v>0</v>
      </c>
      <c r="T5141" s="21" t="n">
        <v>0</v>
      </c>
      <c r="U5141" s="21" t="n">
        <v>0</v>
      </c>
      <c r="V5141" s="21" t="n">
        <v>0</v>
      </c>
      <c r="W5141" s="21" t="n">
        <v>0</v>
      </c>
      <c r="X5141" s="21" t="n">
        <v>0</v>
      </c>
      <c r="Y5141" s="21" t="n">
        <v>0</v>
      </c>
      <c r="Z5141" s="19" t="n"/>
    </row>
    <row r="5142">
      <c r="D5142" s="21">
        <f>$B$3625</f>
        <v/>
      </c>
      <c r="E5142" s="21">
        <f>$B$3627</f>
        <v/>
      </c>
      <c r="F5142" s="21">
        <f>0</f>
        <v/>
      </c>
      <c r="G5142" s="21">
        <f>2*$B$3626</f>
        <v/>
      </c>
      <c r="H5142" s="21">
        <f>-$B$3625</f>
        <v/>
      </c>
      <c r="I5142" s="21">
        <f>$B$3627</f>
        <v/>
      </c>
      <c r="J5142" s="21" t="n">
        <v>0</v>
      </c>
      <c r="K5142" s="21" t="n">
        <v>0</v>
      </c>
      <c r="L5142" s="21" t="n">
        <v>0</v>
      </c>
      <c r="M5142" s="21" t="n">
        <v>0</v>
      </c>
      <c r="N5142" s="21" t="n">
        <v>0</v>
      </c>
      <c r="O5142" s="21" t="n">
        <v>0</v>
      </c>
      <c r="P5142" s="21" t="n">
        <v>0</v>
      </c>
      <c r="Q5142" s="21" t="n">
        <v>0</v>
      </c>
      <c r="R5142" s="21" t="n">
        <v>0</v>
      </c>
      <c r="S5142" s="21" t="n">
        <v>0</v>
      </c>
      <c r="T5142" s="21" t="n">
        <v>0</v>
      </c>
      <c r="U5142" s="21" t="n">
        <v>0</v>
      </c>
      <c r="V5142" s="21" t="n">
        <v>0</v>
      </c>
      <c r="W5142" s="21" t="n">
        <v>0</v>
      </c>
      <c r="X5142" s="21" t="n">
        <v>0</v>
      </c>
      <c r="Y5142" s="21" t="n">
        <v>0</v>
      </c>
      <c r="Z5142" s="19" t="n"/>
    </row>
    <row r="5143">
      <c r="D5143" s="21" t="n">
        <v>0</v>
      </c>
      <c r="E5143" s="21" t="n">
        <v>0</v>
      </c>
      <c r="F5143" s="21">
        <f>-$B$3624</f>
        <v/>
      </c>
      <c r="G5143" s="21">
        <f>-$B$3625</f>
        <v/>
      </c>
      <c r="H5143" s="21">
        <f>2*$B$3624+$D$5129</f>
        <v/>
      </c>
      <c r="I5143" s="21">
        <f>0</f>
        <v/>
      </c>
      <c r="J5143" s="21">
        <f>-$B$3624</f>
        <v/>
      </c>
      <c r="K5143" s="21">
        <f>$B$3625</f>
        <v/>
      </c>
      <c r="L5143" s="21" t="n">
        <v>0</v>
      </c>
      <c r="M5143" s="21" t="n">
        <v>0</v>
      </c>
      <c r="N5143" s="21" t="n">
        <v>0</v>
      </c>
      <c r="O5143" s="21" t="n">
        <v>0</v>
      </c>
      <c r="P5143" s="21" t="n">
        <v>0</v>
      </c>
      <c r="Q5143" s="21" t="n">
        <v>0</v>
      </c>
      <c r="R5143" s="21" t="n">
        <v>0</v>
      </c>
      <c r="S5143" s="21" t="n">
        <v>0</v>
      </c>
      <c r="T5143" s="21" t="n">
        <v>0</v>
      </c>
      <c r="U5143" s="21" t="n">
        <v>0</v>
      </c>
      <c r="V5143" s="21" t="n">
        <v>0</v>
      </c>
      <c r="W5143" s="21" t="n">
        <v>0</v>
      </c>
      <c r="X5143" s="21" t="n">
        <v>0</v>
      </c>
      <c r="Y5143" s="21" t="n">
        <v>0</v>
      </c>
      <c r="Z5143" s="19" t="n"/>
    </row>
    <row r="5144">
      <c r="D5144" s="21" t="n">
        <v>0</v>
      </c>
      <c r="E5144" s="21" t="n">
        <v>0</v>
      </c>
      <c r="F5144" s="21">
        <f>$B$3625</f>
        <v/>
      </c>
      <c r="G5144" s="21">
        <f>$B$3627</f>
        <v/>
      </c>
      <c r="H5144" s="21">
        <f>0</f>
        <v/>
      </c>
      <c r="I5144" s="21">
        <f>2*$B$3626</f>
        <v/>
      </c>
      <c r="J5144" s="21">
        <f>-$B$3625</f>
        <v/>
      </c>
      <c r="K5144" s="21">
        <f>$B$3627</f>
        <v/>
      </c>
      <c r="L5144" s="21" t="n">
        <v>0</v>
      </c>
      <c r="M5144" s="21" t="n">
        <v>0</v>
      </c>
      <c r="N5144" s="21" t="n">
        <v>0</v>
      </c>
      <c r="O5144" s="21" t="n">
        <v>0</v>
      </c>
      <c r="P5144" s="21" t="n">
        <v>0</v>
      </c>
      <c r="Q5144" s="21" t="n">
        <v>0</v>
      </c>
      <c r="R5144" s="21" t="n">
        <v>0</v>
      </c>
      <c r="S5144" s="21" t="n">
        <v>0</v>
      </c>
      <c r="T5144" s="21" t="n">
        <v>0</v>
      </c>
      <c r="U5144" s="21" t="n">
        <v>0</v>
      </c>
      <c r="V5144" s="21" t="n">
        <v>0</v>
      </c>
      <c r="W5144" s="21" t="n">
        <v>0</v>
      </c>
      <c r="X5144" s="21" t="n">
        <v>0</v>
      </c>
      <c r="Y5144" s="21" t="n">
        <v>0</v>
      </c>
      <c r="Z5144" s="19" t="n"/>
    </row>
    <row r="5145">
      <c r="D5145" s="21" t="n">
        <v>0</v>
      </c>
      <c r="E5145" s="21" t="n">
        <v>0</v>
      </c>
      <c r="F5145" s="21" t="n">
        <v>0</v>
      </c>
      <c r="G5145" s="21" t="n">
        <v>0</v>
      </c>
      <c r="H5145" s="21">
        <f>-$B$3624</f>
        <v/>
      </c>
      <c r="I5145" s="21">
        <f>-$B$3625</f>
        <v/>
      </c>
      <c r="J5145" s="21">
        <f>2*$B$3624+$D$5130</f>
        <v/>
      </c>
      <c r="K5145" s="21">
        <f>0</f>
        <v/>
      </c>
      <c r="L5145" s="21">
        <f>-$B$3624</f>
        <v/>
      </c>
      <c r="M5145" s="21">
        <f>$B$3625</f>
        <v/>
      </c>
      <c r="N5145" s="21" t="n">
        <v>0</v>
      </c>
      <c r="O5145" s="21" t="n">
        <v>0</v>
      </c>
      <c r="P5145" s="21" t="n">
        <v>0</v>
      </c>
      <c r="Q5145" s="21" t="n">
        <v>0</v>
      </c>
      <c r="R5145" s="21" t="n">
        <v>0</v>
      </c>
      <c r="S5145" s="21" t="n">
        <v>0</v>
      </c>
      <c r="T5145" s="21" t="n">
        <v>0</v>
      </c>
      <c r="U5145" s="21" t="n">
        <v>0</v>
      </c>
      <c r="V5145" s="21" t="n">
        <v>0</v>
      </c>
      <c r="W5145" s="21" t="n">
        <v>0</v>
      </c>
      <c r="X5145" s="21" t="n">
        <v>0</v>
      </c>
      <c r="Y5145" s="21" t="n">
        <v>0</v>
      </c>
      <c r="Z5145" s="19" t="n"/>
    </row>
    <row r="5146">
      <c r="D5146" s="21" t="n">
        <v>0</v>
      </c>
      <c r="E5146" s="21" t="n">
        <v>0</v>
      </c>
      <c r="F5146" s="21" t="n">
        <v>0</v>
      </c>
      <c r="G5146" s="21" t="n">
        <v>0</v>
      </c>
      <c r="H5146" s="21">
        <f>$B$3625</f>
        <v/>
      </c>
      <c r="I5146" s="21">
        <f>$B$3627</f>
        <v/>
      </c>
      <c r="J5146" s="21">
        <f>0</f>
        <v/>
      </c>
      <c r="K5146" s="21">
        <f>2*$B$3626</f>
        <v/>
      </c>
      <c r="L5146" s="21">
        <f>-$B$3625</f>
        <v/>
      </c>
      <c r="M5146" s="21">
        <f>$B$3627</f>
        <v/>
      </c>
      <c r="N5146" s="21" t="n">
        <v>0</v>
      </c>
      <c r="O5146" s="21" t="n">
        <v>0</v>
      </c>
      <c r="P5146" s="21" t="n">
        <v>0</v>
      </c>
      <c r="Q5146" s="21" t="n">
        <v>0</v>
      </c>
      <c r="R5146" s="21" t="n">
        <v>0</v>
      </c>
      <c r="S5146" s="21" t="n">
        <v>0</v>
      </c>
      <c r="T5146" s="21" t="n">
        <v>0</v>
      </c>
      <c r="U5146" s="21" t="n">
        <v>0</v>
      </c>
      <c r="V5146" s="21" t="n">
        <v>0</v>
      </c>
      <c r="W5146" s="21" t="n">
        <v>0</v>
      </c>
      <c r="X5146" s="21" t="n">
        <v>0</v>
      </c>
      <c r="Y5146" s="21" t="n">
        <v>0</v>
      </c>
      <c r="Z5146" s="19" t="n"/>
    </row>
    <row r="5147">
      <c r="D5147" s="21" t="n">
        <v>0</v>
      </c>
      <c r="E5147" s="21" t="n">
        <v>0</v>
      </c>
      <c r="F5147" s="21" t="n">
        <v>0</v>
      </c>
      <c r="G5147" s="21" t="n">
        <v>0</v>
      </c>
      <c r="H5147" s="21" t="n">
        <v>0</v>
      </c>
      <c r="I5147" s="21" t="n">
        <v>0</v>
      </c>
      <c r="J5147" s="21">
        <f>-$B$3624</f>
        <v/>
      </c>
      <c r="K5147" s="21">
        <f>-$B$3625</f>
        <v/>
      </c>
      <c r="L5147" s="21">
        <f>2*$B$3624+$D$5131</f>
        <v/>
      </c>
      <c r="M5147" s="21">
        <f>0</f>
        <v/>
      </c>
      <c r="N5147" s="21">
        <f>-$B$3624</f>
        <v/>
      </c>
      <c r="O5147" s="21">
        <f>$B$3625</f>
        <v/>
      </c>
      <c r="P5147" s="21" t="n">
        <v>0</v>
      </c>
      <c r="Q5147" s="21" t="n">
        <v>0</v>
      </c>
      <c r="R5147" s="21" t="n">
        <v>0</v>
      </c>
      <c r="S5147" s="21" t="n">
        <v>0</v>
      </c>
      <c r="T5147" s="21" t="n">
        <v>0</v>
      </c>
      <c r="U5147" s="21" t="n">
        <v>0</v>
      </c>
      <c r="V5147" s="21" t="n">
        <v>0</v>
      </c>
      <c r="W5147" s="21" t="n">
        <v>0</v>
      </c>
      <c r="X5147" s="21" t="n">
        <v>0</v>
      </c>
      <c r="Y5147" s="21" t="n">
        <v>0</v>
      </c>
      <c r="Z5147" s="19" t="n"/>
    </row>
    <row r="5148">
      <c r="D5148" s="21" t="n">
        <v>0</v>
      </c>
      <c r="E5148" s="21" t="n">
        <v>0</v>
      </c>
      <c r="F5148" s="21" t="n">
        <v>0</v>
      </c>
      <c r="G5148" s="21" t="n">
        <v>0</v>
      </c>
      <c r="H5148" s="21" t="n">
        <v>0</v>
      </c>
      <c r="I5148" s="21" t="n">
        <v>0</v>
      </c>
      <c r="J5148" s="21">
        <f>$B$3625</f>
        <v/>
      </c>
      <c r="K5148" s="21">
        <f>$B$3627</f>
        <v/>
      </c>
      <c r="L5148" s="21">
        <f>0</f>
        <v/>
      </c>
      <c r="M5148" s="21">
        <f>2*$B$3626</f>
        <v/>
      </c>
      <c r="N5148" s="21">
        <f>-$B$3625</f>
        <v/>
      </c>
      <c r="O5148" s="21">
        <f>$B$3627</f>
        <v/>
      </c>
      <c r="P5148" s="21" t="n">
        <v>0</v>
      </c>
      <c r="Q5148" s="21" t="n">
        <v>0</v>
      </c>
      <c r="R5148" s="21" t="n">
        <v>0</v>
      </c>
      <c r="S5148" s="21" t="n">
        <v>0</v>
      </c>
      <c r="T5148" s="21" t="n">
        <v>0</v>
      </c>
      <c r="U5148" s="21" t="n">
        <v>0</v>
      </c>
      <c r="V5148" s="21" t="n">
        <v>0</v>
      </c>
      <c r="W5148" s="21" t="n">
        <v>0</v>
      </c>
      <c r="X5148" s="21" t="n">
        <v>0</v>
      </c>
      <c r="Y5148" s="21" t="n">
        <v>0</v>
      </c>
      <c r="Z5148" s="19" t="n"/>
    </row>
    <row r="5149">
      <c r="D5149" s="21" t="n">
        <v>0</v>
      </c>
      <c r="E5149" s="21" t="n">
        <v>0</v>
      </c>
      <c r="F5149" s="21" t="n">
        <v>0</v>
      </c>
      <c r="G5149" s="21" t="n">
        <v>0</v>
      </c>
      <c r="H5149" s="21" t="n">
        <v>0</v>
      </c>
      <c r="I5149" s="21" t="n">
        <v>0</v>
      </c>
      <c r="J5149" s="21" t="n">
        <v>0</v>
      </c>
      <c r="K5149" s="21" t="n">
        <v>0</v>
      </c>
      <c r="L5149" s="21">
        <f>-$B$3624</f>
        <v/>
      </c>
      <c r="M5149" s="21">
        <f>-$B$3625</f>
        <v/>
      </c>
      <c r="N5149" s="21">
        <f>2*$B$3624+$D$5132</f>
        <v/>
      </c>
      <c r="O5149" s="21">
        <f>0</f>
        <v/>
      </c>
      <c r="P5149" s="21">
        <f>-$B$3624</f>
        <v/>
      </c>
      <c r="Q5149" s="21">
        <f>$B$3625</f>
        <v/>
      </c>
      <c r="R5149" s="21" t="n">
        <v>0</v>
      </c>
      <c r="S5149" s="21" t="n">
        <v>0</v>
      </c>
      <c r="T5149" s="21" t="n">
        <v>0</v>
      </c>
      <c r="U5149" s="21" t="n">
        <v>0</v>
      </c>
      <c r="V5149" s="21" t="n">
        <v>0</v>
      </c>
      <c r="W5149" s="21" t="n">
        <v>0</v>
      </c>
      <c r="X5149" s="21" t="n">
        <v>0</v>
      </c>
      <c r="Y5149" s="21" t="n">
        <v>0</v>
      </c>
      <c r="Z5149" s="19" t="n"/>
    </row>
    <row r="5150">
      <c r="D5150" s="21" t="n">
        <v>0</v>
      </c>
      <c r="E5150" s="21" t="n">
        <v>0</v>
      </c>
      <c r="F5150" s="21" t="n">
        <v>0</v>
      </c>
      <c r="G5150" s="21" t="n">
        <v>0</v>
      </c>
      <c r="H5150" s="21" t="n">
        <v>0</v>
      </c>
      <c r="I5150" s="21" t="n">
        <v>0</v>
      </c>
      <c r="J5150" s="21" t="n">
        <v>0</v>
      </c>
      <c r="K5150" s="21" t="n">
        <v>0</v>
      </c>
      <c r="L5150" s="21">
        <f>$B$3625</f>
        <v/>
      </c>
      <c r="M5150" s="21">
        <f>$B$3627</f>
        <v/>
      </c>
      <c r="N5150" s="21">
        <f>0</f>
        <v/>
      </c>
      <c r="O5150" s="21">
        <f>2*$B$3626</f>
        <v/>
      </c>
      <c r="P5150" s="21">
        <f>-$B$3625</f>
        <v/>
      </c>
      <c r="Q5150" s="21">
        <f>$B$3627</f>
        <v/>
      </c>
      <c r="R5150" s="21" t="n">
        <v>0</v>
      </c>
      <c r="S5150" s="21" t="n">
        <v>0</v>
      </c>
      <c r="T5150" s="21" t="n">
        <v>0</v>
      </c>
      <c r="U5150" s="21" t="n">
        <v>0</v>
      </c>
      <c r="V5150" s="21" t="n">
        <v>0</v>
      </c>
      <c r="W5150" s="21" t="n">
        <v>0</v>
      </c>
      <c r="X5150" s="21" t="n">
        <v>0</v>
      </c>
      <c r="Y5150" s="21" t="n">
        <v>0</v>
      </c>
      <c r="Z5150" s="19" t="n"/>
    </row>
    <row r="5151">
      <c r="D5151" s="21" t="n">
        <v>0</v>
      </c>
      <c r="E5151" s="21" t="n">
        <v>0</v>
      </c>
      <c r="F5151" s="21" t="n">
        <v>0</v>
      </c>
      <c r="G5151" s="21" t="n">
        <v>0</v>
      </c>
      <c r="H5151" s="21" t="n">
        <v>0</v>
      </c>
      <c r="I5151" s="21" t="n">
        <v>0</v>
      </c>
      <c r="J5151" s="21" t="n">
        <v>0</v>
      </c>
      <c r="K5151" s="21" t="n">
        <v>0</v>
      </c>
      <c r="L5151" s="21" t="n">
        <v>0</v>
      </c>
      <c r="M5151" s="21" t="n">
        <v>0</v>
      </c>
      <c r="N5151" s="21">
        <f>-$B$3624</f>
        <v/>
      </c>
      <c r="O5151" s="21">
        <f>-$B$3625</f>
        <v/>
      </c>
      <c r="P5151" s="21">
        <f>2*$B$3624+$D$5133</f>
        <v/>
      </c>
      <c r="Q5151" s="21">
        <f>0</f>
        <v/>
      </c>
      <c r="R5151" s="21">
        <f>-$B$3624</f>
        <v/>
      </c>
      <c r="S5151" s="21">
        <f>$B$3625</f>
        <v/>
      </c>
      <c r="T5151" s="21" t="n">
        <v>0</v>
      </c>
      <c r="U5151" s="21" t="n">
        <v>0</v>
      </c>
      <c r="V5151" s="21" t="n">
        <v>0</v>
      </c>
      <c r="W5151" s="21" t="n">
        <v>0</v>
      </c>
      <c r="X5151" s="21" t="n">
        <v>0</v>
      </c>
      <c r="Y5151" s="21" t="n">
        <v>0</v>
      </c>
      <c r="Z5151" s="19" t="n"/>
    </row>
    <row r="5152">
      <c r="D5152" s="21" t="n">
        <v>0</v>
      </c>
      <c r="E5152" s="21" t="n">
        <v>0</v>
      </c>
      <c r="F5152" s="21" t="n">
        <v>0</v>
      </c>
      <c r="G5152" s="21" t="n">
        <v>0</v>
      </c>
      <c r="H5152" s="21" t="n">
        <v>0</v>
      </c>
      <c r="I5152" s="21" t="n">
        <v>0</v>
      </c>
      <c r="J5152" s="21" t="n">
        <v>0</v>
      </c>
      <c r="K5152" s="21" t="n">
        <v>0</v>
      </c>
      <c r="L5152" s="21" t="n">
        <v>0</v>
      </c>
      <c r="M5152" s="21" t="n">
        <v>0</v>
      </c>
      <c r="N5152" s="21">
        <f>$B$3625</f>
        <v/>
      </c>
      <c r="O5152" s="21">
        <f>$B$3627</f>
        <v/>
      </c>
      <c r="P5152" s="21">
        <f>0</f>
        <v/>
      </c>
      <c r="Q5152" s="21">
        <f>2*$B$3626</f>
        <v/>
      </c>
      <c r="R5152" s="21">
        <f>-$B$3625</f>
        <v/>
      </c>
      <c r="S5152" s="21">
        <f>$B$3627</f>
        <v/>
      </c>
      <c r="T5152" s="21" t="n">
        <v>0</v>
      </c>
      <c r="U5152" s="21" t="n">
        <v>0</v>
      </c>
      <c r="V5152" s="21" t="n">
        <v>0</v>
      </c>
      <c r="W5152" s="21" t="n">
        <v>0</v>
      </c>
      <c r="X5152" s="21" t="n">
        <v>0</v>
      </c>
      <c r="Y5152" s="21" t="n">
        <v>0</v>
      </c>
      <c r="Z5152" s="19" t="n"/>
    </row>
    <row r="5153">
      <c r="D5153" s="21" t="n">
        <v>0</v>
      </c>
      <c r="E5153" s="21" t="n">
        <v>0</v>
      </c>
      <c r="F5153" s="21" t="n">
        <v>0</v>
      </c>
      <c r="G5153" s="21" t="n">
        <v>0</v>
      </c>
      <c r="H5153" s="21" t="n">
        <v>0</v>
      </c>
      <c r="I5153" s="21" t="n">
        <v>0</v>
      </c>
      <c r="J5153" s="21" t="n">
        <v>0</v>
      </c>
      <c r="K5153" s="21" t="n">
        <v>0</v>
      </c>
      <c r="L5153" s="21" t="n">
        <v>0</v>
      </c>
      <c r="M5153" s="21" t="n">
        <v>0</v>
      </c>
      <c r="N5153" s="21" t="n">
        <v>0</v>
      </c>
      <c r="O5153" s="21" t="n">
        <v>0</v>
      </c>
      <c r="P5153" s="21">
        <f>-$B$3624</f>
        <v/>
      </c>
      <c r="Q5153" s="21">
        <f>-$B$3625</f>
        <v/>
      </c>
      <c r="R5153" s="21">
        <f>2*$B$3624+$D$5134</f>
        <v/>
      </c>
      <c r="S5153" s="21">
        <f>0</f>
        <v/>
      </c>
      <c r="T5153" s="21">
        <f>-$B$3624</f>
        <v/>
      </c>
      <c r="U5153" s="21">
        <f>$B$3625</f>
        <v/>
      </c>
      <c r="V5153" s="21" t="n">
        <v>0</v>
      </c>
      <c r="W5153" s="21" t="n">
        <v>0</v>
      </c>
      <c r="X5153" s="21" t="n">
        <v>0</v>
      </c>
      <c r="Y5153" s="21" t="n">
        <v>0</v>
      </c>
      <c r="Z5153" s="19" t="n"/>
    </row>
    <row r="5154">
      <c r="D5154" s="21" t="n">
        <v>0</v>
      </c>
      <c r="E5154" s="21" t="n">
        <v>0</v>
      </c>
      <c r="F5154" s="21" t="n">
        <v>0</v>
      </c>
      <c r="G5154" s="21" t="n">
        <v>0</v>
      </c>
      <c r="H5154" s="21" t="n">
        <v>0</v>
      </c>
      <c r="I5154" s="21" t="n">
        <v>0</v>
      </c>
      <c r="J5154" s="21" t="n">
        <v>0</v>
      </c>
      <c r="K5154" s="21" t="n">
        <v>0</v>
      </c>
      <c r="L5154" s="21" t="n">
        <v>0</v>
      </c>
      <c r="M5154" s="21" t="n">
        <v>0</v>
      </c>
      <c r="N5154" s="21" t="n">
        <v>0</v>
      </c>
      <c r="O5154" s="21" t="n">
        <v>0</v>
      </c>
      <c r="P5154" s="21">
        <f>$B$3625</f>
        <v/>
      </c>
      <c r="Q5154" s="21">
        <f>$B$3627</f>
        <v/>
      </c>
      <c r="R5154" s="21">
        <f>0</f>
        <v/>
      </c>
      <c r="S5154" s="21">
        <f>2*$B$3626</f>
        <v/>
      </c>
      <c r="T5154" s="21">
        <f>-$B$3625</f>
        <v/>
      </c>
      <c r="U5154" s="21">
        <f>$B$3627</f>
        <v/>
      </c>
      <c r="V5154" s="21" t="n">
        <v>0</v>
      </c>
      <c r="W5154" s="21" t="n">
        <v>0</v>
      </c>
      <c r="X5154" s="21" t="n">
        <v>0</v>
      </c>
      <c r="Y5154" s="21" t="n">
        <v>0</v>
      </c>
      <c r="Z5154" s="19" t="n"/>
    </row>
    <row r="5155">
      <c r="D5155" s="21" t="n">
        <v>0</v>
      </c>
      <c r="E5155" s="21" t="n">
        <v>0</v>
      </c>
      <c r="F5155" s="21" t="n">
        <v>0</v>
      </c>
      <c r="G5155" s="21" t="n">
        <v>0</v>
      </c>
      <c r="H5155" s="21" t="n">
        <v>0</v>
      </c>
      <c r="I5155" s="21" t="n">
        <v>0</v>
      </c>
      <c r="J5155" s="21" t="n">
        <v>0</v>
      </c>
      <c r="K5155" s="21" t="n">
        <v>0</v>
      </c>
      <c r="L5155" s="21" t="n">
        <v>0</v>
      </c>
      <c r="M5155" s="21" t="n">
        <v>0</v>
      </c>
      <c r="N5155" s="21" t="n">
        <v>0</v>
      </c>
      <c r="O5155" s="21" t="n">
        <v>0</v>
      </c>
      <c r="P5155" s="21" t="n">
        <v>0</v>
      </c>
      <c r="Q5155" s="21" t="n">
        <v>0</v>
      </c>
      <c r="R5155" s="21">
        <f>-$B$3624</f>
        <v/>
      </c>
      <c r="S5155" s="21">
        <f>-$B$3625</f>
        <v/>
      </c>
      <c r="T5155" s="21">
        <f>2*$B$3624+$D$5135</f>
        <v/>
      </c>
      <c r="U5155" s="21">
        <f>0</f>
        <v/>
      </c>
      <c r="V5155" s="21">
        <f>-$B$3624</f>
        <v/>
      </c>
      <c r="W5155" s="21">
        <f>$B$3625</f>
        <v/>
      </c>
      <c r="X5155" s="21" t="n">
        <v>0</v>
      </c>
      <c r="Y5155" s="21" t="n">
        <v>0</v>
      </c>
      <c r="Z5155" s="19" t="n"/>
    </row>
    <row r="5156">
      <c r="D5156" s="21" t="n">
        <v>0</v>
      </c>
      <c r="E5156" s="21" t="n">
        <v>0</v>
      </c>
      <c r="F5156" s="21" t="n">
        <v>0</v>
      </c>
      <c r="G5156" s="21" t="n">
        <v>0</v>
      </c>
      <c r="H5156" s="21" t="n">
        <v>0</v>
      </c>
      <c r="I5156" s="21" t="n">
        <v>0</v>
      </c>
      <c r="J5156" s="21" t="n">
        <v>0</v>
      </c>
      <c r="K5156" s="21" t="n">
        <v>0</v>
      </c>
      <c r="L5156" s="21" t="n">
        <v>0</v>
      </c>
      <c r="M5156" s="21" t="n">
        <v>0</v>
      </c>
      <c r="N5156" s="21" t="n">
        <v>0</v>
      </c>
      <c r="O5156" s="21" t="n">
        <v>0</v>
      </c>
      <c r="P5156" s="21" t="n">
        <v>0</v>
      </c>
      <c r="Q5156" s="21" t="n">
        <v>0</v>
      </c>
      <c r="R5156" s="21">
        <f>$B$3625</f>
        <v/>
      </c>
      <c r="S5156" s="21">
        <f>$B$3627</f>
        <v/>
      </c>
      <c r="T5156" s="21">
        <f>0</f>
        <v/>
      </c>
      <c r="U5156" s="21">
        <f>2*$B$3626</f>
        <v/>
      </c>
      <c r="V5156" s="21">
        <f>-$B$3625</f>
        <v/>
      </c>
      <c r="W5156" s="21">
        <f>$B$3627</f>
        <v/>
      </c>
      <c r="X5156" s="21" t="n">
        <v>0</v>
      </c>
      <c r="Y5156" s="21" t="n">
        <v>0</v>
      </c>
      <c r="Z5156" s="19" t="n"/>
    </row>
    <row r="5157">
      <c r="D5157" s="21" t="n">
        <v>0</v>
      </c>
      <c r="E5157" s="21" t="n">
        <v>0</v>
      </c>
      <c r="F5157" s="21" t="n">
        <v>0</v>
      </c>
      <c r="G5157" s="21" t="n">
        <v>0</v>
      </c>
      <c r="H5157" s="21" t="n">
        <v>0</v>
      </c>
      <c r="I5157" s="21" t="n">
        <v>0</v>
      </c>
      <c r="J5157" s="21" t="n">
        <v>0</v>
      </c>
      <c r="K5157" s="21" t="n">
        <v>0</v>
      </c>
      <c r="L5157" s="21" t="n">
        <v>0</v>
      </c>
      <c r="M5157" s="21" t="n">
        <v>0</v>
      </c>
      <c r="N5157" s="21" t="n">
        <v>0</v>
      </c>
      <c r="O5157" s="21" t="n">
        <v>0</v>
      </c>
      <c r="P5157" s="21" t="n">
        <v>0</v>
      </c>
      <c r="Q5157" s="21" t="n">
        <v>0</v>
      </c>
      <c r="R5157" s="21" t="n">
        <v>0</v>
      </c>
      <c r="S5157" s="21" t="n">
        <v>0</v>
      </c>
      <c r="T5157" s="21">
        <f>-$B$3624</f>
        <v/>
      </c>
      <c r="U5157" s="21">
        <f>-$B$3625</f>
        <v/>
      </c>
      <c r="V5157" s="21">
        <f>2*$B$3624+$D$5136</f>
        <v/>
      </c>
      <c r="W5157" s="21">
        <f>0</f>
        <v/>
      </c>
      <c r="X5157" s="21">
        <f>-$B$3624</f>
        <v/>
      </c>
      <c r="Y5157" s="21">
        <f>$B$3625</f>
        <v/>
      </c>
      <c r="Z5157" s="19" t="n"/>
    </row>
    <row r="5158">
      <c r="D5158" s="21" t="n">
        <v>0</v>
      </c>
      <c r="E5158" s="21" t="n">
        <v>0</v>
      </c>
      <c r="F5158" s="21" t="n">
        <v>0</v>
      </c>
      <c r="G5158" s="21" t="n">
        <v>0</v>
      </c>
      <c r="H5158" s="21" t="n">
        <v>0</v>
      </c>
      <c r="I5158" s="21" t="n">
        <v>0</v>
      </c>
      <c r="J5158" s="21" t="n">
        <v>0</v>
      </c>
      <c r="K5158" s="21" t="n">
        <v>0</v>
      </c>
      <c r="L5158" s="21" t="n">
        <v>0</v>
      </c>
      <c r="M5158" s="21" t="n">
        <v>0</v>
      </c>
      <c r="N5158" s="21" t="n">
        <v>0</v>
      </c>
      <c r="O5158" s="21" t="n">
        <v>0</v>
      </c>
      <c r="P5158" s="21" t="n">
        <v>0</v>
      </c>
      <c r="Q5158" s="21" t="n">
        <v>0</v>
      </c>
      <c r="R5158" s="21" t="n">
        <v>0</v>
      </c>
      <c r="S5158" s="21" t="n">
        <v>0</v>
      </c>
      <c r="T5158" s="21">
        <f>$B$3625</f>
        <v/>
      </c>
      <c r="U5158" s="21">
        <f>$B$3627</f>
        <v/>
      </c>
      <c r="V5158" s="21">
        <f>0</f>
        <v/>
      </c>
      <c r="W5158" s="21">
        <f>2*$B$3626</f>
        <v/>
      </c>
      <c r="X5158" s="21">
        <f>-$B$3625</f>
        <v/>
      </c>
      <c r="Y5158" s="21">
        <f>$B$3627</f>
        <v/>
      </c>
      <c r="Z5158" s="19" t="n"/>
    </row>
    <row r="5159">
      <c r="D5159" s="21" t="n">
        <v>0</v>
      </c>
      <c r="E5159" s="21" t="n">
        <v>0</v>
      </c>
      <c r="F5159" s="21" t="n">
        <v>0</v>
      </c>
      <c r="G5159" s="21" t="n">
        <v>0</v>
      </c>
      <c r="H5159" s="21" t="n">
        <v>0</v>
      </c>
      <c r="I5159" s="21" t="n">
        <v>0</v>
      </c>
      <c r="J5159" s="21" t="n">
        <v>0</v>
      </c>
      <c r="K5159" s="21" t="n">
        <v>0</v>
      </c>
      <c r="L5159" s="21" t="n">
        <v>0</v>
      </c>
      <c r="M5159" s="21" t="n">
        <v>0</v>
      </c>
      <c r="N5159" s="21" t="n">
        <v>0</v>
      </c>
      <c r="O5159" s="21" t="n">
        <v>0</v>
      </c>
      <c r="P5159" s="21" t="n">
        <v>0</v>
      </c>
      <c r="Q5159" s="21" t="n">
        <v>0</v>
      </c>
      <c r="R5159" s="21" t="n">
        <v>0</v>
      </c>
      <c r="S5159" s="21" t="n">
        <v>0</v>
      </c>
      <c r="T5159" s="21" t="n">
        <v>0</v>
      </c>
      <c r="U5159" s="21" t="n">
        <v>0</v>
      </c>
      <c r="V5159" s="21">
        <f>-$B$3624</f>
        <v/>
      </c>
      <c r="W5159" s="21">
        <f>-$B$3625</f>
        <v/>
      </c>
      <c r="X5159" s="21">
        <f>$B$3624+$D$5137</f>
        <v/>
      </c>
      <c r="Y5159" s="21">
        <f>-$B$3625</f>
        <v/>
      </c>
      <c r="Z5159" s="19" t="n"/>
    </row>
    <row r="5160">
      <c r="D5160" s="21" t="n">
        <v>0</v>
      </c>
      <c r="E5160" s="21" t="n">
        <v>0</v>
      </c>
      <c r="F5160" s="21" t="n">
        <v>0</v>
      </c>
      <c r="G5160" s="21" t="n">
        <v>0</v>
      </c>
      <c r="H5160" s="21" t="n">
        <v>0</v>
      </c>
      <c r="I5160" s="21" t="n">
        <v>0</v>
      </c>
      <c r="J5160" s="21" t="n">
        <v>0</v>
      </c>
      <c r="K5160" s="21" t="n">
        <v>0</v>
      </c>
      <c r="L5160" s="21" t="n">
        <v>0</v>
      </c>
      <c r="M5160" s="21" t="n">
        <v>0</v>
      </c>
      <c r="N5160" s="21" t="n">
        <v>0</v>
      </c>
      <c r="O5160" s="21" t="n">
        <v>0</v>
      </c>
      <c r="P5160" s="21" t="n">
        <v>0</v>
      </c>
      <c r="Q5160" s="21" t="n">
        <v>0</v>
      </c>
      <c r="R5160" s="21" t="n">
        <v>0</v>
      </c>
      <c r="S5160" s="21" t="n">
        <v>0</v>
      </c>
      <c r="T5160" s="21" t="n">
        <v>0</v>
      </c>
      <c r="U5160" s="21" t="n">
        <v>0</v>
      </c>
      <c r="V5160" s="21">
        <f>$B$3625</f>
        <v/>
      </c>
      <c r="W5160" s="21">
        <f>$B$3627</f>
        <v/>
      </c>
      <c r="X5160" s="21">
        <f>-$B$3625</f>
        <v/>
      </c>
      <c r="Y5160" s="21">
        <f>$B$3626</f>
        <v/>
      </c>
      <c r="Z5160" s="19" t="n"/>
    </row>
    <row r="5162">
      <c r="A5162" s="8" t="inlineStr">
        <is>
          <t>gen 42</t>
        </is>
      </c>
    </row>
    <row r="5163">
      <c r="D5163" s="19">
        <f>IF(ABS(IF(ABS($E$5127)&gt;0.000000001,$E$5127,0.000000001))=0,0,IF($E$3639&lt;=$B$3633,0,IF(ABS(IF(ABS($E$5127)&gt;0.000000001,$E$5127,0.000000001))&gt;=8*$B$3635,$H$3639,0.5*$H$3639*(ABS(IF(ABS($E$5127)&gt;0.000000001,$E$5127,0.000000001))/$B$3635)^(1/3)))/ABS(IF(ABS($E$5127)&gt;0.000000001,$E$5127,0.000000001))*$I$3639)</f>
        <v/>
      </c>
      <c r="E5163" s="19">
        <f>0.5*$E$5127+0.5*$Z$5175</f>
        <v/>
      </c>
      <c r="F5163" s="19">
        <f>$Z$5176</f>
        <v/>
      </c>
    </row>
    <row r="5164">
      <c r="D5164" s="19">
        <f>IF(ABS(IF(ABS($E$5128)&gt;0.000000001,$E$5128,0.000000001))=0,0,IF($E$3640&lt;=$B$3633,0,IF(ABS(IF(ABS($E$5128)&gt;0.000000001,$E$5128,0.000000001))&gt;=8*$B$3635,$H$3640,0.5*$H$3640*(ABS(IF(ABS($E$5128)&gt;0.000000001,$E$5128,0.000000001))/$B$3635)^(1/3)))/ABS(IF(ABS($E$5128)&gt;0.000000001,$E$5128,0.000000001))*$I$3640)</f>
        <v/>
      </c>
      <c r="E5164" s="19">
        <f>0.5*$E$5128+0.5*$Z$5177</f>
        <v/>
      </c>
      <c r="F5164" s="19">
        <f>$Z$5178</f>
        <v/>
      </c>
    </row>
    <row r="5165">
      <c r="D5165" s="19">
        <f>IF(ABS(IF(ABS($E$5129)&gt;0.000000001,$E$5129,0.000000001))=0,0,IF($E$3641&lt;=$B$3633,0,IF(ABS(IF(ABS($E$5129)&gt;0.000000001,$E$5129,0.000000001))&gt;=8*$B$3635,$H$3641,0.5*$H$3641*(ABS(IF(ABS($E$5129)&gt;0.000000001,$E$5129,0.000000001))/$B$3635)^(1/3)))/ABS(IF(ABS($E$5129)&gt;0.000000001,$E$5129,0.000000001))*$I$3641)</f>
        <v/>
      </c>
      <c r="E5165" s="19">
        <f>0.5*$E$5129+0.5*$Z$5179</f>
        <v/>
      </c>
      <c r="F5165" s="19">
        <f>$Z$5180</f>
        <v/>
      </c>
    </row>
    <row r="5166">
      <c r="D5166" s="19">
        <f>IF(ABS(IF(ABS($E$5130)&gt;0.000000001,$E$5130,0.000000001))=0,0,IF($E$3642&lt;=$B$3633,0,IF(ABS(IF(ABS($E$5130)&gt;0.000000001,$E$5130,0.000000001))&gt;=8*$B$3635,$H$3642,0.5*$H$3642*(ABS(IF(ABS($E$5130)&gt;0.000000001,$E$5130,0.000000001))/$B$3635)^(1/3)))/ABS(IF(ABS($E$5130)&gt;0.000000001,$E$5130,0.000000001))*$I$3642)</f>
        <v/>
      </c>
      <c r="E5166" s="19">
        <f>0.5*$E$5130+0.5*$Z$5181</f>
        <v/>
      </c>
      <c r="F5166" s="19">
        <f>$Z$5182</f>
        <v/>
      </c>
    </row>
    <row r="5167">
      <c r="D5167" s="19">
        <f>IF(ABS(IF(ABS($E$5131)&gt;0.000000001,$E$5131,0.000000001))=0,0,IF($E$3643&lt;=$B$3633,0,IF(ABS(IF(ABS($E$5131)&gt;0.000000001,$E$5131,0.000000001))&gt;=8*$B$3635,$H$3643,0.5*$H$3643*(ABS(IF(ABS($E$5131)&gt;0.000000001,$E$5131,0.000000001))/$B$3635)^(1/3)))/ABS(IF(ABS($E$5131)&gt;0.000000001,$E$5131,0.000000001))*$I$3643)</f>
        <v/>
      </c>
      <c r="E5167" s="19">
        <f>0.5*$E$5131+0.5*$Z$5183</f>
        <v/>
      </c>
      <c r="F5167" s="19">
        <f>$Z$5184</f>
        <v/>
      </c>
    </row>
    <row r="5168">
      <c r="D5168" s="19">
        <f>IF(ABS(IF(ABS($E$5132)&gt;0.000000001,$E$5132,0.000000001))=0,0,IF($E$3644&lt;=$B$3633,0,IF(ABS(IF(ABS($E$5132)&gt;0.000000001,$E$5132,0.000000001))&gt;=8*$B$3635,$H$3644,0.5*$H$3644*(ABS(IF(ABS($E$5132)&gt;0.000000001,$E$5132,0.000000001))/$B$3635)^(1/3)))/ABS(IF(ABS($E$5132)&gt;0.000000001,$E$5132,0.000000001))*$I$3644)</f>
        <v/>
      </c>
      <c r="E5168" s="19">
        <f>0.5*$E$5132+0.5*$Z$5185</f>
        <v/>
      </c>
      <c r="F5168" s="19">
        <f>$Z$5186</f>
        <v/>
      </c>
    </row>
    <row r="5169">
      <c r="D5169" s="19">
        <f>IF(ABS(IF(ABS($E$5133)&gt;0.000000001,$E$5133,0.000000001))=0,0,IF($E$3645&lt;=$B$3633,0,IF(ABS(IF(ABS($E$5133)&gt;0.000000001,$E$5133,0.000000001))&gt;=8*$B$3635,$H$3645,0.5*$H$3645*(ABS(IF(ABS($E$5133)&gt;0.000000001,$E$5133,0.000000001))/$B$3635)^(1/3)))/ABS(IF(ABS($E$5133)&gt;0.000000001,$E$5133,0.000000001))*$I$3645)</f>
        <v/>
      </c>
      <c r="E5169" s="19">
        <f>0.5*$E$5133+0.5*$Z$5187</f>
        <v/>
      </c>
      <c r="F5169" s="19">
        <f>$Z$5188</f>
        <v/>
      </c>
    </row>
    <row r="5170">
      <c r="D5170" s="19">
        <f>IF(ABS(IF(ABS($E$5134)&gt;0.000000001,$E$5134,0.000000001))=0,0,IF($E$3646&lt;=$B$3633,0,IF(ABS(IF(ABS($E$5134)&gt;0.000000001,$E$5134,0.000000001))&gt;=8*$B$3635,$H$3646,0.5*$H$3646*(ABS(IF(ABS($E$5134)&gt;0.000000001,$E$5134,0.000000001))/$B$3635)^(1/3)))/ABS(IF(ABS($E$5134)&gt;0.000000001,$E$5134,0.000000001))*$I$3646)</f>
        <v/>
      </c>
      <c r="E5170" s="19">
        <f>0.5*$E$5134+0.5*$Z$5189</f>
        <v/>
      </c>
      <c r="F5170" s="19">
        <f>$Z$5190</f>
        <v/>
      </c>
    </row>
    <row r="5171">
      <c r="D5171" s="19">
        <f>IF(ABS(IF(ABS($E$5135)&gt;0.000000001,$E$5135,0.000000001))=0,0,IF($E$3647&lt;=$B$3633,0,IF(ABS(IF(ABS($E$5135)&gt;0.000000001,$E$5135,0.000000001))&gt;=8*$B$3635,$H$3647,0.5*$H$3647*(ABS(IF(ABS($E$5135)&gt;0.000000001,$E$5135,0.000000001))/$B$3635)^(1/3)))/ABS(IF(ABS($E$5135)&gt;0.000000001,$E$5135,0.000000001))*$I$3647)</f>
        <v/>
      </c>
      <c r="E5171" s="19">
        <f>0.5*$E$5135+0.5*$Z$5191</f>
        <v/>
      </c>
      <c r="F5171" s="19">
        <f>$Z$5192</f>
        <v/>
      </c>
    </row>
    <row r="5172">
      <c r="D5172" s="19">
        <f>IF(ABS(IF(ABS($E$5136)&gt;0.000000001,$E$5136,0.000000001))=0,0,IF($E$3648&lt;=$B$3633,0,IF(ABS(IF(ABS($E$5136)&gt;0.000000001,$E$5136,0.000000001))&gt;=8*$B$3635,$H$3648,0.5*$H$3648*(ABS(IF(ABS($E$5136)&gt;0.000000001,$E$5136,0.000000001))/$B$3635)^(1/3)))/ABS(IF(ABS($E$5136)&gt;0.000000001,$E$5136,0.000000001))*$I$3648)</f>
        <v/>
      </c>
      <c r="E5172" s="19">
        <f>0.5*$E$5136+0.5*$Z$5193</f>
        <v/>
      </c>
      <c r="F5172" s="19">
        <f>$Z$5194</f>
        <v/>
      </c>
    </row>
    <row r="5173">
      <c r="D5173" s="19">
        <f>IF(ABS(IF(ABS($E$5137)&gt;0.000000001,$E$5137,0.000000001))=0,0,IF($E$3649&lt;=$B$3633,0,IF(ABS(IF(ABS($E$5137)&gt;0.000000001,$E$5137,0.000000001))&gt;=8*$B$3635,$H$3649,0.5*$H$3649*(ABS(IF(ABS($E$5137)&gt;0.000000001,$E$5137,0.000000001))/$B$3635)^(1/3)))/ABS(IF(ABS($E$5137)&gt;0.000000001,$E$5137,0.000000001))*$I$3649)</f>
        <v/>
      </c>
      <c r="E5173" s="19">
        <f>0.5*$E$5137+0.5*$Z$5195</f>
        <v/>
      </c>
      <c r="F5173" s="19">
        <f>$Z$5196</f>
        <v/>
      </c>
    </row>
    <row r="5175">
      <c r="D5175" s="21">
        <f>$B$3624+$D$5163</f>
        <v/>
      </c>
      <c r="E5175" s="21">
        <f>$B$3625</f>
        <v/>
      </c>
      <c r="F5175" s="21">
        <f>-$B$3624</f>
        <v/>
      </c>
      <c r="G5175" s="21">
        <f>$B$3625</f>
        <v/>
      </c>
      <c r="H5175" s="21" t="n">
        <v>0</v>
      </c>
      <c r="I5175" s="21" t="n">
        <v>0</v>
      </c>
      <c r="J5175" s="21" t="n">
        <v>0</v>
      </c>
      <c r="K5175" s="21" t="n">
        <v>0</v>
      </c>
      <c r="L5175" s="21" t="n">
        <v>0</v>
      </c>
      <c r="M5175" s="21" t="n">
        <v>0</v>
      </c>
      <c r="N5175" s="21" t="n">
        <v>0</v>
      </c>
      <c r="O5175" s="21" t="n">
        <v>0</v>
      </c>
      <c r="P5175" s="21" t="n">
        <v>0</v>
      </c>
      <c r="Q5175" s="21" t="n">
        <v>0</v>
      </c>
      <c r="R5175" s="21" t="n">
        <v>0</v>
      </c>
      <c r="S5175" s="21" t="n">
        <v>0</v>
      </c>
      <c r="T5175" s="21" t="n">
        <v>0</v>
      </c>
      <c r="U5175" s="21" t="n">
        <v>0</v>
      </c>
      <c r="V5175" s="21" t="n">
        <v>0</v>
      </c>
      <c r="W5175" s="21" t="n">
        <v>0</v>
      </c>
      <c r="X5175" s="21" t="n">
        <v>0</v>
      </c>
      <c r="Y5175" s="21" t="n">
        <v>0</v>
      </c>
      <c r="Z5175" s="19">
        <f t="array" ref="Z5175:Z5196">MMULT(MINVERSE($D$5175:$Y$5196),$D$3651:$D$3672)</f>
        <v/>
      </c>
    </row>
    <row r="5176">
      <c r="D5176" s="21">
        <f>$B$3625</f>
        <v/>
      </c>
      <c r="E5176" s="21">
        <f>$B$3626</f>
        <v/>
      </c>
      <c r="F5176" s="21">
        <f>-$B$3625</f>
        <v/>
      </c>
      <c r="G5176" s="21">
        <f>$B$3627</f>
        <v/>
      </c>
      <c r="H5176" s="21" t="n">
        <v>0</v>
      </c>
      <c r="I5176" s="21" t="n">
        <v>0</v>
      </c>
      <c r="J5176" s="21" t="n">
        <v>0</v>
      </c>
      <c r="K5176" s="21" t="n">
        <v>0</v>
      </c>
      <c r="L5176" s="21" t="n">
        <v>0</v>
      </c>
      <c r="M5176" s="21" t="n">
        <v>0</v>
      </c>
      <c r="N5176" s="21" t="n">
        <v>0</v>
      </c>
      <c r="O5176" s="21" t="n">
        <v>0</v>
      </c>
      <c r="P5176" s="21" t="n">
        <v>0</v>
      </c>
      <c r="Q5176" s="21" t="n">
        <v>0</v>
      </c>
      <c r="R5176" s="21" t="n">
        <v>0</v>
      </c>
      <c r="S5176" s="21" t="n">
        <v>0</v>
      </c>
      <c r="T5176" s="21" t="n">
        <v>0</v>
      </c>
      <c r="U5176" s="21" t="n">
        <v>0</v>
      </c>
      <c r="V5176" s="21" t="n">
        <v>0</v>
      </c>
      <c r="W5176" s="21" t="n">
        <v>0</v>
      </c>
      <c r="X5176" s="21" t="n">
        <v>0</v>
      </c>
      <c r="Y5176" s="21" t="n">
        <v>0</v>
      </c>
      <c r="Z5176" s="19" t="n"/>
    </row>
    <row r="5177">
      <c r="D5177" s="21">
        <f>-$B$3624</f>
        <v/>
      </c>
      <c r="E5177" s="21">
        <f>-$B$3625</f>
        <v/>
      </c>
      <c r="F5177" s="21">
        <f>2*$B$3624+$D$5164</f>
        <v/>
      </c>
      <c r="G5177" s="21">
        <f>0</f>
        <v/>
      </c>
      <c r="H5177" s="21">
        <f>-$B$3624</f>
        <v/>
      </c>
      <c r="I5177" s="21">
        <f>$B$3625</f>
        <v/>
      </c>
      <c r="J5177" s="21" t="n">
        <v>0</v>
      </c>
      <c r="K5177" s="21" t="n">
        <v>0</v>
      </c>
      <c r="L5177" s="21" t="n">
        <v>0</v>
      </c>
      <c r="M5177" s="21" t="n">
        <v>0</v>
      </c>
      <c r="N5177" s="21" t="n">
        <v>0</v>
      </c>
      <c r="O5177" s="21" t="n">
        <v>0</v>
      </c>
      <c r="P5177" s="21" t="n">
        <v>0</v>
      </c>
      <c r="Q5177" s="21" t="n">
        <v>0</v>
      </c>
      <c r="R5177" s="21" t="n">
        <v>0</v>
      </c>
      <c r="S5177" s="21" t="n">
        <v>0</v>
      </c>
      <c r="T5177" s="21" t="n">
        <v>0</v>
      </c>
      <c r="U5177" s="21" t="n">
        <v>0</v>
      </c>
      <c r="V5177" s="21" t="n">
        <v>0</v>
      </c>
      <c r="W5177" s="21" t="n">
        <v>0</v>
      </c>
      <c r="X5177" s="21" t="n">
        <v>0</v>
      </c>
      <c r="Y5177" s="21" t="n">
        <v>0</v>
      </c>
      <c r="Z5177" s="19" t="n"/>
    </row>
    <row r="5178">
      <c r="D5178" s="21">
        <f>$B$3625</f>
        <v/>
      </c>
      <c r="E5178" s="21">
        <f>$B$3627</f>
        <v/>
      </c>
      <c r="F5178" s="21">
        <f>0</f>
        <v/>
      </c>
      <c r="G5178" s="21">
        <f>2*$B$3626</f>
        <v/>
      </c>
      <c r="H5178" s="21">
        <f>-$B$3625</f>
        <v/>
      </c>
      <c r="I5178" s="21">
        <f>$B$3627</f>
        <v/>
      </c>
      <c r="J5178" s="21" t="n">
        <v>0</v>
      </c>
      <c r="K5178" s="21" t="n">
        <v>0</v>
      </c>
      <c r="L5178" s="21" t="n">
        <v>0</v>
      </c>
      <c r="M5178" s="21" t="n">
        <v>0</v>
      </c>
      <c r="N5178" s="21" t="n">
        <v>0</v>
      </c>
      <c r="O5178" s="21" t="n">
        <v>0</v>
      </c>
      <c r="P5178" s="21" t="n">
        <v>0</v>
      </c>
      <c r="Q5178" s="21" t="n">
        <v>0</v>
      </c>
      <c r="R5178" s="21" t="n">
        <v>0</v>
      </c>
      <c r="S5178" s="21" t="n">
        <v>0</v>
      </c>
      <c r="T5178" s="21" t="n">
        <v>0</v>
      </c>
      <c r="U5178" s="21" t="n">
        <v>0</v>
      </c>
      <c r="V5178" s="21" t="n">
        <v>0</v>
      </c>
      <c r="W5178" s="21" t="n">
        <v>0</v>
      </c>
      <c r="X5178" s="21" t="n">
        <v>0</v>
      </c>
      <c r="Y5178" s="21" t="n">
        <v>0</v>
      </c>
      <c r="Z5178" s="19" t="n"/>
    </row>
    <row r="5179">
      <c r="D5179" s="21" t="n">
        <v>0</v>
      </c>
      <c r="E5179" s="21" t="n">
        <v>0</v>
      </c>
      <c r="F5179" s="21">
        <f>-$B$3624</f>
        <v/>
      </c>
      <c r="G5179" s="21">
        <f>-$B$3625</f>
        <v/>
      </c>
      <c r="H5179" s="21">
        <f>2*$B$3624+$D$5165</f>
        <v/>
      </c>
      <c r="I5179" s="21">
        <f>0</f>
        <v/>
      </c>
      <c r="J5179" s="21">
        <f>-$B$3624</f>
        <v/>
      </c>
      <c r="K5179" s="21">
        <f>$B$3625</f>
        <v/>
      </c>
      <c r="L5179" s="21" t="n">
        <v>0</v>
      </c>
      <c r="M5179" s="21" t="n">
        <v>0</v>
      </c>
      <c r="N5179" s="21" t="n">
        <v>0</v>
      </c>
      <c r="O5179" s="21" t="n">
        <v>0</v>
      </c>
      <c r="P5179" s="21" t="n">
        <v>0</v>
      </c>
      <c r="Q5179" s="21" t="n">
        <v>0</v>
      </c>
      <c r="R5179" s="21" t="n">
        <v>0</v>
      </c>
      <c r="S5179" s="21" t="n">
        <v>0</v>
      </c>
      <c r="T5179" s="21" t="n">
        <v>0</v>
      </c>
      <c r="U5179" s="21" t="n">
        <v>0</v>
      </c>
      <c r="V5179" s="21" t="n">
        <v>0</v>
      </c>
      <c r="W5179" s="21" t="n">
        <v>0</v>
      </c>
      <c r="X5179" s="21" t="n">
        <v>0</v>
      </c>
      <c r="Y5179" s="21" t="n">
        <v>0</v>
      </c>
      <c r="Z5179" s="19" t="n"/>
    </row>
    <row r="5180">
      <c r="D5180" s="21" t="n">
        <v>0</v>
      </c>
      <c r="E5180" s="21" t="n">
        <v>0</v>
      </c>
      <c r="F5180" s="21">
        <f>$B$3625</f>
        <v/>
      </c>
      <c r="G5180" s="21">
        <f>$B$3627</f>
        <v/>
      </c>
      <c r="H5180" s="21">
        <f>0</f>
        <v/>
      </c>
      <c r="I5180" s="21">
        <f>2*$B$3626</f>
        <v/>
      </c>
      <c r="J5180" s="21">
        <f>-$B$3625</f>
        <v/>
      </c>
      <c r="K5180" s="21">
        <f>$B$3627</f>
        <v/>
      </c>
      <c r="L5180" s="21" t="n">
        <v>0</v>
      </c>
      <c r="M5180" s="21" t="n">
        <v>0</v>
      </c>
      <c r="N5180" s="21" t="n">
        <v>0</v>
      </c>
      <c r="O5180" s="21" t="n">
        <v>0</v>
      </c>
      <c r="P5180" s="21" t="n">
        <v>0</v>
      </c>
      <c r="Q5180" s="21" t="n">
        <v>0</v>
      </c>
      <c r="R5180" s="21" t="n">
        <v>0</v>
      </c>
      <c r="S5180" s="21" t="n">
        <v>0</v>
      </c>
      <c r="T5180" s="21" t="n">
        <v>0</v>
      </c>
      <c r="U5180" s="21" t="n">
        <v>0</v>
      </c>
      <c r="V5180" s="21" t="n">
        <v>0</v>
      </c>
      <c r="W5180" s="21" t="n">
        <v>0</v>
      </c>
      <c r="X5180" s="21" t="n">
        <v>0</v>
      </c>
      <c r="Y5180" s="21" t="n">
        <v>0</v>
      </c>
      <c r="Z5180" s="19" t="n"/>
    </row>
    <row r="5181">
      <c r="D5181" s="21" t="n">
        <v>0</v>
      </c>
      <c r="E5181" s="21" t="n">
        <v>0</v>
      </c>
      <c r="F5181" s="21" t="n">
        <v>0</v>
      </c>
      <c r="G5181" s="21" t="n">
        <v>0</v>
      </c>
      <c r="H5181" s="21">
        <f>-$B$3624</f>
        <v/>
      </c>
      <c r="I5181" s="21">
        <f>-$B$3625</f>
        <v/>
      </c>
      <c r="J5181" s="21">
        <f>2*$B$3624+$D$5166</f>
        <v/>
      </c>
      <c r="K5181" s="21">
        <f>0</f>
        <v/>
      </c>
      <c r="L5181" s="21">
        <f>-$B$3624</f>
        <v/>
      </c>
      <c r="M5181" s="21">
        <f>$B$3625</f>
        <v/>
      </c>
      <c r="N5181" s="21" t="n">
        <v>0</v>
      </c>
      <c r="O5181" s="21" t="n">
        <v>0</v>
      </c>
      <c r="P5181" s="21" t="n">
        <v>0</v>
      </c>
      <c r="Q5181" s="21" t="n">
        <v>0</v>
      </c>
      <c r="R5181" s="21" t="n">
        <v>0</v>
      </c>
      <c r="S5181" s="21" t="n">
        <v>0</v>
      </c>
      <c r="T5181" s="21" t="n">
        <v>0</v>
      </c>
      <c r="U5181" s="21" t="n">
        <v>0</v>
      </c>
      <c r="V5181" s="21" t="n">
        <v>0</v>
      </c>
      <c r="W5181" s="21" t="n">
        <v>0</v>
      </c>
      <c r="X5181" s="21" t="n">
        <v>0</v>
      </c>
      <c r="Y5181" s="21" t="n">
        <v>0</v>
      </c>
      <c r="Z5181" s="19" t="n"/>
    </row>
    <row r="5182">
      <c r="D5182" s="21" t="n">
        <v>0</v>
      </c>
      <c r="E5182" s="21" t="n">
        <v>0</v>
      </c>
      <c r="F5182" s="21" t="n">
        <v>0</v>
      </c>
      <c r="G5182" s="21" t="n">
        <v>0</v>
      </c>
      <c r="H5182" s="21">
        <f>$B$3625</f>
        <v/>
      </c>
      <c r="I5182" s="21">
        <f>$B$3627</f>
        <v/>
      </c>
      <c r="J5182" s="21">
        <f>0</f>
        <v/>
      </c>
      <c r="K5182" s="21">
        <f>2*$B$3626</f>
        <v/>
      </c>
      <c r="L5182" s="21">
        <f>-$B$3625</f>
        <v/>
      </c>
      <c r="M5182" s="21">
        <f>$B$3627</f>
        <v/>
      </c>
      <c r="N5182" s="21" t="n">
        <v>0</v>
      </c>
      <c r="O5182" s="21" t="n">
        <v>0</v>
      </c>
      <c r="P5182" s="21" t="n">
        <v>0</v>
      </c>
      <c r="Q5182" s="21" t="n">
        <v>0</v>
      </c>
      <c r="R5182" s="21" t="n">
        <v>0</v>
      </c>
      <c r="S5182" s="21" t="n">
        <v>0</v>
      </c>
      <c r="T5182" s="21" t="n">
        <v>0</v>
      </c>
      <c r="U5182" s="21" t="n">
        <v>0</v>
      </c>
      <c r="V5182" s="21" t="n">
        <v>0</v>
      </c>
      <c r="W5182" s="21" t="n">
        <v>0</v>
      </c>
      <c r="X5182" s="21" t="n">
        <v>0</v>
      </c>
      <c r="Y5182" s="21" t="n">
        <v>0</v>
      </c>
      <c r="Z5182" s="19" t="n"/>
    </row>
    <row r="5183">
      <c r="D5183" s="21" t="n">
        <v>0</v>
      </c>
      <c r="E5183" s="21" t="n">
        <v>0</v>
      </c>
      <c r="F5183" s="21" t="n">
        <v>0</v>
      </c>
      <c r="G5183" s="21" t="n">
        <v>0</v>
      </c>
      <c r="H5183" s="21" t="n">
        <v>0</v>
      </c>
      <c r="I5183" s="21" t="n">
        <v>0</v>
      </c>
      <c r="J5183" s="21">
        <f>-$B$3624</f>
        <v/>
      </c>
      <c r="K5183" s="21">
        <f>-$B$3625</f>
        <v/>
      </c>
      <c r="L5183" s="21">
        <f>2*$B$3624+$D$5167</f>
        <v/>
      </c>
      <c r="M5183" s="21">
        <f>0</f>
        <v/>
      </c>
      <c r="N5183" s="21">
        <f>-$B$3624</f>
        <v/>
      </c>
      <c r="O5183" s="21">
        <f>$B$3625</f>
        <v/>
      </c>
      <c r="P5183" s="21" t="n">
        <v>0</v>
      </c>
      <c r="Q5183" s="21" t="n">
        <v>0</v>
      </c>
      <c r="R5183" s="21" t="n">
        <v>0</v>
      </c>
      <c r="S5183" s="21" t="n">
        <v>0</v>
      </c>
      <c r="T5183" s="21" t="n">
        <v>0</v>
      </c>
      <c r="U5183" s="21" t="n">
        <v>0</v>
      </c>
      <c r="V5183" s="21" t="n">
        <v>0</v>
      </c>
      <c r="W5183" s="21" t="n">
        <v>0</v>
      </c>
      <c r="X5183" s="21" t="n">
        <v>0</v>
      </c>
      <c r="Y5183" s="21" t="n">
        <v>0</v>
      </c>
      <c r="Z5183" s="19" t="n"/>
    </row>
    <row r="5184">
      <c r="D5184" s="21" t="n">
        <v>0</v>
      </c>
      <c r="E5184" s="21" t="n">
        <v>0</v>
      </c>
      <c r="F5184" s="21" t="n">
        <v>0</v>
      </c>
      <c r="G5184" s="21" t="n">
        <v>0</v>
      </c>
      <c r="H5184" s="21" t="n">
        <v>0</v>
      </c>
      <c r="I5184" s="21" t="n">
        <v>0</v>
      </c>
      <c r="J5184" s="21">
        <f>$B$3625</f>
        <v/>
      </c>
      <c r="K5184" s="21">
        <f>$B$3627</f>
        <v/>
      </c>
      <c r="L5184" s="21">
        <f>0</f>
        <v/>
      </c>
      <c r="M5184" s="21">
        <f>2*$B$3626</f>
        <v/>
      </c>
      <c r="N5184" s="21">
        <f>-$B$3625</f>
        <v/>
      </c>
      <c r="O5184" s="21">
        <f>$B$3627</f>
        <v/>
      </c>
      <c r="P5184" s="21" t="n">
        <v>0</v>
      </c>
      <c r="Q5184" s="21" t="n">
        <v>0</v>
      </c>
      <c r="R5184" s="21" t="n">
        <v>0</v>
      </c>
      <c r="S5184" s="21" t="n">
        <v>0</v>
      </c>
      <c r="T5184" s="21" t="n">
        <v>0</v>
      </c>
      <c r="U5184" s="21" t="n">
        <v>0</v>
      </c>
      <c r="V5184" s="21" t="n">
        <v>0</v>
      </c>
      <c r="W5184" s="21" t="n">
        <v>0</v>
      </c>
      <c r="X5184" s="21" t="n">
        <v>0</v>
      </c>
      <c r="Y5184" s="21" t="n">
        <v>0</v>
      </c>
      <c r="Z5184" s="19" t="n"/>
    </row>
    <row r="5185">
      <c r="D5185" s="21" t="n">
        <v>0</v>
      </c>
      <c r="E5185" s="21" t="n">
        <v>0</v>
      </c>
      <c r="F5185" s="21" t="n">
        <v>0</v>
      </c>
      <c r="G5185" s="21" t="n">
        <v>0</v>
      </c>
      <c r="H5185" s="21" t="n">
        <v>0</v>
      </c>
      <c r="I5185" s="21" t="n">
        <v>0</v>
      </c>
      <c r="J5185" s="21" t="n">
        <v>0</v>
      </c>
      <c r="K5185" s="21" t="n">
        <v>0</v>
      </c>
      <c r="L5185" s="21">
        <f>-$B$3624</f>
        <v/>
      </c>
      <c r="M5185" s="21">
        <f>-$B$3625</f>
        <v/>
      </c>
      <c r="N5185" s="21">
        <f>2*$B$3624+$D$5168</f>
        <v/>
      </c>
      <c r="O5185" s="21">
        <f>0</f>
        <v/>
      </c>
      <c r="P5185" s="21">
        <f>-$B$3624</f>
        <v/>
      </c>
      <c r="Q5185" s="21">
        <f>$B$3625</f>
        <v/>
      </c>
      <c r="R5185" s="21" t="n">
        <v>0</v>
      </c>
      <c r="S5185" s="21" t="n">
        <v>0</v>
      </c>
      <c r="T5185" s="21" t="n">
        <v>0</v>
      </c>
      <c r="U5185" s="21" t="n">
        <v>0</v>
      </c>
      <c r="V5185" s="21" t="n">
        <v>0</v>
      </c>
      <c r="W5185" s="21" t="n">
        <v>0</v>
      </c>
      <c r="X5185" s="21" t="n">
        <v>0</v>
      </c>
      <c r="Y5185" s="21" t="n">
        <v>0</v>
      </c>
      <c r="Z5185" s="19" t="n"/>
    </row>
    <row r="5186">
      <c r="D5186" s="21" t="n">
        <v>0</v>
      </c>
      <c r="E5186" s="21" t="n">
        <v>0</v>
      </c>
      <c r="F5186" s="21" t="n">
        <v>0</v>
      </c>
      <c r="G5186" s="21" t="n">
        <v>0</v>
      </c>
      <c r="H5186" s="21" t="n">
        <v>0</v>
      </c>
      <c r="I5186" s="21" t="n">
        <v>0</v>
      </c>
      <c r="J5186" s="21" t="n">
        <v>0</v>
      </c>
      <c r="K5186" s="21" t="n">
        <v>0</v>
      </c>
      <c r="L5186" s="21">
        <f>$B$3625</f>
        <v/>
      </c>
      <c r="M5186" s="21">
        <f>$B$3627</f>
        <v/>
      </c>
      <c r="N5186" s="21">
        <f>0</f>
        <v/>
      </c>
      <c r="O5186" s="21">
        <f>2*$B$3626</f>
        <v/>
      </c>
      <c r="P5186" s="21">
        <f>-$B$3625</f>
        <v/>
      </c>
      <c r="Q5186" s="21">
        <f>$B$3627</f>
        <v/>
      </c>
      <c r="R5186" s="21" t="n">
        <v>0</v>
      </c>
      <c r="S5186" s="21" t="n">
        <v>0</v>
      </c>
      <c r="T5186" s="21" t="n">
        <v>0</v>
      </c>
      <c r="U5186" s="21" t="n">
        <v>0</v>
      </c>
      <c r="V5186" s="21" t="n">
        <v>0</v>
      </c>
      <c r="W5186" s="21" t="n">
        <v>0</v>
      </c>
      <c r="X5186" s="21" t="n">
        <v>0</v>
      </c>
      <c r="Y5186" s="21" t="n">
        <v>0</v>
      </c>
      <c r="Z5186" s="19" t="n"/>
    </row>
    <row r="5187">
      <c r="D5187" s="21" t="n">
        <v>0</v>
      </c>
      <c r="E5187" s="21" t="n">
        <v>0</v>
      </c>
      <c r="F5187" s="21" t="n">
        <v>0</v>
      </c>
      <c r="G5187" s="21" t="n">
        <v>0</v>
      </c>
      <c r="H5187" s="21" t="n">
        <v>0</v>
      </c>
      <c r="I5187" s="21" t="n">
        <v>0</v>
      </c>
      <c r="J5187" s="21" t="n">
        <v>0</v>
      </c>
      <c r="K5187" s="21" t="n">
        <v>0</v>
      </c>
      <c r="L5187" s="21" t="n">
        <v>0</v>
      </c>
      <c r="M5187" s="21" t="n">
        <v>0</v>
      </c>
      <c r="N5187" s="21">
        <f>-$B$3624</f>
        <v/>
      </c>
      <c r="O5187" s="21">
        <f>-$B$3625</f>
        <v/>
      </c>
      <c r="P5187" s="21">
        <f>2*$B$3624+$D$5169</f>
        <v/>
      </c>
      <c r="Q5187" s="21">
        <f>0</f>
        <v/>
      </c>
      <c r="R5187" s="21">
        <f>-$B$3624</f>
        <v/>
      </c>
      <c r="S5187" s="21">
        <f>$B$3625</f>
        <v/>
      </c>
      <c r="T5187" s="21" t="n">
        <v>0</v>
      </c>
      <c r="U5187" s="21" t="n">
        <v>0</v>
      </c>
      <c r="V5187" s="21" t="n">
        <v>0</v>
      </c>
      <c r="W5187" s="21" t="n">
        <v>0</v>
      </c>
      <c r="X5187" s="21" t="n">
        <v>0</v>
      </c>
      <c r="Y5187" s="21" t="n">
        <v>0</v>
      </c>
      <c r="Z5187" s="19" t="n"/>
    </row>
    <row r="5188">
      <c r="D5188" s="21" t="n">
        <v>0</v>
      </c>
      <c r="E5188" s="21" t="n">
        <v>0</v>
      </c>
      <c r="F5188" s="21" t="n">
        <v>0</v>
      </c>
      <c r="G5188" s="21" t="n">
        <v>0</v>
      </c>
      <c r="H5188" s="21" t="n">
        <v>0</v>
      </c>
      <c r="I5188" s="21" t="n">
        <v>0</v>
      </c>
      <c r="J5188" s="21" t="n">
        <v>0</v>
      </c>
      <c r="K5188" s="21" t="n">
        <v>0</v>
      </c>
      <c r="L5188" s="21" t="n">
        <v>0</v>
      </c>
      <c r="M5188" s="21" t="n">
        <v>0</v>
      </c>
      <c r="N5188" s="21">
        <f>$B$3625</f>
        <v/>
      </c>
      <c r="O5188" s="21">
        <f>$B$3627</f>
        <v/>
      </c>
      <c r="P5188" s="21">
        <f>0</f>
        <v/>
      </c>
      <c r="Q5188" s="21">
        <f>2*$B$3626</f>
        <v/>
      </c>
      <c r="R5188" s="21">
        <f>-$B$3625</f>
        <v/>
      </c>
      <c r="S5188" s="21">
        <f>$B$3627</f>
        <v/>
      </c>
      <c r="T5188" s="21" t="n">
        <v>0</v>
      </c>
      <c r="U5188" s="21" t="n">
        <v>0</v>
      </c>
      <c r="V5188" s="21" t="n">
        <v>0</v>
      </c>
      <c r="W5188" s="21" t="n">
        <v>0</v>
      </c>
      <c r="X5188" s="21" t="n">
        <v>0</v>
      </c>
      <c r="Y5188" s="21" t="n">
        <v>0</v>
      </c>
      <c r="Z5188" s="19" t="n"/>
    </row>
    <row r="5189">
      <c r="D5189" s="21" t="n">
        <v>0</v>
      </c>
      <c r="E5189" s="21" t="n">
        <v>0</v>
      </c>
      <c r="F5189" s="21" t="n">
        <v>0</v>
      </c>
      <c r="G5189" s="21" t="n">
        <v>0</v>
      </c>
      <c r="H5189" s="21" t="n">
        <v>0</v>
      </c>
      <c r="I5189" s="21" t="n">
        <v>0</v>
      </c>
      <c r="J5189" s="21" t="n">
        <v>0</v>
      </c>
      <c r="K5189" s="21" t="n">
        <v>0</v>
      </c>
      <c r="L5189" s="21" t="n">
        <v>0</v>
      </c>
      <c r="M5189" s="21" t="n">
        <v>0</v>
      </c>
      <c r="N5189" s="21" t="n">
        <v>0</v>
      </c>
      <c r="O5189" s="21" t="n">
        <v>0</v>
      </c>
      <c r="P5189" s="21">
        <f>-$B$3624</f>
        <v/>
      </c>
      <c r="Q5189" s="21">
        <f>-$B$3625</f>
        <v/>
      </c>
      <c r="R5189" s="21">
        <f>2*$B$3624+$D$5170</f>
        <v/>
      </c>
      <c r="S5189" s="21">
        <f>0</f>
        <v/>
      </c>
      <c r="T5189" s="21">
        <f>-$B$3624</f>
        <v/>
      </c>
      <c r="U5189" s="21">
        <f>$B$3625</f>
        <v/>
      </c>
      <c r="V5189" s="21" t="n">
        <v>0</v>
      </c>
      <c r="W5189" s="21" t="n">
        <v>0</v>
      </c>
      <c r="X5189" s="21" t="n">
        <v>0</v>
      </c>
      <c r="Y5189" s="21" t="n">
        <v>0</v>
      </c>
      <c r="Z5189" s="19" t="n"/>
    </row>
    <row r="5190">
      <c r="D5190" s="21" t="n">
        <v>0</v>
      </c>
      <c r="E5190" s="21" t="n">
        <v>0</v>
      </c>
      <c r="F5190" s="21" t="n">
        <v>0</v>
      </c>
      <c r="G5190" s="21" t="n">
        <v>0</v>
      </c>
      <c r="H5190" s="21" t="n">
        <v>0</v>
      </c>
      <c r="I5190" s="21" t="n">
        <v>0</v>
      </c>
      <c r="J5190" s="21" t="n">
        <v>0</v>
      </c>
      <c r="K5190" s="21" t="n">
        <v>0</v>
      </c>
      <c r="L5190" s="21" t="n">
        <v>0</v>
      </c>
      <c r="M5190" s="21" t="n">
        <v>0</v>
      </c>
      <c r="N5190" s="21" t="n">
        <v>0</v>
      </c>
      <c r="O5190" s="21" t="n">
        <v>0</v>
      </c>
      <c r="P5190" s="21">
        <f>$B$3625</f>
        <v/>
      </c>
      <c r="Q5190" s="21">
        <f>$B$3627</f>
        <v/>
      </c>
      <c r="R5190" s="21">
        <f>0</f>
        <v/>
      </c>
      <c r="S5190" s="21">
        <f>2*$B$3626</f>
        <v/>
      </c>
      <c r="T5190" s="21">
        <f>-$B$3625</f>
        <v/>
      </c>
      <c r="U5190" s="21">
        <f>$B$3627</f>
        <v/>
      </c>
      <c r="V5190" s="21" t="n">
        <v>0</v>
      </c>
      <c r="W5190" s="21" t="n">
        <v>0</v>
      </c>
      <c r="X5190" s="21" t="n">
        <v>0</v>
      </c>
      <c r="Y5190" s="21" t="n">
        <v>0</v>
      </c>
      <c r="Z5190" s="19" t="n"/>
    </row>
    <row r="5191">
      <c r="D5191" s="21" t="n">
        <v>0</v>
      </c>
      <c r="E5191" s="21" t="n">
        <v>0</v>
      </c>
      <c r="F5191" s="21" t="n">
        <v>0</v>
      </c>
      <c r="G5191" s="21" t="n">
        <v>0</v>
      </c>
      <c r="H5191" s="21" t="n">
        <v>0</v>
      </c>
      <c r="I5191" s="21" t="n">
        <v>0</v>
      </c>
      <c r="J5191" s="21" t="n">
        <v>0</v>
      </c>
      <c r="K5191" s="21" t="n">
        <v>0</v>
      </c>
      <c r="L5191" s="21" t="n">
        <v>0</v>
      </c>
      <c r="M5191" s="21" t="n">
        <v>0</v>
      </c>
      <c r="N5191" s="21" t="n">
        <v>0</v>
      </c>
      <c r="O5191" s="21" t="n">
        <v>0</v>
      </c>
      <c r="P5191" s="21" t="n">
        <v>0</v>
      </c>
      <c r="Q5191" s="21" t="n">
        <v>0</v>
      </c>
      <c r="R5191" s="21">
        <f>-$B$3624</f>
        <v/>
      </c>
      <c r="S5191" s="21">
        <f>-$B$3625</f>
        <v/>
      </c>
      <c r="T5191" s="21">
        <f>2*$B$3624+$D$5171</f>
        <v/>
      </c>
      <c r="U5191" s="21">
        <f>0</f>
        <v/>
      </c>
      <c r="V5191" s="21">
        <f>-$B$3624</f>
        <v/>
      </c>
      <c r="W5191" s="21">
        <f>$B$3625</f>
        <v/>
      </c>
      <c r="X5191" s="21" t="n">
        <v>0</v>
      </c>
      <c r="Y5191" s="21" t="n">
        <v>0</v>
      </c>
      <c r="Z5191" s="19" t="n"/>
    </row>
    <row r="5192">
      <c r="D5192" s="21" t="n">
        <v>0</v>
      </c>
      <c r="E5192" s="21" t="n">
        <v>0</v>
      </c>
      <c r="F5192" s="21" t="n">
        <v>0</v>
      </c>
      <c r="G5192" s="21" t="n">
        <v>0</v>
      </c>
      <c r="H5192" s="21" t="n">
        <v>0</v>
      </c>
      <c r="I5192" s="21" t="n">
        <v>0</v>
      </c>
      <c r="J5192" s="21" t="n">
        <v>0</v>
      </c>
      <c r="K5192" s="21" t="n">
        <v>0</v>
      </c>
      <c r="L5192" s="21" t="n">
        <v>0</v>
      </c>
      <c r="M5192" s="21" t="n">
        <v>0</v>
      </c>
      <c r="N5192" s="21" t="n">
        <v>0</v>
      </c>
      <c r="O5192" s="21" t="n">
        <v>0</v>
      </c>
      <c r="P5192" s="21" t="n">
        <v>0</v>
      </c>
      <c r="Q5192" s="21" t="n">
        <v>0</v>
      </c>
      <c r="R5192" s="21">
        <f>$B$3625</f>
        <v/>
      </c>
      <c r="S5192" s="21">
        <f>$B$3627</f>
        <v/>
      </c>
      <c r="T5192" s="21">
        <f>0</f>
        <v/>
      </c>
      <c r="U5192" s="21">
        <f>2*$B$3626</f>
        <v/>
      </c>
      <c r="V5192" s="21">
        <f>-$B$3625</f>
        <v/>
      </c>
      <c r="W5192" s="21">
        <f>$B$3627</f>
        <v/>
      </c>
      <c r="X5192" s="21" t="n">
        <v>0</v>
      </c>
      <c r="Y5192" s="21" t="n">
        <v>0</v>
      </c>
      <c r="Z5192" s="19" t="n"/>
    </row>
    <row r="5193">
      <c r="D5193" s="21" t="n">
        <v>0</v>
      </c>
      <c r="E5193" s="21" t="n">
        <v>0</v>
      </c>
      <c r="F5193" s="21" t="n">
        <v>0</v>
      </c>
      <c r="G5193" s="21" t="n">
        <v>0</v>
      </c>
      <c r="H5193" s="21" t="n">
        <v>0</v>
      </c>
      <c r="I5193" s="21" t="n">
        <v>0</v>
      </c>
      <c r="J5193" s="21" t="n">
        <v>0</v>
      </c>
      <c r="K5193" s="21" t="n">
        <v>0</v>
      </c>
      <c r="L5193" s="21" t="n">
        <v>0</v>
      </c>
      <c r="M5193" s="21" t="n">
        <v>0</v>
      </c>
      <c r="N5193" s="21" t="n">
        <v>0</v>
      </c>
      <c r="O5193" s="21" t="n">
        <v>0</v>
      </c>
      <c r="P5193" s="21" t="n">
        <v>0</v>
      </c>
      <c r="Q5193" s="21" t="n">
        <v>0</v>
      </c>
      <c r="R5193" s="21" t="n">
        <v>0</v>
      </c>
      <c r="S5193" s="21" t="n">
        <v>0</v>
      </c>
      <c r="T5193" s="21">
        <f>-$B$3624</f>
        <v/>
      </c>
      <c r="U5193" s="21">
        <f>-$B$3625</f>
        <v/>
      </c>
      <c r="V5193" s="21">
        <f>2*$B$3624+$D$5172</f>
        <v/>
      </c>
      <c r="W5193" s="21">
        <f>0</f>
        <v/>
      </c>
      <c r="X5193" s="21">
        <f>-$B$3624</f>
        <v/>
      </c>
      <c r="Y5193" s="21">
        <f>$B$3625</f>
        <v/>
      </c>
      <c r="Z5193" s="19" t="n"/>
    </row>
    <row r="5194">
      <c r="D5194" s="21" t="n">
        <v>0</v>
      </c>
      <c r="E5194" s="21" t="n">
        <v>0</v>
      </c>
      <c r="F5194" s="21" t="n">
        <v>0</v>
      </c>
      <c r="G5194" s="21" t="n">
        <v>0</v>
      </c>
      <c r="H5194" s="21" t="n">
        <v>0</v>
      </c>
      <c r="I5194" s="21" t="n">
        <v>0</v>
      </c>
      <c r="J5194" s="21" t="n">
        <v>0</v>
      </c>
      <c r="K5194" s="21" t="n">
        <v>0</v>
      </c>
      <c r="L5194" s="21" t="n">
        <v>0</v>
      </c>
      <c r="M5194" s="21" t="n">
        <v>0</v>
      </c>
      <c r="N5194" s="21" t="n">
        <v>0</v>
      </c>
      <c r="O5194" s="21" t="n">
        <v>0</v>
      </c>
      <c r="P5194" s="21" t="n">
        <v>0</v>
      </c>
      <c r="Q5194" s="21" t="n">
        <v>0</v>
      </c>
      <c r="R5194" s="21" t="n">
        <v>0</v>
      </c>
      <c r="S5194" s="21" t="n">
        <v>0</v>
      </c>
      <c r="T5194" s="21">
        <f>$B$3625</f>
        <v/>
      </c>
      <c r="U5194" s="21">
        <f>$B$3627</f>
        <v/>
      </c>
      <c r="V5194" s="21">
        <f>0</f>
        <v/>
      </c>
      <c r="W5194" s="21">
        <f>2*$B$3626</f>
        <v/>
      </c>
      <c r="X5194" s="21">
        <f>-$B$3625</f>
        <v/>
      </c>
      <c r="Y5194" s="21">
        <f>$B$3627</f>
        <v/>
      </c>
      <c r="Z5194" s="19" t="n"/>
    </row>
    <row r="5195">
      <c r="D5195" s="21" t="n">
        <v>0</v>
      </c>
      <c r="E5195" s="21" t="n">
        <v>0</v>
      </c>
      <c r="F5195" s="21" t="n">
        <v>0</v>
      </c>
      <c r="G5195" s="21" t="n">
        <v>0</v>
      </c>
      <c r="H5195" s="21" t="n">
        <v>0</v>
      </c>
      <c r="I5195" s="21" t="n">
        <v>0</v>
      </c>
      <c r="J5195" s="21" t="n">
        <v>0</v>
      </c>
      <c r="K5195" s="21" t="n">
        <v>0</v>
      </c>
      <c r="L5195" s="21" t="n">
        <v>0</v>
      </c>
      <c r="M5195" s="21" t="n">
        <v>0</v>
      </c>
      <c r="N5195" s="21" t="n">
        <v>0</v>
      </c>
      <c r="O5195" s="21" t="n">
        <v>0</v>
      </c>
      <c r="P5195" s="21" t="n">
        <v>0</v>
      </c>
      <c r="Q5195" s="21" t="n">
        <v>0</v>
      </c>
      <c r="R5195" s="21" t="n">
        <v>0</v>
      </c>
      <c r="S5195" s="21" t="n">
        <v>0</v>
      </c>
      <c r="T5195" s="21" t="n">
        <v>0</v>
      </c>
      <c r="U5195" s="21" t="n">
        <v>0</v>
      </c>
      <c r="V5195" s="21">
        <f>-$B$3624</f>
        <v/>
      </c>
      <c r="W5195" s="21">
        <f>-$B$3625</f>
        <v/>
      </c>
      <c r="X5195" s="21">
        <f>$B$3624+$D$5173</f>
        <v/>
      </c>
      <c r="Y5195" s="21">
        <f>-$B$3625</f>
        <v/>
      </c>
      <c r="Z5195" s="19" t="n"/>
    </row>
    <row r="5196">
      <c r="D5196" s="21" t="n">
        <v>0</v>
      </c>
      <c r="E5196" s="21" t="n">
        <v>0</v>
      </c>
      <c r="F5196" s="21" t="n">
        <v>0</v>
      </c>
      <c r="G5196" s="21" t="n">
        <v>0</v>
      </c>
      <c r="H5196" s="21" t="n">
        <v>0</v>
      </c>
      <c r="I5196" s="21" t="n">
        <v>0</v>
      </c>
      <c r="J5196" s="21" t="n">
        <v>0</v>
      </c>
      <c r="K5196" s="21" t="n">
        <v>0</v>
      </c>
      <c r="L5196" s="21" t="n">
        <v>0</v>
      </c>
      <c r="M5196" s="21" t="n">
        <v>0</v>
      </c>
      <c r="N5196" s="21" t="n">
        <v>0</v>
      </c>
      <c r="O5196" s="21" t="n">
        <v>0</v>
      </c>
      <c r="P5196" s="21" t="n">
        <v>0</v>
      </c>
      <c r="Q5196" s="21" t="n">
        <v>0</v>
      </c>
      <c r="R5196" s="21" t="n">
        <v>0</v>
      </c>
      <c r="S5196" s="21" t="n">
        <v>0</v>
      </c>
      <c r="T5196" s="21" t="n">
        <v>0</v>
      </c>
      <c r="U5196" s="21" t="n">
        <v>0</v>
      </c>
      <c r="V5196" s="21">
        <f>$B$3625</f>
        <v/>
      </c>
      <c r="W5196" s="21">
        <f>$B$3627</f>
        <v/>
      </c>
      <c r="X5196" s="21">
        <f>-$B$3625</f>
        <v/>
      </c>
      <c r="Y5196" s="21">
        <f>$B$3626</f>
        <v/>
      </c>
      <c r="Z5196" s="19" t="n"/>
    </row>
    <row r="5198">
      <c r="A5198" s="8" t="inlineStr">
        <is>
          <t>gen 43</t>
        </is>
      </c>
    </row>
    <row r="5199">
      <c r="D5199" s="19">
        <f>IF(ABS(IF(ABS($E$5163)&gt;0.000000001,$E$5163,0.000000001))=0,0,IF($E$3639&lt;=$B$3633,0,IF(ABS(IF(ABS($E$5163)&gt;0.000000001,$E$5163,0.000000001))&gt;=8*$B$3635,$H$3639,0.5*$H$3639*(ABS(IF(ABS($E$5163)&gt;0.000000001,$E$5163,0.000000001))/$B$3635)^(1/3)))/ABS(IF(ABS($E$5163)&gt;0.000000001,$E$5163,0.000000001))*$I$3639)</f>
        <v/>
      </c>
      <c r="E5199" s="19">
        <f>0.5*$E$5163+0.5*$Z$5211</f>
        <v/>
      </c>
      <c r="F5199" s="19">
        <f>$Z$5212</f>
        <v/>
      </c>
    </row>
    <row r="5200">
      <c r="D5200" s="19">
        <f>IF(ABS(IF(ABS($E$5164)&gt;0.000000001,$E$5164,0.000000001))=0,0,IF($E$3640&lt;=$B$3633,0,IF(ABS(IF(ABS($E$5164)&gt;0.000000001,$E$5164,0.000000001))&gt;=8*$B$3635,$H$3640,0.5*$H$3640*(ABS(IF(ABS($E$5164)&gt;0.000000001,$E$5164,0.000000001))/$B$3635)^(1/3)))/ABS(IF(ABS($E$5164)&gt;0.000000001,$E$5164,0.000000001))*$I$3640)</f>
        <v/>
      </c>
      <c r="E5200" s="19">
        <f>0.5*$E$5164+0.5*$Z$5213</f>
        <v/>
      </c>
      <c r="F5200" s="19">
        <f>$Z$5214</f>
        <v/>
      </c>
    </row>
    <row r="5201">
      <c r="D5201" s="19">
        <f>IF(ABS(IF(ABS($E$5165)&gt;0.000000001,$E$5165,0.000000001))=0,0,IF($E$3641&lt;=$B$3633,0,IF(ABS(IF(ABS($E$5165)&gt;0.000000001,$E$5165,0.000000001))&gt;=8*$B$3635,$H$3641,0.5*$H$3641*(ABS(IF(ABS($E$5165)&gt;0.000000001,$E$5165,0.000000001))/$B$3635)^(1/3)))/ABS(IF(ABS($E$5165)&gt;0.000000001,$E$5165,0.000000001))*$I$3641)</f>
        <v/>
      </c>
      <c r="E5201" s="19">
        <f>0.5*$E$5165+0.5*$Z$5215</f>
        <v/>
      </c>
      <c r="F5201" s="19">
        <f>$Z$5216</f>
        <v/>
      </c>
    </row>
    <row r="5202">
      <c r="D5202" s="19">
        <f>IF(ABS(IF(ABS($E$5166)&gt;0.000000001,$E$5166,0.000000001))=0,0,IF($E$3642&lt;=$B$3633,0,IF(ABS(IF(ABS($E$5166)&gt;0.000000001,$E$5166,0.000000001))&gt;=8*$B$3635,$H$3642,0.5*$H$3642*(ABS(IF(ABS($E$5166)&gt;0.000000001,$E$5166,0.000000001))/$B$3635)^(1/3)))/ABS(IF(ABS($E$5166)&gt;0.000000001,$E$5166,0.000000001))*$I$3642)</f>
        <v/>
      </c>
      <c r="E5202" s="19">
        <f>0.5*$E$5166+0.5*$Z$5217</f>
        <v/>
      </c>
      <c r="F5202" s="19">
        <f>$Z$5218</f>
        <v/>
      </c>
    </row>
    <row r="5203">
      <c r="D5203" s="19">
        <f>IF(ABS(IF(ABS($E$5167)&gt;0.000000001,$E$5167,0.000000001))=0,0,IF($E$3643&lt;=$B$3633,0,IF(ABS(IF(ABS($E$5167)&gt;0.000000001,$E$5167,0.000000001))&gt;=8*$B$3635,$H$3643,0.5*$H$3643*(ABS(IF(ABS($E$5167)&gt;0.000000001,$E$5167,0.000000001))/$B$3635)^(1/3)))/ABS(IF(ABS($E$5167)&gt;0.000000001,$E$5167,0.000000001))*$I$3643)</f>
        <v/>
      </c>
      <c r="E5203" s="19">
        <f>0.5*$E$5167+0.5*$Z$5219</f>
        <v/>
      </c>
      <c r="F5203" s="19">
        <f>$Z$5220</f>
        <v/>
      </c>
    </row>
    <row r="5204">
      <c r="D5204" s="19">
        <f>IF(ABS(IF(ABS($E$5168)&gt;0.000000001,$E$5168,0.000000001))=0,0,IF($E$3644&lt;=$B$3633,0,IF(ABS(IF(ABS($E$5168)&gt;0.000000001,$E$5168,0.000000001))&gt;=8*$B$3635,$H$3644,0.5*$H$3644*(ABS(IF(ABS($E$5168)&gt;0.000000001,$E$5168,0.000000001))/$B$3635)^(1/3)))/ABS(IF(ABS($E$5168)&gt;0.000000001,$E$5168,0.000000001))*$I$3644)</f>
        <v/>
      </c>
      <c r="E5204" s="19">
        <f>0.5*$E$5168+0.5*$Z$5221</f>
        <v/>
      </c>
      <c r="F5204" s="19">
        <f>$Z$5222</f>
        <v/>
      </c>
    </row>
    <row r="5205">
      <c r="D5205" s="19">
        <f>IF(ABS(IF(ABS($E$5169)&gt;0.000000001,$E$5169,0.000000001))=0,0,IF($E$3645&lt;=$B$3633,0,IF(ABS(IF(ABS($E$5169)&gt;0.000000001,$E$5169,0.000000001))&gt;=8*$B$3635,$H$3645,0.5*$H$3645*(ABS(IF(ABS($E$5169)&gt;0.000000001,$E$5169,0.000000001))/$B$3635)^(1/3)))/ABS(IF(ABS($E$5169)&gt;0.000000001,$E$5169,0.000000001))*$I$3645)</f>
        <v/>
      </c>
      <c r="E5205" s="19">
        <f>0.5*$E$5169+0.5*$Z$5223</f>
        <v/>
      </c>
      <c r="F5205" s="19">
        <f>$Z$5224</f>
        <v/>
      </c>
    </row>
    <row r="5206">
      <c r="D5206" s="19">
        <f>IF(ABS(IF(ABS($E$5170)&gt;0.000000001,$E$5170,0.000000001))=0,0,IF($E$3646&lt;=$B$3633,0,IF(ABS(IF(ABS($E$5170)&gt;0.000000001,$E$5170,0.000000001))&gt;=8*$B$3635,$H$3646,0.5*$H$3646*(ABS(IF(ABS($E$5170)&gt;0.000000001,$E$5170,0.000000001))/$B$3635)^(1/3)))/ABS(IF(ABS($E$5170)&gt;0.000000001,$E$5170,0.000000001))*$I$3646)</f>
        <v/>
      </c>
      <c r="E5206" s="19">
        <f>0.5*$E$5170+0.5*$Z$5225</f>
        <v/>
      </c>
      <c r="F5206" s="19">
        <f>$Z$5226</f>
        <v/>
      </c>
    </row>
    <row r="5207">
      <c r="D5207" s="19">
        <f>IF(ABS(IF(ABS($E$5171)&gt;0.000000001,$E$5171,0.000000001))=0,0,IF($E$3647&lt;=$B$3633,0,IF(ABS(IF(ABS($E$5171)&gt;0.000000001,$E$5171,0.000000001))&gt;=8*$B$3635,$H$3647,0.5*$H$3647*(ABS(IF(ABS($E$5171)&gt;0.000000001,$E$5171,0.000000001))/$B$3635)^(1/3)))/ABS(IF(ABS($E$5171)&gt;0.000000001,$E$5171,0.000000001))*$I$3647)</f>
        <v/>
      </c>
      <c r="E5207" s="19">
        <f>0.5*$E$5171+0.5*$Z$5227</f>
        <v/>
      </c>
      <c r="F5207" s="19">
        <f>$Z$5228</f>
        <v/>
      </c>
    </row>
    <row r="5208">
      <c r="D5208" s="19">
        <f>IF(ABS(IF(ABS($E$5172)&gt;0.000000001,$E$5172,0.000000001))=0,0,IF($E$3648&lt;=$B$3633,0,IF(ABS(IF(ABS($E$5172)&gt;0.000000001,$E$5172,0.000000001))&gt;=8*$B$3635,$H$3648,0.5*$H$3648*(ABS(IF(ABS($E$5172)&gt;0.000000001,$E$5172,0.000000001))/$B$3635)^(1/3)))/ABS(IF(ABS($E$5172)&gt;0.000000001,$E$5172,0.000000001))*$I$3648)</f>
        <v/>
      </c>
      <c r="E5208" s="19">
        <f>0.5*$E$5172+0.5*$Z$5229</f>
        <v/>
      </c>
      <c r="F5208" s="19">
        <f>$Z$5230</f>
        <v/>
      </c>
    </row>
    <row r="5209">
      <c r="D5209" s="19">
        <f>IF(ABS(IF(ABS($E$5173)&gt;0.000000001,$E$5173,0.000000001))=0,0,IF($E$3649&lt;=$B$3633,0,IF(ABS(IF(ABS($E$5173)&gt;0.000000001,$E$5173,0.000000001))&gt;=8*$B$3635,$H$3649,0.5*$H$3649*(ABS(IF(ABS($E$5173)&gt;0.000000001,$E$5173,0.000000001))/$B$3635)^(1/3)))/ABS(IF(ABS($E$5173)&gt;0.000000001,$E$5173,0.000000001))*$I$3649)</f>
        <v/>
      </c>
      <c r="E5209" s="19">
        <f>0.5*$E$5173+0.5*$Z$5231</f>
        <v/>
      </c>
      <c r="F5209" s="19">
        <f>$Z$5232</f>
        <v/>
      </c>
    </row>
    <row r="5211">
      <c r="D5211" s="21">
        <f>$B$3624+$D$5199</f>
        <v/>
      </c>
      <c r="E5211" s="21">
        <f>$B$3625</f>
        <v/>
      </c>
      <c r="F5211" s="21">
        <f>-$B$3624</f>
        <v/>
      </c>
      <c r="G5211" s="21">
        <f>$B$3625</f>
        <v/>
      </c>
      <c r="H5211" s="21" t="n">
        <v>0</v>
      </c>
      <c r="I5211" s="21" t="n">
        <v>0</v>
      </c>
      <c r="J5211" s="21" t="n">
        <v>0</v>
      </c>
      <c r="K5211" s="21" t="n">
        <v>0</v>
      </c>
      <c r="L5211" s="21" t="n">
        <v>0</v>
      </c>
      <c r="M5211" s="21" t="n">
        <v>0</v>
      </c>
      <c r="N5211" s="21" t="n">
        <v>0</v>
      </c>
      <c r="O5211" s="21" t="n">
        <v>0</v>
      </c>
      <c r="P5211" s="21" t="n">
        <v>0</v>
      </c>
      <c r="Q5211" s="21" t="n">
        <v>0</v>
      </c>
      <c r="R5211" s="21" t="n">
        <v>0</v>
      </c>
      <c r="S5211" s="21" t="n">
        <v>0</v>
      </c>
      <c r="T5211" s="21" t="n">
        <v>0</v>
      </c>
      <c r="U5211" s="21" t="n">
        <v>0</v>
      </c>
      <c r="V5211" s="21" t="n">
        <v>0</v>
      </c>
      <c r="W5211" s="21" t="n">
        <v>0</v>
      </c>
      <c r="X5211" s="21" t="n">
        <v>0</v>
      </c>
      <c r="Y5211" s="21" t="n">
        <v>0</v>
      </c>
      <c r="Z5211" s="19">
        <f t="array" ref="Z5211:Z5232">MMULT(MINVERSE($D$5211:$Y$5232),$D$3651:$D$3672)</f>
        <v/>
      </c>
    </row>
    <row r="5212">
      <c r="D5212" s="21">
        <f>$B$3625</f>
        <v/>
      </c>
      <c r="E5212" s="21">
        <f>$B$3626</f>
        <v/>
      </c>
      <c r="F5212" s="21">
        <f>-$B$3625</f>
        <v/>
      </c>
      <c r="G5212" s="21">
        <f>$B$3627</f>
        <v/>
      </c>
      <c r="H5212" s="21" t="n">
        <v>0</v>
      </c>
      <c r="I5212" s="21" t="n">
        <v>0</v>
      </c>
      <c r="J5212" s="21" t="n">
        <v>0</v>
      </c>
      <c r="K5212" s="21" t="n">
        <v>0</v>
      </c>
      <c r="L5212" s="21" t="n">
        <v>0</v>
      </c>
      <c r="M5212" s="21" t="n">
        <v>0</v>
      </c>
      <c r="N5212" s="21" t="n">
        <v>0</v>
      </c>
      <c r="O5212" s="21" t="n">
        <v>0</v>
      </c>
      <c r="P5212" s="21" t="n">
        <v>0</v>
      </c>
      <c r="Q5212" s="21" t="n">
        <v>0</v>
      </c>
      <c r="R5212" s="21" t="n">
        <v>0</v>
      </c>
      <c r="S5212" s="21" t="n">
        <v>0</v>
      </c>
      <c r="T5212" s="21" t="n">
        <v>0</v>
      </c>
      <c r="U5212" s="21" t="n">
        <v>0</v>
      </c>
      <c r="V5212" s="21" t="n">
        <v>0</v>
      </c>
      <c r="W5212" s="21" t="n">
        <v>0</v>
      </c>
      <c r="X5212" s="21" t="n">
        <v>0</v>
      </c>
      <c r="Y5212" s="21" t="n">
        <v>0</v>
      </c>
      <c r="Z5212" s="19" t="n"/>
    </row>
    <row r="5213">
      <c r="D5213" s="21">
        <f>-$B$3624</f>
        <v/>
      </c>
      <c r="E5213" s="21">
        <f>-$B$3625</f>
        <v/>
      </c>
      <c r="F5213" s="21">
        <f>2*$B$3624+$D$5200</f>
        <v/>
      </c>
      <c r="G5213" s="21">
        <f>0</f>
        <v/>
      </c>
      <c r="H5213" s="21">
        <f>-$B$3624</f>
        <v/>
      </c>
      <c r="I5213" s="21">
        <f>$B$3625</f>
        <v/>
      </c>
      <c r="J5213" s="21" t="n">
        <v>0</v>
      </c>
      <c r="K5213" s="21" t="n">
        <v>0</v>
      </c>
      <c r="L5213" s="21" t="n">
        <v>0</v>
      </c>
      <c r="M5213" s="21" t="n">
        <v>0</v>
      </c>
      <c r="N5213" s="21" t="n">
        <v>0</v>
      </c>
      <c r="O5213" s="21" t="n">
        <v>0</v>
      </c>
      <c r="P5213" s="21" t="n">
        <v>0</v>
      </c>
      <c r="Q5213" s="21" t="n">
        <v>0</v>
      </c>
      <c r="R5213" s="21" t="n">
        <v>0</v>
      </c>
      <c r="S5213" s="21" t="n">
        <v>0</v>
      </c>
      <c r="T5213" s="21" t="n">
        <v>0</v>
      </c>
      <c r="U5213" s="21" t="n">
        <v>0</v>
      </c>
      <c r="V5213" s="21" t="n">
        <v>0</v>
      </c>
      <c r="W5213" s="21" t="n">
        <v>0</v>
      </c>
      <c r="X5213" s="21" t="n">
        <v>0</v>
      </c>
      <c r="Y5213" s="21" t="n">
        <v>0</v>
      </c>
      <c r="Z5213" s="19" t="n"/>
    </row>
    <row r="5214">
      <c r="D5214" s="21">
        <f>$B$3625</f>
        <v/>
      </c>
      <c r="E5214" s="21">
        <f>$B$3627</f>
        <v/>
      </c>
      <c r="F5214" s="21">
        <f>0</f>
        <v/>
      </c>
      <c r="G5214" s="21">
        <f>2*$B$3626</f>
        <v/>
      </c>
      <c r="H5214" s="21">
        <f>-$B$3625</f>
        <v/>
      </c>
      <c r="I5214" s="21">
        <f>$B$3627</f>
        <v/>
      </c>
      <c r="J5214" s="21" t="n">
        <v>0</v>
      </c>
      <c r="K5214" s="21" t="n">
        <v>0</v>
      </c>
      <c r="L5214" s="21" t="n">
        <v>0</v>
      </c>
      <c r="M5214" s="21" t="n">
        <v>0</v>
      </c>
      <c r="N5214" s="21" t="n">
        <v>0</v>
      </c>
      <c r="O5214" s="21" t="n">
        <v>0</v>
      </c>
      <c r="P5214" s="21" t="n">
        <v>0</v>
      </c>
      <c r="Q5214" s="21" t="n">
        <v>0</v>
      </c>
      <c r="R5214" s="21" t="n">
        <v>0</v>
      </c>
      <c r="S5214" s="21" t="n">
        <v>0</v>
      </c>
      <c r="T5214" s="21" t="n">
        <v>0</v>
      </c>
      <c r="U5214" s="21" t="n">
        <v>0</v>
      </c>
      <c r="V5214" s="21" t="n">
        <v>0</v>
      </c>
      <c r="W5214" s="21" t="n">
        <v>0</v>
      </c>
      <c r="X5214" s="21" t="n">
        <v>0</v>
      </c>
      <c r="Y5214" s="21" t="n">
        <v>0</v>
      </c>
      <c r="Z5214" s="19" t="n"/>
    </row>
    <row r="5215">
      <c r="D5215" s="21" t="n">
        <v>0</v>
      </c>
      <c r="E5215" s="21" t="n">
        <v>0</v>
      </c>
      <c r="F5215" s="21">
        <f>-$B$3624</f>
        <v/>
      </c>
      <c r="G5215" s="21">
        <f>-$B$3625</f>
        <v/>
      </c>
      <c r="H5215" s="21">
        <f>2*$B$3624+$D$5201</f>
        <v/>
      </c>
      <c r="I5215" s="21">
        <f>0</f>
        <v/>
      </c>
      <c r="J5215" s="21">
        <f>-$B$3624</f>
        <v/>
      </c>
      <c r="K5215" s="21">
        <f>$B$3625</f>
        <v/>
      </c>
      <c r="L5215" s="21" t="n">
        <v>0</v>
      </c>
      <c r="M5215" s="21" t="n">
        <v>0</v>
      </c>
      <c r="N5215" s="21" t="n">
        <v>0</v>
      </c>
      <c r="O5215" s="21" t="n">
        <v>0</v>
      </c>
      <c r="P5215" s="21" t="n">
        <v>0</v>
      </c>
      <c r="Q5215" s="21" t="n">
        <v>0</v>
      </c>
      <c r="R5215" s="21" t="n">
        <v>0</v>
      </c>
      <c r="S5215" s="21" t="n">
        <v>0</v>
      </c>
      <c r="T5215" s="21" t="n">
        <v>0</v>
      </c>
      <c r="U5215" s="21" t="n">
        <v>0</v>
      </c>
      <c r="V5215" s="21" t="n">
        <v>0</v>
      </c>
      <c r="W5215" s="21" t="n">
        <v>0</v>
      </c>
      <c r="X5215" s="21" t="n">
        <v>0</v>
      </c>
      <c r="Y5215" s="21" t="n">
        <v>0</v>
      </c>
      <c r="Z5215" s="19" t="n"/>
    </row>
    <row r="5216">
      <c r="D5216" s="21" t="n">
        <v>0</v>
      </c>
      <c r="E5216" s="21" t="n">
        <v>0</v>
      </c>
      <c r="F5216" s="21">
        <f>$B$3625</f>
        <v/>
      </c>
      <c r="G5216" s="21">
        <f>$B$3627</f>
        <v/>
      </c>
      <c r="H5216" s="21">
        <f>0</f>
        <v/>
      </c>
      <c r="I5216" s="21">
        <f>2*$B$3626</f>
        <v/>
      </c>
      <c r="J5216" s="21">
        <f>-$B$3625</f>
        <v/>
      </c>
      <c r="K5216" s="21">
        <f>$B$3627</f>
        <v/>
      </c>
      <c r="L5216" s="21" t="n">
        <v>0</v>
      </c>
      <c r="M5216" s="21" t="n">
        <v>0</v>
      </c>
      <c r="N5216" s="21" t="n">
        <v>0</v>
      </c>
      <c r="O5216" s="21" t="n">
        <v>0</v>
      </c>
      <c r="P5216" s="21" t="n">
        <v>0</v>
      </c>
      <c r="Q5216" s="21" t="n">
        <v>0</v>
      </c>
      <c r="R5216" s="21" t="n">
        <v>0</v>
      </c>
      <c r="S5216" s="21" t="n">
        <v>0</v>
      </c>
      <c r="T5216" s="21" t="n">
        <v>0</v>
      </c>
      <c r="U5216" s="21" t="n">
        <v>0</v>
      </c>
      <c r="V5216" s="21" t="n">
        <v>0</v>
      </c>
      <c r="W5216" s="21" t="n">
        <v>0</v>
      </c>
      <c r="X5216" s="21" t="n">
        <v>0</v>
      </c>
      <c r="Y5216" s="21" t="n">
        <v>0</v>
      </c>
      <c r="Z5216" s="19" t="n"/>
    </row>
    <row r="5217">
      <c r="D5217" s="21" t="n">
        <v>0</v>
      </c>
      <c r="E5217" s="21" t="n">
        <v>0</v>
      </c>
      <c r="F5217" s="21" t="n">
        <v>0</v>
      </c>
      <c r="G5217" s="21" t="n">
        <v>0</v>
      </c>
      <c r="H5217" s="21">
        <f>-$B$3624</f>
        <v/>
      </c>
      <c r="I5217" s="21">
        <f>-$B$3625</f>
        <v/>
      </c>
      <c r="J5217" s="21">
        <f>2*$B$3624+$D$5202</f>
        <v/>
      </c>
      <c r="K5217" s="21">
        <f>0</f>
        <v/>
      </c>
      <c r="L5217" s="21">
        <f>-$B$3624</f>
        <v/>
      </c>
      <c r="M5217" s="21">
        <f>$B$3625</f>
        <v/>
      </c>
      <c r="N5217" s="21" t="n">
        <v>0</v>
      </c>
      <c r="O5217" s="21" t="n">
        <v>0</v>
      </c>
      <c r="P5217" s="21" t="n">
        <v>0</v>
      </c>
      <c r="Q5217" s="21" t="n">
        <v>0</v>
      </c>
      <c r="R5217" s="21" t="n">
        <v>0</v>
      </c>
      <c r="S5217" s="21" t="n">
        <v>0</v>
      </c>
      <c r="T5217" s="21" t="n">
        <v>0</v>
      </c>
      <c r="U5217" s="21" t="n">
        <v>0</v>
      </c>
      <c r="V5217" s="21" t="n">
        <v>0</v>
      </c>
      <c r="W5217" s="21" t="n">
        <v>0</v>
      </c>
      <c r="X5217" s="21" t="n">
        <v>0</v>
      </c>
      <c r="Y5217" s="21" t="n">
        <v>0</v>
      </c>
      <c r="Z5217" s="19" t="n"/>
    </row>
    <row r="5218">
      <c r="D5218" s="21" t="n">
        <v>0</v>
      </c>
      <c r="E5218" s="21" t="n">
        <v>0</v>
      </c>
      <c r="F5218" s="21" t="n">
        <v>0</v>
      </c>
      <c r="G5218" s="21" t="n">
        <v>0</v>
      </c>
      <c r="H5218" s="21">
        <f>$B$3625</f>
        <v/>
      </c>
      <c r="I5218" s="21">
        <f>$B$3627</f>
        <v/>
      </c>
      <c r="J5218" s="21">
        <f>0</f>
        <v/>
      </c>
      <c r="K5218" s="21">
        <f>2*$B$3626</f>
        <v/>
      </c>
      <c r="L5218" s="21">
        <f>-$B$3625</f>
        <v/>
      </c>
      <c r="M5218" s="21">
        <f>$B$3627</f>
        <v/>
      </c>
      <c r="N5218" s="21" t="n">
        <v>0</v>
      </c>
      <c r="O5218" s="21" t="n">
        <v>0</v>
      </c>
      <c r="P5218" s="21" t="n">
        <v>0</v>
      </c>
      <c r="Q5218" s="21" t="n">
        <v>0</v>
      </c>
      <c r="R5218" s="21" t="n">
        <v>0</v>
      </c>
      <c r="S5218" s="21" t="n">
        <v>0</v>
      </c>
      <c r="T5218" s="21" t="n">
        <v>0</v>
      </c>
      <c r="U5218" s="21" t="n">
        <v>0</v>
      </c>
      <c r="V5218" s="21" t="n">
        <v>0</v>
      </c>
      <c r="W5218" s="21" t="n">
        <v>0</v>
      </c>
      <c r="X5218" s="21" t="n">
        <v>0</v>
      </c>
      <c r="Y5218" s="21" t="n">
        <v>0</v>
      </c>
      <c r="Z5218" s="19" t="n"/>
    </row>
    <row r="5219">
      <c r="D5219" s="21" t="n">
        <v>0</v>
      </c>
      <c r="E5219" s="21" t="n">
        <v>0</v>
      </c>
      <c r="F5219" s="21" t="n">
        <v>0</v>
      </c>
      <c r="G5219" s="21" t="n">
        <v>0</v>
      </c>
      <c r="H5219" s="21" t="n">
        <v>0</v>
      </c>
      <c r="I5219" s="21" t="n">
        <v>0</v>
      </c>
      <c r="J5219" s="21">
        <f>-$B$3624</f>
        <v/>
      </c>
      <c r="K5219" s="21">
        <f>-$B$3625</f>
        <v/>
      </c>
      <c r="L5219" s="21">
        <f>2*$B$3624+$D$5203</f>
        <v/>
      </c>
      <c r="M5219" s="21">
        <f>0</f>
        <v/>
      </c>
      <c r="N5219" s="21">
        <f>-$B$3624</f>
        <v/>
      </c>
      <c r="O5219" s="21">
        <f>$B$3625</f>
        <v/>
      </c>
      <c r="P5219" s="21" t="n">
        <v>0</v>
      </c>
      <c r="Q5219" s="21" t="n">
        <v>0</v>
      </c>
      <c r="R5219" s="21" t="n">
        <v>0</v>
      </c>
      <c r="S5219" s="21" t="n">
        <v>0</v>
      </c>
      <c r="T5219" s="21" t="n">
        <v>0</v>
      </c>
      <c r="U5219" s="21" t="n">
        <v>0</v>
      </c>
      <c r="V5219" s="21" t="n">
        <v>0</v>
      </c>
      <c r="W5219" s="21" t="n">
        <v>0</v>
      </c>
      <c r="X5219" s="21" t="n">
        <v>0</v>
      </c>
      <c r="Y5219" s="21" t="n">
        <v>0</v>
      </c>
      <c r="Z5219" s="19" t="n"/>
    </row>
    <row r="5220">
      <c r="D5220" s="21" t="n">
        <v>0</v>
      </c>
      <c r="E5220" s="21" t="n">
        <v>0</v>
      </c>
      <c r="F5220" s="21" t="n">
        <v>0</v>
      </c>
      <c r="G5220" s="21" t="n">
        <v>0</v>
      </c>
      <c r="H5220" s="21" t="n">
        <v>0</v>
      </c>
      <c r="I5220" s="21" t="n">
        <v>0</v>
      </c>
      <c r="J5220" s="21">
        <f>$B$3625</f>
        <v/>
      </c>
      <c r="K5220" s="21">
        <f>$B$3627</f>
        <v/>
      </c>
      <c r="L5220" s="21">
        <f>0</f>
        <v/>
      </c>
      <c r="M5220" s="21">
        <f>2*$B$3626</f>
        <v/>
      </c>
      <c r="N5220" s="21">
        <f>-$B$3625</f>
        <v/>
      </c>
      <c r="O5220" s="21">
        <f>$B$3627</f>
        <v/>
      </c>
      <c r="P5220" s="21" t="n">
        <v>0</v>
      </c>
      <c r="Q5220" s="21" t="n">
        <v>0</v>
      </c>
      <c r="R5220" s="21" t="n">
        <v>0</v>
      </c>
      <c r="S5220" s="21" t="n">
        <v>0</v>
      </c>
      <c r="T5220" s="21" t="n">
        <v>0</v>
      </c>
      <c r="U5220" s="21" t="n">
        <v>0</v>
      </c>
      <c r="V5220" s="21" t="n">
        <v>0</v>
      </c>
      <c r="W5220" s="21" t="n">
        <v>0</v>
      </c>
      <c r="X5220" s="21" t="n">
        <v>0</v>
      </c>
      <c r="Y5220" s="21" t="n">
        <v>0</v>
      </c>
      <c r="Z5220" s="19" t="n"/>
    </row>
    <row r="5221">
      <c r="D5221" s="21" t="n">
        <v>0</v>
      </c>
      <c r="E5221" s="21" t="n">
        <v>0</v>
      </c>
      <c r="F5221" s="21" t="n">
        <v>0</v>
      </c>
      <c r="G5221" s="21" t="n">
        <v>0</v>
      </c>
      <c r="H5221" s="21" t="n">
        <v>0</v>
      </c>
      <c r="I5221" s="21" t="n">
        <v>0</v>
      </c>
      <c r="J5221" s="21" t="n">
        <v>0</v>
      </c>
      <c r="K5221" s="21" t="n">
        <v>0</v>
      </c>
      <c r="L5221" s="21">
        <f>-$B$3624</f>
        <v/>
      </c>
      <c r="M5221" s="21">
        <f>-$B$3625</f>
        <v/>
      </c>
      <c r="N5221" s="21">
        <f>2*$B$3624+$D$5204</f>
        <v/>
      </c>
      <c r="O5221" s="21">
        <f>0</f>
        <v/>
      </c>
      <c r="P5221" s="21">
        <f>-$B$3624</f>
        <v/>
      </c>
      <c r="Q5221" s="21">
        <f>$B$3625</f>
        <v/>
      </c>
      <c r="R5221" s="21" t="n">
        <v>0</v>
      </c>
      <c r="S5221" s="21" t="n">
        <v>0</v>
      </c>
      <c r="T5221" s="21" t="n">
        <v>0</v>
      </c>
      <c r="U5221" s="21" t="n">
        <v>0</v>
      </c>
      <c r="V5221" s="21" t="n">
        <v>0</v>
      </c>
      <c r="W5221" s="21" t="n">
        <v>0</v>
      </c>
      <c r="X5221" s="21" t="n">
        <v>0</v>
      </c>
      <c r="Y5221" s="21" t="n">
        <v>0</v>
      </c>
      <c r="Z5221" s="19" t="n"/>
    </row>
    <row r="5222">
      <c r="D5222" s="21" t="n">
        <v>0</v>
      </c>
      <c r="E5222" s="21" t="n">
        <v>0</v>
      </c>
      <c r="F5222" s="21" t="n">
        <v>0</v>
      </c>
      <c r="G5222" s="21" t="n">
        <v>0</v>
      </c>
      <c r="H5222" s="21" t="n">
        <v>0</v>
      </c>
      <c r="I5222" s="21" t="n">
        <v>0</v>
      </c>
      <c r="J5222" s="21" t="n">
        <v>0</v>
      </c>
      <c r="K5222" s="21" t="n">
        <v>0</v>
      </c>
      <c r="L5222" s="21">
        <f>$B$3625</f>
        <v/>
      </c>
      <c r="M5222" s="21">
        <f>$B$3627</f>
        <v/>
      </c>
      <c r="N5222" s="21">
        <f>0</f>
        <v/>
      </c>
      <c r="O5222" s="21">
        <f>2*$B$3626</f>
        <v/>
      </c>
      <c r="P5222" s="21">
        <f>-$B$3625</f>
        <v/>
      </c>
      <c r="Q5222" s="21">
        <f>$B$3627</f>
        <v/>
      </c>
      <c r="R5222" s="21" t="n">
        <v>0</v>
      </c>
      <c r="S5222" s="21" t="n">
        <v>0</v>
      </c>
      <c r="T5222" s="21" t="n">
        <v>0</v>
      </c>
      <c r="U5222" s="21" t="n">
        <v>0</v>
      </c>
      <c r="V5222" s="21" t="n">
        <v>0</v>
      </c>
      <c r="W5222" s="21" t="n">
        <v>0</v>
      </c>
      <c r="X5222" s="21" t="n">
        <v>0</v>
      </c>
      <c r="Y5222" s="21" t="n">
        <v>0</v>
      </c>
      <c r="Z5222" s="19" t="n"/>
    </row>
    <row r="5223">
      <c r="D5223" s="21" t="n">
        <v>0</v>
      </c>
      <c r="E5223" s="21" t="n">
        <v>0</v>
      </c>
      <c r="F5223" s="21" t="n">
        <v>0</v>
      </c>
      <c r="G5223" s="21" t="n">
        <v>0</v>
      </c>
      <c r="H5223" s="21" t="n">
        <v>0</v>
      </c>
      <c r="I5223" s="21" t="n">
        <v>0</v>
      </c>
      <c r="J5223" s="21" t="n">
        <v>0</v>
      </c>
      <c r="K5223" s="21" t="n">
        <v>0</v>
      </c>
      <c r="L5223" s="21" t="n">
        <v>0</v>
      </c>
      <c r="M5223" s="21" t="n">
        <v>0</v>
      </c>
      <c r="N5223" s="21">
        <f>-$B$3624</f>
        <v/>
      </c>
      <c r="O5223" s="21">
        <f>-$B$3625</f>
        <v/>
      </c>
      <c r="P5223" s="21">
        <f>2*$B$3624+$D$5205</f>
        <v/>
      </c>
      <c r="Q5223" s="21">
        <f>0</f>
        <v/>
      </c>
      <c r="R5223" s="21">
        <f>-$B$3624</f>
        <v/>
      </c>
      <c r="S5223" s="21">
        <f>$B$3625</f>
        <v/>
      </c>
      <c r="T5223" s="21" t="n">
        <v>0</v>
      </c>
      <c r="U5223" s="21" t="n">
        <v>0</v>
      </c>
      <c r="V5223" s="21" t="n">
        <v>0</v>
      </c>
      <c r="W5223" s="21" t="n">
        <v>0</v>
      </c>
      <c r="X5223" s="21" t="n">
        <v>0</v>
      </c>
      <c r="Y5223" s="21" t="n">
        <v>0</v>
      </c>
      <c r="Z5223" s="19" t="n"/>
    </row>
    <row r="5224">
      <c r="D5224" s="21" t="n">
        <v>0</v>
      </c>
      <c r="E5224" s="21" t="n">
        <v>0</v>
      </c>
      <c r="F5224" s="21" t="n">
        <v>0</v>
      </c>
      <c r="G5224" s="21" t="n">
        <v>0</v>
      </c>
      <c r="H5224" s="21" t="n">
        <v>0</v>
      </c>
      <c r="I5224" s="21" t="n">
        <v>0</v>
      </c>
      <c r="J5224" s="21" t="n">
        <v>0</v>
      </c>
      <c r="K5224" s="21" t="n">
        <v>0</v>
      </c>
      <c r="L5224" s="21" t="n">
        <v>0</v>
      </c>
      <c r="M5224" s="21" t="n">
        <v>0</v>
      </c>
      <c r="N5224" s="21">
        <f>$B$3625</f>
        <v/>
      </c>
      <c r="O5224" s="21">
        <f>$B$3627</f>
        <v/>
      </c>
      <c r="P5224" s="21">
        <f>0</f>
        <v/>
      </c>
      <c r="Q5224" s="21">
        <f>2*$B$3626</f>
        <v/>
      </c>
      <c r="R5224" s="21">
        <f>-$B$3625</f>
        <v/>
      </c>
      <c r="S5224" s="21">
        <f>$B$3627</f>
        <v/>
      </c>
      <c r="T5224" s="21" t="n">
        <v>0</v>
      </c>
      <c r="U5224" s="21" t="n">
        <v>0</v>
      </c>
      <c r="V5224" s="21" t="n">
        <v>0</v>
      </c>
      <c r="W5224" s="21" t="n">
        <v>0</v>
      </c>
      <c r="X5224" s="21" t="n">
        <v>0</v>
      </c>
      <c r="Y5224" s="21" t="n">
        <v>0</v>
      </c>
      <c r="Z5224" s="19" t="n"/>
    </row>
    <row r="5225">
      <c r="D5225" s="21" t="n">
        <v>0</v>
      </c>
      <c r="E5225" s="21" t="n">
        <v>0</v>
      </c>
      <c r="F5225" s="21" t="n">
        <v>0</v>
      </c>
      <c r="G5225" s="21" t="n">
        <v>0</v>
      </c>
      <c r="H5225" s="21" t="n">
        <v>0</v>
      </c>
      <c r="I5225" s="21" t="n">
        <v>0</v>
      </c>
      <c r="J5225" s="21" t="n">
        <v>0</v>
      </c>
      <c r="K5225" s="21" t="n">
        <v>0</v>
      </c>
      <c r="L5225" s="21" t="n">
        <v>0</v>
      </c>
      <c r="M5225" s="21" t="n">
        <v>0</v>
      </c>
      <c r="N5225" s="21" t="n">
        <v>0</v>
      </c>
      <c r="O5225" s="21" t="n">
        <v>0</v>
      </c>
      <c r="P5225" s="21">
        <f>-$B$3624</f>
        <v/>
      </c>
      <c r="Q5225" s="21">
        <f>-$B$3625</f>
        <v/>
      </c>
      <c r="R5225" s="21">
        <f>2*$B$3624+$D$5206</f>
        <v/>
      </c>
      <c r="S5225" s="21">
        <f>0</f>
        <v/>
      </c>
      <c r="T5225" s="21">
        <f>-$B$3624</f>
        <v/>
      </c>
      <c r="U5225" s="21">
        <f>$B$3625</f>
        <v/>
      </c>
      <c r="V5225" s="21" t="n">
        <v>0</v>
      </c>
      <c r="W5225" s="21" t="n">
        <v>0</v>
      </c>
      <c r="X5225" s="21" t="n">
        <v>0</v>
      </c>
      <c r="Y5225" s="21" t="n">
        <v>0</v>
      </c>
      <c r="Z5225" s="19" t="n"/>
    </row>
    <row r="5226">
      <c r="D5226" s="21" t="n">
        <v>0</v>
      </c>
      <c r="E5226" s="21" t="n">
        <v>0</v>
      </c>
      <c r="F5226" s="21" t="n">
        <v>0</v>
      </c>
      <c r="G5226" s="21" t="n">
        <v>0</v>
      </c>
      <c r="H5226" s="21" t="n">
        <v>0</v>
      </c>
      <c r="I5226" s="21" t="n">
        <v>0</v>
      </c>
      <c r="J5226" s="21" t="n">
        <v>0</v>
      </c>
      <c r="K5226" s="21" t="n">
        <v>0</v>
      </c>
      <c r="L5226" s="21" t="n">
        <v>0</v>
      </c>
      <c r="M5226" s="21" t="n">
        <v>0</v>
      </c>
      <c r="N5226" s="21" t="n">
        <v>0</v>
      </c>
      <c r="O5226" s="21" t="n">
        <v>0</v>
      </c>
      <c r="P5226" s="21">
        <f>$B$3625</f>
        <v/>
      </c>
      <c r="Q5226" s="21">
        <f>$B$3627</f>
        <v/>
      </c>
      <c r="R5226" s="21">
        <f>0</f>
        <v/>
      </c>
      <c r="S5226" s="21">
        <f>2*$B$3626</f>
        <v/>
      </c>
      <c r="T5226" s="21">
        <f>-$B$3625</f>
        <v/>
      </c>
      <c r="U5226" s="21">
        <f>$B$3627</f>
        <v/>
      </c>
      <c r="V5226" s="21" t="n">
        <v>0</v>
      </c>
      <c r="W5226" s="21" t="n">
        <v>0</v>
      </c>
      <c r="X5226" s="21" t="n">
        <v>0</v>
      </c>
      <c r="Y5226" s="21" t="n">
        <v>0</v>
      </c>
      <c r="Z5226" s="19" t="n"/>
    </row>
    <row r="5227">
      <c r="D5227" s="21" t="n">
        <v>0</v>
      </c>
      <c r="E5227" s="21" t="n">
        <v>0</v>
      </c>
      <c r="F5227" s="21" t="n">
        <v>0</v>
      </c>
      <c r="G5227" s="21" t="n">
        <v>0</v>
      </c>
      <c r="H5227" s="21" t="n">
        <v>0</v>
      </c>
      <c r="I5227" s="21" t="n">
        <v>0</v>
      </c>
      <c r="J5227" s="21" t="n">
        <v>0</v>
      </c>
      <c r="K5227" s="21" t="n">
        <v>0</v>
      </c>
      <c r="L5227" s="21" t="n">
        <v>0</v>
      </c>
      <c r="M5227" s="21" t="n">
        <v>0</v>
      </c>
      <c r="N5227" s="21" t="n">
        <v>0</v>
      </c>
      <c r="O5227" s="21" t="n">
        <v>0</v>
      </c>
      <c r="P5227" s="21" t="n">
        <v>0</v>
      </c>
      <c r="Q5227" s="21" t="n">
        <v>0</v>
      </c>
      <c r="R5227" s="21">
        <f>-$B$3624</f>
        <v/>
      </c>
      <c r="S5227" s="21">
        <f>-$B$3625</f>
        <v/>
      </c>
      <c r="T5227" s="21">
        <f>2*$B$3624+$D$5207</f>
        <v/>
      </c>
      <c r="U5227" s="21">
        <f>0</f>
        <v/>
      </c>
      <c r="V5227" s="21">
        <f>-$B$3624</f>
        <v/>
      </c>
      <c r="W5227" s="21">
        <f>$B$3625</f>
        <v/>
      </c>
      <c r="X5227" s="21" t="n">
        <v>0</v>
      </c>
      <c r="Y5227" s="21" t="n">
        <v>0</v>
      </c>
      <c r="Z5227" s="19" t="n"/>
    </row>
    <row r="5228">
      <c r="D5228" s="21" t="n">
        <v>0</v>
      </c>
      <c r="E5228" s="21" t="n">
        <v>0</v>
      </c>
      <c r="F5228" s="21" t="n">
        <v>0</v>
      </c>
      <c r="G5228" s="21" t="n">
        <v>0</v>
      </c>
      <c r="H5228" s="21" t="n">
        <v>0</v>
      </c>
      <c r="I5228" s="21" t="n">
        <v>0</v>
      </c>
      <c r="J5228" s="21" t="n">
        <v>0</v>
      </c>
      <c r="K5228" s="21" t="n">
        <v>0</v>
      </c>
      <c r="L5228" s="21" t="n">
        <v>0</v>
      </c>
      <c r="M5228" s="21" t="n">
        <v>0</v>
      </c>
      <c r="N5228" s="21" t="n">
        <v>0</v>
      </c>
      <c r="O5228" s="21" t="n">
        <v>0</v>
      </c>
      <c r="P5228" s="21" t="n">
        <v>0</v>
      </c>
      <c r="Q5228" s="21" t="n">
        <v>0</v>
      </c>
      <c r="R5228" s="21">
        <f>$B$3625</f>
        <v/>
      </c>
      <c r="S5228" s="21">
        <f>$B$3627</f>
        <v/>
      </c>
      <c r="T5228" s="21">
        <f>0</f>
        <v/>
      </c>
      <c r="U5228" s="21">
        <f>2*$B$3626</f>
        <v/>
      </c>
      <c r="V5228" s="21">
        <f>-$B$3625</f>
        <v/>
      </c>
      <c r="W5228" s="21">
        <f>$B$3627</f>
        <v/>
      </c>
      <c r="X5228" s="21" t="n">
        <v>0</v>
      </c>
      <c r="Y5228" s="21" t="n">
        <v>0</v>
      </c>
      <c r="Z5228" s="19" t="n"/>
    </row>
    <row r="5229">
      <c r="D5229" s="21" t="n">
        <v>0</v>
      </c>
      <c r="E5229" s="21" t="n">
        <v>0</v>
      </c>
      <c r="F5229" s="21" t="n">
        <v>0</v>
      </c>
      <c r="G5229" s="21" t="n">
        <v>0</v>
      </c>
      <c r="H5229" s="21" t="n">
        <v>0</v>
      </c>
      <c r="I5229" s="21" t="n">
        <v>0</v>
      </c>
      <c r="J5229" s="21" t="n">
        <v>0</v>
      </c>
      <c r="K5229" s="21" t="n">
        <v>0</v>
      </c>
      <c r="L5229" s="21" t="n">
        <v>0</v>
      </c>
      <c r="M5229" s="21" t="n">
        <v>0</v>
      </c>
      <c r="N5229" s="21" t="n">
        <v>0</v>
      </c>
      <c r="O5229" s="21" t="n">
        <v>0</v>
      </c>
      <c r="P5229" s="21" t="n">
        <v>0</v>
      </c>
      <c r="Q5229" s="21" t="n">
        <v>0</v>
      </c>
      <c r="R5229" s="21" t="n">
        <v>0</v>
      </c>
      <c r="S5229" s="21" t="n">
        <v>0</v>
      </c>
      <c r="T5229" s="21">
        <f>-$B$3624</f>
        <v/>
      </c>
      <c r="U5229" s="21">
        <f>-$B$3625</f>
        <v/>
      </c>
      <c r="V5229" s="21">
        <f>2*$B$3624+$D$5208</f>
        <v/>
      </c>
      <c r="W5229" s="21">
        <f>0</f>
        <v/>
      </c>
      <c r="X5229" s="21">
        <f>-$B$3624</f>
        <v/>
      </c>
      <c r="Y5229" s="21">
        <f>$B$3625</f>
        <v/>
      </c>
      <c r="Z5229" s="19" t="n"/>
    </row>
    <row r="5230">
      <c r="D5230" s="21" t="n">
        <v>0</v>
      </c>
      <c r="E5230" s="21" t="n">
        <v>0</v>
      </c>
      <c r="F5230" s="21" t="n">
        <v>0</v>
      </c>
      <c r="G5230" s="21" t="n">
        <v>0</v>
      </c>
      <c r="H5230" s="21" t="n">
        <v>0</v>
      </c>
      <c r="I5230" s="21" t="n">
        <v>0</v>
      </c>
      <c r="J5230" s="21" t="n">
        <v>0</v>
      </c>
      <c r="K5230" s="21" t="n">
        <v>0</v>
      </c>
      <c r="L5230" s="21" t="n">
        <v>0</v>
      </c>
      <c r="M5230" s="21" t="n">
        <v>0</v>
      </c>
      <c r="N5230" s="21" t="n">
        <v>0</v>
      </c>
      <c r="O5230" s="21" t="n">
        <v>0</v>
      </c>
      <c r="P5230" s="21" t="n">
        <v>0</v>
      </c>
      <c r="Q5230" s="21" t="n">
        <v>0</v>
      </c>
      <c r="R5230" s="21" t="n">
        <v>0</v>
      </c>
      <c r="S5230" s="21" t="n">
        <v>0</v>
      </c>
      <c r="T5230" s="21">
        <f>$B$3625</f>
        <v/>
      </c>
      <c r="U5230" s="21">
        <f>$B$3627</f>
        <v/>
      </c>
      <c r="V5230" s="21">
        <f>0</f>
        <v/>
      </c>
      <c r="W5230" s="21">
        <f>2*$B$3626</f>
        <v/>
      </c>
      <c r="X5230" s="21">
        <f>-$B$3625</f>
        <v/>
      </c>
      <c r="Y5230" s="21">
        <f>$B$3627</f>
        <v/>
      </c>
      <c r="Z5230" s="19" t="n"/>
    </row>
    <row r="5231">
      <c r="D5231" s="21" t="n">
        <v>0</v>
      </c>
      <c r="E5231" s="21" t="n">
        <v>0</v>
      </c>
      <c r="F5231" s="21" t="n">
        <v>0</v>
      </c>
      <c r="G5231" s="21" t="n">
        <v>0</v>
      </c>
      <c r="H5231" s="21" t="n">
        <v>0</v>
      </c>
      <c r="I5231" s="21" t="n">
        <v>0</v>
      </c>
      <c r="J5231" s="21" t="n">
        <v>0</v>
      </c>
      <c r="K5231" s="21" t="n">
        <v>0</v>
      </c>
      <c r="L5231" s="21" t="n">
        <v>0</v>
      </c>
      <c r="M5231" s="21" t="n">
        <v>0</v>
      </c>
      <c r="N5231" s="21" t="n">
        <v>0</v>
      </c>
      <c r="O5231" s="21" t="n">
        <v>0</v>
      </c>
      <c r="P5231" s="21" t="n">
        <v>0</v>
      </c>
      <c r="Q5231" s="21" t="n">
        <v>0</v>
      </c>
      <c r="R5231" s="21" t="n">
        <v>0</v>
      </c>
      <c r="S5231" s="21" t="n">
        <v>0</v>
      </c>
      <c r="T5231" s="21" t="n">
        <v>0</v>
      </c>
      <c r="U5231" s="21" t="n">
        <v>0</v>
      </c>
      <c r="V5231" s="21">
        <f>-$B$3624</f>
        <v/>
      </c>
      <c r="W5231" s="21">
        <f>-$B$3625</f>
        <v/>
      </c>
      <c r="X5231" s="21">
        <f>$B$3624+$D$5209</f>
        <v/>
      </c>
      <c r="Y5231" s="21">
        <f>-$B$3625</f>
        <v/>
      </c>
      <c r="Z5231" s="19" t="n"/>
    </row>
    <row r="5232">
      <c r="D5232" s="21" t="n">
        <v>0</v>
      </c>
      <c r="E5232" s="21" t="n">
        <v>0</v>
      </c>
      <c r="F5232" s="21" t="n">
        <v>0</v>
      </c>
      <c r="G5232" s="21" t="n">
        <v>0</v>
      </c>
      <c r="H5232" s="21" t="n">
        <v>0</v>
      </c>
      <c r="I5232" s="21" t="n">
        <v>0</v>
      </c>
      <c r="J5232" s="21" t="n">
        <v>0</v>
      </c>
      <c r="K5232" s="21" t="n">
        <v>0</v>
      </c>
      <c r="L5232" s="21" t="n">
        <v>0</v>
      </c>
      <c r="M5232" s="21" t="n">
        <v>0</v>
      </c>
      <c r="N5232" s="21" t="n">
        <v>0</v>
      </c>
      <c r="O5232" s="21" t="n">
        <v>0</v>
      </c>
      <c r="P5232" s="21" t="n">
        <v>0</v>
      </c>
      <c r="Q5232" s="21" t="n">
        <v>0</v>
      </c>
      <c r="R5232" s="21" t="n">
        <v>0</v>
      </c>
      <c r="S5232" s="21" t="n">
        <v>0</v>
      </c>
      <c r="T5232" s="21" t="n">
        <v>0</v>
      </c>
      <c r="U5232" s="21" t="n">
        <v>0</v>
      </c>
      <c r="V5232" s="21">
        <f>$B$3625</f>
        <v/>
      </c>
      <c r="W5232" s="21">
        <f>$B$3627</f>
        <v/>
      </c>
      <c r="X5232" s="21">
        <f>-$B$3625</f>
        <v/>
      </c>
      <c r="Y5232" s="21">
        <f>$B$3626</f>
        <v/>
      </c>
      <c r="Z5232" s="19" t="n"/>
    </row>
    <row r="5234">
      <c r="A5234" s="8" t="inlineStr">
        <is>
          <t>gen 44</t>
        </is>
      </c>
    </row>
    <row r="5235">
      <c r="D5235" s="19">
        <f>IF(ABS(IF(ABS($E$5199)&gt;0.000000001,$E$5199,0.000000001))=0,0,IF($E$3639&lt;=$B$3633,0,IF(ABS(IF(ABS($E$5199)&gt;0.000000001,$E$5199,0.000000001))&gt;=8*$B$3635,$H$3639,0.5*$H$3639*(ABS(IF(ABS($E$5199)&gt;0.000000001,$E$5199,0.000000001))/$B$3635)^(1/3)))/ABS(IF(ABS($E$5199)&gt;0.000000001,$E$5199,0.000000001))*$I$3639)</f>
        <v/>
      </c>
      <c r="E5235" s="19">
        <f>0.5*$E$5199+0.5*$Z$5247</f>
        <v/>
      </c>
      <c r="F5235" s="19">
        <f>$Z$5248</f>
        <v/>
      </c>
    </row>
    <row r="5236">
      <c r="D5236" s="19">
        <f>IF(ABS(IF(ABS($E$5200)&gt;0.000000001,$E$5200,0.000000001))=0,0,IF($E$3640&lt;=$B$3633,0,IF(ABS(IF(ABS($E$5200)&gt;0.000000001,$E$5200,0.000000001))&gt;=8*$B$3635,$H$3640,0.5*$H$3640*(ABS(IF(ABS($E$5200)&gt;0.000000001,$E$5200,0.000000001))/$B$3635)^(1/3)))/ABS(IF(ABS($E$5200)&gt;0.000000001,$E$5200,0.000000001))*$I$3640)</f>
        <v/>
      </c>
      <c r="E5236" s="19">
        <f>0.5*$E$5200+0.5*$Z$5249</f>
        <v/>
      </c>
      <c r="F5236" s="19">
        <f>$Z$5250</f>
        <v/>
      </c>
    </row>
    <row r="5237">
      <c r="D5237" s="19">
        <f>IF(ABS(IF(ABS($E$5201)&gt;0.000000001,$E$5201,0.000000001))=0,0,IF($E$3641&lt;=$B$3633,0,IF(ABS(IF(ABS($E$5201)&gt;0.000000001,$E$5201,0.000000001))&gt;=8*$B$3635,$H$3641,0.5*$H$3641*(ABS(IF(ABS($E$5201)&gt;0.000000001,$E$5201,0.000000001))/$B$3635)^(1/3)))/ABS(IF(ABS($E$5201)&gt;0.000000001,$E$5201,0.000000001))*$I$3641)</f>
        <v/>
      </c>
      <c r="E5237" s="19">
        <f>0.5*$E$5201+0.5*$Z$5251</f>
        <v/>
      </c>
      <c r="F5237" s="19">
        <f>$Z$5252</f>
        <v/>
      </c>
    </row>
    <row r="5238">
      <c r="D5238" s="19">
        <f>IF(ABS(IF(ABS($E$5202)&gt;0.000000001,$E$5202,0.000000001))=0,0,IF($E$3642&lt;=$B$3633,0,IF(ABS(IF(ABS($E$5202)&gt;0.000000001,$E$5202,0.000000001))&gt;=8*$B$3635,$H$3642,0.5*$H$3642*(ABS(IF(ABS($E$5202)&gt;0.000000001,$E$5202,0.000000001))/$B$3635)^(1/3)))/ABS(IF(ABS($E$5202)&gt;0.000000001,$E$5202,0.000000001))*$I$3642)</f>
        <v/>
      </c>
      <c r="E5238" s="19">
        <f>0.5*$E$5202+0.5*$Z$5253</f>
        <v/>
      </c>
      <c r="F5238" s="19">
        <f>$Z$5254</f>
        <v/>
      </c>
    </row>
    <row r="5239">
      <c r="D5239" s="19">
        <f>IF(ABS(IF(ABS($E$5203)&gt;0.000000001,$E$5203,0.000000001))=0,0,IF($E$3643&lt;=$B$3633,0,IF(ABS(IF(ABS($E$5203)&gt;0.000000001,$E$5203,0.000000001))&gt;=8*$B$3635,$H$3643,0.5*$H$3643*(ABS(IF(ABS($E$5203)&gt;0.000000001,$E$5203,0.000000001))/$B$3635)^(1/3)))/ABS(IF(ABS($E$5203)&gt;0.000000001,$E$5203,0.000000001))*$I$3643)</f>
        <v/>
      </c>
      <c r="E5239" s="19">
        <f>0.5*$E$5203+0.5*$Z$5255</f>
        <v/>
      </c>
      <c r="F5239" s="19">
        <f>$Z$5256</f>
        <v/>
      </c>
    </row>
    <row r="5240">
      <c r="D5240" s="19">
        <f>IF(ABS(IF(ABS($E$5204)&gt;0.000000001,$E$5204,0.000000001))=0,0,IF($E$3644&lt;=$B$3633,0,IF(ABS(IF(ABS($E$5204)&gt;0.000000001,$E$5204,0.000000001))&gt;=8*$B$3635,$H$3644,0.5*$H$3644*(ABS(IF(ABS($E$5204)&gt;0.000000001,$E$5204,0.000000001))/$B$3635)^(1/3)))/ABS(IF(ABS($E$5204)&gt;0.000000001,$E$5204,0.000000001))*$I$3644)</f>
        <v/>
      </c>
      <c r="E5240" s="19">
        <f>0.5*$E$5204+0.5*$Z$5257</f>
        <v/>
      </c>
      <c r="F5240" s="19">
        <f>$Z$5258</f>
        <v/>
      </c>
    </row>
    <row r="5241">
      <c r="D5241" s="19">
        <f>IF(ABS(IF(ABS($E$5205)&gt;0.000000001,$E$5205,0.000000001))=0,0,IF($E$3645&lt;=$B$3633,0,IF(ABS(IF(ABS($E$5205)&gt;0.000000001,$E$5205,0.000000001))&gt;=8*$B$3635,$H$3645,0.5*$H$3645*(ABS(IF(ABS($E$5205)&gt;0.000000001,$E$5205,0.000000001))/$B$3635)^(1/3)))/ABS(IF(ABS($E$5205)&gt;0.000000001,$E$5205,0.000000001))*$I$3645)</f>
        <v/>
      </c>
      <c r="E5241" s="19">
        <f>0.5*$E$5205+0.5*$Z$5259</f>
        <v/>
      </c>
      <c r="F5241" s="19">
        <f>$Z$5260</f>
        <v/>
      </c>
    </row>
    <row r="5242">
      <c r="D5242" s="19">
        <f>IF(ABS(IF(ABS($E$5206)&gt;0.000000001,$E$5206,0.000000001))=0,0,IF($E$3646&lt;=$B$3633,0,IF(ABS(IF(ABS($E$5206)&gt;0.000000001,$E$5206,0.000000001))&gt;=8*$B$3635,$H$3646,0.5*$H$3646*(ABS(IF(ABS($E$5206)&gt;0.000000001,$E$5206,0.000000001))/$B$3635)^(1/3)))/ABS(IF(ABS($E$5206)&gt;0.000000001,$E$5206,0.000000001))*$I$3646)</f>
        <v/>
      </c>
      <c r="E5242" s="19">
        <f>0.5*$E$5206+0.5*$Z$5261</f>
        <v/>
      </c>
      <c r="F5242" s="19">
        <f>$Z$5262</f>
        <v/>
      </c>
    </row>
    <row r="5243">
      <c r="D5243" s="19">
        <f>IF(ABS(IF(ABS($E$5207)&gt;0.000000001,$E$5207,0.000000001))=0,0,IF($E$3647&lt;=$B$3633,0,IF(ABS(IF(ABS($E$5207)&gt;0.000000001,$E$5207,0.000000001))&gt;=8*$B$3635,$H$3647,0.5*$H$3647*(ABS(IF(ABS($E$5207)&gt;0.000000001,$E$5207,0.000000001))/$B$3635)^(1/3)))/ABS(IF(ABS($E$5207)&gt;0.000000001,$E$5207,0.000000001))*$I$3647)</f>
        <v/>
      </c>
      <c r="E5243" s="19">
        <f>0.5*$E$5207+0.5*$Z$5263</f>
        <v/>
      </c>
      <c r="F5243" s="19">
        <f>$Z$5264</f>
        <v/>
      </c>
    </row>
    <row r="5244">
      <c r="D5244" s="19">
        <f>IF(ABS(IF(ABS($E$5208)&gt;0.000000001,$E$5208,0.000000001))=0,0,IF($E$3648&lt;=$B$3633,0,IF(ABS(IF(ABS($E$5208)&gt;0.000000001,$E$5208,0.000000001))&gt;=8*$B$3635,$H$3648,0.5*$H$3648*(ABS(IF(ABS($E$5208)&gt;0.000000001,$E$5208,0.000000001))/$B$3635)^(1/3)))/ABS(IF(ABS($E$5208)&gt;0.000000001,$E$5208,0.000000001))*$I$3648)</f>
        <v/>
      </c>
      <c r="E5244" s="19">
        <f>0.5*$E$5208+0.5*$Z$5265</f>
        <v/>
      </c>
      <c r="F5244" s="19">
        <f>$Z$5266</f>
        <v/>
      </c>
    </row>
    <row r="5245">
      <c r="D5245" s="19">
        <f>IF(ABS(IF(ABS($E$5209)&gt;0.000000001,$E$5209,0.000000001))=0,0,IF($E$3649&lt;=$B$3633,0,IF(ABS(IF(ABS($E$5209)&gt;0.000000001,$E$5209,0.000000001))&gt;=8*$B$3635,$H$3649,0.5*$H$3649*(ABS(IF(ABS($E$5209)&gt;0.000000001,$E$5209,0.000000001))/$B$3635)^(1/3)))/ABS(IF(ABS($E$5209)&gt;0.000000001,$E$5209,0.000000001))*$I$3649)</f>
        <v/>
      </c>
      <c r="E5245" s="19">
        <f>0.5*$E$5209+0.5*$Z$5267</f>
        <v/>
      </c>
      <c r="F5245" s="19">
        <f>$Z$5268</f>
        <v/>
      </c>
    </row>
    <row r="5247">
      <c r="D5247" s="21">
        <f>$B$3624+$D$5235</f>
        <v/>
      </c>
      <c r="E5247" s="21">
        <f>$B$3625</f>
        <v/>
      </c>
      <c r="F5247" s="21">
        <f>-$B$3624</f>
        <v/>
      </c>
      <c r="G5247" s="21">
        <f>$B$3625</f>
        <v/>
      </c>
      <c r="H5247" s="21" t="n">
        <v>0</v>
      </c>
      <c r="I5247" s="21" t="n">
        <v>0</v>
      </c>
      <c r="J5247" s="21" t="n">
        <v>0</v>
      </c>
      <c r="K5247" s="21" t="n">
        <v>0</v>
      </c>
      <c r="L5247" s="21" t="n">
        <v>0</v>
      </c>
      <c r="M5247" s="21" t="n">
        <v>0</v>
      </c>
      <c r="N5247" s="21" t="n">
        <v>0</v>
      </c>
      <c r="O5247" s="21" t="n">
        <v>0</v>
      </c>
      <c r="P5247" s="21" t="n">
        <v>0</v>
      </c>
      <c r="Q5247" s="21" t="n">
        <v>0</v>
      </c>
      <c r="R5247" s="21" t="n">
        <v>0</v>
      </c>
      <c r="S5247" s="21" t="n">
        <v>0</v>
      </c>
      <c r="T5247" s="21" t="n">
        <v>0</v>
      </c>
      <c r="U5247" s="21" t="n">
        <v>0</v>
      </c>
      <c r="V5247" s="21" t="n">
        <v>0</v>
      </c>
      <c r="W5247" s="21" t="n">
        <v>0</v>
      </c>
      <c r="X5247" s="21" t="n">
        <v>0</v>
      </c>
      <c r="Y5247" s="21" t="n">
        <v>0</v>
      </c>
      <c r="Z5247" s="19">
        <f t="array" ref="Z5247:Z5268">MMULT(MINVERSE($D$5247:$Y$5268),$D$3651:$D$3672)</f>
        <v/>
      </c>
    </row>
    <row r="5248">
      <c r="D5248" s="21">
        <f>$B$3625</f>
        <v/>
      </c>
      <c r="E5248" s="21">
        <f>$B$3626</f>
        <v/>
      </c>
      <c r="F5248" s="21">
        <f>-$B$3625</f>
        <v/>
      </c>
      <c r="G5248" s="21">
        <f>$B$3627</f>
        <v/>
      </c>
      <c r="H5248" s="21" t="n">
        <v>0</v>
      </c>
      <c r="I5248" s="21" t="n">
        <v>0</v>
      </c>
      <c r="J5248" s="21" t="n">
        <v>0</v>
      </c>
      <c r="K5248" s="21" t="n">
        <v>0</v>
      </c>
      <c r="L5248" s="21" t="n">
        <v>0</v>
      </c>
      <c r="M5248" s="21" t="n">
        <v>0</v>
      </c>
      <c r="N5248" s="21" t="n">
        <v>0</v>
      </c>
      <c r="O5248" s="21" t="n">
        <v>0</v>
      </c>
      <c r="P5248" s="21" t="n">
        <v>0</v>
      </c>
      <c r="Q5248" s="21" t="n">
        <v>0</v>
      </c>
      <c r="R5248" s="21" t="n">
        <v>0</v>
      </c>
      <c r="S5248" s="21" t="n">
        <v>0</v>
      </c>
      <c r="T5248" s="21" t="n">
        <v>0</v>
      </c>
      <c r="U5248" s="21" t="n">
        <v>0</v>
      </c>
      <c r="V5248" s="21" t="n">
        <v>0</v>
      </c>
      <c r="W5248" s="21" t="n">
        <v>0</v>
      </c>
      <c r="X5248" s="21" t="n">
        <v>0</v>
      </c>
      <c r="Y5248" s="21" t="n">
        <v>0</v>
      </c>
      <c r="Z5248" s="19" t="n"/>
    </row>
    <row r="5249">
      <c r="D5249" s="21">
        <f>-$B$3624</f>
        <v/>
      </c>
      <c r="E5249" s="21">
        <f>-$B$3625</f>
        <v/>
      </c>
      <c r="F5249" s="21">
        <f>2*$B$3624+$D$5236</f>
        <v/>
      </c>
      <c r="G5249" s="21">
        <f>0</f>
        <v/>
      </c>
      <c r="H5249" s="21">
        <f>-$B$3624</f>
        <v/>
      </c>
      <c r="I5249" s="21">
        <f>$B$3625</f>
        <v/>
      </c>
      <c r="J5249" s="21" t="n">
        <v>0</v>
      </c>
      <c r="K5249" s="21" t="n">
        <v>0</v>
      </c>
      <c r="L5249" s="21" t="n">
        <v>0</v>
      </c>
      <c r="M5249" s="21" t="n">
        <v>0</v>
      </c>
      <c r="N5249" s="21" t="n">
        <v>0</v>
      </c>
      <c r="O5249" s="21" t="n">
        <v>0</v>
      </c>
      <c r="P5249" s="21" t="n">
        <v>0</v>
      </c>
      <c r="Q5249" s="21" t="n">
        <v>0</v>
      </c>
      <c r="R5249" s="21" t="n">
        <v>0</v>
      </c>
      <c r="S5249" s="21" t="n">
        <v>0</v>
      </c>
      <c r="T5249" s="21" t="n">
        <v>0</v>
      </c>
      <c r="U5249" s="21" t="n">
        <v>0</v>
      </c>
      <c r="V5249" s="21" t="n">
        <v>0</v>
      </c>
      <c r="W5249" s="21" t="n">
        <v>0</v>
      </c>
      <c r="X5249" s="21" t="n">
        <v>0</v>
      </c>
      <c r="Y5249" s="21" t="n">
        <v>0</v>
      </c>
      <c r="Z5249" s="19" t="n"/>
    </row>
    <row r="5250">
      <c r="D5250" s="21">
        <f>$B$3625</f>
        <v/>
      </c>
      <c r="E5250" s="21">
        <f>$B$3627</f>
        <v/>
      </c>
      <c r="F5250" s="21">
        <f>0</f>
        <v/>
      </c>
      <c r="G5250" s="21">
        <f>2*$B$3626</f>
        <v/>
      </c>
      <c r="H5250" s="21">
        <f>-$B$3625</f>
        <v/>
      </c>
      <c r="I5250" s="21">
        <f>$B$3627</f>
        <v/>
      </c>
      <c r="J5250" s="21" t="n">
        <v>0</v>
      </c>
      <c r="K5250" s="21" t="n">
        <v>0</v>
      </c>
      <c r="L5250" s="21" t="n">
        <v>0</v>
      </c>
      <c r="M5250" s="21" t="n">
        <v>0</v>
      </c>
      <c r="N5250" s="21" t="n">
        <v>0</v>
      </c>
      <c r="O5250" s="21" t="n">
        <v>0</v>
      </c>
      <c r="P5250" s="21" t="n">
        <v>0</v>
      </c>
      <c r="Q5250" s="21" t="n">
        <v>0</v>
      </c>
      <c r="R5250" s="21" t="n">
        <v>0</v>
      </c>
      <c r="S5250" s="21" t="n">
        <v>0</v>
      </c>
      <c r="T5250" s="21" t="n">
        <v>0</v>
      </c>
      <c r="U5250" s="21" t="n">
        <v>0</v>
      </c>
      <c r="V5250" s="21" t="n">
        <v>0</v>
      </c>
      <c r="W5250" s="21" t="n">
        <v>0</v>
      </c>
      <c r="X5250" s="21" t="n">
        <v>0</v>
      </c>
      <c r="Y5250" s="21" t="n">
        <v>0</v>
      </c>
      <c r="Z5250" s="19" t="n"/>
    </row>
    <row r="5251">
      <c r="D5251" s="21" t="n">
        <v>0</v>
      </c>
      <c r="E5251" s="21" t="n">
        <v>0</v>
      </c>
      <c r="F5251" s="21">
        <f>-$B$3624</f>
        <v/>
      </c>
      <c r="G5251" s="21">
        <f>-$B$3625</f>
        <v/>
      </c>
      <c r="H5251" s="21">
        <f>2*$B$3624+$D$5237</f>
        <v/>
      </c>
      <c r="I5251" s="21">
        <f>0</f>
        <v/>
      </c>
      <c r="J5251" s="21">
        <f>-$B$3624</f>
        <v/>
      </c>
      <c r="K5251" s="21">
        <f>$B$3625</f>
        <v/>
      </c>
      <c r="L5251" s="21" t="n">
        <v>0</v>
      </c>
      <c r="M5251" s="21" t="n">
        <v>0</v>
      </c>
      <c r="N5251" s="21" t="n">
        <v>0</v>
      </c>
      <c r="O5251" s="21" t="n">
        <v>0</v>
      </c>
      <c r="P5251" s="21" t="n">
        <v>0</v>
      </c>
      <c r="Q5251" s="21" t="n">
        <v>0</v>
      </c>
      <c r="R5251" s="21" t="n">
        <v>0</v>
      </c>
      <c r="S5251" s="21" t="n">
        <v>0</v>
      </c>
      <c r="T5251" s="21" t="n">
        <v>0</v>
      </c>
      <c r="U5251" s="21" t="n">
        <v>0</v>
      </c>
      <c r="V5251" s="21" t="n">
        <v>0</v>
      </c>
      <c r="W5251" s="21" t="n">
        <v>0</v>
      </c>
      <c r="X5251" s="21" t="n">
        <v>0</v>
      </c>
      <c r="Y5251" s="21" t="n">
        <v>0</v>
      </c>
      <c r="Z5251" s="19" t="n"/>
    </row>
    <row r="5252">
      <c r="D5252" s="21" t="n">
        <v>0</v>
      </c>
      <c r="E5252" s="21" t="n">
        <v>0</v>
      </c>
      <c r="F5252" s="21">
        <f>$B$3625</f>
        <v/>
      </c>
      <c r="G5252" s="21">
        <f>$B$3627</f>
        <v/>
      </c>
      <c r="H5252" s="21">
        <f>0</f>
        <v/>
      </c>
      <c r="I5252" s="21">
        <f>2*$B$3626</f>
        <v/>
      </c>
      <c r="J5252" s="21">
        <f>-$B$3625</f>
        <v/>
      </c>
      <c r="K5252" s="21">
        <f>$B$3627</f>
        <v/>
      </c>
      <c r="L5252" s="21" t="n">
        <v>0</v>
      </c>
      <c r="M5252" s="21" t="n">
        <v>0</v>
      </c>
      <c r="N5252" s="21" t="n">
        <v>0</v>
      </c>
      <c r="O5252" s="21" t="n">
        <v>0</v>
      </c>
      <c r="P5252" s="21" t="n">
        <v>0</v>
      </c>
      <c r="Q5252" s="21" t="n">
        <v>0</v>
      </c>
      <c r="R5252" s="21" t="n">
        <v>0</v>
      </c>
      <c r="S5252" s="21" t="n">
        <v>0</v>
      </c>
      <c r="T5252" s="21" t="n">
        <v>0</v>
      </c>
      <c r="U5252" s="21" t="n">
        <v>0</v>
      </c>
      <c r="V5252" s="21" t="n">
        <v>0</v>
      </c>
      <c r="W5252" s="21" t="n">
        <v>0</v>
      </c>
      <c r="X5252" s="21" t="n">
        <v>0</v>
      </c>
      <c r="Y5252" s="21" t="n">
        <v>0</v>
      </c>
      <c r="Z5252" s="19" t="n"/>
    </row>
    <row r="5253">
      <c r="D5253" s="21" t="n">
        <v>0</v>
      </c>
      <c r="E5253" s="21" t="n">
        <v>0</v>
      </c>
      <c r="F5253" s="21" t="n">
        <v>0</v>
      </c>
      <c r="G5253" s="21" t="n">
        <v>0</v>
      </c>
      <c r="H5253" s="21">
        <f>-$B$3624</f>
        <v/>
      </c>
      <c r="I5253" s="21">
        <f>-$B$3625</f>
        <v/>
      </c>
      <c r="J5253" s="21">
        <f>2*$B$3624+$D$5238</f>
        <v/>
      </c>
      <c r="K5253" s="21">
        <f>0</f>
        <v/>
      </c>
      <c r="L5253" s="21">
        <f>-$B$3624</f>
        <v/>
      </c>
      <c r="M5253" s="21">
        <f>$B$3625</f>
        <v/>
      </c>
      <c r="N5253" s="21" t="n">
        <v>0</v>
      </c>
      <c r="O5253" s="21" t="n">
        <v>0</v>
      </c>
      <c r="P5253" s="21" t="n">
        <v>0</v>
      </c>
      <c r="Q5253" s="21" t="n">
        <v>0</v>
      </c>
      <c r="R5253" s="21" t="n">
        <v>0</v>
      </c>
      <c r="S5253" s="21" t="n">
        <v>0</v>
      </c>
      <c r="T5253" s="21" t="n">
        <v>0</v>
      </c>
      <c r="U5253" s="21" t="n">
        <v>0</v>
      </c>
      <c r="V5253" s="21" t="n">
        <v>0</v>
      </c>
      <c r="W5253" s="21" t="n">
        <v>0</v>
      </c>
      <c r="X5253" s="21" t="n">
        <v>0</v>
      </c>
      <c r="Y5253" s="21" t="n">
        <v>0</v>
      </c>
      <c r="Z5253" s="19" t="n"/>
    </row>
    <row r="5254">
      <c r="D5254" s="21" t="n">
        <v>0</v>
      </c>
      <c r="E5254" s="21" t="n">
        <v>0</v>
      </c>
      <c r="F5254" s="21" t="n">
        <v>0</v>
      </c>
      <c r="G5254" s="21" t="n">
        <v>0</v>
      </c>
      <c r="H5254" s="21">
        <f>$B$3625</f>
        <v/>
      </c>
      <c r="I5254" s="21">
        <f>$B$3627</f>
        <v/>
      </c>
      <c r="J5254" s="21">
        <f>0</f>
        <v/>
      </c>
      <c r="K5254" s="21">
        <f>2*$B$3626</f>
        <v/>
      </c>
      <c r="L5254" s="21">
        <f>-$B$3625</f>
        <v/>
      </c>
      <c r="M5254" s="21">
        <f>$B$3627</f>
        <v/>
      </c>
      <c r="N5254" s="21" t="n">
        <v>0</v>
      </c>
      <c r="O5254" s="21" t="n">
        <v>0</v>
      </c>
      <c r="P5254" s="21" t="n">
        <v>0</v>
      </c>
      <c r="Q5254" s="21" t="n">
        <v>0</v>
      </c>
      <c r="R5254" s="21" t="n">
        <v>0</v>
      </c>
      <c r="S5254" s="21" t="n">
        <v>0</v>
      </c>
      <c r="T5254" s="21" t="n">
        <v>0</v>
      </c>
      <c r="U5254" s="21" t="n">
        <v>0</v>
      </c>
      <c r="V5254" s="21" t="n">
        <v>0</v>
      </c>
      <c r="W5254" s="21" t="n">
        <v>0</v>
      </c>
      <c r="X5254" s="21" t="n">
        <v>0</v>
      </c>
      <c r="Y5254" s="21" t="n">
        <v>0</v>
      </c>
      <c r="Z5254" s="19" t="n"/>
    </row>
    <row r="5255">
      <c r="D5255" s="21" t="n">
        <v>0</v>
      </c>
      <c r="E5255" s="21" t="n">
        <v>0</v>
      </c>
      <c r="F5255" s="21" t="n">
        <v>0</v>
      </c>
      <c r="G5255" s="21" t="n">
        <v>0</v>
      </c>
      <c r="H5255" s="21" t="n">
        <v>0</v>
      </c>
      <c r="I5255" s="21" t="n">
        <v>0</v>
      </c>
      <c r="J5255" s="21">
        <f>-$B$3624</f>
        <v/>
      </c>
      <c r="K5255" s="21">
        <f>-$B$3625</f>
        <v/>
      </c>
      <c r="L5255" s="21">
        <f>2*$B$3624+$D$5239</f>
        <v/>
      </c>
      <c r="M5255" s="21">
        <f>0</f>
        <v/>
      </c>
      <c r="N5255" s="21">
        <f>-$B$3624</f>
        <v/>
      </c>
      <c r="O5255" s="21">
        <f>$B$3625</f>
        <v/>
      </c>
      <c r="P5255" s="21" t="n">
        <v>0</v>
      </c>
      <c r="Q5255" s="21" t="n">
        <v>0</v>
      </c>
      <c r="R5255" s="21" t="n">
        <v>0</v>
      </c>
      <c r="S5255" s="21" t="n">
        <v>0</v>
      </c>
      <c r="T5255" s="21" t="n">
        <v>0</v>
      </c>
      <c r="U5255" s="21" t="n">
        <v>0</v>
      </c>
      <c r="V5255" s="21" t="n">
        <v>0</v>
      </c>
      <c r="W5255" s="21" t="n">
        <v>0</v>
      </c>
      <c r="X5255" s="21" t="n">
        <v>0</v>
      </c>
      <c r="Y5255" s="21" t="n">
        <v>0</v>
      </c>
      <c r="Z5255" s="19" t="n"/>
    </row>
    <row r="5256">
      <c r="D5256" s="21" t="n">
        <v>0</v>
      </c>
      <c r="E5256" s="21" t="n">
        <v>0</v>
      </c>
      <c r="F5256" s="21" t="n">
        <v>0</v>
      </c>
      <c r="G5256" s="21" t="n">
        <v>0</v>
      </c>
      <c r="H5256" s="21" t="n">
        <v>0</v>
      </c>
      <c r="I5256" s="21" t="n">
        <v>0</v>
      </c>
      <c r="J5256" s="21">
        <f>$B$3625</f>
        <v/>
      </c>
      <c r="K5256" s="21">
        <f>$B$3627</f>
        <v/>
      </c>
      <c r="L5256" s="21">
        <f>0</f>
        <v/>
      </c>
      <c r="M5256" s="21">
        <f>2*$B$3626</f>
        <v/>
      </c>
      <c r="N5256" s="21">
        <f>-$B$3625</f>
        <v/>
      </c>
      <c r="O5256" s="21">
        <f>$B$3627</f>
        <v/>
      </c>
      <c r="P5256" s="21" t="n">
        <v>0</v>
      </c>
      <c r="Q5256" s="21" t="n">
        <v>0</v>
      </c>
      <c r="R5256" s="21" t="n">
        <v>0</v>
      </c>
      <c r="S5256" s="21" t="n">
        <v>0</v>
      </c>
      <c r="T5256" s="21" t="n">
        <v>0</v>
      </c>
      <c r="U5256" s="21" t="n">
        <v>0</v>
      </c>
      <c r="V5256" s="21" t="n">
        <v>0</v>
      </c>
      <c r="W5256" s="21" t="n">
        <v>0</v>
      </c>
      <c r="X5256" s="21" t="n">
        <v>0</v>
      </c>
      <c r="Y5256" s="21" t="n">
        <v>0</v>
      </c>
      <c r="Z5256" s="19" t="n"/>
    </row>
    <row r="5257">
      <c r="D5257" s="21" t="n">
        <v>0</v>
      </c>
      <c r="E5257" s="21" t="n">
        <v>0</v>
      </c>
      <c r="F5257" s="21" t="n">
        <v>0</v>
      </c>
      <c r="G5257" s="21" t="n">
        <v>0</v>
      </c>
      <c r="H5257" s="21" t="n">
        <v>0</v>
      </c>
      <c r="I5257" s="21" t="n">
        <v>0</v>
      </c>
      <c r="J5257" s="21" t="n">
        <v>0</v>
      </c>
      <c r="K5257" s="21" t="n">
        <v>0</v>
      </c>
      <c r="L5257" s="21">
        <f>-$B$3624</f>
        <v/>
      </c>
      <c r="M5257" s="21">
        <f>-$B$3625</f>
        <v/>
      </c>
      <c r="N5257" s="21">
        <f>2*$B$3624+$D$5240</f>
        <v/>
      </c>
      <c r="O5257" s="21">
        <f>0</f>
        <v/>
      </c>
      <c r="P5257" s="21">
        <f>-$B$3624</f>
        <v/>
      </c>
      <c r="Q5257" s="21">
        <f>$B$3625</f>
        <v/>
      </c>
      <c r="R5257" s="21" t="n">
        <v>0</v>
      </c>
      <c r="S5257" s="21" t="n">
        <v>0</v>
      </c>
      <c r="T5257" s="21" t="n">
        <v>0</v>
      </c>
      <c r="U5257" s="21" t="n">
        <v>0</v>
      </c>
      <c r="V5257" s="21" t="n">
        <v>0</v>
      </c>
      <c r="W5257" s="21" t="n">
        <v>0</v>
      </c>
      <c r="X5257" s="21" t="n">
        <v>0</v>
      </c>
      <c r="Y5257" s="21" t="n">
        <v>0</v>
      </c>
      <c r="Z5257" s="19" t="n"/>
    </row>
    <row r="5258">
      <c r="D5258" s="21" t="n">
        <v>0</v>
      </c>
      <c r="E5258" s="21" t="n">
        <v>0</v>
      </c>
      <c r="F5258" s="21" t="n">
        <v>0</v>
      </c>
      <c r="G5258" s="21" t="n">
        <v>0</v>
      </c>
      <c r="H5258" s="21" t="n">
        <v>0</v>
      </c>
      <c r="I5258" s="21" t="n">
        <v>0</v>
      </c>
      <c r="J5258" s="21" t="n">
        <v>0</v>
      </c>
      <c r="K5258" s="21" t="n">
        <v>0</v>
      </c>
      <c r="L5258" s="21">
        <f>$B$3625</f>
        <v/>
      </c>
      <c r="M5258" s="21">
        <f>$B$3627</f>
        <v/>
      </c>
      <c r="N5258" s="21">
        <f>0</f>
        <v/>
      </c>
      <c r="O5258" s="21">
        <f>2*$B$3626</f>
        <v/>
      </c>
      <c r="P5258" s="21">
        <f>-$B$3625</f>
        <v/>
      </c>
      <c r="Q5258" s="21">
        <f>$B$3627</f>
        <v/>
      </c>
      <c r="R5258" s="21" t="n">
        <v>0</v>
      </c>
      <c r="S5258" s="21" t="n">
        <v>0</v>
      </c>
      <c r="T5258" s="21" t="n">
        <v>0</v>
      </c>
      <c r="U5258" s="21" t="n">
        <v>0</v>
      </c>
      <c r="V5258" s="21" t="n">
        <v>0</v>
      </c>
      <c r="W5258" s="21" t="n">
        <v>0</v>
      </c>
      <c r="X5258" s="21" t="n">
        <v>0</v>
      </c>
      <c r="Y5258" s="21" t="n">
        <v>0</v>
      </c>
      <c r="Z5258" s="19" t="n"/>
    </row>
    <row r="5259">
      <c r="D5259" s="21" t="n">
        <v>0</v>
      </c>
      <c r="E5259" s="21" t="n">
        <v>0</v>
      </c>
      <c r="F5259" s="21" t="n">
        <v>0</v>
      </c>
      <c r="G5259" s="21" t="n">
        <v>0</v>
      </c>
      <c r="H5259" s="21" t="n">
        <v>0</v>
      </c>
      <c r="I5259" s="21" t="n">
        <v>0</v>
      </c>
      <c r="J5259" s="21" t="n">
        <v>0</v>
      </c>
      <c r="K5259" s="21" t="n">
        <v>0</v>
      </c>
      <c r="L5259" s="21" t="n">
        <v>0</v>
      </c>
      <c r="M5259" s="21" t="n">
        <v>0</v>
      </c>
      <c r="N5259" s="21">
        <f>-$B$3624</f>
        <v/>
      </c>
      <c r="O5259" s="21">
        <f>-$B$3625</f>
        <v/>
      </c>
      <c r="P5259" s="21">
        <f>2*$B$3624+$D$5241</f>
        <v/>
      </c>
      <c r="Q5259" s="21">
        <f>0</f>
        <v/>
      </c>
      <c r="R5259" s="21">
        <f>-$B$3624</f>
        <v/>
      </c>
      <c r="S5259" s="21">
        <f>$B$3625</f>
        <v/>
      </c>
      <c r="T5259" s="21" t="n">
        <v>0</v>
      </c>
      <c r="U5259" s="21" t="n">
        <v>0</v>
      </c>
      <c r="V5259" s="21" t="n">
        <v>0</v>
      </c>
      <c r="W5259" s="21" t="n">
        <v>0</v>
      </c>
      <c r="X5259" s="21" t="n">
        <v>0</v>
      </c>
      <c r="Y5259" s="21" t="n">
        <v>0</v>
      </c>
      <c r="Z5259" s="19" t="n"/>
    </row>
    <row r="5260">
      <c r="D5260" s="21" t="n">
        <v>0</v>
      </c>
      <c r="E5260" s="21" t="n">
        <v>0</v>
      </c>
      <c r="F5260" s="21" t="n">
        <v>0</v>
      </c>
      <c r="G5260" s="21" t="n">
        <v>0</v>
      </c>
      <c r="H5260" s="21" t="n">
        <v>0</v>
      </c>
      <c r="I5260" s="21" t="n">
        <v>0</v>
      </c>
      <c r="J5260" s="21" t="n">
        <v>0</v>
      </c>
      <c r="K5260" s="21" t="n">
        <v>0</v>
      </c>
      <c r="L5260" s="21" t="n">
        <v>0</v>
      </c>
      <c r="M5260" s="21" t="n">
        <v>0</v>
      </c>
      <c r="N5260" s="21">
        <f>$B$3625</f>
        <v/>
      </c>
      <c r="O5260" s="21">
        <f>$B$3627</f>
        <v/>
      </c>
      <c r="P5260" s="21">
        <f>0</f>
        <v/>
      </c>
      <c r="Q5260" s="21">
        <f>2*$B$3626</f>
        <v/>
      </c>
      <c r="R5260" s="21">
        <f>-$B$3625</f>
        <v/>
      </c>
      <c r="S5260" s="21">
        <f>$B$3627</f>
        <v/>
      </c>
      <c r="T5260" s="21" t="n">
        <v>0</v>
      </c>
      <c r="U5260" s="21" t="n">
        <v>0</v>
      </c>
      <c r="V5260" s="21" t="n">
        <v>0</v>
      </c>
      <c r="W5260" s="21" t="n">
        <v>0</v>
      </c>
      <c r="X5260" s="21" t="n">
        <v>0</v>
      </c>
      <c r="Y5260" s="21" t="n">
        <v>0</v>
      </c>
      <c r="Z5260" s="19" t="n"/>
    </row>
    <row r="5261">
      <c r="D5261" s="21" t="n">
        <v>0</v>
      </c>
      <c r="E5261" s="21" t="n">
        <v>0</v>
      </c>
      <c r="F5261" s="21" t="n">
        <v>0</v>
      </c>
      <c r="G5261" s="21" t="n">
        <v>0</v>
      </c>
      <c r="H5261" s="21" t="n">
        <v>0</v>
      </c>
      <c r="I5261" s="21" t="n">
        <v>0</v>
      </c>
      <c r="J5261" s="21" t="n">
        <v>0</v>
      </c>
      <c r="K5261" s="21" t="n">
        <v>0</v>
      </c>
      <c r="L5261" s="21" t="n">
        <v>0</v>
      </c>
      <c r="M5261" s="21" t="n">
        <v>0</v>
      </c>
      <c r="N5261" s="21" t="n">
        <v>0</v>
      </c>
      <c r="O5261" s="21" t="n">
        <v>0</v>
      </c>
      <c r="P5261" s="21">
        <f>-$B$3624</f>
        <v/>
      </c>
      <c r="Q5261" s="21">
        <f>-$B$3625</f>
        <v/>
      </c>
      <c r="R5261" s="21">
        <f>2*$B$3624+$D$5242</f>
        <v/>
      </c>
      <c r="S5261" s="21">
        <f>0</f>
        <v/>
      </c>
      <c r="T5261" s="21">
        <f>-$B$3624</f>
        <v/>
      </c>
      <c r="U5261" s="21">
        <f>$B$3625</f>
        <v/>
      </c>
      <c r="V5261" s="21" t="n">
        <v>0</v>
      </c>
      <c r="W5261" s="21" t="n">
        <v>0</v>
      </c>
      <c r="X5261" s="21" t="n">
        <v>0</v>
      </c>
      <c r="Y5261" s="21" t="n">
        <v>0</v>
      </c>
      <c r="Z5261" s="19" t="n"/>
    </row>
    <row r="5262">
      <c r="D5262" s="21" t="n">
        <v>0</v>
      </c>
      <c r="E5262" s="21" t="n">
        <v>0</v>
      </c>
      <c r="F5262" s="21" t="n">
        <v>0</v>
      </c>
      <c r="G5262" s="21" t="n">
        <v>0</v>
      </c>
      <c r="H5262" s="21" t="n">
        <v>0</v>
      </c>
      <c r="I5262" s="21" t="n">
        <v>0</v>
      </c>
      <c r="J5262" s="21" t="n">
        <v>0</v>
      </c>
      <c r="K5262" s="21" t="n">
        <v>0</v>
      </c>
      <c r="L5262" s="21" t="n">
        <v>0</v>
      </c>
      <c r="M5262" s="21" t="n">
        <v>0</v>
      </c>
      <c r="N5262" s="21" t="n">
        <v>0</v>
      </c>
      <c r="O5262" s="21" t="n">
        <v>0</v>
      </c>
      <c r="P5262" s="21">
        <f>$B$3625</f>
        <v/>
      </c>
      <c r="Q5262" s="21">
        <f>$B$3627</f>
        <v/>
      </c>
      <c r="R5262" s="21">
        <f>0</f>
        <v/>
      </c>
      <c r="S5262" s="21">
        <f>2*$B$3626</f>
        <v/>
      </c>
      <c r="T5262" s="21">
        <f>-$B$3625</f>
        <v/>
      </c>
      <c r="U5262" s="21">
        <f>$B$3627</f>
        <v/>
      </c>
      <c r="V5262" s="21" t="n">
        <v>0</v>
      </c>
      <c r="W5262" s="21" t="n">
        <v>0</v>
      </c>
      <c r="X5262" s="21" t="n">
        <v>0</v>
      </c>
      <c r="Y5262" s="21" t="n">
        <v>0</v>
      </c>
      <c r="Z5262" s="19" t="n"/>
    </row>
    <row r="5263">
      <c r="D5263" s="21" t="n">
        <v>0</v>
      </c>
      <c r="E5263" s="21" t="n">
        <v>0</v>
      </c>
      <c r="F5263" s="21" t="n">
        <v>0</v>
      </c>
      <c r="G5263" s="21" t="n">
        <v>0</v>
      </c>
      <c r="H5263" s="21" t="n">
        <v>0</v>
      </c>
      <c r="I5263" s="21" t="n">
        <v>0</v>
      </c>
      <c r="J5263" s="21" t="n">
        <v>0</v>
      </c>
      <c r="K5263" s="21" t="n">
        <v>0</v>
      </c>
      <c r="L5263" s="21" t="n">
        <v>0</v>
      </c>
      <c r="M5263" s="21" t="n">
        <v>0</v>
      </c>
      <c r="N5263" s="21" t="n">
        <v>0</v>
      </c>
      <c r="O5263" s="21" t="n">
        <v>0</v>
      </c>
      <c r="P5263" s="21" t="n">
        <v>0</v>
      </c>
      <c r="Q5263" s="21" t="n">
        <v>0</v>
      </c>
      <c r="R5263" s="21">
        <f>-$B$3624</f>
        <v/>
      </c>
      <c r="S5263" s="21">
        <f>-$B$3625</f>
        <v/>
      </c>
      <c r="T5263" s="21">
        <f>2*$B$3624+$D$5243</f>
        <v/>
      </c>
      <c r="U5263" s="21">
        <f>0</f>
        <v/>
      </c>
      <c r="V5263" s="21">
        <f>-$B$3624</f>
        <v/>
      </c>
      <c r="W5263" s="21">
        <f>$B$3625</f>
        <v/>
      </c>
      <c r="X5263" s="21" t="n">
        <v>0</v>
      </c>
      <c r="Y5263" s="21" t="n">
        <v>0</v>
      </c>
      <c r="Z5263" s="19" t="n"/>
    </row>
    <row r="5264">
      <c r="D5264" s="21" t="n">
        <v>0</v>
      </c>
      <c r="E5264" s="21" t="n">
        <v>0</v>
      </c>
      <c r="F5264" s="21" t="n">
        <v>0</v>
      </c>
      <c r="G5264" s="21" t="n">
        <v>0</v>
      </c>
      <c r="H5264" s="21" t="n">
        <v>0</v>
      </c>
      <c r="I5264" s="21" t="n">
        <v>0</v>
      </c>
      <c r="J5264" s="21" t="n">
        <v>0</v>
      </c>
      <c r="K5264" s="21" t="n">
        <v>0</v>
      </c>
      <c r="L5264" s="21" t="n">
        <v>0</v>
      </c>
      <c r="M5264" s="21" t="n">
        <v>0</v>
      </c>
      <c r="N5264" s="21" t="n">
        <v>0</v>
      </c>
      <c r="O5264" s="21" t="n">
        <v>0</v>
      </c>
      <c r="P5264" s="21" t="n">
        <v>0</v>
      </c>
      <c r="Q5264" s="21" t="n">
        <v>0</v>
      </c>
      <c r="R5264" s="21">
        <f>$B$3625</f>
        <v/>
      </c>
      <c r="S5264" s="21">
        <f>$B$3627</f>
        <v/>
      </c>
      <c r="T5264" s="21">
        <f>0</f>
        <v/>
      </c>
      <c r="U5264" s="21">
        <f>2*$B$3626</f>
        <v/>
      </c>
      <c r="V5264" s="21">
        <f>-$B$3625</f>
        <v/>
      </c>
      <c r="W5264" s="21">
        <f>$B$3627</f>
        <v/>
      </c>
      <c r="X5264" s="21" t="n">
        <v>0</v>
      </c>
      <c r="Y5264" s="21" t="n">
        <v>0</v>
      </c>
      <c r="Z5264" s="19" t="n"/>
    </row>
    <row r="5265">
      <c r="D5265" s="21" t="n">
        <v>0</v>
      </c>
      <c r="E5265" s="21" t="n">
        <v>0</v>
      </c>
      <c r="F5265" s="21" t="n">
        <v>0</v>
      </c>
      <c r="G5265" s="21" t="n">
        <v>0</v>
      </c>
      <c r="H5265" s="21" t="n">
        <v>0</v>
      </c>
      <c r="I5265" s="21" t="n">
        <v>0</v>
      </c>
      <c r="J5265" s="21" t="n">
        <v>0</v>
      </c>
      <c r="K5265" s="21" t="n">
        <v>0</v>
      </c>
      <c r="L5265" s="21" t="n">
        <v>0</v>
      </c>
      <c r="M5265" s="21" t="n">
        <v>0</v>
      </c>
      <c r="N5265" s="21" t="n">
        <v>0</v>
      </c>
      <c r="O5265" s="21" t="n">
        <v>0</v>
      </c>
      <c r="P5265" s="21" t="n">
        <v>0</v>
      </c>
      <c r="Q5265" s="21" t="n">
        <v>0</v>
      </c>
      <c r="R5265" s="21" t="n">
        <v>0</v>
      </c>
      <c r="S5265" s="21" t="n">
        <v>0</v>
      </c>
      <c r="T5265" s="21">
        <f>-$B$3624</f>
        <v/>
      </c>
      <c r="U5265" s="21">
        <f>-$B$3625</f>
        <v/>
      </c>
      <c r="V5265" s="21">
        <f>2*$B$3624+$D$5244</f>
        <v/>
      </c>
      <c r="W5265" s="21">
        <f>0</f>
        <v/>
      </c>
      <c r="X5265" s="21">
        <f>-$B$3624</f>
        <v/>
      </c>
      <c r="Y5265" s="21">
        <f>$B$3625</f>
        <v/>
      </c>
      <c r="Z5265" s="19" t="n"/>
    </row>
    <row r="5266">
      <c r="D5266" s="21" t="n">
        <v>0</v>
      </c>
      <c r="E5266" s="21" t="n">
        <v>0</v>
      </c>
      <c r="F5266" s="21" t="n">
        <v>0</v>
      </c>
      <c r="G5266" s="21" t="n">
        <v>0</v>
      </c>
      <c r="H5266" s="21" t="n">
        <v>0</v>
      </c>
      <c r="I5266" s="21" t="n">
        <v>0</v>
      </c>
      <c r="J5266" s="21" t="n">
        <v>0</v>
      </c>
      <c r="K5266" s="21" t="n">
        <v>0</v>
      </c>
      <c r="L5266" s="21" t="n">
        <v>0</v>
      </c>
      <c r="M5266" s="21" t="n">
        <v>0</v>
      </c>
      <c r="N5266" s="21" t="n">
        <v>0</v>
      </c>
      <c r="O5266" s="21" t="n">
        <v>0</v>
      </c>
      <c r="P5266" s="21" t="n">
        <v>0</v>
      </c>
      <c r="Q5266" s="21" t="n">
        <v>0</v>
      </c>
      <c r="R5266" s="21" t="n">
        <v>0</v>
      </c>
      <c r="S5266" s="21" t="n">
        <v>0</v>
      </c>
      <c r="T5266" s="21">
        <f>$B$3625</f>
        <v/>
      </c>
      <c r="U5266" s="21">
        <f>$B$3627</f>
        <v/>
      </c>
      <c r="V5266" s="21">
        <f>0</f>
        <v/>
      </c>
      <c r="W5266" s="21">
        <f>2*$B$3626</f>
        <v/>
      </c>
      <c r="X5266" s="21">
        <f>-$B$3625</f>
        <v/>
      </c>
      <c r="Y5266" s="21">
        <f>$B$3627</f>
        <v/>
      </c>
      <c r="Z5266" s="19" t="n"/>
    </row>
    <row r="5267">
      <c r="D5267" s="21" t="n">
        <v>0</v>
      </c>
      <c r="E5267" s="21" t="n">
        <v>0</v>
      </c>
      <c r="F5267" s="21" t="n">
        <v>0</v>
      </c>
      <c r="G5267" s="21" t="n">
        <v>0</v>
      </c>
      <c r="H5267" s="21" t="n">
        <v>0</v>
      </c>
      <c r="I5267" s="21" t="n">
        <v>0</v>
      </c>
      <c r="J5267" s="21" t="n">
        <v>0</v>
      </c>
      <c r="K5267" s="21" t="n">
        <v>0</v>
      </c>
      <c r="L5267" s="21" t="n">
        <v>0</v>
      </c>
      <c r="M5267" s="21" t="n">
        <v>0</v>
      </c>
      <c r="N5267" s="21" t="n">
        <v>0</v>
      </c>
      <c r="O5267" s="21" t="n">
        <v>0</v>
      </c>
      <c r="P5267" s="21" t="n">
        <v>0</v>
      </c>
      <c r="Q5267" s="21" t="n">
        <v>0</v>
      </c>
      <c r="R5267" s="21" t="n">
        <v>0</v>
      </c>
      <c r="S5267" s="21" t="n">
        <v>0</v>
      </c>
      <c r="T5267" s="21" t="n">
        <v>0</v>
      </c>
      <c r="U5267" s="21" t="n">
        <v>0</v>
      </c>
      <c r="V5267" s="21">
        <f>-$B$3624</f>
        <v/>
      </c>
      <c r="W5267" s="21">
        <f>-$B$3625</f>
        <v/>
      </c>
      <c r="X5267" s="21">
        <f>$B$3624+$D$5245</f>
        <v/>
      </c>
      <c r="Y5267" s="21">
        <f>-$B$3625</f>
        <v/>
      </c>
      <c r="Z5267" s="19" t="n"/>
    </row>
    <row r="5268">
      <c r="D5268" s="21" t="n">
        <v>0</v>
      </c>
      <c r="E5268" s="21" t="n">
        <v>0</v>
      </c>
      <c r="F5268" s="21" t="n">
        <v>0</v>
      </c>
      <c r="G5268" s="21" t="n">
        <v>0</v>
      </c>
      <c r="H5268" s="21" t="n">
        <v>0</v>
      </c>
      <c r="I5268" s="21" t="n">
        <v>0</v>
      </c>
      <c r="J5268" s="21" t="n">
        <v>0</v>
      </c>
      <c r="K5268" s="21" t="n">
        <v>0</v>
      </c>
      <c r="L5268" s="21" t="n">
        <v>0</v>
      </c>
      <c r="M5268" s="21" t="n">
        <v>0</v>
      </c>
      <c r="N5268" s="21" t="n">
        <v>0</v>
      </c>
      <c r="O5268" s="21" t="n">
        <v>0</v>
      </c>
      <c r="P5268" s="21" t="n">
        <v>0</v>
      </c>
      <c r="Q5268" s="21" t="n">
        <v>0</v>
      </c>
      <c r="R5268" s="21" t="n">
        <v>0</v>
      </c>
      <c r="S5268" s="21" t="n">
        <v>0</v>
      </c>
      <c r="T5268" s="21" t="n">
        <v>0</v>
      </c>
      <c r="U5268" s="21" t="n">
        <v>0</v>
      </c>
      <c r="V5268" s="21">
        <f>$B$3625</f>
        <v/>
      </c>
      <c r="W5268" s="21">
        <f>$B$3627</f>
        <v/>
      </c>
      <c r="X5268" s="21">
        <f>-$B$3625</f>
        <v/>
      </c>
      <c r="Y5268" s="21">
        <f>$B$3626</f>
        <v/>
      </c>
      <c r="Z5268" s="19" t="n"/>
    </row>
    <row r="5270">
      <c r="A5270" s="8" t="inlineStr">
        <is>
          <t>gen 45</t>
        </is>
      </c>
    </row>
    <row r="5271">
      <c r="D5271" s="19">
        <f>IF(ABS(IF(ABS($E$5235)&gt;0.000000001,$E$5235,0.000000001))=0,0,IF($E$3639&lt;=$B$3633,0,IF(ABS(IF(ABS($E$5235)&gt;0.000000001,$E$5235,0.000000001))&gt;=8*$B$3635,$H$3639,0.5*$H$3639*(ABS(IF(ABS($E$5235)&gt;0.000000001,$E$5235,0.000000001))/$B$3635)^(1/3)))/ABS(IF(ABS($E$5235)&gt;0.000000001,$E$5235,0.000000001))*$I$3639)</f>
        <v/>
      </c>
      <c r="E5271" s="19">
        <f>0.5*$E$5235+0.5*$Z$5283</f>
        <v/>
      </c>
      <c r="F5271" s="19">
        <f>$Z$5284</f>
        <v/>
      </c>
    </row>
    <row r="5272">
      <c r="D5272" s="19">
        <f>IF(ABS(IF(ABS($E$5236)&gt;0.000000001,$E$5236,0.000000001))=0,0,IF($E$3640&lt;=$B$3633,0,IF(ABS(IF(ABS($E$5236)&gt;0.000000001,$E$5236,0.000000001))&gt;=8*$B$3635,$H$3640,0.5*$H$3640*(ABS(IF(ABS($E$5236)&gt;0.000000001,$E$5236,0.000000001))/$B$3635)^(1/3)))/ABS(IF(ABS($E$5236)&gt;0.000000001,$E$5236,0.000000001))*$I$3640)</f>
        <v/>
      </c>
      <c r="E5272" s="19">
        <f>0.5*$E$5236+0.5*$Z$5285</f>
        <v/>
      </c>
      <c r="F5272" s="19">
        <f>$Z$5286</f>
        <v/>
      </c>
    </row>
    <row r="5273">
      <c r="D5273" s="19">
        <f>IF(ABS(IF(ABS($E$5237)&gt;0.000000001,$E$5237,0.000000001))=0,0,IF($E$3641&lt;=$B$3633,0,IF(ABS(IF(ABS($E$5237)&gt;0.000000001,$E$5237,0.000000001))&gt;=8*$B$3635,$H$3641,0.5*$H$3641*(ABS(IF(ABS($E$5237)&gt;0.000000001,$E$5237,0.000000001))/$B$3635)^(1/3)))/ABS(IF(ABS($E$5237)&gt;0.000000001,$E$5237,0.000000001))*$I$3641)</f>
        <v/>
      </c>
      <c r="E5273" s="19">
        <f>0.5*$E$5237+0.5*$Z$5287</f>
        <v/>
      </c>
      <c r="F5273" s="19">
        <f>$Z$5288</f>
        <v/>
      </c>
    </row>
    <row r="5274">
      <c r="D5274" s="19">
        <f>IF(ABS(IF(ABS($E$5238)&gt;0.000000001,$E$5238,0.000000001))=0,0,IF($E$3642&lt;=$B$3633,0,IF(ABS(IF(ABS($E$5238)&gt;0.000000001,$E$5238,0.000000001))&gt;=8*$B$3635,$H$3642,0.5*$H$3642*(ABS(IF(ABS($E$5238)&gt;0.000000001,$E$5238,0.000000001))/$B$3635)^(1/3)))/ABS(IF(ABS($E$5238)&gt;0.000000001,$E$5238,0.000000001))*$I$3642)</f>
        <v/>
      </c>
      <c r="E5274" s="19">
        <f>0.5*$E$5238+0.5*$Z$5289</f>
        <v/>
      </c>
      <c r="F5274" s="19">
        <f>$Z$5290</f>
        <v/>
      </c>
    </row>
    <row r="5275">
      <c r="D5275" s="19">
        <f>IF(ABS(IF(ABS($E$5239)&gt;0.000000001,$E$5239,0.000000001))=0,0,IF($E$3643&lt;=$B$3633,0,IF(ABS(IF(ABS($E$5239)&gt;0.000000001,$E$5239,0.000000001))&gt;=8*$B$3635,$H$3643,0.5*$H$3643*(ABS(IF(ABS($E$5239)&gt;0.000000001,$E$5239,0.000000001))/$B$3635)^(1/3)))/ABS(IF(ABS($E$5239)&gt;0.000000001,$E$5239,0.000000001))*$I$3643)</f>
        <v/>
      </c>
      <c r="E5275" s="19">
        <f>0.5*$E$5239+0.5*$Z$5291</f>
        <v/>
      </c>
      <c r="F5275" s="19">
        <f>$Z$5292</f>
        <v/>
      </c>
    </row>
    <row r="5276">
      <c r="D5276" s="19">
        <f>IF(ABS(IF(ABS($E$5240)&gt;0.000000001,$E$5240,0.000000001))=0,0,IF($E$3644&lt;=$B$3633,0,IF(ABS(IF(ABS($E$5240)&gt;0.000000001,$E$5240,0.000000001))&gt;=8*$B$3635,$H$3644,0.5*$H$3644*(ABS(IF(ABS($E$5240)&gt;0.000000001,$E$5240,0.000000001))/$B$3635)^(1/3)))/ABS(IF(ABS($E$5240)&gt;0.000000001,$E$5240,0.000000001))*$I$3644)</f>
        <v/>
      </c>
      <c r="E5276" s="19">
        <f>0.5*$E$5240+0.5*$Z$5293</f>
        <v/>
      </c>
      <c r="F5276" s="19">
        <f>$Z$5294</f>
        <v/>
      </c>
    </row>
    <row r="5277">
      <c r="D5277" s="19">
        <f>IF(ABS(IF(ABS($E$5241)&gt;0.000000001,$E$5241,0.000000001))=0,0,IF($E$3645&lt;=$B$3633,0,IF(ABS(IF(ABS($E$5241)&gt;0.000000001,$E$5241,0.000000001))&gt;=8*$B$3635,$H$3645,0.5*$H$3645*(ABS(IF(ABS($E$5241)&gt;0.000000001,$E$5241,0.000000001))/$B$3635)^(1/3)))/ABS(IF(ABS($E$5241)&gt;0.000000001,$E$5241,0.000000001))*$I$3645)</f>
        <v/>
      </c>
      <c r="E5277" s="19">
        <f>0.5*$E$5241+0.5*$Z$5295</f>
        <v/>
      </c>
      <c r="F5277" s="19">
        <f>$Z$5296</f>
        <v/>
      </c>
    </row>
    <row r="5278">
      <c r="D5278" s="19">
        <f>IF(ABS(IF(ABS($E$5242)&gt;0.000000001,$E$5242,0.000000001))=0,0,IF($E$3646&lt;=$B$3633,0,IF(ABS(IF(ABS($E$5242)&gt;0.000000001,$E$5242,0.000000001))&gt;=8*$B$3635,$H$3646,0.5*$H$3646*(ABS(IF(ABS($E$5242)&gt;0.000000001,$E$5242,0.000000001))/$B$3635)^(1/3)))/ABS(IF(ABS($E$5242)&gt;0.000000001,$E$5242,0.000000001))*$I$3646)</f>
        <v/>
      </c>
      <c r="E5278" s="19">
        <f>0.5*$E$5242+0.5*$Z$5297</f>
        <v/>
      </c>
      <c r="F5278" s="19">
        <f>$Z$5298</f>
        <v/>
      </c>
    </row>
    <row r="5279">
      <c r="D5279" s="19">
        <f>IF(ABS(IF(ABS($E$5243)&gt;0.000000001,$E$5243,0.000000001))=0,0,IF($E$3647&lt;=$B$3633,0,IF(ABS(IF(ABS($E$5243)&gt;0.000000001,$E$5243,0.000000001))&gt;=8*$B$3635,$H$3647,0.5*$H$3647*(ABS(IF(ABS($E$5243)&gt;0.000000001,$E$5243,0.000000001))/$B$3635)^(1/3)))/ABS(IF(ABS($E$5243)&gt;0.000000001,$E$5243,0.000000001))*$I$3647)</f>
        <v/>
      </c>
      <c r="E5279" s="19">
        <f>0.5*$E$5243+0.5*$Z$5299</f>
        <v/>
      </c>
      <c r="F5279" s="19">
        <f>$Z$5300</f>
        <v/>
      </c>
    </row>
    <row r="5280">
      <c r="D5280" s="19">
        <f>IF(ABS(IF(ABS($E$5244)&gt;0.000000001,$E$5244,0.000000001))=0,0,IF($E$3648&lt;=$B$3633,0,IF(ABS(IF(ABS($E$5244)&gt;0.000000001,$E$5244,0.000000001))&gt;=8*$B$3635,$H$3648,0.5*$H$3648*(ABS(IF(ABS($E$5244)&gt;0.000000001,$E$5244,0.000000001))/$B$3635)^(1/3)))/ABS(IF(ABS($E$5244)&gt;0.000000001,$E$5244,0.000000001))*$I$3648)</f>
        <v/>
      </c>
      <c r="E5280" s="19">
        <f>0.5*$E$5244+0.5*$Z$5301</f>
        <v/>
      </c>
      <c r="F5280" s="19">
        <f>$Z$5302</f>
        <v/>
      </c>
    </row>
    <row r="5281">
      <c r="D5281" s="19">
        <f>IF(ABS(IF(ABS($E$5245)&gt;0.000000001,$E$5245,0.000000001))=0,0,IF($E$3649&lt;=$B$3633,0,IF(ABS(IF(ABS($E$5245)&gt;0.000000001,$E$5245,0.000000001))&gt;=8*$B$3635,$H$3649,0.5*$H$3649*(ABS(IF(ABS($E$5245)&gt;0.000000001,$E$5245,0.000000001))/$B$3635)^(1/3)))/ABS(IF(ABS($E$5245)&gt;0.000000001,$E$5245,0.000000001))*$I$3649)</f>
        <v/>
      </c>
      <c r="E5281" s="19">
        <f>0.5*$E$5245+0.5*$Z$5303</f>
        <v/>
      </c>
      <c r="F5281" s="19">
        <f>$Z$5304</f>
        <v/>
      </c>
    </row>
    <row r="5283">
      <c r="D5283" s="21">
        <f>$B$3624+$D$5271</f>
        <v/>
      </c>
      <c r="E5283" s="21">
        <f>$B$3625</f>
        <v/>
      </c>
      <c r="F5283" s="21">
        <f>-$B$3624</f>
        <v/>
      </c>
      <c r="G5283" s="21">
        <f>$B$3625</f>
        <v/>
      </c>
      <c r="H5283" s="21" t="n">
        <v>0</v>
      </c>
      <c r="I5283" s="21" t="n">
        <v>0</v>
      </c>
      <c r="J5283" s="21" t="n">
        <v>0</v>
      </c>
      <c r="K5283" s="21" t="n">
        <v>0</v>
      </c>
      <c r="L5283" s="21" t="n">
        <v>0</v>
      </c>
      <c r="M5283" s="21" t="n">
        <v>0</v>
      </c>
      <c r="N5283" s="21" t="n">
        <v>0</v>
      </c>
      <c r="O5283" s="21" t="n">
        <v>0</v>
      </c>
      <c r="P5283" s="21" t="n">
        <v>0</v>
      </c>
      <c r="Q5283" s="21" t="n">
        <v>0</v>
      </c>
      <c r="R5283" s="21" t="n">
        <v>0</v>
      </c>
      <c r="S5283" s="21" t="n">
        <v>0</v>
      </c>
      <c r="T5283" s="21" t="n">
        <v>0</v>
      </c>
      <c r="U5283" s="21" t="n">
        <v>0</v>
      </c>
      <c r="V5283" s="21" t="n">
        <v>0</v>
      </c>
      <c r="W5283" s="21" t="n">
        <v>0</v>
      </c>
      <c r="X5283" s="21" t="n">
        <v>0</v>
      </c>
      <c r="Y5283" s="21" t="n">
        <v>0</v>
      </c>
      <c r="Z5283" s="19">
        <f t="array" ref="Z5283:Z5304">MMULT(MINVERSE($D$5283:$Y$5304),$D$3651:$D$3672)</f>
        <v/>
      </c>
    </row>
    <row r="5284">
      <c r="D5284" s="21">
        <f>$B$3625</f>
        <v/>
      </c>
      <c r="E5284" s="21">
        <f>$B$3626</f>
        <v/>
      </c>
      <c r="F5284" s="21">
        <f>-$B$3625</f>
        <v/>
      </c>
      <c r="G5284" s="21">
        <f>$B$3627</f>
        <v/>
      </c>
      <c r="H5284" s="21" t="n">
        <v>0</v>
      </c>
      <c r="I5284" s="21" t="n">
        <v>0</v>
      </c>
      <c r="J5284" s="21" t="n">
        <v>0</v>
      </c>
      <c r="K5284" s="21" t="n">
        <v>0</v>
      </c>
      <c r="L5284" s="21" t="n">
        <v>0</v>
      </c>
      <c r="M5284" s="21" t="n">
        <v>0</v>
      </c>
      <c r="N5284" s="21" t="n">
        <v>0</v>
      </c>
      <c r="O5284" s="21" t="n">
        <v>0</v>
      </c>
      <c r="P5284" s="21" t="n">
        <v>0</v>
      </c>
      <c r="Q5284" s="21" t="n">
        <v>0</v>
      </c>
      <c r="R5284" s="21" t="n">
        <v>0</v>
      </c>
      <c r="S5284" s="21" t="n">
        <v>0</v>
      </c>
      <c r="T5284" s="21" t="n">
        <v>0</v>
      </c>
      <c r="U5284" s="21" t="n">
        <v>0</v>
      </c>
      <c r="V5284" s="21" t="n">
        <v>0</v>
      </c>
      <c r="W5284" s="21" t="n">
        <v>0</v>
      </c>
      <c r="X5284" s="21" t="n">
        <v>0</v>
      </c>
      <c r="Y5284" s="21" t="n">
        <v>0</v>
      </c>
      <c r="Z5284" s="19" t="n"/>
    </row>
    <row r="5285">
      <c r="D5285" s="21">
        <f>-$B$3624</f>
        <v/>
      </c>
      <c r="E5285" s="21">
        <f>-$B$3625</f>
        <v/>
      </c>
      <c r="F5285" s="21">
        <f>2*$B$3624+$D$5272</f>
        <v/>
      </c>
      <c r="G5285" s="21">
        <f>0</f>
        <v/>
      </c>
      <c r="H5285" s="21">
        <f>-$B$3624</f>
        <v/>
      </c>
      <c r="I5285" s="21">
        <f>$B$3625</f>
        <v/>
      </c>
      <c r="J5285" s="21" t="n">
        <v>0</v>
      </c>
      <c r="K5285" s="21" t="n">
        <v>0</v>
      </c>
      <c r="L5285" s="21" t="n">
        <v>0</v>
      </c>
      <c r="M5285" s="21" t="n">
        <v>0</v>
      </c>
      <c r="N5285" s="21" t="n">
        <v>0</v>
      </c>
      <c r="O5285" s="21" t="n">
        <v>0</v>
      </c>
      <c r="P5285" s="21" t="n">
        <v>0</v>
      </c>
      <c r="Q5285" s="21" t="n">
        <v>0</v>
      </c>
      <c r="R5285" s="21" t="n">
        <v>0</v>
      </c>
      <c r="S5285" s="21" t="n">
        <v>0</v>
      </c>
      <c r="T5285" s="21" t="n">
        <v>0</v>
      </c>
      <c r="U5285" s="21" t="n">
        <v>0</v>
      </c>
      <c r="V5285" s="21" t="n">
        <v>0</v>
      </c>
      <c r="W5285" s="21" t="n">
        <v>0</v>
      </c>
      <c r="X5285" s="21" t="n">
        <v>0</v>
      </c>
      <c r="Y5285" s="21" t="n">
        <v>0</v>
      </c>
      <c r="Z5285" s="19" t="n"/>
    </row>
    <row r="5286">
      <c r="D5286" s="21">
        <f>$B$3625</f>
        <v/>
      </c>
      <c r="E5286" s="21">
        <f>$B$3627</f>
        <v/>
      </c>
      <c r="F5286" s="21">
        <f>0</f>
        <v/>
      </c>
      <c r="G5286" s="21">
        <f>2*$B$3626</f>
        <v/>
      </c>
      <c r="H5286" s="21">
        <f>-$B$3625</f>
        <v/>
      </c>
      <c r="I5286" s="21">
        <f>$B$3627</f>
        <v/>
      </c>
      <c r="J5286" s="21" t="n">
        <v>0</v>
      </c>
      <c r="K5286" s="21" t="n">
        <v>0</v>
      </c>
      <c r="L5286" s="21" t="n">
        <v>0</v>
      </c>
      <c r="M5286" s="21" t="n">
        <v>0</v>
      </c>
      <c r="N5286" s="21" t="n">
        <v>0</v>
      </c>
      <c r="O5286" s="21" t="n">
        <v>0</v>
      </c>
      <c r="P5286" s="21" t="n">
        <v>0</v>
      </c>
      <c r="Q5286" s="21" t="n">
        <v>0</v>
      </c>
      <c r="R5286" s="21" t="n">
        <v>0</v>
      </c>
      <c r="S5286" s="21" t="n">
        <v>0</v>
      </c>
      <c r="T5286" s="21" t="n">
        <v>0</v>
      </c>
      <c r="U5286" s="21" t="n">
        <v>0</v>
      </c>
      <c r="V5286" s="21" t="n">
        <v>0</v>
      </c>
      <c r="W5286" s="21" t="n">
        <v>0</v>
      </c>
      <c r="X5286" s="21" t="n">
        <v>0</v>
      </c>
      <c r="Y5286" s="21" t="n">
        <v>0</v>
      </c>
      <c r="Z5286" s="19" t="n"/>
    </row>
    <row r="5287">
      <c r="D5287" s="21" t="n">
        <v>0</v>
      </c>
      <c r="E5287" s="21" t="n">
        <v>0</v>
      </c>
      <c r="F5287" s="21">
        <f>-$B$3624</f>
        <v/>
      </c>
      <c r="G5287" s="21">
        <f>-$B$3625</f>
        <v/>
      </c>
      <c r="H5287" s="21">
        <f>2*$B$3624+$D$5273</f>
        <v/>
      </c>
      <c r="I5287" s="21">
        <f>0</f>
        <v/>
      </c>
      <c r="J5287" s="21">
        <f>-$B$3624</f>
        <v/>
      </c>
      <c r="K5287" s="21">
        <f>$B$3625</f>
        <v/>
      </c>
      <c r="L5287" s="21" t="n">
        <v>0</v>
      </c>
      <c r="M5287" s="21" t="n">
        <v>0</v>
      </c>
      <c r="N5287" s="21" t="n">
        <v>0</v>
      </c>
      <c r="O5287" s="21" t="n">
        <v>0</v>
      </c>
      <c r="P5287" s="21" t="n">
        <v>0</v>
      </c>
      <c r="Q5287" s="21" t="n">
        <v>0</v>
      </c>
      <c r="R5287" s="21" t="n">
        <v>0</v>
      </c>
      <c r="S5287" s="21" t="n">
        <v>0</v>
      </c>
      <c r="T5287" s="21" t="n">
        <v>0</v>
      </c>
      <c r="U5287" s="21" t="n">
        <v>0</v>
      </c>
      <c r="V5287" s="21" t="n">
        <v>0</v>
      </c>
      <c r="W5287" s="21" t="n">
        <v>0</v>
      </c>
      <c r="X5287" s="21" t="n">
        <v>0</v>
      </c>
      <c r="Y5287" s="21" t="n">
        <v>0</v>
      </c>
      <c r="Z5287" s="19" t="n"/>
    </row>
    <row r="5288">
      <c r="D5288" s="21" t="n">
        <v>0</v>
      </c>
      <c r="E5288" s="21" t="n">
        <v>0</v>
      </c>
      <c r="F5288" s="21">
        <f>$B$3625</f>
        <v/>
      </c>
      <c r="G5288" s="21">
        <f>$B$3627</f>
        <v/>
      </c>
      <c r="H5288" s="21">
        <f>0</f>
        <v/>
      </c>
      <c r="I5288" s="21">
        <f>2*$B$3626</f>
        <v/>
      </c>
      <c r="J5288" s="21">
        <f>-$B$3625</f>
        <v/>
      </c>
      <c r="K5288" s="21">
        <f>$B$3627</f>
        <v/>
      </c>
      <c r="L5288" s="21" t="n">
        <v>0</v>
      </c>
      <c r="M5288" s="21" t="n">
        <v>0</v>
      </c>
      <c r="N5288" s="21" t="n">
        <v>0</v>
      </c>
      <c r="O5288" s="21" t="n">
        <v>0</v>
      </c>
      <c r="P5288" s="21" t="n">
        <v>0</v>
      </c>
      <c r="Q5288" s="21" t="n">
        <v>0</v>
      </c>
      <c r="R5288" s="21" t="n">
        <v>0</v>
      </c>
      <c r="S5288" s="21" t="n">
        <v>0</v>
      </c>
      <c r="T5288" s="21" t="n">
        <v>0</v>
      </c>
      <c r="U5288" s="21" t="n">
        <v>0</v>
      </c>
      <c r="V5288" s="21" t="n">
        <v>0</v>
      </c>
      <c r="W5288" s="21" t="n">
        <v>0</v>
      </c>
      <c r="X5288" s="21" t="n">
        <v>0</v>
      </c>
      <c r="Y5288" s="21" t="n">
        <v>0</v>
      </c>
      <c r="Z5288" s="19" t="n"/>
    </row>
    <row r="5289">
      <c r="D5289" s="21" t="n">
        <v>0</v>
      </c>
      <c r="E5289" s="21" t="n">
        <v>0</v>
      </c>
      <c r="F5289" s="21" t="n">
        <v>0</v>
      </c>
      <c r="G5289" s="21" t="n">
        <v>0</v>
      </c>
      <c r="H5289" s="21">
        <f>-$B$3624</f>
        <v/>
      </c>
      <c r="I5289" s="21">
        <f>-$B$3625</f>
        <v/>
      </c>
      <c r="J5289" s="21">
        <f>2*$B$3624+$D$5274</f>
        <v/>
      </c>
      <c r="K5289" s="21">
        <f>0</f>
        <v/>
      </c>
      <c r="L5289" s="21">
        <f>-$B$3624</f>
        <v/>
      </c>
      <c r="M5289" s="21">
        <f>$B$3625</f>
        <v/>
      </c>
      <c r="N5289" s="21" t="n">
        <v>0</v>
      </c>
      <c r="O5289" s="21" t="n">
        <v>0</v>
      </c>
      <c r="P5289" s="21" t="n">
        <v>0</v>
      </c>
      <c r="Q5289" s="21" t="n">
        <v>0</v>
      </c>
      <c r="R5289" s="21" t="n">
        <v>0</v>
      </c>
      <c r="S5289" s="21" t="n">
        <v>0</v>
      </c>
      <c r="T5289" s="21" t="n">
        <v>0</v>
      </c>
      <c r="U5289" s="21" t="n">
        <v>0</v>
      </c>
      <c r="V5289" s="21" t="n">
        <v>0</v>
      </c>
      <c r="W5289" s="21" t="n">
        <v>0</v>
      </c>
      <c r="X5289" s="21" t="n">
        <v>0</v>
      </c>
      <c r="Y5289" s="21" t="n">
        <v>0</v>
      </c>
      <c r="Z5289" s="19" t="n"/>
    </row>
    <row r="5290">
      <c r="D5290" s="21" t="n">
        <v>0</v>
      </c>
      <c r="E5290" s="21" t="n">
        <v>0</v>
      </c>
      <c r="F5290" s="21" t="n">
        <v>0</v>
      </c>
      <c r="G5290" s="21" t="n">
        <v>0</v>
      </c>
      <c r="H5290" s="21">
        <f>$B$3625</f>
        <v/>
      </c>
      <c r="I5290" s="21">
        <f>$B$3627</f>
        <v/>
      </c>
      <c r="J5290" s="21">
        <f>0</f>
        <v/>
      </c>
      <c r="K5290" s="21">
        <f>2*$B$3626</f>
        <v/>
      </c>
      <c r="L5290" s="21">
        <f>-$B$3625</f>
        <v/>
      </c>
      <c r="M5290" s="21">
        <f>$B$3627</f>
        <v/>
      </c>
      <c r="N5290" s="21" t="n">
        <v>0</v>
      </c>
      <c r="O5290" s="21" t="n">
        <v>0</v>
      </c>
      <c r="P5290" s="21" t="n">
        <v>0</v>
      </c>
      <c r="Q5290" s="21" t="n">
        <v>0</v>
      </c>
      <c r="R5290" s="21" t="n">
        <v>0</v>
      </c>
      <c r="S5290" s="21" t="n">
        <v>0</v>
      </c>
      <c r="T5290" s="21" t="n">
        <v>0</v>
      </c>
      <c r="U5290" s="21" t="n">
        <v>0</v>
      </c>
      <c r="V5290" s="21" t="n">
        <v>0</v>
      </c>
      <c r="W5290" s="21" t="n">
        <v>0</v>
      </c>
      <c r="X5290" s="21" t="n">
        <v>0</v>
      </c>
      <c r="Y5290" s="21" t="n">
        <v>0</v>
      </c>
      <c r="Z5290" s="19" t="n"/>
    </row>
    <row r="5291">
      <c r="D5291" s="21" t="n">
        <v>0</v>
      </c>
      <c r="E5291" s="21" t="n">
        <v>0</v>
      </c>
      <c r="F5291" s="21" t="n">
        <v>0</v>
      </c>
      <c r="G5291" s="21" t="n">
        <v>0</v>
      </c>
      <c r="H5291" s="21" t="n">
        <v>0</v>
      </c>
      <c r="I5291" s="21" t="n">
        <v>0</v>
      </c>
      <c r="J5291" s="21">
        <f>-$B$3624</f>
        <v/>
      </c>
      <c r="K5291" s="21">
        <f>-$B$3625</f>
        <v/>
      </c>
      <c r="L5291" s="21">
        <f>2*$B$3624+$D$5275</f>
        <v/>
      </c>
      <c r="M5291" s="21">
        <f>0</f>
        <v/>
      </c>
      <c r="N5291" s="21">
        <f>-$B$3624</f>
        <v/>
      </c>
      <c r="O5291" s="21">
        <f>$B$3625</f>
        <v/>
      </c>
      <c r="P5291" s="21" t="n">
        <v>0</v>
      </c>
      <c r="Q5291" s="21" t="n">
        <v>0</v>
      </c>
      <c r="R5291" s="21" t="n">
        <v>0</v>
      </c>
      <c r="S5291" s="21" t="n">
        <v>0</v>
      </c>
      <c r="T5291" s="21" t="n">
        <v>0</v>
      </c>
      <c r="U5291" s="21" t="n">
        <v>0</v>
      </c>
      <c r="V5291" s="21" t="n">
        <v>0</v>
      </c>
      <c r="W5291" s="21" t="n">
        <v>0</v>
      </c>
      <c r="X5291" s="21" t="n">
        <v>0</v>
      </c>
      <c r="Y5291" s="21" t="n">
        <v>0</v>
      </c>
      <c r="Z5291" s="19" t="n"/>
    </row>
    <row r="5292">
      <c r="D5292" s="21" t="n">
        <v>0</v>
      </c>
      <c r="E5292" s="21" t="n">
        <v>0</v>
      </c>
      <c r="F5292" s="21" t="n">
        <v>0</v>
      </c>
      <c r="G5292" s="21" t="n">
        <v>0</v>
      </c>
      <c r="H5292" s="21" t="n">
        <v>0</v>
      </c>
      <c r="I5292" s="21" t="n">
        <v>0</v>
      </c>
      <c r="J5292" s="21">
        <f>$B$3625</f>
        <v/>
      </c>
      <c r="K5292" s="21">
        <f>$B$3627</f>
        <v/>
      </c>
      <c r="L5292" s="21">
        <f>0</f>
        <v/>
      </c>
      <c r="M5292" s="21">
        <f>2*$B$3626</f>
        <v/>
      </c>
      <c r="N5292" s="21">
        <f>-$B$3625</f>
        <v/>
      </c>
      <c r="O5292" s="21">
        <f>$B$3627</f>
        <v/>
      </c>
      <c r="P5292" s="21" t="n">
        <v>0</v>
      </c>
      <c r="Q5292" s="21" t="n">
        <v>0</v>
      </c>
      <c r="R5292" s="21" t="n">
        <v>0</v>
      </c>
      <c r="S5292" s="21" t="n">
        <v>0</v>
      </c>
      <c r="T5292" s="21" t="n">
        <v>0</v>
      </c>
      <c r="U5292" s="21" t="n">
        <v>0</v>
      </c>
      <c r="V5292" s="21" t="n">
        <v>0</v>
      </c>
      <c r="W5292" s="21" t="n">
        <v>0</v>
      </c>
      <c r="X5292" s="21" t="n">
        <v>0</v>
      </c>
      <c r="Y5292" s="21" t="n">
        <v>0</v>
      </c>
      <c r="Z5292" s="19" t="n"/>
    </row>
    <row r="5293">
      <c r="D5293" s="21" t="n">
        <v>0</v>
      </c>
      <c r="E5293" s="21" t="n">
        <v>0</v>
      </c>
      <c r="F5293" s="21" t="n">
        <v>0</v>
      </c>
      <c r="G5293" s="21" t="n">
        <v>0</v>
      </c>
      <c r="H5293" s="21" t="n">
        <v>0</v>
      </c>
      <c r="I5293" s="21" t="n">
        <v>0</v>
      </c>
      <c r="J5293" s="21" t="n">
        <v>0</v>
      </c>
      <c r="K5293" s="21" t="n">
        <v>0</v>
      </c>
      <c r="L5293" s="21">
        <f>-$B$3624</f>
        <v/>
      </c>
      <c r="M5293" s="21">
        <f>-$B$3625</f>
        <v/>
      </c>
      <c r="N5293" s="21">
        <f>2*$B$3624+$D$5276</f>
        <v/>
      </c>
      <c r="O5293" s="21">
        <f>0</f>
        <v/>
      </c>
      <c r="P5293" s="21">
        <f>-$B$3624</f>
        <v/>
      </c>
      <c r="Q5293" s="21">
        <f>$B$3625</f>
        <v/>
      </c>
      <c r="R5293" s="21" t="n">
        <v>0</v>
      </c>
      <c r="S5293" s="21" t="n">
        <v>0</v>
      </c>
      <c r="T5293" s="21" t="n">
        <v>0</v>
      </c>
      <c r="U5293" s="21" t="n">
        <v>0</v>
      </c>
      <c r="V5293" s="21" t="n">
        <v>0</v>
      </c>
      <c r="W5293" s="21" t="n">
        <v>0</v>
      </c>
      <c r="X5293" s="21" t="n">
        <v>0</v>
      </c>
      <c r="Y5293" s="21" t="n">
        <v>0</v>
      </c>
      <c r="Z5293" s="19" t="n"/>
    </row>
    <row r="5294">
      <c r="D5294" s="21" t="n">
        <v>0</v>
      </c>
      <c r="E5294" s="21" t="n">
        <v>0</v>
      </c>
      <c r="F5294" s="21" t="n">
        <v>0</v>
      </c>
      <c r="G5294" s="21" t="n">
        <v>0</v>
      </c>
      <c r="H5294" s="21" t="n">
        <v>0</v>
      </c>
      <c r="I5294" s="21" t="n">
        <v>0</v>
      </c>
      <c r="J5294" s="21" t="n">
        <v>0</v>
      </c>
      <c r="K5294" s="21" t="n">
        <v>0</v>
      </c>
      <c r="L5294" s="21">
        <f>$B$3625</f>
        <v/>
      </c>
      <c r="M5294" s="21">
        <f>$B$3627</f>
        <v/>
      </c>
      <c r="N5294" s="21">
        <f>0</f>
        <v/>
      </c>
      <c r="O5294" s="21">
        <f>2*$B$3626</f>
        <v/>
      </c>
      <c r="P5294" s="21">
        <f>-$B$3625</f>
        <v/>
      </c>
      <c r="Q5294" s="21">
        <f>$B$3627</f>
        <v/>
      </c>
      <c r="R5294" s="21" t="n">
        <v>0</v>
      </c>
      <c r="S5294" s="21" t="n">
        <v>0</v>
      </c>
      <c r="T5294" s="21" t="n">
        <v>0</v>
      </c>
      <c r="U5294" s="21" t="n">
        <v>0</v>
      </c>
      <c r="V5294" s="21" t="n">
        <v>0</v>
      </c>
      <c r="W5294" s="21" t="n">
        <v>0</v>
      </c>
      <c r="X5294" s="21" t="n">
        <v>0</v>
      </c>
      <c r="Y5294" s="21" t="n">
        <v>0</v>
      </c>
      <c r="Z5294" s="19" t="n"/>
    </row>
    <row r="5295">
      <c r="D5295" s="21" t="n">
        <v>0</v>
      </c>
      <c r="E5295" s="21" t="n">
        <v>0</v>
      </c>
      <c r="F5295" s="21" t="n">
        <v>0</v>
      </c>
      <c r="G5295" s="21" t="n">
        <v>0</v>
      </c>
      <c r="H5295" s="21" t="n">
        <v>0</v>
      </c>
      <c r="I5295" s="21" t="n">
        <v>0</v>
      </c>
      <c r="J5295" s="21" t="n">
        <v>0</v>
      </c>
      <c r="K5295" s="21" t="n">
        <v>0</v>
      </c>
      <c r="L5295" s="21" t="n">
        <v>0</v>
      </c>
      <c r="M5295" s="21" t="n">
        <v>0</v>
      </c>
      <c r="N5295" s="21">
        <f>-$B$3624</f>
        <v/>
      </c>
      <c r="O5295" s="21">
        <f>-$B$3625</f>
        <v/>
      </c>
      <c r="P5295" s="21">
        <f>2*$B$3624+$D$5277</f>
        <v/>
      </c>
      <c r="Q5295" s="21">
        <f>0</f>
        <v/>
      </c>
      <c r="R5295" s="21">
        <f>-$B$3624</f>
        <v/>
      </c>
      <c r="S5295" s="21">
        <f>$B$3625</f>
        <v/>
      </c>
      <c r="T5295" s="21" t="n">
        <v>0</v>
      </c>
      <c r="U5295" s="21" t="n">
        <v>0</v>
      </c>
      <c r="V5295" s="21" t="n">
        <v>0</v>
      </c>
      <c r="W5295" s="21" t="n">
        <v>0</v>
      </c>
      <c r="X5295" s="21" t="n">
        <v>0</v>
      </c>
      <c r="Y5295" s="21" t="n">
        <v>0</v>
      </c>
      <c r="Z5295" s="19" t="n"/>
    </row>
    <row r="5296">
      <c r="D5296" s="21" t="n">
        <v>0</v>
      </c>
      <c r="E5296" s="21" t="n">
        <v>0</v>
      </c>
      <c r="F5296" s="21" t="n">
        <v>0</v>
      </c>
      <c r="G5296" s="21" t="n">
        <v>0</v>
      </c>
      <c r="H5296" s="21" t="n">
        <v>0</v>
      </c>
      <c r="I5296" s="21" t="n">
        <v>0</v>
      </c>
      <c r="J5296" s="21" t="n">
        <v>0</v>
      </c>
      <c r="K5296" s="21" t="n">
        <v>0</v>
      </c>
      <c r="L5296" s="21" t="n">
        <v>0</v>
      </c>
      <c r="M5296" s="21" t="n">
        <v>0</v>
      </c>
      <c r="N5296" s="21">
        <f>$B$3625</f>
        <v/>
      </c>
      <c r="O5296" s="21">
        <f>$B$3627</f>
        <v/>
      </c>
      <c r="P5296" s="21">
        <f>0</f>
        <v/>
      </c>
      <c r="Q5296" s="21">
        <f>2*$B$3626</f>
        <v/>
      </c>
      <c r="R5296" s="21">
        <f>-$B$3625</f>
        <v/>
      </c>
      <c r="S5296" s="21">
        <f>$B$3627</f>
        <v/>
      </c>
      <c r="T5296" s="21" t="n">
        <v>0</v>
      </c>
      <c r="U5296" s="21" t="n">
        <v>0</v>
      </c>
      <c r="V5296" s="21" t="n">
        <v>0</v>
      </c>
      <c r="W5296" s="21" t="n">
        <v>0</v>
      </c>
      <c r="X5296" s="21" t="n">
        <v>0</v>
      </c>
      <c r="Y5296" s="21" t="n">
        <v>0</v>
      </c>
      <c r="Z5296" s="19" t="n"/>
    </row>
    <row r="5297">
      <c r="D5297" s="21" t="n">
        <v>0</v>
      </c>
      <c r="E5297" s="21" t="n">
        <v>0</v>
      </c>
      <c r="F5297" s="21" t="n">
        <v>0</v>
      </c>
      <c r="G5297" s="21" t="n">
        <v>0</v>
      </c>
      <c r="H5297" s="21" t="n">
        <v>0</v>
      </c>
      <c r="I5297" s="21" t="n">
        <v>0</v>
      </c>
      <c r="J5297" s="21" t="n">
        <v>0</v>
      </c>
      <c r="K5297" s="21" t="n">
        <v>0</v>
      </c>
      <c r="L5297" s="21" t="n">
        <v>0</v>
      </c>
      <c r="M5297" s="21" t="n">
        <v>0</v>
      </c>
      <c r="N5297" s="21" t="n">
        <v>0</v>
      </c>
      <c r="O5297" s="21" t="n">
        <v>0</v>
      </c>
      <c r="P5297" s="21">
        <f>-$B$3624</f>
        <v/>
      </c>
      <c r="Q5297" s="21">
        <f>-$B$3625</f>
        <v/>
      </c>
      <c r="R5297" s="21">
        <f>2*$B$3624+$D$5278</f>
        <v/>
      </c>
      <c r="S5297" s="21">
        <f>0</f>
        <v/>
      </c>
      <c r="T5297" s="21">
        <f>-$B$3624</f>
        <v/>
      </c>
      <c r="U5297" s="21">
        <f>$B$3625</f>
        <v/>
      </c>
      <c r="V5297" s="21" t="n">
        <v>0</v>
      </c>
      <c r="W5297" s="21" t="n">
        <v>0</v>
      </c>
      <c r="X5297" s="21" t="n">
        <v>0</v>
      </c>
      <c r="Y5297" s="21" t="n">
        <v>0</v>
      </c>
      <c r="Z5297" s="19" t="n"/>
    </row>
    <row r="5298">
      <c r="D5298" s="21" t="n">
        <v>0</v>
      </c>
      <c r="E5298" s="21" t="n">
        <v>0</v>
      </c>
      <c r="F5298" s="21" t="n">
        <v>0</v>
      </c>
      <c r="G5298" s="21" t="n">
        <v>0</v>
      </c>
      <c r="H5298" s="21" t="n">
        <v>0</v>
      </c>
      <c r="I5298" s="21" t="n">
        <v>0</v>
      </c>
      <c r="J5298" s="21" t="n">
        <v>0</v>
      </c>
      <c r="K5298" s="21" t="n">
        <v>0</v>
      </c>
      <c r="L5298" s="21" t="n">
        <v>0</v>
      </c>
      <c r="M5298" s="21" t="n">
        <v>0</v>
      </c>
      <c r="N5298" s="21" t="n">
        <v>0</v>
      </c>
      <c r="O5298" s="21" t="n">
        <v>0</v>
      </c>
      <c r="P5298" s="21">
        <f>$B$3625</f>
        <v/>
      </c>
      <c r="Q5298" s="21">
        <f>$B$3627</f>
        <v/>
      </c>
      <c r="R5298" s="21">
        <f>0</f>
        <v/>
      </c>
      <c r="S5298" s="21">
        <f>2*$B$3626</f>
        <v/>
      </c>
      <c r="T5298" s="21">
        <f>-$B$3625</f>
        <v/>
      </c>
      <c r="U5298" s="21">
        <f>$B$3627</f>
        <v/>
      </c>
      <c r="V5298" s="21" t="n">
        <v>0</v>
      </c>
      <c r="W5298" s="21" t="n">
        <v>0</v>
      </c>
      <c r="X5298" s="21" t="n">
        <v>0</v>
      </c>
      <c r="Y5298" s="21" t="n">
        <v>0</v>
      </c>
      <c r="Z5298" s="19" t="n"/>
    </row>
    <row r="5299">
      <c r="D5299" s="21" t="n">
        <v>0</v>
      </c>
      <c r="E5299" s="21" t="n">
        <v>0</v>
      </c>
      <c r="F5299" s="21" t="n">
        <v>0</v>
      </c>
      <c r="G5299" s="21" t="n">
        <v>0</v>
      </c>
      <c r="H5299" s="21" t="n">
        <v>0</v>
      </c>
      <c r="I5299" s="21" t="n">
        <v>0</v>
      </c>
      <c r="J5299" s="21" t="n">
        <v>0</v>
      </c>
      <c r="K5299" s="21" t="n">
        <v>0</v>
      </c>
      <c r="L5299" s="21" t="n">
        <v>0</v>
      </c>
      <c r="M5299" s="21" t="n">
        <v>0</v>
      </c>
      <c r="N5299" s="21" t="n">
        <v>0</v>
      </c>
      <c r="O5299" s="21" t="n">
        <v>0</v>
      </c>
      <c r="P5299" s="21" t="n">
        <v>0</v>
      </c>
      <c r="Q5299" s="21" t="n">
        <v>0</v>
      </c>
      <c r="R5299" s="21">
        <f>-$B$3624</f>
        <v/>
      </c>
      <c r="S5299" s="21">
        <f>-$B$3625</f>
        <v/>
      </c>
      <c r="T5299" s="21">
        <f>2*$B$3624+$D$5279</f>
        <v/>
      </c>
      <c r="U5299" s="21">
        <f>0</f>
        <v/>
      </c>
      <c r="V5299" s="21">
        <f>-$B$3624</f>
        <v/>
      </c>
      <c r="W5299" s="21">
        <f>$B$3625</f>
        <v/>
      </c>
      <c r="X5299" s="21" t="n">
        <v>0</v>
      </c>
      <c r="Y5299" s="21" t="n">
        <v>0</v>
      </c>
      <c r="Z5299" s="19" t="n"/>
    </row>
    <row r="5300">
      <c r="D5300" s="21" t="n">
        <v>0</v>
      </c>
      <c r="E5300" s="21" t="n">
        <v>0</v>
      </c>
      <c r="F5300" s="21" t="n">
        <v>0</v>
      </c>
      <c r="G5300" s="21" t="n">
        <v>0</v>
      </c>
      <c r="H5300" s="21" t="n">
        <v>0</v>
      </c>
      <c r="I5300" s="21" t="n">
        <v>0</v>
      </c>
      <c r="J5300" s="21" t="n">
        <v>0</v>
      </c>
      <c r="K5300" s="21" t="n">
        <v>0</v>
      </c>
      <c r="L5300" s="21" t="n">
        <v>0</v>
      </c>
      <c r="M5300" s="21" t="n">
        <v>0</v>
      </c>
      <c r="N5300" s="21" t="n">
        <v>0</v>
      </c>
      <c r="O5300" s="21" t="n">
        <v>0</v>
      </c>
      <c r="P5300" s="21" t="n">
        <v>0</v>
      </c>
      <c r="Q5300" s="21" t="n">
        <v>0</v>
      </c>
      <c r="R5300" s="21">
        <f>$B$3625</f>
        <v/>
      </c>
      <c r="S5300" s="21">
        <f>$B$3627</f>
        <v/>
      </c>
      <c r="T5300" s="21">
        <f>0</f>
        <v/>
      </c>
      <c r="U5300" s="21">
        <f>2*$B$3626</f>
        <v/>
      </c>
      <c r="V5300" s="21">
        <f>-$B$3625</f>
        <v/>
      </c>
      <c r="W5300" s="21">
        <f>$B$3627</f>
        <v/>
      </c>
      <c r="X5300" s="21" t="n">
        <v>0</v>
      </c>
      <c r="Y5300" s="21" t="n">
        <v>0</v>
      </c>
      <c r="Z5300" s="19" t="n"/>
    </row>
    <row r="5301">
      <c r="D5301" s="21" t="n">
        <v>0</v>
      </c>
      <c r="E5301" s="21" t="n">
        <v>0</v>
      </c>
      <c r="F5301" s="21" t="n">
        <v>0</v>
      </c>
      <c r="G5301" s="21" t="n">
        <v>0</v>
      </c>
      <c r="H5301" s="21" t="n">
        <v>0</v>
      </c>
      <c r="I5301" s="21" t="n">
        <v>0</v>
      </c>
      <c r="J5301" s="21" t="n">
        <v>0</v>
      </c>
      <c r="K5301" s="21" t="n">
        <v>0</v>
      </c>
      <c r="L5301" s="21" t="n">
        <v>0</v>
      </c>
      <c r="M5301" s="21" t="n">
        <v>0</v>
      </c>
      <c r="N5301" s="21" t="n">
        <v>0</v>
      </c>
      <c r="O5301" s="21" t="n">
        <v>0</v>
      </c>
      <c r="P5301" s="21" t="n">
        <v>0</v>
      </c>
      <c r="Q5301" s="21" t="n">
        <v>0</v>
      </c>
      <c r="R5301" s="21" t="n">
        <v>0</v>
      </c>
      <c r="S5301" s="21" t="n">
        <v>0</v>
      </c>
      <c r="T5301" s="21">
        <f>-$B$3624</f>
        <v/>
      </c>
      <c r="U5301" s="21">
        <f>-$B$3625</f>
        <v/>
      </c>
      <c r="V5301" s="21">
        <f>2*$B$3624+$D$5280</f>
        <v/>
      </c>
      <c r="W5301" s="21">
        <f>0</f>
        <v/>
      </c>
      <c r="X5301" s="21">
        <f>-$B$3624</f>
        <v/>
      </c>
      <c r="Y5301" s="21">
        <f>$B$3625</f>
        <v/>
      </c>
      <c r="Z5301" s="19" t="n"/>
    </row>
    <row r="5302">
      <c r="D5302" s="21" t="n">
        <v>0</v>
      </c>
      <c r="E5302" s="21" t="n">
        <v>0</v>
      </c>
      <c r="F5302" s="21" t="n">
        <v>0</v>
      </c>
      <c r="G5302" s="21" t="n">
        <v>0</v>
      </c>
      <c r="H5302" s="21" t="n">
        <v>0</v>
      </c>
      <c r="I5302" s="21" t="n">
        <v>0</v>
      </c>
      <c r="J5302" s="21" t="n">
        <v>0</v>
      </c>
      <c r="K5302" s="21" t="n">
        <v>0</v>
      </c>
      <c r="L5302" s="21" t="n">
        <v>0</v>
      </c>
      <c r="M5302" s="21" t="n">
        <v>0</v>
      </c>
      <c r="N5302" s="21" t="n">
        <v>0</v>
      </c>
      <c r="O5302" s="21" t="n">
        <v>0</v>
      </c>
      <c r="P5302" s="21" t="n">
        <v>0</v>
      </c>
      <c r="Q5302" s="21" t="n">
        <v>0</v>
      </c>
      <c r="R5302" s="21" t="n">
        <v>0</v>
      </c>
      <c r="S5302" s="21" t="n">
        <v>0</v>
      </c>
      <c r="T5302" s="21">
        <f>$B$3625</f>
        <v/>
      </c>
      <c r="U5302" s="21">
        <f>$B$3627</f>
        <v/>
      </c>
      <c r="V5302" s="21">
        <f>0</f>
        <v/>
      </c>
      <c r="W5302" s="21">
        <f>2*$B$3626</f>
        <v/>
      </c>
      <c r="X5302" s="21">
        <f>-$B$3625</f>
        <v/>
      </c>
      <c r="Y5302" s="21">
        <f>$B$3627</f>
        <v/>
      </c>
      <c r="Z5302" s="19" t="n"/>
    </row>
    <row r="5303">
      <c r="D5303" s="21" t="n">
        <v>0</v>
      </c>
      <c r="E5303" s="21" t="n">
        <v>0</v>
      </c>
      <c r="F5303" s="21" t="n">
        <v>0</v>
      </c>
      <c r="G5303" s="21" t="n">
        <v>0</v>
      </c>
      <c r="H5303" s="21" t="n">
        <v>0</v>
      </c>
      <c r="I5303" s="21" t="n">
        <v>0</v>
      </c>
      <c r="J5303" s="21" t="n">
        <v>0</v>
      </c>
      <c r="K5303" s="21" t="n">
        <v>0</v>
      </c>
      <c r="L5303" s="21" t="n">
        <v>0</v>
      </c>
      <c r="M5303" s="21" t="n">
        <v>0</v>
      </c>
      <c r="N5303" s="21" t="n">
        <v>0</v>
      </c>
      <c r="O5303" s="21" t="n">
        <v>0</v>
      </c>
      <c r="P5303" s="21" t="n">
        <v>0</v>
      </c>
      <c r="Q5303" s="21" t="n">
        <v>0</v>
      </c>
      <c r="R5303" s="21" t="n">
        <v>0</v>
      </c>
      <c r="S5303" s="21" t="n">
        <v>0</v>
      </c>
      <c r="T5303" s="21" t="n">
        <v>0</v>
      </c>
      <c r="U5303" s="21" t="n">
        <v>0</v>
      </c>
      <c r="V5303" s="21">
        <f>-$B$3624</f>
        <v/>
      </c>
      <c r="W5303" s="21">
        <f>-$B$3625</f>
        <v/>
      </c>
      <c r="X5303" s="21">
        <f>$B$3624+$D$5281</f>
        <v/>
      </c>
      <c r="Y5303" s="21">
        <f>-$B$3625</f>
        <v/>
      </c>
      <c r="Z5303" s="19" t="n"/>
    </row>
    <row r="5304">
      <c r="D5304" s="21" t="n">
        <v>0</v>
      </c>
      <c r="E5304" s="21" t="n">
        <v>0</v>
      </c>
      <c r="F5304" s="21" t="n">
        <v>0</v>
      </c>
      <c r="G5304" s="21" t="n">
        <v>0</v>
      </c>
      <c r="H5304" s="21" t="n">
        <v>0</v>
      </c>
      <c r="I5304" s="21" t="n">
        <v>0</v>
      </c>
      <c r="J5304" s="21" t="n">
        <v>0</v>
      </c>
      <c r="K5304" s="21" t="n">
        <v>0</v>
      </c>
      <c r="L5304" s="21" t="n">
        <v>0</v>
      </c>
      <c r="M5304" s="21" t="n">
        <v>0</v>
      </c>
      <c r="N5304" s="21" t="n">
        <v>0</v>
      </c>
      <c r="O5304" s="21" t="n">
        <v>0</v>
      </c>
      <c r="P5304" s="21" t="n">
        <v>0</v>
      </c>
      <c r="Q5304" s="21" t="n">
        <v>0</v>
      </c>
      <c r="R5304" s="21" t="n">
        <v>0</v>
      </c>
      <c r="S5304" s="21" t="n">
        <v>0</v>
      </c>
      <c r="T5304" s="21" t="n">
        <v>0</v>
      </c>
      <c r="U5304" s="21" t="n">
        <v>0</v>
      </c>
      <c r="V5304" s="21">
        <f>$B$3625</f>
        <v/>
      </c>
      <c r="W5304" s="21">
        <f>$B$3627</f>
        <v/>
      </c>
      <c r="X5304" s="21">
        <f>-$B$3625</f>
        <v/>
      </c>
      <c r="Y5304" s="21">
        <f>$B$3626</f>
        <v/>
      </c>
      <c r="Z5304" s="19" t="n"/>
    </row>
    <row r="5307">
      <c r="D5307" s="18" t="inlineStr">
        <is>
          <t>e</t>
        </is>
      </c>
      <c r="E5307" s="18" t="inlineStr">
        <is>
          <t>y_e</t>
        </is>
      </c>
      <c r="F5307" s="18" t="inlineStr">
        <is>
          <t>theta_e</t>
        </is>
      </c>
      <c r="G5307" s="18" t="inlineStr">
        <is>
          <t>y_e+1</t>
        </is>
      </c>
      <c r="H5307" s="18" t="inlineStr">
        <is>
          <t>theta_e+1</t>
        </is>
      </c>
      <c r="I5307" s="18" t="inlineStr">
        <is>
          <t>fe1</t>
        </is>
      </c>
      <c r="J5307" s="18" t="inlineStr">
        <is>
          <t>fe3</t>
        </is>
      </c>
      <c r="K5307" s="18" t="inlineStr">
        <is>
          <t>M (kN*m)</t>
        </is>
      </c>
    </row>
    <row r="5308">
      <c r="D5308" t="n">
        <v>0</v>
      </c>
      <c r="E5308" s="19">
        <f>$E$5271</f>
        <v/>
      </c>
      <c r="F5308" s="19">
        <f>$F$5271</f>
        <v/>
      </c>
      <c r="G5308" s="19">
        <f>$E$5272</f>
        <v/>
      </c>
      <c r="H5308" s="19">
        <f>$F$5272</f>
        <v/>
      </c>
      <c r="I5308" s="19">
        <f>$B$3625*$E$5308+$B$3626*$F$5308-$B$3625*$G$5308+$B$3627*$H$5308</f>
        <v/>
      </c>
      <c r="J5308" s="19">
        <f>$B$3625*$E$5308+$B$3627*$F$5308-$B$3625*$G$5308+$B$3626*$H$5308</f>
        <v/>
      </c>
      <c r="K5308" s="21">
        <f>-$I$5308</f>
        <v/>
      </c>
    </row>
    <row r="5309">
      <c r="D5309" t="n">
        <v>1</v>
      </c>
      <c r="E5309" s="19">
        <f>$E$5272</f>
        <v/>
      </c>
      <c r="F5309" s="19">
        <f>$F$5272</f>
        <v/>
      </c>
      <c r="G5309" s="19">
        <f>$E$5273</f>
        <v/>
      </c>
      <c r="H5309" s="19">
        <f>$F$5273</f>
        <v/>
      </c>
      <c r="I5309" s="19">
        <f>$B$3625*$E$5309+$B$3626*$F$5309-$B$3625*$G$5309+$B$3627*$H$5309</f>
        <v/>
      </c>
      <c r="J5309" s="19">
        <f>$B$3625*$E$5309+$B$3627*$F$5309-$B$3625*$G$5309+$B$3626*$H$5309</f>
        <v/>
      </c>
      <c r="K5309" s="21">
        <f>($J$5308-$I$5309)/2</f>
        <v/>
      </c>
    </row>
    <row r="5310">
      <c r="D5310" t="n">
        <v>2</v>
      </c>
      <c r="E5310" s="19">
        <f>$E$5273</f>
        <v/>
      </c>
      <c r="F5310" s="19">
        <f>$F$5273</f>
        <v/>
      </c>
      <c r="G5310" s="19">
        <f>$E$5274</f>
        <v/>
      </c>
      <c r="H5310" s="19">
        <f>$F$5274</f>
        <v/>
      </c>
      <c r="I5310" s="19">
        <f>$B$3625*$E$5310+$B$3626*$F$5310-$B$3625*$G$5310+$B$3627*$H$5310</f>
        <v/>
      </c>
      <c r="J5310" s="19">
        <f>$B$3625*$E$5310+$B$3627*$F$5310-$B$3625*$G$5310+$B$3626*$H$5310</f>
        <v/>
      </c>
      <c r="K5310" s="21">
        <f>($J$5309-$I$5310)/2</f>
        <v/>
      </c>
    </row>
    <row r="5311">
      <c r="D5311" t="n">
        <v>3</v>
      </c>
      <c r="E5311" s="19">
        <f>$E$5274</f>
        <v/>
      </c>
      <c r="F5311" s="19">
        <f>$F$5274</f>
        <v/>
      </c>
      <c r="G5311" s="19">
        <f>$E$5275</f>
        <v/>
      </c>
      <c r="H5311" s="19">
        <f>$F$5275</f>
        <v/>
      </c>
      <c r="I5311" s="19">
        <f>$B$3625*$E$5311+$B$3626*$F$5311-$B$3625*$G$5311+$B$3627*$H$5311</f>
        <v/>
      </c>
      <c r="J5311" s="19">
        <f>$B$3625*$E$5311+$B$3627*$F$5311-$B$3625*$G$5311+$B$3626*$H$5311</f>
        <v/>
      </c>
      <c r="K5311" s="21">
        <f>($J$5310-$I$5311)/2</f>
        <v/>
      </c>
    </row>
    <row r="5312">
      <c r="D5312" t="n">
        <v>4</v>
      </c>
      <c r="E5312" s="19">
        <f>$E$5275</f>
        <v/>
      </c>
      <c r="F5312" s="19">
        <f>$F$5275</f>
        <v/>
      </c>
      <c r="G5312" s="19">
        <f>$E$5276</f>
        <v/>
      </c>
      <c r="H5312" s="19">
        <f>$F$5276</f>
        <v/>
      </c>
      <c r="I5312" s="19">
        <f>$B$3625*$E$5312+$B$3626*$F$5312-$B$3625*$G$5312+$B$3627*$H$5312</f>
        <v/>
      </c>
      <c r="J5312" s="19">
        <f>$B$3625*$E$5312+$B$3627*$F$5312-$B$3625*$G$5312+$B$3626*$H$5312</f>
        <v/>
      </c>
      <c r="K5312" s="21">
        <f>($J$5311-$I$5312)/2</f>
        <v/>
      </c>
    </row>
    <row r="5313">
      <c r="D5313" t="n">
        <v>5</v>
      </c>
      <c r="E5313" s="19">
        <f>$E$5276</f>
        <v/>
      </c>
      <c r="F5313" s="19">
        <f>$F$5276</f>
        <v/>
      </c>
      <c r="G5313" s="19">
        <f>$E$5277</f>
        <v/>
      </c>
      <c r="H5313" s="19">
        <f>$F$5277</f>
        <v/>
      </c>
      <c r="I5313" s="19">
        <f>$B$3625*$E$5313+$B$3626*$F$5313-$B$3625*$G$5313+$B$3627*$H$5313</f>
        <v/>
      </c>
      <c r="J5313" s="19">
        <f>$B$3625*$E$5313+$B$3627*$F$5313-$B$3625*$G$5313+$B$3626*$H$5313</f>
        <v/>
      </c>
      <c r="K5313" s="21">
        <f>($J$5312-$I$5313)/2</f>
        <v/>
      </c>
    </row>
    <row r="5314">
      <c r="D5314" t="n">
        <v>6</v>
      </c>
      <c r="E5314" s="19">
        <f>$E$5277</f>
        <v/>
      </c>
      <c r="F5314" s="19">
        <f>$F$5277</f>
        <v/>
      </c>
      <c r="G5314" s="19">
        <f>$E$5278</f>
        <v/>
      </c>
      <c r="H5314" s="19">
        <f>$F$5278</f>
        <v/>
      </c>
      <c r="I5314" s="19">
        <f>$B$3625*$E$5314+$B$3626*$F$5314-$B$3625*$G$5314+$B$3627*$H$5314</f>
        <v/>
      </c>
      <c r="J5314" s="19">
        <f>$B$3625*$E$5314+$B$3627*$F$5314-$B$3625*$G$5314+$B$3626*$H$5314</f>
        <v/>
      </c>
      <c r="K5314" s="21">
        <f>($J$5313-$I$5314)/2</f>
        <v/>
      </c>
    </row>
    <row r="5315">
      <c r="D5315" t="n">
        <v>7</v>
      </c>
      <c r="E5315" s="19">
        <f>$E$5278</f>
        <v/>
      </c>
      <c r="F5315" s="19">
        <f>$F$5278</f>
        <v/>
      </c>
      <c r="G5315" s="19">
        <f>$E$5279</f>
        <v/>
      </c>
      <c r="H5315" s="19">
        <f>$F$5279</f>
        <v/>
      </c>
      <c r="I5315" s="19">
        <f>$B$3625*$E$5315+$B$3626*$F$5315-$B$3625*$G$5315+$B$3627*$H$5315</f>
        <v/>
      </c>
      <c r="J5315" s="19">
        <f>$B$3625*$E$5315+$B$3627*$F$5315-$B$3625*$G$5315+$B$3626*$H$5315</f>
        <v/>
      </c>
      <c r="K5315" s="21">
        <f>($J$5314-$I$5315)/2</f>
        <v/>
      </c>
    </row>
    <row r="5316">
      <c r="D5316" t="n">
        <v>8</v>
      </c>
      <c r="E5316" s="19">
        <f>$E$5279</f>
        <v/>
      </c>
      <c r="F5316" s="19">
        <f>$F$5279</f>
        <v/>
      </c>
      <c r="G5316" s="19">
        <f>$E$5280</f>
        <v/>
      </c>
      <c r="H5316" s="19">
        <f>$F$5280</f>
        <v/>
      </c>
      <c r="I5316" s="19">
        <f>$B$3625*$E$5316+$B$3626*$F$5316-$B$3625*$G$5316+$B$3627*$H$5316</f>
        <v/>
      </c>
      <c r="J5316" s="19">
        <f>$B$3625*$E$5316+$B$3627*$F$5316-$B$3625*$G$5316+$B$3626*$H$5316</f>
        <v/>
      </c>
      <c r="K5316" s="21">
        <f>($J$5315-$I$5316)/2</f>
        <v/>
      </c>
    </row>
    <row r="5317">
      <c r="D5317" t="n">
        <v>9</v>
      </c>
      <c r="E5317" s="19">
        <f>$E$5280</f>
        <v/>
      </c>
      <c r="F5317" s="19">
        <f>$F$5280</f>
        <v/>
      </c>
      <c r="G5317" s="19">
        <f>$E$5281</f>
        <v/>
      </c>
      <c r="H5317" s="19">
        <f>$F$5281</f>
        <v/>
      </c>
      <c r="I5317" s="19">
        <f>$B$3625*$E$5317+$B$3626*$F$5317-$B$3625*$G$5317+$B$3627*$H$5317</f>
        <v/>
      </c>
      <c r="J5317" s="19">
        <f>$B$3625*$E$5317+$B$3627*$F$5317-$B$3625*$G$5317+$B$3626*$H$5317</f>
        <v/>
      </c>
      <c r="K5317" s="21">
        <f>($J$5316-$I$5317)/2</f>
        <v/>
      </c>
    </row>
    <row r="5318">
      <c r="K5318" s="21">
        <f>$J$5317</f>
        <v/>
      </c>
    </row>
    <row r="5320">
      <c r="A5320" s="12" t="inlineStr">
        <is>
          <t>y_gl (mm)</t>
        </is>
      </c>
      <c r="B5320" s="22">
        <f>$E$5271*1000</f>
        <v/>
      </c>
    </row>
    <row r="5321">
      <c r="A5321" s="12" t="inlineStr">
        <is>
          <t>theta_gl (deg)</t>
        </is>
      </c>
      <c r="B5321" s="23">
        <f>DEGREES($F$5271)</f>
        <v/>
      </c>
    </row>
    <row r="5322">
      <c r="A5322" s="12" t="inlineStr">
        <is>
          <t>M_max (kN*m)</t>
        </is>
      </c>
      <c r="B5322" s="22">
        <f t="array" ref="B5322">MAX(ABS($K$5308:$K$5318))</f>
        <v/>
      </c>
    </row>
    <row r="5325">
      <c r="A5325" s="2" t="inlineStr">
        <is>
          <t>PUSHOVER lambda = 4 (n=10 elements, 45 unrolled iterations)</t>
        </is>
      </c>
    </row>
    <row r="5327">
      <c r="A5327" s="6" t="inlineStr">
        <is>
          <t>V (kN)</t>
        </is>
      </c>
      <c r="B5327" s="20">
        <f>4*'1-Loads'!$D$38</f>
        <v/>
      </c>
      <c r="C5327" s="8" t="inlineStr">
        <is>
          <t>kN</t>
        </is>
      </c>
    </row>
    <row r="5328">
      <c r="A5328" s="6" t="inlineStr">
        <is>
          <t>M (kN*m)</t>
        </is>
      </c>
      <c r="B5328" s="20">
        <f>-4*'1-Loads'!$D$39</f>
        <v/>
      </c>
      <c r="C5328" s="8" t="inlineStr">
        <is>
          <t>kN*m</t>
        </is>
      </c>
    </row>
    <row r="5329">
      <c r="A5329" s="6" t="inlineStr">
        <is>
          <t>D_shaft</t>
        </is>
      </c>
      <c r="B5329" s="20">
        <f>'3-Sizing'!$D$10</f>
        <v/>
      </c>
      <c r="C5329" s="8" t="inlineStr">
        <is>
          <t>m</t>
        </is>
      </c>
    </row>
    <row r="5330">
      <c r="A5330" s="6" t="inlineStr">
        <is>
          <t>t (corroded)</t>
        </is>
      </c>
      <c r="B5330" s="20">
        <f>'7-Corrosion'!$D$19/1000</f>
        <v/>
      </c>
      <c r="C5330" s="8" t="inlineStr">
        <is>
          <t>m</t>
        </is>
      </c>
    </row>
    <row r="5331">
      <c r="A5331" s="6" t="inlineStr">
        <is>
          <t>E, steel</t>
        </is>
      </c>
      <c r="B5331" s="20">
        <f>200000000</f>
        <v/>
      </c>
      <c r="C5331" s="8" t="inlineStr">
        <is>
          <t>kPa</t>
        </is>
      </c>
    </row>
    <row r="5332">
      <c r="A5332" s="6" t="inlineStr">
        <is>
          <t>I (pipe)</t>
        </is>
      </c>
      <c r="B5332" s="20">
        <f>PI()/64*($B$5329^4-($B$5329-2*$B$5330)^4)</f>
        <v/>
      </c>
      <c r="C5332" s="8" t="inlineStr">
        <is>
          <t>m^4</t>
        </is>
      </c>
    </row>
    <row r="5333">
      <c r="A5333" s="6" t="inlineStr">
        <is>
          <t>EI</t>
        </is>
      </c>
      <c r="B5333" s="20">
        <f>$B$5331*$B$5332</f>
        <v/>
      </c>
      <c r="C5333" s="8" t="inlineStr">
        <is>
          <t>kN*m^2</t>
        </is>
      </c>
    </row>
    <row r="5334">
      <c r="A5334" s="6" t="inlineStr">
        <is>
          <t>L, embedded length</t>
        </is>
      </c>
      <c r="B5334" s="20">
        <f>'3-Sizing'!$D$25</f>
        <v/>
      </c>
      <c r="C5334" s="8" t="inlineStr">
        <is>
          <t>m</t>
        </is>
      </c>
    </row>
    <row r="5335">
      <c r="A5335" s="6" t="inlineStr">
        <is>
          <t>n_elements</t>
        </is>
      </c>
      <c r="B5335" s="20" t="n">
        <v>10</v>
      </c>
      <c r="C5335" s="8" t="inlineStr">
        <is>
          <t>-</t>
        </is>
      </c>
    </row>
    <row r="5336">
      <c r="A5336" s="6" t="inlineStr">
        <is>
          <t>h = L/n</t>
        </is>
      </c>
      <c r="B5336" s="20">
        <f>$B$5334/$B$5335</f>
        <v/>
      </c>
      <c r="C5336" s="8" t="inlineStr">
        <is>
          <t>m</t>
        </is>
      </c>
    </row>
    <row r="5337">
      <c r="A5337" s="6" t="inlineStr">
        <is>
          <t>a = 12EI/h^3</t>
        </is>
      </c>
      <c r="B5337" s="20">
        <f>12*$B$5333/$B$5336^3</f>
        <v/>
      </c>
    </row>
    <row r="5338">
      <c r="A5338" s="6" t="inlineStr">
        <is>
          <t>b = 6EI/h^2</t>
        </is>
      </c>
      <c r="B5338" s="20">
        <f>6*$B$5333/$B$5336^2</f>
        <v/>
      </c>
    </row>
    <row r="5339">
      <c r="A5339" s="6" t="inlineStr">
        <is>
          <t>c = 4EI/h</t>
        </is>
      </c>
      <c r="B5339" s="20">
        <f>4*$B$5333/$B$5336</f>
        <v/>
      </c>
    </row>
    <row r="5340">
      <c r="A5340" s="6" t="inlineStr">
        <is>
          <t>d = 2EI/h</t>
        </is>
      </c>
      <c r="B5340" s="20">
        <f>2*$B$5333/$B$5336</f>
        <v/>
      </c>
    </row>
    <row r="5341">
      <c r="A5341" s="6" t="inlineStr">
        <is>
          <t>Su</t>
        </is>
      </c>
      <c r="B5341" s="20">
        <f>'2-Geotech'!$D$15</f>
        <v/>
      </c>
      <c r="C5341" s="8" t="inlineStr">
        <is>
          <t>kPa</t>
        </is>
      </c>
    </row>
    <row r="5342">
      <c r="A5342" s="6" t="inlineStr">
        <is>
          <t>gamma</t>
        </is>
      </c>
      <c r="B5342" s="20">
        <f>'2-Geotech'!$D$20</f>
        <v/>
      </c>
      <c r="C5342" s="8" t="inlineStr">
        <is>
          <t>kN/m3</t>
        </is>
      </c>
    </row>
    <row r="5343">
      <c r="A5343" s="6" t="inlineStr">
        <is>
          <t>gamma_sub</t>
        </is>
      </c>
      <c r="B5343" s="20">
        <f>'2-Geotech'!$D$22</f>
        <v/>
      </c>
      <c r="C5343" s="8" t="inlineStr">
        <is>
          <t>kN/m3</t>
        </is>
      </c>
    </row>
    <row r="5344">
      <c r="A5344" s="6" t="inlineStr">
        <is>
          <t>GWT depth</t>
        </is>
      </c>
      <c r="B5344" s="20">
        <f>'2-Geotech'!$D$23</f>
        <v/>
      </c>
      <c r="C5344" s="8" t="inlineStr">
        <is>
          <t>m</t>
        </is>
      </c>
    </row>
    <row r="5345">
      <c r="A5345" s="6" t="inlineStr">
        <is>
          <t>eps50</t>
        </is>
      </c>
      <c r="B5345" s="20">
        <f>'2-Geotech'!$D$18</f>
        <v/>
      </c>
      <c r="C5345" s="8" t="inlineStr">
        <is>
          <t>-</t>
        </is>
      </c>
    </row>
    <row r="5346">
      <c r="A5346" s="6" t="inlineStr">
        <is>
          <t>frost depth</t>
        </is>
      </c>
      <c r="B5346" s="20">
        <f>'2-Geotech'!$D$24</f>
        <v/>
      </c>
      <c r="C5346" s="8" t="inlineStr">
        <is>
          <t>m</t>
        </is>
      </c>
    </row>
    <row r="5347">
      <c r="A5347" s="6" t="inlineStr">
        <is>
          <t>J (Matlock)</t>
        </is>
      </c>
      <c r="B5347" s="20" t="n">
        <v>0.5</v>
      </c>
      <c r="C5347" s="8" t="inlineStr">
        <is>
          <t>-</t>
        </is>
      </c>
    </row>
    <row r="5348">
      <c r="A5348" s="6" t="inlineStr">
        <is>
          <t>y50 = 2.5*eps50*D</t>
        </is>
      </c>
      <c r="B5348" s="20">
        <f>2.5*$B$5345*$B$5329</f>
        <v/>
      </c>
      <c r="C5348" s="8" t="inlineStr">
        <is>
          <t>m</t>
        </is>
      </c>
    </row>
    <row r="5349">
      <c r="A5349" s="6" t="inlineStr">
        <is>
          <t>n_generations (unrolled iterations)</t>
        </is>
      </c>
      <c r="B5349" s="20" t="n">
        <v>45</v>
      </c>
      <c r="C5349" s="8" t="inlineStr">
        <is>
          <t>-</t>
        </is>
      </c>
    </row>
    <row r="5351">
      <c r="D5351" s="18" t="inlineStr">
        <is>
          <t>i</t>
        </is>
      </c>
      <c r="E5351" s="18" t="inlineStr">
        <is>
          <t>z (m)</t>
        </is>
      </c>
      <c r="F5351" s="18" t="inlineStr">
        <is>
          <t>sigma_v (kPa)</t>
        </is>
      </c>
      <c r="G5351" s="18" t="inlineStr">
        <is>
          <t>Np</t>
        </is>
      </c>
      <c r="H5351" s="18" t="inlineStr">
        <is>
          <t>pu (kN/m)</t>
        </is>
      </c>
      <c r="I5351" s="18" t="inlineStr">
        <is>
          <t>trib (m)</t>
        </is>
      </c>
    </row>
    <row r="5352">
      <c r="D5352" t="n">
        <v>0</v>
      </c>
      <c r="E5352" s="19">
        <f>$D$5352*$B$5336</f>
        <v/>
      </c>
      <c r="F5352" s="19">
        <f>IF($E$5352&lt;=$B$5344,$B$5342*$E$5352,$B$5342*$B$5344+$B$5343*($E$5352-$B$5344))</f>
        <v/>
      </c>
      <c r="G5352" s="19">
        <f>MIN(3+$F$5352/$B$5341+$B$5347*$E$5352/$B$5329,9)</f>
        <v/>
      </c>
      <c r="H5352" s="19">
        <f>$G$5352*$B$5341*$B$5329</f>
        <v/>
      </c>
      <c r="I5352" s="19">
        <f>IF(OR($D$5352=0,$D$5352=$B$5335),$B$5336/2,$B$5336)</f>
        <v/>
      </c>
    </row>
    <row r="5353">
      <c r="D5353" t="n">
        <v>1</v>
      </c>
      <c r="E5353" s="19">
        <f>$D$5353*$B$5336</f>
        <v/>
      </c>
      <c r="F5353" s="19">
        <f>IF($E$5353&lt;=$B$5344,$B$5342*$E$5353,$B$5342*$B$5344+$B$5343*($E$5353-$B$5344))</f>
        <v/>
      </c>
      <c r="G5353" s="19">
        <f>MIN(3+$F$5353/$B$5341+$B$5347*$E$5353/$B$5329,9)</f>
        <v/>
      </c>
      <c r="H5353" s="19">
        <f>$G$5353*$B$5341*$B$5329</f>
        <v/>
      </c>
      <c r="I5353" s="19">
        <f>IF(OR($D$5353=0,$D$5353=$B$5335),$B$5336/2,$B$5336)</f>
        <v/>
      </c>
    </row>
    <row r="5354">
      <c r="D5354" t="n">
        <v>2</v>
      </c>
      <c r="E5354" s="19">
        <f>$D$5354*$B$5336</f>
        <v/>
      </c>
      <c r="F5354" s="19">
        <f>IF($E$5354&lt;=$B$5344,$B$5342*$E$5354,$B$5342*$B$5344+$B$5343*($E$5354-$B$5344))</f>
        <v/>
      </c>
      <c r="G5354" s="19">
        <f>MIN(3+$F$5354/$B$5341+$B$5347*$E$5354/$B$5329,9)</f>
        <v/>
      </c>
      <c r="H5354" s="19">
        <f>$G$5354*$B$5341*$B$5329</f>
        <v/>
      </c>
      <c r="I5354" s="19">
        <f>IF(OR($D$5354=0,$D$5354=$B$5335),$B$5336/2,$B$5336)</f>
        <v/>
      </c>
    </row>
    <row r="5355">
      <c r="D5355" t="n">
        <v>3</v>
      </c>
      <c r="E5355" s="19">
        <f>$D$5355*$B$5336</f>
        <v/>
      </c>
      <c r="F5355" s="19">
        <f>IF($E$5355&lt;=$B$5344,$B$5342*$E$5355,$B$5342*$B$5344+$B$5343*($E$5355-$B$5344))</f>
        <v/>
      </c>
      <c r="G5355" s="19">
        <f>MIN(3+$F$5355/$B$5341+$B$5347*$E$5355/$B$5329,9)</f>
        <v/>
      </c>
      <c r="H5355" s="19">
        <f>$G$5355*$B$5341*$B$5329</f>
        <v/>
      </c>
      <c r="I5355" s="19">
        <f>IF(OR($D$5355=0,$D$5355=$B$5335),$B$5336/2,$B$5336)</f>
        <v/>
      </c>
    </row>
    <row r="5356">
      <c r="D5356" t="n">
        <v>4</v>
      </c>
      <c r="E5356" s="19">
        <f>$D$5356*$B$5336</f>
        <v/>
      </c>
      <c r="F5356" s="19">
        <f>IF($E$5356&lt;=$B$5344,$B$5342*$E$5356,$B$5342*$B$5344+$B$5343*($E$5356-$B$5344))</f>
        <v/>
      </c>
      <c r="G5356" s="19">
        <f>MIN(3+$F$5356/$B$5341+$B$5347*$E$5356/$B$5329,9)</f>
        <v/>
      </c>
      <c r="H5356" s="19">
        <f>$G$5356*$B$5341*$B$5329</f>
        <v/>
      </c>
      <c r="I5356" s="19">
        <f>IF(OR($D$5356=0,$D$5356=$B$5335),$B$5336/2,$B$5336)</f>
        <v/>
      </c>
    </row>
    <row r="5357">
      <c r="D5357" t="n">
        <v>5</v>
      </c>
      <c r="E5357" s="19">
        <f>$D$5357*$B$5336</f>
        <v/>
      </c>
      <c r="F5357" s="19">
        <f>IF($E$5357&lt;=$B$5344,$B$5342*$E$5357,$B$5342*$B$5344+$B$5343*($E$5357-$B$5344))</f>
        <v/>
      </c>
      <c r="G5357" s="19">
        <f>MIN(3+$F$5357/$B$5341+$B$5347*$E$5357/$B$5329,9)</f>
        <v/>
      </c>
      <c r="H5357" s="19">
        <f>$G$5357*$B$5341*$B$5329</f>
        <v/>
      </c>
      <c r="I5357" s="19">
        <f>IF(OR($D$5357=0,$D$5357=$B$5335),$B$5336/2,$B$5336)</f>
        <v/>
      </c>
    </row>
    <row r="5358">
      <c r="D5358" t="n">
        <v>6</v>
      </c>
      <c r="E5358" s="19">
        <f>$D$5358*$B$5336</f>
        <v/>
      </c>
      <c r="F5358" s="19">
        <f>IF($E$5358&lt;=$B$5344,$B$5342*$E$5358,$B$5342*$B$5344+$B$5343*($E$5358-$B$5344))</f>
        <v/>
      </c>
      <c r="G5358" s="19">
        <f>MIN(3+$F$5358/$B$5341+$B$5347*$E$5358/$B$5329,9)</f>
        <v/>
      </c>
      <c r="H5358" s="19">
        <f>$G$5358*$B$5341*$B$5329</f>
        <v/>
      </c>
      <c r="I5358" s="19">
        <f>IF(OR($D$5358=0,$D$5358=$B$5335),$B$5336/2,$B$5336)</f>
        <v/>
      </c>
    </row>
    <row r="5359">
      <c r="D5359" t="n">
        <v>7</v>
      </c>
      <c r="E5359" s="19">
        <f>$D$5359*$B$5336</f>
        <v/>
      </c>
      <c r="F5359" s="19">
        <f>IF($E$5359&lt;=$B$5344,$B$5342*$E$5359,$B$5342*$B$5344+$B$5343*($E$5359-$B$5344))</f>
        <v/>
      </c>
      <c r="G5359" s="19">
        <f>MIN(3+$F$5359/$B$5341+$B$5347*$E$5359/$B$5329,9)</f>
        <v/>
      </c>
      <c r="H5359" s="19">
        <f>$G$5359*$B$5341*$B$5329</f>
        <v/>
      </c>
      <c r="I5359" s="19">
        <f>IF(OR($D$5359=0,$D$5359=$B$5335),$B$5336/2,$B$5336)</f>
        <v/>
      </c>
    </row>
    <row r="5360">
      <c r="D5360" t="n">
        <v>8</v>
      </c>
      <c r="E5360" s="19">
        <f>$D$5360*$B$5336</f>
        <v/>
      </c>
      <c r="F5360" s="19">
        <f>IF($E$5360&lt;=$B$5344,$B$5342*$E$5360,$B$5342*$B$5344+$B$5343*($E$5360-$B$5344))</f>
        <v/>
      </c>
      <c r="G5360" s="19">
        <f>MIN(3+$F$5360/$B$5341+$B$5347*$E$5360/$B$5329,9)</f>
        <v/>
      </c>
      <c r="H5360" s="19">
        <f>$G$5360*$B$5341*$B$5329</f>
        <v/>
      </c>
      <c r="I5360" s="19">
        <f>IF(OR($D$5360=0,$D$5360=$B$5335),$B$5336/2,$B$5336)</f>
        <v/>
      </c>
    </row>
    <row r="5361">
      <c r="D5361" t="n">
        <v>9</v>
      </c>
      <c r="E5361" s="19">
        <f>$D$5361*$B$5336</f>
        <v/>
      </c>
      <c r="F5361" s="19">
        <f>IF($E$5361&lt;=$B$5344,$B$5342*$E$5361,$B$5342*$B$5344+$B$5343*($E$5361-$B$5344))</f>
        <v/>
      </c>
      <c r="G5361" s="19">
        <f>MIN(3+$F$5361/$B$5341+$B$5347*$E$5361/$B$5329,9)</f>
        <v/>
      </c>
      <c r="H5361" s="19">
        <f>$G$5361*$B$5341*$B$5329</f>
        <v/>
      </c>
      <c r="I5361" s="19">
        <f>IF(OR($D$5361=0,$D$5361=$B$5335),$B$5336/2,$B$5336)</f>
        <v/>
      </c>
    </row>
    <row r="5362">
      <c r="D5362" t="n">
        <v>10</v>
      </c>
      <c r="E5362" s="19">
        <f>$D$5362*$B$5336</f>
        <v/>
      </c>
      <c r="F5362" s="19">
        <f>IF($E$5362&lt;=$B$5344,$B$5342*$E$5362,$B$5342*$B$5344+$B$5343*($E$5362-$B$5344))</f>
        <v/>
      </c>
      <c r="G5362" s="19">
        <f>MIN(3+$F$5362/$B$5341+$B$5347*$E$5362/$B$5329,9)</f>
        <v/>
      </c>
      <c r="H5362" s="19">
        <f>$G$5362*$B$5341*$B$5329</f>
        <v/>
      </c>
      <c r="I5362" s="19">
        <f>IF(OR($D$5362=0,$D$5362=$B$5335),$B$5336/2,$B$5336)</f>
        <v/>
      </c>
    </row>
    <row r="5364">
      <c r="D5364" s="21">
        <f>$B$5327</f>
        <v/>
      </c>
    </row>
    <row r="5365">
      <c r="D5365" s="21">
        <f>$B$5328</f>
        <v/>
      </c>
    </row>
    <row r="5366">
      <c r="D5366" s="21" t="n">
        <v>0</v>
      </c>
    </row>
    <row r="5367">
      <c r="D5367" s="21" t="n">
        <v>0</v>
      </c>
    </row>
    <row r="5368">
      <c r="D5368" s="21" t="n">
        <v>0</v>
      </c>
    </row>
    <row r="5369">
      <c r="D5369" s="21" t="n">
        <v>0</v>
      </c>
    </row>
    <row r="5370">
      <c r="D5370" s="21" t="n">
        <v>0</v>
      </c>
    </row>
    <row r="5371">
      <c r="D5371" s="21" t="n">
        <v>0</v>
      </c>
    </row>
    <row r="5372">
      <c r="D5372" s="21" t="n">
        <v>0</v>
      </c>
    </row>
    <row r="5373">
      <c r="D5373" s="21" t="n">
        <v>0</v>
      </c>
    </row>
    <row r="5374">
      <c r="D5374" s="21" t="n">
        <v>0</v>
      </c>
    </row>
    <row r="5375">
      <c r="D5375" s="21" t="n">
        <v>0</v>
      </c>
    </row>
    <row r="5376">
      <c r="D5376" s="21" t="n">
        <v>0</v>
      </c>
    </row>
    <row r="5377">
      <c r="D5377" s="21" t="n">
        <v>0</v>
      </c>
    </row>
    <row r="5378">
      <c r="D5378" s="21" t="n">
        <v>0</v>
      </c>
    </row>
    <row r="5379">
      <c r="D5379" s="21" t="n">
        <v>0</v>
      </c>
    </row>
    <row r="5380">
      <c r="D5380" s="21" t="n">
        <v>0</v>
      </c>
    </row>
    <row r="5381">
      <c r="D5381" s="21" t="n">
        <v>0</v>
      </c>
    </row>
    <row r="5382">
      <c r="D5382" s="21" t="n">
        <v>0</v>
      </c>
    </row>
    <row r="5383">
      <c r="D5383" s="21" t="n">
        <v>0</v>
      </c>
    </row>
    <row r="5384">
      <c r="D5384" s="21" t="n">
        <v>0</v>
      </c>
    </row>
    <row r="5385">
      <c r="D5385" s="21" t="n">
        <v>0</v>
      </c>
    </row>
    <row r="5387">
      <c r="A5387" s="8" t="inlineStr">
        <is>
          <t>y seed (gen 0)</t>
        </is>
      </c>
    </row>
    <row r="5388">
      <c r="E5388" s="19" t="n">
        <v>1e-05</v>
      </c>
    </row>
    <row r="5389">
      <c r="E5389" s="19" t="n">
        <v>1e-05</v>
      </c>
    </row>
    <row r="5390">
      <c r="E5390" s="19" t="n">
        <v>1e-05</v>
      </c>
    </row>
    <row r="5391">
      <c r="E5391" s="19" t="n">
        <v>1e-05</v>
      </c>
    </row>
    <row r="5392">
      <c r="E5392" s="19" t="n">
        <v>1e-05</v>
      </c>
    </row>
    <row r="5393">
      <c r="E5393" s="19" t="n">
        <v>1e-05</v>
      </c>
    </row>
    <row r="5394">
      <c r="E5394" s="19" t="n">
        <v>1e-05</v>
      </c>
    </row>
    <row r="5395">
      <c r="E5395" s="19" t="n">
        <v>1e-05</v>
      </c>
    </row>
    <row r="5396">
      <c r="E5396" s="19" t="n">
        <v>1e-05</v>
      </c>
    </row>
    <row r="5397">
      <c r="E5397" s="19" t="n">
        <v>1e-05</v>
      </c>
    </row>
    <row r="5398">
      <c r="E5398" s="19" t="n">
        <v>1e-05</v>
      </c>
    </row>
    <row r="5399">
      <c r="A5399" s="8" t="inlineStr">
        <is>
          <t>gen 1</t>
        </is>
      </c>
    </row>
    <row r="5400">
      <c r="D5400" s="19">
        <f>IF(ABS(IF(ABS($E$5388)&gt;0.000000001,$E$5388,0.000000001))=0,0,IF($E$5352&lt;=$B$5346,0,IF(ABS(IF(ABS($E$5388)&gt;0.000000001,$E$5388,0.000000001))&gt;=8*$B$5348,$H$5352,0.5*$H$5352*(ABS(IF(ABS($E$5388)&gt;0.000000001,$E$5388,0.000000001))/$B$5348)^(1/3)))/ABS(IF(ABS($E$5388)&gt;0.000000001,$E$5388,0.000000001))*$I$5352)</f>
        <v/>
      </c>
      <c r="E5400" s="19">
        <f>0.5*$E$5388+0.5*$Z$5412</f>
        <v/>
      </c>
      <c r="F5400" s="19">
        <f>$Z$5413</f>
        <v/>
      </c>
    </row>
    <row r="5401">
      <c r="D5401" s="19">
        <f>IF(ABS(IF(ABS($E$5389)&gt;0.000000001,$E$5389,0.000000001))=0,0,IF($E$5353&lt;=$B$5346,0,IF(ABS(IF(ABS($E$5389)&gt;0.000000001,$E$5389,0.000000001))&gt;=8*$B$5348,$H$5353,0.5*$H$5353*(ABS(IF(ABS($E$5389)&gt;0.000000001,$E$5389,0.000000001))/$B$5348)^(1/3)))/ABS(IF(ABS($E$5389)&gt;0.000000001,$E$5389,0.000000001))*$I$5353)</f>
        <v/>
      </c>
      <c r="E5401" s="19">
        <f>0.5*$E$5389+0.5*$Z$5414</f>
        <v/>
      </c>
      <c r="F5401" s="19">
        <f>$Z$5415</f>
        <v/>
      </c>
    </row>
    <row r="5402">
      <c r="D5402" s="19">
        <f>IF(ABS(IF(ABS($E$5390)&gt;0.000000001,$E$5390,0.000000001))=0,0,IF($E$5354&lt;=$B$5346,0,IF(ABS(IF(ABS($E$5390)&gt;0.000000001,$E$5390,0.000000001))&gt;=8*$B$5348,$H$5354,0.5*$H$5354*(ABS(IF(ABS($E$5390)&gt;0.000000001,$E$5390,0.000000001))/$B$5348)^(1/3)))/ABS(IF(ABS($E$5390)&gt;0.000000001,$E$5390,0.000000001))*$I$5354)</f>
        <v/>
      </c>
      <c r="E5402" s="19">
        <f>0.5*$E$5390+0.5*$Z$5416</f>
        <v/>
      </c>
      <c r="F5402" s="19">
        <f>$Z$5417</f>
        <v/>
      </c>
    </row>
    <row r="5403">
      <c r="D5403" s="19">
        <f>IF(ABS(IF(ABS($E$5391)&gt;0.000000001,$E$5391,0.000000001))=0,0,IF($E$5355&lt;=$B$5346,0,IF(ABS(IF(ABS($E$5391)&gt;0.000000001,$E$5391,0.000000001))&gt;=8*$B$5348,$H$5355,0.5*$H$5355*(ABS(IF(ABS($E$5391)&gt;0.000000001,$E$5391,0.000000001))/$B$5348)^(1/3)))/ABS(IF(ABS($E$5391)&gt;0.000000001,$E$5391,0.000000001))*$I$5355)</f>
        <v/>
      </c>
      <c r="E5403" s="19">
        <f>0.5*$E$5391+0.5*$Z$5418</f>
        <v/>
      </c>
      <c r="F5403" s="19">
        <f>$Z$5419</f>
        <v/>
      </c>
    </row>
    <row r="5404">
      <c r="D5404" s="19">
        <f>IF(ABS(IF(ABS($E$5392)&gt;0.000000001,$E$5392,0.000000001))=0,0,IF($E$5356&lt;=$B$5346,0,IF(ABS(IF(ABS($E$5392)&gt;0.000000001,$E$5392,0.000000001))&gt;=8*$B$5348,$H$5356,0.5*$H$5356*(ABS(IF(ABS($E$5392)&gt;0.000000001,$E$5392,0.000000001))/$B$5348)^(1/3)))/ABS(IF(ABS($E$5392)&gt;0.000000001,$E$5392,0.000000001))*$I$5356)</f>
        <v/>
      </c>
      <c r="E5404" s="19">
        <f>0.5*$E$5392+0.5*$Z$5420</f>
        <v/>
      </c>
      <c r="F5404" s="19">
        <f>$Z$5421</f>
        <v/>
      </c>
    </row>
    <row r="5405">
      <c r="D5405" s="19">
        <f>IF(ABS(IF(ABS($E$5393)&gt;0.000000001,$E$5393,0.000000001))=0,0,IF($E$5357&lt;=$B$5346,0,IF(ABS(IF(ABS($E$5393)&gt;0.000000001,$E$5393,0.000000001))&gt;=8*$B$5348,$H$5357,0.5*$H$5357*(ABS(IF(ABS($E$5393)&gt;0.000000001,$E$5393,0.000000001))/$B$5348)^(1/3)))/ABS(IF(ABS($E$5393)&gt;0.000000001,$E$5393,0.000000001))*$I$5357)</f>
        <v/>
      </c>
      <c r="E5405" s="19">
        <f>0.5*$E$5393+0.5*$Z$5422</f>
        <v/>
      </c>
      <c r="F5405" s="19">
        <f>$Z$5423</f>
        <v/>
      </c>
    </row>
    <row r="5406">
      <c r="D5406" s="19">
        <f>IF(ABS(IF(ABS($E$5394)&gt;0.000000001,$E$5394,0.000000001))=0,0,IF($E$5358&lt;=$B$5346,0,IF(ABS(IF(ABS($E$5394)&gt;0.000000001,$E$5394,0.000000001))&gt;=8*$B$5348,$H$5358,0.5*$H$5358*(ABS(IF(ABS($E$5394)&gt;0.000000001,$E$5394,0.000000001))/$B$5348)^(1/3)))/ABS(IF(ABS($E$5394)&gt;0.000000001,$E$5394,0.000000001))*$I$5358)</f>
        <v/>
      </c>
      <c r="E5406" s="19">
        <f>0.5*$E$5394+0.5*$Z$5424</f>
        <v/>
      </c>
      <c r="F5406" s="19">
        <f>$Z$5425</f>
        <v/>
      </c>
    </row>
    <row r="5407">
      <c r="D5407" s="19">
        <f>IF(ABS(IF(ABS($E$5395)&gt;0.000000001,$E$5395,0.000000001))=0,0,IF($E$5359&lt;=$B$5346,0,IF(ABS(IF(ABS($E$5395)&gt;0.000000001,$E$5395,0.000000001))&gt;=8*$B$5348,$H$5359,0.5*$H$5359*(ABS(IF(ABS($E$5395)&gt;0.000000001,$E$5395,0.000000001))/$B$5348)^(1/3)))/ABS(IF(ABS($E$5395)&gt;0.000000001,$E$5395,0.000000001))*$I$5359)</f>
        <v/>
      </c>
      <c r="E5407" s="19">
        <f>0.5*$E$5395+0.5*$Z$5426</f>
        <v/>
      </c>
      <c r="F5407" s="19">
        <f>$Z$5427</f>
        <v/>
      </c>
    </row>
    <row r="5408">
      <c r="D5408" s="19">
        <f>IF(ABS(IF(ABS($E$5396)&gt;0.000000001,$E$5396,0.000000001))=0,0,IF($E$5360&lt;=$B$5346,0,IF(ABS(IF(ABS($E$5396)&gt;0.000000001,$E$5396,0.000000001))&gt;=8*$B$5348,$H$5360,0.5*$H$5360*(ABS(IF(ABS($E$5396)&gt;0.000000001,$E$5396,0.000000001))/$B$5348)^(1/3)))/ABS(IF(ABS($E$5396)&gt;0.000000001,$E$5396,0.000000001))*$I$5360)</f>
        <v/>
      </c>
      <c r="E5408" s="19">
        <f>0.5*$E$5396+0.5*$Z$5428</f>
        <v/>
      </c>
      <c r="F5408" s="19">
        <f>$Z$5429</f>
        <v/>
      </c>
    </row>
    <row r="5409">
      <c r="D5409" s="19">
        <f>IF(ABS(IF(ABS($E$5397)&gt;0.000000001,$E$5397,0.000000001))=0,0,IF($E$5361&lt;=$B$5346,0,IF(ABS(IF(ABS($E$5397)&gt;0.000000001,$E$5397,0.000000001))&gt;=8*$B$5348,$H$5361,0.5*$H$5361*(ABS(IF(ABS($E$5397)&gt;0.000000001,$E$5397,0.000000001))/$B$5348)^(1/3)))/ABS(IF(ABS($E$5397)&gt;0.000000001,$E$5397,0.000000001))*$I$5361)</f>
        <v/>
      </c>
      <c r="E5409" s="19">
        <f>0.5*$E$5397+0.5*$Z$5430</f>
        <v/>
      </c>
      <c r="F5409" s="19">
        <f>$Z$5431</f>
        <v/>
      </c>
    </row>
    <row r="5410">
      <c r="D5410" s="19">
        <f>IF(ABS(IF(ABS($E$5398)&gt;0.000000001,$E$5398,0.000000001))=0,0,IF($E$5362&lt;=$B$5346,0,IF(ABS(IF(ABS($E$5398)&gt;0.000000001,$E$5398,0.000000001))&gt;=8*$B$5348,$H$5362,0.5*$H$5362*(ABS(IF(ABS($E$5398)&gt;0.000000001,$E$5398,0.000000001))/$B$5348)^(1/3)))/ABS(IF(ABS($E$5398)&gt;0.000000001,$E$5398,0.000000001))*$I$5362)</f>
        <v/>
      </c>
      <c r="E5410" s="19">
        <f>0.5*$E$5398+0.5*$Z$5432</f>
        <v/>
      </c>
      <c r="F5410" s="19">
        <f>$Z$5433</f>
        <v/>
      </c>
    </row>
    <row r="5412">
      <c r="D5412" s="21">
        <f>$B$5337+$D$5400</f>
        <v/>
      </c>
      <c r="E5412" s="21">
        <f>$B$5338</f>
        <v/>
      </c>
      <c r="F5412" s="21">
        <f>-$B$5337</f>
        <v/>
      </c>
      <c r="G5412" s="21">
        <f>$B$5338</f>
        <v/>
      </c>
      <c r="H5412" s="21" t="n">
        <v>0</v>
      </c>
      <c r="I5412" s="21" t="n">
        <v>0</v>
      </c>
      <c r="J5412" s="21" t="n">
        <v>0</v>
      </c>
      <c r="K5412" s="21" t="n">
        <v>0</v>
      </c>
      <c r="L5412" s="21" t="n">
        <v>0</v>
      </c>
      <c r="M5412" s="21" t="n">
        <v>0</v>
      </c>
      <c r="N5412" s="21" t="n">
        <v>0</v>
      </c>
      <c r="O5412" s="21" t="n">
        <v>0</v>
      </c>
      <c r="P5412" s="21" t="n">
        <v>0</v>
      </c>
      <c r="Q5412" s="21" t="n">
        <v>0</v>
      </c>
      <c r="R5412" s="21" t="n">
        <v>0</v>
      </c>
      <c r="S5412" s="21" t="n">
        <v>0</v>
      </c>
      <c r="T5412" s="21" t="n">
        <v>0</v>
      </c>
      <c r="U5412" s="21" t="n">
        <v>0</v>
      </c>
      <c r="V5412" s="21" t="n">
        <v>0</v>
      </c>
      <c r="W5412" s="21" t="n">
        <v>0</v>
      </c>
      <c r="X5412" s="21" t="n">
        <v>0</v>
      </c>
      <c r="Y5412" s="21" t="n">
        <v>0</v>
      </c>
      <c r="Z5412" s="19">
        <f t="array" ref="Z5412:Z5433">MMULT(MINVERSE($D$5412:$Y$5433),$D$5364:$D$5385)</f>
        <v/>
      </c>
    </row>
    <row r="5413">
      <c r="D5413" s="21">
        <f>$B$5338</f>
        <v/>
      </c>
      <c r="E5413" s="21">
        <f>$B$5339</f>
        <v/>
      </c>
      <c r="F5413" s="21">
        <f>-$B$5338</f>
        <v/>
      </c>
      <c r="G5413" s="21">
        <f>$B$5340</f>
        <v/>
      </c>
      <c r="H5413" s="21" t="n">
        <v>0</v>
      </c>
      <c r="I5413" s="21" t="n">
        <v>0</v>
      </c>
      <c r="J5413" s="21" t="n">
        <v>0</v>
      </c>
      <c r="K5413" s="21" t="n">
        <v>0</v>
      </c>
      <c r="L5413" s="21" t="n">
        <v>0</v>
      </c>
      <c r="M5413" s="21" t="n">
        <v>0</v>
      </c>
      <c r="N5413" s="21" t="n">
        <v>0</v>
      </c>
      <c r="O5413" s="21" t="n">
        <v>0</v>
      </c>
      <c r="P5413" s="21" t="n">
        <v>0</v>
      </c>
      <c r="Q5413" s="21" t="n">
        <v>0</v>
      </c>
      <c r="R5413" s="21" t="n">
        <v>0</v>
      </c>
      <c r="S5413" s="21" t="n">
        <v>0</v>
      </c>
      <c r="T5413" s="21" t="n">
        <v>0</v>
      </c>
      <c r="U5413" s="21" t="n">
        <v>0</v>
      </c>
      <c r="V5413" s="21" t="n">
        <v>0</v>
      </c>
      <c r="W5413" s="21" t="n">
        <v>0</v>
      </c>
      <c r="X5413" s="21" t="n">
        <v>0</v>
      </c>
      <c r="Y5413" s="21" t="n">
        <v>0</v>
      </c>
      <c r="Z5413" s="19" t="n"/>
    </row>
    <row r="5414">
      <c r="D5414" s="21">
        <f>-$B$5337</f>
        <v/>
      </c>
      <c r="E5414" s="21">
        <f>-$B$5338</f>
        <v/>
      </c>
      <c r="F5414" s="21">
        <f>2*$B$5337+$D$5401</f>
        <v/>
      </c>
      <c r="G5414" s="21">
        <f>0</f>
        <v/>
      </c>
      <c r="H5414" s="21">
        <f>-$B$5337</f>
        <v/>
      </c>
      <c r="I5414" s="21">
        <f>$B$5338</f>
        <v/>
      </c>
      <c r="J5414" s="21" t="n">
        <v>0</v>
      </c>
      <c r="K5414" s="21" t="n">
        <v>0</v>
      </c>
      <c r="L5414" s="21" t="n">
        <v>0</v>
      </c>
      <c r="M5414" s="21" t="n">
        <v>0</v>
      </c>
      <c r="N5414" s="21" t="n">
        <v>0</v>
      </c>
      <c r="O5414" s="21" t="n">
        <v>0</v>
      </c>
      <c r="P5414" s="21" t="n">
        <v>0</v>
      </c>
      <c r="Q5414" s="21" t="n">
        <v>0</v>
      </c>
      <c r="R5414" s="21" t="n">
        <v>0</v>
      </c>
      <c r="S5414" s="21" t="n">
        <v>0</v>
      </c>
      <c r="T5414" s="21" t="n">
        <v>0</v>
      </c>
      <c r="U5414" s="21" t="n">
        <v>0</v>
      </c>
      <c r="V5414" s="21" t="n">
        <v>0</v>
      </c>
      <c r="W5414" s="21" t="n">
        <v>0</v>
      </c>
      <c r="X5414" s="21" t="n">
        <v>0</v>
      </c>
      <c r="Y5414" s="21" t="n">
        <v>0</v>
      </c>
      <c r="Z5414" s="19" t="n"/>
    </row>
    <row r="5415">
      <c r="D5415" s="21">
        <f>$B$5338</f>
        <v/>
      </c>
      <c r="E5415" s="21">
        <f>$B$5340</f>
        <v/>
      </c>
      <c r="F5415" s="21">
        <f>0</f>
        <v/>
      </c>
      <c r="G5415" s="21">
        <f>2*$B$5339</f>
        <v/>
      </c>
      <c r="H5415" s="21">
        <f>-$B$5338</f>
        <v/>
      </c>
      <c r="I5415" s="21">
        <f>$B$5340</f>
        <v/>
      </c>
      <c r="J5415" s="21" t="n">
        <v>0</v>
      </c>
      <c r="K5415" s="21" t="n">
        <v>0</v>
      </c>
      <c r="L5415" s="21" t="n">
        <v>0</v>
      </c>
      <c r="M5415" s="21" t="n">
        <v>0</v>
      </c>
      <c r="N5415" s="21" t="n">
        <v>0</v>
      </c>
      <c r="O5415" s="21" t="n">
        <v>0</v>
      </c>
      <c r="P5415" s="21" t="n">
        <v>0</v>
      </c>
      <c r="Q5415" s="21" t="n">
        <v>0</v>
      </c>
      <c r="R5415" s="21" t="n">
        <v>0</v>
      </c>
      <c r="S5415" s="21" t="n">
        <v>0</v>
      </c>
      <c r="T5415" s="21" t="n">
        <v>0</v>
      </c>
      <c r="U5415" s="21" t="n">
        <v>0</v>
      </c>
      <c r="V5415" s="21" t="n">
        <v>0</v>
      </c>
      <c r="W5415" s="21" t="n">
        <v>0</v>
      </c>
      <c r="X5415" s="21" t="n">
        <v>0</v>
      </c>
      <c r="Y5415" s="21" t="n">
        <v>0</v>
      </c>
      <c r="Z5415" s="19" t="n"/>
    </row>
    <row r="5416">
      <c r="D5416" s="21" t="n">
        <v>0</v>
      </c>
      <c r="E5416" s="21" t="n">
        <v>0</v>
      </c>
      <c r="F5416" s="21">
        <f>-$B$5337</f>
        <v/>
      </c>
      <c r="G5416" s="21">
        <f>-$B$5338</f>
        <v/>
      </c>
      <c r="H5416" s="21">
        <f>2*$B$5337+$D$5402</f>
        <v/>
      </c>
      <c r="I5416" s="21">
        <f>0</f>
        <v/>
      </c>
      <c r="J5416" s="21">
        <f>-$B$5337</f>
        <v/>
      </c>
      <c r="K5416" s="21">
        <f>$B$5338</f>
        <v/>
      </c>
      <c r="L5416" s="21" t="n">
        <v>0</v>
      </c>
      <c r="M5416" s="21" t="n">
        <v>0</v>
      </c>
      <c r="N5416" s="21" t="n">
        <v>0</v>
      </c>
      <c r="O5416" s="21" t="n">
        <v>0</v>
      </c>
      <c r="P5416" s="21" t="n">
        <v>0</v>
      </c>
      <c r="Q5416" s="21" t="n">
        <v>0</v>
      </c>
      <c r="R5416" s="21" t="n">
        <v>0</v>
      </c>
      <c r="S5416" s="21" t="n">
        <v>0</v>
      </c>
      <c r="T5416" s="21" t="n">
        <v>0</v>
      </c>
      <c r="U5416" s="21" t="n">
        <v>0</v>
      </c>
      <c r="V5416" s="21" t="n">
        <v>0</v>
      </c>
      <c r="W5416" s="21" t="n">
        <v>0</v>
      </c>
      <c r="X5416" s="21" t="n">
        <v>0</v>
      </c>
      <c r="Y5416" s="21" t="n">
        <v>0</v>
      </c>
      <c r="Z5416" s="19" t="n"/>
    </row>
    <row r="5417">
      <c r="D5417" s="21" t="n">
        <v>0</v>
      </c>
      <c r="E5417" s="21" t="n">
        <v>0</v>
      </c>
      <c r="F5417" s="21">
        <f>$B$5338</f>
        <v/>
      </c>
      <c r="G5417" s="21">
        <f>$B$5340</f>
        <v/>
      </c>
      <c r="H5417" s="21">
        <f>0</f>
        <v/>
      </c>
      <c r="I5417" s="21">
        <f>2*$B$5339</f>
        <v/>
      </c>
      <c r="J5417" s="21">
        <f>-$B$5338</f>
        <v/>
      </c>
      <c r="K5417" s="21">
        <f>$B$5340</f>
        <v/>
      </c>
      <c r="L5417" s="21" t="n">
        <v>0</v>
      </c>
      <c r="M5417" s="21" t="n">
        <v>0</v>
      </c>
      <c r="N5417" s="21" t="n">
        <v>0</v>
      </c>
      <c r="O5417" s="21" t="n">
        <v>0</v>
      </c>
      <c r="P5417" s="21" t="n">
        <v>0</v>
      </c>
      <c r="Q5417" s="21" t="n">
        <v>0</v>
      </c>
      <c r="R5417" s="21" t="n">
        <v>0</v>
      </c>
      <c r="S5417" s="21" t="n">
        <v>0</v>
      </c>
      <c r="T5417" s="21" t="n">
        <v>0</v>
      </c>
      <c r="U5417" s="21" t="n">
        <v>0</v>
      </c>
      <c r="V5417" s="21" t="n">
        <v>0</v>
      </c>
      <c r="W5417" s="21" t="n">
        <v>0</v>
      </c>
      <c r="X5417" s="21" t="n">
        <v>0</v>
      </c>
      <c r="Y5417" s="21" t="n">
        <v>0</v>
      </c>
      <c r="Z5417" s="19" t="n"/>
    </row>
    <row r="5418">
      <c r="D5418" s="21" t="n">
        <v>0</v>
      </c>
      <c r="E5418" s="21" t="n">
        <v>0</v>
      </c>
      <c r="F5418" s="21" t="n">
        <v>0</v>
      </c>
      <c r="G5418" s="21" t="n">
        <v>0</v>
      </c>
      <c r="H5418" s="21">
        <f>-$B$5337</f>
        <v/>
      </c>
      <c r="I5418" s="21">
        <f>-$B$5338</f>
        <v/>
      </c>
      <c r="J5418" s="21">
        <f>2*$B$5337+$D$5403</f>
        <v/>
      </c>
      <c r="K5418" s="21">
        <f>0</f>
        <v/>
      </c>
      <c r="L5418" s="21">
        <f>-$B$5337</f>
        <v/>
      </c>
      <c r="M5418" s="21">
        <f>$B$5338</f>
        <v/>
      </c>
      <c r="N5418" s="21" t="n">
        <v>0</v>
      </c>
      <c r="O5418" s="21" t="n">
        <v>0</v>
      </c>
      <c r="P5418" s="21" t="n">
        <v>0</v>
      </c>
      <c r="Q5418" s="21" t="n">
        <v>0</v>
      </c>
      <c r="R5418" s="21" t="n">
        <v>0</v>
      </c>
      <c r="S5418" s="21" t="n">
        <v>0</v>
      </c>
      <c r="T5418" s="21" t="n">
        <v>0</v>
      </c>
      <c r="U5418" s="21" t="n">
        <v>0</v>
      </c>
      <c r="V5418" s="21" t="n">
        <v>0</v>
      </c>
      <c r="W5418" s="21" t="n">
        <v>0</v>
      </c>
      <c r="X5418" s="21" t="n">
        <v>0</v>
      </c>
      <c r="Y5418" s="21" t="n">
        <v>0</v>
      </c>
      <c r="Z5418" s="19" t="n"/>
    </row>
    <row r="5419">
      <c r="D5419" s="21" t="n">
        <v>0</v>
      </c>
      <c r="E5419" s="21" t="n">
        <v>0</v>
      </c>
      <c r="F5419" s="21" t="n">
        <v>0</v>
      </c>
      <c r="G5419" s="21" t="n">
        <v>0</v>
      </c>
      <c r="H5419" s="21">
        <f>$B$5338</f>
        <v/>
      </c>
      <c r="I5419" s="21">
        <f>$B$5340</f>
        <v/>
      </c>
      <c r="J5419" s="21">
        <f>0</f>
        <v/>
      </c>
      <c r="K5419" s="21">
        <f>2*$B$5339</f>
        <v/>
      </c>
      <c r="L5419" s="21">
        <f>-$B$5338</f>
        <v/>
      </c>
      <c r="M5419" s="21">
        <f>$B$5340</f>
        <v/>
      </c>
      <c r="N5419" s="21" t="n">
        <v>0</v>
      </c>
      <c r="O5419" s="21" t="n">
        <v>0</v>
      </c>
      <c r="P5419" s="21" t="n">
        <v>0</v>
      </c>
      <c r="Q5419" s="21" t="n">
        <v>0</v>
      </c>
      <c r="R5419" s="21" t="n">
        <v>0</v>
      </c>
      <c r="S5419" s="21" t="n">
        <v>0</v>
      </c>
      <c r="T5419" s="21" t="n">
        <v>0</v>
      </c>
      <c r="U5419" s="21" t="n">
        <v>0</v>
      </c>
      <c r="V5419" s="21" t="n">
        <v>0</v>
      </c>
      <c r="W5419" s="21" t="n">
        <v>0</v>
      </c>
      <c r="X5419" s="21" t="n">
        <v>0</v>
      </c>
      <c r="Y5419" s="21" t="n">
        <v>0</v>
      </c>
      <c r="Z5419" s="19" t="n"/>
    </row>
    <row r="5420">
      <c r="D5420" s="21" t="n">
        <v>0</v>
      </c>
      <c r="E5420" s="21" t="n">
        <v>0</v>
      </c>
      <c r="F5420" s="21" t="n">
        <v>0</v>
      </c>
      <c r="G5420" s="21" t="n">
        <v>0</v>
      </c>
      <c r="H5420" s="21" t="n">
        <v>0</v>
      </c>
      <c r="I5420" s="21" t="n">
        <v>0</v>
      </c>
      <c r="J5420" s="21">
        <f>-$B$5337</f>
        <v/>
      </c>
      <c r="K5420" s="21">
        <f>-$B$5338</f>
        <v/>
      </c>
      <c r="L5420" s="21">
        <f>2*$B$5337+$D$5404</f>
        <v/>
      </c>
      <c r="M5420" s="21">
        <f>0</f>
        <v/>
      </c>
      <c r="N5420" s="21">
        <f>-$B$5337</f>
        <v/>
      </c>
      <c r="O5420" s="21">
        <f>$B$5338</f>
        <v/>
      </c>
      <c r="P5420" s="21" t="n">
        <v>0</v>
      </c>
      <c r="Q5420" s="21" t="n">
        <v>0</v>
      </c>
      <c r="R5420" s="21" t="n">
        <v>0</v>
      </c>
      <c r="S5420" s="21" t="n">
        <v>0</v>
      </c>
      <c r="T5420" s="21" t="n">
        <v>0</v>
      </c>
      <c r="U5420" s="21" t="n">
        <v>0</v>
      </c>
      <c r="V5420" s="21" t="n">
        <v>0</v>
      </c>
      <c r="W5420" s="21" t="n">
        <v>0</v>
      </c>
      <c r="X5420" s="21" t="n">
        <v>0</v>
      </c>
      <c r="Y5420" s="21" t="n">
        <v>0</v>
      </c>
      <c r="Z5420" s="19" t="n"/>
    </row>
    <row r="5421">
      <c r="D5421" s="21" t="n">
        <v>0</v>
      </c>
      <c r="E5421" s="21" t="n">
        <v>0</v>
      </c>
      <c r="F5421" s="21" t="n">
        <v>0</v>
      </c>
      <c r="G5421" s="21" t="n">
        <v>0</v>
      </c>
      <c r="H5421" s="21" t="n">
        <v>0</v>
      </c>
      <c r="I5421" s="21" t="n">
        <v>0</v>
      </c>
      <c r="J5421" s="21">
        <f>$B$5338</f>
        <v/>
      </c>
      <c r="K5421" s="21">
        <f>$B$5340</f>
        <v/>
      </c>
      <c r="L5421" s="21">
        <f>0</f>
        <v/>
      </c>
      <c r="M5421" s="21">
        <f>2*$B$5339</f>
        <v/>
      </c>
      <c r="N5421" s="21">
        <f>-$B$5338</f>
        <v/>
      </c>
      <c r="O5421" s="21">
        <f>$B$5340</f>
        <v/>
      </c>
      <c r="P5421" s="21" t="n">
        <v>0</v>
      </c>
      <c r="Q5421" s="21" t="n">
        <v>0</v>
      </c>
      <c r="R5421" s="21" t="n">
        <v>0</v>
      </c>
      <c r="S5421" s="21" t="n">
        <v>0</v>
      </c>
      <c r="T5421" s="21" t="n">
        <v>0</v>
      </c>
      <c r="U5421" s="21" t="n">
        <v>0</v>
      </c>
      <c r="V5421" s="21" t="n">
        <v>0</v>
      </c>
      <c r="W5421" s="21" t="n">
        <v>0</v>
      </c>
      <c r="X5421" s="21" t="n">
        <v>0</v>
      </c>
      <c r="Y5421" s="21" t="n">
        <v>0</v>
      </c>
      <c r="Z5421" s="19" t="n"/>
    </row>
    <row r="5422">
      <c r="D5422" s="21" t="n">
        <v>0</v>
      </c>
      <c r="E5422" s="21" t="n">
        <v>0</v>
      </c>
      <c r="F5422" s="21" t="n">
        <v>0</v>
      </c>
      <c r="G5422" s="21" t="n">
        <v>0</v>
      </c>
      <c r="H5422" s="21" t="n">
        <v>0</v>
      </c>
      <c r="I5422" s="21" t="n">
        <v>0</v>
      </c>
      <c r="J5422" s="21" t="n">
        <v>0</v>
      </c>
      <c r="K5422" s="21" t="n">
        <v>0</v>
      </c>
      <c r="L5422" s="21">
        <f>-$B$5337</f>
        <v/>
      </c>
      <c r="M5422" s="21">
        <f>-$B$5338</f>
        <v/>
      </c>
      <c r="N5422" s="21">
        <f>2*$B$5337+$D$5405</f>
        <v/>
      </c>
      <c r="O5422" s="21">
        <f>0</f>
        <v/>
      </c>
      <c r="P5422" s="21">
        <f>-$B$5337</f>
        <v/>
      </c>
      <c r="Q5422" s="21">
        <f>$B$5338</f>
        <v/>
      </c>
      <c r="R5422" s="21" t="n">
        <v>0</v>
      </c>
      <c r="S5422" s="21" t="n">
        <v>0</v>
      </c>
      <c r="T5422" s="21" t="n">
        <v>0</v>
      </c>
      <c r="U5422" s="21" t="n">
        <v>0</v>
      </c>
      <c r="V5422" s="21" t="n">
        <v>0</v>
      </c>
      <c r="W5422" s="21" t="n">
        <v>0</v>
      </c>
      <c r="X5422" s="21" t="n">
        <v>0</v>
      </c>
      <c r="Y5422" s="21" t="n">
        <v>0</v>
      </c>
      <c r="Z5422" s="19" t="n"/>
    </row>
    <row r="5423">
      <c r="D5423" s="21" t="n">
        <v>0</v>
      </c>
      <c r="E5423" s="21" t="n">
        <v>0</v>
      </c>
      <c r="F5423" s="21" t="n">
        <v>0</v>
      </c>
      <c r="G5423" s="21" t="n">
        <v>0</v>
      </c>
      <c r="H5423" s="21" t="n">
        <v>0</v>
      </c>
      <c r="I5423" s="21" t="n">
        <v>0</v>
      </c>
      <c r="J5423" s="21" t="n">
        <v>0</v>
      </c>
      <c r="K5423" s="21" t="n">
        <v>0</v>
      </c>
      <c r="L5423" s="21">
        <f>$B$5338</f>
        <v/>
      </c>
      <c r="M5423" s="21">
        <f>$B$5340</f>
        <v/>
      </c>
      <c r="N5423" s="21">
        <f>0</f>
        <v/>
      </c>
      <c r="O5423" s="21">
        <f>2*$B$5339</f>
        <v/>
      </c>
      <c r="P5423" s="21">
        <f>-$B$5338</f>
        <v/>
      </c>
      <c r="Q5423" s="21">
        <f>$B$5340</f>
        <v/>
      </c>
      <c r="R5423" s="21" t="n">
        <v>0</v>
      </c>
      <c r="S5423" s="21" t="n">
        <v>0</v>
      </c>
      <c r="T5423" s="21" t="n">
        <v>0</v>
      </c>
      <c r="U5423" s="21" t="n">
        <v>0</v>
      </c>
      <c r="V5423" s="21" t="n">
        <v>0</v>
      </c>
      <c r="W5423" s="21" t="n">
        <v>0</v>
      </c>
      <c r="X5423" s="21" t="n">
        <v>0</v>
      </c>
      <c r="Y5423" s="21" t="n">
        <v>0</v>
      </c>
      <c r="Z5423" s="19" t="n"/>
    </row>
    <row r="5424">
      <c r="D5424" s="21" t="n">
        <v>0</v>
      </c>
      <c r="E5424" s="21" t="n">
        <v>0</v>
      </c>
      <c r="F5424" s="21" t="n">
        <v>0</v>
      </c>
      <c r="G5424" s="21" t="n">
        <v>0</v>
      </c>
      <c r="H5424" s="21" t="n">
        <v>0</v>
      </c>
      <c r="I5424" s="21" t="n">
        <v>0</v>
      </c>
      <c r="J5424" s="21" t="n">
        <v>0</v>
      </c>
      <c r="K5424" s="21" t="n">
        <v>0</v>
      </c>
      <c r="L5424" s="21" t="n">
        <v>0</v>
      </c>
      <c r="M5424" s="21" t="n">
        <v>0</v>
      </c>
      <c r="N5424" s="21">
        <f>-$B$5337</f>
        <v/>
      </c>
      <c r="O5424" s="21">
        <f>-$B$5338</f>
        <v/>
      </c>
      <c r="P5424" s="21">
        <f>2*$B$5337+$D$5406</f>
        <v/>
      </c>
      <c r="Q5424" s="21">
        <f>0</f>
        <v/>
      </c>
      <c r="R5424" s="21">
        <f>-$B$5337</f>
        <v/>
      </c>
      <c r="S5424" s="21">
        <f>$B$5338</f>
        <v/>
      </c>
      <c r="T5424" s="21" t="n">
        <v>0</v>
      </c>
      <c r="U5424" s="21" t="n">
        <v>0</v>
      </c>
      <c r="V5424" s="21" t="n">
        <v>0</v>
      </c>
      <c r="W5424" s="21" t="n">
        <v>0</v>
      </c>
      <c r="X5424" s="21" t="n">
        <v>0</v>
      </c>
      <c r="Y5424" s="21" t="n">
        <v>0</v>
      </c>
      <c r="Z5424" s="19" t="n"/>
    </row>
    <row r="5425">
      <c r="D5425" s="21" t="n">
        <v>0</v>
      </c>
      <c r="E5425" s="21" t="n">
        <v>0</v>
      </c>
      <c r="F5425" s="21" t="n">
        <v>0</v>
      </c>
      <c r="G5425" s="21" t="n">
        <v>0</v>
      </c>
      <c r="H5425" s="21" t="n">
        <v>0</v>
      </c>
      <c r="I5425" s="21" t="n">
        <v>0</v>
      </c>
      <c r="J5425" s="21" t="n">
        <v>0</v>
      </c>
      <c r="K5425" s="21" t="n">
        <v>0</v>
      </c>
      <c r="L5425" s="21" t="n">
        <v>0</v>
      </c>
      <c r="M5425" s="21" t="n">
        <v>0</v>
      </c>
      <c r="N5425" s="21">
        <f>$B$5338</f>
        <v/>
      </c>
      <c r="O5425" s="21">
        <f>$B$5340</f>
        <v/>
      </c>
      <c r="P5425" s="21">
        <f>0</f>
        <v/>
      </c>
      <c r="Q5425" s="21">
        <f>2*$B$5339</f>
        <v/>
      </c>
      <c r="R5425" s="21">
        <f>-$B$5338</f>
        <v/>
      </c>
      <c r="S5425" s="21">
        <f>$B$5340</f>
        <v/>
      </c>
      <c r="T5425" s="21" t="n">
        <v>0</v>
      </c>
      <c r="U5425" s="21" t="n">
        <v>0</v>
      </c>
      <c r="V5425" s="21" t="n">
        <v>0</v>
      </c>
      <c r="W5425" s="21" t="n">
        <v>0</v>
      </c>
      <c r="X5425" s="21" t="n">
        <v>0</v>
      </c>
      <c r="Y5425" s="21" t="n">
        <v>0</v>
      </c>
      <c r="Z5425" s="19" t="n"/>
    </row>
    <row r="5426">
      <c r="D5426" s="21" t="n">
        <v>0</v>
      </c>
      <c r="E5426" s="21" t="n">
        <v>0</v>
      </c>
      <c r="F5426" s="21" t="n">
        <v>0</v>
      </c>
      <c r="G5426" s="21" t="n">
        <v>0</v>
      </c>
      <c r="H5426" s="21" t="n">
        <v>0</v>
      </c>
      <c r="I5426" s="21" t="n">
        <v>0</v>
      </c>
      <c r="J5426" s="21" t="n">
        <v>0</v>
      </c>
      <c r="K5426" s="21" t="n">
        <v>0</v>
      </c>
      <c r="L5426" s="21" t="n">
        <v>0</v>
      </c>
      <c r="M5426" s="21" t="n">
        <v>0</v>
      </c>
      <c r="N5426" s="21" t="n">
        <v>0</v>
      </c>
      <c r="O5426" s="21" t="n">
        <v>0</v>
      </c>
      <c r="P5426" s="21">
        <f>-$B$5337</f>
        <v/>
      </c>
      <c r="Q5426" s="21">
        <f>-$B$5338</f>
        <v/>
      </c>
      <c r="R5426" s="21">
        <f>2*$B$5337+$D$5407</f>
        <v/>
      </c>
      <c r="S5426" s="21">
        <f>0</f>
        <v/>
      </c>
      <c r="T5426" s="21">
        <f>-$B$5337</f>
        <v/>
      </c>
      <c r="U5426" s="21">
        <f>$B$5338</f>
        <v/>
      </c>
      <c r="V5426" s="21" t="n">
        <v>0</v>
      </c>
      <c r="W5426" s="21" t="n">
        <v>0</v>
      </c>
      <c r="X5426" s="21" t="n">
        <v>0</v>
      </c>
      <c r="Y5426" s="21" t="n">
        <v>0</v>
      </c>
      <c r="Z5426" s="19" t="n"/>
    </row>
    <row r="5427">
      <c r="D5427" s="21" t="n">
        <v>0</v>
      </c>
      <c r="E5427" s="21" t="n">
        <v>0</v>
      </c>
      <c r="F5427" s="21" t="n">
        <v>0</v>
      </c>
      <c r="G5427" s="21" t="n">
        <v>0</v>
      </c>
      <c r="H5427" s="21" t="n">
        <v>0</v>
      </c>
      <c r="I5427" s="21" t="n">
        <v>0</v>
      </c>
      <c r="J5427" s="21" t="n">
        <v>0</v>
      </c>
      <c r="K5427" s="21" t="n">
        <v>0</v>
      </c>
      <c r="L5427" s="21" t="n">
        <v>0</v>
      </c>
      <c r="M5427" s="21" t="n">
        <v>0</v>
      </c>
      <c r="N5427" s="21" t="n">
        <v>0</v>
      </c>
      <c r="O5427" s="21" t="n">
        <v>0</v>
      </c>
      <c r="P5427" s="21">
        <f>$B$5338</f>
        <v/>
      </c>
      <c r="Q5427" s="21">
        <f>$B$5340</f>
        <v/>
      </c>
      <c r="R5427" s="21">
        <f>0</f>
        <v/>
      </c>
      <c r="S5427" s="21">
        <f>2*$B$5339</f>
        <v/>
      </c>
      <c r="T5427" s="21">
        <f>-$B$5338</f>
        <v/>
      </c>
      <c r="U5427" s="21">
        <f>$B$5340</f>
        <v/>
      </c>
      <c r="V5427" s="21" t="n">
        <v>0</v>
      </c>
      <c r="W5427" s="21" t="n">
        <v>0</v>
      </c>
      <c r="X5427" s="21" t="n">
        <v>0</v>
      </c>
      <c r="Y5427" s="21" t="n">
        <v>0</v>
      </c>
      <c r="Z5427" s="19" t="n"/>
    </row>
    <row r="5428">
      <c r="D5428" s="21" t="n">
        <v>0</v>
      </c>
      <c r="E5428" s="21" t="n">
        <v>0</v>
      </c>
      <c r="F5428" s="21" t="n">
        <v>0</v>
      </c>
      <c r="G5428" s="21" t="n">
        <v>0</v>
      </c>
      <c r="H5428" s="21" t="n">
        <v>0</v>
      </c>
      <c r="I5428" s="21" t="n">
        <v>0</v>
      </c>
      <c r="J5428" s="21" t="n">
        <v>0</v>
      </c>
      <c r="K5428" s="21" t="n">
        <v>0</v>
      </c>
      <c r="L5428" s="21" t="n">
        <v>0</v>
      </c>
      <c r="M5428" s="21" t="n">
        <v>0</v>
      </c>
      <c r="N5428" s="21" t="n">
        <v>0</v>
      </c>
      <c r="O5428" s="21" t="n">
        <v>0</v>
      </c>
      <c r="P5428" s="21" t="n">
        <v>0</v>
      </c>
      <c r="Q5428" s="21" t="n">
        <v>0</v>
      </c>
      <c r="R5428" s="21">
        <f>-$B$5337</f>
        <v/>
      </c>
      <c r="S5428" s="21">
        <f>-$B$5338</f>
        <v/>
      </c>
      <c r="T5428" s="21">
        <f>2*$B$5337+$D$5408</f>
        <v/>
      </c>
      <c r="U5428" s="21">
        <f>0</f>
        <v/>
      </c>
      <c r="V5428" s="21">
        <f>-$B$5337</f>
        <v/>
      </c>
      <c r="W5428" s="21">
        <f>$B$5338</f>
        <v/>
      </c>
      <c r="X5428" s="21" t="n">
        <v>0</v>
      </c>
      <c r="Y5428" s="21" t="n">
        <v>0</v>
      </c>
      <c r="Z5428" s="19" t="n"/>
    </row>
    <row r="5429">
      <c r="D5429" s="21" t="n">
        <v>0</v>
      </c>
      <c r="E5429" s="21" t="n">
        <v>0</v>
      </c>
      <c r="F5429" s="21" t="n">
        <v>0</v>
      </c>
      <c r="G5429" s="21" t="n">
        <v>0</v>
      </c>
      <c r="H5429" s="21" t="n">
        <v>0</v>
      </c>
      <c r="I5429" s="21" t="n">
        <v>0</v>
      </c>
      <c r="J5429" s="21" t="n">
        <v>0</v>
      </c>
      <c r="K5429" s="21" t="n">
        <v>0</v>
      </c>
      <c r="L5429" s="21" t="n">
        <v>0</v>
      </c>
      <c r="M5429" s="21" t="n">
        <v>0</v>
      </c>
      <c r="N5429" s="21" t="n">
        <v>0</v>
      </c>
      <c r="O5429" s="21" t="n">
        <v>0</v>
      </c>
      <c r="P5429" s="21" t="n">
        <v>0</v>
      </c>
      <c r="Q5429" s="21" t="n">
        <v>0</v>
      </c>
      <c r="R5429" s="21">
        <f>$B$5338</f>
        <v/>
      </c>
      <c r="S5429" s="21">
        <f>$B$5340</f>
        <v/>
      </c>
      <c r="T5429" s="21">
        <f>0</f>
        <v/>
      </c>
      <c r="U5429" s="21">
        <f>2*$B$5339</f>
        <v/>
      </c>
      <c r="V5429" s="21">
        <f>-$B$5338</f>
        <v/>
      </c>
      <c r="W5429" s="21">
        <f>$B$5340</f>
        <v/>
      </c>
      <c r="X5429" s="21" t="n">
        <v>0</v>
      </c>
      <c r="Y5429" s="21" t="n">
        <v>0</v>
      </c>
      <c r="Z5429" s="19" t="n"/>
    </row>
    <row r="5430">
      <c r="D5430" s="21" t="n">
        <v>0</v>
      </c>
      <c r="E5430" s="21" t="n">
        <v>0</v>
      </c>
      <c r="F5430" s="21" t="n">
        <v>0</v>
      </c>
      <c r="G5430" s="21" t="n">
        <v>0</v>
      </c>
      <c r="H5430" s="21" t="n">
        <v>0</v>
      </c>
      <c r="I5430" s="21" t="n">
        <v>0</v>
      </c>
      <c r="J5430" s="21" t="n">
        <v>0</v>
      </c>
      <c r="K5430" s="21" t="n">
        <v>0</v>
      </c>
      <c r="L5430" s="21" t="n">
        <v>0</v>
      </c>
      <c r="M5430" s="21" t="n">
        <v>0</v>
      </c>
      <c r="N5430" s="21" t="n">
        <v>0</v>
      </c>
      <c r="O5430" s="21" t="n">
        <v>0</v>
      </c>
      <c r="P5430" s="21" t="n">
        <v>0</v>
      </c>
      <c r="Q5430" s="21" t="n">
        <v>0</v>
      </c>
      <c r="R5430" s="21" t="n">
        <v>0</v>
      </c>
      <c r="S5430" s="21" t="n">
        <v>0</v>
      </c>
      <c r="T5430" s="21">
        <f>-$B$5337</f>
        <v/>
      </c>
      <c r="U5430" s="21">
        <f>-$B$5338</f>
        <v/>
      </c>
      <c r="V5430" s="21">
        <f>2*$B$5337+$D$5409</f>
        <v/>
      </c>
      <c r="W5430" s="21">
        <f>0</f>
        <v/>
      </c>
      <c r="X5430" s="21">
        <f>-$B$5337</f>
        <v/>
      </c>
      <c r="Y5430" s="21">
        <f>$B$5338</f>
        <v/>
      </c>
      <c r="Z5430" s="19" t="n"/>
    </row>
    <row r="5431">
      <c r="D5431" s="21" t="n">
        <v>0</v>
      </c>
      <c r="E5431" s="21" t="n">
        <v>0</v>
      </c>
      <c r="F5431" s="21" t="n">
        <v>0</v>
      </c>
      <c r="G5431" s="21" t="n">
        <v>0</v>
      </c>
      <c r="H5431" s="21" t="n">
        <v>0</v>
      </c>
      <c r="I5431" s="21" t="n">
        <v>0</v>
      </c>
      <c r="J5431" s="21" t="n">
        <v>0</v>
      </c>
      <c r="K5431" s="21" t="n">
        <v>0</v>
      </c>
      <c r="L5431" s="21" t="n">
        <v>0</v>
      </c>
      <c r="M5431" s="21" t="n">
        <v>0</v>
      </c>
      <c r="N5431" s="21" t="n">
        <v>0</v>
      </c>
      <c r="O5431" s="21" t="n">
        <v>0</v>
      </c>
      <c r="P5431" s="21" t="n">
        <v>0</v>
      </c>
      <c r="Q5431" s="21" t="n">
        <v>0</v>
      </c>
      <c r="R5431" s="21" t="n">
        <v>0</v>
      </c>
      <c r="S5431" s="21" t="n">
        <v>0</v>
      </c>
      <c r="T5431" s="21">
        <f>$B$5338</f>
        <v/>
      </c>
      <c r="U5431" s="21">
        <f>$B$5340</f>
        <v/>
      </c>
      <c r="V5431" s="21">
        <f>0</f>
        <v/>
      </c>
      <c r="W5431" s="21">
        <f>2*$B$5339</f>
        <v/>
      </c>
      <c r="X5431" s="21">
        <f>-$B$5338</f>
        <v/>
      </c>
      <c r="Y5431" s="21">
        <f>$B$5340</f>
        <v/>
      </c>
      <c r="Z5431" s="19" t="n"/>
    </row>
    <row r="5432">
      <c r="D5432" s="21" t="n">
        <v>0</v>
      </c>
      <c r="E5432" s="21" t="n">
        <v>0</v>
      </c>
      <c r="F5432" s="21" t="n">
        <v>0</v>
      </c>
      <c r="G5432" s="21" t="n">
        <v>0</v>
      </c>
      <c r="H5432" s="21" t="n">
        <v>0</v>
      </c>
      <c r="I5432" s="21" t="n">
        <v>0</v>
      </c>
      <c r="J5432" s="21" t="n">
        <v>0</v>
      </c>
      <c r="K5432" s="21" t="n">
        <v>0</v>
      </c>
      <c r="L5432" s="21" t="n">
        <v>0</v>
      </c>
      <c r="M5432" s="21" t="n">
        <v>0</v>
      </c>
      <c r="N5432" s="21" t="n">
        <v>0</v>
      </c>
      <c r="O5432" s="21" t="n">
        <v>0</v>
      </c>
      <c r="P5432" s="21" t="n">
        <v>0</v>
      </c>
      <c r="Q5432" s="21" t="n">
        <v>0</v>
      </c>
      <c r="R5432" s="21" t="n">
        <v>0</v>
      </c>
      <c r="S5432" s="21" t="n">
        <v>0</v>
      </c>
      <c r="T5432" s="21" t="n">
        <v>0</v>
      </c>
      <c r="U5432" s="21" t="n">
        <v>0</v>
      </c>
      <c r="V5432" s="21">
        <f>-$B$5337</f>
        <v/>
      </c>
      <c r="W5432" s="21">
        <f>-$B$5338</f>
        <v/>
      </c>
      <c r="X5432" s="21">
        <f>$B$5337+$D$5410</f>
        <v/>
      </c>
      <c r="Y5432" s="21">
        <f>-$B$5338</f>
        <v/>
      </c>
      <c r="Z5432" s="19" t="n"/>
    </row>
    <row r="5433">
      <c r="D5433" s="21" t="n">
        <v>0</v>
      </c>
      <c r="E5433" s="21" t="n">
        <v>0</v>
      </c>
      <c r="F5433" s="21" t="n">
        <v>0</v>
      </c>
      <c r="G5433" s="21" t="n">
        <v>0</v>
      </c>
      <c r="H5433" s="21" t="n">
        <v>0</v>
      </c>
      <c r="I5433" s="21" t="n">
        <v>0</v>
      </c>
      <c r="J5433" s="21" t="n">
        <v>0</v>
      </c>
      <c r="K5433" s="21" t="n">
        <v>0</v>
      </c>
      <c r="L5433" s="21" t="n">
        <v>0</v>
      </c>
      <c r="M5433" s="21" t="n">
        <v>0</v>
      </c>
      <c r="N5433" s="21" t="n">
        <v>0</v>
      </c>
      <c r="O5433" s="21" t="n">
        <v>0</v>
      </c>
      <c r="P5433" s="21" t="n">
        <v>0</v>
      </c>
      <c r="Q5433" s="21" t="n">
        <v>0</v>
      </c>
      <c r="R5433" s="21" t="n">
        <v>0</v>
      </c>
      <c r="S5433" s="21" t="n">
        <v>0</v>
      </c>
      <c r="T5433" s="21" t="n">
        <v>0</v>
      </c>
      <c r="U5433" s="21" t="n">
        <v>0</v>
      </c>
      <c r="V5433" s="21">
        <f>$B$5338</f>
        <v/>
      </c>
      <c r="W5433" s="21">
        <f>$B$5340</f>
        <v/>
      </c>
      <c r="X5433" s="21">
        <f>-$B$5338</f>
        <v/>
      </c>
      <c r="Y5433" s="21">
        <f>$B$5339</f>
        <v/>
      </c>
      <c r="Z5433" s="19" t="n"/>
    </row>
    <row r="5435">
      <c r="A5435" s="8" t="inlineStr">
        <is>
          <t>gen 2</t>
        </is>
      </c>
    </row>
    <row r="5436">
      <c r="D5436" s="19">
        <f>IF(ABS(IF(ABS($E$5400)&gt;0.000000001,$E$5400,0.000000001))=0,0,IF($E$5352&lt;=$B$5346,0,IF(ABS(IF(ABS($E$5400)&gt;0.000000001,$E$5400,0.000000001))&gt;=8*$B$5348,$H$5352,0.5*$H$5352*(ABS(IF(ABS($E$5400)&gt;0.000000001,$E$5400,0.000000001))/$B$5348)^(1/3)))/ABS(IF(ABS($E$5400)&gt;0.000000001,$E$5400,0.000000001))*$I$5352)</f>
        <v/>
      </c>
      <c r="E5436" s="19">
        <f>0.5*$E$5400+0.5*$Z$5448</f>
        <v/>
      </c>
      <c r="F5436" s="19">
        <f>$Z$5449</f>
        <v/>
      </c>
    </row>
    <row r="5437">
      <c r="D5437" s="19">
        <f>IF(ABS(IF(ABS($E$5401)&gt;0.000000001,$E$5401,0.000000001))=0,0,IF($E$5353&lt;=$B$5346,0,IF(ABS(IF(ABS($E$5401)&gt;0.000000001,$E$5401,0.000000001))&gt;=8*$B$5348,$H$5353,0.5*$H$5353*(ABS(IF(ABS($E$5401)&gt;0.000000001,$E$5401,0.000000001))/$B$5348)^(1/3)))/ABS(IF(ABS($E$5401)&gt;0.000000001,$E$5401,0.000000001))*$I$5353)</f>
        <v/>
      </c>
      <c r="E5437" s="19">
        <f>0.5*$E$5401+0.5*$Z$5450</f>
        <v/>
      </c>
      <c r="F5437" s="19">
        <f>$Z$5451</f>
        <v/>
      </c>
    </row>
    <row r="5438">
      <c r="D5438" s="19">
        <f>IF(ABS(IF(ABS($E$5402)&gt;0.000000001,$E$5402,0.000000001))=0,0,IF($E$5354&lt;=$B$5346,0,IF(ABS(IF(ABS($E$5402)&gt;0.000000001,$E$5402,0.000000001))&gt;=8*$B$5348,$H$5354,0.5*$H$5354*(ABS(IF(ABS($E$5402)&gt;0.000000001,$E$5402,0.000000001))/$B$5348)^(1/3)))/ABS(IF(ABS($E$5402)&gt;0.000000001,$E$5402,0.000000001))*$I$5354)</f>
        <v/>
      </c>
      <c r="E5438" s="19">
        <f>0.5*$E$5402+0.5*$Z$5452</f>
        <v/>
      </c>
      <c r="F5438" s="19">
        <f>$Z$5453</f>
        <v/>
      </c>
    </row>
    <row r="5439">
      <c r="D5439" s="19">
        <f>IF(ABS(IF(ABS($E$5403)&gt;0.000000001,$E$5403,0.000000001))=0,0,IF($E$5355&lt;=$B$5346,0,IF(ABS(IF(ABS($E$5403)&gt;0.000000001,$E$5403,0.000000001))&gt;=8*$B$5348,$H$5355,0.5*$H$5355*(ABS(IF(ABS($E$5403)&gt;0.000000001,$E$5403,0.000000001))/$B$5348)^(1/3)))/ABS(IF(ABS($E$5403)&gt;0.000000001,$E$5403,0.000000001))*$I$5355)</f>
        <v/>
      </c>
      <c r="E5439" s="19">
        <f>0.5*$E$5403+0.5*$Z$5454</f>
        <v/>
      </c>
      <c r="F5439" s="19">
        <f>$Z$5455</f>
        <v/>
      </c>
    </row>
    <row r="5440">
      <c r="D5440" s="19">
        <f>IF(ABS(IF(ABS($E$5404)&gt;0.000000001,$E$5404,0.000000001))=0,0,IF($E$5356&lt;=$B$5346,0,IF(ABS(IF(ABS($E$5404)&gt;0.000000001,$E$5404,0.000000001))&gt;=8*$B$5348,$H$5356,0.5*$H$5356*(ABS(IF(ABS($E$5404)&gt;0.000000001,$E$5404,0.000000001))/$B$5348)^(1/3)))/ABS(IF(ABS($E$5404)&gt;0.000000001,$E$5404,0.000000001))*$I$5356)</f>
        <v/>
      </c>
      <c r="E5440" s="19">
        <f>0.5*$E$5404+0.5*$Z$5456</f>
        <v/>
      </c>
      <c r="F5440" s="19">
        <f>$Z$5457</f>
        <v/>
      </c>
    </row>
    <row r="5441">
      <c r="D5441" s="19">
        <f>IF(ABS(IF(ABS($E$5405)&gt;0.000000001,$E$5405,0.000000001))=0,0,IF($E$5357&lt;=$B$5346,0,IF(ABS(IF(ABS($E$5405)&gt;0.000000001,$E$5405,0.000000001))&gt;=8*$B$5348,$H$5357,0.5*$H$5357*(ABS(IF(ABS($E$5405)&gt;0.000000001,$E$5405,0.000000001))/$B$5348)^(1/3)))/ABS(IF(ABS($E$5405)&gt;0.000000001,$E$5405,0.000000001))*$I$5357)</f>
        <v/>
      </c>
      <c r="E5441" s="19">
        <f>0.5*$E$5405+0.5*$Z$5458</f>
        <v/>
      </c>
      <c r="F5441" s="19">
        <f>$Z$5459</f>
        <v/>
      </c>
    </row>
    <row r="5442">
      <c r="D5442" s="19">
        <f>IF(ABS(IF(ABS($E$5406)&gt;0.000000001,$E$5406,0.000000001))=0,0,IF($E$5358&lt;=$B$5346,0,IF(ABS(IF(ABS($E$5406)&gt;0.000000001,$E$5406,0.000000001))&gt;=8*$B$5348,$H$5358,0.5*$H$5358*(ABS(IF(ABS($E$5406)&gt;0.000000001,$E$5406,0.000000001))/$B$5348)^(1/3)))/ABS(IF(ABS($E$5406)&gt;0.000000001,$E$5406,0.000000001))*$I$5358)</f>
        <v/>
      </c>
      <c r="E5442" s="19">
        <f>0.5*$E$5406+0.5*$Z$5460</f>
        <v/>
      </c>
      <c r="F5442" s="19">
        <f>$Z$5461</f>
        <v/>
      </c>
    </row>
    <row r="5443">
      <c r="D5443" s="19">
        <f>IF(ABS(IF(ABS($E$5407)&gt;0.000000001,$E$5407,0.000000001))=0,0,IF($E$5359&lt;=$B$5346,0,IF(ABS(IF(ABS($E$5407)&gt;0.000000001,$E$5407,0.000000001))&gt;=8*$B$5348,$H$5359,0.5*$H$5359*(ABS(IF(ABS($E$5407)&gt;0.000000001,$E$5407,0.000000001))/$B$5348)^(1/3)))/ABS(IF(ABS($E$5407)&gt;0.000000001,$E$5407,0.000000001))*$I$5359)</f>
        <v/>
      </c>
      <c r="E5443" s="19">
        <f>0.5*$E$5407+0.5*$Z$5462</f>
        <v/>
      </c>
      <c r="F5443" s="19">
        <f>$Z$5463</f>
        <v/>
      </c>
    </row>
    <row r="5444">
      <c r="D5444" s="19">
        <f>IF(ABS(IF(ABS($E$5408)&gt;0.000000001,$E$5408,0.000000001))=0,0,IF($E$5360&lt;=$B$5346,0,IF(ABS(IF(ABS($E$5408)&gt;0.000000001,$E$5408,0.000000001))&gt;=8*$B$5348,$H$5360,0.5*$H$5360*(ABS(IF(ABS($E$5408)&gt;0.000000001,$E$5408,0.000000001))/$B$5348)^(1/3)))/ABS(IF(ABS($E$5408)&gt;0.000000001,$E$5408,0.000000001))*$I$5360)</f>
        <v/>
      </c>
      <c r="E5444" s="19">
        <f>0.5*$E$5408+0.5*$Z$5464</f>
        <v/>
      </c>
      <c r="F5444" s="19">
        <f>$Z$5465</f>
        <v/>
      </c>
    </row>
    <row r="5445">
      <c r="D5445" s="19">
        <f>IF(ABS(IF(ABS($E$5409)&gt;0.000000001,$E$5409,0.000000001))=0,0,IF($E$5361&lt;=$B$5346,0,IF(ABS(IF(ABS($E$5409)&gt;0.000000001,$E$5409,0.000000001))&gt;=8*$B$5348,$H$5361,0.5*$H$5361*(ABS(IF(ABS($E$5409)&gt;0.000000001,$E$5409,0.000000001))/$B$5348)^(1/3)))/ABS(IF(ABS($E$5409)&gt;0.000000001,$E$5409,0.000000001))*$I$5361)</f>
        <v/>
      </c>
      <c r="E5445" s="19">
        <f>0.5*$E$5409+0.5*$Z$5466</f>
        <v/>
      </c>
      <c r="F5445" s="19">
        <f>$Z$5467</f>
        <v/>
      </c>
    </row>
    <row r="5446">
      <c r="D5446" s="19">
        <f>IF(ABS(IF(ABS($E$5410)&gt;0.000000001,$E$5410,0.000000001))=0,0,IF($E$5362&lt;=$B$5346,0,IF(ABS(IF(ABS($E$5410)&gt;0.000000001,$E$5410,0.000000001))&gt;=8*$B$5348,$H$5362,0.5*$H$5362*(ABS(IF(ABS($E$5410)&gt;0.000000001,$E$5410,0.000000001))/$B$5348)^(1/3)))/ABS(IF(ABS($E$5410)&gt;0.000000001,$E$5410,0.000000001))*$I$5362)</f>
        <v/>
      </c>
      <c r="E5446" s="19">
        <f>0.5*$E$5410+0.5*$Z$5468</f>
        <v/>
      </c>
      <c r="F5446" s="19">
        <f>$Z$5469</f>
        <v/>
      </c>
    </row>
    <row r="5448">
      <c r="D5448" s="21">
        <f>$B$5337+$D$5436</f>
        <v/>
      </c>
      <c r="E5448" s="21">
        <f>$B$5338</f>
        <v/>
      </c>
      <c r="F5448" s="21">
        <f>-$B$5337</f>
        <v/>
      </c>
      <c r="G5448" s="21">
        <f>$B$5338</f>
        <v/>
      </c>
      <c r="H5448" s="21" t="n">
        <v>0</v>
      </c>
      <c r="I5448" s="21" t="n">
        <v>0</v>
      </c>
      <c r="J5448" s="21" t="n">
        <v>0</v>
      </c>
      <c r="K5448" s="21" t="n">
        <v>0</v>
      </c>
      <c r="L5448" s="21" t="n">
        <v>0</v>
      </c>
      <c r="M5448" s="21" t="n">
        <v>0</v>
      </c>
      <c r="N5448" s="21" t="n">
        <v>0</v>
      </c>
      <c r="O5448" s="21" t="n">
        <v>0</v>
      </c>
      <c r="P5448" s="21" t="n">
        <v>0</v>
      </c>
      <c r="Q5448" s="21" t="n">
        <v>0</v>
      </c>
      <c r="R5448" s="21" t="n">
        <v>0</v>
      </c>
      <c r="S5448" s="21" t="n">
        <v>0</v>
      </c>
      <c r="T5448" s="21" t="n">
        <v>0</v>
      </c>
      <c r="U5448" s="21" t="n">
        <v>0</v>
      </c>
      <c r="V5448" s="21" t="n">
        <v>0</v>
      </c>
      <c r="W5448" s="21" t="n">
        <v>0</v>
      </c>
      <c r="X5448" s="21" t="n">
        <v>0</v>
      </c>
      <c r="Y5448" s="21" t="n">
        <v>0</v>
      </c>
      <c r="Z5448" s="19">
        <f t="array" ref="Z5448:Z5469">MMULT(MINVERSE($D$5448:$Y$5469),$D$5364:$D$5385)</f>
        <v/>
      </c>
    </row>
    <row r="5449">
      <c r="D5449" s="21">
        <f>$B$5338</f>
        <v/>
      </c>
      <c r="E5449" s="21">
        <f>$B$5339</f>
        <v/>
      </c>
      <c r="F5449" s="21">
        <f>-$B$5338</f>
        <v/>
      </c>
      <c r="G5449" s="21">
        <f>$B$5340</f>
        <v/>
      </c>
      <c r="H5449" s="21" t="n">
        <v>0</v>
      </c>
      <c r="I5449" s="21" t="n">
        <v>0</v>
      </c>
      <c r="J5449" s="21" t="n">
        <v>0</v>
      </c>
      <c r="K5449" s="21" t="n">
        <v>0</v>
      </c>
      <c r="L5449" s="21" t="n">
        <v>0</v>
      </c>
      <c r="M5449" s="21" t="n">
        <v>0</v>
      </c>
      <c r="N5449" s="21" t="n">
        <v>0</v>
      </c>
      <c r="O5449" s="21" t="n">
        <v>0</v>
      </c>
      <c r="P5449" s="21" t="n">
        <v>0</v>
      </c>
      <c r="Q5449" s="21" t="n">
        <v>0</v>
      </c>
      <c r="R5449" s="21" t="n">
        <v>0</v>
      </c>
      <c r="S5449" s="21" t="n">
        <v>0</v>
      </c>
      <c r="T5449" s="21" t="n">
        <v>0</v>
      </c>
      <c r="U5449" s="21" t="n">
        <v>0</v>
      </c>
      <c r="V5449" s="21" t="n">
        <v>0</v>
      </c>
      <c r="W5449" s="21" t="n">
        <v>0</v>
      </c>
      <c r="X5449" s="21" t="n">
        <v>0</v>
      </c>
      <c r="Y5449" s="21" t="n">
        <v>0</v>
      </c>
      <c r="Z5449" s="19" t="n"/>
    </row>
    <row r="5450">
      <c r="D5450" s="21">
        <f>-$B$5337</f>
        <v/>
      </c>
      <c r="E5450" s="21">
        <f>-$B$5338</f>
        <v/>
      </c>
      <c r="F5450" s="21">
        <f>2*$B$5337+$D$5437</f>
        <v/>
      </c>
      <c r="G5450" s="21">
        <f>0</f>
        <v/>
      </c>
      <c r="H5450" s="21">
        <f>-$B$5337</f>
        <v/>
      </c>
      <c r="I5450" s="21">
        <f>$B$5338</f>
        <v/>
      </c>
      <c r="J5450" s="21" t="n">
        <v>0</v>
      </c>
      <c r="K5450" s="21" t="n">
        <v>0</v>
      </c>
      <c r="L5450" s="21" t="n">
        <v>0</v>
      </c>
      <c r="M5450" s="21" t="n">
        <v>0</v>
      </c>
      <c r="N5450" s="21" t="n">
        <v>0</v>
      </c>
      <c r="O5450" s="21" t="n">
        <v>0</v>
      </c>
      <c r="P5450" s="21" t="n">
        <v>0</v>
      </c>
      <c r="Q5450" s="21" t="n">
        <v>0</v>
      </c>
      <c r="R5450" s="21" t="n">
        <v>0</v>
      </c>
      <c r="S5450" s="21" t="n">
        <v>0</v>
      </c>
      <c r="T5450" s="21" t="n">
        <v>0</v>
      </c>
      <c r="U5450" s="21" t="n">
        <v>0</v>
      </c>
      <c r="V5450" s="21" t="n">
        <v>0</v>
      </c>
      <c r="W5450" s="21" t="n">
        <v>0</v>
      </c>
      <c r="X5450" s="21" t="n">
        <v>0</v>
      </c>
      <c r="Y5450" s="21" t="n">
        <v>0</v>
      </c>
      <c r="Z5450" s="19" t="n"/>
    </row>
    <row r="5451">
      <c r="D5451" s="21">
        <f>$B$5338</f>
        <v/>
      </c>
      <c r="E5451" s="21">
        <f>$B$5340</f>
        <v/>
      </c>
      <c r="F5451" s="21">
        <f>0</f>
        <v/>
      </c>
      <c r="G5451" s="21">
        <f>2*$B$5339</f>
        <v/>
      </c>
      <c r="H5451" s="21">
        <f>-$B$5338</f>
        <v/>
      </c>
      <c r="I5451" s="21">
        <f>$B$5340</f>
        <v/>
      </c>
      <c r="J5451" s="21" t="n">
        <v>0</v>
      </c>
      <c r="K5451" s="21" t="n">
        <v>0</v>
      </c>
      <c r="L5451" s="21" t="n">
        <v>0</v>
      </c>
      <c r="M5451" s="21" t="n">
        <v>0</v>
      </c>
      <c r="N5451" s="21" t="n">
        <v>0</v>
      </c>
      <c r="O5451" s="21" t="n">
        <v>0</v>
      </c>
      <c r="P5451" s="21" t="n">
        <v>0</v>
      </c>
      <c r="Q5451" s="21" t="n">
        <v>0</v>
      </c>
      <c r="R5451" s="21" t="n">
        <v>0</v>
      </c>
      <c r="S5451" s="21" t="n">
        <v>0</v>
      </c>
      <c r="T5451" s="21" t="n">
        <v>0</v>
      </c>
      <c r="U5451" s="21" t="n">
        <v>0</v>
      </c>
      <c r="V5451" s="21" t="n">
        <v>0</v>
      </c>
      <c r="W5451" s="21" t="n">
        <v>0</v>
      </c>
      <c r="X5451" s="21" t="n">
        <v>0</v>
      </c>
      <c r="Y5451" s="21" t="n">
        <v>0</v>
      </c>
      <c r="Z5451" s="19" t="n"/>
    </row>
    <row r="5452">
      <c r="D5452" s="21" t="n">
        <v>0</v>
      </c>
      <c r="E5452" s="21" t="n">
        <v>0</v>
      </c>
      <c r="F5452" s="21">
        <f>-$B$5337</f>
        <v/>
      </c>
      <c r="G5452" s="21">
        <f>-$B$5338</f>
        <v/>
      </c>
      <c r="H5452" s="21">
        <f>2*$B$5337+$D$5438</f>
        <v/>
      </c>
      <c r="I5452" s="21">
        <f>0</f>
        <v/>
      </c>
      <c r="J5452" s="21">
        <f>-$B$5337</f>
        <v/>
      </c>
      <c r="K5452" s="21">
        <f>$B$5338</f>
        <v/>
      </c>
      <c r="L5452" s="21" t="n">
        <v>0</v>
      </c>
      <c r="M5452" s="21" t="n">
        <v>0</v>
      </c>
      <c r="N5452" s="21" t="n">
        <v>0</v>
      </c>
      <c r="O5452" s="21" t="n">
        <v>0</v>
      </c>
      <c r="P5452" s="21" t="n">
        <v>0</v>
      </c>
      <c r="Q5452" s="21" t="n">
        <v>0</v>
      </c>
      <c r="R5452" s="21" t="n">
        <v>0</v>
      </c>
      <c r="S5452" s="21" t="n">
        <v>0</v>
      </c>
      <c r="T5452" s="21" t="n">
        <v>0</v>
      </c>
      <c r="U5452" s="21" t="n">
        <v>0</v>
      </c>
      <c r="V5452" s="21" t="n">
        <v>0</v>
      </c>
      <c r="W5452" s="21" t="n">
        <v>0</v>
      </c>
      <c r="X5452" s="21" t="n">
        <v>0</v>
      </c>
      <c r="Y5452" s="21" t="n">
        <v>0</v>
      </c>
      <c r="Z5452" s="19" t="n"/>
    </row>
    <row r="5453">
      <c r="D5453" s="21" t="n">
        <v>0</v>
      </c>
      <c r="E5453" s="21" t="n">
        <v>0</v>
      </c>
      <c r="F5453" s="21">
        <f>$B$5338</f>
        <v/>
      </c>
      <c r="G5453" s="21">
        <f>$B$5340</f>
        <v/>
      </c>
      <c r="H5453" s="21">
        <f>0</f>
        <v/>
      </c>
      <c r="I5453" s="21">
        <f>2*$B$5339</f>
        <v/>
      </c>
      <c r="J5453" s="21">
        <f>-$B$5338</f>
        <v/>
      </c>
      <c r="K5453" s="21">
        <f>$B$5340</f>
        <v/>
      </c>
      <c r="L5453" s="21" t="n">
        <v>0</v>
      </c>
      <c r="M5453" s="21" t="n">
        <v>0</v>
      </c>
      <c r="N5453" s="21" t="n">
        <v>0</v>
      </c>
      <c r="O5453" s="21" t="n">
        <v>0</v>
      </c>
      <c r="P5453" s="21" t="n">
        <v>0</v>
      </c>
      <c r="Q5453" s="21" t="n">
        <v>0</v>
      </c>
      <c r="R5453" s="21" t="n">
        <v>0</v>
      </c>
      <c r="S5453" s="21" t="n">
        <v>0</v>
      </c>
      <c r="T5453" s="21" t="n">
        <v>0</v>
      </c>
      <c r="U5453" s="21" t="n">
        <v>0</v>
      </c>
      <c r="V5453" s="21" t="n">
        <v>0</v>
      </c>
      <c r="W5453" s="21" t="n">
        <v>0</v>
      </c>
      <c r="X5453" s="21" t="n">
        <v>0</v>
      </c>
      <c r="Y5453" s="21" t="n">
        <v>0</v>
      </c>
      <c r="Z5453" s="19" t="n"/>
    </row>
    <row r="5454">
      <c r="D5454" s="21" t="n">
        <v>0</v>
      </c>
      <c r="E5454" s="21" t="n">
        <v>0</v>
      </c>
      <c r="F5454" s="21" t="n">
        <v>0</v>
      </c>
      <c r="G5454" s="21" t="n">
        <v>0</v>
      </c>
      <c r="H5454" s="21">
        <f>-$B$5337</f>
        <v/>
      </c>
      <c r="I5454" s="21">
        <f>-$B$5338</f>
        <v/>
      </c>
      <c r="J5454" s="21">
        <f>2*$B$5337+$D$5439</f>
        <v/>
      </c>
      <c r="K5454" s="21">
        <f>0</f>
        <v/>
      </c>
      <c r="L5454" s="21">
        <f>-$B$5337</f>
        <v/>
      </c>
      <c r="M5454" s="21">
        <f>$B$5338</f>
        <v/>
      </c>
      <c r="N5454" s="21" t="n">
        <v>0</v>
      </c>
      <c r="O5454" s="21" t="n">
        <v>0</v>
      </c>
      <c r="P5454" s="21" t="n">
        <v>0</v>
      </c>
      <c r="Q5454" s="21" t="n">
        <v>0</v>
      </c>
      <c r="R5454" s="21" t="n">
        <v>0</v>
      </c>
      <c r="S5454" s="21" t="n">
        <v>0</v>
      </c>
      <c r="T5454" s="21" t="n">
        <v>0</v>
      </c>
      <c r="U5454" s="21" t="n">
        <v>0</v>
      </c>
      <c r="V5454" s="21" t="n">
        <v>0</v>
      </c>
      <c r="W5454" s="21" t="n">
        <v>0</v>
      </c>
      <c r="X5454" s="21" t="n">
        <v>0</v>
      </c>
      <c r="Y5454" s="21" t="n">
        <v>0</v>
      </c>
      <c r="Z5454" s="19" t="n"/>
    </row>
    <row r="5455">
      <c r="D5455" s="21" t="n">
        <v>0</v>
      </c>
      <c r="E5455" s="21" t="n">
        <v>0</v>
      </c>
      <c r="F5455" s="21" t="n">
        <v>0</v>
      </c>
      <c r="G5455" s="21" t="n">
        <v>0</v>
      </c>
      <c r="H5455" s="21">
        <f>$B$5338</f>
        <v/>
      </c>
      <c r="I5455" s="21">
        <f>$B$5340</f>
        <v/>
      </c>
      <c r="J5455" s="21">
        <f>0</f>
        <v/>
      </c>
      <c r="K5455" s="21">
        <f>2*$B$5339</f>
        <v/>
      </c>
      <c r="L5455" s="21">
        <f>-$B$5338</f>
        <v/>
      </c>
      <c r="M5455" s="21">
        <f>$B$5340</f>
        <v/>
      </c>
      <c r="N5455" s="21" t="n">
        <v>0</v>
      </c>
      <c r="O5455" s="21" t="n">
        <v>0</v>
      </c>
      <c r="P5455" s="21" t="n">
        <v>0</v>
      </c>
      <c r="Q5455" s="21" t="n">
        <v>0</v>
      </c>
      <c r="R5455" s="21" t="n">
        <v>0</v>
      </c>
      <c r="S5455" s="21" t="n">
        <v>0</v>
      </c>
      <c r="T5455" s="21" t="n">
        <v>0</v>
      </c>
      <c r="U5455" s="21" t="n">
        <v>0</v>
      </c>
      <c r="V5455" s="21" t="n">
        <v>0</v>
      </c>
      <c r="W5455" s="21" t="n">
        <v>0</v>
      </c>
      <c r="X5455" s="21" t="n">
        <v>0</v>
      </c>
      <c r="Y5455" s="21" t="n">
        <v>0</v>
      </c>
      <c r="Z5455" s="19" t="n"/>
    </row>
    <row r="5456">
      <c r="D5456" s="21" t="n">
        <v>0</v>
      </c>
      <c r="E5456" s="21" t="n">
        <v>0</v>
      </c>
      <c r="F5456" s="21" t="n">
        <v>0</v>
      </c>
      <c r="G5456" s="21" t="n">
        <v>0</v>
      </c>
      <c r="H5456" s="21" t="n">
        <v>0</v>
      </c>
      <c r="I5456" s="21" t="n">
        <v>0</v>
      </c>
      <c r="J5456" s="21">
        <f>-$B$5337</f>
        <v/>
      </c>
      <c r="K5456" s="21">
        <f>-$B$5338</f>
        <v/>
      </c>
      <c r="L5456" s="21">
        <f>2*$B$5337+$D$5440</f>
        <v/>
      </c>
      <c r="M5456" s="21">
        <f>0</f>
        <v/>
      </c>
      <c r="N5456" s="21">
        <f>-$B$5337</f>
        <v/>
      </c>
      <c r="O5456" s="21">
        <f>$B$5338</f>
        <v/>
      </c>
      <c r="P5456" s="21" t="n">
        <v>0</v>
      </c>
      <c r="Q5456" s="21" t="n">
        <v>0</v>
      </c>
      <c r="R5456" s="21" t="n">
        <v>0</v>
      </c>
      <c r="S5456" s="21" t="n">
        <v>0</v>
      </c>
      <c r="T5456" s="21" t="n">
        <v>0</v>
      </c>
      <c r="U5456" s="21" t="n">
        <v>0</v>
      </c>
      <c r="V5456" s="21" t="n">
        <v>0</v>
      </c>
      <c r="W5456" s="21" t="n">
        <v>0</v>
      </c>
      <c r="X5456" s="21" t="n">
        <v>0</v>
      </c>
      <c r="Y5456" s="21" t="n">
        <v>0</v>
      </c>
      <c r="Z5456" s="19" t="n"/>
    </row>
    <row r="5457">
      <c r="D5457" s="21" t="n">
        <v>0</v>
      </c>
      <c r="E5457" s="21" t="n">
        <v>0</v>
      </c>
      <c r="F5457" s="21" t="n">
        <v>0</v>
      </c>
      <c r="G5457" s="21" t="n">
        <v>0</v>
      </c>
      <c r="H5457" s="21" t="n">
        <v>0</v>
      </c>
      <c r="I5457" s="21" t="n">
        <v>0</v>
      </c>
      <c r="J5457" s="21">
        <f>$B$5338</f>
        <v/>
      </c>
      <c r="K5457" s="21">
        <f>$B$5340</f>
        <v/>
      </c>
      <c r="L5457" s="21">
        <f>0</f>
        <v/>
      </c>
      <c r="M5457" s="21">
        <f>2*$B$5339</f>
        <v/>
      </c>
      <c r="N5457" s="21">
        <f>-$B$5338</f>
        <v/>
      </c>
      <c r="O5457" s="21">
        <f>$B$5340</f>
        <v/>
      </c>
      <c r="P5457" s="21" t="n">
        <v>0</v>
      </c>
      <c r="Q5457" s="21" t="n">
        <v>0</v>
      </c>
      <c r="R5457" s="21" t="n">
        <v>0</v>
      </c>
      <c r="S5457" s="21" t="n">
        <v>0</v>
      </c>
      <c r="T5457" s="21" t="n">
        <v>0</v>
      </c>
      <c r="U5457" s="21" t="n">
        <v>0</v>
      </c>
      <c r="V5457" s="21" t="n">
        <v>0</v>
      </c>
      <c r="W5457" s="21" t="n">
        <v>0</v>
      </c>
      <c r="X5457" s="21" t="n">
        <v>0</v>
      </c>
      <c r="Y5457" s="21" t="n">
        <v>0</v>
      </c>
      <c r="Z5457" s="19" t="n"/>
    </row>
    <row r="5458">
      <c r="D5458" s="21" t="n">
        <v>0</v>
      </c>
      <c r="E5458" s="21" t="n">
        <v>0</v>
      </c>
      <c r="F5458" s="21" t="n">
        <v>0</v>
      </c>
      <c r="G5458" s="21" t="n">
        <v>0</v>
      </c>
      <c r="H5458" s="21" t="n">
        <v>0</v>
      </c>
      <c r="I5458" s="21" t="n">
        <v>0</v>
      </c>
      <c r="J5458" s="21" t="n">
        <v>0</v>
      </c>
      <c r="K5458" s="21" t="n">
        <v>0</v>
      </c>
      <c r="L5458" s="21">
        <f>-$B$5337</f>
        <v/>
      </c>
      <c r="M5458" s="21">
        <f>-$B$5338</f>
        <v/>
      </c>
      <c r="N5458" s="21">
        <f>2*$B$5337+$D$5441</f>
        <v/>
      </c>
      <c r="O5458" s="21">
        <f>0</f>
        <v/>
      </c>
      <c r="P5458" s="21">
        <f>-$B$5337</f>
        <v/>
      </c>
      <c r="Q5458" s="21">
        <f>$B$5338</f>
        <v/>
      </c>
      <c r="R5458" s="21" t="n">
        <v>0</v>
      </c>
      <c r="S5458" s="21" t="n">
        <v>0</v>
      </c>
      <c r="T5458" s="21" t="n">
        <v>0</v>
      </c>
      <c r="U5458" s="21" t="n">
        <v>0</v>
      </c>
      <c r="V5458" s="21" t="n">
        <v>0</v>
      </c>
      <c r="W5458" s="21" t="n">
        <v>0</v>
      </c>
      <c r="X5458" s="21" t="n">
        <v>0</v>
      </c>
      <c r="Y5458" s="21" t="n">
        <v>0</v>
      </c>
      <c r="Z5458" s="19" t="n"/>
    </row>
    <row r="5459">
      <c r="D5459" s="21" t="n">
        <v>0</v>
      </c>
      <c r="E5459" s="21" t="n">
        <v>0</v>
      </c>
      <c r="F5459" s="21" t="n">
        <v>0</v>
      </c>
      <c r="G5459" s="21" t="n">
        <v>0</v>
      </c>
      <c r="H5459" s="21" t="n">
        <v>0</v>
      </c>
      <c r="I5459" s="21" t="n">
        <v>0</v>
      </c>
      <c r="J5459" s="21" t="n">
        <v>0</v>
      </c>
      <c r="K5459" s="21" t="n">
        <v>0</v>
      </c>
      <c r="L5459" s="21">
        <f>$B$5338</f>
        <v/>
      </c>
      <c r="M5459" s="21">
        <f>$B$5340</f>
        <v/>
      </c>
      <c r="N5459" s="21">
        <f>0</f>
        <v/>
      </c>
      <c r="O5459" s="21">
        <f>2*$B$5339</f>
        <v/>
      </c>
      <c r="P5459" s="21">
        <f>-$B$5338</f>
        <v/>
      </c>
      <c r="Q5459" s="21">
        <f>$B$5340</f>
        <v/>
      </c>
      <c r="R5459" s="21" t="n">
        <v>0</v>
      </c>
      <c r="S5459" s="21" t="n">
        <v>0</v>
      </c>
      <c r="T5459" s="21" t="n">
        <v>0</v>
      </c>
      <c r="U5459" s="21" t="n">
        <v>0</v>
      </c>
      <c r="V5459" s="21" t="n">
        <v>0</v>
      </c>
      <c r="W5459" s="21" t="n">
        <v>0</v>
      </c>
      <c r="X5459" s="21" t="n">
        <v>0</v>
      </c>
      <c r="Y5459" s="21" t="n">
        <v>0</v>
      </c>
      <c r="Z5459" s="19" t="n"/>
    </row>
    <row r="5460">
      <c r="D5460" s="21" t="n">
        <v>0</v>
      </c>
      <c r="E5460" s="21" t="n">
        <v>0</v>
      </c>
      <c r="F5460" s="21" t="n">
        <v>0</v>
      </c>
      <c r="G5460" s="21" t="n">
        <v>0</v>
      </c>
      <c r="H5460" s="21" t="n">
        <v>0</v>
      </c>
      <c r="I5460" s="21" t="n">
        <v>0</v>
      </c>
      <c r="J5460" s="21" t="n">
        <v>0</v>
      </c>
      <c r="K5460" s="21" t="n">
        <v>0</v>
      </c>
      <c r="L5460" s="21" t="n">
        <v>0</v>
      </c>
      <c r="M5460" s="21" t="n">
        <v>0</v>
      </c>
      <c r="N5460" s="21">
        <f>-$B$5337</f>
        <v/>
      </c>
      <c r="O5460" s="21">
        <f>-$B$5338</f>
        <v/>
      </c>
      <c r="P5460" s="21">
        <f>2*$B$5337+$D$5442</f>
        <v/>
      </c>
      <c r="Q5460" s="21">
        <f>0</f>
        <v/>
      </c>
      <c r="R5460" s="21">
        <f>-$B$5337</f>
        <v/>
      </c>
      <c r="S5460" s="21">
        <f>$B$5338</f>
        <v/>
      </c>
      <c r="T5460" s="21" t="n">
        <v>0</v>
      </c>
      <c r="U5460" s="21" t="n">
        <v>0</v>
      </c>
      <c r="V5460" s="21" t="n">
        <v>0</v>
      </c>
      <c r="W5460" s="21" t="n">
        <v>0</v>
      </c>
      <c r="X5460" s="21" t="n">
        <v>0</v>
      </c>
      <c r="Y5460" s="21" t="n">
        <v>0</v>
      </c>
      <c r="Z5460" s="19" t="n"/>
    </row>
    <row r="5461">
      <c r="D5461" s="21" t="n">
        <v>0</v>
      </c>
      <c r="E5461" s="21" t="n">
        <v>0</v>
      </c>
      <c r="F5461" s="21" t="n">
        <v>0</v>
      </c>
      <c r="G5461" s="21" t="n">
        <v>0</v>
      </c>
      <c r="H5461" s="21" t="n">
        <v>0</v>
      </c>
      <c r="I5461" s="21" t="n">
        <v>0</v>
      </c>
      <c r="J5461" s="21" t="n">
        <v>0</v>
      </c>
      <c r="K5461" s="21" t="n">
        <v>0</v>
      </c>
      <c r="L5461" s="21" t="n">
        <v>0</v>
      </c>
      <c r="M5461" s="21" t="n">
        <v>0</v>
      </c>
      <c r="N5461" s="21">
        <f>$B$5338</f>
        <v/>
      </c>
      <c r="O5461" s="21">
        <f>$B$5340</f>
        <v/>
      </c>
      <c r="P5461" s="21">
        <f>0</f>
        <v/>
      </c>
      <c r="Q5461" s="21">
        <f>2*$B$5339</f>
        <v/>
      </c>
      <c r="R5461" s="21">
        <f>-$B$5338</f>
        <v/>
      </c>
      <c r="S5461" s="21">
        <f>$B$5340</f>
        <v/>
      </c>
      <c r="T5461" s="21" t="n">
        <v>0</v>
      </c>
      <c r="U5461" s="21" t="n">
        <v>0</v>
      </c>
      <c r="V5461" s="21" t="n">
        <v>0</v>
      </c>
      <c r="W5461" s="21" t="n">
        <v>0</v>
      </c>
      <c r="X5461" s="21" t="n">
        <v>0</v>
      </c>
      <c r="Y5461" s="21" t="n">
        <v>0</v>
      </c>
      <c r="Z5461" s="19" t="n"/>
    </row>
    <row r="5462">
      <c r="D5462" s="21" t="n">
        <v>0</v>
      </c>
      <c r="E5462" s="21" t="n">
        <v>0</v>
      </c>
      <c r="F5462" s="21" t="n">
        <v>0</v>
      </c>
      <c r="G5462" s="21" t="n">
        <v>0</v>
      </c>
      <c r="H5462" s="21" t="n">
        <v>0</v>
      </c>
      <c r="I5462" s="21" t="n">
        <v>0</v>
      </c>
      <c r="J5462" s="21" t="n">
        <v>0</v>
      </c>
      <c r="K5462" s="21" t="n">
        <v>0</v>
      </c>
      <c r="L5462" s="21" t="n">
        <v>0</v>
      </c>
      <c r="M5462" s="21" t="n">
        <v>0</v>
      </c>
      <c r="N5462" s="21" t="n">
        <v>0</v>
      </c>
      <c r="O5462" s="21" t="n">
        <v>0</v>
      </c>
      <c r="P5462" s="21">
        <f>-$B$5337</f>
        <v/>
      </c>
      <c r="Q5462" s="21">
        <f>-$B$5338</f>
        <v/>
      </c>
      <c r="R5462" s="21">
        <f>2*$B$5337+$D$5443</f>
        <v/>
      </c>
      <c r="S5462" s="21">
        <f>0</f>
        <v/>
      </c>
      <c r="T5462" s="21">
        <f>-$B$5337</f>
        <v/>
      </c>
      <c r="U5462" s="21">
        <f>$B$5338</f>
        <v/>
      </c>
      <c r="V5462" s="21" t="n">
        <v>0</v>
      </c>
      <c r="W5462" s="21" t="n">
        <v>0</v>
      </c>
      <c r="X5462" s="21" t="n">
        <v>0</v>
      </c>
      <c r="Y5462" s="21" t="n">
        <v>0</v>
      </c>
      <c r="Z5462" s="19" t="n"/>
    </row>
    <row r="5463">
      <c r="D5463" s="21" t="n">
        <v>0</v>
      </c>
      <c r="E5463" s="21" t="n">
        <v>0</v>
      </c>
      <c r="F5463" s="21" t="n">
        <v>0</v>
      </c>
      <c r="G5463" s="21" t="n">
        <v>0</v>
      </c>
      <c r="H5463" s="21" t="n">
        <v>0</v>
      </c>
      <c r="I5463" s="21" t="n">
        <v>0</v>
      </c>
      <c r="J5463" s="21" t="n">
        <v>0</v>
      </c>
      <c r="K5463" s="21" t="n">
        <v>0</v>
      </c>
      <c r="L5463" s="21" t="n">
        <v>0</v>
      </c>
      <c r="M5463" s="21" t="n">
        <v>0</v>
      </c>
      <c r="N5463" s="21" t="n">
        <v>0</v>
      </c>
      <c r="O5463" s="21" t="n">
        <v>0</v>
      </c>
      <c r="P5463" s="21">
        <f>$B$5338</f>
        <v/>
      </c>
      <c r="Q5463" s="21">
        <f>$B$5340</f>
        <v/>
      </c>
      <c r="R5463" s="21">
        <f>0</f>
        <v/>
      </c>
      <c r="S5463" s="21">
        <f>2*$B$5339</f>
        <v/>
      </c>
      <c r="T5463" s="21">
        <f>-$B$5338</f>
        <v/>
      </c>
      <c r="U5463" s="21">
        <f>$B$5340</f>
        <v/>
      </c>
      <c r="V5463" s="21" t="n">
        <v>0</v>
      </c>
      <c r="W5463" s="21" t="n">
        <v>0</v>
      </c>
      <c r="X5463" s="21" t="n">
        <v>0</v>
      </c>
      <c r="Y5463" s="21" t="n">
        <v>0</v>
      </c>
      <c r="Z5463" s="19" t="n"/>
    </row>
    <row r="5464">
      <c r="D5464" s="21" t="n">
        <v>0</v>
      </c>
      <c r="E5464" s="21" t="n">
        <v>0</v>
      </c>
      <c r="F5464" s="21" t="n">
        <v>0</v>
      </c>
      <c r="G5464" s="21" t="n">
        <v>0</v>
      </c>
      <c r="H5464" s="21" t="n">
        <v>0</v>
      </c>
      <c r="I5464" s="21" t="n">
        <v>0</v>
      </c>
      <c r="J5464" s="21" t="n">
        <v>0</v>
      </c>
      <c r="K5464" s="21" t="n">
        <v>0</v>
      </c>
      <c r="L5464" s="21" t="n">
        <v>0</v>
      </c>
      <c r="M5464" s="21" t="n">
        <v>0</v>
      </c>
      <c r="N5464" s="21" t="n">
        <v>0</v>
      </c>
      <c r="O5464" s="21" t="n">
        <v>0</v>
      </c>
      <c r="P5464" s="21" t="n">
        <v>0</v>
      </c>
      <c r="Q5464" s="21" t="n">
        <v>0</v>
      </c>
      <c r="R5464" s="21">
        <f>-$B$5337</f>
        <v/>
      </c>
      <c r="S5464" s="21">
        <f>-$B$5338</f>
        <v/>
      </c>
      <c r="T5464" s="21">
        <f>2*$B$5337+$D$5444</f>
        <v/>
      </c>
      <c r="U5464" s="21">
        <f>0</f>
        <v/>
      </c>
      <c r="V5464" s="21">
        <f>-$B$5337</f>
        <v/>
      </c>
      <c r="W5464" s="21">
        <f>$B$5338</f>
        <v/>
      </c>
      <c r="X5464" s="21" t="n">
        <v>0</v>
      </c>
      <c r="Y5464" s="21" t="n">
        <v>0</v>
      </c>
      <c r="Z5464" s="19" t="n"/>
    </row>
    <row r="5465">
      <c r="D5465" s="21" t="n">
        <v>0</v>
      </c>
      <c r="E5465" s="21" t="n">
        <v>0</v>
      </c>
      <c r="F5465" s="21" t="n">
        <v>0</v>
      </c>
      <c r="G5465" s="21" t="n">
        <v>0</v>
      </c>
      <c r="H5465" s="21" t="n">
        <v>0</v>
      </c>
      <c r="I5465" s="21" t="n">
        <v>0</v>
      </c>
      <c r="J5465" s="21" t="n">
        <v>0</v>
      </c>
      <c r="K5465" s="21" t="n">
        <v>0</v>
      </c>
      <c r="L5465" s="21" t="n">
        <v>0</v>
      </c>
      <c r="M5465" s="21" t="n">
        <v>0</v>
      </c>
      <c r="N5465" s="21" t="n">
        <v>0</v>
      </c>
      <c r="O5465" s="21" t="n">
        <v>0</v>
      </c>
      <c r="P5465" s="21" t="n">
        <v>0</v>
      </c>
      <c r="Q5465" s="21" t="n">
        <v>0</v>
      </c>
      <c r="R5465" s="21">
        <f>$B$5338</f>
        <v/>
      </c>
      <c r="S5465" s="21">
        <f>$B$5340</f>
        <v/>
      </c>
      <c r="T5465" s="21">
        <f>0</f>
        <v/>
      </c>
      <c r="U5465" s="21">
        <f>2*$B$5339</f>
        <v/>
      </c>
      <c r="V5465" s="21">
        <f>-$B$5338</f>
        <v/>
      </c>
      <c r="W5465" s="21">
        <f>$B$5340</f>
        <v/>
      </c>
      <c r="X5465" s="21" t="n">
        <v>0</v>
      </c>
      <c r="Y5465" s="21" t="n">
        <v>0</v>
      </c>
      <c r="Z5465" s="19" t="n"/>
    </row>
    <row r="5466">
      <c r="D5466" s="21" t="n">
        <v>0</v>
      </c>
      <c r="E5466" s="21" t="n">
        <v>0</v>
      </c>
      <c r="F5466" s="21" t="n">
        <v>0</v>
      </c>
      <c r="G5466" s="21" t="n">
        <v>0</v>
      </c>
      <c r="H5466" s="21" t="n">
        <v>0</v>
      </c>
      <c r="I5466" s="21" t="n">
        <v>0</v>
      </c>
      <c r="J5466" s="21" t="n">
        <v>0</v>
      </c>
      <c r="K5466" s="21" t="n">
        <v>0</v>
      </c>
      <c r="L5466" s="21" t="n">
        <v>0</v>
      </c>
      <c r="M5466" s="21" t="n">
        <v>0</v>
      </c>
      <c r="N5466" s="21" t="n">
        <v>0</v>
      </c>
      <c r="O5466" s="21" t="n">
        <v>0</v>
      </c>
      <c r="P5466" s="21" t="n">
        <v>0</v>
      </c>
      <c r="Q5466" s="21" t="n">
        <v>0</v>
      </c>
      <c r="R5466" s="21" t="n">
        <v>0</v>
      </c>
      <c r="S5466" s="21" t="n">
        <v>0</v>
      </c>
      <c r="T5466" s="21">
        <f>-$B$5337</f>
        <v/>
      </c>
      <c r="U5466" s="21">
        <f>-$B$5338</f>
        <v/>
      </c>
      <c r="V5466" s="21">
        <f>2*$B$5337+$D$5445</f>
        <v/>
      </c>
      <c r="W5466" s="21">
        <f>0</f>
        <v/>
      </c>
      <c r="X5466" s="21">
        <f>-$B$5337</f>
        <v/>
      </c>
      <c r="Y5466" s="21">
        <f>$B$5338</f>
        <v/>
      </c>
      <c r="Z5466" s="19" t="n"/>
    </row>
    <row r="5467">
      <c r="D5467" s="21" t="n">
        <v>0</v>
      </c>
      <c r="E5467" s="21" t="n">
        <v>0</v>
      </c>
      <c r="F5467" s="21" t="n">
        <v>0</v>
      </c>
      <c r="G5467" s="21" t="n">
        <v>0</v>
      </c>
      <c r="H5467" s="21" t="n">
        <v>0</v>
      </c>
      <c r="I5467" s="21" t="n">
        <v>0</v>
      </c>
      <c r="J5467" s="21" t="n">
        <v>0</v>
      </c>
      <c r="K5467" s="21" t="n">
        <v>0</v>
      </c>
      <c r="L5467" s="21" t="n">
        <v>0</v>
      </c>
      <c r="M5467" s="21" t="n">
        <v>0</v>
      </c>
      <c r="N5467" s="21" t="n">
        <v>0</v>
      </c>
      <c r="O5467" s="21" t="n">
        <v>0</v>
      </c>
      <c r="P5467" s="21" t="n">
        <v>0</v>
      </c>
      <c r="Q5467" s="21" t="n">
        <v>0</v>
      </c>
      <c r="R5467" s="21" t="n">
        <v>0</v>
      </c>
      <c r="S5467" s="21" t="n">
        <v>0</v>
      </c>
      <c r="T5467" s="21">
        <f>$B$5338</f>
        <v/>
      </c>
      <c r="U5467" s="21">
        <f>$B$5340</f>
        <v/>
      </c>
      <c r="V5467" s="21">
        <f>0</f>
        <v/>
      </c>
      <c r="W5467" s="21">
        <f>2*$B$5339</f>
        <v/>
      </c>
      <c r="X5467" s="21">
        <f>-$B$5338</f>
        <v/>
      </c>
      <c r="Y5467" s="21">
        <f>$B$5340</f>
        <v/>
      </c>
      <c r="Z5467" s="19" t="n"/>
    </row>
    <row r="5468">
      <c r="D5468" s="21" t="n">
        <v>0</v>
      </c>
      <c r="E5468" s="21" t="n">
        <v>0</v>
      </c>
      <c r="F5468" s="21" t="n">
        <v>0</v>
      </c>
      <c r="G5468" s="21" t="n">
        <v>0</v>
      </c>
      <c r="H5468" s="21" t="n">
        <v>0</v>
      </c>
      <c r="I5468" s="21" t="n">
        <v>0</v>
      </c>
      <c r="J5468" s="21" t="n">
        <v>0</v>
      </c>
      <c r="K5468" s="21" t="n">
        <v>0</v>
      </c>
      <c r="L5468" s="21" t="n">
        <v>0</v>
      </c>
      <c r="M5468" s="21" t="n">
        <v>0</v>
      </c>
      <c r="N5468" s="21" t="n">
        <v>0</v>
      </c>
      <c r="O5468" s="21" t="n">
        <v>0</v>
      </c>
      <c r="P5468" s="21" t="n">
        <v>0</v>
      </c>
      <c r="Q5468" s="21" t="n">
        <v>0</v>
      </c>
      <c r="R5468" s="21" t="n">
        <v>0</v>
      </c>
      <c r="S5468" s="21" t="n">
        <v>0</v>
      </c>
      <c r="T5468" s="21" t="n">
        <v>0</v>
      </c>
      <c r="U5468" s="21" t="n">
        <v>0</v>
      </c>
      <c r="V5468" s="21">
        <f>-$B$5337</f>
        <v/>
      </c>
      <c r="W5468" s="21">
        <f>-$B$5338</f>
        <v/>
      </c>
      <c r="X5468" s="21">
        <f>$B$5337+$D$5446</f>
        <v/>
      </c>
      <c r="Y5468" s="21">
        <f>-$B$5338</f>
        <v/>
      </c>
      <c r="Z5468" s="19" t="n"/>
    </row>
    <row r="5469">
      <c r="D5469" s="21" t="n">
        <v>0</v>
      </c>
      <c r="E5469" s="21" t="n">
        <v>0</v>
      </c>
      <c r="F5469" s="21" t="n">
        <v>0</v>
      </c>
      <c r="G5469" s="21" t="n">
        <v>0</v>
      </c>
      <c r="H5469" s="21" t="n">
        <v>0</v>
      </c>
      <c r="I5469" s="21" t="n">
        <v>0</v>
      </c>
      <c r="J5469" s="21" t="n">
        <v>0</v>
      </c>
      <c r="K5469" s="21" t="n">
        <v>0</v>
      </c>
      <c r="L5469" s="21" t="n">
        <v>0</v>
      </c>
      <c r="M5469" s="21" t="n">
        <v>0</v>
      </c>
      <c r="N5469" s="21" t="n">
        <v>0</v>
      </c>
      <c r="O5469" s="21" t="n">
        <v>0</v>
      </c>
      <c r="P5469" s="21" t="n">
        <v>0</v>
      </c>
      <c r="Q5469" s="21" t="n">
        <v>0</v>
      </c>
      <c r="R5469" s="21" t="n">
        <v>0</v>
      </c>
      <c r="S5469" s="21" t="n">
        <v>0</v>
      </c>
      <c r="T5469" s="21" t="n">
        <v>0</v>
      </c>
      <c r="U5469" s="21" t="n">
        <v>0</v>
      </c>
      <c r="V5469" s="21">
        <f>$B$5338</f>
        <v/>
      </c>
      <c r="W5469" s="21">
        <f>$B$5340</f>
        <v/>
      </c>
      <c r="X5469" s="21">
        <f>-$B$5338</f>
        <v/>
      </c>
      <c r="Y5469" s="21">
        <f>$B$5339</f>
        <v/>
      </c>
      <c r="Z5469" s="19" t="n"/>
    </row>
    <row r="5471">
      <c r="A5471" s="8" t="inlineStr">
        <is>
          <t>gen 3</t>
        </is>
      </c>
    </row>
    <row r="5472">
      <c r="D5472" s="19">
        <f>IF(ABS(IF(ABS($E$5436)&gt;0.000000001,$E$5436,0.000000001))=0,0,IF($E$5352&lt;=$B$5346,0,IF(ABS(IF(ABS($E$5436)&gt;0.000000001,$E$5436,0.000000001))&gt;=8*$B$5348,$H$5352,0.5*$H$5352*(ABS(IF(ABS($E$5436)&gt;0.000000001,$E$5436,0.000000001))/$B$5348)^(1/3)))/ABS(IF(ABS($E$5436)&gt;0.000000001,$E$5436,0.000000001))*$I$5352)</f>
        <v/>
      </c>
      <c r="E5472" s="19">
        <f>0.5*$E$5436+0.5*$Z$5484</f>
        <v/>
      </c>
      <c r="F5472" s="19">
        <f>$Z$5485</f>
        <v/>
      </c>
    </row>
    <row r="5473">
      <c r="D5473" s="19">
        <f>IF(ABS(IF(ABS($E$5437)&gt;0.000000001,$E$5437,0.000000001))=0,0,IF($E$5353&lt;=$B$5346,0,IF(ABS(IF(ABS($E$5437)&gt;0.000000001,$E$5437,0.000000001))&gt;=8*$B$5348,$H$5353,0.5*$H$5353*(ABS(IF(ABS($E$5437)&gt;0.000000001,$E$5437,0.000000001))/$B$5348)^(1/3)))/ABS(IF(ABS($E$5437)&gt;0.000000001,$E$5437,0.000000001))*$I$5353)</f>
        <v/>
      </c>
      <c r="E5473" s="19">
        <f>0.5*$E$5437+0.5*$Z$5486</f>
        <v/>
      </c>
      <c r="F5473" s="19">
        <f>$Z$5487</f>
        <v/>
      </c>
    </row>
    <row r="5474">
      <c r="D5474" s="19">
        <f>IF(ABS(IF(ABS($E$5438)&gt;0.000000001,$E$5438,0.000000001))=0,0,IF($E$5354&lt;=$B$5346,0,IF(ABS(IF(ABS($E$5438)&gt;0.000000001,$E$5438,0.000000001))&gt;=8*$B$5348,$H$5354,0.5*$H$5354*(ABS(IF(ABS($E$5438)&gt;0.000000001,$E$5438,0.000000001))/$B$5348)^(1/3)))/ABS(IF(ABS($E$5438)&gt;0.000000001,$E$5438,0.000000001))*$I$5354)</f>
        <v/>
      </c>
      <c r="E5474" s="19">
        <f>0.5*$E$5438+0.5*$Z$5488</f>
        <v/>
      </c>
      <c r="F5474" s="19">
        <f>$Z$5489</f>
        <v/>
      </c>
    </row>
    <row r="5475">
      <c r="D5475" s="19">
        <f>IF(ABS(IF(ABS($E$5439)&gt;0.000000001,$E$5439,0.000000001))=0,0,IF($E$5355&lt;=$B$5346,0,IF(ABS(IF(ABS($E$5439)&gt;0.000000001,$E$5439,0.000000001))&gt;=8*$B$5348,$H$5355,0.5*$H$5355*(ABS(IF(ABS($E$5439)&gt;0.000000001,$E$5439,0.000000001))/$B$5348)^(1/3)))/ABS(IF(ABS($E$5439)&gt;0.000000001,$E$5439,0.000000001))*$I$5355)</f>
        <v/>
      </c>
      <c r="E5475" s="19">
        <f>0.5*$E$5439+0.5*$Z$5490</f>
        <v/>
      </c>
      <c r="F5475" s="19">
        <f>$Z$5491</f>
        <v/>
      </c>
    </row>
    <row r="5476">
      <c r="D5476" s="19">
        <f>IF(ABS(IF(ABS($E$5440)&gt;0.000000001,$E$5440,0.000000001))=0,0,IF($E$5356&lt;=$B$5346,0,IF(ABS(IF(ABS($E$5440)&gt;0.000000001,$E$5440,0.000000001))&gt;=8*$B$5348,$H$5356,0.5*$H$5356*(ABS(IF(ABS($E$5440)&gt;0.000000001,$E$5440,0.000000001))/$B$5348)^(1/3)))/ABS(IF(ABS($E$5440)&gt;0.000000001,$E$5440,0.000000001))*$I$5356)</f>
        <v/>
      </c>
      <c r="E5476" s="19">
        <f>0.5*$E$5440+0.5*$Z$5492</f>
        <v/>
      </c>
      <c r="F5476" s="19">
        <f>$Z$5493</f>
        <v/>
      </c>
    </row>
    <row r="5477">
      <c r="D5477" s="19">
        <f>IF(ABS(IF(ABS($E$5441)&gt;0.000000001,$E$5441,0.000000001))=0,0,IF($E$5357&lt;=$B$5346,0,IF(ABS(IF(ABS($E$5441)&gt;0.000000001,$E$5441,0.000000001))&gt;=8*$B$5348,$H$5357,0.5*$H$5357*(ABS(IF(ABS($E$5441)&gt;0.000000001,$E$5441,0.000000001))/$B$5348)^(1/3)))/ABS(IF(ABS($E$5441)&gt;0.000000001,$E$5441,0.000000001))*$I$5357)</f>
        <v/>
      </c>
      <c r="E5477" s="19">
        <f>0.5*$E$5441+0.5*$Z$5494</f>
        <v/>
      </c>
      <c r="F5477" s="19">
        <f>$Z$5495</f>
        <v/>
      </c>
    </row>
    <row r="5478">
      <c r="D5478" s="19">
        <f>IF(ABS(IF(ABS($E$5442)&gt;0.000000001,$E$5442,0.000000001))=0,0,IF($E$5358&lt;=$B$5346,0,IF(ABS(IF(ABS($E$5442)&gt;0.000000001,$E$5442,0.000000001))&gt;=8*$B$5348,$H$5358,0.5*$H$5358*(ABS(IF(ABS($E$5442)&gt;0.000000001,$E$5442,0.000000001))/$B$5348)^(1/3)))/ABS(IF(ABS($E$5442)&gt;0.000000001,$E$5442,0.000000001))*$I$5358)</f>
        <v/>
      </c>
      <c r="E5478" s="19">
        <f>0.5*$E$5442+0.5*$Z$5496</f>
        <v/>
      </c>
      <c r="F5478" s="19">
        <f>$Z$5497</f>
        <v/>
      </c>
    </row>
    <row r="5479">
      <c r="D5479" s="19">
        <f>IF(ABS(IF(ABS($E$5443)&gt;0.000000001,$E$5443,0.000000001))=0,0,IF($E$5359&lt;=$B$5346,0,IF(ABS(IF(ABS($E$5443)&gt;0.000000001,$E$5443,0.000000001))&gt;=8*$B$5348,$H$5359,0.5*$H$5359*(ABS(IF(ABS($E$5443)&gt;0.000000001,$E$5443,0.000000001))/$B$5348)^(1/3)))/ABS(IF(ABS($E$5443)&gt;0.000000001,$E$5443,0.000000001))*$I$5359)</f>
        <v/>
      </c>
      <c r="E5479" s="19">
        <f>0.5*$E$5443+0.5*$Z$5498</f>
        <v/>
      </c>
      <c r="F5479" s="19">
        <f>$Z$5499</f>
        <v/>
      </c>
    </row>
    <row r="5480">
      <c r="D5480" s="19">
        <f>IF(ABS(IF(ABS($E$5444)&gt;0.000000001,$E$5444,0.000000001))=0,0,IF($E$5360&lt;=$B$5346,0,IF(ABS(IF(ABS($E$5444)&gt;0.000000001,$E$5444,0.000000001))&gt;=8*$B$5348,$H$5360,0.5*$H$5360*(ABS(IF(ABS($E$5444)&gt;0.000000001,$E$5444,0.000000001))/$B$5348)^(1/3)))/ABS(IF(ABS($E$5444)&gt;0.000000001,$E$5444,0.000000001))*$I$5360)</f>
        <v/>
      </c>
      <c r="E5480" s="19">
        <f>0.5*$E$5444+0.5*$Z$5500</f>
        <v/>
      </c>
      <c r="F5480" s="19">
        <f>$Z$5501</f>
        <v/>
      </c>
    </row>
    <row r="5481">
      <c r="D5481" s="19">
        <f>IF(ABS(IF(ABS($E$5445)&gt;0.000000001,$E$5445,0.000000001))=0,0,IF($E$5361&lt;=$B$5346,0,IF(ABS(IF(ABS($E$5445)&gt;0.000000001,$E$5445,0.000000001))&gt;=8*$B$5348,$H$5361,0.5*$H$5361*(ABS(IF(ABS($E$5445)&gt;0.000000001,$E$5445,0.000000001))/$B$5348)^(1/3)))/ABS(IF(ABS($E$5445)&gt;0.000000001,$E$5445,0.000000001))*$I$5361)</f>
        <v/>
      </c>
      <c r="E5481" s="19">
        <f>0.5*$E$5445+0.5*$Z$5502</f>
        <v/>
      </c>
      <c r="F5481" s="19">
        <f>$Z$5503</f>
        <v/>
      </c>
    </row>
    <row r="5482">
      <c r="D5482" s="19">
        <f>IF(ABS(IF(ABS($E$5446)&gt;0.000000001,$E$5446,0.000000001))=0,0,IF($E$5362&lt;=$B$5346,0,IF(ABS(IF(ABS($E$5446)&gt;0.000000001,$E$5446,0.000000001))&gt;=8*$B$5348,$H$5362,0.5*$H$5362*(ABS(IF(ABS($E$5446)&gt;0.000000001,$E$5446,0.000000001))/$B$5348)^(1/3)))/ABS(IF(ABS($E$5446)&gt;0.000000001,$E$5446,0.000000001))*$I$5362)</f>
        <v/>
      </c>
      <c r="E5482" s="19">
        <f>0.5*$E$5446+0.5*$Z$5504</f>
        <v/>
      </c>
      <c r="F5482" s="19">
        <f>$Z$5505</f>
        <v/>
      </c>
    </row>
    <row r="5484">
      <c r="D5484" s="21">
        <f>$B$5337+$D$5472</f>
        <v/>
      </c>
      <c r="E5484" s="21">
        <f>$B$5338</f>
        <v/>
      </c>
      <c r="F5484" s="21">
        <f>-$B$5337</f>
        <v/>
      </c>
      <c r="G5484" s="21">
        <f>$B$5338</f>
        <v/>
      </c>
      <c r="H5484" s="21" t="n">
        <v>0</v>
      </c>
      <c r="I5484" s="21" t="n">
        <v>0</v>
      </c>
      <c r="J5484" s="21" t="n">
        <v>0</v>
      </c>
      <c r="K5484" s="21" t="n">
        <v>0</v>
      </c>
      <c r="L5484" s="21" t="n">
        <v>0</v>
      </c>
      <c r="M5484" s="21" t="n">
        <v>0</v>
      </c>
      <c r="N5484" s="21" t="n">
        <v>0</v>
      </c>
      <c r="O5484" s="21" t="n">
        <v>0</v>
      </c>
      <c r="P5484" s="21" t="n">
        <v>0</v>
      </c>
      <c r="Q5484" s="21" t="n">
        <v>0</v>
      </c>
      <c r="R5484" s="21" t="n">
        <v>0</v>
      </c>
      <c r="S5484" s="21" t="n">
        <v>0</v>
      </c>
      <c r="T5484" s="21" t="n">
        <v>0</v>
      </c>
      <c r="U5484" s="21" t="n">
        <v>0</v>
      </c>
      <c r="V5484" s="21" t="n">
        <v>0</v>
      </c>
      <c r="W5484" s="21" t="n">
        <v>0</v>
      </c>
      <c r="X5484" s="21" t="n">
        <v>0</v>
      </c>
      <c r="Y5484" s="21" t="n">
        <v>0</v>
      </c>
      <c r="Z5484" s="19">
        <f t="array" ref="Z5484:Z5505">MMULT(MINVERSE($D$5484:$Y$5505),$D$5364:$D$5385)</f>
        <v/>
      </c>
    </row>
    <row r="5485">
      <c r="D5485" s="21">
        <f>$B$5338</f>
        <v/>
      </c>
      <c r="E5485" s="21">
        <f>$B$5339</f>
        <v/>
      </c>
      <c r="F5485" s="21">
        <f>-$B$5338</f>
        <v/>
      </c>
      <c r="G5485" s="21">
        <f>$B$5340</f>
        <v/>
      </c>
      <c r="H5485" s="21" t="n">
        <v>0</v>
      </c>
      <c r="I5485" s="21" t="n">
        <v>0</v>
      </c>
      <c r="J5485" s="21" t="n">
        <v>0</v>
      </c>
      <c r="K5485" s="21" t="n">
        <v>0</v>
      </c>
      <c r="L5485" s="21" t="n">
        <v>0</v>
      </c>
      <c r="M5485" s="21" t="n">
        <v>0</v>
      </c>
      <c r="N5485" s="21" t="n">
        <v>0</v>
      </c>
      <c r="O5485" s="21" t="n">
        <v>0</v>
      </c>
      <c r="P5485" s="21" t="n">
        <v>0</v>
      </c>
      <c r="Q5485" s="21" t="n">
        <v>0</v>
      </c>
      <c r="R5485" s="21" t="n">
        <v>0</v>
      </c>
      <c r="S5485" s="21" t="n">
        <v>0</v>
      </c>
      <c r="T5485" s="21" t="n">
        <v>0</v>
      </c>
      <c r="U5485" s="21" t="n">
        <v>0</v>
      </c>
      <c r="V5485" s="21" t="n">
        <v>0</v>
      </c>
      <c r="W5485" s="21" t="n">
        <v>0</v>
      </c>
      <c r="X5485" s="21" t="n">
        <v>0</v>
      </c>
      <c r="Y5485" s="21" t="n">
        <v>0</v>
      </c>
      <c r="Z5485" s="19" t="n"/>
    </row>
    <row r="5486">
      <c r="D5486" s="21">
        <f>-$B$5337</f>
        <v/>
      </c>
      <c r="E5486" s="21">
        <f>-$B$5338</f>
        <v/>
      </c>
      <c r="F5486" s="21">
        <f>2*$B$5337+$D$5473</f>
        <v/>
      </c>
      <c r="G5486" s="21">
        <f>0</f>
        <v/>
      </c>
      <c r="H5486" s="21">
        <f>-$B$5337</f>
        <v/>
      </c>
      <c r="I5486" s="21">
        <f>$B$5338</f>
        <v/>
      </c>
      <c r="J5486" s="21" t="n">
        <v>0</v>
      </c>
      <c r="K5486" s="21" t="n">
        <v>0</v>
      </c>
      <c r="L5486" s="21" t="n">
        <v>0</v>
      </c>
      <c r="M5486" s="21" t="n">
        <v>0</v>
      </c>
      <c r="N5486" s="21" t="n">
        <v>0</v>
      </c>
      <c r="O5486" s="21" t="n">
        <v>0</v>
      </c>
      <c r="P5486" s="21" t="n">
        <v>0</v>
      </c>
      <c r="Q5486" s="21" t="n">
        <v>0</v>
      </c>
      <c r="R5486" s="21" t="n">
        <v>0</v>
      </c>
      <c r="S5486" s="21" t="n">
        <v>0</v>
      </c>
      <c r="T5486" s="21" t="n">
        <v>0</v>
      </c>
      <c r="U5486" s="21" t="n">
        <v>0</v>
      </c>
      <c r="V5486" s="21" t="n">
        <v>0</v>
      </c>
      <c r="W5486" s="21" t="n">
        <v>0</v>
      </c>
      <c r="X5486" s="21" t="n">
        <v>0</v>
      </c>
      <c r="Y5486" s="21" t="n">
        <v>0</v>
      </c>
      <c r="Z5486" s="19" t="n"/>
    </row>
    <row r="5487">
      <c r="D5487" s="21">
        <f>$B$5338</f>
        <v/>
      </c>
      <c r="E5487" s="21">
        <f>$B$5340</f>
        <v/>
      </c>
      <c r="F5487" s="21">
        <f>0</f>
        <v/>
      </c>
      <c r="G5487" s="21">
        <f>2*$B$5339</f>
        <v/>
      </c>
      <c r="H5487" s="21">
        <f>-$B$5338</f>
        <v/>
      </c>
      <c r="I5487" s="21">
        <f>$B$5340</f>
        <v/>
      </c>
      <c r="J5487" s="21" t="n">
        <v>0</v>
      </c>
      <c r="K5487" s="21" t="n">
        <v>0</v>
      </c>
      <c r="L5487" s="21" t="n">
        <v>0</v>
      </c>
      <c r="M5487" s="21" t="n">
        <v>0</v>
      </c>
      <c r="N5487" s="21" t="n">
        <v>0</v>
      </c>
      <c r="O5487" s="21" t="n">
        <v>0</v>
      </c>
      <c r="P5487" s="21" t="n">
        <v>0</v>
      </c>
      <c r="Q5487" s="21" t="n">
        <v>0</v>
      </c>
      <c r="R5487" s="21" t="n">
        <v>0</v>
      </c>
      <c r="S5487" s="21" t="n">
        <v>0</v>
      </c>
      <c r="T5487" s="21" t="n">
        <v>0</v>
      </c>
      <c r="U5487" s="21" t="n">
        <v>0</v>
      </c>
      <c r="V5487" s="21" t="n">
        <v>0</v>
      </c>
      <c r="W5487" s="21" t="n">
        <v>0</v>
      </c>
      <c r="X5487" s="21" t="n">
        <v>0</v>
      </c>
      <c r="Y5487" s="21" t="n">
        <v>0</v>
      </c>
      <c r="Z5487" s="19" t="n"/>
    </row>
    <row r="5488">
      <c r="D5488" s="21" t="n">
        <v>0</v>
      </c>
      <c r="E5488" s="21" t="n">
        <v>0</v>
      </c>
      <c r="F5488" s="21">
        <f>-$B$5337</f>
        <v/>
      </c>
      <c r="G5488" s="21">
        <f>-$B$5338</f>
        <v/>
      </c>
      <c r="H5488" s="21">
        <f>2*$B$5337+$D$5474</f>
        <v/>
      </c>
      <c r="I5488" s="21">
        <f>0</f>
        <v/>
      </c>
      <c r="J5488" s="21">
        <f>-$B$5337</f>
        <v/>
      </c>
      <c r="K5488" s="21">
        <f>$B$5338</f>
        <v/>
      </c>
      <c r="L5488" s="21" t="n">
        <v>0</v>
      </c>
      <c r="M5488" s="21" t="n">
        <v>0</v>
      </c>
      <c r="N5488" s="21" t="n">
        <v>0</v>
      </c>
      <c r="O5488" s="21" t="n">
        <v>0</v>
      </c>
      <c r="P5488" s="21" t="n">
        <v>0</v>
      </c>
      <c r="Q5488" s="21" t="n">
        <v>0</v>
      </c>
      <c r="R5488" s="21" t="n">
        <v>0</v>
      </c>
      <c r="S5488" s="21" t="n">
        <v>0</v>
      </c>
      <c r="T5488" s="21" t="n">
        <v>0</v>
      </c>
      <c r="U5488" s="21" t="n">
        <v>0</v>
      </c>
      <c r="V5488" s="21" t="n">
        <v>0</v>
      </c>
      <c r="W5488" s="21" t="n">
        <v>0</v>
      </c>
      <c r="X5488" s="21" t="n">
        <v>0</v>
      </c>
      <c r="Y5488" s="21" t="n">
        <v>0</v>
      </c>
      <c r="Z5488" s="19" t="n"/>
    </row>
    <row r="5489">
      <c r="D5489" s="21" t="n">
        <v>0</v>
      </c>
      <c r="E5489" s="21" t="n">
        <v>0</v>
      </c>
      <c r="F5489" s="21">
        <f>$B$5338</f>
        <v/>
      </c>
      <c r="G5489" s="21">
        <f>$B$5340</f>
        <v/>
      </c>
      <c r="H5489" s="21">
        <f>0</f>
        <v/>
      </c>
      <c r="I5489" s="21">
        <f>2*$B$5339</f>
        <v/>
      </c>
      <c r="J5489" s="21">
        <f>-$B$5338</f>
        <v/>
      </c>
      <c r="K5489" s="21">
        <f>$B$5340</f>
        <v/>
      </c>
      <c r="L5489" s="21" t="n">
        <v>0</v>
      </c>
      <c r="M5489" s="21" t="n">
        <v>0</v>
      </c>
      <c r="N5489" s="21" t="n">
        <v>0</v>
      </c>
      <c r="O5489" s="21" t="n">
        <v>0</v>
      </c>
      <c r="P5489" s="21" t="n">
        <v>0</v>
      </c>
      <c r="Q5489" s="21" t="n">
        <v>0</v>
      </c>
      <c r="R5489" s="21" t="n">
        <v>0</v>
      </c>
      <c r="S5489" s="21" t="n">
        <v>0</v>
      </c>
      <c r="T5489" s="21" t="n">
        <v>0</v>
      </c>
      <c r="U5489" s="21" t="n">
        <v>0</v>
      </c>
      <c r="V5489" s="21" t="n">
        <v>0</v>
      </c>
      <c r="W5489" s="21" t="n">
        <v>0</v>
      </c>
      <c r="X5489" s="21" t="n">
        <v>0</v>
      </c>
      <c r="Y5489" s="21" t="n">
        <v>0</v>
      </c>
      <c r="Z5489" s="19" t="n"/>
    </row>
    <row r="5490">
      <c r="D5490" s="21" t="n">
        <v>0</v>
      </c>
      <c r="E5490" s="21" t="n">
        <v>0</v>
      </c>
      <c r="F5490" s="21" t="n">
        <v>0</v>
      </c>
      <c r="G5490" s="21" t="n">
        <v>0</v>
      </c>
      <c r="H5490" s="21">
        <f>-$B$5337</f>
        <v/>
      </c>
      <c r="I5490" s="21">
        <f>-$B$5338</f>
        <v/>
      </c>
      <c r="J5490" s="21">
        <f>2*$B$5337+$D$5475</f>
        <v/>
      </c>
      <c r="K5490" s="21">
        <f>0</f>
        <v/>
      </c>
      <c r="L5490" s="21">
        <f>-$B$5337</f>
        <v/>
      </c>
      <c r="M5490" s="21">
        <f>$B$5338</f>
        <v/>
      </c>
      <c r="N5490" s="21" t="n">
        <v>0</v>
      </c>
      <c r="O5490" s="21" t="n">
        <v>0</v>
      </c>
      <c r="P5490" s="21" t="n">
        <v>0</v>
      </c>
      <c r="Q5490" s="21" t="n">
        <v>0</v>
      </c>
      <c r="R5490" s="21" t="n">
        <v>0</v>
      </c>
      <c r="S5490" s="21" t="n">
        <v>0</v>
      </c>
      <c r="T5490" s="21" t="n">
        <v>0</v>
      </c>
      <c r="U5490" s="21" t="n">
        <v>0</v>
      </c>
      <c r="V5490" s="21" t="n">
        <v>0</v>
      </c>
      <c r="W5490" s="21" t="n">
        <v>0</v>
      </c>
      <c r="X5490" s="21" t="n">
        <v>0</v>
      </c>
      <c r="Y5490" s="21" t="n">
        <v>0</v>
      </c>
      <c r="Z5490" s="19" t="n"/>
    </row>
    <row r="5491">
      <c r="D5491" s="21" t="n">
        <v>0</v>
      </c>
      <c r="E5491" s="21" t="n">
        <v>0</v>
      </c>
      <c r="F5491" s="21" t="n">
        <v>0</v>
      </c>
      <c r="G5491" s="21" t="n">
        <v>0</v>
      </c>
      <c r="H5491" s="21">
        <f>$B$5338</f>
        <v/>
      </c>
      <c r="I5491" s="21">
        <f>$B$5340</f>
        <v/>
      </c>
      <c r="J5491" s="21">
        <f>0</f>
        <v/>
      </c>
      <c r="K5491" s="21">
        <f>2*$B$5339</f>
        <v/>
      </c>
      <c r="L5491" s="21">
        <f>-$B$5338</f>
        <v/>
      </c>
      <c r="M5491" s="21">
        <f>$B$5340</f>
        <v/>
      </c>
      <c r="N5491" s="21" t="n">
        <v>0</v>
      </c>
      <c r="O5491" s="21" t="n">
        <v>0</v>
      </c>
      <c r="P5491" s="21" t="n">
        <v>0</v>
      </c>
      <c r="Q5491" s="21" t="n">
        <v>0</v>
      </c>
      <c r="R5491" s="21" t="n">
        <v>0</v>
      </c>
      <c r="S5491" s="21" t="n">
        <v>0</v>
      </c>
      <c r="T5491" s="21" t="n">
        <v>0</v>
      </c>
      <c r="U5491" s="21" t="n">
        <v>0</v>
      </c>
      <c r="V5491" s="21" t="n">
        <v>0</v>
      </c>
      <c r="W5491" s="21" t="n">
        <v>0</v>
      </c>
      <c r="X5491" s="21" t="n">
        <v>0</v>
      </c>
      <c r="Y5491" s="21" t="n">
        <v>0</v>
      </c>
      <c r="Z5491" s="19" t="n"/>
    </row>
    <row r="5492">
      <c r="D5492" s="21" t="n">
        <v>0</v>
      </c>
      <c r="E5492" s="21" t="n">
        <v>0</v>
      </c>
      <c r="F5492" s="21" t="n">
        <v>0</v>
      </c>
      <c r="G5492" s="21" t="n">
        <v>0</v>
      </c>
      <c r="H5492" s="21" t="n">
        <v>0</v>
      </c>
      <c r="I5492" s="21" t="n">
        <v>0</v>
      </c>
      <c r="J5492" s="21">
        <f>-$B$5337</f>
        <v/>
      </c>
      <c r="K5492" s="21">
        <f>-$B$5338</f>
        <v/>
      </c>
      <c r="L5492" s="21">
        <f>2*$B$5337+$D$5476</f>
        <v/>
      </c>
      <c r="M5492" s="21">
        <f>0</f>
        <v/>
      </c>
      <c r="N5492" s="21">
        <f>-$B$5337</f>
        <v/>
      </c>
      <c r="O5492" s="21">
        <f>$B$5338</f>
        <v/>
      </c>
      <c r="P5492" s="21" t="n">
        <v>0</v>
      </c>
      <c r="Q5492" s="21" t="n">
        <v>0</v>
      </c>
      <c r="R5492" s="21" t="n">
        <v>0</v>
      </c>
      <c r="S5492" s="21" t="n">
        <v>0</v>
      </c>
      <c r="T5492" s="21" t="n">
        <v>0</v>
      </c>
      <c r="U5492" s="21" t="n">
        <v>0</v>
      </c>
      <c r="V5492" s="21" t="n">
        <v>0</v>
      </c>
      <c r="W5492" s="21" t="n">
        <v>0</v>
      </c>
      <c r="X5492" s="21" t="n">
        <v>0</v>
      </c>
      <c r="Y5492" s="21" t="n">
        <v>0</v>
      </c>
      <c r="Z5492" s="19" t="n"/>
    </row>
    <row r="5493">
      <c r="D5493" s="21" t="n">
        <v>0</v>
      </c>
      <c r="E5493" s="21" t="n">
        <v>0</v>
      </c>
      <c r="F5493" s="21" t="n">
        <v>0</v>
      </c>
      <c r="G5493" s="21" t="n">
        <v>0</v>
      </c>
      <c r="H5493" s="21" t="n">
        <v>0</v>
      </c>
      <c r="I5493" s="21" t="n">
        <v>0</v>
      </c>
      <c r="J5493" s="21">
        <f>$B$5338</f>
        <v/>
      </c>
      <c r="K5493" s="21">
        <f>$B$5340</f>
        <v/>
      </c>
      <c r="L5493" s="21">
        <f>0</f>
        <v/>
      </c>
      <c r="M5493" s="21">
        <f>2*$B$5339</f>
        <v/>
      </c>
      <c r="N5493" s="21">
        <f>-$B$5338</f>
        <v/>
      </c>
      <c r="O5493" s="21">
        <f>$B$5340</f>
        <v/>
      </c>
      <c r="P5493" s="21" t="n">
        <v>0</v>
      </c>
      <c r="Q5493" s="21" t="n">
        <v>0</v>
      </c>
      <c r="R5493" s="21" t="n">
        <v>0</v>
      </c>
      <c r="S5493" s="21" t="n">
        <v>0</v>
      </c>
      <c r="T5493" s="21" t="n">
        <v>0</v>
      </c>
      <c r="U5493" s="21" t="n">
        <v>0</v>
      </c>
      <c r="V5493" s="21" t="n">
        <v>0</v>
      </c>
      <c r="W5493" s="21" t="n">
        <v>0</v>
      </c>
      <c r="X5493" s="21" t="n">
        <v>0</v>
      </c>
      <c r="Y5493" s="21" t="n">
        <v>0</v>
      </c>
      <c r="Z5493" s="19" t="n"/>
    </row>
    <row r="5494">
      <c r="D5494" s="21" t="n">
        <v>0</v>
      </c>
      <c r="E5494" s="21" t="n">
        <v>0</v>
      </c>
      <c r="F5494" s="21" t="n">
        <v>0</v>
      </c>
      <c r="G5494" s="21" t="n">
        <v>0</v>
      </c>
      <c r="H5494" s="21" t="n">
        <v>0</v>
      </c>
      <c r="I5494" s="21" t="n">
        <v>0</v>
      </c>
      <c r="J5494" s="21" t="n">
        <v>0</v>
      </c>
      <c r="K5494" s="21" t="n">
        <v>0</v>
      </c>
      <c r="L5494" s="21">
        <f>-$B$5337</f>
        <v/>
      </c>
      <c r="M5494" s="21">
        <f>-$B$5338</f>
        <v/>
      </c>
      <c r="N5494" s="21">
        <f>2*$B$5337+$D$5477</f>
        <v/>
      </c>
      <c r="O5494" s="21">
        <f>0</f>
        <v/>
      </c>
      <c r="P5494" s="21">
        <f>-$B$5337</f>
        <v/>
      </c>
      <c r="Q5494" s="21">
        <f>$B$5338</f>
        <v/>
      </c>
      <c r="R5494" s="21" t="n">
        <v>0</v>
      </c>
      <c r="S5494" s="21" t="n">
        <v>0</v>
      </c>
      <c r="T5494" s="21" t="n">
        <v>0</v>
      </c>
      <c r="U5494" s="21" t="n">
        <v>0</v>
      </c>
      <c r="V5494" s="21" t="n">
        <v>0</v>
      </c>
      <c r="W5494" s="21" t="n">
        <v>0</v>
      </c>
      <c r="X5494" s="21" t="n">
        <v>0</v>
      </c>
      <c r="Y5494" s="21" t="n">
        <v>0</v>
      </c>
      <c r="Z5494" s="19" t="n"/>
    </row>
    <row r="5495">
      <c r="D5495" s="21" t="n">
        <v>0</v>
      </c>
      <c r="E5495" s="21" t="n">
        <v>0</v>
      </c>
      <c r="F5495" s="21" t="n">
        <v>0</v>
      </c>
      <c r="G5495" s="21" t="n">
        <v>0</v>
      </c>
      <c r="H5495" s="21" t="n">
        <v>0</v>
      </c>
      <c r="I5495" s="21" t="n">
        <v>0</v>
      </c>
      <c r="J5495" s="21" t="n">
        <v>0</v>
      </c>
      <c r="K5495" s="21" t="n">
        <v>0</v>
      </c>
      <c r="L5495" s="21">
        <f>$B$5338</f>
        <v/>
      </c>
      <c r="M5495" s="21">
        <f>$B$5340</f>
        <v/>
      </c>
      <c r="N5495" s="21">
        <f>0</f>
        <v/>
      </c>
      <c r="O5495" s="21">
        <f>2*$B$5339</f>
        <v/>
      </c>
      <c r="P5495" s="21">
        <f>-$B$5338</f>
        <v/>
      </c>
      <c r="Q5495" s="21">
        <f>$B$5340</f>
        <v/>
      </c>
      <c r="R5495" s="21" t="n">
        <v>0</v>
      </c>
      <c r="S5495" s="21" t="n">
        <v>0</v>
      </c>
      <c r="T5495" s="21" t="n">
        <v>0</v>
      </c>
      <c r="U5495" s="21" t="n">
        <v>0</v>
      </c>
      <c r="V5495" s="21" t="n">
        <v>0</v>
      </c>
      <c r="W5495" s="21" t="n">
        <v>0</v>
      </c>
      <c r="X5495" s="21" t="n">
        <v>0</v>
      </c>
      <c r="Y5495" s="21" t="n">
        <v>0</v>
      </c>
      <c r="Z5495" s="19" t="n"/>
    </row>
    <row r="5496">
      <c r="D5496" s="21" t="n">
        <v>0</v>
      </c>
      <c r="E5496" s="21" t="n">
        <v>0</v>
      </c>
      <c r="F5496" s="21" t="n">
        <v>0</v>
      </c>
      <c r="G5496" s="21" t="n">
        <v>0</v>
      </c>
      <c r="H5496" s="21" t="n">
        <v>0</v>
      </c>
      <c r="I5496" s="21" t="n">
        <v>0</v>
      </c>
      <c r="J5496" s="21" t="n">
        <v>0</v>
      </c>
      <c r="K5496" s="21" t="n">
        <v>0</v>
      </c>
      <c r="L5496" s="21" t="n">
        <v>0</v>
      </c>
      <c r="M5496" s="21" t="n">
        <v>0</v>
      </c>
      <c r="N5496" s="21">
        <f>-$B$5337</f>
        <v/>
      </c>
      <c r="O5496" s="21">
        <f>-$B$5338</f>
        <v/>
      </c>
      <c r="P5496" s="21">
        <f>2*$B$5337+$D$5478</f>
        <v/>
      </c>
      <c r="Q5496" s="21">
        <f>0</f>
        <v/>
      </c>
      <c r="R5496" s="21">
        <f>-$B$5337</f>
        <v/>
      </c>
      <c r="S5496" s="21">
        <f>$B$5338</f>
        <v/>
      </c>
      <c r="T5496" s="21" t="n">
        <v>0</v>
      </c>
      <c r="U5496" s="21" t="n">
        <v>0</v>
      </c>
      <c r="V5496" s="21" t="n">
        <v>0</v>
      </c>
      <c r="W5496" s="21" t="n">
        <v>0</v>
      </c>
      <c r="X5496" s="21" t="n">
        <v>0</v>
      </c>
      <c r="Y5496" s="21" t="n">
        <v>0</v>
      </c>
      <c r="Z5496" s="19" t="n"/>
    </row>
    <row r="5497">
      <c r="D5497" s="21" t="n">
        <v>0</v>
      </c>
      <c r="E5497" s="21" t="n">
        <v>0</v>
      </c>
      <c r="F5497" s="21" t="n">
        <v>0</v>
      </c>
      <c r="G5497" s="21" t="n">
        <v>0</v>
      </c>
      <c r="H5497" s="21" t="n">
        <v>0</v>
      </c>
      <c r="I5497" s="21" t="n">
        <v>0</v>
      </c>
      <c r="J5497" s="21" t="n">
        <v>0</v>
      </c>
      <c r="K5497" s="21" t="n">
        <v>0</v>
      </c>
      <c r="L5497" s="21" t="n">
        <v>0</v>
      </c>
      <c r="M5497" s="21" t="n">
        <v>0</v>
      </c>
      <c r="N5497" s="21">
        <f>$B$5338</f>
        <v/>
      </c>
      <c r="O5497" s="21">
        <f>$B$5340</f>
        <v/>
      </c>
      <c r="P5497" s="21">
        <f>0</f>
        <v/>
      </c>
      <c r="Q5497" s="21">
        <f>2*$B$5339</f>
        <v/>
      </c>
      <c r="R5497" s="21">
        <f>-$B$5338</f>
        <v/>
      </c>
      <c r="S5497" s="21">
        <f>$B$5340</f>
        <v/>
      </c>
      <c r="T5497" s="21" t="n">
        <v>0</v>
      </c>
      <c r="U5497" s="21" t="n">
        <v>0</v>
      </c>
      <c r="V5497" s="21" t="n">
        <v>0</v>
      </c>
      <c r="W5497" s="21" t="n">
        <v>0</v>
      </c>
      <c r="X5497" s="21" t="n">
        <v>0</v>
      </c>
      <c r="Y5497" s="21" t="n">
        <v>0</v>
      </c>
      <c r="Z5497" s="19" t="n"/>
    </row>
    <row r="5498">
      <c r="D5498" s="21" t="n">
        <v>0</v>
      </c>
      <c r="E5498" s="21" t="n">
        <v>0</v>
      </c>
      <c r="F5498" s="21" t="n">
        <v>0</v>
      </c>
      <c r="G5498" s="21" t="n">
        <v>0</v>
      </c>
      <c r="H5498" s="21" t="n">
        <v>0</v>
      </c>
      <c r="I5498" s="21" t="n">
        <v>0</v>
      </c>
      <c r="J5498" s="21" t="n">
        <v>0</v>
      </c>
      <c r="K5498" s="21" t="n">
        <v>0</v>
      </c>
      <c r="L5498" s="21" t="n">
        <v>0</v>
      </c>
      <c r="M5498" s="21" t="n">
        <v>0</v>
      </c>
      <c r="N5498" s="21" t="n">
        <v>0</v>
      </c>
      <c r="O5498" s="21" t="n">
        <v>0</v>
      </c>
      <c r="P5498" s="21">
        <f>-$B$5337</f>
        <v/>
      </c>
      <c r="Q5498" s="21">
        <f>-$B$5338</f>
        <v/>
      </c>
      <c r="R5498" s="21">
        <f>2*$B$5337+$D$5479</f>
        <v/>
      </c>
      <c r="S5498" s="21">
        <f>0</f>
        <v/>
      </c>
      <c r="T5498" s="21">
        <f>-$B$5337</f>
        <v/>
      </c>
      <c r="U5498" s="21">
        <f>$B$5338</f>
        <v/>
      </c>
      <c r="V5498" s="21" t="n">
        <v>0</v>
      </c>
      <c r="W5498" s="21" t="n">
        <v>0</v>
      </c>
      <c r="X5498" s="21" t="n">
        <v>0</v>
      </c>
      <c r="Y5498" s="21" t="n">
        <v>0</v>
      </c>
      <c r="Z5498" s="19" t="n"/>
    </row>
    <row r="5499">
      <c r="D5499" s="21" t="n">
        <v>0</v>
      </c>
      <c r="E5499" s="21" t="n">
        <v>0</v>
      </c>
      <c r="F5499" s="21" t="n">
        <v>0</v>
      </c>
      <c r="G5499" s="21" t="n">
        <v>0</v>
      </c>
      <c r="H5499" s="21" t="n">
        <v>0</v>
      </c>
      <c r="I5499" s="21" t="n">
        <v>0</v>
      </c>
      <c r="J5499" s="21" t="n">
        <v>0</v>
      </c>
      <c r="K5499" s="21" t="n">
        <v>0</v>
      </c>
      <c r="L5499" s="21" t="n">
        <v>0</v>
      </c>
      <c r="M5499" s="21" t="n">
        <v>0</v>
      </c>
      <c r="N5499" s="21" t="n">
        <v>0</v>
      </c>
      <c r="O5499" s="21" t="n">
        <v>0</v>
      </c>
      <c r="P5499" s="21">
        <f>$B$5338</f>
        <v/>
      </c>
      <c r="Q5499" s="21">
        <f>$B$5340</f>
        <v/>
      </c>
      <c r="R5499" s="21">
        <f>0</f>
        <v/>
      </c>
      <c r="S5499" s="21">
        <f>2*$B$5339</f>
        <v/>
      </c>
      <c r="T5499" s="21">
        <f>-$B$5338</f>
        <v/>
      </c>
      <c r="U5499" s="21">
        <f>$B$5340</f>
        <v/>
      </c>
      <c r="V5499" s="21" t="n">
        <v>0</v>
      </c>
      <c r="W5499" s="21" t="n">
        <v>0</v>
      </c>
      <c r="X5499" s="21" t="n">
        <v>0</v>
      </c>
      <c r="Y5499" s="21" t="n">
        <v>0</v>
      </c>
      <c r="Z5499" s="19" t="n"/>
    </row>
    <row r="5500">
      <c r="D5500" s="21" t="n">
        <v>0</v>
      </c>
      <c r="E5500" s="21" t="n">
        <v>0</v>
      </c>
      <c r="F5500" s="21" t="n">
        <v>0</v>
      </c>
      <c r="G5500" s="21" t="n">
        <v>0</v>
      </c>
      <c r="H5500" s="21" t="n">
        <v>0</v>
      </c>
      <c r="I5500" s="21" t="n">
        <v>0</v>
      </c>
      <c r="J5500" s="21" t="n">
        <v>0</v>
      </c>
      <c r="K5500" s="21" t="n">
        <v>0</v>
      </c>
      <c r="L5500" s="21" t="n">
        <v>0</v>
      </c>
      <c r="M5500" s="21" t="n">
        <v>0</v>
      </c>
      <c r="N5500" s="21" t="n">
        <v>0</v>
      </c>
      <c r="O5500" s="21" t="n">
        <v>0</v>
      </c>
      <c r="P5500" s="21" t="n">
        <v>0</v>
      </c>
      <c r="Q5500" s="21" t="n">
        <v>0</v>
      </c>
      <c r="R5500" s="21">
        <f>-$B$5337</f>
        <v/>
      </c>
      <c r="S5500" s="21">
        <f>-$B$5338</f>
        <v/>
      </c>
      <c r="T5500" s="21">
        <f>2*$B$5337+$D$5480</f>
        <v/>
      </c>
      <c r="U5500" s="21">
        <f>0</f>
        <v/>
      </c>
      <c r="V5500" s="21">
        <f>-$B$5337</f>
        <v/>
      </c>
      <c r="W5500" s="21">
        <f>$B$5338</f>
        <v/>
      </c>
      <c r="X5500" s="21" t="n">
        <v>0</v>
      </c>
      <c r="Y5500" s="21" t="n">
        <v>0</v>
      </c>
      <c r="Z5500" s="19" t="n"/>
    </row>
    <row r="5501">
      <c r="D5501" s="21" t="n">
        <v>0</v>
      </c>
      <c r="E5501" s="21" t="n">
        <v>0</v>
      </c>
      <c r="F5501" s="21" t="n">
        <v>0</v>
      </c>
      <c r="G5501" s="21" t="n">
        <v>0</v>
      </c>
      <c r="H5501" s="21" t="n">
        <v>0</v>
      </c>
      <c r="I5501" s="21" t="n">
        <v>0</v>
      </c>
      <c r="J5501" s="21" t="n">
        <v>0</v>
      </c>
      <c r="K5501" s="21" t="n">
        <v>0</v>
      </c>
      <c r="L5501" s="21" t="n">
        <v>0</v>
      </c>
      <c r="M5501" s="21" t="n">
        <v>0</v>
      </c>
      <c r="N5501" s="21" t="n">
        <v>0</v>
      </c>
      <c r="O5501" s="21" t="n">
        <v>0</v>
      </c>
      <c r="P5501" s="21" t="n">
        <v>0</v>
      </c>
      <c r="Q5501" s="21" t="n">
        <v>0</v>
      </c>
      <c r="R5501" s="21">
        <f>$B$5338</f>
        <v/>
      </c>
      <c r="S5501" s="21">
        <f>$B$5340</f>
        <v/>
      </c>
      <c r="T5501" s="21">
        <f>0</f>
        <v/>
      </c>
      <c r="U5501" s="21">
        <f>2*$B$5339</f>
        <v/>
      </c>
      <c r="V5501" s="21">
        <f>-$B$5338</f>
        <v/>
      </c>
      <c r="W5501" s="21">
        <f>$B$5340</f>
        <v/>
      </c>
      <c r="X5501" s="21" t="n">
        <v>0</v>
      </c>
      <c r="Y5501" s="21" t="n">
        <v>0</v>
      </c>
      <c r="Z5501" s="19" t="n"/>
    </row>
    <row r="5502">
      <c r="D5502" s="21" t="n">
        <v>0</v>
      </c>
      <c r="E5502" s="21" t="n">
        <v>0</v>
      </c>
      <c r="F5502" s="21" t="n">
        <v>0</v>
      </c>
      <c r="G5502" s="21" t="n">
        <v>0</v>
      </c>
      <c r="H5502" s="21" t="n">
        <v>0</v>
      </c>
      <c r="I5502" s="21" t="n">
        <v>0</v>
      </c>
      <c r="J5502" s="21" t="n">
        <v>0</v>
      </c>
      <c r="K5502" s="21" t="n">
        <v>0</v>
      </c>
      <c r="L5502" s="21" t="n">
        <v>0</v>
      </c>
      <c r="M5502" s="21" t="n">
        <v>0</v>
      </c>
      <c r="N5502" s="21" t="n">
        <v>0</v>
      </c>
      <c r="O5502" s="21" t="n">
        <v>0</v>
      </c>
      <c r="P5502" s="21" t="n">
        <v>0</v>
      </c>
      <c r="Q5502" s="21" t="n">
        <v>0</v>
      </c>
      <c r="R5502" s="21" t="n">
        <v>0</v>
      </c>
      <c r="S5502" s="21" t="n">
        <v>0</v>
      </c>
      <c r="T5502" s="21">
        <f>-$B$5337</f>
        <v/>
      </c>
      <c r="U5502" s="21">
        <f>-$B$5338</f>
        <v/>
      </c>
      <c r="V5502" s="21">
        <f>2*$B$5337+$D$5481</f>
        <v/>
      </c>
      <c r="W5502" s="21">
        <f>0</f>
        <v/>
      </c>
      <c r="X5502" s="21">
        <f>-$B$5337</f>
        <v/>
      </c>
      <c r="Y5502" s="21">
        <f>$B$5338</f>
        <v/>
      </c>
      <c r="Z5502" s="19" t="n"/>
    </row>
    <row r="5503">
      <c r="D5503" s="21" t="n">
        <v>0</v>
      </c>
      <c r="E5503" s="21" t="n">
        <v>0</v>
      </c>
      <c r="F5503" s="21" t="n">
        <v>0</v>
      </c>
      <c r="G5503" s="21" t="n">
        <v>0</v>
      </c>
      <c r="H5503" s="21" t="n">
        <v>0</v>
      </c>
      <c r="I5503" s="21" t="n">
        <v>0</v>
      </c>
      <c r="J5503" s="21" t="n">
        <v>0</v>
      </c>
      <c r="K5503" s="21" t="n">
        <v>0</v>
      </c>
      <c r="L5503" s="21" t="n">
        <v>0</v>
      </c>
      <c r="M5503" s="21" t="n">
        <v>0</v>
      </c>
      <c r="N5503" s="21" t="n">
        <v>0</v>
      </c>
      <c r="O5503" s="21" t="n">
        <v>0</v>
      </c>
      <c r="P5503" s="21" t="n">
        <v>0</v>
      </c>
      <c r="Q5503" s="21" t="n">
        <v>0</v>
      </c>
      <c r="R5503" s="21" t="n">
        <v>0</v>
      </c>
      <c r="S5503" s="21" t="n">
        <v>0</v>
      </c>
      <c r="T5503" s="21">
        <f>$B$5338</f>
        <v/>
      </c>
      <c r="U5503" s="21">
        <f>$B$5340</f>
        <v/>
      </c>
      <c r="V5503" s="21">
        <f>0</f>
        <v/>
      </c>
      <c r="W5503" s="21">
        <f>2*$B$5339</f>
        <v/>
      </c>
      <c r="X5503" s="21">
        <f>-$B$5338</f>
        <v/>
      </c>
      <c r="Y5503" s="21">
        <f>$B$5340</f>
        <v/>
      </c>
      <c r="Z5503" s="19" t="n"/>
    </row>
    <row r="5504">
      <c r="D5504" s="21" t="n">
        <v>0</v>
      </c>
      <c r="E5504" s="21" t="n">
        <v>0</v>
      </c>
      <c r="F5504" s="21" t="n">
        <v>0</v>
      </c>
      <c r="G5504" s="21" t="n">
        <v>0</v>
      </c>
      <c r="H5504" s="21" t="n">
        <v>0</v>
      </c>
      <c r="I5504" s="21" t="n">
        <v>0</v>
      </c>
      <c r="J5504" s="21" t="n">
        <v>0</v>
      </c>
      <c r="K5504" s="21" t="n">
        <v>0</v>
      </c>
      <c r="L5504" s="21" t="n">
        <v>0</v>
      </c>
      <c r="M5504" s="21" t="n">
        <v>0</v>
      </c>
      <c r="N5504" s="21" t="n">
        <v>0</v>
      </c>
      <c r="O5504" s="21" t="n">
        <v>0</v>
      </c>
      <c r="P5504" s="21" t="n">
        <v>0</v>
      </c>
      <c r="Q5504" s="21" t="n">
        <v>0</v>
      </c>
      <c r="R5504" s="21" t="n">
        <v>0</v>
      </c>
      <c r="S5504" s="21" t="n">
        <v>0</v>
      </c>
      <c r="T5504" s="21" t="n">
        <v>0</v>
      </c>
      <c r="U5504" s="21" t="n">
        <v>0</v>
      </c>
      <c r="V5504" s="21">
        <f>-$B$5337</f>
        <v/>
      </c>
      <c r="W5504" s="21">
        <f>-$B$5338</f>
        <v/>
      </c>
      <c r="X5504" s="21">
        <f>$B$5337+$D$5482</f>
        <v/>
      </c>
      <c r="Y5504" s="21">
        <f>-$B$5338</f>
        <v/>
      </c>
      <c r="Z5504" s="19" t="n"/>
    </row>
    <row r="5505">
      <c r="D5505" s="21" t="n">
        <v>0</v>
      </c>
      <c r="E5505" s="21" t="n">
        <v>0</v>
      </c>
      <c r="F5505" s="21" t="n">
        <v>0</v>
      </c>
      <c r="G5505" s="21" t="n">
        <v>0</v>
      </c>
      <c r="H5505" s="21" t="n">
        <v>0</v>
      </c>
      <c r="I5505" s="21" t="n">
        <v>0</v>
      </c>
      <c r="J5505" s="21" t="n">
        <v>0</v>
      </c>
      <c r="K5505" s="21" t="n">
        <v>0</v>
      </c>
      <c r="L5505" s="21" t="n">
        <v>0</v>
      </c>
      <c r="M5505" s="21" t="n">
        <v>0</v>
      </c>
      <c r="N5505" s="21" t="n">
        <v>0</v>
      </c>
      <c r="O5505" s="21" t="n">
        <v>0</v>
      </c>
      <c r="P5505" s="21" t="n">
        <v>0</v>
      </c>
      <c r="Q5505" s="21" t="n">
        <v>0</v>
      </c>
      <c r="R5505" s="21" t="n">
        <v>0</v>
      </c>
      <c r="S5505" s="21" t="n">
        <v>0</v>
      </c>
      <c r="T5505" s="21" t="n">
        <v>0</v>
      </c>
      <c r="U5505" s="21" t="n">
        <v>0</v>
      </c>
      <c r="V5505" s="21">
        <f>$B$5338</f>
        <v/>
      </c>
      <c r="W5505" s="21">
        <f>$B$5340</f>
        <v/>
      </c>
      <c r="X5505" s="21">
        <f>-$B$5338</f>
        <v/>
      </c>
      <c r="Y5505" s="21">
        <f>$B$5339</f>
        <v/>
      </c>
      <c r="Z5505" s="19" t="n"/>
    </row>
    <row r="5507">
      <c r="A5507" s="8" t="inlineStr">
        <is>
          <t>gen 4</t>
        </is>
      </c>
    </row>
    <row r="5508">
      <c r="D5508" s="19">
        <f>IF(ABS(IF(ABS($E$5472)&gt;0.000000001,$E$5472,0.000000001))=0,0,IF($E$5352&lt;=$B$5346,0,IF(ABS(IF(ABS($E$5472)&gt;0.000000001,$E$5472,0.000000001))&gt;=8*$B$5348,$H$5352,0.5*$H$5352*(ABS(IF(ABS($E$5472)&gt;0.000000001,$E$5472,0.000000001))/$B$5348)^(1/3)))/ABS(IF(ABS($E$5472)&gt;0.000000001,$E$5472,0.000000001))*$I$5352)</f>
        <v/>
      </c>
      <c r="E5508" s="19">
        <f>0.5*$E$5472+0.5*$Z$5520</f>
        <v/>
      </c>
      <c r="F5508" s="19">
        <f>$Z$5521</f>
        <v/>
      </c>
    </row>
    <row r="5509">
      <c r="D5509" s="19">
        <f>IF(ABS(IF(ABS($E$5473)&gt;0.000000001,$E$5473,0.000000001))=0,0,IF($E$5353&lt;=$B$5346,0,IF(ABS(IF(ABS($E$5473)&gt;0.000000001,$E$5473,0.000000001))&gt;=8*$B$5348,$H$5353,0.5*$H$5353*(ABS(IF(ABS($E$5473)&gt;0.000000001,$E$5473,0.000000001))/$B$5348)^(1/3)))/ABS(IF(ABS($E$5473)&gt;0.000000001,$E$5473,0.000000001))*$I$5353)</f>
        <v/>
      </c>
      <c r="E5509" s="19">
        <f>0.5*$E$5473+0.5*$Z$5522</f>
        <v/>
      </c>
      <c r="F5509" s="19">
        <f>$Z$5523</f>
        <v/>
      </c>
    </row>
    <row r="5510">
      <c r="D5510" s="19">
        <f>IF(ABS(IF(ABS($E$5474)&gt;0.000000001,$E$5474,0.000000001))=0,0,IF($E$5354&lt;=$B$5346,0,IF(ABS(IF(ABS($E$5474)&gt;0.000000001,$E$5474,0.000000001))&gt;=8*$B$5348,$H$5354,0.5*$H$5354*(ABS(IF(ABS($E$5474)&gt;0.000000001,$E$5474,0.000000001))/$B$5348)^(1/3)))/ABS(IF(ABS($E$5474)&gt;0.000000001,$E$5474,0.000000001))*$I$5354)</f>
        <v/>
      </c>
      <c r="E5510" s="19">
        <f>0.5*$E$5474+0.5*$Z$5524</f>
        <v/>
      </c>
      <c r="F5510" s="19">
        <f>$Z$5525</f>
        <v/>
      </c>
    </row>
    <row r="5511">
      <c r="D5511" s="19">
        <f>IF(ABS(IF(ABS($E$5475)&gt;0.000000001,$E$5475,0.000000001))=0,0,IF($E$5355&lt;=$B$5346,0,IF(ABS(IF(ABS($E$5475)&gt;0.000000001,$E$5475,0.000000001))&gt;=8*$B$5348,$H$5355,0.5*$H$5355*(ABS(IF(ABS($E$5475)&gt;0.000000001,$E$5475,0.000000001))/$B$5348)^(1/3)))/ABS(IF(ABS($E$5475)&gt;0.000000001,$E$5475,0.000000001))*$I$5355)</f>
        <v/>
      </c>
      <c r="E5511" s="19">
        <f>0.5*$E$5475+0.5*$Z$5526</f>
        <v/>
      </c>
      <c r="F5511" s="19">
        <f>$Z$5527</f>
        <v/>
      </c>
    </row>
    <row r="5512">
      <c r="D5512" s="19">
        <f>IF(ABS(IF(ABS($E$5476)&gt;0.000000001,$E$5476,0.000000001))=0,0,IF($E$5356&lt;=$B$5346,0,IF(ABS(IF(ABS($E$5476)&gt;0.000000001,$E$5476,0.000000001))&gt;=8*$B$5348,$H$5356,0.5*$H$5356*(ABS(IF(ABS($E$5476)&gt;0.000000001,$E$5476,0.000000001))/$B$5348)^(1/3)))/ABS(IF(ABS($E$5476)&gt;0.000000001,$E$5476,0.000000001))*$I$5356)</f>
        <v/>
      </c>
      <c r="E5512" s="19">
        <f>0.5*$E$5476+0.5*$Z$5528</f>
        <v/>
      </c>
      <c r="F5512" s="19">
        <f>$Z$5529</f>
        <v/>
      </c>
    </row>
    <row r="5513">
      <c r="D5513" s="19">
        <f>IF(ABS(IF(ABS($E$5477)&gt;0.000000001,$E$5477,0.000000001))=0,0,IF($E$5357&lt;=$B$5346,0,IF(ABS(IF(ABS($E$5477)&gt;0.000000001,$E$5477,0.000000001))&gt;=8*$B$5348,$H$5357,0.5*$H$5357*(ABS(IF(ABS($E$5477)&gt;0.000000001,$E$5477,0.000000001))/$B$5348)^(1/3)))/ABS(IF(ABS($E$5477)&gt;0.000000001,$E$5477,0.000000001))*$I$5357)</f>
        <v/>
      </c>
      <c r="E5513" s="19">
        <f>0.5*$E$5477+0.5*$Z$5530</f>
        <v/>
      </c>
      <c r="F5513" s="19">
        <f>$Z$5531</f>
        <v/>
      </c>
    </row>
    <row r="5514">
      <c r="D5514" s="19">
        <f>IF(ABS(IF(ABS($E$5478)&gt;0.000000001,$E$5478,0.000000001))=0,0,IF($E$5358&lt;=$B$5346,0,IF(ABS(IF(ABS($E$5478)&gt;0.000000001,$E$5478,0.000000001))&gt;=8*$B$5348,$H$5358,0.5*$H$5358*(ABS(IF(ABS($E$5478)&gt;0.000000001,$E$5478,0.000000001))/$B$5348)^(1/3)))/ABS(IF(ABS($E$5478)&gt;0.000000001,$E$5478,0.000000001))*$I$5358)</f>
        <v/>
      </c>
      <c r="E5514" s="19">
        <f>0.5*$E$5478+0.5*$Z$5532</f>
        <v/>
      </c>
      <c r="F5514" s="19">
        <f>$Z$5533</f>
        <v/>
      </c>
    </row>
    <row r="5515">
      <c r="D5515" s="19">
        <f>IF(ABS(IF(ABS($E$5479)&gt;0.000000001,$E$5479,0.000000001))=0,0,IF($E$5359&lt;=$B$5346,0,IF(ABS(IF(ABS($E$5479)&gt;0.000000001,$E$5479,0.000000001))&gt;=8*$B$5348,$H$5359,0.5*$H$5359*(ABS(IF(ABS($E$5479)&gt;0.000000001,$E$5479,0.000000001))/$B$5348)^(1/3)))/ABS(IF(ABS($E$5479)&gt;0.000000001,$E$5479,0.000000001))*$I$5359)</f>
        <v/>
      </c>
      <c r="E5515" s="19">
        <f>0.5*$E$5479+0.5*$Z$5534</f>
        <v/>
      </c>
      <c r="F5515" s="19">
        <f>$Z$5535</f>
        <v/>
      </c>
    </row>
    <row r="5516">
      <c r="D5516" s="19">
        <f>IF(ABS(IF(ABS($E$5480)&gt;0.000000001,$E$5480,0.000000001))=0,0,IF($E$5360&lt;=$B$5346,0,IF(ABS(IF(ABS($E$5480)&gt;0.000000001,$E$5480,0.000000001))&gt;=8*$B$5348,$H$5360,0.5*$H$5360*(ABS(IF(ABS($E$5480)&gt;0.000000001,$E$5480,0.000000001))/$B$5348)^(1/3)))/ABS(IF(ABS($E$5480)&gt;0.000000001,$E$5480,0.000000001))*$I$5360)</f>
        <v/>
      </c>
      <c r="E5516" s="19">
        <f>0.5*$E$5480+0.5*$Z$5536</f>
        <v/>
      </c>
      <c r="F5516" s="19">
        <f>$Z$5537</f>
        <v/>
      </c>
    </row>
    <row r="5517">
      <c r="D5517" s="19">
        <f>IF(ABS(IF(ABS($E$5481)&gt;0.000000001,$E$5481,0.000000001))=0,0,IF($E$5361&lt;=$B$5346,0,IF(ABS(IF(ABS($E$5481)&gt;0.000000001,$E$5481,0.000000001))&gt;=8*$B$5348,$H$5361,0.5*$H$5361*(ABS(IF(ABS($E$5481)&gt;0.000000001,$E$5481,0.000000001))/$B$5348)^(1/3)))/ABS(IF(ABS($E$5481)&gt;0.000000001,$E$5481,0.000000001))*$I$5361)</f>
        <v/>
      </c>
      <c r="E5517" s="19">
        <f>0.5*$E$5481+0.5*$Z$5538</f>
        <v/>
      </c>
      <c r="F5517" s="19">
        <f>$Z$5539</f>
        <v/>
      </c>
    </row>
    <row r="5518">
      <c r="D5518" s="19">
        <f>IF(ABS(IF(ABS($E$5482)&gt;0.000000001,$E$5482,0.000000001))=0,0,IF($E$5362&lt;=$B$5346,0,IF(ABS(IF(ABS($E$5482)&gt;0.000000001,$E$5482,0.000000001))&gt;=8*$B$5348,$H$5362,0.5*$H$5362*(ABS(IF(ABS($E$5482)&gt;0.000000001,$E$5482,0.000000001))/$B$5348)^(1/3)))/ABS(IF(ABS($E$5482)&gt;0.000000001,$E$5482,0.000000001))*$I$5362)</f>
        <v/>
      </c>
      <c r="E5518" s="19">
        <f>0.5*$E$5482+0.5*$Z$5540</f>
        <v/>
      </c>
      <c r="F5518" s="19">
        <f>$Z$5541</f>
        <v/>
      </c>
    </row>
    <row r="5520">
      <c r="D5520" s="21">
        <f>$B$5337+$D$5508</f>
        <v/>
      </c>
      <c r="E5520" s="21">
        <f>$B$5338</f>
        <v/>
      </c>
      <c r="F5520" s="21">
        <f>-$B$5337</f>
        <v/>
      </c>
      <c r="G5520" s="21">
        <f>$B$5338</f>
        <v/>
      </c>
      <c r="H5520" s="21" t="n">
        <v>0</v>
      </c>
      <c r="I5520" s="21" t="n">
        <v>0</v>
      </c>
      <c r="J5520" s="21" t="n">
        <v>0</v>
      </c>
      <c r="K5520" s="21" t="n">
        <v>0</v>
      </c>
      <c r="L5520" s="21" t="n">
        <v>0</v>
      </c>
      <c r="M5520" s="21" t="n">
        <v>0</v>
      </c>
      <c r="N5520" s="21" t="n">
        <v>0</v>
      </c>
      <c r="O5520" s="21" t="n">
        <v>0</v>
      </c>
      <c r="P5520" s="21" t="n">
        <v>0</v>
      </c>
      <c r="Q5520" s="21" t="n">
        <v>0</v>
      </c>
      <c r="R5520" s="21" t="n">
        <v>0</v>
      </c>
      <c r="S5520" s="21" t="n">
        <v>0</v>
      </c>
      <c r="T5520" s="21" t="n">
        <v>0</v>
      </c>
      <c r="U5520" s="21" t="n">
        <v>0</v>
      </c>
      <c r="V5520" s="21" t="n">
        <v>0</v>
      </c>
      <c r="W5520" s="21" t="n">
        <v>0</v>
      </c>
      <c r="X5520" s="21" t="n">
        <v>0</v>
      </c>
      <c r="Y5520" s="21" t="n">
        <v>0</v>
      </c>
      <c r="Z5520" s="19">
        <f t="array" ref="Z5520:Z5541">MMULT(MINVERSE($D$5520:$Y$5541),$D$5364:$D$5385)</f>
        <v/>
      </c>
    </row>
    <row r="5521">
      <c r="D5521" s="21">
        <f>$B$5338</f>
        <v/>
      </c>
      <c r="E5521" s="21">
        <f>$B$5339</f>
        <v/>
      </c>
      <c r="F5521" s="21">
        <f>-$B$5338</f>
        <v/>
      </c>
      <c r="G5521" s="21">
        <f>$B$5340</f>
        <v/>
      </c>
      <c r="H5521" s="21" t="n">
        <v>0</v>
      </c>
      <c r="I5521" s="21" t="n">
        <v>0</v>
      </c>
      <c r="J5521" s="21" t="n">
        <v>0</v>
      </c>
      <c r="K5521" s="21" t="n">
        <v>0</v>
      </c>
      <c r="L5521" s="21" t="n">
        <v>0</v>
      </c>
      <c r="M5521" s="21" t="n">
        <v>0</v>
      </c>
      <c r="N5521" s="21" t="n">
        <v>0</v>
      </c>
      <c r="O5521" s="21" t="n">
        <v>0</v>
      </c>
      <c r="P5521" s="21" t="n">
        <v>0</v>
      </c>
      <c r="Q5521" s="21" t="n">
        <v>0</v>
      </c>
      <c r="R5521" s="21" t="n">
        <v>0</v>
      </c>
      <c r="S5521" s="21" t="n">
        <v>0</v>
      </c>
      <c r="T5521" s="21" t="n">
        <v>0</v>
      </c>
      <c r="U5521" s="21" t="n">
        <v>0</v>
      </c>
      <c r="V5521" s="21" t="n">
        <v>0</v>
      </c>
      <c r="W5521" s="21" t="n">
        <v>0</v>
      </c>
      <c r="X5521" s="21" t="n">
        <v>0</v>
      </c>
      <c r="Y5521" s="21" t="n">
        <v>0</v>
      </c>
      <c r="Z5521" s="19" t="n"/>
    </row>
    <row r="5522">
      <c r="D5522" s="21">
        <f>-$B$5337</f>
        <v/>
      </c>
      <c r="E5522" s="21">
        <f>-$B$5338</f>
        <v/>
      </c>
      <c r="F5522" s="21">
        <f>2*$B$5337+$D$5509</f>
        <v/>
      </c>
      <c r="G5522" s="21">
        <f>0</f>
        <v/>
      </c>
      <c r="H5522" s="21">
        <f>-$B$5337</f>
        <v/>
      </c>
      <c r="I5522" s="21">
        <f>$B$5338</f>
        <v/>
      </c>
      <c r="J5522" s="21" t="n">
        <v>0</v>
      </c>
      <c r="K5522" s="21" t="n">
        <v>0</v>
      </c>
      <c r="L5522" s="21" t="n">
        <v>0</v>
      </c>
      <c r="M5522" s="21" t="n">
        <v>0</v>
      </c>
      <c r="N5522" s="21" t="n">
        <v>0</v>
      </c>
      <c r="O5522" s="21" t="n">
        <v>0</v>
      </c>
      <c r="P5522" s="21" t="n">
        <v>0</v>
      </c>
      <c r="Q5522" s="21" t="n">
        <v>0</v>
      </c>
      <c r="R5522" s="21" t="n">
        <v>0</v>
      </c>
      <c r="S5522" s="21" t="n">
        <v>0</v>
      </c>
      <c r="T5522" s="21" t="n">
        <v>0</v>
      </c>
      <c r="U5522" s="21" t="n">
        <v>0</v>
      </c>
      <c r="V5522" s="21" t="n">
        <v>0</v>
      </c>
      <c r="W5522" s="21" t="n">
        <v>0</v>
      </c>
      <c r="X5522" s="21" t="n">
        <v>0</v>
      </c>
      <c r="Y5522" s="21" t="n">
        <v>0</v>
      </c>
      <c r="Z5522" s="19" t="n"/>
    </row>
    <row r="5523">
      <c r="D5523" s="21">
        <f>$B$5338</f>
        <v/>
      </c>
      <c r="E5523" s="21">
        <f>$B$5340</f>
        <v/>
      </c>
      <c r="F5523" s="21">
        <f>0</f>
        <v/>
      </c>
      <c r="G5523" s="21">
        <f>2*$B$5339</f>
        <v/>
      </c>
      <c r="H5523" s="21">
        <f>-$B$5338</f>
        <v/>
      </c>
      <c r="I5523" s="21">
        <f>$B$5340</f>
        <v/>
      </c>
      <c r="J5523" s="21" t="n">
        <v>0</v>
      </c>
      <c r="K5523" s="21" t="n">
        <v>0</v>
      </c>
      <c r="L5523" s="21" t="n">
        <v>0</v>
      </c>
      <c r="M5523" s="21" t="n">
        <v>0</v>
      </c>
      <c r="N5523" s="21" t="n">
        <v>0</v>
      </c>
      <c r="O5523" s="21" t="n">
        <v>0</v>
      </c>
      <c r="P5523" s="21" t="n">
        <v>0</v>
      </c>
      <c r="Q5523" s="21" t="n">
        <v>0</v>
      </c>
      <c r="R5523" s="21" t="n">
        <v>0</v>
      </c>
      <c r="S5523" s="21" t="n">
        <v>0</v>
      </c>
      <c r="T5523" s="21" t="n">
        <v>0</v>
      </c>
      <c r="U5523" s="21" t="n">
        <v>0</v>
      </c>
      <c r="V5523" s="21" t="n">
        <v>0</v>
      </c>
      <c r="W5523" s="21" t="n">
        <v>0</v>
      </c>
      <c r="X5523" s="21" t="n">
        <v>0</v>
      </c>
      <c r="Y5523" s="21" t="n">
        <v>0</v>
      </c>
      <c r="Z5523" s="19" t="n"/>
    </row>
    <row r="5524">
      <c r="D5524" s="21" t="n">
        <v>0</v>
      </c>
      <c r="E5524" s="21" t="n">
        <v>0</v>
      </c>
      <c r="F5524" s="21">
        <f>-$B$5337</f>
        <v/>
      </c>
      <c r="G5524" s="21">
        <f>-$B$5338</f>
        <v/>
      </c>
      <c r="H5524" s="21">
        <f>2*$B$5337+$D$5510</f>
        <v/>
      </c>
      <c r="I5524" s="21">
        <f>0</f>
        <v/>
      </c>
      <c r="J5524" s="21">
        <f>-$B$5337</f>
        <v/>
      </c>
      <c r="K5524" s="21">
        <f>$B$5338</f>
        <v/>
      </c>
      <c r="L5524" s="21" t="n">
        <v>0</v>
      </c>
      <c r="M5524" s="21" t="n">
        <v>0</v>
      </c>
      <c r="N5524" s="21" t="n">
        <v>0</v>
      </c>
      <c r="O5524" s="21" t="n">
        <v>0</v>
      </c>
      <c r="P5524" s="21" t="n">
        <v>0</v>
      </c>
      <c r="Q5524" s="21" t="n">
        <v>0</v>
      </c>
      <c r="R5524" s="21" t="n">
        <v>0</v>
      </c>
      <c r="S5524" s="21" t="n">
        <v>0</v>
      </c>
      <c r="T5524" s="21" t="n">
        <v>0</v>
      </c>
      <c r="U5524" s="21" t="n">
        <v>0</v>
      </c>
      <c r="V5524" s="21" t="n">
        <v>0</v>
      </c>
      <c r="W5524" s="21" t="n">
        <v>0</v>
      </c>
      <c r="X5524" s="21" t="n">
        <v>0</v>
      </c>
      <c r="Y5524" s="21" t="n">
        <v>0</v>
      </c>
      <c r="Z5524" s="19" t="n"/>
    </row>
    <row r="5525">
      <c r="D5525" s="21" t="n">
        <v>0</v>
      </c>
      <c r="E5525" s="21" t="n">
        <v>0</v>
      </c>
      <c r="F5525" s="21">
        <f>$B$5338</f>
        <v/>
      </c>
      <c r="G5525" s="21">
        <f>$B$5340</f>
        <v/>
      </c>
      <c r="H5525" s="21">
        <f>0</f>
        <v/>
      </c>
      <c r="I5525" s="21">
        <f>2*$B$5339</f>
        <v/>
      </c>
      <c r="J5525" s="21">
        <f>-$B$5338</f>
        <v/>
      </c>
      <c r="K5525" s="21">
        <f>$B$5340</f>
        <v/>
      </c>
      <c r="L5525" s="21" t="n">
        <v>0</v>
      </c>
      <c r="M5525" s="21" t="n">
        <v>0</v>
      </c>
      <c r="N5525" s="21" t="n">
        <v>0</v>
      </c>
      <c r="O5525" s="21" t="n">
        <v>0</v>
      </c>
      <c r="P5525" s="21" t="n">
        <v>0</v>
      </c>
      <c r="Q5525" s="21" t="n">
        <v>0</v>
      </c>
      <c r="R5525" s="21" t="n">
        <v>0</v>
      </c>
      <c r="S5525" s="21" t="n">
        <v>0</v>
      </c>
      <c r="T5525" s="21" t="n">
        <v>0</v>
      </c>
      <c r="U5525" s="21" t="n">
        <v>0</v>
      </c>
      <c r="V5525" s="21" t="n">
        <v>0</v>
      </c>
      <c r="W5525" s="21" t="n">
        <v>0</v>
      </c>
      <c r="X5525" s="21" t="n">
        <v>0</v>
      </c>
      <c r="Y5525" s="21" t="n">
        <v>0</v>
      </c>
      <c r="Z5525" s="19" t="n"/>
    </row>
    <row r="5526">
      <c r="D5526" s="21" t="n">
        <v>0</v>
      </c>
      <c r="E5526" s="21" t="n">
        <v>0</v>
      </c>
      <c r="F5526" s="21" t="n">
        <v>0</v>
      </c>
      <c r="G5526" s="21" t="n">
        <v>0</v>
      </c>
      <c r="H5526" s="21">
        <f>-$B$5337</f>
        <v/>
      </c>
      <c r="I5526" s="21">
        <f>-$B$5338</f>
        <v/>
      </c>
      <c r="J5526" s="21">
        <f>2*$B$5337+$D$5511</f>
        <v/>
      </c>
      <c r="K5526" s="21">
        <f>0</f>
        <v/>
      </c>
      <c r="L5526" s="21">
        <f>-$B$5337</f>
        <v/>
      </c>
      <c r="M5526" s="21">
        <f>$B$5338</f>
        <v/>
      </c>
      <c r="N5526" s="21" t="n">
        <v>0</v>
      </c>
      <c r="O5526" s="21" t="n">
        <v>0</v>
      </c>
      <c r="P5526" s="21" t="n">
        <v>0</v>
      </c>
      <c r="Q5526" s="21" t="n">
        <v>0</v>
      </c>
      <c r="R5526" s="21" t="n">
        <v>0</v>
      </c>
      <c r="S5526" s="21" t="n">
        <v>0</v>
      </c>
      <c r="T5526" s="21" t="n">
        <v>0</v>
      </c>
      <c r="U5526" s="21" t="n">
        <v>0</v>
      </c>
      <c r="V5526" s="21" t="n">
        <v>0</v>
      </c>
      <c r="W5526" s="21" t="n">
        <v>0</v>
      </c>
      <c r="X5526" s="21" t="n">
        <v>0</v>
      </c>
      <c r="Y5526" s="21" t="n">
        <v>0</v>
      </c>
      <c r="Z5526" s="19" t="n"/>
    </row>
    <row r="5527">
      <c r="D5527" s="21" t="n">
        <v>0</v>
      </c>
      <c r="E5527" s="21" t="n">
        <v>0</v>
      </c>
      <c r="F5527" s="21" t="n">
        <v>0</v>
      </c>
      <c r="G5527" s="21" t="n">
        <v>0</v>
      </c>
      <c r="H5527" s="21">
        <f>$B$5338</f>
        <v/>
      </c>
      <c r="I5527" s="21">
        <f>$B$5340</f>
        <v/>
      </c>
      <c r="J5527" s="21">
        <f>0</f>
        <v/>
      </c>
      <c r="K5527" s="21">
        <f>2*$B$5339</f>
        <v/>
      </c>
      <c r="L5527" s="21">
        <f>-$B$5338</f>
        <v/>
      </c>
      <c r="M5527" s="21">
        <f>$B$5340</f>
        <v/>
      </c>
      <c r="N5527" s="21" t="n">
        <v>0</v>
      </c>
      <c r="O5527" s="21" t="n">
        <v>0</v>
      </c>
      <c r="P5527" s="21" t="n">
        <v>0</v>
      </c>
      <c r="Q5527" s="21" t="n">
        <v>0</v>
      </c>
      <c r="R5527" s="21" t="n">
        <v>0</v>
      </c>
      <c r="S5527" s="21" t="n">
        <v>0</v>
      </c>
      <c r="T5527" s="21" t="n">
        <v>0</v>
      </c>
      <c r="U5527" s="21" t="n">
        <v>0</v>
      </c>
      <c r="V5527" s="21" t="n">
        <v>0</v>
      </c>
      <c r="W5527" s="21" t="n">
        <v>0</v>
      </c>
      <c r="X5527" s="21" t="n">
        <v>0</v>
      </c>
      <c r="Y5527" s="21" t="n">
        <v>0</v>
      </c>
      <c r="Z5527" s="19" t="n"/>
    </row>
    <row r="5528">
      <c r="D5528" s="21" t="n">
        <v>0</v>
      </c>
      <c r="E5528" s="21" t="n">
        <v>0</v>
      </c>
      <c r="F5528" s="21" t="n">
        <v>0</v>
      </c>
      <c r="G5528" s="21" t="n">
        <v>0</v>
      </c>
      <c r="H5528" s="21" t="n">
        <v>0</v>
      </c>
      <c r="I5528" s="21" t="n">
        <v>0</v>
      </c>
      <c r="J5528" s="21">
        <f>-$B$5337</f>
        <v/>
      </c>
      <c r="K5528" s="21">
        <f>-$B$5338</f>
        <v/>
      </c>
      <c r="L5528" s="21">
        <f>2*$B$5337+$D$5512</f>
        <v/>
      </c>
      <c r="M5528" s="21">
        <f>0</f>
        <v/>
      </c>
      <c r="N5528" s="21">
        <f>-$B$5337</f>
        <v/>
      </c>
      <c r="O5528" s="21">
        <f>$B$5338</f>
        <v/>
      </c>
      <c r="P5528" s="21" t="n">
        <v>0</v>
      </c>
      <c r="Q5528" s="21" t="n">
        <v>0</v>
      </c>
      <c r="R5528" s="21" t="n">
        <v>0</v>
      </c>
      <c r="S5528" s="21" t="n">
        <v>0</v>
      </c>
      <c r="T5528" s="21" t="n">
        <v>0</v>
      </c>
      <c r="U5528" s="21" t="n">
        <v>0</v>
      </c>
      <c r="V5528" s="21" t="n">
        <v>0</v>
      </c>
      <c r="W5528" s="21" t="n">
        <v>0</v>
      </c>
      <c r="X5528" s="21" t="n">
        <v>0</v>
      </c>
      <c r="Y5528" s="21" t="n">
        <v>0</v>
      </c>
      <c r="Z5528" s="19" t="n"/>
    </row>
    <row r="5529">
      <c r="D5529" s="21" t="n">
        <v>0</v>
      </c>
      <c r="E5529" s="21" t="n">
        <v>0</v>
      </c>
      <c r="F5529" s="21" t="n">
        <v>0</v>
      </c>
      <c r="G5529" s="21" t="n">
        <v>0</v>
      </c>
      <c r="H5529" s="21" t="n">
        <v>0</v>
      </c>
      <c r="I5529" s="21" t="n">
        <v>0</v>
      </c>
      <c r="J5529" s="21">
        <f>$B$5338</f>
        <v/>
      </c>
      <c r="K5529" s="21">
        <f>$B$5340</f>
        <v/>
      </c>
      <c r="L5529" s="21">
        <f>0</f>
        <v/>
      </c>
      <c r="M5529" s="21">
        <f>2*$B$5339</f>
        <v/>
      </c>
      <c r="N5529" s="21">
        <f>-$B$5338</f>
        <v/>
      </c>
      <c r="O5529" s="21">
        <f>$B$5340</f>
        <v/>
      </c>
      <c r="P5529" s="21" t="n">
        <v>0</v>
      </c>
      <c r="Q5529" s="21" t="n">
        <v>0</v>
      </c>
      <c r="R5529" s="21" t="n">
        <v>0</v>
      </c>
      <c r="S5529" s="21" t="n">
        <v>0</v>
      </c>
      <c r="T5529" s="21" t="n">
        <v>0</v>
      </c>
      <c r="U5529" s="21" t="n">
        <v>0</v>
      </c>
      <c r="V5529" s="21" t="n">
        <v>0</v>
      </c>
      <c r="W5529" s="21" t="n">
        <v>0</v>
      </c>
      <c r="X5529" s="21" t="n">
        <v>0</v>
      </c>
      <c r="Y5529" s="21" t="n">
        <v>0</v>
      </c>
      <c r="Z5529" s="19" t="n"/>
    </row>
    <row r="5530">
      <c r="D5530" s="21" t="n">
        <v>0</v>
      </c>
      <c r="E5530" s="21" t="n">
        <v>0</v>
      </c>
      <c r="F5530" s="21" t="n">
        <v>0</v>
      </c>
      <c r="G5530" s="21" t="n">
        <v>0</v>
      </c>
      <c r="H5530" s="21" t="n">
        <v>0</v>
      </c>
      <c r="I5530" s="21" t="n">
        <v>0</v>
      </c>
      <c r="J5530" s="21" t="n">
        <v>0</v>
      </c>
      <c r="K5530" s="21" t="n">
        <v>0</v>
      </c>
      <c r="L5530" s="21">
        <f>-$B$5337</f>
        <v/>
      </c>
      <c r="M5530" s="21">
        <f>-$B$5338</f>
        <v/>
      </c>
      <c r="N5530" s="21">
        <f>2*$B$5337+$D$5513</f>
        <v/>
      </c>
      <c r="O5530" s="21">
        <f>0</f>
        <v/>
      </c>
      <c r="P5530" s="21">
        <f>-$B$5337</f>
        <v/>
      </c>
      <c r="Q5530" s="21">
        <f>$B$5338</f>
        <v/>
      </c>
      <c r="R5530" s="21" t="n">
        <v>0</v>
      </c>
      <c r="S5530" s="21" t="n">
        <v>0</v>
      </c>
      <c r="T5530" s="21" t="n">
        <v>0</v>
      </c>
      <c r="U5530" s="21" t="n">
        <v>0</v>
      </c>
      <c r="V5530" s="21" t="n">
        <v>0</v>
      </c>
      <c r="W5530" s="21" t="n">
        <v>0</v>
      </c>
      <c r="X5530" s="21" t="n">
        <v>0</v>
      </c>
      <c r="Y5530" s="21" t="n">
        <v>0</v>
      </c>
      <c r="Z5530" s="19" t="n"/>
    </row>
    <row r="5531">
      <c r="D5531" s="21" t="n">
        <v>0</v>
      </c>
      <c r="E5531" s="21" t="n">
        <v>0</v>
      </c>
      <c r="F5531" s="21" t="n">
        <v>0</v>
      </c>
      <c r="G5531" s="21" t="n">
        <v>0</v>
      </c>
      <c r="H5531" s="21" t="n">
        <v>0</v>
      </c>
      <c r="I5531" s="21" t="n">
        <v>0</v>
      </c>
      <c r="J5531" s="21" t="n">
        <v>0</v>
      </c>
      <c r="K5531" s="21" t="n">
        <v>0</v>
      </c>
      <c r="L5531" s="21">
        <f>$B$5338</f>
        <v/>
      </c>
      <c r="M5531" s="21">
        <f>$B$5340</f>
        <v/>
      </c>
      <c r="N5531" s="21">
        <f>0</f>
        <v/>
      </c>
      <c r="O5531" s="21">
        <f>2*$B$5339</f>
        <v/>
      </c>
      <c r="P5531" s="21">
        <f>-$B$5338</f>
        <v/>
      </c>
      <c r="Q5531" s="21">
        <f>$B$5340</f>
        <v/>
      </c>
      <c r="R5531" s="21" t="n">
        <v>0</v>
      </c>
      <c r="S5531" s="21" t="n">
        <v>0</v>
      </c>
      <c r="T5531" s="21" t="n">
        <v>0</v>
      </c>
      <c r="U5531" s="21" t="n">
        <v>0</v>
      </c>
      <c r="V5531" s="21" t="n">
        <v>0</v>
      </c>
      <c r="W5531" s="21" t="n">
        <v>0</v>
      </c>
      <c r="X5531" s="21" t="n">
        <v>0</v>
      </c>
      <c r="Y5531" s="21" t="n">
        <v>0</v>
      </c>
      <c r="Z5531" s="19" t="n"/>
    </row>
    <row r="5532">
      <c r="D5532" s="21" t="n">
        <v>0</v>
      </c>
      <c r="E5532" s="21" t="n">
        <v>0</v>
      </c>
      <c r="F5532" s="21" t="n">
        <v>0</v>
      </c>
      <c r="G5532" s="21" t="n">
        <v>0</v>
      </c>
      <c r="H5532" s="21" t="n">
        <v>0</v>
      </c>
      <c r="I5532" s="21" t="n">
        <v>0</v>
      </c>
      <c r="J5532" s="21" t="n">
        <v>0</v>
      </c>
      <c r="K5532" s="21" t="n">
        <v>0</v>
      </c>
      <c r="L5532" s="21" t="n">
        <v>0</v>
      </c>
      <c r="M5532" s="21" t="n">
        <v>0</v>
      </c>
      <c r="N5532" s="21">
        <f>-$B$5337</f>
        <v/>
      </c>
      <c r="O5532" s="21">
        <f>-$B$5338</f>
        <v/>
      </c>
      <c r="P5532" s="21">
        <f>2*$B$5337+$D$5514</f>
        <v/>
      </c>
      <c r="Q5532" s="21">
        <f>0</f>
        <v/>
      </c>
      <c r="R5532" s="21">
        <f>-$B$5337</f>
        <v/>
      </c>
      <c r="S5532" s="21">
        <f>$B$5338</f>
        <v/>
      </c>
      <c r="T5532" s="21" t="n">
        <v>0</v>
      </c>
      <c r="U5532" s="21" t="n">
        <v>0</v>
      </c>
      <c r="V5532" s="21" t="n">
        <v>0</v>
      </c>
      <c r="W5532" s="21" t="n">
        <v>0</v>
      </c>
      <c r="X5532" s="21" t="n">
        <v>0</v>
      </c>
      <c r="Y5532" s="21" t="n">
        <v>0</v>
      </c>
      <c r="Z5532" s="19" t="n"/>
    </row>
    <row r="5533">
      <c r="D5533" s="21" t="n">
        <v>0</v>
      </c>
      <c r="E5533" s="21" t="n">
        <v>0</v>
      </c>
      <c r="F5533" s="21" t="n">
        <v>0</v>
      </c>
      <c r="G5533" s="21" t="n">
        <v>0</v>
      </c>
      <c r="H5533" s="21" t="n">
        <v>0</v>
      </c>
      <c r="I5533" s="21" t="n">
        <v>0</v>
      </c>
      <c r="J5533" s="21" t="n">
        <v>0</v>
      </c>
      <c r="K5533" s="21" t="n">
        <v>0</v>
      </c>
      <c r="L5533" s="21" t="n">
        <v>0</v>
      </c>
      <c r="M5533" s="21" t="n">
        <v>0</v>
      </c>
      <c r="N5533" s="21">
        <f>$B$5338</f>
        <v/>
      </c>
      <c r="O5533" s="21">
        <f>$B$5340</f>
        <v/>
      </c>
      <c r="P5533" s="21">
        <f>0</f>
        <v/>
      </c>
      <c r="Q5533" s="21">
        <f>2*$B$5339</f>
        <v/>
      </c>
      <c r="R5533" s="21">
        <f>-$B$5338</f>
        <v/>
      </c>
      <c r="S5533" s="21">
        <f>$B$5340</f>
        <v/>
      </c>
      <c r="T5533" s="21" t="n">
        <v>0</v>
      </c>
      <c r="U5533" s="21" t="n">
        <v>0</v>
      </c>
      <c r="V5533" s="21" t="n">
        <v>0</v>
      </c>
      <c r="W5533" s="21" t="n">
        <v>0</v>
      </c>
      <c r="X5533" s="21" t="n">
        <v>0</v>
      </c>
      <c r="Y5533" s="21" t="n">
        <v>0</v>
      </c>
      <c r="Z5533" s="19" t="n"/>
    </row>
    <row r="5534">
      <c r="D5534" s="21" t="n">
        <v>0</v>
      </c>
      <c r="E5534" s="21" t="n">
        <v>0</v>
      </c>
      <c r="F5534" s="21" t="n">
        <v>0</v>
      </c>
      <c r="G5534" s="21" t="n">
        <v>0</v>
      </c>
      <c r="H5534" s="21" t="n">
        <v>0</v>
      </c>
      <c r="I5534" s="21" t="n">
        <v>0</v>
      </c>
      <c r="J5534" s="21" t="n">
        <v>0</v>
      </c>
      <c r="K5534" s="21" t="n">
        <v>0</v>
      </c>
      <c r="L5534" s="21" t="n">
        <v>0</v>
      </c>
      <c r="M5534" s="21" t="n">
        <v>0</v>
      </c>
      <c r="N5534" s="21" t="n">
        <v>0</v>
      </c>
      <c r="O5534" s="21" t="n">
        <v>0</v>
      </c>
      <c r="P5534" s="21">
        <f>-$B$5337</f>
        <v/>
      </c>
      <c r="Q5534" s="21">
        <f>-$B$5338</f>
        <v/>
      </c>
      <c r="R5534" s="21">
        <f>2*$B$5337+$D$5515</f>
        <v/>
      </c>
      <c r="S5534" s="21">
        <f>0</f>
        <v/>
      </c>
      <c r="T5534" s="21">
        <f>-$B$5337</f>
        <v/>
      </c>
      <c r="U5534" s="21">
        <f>$B$5338</f>
        <v/>
      </c>
      <c r="V5534" s="21" t="n">
        <v>0</v>
      </c>
      <c r="W5534" s="21" t="n">
        <v>0</v>
      </c>
      <c r="X5534" s="21" t="n">
        <v>0</v>
      </c>
      <c r="Y5534" s="21" t="n">
        <v>0</v>
      </c>
      <c r="Z5534" s="19" t="n"/>
    </row>
    <row r="5535">
      <c r="D5535" s="21" t="n">
        <v>0</v>
      </c>
      <c r="E5535" s="21" t="n">
        <v>0</v>
      </c>
      <c r="F5535" s="21" t="n">
        <v>0</v>
      </c>
      <c r="G5535" s="21" t="n">
        <v>0</v>
      </c>
      <c r="H5535" s="21" t="n">
        <v>0</v>
      </c>
      <c r="I5535" s="21" t="n">
        <v>0</v>
      </c>
      <c r="J5535" s="21" t="n">
        <v>0</v>
      </c>
      <c r="K5535" s="21" t="n">
        <v>0</v>
      </c>
      <c r="L5535" s="21" t="n">
        <v>0</v>
      </c>
      <c r="M5535" s="21" t="n">
        <v>0</v>
      </c>
      <c r="N5535" s="21" t="n">
        <v>0</v>
      </c>
      <c r="O5535" s="21" t="n">
        <v>0</v>
      </c>
      <c r="P5535" s="21">
        <f>$B$5338</f>
        <v/>
      </c>
      <c r="Q5535" s="21">
        <f>$B$5340</f>
        <v/>
      </c>
      <c r="R5535" s="21">
        <f>0</f>
        <v/>
      </c>
      <c r="S5535" s="21">
        <f>2*$B$5339</f>
        <v/>
      </c>
      <c r="T5535" s="21">
        <f>-$B$5338</f>
        <v/>
      </c>
      <c r="U5535" s="21">
        <f>$B$5340</f>
        <v/>
      </c>
      <c r="V5535" s="21" t="n">
        <v>0</v>
      </c>
      <c r="W5535" s="21" t="n">
        <v>0</v>
      </c>
      <c r="X5535" s="21" t="n">
        <v>0</v>
      </c>
      <c r="Y5535" s="21" t="n">
        <v>0</v>
      </c>
      <c r="Z5535" s="19" t="n"/>
    </row>
    <row r="5536">
      <c r="D5536" s="21" t="n">
        <v>0</v>
      </c>
      <c r="E5536" s="21" t="n">
        <v>0</v>
      </c>
      <c r="F5536" s="21" t="n">
        <v>0</v>
      </c>
      <c r="G5536" s="21" t="n">
        <v>0</v>
      </c>
      <c r="H5536" s="21" t="n">
        <v>0</v>
      </c>
      <c r="I5536" s="21" t="n">
        <v>0</v>
      </c>
      <c r="J5536" s="21" t="n">
        <v>0</v>
      </c>
      <c r="K5536" s="21" t="n">
        <v>0</v>
      </c>
      <c r="L5536" s="21" t="n">
        <v>0</v>
      </c>
      <c r="M5536" s="21" t="n">
        <v>0</v>
      </c>
      <c r="N5536" s="21" t="n">
        <v>0</v>
      </c>
      <c r="O5536" s="21" t="n">
        <v>0</v>
      </c>
      <c r="P5536" s="21" t="n">
        <v>0</v>
      </c>
      <c r="Q5536" s="21" t="n">
        <v>0</v>
      </c>
      <c r="R5536" s="21">
        <f>-$B$5337</f>
        <v/>
      </c>
      <c r="S5536" s="21">
        <f>-$B$5338</f>
        <v/>
      </c>
      <c r="T5536" s="21">
        <f>2*$B$5337+$D$5516</f>
        <v/>
      </c>
      <c r="U5536" s="21">
        <f>0</f>
        <v/>
      </c>
      <c r="V5536" s="21">
        <f>-$B$5337</f>
        <v/>
      </c>
      <c r="W5536" s="21">
        <f>$B$5338</f>
        <v/>
      </c>
      <c r="X5536" s="21" t="n">
        <v>0</v>
      </c>
      <c r="Y5536" s="21" t="n">
        <v>0</v>
      </c>
      <c r="Z5536" s="19" t="n"/>
    </row>
    <row r="5537">
      <c r="D5537" s="21" t="n">
        <v>0</v>
      </c>
      <c r="E5537" s="21" t="n">
        <v>0</v>
      </c>
      <c r="F5537" s="21" t="n">
        <v>0</v>
      </c>
      <c r="G5537" s="21" t="n">
        <v>0</v>
      </c>
      <c r="H5537" s="21" t="n">
        <v>0</v>
      </c>
      <c r="I5537" s="21" t="n">
        <v>0</v>
      </c>
      <c r="J5537" s="21" t="n">
        <v>0</v>
      </c>
      <c r="K5537" s="21" t="n">
        <v>0</v>
      </c>
      <c r="L5537" s="21" t="n">
        <v>0</v>
      </c>
      <c r="M5537" s="21" t="n">
        <v>0</v>
      </c>
      <c r="N5537" s="21" t="n">
        <v>0</v>
      </c>
      <c r="O5537" s="21" t="n">
        <v>0</v>
      </c>
      <c r="P5537" s="21" t="n">
        <v>0</v>
      </c>
      <c r="Q5537" s="21" t="n">
        <v>0</v>
      </c>
      <c r="R5537" s="21">
        <f>$B$5338</f>
        <v/>
      </c>
      <c r="S5537" s="21">
        <f>$B$5340</f>
        <v/>
      </c>
      <c r="T5537" s="21">
        <f>0</f>
        <v/>
      </c>
      <c r="U5537" s="21">
        <f>2*$B$5339</f>
        <v/>
      </c>
      <c r="V5537" s="21">
        <f>-$B$5338</f>
        <v/>
      </c>
      <c r="W5537" s="21">
        <f>$B$5340</f>
        <v/>
      </c>
      <c r="X5537" s="21" t="n">
        <v>0</v>
      </c>
      <c r="Y5537" s="21" t="n">
        <v>0</v>
      </c>
      <c r="Z5537" s="19" t="n"/>
    </row>
    <row r="5538">
      <c r="D5538" s="21" t="n">
        <v>0</v>
      </c>
      <c r="E5538" s="21" t="n">
        <v>0</v>
      </c>
      <c r="F5538" s="21" t="n">
        <v>0</v>
      </c>
      <c r="G5538" s="21" t="n">
        <v>0</v>
      </c>
      <c r="H5538" s="21" t="n">
        <v>0</v>
      </c>
      <c r="I5538" s="21" t="n">
        <v>0</v>
      </c>
      <c r="J5538" s="21" t="n">
        <v>0</v>
      </c>
      <c r="K5538" s="21" t="n">
        <v>0</v>
      </c>
      <c r="L5538" s="21" t="n">
        <v>0</v>
      </c>
      <c r="M5538" s="21" t="n">
        <v>0</v>
      </c>
      <c r="N5538" s="21" t="n">
        <v>0</v>
      </c>
      <c r="O5538" s="21" t="n">
        <v>0</v>
      </c>
      <c r="P5538" s="21" t="n">
        <v>0</v>
      </c>
      <c r="Q5538" s="21" t="n">
        <v>0</v>
      </c>
      <c r="R5538" s="21" t="n">
        <v>0</v>
      </c>
      <c r="S5538" s="21" t="n">
        <v>0</v>
      </c>
      <c r="T5538" s="21">
        <f>-$B$5337</f>
        <v/>
      </c>
      <c r="U5538" s="21">
        <f>-$B$5338</f>
        <v/>
      </c>
      <c r="V5538" s="21">
        <f>2*$B$5337+$D$5517</f>
        <v/>
      </c>
      <c r="W5538" s="21">
        <f>0</f>
        <v/>
      </c>
      <c r="X5538" s="21">
        <f>-$B$5337</f>
        <v/>
      </c>
      <c r="Y5538" s="21">
        <f>$B$5338</f>
        <v/>
      </c>
      <c r="Z5538" s="19" t="n"/>
    </row>
    <row r="5539">
      <c r="D5539" s="21" t="n">
        <v>0</v>
      </c>
      <c r="E5539" s="21" t="n">
        <v>0</v>
      </c>
      <c r="F5539" s="21" t="n">
        <v>0</v>
      </c>
      <c r="G5539" s="21" t="n">
        <v>0</v>
      </c>
      <c r="H5539" s="21" t="n">
        <v>0</v>
      </c>
      <c r="I5539" s="21" t="n">
        <v>0</v>
      </c>
      <c r="J5539" s="21" t="n">
        <v>0</v>
      </c>
      <c r="K5539" s="21" t="n">
        <v>0</v>
      </c>
      <c r="L5539" s="21" t="n">
        <v>0</v>
      </c>
      <c r="M5539" s="21" t="n">
        <v>0</v>
      </c>
      <c r="N5539" s="21" t="n">
        <v>0</v>
      </c>
      <c r="O5539" s="21" t="n">
        <v>0</v>
      </c>
      <c r="P5539" s="21" t="n">
        <v>0</v>
      </c>
      <c r="Q5539" s="21" t="n">
        <v>0</v>
      </c>
      <c r="R5539" s="21" t="n">
        <v>0</v>
      </c>
      <c r="S5539" s="21" t="n">
        <v>0</v>
      </c>
      <c r="T5539" s="21">
        <f>$B$5338</f>
        <v/>
      </c>
      <c r="U5539" s="21">
        <f>$B$5340</f>
        <v/>
      </c>
      <c r="V5539" s="21">
        <f>0</f>
        <v/>
      </c>
      <c r="W5539" s="21">
        <f>2*$B$5339</f>
        <v/>
      </c>
      <c r="X5539" s="21">
        <f>-$B$5338</f>
        <v/>
      </c>
      <c r="Y5539" s="21">
        <f>$B$5340</f>
        <v/>
      </c>
      <c r="Z5539" s="19" t="n"/>
    </row>
    <row r="5540">
      <c r="D5540" s="21" t="n">
        <v>0</v>
      </c>
      <c r="E5540" s="21" t="n">
        <v>0</v>
      </c>
      <c r="F5540" s="21" t="n">
        <v>0</v>
      </c>
      <c r="G5540" s="21" t="n">
        <v>0</v>
      </c>
      <c r="H5540" s="21" t="n">
        <v>0</v>
      </c>
      <c r="I5540" s="21" t="n">
        <v>0</v>
      </c>
      <c r="J5540" s="21" t="n">
        <v>0</v>
      </c>
      <c r="K5540" s="21" t="n">
        <v>0</v>
      </c>
      <c r="L5540" s="21" t="n">
        <v>0</v>
      </c>
      <c r="M5540" s="21" t="n">
        <v>0</v>
      </c>
      <c r="N5540" s="21" t="n">
        <v>0</v>
      </c>
      <c r="O5540" s="21" t="n">
        <v>0</v>
      </c>
      <c r="P5540" s="21" t="n">
        <v>0</v>
      </c>
      <c r="Q5540" s="21" t="n">
        <v>0</v>
      </c>
      <c r="R5540" s="21" t="n">
        <v>0</v>
      </c>
      <c r="S5540" s="21" t="n">
        <v>0</v>
      </c>
      <c r="T5540" s="21" t="n">
        <v>0</v>
      </c>
      <c r="U5540" s="21" t="n">
        <v>0</v>
      </c>
      <c r="V5540" s="21">
        <f>-$B$5337</f>
        <v/>
      </c>
      <c r="W5540" s="21">
        <f>-$B$5338</f>
        <v/>
      </c>
      <c r="X5540" s="21">
        <f>$B$5337+$D$5518</f>
        <v/>
      </c>
      <c r="Y5540" s="21">
        <f>-$B$5338</f>
        <v/>
      </c>
      <c r="Z5540" s="19" t="n"/>
    </row>
    <row r="5541">
      <c r="D5541" s="21" t="n">
        <v>0</v>
      </c>
      <c r="E5541" s="21" t="n">
        <v>0</v>
      </c>
      <c r="F5541" s="21" t="n">
        <v>0</v>
      </c>
      <c r="G5541" s="21" t="n">
        <v>0</v>
      </c>
      <c r="H5541" s="21" t="n">
        <v>0</v>
      </c>
      <c r="I5541" s="21" t="n">
        <v>0</v>
      </c>
      <c r="J5541" s="21" t="n">
        <v>0</v>
      </c>
      <c r="K5541" s="21" t="n">
        <v>0</v>
      </c>
      <c r="L5541" s="21" t="n">
        <v>0</v>
      </c>
      <c r="M5541" s="21" t="n">
        <v>0</v>
      </c>
      <c r="N5541" s="21" t="n">
        <v>0</v>
      </c>
      <c r="O5541" s="21" t="n">
        <v>0</v>
      </c>
      <c r="P5541" s="21" t="n">
        <v>0</v>
      </c>
      <c r="Q5541" s="21" t="n">
        <v>0</v>
      </c>
      <c r="R5541" s="21" t="n">
        <v>0</v>
      </c>
      <c r="S5541" s="21" t="n">
        <v>0</v>
      </c>
      <c r="T5541" s="21" t="n">
        <v>0</v>
      </c>
      <c r="U5541" s="21" t="n">
        <v>0</v>
      </c>
      <c r="V5541" s="21">
        <f>$B$5338</f>
        <v/>
      </c>
      <c r="W5541" s="21">
        <f>$B$5340</f>
        <v/>
      </c>
      <c r="X5541" s="21">
        <f>-$B$5338</f>
        <v/>
      </c>
      <c r="Y5541" s="21">
        <f>$B$5339</f>
        <v/>
      </c>
      <c r="Z5541" s="19" t="n"/>
    </row>
    <row r="5543">
      <c r="A5543" s="8" t="inlineStr">
        <is>
          <t>gen 5</t>
        </is>
      </c>
    </row>
    <row r="5544">
      <c r="D5544" s="19">
        <f>IF(ABS(IF(ABS($E$5508)&gt;0.000000001,$E$5508,0.000000001))=0,0,IF($E$5352&lt;=$B$5346,0,IF(ABS(IF(ABS($E$5508)&gt;0.000000001,$E$5508,0.000000001))&gt;=8*$B$5348,$H$5352,0.5*$H$5352*(ABS(IF(ABS($E$5508)&gt;0.000000001,$E$5508,0.000000001))/$B$5348)^(1/3)))/ABS(IF(ABS($E$5508)&gt;0.000000001,$E$5508,0.000000001))*$I$5352)</f>
        <v/>
      </c>
      <c r="E5544" s="19">
        <f>0.5*$E$5508+0.5*$Z$5556</f>
        <v/>
      </c>
      <c r="F5544" s="19">
        <f>$Z$5557</f>
        <v/>
      </c>
    </row>
    <row r="5545">
      <c r="D5545" s="19">
        <f>IF(ABS(IF(ABS($E$5509)&gt;0.000000001,$E$5509,0.000000001))=0,0,IF($E$5353&lt;=$B$5346,0,IF(ABS(IF(ABS($E$5509)&gt;0.000000001,$E$5509,0.000000001))&gt;=8*$B$5348,$H$5353,0.5*$H$5353*(ABS(IF(ABS($E$5509)&gt;0.000000001,$E$5509,0.000000001))/$B$5348)^(1/3)))/ABS(IF(ABS($E$5509)&gt;0.000000001,$E$5509,0.000000001))*$I$5353)</f>
        <v/>
      </c>
      <c r="E5545" s="19">
        <f>0.5*$E$5509+0.5*$Z$5558</f>
        <v/>
      </c>
      <c r="F5545" s="19">
        <f>$Z$5559</f>
        <v/>
      </c>
    </row>
    <row r="5546">
      <c r="D5546" s="19">
        <f>IF(ABS(IF(ABS($E$5510)&gt;0.000000001,$E$5510,0.000000001))=0,0,IF($E$5354&lt;=$B$5346,0,IF(ABS(IF(ABS($E$5510)&gt;0.000000001,$E$5510,0.000000001))&gt;=8*$B$5348,$H$5354,0.5*$H$5354*(ABS(IF(ABS($E$5510)&gt;0.000000001,$E$5510,0.000000001))/$B$5348)^(1/3)))/ABS(IF(ABS($E$5510)&gt;0.000000001,$E$5510,0.000000001))*$I$5354)</f>
        <v/>
      </c>
      <c r="E5546" s="19">
        <f>0.5*$E$5510+0.5*$Z$5560</f>
        <v/>
      </c>
      <c r="F5546" s="19">
        <f>$Z$5561</f>
        <v/>
      </c>
    </row>
    <row r="5547">
      <c r="D5547" s="19">
        <f>IF(ABS(IF(ABS($E$5511)&gt;0.000000001,$E$5511,0.000000001))=0,0,IF($E$5355&lt;=$B$5346,0,IF(ABS(IF(ABS($E$5511)&gt;0.000000001,$E$5511,0.000000001))&gt;=8*$B$5348,$H$5355,0.5*$H$5355*(ABS(IF(ABS($E$5511)&gt;0.000000001,$E$5511,0.000000001))/$B$5348)^(1/3)))/ABS(IF(ABS($E$5511)&gt;0.000000001,$E$5511,0.000000001))*$I$5355)</f>
        <v/>
      </c>
      <c r="E5547" s="19">
        <f>0.5*$E$5511+0.5*$Z$5562</f>
        <v/>
      </c>
      <c r="F5547" s="19">
        <f>$Z$5563</f>
        <v/>
      </c>
    </row>
    <row r="5548">
      <c r="D5548" s="19">
        <f>IF(ABS(IF(ABS($E$5512)&gt;0.000000001,$E$5512,0.000000001))=0,0,IF($E$5356&lt;=$B$5346,0,IF(ABS(IF(ABS($E$5512)&gt;0.000000001,$E$5512,0.000000001))&gt;=8*$B$5348,$H$5356,0.5*$H$5356*(ABS(IF(ABS($E$5512)&gt;0.000000001,$E$5512,0.000000001))/$B$5348)^(1/3)))/ABS(IF(ABS($E$5512)&gt;0.000000001,$E$5512,0.000000001))*$I$5356)</f>
        <v/>
      </c>
      <c r="E5548" s="19">
        <f>0.5*$E$5512+0.5*$Z$5564</f>
        <v/>
      </c>
      <c r="F5548" s="19">
        <f>$Z$5565</f>
        <v/>
      </c>
    </row>
    <row r="5549">
      <c r="D5549" s="19">
        <f>IF(ABS(IF(ABS($E$5513)&gt;0.000000001,$E$5513,0.000000001))=0,0,IF($E$5357&lt;=$B$5346,0,IF(ABS(IF(ABS($E$5513)&gt;0.000000001,$E$5513,0.000000001))&gt;=8*$B$5348,$H$5357,0.5*$H$5357*(ABS(IF(ABS($E$5513)&gt;0.000000001,$E$5513,0.000000001))/$B$5348)^(1/3)))/ABS(IF(ABS($E$5513)&gt;0.000000001,$E$5513,0.000000001))*$I$5357)</f>
        <v/>
      </c>
      <c r="E5549" s="19">
        <f>0.5*$E$5513+0.5*$Z$5566</f>
        <v/>
      </c>
      <c r="F5549" s="19">
        <f>$Z$5567</f>
        <v/>
      </c>
    </row>
    <row r="5550">
      <c r="D5550" s="19">
        <f>IF(ABS(IF(ABS($E$5514)&gt;0.000000001,$E$5514,0.000000001))=0,0,IF($E$5358&lt;=$B$5346,0,IF(ABS(IF(ABS($E$5514)&gt;0.000000001,$E$5514,0.000000001))&gt;=8*$B$5348,$H$5358,0.5*$H$5358*(ABS(IF(ABS($E$5514)&gt;0.000000001,$E$5514,0.000000001))/$B$5348)^(1/3)))/ABS(IF(ABS($E$5514)&gt;0.000000001,$E$5514,0.000000001))*$I$5358)</f>
        <v/>
      </c>
      <c r="E5550" s="19">
        <f>0.5*$E$5514+0.5*$Z$5568</f>
        <v/>
      </c>
      <c r="F5550" s="19">
        <f>$Z$5569</f>
        <v/>
      </c>
    </row>
    <row r="5551">
      <c r="D5551" s="19">
        <f>IF(ABS(IF(ABS($E$5515)&gt;0.000000001,$E$5515,0.000000001))=0,0,IF($E$5359&lt;=$B$5346,0,IF(ABS(IF(ABS($E$5515)&gt;0.000000001,$E$5515,0.000000001))&gt;=8*$B$5348,$H$5359,0.5*$H$5359*(ABS(IF(ABS($E$5515)&gt;0.000000001,$E$5515,0.000000001))/$B$5348)^(1/3)))/ABS(IF(ABS($E$5515)&gt;0.000000001,$E$5515,0.000000001))*$I$5359)</f>
        <v/>
      </c>
      <c r="E5551" s="19">
        <f>0.5*$E$5515+0.5*$Z$5570</f>
        <v/>
      </c>
      <c r="F5551" s="19">
        <f>$Z$5571</f>
        <v/>
      </c>
    </row>
    <row r="5552">
      <c r="D5552" s="19">
        <f>IF(ABS(IF(ABS($E$5516)&gt;0.000000001,$E$5516,0.000000001))=0,0,IF($E$5360&lt;=$B$5346,0,IF(ABS(IF(ABS($E$5516)&gt;0.000000001,$E$5516,0.000000001))&gt;=8*$B$5348,$H$5360,0.5*$H$5360*(ABS(IF(ABS($E$5516)&gt;0.000000001,$E$5516,0.000000001))/$B$5348)^(1/3)))/ABS(IF(ABS($E$5516)&gt;0.000000001,$E$5516,0.000000001))*$I$5360)</f>
        <v/>
      </c>
      <c r="E5552" s="19">
        <f>0.5*$E$5516+0.5*$Z$5572</f>
        <v/>
      </c>
      <c r="F5552" s="19">
        <f>$Z$5573</f>
        <v/>
      </c>
    </row>
    <row r="5553">
      <c r="D5553" s="19">
        <f>IF(ABS(IF(ABS($E$5517)&gt;0.000000001,$E$5517,0.000000001))=0,0,IF($E$5361&lt;=$B$5346,0,IF(ABS(IF(ABS($E$5517)&gt;0.000000001,$E$5517,0.000000001))&gt;=8*$B$5348,$H$5361,0.5*$H$5361*(ABS(IF(ABS($E$5517)&gt;0.000000001,$E$5517,0.000000001))/$B$5348)^(1/3)))/ABS(IF(ABS($E$5517)&gt;0.000000001,$E$5517,0.000000001))*$I$5361)</f>
        <v/>
      </c>
      <c r="E5553" s="19">
        <f>0.5*$E$5517+0.5*$Z$5574</f>
        <v/>
      </c>
      <c r="F5553" s="19">
        <f>$Z$5575</f>
        <v/>
      </c>
    </row>
    <row r="5554">
      <c r="D5554" s="19">
        <f>IF(ABS(IF(ABS($E$5518)&gt;0.000000001,$E$5518,0.000000001))=0,0,IF($E$5362&lt;=$B$5346,0,IF(ABS(IF(ABS($E$5518)&gt;0.000000001,$E$5518,0.000000001))&gt;=8*$B$5348,$H$5362,0.5*$H$5362*(ABS(IF(ABS($E$5518)&gt;0.000000001,$E$5518,0.000000001))/$B$5348)^(1/3)))/ABS(IF(ABS($E$5518)&gt;0.000000001,$E$5518,0.000000001))*$I$5362)</f>
        <v/>
      </c>
      <c r="E5554" s="19">
        <f>0.5*$E$5518+0.5*$Z$5576</f>
        <v/>
      </c>
      <c r="F5554" s="19">
        <f>$Z$5577</f>
        <v/>
      </c>
    </row>
    <row r="5556">
      <c r="D5556" s="21">
        <f>$B$5337+$D$5544</f>
        <v/>
      </c>
      <c r="E5556" s="21">
        <f>$B$5338</f>
        <v/>
      </c>
      <c r="F5556" s="21">
        <f>-$B$5337</f>
        <v/>
      </c>
      <c r="G5556" s="21">
        <f>$B$5338</f>
        <v/>
      </c>
      <c r="H5556" s="21" t="n">
        <v>0</v>
      </c>
      <c r="I5556" s="21" t="n">
        <v>0</v>
      </c>
      <c r="J5556" s="21" t="n">
        <v>0</v>
      </c>
      <c r="K5556" s="21" t="n">
        <v>0</v>
      </c>
      <c r="L5556" s="21" t="n">
        <v>0</v>
      </c>
      <c r="M5556" s="21" t="n">
        <v>0</v>
      </c>
      <c r="N5556" s="21" t="n">
        <v>0</v>
      </c>
      <c r="O5556" s="21" t="n">
        <v>0</v>
      </c>
      <c r="P5556" s="21" t="n">
        <v>0</v>
      </c>
      <c r="Q5556" s="21" t="n">
        <v>0</v>
      </c>
      <c r="R5556" s="21" t="n">
        <v>0</v>
      </c>
      <c r="S5556" s="21" t="n">
        <v>0</v>
      </c>
      <c r="T5556" s="21" t="n">
        <v>0</v>
      </c>
      <c r="U5556" s="21" t="n">
        <v>0</v>
      </c>
      <c r="V5556" s="21" t="n">
        <v>0</v>
      </c>
      <c r="W5556" s="21" t="n">
        <v>0</v>
      </c>
      <c r="X5556" s="21" t="n">
        <v>0</v>
      </c>
      <c r="Y5556" s="21" t="n">
        <v>0</v>
      </c>
      <c r="Z5556" s="19">
        <f t="array" ref="Z5556:Z5577">MMULT(MINVERSE($D$5556:$Y$5577),$D$5364:$D$5385)</f>
        <v/>
      </c>
    </row>
    <row r="5557">
      <c r="D5557" s="21">
        <f>$B$5338</f>
        <v/>
      </c>
      <c r="E5557" s="21">
        <f>$B$5339</f>
        <v/>
      </c>
      <c r="F5557" s="21">
        <f>-$B$5338</f>
        <v/>
      </c>
      <c r="G5557" s="21">
        <f>$B$5340</f>
        <v/>
      </c>
      <c r="H5557" s="21" t="n">
        <v>0</v>
      </c>
      <c r="I5557" s="21" t="n">
        <v>0</v>
      </c>
      <c r="J5557" s="21" t="n">
        <v>0</v>
      </c>
      <c r="K5557" s="21" t="n">
        <v>0</v>
      </c>
      <c r="L5557" s="21" t="n">
        <v>0</v>
      </c>
      <c r="M5557" s="21" t="n">
        <v>0</v>
      </c>
      <c r="N5557" s="21" t="n">
        <v>0</v>
      </c>
      <c r="O5557" s="21" t="n">
        <v>0</v>
      </c>
      <c r="P5557" s="21" t="n">
        <v>0</v>
      </c>
      <c r="Q5557" s="21" t="n">
        <v>0</v>
      </c>
      <c r="R5557" s="21" t="n">
        <v>0</v>
      </c>
      <c r="S5557" s="21" t="n">
        <v>0</v>
      </c>
      <c r="T5557" s="21" t="n">
        <v>0</v>
      </c>
      <c r="U5557" s="21" t="n">
        <v>0</v>
      </c>
      <c r="V5557" s="21" t="n">
        <v>0</v>
      </c>
      <c r="W5557" s="21" t="n">
        <v>0</v>
      </c>
      <c r="X5557" s="21" t="n">
        <v>0</v>
      </c>
      <c r="Y5557" s="21" t="n">
        <v>0</v>
      </c>
      <c r="Z5557" s="19" t="n"/>
    </row>
    <row r="5558">
      <c r="D5558" s="21">
        <f>-$B$5337</f>
        <v/>
      </c>
      <c r="E5558" s="21">
        <f>-$B$5338</f>
        <v/>
      </c>
      <c r="F5558" s="21">
        <f>2*$B$5337+$D$5545</f>
        <v/>
      </c>
      <c r="G5558" s="21">
        <f>0</f>
        <v/>
      </c>
      <c r="H5558" s="21">
        <f>-$B$5337</f>
        <v/>
      </c>
      <c r="I5558" s="21">
        <f>$B$5338</f>
        <v/>
      </c>
      <c r="J5558" s="21" t="n">
        <v>0</v>
      </c>
      <c r="K5558" s="21" t="n">
        <v>0</v>
      </c>
      <c r="L5558" s="21" t="n">
        <v>0</v>
      </c>
      <c r="M5558" s="21" t="n">
        <v>0</v>
      </c>
      <c r="N5558" s="21" t="n">
        <v>0</v>
      </c>
      <c r="O5558" s="21" t="n">
        <v>0</v>
      </c>
      <c r="P5558" s="21" t="n">
        <v>0</v>
      </c>
      <c r="Q5558" s="21" t="n">
        <v>0</v>
      </c>
      <c r="R5558" s="21" t="n">
        <v>0</v>
      </c>
      <c r="S5558" s="21" t="n">
        <v>0</v>
      </c>
      <c r="T5558" s="21" t="n">
        <v>0</v>
      </c>
      <c r="U5558" s="21" t="n">
        <v>0</v>
      </c>
      <c r="V5558" s="21" t="n">
        <v>0</v>
      </c>
      <c r="W5558" s="21" t="n">
        <v>0</v>
      </c>
      <c r="X5558" s="21" t="n">
        <v>0</v>
      </c>
      <c r="Y5558" s="21" t="n">
        <v>0</v>
      </c>
      <c r="Z5558" s="19" t="n"/>
    </row>
    <row r="5559">
      <c r="D5559" s="21">
        <f>$B$5338</f>
        <v/>
      </c>
      <c r="E5559" s="21">
        <f>$B$5340</f>
        <v/>
      </c>
      <c r="F5559" s="21">
        <f>0</f>
        <v/>
      </c>
      <c r="G5559" s="21">
        <f>2*$B$5339</f>
        <v/>
      </c>
      <c r="H5559" s="21">
        <f>-$B$5338</f>
        <v/>
      </c>
      <c r="I5559" s="21">
        <f>$B$5340</f>
        <v/>
      </c>
      <c r="J5559" s="21" t="n">
        <v>0</v>
      </c>
      <c r="K5559" s="21" t="n">
        <v>0</v>
      </c>
      <c r="L5559" s="21" t="n">
        <v>0</v>
      </c>
      <c r="M5559" s="21" t="n">
        <v>0</v>
      </c>
      <c r="N5559" s="21" t="n">
        <v>0</v>
      </c>
      <c r="O5559" s="21" t="n">
        <v>0</v>
      </c>
      <c r="P5559" s="21" t="n">
        <v>0</v>
      </c>
      <c r="Q5559" s="21" t="n">
        <v>0</v>
      </c>
      <c r="R5559" s="21" t="n">
        <v>0</v>
      </c>
      <c r="S5559" s="21" t="n">
        <v>0</v>
      </c>
      <c r="T5559" s="21" t="n">
        <v>0</v>
      </c>
      <c r="U5559" s="21" t="n">
        <v>0</v>
      </c>
      <c r="V5559" s="21" t="n">
        <v>0</v>
      </c>
      <c r="W5559" s="21" t="n">
        <v>0</v>
      </c>
      <c r="X5559" s="21" t="n">
        <v>0</v>
      </c>
      <c r="Y5559" s="21" t="n">
        <v>0</v>
      </c>
      <c r="Z5559" s="19" t="n"/>
    </row>
    <row r="5560">
      <c r="D5560" s="21" t="n">
        <v>0</v>
      </c>
      <c r="E5560" s="21" t="n">
        <v>0</v>
      </c>
      <c r="F5560" s="21">
        <f>-$B$5337</f>
        <v/>
      </c>
      <c r="G5560" s="21">
        <f>-$B$5338</f>
        <v/>
      </c>
      <c r="H5560" s="21">
        <f>2*$B$5337+$D$5546</f>
        <v/>
      </c>
      <c r="I5560" s="21">
        <f>0</f>
        <v/>
      </c>
      <c r="J5560" s="21">
        <f>-$B$5337</f>
        <v/>
      </c>
      <c r="K5560" s="21">
        <f>$B$5338</f>
        <v/>
      </c>
      <c r="L5560" s="21" t="n">
        <v>0</v>
      </c>
      <c r="M5560" s="21" t="n">
        <v>0</v>
      </c>
      <c r="N5560" s="21" t="n">
        <v>0</v>
      </c>
      <c r="O5560" s="21" t="n">
        <v>0</v>
      </c>
      <c r="P5560" s="21" t="n">
        <v>0</v>
      </c>
      <c r="Q5560" s="21" t="n">
        <v>0</v>
      </c>
      <c r="R5560" s="21" t="n">
        <v>0</v>
      </c>
      <c r="S5560" s="21" t="n">
        <v>0</v>
      </c>
      <c r="T5560" s="21" t="n">
        <v>0</v>
      </c>
      <c r="U5560" s="21" t="n">
        <v>0</v>
      </c>
      <c r="V5560" s="21" t="n">
        <v>0</v>
      </c>
      <c r="W5560" s="21" t="n">
        <v>0</v>
      </c>
      <c r="X5560" s="21" t="n">
        <v>0</v>
      </c>
      <c r="Y5560" s="21" t="n">
        <v>0</v>
      </c>
      <c r="Z5560" s="19" t="n"/>
    </row>
    <row r="5561">
      <c r="D5561" s="21" t="n">
        <v>0</v>
      </c>
      <c r="E5561" s="21" t="n">
        <v>0</v>
      </c>
      <c r="F5561" s="21">
        <f>$B$5338</f>
        <v/>
      </c>
      <c r="G5561" s="21">
        <f>$B$5340</f>
        <v/>
      </c>
      <c r="H5561" s="21">
        <f>0</f>
        <v/>
      </c>
      <c r="I5561" s="21">
        <f>2*$B$5339</f>
        <v/>
      </c>
      <c r="J5561" s="21">
        <f>-$B$5338</f>
        <v/>
      </c>
      <c r="K5561" s="21">
        <f>$B$5340</f>
        <v/>
      </c>
      <c r="L5561" s="21" t="n">
        <v>0</v>
      </c>
      <c r="M5561" s="21" t="n">
        <v>0</v>
      </c>
      <c r="N5561" s="21" t="n">
        <v>0</v>
      </c>
      <c r="O5561" s="21" t="n">
        <v>0</v>
      </c>
      <c r="P5561" s="21" t="n">
        <v>0</v>
      </c>
      <c r="Q5561" s="21" t="n">
        <v>0</v>
      </c>
      <c r="R5561" s="21" t="n">
        <v>0</v>
      </c>
      <c r="S5561" s="21" t="n">
        <v>0</v>
      </c>
      <c r="T5561" s="21" t="n">
        <v>0</v>
      </c>
      <c r="U5561" s="21" t="n">
        <v>0</v>
      </c>
      <c r="V5561" s="21" t="n">
        <v>0</v>
      </c>
      <c r="W5561" s="21" t="n">
        <v>0</v>
      </c>
      <c r="X5561" s="21" t="n">
        <v>0</v>
      </c>
      <c r="Y5561" s="21" t="n">
        <v>0</v>
      </c>
      <c r="Z5561" s="19" t="n"/>
    </row>
    <row r="5562">
      <c r="D5562" s="21" t="n">
        <v>0</v>
      </c>
      <c r="E5562" s="21" t="n">
        <v>0</v>
      </c>
      <c r="F5562" s="21" t="n">
        <v>0</v>
      </c>
      <c r="G5562" s="21" t="n">
        <v>0</v>
      </c>
      <c r="H5562" s="21">
        <f>-$B$5337</f>
        <v/>
      </c>
      <c r="I5562" s="21">
        <f>-$B$5338</f>
        <v/>
      </c>
      <c r="J5562" s="21">
        <f>2*$B$5337+$D$5547</f>
        <v/>
      </c>
      <c r="K5562" s="21">
        <f>0</f>
        <v/>
      </c>
      <c r="L5562" s="21">
        <f>-$B$5337</f>
        <v/>
      </c>
      <c r="M5562" s="21">
        <f>$B$5338</f>
        <v/>
      </c>
      <c r="N5562" s="21" t="n">
        <v>0</v>
      </c>
      <c r="O5562" s="21" t="n">
        <v>0</v>
      </c>
      <c r="P5562" s="21" t="n">
        <v>0</v>
      </c>
      <c r="Q5562" s="21" t="n">
        <v>0</v>
      </c>
      <c r="R5562" s="21" t="n">
        <v>0</v>
      </c>
      <c r="S5562" s="21" t="n">
        <v>0</v>
      </c>
      <c r="T5562" s="21" t="n">
        <v>0</v>
      </c>
      <c r="U5562" s="21" t="n">
        <v>0</v>
      </c>
      <c r="V5562" s="21" t="n">
        <v>0</v>
      </c>
      <c r="W5562" s="21" t="n">
        <v>0</v>
      </c>
      <c r="X5562" s="21" t="n">
        <v>0</v>
      </c>
      <c r="Y5562" s="21" t="n">
        <v>0</v>
      </c>
      <c r="Z5562" s="19" t="n"/>
    </row>
    <row r="5563">
      <c r="D5563" s="21" t="n">
        <v>0</v>
      </c>
      <c r="E5563" s="21" t="n">
        <v>0</v>
      </c>
      <c r="F5563" s="21" t="n">
        <v>0</v>
      </c>
      <c r="G5563" s="21" t="n">
        <v>0</v>
      </c>
      <c r="H5563" s="21">
        <f>$B$5338</f>
        <v/>
      </c>
      <c r="I5563" s="21">
        <f>$B$5340</f>
        <v/>
      </c>
      <c r="J5563" s="21">
        <f>0</f>
        <v/>
      </c>
      <c r="K5563" s="21">
        <f>2*$B$5339</f>
        <v/>
      </c>
      <c r="L5563" s="21">
        <f>-$B$5338</f>
        <v/>
      </c>
      <c r="M5563" s="21">
        <f>$B$5340</f>
        <v/>
      </c>
      <c r="N5563" s="21" t="n">
        <v>0</v>
      </c>
      <c r="O5563" s="21" t="n">
        <v>0</v>
      </c>
      <c r="P5563" s="21" t="n">
        <v>0</v>
      </c>
      <c r="Q5563" s="21" t="n">
        <v>0</v>
      </c>
      <c r="R5563" s="21" t="n">
        <v>0</v>
      </c>
      <c r="S5563" s="21" t="n">
        <v>0</v>
      </c>
      <c r="T5563" s="21" t="n">
        <v>0</v>
      </c>
      <c r="U5563" s="21" t="n">
        <v>0</v>
      </c>
      <c r="V5563" s="21" t="n">
        <v>0</v>
      </c>
      <c r="W5563" s="21" t="n">
        <v>0</v>
      </c>
      <c r="X5563" s="21" t="n">
        <v>0</v>
      </c>
      <c r="Y5563" s="21" t="n">
        <v>0</v>
      </c>
      <c r="Z5563" s="19" t="n"/>
    </row>
    <row r="5564">
      <c r="D5564" s="21" t="n">
        <v>0</v>
      </c>
      <c r="E5564" s="21" t="n">
        <v>0</v>
      </c>
      <c r="F5564" s="21" t="n">
        <v>0</v>
      </c>
      <c r="G5564" s="21" t="n">
        <v>0</v>
      </c>
      <c r="H5564" s="21" t="n">
        <v>0</v>
      </c>
      <c r="I5564" s="21" t="n">
        <v>0</v>
      </c>
      <c r="J5564" s="21">
        <f>-$B$5337</f>
        <v/>
      </c>
      <c r="K5564" s="21">
        <f>-$B$5338</f>
        <v/>
      </c>
      <c r="L5564" s="21">
        <f>2*$B$5337+$D$5548</f>
        <v/>
      </c>
      <c r="M5564" s="21">
        <f>0</f>
        <v/>
      </c>
      <c r="N5564" s="21">
        <f>-$B$5337</f>
        <v/>
      </c>
      <c r="O5564" s="21">
        <f>$B$5338</f>
        <v/>
      </c>
      <c r="P5564" s="21" t="n">
        <v>0</v>
      </c>
      <c r="Q5564" s="21" t="n">
        <v>0</v>
      </c>
      <c r="R5564" s="21" t="n">
        <v>0</v>
      </c>
      <c r="S5564" s="21" t="n">
        <v>0</v>
      </c>
      <c r="T5564" s="21" t="n">
        <v>0</v>
      </c>
      <c r="U5564" s="21" t="n">
        <v>0</v>
      </c>
      <c r="V5564" s="21" t="n">
        <v>0</v>
      </c>
      <c r="W5564" s="21" t="n">
        <v>0</v>
      </c>
      <c r="X5564" s="21" t="n">
        <v>0</v>
      </c>
      <c r="Y5564" s="21" t="n">
        <v>0</v>
      </c>
      <c r="Z5564" s="19" t="n"/>
    </row>
    <row r="5565">
      <c r="D5565" s="21" t="n">
        <v>0</v>
      </c>
      <c r="E5565" s="21" t="n">
        <v>0</v>
      </c>
      <c r="F5565" s="21" t="n">
        <v>0</v>
      </c>
      <c r="G5565" s="21" t="n">
        <v>0</v>
      </c>
      <c r="H5565" s="21" t="n">
        <v>0</v>
      </c>
      <c r="I5565" s="21" t="n">
        <v>0</v>
      </c>
      <c r="J5565" s="21">
        <f>$B$5338</f>
        <v/>
      </c>
      <c r="K5565" s="21">
        <f>$B$5340</f>
        <v/>
      </c>
      <c r="L5565" s="21">
        <f>0</f>
        <v/>
      </c>
      <c r="M5565" s="21">
        <f>2*$B$5339</f>
        <v/>
      </c>
      <c r="N5565" s="21">
        <f>-$B$5338</f>
        <v/>
      </c>
      <c r="O5565" s="21">
        <f>$B$5340</f>
        <v/>
      </c>
      <c r="P5565" s="21" t="n">
        <v>0</v>
      </c>
      <c r="Q5565" s="21" t="n">
        <v>0</v>
      </c>
      <c r="R5565" s="21" t="n">
        <v>0</v>
      </c>
      <c r="S5565" s="21" t="n">
        <v>0</v>
      </c>
      <c r="T5565" s="21" t="n">
        <v>0</v>
      </c>
      <c r="U5565" s="21" t="n">
        <v>0</v>
      </c>
      <c r="V5565" s="21" t="n">
        <v>0</v>
      </c>
      <c r="W5565" s="21" t="n">
        <v>0</v>
      </c>
      <c r="X5565" s="21" t="n">
        <v>0</v>
      </c>
      <c r="Y5565" s="21" t="n">
        <v>0</v>
      </c>
      <c r="Z5565" s="19" t="n"/>
    </row>
    <row r="5566">
      <c r="D5566" s="21" t="n">
        <v>0</v>
      </c>
      <c r="E5566" s="21" t="n">
        <v>0</v>
      </c>
      <c r="F5566" s="21" t="n">
        <v>0</v>
      </c>
      <c r="G5566" s="21" t="n">
        <v>0</v>
      </c>
      <c r="H5566" s="21" t="n">
        <v>0</v>
      </c>
      <c r="I5566" s="21" t="n">
        <v>0</v>
      </c>
      <c r="J5566" s="21" t="n">
        <v>0</v>
      </c>
      <c r="K5566" s="21" t="n">
        <v>0</v>
      </c>
      <c r="L5566" s="21">
        <f>-$B$5337</f>
        <v/>
      </c>
      <c r="M5566" s="21">
        <f>-$B$5338</f>
        <v/>
      </c>
      <c r="N5566" s="21">
        <f>2*$B$5337+$D$5549</f>
        <v/>
      </c>
      <c r="O5566" s="21">
        <f>0</f>
        <v/>
      </c>
      <c r="P5566" s="21">
        <f>-$B$5337</f>
        <v/>
      </c>
      <c r="Q5566" s="21">
        <f>$B$5338</f>
        <v/>
      </c>
      <c r="R5566" s="21" t="n">
        <v>0</v>
      </c>
      <c r="S5566" s="21" t="n">
        <v>0</v>
      </c>
      <c r="T5566" s="21" t="n">
        <v>0</v>
      </c>
      <c r="U5566" s="21" t="n">
        <v>0</v>
      </c>
      <c r="V5566" s="21" t="n">
        <v>0</v>
      </c>
      <c r="W5566" s="21" t="n">
        <v>0</v>
      </c>
      <c r="X5566" s="21" t="n">
        <v>0</v>
      </c>
      <c r="Y5566" s="21" t="n">
        <v>0</v>
      </c>
      <c r="Z5566" s="19" t="n"/>
    </row>
    <row r="5567">
      <c r="D5567" s="21" t="n">
        <v>0</v>
      </c>
      <c r="E5567" s="21" t="n">
        <v>0</v>
      </c>
      <c r="F5567" s="21" t="n">
        <v>0</v>
      </c>
      <c r="G5567" s="21" t="n">
        <v>0</v>
      </c>
      <c r="H5567" s="21" t="n">
        <v>0</v>
      </c>
      <c r="I5567" s="21" t="n">
        <v>0</v>
      </c>
      <c r="J5567" s="21" t="n">
        <v>0</v>
      </c>
      <c r="K5567" s="21" t="n">
        <v>0</v>
      </c>
      <c r="L5567" s="21">
        <f>$B$5338</f>
        <v/>
      </c>
      <c r="M5567" s="21">
        <f>$B$5340</f>
        <v/>
      </c>
      <c r="N5567" s="21">
        <f>0</f>
        <v/>
      </c>
      <c r="O5567" s="21">
        <f>2*$B$5339</f>
        <v/>
      </c>
      <c r="P5567" s="21">
        <f>-$B$5338</f>
        <v/>
      </c>
      <c r="Q5567" s="21">
        <f>$B$5340</f>
        <v/>
      </c>
      <c r="R5567" s="21" t="n">
        <v>0</v>
      </c>
      <c r="S5567" s="21" t="n">
        <v>0</v>
      </c>
      <c r="T5567" s="21" t="n">
        <v>0</v>
      </c>
      <c r="U5567" s="21" t="n">
        <v>0</v>
      </c>
      <c r="V5567" s="21" t="n">
        <v>0</v>
      </c>
      <c r="W5567" s="21" t="n">
        <v>0</v>
      </c>
      <c r="X5567" s="21" t="n">
        <v>0</v>
      </c>
      <c r="Y5567" s="21" t="n">
        <v>0</v>
      </c>
      <c r="Z5567" s="19" t="n"/>
    </row>
    <row r="5568">
      <c r="D5568" s="21" t="n">
        <v>0</v>
      </c>
      <c r="E5568" s="21" t="n">
        <v>0</v>
      </c>
      <c r="F5568" s="21" t="n">
        <v>0</v>
      </c>
      <c r="G5568" s="21" t="n">
        <v>0</v>
      </c>
      <c r="H5568" s="21" t="n">
        <v>0</v>
      </c>
      <c r="I5568" s="21" t="n">
        <v>0</v>
      </c>
      <c r="J5568" s="21" t="n">
        <v>0</v>
      </c>
      <c r="K5568" s="21" t="n">
        <v>0</v>
      </c>
      <c r="L5568" s="21" t="n">
        <v>0</v>
      </c>
      <c r="M5568" s="21" t="n">
        <v>0</v>
      </c>
      <c r="N5568" s="21">
        <f>-$B$5337</f>
        <v/>
      </c>
      <c r="O5568" s="21">
        <f>-$B$5338</f>
        <v/>
      </c>
      <c r="P5568" s="21">
        <f>2*$B$5337+$D$5550</f>
        <v/>
      </c>
      <c r="Q5568" s="21">
        <f>0</f>
        <v/>
      </c>
      <c r="R5568" s="21">
        <f>-$B$5337</f>
        <v/>
      </c>
      <c r="S5568" s="21">
        <f>$B$5338</f>
        <v/>
      </c>
      <c r="T5568" s="21" t="n">
        <v>0</v>
      </c>
      <c r="U5568" s="21" t="n">
        <v>0</v>
      </c>
      <c r="V5568" s="21" t="n">
        <v>0</v>
      </c>
      <c r="W5568" s="21" t="n">
        <v>0</v>
      </c>
      <c r="X5568" s="21" t="n">
        <v>0</v>
      </c>
      <c r="Y5568" s="21" t="n">
        <v>0</v>
      </c>
      <c r="Z5568" s="19" t="n"/>
    </row>
    <row r="5569">
      <c r="D5569" s="21" t="n">
        <v>0</v>
      </c>
      <c r="E5569" s="21" t="n">
        <v>0</v>
      </c>
      <c r="F5569" s="21" t="n">
        <v>0</v>
      </c>
      <c r="G5569" s="21" t="n">
        <v>0</v>
      </c>
      <c r="H5569" s="21" t="n">
        <v>0</v>
      </c>
      <c r="I5569" s="21" t="n">
        <v>0</v>
      </c>
      <c r="J5569" s="21" t="n">
        <v>0</v>
      </c>
      <c r="K5569" s="21" t="n">
        <v>0</v>
      </c>
      <c r="L5569" s="21" t="n">
        <v>0</v>
      </c>
      <c r="M5569" s="21" t="n">
        <v>0</v>
      </c>
      <c r="N5569" s="21">
        <f>$B$5338</f>
        <v/>
      </c>
      <c r="O5569" s="21">
        <f>$B$5340</f>
        <v/>
      </c>
      <c r="P5569" s="21">
        <f>0</f>
        <v/>
      </c>
      <c r="Q5569" s="21">
        <f>2*$B$5339</f>
        <v/>
      </c>
      <c r="R5569" s="21">
        <f>-$B$5338</f>
        <v/>
      </c>
      <c r="S5569" s="21">
        <f>$B$5340</f>
        <v/>
      </c>
      <c r="T5569" s="21" t="n">
        <v>0</v>
      </c>
      <c r="U5569" s="21" t="n">
        <v>0</v>
      </c>
      <c r="V5569" s="21" t="n">
        <v>0</v>
      </c>
      <c r="W5569" s="21" t="n">
        <v>0</v>
      </c>
      <c r="X5569" s="21" t="n">
        <v>0</v>
      </c>
      <c r="Y5569" s="21" t="n">
        <v>0</v>
      </c>
      <c r="Z5569" s="19" t="n"/>
    </row>
    <row r="5570">
      <c r="D5570" s="21" t="n">
        <v>0</v>
      </c>
      <c r="E5570" s="21" t="n">
        <v>0</v>
      </c>
      <c r="F5570" s="21" t="n">
        <v>0</v>
      </c>
      <c r="G5570" s="21" t="n">
        <v>0</v>
      </c>
      <c r="H5570" s="21" t="n">
        <v>0</v>
      </c>
      <c r="I5570" s="21" t="n">
        <v>0</v>
      </c>
      <c r="J5570" s="21" t="n">
        <v>0</v>
      </c>
      <c r="K5570" s="21" t="n">
        <v>0</v>
      </c>
      <c r="L5570" s="21" t="n">
        <v>0</v>
      </c>
      <c r="M5570" s="21" t="n">
        <v>0</v>
      </c>
      <c r="N5570" s="21" t="n">
        <v>0</v>
      </c>
      <c r="O5570" s="21" t="n">
        <v>0</v>
      </c>
      <c r="P5570" s="21">
        <f>-$B$5337</f>
        <v/>
      </c>
      <c r="Q5570" s="21">
        <f>-$B$5338</f>
        <v/>
      </c>
      <c r="R5570" s="21">
        <f>2*$B$5337+$D$5551</f>
        <v/>
      </c>
      <c r="S5570" s="21">
        <f>0</f>
        <v/>
      </c>
      <c r="T5570" s="21">
        <f>-$B$5337</f>
        <v/>
      </c>
      <c r="U5570" s="21">
        <f>$B$5338</f>
        <v/>
      </c>
      <c r="V5570" s="21" t="n">
        <v>0</v>
      </c>
      <c r="W5570" s="21" t="n">
        <v>0</v>
      </c>
      <c r="X5570" s="21" t="n">
        <v>0</v>
      </c>
      <c r="Y5570" s="21" t="n">
        <v>0</v>
      </c>
      <c r="Z5570" s="19" t="n"/>
    </row>
    <row r="5571">
      <c r="D5571" s="21" t="n">
        <v>0</v>
      </c>
      <c r="E5571" s="21" t="n">
        <v>0</v>
      </c>
      <c r="F5571" s="21" t="n">
        <v>0</v>
      </c>
      <c r="G5571" s="21" t="n">
        <v>0</v>
      </c>
      <c r="H5571" s="21" t="n">
        <v>0</v>
      </c>
      <c r="I5571" s="21" t="n">
        <v>0</v>
      </c>
      <c r="J5571" s="21" t="n">
        <v>0</v>
      </c>
      <c r="K5571" s="21" t="n">
        <v>0</v>
      </c>
      <c r="L5571" s="21" t="n">
        <v>0</v>
      </c>
      <c r="M5571" s="21" t="n">
        <v>0</v>
      </c>
      <c r="N5571" s="21" t="n">
        <v>0</v>
      </c>
      <c r="O5571" s="21" t="n">
        <v>0</v>
      </c>
      <c r="P5571" s="21">
        <f>$B$5338</f>
        <v/>
      </c>
      <c r="Q5571" s="21">
        <f>$B$5340</f>
        <v/>
      </c>
      <c r="R5571" s="21">
        <f>0</f>
        <v/>
      </c>
      <c r="S5571" s="21">
        <f>2*$B$5339</f>
        <v/>
      </c>
      <c r="T5571" s="21">
        <f>-$B$5338</f>
        <v/>
      </c>
      <c r="U5571" s="21">
        <f>$B$5340</f>
        <v/>
      </c>
      <c r="V5571" s="21" t="n">
        <v>0</v>
      </c>
      <c r="W5571" s="21" t="n">
        <v>0</v>
      </c>
      <c r="X5571" s="21" t="n">
        <v>0</v>
      </c>
      <c r="Y5571" s="21" t="n">
        <v>0</v>
      </c>
      <c r="Z5571" s="19" t="n"/>
    </row>
    <row r="5572">
      <c r="D5572" s="21" t="n">
        <v>0</v>
      </c>
      <c r="E5572" s="21" t="n">
        <v>0</v>
      </c>
      <c r="F5572" s="21" t="n">
        <v>0</v>
      </c>
      <c r="G5572" s="21" t="n">
        <v>0</v>
      </c>
      <c r="H5572" s="21" t="n">
        <v>0</v>
      </c>
      <c r="I5572" s="21" t="n">
        <v>0</v>
      </c>
      <c r="J5572" s="21" t="n">
        <v>0</v>
      </c>
      <c r="K5572" s="21" t="n">
        <v>0</v>
      </c>
      <c r="L5572" s="21" t="n">
        <v>0</v>
      </c>
      <c r="M5572" s="21" t="n">
        <v>0</v>
      </c>
      <c r="N5572" s="21" t="n">
        <v>0</v>
      </c>
      <c r="O5572" s="21" t="n">
        <v>0</v>
      </c>
      <c r="P5572" s="21" t="n">
        <v>0</v>
      </c>
      <c r="Q5572" s="21" t="n">
        <v>0</v>
      </c>
      <c r="R5572" s="21">
        <f>-$B$5337</f>
        <v/>
      </c>
      <c r="S5572" s="21">
        <f>-$B$5338</f>
        <v/>
      </c>
      <c r="T5572" s="21">
        <f>2*$B$5337+$D$5552</f>
        <v/>
      </c>
      <c r="U5572" s="21">
        <f>0</f>
        <v/>
      </c>
      <c r="V5572" s="21">
        <f>-$B$5337</f>
        <v/>
      </c>
      <c r="W5572" s="21">
        <f>$B$5338</f>
        <v/>
      </c>
      <c r="X5572" s="21" t="n">
        <v>0</v>
      </c>
      <c r="Y5572" s="21" t="n">
        <v>0</v>
      </c>
      <c r="Z5572" s="19" t="n"/>
    </row>
    <row r="5573">
      <c r="D5573" s="21" t="n">
        <v>0</v>
      </c>
      <c r="E5573" s="21" t="n">
        <v>0</v>
      </c>
      <c r="F5573" s="21" t="n">
        <v>0</v>
      </c>
      <c r="G5573" s="21" t="n">
        <v>0</v>
      </c>
      <c r="H5573" s="21" t="n">
        <v>0</v>
      </c>
      <c r="I5573" s="21" t="n">
        <v>0</v>
      </c>
      <c r="J5573" s="21" t="n">
        <v>0</v>
      </c>
      <c r="K5573" s="21" t="n">
        <v>0</v>
      </c>
      <c r="L5573" s="21" t="n">
        <v>0</v>
      </c>
      <c r="M5573" s="21" t="n">
        <v>0</v>
      </c>
      <c r="N5573" s="21" t="n">
        <v>0</v>
      </c>
      <c r="O5573" s="21" t="n">
        <v>0</v>
      </c>
      <c r="P5573" s="21" t="n">
        <v>0</v>
      </c>
      <c r="Q5573" s="21" t="n">
        <v>0</v>
      </c>
      <c r="R5573" s="21">
        <f>$B$5338</f>
        <v/>
      </c>
      <c r="S5573" s="21">
        <f>$B$5340</f>
        <v/>
      </c>
      <c r="T5573" s="21">
        <f>0</f>
        <v/>
      </c>
      <c r="U5573" s="21">
        <f>2*$B$5339</f>
        <v/>
      </c>
      <c r="V5573" s="21">
        <f>-$B$5338</f>
        <v/>
      </c>
      <c r="W5573" s="21">
        <f>$B$5340</f>
        <v/>
      </c>
      <c r="X5573" s="21" t="n">
        <v>0</v>
      </c>
      <c r="Y5573" s="21" t="n">
        <v>0</v>
      </c>
      <c r="Z5573" s="19" t="n"/>
    </row>
    <row r="5574">
      <c r="D5574" s="21" t="n">
        <v>0</v>
      </c>
      <c r="E5574" s="21" t="n">
        <v>0</v>
      </c>
      <c r="F5574" s="21" t="n">
        <v>0</v>
      </c>
      <c r="G5574" s="21" t="n">
        <v>0</v>
      </c>
      <c r="H5574" s="21" t="n">
        <v>0</v>
      </c>
      <c r="I5574" s="21" t="n">
        <v>0</v>
      </c>
      <c r="J5574" s="21" t="n">
        <v>0</v>
      </c>
      <c r="K5574" s="21" t="n">
        <v>0</v>
      </c>
      <c r="L5574" s="21" t="n">
        <v>0</v>
      </c>
      <c r="M5574" s="21" t="n">
        <v>0</v>
      </c>
      <c r="N5574" s="21" t="n">
        <v>0</v>
      </c>
      <c r="O5574" s="21" t="n">
        <v>0</v>
      </c>
      <c r="P5574" s="21" t="n">
        <v>0</v>
      </c>
      <c r="Q5574" s="21" t="n">
        <v>0</v>
      </c>
      <c r="R5574" s="21" t="n">
        <v>0</v>
      </c>
      <c r="S5574" s="21" t="n">
        <v>0</v>
      </c>
      <c r="T5574" s="21">
        <f>-$B$5337</f>
        <v/>
      </c>
      <c r="U5574" s="21">
        <f>-$B$5338</f>
        <v/>
      </c>
      <c r="V5574" s="21">
        <f>2*$B$5337+$D$5553</f>
        <v/>
      </c>
      <c r="W5574" s="21">
        <f>0</f>
        <v/>
      </c>
      <c r="X5574" s="21">
        <f>-$B$5337</f>
        <v/>
      </c>
      <c r="Y5574" s="21">
        <f>$B$5338</f>
        <v/>
      </c>
      <c r="Z5574" s="19" t="n"/>
    </row>
    <row r="5575">
      <c r="D5575" s="21" t="n">
        <v>0</v>
      </c>
      <c r="E5575" s="21" t="n">
        <v>0</v>
      </c>
      <c r="F5575" s="21" t="n">
        <v>0</v>
      </c>
      <c r="G5575" s="21" t="n">
        <v>0</v>
      </c>
      <c r="H5575" s="21" t="n">
        <v>0</v>
      </c>
      <c r="I5575" s="21" t="n">
        <v>0</v>
      </c>
      <c r="J5575" s="21" t="n">
        <v>0</v>
      </c>
      <c r="K5575" s="21" t="n">
        <v>0</v>
      </c>
      <c r="L5575" s="21" t="n">
        <v>0</v>
      </c>
      <c r="M5575" s="21" t="n">
        <v>0</v>
      </c>
      <c r="N5575" s="21" t="n">
        <v>0</v>
      </c>
      <c r="O5575" s="21" t="n">
        <v>0</v>
      </c>
      <c r="P5575" s="21" t="n">
        <v>0</v>
      </c>
      <c r="Q5575" s="21" t="n">
        <v>0</v>
      </c>
      <c r="R5575" s="21" t="n">
        <v>0</v>
      </c>
      <c r="S5575" s="21" t="n">
        <v>0</v>
      </c>
      <c r="T5575" s="21">
        <f>$B$5338</f>
        <v/>
      </c>
      <c r="U5575" s="21">
        <f>$B$5340</f>
        <v/>
      </c>
      <c r="V5575" s="21">
        <f>0</f>
        <v/>
      </c>
      <c r="W5575" s="21">
        <f>2*$B$5339</f>
        <v/>
      </c>
      <c r="X5575" s="21">
        <f>-$B$5338</f>
        <v/>
      </c>
      <c r="Y5575" s="21">
        <f>$B$5340</f>
        <v/>
      </c>
      <c r="Z5575" s="19" t="n"/>
    </row>
    <row r="5576">
      <c r="D5576" s="21" t="n">
        <v>0</v>
      </c>
      <c r="E5576" s="21" t="n">
        <v>0</v>
      </c>
      <c r="F5576" s="21" t="n">
        <v>0</v>
      </c>
      <c r="G5576" s="21" t="n">
        <v>0</v>
      </c>
      <c r="H5576" s="21" t="n">
        <v>0</v>
      </c>
      <c r="I5576" s="21" t="n">
        <v>0</v>
      </c>
      <c r="J5576" s="21" t="n">
        <v>0</v>
      </c>
      <c r="K5576" s="21" t="n">
        <v>0</v>
      </c>
      <c r="L5576" s="21" t="n">
        <v>0</v>
      </c>
      <c r="M5576" s="21" t="n">
        <v>0</v>
      </c>
      <c r="N5576" s="21" t="n">
        <v>0</v>
      </c>
      <c r="O5576" s="21" t="n">
        <v>0</v>
      </c>
      <c r="P5576" s="21" t="n">
        <v>0</v>
      </c>
      <c r="Q5576" s="21" t="n">
        <v>0</v>
      </c>
      <c r="R5576" s="21" t="n">
        <v>0</v>
      </c>
      <c r="S5576" s="21" t="n">
        <v>0</v>
      </c>
      <c r="T5576" s="21" t="n">
        <v>0</v>
      </c>
      <c r="U5576" s="21" t="n">
        <v>0</v>
      </c>
      <c r="V5576" s="21">
        <f>-$B$5337</f>
        <v/>
      </c>
      <c r="W5576" s="21">
        <f>-$B$5338</f>
        <v/>
      </c>
      <c r="X5576" s="21">
        <f>$B$5337+$D$5554</f>
        <v/>
      </c>
      <c r="Y5576" s="21">
        <f>-$B$5338</f>
        <v/>
      </c>
      <c r="Z5576" s="19" t="n"/>
    </row>
    <row r="5577">
      <c r="D5577" s="21" t="n">
        <v>0</v>
      </c>
      <c r="E5577" s="21" t="n">
        <v>0</v>
      </c>
      <c r="F5577" s="21" t="n">
        <v>0</v>
      </c>
      <c r="G5577" s="21" t="n">
        <v>0</v>
      </c>
      <c r="H5577" s="21" t="n">
        <v>0</v>
      </c>
      <c r="I5577" s="21" t="n">
        <v>0</v>
      </c>
      <c r="J5577" s="21" t="n">
        <v>0</v>
      </c>
      <c r="K5577" s="21" t="n">
        <v>0</v>
      </c>
      <c r="L5577" s="21" t="n">
        <v>0</v>
      </c>
      <c r="M5577" s="21" t="n">
        <v>0</v>
      </c>
      <c r="N5577" s="21" t="n">
        <v>0</v>
      </c>
      <c r="O5577" s="21" t="n">
        <v>0</v>
      </c>
      <c r="P5577" s="21" t="n">
        <v>0</v>
      </c>
      <c r="Q5577" s="21" t="n">
        <v>0</v>
      </c>
      <c r="R5577" s="21" t="n">
        <v>0</v>
      </c>
      <c r="S5577" s="21" t="n">
        <v>0</v>
      </c>
      <c r="T5577" s="21" t="n">
        <v>0</v>
      </c>
      <c r="U5577" s="21" t="n">
        <v>0</v>
      </c>
      <c r="V5577" s="21">
        <f>$B$5338</f>
        <v/>
      </c>
      <c r="W5577" s="21">
        <f>$B$5340</f>
        <v/>
      </c>
      <c r="X5577" s="21">
        <f>-$B$5338</f>
        <v/>
      </c>
      <c r="Y5577" s="21">
        <f>$B$5339</f>
        <v/>
      </c>
      <c r="Z5577" s="19" t="n"/>
    </row>
    <row r="5579">
      <c r="A5579" s="8" t="inlineStr">
        <is>
          <t>gen 6</t>
        </is>
      </c>
    </row>
    <row r="5580">
      <c r="D5580" s="19">
        <f>IF(ABS(IF(ABS($E$5544)&gt;0.000000001,$E$5544,0.000000001))=0,0,IF($E$5352&lt;=$B$5346,0,IF(ABS(IF(ABS($E$5544)&gt;0.000000001,$E$5544,0.000000001))&gt;=8*$B$5348,$H$5352,0.5*$H$5352*(ABS(IF(ABS($E$5544)&gt;0.000000001,$E$5544,0.000000001))/$B$5348)^(1/3)))/ABS(IF(ABS($E$5544)&gt;0.000000001,$E$5544,0.000000001))*$I$5352)</f>
        <v/>
      </c>
      <c r="E5580" s="19">
        <f>0.5*$E$5544+0.5*$Z$5592</f>
        <v/>
      </c>
      <c r="F5580" s="19">
        <f>$Z$5593</f>
        <v/>
      </c>
    </row>
    <row r="5581">
      <c r="D5581" s="19">
        <f>IF(ABS(IF(ABS($E$5545)&gt;0.000000001,$E$5545,0.000000001))=0,0,IF($E$5353&lt;=$B$5346,0,IF(ABS(IF(ABS($E$5545)&gt;0.000000001,$E$5545,0.000000001))&gt;=8*$B$5348,$H$5353,0.5*$H$5353*(ABS(IF(ABS($E$5545)&gt;0.000000001,$E$5545,0.000000001))/$B$5348)^(1/3)))/ABS(IF(ABS($E$5545)&gt;0.000000001,$E$5545,0.000000001))*$I$5353)</f>
        <v/>
      </c>
      <c r="E5581" s="19">
        <f>0.5*$E$5545+0.5*$Z$5594</f>
        <v/>
      </c>
      <c r="F5581" s="19">
        <f>$Z$5595</f>
        <v/>
      </c>
    </row>
    <row r="5582">
      <c r="D5582" s="19">
        <f>IF(ABS(IF(ABS($E$5546)&gt;0.000000001,$E$5546,0.000000001))=0,0,IF($E$5354&lt;=$B$5346,0,IF(ABS(IF(ABS($E$5546)&gt;0.000000001,$E$5546,0.000000001))&gt;=8*$B$5348,$H$5354,0.5*$H$5354*(ABS(IF(ABS($E$5546)&gt;0.000000001,$E$5546,0.000000001))/$B$5348)^(1/3)))/ABS(IF(ABS($E$5546)&gt;0.000000001,$E$5546,0.000000001))*$I$5354)</f>
        <v/>
      </c>
      <c r="E5582" s="19">
        <f>0.5*$E$5546+0.5*$Z$5596</f>
        <v/>
      </c>
      <c r="F5582" s="19">
        <f>$Z$5597</f>
        <v/>
      </c>
    </row>
    <row r="5583">
      <c r="D5583" s="19">
        <f>IF(ABS(IF(ABS($E$5547)&gt;0.000000001,$E$5547,0.000000001))=0,0,IF($E$5355&lt;=$B$5346,0,IF(ABS(IF(ABS($E$5547)&gt;0.000000001,$E$5547,0.000000001))&gt;=8*$B$5348,$H$5355,0.5*$H$5355*(ABS(IF(ABS($E$5547)&gt;0.000000001,$E$5547,0.000000001))/$B$5348)^(1/3)))/ABS(IF(ABS($E$5547)&gt;0.000000001,$E$5547,0.000000001))*$I$5355)</f>
        <v/>
      </c>
      <c r="E5583" s="19">
        <f>0.5*$E$5547+0.5*$Z$5598</f>
        <v/>
      </c>
      <c r="F5583" s="19">
        <f>$Z$5599</f>
        <v/>
      </c>
    </row>
    <row r="5584">
      <c r="D5584" s="19">
        <f>IF(ABS(IF(ABS($E$5548)&gt;0.000000001,$E$5548,0.000000001))=0,0,IF($E$5356&lt;=$B$5346,0,IF(ABS(IF(ABS($E$5548)&gt;0.000000001,$E$5548,0.000000001))&gt;=8*$B$5348,$H$5356,0.5*$H$5356*(ABS(IF(ABS($E$5548)&gt;0.000000001,$E$5548,0.000000001))/$B$5348)^(1/3)))/ABS(IF(ABS($E$5548)&gt;0.000000001,$E$5548,0.000000001))*$I$5356)</f>
        <v/>
      </c>
      <c r="E5584" s="19">
        <f>0.5*$E$5548+0.5*$Z$5600</f>
        <v/>
      </c>
      <c r="F5584" s="19">
        <f>$Z$5601</f>
        <v/>
      </c>
    </row>
    <row r="5585">
      <c r="D5585" s="19">
        <f>IF(ABS(IF(ABS($E$5549)&gt;0.000000001,$E$5549,0.000000001))=0,0,IF($E$5357&lt;=$B$5346,0,IF(ABS(IF(ABS($E$5549)&gt;0.000000001,$E$5549,0.000000001))&gt;=8*$B$5348,$H$5357,0.5*$H$5357*(ABS(IF(ABS($E$5549)&gt;0.000000001,$E$5549,0.000000001))/$B$5348)^(1/3)))/ABS(IF(ABS($E$5549)&gt;0.000000001,$E$5549,0.000000001))*$I$5357)</f>
        <v/>
      </c>
      <c r="E5585" s="19">
        <f>0.5*$E$5549+0.5*$Z$5602</f>
        <v/>
      </c>
      <c r="F5585" s="19">
        <f>$Z$5603</f>
        <v/>
      </c>
    </row>
    <row r="5586">
      <c r="D5586" s="19">
        <f>IF(ABS(IF(ABS($E$5550)&gt;0.000000001,$E$5550,0.000000001))=0,0,IF($E$5358&lt;=$B$5346,0,IF(ABS(IF(ABS($E$5550)&gt;0.000000001,$E$5550,0.000000001))&gt;=8*$B$5348,$H$5358,0.5*$H$5358*(ABS(IF(ABS($E$5550)&gt;0.000000001,$E$5550,0.000000001))/$B$5348)^(1/3)))/ABS(IF(ABS($E$5550)&gt;0.000000001,$E$5550,0.000000001))*$I$5358)</f>
        <v/>
      </c>
      <c r="E5586" s="19">
        <f>0.5*$E$5550+0.5*$Z$5604</f>
        <v/>
      </c>
      <c r="F5586" s="19">
        <f>$Z$5605</f>
        <v/>
      </c>
    </row>
    <row r="5587">
      <c r="D5587" s="19">
        <f>IF(ABS(IF(ABS($E$5551)&gt;0.000000001,$E$5551,0.000000001))=0,0,IF($E$5359&lt;=$B$5346,0,IF(ABS(IF(ABS($E$5551)&gt;0.000000001,$E$5551,0.000000001))&gt;=8*$B$5348,$H$5359,0.5*$H$5359*(ABS(IF(ABS($E$5551)&gt;0.000000001,$E$5551,0.000000001))/$B$5348)^(1/3)))/ABS(IF(ABS($E$5551)&gt;0.000000001,$E$5551,0.000000001))*$I$5359)</f>
        <v/>
      </c>
      <c r="E5587" s="19">
        <f>0.5*$E$5551+0.5*$Z$5606</f>
        <v/>
      </c>
      <c r="F5587" s="19">
        <f>$Z$5607</f>
        <v/>
      </c>
    </row>
    <row r="5588">
      <c r="D5588" s="19">
        <f>IF(ABS(IF(ABS($E$5552)&gt;0.000000001,$E$5552,0.000000001))=0,0,IF($E$5360&lt;=$B$5346,0,IF(ABS(IF(ABS($E$5552)&gt;0.000000001,$E$5552,0.000000001))&gt;=8*$B$5348,$H$5360,0.5*$H$5360*(ABS(IF(ABS($E$5552)&gt;0.000000001,$E$5552,0.000000001))/$B$5348)^(1/3)))/ABS(IF(ABS($E$5552)&gt;0.000000001,$E$5552,0.000000001))*$I$5360)</f>
        <v/>
      </c>
      <c r="E5588" s="19">
        <f>0.5*$E$5552+0.5*$Z$5608</f>
        <v/>
      </c>
      <c r="F5588" s="19">
        <f>$Z$5609</f>
        <v/>
      </c>
    </row>
    <row r="5589">
      <c r="D5589" s="19">
        <f>IF(ABS(IF(ABS($E$5553)&gt;0.000000001,$E$5553,0.000000001))=0,0,IF($E$5361&lt;=$B$5346,0,IF(ABS(IF(ABS($E$5553)&gt;0.000000001,$E$5553,0.000000001))&gt;=8*$B$5348,$H$5361,0.5*$H$5361*(ABS(IF(ABS($E$5553)&gt;0.000000001,$E$5553,0.000000001))/$B$5348)^(1/3)))/ABS(IF(ABS($E$5553)&gt;0.000000001,$E$5553,0.000000001))*$I$5361)</f>
        <v/>
      </c>
      <c r="E5589" s="19">
        <f>0.5*$E$5553+0.5*$Z$5610</f>
        <v/>
      </c>
      <c r="F5589" s="19">
        <f>$Z$5611</f>
        <v/>
      </c>
    </row>
    <row r="5590">
      <c r="D5590" s="19">
        <f>IF(ABS(IF(ABS($E$5554)&gt;0.000000001,$E$5554,0.000000001))=0,0,IF($E$5362&lt;=$B$5346,0,IF(ABS(IF(ABS($E$5554)&gt;0.000000001,$E$5554,0.000000001))&gt;=8*$B$5348,$H$5362,0.5*$H$5362*(ABS(IF(ABS($E$5554)&gt;0.000000001,$E$5554,0.000000001))/$B$5348)^(1/3)))/ABS(IF(ABS($E$5554)&gt;0.000000001,$E$5554,0.000000001))*$I$5362)</f>
        <v/>
      </c>
      <c r="E5590" s="19">
        <f>0.5*$E$5554+0.5*$Z$5612</f>
        <v/>
      </c>
      <c r="F5590" s="19">
        <f>$Z$5613</f>
        <v/>
      </c>
    </row>
    <row r="5592">
      <c r="D5592" s="21">
        <f>$B$5337+$D$5580</f>
        <v/>
      </c>
      <c r="E5592" s="21">
        <f>$B$5338</f>
        <v/>
      </c>
      <c r="F5592" s="21">
        <f>-$B$5337</f>
        <v/>
      </c>
      <c r="G5592" s="21">
        <f>$B$5338</f>
        <v/>
      </c>
      <c r="H5592" s="21" t="n">
        <v>0</v>
      </c>
      <c r="I5592" s="21" t="n">
        <v>0</v>
      </c>
      <c r="J5592" s="21" t="n">
        <v>0</v>
      </c>
      <c r="K5592" s="21" t="n">
        <v>0</v>
      </c>
      <c r="L5592" s="21" t="n">
        <v>0</v>
      </c>
      <c r="M5592" s="21" t="n">
        <v>0</v>
      </c>
      <c r="N5592" s="21" t="n">
        <v>0</v>
      </c>
      <c r="O5592" s="21" t="n">
        <v>0</v>
      </c>
      <c r="P5592" s="21" t="n">
        <v>0</v>
      </c>
      <c r="Q5592" s="21" t="n">
        <v>0</v>
      </c>
      <c r="R5592" s="21" t="n">
        <v>0</v>
      </c>
      <c r="S5592" s="21" t="n">
        <v>0</v>
      </c>
      <c r="T5592" s="21" t="n">
        <v>0</v>
      </c>
      <c r="U5592" s="21" t="n">
        <v>0</v>
      </c>
      <c r="V5592" s="21" t="n">
        <v>0</v>
      </c>
      <c r="W5592" s="21" t="n">
        <v>0</v>
      </c>
      <c r="X5592" s="21" t="n">
        <v>0</v>
      </c>
      <c r="Y5592" s="21" t="n">
        <v>0</v>
      </c>
      <c r="Z5592" s="19">
        <f t="array" ref="Z5592:Z5613">MMULT(MINVERSE($D$5592:$Y$5613),$D$5364:$D$5385)</f>
        <v/>
      </c>
    </row>
    <row r="5593">
      <c r="D5593" s="21">
        <f>$B$5338</f>
        <v/>
      </c>
      <c r="E5593" s="21">
        <f>$B$5339</f>
        <v/>
      </c>
      <c r="F5593" s="21">
        <f>-$B$5338</f>
        <v/>
      </c>
      <c r="G5593" s="21">
        <f>$B$5340</f>
        <v/>
      </c>
      <c r="H5593" s="21" t="n">
        <v>0</v>
      </c>
      <c r="I5593" s="21" t="n">
        <v>0</v>
      </c>
      <c r="J5593" s="21" t="n">
        <v>0</v>
      </c>
      <c r="K5593" s="21" t="n">
        <v>0</v>
      </c>
      <c r="L5593" s="21" t="n">
        <v>0</v>
      </c>
      <c r="M5593" s="21" t="n">
        <v>0</v>
      </c>
      <c r="N5593" s="21" t="n">
        <v>0</v>
      </c>
      <c r="O5593" s="21" t="n">
        <v>0</v>
      </c>
      <c r="P5593" s="21" t="n">
        <v>0</v>
      </c>
      <c r="Q5593" s="21" t="n">
        <v>0</v>
      </c>
      <c r="R5593" s="21" t="n">
        <v>0</v>
      </c>
      <c r="S5593" s="21" t="n">
        <v>0</v>
      </c>
      <c r="T5593" s="21" t="n">
        <v>0</v>
      </c>
      <c r="U5593" s="21" t="n">
        <v>0</v>
      </c>
      <c r="V5593" s="21" t="n">
        <v>0</v>
      </c>
      <c r="W5593" s="21" t="n">
        <v>0</v>
      </c>
      <c r="X5593" s="21" t="n">
        <v>0</v>
      </c>
      <c r="Y5593" s="21" t="n">
        <v>0</v>
      </c>
      <c r="Z5593" s="19" t="n"/>
    </row>
    <row r="5594">
      <c r="D5594" s="21">
        <f>-$B$5337</f>
        <v/>
      </c>
      <c r="E5594" s="21">
        <f>-$B$5338</f>
        <v/>
      </c>
      <c r="F5594" s="21">
        <f>2*$B$5337+$D$5581</f>
        <v/>
      </c>
      <c r="G5594" s="21">
        <f>0</f>
        <v/>
      </c>
      <c r="H5594" s="21">
        <f>-$B$5337</f>
        <v/>
      </c>
      <c r="I5594" s="21">
        <f>$B$5338</f>
        <v/>
      </c>
      <c r="J5594" s="21" t="n">
        <v>0</v>
      </c>
      <c r="K5594" s="21" t="n">
        <v>0</v>
      </c>
      <c r="L5594" s="21" t="n">
        <v>0</v>
      </c>
      <c r="M5594" s="21" t="n">
        <v>0</v>
      </c>
      <c r="N5594" s="21" t="n">
        <v>0</v>
      </c>
      <c r="O5594" s="21" t="n">
        <v>0</v>
      </c>
      <c r="P5594" s="21" t="n">
        <v>0</v>
      </c>
      <c r="Q5594" s="21" t="n">
        <v>0</v>
      </c>
      <c r="R5594" s="21" t="n">
        <v>0</v>
      </c>
      <c r="S5594" s="21" t="n">
        <v>0</v>
      </c>
      <c r="T5594" s="21" t="n">
        <v>0</v>
      </c>
      <c r="U5594" s="21" t="n">
        <v>0</v>
      </c>
      <c r="V5594" s="21" t="n">
        <v>0</v>
      </c>
      <c r="W5594" s="21" t="n">
        <v>0</v>
      </c>
      <c r="X5594" s="21" t="n">
        <v>0</v>
      </c>
      <c r="Y5594" s="21" t="n">
        <v>0</v>
      </c>
      <c r="Z5594" s="19" t="n"/>
    </row>
    <row r="5595">
      <c r="D5595" s="21">
        <f>$B$5338</f>
        <v/>
      </c>
      <c r="E5595" s="21">
        <f>$B$5340</f>
        <v/>
      </c>
      <c r="F5595" s="21">
        <f>0</f>
        <v/>
      </c>
      <c r="G5595" s="21">
        <f>2*$B$5339</f>
        <v/>
      </c>
      <c r="H5595" s="21">
        <f>-$B$5338</f>
        <v/>
      </c>
      <c r="I5595" s="21">
        <f>$B$5340</f>
        <v/>
      </c>
      <c r="J5595" s="21" t="n">
        <v>0</v>
      </c>
      <c r="K5595" s="21" t="n">
        <v>0</v>
      </c>
      <c r="L5595" s="21" t="n">
        <v>0</v>
      </c>
      <c r="M5595" s="21" t="n">
        <v>0</v>
      </c>
      <c r="N5595" s="21" t="n">
        <v>0</v>
      </c>
      <c r="O5595" s="21" t="n">
        <v>0</v>
      </c>
      <c r="P5595" s="21" t="n">
        <v>0</v>
      </c>
      <c r="Q5595" s="21" t="n">
        <v>0</v>
      </c>
      <c r="R5595" s="21" t="n">
        <v>0</v>
      </c>
      <c r="S5595" s="21" t="n">
        <v>0</v>
      </c>
      <c r="T5595" s="21" t="n">
        <v>0</v>
      </c>
      <c r="U5595" s="21" t="n">
        <v>0</v>
      </c>
      <c r="V5595" s="21" t="n">
        <v>0</v>
      </c>
      <c r="W5595" s="21" t="n">
        <v>0</v>
      </c>
      <c r="X5595" s="21" t="n">
        <v>0</v>
      </c>
      <c r="Y5595" s="21" t="n">
        <v>0</v>
      </c>
      <c r="Z5595" s="19" t="n"/>
    </row>
    <row r="5596">
      <c r="D5596" s="21" t="n">
        <v>0</v>
      </c>
      <c r="E5596" s="21" t="n">
        <v>0</v>
      </c>
      <c r="F5596" s="21">
        <f>-$B$5337</f>
        <v/>
      </c>
      <c r="G5596" s="21">
        <f>-$B$5338</f>
        <v/>
      </c>
      <c r="H5596" s="21">
        <f>2*$B$5337+$D$5582</f>
        <v/>
      </c>
      <c r="I5596" s="21">
        <f>0</f>
        <v/>
      </c>
      <c r="J5596" s="21">
        <f>-$B$5337</f>
        <v/>
      </c>
      <c r="K5596" s="21">
        <f>$B$5338</f>
        <v/>
      </c>
      <c r="L5596" s="21" t="n">
        <v>0</v>
      </c>
      <c r="M5596" s="21" t="n">
        <v>0</v>
      </c>
      <c r="N5596" s="21" t="n">
        <v>0</v>
      </c>
      <c r="O5596" s="21" t="n">
        <v>0</v>
      </c>
      <c r="P5596" s="21" t="n">
        <v>0</v>
      </c>
      <c r="Q5596" s="21" t="n">
        <v>0</v>
      </c>
      <c r="R5596" s="21" t="n">
        <v>0</v>
      </c>
      <c r="S5596" s="21" t="n">
        <v>0</v>
      </c>
      <c r="T5596" s="21" t="n">
        <v>0</v>
      </c>
      <c r="U5596" s="21" t="n">
        <v>0</v>
      </c>
      <c r="V5596" s="21" t="n">
        <v>0</v>
      </c>
      <c r="W5596" s="21" t="n">
        <v>0</v>
      </c>
      <c r="X5596" s="21" t="n">
        <v>0</v>
      </c>
      <c r="Y5596" s="21" t="n">
        <v>0</v>
      </c>
      <c r="Z5596" s="19" t="n"/>
    </row>
    <row r="5597">
      <c r="D5597" s="21" t="n">
        <v>0</v>
      </c>
      <c r="E5597" s="21" t="n">
        <v>0</v>
      </c>
      <c r="F5597" s="21">
        <f>$B$5338</f>
        <v/>
      </c>
      <c r="G5597" s="21">
        <f>$B$5340</f>
        <v/>
      </c>
      <c r="H5597" s="21">
        <f>0</f>
        <v/>
      </c>
      <c r="I5597" s="21">
        <f>2*$B$5339</f>
        <v/>
      </c>
      <c r="J5597" s="21">
        <f>-$B$5338</f>
        <v/>
      </c>
      <c r="K5597" s="21">
        <f>$B$5340</f>
        <v/>
      </c>
      <c r="L5597" s="21" t="n">
        <v>0</v>
      </c>
      <c r="M5597" s="21" t="n">
        <v>0</v>
      </c>
      <c r="N5597" s="21" t="n">
        <v>0</v>
      </c>
      <c r="O5597" s="21" t="n">
        <v>0</v>
      </c>
      <c r="P5597" s="21" t="n">
        <v>0</v>
      </c>
      <c r="Q5597" s="21" t="n">
        <v>0</v>
      </c>
      <c r="R5597" s="21" t="n">
        <v>0</v>
      </c>
      <c r="S5597" s="21" t="n">
        <v>0</v>
      </c>
      <c r="T5597" s="21" t="n">
        <v>0</v>
      </c>
      <c r="U5597" s="21" t="n">
        <v>0</v>
      </c>
      <c r="V5597" s="21" t="n">
        <v>0</v>
      </c>
      <c r="W5597" s="21" t="n">
        <v>0</v>
      </c>
      <c r="X5597" s="21" t="n">
        <v>0</v>
      </c>
      <c r="Y5597" s="21" t="n">
        <v>0</v>
      </c>
      <c r="Z5597" s="19" t="n"/>
    </row>
    <row r="5598">
      <c r="D5598" s="21" t="n">
        <v>0</v>
      </c>
      <c r="E5598" s="21" t="n">
        <v>0</v>
      </c>
      <c r="F5598" s="21" t="n">
        <v>0</v>
      </c>
      <c r="G5598" s="21" t="n">
        <v>0</v>
      </c>
      <c r="H5598" s="21">
        <f>-$B$5337</f>
        <v/>
      </c>
      <c r="I5598" s="21">
        <f>-$B$5338</f>
        <v/>
      </c>
      <c r="J5598" s="21">
        <f>2*$B$5337+$D$5583</f>
        <v/>
      </c>
      <c r="K5598" s="21">
        <f>0</f>
        <v/>
      </c>
      <c r="L5598" s="21">
        <f>-$B$5337</f>
        <v/>
      </c>
      <c r="M5598" s="21">
        <f>$B$5338</f>
        <v/>
      </c>
      <c r="N5598" s="21" t="n">
        <v>0</v>
      </c>
      <c r="O5598" s="21" t="n">
        <v>0</v>
      </c>
      <c r="P5598" s="21" t="n">
        <v>0</v>
      </c>
      <c r="Q5598" s="21" t="n">
        <v>0</v>
      </c>
      <c r="R5598" s="21" t="n">
        <v>0</v>
      </c>
      <c r="S5598" s="21" t="n">
        <v>0</v>
      </c>
      <c r="T5598" s="21" t="n">
        <v>0</v>
      </c>
      <c r="U5598" s="21" t="n">
        <v>0</v>
      </c>
      <c r="V5598" s="21" t="n">
        <v>0</v>
      </c>
      <c r="W5598" s="21" t="n">
        <v>0</v>
      </c>
      <c r="X5598" s="21" t="n">
        <v>0</v>
      </c>
      <c r="Y5598" s="21" t="n">
        <v>0</v>
      </c>
      <c r="Z5598" s="19" t="n"/>
    </row>
    <row r="5599">
      <c r="D5599" s="21" t="n">
        <v>0</v>
      </c>
      <c r="E5599" s="21" t="n">
        <v>0</v>
      </c>
      <c r="F5599" s="21" t="n">
        <v>0</v>
      </c>
      <c r="G5599" s="21" t="n">
        <v>0</v>
      </c>
      <c r="H5599" s="21">
        <f>$B$5338</f>
        <v/>
      </c>
      <c r="I5599" s="21">
        <f>$B$5340</f>
        <v/>
      </c>
      <c r="J5599" s="21">
        <f>0</f>
        <v/>
      </c>
      <c r="K5599" s="21">
        <f>2*$B$5339</f>
        <v/>
      </c>
      <c r="L5599" s="21">
        <f>-$B$5338</f>
        <v/>
      </c>
      <c r="M5599" s="21">
        <f>$B$5340</f>
        <v/>
      </c>
      <c r="N5599" s="21" t="n">
        <v>0</v>
      </c>
      <c r="O5599" s="21" t="n">
        <v>0</v>
      </c>
      <c r="P5599" s="21" t="n">
        <v>0</v>
      </c>
      <c r="Q5599" s="21" t="n">
        <v>0</v>
      </c>
      <c r="R5599" s="21" t="n">
        <v>0</v>
      </c>
      <c r="S5599" s="21" t="n">
        <v>0</v>
      </c>
      <c r="T5599" s="21" t="n">
        <v>0</v>
      </c>
      <c r="U5599" s="21" t="n">
        <v>0</v>
      </c>
      <c r="V5599" s="21" t="n">
        <v>0</v>
      </c>
      <c r="W5599" s="21" t="n">
        <v>0</v>
      </c>
      <c r="X5599" s="21" t="n">
        <v>0</v>
      </c>
      <c r="Y5599" s="21" t="n">
        <v>0</v>
      </c>
      <c r="Z5599" s="19" t="n"/>
    </row>
    <row r="5600">
      <c r="D5600" s="21" t="n">
        <v>0</v>
      </c>
      <c r="E5600" s="21" t="n">
        <v>0</v>
      </c>
      <c r="F5600" s="21" t="n">
        <v>0</v>
      </c>
      <c r="G5600" s="21" t="n">
        <v>0</v>
      </c>
      <c r="H5600" s="21" t="n">
        <v>0</v>
      </c>
      <c r="I5600" s="21" t="n">
        <v>0</v>
      </c>
      <c r="J5600" s="21">
        <f>-$B$5337</f>
        <v/>
      </c>
      <c r="K5600" s="21">
        <f>-$B$5338</f>
        <v/>
      </c>
      <c r="L5600" s="21">
        <f>2*$B$5337+$D$5584</f>
        <v/>
      </c>
      <c r="M5600" s="21">
        <f>0</f>
        <v/>
      </c>
      <c r="N5600" s="21">
        <f>-$B$5337</f>
        <v/>
      </c>
      <c r="O5600" s="21">
        <f>$B$5338</f>
        <v/>
      </c>
      <c r="P5600" s="21" t="n">
        <v>0</v>
      </c>
      <c r="Q5600" s="21" t="n">
        <v>0</v>
      </c>
      <c r="R5600" s="21" t="n">
        <v>0</v>
      </c>
      <c r="S5600" s="21" t="n">
        <v>0</v>
      </c>
      <c r="T5600" s="21" t="n">
        <v>0</v>
      </c>
      <c r="U5600" s="21" t="n">
        <v>0</v>
      </c>
      <c r="V5600" s="21" t="n">
        <v>0</v>
      </c>
      <c r="W5600" s="21" t="n">
        <v>0</v>
      </c>
      <c r="X5600" s="21" t="n">
        <v>0</v>
      </c>
      <c r="Y5600" s="21" t="n">
        <v>0</v>
      </c>
      <c r="Z5600" s="19" t="n"/>
    </row>
    <row r="5601">
      <c r="D5601" s="21" t="n">
        <v>0</v>
      </c>
      <c r="E5601" s="21" t="n">
        <v>0</v>
      </c>
      <c r="F5601" s="21" t="n">
        <v>0</v>
      </c>
      <c r="G5601" s="21" t="n">
        <v>0</v>
      </c>
      <c r="H5601" s="21" t="n">
        <v>0</v>
      </c>
      <c r="I5601" s="21" t="n">
        <v>0</v>
      </c>
      <c r="J5601" s="21">
        <f>$B$5338</f>
        <v/>
      </c>
      <c r="K5601" s="21">
        <f>$B$5340</f>
        <v/>
      </c>
      <c r="L5601" s="21">
        <f>0</f>
        <v/>
      </c>
      <c r="M5601" s="21">
        <f>2*$B$5339</f>
        <v/>
      </c>
      <c r="N5601" s="21">
        <f>-$B$5338</f>
        <v/>
      </c>
      <c r="O5601" s="21">
        <f>$B$5340</f>
        <v/>
      </c>
      <c r="P5601" s="21" t="n">
        <v>0</v>
      </c>
      <c r="Q5601" s="21" t="n">
        <v>0</v>
      </c>
      <c r="R5601" s="21" t="n">
        <v>0</v>
      </c>
      <c r="S5601" s="21" t="n">
        <v>0</v>
      </c>
      <c r="T5601" s="21" t="n">
        <v>0</v>
      </c>
      <c r="U5601" s="21" t="n">
        <v>0</v>
      </c>
      <c r="V5601" s="21" t="n">
        <v>0</v>
      </c>
      <c r="W5601" s="21" t="n">
        <v>0</v>
      </c>
      <c r="X5601" s="21" t="n">
        <v>0</v>
      </c>
      <c r="Y5601" s="21" t="n">
        <v>0</v>
      </c>
      <c r="Z5601" s="19" t="n"/>
    </row>
    <row r="5602">
      <c r="D5602" s="21" t="n">
        <v>0</v>
      </c>
      <c r="E5602" s="21" t="n">
        <v>0</v>
      </c>
      <c r="F5602" s="21" t="n">
        <v>0</v>
      </c>
      <c r="G5602" s="21" t="n">
        <v>0</v>
      </c>
      <c r="H5602" s="21" t="n">
        <v>0</v>
      </c>
      <c r="I5602" s="21" t="n">
        <v>0</v>
      </c>
      <c r="J5602" s="21" t="n">
        <v>0</v>
      </c>
      <c r="K5602" s="21" t="n">
        <v>0</v>
      </c>
      <c r="L5602" s="21">
        <f>-$B$5337</f>
        <v/>
      </c>
      <c r="M5602" s="21">
        <f>-$B$5338</f>
        <v/>
      </c>
      <c r="N5602" s="21">
        <f>2*$B$5337+$D$5585</f>
        <v/>
      </c>
      <c r="O5602" s="21">
        <f>0</f>
        <v/>
      </c>
      <c r="P5602" s="21">
        <f>-$B$5337</f>
        <v/>
      </c>
      <c r="Q5602" s="21">
        <f>$B$5338</f>
        <v/>
      </c>
      <c r="R5602" s="21" t="n">
        <v>0</v>
      </c>
      <c r="S5602" s="21" t="n">
        <v>0</v>
      </c>
      <c r="T5602" s="21" t="n">
        <v>0</v>
      </c>
      <c r="U5602" s="21" t="n">
        <v>0</v>
      </c>
      <c r="V5602" s="21" t="n">
        <v>0</v>
      </c>
      <c r="W5602" s="21" t="n">
        <v>0</v>
      </c>
      <c r="X5602" s="21" t="n">
        <v>0</v>
      </c>
      <c r="Y5602" s="21" t="n">
        <v>0</v>
      </c>
      <c r="Z5602" s="19" t="n"/>
    </row>
    <row r="5603">
      <c r="D5603" s="21" t="n">
        <v>0</v>
      </c>
      <c r="E5603" s="21" t="n">
        <v>0</v>
      </c>
      <c r="F5603" s="21" t="n">
        <v>0</v>
      </c>
      <c r="G5603" s="21" t="n">
        <v>0</v>
      </c>
      <c r="H5603" s="21" t="n">
        <v>0</v>
      </c>
      <c r="I5603" s="21" t="n">
        <v>0</v>
      </c>
      <c r="J5603" s="21" t="n">
        <v>0</v>
      </c>
      <c r="K5603" s="21" t="n">
        <v>0</v>
      </c>
      <c r="L5603" s="21">
        <f>$B$5338</f>
        <v/>
      </c>
      <c r="M5603" s="21">
        <f>$B$5340</f>
        <v/>
      </c>
      <c r="N5603" s="21">
        <f>0</f>
        <v/>
      </c>
      <c r="O5603" s="21">
        <f>2*$B$5339</f>
        <v/>
      </c>
      <c r="P5603" s="21">
        <f>-$B$5338</f>
        <v/>
      </c>
      <c r="Q5603" s="21">
        <f>$B$5340</f>
        <v/>
      </c>
      <c r="R5603" s="21" t="n">
        <v>0</v>
      </c>
      <c r="S5603" s="21" t="n">
        <v>0</v>
      </c>
      <c r="T5603" s="21" t="n">
        <v>0</v>
      </c>
      <c r="U5603" s="21" t="n">
        <v>0</v>
      </c>
      <c r="V5603" s="21" t="n">
        <v>0</v>
      </c>
      <c r="W5603" s="21" t="n">
        <v>0</v>
      </c>
      <c r="X5603" s="21" t="n">
        <v>0</v>
      </c>
      <c r="Y5603" s="21" t="n">
        <v>0</v>
      </c>
      <c r="Z5603" s="19" t="n"/>
    </row>
    <row r="5604">
      <c r="D5604" s="21" t="n">
        <v>0</v>
      </c>
      <c r="E5604" s="21" t="n">
        <v>0</v>
      </c>
      <c r="F5604" s="21" t="n">
        <v>0</v>
      </c>
      <c r="G5604" s="21" t="n">
        <v>0</v>
      </c>
      <c r="H5604" s="21" t="n">
        <v>0</v>
      </c>
      <c r="I5604" s="21" t="n">
        <v>0</v>
      </c>
      <c r="J5604" s="21" t="n">
        <v>0</v>
      </c>
      <c r="K5604" s="21" t="n">
        <v>0</v>
      </c>
      <c r="L5604" s="21" t="n">
        <v>0</v>
      </c>
      <c r="M5604" s="21" t="n">
        <v>0</v>
      </c>
      <c r="N5604" s="21">
        <f>-$B$5337</f>
        <v/>
      </c>
      <c r="O5604" s="21">
        <f>-$B$5338</f>
        <v/>
      </c>
      <c r="P5604" s="21">
        <f>2*$B$5337+$D$5586</f>
        <v/>
      </c>
      <c r="Q5604" s="21">
        <f>0</f>
        <v/>
      </c>
      <c r="R5604" s="21">
        <f>-$B$5337</f>
        <v/>
      </c>
      <c r="S5604" s="21">
        <f>$B$5338</f>
        <v/>
      </c>
      <c r="T5604" s="21" t="n">
        <v>0</v>
      </c>
      <c r="U5604" s="21" t="n">
        <v>0</v>
      </c>
      <c r="V5604" s="21" t="n">
        <v>0</v>
      </c>
      <c r="W5604" s="21" t="n">
        <v>0</v>
      </c>
      <c r="X5604" s="21" t="n">
        <v>0</v>
      </c>
      <c r="Y5604" s="21" t="n">
        <v>0</v>
      </c>
      <c r="Z5604" s="19" t="n"/>
    </row>
    <row r="5605">
      <c r="D5605" s="21" t="n">
        <v>0</v>
      </c>
      <c r="E5605" s="21" t="n">
        <v>0</v>
      </c>
      <c r="F5605" s="21" t="n">
        <v>0</v>
      </c>
      <c r="G5605" s="21" t="n">
        <v>0</v>
      </c>
      <c r="H5605" s="21" t="n">
        <v>0</v>
      </c>
      <c r="I5605" s="21" t="n">
        <v>0</v>
      </c>
      <c r="J5605" s="21" t="n">
        <v>0</v>
      </c>
      <c r="K5605" s="21" t="n">
        <v>0</v>
      </c>
      <c r="L5605" s="21" t="n">
        <v>0</v>
      </c>
      <c r="M5605" s="21" t="n">
        <v>0</v>
      </c>
      <c r="N5605" s="21">
        <f>$B$5338</f>
        <v/>
      </c>
      <c r="O5605" s="21">
        <f>$B$5340</f>
        <v/>
      </c>
      <c r="P5605" s="21">
        <f>0</f>
        <v/>
      </c>
      <c r="Q5605" s="21">
        <f>2*$B$5339</f>
        <v/>
      </c>
      <c r="R5605" s="21">
        <f>-$B$5338</f>
        <v/>
      </c>
      <c r="S5605" s="21">
        <f>$B$5340</f>
        <v/>
      </c>
      <c r="T5605" s="21" t="n">
        <v>0</v>
      </c>
      <c r="U5605" s="21" t="n">
        <v>0</v>
      </c>
      <c r="V5605" s="21" t="n">
        <v>0</v>
      </c>
      <c r="W5605" s="21" t="n">
        <v>0</v>
      </c>
      <c r="X5605" s="21" t="n">
        <v>0</v>
      </c>
      <c r="Y5605" s="21" t="n">
        <v>0</v>
      </c>
      <c r="Z5605" s="19" t="n"/>
    </row>
    <row r="5606">
      <c r="D5606" s="21" t="n">
        <v>0</v>
      </c>
      <c r="E5606" s="21" t="n">
        <v>0</v>
      </c>
      <c r="F5606" s="21" t="n">
        <v>0</v>
      </c>
      <c r="G5606" s="21" t="n">
        <v>0</v>
      </c>
      <c r="H5606" s="21" t="n">
        <v>0</v>
      </c>
      <c r="I5606" s="21" t="n">
        <v>0</v>
      </c>
      <c r="J5606" s="21" t="n">
        <v>0</v>
      </c>
      <c r="K5606" s="21" t="n">
        <v>0</v>
      </c>
      <c r="L5606" s="21" t="n">
        <v>0</v>
      </c>
      <c r="M5606" s="21" t="n">
        <v>0</v>
      </c>
      <c r="N5606" s="21" t="n">
        <v>0</v>
      </c>
      <c r="O5606" s="21" t="n">
        <v>0</v>
      </c>
      <c r="P5606" s="21">
        <f>-$B$5337</f>
        <v/>
      </c>
      <c r="Q5606" s="21">
        <f>-$B$5338</f>
        <v/>
      </c>
      <c r="R5606" s="21">
        <f>2*$B$5337+$D$5587</f>
        <v/>
      </c>
      <c r="S5606" s="21">
        <f>0</f>
        <v/>
      </c>
      <c r="T5606" s="21">
        <f>-$B$5337</f>
        <v/>
      </c>
      <c r="U5606" s="21">
        <f>$B$5338</f>
        <v/>
      </c>
      <c r="V5606" s="21" t="n">
        <v>0</v>
      </c>
      <c r="W5606" s="21" t="n">
        <v>0</v>
      </c>
      <c r="X5606" s="21" t="n">
        <v>0</v>
      </c>
      <c r="Y5606" s="21" t="n">
        <v>0</v>
      </c>
      <c r="Z5606" s="19" t="n"/>
    </row>
    <row r="5607">
      <c r="D5607" s="21" t="n">
        <v>0</v>
      </c>
      <c r="E5607" s="21" t="n">
        <v>0</v>
      </c>
      <c r="F5607" s="21" t="n">
        <v>0</v>
      </c>
      <c r="G5607" s="21" t="n">
        <v>0</v>
      </c>
      <c r="H5607" s="21" t="n">
        <v>0</v>
      </c>
      <c r="I5607" s="21" t="n">
        <v>0</v>
      </c>
      <c r="J5607" s="21" t="n">
        <v>0</v>
      </c>
      <c r="K5607" s="21" t="n">
        <v>0</v>
      </c>
      <c r="L5607" s="21" t="n">
        <v>0</v>
      </c>
      <c r="M5607" s="21" t="n">
        <v>0</v>
      </c>
      <c r="N5607" s="21" t="n">
        <v>0</v>
      </c>
      <c r="O5607" s="21" t="n">
        <v>0</v>
      </c>
      <c r="P5607" s="21">
        <f>$B$5338</f>
        <v/>
      </c>
      <c r="Q5607" s="21">
        <f>$B$5340</f>
        <v/>
      </c>
      <c r="R5607" s="21">
        <f>0</f>
        <v/>
      </c>
      <c r="S5607" s="21">
        <f>2*$B$5339</f>
        <v/>
      </c>
      <c r="T5607" s="21">
        <f>-$B$5338</f>
        <v/>
      </c>
      <c r="U5607" s="21">
        <f>$B$5340</f>
        <v/>
      </c>
      <c r="V5607" s="21" t="n">
        <v>0</v>
      </c>
      <c r="W5607" s="21" t="n">
        <v>0</v>
      </c>
      <c r="X5607" s="21" t="n">
        <v>0</v>
      </c>
      <c r="Y5607" s="21" t="n">
        <v>0</v>
      </c>
      <c r="Z5607" s="19" t="n"/>
    </row>
    <row r="5608">
      <c r="D5608" s="21" t="n">
        <v>0</v>
      </c>
      <c r="E5608" s="21" t="n">
        <v>0</v>
      </c>
      <c r="F5608" s="21" t="n">
        <v>0</v>
      </c>
      <c r="G5608" s="21" t="n">
        <v>0</v>
      </c>
      <c r="H5608" s="21" t="n">
        <v>0</v>
      </c>
      <c r="I5608" s="21" t="n">
        <v>0</v>
      </c>
      <c r="J5608" s="21" t="n">
        <v>0</v>
      </c>
      <c r="K5608" s="21" t="n">
        <v>0</v>
      </c>
      <c r="L5608" s="21" t="n">
        <v>0</v>
      </c>
      <c r="M5608" s="21" t="n">
        <v>0</v>
      </c>
      <c r="N5608" s="21" t="n">
        <v>0</v>
      </c>
      <c r="O5608" s="21" t="n">
        <v>0</v>
      </c>
      <c r="P5608" s="21" t="n">
        <v>0</v>
      </c>
      <c r="Q5608" s="21" t="n">
        <v>0</v>
      </c>
      <c r="R5608" s="21">
        <f>-$B$5337</f>
        <v/>
      </c>
      <c r="S5608" s="21">
        <f>-$B$5338</f>
        <v/>
      </c>
      <c r="T5608" s="21">
        <f>2*$B$5337+$D$5588</f>
        <v/>
      </c>
      <c r="U5608" s="21">
        <f>0</f>
        <v/>
      </c>
      <c r="V5608" s="21">
        <f>-$B$5337</f>
        <v/>
      </c>
      <c r="W5608" s="21">
        <f>$B$5338</f>
        <v/>
      </c>
      <c r="X5608" s="21" t="n">
        <v>0</v>
      </c>
      <c r="Y5608" s="21" t="n">
        <v>0</v>
      </c>
      <c r="Z5608" s="19" t="n"/>
    </row>
    <row r="5609">
      <c r="D5609" s="21" t="n">
        <v>0</v>
      </c>
      <c r="E5609" s="21" t="n">
        <v>0</v>
      </c>
      <c r="F5609" s="21" t="n">
        <v>0</v>
      </c>
      <c r="G5609" s="21" t="n">
        <v>0</v>
      </c>
      <c r="H5609" s="21" t="n">
        <v>0</v>
      </c>
      <c r="I5609" s="21" t="n">
        <v>0</v>
      </c>
      <c r="J5609" s="21" t="n">
        <v>0</v>
      </c>
      <c r="K5609" s="21" t="n">
        <v>0</v>
      </c>
      <c r="L5609" s="21" t="n">
        <v>0</v>
      </c>
      <c r="M5609" s="21" t="n">
        <v>0</v>
      </c>
      <c r="N5609" s="21" t="n">
        <v>0</v>
      </c>
      <c r="O5609" s="21" t="n">
        <v>0</v>
      </c>
      <c r="P5609" s="21" t="n">
        <v>0</v>
      </c>
      <c r="Q5609" s="21" t="n">
        <v>0</v>
      </c>
      <c r="R5609" s="21">
        <f>$B$5338</f>
        <v/>
      </c>
      <c r="S5609" s="21">
        <f>$B$5340</f>
        <v/>
      </c>
      <c r="T5609" s="21">
        <f>0</f>
        <v/>
      </c>
      <c r="U5609" s="21">
        <f>2*$B$5339</f>
        <v/>
      </c>
      <c r="V5609" s="21">
        <f>-$B$5338</f>
        <v/>
      </c>
      <c r="W5609" s="21">
        <f>$B$5340</f>
        <v/>
      </c>
      <c r="X5609" s="21" t="n">
        <v>0</v>
      </c>
      <c r="Y5609" s="21" t="n">
        <v>0</v>
      </c>
      <c r="Z5609" s="19" t="n"/>
    </row>
    <row r="5610">
      <c r="D5610" s="21" t="n">
        <v>0</v>
      </c>
      <c r="E5610" s="21" t="n">
        <v>0</v>
      </c>
      <c r="F5610" s="21" t="n">
        <v>0</v>
      </c>
      <c r="G5610" s="21" t="n">
        <v>0</v>
      </c>
      <c r="H5610" s="21" t="n">
        <v>0</v>
      </c>
      <c r="I5610" s="21" t="n">
        <v>0</v>
      </c>
      <c r="J5610" s="21" t="n">
        <v>0</v>
      </c>
      <c r="K5610" s="21" t="n">
        <v>0</v>
      </c>
      <c r="L5610" s="21" t="n">
        <v>0</v>
      </c>
      <c r="M5610" s="21" t="n">
        <v>0</v>
      </c>
      <c r="N5610" s="21" t="n">
        <v>0</v>
      </c>
      <c r="O5610" s="21" t="n">
        <v>0</v>
      </c>
      <c r="P5610" s="21" t="n">
        <v>0</v>
      </c>
      <c r="Q5610" s="21" t="n">
        <v>0</v>
      </c>
      <c r="R5610" s="21" t="n">
        <v>0</v>
      </c>
      <c r="S5610" s="21" t="n">
        <v>0</v>
      </c>
      <c r="T5610" s="21">
        <f>-$B$5337</f>
        <v/>
      </c>
      <c r="U5610" s="21">
        <f>-$B$5338</f>
        <v/>
      </c>
      <c r="V5610" s="21">
        <f>2*$B$5337+$D$5589</f>
        <v/>
      </c>
      <c r="W5610" s="21">
        <f>0</f>
        <v/>
      </c>
      <c r="X5610" s="21">
        <f>-$B$5337</f>
        <v/>
      </c>
      <c r="Y5610" s="21">
        <f>$B$5338</f>
        <v/>
      </c>
      <c r="Z5610" s="19" t="n"/>
    </row>
    <row r="5611">
      <c r="D5611" s="21" t="n">
        <v>0</v>
      </c>
      <c r="E5611" s="21" t="n">
        <v>0</v>
      </c>
      <c r="F5611" s="21" t="n">
        <v>0</v>
      </c>
      <c r="G5611" s="21" t="n">
        <v>0</v>
      </c>
      <c r="H5611" s="21" t="n">
        <v>0</v>
      </c>
      <c r="I5611" s="21" t="n">
        <v>0</v>
      </c>
      <c r="J5611" s="21" t="n">
        <v>0</v>
      </c>
      <c r="K5611" s="21" t="n">
        <v>0</v>
      </c>
      <c r="L5611" s="21" t="n">
        <v>0</v>
      </c>
      <c r="M5611" s="21" t="n">
        <v>0</v>
      </c>
      <c r="N5611" s="21" t="n">
        <v>0</v>
      </c>
      <c r="O5611" s="21" t="n">
        <v>0</v>
      </c>
      <c r="P5611" s="21" t="n">
        <v>0</v>
      </c>
      <c r="Q5611" s="21" t="n">
        <v>0</v>
      </c>
      <c r="R5611" s="21" t="n">
        <v>0</v>
      </c>
      <c r="S5611" s="21" t="n">
        <v>0</v>
      </c>
      <c r="T5611" s="21">
        <f>$B$5338</f>
        <v/>
      </c>
      <c r="U5611" s="21">
        <f>$B$5340</f>
        <v/>
      </c>
      <c r="V5611" s="21">
        <f>0</f>
        <v/>
      </c>
      <c r="W5611" s="21">
        <f>2*$B$5339</f>
        <v/>
      </c>
      <c r="X5611" s="21">
        <f>-$B$5338</f>
        <v/>
      </c>
      <c r="Y5611" s="21">
        <f>$B$5340</f>
        <v/>
      </c>
      <c r="Z5611" s="19" t="n"/>
    </row>
    <row r="5612">
      <c r="D5612" s="21" t="n">
        <v>0</v>
      </c>
      <c r="E5612" s="21" t="n">
        <v>0</v>
      </c>
      <c r="F5612" s="21" t="n">
        <v>0</v>
      </c>
      <c r="G5612" s="21" t="n">
        <v>0</v>
      </c>
      <c r="H5612" s="21" t="n">
        <v>0</v>
      </c>
      <c r="I5612" s="21" t="n">
        <v>0</v>
      </c>
      <c r="J5612" s="21" t="n">
        <v>0</v>
      </c>
      <c r="K5612" s="21" t="n">
        <v>0</v>
      </c>
      <c r="L5612" s="21" t="n">
        <v>0</v>
      </c>
      <c r="M5612" s="21" t="n">
        <v>0</v>
      </c>
      <c r="N5612" s="21" t="n">
        <v>0</v>
      </c>
      <c r="O5612" s="21" t="n">
        <v>0</v>
      </c>
      <c r="P5612" s="21" t="n">
        <v>0</v>
      </c>
      <c r="Q5612" s="21" t="n">
        <v>0</v>
      </c>
      <c r="R5612" s="21" t="n">
        <v>0</v>
      </c>
      <c r="S5612" s="21" t="n">
        <v>0</v>
      </c>
      <c r="T5612" s="21" t="n">
        <v>0</v>
      </c>
      <c r="U5612" s="21" t="n">
        <v>0</v>
      </c>
      <c r="V5612" s="21">
        <f>-$B$5337</f>
        <v/>
      </c>
      <c r="W5612" s="21">
        <f>-$B$5338</f>
        <v/>
      </c>
      <c r="X5612" s="21">
        <f>$B$5337+$D$5590</f>
        <v/>
      </c>
      <c r="Y5612" s="21">
        <f>-$B$5338</f>
        <v/>
      </c>
      <c r="Z5612" s="19" t="n"/>
    </row>
    <row r="5613">
      <c r="D5613" s="21" t="n">
        <v>0</v>
      </c>
      <c r="E5613" s="21" t="n">
        <v>0</v>
      </c>
      <c r="F5613" s="21" t="n">
        <v>0</v>
      </c>
      <c r="G5613" s="21" t="n">
        <v>0</v>
      </c>
      <c r="H5613" s="21" t="n">
        <v>0</v>
      </c>
      <c r="I5613" s="21" t="n">
        <v>0</v>
      </c>
      <c r="J5613" s="21" t="n">
        <v>0</v>
      </c>
      <c r="K5613" s="21" t="n">
        <v>0</v>
      </c>
      <c r="L5613" s="21" t="n">
        <v>0</v>
      </c>
      <c r="M5613" s="21" t="n">
        <v>0</v>
      </c>
      <c r="N5613" s="21" t="n">
        <v>0</v>
      </c>
      <c r="O5613" s="21" t="n">
        <v>0</v>
      </c>
      <c r="P5613" s="21" t="n">
        <v>0</v>
      </c>
      <c r="Q5613" s="21" t="n">
        <v>0</v>
      </c>
      <c r="R5613" s="21" t="n">
        <v>0</v>
      </c>
      <c r="S5613" s="21" t="n">
        <v>0</v>
      </c>
      <c r="T5613" s="21" t="n">
        <v>0</v>
      </c>
      <c r="U5613" s="21" t="n">
        <v>0</v>
      </c>
      <c r="V5613" s="21">
        <f>$B$5338</f>
        <v/>
      </c>
      <c r="W5613" s="21">
        <f>$B$5340</f>
        <v/>
      </c>
      <c r="X5613" s="21">
        <f>-$B$5338</f>
        <v/>
      </c>
      <c r="Y5613" s="21">
        <f>$B$5339</f>
        <v/>
      </c>
      <c r="Z5613" s="19" t="n"/>
    </row>
    <row r="5615">
      <c r="A5615" s="8" t="inlineStr">
        <is>
          <t>gen 7</t>
        </is>
      </c>
    </row>
    <row r="5616">
      <c r="D5616" s="19">
        <f>IF(ABS(IF(ABS($E$5580)&gt;0.000000001,$E$5580,0.000000001))=0,0,IF($E$5352&lt;=$B$5346,0,IF(ABS(IF(ABS($E$5580)&gt;0.000000001,$E$5580,0.000000001))&gt;=8*$B$5348,$H$5352,0.5*$H$5352*(ABS(IF(ABS($E$5580)&gt;0.000000001,$E$5580,0.000000001))/$B$5348)^(1/3)))/ABS(IF(ABS($E$5580)&gt;0.000000001,$E$5580,0.000000001))*$I$5352)</f>
        <v/>
      </c>
      <c r="E5616" s="19">
        <f>0.5*$E$5580+0.5*$Z$5628</f>
        <v/>
      </c>
      <c r="F5616" s="19">
        <f>$Z$5629</f>
        <v/>
      </c>
    </row>
    <row r="5617">
      <c r="D5617" s="19">
        <f>IF(ABS(IF(ABS($E$5581)&gt;0.000000001,$E$5581,0.000000001))=0,0,IF($E$5353&lt;=$B$5346,0,IF(ABS(IF(ABS($E$5581)&gt;0.000000001,$E$5581,0.000000001))&gt;=8*$B$5348,$H$5353,0.5*$H$5353*(ABS(IF(ABS($E$5581)&gt;0.000000001,$E$5581,0.000000001))/$B$5348)^(1/3)))/ABS(IF(ABS($E$5581)&gt;0.000000001,$E$5581,0.000000001))*$I$5353)</f>
        <v/>
      </c>
      <c r="E5617" s="19">
        <f>0.5*$E$5581+0.5*$Z$5630</f>
        <v/>
      </c>
      <c r="F5617" s="19">
        <f>$Z$5631</f>
        <v/>
      </c>
    </row>
    <row r="5618">
      <c r="D5618" s="19">
        <f>IF(ABS(IF(ABS($E$5582)&gt;0.000000001,$E$5582,0.000000001))=0,0,IF($E$5354&lt;=$B$5346,0,IF(ABS(IF(ABS($E$5582)&gt;0.000000001,$E$5582,0.000000001))&gt;=8*$B$5348,$H$5354,0.5*$H$5354*(ABS(IF(ABS($E$5582)&gt;0.000000001,$E$5582,0.000000001))/$B$5348)^(1/3)))/ABS(IF(ABS($E$5582)&gt;0.000000001,$E$5582,0.000000001))*$I$5354)</f>
        <v/>
      </c>
      <c r="E5618" s="19">
        <f>0.5*$E$5582+0.5*$Z$5632</f>
        <v/>
      </c>
      <c r="F5618" s="19">
        <f>$Z$5633</f>
        <v/>
      </c>
    </row>
    <row r="5619">
      <c r="D5619" s="19">
        <f>IF(ABS(IF(ABS($E$5583)&gt;0.000000001,$E$5583,0.000000001))=0,0,IF($E$5355&lt;=$B$5346,0,IF(ABS(IF(ABS($E$5583)&gt;0.000000001,$E$5583,0.000000001))&gt;=8*$B$5348,$H$5355,0.5*$H$5355*(ABS(IF(ABS($E$5583)&gt;0.000000001,$E$5583,0.000000001))/$B$5348)^(1/3)))/ABS(IF(ABS($E$5583)&gt;0.000000001,$E$5583,0.000000001))*$I$5355)</f>
        <v/>
      </c>
      <c r="E5619" s="19">
        <f>0.5*$E$5583+0.5*$Z$5634</f>
        <v/>
      </c>
      <c r="F5619" s="19">
        <f>$Z$5635</f>
        <v/>
      </c>
    </row>
    <row r="5620">
      <c r="D5620" s="19">
        <f>IF(ABS(IF(ABS($E$5584)&gt;0.000000001,$E$5584,0.000000001))=0,0,IF($E$5356&lt;=$B$5346,0,IF(ABS(IF(ABS($E$5584)&gt;0.000000001,$E$5584,0.000000001))&gt;=8*$B$5348,$H$5356,0.5*$H$5356*(ABS(IF(ABS($E$5584)&gt;0.000000001,$E$5584,0.000000001))/$B$5348)^(1/3)))/ABS(IF(ABS($E$5584)&gt;0.000000001,$E$5584,0.000000001))*$I$5356)</f>
        <v/>
      </c>
      <c r="E5620" s="19">
        <f>0.5*$E$5584+0.5*$Z$5636</f>
        <v/>
      </c>
      <c r="F5620" s="19">
        <f>$Z$5637</f>
        <v/>
      </c>
    </row>
    <row r="5621">
      <c r="D5621" s="19">
        <f>IF(ABS(IF(ABS($E$5585)&gt;0.000000001,$E$5585,0.000000001))=0,0,IF($E$5357&lt;=$B$5346,0,IF(ABS(IF(ABS($E$5585)&gt;0.000000001,$E$5585,0.000000001))&gt;=8*$B$5348,$H$5357,0.5*$H$5357*(ABS(IF(ABS($E$5585)&gt;0.000000001,$E$5585,0.000000001))/$B$5348)^(1/3)))/ABS(IF(ABS($E$5585)&gt;0.000000001,$E$5585,0.000000001))*$I$5357)</f>
        <v/>
      </c>
      <c r="E5621" s="19">
        <f>0.5*$E$5585+0.5*$Z$5638</f>
        <v/>
      </c>
      <c r="F5621" s="19">
        <f>$Z$5639</f>
        <v/>
      </c>
    </row>
    <row r="5622">
      <c r="D5622" s="19">
        <f>IF(ABS(IF(ABS($E$5586)&gt;0.000000001,$E$5586,0.000000001))=0,0,IF($E$5358&lt;=$B$5346,0,IF(ABS(IF(ABS($E$5586)&gt;0.000000001,$E$5586,0.000000001))&gt;=8*$B$5348,$H$5358,0.5*$H$5358*(ABS(IF(ABS($E$5586)&gt;0.000000001,$E$5586,0.000000001))/$B$5348)^(1/3)))/ABS(IF(ABS($E$5586)&gt;0.000000001,$E$5586,0.000000001))*$I$5358)</f>
        <v/>
      </c>
      <c r="E5622" s="19">
        <f>0.5*$E$5586+0.5*$Z$5640</f>
        <v/>
      </c>
      <c r="F5622" s="19">
        <f>$Z$5641</f>
        <v/>
      </c>
    </row>
    <row r="5623">
      <c r="D5623" s="19">
        <f>IF(ABS(IF(ABS($E$5587)&gt;0.000000001,$E$5587,0.000000001))=0,0,IF($E$5359&lt;=$B$5346,0,IF(ABS(IF(ABS($E$5587)&gt;0.000000001,$E$5587,0.000000001))&gt;=8*$B$5348,$H$5359,0.5*$H$5359*(ABS(IF(ABS($E$5587)&gt;0.000000001,$E$5587,0.000000001))/$B$5348)^(1/3)))/ABS(IF(ABS($E$5587)&gt;0.000000001,$E$5587,0.000000001))*$I$5359)</f>
        <v/>
      </c>
      <c r="E5623" s="19">
        <f>0.5*$E$5587+0.5*$Z$5642</f>
        <v/>
      </c>
      <c r="F5623" s="19">
        <f>$Z$5643</f>
        <v/>
      </c>
    </row>
    <row r="5624">
      <c r="D5624" s="19">
        <f>IF(ABS(IF(ABS($E$5588)&gt;0.000000001,$E$5588,0.000000001))=0,0,IF($E$5360&lt;=$B$5346,0,IF(ABS(IF(ABS($E$5588)&gt;0.000000001,$E$5588,0.000000001))&gt;=8*$B$5348,$H$5360,0.5*$H$5360*(ABS(IF(ABS($E$5588)&gt;0.000000001,$E$5588,0.000000001))/$B$5348)^(1/3)))/ABS(IF(ABS($E$5588)&gt;0.000000001,$E$5588,0.000000001))*$I$5360)</f>
        <v/>
      </c>
      <c r="E5624" s="19">
        <f>0.5*$E$5588+0.5*$Z$5644</f>
        <v/>
      </c>
      <c r="F5624" s="19">
        <f>$Z$5645</f>
        <v/>
      </c>
    </row>
    <row r="5625">
      <c r="D5625" s="19">
        <f>IF(ABS(IF(ABS($E$5589)&gt;0.000000001,$E$5589,0.000000001))=0,0,IF($E$5361&lt;=$B$5346,0,IF(ABS(IF(ABS($E$5589)&gt;0.000000001,$E$5589,0.000000001))&gt;=8*$B$5348,$H$5361,0.5*$H$5361*(ABS(IF(ABS($E$5589)&gt;0.000000001,$E$5589,0.000000001))/$B$5348)^(1/3)))/ABS(IF(ABS($E$5589)&gt;0.000000001,$E$5589,0.000000001))*$I$5361)</f>
        <v/>
      </c>
      <c r="E5625" s="19">
        <f>0.5*$E$5589+0.5*$Z$5646</f>
        <v/>
      </c>
      <c r="F5625" s="19">
        <f>$Z$5647</f>
        <v/>
      </c>
    </row>
    <row r="5626">
      <c r="D5626" s="19">
        <f>IF(ABS(IF(ABS($E$5590)&gt;0.000000001,$E$5590,0.000000001))=0,0,IF($E$5362&lt;=$B$5346,0,IF(ABS(IF(ABS($E$5590)&gt;0.000000001,$E$5590,0.000000001))&gt;=8*$B$5348,$H$5362,0.5*$H$5362*(ABS(IF(ABS($E$5590)&gt;0.000000001,$E$5590,0.000000001))/$B$5348)^(1/3)))/ABS(IF(ABS($E$5590)&gt;0.000000001,$E$5590,0.000000001))*$I$5362)</f>
        <v/>
      </c>
      <c r="E5626" s="19">
        <f>0.5*$E$5590+0.5*$Z$5648</f>
        <v/>
      </c>
      <c r="F5626" s="19">
        <f>$Z$5649</f>
        <v/>
      </c>
    </row>
    <row r="5628">
      <c r="D5628" s="21">
        <f>$B$5337+$D$5616</f>
        <v/>
      </c>
      <c r="E5628" s="21">
        <f>$B$5338</f>
        <v/>
      </c>
      <c r="F5628" s="21">
        <f>-$B$5337</f>
        <v/>
      </c>
      <c r="G5628" s="21">
        <f>$B$5338</f>
        <v/>
      </c>
      <c r="H5628" s="21" t="n">
        <v>0</v>
      </c>
      <c r="I5628" s="21" t="n">
        <v>0</v>
      </c>
      <c r="J5628" s="21" t="n">
        <v>0</v>
      </c>
      <c r="K5628" s="21" t="n">
        <v>0</v>
      </c>
      <c r="L5628" s="21" t="n">
        <v>0</v>
      </c>
      <c r="M5628" s="21" t="n">
        <v>0</v>
      </c>
      <c r="N5628" s="21" t="n">
        <v>0</v>
      </c>
      <c r="O5628" s="21" t="n">
        <v>0</v>
      </c>
      <c r="P5628" s="21" t="n">
        <v>0</v>
      </c>
      <c r="Q5628" s="21" t="n">
        <v>0</v>
      </c>
      <c r="R5628" s="21" t="n">
        <v>0</v>
      </c>
      <c r="S5628" s="21" t="n">
        <v>0</v>
      </c>
      <c r="T5628" s="21" t="n">
        <v>0</v>
      </c>
      <c r="U5628" s="21" t="n">
        <v>0</v>
      </c>
      <c r="V5628" s="21" t="n">
        <v>0</v>
      </c>
      <c r="W5628" s="21" t="n">
        <v>0</v>
      </c>
      <c r="X5628" s="21" t="n">
        <v>0</v>
      </c>
      <c r="Y5628" s="21" t="n">
        <v>0</v>
      </c>
      <c r="Z5628" s="19">
        <f t="array" ref="Z5628:Z5649">MMULT(MINVERSE($D$5628:$Y$5649),$D$5364:$D$5385)</f>
        <v/>
      </c>
    </row>
    <row r="5629">
      <c r="D5629" s="21">
        <f>$B$5338</f>
        <v/>
      </c>
      <c r="E5629" s="21">
        <f>$B$5339</f>
        <v/>
      </c>
      <c r="F5629" s="21">
        <f>-$B$5338</f>
        <v/>
      </c>
      <c r="G5629" s="21">
        <f>$B$5340</f>
        <v/>
      </c>
      <c r="H5629" s="21" t="n">
        <v>0</v>
      </c>
      <c r="I5629" s="21" t="n">
        <v>0</v>
      </c>
      <c r="J5629" s="21" t="n">
        <v>0</v>
      </c>
      <c r="K5629" s="21" t="n">
        <v>0</v>
      </c>
      <c r="L5629" s="21" t="n">
        <v>0</v>
      </c>
      <c r="M5629" s="21" t="n">
        <v>0</v>
      </c>
      <c r="N5629" s="21" t="n">
        <v>0</v>
      </c>
      <c r="O5629" s="21" t="n">
        <v>0</v>
      </c>
      <c r="P5629" s="21" t="n">
        <v>0</v>
      </c>
      <c r="Q5629" s="21" t="n">
        <v>0</v>
      </c>
      <c r="R5629" s="21" t="n">
        <v>0</v>
      </c>
      <c r="S5629" s="21" t="n">
        <v>0</v>
      </c>
      <c r="T5629" s="21" t="n">
        <v>0</v>
      </c>
      <c r="U5629" s="21" t="n">
        <v>0</v>
      </c>
      <c r="V5629" s="21" t="n">
        <v>0</v>
      </c>
      <c r="W5629" s="21" t="n">
        <v>0</v>
      </c>
      <c r="X5629" s="21" t="n">
        <v>0</v>
      </c>
      <c r="Y5629" s="21" t="n">
        <v>0</v>
      </c>
      <c r="Z5629" s="19" t="n"/>
    </row>
    <row r="5630">
      <c r="D5630" s="21">
        <f>-$B$5337</f>
        <v/>
      </c>
      <c r="E5630" s="21">
        <f>-$B$5338</f>
        <v/>
      </c>
      <c r="F5630" s="21">
        <f>2*$B$5337+$D$5617</f>
        <v/>
      </c>
      <c r="G5630" s="21">
        <f>0</f>
        <v/>
      </c>
      <c r="H5630" s="21">
        <f>-$B$5337</f>
        <v/>
      </c>
      <c r="I5630" s="21">
        <f>$B$5338</f>
        <v/>
      </c>
      <c r="J5630" s="21" t="n">
        <v>0</v>
      </c>
      <c r="K5630" s="21" t="n">
        <v>0</v>
      </c>
      <c r="L5630" s="21" t="n">
        <v>0</v>
      </c>
      <c r="M5630" s="21" t="n">
        <v>0</v>
      </c>
      <c r="N5630" s="21" t="n">
        <v>0</v>
      </c>
      <c r="O5630" s="21" t="n">
        <v>0</v>
      </c>
      <c r="P5630" s="21" t="n">
        <v>0</v>
      </c>
      <c r="Q5630" s="21" t="n">
        <v>0</v>
      </c>
      <c r="R5630" s="21" t="n">
        <v>0</v>
      </c>
      <c r="S5630" s="21" t="n">
        <v>0</v>
      </c>
      <c r="T5630" s="21" t="n">
        <v>0</v>
      </c>
      <c r="U5630" s="21" t="n">
        <v>0</v>
      </c>
      <c r="V5630" s="21" t="n">
        <v>0</v>
      </c>
      <c r="W5630" s="21" t="n">
        <v>0</v>
      </c>
      <c r="X5630" s="21" t="n">
        <v>0</v>
      </c>
      <c r="Y5630" s="21" t="n">
        <v>0</v>
      </c>
      <c r="Z5630" s="19" t="n"/>
    </row>
    <row r="5631">
      <c r="D5631" s="21">
        <f>$B$5338</f>
        <v/>
      </c>
      <c r="E5631" s="21">
        <f>$B$5340</f>
        <v/>
      </c>
      <c r="F5631" s="21">
        <f>0</f>
        <v/>
      </c>
      <c r="G5631" s="21">
        <f>2*$B$5339</f>
        <v/>
      </c>
      <c r="H5631" s="21">
        <f>-$B$5338</f>
        <v/>
      </c>
      <c r="I5631" s="21">
        <f>$B$5340</f>
        <v/>
      </c>
      <c r="J5631" s="21" t="n">
        <v>0</v>
      </c>
      <c r="K5631" s="21" t="n">
        <v>0</v>
      </c>
      <c r="L5631" s="21" t="n">
        <v>0</v>
      </c>
      <c r="M5631" s="21" t="n">
        <v>0</v>
      </c>
      <c r="N5631" s="21" t="n">
        <v>0</v>
      </c>
      <c r="O5631" s="21" t="n">
        <v>0</v>
      </c>
      <c r="P5631" s="21" t="n">
        <v>0</v>
      </c>
      <c r="Q5631" s="21" t="n">
        <v>0</v>
      </c>
      <c r="R5631" s="21" t="n">
        <v>0</v>
      </c>
      <c r="S5631" s="21" t="n">
        <v>0</v>
      </c>
      <c r="T5631" s="21" t="n">
        <v>0</v>
      </c>
      <c r="U5631" s="21" t="n">
        <v>0</v>
      </c>
      <c r="V5631" s="21" t="n">
        <v>0</v>
      </c>
      <c r="W5631" s="21" t="n">
        <v>0</v>
      </c>
      <c r="X5631" s="21" t="n">
        <v>0</v>
      </c>
      <c r="Y5631" s="21" t="n">
        <v>0</v>
      </c>
      <c r="Z5631" s="19" t="n"/>
    </row>
    <row r="5632">
      <c r="D5632" s="21" t="n">
        <v>0</v>
      </c>
      <c r="E5632" s="21" t="n">
        <v>0</v>
      </c>
      <c r="F5632" s="21">
        <f>-$B$5337</f>
        <v/>
      </c>
      <c r="G5632" s="21">
        <f>-$B$5338</f>
        <v/>
      </c>
      <c r="H5632" s="21">
        <f>2*$B$5337+$D$5618</f>
        <v/>
      </c>
      <c r="I5632" s="21">
        <f>0</f>
        <v/>
      </c>
      <c r="J5632" s="21">
        <f>-$B$5337</f>
        <v/>
      </c>
      <c r="K5632" s="21">
        <f>$B$5338</f>
        <v/>
      </c>
      <c r="L5632" s="21" t="n">
        <v>0</v>
      </c>
      <c r="M5632" s="21" t="n">
        <v>0</v>
      </c>
      <c r="N5632" s="21" t="n">
        <v>0</v>
      </c>
      <c r="O5632" s="21" t="n">
        <v>0</v>
      </c>
      <c r="P5632" s="21" t="n">
        <v>0</v>
      </c>
      <c r="Q5632" s="21" t="n">
        <v>0</v>
      </c>
      <c r="R5632" s="21" t="n">
        <v>0</v>
      </c>
      <c r="S5632" s="21" t="n">
        <v>0</v>
      </c>
      <c r="T5632" s="21" t="n">
        <v>0</v>
      </c>
      <c r="U5632" s="21" t="n">
        <v>0</v>
      </c>
      <c r="V5632" s="21" t="n">
        <v>0</v>
      </c>
      <c r="W5632" s="21" t="n">
        <v>0</v>
      </c>
      <c r="X5632" s="21" t="n">
        <v>0</v>
      </c>
      <c r="Y5632" s="21" t="n">
        <v>0</v>
      </c>
      <c r="Z5632" s="19" t="n"/>
    </row>
    <row r="5633">
      <c r="D5633" s="21" t="n">
        <v>0</v>
      </c>
      <c r="E5633" s="21" t="n">
        <v>0</v>
      </c>
      <c r="F5633" s="21">
        <f>$B$5338</f>
        <v/>
      </c>
      <c r="G5633" s="21">
        <f>$B$5340</f>
        <v/>
      </c>
      <c r="H5633" s="21">
        <f>0</f>
        <v/>
      </c>
      <c r="I5633" s="21">
        <f>2*$B$5339</f>
        <v/>
      </c>
      <c r="J5633" s="21">
        <f>-$B$5338</f>
        <v/>
      </c>
      <c r="K5633" s="21">
        <f>$B$5340</f>
        <v/>
      </c>
      <c r="L5633" s="21" t="n">
        <v>0</v>
      </c>
      <c r="M5633" s="21" t="n">
        <v>0</v>
      </c>
      <c r="N5633" s="21" t="n">
        <v>0</v>
      </c>
      <c r="O5633" s="21" t="n">
        <v>0</v>
      </c>
      <c r="P5633" s="21" t="n">
        <v>0</v>
      </c>
      <c r="Q5633" s="21" t="n">
        <v>0</v>
      </c>
      <c r="R5633" s="21" t="n">
        <v>0</v>
      </c>
      <c r="S5633" s="21" t="n">
        <v>0</v>
      </c>
      <c r="T5633" s="21" t="n">
        <v>0</v>
      </c>
      <c r="U5633" s="21" t="n">
        <v>0</v>
      </c>
      <c r="V5633" s="21" t="n">
        <v>0</v>
      </c>
      <c r="W5633" s="21" t="n">
        <v>0</v>
      </c>
      <c r="X5633" s="21" t="n">
        <v>0</v>
      </c>
      <c r="Y5633" s="21" t="n">
        <v>0</v>
      </c>
      <c r="Z5633" s="19" t="n"/>
    </row>
    <row r="5634">
      <c r="D5634" s="21" t="n">
        <v>0</v>
      </c>
      <c r="E5634" s="21" t="n">
        <v>0</v>
      </c>
      <c r="F5634" s="21" t="n">
        <v>0</v>
      </c>
      <c r="G5634" s="21" t="n">
        <v>0</v>
      </c>
      <c r="H5634" s="21">
        <f>-$B$5337</f>
        <v/>
      </c>
      <c r="I5634" s="21">
        <f>-$B$5338</f>
        <v/>
      </c>
      <c r="J5634" s="21">
        <f>2*$B$5337+$D$5619</f>
        <v/>
      </c>
      <c r="K5634" s="21">
        <f>0</f>
        <v/>
      </c>
      <c r="L5634" s="21">
        <f>-$B$5337</f>
        <v/>
      </c>
      <c r="M5634" s="21">
        <f>$B$5338</f>
        <v/>
      </c>
      <c r="N5634" s="21" t="n">
        <v>0</v>
      </c>
      <c r="O5634" s="21" t="n">
        <v>0</v>
      </c>
      <c r="P5634" s="21" t="n">
        <v>0</v>
      </c>
      <c r="Q5634" s="21" t="n">
        <v>0</v>
      </c>
      <c r="R5634" s="21" t="n">
        <v>0</v>
      </c>
      <c r="S5634" s="21" t="n">
        <v>0</v>
      </c>
      <c r="T5634" s="21" t="n">
        <v>0</v>
      </c>
      <c r="U5634" s="21" t="n">
        <v>0</v>
      </c>
      <c r="V5634" s="21" t="n">
        <v>0</v>
      </c>
      <c r="W5634" s="21" t="n">
        <v>0</v>
      </c>
      <c r="X5634" s="21" t="n">
        <v>0</v>
      </c>
      <c r="Y5634" s="21" t="n">
        <v>0</v>
      </c>
      <c r="Z5634" s="19" t="n"/>
    </row>
    <row r="5635">
      <c r="D5635" s="21" t="n">
        <v>0</v>
      </c>
      <c r="E5635" s="21" t="n">
        <v>0</v>
      </c>
      <c r="F5635" s="21" t="n">
        <v>0</v>
      </c>
      <c r="G5635" s="21" t="n">
        <v>0</v>
      </c>
      <c r="H5635" s="21">
        <f>$B$5338</f>
        <v/>
      </c>
      <c r="I5635" s="21">
        <f>$B$5340</f>
        <v/>
      </c>
      <c r="J5635" s="21">
        <f>0</f>
        <v/>
      </c>
      <c r="K5635" s="21">
        <f>2*$B$5339</f>
        <v/>
      </c>
      <c r="L5635" s="21">
        <f>-$B$5338</f>
        <v/>
      </c>
      <c r="M5635" s="21">
        <f>$B$5340</f>
        <v/>
      </c>
      <c r="N5635" s="21" t="n">
        <v>0</v>
      </c>
      <c r="O5635" s="21" t="n">
        <v>0</v>
      </c>
      <c r="P5635" s="21" t="n">
        <v>0</v>
      </c>
      <c r="Q5635" s="21" t="n">
        <v>0</v>
      </c>
      <c r="R5635" s="21" t="n">
        <v>0</v>
      </c>
      <c r="S5635" s="21" t="n">
        <v>0</v>
      </c>
      <c r="T5635" s="21" t="n">
        <v>0</v>
      </c>
      <c r="U5635" s="21" t="n">
        <v>0</v>
      </c>
      <c r="V5635" s="21" t="n">
        <v>0</v>
      </c>
      <c r="W5635" s="21" t="n">
        <v>0</v>
      </c>
      <c r="X5635" s="21" t="n">
        <v>0</v>
      </c>
      <c r="Y5635" s="21" t="n">
        <v>0</v>
      </c>
      <c r="Z5635" s="19" t="n"/>
    </row>
    <row r="5636">
      <c r="D5636" s="21" t="n">
        <v>0</v>
      </c>
      <c r="E5636" s="21" t="n">
        <v>0</v>
      </c>
      <c r="F5636" s="21" t="n">
        <v>0</v>
      </c>
      <c r="G5636" s="21" t="n">
        <v>0</v>
      </c>
      <c r="H5636" s="21" t="n">
        <v>0</v>
      </c>
      <c r="I5636" s="21" t="n">
        <v>0</v>
      </c>
      <c r="J5636" s="21">
        <f>-$B$5337</f>
        <v/>
      </c>
      <c r="K5636" s="21">
        <f>-$B$5338</f>
        <v/>
      </c>
      <c r="L5636" s="21">
        <f>2*$B$5337+$D$5620</f>
        <v/>
      </c>
      <c r="M5636" s="21">
        <f>0</f>
        <v/>
      </c>
      <c r="N5636" s="21">
        <f>-$B$5337</f>
        <v/>
      </c>
      <c r="O5636" s="21">
        <f>$B$5338</f>
        <v/>
      </c>
      <c r="P5636" s="21" t="n">
        <v>0</v>
      </c>
      <c r="Q5636" s="21" t="n">
        <v>0</v>
      </c>
      <c r="R5636" s="21" t="n">
        <v>0</v>
      </c>
      <c r="S5636" s="21" t="n">
        <v>0</v>
      </c>
      <c r="T5636" s="21" t="n">
        <v>0</v>
      </c>
      <c r="U5636" s="21" t="n">
        <v>0</v>
      </c>
      <c r="V5636" s="21" t="n">
        <v>0</v>
      </c>
      <c r="W5636" s="21" t="n">
        <v>0</v>
      </c>
      <c r="X5636" s="21" t="n">
        <v>0</v>
      </c>
      <c r="Y5636" s="21" t="n">
        <v>0</v>
      </c>
      <c r="Z5636" s="19" t="n"/>
    </row>
    <row r="5637">
      <c r="D5637" s="21" t="n">
        <v>0</v>
      </c>
      <c r="E5637" s="21" t="n">
        <v>0</v>
      </c>
      <c r="F5637" s="21" t="n">
        <v>0</v>
      </c>
      <c r="G5637" s="21" t="n">
        <v>0</v>
      </c>
      <c r="H5637" s="21" t="n">
        <v>0</v>
      </c>
      <c r="I5637" s="21" t="n">
        <v>0</v>
      </c>
      <c r="J5637" s="21">
        <f>$B$5338</f>
        <v/>
      </c>
      <c r="K5637" s="21">
        <f>$B$5340</f>
        <v/>
      </c>
      <c r="L5637" s="21">
        <f>0</f>
        <v/>
      </c>
      <c r="M5637" s="21">
        <f>2*$B$5339</f>
        <v/>
      </c>
      <c r="N5637" s="21">
        <f>-$B$5338</f>
        <v/>
      </c>
      <c r="O5637" s="21">
        <f>$B$5340</f>
        <v/>
      </c>
      <c r="P5637" s="21" t="n">
        <v>0</v>
      </c>
      <c r="Q5637" s="21" t="n">
        <v>0</v>
      </c>
      <c r="R5637" s="21" t="n">
        <v>0</v>
      </c>
      <c r="S5637" s="21" t="n">
        <v>0</v>
      </c>
      <c r="T5637" s="21" t="n">
        <v>0</v>
      </c>
      <c r="U5637" s="21" t="n">
        <v>0</v>
      </c>
      <c r="V5637" s="21" t="n">
        <v>0</v>
      </c>
      <c r="W5637" s="21" t="n">
        <v>0</v>
      </c>
      <c r="X5637" s="21" t="n">
        <v>0</v>
      </c>
      <c r="Y5637" s="21" t="n">
        <v>0</v>
      </c>
      <c r="Z5637" s="19" t="n"/>
    </row>
    <row r="5638">
      <c r="D5638" s="21" t="n">
        <v>0</v>
      </c>
      <c r="E5638" s="21" t="n">
        <v>0</v>
      </c>
      <c r="F5638" s="21" t="n">
        <v>0</v>
      </c>
      <c r="G5638" s="21" t="n">
        <v>0</v>
      </c>
      <c r="H5638" s="21" t="n">
        <v>0</v>
      </c>
      <c r="I5638" s="21" t="n">
        <v>0</v>
      </c>
      <c r="J5638" s="21" t="n">
        <v>0</v>
      </c>
      <c r="K5638" s="21" t="n">
        <v>0</v>
      </c>
      <c r="L5638" s="21">
        <f>-$B$5337</f>
        <v/>
      </c>
      <c r="M5638" s="21">
        <f>-$B$5338</f>
        <v/>
      </c>
      <c r="N5638" s="21">
        <f>2*$B$5337+$D$5621</f>
        <v/>
      </c>
      <c r="O5638" s="21">
        <f>0</f>
        <v/>
      </c>
      <c r="P5638" s="21">
        <f>-$B$5337</f>
        <v/>
      </c>
      <c r="Q5638" s="21">
        <f>$B$5338</f>
        <v/>
      </c>
      <c r="R5638" s="21" t="n">
        <v>0</v>
      </c>
      <c r="S5638" s="21" t="n">
        <v>0</v>
      </c>
      <c r="T5638" s="21" t="n">
        <v>0</v>
      </c>
      <c r="U5638" s="21" t="n">
        <v>0</v>
      </c>
      <c r="V5638" s="21" t="n">
        <v>0</v>
      </c>
      <c r="W5638" s="21" t="n">
        <v>0</v>
      </c>
      <c r="X5638" s="21" t="n">
        <v>0</v>
      </c>
      <c r="Y5638" s="21" t="n">
        <v>0</v>
      </c>
      <c r="Z5638" s="19" t="n"/>
    </row>
    <row r="5639">
      <c r="D5639" s="21" t="n">
        <v>0</v>
      </c>
      <c r="E5639" s="21" t="n">
        <v>0</v>
      </c>
      <c r="F5639" s="21" t="n">
        <v>0</v>
      </c>
      <c r="G5639" s="21" t="n">
        <v>0</v>
      </c>
      <c r="H5639" s="21" t="n">
        <v>0</v>
      </c>
      <c r="I5639" s="21" t="n">
        <v>0</v>
      </c>
      <c r="J5639" s="21" t="n">
        <v>0</v>
      </c>
      <c r="K5639" s="21" t="n">
        <v>0</v>
      </c>
      <c r="L5639" s="21">
        <f>$B$5338</f>
        <v/>
      </c>
      <c r="M5639" s="21">
        <f>$B$5340</f>
        <v/>
      </c>
      <c r="N5639" s="21">
        <f>0</f>
        <v/>
      </c>
      <c r="O5639" s="21">
        <f>2*$B$5339</f>
        <v/>
      </c>
      <c r="P5639" s="21">
        <f>-$B$5338</f>
        <v/>
      </c>
      <c r="Q5639" s="21">
        <f>$B$5340</f>
        <v/>
      </c>
      <c r="R5639" s="21" t="n">
        <v>0</v>
      </c>
      <c r="S5639" s="21" t="n">
        <v>0</v>
      </c>
      <c r="T5639" s="21" t="n">
        <v>0</v>
      </c>
      <c r="U5639" s="21" t="n">
        <v>0</v>
      </c>
      <c r="V5639" s="21" t="n">
        <v>0</v>
      </c>
      <c r="W5639" s="21" t="n">
        <v>0</v>
      </c>
      <c r="X5639" s="21" t="n">
        <v>0</v>
      </c>
      <c r="Y5639" s="21" t="n">
        <v>0</v>
      </c>
      <c r="Z5639" s="19" t="n"/>
    </row>
    <row r="5640">
      <c r="D5640" s="21" t="n">
        <v>0</v>
      </c>
      <c r="E5640" s="21" t="n">
        <v>0</v>
      </c>
      <c r="F5640" s="21" t="n">
        <v>0</v>
      </c>
      <c r="G5640" s="21" t="n">
        <v>0</v>
      </c>
      <c r="H5640" s="21" t="n">
        <v>0</v>
      </c>
      <c r="I5640" s="21" t="n">
        <v>0</v>
      </c>
      <c r="J5640" s="21" t="n">
        <v>0</v>
      </c>
      <c r="K5640" s="21" t="n">
        <v>0</v>
      </c>
      <c r="L5640" s="21" t="n">
        <v>0</v>
      </c>
      <c r="M5640" s="21" t="n">
        <v>0</v>
      </c>
      <c r="N5640" s="21">
        <f>-$B$5337</f>
        <v/>
      </c>
      <c r="O5640" s="21">
        <f>-$B$5338</f>
        <v/>
      </c>
      <c r="P5640" s="21">
        <f>2*$B$5337+$D$5622</f>
        <v/>
      </c>
      <c r="Q5640" s="21">
        <f>0</f>
        <v/>
      </c>
      <c r="R5640" s="21">
        <f>-$B$5337</f>
        <v/>
      </c>
      <c r="S5640" s="21">
        <f>$B$5338</f>
        <v/>
      </c>
      <c r="T5640" s="21" t="n">
        <v>0</v>
      </c>
      <c r="U5640" s="21" t="n">
        <v>0</v>
      </c>
      <c r="V5640" s="21" t="n">
        <v>0</v>
      </c>
      <c r="W5640" s="21" t="n">
        <v>0</v>
      </c>
      <c r="X5640" s="21" t="n">
        <v>0</v>
      </c>
      <c r="Y5640" s="21" t="n">
        <v>0</v>
      </c>
      <c r="Z5640" s="19" t="n"/>
    </row>
    <row r="5641">
      <c r="D5641" s="21" t="n">
        <v>0</v>
      </c>
      <c r="E5641" s="21" t="n">
        <v>0</v>
      </c>
      <c r="F5641" s="21" t="n">
        <v>0</v>
      </c>
      <c r="G5641" s="21" t="n">
        <v>0</v>
      </c>
      <c r="H5641" s="21" t="n">
        <v>0</v>
      </c>
      <c r="I5641" s="21" t="n">
        <v>0</v>
      </c>
      <c r="J5641" s="21" t="n">
        <v>0</v>
      </c>
      <c r="K5641" s="21" t="n">
        <v>0</v>
      </c>
      <c r="L5641" s="21" t="n">
        <v>0</v>
      </c>
      <c r="M5641" s="21" t="n">
        <v>0</v>
      </c>
      <c r="N5641" s="21">
        <f>$B$5338</f>
        <v/>
      </c>
      <c r="O5641" s="21">
        <f>$B$5340</f>
        <v/>
      </c>
      <c r="P5641" s="21">
        <f>0</f>
        <v/>
      </c>
      <c r="Q5641" s="21">
        <f>2*$B$5339</f>
        <v/>
      </c>
      <c r="R5641" s="21">
        <f>-$B$5338</f>
        <v/>
      </c>
      <c r="S5641" s="21">
        <f>$B$5340</f>
        <v/>
      </c>
      <c r="T5641" s="21" t="n">
        <v>0</v>
      </c>
      <c r="U5641" s="21" t="n">
        <v>0</v>
      </c>
      <c r="V5641" s="21" t="n">
        <v>0</v>
      </c>
      <c r="W5641" s="21" t="n">
        <v>0</v>
      </c>
      <c r="X5641" s="21" t="n">
        <v>0</v>
      </c>
      <c r="Y5641" s="21" t="n">
        <v>0</v>
      </c>
      <c r="Z5641" s="19" t="n"/>
    </row>
    <row r="5642">
      <c r="D5642" s="21" t="n">
        <v>0</v>
      </c>
      <c r="E5642" s="21" t="n">
        <v>0</v>
      </c>
      <c r="F5642" s="21" t="n">
        <v>0</v>
      </c>
      <c r="G5642" s="21" t="n">
        <v>0</v>
      </c>
      <c r="H5642" s="21" t="n">
        <v>0</v>
      </c>
      <c r="I5642" s="21" t="n">
        <v>0</v>
      </c>
      <c r="J5642" s="21" t="n">
        <v>0</v>
      </c>
      <c r="K5642" s="21" t="n">
        <v>0</v>
      </c>
      <c r="L5642" s="21" t="n">
        <v>0</v>
      </c>
      <c r="M5642" s="21" t="n">
        <v>0</v>
      </c>
      <c r="N5642" s="21" t="n">
        <v>0</v>
      </c>
      <c r="O5642" s="21" t="n">
        <v>0</v>
      </c>
      <c r="P5642" s="21">
        <f>-$B$5337</f>
        <v/>
      </c>
      <c r="Q5642" s="21">
        <f>-$B$5338</f>
        <v/>
      </c>
      <c r="R5642" s="21">
        <f>2*$B$5337+$D$5623</f>
        <v/>
      </c>
      <c r="S5642" s="21">
        <f>0</f>
        <v/>
      </c>
      <c r="T5642" s="21">
        <f>-$B$5337</f>
        <v/>
      </c>
      <c r="U5642" s="21">
        <f>$B$5338</f>
        <v/>
      </c>
      <c r="V5642" s="21" t="n">
        <v>0</v>
      </c>
      <c r="W5642" s="21" t="n">
        <v>0</v>
      </c>
      <c r="X5642" s="21" t="n">
        <v>0</v>
      </c>
      <c r="Y5642" s="21" t="n">
        <v>0</v>
      </c>
      <c r="Z5642" s="19" t="n"/>
    </row>
    <row r="5643">
      <c r="D5643" s="21" t="n">
        <v>0</v>
      </c>
      <c r="E5643" s="21" t="n">
        <v>0</v>
      </c>
      <c r="F5643" s="21" t="n">
        <v>0</v>
      </c>
      <c r="G5643" s="21" t="n">
        <v>0</v>
      </c>
      <c r="H5643" s="21" t="n">
        <v>0</v>
      </c>
      <c r="I5643" s="21" t="n">
        <v>0</v>
      </c>
      <c r="J5643" s="21" t="n">
        <v>0</v>
      </c>
      <c r="K5643" s="21" t="n">
        <v>0</v>
      </c>
      <c r="L5643" s="21" t="n">
        <v>0</v>
      </c>
      <c r="M5643" s="21" t="n">
        <v>0</v>
      </c>
      <c r="N5643" s="21" t="n">
        <v>0</v>
      </c>
      <c r="O5643" s="21" t="n">
        <v>0</v>
      </c>
      <c r="P5643" s="21">
        <f>$B$5338</f>
        <v/>
      </c>
      <c r="Q5643" s="21">
        <f>$B$5340</f>
        <v/>
      </c>
      <c r="R5643" s="21">
        <f>0</f>
        <v/>
      </c>
      <c r="S5643" s="21">
        <f>2*$B$5339</f>
        <v/>
      </c>
      <c r="T5643" s="21">
        <f>-$B$5338</f>
        <v/>
      </c>
      <c r="U5643" s="21">
        <f>$B$5340</f>
        <v/>
      </c>
      <c r="V5643" s="21" t="n">
        <v>0</v>
      </c>
      <c r="W5643" s="21" t="n">
        <v>0</v>
      </c>
      <c r="X5643" s="21" t="n">
        <v>0</v>
      </c>
      <c r="Y5643" s="21" t="n">
        <v>0</v>
      </c>
      <c r="Z5643" s="19" t="n"/>
    </row>
    <row r="5644">
      <c r="D5644" s="21" t="n">
        <v>0</v>
      </c>
      <c r="E5644" s="21" t="n">
        <v>0</v>
      </c>
      <c r="F5644" s="21" t="n">
        <v>0</v>
      </c>
      <c r="G5644" s="21" t="n">
        <v>0</v>
      </c>
      <c r="H5644" s="21" t="n">
        <v>0</v>
      </c>
      <c r="I5644" s="21" t="n">
        <v>0</v>
      </c>
      <c r="J5644" s="21" t="n">
        <v>0</v>
      </c>
      <c r="K5644" s="21" t="n">
        <v>0</v>
      </c>
      <c r="L5644" s="21" t="n">
        <v>0</v>
      </c>
      <c r="M5644" s="21" t="n">
        <v>0</v>
      </c>
      <c r="N5644" s="21" t="n">
        <v>0</v>
      </c>
      <c r="O5644" s="21" t="n">
        <v>0</v>
      </c>
      <c r="P5644" s="21" t="n">
        <v>0</v>
      </c>
      <c r="Q5644" s="21" t="n">
        <v>0</v>
      </c>
      <c r="R5644" s="21">
        <f>-$B$5337</f>
        <v/>
      </c>
      <c r="S5644" s="21">
        <f>-$B$5338</f>
        <v/>
      </c>
      <c r="T5644" s="21">
        <f>2*$B$5337+$D$5624</f>
        <v/>
      </c>
      <c r="U5644" s="21">
        <f>0</f>
        <v/>
      </c>
      <c r="V5644" s="21">
        <f>-$B$5337</f>
        <v/>
      </c>
      <c r="W5644" s="21">
        <f>$B$5338</f>
        <v/>
      </c>
      <c r="X5644" s="21" t="n">
        <v>0</v>
      </c>
      <c r="Y5644" s="21" t="n">
        <v>0</v>
      </c>
      <c r="Z5644" s="19" t="n"/>
    </row>
    <row r="5645">
      <c r="D5645" s="21" t="n">
        <v>0</v>
      </c>
      <c r="E5645" s="21" t="n">
        <v>0</v>
      </c>
      <c r="F5645" s="21" t="n">
        <v>0</v>
      </c>
      <c r="G5645" s="21" t="n">
        <v>0</v>
      </c>
      <c r="H5645" s="21" t="n">
        <v>0</v>
      </c>
      <c r="I5645" s="21" t="n">
        <v>0</v>
      </c>
      <c r="J5645" s="21" t="n">
        <v>0</v>
      </c>
      <c r="K5645" s="21" t="n">
        <v>0</v>
      </c>
      <c r="L5645" s="21" t="n">
        <v>0</v>
      </c>
      <c r="M5645" s="21" t="n">
        <v>0</v>
      </c>
      <c r="N5645" s="21" t="n">
        <v>0</v>
      </c>
      <c r="O5645" s="21" t="n">
        <v>0</v>
      </c>
      <c r="P5645" s="21" t="n">
        <v>0</v>
      </c>
      <c r="Q5645" s="21" t="n">
        <v>0</v>
      </c>
      <c r="R5645" s="21">
        <f>$B$5338</f>
        <v/>
      </c>
      <c r="S5645" s="21">
        <f>$B$5340</f>
        <v/>
      </c>
      <c r="T5645" s="21">
        <f>0</f>
        <v/>
      </c>
      <c r="U5645" s="21">
        <f>2*$B$5339</f>
        <v/>
      </c>
      <c r="V5645" s="21">
        <f>-$B$5338</f>
        <v/>
      </c>
      <c r="W5645" s="21">
        <f>$B$5340</f>
        <v/>
      </c>
      <c r="X5645" s="21" t="n">
        <v>0</v>
      </c>
      <c r="Y5645" s="21" t="n">
        <v>0</v>
      </c>
      <c r="Z5645" s="19" t="n"/>
    </row>
    <row r="5646">
      <c r="D5646" s="21" t="n">
        <v>0</v>
      </c>
      <c r="E5646" s="21" t="n">
        <v>0</v>
      </c>
      <c r="F5646" s="21" t="n">
        <v>0</v>
      </c>
      <c r="G5646" s="21" t="n">
        <v>0</v>
      </c>
      <c r="H5646" s="21" t="n">
        <v>0</v>
      </c>
      <c r="I5646" s="21" t="n">
        <v>0</v>
      </c>
      <c r="J5646" s="21" t="n">
        <v>0</v>
      </c>
      <c r="K5646" s="21" t="n">
        <v>0</v>
      </c>
      <c r="L5646" s="21" t="n">
        <v>0</v>
      </c>
      <c r="M5646" s="21" t="n">
        <v>0</v>
      </c>
      <c r="N5646" s="21" t="n">
        <v>0</v>
      </c>
      <c r="O5646" s="21" t="n">
        <v>0</v>
      </c>
      <c r="P5646" s="21" t="n">
        <v>0</v>
      </c>
      <c r="Q5646" s="21" t="n">
        <v>0</v>
      </c>
      <c r="R5646" s="21" t="n">
        <v>0</v>
      </c>
      <c r="S5646" s="21" t="n">
        <v>0</v>
      </c>
      <c r="T5646" s="21">
        <f>-$B$5337</f>
        <v/>
      </c>
      <c r="U5646" s="21">
        <f>-$B$5338</f>
        <v/>
      </c>
      <c r="V5646" s="21">
        <f>2*$B$5337+$D$5625</f>
        <v/>
      </c>
      <c r="W5646" s="21">
        <f>0</f>
        <v/>
      </c>
      <c r="X5646" s="21">
        <f>-$B$5337</f>
        <v/>
      </c>
      <c r="Y5646" s="21">
        <f>$B$5338</f>
        <v/>
      </c>
      <c r="Z5646" s="19" t="n"/>
    </row>
    <row r="5647">
      <c r="D5647" s="21" t="n">
        <v>0</v>
      </c>
      <c r="E5647" s="21" t="n">
        <v>0</v>
      </c>
      <c r="F5647" s="21" t="n">
        <v>0</v>
      </c>
      <c r="G5647" s="21" t="n">
        <v>0</v>
      </c>
      <c r="H5647" s="21" t="n">
        <v>0</v>
      </c>
      <c r="I5647" s="21" t="n">
        <v>0</v>
      </c>
      <c r="J5647" s="21" t="n">
        <v>0</v>
      </c>
      <c r="K5647" s="21" t="n">
        <v>0</v>
      </c>
      <c r="L5647" s="21" t="n">
        <v>0</v>
      </c>
      <c r="M5647" s="21" t="n">
        <v>0</v>
      </c>
      <c r="N5647" s="21" t="n">
        <v>0</v>
      </c>
      <c r="O5647" s="21" t="n">
        <v>0</v>
      </c>
      <c r="P5647" s="21" t="n">
        <v>0</v>
      </c>
      <c r="Q5647" s="21" t="n">
        <v>0</v>
      </c>
      <c r="R5647" s="21" t="n">
        <v>0</v>
      </c>
      <c r="S5647" s="21" t="n">
        <v>0</v>
      </c>
      <c r="T5647" s="21">
        <f>$B$5338</f>
        <v/>
      </c>
      <c r="U5647" s="21">
        <f>$B$5340</f>
        <v/>
      </c>
      <c r="V5647" s="21">
        <f>0</f>
        <v/>
      </c>
      <c r="W5647" s="21">
        <f>2*$B$5339</f>
        <v/>
      </c>
      <c r="X5647" s="21">
        <f>-$B$5338</f>
        <v/>
      </c>
      <c r="Y5647" s="21">
        <f>$B$5340</f>
        <v/>
      </c>
      <c r="Z5647" s="19" t="n"/>
    </row>
    <row r="5648">
      <c r="D5648" s="21" t="n">
        <v>0</v>
      </c>
      <c r="E5648" s="21" t="n">
        <v>0</v>
      </c>
      <c r="F5648" s="21" t="n">
        <v>0</v>
      </c>
      <c r="G5648" s="21" t="n">
        <v>0</v>
      </c>
      <c r="H5648" s="21" t="n">
        <v>0</v>
      </c>
      <c r="I5648" s="21" t="n">
        <v>0</v>
      </c>
      <c r="J5648" s="21" t="n">
        <v>0</v>
      </c>
      <c r="K5648" s="21" t="n">
        <v>0</v>
      </c>
      <c r="L5648" s="21" t="n">
        <v>0</v>
      </c>
      <c r="M5648" s="21" t="n">
        <v>0</v>
      </c>
      <c r="N5648" s="21" t="n">
        <v>0</v>
      </c>
      <c r="O5648" s="21" t="n">
        <v>0</v>
      </c>
      <c r="P5648" s="21" t="n">
        <v>0</v>
      </c>
      <c r="Q5648" s="21" t="n">
        <v>0</v>
      </c>
      <c r="R5648" s="21" t="n">
        <v>0</v>
      </c>
      <c r="S5648" s="21" t="n">
        <v>0</v>
      </c>
      <c r="T5648" s="21" t="n">
        <v>0</v>
      </c>
      <c r="U5648" s="21" t="n">
        <v>0</v>
      </c>
      <c r="V5648" s="21">
        <f>-$B$5337</f>
        <v/>
      </c>
      <c r="W5648" s="21">
        <f>-$B$5338</f>
        <v/>
      </c>
      <c r="X5648" s="21">
        <f>$B$5337+$D$5626</f>
        <v/>
      </c>
      <c r="Y5648" s="21">
        <f>-$B$5338</f>
        <v/>
      </c>
      <c r="Z5648" s="19" t="n"/>
    </row>
    <row r="5649">
      <c r="D5649" s="21" t="n">
        <v>0</v>
      </c>
      <c r="E5649" s="21" t="n">
        <v>0</v>
      </c>
      <c r="F5649" s="21" t="n">
        <v>0</v>
      </c>
      <c r="G5649" s="21" t="n">
        <v>0</v>
      </c>
      <c r="H5649" s="21" t="n">
        <v>0</v>
      </c>
      <c r="I5649" s="21" t="n">
        <v>0</v>
      </c>
      <c r="J5649" s="21" t="n">
        <v>0</v>
      </c>
      <c r="K5649" s="21" t="n">
        <v>0</v>
      </c>
      <c r="L5649" s="21" t="n">
        <v>0</v>
      </c>
      <c r="M5649" s="21" t="n">
        <v>0</v>
      </c>
      <c r="N5649" s="21" t="n">
        <v>0</v>
      </c>
      <c r="O5649" s="21" t="n">
        <v>0</v>
      </c>
      <c r="P5649" s="21" t="n">
        <v>0</v>
      </c>
      <c r="Q5649" s="21" t="n">
        <v>0</v>
      </c>
      <c r="R5649" s="21" t="n">
        <v>0</v>
      </c>
      <c r="S5649" s="21" t="n">
        <v>0</v>
      </c>
      <c r="T5649" s="21" t="n">
        <v>0</v>
      </c>
      <c r="U5649" s="21" t="n">
        <v>0</v>
      </c>
      <c r="V5649" s="21">
        <f>$B$5338</f>
        <v/>
      </c>
      <c r="W5649" s="21">
        <f>$B$5340</f>
        <v/>
      </c>
      <c r="X5649" s="21">
        <f>-$B$5338</f>
        <v/>
      </c>
      <c r="Y5649" s="21">
        <f>$B$5339</f>
        <v/>
      </c>
      <c r="Z5649" s="19" t="n"/>
    </row>
    <row r="5651">
      <c r="A5651" s="8" t="inlineStr">
        <is>
          <t>gen 8</t>
        </is>
      </c>
    </row>
    <row r="5652">
      <c r="D5652" s="19">
        <f>IF(ABS(IF(ABS($E$5616)&gt;0.000000001,$E$5616,0.000000001))=0,0,IF($E$5352&lt;=$B$5346,0,IF(ABS(IF(ABS($E$5616)&gt;0.000000001,$E$5616,0.000000001))&gt;=8*$B$5348,$H$5352,0.5*$H$5352*(ABS(IF(ABS($E$5616)&gt;0.000000001,$E$5616,0.000000001))/$B$5348)^(1/3)))/ABS(IF(ABS($E$5616)&gt;0.000000001,$E$5616,0.000000001))*$I$5352)</f>
        <v/>
      </c>
      <c r="E5652" s="19">
        <f>0.5*$E$5616+0.5*$Z$5664</f>
        <v/>
      </c>
      <c r="F5652" s="19">
        <f>$Z$5665</f>
        <v/>
      </c>
    </row>
    <row r="5653">
      <c r="D5653" s="19">
        <f>IF(ABS(IF(ABS($E$5617)&gt;0.000000001,$E$5617,0.000000001))=0,0,IF($E$5353&lt;=$B$5346,0,IF(ABS(IF(ABS($E$5617)&gt;0.000000001,$E$5617,0.000000001))&gt;=8*$B$5348,$H$5353,0.5*$H$5353*(ABS(IF(ABS($E$5617)&gt;0.000000001,$E$5617,0.000000001))/$B$5348)^(1/3)))/ABS(IF(ABS($E$5617)&gt;0.000000001,$E$5617,0.000000001))*$I$5353)</f>
        <v/>
      </c>
      <c r="E5653" s="19">
        <f>0.5*$E$5617+0.5*$Z$5666</f>
        <v/>
      </c>
      <c r="F5653" s="19">
        <f>$Z$5667</f>
        <v/>
      </c>
    </row>
    <row r="5654">
      <c r="D5654" s="19">
        <f>IF(ABS(IF(ABS($E$5618)&gt;0.000000001,$E$5618,0.000000001))=0,0,IF($E$5354&lt;=$B$5346,0,IF(ABS(IF(ABS($E$5618)&gt;0.000000001,$E$5618,0.000000001))&gt;=8*$B$5348,$H$5354,0.5*$H$5354*(ABS(IF(ABS($E$5618)&gt;0.000000001,$E$5618,0.000000001))/$B$5348)^(1/3)))/ABS(IF(ABS($E$5618)&gt;0.000000001,$E$5618,0.000000001))*$I$5354)</f>
        <v/>
      </c>
      <c r="E5654" s="19">
        <f>0.5*$E$5618+0.5*$Z$5668</f>
        <v/>
      </c>
      <c r="F5654" s="19">
        <f>$Z$5669</f>
        <v/>
      </c>
    </row>
    <row r="5655">
      <c r="D5655" s="19">
        <f>IF(ABS(IF(ABS($E$5619)&gt;0.000000001,$E$5619,0.000000001))=0,0,IF($E$5355&lt;=$B$5346,0,IF(ABS(IF(ABS($E$5619)&gt;0.000000001,$E$5619,0.000000001))&gt;=8*$B$5348,$H$5355,0.5*$H$5355*(ABS(IF(ABS($E$5619)&gt;0.000000001,$E$5619,0.000000001))/$B$5348)^(1/3)))/ABS(IF(ABS($E$5619)&gt;0.000000001,$E$5619,0.000000001))*$I$5355)</f>
        <v/>
      </c>
      <c r="E5655" s="19">
        <f>0.5*$E$5619+0.5*$Z$5670</f>
        <v/>
      </c>
      <c r="F5655" s="19">
        <f>$Z$5671</f>
        <v/>
      </c>
    </row>
    <row r="5656">
      <c r="D5656" s="19">
        <f>IF(ABS(IF(ABS($E$5620)&gt;0.000000001,$E$5620,0.000000001))=0,0,IF($E$5356&lt;=$B$5346,0,IF(ABS(IF(ABS($E$5620)&gt;0.000000001,$E$5620,0.000000001))&gt;=8*$B$5348,$H$5356,0.5*$H$5356*(ABS(IF(ABS($E$5620)&gt;0.000000001,$E$5620,0.000000001))/$B$5348)^(1/3)))/ABS(IF(ABS($E$5620)&gt;0.000000001,$E$5620,0.000000001))*$I$5356)</f>
        <v/>
      </c>
      <c r="E5656" s="19">
        <f>0.5*$E$5620+0.5*$Z$5672</f>
        <v/>
      </c>
      <c r="F5656" s="19">
        <f>$Z$5673</f>
        <v/>
      </c>
    </row>
    <row r="5657">
      <c r="D5657" s="19">
        <f>IF(ABS(IF(ABS($E$5621)&gt;0.000000001,$E$5621,0.000000001))=0,0,IF($E$5357&lt;=$B$5346,0,IF(ABS(IF(ABS($E$5621)&gt;0.000000001,$E$5621,0.000000001))&gt;=8*$B$5348,$H$5357,0.5*$H$5357*(ABS(IF(ABS($E$5621)&gt;0.000000001,$E$5621,0.000000001))/$B$5348)^(1/3)))/ABS(IF(ABS($E$5621)&gt;0.000000001,$E$5621,0.000000001))*$I$5357)</f>
        <v/>
      </c>
      <c r="E5657" s="19">
        <f>0.5*$E$5621+0.5*$Z$5674</f>
        <v/>
      </c>
      <c r="F5657" s="19">
        <f>$Z$5675</f>
        <v/>
      </c>
    </row>
    <row r="5658">
      <c r="D5658" s="19">
        <f>IF(ABS(IF(ABS($E$5622)&gt;0.000000001,$E$5622,0.000000001))=0,0,IF($E$5358&lt;=$B$5346,0,IF(ABS(IF(ABS($E$5622)&gt;0.000000001,$E$5622,0.000000001))&gt;=8*$B$5348,$H$5358,0.5*$H$5358*(ABS(IF(ABS($E$5622)&gt;0.000000001,$E$5622,0.000000001))/$B$5348)^(1/3)))/ABS(IF(ABS($E$5622)&gt;0.000000001,$E$5622,0.000000001))*$I$5358)</f>
        <v/>
      </c>
      <c r="E5658" s="19">
        <f>0.5*$E$5622+0.5*$Z$5676</f>
        <v/>
      </c>
      <c r="F5658" s="19">
        <f>$Z$5677</f>
        <v/>
      </c>
    </row>
    <row r="5659">
      <c r="D5659" s="19">
        <f>IF(ABS(IF(ABS($E$5623)&gt;0.000000001,$E$5623,0.000000001))=0,0,IF($E$5359&lt;=$B$5346,0,IF(ABS(IF(ABS($E$5623)&gt;0.000000001,$E$5623,0.000000001))&gt;=8*$B$5348,$H$5359,0.5*$H$5359*(ABS(IF(ABS($E$5623)&gt;0.000000001,$E$5623,0.000000001))/$B$5348)^(1/3)))/ABS(IF(ABS($E$5623)&gt;0.000000001,$E$5623,0.000000001))*$I$5359)</f>
        <v/>
      </c>
      <c r="E5659" s="19">
        <f>0.5*$E$5623+0.5*$Z$5678</f>
        <v/>
      </c>
      <c r="F5659" s="19">
        <f>$Z$5679</f>
        <v/>
      </c>
    </row>
    <row r="5660">
      <c r="D5660" s="19">
        <f>IF(ABS(IF(ABS($E$5624)&gt;0.000000001,$E$5624,0.000000001))=0,0,IF($E$5360&lt;=$B$5346,0,IF(ABS(IF(ABS($E$5624)&gt;0.000000001,$E$5624,0.000000001))&gt;=8*$B$5348,$H$5360,0.5*$H$5360*(ABS(IF(ABS($E$5624)&gt;0.000000001,$E$5624,0.000000001))/$B$5348)^(1/3)))/ABS(IF(ABS($E$5624)&gt;0.000000001,$E$5624,0.000000001))*$I$5360)</f>
        <v/>
      </c>
      <c r="E5660" s="19">
        <f>0.5*$E$5624+0.5*$Z$5680</f>
        <v/>
      </c>
      <c r="F5660" s="19">
        <f>$Z$5681</f>
        <v/>
      </c>
    </row>
    <row r="5661">
      <c r="D5661" s="19">
        <f>IF(ABS(IF(ABS($E$5625)&gt;0.000000001,$E$5625,0.000000001))=0,0,IF($E$5361&lt;=$B$5346,0,IF(ABS(IF(ABS($E$5625)&gt;0.000000001,$E$5625,0.000000001))&gt;=8*$B$5348,$H$5361,0.5*$H$5361*(ABS(IF(ABS($E$5625)&gt;0.000000001,$E$5625,0.000000001))/$B$5348)^(1/3)))/ABS(IF(ABS($E$5625)&gt;0.000000001,$E$5625,0.000000001))*$I$5361)</f>
        <v/>
      </c>
      <c r="E5661" s="19">
        <f>0.5*$E$5625+0.5*$Z$5682</f>
        <v/>
      </c>
      <c r="F5661" s="19">
        <f>$Z$5683</f>
        <v/>
      </c>
    </row>
    <row r="5662">
      <c r="D5662" s="19">
        <f>IF(ABS(IF(ABS($E$5626)&gt;0.000000001,$E$5626,0.000000001))=0,0,IF($E$5362&lt;=$B$5346,0,IF(ABS(IF(ABS($E$5626)&gt;0.000000001,$E$5626,0.000000001))&gt;=8*$B$5348,$H$5362,0.5*$H$5362*(ABS(IF(ABS($E$5626)&gt;0.000000001,$E$5626,0.000000001))/$B$5348)^(1/3)))/ABS(IF(ABS($E$5626)&gt;0.000000001,$E$5626,0.000000001))*$I$5362)</f>
        <v/>
      </c>
      <c r="E5662" s="19">
        <f>0.5*$E$5626+0.5*$Z$5684</f>
        <v/>
      </c>
      <c r="F5662" s="19">
        <f>$Z$5685</f>
        <v/>
      </c>
    </row>
    <row r="5664">
      <c r="D5664" s="21">
        <f>$B$5337+$D$5652</f>
        <v/>
      </c>
      <c r="E5664" s="21">
        <f>$B$5338</f>
        <v/>
      </c>
      <c r="F5664" s="21">
        <f>-$B$5337</f>
        <v/>
      </c>
      <c r="G5664" s="21">
        <f>$B$5338</f>
        <v/>
      </c>
      <c r="H5664" s="21" t="n">
        <v>0</v>
      </c>
      <c r="I5664" s="21" t="n">
        <v>0</v>
      </c>
      <c r="J5664" s="21" t="n">
        <v>0</v>
      </c>
      <c r="K5664" s="21" t="n">
        <v>0</v>
      </c>
      <c r="L5664" s="21" t="n">
        <v>0</v>
      </c>
      <c r="M5664" s="21" t="n">
        <v>0</v>
      </c>
      <c r="N5664" s="21" t="n">
        <v>0</v>
      </c>
      <c r="O5664" s="21" t="n">
        <v>0</v>
      </c>
      <c r="P5664" s="21" t="n">
        <v>0</v>
      </c>
      <c r="Q5664" s="21" t="n">
        <v>0</v>
      </c>
      <c r="R5664" s="21" t="n">
        <v>0</v>
      </c>
      <c r="S5664" s="21" t="n">
        <v>0</v>
      </c>
      <c r="T5664" s="21" t="n">
        <v>0</v>
      </c>
      <c r="U5664" s="21" t="n">
        <v>0</v>
      </c>
      <c r="V5664" s="21" t="n">
        <v>0</v>
      </c>
      <c r="W5664" s="21" t="n">
        <v>0</v>
      </c>
      <c r="X5664" s="21" t="n">
        <v>0</v>
      </c>
      <c r="Y5664" s="21" t="n">
        <v>0</v>
      </c>
      <c r="Z5664" s="19">
        <f t="array" ref="Z5664:Z5685">MMULT(MINVERSE($D$5664:$Y$5685),$D$5364:$D$5385)</f>
        <v/>
      </c>
    </row>
    <row r="5665">
      <c r="D5665" s="21">
        <f>$B$5338</f>
        <v/>
      </c>
      <c r="E5665" s="21">
        <f>$B$5339</f>
        <v/>
      </c>
      <c r="F5665" s="21">
        <f>-$B$5338</f>
        <v/>
      </c>
      <c r="G5665" s="21">
        <f>$B$5340</f>
        <v/>
      </c>
      <c r="H5665" s="21" t="n">
        <v>0</v>
      </c>
      <c r="I5665" s="21" t="n">
        <v>0</v>
      </c>
      <c r="J5665" s="21" t="n">
        <v>0</v>
      </c>
      <c r="K5665" s="21" t="n">
        <v>0</v>
      </c>
      <c r="L5665" s="21" t="n">
        <v>0</v>
      </c>
      <c r="M5665" s="21" t="n">
        <v>0</v>
      </c>
      <c r="N5665" s="21" t="n">
        <v>0</v>
      </c>
      <c r="O5665" s="21" t="n">
        <v>0</v>
      </c>
      <c r="P5665" s="21" t="n">
        <v>0</v>
      </c>
      <c r="Q5665" s="21" t="n">
        <v>0</v>
      </c>
      <c r="R5665" s="21" t="n">
        <v>0</v>
      </c>
      <c r="S5665" s="21" t="n">
        <v>0</v>
      </c>
      <c r="T5665" s="21" t="n">
        <v>0</v>
      </c>
      <c r="U5665" s="21" t="n">
        <v>0</v>
      </c>
      <c r="V5665" s="21" t="n">
        <v>0</v>
      </c>
      <c r="W5665" s="21" t="n">
        <v>0</v>
      </c>
      <c r="X5665" s="21" t="n">
        <v>0</v>
      </c>
      <c r="Y5665" s="21" t="n">
        <v>0</v>
      </c>
      <c r="Z5665" s="19" t="n"/>
    </row>
    <row r="5666">
      <c r="D5666" s="21">
        <f>-$B$5337</f>
        <v/>
      </c>
      <c r="E5666" s="21">
        <f>-$B$5338</f>
        <v/>
      </c>
      <c r="F5666" s="21">
        <f>2*$B$5337+$D$5653</f>
        <v/>
      </c>
      <c r="G5666" s="21">
        <f>0</f>
        <v/>
      </c>
      <c r="H5666" s="21">
        <f>-$B$5337</f>
        <v/>
      </c>
      <c r="I5666" s="21">
        <f>$B$5338</f>
        <v/>
      </c>
      <c r="J5666" s="21" t="n">
        <v>0</v>
      </c>
      <c r="K5666" s="21" t="n">
        <v>0</v>
      </c>
      <c r="L5666" s="21" t="n">
        <v>0</v>
      </c>
      <c r="M5666" s="21" t="n">
        <v>0</v>
      </c>
      <c r="N5666" s="21" t="n">
        <v>0</v>
      </c>
      <c r="O5666" s="21" t="n">
        <v>0</v>
      </c>
      <c r="P5666" s="21" t="n">
        <v>0</v>
      </c>
      <c r="Q5666" s="21" t="n">
        <v>0</v>
      </c>
      <c r="R5666" s="21" t="n">
        <v>0</v>
      </c>
      <c r="S5666" s="21" t="n">
        <v>0</v>
      </c>
      <c r="T5666" s="21" t="n">
        <v>0</v>
      </c>
      <c r="U5666" s="21" t="n">
        <v>0</v>
      </c>
      <c r="V5666" s="21" t="n">
        <v>0</v>
      </c>
      <c r="W5666" s="21" t="n">
        <v>0</v>
      </c>
      <c r="X5666" s="21" t="n">
        <v>0</v>
      </c>
      <c r="Y5666" s="21" t="n">
        <v>0</v>
      </c>
      <c r="Z5666" s="19" t="n"/>
    </row>
    <row r="5667">
      <c r="D5667" s="21">
        <f>$B$5338</f>
        <v/>
      </c>
      <c r="E5667" s="21">
        <f>$B$5340</f>
        <v/>
      </c>
      <c r="F5667" s="21">
        <f>0</f>
        <v/>
      </c>
      <c r="G5667" s="21">
        <f>2*$B$5339</f>
        <v/>
      </c>
      <c r="H5667" s="21">
        <f>-$B$5338</f>
        <v/>
      </c>
      <c r="I5667" s="21">
        <f>$B$5340</f>
        <v/>
      </c>
      <c r="J5667" s="21" t="n">
        <v>0</v>
      </c>
      <c r="K5667" s="21" t="n">
        <v>0</v>
      </c>
      <c r="L5667" s="21" t="n">
        <v>0</v>
      </c>
      <c r="M5667" s="21" t="n">
        <v>0</v>
      </c>
      <c r="N5667" s="21" t="n">
        <v>0</v>
      </c>
      <c r="O5667" s="21" t="n">
        <v>0</v>
      </c>
      <c r="P5667" s="21" t="n">
        <v>0</v>
      </c>
      <c r="Q5667" s="21" t="n">
        <v>0</v>
      </c>
      <c r="R5667" s="21" t="n">
        <v>0</v>
      </c>
      <c r="S5667" s="21" t="n">
        <v>0</v>
      </c>
      <c r="T5667" s="21" t="n">
        <v>0</v>
      </c>
      <c r="U5667" s="21" t="n">
        <v>0</v>
      </c>
      <c r="V5667" s="21" t="n">
        <v>0</v>
      </c>
      <c r="W5667" s="21" t="n">
        <v>0</v>
      </c>
      <c r="X5667" s="21" t="n">
        <v>0</v>
      </c>
      <c r="Y5667" s="21" t="n">
        <v>0</v>
      </c>
      <c r="Z5667" s="19" t="n"/>
    </row>
    <row r="5668">
      <c r="D5668" s="21" t="n">
        <v>0</v>
      </c>
      <c r="E5668" s="21" t="n">
        <v>0</v>
      </c>
      <c r="F5668" s="21">
        <f>-$B$5337</f>
        <v/>
      </c>
      <c r="G5668" s="21">
        <f>-$B$5338</f>
        <v/>
      </c>
      <c r="H5668" s="21">
        <f>2*$B$5337+$D$5654</f>
        <v/>
      </c>
      <c r="I5668" s="21">
        <f>0</f>
        <v/>
      </c>
      <c r="J5668" s="21">
        <f>-$B$5337</f>
        <v/>
      </c>
      <c r="K5668" s="21">
        <f>$B$5338</f>
        <v/>
      </c>
      <c r="L5668" s="21" t="n">
        <v>0</v>
      </c>
      <c r="M5668" s="21" t="n">
        <v>0</v>
      </c>
      <c r="N5668" s="21" t="n">
        <v>0</v>
      </c>
      <c r="O5668" s="21" t="n">
        <v>0</v>
      </c>
      <c r="P5668" s="21" t="n">
        <v>0</v>
      </c>
      <c r="Q5668" s="21" t="n">
        <v>0</v>
      </c>
      <c r="R5668" s="21" t="n">
        <v>0</v>
      </c>
      <c r="S5668" s="21" t="n">
        <v>0</v>
      </c>
      <c r="T5668" s="21" t="n">
        <v>0</v>
      </c>
      <c r="U5668" s="21" t="n">
        <v>0</v>
      </c>
      <c r="V5668" s="21" t="n">
        <v>0</v>
      </c>
      <c r="W5668" s="21" t="n">
        <v>0</v>
      </c>
      <c r="X5668" s="21" t="n">
        <v>0</v>
      </c>
      <c r="Y5668" s="21" t="n">
        <v>0</v>
      </c>
      <c r="Z5668" s="19" t="n"/>
    </row>
    <row r="5669">
      <c r="D5669" s="21" t="n">
        <v>0</v>
      </c>
      <c r="E5669" s="21" t="n">
        <v>0</v>
      </c>
      <c r="F5669" s="21">
        <f>$B$5338</f>
        <v/>
      </c>
      <c r="G5669" s="21">
        <f>$B$5340</f>
        <v/>
      </c>
      <c r="H5669" s="21">
        <f>0</f>
        <v/>
      </c>
      <c r="I5669" s="21">
        <f>2*$B$5339</f>
        <v/>
      </c>
      <c r="J5669" s="21">
        <f>-$B$5338</f>
        <v/>
      </c>
      <c r="K5669" s="21">
        <f>$B$5340</f>
        <v/>
      </c>
      <c r="L5669" s="21" t="n">
        <v>0</v>
      </c>
      <c r="M5669" s="21" t="n">
        <v>0</v>
      </c>
      <c r="N5669" s="21" t="n">
        <v>0</v>
      </c>
      <c r="O5669" s="21" t="n">
        <v>0</v>
      </c>
      <c r="P5669" s="21" t="n">
        <v>0</v>
      </c>
      <c r="Q5669" s="21" t="n">
        <v>0</v>
      </c>
      <c r="R5669" s="21" t="n">
        <v>0</v>
      </c>
      <c r="S5669" s="21" t="n">
        <v>0</v>
      </c>
      <c r="T5669" s="21" t="n">
        <v>0</v>
      </c>
      <c r="U5669" s="21" t="n">
        <v>0</v>
      </c>
      <c r="V5669" s="21" t="n">
        <v>0</v>
      </c>
      <c r="W5669" s="21" t="n">
        <v>0</v>
      </c>
      <c r="X5669" s="21" t="n">
        <v>0</v>
      </c>
      <c r="Y5669" s="21" t="n">
        <v>0</v>
      </c>
      <c r="Z5669" s="19" t="n"/>
    </row>
    <row r="5670">
      <c r="D5670" s="21" t="n">
        <v>0</v>
      </c>
      <c r="E5670" s="21" t="n">
        <v>0</v>
      </c>
      <c r="F5670" s="21" t="n">
        <v>0</v>
      </c>
      <c r="G5670" s="21" t="n">
        <v>0</v>
      </c>
      <c r="H5670" s="21">
        <f>-$B$5337</f>
        <v/>
      </c>
      <c r="I5670" s="21">
        <f>-$B$5338</f>
        <v/>
      </c>
      <c r="J5670" s="21">
        <f>2*$B$5337+$D$5655</f>
        <v/>
      </c>
      <c r="K5670" s="21">
        <f>0</f>
        <v/>
      </c>
      <c r="L5670" s="21">
        <f>-$B$5337</f>
        <v/>
      </c>
      <c r="M5670" s="21">
        <f>$B$5338</f>
        <v/>
      </c>
      <c r="N5670" s="21" t="n">
        <v>0</v>
      </c>
      <c r="O5670" s="21" t="n">
        <v>0</v>
      </c>
      <c r="P5670" s="21" t="n">
        <v>0</v>
      </c>
      <c r="Q5670" s="21" t="n">
        <v>0</v>
      </c>
      <c r="R5670" s="21" t="n">
        <v>0</v>
      </c>
      <c r="S5670" s="21" t="n">
        <v>0</v>
      </c>
      <c r="T5670" s="21" t="n">
        <v>0</v>
      </c>
      <c r="U5670" s="21" t="n">
        <v>0</v>
      </c>
      <c r="V5670" s="21" t="n">
        <v>0</v>
      </c>
      <c r="W5670" s="21" t="n">
        <v>0</v>
      </c>
      <c r="X5670" s="21" t="n">
        <v>0</v>
      </c>
      <c r="Y5670" s="21" t="n">
        <v>0</v>
      </c>
      <c r="Z5670" s="19" t="n"/>
    </row>
    <row r="5671">
      <c r="D5671" s="21" t="n">
        <v>0</v>
      </c>
      <c r="E5671" s="21" t="n">
        <v>0</v>
      </c>
      <c r="F5671" s="21" t="n">
        <v>0</v>
      </c>
      <c r="G5671" s="21" t="n">
        <v>0</v>
      </c>
      <c r="H5671" s="21">
        <f>$B$5338</f>
        <v/>
      </c>
      <c r="I5671" s="21">
        <f>$B$5340</f>
        <v/>
      </c>
      <c r="J5671" s="21">
        <f>0</f>
        <v/>
      </c>
      <c r="K5671" s="21">
        <f>2*$B$5339</f>
        <v/>
      </c>
      <c r="L5671" s="21">
        <f>-$B$5338</f>
        <v/>
      </c>
      <c r="M5671" s="21">
        <f>$B$5340</f>
        <v/>
      </c>
      <c r="N5671" s="21" t="n">
        <v>0</v>
      </c>
      <c r="O5671" s="21" t="n">
        <v>0</v>
      </c>
      <c r="P5671" s="21" t="n">
        <v>0</v>
      </c>
      <c r="Q5671" s="21" t="n">
        <v>0</v>
      </c>
      <c r="R5671" s="21" t="n">
        <v>0</v>
      </c>
      <c r="S5671" s="21" t="n">
        <v>0</v>
      </c>
      <c r="T5671" s="21" t="n">
        <v>0</v>
      </c>
      <c r="U5671" s="21" t="n">
        <v>0</v>
      </c>
      <c r="V5671" s="21" t="n">
        <v>0</v>
      </c>
      <c r="W5671" s="21" t="n">
        <v>0</v>
      </c>
      <c r="X5671" s="21" t="n">
        <v>0</v>
      </c>
      <c r="Y5671" s="21" t="n">
        <v>0</v>
      </c>
      <c r="Z5671" s="19" t="n"/>
    </row>
    <row r="5672">
      <c r="D5672" s="21" t="n">
        <v>0</v>
      </c>
      <c r="E5672" s="21" t="n">
        <v>0</v>
      </c>
      <c r="F5672" s="21" t="n">
        <v>0</v>
      </c>
      <c r="G5672" s="21" t="n">
        <v>0</v>
      </c>
      <c r="H5672" s="21" t="n">
        <v>0</v>
      </c>
      <c r="I5672" s="21" t="n">
        <v>0</v>
      </c>
      <c r="J5672" s="21">
        <f>-$B$5337</f>
        <v/>
      </c>
      <c r="K5672" s="21">
        <f>-$B$5338</f>
        <v/>
      </c>
      <c r="L5672" s="21">
        <f>2*$B$5337+$D$5656</f>
        <v/>
      </c>
      <c r="M5672" s="21">
        <f>0</f>
        <v/>
      </c>
      <c r="N5672" s="21">
        <f>-$B$5337</f>
        <v/>
      </c>
      <c r="O5672" s="21">
        <f>$B$5338</f>
        <v/>
      </c>
      <c r="P5672" s="21" t="n">
        <v>0</v>
      </c>
      <c r="Q5672" s="21" t="n">
        <v>0</v>
      </c>
      <c r="R5672" s="21" t="n">
        <v>0</v>
      </c>
      <c r="S5672" s="21" t="n">
        <v>0</v>
      </c>
      <c r="T5672" s="21" t="n">
        <v>0</v>
      </c>
      <c r="U5672" s="21" t="n">
        <v>0</v>
      </c>
      <c r="V5672" s="21" t="n">
        <v>0</v>
      </c>
      <c r="W5672" s="21" t="n">
        <v>0</v>
      </c>
      <c r="X5672" s="21" t="n">
        <v>0</v>
      </c>
      <c r="Y5672" s="21" t="n">
        <v>0</v>
      </c>
      <c r="Z5672" s="19" t="n"/>
    </row>
    <row r="5673">
      <c r="D5673" s="21" t="n">
        <v>0</v>
      </c>
      <c r="E5673" s="21" t="n">
        <v>0</v>
      </c>
      <c r="F5673" s="21" t="n">
        <v>0</v>
      </c>
      <c r="G5673" s="21" t="n">
        <v>0</v>
      </c>
      <c r="H5673" s="21" t="n">
        <v>0</v>
      </c>
      <c r="I5673" s="21" t="n">
        <v>0</v>
      </c>
      <c r="J5673" s="21">
        <f>$B$5338</f>
        <v/>
      </c>
      <c r="K5673" s="21">
        <f>$B$5340</f>
        <v/>
      </c>
      <c r="L5673" s="21">
        <f>0</f>
        <v/>
      </c>
      <c r="M5673" s="21">
        <f>2*$B$5339</f>
        <v/>
      </c>
      <c r="N5673" s="21">
        <f>-$B$5338</f>
        <v/>
      </c>
      <c r="O5673" s="21">
        <f>$B$5340</f>
        <v/>
      </c>
      <c r="P5673" s="21" t="n">
        <v>0</v>
      </c>
      <c r="Q5673" s="21" t="n">
        <v>0</v>
      </c>
      <c r="R5673" s="21" t="n">
        <v>0</v>
      </c>
      <c r="S5673" s="21" t="n">
        <v>0</v>
      </c>
      <c r="T5673" s="21" t="n">
        <v>0</v>
      </c>
      <c r="U5673" s="21" t="n">
        <v>0</v>
      </c>
      <c r="V5673" s="21" t="n">
        <v>0</v>
      </c>
      <c r="W5673" s="21" t="n">
        <v>0</v>
      </c>
      <c r="X5673" s="21" t="n">
        <v>0</v>
      </c>
      <c r="Y5673" s="21" t="n">
        <v>0</v>
      </c>
      <c r="Z5673" s="19" t="n"/>
    </row>
    <row r="5674">
      <c r="D5674" s="21" t="n">
        <v>0</v>
      </c>
      <c r="E5674" s="21" t="n">
        <v>0</v>
      </c>
      <c r="F5674" s="21" t="n">
        <v>0</v>
      </c>
      <c r="G5674" s="21" t="n">
        <v>0</v>
      </c>
      <c r="H5674" s="21" t="n">
        <v>0</v>
      </c>
      <c r="I5674" s="21" t="n">
        <v>0</v>
      </c>
      <c r="J5674" s="21" t="n">
        <v>0</v>
      </c>
      <c r="K5674" s="21" t="n">
        <v>0</v>
      </c>
      <c r="L5674" s="21">
        <f>-$B$5337</f>
        <v/>
      </c>
      <c r="M5674" s="21">
        <f>-$B$5338</f>
        <v/>
      </c>
      <c r="N5674" s="21">
        <f>2*$B$5337+$D$5657</f>
        <v/>
      </c>
      <c r="O5674" s="21">
        <f>0</f>
        <v/>
      </c>
      <c r="P5674" s="21">
        <f>-$B$5337</f>
        <v/>
      </c>
      <c r="Q5674" s="21">
        <f>$B$5338</f>
        <v/>
      </c>
      <c r="R5674" s="21" t="n">
        <v>0</v>
      </c>
      <c r="S5674" s="21" t="n">
        <v>0</v>
      </c>
      <c r="T5674" s="21" t="n">
        <v>0</v>
      </c>
      <c r="U5674" s="21" t="n">
        <v>0</v>
      </c>
      <c r="V5674" s="21" t="n">
        <v>0</v>
      </c>
      <c r="W5674" s="21" t="n">
        <v>0</v>
      </c>
      <c r="X5674" s="21" t="n">
        <v>0</v>
      </c>
      <c r="Y5674" s="21" t="n">
        <v>0</v>
      </c>
      <c r="Z5674" s="19" t="n"/>
    </row>
    <row r="5675">
      <c r="D5675" s="21" t="n">
        <v>0</v>
      </c>
      <c r="E5675" s="21" t="n">
        <v>0</v>
      </c>
      <c r="F5675" s="21" t="n">
        <v>0</v>
      </c>
      <c r="G5675" s="21" t="n">
        <v>0</v>
      </c>
      <c r="H5675" s="21" t="n">
        <v>0</v>
      </c>
      <c r="I5675" s="21" t="n">
        <v>0</v>
      </c>
      <c r="J5675" s="21" t="n">
        <v>0</v>
      </c>
      <c r="K5675" s="21" t="n">
        <v>0</v>
      </c>
      <c r="L5675" s="21">
        <f>$B$5338</f>
        <v/>
      </c>
      <c r="M5675" s="21">
        <f>$B$5340</f>
        <v/>
      </c>
      <c r="N5675" s="21">
        <f>0</f>
        <v/>
      </c>
      <c r="O5675" s="21">
        <f>2*$B$5339</f>
        <v/>
      </c>
      <c r="P5675" s="21">
        <f>-$B$5338</f>
        <v/>
      </c>
      <c r="Q5675" s="21">
        <f>$B$5340</f>
        <v/>
      </c>
      <c r="R5675" s="21" t="n">
        <v>0</v>
      </c>
      <c r="S5675" s="21" t="n">
        <v>0</v>
      </c>
      <c r="T5675" s="21" t="n">
        <v>0</v>
      </c>
      <c r="U5675" s="21" t="n">
        <v>0</v>
      </c>
      <c r="V5675" s="21" t="n">
        <v>0</v>
      </c>
      <c r="W5675" s="21" t="n">
        <v>0</v>
      </c>
      <c r="X5675" s="21" t="n">
        <v>0</v>
      </c>
      <c r="Y5675" s="21" t="n">
        <v>0</v>
      </c>
      <c r="Z5675" s="19" t="n"/>
    </row>
    <row r="5676">
      <c r="D5676" s="21" t="n">
        <v>0</v>
      </c>
      <c r="E5676" s="21" t="n">
        <v>0</v>
      </c>
      <c r="F5676" s="21" t="n">
        <v>0</v>
      </c>
      <c r="G5676" s="21" t="n">
        <v>0</v>
      </c>
      <c r="H5676" s="21" t="n">
        <v>0</v>
      </c>
      <c r="I5676" s="21" t="n">
        <v>0</v>
      </c>
      <c r="J5676" s="21" t="n">
        <v>0</v>
      </c>
      <c r="K5676" s="21" t="n">
        <v>0</v>
      </c>
      <c r="L5676" s="21" t="n">
        <v>0</v>
      </c>
      <c r="M5676" s="21" t="n">
        <v>0</v>
      </c>
      <c r="N5676" s="21">
        <f>-$B$5337</f>
        <v/>
      </c>
      <c r="O5676" s="21">
        <f>-$B$5338</f>
        <v/>
      </c>
      <c r="P5676" s="21">
        <f>2*$B$5337+$D$5658</f>
        <v/>
      </c>
      <c r="Q5676" s="21">
        <f>0</f>
        <v/>
      </c>
      <c r="R5676" s="21">
        <f>-$B$5337</f>
        <v/>
      </c>
      <c r="S5676" s="21">
        <f>$B$5338</f>
        <v/>
      </c>
      <c r="T5676" s="21" t="n">
        <v>0</v>
      </c>
      <c r="U5676" s="21" t="n">
        <v>0</v>
      </c>
      <c r="V5676" s="21" t="n">
        <v>0</v>
      </c>
      <c r="W5676" s="21" t="n">
        <v>0</v>
      </c>
      <c r="X5676" s="21" t="n">
        <v>0</v>
      </c>
      <c r="Y5676" s="21" t="n">
        <v>0</v>
      </c>
      <c r="Z5676" s="19" t="n"/>
    </row>
    <row r="5677">
      <c r="D5677" s="21" t="n">
        <v>0</v>
      </c>
      <c r="E5677" s="21" t="n">
        <v>0</v>
      </c>
      <c r="F5677" s="21" t="n">
        <v>0</v>
      </c>
      <c r="G5677" s="21" t="n">
        <v>0</v>
      </c>
      <c r="H5677" s="21" t="n">
        <v>0</v>
      </c>
      <c r="I5677" s="21" t="n">
        <v>0</v>
      </c>
      <c r="J5677" s="21" t="n">
        <v>0</v>
      </c>
      <c r="K5677" s="21" t="n">
        <v>0</v>
      </c>
      <c r="L5677" s="21" t="n">
        <v>0</v>
      </c>
      <c r="M5677" s="21" t="n">
        <v>0</v>
      </c>
      <c r="N5677" s="21">
        <f>$B$5338</f>
        <v/>
      </c>
      <c r="O5677" s="21">
        <f>$B$5340</f>
        <v/>
      </c>
      <c r="P5677" s="21">
        <f>0</f>
        <v/>
      </c>
      <c r="Q5677" s="21">
        <f>2*$B$5339</f>
        <v/>
      </c>
      <c r="R5677" s="21">
        <f>-$B$5338</f>
        <v/>
      </c>
      <c r="S5677" s="21">
        <f>$B$5340</f>
        <v/>
      </c>
      <c r="T5677" s="21" t="n">
        <v>0</v>
      </c>
      <c r="U5677" s="21" t="n">
        <v>0</v>
      </c>
      <c r="V5677" s="21" t="n">
        <v>0</v>
      </c>
      <c r="W5677" s="21" t="n">
        <v>0</v>
      </c>
      <c r="X5677" s="21" t="n">
        <v>0</v>
      </c>
      <c r="Y5677" s="21" t="n">
        <v>0</v>
      </c>
      <c r="Z5677" s="19" t="n"/>
    </row>
    <row r="5678">
      <c r="D5678" s="21" t="n">
        <v>0</v>
      </c>
      <c r="E5678" s="21" t="n">
        <v>0</v>
      </c>
      <c r="F5678" s="21" t="n">
        <v>0</v>
      </c>
      <c r="G5678" s="21" t="n">
        <v>0</v>
      </c>
      <c r="H5678" s="21" t="n">
        <v>0</v>
      </c>
      <c r="I5678" s="21" t="n">
        <v>0</v>
      </c>
      <c r="J5678" s="21" t="n">
        <v>0</v>
      </c>
      <c r="K5678" s="21" t="n">
        <v>0</v>
      </c>
      <c r="L5678" s="21" t="n">
        <v>0</v>
      </c>
      <c r="M5678" s="21" t="n">
        <v>0</v>
      </c>
      <c r="N5678" s="21" t="n">
        <v>0</v>
      </c>
      <c r="O5678" s="21" t="n">
        <v>0</v>
      </c>
      <c r="P5678" s="21">
        <f>-$B$5337</f>
        <v/>
      </c>
      <c r="Q5678" s="21">
        <f>-$B$5338</f>
        <v/>
      </c>
      <c r="R5678" s="21">
        <f>2*$B$5337+$D$5659</f>
        <v/>
      </c>
      <c r="S5678" s="21">
        <f>0</f>
        <v/>
      </c>
      <c r="T5678" s="21">
        <f>-$B$5337</f>
        <v/>
      </c>
      <c r="U5678" s="21">
        <f>$B$5338</f>
        <v/>
      </c>
      <c r="V5678" s="21" t="n">
        <v>0</v>
      </c>
      <c r="W5678" s="21" t="n">
        <v>0</v>
      </c>
      <c r="X5678" s="21" t="n">
        <v>0</v>
      </c>
      <c r="Y5678" s="21" t="n">
        <v>0</v>
      </c>
      <c r="Z5678" s="19" t="n"/>
    </row>
    <row r="5679">
      <c r="D5679" s="21" t="n">
        <v>0</v>
      </c>
      <c r="E5679" s="21" t="n">
        <v>0</v>
      </c>
      <c r="F5679" s="21" t="n">
        <v>0</v>
      </c>
      <c r="G5679" s="21" t="n">
        <v>0</v>
      </c>
      <c r="H5679" s="21" t="n">
        <v>0</v>
      </c>
      <c r="I5679" s="21" t="n">
        <v>0</v>
      </c>
      <c r="J5679" s="21" t="n">
        <v>0</v>
      </c>
      <c r="K5679" s="21" t="n">
        <v>0</v>
      </c>
      <c r="L5679" s="21" t="n">
        <v>0</v>
      </c>
      <c r="M5679" s="21" t="n">
        <v>0</v>
      </c>
      <c r="N5679" s="21" t="n">
        <v>0</v>
      </c>
      <c r="O5679" s="21" t="n">
        <v>0</v>
      </c>
      <c r="P5679" s="21">
        <f>$B$5338</f>
        <v/>
      </c>
      <c r="Q5679" s="21">
        <f>$B$5340</f>
        <v/>
      </c>
      <c r="R5679" s="21">
        <f>0</f>
        <v/>
      </c>
      <c r="S5679" s="21">
        <f>2*$B$5339</f>
        <v/>
      </c>
      <c r="T5679" s="21">
        <f>-$B$5338</f>
        <v/>
      </c>
      <c r="U5679" s="21">
        <f>$B$5340</f>
        <v/>
      </c>
      <c r="V5679" s="21" t="n">
        <v>0</v>
      </c>
      <c r="W5679" s="21" t="n">
        <v>0</v>
      </c>
      <c r="X5679" s="21" t="n">
        <v>0</v>
      </c>
      <c r="Y5679" s="21" t="n">
        <v>0</v>
      </c>
      <c r="Z5679" s="19" t="n"/>
    </row>
    <row r="5680">
      <c r="D5680" s="21" t="n">
        <v>0</v>
      </c>
      <c r="E5680" s="21" t="n">
        <v>0</v>
      </c>
      <c r="F5680" s="21" t="n">
        <v>0</v>
      </c>
      <c r="G5680" s="21" t="n">
        <v>0</v>
      </c>
      <c r="H5680" s="21" t="n">
        <v>0</v>
      </c>
      <c r="I5680" s="21" t="n">
        <v>0</v>
      </c>
      <c r="J5680" s="21" t="n">
        <v>0</v>
      </c>
      <c r="K5680" s="21" t="n">
        <v>0</v>
      </c>
      <c r="L5680" s="21" t="n">
        <v>0</v>
      </c>
      <c r="M5680" s="21" t="n">
        <v>0</v>
      </c>
      <c r="N5680" s="21" t="n">
        <v>0</v>
      </c>
      <c r="O5680" s="21" t="n">
        <v>0</v>
      </c>
      <c r="P5680" s="21" t="n">
        <v>0</v>
      </c>
      <c r="Q5680" s="21" t="n">
        <v>0</v>
      </c>
      <c r="R5680" s="21">
        <f>-$B$5337</f>
        <v/>
      </c>
      <c r="S5680" s="21">
        <f>-$B$5338</f>
        <v/>
      </c>
      <c r="T5680" s="21">
        <f>2*$B$5337+$D$5660</f>
        <v/>
      </c>
      <c r="U5680" s="21">
        <f>0</f>
        <v/>
      </c>
      <c r="V5680" s="21">
        <f>-$B$5337</f>
        <v/>
      </c>
      <c r="W5680" s="21">
        <f>$B$5338</f>
        <v/>
      </c>
      <c r="X5680" s="21" t="n">
        <v>0</v>
      </c>
      <c r="Y5680" s="21" t="n">
        <v>0</v>
      </c>
      <c r="Z5680" s="19" t="n"/>
    </row>
    <row r="5681">
      <c r="D5681" s="21" t="n">
        <v>0</v>
      </c>
      <c r="E5681" s="21" t="n">
        <v>0</v>
      </c>
      <c r="F5681" s="21" t="n">
        <v>0</v>
      </c>
      <c r="G5681" s="21" t="n">
        <v>0</v>
      </c>
      <c r="H5681" s="21" t="n">
        <v>0</v>
      </c>
      <c r="I5681" s="21" t="n">
        <v>0</v>
      </c>
      <c r="J5681" s="21" t="n">
        <v>0</v>
      </c>
      <c r="K5681" s="21" t="n">
        <v>0</v>
      </c>
      <c r="L5681" s="21" t="n">
        <v>0</v>
      </c>
      <c r="M5681" s="21" t="n">
        <v>0</v>
      </c>
      <c r="N5681" s="21" t="n">
        <v>0</v>
      </c>
      <c r="O5681" s="21" t="n">
        <v>0</v>
      </c>
      <c r="P5681" s="21" t="n">
        <v>0</v>
      </c>
      <c r="Q5681" s="21" t="n">
        <v>0</v>
      </c>
      <c r="R5681" s="21">
        <f>$B$5338</f>
        <v/>
      </c>
      <c r="S5681" s="21">
        <f>$B$5340</f>
        <v/>
      </c>
      <c r="T5681" s="21">
        <f>0</f>
        <v/>
      </c>
      <c r="U5681" s="21">
        <f>2*$B$5339</f>
        <v/>
      </c>
      <c r="V5681" s="21">
        <f>-$B$5338</f>
        <v/>
      </c>
      <c r="W5681" s="21">
        <f>$B$5340</f>
        <v/>
      </c>
      <c r="X5681" s="21" t="n">
        <v>0</v>
      </c>
      <c r="Y5681" s="21" t="n">
        <v>0</v>
      </c>
      <c r="Z5681" s="19" t="n"/>
    </row>
    <row r="5682">
      <c r="D5682" s="21" t="n">
        <v>0</v>
      </c>
      <c r="E5682" s="21" t="n">
        <v>0</v>
      </c>
      <c r="F5682" s="21" t="n">
        <v>0</v>
      </c>
      <c r="G5682" s="21" t="n">
        <v>0</v>
      </c>
      <c r="H5682" s="21" t="n">
        <v>0</v>
      </c>
      <c r="I5682" s="21" t="n">
        <v>0</v>
      </c>
      <c r="J5682" s="21" t="n">
        <v>0</v>
      </c>
      <c r="K5682" s="21" t="n">
        <v>0</v>
      </c>
      <c r="L5682" s="21" t="n">
        <v>0</v>
      </c>
      <c r="M5682" s="21" t="n">
        <v>0</v>
      </c>
      <c r="N5682" s="21" t="n">
        <v>0</v>
      </c>
      <c r="O5682" s="21" t="n">
        <v>0</v>
      </c>
      <c r="P5682" s="21" t="n">
        <v>0</v>
      </c>
      <c r="Q5682" s="21" t="n">
        <v>0</v>
      </c>
      <c r="R5682" s="21" t="n">
        <v>0</v>
      </c>
      <c r="S5682" s="21" t="n">
        <v>0</v>
      </c>
      <c r="T5682" s="21">
        <f>-$B$5337</f>
        <v/>
      </c>
      <c r="U5682" s="21">
        <f>-$B$5338</f>
        <v/>
      </c>
      <c r="V5682" s="21">
        <f>2*$B$5337+$D$5661</f>
        <v/>
      </c>
      <c r="W5682" s="21">
        <f>0</f>
        <v/>
      </c>
      <c r="X5682" s="21">
        <f>-$B$5337</f>
        <v/>
      </c>
      <c r="Y5682" s="21">
        <f>$B$5338</f>
        <v/>
      </c>
      <c r="Z5682" s="19" t="n"/>
    </row>
    <row r="5683">
      <c r="D5683" s="21" t="n">
        <v>0</v>
      </c>
      <c r="E5683" s="21" t="n">
        <v>0</v>
      </c>
      <c r="F5683" s="21" t="n">
        <v>0</v>
      </c>
      <c r="G5683" s="21" t="n">
        <v>0</v>
      </c>
      <c r="H5683" s="21" t="n">
        <v>0</v>
      </c>
      <c r="I5683" s="21" t="n">
        <v>0</v>
      </c>
      <c r="J5683" s="21" t="n">
        <v>0</v>
      </c>
      <c r="K5683" s="21" t="n">
        <v>0</v>
      </c>
      <c r="L5683" s="21" t="n">
        <v>0</v>
      </c>
      <c r="M5683" s="21" t="n">
        <v>0</v>
      </c>
      <c r="N5683" s="21" t="n">
        <v>0</v>
      </c>
      <c r="O5683" s="21" t="n">
        <v>0</v>
      </c>
      <c r="P5683" s="21" t="n">
        <v>0</v>
      </c>
      <c r="Q5683" s="21" t="n">
        <v>0</v>
      </c>
      <c r="R5683" s="21" t="n">
        <v>0</v>
      </c>
      <c r="S5683" s="21" t="n">
        <v>0</v>
      </c>
      <c r="T5683" s="21">
        <f>$B$5338</f>
        <v/>
      </c>
      <c r="U5683" s="21">
        <f>$B$5340</f>
        <v/>
      </c>
      <c r="V5683" s="21">
        <f>0</f>
        <v/>
      </c>
      <c r="W5683" s="21">
        <f>2*$B$5339</f>
        <v/>
      </c>
      <c r="X5683" s="21">
        <f>-$B$5338</f>
        <v/>
      </c>
      <c r="Y5683" s="21">
        <f>$B$5340</f>
        <v/>
      </c>
      <c r="Z5683" s="19" t="n"/>
    </row>
    <row r="5684">
      <c r="D5684" s="21" t="n">
        <v>0</v>
      </c>
      <c r="E5684" s="21" t="n">
        <v>0</v>
      </c>
      <c r="F5684" s="21" t="n">
        <v>0</v>
      </c>
      <c r="G5684" s="21" t="n">
        <v>0</v>
      </c>
      <c r="H5684" s="21" t="n">
        <v>0</v>
      </c>
      <c r="I5684" s="21" t="n">
        <v>0</v>
      </c>
      <c r="J5684" s="21" t="n">
        <v>0</v>
      </c>
      <c r="K5684" s="21" t="n">
        <v>0</v>
      </c>
      <c r="L5684" s="21" t="n">
        <v>0</v>
      </c>
      <c r="M5684" s="21" t="n">
        <v>0</v>
      </c>
      <c r="N5684" s="21" t="n">
        <v>0</v>
      </c>
      <c r="O5684" s="21" t="n">
        <v>0</v>
      </c>
      <c r="P5684" s="21" t="n">
        <v>0</v>
      </c>
      <c r="Q5684" s="21" t="n">
        <v>0</v>
      </c>
      <c r="R5684" s="21" t="n">
        <v>0</v>
      </c>
      <c r="S5684" s="21" t="n">
        <v>0</v>
      </c>
      <c r="T5684" s="21" t="n">
        <v>0</v>
      </c>
      <c r="U5684" s="21" t="n">
        <v>0</v>
      </c>
      <c r="V5684" s="21">
        <f>-$B$5337</f>
        <v/>
      </c>
      <c r="W5684" s="21">
        <f>-$B$5338</f>
        <v/>
      </c>
      <c r="X5684" s="21">
        <f>$B$5337+$D$5662</f>
        <v/>
      </c>
      <c r="Y5684" s="21">
        <f>-$B$5338</f>
        <v/>
      </c>
      <c r="Z5684" s="19" t="n"/>
    </row>
    <row r="5685">
      <c r="D5685" s="21" t="n">
        <v>0</v>
      </c>
      <c r="E5685" s="21" t="n">
        <v>0</v>
      </c>
      <c r="F5685" s="21" t="n">
        <v>0</v>
      </c>
      <c r="G5685" s="21" t="n">
        <v>0</v>
      </c>
      <c r="H5685" s="21" t="n">
        <v>0</v>
      </c>
      <c r="I5685" s="21" t="n">
        <v>0</v>
      </c>
      <c r="J5685" s="21" t="n">
        <v>0</v>
      </c>
      <c r="K5685" s="21" t="n">
        <v>0</v>
      </c>
      <c r="L5685" s="21" t="n">
        <v>0</v>
      </c>
      <c r="M5685" s="21" t="n">
        <v>0</v>
      </c>
      <c r="N5685" s="21" t="n">
        <v>0</v>
      </c>
      <c r="O5685" s="21" t="n">
        <v>0</v>
      </c>
      <c r="P5685" s="21" t="n">
        <v>0</v>
      </c>
      <c r="Q5685" s="21" t="n">
        <v>0</v>
      </c>
      <c r="R5685" s="21" t="n">
        <v>0</v>
      </c>
      <c r="S5685" s="21" t="n">
        <v>0</v>
      </c>
      <c r="T5685" s="21" t="n">
        <v>0</v>
      </c>
      <c r="U5685" s="21" t="n">
        <v>0</v>
      </c>
      <c r="V5685" s="21">
        <f>$B$5338</f>
        <v/>
      </c>
      <c r="W5685" s="21">
        <f>$B$5340</f>
        <v/>
      </c>
      <c r="X5685" s="21">
        <f>-$B$5338</f>
        <v/>
      </c>
      <c r="Y5685" s="21">
        <f>$B$5339</f>
        <v/>
      </c>
      <c r="Z5685" s="19" t="n"/>
    </row>
    <row r="5687">
      <c r="A5687" s="8" t="inlineStr">
        <is>
          <t>gen 9</t>
        </is>
      </c>
    </row>
    <row r="5688">
      <c r="D5688" s="19">
        <f>IF(ABS(IF(ABS($E$5652)&gt;0.000000001,$E$5652,0.000000001))=0,0,IF($E$5352&lt;=$B$5346,0,IF(ABS(IF(ABS($E$5652)&gt;0.000000001,$E$5652,0.000000001))&gt;=8*$B$5348,$H$5352,0.5*$H$5352*(ABS(IF(ABS($E$5652)&gt;0.000000001,$E$5652,0.000000001))/$B$5348)^(1/3)))/ABS(IF(ABS($E$5652)&gt;0.000000001,$E$5652,0.000000001))*$I$5352)</f>
        <v/>
      </c>
      <c r="E5688" s="19">
        <f>0.5*$E$5652+0.5*$Z$5700</f>
        <v/>
      </c>
      <c r="F5688" s="19">
        <f>$Z$5701</f>
        <v/>
      </c>
    </row>
    <row r="5689">
      <c r="D5689" s="19">
        <f>IF(ABS(IF(ABS($E$5653)&gt;0.000000001,$E$5653,0.000000001))=0,0,IF($E$5353&lt;=$B$5346,0,IF(ABS(IF(ABS($E$5653)&gt;0.000000001,$E$5653,0.000000001))&gt;=8*$B$5348,$H$5353,0.5*$H$5353*(ABS(IF(ABS($E$5653)&gt;0.000000001,$E$5653,0.000000001))/$B$5348)^(1/3)))/ABS(IF(ABS($E$5653)&gt;0.000000001,$E$5653,0.000000001))*$I$5353)</f>
        <v/>
      </c>
      <c r="E5689" s="19">
        <f>0.5*$E$5653+0.5*$Z$5702</f>
        <v/>
      </c>
      <c r="F5689" s="19">
        <f>$Z$5703</f>
        <v/>
      </c>
    </row>
    <row r="5690">
      <c r="D5690" s="19">
        <f>IF(ABS(IF(ABS($E$5654)&gt;0.000000001,$E$5654,0.000000001))=0,0,IF($E$5354&lt;=$B$5346,0,IF(ABS(IF(ABS($E$5654)&gt;0.000000001,$E$5654,0.000000001))&gt;=8*$B$5348,$H$5354,0.5*$H$5354*(ABS(IF(ABS($E$5654)&gt;0.000000001,$E$5654,0.000000001))/$B$5348)^(1/3)))/ABS(IF(ABS($E$5654)&gt;0.000000001,$E$5654,0.000000001))*$I$5354)</f>
        <v/>
      </c>
      <c r="E5690" s="19">
        <f>0.5*$E$5654+0.5*$Z$5704</f>
        <v/>
      </c>
      <c r="F5690" s="19">
        <f>$Z$5705</f>
        <v/>
      </c>
    </row>
    <row r="5691">
      <c r="D5691" s="19">
        <f>IF(ABS(IF(ABS($E$5655)&gt;0.000000001,$E$5655,0.000000001))=0,0,IF($E$5355&lt;=$B$5346,0,IF(ABS(IF(ABS($E$5655)&gt;0.000000001,$E$5655,0.000000001))&gt;=8*$B$5348,$H$5355,0.5*$H$5355*(ABS(IF(ABS($E$5655)&gt;0.000000001,$E$5655,0.000000001))/$B$5348)^(1/3)))/ABS(IF(ABS($E$5655)&gt;0.000000001,$E$5655,0.000000001))*$I$5355)</f>
        <v/>
      </c>
      <c r="E5691" s="19">
        <f>0.5*$E$5655+0.5*$Z$5706</f>
        <v/>
      </c>
      <c r="F5691" s="19">
        <f>$Z$5707</f>
        <v/>
      </c>
    </row>
    <row r="5692">
      <c r="D5692" s="19">
        <f>IF(ABS(IF(ABS($E$5656)&gt;0.000000001,$E$5656,0.000000001))=0,0,IF($E$5356&lt;=$B$5346,0,IF(ABS(IF(ABS($E$5656)&gt;0.000000001,$E$5656,0.000000001))&gt;=8*$B$5348,$H$5356,0.5*$H$5356*(ABS(IF(ABS($E$5656)&gt;0.000000001,$E$5656,0.000000001))/$B$5348)^(1/3)))/ABS(IF(ABS($E$5656)&gt;0.000000001,$E$5656,0.000000001))*$I$5356)</f>
        <v/>
      </c>
      <c r="E5692" s="19">
        <f>0.5*$E$5656+0.5*$Z$5708</f>
        <v/>
      </c>
      <c r="F5692" s="19">
        <f>$Z$5709</f>
        <v/>
      </c>
    </row>
    <row r="5693">
      <c r="D5693" s="19">
        <f>IF(ABS(IF(ABS($E$5657)&gt;0.000000001,$E$5657,0.000000001))=0,0,IF($E$5357&lt;=$B$5346,0,IF(ABS(IF(ABS($E$5657)&gt;0.000000001,$E$5657,0.000000001))&gt;=8*$B$5348,$H$5357,0.5*$H$5357*(ABS(IF(ABS($E$5657)&gt;0.000000001,$E$5657,0.000000001))/$B$5348)^(1/3)))/ABS(IF(ABS($E$5657)&gt;0.000000001,$E$5657,0.000000001))*$I$5357)</f>
        <v/>
      </c>
      <c r="E5693" s="19">
        <f>0.5*$E$5657+0.5*$Z$5710</f>
        <v/>
      </c>
      <c r="F5693" s="19">
        <f>$Z$5711</f>
        <v/>
      </c>
    </row>
    <row r="5694">
      <c r="D5694" s="19">
        <f>IF(ABS(IF(ABS($E$5658)&gt;0.000000001,$E$5658,0.000000001))=0,0,IF($E$5358&lt;=$B$5346,0,IF(ABS(IF(ABS($E$5658)&gt;0.000000001,$E$5658,0.000000001))&gt;=8*$B$5348,$H$5358,0.5*$H$5358*(ABS(IF(ABS($E$5658)&gt;0.000000001,$E$5658,0.000000001))/$B$5348)^(1/3)))/ABS(IF(ABS($E$5658)&gt;0.000000001,$E$5658,0.000000001))*$I$5358)</f>
        <v/>
      </c>
      <c r="E5694" s="19">
        <f>0.5*$E$5658+0.5*$Z$5712</f>
        <v/>
      </c>
      <c r="F5694" s="19">
        <f>$Z$5713</f>
        <v/>
      </c>
    </row>
    <row r="5695">
      <c r="D5695" s="19">
        <f>IF(ABS(IF(ABS($E$5659)&gt;0.000000001,$E$5659,0.000000001))=0,0,IF($E$5359&lt;=$B$5346,0,IF(ABS(IF(ABS($E$5659)&gt;0.000000001,$E$5659,0.000000001))&gt;=8*$B$5348,$H$5359,0.5*$H$5359*(ABS(IF(ABS($E$5659)&gt;0.000000001,$E$5659,0.000000001))/$B$5348)^(1/3)))/ABS(IF(ABS($E$5659)&gt;0.000000001,$E$5659,0.000000001))*$I$5359)</f>
        <v/>
      </c>
      <c r="E5695" s="19">
        <f>0.5*$E$5659+0.5*$Z$5714</f>
        <v/>
      </c>
      <c r="F5695" s="19">
        <f>$Z$5715</f>
        <v/>
      </c>
    </row>
    <row r="5696">
      <c r="D5696" s="19">
        <f>IF(ABS(IF(ABS($E$5660)&gt;0.000000001,$E$5660,0.000000001))=0,0,IF($E$5360&lt;=$B$5346,0,IF(ABS(IF(ABS($E$5660)&gt;0.000000001,$E$5660,0.000000001))&gt;=8*$B$5348,$H$5360,0.5*$H$5360*(ABS(IF(ABS($E$5660)&gt;0.000000001,$E$5660,0.000000001))/$B$5348)^(1/3)))/ABS(IF(ABS($E$5660)&gt;0.000000001,$E$5660,0.000000001))*$I$5360)</f>
        <v/>
      </c>
      <c r="E5696" s="19">
        <f>0.5*$E$5660+0.5*$Z$5716</f>
        <v/>
      </c>
      <c r="F5696" s="19">
        <f>$Z$5717</f>
        <v/>
      </c>
    </row>
    <row r="5697">
      <c r="D5697" s="19">
        <f>IF(ABS(IF(ABS($E$5661)&gt;0.000000001,$E$5661,0.000000001))=0,0,IF($E$5361&lt;=$B$5346,0,IF(ABS(IF(ABS($E$5661)&gt;0.000000001,$E$5661,0.000000001))&gt;=8*$B$5348,$H$5361,0.5*$H$5361*(ABS(IF(ABS($E$5661)&gt;0.000000001,$E$5661,0.000000001))/$B$5348)^(1/3)))/ABS(IF(ABS($E$5661)&gt;0.000000001,$E$5661,0.000000001))*$I$5361)</f>
        <v/>
      </c>
      <c r="E5697" s="19">
        <f>0.5*$E$5661+0.5*$Z$5718</f>
        <v/>
      </c>
      <c r="F5697" s="19">
        <f>$Z$5719</f>
        <v/>
      </c>
    </row>
    <row r="5698">
      <c r="D5698" s="19">
        <f>IF(ABS(IF(ABS($E$5662)&gt;0.000000001,$E$5662,0.000000001))=0,0,IF($E$5362&lt;=$B$5346,0,IF(ABS(IF(ABS($E$5662)&gt;0.000000001,$E$5662,0.000000001))&gt;=8*$B$5348,$H$5362,0.5*$H$5362*(ABS(IF(ABS($E$5662)&gt;0.000000001,$E$5662,0.000000001))/$B$5348)^(1/3)))/ABS(IF(ABS($E$5662)&gt;0.000000001,$E$5662,0.000000001))*$I$5362)</f>
        <v/>
      </c>
      <c r="E5698" s="19">
        <f>0.5*$E$5662+0.5*$Z$5720</f>
        <v/>
      </c>
      <c r="F5698" s="19">
        <f>$Z$5721</f>
        <v/>
      </c>
    </row>
    <row r="5700">
      <c r="D5700" s="21">
        <f>$B$5337+$D$5688</f>
        <v/>
      </c>
      <c r="E5700" s="21">
        <f>$B$5338</f>
        <v/>
      </c>
      <c r="F5700" s="21">
        <f>-$B$5337</f>
        <v/>
      </c>
      <c r="G5700" s="21">
        <f>$B$5338</f>
        <v/>
      </c>
      <c r="H5700" s="21" t="n">
        <v>0</v>
      </c>
      <c r="I5700" s="21" t="n">
        <v>0</v>
      </c>
      <c r="J5700" s="21" t="n">
        <v>0</v>
      </c>
      <c r="K5700" s="21" t="n">
        <v>0</v>
      </c>
      <c r="L5700" s="21" t="n">
        <v>0</v>
      </c>
      <c r="M5700" s="21" t="n">
        <v>0</v>
      </c>
      <c r="N5700" s="21" t="n">
        <v>0</v>
      </c>
      <c r="O5700" s="21" t="n">
        <v>0</v>
      </c>
      <c r="P5700" s="21" t="n">
        <v>0</v>
      </c>
      <c r="Q5700" s="21" t="n">
        <v>0</v>
      </c>
      <c r="R5700" s="21" t="n">
        <v>0</v>
      </c>
      <c r="S5700" s="21" t="n">
        <v>0</v>
      </c>
      <c r="T5700" s="21" t="n">
        <v>0</v>
      </c>
      <c r="U5700" s="21" t="n">
        <v>0</v>
      </c>
      <c r="V5700" s="21" t="n">
        <v>0</v>
      </c>
      <c r="W5700" s="21" t="n">
        <v>0</v>
      </c>
      <c r="X5700" s="21" t="n">
        <v>0</v>
      </c>
      <c r="Y5700" s="21" t="n">
        <v>0</v>
      </c>
      <c r="Z5700" s="19">
        <f t="array" ref="Z5700:Z5721">MMULT(MINVERSE($D$5700:$Y$5721),$D$5364:$D$5385)</f>
        <v/>
      </c>
    </row>
    <row r="5701">
      <c r="D5701" s="21">
        <f>$B$5338</f>
        <v/>
      </c>
      <c r="E5701" s="21">
        <f>$B$5339</f>
        <v/>
      </c>
      <c r="F5701" s="21">
        <f>-$B$5338</f>
        <v/>
      </c>
      <c r="G5701" s="21">
        <f>$B$5340</f>
        <v/>
      </c>
      <c r="H5701" s="21" t="n">
        <v>0</v>
      </c>
      <c r="I5701" s="21" t="n">
        <v>0</v>
      </c>
      <c r="J5701" s="21" t="n">
        <v>0</v>
      </c>
      <c r="K5701" s="21" t="n">
        <v>0</v>
      </c>
      <c r="L5701" s="21" t="n">
        <v>0</v>
      </c>
      <c r="M5701" s="21" t="n">
        <v>0</v>
      </c>
      <c r="N5701" s="21" t="n">
        <v>0</v>
      </c>
      <c r="O5701" s="21" t="n">
        <v>0</v>
      </c>
      <c r="P5701" s="21" t="n">
        <v>0</v>
      </c>
      <c r="Q5701" s="21" t="n">
        <v>0</v>
      </c>
      <c r="R5701" s="21" t="n">
        <v>0</v>
      </c>
      <c r="S5701" s="21" t="n">
        <v>0</v>
      </c>
      <c r="T5701" s="21" t="n">
        <v>0</v>
      </c>
      <c r="U5701" s="21" t="n">
        <v>0</v>
      </c>
      <c r="V5701" s="21" t="n">
        <v>0</v>
      </c>
      <c r="W5701" s="21" t="n">
        <v>0</v>
      </c>
      <c r="X5701" s="21" t="n">
        <v>0</v>
      </c>
      <c r="Y5701" s="21" t="n">
        <v>0</v>
      </c>
      <c r="Z5701" s="19" t="n"/>
    </row>
    <row r="5702">
      <c r="D5702" s="21">
        <f>-$B$5337</f>
        <v/>
      </c>
      <c r="E5702" s="21">
        <f>-$B$5338</f>
        <v/>
      </c>
      <c r="F5702" s="21">
        <f>2*$B$5337+$D$5689</f>
        <v/>
      </c>
      <c r="G5702" s="21">
        <f>0</f>
        <v/>
      </c>
      <c r="H5702" s="21">
        <f>-$B$5337</f>
        <v/>
      </c>
      <c r="I5702" s="21">
        <f>$B$5338</f>
        <v/>
      </c>
      <c r="J5702" s="21" t="n">
        <v>0</v>
      </c>
      <c r="K5702" s="21" t="n">
        <v>0</v>
      </c>
      <c r="L5702" s="21" t="n">
        <v>0</v>
      </c>
      <c r="M5702" s="21" t="n">
        <v>0</v>
      </c>
      <c r="N5702" s="21" t="n">
        <v>0</v>
      </c>
      <c r="O5702" s="21" t="n">
        <v>0</v>
      </c>
      <c r="P5702" s="21" t="n">
        <v>0</v>
      </c>
      <c r="Q5702" s="21" t="n">
        <v>0</v>
      </c>
      <c r="R5702" s="21" t="n">
        <v>0</v>
      </c>
      <c r="S5702" s="21" t="n">
        <v>0</v>
      </c>
      <c r="T5702" s="21" t="n">
        <v>0</v>
      </c>
      <c r="U5702" s="21" t="n">
        <v>0</v>
      </c>
      <c r="V5702" s="21" t="n">
        <v>0</v>
      </c>
      <c r="W5702" s="21" t="n">
        <v>0</v>
      </c>
      <c r="X5702" s="21" t="n">
        <v>0</v>
      </c>
      <c r="Y5702" s="21" t="n">
        <v>0</v>
      </c>
      <c r="Z5702" s="19" t="n"/>
    </row>
    <row r="5703">
      <c r="D5703" s="21">
        <f>$B$5338</f>
        <v/>
      </c>
      <c r="E5703" s="21">
        <f>$B$5340</f>
        <v/>
      </c>
      <c r="F5703" s="21">
        <f>0</f>
        <v/>
      </c>
      <c r="G5703" s="21">
        <f>2*$B$5339</f>
        <v/>
      </c>
      <c r="H5703" s="21">
        <f>-$B$5338</f>
        <v/>
      </c>
      <c r="I5703" s="21">
        <f>$B$5340</f>
        <v/>
      </c>
      <c r="J5703" s="21" t="n">
        <v>0</v>
      </c>
      <c r="K5703" s="21" t="n">
        <v>0</v>
      </c>
      <c r="L5703" s="21" t="n">
        <v>0</v>
      </c>
      <c r="M5703" s="21" t="n">
        <v>0</v>
      </c>
      <c r="N5703" s="21" t="n">
        <v>0</v>
      </c>
      <c r="O5703" s="21" t="n">
        <v>0</v>
      </c>
      <c r="P5703" s="21" t="n">
        <v>0</v>
      </c>
      <c r="Q5703" s="21" t="n">
        <v>0</v>
      </c>
      <c r="R5703" s="21" t="n">
        <v>0</v>
      </c>
      <c r="S5703" s="21" t="n">
        <v>0</v>
      </c>
      <c r="T5703" s="21" t="n">
        <v>0</v>
      </c>
      <c r="U5703" s="21" t="n">
        <v>0</v>
      </c>
      <c r="V5703" s="21" t="n">
        <v>0</v>
      </c>
      <c r="W5703" s="21" t="n">
        <v>0</v>
      </c>
      <c r="X5703" s="21" t="n">
        <v>0</v>
      </c>
      <c r="Y5703" s="21" t="n">
        <v>0</v>
      </c>
      <c r="Z5703" s="19" t="n"/>
    </row>
    <row r="5704">
      <c r="D5704" s="21" t="n">
        <v>0</v>
      </c>
      <c r="E5704" s="21" t="n">
        <v>0</v>
      </c>
      <c r="F5704" s="21">
        <f>-$B$5337</f>
        <v/>
      </c>
      <c r="G5704" s="21">
        <f>-$B$5338</f>
        <v/>
      </c>
      <c r="H5704" s="21">
        <f>2*$B$5337+$D$5690</f>
        <v/>
      </c>
      <c r="I5704" s="21">
        <f>0</f>
        <v/>
      </c>
      <c r="J5704" s="21">
        <f>-$B$5337</f>
        <v/>
      </c>
      <c r="K5704" s="21">
        <f>$B$5338</f>
        <v/>
      </c>
      <c r="L5704" s="21" t="n">
        <v>0</v>
      </c>
      <c r="M5704" s="21" t="n">
        <v>0</v>
      </c>
      <c r="N5704" s="21" t="n">
        <v>0</v>
      </c>
      <c r="O5704" s="21" t="n">
        <v>0</v>
      </c>
      <c r="P5704" s="21" t="n">
        <v>0</v>
      </c>
      <c r="Q5704" s="21" t="n">
        <v>0</v>
      </c>
      <c r="R5704" s="21" t="n">
        <v>0</v>
      </c>
      <c r="S5704" s="21" t="n">
        <v>0</v>
      </c>
      <c r="T5704" s="21" t="n">
        <v>0</v>
      </c>
      <c r="U5704" s="21" t="n">
        <v>0</v>
      </c>
      <c r="V5704" s="21" t="n">
        <v>0</v>
      </c>
      <c r="W5704" s="21" t="n">
        <v>0</v>
      </c>
      <c r="X5704" s="21" t="n">
        <v>0</v>
      </c>
      <c r="Y5704" s="21" t="n">
        <v>0</v>
      </c>
      <c r="Z5704" s="19" t="n"/>
    </row>
    <row r="5705">
      <c r="D5705" s="21" t="n">
        <v>0</v>
      </c>
      <c r="E5705" s="21" t="n">
        <v>0</v>
      </c>
      <c r="F5705" s="21">
        <f>$B$5338</f>
        <v/>
      </c>
      <c r="G5705" s="21">
        <f>$B$5340</f>
        <v/>
      </c>
      <c r="H5705" s="21">
        <f>0</f>
        <v/>
      </c>
      <c r="I5705" s="21">
        <f>2*$B$5339</f>
        <v/>
      </c>
      <c r="J5705" s="21">
        <f>-$B$5338</f>
        <v/>
      </c>
      <c r="K5705" s="21">
        <f>$B$5340</f>
        <v/>
      </c>
      <c r="L5705" s="21" t="n">
        <v>0</v>
      </c>
      <c r="M5705" s="21" t="n">
        <v>0</v>
      </c>
      <c r="N5705" s="21" t="n">
        <v>0</v>
      </c>
      <c r="O5705" s="21" t="n">
        <v>0</v>
      </c>
      <c r="P5705" s="21" t="n">
        <v>0</v>
      </c>
      <c r="Q5705" s="21" t="n">
        <v>0</v>
      </c>
      <c r="R5705" s="21" t="n">
        <v>0</v>
      </c>
      <c r="S5705" s="21" t="n">
        <v>0</v>
      </c>
      <c r="T5705" s="21" t="n">
        <v>0</v>
      </c>
      <c r="U5705" s="21" t="n">
        <v>0</v>
      </c>
      <c r="V5705" s="21" t="n">
        <v>0</v>
      </c>
      <c r="W5705" s="21" t="n">
        <v>0</v>
      </c>
      <c r="X5705" s="21" t="n">
        <v>0</v>
      </c>
      <c r="Y5705" s="21" t="n">
        <v>0</v>
      </c>
      <c r="Z5705" s="19" t="n"/>
    </row>
    <row r="5706">
      <c r="D5706" s="21" t="n">
        <v>0</v>
      </c>
      <c r="E5706" s="21" t="n">
        <v>0</v>
      </c>
      <c r="F5706" s="21" t="n">
        <v>0</v>
      </c>
      <c r="G5706" s="21" t="n">
        <v>0</v>
      </c>
      <c r="H5706" s="21">
        <f>-$B$5337</f>
        <v/>
      </c>
      <c r="I5706" s="21">
        <f>-$B$5338</f>
        <v/>
      </c>
      <c r="J5706" s="21">
        <f>2*$B$5337+$D$5691</f>
        <v/>
      </c>
      <c r="K5706" s="21">
        <f>0</f>
        <v/>
      </c>
      <c r="L5706" s="21">
        <f>-$B$5337</f>
        <v/>
      </c>
      <c r="M5706" s="21">
        <f>$B$5338</f>
        <v/>
      </c>
      <c r="N5706" s="21" t="n">
        <v>0</v>
      </c>
      <c r="O5706" s="21" t="n">
        <v>0</v>
      </c>
      <c r="P5706" s="21" t="n">
        <v>0</v>
      </c>
      <c r="Q5706" s="21" t="n">
        <v>0</v>
      </c>
      <c r="R5706" s="21" t="n">
        <v>0</v>
      </c>
      <c r="S5706" s="21" t="n">
        <v>0</v>
      </c>
      <c r="T5706" s="21" t="n">
        <v>0</v>
      </c>
      <c r="U5706" s="21" t="n">
        <v>0</v>
      </c>
      <c r="V5706" s="21" t="n">
        <v>0</v>
      </c>
      <c r="W5706" s="21" t="n">
        <v>0</v>
      </c>
      <c r="X5706" s="21" t="n">
        <v>0</v>
      </c>
      <c r="Y5706" s="21" t="n">
        <v>0</v>
      </c>
      <c r="Z5706" s="19" t="n"/>
    </row>
    <row r="5707">
      <c r="D5707" s="21" t="n">
        <v>0</v>
      </c>
      <c r="E5707" s="21" t="n">
        <v>0</v>
      </c>
      <c r="F5707" s="21" t="n">
        <v>0</v>
      </c>
      <c r="G5707" s="21" t="n">
        <v>0</v>
      </c>
      <c r="H5707" s="21">
        <f>$B$5338</f>
        <v/>
      </c>
      <c r="I5707" s="21">
        <f>$B$5340</f>
        <v/>
      </c>
      <c r="J5707" s="21">
        <f>0</f>
        <v/>
      </c>
      <c r="K5707" s="21">
        <f>2*$B$5339</f>
        <v/>
      </c>
      <c r="L5707" s="21">
        <f>-$B$5338</f>
        <v/>
      </c>
      <c r="M5707" s="21">
        <f>$B$5340</f>
        <v/>
      </c>
      <c r="N5707" s="21" t="n">
        <v>0</v>
      </c>
      <c r="O5707" s="21" t="n">
        <v>0</v>
      </c>
      <c r="P5707" s="21" t="n">
        <v>0</v>
      </c>
      <c r="Q5707" s="21" t="n">
        <v>0</v>
      </c>
      <c r="R5707" s="21" t="n">
        <v>0</v>
      </c>
      <c r="S5707" s="21" t="n">
        <v>0</v>
      </c>
      <c r="T5707" s="21" t="n">
        <v>0</v>
      </c>
      <c r="U5707" s="21" t="n">
        <v>0</v>
      </c>
      <c r="V5707" s="21" t="n">
        <v>0</v>
      </c>
      <c r="W5707" s="21" t="n">
        <v>0</v>
      </c>
      <c r="X5707" s="21" t="n">
        <v>0</v>
      </c>
      <c r="Y5707" s="21" t="n">
        <v>0</v>
      </c>
      <c r="Z5707" s="19" t="n"/>
    </row>
    <row r="5708">
      <c r="D5708" s="21" t="n">
        <v>0</v>
      </c>
      <c r="E5708" s="21" t="n">
        <v>0</v>
      </c>
      <c r="F5708" s="21" t="n">
        <v>0</v>
      </c>
      <c r="G5708" s="21" t="n">
        <v>0</v>
      </c>
      <c r="H5708" s="21" t="n">
        <v>0</v>
      </c>
      <c r="I5708" s="21" t="n">
        <v>0</v>
      </c>
      <c r="J5708" s="21">
        <f>-$B$5337</f>
        <v/>
      </c>
      <c r="K5708" s="21">
        <f>-$B$5338</f>
        <v/>
      </c>
      <c r="L5708" s="21">
        <f>2*$B$5337+$D$5692</f>
        <v/>
      </c>
      <c r="M5708" s="21">
        <f>0</f>
        <v/>
      </c>
      <c r="N5708" s="21">
        <f>-$B$5337</f>
        <v/>
      </c>
      <c r="O5708" s="21">
        <f>$B$5338</f>
        <v/>
      </c>
      <c r="P5708" s="21" t="n">
        <v>0</v>
      </c>
      <c r="Q5708" s="21" t="n">
        <v>0</v>
      </c>
      <c r="R5708" s="21" t="n">
        <v>0</v>
      </c>
      <c r="S5708" s="21" t="n">
        <v>0</v>
      </c>
      <c r="T5708" s="21" t="n">
        <v>0</v>
      </c>
      <c r="U5708" s="21" t="n">
        <v>0</v>
      </c>
      <c r="V5708" s="21" t="n">
        <v>0</v>
      </c>
      <c r="W5708" s="21" t="n">
        <v>0</v>
      </c>
      <c r="X5708" s="21" t="n">
        <v>0</v>
      </c>
      <c r="Y5708" s="21" t="n">
        <v>0</v>
      </c>
      <c r="Z5708" s="19" t="n"/>
    </row>
    <row r="5709">
      <c r="D5709" s="21" t="n">
        <v>0</v>
      </c>
      <c r="E5709" s="21" t="n">
        <v>0</v>
      </c>
      <c r="F5709" s="21" t="n">
        <v>0</v>
      </c>
      <c r="G5709" s="21" t="n">
        <v>0</v>
      </c>
      <c r="H5709" s="21" t="n">
        <v>0</v>
      </c>
      <c r="I5709" s="21" t="n">
        <v>0</v>
      </c>
      <c r="J5709" s="21">
        <f>$B$5338</f>
        <v/>
      </c>
      <c r="K5709" s="21">
        <f>$B$5340</f>
        <v/>
      </c>
      <c r="L5709" s="21">
        <f>0</f>
        <v/>
      </c>
      <c r="M5709" s="21">
        <f>2*$B$5339</f>
        <v/>
      </c>
      <c r="N5709" s="21">
        <f>-$B$5338</f>
        <v/>
      </c>
      <c r="O5709" s="21">
        <f>$B$5340</f>
        <v/>
      </c>
      <c r="P5709" s="21" t="n">
        <v>0</v>
      </c>
      <c r="Q5709" s="21" t="n">
        <v>0</v>
      </c>
      <c r="R5709" s="21" t="n">
        <v>0</v>
      </c>
      <c r="S5709" s="21" t="n">
        <v>0</v>
      </c>
      <c r="T5709" s="21" t="n">
        <v>0</v>
      </c>
      <c r="U5709" s="21" t="n">
        <v>0</v>
      </c>
      <c r="V5709" s="21" t="n">
        <v>0</v>
      </c>
      <c r="W5709" s="21" t="n">
        <v>0</v>
      </c>
      <c r="X5709" s="21" t="n">
        <v>0</v>
      </c>
      <c r="Y5709" s="21" t="n">
        <v>0</v>
      </c>
      <c r="Z5709" s="19" t="n"/>
    </row>
    <row r="5710">
      <c r="D5710" s="21" t="n">
        <v>0</v>
      </c>
      <c r="E5710" s="21" t="n">
        <v>0</v>
      </c>
      <c r="F5710" s="21" t="n">
        <v>0</v>
      </c>
      <c r="G5710" s="21" t="n">
        <v>0</v>
      </c>
      <c r="H5710" s="21" t="n">
        <v>0</v>
      </c>
      <c r="I5710" s="21" t="n">
        <v>0</v>
      </c>
      <c r="J5710" s="21" t="n">
        <v>0</v>
      </c>
      <c r="K5710" s="21" t="n">
        <v>0</v>
      </c>
      <c r="L5710" s="21">
        <f>-$B$5337</f>
        <v/>
      </c>
      <c r="M5710" s="21">
        <f>-$B$5338</f>
        <v/>
      </c>
      <c r="N5710" s="21">
        <f>2*$B$5337+$D$5693</f>
        <v/>
      </c>
      <c r="O5710" s="21">
        <f>0</f>
        <v/>
      </c>
      <c r="P5710" s="21">
        <f>-$B$5337</f>
        <v/>
      </c>
      <c r="Q5710" s="21">
        <f>$B$5338</f>
        <v/>
      </c>
      <c r="R5710" s="21" t="n">
        <v>0</v>
      </c>
      <c r="S5710" s="21" t="n">
        <v>0</v>
      </c>
      <c r="T5710" s="21" t="n">
        <v>0</v>
      </c>
      <c r="U5710" s="21" t="n">
        <v>0</v>
      </c>
      <c r="V5710" s="21" t="n">
        <v>0</v>
      </c>
      <c r="W5710" s="21" t="n">
        <v>0</v>
      </c>
      <c r="X5710" s="21" t="n">
        <v>0</v>
      </c>
      <c r="Y5710" s="21" t="n">
        <v>0</v>
      </c>
      <c r="Z5710" s="19" t="n"/>
    </row>
    <row r="5711">
      <c r="D5711" s="21" t="n">
        <v>0</v>
      </c>
      <c r="E5711" s="21" t="n">
        <v>0</v>
      </c>
      <c r="F5711" s="21" t="n">
        <v>0</v>
      </c>
      <c r="G5711" s="21" t="n">
        <v>0</v>
      </c>
      <c r="H5711" s="21" t="n">
        <v>0</v>
      </c>
      <c r="I5711" s="21" t="n">
        <v>0</v>
      </c>
      <c r="J5711" s="21" t="n">
        <v>0</v>
      </c>
      <c r="K5711" s="21" t="n">
        <v>0</v>
      </c>
      <c r="L5711" s="21">
        <f>$B$5338</f>
        <v/>
      </c>
      <c r="M5711" s="21">
        <f>$B$5340</f>
        <v/>
      </c>
      <c r="N5711" s="21">
        <f>0</f>
        <v/>
      </c>
      <c r="O5711" s="21">
        <f>2*$B$5339</f>
        <v/>
      </c>
      <c r="P5711" s="21">
        <f>-$B$5338</f>
        <v/>
      </c>
      <c r="Q5711" s="21">
        <f>$B$5340</f>
        <v/>
      </c>
      <c r="R5711" s="21" t="n">
        <v>0</v>
      </c>
      <c r="S5711" s="21" t="n">
        <v>0</v>
      </c>
      <c r="T5711" s="21" t="n">
        <v>0</v>
      </c>
      <c r="U5711" s="21" t="n">
        <v>0</v>
      </c>
      <c r="V5711" s="21" t="n">
        <v>0</v>
      </c>
      <c r="W5711" s="21" t="n">
        <v>0</v>
      </c>
      <c r="X5711" s="21" t="n">
        <v>0</v>
      </c>
      <c r="Y5711" s="21" t="n">
        <v>0</v>
      </c>
      <c r="Z5711" s="19" t="n"/>
    </row>
    <row r="5712">
      <c r="D5712" s="21" t="n">
        <v>0</v>
      </c>
      <c r="E5712" s="21" t="n">
        <v>0</v>
      </c>
      <c r="F5712" s="21" t="n">
        <v>0</v>
      </c>
      <c r="G5712" s="21" t="n">
        <v>0</v>
      </c>
      <c r="H5712" s="21" t="n">
        <v>0</v>
      </c>
      <c r="I5712" s="21" t="n">
        <v>0</v>
      </c>
      <c r="J5712" s="21" t="n">
        <v>0</v>
      </c>
      <c r="K5712" s="21" t="n">
        <v>0</v>
      </c>
      <c r="L5712" s="21" t="n">
        <v>0</v>
      </c>
      <c r="M5712" s="21" t="n">
        <v>0</v>
      </c>
      <c r="N5712" s="21">
        <f>-$B$5337</f>
        <v/>
      </c>
      <c r="O5712" s="21">
        <f>-$B$5338</f>
        <v/>
      </c>
      <c r="P5712" s="21">
        <f>2*$B$5337+$D$5694</f>
        <v/>
      </c>
      <c r="Q5712" s="21">
        <f>0</f>
        <v/>
      </c>
      <c r="R5712" s="21">
        <f>-$B$5337</f>
        <v/>
      </c>
      <c r="S5712" s="21">
        <f>$B$5338</f>
        <v/>
      </c>
      <c r="T5712" s="21" t="n">
        <v>0</v>
      </c>
      <c r="U5712" s="21" t="n">
        <v>0</v>
      </c>
      <c r="V5712" s="21" t="n">
        <v>0</v>
      </c>
      <c r="W5712" s="21" t="n">
        <v>0</v>
      </c>
      <c r="X5712" s="21" t="n">
        <v>0</v>
      </c>
      <c r="Y5712" s="21" t="n">
        <v>0</v>
      </c>
      <c r="Z5712" s="19" t="n"/>
    </row>
    <row r="5713">
      <c r="D5713" s="21" t="n">
        <v>0</v>
      </c>
      <c r="E5713" s="21" t="n">
        <v>0</v>
      </c>
      <c r="F5713" s="21" t="n">
        <v>0</v>
      </c>
      <c r="G5713" s="21" t="n">
        <v>0</v>
      </c>
      <c r="H5713" s="21" t="n">
        <v>0</v>
      </c>
      <c r="I5713" s="21" t="n">
        <v>0</v>
      </c>
      <c r="J5713" s="21" t="n">
        <v>0</v>
      </c>
      <c r="K5713" s="21" t="n">
        <v>0</v>
      </c>
      <c r="L5713" s="21" t="n">
        <v>0</v>
      </c>
      <c r="M5713" s="21" t="n">
        <v>0</v>
      </c>
      <c r="N5713" s="21">
        <f>$B$5338</f>
        <v/>
      </c>
      <c r="O5713" s="21">
        <f>$B$5340</f>
        <v/>
      </c>
      <c r="P5713" s="21">
        <f>0</f>
        <v/>
      </c>
      <c r="Q5713" s="21">
        <f>2*$B$5339</f>
        <v/>
      </c>
      <c r="R5713" s="21">
        <f>-$B$5338</f>
        <v/>
      </c>
      <c r="S5713" s="21">
        <f>$B$5340</f>
        <v/>
      </c>
      <c r="T5713" s="21" t="n">
        <v>0</v>
      </c>
      <c r="U5713" s="21" t="n">
        <v>0</v>
      </c>
      <c r="V5713" s="21" t="n">
        <v>0</v>
      </c>
      <c r="W5713" s="21" t="n">
        <v>0</v>
      </c>
      <c r="X5713" s="21" t="n">
        <v>0</v>
      </c>
      <c r="Y5713" s="21" t="n">
        <v>0</v>
      </c>
      <c r="Z5713" s="19" t="n"/>
    </row>
    <row r="5714">
      <c r="D5714" s="21" t="n">
        <v>0</v>
      </c>
      <c r="E5714" s="21" t="n">
        <v>0</v>
      </c>
      <c r="F5714" s="21" t="n">
        <v>0</v>
      </c>
      <c r="G5714" s="21" t="n">
        <v>0</v>
      </c>
      <c r="H5714" s="21" t="n">
        <v>0</v>
      </c>
      <c r="I5714" s="21" t="n">
        <v>0</v>
      </c>
      <c r="J5714" s="21" t="n">
        <v>0</v>
      </c>
      <c r="K5714" s="21" t="n">
        <v>0</v>
      </c>
      <c r="L5714" s="21" t="n">
        <v>0</v>
      </c>
      <c r="M5714" s="21" t="n">
        <v>0</v>
      </c>
      <c r="N5714" s="21" t="n">
        <v>0</v>
      </c>
      <c r="O5714" s="21" t="n">
        <v>0</v>
      </c>
      <c r="P5714" s="21">
        <f>-$B$5337</f>
        <v/>
      </c>
      <c r="Q5714" s="21">
        <f>-$B$5338</f>
        <v/>
      </c>
      <c r="R5714" s="21">
        <f>2*$B$5337+$D$5695</f>
        <v/>
      </c>
      <c r="S5714" s="21">
        <f>0</f>
        <v/>
      </c>
      <c r="T5714" s="21">
        <f>-$B$5337</f>
        <v/>
      </c>
      <c r="U5714" s="21">
        <f>$B$5338</f>
        <v/>
      </c>
      <c r="V5714" s="21" t="n">
        <v>0</v>
      </c>
      <c r="W5714" s="21" t="n">
        <v>0</v>
      </c>
      <c r="X5714" s="21" t="n">
        <v>0</v>
      </c>
      <c r="Y5714" s="21" t="n">
        <v>0</v>
      </c>
      <c r="Z5714" s="19" t="n"/>
    </row>
    <row r="5715">
      <c r="D5715" s="21" t="n">
        <v>0</v>
      </c>
      <c r="E5715" s="21" t="n">
        <v>0</v>
      </c>
      <c r="F5715" s="21" t="n">
        <v>0</v>
      </c>
      <c r="G5715" s="21" t="n">
        <v>0</v>
      </c>
      <c r="H5715" s="21" t="n">
        <v>0</v>
      </c>
      <c r="I5715" s="21" t="n">
        <v>0</v>
      </c>
      <c r="J5715" s="21" t="n">
        <v>0</v>
      </c>
      <c r="K5715" s="21" t="n">
        <v>0</v>
      </c>
      <c r="L5715" s="21" t="n">
        <v>0</v>
      </c>
      <c r="M5715" s="21" t="n">
        <v>0</v>
      </c>
      <c r="N5715" s="21" t="n">
        <v>0</v>
      </c>
      <c r="O5715" s="21" t="n">
        <v>0</v>
      </c>
      <c r="P5715" s="21">
        <f>$B$5338</f>
        <v/>
      </c>
      <c r="Q5715" s="21">
        <f>$B$5340</f>
        <v/>
      </c>
      <c r="R5715" s="21">
        <f>0</f>
        <v/>
      </c>
      <c r="S5715" s="21">
        <f>2*$B$5339</f>
        <v/>
      </c>
      <c r="T5715" s="21">
        <f>-$B$5338</f>
        <v/>
      </c>
      <c r="U5715" s="21">
        <f>$B$5340</f>
        <v/>
      </c>
      <c r="V5715" s="21" t="n">
        <v>0</v>
      </c>
      <c r="W5715" s="21" t="n">
        <v>0</v>
      </c>
      <c r="X5715" s="21" t="n">
        <v>0</v>
      </c>
      <c r="Y5715" s="21" t="n">
        <v>0</v>
      </c>
      <c r="Z5715" s="19" t="n"/>
    </row>
    <row r="5716">
      <c r="D5716" s="21" t="n">
        <v>0</v>
      </c>
      <c r="E5716" s="21" t="n">
        <v>0</v>
      </c>
      <c r="F5716" s="21" t="n">
        <v>0</v>
      </c>
      <c r="G5716" s="21" t="n">
        <v>0</v>
      </c>
      <c r="H5716" s="21" t="n">
        <v>0</v>
      </c>
      <c r="I5716" s="21" t="n">
        <v>0</v>
      </c>
      <c r="J5716" s="21" t="n">
        <v>0</v>
      </c>
      <c r="K5716" s="21" t="n">
        <v>0</v>
      </c>
      <c r="L5716" s="21" t="n">
        <v>0</v>
      </c>
      <c r="M5716" s="21" t="n">
        <v>0</v>
      </c>
      <c r="N5716" s="21" t="n">
        <v>0</v>
      </c>
      <c r="O5716" s="21" t="n">
        <v>0</v>
      </c>
      <c r="P5716" s="21" t="n">
        <v>0</v>
      </c>
      <c r="Q5716" s="21" t="n">
        <v>0</v>
      </c>
      <c r="R5716" s="21">
        <f>-$B$5337</f>
        <v/>
      </c>
      <c r="S5716" s="21">
        <f>-$B$5338</f>
        <v/>
      </c>
      <c r="T5716" s="21">
        <f>2*$B$5337+$D$5696</f>
        <v/>
      </c>
      <c r="U5716" s="21">
        <f>0</f>
        <v/>
      </c>
      <c r="V5716" s="21">
        <f>-$B$5337</f>
        <v/>
      </c>
      <c r="W5716" s="21">
        <f>$B$5338</f>
        <v/>
      </c>
      <c r="X5716" s="21" t="n">
        <v>0</v>
      </c>
      <c r="Y5716" s="21" t="n">
        <v>0</v>
      </c>
      <c r="Z5716" s="19" t="n"/>
    </row>
    <row r="5717">
      <c r="D5717" s="21" t="n">
        <v>0</v>
      </c>
      <c r="E5717" s="21" t="n">
        <v>0</v>
      </c>
      <c r="F5717" s="21" t="n">
        <v>0</v>
      </c>
      <c r="G5717" s="21" t="n">
        <v>0</v>
      </c>
      <c r="H5717" s="21" t="n">
        <v>0</v>
      </c>
      <c r="I5717" s="21" t="n">
        <v>0</v>
      </c>
      <c r="J5717" s="21" t="n">
        <v>0</v>
      </c>
      <c r="K5717" s="21" t="n">
        <v>0</v>
      </c>
      <c r="L5717" s="21" t="n">
        <v>0</v>
      </c>
      <c r="M5717" s="21" t="n">
        <v>0</v>
      </c>
      <c r="N5717" s="21" t="n">
        <v>0</v>
      </c>
      <c r="O5717" s="21" t="n">
        <v>0</v>
      </c>
      <c r="P5717" s="21" t="n">
        <v>0</v>
      </c>
      <c r="Q5717" s="21" t="n">
        <v>0</v>
      </c>
      <c r="R5717" s="21">
        <f>$B$5338</f>
        <v/>
      </c>
      <c r="S5717" s="21">
        <f>$B$5340</f>
        <v/>
      </c>
      <c r="T5717" s="21">
        <f>0</f>
        <v/>
      </c>
      <c r="U5717" s="21">
        <f>2*$B$5339</f>
        <v/>
      </c>
      <c r="V5717" s="21">
        <f>-$B$5338</f>
        <v/>
      </c>
      <c r="W5717" s="21">
        <f>$B$5340</f>
        <v/>
      </c>
      <c r="X5717" s="21" t="n">
        <v>0</v>
      </c>
      <c r="Y5717" s="21" t="n">
        <v>0</v>
      </c>
      <c r="Z5717" s="19" t="n"/>
    </row>
    <row r="5718">
      <c r="D5718" s="21" t="n">
        <v>0</v>
      </c>
      <c r="E5718" s="21" t="n">
        <v>0</v>
      </c>
      <c r="F5718" s="21" t="n">
        <v>0</v>
      </c>
      <c r="G5718" s="21" t="n">
        <v>0</v>
      </c>
      <c r="H5718" s="21" t="n">
        <v>0</v>
      </c>
      <c r="I5718" s="21" t="n">
        <v>0</v>
      </c>
      <c r="J5718" s="21" t="n">
        <v>0</v>
      </c>
      <c r="K5718" s="21" t="n">
        <v>0</v>
      </c>
      <c r="L5718" s="21" t="n">
        <v>0</v>
      </c>
      <c r="M5718" s="21" t="n">
        <v>0</v>
      </c>
      <c r="N5718" s="21" t="n">
        <v>0</v>
      </c>
      <c r="O5718" s="21" t="n">
        <v>0</v>
      </c>
      <c r="P5718" s="21" t="n">
        <v>0</v>
      </c>
      <c r="Q5718" s="21" t="n">
        <v>0</v>
      </c>
      <c r="R5718" s="21" t="n">
        <v>0</v>
      </c>
      <c r="S5718" s="21" t="n">
        <v>0</v>
      </c>
      <c r="T5718" s="21">
        <f>-$B$5337</f>
        <v/>
      </c>
      <c r="U5718" s="21">
        <f>-$B$5338</f>
        <v/>
      </c>
      <c r="V5718" s="21">
        <f>2*$B$5337+$D$5697</f>
        <v/>
      </c>
      <c r="W5718" s="21">
        <f>0</f>
        <v/>
      </c>
      <c r="X5718" s="21">
        <f>-$B$5337</f>
        <v/>
      </c>
      <c r="Y5718" s="21">
        <f>$B$5338</f>
        <v/>
      </c>
      <c r="Z5718" s="19" t="n"/>
    </row>
    <row r="5719">
      <c r="D5719" s="21" t="n">
        <v>0</v>
      </c>
      <c r="E5719" s="21" t="n">
        <v>0</v>
      </c>
      <c r="F5719" s="21" t="n">
        <v>0</v>
      </c>
      <c r="G5719" s="21" t="n">
        <v>0</v>
      </c>
      <c r="H5719" s="21" t="n">
        <v>0</v>
      </c>
      <c r="I5719" s="21" t="n">
        <v>0</v>
      </c>
      <c r="J5719" s="21" t="n">
        <v>0</v>
      </c>
      <c r="K5719" s="21" t="n">
        <v>0</v>
      </c>
      <c r="L5719" s="21" t="n">
        <v>0</v>
      </c>
      <c r="M5719" s="21" t="n">
        <v>0</v>
      </c>
      <c r="N5719" s="21" t="n">
        <v>0</v>
      </c>
      <c r="O5719" s="21" t="n">
        <v>0</v>
      </c>
      <c r="P5719" s="21" t="n">
        <v>0</v>
      </c>
      <c r="Q5719" s="21" t="n">
        <v>0</v>
      </c>
      <c r="R5719" s="21" t="n">
        <v>0</v>
      </c>
      <c r="S5719" s="21" t="n">
        <v>0</v>
      </c>
      <c r="T5719" s="21">
        <f>$B$5338</f>
        <v/>
      </c>
      <c r="U5719" s="21">
        <f>$B$5340</f>
        <v/>
      </c>
      <c r="V5719" s="21">
        <f>0</f>
        <v/>
      </c>
      <c r="W5719" s="21">
        <f>2*$B$5339</f>
        <v/>
      </c>
      <c r="X5719" s="21">
        <f>-$B$5338</f>
        <v/>
      </c>
      <c r="Y5719" s="21">
        <f>$B$5340</f>
        <v/>
      </c>
      <c r="Z5719" s="19" t="n"/>
    </row>
    <row r="5720">
      <c r="D5720" s="21" t="n">
        <v>0</v>
      </c>
      <c r="E5720" s="21" t="n">
        <v>0</v>
      </c>
      <c r="F5720" s="21" t="n">
        <v>0</v>
      </c>
      <c r="G5720" s="21" t="n">
        <v>0</v>
      </c>
      <c r="H5720" s="21" t="n">
        <v>0</v>
      </c>
      <c r="I5720" s="21" t="n">
        <v>0</v>
      </c>
      <c r="J5720" s="21" t="n">
        <v>0</v>
      </c>
      <c r="K5720" s="21" t="n">
        <v>0</v>
      </c>
      <c r="L5720" s="21" t="n">
        <v>0</v>
      </c>
      <c r="M5720" s="21" t="n">
        <v>0</v>
      </c>
      <c r="N5720" s="21" t="n">
        <v>0</v>
      </c>
      <c r="O5720" s="21" t="n">
        <v>0</v>
      </c>
      <c r="P5720" s="21" t="n">
        <v>0</v>
      </c>
      <c r="Q5720" s="21" t="n">
        <v>0</v>
      </c>
      <c r="R5720" s="21" t="n">
        <v>0</v>
      </c>
      <c r="S5720" s="21" t="n">
        <v>0</v>
      </c>
      <c r="T5720" s="21" t="n">
        <v>0</v>
      </c>
      <c r="U5720" s="21" t="n">
        <v>0</v>
      </c>
      <c r="V5720" s="21">
        <f>-$B$5337</f>
        <v/>
      </c>
      <c r="W5720" s="21">
        <f>-$B$5338</f>
        <v/>
      </c>
      <c r="X5720" s="21">
        <f>$B$5337+$D$5698</f>
        <v/>
      </c>
      <c r="Y5720" s="21">
        <f>-$B$5338</f>
        <v/>
      </c>
      <c r="Z5720" s="19" t="n"/>
    </row>
    <row r="5721">
      <c r="D5721" s="21" t="n">
        <v>0</v>
      </c>
      <c r="E5721" s="21" t="n">
        <v>0</v>
      </c>
      <c r="F5721" s="21" t="n">
        <v>0</v>
      </c>
      <c r="G5721" s="21" t="n">
        <v>0</v>
      </c>
      <c r="H5721" s="21" t="n">
        <v>0</v>
      </c>
      <c r="I5721" s="21" t="n">
        <v>0</v>
      </c>
      <c r="J5721" s="21" t="n">
        <v>0</v>
      </c>
      <c r="K5721" s="21" t="n">
        <v>0</v>
      </c>
      <c r="L5721" s="21" t="n">
        <v>0</v>
      </c>
      <c r="M5721" s="21" t="n">
        <v>0</v>
      </c>
      <c r="N5721" s="21" t="n">
        <v>0</v>
      </c>
      <c r="O5721" s="21" t="n">
        <v>0</v>
      </c>
      <c r="P5721" s="21" t="n">
        <v>0</v>
      </c>
      <c r="Q5721" s="21" t="n">
        <v>0</v>
      </c>
      <c r="R5721" s="21" t="n">
        <v>0</v>
      </c>
      <c r="S5721" s="21" t="n">
        <v>0</v>
      </c>
      <c r="T5721" s="21" t="n">
        <v>0</v>
      </c>
      <c r="U5721" s="21" t="n">
        <v>0</v>
      </c>
      <c r="V5721" s="21">
        <f>$B$5338</f>
        <v/>
      </c>
      <c r="W5721" s="21">
        <f>$B$5340</f>
        <v/>
      </c>
      <c r="X5721" s="21">
        <f>-$B$5338</f>
        <v/>
      </c>
      <c r="Y5721" s="21">
        <f>$B$5339</f>
        <v/>
      </c>
      <c r="Z5721" s="19" t="n"/>
    </row>
    <row r="5723">
      <c r="A5723" s="8" t="inlineStr">
        <is>
          <t>gen 10</t>
        </is>
      </c>
    </row>
    <row r="5724">
      <c r="D5724" s="19">
        <f>IF(ABS(IF(ABS($E$5688)&gt;0.000000001,$E$5688,0.000000001))=0,0,IF($E$5352&lt;=$B$5346,0,IF(ABS(IF(ABS($E$5688)&gt;0.000000001,$E$5688,0.000000001))&gt;=8*$B$5348,$H$5352,0.5*$H$5352*(ABS(IF(ABS($E$5688)&gt;0.000000001,$E$5688,0.000000001))/$B$5348)^(1/3)))/ABS(IF(ABS($E$5688)&gt;0.000000001,$E$5688,0.000000001))*$I$5352)</f>
        <v/>
      </c>
      <c r="E5724" s="19">
        <f>0.5*$E$5688+0.5*$Z$5736</f>
        <v/>
      </c>
      <c r="F5724" s="19">
        <f>$Z$5737</f>
        <v/>
      </c>
    </row>
    <row r="5725">
      <c r="D5725" s="19">
        <f>IF(ABS(IF(ABS($E$5689)&gt;0.000000001,$E$5689,0.000000001))=0,0,IF($E$5353&lt;=$B$5346,0,IF(ABS(IF(ABS($E$5689)&gt;0.000000001,$E$5689,0.000000001))&gt;=8*$B$5348,$H$5353,0.5*$H$5353*(ABS(IF(ABS($E$5689)&gt;0.000000001,$E$5689,0.000000001))/$B$5348)^(1/3)))/ABS(IF(ABS($E$5689)&gt;0.000000001,$E$5689,0.000000001))*$I$5353)</f>
        <v/>
      </c>
      <c r="E5725" s="19">
        <f>0.5*$E$5689+0.5*$Z$5738</f>
        <v/>
      </c>
      <c r="F5725" s="19">
        <f>$Z$5739</f>
        <v/>
      </c>
    </row>
    <row r="5726">
      <c r="D5726" s="19">
        <f>IF(ABS(IF(ABS($E$5690)&gt;0.000000001,$E$5690,0.000000001))=0,0,IF($E$5354&lt;=$B$5346,0,IF(ABS(IF(ABS($E$5690)&gt;0.000000001,$E$5690,0.000000001))&gt;=8*$B$5348,$H$5354,0.5*$H$5354*(ABS(IF(ABS($E$5690)&gt;0.000000001,$E$5690,0.000000001))/$B$5348)^(1/3)))/ABS(IF(ABS($E$5690)&gt;0.000000001,$E$5690,0.000000001))*$I$5354)</f>
        <v/>
      </c>
      <c r="E5726" s="19">
        <f>0.5*$E$5690+0.5*$Z$5740</f>
        <v/>
      </c>
      <c r="F5726" s="19">
        <f>$Z$5741</f>
        <v/>
      </c>
    </row>
    <row r="5727">
      <c r="D5727" s="19">
        <f>IF(ABS(IF(ABS($E$5691)&gt;0.000000001,$E$5691,0.000000001))=0,0,IF($E$5355&lt;=$B$5346,0,IF(ABS(IF(ABS($E$5691)&gt;0.000000001,$E$5691,0.000000001))&gt;=8*$B$5348,$H$5355,0.5*$H$5355*(ABS(IF(ABS($E$5691)&gt;0.000000001,$E$5691,0.000000001))/$B$5348)^(1/3)))/ABS(IF(ABS($E$5691)&gt;0.000000001,$E$5691,0.000000001))*$I$5355)</f>
        <v/>
      </c>
      <c r="E5727" s="19">
        <f>0.5*$E$5691+0.5*$Z$5742</f>
        <v/>
      </c>
      <c r="F5727" s="19">
        <f>$Z$5743</f>
        <v/>
      </c>
    </row>
    <row r="5728">
      <c r="D5728" s="19">
        <f>IF(ABS(IF(ABS($E$5692)&gt;0.000000001,$E$5692,0.000000001))=0,0,IF($E$5356&lt;=$B$5346,0,IF(ABS(IF(ABS($E$5692)&gt;0.000000001,$E$5692,0.000000001))&gt;=8*$B$5348,$H$5356,0.5*$H$5356*(ABS(IF(ABS($E$5692)&gt;0.000000001,$E$5692,0.000000001))/$B$5348)^(1/3)))/ABS(IF(ABS($E$5692)&gt;0.000000001,$E$5692,0.000000001))*$I$5356)</f>
        <v/>
      </c>
      <c r="E5728" s="19">
        <f>0.5*$E$5692+0.5*$Z$5744</f>
        <v/>
      </c>
      <c r="F5728" s="19">
        <f>$Z$5745</f>
        <v/>
      </c>
    </row>
    <row r="5729">
      <c r="D5729" s="19">
        <f>IF(ABS(IF(ABS($E$5693)&gt;0.000000001,$E$5693,0.000000001))=0,0,IF($E$5357&lt;=$B$5346,0,IF(ABS(IF(ABS($E$5693)&gt;0.000000001,$E$5693,0.000000001))&gt;=8*$B$5348,$H$5357,0.5*$H$5357*(ABS(IF(ABS($E$5693)&gt;0.000000001,$E$5693,0.000000001))/$B$5348)^(1/3)))/ABS(IF(ABS($E$5693)&gt;0.000000001,$E$5693,0.000000001))*$I$5357)</f>
        <v/>
      </c>
      <c r="E5729" s="19">
        <f>0.5*$E$5693+0.5*$Z$5746</f>
        <v/>
      </c>
      <c r="F5729" s="19">
        <f>$Z$5747</f>
        <v/>
      </c>
    </row>
    <row r="5730">
      <c r="D5730" s="19">
        <f>IF(ABS(IF(ABS($E$5694)&gt;0.000000001,$E$5694,0.000000001))=0,0,IF($E$5358&lt;=$B$5346,0,IF(ABS(IF(ABS($E$5694)&gt;0.000000001,$E$5694,0.000000001))&gt;=8*$B$5348,$H$5358,0.5*$H$5358*(ABS(IF(ABS($E$5694)&gt;0.000000001,$E$5694,0.000000001))/$B$5348)^(1/3)))/ABS(IF(ABS($E$5694)&gt;0.000000001,$E$5694,0.000000001))*$I$5358)</f>
        <v/>
      </c>
      <c r="E5730" s="19">
        <f>0.5*$E$5694+0.5*$Z$5748</f>
        <v/>
      </c>
      <c r="F5730" s="19">
        <f>$Z$5749</f>
        <v/>
      </c>
    </row>
    <row r="5731">
      <c r="D5731" s="19">
        <f>IF(ABS(IF(ABS($E$5695)&gt;0.000000001,$E$5695,0.000000001))=0,0,IF($E$5359&lt;=$B$5346,0,IF(ABS(IF(ABS($E$5695)&gt;0.000000001,$E$5695,0.000000001))&gt;=8*$B$5348,$H$5359,0.5*$H$5359*(ABS(IF(ABS($E$5695)&gt;0.000000001,$E$5695,0.000000001))/$B$5348)^(1/3)))/ABS(IF(ABS($E$5695)&gt;0.000000001,$E$5695,0.000000001))*$I$5359)</f>
        <v/>
      </c>
      <c r="E5731" s="19">
        <f>0.5*$E$5695+0.5*$Z$5750</f>
        <v/>
      </c>
      <c r="F5731" s="19">
        <f>$Z$5751</f>
        <v/>
      </c>
    </row>
    <row r="5732">
      <c r="D5732" s="19">
        <f>IF(ABS(IF(ABS($E$5696)&gt;0.000000001,$E$5696,0.000000001))=0,0,IF($E$5360&lt;=$B$5346,0,IF(ABS(IF(ABS($E$5696)&gt;0.000000001,$E$5696,0.000000001))&gt;=8*$B$5348,$H$5360,0.5*$H$5360*(ABS(IF(ABS($E$5696)&gt;0.000000001,$E$5696,0.000000001))/$B$5348)^(1/3)))/ABS(IF(ABS($E$5696)&gt;0.000000001,$E$5696,0.000000001))*$I$5360)</f>
        <v/>
      </c>
      <c r="E5732" s="19">
        <f>0.5*$E$5696+0.5*$Z$5752</f>
        <v/>
      </c>
      <c r="F5732" s="19">
        <f>$Z$5753</f>
        <v/>
      </c>
    </row>
    <row r="5733">
      <c r="D5733" s="19">
        <f>IF(ABS(IF(ABS($E$5697)&gt;0.000000001,$E$5697,0.000000001))=0,0,IF($E$5361&lt;=$B$5346,0,IF(ABS(IF(ABS($E$5697)&gt;0.000000001,$E$5697,0.000000001))&gt;=8*$B$5348,$H$5361,0.5*$H$5361*(ABS(IF(ABS($E$5697)&gt;0.000000001,$E$5697,0.000000001))/$B$5348)^(1/3)))/ABS(IF(ABS($E$5697)&gt;0.000000001,$E$5697,0.000000001))*$I$5361)</f>
        <v/>
      </c>
      <c r="E5733" s="19">
        <f>0.5*$E$5697+0.5*$Z$5754</f>
        <v/>
      </c>
      <c r="F5733" s="19">
        <f>$Z$5755</f>
        <v/>
      </c>
    </row>
    <row r="5734">
      <c r="D5734" s="19">
        <f>IF(ABS(IF(ABS($E$5698)&gt;0.000000001,$E$5698,0.000000001))=0,0,IF($E$5362&lt;=$B$5346,0,IF(ABS(IF(ABS($E$5698)&gt;0.000000001,$E$5698,0.000000001))&gt;=8*$B$5348,$H$5362,0.5*$H$5362*(ABS(IF(ABS($E$5698)&gt;0.000000001,$E$5698,0.000000001))/$B$5348)^(1/3)))/ABS(IF(ABS($E$5698)&gt;0.000000001,$E$5698,0.000000001))*$I$5362)</f>
        <v/>
      </c>
      <c r="E5734" s="19">
        <f>0.5*$E$5698+0.5*$Z$5756</f>
        <v/>
      </c>
      <c r="F5734" s="19">
        <f>$Z$5757</f>
        <v/>
      </c>
    </row>
    <row r="5736">
      <c r="D5736" s="21">
        <f>$B$5337+$D$5724</f>
        <v/>
      </c>
      <c r="E5736" s="21">
        <f>$B$5338</f>
        <v/>
      </c>
      <c r="F5736" s="21">
        <f>-$B$5337</f>
        <v/>
      </c>
      <c r="G5736" s="21">
        <f>$B$5338</f>
        <v/>
      </c>
      <c r="H5736" s="21" t="n">
        <v>0</v>
      </c>
      <c r="I5736" s="21" t="n">
        <v>0</v>
      </c>
      <c r="J5736" s="21" t="n">
        <v>0</v>
      </c>
      <c r="K5736" s="21" t="n">
        <v>0</v>
      </c>
      <c r="L5736" s="21" t="n">
        <v>0</v>
      </c>
      <c r="M5736" s="21" t="n">
        <v>0</v>
      </c>
      <c r="N5736" s="21" t="n">
        <v>0</v>
      </c>
      <c r="O5736" s="21" t="n">
        <v>0</v>
      </c>
      <c r="P5736" s="21" t="n">
        <v>0</v>
      </c>
      <c r="Q5736" s="21" t="n">
        <v>0</v>
      </c>
      <c r="R5736" s="21" t="n">
        <v>0</v>
      </c>
      <c r="S5736" s="21" t="n">
        <v>0</v>
      </c>
      <c r="T5736" s="21" t="n">
        <v>0</v>
      </c>
      <c r="U5736" s="21" t="n">
        <v>0</v>
      </c>
      <c r="V5736" s="21" t="n">
        <v>0</v>
      </c>
      <c r="W5736" s="21" t="n">
        <v>0</v>
      </c>
      <c r="X5736" s="21" t="n">
        <v>0</v>
      </c>
      <c r="Y5736" s="21" t="n">
        <v>0</v>
      </c>
      <c r="Z5736" s="19">
        <f t="array" ref="Z5736:Z5757">MMULT(MINVERSE($D$5736:$Y$5757),$D$5364:$D$5385)</f>
        <v/>
      </c>
    </row>
    <row r="5737">
      <c r="D5737" s="21">
        <f>$B$5338</f>
        <v/>
      </c>
      <c r="E5737" s="21">
        <f>$B$5339</f>
        <v/>
      </c>
      <c r="F5737" s="21">
        <f>-$B$5338</f>
        <v/>
      </c>
      <c r="G5737" s="21">
        <f>$B$5340</f>
        <v/>
      </c>
      <c r="H5737" s="21" t="n">
        <v>0</v>
      </c>
      <c r="I5737" s="21" t="n">
        <v>0</v>
      </c>
      <c r="J5737" s="21" t="n">
        <v>0</v>
      </c>
      <c r="K5737" s="21" t="n">
        <v>0</v>
      </c>
      <c r="L5737" s="21" t="n">
        <v>0</v>
      </c>
      <c r="M5737" s="21" t="n">
        <v>0</v>
      </c>
      <c r="N5737" s="21" t="n">
        <v>0</v>
      </c>
      <c r="O5737" s="21" t="n">
        <v>0</v>
      </c>
      <c r="P5737" s="21" t="n">
        <v>0</v>
      </c>
      <c r="Q5737" s="21" t="n">
        <v>0</v>
      </c>
      <c r="R5737" s="21" t="n">
        <v>0</v>
      </c>
      <c r="S5737" s="21" t="n">
        <v>0</v>
      </c>
      <c r="T5737" s="21" t="n">
        <v>0</v>
      </c>
      <c r="U5737" s="21" t="n">
        <v>0</v>
      </c>
      <c r="V5737" s="21" t="n">
        <v>0</v>
      </c>
      <c r="W5737" s="21" t="n">
        <v>0</v>
      </c>
      <c r="X5737" s="21" t="n">
        <v>0</v>
      </c>
      <c r="Y5737" s="21" t="n">
        <v>0</v>
      </c>
      <c r="Z5737" s="19" t="n"/>
    </row>
    <row r="5738">
      <c r="D5738" s="21">
        <f>-$B$5337</f>
        <v/>
      </c>
      <c r="E5738" s="21">
        <f>-$B$5338</f>
        <v/>
      </c>
      <c r="F5738" s="21">
        <f>2*$B$5337+$D$5725</f>
        <v/>
      </c>
      <c r="G5738" s="21">
        <f>0</f>
        <v/>
      </c>
      <c r="H5738" s="21">
        <f>-$B$5337</f>
        <v/>
      </c>
      <c r="I5738" s="21">
        <f>$B$5338</f>
        <v/>
      </c>
      <c r="J5738" s="21" t="n">
        <v>0</v>
      </c>
      <c r="K5738" s="21" t="n">
        <v>0</v>
      </c>
      <c r="L5738" s="21" t="n">
        <v>0</v>
      </c>
      <c r="M5738" s="21" t="n">
        <v>0</v>
      </c>
      <c r="N5738" s="21" t="n">
        <v>0</v>
      </c>
      <c r="O5738" s="21" t="n">
        <v>0</v>
      </c>
      <c r="P5738" s="21" t="n">
        <v>0</v>
      </c>
      <c r="Q5738" s="21" t="n">
        <v>0</v>
      </c>
      <c r="R5738" s="21" t="n">
        <v>0</v>
      </c>
      <c r="S5738" s="21" t="n">
        <v>0</v>
      </c>
      <c r="T5738" s="21" t="n">
        <v>0</v>
      </c>
      <c r="U5738" s="21" t="n">
        <v>0</v>
      </c>
      <c r="V5738" s="21" t="n">
        <v>0</v>
      </c>
      <c r="W5738" s="21" t="n">
        <v>0</v>
      </c>
      <c r="X5738" s="21" t="n">
        <v>0</v>
      </c>
      <c r="Y5738" s="21" t="n">
        <v>0</v>
      </c>
      <c r="Z5738" s="19" t="n"/>
    </row>
    <row r="5739">
      <c r="D5739" s="21">
        <f>$B$5338</f>
        <v/>
      </c>
      <c r="E5739" s="21">
        <f>$B$5340</f>
        <v/>
      </c>
      <c r="F5739" s="21">
        <f>0</f>
        <v/>
      </c>
      <c r="G5739" s="21">
        <f>2*$B$5339</f>
        <v/>
      </c>
      <c r="H5739" s="21">
        <f>-$B$5338</f>
        <v/>
      </c>
      <c r="I5739" s="21">
        <f>$B$5340</f>
        <v/>
      </c>
      <c r="J5739" s="21" t="n">
        <v>0</v>
      </c>
      <c r="K5739" s="21" t="n">
        <v>0</v>
      </c>
      <c r="L5739" s="21" t="n">
        <v>0</v>
      </c>
      <c r="M5739" s="21" t="n">
        <v>0</v>
      </c>
      <c r="N5739" s="21" t="n">
        <v>0</v>
      </c>
      <c r="O5739" s="21" t="n">
        <v>0</v>
      </c>
      <c r="P5739" s="21" t="n">
        <v>0</v>
      </c>
      <c r="Q5739" s="21" t="n">
        <v>0</v>
      </c>
      <c r="R5739" s="21" t="n">
        <v>0</v>
      </c>
      <c r="S5739" s="21" t="n">
        <v>0</v>
      </c>
      <c r="T5739" s="21" t="n">
        <v>0</v>
      </c>
      <c r="U5739" s="21" t="n">
        <v>0</v>
      </c>
      <c r="V5739" s="21" t="n">
        <v>0</v>
      </c>
      <c r="W5739" s="21" t="n">
        <v>0</v>
      </c>
      <c r="X5739" s="21" t="n">
        <v>0</v>
      </c>
      <c r="Y5739" s="21" t="n">
        <v>0</v>
      </c>
      <c r="Z5739" s="19" t="n"/>
    </row>
    <row r="5740">
      <c r="D5740" s="21" t="n">
        <v>0</v>
      </c>
      <c r="E5740" s="21" t="n">
        <v>0</v>
      </c>
      <c r="F5740" s="21">
        <f>-$B$5337</f>
        <v/>
      </c>
      <c r="G5740" s="21">
        <f>-$B$5338</f>
        <v/>
      </c>
      <c r="H5740" s="21">
        <f>2*$B$5337+$D$5726</f>
        <v/>
      </c>
      <c r="I5740" s="21">
        <f>0</f>
        <v/>
      </c>
      <c r="J5740" s="21">
        <f>-$B$5337</f>
        <v/>
      </c>
      <c r="K5740" s="21">
        <f>$B$5338</f>
        <v/>
      </c>
      <c r="L5740" s="21" t="n">
        <v>0</v>
      </c>
      <c r="M5740" s="21" t="n">
        <v>0</v>
      </c>
      <c r="N5740" s="21" t="n">
        <v>0</v>
      </c>
      <c r="O5740" s="21" t="n">
        <v>0</v>
      </c>
      <c r="P5740" s="21" t="n">
        <v>0</v>
      </c>
      <c r="Q5740" s="21" t="n">
        <v>0</v>
      </c>
      <c r="R5740" s="21" t="n">
        <v>0</v>
      </c>
      <c r="S5740" s="21" t="n">
        <v>0</v>
      </c>
      <c r="T5740" s="21" t="n">
        <v>0</v>
      </c>
      <c r="U5740" s="21" t="n">
        <v>0</v>
      </c>
      <c r="V5740" s="21" t="n">
        <v>0</v>
      </c>
      <c r="W5740" s="21" t="n">
        <v>0</v>
      </c>
      <c r="X5740" s="21" t="n">
        <v>0</v>
      </c>
      <c r="Y5740" s="21" t="n">
        <v>0</v>
      </c>
      <c r="Z5740" s="19" t="n"/>
    </row>
    <row r="5741">
      <c r="D5741" s="21" t="n">
        <v>0</v>
      </c>
      <c r="E5741" s="21" t="n">
        <v>0</v>
      </c>
      <c r="F5741" s="21">
        <f>$B$5338</f>
        <v/>
      </c>
      <c r="G5741" s="21">
        <f>$B$5340</f>
        <v/>
      </c>
      <c r="H5741" s="21">
        <f>0</f>
        <v/>
      </c>
      <c r="I5741" s="21">
        <f>2*$B$5339</f>
        <v/>
      </c>
      <c r="J5741" s="21">
        <f>-$B$5338</f>
        <v/>
      </c>
      <c r="K5741" s="21">
        <f>$B$5340</f>
        <v/>
      </c>
      <c r="L5741" s="21" t="n">
        <v>0</v>
      </c>
      <c r="M5741" s="21" t="n">
        <v>0</v>
      </c>
      <c r="N5741" s="21" t="n">
        <v>0</v>
      </c>
      <c r="O5741" s="21" t="n">
        <v>0</v>
      </c>
      <c r="P5741" s="21" t="n">
        <v>0</v>
      </c>
      <c r="Q5741" s="21" t="n">
        <v>0</v>
      </c>
      <c r="R5741" s="21" t="n">
        <v>0</v>
      </c>
      <c r="S5741" s="21" t="n">
        <v>0</v>
      </c>
      <c r="T5741" s="21" t="n">
        <v>0</v>
      </c>
      <c r="U5741" s="21" t="n">
        <v>0</v>
      </c>
      <c r="V5741" s="21" t="n">
        <v>0</v>
      </c>
      <c r="W5741" s="21" t="n">
        <v>0</v>
      </c>
      <c r="X5741" s="21" t="n">
        <v>0</v>
      </c>
      <c r="Y5741" s="21" t="n">
        <v>0</v>
      </c>
      <c r="Z5741" s="19" t="n"/>
    </row>
    <row r="5742">
      <c r="D5742" s="21" t="n">
        <v>0</v>
      </c>
      <c r="E5742" s="21" t="n">
        <v>0</v>
      </c>
      <c r="F5742" s="21" t="n">
        <v>0</v>
      </c>
      <c r="G5742" s="21" t="n">
        <v>0</v>
      </c>
      <c r="H5742" s="21">
        <f>-$B$5337</f>
        <v/>
      </c>
      <c r="I5742" s="21">
        <f>-$B$5338</f>
        <v/>
      </c>
      <c r="J5742" s="21">
        <f>2*$B$5337+$D$5727</f>
        <v/>
      </c>
      <c r="K5742" s="21">
        <f>0</f>
        <v/>
      </c>
      <c r="L5742" s="21">
        <f>-$B$5337</f>
        <v/>
      </c>
      <c r="M5742" s="21">
        <f>$B$5338</f>
        <v/>
      </c>
      <c r="N5742" s="21" t="n">
        <v>0</v>
      </c>
      <c r="O5742" s="21" t="n">
        <v>0</v>
      </c>
      <c r="P5742" s="21" t="n">
        <v>0</v>
      </c>
      <c r="Q5742" s="21" t="n">
        <v>0</v>
      </c>
      <c r="R5742" s="21" t="n">
        <v>0</v>
      </c>
      <c r="S5742" s="21" t="n">
        <v>0</v>
      </c>
      <c r="T5742" s="21" t="n">
        <v>0</v>
      </c>
      <c r="U5742" s="21" t="n">
        <v>0</v>
      </c>
      <c r="V5742" s="21" t="n">
        <v>0</v>
      </c>
      <c r="W5742" s="21" t="n">
        <v>0</v>
      </c>
      <c r="X5742" s="21" t="n">
        <v>0</v>
      </c>
      <c r="Y5742" s="21" t="n">
        <v>0</v>
      </c>
      <c r="Z5742" s="19" t="n"/>
    </row>
    <row r="5743">
      <c r="D5743" s="21" t="n">
        <v>0</v>
      </c>
      <c r="E5743" s="21" t="n">
        <v>0</v>
      </c>
      <c r="F5743" s="21" t="n">
        <v>0</v>
      </c>
      <c r="G5743" s="21" t="n">
        <v>0</v>
      </c>
      <c r="H5743" s="21">
        <f>$B$5338</f>
        <v/>
      </c>
      <c r="I5743" s="21">
        <f>$B$5340</f>
        <v/>
      </c>
      <c r="J5743" s="21">
        <f>0</f>
        <v/>
      </c>
      <c r="K5743" s="21">
        <f>2*$B$5339</f>
        <v/>
      </c>
      <c r="L5743" s="21">
        <f>-$B$5338</f>
        <v/>
      </c>
      <c r="M5743" s="21">
        <f>$B$5340</f>
        <v/>
      </c>
      <c r="N5743" s="21" t="n">
        <v>0</v>
      </c>
      <c r="O5743" s="21" t="n">
        <v>0</v>
      </c>
      <c r="P5743" s="21" t="n">
        <v>0</v>
      </c>
      <c r="Q5743" s="21" t="n">
        <v>0</v>
      </c>
      <c r="R5743" s="21" t="n">
        <v>0</v>
      </c>
      <c r="S5743" s="21" t="n">
        <v>0</v>
      </c>
      <c r="T5743" s="21" t="n">
        <v>0</v>
      </c>
      <c r="U5743" s="21" t="n">
        <v>0</v>
      </c>
      <c r="V5743" s="21" t="n">
        <v>0</v>
      </c>
      <c r="W5743" s="21" t="n">
        <v>0</v>
      </c>
      <c r="X5743" s="21" t="n">
        <v>0</v>
      </c>
      <c r="Y5743" s="21" t="n">
        <v>0</v>
      </c>
      <c r="Z5743" s="19" t="n"/>
    </row>
    <row r="5744">
      <c r="D5744" s="21" t="n">
        <v>0</v>
      </c>
      <c r="E5744" s="21" t="n">
        <v>0</v>
      </c>
      <c r="F5744" s="21" t="n">
        <v>0</v>
      </c>
      <c r="G5744" s="21" t="n">
        <v>0</v>
      </c>
      <c r="H5744" s="21" t="n">
        <v>0</v>
      </c>
      <c r="I5744" s="21" t="n">
        <v>0</v>
      </c>
      <c r="J5744" s="21">
        <f>-$B$5337</f>
        <v/>
      </c>
      <c r="K5744" s="21">
        <f>-$B$5338</f>
        <v/>
      </c>
      <c r="L5744" s="21">
        <f>2*$B$5337+$D$5728</f>
        <v/>
      </c>
      <c r="M5744" s="21">
        <f>0</f>
        <v/>
      </c>
      <c r="N5744" s="21">
        <f>-$B$5337</f>
        <v/>
      </c>
      <c r="O5744" s="21">
        <f>$B$5338</f>
        <v/>
      </c>
      <c r="P5744" s="21" t="n">
        <v>0</v>
      </c>
      <c r="Q5744" s="21" t="n">
        <v>0</v>
      </c>
      <c r="R5744" s="21" t="n">
        <v>0</v>
      </c>
      <c r="S5744" s="21" t="n">
        <v>0</v>
      </c>
      <c r="T5744" s="21" t="n">
        <v>0</v>
      </c>
      <c r="U5744" s="21" t="n">
        <v>0</v>
      </c>
      <c r="V5744" s="21" t="n">
        <v>0</v>
      </c>
      <c r="W5744" s="21" t="n">
        <v>0</v>
      </c>
      <c r="X5744" s="21" t="n">
        <v>0</v>
      </c>
      <c r="Y5744" s="21" t="n">
        <v>0</v>
      </c>
      <c r="Z5744" s="19" t="n"/>
    </row>
    <row r="5745">
      <c r="D5745" s="21" t="n">
        <v>0</v>
      </c>
      <c r="E5745" s="21" t="n">
        <v>0</v>
      </c>
      <c r="F5745" s="21" t="n">
        <v>0</v>
      </c>
      <c r="G5745" s="21" t="n">
        <v>0</v>
      </c>
      <c r="H5745" s="21" t="n">
        <v>0</v>
      </c>
      <c r="I5745" s="21" t="n">
        <v>0</v>
      </c>
      <c r="J5745" s="21">
        <f>$B$5338</f>
        <v/>
      </c>
      <c r="K5745" s="21">
        <f>$B$5340</f>
        <v/>
      </c>
      <c r="L5745" s="21">
        <f>0</f>
        <v/>
      </c>
      <c r="M5745" s="21">
        <f>2*$B$5339</f>
        <v/>
      </c>
      <c r="N5745" s="21">
        <f>-$B$5338</f>
        <v/>
      </c>
      <c r="O5745" s="21">
        <f>$B$5340</f>
        <v/>
      </c>
      <c r="P5745" s="21" t="n">
        <v>0</v>
      </c>
      <c r="Q5745" s="21" t="n">
        <v>0</v>
      </c>
      <c r="R5745" s="21" t="n">
        <v>0</v>
      </c>
      <c r="S5745" s="21" t="n">
        <v>0</v>
      </c>
      <c r="T5745" s="21" t="n">
        <v>0</v>
      </c>
      <c r="U5745" s="21" t="n">
        <v>0</v>
      </c>
      <c r="V5745" s="21" t="n">
        <v>0</v>
      </c>
      <c r="W5745" s="21" t="n">
        <v>0</v>
      </c>
      <c r="X5745" s="21" t="n">
        <v>0</v>
      </c>
      <c r="Y5745" s="21" t="n">
        <v>0</v>
      </c>
      <c r="Z5745" s="19" t="n"/>
    </row>
    <row r="5746">
      <c r="D5746" s="21" t="n">
        <v>0</v>
      </c>
      <c r="E5746" s="21" t="n">
        <v>0</v>
      </c>
      <c r="F5746" s="21" t="n">
        <v>0</v>
      </c>
      <c r="G5746" s="21" t="n">
        <v>0</v>
      </c>
      <c r="H5746" s="21" t="n">
        <v>0</v>
      </c>
      <c r="I5746" s="21" t="n">
        <v>0</v>
      </c>
      <c r="J5746" s="21" t="n">
        <v>0</v>
      </c>
      <c r="K5746" s="21" t="n">
        <v>0</v>
      </c>
      <c r="L5746" s="21">
        <f>-$B$5337</f>
        <v/>
      </c>
      <c r="M5746" s="21">
        <f>-$B$5338</f>
        <v/>
      </c>
      <c r="N5746" s="21">
        <f>2*$B$5337+$D$5729</f>
        <v/>
      </c>
      <c r="O5746" s="21">
        <f>0</f>
        <v/>
      </c>
      <c r="P5746" s="21">
        <f>-$B$5337</f>
        <v/>
      </c>
      <c r="Q5746" s="21">
        <f>$B$5338</f>
        <v/>
      </c>
      <c r="R5746" s="21" t="n">
        <v>0</v>
      </c>
      <c r="S5746" s="21" t="n">
        <v>0</v>
      </c>
      <c r="T5746" s="21" t="n">
        <v>0</v>
      </c>
      <c r="U5746" s="21" t="n">
        <v>0</v>
      </c>
      <c r="V5746" s="21" t="n">
        <v>0</v>
      </c>
      <c r="W5746" s="21" t="n">
        <v>0</v>
      </c>
      <c r="X5746" s="21" t="n">
        <v>0</v>
      </c>
      <c r="Y5746" s="21" t="n">
        <v>0</v>
      </c>
      <c r="Z5746" s="19" t="n"/>
    </row>
    <row r="5747">
      <c r="D5747" s="21" t="n">
        <v>0</v>
      </c>
      <c r="E5747" s="21" t="n">
        <v>0</v>
      </c>
      <c r="F5747" s="21" t="n">
        <v>0</v>
      </c>
      <c r="G5747" s="21" t="n">
        <v>0</v>
      </c>
      <c r="H5747" s="21" t="n">
        <v>0</v>
      </c>
      <c r="I5747" s="21" t="n">
        <v>0</v>
      </c>
      <c r="J5747" s="21" t="n">
        <v>0</v>
      </c>
      <c r="K5747" s="21" t="n">
        <v>0</v>
      </c>
      <c r="L5747" s="21">
        <f>$B$5338</f>
        <v/>
      </c>
      <c r="M5747" s="21">
        <f>$B$5340</f>
        <v/>
      </c>
      <c r="N5747" s="21">
        <f>0</f>
        <v/>
      </c>
      <c r="O5747" s="21">
        <f>2*$B$5339</f>
        <v/>
      </c>
      <c r="P5747" s="21">
        <f>-$B$5338</f>
        <v/>
      </c>
      <c r="Q5747" s="21">
        <f>$B$5340</f>
        <v/>
      </c>
      <c r="R5747" s="21" t="n">
        <v>0</v>
      </c>
      <c r="S5747" s="21" t="n">
        <v>0</v>
      </c>
      <c r="T5747" s="21" t="n">
        <v>0</v>
      </c>
      <c r="U5747" s="21" t="n">
        <v>0</v>
      </c>
      <c r="V5747" s="21" t="n">
        <v>0</v>
      </c>
      <c r="W5747" s="21" t="n">
        <v>0</v>
      </c>
      <c r="X5747" s="21" t="n">
        <v>0</v>
      </c>
      <c r="Y5747" s="21" t="n">
        <v>0</v>
      </c>
      <c r="Z5747" s="19" t="n"/>
    </row>
    <row r="5748">
      <c r="D5748" s="21" t="n">
        <v>0</v>
      </c>
      <c r="E5748" s="21" t="n">
        <v>0</v>
      </c>
      <c r="F5748" s="21" t="n">
        <v>0</v>
      </c>
      <c r="G5748" s="21" t="n">
        <v>0</v>
      </c>
      <c r="H5748" s="21" t="n">
        <v>0</v>
      </c>
      <c r="I5748" s="21" t="n">
        <v>0</v>
      </c>
      <c r="J5748" s="21" t="n">
        <v>0</v>
      </c>
      <c r="K5748" s="21" t="n">
        <v>0</v>
      </c>
      <c r="L5748" s="21" t="n">
        <v>0</v>
      </c>
      <c r="M5748" s="21" t="n">
        <v>0</v>
      </c>
      <c r="N5748" s="21">
        <f>-$B$5337</f>
        <v/>
      </c>
      <c r="O5748" s="21">
        <f>-$B$5338</f>
        <v/>
      </c>
      <c r="P5748" s="21">
        <f>2*$B$5337+$D$5730</f>
        <v/>
      </c>
      <c r="Q5748" s="21">
        <f>0</f>
        <v/>
      </c>
      <c r="R5748" s="21">
        <f>-$B$5337</f>
        <v/>
      </c>
      <c r="S5748" s="21">
        <f>$B$5338</f>
        <v/>
      </c>
      <c r="T5748" s="21" t="n">
        <v>0</v>
      </c>
      <c r="U5748" s="21" t="n">
        <v>0</v>
      </c>
      <c r="V5748" s="21" t="n">
        <v>0</v>
      </c>
      <c r="W5748" s="21" t="n">
        <v>0</v>
      </c>
      <c r="X5748" s="21" t="n">
        <v>0</v>
      </c>
      <c r="Y5748" s="21" t="n">
        <v>0</v>
      </c>
      <c r="Z5748" s="19" t="n"/>
    </row>
    <row r="5749">
      <c r="D5749" s="21" t="n">
        <v>0</v>
      </c>
      <c r="E5749" s="21" t="n">
        <v>0</v>
      </c>
      <c r="F5749" s="21" t="n">
        <v>0</v>
      </c>
      <c r="G5749" s="21" t="n">
        <v>0</v>
      </c>
      <c r="H5749" s="21" t="n">
        <v>0</v>
      </c>
      <c r="I5749" s="21" t="n">
        <v>0</v>
      </c>
      <c r="J5749" s="21" t="n">
        <v>0</v>
      </c>
      <c r="K5749" s="21" t="n">
        <v>0</v>
      </c>
      <c r="L5749" s="21" t="n">
        <v>0</v>
      </c>
      <c r="M5749" s="21" t="n">
        <v>0</v>
      </c>
      <c r="N5749" s="21">
        <f>$B$5338</f>
        <v/>
      </c>
      <c r="O5749" s="21">
        <f>$B$5340</f>
        <v/>
      </c>
      <c r="P5749" s="21">
        <f>0</f>
        <v/>
      </c>
      <c r="Q5749" s="21">
        <f>2*$B$5339</f>
        <v/>
      </c>
      <c r="R5749" s="21">
        <f>-$B$5338</f>
        <v/>
      </c>
      <c r="S5749" s="21">
        <f>$B$5340</f>
        <v/>
      </c>
      <c r="T5749" s="21" t="n">
        <v>0</v>
      </c>
      <c r="U5749" s="21" t="n">
        <v>0</v>
      </c>
      <c r="V5749" s="21" t="n">
        <v>0</v>
      </c>
      <c r="W5749" s="21" t="n">
        <v>0</v>
      </c>
      <c r="X5749" s="21" t="n">
        <v>0</v>
      </c>
      <c r="Y5749" s="21" t="n">
        <v>0</v>
      </c>
      <c r="Z5749" s="19" t="n"/>
    </row>
    <row r="5750">
      <c r="D5750" s="21" t="n">
        <v>0</v>
      </c>
      <c r="E5750" s="21" t="n">
        <v>0</v>
      </c>
      <c r="F5750" s="21" t="n">
        <v>0</v>
      </c>
      <c r="G5750" s="21" t="n">
        <v>0</v>
      </c>
      <c r="H5750" s="21" t="n">
        <v>0</v>
      </c>
      <c r="I5750" s="21" t="n">
        <v>0</v>
      </c>
      <c r="J5750" s="21" t="n">
        <v>0</v>
      </c>
      <c r="K5750" s="21" t="n">
        <v>0</v>
      </c>
      <c r="L5750" s="21" t="n">
        <v>0</v>
      </c>
      <c r="M5750" s="21" t="n">
        <v>0</v>
      </c>
      <c r="N5750" s="21" t="n">
        <v>0</v>
      </c>
      <c r="O5750" s="21" t="n">
        <v>0</v>
      </c>
      <c r="P5750" s="21">
        <f>-$B$5337</f>
        <v/>
      </c>
      <c r="Q5750" s="21">
        <f>-$B$5338</f>
        <v/>
      </c>
      <c r="R5750" s="21">
        <f>2*$B$5337+$D$5731</f>
        <v/>
      </c>
      <c r="S5750" s="21">
        <f>0</f>
        <v/>
      </c>
      <c r="T5750" s="21">
        <f>-$B$5337</f>
        <v/>
      </c>
      <c r="U5750" s="21">
        <f>$B$5338</f>
        <v/>
      </c>
      <c r="V5750" s="21" t="n">
        <v>0</v>
      </c>
      <c r="W5750" s="21" t="n">
        <v>0</v>
      </c>
      <c r="X5750" s="21" t="n">
        <v>0</v>
      </c>
      <c r="Y5750" s="21" t="n">
        <v>0</v>
      </c>
      <c r="Z5750" s="19" t="n"/>
    </row>
    <row r="5751">
      <c r="D5751" s="21" t="n">
        <v>0</v>
      </c>
      <c r="E5751" s="21" t="n">
        <v>0</v>
      </c>
      <c r="F5751" s="21" t="n">
        <v>0</v>
      </c>
      <c r="G5751" s="21" t="n">
        <v>0</v>
      </c>
      <c r="H5751" s="21" t="n">
        <v>0</v>
      </c>
      <c r="I5751" s="21" t="n">
        <v>0</v>
      </c>
      <c r="J5751" s="21" t="n">
        <v>0</v>
      </c>
      <c r="K5751" s="21" t="n">
        <v>0</v>
      </c>
      <c r="L5751" s="21" t="n">
        <v>0</v>
      </c>
      <c r="M5751" s="21" t="n">
        <v>0</v>
      </c>
      <c r="N5751" s="21" t="n">
        <v>0</v>
      </c>
      <c r="O5751" s="21" t="n">
        <v>0</v>
      </c>
      <c r="P5751" s="21">
        <f>$B$5338</f>
        <v/>
      </c>
      <c r="Q5751" s="21">
        <f>$B$5340</f>
        <v/>
      </c>
      <c r="R5751" s="21">
        <f>0</f>
        <v/>
      </c>
      <c r="S5751" s="21">
        <f>2*$B$5339</f>
        <v/>
      </c>
      <c r="T5751" s="21">
        <f>-$B$5338</f>
        <v/>
      </c>
      <c r="U5751" s="21">
        <f>$B$5340</f>
        <v/>
      </c>
      <c r="V5751" s="21" t="n">
        <v>0</v>
      </c>
      <c r="W5751" s="21" t="n">
        <v>0</v>
      </c>
      <c r="X5751" s="21" t="n">
        <v>0</v>
      </c>
      <c r="Y5751" s="21" t="n">
        <v>0</v>
      </c>
      <c r="Z5751" s="19" t="n"/>
    </row>
    <row r="5752">
      <c r="D5752" s="21" t="n">
        <v>0</v>
      </c>
      <c r="E5752" s="21" t="n">
        <v>0</v>
      </c>
      <c r="F5752" s="21" t="n">
        <v>0</v>
      </c>
      <c r="G5752" s="21" t="n">
        <v>0</v>
      </c>
      <c r="H5752" s="21" t="n">
        <v>0</v>
      </c>
      <c r="I5752" s="21" t="n">
        <v>0</v>
      </c>
      <c r="J5752" s="21" t="n">
        <v>0</v>
      </c>
      <c r="K5752" s="21" t="n">
        <v>0</v>
      </c>
      <c r="L5752" s="21" t="n">
        <v>0</v>
      </c>
      <c r="M5752" s="21" t="n">
        <v>0</v>
      </c>
      <c r="N5752" s="21" t="n">
        <v>0</v>
      </c>
      <c r="O5752" s="21" t="n">
        <v>0</v>
      </c>
      <c r="P5752" s="21" t="n">
        <v>0</v>
      </c>
      <c r="Q5752" s="21" t="n">
        <v>0</v>
      </c>
      <c r="R5752" s="21">
        <f>-$B$5337</f>
        <v/>
      </c>
      <c r="S5752" s="21">
        <f>-$B$5338</f>
        <v/>
      </c>
      <c r="T5752" s="21">
        <f>2*$B$5337+$D$5732</f>
        <v/>
      </c>
      <c r="U5752" s="21">
        <f>0</f>
        <v/>
      </c>
      <c r="V5752" s="21">
        <f>-$B$5337</f>
        <v/>
      </c>
      <c r="W5752" s="21">
        <f>$B$5338</f>
        <v/>
      </c>
      <c r="X5752" s="21" t="n">
        <v>0</v>
      </c>
      <c r="Y5752" s="21" t="n">
        <v>0</v>
      </c>
      <c r="Z5752" s="19" t="n"/>
    </row>
    <row r="5753">
      <c r="D5753" s="21" t="n">
        <v>0</v>
      </c>
      <c r="E5753" s="21" t="n">
        <v>0</v>
      </c>
      <c r="F5753" s="21" t="n">
        <v>0</v>
      </c>
      <c r="G5753" s="21" t="n">
        <v>0</v>
      </c>
      <c r="H5753" s="21" t="n">
        <v>0</v>
      </c>
      <c r="I5753" s="21" t="n">
        <v>0</v>
      </c>
      <c r="J5753" s="21" t="n">
        <v>0</v>
      </c>
      <c r="K5753" s="21" t="n">
        <v>0</v>
      </c>
      <c r="L5753" s="21" t="n">
        <v>0</v>
      </c>
      <c r="M5753" s="21" t="n">
        <v>0</v>
      </c>
      <c r="N5753" s="21" t="n">
        <v>0</v>
      </c>
      <c r="O5753" s="21" t="n">
        <v>0</v>
      </c>
      <c r="P5753" s="21" t="n">
        <v>0</v>
      </c>
      <c r="Q5753" s="21" t="n">
        <v>0</v>
      </c>
      <c r="R5753" s="21">
        <f>$B$5338</f>
        <v/>
      </c>
      <c r="S5753" s="21">
        <f>$B$5340</f>
        <v/>
      </c>
      <c r="T5753" s="21">
        <f>0</f>
        <v/>
      </c>
      <c r="U5753" s="21">
        <f>2*$B$5339</f>
        <v/>
      </c>
      <c r="V5753" s="21">
        <f>-$B$5338</f>
        <v/>
      </c>
      <c r="W5753" s="21">
        <f>$B$5340</f>
        <v/>
      </c>
      <c r="X5753" s="21" t="n">
        <v>0</v>
      </c>
      <c r="Y5753" s="21" t="n">
        <v>0</v>
      </c>
      <c r="Z5753" s="19" t="n"/>
    </row>
    <row r="5754">
      <c r="D5754" s="21" t="n">
        <v>0</v>
      </c>
      <c r="E5754" s="21" t="n">
        <v>0</v>
      </c>
      <c r="F5754" s="21" t="n">
        <v>0</v>
      </c>
      <c r="G5754" s="21" t="n">
        <v>0</v>
      </c>
      <c r="H5754" s="21" t="n">
        <v>0</v>
      </c>
      <c r="I5754" s="21" t="n">
        <v>0</v>
      </c>
      <c r="J5754" s="21" t="n">
        <v>0</v>
      </c>
      <c r="K5754" s="21" t="n">
        <v>0</v>
      </c>
      <c r="L5754" s="21" t="n">
        <v>0</v>
      </c>
      <c r="M5754" s="21" t="n">
        <v>0</v>
      </c>
      <c r="N5754" s="21" t="n">
        <v>0</v>
      </c>
      <c r="O5754" s="21" t="n">
        <v>0</v>
      </c>
      <c r="P5754" s="21" t="n">
        <v>0</v>
      </c>
      <c r="Q5754" s="21" t="n">
        <v>0</v>
      </c>
      <c r="R5754" s="21" t="n">
        <v>0</v>
      </c>
      <c r="S5754" s="21" t="n">
        <v>0</v>
      </c>
      <c r="T5754" s="21">
        <f>-$B$5337</f>
        <v/>
      </c>
      <c r="U5754" s="21">
        <f>-$B$5338</f>
        <v/>
      </c>
      <c r="V5754" s="21">
        <f>2*$B$5337+$D$5733</f>
        <v/>
      </c>
      <c r="W5754" s="21">
        <f>0</f>
        <v/>
      </c>
      <c r="X5754" s="21">
        <f>-$B$5337</f>
        <v/>
      </c>
      <c r="Y5754" s="21">
        <f>$B$5338</f>
        <v/>
      </c>
      <c r="Z5754" s="19" t="n"/>
    </row>
    <row r="5755">
      <c r="D5755" s="21" t="n">
        <v>0</v>
      </c>
      <c r="E5755" s="21" t="n">
        <v>0</v>
      </c>
      <c r="F5755" s="21" t="n">
        <v>0</v>
      </c>
      <c r="G5755" s="21" t="n">
        <v>0</v>
      </c>
      <c r="H5755" s="21" t="n">
        <v>0</v>
      </c>
      <c r="I5755" s="21" t="n">
        <v>0</v>
      </c>
      <c r="J5755" s="21" t="n">
        <v>0</v>
      </c>
      <c r="K5755" s="21" t="n">
        <v>0</v>
      </c>
      <c r="L5755" s="21" t="n">
        <v>0</v>
      </c>
      <c r="M5755" s="21" t="n">
        <v>0</v>
      </c>
      <c r="N5755" s="21" t="n">
        <v>0</v>
      </c>
      <c r="O5755" s="21" t="n">
        <v>0</v>
      </c>
      <c r="P5755" s="21" t="n">
        <v>0</v>
      </c>
      <c r="Q5755" s="21" t="n">
        <v>0</v>
      </c>
      <c r="R5755" s="21" t="n">
        <v>0</v>
      </c>
      <c r="S5755" s="21" t="n">
        <v>0</v>
      </c>
      <c r="T5755" s="21">
        <f>$B$5338</f>
        <v/>
      </c>
      <c r="U5755" s="21">
        <f>$B$5340</f>
        <v/>
      </c>
      <c r="V5755" s="21">
        <f>0</f>
        <v/>
      </c>
      <c r="W5755" s="21">
        <f>2*$B$5339</f>
        <v/>
      </c>
      <c r="X5755" s="21">
        <f>-$B$5338</f>
        <v/>
      </c>
      <c r="Y5755" s="21">
        <f>$B$5340</f>
        <v/>
      </c>
      <c r="Z5755" s="19" t="n"/>
    </row>
    <row r="5756">
      <c r="D5756" s="21" t="n">
        <v>0</v>
      </c>
      <c r="E5756" s="21" t="n">
        <v>0</v>
      </c>
      <c r="F5756" s="21" t="n">
        <v>0</v>
      </c>
      <c r="G5756" s="21" t="n">
        <v>0</v>
      </c>
      <c r="H5756" s="21" t="n">
        <v>0</v>
      </c>
      <c r="I5756" s="21" t="n">
        <v>0</v>
      </c>
      <c r="J5756" s="21" t="n">
        <v>0</v>
      </c>
      <c r="K5756" s="21" t="n">
        <v>0</v>
      </c>
      <c r="L5756" s="21" t="n">
        <v>0</v>
      </c>
      <c r="M5756" s="21" t="n">
        <v>0</v>
      </c>
      <c r="N5756" s="21" t="n">
        <v>0</v>
      </c>
      <c r="O5756" s="21" t="n">
        <v>0</v>
      </c>
      <c r="P5756" s="21" t="n">
        <v>0</v>
      </c>
      <c r="Q5756" s="21" t="n">
        <v>0</v>
      </c>
      <c r="R5756" s="21" t="n">
        <v>0</v>
      </c>
      <c r="S5756" s="21" t="n">
        <v>0</v>
      </c>
      <c r="T5756" s="21" t="n">
        <v>0</v>
      </c>
      <c r="U5756" s="21" t="n">
        <v>0</v>
      </c>
      <c r="V5756" s="21">
        <f>-$B$5337</f>
        <v/>
      </c>
      <c r="W5756" s="21">
        <f>-$B$5338</f>
        <v/>
      </c>
      <c r="X5756" s="21">
        <f>$B$5337+$D$5734</f>
        <v/>
      </c>
      <c r="Y5756" s="21">
        <f>-$B$5338</f>
        <v/>
      </c>
      <c r="Z5756" s="19" t="n"/>
    </row>
    <row r="5757">
      <c r="D5757" s="21" t="n">
        <v>0</v>
      </c>
      <c r="E5757" s="21" t="n">
        <v>0</v>
      </c>
      <c r="F5757" s="21" t="n">
        <v>0</v>
      </c>
      <c r="G5757" s="21" t="n">
        <v>0</v>
      </c>
      <c r="H5757" s="21" t="n">
        <v>0</v>
      </c>
      <c r="I5757" s="21" t="n">
        <v>0</v>
      </c>
      <c r="J5757" s="21" t="n">
        <v>0</v>
      </c>
      <c r="K5757" s="21" t="n">
        <v>0</v>
      </c>
      <c r="L5757" s="21" t="n">
        <v>0</v>
      </c>
      <c r="M5757" s="21" t="n">
        <v>0</v>
      </c>
      <c r="N5757" s="21" t="n">
        <v>0</v>
      </c>
      <c r="O5757" s="21" t="n">
        <v>0</v>
      </c>
      <c r="P5757" s="21" t="n">
        <v>0</v>
      </c>
      <c r="Q5757" s="21" t="n">
        <v>0</v>
      </c>
      <c r="R5757" s="21" t="n">
        <v>0</v>
      </c>
      <c r="S5757" s="21" t="n">
        <v>0</v>
      </c>
      <c r="T5757" s="21" t="n">
        <v>0</v>
      </c>
      <c r="U5757" s="21" t="n">
        <v>0</v>
      </c>
      <c r="V5757" s="21">
        <f>$B$5338</f>
        <v/>
      </c>
      <c r="W5757" s="21">
        <f>$B$5340</f>
        <v/>
      </c>
      <c r="X5757" s="21">
        <f>-$B$5338</f>
        <v/>
      </c>
      <c r="Y5757" s="21">
        <f>$B$5339</f>
        <v/>
      </c>
      <c r="Z5757" s="19" t="n"/>
    </row>
    <row r="5759">
      <c r="A5759" s="8" t="inlineStr">
        <is>
          <t>gen 11</t>
        </is>
      </c>
    </row>
    <row r="5760">
      <c r="D5760" s="19">
        <f>IF(ABS(IF(ABS($E$5724)&gt;0.000000001,$E$5724,0.000000001))=0,0,IF($E$5352&lt;=$B$5346,0,IF(ABS(IF(ABS($E$5724)&gt;0.000000001,$E$5724,0.000000001))&gt;=8*$B$5348,$H$5352,0.5*$H$5352*(ABS(IF(ABS($E$5724)&gt;0.000000001,$E$5724,0.000000001))/$B$5348)^(1/3)))/ABS(IF(ABS($E$5724)&gt;0.000000001,$E$5724,0.000000001))*$I$5352)</f>
        <v/>
      </c>
      <c r="E5760" s="19">
        <f>0.5*$E$5724+0.5*$Z$5772</f>
        <v/>
      </c>
      <c r="F5760" s="19">
        <f>$Z$5773</f>
        <v/>
      </c>
    </row>
    <row r="5761">
      <c r="D5761" s="19">
        <f>IF(ABS(IF(ABS($E$5725)&gt;0.000000001,$E$5725,0.000000001))=0,0,IF($E$5353&lt;=$B$5346,0,IF(ABS(IF(ABS($E$5725)&gt;0.000000001,$E$5725,0.000000001))&gt;=8*$B$5348,$H$5353,0.5*$H$5353*(ABS(IF(ABS($E$5725)&gt;0.000000001,$E$5725,0.000000001))/$B$5348)^(1/3)))/ABS(IF(ABS($E$5725)&gt;0.000000001,$E$5725,0.000000001))*$I$5353)</f>
        <v/>
      </c>
      <c r="E5761" s="19">
        <f>0.5*$E$5725+0.5*$Z$5774</f>
        <v/>
      </c>
      <c r="F5761" s="19">
        <f>$Z$5775</f>
        <v/>
      </c>
    </row>
    <row r="5762">
      <c r="D5762" s="19">
        <f>IF(ABS(IF(ABS($E$5726)&gt;0.000000001,$E$5726,0.000000001))=0,0,IF($E$5354&lt;=$B$5346,0,IF(ABS(IF(ABS($E$5726)&gt;0.000000001,$E$5726,0.000000001))&gt;=8*$B$5348,$H$5354,0.5*$H$5354*(ABS(IF(ABS($E$5726)&gt;0.000000001,$E$5726,0.000000001))/$B$5348)^(1/3)))/ABS(IF(ABS($E$5726)&gt;0.000000001,$E$5726,0.000000001))*$I$5354)</f>
        <v/>
      </c>
      <c r="E5762" s="19">
        <f>0.5*$E$5726+0.5*$Z$5776</f>
        <v/>
      </c>
      <c r="F5762" s="19">
        <f>$Z$5777</f>
        <v/>
      </c>
    </row>
    <row r="5763">
      <c r="D5763" s="19">
        <f>IF(ABS(IF(ABS($E$5727)&gt;0.000000001,$E$5727,0.000000001))=0,0,IF($E$5355&lt;=$B$5346,0,IF(ABS(IF(ABS($E$5727)&gt;0.000000001,$E$5727,0.000000001))&gt;=8*$B$5348,$H$5355,0.5*$H$5355*(ABS(IF(ABS($E$5727)&gt;0.000000001,$E$5727,0.000000001))/$B$5348)^(1/3)))/ABS(IF(ABS($E$5727)&gt;0.000000001,$E$5727,0.000000001))*$I$5355)</f>
        <v/>
      </c>
      <c r="E5763" s="19">
        <f>0.5*$E$5727+0.5*$Z$5778</f>
        <v/>
      </c>
      <c r="F5763" s="19">
        <f>$Z$5779</f>
        <v/>
      </c>
    </row>
    <row r="5764">
      <c r="D5764" s="19">
        <f>IF(ABS(IF(ABS($E$5728)&gt;0.000000001,$E$5728,0.000000001))=0,0,IF($E$5356&lt;=$B$5346,0,IF(ABS(IF(ABS($E$5728)&gt;0.000000001,$E$5728,0.000000001))&gt;=8*$B$5348,$H$5356,0.5*$H$5356*(ABS(IF(ABS($E$5728)&gt;0.000000001,$E$5728,0.000000001))/$B$5348)^(1/3)))/ABS(IF(ABS($E$5728)&gt;0.000000001,$E$5728,0.000000001))*$I$5356)</f>
        <v/>
      </c>
      <c r="E5764" s="19">
        <f>0.5*$E$5728+0.5*$Z$5780</f>
        <v/>
      </c>
      <c r="F5764" s="19">
        <f>$Z$5781</f>
        <v/>
      </c>
    </row>
    <row r="5765">
      <c r="D5765" s="19">
        <f>IF(ABS(IF(ABS($E$5729)&gt;0.000000001,$E$5729,0.000000001))=0,0,IF($E$5357&lt;=$B$5346,0,IF(ABS(IF(ABS($E$5729)&gt;0.000000001,$E$5729,0.000000001))&gt;=8*$B$5348,$H$5357,0.5*$H$5357*(ABS(IF(ABS($E$5729)&gt;0.000000001,$E$5729,0.000000001))/$B$5348)^(1/3)))/ABS(IF(ABS($E$5729)&gt;0.000000001,$E$5729,0.000000001))*$I$5357)</f>
        <v/>
      </c>
      <c r="E5765" s="19">
        <f>0.5*$E$5729+0.5*$Z$5782</f>
        <v/>
      </c>
      <c r="F5765" s="19">
        <f>$Z$5783</f>
        <v/>
      </c>
    </row>
    <row r="5766">
      <c r="D5766" s="19">
        <f>IF(ABS(IF(ABS($E$5730)&gt;0.000000001,$E$5730,0.000000001))=0,0,IF($E$5358&lt;=$B$5346,0,IF(ABS(IF(ABS($E$5730)&gt;0.000000001,$E$5730,0.000000001))&gt;=8*$B$5348,$H$5358,0.5*$H$5358*(ABS(IF(ABS($E$5730)&gt;0.000000001,$E$5730,0.000000001))/$B$5348)^(1/3)))/ABS(IF(ABS($E$5730)&gt;0.000000001,$E$5730,0.000000001))*$I$5358)</f>
        <v/>
      </c>
      <c r="E5766" s="19">
        <f>0.5*$E$5730+0.5*$Z$5784</f>
        <v/>
      </c>
      <c r="F5766" s="19">
        <f>$Z$5785</f>
        <v/>
      </c>
    </row>
    <row r="5767">
      <c r="D5767" s="19">
        <f>IF(ABS(IF(ABS($E$5731)&gt;0.000000001,$E$5731,0.000000001))=0,0,IF($E$5359&lt;=$B$5346,0,IF(ABS(IF(ABS($E$5731)&gt;0.000000001,$E$5731,0.000000001))&gt;=8*$B$5348,$H$5359,0.5*$H$5359*(ABS(IF(ABS($E$5731)&gt;0.000000001,$E$5731,0.000000001))/$B$5348)^(1/3)))/ABS(IF(ABS($E$5731)&gt;0.000000001,$E$5731,0.000000001))*$I$5359)</f>
        <v/>
      </c>
      <c r="E5767" s="19">
        <f>0.5*$E$5731+0.5*$Z$5786</f>
        <v/>
      </c>
      <c r="F5767" s="19">
        <f>$Z$5787</f>
        <v/>
      </c>
    </row>
    <row r="5768">
      <c r="D5768" s="19">
        <f>IF(ABS(IF(ABS($E$5732)&gt;0.000000001,$E$5732,0.000000001))=0,0,IF($E$5360&lt;=$B$5346,0,IF(ABS(IF(ABS($E$5732)&gt;0.000000001,$E$5732,0.000000001))&gt;=8*$B$5348,$H$5360,0.5*$H$5360*(ABS(IF(ABS($E$5732)&gt;0.000000001,$E$5732,0.000000001))/$B$5348)^(1/3)))/ABS(IF(ABS($E$5732)&gt;0.000000001,$E$5732,0.000000001))*$I$5360)</f>
        <v/>
      </c>
      <c r="E5768" s="19">
        <f>0.5*$E$5732+0.5*$Z$5788</f>
        <v/>
      </c>
      <c r="F5768" s="19">
        <f>$Z$5789</f>
        <v/>
      </c>
    </row>
    <row r="5769">
      <c r="D5769" s="19">
        <f>IF(ABS(IF(ABS($E$5733)&gt;0.000000001,$E$5733,0.000000001))=0,0,IF($E$5361&lt;=$B$5346,0,IF(ABS(IF(ABS($E$5733)&gt;0.000000001,$E$5733,0.000000001))&gt;=8*$B$5348,$H$5361,0.5*$H$5361*(ABS(IF(ABS($E$5733)&gt;0.000000001,$E$5733,0.000000001))/$B$5348)^(1/3)))/ABS(IF(ABS($E$5733)&gt;0.000000001,$E$5733,0.000000001))*$I$5361)</f>
        <v/>
      </c>
      <c r="E5769" s="19">
        <f>0.5*$E$5733+0.5*$Z$5790</f>
        <v/>
      </c>
      <c r="F5769" s="19">
        <f>$Z$5791</f>
        <v/>
      </c>
    </row>
    <row r="5770">
      <c r="D5770" s="19">
        <f>IF(ABS(IF(ABS($E$5734)&gt;0.000000001,$E$5734,0.000000001))=0,0,IF($E$5362&lt;=$B$5346,0,IF(ABS(IF(ABS($E$5734)&gt;0.000000001,$E$5734,0.000000001))&gt;=8*$B$5348,$H$5362,0.5*$H$5362*(ABS(IF(ABS($E$5734)&gt;0.000000001,$E$5734,0.000000001))/$B$5348)^(1/3)))/ABS(IF(ABS($E$5734)&gt;0.000000001,$E$5734,0.000000001))*$I$5362)</f>
        <v/>
      </c>
      <c r="E5770" s="19">
        <f>0.5*$E$5734+0.5*$Z$5792</f>
        <v/>
      </c>
      <c r="F5770" s="19">
        <f>$Z$5793</f>
        <v/>
      </c>
    </row>
    <row r="5772">
      <c r="D5772" s="21">
        <f>$B$5337+$D$5760</f>
        <v/>
      </c>
      <c r="E5772" s="21">
        <f>$B$5338</f>
        <v/>
      </c>
      <c r="F5772" s="21">
        <f>-$B$5337</f>
        <v/>
      </c>
      <c r="G5772" s="21">
        <f>$B$5338</f>
        <v/>
      </c>
      <c r="H5772" s="21" t="n">
        <v>0</v>
      </c>
      <c r="I5772" s="21" t="n">
        <v>0</v>
      </c>
      <c r="J5772" s="21" t="n">
        <v>0</v>
      </c>
      <c r="K5772" s="21" t="n">
        <v>0</v>
      </c>
      <c r="L5772" s="21" t="n">
        <v>0</v>
      </c>
      <c r="M5772" s="21" t="n">
        <v>0</v>
      </c>
      <c r="N5772" s="21" t="n">
        <v>0</v>
      </c>
      <c r="O5772" s="21" t="n">
        <v>0</v>
      </c>
      <c r="P5772" s="21" t="n">
        <v>0</v>
      </c>
      <c r="Q5772" s="21" t="n">
        <v>0</v>
      </c>
      <c r="R5772" s="21" t="n">
        <v>0</v>
      </c>
      <c r="S5772" s="21" t="n">
        <v>0</v>
      </c>
      <c r="T5772" s="21" t="n">
        <v>0</v>
      </c>
      <c r="U5772" s="21" t="n">
        <v>0</v>
      </c>
      <c r="V5772" s="21" t="n">
        <v>0</v>
      </c>
      <c r="W5772" s="21" t="n">
        <v>0</v>
      </c>
      <c r="X5772" s="21" t="n">
        <v>0</v>
      </c>
      <c r="Y5772" s="21" t="n">
        <v>0</v>
      </c>
      <c r="Z5772" s="19">
        <f t="array" ref="Z5772:Z5793">MMULT(MINVERSE($D$5772:$Y$5793),$D$5364:$D$5385)</f>
        <v/>
      </c>
    </row>
    <row r="5773">
      <c r="D5773" s="21">
        <f>$B$5338</f>
        <v/>
      </c>
      <c r="E5773" s="21">
        <f>$B$5339</f>
        <v/>
      </c>
      <c r="F5773" s="21">
        <f>-$B$5338</f>
        <v/>
      </c>
      <c r="G5773" s="21">
        <f>$B$5340</f>
        <v/>
      </c>
      <c r="H5773" s="21" t="n">
        <v>0</v>
      </c>
      <c r="I5773" s="21" t="n">
        <v>0</v>
      </c>
      <c r="J5773" s="21" t="n">
        <v>0</v>
      </c>
      <c r="K5773" s="21" t="n">
        <v>0</v>
      </c>
      <c r="L5773" s="21" t="n">
        <v>0</v>
      </c>
      <c r="M5773" s="21" t="n">
        <v>0</v>
      </c>
      <c r="N5773" s="21" t="n">
        <v>0</v>
      </c>
      <c r="O5773" s="21" t="n">
        <v>0</v>
      </c>
      <c r="P5773" s="21" t="n">
        <v>0</v>
      </c>
      <c r="Q5773" s="21" t="n">
        <v>0</v>
      </c>
      <c r="R5773" s="21" t="n">
        <v>0</v>
      </c>
      <c r="S5773" s="21" t="n">
        <v>0</v>
      </c>
      <c r="T5773" s="21" t="n">
        <v>0</v>
      </c>
      <c r="U5773" s="21" t="n">
        <v>0</v>
      </c>
      <c r="V5773" s="21" t="n">
        <v>0</v>
      </c>
      <c r="W5773" s="21" t="n">
        <v>0</v>
      </c>
      <c r="X5773" s="21" t="n">
        <v>0</v>
      </c>
      <c r="Y5773" s="21" t="n">
        <v>0</v>
      </c>
      <c r="Z5773" s="19" t="n"/>
    </row>
    <row r="5774">
      <c r="D5774" s="21">
        <f>-$B$5337</f>
        <v/>
      </c>
      <c r="E5774" s="21">
        <f>-$B$5338</f>
        <v/>
      </c>
      <c r="F5774" s="21">
        <f>2*$B$5337+$D$5761</f>
        <v/>
      </c>
      <c r="G5774" s="21">
        <f>0</f>
        <v/>
      </c>
      <c r="H5774" s="21">
        <f>-$B$5337</f>
        <v/>
      </c>
      <c r="I5774" s="21">
        <f>$B$5338</f>
        <v/>
      </c>
      <c r="J5774" s="21" t="n">
        <v>0</v>
      </c>
      <c r="K5774" s="21" t="n">
        <v>0</v>
      </c>
      <c r="L5774" s="21" t="n">
        <v>0</v>
      </c>
      <c r="M5774" s="21" t="n">
        <v>0</v>
      </c>
      <c r="N5774" s="21" t="n">
        <v>0</v>
      </c>
      <c r="O5774" s="21" t="n">
        <v>0</v>
      </c>
      <c r="P5774" s="21" t="n">
        <v>0</v>
      </c>
      <c r="Q5774" s="21" t="n">
        <v>0</v>
      </c>
      <c r="R5774" s="21" t="n">
        <v>0</v>
      </c>
      <c r="S5774" s="21" t="n">
        <v>0</v>
      </c>
      <c r="T5774" s="21" t="n">
        <v>0</v>
      </c>
      <c r="U5774" s="21" t="n">
        <v>0</v>
      </c>
      <c r="V5774" s="21" t="n">
        <v>0</v>
      </c>
      <c r="W5774" s="21" t="n">
        <v>0</v>
      </c>
      <c r="X5774" s="21" t="n">
        <v>0</v>
      </c>
      <c r="Y5774" s="21" t="n">
        <v>0</v>
      </c>
      <c r="Z5774" s="19" t="n"/>
    </row>
    <row r="5775">
      <c r="D5775" s="21">
        <f>$B$5338</f>
        <v/>
      </c>
      <c r="E5775" s="21">
        <f>$B$5340</f>
        <v/>
      </c>
      <c r="F5775" s="21">
        <f>0</f>
        <v/>
      </c>
      <c r="G5775" s="21">
        <f>2*$B$5339</f>
        <v/>
      </c>
      <c r="H5775" s="21">
        <f>-$B$5338</f>
        <v/>
      </c>
      <c r="I5775" s="21">
        <f>$B$5340</f>
        <v/>
      </c>
      <c r="J5775" s="21" t="n">
        <v>0</v>
      </c>
      <c r="K5775" s="21" t="n">
        <v>0</v>
      </c>
      <c r="L5775" s="21" t="n">
        <v>0</v>
      </c>
      <c r="M5775" s="21" t="n">
        <v>0</v>
      </c>
      <c r="N5775" s="21" t="n">
        <v>0</v>
      </c>
      <c r="O5775" s="21" t="n">
        <v>0</v>
      </c>
      <c r="P5775" s="21" t="n">
        <v>0</v>
      </c>
      <c r="Q5775" s="21" t="n">
        <v>0</v>
      </c>
      <c r="R5775" s="21" t="n">
        <v>0</v>
      </c>
      <c r="S5775" s="21" t="n">
        <v>0</v>
      </c>
      <c r="T5775" s="21" t="n">
        <v>0</v>
      </c>
      <c r="U5775" s="21" t="n">
        <v>0</v>
      </c>
      <c r="V5775" s="21" t="n">
        <v>0</v>
      </c>
      <c r="W5775" s="21" t="n">
        <v>0</v>
      </c>
      <c r="X5775" s="21" t="n">
        <v>0</v>
      </c>
      <c r="Y5775" s="21" t="n">
        <v>0</v>
      </c>
      <c r="Z5775" s="19" t="n"/>
    </row>
    <row r="5776">
      <c r="D5776" s="21" t="n">
        <v>0</v>
      </c>
      <c r="E5776" s="21" t="n">
        <v>0</v>
      </c>
      <c r="F5776" s="21">
        <f>-$B$5337</f>
        <v/>
      </c>
      <c r="G5776" s="21">
        <f>-$B$5338</f>
        <v/>
      </c>
      <c r="H5776" s="21">
        <f>2*$B$5337+$D$5762</f>
        <v/>
      </c>
      <c r="I5776" s="21">
        <f>0</f>
        <v/>
      </c>
      <c r="J5776" s="21">
        <f>-$B$5337</f>
        <v/>
      </c>
      <c r="K5776" s="21">
        <f>$B$5338</f>
        <v/>
      </c>
      <c r="L5776" s="21" t="n">
        <v>0</v>
      </c>
      <c r="M5776" s="21" t="n">
        <v>0</v>
      </c>
      <c r="N5776" s="21" t="n">
        <v>0</v>
      </c>
      <c r="O5776" s="21" t="n">
        <v>0</v>
      </c>
      <c r="P5776" s="21" t="n">
        <v>0</v>
      </c>
      <c r="Q5776" s="21" t="n">
        <v>0</v>
      </c>
      <c r="R5776" s="21" t="n">
        <v>0</v>
      </c>
      <c r="S5776" s="21" t="n">
        <v>0</v>
      </c>
      <c r="T5776" s="21" t="n">
        <v>0</v>
      </c>
      <c r="U5776" s="21" t="n">
        <v>0</v>
      </c>
      <c r="V5776" s="21" t="n">
        <v>0</v>
      </c>
      <c r="W5776" s="21" t="n">
        <v>0</v>
      </c>
      <c r="X5776" s="21" t="n">
        <v>0</v>
      </c>
      <c r="Y5776" s="21" t="n">
        <v>0</v>
      </c>
      <c r="Z5776" s="19" t="n"/>
    </row>
    <row r="5777">
      <c r="D5777" s="21" t="n">
        <v>0</v>
      </c>
      <c r="E5777" s="21" t="n">
        <v>0</v>
      </c>
      <c r="F5777" s="21">
        <f>$B$5338</f>
        <v/>
      </c>
      <c r="G5777" s="21">
        <f>$B$5340</f>
        <v/>
      </c>
      <c r="H5777" s="21">
        <f>0</f>
        <v/>
      </c>
      <c r="I5777" s="21">
        <f>2*$B$5339</f>
        <v/>
      </c>
      <c r="J5777" s="21">
        <f>-$B$5338</f>
        <v/>
      </c>
      <c r="K5777" s="21">
        <f>$B$5340</f>
        <v/>
      </c>
      <c r="L5777" s="21" t="n">
        <v>0</v>
      </c>
      <c r="M5777" s="21" t="n">
        <v>0</v>
      </c>
      <c r="N5777" s="21" t="n">
        <v>0</v>
      </c>
      <c r="O5777" s="21" t="n">
        <v>0</v>
      </c>
      <c r="P5777" s="21" t="n">
        <v>0</v>
      </c>
      <c r="Q5777" s="21" t="n">
        <v>0</v>
      </c>
      <c r="R5777" s="21" t="n">
        <v>0</v>
      </c>
      <c r="S5777" s="21" t="n">
        <v>0</v>
      </c>
      <c r="T5777" s="21" t="n">
        <v>0</v>
      </c>
      <c r="U5777" s="21" t="n">
        <v>0</v>
      </c>
      <c r="V5777" s="21" t="n">
        <v>0</v>
      </c>
      <c r="W5777" s="21" t="n">
        <v>0</v>
      </c>
      <c r="X5777" s="21" t="n">
        <v>0</v>
      </c>
      <c r="Y5777" s="21" t="n">
        <v>0</v>
      </c>
      <c r="Z5777" s="19" t="n"/>
    </row>
    <row r="5778">
      <c r="D5778" s="21" t="n">
        <v>0</v>
      </c>
      <c r="E5778" s="21" t="n">
        <v>0</v>
      </c>
      <c r="F5778" s="21" t="n">
        <v>0</v>
      </c>
      <c r="G5778" s="21" t="n">
        <v>0</v>
      </c>
      <c r="H5778" s="21">
        <f>-$B$5337</f>
        <v/>
      </c>
      <c r="I5778" s="21">
        <f>-$B$5338</f>
        <v/>
      </c>
      <c r="J5778" s="21">
        <f>2*$B$5337+$D$5763</f>
        <v/>
      </c>
      <c r="K5778" s="21">
        <f>0</f>
        <v/>
      </c>
      <c r="L5778" s="21">
        <f>-$B$5337</f>
        <v/>
      </c>
      <c r="M5778" s="21">
        <f>$B$5338</f>
        <v/>
      </c>
      <c r="N5778" s="21" t="n">
        <v>0</v>
      </c>
      <c r="O5778" s="21" t="n">
        <v>0</v>
      </c>
      <c r="P5778" s="21" t="n">
        <v>0</v>
      </c>
      <c r="Q5778" s="21" t="n">
        <v>0</v>
      </c>
      <c r="R5778" s="21" t="n">
        <v>0</v>
      </c>
      <c r="S5778" s="21" t="n">
        <v>0</v>
      </c>
      <c r="T5778" s="21" t="n">
        <v>0</v>
      </c>
      <c r="U5778" s="21" t="n">
        <v>0</v>
      </c>
      <c r="V5778" s="21" t="n">
        <v>0</v>
      </c>
      <c r="W5778" s="21" t="n">
        <v>0</v>
      </c>
      <c r="X5778" s="21" t="n">
        <v>0</v>
      </c>
      <c r="Y5778" s="21" t="n">
        <v>0</v>
      </c>
      <c r="Z5778" s="19" t="n"/>
    </row>
    <row r="5779">
      <c r="D5779" s="21" t="n">
        <v>0</v>
      </c>
      <c r="E5779" s="21" t="n">
        <v>0</v>
      </c>
      <c r="F5779" s="21" t="n">
        <v>0</v>
      </c>
      <c r="G5779" s="21" t="n">
        <v>0</v>
      </c>
      <c r="H5779" s="21">
        <f>$B$5338</f>
        <v/>
      </c>
      <c r="I5779" s="21">
        <f>$B$5340</f>
        <v/>
      </c>
      <c r="J5779" s="21">
        <f>0</f>
        <v/>
      </c>
      <c r="K5779" s="21">
        <f>2*$B$5339</f>
        <v/>
      </c>
      <c r="L5779" s="21">
        <f>-$B$5338</f>
        <v/>
      </c>
      <c r="M5779" s="21">
        <f>$B$5340</f>
        <v/>
      </c>
      <c r="N5779" s="21" t="n">
        <v>0</v>
      </c>
      <c r="O5779" s="21" t="n">
        <v>0</v>
      </c>
      <c r="P5779" s="21" t="n">
        <v>0</v>
      </c>
      <c r="Q5779" s="21" t="n">
        <v>0</v>
      </c>
      <c r="R5779" s="21" t="n">
        <v>0</v>
      </c>
      <c r="S5779" s="21" t="n">
        <v>0</v>
      </c>
      <c r="T5779" s="21" t="n">
        <v>0</v>
      </c>
      <c r="U5779" s="21" t="n">
        <v>0</v>
      </c>
      <c r="V5779" s="21" t="n">
        <v>0</v>
      </c>
      <c r="W5779" s="21" t="n">
        <v>0</v>
      </c>
      <c r="X5779" s="21" t="n">
        <v>0</v>
      </c>
      <c r="Y5779" s="21" t="n">
        <v>0</v>
      </c>
      <c r="Z5779" s="19" t="n"/>
    </row>
    <row r="5780">
      <c r="D5780" s="21" t="n">
        <v>0</v>
      </c>
      <c r="E5780" s="21" t="n">
        <v>0</v>
      </c>
      <c r="F5780" s="21" t="n">
        <v>0</v>
      </c>
      <c r="G5780" s="21" t="n">
        <v>0</v>
      </c>
      <c r="H5780" s="21" t="n">
        <v>0</v>
      </c>
      <c r="I5780" s="21" t="n">
        <v>0</v>
      </c>
      <c r="J5780" s="21">
        <f>-$B$5337</f>
        <v/>
      </c>
      <c r="K5780" s="21">
        <f>-$B$5338</f>
        <v/>
      </c>
      <c r="L5780" s="21">
        <f>2*$B$5337+$D$5764</f>
        <v/>
      </c>
      <c r="M5780" s="21">
        <f>0</f>
        <v/>
      </c>
      <c r="N5780" s="21">
        <f>-$B$5337</f>
        <v/>
      </c>
      <c r="O5780" s="21">
        <f>$B$5338</f>
        <v/>
      </c>
      <c r="P5780" s="21" t="n">
        <v>0</v>
      </c>
      <c r="Q5780" s="21" t="n">
        <v>0</v>
      </c>
      <c r="R5780" s="21" t="n">
        <v>0</v>
      </c>
      <c r="S5780" s="21" t="n">
        <v>0</v>
      </c>
      <c r="T5780" s="21" t="n">
        <v>0</v>
      </c>
      <c r="U5780" s="21" t="n">
        <v>0</v>
      </c>
      <c r="V5780" s="21" t="n">
        <v>0</v>
      </c>
      <c r="W5780" s="21" t="n">
        <v>0</v>
      </c>
      <c r="X5780" s="21" t="n">
        <v>0</v>
      </c>
      <c r="Y5780" s="21" t="n">
        <v>0</v>
      </c>
      <c r="Z5780" s="19" t="n"/>
    </row>
    <row r="5781">
      <c r="D5781" s="21" t="n">
        <v>0</v>
      </c>
      <c r="E5781" s="21" t="n">
        <v>0</v>
      </c>
      <c r="F5781" s="21" t="n">
        <v>0</v>
      </c>
      <c r="G5781" s="21" t="n">
        <v>0</v>
      </c>
      <c r="H5781" s="21" t="n">
        <v>0</v>
      </c>
      <c r="I5781" s="21" t="n">
        <v>0</v>
      </c>
      <c r="J5781" s="21">
        <f>$B$5338</f>
        <v/>
      </c>
      <c r="K5781" s="21">
        <f>$B$5340</f>
        <v/>
      </c>
      <c r="L5781" s="21">
        <f>0</f>
        <v/>
      </c>
      <c r="M5781" s="21">
        <f>2*$B$5339</f>
        <v/>
      </c>
      <c r="N5781" s="21">
        <f>-$B$5338</f>
        <v/>
      </c>
      <c r="O5781" s="21">
        <f>$B$5340</f>
        <v/>
      </c>
      <c r="P5781" s="21" t="n">
        <v>0</v>
      </c>
      <c r="Q5781" s="21" t="n">
        <v>0</v>
      </c>
      <c r="R5781" s="21" t="n">
        <v>0</v>
      </c>
      <c r="S5781" s="21" t="n">
        <v>0</v>
      </c>
      <c r="T5781" s="21" t="n">
        <v>0</v>
      </c>
      <c r="U5781" s="21" t="n">
        <v>0</v>
      </c>
      <c r="V5781" s="21" t="n">
        <v>0</v>
      </c>
      <c r="W5781" s="21" t="n">
        <v>0</v>
      </c>
      <c r="X5781" s="21" t="n">
        <v>0</v>
      </c>
      <c r="Y5781" s="21" t="n">
        <v>0</v>
      </c>
      <c r="Z5781" s="19" t="n"/>
    </row>
    <row r="5782">
      <c r="D5782" s="21" t="n">
        <v>0</v>
      </c>
      <c r="E5782" s="21" t="n">
        <v>0</v>
      </c>
      <c r="F5782" s="21" t="n">
        <v>0</v>
      </c>
      <c r="G5782" s="21" t="n">
        <v>0</v>
      </c>
      <c r="H5782" s="21" t="n">
        <v>0</v>
      </c>
      <c r="I5782" s="21" t="n">
        <v>0</v>
      </c>
      <c r="J5782" s="21" t="n">
        <v>0</v>
      </c>
      <c r="K5782" s="21" t="n">
        <v>0</v>
      </c>
      <c r="L5782" s="21">
        <f>-$B$5337</f>
        <v/>
      </c>
      <c r="M5782" s="21">
        <f>-$B$5338</f>
        <v/>
      </c>
      <c r="N5782" s="21">
        <f>2*$B$5337+$D$5765</f>
        <v/>
      </c>
      <c r="O5782" s="21">
        <f>0</f>
        <v/>
      </c>
      <c r="P5782" s="21">
        <f>-$B$5337</f>
        <v/>
      </c>
      <c r="Q5782" s="21">
        <f>$B$5338</f>
        <v/>
      </c>
      <c r="R5782" s="21" t="n">
        <v>0</v>
      </c>
      <c r="S5782" s="21" t="n">
        <v>0</v>
      </c>
      <c r="T5782" s="21" t="n">
        <v>0</v>
      </c>
      <c r="U5782" s="21" t="n">
        <v>0</v>
      </c>
      <c r="V5782" s="21" t="n">
        <v>0</v>
      </c>
      <c r="W5782" s="21" t="n">
        <v>0</v>
      </c>
      <c r="X5782" s="21" t="n">
        <v>0</v>
      </c>
      <c r="Y5782" s="21" t="n">
        <v>0</v>
      </c>
      <c r="Z5782" s="19" t="n"/>
    </row>
    <row r="5783">
      <c r="D5783" s="21" t="n">
        <v>0</v>
      </c>
      <c r="E5783" s="21" t="n">
        <v>0</v>
      </c>
      <c r="F5783" s="21" t="n">
        <v>0</v>
      </c>
      <c r="G5783" s="21" t="n">
        <v>0</v>
      </c>
      <c r="H5783" s="21" t="n">
        <v>0</v>
      </c>
      <c r="I5783" s="21" t="n">
        <v>0</v>
      </c>
      <c r="J5783" s="21" t="n">
        <v>0</v>
      </c>
      <c r="K5783" s="21" t="n">
        <v>0</v>
      </c>
      <c r="L5783" s="21">
        <f>$B$5338</f>
        <v/>
      </c>
      <c r="M5783" s="21">
        <f>$B$5340</f>
        <v/>
      </c>
      <c r="N5783" s="21">
        <f>0</f>
        <v/>
      </c>
      <c r="O5783" s="21">
        <f>2*$B$5339</f>
        <v/>
      </c>
      <c r="P5783" s="21">
        <f>-$B$5338</f>
        <v/>
      </c>
      <c r="Q5783" s="21">
        <f>$B$5340</f>
        <v/>
      </c>
      <c r="R5783" s="21" t="n">
        <v>0</v>
      </c>
      <c r="S5783" s="21" t="n">
        <v>0</v>
      </c>
      <c r="T5783" s="21" t="n">
        <v>0</v>
      </c>
      <c r="U5783" s="21" t="n">
        <v>0</v>
      </c>
      <c r="V5783" s="21" t="n">
        <v>0</v>
      </c>
      <c r="W5783" s="21" t="n">
        <v>0</v>
      </c>
      <c r="X5783" s="21" t="n">
        <v>0</v>
      </c>
      <c r="Y5783" s="21" t="n">
        <v>0</v>
      </c>
      <c r="Z5783" s="19" t="n"/>
    </row>
    <row r="5784">
      <c r="D5784" s="21" t="n">
        <v>0</v>
      </c>
      <c r="E5784" s="21" t="n">
        <v>0</v>
      </c>
      <c r="F5784" s="21" t="n">
        <v>0</v>
      </c>
      <c r="G5784" s="21" t="n">
        <v>0</v>
      </c>
      <c r="H5784" s="21" t="n">
        <v>0</v>
      </c>
      <c r="I5784" s="21" t="n">
        <v>0</v>
      </c>
      <c r="J5784" s="21" t="n">
        <v>0</v>
      </c>
      <c r="K5784" s="21" t="n">
        <v>0</v>
      </c>
      <c r="L5784" s="21" t="n">
        <v>0</v>
      </c>
      <c r="M5784" s="21" t="n">
        <v>0</v>
      </c>
      <c r="N5784" s="21">
        <f>-$B$5337</f>
        <v/>
      </c>
      <c r="O5784" s="21">
        <f>-$B$5338</f>
        <v/>
      </c>
      <c r="P5784" s="21">
        <f>2*$B$5337+$D$5766</f>
        <v/>
      </c>
      <c r="Q5784" s="21">
        <f>0</f>
        <v/>
      </c>
      <c r="R5784" s="21">
        <f>-$B$5337</f>
        <v/>
      </c>
      <c r="S5784" s="21">
        <f>$B$5338</f>
        <v/>
      </c>
      <c r="T5784" s="21" t="n">
        <v>0</v>
      </c>
      <c r="U5784" s="21" t="n">
        <v>0</v>
      </c>
      <c r="V5784" s="21" t="n">
        <v>0</v>
      </c>
      <c r="W5784" s="21" t="n">
        <v>0</v>
      </c>
      <c r="X5784" s="21" t="n">
        <v>0</v>
      </c>
      <c r="Y5784" s="21" t="n">
        <v>0</v>
      </c>
      <c r="Z5784" s="19" t="n"/>
    </row>
    <row r="5785">
      <c r="D5785" s="21" t="n">
        <v>0</v>
      </c>
      <c r="E5785" s="21" t="n">
        <v>0</v>
      </c>
      <c r="F5785" s="21" t="n">
        <v>0</v>
      </c>
      <c r="G5785" s="21" t="n">
        <v>0</v>
      </c>
      <c r="H5785" s="21" t="n">
        <v>0</v>
      </c>
      <c r="I5785" s="21" t="n">
        <v>0</v>
      </c>
      <c r="J5785" s="21" t="n">
        <v>0</v>
      </c>
      <c r="K5785" s="21" t="n">
        <v>0</v>
      </c>
      <c r="L5785" s="21" t="n">
        <v>0</v>
      </c>
      <c r="M5785" s="21" t="n">
        <v>0</v>
      </c>
      <c r="N5785" s="21">
        <f>$B$5338</f>
        <v/>
      </c>
      <c r="O5785" s="21">
        <f>$B$5340</f>
        <v/>
      </c>
      <c r="P5785" s="21">
        <f>0</f>
        <v/>
      </c>
      <c r="Q5785" s="21">
        <f>2*$B$5339</f>
        <v/>
      </c>
      <c r="R5785" s="21">
        <f>-$B$5338</f>
        <v/>
      </c>
      <c r="S5785" s="21">
        <f>$B$5340</f>
        <v/>
      </c>
      <c r="T5785" s="21" t="n">
        <v>0</v>
      </c>
      <c r="U5785" s="21" t="n">
        <v>0</v>
      </c>
      <c r="V5785" s="21" t="n">
        <v>0</v>
      </c>
      <c r="W5785" s="21" t="n">
        <v>0</v>
      </c>
      <c r="X5785" s="21" t="n">
        <v>0</v>
      </c>
      <c r="Y5785" s="21" t="n">
        <v>0</v>
      </c>
      <c r="Z5785" s="19" t="n"/>
    </row>
    <row r="5786">
      <c r="D5786" s="21" t="n">
        <v>0</v>
      </c>
      <c r="E5786" s="21" t="n">
        <v>0</v>
      </c>
      <c r="F5786" s="21" t="n">
        <v>0</v>
      </c>
      <c r="G5786" s="21" t="n">
        <v>0</v>
      </c>
      <c r="H5786" s="21" t="n">
        <v>0</v>
      </c>
      <c r="I5786" s="21" t="n">
        <v>0</v>
      </c>
      <c r="J5786" s="21" t="n">
        <v>0</v>
      </c>
      <c r="K5786" s="21" t="n">
        <v>0</v>
      </c>
      <c r="L5786" s="21" t="n">
        <v>0</v>
      </c>
      <c r="M5786" s="21" t="n">
        <v>0</v>
      </c>
      <c r="N5786" s="21" t="n">
        <v>0</v>
      </c>
      <c r="O5786" s="21" t="n">
        <v>0</v>
      </c>
      <c r="P5786" s="21">
        <f>-$B$5337</f>
        <v/>
      </c>
      <c r="Q5786" s="21">
        <f>-$B$5338</f>
        <v/>
      </c>
      <c r="R5786" s="21">
        <f>2*$B$5337+$D$5767</f>
        <v/>
      </c>
      <c r="S5786" s="21">
        <f>0</f>
        <v/>
      </c>
      <c r="T5786" s="21">
        <f>-$B$5337</f>
        <v/>
      </c>
      <c r="U5786" s="21">
        <f>$B$5338</f>
        <v/>
      </c>
      <c r="V5786" s="21" t="n">
        <v>0</v>
      </c>
      <c r="W5786" s="21" t="n">
        <v>0</v>
      </c>
      <c r="X5786" s="21" t="n">
        <v>0</v>
      </c>
      <c r="Y5786" s="21" t="n">
        <v>0</v>
      </c>
      <c r="Z5786" s="19" t="n"/>
    </row>
    <row r="5787">
      <c r="D5787" s="21" t="n">
        <v>0</v>
      </c>
      <c r="E5787" s="21" t="n">
        <v>0</v>
      </c>
      <c r="F5787" s="21" t="n">
        <v>0</v>
      </c>
      <c r="G5787" s="21" t="n">
        <v>0</v>
      </c>
      <c r="H5787" s="21" t="n">
        <v>0</v>
      </c>
      <c r="I5787" s="21" t="n">
        <v>0</v>
      </c>
      <c r="J5787" s="21" t="n">
        <v>0</v>
      </c>
      <c r="K5787" s="21" t="n">
        <v>0</v>
      </c>
      <c r="L5787" s="21" t="n">
        <v>0</v>
      </c>
      <c r="M5787" s="21" t="n">
        <v>0</v>
      </c>
      <c r="N5787" s="21" t="n">
        <v>0</v>
      </c>
      <c r="O5787" s="21" t="n">
        <v>0</v>
      </c>
      <c r="P5787" s="21">
        <f>$B$5338</f>
        <v/>
      </c>
      <c r="Q5787" s="21">
        <f>$B$5340</f>
        <v/>
      </c>
      <c r="R5787" s="21">
        <f>0</f>
        <v/>
      </c>
      <c r="S5787" s="21">
        <f>2*$B$5339</f>
        <v/>
      </c>
      <c r="T5787" s="21">
        <f>-$B$5338</f>
        <v/>
      </c>
      <c r="U5787" s="21">
        <f>$B$5340</f>
        <v/>
      </c>
      <c r="V5787" s="21" t="n">
        <v>0</v>
      </c>
      <c r="W5787" s="21" t="n">
        <v>0</v>
      </c>
      <c r="X5787" s="21" t="n">
        <v>0</v>
      </c>
      <c r="Y5787" s="21" t="n">
        <v>0</v>
      </c>
      <c r="Z5787" s="19" t="n"/>
    </row>
    <row r="5788">
      <c r="D5788" s="21" t="n">
        <v>0</v>
      </c>
      <c r="E5788" s="21" t="n">
        <v>0</v>
      </c>
      <c r="F5788" s="21" t="n">
        <v>0</v>
      </c>
      <c r="G5788" s="21" t="n">
        <v>0</v>
      </c>
      <c r="H5788" s="21" t="n">
        <v>0</v>
      </c>
      <c r="I5788" s="21" t="n">
        <v>0</v>
      </c>
      <c r="J5788" s="21" t="n">
        <v>0</v>
      </c>
      <c r="K5788" s="21" t="n">
        <v>0</v>
      </c>
      <c r="L5788" s="21" t="n">
        <v>0</v>
      </c>
      <c r="M5788" s="21" t="n">
        <v>0</v>
      </c>
      <c r="N5788" s="21" t="n">
        <v>0</v>
      </c>
      <c r="O5788" s="21" t="n">
        <v>0</v>
      </c>
      <c r="P5788" s="21" t="n">
        <v>0</v>
      </c>
      <c r="Q5788" s="21" t="n">
        <v>0</v>
      </c>
      <c r="R5788" s="21">
        <f>-$B$5337</f>
        <v/>
      </c>
      <c r="S5788" s="21">
        <f>-$B$5338</f>
        <v/>
      </c>
      <c r="T5788" s="21">
        <f>2*$B$5337+$D$5768</f>
        <v/>
      </c>
      <c r="U5788" s="21">
        <f>0</f>
        <v/>
      </c>
      <c r="V5788" s="21">
        <f>-$B$5337</f>
        <v/>
      </c>
      <c r="W5788" s="21">
        <f>$B$5338</f>
        <v/>
      </c>
      <c r="X5788" s="21" t="n">
        <v>0</v>
      </c>
      <c r="Y5788" s="21" t="n">
        <v>0</v>
      </c>
      <c r="Z5788" s="19" t="n"/>
    </row>
    <row r="5789">
      <c r="D5789" s="21" t="n">
        <v>0</v>
      </c>
      <c r="E5789" s="21" t="n">
        <v>0</v>
      </c>
      <c r="F5789" s="21" t="n">
        <v>0</v>
      </c>
      <c r="G5789" s="21" t="n">
        <v>0</v>
      </c>
      <c r="H5789" s="21" t="n">
        <v>0</v>
      </c>
      <c r="I5789" s="21" t="n">
        <v>0</v>
      </c>
      <c r="J5789" s="21" t="n">
        <v>0</v>
      </c>
      <c r="K5789" s="21" t="n">
        <v>0</v>
      </c>
      <c r="L5789" s="21" t="n">
        <v>0</v>
      </c>
      <c r="M5789" s="21" t="n">
        <v>0</v>
      </c>
      <c r="N5789" s="21" t="n">
        <v>0</v>
      </c>
      <c r="O5789" s="21" t="n">
        <v>0</v>
      </c>
      <c r="P5789" s="21" t="n">
        <v>0</v>
      </c>
      <c r="Q5789" s="21" t="n">
        <v>0</v>
      </c>
      <c r="R5789" s="21">
        <f>$B$5338</f>
        <v/>
      </c>
      <c r="S5789" s="21">
        <f>$B$5340</f>
        <v/>
      </c>
      <c r="T5789" s="21">
        <f>0</f>
        <v/>
      </c>
      <c r="U5789" s="21">
        <f>2*$B$5339</f>
        <v/>
      </c>
      <c r="V5789" s="21">
        <f>-$B$5338</f>
        <v/>
      </c>
      <c r="W5789" s="21">
        <f>$B$5340</f>
        <v/>
      </c>
      <c r="X5789" s="21" t="n">
        <v>0</v>
      </c>
      <c r="Y5789" s="21" t="n">
        <v>0</v>
      </c>
      <c r="Z5789" s="19" t="n"/>
    </row>
    <row r="5790">
      <c r="D5790" s="21" t="n">
        <v>0</v>
      </c>
      <c r="E5790" s="21" t="n">
        <v>0</v>
      </c>
      <c r="F5790" s="21" t="n">
        <v>0</v>
      </c>
      <c r="G5790" s="21" t="n">
        <v>0</v>
      </c>
      <c r="H5790" s="21" t="n">
        <v>0</v>
      </c>
      <c r="I5790" s="21" t="n">
        <v>0</v>
      </c>
      <c r="J5790" s="21" t="n">
        <v>0</v>
      </c>
      <c r="K5790" s="21" t="n">
        <v>0</v>
      </c>
      <c r="L5790" s="21" t="n">
        <v>0</v>
      </c>
      <c r="M5790" s="21" t="n">
        <v>0</v>
      </c>
      <c r="N5790" s="21" t="n">
        <v>0</v>
      </c>
      <c r="O5790" s="21" t="n">
        <v>0</v>
      </c>
      <c r="P5790" s="21" t="n">
        <v>0</v>
      </c>
      <c r="Q5790" s="21" t="n">
        <v>0</v>
      </c>
      <c r="R5790" s="21" t="n">
        <v>0</v>
      </c>
      <c r="S5790" s="21" t="n">
        <v>0</v>
      </c>
      <c r="T5790" s="21">
        <f>-$B$5337</f>
        <v/>
      </c>
      <c r="U5790" s="21">
        <f>-$B$5338</f>
        <v/>
      </c>
      <c r="V5790" s="21">
        <f>2*$B$5337+$D$5769</f>
        <v/>
      </c>
      <c r="W5790" s="21">
        <f>0</f>
        <v/>
      </c>
      <c r="X5790" s="21">
        <f>-$B$5337</f>
        <v/>
      </c>
      <c r="Y5790" s="21">
        <f>$B$5338</f>
        <v/>
      </c>
      <c r="Z5790" s="19" t="n"/>
    </row>
    <row r="5791">
      <c r="D5791" s="21" t="n">
        <v>0</v>
      </c>
      <c r="E5791" s="21" t="n">
        <v>0</v>
      </c>
      <c r="F5791" s="21" t="n">
        <v>0</v>
      </c>
      <c r="G5791" s="21" t="n">
        <v>0</v>
      </c>
      <c r="H5791" s="21" t="n">
        <v>0</v>
      </c>
      <c r="I5791" s="21" t="n">
        <v>0</v>
      </c>
      <c r="J5791" s="21" t="n">
        <v>0</v>
      </c>
      <c r="K5791" s="21" t="n">
        <v>0</v>
      </c>
      <c r="L5791" s="21" t="n">
        <v>0</v>
      </c>
      <c r="M5791" s="21" t="n">
        <v>0</v>
      </c>
      <c r="N5791" s="21" t="n">
        <v>0</v>
      </c>
      <c r="O5791" s="21" t="n">
        <v>0</v>
      </c>
      <c r="P5791" s="21" t="n">
        <v>0</v>
      </c>
      <c r="Q5791" s="21" t="n">
        <v>0</v>
      </c>
      <c r="R5791" s="21" t="n">
        <v>0</v>
      </c>
      <c r="S5791" s="21" t="n">
        <v>0</v>
      </c>
      <c r="T5791" s="21">
        <f>$B$5338</f>
        <v/>
      </c>
      <c r="U5791" s="21">
        <f>$B$5340</f>
        <v/>
      </c>
      <c r="V5791" s="21">
        <f>0</f>
        <v/>
      </c>
      <c r="W5791" s="21">
        <f>2*$B$5339</f>
        <v/>
      </c>
      <c r="X5791" s="21">
        <f>-$B$5338</f>
        <v/>
      </c>
      <c r="Y5791" s="21">
        <f>$B$5340</f>
        <v/>
      </c>
      <c r="Z5791" s="19" t="n"/>
    </row>
    <row r="5792">
      <c r="D5792" s="21" t="n">
        <v>0</v>
      </c>
      <c r="E5792" s="21" t="n">
        <v>0</v>
      </c>
      <c r="F5792" s="21" t="n">
        <v>0</v>
      </c>
      <c r="G5792" s="21" t="n">
        <v>0</v>
      </c>
      <c r="H5792" s="21" t="n">
        <v>0</v>
      </c>
      <c r="I5792" s="21" t="n">
        <v>0</v>
      </c>
      <c r="J5792" s="21" t="n">
        <v>0</v>
      </c>
      <c r="K5792" s="21" t="n">
        <v>0</v>
      </c>
      <c r="L5792" s="21" t="n">
        <v>0</v>
      </c>
      <c r="M5792" s="21" t="n">
        <v>0</v>
      </c>
      <c r="N5792" s="21" t="n">
        <v>0</v>
      </c>
      <c r="O5792" s="21" t="n">
        <v>0</v>
      </c>
      <c r="P5792" s="21" t="n">
        <v>0</v>
      </c>
      <c r="Q5792" s="21" t="n">
        <v>0</v>
      </c>
      <c r="R5792" s="21" t="n">
        <v>0</v>
      </c>
      <c r="S5792" s="21" t="n">
        <v>0</v>
      </c>
      <c r="T5792" s="21" t="n">
        <v>0</v>
      </c>
      <c r="U5792" s="21" t="n">
        <v>0</v>
      </c>
      <c r="V5792" s="21">
        <f>-$B$5337</f>
        <v/>
      </c>
      <c r="W5792" s="21">
        <f>-$B$5338</f>
        <v/>
      </c>
      <c r="X5792" s="21">
        <f>$B$5337+$D$5770</f>
        <v/>
      </c>
      <c r="Y5792" s="21">
        <f>-$B$5338</f>
        <v/>
      </c>
      <c r="Z5792" s="19" t="n"/>
    </row>
    <row r="5793">
      <c r="D5793" s="21" t="n">
        <v>0</v>
      </c>
      <c r="E5793" s="21" t="n">
        <v>0</v>
      </c>
      <c r="F5793" s="21" t="n">
        <v>0</v>
      </c>
      <c r="G5793" s="21" t="n">
        <v>0</v>
      </c>
      <c r="H5793" s="21" t="n">
        <v>0</v>
      </c>
      <c r="I5793" s="21" t="n">
        <v>0</v>
      </c>
      <c r="J5793" s="21" t="n">
        <v>0</v>
      </c>
      <c r="K5793" s="21" t="n">
        <v>0</v>
      </c>
      <c r="L5793" s="21" t="n">
        <v>0</v>
      </c>
      <c r="M5793" s="21" t="n">
        <v>0</v>
      </c>
      <c r="N5793" s="21" t="n">
        <v>0</v>
      </c>
      <c r="O5793" s="21" t="n">
        <v>0</v>
      </c>
      <c r="P5793" s="21" t="n">
        <v>0</v>
      </c>
      <c r="Q5793" s="21" t="n">
        <v>0</v>
      </c>
      <c r="R5793" s="21" t="n">
        <v>0</v>
      </c>
      <c r="S5793" s="21" t="n">
        <v>0</v>
      </c>
      <c r="T5793" s="21" t="n">
        <v>0</v>
      </c>
      <c r="U5793" s="21" t="n">
        <v>0</v>
      </c>
      <c r="V5793" s="21">
        <f>$B$5338</f>
        <v/>
      </c>
      <c r="W5793" s="21">
        <f>$B$5340</f>
        <v/>
      </c>
      <c r="X5793" s="21">
        <f>-$B$5338</f>
        <v/>
      </c>
      <c r="Y5793" s="21">
        <f>$B$5339</f>
        <v/>
      </c>
      <c r="Z5793" s="19" t="n"/>
    </row>
    <row r="5795">
      <c r="A5795" s="8" t="inlineStr">
        <is>
          <t>gen 12</t>
        </is>
      </c>
    </row>
    <row r="5796">
      <c r="D5796" s="19">
        <f>IF(ABS(IF(ABS($E$5760)&gt;0.000000001,$E$5760,0.000000001))=0,0,IF($E$5352&lt;=$B$5346,0,IF(ABS(IF(ABS($E$5760)&gt;0.000000001,$E$5760,0.000000001))&gt;=8*$B$5348,$H$5352,0.5*$H$5352*(ABS(IF(ABS($E$5760)&gt;0.000000001,$E$5760,0.000000001))/$B$5348)^(1/3)))/ABS(IF(ABS($E$5760)&gt;0.000000001,$E$5760,0.000000001))*$I$5352)</f>
        <v/>
      </c>
      <c r="E5796" s="19">
        <f>0.5*$E$5760+0.5*$Z$5808</f>
        <v/>
      </c>
      <c r="F5796" s="19">
        <f>$Z$5809</f>
        <v/>
      </c>
    </row>
    <row r="5797">
      <c r="D5797" s="19">
        <f>IF(ABS(IF(ABS($E$5761)&gt;0.000000001,$E$5761,0.000000001))=0,0,IF($E$5353&lt;=$B$5346,0,IF(ABS(IF(ABS($E$5761)&gt;0.000000001,$E$5761,0.000000001))&gt;=8*$B$5348,$H$5353,0.5*$H$5353*(ABS(IF(ABS($E$5761)&gt;0.000000001,$E$5761,0.000000001))/$B$5348)^(1/3)))/ABS(IF(ABS($E$5761)&gt;0.000000001,$E$5761,0.000000001))*$I$5353)</f>
        <v/>
      </c>
      <c r="E5797" s="19">
        <f>0.5*$E$5761+0.5*$Z$5810</f>
        <v/>
      </c>
      <c r="F5797" s="19">
        <f>$Z$5811</f>
        <v/>
      </c>
    </row>
    <row r="5798">
      <c r="D5798" s="19">
        <f>IF(ABS(IF(ABS($E$5762)&gt;0.000000001,$E$5762,0.000000001))=0,0,IF($E$5354&lt;=$B$5346,0,IF(ABS(IF(ABS($E$5762)&gt;0.000000001,$E$5762,0.000000001))&gt;=8*$B$5348,$H$5354,0.5*$H$5354*(ABS(IF(ABS($E$5762)&gt;0.000000001,$E$5762,0.000000001))/$B$5348)^(1/3)))/ABS(IF(ABS($E$5762)&gt;0.000000001,$E$5762,0.000000001))*$I$5354)</f>
        <v/>
      </c>
      <c r="E5798" s="19">
        <f>0.5*$E$5762+0.5*$Z$5812</f>
        <v/>
      </c>
      <c r="F5798" s="19">
        <f>$Z$5813</f>
        <v/>
      </c>
    </row>
    <row r="5799">
      <c r="D5799" s="19">
        <f>IF(ABS(IF(ABS($E$5763)&gt;0.000000001,$E$5763,0.000000001))=0,0,IF($E$5355&lt;=$B$5346,0,IF(ABS(IF(ABS($E$5763)&gt;0.000000001,$E$5763,0.000000001))&gt;=8*$B$5348,$H$5355,0.5*$H$5355*(ABS(IF(ABS($E$5763)&gt;0.000000001,$E$5763,0.000000001))/$B$5348)^(1/3)))/ABS(IF(ABS($E$5763)&gt;0.000000001,$E$5763,0.000000001))*$I$5355)</f>
        <v/>
      </c>
      <c r="E5799" s="19">
        <f>0.5*$E$5763+0.5*$Z$5814</f>
        <v/>
      </c>
      <c r="F5799" s="19">
        <f>$Z$5815</f>
        <v/>
      </c>
    </row>
    <row r="5800">
      <c r="D5800" s="19">
        <f>IF(ABS(IF(ABS($E$5764)&gt;0.000000001,$E$5764,0.000000001))=0,0,IF($E$5356&lt;=$B$5346,0,IF(ABS(IF(ABS($E$5764)&gt;0.000000001,$E$5764,0.000000001))&gt;=8*$B$5348,$H$5356,0.5*$H$5356*(ABS(IF(ABS($E$5764)&gt;0.000000001,$E$5764,0.000000001))/$B$5348)^(1/3)))/ABS(IF(ABS($E$5764)&gt;0.000000001,$E$5764,0.000000001))*$I$5356)</f>
        <v/>
      </c>
      <c r="E5800" s="19">
        <f>0.5*$E$5764+0.5*$Z$5816</f>
        <v/>
      </c>
      <c r="F5800" s="19">
        <f>$Z$5817</f>
        <v/>
      </c>
    </row>
    <row r="5801">
      <c r="D5801" s="19">
        <f>IF(ABS(IF(ABS($E$5765)&gt;0.000000001,$E$5765,0.000000001))=0,0,IF($E$5357&lt;=$B$5346,0,IF(ABS(IF(ABS($E$5765)&gt;0.000000001,$E$5765,0.000000001))&gt;=8*$B$5348,$H$5357,0.5*$H$5357*(ABS(IF(ABS($E$5765)&gt;0.000000001,$E$5765,0.000000001))/$B$5348)^(1/3)))/ABS(IF(ABS($E$5765)&gt;0.000000001,$E$5765,0.000000001))*$I$5357)</f>
        <v/>
      </c>
      <c r="E5801" s="19">
        <f>0.5*$E$5765+0.5*$Z$5818</f>
        <v/>
      </c>
      <c r="F5801" s="19">
        <f>$Z$5819</f>
        <v/>
      </c>
    </row>
    <row r="5802">
      <c r="D5802" s="19">
        <f>IF(ABS(IF(ABS($E$5766)&gt;0.000000001,$E$5766,0.000000001))=0,0,IF($E$5358&lt;=$B$5346,0,IF(ABS(IF(ABS($E$5766)&gt;0.000000001,$E$5766,0.000000001))&gt;=8*$B$5348,$H$5358,0.5*$H$5358*(ABS(IF(ABS($E$5766)&gt;0.000000001,$E$5766,0.000000001))/$B$5348)^(1/3)))/ABS(IF(ABS($E$5766)&gt;0.000000001,$E$5766,0.000000001))*$I$5358)</f>
        <v/>
      </c>
      <c r="E5802" s="19">
        <f>0.5*$E$5766+0.5*$Z$5820</f>
        <v/>
      </c>
      <c r="F5802" s="19">
        <f>$Z$5821</f>
        <v/>
      </c>
    </row>
    <row r="5803">
      <c r="D5803" s="19">
        <f>IF(ABS(IF(ABS($E$5767)&gt;0.000000001,$E$5767,0.000000001))=0,0,IF($E$5359&lt;=$B$5346,0,IF(ABS(IF(ABS($E$5767)&gt;0.000000001,$E$5767,0.000000001))&gt;=8*$B$5348,$H$5359,0.5*$H$5359*(ABS(IF(ABS($E$5767)&gt;0.000000001,$E$5767,0.000000001))/$B$5348)^(1/3)))/ABS(IF(ABS($E$5767)&gt;0.000000001,$E$5767,0.000000001))*$I$5359)</f>
        <v/>
      </c>
      <c r="E5803" s="19">
        <f>0.5*$E$5767+0.5*$Z$5822</f>
        <v/>
      </c>
      <c r="F5803" s="19">
        <f>$Z$5823</f>
        <v/>
      </c>
    </row>
    <row r="5804">
      <c r="D5804" s="19">
        <f>IF(ABS(IF(ABS($E$5768)&gt;0.000000001,$E$5768,0.000000001))=0,0,IF($E$5360&lt;=$B$5346,0,IF(ABS(IF(ABS($E$5768)&gt;0.000000001,$E$5768,0.000000001))&gt;=8*$B$5348,$H$5360,0.5*$H$5360*(ABS(IF(ABS($E$5768)&gt;0.000000001,$E$5768,0.000000001))/$B$5348)^(1/3)))/ABS(IF(ABS($E$5768)&gt;0.000000001,$E$5768,0.000000001))*$I$5360)</f>
        <v/>
      </c>
      <c r="E5804" s="19">
        <f>0.5*$E$5768+0.5*$Z$5824</f>
        <v/>
      </c>
      <c r="F5804" s="19">
        <f>$Z$5825</f>
        <v/>
      </c>
    </row>
    <row r="5805">
      <c r="D5805" s="19">
        <f>IF(ABS(IF(ABS($E$5769)&gt;0.000000001,$E$5769,0.000000001))=0,0,IF($E$5361&lt;=$B$5346,0,IF(ABS(IF(ABS($E$5769)&gt;0.000000001,$E$5769,0.000000001))&gt;=8*$B$5348,$H$5361,0.5*$H$5361*(ABS(IF(ABS($E$5769)&gt;0.000000001,$E$5769,0.000000001))/$B$5348)^(1/3)))/ABS(IF(ABS($E$5769)&gt;0.000000001,$E$5769,0.000000001))*$I$5361)</f>
        <v/>
      </c>
      <c r="E5805" s="19">
        <f>0.5*$E$5769+0.5*$Z$5826</f>
        <v/>
      </c>
      <c r="F5805" s="19">
        <f>$Z$5827</f>
        <v/>
      </c>
    </row>
    <row r="5806">
      <c r="D5806" s="19">
        <f>IF(ABS(IF(ABS($E$5770)&gt;0.000000001,$E$5770,0.000000001))=0,0,IF($E$5362&lt;=$B$5346,0,IF(ABS(IF(ABS($E$5770)&gt;0.000000001,$E$5770,0.000000001))&gt;=8*$B$5348,$H$5362,0.5*$H$5362*(ABS(IF(ABS($E$5770)&gt;0.000000001,$E$5770,0.000000001))/$B$5348)^(1/3)))/ABS(IF(ABS($E$5770)&gt;0.000000001,$E$5770,0.000000001))*$I$5362)</f>
        <v/>
      </c>
      <c r="E5806" s="19">
        <f>0.5*$E$5770+0.5*$Z$5828</f>
        <v/>
      </c>
      <c r="F5806" s="19">
        <f>$Z$5829</f>
        <v/>
      </c>
    </row>
    <row r="5808">
      <c r="D5808" s="21">
        <f>$B$5337+$D$5796</f>
        <v/>
      </c>
      <c r="E5808" s="21">
        <f>$B$5338</f>
        <v/>
      </c>
      <c r="F5808" s="21">
        <f>-$B$5337</f>
        <v/>
      </c>
      <c r="G5808" s="21">
        <f>$B$5338</f>
        <v/>
      </c>
      <c r="H5808" s="21" t="n">
        <v>0</v>
      </c>
      <c r="I5808" s="21" t="n">
        <v>0</v>
      </c>
      <c r="J5808" s="21" t="n">
        <v>0</v>
      </c>
      <c r="K5808" s="21" t="n">
        <v>0</v>
      </c>
      <c r="L5808" s="21" t="n">
        <v>0</v>
      </c>
      <c r="M5808" s="21" t="n">
        <v>0</v>
      </c>
      <c r="N5808" s="21" t="n">
        <v>0</v>
      </c>
      <c r="O5808" s="21" t="n">
        <v>0</v>
      </c>
      <c r="P5808" s="21" t="n">
        <v>0</v>
      </c>
      <c r="Q5808" s="21" t="n">
        <v>0</v>
      </c>
      <c r="R5808" s="21" t="n">
        <v>0</v>
      </c>
      <c r="S5808" s="21" t="n">
        <v>0</v>
      </c>
      <c r="T5808" s="21" t="n">
        <v>0</v>
      </c>
      <c r="U5808" s="21" t="n">
        <v>0</v>
      </c>
      <c r="V5808" s="21" t="n">
        <v>0</v>
      </c>
      <c r="W5808" s="21" t="n">
        <v>0</v>
      </c>
      <c r="X5808" s="21" t="n">
        <v>0</v>
      </c>
      <c r="Y5808" s="21" t="n">
        <v>0</v>
      </c>
      <c r="Z5808" s="19">
        <f t="array" ref="Z5808:Z5829">MMULT(MINVERSE($D$5808:$Y$5829),$D$5364:$D$5385)</f>
        <v/>
      </c>
    </row>
    <row r="5809">
      <c r="D5809" s="21">
        <f>$B$5338</f>
        <v/>
      </c>
      <c r="E5809" s="21">
        <f>$B$5339</f>
        <v/>
      </c>
      <c r="F5809" s="21">
        <f>-$B$5338</f>
        <v/>
      </c>
      <c r="G5809" s="21">
        <f>$B$5340</f>
        <v/>
      </c>
      <c r="H5809" s="21" t="n">
        <v>0</v>
      </c>
      <c r="I5809" s="21" t="n">
        <v>0</v>
      </c>
      <c r="J5809" s="21" t="n">
        <v>0</v>
      </c>
      <c r="K5809" s="21" t="n">
        <v>0</v>
      </c>
      <c r="L5809" s="21" t="n">
        <v>0</v>
      </c>
      <c r="M5809" s="21" t="n">
        <v>0</v>
      </c>
      <c r="N5809" s="21" t="n">
        <v>0</v>
      </c>
      <c r="O5809" s="21" t="n">
        <v>0</v>
      </c>
      <c r="P5809" s="21" t="n">
        <v>0</v>
      </c>
      <c r="Q5809" s="21" t="n">
        <v>0</v>
      </c>
      <c r="R5809" s="21" t="n">
        <v>0</v>
      </c>
      <c r="S5809" s="21" t="n">
        <v>0</v>
      </c>
      <c r="T5809" s="21" t="n">
        <v>0</v>
      </c>
      <c r="U5809" s="21" t="n">
        <v>0</v>
      </c>
      <c r="V5809" s="21" t="n">
        <v>0</v>
      </c>
      <c r="W5809" s="21" t="n">
        <v>0</v>
      </c>
      <c r="X5809" s="21" t="n">
        <v>0</v>
      </c>
      <c r="Y5809" s="21" t="n">
        <v>0</v>
      </c>
      <c r="Z5809" s="19" t="n"/>
    </row>
    <row r="5810">
      <c r="D5810" s="21">
        <f>-$B$5337</f>
        <v/>
      </c>
      <c r="E5810" s="21">
        <f>-$B$5338</f>
        <v/>
      </c>
      <c r="F5810" s="21">
        <f>2*$B$5337+$D$5797</f>
        <v/>
      </c>
      <c r="G5810" s="21">
        <f>0</f>
        <v/>
      </c>
      <c r="H5810" s="21">
        <f>-$B$5337</f>
        <v/>
      </c>
      <c r="I5810" s="21">
        <f>$B$5338</f>
        <v/>
      </c>
      <c r="J5810" s="21" t="n">
        <v>0</v>
      </c>
      <c r="K5810" s="21" t="n">
        <v>0</v>
      </c>
      <c r="L5810" s="21" t="n">
        <v>0</v>
      </c>
      <c r="M5810" s="21" t="n">
        <v>0</v>
      </c>
      <c r="N5810" s="21" t="n">
        <v>0</v>
      </c>
      <c r="O5810" s="21" t="n">
        <v>0</v>
      </c>
      <c r="P5810" s="21" t="n">
        <v>0</v>
      </c>
      <c r="Q5810" s="21" t="n">
        <v>0</v>
      </c>
      <c r="R5810" s="21" t="n">
        <v>0</v>
      </c>
      <c r="S5810" s="21" t="n">
        <v>0</v>
      </c>
      <c r="T5810" s="21" t="n">
        <v>0</v>
      </c>
      <c r="U5810" s="21" t="n">
        <v>0</v>
      </c>
      <c r="V5810" s="21" t="n">
        <v>0</v>
      </c>
      <c r="W5810" s="21" t="n">
        <v>0</v>
      </c>
      <c r="X5810" s="21" t="n">
        <v>0</v>
      </c>
      <c r="Y5810" s="21" t="n">
        <v>0</v>
      </c>
      <c r="Z5810" s="19" t="n"/>
    </row>
    <row r="5811">
      <c r="D5811" s="21">
        <f>$B$5338</f>
        <v/>
      </c>
      <c r="E5811" s="21">
        <f>$B$5340</f>
        <v/>
      </c>
      <c r="F5811" s="21">
        <f>0</f>
        <v/>
      </c>
      <c r="G5811" s="21">
        <f>2*$B$5339</f>
        <v/>
      </c>
      <c r="H5811" s="21">
        <f>-$B$5338</f>
        <v/>
      </c>
      <c r="I5811" s="21">
        <f>$B$5340</f>
        <v/>
      </c>
      <c r="J5811" s="21" t="n">
        <v>0</v>
      </c>
      <c r="K5811" s="21" t="n">
        <v>0</v>
      </c>
      <c r="L5811" s="21" t="n">
        <v>0</v>
      </c>
      <c r="M5811" s="21" t="n">
        <v>0</v>
      </c>
      <c r="N5811" s="21" t="n">
        <v>0</v>
      </c>
      <c r="O5811" s="21" t="n">
        <v>0</v>
      </c>
      <c r="P5811" s="21" t="n">
        <v>0</v>
      </c>
      <c r="Q5811" s="21" t="n">
        <v>0</v>
      </c>
      <c r="R5811" s="21" t="n">
        <v>0</v>
      </c>
      <c r="S5811" s="21" t="n">
        <v>0</v>
      </c>
      <c r="T5811" s="21" t="n">
        <v>0</v>
      </c>
      <c r="U5811" s="21" t="n">
        <v>0</v>
      </c>
      <c r="V5811" s="21" t="n">
        <v>0</v>
      </c>
      <c r="W5811" s="21" t="n">
        <v>0</v>
      </c>
      <c r="X5811" s="21" t="n">
        <v>0</v>
      </c>
      <c r="Y5811" s="21" t="n">
        <v>0</v>
      </c>
      <c r="Z5811" s="19" t="n"/>
    </row>
    <row r="5812">
      <c r="D5812" s="21" t="n">
        <v>0</v>
      </c>
      <c r="E5812" s="21" t="n">
        <v>0</v>
      </c>
      <c r="F5812" s="21">
        <f>-$B$5337</f>
        <v/>
      </c>
      <c r="G5812" s="21">
        <f>-$B$5338</f>
        <v/>
      </c>
      <c r="H5812" s="21">
        <f>2*$B$5337+$D$5798</f>
        <v/>
      </c>
      <c r="I5812" s="21">
        <f>0</f>
        <v/>
      </c>
      <c r="J5812" s="21">
        <f>-$B$5337</f>
        <v/>
      </c>
      <c r="K5812" s="21">
        <f>$B$5338</f>
        <v/>
      </c>
      <c r="L5812" s="21" t="n">
        <v>0</v>
      </c>
      <c r="M5812" s="21" t="n">
        <v>0</v>
      </c>
      <c r="N5812" s="21" t="n">
        <v>0</v>
      </c>
      <c r="O5812" s="21" t="n">
        <v>0</v>
      </c>
      <c r="P5812" s="21" t="n">
        <v>0</v>
      </c>
      <c r="Q5812" s="21" t="n">
        <v>0</v>
      </c>
      <c r="R5812" s="21" t="n">
        <v>0</v>
      </c>
      <c r="S5812" s="21" t="n">
        <v>0</v>
      </c>
      <c r="T5812" s="21" t="n">
        <v>0</v>
      </c>
      <c r="U5812" s="21" t="n">
        <v>0</v>
      </c>
      <c r="V5812" s="21" t="n">
        <v>0</v>
      </c>
      <c r="W5812" s="21" t="n">
        <v>0</v>
      </c>
      <c r="X5812" s="21" t="n">
        <v>0</v>
      </c>
      <c r="Y5812" s="21" t="n">
        <v>0</v>
      </c>
      <c r="Z5812" s="19" t="n"/>
    </row>
    <row r="5813">
      <c r="D5813" s="21" t="n">
        <v>0</v>
      </c>
      <c r="E5813" s="21" t="n">
        <v>0</v>
      </c>
      <c r="F5813" s="21">
        <f>$B$5338</f>
        <v/>
      </c>
      <c r="G5813" s="21">
        <f>$B$5340</f>
        <v/>
      </c>
      <c r="H5813" s="21">
        <f>0</f>
        <v/>
      </c>
      <c r="I5813" s="21">
        <f>2*$B$5339</f>
        <v/>
      </c>
      <c r="J5813" s="21">
        <f>-$B$5338</f>
        <v/>
      </c>
      <c r="K5813" s="21">
        <f>$B$5340</f>
        <v/>
      </c>
      <c r="L5813" s="21" t="n">
        <v>0</v>
      </c>
      <c r="M5813" s="21" t="n">
        <v>0</v>
      </c>
      <c r="N5813" s="21" t="n">
        <v>0</v>
      </c>
      <c r="O5813" s="21" t="n">
        <v>0</v>
      </c>
      <c r="P5813" s="21" t="n">
        <v>0</v>
      </c>
      <c r="Q5813" s="21" t="n">
        <v>0</v>
      </c>
      <c r="R5813" s="21" t="n">
        <v>0</v>
      </c>
      <c r="S5813" s="21" t="n">
        <v>0</v>
      </c>
      <c r="T5813" s="21" t="n">
        <v>0</v>
      </c>
      <c r="U5813" s="21" t="n">
        <v>0</v>
      </c>
      <c r="V5813" s="21" t="n">
        <v>0</v>
      </c>
      <c r="W5813" s="21" t="n">
        <v>0</v>
      </c>
      <c r="X5813" s="21" t="n">
        <v>0</v>
      </c>
      <c r="Y5813" s="21" t="n">
        <v>0</v>
      </c>
      <c r="Z5813" s="19" t="n"/>
    </row>
    <row r="5814">
      <c r="D5814" s="21" t="n">
        <v>0</v>
      </c>
      <c r="E5814" s="21" t="n">
        <v>0</v>
      </c>
      <c r="F5814" s="21" t="n">
        <v>0</v>
      </c>
      <c r="G5814" s="21" t="n">
        <v>0</v>
      </c>
      <c r="H5814" s="21">
        <f>-$B$5337</f>
        <v/>
      </c>
      <c r="I5814" s="21">
        <f>-$B$5338</f>
        <v/>
      </c>
      <c r="J5814" s="21">
        <f>2*$B$5337+$D$5799</f>
        <v/>
      </c>
      <c r="K5814" s="21">
        <f>0</f>
        <v/>
      </c>
      <c r="L5814" s="21">
        <f>-$B$5337</f>
        <v/>
      </c>
      <c r="M5814" s="21">
        <f>$B$5338</f>
        <v/>
      </c>
      <c r="N5814" s="21" t="n">
        <v>0</v>
      </c>
      <c r="O5814" s="21" t="n">
        <v>0</v>
      </c>
      <c r="P5814" s="21" t="n">
        <v>0</v>
      </c>
      <c r="Q5814" s="21" t="n">
        <v>0</v>
      </c>
      <c r="R5814" s="21" t="n">
        <v>0</v>
      </c>
      <c r="S5814" s="21" t="n">
        <v>0</v>
      </c>
      <c r="T5814" s="21" t="n">
        <v>0</v>
      </c>
      <c r="U5814" s="21" t="n">
        <v>0</v>
      </c>
      <c r="V5814" s="21" t="n">
        <v>0</v>
      </c>
      <c r="W5814" s="21" t="n">
        <v>0</v>
      </c>
      <c r="X5814" s="21" t="n">
        <v>0</v>
      </c>
      <c r="Y5814" s="21" t="n">
        <v>0</v>
      </c>
      <c r="Z5814" s="19" t="n"/>
    </row>
    <row r="5815">
      <c r="D5815" s="21" t="n">
        <v>0</v>
      </c>
      <c r="E5815" s="21" t="n">
        <v>0</v>
      </c>
      <c r="F5815" s="21" t="n">
        <v>0</v>
      </c>
      <c r="G5815" s="21" t="n">
        <v>0</v>
      </c>
      <c r="H5815" s="21">
        <f>$B$5338</f>
        <v/>
      </c>
      <c r="I5815" s="21">
        <f>$B$5340</f>
        <v/>
      </c>
      <c r="J5815" s="21">
        <f>0</f>
        <v/>
      </c>
      <c r="K5815" s="21">
        <f>2*$B$5339</f>
        <v/>
      </c>
      <c r="L5815" s="21">
        <f>-$B$5338</f>
        <v/>
      </c>
      <c r="M5815" s="21">
        <f>$B$5340</f>
        <v/>
      </c>
      <c r="N5815" s="21" t="n">
        <v>0</v>
      </c>
      <c r="O5815" s="21" t="n">
        <v>0</v>
      </c>
      <c r="P5815" s="21" t="n">
        <v>0</v>
      </c>
      <c r="Q5815" s="21" t="n">
        <v>0</v>
      </c>
      <c r="R5815" s="21" t="n">
        <v>0</v>
      </c>
      <c r="S5815" s="21" t="n">
        <v>0</v>
      </c>
      <c r="T5815" s="21" t="n">
        <v>0</v>
      </c>
      <c r="U5815" s="21" t="n">
        <v>0</v>
      </c>
      <c r="V5815" s="21" t="n">
        <v>0</v>
      </c>
      <c r="W5815" s="21" t="n">
        <v>0</v>
      </c>
      <c r="X5815" s="21" t="n">
        <v>0</v>
      </c>
      <c r="Y5815" s="21" t="n">
        <v>0</v>
      </c>
      <c r="Z5815" s="19" t="n"/>
    </row>
    <row r="5816">
      <c r="D5816" s="21" t="n">
        <v>0</v>
      </c>
      <c r="E5816" s="21" t="n">
        <v>0</v>
      </c>
      <c r="F5816" s="21" t="n">
        <v>0</v>
      </c>
      <c r="G5816" s="21" t="n">
        <v>0</v>
      </c>
      <c r="H5816" s="21" t="n">
        <v>0</v>
      </c>
      <c r="I5816" s="21" t="n">
        <v>0</v>
      </c>
      <c r="J5816" s="21">
        <f>-$B$5337</f>
        <v/>
      </c>
      <c r="K5816" s="21">
        <f>-$B$5338</f>
        <v/>
      </c>
      <c r="L5816" s="21">
        <f>2*$B$5337+$D$5800</f>
        <v/>
      </c>
      <c r="M5816" s="21">
        <f>0</f>
        <v/>
      </c>
      <c r="N5816" s="21">
        <f>-$B$5337</f>
        <v/>
      </c>
      <c r="O5816" s="21">
        <f>$B$5338</f>
        <v/>
      </c>
      <c r="P5816" s="21" t="n">
        <v>0</v>
      </c>
      <c r="Q5816" s="21" t="n">
        <v>0</v>
      </c>
      <c r="R5816" s="21" t="n">
        <v>0</v>
      </c>
      <c r="S5816" s="21" t="n">
        <v>0</v>
      </c>
      <c r="T5816" s="21" t="n">
        <v>0</v>
      </c>
      <c r="U5816" s="21" t="n">
        <v>0</v>
      </c>
      <c r="V5816" s="21" t="n">
        <v>0</v>
      </c>
      <c r="W5816" s="21" t="n">
        <v>0</v>
      </c>
      <c r="X5816" s="21" t="n">
        <v>0</v>
      </c>
      <c r="Y5816" s="21" t="n">
        <v>0</v>
      </c>
      <c r="Z5816" s="19" t="n"/>
    </row>
    <row r="5817">
      <c r="D5817" s="21" t="n">
        <v>0</v>
      </c>
      <c r="E5817" s="21" t="n">
        <v>0</v>
      </c>
      <c r="F5817" s="21" t="n">
        <v>0</v>
      </c>
      <c r="G5817" s="21" t="n">
        <v>0</v>
      </c>
      <c r="H5817" s="21" t="n">
        <v>0</v>
      </c>
      <c r="I5817" s="21" t="n">
        <v>0</v>
      </c>
      <c r="J5817" s="21">
        <f>$B$5338</f>
        <v/>
      </c>
      <c r="K5817" s="21">
        <f>$B$5340</f>
        <v/>
      </c>
      <c r="L5817" s="21">
        <f>0</f>
        <v/>
      </c>
      <c r="M5817" s="21">
        <f>2*$B$5339</f>
        <v/>
      </c>
      <c r="N5817" s="21">
        <f>-$B$5338</f>
        <v/>
      </c>
      <c r="O5817" s="21">
        <f>$B$5340</f>
        <v/>
      </c>
      <c r="P5817" s="21" t="n">
        <v>0</v>
      </c>
      <c r="Q5817" s="21" t="n">
        <v>0</v>
      </c>
      <c r="R5817" s="21" t="n">
        <v>0</v>
      </c>
      <c r="S5817" s="21" t="n">
        <v>0</v>
      </c>
      <c r="T5817" s="21" t="n">
        <v>0</v>
      </c>
      <c r="U5817" s="21" t="n">
        <v>0</v>
      </c>
      <c r="V5817" s="21" t="n">
        <v>0</v>
      </c>
      <c r="W5817" s="21" t="n">
        <v>0</v>
      </c>
      <c r="X5817" s="21" t="n">
        <v>0</v>
      </c>
      <c r="Y5817" s="21" t="n">
        <v>0</v>
      </c>
      <c r="Z5817" s="19" t="n"/>
    </row>
    <row r="5818">
      <c r="D5818" s="21" t="n">
        <v>0</v>
      </c>
      <c r="E5818" s="21" t="n">
        <v>0</v>
      </c>
      <c r="F5818" s="21" t="n">
        <v>0</v>
      </c>
      <c r="G5818" s="21" t="n">
        <v>0</v>
      </c>
      <c r="H5818" s="21" t="n">
        <v>0</v>
      </c>
      <c r="I5818" s="21" t="n">
        <v>0</v>
      </c>
      <c r="J5818" s="21" t="n">
        <v>0</v>
      </c>
      <c r="K5818" s="21" t="n">
        <v>0</v>
      </c>
      <c r="L5818" s="21">
        <f>-$B$5337</f>
        <v/>
      </c>
      <c r="M5818" s="21">
        <f>-$B$5338</f>
        <v/>
      </c>
      <c r="N5818" s="21">
        <f>2*$B$5337+$D$5801</f>
        <v/>
      </c>
      <c r="O5818" s="21">
        <f>0</f>
        <v/>
      </c>
      <c r="P5818" s="21">
        <f>-$B$5337</f>
        <v/>
      </c>
      <c r="Q5818" s="21">
        <f>$B$5338</f>
        <v/>
      </c>
      <c r="R5818" s="21" t="n">
        <v>0</v>
      </c>
      <c r="S5818" s="21" t="n">
        <v>0</v>
      </c>
      <c r="T5818" s="21" t="n">
        <v>0</v>
      </c>
      <c r="U5818" s="21" t="n">
        <v>0</v>
      </c>
      <c r="V5818" s="21" t="n">
        <v>0</v>
      </c>
      <c r="W5818" s="21" t="n">
        <v>0</v>
      </c>
      <c r="X5818" s="21" t="n">
        <v>0</v>
      </c>
      <c r="Y5818" s="21" t="n">
        <v>0</v>
      </c>
      <c r="Z5818" s="19" t="n"/>
    </row>
    <row r="5819">
      <c r="D5819" s="21" t="n">
        <v>0</v>
      </c>
      <c r="E5819" s="21" t="n">
        <v>0</v>
      </c>
      <c r="F5819" s="21" t="n">
        <v>0</v>
      </c>
      <c r="G5819" s="21" t="n">
        <v>0</v>
      </c>
      <c r="H5819" s="21" t="n">
        <v>0</v>
      </c>
      <c r="I5819" s="21" t="n">
        <v>0</v>
      </c>
      <c r="J5819" s="21" t="n">
        <v>0</v>
      </c>
      <c r="K5819" s="21" t="n">
        <v>0</v>
      </c>
      <c r="L5819" s="21">
        <f>$B$5338</f>
        <v/>
      </c>
      <c r="M5819" s="21">
        <f>$B$5340</f>
        <v/>
      </c>
      <c r="N5819" s="21">
        <f>0</f>
        <v/>
      </c>
      <c r="O5819" s="21">
        <f>2*$B$5339</f>
        <v/>
      </c>
      <c r="P5819" s="21">
        <f>-$B$5338</f>
        <v/>
      </c>
      <c r="Q5819" s="21">
        <f>$B$5340</f>
        <v/>
      </c>
      <c r="R5819" s="21" t="n">
        <v>0</v>
      </c>
      <c r="S5819" s="21" t="n">
        <v>0</v>
      </c>
      <c r="T5819" s="21" t="n">
        <v>0</v>
      </c>
      <c r="U5819" s="21" t="n">
        <v>0</v>
      </c>
      <c r="V5819" s="21" t="n">
        <v>0</v>
      </c>
      <c r="W5819" s="21" t="n">
        <v>0</v>
      </c>
      <c r="X5819" s="21" t="n">
        <v>0</v>
      </c>
      <c r="Y5819" s="21" t="n">
        <v>0</v>
      </c>
      <c r="Z5819" s="19" t="n"/>
    </row>
    <row r="5820">
      <c r="D5820" s="21" t="n">
        <v>0</v>
      </c>
      <c r="E5820" s="21" t="n">
        <v>0</v>
      </c>
      <c r="F5820" s="21" t="n">
        <v>0</v>
      </c>
      <c r="G5820" s="21" t="n">
        <v>0</v>
      </c>
      <c r="H5820" s="21" t="n">
        <v>0</v>
      </c>
      <c r="I5820" s="21" t="n">
        <v>0</v>
      </c>
      <c r="J5820" s="21" t="n">
        <v>0</v>
      </c>
      <c r="K5820" s="21" t="n">
        <v>0</v>
      </c>
      <c r="L5820" s="21" t="n">
        <v>0</v>
      </c>
      <c r="M5820" s="21" t="n">
        <v>0</v>
      </c>
      <c r="N5820" s="21">
        <f>-$B$5337</f>
        <v/>
      </c>
      <c r="O5820" s="21">
        <f>-$B$5338</f>
        <v/>
      </c>
      <c r="P5820" s="21">
        <f>2*$B$5337+$D$5802</f>
        <v/>
      </c>
      <c r="Q5820" s="21">
        <f>0</f>
        <v/>
      </c>
      <c r="R5820" s="21">
        <f>-$B$5337</f>
        <v/>
      </c>
      <c r="S5820" s="21">
        <f>$B$5338</f>
        <v/>
      </c>
      <c r="T5820" s="21" t="n">
        <v>0</v>
      </c>
      <c r="U5820" s="21" t="n">
        <v>0</v>
      </c>
      <c r="V5820" s="21" t="n">
        <v>0</v>
      </c>
      <c r="W5820" s="21" t="n">
        <v>0</v>
      </c>
      <c r="X5820" s="21" t="n">
        <v>0</v>
      </c>
      <c r="Y5820" s="21" t="n">
        <v>0</v>
      </c>
      <c r="Z5820" s="19" t="n"/>
    </row>
    <row r="5821">
      <c r="D5821" s="21" t="n">
        <v>0</v>
      </c>
      <c r="E5821" s="21" t="n">
        <v>0</v>
      </c>
      <c r="F5821" s="21" t="n">
        <v>0</v>
      </c>
      <c r="G5821" s="21" t="n">
        <v>0</v>
      </c>
      <c r="H5821" s="21" t="n">
        <v>0</v>
      </c>
      <c r="I5821" s="21" t="n">
        <v>0</v>
      </c>
      <c r="J5821" s="21" t="n">
        <v>0</v>
      </c>
      <c r="K5821" s="21" t="n">
        <v>0</v>
      </c>
      <c r="L5821" s="21" t="n">
        <v>0</v>
      </c>
      <c r="M5821" s="21" t="n">
        <v>0</v>
      </c>
      <c r="N5821" s="21">
        <f>$B$5338</f>
        <v/>
      </c>
      <c r="O5821" s="21">
        <f>$B$5340</f>
        <v/>
      </c>
      <c r="P5821" s="21">
        <f>0</f>
        <v/>
      </c>
      <c r="Q5821" s="21">
        <f>2*$B$5339</f>
        <v/>
      </c>
      <c r="R5821" s="21">
        <f>-$B$5338</f>
        <v/>
      </c>
      <c r="S5821" s="21">
        <f>$B$5340</f>
        <v/>
      </c>
      <c r="T5821" s="21" t="n">
        <v>0</v>
      </c>
      <c r="U5821" s="21" t="n">
        <v>0</v>
      </c>
      <c r="V5821" s="21" t="n">
        <v>0</v>
      </c>
      <c r="W5821" s="21" t="n">
        <v>0</v>
      </c>
      <c r="X5821" s="21" t="n">
        <v>0</v>
      </c>
      <c r="Y5821" s="21" t="n">
        <v>0</v>
      </c>
      <c r="Z5821" s="19" t="n"/>
    </row>
    <row r="5822">
      <c r="D5822" s="21" t="n">
        <v>0</v>
      </c>
      <c r="E5822" s="21" t="n">
        <v>0</v>
      </c>
      <c r="F5822" s="21" t="n">
        <v>0</v>
      </c>
      <c r="G5822" s="21" t="n">
        <v>0</v>
      </c>
      <c r="H5822" s="21" t="n">
        <v>0</v>
      </c>
      <c r="I5822" s="21" t="n">
        <v>0</v>
      </c>
      <c r="J5822" s="21" t="n">
        <v>0</v>
      </c>
      <c r="K5822" s="21" t="n">
        <v>0</v>
      </c>
      <c r="L5822" s="21" t="n">
        <v>0</v>
      </c>
      <c r="M5822" s="21" t="n">
        <v>0</v>
      </c>
      <c r="N5822" s="21" t="n">
        <v>0</v>
      </c>
      <c r="O5822" s="21" t="n">
        <v>0</v>
      </c>
      <c r="P5822" s="21">
        <f>-$B$5337</f>
        <v/>
      </c>
      <c r="Q5822" s="21">
        <f>-$B$5338</f>
        <v/>
      </c>
      <c r="R5822" s="21">
        <f>2*$B$5337+$D$5803</f>
        <v/>
      </c>
      <c r="S5822" s="21">
        <f>0</f>
        <v/>
      </c>
      <c r="T5822" s="21">
        <f>-$B$5337</f>
        <v/>
      </c>
      <c r="U5822" s="21">
        <f>$B$5338</f>
        <v/>
      </c>
      <c r="V5822" s="21" t="n">
        <v>0</v>
      </c>
      <c r="W5822" s="21" t="n">
        <v>0</v>
      </c>
      <c r="X5822" s="21" t="n">
        <v>0</v>
      </c>
      <c r="Y5822" s="21" t="n">
        <v>0</v>
      </c>
      <c r="Z5822" s="19" t="n"/>
    </row>
    <row r="5823">
      <c r="D5823" s="21" t="n">
        <v>0</v>
      </c>
      <c r="E5823" s="21" t="n">
        <v>0</v>
      </c>
      <c r="F5823" s="21" t="n">
        <v>0</v>
      </c>
      <c r="G5823" s="21" t="n">
        <v>0</v>
      </c>
      <c r="H5823" s="21" t="n">
        <v>0</v>
      </c>
      <c r="I5823" s="21" t="n">
        <v>0</v>
      </c>
      <c r="J5823" s="21" t="n">
        <v>0</v>
      </c>
      <c r="K5823" s="21" t="n">
        <v>0</v>
      </c>
      <c r="L5823" s="21" t="n">
        <v>0</v>
      </c>
      <c r="M5823" s="21" t="n">
        <v>0</v>
      </c>
      <c r="N5823" s="21" t="n">
        <v>0</v>
      </c>
      <c r="O5823" s="21" t="n">
        <v>0</v>
      </c>
      <c r="P5823" s="21">
        <f>$B$5338</f>
        <v/>
      </c>
      <c r="Q5823" s="21">
        <f>$B$5340</f>
        <v/>
      </c>
      <c r="R5823" s="21">
        <f>0</f>
        <v/>
      </c>
      <c r="S5823" s="21">
        <f>2*$B$5339</f>
        <v/>
      </c>
      <c r="T5823" s="21">
        <f>-$B$5338</f>
        <v/>
      </c>
      <c r="U5823" s="21">
        <f>$B$5340</f>
        <v/>
      </c>
      <c r="V5823" s="21" t="n">
        <v>0</v>
      </c>
      <c r="W5823" s="21" t="n">
        <v>0</v>
      </c>
      <c r="X5823" s="21" t="n">
        <v>0</v>
      </c>
      <c r="Y5823" s="21" t="n">
        <v>0</v>
      </c>
      <c r="Z5823" s="19" t="n"/>
    </row>
    <row r="5824">
      <c r="D5824" s="21" t="n">
        <v>0</v>
      </c>
      <c r="E5824" s="21" t="n">
        <v>0</v>
      </c>
      <c r="F5824" s="21" t="n">
        <v>0</v>
      </c>
      <c r="G5824" s="21" t="n">
        <v>0</v>
      </c>
      <c r="H5824" s="21" t="n">
        <v>0</v>
      </c>
      <c r="I5824" s="21" t="n">
        <v>0</v>
      </c>
      <c r="J5824" s="21" t="n">
        <v>0</v>
      </c>
      <c r="K5824" s="21" t="n">
        <v>0</v>
      </c>
      <c r="L5824" s="21" t="n">
        <v>0</v>
      </c>
      <c r="M5824" s="21" t="n">
        <v>0</v>
      </c>
      <c r="N5824" s="21" t="n">
        <v>0</v>
      </c>
      <c r="O5824" s="21" t="n">
        <v>0</v>
      </c>
      <c r="P5824" s="21" t="n">
        <v>0</v>
      </c>
      <c r="Q5824" s="21" t="n">
        <v>0</v>
      </c>
      <c r="R5824" s="21">
        <f>-$B$5337</f>
        <v/>
      </c>
      <c r="S5824" s="21">
        <f>-$B$5338</f>
        <v/>
      </c>
      <c r="T5824" s="21">
        <f>2*$B$5337+$D$5804</f>
        <v/>
      </c>
      <c r="U5824" s="21">
        <f>0</f>
        <v/>
      </c>
      <c r="V5824" s="21">
        <f>-$B$5337</f>
        <v/>
      </c>
      <c r="W5824" s="21">
        <f>$B$5338</f>
        <v/>
      </c>
      <c r="X5824" s="21" t="n">
        <v>0</v>
      </c>
      <c r="Y5824" s="21" t="n">
        <v>0</v>
      </c>
      <c r="Z5824" s="19" t="n"/>
    </row>
    <row r="5825">
      <c r="D5825" s="21" t="n">
        <v>0</v>
      </c>
      <c r="E5825" s="21" t="n">
        <v>0</v>
      </c>
      <c r="F5825" s="21" t="n">
        <v>0</v>
      </c>
      <c r="G5825" s="21" t="n">
        <v>0</v>
      </c>
      <c r="H5825" s="21" t="n">
        <v>0</v>
      </c>
      <c r="I5825" s="21" t="n">
        <v>0</v>
      </c>
      <c r="J5825" s="21" t="n">
        <v>0</v>
      </c>
      <c r="K5825" s="21" t="n">
        <v>0</v>
      </c>
      <c r="L5825" s="21" t="n">
        <v>0</v>
      </c>
      <c r="M5825" s="21" t="n">
        <v>0</v>
      </c>
      <c r="N5825" s="21" t="n">
        <v>0</v>
      </c>
      <c r="O5825" s="21" t="n">
        <v>0</v>
      </c>
      <c r="P5825" s="21" t="n">
        <v>0</v>
      </c>
      <c r="Q5825" s="21" t="n">
        <v>0</v>
      </c>
      <c r="R5825" s="21">
        <f>$B$5338</f>
        <v/>
      </c>
      <c r="S5825" s="21">
        <f>$B$5340</f>
        <v/>
      </c>
      <c r="T5825" s="21">
        <f>0</f>
        <v/>
      </c>
      <c r="U5825" s="21">
        <f>2*$B$5339</f>
        <v/>
      </c>
      <c r="V5825" s="21">
        <f>-$B$5338</f>
        <v/>
      </c>
      <c r="W5825" s="21">
        <f>$B$5340</f>
        <v/>
      </c>
      <c r="X5825" s="21" t="n">
        <v>0</v>
      </c>
      <c r="Y5825" s="21" t="n">
        <v>0</v>
      </c>
      <c r="Z5825" s="19" t="n"/>
    </row>
    <row r="5826">
      <c r="D5826" s="21" t="n">
        <v>0</v>
      </c>
      <c r="E5826" s="21" t="n">
        <v>0</v>
      </c>
      <c r="F5826" s="21" t="n">
        <v>0</v>
      </c>
      <c r="G5826" s="21" t="n">
        <v>0</v>
      </c>
      <c r="H5826" s="21" t="n">
        <v>0</v>
      </c>
      <c r="I5826" s="21" t="n">
        <v>0</v>
      </c>
      <c r="J5826" s="21" t="n">
        <v>0</v>
      </c>
      <c r="K5826" s="21" t="n">
        <v>0</v>
      </c>
      <c r="L5826" s="21" t="n">
        <v>0</v>
      </c>
      <c r="M5826" s="21" t="n">
        <v>0</v>
      </c>
      <c r="N5826" s="21" t="n">
        <v>0</v>
      </c>
      <c r="O5826" s="21" t="n">
        <v>0</v>
      </c>
      <c r="P5826" s="21" t="n">
        <v>0</v>
      </c>
      <c r="Q5826" s="21" t="n">
        <v>0</v>
      </c>
      <c r="R5826" s="21" t="n">
        <v>0</v>
      </c>
      <c r="S5826" s="21" t="n">
        <v>0</v>
      </c>
      <c r="T5826" s="21">
        <f>-$B$5337</f>
        <v/>
      </c>
      <c r="U5826" s="21">
        <f>-$B$5338</f>
        <v/>
      </c>
      <c r="V5826" s="21">
        <f>2*$B$5337+$D$5805</f>
        <v/>
      </c>
      <c r="W5826" s="21">
        <f>0</f>
        <v/>
      </c>
      <c r="X5826" s="21">
        <f>-$B$5337</f>
        <v/>
      </c>
      <c r="Y5826" s="21">
        <f>$B$5338</f>
        <v/>
      </c>
      <c r="Z5826" s="19" t="n"/>
    </row>
    <row r="5827">
      <c r="D5827" s="21" t="n">
        <v>0</v>
      </c>
      <c r="E5827" s="21" t="n">
        <v>0</v>
      </c>
      <c r="F5827" s="21" t="n">
        <v>0</v>
      </c>
      <c r="G5827" s="21" t="n">
        <v>0</v>
      </c>
      <c r="H5827" s="21" t="n">
        <v>0</v>
      </c>
      <c r="I5827" s="21" t="n">
        <v>0</v>
      </c>
      <c r="J5827" s="21" t="n">
        <v>0</v>
      </c>
      <c r="K5827" s="21" t="n">
        <v>0</v>
      </c>
      <c r="L5827" s="21" t="n">
        <v>0</v>
      </c>
      <c r="M5827" s="21" t="n">
        <v>0</v>
      </c>
      <c r="N5827" s="21" t="n">
        <v>0</v>
      </c>
      <c r="O5827" s="21" t="n">
        <v>0</v>
      </c>
      <c r="P5827" s="21" t="n">
        <v>0</v>
      </c>
      <c r="Q5827" s="21" t="n">
        <v>0</v>
      </c>
      <c r="R5827" s="21" t="n">
        <v>0</v>
      </c>
      <c r="S5827" s="21" t="n">
        <v>0</v>
      </c>
      <c r="T5827" s="21">
        <f>$B$5338</f>
        <v/>
      </c>
      <c r="U5827" s="21">
        <f>$B$5340</f>
        <v/>
      </c>
      <c r="V5827" s="21">
        <f>0</f>
        <v/>
      </c>
      <c r="W5827" s="21">
        <f>2*$B$5339</f>
        <v/>
      </c>
      <c r="X5827" s="21">
        <f>-$B$5338</f>
        <v/>
      </c>
      <c r="Y5827" s="21">
        <f>$B$5340</f>
        <v/>
      </c>
      <c r="Z5827" s="19" t="n"/>
    </row>
    <row r="5828">
      <c r="D5828" s="21" t="n">
        <v>0</v>
      </c>
      <c r="E5828" s="21" t="n">
        <v>0</v>
      </c>
      <c r="F5828" s="21" t="n">
        <v>0</v>
      </c>
      <c r="G5828" s="21" t="n">
        <v>0</v>
      </c>
      <c r="H5828" s="21" t="n">
        <v>0</v>
      </c>
      <c r="I5828" s="21" t="n">
        <v>0</v>
      </c>
      <c r="J5828" s="21" t="n">
        <v>0</v>
      </c>
      <c r="K5828" s="21" t="n">
        <v>0</v>
      </c>
      <c r="L5828" s="21" t="n">
        <v>0</v>
      </c>
      <c r="M5828" s="21" t="n">
        <v>0</v>
      </c>
      <c r="N5828" s="21" t="n">
        <v>0</v>
      </c>
      <c r="O5828" s="21" t="n">
        <v>0</v>
      </c>
      <c r="P5828" s="21" t="n">
        <v>0</v>
      </c>
      <c r="Q5828" s="21" t="n">
        <v>0</v>
      </c>
      <c r="R5828" s="21" t="n">
        <v>0</v>
      </c>
      <c r="S5828" s="21" t="n">
        <v>0</v>
      </c>
      <c r="T5828" s="21" t="n">
        <v>0</v>
      </c>
      <c r="U5828" s="21" t="n">
        <v>0</v>
      </c>
      <c r="V5828" s="21">
        <f>-$B$5337</f>
        <v/>
      </c>
      <c r="W5828" s="21">
        <f>-$B$5338</f>
        <v/>
      </c>
      <c r="X5828" s="21">
        <f>$B$5337+$D$5806</f>
        <v/>
      </c>
      <c r="Y5828" s="21">
        <f>-$B$5338</f>
        <v/>
      </c>
      <c r="Z5828" s="19" t="n"/>
    </row>
    <row r="5829">
      <c r="D5829" s="21" t="n">
        <v>0</v>
      </c>
      <c r="E5829" s="21" t="n">
        <v>0</v>
      </c>
      <c r="F5829" s="21" t="n">
        <v>0</v>
      </c>
      <c r="G5829" s="21" t="n">
        <v>0</v>
      </c>
      <c r="H5829" s="21" t="n">
        <v>0</v>
      </c>
      <c r="I5829" s="21" t="n">
        <v>0</v>
      </c>
      <c r="J5829" s="21" t="n">
        <v>0</v>
      </c>
      <c r="K5829" s="21" t="n">
        <v>0</v>
      </c>
      <c r="L5829" s="21" t="n">
        <v>0</v>
      </c>
      <c r="M5829" s="21" t="n">
        <v>0</v>
      </c>
      <c r="N5829" s="21" t="n">
        <v>0</v>
      </c>
      <c r="O5829" s="21" t="n">
        <v>0</v>
      </c>
      <c r="P5829" s="21" t="n">
        <v>0</v>
      </c>
      <c r="Q5829" s="21" t="n">
        <v>0</v>
      </c>
      <c r="R5829" s="21" t="n">
        <v>0</v>
      </c>
      <c r="S5829" s="21" t="n">
        <v>0</v>
      </c>
      <c r="T5829" s="21" t="n">
        <v>0</v>
      </c>
      <c r="U5829" s="21" t="n">
        <v>0</v>
      </c>
      <c r="V5829" s="21">
        <f>$B$5338</f>
        <v/>
      </c>
      <c r="W5829" s="21">
        <f>$B$5340</f>
        <v/>
      </c>
      <c r="X5829" s="21">
        <f>-$B$5338</f>
        <v/>
      </c>
      <c r="Y5829" s="21">
        <f>$B$5339</f>
        <v/>
      </c>
      <c r="Z5829" s="19" t="n"/>
    </row>
    <row r="5831">
      <c r="A5831" s="8" t="inlineStr">
        <is>
          <t>gen 13</t>
        </is>
      </c>
    </row>
    <row r="5832">
      <c r="D5832" s="19">
        <f>IF(ABS(IF(ABS($E$5796)&gt;0.000000001,$E$5796,0.000000001))=0,0,IF($E$5352&lt;=$B$5346,0,IF(ABS(IF(ABS($E$5796)&gt;0.000000001,$E$5796,0.000000001))&gt;=8*$B$5348,$H$5352,0.5*$H$5352*(ABS(IF(ABS($E$5796)&gt;0.000000001,$E$5796,0.000000001))/$B$5348)^(1/3)))/ABS(IF(ABS($E$5796)&gt;0.000000001,$E$5796,0.000000001))*$I$5352)</f>
        <v/>
      </c>
      <c r="E5832" s="19">
        <f>0.5*$E$5796+0.5*$Z$5844</f>
        <v/>
      </c>
      <c r="F5832" s="19">
        <f>$Z$5845</f>
        <v/>
      </c>
    </row>
    <row r="5833">
      <c r="D5833" s="19">
        <f>IF(ABS(IF(ABS($E$5797)&gt;0.000000001,$E$5797,0.000000001))=0,0,IF($E$5353&lt;=$B$5346,0,IF(ABS(IF(ABS($E$5797)&gt;0.000000001,$E$5797,0.000000001))&gt;=8*$B$5348,$H$5353,0.5*$H$5353*(ABS(IF(ABS($E$5797)&gt;0.000000001,$E$5797,0.000000001))/$B$5348)^(1/3)))/ABS(IF(ABS($E$5797)&gt;0.000000001,$E$5797,0.000000001))*$I$5353)</f>
        <v/>
      </c>
      <c r="E5833" s="19">
        <f>0.5*$E$5797+0.5*$Z$5846</f>
        <v/>
      </c>
      <c r="F5833" s="19">
        <f>$Z$5847</f>
        <v/>
      </c>
    </row>
    <row r="5834">
      <c r="D5834" s="19">
        <f>IF(ABS(IF(ABS($E$5798)&gt;0.000000001,$E$5798,0.000000001))=0,0,IF($E$5354&lt;=$B$5346,0,IF(ABS(IF(ABS($E$5798)&gt;0.000000001,$E$5798,0.000000001))&gt;=8*$B$5348,$H$5354,0.5*$H$5354*(ABS(IF(ABS($E$5798)&gt;0.000000001,$E$5798,0.000000001))/$B$5348)^(1/3)))/ABS(IF(ABS($E$5798)&gt;0.000000001,$E$5798,0.000000001))*$I$5354)</f>
        <v/>
      </c>
      <c r="E5834" s="19">
        <f>0.5*$E$5798+0.5*$Z$5848</f>
        <v/>
      </c>
      <c r="F5834" s="19">
        <f>$Z$5849</f>
        <v/>
      </c>
    </row>
    <row r="5835">
      <c r="D5835" s="19">
        <f>IF(ABS(IF(ABS($E$5799)&gt;0.000000001,$E$5799,0.000000001))=0,0,IF($E$5355&lt;=$B$5346,0,IF(ABS(IF(ABS($E$5799)&gt;0.000000001,$E$5799,0.000000001))&gt;=8*$B$5348,$H$5355,0.5*$H$5355*(ABS(IF(ABS($E$5799)&gt;0.000000001,$E$5799,0.000000001))/$B$5348)^(1/3)))/ABS(IF(ABS($E$5799)&gt;0.000000001,$E$5799,0.000000001))*$I$5355)</f>
        <v/>
      </c>
      <c r="E5835" s="19">
        <f>0.5*$E$5799+0.5*$Z$5850</f>
        <v/>
      </c>
      <c r="F5835" s="19">
        <f>$Z$5851</f>
        <v/>
      </c>
    </row>
    <row r="5836">
      <c r="D5836" s="19">
        <f>IF(ABS(IF(ABS($E$5800)&gt;0.000000001,$E$5800,0.000000001))=0,0,IF($E$5356&lt;=$B$5346,0,IF(ABS(IF(ABS($E$5800)&gt;0.000000001,$E$5800,0.000000001))&gt;=8*$B$5348,$H$5356,0.5*$H$5356*(ABS(IF(ABS($E$5800)&gt;0.000000001,$E$5800,0.000000001))/$B$5348)^(1/3)))/ABS(IF(ABS($E$5800)&gt;0.000000001,$E$5800,0.000000001))*$I$5356)</f>
        <v/>
      </c>
      <c r="E5836" s="19">
        <f>0.5*$E$5800+0.5*$Z$5852</f>
        <v/>
      </c>
      <c r="F5836" s="19">
        <f>$Z$5853</f>
        <v/>
      </c>
    </row>
    <row r="5837">
      <c r="D5837" s="19">
        <f>IF(ABS(IF(ABS($E$5801)&gt;0.000000001,$E$5801,0.000000001))=0,0,IF($E$5357&lt;=$B$5346,0,IF(ABS(IF(ABS($E$5801)&gt;0.000000001,$E$5801,0.000000001))&gt;=8*$B$5348,$H$5357,0.5*$H$5357*(ABS(IF(ABS($E$5801)&gt;0.000000001,$E$5801,0.000000001))/$B$5348)^(1/3)))/ABS(IF(ABS($E$5801)&gt;0.000000001,$E$5801,0.000000001))*$I$5357)</f>
        <v/>
      </c>
      <c r="E5837" s="19">
        <f>0.5*$E$5801+0.5*$Z$5854</f>
        <v/>
      </c>
      <c r="F5837" s="19">
        <f>$Z$5855</f>
        <v/>
      </c>
    </row>
    <row r="5838">
      <c r="D5838" s="19">
        <f>IF(ABS(IF(ABS($E$5802)&gt;0.000000001,$E$5802,0.000000001))=0,0,IF($E$5358&lt;=$B$5346,0,IF(ABS(IF(ABS($E$5802)&gt;0.000000001,$E$5802,0.000000001))&gt;=8*$B$5348,$H$5358,0.5*$H$5358*(ABS(IF(ABS($E$5802)&gt;0.000000001,$E$5802,0.000000001))/$B$5348)^(1/3)))/ABS(IF(ABS($E$5802)&gt;0.000000001,$E$5802,0.000000001))*$I$5358)</f>
        <v/>
      </c>
      <c r="E5838" s="19">
        <f>0.5*$E$5802+0.5*$Z$5856</f>
        <v/>
      </c>
      <c r="F5838" s="19">
        <f>$Z$5857</f>
        <v/>
      </c>
    </row>
    <row r="5839">
      <c r="D5839" s="19">
        <f>IF(ABS(IF(ABS($E$5803)&gt;0.000000001,$E$5803,0.000000001))=0,0,IF($E$5359&lt;=$B$5346,0,IF(ABS(IF(ABS($E$5803)&gt;0.000000001,$E$5803,0.000000001))&gt;=8*$B$5348,$H$5359,0.5*$H$5359*(ABS(IF(ABS($E$5803)&gt;0.000000001,$E$5803,0.000000001))/$B$5348)^(1/3)))/ABS(IF(ABS($E$5803)&gt;0.000000001,$E$5803,0.000000001))*$I$5359)</f>
        <v/>
      </c>
      <c r="E5839" s="19">
        <f>0.5*$E$5803+0.5*$Z$5858</f>
        <v/>
      </c>
      <c r="F5839" s="19">
        <f>$Z$5859</f>
        <v/>
      </c>
    </row>
    <row r="5840">
      <c r="D5840" s="19">
        <f>IF(ABS(IF(ABS($E$5804)&gt;0.000000001,$E$5804,0.000000001))=0,0,IF($E$5360&lt;=$B$5346,0,IF(ABS(IF(ABS($E$5804)&gt;0.000000001,$E$5804,0.000000001))&gt;=8*$B$5348,$H$5360,0.5*$H$5360*(ABS(IF(ABS($E$5804)&gt;0.000000001,$E$5804,0.000000001))/$B$5348)^(1/3)))/ABS(IF(ABS($E$5804)&gt;0.000000001,$E$5804,0.000000001))*$I$5360)</f>
        <v/>
      </c>
      <c r="E5840" s="19">
        <f>0.5*$E$5804+0.5*$Z$5860</f>
        <v/>
      </c>
      <c r="F5840" s="19">
        <f>$Z$5861</f>
        <v/>
      </c>
    </row>
    <row r="5841">
      <c r="D5841" s="19">
        <f>IF(ABS(IF(ABS($E$5805)&gt;0.000000001,$E$5805,0.000000001))=0,0,IF($E$5361&lt;=$B$5346,0,IF(ABS(IF(ABS($E$5805)&gt;0.000000001,$E$5805,0.000000001))&gt;=8*$B$5348,$H$5361,0.5*$H$5361*(ABS(IF(ABS($E$5805)&gt;0.000000001,$E$5805,0.000000001))/$B$5348)^(1/3)))/ABS(IF(ABS($E$5805)&gt;0.000000001,$E$5805,0.000000001))*$I$5361)</f>
        <v/>
      </c>
      <c r="E5841" s="19">
        <f>0.5*$E$5805+0.5*$Z$5862</f>
        <v/>
      </c>
      <c r="F5841" s="19">
        <f>$Z$5863</f>
        <v/>
      </c>
    </row>
    <row r="5842">
      <c r="D5842" s="19">
        <f>IF(ABS(IF(ABS($E$5806)&gt;0.000000001,$E$5806,0.000000001))=0,0,IF($E$5362&lt;=$B$5346,0,IF(ABS(IF(ABS($E$5806)&gt;0.000000001,$E$5806,0.000000001))&gt;=8*$B$5348,$H$5362,0.5*$H$5362*(ABS(IF(ABS($E$5806)&gt;0.000000001,$E$5806,0.000000001))/$B$5348)^(1/3)))/ABS(IF(ABS($E$5806)&gt;0.000000001,$E$5806,0.000000001))*$I$5362)</f>
        <v/>
      </c>
      <c r="E5842" s="19">
        <f>0.5*$E$5806+0.5*$Z$5864</f>
        <v/>
      </c>
      <c r="F5842" s="19">
        <f>$Z$5865</f>
        <v/>
      </c>
    </row>
    <row r="5844">
      <c r="D5844" s="21">
        <f>$B$5337+$D$5832</f>
        <v/>
      </c>
      <c r="E5844" s="21">
        <f>$B$5338</f>
        <v/>
      </c>
      <c r="F5844" s="21">
        <f>-$B$5337</f>
        <v/>
      </c>
      <c r="G5844" s="21">
        <f>$B$5338</f>
        <v/>
      </c>
      <c r="H5844" s="21" t="n">
        <v>0</v>
      </c>
      <c r="I5844" s="21" t="n">
        <v>0</v>
      </c>
      <c r="J5844" s="21" t="n">
        <v>0</v>
      </c>
      <c r="K5844" s="21" t="n">
        <v>0</v>
      </c>
      <c r="L5844" s="21" t="n">
        <v>0</v>
      </c>
      <c r="M5844" s="21" t="n">
        <v>0</v>
      </c>
      <c r="N5844" s="21" t="n">
        <v>0</v>
      </c>
      <c r="O5844" s="21" t="n">
        <v>0</v>
      </c>
      <c r="P5844" s="21" t="n">
        <v>0</v>
      </c>
      <c r="Q5844" s="21" t="n">
        <v>0</v>
      </c>
      <c r="R5844" s="21" t="n">
        <v>0</v>
      </c>
      <c r="S5844" s="21" t="n">
        <v>0</v>
      </c>
      <c r="T5844" s="21" t="n">
        <v>0</v>
      </c>
      <c r="U5844" s="21" t="n">
        <v>0</v>
      </c>
      <c r="V5844" s="21" t="n">
        <v>0</v>
      </c>
      <c r="W5844" s="21" t="n">
        <v>0</v>
      </c>
      <c r="X5844" s="21" t="n">
        <v>0</v>
      </c>
      <c r="Y5844" s="21" t="n">
        <v>0</v>
      </c>
      <c r="Z5844" s="19">
        <f t="array" ref="Z5844:Z5865">MMULT(MINVERSE($D$5844:$Y$5865),$D$5364:$D$5385)</f>
        <v/>
      </c>
    </row>
    <row r="5845">
      <c r="D5845" s="21">
        <f>$B$5338</f>
        <v/>
      </c>
      <c r="E5845" s="21">
        <f>$B$5339</f>
        <v/>
      </c>
      <c r="F5845" s="21">
        <f>-$B$5338</f>
        <v/>
      </c>
      <c r="G5845" s="21">
        <f>$B$5340</f>
        <v/>
      </c>
      <c r="H5845" s="21" t="n">
        <v>0</v>
      </c>
      <c r="I5845" s="21" t="n">
        <v>0</v>
      </c>
      <c r="J5845" s="21" t="n">
        <v>0</v>
      </c>
      <c r="K5845" s="21" t="n">
        <v>0</v>
      </c>
      <c r="L5845" s="21" t="n">
        <v>0</v>
      </c>
      <c r="M5845" s="21" t="n">
        <v>0</v>
      </c>
      <c r="N5845" s="21" t="n">
        <v>0</v>
      </c>
      <c r="O5845" s="21" t="n">
        <v>0</v>
      </c>
      <c r="P5845" s="21" t="n">
        <v>0</v>
      </c>
      <c r="Q5845" s="21" t="n">
        <v>0</v>
      </c>
      <c r="R5845" s="21" t="n">
        <v>0</v>
      </c>
      <c r="S5845" s="21" t="n">
        <v>0</v>
      </c>
      <c r="T5845" s="21" t="n">
        <v>0</v>
      </c>
      <c r="U5845" s="21" t="n">
        <v>0</v>
      </c>
      <c r="V5845" s="21" t="n">
        <v>0</v>
      </c>
      <c r="W5845" s="21" t="n">
        <v>0</v>
      </c>
      <c r="X5845" s="21" t="n">
        <v>0</v>
      </c>
      <c r="Y5845" s="21" t="n">
        <v>0</v>
      </c>
      <c r="Z5845" s="19" t="n"/>
    </row>
    <row r="5846">
      <c r="D5846" s="21">
        <f>-$B$5337</f>
        <v/>
      </c>
      <c r="E5846" s="21">
        <f>-$B$5338</f>
        <v/>
      </c>
      <c r="F5846" s="21">
        <f>2*$B$5337+$D$5833</f>
        <v/>
      </c>
      <c r="G5846" s="21">
        <f>0</f>
        <v/>
      </c>
      <c r="H5846" s="21">
        <f>-$B$5337</f>
        <v/>
      </c>
      <c r="I5846" s="21">
        <f>$B$5338</f>
        <v/>
      </c>
      <c r="J5846" s="21" t="n">
        <v>0</v>
      </c>
      <c r="K5846" s="21" t="n">
        <v>0</v>
      </c>
      <c r="L5846" s="21" t="n">
        <v>0</v>
      </c>
      <c r="M5846" s="21" t="n">
        <v>0</v>
      </c>
      <c r="N5846" s="21" t="n">
        <v>0</v>
      </c>
      <c r="O5846" s="21" t="n">
        <v>0</v>
      </c>
      <c r="P5846" s="21" t="n">
        <v>0</v>
      </c>
      <c r="Q5846" s="21" t="n">
        <v>0</v>
      </c>
      <c r="R5846" s="21" t="n">
        <v>0</v>
      </c>
      <c r="S5846" s="21" t="n">
        <v>0</v>
      </c>
      <c r="T5846" s="21" t="n">
        <v>0</v>
      </c>
      <c r="U5846" s="21" t="n">
        <v>0</v>
      </c>
      <c r="V5846" s="21" t="n">
        <v>0</v>
      </c>
      <c r="W5846" s="21" t="n">
        <v>0</v>
      </c>
      <c r="X5846" s="21" t="n">
        <v>0</v>
      </c>
      <c r="Y5846" s="21" t="n">
        <v>0</v>
      </c>
      <c r="Z5846" s="19" t="n"/>
    </row>
    <row r="5847">
      <c r="D5847" s="21">
        <f>$B$5338</f>
        <v/>
      </c>
      <c r="E5847" s="21">
        <f>$B$5340</f>
        <v/>
      </c>
      <c r="F5847" s="21">
        <f>0</f>
        <v/>
      </c>
      <c r="G5847" s="21">
        <f>2*$B$5339</f>
        <v/>
      </c>
      <c r="H5847" s="21">
        <f>-$B$5338</f>
        <v/>
      </c>
      <c r="I5847" s="21">
        <f>$B$5340</f>
        <v/>
      </c>
      <c r="J5847" s="21" t="n">
        <v>0</v>
      </c>
      <c r="K5847" s="21" t="n">
        <v>0</v>
      </c>
      <c r="L5847" s="21" t="n">
        <v>0</v>
      </c>
      <c r="M5847" s="21" t="n">
        <v>0</v>
      </c>
      <c r="N5847" s="21" t="n">
        <v>0</v>
      </c>
      <c r="O5847" s="21" t="n">
        <v>0</v>
      </c>
      <c r="P5847" s="21" t="n">
        <v>0</v>
      </c>
      <c r="Q5847" s="21" t="n">
        <v>0</v>
      </c>
      <c r="R5847" s="21" t="n">
        <v>0</v>
      </c>
      <c r="S5847" s="21" t="n">
        <v>0</v>
      </c>
      <c r="T5847" s="21" t="n">
        <v>0</v>
      </c>
      <c r="U5847" s="21" t="n">
        <v>0</v>
      </c>
      <c r="V5847" s="21" t="n">
        <v>0</v>
      </c>
      <c r="W5847" s="21" t="n">
        <v>0</v>
      </c>
      <c r="X5847" s="21" t="n">
        <v>0</v>
      </c>
      <c r="Y5847" s="21" t="n">
        <v>0</v>
      </c>
      <c r="Z5847" s="19" t="n"/>
    </row>
    <row r="5848">
      <c r="D5848" s="21" t="n">
        <v>0</v>
      </c>
      <c r="E5848" s="21" t="n">
        <v>0</v>
      </c>
      <c r="F5848" s="21">
        <f>-$B$5337</f>
        <v/>
      </c>
      <c r="G5848" s="21">
        <f>-$B$5338</f>
        <v/>
      </c>
      <c r="H5848" s="21">
        <f>2*$B$5337+$D$5834</f>
        <v/>
      </c>
      <c r="I5848" s="21">
        <f>0</f>
        <v/>
      </c>
      <c r="J5848" s="21">
        <f>-$B$5337</f>
        <v/>
      </c>
      <c r="K5848" s="21">
        <f>$B$5338</f>
        <v/>
      </c>
      <c r="L5848" s="21" t="n">
        <v>0</v>
      </c>
      <c r="M5848" s="21" t="n">
        <v>0</v>
      </c>
      <c r="N5848" s="21" t="n">
        <v>0</v>
      </c>
      <c r="O5848" s="21" t="n">
        <v>0</v>
      </c>
      <c r="P5848" s="21" t="n">
        <v>0</v>
      </c>
      <c r="Q5848" s="21" t="n">
        <v>0</v>
      </c>
      <c r="R5848" s="21" t="n">
        <v>0</v>
      </c>
      <c r="S5848" s="21" t="n">
        <v>0</v>
      </c>
      <c r="T5848" s="21" t="n">
        <v>0</v>
      </c>
      <c r="U5848" s="21" t="n">
        <v>0</v>
      </c>
      <c r="V5848" s="21" t="n">
        <v>0</v>
      </c>
      <c r="W5848" s="21" t="n">
        <v>0</v>
      </c>
      <c r="X5848" s="21" t="n">
        <v>0</v>
      </c>
      <c r="Y5848" s="21" t="n">
        <v>0</v>
      </c>
      <c r="Z5848" s="19" t="n"/>
    </row>
    <row r="5849">
      <c r="D5849" s="21" t="n">
        <v>0</v>
      </c>
      <c r="E5849" s="21" t="n">
        <v>0</v>
      </c>
      <c r="F5849" s="21">
        <f>$B$5338</f>
        <v/>
      </c>
      <c r="G5849" s="21">
        <f>$B$5340</f>
        <v/>
      </c>
      <c r="H5849" s="21">
        <f>0</f>
        <v/>
      </c>
      <c r="I5849" s="21">
        <f>2*$B$5339</f>
        <v/>
      </c>
      <c r="J5849" s="21">
        <f>-$B$5338</f>
        <v/>
      </c>
      <c r="K5849" s="21">
        <f>$B$5340</f>
        <v/>
      </c>
      <c r="L5849" s="21" t="n">
        <v>0</v>
      </c>
      <c r="M5849" s="21" t="n">
        <v>0</v>
      </c>
      <c r="N5849" s="21" t="n">
        <v>0</v>
      </c>
      <c r="O5849" s="21" t="n">
        <v>0</v>
      </c>
      <c r="P5849" s="21" t="n">
        <v>0</v>
      </c>
      <c r="Q5849" s="21" t="n">
        <v>0</v>
      </c>
      <c r="R5849" s="21" t="n">
        <v>0</v>
      </c>
      <c r="S5849" s="21" t="n">
        <v>0</v>
      </c>
      <c r="T5849" s="21" t="n">
        <v>0</v>
      </c>
      <c r="U5849" s="21" t="n">
        <v>0</v>
      </c>
      <c r="V5849" s="21" t="n">
        <v>0</v>
      </c>
      <c r="W5849" s="21" t="n">
        <v>0</v>
      </c>
      <c r="X5849" s="21" t="n">
        <v>0</v>
      </c>
      <c r="Y5849" s="21" t="n">
        <v>0</v>
      </c>
      <c r="Z5849" s="19" t="n"/>
    </row>
    <row r="5850">
      <c r="D5850" s="21" t="n">
        <v>0</v>
      </c>
      <c r="E5850" s="21" t="n">
        <v>0</v>
      </c>
      <c r="F5850" s="21" t="n">
        <v>0</v>
      </c>
      <c r="G5850" s="21" t="n">
        <v>0</v>
      </c>
      <c r="H5850" s="21">
        <f>-$B$5337</f>
        <v/>
      </c>
      <c r="I5850" s="21">
        <f>-$B$5338</f>
        <v/>
      </c>
      <c r="J5850" s="21">
        <f>2*$B$5337+$D$5835</f>
        <v/>
      </c>
      <c r="K5850" s="21">
        <f>0</f>
        <v/>
      </c>
      <c r="L5850" s="21">
        <f>-$B$5337</f>
        <v/>
      </c>
      <c r="M5850" s="21">
        <f>$B$5338</f>
        <v/>
      </c>
      <c r="N5850" s="21" t="n">
        <v>0</v>
      </c>
      <c r="O5850" s="21" t="n">
        <v>0</v>
      </c>
      <c r="P5850" s="21" t="n">
        <v>0</v>
      </c>
      <c r="Q5850" s="21" t="n">
        <v>0</v>
      </c>
      <c r="R5850" s="21" t="n">
        <v>0</v>
      </c>
      <c r="S5850" s="21" t="n">
        <v>0</v>
      </c>
      <c r="T5850" s="21" t="n">
        <v>0</v>
      </c>
      <c r="U5850" s="21" t="n">
        <v>0</v>
      </c>
      <c r="V5850" s="21" t="n">
        <v>0</v>
      </c>
      <c r="W5850" s="21" t="n">
        <v>0</v>
      </c>
      <c r="X5850" s="21" t="n">
        <v>0</v>
      </c>
      <c r="Y5850" s="21" t="n">
        <v>0</v>
      </c>
      <c r="Z5850" s="19" t="n"/>
    </row>
    <row r="5851">
      <c r="D5851" s="21" t="n">
        <v>0</v>
      </c>
      <c r="E5851" s="21" t="n">
        <v>0</v>
      </c>
      <c r="F5851" s="21" t="n">
        <v>0</v>
      </c>
      <c r="G5851" s="21" t="n">
        <v>0</v>
      </c>
      <c r="H5851" s="21">
        <f>$B$5338</f>
        <v/>
      </c>
      <c r="I5851" s="21">
        <f>$B$5340</f>
        <v/>
      </c>
      <c r="J5851" s="21">
        <f>0</f>
        <v/>
      </c>
      <c r="K5851" s="21">
        <f>2*$B$5339</f>
        <v/>
      </c>
      <c r="L5851" s="21">
        <f>-$B$5338</f>
        <v/>
      </c>
      <c r="M5851" s="21">
        <f>$B$5340</f>
        <v/>
      </c>
      <c r="N5851" s="21" t="n">
        <v>0</v>
      </c>
      <c r="O5851" s="21" t="n">
        <v>0</v>
      </c>
      <c r="P5851" s="21" t="n">
        <v>0</v>
      </c>
      <c r="Q5851" s="21" t="n">
        <v>0</v>
      </c>
      <c r="R5851" s="21" t="n">
        <v>0</v>
      </c>
      <c r="S5851" s="21" t="n">
        <v>0</v>
      </c>
      <c r="T5851" s="21" t="n">
        <v>0</v>
      </c>
      <c r="U5851" s="21" t="n">
        <v>0</v>
      </c>
      <c r="V5851" s="21" t="n">
        <v>0</v>
      </c>
      <c r="W5851" s="21" t="n">
        <v>0</v>
      </c>
      <c r="X5851" s="21" t="n">
        <v>0</v>
      </c>
      <c r="Y5851" s="21" t="n">
        <v>0</v>
      </c>
      <c r="Z5851" s="19" t="n"/>
    </row>
    <row r="5852">
      <c r="D5852" s="21" t="n">
        <v>0</v>
      </c>
      <c r="E5852" s="21" t="n">
        <v>0</v>
      </c>
      <c r="F5852" s="21" t="n">
        <v>0</v>
      </c>
      <c r="G5852" s="21" t="n">
        <v>0</v>
      </c>
      <c r="H5852" s="21" t="n">
        <v>0</v>
      </c>
      <c r="I5852" s="21" t="n">
        <v>0</v>
      </c>
      <c r="J5852" s="21">
        <f>-$B$5337</f>
        <v/>
      </c>
      <c r="K5852" s="21">
        <f>-$B$5338</f>
        <v/>
      </c>
      <c r="L5852" s="21">
        <f>2*$B$5337+$D$5836</f>
        <v/>
      </c>
      <c r="M5852" s="21">
        <f>0</f>
        <v/>
      </c>
      <c r="N5852" s="21">
        <f>-$B$5337</f>
        <v/>
      </c>
      <c r="O5852" s="21">
        <f>$B$5338</f>
        <v/>
      </c>
      <c r="P5852" s="21" t="n">
        <v>0</v>
      </c>
      <c r="Q5852" s="21" t="n">
        <v>0</v>
      </c>
      <c r="R5852" s="21" t="n">
        <v>0</v>
      </c>
      <c r="S5852" s="21" t="n">
        <v>0</v>
      </c>
      <c r="T5852" s="21" t="n">
        <v>0</v>
      </c>
      <c r="U5852" s="21" t="n">
        <v>0</v>
      </c>
      <c r="V5852" s="21" t="n">
        <v>0</v>
      </c>
      <c r="W5852" s="21" t="n">
        <v>0</v>
      </c>
      <c r="X5852" s="21" t="n">
        <v>0</v>
      </c>
      <c r="Y5852" s="21" t="n">
        <v>0</v>
      </c>
      <c r="Z5852" s="19" t="n"/>
    </row>
    <row r="5853">
      <c r="D5853" s="21" t="n">
        <v>0</v>
      </c>
      <c r="E5853" s="21" t="n">
        <v>0</v>
      </c>
      <c r="F5853" s="21" t="n">
        <v>0</v>
      </c>
      <c r="G5853" s="21" t="n">
        <v>0</v>
      </c>
      <c r="H5853" s="21" t="n">
        <v>0</v>
      </c>
      <c r="I5853" s="21" t="n">
        <v>0</v>
      </c>
      <c r="J5853" s="21">
        <f>$B$5338</f>
        <v/>
      </c>
      <c r="K5853" s="21">
        <f>$B$5340</f>
        <v/>
      </c>
      <c r="L5853" s="21">
        <f>0</f>
        <v/>
      </c>
      <c r="M5853" s="21">
        <f>2*$B$5339</f>
        <v/>
      </c>
      <c r="N5853" s="21">
        <f>-$B$5338</f>
        <v/>
      </c>
      <c r="O5853" s="21">
        <f>$B$5340</f>
        <v/>
      </c>
      <c r="P5853" s="21" t="n">
        <v>0</v>
      </c>
      <c r="Q5853" s="21" t="n">
        <v>0</v>
      </c>
      <c r="R5853" s="21" t="n">
        <v>0</v>
      </c>
      <c r="S5853" s="21" t="n">
        <v>0</v>
      </c>
      <c r="T5853" s="21" t="n">
        <v>0</v>
      </c>
      <c r="U5853" s="21" t="n">
        <v>0</v>
      </c>
      <c r="V5853" s="21" t="n">
        <v>0</v>
      </c>
      <c r="W5853" s="21" t="n">
        <v>0</v>
      </c>
      <c r="X5853" s="21" t="n">
        <v>0</v>
      </c>
      <c r="Y5853" s="21" t="n">
        <v>0</v>
      </c>
      <c r="Z5853" s="19" t="n"/>
    </row>
    <row r="5854">
      <c r="D5854" s="21" t="n">
        <v>0</v>
      </c>
      <c r="E5854" s="21" t="n">
        <v>0</v>
      </c>
      <c r="F5854" s="21" t="n">
        <v>0</v>
      </c>
      <c r="G5854" s="21" t="n">
        <v>0</v>
      </c>
      <c r="H5854" s="21" t="n">
        <v>0</v>
      </c>
      <c r="I5854" s="21" t="n">
        <v>0</v>
      </c>
      <c r="J5854" s="21" t="n">
        <v>0</v>
      </c>
      <c r="K5854" s="21" t="n">
        <v>0</v>
      </c>
      <c r="L5854" s="21">
        <f>-$B$5337</f>
        <v/>
      </c>
      <c r="M5854" s="21">
        <f>-$B$5338</f>
        <v/>
      </c>
      <c r="N5854" s="21">
        <f>2*$B$5337+$D$5837</f>
        <v/>
      </c>
      <c r="O5854" s="21">
        <f>0</f>
        <v/>
      </c>
      <c r="P5854" s="21">
        <f>-$B$5337</f>
        <v/>
      </c>
      <c r="Q5854" s="21">
        <f>$B$5338</f>
        <v/>
      </c>
      <c r="R5854" s="21" t="n">
        <v>0</v>
      </c>
      <c r="S5854" s="21" t="n">
        <v>0</v>
      </c>
      <c r="T5854" s="21" t="n">
        <v>0</v>
      </c>
      <c r="U5854" s="21" t="n">
        <v>0</v>
      </c>
      <c r="V5854" s="21" t="n">
        <v>0</v>
      </c>
      <c r="W5854" s="21" t="n">
        <v>0</v>
      </c>
      <c r="X5854" s="21" t="n">
        <v>0</v>
      </c>
      <c r="Y5854" s="21" t="n">
        <v>0</v>
      </c>
      <c r="Z5854" s="19" t="n"/>
    </row>
    <row r="5855">
      <c r="D5855" s="21" t="n">
        <v>0</v>
      </c>
      <c r="E5855" s="21" t="n">
        <v>0</v>
      </c>
      <c r="F5855" s="21" t="n">
        <v>0</v>
      </c>
      <c r="G5855" s="21" t="n">
        <v>0</v>
      </c>
      <c r="H5855" s="21" t="n">
        <v>0</v>
      </c>
      <c r="I5855" s="21" t="n">
        <v>0</v>
      </c>
      <c r="J5855" s="21" t="n">
        <v>0</v>
      </c>
      <c r="K5855" s="21" t="n">
        <v>0</v>
      </c>
      <c r="L5855" s="21">
        <f>$B$5338</f>
        <v/>
      </c>
      <c r="M5855" s="21">
        <f>$B$5340</f>
        <v/>
      </c>
      <c r="N5855" s="21">
        <f>0</f>
        <v/>
      </c>
      <c r="O5855" s="21">
        <f>2*$B$5339</f>
        <v/>
      </c>
      <c r="P5855" s="21">
        <f>-$B$5338</f>
        <v/>
      </c>
      <c r="Q5855" s="21">
        <f>$B$5340</f>
        <v/>
      </c>
      <c r="R5855" s="21" t="n">
        <v>0</v>
      </c>
      <c r="S5855" s="21" t="n">
        <v>0</v>
      </c>
      <c r="T5855" s="21" t="n">
        <v>0</v>
      </c>
      <c r="U5855" s="21" t="n">
        <v>0</v>
      </c>
      <c r="V5855" s="21" t="n">
        <v>0</v>
      </c>
      <c r="W5855" s="21" t="n">
        <v>0</v>
      </c>
      <c r="X5855" s="21" t="n">
        <v>0</v>
      </c>
      <c r="Y5855" s="21" t="n">
        <v>0</v>
      </c>
      <c r="Z5855" s="19" t="n"/>
    </row>
    <row r="5856">
      <c r="D5856" s="21" t="n">
        <v>0</v>
      </c>
      <c r="E5856" s="21" t="n">
        <v>0</v>
      </c>
      <c r="F5856" s="21" t="n">
        <v>0</v>
      </c>
      <c r="G5856" s="21" t="n">
        <v>0</v>
      </c>
      <c r="H5856" s="21" t="n">
        <v>0</v>
      </c>
      <c r="I5856" s="21" t="n">
        <v>0</v>
      </c>
      <c r="J5856" s="21" t="n">
        <v>0</v>
      </c>
      <c r="K5856" s="21" t="n">
        <v>0</v>
      </c>
      <c r="L5856" s="21" t="n">
        <v>0</v>
      </c>
      <c r="M5856" s="21" t="n">
        <v>0</v>
      </c>
      <c r="N5856" s="21">
        <f>-$B$5337</f>
        <v/>
      </c>
      <c r="O5856" s="21">
        <f>-$B$5338</f>
        <v/>
      </c>
      <c r="P5856" s="21">
        <f>2*$B$5337+$D$5838</f>
        <v/>
      </c>
      <c r="Q5856" s="21">
        <f>0</f>
        <v/>
      </c>
      <c r="R5856" s="21">
        <f>-$B$5337</f>
        <v/>
      </c>
      <c r="S5856" s="21">
        <f>$B$5338</f>
        <v/>
      </c>
      <c r="T5856" s="21" t="n">
        <v>0</v>
      </c>
      <c r="U5856" s="21" t="n">
        <v>0</v>
      </c>
      <c r="V5856" s="21" t="n">
        <v>0</v>
      </c>
      <c r="W5856" s="21" t="n">
        <v>0</v>
      </c>
      <c r="X5856" s="21" t="n">
        <v>0</v>
      </c>
      <c r="Y5856" s="21" t="n">
        <v>0</v>
      </c>
      <c r="Z5856" s="19" t="n"/>
    </row>
    <row r="5857">
      <c r="D5857" s="21" t="n">
        <v>0</v>
      </c>
      <c r="E5857" s="21" t="n">
        <v>0</v>
      </c>
      <c r="F5857" s="21" t="n">
        <v>0</v>
      </c>
      <c r="G5857" s="21" t="n">
        <v>0</v>
      </c>
      <c r="H5857" s="21" t="n">
        <v>0</v>
      </c>
      <c r="I5857" s="21" t="n">
        <v>0</v>
      </c>
      <c r="J5857" s="21" t="n">
        <v>0</v>
      </c>
      <c r="K5857" s="21" t="n">
        <v>0</v>
      </c>
      <c r="L5857" s="21" t="n">
        <v>0</v>
      </c>
      <c r="M5857" s="21" t="n">
        <v>0</v>
      </c>
      <c r="N5857" s="21">
        <f>$B$5338</f>
        <v/>
      </c>
      <c r="O5857" s="21">
        <f>$B$5340</f>
        <v/>
      </c>
      <c r="P5857" s="21">
        <f>0</f>
        <v/>
      </c>
      <c r="Q5857" s="21">
        <f>2*$B$5339</f>
        <v/>
      </c>
      <c r="R5857" s="21">
        <f>-$B$5338</f>
        <v/>
      </c>
      <c r="S5857" s="21">
        <f>$B$5340</f>
        <v/>
      </c>
      <c r="T5857" s="21" t="n">
        <v>0</v>
      </c>
      <c r="U5857" s="21" t="n">
        <v>0</v>
      </c>
      <c r="V5857" s="21" t="n">
        <v>0</v>
      </c>
      <c r="W5857" s="21" t="n">
        <v>0</v>
      </c>
      <c r="X5857" s="21" t="n">
        <v>0</v>
      </c>
      <c r="Y5857" s="21" t="n">
        <v>0</v>
      </c>
      <c r="Z5857" s="19" t="n"/>
    </row>
    <row r="5858">
      <c r="D5858" s="21" t="n">
        <v>0</v>
      </c>
      <c r="E5858" s="21" t="n">
        <v>0</v>
      </c>
      <c r="F5858" s="21" t="n">
        <v>0</v>
      </c>
      <c r="G5858" s="21" t="n">
        <v>0</v>
      </c>
      <c r="H5858" s="21" t="n">
        <v>0</v>
      </c>
      <c r="I5858" s="21" t="n">
        <v>0</v>
      </c>
      <c r="J5858" s="21" t="n">
        <v>0</v>
      </c>
      <c r="K5858" s="21" t="n">
        <v>0</v>
      </c>
      <c r="L5858" s="21" t="n">
        <v>0</v>
      </c>
      <c r="M5858" s="21" t="n">
        <v>0</v>
      </c>
      <c r="N5858" s="21" t="n">
        <v>0</v>
      </c>
      <c r="O5858" s="21" t="n">
        <v>0</v>
      </c>
      <c r="P5858" s="21">
        <f>-$B$5337</f>
        <v/>
      </c>
      <c r="Q5858" s="21">
        <f>-$B$5338</f>
        <v/>
      </c>
      <c r="R5858" s="21">
        <f>2*$B$5337+$D$5839</f>
        <v/>
      </c>
      <c r="S5858" s="21">
        <f>0</f>
        <v/>
      </c>
      <c r="T5858" s="21">
        <f>-$B$5337</f>
        <v/>
      </c>
      <c r="U5858" s="21">
        <f>$B$5338</f>
        <v/>
      </c>
      <c r="V5858" s="21" t="n">
        <v>0</v>
      </c>
      <c r="W5858" s="21" t="n">
        <v>0</v>
      </c>
      <c r="X5858" s="21" t="n">
        <v>0</v>
      </c>
      <c r="Y5858" s="21" t="n">
        <v>0</v>
      </c>
      <c r="Z5858" s="19" t="n"/>
    </row>
    <row r="5859">
      <c r="D5859" s="21" t="n">
        <v>0</v>
      </c>
      <c r="E5859" s="21" t="n">
        <v>0</v>
      </c>
      <c r="F5859" s="21" t="n">
        <v>0</v>
      </c>
      <c r="G5859" s="21" t="n">
        <v>0</v>
      </c>
      <c r="H5859" s="21" t="n">
        <v>0</v>
      </c>
      <c r="I5859" s="21" t="n">
        <v>0</v>
      </c>
      <c r="J5859" s="21" t="n">
        <v>0</v>
      </c>
      <c r="K5859" s="21" t="n">
        <v>0</v>
      </c>
      <c r="L5859" s="21" t="n">
        <v>0</v>
      </c>
      <c r="M5859" s="21" t="n">
        <v>0</v>
      </c>
      <c r="N5859" s="21" t="n">
        <v>0</v>
      </c>
      <c r="O5859" s="21" t="n">
        <v>0</v>
      </c>
      <c r="P5859" s="21">
        <f>$B$5338</f>
        <v/>
      </c>
      <c r="Q5859" s="21">
        <f>$B$5340</f>
        <v/>
      </c>
      <c r="R5859" s="21">
        <f>0</f>
        <v/>
      </c>
      <c r="S5859" s="21">
        <f>2*$B$5339</f>
        <v/>
      </c>
      <c r="T5859" s="21">
        <f>-$B$5338</f>
        <v/>
      </c>
      <c r="U5859" s="21">
        <f>$B$5340</f>
        <v/>
      </c>
      <c r="V5859" s="21" t="n">
        <v>0</v>
      </c>
      <c r="W5859" s="21" t="n">
        <v>0</v>
      </c>
      <c r="X5859" s="21" t="n">
        <v>0</v>
      </c>
      <c r="Y5859" s="21" t="n">
        <v>0</v>
      </c>
      <c r="Z5859" s="19" t="n"/>
    </row>
    <row r="5860">
      <c r="D5860" s="21" t="n">
        <v>0</v>
      </c>
      <c r="E5860" s="21" t="n">
        <v>0</v>
      </c>
      <c r="F5860" s="21" t="n">
        <v>0</v>
      </c>
      <c r="G5860" s="21" t="n">
        <v>0</v>
      </c>
      <c r="H5860" s="21" t="n">
        <v>0</v>
      </c>
      <c r="I5860" s="21" t="n">
        <v>0</v>
      </c>
      <c r="J5860" s="21" t="n">
        <v>0</v>
      </c>
      <c r="K5860" s="21" t="n">
        <v>0</v>
      </c>
      <c r="L5860" s="21" t="n">
        <v>0</v>
      </c>
      <c r="M5860" s="21" t="n">
        <v>0</v>
      </c>
      <c r="N5860" s="21" t="n">
        <v>0</v>
      </c>
      <c r="O5860" s="21" t="n">
        <v>0</v>
      </c>
      <c r="P5860" s="21" t="n">
        <v>0</v>
      </c>
      <c r="Q5860" s="21" t="n">
        <v>0</v>
      </c>
      <c r="R5860" s="21">
        <f>-$B$5337</f>
        <v/>
      </c>
      <c r="S5860" s="21">
        <f>-$B$5338</f>
        <v/>
      </c>
      <c r="T5860" s="21">
        <f>2*$B$5337+$D$5840</f>
        <v/>
      </c>
      <c r="U5860" s="21">
        <f>0</f>
        <v/>
      </c>
      <c r="V5860" s="21">
        <f>-$B$5337</f>
        <v/>
      </c>
      <c r="W5860" s="21">
        <f>$B$5338</f>
        <v/>
      </c>
      <c r="X5860" s="21" t="n">
        <v>0</v>
      </c>
      <c r="Y5860" s="21" t="n">
        <v>0</v>
      </c>
      <c r="Z5860" s="19" t="n"/>
    </row>
    <row r="5861">
      <c r="D5861" s="21" t="n">
        <v>0</v>
      </c>
      <c r="E5861" s="21" t="n">
        <v>0</v>
      </c>
      <c r="F5861" s="21" t="n">
        <v>0</v>
      </c>
      <c r="G5861" s="21" t="n">
        <v>0</v>
      </c>
      <c r="H5861" s="21" t="n">
        <v>0</v>
      </c>
      <c r="I5861" s="21" t="n">
        <v>0</v>
      </c>
      <c r="J5861" s="21" t="n">
        <v>0</v>
      </c>
      <c r="K5861" s="21" t="n">
        <v>0</v>
      </c>
      <c r="L5861" s="21" t="n">
        <v>0</v>
      </c>
      <c r="M5861" s="21" t="n">
        <v>0</v>
      </c>
      <c r="N5861" s="21" t="n">
        <v>0</v>
      </c>
      <c r="O5861" s="21" t="n">
        <v>0</v>
      </c>
      <c r="P5861" s="21" t="n">
        <v>0</v>
      </c>
      <c r="Q5861" s="21" t="n">
        <v>0</v>
      </c>
      <c r="R5861" s="21">
        <f>$B$5338</f>
        <v/>
      </c>
      <c r="S5861" s="21">
        <f>$B$5340</f>
        <v/>
      </c>
      <c r="T5861" s="21">
        <f>0</f>
        <v/>
      </c>
      <c r="U5861" s="21">
        <f>2*$B$5339</f>
        <v/>
      </c>
      <c r="V5861" s="21">
        <f>-$B$5338</f>
        <v/>
      </c>
      <c r="W5861" s="21">
        <f>$B$5340</f>
        <v/>
      </c>
      <c r="X5861" s="21" t="n">
        <v>0</v>
      </c>
      <c r="Y5861" s="21" t="n">
        <v>0</v>
      </c>
      <c r="Z5861" s="19" t="n"/>
    </row>
    <row r="5862">
      <c r="D5862" s="21" t="n">
        <v>0</v>
      </c>
      <c r="E5862" s="21" t="n">
        <v>0</v>
      </c>
      <c r="F5862" s="21" t="n">
        <v>0</v>
      </c>
      <c r="G5862" s="21" t="n">
        <v>0</v>
      </c>
      <c r="H5862" s="21" t="n">
        <v>0</v>
      </c>
      <c r="I5862" s="21" t="n">
        <v>0</v>
      </c>
      <c r="J5862" s="21" t="n">
        <v>0</v>
      </c>
      <c r="K5862" s="21" t="n">
        <v>0</v>
      </c>
      <c r="L5862" s="21" t="n">
        <v>0</v>
      </c>
      <c r="M5862" s="21" t="n">
        <v>0</v>
      </c>
      <c r="N5862" s="21" t="n">
        <v>0</v>
      </c>
      <c r="O5862" s="21" t="n">
        <v>0</v>
      </c>
      <c r="P5862" s="21" t="n">
        <v>0</v>
      </c>
      <c r="Q5862" s="21" t="n">
        <v>0</v>
      </c>
      <c r="R5862" s="21" t="n">
        <v>0</v>
      </c>
      <c r="S5862" s="21" t="n">
        <v>0</v>
      </c>
      <c r="T5862" s="21">
        <f>-$B$5337</f>
        <v/>
      </c>
      <c r="U5862" s="21">
        <f>-$B$5338</f>
        <v/>
      </c>
      <c r="V5862" s="21">
        <f>2*$B$5337+$D$5841</f>
        <v/>
      </c>
      <c r="W5862" s="21">
        <f>0</f>
        <v/>
      </c>
      <c r="X5862" s="21">
        <f>-$B$5337</f>
        <v/>
      </c>
      <c r="Y5862" s="21">
        <f>$B$5338</f>
        <v/>
      </c>
      <c r="Z5862" s="19" t="n"/>
    </row>
    <row r="5863">
      <c r="D5863" s="21" t="n">
        <v>0</v>
      </c>
      <c r="E5863" s="21" t="n">
        <v>0</v>
      </c>
      <c r="F5863" s="21" t="n">
        <v>0</v>
      </c>
      <c r="G5863" s="21" t="n">
        <v>0</v>
      </c>
      <c r="H5863" s="21" t="n">
        <v>0</v>
      </c>
      <c r="I5863" s="21" t="n">
        <v>0</v>
      </c>
      <c r="J5863" s="21" t="n">
        <v>0</v>
      </c>
      <c r="K5863" s="21" t="n">
        <v>0</v>
      </c>
      <c r="L5863" s="21" t="n">
        <v>0</v>
      </c>
      <c r="M5863" s="21" t="n">
        <v>0</v>
      </c>
      <c r="N5863" s="21" t="n">
        <v>0</v>
      </c>
      <c r="O5863" s="21" t="n">
        <v>0</v>
      </c>
      <c r="P5863" s="21" t="n">
        <v>0</v>
      </c>
      <c r="Q5863" s="21" t="n">
        <v>0</v>
      </c>
      <c r="R5863" s="21" t="n">
        <v>0</v>
      </c>
      <c r="S5863" s="21" t="n">
        <v>0</v>
      </c>
      <c r="T5863" s="21">
        <f>$B$5338</f>
        <v/>
      </c>
      <c r="U5863" s="21">
        <f>$B$5340</f>
        <v/>
      </c>
      <c r="V5863" s="21">
        <f>0</f>
        <v/>
      </c>
      <c r="W5863" s="21">
        <f>2*$B$5339</f>
        <v/>
      </c>
      <c r="X5863" s="21">
        <f>-$B$5338</f>
        <v/>
      </c>
      <c r="Y5863" s="21">
        <f>$B$5340</f>
        <v/>
      </c>
      <c r="Z5863" s="19" t="n"/>
    </row>
    <row r="5864">
      <c r="D5864" s="21" t="n">
        <v>0</v>
      </c>
      <c r="E5864" s="21" t="n">
        <v>0</v>
      </c>
      <c r="F5864" s="21" t="n">
        <v>0</v>
      </c>
      <c r="G5864" s="21" t="n">
        <v>0</v>
      </c>
      <c r="H5864" s="21" t="n">
        <v>0</v>
      </c>
      <c r="I5864" s="21" t="n">
        <v>0</v>
      </c>
      <c r="J5864" s="21" t="n">
        <v>0</v>
      </c>
      <c r="K5864" s="21" t="n">
        <v>0</v>
      </c>
      <c r="L5864" s="21" t="n">
        <v>0</v>
      </c>
      <c r="M5864" s="21" t="n">
        <v>0</v>
      </c>
      <c r="N5864" s="21" t="n">
        <v>0</v>
      </c>
      <c r="O5864" s="21" t="n">
        <v>0</v>
      </c>
      <c r="P5864" s="21" t="n">
        <v>0</v>
      </c>
      <c r="Q5864" s="21" t="n">
        <v>0</v>
      </c>
      <c r="R5864" s="21" t="n">
        <v>0</v>
      </c>
      <c r="S5864" s="21" t="n">
        <v>0</v>
      </c>
      <c r="T5864" s="21" t="n">
        <v>0</v>
      </c>
      <c r="U5864" s="21" t="n">
        <v>0</v>
      </c>
      <c r="V5864" s="21">
        <f>-$B$5337</f>
        <v/>
      </c>
      <c r="W5864" s="21">
        <f>-$B$5338</f>
        <v/>
      </c>
      <c r="X5864" s="21">
        <f>$B$5337+$D$5842</f>
        <v/>
      </c>
      <c r="Y5864" s="21">
        <f>-$B$5338</f>
        <v/>
      </c>
      <c r="Z5864" s="19" t="n"/>
    </row>
    <row r="5865">
      <c r="D5865" s="21" t="n">
        <v>0</v>
      </c>
      <c r="E5865" s="21" t="n">
        <v>0</v>
      </c>
      <c r="F5865" s="21" t="n">
        <v>0</v>
      </c>
      <c r="G5865" s="21" t="n">
        <v>0</v>
      </c>
      <c r="H5865" s="21" t="n">
        <v>0</v>
      </c>
      <c r="I5865" s="21" t="n">
        <v>0</v>
      </c>
      <c r="J5865" s="21" t="n">
        <v>0</v>
      </c>
      <c r="K5865" s="21" t="n">
        <v>0</v>
      </c>
      <c r="L5865" s="21" t="n">
        <v>0</v>
      </c>
      <c r="M5865" s="21" t="n">
        <v>0</v>
      </c>
      <c r="N5865" s="21" t="n">
        <v>0</v>
      </c>
      <c r="O5865" s="21" t="n">
        <v>0</v>
      </c>
      <c r="P5865" s="21" t="n">
        <v>0</v>
      </c>
      <c r="Q5865" s="21" t="n">
        <v>0</v>
      </c>
      <c r="R5865" s="21" t="n">
        <v>0</v>
      </c>
      <c r="S5865" s="21" t="n">
        <v>0</v>
      </c>
      <c r="T5865" s="21" t="n">
        <v>0</v>
      </c>
      <c r="U5865" s="21" t="n">
        <v>0</v>
      </c>
      <c r="V5865" s="21">
        <f>$B$5338</f>
        <v/>
      </c>
      <c r="W5865" s="21">
        <f>$B$5340</f>
        <v/>
      </c>
      <c r="X5865" s="21">
        <f>-$B$5338</f>
        <v/>
      </c>
      <c r="Y5865" s="21">
        <f>$B$5339</f>
        <v/>
      </c>
      <c r="Z5865" s="19" t="n"/>
    </row>
    <row r="5867">
      <c r="A5867" s="8" t="inlineStr">
        <is>
          <t>gen 14</t>
        </is>
      </c>
    </row>
    <row r="5868">
      <c r="D5868" s="19">
        <f>IF(ABS(IF(ABS($E$5832)&gt;0.000000001,$E$5832,0.000000001))=0,0,IF($E$5352&lt;=$B$5346,0,IF(ABS(IF(ABS($E$5832)&gt;0.000000001,$E$5832,0.000000001))&gt;=8*$B$5348,$H$5352,0.5*$H$5352*(ABS(IF(ABS($E$5832)&gt;0.000000001,$E$5832,0.000000001))/$B$5348)^(1/3)))/ABS(IF(ABS($E$5832)&gt;0.000000001,$E$5832,0.000000001))*$I$5352)</f>
        <v/>
      </c>
      <c r="E5868" s="19">
        <f>0.5*$E$5832+0.5*$Z$5880</f>
        <v/>
      </c>
      <c r="F5868" s="19">
        <f>$Z$5881</f>
        <v/>
      </c>
    </row>
    <row r="5869">
      <c r="D5869" s="19">
        <f>IF(ABS(IF(ABS($E$5833)&gt;0.000000001,$E$5833,0.000000001))=0,0,IF($E$5353&lt;=$B$5346,0,IF(ABS(IF(ABS($E$5833)&gt;0.000000001,$E$5833,0.000000001))&gt;=8*$B$5348,$H$5353,0.5*$H$5353*(ABS(IF(ABS($E$5833)&gt;0.000000001,$E$5833,0.000000001))/$B$5348)^(1/3)))/ABS(IF(ABS($E$5833)&gt;0.000000001,$E$5833,0.000000001))*$I$5353)</f>
        <v/>
      </c>
      <c r="E5869" s="19">
        <f>0.5*$E$5833+0.5*$Z$5882</f>
        <v/>
      </c>
      <c r="F5869" s="19">
        <f>$Z$5883</f>
        <v/>
      </c>
    </row>
    <row r="5870">
      <c r="D5870" s="19">
        <f>IF(ABS(IF(ABS($E$5834)&gt;0.000000001,$E$5834,0.000000001))=0,0,IF($E$5354&lt;=$B$5346,0,IF(ABS(IF(ABS($E$5834)&gt;0.000000001,$E$5834,0.000000001))&gt;=8*$B$5348,$H$5354,0.5*$H$5354*(ABS(IF(ABS($E$5834)&gt;0.000000001,$E$5834,0.000000001))/$B$5348)^(1/3)))/ABS(IF(ABS($E$5834)&gt;0.000000001,$E$5834,0.000000001))*$I$5354)</f>
        <v/>
      </c>
      <c r="E5870" s="19">
        <f>0.5*$E$5834+0.5*$Z$5884</f>
        <v/>
      </c>
      <c r="F5870" s="19">
        <f>$Z$5885</f>
        <v/>
      </c>
    </row>
    <row r="5871">
      <c r="D5871" s="19">
        <f>IF(ABS(IF(ABS($E$5835)&gt;0.000000001,$E$5835,0.000000001))=0,0,IF($E$5355&lt;=$B$5346,0,IF(ABS(IF(ABS($E$5835)&gt;0.000000001,$E$5835,0.000000001))&gt;=8*$B$5348,$H$5355,0.5*$H$5355*(ABS(IF(ABS($E$5835)&gt;0.000000001,$E$5835,0.000000001))/$B$5348)^(1/3)))/ABS(IF(ABS($E$5835)&gt;0.000000001,$E$5835,0.000000001))*$I$5355)</f>
        <v/>
      </c>
      <c r="E5871" s="19">
        <f>0.5*$E$5835+0.5*$Z$5886</f>
        <v/>
      </c>
      <c r="F5871" s="19">
        <f>$Z$5887</f>
        <v/>
      </c>
    </row>
    <row r="5872">
      <c r="D5872" s="19">
        <f>IF(ABS(IF(ABS($E$5836)&gt;0.000000001,$E$5836,0.000000001))=0,0,IF($E$5356&lt;=$B$5346,0,IF(ABS(IF(ABS($E$5836)&gt;0.000000001,$E$5836,0.000000001))&gt;=8*$B$5348,$H$5356,0.5*$H$5356*(ABS(IF(ABS($E$5836)&gt;0.000000001,$E$5836,0.000000001))/$B$5348)^(1/3)))/ABS(IF(ABS($E$5836)&gt;0.000000001,$E$5836,0.000000001))*$I$5356)</f>
        <v/>
      </c>
      <c r="E5872" s="19">
        <f>0.5*$E$5836+0.5*$Z$5888</f>
        <v/>
      </c>
      <c r="F5872" s="19">
        <f>$Z$5889</f>
        <v/>
      </c>
    </row>
    <row r="5873">
      <c r="D5873" s="19">
        <f>IF(ABS(IF(ABS($E$5837)&gt;0.000000001,$E$5837,0.000000001))=0,0,IF($E$5357&lt;=$B$5346,0,IF(ABS(IF(ABS($E$5837)&gt;0.000000001,$E$5837,0.000000001))&gt;=8*$B$5348,$H$5357,0.5*$H$5357*(ABS(IF(ABS($E$5837)&gt;0.000000001,$E$5837,0.000000001))/$B$5348)^(1/3)))/ABS(IF(ABS($E$5837)&gt;0.000000001,$E$5837,0.000000001))*$I$5357)</f>
        <v/>
      </c>
      <c r="E5873" s="19">
        <f>0.5*$E$5837+0.5*$Z$5890</f>
        <v/>
      </c>
      <c r="F5873" s="19">
        <f>$Z$5891</f>
        <v/>
      </c>
    </row>
    <row r="5874">
      <c r="D5874" s="19">
        <f>IF(ABS(IF(ABS($E$5838)&gt;0.000000001,$E$5838,0.000000001))=0,0,IF($E$5358&lt;=$B$5346,0,IF(ABS(IF(ABS($E$5838)&gt;0.000000001,$E$5838,0.000000001))&gt;=8*$B$5348,$H$5358,0.5*$H$5358*(ABS(IF(ABS($E$5838)&gt;0.000000001,$E$5838,0.000000001))/$B$5348)^(1/3)))/ABS(IF(ABS($E$5838)&gt;0.000000001,$E$5838,0.000000001))*$I$5358)</f>
        <v/>
      </c>
      <c r="E5874" s="19">
        <f>0.5*$E$5838+0.5*$Z$5892</f>
        <v/>
      </c>
      <c r="F5874" s="19">
        <f>$Z$5893</f>
        <v/>
      </c>
    </row>
    <row r="5875">
      <c r="D5875" s="19">
        <f>IF(ABS(IF(ABS($E$5839)&gt;0.000000001,$E$5839,0.000000001))=0,0,IF($E$5359&lt;=$B$5346,0,IF(ABS(IF(ABS($E$5839)&gt;0.000000001,$E$5839,0.000000001))&gt;=8*$B$5348,$H$5359,0.5*$H$5359*(ABS(IF(ABS($E$5839)&gt;0.000000001,$E$5839,0.000000001))/$B$5348)^(1/3)))/ABS(IF(ABS($E$5839)&gt;0.000000001,$E$5839,0.000000001))*$I$5359)</f>
        <v/>
      </c>
      <c r="E5875" s="19">
        <f>0.5*$E$5839+0.5*$Z$5894</f>
        <v/>
      </c>
      <c r="F5875" s="19">
        <f>$Z$5895</f>
        <v/>
      </c>
    </row>
    <row r="5876">
      <c r="D5876" s="19">
        <f>IF(ABS(IF(ABS($E$5840)&gt;0.000000001,$E$5840,0.000000001))=0,0,IF($E$5360&lt;=$B$5346,0,IF(ABS(IF(ABS($E$5840)&gt;0.000000001,$E$5840,0.000000001))&gt;=8*$B$5348,$H$5360,0.5*$H$5360*(ABS(IF(ABS($E$5840)&gt;0.000000001,$E$5840,0.000000001))/$B$5348)^(1/3)))/ABS(IF(ABS($E$5840)&gt;0.000000001,$E$5840,0.000000001))*$I$5360)</f>
        <v/>
      </c>
      <c r="E5876" s="19">
        <f>0.5*$E$5840+0.5*$Z$5896</f>
        <v/>
      </c>
      <c r="F5876" s="19">
        <f>$Z$5897</f>
        <v/>
      </c>
    </row>
    <row r="5877">
      <c r="D5877" s="19">
        <f>IF(ABS(IF(ABS($E$5841)&gt;0.000000001,$E$5841,0.000000001))=0,0,IF($E$5361&lt;=$B$5346,0,IF(ABS(IF(ABS($E$5841)&gt;0.000000001,$E$5841,0.000000001))&gt;=8*$B$5348,$H$5361,0.5*$H$5361*(ABS(IF(ABS($E$5841)&gt;0.000000001,$E$5841,0.000000001))/$B$5348)^(1/3)))/ABS(IF(ABS($E$5841)&gt;0.000000001,$E$5841,0.000000001))*$I$5361)</f>
        <v/>
      </c>
      <c r="E5877" s="19">
        <f>0.5*$E$5841+0.5*$Z$5898</f>
        <v/>
      </c>
      <c r="F5877" s="19">
        <f>$Z$5899</f>
        <v/>
      </c>
    </row>
    <row r="5878">
      <c r="D5878" s="19">
        <f>IF(ABS(IF(ABS($E$5842)&gt;0.000000001,$E$5842,0.000000001))=0,0,IF($E$5362&lt;=$B$5346,0,IF(ABS(IF(ABS($E$5842)&gt;0.000000001,$E$5842,0.000000001))&gt;=8*$B$5348,$H$5362,0.5*$H$5362*(ABS(IF(ABS($E$5842)&gt;0.000000001,$E$5842,0.000000001))/$B$5348)^(1/3)))/ABS(IF(ABS($E$5842)&gt;0.000000001,$E$5842,0.000000001))*$I$5362)</f>
        <v/>
      </c>
      <c r="E5878" s="19">
        <f>0.5*$E$5842+0.5*$Z$5900</f>
        <v/>
      </c>
      <c r="F5878" s="19">
        <f>$Z$5901</f>
        <v/>
      </c>
    </row>
    <row r="5880">
      <c r="D5880" s="21">
        <f>$B$5337+$D$5868</f>
        <v/>
      </c>
      <c r="E5880" s="21">
        <f>$B$5338</f>
        <v/>
      </c>
      <c r="F5880" s="21">
        <f>-$B$5337</f>
        <v/>
      </c>
      <c r="G5880" s="21">
        <f>$B$5338</f>
        <v/>
      </c>
      <c r="H5880" s="21" t="n">
        <v>0</v>
      </c>
      <c r="I5880" s="21" t="n">
        <v>0</v>
      </c>
      <c r="J5880" s="21" t="n">
        <v>0</v>
      </c>
      <c r="K5880" s="21" t="n">
        <v>0</v>
      </c>
      <c r="L5880" s="21" t="n">
        <v>0</v>
      </c>
      <c r="M5880" s="21" t="n">
        <v>0</v>
      </c>
      <c r="N5880" s="21" t="n">
        <v>0</v>
      </c>
      <c r="O5880" s="21" t="n">
        <v>0</v>
      </c>
      <c r="P5880" s="21" t="n">
        <v>0</v>
      </c>
      <c r="Q5880" s="21" t="n">
        <v>0</v>
      </c>
      <c r="R5880" s="21" t="n">
        <v>0</v>
      </c>
      <c r="S5880" s="21" t="n">
        <v>0</v>
      </c>
      <c r="T5880" s="21" t="n">
        <v>0</v>
      </c>
      <c r="U5880" s="21" t="n">
        <v>0</v>
      </c>
      <c r="V5880" s="21" t="n">
        <v>0</v>
      </c>
      <c r="W5880" s="21" t="n">
        <v>0</v>
      </c>
      <c r="X5880" s="21" t="n">
        <v>0</v>
      </c>
      <c r="Y5880" s="21" t="n">
        <v>0</v>
      </c>
      <c r="Z5880" s="19">
        <f t="array" ref="Z5880:Z5901">MMULT(MINVERSE($D$5880:$Y$5901),$D$5364:$D$5385)</f>
        <v/>
      </c>
    </row>
    <row r="5881">
      <c r="D5881" s="21">
        <f>$B$5338</f>
        <v/>
      </c>
      <c r="E5881" s="21">
        <f>$B$5339</f>
        <v/>
      </c>
      <c r="F5881" s="21">
        <f>-$B$5338</f>
        <v/>
      </c>
      <c r="G5881" s="21">
        <f>$B$5340</f>
        <v/>
      </c>
      <c r="H5881" s="21" t="n">
        <v>0</v>
      </c>
      <c r="I5881" s="21" t="n">
        <v>0</v>
      </c>
      <c r="J5881" s="21" t="n">
        <v>0</v>
      </c>
      <c r="K5881" s="21" t="n">
        <v>0</v>
      </c>
      <c r="L5881" s="21" t="n">
        <v>0</v>
      </c>
      <c r="M5881" s="21" t="n">
        <v>0</v>
      </c>
      <c r="N5881" s="21" t="n">
        <v>0</v>
      </c>
      <c r="O5881" s="21" t="n">
        <v>0</v>
      </c>
      <c r="P5881" s="21" t="n">
        <v>0</v>
      </c>
      <c r="Q5881" s="21" t="n">
        <v>0</v>
      </c>
      <c r="R5881" s="21" t="n">
        <v>0</v>
      </c>
      <c r="S5881" s="21" t="n">
        <v>0</v>
      </c>
      <c r="T5881" s="21" t="n">
        <v>0</v>
      </c>
      <c r="U5881" s="21" t="n">
        <v>0</v>
      </c>
      <c r="V5881" s="21" t="n">
        <v>0</v>
      </c>
      <c r="W5881" s="21" t="n">
        <v>0</v>
      </c>
      <c r="X5881" s="21" t="n">
        <v>0</v>
      </c>
      <c r="Y5881" s="21" t="n">
        <v>0</v>
      </c>
      <c r="Z5881" s="19" t="n"/>
    </row>
    <row r="5882">
      <c r="D5882" s="21">
        <f>-$B$5337</f>
        <v/>
      </c>
      <c r="E5882" s="21">
        <f>-$B$5338</f>
        <v/>
      </c>
      <c r="F5882" s="21">
        <f>2*$B$5337+$D$5869</f>
        <v/>
      </c>
      <c r="G5882" s="21">
        <f>0</f>
        <v/>
      </c>
      <c r="H5882" s="21">
        <f>-$B$5337</f>
        <v/>
      </c>
      <c r="I5882" s="21">
        <f>$B$5338</f>
        <v/>
      </c>
      <c r="J5882" s="21" t="n">
        <v>0</v>
      </c>
      <c r="K5882" s="21" t="n">
        <v>0</v>
      </c>
      <c r="L5882" s="21" t="n">
        <v>0</v>
      </c>
      <c r="M5882" s="21" t="n">
        <v>0</v>
      </c>
      <c r="N5882" s="21" t="n">
        <v>0</v>
      </c>
      <c r="O5882" s="21" t="n">
        <v>0</v>
      </c>
      <c r="P5882" s="21" t="n">
        <v>0</v>
      </c>
      <c r="Q5882" s="21" t="n">
        <v>0</v>
      </c>
      <c r="R5882" s="21" t="n">
        <v>0</v>
      </c>
      <c r="S5882" s="21" t="n">
        <v>0</v>
      </c>
      <c r="T5882" s="21" t="n">
        <v>0</v>
      </c>
      <c r="U5882" s="21" t="n">
        <v>0</v>
      </c>
      <c r="V5882" s="21" t="n">
        <v>0</v>
      </c>
      <c r="W5882" s="21" t="n">
        <v>0</v>
      </c>
      <c r="X5882" s="21" t="n">
        <v>0</v>
      </c>
      <c r="Y5882" s="21" t="n">
        <v>0</v>
      </c>
      <c r="Z5882" s="19" t="n"/>
    </row>
    <row r="5883">
      <c r="D5883" s="21">
        <f>$B$5338</f>
        <v/>
      </c>
      <c r="E5883" s="21">
        <f>$B$5340</f>
        <v/>
      </c>
      <c r="F5883" s="21">
        <f>0</f>
        <v/>
      </c>
      <c r="G5883" s="21">
        <f>2*$B$5339</f>
        <v/>
      </c>
      <c r="H5883" s="21">
        <f>-$B$5338</f>
        <v/>
      </c>
      <c r="I5883" s="21">
        <f>$B$5340</f>
        <v/>
      </c>
      <c r="J5883" s="21" t="n">
        <v>0</v>
      </c>
      <c r="K5883" s="21" t="n">
        <v>0</v>
      </c>
      <c r="L5883" s="21" t="n">
        <v>0</v>
      </c>
      <c r="M5883" s="21" t="n">
        <v>0</v>
      </c>
      <c r="N5883" s="21" t="n">
        <v>0</v>
      </c>
      <c r="O5883" s="21" t="n">
        <v>0</v>
      </c>
      <c r="P5883" s="21" t="n">
        <v>0</v>
      </c>
      <c r="Q5883" s="21" t="n">
        <v>0</v>
      </c>
      <c r="R5883" s="21" t="n">
        <v>0</v>
      </c>
      <c r="S5883" s="21" t="n">
        <v>0</v>
      </c>
      <c r="T5883" s="21" t="n">
        <v>0</v>
      </c>
      <c r="U5883" s="21" t="n">
        <v>0</v>
      </c>
      <c r="V5883" s="21" t="n">
        <v>0</v>
      </c>
      <c r="W5883" s="21" t="n">
        <v>0</v>
      </c>
      <c r="X5883" s="21" t="n">
        <v>0</v>
      </c>
      <c r="Y5883" s="21" t="n">
        <v>0</v>
      </c>
      <c r="Z5883" s="19" t="n"/>
    </row>
    <row r="5884">
      <c r="D5884" s="21" t="n">
        <v>0</v>
      </c>
      <c r="E5884" s="21" t="n">
        <v>0</v>
      </c>
      <c r="F5884" s="21">
        <f>-$B$5337</f>
        <v/>
      </c>
      <c r="G5884" s="21">
        <f>-$B$5338</f>
        <v/>
      </c>
      <c r="H5884" s="21">
        <f>2*$B$5337+$D$5870</f>
        <v/>
      </c>
      <c r="I5884" s="21">
        <f>0</f>
        <v/>
      </c>
      <c r="J5884" s="21">
        <f>-$B$5337</f>
        <v/>
      </c>
      <c r="K5884" s="21">
        <f>$B$5338</f>
        <v/>
      </c>
      <c r="L5884" s="21" t="n">
        <v>0</v>
      </c>
      <c r="M5884" s="21" t="n">
        <v>0</v>
      </c>
      <c r="N5884" s="21" t="n">
        <v>0</v>
      </c>
      <c r="O5884" s="21" t="n">
        <v>0</v>
      </c>
      <c r="P5884" s="21" t="n">
        <v>0</v>
      </c>
      <c r="Q5884" s="21" t="n">
        <v>0</v>
      </c>
      <c r="R5884" s="21" t="n">
        <v>0</v>
      </c>
      <c r="S5884" s="21" t="n">
        <v>0</v>
      </c>
      <c r="T5884" s="21" t="n">
        <v>0</v>
      </c>
      <c r="U5884" s="21" t="n">
        <v>0</v>
      </c>
      <c r="V5884" s="21" t="n">
        <v>0</v>
      </c>
      <c r="W5884" s="21" t="n">
        <v>0</v>
      </c>
      <c r="X5884" s="21" t="n">
        <v>0</v>
      </c>
      <c r="Y5884" s="21" t="n">
        <v>0</v>
      </c>
      <c r="Z5884" s="19" t="n"/>
    </row>
    <row r="5885">
      <c r="D5885" s="21" t="n">
        <v>0</v>
      </c>
      <c r="E5885" s="21" t="n">
        <v>0</v>
      </c>
      <c r="F5885" s="21">
        <f>$B$5338</f>
        <v/>
      </c>
      <c r="G5885" s="21">
        <f>$B$5340</f>
        <v/>
      </c>
      <c r="H5885" s="21">
        <f>0</f>
        <v/>
      </c>
      <c r="I5885" s="21">
        <f>2*$B$5339</f>
        <v/>
      </c>
      <c r="J5885" s="21">
        <f>-$B$5338</f>
        <v/>
      </c>
      <c r="K5885" s="21">
        <f>$B$5340</f>
        <v/>
      </c>
      <c r="L5885" s="21" t="n">
        <v>0</v>
      </c>
      <c r="M5885" s="21" t="n">
        <v>0</v>
      </c>
      <c r="N5885" s="21" t="n">
        <v>0</v>
      </c>
      <c r="O5885" s="21" t="n">
        <v>0</v>
      </c>
      <c r="P5885" s="21" t="n">
        <v>0</v>
      </c>
      <c r="Q5885" s="21" t="n">
        <v>0</v>
      </c>
      <c r="R5885" s="21" t="n">
        <v>0</v>
      </c>
      <c r="S5885" s="21" t="n">
        <v>0</v>
      </c>
      <c r="T5885" s="21" t="n">
        <v>0</v>
      </c>
      <c r="U5885" s="21" t="n">
        <v>0</v>
      </c>
      <c r="V5885" s="21" t="n">
        <v>0</v>
      </c>
      <c r="W5885" s="21" t="n">
        <v>0</v>
      </c>
      <c r="X5885" s="21" t="n">
        <v>0</v>
      </c>
      <c r="Y5885" s="21" t="n">
        <v>0</v>
      </c>
      <c r="Z5885" s="19" t="n"/>
    </row>
    <row r="5886">
      <c r="D5886" s="21" t="n">
        <v>0</v>
      </c>
      <c r="E5886" s="21" t="n">
        <v>0</v>
      </c>
      <c r="F5886" s="21" t="n">
        <v>0</v>
      </c>
      <c r="G5886" s="21" t="n">
        <v>0</v>
      </c>
      <c r="H5886" s="21">
        <f>-$B$5337</f>
        <v/>
      </c>
      <c r="I5886" s="21">
        <f>-$B$5338</f>
        <v/>
      </c>
      <c r="J5886" s="21">
        <f>2*$B$5337+$D$5871</f>
        <v/>
      </c>
      <c r="K5886" s="21">
        <f>0</f>
        <v/>
      </c>
      <c r="L5886" s="21">
        <f>-$B$5337</f>
        <v/>
      </c>
      <c r="M5886" s="21">
        <f>$B$5338</f>
        <v/>
      </c>
      <c r="N5886" s="21" t="n">
        <v>0</v>
      </c>
      <c r="O5886" s="21" t="n">
        <v>0</v>
      </c>
      <c r="P5886" s="21" t="n">
        <v>0</v>
      </c>
      <c r="Q5886" s="21" t="n">
        <v>0</v>
      </c>
      <c r="R5886" s="21" t="n">
        <v>0</v>
      </c>
      <c r="S5886" s="21" t="n">
        <v>0</v>
      </c>
      <c r="T5886" s="21" t="n">
        <v>0</v>
      </c>
      <c r="U5886" s="21" t="n">
        <v>0</v>
      </c>
      <c r="V5886" s="21" t="n">
        <v>0</v>
      </c>
      <c r="W5886" s="21" t="n">
        <v>0</v>
      </c>
      <c r="X5886" s="21" t="n">
        <v>0</v>
      </c>
      <c r="Y5886" s="21" t="n">
        <v>0</v>
      </c>
      <c r="Z5886" s="19" t="n"/>
    </row>
    <row r="5887">
      <c r="D5887" s="21" t="n">
        <v>0</v>
      </c>
      <c r="E5887" s="21" t="n">
        <v>0</v>
      </c>
      <c r="F5887" s="21" t="n">
        <v>0</v>
      </c>
      <c r="G5887" s="21" t="n">
        <v>0</v>
      </c>
      <c r="H5887" s="21">
        <f>$B$5338</f>
        <v/>
      </c>
      <c r="I5887" s="21">
        <f>$B$5340</f>
        <v/>
      </c>
      <c r="J5887" s="21">
        <f>0</f>
        <v/>
      </c>
      <c r="K5887" s="21">
        <f>2*$B$5339</f>
        <v/>
      </c>
      <c r="L5887" s="21">
        <f>-$B$5338</f>
        <v/>
      </c>
      <c r="M5887" s="21">
        <f>$B$5340</f>
        <v/>
      </c>
      <c r="N5887" s="21" t="n">
        <v>0</v>
      </c>
      <c r="O5887" s="21" t="n">
        <v>0</v>
      </c>
      <c r="P5887" s="21" t="n">
        <v>0</v>
      </c>
      <c r="Q5887" s="21" t="n">
        <v>0</v>
      </c>
      <c r="R5887" s="21" t="n">
        <v>0</v>
      </c>
      <c r="S5887" s="21" t="n">
        <v>0</v>
      </c>
      <c r="T5887" s="21" t="n">
        <v>0</v>
      </c>
      <c r="U5887" s="21" t="n">
        <v>0</v>
      </c>
      <c r="V5887" s="21" t="n">
        <v>0</v>
      </c>
      <c r="W5887" s="21" t="n">
        <v>0</v>
      </c>
      <c r="X5887" s="21" t="n">
        <v>0</v>
      </c>
      <c r="Y5887" s="21" t="n">
        <v>0</v>
      </c>
      <c r="Z5887" s="19" t="n"/>
    </row>
    <row r="5888">
      <c r="D5888" s="21" t="n">
        <v>0</v>
      </c>
      <c r="E5888" s="21" t="n">
        <v>0</v>
      </c>
      <c r="F5888" s="21" t="n">
        <v>0</v>
      </c>
      <c r="G5888" s="21" t="n">
        <v>0</v>
      </c>
      <c r="H5888" s="21" t="n">
        <v>0</v>
      </c>
      <c r="I5888" s="21" t="n">
        <v>0</v>
      </c>
      <c r="J5888" s="21">
        <f>-$B$5337</f>
        <v/>
      </c>
      <c r="K5888" s="21">
        <f>-$B$5338</f>
        <v/>
      </c>
      <c r="L5888" s="21">
        <f>2*$B$5337+$D$5872</f>
        <v/>
      </c>
      <c r="M5888" s="21">
        <f>0</f>
        <v/>
      </c>
      <c r="N5888" s="21">
        <f>-$B$5337</f>
        <v/>
      </c>
      <c r="O5888" s="21">
        <f>$B$5338</f>
        <v/>
      </c>
      <c r="P5888" s="21" t="n">
        <v>0</v>
      </c>
      <c r="Q5888" s="21" t="n">
        <v>0</v>
      </c>
      <c r="R5888" s="21" t="n">
        <v>0</v>
      </c>
      <c r="S5888" s="21" t="n">
        <v>0</v>
      </c>
      <c r="T5888" s="21" t="n">
        <v>0</v>
      </c>
      <c r="U5888" s="21" t="n">
        <v>0</v>
      </c>
      <c r="V5888" s="21" t="n">
        <v>0</v>
      </c>
      <c r="W5888" s="21" t="n">
        <v>0</v>
      </c>
      <c r="X5888" s="21" t="n">
        <v>0</v>
      </c>
      <c r="Y5888" s="21" t="n">
        <v>0</v>
      </c>
      <c r="Z5888" s="19" t="n"/>
    </row>
    <row r="5889">
      <c r="D5889" s="21" t="n">
        <v>0</v>
      </c>
      <c r="E5889" s="21" t="n">
        <v>0</v>
      </c>
      <c r="F5889" s="21" t="n">
        <v>0</v>
      </c>
      <c r="G5889" s="21" t="n">
        <v>0</v>
      </c>
      <c r="H5889" s="21" t="n">
        <v>0</v>
      </c>
      <c r="I5889" s="21" t="n">
        <v>0</v>
      </c>
      <c r="J5889" s="21">
        <f>$B$5338</f>
        <v/>
      </c>
      <c r="K5889" s="21">
        <f>$B$5340</f>
        <v/>
      </c>
      <c r="L5889" s="21">
        <f>0</f>
        <v/>
      </c>
      <c r="M5889" s="21">
        <f>2*$B$5339</f>
        <v/>
      </c>
      <c r="N5889" s="21">
        <f>-$B$5338</f>
        <v/>
      </c>
      <c r="O5889" s="21">
        <f>$B$5340</f>
        <v/>
      </c>
      <c r="P5889" s="21" t="n">
        <v>0</v>
      </c>
      <c r="Q5889" s="21" t="n">
        <v>0</v>
      </c>
      <c r="R5889" s="21" t="n">
        <v>0</v>
      </c>
      <c r="S5889" s="21" t="n">
        <v>0</v>
      </c>
      <c r="T5889" s="21" t="n">
        <v>0</v>
      </c>
      <c r="U5889" s="21" t="n">
        <v>0</v>
      </c>
      <c r="V5889" s="21" t="n">
        <v>0</v>
      </c>
      <c r="W5889" s="21" t="n">
        <v>0</v>
      </c>
      <c r="X5889" s="21" t="n">
        <v>0</v>
      </c>
      <c r="Y5889" s="21" t="n">
        <v>0</v>
      </c>
      <c r="Z5889" s="19" t="n"/>
    </row>
    <row r="5890">
      <c r="D5890" s="21" t="n">
        <v>0</v>
      </c>
      <c r="E5890" s="21" t="n">
        <v>0</v>
      </c>
      <c r="F5890" s="21" t="n">
        <v>0</v>
      </c>
      <c r="G5890" s="21" t="n">
        <v>0</v>
      </c>
      <c r="H5890" s="21" t="n">
        <v>0</v>
      </c>
      <c r="I5890" s="21" t="n">
        <v>0</v>
      </c>
      <c r="J5890" s="21" t="n">
        <v>0</v>
      </c>
      <c r="K5890" s="21" t="n">
        <v>0</v>
      </c>
      <c r="L5890" s="21">
        <f>-$B$5337</f>
        <v/>
      </c>
      <c r="M5890" s="21">
        <f>-$B$5338</f>
        <v/>
      </c>
      <c r="N5890" s="21">
        <f>2*$B$5337+$D$5873</f>
        <v/>
      </c>
      <c r="O5890" s="21">
        <f>0</f>
        <v/>
      </c>
      <c r="P5890" s="21">
        <f>-$B$5337</f>
        <v/>
      </c>
      <c r="Q5890" s="21">
        <f>$B$5338</f>
        <v/>
      </c>
      <c r="R5890" s="21" t="n">
        <v>0</v>
      </c>
      <c r="S5890" s="21" t="n">
        <v>0</v>
      </c>
      <c r="T5890" s="21" t="n">
        <v>0</v>
      </c>
      <c r="U5890" s="21" t="n">
        <v>0</v>
      </c>
      <c r="V5890" s="21" t="n">
        <v>0</v>
      </c>
      <c r="W5890" s="21" t="n">
        <v>0</v>
      </c>
      <c r="X5890" s="21" t="n">
        <v>0</v>
      </c>
      <c r="Y5890" s="21" t="n">
        <v>0</v>
      </c>
      <c r="Z5890" s="19" t="n"/>
    </row>
    <row r="5891">
      <c r="D5891" s="21" t="n">
        <v>0</v>
      </c>
      <c r="E5891" s="21" t="n">
        <v>0</v>
      </c>
      <c r="F5891" s="21" t="n">
        <v>0</v>
      </c>
      <c r="G5891" s="21" t="n">
        <v>0</v>
      </c>
      <c r="H5891" s="21" t="n">
        <v>0</v>
      </c>
      <c r="I5891" s="21" t="n">
        <v>0</v>
      </c>
      <c r="J5891" s="21" t="n">
        <v>0</v>
      </c>
      <c r="K5891" s="21" t="n">
        <v>0</v>
      </c>
      <c r="L5891" s="21">
        <f>$B$5338</f>
        <v/>
      </c>
      <c r="M5891" s="21">
        <f>$B$5340</f>
        <v/>
      </c>
      <c r="N5891" s="21">
        <f>0</f>
        <v/>
      </c>
      <c r="O5891" s="21">
        <f>2*$B$5339</f>
        <v/>
      </c>
      <c r="P5891" s="21">
        <f>-$B$5338</f>
        <v/>
      </c>
      <c r="Q5891" s="21">
        <f>$B$5340</f>
        <v/>
      </c>
      <c r="R5891" s="21" t="n">
        <v>0</v>
      </c>
      <c r="S5891" s="21" t="n">
        <v>0</v>
      </c>
      <c r="T5891" s="21" t="n">
        <v>0</v>
      </c>
      <c r="U5891" s="21" t="n">
        <v>0</v>
      </c>
      <c r="V5891" s="21" t="n">
        <v>0</v>
      </c>
      <c r="W5891" s="21" t="n">
        <v>0</v>
      </c>
      <c r="X5891" s="21" t="n">
        <v>0</v>
      </c>
      <c r="Y5891" s="21" t="n">
        <v>0</v>
      </c>
      <c r="Z5891" s="19" t="n"/>
    </row>
    <row r="5892">
      <c r="D5892" s="21" t="n">
        <v>0</v>
      </c>
      <c r="E5892" s="21" t="n">
        <v>0</v>
      </c>
      <c r="F5892" s="21" t="n">
        <v>0</v>
      </c>
      <c r="G5892" s="21" t="n">
        <v>0</v>
      </c>
      <c r="H5892" s="21" t="n">
        <v>0</v>
      </c>
      <c r="I5892" s="21" t="n">
        <v>0</v>
      </c>
      <c r="J5892" s="21" t="n">
        <v>0</v>
      </c>
      <c r="K5892" s="21" t="n">
        <v>0</v>
      </c>
      <c r="L5892" s="21" t="n">
        <v>0</v>
      </c>
      <c r="M5892" s="21" t="n">
        <v>0</v>
      </c>
      <c r="N5892" s="21">
        <f>-$B$5337</f>
        <v/>
      </c>
      <c r="O5892" s="21">
        <f>-$B$5338</f>
        <v/>
      </c>
      <c r="P5892" s="21">
        <f>2*$B$5337+$D$5874</f>
        <v/>
      </c>
      <c r="Q5892" s="21">
        <f>0</f>
        <v/>
      </c>
      <c r="R5892" s="21">
        <f>-$B$5337</f>
        <v/>
      </c>
      <c r="S5892" s="21">
        <f>$B$5338</f>
        <v/>
      </c>
      <c r="T5892" s="21" t="n">
        <v>0</v>
      </c>
      <c r="U5892" s="21" t="n">
        <v>0</v>
      </c>
      <c r="V5892" s="21" t="n">
        <v>0</v>
      </c>
      <c r="W5892" s="21" t="n">
        <v>0</v>
      </c>
      <c r="X5892" s="21" t="n">
        <v>0</v>
      </c>
      <c r="Y5892" s="21" t="n">
        <v>0</v>
      </c>
      <c r="Z5892" s="19" t="n"/>
    </row>
    <row r="5893">
      <c r="D5893" s="21" t="n">
        <v>0</v>
      </c>
      <c r="E5893" s="21" t="n">
        <v>0</v>
      </c>
      <c r="F5893" s="21" t="n">
        <v>0</v>
      </c>
      <c r="G5893" s="21" t="n">
        <v>0</v>
      </c>
      <c r="H5893" s="21" t="n">
        <v>0</v>
      </c>
      <c r="I5893" s="21" t="n">
        <v>0</v>
      </c>
      <c r="J5893" s="21" t="n">
        <v>0</v>
      </c>
      <c r="K5893" s="21" t="n">
        <v>0</v>
      </c>
      <c r="L5893" s="21" t="n">
        <v>0</v>
      </c>
      <c r="M5893" s="21" t="n">
        <v>0</v>
      </c>
      <c r="N5893" s="21">
        <f>$B$5338</f>
        <v/>
      </c>
      <c r="O5893" s="21">
        <f>$B$5340</f>
        <v/>
      </c>
      <c r="P5893" s="21">
        <f>0</f>
        <v/>
      </c>
      <c r="Q5893" s="21">
        <f>2*$B$5339</f>
        <v/>
      </c>
      <c r="R5893" s="21">
        <f>-$B$5338</f>
        <v/>
      </c>
      <c r="S5893" s="21">
        <f>$B$5340</f>
        <v/>
      </c>
      <c r="T5893" s="21" t="n">
        <v>0</v>
      </c>
      <c r="U5893" s="21" t="n">
        <v>0</v>
      </c>
      <c r="V5893" s="21" t="n">
        <v>0</v>
      </c>
      <c r="W5893" s="21" t="n">
        <v>0</v>
      </c>
      <c r="X5893" s="21" t="n">
        <v>0</v>
      </c>
      <c r="Y5893" s="21" t="n">
        <v>0</v>
      </c>
      <c r="Z5893" s="19" t="n"/>
    </row>
    <row r="5894">
      <c r="D5894" s="21" t="n">
        <v>0</v>
      </c>
      <c r="E5894" s="21" t="n">
        <v>0</v>
      </c>
      <c r="F5894" s="21" t="n">
        <v>0</v>
      </c>
      <c r="G5894" s="21" t="n">
        <v>0</v>
      </c>
      <c r="H5894" s="21" t="n">
        <v>0</v>
      </c>
      <c r="I5894" s="21" t="n">
        <v>0</v>
      </c>
      <c r="J5894" s="21" t="n">
        <v>0</v>
      </c>
      <c r="K5894" s="21" t="n">
        <v>0</v>
      </c>
      <c r="L5894" s="21" t="n">
        <v>0</v>
      </c>
      <c r="M5894" s="21" t="n">
        <v>0</v>
      </c>
      <c r="N5894" s="21" t="n">
        <v>0</v>
      </c>
      <c r="O5894" s="21" t="n">
        <v>0</v>
      </c>
      <c r="P5894" s="21">
        <f>-$B$5337</f>
        <v/>
      </c>
      <c r="Q5894" s="21">
        <f>-$B$5338</f>
        <v/>
      </c>
      <c r="R5894" s="21">
        <f>2*$B$5337+$D$5875</f>
        <v/>
      </c>
      <c r="S5894" s="21">
        <f>0</f>
        <v/>
      </c>
      <c r="T5894" s="21">
        <f>-$B$5337</f>
        <v/>
      </c>
      <c r="U5894" s="21">
        <f>$B$5338</f>
        <v/>
      </c>
      <c r="V5894" s="21" t="n">
        <v>0</v>
      </c>
      <c r="W5894" s="21" t="n">
        <v>0</v>
      </c>
      <c r="X5894" s="21" t="n">
        <v>0</v>
      </c>
      <c r="Y5894" s="21" t="n">
        <v>0</v>
      </c>
      <c r="Z5894" s="19" t="n"/>
    </row>
    <row r="5895">
      <c r="D5895" s="21" t="n">
        <v>0</v>
      </c>
      <c r="E5895" s="21" t="n">
        <v>0</v>
      </c>
      <c r="F5895" s="21" t="n">
        <v>0</v>
      </c>
      <c r="G5895" s="21" t="n">
        <v>0</v>
      </c>
      <c r="H5895" s="21" t="n">
        <v>0</v>
      </c>
      <c r="I5895" s="21" t="n">
        <v>0</v>
      </c>
      <c r="J5895" s="21" t="n">
        <v>0</v>
      </c>
      <c r="K5895" s="21" t="n">
        <v>0</v>
      </c>
      <c r="L5895" s="21" t="n">
        <v>0</v>
      </c>
      <c r="M5895" s="21" t="n">
        <v>0</v>
      </c>
      <c r="N5895" s="21" t="n">
        <v>0</v>
      </c>
      <c r="O5895" s="21" t="n">
        <v>0</v>
      </c>
      <c r="P5895" s="21">
        <f>$B$5338</f>
        <v/>
      </c>
      <c r="Q5895" s="21">
        <f>$B$5340</f>
        <v/>
      </c>
      <c r="R5895" s="21">
        <f>0</f>
        <v/>
      </c>
      <c r="S5895" s="21">
        <f>2*$B$5339</f>
        <v/>
      </c>
      <c r="T5895" s="21">
        <f>-$B$5338</f>
        <v/>
      </c>
      <c r="U5895" s="21">
        <f>$B$5340</f>
        <v/>
      </c>
      <c r="V5895" s="21" t="n">
        <v>0</v>
      </c>
      <c r="W5895" s="21" t="n">
        <v>0</v>
      </c>
      <c r="X5895" s="21" t="n">
        <v>0</v>
      </c>
      <c r="Y5895" s="21" t="n">
        <v>0</v>
      </c>
      <c r="Z5895" s="19" t="n"/>
    </row>
    <row r="5896">
      <c r="D5896" s="21" t="n">
        <v>0</v>
      </c>
      <c r="E5896" s="21" t="n">
        <v>0</v>
      </c>
      <c r="F5896" s="21" t="n">
        <v>0</v>
      </c>
      <c r="G5896" s="21" t="n">
        <v>0</v>
      </c>
      <c r="H5896" s="21" t="n">
        <v>0</v>
      </c>
      <c r="I5896" s="21" t="n">
        <v>0</v>
      </c>
      <c r="J5896" s="21" t="n">
        <v>0</v>
      </c>
      <c r="K5896" s="21" t="n">
        <v>0</v>
      </c>
      <c r="L5896" s="21" t="n">
        <v>0</v>
      </c>
      <c r="M5896" s="21" t="n">
        <v>0</v>
      </c>
      <c r="N5896" s="21" t="n">
        <v>0</v>
      </c>
      <c r="O5896" s="21" t="n">
        <v>0</v>
      </c>
      <c r="P5896" s="21" t="n">
        <v>0</v>
      </c>
      <c r="Q5896" s="21" t="n">
        <v>0</v>
      </c>
      <c r="R5896" s="21">
        <f>-$B$5337</f>
        <v/>
      </c>
      <c r="S5896" s="21">
        <f>-$B$5338</f>
        <v/>
      </c>
      <c r="T5896" s="21">
        <f>2*$B$5337+$D$5876</f>
        <v/>
      </c>
      <c r="U5896" s="21">
        <f>0</f>
        <v/>
      </c>
      <c r="V5896" s="21">
        <f>-$B$5337</f>
        <v/>
      </c>
      <c r="W5896" s="21">
        <f>$B$5338</f>
        <v/>
      </c>
      <c r="X5896" s="21" t="n">
        <v>0</v>
      </c>
      <c r="Y5896" s="21" t="n">
        <v>0</v>
      </c>
      <c r="Z5896" s="19" t="n"/>
    </row>
    <row r="5897">
      <c r="D5897" s="21" t="n">
        <v>0</v>
      </c>
      <c r="E5897" s="21" t="n">
        <v>0</v>
      </c>
      <c r="F5897" s="21" t="n">
        <v>0</v>
      </c>
      <c r="G5897" s="21" t="n">
        <v>0</v>
      </c>
      <c r="H5897" s="21" t="n">
        <v>0</v>
      </c>
      <c r="I5897" s="21" t="n">
        <v>0</v>
      </c>
      <c r="J5897" s="21" t="n">
        <v>0</v>
      </c>
      <c r="K5897" s="21" t="n">
        <v>0</v>
      </c>
      <c r="L5897" s="21" t="n">
        <v>0</v>
      </c>
      <c r="M5897" s="21" t="n">
        <v>0</v>
      </c>
      <c r="N5897" s="21" t="n">
        <v>0</v>
      </c>
      <c r="O5897" s="21" t="n">
        <v>0</v>
      </c>
      <c r="P5897" s="21" t="n">
        <v>0</v>
      </c>
      <c r="Q5897" s="21" t="n">
        <v>0</v>
      </c>
      <c r="R5897" s="21">
        <f>$B$5338</f>
        <v/>
      </c>
      <c r="S5897" s="21">
        <f>$B$5340</f>
        <v/>
      </c>
      <c r="T5897" s="21">
        <f>0</f>
        <v/>
      </c>
      <c r="U5897" s="21">
        <f>2*$B$5339</f>
        <v/>
      </c>
      <c r="V5897" s="21">
        <f>-$B$5338</f>
        <v/>
      </c>
      <c r="W5897" s="21">
        <f>$B$5340</f>
        <v/>
      </c>
      <c r="X5897" s="21" t="n">
        <v>0</v>
      </c>
      <c r="Y5897" s="21" t="n">
        <v>0</v>
      </c>
      <c r="Z5897" s="19" t="n"/>
    </row>
    <row r="5898">
      <c r="D5898" s="21" t="n">
        <v>0</v>
      </c>
      <c r="E5898" s="21" t="n">
        <v>0</v>
      </c>
      <c r="F5898" s="21" t="n">
        <v>0</v>
      </c>
      <c r="G5898" s="21" t="n">
        <v>0</v>
      </c>
      <c r="H5898" s="21" t="n">
        <v>0</v>
      </c>
      <c r="I5898" s="21" t="n">
        <v>0</v>
      </c>
      <c r="J5898" s="21" t="n">
        <v>0</v>
      </c>
      <c r="K5898" s="21" t="n">
        <v>0</v>
      </c>
      <c r="L5898" s="21" t="n">
        <v>0</v>
      </c>
      <c r="M5898" s="21" t="n">
        <v>0</v>
      </c>
      <c r="N5898" s="21" t="n">
        <v>0</v>
      </c>
      <c r="O5898" s="21" t="n">
        <v>0</v>
      </c>
      <c r="P5898" s="21" t="n">
        <v>0</v>
      </c>
      <c r="Q5898" s="21" t="n">
        <v>0</v>
      </c>
      <c r="R5898" s="21" t="n">
        <v>0</v>
      </c>
      <c r="S5898" s="21" t="n">
        <v>0</v>
      </c>
      <c r="T5898" s="21">
        <f>-$B$5337</f>
        <v/>
      </c>
      <c r="U5898" s="21">
        <f>-$B$5338</f>
        <v/>
      </c>
      <c r="V5898" s="21">
        <f>2*$B$5337+$D$5877</f>
        <v/>
      </c>
      <c r="W5898" s="21">
        <f>0</f>
        <v/>
      </c>
      <c r="X5898" s="21">
        <f>-$B$5337</f>
        <v/>
      </c>
      <c r="Y5898" s="21">
        <f>$B$5338</f>
        <v/>
      </c>
      <c r="Z5898" s="19" t="n"/>
    </row>
    <row r="5899">
      <c r="D5899" s="21" t="n">
        <v>0</v>
      </c>
      <c r="E5899" s="21" t="n">
        <v>0</v>
      </c>
      <c r="F5899" s="21" t="n">
        <v>0</v>
      </c>
      <c r="G5899" s="21" t="n">
        <v>0</v>
      </c>
      <c r="H5899" s="21" t="n">
        <v>0</v>
      </c>
      <c r="I5899" s="21" t="n">
        <v>0</v>
      </c>
      <c r="J5899" s="21" t="n">
        <v>0</v>
      </c>
      <c r="K5899" s="21" t="n">
        <v>0</v>
      </c>
      <c r="L5899" s="21" t="n">
        <v>0</v>
      </c>
      <c r="M5899" s="21" t="n">
        <v>0</v>
      </c>
      <c r="N5899" s="21" t="n">
        <v>0</v>
      </c>
      <c r="O5899" s="21" t="n">
        <v>0</v>
      </c>
      <c r="P5899" s="21" t="n">
        <v>0</v>
      </c>
      <c r="Q5899" s="21" t="n">
        <v>0</v>
      </c>
      <c r="R5899" s="21" t="n">
        <v>0</v>
      </c>
      <c r="S5899" s="21" t="n">
        <v>0</v>
      </c>
      <c r="T5899" s="21">
        <f>$B$5338</f>
        <v/>
      </c>
      <c r="U5899" s="21">
        <f>$B$5340</f>
        <v/>
      </c>
      <c r="V5899" s="21">
        <f>0</f>
        <v/>
      </c>
      <c r="W5899" s="21">
        <f>2*$B$5339</f>
        <v/>
      </c>
      <c r="X5899" s="21">
        <f>-$B$5338</f>
        <v/>
      </c>
      <c r="Y5899" s="21">
        <f>$B$5340</f>
        <v/>
      </c>
      <c r="Z5899" s="19" t="n"/>
    </row>
    <row r="5900">
      <c r="D5900" s="21" t="n">
        <v>0</v>
      </c>
      <c r="E5900" s="21" t="n">
        <v>0</v>
      </c>
      <c r="F5900" s="21" t="n">
        <v>0</v>
      </c>
      <c r="G5900" s="21" t="n">
        <v>0</v>
      </c>
      <c r="H5900" s="21" t="n">
        <v>0</v>
      </c>
      <c r="I5900" s="21" t="n">
        <v>0</v>
      </c>
      <c r="J5900" s="21" t="n">
        <v>0</v>
      </c>
      <c r="K5900" s="21" t="n">
        <v>0</v>
      </c>
      <c r="L5900" s="21" t="n">
        <v>0</v>
      </c>
      <c r="M5900" s="21" t="n">
        <v>0</v>
      </c>
      <c r="N5900" s="21" t="n">
        <v>0</v>
      </c>
      <c r="O5900" s="21" t="n">
        <v>0</v>
      </c>
      <c r="P5900" s="21" t="n">
        <v>0</v>
      </c>
      <c r="Q5900" s="21" t="n">
        <v>0</v>
      </c>
      <c r="R5900" s="21" t="n">
        <v>0</v>
      </c>
      <c r="S5900" s="21" t="n">
        <v>0</v>
      </c>
      <c r="T5900" s="21" t="n">
        <v>0</v>
      </c>
      <c r="U5900" s="21" t="n">
        <v>0</v>
      </c>
      <c r="V5900" s="21">
        <f>-$B$5337</f>
        <v/>
      </c>
      <c r="W5900" s="21">
        <f>-$B$5338</f>
        <v/>
      </c>
      <c r="X5900" s="21">
        <f>$B$5337+$D$5878</f>
        <v/>
      </c>
      <c r="Y5900" s="21">
        <f>-$B$5338</f>
        <v/>
      </c>
      <c r="Z5900" s="19" t="n"/>
    </row>
    <row r="5901">
      <c r="D5901" s="21" t="n">
        <v>0</v>
      </c>
      <c r="E5901" s="21" t="n">
        <v>0</v>
      </c>
      <c r="F5901" s="21" t="n">
        <v>0</v>
      </c>
      <c r="G5901" s="21" t="n">
        <v>0</v>
      </c>
      <c r="H5901" s="21" t="n">
        <v>0</v>
      </c>
      <c r="I5901" s="21" t="n">
        <v>0</v>
      </c>
      <c r="J5901" s="21" t="n">
        <v>0</v>
      </c>
      <c r="K5901" s="21" t="n">
        <v>0</v>
      </c>
      <c r="L5901" s="21" t="n">
        <v>0</v>
      </c>
      <c r="M5901" s="21" t="n">
        <v>0</v>
      </c>
      <c r="N5901" s="21" t="n">
        <v>0</v>
      </c>
      <c r="O5901" s="21" t="n">
        <v>0</v>
      </c>
      <c r="P5901" s="21" t="n">
        <v>0</v>
      </c>
      <c r="Q5901" s="21" t="n">
        <v>0</v>
      </c>
      <c r="R5901" s="21" t="n">
        <v>0</v>
      </c>
      <c r="S5901" s="21" t="n">
        <v>0</v>
      </c>
      <c r="T5901" s="21" t="n">
        <v>0</v>
      </c>
      <c r="U5901" s="21" t="n">
        <v>0</v>
      </c>
      <c r="V5901" s="21">
        <f>$B$5338</f>
        <v/>
      </c>
      <c r="W5901" s="21">
        <f>$B$5340</f>
        <v/>
      </c>
      <c r="X5901" s="21">
        <f>-$B$5338</f>
        <v/>
      </c>
      <c r="Y5901" s="21">
        <f>$B$5339</f>
        <v/>
      </c>
      <c r="Z5901" s="19" t="n"/>
    </row>
    <row r="5903">
      <c r="A5903" s="8" t="inlineStr">
        <is>
          <t>gen 15</t>
        </is>
      </c>
    </row>
    <row r="5904">
      <c r="D5904" s="19">
        <f>IF(ABS(IF(ABS($E$5868)&gt;0.000000001,$E$5868,0.000000001))=0,0,IF($E$5352&lt;=$B$5346,0,IF(ABS(IF(ABS($E$5868)&gt;0.000000001,$E$5868,0.000000001))&gt;=8*$B$5348,$H$5352,0.5*$H$5352*(ABS(IF(ABS($E$5868)&gt;0.000000001,$E$5868,0.000000001))/$B$5348)^(1/3)))/ABS(IF(ABS($E$5868)&gt;0.000000001,$E$5868,0.000000001))*$I$5352)</f>
        <v/>
      </c>
      <c r="E5904" s="19">
        <f>0.5*$E$5868+0.5*$Z$5916</f>
        <v/>
      </c>
      <c r="F5904" s="19">
        <f>$Z$5917</f>
        <v/>
      </c>
    </row>
    <row r="5905">
      <c r="D5905" s="19">
        <f>IF(ABS(IF(ABS($E$5869)&gt;0.000000001,$E$5869,0.000000001))=0,0,IF($E$5353&lt;=$B$5346,0,IF(ABS(IF(ABS($E$5869)&gt;0.000000001,$E$5869,0.000000001))&gt;=8*$B$5348,$H$5353,0.5*$H$5353*(ABS(IF(ABS($E$5869)&gt;0.000000001,$E$5869,0.000000001))/$B$5348)^(1/3)))/ABS(IF(ABS($E$5869)&gt;0.000000001,$E$5869,0.000000001))*$I$5353)</f>
        <v/>
      </c>
      <c r="E5905" s="19">
        <f>0.5*$E$5869+0.5*$Z$5918</f>
        <v/>
      </c>
      <c r="F5905" s="19">
        <f>$Z$5919</f>
        <v/>
      </c>
    </row>
    <row r="5906">
      <c r="D5906" s="19">
        <f>IF(ABS(IF(ABS($E$5870)&gt;0.000000001,$E$5870,0.000000001))=0,0,IF($E$5354&lt;=$B$5346,0,IF(ABS(IF(ABS($E$5870)&gt;0.000000001,$E$5870,0.000000001))&gt;=8*$B$5348,$H$5354,0.5*$H$5354*(ABS(IF(ABS($E$5870)&gt;0.000000001,$E$5870,0.000000001))/$B$5348)^(1/3)))/ABS(IF(ABS($E$5870)&gt;0.000000001,$E$5870,0.000000001))*$I$5354)</f>
        <v/>
      </c>
      <c r="E5906" s="19">
        <f>0.5*$E$5870+0.5*$Z$5920</f>
        <v/>
      </c>
      <c r="F5906" s="19">
        <f>$Z$5921</f>
        <v/>
      </c>
    </row>
    <row r="5907">
      <c r="D5907" s="19">
        <f>IF(ABS(IF(ABS($E$5871)&gt;0.000000001,$E$5871,0.000000001))=0,0,IF($E$5355&lt;=$B$5346,0,IF(ABS(IF(ABS($E$5871)&gt;0.000000001,$E$5871,0.000000001))&gt;=8*$B$5348,$H$5355,0.5*$H$5355*(ABS(IF(ABS($E$5871)&gt;0.000000001,$E$5871,0.000000001))/$B$5348)^(1/3)))/ABS(IF(ABS($E$5871)&gt;0.000000001,$E$5871,0.000000001))*$I$5355)</f>
        <v/>
      </c>
      <c r="E5907" s="19">
        <f>0.5*$E$5871+0.5*$Z$5922</f>
        <v/>
      </c>
      <c r="F5907" s="19">
        <f>$Z$5923</f>
        <v/>
      </c>
    </row>
    <row r="5908">
      <c r="D5908" s="19">
        <f>IF(ABS(IF(ABS($E$5872)&gt;0.000000001,$E$5872,0.000000001))=0,0,IF($E$5356&lt;=$B$5346,0,IF(ABS(IF(ABS($E$5872)&gt;0.000000001,$E$5872,0.000000001))&gt;=8*$B$5348,$H$5356,0.5*$H$5356*(ABS(IF(ABS($E$5872)&gt;0.000000001,$E$5872,0.000000001))/$B$5348)^(1/3)))/ABS(IF(ABS($E$5872)&gt;0.000000001,$E$5872,0.000000001))*$I$5356)</f>
        <v/>
      </c>
      <c r="E5908" s="19">
        <f>0.5*$E$5872+0.5*$Z$5924</f>
        <v/>
      </c>
      <c r="F5908" s="19">
        <f>$Z$5925</f>
        <v/>
      </c>
    </row>
    <row r="5909">
      <c r="D5909" s="19">
        <f>IF(ABS(IF(ABS($E$5873)&gt;0.000000001,$E$5873,0.000000001))=0,0,IF($E$5357&lt;=$B$5346,0,IF(ABS(IF(ABS($E$5873)&gt;0.000000001,$E$5873,0.000000001))&gt;=8*$B$5348,$H$5357,0.5*$H$5357*(ABS(IF(ABS($E$5873)&gt;0.000000001,$E$5873,0.000000001))/$B$5348)^(1/3)))/ABS(IF(ABS($E$5873)&gt;0.000000001,$E$5873,0.000000001))*$I$5357)</f>
        <v/>
      </c>
      <c r="E5909" s="19">
        <f>0.5*$E$5873+0.5*$Z$5926</f>
        <v/>
      </c>
      <c r="F5909" s="19">
        <f>$Z$5927</f>
        <v/>
      </c>
    </row>
    <row r="5910">
      <c r="D5910" s="19">
        <f>IF(ABS(IF(ABS($E$5874)&gt;0.000000001,$E$5874,0.000000001))=0,0,IF($E$5358&lt;=$B$5346,0,IF(ABS(IF(ABS($E$5874)&gt;0.000000001,$E$5874,0.000000001))&gt;=8*$B$5348,$H$5358,0.5*$H$5358*(ABS(IF(ABS($E$5874)&gt;0.000000001,$E$5874,0.000000001))/$B$5348)^(1/3)))/ABS(IF(ABS($E$5874)&gt;0.000000001,$E$5874,0.000000001))*$I$5358)</f>
        <v/>
      </c>
      <c r="E5910" s="19">
        <f>0.5*$E$5874+0.5*$Z$5928</f>
        <v/>
      </c>
      <c r="F5910" s="19">
        <f>$Z$5929</f>
        <v/>
      </c>
    </row>
    <row r="5911">
      <c r="D5911" s="19">
        <f>IF(ABS(IF(ABS($E$5875)&gt;0.000000001,$E$5875,0.000000001))=0,0,IF($E$5359&lt;=$B$5346,0,IF(ABS(IF(ABS($E$5875)&gt;0.000000001,$E$5875,0.000000001))&gt;=8*$B$5348,$H$5359,0.5*$H$5359*(ABS(IF(ABS($E$5875)&gt;0.000000001,$E$5875,0.000000001))/$B$5348)^(1/3)))/ABS(IF(ABS($E$5875)&gt;0.000000001,$E$5875,0.000000001))*$I$5359)</f>
        <v/>
      </c>
      <c r="E5911" s="19">
        <f>0.5*$E$5875+0.5*$Z$5930</f>
        <v/>
      </c>
      <c r="F5911" s="19">
        <f>$Z$5931</f>
        <v/>
      </c>
    </row>
    <row r="5912">
      <c r="D5912" s="19">
        <f>IF(ABS(IF(ABS($E$5876)&gt;0.000000001,$E$5876,0.000000001))=0,0,IF($E$5360&lt;=$B$5346,0,IF(ABS(IF(ABS($E$5876)&gt;0.000000001,$E$5876,0.000000001))&gt;=8*$B$5348,$H$5360,0.5*$H$5360*(ABS(IF(ABS($E$5876)&gt;0.000000001,$E$5876,0.000000001))/$B$5348)^(1/3)))/ABS(IF(ABS($E$5876)&gt;0.000000001,$E$5876,0.000000001))*$I$5360)</f>
        <v/>
      </c>
      <c r="E5912" s="19">
        <f>0.5*$E$5876+0.5*$Z$5932</f>
        <v/>
      </c>
      <c r="F5912" s="19">
        <f>$Z$5933</f>
        <v/>
      </c>
    </row>
    <row r="5913">
      <c r="D5913" s="19">
        <f>IF(ABS(IF(ABS($E$5877)&gt;0.000000001,$E$5877,0.000000001))=0,0,IF($E$5361&lt;=$B$5346,0,IF(ABS(IF(ABS($E$5877)&gt;0.000000001,$E$5877,0.000000001))&gt;=8*$B$5348,$H$5361,0.5*$H$5361*(ABS(IF(ABS($E$5877)&gt;0.000000001,$E$5877,0.000000001))/$B$5348)^(1/3)))/ABS(IF(ABS($E$5877)&gt;0.000000001,$E$5877,0.000000001))*$I$5361)</f>
        <v/>
      </c>
      <c r="E5913" s="19">
        <f>0.5*$E$5877+0.5*$Z$5934</f>
        <v/>
      </c>
      <c r="F5913" s="19">
        <f>$Z$5935</f>
        <v/>
      </c>
    </row>
    <row r="5914">
      <c r="D5914" s="19">
        <f>IF(ABS(IF(ABS($E$5878)&gt;0.000000001,$E$5878,0.000000001))=0,0,IF($E$5362&lt;=$B$5346,0,IF(ABS(IF(ABS($E$5878)&gt;0.000000001,$E$5878,0.000000001))&gt;=8*$B$5348,$H$5362,0.5*$H$5362*(ABS(IF(ABS($E$5878)&gt;0.000000001,$E$5878,0.000000001))/$B$5348)^(1/3)))/ABS(IF(ABS($E$5878)&gt;0.000000001,$E$5878,0.000000001))*$I$5362)</f>
        <v/>
      </c>
      <c r="E5914" s="19">
        <f>0.5*$E$5878+0.5*$Z$5936</f>
        <v/>
      </c>
      <c r="F5914" s="19">
        <f>$Z$5937</f>
        <v/>
      </c>
    </row>
    <row r="5916">
      <c r="D5916" s="21">
        <f>$B$5337+$D$5904</f>
        <v/>
      </c>
      <c r="E5916" s="21">
        <f>$B$5338</f>
        <v/>
      </c>
      <c r="F5916" s="21">
        <f>-$B$5337</f>
        <v/>
      </c>
      <c r="G5916" s="21">
        <f>$B$5338</f>
        <v/>
      </c>
      <c r="H5916" s="21" t="n">
        <v>0</v>
      </c>
      <c r="I5916" s="21" t="n">
        <v>0</v>
      </c>
      <c r="J5916" s="21" t="n">
        <v>0</v>
      </c>
      <c r="K5916" s="21" t="n">
        <v>0</v>
      </c>
      <c r="L5916" s="21" t="n">
        <v>0</v>
      </c>
      <c r="M5916" s="21" t="n">
        <v>0</v>
      </c>
      <c r="N5916" s="21" t="n">
        <v>0</v>
      </c>
      <c r="O5916" s="21" t="n">
        <v>0</v>
      </c>
      <c r="P5916" s="21" t="n">
        <v>0</v>
      </c>
      <c r="Q5916" s="21" t="n">
        <v>0</v>
      </c>
      <c r="R5916" s="21" t="n">
        <v>0</v>
      </c>
      <c r="S5916" s="21" t="n">
        <v>0</v>
      </c>
      <c r="T5916" s="21" t="n">
        <v>0</v>
      </c>
      <c r="U5916" s="21" t="n">
        <v>0</v>
      </c>
      <c r="V5916" s="21" t="n">
        <v>0</v>
      </c>
      <c r="W5916" s="21" t="n">
        <v>0</v>
      </c>
      <c r="X5916" s="21" t="n">
        <v>0</v>
      </c>
      <c r="Y5916" s="21" t="n">
        <v>0</v>
      </c>
      <c r="Z5916" s="19">
        <f t="array" ref="Z5916:Z5937">MMULT(MINVERSE($D$5916:$Y$5937),$D$5364:$D$5385)</f>
        <v/>
      </c>
    </row>
    <row r="5917">
      <c r="D5917" s="21">
        <f>$B$5338</f>
        <v/>
      </c>
      <c r="E5917" s="21">
        <f>$B$5339</f>
        <v/>
      </c>
      <c r="F5917" s="21">
        <f>-$B$5338</f>
        <v/>
      </c>
      <c r="G5917" s="21">
        <f>$B$5340</f>
        <v/>
      </c>
      <c r="H5917" s="21" t="n">
        <v>0</v>
      </c>
      <c r="I5917" s="21" t="n">
        <v>0</v>
      </c>
      <c r="J5917" s="21" t="n">
        <v>0</v>
      </c>
      <c r="K5917" s="21" t="n">
        <v>0</v>
      </c>
      <c r="L5917" s="21" t="n">
        <v>0</v>
      </c>
      <c r="M5917" s="21" t="n">
        <v>0</v>
      </c>
      <c r="N5917" s="21" t="n">
        <v>0</v>
      </c>
      <c r="O5917" s="21" t="n">
        <v>0</v>
      </c>
      <c r="P5917" s="21" t="n">
        <v>0</v>
      </c>
      <c r="Q5917" s="21" t="n">
        <v>0</v>
      </c>
      <c r="R5917" s="21" t="n">
        <v>0</v>
      </c>
      <c r="S5917" s="21" t="n">
        <v>0</v>
      </c>
      <c r="T5917" s="21" t="n">
        <v>0</v>
      </c>
      <c r="U5917" s="21" t="n">
        <v>0</v>
      </c>
      <c r="V5917" s="21" t="n">
        <v>0</v>
      </c>
      <c r="W5917" s="21" t="n">
        <v>0</v>
      </c>
      <c r="X5917" s="21" t="n">
        <v>0</v>
      </c>
      <c r="Y5917" s="21" t="n">
        <v>0</v>
      </c>
      <c r="Z5917" s="19" t="n"/>
    </row>
    <row r="5918">
      <c r="D5918" s="21">
        <f>-$B$5337</f>
        <v/>
      </c>
      <c r="E5918" s="21">
        <f>-$B$5338</f>
        <v/>
      </c>
      <c r="F5918" s="21">
        <f>2*$B$5337+$D$5905</f>
        <v/>
      </c>
      <c r="G5918" s="21">
        <f>0</f>
        <v/>
      </c>
      <c r="H5918" s="21">
        <f>-$B$5337</f>
        <v/>
      </c>
      <c r="I5918" s="21">
        <f>$B$5338</f>
        <v/>
      </c>
      <c r="J5918" s="21" t="n">
        <v>0</v>
      </c>
      <c r="K5918" s="21" t="n">
        <v>0</v>
      </c>
      <c r="L5918" s="21" t="n">
        <v>0</v>
      </c>
      <c r="M5918" s="21" t="n">
        <v>0</v>
      </c>
      <c r="N5918" s="21" t="n">
        <v>0</v>
      </c>
      <c r="O5918" s="21" t="n">
        <v>0</v>
      </c>
      <c r="P5918" s="21" t="n">
        <v>0</v>
      </c>
      <c r="Q5918" s="21" t="n">
        <v>0</v>
      </c>
      <c r="R5918" s="21" t="n">
        <v>0</v>
      </c>
      <c r="S5918" s="21" t="n">
        <v>0</v>
      </c>
      <c r="T5918" s="21" t="n">
        <v>0</v>
      </c>
      <c r="U5918" s="21" t="n">
        <v>0</v>
      </c>
      <c r="V5918" s="21" t="n">
        <v>0</v>
      </c>
      <c r="W5918" s="21" t="n">
        <v>0</v>
      </c>
      <c r="X5918" s="21" t="n">
        <v>0</v>
      </c>
      <c r="Y5918" s="21" t="n">
        <v>0</v>
      </c>
      <c r="Z5918" s="19" t="n"/>
    </row>
    <row r="5919">
      <c r="D5919" s="21">
        <f>$B$5338</f>
        <v/>
      </c>
      <c r="E5919" s="21">
        <f>$B$5340</f>
        <v/>
      </c>
      <c r="F5919" s="21">
        <f>0</f>
        <v/>
      </c>
      <c r="G5919" s="21">
        <f>2*$B$5339</f>
        <v/>
      </c>
      <c r="H5919" s="21">
        <f>-$B$5338</f>
        <v/>
      </c>
      <c r="I5919" s="21">
        <f>$B$5340</f>
        <v/>
      </c>
      <c r="J5919" s="21" t="n">
        <v>0</v>
      </c>
      <c r="K5919" s="21" t="n">
        <v>0</v>
      </c>
      <c r="L5919" s="21" t="n">
        <v>0</v>
      </c>
      <c r="M5919" s="21" t="n">
        <v>0</v>
      </c>
      <c r="N5919" s="21" t="n">
        <v>0</v>
      </c>
      <c r="O5919" s="21" t="n">
        <v>0</v>
      </c>
      <c r="P5919" s="21" t="n">
        <v>0</v>
      </c>
      <c r="Q5919" s="21" t="n">
        <v>0</v>
      </c>
      <c r="R5919" s="21" t="n">
        <v>0</v>
      </c>
      <c r="S5919" s="21" t="n">
        <v>0</v>
      </c>
      <c r="T5919" s="21" t="n">
        <v>0</v>
      </c>
      <c r="U5919" s="21" t="n">
        <v>0</v>
      </c>
      <c r="V5919" s="21" t="n">
        <v>0</v>
      </c>
      <c r="W5919" s="21" t="n">
        <v>0</v>
      </c>
      <c r="X5919" s="21" t="n">
        <v>0</v>
      </c>
      <c r="Y5919" s="21" t="n">
        <v>0</v>
      </c>
      <c r="Z5919" s="19" t="n"/>
    </row>
    <row r="5920">
      <c r="D5920" s="21" t="n">
        <v>0</v>
      </c>
      <c r="E5920" s="21" t="n">
        <v>0</v>
      </c>
      <c r="F5920" s="21">
        <f>-$B$5337</f>
        <v/>
      </c>
      <c r="G5920" s="21">
        <f>-$B$5338</f>
        <v/>
      </c>
      <c r="H5920" s="21">
        <f>2*$B$5337+$D$5906</f>
        <v/>
      </c>
      <c r="I5920" s="21">
        <f>0</f>
        <v/>
      </c>
      <c r="J5920" s="21">
        <f>-$B$5337</f>
        <v/>
      </c>
      <c r="K5920" s="21">
        <f>$B$5338</f>
        <v/>
      </c>
      <c r="L5920" s="21" t="n">
        <v>0</v>
      </c>
      <c r="M5920" s="21" t="n">
        <v>0</v>
      </c>
      <c r="N5920" s="21" t="n">
        <v>0</v>
      </c>
      <c r="O5920" s="21" t="n">
        <v>0</v>
      </c>
      <c r="P5920" s="21" t="n">
        <v>0</v>
      </c>
      <c r="Q5920" s="21" t="n">
        <v>0</v>
      </c>
      <c r="R5920" s="21" t="n">
        <v>0</v>
      </c>
      <c r="S5920" s="21" t="n">
        <v>0</v>
      </c>
      <c r="T5920" s="21" t="n">
        <v>0</v>
      </c>
      <c r="U5920" s="21" t="n">
        <v>0</v>
      </c>
      <c r="V5920" s="21" t="n">
        <v>0</v>
      </c>
      <c r="W5920" s="21" t="n">
        <v>0</v>
      </c>
      <c r="X5920" s="21" t="n">
        <v>0</v>
      </c>
      <c r="Y5920" s="21" t="n">
        <v>0</v>
      </c>
      <c r="Z5920" s="19" t="n"/>
    </row>
    <row r="5921">
      <c r="D5921" s="21" t="n">
        <v>0</v>
      </c>
      <c r="E5921" s="21" t="n">
        <v>0</v>
      </c>
      <c r="F5921" s="21">
        <f>$B$5338</f>
        <v/>
      </c>
      <c r="G5921" s="21">
        <f>$B$5340</f>
        <v/>
      </c>
      <c r="H5921" s="21">
        <f>0</f>
        <v/>
      </c>
      <c r="I5921" s="21">
        <f>2*$B$5339</f>
        <v/>
      </c>
      <c r="J5921" s="21">
        <f>-$B$5338</f>
        <v/>
      </c>
      <c r="K5921" s="21">
        <f>$B$5340</f>
        <v/>
      </c>
      <c r="L5921" s="21" t="n">
        <v>0</v>
      </c>
      <c r="M5921" s="21" t="n">
        <v>0</v>
      </c>
      <c r="N5921" s="21" t="n">
        <v>0</v>
      </c>
      <c r="O5921" s="21" t="n">
        <v>0</v>
      </c>
      <c r="P5921" s="21" t="n">
        <v>0</v>
      </c>
      <c r="Q5921" s="21" t="n">
        <v>0</v>
      </c>
      <c r="R5921" s="21" t="n">
        <v>0</v>
      </c>
      <c r="S5921" s="21" t="n">
        <v>0</v>
      </c>
      <c r="T5921" s="21" t="n">
        <v>0</v>
      </c>
      <c r="U5921" s="21" t="n">
        <v>0</v>
      </c>
      <c r="V5921" s="21" t="n">
        <v>0</v>
      </c>
      <c r="W5921" s="21" t="n">
        <v>0</v>
      </c>
      <c r="X5921" s="21" t="n">
        <v>0</v>
      </c>
      <c r="Y5921" s="21" t="n">
        <v>0</v>
      </c>
      <c r="Z5921" s="19" t="n"/>
    </row>
    <row r="5922">
      <c r="D5922" s="21" t="n">
        <v>0</v>
      </c>
      <c r="E5922" s="21" t="n">
        <v>0</v>
      </c>
      <c r="F5922" s="21" t="n">
        <v>0</v>
      </c>
      <c r="G5922" s="21" t="n">
        <v>0</v>
      </c>
      <c r="H5922" s="21">
        <f>-$B$5337</f>
        <v/>
      </c>
      <c r="I5922" s="21">
        <f>-$B$5338</f>
        <v/>
      </c>
      <c r="J5922" s="21">
        <f>2*$B$5337+$D$5907</f>
        <v/>
      </c>
      <c r="K5922" s="21">
        <f>0</f>
        <v/>
      </c>
      <c r="L5922" s="21">
        <f>-$B$5337</f>
        <v/>
      </c>
      <c r="M5922" s="21">
        <f>$B$5338</f>
        <v/>
      </c>
      <c r="N5922" s="21" t="n">
        <v>0</v>
      </c>
      <c r="O5922" s="21" t="n">
        <v>0</v>
      </c>
      <c r="P5922" s="21" t="n">
        <v>0</v>
      </c>
      <c r="Q5922" s="21" t="n">
        <v>0</v>
      </c>
      <c r="R5922" s="21" t="n">
        <v>0</v>
      </c>
      <c r="S5922" s="21" t="n">
        <v>0</v>
      </c>
      <c r="T5922" s="21" t="n">
        <v>0</v>
      </c>
      <c r="U5922" s="21" t="n">
        <v>0</v>
      </c>
      <c r="V5922" s="21" t="n">
        <v>0</v>
      </c>
      <c r="W5922" s="21" t="n">
        <v>0</v>
      </c>
      <c r="X5922" s="21" t="n">
        <v>0</v>
      </c>
      <c r="Y5922" s="21" t="n">
        <v>0</v>
      </c>
      <c r="Z5922" s="19" t="n"/>
    </row>
    <row r="5923">
      <c r="D5923" s="21" t="n">
        <v>0</v>
      </c>
      <c r="E5923" s="21" t="n">
        <v>0</v>
      </c>
      <c r="F5923" s="21" t="n">
        <v>0</v>
      </c>
      <c r="G5923" s="21" t="n">
        <v>0</v>
      </c>
      <c r="H5923" s="21">
        <f>$B$5338</f>
        <v/>
      </c>
      <c r="I5923" s="21">
        <f>$B$5340</f>
        <v/>
      </c>
      <c r="J5923" s="21">
        <f>0</f>
        <v/>
      </c>
      <c r="K5923" s="21">
        <f>2*$B$5339</f>
        <v/>
      </c>
      <c r="L5923" s="21">
        <f>-$B$5338</f>
        <v/>
      </c>
      <c r="M5923" s="21">
        <f>$B$5340</f>
        <v/>
      </c>
      <c r="N5923" s="21" t="n">
        <v>0</v>
      </c>
      <c r="O5923" s="21" t="n">
        <v>0</v>
      </c>
      <c r="P5923" s="21" t="n">
        <v>0</v>
      </c>
      <c r="Q5923" s="21" t="n">
        <v>0</v>
      </c>
      <c r="R5923" s="21" t="n">
        <v>0</v>
      </c>
      <c r="S5923" s="21" t="n">
        <v>0</v>
      </c>
      <c r="T5923" s="21" t="n">
        <v>0</v>
      </c>
      <c r="U5923" s="21" t="n">
        <v>0</v>
      </c>
      <c r="V5923" s="21" t="n">
        <v>0</v>
      </c>
      <c r="W5923" s="21" t="n">
        <v>0</v>
      </c>
      <c r="X5923" s="21" t="n">
        <v>0</v>
      </c>
      <c r="Y5923" s="21" t="n">
        <v>0</v>
      </c>
      <c r="Z5923" s="19" t="n"/>
    </row>
    <row r="5924">
      <c r="D5924" s="21" t="n">
        <v>0</v>
      </c>
      <c r="E5924" s="21" t="n">
        <v>0</v>
      </c>
      <c r="F5924" s="21" t="n">
        <v>0</v>
      </c>
      <c r="G5924" s="21" t="n">
        <v>0</v>
      </c>
      <c r="H5924" s="21" t="n">
        <v>0</v>
      </c>
      <c r="I5924" s="21" t="n">
        <v>0</v>
      </c>
      <c r="J5924" s="21">
        <f>-$B$5337</f>
        <v/>
      </c>
      <c r="K5924" s="21">
        <f>-$B$5338</f>
        <v/>
      </c>
      <c r="L5924" s="21">
        <f>2*$B$5337+$D$5908</f>
        <v/>
      </c>
      <c r="M5924" s="21">
        <f>0</f>
        <v/>
      </c>
      <c r="N5924" s="21">
        <f>-$B$5337</f>
        <v/>
      </c>
      <c r="O5924" s="21">
        <f>$B$5338</f>
        <v/>
      </c>
      <c r="P5924" s="21" t="n">
        <v>0</v>
      </c>
      <c r="Q5924" s="21" t="n">
        <v>0</v>
      </c>
      <c r="R5924" s="21" t="n">
        <v>0</v>
      </c>
      <c r="S5924" s="21" t="n">
        <v>0</v>
      </c>
      <c r="T5924" s="21" t="n">
        <v>0</v>
      </c>
      <c r="U5924" s="21" t="n">
        <v>0</v>
      </c>
      <c r="V5924" s="21" t="n">
        <v>0</v>
      </c>
      <c r="W5924" s="21" t="n">
        <v>0</v>
      </c>
      <c r="X5924" s="21" t="n">
        <v>0</v>
      </c>
      <c r="Y5924" s="21" t="n">
        <v>0</v>
      </c>
      <c r="Z5924" s="19" t="n"/>
    </row>
    <row r="5925">
      <c r="D5925" s="21" t="n">
        <v>0</v>
      </c>
      <c r="E5925" s="21" t="n">
        <v>0</v>
      </c>
      <c r="F5925" s="21" t="n">
        <v>0</v>
      </c>
      <c r="G5925" s="21" t="n">
        <v>0</v>
      </c>
      <c r="H5925" s="21" t="n">
        <v>0</v>
      </c>
      <c r="I5925" s="21" t="n">
        <v>0</v>
      </c>
      <c r="J5925" s="21">
        <f>$B$5338</f>
        <v/>
      </c>
      <c r="K5925" s="21">
        <f>$B$5340</f>
        <v/>
      </c>
      <c r="L5925" s="21">
        <f>0</f>
        <v/>
      </c>
      <c r="M5925" s="21">
        <f>2*$B$5339</f>
        <v/>
      </c>
      <c r="N5925" s="21">
        <f>-$B$5338</f>
        <v/>
      </c>
      <c r="O5925" s="21">
        <f>$B$5340</f>
        <v/>
      </c>
      <c r="P5925" s="21" t="n">
        <v>0</v>
      </c>
      <c r="Q5925" s="21" t="n">
        <v>0</v>
      </c>
      <c r="R5925" s="21" t="n">
        <v>0</v>
      </c>
      <c r="S5925" s="21" t="n">
        <v>0</v>
      </c>
      <c r="T5925" s="21" t="n">
        <v>0</v>
      </c>
      <c r="U5925" s="21" t="n">
        <v>0</v>
      </c>
      <c r="V5925" s="21" t="n">
        <v>0</v>
      </c>
      <c r="W5925" s="21" t="n">
        <v>0</v>
      </c>
      <c r="X5925" s="21" t="n">
        <v>0</v>
      </c>
      <c r="Y5925" s="21" t="n">
        <v>0</v>
      </c>
      <c r="Z5925" s="19" t="n"/>
    </row>
    <row r="5926">
      <c r="D5926" s="21" t="n">
        <v>0</v>
      </c>
      <c r="E5926" s="21" t="n">
        <v>0</v>
      </c>
      <c r="F5926" s="21" t="n">
        <v>0</v>
      </c>
      <c r="G5926" s="21" t="n">
        <v>0</v>
      </c>
      <c r="H5926" s="21" t="n">
        <v>0</v>
      </c>
      <c r="I5926" s="21" t="n">
        <v>0</v>
      </c>
      <c r="J5926" s="21" t="n">
        <v>0</v>
      </c>
      <c r="K5926" s="21" t="n">
        <v>0</v>
      </c>
      <c r="L5926" s="21">
        <f>-$B$5337</f>
        <v/>
      </c>
      <c r="M5926" s="21">
        <f>-$B$5338</f>
        <v/>
      </c>
      <c r="N5926" s="21">
        <f>2*$B$5337+$D$5909</f>
        <v/>
      </c>
      <c r="O5926" s="21">
        <f>0</f>
        <v/>
      </c>
      <c r="P5926" s="21">
        <f>-$B$5337</f>
        <v/>
      </c>
      <c r="Q5926" s="21">
        <f>$B$5338</f>
        <v/>
      </c>
      <c r="R5926" s="21" t="n">
        <v>0</v>
      </c>
      <c r="S5926" s="21" t="n">
        <v>0</v>
      </c>
      <c r="T5926" s="21" t="n">
        <v>0</v>
      </c>
      <c r="U5926" s="21" t="n">
        <v>0</v>
      </c>
      <c r="V5926" s="21" t="n">
        <v>0</v>
      </c>
      <c r="W5926" s="21" t="n">
        <v>0</v>
      </c>
      <c r="X5926" s="21" t="n">
        <v>0</v>
      </c>
      <c r="Y5926" s="21" t="n">
        <v>0</v>
      </c>
      <c r="Z5926" s="19" t="n"/>
    </row>
    <row r="5927">
      <c r="D5927" s="21" t="n">
        <v>0</v>
      </c>
      <c r="E5927" s="21" t="n">
        <v>0</v>
      </c>
      <c r="F5927" s="21" t="n">
        <v>0</v>
      </c>
      <c r="G5927" s="21" t="n">
        <v>0</v>
      </c>
      <c r="H5927" s="21" t="n">
        <v>0</v>
      </c>
      <c r="I5927" s="21" t="n">
        <v>0</v>
      </c>
      <c r="J5927" s="21" t="n">
        <v>0</v>
      </c>
      <c r="K5927" s="21" t="n">
        <v>0</v>
      </c>
      <c r="L5927" s="21">
        <f>$B$5338</f>
        <v/>
      </c>
      <c r="M5927" s="21">
        <f>$B$5340</f>
        <v/>
      </c>
      <c r="N5927" s="21">
        <f>0</f>
        <v/>
      </c>
      <c r="O5927" s="21">
        <f>2*$B$5339</f>
        <v/>
      </c>
      <c r="P5927" s="21">
        <f>-$B$5338</f>
        <v/>
      </c>
      <c r="Q5927" s="21">
        <f>$B$5340</f>
        <v/>
      </c>
      <c r="R5927" s="21" t="n">
        <v>0</v>
      </c>
      <c r="S5927" s="21" t="n">
        <v>0</v>
      </c>
      <c r="T5927" s="21" t="n">
        <v>0</v>
      </c>
      <c r="U5927" s="21" t="n">
        <v>0</v>
      </c>
      <c r="V5927" s="21" t="n">
        <v>0</v>
      </c>
      <c r="W5927" s="21" t="n">
        <v>0</v>
      </c>
      <c r="X5927" s="21" t="n">
        <v>0</v>
      </c>
      <c r="Y5927" s="21" t="n">
        <v>0</v>
      </c>
      <c r="Z5927" s="19" t="n"/>
    </row>
    <row r="5928">
      <c r="D5928" s="21" t="n">
        <v>0</v>
      </c>
      <c r="E5928" s="21" t="n">
        <v>0</v>
      </c>
      <c r="F5928" s="21" t="n">
        <v>0</v>
      </c>
      <c r="G5928" s="21" t="n">
        <v>0</v>
      </c>
      <c r="H5928" s="21" t="n">
        <v>0</v>
      </c>
      <c r="I5928" s="21" t="n">
        <v>0</v>
      </c>
      <c r="J5928" s="21" t="n">
        <v>0</v>
      </c>
      <c r="K5928" s="21" t="n">
        <v>0</v>
      </c>
      <c r="L5928" s="21" t="n">
        <v>0</v>
      </c>
      <c r="M5928" s="21" t="n">
        <v>0</v>
      </c>
      <c r="N5928" s="21">
        <f>-$B$5337</f>
        <v/>
      </c>
      <c r="O5928" s="21">
        <f>-$B$5338</f>
        <v/>
      </c>
      <c r="P5928" s="21">
        <f>2*$B$5337+$D$5910</f>
        <v/>
      </c>
      <c r="Q5928" s="21">
        <f>0</f>
        <v/>
      </c>
      <c r="R5928" s="21">
        <f>-$B$5337</f>
        <v/>
      </c>
      <c r="S5928" s="21">
        <f>$B$5338</f>
        <v/>
      </c>
      <c r="T5928" s="21" t="n">
        <v>0</v>
      </c>
      <c r="U5928" s="21" t="n">
        <v>0</v>
      </c>
      <c r="V5928" s="21" t="n">
        <v>0</v>
      </c>
      <c r="W5928" s="21" t="n">
        <v>0</v>
      </c>
      <c r="X5928" s="21" t="n">
        <v>0</v>
      </c>
      <c r="Y5928" s="21" t="n">
        <v>0</v>
      </c>
      <c r="Z5928" s="19" t="n"/>
    </row>
    <row r="5929">
      <c r="D5929" s="21" t="n">
        <v>0</v>
      </c>
      <c r="E5929" s="21" t="n">
        <v>0</v>
      </c>
      <c r="F5929" s="21" t="n">
        <v>0</v>
      </c>
      <c r="G5929" s="21" t="n">
        <v>0</v>
      </c>
      <c r="H5929" s="21" t="n">
        <v>0</v>
      </c>
      <c r="I5929" s="21" t="n">
        <v>0</v>
      </c>
      <c r="J5929" s="21" t="n">
        <v>0</v>
      </c>
      <c r="K5929" s="21" t="n">
        <v>0</v>
      </c>
      <c r="L5929" s="21" t="n">
        <v>0</v>
      </c>
      <c r="M5929" s="21" t="n">
        <v>0</v>
      </c>
      <c r="N5929" s="21">
        <f>$B$5338</f>
        <v/>
      </c>
      <c r="O5929" s="21">
        <f>$B$5340</f>
        <v/>
      </c>
      <c r="P5929" s="21">
        <f>0</f>
        <v/>
      </c>
      <c r="Q5929" s="21">
        <f>2*$B$5339</f>
        <v/>
      </c>
      <c r="R5929" s="21">
        <f>-$B$5338</f>
        <v/>
      </c>
      <c r="S5929" s="21">
        <f>$B$5340</f>
        <v/>
      </c>
      <c r="T5929" s="21" t="n">
        <v>0</v>
      </c>
      <c r="U5929" s="21" t="n">
        <v>0</v>
      </c>
      <c r="V5929" s="21" t="n">
        <v>0</v>
      </c>
      <c r="W5929" s="21" t="n">
        <v>0</v>
      </c>
      <c r="X5929" s="21" t="n">
        <v>0</v>
      </c>
      <c r="Y5929" s="21" t="n">
        <v>0</v>
      </c>
      <c r="Z5929" s="19" t="n"/>
    </row>
    <row r="5930">
      <c r="D5930" s="21" t="n">
        <v>0</v>
      </c>
      <c r="E5930" s="21" t="n">
        <v>0</v>
      </c>
      <c r="F5930" s="21" t="n">
        <v>0</v>
      </c>
      <c r="G5930" s="21" t="n">
        <v>0</v>
      </c>
      <c r="H5930" s="21" t="n">
        <v>0</v>
      </c>
      <c r="I5930" s="21" t="n">
        <v>0</v>
      </c>
      <c r="J5930" s="21" t="n">
        <v>0</v>
      </c>
      <c r="K5930" s="21" t="n">
        <v>0</v>
      </c>
      <c r="L5930" s="21" t="n">
        <v>0</v>
      </c>
      <c r="M5930" s="21" t="n">
        <v>0</v>
      </c>
      <c r="N5930" s="21" t="n">
        <v>0</v>
      </c>
      <c r="O5930" s="21" t="n">
        <v>0</v>
      </c>
      <c r="P5930" s="21">
        <f>-$B$5337</f>
        <v/>
      </c>
      <c r="Q5930" s="21">
        <f>-$B$5338</f>
        <v/>
      </c>
      <c r="R5930" s="21">
        <f>2*$B$5337+$D$5911</f>
        <v/>
      </c>
      <c r="S5930" s="21">
        <f>0</f>
        <v/>
      </c>
      <c r="T5930" s="21">
        <f>-$B$5337</f>
        <v/>
      </c>
      <c r="U5930" s="21">
        <f>$B$5338</f>
        <v/>
      </c>
      <c r="V5930" s="21" t="n">
        <v>0</v>
      </c>
      <c r="W5930" s="21" t="n">
        <v>0</v>
      </c>
      <c r="X5930" s="21" t="n">
        <v>0</v>
      </c>
      <c r="Y5930" s="21" t="n">
        <v>0</v>
      </c>
      <c r="Z5930" s="19" t="n"/>
    </row>
    <row r="5931">
      <c r="D5931" s="21" t="n">
        <v>0</v>
      </c>
      <c r="E5931" s="21" t="n">
        <v>0</v>
      </c>
      <c r="F5931" s="21" t="n">
        <v>0</v>
      </c>
      <c r="G5931" s="21" t="n">
        <v>0</v>
      </c>
      <c r="H5931" s="21" t="n">
        <v>0</v>
      </c>
      <c r="I5931" s="21" t="n">
        <v>0</v>
      </c>
      <c r="J5931" s="21" t="n">
        <v>0</v>
      </c>
      <c r="K5931" s="21" t="n">
        <v>0</v>
      </c>
      <c r="L5931" s="21" t="n">
        <v>0</v>
      </c>
      <c r="M5931" s="21" t="n">
        <v>0</v>
      </c>
      <c r="N5931" s="21" t="n">
        <v>0</v>
      </c>
      <c r="O5931" s="21" t="n">
        <v>0</v>
      </c>
      <c r="P5931" s="21">
        <f>$B$5338</f>
        <v/>
      </c>
      <c r="Q5931" s="21">
        <f>$B$5340</f>
        <v/>
      </c>
      <c r="R5931" s="21">
        <f>0</f>
        <v/>
      </c>
      <c r="S5931" s="21">
        <f>2*$B$5339</f>
        <v/>
      </c>
      <c r="T5931" s="21">
        <f>-$B$5338</f>
        <v/>
      </c>
      <c r="U5931" s="21">
        <f>$B$5340</f>
        <v/>
      </c>
      <c r="V5931" s="21" t="n">
        <v>0</v>
      </c>
      <c r="W5931" s="21" t="n">
        <v>0</v>
      </c>
      <c r="X5931" s="21" t="n">
        <v>0</v>
      </c>
      <c r="Y5931" s="21" t="n">
        <v>0</v>
      </c>
      <c r="Z5931" s="19" t="n"/>
    </row>
    <row r="5932">
      <c r="D5932" s="21" t="n">
        <v>0</v>
      </c>
      <c r="E5932" s="21" t="n">
        <v>0</v>
      </c>
      <c r="F5932" s="21" t="n">
        <v>0</v>
      </c>
      <c r="G5932" s="21" t="n">
        <v>0</v>
      </c>
      <c r="H5932" s="21" t="n">
        <v>0</v>
      </c>
      <c r="I5932" s="21" t="n">
        <v>0</v>
      </c>
      <c r="J5932" s="21" t="n">
        <v>0</v>
      </c>
      <c r="K5932" s="21" t="n">
        <v>0</v>
      </c>
      <c r="L5932" s="21" t="n">
        <v>0</v>
      </c>
      <c r="M5932" s="21" t="n">
        <v>0</v>
      </c>
      <c r="N5932" s="21" t="n">
        <v>0</v>
      </c>
      <c r="O5932" s="21" t="n">
        <v>0</v>
      </c>
      <c r="P5932" s="21" t="n">
        <v>0</v>
      </c>
      <c r="Q5932" s="21" t="n">
        <v>0</v>
      </c>
      <c r="R5932" s="21">
        <f>-$B$5337</f>
        <v/>
      </c>
      <c r="S5932" s="21">
        <f>-$B$5338</f>
        <v/>
      </c>
      <c r="T5932" s="21">
        <f>2*$B$5337+$D$5912</f>
        <v/>
      </c>
      <c r="U5932" s="21">
        <f>0</f>
        <v/>
      </c>
      <c r="V5932" s="21">
        <f>-$B$5337</f>
        <v/>
      </c>
      <c r="W5932" s="21">
        <f>$B$5338</f>
        <v/>
      </c>
      <c r="X5932" s="21" t="n">
        <v>0</v>
      </c>
      <c r="Y5932" s="21" t="n">
        <v>0</v>
      </c>
      <c r="Z5932" s="19" t="n"/>
    </row>
    <row r="5933">
      <c r="D5933" s="21" t="n">
        <v>0</v>
      </c>
      <c r="E5933" s="21" t="n">
        <v>0</v>
      </c>
      <c r="F5933" s="21" t="n">
        <v>0</v>
      </c>
      <c r="G5933" s="21" t="n">
        <v>0</v>
      </c>
      <c r="H5933" s="21" t="n">
        <v>0</v>
      </c>
      <c r="I5933" s="21" t="n">
        <v>0</v>
      </c>
      <c r="J5933" s="21" t="n">
        <v>0</v>
      </c>
      <c r="K5933" s="21" t="n">
        <v>0</v>
      </c>
      <c r="L5933" s="21" t="n">
        <v>0</v>
      </c>
      <c r="M5933" s="21" t="n">
        <v>0</v>
      </c>
      <c r="N5933" s="21" t="n">
        <v>0</v>
      </c>
      <c r="O5933" s="21" t="n">
        <v>0</v>
      </c>
      <c r="P5933" s="21" t="n">
        <v>0</v>
      </c>
      <c r="Q5933" s="21" t="n">
        <v>0</v>
      </c>
      <c r="R5933" s="21">
        <f>$B$5338</f>
        <v/>
      </c>
      <c r="S5933" s="21">
        <f>$B$5340</f>
        <v/>
      </c>
      <c r="T5933" s="21">
        <f>0</f>
        <v/>
      </c>
      <c r="U5933" s="21">
        <f>2*$B$5339</f>
        <v/>
      </c>
      <c r="V5933" s="21">
        <f>-$B$5338</f>
        <v/>
      </c>
      <c r="W5933" s="21">
        <f>$B$5340</f>
        <v/>
      </c>
      <c r="X5933" s="21" t="n">
        <v>0</v>
      </c>
      <c r="Y5933" s="21" t="n">
        <v>0</v>
      </c>
      <c r="Z5933" s="19" t="n"/>
    </row>
    <row r="5934">
      <c r="D5934" s="21" t="n">
        <v>0</v>
      </c>
      <c r="E5934" s="21" t="n">
        <v>0</v>
      </c>
      <c r="F5934" s="21" t="n">
        <v>0</v>
      </c>
      <c r="G5934" s="21" t="n">
        <v>0</v>
      </c>
      <c r="H5934" s="21" t="n">
        <v>0</v>
      </c>
      <c r="I5934" s="21" t="n">
        <v>0</v>
      </c>
      <c r="J5934" s="21" t="n">
        <v>0</v>
      </c>
      <c r="K5934" s="21" t="n">
        <v>0</v>
      </c>
      <c r="L5934" s="21" t="n">
        <v>0</v>
      </c>
      <c r="M5934" s="21" t="n">
        <v>0</v>
      </c>
      <c r="N5934" s="21" t="n">
        <v>0</v>
      </c>
      <c r="O5934" s="21" t="n">
        <v>0</v>
      </c>
      <c r="P5934" s="21" t="n">
        <v>0</v>
      </c>
      <c r="Q5934" s="21" t="n">
        <v>0</v>
      </c>
      <c r="R5934" s="21" t="n">
        <v>0</v>
      </c>
      <c r="S5934" s="21" t="n">
        <v>0</v>
      </c>
      <c r="T5934" s="21">
        <f>-$B$5337</f>
        <v/>
      </c>
      <c r="U5934" s="21">
        <f>-$B$5338</f>
        <v/>
      </c>
      <c r="V5934" s="21">
        <f>2*$B$5337+$D$5913</f>
        <v/>
      </c>
      <c r="W5934" s="21">
        <f>0</f>
        <v/>
      </c>
      <c r="X5934" s="21">
        <f>-$B$5337</f>
        <v/>
      </c>
      <c r="Y5934" s="21">
        <f>$B$5338</f>
        <v/>
      </c>
      <c r="Z5934" s="19" t="n"/>
    </row>
    <row r="5935">
      <c r="D5935" s="21" t="n">
        <v>0</v>
      </c>
      <c r="E5935" s="21" t="n">
        <v>0</v>
      </c>
      <c r="F5935" s="21" t="n">
        <v>0</v>
      </c>
      <c r="G5935" s="21" t="n">
        <v>0</v>
      </c>
      <c r="H5935" s="21" t="n">
        <v>0</v>
      </c>
      <c r="I5935" s="21" t="n">
        <v>0</v>
      </c>
      <c r="J5935" s="21" t="n">
        <v>0</v>
      </c>
      <c r="K5935" s="21" t="n">
        <v>0</v>
      </c>
      <c r="L5935" s="21" t="n">
        <v>0</v>
      </c>
      <c r="M5935" s="21" t="n">
        <v>0</v>
      </c>
      <c r="N5935" s="21" t="n">
        <v>0</v>
      </c>
      <c r="O5935" s="21" t="n">
        <v>0</v>
      </c>
      <c r="P5935" s="21" t="n">
        <v>0</v>
      </c>
      <c r="Q5935" s="21" t="n">
        <v>0</v>
      </c>
      <c r="R5935" s="21" t="n">
        <v>0</v>
      </c>
      <c r="S5935" s="21" t="n">
        <v>0</v>
      </c>
      <c r="T5935" s="21">
        <f>$B$5338</f>
        <v/>
      </c>
      <c r="U5935" s="21">
        <f>$B$5340</f>
        <v/>
      </c>
      <c r="V5935" s="21">
        <f>0</f>
        <v/>
      </c>
      <c r="W5935" s="21">
        <f>2*$B$5339</f>
        <v/>
      </c>
      <c r="X5935" s="21">
        <f>-$B$5338</f>
        <v/>
      </c>
      <c r="Y5935" s="21">
        <f>$B$5340</f>
        <v/>
      </c>
      <c r="Z5935" s="19" t="n"/>
    </row>
    <row r="5936">
      <c r="D5936" s="21" t="n">
        <v>0</v>
      </c>
      <c r="E5936" s="21" t="n">
        <v>0</v>
      </c>
      <c r="F5936" s="21" t="n">
        <v>0</v>
      </c>
      <c r="G5936" s="21" t="n">
        <v>0</v>
      </c>
      <c r="H5936" s="21" t="n">
        <v>0</v>
      </c>
      <c r="I5936" s="21" t="n">
        <v>0</v>
      </c>
      <c r="J5936" s="21" t="n">
        <v>0</v>
      </c>
      <c r="K5936" s="21" t="n">
        <v>0</v>
      </c>
      <c r="L5936" s="21" t="n">
        <v>0</v>
      </c>
      <c r="M5936" s="21" t="n">
        <v>0</v>
      </c>
      <c r="N5936" s="21" t="n">
        <v>0</v>
      </c>
      <c r="O5936" s="21" t="n">
        <v>0</v>
      </c>
      <c r="P5936" s="21" t="n">
        <v>0</v>
      </c>
      <c r="Q5936" s="21" t="n">
        <v>0</v>
      </c>
      <c r="R5936" s="21" t="n">
        <v>0</v>
      </c>
      <c r="S5936" s="21" t="n">
        <v>0</v>
      </c>
      <c r="T5936" s="21" t="n">
        <v>0</v>
      </c>
      <c r="U5936" s="21" t="n">
        <v>0</v>
      </c>
      <c r="V5936" s="21">
        <f>-$B$5337</f>
        <v/>
      </c>
      <c r="W5936" s="21">
        <f>-$B$5338</f>
        <v/>
      </c>
      <c r="X5936" s="21">
        <f>$B$5337+$D$5914</f>
        <v/>
      </c>
      <c r="Y5936" s="21">
        <f>-$B$5338</f>
        <v/>
      </c>
      <c r="Z5936" s="19" t="n"/>
    </row>
    <row r="5937">
      <c r="D5937" s="21" t="n">
        <v>0</v>
      </c>
      <c r="E5937" s="21" t="n">
        <v>0</v>
      </c>
      <c r="F5937" s="21" t="n">
        <v>0</v>
      </c>
      <c r="G5937" s="21" t="n">
        <v>0</v>
      </c>
      <c r="H5937" s="21" t="n">
        <v>0</v>
      </c>
      <c r="I5937" s="21" t="n">
        <v>0</v>
      </c>
      <c r="J5937" s="21" t="n">
        <v>0</v>
      </c>
      <c r="K5937" s="21" t="n">
        <v>0</v>
      </c>
      <c r="L5937" s="21" t="n">
        <v>0</v>
      </c>
      <c r="M5937" s="21" t="n">
        <v>0</v>
      </c>
      <c r="N5937" s="21" t="n">
        <v>0</v>
      </c>
      <c r="O5937" s="21" t="n">
        <v>0</v>
      </c>
      <c r="P5937" s="21" t="n">
        <v>0</v>
      </c>
      <c r="Q5937" s="21" t="n">
        <v>0</v>
      </c>
      <c r="R5937" s="21" t="n">
        <v>0</v>
      </c>
      <c r="S5937" s="21" t="n">
        <v>0</v>
      </c>
      <c r="T5937" s="21" t="n">
        <v>0</v>
      </c>
      <c r="U5937" s="21" t="n">
        <v>0</v>
      </c>
      <c r="V5937" s="21">
        <f>$B$5338</f>
        <v/>
      </c>
      <c r="W5937" s="21">
        <f>$B$5340</f>
        <v/>
      </c>
      <c r="X5937" s="21">
        <f>-$B$5338</f>
        <v/>
      </c>
      <c r="Y5937" s="21">
        <f>$B$5339</f>
        <v/>
      </c>
      <c r="Z5937" s="19" t="n"/>
    </row>
    <row r="5939">
      <c r="A5939" s="8" t="inlineStr">
        <is>
          <t>gen 16</t>
        </is>
      </c>
    </row>
    <row r="5940">
      <c r="D5940" s="19">
        <f>IF(ABS(IF(ABS($E$5904)&gt;0.000000001,$E$5904,0.000000001))=0,0,IF($E$5352&lt;=$B$5346,0,IF(ABS(IF(ABS($E$5904)&gt;0.000000001,$E$5904,0.000000001))&gt;=8*$B$5348,$H$5352,0.5*$H$5352*(ABS(IF(ABS($E$5904)&gt;0.000000001,$E$5904,0.000000001))/$B$5348)^(1/3)))/ABS(IF(ABS($E$5904)&gt;0.000000001,$E$5904,0.000000001))*$I$5352)</f>
        <v/>
      </c>
      <c r="E5940" s="19">
        <f>0.5*$E$5904+0.5*$Z$5952</f>
        <v/>
      </c>
      <c r="F5940" s="19">
        <f>$Z$5953</f>
        <v/>
      </c>
    </row>
    <row r="5941">
      <c r="D5941" s="19">
        <f>IF(ABS(IF(ABS($E$5905)&gt;0.000000001,$E$5905,0.000000001))=0,0,IF($E$5353&lt;=$B$5346,0,IF(ABS(IF(ABS($E$5905)&gt;0.000000001,$E$5905,0.000000001))&gt;=8*$B$5348,$H$5353,0.5*$H$5353*(ABS(IF(ABS($E$5905)&gt;0.000000001,$E$5905,0.000000001))/$B$5348)^(1/3)))/ABS(IF(ABS($E$5905)&gt;0.000000001,$E$5905,0.000000001))*$I$5353)</f>
        <v/>
      </c>
      <c r="E5941" s="19">
        <f>0.5*$E$5905+0.5*$Z$5954</f>
        <v/>
      </c>
      <c r="F5941" s="19">
        <f>$Z$5955</f>
        <v/>
      </c>
    </row>
    <row r="5942">
      <c r="D5942" s="19">
        <f>IF(ABS(IF(ABS($E$5906)&gt;0.000000001,$E$5906,0.000000001))=0,0,IF($E$5354&lt;=$B$5346,0,IF(ABS(IF(ABS($E$5906)&gt;0.000000001,$E$5906,0.000000001))&gt;=8*$B$5348,$H$5354,0.5*$H$5354*(ABS(IF(ABS($E$5906)&gt;0.000000001,$E$5906,0.000000001))/$B$5348)^(1/3)))/ABS(IF(ABS($E$5906)&gt;0.000000001,$E$5906,0.000000001))*$I$5354)</f>
        <v/>
      </c>
      <c r="E5942" s="19">
        <f>0.5*$E$5906+0.5*$Z$5956</f>
        <v/>
      </c>
      <c r="F5942" s="19">
        <f>$Z$5957</f>
        <v/>
      </c>
    </row>
    <row r="5943">
      <c r="D5943" s="19">
        <f>IF(ABS(IF(ABS($E$5907)&gt;0.000000001,$E$5907,0.000000001))=0,0,IF($E$5355&lt;=$B$5346,0,IF(ABS(IF(ABS($E$5907)&gt;0.000000001,$E$5907,0.000000001))&gt;=8*$B$5348,$H$5355,0.5*$H$5355*(ABS(IF(ABS($E$5907)&gt;0.000000001,$E$5907,0.000000001))/$B$5348)^(1/3)))/ABS(IF(ABS($E$5907)&gt;0.000000001,$E$5907,0.000000001))*$I$5355)</f>
        <v/>
      </c>
      <c r="E5943" s="19">
        <f>0.5*$E$5907+0.5*$Z$5958</f>
        <v/>
      </c>
      <c r="F5943" s="19">
        <f>$Z$5959</f>
        <v/>
      </c>
    </row>
    <row r="5944">
      <c r="D5944" s="19">
        <f>IF(ABS(IF(ABS($E$5908)&gt;0.000000001,$E$5908,0.000000001))=0,0,IF($E$5356&lt;=$B$5346,0,IF(ABS(IF(ABS($E$5908)&gt;0.000000001,$E$5908,0.000000001))&gt;=8*$B$5348,$H$5356,0.5*$H$5356*(ABS(IF(ABS($E$5908)&gt;0.000000001,$E$5908,0.000000001))/$B$5348)^(1/3)))/ABS(IF(ABS($E$5908)&gt;0.000000001,$E$5908,0.000000001))*$I$5356)</f>
        <v/>
      </c>
      <c r="E5944" s="19">
        <f>0.5*$E$5908+0.5*$Z$5960</f>
        <v/>
      </c>
      <c r="F5944" s="19">
        <f>$Z$5961</f>
        <v/>
      </c>
    </row>
    <row r="5945">
      <c r="D5945" s="19">
        <f>IF(ABS(IF(ABS($E$5909)&gt;0.000000001,$E$5909,0.000000001))=0,0,IF($E$5357&lt;=$B$5346,0,IF(ABS(IF(ABS($E$5909)&gt;0.000000001,$E$5909,0.000000001))&gt;=8*$B$5348,$H$5357,0.5*$H$5357*(ABS(IF(ABS($E$5909)&gt;0.000000001,$E$5909,0.000000001))/$B$5348)^(1/3)))/ABS(IF(ABS($E$5909)&gt;0.000000001,$E$5909,0.000000001))*$I$5357)</f>
        <v/>
      </c>
      <c r="E5945" s="19">
        <f>0.5*$E$5909+0.5*$Z$5962</f>
        <v/>
      </c>
      <c r="F5945" s="19">
        <f>$Z$5963</f>
        <v/>
      </c>
    </row>
    <row r="5946">
      <c r="D5946" s="19">
        <f>IF(ABS(IF(ABS($E$5910)&gt;0.000000001,$E$5910,0.000000001))=0,0,IF($E$5358&lt;=$B$5346,0,IF(ABS(IF(ABS($E$5910)&gt;0.000000001,$E$5910,0.000000001))&gt;=8*$B$5348,$H$5358,0.5*$H$5358*(ABS(IF(ABS($E$5910)&gt;0.000000001,$E$5910,0.000000001))/$B$5348)^(1/3)))/ABS(IF(ABS($E$5910)&gt;0.000000001,$E$5910,0.000000001))*$I$5358)</f>
        <v/>
      </c>
      <c r="E5946" s="19">
        <f>0.5*$E$5910+0.5*$Z$5964</f>
        <v/>
      </c>
      <c r="F5946" s="19">
        <f>$Z$5965</f>
        <v/>
      </c>
    </row>
    <row r="5947">
      <c r="D5947" s="19">
        <f>IF(ABS(IF(ABS($E$5911)&gt;0.000000001,$E$5911,0.000000001))=0,0,IF($E$5359&lt;=$B$5346,0,IF(ABS(IF(ABS($E$5911)&gt;0.000000001,$E$5911,0.000000001))&gt;=8*$B$5348,$H$5359,0.5*$H$5359*(ABS(IF(ABS($E$5911)&gt;0.000000001,$E$5911,0.000000001))/$B$5348)^(1/3)))/ABS(IF(ABS($E$5911)&gt;0.000000001,$E$5911,0.000000001))*$I$5359)</f>
        <v/>
      </c>
      <c r="E5947" s="19">
        <f>0.5*$E$5911+0.5*$Z$5966</f>
        <v/>
      </c>
      <c r="F5947" s="19">
        <f>$Z$5967</f>
        <v/>
      </c>
    </row>
    <row r="5948">
      <c r="D5948" s="19">
        <f>IF(ABS(IF(ABS($E$5912)&gt;0.000000001,$E$5912,0.000000001))=0,0,IF($E$5360&lt;=$B$5346,0,IF(ABS(IF(ABS($E$5912)&gt;0.000000001,$E$5912,0.000000001))&gt;=8*$B$5348,$H$5360,0.5*$H$5360*(ABS(IF(ABS($E$5912)&gt;0.000000001,$E$5912,0.000000001))/$B$5348)^(1/3)))/ABS(IF(ABS($E$5912)&gt;0.000000001,$E$5912,0.000000001))*$I$5360)</f>
        <v/>
      </c>
      <c r="E5948" s="19">
        <f>0.5*$E$5912+0.5*$Z$5968</f>
        <v/>
      </c>
      <c r="F5948" s="19">
        <f>$Z$5969</f>
        <v/>
      </c>
    </row>
    <row r="5949">
      <c r="D5949" s="19">
        <f>IF(ABS(IF(ABS($E$5913)&gt;0.000000001,$E$5913,0.000000001))=0,0,IF($E$5361&lt;=$B$5346,0,IF(ABS(IF(ABS($E$5913)&gt;0.000000001,$E$5913,0.000000001))&gt;=8*$B$5348,$H$5361,0.5*$H$5361*(ABS(IF(ABS($E$5913)&gt;0.000000001,$E$5913,0.000000001))/$B$5348)^(1/3)))/ABS(IF(ABS($E$5913)&gt;0.000000001,$E$5913,0.000000001))*$I$5361)</f>
        <v/>
      </c>
      <c r="E5949" s="19">
        <f>0.5*$E$5913+0.5*$Z$5970</f>
        <v/>
      </c>
      <c r="F5949" s="19">
        <f>$Z$5971</f>
        <v/>
      </c>
    </row>
    <row r="5950">
      <c r="D5950" s="19">
        <f>IF(ABS(IF(ABS($E$5914)&gt;0.000000001,$E$5914,0.000000001))=0,0,IF($E$5362&lt;=$B$5346,0,IF(ABS(IF(ABS($E$5914)&gt;0.000000001,$E$5914,0.000000001))&gt;=8*$B$5348,$H$5362,0.5*$H$5362*(ABS(IF(ABS($E$5914)&gt;0.000000001,$E$5914,0.000000001))/$B$5348)^(1/3)))/ABS(IF(ABS($E$5914)&gt;0.000000001,$E$5914,0.000000001))*$I$5362)</f>
        <v/>
      </c>
      <c r="E5950" s="19">
        <f>0.5*$E$5914+0.5*$Z$5972</f>
        <v/>
      </c>
      <c r="F5950" s="19">
        <f>$Z$5973</f>
        <v/>
      </c>
    </row>
    <row r="5952">
      <c r="D5952" s="21">
        <f>$B$5337+$D$5940</f>
        <v/>
      </c>
      <c r="E5952" s="21">
        <f>$B$5338</f>
        <v/>
      </c>
      <c r="F5952" s="21">
        <f>-$B$5337</f>
        <v/>
      </c>
      <c r="G5952" s="21">
        <f>$B$5338</f>
        <v/>
      </c>
      <c r="H5952" s="21" t="n">
        <v>0</v>
      </c>
      <c r="I5952" s="21" t="n">
        <v>0</v>
      </c>
      <c r="J5952" s="21" t="n">
        <v>0</v>
      </c>
      <c r="K5952" s="21" t="n">
        <v>0</v>
      </c>
      <c r="L5952" s="21" t="n">
        <v>0</v>
      </c>
      <c r="M5952" s="21" t="n">
        <v>0</v>
      </c>
      <c r="N5952" s="21" t="n">
        <v>0</v>
      </c>
      <c r="O5952" s="21" t="n">
        <v>0</v>
      </c>
      <c r="P5952" s="21" t="n">
        <v>0</v>
      </c>
      <c r="Q5952" s="21" t="n">
        <v>0</v>
      </c>
      <c r="R5952" s="21" t="n">
        <v>0</v>
      </c>
      <c r="S5952" s="21" t="n">
        <v>0</v>
      </c>
      <c r="T5952" s="21" t="n">
        <v>0</v>
      </c>
      <c r="U5952" s="21" t="n">
        <v>0</v>
      </c>
      <c r="V5952" s="21" t="n">
        <v>0</v>
      </c>
      <c r="W5952" s="21" t="n">
        <v>0</v>
      </c>
      <c r="X5952" s="21" t="n">
        <v>0</v>
      </c>
      <c r="Y5952" s="21" t="n">
        <v>0</v>
      </c>
      <c r="Z5952" s="19">
        <f t="array" ref="Z5952:Z5973">MMULT(MINVERSE($D$5952:$Y$5973),$D$5364:$D$5385)</f>
        <v/>
      </c>
    </row>
    <row r="5953">
      <c r="D5953" s="21">
        <f>$B$5338</f>
        <v/>
      </c>
      <c r="E5953" s="21">
        <f>$B$5339</f>
        <v/>
      </c>
      <c r="F5953" s="21">
        <f>-$B$5338</f>
        <v/>
      </c>
      <c r="G5953" s="21">
        <f>$B$5340</f>
        <v/>
      </c>
      <c r="H5953" s="21" t="n">
        <v>0</v>
      </c>
      <c r="I5953" s="21" t="n">
        <v>0</v>
      </c>
      <c r="J5953" s="21" t="n">
        <v>0</v>
      </c>
      <c r="K5953" s="21" t="n">
        <v>0</v>
      </c>
      <c r="L5953" s="21" t="n">
        <v>0</v>
      </c>
      <c r="M5953" s="21" t="n">
        <v>0</v>
      </c>
      <c r="N5953" s="21" t="n">
        <v>0</v>
      </c>
      <c r="O5953" s="21" t="n">
        <v>0</v>
      </c>
      <c r="P5953" s="21" t="n">
        <v>0</v>
      </c>
      <c r="Q5953" s="21" t="n">
        <v>0</v>
      </c>
      <c r="R5953" s="21" t="n">
        <v>0</v>
      </c>
      <c r="S5953" s="21" t="n">
        <v>0</v>
      </c>
      <c r="T5953" s="21" t="n">
        <v>0</v>
      </c>
      <c r="U5953" s="21" t="n">
        <v>0</v>
      </c>
      <c r="V5953" s="21" t="n">
        <v>0</v>
      </c>
      <c r="W5953" s="21" t="n">
        <v>0</v>
      </c>
      <c r="X5953" s="21" t="n">
        <v>0</v>
      </c>
      <c r="Y5953" s="21" t="n">
        <v>0</v>
      </c>
      <c r="Z5953" s="19" t="n"/>
    </row>
    <row r="5954">
      <c r="D5954" s="21">
        <f>-$B$5337</f>
        <v/>
      </c>
      <c r="E5954" s="21">
        <f>-$B$5338</f>
        <v/>
      </c>
      <c r="F5954" s="21">
        <f>2*$B$5337+$D$5941</f>
        <v/>
      </c>
      <c r="G5954" s="21">
        <f>0</f>
        <v/>
      </c>
      <c r="H5954" s="21">
        <f>-$B$5337</f>
        <v/>
      </c>
      <c r="I5954" s="21">
        <f>$B$5338</f>
        <v/>
      </c>
      <c r="J5954" s="21" t="n">
        <v>0</v>
      </c>
      <c r="K5954" s="21" t="n">
        <v>0</v>
      </c>
      <c r="L5954" s="21" t="n">
        <v>0</v>
      </c>
      <c r="M5954" s="21" t="n">
        <v>0</v>
      </c>
      <c r="N5954" s="21" t="n">
        <v>0</v>
      </c>
      <c r="O5954" s="21" t="n">
        <v>0</v>
      </c>
      <c r="P5954" s="21" t="n">
        <v>0</v>
      </c>
      <c r="Q5954" s="21" t="n">
        <v>0</v>
      </c>
      <c r="R5954" s="21" t="n">
        <v>0</v>
      </c>
      <c r="S5954" s="21" t="n">
        <v>0</v>
      </c>
      <c r="T5954" s="21" t="n">
        <v>0</v>
      </c>
      <c r="U5954" s="21" t="n">
        <v>0</v>
      </c>
      <c r="V5954" s="21" t="n">
        <v>0</v>
      </c>
      <c r="W5954" s="21" t="n">
        <v>0</v>
      </c>
      <c r="X5954" s="21" t="n">
        <v>0</v>
      </c>
      <c r="Y5954" s="21" t="n">
        <v>0</v>
      </c>
      <c r="Z5954" s="19" t="n"/>
    </row>
    <row r="5955">
      <c r="D5955" s="21">
        <f>$B$5338</f>
        <v/>
      </c>
      <c r="E5955" s="21">
        <f>$B$5340</f>
        <v/>
      </c>
      <c r="F5955" s="21">
        <f>0</f>
        <v/>
      </c>
      <c r="G5955" s="21">
        <f>2*$B$5339</f>
        <v/>
      </c>
      <c r="H5955" s="21">
        <f>-$B$5338</f>
        <v/>
      </c>
      <c r="I5955" s="21">
        <f>$B$5340</f>
        <v/>
      </c>
      <c r="J5955" s="21" t="n">
        <v>0</v>
      </c>
      <c r="K5955" s="21" t="n">
        <v>0</v>
      </c>
      <c r="L5955" s="21" t="n">
        <v>0</v>
      </c>
      <c r="M5955" s="21" t="n">
        <v>0</v>
      </c>
      <c r="N5955" s="21" t="n">
        <v>0</v>
      </c>
      <c r="O5955" s="21" t="n">
        <v>0</v>
      </c>
      <c r="P5955" s="21" t="n">
        <v>0</v>
      </c>
      <c r="Q5955" s="21" t="n">
        <v>0</v>
      </c>
      <c r="R5955" s="21" t="n">
        <v>0</v>
      </c>
      <c r="S5955" s="21" t="n">
        <v>0</v>
      </c>
      <c r="T5955" s="21" t="n">
        <v>0</v>
      </c>
      <c r="U5955" s="21" t="n">
        <v>0</v>
      </c>
      <c r="V5955" s="21" t="n">
        <v>0</v>
      </c>
      <c r="W5955" s="21" t="n">
        <v>0</v>
      </c>
      <c r="X5955" s="21" t="n">
        <v>0</v>
      </c>
      <c r="Y5955" s="21" t="n">
        <v>0</v>
      </c>
      <c r="Z5955" s="19" t="n"/>
    </row>
    <row r="5956">
      <c r="D5956" s="21" t="n">
        <v>0</v>
      </c>
      <c r="E5956" s="21" t="n">
        <v>0</v>
      </c>
      <c r="F5956" s="21">
        <f>-$B$5337</f>
        <v/>
      </c>
      <c r="G5956" s="21">
        <f>-$B$5338</f>
        <v/>
      </c>
      <c r="H5956" s="21">
        <f>2*$B$5337+$D$5942</f>
        <v/>
      </c>
      <c r="I5956" s="21">
        <f>0</f>
        <v/>
      </c>
      <c r="J5956" s="21">
        <f>-$B$5337</f>
        <v/>
      </c>
      <c r="K5956" s="21">
        <f>$B$5338</f>
        <v/>
      </c>
      <c r="L5956" s="21" t="n">
        <v>0</v>
      </c>
      <c r="M5956" s="21" t="n">
        <v>0</v>
      </c>
      <c r="N5956" s="21" t="n">
        <v>0</v>
      </c>
      <c r="O5956" s="21" t="n">
        <v>0</v>
      </c>
      <c r="P5956" s="21" t="n">
        <v>0</v>
      </c>
      <c r="Q5956" s="21" t="n">
        <v>0</v>
      </c>
      <c r="R5956" s="21" t="n">
        <v>0</v>
      </c>
      <c r="S5956" s="21" t="n">
        <v>0</v>
      </c>
      <c r="T5956" s="21" t="n">
        <v>0</v>
      </c>
      <c r="U5956" s="21" t="n">
        <v>0</v>
      </c>
      <c r="V5956" s="21" t="n">
        <v>0</v>
      </c>
      <c r="W5956" s="21" t="n">
        <v>0</v>
      </c>
      <c r="X5956" s="21" t="n">
        <v>0</v>
      </c>
      <c r="Y5956" s="21" t="n">
        <v>0</v>
      </c>
      <c r="Z5956" s="19" t="n"/>
    </row>
    <row r="5957">
      <c r="D5957" s="21" t="n">
        <v>0</v>
      </c>
      <c r="E5957" s="21" t="n">
        <v>0</v>
      </c>
      <c r="F5957" s="21">
        <f>$B$5338</f>
        <v/>
      </c>
      <c r="G5957" s="21">
        <f>$B$5340</f>
        <v/>
      </c>
      <c r="H5957" s="21">
        <f>0</f>
        <v/>
      </c>
      <c r="I5957" s="21">
        <f>2*$B$5339</f>
        <v/>
      </c>
      <c r="J5957" s="21">
        <f>-$B$5338</f>
        <v/>
      </c>
      <c r="K5957" s="21">
        <f>$B$5340</f>
        <v/>
      </c>
      <c r="L5957" s="21" t="n">
        <v>0</v>
      </c>
      <c r="M5957" s="21" t="n">
        <v>0</v>
      </c>
      <c r="N5957" s="21" t="n">
        <v>0</v>
      </c>
      <c r="O5957" s="21" t="n">
        <v>0</v>
      </c>
      <c r="P5957" s="21" t="n">
        <v>0</v>
      </c>
      <c r="Q5957" s="21" t="n">
        <v>0</v>
      </c>
      <c r="R5957" s="21" t="n">
        <v>0</v>
      </c>
      <c r="S5957" s="21" t="n">
        <v>0</v>
      </c>
      <c r="T5957" s="21" t="n">
        <v>0</v>
      </c>
      <c r="U5957" s="21" t="n">
        <v>0</v>
      </c>
      <c r="V5957" s="21" t="n">
        <v>0</v>
      </c>
      <c r="W5957" s="21" t="n">
        <v>0</v>
      </c>
      <c r="X5957" s="21" t="n">
        <v>0</v>
      </c>
      <c r="Y5957" s="21" t="n">
        <v>0</v>
      </c>
      <c r="Z5957" s="19" t="n"/>
    </row>
    <row r="5958">
      <c r="D5958" s="21" t="n">
        <v>0</v>
      </c>
      <c r="E5958" s="21" t="n">
        <v>0</v>
      </c>
      <c r="F5958" s="21" t="n">
        <v>0</v>
      </c>
      <c r="G5958" s="21" t="n">
        <v>0</v>
      </c>
      <c r="H5958" s="21">
        <f>-$B$5337</f>
        <v/>
      </c>
      <c r="I5958" s="21">
        <f>-$B$5338</f>
        <v/>
      </c>
      <c r="J5958" s="21">
        <f>2*$B$5337+$D$5943</f>
        <v/>
      </c>
      <c r="K5958" s="21">
        <f>0</f>
        <v/>
      </c>
      <c r="L5958" s="21">
        <f>-$B$5337</f>
        <v/>
      </c>
      <c r="M5958" s="21">
        <f>$B$5338</f>
        <v/>
      </c>
      <c r="N5958" s="21" t="n">
        <v>0</v>
      </c>
      <c r="O5958" s="21" t="n">
        <v>0</v>
      </c>
      <c r="P5958" s="21" t="n">
        <v>0</v>
      </c>
      <c r="Q5958" s="21" t="n">
        <v>0</v>
      </c>
      <c r="R5958" s="21" t="n">
        <v>0</v>
      </c>
      <c r="S5958" s="21" t="n">
        <v>0</v>
      </c>
      <c r="T5958" s="21" t="n">
        <v>0</v>
      </c>
      <c r="U5958" s="21" t="n">
        <v>0</v>
      </c>
      <c r="V5958" s="21" t="n">
        <v>0</v>
      </c>
      <c r="W5958" s="21" t="n">
        <v>0</v>
      </c>
      <c r="X5958" s="21" t="n">
        <v>0</v>
      </c>
      <c r="Y5958" s="21" t="n">
        <v>0</v>
      </c>
      <c r="Z5958" s="19" t="n"/>
    </row>
    <row r="5959">
      <c r="D5959" s="21" t="n">
        <v>0</v>
      </c>
      <c r="E5959" s="21" t="n">
        <v>0</v>
      </c>
      <c r="F5959" s="21" t="n">
        <v>0</v>
      </c>
      <c r="G5959" s="21" t="n">
        <v>0</v>
      </c>
      <c r="H5959" s="21">
        <f>$B$5338</f>
        <v/>
      </c>
      <c r="I5959" s="21">
        <f>$B$5340</f>
        <v/>
      </c>
      <c r="J5959" s="21">
        <f>0</f>
        <v/>
      </c>
      <c r="K5959" s="21">
        <f>2*$B$5339</f>
        <v/>
      </c>
      <c r="L5959" s="21">
        <f>-$B$5338</f>
        <v/>
      </c>
      <c r="M5959" s="21">
        <f>$B$5340</f>
        <v/>
      </c>
      <c r="N5959" s="21" t="n">
        <v>0</v>
      </c>
      <c r="O5959" s="21" t="n">
        <v>0</v>
      </c>
      <c r="P5959" s="21" t="n">
        <v>0</v>
      </c>
      <c r="Q5959" s="21" t="n">
        <v>0</v>
      </c>
      <c r="R5959" s="21" t="n">
        <v>0</v>
      </c>
      <c r="S5959" s="21" t="n">
        <v>0</v>
      </c>
      <c r="T5959" s="21" t="n">
        <v>0</v>
      </c>
      <c r="U5959" s="21" t="n">
        <v>0</v>
      </c>
      <c r="V5959" s="21" t="n">
        <v>0</v>
      </c>
      <c r="W5959" s="21" t="n">
        <v>0</v>
      </c>
      <c r="X5959" s="21" t="n">
        <v>0</v>
      </c>
      <c r="Y5959" s="21" t="n">
        <v>0</v>
      </c>
      <c r="Z5959" s="19" t="n"/>
    </row>
    <row r="5960">
      <c r="D5960" s="21" t="n">
        <v>0</v>
      </c>
      <c r="E5960" s="21" t="n">
        <v>0</v>
      </c>
      <c r="F5960" s="21" t="n">
        <v>0</v>
      </c>
      <c r="G5960" s="21" t="n">
        <v>0</v>
      </c>
      <c r="H5960" s="21" t="n">
        <v>0</v>
      </c>
      <c r="I5960" s="21" t="n">
        <v>0</v>
      </c>
      <c r="J5960" s="21">
        <f>-$B$5337</f>
        <v/>
      </c>
      <c r="K5960" s="21">
        <f>-$B$5338</f>
        <v/>
      </c>
      <c r="L5960" s="21">
        <f>2*$B$5337+$D$5944</f>
        <v/>
      </c>
      <c r="M5960" s="21">
        <f>0</f>
        <v/>
      </c>
      <c r="N5960" s="21">
        <f>-$B$5337</f>
        <v/>
      </c>
      <c r="O5960" s="21">
        <f>$B$5338</f>
        <v/>
      </c>
      <c r="P5960" s="21" t="n">
        <v>0</v>
      </c>
      <c r="Q5960" s="21" t="n">
        <v>0</v>
      </c>
      <c r="R5960" s="21" t="n">
        <v>0</v>
      </c>
      <c r="S5960" s="21" t="n">
        <v>0</v>
      </c>
      <c r="T5960" s="21" t="n">
        <v>0</v>
      </c>
      <c r="U5960" s="21" t="n">
        <v>0</v>
      </c>
      <c r="V5960" s="21" t="n">
        <v>0</v>
      </c>
      <c r="W5960" s="21" t="n">
        <v>0</v>
      </c>
      <c r="X5960" s="21" t="n">
        <v>0</v>
      </c>
      <c r="Y5960" s="21" t="n">
        <v>0</v>
      </c>
      <c r="Z5960" s="19" t="n"/>
    </row>
    <row r="5961">
      <c r="D5961" s="21" t="n">
        <v>0</v>
      </c>
      <c r="E5961" s="21" t="n">
        <v>0</v>
      </c>
      <c r="F5961" s="21" t="n">
        <v>0</v>
      </c>
      <c r="G5961" s="21" t="n">
        <v>0</v>
      </c>
      <c r="H5961" s="21" t="n">
        <v>0</v>
      </c>
      <c r="I5961" s="21" t="n">
        <v>0</v>
      </c>
      <c r="J5961" s="21">
        <f>$B$5338</f>
        <v/>
      </c>
      <c r="K5961" s="21">
        <f>$B$5340</f>
        <v/>
      </c>
      <c r="L5961" s="21">
        <f>0</f>
        <v/>
      </c>
      <c r="M5961" s="21">
        <f>2*$B$5339</f>
        <v/>
      </c>
      <c r="N5961" s="21">
        <f>-$B$5338</f>
        <v/>
      </c>
      <c r="O5961" s="21">
        <f>$B$5340</f>
        <v/>
      </c>
      <c r="P5961" s="21" t="n">
        <v>0</v>
      </c>
      <c r="Q5961" s="21" t="n">
        <v>0</v>
      </c>
      <c r="R5961" s="21" t="n">
        <v>0</v>
      </c>
      <c r="S5961" s="21" t="n">
        <v>0</v>
      </c>
      <c r="T5961" s="21" t="n">
        <v>0</v>
      </c>
      <c r="U5961" s="21" t="n">
        <v>0</v>
      </c>
      <c r="V5961" s="21" t="n">
        <v>0</v>
      </c>
      <c r="W5961" s="21" t="n">
        <v>0</v>
      </c>
      <c r="X5961" s="21" t="n">
        <v>0</v>
      </c>
      <c r="Y5961" s="21" t="n">
        <v>0</v>
      </c>
      <c r="Z5961" s="19" t="n"/>
    </row>
    <row r="5962">
      <c r="D5962" s="21" t="n">
        <v>0</v>
      </c>
      <c r="E5962" s="21" t="n">
        <v>0</v>
      </c>
      <c r="F5962" s="21" t="n">
        <v>0</v>
      </c>
      <c r="G5962" s="21" t="n">
        <v>0</v>
      </c>
      <c r="H5962" s="21" t="n">
        <v>0</v>
      </c>
      <c r="I5962" s="21" t="n">
        <v>0</v>
      </c>
      <c r="J5962" s="21" t="n">
        <v>0</v>
      </c>
      <c r="K5962" s="21" t="n">
        <v>0</v>
      </c>
      <c r="L5962" s="21">
        <f>-$B$5337</f>
        <v/>
      </c>
      <c r="M5962" s="21">
        <f>-$B$5338</f>
        <v/>
      </c>
      <c r="N5962" s="21">
        <f>2*$B$5337+$D$5945</f>
        <v/>
      </c>
      <c r="O5962" s="21">
        <f>0</f>
        <v/>
      </c>
      <c r="P5962" s="21">
        <f>-$B$5337</f>
        <v/>
      </c>
      <c r="Q5962" s="21">
        <f>$B$5338</f>
        <v/>
      </c>
      <c r="R5962" s="21" t="n">
        <v>0</v>
      </c>
      <c r="S5962" s="21" t="n">
        <v>0</v>
      </c>
      <c r="T5962" s="21" t="n">
        <v>0</v>
      </c>
      <c r="U5962" s="21" t="n">
        <v>0</v>
      </c>
      <c r="V5962" s="21" t="n">
        <v>0</v>
      </c>
      <c r="W5962" s="21" t="n">
        <v>0</v>
      </c>
      <c r="X5962" s="21" t="n">
        <v>0</v>
      </c>
      <c r="Y5962" s="21" t="n">
        <v>0</v>
      </c>
      <c r="Z5962" s="19" t="n"/>
    </row>
    <row r="5963">
      <c r="D5963" s="21" t="n">
        <v>0</v>
      </c>
      <c r="E5963" s="21" t="n">
        <v>0</v>
      </c>
      <c r="F5963" s="21" t="n">
        <v>0</v>
      </c>
      <c r="G5963" s="21" t="n">
        <v>0</v>
      </c>
      <c r="H5963" s="21" t="n">
        <v>0</v>
      </c>
      <c r="I5963" s="21" t="n">
        <v>0</v>
      </c>
      <c r="J5963" s="21" t="n">
        <v>0</v>
      </c>
      <c r="K5963" s="21" t="n">
        <v>0</v>
      </c>
      <c r="L5963" s="21">
        <f>$B$5338</f>
        <v/>
      </c>
      <c r="M5963" s="21">
        <f>$B$5340</f>
        <v/>
      </c>
      <c r="N5963" s="21">
        <f>0</f>
        <v/>
      </c>
      <c r="O5963" s="21">
        <f>2*$B$5339</f>
        <v/>
      </c>
      <c r="P5963" s="21">
        <f>-$B$5338</f>
        <v/>
      </c>
      <c r="Q5963" s="21">
        <f>$B$5340</f>
        <v/>
      </c>
      <c r="R5963" s="21" t="n">
        <v>0</v>
      </c>
      <c r="S5963" s="21" t="n">
        <v>0</v>
      </c>
      <c r="T5963" s="21" t="n">
        <v>0</v>
      </c>
      <c r="U5963" s="21" t="n">
        <v>0</v>
      </c>
      <c r="V5963" s="21" t="n">
        <v>0</v>
      </c>
      <c r="W5963" s="21" t="n">
        <v>0</v>
      </c>
      <c r="X5963" s="21" t="n">
        <v>0</v>
      </c>
      <c r="Y5963" s="21" t="n">
        <v>0</v>
      </c>
      <c r="Z5963" s="19" t="n"/>
    </row>
    <row r="5964">
      <c r="D5964" s="21" t="n">
        <v>0</v>
      </c>
      <c r="E5964" s="21" t="n">
        <v>0</v>
      </c>
      <c r="F5964" s="21" t="n">
        <v>0</v>
      </c>
      <c r="G5964" s="21" t="n">
        <v>0</v>
      </c>
      <c r="H5964" s="21" t="n">
        <v>0</v>
      </c>
      <c r="I5964" s="21" t="n">
        <v>0</v>
      </c>
      <c r="J5964" s="21" t="n">
        <v>0</v>
      </c>
      <c r="K5964" s="21" t="n">
        <v>0</v>
      </c>
      <c r="L5964" s="21" t="n">
        <v>0</v>
      </c>
      <c r="M5964" s="21" t="n">
        <v>0</v>
      </c>
      <c r="N5964" s="21">
        <f>-$B$5337</f>
        <v/>
      </c>
      <c r="O5964" s="21">
        <f>-$B$5338</f>
        <v/>
      </c>
      <c r="P5964" s="21">
        <f>2*$B$5337+$D$5946</f>
        <v/>
      </c>
      <c r="Q5964" s="21">
        <f>0</f>
        <v/>
      </c>
      <c r="R5964" s="21">
        <f>-$B$5337</f>
        <v/>
      </c>
      <c r="S5964" s="21">
        <f>$B$5338</f>
        <v/>
      </c>
      <c r="T5964" s="21" t="n">
        <v>0</v>
      </c>
      <c r="U5964" s="21" t="n">
        <v>0</v>
      </c>
      <c r="V5964" s="21" t="n">
        <v>0</v>
      </c>
      <c r="W5964" s="21" t="n">
        <v>0</v>
      </c>
      <c r="X5964" s="21" t="n">
        <v>0</v>
      </c>
      <c r="Y5964" s="21" t="n">
        <v>0</v>
      </c>
      <c r="Z5964" s="19" t="n"/>
    </row>
    <row r="5965">
      <c r="D5965" s="21" t="n">
        <v>0</v>
      </c>
      <c r="E5965" s="21" t="n">
        <v>0</v>
      </c>
      <c r="F5965" s="21" t="n">
        <v>0</v>
      </c>
      <c r="G5965" s="21" t="n">
        <v>0</v>
      </c>
      <c r="H5965" s="21" t="n">
        <v>0</v>
      </c>
      <c r="I5965" s="21" t="n">
        <v>0</v>
      </c>
      <c r="J5965" s="21" t="n">
        <v>0</v>
      </c>
      <c r="K5965" s="21" t="n">
        <v>0</v>
      </c>
      <c r="L5965" s="21" t="n">
        <v>0</v>
      </c>
      <c r="M5965" s="21" t="n">
        <v>0</v>
      </c>
      <c r="N5965" s="21">
        <f>$B$5338</f>
        <v/>
      </c>
      <c r="O5965" s="21">
        <f>$B$5340</f>
        <v/>
      </c>
      <c r="P5965" s="21">
        <f>0</f>
        <v/>
      </c>
      <c r="Q5965" s="21">
        <f>2*$B$5339</f>
        <v/>
      </c>
      <c r="R5965" s="21">
        <f>-$B$5338</f>
        <v/>
      </c>
      <c r="S5965" s="21">
        <f>$B$5340</f>
        <v/>
      </c>
      <c r="T5965" s="21" t="n">
        <v>0</v>
      </c>
      <c r="U5965" s="21" t="n">
        <v>0</v>
      </c>
      <c r="V5965" s="21" t="n">
        <v>0</v>
      </c>
      <c r="W5965" s="21" t="n">
        <v>0</v>
      </c>
      <c r="X5965" s="21" t="n">
        <v>0</v>
      </c>
      <c r="Y5965" s="21" t="n">
        <v>0</v>
      </c>
      <c r="Z5965" s="19" t="n"/>
    </row>
    <row r="5966">
      <c r="D5966" s="21" t="n">
        <v>0</v>
      </c>
      <c r="E5966" s="21" t="n">
        <v>0</v>
      </c>
      <c r="F5966" s="21" t="n">
        <v>0</v>
      </c>
      <c r="G5966" s="21" t="n">
        <v>0</v>
      </c>
      <c r="H5966" s="21" t="n">
        <v>0</v>
      </c>
      <c r="I5966" s="21" t="n">
        <v>0</v>
      </c>
      <c r="J5966" s="21" t="n">
        <v>0</v>
      </c>
      <c r="K5966" s="21" t="n">
        <v>0</v>
      </c>
      <c r="L5966" s="21" t="n">
        <v>0</v>
      </c>
      <c r="M5966" s="21" t="n">
        <v>0</v>
      </c>
      <c r="N5966" s="21" t="n">
        <v>0</v>
      </c>
      <c r="O5966" s="21" t="n">
        <v>0</v>
      </c>
      <c r="P5966" s="21">
        <f>-$B$5337</f>
        <v/>
      </c>
      <c r="Q5966" s="21">
        <f>-$B$5338</f>
        <v/>
      </c>
      <c r="R5966" s="21">
        <f>2*$B$5337+$D$5947</f>
        <v/>
      </c>
      <c r="S5966" s="21">
        <f>0</f>
        <v/>
      </c>
      <c r="T5966" s="21">
        <f>-$B$5337</f>
        <v/>
      </c>
      <c r="U5966" s="21">
        <f>$B$5338</f>
        <v/>
      </c>
      <c r="V5966" s="21" t="n">
        <v>0</v>
      </c>
      <c r="W5966" s="21" t="n">
        <v>0</v>
      </c>
      <c r="X5966" s="21" t="n">
        <v>0</v>
      </c>
      <c r="Y5966" s="21" t="n">
        <v>0</v>
      </c>
      <c r="Z5966" s="19" t="n"/>
    </row>
    <row r="5967">
      <c r="D5967" s="21" t="n">
        <v>0</v>
      </c>
      <c r="E5967" s="21" t="n">
        <v>0</v>
      </c>
      <c r="F5967" s="21" t="n">
        <v>0</v>
      </c>
      <c r="G5967" s="21" t="n">
        <v>0</v>
      </c>
      <c r="H5967" s="21" t="n">
        <v>0</v>
      </c>
      <c r="I5967" s="21" t="n">
        <v>0</v>
      </c>
      <c r="J5967" s="21" t="n">
        <v>0</v>
      </c>
      <c r="K5967" s="21" t="n">
        <v>0</v>
      </c>
      <c r="L5967" s="21" t="n">
        <v>0</v>
      </c>
      <c r="M5967" s="21" t="n">
        <v>0</v>
      </c>
      <c r="N5967" s="21" t="n">
        <v>0</v>
      </c>
      <c r="O5967" s="21" t="n">
        <v>0</v>
      </c>
      <c r="P5967" s="21">
        <f>$B$5338</f>
        <v/>
      </c>
      <c r="Q5967" s="21">
        <f>$B$5340</f>
        <v/>
      </c>
      <c r="R5967" s="21">
        <f>0</f>
        <v/>
      </c>
      <c r="S5967" s="21">
        <f>2*$B$5339</f>
        <v/>
      </c>
      <c r="T5967" s="21">
        <f>-$B$5338</f>
        <v/>
      </c>
      <c r="U5967" s="21">
        <f>$B$5340</f>
        <v/>
      </c>
      <c r="V5967" s="21" t="n">
        <v>0</v>
      </c>
      <c r="W5967" s="21" t="n">
        <v>0</v>
      </c>
      <c r="X5967" s="21" t="n">
        <v>0</v>
      </c>
      <c r="Y5967" s="21" t="n">
        <v>0</v>
      </c>
      <c r="Z5967" s="19" t="n"/>
    </row>
    <row r="5968">
      <c r="D5968" s="21" t="n">
        <v>0</v>
      </c>
      <c r="E5968" s="21" t="n">
        <v>0</v>
      </c>
      <c r="F5968" s="21" t="n">
        <v>0</v>
      </c>
      <c r="G5968" s="21" t="n">
        <v>0</v>
      </c>
      <c r="H5968" s="21" t="n">
        <v>0</v>
      </c>
      <c r="I5968" s="21" t="n">
        <v>0</v>
      </c>
      <c r="J5968" s="21" t="n">
        <v>0</v>
      </c>
      <c r="K5968" s="21" t="n">
        <v>0</v>
      </c>
      <c r="L5968" s="21" t="n">
        <v>0</v>
      </c>
      <c r="M5968" s="21" t="n">
        <v>0</v>
      </c>
      <c r="N5968" s="21" t="n">
        <v>0</v>
      </c>
      <c r="O5968" s="21" t="n">
        <v>0</v>
      </c>
      <c r="P5968" s="21" t="n">
        <v>0</v>
      </c>
      <c r="Q5968" s="21" t="n">
        <v>0</v>
      </c>
      <c r="R5968" s="21">
        <f>-$B$5337</f>
        <v/>
      </c>
      <c r="S5968" s="21">
        <f>-$B$5338</f>
        <v/>
      </c>
      <c r="T5968" s="21">
        <f>2*$B$5337+$D$5948</f>
        <v/>
      </c>
      <c r="U5968" s="21">
        <f>0</f>
        <v/>
      </c>
      <c r="V5968" s="21">
        <f>-$B$5337</f>
        <v/>
      </c>
      <c r="W5968" s="21">
        <f>$B$5338</f>
        <v/>
      </c>
      <c r="X5968" s="21" t="n">
        <v>0</v>
      </c>
      <c r="Y5968" s="21" t="n">
        <v>0</v>
      </c>
      <c r="Z5968" s="19" t="n"/>
    </row>
    <row r="5969">
      <c r="D5969" s="21" t="n">
        <v>0</v>
      </c>
      <c r="E5969" s="21" t="n">
        <v>0</v>
      </c>
      <c r="F5969" s="21" t="n">
        <v>0</v>
      </c>
      <c r="G5969" s="21" t="n">
        <v>0</v>
      </c>
      <c r="H5969" s="21" t="n">
        <v>0</v>
      </c>
      <c r="I5969" s="21" t="n">
        <v>0</v>
      </c>
      <c r="J5969" s="21" t="n">
        <v>0</v>
      </c>
      <c r="K5969" s="21" t="n">
        <v>0</v>
      </c>
      <c r="L5969" s="21" t="n">
        <v>0</v>
      </c>
      <c r="M5969" s="21" t="n">
        <v>0</v>
      </c>
      <c r="N5969" s="21" t="n">
        <v>0</v>
      </c>
      <c r="O5969" s="21" t="n">
        <v>0</v>
      </c>
      <c r="P5969" s="21" t="n">
        <v>0</v>
      </c>
      <c r="Q5969" s="21" t="n">
        <v>0</v>
      </c>
      <c r="R5969" s="21">
        <f>$B$5338</f>
        <v/>
      </c>
      <c r="S5969" s="21">
        <f>$B$5340</f>
        <v/>
      </c>
      <c r="T5969" s="21">
        <f>0</f>
        <v/>
      </c>
      <c r="U5969" s="21">
        <f>2*$B$5339</f>
        <v/>
      </c>
      <c r="V5969" s="21">
        <f>-$B$5338</f>
        <v/>
      </c>
      <c r="W5969" s="21">
        <f>$B$5340</f>
        <v/>
      </c>
      <c r="X5969" s="21" t="n">
        <v>0</v>
      </c>
      <c r="Y5969" s="21" t="n">
        <v>0</v>
      </c>
      <c r="Z5969" s="19" t="n"/>
    </row>
    <row r="5970">
      <c r="D5970" s="21" t="n">
        <v>0</v>
      </c>
      <c r="E5970" s="21" t="n">
        <v>0</v>
      </c>
      <c r="F5970" s="21" t="n">
        <v>0</v>
      </c>
      <c r="G5970" s="21" t="n">
        <v>0</v>
      </c>
      <c r="H5970" s="21" t="n">
        <v>0</v>
      </c>
      <c r="I5970" s="21" t="n">
        <v>0</v>
      </c>
      <c r="J5970" s="21" t="n">
        <v>0</v>
      </c>
      <c r="K5970" s="21" t="n">
        <v>0</v>
      </c>
      <c r="L5970" s="21" t="n">
        <v>0</v>
      </c>
      <c r="M5970" s="21" t="n">
        <v>0</v>
      </c>
      <c r="N5970" s="21" t="n">
        <v>0</v>
      </c>
      <c r="O5970" s="21" t="n">
        <v>0</v>
      </c>
      <c r="P5970" s="21" t="n">
        <v>0</v>
      </c>
      <c r="Q5970" s="21" t="n">
        <v>0</v>
      </c>
      <c r="R5970" s="21" t="n">
        <v>0</v>
      </c>
      <c r="S5970" s="21" t="n">
        <v>0</v>
      </c>
      <c r="T5970" s="21">
        <f>-$B$5337</f>
        <v/>
      </c>
      <c r="U5970" s="21">
        <f>-$B$5338</f>
        <v/>
      </c>
      <c r="V5970" s="21">
        <f>2*$B$5337+$D$5949</f>
        <v/>
      </c>
      <c r="W5970" s="21">
        <f>0</f>
        <v/>
      </c>
      <c r="X5970" s="21">
        <f>-$B$5337</f>
        <v/>
      </c>
      <c r="Y5970" s="21">
        <f>$B$5338</f>
        <v/>
      </c>
      <c r="Z5970" s="19" t="n"/>
    </row>
    <row r="5971">
      <c r="D5971" s="21" t="n">
        <v>0</v>
      </c>
      <c r="E5971" s="21" t="n">
        <v>0</v>
      </c>
      <c r="F5971" s="21" t="n">
        <v>0</v>
      </c>
      <c r="G5971" s="21" t="n">
        <v>0</v>
      </c>
      <c r="H5971" s="21" t="n">
        <v>0</v>
      </c>
      <c r="I5971" s="21" t="n">
        <v>0</v>
      </c>
      <c r="J5971" s="21" t="n">
        <v>0</v>
      </c>
      <c r="K5971" s="21" t="n">
        <v>0</v>
      </c>
      <c r="L5971" s="21" t="n">
        <v>0</v>
      </c>
      <c r="M5971" s="21" t="n">
        <v>0</v>
      </c>
      <c r="N5971" s="21" t="n">
        <v>0</v>
      </c>
      <c r="O5971" s="21" t="n">
        <v>0</v>
      </c>
      <c r="P5971" s="21" t="n">
        <v>0</v>
      </c>
      <c r="Q5971" s="21" t="n">
        <v>0</v>
      </c>
      <c r="R5971" s="21" t="n">
        <v>0</v>
      </c>
      <c r="S5971" s="21" t="n">
        <v>0</v>
      </c>
      <c r="T5971" s="21">
        <f>$B$5338</f>
        <v/>
      </c>
      <c r="U5971" s="21">
        <f>$B$5340</f>
        <v/>
      </c>
      <c r="V5971" s="21">
        <f>0</f>
        <v/>
      </c>
      <c r="W5971" s="21">
        <f>2*$B$5339</f>
        <v/>
      </c>
      <c r="X5971" s="21">
        <f>-$B$5338</f>
        <v/>
      </c>
      <c r="Y5971" s="21">
        <f>$B$5340</f>
        <v/>
      </c>
      <c r="Z5971" s="19" t="n"/>
    </row>
    <row r="5972">
      <c r="D5972" s="21" t="n">
        <v>0</v>
      </c>
      <c r="E5972" s="21" t="n">
        <v>0</v>
      </c>
      <c r="F5972" s="21" t="n">
        <v>0</v>
      </c>
      <c r="G5972" s="21" t="n">
        <v>0</v>
      </c>
      <c r="H5972" s="21" t="n">
        <v>0</v>
      </c>
      <c r="I5972" s="21" t="n">
        <v>0</v>
      </c>
      <c r="J5972" s="21" t="n">
        <v>0</v>
      </c>
      <c r="K5972" s="21" t="n">
        <v>0</v>
      </c>
      <c r="L5972" s="21" t="n">
        <v>0</v>
      </c>
      <c r="M5972" s="21" t="n">
        <v>0</v>
      </c>
      <c r="N5972" s="21" t="n">
        <v>0</v>
      </c>
      <c r="O5972" s="21" t="n">
        <v>0</v>
      </c>
      <c r="P5972" s="21" t="n">
        <v>0</v>
      </c>
      <c r="Q5972" s="21" t="n">
        <v>0</v>
      </c>
      <c r="R5972" s="21" t="n">
        <v>0</v>
      </c>
      <c r="S5972" s="21" t="n">
        <v>0</v>
      </c>
      <c r="T5972" s="21" t="n">
        <v>0</v>
      </c>
      <c r="U5972" s="21" t="n">
        <v>0</v>
      </c>
      <c r="V5972" s="21">
        <f>-$B$5337</f>
        <v/>
      </c>
      <c r="W5972" s="21">
        <f>-$B$5338</f>
        <v/>
      </c>
      <c r="X5972" s="21">
        <f>$B$5337+$D$5950</f>
        <v/>
      </c>
      <c r="Y5972" s="21">
        <f>-$B$5338</f>
        <v/>
      </c>
      <c r="Z5972" s="19" t="n"/>
    </row>
    <row r="5973">
      <c r="D5973" s="21" t="n">
        <v>0</v>
      </c>
      <c r="E5973" s="21" t="n">
        <v>0</v>
      </c>
      <c r="F5973" s="21" t="n">
        <v>0</v>
      </c>
      <c r="G5973" s="21" t="n">
        <v>0</v>
      </c>
      <c r="H5973" s="21" t="n">
        <v>0</v>
      </c>
      <c r="I5973" s="21" t="n">
        <v>0</v>
      </c>
      <c r="J5973" s="21" t="n">
        <v>0</v>
      </c>
      <c r="K5973" s="21" t="n">
        <v>0</v>
      </c>
      <c r="L5973" s="21" t="n">
        <v>0</v>
      </c>
      <c r="M5973" s="21" t="n">
        <v>0</v>
      </c>
      <c r="N5973" s="21" t="n">
        <v>0</v>
      </c>
      <c r="O5973" s="21" t="n">
        <v>0</v>
      </c>
      <c r="P5973" s="21" t="n">
        <v>0</v>
      </c>
      <c r="Q5973" s="21" t="n">
        <v>0</v>
      </c>
      <c r="R5973" s="21" t="n">
        <v>0</v>
      </c>
      <c r="S5973" s="21" t="n">
        <v>0</v>
      </c>
      <c r="T5973" s="21" t="n">
        <v>0</v>
      </c>
      <c r="U5973" s="21" t="n">
        <v>0</v>
      </c>
      <c r="V5973" s="21">
        <f>$B$5338</f>
        <v/>
      </c>
      <c r="W5973" s="21">
        <f>$B$5340</f>
        <v/>
      </c>
      <c r="X5973" s="21">
        <f>-$B$5338</f>
        <v/>
      </c>
      <c r="Y5973" s="21">
        <f>$B$5339</f>
        <v/>
      </c>
      <c r="Z5973" s="19" t="n"/>
    </row>
    <row r="5975">
      <c r="A5975" s="8" t="inlineStr">
        <is>
          <t>gen 17</t>
        </is>
      </c>
    </row>
    <row r="5976">
      <c r="D5976" s="19">
        <f>IF(ABS(IF(ABS($E$5940)&gt;0.000000001,$E$5940,0.000000001))=0,0,IF($E$5352&lt;=$B$5346,0,IF(ABS(IF(ABS($E$5940)&gt;0.000000001,$E$5940,0.000000001))&gt;=8*$B$5348,$H$5352,0.5*$H$5352*(ABS(IF(ABS($E$5940)&gt;0.000000001,$E$5940,0.000000001))/$B$5348)^(1/3)))/ABS(IF(ABS($E$5940)&gt;0.000000001,$E$5940,0.000000001))*$I$5352)</f>
        <v/>
      </c>
      <c r="E5976" s="19">
        <f>0.5*$E$5940+0.5*$Z$5988</f>
        <v/>
      </c>
      <c r="F5976" s="19">
        <f>$Z$5989</f>
        <v/>
      </c>
    </row>
    <row r="5977">
      <c r="D5977" s="19">
        <f>IF(ABS(IF(ABS($E$5941)&gt;0.000000001,$E$5941,0.000000001))=0,0,IF($E$5353&lt;=$B$5346,0,IF(ABS(IF(ABS($E$5941)&gt;0.000000001,$E$5941,0.000000001))&gt;=8*$B$5348,$H$5353,0.5*$H$5353*(ABS(IF(ABS($E$5941)&gt;0.000000001,$E$5941,0.000000001))/$B$5348)^(1/3)))/ABS(IF(ABS($E$5941)&gt;0.000000001,$E$5941,0.000000001))*$I$5353)</f>
        <v/>
      </c>
      <c r="E5977" s="19">
        <f>0.5*$E$5941+0.5*$Z$5990</f>
        <v/>
      </c>
      <c r="F5977" s="19">
        <f>$Z$5991</f>
        <v/>
      </c>
    </row>
    <row r="5978">
      <c r="D5978" s="19">
        <f>IF(ABS(IF(ABS($E$5942)&gt;0.000000001,$E$5942,0.000000001))=0,0,IF($E$5354&lt;=$B$5346,0,IF(ABS(IF(ABS($E$5942)&gt;0.000000001,$E$5942,0.000000001))&gt;=8*$B$5348,$H$5354,0.5*$H$5354*(ABS(IF(ABS($E$5942)&gt;0.000000001,$E$5942,0.000000001))/$B$5348)^(1/3)))/ABS(IF(ABS($E$5942)&gt;0.000000001,$E$5942,0.000000001))*$I$5354)</f>
        <v/>
      </c>
      <c r="E5978" s="19">
        <f>0.5*$E$5942+0.5*$Z$5992</f>
        <v/>
      </c>
      <c r="F5978" s="19">
        <f>$Z$5993</f>
        <v/>
      </c>
    </row>
    <row r="5979">
      <c r="D5979" s="19">
        <f>IF(ABS(IF(ABS($E$5943)&gt;0.000000001,$E$5943,0.000000001))=0,0,IF($E$5355&lt;=$B$5346,0,IF(ABS(IF(ABS($E$5943)&gt;0.000000001,$E$5943,0.000000001))&gt;=8*$B$5348,$H$5355,0.5*$H$5355*(ABS(IF(ABS($E$5943)&gt;0.000000001,$E$5943,0.000000001))/$B$5348)^(1/3)))/ABS(IF(ABS($E$5943)&gt;0.000000001,$E$5943,0.000000001))*$I$5355)</f>
        <v/>
      </c>
      <c r="E5979" s="19">
        <f>0.5*$E$5943+0.5*$Z$5994</f>
        <v/>
      </c>
      <c r="F5979" s="19">
        <f>$Z$5995</f>
        <v/>
      </c>
    </row>
    <row r="5980">
      <c r="D5980" s="19">
        <f>IF(ABS(IF(ABS($E$5944)&gt;0.000000001,$E$5944,0.000000001))=0,0,IF($E$5356&lt;=$B$5346,0,IF(ABS(IF(ABS($E$5944)&gt;0.000000001,$E$5944,0.000000001))&gt;=8*$B$5348,$H$5356,0.5*$H$5356*(ABS(IF(ABS($E$5944)&gt;0.000000001,$E$5944,0.000000001))/$B$5348)^(1/3)))/ABS(IF(ABS($E$5944)&gt;0.000000001,$E$5944,0.000000001))*$I$5356)</f>
        <v/>
      </c>
      <c r="E5980" s="19">
        <f>0.5*$E$5944+0.5*$Z$5996</f>
        <v/>
      </c>
      <c r="F5980" s="19">
        <f>$Z$5997</f>
        <v/>
      </c>
    </row>
    <row r="5981">
      <c r="D5981" s="19">
        <f>IF(ABS(IF(ABS($E$5945)&gt;0.000000001,$E$5945,0.000000001))=0,0,IF($E$5357&lt;=$B$5346,0,IF(ABS(IF(ABS($E$5945)&gt;0.000000001,$E$5945,0.000000001))&gt;=8*$B$5348,$H$5357,0.5*$H$5357*(ABS(IF(ABS($E$5945)&gt;0.000000001,$E$5945,0.000000001))/$B$5348)^(1/3)))/ABS(IF(ABS($E$5945)&gt;0.000000001,$E$5945,0.000000001))*$I$5357)</f>
        <v/>
      </c>
      <c r="E5981" s="19">
        <f>0.5*$E$5945+0.5*$Z$5998</f>
        <v/>
      </c>
      <c r="F5981" s="19">
        <f>$Z$5999</f>
        <v/>
      </c>
    </row>
    <row r="5982">
      <c r="D5982" s="19">
        <f>IF(ABS(IF(ABS($E$5946)&gt;0.000000001,$E$5946,0.000000001))=0,0,IF($E$5358&lt;=$B$5346,0,IF(ABS(IF(ABS($E$5946)&gt;0.000000001,$E$5946,0.000000001))&gt;=8*$B$5348,$H$5358,0.5*$H$5358*(ABS(IF(ABS($E$5946)&gt;0.000000001,$E$5946,0.000000001))/$B$5348)^(1/3)))/ABS(IF(ABS($E$5946)&gt;0.000000001,$E$5946,0.000000001))*$I$5358)</f>
        <v/>
      </c>
      <c r="E5982" s="19">
        <f>0.5*$E$5946+0.5*$Z$6000</f>
        <v/>
      </c>
      <c r="F5982" s="19">
        <f>$Z$6001</f>
        <v/>
      </c>
    </row>
    <row r="5983">
      <c r="D5983" s="19">
        <f>IF(ABS(IF(ABS($E$5947)&gt;0.000000001,$E$5947,0.000000001))=0,0,IF($E$5359&lt;=$B$5346,0,IF(ABS(IF(ABS($E$5947)&gt;0.000000001,$E$5947,0.000000001))&gt;=8*$B$5348,$H$5359,0.5*$H$5359*(ABS(IF(ABS($E$5947)&gt;0.000000001,$E$5947,0.000000001))/$B$5348)^(1/3)))/ABS(IF(ABS($E$5947)&gt;0.000000001,$E$5947,0.000000001))*$I$5359)</f>
        <v/>
      </c>
      <c r="E5983" s="19">
        <f>0.5*$E$5947+0.5*$Z$6002</f>
        <v/>
      </c>
      <c r="F5983" s="19">
        <f>$Z$6003</f>
        <v/>
      </c>
    </row>
    <row r="5984">
      <c r="D5984" s="19">
        <f>IF(ABS(IF(ABS($E$5948)&gt;0.000000001,$E$5948,0.000000001))=0,0,IF($E$5360&lt;=$B$5346,0,IF(ABS(IF(ABS($E$5948)&gt;0.000000001,$E$5948,0.000000001))&gt;=8*$B$5348,$H$5360,0.5*$H$5360*(ABS(IF(ABS($E$5948)&gt;0.000000001,$E$5948,0.000000001))/$B$5348)^(1/3)))/ABS(IF(ABS($E$5948)&gt;0.000000001,$E$5948,0.000000001))*$I$5360)</f>
        <v/>
      </c>
      <c r="E5984" s="19">
        <f>0.5*$E$5948+0.5*$Z$6004</f>
        <v/>
      </c>
      <c r="F5984" s="19">
        <f>$Z$6005</f>
        <v/>
      </c>
    </row>
    <row r="5985">
      <c r="D5985" s="19">
        <f>IF(ABS(IF(ABS($E$5949)&gt;0.000000001,$E$5949,0.000000001))=0,0,IF($E$5361&lt;=$B$5346,0,IF(ABS(IF(ABS($E$5949)&gt;0.000000001,$E$5949,0.000000001))&gt;=8*$B$5348,$H$5361,0.5*$H$5361*(ABS(IF(ABS($E$5949)&gt;0.000000001,$E$5949,0.000000001))/$B$5348)^(1/3)))/ABS(IF(ABS($E$5949)&gt;0.000000001,$E$5949,0.000000001))*$I$5361)</f>
        <v/>
      </c>
      <c r="E5985" s="19">
        <f>0.5*$E$5949+0.5*$Z$6006</f>
        <v/>
      </c>
      <c r="F5985" s="19">
        <f>$Z$6007</f>
        <v/>
      </c>
    </row>
    <row r="5986">
      <c r="D5986" s="19">
        <f>IF(ABS(IF(ABS($E$5950)&gt;0.000000001,$E$5950,0.000000001))=0,0,IF($E$5362&lt;=$B$5346,0,IF(ABS(IF(ABS($E$5950)&gt;0.000000001,$E$5950,0.000000001))&gt;=8*$B$5348,$H$5362,0.5*$H$5362*(ABS(IF(ABS($E$5950)&gt;0.000000001,$E$5950,0.000000001))/$B$5348)^(1/3)))/ABS(IF(ABS($E$5950)&gt;0.000000001,$E$5950,0.000000001))*$I$5362)</f>
        <v/>
      </c>
      <c r="E5986" s="19">
        <f>0.5*$E$5950+0.5*$Z$6008</f>
        <v/>
      </c>
      <c r="F5986" s="19">
        <f>$Z$6009</f>
        <v/>
      </c>
    </row>
    <row r="5988">
      <c r="D5988" s="21">
        <f>$B$5337+$D$5976</f>
        <v/>
      </c>
      <c r="E5988" s="21">
        <f>$B$5338</f>
        <v/>
      </c>
      <c r="F5988" s="21">
        <f>-$B$5337</f>
        <v/>
      </c>
      <c r="G5988" s="21">
        <f>$B$5338</f>
        <v/>
      </c>
      <c r="H5988" s="21" t="n">
        <v>0</v>
      </c>
      <c r="I5988" s="21" t="n">
        <v>0</v>
      </c>
      <c r="J5988" s="21" t="n">
        <v>0</v>
      </c>
      <c r="K5988" s="21" t="n">
        <v>0</v>
      </c>
      <c r="L5988" s="21" t="n">
        <v>0</v>
      </c>
      <c r="M5988" s="21" t="n">
        <v>0</v>
      </c>
      <c r="N5988" s="21" t="n">
        <v>0</v>
      </c>
      <c r="O5988" s="21" t="n">
        <v>0</v>
      </c>
      <c r="P5988" s="21" t="n">
        <v>0</v>
      </c>
      <c r="Q5988" s="21" t="n">
        <v>0</v>
      </c>
      <c r="R5988" s="21" t="n">
        <v>0</v>
      </c>
      <c r="S5988" s="21" t="n">
        <v>0</v>
      </c>
      <c r="T5988" s="21" t="n">
        <v>0</v>
      </c>
      <c r="U5988" s="21" t="n">
        <v>0</v>
      </c>
      <c r="V5988" s="21" t="n">
        <v>0</v>
      </c>
      <c r="W5988" s="21" t="n">
        <v>0</v>
      </c>
      <c r="X5988" s="21" t="n">
        <v>0</v>
      </c>
      <c r="Y5988" s="21" t="n">
        <v>0</v>
      </c>
      <c r="Z5988" s="19">
        <f t="array" ref="Z5988:Z6009">MMULT(MINVERSE($D$5988:$Y$6009),$D$5364:$D$5385)</f>
        <v/>
      </c>
    </row>
    <row r="5989">
      <c r="D5989" s="21">
        <f>$B$5338</f>
        <v/>
      </c>
      <c r="E5989" s="21">
        <f>$B$5339</f>
        <v/>
      </c>
      <c r="F5989" s="21">
        <f>-$B$5338</f>
        <v/>
      </c>
      <c r="G5989" s="21">
        <f>$B$5340</f>
        <v/>
      </c>
      <c r="H5989" s="21" t="n">
        <v>0</v>
      </c>
      <c r="I5989" s="21" t="n">
        <v>0</v>
      </c>
      <c r="J5989" s="21" t="n">
        <v>0</v>
      </c>
      <c r="K5989" s="21" t="n">
        <v>0</v>
      </c>
      <c r="L5989" s="21" t="n">
        <v>0</v>
      </c>
      <c r="M5989" s="21" t="n">
        <v>0</v>
      </c>
      <c r="N5989" s="21" t="n">
        <v>0</v>
      </c>
      <c r="O5989" s="21" t="n">
        <v>0</v>
      </c>
      <c r="P5989" s="21" t="n">
        <v>0</v>
      </c>
      <c r="Q5989" s="21" t="n">
        <v>0</v>
      </c>
      <c r="R5989" s="21" t="n">
        <v>0</v>
      </c>
      <c r="S5989" s="21" t="n">
        <v>0</v>
      </c>
      <c r="T5989" s="21" t="n">
        <v>0</v>
      </c>
      <c r="U5989" s="21" t="n">
        <v>0</v>
      </c>
      <c r="V5989" s="21" t="n">
        <v>0</v>
      </c>
      <c r="W5989" s="21" t="n">
        <v>0</v>
      </c>
      <c r="X5989" s="21" t="n">
        <v>0</v>
      </c>
      <c r="Y5989" s="21" t="n">
        <v>0</v>
      </c>
      <c r="Z5989" s="19" t="n"/>
    </row>
    <row r="5990">
      <c r="D5990" s="21">
        <f>-$B$5337</f>
        <v/>
      </c>
      <c r="E5990" s="21">
        <f>-$B$5338</f>
        <v/>
      </c>
      <c r="F5990" s="21">
        <f>2*$B$5337+$D$5977</f>
        <v/>
      </c>
      <c r="G5990" s="21">
        <f>0</f>
        <v/>
      </c>
      <c r="H5990" s="21">
        <f>-$B$5337</f>
        <v/>
      </c>
      <c r="I5990" s="21">
        <f>$B$5338</f>
        <v/>
      </c>
      <c r="J5990" s="21" t="n">
        <v>0</v>
      </c>
      <c r="K5990" s="21" t="n">
        <v>0</v>
      </c>
      <c r="L5990" s="21" t="n">
        <v>0</v>
      </c>
      <c r="M5990" s="21" t="n">
        <v>0</v>
      </c>
      <c r="N5990" s="21" t="n">
        <v>0</v>
      </c>
      <c r="O5990" s="21" t="n">
        <v>0</v>
      </c>
      <c r="P5990" s="21" t="n">
        <v>0</v>
      </c>
      <c r="Q5990" s="21" t="n">
        <v>0</v>
      </c>
      <c r="R5990" s="21" t="n">
        <v>0</v>
      </c>
      <c r="S5990" s="21" t="n">
        <v>0</v>
      </c>
      <c r="T5990" s="21" t="n">
        <v>0</v>
      </c>
      <c r="U5990" s="21" t="n">
        <v>0</v>
      </c>
      <c r="V5990" s="21" t="n">
        <v>0</v>
      </c>
      <c r="W5990" s="21" t="n">
        <v>0</v>
      </c>
      <c r="X5990" s="21" t="n">
        <v>0</v>
      </c>
      <c r="Y5990" s="21" t="n">
        <v>0</v>
      </c>
      <c r="Z5990" s="19" t="n"/>
    </row>
    <row r="5991">
      <c r="D5991" s="21">
        <f>$B$5338</f>
        <v/>
      </c>
      <c r="E5991" s="21">
        <f>$B$5340</f>
        <v/>
      </c>
      <c r="F5991" s="21">
        <f>0</f>
        <v/>
      </c>
      <c r="G5991" s="21">
        <f>2*$B$5339</f>
        <v/>
      </c>
      <c r="H5991" s="21">
        <f>-$B$5338</f>
        <v/>
      </c>
      <c r="I5991" s="21">
        <f>$B$5340</f>
        <v/>
      </c>
      <c r="J5991" s="21" t="n">
        <v>0</v>
      </c>
      <c r="K5991" s="21" t="n">
        <v>0</v>
      </c>
      <c r="L5991" s="21" t="n">
        <v>0</v>
      </c>
      <c r="M5991" s="21" t="n">
        <v>0</v>
      </c>
      <c r="N5991" s="21" t="n">
        <v>0</v>
      </c>
      <c r="O5991" s="21" t="n">
        <v>0</v>
      </c>
      <c r="P5991" s="21" t="n">
        <v>0</v>
      </c>
      <c r="Q5991" s="21" t="n">
        <v>0</v>
      </c>
      <c r="R5991" s="21" t="n">
        <v>0</v>
      </c>
      <c r="S5991" s="21" t="n">
        <v>0</v>
      </c>
      <c r="T5991" s="21" t="n">
        <v>0</v>
      </c>
      <c r="U5991" s="21" t="n">
        <v>0</v>
      </c>
      <c r="V5991" s="21" t="n">
        <v>0</v>
      </c>
      <c r="W5991" s="21" t="n">
        <v>0</v>
      </c>
      <c r="X5991" s="21" t="n">
        <v>0</v>
      </c>
      <c r="Y5991" s="21" t="n">
        <v>0</v>
      </c>
      <c r="Z5991" s="19" t="n"/>
    </row>
    <row r="5992">
      <c r="D5992" s="21" t="n">
        <v>0</v>
      </c>
      <c r="E5992" s="21" t="n">
        <v>0</v>
      </c>
      <c r="F5992" s="21">
        <f>-$B$5337</f>
        <v/>
      </c>
      <c r="G5992" s="21">
        <f>-$B$5338</f>
        <v/>
      </c>
      <c r="H5992" s="21">
        <f>2*$B$5337+$D$5978</f>
        <v/>
      </c>
      <c r="I5992" s="21">
        <f>0</f>
        <v/>
      </c>
      <c r="J5992" s="21">
        <f>-$B$5337</f>
        <v/>
      </c>
      <c r="K5992" s="21">
        <f>$B$5338</f>
        <v/>
      </c>
      <c r="L5992" s="21" t="n">
        <v>0</v>
      </c>
      <c r="M5992" s="21" t="n">
        <v>0</v>
      </c>
      <c r="N5992" s="21" t="n">
        <v>0</v>
      </c>
      <c r="O5992" s="21" t="n">
        <v>0</v>
      </c>
      <c r="P5992" s="21" t="n">
        <v>0</v>
      </c>
      <c r="Q5992" s="21" t="n">
        <v>0</v>
      </c>
      <c r="R5992" s="21" t="n">
        <v>0</v>
      </c>
      <c r="S5992" s="21" t="n">
        <v>0</v>
      </c>
      <c r="T5992" s="21" t="n">
        <v>0</v>
      </c>
      <c r="U5992" s="21" t="n">
        <v>0</v>
      </c>
      <c r="V5992" s="21" t="n">
        <v>0</v>
      </c>
      <c r="W5992" s="21" t="n">
        <v>0</v>
      </c>
      <c r="X5992" s="21" t="n">
        <v>0</v>
      </c>
      <c r="Y5992" s="21" t="n">
        <v>0</v>
      </c>
      <c r="Z5992" s="19" t="n"/>
    </row>
    <row r="5993">
      <c r="D5993" s="21" t="n">
        <v>0</v>
      </c>
      <c r="E5993" s="21" t="n">
        <v>0</v>
      </c>
      <c r="F5993" s="21">
        <f>$B$5338</f>
        <v/>
      </c>
      <c r="G5993" s="21">
        <f>$B$5340</f>
        <v/>
      </c>
      <c r="H5993" s="21">
        <f>0</f>
        <v/>
      </c>
      <c r="I5993" s="21">
        <f>2*$B$5339</f>
        <v/>
      </c>
      <c r="J5993" s="21">
        <f>-$B$5338</f>
        <v/>
      </c>
      <c r="K5993" s="21">
        <f>$B$5340</f>
        <v/>
      </c>
      <c r="L5993" s="21" t="n">
        <v>0</v>
      </c>
      <c r="M5993" s="21" t="n">
        <v>0</v>
      </c>
      <c r="N5993" s="21" t="n">
        <v>0</v>
      </c>
      <c r="O5993" s="21" t="n">
        <v>0</v>
      </c>
      <c r="P5993" s="21" t="n">
        <v>0</v>
      </c>
      <c r="Q5993" s="21" t="n">
        <v>0</v>
      </c>
      <c r="R5993" s="21" t="n">
        <v>0</v>
      </c>
      <c r="S5993" s="21" t="n">
        <v>0</v>
      </c>
      <c r="T5993" s="21" t="n">
        <v>0</v>
      </c>
      <c r="U5993" s="21" t="n">
        <v>0</v>
      </c>
      <c r="V5993" s="21" t="n">
        <v>0</v>
      </c>
      <c r="W5993" s="21" t="n">
        <v>0</v>
      </c>
      <c r="X5993" s="21" t="n">
        <v>0</v>
      </c>
      <c r="Y5993" s="21" t="n">
        <v>0</v>
      </c>
      <c r="Z5993" s="19" t="n"/>
    </row>
    <row r="5994">
      <c r="D5994" s="21" t="n">
        <v>0</v>
      </c>
      <c r="E5994" s="21" t="n">
        <v>0</v>
      </c>
      <c r="F5994" s="21" t="n">
        <v>0</v>
      </c>
      <c r="G5994" s="21" t="n">
        <v>0</v>
      </c>
      <c r="H5994" s="21">
        <f>-$B$5337</f>
        <v/>
      </c>
      <c r="I5994" s="21">
        <f>-$B$5338</f>
        <v/>
      </c>
      <c r="J5994" s="21">
        <f>2*$B$5337+$D$5979</f>
        <v/>
      </c>
      <c r="K5994" s="21">
        <f>0</f>
        <v/>
      </c>
      <c r="L5994" s="21">
        <f>-$B$5337</f>
        <v/>
      </c>
      <c r="M5994" s="21">
        <f>$B$5338</f>
        <v/>
      </c>
      <c r="N5994" s="21" t="n">
        <v>0</v>
      </c>
      <c r="O5994" s="21" t="n">
        <v>0</v>
      </c>
      <c r="P5994" s="21" t="n">
        <v>0</v>
      </c>
      <c r="Q5994" s="21" t="n">
        <v>0</v>
      </c>
      <c r="R5994" s="21" t="n">
        <v>0</v>
      </c>
      <c r="S5994" s="21" t="n">
        <v>0</v>
      </c>
      <c r="T5994" s="21" t="n">
        <v>0</v>
      </c>
      <c r="U5994" s="21" t="n">
        <v>0</v>
      </c>
      <c r="V5994" s="21" t="n">
        <v>0</v>
      </c>
      <c r="W5994" s="21" t="n">
        <v>0</v>
      </c>
      <c r="X5994" s="21" t="n">
        <v>0</v>
      </c>
      <c r="Y5994" s="21" t="n">
        <v>0</v>
      </c>
      <c r="Z5994" s="19" t="n"/>
    </row>
    <row r="5995">
      <c r="D5995" s="21" t="n">
        <v>0</v>
      </c>
      <c r="E5995" s="21" t="n">
        <v>0</v>
      </c>
      <c r="F5995" s="21" t="n">
        <v>0</v>
      </c>
      <c r="G5995" s="21" t="n">
        <v>0</v>
      </c>
      <c r="H5995" s="21">
        <f>$B$5338</f>
        <v/>
      </c>
      <c r="I5995" s="21">
        <f>$B$5340</f>
        <v/>
      </c>
      <c r="J5995" s="21">
        <f>0</f>
        <v/>
      </c>
      <c r="K5995" s="21">
        <f>2*$B$5339</f>
        <v/>
      </c>
      <c r="L5995" s="21">
        <f>-$B$5338</f>
        <v/>
      </c>
      <c r="M5995" s="21">
        <f>$B$5340</f>
        <v/>
      </c>
      <c r="N5995" s="21" t="n">
        <v>0</v>
      </c>
      <c r="O5995" s="21" t="n">
        <v>0</v>
      </c>
      <c r="P5995" s="21" t="n">
        <v>0</v>
      </c>
      <c r="Q5995" s="21" t="n">
        <v>0</v>
      </c>
      <c r="R5995" s="21" t="n">
        <v>0</v>
      </c>
      <c r="S5995" s="21" t="n">
        <v>0</v>
      </c>
      <c r="T5995" s="21" t="n">
        <v>0</v>
      </c>
      <c r="U5995" s="21" t="n">
        <v>0</v>
      </c>
      <c r="V5995" s="21" t="n">
        <v>0</v>
      </c>
      <c r="W5995" s="21" t="n">
        <v>0</v>
      </c>
      <c r="X5995" s="21" t="n">
        <v>0</v>
      </c>
      <c r="Y5995" s="21" t="n">
        <v>0</v>
      </c>
      <c r="Z5995" s="19" t="n"/>
    </row>
    <row r="5996">
      <c r="D5996" s="21" t="n">
        <v>0</v>
      </c>
      <c r="E5996" s="21" t="n">
        <v>0</v>
      </c>
      <c r="F5996" s="21" t="n">
        <v>0</v>
      </c>
      <c r="G5996" s="21" t="n">
        <v>0</v>
      </c>
      <c r="H5996" s="21" t="n">
        <v>0</v>
      </c>
      <c r="I5996" s="21" t="n">
        <v>0</v>
      </c>
      <c r="J5996" s="21">
        <f>-$B$5337</f>
        <v/>
      </c>
      <c r="K5996" s="21">
        <f>-$B$5338</f>
        <v/>
      </c>
      <c r="L5996" s="21">
        <f>2*$B$5337+$D$5980</f>
        <v/>
      </c>
      <c r="M5996" s="21">
        <f>0</f>
        <v/>
      </c>
      <c r="N5996" s="21">
        <f>-$B$5337</f>
        <v/>
      </c>
      <c r="O5996" s="21">
        <f>$B$5338</f>
        <v/>
      </c>
      <c r="P5996" s="21" t="n">
        <v>0</v>
      </c>
      <c r="Q5996" s="21" t="n">
        <v>0</v>
      </c>
      <c r="R5996" s="21" t="n">
        <v>0</v>
      </c>
      <c r="S5996" s="21" t="n">
        <v>0</v>
      </c>
      <c r="T5996" s="21" t="n">
        <v>0</v>
      </c>
      <c r="U5996" s="21" t="n">
        <v>0</v>
      </c>
      <c r="V5996" s="21" t="n">
        <v>0</v>
      </c>
      <c r="W5996" s="21" t="n">
        <v>0</v>
      </c>
      <c r="X5996" s="21" t="n">
        <v>0</v>
      </c>
      <c r="Y5996" s="21" t="n">
        <v>0</v>
      </c>
      <c r="Z5996" s="19" t="n"/>
    </row>
    <row r="5997">
      <c r="D5997" s="21" t="n">
        <v>0</v>
      </c>
      <c r="E5997" s="21" t="n">
        <v>0</v>
      </c>
      <c r="F5997" s="21" t="n">
        <v>0</v>
      </c>
      <c r="G5997" s="21" t="n">
        <v>0</v>
      </c>
      <c r="H5997" s="21" t="n">
        <v>0</v>
      </c>
      <c r="I5997" s="21" t="n">
        <v>0</v>
      </c>
      <c r="J5997" s="21">
        <f>$B$5338</f>
        <v/>
      </c>
      <c r="K5997" s="21">
        <f>$B$5340</f>
        <v/>
      </c>
      <c r="L5997" s="21">
        <f>0</f>
        <v/>
      </c>
      <c r="M5997" s="21">
        <f>2*$B$5339</f>
        <v/>
      </c>
      <c r="N5997" s="21">
        <f>-$B$5338</f>
        <v/>
      </c>
      <c r="O5997" s="21">
        <f>$B$5340</f>
        <v/>
      </c>
      <c r="P5997" s="21" t="n">
        <v>0</v>
      </c>
      <c r="Q5997" s="21" t="n">
        <v>0</v>
      </c>
      <c r="R5997" s="21" t="n">
        <v>0</v>
      </c>
      <c r="S5997" s="21" t="n">
        <v>0</v>
      </c>
      <c r="T5997" s="21" t="n">
        <v>0</v>
      </c>
      <c r="U5997" s="21" t="n">
        <v>0</v>
      </c>
      <c r="V5997" s="21" t="n">
        <v>0</v>
      </c>
      <c r="W5997" s="21" t="n">
        <v>0</v>
      </c>
      <c r="X5997" s="21" t="n">
        <v>0</v>
      </c>
      <c r="Y5997" s="21" t="n">
        <v>0</v>
      </c>
      <c r="Z5997" s="19" t="n"/>
    </row>
    <row r="5998">
      <c r="D5998" s="21" t="n">
        <v>0</v>
      </c>
      <c r="E5998" s="21" t="n">
        <v>0</v>
      </c>
      <c r="F5998" s="21" t="n">
        <v>0</v>
      </c>
      <c r="G5998" s="21" t="n">
        <v>0</v>
      </c>
      <c r="H5998" s="21" t="n">
        <v>0</v>
      </c>
      <c r="I5998" s="21" t="n">
        <v>0</v>
      </c>
      <c r="J5998" s="21" t="n">
        <v>0</v>
      </c>
      <c r="K5998" s="21" t="n">
        <v>0</v>
      </c>
      <c r="L5998" s="21">
        <f>-$B$5337</f>
        <v/>
      </c>
      <c r="M5998" s="21">
        <f>-$B$5338</f>
        <v/>
      </c>
      <c r="N5998" s="21">
        <f>2*$B$5337+$D$5981</f>
        <v/>
      </c>
      <c r="O5998" s="21">
        <f>0</f>
        <v/>
      </c>
      <c r="P5998" s="21">
        <f>-$B$5337</f>
        <v/>
      </c>
      <c r="Q5998" s="21">
        <f>$B$5338</f>
        <v/>
      </c>
      <c r="R5998" s="21" t="n">
        <v>0</v>
      </c>
      <c r="S5998" s="21" t="n">
        <v>0</v>
      </c>
      <c r="T5998" s="21" t="n">
        <v>0</v>
      </c>
      <c r="U5998" s="21" t="n">
        <v>0</v>
      </c>
      <c r="V5998" s="21" t="n">
        <v>0</v>
      </c>
      <c r="W5998" s="21" t="n">
        <v>0</v>
      </c>
      <c r="X5998" s="21" t="n">
        <v>0</v>
      </c>
      <c r="Y5998" s="21" t="n">
        <v>0</v>
      </c>
      <c r="Z5998" s="19" t="n"/>
    </row>
    <row r="5999">
      <c r="D5999" s="21" t="n">
        <v>0</v>
      </c>
      <c r="E5999" s="21" t="n">
        <v>0</v>
      </c>
      <c r="F5999" s="21" t="n">
        <v>0</v>
      </c>
      <c r="G5999" s="21" t="n">
        <v>0</v>
      </c>
      <c r="H5999" s="21" t="n">
        <v>0</v>
      </c>
      <c r="I5999" s="21" t="n">
        <v>0</v>
      </c>
      <c r="J5999" s="21" t="n">
        <v>0</v>
      </c>
      <c r="K5999" s="21" t="n">
        <v>0</v>
      </c>
      <c r="L5999" s="21">
        <f>$B$5338</f>
        <v/>
      </c>
      <c r="M5999" s="21">
        <f>$B$5340</f>
        <v/>
      </c>
      <c r="N5999" s="21">
        <f>0</f>
        <v/>
      </c>
      <c r="O5999" s="21">
        <f>2*$B$5339</f>
        <v/>
      </c>
      <c r="P5999" s="21">
        <f>-$B$5338</f>
        <v/>
      </c>
      <c r="Q5999" s="21">
        <f>$B$5340</f>
        <v/>
      </c>
      <c r="R5999" s="21" t="n">
        <v>0</v>
      </c>
      <c r="S5999" s="21" t="n">
        <v>0</v>
      </c>
      <c r="T5999" s="21" t="n">
        <v>0</v>
      </c>
      <c r="U5999" s="21" t="n">
        <v>0</v>
      </c>
      <c r="V5999" s="21" t="n">
        <v>0</v>
      </c>
      <c r="W5999" s="21" t="n">
        <v>0</v>
      </c>
      <c r="X5999" s="21" t="n">
        <v>0</v>
      </c>
      <c r="Y5999" s="21" t="n">
        <v>0</v>
      </c>
      <c r="Z5999" s="19" t="n"/>
    </row>
    <row r="6000">
      <c r="D6000" s="21" t="n">
        <v>0</v>
      </c>
      <c r="E6000" s="21" t="n">
        <v>0</v>
      </c>
      <c r="F6000" s="21" t="n">
        <v>0</v>
      </c>
      <c r="G6000" s="21" t="n">
        <v>0</v>
      </c>
      <c r="H6000" s="21" t="n">
        <v>0</v>
      </c>
      <c r="I6000" s="21" t="n">
        <v>0</v>
      </c>
      <c r="J6000" s="21" t="n">
        <v>0</v>
      </c>
      <c r="K6000" s="21" t="n">
        <v>0</v>
      </c>
      <c r="L6000" s="21" t="n">
        <v>0</v>
      </c>
      <c r="M6000" s="21" t="n">
        <v>0</v>
      </c>
      <c r="N6000" s="21">
        <f>-$B$5337</f>
        <v/>
      </c>
      <c r="O6000" s="21">
        <f>-$B$5338</f>
        <v/>
      </c>
      <c r="P6000" s="21">
        <f>2*$B$5337+$D$5982</f>
        <v/>
      </c>
      <c r="Q6000" s="21">
        <f>0</f>
        <v/>
      </c>
      <c r="R6000" s="21">
        <f>-$B$5337</f>
        <v/>
      </c>
      <c r="S6000" s="21">
        <f>$B$5338</f>
        <v/>
      </c>
      <c r="T6000" s="21" t="n">
        <v>0</v>
      </c>
      <c r="U6000" s="21" t="n">
        <v>0</v>
      </c>
      <c r="V6000" s="21" t="n">
        <v>0</v>
      </c>
      <c r="W6000" s="21" t="n">
        <v>0</v>
      </c>
      <c r="X6000" s="21" t="n">
        <v>0</v>
      </c>
      <c r="Y6000" s="21" t="n">
        <v>0</v>
      </c>
      <c r="Z6000" s="19" t="n"/>
    </row>
    <row r="6001">
      <c r="D6001" s="21" t="n">
        <v>0</v>
      </c>
      <c r="E6001" s="21" t="n">
        <v>0</v>
      </c>
      <c r="F6001" s="21" t="n">
        <v>0</v>
      </c>
      <c r="G6001" s="21" t="n">
        <v>0</v>
      </c>
      <c r="H6001" s="21" t="n">
        <v>0</v>
      </c>
      <c r="I6001" s="21" t="n">
        <v>0</v>
      </c>
      <c r="J6001" s="21" t="n">
        <v>0</v>
      </c>
      <c r="K6001" s="21" t="n">
        <v>0</v>
      </c>
      <c r="L6001" s="21" t="n">
        <v>0</v>
      </c>
      <c r="M6001" s="21" t="n">
        <v>0</v>
      </c>
      <c r="N6001" s="21">
        <f>$B$5338</f>
        <v/>
      </c>
      <c r="O6001" s="21">
        <f>$B$5340</f>
        <v/>
      </c>
      <c r="P6001" s="21">
        <f>0</f>
        <v/>
      </c>
      <c r="Q6001" s="21">
        <f>2*$B$5339</f>
        <v/>
      </c>
      <c r="R6001" s="21">
        <f>-$B$5338</f>
        <v/>
      </c>
      <c r="S6001" s="21">
        <f>$B$5340</f>
        <v/>
      </c>
      <c r="T6001" s="21" t="n">
        <v>0</v>
      </c>
      <c r="U6001" s="21" t="n">
        <v>0</v>
      </c>
      <c r="V6001" s="21" t="n">
        <v>0</v>
      </c>
      <c r="W6001" s="21" t="n">
        <v>0</v>
      </c>
      <c r="X6001" s="21" t="n">
        <v>0</v>
      </c>
      <c r="Y6001" s="21" t="n">
        <v>0</v>
      </c>
      <c r="Z6001" s="19" t="n"/>
    </row>
    <row r="6002">
      <c r="D6002" s="21" t="n">
        <v>0</v>
      </c>
      <c r="E6002" s="21" t="n">
        <v>0</v>
      </c>
      <c r="F6002" s="21" t="n">
        <v>0</v>
      </c>
      <c r="G6002" s="21" t="n">
        <v>0</v>
      </c>
      <c r="H6002" s="21" t="n">
        <v>0</v>
      </c>
      <c r="I6002" s="21" t="n">
        <v>0</v>
      </c>
      <c r="J6002" s="21" t="n">
        <v>0</v>
      </c>
      <c r="K6002" s="21" t="n">
        <v>0</v>
      </c>
      <c r="L6002" s="21" t="n">
        <v>0</v>
      </c>
      <c r="M6002" s="21" t="n">
        <v>0</v>
      </c>
      <c r="N6002" s="21" t="n">
        <v>0</v>
      </c>
      <c r="O6002" s="21" t="n">
        <v>0</v>
      </c>
      <c r="P6002" s="21">
        <f>-$B$5337</f>
        <v/>
      </c>
      <c r="Q6002" s="21">
        <f>-$B$5338</f>
        <v/>
      </c>
      <c r="R6002" s="21">
        <f>2*$B$5337+$D$5983</f>
        <v/>
      </c>
      <c r="S6002" s="21">
        <f>0</f>
        <v/>
      </c>
      <c r="T6002" s="21">
        <f>-$B$5337</f>
        <v/>
      </c>
      <c r="U6002" s="21">
        <f>$B$5338</f>
        <v/>
      </c>
      <c r="V6002" s="21" t="n">
        <v>0</v>
      </c>
      <c r="W6002" s="21" t="n">
        <v>0</v>
      </c>
      <c r="X6002" s="21" t="n">
        <v>0</v>
      </c>
      <c r="Y6002" s="21" t="n">
        <v>0</v>
      </c>
      <c r="Z6002" s="19" t="n"/>
    </row>
    <row r="6003">
      <c r="D6003" s="21" t="n">
        <v>0</v>
      </c>
      <c r="E6003" s="21" t="n">
        <v>0</v>
      </c>
      <c r="F6003" s="21" t="n">
        <v>0</v>
      </c>
      <c r="G6003" s="21" t="n">
        <v>0</v>
      </c>
      <c r="H6003" s="21" t="n">
        <v>0</v>
      </c>
      <c r="I6003" s="21" t="n">
        <v>0</v>
      </c>
      <c r="J6003" s="21" t="n">
        <v>0</v>
      </c>
      <c r="K6003" s="21" t="n">
        <v>0</v>
      </c>
      <c r="L6003" s="21" t="n">
        <v>0</v>
      </c>
      <c r="M6003" s="21" t="n">
        <v>0</v>
      </c>
      <c r="N6003" s="21" t="n">
        <v>0</v>
      </c>
      <c r="O6003" s="21" t="n">
        <v>0</v>
      </c>
      <c r="P6003" s="21">
        <f>$B$5338</f>
        <v/>
      </c>
      <c r="Q6003" s="21">
        <f>$B$5340</f>
        <v/>
      </c>
      <c r="R6003" s="21">
        <f>0</f>
        <v/>
      </c>
      <c r="S6003" s="21">
        <f>2*$B$5339</f>
        <v/>
      </c>
      <c r="T6003" s="21">
        <f>-$B$5338</f>
        <v/>
      </c>
      <c r="U6003" s="21">
        <f>$B$5340</f>
        <v/>
      </c>
      <c r="V6003" s="21" t="n">
        <v>0</v>
      </c>
      <c r="W6003" s="21" t="n">
        <v>0</v>
      </c>
      <c r="X6003" s="21" t="n">
        <v>0</v>
      </c>
      <c r="Y6003" s="21" t="n">
        <v>0</v>
      </c>
      <c r="Z6003" s="19" t="n"/>
    </row>
    <row r="6004">
      <c r="D6004" s="21" t="n">
        <v>0</v>
      </c>
      <c r="E6004" s="21" t="n">
        <v>0</v>
      </c>
      <c r="F6004" s="21" t="n">
        <v>0</v>
      </c>
      <c r="G6004" s="21" t="n">
        <v>0</v>
      </c>
      <c r="H6004" s="21" t="n">
        <v>0</v>
      </c>
      <c r="I6004" s="21" t="n">
        <v>0</v>
      </c>
      <c r="J6004" s="21" t="n">
        <v>0</v>
      </c>
      <c r="K6004" s="21" t="n">
        <v>0</v>
      </c>
      <c r="L6004" s="21" t="n">
        <v>0</v>
      </c>
      <c r="M6004" s="21" t="n">
        <v>0</v>
      </c>
      <c r="N6004" s="21" t="n">
        <v>0</v>
      </c>
      <c r="O6004" s="21" t="n">
        <v>0</v>
      </c>
      <c r="P6004" s="21" t="n">
        <v>0</v>
      </c>
      <c r="Q6004" s="21" t="n">
        <v>0</v>
      </c>
      <c r="R6004" s="21">
        <f>-$B$5337</f>
        <v/>
      </c>
      <c r="S6004" s="21">
        <f>-$B$5338</f>
        <v/>
      </c>
      <c r="T6004" s="21">
        <f>2*$B$5337+$D$5984</f>
        <v/>
      </c>
      <c r="U6004" s="21">
        <f>0</f>
        <v/>
      </c>
      <c r="V6004" s="21">
        <f>-$B$5337</f>
        <v/>
      </c>
      <c r="W6004" s="21">
        <f>$B$5338</f>
        <v/>
      </c>
      <c r="X6004" s="21" t="n">
        <v>0</v>
      </c>
      <c r="Y6004" s="21" t="n">
        <v>0</v>
      </c>
      <c r="Z6004" s="19" t="n"/>
    </row>
    <row r="6005">
      <c r="D6005" s="21" t="n">
        <v>0</v>
      </c>
      <c r="E6005" s="21" t="n">
        <v>0</v>
      </c>
      <c r="F6005" s="21" t="n">
        <v>0</v>
      </c>
      <c r="G6005" s="21" t="n">
        <v>0</v>
      </c>
      <c r="H6005" s="21" t="n">
        <v>0</v>
      </c>
      <c r="I6005" s="21" t="n">
        <v>0</v>
      </c>
      <c r="J6005" s="21" t="n">
        <v>0</v>
      </c>
      <c r="K6005" s="21" t="n">
        <v>0</v>
      </c>
      <c r="L6005" s="21" t="n">
        <v>0</v>
      </c>
      <c r="M6005" s="21" t="n">
        <v>0</v>
      </c>
      <c r="N6005" s="21" t="n">
        <v>0</v>
      </c>
      <c r="O6005" s="21" t="n">
        <v>0</v>
      </c>
      <c r="P6005" s="21" t="n">
        <v>0</v>
      </c>
      <c r="Q6005" s="21" t="n">
        <v>0</v>
      </c>
      <c r="R6005" s="21">
        <f>$B$5338</f>
        <v/>
      </c>
      <c r="S6005" s="21">
        <f>$B$5340</f>
        <v/>
      </c>
      <c r="T6005" s="21">
        <f>0</f>
        <v/>
      </c>
      <c r="U6005" s="21">
        <f>2*$B$5339</f>
        <v/>
      </c>
      <c r="V6005" s="21">
        <f>-$B$5338</f>
        <v/>
      </c>
      <c r="W6005" s="21">
        <f>$B$5340</f>
        <v/>
      </c>
      <c r="X6005" s="21" t="n">
        <v>0</v>
      </c>
      <c r="Y6005" s="21" t="n">
        <v>0</v>
      </c>
      <c r="Z6005" s="19" t="n"/>
    </row>
    <row r="6006">
      <c r="D6006" s="21" t="n">
        <v>0</v>
      </c>
      <c r="E6006" s="21" t="n">
        <v>0</v>
      </c>
      <c r="F6006" s="21" t="n">
        <v>0</v>
      </c>
      <c r="G6006" s="21" t="n">
        <v>0</v>
      </c>
      <c r="H6006" s="21" t="n">
        <v>0</v>
      </c>
      <c r="I6006" s="21" t="n">
        <v>0</v>
      </c>
      <c r="J6006" s="21" t="n">
        <v>0</v>
      </c>
      <c r="K6006" s="21" t="n">
        <v>0</v>
      </c>
      <c r="L6006" s="21" t="n">
        <v>0</v>
      </c>
      <c r="M6006" s="21" t="n">
        <v>0</v>
      </c>
      <c r="N6006" s="21" t="n">
        <v>0</v>
      </c>
      <c r="O6006" s="21" t="n">
        <v>0</v>
      </c>
      <c r="P6006" s="21" t="n">
        <v>0</v>
      </c>
      <c r="Q6006" s="21" t="n">
        <v>0</v>
      </c>
      <c r="R6006" s="21" t="n">
        <v>0</v>
      </c>
      <c r="S6006" s="21" t="n">
        <v>0</v>
      </c>
      <c r="T6006" s="21">
        <f>-$B$5337</f>
        <v/>
      </c>
      <c r="U6006" s="21">
        <f>-$B$5338</f>
        <v/>
      </c>
      <c r="V6006" s="21">
        <f>2*$B$5337+$D$5985</f>
        <v/>
      </c>
      <c r="W6006" s="21">
        <f>0</f>
        <v/>
      </c>
      <c r="X6006" s="21">
        <f>-$B$5337</f>
        <v/>
      </c>
      <c r="Y6006" s="21">
        <f>$B$5338</f>
        <v/>
      </c>
      <c r="Z6006" s="19" t="n"/>
    </row>
    <row r="6007">
      <c r="D6007" s="21" t="n">
        <v>0</v>
      </c>
      <c r="E6007" s="21" t="n">
        <v>0</v>
      </c>
      <c r="F6007" s="21" t="n">
        <v>0</v>
      </c>
      <c r="G6007" s="21" t="n">
        <v>0</v>
      </c>
      <c r="H6007" s="21" t="n">
        <v>0</v>
      </c>
      <c r="I6007" s="21" t="n">
        <v>0</v>
      </c>
      <c r="J6007" s="21" t="n">
        <v>0</v>
      </c>
      <c r="K6007" s="21" t="n">
        <v>0</v>
      </c>
      <c r="L6007" s="21" t="n">
        <v>0</v>
      </c>
      <c r="M6007" s="21" t="n">
        <v>0</v>
      </c>
      <c r="N6007" s="21" t="n">
        <v>0</v>
      </c>
      <c r="O6007" s="21" t="n">
        <v>0</v>
      </c>
      <c r="P6007" s="21" t="n">
        <v>0</v>
      </c>
      <c r="Q6007" s="21" t="n">
        <v>0</v>
      </c>
      <c r="R6007" s="21" t="n">
        <v>0</v>
      </c>
      <c r="S6007" s="21" t="n">
        <v>0</v>
      </c>
      <c r="T6007" s="21">
        <f>$B$5338</f>
        <v/>
      </c>
      <c r="U6007" s="21">
        <f>$B$5340</f>
        <v/>
      </c>
      <c r="V6007" s="21">
        <f>0</f>
        <v/>
      </c>
      <c r="W6007" s="21">
        <f>2*$B$5339</f>
        <v/>
      </c>
      <c r="X6007" s="21">
        <f>-$B$5338</f>
        <v/>
      </c>
      <c r="Y6007" s="21">
        <f>$B$5340</f>
        <v/>
      </c>
      <c r="Z6007" s="19" t="n"/>
    </row>
    <row r="6008">
      <c r="D6008" s="21" t="n">
        <v>0</v>
      </c>
      <c r="E6008" s="21" t="n">
        <v>0</v>
      </c>
      <c r="F6008" s="21" t="n">
        <v>0</v>
      </c>
      <c r="G6008" s="21" t="n">
        <v>0</v>
      </c>
      <c r="H6008" s="21" t="n">
        <v>0</v>
      </c>
      <c r="I6008" s="21" t="n">
        <v>0</v>
      </c>
      <c r="J6008" s="21" t="n">
        <v>0</v>
      </c>
      <c r="K6008" s="21" t="n">
        <v>0</v>
      </c>
      <c r="L6008" s="21" t="n">
        <v>0</v>
      </c>
      <c r="M6008" s="21" t="n">
        <v>0</v>
      </c>
      <c r="N6008" s="21" t="n">
        <v>0</v>
      </c>
      <c r="O6008" s="21" t="n">
        <v>0</v>
      </c>
      <c r="P6008" s="21" t="n">
        <v>0</v>
      </c>
      <c r="Q6008" s="21" t="n">
        <v>0</v>
      </c>
      <c r="R6008" s="21" t="n">
        <v>0</v>
      </c>
      <c r="S6008" s="21" t="n">
        <v>0</v>
      </c>
      <c r="T6008" s="21" t="n">
        <v>0</v>
      </c>
      <c r="U6008" s="21" t="n">
        <v>0</v>
      </c>
      <c r="V6008" s="21">
        <f>-$B$5337</f>
        <v/>
      </c>
      <c r="W6008" s="21">
        <f>-$B$5338</f>
        <v/>
      </c>
      <c r="X6008" s="21">
        <f>$B$5337+$D$5986</f>
        <v/>
      </c>
      <c r="Y6008" s="21">
        <f>-$B$5338</f>
        <v/>
      </c>
      <c r="Z6008" s="19" t="n"/>
    </row>
    <row r="6009">
      <c r="D6009" s="21" t="n">
        <v>0</v>
      </c>
      <c r="E6009" s="21" t="n">
        <v>0</v>
      </c>
      <c r="F6009" s="21" t="n">
        <v>0</v>
      </c>
      <c r="G6009" s="21" t="n">
        <v>0</v>
      </c>
      <c r="H6009" s="21" t="n">
        <v>0</v>
      </c>
      <c r="I6009" s="21" t="n">
        <v>0</v>
      </c>
      <c r="J6009" s="21" t="n">
        <v>0</v>
      </c>
      <c r="K6009" s="21" t="n">
        <v>0</v>
      </c>
      <c r="L6009" s="21" t="n">
        <v>0</v>
      </c>
      <c r="M6009" s="21" t="n">
        <v>0</v>
      </c>
      <c r="N6009" s="21" t="n">
        <v>0</v>
      </c>
      <c r="O6009" s="21" t="n">
        <v>0</v>
      </c>
      <c r="P6009" s="21" t="n">
        <v>0</v>
      </c>
      <c r="Q6009" s="21" t="n">
        <v>0</v>
      </c>
      <c r="R6009" s="21" t="n">
        <v>0</v>
      </c>
      <c r="S6009" s="21" t="n">
        <v>0</v>
      </c>
      <c r="T6009" s="21" t="n">
        <v>0</v>
      </c>
      <c r="U6009" s="21" t="n">
        <v>0</v>
      </c>
      <c r="V6009" s="21">
        <f>$B$5338</f>
        <v/>
      </c>
      <c r="W6009" s="21">
        <f>$B$5340</f>
        <v/>
      </c>
      <c r="X6009" s="21">
        <f>-$B$5338</f>
        <v/>
      </c>
      <c r="Y6009" s="21">
        <f>$B$5339</f>
        <v/>
      </c>
      <c r="Z6009" s="19" t="n"/>
    </row>
    <row r="6011">
      <c r="A6011" s="8" t="inlineStr">
        <is>
          <t>gen 18</t>
        </is>
      </c>
    </row>
    <row r="6012">
      <c r="D6012" s="19">
        <f>IF(ABS(IF(ABS($E$5976)&gt;0.000000001,$E$5976,0.000000001))=0,0,IF($E$5352&lt;=$B$5346,0,IF(ABS(IF(ABS($E$5976)&gt;0.000000001,$E$5976,0.000000001))&gt;=8*$B$5348,$H$5352,0.5*$H$5352*(ABS(IF(ABS($E$5976)&gt;0.000000001,$E$5976,0.000000001))/$B$5348)^(1/3)))/ABS(IF(ABS($E$5976)&gt;0.000000001,$E$5976,0.000000001))*$I$5352)</f>
        <v/>
      </c>
      <c r="E6012" s="19">
        <f>0.5*$E$5976+0.5*$Z$6024</f>
        <v/>
      </c>
      <c r="F6012" s="19">
        <f>$Z$6025</f>
        <v/>
      </c>
    </row>
    <row r="6013">
      <c r="D6013" s="19">
        <f>IF(ABS(IF(ABS($E$5977)&gt;0.000000001,$E$5977,0.000000001))=0,0,IF($E$5353&lt;=$B$5346,0,IF(ABS(IF(ABS($E$5977)&gt;0.000000001,$E$5977,0.000000001))&gt;=8*$B$5348,$H$5353,0.5*$H$5353*(ABS(IF(ABS($E$5977)&gt;0.000000001,$E$5977,0.000000001))/$B$5348)^(1/3)))/ABS(IF(ABS($E$5977)&gt;0.000000001,$E$5977,0.000000001))*$I$5353)</f>
        <v/>
      </c>
      <c r="E6013" s="19">
        <f>0.5*$E$5977+0.5*$Z$6026</f>
        <v/>
      </c>
      <c r="F6013" s="19">
        <f>$Z$6027</f>
        <v/>
      </c>
    </row>
    <row r="6014">
      <c r="D6014" s="19">
        <f>IF(ABS(IF(ABS($E$5978)&gt;0.000000001,$E$5978,0.000000001))=0,0,IF($E$5354&lt;=$B$5346,0,IF(ABS(IF(ABS($E$5978)&gt;0.000000001,$E$5978,0.000000001))&gt;=8*$B$5348,$H$5354,0.5*$H$5354*(ABS(IF(ABS($E$5978)&gt;0.000000001,$E$5978,0.000000001))/$B$5348)^(1/3)))/ABS(IF(ABS($E$5978)&gt;0.000000001,$E$5978,0.000000001))*$I$5354)</f>
        <v/>
      </c>
      <c r="E6014" s="19">
        <f>0.5*$E$5978+0.5*$Z$6028</f>
        <v/>
      </c>
      <c r="F6014" s="19">
        <f>$Z$6029</f>
        <v/>
      </c>
    </row>
    <row r="6015">
      <c r="D6015" s="19">
        <f>IF(ABS(IF(ABS($E$5979)&gt;0.000000001,$E$5979,0.000000001))=0,0,IF($E$5355&lt;=$B$5346,0,IF(ABS(IF(ABS($E$5979)&gt;0.000000001,$E$5979,0.000000001))&gt;=8*$B$5348,$H$5355,0.5*$H$5355*(ABS(IF(ABS($E$5979)&gt;0.000000001,$E$5979,0.000000001))/$B$5348)^(1/3)))/ABS(IF(ABS($E$5979)&gt;0.000000001,$E$5979,0.000000001))*$I$5355)</f>
        <v/>
      </c>
      <c r="E6015" s="19">
        <f>0.5*$E$5979+0.5*$Z$6030</f>
        <v/>
      </c>
      <c r="F6015" s="19">
        <f>$Z$6031</f>
        <v/>
      </c>
    </row>
    <row r="6016">
      <c r="D6016" s="19">
        <f>IF(ABS(IF(ABS($E$5980)&gt;0.000000001,$E$5980,0.000000001))=0,0,IF($E$5356&lt;=$B$5346,0,IF(ABS(IF(ABS($E$5980)&gt;0.000000001,$E$5980,0.000000001))&gt;=8*$B$5348,$H$5356,0.5*$H$5356*(ABS(IF(ABS($E$5980)&gt;0.000000001,$E$5980,0.000000001))/$B$5348)^(1/3)))/ABS(IF(ABS($E$5980)&gt;0.000000001,$E$5980,0.000000001))*$I$5356)</f>
        <v/>
      </c>
      <c r="E6016" s="19">
        <f>0.5*$E$5980+0.5*$Z$6032</f>
        <v/>
      </c>
      <c r="F6016" s="19">
        <f>$Z$6033</f>
        <v/>
      </c>
    </row>
    <row r="6017">
      <c r="D6017" s="19">
        <f>IF(ABS(IF(ABS($E$5981)&gt;0.000000001,$E$5981,0.000000001))=0,0,IF($E$5357&lt;=$B$5346,0,IF(ABS(IF(ABS($E$5981)&gt;0.000000001,$E$5981,0.000000001))&gt;=8*$B$5348,$H$5357,0.5*$H$5357*(ABS(IF(ABS($E$5981)&gt;0.000000001,$E$5981,0.000000001))/$B$5348)^(1/3)))/ABS(IF(ABS($E$5981)&gt;0.000000001,$E$5981,0.000000001))*$I$5357)</f>
        <v/>
      </c>
      <c r="E6017" s="19">
        <f>0.5*$E$5981+0.5*$Z$6034</f>
        <v/>
      </c>
      <c r="F6017" s="19">
        <f>$Z$6035</f>
        <v/>
      </c>
    </row>
    <row r="6018">
      <c r="D6018" s="19">
        <f>IF(ABS(IF(ABS($E$5982)&gt;0.000000001,$E$5982,0.000000001))=0,0,IF($E$5358&lt;=$B$5346,0,IF(ABS(IF(ABS($E$5982)&gt;0.000000001,$E$5982,0.000000001))&gt;=8*$B$5348,$H$5358,0.5*$H$5358*(ABS(IF(ABS($E$5982)&gt;0.000000001,$E$5982,0.000000001))/$B$5348)^(1/3)))/ABS(IF(ABS($E$5982)&gt;0.000000001,$E$5982,0.000000001))*$I$5358)</f>
        <v/>
      </c>
      <c r="E6018" s="19">
        <f>0.5*$E$5982+0.5*$Z$6036</f>
        <v/>
      </c>
      <c r="F6018" s="19">
        <f>$Z$6037</f>
        <v/>
      </c>
    </row>
    <row r="6019">
      <c r="D6019" s="19">
        <f>IF(ABS(IF(ABS($E$5983)&gt;0.000000001,$E$5983,0.000000001))=0,0,IF($E$5359&lt;=$B$5346,0,IF(ABS(IF(ABS($E$5983)&gt;0.000000001,$E$5983,0.000000001))&gt;=8*$B$5348,$H$5359,0.5*$H$5359*(ABS(IF(ABS($E$5983)&gt;0.000000001,$E$5983,0.000000001))/$B$5348)^(1/3)))/ABS(IF(ABS($E$5983)&gt;0.000000001,$E$5983,0.000000001))*$I$5359)</f>
        <v/>
      </c>
      <c r="E6019" s="19">
        <f>0.5*$E$5983+0.5*$Z$6038</f>
        <v/>
      </c>
      <c r="F6019" s="19">
        <f>$Z$6039</f>
        <v/>
      </c>
    </row>
    <row r="6020">
      <c r="D6020" s="19">
        <f>IF(ABS(IF(ABS($E$5984)&gt;0.000000001,$E$5984,0.000000001))=0,0,IF($E$5360&lt;=$B$5346,0,IF(ABS(IF(ABS($E$5984)&gt;0.000000001,$E$5984,0.000000001))&gt;=8*$B$5348,$H$5360,0.5*$H$5360*(ABS(IF(ABS($E$5984)&gt;0.000000001,$E$5984,0.000000001))/$B$5348)^(1/3)))/ABS(IF(ABS($E$5984)&gt;0.000000001,$E$5984,0.000000001))*$I$5360)</f>
        <v/>
      </c>
      <c r="E6020" s="19">
        <f>0.5*$E$5984+0.5*$Z$6040</f>
        <v/>
      </c>
      <c r="F6020" s="19">
        <f>$Z$6041</f>
        <v/>
      </c>
    </row>
    <row r="6021">
      <c r="D6021" s="19">
        <f>IF(ABS(IF(ABS($E$5985)&gt;0.000000001,$E$5985,0.000000001))=0,0,IF($E$5361&lt;=$B$5346,0,IF(ABS(IF(ABS($E$5985)&gt;0.000000001,$E$5985,0.000000001))&gt;=8*$B$5348,$H$5361,0.5*$H$5361*(ABS(IF(ABS($E$5985)&gt;0.000000001,$E$5985,0.000000001))/$B$5348)^(1/3)))/ABS(IF(ABS($E$5985)&gt;0.000000001,$E$5985,0.000000001))*$I$5361)</f>
        <v/>
      </c>
      <c r="E6021" s="19">
        <f>0.5*$E$5985+0.5*$Z$6042</f>
        <v/>
      </c>
      <c r="F6021" s="19">
        <f>$Z$6043</f>
        <v/>
      </c>
    </row>
    <row r="6022">
      <c r="D6022" s="19">
        <f>IF(ABS(IF(ABS($E$5986)&gt;0.000000001,$E$5986,0.000000001))=0,0,IF($E$5362&lt;=$B$5346,0,IF(ABS(IF(ABS($E$5986)&gt;0.000000001,$E$5986,0.000000001))&gt;=8*$B$5348,$H$5362,0.5*$H$5362*(ABS(IF(ABS($E$5986)&gt;0.000000001,$E$5986,0.000000001))/$B$5348)^(1/3)))/ABS(IF(ABS($E$5986)&gt;0.000000001,$E$5986,0.000000001))*$I$5362)</f>
        <v/>
      </c>
      <c r="E6022" s="19">
        <f>0.5*$E$5986+0.5*$Z$6044</f>
        <v/>
      </c>
      <c r="F6022" s="19">
        <f>$Z$6045</f>
        <v/>
      </c>
    </row>
    <row r="6024">
      <c r="D6024" s="21">
        <f>$B$5337+$D$6012</f>
        <v/>
      </c>
      <c r="E6024" s="21">
        <f>$B$5338</f>
        <v/>
      </c>
      <c r="F6024" s="21">
        <f>-$B$5337</f>
        <v/>
      </c>
      <c r="G6024" s="21">
        <f>$B$5338</f>
        <v/>
      </c>
      <c r="H6024" s="21" t="n">
        <v>0</v>
      </c>
      <c r="I6024" s="21" t="n">
        <v>0</v>
      </c>
      <c r="J6024" s="21" t="n">
        <v>0</v>
      </c>
      <c r="K6024" s="21" t="n">
        <v>0</v>
      </c>
      <c r="L6024" s="21" t="n">
        <v>0</v>
      </c>
      <c r="M6024" s="21" t="n">
        <v>0</v>
      </c>
      <c r="N6024" s="21" t="n">
        <v>0</v>
      </c>
      <c r="O6024" s="21" t="n">
        <v>0</v>
      </c>
      <c r="P6024" s="21" t="n">
        <v>0</v>
      </c>
      <c r="Q6024" s="21" t="n">
        <v>0</v>
      </c>
      <c r="R6024" s="21" t="n">
        <v>0</v>
      </c>
      <c r="S6024" s="21" t="n">
        <v>0</v>
      </c>
      <c r="T6024" s="21" t="n">
        <v>0</v>
      </c>
      <c r="U6024" s="21" t="n">
        <v>0</v>
      </c>
      <c r="V6024" s="21" t="n">
        <v>0</v>
      </c>
      <c r="W6024" s="21" t="n">
        <v>0</v>
      </c>
      <c r="X6024" s="21" t="n">
        <v>0</v>
      </c>
      <c r="Y6024" s="21" t="n">
        <v>0</v>
      </c>
      <c r="Z6024" s="19">
        <f t="array" ref="Z6024:Z6045">MMULT(MINVERSE($D$6024:$Y$6045),$D$5364:$D$5385)</f>
        <v/>
      </c>
    </row>
    <row r="6025">
      <c r="D6025" s="21">
        <f>$B$5338</f>
        <v/>
      </c>
      <c r="E6025" s="21">
        <f>$B$5339</f>
        <v/>
      </c>
      <c r="F6025" s="21">
        <f>-$B$5338</f>
        <v/>
      </c>
      <c r="G6025" s="21">
        <f>$B$5340</f>
        <v/>
      </c>
      <c r="H6025" s="21" t="n">
        <v>0</v>
      </c>
      <c r="I6025" s="21" t="n">
        <v>0</v>
      </c>
      <c r="J6025" s="21" t="n">
        <v>0</v>
      </c>
      <c r="K6025" s="21" t="n">
        <v>0</v>
      </c>
      <c r="L6025" s="21" t="n">
        <v>0</v>
      </c>
      <c r="M6025" s="21" t="n">
        <v>0</v>
      </c>
      <c r="N6025" s="21" t="n">
        <v>0</v>
      </c>
      <c r="O6025" s="21" t="n">
        <v>0</v>
      </c>
      <c r="P6025" s="21" t="n">
        <v>0</v>
      </c>
      <c r="Q6025" s="21" t="n">
        <v>0</v>
      </c>
      <c r="R6025" s="21" t="n">
        <v>0</v>
      </c>
      <c r="S6025" s="21" t="n">
        <v>0</v>
      </c>
      <c r="T6025" s="21" t="n">
        <v>0</v>
      </c>
      <c r="U6025" s="21" t="n">
        <v>0</v>
      </c>
      <c r="V6025" s="21" t="n">
        <v>0</v>
      </c>
      <c r="W6025" s="21" t="n">
        <v>0</v>
      </c>
      <c r="X6025" s="21" t="n">
        <v>0</v>
      </c>
      <c r="Y6025" s="21" t="n">
        <v>0</v>
      </c>
      <c r="Z6025" s="19" t="n"/>
    </row>
    <row r="6026">
      <c r="D6026" s="21">
        <f>-$B$5337</f>
        <v/>
      </c>
      <c r="E6026" s="21">
        <f>-$B$5338</f>
        <v/>
      </c>
      <c r="F6026" s="21">
        <f>2*$B$5337+$D$6013</f>
        <v/>
      </c>
      <c r="G6026" s="21">
        <f>0</f>
        <v/>
      </c>
      <c r="H6026" s="21">
        <f>-$B$5337</f>
        <v/>
      </c>
      <c r="I6026" s="21">
        <f>$B$5338</f>
        <v/>
      </c>
      <c r="J6026" s="21" t="n">
        <v>0</v>
      </c>
      <c r="K6026" s="21" t="n">
        <v>0</v>
      </c>
      <c r="L6026" s="21" t="n">
        <v>0</v>
      </c>
      <c r="M6026" s="21" t="n">
        <v>0</v>
      </c>
      <c r="N6026" s="21" t="n">
        <v>0</v>
      </c>
      <c r="O6026" s="21" t="n">
        <v>0</v>
      </c>
      <c r="P6026" s="21" t="n">
        <v>0</v>
      </c>
      <c r="Q6026" s="21" t="n">
        <v>0</v>
      </c>
      <c r="R6026" s="21" t="n">
        <v>0</v>
      </c>
      <c r="S6026" s="21" t="n">
        <v>0</v>
      </c>
      <c r="T6026" s="21" t="n">
        <v>0</v>
      </c>
      <c r="U6026" s="21" t="n">
        <v>0</v>
      </c>
      <c r="V6026" s="21" t="n">
        <v>0</v>
      </c>
      <c r="W6026" s="21" t="n">
        <v>0</v>
      </c>
      <c r="X6026" s="21" t="n">
        <v>0</v>
      </c>
      <c r="Y6026" s="21" t="n">
        <v>0</v>
      </c>
      <c r="Z6026" s="19" t="n"/>
    </row>
    <row r="6027">
      <c r="D6027" s="21">
        <f>$B$5338</f>
        <v/>
      </c>
      <c r="E6027" s="21">
        <f>$B$5340</f>
        <v/>
      </c>
      <c r="F6027" s="21">
        <f>0</f>
        <v/>
      </c>
      <c r="G6027" s="21">
        <f>2*$B$5339</f>
        <v/>
      </c>
      <c r="H6027" s="21">
        <f>-$B$5338</f>
        <v/>
      </c>
      <c r="I6027" s="21">
        <f>$B$5340</f>
        <v/>
      </c>
      <c r="J6027" s="21" t="n">
        <v>0</v>
      </c>
      <c r="K6027" s="21" t="n">
        <v>0</v>
      </c>
      <c r="L6027" s="21" t="n">
        <v>0</v>
      </c>
      <c r="M6027" s="21" t="n">
        <v>0</v>
      </c>
      <c r="N6027" s="21" t="n">
        <v>0</v>
      </c>
      <c r="O6027" s="21" t="n">
        <v>0</v>
      </c>
      <c r="P6027" s="21" t="n">
        <v>0</v>
      </c>
      <c r="Q6027" s="21" t="n">
        <v>0</v>
      </c>
      <c r="R6027" s="21" t="n">
        <v>0</v>
      </c>
      <c r="S6027" s="21" t="n">
        <v>0</v>
      </c>
      <c r="T6027" s="21" t="n">
        <v>0</v>
      </c>
      <c r="U6027" s="21" t="n">
        <v>0</v>
      </c>
      <c r="V6027" s="21" t="n">
        <v>0</v>
      </c>
      <c r="W6027" s="21" t="n">
        <v>0</v>
      </c>
      <c r="X6027" s="21" t="n">
        <v>0</v>
      </c>
      <c r="Y6027" s="21" t="n">
        <v>0</v>
      </c>
      <c r="Z6027" s="19" t="n"/>
    </row>
    <row r="6028">
      <c r="D6028" s="21" t="n">
        <v>0</v>
      </c>
      <c r="E6028" s="21" t="n">
        <v>0</v>
      </c>
      <c r="F6028" s="21">
        <f>-$B$5337</f>
        <v/>
      </c>
      <c r="G6028" s="21">
        <f>-$B$5338</f>
        <v/>
      </c>
      <c r="H6028" s="21">
        <f>2*$B$5337+$D$6014</f>
        <v/>
      </c>
      <c r="I6028" s="21">
        <f>0</f>
        <v/>
      </c>
      <c r="J6028" s="21">
        <f>-$B$5337</f>
        <v/>
      </c>
      <c r="K6028" s="21">
        <f>$B$5338</f>
        <v/>
      </c>
      <c r="L6028" s="21" t="n">
        <v>0</v>
      </c>
      <c r="M6028" s="21" t="n">
        <v>0</v>
      </c>
      <c r="N6028" s="21" t="n">
        <v>0</v>
      </c>
      <c r="O6028" s="21" t="n">
        <v>0</v>
      </c>
      <c r="P6028" s="21" t="n">
        <v>0</v>
      </c>
      <c r="Q6028" s="21" t="n">
        <v>0</v>
      </c>
      <c r="R6028" s="21" t="n">
        <v>0</v>
      </c>
      <c r="S6028" s="21" t="n">
        <v>0</v>
      </c>
      <c r="T6028" s="21" t="n">
        <v>0</v>
      </c>
      <c r="U6028" s="21" t="n">
        <v>0</v>
      </c>
      <c r="V6028" s="21" t="n">
        <v>0</v>
      </c>
      <c r="W6028" s="21" t="n">
        <v>0</v>
      </c>
      <c r="X6028" s="21" t="n">
        <v>0</v>
      </c>
      <c r="Y6028" s="21" t="n">
        <v>0</v>
      </c>
      <c r="Z6028" s="19" t="n"/>
    </row>
    <row r="6029">
      <c r="D6029" s="21" t="n">
        <v>0</v>
      </c>
      <c r="E6029" s="21" t="n">
        <v>0</v>
      </c>
      <c r="F6029" s="21">
        <f>$B$5338</f>
        <v/>
      </c>
      <c r="G6029" s="21">
        <f>$B$5340</f>
        <v/>
      </c>
      <c r="H6029" s="21">
        <f>0</f>
        <v/>
      </c>
      <c r="I6029" s="21">
        <f>2*$B$5339</f>
        <v/>
      </c>
      <c r="J6029" s="21">
        <f>-$B$5338</f>
        <v/>
      </c>
      <c r="K6029" s="21">
        <f>$B$5340</f>
        <v/>
      </c>
      <c r="L6029" s="21" t="n">
        <v>0</v>
      </c>
      <c r="M6029" s="21" t="n">
        <v>0</v>
      </c>
      <c r="N6029" s="21" t="n">
        <v>0</v>
      </c>
      <c r="O6029" s="21" t="n">
        <v>0</v>
      </c>
      <c r="P6029" s="21" t="n">
        <v>0</v>
      </c>
      <c r="Q6029" s="21" t="n">
        <v>0</v>
      </c>
      <c r="R6029" s="21" t="n">
        <v>0</v>
      </c>
      <c r="S6029" s="21" t="n">
        <v>0</v>
      </c>
      <c r="T6029" s="21" t="n">
        <v>0</v>
      </c>
      <c r="U6029" s="21" t="n">
        <v>0</v>
      </c>
      <c r="V6029" s="21" t="n">
        <v>0</v>
      </c>
      <c r="W6029" s="21" t="n">
        <v>0</v>
      </c>
      <c r="X6029" s="21" t="n">
        <v>0</v>
      </c>
      <c r="Y6029" s="21" t="n">
        <v>0</v>
      </c>
      <c r="Z6029" s="19" t="n"/>
    </row>
    <row r="6030">
      <c r="D6030" s="21" t="n">
        <v>0</v>
      </c>
      <c r="E6030" s="21" t="n">
        <v>0</v>
      </c>
      <c r="F6030" s="21" t="n">
        <v>0</v>
      </c>
      <c r="G6030" s="21" t="n">
        <v>0</v>
      </c>
      <c r="H6030" s="21">
        <f>-$B$5337</f>
        <v/>
      </c>
      <c r="I6030" s="21">
        <f>-$B$5338</f>
        <v/>
      </c>
      <c r="J6030" s="21">
        <f>2*$B$5337+$D$6015</f>
        <v/>
      </c>
      <c r="K6030" s="21">
        <f>0</f>
        <v/>
      </c>
      <c r="L6030" s="21">
        <f>-$B$5337</f>
        <v/>
      </c>
      <c r="M6030" s="21">
        <f>$B$5338</f>
        <v/>
      </c>
      <c r="N6030" s="21" t="n">
        <v>0</v>
      </c>
      <c r="O6030" s="21" t="n">
        <v>0</v>
      </c>
      <c r="P6030" s="21" t="n">
        <v>0</v>
      </c>
      <c r="Q6030" s="21" t="n">
        <v>0</v>
      </c>
      <c r="R6030" s="21" t="n">
        <v>0</v>
      </c>
      <c r="S6030" s="21" t="n">
        <v>0</v>
      </c>
      <c r="T6030" s="21" t="n">
        <v>0</v>
      </c>
      <c r="U6030" s="21" t="n">
        <v>0</v>
      </c>
      <c r="V6030" s="21" t="n">
        <v>0</v>
      </c>
      <c r="W6030" s="21" t="n">
        <v>0</v>
      </c>
      <c r="X6030" s="21" t="n">
        <v>0</v>
      </c>
      <c r="Y6030" s="21" t="n">
        <v>0</v>
      </c>
      <c r="Z6030" s="19" t="n"/>
    </row>
    <row r="6031">
      <c r="D6031" s="21" t="n">
        <v>0</v>
      </c>
      <c r="E6031" s="21" t="n">
        <v>0</v>
      </c>
      <c r="F6031" s="21" t="n">
        <v>0</v>
      </c>
      <c r="G6031" s="21" t="n">
        <v>0</v>
      </c>
      <c r="H6031" s="21">
        <f>$B$5338</f>
        <v/>
      </c>
      <c r="I6031" s="21">
        <f>$B$5340</f>
        <v/>
      </c>
      <c r="J6031" s="21">
        <f>0</f>
        <v/>
      </c>
      <c r="K6031" s="21">
        <f>2*$B$5339</f>
        <v/>
      </c>
      <c r="L6031" s="21">
        <f>-$B$5338</f>
        <v/>
      </c>
      <c r="M6031" s="21">
        <f>$B$5340</f>
        <v/>
      </c>
      <c r="N6031" s="21" t="n">
        <v>0</v>
      </c>
      <c r="O6031" s="21" t="n">
        <v>0</v>
      </c>
      <c r="P6031" s="21" t="n">
        <v>0</v>
      </c>
      <c r="Q6031" s="21" t="n">
        <v>0</v>
      </c>
      <c r="R6031" s="21" t="n">
        <v>0</v>
      </c>
      <c r="S6031" s="21" t="n">
        <v>0</v>
      </c>
      <c r="T6031" s="21" t="n">
        <v>0</v>
      </c>
      <c r="U6031" s="21" t="n">
        <v>0</v>
      </c>
      <c r="V6031" s="21" t="n">
        <v>0</v>
      </c>
      <c r="W6031" s="21" t="n">
        <v>0</v>
      </c>
      <c r="X6031" s="21" t="n">
        <v>0</v>
      </c>
      <c r="Y6031" s="21" t="n">
        <v>0</v>
      </c>
      <c r="Z6031" s="19" t="n"/>
    </row>
    <row r="6032">
      <c r="D6032" s="21" t="n">
        <v>0</v>
      </c>
      <c r="E6032" s="21" t="n">
        <v>0</v>
      </c>
      <c r="F6032" s="21" t="n">
        <v>0</v>
      </c>
      <c r="G6032" s="21" t="n">
        <v>0</v>
      </c>
      <c r="H6032" s="21" t="n">
        <v>0</v>
      </c>
      <c r="I6032" s="21" t="n">
        <v>0</v>
      </c>
      <c r="J6032" s="21">
        <f>-$B$5337</f>
        <v/>
      </c>
      <c r="K6032" s="21">
        <f>-$B$5338</f>
        <v/>
      </c>
      <c r="L6032" s="21">
        <f>2*$B$5337+$D$6016</f>
        <v/>
      </c>
      <c r="M6032" s="21">
        <f>0</f>
        <v/>
      </c>
      <c r="N6032" s="21">
        <f>-$B$5337</f>
        <v/>
      </c>
      <c r="O6032" s="21">
        <f>$B$5338</f>
        <v/>
      </c>
      <c r="P6032" s="21" t="n">
        <v>0</v>
      </c>
      <c r="Q6032" s="21" t="n">
        <v>0</v>
      </c>
      <c r="R6032" s="21" t="n">
        <v>0</v>
      </c>
      <c r="S6032" s="21" t="n">
        <v>0</v>
      </c>
      <c r="T6032" s="21" t="n">
        <v>0</v>
      </c>
      <c r="U6032" s="21" t="n">
        <v>0</v>
      </c>
      <c r="V6032" s="21" t="n">
        <v>0</v>
      </c>
      <c r="W6032" s="21" t="n">
        <v>0</v>
      </c>
      <c r="X6032" s="21" t="n">
        <v>0</v>
      </c>
      <c r="Y6032" s="21" t="n">
        <v>0</v>
      </c>
      <c r="Z6032" s="19" t="n"/>
    </row>
    <row r="6033">
      <c r="D6033" s="21" t="n">
        <v>0</v>
      </c>
      <c r="E6033" s="21" t="n">
        <v>0</v>
      </c>
      <c r="F6033" s="21" t="n">
        <v>0</v>
      </c>
      <c r="G6033" s="21" t="n">
        <v>0</v>
      </c>
      <c r="H6033" s="21" t="n">
        <v>0</v>
      </c>
      <c r="I6033" s="21" t="n">
        <v>0</v>
      </c>
      <c r="J6033" s="21">
        <f>$B$5338</f>
        <v/>
      </c>
      <c r="K6033" s="21">
        <f>$B$5340</f>
        <v/>
      </c>
      <c r="L6033" s="21">
        <f>0</f>
        <v/>
      </c>
      <c r="M6033" s="21">
        <f>2*$B$5339</f>
        <v/>
      </c>
      <c r="N6033" s="21">
        <f>-$B$5338</f>
        <v/>
      </c>
      <c r="O6033" s="21">
        <f>$B$5340</f>
        <v/>
      </c>
      <c r="P6033" s="21" t="n">
        <v>0</v>
      </c>
      <c r="Q6033" s="21" t="n">
        <v>0</v>
      </c>
      <c r="R6033" s="21" t="n">
        <v>0</v>
      </c>
      <c r="S6033" s="21" t="n">
        <v>0</v>
      </c>
      <c r="T6033" s="21" t="n">
        <v>0</v>
      </c>
      <c r="U6033" s="21" t="n">
        <v>0</v>
      </c>
      <c r="V6033" s="21" t="n">
        <v>0</v>
      </c>
      <c r="W6033" s="21" t="n">
        <v>0</v>
      </c>
      <c r="X6033" s="21" t="n">
        <v>0</v>
      </c>
      <c r="Y6033" s="21" t="n">
        <v>0</v>
      </c>
      <c r="Z6033" s="19" t="n"/>
    </row>
    <row r="6034">
      <c r="D6034" s="21" t="n">
        <v>0</v>
      </c>
      <c r="E6034" s="21" t="n">
        <v>0</v>
      </c>
      <c r="F6034" s="21" t="n">
        <v>0</v>
      </c>
      <c r="G6034" s="21" t="n">
        <v>0</v>
      </c>
      <c r="H6034" s="21" t="n">
        <v>0</v>
      </c>
      <c r="I6034" s="21" t="n">
        <v>0</v>
      </c>
      <c r="J6034" s="21" t="n">
        <v>0</v>
      </c>
      <c r="K6034" s="21" t="n">
        <v>0</v>
      </c>
      <c r="L6034" s="21">
        <f>-$B$5337</f>
        <v/>
      </c>
      <c r="M6034" s="21">
        <f>-$B$5338</f>
        <v/>
      </c>
      <c r="N6034" s="21">
        <f>2*$B$5337+$D$6017</f>
        <v/>
      </c>
      <c r="O6034" s="21">
        <f>0</f>
        <v/>
      </c>
      <c r="P6034" s="21">
        <f>-$B$5337</f>
        <v/>
      </c>
      <c r="Q6034" s="21">
        <f>$B$5338</f>
        <v/>
      </c>
      <c r="R6034" s="21" t="n">
        <v>0</v>
      </c>
      <c r="S6034" s="21" t="n">
        <v>0</v>
      </c>
      <c r="T6034" s="21" t="n">
        <v>0</v>
      </c>
      <c r="U6034" s="21" t="n">
        <v>0</v>
      </c>
      <c r="V6034" s="21" t="n">
        <v>0</v>
      </c>
      <c r="W6034" s="21" t="n">
        <v>0</v>
      </c>
      <c r="X6034" s="21" t="n">
        <v>0</v>
      </c>
      <c r="Y6034" s="21" t="n">
        <v>0</v>
      </c>
      <c r="Z6034" s="19" t="n"/>
    </row>
    <row r="6035">
      <c r="D6035" s="21" t="n">
        <v>0</v>
      </c>
      <c r="E6035" s="21" t="n">
        <v>0</v>
      </c>
      <c r="F6035" s="21" t="n">
        <v>0</v>
      </c>
      <c r="G6035" s="21" t="n">
        <v>0</v>
      </c>
      <c r="H6035" s="21" t="n">
        <v>0</v>
      </c>
      <c r="I6035" s="21" t="n">
        <v>0</v>
      </c>
      <c r="J6035" s="21" t="n">
        <v>0</v>
      </c>
      <c r="K6035" s="21" t="n">
        <v>0</v>
      </c>
      <c r="L6035" s="21">
        <f>$B$5338</f>
        <v/>
      </c>
      <c r="M6035" s="21">
        <f>$B$5340</f>
        <v/>
      </c>
      <c r="N6035" s="21">
        <f>0</f>
        <v/>
      </c>
      <c r="O6035" s="21">
        <f>2*$B$5339</f>
        <v/>
      </c>
      <c r="P6035" s="21">
        <f>-$B$5338</f>
        <v/>
      </c>
      <c r="Q6035" s="21">
        <f>$B$5340</f>
        <v/>
      </c>
      <c r="R6035" s="21" t="n">
        <v>0</v>
      </c>
      <c r="S6035" s="21" t="n">
        <v>0</v>
      </c>
      <c r="T6035" s="21" t="n">
        <v>0</v>
      </c>
      <c r="U6035" s="21" t="n">
        <v>0</v>
      </c>
      <c r="V6035" s="21" t="n">
        <v>0</v>
      </c>
      <c r="W6035" s="21" t="n">
        <v>0</v>
      </c>
      <c r="X6035" s="21" t="n">
        <v>0</v>
      </c>
      <c r="Y6035" s="21" t="n">
        <v>0</v>
      </c>
      <c r="Z6035" s="19" t="n"/>
    </row>
    <row r="6036">
      <c r="D6036" s="21" t="n">
        <v>0</v>
      </c>
      <c r="E6036" s="21" t="n">
        <v>0</v>
      </c>
      <c r="F6036" s="21" t="n">
        <v>0</v>
      </c>
      <c r="G6036" s="21" t="n">
        <v>0</v>
      </c>
      <c r="H6036" s="21" t="n">
        <v>0</v>
      </c>
      <c r="I6036" s="21" t="n">
        <v>0</v>
      </c>
      <c r="J6036" s="21" t="n">
        <v>0</v>
      </c>
      <c r="K6036" s="21" t="n">
        <v>0</v>
      </c>
      <c r="L6036" s="21" t="n">
        <v>0</v>
      </c>
      <c r="M6036" s="21" t="n">
        <v>0</v>
      </c>
      <c r="N6036" s="21">
        <f>-$B$5337</f>
        <v/>
      </c>
      <c r="O6036" s="21">
        <f>-$B$5338</f>
        <v/>
      </c>
      <c r="P6036" s="21">
        <f>2*$B$5337+$D$6018</f>
        <v/>
      </c>
      <c r="Q6036" s="21">
        <f>0</f>
        <v/>
      </c>
      <c r="R6036" s="21">
        <f>-$B$5337</f>
        <v/>
      </c>
      <c r="S6036" s="21">
        <f>$B$5338</f>
        <v/>
      </c>
      <c r="T6036" s="21" t="n">
        <v>0</v>
      </c>
      <c r="U6036" s="21" t="n">
        <v>0</v>
      </c>
      <c r="V6036" s="21" t="n">
        <v>0</v>
      </c>
      <c r="W6036" s="21" t="n">
        <v>0</v>
      </c>
      <c r="X6036" s="21" t="n">
        <v>0</v>
      </c>
      <c r="Y6036" s="21" t="n">
        <v>0</v>
      </c>
      <c r="Z6036" s="19" t="n"/>
    </row>
    <row r="6037">
      <c r="D6037" s="21" t="n">
        <v>0</v>
      </c>
      <c r="E6037" s="21" t="n">
        <v>0</v>
      </c>
      <c r="F6037" s="21" t="n">
        <v>0</v>
      </c>
      <c r="G6037" s="21" t="n">
        <v>0</v>
      </c>
      <c r="H6037" s="21" t="n">
        <v>0</v>
      </c>
      <c r="I6037" s="21" t="n">
        <v>0</v>
      </c>
      <c r="J6037" s="21" t="n">
        <v>0</v>
      </c>
      <c r="K6037" s="21" t="n">
        <v>0</v>
      </c>
      <c r="L6037" s="21" t="n">
        <v>0</v>
      </c>
      <c r="M6037" s="21" t="n">
        <v>0</v>
      </c>
      <c r="N6037" s="21">
        <f>$B$5338</f>
        <v/>
      </c>
      <c r="O6037" s="21">
        <f>$B$5340</f>
        <v/>
      </c>
      <c r="P6037" s="21">
        <f>0</f>
        <v/>
      </c>
      <c r="Q6037" s="21">
        <f>2*$B$5339</f>
        <v/>
      </c>
      <c r="R6037" s="21">
        <f>-$B$5338</f>
        <v/>
      </c>
      <c r="S6037" s="21">
        <f>$B$5340</f>
        <v/>
      </c>
      <c r="T6037" s="21" t="n">
        <v>0</v>
      </c>
      <c r="U6037" s="21" t="n">
        <v>0</v>
      </c>
      <c r="V6037" s="21" t="n">
        <v>0</v>
      </c>
      <c r="W6037" s="21" t="n">
        <v>0</v>
      </c>
      <c r="X6037" s="21" t="n">
        <v>0</v>
      </c>
      <c r="Y6037" s="21" t="n">
        <v>0</v>
      </c>
      <c r="Z6037" s="19" t="n"/>
    </row>
    <row r="6038">
      <c r="D6038" s="21" t="n">
        <v>0</v>
      </c>
      <c r="E6038" s="21" t="n">
        <v>0</v>
      </c>
      <c r="F6038" s="21" t="n">
        <v>0</v>
      </c>
      <c r="G6038" s="21" t="n">
        <v>0</v>
      </c>
      <c r="H6038" s="21" t="n">
        <v>0</v>
      </c>
      <c r="I6038" s="21" t="n">
        <v>0</v>
      </c>
      <c r="J6038" s="21" t="n">
        <v>0</v>
      </c>
      <c r="K6038" s="21" t="n">
        <v>0</v>
      </c>
      <c r="L6038" s="21" t="n">
        <v>0</v>
      </c>
      <c r="M6038" s="21" t="n">
        <v>0</v>
      </c>
      <c r="N6038" s="21" t="n">
        <v>0</v>
      </c>
      <c r="O6038" s="21" t="n">
        <v>0</v>
      </c>
      <c r="P6038" s="21">
        <f>-$B$5337</f>
        <v/>
      </c>
      <c r="Q6038" s="21">
        <f>-$B$5338</f>
        <v/>
      </c>
      <c r="R6038" s="21">
        <f>2*$B$5337+$D$6019</f>
        <v/>
      </c>
      <c r="S6038" s="21">
        <f>0</f>
        <v/>
      </c>
      <c r="T6038" s="21">
        <f>-$B$5337</f>
        <v/>
      </c>
      <c r="U6038" s="21">
        <f>$B$5338</f>
        <v/>
      </c>
      <c r="V6038" s="21" t="n">
        <v>0</v>
      </c>
      <c r="W6038" s="21" t="n">
        <v>0</v>
      </c>
      <c r="X6038" s="21" t="n">
        <v>0</v>
      </c>
      <c r="Y6038" s="21" t="n">
        <v>0</v>
      </c>
      <c r="Z6038" s="19" t="n"/>
    </row>
    <row r="6039">
      <c r="D6039" s="21" t="n">
        <v>0</v>
      </c>
      <c r="E6039" s="21" t="n">
        <v>0</v>
      </c>
      <c r="F6039" s="21" t="n">
        <v>0</v>
      </c>
      <c r="G6039" s="21" t="n">
        <v>0</v>
      </c>
      <c r="H6039" s="21" t="n">
        <v>0</v>
      </c>
      <c r="I6039" s="21" t="n">
        <v>0</v>
      </c>
      <c r="J6039" s="21" t="n">
        <v>0</v>
      </c>
      <c r="K6039" s="21" t="n">
        <v>0</v>
      </c>
      <c r="L6039" s="21" t="n">
        <v>0</v>
      </c>
      <c r="M6039" s="21" t="n">
        <v>0</v>
      </c>
      <c r="N6039" s="21" t="n">
        <v>0</v>
      </c>
      <c r="O6039" s="21" t="n">
        <v>0</v>
      </c>
      <c r="P6039" s="21">
        <f>$B$5338</f>
        <v/>
      </c>
      <c r="Q6039" s="21">
        <f>$B$5340</f>
        <v/>
      </c>
      <c r="R6039" s="21">
        <f>0</f>
        <v/>
      </c>
      <c r="S6039" s="21">
        <f>2*$B$5339</f>
        <v/>
      </c>
      <c r="T6039" s="21">
        <f>-$B$5338</f>
        <v/>
      </c>
      <c r="U6039" s="21">
        <f>$B$5340</f>
        <v/>
      </c>
      <c r="V6039" s="21" t="n">
        <v>0</v>
      </c>
      <c r="W6039" s="21" t="n">
        <v>0</v>
      </c>
      <c r="X6039" s="21" t="n">
        <v>0</v>
      </c>
      <c r="Y6039" s="21" t="n">
        <v>0</v>
      </c>
      <c r="Z6039" s="19" t="n"/>
    </row>
    <row r="6040">
      <c r="D6040" s="21" t="n">
        <v>0</v>
      </c>
      <c r="E6040" s="21" t="n">
        <v>0</v>
      </c>
      <c r="F6040" s="21" t="n">
        <v>0</v>
      </c>
      <c r="G6040" s="21" t="n">
        <v>0</v>
      </c>
      <c r="H6040" s="21" t="n">
        <v>0</v>
      </c>
      <c r="I6040" s="21" t="n">
        <v>0</v>
      </c>
      <c r="J6040" s="21" t="n">
        <v>0</v>
      </c>
      <c r="K6040" s="21" t="n">
        <v>0</v>
      </c>
      <c r="L6040" s="21" t="n">
        <v>0</v>
      </c>
      <c r="M6040" s="21" t="n">
        <v>0</v>
      </c>
      <c r="N6040" s="21" t="n">
        <v>0</v>
      </c>
      <c r="O6040" s="21" t="n">
        <v>0</v>
      </c>
      <c r="P6040" s="21" t="n">
        <v>0</v>
      </c>
      <c r="Q6040" s="21" t="n">
        <v>0</v>
      </c>
      <c r="R6040" s="21">
        <f>-$B$5337</f>
        <v/>
      </c>
      <c r="S6040" s="21">
        <f>-$B$5338</f>
        <v/>
      </c>
      <c r="T6040" s="21">
        <f>2*$B$5337+$D$6020</f>
        <v/>
      </c>
      <c r="U6040" s="21">
        <f>0</f>
        <v/>
      </c>
      <c r="V6040" s="21">
        <f>-$B$5337</f>
        <v/>
      </c>
      <c r="W6040" s="21">
        <f>$B$5338</f>
        <v/>
      </c>
      <c r="X6040" s="21" t="n">
        <v>0</v>
      </c>
      <c r="Y6040" s="21" t="n">
        <v>0</v>
      </c>
      <c r="Z6040" s="19" t="n"/>
    </row>
    <row r="6041">
      <c r="D6041" s="21" t="n">
        <v>0</v>
      </c>
      <c r="E6041" s="21" t="n">
        <v>0</v>
      </c>
      <c r="F6041" s="21" t="n">
        <v>0</v>
      </c>
      <c r="G6041" s="21" t="n">
        <v>0</v>
      </c>
      <c r="H6041" s="21" t="n">
        <v>0</v>
      </c>
      <c r="I6041" s="21" t="n">
        <v>0</v>
      </c>
      <c r="J6041" s="21" t="n">
        <v>0</v>
      </c>
      <c r="K6041" s="21" t="n">
        <v>0</v>
      </c>
      <c r="L6041" s="21" t="n">
        <v>0</v>
      </c>
      <c r="M6041" s="21" t="n">
        <v>0</v>
      </c>
      <c r="N6041" s="21" t="n">
        <v>0</v>
      </c>
      <c r="O6041" s="21" t="n">
        <v>0</v>
      </c>
      <c r="P6041" s="21" t="n">
        <v>0</v>
      </c>
      <c r="Q6041" s="21" t="n">
        <v>0</v>
      </c>
      <c r="R6041" s="21">
        <f>$B$5338</f>
        <v/>
      </c>
      <c r="S6041" s="21">
        <f>$B$5340</f>
        <v/>
      </c>
      <c r="T6041" s="21">
        <f>0</f>
        <v/>
      </c>
      <c r="U6041" s="21">
        <f>2*$B$5339</f>
        <v/>
      </c>
      <c r="V6041" s="21">
        <f>-$B$5338</f>
        <v/>
      </c>
      <c r="W6041" s="21">
        <f>$B$5340</f>
        <v/>
      </c>
      <c r="X6041" s="21" t="n">
        <v>0</v>
      </c>
      <c r="Y6041" s="21" t="n">
        <v>0</v>
      </c>
      <c r="Z6041" s="19" t="n"/>
    </row>
    <row r="6042">
      <c r="D6042" s="21" t="n">
        <v>0</v>
      </c>
      <c r="E6042" s="21" t="n">
        <v>0</v>
      </c>
      <c r="F6042" s="21" t="n">
        <v>0</v>
      </c>
      <c r="G6042" s="21" t="n">
        <v>0</v>
      </c>
      <c r="H6042" s="21" t="n">
        <v>0</v>
      </c>
      <c r="I6042" s="21" t="n">
        <v>0</v>
      </c>
      <c r="J6042" s="21" t="n">
        <v>0</v>
      </c>
      <c r="K6042" s="21" t="n">
        <v>0</v>
      </c>
      <c r="L6042" s="21" t="n">
        <v>0</v>
      </c>
      <c r="M6042" s="21" t="n">
        <v>0</v>
      </c>
      <c r="N6042" s="21" t="n">
        <v>0</v>
      </c>
      <c r="O6042" s="21" t="n">
        <v>0</v>
      </c>
      <c r="P6042" s="21" t="n">
        <v>0</v>
      </c>
      <c r="Q6042" s="21" t="n">
        <v>0</v>
      </c>
      <c r="R6042" s="21" t="n">
        <v>0</v>
      </c>
      <c r="S6042" s="21" t="n">
        <v>0</v>
      </c>
      <c r="T6042" s="21">
        <f>-$B$5337</f>
        <v/>
      </c>
      <c r="U6042" s="21">
        <f>-$B$5338</f>
        <v/>
      </c>
      <c r="V6042" s="21">
        <f>2*$B$5337+$D$6021</f>
        <v/>
      </c>
      <c r="W6042" s="21">
        <f>0</f>
        <v/>
      </c>
      <c r="X6042" s="21">
        <f>-$B$5337</f>
        <v/>
      </c>
      <c r="Y6042" s="21">
        <f>$B$5338</f>
        <v/>
      </c>
      <c r="Z6042" s="19" t="n"/>
    </row>
    <row r="6043">
      <c r="D6043" s="21" t="n">
        <v>0</v>
      </c>
      <c r="E6043" s="21" t="n">
        <v>0</v>
      </c>
      <c r="F6043" s="21" t="n">
        <v>0</v>
      </c>
      <c r="G6043" s="21" t="n">
        <v>0</v>
      </c>
      <c r="H6043" s="21" t="n">
        <v>0</v>
      </c>
      <c r="I6043" s="21" t="n">
        <v>0</v>
      </c>
      <c r="J6043" s="21" t="n">
        <v>0</v>
      </c>
      <c r="K6043" s="21" t="n">
        <v>0</v>
      </c>
      <c r="L6043" s="21" t="n">
        <v>0</v>
      </c>
      <c r="M6043" s="21" t="n">
        <v>0</v>
      </c>
      <c r="N6043" s="21" t="n">
        <v>0</v>
      </c>
      <c r="O6043" s="21" t="n">
        <v>0</v>
      </c>
      <c r="P6043" s="21" t="n">
        <v>0</v>
      </c>
      <c r="Q6043" s="21" t="n">
        <v>0</v>
      </c>
      <c r="R6043" s="21" t="n">
        <v>0</v>
      </c>
      <c r="S6043" s="21" t="n">
        <v>0</v>
      </c>
      <c r="T6043" s="21">
        <f>$B$5338</f>
        <v/>
      </c>
      <c r="U6043" s="21">
        <f>$B$5340</f>
        <v/>
      </c>
      <c r="V6043" s="21">
        <f>0</f>
        <v/>
      </c>
      <c r="W6043" s="21">
        <f>2*$B$5339</f>
        <v/>
      </c>
      <c r="X6043" s="21">
        <f>-$B$5338</f>
        <v/>
      </c>
      <c r="Y6043" s="21">
        <f>$B$5340</f>
        <v/>
      </c>
      <c r="Z6043" s="19" t="n"/>
    </row>
    <row r="6044">
      <c r="D6044" s="21" t="n">
        <v>0</v>
      </c>
      <c r="E6044" s="21" t="n">
        <v>0</v>
      </c>
      <c r="F6044" s="21" t="n">
        <v>0</v>
      </c>
      <c r="G6044" s="21" t="n">
        <v>0</v>
      </c>
      <c r="H6044" s="21" t="n">
        <v>0</v>
      </c>
      <c r="I6044" s="21" t="n">
        <v>0</v>
      </c>
      <c r="J6044" s="21" t="n">
        <v>0</v>
      </c>
      <c r="K6044" s="21" t="n">
        <v>0</v>
      </c>
      <c r="L6044" s="21" t="n">
        <v>0</v>
      </c>
      <c r="M6044" s="21" t="n">
        <v>0</v>
      </c>
      <c r="N6044" s="21" t="n">
        <v>0</v>
      </c>
      <c r="O6044" s="21" t="n">
        <v>0</v>
      </c>
      <c r="P6044" s="21" t="n">
        <v>0</v>
      </c>
      <c r="Q6044" s="21" t="n">
        <v>0</v>
      </c>
      <c r="R6044" s="21" t="n">
        <v>0</v>
      </c>
      <c r="S6044" s="21" t="n">
        <v>0</v>
      </c>
      <c r="T6044" s="21" t="n">
        <v>0</v>
      </c>
      <c r="U6044" s="21" t="n">
        <v>0</v>
      </c>
      <c r="V6044" s="21">
        <f>-$B$5337</f>
        <v/>
      </c>
      <c r="W6044" s="21">
        <f>-$B$5338</f>
        <v/>
      </c>
      <c r="X6044" s="21">
        <f>$B$5337+$D$6022</f>
        <v/>
      </c>
      <c r="Y6044" s="21">
        <f>-$B$5338</f>
        <v/>
      </c>
      <c r="Z6044" s="19" t="n"/>
    </row>
    <row r="6045">
      <c r="D6045" s="21" t="n">
        <v>0</v>
      </c>
      <c r="E6045" s="21" t="n">
        <v>0</v>
      </c>
      <c r="F6045" s="21" t="n">
        <v>0</v>
      </c>
      <c r="G6045" s="21" t="n">
        <v>0</v>
      </c>
      <c r="H6045" s="21" t="n">
        <v>0</v>
      </c>
      <c r="I6045" s="21" t="n">
        <v>0</v>
      </c>
      <c r="J6045" s="21" t="n">
        <v>0</v>
      </c>
      <c r="K6045" s="21" t="n">
        <v>0</v>
      </c>
      <c r="L6045" s="21" t="n">
        <v>0</v>
      </c>
      <c r="M6045" s="21" t="n">
        <v>0</v>
      </c>
      <c r="N6045" s="21" t="n">
        <v>0</v>
      </c>
      <c r="O6045" s="21" t="n">
        <v>0</v>
      </c>
      <c r="P6045" s="21" t="n">
        <v>0</v>
      </c>
      <c r="Q6045" s="21" t="n">
        <v>0</v>
      </c>
      <c r="R6045" s="21" t="n">
        <v>0</v>
      </c>
      <c r="S6045" s="21" t="n">
        <v>0</v>
      </c>
      <c r="T6045" s="21" t="n">
        <v>0</v>
      </c>
      <c r="U6045" s="21" t="n">
        <v>0</v>
      </c>
      <c r="V6045" s="21">
        <f>$B$5338</f>
        <v/>
      </c>
      <c r="W6045" s="21">
        <f>$B$5340</f>
        <v/>
      </c>
      <c r="X6045" s="21">
        <f>-$B$5338</f>
        <v/>
      </c>
      <c r="Y6045" s="21">
        <f>$B$5339</f>
        <v/>
      </c>
      <c r="Z6045" s="19" t="n"/>
    </row>
    <row r="6047">
      <c r="A6047" s="8" t="inlineStr">
        <is>
          <t>gen 19</t>
        </is>
      </c>
    </row>
    <row r="6048">
      <c r="D6048" s="19">
        <f>IF(ABS(IF(ABS($E$6012)&gt;0.000000001,$E$6012,0.000000001))=0,0,IF($E$5352&lt;=$B$5346,0,IF(ABS(IF(ABS($E$6012)&gt;0.000000001,$E$6012,0.000000001))&gt;=8*$B$5348,$H$5352,0.5*$H$5352*(ABS(IF(ABS($E$6012)&gt;0.000000001,$E$6012,0.000000001))/$B$5348)^(1/3)))/ABS(IF(ABS($E$6012)&gt;0.000000001,$E$6012,0.000000001))*$I$5352)</f>
        <v/>
      </c>
      <c r="E6048" s="19">
        <f>0.5*$E$6012+0.5*$Z$6060</f>
        <v/>
      </c>
      <c r="F6048" s="19">
        <f>$Z$6061</f>
        <v/>
      </c>
    </row>
    <row r="6049">
      <c r="D6049" s="19">
        <f>IF(ABS(IF(ABS($E$6013)&gt;0.000000001,$E$6013,0.000000001))=0,0,IF($E$5353&lt;=$B$5346,0,IF(ABS(IF(ABS($E$6013)&gt;0.000000001,$E$6013,0.000000001))&gt;=8*$B$5348,$H$5353,0.5*$H$5353*(ABS(IF(ABS($E$6013)&gt;0.000000001,$E$6013,0.000000001))/$B$5348)^(1/3)))/ABS(IF(ABS($E$6013)&gt;0.000000001,$E$6013,0.000000001))*$I$5353)</f>
        <v/>
      </c>
      <c r="E6049" s="19">
        <f>0.5*$E$6013+0.5*$Z$6062</f>
        <v/>
      </c>
      <c r="F6049" s="19">
        <f>$Z$6063</f>
        <v/>
      </c>
    </row>
    <row r="6050">
      <c r="D6050" s="19">
        <f>IF(ABS(IF(ABS($E$6014)&gt;0.000000001,$E$6014,0.000000001))=0,0,IF($E$5354&lt;=$B$5346,0,IF(ABS(IF(ABS($E$6014)&gt;0.000000001,$E$6014,0.000000001))&gt;=8*$B$5348,$H$5354,0.5*$H$5354*(ABS(IF(ABS($E$6014)&gt;0.000000001,$E$6014,0.000000001))/$B$5348)^(1/3)))/ABS(IF(ABS($E$6014)&gt;0.000000001,$E$6014,0.000000001))*$I$5354)</f>
        <v/>
      </c>
      <c r="E6050" s="19">
        <f>0.5*$E$6014+0.5*$Z$6064</f>
        <v/>
      </c>
      <c r="F6050" s="19">
        <f>$Z$6065</f>
        <v/>
      </c>
    </row>
    <row r="6051">
      <c r="D6051" s="19">
        <f>IF(ABS(IF(ABS($E$6015)&gt;0.000000001,$E$6015,0.000000001))=0,0,IF($E$5355&lt;=$B$5346,0,IF(ABS(IF(ABS($E$6015)&gt;0.000000001,$E$6015,0.000000001))&gt;=8*$B$5348,$H$5355,0.5*$H$5355*(ABS(IF(ABS($E$6015)&gt;0.000000001,$E$6015,0.000000001))/$B$5348)^(1/3)))/ABS(IF(ABS($E$6015)&gt;0.000000001,$E$6015,0.000000001))*$I$5355)</f>
        <v/>
      </c>
      <c r="E6051" s="19">
        <f>0.5*$E$6015+0.5*$Z$6066</f>
        <v/>
      </c>
      <c r="F6051" s="19">
        <f>$Z$6067</f>
        <v/>
      </c>
    </row>
    <row r="6052">
      <c r="D6052" s="19">
        <f>IF(ABS(IF(ABS($E$6016)&gt;0.000000001,$E$6016,0.000000001))=0,0,IF($E$5356&lt;=$B$5346,0,IF(ABS(IF(ABS($E$6016)&gt;0.000000001,$E$6016,0.000000001))&gt;=8*$B$5348,$H$5356,0.5*$H$5356*(ABS(IF(ABS($E$6016)&gt;0.000000001,$E$6016,0.000000001))/$B$5348)^(1/3)))/ABS(IF(ABS($E$6016)&gt;0.000000001,$E$6016,0.000000001))*$I$5356)</f>
        <v/>
      </c>
      <c r="E6052" s="19">
        <f>0.5*$E$6016+0.5*$Z$6068</f>
        <v/>
      </c>
      <c r="F6052" s="19">
        <f>$Z$6069</f>
        <v/>
      </c>
    </row>
    <row r="6053">
      <c r="D6053" s="19">
        <f>IF(ABS(IF(ABS($E$6017)&gt;0.000000001,$E$6017,0.000000001))=0,0,IF($E$5357&lt;=$B$5346,0,IF(ABS(IF(ABS($E$6017)&gt;0.000000001,$E$6017,0.000000001))&gt;=8*$B$5348,$H$5357,0.5*$H$5357*(ABS(IF(ABS($E$6017)&gt;0.000000001,$E$6017,0.000000001))/$B$5348)^(1/3)))/ABS(IF(ABS($E$6017)&gt;0.000000001,$E$6017,0.000000001))*$I$5357)</f>
        <v/>
      </c>
      <c r="E6053" s="19">
        <f>0.5*$E$6017+0.5*$Z$6070</f>
        <v/>
      </c>
      <c r="F6053" s="19">
        <f>$Z$6071</f>
        <v/>
      </c>
    </row>
    <row r="6054">
      <c r="D6054" s="19">
        <f>IF(ABS(IF(ABS($E$6018)&gt;0.000000001,$E$6018,0.000000001))=0,0,IF($E$5358&lt;=$B$5346,0,IF(ABS(IF(ABS($E$6018)&gt;0.000000001,$E$6018,0.000000001))&gt;=8*$B$5348,$H$5358,0.5*$H$5358*(ABS(IF(ABS($E$6018)&gt;0.000000001,$E$6018,0.000000001))/$B$5348)^(1/3)))/ABS(IF(ABS($E$6018)&gt;0.000000001,$E$6018,0.000000001))*$I$5358)</f>
        <v/>
      </c>
      <c r="E6054" s="19">
        <f>0.5*$E$6018+0.5*$Z$6072</f>
        <v/>
      </c>
      <c r="F6054" s="19">
        <f>$Z$6073</f>
        <v/>
      </c>
    </row>
    <row r="6055">
      <c r="D6055" s="19">
        <f>IF(ABS(IF(ABS($E$6019)&gt;0.000000001,$E$6019,0.000000001))=0,0,IF($E$5359&lt;=$B$5346,0,IF(ABS(IF(ABS($E$6019)&gt;0.000000001,$E$6019,0.000000001))&gt;=8*$B$5348,$H$5359,0.5*$H$5359*(ABS(IF(ABS($E$6019)&gt;0.000000001,$E$6019,0.000000001))/$B$5348)^(1/3)))/ABS(IF(ABS($E$6019)&gt;0.000000001,$E$6019,0.000000001))*$I$5359)</f>
        <v/>
      </c>
      <c r="E6055" s="19">
        <f>0.5*$E$6019+0.5*$Z$6074</f>
        <v/>
      </c>
      <c r="F6055" s="19">
        <f>$Z$6075</f>
        <v/>
      </c>
    </row>
    <row r="6056">
      <c r="D6056" s="19">
        <f>IF(ABS(IF(ABS($E$6020)&gt;0.000000001,$E$6020,0.000000001))=0,0,IF($E$5360&lt;=$B$5346,0,IF(ABS(IF(ABS($E$6020)&gt;0.000000001,$E$6020,0.000000001))&gt;=8*$B$5348,$H$5360,0.5*$H$5360*(ABS(IF(ABS($E$6020)&gt;0.000000001,$E$6020,0.000000001))/$B$5348)^(1/3)))/ABS(IF(ABS($E$6020)&gt;0.000000001,$E$6020,0.000000001))*$I$5360)</f>
        <v/>
      </c>
      <c r="E6056" s="19">
        <f>0.5*$E$6020+0.5*$Z$6076</f>
        <v/>
      </c>
      <c r="F6056" s="19">
        <f>$Z$6077</f>
        <v/>
      </c>
    </row>
    <row r="6057">
      <c r="D6057" s="19">
        <f>IF(ABS(IF(ABS($E$6021)&gt;0.000000001,$E$6021,0.000000001))=0,0,IF($E$5361&lt;=$B$5346,0,IF(ABS(IF(ABS($E$6021)&gt;0.000000001,$E$6021,0.000000001))&gt;=8*$B$5348,$H$5361,0.5*$H$5361*(ABS(IF(ABS($E$6021)&gt;0.000000001,$E$6021,0.000000001))/$B$5348)^(1/3)))/ABS(IF(ABS($E$6021)&gt;0.000000001,$E$6021,0.000000001))*$I$5361)</f>
        <v/>
      </c>
      <c r="E6057" s="19">
        <f>0.5*$E$6021+0.5*$Z$6078</f>
        <v/>
      </c>
      <c r="F6057" s="19">
        <f>$Z$6079</f>
        <v/>
      </c>
    </row>
    <row r="6058">
      <c r="D6058" s="19">
        <f>IF(ABS(IF(ABS($E$6022)&gt;0.000000001,$E$6022,0.000000001))=0,0,IF($E$5362&lt;=$B$5346,0,IF(ABS(IF(ABS($E$6022)&gt;0.000000001,$E$6022,0.000000001))&gt;=8*$B$5348,$H$5362,0.5*$H$5362*(ABS(IF(ABS($E$6022)&gt;0.000000001,$E$6022,0.000000001))/$B$5348)^(1/3)))/ABS(IF(ABS($E$6022)&gt;0.000000001,$E$6022,0.000000001))*$I$5362)</f>
        <v/>
      </c>
      <c r="E6058" s="19">
        <f>0.5*$E$6022+0.5*$Z$6080</f>
        <v/>
      </c>
      <c r="F6058" s="19">
        <f>$Z$6081</f>
        <v/>
      </c>
    </row>
    <row r="6060">
      <c r="D6060" s="21">
        <f>$B$5337+$D$6048</f>
        <v/>
      </c>
      <c r="E6060" s="21">
        <f>$B$5338</f>
        <v/>
      </c>
      <c r="F6060" s="21">
        <f>-$B$5337</f>
        <v/>
      </c>
      <c r="G6060" s="21">
        <f>$B$5338</f>
        <v/>
      </c>
      <c r="H6060" s="21" t="n">
        <v>0</v>
      </c>
      <c r="I6060" s="21" t="n">
        <v>0</v>
      </c>
      <c r="J6060" s="21" t="n">
        <v>0</v>
      </c>
      <c r="K6060" s="21" t="n">
        <v>0</v>
      </c>
      <c r="L6060" s="21" t="n">
        <v>0</v>
      </c>
      <c r="M6060" s="21" t="n">
        <v>0</v>
      </c>
      <c r="N6060" s="21" t="n">
        <v>0</v>
      </c>
      <c r="O6060" s="21" t="n">
        <v>0</v>
      </c>
      <c r="P6060" s="21" t="n">
        <v>0</v>
      </c>
      <c r="Q6060" s="21" t="n">
        <v>0</v>
      </c>
      <c r="R6060" s="21" t="n">
        <v>0</v>
      </c>
      <c r="S6060" s="21" t="n">
        <v>0</v>
      </c>
      <c r="T6060" s="21" t="n">
        <v>0</v>
      </c>
      <c r="U6060" s="21" t="n">
        <v>0</v>
      </c>
      <c r="V6060" s="21" t="n">
        <v>0</v>
      </c>
      <c r="W6060" s="21" t="n">
        <v>0</v>
      </c>
      <c r="X6060" s="21" t="n">
        <v>0</v>
      </c>
      <c r="Y6060" s="21" t="n">
        <v>0</v>
      </c>
      <c r="Z6060" s="19">
        <f t="array" ref="Z6060:Z6081">MMULT(MINVERSE($D$6060:$Y$6081),$D$5364:$D$5385)</f>
        <v/>
      </c>
    </row>
    <row r="6061">
      <c r="D6061" s="21">
        <f>$B$5338</f>
        <v/>
      </c>
      <c r="E6061" s="21">
        <f>$B$5339</f>
        <v/>
      </c>
      <c r="F6061" s="21">
        <f>-$B$5338</f>
        <v/>
      </c>
      <c r="G6061" s="21">
        <f>$B$5340</f>
        <v/>
      </c>
      <c r="H6061" s="21" t="n">
        <v>0</v>
      </c>
      <c r="I6061" s="21" t="n">
        <v>0</v>
      </c>
      <c r="J6061" s="21" t="n">
        <v>0</v>
      </c>
      <c r="K6061" s="21" t="n">
        <v>0</v>
      </c>
      <c r="L6061" s="21" t="n">
        <v>0</v>
      </c>
      <c r="M6061" s="21" t="n">
        <v>0</v>
      </c>
      <c r="N6061" s="21" t="n">
        <v>0</v>
      </c>
      <c r="O6061" s="21" t="n">
        <v>0</v>
      </c>
      <c r="P6061" s="21" t="n">
        <v>0</v>
      </c>
      <c r="Q6061" s="21" t="n">
        <v>0</v>
      </c>
      <c r="R6061" s="21" t="n">
        <v>0</v>
      </c>
      <c r="S6061" s="21" t="n">
        <v>0</v>
      </c>
      <c r="T6061" s="21" t="n">
        <v>0</v>
      </c>
      <c r="U6061" s="21" t="n">
        <v>0</v>
      </c>
      <c r="V6061" s="21" t="n">
        <v>0</v>
      </c>
      <c r="W6061" s="21" t="n">
        <v>0</v>
      </c>
      <c r="X6061" s="21" t="n">
        <v>0</v>
      </c>
      <c r="Y6061" s="21" t="n">
        <v>0</v>
      </c>
      <c r="Z6061" s="19" t="n"/>
    </row>
    <row r="6062">
      <c r="D6062" s="21">
        <f>-$B$5337</f>
        <v/>
      </c>
      <c r="E6062" s="21">
        <f>-$B$5338</f>
        <v/>
      </c>
      <c r="F6062" s="21">
        <f>2*$B$5337+$D$6049</f>
        <v/>
      </c>
      <c r="G6062" s="21">
        <f>0</f>
        <v/>
      </c>
      <c r="H6062" s="21">
        <f>-$B$5337</f>
        <v/>
      </c>
      <c r="I6062" s="21">
        <f>$B$5338</f>
        <v/>
      </c>
      <c r="J6062" s="21" t="n">
        <v>0</v>
      </c>
      <c r="K6062" s="21" t="n">
        <v>0</v>
      </c>
      <c r="L6062" s="21" t="n">
        <v>0</v>
      </c>
      <c r="M6062" s="21" t="n">
        <v>0</v>
      </c>
      <c r="N6062" s="21" t="n">
        <v>0</v>
      </c>
      <c r="O6062" s="21" t="n">
        <v>0</v>
      </c>
      <c r="P6062" s="21" t="n">
        <v>0</v>
      </c>
      <c r="Q6062" s="21" t="n">
        <v>0</v>
      </c>
      <c r="R6062" s="21" t="n">
        <v>0</v>
      </c>
      <c r="S6062" s="21" t="n">
        <v>0</v>
      </c>
      <c r="T6062" s="21" t="n">
        <v>0</v>
      </c>
      <c r="U6062" s="21" t="n">
        <v>0</v>
      </c>
      <c r="V6062" s="21" t="n">
        <v>0</v>
      </c>
      <c r="W6062" s="21" t="n">
        <v>0</v>
      </c>
      <c r="X6062" s="21" t="n">
        <v>0</v>
      </c>
      <c r="Y6062" s="21" t="n">
        <v>0</v>
      </c>
      <c r="Z6062" s="19" t="n"/>
    </row>
    <row r="6063">
      <c r="D6063" s="21">
        <f>$B$5338</f>
        <v/>
      </c>
      <c r="E6063" s="21">
        <f>$B$5340</f>
        <v/>
      </c>
      <c r="F6063" s="21">
        <f>0</f>
        <v/>
      </c>
      <c r="G6063" s="21">
        <f>2*$B$5339</f>
        <v/>
      </c>
      <c r="H6063" s="21">
        <f>-$B$5338</f>
        <v/>
      </c>
      <c r="I6063" s="21">
        <f>$B$5340</f>
        <v/>
      </c>
      <c r="J6063" s="21" t="n">
        <v>0</v>
      </c>
      <c r="K6063" s="21" t="n">
        <v>0</v>
      </c>
      <c r="L6063" s="21" t="n">
        <v>0</v>
      </c>
      <c r="M6063" s="21" t="n">
        <v>0</v>
      </c>
      <c r="N6063" s="21" t="n">
        <v>0</v>
      </c>
      <c r="O6063" s="21" t="n">
        <v>0</v>
      </c>
      <c r="P6063" s="21" t="n">
        <v>0</v>
      </c>
      <c r="Q6063" s="21" t="n">
        <v>0</v>
      </c>
      <c r="R6063" s="21" t="n">
        <v>0</v>
      </c>
      <c r="S6063" s="21" t="n">
        <v>0</v>
      </c>
      <c r="T6063" s="21" t="n">
        <v>0</v>
      </c>
      <c r="U6063" s="21" t="n">
        <v>0</v>
      </c>
      <c r="V6063" s="21" t="n">
        <v>0</v>
      </c>
      <c r="W6063" s="21" t="n">
        <v>0</v>
      </c>
      <c r="X6063" s="21" t="n">
        <v>0</v>
      </c>
      <c r="Y6063" s="21" t="n">
        <v>0</v>
      </c>
      <c r="Z6063" s="19" t="n"/>
    </row>
    <row r="6064">
      <c r="D6064" s="21" t="n">
        <v>0</v>
      </c>
      <c r="E6064" s="21" t="n">
        <v>0</v>
      </c>
      <c r="F6064" s="21">
        <f>-$B$5337</f>
        <v/>
      </c>
      <c r="G6064" s="21">
        <f>-$B$5338</f>
        <v/>
      </c>
      <c r="H6064" s="21">
        <f>2*$B$5337+$D$6050</f>
        <v/>
      </c>
      <c r="I6064" s="21">
        <f>0</f>
        <v/>
      </c>
      <c r="J6064" s="21">
        <f>-$B$5337</f>
        <v/>
      </c>
      <c r="K6064" s="21">
        <f>$B$5338</f>
        <v/>
      </c>
      <c r="L6064" s="21" t="n">
        <v>0</v>
      </c>
      <c r="M6064" s="21" t="n">
        <v>0</v>
      </c>
      <c r="N6064" s="21" t="n">
        <v>0</v>
      </c>
      <c r="O6064" s="21" t="n">
        <v>0</v>
      </c>
      <c r="P6064" s="21" t="n">
        <v>0</v>
      </c>
      <c r="Q6064" s="21" t="n">
        <v>0</v>
      </c>
      <c r="R6064" s="21" t="n">
        <v>0</v>
      </c>
      <c r="S6064" s="21" t="n">
        <v>0</v>
      </c>
      <c r="T6064" s="21" t="n">
        <v>0</v>
      </c>
      <c r="U6064" s="21" t="n">
        <v>0</v>
      </c>
      <c r="V6064" s="21" t="n">
        <v>0</v>
      </c>
      <c r="W6064" s="21" t="n">
        <v>0</v>
      </c>
      <c r="X6064" s="21" t="n">
        <v>0</v>
      </c>
      <c r="Y6064" s="21" t="n">
        <v>0</v>
      </c>
      <c r="Z6064" s="19" t="n"/>
    </row>
    <row r="6065">
      <c r="D6065" s="21" t="n">
        <v>0</v>
      </c>
      <c r="E6065" s="21" t="n">
        <v>0</v>
      </c>
      <c r="F6065" s="21">
        <f>$B$5338</f>
        <v/>
      </c>
      <c r="G6065" s="21">
        <f>$B$5340</f>
        <v/>
      </c>
      <c r="H6065" s="21">
        <f>0</f>
        <v/>
      </c>
      <c r="I6065" s="21">
        <f>2*$B$5339</f>
        <v/>
      </c>
      <c r="J6065" s="21">
        <f>-$B$5338</f>
        <v/>
      </c>
      <c r="K6065" s="21">
        <f>$B$5340</f>
        <v/>
      </c>
      <c r="L6065" s="21" t="n">
        <v>0</v>
      </c>
      <c r="M6065" s="21" t="n">
        <v>0</v>
      </c>
      <c r="N6065" s="21" t="n">
        <v>0</v>
      </c>
      <c r="O6065" s="21" t="n">
        <v>0</v>
      </c>
      <c r="P6065" s="21" t="n">
        <v>0</v>
      </c>
      <c r="Q6065" s="21" t="n">
        <v>0</v>
      </c>
      <c r="R6065" s="21" t="n">
        <v>0</v>
      </c>
      <c r="S6065" s="21" t="n">
        <v>0</v>
      </c>
      <c r="T6065" s="21" t="n">
        <v>0</v>
      </c>
      <c r="U6065" s="21" t="n">
        <v>0</v>
      </c>
      <c r="V6065" s="21" t="n">
        <v>0</v>
      </c>
      <c r="W6065" s="21" t="n">
        <v>0</v>
      </c>
      <c r="X6065" s="21" t="n">
        <v>0</v>
      </c>
      <c r="Y6065" s="21" t="n">
        <v>0</v>
      </c>
      <c r="Z6065" s="19" t="n"/>
    </row>
    <row r="6066">
      <c r="D6066" s="21" t="n">
        <v>0</v>
      </c>
      <c r="E6066" s="21" t="n">
        <v>0</v>
      </c>
      <c r="F6066" s="21" t="n">
        <v>0</v>
      </c>
      <c r="G6066" s="21" t="n">
        <v>0</v>
      </c>
      <c r="H6066" s="21">
        <f>-$B$5337</f>
        <v/>
      </c>
      <c r="I6066" s="21">
        <f>-$B$5338</f>
        <v/>
      </c>
      <c r="J6066" s="21">
        <f>2*$B$5337+$D$6051</f>
        <v/>
      </c>
      <c r="K6066" s="21">
        <f>0</f>
        <v/>
      </c>
      <c r="L6066" s="21">
        <f>-$B$5337</f>
        <v/>
      </c>
      <c r="M6066" s="21">
        <f>$B$5338</f>
        <v/>
      </c>
      <c r="N6066" s="21" t="n">
        <v>0</v>
      </c>
      <c r="O6066" s="21" t="n">
        <v>0</v>
      </c>
      <c r="P6066" s="21" t="n">
        <v>0</v>
      </c>
      <c r="Q6066" s="21" t="n">
        <v>0</v>
      </c>
      <c r="R6066" s="21" t="n">
        <v>0</v>
      </c>
      <c r="S6066" s="21" t="n">
        <v>0</v>
      </c>
      <c r="T6066" s="21" t="n">
        <v>0</v>
      </c>
      <c r="U6066" s="21" t="n">
        <v>0</v>
      </c>
      <c r="V6066" s="21" t="n">
        <v>0</v>
      </c>
      <c r="W6066" s="21" t="n">
        <v>0</v>
      </c>
      <c r="X6066" s="21" t="n">
        <v>0</v>
      </c>
      <c r="Y6066" s="21" t="n">
        <v>0</v>
      </c>
      <c r="Z6066" s="19" t="n"/>
    </row>
    <row r="6067">
      <c r="D6067" s="21" t="n">
        <v>0</v>
      </c>
      <c r="E6067" s="21" t="n">
        <v>0</v>
      </c>
      <c r="F6067" s="21" t="n">
        <v>0</v>
      </c>
      <c r="G6067" s="21" t="n">
        <v>0</v>
      </c>
      <c r="H6067" s="21">
        <f>$B$5338</f>
        <v/>
      </c>
      <c r="I6067" s="21">
        <f>$B$5340</f>
        <v/>
      </c>
      <c r="J6067" s="21">
        <f>0</f>
        <v/>
      </c>
      <c r="K6067" s="21">
        <f>2*$B$5339</f>
        <v/>
      </c>
      <c r="L6067" s="21">
        <f>-$B$5338</f>
        <v/>
      </c>
      <c r="M6067" s="21">
        <f>$B$5340</f>
        <v/>
      </c>
      <c r="N6067" s="21" t="n">
        <v>0</v>
      </c>
      <c r="O6067" s="21" t="n">
        <v>0</v>
      </c>
      <c r="P6067" s="21" t="n">
        <v>0</v>
      </c>
      <c r="Q6067" s="21" t="n">
        <v>0</v>
      </c>
      <c r="R6067" s="21" t="n">
        <v>0</v>
      </c>
      <c r="S6067" s="21" t="n">
        <v>0</v>
      </c>
      <c r="T6067" s="21" t="n">
        <v>0</v>
      </c>
      <c r="U6067" s="21" t="n">
        <v>0</v>
      </c>
      <c r="V6067" s="21" t="n">
        <v>0</v>
      </c>
      <c r="W6067" s="21" t="n">
        <v>0</v>
      </c>
      <c r="X6067" s="21" t="n">
        <v>0</v>
      </c>
      <c r="Y6067" s="21" t="n">
        <v>0</v>
      </c>
      <c r="Z6067" s="19" t="n"/>
    </row>
    <row r="6068">
      <c r="D6068" s="21" t="n">
        <v>0</v>
      </c>
      <c r="E6068" s="21" t="n">
        <v>0</v>
      </c>
      <c r="F6068" s="21" t="n">
        <v>0</v>
      </c>
      <c r="G6068" s="21" t="n">
        <v>0</v>
      </c>
      <c r="H6068" s="21" t="n">
        <v>0</v>
      </c>
      <c r="I6068" s="21" t="n">
        <v>0</v>
      </c>
      <c r="J6068" s="21">
        <f>-$B$5337</f>
        <v/>
      </c>
      <c r="K6068" s="21">
        <f>-$B$5338</f>
        <v/>
      </c>
      <c r="L6068" s="21">
        <f>2*$B$5337+$D$6052</f>
        <v/>
      </c>
      <c r="M6068" s="21">
        <f>0</f>
        <v/>
      </c>
      <c r="N6068" s="21">
        <f>-$B$5337</f>
        <v/>
      </c>
      <c r="O6068" s="21">
        <f>$B$5338</f>
        <v/>
      </c>
      <c r="P6068" s="21" t="n">
        <v>0</v>
      </c>
      <c r="Q6068" s="21" t="n">
        <v>0</v>
      </c>
      <c r="R6068" s="21" t="n">
        <v>0</v>
      </c>
      <c r="S6068" s="21" t="n">
        <v>0</v>
      </c>
      <c r="T6068" s="21" t="n">
        <v>0</v>
      </c>
      <c r="U6068" s="21" t="n">
        <v>0</v>
      </c>
      <c r="V6068" s="21" t="n">
        <v>0</v>
      </c>
      <c r="W6068" s="21" t="n">
        <v>0</v>
      </c>
      <c r="X6068" s="21" t="n">
        <v>0</v>
      </c>
      <c r="Y6068" s="21" t="n">
        <v>0</v>
      </c>
      <c r="Z6068" s="19" t="n"/>
    </row>
    <row r="6069">
      <c r="D6069" s="21" t="n">
        <v>0</v>
      </c>
      <c r="E6069" s="21" t="n">
        <v>0</v>
      </c>
      <c r="F6069" s="21" t="n">
        <v>0</v>
      </c>
      <c r="G6069" s="21" t="n">
        <v>0</v>
      </c>
      <c r="H6069" s="21" t="n">
        <v>0</v>
      </c>
      <c r="I6069" s="21" t="n">
        <v>0</v>
      </c>
      <c r="J6069" s="21">
        <f>$B$5338</f>
        <v/>
      </c>
      <c r="K6069" s="21">
        <f>$B$5340</f>
        <v/>
      </c>
      <c r="L6069" s="21">
        <f>0</f>
        <v/>
      </c>
      <c r="M6069" s="21">
        <f>2*$B$5339</f>
        <v/>
      </c>
      <c r="N6069" s="21">
        <f>-$B$5338</f>
        <v/>
      </c>
      <c r="O6069" s="21">
        <f>$B$5340</f>
        <v/>
      </c>
      <c r="P6069" s="21" t="n">
        <v>0</v>
      </c>
      <c r="Q6069" s="21" t="n">
        <v>0</v>
      </c>
      <c r="R6069" s="21" t="n">
        <v>0</v>
      </c>
      <c r="S6069" s="21" t="n">
        <v>0</v>
      </c>
      <c r="T6069" s="21" t="n">
        <v>0</v>
      </c>
      <c r="U6069" s="21" t="n">
        <v>0</v>
      </c>
      <c r="V6069" s="21" t="n">
        <v>0</v>
      </c>
      <c r="W6069" s="21" t="n">
        <v>0</v>
      </c>
      <c r="X6069" s="21" t="n">
        <v>0</v>
      </c>
      <c r="Y6069" s="21" t="n">
        <v>0</v>
      </c>
      <c r="Z6069" s="19" t="n"/>
    </row>
    <row r="6070">
      <c r="D6070" s="21" t="n">
        <v>0</v>
      </c>
      <c r="E6070" s="21" t="n">
        <v>0</v>
      </c>
      <c r="F6070" s="21" t="n">
        <v>0</v>
      </c>
      <c r="G6070" s="21" t="n">
        <v>0</v>
      </c>
      <c r="H6070" s="21" t="n">
        <v>0</v>
      </c>
      <c r="I6070" s="21" t="n">
        <v>0</v>
      </c>
      <c r="J6070" s="21" t="n">
        <v>0</v>
      </c>
      <c r="K6070" s="21" t="n">
        <v>0</v>
      </c>
      <c r="L6070" s="21">
        <f>-$B$5337</f>
        <v/>
      </c>
      <c r="M6070" s="21">
        <f>-$B$5338</f>
        <v/>
      </c>
      <c r="N6070" s="21">
        <f>2*$B$5337+$D$6053</f>
        <v/>
      </c>
      <c r="O6070" s="21">
        <f>0</f>
        <v/>
      </c>
      <c r="P6070" s="21">
        <f>-$B$5337</f>
        <v/>
      </c>
      <c r="Q6070" s="21">
        <f>$B$5338</f>
        <v/>
      </c>
      <c r="R6070" s="21" t="n">
        <v>0</v>
      </c>
      <c r="S6070" s="21" t="n">
        <v>0</v>
      </c>
      <c r="T6070" s="21" t="n">
        <v>0</v>
      </c>
      <c r="U6070" s="21" t="n">
        <v>0</v>
      </c>
      <c r="V6070" s="21" t="n">
        <v>0</v>
      </c>
      <c r="W6070" s="21" t="n">
        <v>0</v>
      </c>
      <c r="X6070" s="21" t="n">
        <v>0</v>
      </c>
      <c r="Y6070" s="21" t="n">
        <v>0</v>
      </c>
      <c r="Z6070" s="19" t="n"/>
    </row>
    <row r="6071">
      <c r="D6071" s="21" t="n">
        <v>0</v>
      </c>
      <c r="E6071" s="21" t="n">
        <v>0</v>
      </c>
      <c r="F6071" s="21" t="n">
        <v>0</v>
      </c>
      <c r="G6071" s="21" t="n">
        <v>0</v>
      </c>
      <c r="H6071" s="21" t="n">
        <v>0</v>
      </c>
      <c r="I6071" s="21" t="n">
        <v>0</v>
      </c>
      <c r="J6071" s="21" t="n">
        <v>0</v>
      </c>
      <c r="K6071" s="21" t="n">
        <v>0</v>
      </c>
      <c r="L6071" s="21">
        <f>$B$5338</f>
        <v/>
      </c>
      <c r="M6071" s="21">
        <f>$B$5340</f>
        <v/>
      </c>
      <c r="N6071" s="21">
        <f>0</f>
        <v/>
      </c>
      <c r="O6071" s="21">
        <f>2*$B$5339</f>
        <v/>
      </c>
      <c r="P6071" s="21">
        <f>-$B$5338</f>
        <v/>
      </c>
      <c r="Q6071" s="21">
        <f>$B$5340</f>
        <v/>
      </c>
      <c r="R6071" s="21" t="n">
        <v>0</v>
      </c>
      <c r="S6071" s="21" t="n">
        <v>0</v>
      </c>
      <c r="T6071" s="21" t="n">
        <v>0</v>
      </c>
      <c r="U6071" s="21" t="n">
        <v>0</v>
      </c>
      <c r="V6071" s="21" t="n">
        <v>0</v>
      </c>
      <c r="W6071" s="21" t="n">
        <v>0</v>
      </c>
      <c r="X6071" s="21" t="n">
        <v>0</v>
      </c>
      <c r="Y6071" s="21" t="n">
        <v>0</v>
      </c>
      <c r="Z6071" s="19" t="n"/>
    </row>
    <row r="6072">
      <c r="D6072" s="21" t="n">
        <v>0</v>
      </c>
      <c r="E6072" s="21" t="n">
        <v>0</v>
      </c>
      <c r="F6072" s="21" t="n">
        <v>0</v>
      </c>
      <c r="G6072" s="21" t="n">
        <v>0</v>
      </c>
      <c r="H6072" s="21" t="n">
        <v>0</v>
      </c>
      <c r="I6072" s="21" t="n">
        <v>0</v>
      </c>
      <c r="J6072" s="21" t="n">
        <v>0</v>
      </c>
      <c r="K6072" s="21" t="n">
        <v>0</v>
      </c>
      <c r="L6072" s="21" t="n">
        <v>0</v>
      </c>
      <c r="M6072" s="21" t="n">
        <v>0</v>
      </c>
      <c r="N6072" s="21">
        <f>-$B$5337</f>
        <v/>
      </c>
      <c r="O6072" s="21">
        <f>-$B$5338</f>
        <v/>
      </c>
      <c r="P6072" s="21">
        <f>2*$B$5337+$D$6054</f>
        <v/>
      </c>
      <c r="Q6072" s="21">
        <f>0</f>
        <v/>
      </c>
      <c r="R6072" s="21">
        <f>-$B$5337</f>
        <v/>
      </c>
      <c r="S6072" s="21">
        <f>$B$5338</f>
        <v/>
      </c>
      <c r="T6072" s="21" t="n">
        <v>0</v>
      </c>
      <c r="U6072" s="21" t="n">
        <v>0</v>
      </c>
      <c r="V6072" s="21" t="n">
        <v>0</v>
      </c>
      <c r="W6072" s="21" t="n">
        <v>0</v>
      </c>
      <c r="X6072" s="21" t="n">
        <v>0</v>
      </c>
      <c r="Y6072" s="21" t="n">
        <v>0</v>
      </c>
      <c r="Z6072" s="19" t="n"/>
    </row>
    <row r="6073">
      <c r="D6073" s="21" t="n">
        <v>0</v>
      </c>
      <c r="E6073" s="21" t="n">
        <v>0</v>
      </c>
      <c r="F6073" s="21" t="n">
        <v>0</v>
      </c>
      <c r="G6073" s="21" t="n">
        <v>0</v>
      </c>
      <c r="H6073" s="21" t="n">
        <v>0</v>
      </c>
      <c r="I6073" s="21" t="n">
        <v>0</v>
      </c>
      <c r="J6073" s="21" t="n">
        <v>0</v>
      </c>
      <c r="K6073" s="21" t="n">
        <v>0</v>
      </c>
      <c r="L6073" s="21" t="n">
        <v>0</v>
      </c>
      <c r="M6073" s="21" t="n">
        <v>0</v>
      </c>
      <c r="N6073" s="21">
        <f>$B$5338</f>
        <v/>
      </c>
      <c r="O6073" s="21">
        <f>$B$5340</f>
        <v/>
      </c>
      <c r="P6073" s="21">
        <f>0</f>
        <v/>
      </c>
      <c r="Q6073" s="21">
        <f>2*$B$5339</f>
        <v/>
      </c>
      <c r="R6073" s="21">
        <f>-$B$5338</f>
        <v/>
      </c>
      <c r="S6073" s="21">
        <f>$B$5340</f>
        <v/>
      </c>
      <c r="T6073" s="21" t="n">
        <v>0</v>
      </c>
      <c r="U6073" s="21" t="n">
        <v>0</v>
      </c>
      <c r="V6073" s="21" t="n">
        <v>0</v>
      </c>
      <c r="W6073" s="21" t="n">
        <v>0</v>
      </c>
      <c r="X6073" s="21" t="n">
        <v>0</v>
      </c>
      <c r="Y6073" s="21" t="n">
        <v>0</v>
      </c>
      <c r="Z6073" s="19" t="n"/>
    </row>
    <row r="6074">
      <c r="D6074" s="21" t="n">
        <v>0</v>
      </c>
      <c r="E6074" s="21" t="n">
        <v>0</v>
      </c>
      <c r="F6074" s="21" t="n">
        <v>0</v>
      </c>
      <c r="G6074" s="21" t="n">
        <v>0</v>
      </c>
      <c r="H6074" s="21" t="n">
        <v>0</v>
      </c>
      <c r="I6074" s="21" t="n">
        <v>0</v>
      </c>
      <c r="J6074" s="21" t="n">
        <v>0</v>
      </c>
      <c r="K6074" s="21" t="n">
        <v>0</v>
      </c>
      <c r="L6074" s="21" t="n">
        <v>0</v>
      </c>
      <c r="M6074" s="21" t="n">
        <v>0</v>
      </c>
      <c r="N6074" s="21" t="n">
        <v>0</v>
      </c>
      <c r="O6074" s="21" t="n">
        <v>0</v>
      </c>
      <c r="P6074" s="21">
        <f>-$B$5337</f>
        <v/>
      </c>
      <c r="Q6074" s="21">
        <f>-$B$5338</f>
        <v/>
      </c>
      <c r="R6074" s="21">
        <f>2*$B$5337+$D$6055</f>
        <v/>
      </c>
      <c r="S6074" s="21">
        <f>0</f>
        <v/>
      </c>
      <c r="T6074" s="21">
        <f>-$B$5337</f>
        <v/>
      </c>
      <c r="U6074" s="21">
        <f>$B$5338</f>
        <v/>
      </c>
      <c r="V6074" s="21" t="n">
        <v>0</v>
      </c>
      <c r="W6074" s="21" t="n">
        <v>0</v>
      </c>
      <c r="X6074" s="21" t="n">
        <v>0</v>
      </c>
      <c r="Y6074" s="21" t="n">
        <v>0</v>
      </c>
      <c r="Z6074" s="19" t="n"/>
    </row>
    <row r="6075">
      <c r="D6075" s="21" t="n">
        <v>0</v>
      </c>
      <c r="E6075" s="21" t="n">
        <v>0</v>
      </c>
      <c r="F6075" s="21" t="n">
        <v>0</v>
      </c>
      <c r="G6075" s="21" t="n">
        <v>0</v>
      </c>
      <c r="H6075" s="21" t="n">
        <v>0</v>
      </c>
      <c r="I6075" s="21" t="n">
        <v>0</v>
      </c>
      <c r="J6075" s="21" t="n">
        <v>0</v>
      </c>
      <c r="K6075" s="21" t="n">
        <v>0</v>
      </c>
      <c r="L6075" s="21" t="n">
        <v>0</v>
      </c>
      <c r="M6075" s="21" t="n">
        <v>0</v>
      </c>
      <c r="N6075" s="21" t="n">
        <v>0</v>
      </c>
      <c r="O6075" s="21" t="n">
        <v>0</v>
      </c>
      <c r="P6075" s="21">
        <f>$B$5338</f>
        <v/>
      </c>
      <c r="Q6075" s="21">
        <f>$B$5340</f>
        <v/>
      </c>
      <c r="R6075" s="21">
        <f>0</f>
        <v/>
      </c>
      <c r="S6075" s="21">
        <f>2*$B$5339</f>
        <v/>
      </c>
      <c r="T6075" s="21">
        <f>-$B$5338</f>
        <v/>
      </c>
      <c r="U6075" s="21">
        <f>$B$5340</f>
        <v/>
      </c>
      <c r="V6075" s="21" t="n">
        <v>0</v>
      </c>
      <c r="W6075" s="21" t="n">
        <v>0</v>
      </c>
      <c r="X6075" s="21" t="n">
        <v>0</v>
      </c>
      <c r="Y6075" s="21" t="n">
        <v>0</v>
      </c>
      <c r="Z6075" s="19" t="n"/>
    </row>
    <row r="6076">
      <c r="D6076" s="21" t="n">
        <v>0</v>
      </c>
      <c r="E6076" s="21" t="n">
        <v>0</v>
      </c>
      <c r="F6076" s="21" t="n">
        <v>0</v>
      </c>
      <c r="G6076" s="21" t="n">
        <v>0</v>
      </c>
      <c r="H6076" s="21" t="n">
        <v>0</v>
      </c>
      <c r="I6076" s="21" t="n">
        <v>0</v>
      </c>
      <c r="J6076" s="21" t="n">
        <v>0</v>
      </c>
      <c r="K6076" s="21" t="n">
        <v>0</v>
      </c>
      <c r="L6076" s="21" t="n">
        <v>0</v>
      </c>
      <c r="M6076" s="21" t="n">
        <v>0</v>
      </c>
      <c r="N6076" s="21" t="n">
        <v>0</v>
      </c>
      <c r="O6076" s="21" t="n">
        <v>0</v>
      </c>
      <c r="P6076" s="21" t="n">
        <v>0</v>
      </c>
      <c r="Q6076" s="21" t="n">
        <v>0</v>
      </c>
      <c r="R6076" s="21">
        <f>-$B$5337</f>
        <v/>
      </c>
      <c r="S6076" s="21">
        <f>-$B$5338</f>
        <v/>
      </c>
      <c r="T6076" s="21">
        <f>2*$B$5337+$D$6056</f>
        <v/>
      </c>
      <c r="U6076" s="21">
        <f>0</f>
        <v/>
      </c>
      <c r="V6076" s="21">
        <f>-$B$5337</f>
        <v/>
      </c>
      <c r="W6076" s="21">
        <f>$B$5338</f>
        <v/>
      </c>
      <c r="X6076" s="21" t="n">
        <v>0</v>
      </c>
      <c r="Y6076" s="21" t="n">
        <v>0</v>
      </c>
      <c r="Z6076" s="19" t="n"/>
    </row>
    <row r="6077">
      <c r="D6077" s="21" t="n">
        <v>0</v>
      </c>
      <c r="E6077" s="21" t="n">
        <v>0</v>
      </c>
      <c r="F6077" s="21" t="n">
        <v>0</v>
      </c>
      <c r="G6077" s="21" t="n">
        <v>0</v>
      </c>
      <c r="H6077" s="21" t="n">
        <v>0</v>
      </c>
      <c r="I6077" s="21" t="n">
        <v>0</v>
      </c>
      <c r="J6077" s="21" t="n">
        <v>0</v>
      </c>
      <c r="K6077" s="21" t="n">
        <v>0</v>
      </c>
      <c r="L6077" s="21" t="n">
        <v>0</v>
      </c>
      <c r="M6077" s="21" t="n">
        <v>0</v>
      </c>
      <c r="N6077" s="21" t="n">
        <v>0</v>
      </c>
      <c r="O6077" s="21" t="n">
        <v>0</v>
      </c>
      <c r="P6077" s="21" t="n">
        <v>0</v>
      </c>
      <c r="Q6077" s="21" t="n">
        <v>0</v>
      </c>
      <c r="R6077" s="21">
        <f>$B$5338</f>
        <v/>
      </c>
      <c r="S6077" s="21">
        <f>$B$5340</f>
        <v/>
      </c>
      <c r="T6077" s="21">
        <f>0</f>
        <v/>
      </c>
      <c r="U6077" s="21">
        <f>2*$B$5339</f>
        <v/>
      </c>
      <c r="V6077" s="21">
        <f>-$B$5338</f>
        <v/>
      </c>
      <c r="W6077" s="21">
        <f>$B$5340</f>
        <v/>
      </c>
      <c r="X6077" s="21" t="n">
        <v>0</v>
      </c>
      <c r="Y6077" s="21" t="n">
        <v>0</v>
      </c>
      <c r="Z6077" s="19" t="n"/>
    </row>
    <row r="6078">
      <c r="D6078" s="21" t="n">
        <v>0</v>
      </c>
      <c r="E6078" s="21" t="n">
        <v>0</v>
      </c>
      <c r="F6078" s="21" t="n">
        <v>0</v>
      </c>
      <c r="G6078" s="21" t="n">
        <v>0</v>
      </c>
      <c r="H6078" s="21" t="n">
        <v>0</v>
      </c>
      <c r="I6078" s="21" t="n">
        <v>0</v>
      </c>
      <c r="J6078" s="21" t="n">
        <v>0</v>
      </c>
      <c r="K6078" s="21" t="n">
        <v>0</v>
      </c>
      <c r="L6078" s="21" t="n">
        <v>0</v>
      </c>
      <c r="M6078" s="21" t="n">
        <v>0</v>
      </c>
      <c r="N6078" s="21" t="n">
        <v>0</v>
      </c>
      <c r="O6078" s="21" t="n">
        <v>0</v>
      </c>
      <c r="P6078" s="21" t="n">
        <v>0</v>
      </c>
      <c r="Q6078" s="21" t="n">
        <v>0</v>
      </c>
      <c r="R6078" s="21" t="n">
        <v>0</v>
      </c>
      <c r="S6078" s="21" t="n">
        <v>0</v>
      </c>
      <c r="T6078" s="21">
        <f>-$B$5337</f>
        <v/>
      </c>
      <c r="U6078" s="21">
        <f>-$B$5338</f>
        <v/>
      </c>
      <c r="V6078" s="21">
        <f>2*$B$5337+$D$6057</f>
        <v/>
      </c>
      <c r="W6078" s="21">
        <f>0</f>
        <v/>
      </c>
      <c r="X6078" s="21">
        <f>-$B$5337</f>
        <v/>
      </c>
      <c r="Y6078" s="21">
        <f>$B$5338</f>
        <v/>
      </c>
      <c r="Z6078" s="19" t="n"/>
    </row>
    <row r="6079">
      <c r="D6079" s="21" t="n">
        <v>0</v>
      </c>
      <c r="E6079" s="21" t="n">
        <v>0</v>
      </c>
      <c r="F6079" s="21" t="n">
        <v>0</v>
      </c>
      <c r="G6079" s="21" t="n">
        <v>0</v>
      </c>
      <c r="H6079" s="21" t="n">
        <v>0</v>
      </c>
      <c r="I6079" s="21" t="n">
        <v>0</v>
      </c>
      <c r="J6079" s="21" t="n">
        <v>0</v>
      </c>
      <c r="K6079" s="21" t="n">
        <v>0</v>
      </c>
      <c r="L6079" s="21" t="n">
        <v>0</v>
      </c>
      <c r="M6079" s="21" t="n">
        <v>0</v>
      </c>
      <c r="N6079" s="21" t="n">
        <v>0</v>
      </c>
      <c r="O6079" s="21" t="n">
        <v>0</v>
      </c>
      <c r="P6079" s="21" t="n">
        <v>0</v>
      </c>
      <c r="Q6079" s="21" t="n">
        <v>0</v>
      </c>
      <c r="R6079" s="21" t="n">
        <v>0</v>
      </c>
      <c r="S6079" s="21" t="n">
        <v>0</v>
      </c>
      <c r="T6079" s="21">
        <f>$B$5338</f>
        <v/>
      </c>
      <c r="U6079" s="21">
        <f>$B$5340</f>
        <v/>
      </c>
      <c r="V6079" s="21">
        <f>0</f>
        <v/>
      </c>
      <c r="W6079" s="21">
        <f>2*$B$5339</f>
        <v/>
      </c>
      <c r="X6079" s="21">
        <f>-$B$5338</f>
        <v/>
      </c>
      <c r="Y6079" s="21">
        <f>$B$5340</f>
        <v/>
      </c>
      <c r="Z6079" s="19" t="n"/>
    </row>
    <row r="6080">
      <c r="D6080" s="21" t="n">
        <v>0</v>
      </c>
      <c r="E6080" s="21" t="n">
        <v>0</v>
      </c>
      <c r="F6080" s="21" t="n">
        <v>0</v>
      </c>
      <c r="G6080" s="21" t="n">
        <v>0</v>
      </c>
      <c r="H6080" s="21" t="n">
        <v>0</v>
      </c>
      <c r="I6080" s="21" t="n">
        <v>0</v>
      </c>
      <c r="J6080" s="21" t="n">
        <v>0</v>
      </c>
      <c r="K6080" s="21" t="n">
        <v>0</v>
      </c>
      <c r="L6080" s="21" t="n">
        <v>0</v>
      </c>
      <c r="M6080" s="21" t="n">
        <v>0</v>
      </c>
      <c r="N6080" s="21" t="n">
        <v>0</v>
      </c>
      <c r="O6080" s="21" t="n">
        <v>0</v>
      </c>
      <c r="P6080" s="21" t="n">
        <v>0</v>
      </c>
      <c r="Q6080" s="21" t="n">
        <v>0</v>
      </c>
      <c r="R6080" s="21" t="n">
        <v>0</v>
      </c>
      <c r="S6080" s="21" t="n">
        <v>0</v>
      </c>
      <c r="T6080" s="21" t="n">
        <v>0</v>
      </c>
      <c r="U6080" s="21" t="n">
        <v>0</v>
      </c>
      <c r="V6080" s="21">
        <f>-$B$5337</f>
        <v/>
      </c>
      <c r="W6080" s="21">
        <f>-$B$5338</f>
        <v/>
      </c>
      <c r="X6080" s="21">
        <f>$B$5337+$D$6058</f>
        <v/>
      </c>
      <c r="Y6080" s="21">
        <f>-$B$5338</f>
        <v/>
      </c>
      <c r="Z6080" s="19" t="n"/>
    </row>
    <row r="6081">
      <c r="D6081" s="21" t="n">
        <v>0</v>
      </c>
      <c r="E6081" s="21" t="n">
        <v>0</v>
      </c>
      <c r="F6081" s="21" t="n">
        <v>0</v>
      </c>
      <c r="G6081" s="21" t="n">
        <v>0</v>
      </c>
      <c r="H6081" s="21" t="n">
        <v>0</v>
      </c>
      <c r="I6081" s="21" t="n">
        <v>0</v>
      </c>
      <c r="J6081" s="21" t="n">
        <v>0</v>
      </c>
      <c r="K6081" s="21" t="n">
        <v>0</v>
      </c>
      <c r="L6081" s="21" t="n">
        <v>0</v>
      </c>
      <c r="M6081" s="21" t="n">
        <v>0</v>
      </c>
      <c r="N6081" s="21" t="n">
        <v>0</v>
      </c>
      <c r="O6081" s="21" t="n">
        <v>0</v>
      </c>
      <c r="P6081" s="21" t="n">
        <v>0</v>
      </c>
      <c r="Q6081" s="21" t="n">
        <v>0</v>
      </c>
      <c r="R6081" s="21" t="n">
        <v>0</v>
      </c>
      <c r="S6081" s="21" t="n">
        <v>0</v>
      </c>
      <c r="T6081" s="21" t="n">
        <v>0</v>
      </c>
      <c r="U6081" s="21" t="n">
        <v>0</v>
      </c>
      <c r="V6081" s="21">
        <f>$B$5338</f>
        <v/>
      </c>
      <c r="W6081" s="21">
        <f>$B$5340</f>
        <v/>
      </c>
      <c r="X6081" s="21">
        <f>-$B$5338</f>
        <v/>
      </c>
      <c r="Y6081" s="21">
        <f>$B$5339</f>
        <v/>
      </c>
      <c r="Z6081" s="19" t="n"/>
    </row>
    <row r="6083">
      <c r="A6083" s="8" t="inlineStr">
        <is>
          <t>gen 20</t>
        </is>
      </c>
    </row>
    <row r="6084">
      <c r="D6084" s="19">
        <f>IF(ABS(IF(ABS($E$6048)&gt;0.000000001,$E$6048,0.000000001))=0,0,IF($E$5352&lt;=$B$5346,0,IF(ABS(IF(ABS($E$6048)&gt;0.000000001,$E$6048,0.000000001))&gt;=8*$B$5348,$H$5352,0.5*$H$5352*(ABS(IF(ABS($E$6048)&gt;0.000000001,$E$6048,0.000000001))/$B$5348)^(1/3)))/ABS(IF(ABS($E$6048)&gt;0.000000001,$E$6048,0.000000001))*$I$5352)</f>
        <v/>
      </c>
      <c r="E6084" s="19">
        <f>0.5*$E$6048+0.5*$Z$6096</f>
        <v/>
      </c>
      <c r="F6084" s="19">
        <f>$Z$6097</f>
        <v/>
      </c>
    </row>
    <row r="6085">
      <c r="D6085" s="19">
        <f>IF(ABS(IF(ABS($E$6049)&gt;0.000000001,$E$6049,0.000000001))=0,0,IF($E$5353&lt;=$B$5346,0,IF(ABS(IF(ABS($E$6049)&gt;0.000000001,$E$6049,0.000000001))&gt;=8*$B$5348,$H$5353,0.5*$H$5353*(ABS(IF(ABS($E$6049)&gt;0.000000001,$E$6049,0.000000001))/$B$5348)^(1/3)))/ABS(IF(ABS($E$6049)&gt;0.000000001,$E$6049,0.000000001))*$I$5353)</f>
        <v/>
      </c>
      <c r="E6085" s="19">
        <f>0.5*$E$6049+0.5*$Z$6098</f>
        <v/>
      </c>
      <c r="F6085" s="19">
        <f>$Z$6099</f>
        <v/>
      </c>
    </row>
    <row r="6086">
      <c r="D6086" s="19">
        <f>IF(ABS(IF(ABS($E$6050)&gt;0.000000001,$E$6050,0.000000001))=0,0,IF($E$5354&lt;=$B$5346,0,IF(ABS(IF(ABS($E$6050)&gt;0.000000001,$E$6050,0.000000001))&gt;=8*$B$5348,$H$5354,0.5*$H$5354*(ABS(IF(ABS($E$6050)&gt;0.000000001,$E$6050,0.000000001))/$B$5348)^(1/3)))/ABS(IF(ABS($E$6050)&gt;0.000000001,$E$6050,0.000000001))*$I$5354)</f>
        <v/>
      </c>
      <c r="E6086" s="19">
        <f>0.5*$E$6050+0.5*$Z$6100</f>
        <v/>
      </c>
      <c r="F6086" s="19">
        <f>$Z$6101</f>
        <v/>
      </c>
    </row>
    <row r="6087">
      <c r="D6087" s="19">
        <f>IF(ABS(IF(ABS($E$6051)&gt;0.000000001,$E$6051,0.000000001))=0,0,IF($E$5355&lt;=$B$5346,0,IF(ABS(IF(ABS($E$6051)&gt;0.000000001,$E$6051,0.000000001))&gt;=8*$B$5348,$H$5355,0.5*$H$5355*(ABS(IF(ABS($E$6051)&gt;0.000000001,$E$6051,0.000000001))/$B$5348)^(1/3)))/ABS(IF(ABS($E$6051)&gt;0.000000001,$E$6051,0.000000001))*$I$5355)</f>
        <v/>
      </c>
      <c r="E6087" s="19">
        <f>0.5*$E$6051+0.5*$Z$6102</f>
        <v/>
      </c>
      <c r="F6087" s="19">
        <f>$Z$6103</f>
        <v/>
      </c>
    </row>
    <row r="6088">
      <c r="D6088" s="19">
        <f>IF(ABS(IF(ABS($E$6052)&gt;0.000000001,$E$6052,0.000000001))=0,0,IF($E$5356&lt;=$B$5346,0,IF(ABS(IF(ABS($E$6052)&gt;0.000000001,$E$6052,0.000000001))&gt;=8*$B$5348,$H$5356,0.5*$H$5356*(ABS(IF(ABS($E$6052)&gt;0.000000001,$E$6052,0.000000001))/$B$5348)^(1/3)))/ABS(IF(ABS($E$6052)&gt;0.000000001,$E$6052,0.000000001))*$I$5356)</f>
        <v/>
      </c>
      <c r="E6088" s="19">
        <f>0.5*$E$6052+0.5*$Z$6104</f>
        <v/>
      </c>
      <c r="F6088" s="19">
        <f>$Z$6105</f>
        <v/>
      </c>
    </row>
    <row r="6089">
      <c r="D6089" s="19">
        <f>IF(ABS(IF(ABS($E$6053)&gt;0.000000001,$E$6053,0.000000001))=0,0,IF($E$5357&lt;=$B$5346,0,IF(ABS(IF(ABS($E$6053)&gt;0.000000001,$E$6053,0.000000001))&gt;=8*$B$5348,$H$5357,0.5*$H$5357*(ABS(IF(ABS($E$6053)&gt;0.000000001,$E$6053,0.000000001))/$B$5348)^(1/3)))/ABS(IF(ABS($E$6053)&gt;0.000000001,$E$6053,0.000000001))*$I$5357)</f>
        <v/>
      </c>
      <c r="E6089" s="19">
        <f>0.5*$E$6053+0.5*$Z$6106</f>
        <v/>
      </c>
      <c r="F6089" s="19">
        <f>$Z$6107</f>
        <v/>
      </c>
    </row>
    <row r="6090">
      <c r="D6090" s="19">
        <f>IF(ABS(IF(ABS($E$6054)&gt;0.000000001,$E$6054,0.000000001))=0,0,IF($E$5358&lt;=$B$5346,0,IF(ABS(IF(ABS($E$6054)&gt;0.000000001,$E$6054,0.000000001))&gt;=8*$B$5348,$H$5358,0.5*$H$5358*(ABS(IF(ABS($E$6054)&gt;0.000000001,$E$6054,0.000000001))/$B$5348)^(1/3)))/ABS(IF(ABS($E$6054)&gt;0.000000001,$E$6054,0.000000001))*$I$5358)</f>
        <v/>
      </c>
      <c r="E6090" s="19">
        <f>0.5*$E$6054+0.5*$Z$6108</f>
        <v/>
      </c>
      <c r="F6090" s="19">
        <f>$Z$6109</f>
        <v/>
      </c>
    </row>
    <row r="6091">
      <c r="D6091" s="19">
        <f>IF(ABS(IF(ABS($E$6055)&gt;0.000000001,$E$6055,0.000000001))=0,0,IF($E$5359&lt;=$B$5346,0,IF(ABS(IF(ABS($E$6055)&gt;0.000000001,$E$6055,0.000000001))&gt;=8*$B$5348,$H$5359,0.5*$H$5359*(ABS(IF(ABS($E$6055)&gt;0.000000001,$E$6055,0.000000001))/$B$5348)^(1/3)))/ABS(IF(ABS($E$6055)&gt;0.000000001,$E$6055,0.000000001))*$I$5359)</f>
        <v/>
      </c>
      <c r="E6091" s="19">
        <f>0.5*$E$6055+0.5*$Z$6110</f>
        <v/>
      </c>
      <c r="F6091" s="19">
        <f>$Z$6111</f>
        <v/>
      </c>
    </row>
    <row r="6092">
      <c r="D6092" s="19">
        <f>IF(ABS(IF(ABS($E$6056)&gt;0.000000001,$E$6056,0.000000001))=0,0,IF($E$5360&lt;=$B$5346,0,IF(ABS(IF(ABS($E$6056)&gt;0.000000001,$E$6056,0.000000001))&gt;=8*$B$5348,$H$5360,0.5*$H$5360*(ABS(IF(ABS($E$6056)&gt;0.000000001,$E$6056,0.000000001))/$B$5348)^(1/3)))/ABS(IF(ABS($E$6056)&gt;0.000000001,$E$6056,0.000000001))*$I$5360)</f>
        <v/>
      </c>
      <c r="E6092" s="19">
        <f>0.5*$E$6056+0.5*$Z$6112</f>
        <v/>
      </c>
      <c r="F6092" s="19">
        <f>$Z$6113</f>
        <v/>
      </c>
    </row>
    <row r="6093">
      <c r="D6093" s="19">
        <f>IF(ABS(IF(ABS($E$6057)&gt;0.000000001,$E$6057,0.000000001))=0,0,IF($E$5361&lt;=$B$5346,0,IF(ABS(IF(ABS($E$6057)&gt;0.000000001,$E$6057,0.000000001))&gt;=8*$B$5348,$H$5361,0.5*$H$5361*(ABS(IF(ABS($E$6057)&gt;0.000000001,$E$6057,0.000000001))/$B$5348)^(1/3)))/ABS(IF(ABS($E$6057)&gt;0.000000001,$E$6057,0.000000001))*$I$5361)</f>
        <v/>
      </c>
      <c r="E6093" s="19">
        <f>0.5*$E$6057+0.5*$Z$6114</f>
        <v/>
      </c>
      <c r="F6093" s="19">
        <f>$Z$6115</f>
        <v/>
      </c>
    </row>
    <row r="6094">
      <c r="D6094" s="19">
        <f>IF(ABS(IF(ABS($E$6058)&gt;0.000000001,$E$6058,0.000000001))=0,0,IF($E$5362&lt;=$B$5346,0,IF(ABS(IF(ABS($E$6058)&gt;0.000000001,$E$6058,0.000000001))&gt;=8*$B$5348,$H$5362,0.5*$H$5362*(ABS(IF(ABS($E$6058)&gt;0.000000001,$E$6058,0.000000001))/$B$5348)^(1/3)))/ABS(IF(ABS($E$6058)&gt;0.000000001,$E$6058,0.000000001))*$I$5362)</f>
        <v/>
      </c>
      <c r="E6094" s="19">
        <f>0.5*$E$6058+0.5*$Z$6116</f>
        <v/>
      </c>
      <c r="F6094" s="19">
        <f>$Z$6117</f>
        <v/>
      </c>
    </row>
    <row r="6096">
      <c r="D6096" s="21">
        <f>$B$5337+$D$6084</f>
        <v/>
      </c>
      <c r="E6096" s="21">
        <f>$B$5338</f>
        <v/>
      </c>
      <c r="F6096" s="21">
        <f>-$B$5337</f>
        <v/>
      </c>
      <c r="G6096" s="21">
        <f>$B$5338</f>
        <v/>
      </c>
      <c r="H6096" s="21" t="n">
        <v>0</v>
      </c>
      <c r="I6096" s="21" t="n">
        <v>0</v>
      </c>
      <c r="J6096" s="21" t="n">
        <v>0</v>
      </c>
      <c r="K6096" s="21" t="n">
        <v>0</v>
      </c>
      <c r="L6096" s="21" t="n">
        <v>0</v>
      </c>
      <c r="M6096" s="21" t="n">
        <v>0</v>
      </c>
      <c r="N6096" s="21" t="n">
        <v>0</v>
      </c>
      <c r="O6096" s="21" t="n">
        <v>0</v>
      </c>
      <c r="P6096" s="21" t="n">
        <v>0</v>
      </c>
      <c r="Q6096" s="21" t="n">
        <v>0</v>
      </c>
      <c r="R6096" s="21" t="n">
        <v>0</v>
      </c>
      <c r="S6096" s="21" t="n">
        <v>0</v>
      </c>
      <c r="T6096" s="21" t="n">
        <v>0</v>
      </c>
      <c r="U6096" s="21" t="n">
        <v>0</v>
      </c>
      <c r="V6096" s="21" t="n">
        <v>0</v>
      </c>
      <c r="W6096" s="21" t="n">
        <v>0</v>
      </c>
      <c r="X6096" s="21" t="n">
        <v>0</v>
      </c>
      <c r="Y6096" s="21" t="n">
        <v>0</v>
      </c>
      <c r="Z6096" s="19">
        <f t="array" ref="Z6096:Z6117">MMULT(MINVERSE($D$6096:$Y$6117),$D$5364:$D$5385)</f>
        <v/>
      </c>
    </row>
    <row r="6097">
      <c r="D6097" s="21">
        <f>$B$5338</f>
        <v/>
      </c>
      <c r="E6097" s="21">
        <f>$B$5339</f>
        <v/>
      </c>
      <c r="F6097" s="21">
        <f>-$B$5338</f>
        <v/>
      </c>
      <c r="G6097" s="21">
        <f>$B$5340</f>
        <v/>
      </c>
      <c r="H6097" s="21" t="n">
        <v>0</v>
      </c>
      <c r="I6097" s="21" t="n">
        <v>0</v>
      </c>
      <c r="J6097" s="21" t="n">
        <v>0</v>
      </c>
      <c r="K6097" s="21" t="n">
        <v>0</v>
      </c>
      <c r="L6097" s="21" t="n">
        <v>0</v>
      </c>
      <c r="M6097" s="21" t="n">
        <v>0</v>
      </c>
      <c r="N6097" s="21" t="n">
        <v>0</v>
      </c>
      <c r="O6097" s="21" t="n">
        <v>0</v>
      </c>
      <c r="P6097" s="21" t="n">
        <v>0</v>
      </c>
      <c r="Q6097" s="21" t="n">
        <v>0</v>
      </c>
      <c r="R6097" s="21" t="n">
        <v>0</v>
      </c>
      <c r="S6097" s="21" t="n">
        <v>0</v>
      </c>
      <c r="T6097" s="21" t="n">
        <v>0</v>
      </c>
      <c r="U6097" s="21" t="n">
        <v>0</v>
      </c>
      <c r="V6097" s="21" t="n">
        <v>0</v>
      </c>
      <c r="W6097" s="21" t="n">
        <v>0</v>
      </c>
      <c r="X6097" s="21" t="n">
        <v>0</v>
      </c>
      <c r="Y6097" s="21" t="n">
        <v>0</v>
      </c>
      <c r="Z6097" s="19" t="n"/>
    </row>
    <row r="6098">
      <c r="D6098" s="21">
        <f>-$B$5337</f>
        <v/>
      </c>
      <c r="E6098" s="21">
        <f>-$B$5338</f>
        <v/>
      </c>
      <c r="F6098" s="21">
        <f>2*$B$5337+$D$6085</f>
        <v/>
      </c>
      <c r="G6098" s="21">
        <f>0</f>
        <v/>
      </c>
      <c r="H6098" s="21">
        <f>-$B$5337</f>
        <v/>
      </c>
      <c r="I6098" s="21">
        <f>$B$5338</f>
        <v/>
      </c>
      <c r="J6098" s="21" t="n">
        <v>0</v>
      </c>
      <c r="K6098" s="21" t="n">
        <v>0</v>
      </c>
      <c r="L6098" s="21" t="n">
        <v>0</v>
      </c>
      <c r="M6098" s="21" t="n">
        <v>0</v>
      </c>
      <c r="N6098" s="21" t="n">
        <v>0</v>
      </c>
      <c r="O6098" s="21" t="n">
        <v>0</v>
      </c>
      <c r="P6098" s="21" t="n">
        <v>0</v>
      </c>
      <c r="Q6098" s="21" t="n">
        <v>0</v>
      </c>
      <c r="R6098" s="21" t="n">
        <v>0</v>
      </c>
      <c r="S6098" s="21" t="n">
        <v>0</v>
      </c>
      <c r="T6098" s="21" t="n">
        <v>0</v>
      </c>
      <c r="U6098" s="21" t="n">
        <v>0</v>
      </c>
      <c r="V6098" s="21" t="n">
        <v>0</v>
      </c>
      <c r="W6098" s="21" t="n">
        <v>0</v>
      </c>
      <c r="X6098" s="21" t="n">
        <v>0</v>
      </c>
      <c r="Y6098" s="21" t="n">
        <v>0</v>
      </c>
      <c r="Z6098" s="19" t="n"/>
    </row>
    <row r="6099">
      <c r="D6099" s="21">
        <f>$B$5338</f>
        <v/>
      </c>
      <c r="E6099" s="21">
        <f>$B$5340</f>
        <v/>
      </c>
      <c r="F6099" s="21">
        <f>0</f>
        <v/>
      </c>
      <c r="G6099" s="21">
        <f>2*$B$5339</f>
        <v/>
      </c>
      <c r="H6099" s="21">
        <f>-$B$5338</f>
        <v/>
      </c>
      <c r="I6099" s="21">
        <f>$B$5340</f>
        <v/>
      </c>
      <c r="J6099" s="21" t="n">
        <v>0</v>
      </c>
      <c r="K6099" s="21" t="n">
        <v>0</v>
      </c>
      <c r="L6099" s="21" t="n">
        <v>0</v>
      </c>
      <c r="M6099" s="21" t="n">
        <v>0</v>
      </c>
      <c r="N6099" s="21" t="n">
        <v>0</v>
      </c>
      <c r="O6099" s="21" t="n">
        <v>0</v>
      </c>
      <c r="P6099" s="21" t="n">
        <v>0</v>
      </c>
      <c r="Q6099" s="21" t="n">
        <v>0</v>
      </c>
      <c r="R6099" s="21" t="n">
        <v>0</v>
      </c>
      <c r="S6099" s="21" t="n">
        <v>0</v>
      </c>
      <c r="T6099" s="21" t="n">
        <v>0</v>
      </c>
      <c r="U6099" s="21" t="n">
        <v>0</v>
      </c>
      <c r="V6099" s="21" t="n">
        <v>0</v>
      </c>
      <c r="W6099" s="21" t="n">
        <v>0</v>
      </c>
      <c r="X6099" s="21" t="n">
        <v>0</v>
      </c>
      <c r="Y6099" s="21" t="n">
        <v>0</v>
      </c>
      <c r="Z6099" s="19" t="n"/>
    </row>
    <row r="6100">
      <c r="D6100" s="21" t="n">
        <v>0</v>
      </c>
      <c r="E6100" s="21" t="n">
        <v>0</v>
      </c>
      <c r="F6100" s="21">
        <f>-$B$5337</f>
        <v/>
      </c>
      <c r="G6100" s="21">
        <f>-$B$5338</f>
        <v/>
      </c>
      <c r="H6100" s="21">
        <f>2*$B$5337+$D$6086</f>
        <v/>
      </c>
      <c r="I6100" s="21">
        <f>0</f>
        <v/>
      </c>
      <c r="J6100" s="21">
        <f>-$B$5337</f>
        <v/>
      </c>
      <c r="K6100" s="21">
        <f>$B$5338</f>
        <v/>
      </c>
      <c r="L6100" s="21" t="n">
        <v>0</v>
      </c>
      <c r="M6100" s="21" t="n">
        <v>0</v>
      </c>
      <c r="N6100" s="21" t="n">
        <v>0</v>
      </c>
      <c r="O6100" s="21" t="n">
        <v>0</v>
      </c>
      <c r="P6100" s="21" t="n">
        <v>0</v>
      </c>
      <c r="Q6100" s="21" t="n">
        <v>0</v>
      </c>
      <c r="R6100" s="21" t="n">
        <v>0</v>
      </c>
      <c r="S6100" s="21" t="n">
        <v>0</v>
      </c>
      <c r="T6100" s="21" t="n">
        <v>0</v>
      </c>
      <c r="U6100" s="21" t="n">
        <v>0</v>
      </c>
      <c r="V6100" s="21" t="n">
        <v>0</v>
      </c>
      <c r="W6100" s="21" t="n">
        <v>0</v>
      </c>
      <c r="X6100" s="21" t="n">
        <v>0</v>
      </c>
      <c r="Y6100" s="21" t="n">
        <v>0</v>
      </c>
      <c r="Z6100" s="19" t="n"/>
    </row>
    <row r="6101">
      <c r="D6101" s="21" t="n">
        <v>0</v>
      </c>
      <c r="E6101" s="21" t="n">
        <v>0</v>
      </c>
      <c r="F6101" s="21">
        <f>$B$5338</f>
        <v/>
      </c>
      <c r="G6101" s="21">
        <f>$B$5340</f>
        <v/>
      </c>
      <c r="H6101" s="21">
        <f>0</f>
        <v/>
      </c>
      <c r="I6101" s="21">
        <f>2*$B$5339</f>
        <v/>
      </c>
      <c r="J6101" s="21">
        <f>-$B$5338</f>
        <v/>
      </c>
      <c r="K6101" s="21">
        <f>$B$5340</f>
        <v/>
      </c>
      <c r="L6101" s="21" t="n">
        <v>0</v>
      </c>
      <c r="M6101" s="21" t="n">
        <v>0</v>
      </c>
      <c r="N6101" s="21" t="n">
        <v>0</v>
      </c>
      <c r="O6101" s="21" t="n">
        <v>0</v>
      </c>
      <c r="P6101" s="21" t="n">
        <v>0</v>
      </c>
      <c r="Q6101" s="21" t="n">
        <v>0</v>
      </c>
      <c r="R6101" s="21" t="n">
        <v>0</v>
      </c>
      <c r="S6101" s="21" t="n">
        <v>0</v>
      </c>
      <c r="T6101" s="21" t="n">
        <v>0</v>
      </c>
      <c r="U6101" s="21" t="n">
        <v>0</v>
      </c>
      <c r="V6101" s="21" t="n">
        <v>0</v>
      </c>
      <c r="W6101" s="21" t="n">
        <v>0</v>
      </c>
      <c r="X6101" s="21" t="n">
        <v>0</v>
      </c>
      <c r="Y6101" s="21" t="n">
        <v>0</v>
      </c>
      <c r="Z6101" s="19" t="n"/>
    </row>
    <row r="6102">
      <c r="D6102" s="21" t="n">
        <v>0</v>
      </c>
      <c r="E6102" s="21" t="n">
        <v>0</v>
      </c>
      <c r="F6102" s="21" t="n">
        <v>0</v>
      </c>
      <c r="G6102" s="21" t="n">
        <v>0</v>
      </c>
      <c r="H6102" s="21">
        <f>-$B$5337</f>
        <v/>
      </c>
      <c r="I6102" s="21">
        <f>-$B$5338</f>
        <v/>
      </c>
      <c r="J6102" s="21">
        <f>2*$B$5337+$D$6087</f>
        <v/>
      </c>
      <c r="K6102" s="21">
        <f>0</f>
        <v/>
      </c>
      <c r="L6102" s="21">
        <f>-$B$5337</f>
        <v/>
      </c>
      <c r="M6102" s="21">
        <f>$B$5338</f>
        <v/>
      </c>
      <c r="N6102" s="21" t="n">
        <v>0</v>
      </c>
      <c r="O6102" s="21" t="n">
        <v>0</v>
      </c>
      <c r="P6102" s="21" t="n">
        <v>0</v>
      </c>
      <c r="Q6102" s="21" t="n">
        <v>0</v>
      </c>
      <c r="R6102" s="21" t="n">
        <v>0</v>
      </c>
      <c r="S6102" s="21" t="n">
        <v>0</v>
      </c>
      <c r="T6102" s="21" t="n">
        <v>0</v>
      </c>
      <c r="U6102" s="21" t="n">
        <v>0</v>
      </c>
      <c r="V6102" s="21" t="n">
        <v>0</v>
      </c>
      <c r="W6102" s="21" t="n">
        <v>0</v>
      </c>
      <c r="X6102" s="21" t="n">
        <v>0</v>
      </c>
      <c r="Y6102" s="21" t="n">
        <v>0</v>
      </c>
      <c r="Z6102" s="19" t="n"/>
    </row>
    <row r="6103">
      <c r="D6103" s="21" t="n">
        <v>0</v>
      </c>
      <c r="E6103" s="21" t="n">
        <v>0</v>
      </c>
      <c r="F6103" s="21" t="n">
        <v>0</v>
      </c>
      <c r="G6103" s="21" t="n">
        <v>0</v>
      </c>
      <c r="H6103" s="21">
        <f>$B$5338</f>
        <v/>
      </c>
      <c r="I6103" s="21">
        <f>$B$5340</f>
        <v/>
      </c>
      <c r="J6103" s="21">
        <f>0</f>
        <v/>
      </c>
      <c r="K6103" s="21">
        <f>2*$B$5339</f>
        <v/>
      </c>
      <c r="L6103" s="21">
        <f>-$B$5338</f>
        <v/>
      </c>
      <c r="M6103" s="21">
        <f>$B$5340</f>
        <v/>
      </c>
      <c r="N6103" s="21" t="n">
        <v>0</v>
      </c>
      <c r="O6103" s="21" t="n">
        <v>0</v>
      </c>
      <c r="P6103" s="21" t="n">
        <v>0</v>
      </c>
      <c r="Q6103" s="21" t="n">
        <v>0</v>
      </c>
      <c r="R6103" s="21" t="n">
        <v>0</v>
      </c>
      <c r="S6103" s="21" t="n">
        <v>0</v>
      </c>
      <c r="T6103" s="21" t="n">
        <v>0</v>
      </c>
      <c r="U6103" s="21" t="n">
        <v>0</v>
      </c>
      <c r="V6103" s="21" t="n">
        <v>0</v>
      </c>
      <c r="W6103" s="21" t="n">
        <v>0</v>
      </c>
      <c r="X6103" s="21" t="n">
        <v>0</v>
      </c>
      <c r="Y6103" s="21" t="n">
        <v>0</v>
      </c>
      <c r="Z6103" s="19" t="n"/>
    </row>
    <row r="6104">
      <c r="D6104" s="21" t="n">
        <v>0</v>
      </c>
      <c r="E6104" s="21" t="n">
        <v>0</v>
      </c>
      <c r="F6104" s="21" t="n">
        <v>0</v>
      </c>
      <c r="G6104" s="21" t="n">
        <v>0</v>
      </c>
      <c r="H6104" s="21" t="n">
        <v>0</v>
      </c>
      <c r="I6104" s="21" t="n">
        <v>0</v>
      </c>
      <c r="J6104" s="21">
        <f>-$B$5337</f>
        <v/>
      </c>
      <c r="K6104" s="21">
        <f>-$B$5338</f>
        <v/>
      </c>
      <c r="L6104" s="21">
        <f>2*$B$5337+$D$6088</f>
        <v/>
      </c>
      <c r="M6104" s="21">
        <f>0</f>
        <v/>
      </c>
      <c r="N6104" s="21">
        <f>-$B$5337</f>
        <v/>
      </c>
      <c r="O6104" s="21">
        <f>$B$5338</f>
        <v/>
      </c>
      <c r="P6104" s="21" t="n">
        <v>0</v>
      </c>
      <c r="Q6104" s="21" t="n">
        <v>0</v>
      </c>
      <c r="R6104" s="21" t="n">
        <v>0</v>
      </c>
      <c r="S6104" s="21" t="n">
        <v>0</v>
      </c>
      <c r="T6104" s="21" t="n">
        <v>0</v>
      </c>
      <c r="U6104" s="21" t="n">
        <v>0</v>
      </c>
      <c r="V6104" s="21" t="n">
        <v>0</v>
      </c>
      <c r="W6104" s="21" t="n">
        <v>0</v>
      </c>
      <c r="X6104" s="21" t="n">
        <v>0</v>
      </c>
      <c r="Y6104" s="21" t="n">
        <v>0</v>
      </c>
      <c r="Z6104" s="19" t="n"/>
    </row>
    <row r="6105">
      <c r="D6105" s="21" t="n">
        <v>0</v>
      </c>
      <c r="E6105" s="21" t="n">
        <v>0</v>
      </c>
      <c r="F6105" s="21" t="n">
        <v>0</v>
      </c>
      <c r="G6105" s="21" t="n">
        <v>0</v>
      </c>
      <c r="H6105" s="21" t="n">
        <v>0</v>
      </c>
      <c r="I6105" s="21" t="n">
        <v>0</v>
      </c>
      <c r="J6105" s="21">
        <f>$B$5338</f>
        <v/>
      </c>
      <c r="K6105" s="21">
        <f>$B$5340</f>
        <v/>
      </c>
      <c r="L6105" s="21">
        <f>0</f>
        <v/>
      </c>
      <c r="M6105" s="21">
        <f>2*$B$5339</f>
        <v/>
      </c>
      <c r="N6105" s="21">
        <f>-$B$5338</f>
        <v/>
      </c>
      <c r="O6105" s="21">
        <f>$B$5340</f>
        <v/>
      </c>
      <c r="P6105" s="21" t="n">
        <v>0</v>
      </c>
      <c r="Q6105" s="21" t="n">
        <v>0</v>
      </c>
      <c r="R6105" s="21" t="n">
        <v>0</v>
      </c>
      <c r="S6105" s="21" t="n">
        <v>0</v>
      </c>
      <c r="T6105" s="21" t="n">
        <v>0</v>
      </c>
      <c r="U6105" s="21" t="n">
        <v>0</v>
      </c>
      <c r="V6105" s="21" t="n">
        <v>0</v>
      </c>
      <c r="W6105" s="21" t="n">
        <v>0</v>
      </c>
      <c r="X6105" s="21" t="n">
        <v>0</v>
      </c>
      <c r="Y6105" s="21" t="n">
        <v>0</v>
      </c>
      <c r="Z6105" s="19" t="n"/>
    </row>
    <row r="6106">
      <c r="D6106" s="21" t="n">
        <v>0</v>
      </c>
      <c r="E6106" s="21" t="n">
        <v>0</v>
      </c>
      <c r="F6106" s="21" t="n">
        <v>0</v>
      </c>
      <c r="G6106" s="21" t="n">
        <v>0</v>
      </c>
      <c r="H6106" s="21" t="n">
        <v>0</v>
      </c>
      <c r="I6106" s="21" t="n">
        <v>0</v>
      </c>
      <c r="J6106" s="21" t="n">
        <v>0</v>
      </c>
      <c r="K6106" s="21" t="n">
        <v>0</v>
      </c>
      <c r="L6106" s="21">
        <f>-$B$5337</f>
        <v/>
      </c>
      <c r="M6106" s="21">
        <f>-$B$5338</f>
        <v/>
      </c>
      <c r="N6106" s="21">
        <f>2*$B$5337+$D$6089</f>
        <v/>
      </c>
      <c r="O6106" s="21">
        <f>0</f>
        <v/>
      </c>
      <c r="P6106" s="21">
        <f>-$B$5337</f>
        <v/>
      </c>
      <c r="Q6106" s="21">
        <f>$B$5338</f>
        <v/>
      </c>
      <c r="R6106" s="21" t="n">
        <v>0</v>
      </c>
      <c r="S6106" s="21" t="n">
        <v>0</v>
      </c>
      <c r="T6106" s="21" t="n">
        <v>0</v>
      </c>
      <c r="U6106" s="21" t="n">
        <v>0</v>
      </c>
      <c r="V6106" s="21" t="n">
        <v>0</v>
      </c>
      <c r="W6106" s="21" t="n">
        <v>0</v>
      </c>
      <c r="X6106" s="21" t="n">
        <v>0</v>
      </c>
      <c r="Y6106" s="21" t="n">
        <v>0</v>
      </c>
      <c r="Z6106" s="19" t="n"/>
    </row>
    <row r="6107">
      <c r="D6107" s="21" t="n">
        <v>0</v>
      </c>
      <c r="E6107" s="21" t="n">
        <v>0</v>
      </c>
      <c r="F6107" s="21" t="n">
        <v>0</v>
      </c>
      <c r="G6107" s="21" t="n">
        <v>0</v>
      </c>
      <c r="H6107" s="21" t="n">
        <v>0</v>
      </c>
      <c r="I6107" s="21" t="n">
        <v>0</v>
      </c>
      <c r="J6107" s="21" t="n">
        <v>0</v>
      </c>
      <c r="K6107" s="21" t="n">
        <v>0</v>
      </c>
      <c r="L6107" s="21">
        <f>$B$5338</f>
        <v/>
      </c>
      <c r="M6107" s="21">
        <f>$B$5340</f>
        <v/>
      </c>
      <c r="N6107" s="21">
        <f>0</f>
        <v/>
      </c>
      <c r="O6107" s="21">
        <f>2*$B$5339</f>
        <v/>
      </c>
      <c r="P6107" s="21">
        <f>-$B$5338</f>
        <v/>
      </c>
      <c r="Q6107" s="21">
        <f>$B$5340</f>
        <v/>
      </c>
      <c r="R6107" s="21" t="n">
        <v>0</v>
      </c>
      <c r="S6107" s="21" t="n">
        <v>0</v>
      </c>
      <c r="T6107" s="21" t="n">
        <v>0</v>
      </c>
      <c r="U6107" s="21" t="n">
        <v>0</v>
      </c>
      <c r="V6107" s="21" t="n">
        <v>0</v>
      </c>
      <c r="W6107" s="21" t="n">
        <v>0</v>
      </c>
      <c r="X6107" s="21" t="n">
        <v>0</v>
      </c>
      <c r="Y6107" s="21" t="n">
        <v>0</v>
      </c>
      <c r="Z6107" s="19" t="n"/>
    </row>
    <row r="6108">
      <c r="D6108" s="21" t="n">
        <v>0</v>
      </c>
      <c r="E6108" s="21" t="n">
        <v>0</v>
      </c>
      <c r="F6108" s="21" t="n">
        <v>0</v>
      </c>
      <c r="G6108" s="21" t="n">
        <v>0</v>
      </c>
      <c r="H6108" s="21" t="n">
        <v>0</v>
      </c>
      <c r="I6108" s="21" t="n">
        <v>0</v>
      </c>
      <c r="J6108" s="21" t="n">
        <v>0</v>
      </c>
      <c r="K6108" s="21" t="n">
        <v>0</v>
      </c>
      <c r="L6108" s="21" t="n">
        <v>0</v>
      </c>
      <c r="M6108" s="21" t="n">
        <v>0</v>
      </c>
      <c r="N6108" s="21">
        <f>-$B$5337</f>
        <v/>
      </c>
      <c r="O6108" s="21">
        <f>-$B$5338</f>
        <v/>
      </c>
      <c r="P6108" s="21">
        <f>2*$B$5337+$D$6090</f>
        <v/>
      </c>
      <c r="Q6108" s="21">
        <f>0</f>
        <v/>
      </c>
      <c r="R6108" s="21">
        <f>-$B$5337</f>
        <v/>
      </c>
      <c r="S6108" s="21">
        <f>$B$5338</f>
        <v/>
      </c>
      <c r="T6108" s="21" t="n">
        <v>0</v>
      </c>
      <c r="U6108" s="21" t="n">
        <v>0</v>
      </c>
      <c r="V6108" s="21" t="n">
        <v>0</v>
      </c>
      <c r="W6108" s="21" t="n">
        <v>0</v>
      </c>
      <c r="X6108" s="21" t="n">
        <v>0</v>
      </c>
      <c r="Y6108" s="21" t="n">
        <v>0</v>
      </c>
      <c r="Z6108" s="19" t="n"/>
    </row>
    <row r="6109">
      <c r="D6109" s="21" t="n">
        <v>0</v>
      </c>
      <c r="E6109" s="21" t="n">
        <v>0</v>
      </c>
      <c r="F6109" s="21" t="n">
        <v>0</v>
      </c>
      <c r="G6109" s="21" t="n">
        <v>0</v>
      </c>
      <c r="H6109" s="21" t="n">
        <v>0</v>
      </c>
      <c r="I6109" s="21" t="n">
        <v>0</v>
      </c>
      <c r="J6109" s="21" t="n">
        <v>0</v>
      </c>
      <c r="K6109" s="21" t="n">
        <v>0</v>
      </c>
      <c r="L6109" s="21" t="n">
        <v>0</v>
      </c>
      <c r="M6109" s="21" t="n">
        <v>0</v>
      </c>
      <c r="N6109" s="21">
        <f>$B$5338</f>
        <v/>
      </c>
      <c r="O6109" s="21">
        <f>$B$5340</f>
        <v/>
      </c>
      <c r="P6109" s="21">
        <f>0</f>
        <v/>
      </c>
      <c r="Q6109" s="21">
        <f>2*$B$5339</f>
        <v/>
      </c>
      <c r="R6109" s="21">
        <f>-$B$5338</f>
        <v/>
      </c>
      <c r="S6109" s="21">
        <f>$B$5340</f>
        <v/>
      </c>
      <c r="T6109" s="21" t="n">
        <v>0</v>
      </c>
      <c r="U6109" s="21" t="n">
        <v>0</v>
      </c>
      <c r="V6109" s="21" t="n">
        <v>0</v>
      </c>
      <c r="W6109" s="21" t="n">
        <v>0</v>
      </c>
      <c r="X6109" s="21" t="n">
        <v>0</v>
      </c>
      <c r="Y6109" s="21" t="n">
        <v>0</v>
      </c>
      <c r="Z6109" s="19" t="n"/>
    </row>
    <row r="6110">
      <c r="D6110" s="21" t="n">
        <v>0</v>
      </c>
      <c r="E6110" s="21" t="n">
        <v>0</v>
      </c>
      <c r="F6110" s="21" t="n">
        <v>0</v>
      </c>
      <c r="G6110" s="21" t="n">
        <v>0</v>
      </c>
      <c r="H6110" s="21" t="n">
        <v>0</v>
      </c>
      <c r="I6110" s="21" t="n">
        <v>0</v>
      </c>
      <c r="J6110" s="21" t="n">
        <v>0</v>
      </c>
      <c r="K6110" s="21" t="n">
        <v>0</v>
      </c>
      <c r="L6110" s="21" t="n">
        <v>0</v>
      </c>
      <c r="M6110" s="21" t="n">
        <v>0</v>
      </c>
      <c r="N6110" s="21" t="n">
        <v>0</v>
      </c>
      <c r="O6110" s="21" t="n">
        <v>0</v>
      </c>
      <c r="P6110" s="21">
        <f>-$B$5337</f>
        <v/>
      </c>
      <c r="Q6110" s="21">
        <f>-$B$5338</f>
        <v/>
      </c>
      <c r="R6110" s="21">
        <f>2*$B$5337+$D$6091</f>
        <v/>
      </c>
      <c r="S6110" s="21">
        <f>0</f>
        <v/>
      </c>
      <c r="T6110" s="21">
        <f>-$B$5337</f>
        <v/>
      </c>
      <c r="U6110" s="21">
        <f>$B$5338</f>
        <v/>
      </c>
      <c r="V6110" s="21" t="n">
        <v>0</v>
      </c>
      <c r="W6110" s="21" t="n">
        <v>0</v>
      </c>
      <c r="X6110" s="21" t="n">
        <v>0</v>
      </c>
      <c r="Y6110" s="21" t="n">
        <v>0</v>
      </c>
      <c r="Z6110" s="19" t="n"/>
    </row>
    <row r="6111">
      <c r="D6111" s="21" t="n">
        <v>0</v>
      </c>
      <c r="E6111" s="21" t="n">
        <v>0</v>
      </c>
      <c r="F6111" s="21" t="n">
        <v>0</v>
      </c>
      <c r="G6111" s="21" t="n">
        <v>0</v>
      </c>
      <c r="H6111" s="21" t="n">
        <v>0</v>
      </c>
      <c r="I6111" s="21" t="n">
        <v>0</v>
      </c>
      <c r="J6111" s="21" t="n">
        <v>0</v>
      </c>
      <c r="K6111" s="21" t="n">
        <v>0</v>
      </c>
      <c r="L6111" s="21" t="n">
        <v>0</v>
      </c>
      <c r="M6111" s="21" t="n">
        <v>0</v>
      </c>
      <c r="N6111" s="21" t="n">
        <v>0</v>
      </c>
      <c r="O6111" s="21" t="n">
        <v>0</v>
      </c>
      <c r="P6111" s="21">
        <f>$B$5338</f>
        <v/>
      </c>
      <c r="Q6111" s="21">
        <f>$B$5340</f>
        <v/>
      </c>
      <c r="R6111" s="21">
        <f>0</f>
        <v/>
      </c>
      <c r="S6111" s="21">
        <f>2*$B$5339</f>
        <v/>
      </c>
      <c r="T6111" s="21">
        <f>-$B$5338</f>
        <v/>
      </c>
      <c r="U6111" s="21">
        <f>$B$5340</f>
        <v/>
      </c>
      <c r="V6111" s="21" t="n">
        <v>0</v>
      </c>
      <c r="W6111" s="21" t="n">
        <v>0</v>
      </c>
      <c r="X6111" s="21" t="n">
        <v>0</v>
      </c>
      <c r="Y6111" s="21" t="n">
        <v>0</v>
      </c>
      <c r="Z6111" s="19" t="n"/>
    </row>
    <row r="6112">
      <c r="D6112" s="21" t="n">
        <v>0</v>
      </c>
      <c r="E6112" s="21" t="n">
        <v>0</v>
      </c>
      <c r="F6112" s="21" t="n">
        <v>0</v>
      </c>
      <c r="G6112" s="21" t="n">
        <v>0</v>
      </c>
      <c r="H6112" s="21" t="n">
        <v>0</v>
      </c>
      <c r="I6112" s="21" t="n">
        <v>0</v>
      </c>
      <c r="J6112" s="21" t="n">
        <v>0</v>
      </c>
      <c r="K6112" s="21" t="n">
        <v>0</v>
      </c>
      <c r="L6112" s="21" t="n">
        <v>0</v>
      </c>
      <c r="M6112" s="21" t="n">
        <v>0</v>
      </c>
      <c r="N6112" s="21" t="n">
        <v>0</v>
      </c>
      <c r="O6112" s="21" t="n">
        <v>0</v>
      </c>
      <c r="P6112" s="21" t="n">
        <v>0</v>
      </c>
      <c r="Q6112" s="21" t="n">
        <v>0</v>
      </c>
      <c r="R6112" s="21">
        <f>-$B$5337</f>
        <v/>
      </c>
      <c r="S6112" s="21">
        <f>-$B$5338</f>
        <v/>
      </c>
      <c r="T6112" s="21">
        <f>2*$B$5337+$D$6092</f>
        <v/>
      </c>
      <c r="U6112" s="21">
        <f>0</f>
        <v/>
      </c>
      <c r="V6112" s="21">
        <f>-$B$5337</f>
        <v/>
      </c>
      <c r="W6112" s="21">
        <f>$B$5338</f>
        <v/>
      </c>
      <c r="X6112" s="21" t="n">
        <v>0</v>
      </c>
      <c r="Y6112" s="21" t="n">
        <v>0</v>
      </c>
      <c r="Z6112" s="19" t="n"/>
    </row>
    <row r="6113">
      <c r="D6113" s="21" t="n">
        <v>0</v>
      </c>
      <c r="E6113" s="21" t="n">
        <v>0</v>
      </c>
      <c r="F6113" s="21" t="n">
        <v>0</v>
      </c>
      <c r="G6113" s="21" t="n">
        <v>0</v>
      </c>
      <c r="H6113" s="21" t="n">
        <v>0</v>
      </c>
      <c r="I6113" s="21" t="n">
        <v>0</v>
      </c>
      <c r="J6113" s="21" t="n">
        <v>0</v>
      </c>
      <c r="K6113" s="21" t="n">
        <v>0</v>
      </c>
      <c r="L6113" s="21" t="n">
        <v>0</v>
      </c>
      <c r="M6113" s="21" t="n">
        <v>0</v>
      </c>
      <c r="N6113" s="21" t="n">
        <v>0</v>
      </c>
      <c r="O6113" s="21" t="n">
        <v>0</v>
      </c>
      <c r="P6113" s="21" t="n">
        <v>0</v>
      </c>
      <c r="Q6113" s="21" t="n">
        <v>0</v>
      </c>
      <c r="R6113" s="21">
        <f>$B$5338</f>
        <v/>
      </c>
      <c r="S6113" s="21">
        <f>$B$5340</f>
        <v/>
      </c>
      <c r="T6113" s="21">
        <f>0</f>
        <v/>
      </c>
      <c r="U6113" s="21">
        <f>2*$B$5339</f>
        <v/>
      </c>
      <c r="V6113" s="21">
        <f>-$B$5338</f>
        <v/>
      </c>
      <c r="W6113" s="21">
        <f>$B$5340</f>
        <v/>
      </c>
      <c r="X6113" s="21" t="n">
        <v>0</v>
      </c>
      <c r="Y6113" s="21" t="n">
        <v>0</v>
      </c>
      <c r="Z6113" s="19" t="n"/>
    </row>
    <row r="6114">
      <c r="D6114" s="21" t="n">
        <v>0</v>
      </c>
      <c r="E6114" s="21" t="n">
        <v>0</v>
      </c>
      <c r="F6114" s="21" t="n">
        <v>0</v>
      </c>
      <c r="G6114" s="21" t="n">
        <v>0</v>
      </c>
      <c r="H6114" s="21" t="n">
        <v>0</v>
      </c>
      <c r="I6114" s="21" t="n">
        <v>0</v>
      </c>
      <c r="J6114" s="21" t="n">
        <v>0</v>
      </c>
      <c r="K6114" s="21" t="n">
        <v>0</v>
      </c>
      <c r="L6114" s="21" t="n">
        <v>0</v>
      </c>
      <c r="M6114" s="21" t="n">
        <v>0</v>
      </c>
      <c r="N6114" s="21" t="n">
        <v>0</v>
      </c>
      <c r="O6114" s="21" t="n">
        <v>0</v>
      </c>
      <c r="P6114" s="21" t="n">
        <v>0</v>
      </c>
      <c r="Q6114" s="21" t="n">
        <v>0</v>
      </c>
      <c r="R6114" s="21" t="n">
        <v>0</v>
      </c>
      <c r="S6114" s="21" t="n">
        <v>0</v>
      </c>
      <c r="T6114" s="21">
        <f>-$B$5337</f>
        <v/>
      </c>
      <c r="U6114" s="21">
        <f>-$B$5338</f>
        <v/>
      </c>
      <c r="V6114" s="21">
        <f>2*$B$5337+$D$6093</f>
        <v/>
      </c>
      <c r="W6114" s="21">
        <f>0</f>
        <v/>
      </c>
      <c r="X6114" s="21">
        <f>-$B$5337</f>
        <v/>
      </c>
      <c r="Y6114" s="21">
        <f>$B$5338</f>
        <v/>
      </c>
      <c r="Z6114" s="19" t="n"/>
    </row>
    <row r="6115">
      <c r="D6115" s="21" t="n">
        <v>0</v>
      </c>
      <c r="E6115" s="21" t="n">
        <v>0</v>
      </c>
      <c r="F6115" s="21" t="n">
        <v>0</v>
      </c>
      <c r="G6115" s="21" t="n">
        <v>0</v>
      </c>
      <c r="H6115" s="21" t="n">
        <v>0</v>
      </c>
      <c r="I6115" s="21" t="n">
        <v>0</v>
      </c>
      <c r="J6115" s="21" t="n">
        <v>0</v>
      </c>
      <c r="K6115" s="21" t="n">
        <v>0</v>
      </c>
      <c r="L6115" s="21" t="n">
        <v>0</v>
      </c>
      <c r="M6115" s="21" t="n">
        <v>0</v>
      </c>
      <c r="N6115" s="21" t="n">
        <v>0</v>
      </c>
      <c r="O6115" s="21" t="n">
        <v>0</v>
      </c>
      <c r="P6115" s="21" t="n">
        <v>0</v>
      </c>
      <c r="Q6115" s="21" t="n">
        <v>0</v>
      </c>
      <c r="R6115" s="21" t="n">
        <v>0</v>
      </c>
      <c r="S6115" s="21" t="n">
        <v>0</v>
      </c>
      <c r="T6115" s="21">
        <f>$B$5338</f>
        <v/>
      </c>
      <c r="U6115" s="21">
        <f>$B$5340</f>
        <v/>
      </c>
      <c r="V6115" s="21">
        <f>0</f>
        <v/>
      </c>
      <c r="W6115" s="21">
        <f>2*$B$5339</f>
        <v/>
      </c>
      <c r="X6115" s="21">
        <f>-$B$5338</f>
        <v/>
      </c>
      <c r="Y6115" s="21">
        <f>$B$5340</f>
        <v/>
      </c>
      <c r="Z6115" s="19" t="n"/>
    </row>
    <row r="6116">
      <c r="D6116" s="21" t="n">
        <v>0</v>
      </c>
      <c r="E6116" s="21" t="n">
        <v>0</v>
      </c>
      <c r="F6116" s="21" t="n">
        <v>0</v>
      </c>
      <c r="G6116" s="21" t="n">
        <v>0</v>
      </c>
      <c r="H6116" s="21" t="n">
        <v>0</v>
      </c>
      <c r="I6116" s="21" t="n">
        <v>0</v>
      </c>
      <c r="J6116" s="21" t="n">
        <v>0</v>
      </c>
      <c r="K6116" s="21" t="n">
        <v>0</v>
      </c>
      <c r="L6116" s="21" t="n">
        <v>0</v>
      </c>
      <c r="M6116" s="21" t="n">
        <v>0</v>
      </c>
      <c r="N6116" s="21" t="n">
        <v>0</v>
      </c>
      <c r="O6116" s="21" t="n">
        <v>0</v>
      </c>
      <c r="P6116" s="21" t="n">
        <v>0</v>
      </c>
      <c r="Q6116" s="21" t="n">
        <v>0</v>
      </c>
      <c r="R6116" s="21" t="n">
        <v>0</v>
      </c>
      <c r="S6116" s="21" t="n">
        <v>0</v>
      </c>
      <c r="T6116" s="21" t="n">
        <v>0</v>
      </c>
      <c r="U6116" s="21" t="n">
        <v>0</v>
      </c>
      <c r="V6116" s="21">
        <f>-$B$5337</f>
        <v/>
      </c>
      <c r="W6116" s="21">
        <f>-$B$5338</f>
        <v/>
      </c>
      <c r="X6116" s="21">
        <f>$B$5337+$D$6094</f>
        <v/>
      </c>
      <c r="Y6116" s="21">
        <f>-$B$5338</f>
        <v/>
      </c>
      <c r="Z6116" s="19" t="n"/>
    </row>
    <row r="6117">
      <c r="D6117" s="21" t="n">
        <v>0</v>
      </c>
      <c r="E6117" s="21" t="n">
        <v>0</v>
      </c>
      <c r="F6117" s="21" t="n">
        <v>0</v>
      </c>
      <c r="G6117" s="21" t="n">
        <v>0</v>
      </c>
      <c r="H6117" s="21" t="n">
        <v>0</v>
      </c>
      <c r="I6117" s="21" t="n">
        <v>0</v>
      </c>
      <c r="J6117" s="21" t="n">
        <v>0</v>
      </c>
      <c r="K6117" s="21" t="n">
        <v>0</v>
      </c>
      <c r="L6117" s="21" t="n">
        <v>0</v>
      </c>
      <c r="M6117" s="21" t="n">
        <v>0</v>
      </c>
      <c r="N6117" s="21" t="n">
        <v>0</v>
      </c>
      <c r="O6117" s="21" t="n">
        <v>0</v>
      </c>
      <c r="P6117" s="21" t="n">
        <v>0</v>
      </c>
      <c r="Q6117" s="21" t="n">
        <v>0</v>
      </c>
      <c r="R6117" s="21" t="n">
        <v>0</v>
      </c>
      <c r="S6117" s="21" t="n">
        <v>0</v>
      </c>
      <c r="T6117" s="21" t="n">
        <v>0</v>
      </c>
      <c r="U6117" s="21" t="n">
        <v>0</v>
      </c>
      <c r="V6117" s="21">
        <f>$B$5338</f>
        <v/>
      </c>
      <c r="W6117" s="21">
        <f>$B$5340</f>
        <v/>
      </c>
      <c r="X6117" s="21">
        <f>-$B$5338</f>
        <v/>
      </c>
      <c r="Y6117" s="21">
        <f>$B$5339</f>
        <v/>
      </c>
      <c r="Z6117" s="19" t="n"/>
    </row>
    <row r="6119">
      <c r="A6119" s="8" t="inlineStr">
        <is>
          <t>gen 21</t>
        </is>
      </c>
    </row>
    <row r="6120">
      <c r="D6120" s="19">
        <f>IF(ABS(IF(ABS($E$6084)&gt;0.000000001,$E$6084,0.000000001))=0,0,IF($E$5352&lt;=$B$5346,0,IF(ABS(IF(ABS($E$6084)&gt;0.000000001,$E$6084,0.000000001))&gt;=8*$B$5348,$H$5352,0.5*$H$5352*(ABS(IF(ABS($E$6084)&gt;0.000000001,$E$6084,0.000000001))/$B$5348)^(1/3)))/ABS(IF(ABS($E$6084)&gt;0.000000001,$E$6084,0.000000001))*$I$5352)</f>
        <v/>
      </c>
      <c r="E6120" s="19">
        <f>0.5*$E$6084+0.5*$Z$6132</f>
        <v/>
      </c>
      <c r="F6120" s="19">
        <f>$Z$6133</f>
        <v/>
      </c>
    </row>
    <row r="6121">
      <c r="D6121" s="19">
        <f>IF(ABS(IF(ABS($E$6085)&gt;0.000000001,$E$6085,0.000000001))=0,0,IF($E$5353&lt;=$B$5346,0,IF(ABS(IF(ABS($E$6085)&gt;0.000000001,$E$6085,0.000000001))&gt;=8*$B$5348,$H$5353,0.5*$H$5353*(ABS(IF(ABS($E$6085)&gt;0.000000001,$E$6085,0.000000001))/$B$5348)^(1/3)))/ABS(IF(ABS($E$6085)&gt;0.000000001,$E$6085,0.000000001))*$I$5353)</f>
        <v/>
      </c>
      <c r="E6121" s="19">
        <f>0.5*$E$6085+0.5*$Z$6134</f>
        <v/>
      </c>
      <c r="F6121" s="19">
        <f>$Z$6135</f>
        <v/>
      </c>
    </row>
    <row r="6122">
      <c r="D6122" s="19">
        <f>IF(ABS(IF(ABS($E$6086)&gt;0.000000001,$E$6086,0.000000001))=0,0,IF($E$5354&lt;=$B$5346,0,IF(ABS(IF(ABS($E$6086)&gt;0.000000001,$E$6086,0.000000001))&gt;=8*$B$5348,$H$5354,0.5*$H$5354*(ABS(IF(ABS($E$6086)&gt;0.000000001,$E$6086,0.000000001))/$B$5348)^(1/3)))/ABS(IF(ABS($E$6086)&gt;0.000000001,$E$6086,0.000000001))*$I$5354)</f>
        <v/>
      </c>
      <c r="E6122" s="19">
        <f>0.5*$E$6086+0.5*$Z$6136</f>
        <v/>
      </c>
      <c r="F6122" s="19">
        <f>$Z$6137</f>
        <v/>
      </c>
    </row>
    <row r="6123">
      <c r="D6123" s="19">
        <f>IF(ABS(IF(ABS($E$6087)&gt;0.000000001,$E$6087,0.000000001))=0,0,IF($E$5355&lt;=$B$5346,0,IF(ABS(IF(ABS($E$6087)&gt;0.000000001,$E$6087,0.000000001))&gt;=8*$B$5348,$H$5355,0.5*$H$5355*(ABS(IF(ABS($E$6087)&gt;0.000000001,$E$6087,0.000000001))/$B$5348)^(1/3)))/ABS(IF(ABS($E$6087)&gt;0.000000001,$E$6087,0.000000001))*$I$5355)</f>
        <v/>
      </c>
      <c r="E6123" s="19">
        <f>0.5*$E$6087+0.5*$Z$6138</f>
        <v/>
      </c>
      <c r="F6123" s="19">
        <f>$Z$6139</f>
        <v/>
      </c>
    </row>
    <row r="6124">
      <c r="D6124" s="19">
        <f>IF(ABS(IF(ABS($E$6088)&gt;0.000000001,$E$6088,0.000000001))=0,0,IF($E$5356&lt;=$B$5346,0,IF(ABS(IF(ABS($E$6088)&gt;0.000000001,$E$6088,0.000000001))&gt;=8*$B$5348,$H$5356,0.5*$H$5356*(ABS(IF(ABS($E$6088)&gt;0.000000001,$E$6088,0.000000001))/$B$5348)^(1/3)))/ABS(IF(ABS($E$6088)&gt;0.000000001,$E$6088,0.000000001))*$I$5356)</f>
        <v/>
      </c>
      <c r="E6124" s="19">
        <f>0.5*$E$6088+0.5*$Z$6140</f>
        <v/>
      </c>
      <c r="F6124" s="19">
        <f>$Z$6141</f>
        <v/>
      </c>
    </row>
    <row r="6125">
      <c r="D6125" s="19">
        <f>IF(ABS(IF(ABS($E$6089)&gt;0.000000001,$E$6089,0.000000001))=0,0,IF($E$5357&lt;=$B$5346,0,IF(ABS(IF(ABS($E$6089)&gt;0.000000001,$E$6089,0.000000001))&gt;=8*$B$5348,$H$5357,0.5*$H$5357*(ABS(IF(ABS($E$6089)&gt;0.000000001,$E$6089,0.000000001))/$B$5348)^(1/3)))/ABS(IF(ABS($E$6089)&gt;0.000000001,$E$6089,0.000000001))*$I$5357)</f>
        <v/>
      </c>
      <c r="E6125" s="19">
        <f>0.5*$E$6089+0.5*$Z$6142</f>
        <v/>
      </c>
      <c r="F6125" s="19">
        <f>$Z$6143</f>
        <v/>
      </c>
    </row>
    <row r="6126">
      <c r="D6126" s="19">
        <f>IF(ABS(IF(ABS($E$6090)&gt;0.000000001,$E$6090,0.000000001))=0,0,IF($E$5358&lt;=$B$5346,0,IF(ABS(IF(ABS($E$6090)&gt;0.000000001,$E$6090,0.000000001))&gt;=8*$B$5348,$H$5358,0.5*$H$5358*(ABS(IF(ABS($E$6090)&gt;0.000000001,$E$6090,0.000000001))/$B$5348)^(1/3)))/ABS(IF(ABS($E$6090)&gt;0.000000001,$E$6090,0.000000001))*$I$5358)</f>
        <v/>
      </c>
      <c r="E6126" s="19">
        <f>0.5*$E$6090+0.5*$Z$6144</f>
        <v/>
      </c>
      <c r="F6126" s="19">
        <f>$Z$6145</f>
        <v/>
      </c>
    </row>
    <row r="6127">
      <c r="D6127" s="19">
        <f>IF(ABS(IF(ABS($E$6091)&gt;0.000000001,$E$6091,0.000000001))=0,0,IF($E$5359&lt;=$B$5346,0,IF(ABS(IF(ABS($E$6091)&gt;0.000000001,$E$6091,0.000000001))&gt;=8*$B$5348,$H$5359,0.5*$H$5359*(ABS(IF(ABS($E$6091)&gt;0.000000001,$E$6091,0.000000001))/$B$5348)^(1/3)))/ABS(IF(ABS($E$6091)&gt;0.000000001,$E$6091,0.000000001))*$I$5359)</f>
        <v/>
      </c>
      <c r="E6127" s="19">
        <f>0.5*$E$6091+0.5*$Z$6146</f>
        <v/>
      </c>
      <c r="F6127" s="19">
        <f>$Z$6147</f>
        <v/>
      </c>
    </row>
    <row r="6128">
      <c r="D6128" s="19">
        <f>IF(ABS(IF(ABS($E$6092)&gt;0.000000001,$E$6092,0.000000001))=0,0,IF($E$5360&lt;=$B$5346,0,IF(ABS(IF(ABS($E$6092)&gt;0.000000001,$E$6092,0.000000001))&gt;=8*$B$5348,$H$5360,0.5*$H$5360*(ABS(IF(ABS($E$6092)&gt;0.000000001,$E$6092,0.000000001))/$B$5348)^(1/3)))/ABS(IF(ABS($E$6092)&gt;0.000000001,$E$6092,0.000000001))*$I$5360)</f>
        <v/>
      </c>
      <c r="E6128" s="19">
        <f>0.5*$E$6092+0.5*$Z$6148</f>
        <v/>
      </c>
      <c r="F6128" s="19">
        <f>$Z$6149</f>
        <v/>
      </c>
    </row>
    <row r="6129">
      <c r="D6129" s="19">
        <f>IF(ABS(IF(ABS($E$6093)&gt;0.000000001,$E$6093,0.000000001))=0,0,IF($E$5361&lt;=$B$5346,0,IF(ABS(IF(ABS($E$6093)&gt;0.000000001,$E$6093,0.000000001))&gt;=8*$B$5348,$H$5361,0.5*$H$5361*(ABS(IF(ABS($E$6093)&gt;0.000000001,$E$6093,0.000000001))/$B$5348)^(1/3)))/ABS(IF(ABS($E$6093)&gt;0.000000001,$E$6093,0.000000001))*$I$5361)</f>
        <v/>
      </c>
      <c r="E6129" s="19">
        <f>0.5*$E$6093+0.5*$Z$6150</f>
        <v/>
      </c>
      <c r="F6129" s="19">
        <f>$Z$6151</f>
        <v/>
      </c>
    </row>
    <row r="6130">
      <c r="D6130" s="19">
        <f>IF(ABS(IF(ABS($E$6094)&gt;0.000000001,$E$6094,0.000000001))=0,0,IF($E$5362&lt;=$B$5346,0,IF(ABS(IF(ABS($E$6094)&gt;0.000000001,$E$6094,0.000000001))&gt;=8*$B$5348,$H$5362,0.5*$H$5362*(ABS(IF(ABS($E$6094)&gt;0.000000001,$E$6094,0.000000001))/$B$5348)^(1/3)))/ABS(IF(ABS($E$6094)&gt;0.000000001,$E$6094,0.000000001))*$I$5362)</f>
        <v/>
      </c>
      <c r="E6130" s="19">
        <f>0.5*$E$6094+0.5*$Z$6152</f>
        <v/>
      </c>
      <c r="F6130" s="19">
        <f>$Z$6153</f>
        <v/>
      </c>
    </row>
    <row r="6132">
      <c r="D6132" s="21">
        <f>$B$5337+$D$6120</f>
        <v/>
      </c>
      <c r="E6132" s="21">
        <f>$B$5338</f>
        <v/>
      </c>
      <c r="F6132" s="21">
        <f>-$B$5337</f>
        <v/>
      </c>
      <c r="G6132" s="21">
        <f>$B$5338</f>
        <v/>
      </c>
      <c r="H6132" s="21" t="n">
        <v>0</v>
      </c>
      <c r="I6132" s="21" t="n">
        <v>0</v>
      </c>
      <c r="J6132" s="21" t="n">
        <v>0</v>
      </c>
      <c r="K6132" s="21" t="n">
        <v>0</v>
      </c>
      <c r="L6132" s="21" t="n">
        <v>0</v>
      </c>
      <c r="M6132" s="21" t="n">
        <v>0</v>
      </c>
      <c r="N6132" s="21" t="n">
        <v>0</v>
      </c>
      <c r="O6132" s="21" t="n">
        <v>0</v>
      </c>
      <c r="P6132" s="21" t="n">
        <v>0</v>
      </c>
      <c r="Q6132" s="21" t="n">
        <v>0</v>
      </c>
      <c r="R6132" s="21" t="n">
        <v>0</v>
      </c>
      <c r="S6132" s="21" t="n">
        <v>0</v>
      </c>
      <c r="T6132" s="21" t="n">
        <v>0</v>
      </c>
      <c r="U6132" s="21" t="n">
        <v>0</v>
      </c>
      <c r="V6132" s="21" t="n">
        <v>0</v>
      </c>
      <c r="W6132" s="21" t="n">
        <v>0</v>
      </c>
      <c r="X6132" s="21" t="n">
        <v>0</v>
      </c>
      <c r="Y6132" s="21" t="n">
        <v>0</v>
      </c>
      <c r="Z6132" s="19">
        <f t="array" ref="Z6132:Z6153">MMULT(MINVERSE($D$6132:$Y$6153),$D$5364:$D$5385)</f>
        <v/>
      </c>
    </row>
    <row r="6133">
      <c r="D6133" s="21">
        <f>$B$5338</f>
        <v/>
      </c>
      <c r="E6133" s="21">
        <f>$B$5339</f>
        <v/>
      </c>
      <c r="F6133" s="21">
        <f>-$B$5338</f>
        <v/>
      </c>
      <c r="G6133" s="21">
        <f>$B$5340</f>
        <v/>
      </c>
      <c r="H6133" s="21" t="n">
        <v>0</v>
      </c>
      <c r="I6133" s="21" t="n">
        <v>0</v>
      </c>
      <c r="J6133" s="21" t="n">
        <v>0</v>
      </c>
      <c r="K6133" s="21" t="n">
        <v>0</v>
      </c>
      <c r="L6133" s="21" t="n">
        <v>0</v>
      </c>
      <c r="M6133" s="21" t="n">
        <v>0</v>
      </c>
      <c r="N6133" s="21" t="n">
        <v>0</v>
      </c>
      <c r="O6133" s="21" t="n">
        <v>0</v>
      </c>
      <c r="P6133" s="21" t="n">
        <v>0</v>
      </c>
      <c r="Q6133" s="21" t="n">
        <v>0</v>
      </c>
      <c r="R6133" s="21" t="n">
        <v>0</v>
      </c>
      <c r="S6133" s="21" t="n">
        <v>0</v>
      </c>
      <c r="T6133" s="21" t="n">
        <v>0</v>
      </c>
      <c r="U6133" s="21" t="n">
        <v>0</v>
      </c>
      <c r="V6133" s="21" t="n">
        <v>0</v>
      </c>
      <c r="W6133" s="21" t="n">
        <v>0</v>
      </c>
      <c r="X6133" s="21" t="n">
        <v>0</v>
      </c>
      <c r="Y6133" s="21" t="n">
        <v>0</v>
      </c>
      <c r="Z6133" s="19" t="n"/>
    </row>
    <row r="6134">
      <c r="D6134" s="21">
        <f>-$B$5337</f>
        <v/>
      </c>
      <c r="E6134" s="21">
        <f>-$B$5338</f>
        <v/>
      </c>
      <c r="F6134" s="21">
        <f>2*$B$5337+$D$6121</f>
        <v/>
      </c>
      <c r="G6134" s="21">
        <f>0</f>
        <v/>
      </c>
      <c r="H6134" s="21">
        <f>-$B$5337</f>
        <v/>
      </c>
      <c r="I6134" s="21">
        <f>$B$5338</f>
        <v/>
      </c>
      <c r="J6134" s="21" t="n">
        <v>0</v>
      </c>
      <c r="K6134" s="21" t="n">
        <v>0</v>
      </c>
      <c r="L6134" s="21" t="n">
        <v>0</v>
      </c>
      <c r="M6134" s="21" t="n">
        <v>0</v>
      </c>
      <c r="N6134" s="21" t="n">
        <v>0</v>
      </c>
      <c r="O6134" s="21" t="n">
        <v>0</v>
      </c>
      <c r="P6134" s="21" t="n">
        <v>0</v>
      </c>
      <c r="Q6134" s="21" t="n">
        <v>0</v>
      </c>
      <c r="R6134" s="21" t="n">
        <v>0</v>
      </c>
      <c r="S6134" s="21" t="n">
        <v>0</v>
      </c>
      <c r="T6134" s="21" t="n">
        <v>0</v>
      </c>
      <c r="U6134" s="21" t="n">
        <v>0</v>
      </c>
      <c r="V6134" s="21" t="n">
        <v>0</v>
      </c>
      <c r="W6134" s="21" t="n">
        <v>0</v>
      </c>
      <c r="X6134" s="21" t="n">
        <v>0</v>
      </c>
      <c r="Y6134" s="21" t="n">
        <v>0</v>
      </c>
      <c r="Z6134" s="19" t="n"/>
    </row>
    <row r="6135">
      <c r="D6135" s="21">
        <f>$B$5338</f>
        <v/>
      </c>
      <c r="E6135" s="21">
        <f>$B$5340</f>
        <v/>
      </c>
      <c r="F6135" s="21">
        <f>0</f>
        <v/>
      </c>
      <c r="G6135" s="21">
        <f>2*$B$5339</f>
        <v/>
      </c>
      <c r="H6135" s="21">
        <f>-$B$5338</f>
        <v/>
      </c>
      <c r="I6135" s="21">
        <f>$B$5340</f>
        <v/>
      </c>
      <c r="J6135" s="21" t="n">
        <v>0</v>
      </c>
      <c r="K6135" s="21" t="n">
        <v>0</v>
      </c>
      <c r="L6135" s="21" t="n">
        <v>0</v>
      </c>
      <c r="M6135" s="21" t="n">
        <v>0</v>
      </c>
      <c r="N6135" s="21" t="n">
        <v>0</v>
      </c>
      <c r="O6135" s="21" t="n">
        <v>0</v>
      </c>
      <c r="P6135" s="21" t="n">
        <v>0</v>
      </c>
      <c r="Q6135" s="21" t="n">
        <v>0</v>
      </c>
      <c r="R6135" s="21" t="n">
        <v>0</v>
      </c>
      <c r="S6135" s="21" t="n">
        <v>0</v>
      </c>
      <c r="T6135" s="21" t="n">
        <v>0</v>
      </c>
      <c r="U6135" s="21" t="n">
        <v>0</v>
      </c>
      <c r="V6135" s="21" t="n">
        <v>0</v>
      </c>
      <c r="W6135" s="21" t="n">
        <v>0</v>
      </c>
      <c r="X6135" s="21" t="n">
        <v>0</v>
      </c>
      <c r="Y6135" s="21" t="n">
        <v>0</v>
      </c>
      <c r="Z6135" s="19" t="n"/>
    </row>
    <row r="6136">
      <c r="D6136" s="21" t="n">
        <v>0</v>
      </c>
      <c r="E6136" s="21" t="n">
        <v>0</v>
      </c>
      <c r="F6136" s="21">
        <f>-$B$5337</f>
        <v/>
      </c>
      <c r="G6136" s="21">
        <f>-$B$5338</f>
        <v/>
      </c>
      <c r="H6136" s="21">
        <f>2*$B$5337+$D$6122</f>
        <v/>
      </c>
      <c r="I6136" s="21">
        <f>0</f>
        <v/>
      </c>
      <c r="J6136" s="21">
        <f>-$B$5337</f>
        <v/>
      </c>
      <c r="K6136" s="21">
        <f>$B$5338</f>
        <v/>
      </c>
      <c r="L6136" s="21" t="n">
        <v>0</v>
      </c>
      <c r="M6136" s="21" t="n">
        <v>0</v>
      </c>
      <c r="N6136" s="21" t="n">
        <v>0</v>
      </c>
      <c r="O6136" s="21" t="n">
        <v>0</v>
      </c>
      <c r="P6136" s="21" t="n">
        <v>0</v>
      </c>
      <c r="Q6136" s="21" t="n">
        <v>0</v>
      </c>
      <c r="R6136" s="21" t="n">
        <v>0</v>
      </c>
      <c r="S6136" s="21" t="n">
        <v>0</v>
      </c>
      <c r="T6136" s="21" t="n">
        <v>0</v>
      </c>
      <c r="U6136" s="21" t="n">
        <v>0</v>
      </c>
      <c r="V6136" s="21" t="n">
        <v>0</v>
      </c>
      <c r="W6136" s="21" t="n">
        <v>0</v>
      </c>
      <c r="X6136" s="21" t="n">
        <v>0</v>
      </c>
      <c r="Y6136" s="21" t="n">
        <v>0</v>
      </c>
      <c r="Z6136" s="19" t="n"/>
    </row>
    <row r="6137">
      <c r="D6137" s="21" t="n">
        <v>0</v>
      </c>
      <c r="E6137" s="21" t="n">
        <v>0</v>
      </c>
      <c r="F6137" s="21">
        <f>$B$5338</f>
        <v/>
      </c>
      <c r="G6137" s="21">
        <f>$B$5340</f>
        <v/>
      </c>
      <c r="H6137" s="21">
        <f>0</f>
        <v/>
      </c>
      <c r="I6137" s="21">
        <f>2*$B$5339</f>
        <v/>
      </c>
      <c r="J6137" s="21">
        <f>-$B$5338</f>
        <v/>
      </c>
      <c r="K6137" s="21">
        <f>$B$5340</f>
        <v/>
      </c>
      <c r="L6137" s="21" t="n">
        <v>0</v>
      </c>
      <c r="M6137" s="21" t="n">
        <v>0</v>
      </c>
      <c r="N6137" s="21" t="n">
        <v>0</v>
      </c>
      <c r="O6137" s="21" t="n">
        <v>0</v>
      </c>
      <c r="P6137" s="21" t="n">
        <v>0</v>
      </c>
      <c r="Q6137" s="21" t="n">
        <v>0</v>
      </c>
      <c r="R6137" s="21" t="n">
        <v>0</v>
      </c>
      <c r="S6137" s="21" t="n">
        <v>0</v>
      </c>
      <c r="T6137" s="21" t="n">
        <v>0</v>
      </c>
      <c r="U6137" s="21" t="n">
        <v>0</v>
      </c>
      <c r="V6137" s="21" t="n">
        <v>0</v>
      </c>
      <c r="W6137" s="21" t="n">
        <v>0</v>
      </c>
      <c r="X6137" s="21" t="n">
        <v>0</v>
      </c>
      <c r="Y6137" s="21" t="n">
        <v>0</v>
      </c>
      <c r="Z6137" s="19" t="n"/>
    </row>
    <row r="6138">
      <c r="D6138" s="21" t="n">
        <v>0</v>
      </c>
      <c r="E6138" s="21" t="n">
        <v>0</v>
      </c>
      <c r="F6138" s="21" t="n">
        <v>0</v>
      </c>
      <c r="G6138" s="21" t="n">
        <v>0</v>
      </c>
      <c r="H6138" s="21">
        <f>-$B$5337</f>
        <v/>
      </c>
      <c r="I6138" s="21">
        <f>-$B$5338</f>
        <v/>
      </c>
      <c r="J6138" s="21">
        <f>2*$B$5337+$D$6123</f>
        <v/>
      </c>
      <c r="K6138" s="21">
        <f>0</f>
        <v/>
      </c>
      <c r="L6138" s="21">
        <f>-$B$5337</f>
        <v/>
      </c>
      <c r="M6138" s="21">
        <f>$B$5338</f>
        <v/>
      </c>
      <c r="N6138" s="21" t="n">
        <v>0</v>
      </c>
      <c r="O6138" s="21" t="n">
        <v>0</v>
      </c>
      <c r="P6138" s="21" t="n">
        <v>0</v>
      </c>
      <c r="Q6138" s="21" t="n">
        <v>0</v>
      </c>
      <c r="R6138" s="21" t="n">
        <v>0</v>
      </c>
      <c r="S6138" s="21" t="n">
        <v>0</v>
      </c>
      <c r="T6138" s="21" t="n">
        <v>0</v>
      </c>
      <c r="U6138" s="21" t="n">
        <v>0</v>
      </c>
      <c r="V6138" s="21" t="n">
        <v>0</v>
      </c>
      <c r="W6138" s="21" t="n">
        <v>0</v>
      </c>
      <c r="X6138" s="21" t="n">
        <v>0</v>
      </c>
      <c r="Y6138" s="21" t="n">
        <v>0</v>
      </c>
      <c r="Z6138" s="19" t="n"/>
    </row>
    <row r="6139">
      <c r="D6139" s="21" t="n">
        <v>0</v>
      </c>
      <c r="E6139" s="21" t="n">
        <v>0</v>
      </c>
      <c r="F6139" s="21" t="n">
        <v>0</v>
      </c>
      <c r="G6139" s="21" t="n">
        <v>0</v>
      </c>
      <c r="H6139" s="21">
        <f>$B$5338</f>
        <v/>
      </c>
      <c r="I6139" s="21">
        <f>$B$5340</f>
        <v/>
      </c>
      <c r="J6139" s="21">
        <f>0</f>
        <v/>
      </c>
      <c r="K6139" s="21">
        <f>2*$B$5339</f>
        <v/>
      </c>
      <c r="L6139" s="21">
        <f>-$B$5338</f>
        <v/>
      </c>
      <c r="M6139" s="21">
        <f>$B$5340</f>
        <v/>
      </c>
      <c r="N6139" s="21" t="n">
        <v>0</v>
      </c>
      <c r="O6139" s="21" t="n">
        <v>0</v>
      </c>
      <c r="P6139" s="21" t="n">
        <v>0</v>
      </c>
      <c r="Q6139" s="21" t="n">
        <v>0</v>
      </c>
      <c r="R6139" s="21" t="n">
        <v>0</v>
      </c>
      <c r="S6139" s="21" t="n">
        <v>0</v>
      </c>
      <c r="T6139" s="21" t="n">
        <v>0</v>
      </c>
      <c r="U6139" s="21" t="n">
        <v>0</v>
      </c>
      <c r="V6139" s="21" t="n">
        <v>0</v>
      </c>
      <c r="W6139" s="21" t="n">
        <v>0</v>
      </c>
      <c r="X6139" s="21" t="n">
        <v>0</v>
      </c>
      <c r="Y6139" s="21" t="n">
        <v>0</v>
      </c>
      <c r="Z6139" s="19" t="n"/>
    </row>
    <row r="6140">
      <c r="D6140" s="21" t="n">
        <v>0</v>
      </c>
      <c r="E6140" s="21" t="n">
        <v>0</v>
      </c>
      <c r="F6140" s="21" t="n">
        <v>0</v>
      </c>
      <c r="G6140" s="21" t="n">
        <v>0</v>
      </c>
      <c r="H6140" s="21" t="n">
        <v>0</v>
      </c>
      <c r="I6140" s="21" t="n">
        <v>0</v>
      </c>
      <c r="J6140" s="21">
        <f>-$B$5337</f>
        <v/>
      </c>
      <c r="K6140" s="21">
        <f>-$B$5338</f>
        <v/>
      </c>
      <c r="L6140" s="21">
        <f>2*$B$5337+$D$6124</f>
        <v/>
      </c>
      <c r="M6140" s="21">
        <f>0</f>
        <v/>
      </c>
      <c r="N6140" s="21">
        <f>-$B$5337</f>
        <v/>
      </c>
      <c r="O6140" s="21">
        <f>$B$5338</f>
        <v/>
      </c>
      <c r="P6140" s="21" t="n">
        <v>0</v>
      </c>
      <c r="Q6140" s="21" t="n">
        <v>0</v>
      </c>
      <c r="R6140" s="21" t="n">
        <v>0</v>
      </c>
      <c r="S6140" s="21" t="n">
        <v>0</v>
      </c>
      <c r="T6140" s="21" t="n">
        <v>0</v>
      </c>
      <c r="U6140" s="21" t="n">
        <v>0</v>
      </c>
      <c r="V6140" s="21" t="n">
        <v>0</v>
      </c>
      <c r="W6140" s="21" t="n">
        <v>0</v>
      </c>
      <c r="X6140" s="21" t="n">
        <v>0</v>
      </c>
      <c r="Y6140" s="21" t="n">
        <v>0</v>
      </c>
      <c r="Z6140" s="19" t="n"/>
    </row>
    <row r="6141">
      <c r="D6141" s="21" t="n">
        <v>0</v>
      </c>
      <c r="E6141" s="21" t="n">
        <v>0</v>
      </c>
      <c r="F6141" s="21" t="n">
        <v>0</v>
      </c>
      <c r="G6141" s="21" t="n">
        <v>0</v>
      </c>
      <c r="H6141" s="21" t="n">
        <v>0</v>
      </c>
      <c r="I6141" s="21" t="n">
        <v>0</v>
      </c>
      <c r="J6141" s="21">
        <f>$B$5338</f>
        <v/>
      </c>
      <c r="K6141" s="21">
        <f>$B$5340</f>
        <v/>
      </c>
      <c r="L6141" s="21">
        <f>0</f>
        <v/>
      </c>
      <c r="M6141" s="21">
        <f>2*$B$5339</f>
        <v/>
      </c>
      <c r="N6141" s="21">
        <f>-$B$5338</f>
        <v/>
      </c>
      <c r="O6141" s="21">
        <f>$B$5340</f>
        <v/>
      </c>
      <c r="P6141" s="21" t="n">
        <v>0</v>
      </c>
      <c r="Q6141" s="21" t="n">
        <v>0</v>
      </c>
      <c r="R6141" s="21" t="n">
        <v>0</v>
      </c>
      <c r="S6141" s="21" t="n">
        <v>0</v>
      </c>
      <c r="T6141" s="21" t="n">
        <v>0</v>
      </c>
      <c r="U6141" s="21" t="n">
        <v>0</v>
      </c>
      <c r="V6141" s="21" t="n">
        <v>0</v>
      </c>
      <c r="W6141" s="21" t="n">
        <v>0</v>
      </c>
      <c r="X6141" s="21" t="n">
        <v>0</v>
      </c>
      <c r="Y6141" s="21" t="n">
        <v>0</v>
      </c>
      <c r="Z6141" s="19" t="n"/>
    </row>
    <row r="6142">
      <c r="D6142" s="21" t="n">
        <v>0</v>
      </c>
      <c r="E6142" s="21" t="n">
        <v>0</v>
      </c>
      <c r="F6142" s="21" t="n">
        <v>0</v>
      </c>
      <c r="G6142" s="21" t="n">
        <v>0</v>
      </c>
      <c r="H6142" s="21" t="n">
        <v>0</v>
      </c>
      <c r="I6142" s="21" t="n">
        <v>0</v>
      </c>
      <c r="J6142" s="21" t="n">
        <v>0</v>
      </c>
      <c r="K6142" s="21" t="n">
        <v>0</v>
      </c>
      <c r="L6142" s="21">
        <f>-$B$5337</f>
        <v/>
      </c>
      <c r="M6142" s="21">
        <f>-$B$5338</f>
        <v/>
      </c>
      <c r="N6142" s="21">
        <f>2*$B$5337+$D$6125</f>
        <v/>
      </c>
      <c r="O6142" s="21">
        <f>0</f>
        <v/>
      </c>
      <c r="P6142" s="21">
        <f>-$B$5337</f>
        <v/>
      </c>
      <c r="Q6142" s="21">
        <f>$B$5338</f>
        <v/>
      </c>
      <c r="R6142" s="21" t="n">
        <v>0</v>
      </c>
      <c r="S6142" s="21" t="n">
        <v>0</v>
      </c>
      <c r="T6142" s="21" t="n">
        <v>0</v>
      </c>
      <c r="U6142" s="21" t="n">
        <v>0</v>
      </c>
      <c r="V6142" s="21" t="n">
        <v>0</v>
      </c>
      <c r="W6142" s="21" t="n">
        <v>0</v>
      </c>
      <c r="X6142" s="21" t="n">
        <v>0</v>
      </c>
      <c r="Y6142" s="21" t="n">
        <v>0</v>
      </c>
      <c r="Z6142" s="19" t="n"/>
    </row>
    <row r="6143">
      <c r="D6143" s="21" t="n">
        <v>0</v>
      </c>
      <c r="E6143" s="21" t="n">
        <v>0</v>
      </c>
      <c r="F6143" s="21" t="n">
        <v>0</v>
      </c>
      <c r="G6143" s="21" t="n">
        <v>0</v>
      </c>
      <c r="H6143" s="21" t="n">
        <v>0</v>
      </c>
      <c r="I6143" s="21" t="n">
        <v>0</v>
      </c>
      <c r="J6143" s="21" t="n">
        <v>0</v>
      </c>
      <c r="K6143" s="21" t="n">
        <v>0</v>
      </c>
      <c r="L6143" s="21">
        <f>$B$5338</f>
        <v/>
      </c>
      <c r="M6143" s="21">
        <f>$B$5340</f>
        <v/>
      </c>
      <c r="N6143" s="21">
        <f>0</f>
        <v/>
      </c>
      <c r="O6143" s="21">
        <f>2*$B$5339</f>
        <v/>
      </c>
      <c r="P6143" s="21">
        <f>-$B$5338</f>
        <v/>
      </c>
      <c r="Q6143" s="21">
        <f>$B$5340</f>
        <v/>
      </c>
      <c r="R6143" s="21" t="n">
        <v>0</v>
      </c>
      <c r="S6143" s="21" t="n">
        <v>0</v>
      </c>
      <c r="T6143" s="21" t="n">
        <v>0</v>
      </c>
      <c r="U6143" s="21" t="n">
        <v>0</v>
      </c>
      <c r="V6143" s="21" t="n">
        <v>0</v>
      </c>
      <c r="W6143" s="21" t="n">
        <v>0</v>
      </c>
      <c r="X6143" s="21" t="n">
        <v>0</v>
      </c>
      <c r="Y6143" s="21" t="n">
        <v>0</v>
      </c>
      <c r="Z6143" s="19" t="n"/>
    </row>
    <row r="6144">
      <c r="D6144" s="21" t="n">
        <v>0</v>
      </c>
      <c r="E6144" s="21" t="n">
        <v>0</v>
      </c>
      <c r="F6144" s="21" t="n">
        <v>0</v>
      </c>
      <c r="G6144" s="21" t="n">
        <v>0</v>
      </c>
      <c r="H6144" s="21" t="n">
        <v>0</v>
      </c>
      <c r="I6144" s="21" t="n">
        <v>0</v>
      </c>
      <c r="J6144" s="21" t="n">
        <v>0</v>
      </c>
      <c r="K6144" s="21" t="n">
        <v>0</v>
      </c>
      <c r="L6144" s="21" t="n">
        <v>0</v>
      </c>
      <c r="M6144" s="21" t="n">
        <v>0</v>
      </c>
      <c r="N6144" s="21">
        <f>-$B$5337</f>
        <v/>
      </c>
      <c r="O6144" s="21">
        <f>-$B$5338</f>
        <v/>
      </c>
      <c r="P6144" s="21">
        <f>2*$B$5337+$D$6126</f>
        <v/>
      </c>
      <c r="Q6144" s="21">
        <f>0</f>
        <v/>
      </c>
      <c r="R6144" s="21">
        <f>-$B$5337</f>
        <v/>
      </c>
      <c r="S6144" s="21">
        <f>$B$5338</f>
        <v/>
      </c>
      <c r="T6144" s="21" t="n">
        <v>0</v>
      </c>
      <c r="U6144" s="21" t="n">
        <v>0</v>
      </c>
      <c r="V6144" s="21" t="n">
        <v>0</v>
      </c>
      <c r="W6144" s="21" t="n">
        <v>0</v>
      </c>
      <c r="X6144" s="21" t="n">
        <v>0</v>
      </c>
      <c r="Y6144" s="21" t="n">
        <v>0</v>
      </c>
      <c r="Z6144" s="19" t="n"/>
    </row>
    <row r="6145">
      <c r="D6145" s="21" t="n">
        <v>0</v>
      </c>
      <c r="E6145" s="21" t="n">
        <v>0</v>
      </c>
      <c r="F6145" s="21" t="n">
        <v>0</v>
      </c>
      <c r="G6145" s="21" t="n">
        <v>0</v>
      </c>
      <c r="H6145" s="21" t="n">
        <v>0</v>
      </c>
      <c r="I6145" s="21" t="n">
        <v>0</v>
      </c>
      <c r="J6145" s="21" t="n">
        <v>0</v>
      </c>
      <c r="K6145" s="21" t="n">
        <v>0</v>
      </c>
      <c r="L6145" s="21" t="n">
        <v>0</v>
      </c>
      <c r="M6145" s="21" t="n">
        <v>0</v>
      </c>
      <c r="N6145" s="21">
        <f>$B$5338</f>
        <v/>
      </c>
      <c r="O6145" s="21">
        <f>$B$5340</f>
        <v/>
      </c>
      <c r="P6145" s="21">
        <f>0</f>
        <v/>
      </c>
      <c r="Q6145" s="21">
        <f>2*$B$5339</f>
        <v/>
      </c>
      <c r="R6145" s="21">
        <f>-$B$5338</f>
        <v/>
      </c>
      <c r="S6145" s="21">
        <f>$B$5340</f>
        <v/>
      </c>
      <c r="T6145" s="21" t="n">
        <v>0</v>
      </c>
      <c r="U6145" s="21" t="n">
        <v>0</v>
      </c>
      <c r="V6145" s="21" t="n">
        <v>0</v>
      </c>
      <c r="W6145" s="21" t="n">
        <v>0</v>
      </c>
      <c r="X6145" s="21" t="n">
        <v>0</v>
      </c>
      <c r="Y6145" s="21" t="n">
        <v>0</v>
      </c>
      <c r="Z6145" s="19" t="n"/>
    </row>
    <row r="6146">
      <c r="D6146" s="21" t="n">
        <v>0</v>
      </c>
      <c r="E6146" s="21" t="n">
        <v>0</v>
      </c>
      <c r="F6146" s="21" t="n">
        <v>0</v>
      </c>
      <c r="G6146" s="21" t="n">
        <v>0</v>
      </c>
      <c r="H6146" s="21" t="n">
        <v>0</v>
      </c>
      <c r="I6146" s="21" t="n">
        <v>0</v>
      </c>
      <c r="J6146" s="21" t="n">
        <v>0</v>
      </c>
      <c r="K6146" s="21" t="n">
        <v>0</v>
      </c>
      <c r="L6146" s="21" t="n">
        <v>0</v>
      </c>
      <c r="M6146" s="21" t="n">
        <v>0</v>
      </c>
      <c r="N6146" s="21" t="n">
        <v>0</v>
      </c>
      <c r="O6146" s="21" t="n">
        <v>0</v>
      </c>
      <c r="P6146" s="21">
        <f>-$B$5337</f>
        <v/>
      </c>
      <c r="Q6146" s="21">
        <f>-$B$5338</f>
        <v/>
      </c>
      <c r="R6146" s="21">
        <f>2*$B$5337+$D$6127</f>
        <v/>
      </c>
      <c r="S6146" s="21">
        <f>0</f>
        <v/>
      </c>
      <c r="T6146" s="21">
        <f>-$B$5337</f>
        <v/>
      </c>
      <c r="U6146" s="21">
        <f>$B$5338</f>
        <v/>
      </c>
      <c r="V6146" s="21" t="n">
        <v>0</v>
      </c>
      <c r="W6146" s="21" t="n">
        <v>0</v>
      </c>
      <c r="X6146" s="21" t="n">
        <v>0</v>
      </c>
      <c r="Y6146" s="21" t="n">
        <v>0</v>
      </c>
      <c r="Z6146" s="19" t="n"/>
    </row>
    <row r="6147">
      <c r="D6147" s="21" t="n">
        <v>0</v>
      </c>
      <c r="E6147" s="21" t="n">
        <v>0</v>
      </c>
      <c r="F6147" s="21" t="n">
        <v>0</v>
      </c>
      <c r="G6147" s="21" t="n">
        <v>0</v>
      </c>
      <c r="H6147" s="21" t="n">
        <v>0</v>
      </c>
      <c r="I6147" s="21" t="n">
        <v>0</v>
      </c>
      <c r="J6147" s="21" t="n">
        <v>0</v>
      </c>
      <c r="K6147" s="21" t="n">
        <v>0</v>
      </c>
      <c r="L6147" s="21" t="n">
        <v>0</v>
      </c>
      <c r="M6147" s="21" t="n">
        <v>0</v>
      </c>
      <c r="N6147" s="21" t="n">
        <v>0</v>
      </c>
      <c r="O6147" s="21" t="n">
        <v>0</v>
      </c>
      <c r="P6147" s="21">
        <f>$B$5338</f>
        <v/>
      </c>
      <c r="Q6147" s="21">
        <f>$B$5340</f>
        <v/>
      </c>
      <c r="R6147" s="21">
        <f>0</f>
        <v/>
      </c>
      <c r="S6147" s="21">
        <f>2*$B$5339</f>
        <v/>
      </c>
      <c r="T6147" s="21">
        <f>-$B$5338</f>
        <v/>
      </c>
      <c r="U6147" s="21">
        <f>$B$5340</f>
        <v/>
      </c>
      <c r="V6147" s="21" t="n">
        <v>0</v>
      </c>
      <c r="W6147" s="21" t="n">
        <v>0</v>
      </c>
      <c r="X6147" s="21" t="n">
        <v>0</v>
      </c>
      <c r="Y6147" s="21" t="n">
        <v>0</v>
      </c>
      <c r="Z6147" s="19" t="n"/>
    </row>
    <row r="6148">
      <c r="D6148" s="21" t="n">
        <v>0</v>
      </c>
      <c r="E6148" s="21" t="n">
        <v>0</v>
      </c>
      <c r="F6148" s="21" t="n">
        <v>0</v>
      </c>
      <c r="G6148" s="21" t="n">
        <v>0</v>
      </c>
      <c r="H6148" s="21" t="n">
        <v>0</v>
      </c>
      <c r="I6148" s="21" t="n">
        <v>0</v>
      </c>
      <c r="J6148" s="21" t="n">
        <v>0</v>
      </c>
      <c r="K6148" s="21" t="n">
        <v>0</v>
      </c>
      <c r="L6148" s="21" t="n">
        <v>0</v>
      </c>
      <c r="M6148" s="21" t="n">
        <v>0</v>
      </c>
      <c r="N6148" s="21" t="n">
        <v>0</v>
      </c>
      <c r="O6148" s="21" t="n">
        <v>0</v>
      </c>
      <c r="P6148" s="21" t="n">
        <v>0</v>
      </c>
      <c r="Q6148" s="21" t="n">
        <v>0</v>
      </c>
      <c r="R6148" s="21">
        <f>-$B$5337</f>
        <v/>
      </c>
      <c r="S6148" s="21">
        <f>-$B$5338</f>
        <v/>
      </c>
      <c r="T6148" s="21">
        <f>2*$B$5337+$D$6128</f>
        <v/>
      </c>
      <c r="U6148" s="21">
        <f>0</f>
        <v/>
      </c>
      <c r="V6148" s="21">
        <f>-$B$5337</f>
        <v/>
      </c>
      <c r="W6148" s="21">
        <f>$B$5338</f>
        <v/>
      </c>
      <c r="X6148" s="21" t="n">
        <v>0</v>
      </c>
      <c r="Y6148" s="21" t="n">
        <v>0</v>
      </c>
      <c r="Z6148" s="19" t="n"/>
    </row>
    <row r="6149">
      <c r="D6149" s="21" t="n">
        <v>0</v>
      </c>
      <c r="E6149" s="21" t="n">
        <v>0</v>
      </c>
      <c r="F6149" s="21" t="n">
        <v>0</v>
      </c>
      <c r="G6149" s="21" t="n">
        <v>0</v>
      </c>
      <c r="H6149" s="21" t="n">
        <v>0</v>
      </c>
      <c r="I6149" s="21" t="n">
        <v>0</v>
      </c>
      <c r="J6149" s="21" t="n">
        <v>0</v>
      </c>
      <c r="K6149" s="21" t="n">
        <v>0</v>
      </c>
      <c r="L6149" s="21" t="n">
        <v>0</v>
      </c>
      <c r="M6149" s="21" t="n">
        <v>0</v>
      </c>
      <c r="N6149" s="21" t="n">
        <v>0</v>
      </c>
      <c r="O6149" s="21" t="n">
        <v>0</v>
      </c>
      <c r="P6149" s="21" t="n">
        <v>0</v>
      </c>
      <c r="Q6149" s="21" t="n">
        <v>0</v>
      </c>
      <c r="R6149" s="21">
        <f>$B$5338</f>
        <v/>
      </c>
      <c r="S6149" s="21">
        <f>$B$5340</f>
        <v/>
      </c>
      <c r="T6149" s="21">
        <f>0</f>
        <v/>
      </c>
      <c r="U6149" s="21">
        <f>2*$B$5339</f>
        <v/>
      </c>
      <c r="V6149" s="21">
        <f>-$B$5338</f>
        <v/>
      </c>
      <c r="W6149" s="21">
        <f>$B$5340</f>
        <v/>
      </c>
      <c r="X6149" s="21" t="n">
        <v>0</v>
      </c>
      <c r="Y6149" s="21" t="n">
        <v>0</v>
      </c>
      <c r="Z6149" s="19" t="n"/>
    </row>
    <row r="6150">
      <c r="D6150" s="21" t="n">
        <v>0</v>
      </c>
      <c r="E6150" s="21" t="n">
        <v>0</v>
      </c>
      <c r="F6150" s="21" t="n">
        <v>0</v>
      </c>
      <c r="G6150" s="21" t="n">
        <v>0</v>
      </c>
      <c r="H6150" s="21" t="n">
        <v>0</v>
      </c>
      <c r="I6150" s="21" t="n">
        <v>0</v>
      </c>
      <c r="J6150" s="21" t="n">
        <v>0</v>
      </c>
      <c r="K6150" s="21" t="n">
        <v>0</v>
      </c>
      <c r="L6150" s="21" t="n">
        <v>0</v>
      </c>
      <c r="M6150" s="21" t="n">
        <v>0</v>
      </c>
      <c r="N6150" s="21" t="n">
        <v>0</v>
      </c>
      <c r="O6150" s="21" t="n">
        <v>0</v>
      </c>
      <c r="P6150" s="21" t="n">
        <v>0</v>
      </c>
      <c r="Q6150" s="21" t="n">
        <v>0</v>
      </c>
      <c r="R6150" s="21" t="n">
        <v>0</v>
      </c>
      <c r="S6150" s="21" t="n">
        <v>0</v>
      </c>
      <c r="T6150" s="21">
        <f>-$B$5337</f>
        <v/>
      </c>
      <c r="U6150" s="21">
        <f>-$B$5338</f>
        <v/>
      </c>
      <c r="V6150" s="21">
        <f>2*$B$5337+$D$6129</f>
        <v/>
      </c>
      <c r="W6150" s="21">
        <f>0</f>
        <v/>
      </c>
      <c r="X6150" s="21">
        <f>-$B$5337</f>
        <v/>
      </c>
      <c r="Y6150" s="21">
        <f>$B$5338</f>
        <v/>
      </c>
      <c r="Z6150" s="19" t="n"/>
    </row>
    <row r="6151">
      <c r="D6151" s="21" t="n">
        <v>0</v>
      </c>
      <c r="E6151" s="21" t="n">
        <v>0</v>
      </c>
      <c r="F6151" s="21" t="n">
        <v>0</v>
      </c>
      <c r="G6151" s="21" t="n">
        <v>0</v>
      </c>
      <c r="H6151" s="21" t="n">
        <v>0</v>
      </c>
      <c r="I6151" s="21" t="n">
        <v>0</v>
      </c>
      <c r="J6151" s="21" t="n">
        <v>0</v>
      </c>
      <c r="K6151" s="21" t="n">
        <v>0</v>
      </c>
      <c r="L6151" s="21" t="n">
        <v>0</v>
      </c>
      <c r="M6151" s="21" t="n">
        <v>0</v>
      </c>
      <c r="N6151" s="21" t="n">
        <v>0</v>
      </c>
      <c r="O6151" s="21" t="n">
        <v>0</v>
      </c>
      <c r="P6151" s="21" t="n">
        <v>0</v>
      </c>
      <c r="Q6151" s="21" t="n">
        <v>0</v>
      </c>
      <c r="R6151" s="21" t="n">
        <v>0</v>
      </c>
      <c r="S6151" s="21" t="n">
        <v>0</v>
      </c>
      <c r="T6151" s="21">
        <f>$B$5338</f>
        <v/>
      </c>
      <c r="U6151" s="21">
        <f>$B$5340</f>
        <v/>
      </c>
      <c r="V6151" s="21">
        <f>0</f>
        <v/>
      </c>
      <c r="W6151" s="21">
        <f>2*$B$5339</f>
        <v/>
      </c>
      <c r="X6151" s="21">
        <f>-$B$5338</f>
        <v/>
      </c>
      <c r="Y6151" s="21">
        <f>$B$5340</f>
        <v/>
      </c>
      <c r="Z6151" s="19" t="n"/>
    </row>
    <row r="6152">
      <c r="D6152" s="21" t="n">
        <v>0</v>
      </c>
      <c r="E6152" s="21" t="n">
        <v>0</v>
      </c>
      <c r="F6152" s="21" t="n">
        <v>0</v>
      </c>
      <c r="G6152" s="21" t="n">
        <v>0</v>
      </c>
      <c r="H6152" s="21" t="n">
        <v>0</v>
      </c>
      <c r="I6152" s="21" t="n">
        <v>0</v>
      </c>
      <c r="J6152" s="21" t="n">
        <v>0</v>
      </c>
      <c r="K6152" s="21" t="n">
        <v>0</v>
      </c>
      <c r="L6152" s="21" t="n">
        <v>0</v>
      </c>
      <c r="M6152" s="21" t="n">
        <v>0</v>
      </c>
      <c r="N6152" s="21" t="n">
        <v>0</v>
      </c>
      <c r="O6152" s="21" t="n">
        <v>0</v>
      </c>
      <c r="P6152" s="21" t="n">
        <v>0</v>
      </c>
      <c r="Q6152" s="21" t="n">
        <v>0</v>
      </c>
      <c r="R6152" s="21" t="n">
        <v>0</v>
      </c>
      <c r="S6152" s="21" t="n">
        <v>0</v>
      </c>
      <c r="T6152" s="21" t="n">
        <v>0</v>
      </c>
      <c r="U6152" s="21" t="n">
        <v>0</v>
      </c>
      <c r="V6152" s="21">
        <f>-$B$5337</f>
        <v/>
      </c>
      <c r="W6152" s="21">
        <f>-$B$5338</f>
        <v/>
      </c>
      <c r="X6152" s="21">
        <f>$B$5337+$D$6130</f>
        <v/>
      </c>
      <c r="Y6152" s="21">
        <f>-$B$5338</f>
        <v/>
      </c>
      <c r="Z6152" s="19" t="n"/>
    </row>
    <row r="6153">
      <c r="D6153" s="21" t="n">
        <v>0</v>
      </c>
      <c r="E6153" s="21" t="n">
        <v>0</v>
      </c>
      <c r="F6153" s="21" t="n">
        <v>0</v>
      </c>
      <c r="G6153" s="21" t="n">
        <v>0</v>
      </c>
      <c r="H6153" s="21" t="n">
        <v>0</v>
      </c>
      <c r="I6153" s="21" t="n">
        <v>0</v>
      </c>
      <c r="J6153" s="21" t="n">
        <v>0</v>
      </c>
      <c r="K6153" s="21" t="n">
        <v>0</v>
      </c>
      <c r="L6153" s="21" t="n">
        <v>0</v>
      </c>
      <c r="M6153" s="21" t="n">
        <v>0</v>
      </c>
      <c r="N6153" s="21" t="n">
        <v>0</v>
      </c>
      <c r="O6153" s="21" t="n">
        <v>0</v>
      </c>
      <c r="P6153" s="21" t="n">
        <v>0</v>
      </c>
      <c r="Q6153" s="21" t="n">
        <v>0</v>
      </c>
      <c r="R6153" s="21" t="n">
        <v>0</v>
      </c>
      <c r="S6153" s="21" t="n">
        <v>0</v>
      </c>
      <c r="T6153" s="21" t="n">
        <v>0</v>
      </c>
      <c r="U6153" s="21" t="n">
        <v>0</v>
      </c>
      <c r="V6153" s="21">
        <f>$B$5338</f>
        <v/>
      </c>
      <c r="W6153" s="21">
        <f>$B$5340</f>
        <v/>
      </c>
      <c r="X6153" s="21">
        <f>-$B$5338</f>
        <v/>
      </c>
      <c r="Y6153" s="21">
        <f>$B$5339</f>
        <v/>
      </c>
      <c r="Z6153" s="19" t="n"/>
    </row>
    <row r="6155">
      <c r="A6155" s="8" t="inlineStr">
        <is>
          <t>gen 22</t>
        </is>
      </c>
    </row>
    <row r="6156">
      <c r="D6156" s="19">
        <f>IF(ABS(IF(ABS($E$6120)&gt;0.000000001,$E$6120,0.000000001))=0,0,IF($E$5352&lt;=$B$5346,0,IF(ABS(IF(ABS($E$6120)&gt;0.000000001,$E$6120,0.000000001))&gt;=8*$B$5348,$H$5352,0.5*$H$5352*(ABS(IF(ABS($E$6120)&gt;0.000000001,$E$6120,0.000000001))/$B$5348)^(1/3)))/ABS(IF(ABS($E$6120)&gt;0.000000001,$E$6120,0.000000001))*$I$5352)</f>
        <v/>
      </c>
      <c r="E6156" s="19">
        <f>0.5*$E$6120+0.5*$Z$6168</f>
        <v/>
      </c>
      <c r="F6156" s="19">
        <f>$Z$6169</f>
        <v/>
      </c>
    </row>
    <row r="6157">
      <c r="D6157" s="19">
        <f>IF(ABS(IF(ABS($E$6121)&gt;0.000000001,$E$6121,0.000000001))=0,0,IF($E$5353&lt;=$B$5346,0,IF(ABS(IF(ABS($E$6121)&gt;0.000000001,$E$6121,0.000000001))&gt;=8*$B$5348,$H$5353,0.5*$H$5353*(ABS(IF(ABS($E$6121)&gt;0.000000001,$E$6121,0.000000001))/$B$5348)^(1/3)))/ABS(IF(ABS($E$6121)&gt;0.000000001,$E$6121,0.000000001))*$I$5353)</f>
        <v/>
      </c>
      <c r="E6157" s="19">
        <f>0.5*$E$6121+0.5*$Z$6170</f>
        <v/>
      </c>
      <c r="F6157" s="19">
        <f>$Z$6171</f>
        <v/>
      </c>
    </row>
    <row r="6158">
      <c r="D6158" s="19">
        <f>IF(ABS(IF(ABS($E$6122)&gt;0.000000001,$E$6122,0.000000001))=0,0,IF($E$5354&lt;=$B$5346,0,IF(ABS(IF(ABS($E$6122)&gt;0.000000001,$E$6122,0.000000001))&gt;=8*$B$5348,$H$5354,0.5*$H$5354*(ABS(IF(ABS($E$6122)&gt;0.000000001,$E$6122,0.000000001))/$B$5348)^(1/3)))/ABS(IF(ABS($E$6122)&gt;0.000000001,$E$6122,0.000000001))*$I$5354)</f>
        <v/>
      </c>
      <c r="E6158" s="19">
        <f>0.5*$E$6122+0.5*$Z$6172</f>
        <v/>
      </c>
      <c r="F6158" s="19">
        <f>$Z$6173</f>
        <v/>
      </c>
    </row>
    <row r="6159">
      <c r="D6159" s="19">
        <f>IF(ABS(IF(ABS($E$6123)&gt;0.000000001,$E$6123,0.000000001))=0,0,IF($E$5355&lt;=$B$5346,0,IF(ABS(IF(ABS($E$6123)&gt;0.000000001,$E$6123,0.000000001))&gt;=8*$B$5348,$H$5355,0.5*$H$5355*(ABS(IF(ABS($E$6123)&gt;0.000000001,$E$6123,0.000000001))/$B$5348)^(1/3)))/ABS(IF(ABS($E$6123)&gt;0.000000001,$E$6123,0.000000001))*$I$5355)</f>
        <v/>
      </c>
      <c r="E6159" s="19">
        <f>0.5*$E$6123+0.5*$Z$6174</f>
        <v/>
      </c>
      <c r="F6159" s="19">
        <f>$Z$6175</f>
        <v/>
      </c>
    </row>
    <row r="6160">
      <c r="D6160" s="19">
        <f>IF(ABS(IF(ABS($E$6124)&gt;0.000000001,$E$6124,0.000000001))=0,0,IF($E$5356&lt;=$B$5346,0,IF(ABS(IF(ABS($E$6124)&gt;0.000000001,$E$6124,0.000000001))&gt;=8*$B$5348,$H$5356,0.5*$H$5356*(ABS(IF(ABS($E$6124)&gt;0.000000001,$E$6124,0.000000001))/$B$5348)^(1/3)))/ABS(IF(ABS($E$6124)&gt;0.000000001,$E$6124,0.000000001))*$I$5356)</f>
        <v/>
      </c>
      <c r="E6160" s="19">
        <f>0.5*$E$6124+0.5*$Z$6176</f>
        <v/>
      </c>
      <c r="F6160" s="19">
        <f>$Z$6177</f>
        <v/>
      </c>
    </row>
    <row r="6161">
      <c r="D6161" s="19">
        <f>IF(ABS(IF(ABS($E$6125)&gt;0.000000001,$E$6125,0.000000001))=0,0,IF($E$5357&lt;=$B$5346,0,IF(ABS(IF(ABS($E$6125)&gt;0.000000001,$E$6125,0.000000001))&gt;=8*$B$5348,$H$5357,0.5*$H$5357*(ABS(IF(ABS($E$6125)&gt;0.000000001,$E$6125,0.000000001))/$B$5348)^(1/3)))/ABS(IF(ABS($E$6125)&gt;0.000000001,$E$6125,0.000000001))*$I$5357)</f>
        <v/>
      </c>
      <c r="E6161" s="19">
        <f>0.5*$E$6125+0.5*$Z$6178</f>
        <v/>
      </c>
      <c r="F6161" s="19">
        <f>$Z$6179</f>
        <v/>
      </c>
    </row>
    <row r="6162">
      <c r="D6162" s="19">
        <f>IF(ABS(IF(ABS($E$6126)&gt;0.000000001,$E$6126,0.000000001))=0,0,IF($E$5358&lt;=$B$5346,0,IF(ABS(IF(ABS($E$6126)&gt;0.000000001,$E$6126,0.000000001))&gt;=8*$B$5348,$H$5358,0.5*$H$5358*(ABS(IF(ABS($E$6126)&gt;0.000000001,$E$6126,0.000000001))/$B$5348)^(1/3)))/ABS(IF(ABS($E$6126)&gt;0.000000001,$E$6126,0.000000001))*$I$5358)</f>
        <v/>
      </c>
      <c r="E6162" s="19">
        <f>0.5*$E$6126+0.5*$Z$6180</f>
        <v/>
      </c>
      <c r="F6162" s="19">
        <f>$Z$6181</f>
        <v/>
      </c>
    </row>
    <row r="6163">
      <c r="D6163" s="19">
        <f>IF(ABS(IF(ABS($E$6127)&gt;0.000000001,$E$6127,0.000000001))=0,0,IF($E$5359&lt;=$B$5346,0,IF(ABS(IF(ABS($E$6127)&gt;0.000000001,$E$6127,0.000000001))&gt;=8*$B$5348,$H$5359,0.5*$H$5359*(ABS(IF(ABS($E$6127)&gt;0.000000001,$E$6127,0.000000001))/$B$5348)^(1/3)))/ABS(IF(ABS($E$6127)&gt;0.000000001,$E$6127,0.000000001))*$I$5359)</f>
        <v/>
      </c>
      <c r="E6163" s="19">
        <f>0.5*$E$6127+0.5*$Z$6182</f>
        <v/>
      </c>
      <c r="F6163" s="19">
        <f>$Z$6183</f>
        <v/>
      </c>
    </row>
    <row r="6164">
      <c r="D6164" s="19">
        <f>IF(ABS(IF(ABS($E$6128)&gt;0.000000001,$E$6128,0.000000001))=0,0,IF($E$5360&lt;=$B$5346,0,IF(ABS(IF(ABS($E$6128)&gt;0.000000001,$E$6128,0.000000001))&gt;=8*$B$5348,$H$5360,0.5*$H$5360*(ABS(IF(ABS($E$6128)&gt;0.000000001,$E$6128,0.000000001))/$B$5348)^(1/3)))/ABS(IF(ABS($E$6128)&gt;0.000000001,$E$6128,0.000000001))*$I$5360)</f>
        <v/>
      </c>
      <c r="E6164" s="19">
        <f>0.5*$E$6128+0.5*$Z$6184</f>
        <v/>
      </c>
      <c r="F6164" s="19">
        <f>$Z$6185</f>
        <v/>
      </c>
    </row>
    <row r="6165">
      <c r="D6165" s="19">
        <f>IF(ABS(IF(ABS($E$6129)&gt;0.000000001,$E$6129,0.000000001))=0,0,IF($E$5361&lt;=$B$5346,0,IF(ABS(IF(ABS($E$6129)&gt;0.000000001,$E$6129,0.000000001))&gt;=8*$B$5348,$H$5361,0.5*$H$5361*(ABS(IF(ABS($E$6129)&gt;0.000000001,$E$6129,0.000000001))/$B$5348)^(1/3)))/ABS(IF(ABS($E$6129)&gt;0.000000001,$E$6129,0.000000001))*$I$5361)</f>
        <v/>
      </c>
      <c r="E6165" s="19">
        <f>0.5*$E$6129+0.5*$Z$6186</f>
        <v/>
      </c>
      <c r="F6165" s="19">
        <f>$Z$6187</f>
        <v/>
      </c>
    </row>
    <row r="6166">
      <c r="D6166" s="19">
        <f>IF(ABS(IF(ABS($E$6130)&gt;0.000000001,$E$6130,0.000000001))=0,0,IF($E$5362&lt;=$B$5346,0,IF(ABS(IF(ABS($E$6130)&gt;0.000000001,$E$6130,0.000000001))&gt;=8*$B$5348,$H$5362,0.5*$H$5362*(ABS(IF(ABS($E$6130)&gt;0.000000001,$E$6130,0.000000001))/$B$5348)^(1/3)))/ABS(IF(ABS($E$6130)&gt;0.000000001,$E$6130,0.000000001))*$I$5362)</f>
        <v/>
      </c>
      <c r="E6166" s="19">
        <f>0.5*$E$6130+0.5*$Z$6188</f>
        <v/>
      </c>
      <c r="F6166" s="19">
        <f>$Z$6189</f>
        <v/>
      </c>
    </row>
    <row r="6168">
      <c r="D6168" s="21">
        <f>$B$5337+$D$6156</f>
        <v/>
      </c>
      <c r="E6168" s="21">
        <f>$B$5338</f>
        <v/>
      </c>
      <c r="F6168" s="21">
        <f>-$B$5337</f>
        <v/>
      </c>
      <c r="G6168" s="21">
        <f>$B$5338</f>
        <v/>
      </c>
      <c r="H6168" s="21" t="n">
        <v>0</v>
      </c>
      <c r="I6168" s="21" t="n">
        <v>0</v>
      </c>
      <c r="J6168" s="21" t="n">
        <v>0</v>
      </c>
      <c r="K6168" s="21" t="n">
        <v>0</v>
      </c>
      <c r="L6168" s="21" t="n">
        <v>0</v>
      </c>
      <c r="M6168" s="21" t="n">
        <v>0</v>
      </c>
      <c r="N6168" s="21" t="n">
        <v>0</v>
      </c>
      <c r="O6168" s="21" t="n">
        <v>0</v>
      </c>
      <c r="P6168" s="21" t="n">
        <v>0</v>
      </c>
      <c r="Q6168" s="21" t="n">
        <v>0</v>
      </c>
      <c r="R6168" s="21" t="n">
        <v>0</v>
      </c>
      <c r="S6168" s="21" t="n">
        <v>0</v>
      </c>
      <c r="T6168" s="21" t="n">
        <v>0</v>
      </c>
      <c r="U6168" s="21" t="n">
        <v>0</v>
      </c>
      <c r="V6168" s="21" t="n">
        <v>0</v>
      </c>
      <c r="W6168" s="21" t="n">
        <v>0</v>
      </c>
      <c r="X6168" s="21" t="n">
        <v>0</v>
      </c>
      <c r="Y6168" s="21" t="n">
        <v>0</v>
      </c>
      <c r="Z6168" s="19">
        <f t="array" ref="Z6168:Z6189">MMULT(MINVERSE($D$6168:$Y$6189),$D$5364:$D$5385)</f>
        <v/>
      </c>
    </row>
    <row r="6169">
      <c r="D6169" s="21">
        <f>$B$5338</f>
        <v/>
      </c>
      <c r="E6169" s="21">
        <f>$B$5339</f>
        <v/>
      </c>
      <c r="F6169" s="21">
        <f>-$B$5338</f>
        <v/>
      </c>
      <c r="G6169" s="21">
        <f>$B$5340</f>
        <v/>
      </c>
      <c r="H6169" s="21" t="n">
        <v>0</v>
      </c>
      <c r="I6169" s="21" t="n">
        <v>0</v>
      </c>
      <c r="J6169" s="21" t="n">
        <v>0</v>
      </c>
      <c r="K6169" s="21" t="n">
        <v>0</v>
      </c>
      <c r="L6169" s="21" t="n">
        <v>0</v>
      </c>
      <c r="M6169" s="21" t="n">
        <v>0</v>
      </c>
      <c r="N6169" s="21" t="n">
        <v>0</v>
      </c>
      <c r="O6169" s="21" t="n">
        <v>0</v>
      </c>
      <c r="P6169" s="21" t="n">
        <v>0</v>
      </c>
      <c r="Q6169" s="21" t="n">
        <v>0</v>
      </c>
      <c r="R6169" s="21" t="n">
        <v>0</v>
      </c>
      <c r="S6169" s="21" t="n">
        <v>0</v>
      </c>
      <c r="T6169" s="21" t="n">
        <v>0</v>
      </c>
      <c r="U6169" s="21" t="n">
        <v>0</v>
      </c>
      <c r="V6169" s="21" t="n">
        <v>0</v>
      </c>
      <c r="W6169" s="21" t="n">
        <v>0</v>
      </c>
      <c r="X6169" s="21" t="n">
        <v>0</v>
      </c>
      <c r="Y6169" s="21" t="n">
        <v>0</v>
      </c>
      <c r="Z6169" s="19" t="n"/>
    </row>
    <row r="6170">
      <c r="D6170" s="21">
        <f>-$B$5337</f>
        <v/>
      </c>
      <c r="E6170" s="21">
        <f>-$B$5338</f>
        <v/>
      </c>
      <c r="F6170" s="21">
        <f>2*$B$5337+$D$6157</f>
        <v/>
      </c>
      <c r="G6170" s="21">
        <f>0</f>
        <v/>
      </c>
      <c r="H6170" s="21">
        <f>-$B$5337</f>
        <v/>
      </c>
      <c r="I6170" s="21">
        <f>$B$5338</f>
        <v/>
      </c>
      <c r="J6170" s="21" t="n">
        <v>0</v>
      </c>
      <c r="K6170" s="21" t="n">
        <v>0</v>
      </c>
      <c r="L6170" s="21" t="n">
        <v>0</v>
      </c>
      <c r="M6170" s="21" t="n">
        <v>0</v>
      </c>
      <c r="N6170" s="21" t="n">
        <v>0</v>
      </c>
      <c r="O6170" s="21" t="n">
        <v>0</v>
      </c>
      <c r="P6170" s="21" t="n">
        <v>0</v>
      </c>
      <c r="Q6170" s="21" t="n">
        <v>0</v>
      </c>
      <c r="R6170" s="21" t="n">
        <v>0</v>
      </c>
      <c r="S6170" s="21" t="n">
        <v>0</v>
      </c>
      <c r="T6170" s="21" t="n">
        <v>0</v>
      </c>
      <c r="U6170" s="21" t="n">
        <v>0</v>
      </c>
      <c r="V6170" s="21" t="n">
        <v>0</v>
      </c>
      <c r="W6170" s="21" t="n">
        <v>0</v>
      </c>
      <c r="X6170" s="21" t="n">
        <v>0</v>
      </c>
      <c r="Y6170" s="21" t="n">
        <v>0</v>
      </c>
      <c r="Z6170" s="19" t="n"/>
    </row>
    <row r="6171">
      <c r="D6171" s="21">
        <f>$B$5338</f>
        <v/>
      </c>
      <c r="E6171" s="21">
        <f>$B$5340</f>
        <v/>
      </c>
      <c r="F6171" s="21">
        <f>0</f>
        <v/>
      </c>
      <c r="G6171" s="21">
        <f>2*$B$5339</f>
        <v/>
      </c>
      <c r="H6171" s="21">
        <f>-$B$5338</f>
        <v/>
      </c>
      <c r="I6171" s="21">
        <f>$B$5340</f>
        <v/>
      </c>
      <c r="J6171" s="21" t="n">
        <v>0</v>
      </c>
      <c r="K6171" s="21" t="n">
        <v>0</v>
      </c>
      <c r="L6171" s="21" t="n">
        <v>0</v>
      </c>
      <c r="M6171" s="21" t="n">
        <v>0</v>
      </c>
      <c r="N6171" s="21" t="n">
        <v>0</v>
      </c>
      <c r="O6171" s="21" t="n">
        <v>0</v>
      </c>
      <c r="P6171" s="21" t="n">
        <v>0</v>
      </c>
      <c r="Q6171" s="21" t="n">
        <v>0</v>
      </c>
      <c r="R6171" s="21" t="n">
        <v>0</v>
      </c>
      <c r="S6171" s="21" t="n">
        <v>0</v>
      </c>
      <c r="T6171" s="21" t="n">
        <v>0</v>
      </c>
      <c r="U6171" s="21" t="n">
        <v>0</v>
      </c>
      <c r="V6171" s="21" t="n">
        <v>0</v>
      </c>
      <c r="W6171" s="21" t="n">
        <v>0</v>
      </c>
      <c r="X6171" s="21" t="n">
        <v>0</v>
      </c>
      <c r="Y6171" s="21" t="n">
        <v>0</v>
      </c>
      <c r="Z6171" s="19" t="n"/>
    </row>
    <row r="6172">
      <c r="D6172" s="21" t="n">
        <v>0</v>
      </c>
      <c r="E6172" s="21" t="n">
        <v>0</v>
      </c>
      <c r="F6172" s="21">
        <f>-$B$5337</f>
        <v/>
      </c>
      <c r="G6172" s="21">
        <f>-$B$5338</f>
        <v/>
      </c>
      <c r="H6172" s="21">
        <f>2*$B$5337+$D$6158</f>
        <v/>
      </c>
      <c r="I6172" s="21">
        <f>0</f>
        <v/>
      </c>
      <c r="J6172" s="21">
        <f>-$B$5337</f>
        <v/>
      </c>
      <c r="K6172" s="21">
        <f>$B$5338</f>
        <v/>
      </c>
      <c r="L6172" s="21" t="n">
        <v>0</v>
      </c>
      <c r="M6172" s="21" t="n">
        <v>0</v>
      </c>
      <c r="N6172" s="21" t="n">
        <v>0</v>
      </c>
      <c r="O6172" s="21" t="n">
        <v>0</v>
      </c>
      <c r="P6172" s="21" t="n">
        <v>0</v>
      </c>
      <c r="Q6172" s="21" t="n">
        <v>0</v>
      </c>
      <c r="R6172" s="21" t="n">
        <v>0</v>
      </c>
      <c r="S6172" s="21" t="n">
        <v>0</v>
      </c>
      <c r="T6172" s="21" t="n">
        <v>0</v>
      </c>
      <c r="U6172" s="21" t="n">
        <v>0</v>
      </c>
      <c r="V6172" s="21" t="n">
        <v>0</v>
      </c>
      <c r="W6172" s="21" t="n">
        <v>0</v>
      </c>
      <c r="X6172" s="21" t="n">
        <v>0</v>
      </c>
      <c r="Y6172" s="21" t="n">
        <v>0</v>
      </c>
      <c r="Z6172" s="19" t="n"/>
    </row>
    <row r="6173">
      <c r="D6173" s="21" t="n">
        <v>0</v>
      </c>
      <c r="E6173" s="21" t="n">
        <v>0</v>
      </c>
      <c r="F6173" s="21">
        <f>$B$5338</f>
        <v/>
      </c>
      <c r="G6173" s="21">
        <f>$B$5340</f>
        <v/>
      </c>
      <c r="H6173" s="21">
        <f>0</f>
        <v/>
      </c>
      <c r="I6173" s="21">
        <f>2*$B$5339</f>
        <v/>
      </c>
      <c r="J6173" s="21">
        <f>-$B$5338</f>
        <v/>
      </c>
      <c r="K6173" s="21">
        <f>$B$5340</f>
        <v/>
      </c>
      <c r="L6173" s="21" t="n">
        <v>0</v>
      </c>
      <c r="M6173" s="21" t="n">
        <v>0</v>
      </c>
      <c r="N6173" s="21" t="n">
        <v>0</v>
      </c>
      <c r="O6173" s="21" t="n">
        <v>0</v>
      </c>
      <c r="P6173" s="21" t="n">
        <v>0</v>
      </c>
      <c r="Q6173" s="21" t="n">
        <v>0</v>
      </c>
      <c r="R6173" s="21" t="n">
        <v>0</v>
      </c>
      <c r="S6173" s="21" t="n">
        <v>0</v>
      </c>
      <c r="T6173" s="21" t="n">
        <v>0</v>
      </c>
      <c r="U6173" s="21" t="n">
        <v>0</v>
      </c>
      <c r="V6173" s="21" t="n">
        <v>0</v>
      </c>
      <c r="W6173" s="21" t="n">
        <v>0</v>
      </c>
      <c r="X6173" s="21" t="n">
        <v>0</v>
      </c>
      <c r="Y6173" s="21" t="n">
        <v>0</v>
      </c>
      <c r="Z6173" s="19" t="n"/>
    </row>
    <row r="6174">
      <c r="D6174" s="21" t="n">
        <v>0</v>
      </c>
      <c r="E6174" s="21" t="n">
        <v>0</v>
      </c>
      <c r="F6174" s="21" t="n">
        <v>0</v>
      </c>
      <c r="G6174" s="21" t="n">
        <v>0</v>
      </c>
      <c r="H6174" s="21">
        <f>-$B$5337</f>
        <v/>
      </c>
      <c r="I6174" s="21">
        <f>-$B$5338</f>
        <v/>
      </c>
      <c r="J6174" s="21">
        <f>2*$B$5337+$D$6159</f>
        <v/>
      </c>
      <c r="K6174" s="21">
        <f>0</f>
        <v/>
      </c>
      <c r="L6174" s="21">
        <f>-$B$5337</f>
        <v/>
      </c>
      <c r="M6174" s="21">
        <f>$B$5338</f>
        <v/>
      </c>
      <c r="N6174" s="21" t="n">
        <v>0</v>
      </c>
      <c r="O6174" s="21" t="n">
        <v>0</v>
      </c>
      <c r="P6174" s="21" t="n">
        <v>0</v>
      </c>
      <c r="Q6174" s="21" t="n">
        <v>0</v>
      </c>
      <c r="R6174" s="21" t="n">
        <v>0</v>
      </c>
      <c r="S6174" s="21" t="n">
        <v>0</v>
      </c>
      <c r="T6174" s="21" t="n">
        <v>0</v>
      </c>
      <c r="U6174" s="21" t="n">
        <v>0</v>
      </c>
      <c r="V6174" s="21" t="n">
        <v>0</v>
      </c>
      <c r="W6174" s="21" t="n">
        <v>0</v>
      </c>
      <c r="X6174" s="21" t="n">
        <v>0</v>
      </c>
      <c r="Y6174" s="21" t="n">
        <v>0</v>
      </c>
      <c r="Z6174" s="19" t="n"/>
    </row>
    <row r="6175">
      <c r="D6175" s="21" t="n">
        <v>0</v>
      </c>
      <c r="E6175" s="21" t="n">
        <v>0</v>
      </c>
      <c r="F6175" s="21" t="n">
        <v>0</v>
      </c>
      <c r="G6175" s="21" t="n">
        <v>0</v>
      </c>
      <c r="H6175" s="21">
        <f>$B$5338</f>
        <v/>
      </c>
      <c r="I6175" s="21">
        <f>$B$5340</f>
        <v/>
      </c>
      <c r="J6175" s="21">
        <f>0</f>
        <v/>
      </c>
      <c r="K6175" s="21">
        <f>2*$B$5339</f>
        <v/>
      </c>
      <c r="L6175" s="21">
        <f>-$B$5338</f>
        <v/>
      </c>
      <c r="M6175" s="21">
        <f>$B$5340</f>
        <v/>
      </c>
      <c r="N6175" s="21" t="n">
        <v>0</v>
      </c>
      <c r="O6175" s="21" t="n">
        <v>0</v>
      </c>
      <c r="P6175" s="21" t="n">
        <v>0</v>
      </c>
      <c r="Q6175" s="21" t="n">
        <v>0</v>
      </c>
      <c r="R6175" s="21" t="n">
        <v>0</v>
      </c>
      <c r="S6175" s="21" t="n">
        <v>0</v>
      </c>
      <c r="T6175" s="21" t="n">
        <v>0</v>
      </c>
      <c r="U6175" s="21" t="n">
        <v>0</v>
      </c>
      <c r="V6175" s="21" t="n">
        <v>0</v>
      </c>
      <c r="W6175" s="21" t="n">
        <v>0</v>
      </c>
      <c r="X6175" s="21" t="n">
        <v>0</v>
      </c>
      <c r="Y6175" s="21" t="n">
        <v>0</v>
      </c>
      <c r="Z6175" s="19" t="n"/>
    </row>
    <row r="6176">
      <c r="D6176" s="21" t="n">
        <v>0</v>
      </c>
      <c r="E6176" s="21" t="n">
        <v>0</v>
      </c>
      <c r="F6176" s="21" t="n">
        <v>0</v>
      </c>
      <c r="G6176" s="21" t="n">
        <v>0</v>
      </c>
      <c r="H6176" s="21" t="n">
        <v>0</v>
      </c>
      <c r="I6176" s="21" t="n">
        <v>0</v>
      </c>
      <c r="J6176" s="21">
        <f>-$B$5337</f>
        <v/>
      </c>
      <c r="K6176" s="21">
        <f>-$B$5338</f>
        <v/>
      </c>
      <c r="L6176" s="21">
        <f>2*$B$5337+$D$6160</f>
        <v/>
      </c>
      <c r="M6176" s="21">
        <f>0</f>
        <v/>
      </c>
      <c r="N6176" s="21">
        <f>-$B$5337</f>
        <v/>
      </c>
      <c r="O6176" s="21">
        <f>$B$5338</f>
        <v/>
      </c>
      <c r="P6176" s="21" t="n">
        <v>0</v>
      </c>
      <c r="Q6176" s="21" t="n">
        <v>0</v>
      </c>
      <c r="R6176" s="21" t="n">
        <v>0</v>
      </c>
      <c r="S6176" s="21" t="n">
        <v>0</v>
      </c>
      <c r="T6176" s="21" t="n">
        <v>0</v>
      </c>
      <c r="U6176" s="21" t="n">
        <v>0</v>
      </c>
      <c r="V6176" s="21" t="n">
        <v>0</v>
      </c>
      <c r="W6176" s="21" t="n">
        <v>0</v>
      </c>
      <c r="X6176" s="21" t="n">
        <v>0</v>
      </c>
      <c r="Y6176" s="21" t="n">
        <v>0</v>
      </c>
      <c r="Z6176" s="19" t="n"/>
    </row>
    <row r="6177">
      <c r="D6177" s="21" t="n">
        <v>0</v>
      </c>
      <c r="E6177" s="21" t="n">
        <v>0</v>
      </c>
      <c r="F6177" s="21" t="n">
        <v>0</v>
      </c>
      <c r="G6177" s="21" t="n">
        <v>0</v>
      </c>
      <c r="H6177" s="21" t="n">
        <v>0</v>
      </c>
      <c r="I6177" s="21" t="n">
        <v>0</v>
      </c>
      <c r="J6177" s="21">
        <f>$B$5338</f>
        <v/>
      </c>
      <c r="K6177" s="21">
        <f>$B$5340</f>
        <v/>
      </c>
      <c r="L6177" s="21">
        <f>0</f>
        <v/>
      </c>
      <c r="M6177" s="21">
        <f>2*$B$5339</f>
        <v/>
      </c>
      <c r="N6177" s="21">
        <f>-$B$5338</f>
        <v/>
      </c>
      <c r="O6177" s="21">
        <f>$B$5340</f>
        <v/>
      </c>
      <c r="P6177" s="21" t="n">
        <v>0</v>
      </c>
      <c r="Q6177" s="21" t="n">
        <v>0</v>
      </c>
      <c r="R6177" s="21" t="n">
        <v>0</v>
      </c>
      <c r="S6177" s="21" t="n">
        <v>0</v>
      </c>
      <c r="T6177" s="21" t="n">
        <v>0</v>
      </c>
      <c r="U6177" s="21" t="n">
        <v>0</v>
      </c>
      <c r="V6177" s="21" t="n">
        <v>0</v>
      </c>
      <c r="W6177" s="21" t="n">
        <v>0</v>
      </c>
      <c r="X6177" s="21" t="n">
        <v>0</v>
      </c>
      <c r="Y6177" s="21" t="n">
        <v>0</v>
      </c>
      <c r="Z6177" s="19" t="n"/>
    </row>
    <row r="6178">
      <c r="D6178" s="21" t="n">
        <v>0</v>
      </c>
      <c r="E6178" s="21" t="n">
        <v>0</v>
      </c>
      <c r="F6178" s="21" t="n">
        <v>0</v>
      </c>
      <c r="G6178" s="21" t="n">
        <v>0</v>
      </c>
      <c r="H6178" s="21" t="n">
        <v>0</v>
      </c>
      <c r="I6178" s="21" t="n">
        <v>0</v>
      </c>
      <c r="J6178" s="21" t="n">
        <v>0</v>
      </c>
      <c r="K6178" s="21" t="n">
        <v>0</v>
      </c>
      <c r="L6178" s="21">
        <f>-$B$5337</f>
        <v/>
      </c>
      <c r="M6178" s="21">
        <f>-$B$5338</f>
        <v/>
      </c>
      <c r="N6178" s="21">
        <f>2*$B$5337+$D$6161</f>
        <v/>
      </c>
      <c r="O6178" s="21">
        <f>0</f>
        <v/>
      </c>
      <c r="P6178" s="21">
        <f>-$B$5337</f>
        <v/>
      </c>
      <c r="Q6178" s="21">
        <f>$B$5338</f>
        <v/>
      </c>
      <c r="R6178" s="21" t="n">
        <v>0</v>
      </c>
      <c r="S6178" s="21" t="n">
        <v>0</v>
      </c>
      <c r="T6178" s="21" t="n">
        <v>0</v>
      </c>
      <c r="U6178" s="21" t="n">
        <v>0</v>
      </c>
      <c r="V6178" s="21" t="n">
        <v>0</v>
      </c>
      <c r="W6178" s="21" t="n">
        <v>0</v>
      </c>
      <c r="X6178" s="21" t="n">
        <v>0</v>
      </c>
      <c r="Y6178" s="21" t="n">
        <v>0</v>
      </c>
      <c r="Z6178" s="19" t="n"/>
    </row>
    <row r="6179">
      <c r="D6179" s="21" t="n">
        <v>0</v>
      </c>
      <c r="E6179" s="21" t="n">
        <v>0</v>
      </c>
      <c r="F6179" s="21" t="n">
        <v>0</v>
      </c>
      <c r="G6179" s="21" t="n">
        <v>0</v>
      </c>
      <c r="H6179" s="21" t="n">
        <v>0</v>
      </c>
      <c r="I6179" s="21" t="n">
        <v>0</v>
      </c>
      <c r="J6179" s="21" t="n">
        <v>0</v>
      </c>
      <c r="K6179" s="21" t="n">
        <v>0</v>
      </c>
      <c r="L6179" s="21">
        <f>$B$5338</f>
        <v/>
      </c>
      <c r="M6179" s="21">
        <f>$B$5340</f>
        <v/>
      </c>
      <c r="N6179" s="21">
        <f>0</f>
        <v/>
      </c>
      <c r="O6179" s="21">
        <f>2*$B$5339</f>
        <v/>
      </c>
      <c r="P6179" s="21">
        <f>-$B$5338</f>
        <v/>
      </c>
      <c r="Q6179" s="21">
        <f>$B$5340</f>
        <v/>
      </c>
      <c r="R6179" s="21" t="n">
        <v>0</v>
      </c>
      <c r="S6179" s="21" t="n">
        <v>0</v>
      </c>
      <c r="T6179" s="21" t="n">
        <v>0</v>
      </c>
      <c r="U6179" s="21" t="n">
        <v>0</v>
      </c>
      <c r="V6179" s="21" t="n">
        <v>0</v>
      </c>
      <c r="W6179" s="21" t="n">
        <v>0</v>
      </c>
      <c r="X6179" s="21" t="n">
        <v>0</v>
      </c>
      <c r="Y6179" s="21" t="n">
        <v>0</v>
      </c>
      <c r="Z6179" s="19" t="n"/>
    </row>
    <row r="6180">
      <c r="D6180" s="21" t="n">
        <v>0</v>
      </c>
      <c r="E6180" s="21" t="n">
        <v>0</v>
      </c>
      <c r="F6180" s="21" t="n">
        <v>0</v>
      </c>
      <c r="G6180" s="21" t="n">
        <v>0</v>
      </c>
      <c r="H6180" s="21" t="n">
        <v>0</v>
      </c>
      <c r="I6180" s="21" t="n">
        <v>0</v>
      </c>
      <c r="J6180" s="21" t="n">
        <v>0</v>
      </c>
      <c r="K6180" s="21" t="n">
        <v>0</v>
      </c>
      <c r="L6180" s="21" t="n">
        <v>0</v>
      </c>
      <c r="M6180" s="21" t="n">
        <v>0</v>
      </c>
      <c r="N6180" s="21">
        <f>-$B$5337</f>
        <v/>
      </c>
      <c r="O6180" s="21">
        <f>-$B$5338</f>
        <v/>
      </c>
      <c r="P6180" s="21">
        <f>2*$B$5337+$D$6162</f>
        <v/>
      </c>
      <c r="Q6180" s="21">
        <f>0</f>
        <v/>
      </c>
      <c r="R6180" s="21">
        <f>-$B$5337</f>
        <v/>
      </c>
      <c r="S6180" s="21">
        <f>$B$5338</f>
        <v/>
      </c>
      <c r="T6180" s="21" t="n">
        <v>0</v>
      </c>
      <c r="U6180" s="21" t="n">
        <v>0</v>
      </c>
      <c r="V6180" s="21" t="n">
        <v>0</v>
      </c>
      <c r="W6180" s="21" t="n">
        <v>0</v>
      </c>
      <c r="X6180" s="21" t="n">
        <v>0</v>
      </c>
      <c r="Y6180" s="21" t="n">
        <v>0</v>
      </c>
      <c r="Z6180" s="19" t="n"/>
    </row>
    <row r="6181">
      <c r="D6181" s="21" t="n">
        <v>0</v>
      </c>
      <c r="E6181" s="21" t="n">
        <v>0</v>
      </c>
      <c r="F6181" s="21" t="n">
        <v>0</v>
      </c>
      <c r="G6181" s="21" t="n">
        <v>0</v>
      </c>
      <c r="H6181" s="21" t="n">
        <v>0</v>
      </c>
      <c r="I6181" s="21" t="n">
        <v>0</v>
      </c>
      <c r="J6181" s="21" t="n">
        <v>0</v>
      </c>
      <c r="K6181" s="21" t="n">
        <v>0</v>
      </c>
      <c r="L6181" s="21" t="n">
        <v>0</v>
      </c>
      <c r="M6181" s="21" t="n">
        <v>0</v>
      </c>
      <c r="N6181" s="21">
        <f>$B$5338</f>
        <v/>
      </c>
      <c r="O6181" s="21">
        <f>$B$5340</f>
        <v/>
      </c>
      <c r="P6181" s="21">
        <f>0</f>
        <v/>
      </c>
      <c r="Q6181" s="21">
        <f>2*$B$5339</f>
        <v/>
      </c>
      <c r="R6181" s="21">
        <f>-$B$5338</f>
        <v/>
      </c>
      <c r="S6181" s="21">
        <f>$B$5340</f>
        <v/>
      </c>
      <c r="T6181" s="21" t="n">
        <v>0</v>
      </c>
      <c r="U6181" s="21" t="n">
        <v>0</v>
      </c>
      <c r="V6181" s="21" t="n">
        <v>0</v>
      </c>
      <c r="W6181" s="21" t="n">
        <v>0</v>
      </c>
      <c r="X6181" s="21" t="n">
        <v>0</v>
      </c>
      <c r="Y6181" s="21" t="n">
        <v>0</v>
      </c>
      <c r="Z6181" s="19" t="n"/>
    </row>
    <row r="6182">
      <c r="D6182" s="21" t="n">
        <v>0</v>
      </c>
      <c r="E6182" s="21" t="n">
        <v>0</v>
      </c>
      <c r="F6182" s="21" t="n">
        <v>0</v>
      </c>
      <c r="G6182" s="21" t="n">
        <v>0</v>
      </c>
      <c r="H6182" s="21" t="n">
        <v>0</v>
      </c>
      <c r="I6182" s="21" t="n">
        <v>0</v>
      </c>
      <c r="J6182" s="21" t="n">
        <v>0</v>
      </c>
      <c r="K6182" s="21" t="n">
        <v>0</v>
      </c>
      <c r="L6182" s="21" t="n">
        <v>0</v>
      </c>
      <c r="M6182" s="21" t="n">
        <v>0</v>
      </c>
      <c r="N6182" s="21" t="n">
        <v>0</v>
      </c>
      <c r="O6182" s="21" t="n">
        <v>0</v>
      </c>
      <c r="P6182" s="21">
        <f>-$B$5337</f>
        <v/>
      </c>
      <c r="Q6182" s="21">
        <f>-$B$5338</f>
        <v/>
      </c>
      <c r="R6182" s="21">
        <f>2*$B$5337+$D$6163</f>
        <v/>
      </c>
      <c r="S6182" s="21">
        <f>0</f>
        <v/>
      </c>
      <c r="T6182" s="21">
        <f>-$B$5337</f>
        <v/>
      </c>
      <c r="U6182" s="21">
        <f>$B$5338</f>
        <v/>
      </c>
      <c r="V6182" s="21" t="n">
        <v>0</v>
      </c>
      <c r="W6182" s="21" t="n">
        <v>0</v>
      </c>
      <c r="X6182" s="21" t="n">
        <v>0</v>
      </c>
      <c r="Y6182" s="21" t="n">
        <v>0</v>
      </c>
      <c r="Z6182" s="19" t="n"/>
    </row>
    <row r="6183">
      <c r="D6183" s="21" t="n">
        <v>0</v>
      </c>
      <c r="E6183" s="21" t="n">
        <v>0</v>
      </c>
      <c r="F6183" s="21" t="n">
        <v>0</v>
      </c>
      <c r="G6183" s="21" t="n">
        <v>0</v>
      </c>
      <c r="H6183" s="21" t="n">
        <v>0</v>
      </c>
      <c r="I6183" s="21" t="n">
        <v>0</v>
      </c>
      <c r="J6183" s="21" t="n">
        <v>0</v>
      </c>
      <c r="K6183" s="21" t="n">
        <v>0</v>
      </c>
      <c r="L6183" s="21" t="n">
        <v>0</v>
      </c>
      <c r="M6183" s="21" t="n">
        <v>0</v>
      </c>
      <c r="N6183" s="21" t="n">
        <v>0</v>
      </c>
      <c r="O6183" s="21" t="n">
        <v>0</v>
      </c>
      <c r="P6183" s="21">
        <f>$B$5338</f>
        <v/>
      </c>
      <c r="Q6183" s="21">
        <f>$B$5340</f>
        <v/>
      </c>
      <c r="R6183" s="21">
        <f>0</f>
        <v/>
      </c>
      <c r="S6183" s="21">
        <f>2*$B$5339</f>
        <v/>
      </c>
      <c r="T6183" s="21">
        <f>-$B$5338</f>
        <v/>
      </c>
      <c r="U6183" s="21">
        <f>$B$5340</f>
        <v/>
      </c>
      <c r="V6183" s="21" t="n">
        <v>0</v>
      </c>
      <c r="W6183" s="21" t="n">
        <v>0</v>
      </c>
      <c r="X6183" s="21" t="n">
        <v>0</v>
      </c>
      <c r="Y6183" s="21" t="n">
        <v>0</v>
      </c>
      <c r="Z6183" s="19" t="n"/>
    </row>
    <row r="6184">
      <c r="D6184" s="21" t="n">
        <v>0</v>
      </c>
      <c r="E6184" s="21" t="n">
        <v>0</v>
      </c>
      <c r="F6184" s="21" t="n">
        <v>0</v>
      </c>
      <c r="G6184" s="21" t="n">
        <v>0</v>
      </c>
      <c r="H6184" s="21" t="n">
        <v>0</v>
      </c>
      <c r="I6184" s="21" t="n">
        <v>0</v>
      </c>
      <c r="J6184" s="21" t="n">
        <v>0</v>
      </c>
      <c r="K6184" s="21" t="n">
        <v>0</v>
      </c>
      <c r="L6184" s="21" t="n">
        <v>0</v>
      </c>
      <c r="M6184" s="21" t="n">
        <v>0</v>
      </c>
      <c r="N6184" s="21" t="n">
        <v>0</v>
      </c>
      <c r="O6184" s="21" t="n">
        <v>0</v>
      </c>
      <c r="P6184" s="21" t="n">
        <v>0</v>
      </c>
      <c r="Q6184" s="21" t="n">
        <v>0</v>
      </c>
      <c r="R6184" s="21">
        <f>-$B$5337</f>
        <v/>
      </c>
      <c r="S6184" s="21">
        <f>-$B$5338</f>
        <v/>
      </c>
      <c r="T6184" s="21">
        <f>2*$B$5337+$D$6164</f>
        <v/>
      </c>
      <c r="U6184" s="21">
        <f>0</f>
        <v/>
      </c>
      <c r="V6184" s="21">
        <f>-$B$5337</f>
        <v/>
      </c>
      <c r="W6184" s="21">
        <f>$B$5338</f>
        <v/>
      </c>
      <c r="X6184" s="21" t="n">
        <v>0</v>
      </c>
      <c r="Y6184" s="21" t="n">
        <v>0</v>
      </c>
      <c r="Z6184" s="19" t="n"/>
    </row>
    <row r="6185">
      <c r="D6185" s="21" t="n">
        <v>0</v>
      </c>
      <c r="E6185" s="21" t="n">
        <v>0</v>
      </c>
      <c r="F6185" s="21" t="n">
        <v>0</v>
      </c>
      <c r="G6185" s="21" t="n">
        <v>0</v>
      </c>
      <c r="H6185" s="21" t="n">
        <v>0</v>
      </c>
      <c r="I6185" s="21" t="n">
        <v>0</v>
      </c>
      <c r="J6185" s="21" t="n">
        <v>0</v>
      </c>
      <c r="K6185" s="21" t="n">
        <v>0</v>
      </c>
      <c r="L6185" s="21" t="n">
        <v>0</v>
      </c>
      <c r="M6185" s="21" t="n">
        <v>0</v>
      </c>
      <c r="N6185" s="21" t="n">
        <v>0</v>
      </c>
      <c r="O6185" s="21" t="n">
        <v>0</v>
      </c>
      <c r="P6185" s="21" t="n">
        <v>0</v>
      </c>
      <c r="Q6185" s="21" t="n">
        <v>0</v>
      </c>
      <c r="R6185" s="21">
        <f>$B$5338</f>
        <v/>
      </c>
      <c r="S6185" s="21">
        <f>$B$5340</f>
        <v/>
      </c>
      <c r="T6185" s="21">
        <f>0</f>
        <v/>
      </c>
      <c r="U6185" s="21">
        <f>2*$B$5339</f>
        <v/>
      </c>
      <c r="V6185" s="21">
        <f>-$B$5338</f>
        <v/>
      </c>
      <c r="W6185" s="21">
        <f>$B$5340</f>
        <v/>
      </c>
      <c r="X6185" s="21" t="n">
        <v>0</v>
      </c>
      <c r="Y6185" s="21" t="n">
        <v>0</v>
      </c>
      <c r="Z6185" s="19" t="n"/>
    </row>
    <row r="6186">
      <c r="D6186" s="21" t="n">
        <v>0</v>
      </c>
      <c r="E6186" s="21" t="n">
        <v>0</v>
      </c>
      <c r="F6186" s="21" t="n">
        <v>0</v>
      </c>
      <c r="G6186" s="21" t="n">
        <v>0</v>
      </c>
      <c r="H6186" s="21" t="n">
        <v>0</v>
      </c>
      <c r="I6186" s="21" t="n">
        <v>0</v>
      </c>
      <c r="J6186" s="21" t="n">
        <v>0</v>
      </c>
      <c r="K6186" s="21" t="n">
        <v>0</v>
      </c>
      <c r="L6186" s="21" t="n">
        <v>0</v>
      </c>
      <c r="M6186" s="21" t="n">
        <v>0</v>
      </c>
      <c r="N6186" s="21" t="n">
        <v>0</v>
      </c>
      <c r="O6186" s="21" t="n">
        <v>0</v>
      </c>
      <c r="P6186" s="21" t="n">
        <v>0</v>
      </c>
      <c r="Q6186" s="21" t="n">
        <v>0</v>
      </c>
      <c r="R6186" s="21" t="n">
        <v>0</v>
      </c>
      <c r="S6186" s="21" t="n">
        <v>0</v>
      </c>
      <c r="T6186" s="21">
        <f>-$B$5337</f>
        <v/>
      </c>
      <c r="U6186" s="21">
        <f>-$B$5338</f>
        <v/>
      </c>
      <c r="V6186" s="21">
        <f>2*$B$5337+$D$6165</f>
        <v/>
      </c>
      <c r="W6186" s="21">
        <f>0</f>
        <v/>
      </c>
      <c r="X6186" s="21">
        <f>-$B$5337</f>
        <v/>
      </c>
      <c r="Y6186" s="21">
        <f>$B$5338</f>
        <v/>
      </c>
      <c r="Z6186" s="19" t="n"/>
    </row>
    <row r="6187">
      <c r="D6187" s="21" t="n">
        <v>0</v>
      </c>
      <c r="E6187" s="21" t="n">
        <v>0</v>
      </c>
      <c r="F6187" s="21" t="n">
        <v>0</v>
      </c>
      <c r="G6187" s="21" t="n">
        <v>0</v>
      </c>
      <c r="H6187" s="21" t="n">
        <v>0</v>
      </c>
      <c r="I6187" s="21" t="n">
        <v>0</v>
      </c>
      <c r="J6187" s="21" t="n">
        <v>0</v>
      </c>
      <c r="K6187" s="21" t="n">
        <v>0</v>
      </c>
      <c r="L6187" s="21" t="n">
        <v>0</v>
      </c>
      <c r="M6187" s="21" t="n">
        <v>0</v>
      </c>
      <c r="N6187" s="21" t="n">
        <v>0</v>
      </c>
      <c r="O6187" s="21" t="n">
        <v>0</v>
      </c>
      <c r="P6187" s="21" t="n">
        <v>0</v>
      </c>
      <c r="Q6187" s="21" t="n">
        <v>0</v>
      </c>
      <c r="R6187" s="21" t="n">
        <v>0</v>
      </c>
      <c r="S6187" s="21" t="n">
        <v>0</v>
      </c>
      <c r="T6187" s="21">
        <f>$B$5338</f>
        <v/>
      </c>
      <c r="U6187" s="21">
        <f>$B$5340</f>
        <v/>
      </c>
      <c r="V6187" s="21">
        <f>0</f>
        <v/>
      </c>
      <c r="W6187" s="21">
        <f>2*$B$5339</f>
        <v/>
      </c>
      <c r="X6187" s="21">
        <f>-$B$5338</f>
        <v/>
      </c>
      <c r="Y6187" s="21">
        <f>$B$5340</f>
        <v/>
      </c>
      <c r="Z6187" s="19" t="n"/>
    </row>
    <row r="6188">
      <c r="D6188" s="21" t="n">
        <v>0</v>
      </c>
      <c r="E6188" s="21" t="n">
        <v>0</v>
      </c>
      <c r="F6188" s="21" t="n">
        <v>0</v>
      </c>
      <c r="G6188" s="21" t="n">
        <v>0</v>
      </c>
      <c r="H6188" s="21" t="n">
        <v>0</v>
      </c>
      <c r="I6188" s="21" t="n">
        <v>0</v>
      </c>
      <c r="J6188" s="21" t="n">
        <v>0</v>
      </c>
      <c r="K6188" s="21" t="n">
        <v>0</v>
      </c>
      <c r="L6188" s="21" t="n">
        <v>0</v>
      </c>
      <c r="M6188" s="21" t="n">
        <v>0</v>
      </c>
      <c r="N6188" s="21" t="n">
        <v>0</v>
      </c>
      <c r="O6188" s="21" t="n">
        <v>0</v>
      </c>
      <c r="P6188" s="21" t="n">
        <v>0</v>
      </c>
      <c r="Q6188" s="21" t="n">
        <v>0</v>
      </c>
      <c r="R6188" s="21" t="n">
        <v>0</v>
      </c>
      <c r="S6188" s="21" t="n">
        <v>0</v>
      </c>
      <c r="T6188" s="21" t="n">
        <v>0</v>
      </c>
      <c r="U6188" s="21" t="n">
        <v>0</v>
      </c>
      <c r="V6188" s="21">
        <f>-$B$5337</f>
        <v/>
      </c>
      <c r="W6188" s="21">
        <f>-$B$5338</f>
        <v/>
      </c>
      <c r="X6188" s="21">
        <f>$B$5337+$D$6166</f>
        <v/>
      </c>
      <c r="Y6188" s="21">
        <f>-$B$5338</f>
        <v/>
      </c>
      <c r="Z6188" s="19" t="n"/>
    </row>
    <row r="6189">
      <c r="D6189" s="21" t="n">
        <v>0</v>
      </c>
      <c r="E6189" s="21" t="n">
        <v>0</v>
      </c>
      <c r="F6189" s="21" t="n">
        <v>0</v>
      </c>
      <c r="G6189" s="21" t="n">
        <v>0</v>
      </c>
      <c r="H6189" s="21" t="n">
        <v>0</v>
      </c>
      <c r="I6189" s="21" t="n">
        <v>0</v>
      </c>
      <c r="J6189" s="21" t="n">
        <v>0</v>
      </c>
      <c r="K6189" s="21" t="n">
        <v>0</v>
      </c>
      <c r="L6189" s="21" t="n">
        <v>0</v>
      </c>
      <c r="M6189" s="21" t="n">
        <v>0</v>
      </c>
      <c r="N6189" s="21" t="n">
        <v>0</v>
      </c>
      <c r="O6189" s="21" t="n">
        <v>0</v>
      </c>
      <c r="P6189" s="21" t="n">
        <v>0</v>
      </c>
      <c r="Q6189" s="21" t="n">
        <v>0</v>
      </c>
      <c r="R6189" s="21" t="n">
        <v>0</v>
      </c>
      <c r="S6189" s="21" t="n">
        <v>0</v>
      </c>
      <c r="T6189" s="21" t="n">
        <v>0</v>
      </c>
      <c r="U6189" s="21" t="n">
        <v>0</v>
      </c>
      <c r="V6189" s="21">
        <f>$B$5338</f>
        <v/>
      </c>
      <c r="W6189" s="21">
        <f>$B$5340</f>
        <v/>
      </c>
      <c r="X6189" s="21">
        <f>-$B$5338</f>
        <v/>
      </c>
      <c r="Y6189" s="21">
        <f>$B$5339</f>
        <v/>
      </c>
      <c r="Z6189" s="19" t="n"/>
    </row>
    <row r="6191">
      <c r="A6191" s="8" t="inlineStr">
        <is>
          <t>gen 23</t>
        </is>
      </c>
    </row>
    <row r="6192">
      <c r="D6192" s="19">
        <f>IF(ABS(IF(ABS($E$6156)&gt;0.000000001,$E$6156,0.000000001))=0,0,IF($E$5352&lt;=$B$5346,0,IF(ABS(IF(ABS($E$6156)&gt;0.000000001,$E$6156,0.000000001))&gt;=8*$B$5348,$H$5352,0.5*$H$5352*(ABS(IF(ABS($E$6156)&gt;0.000000001,$E$6156,0.000000001))/$B$5348)^(1/3)))/ABS(IF(ABS($E$6156)&gt;0.000000001,$E$6156,0.000000001))*$I$5352)</f>
        <v/>
      </c>
      <c r="E6192" s="19">
        <f>0.5*$E$6156+0.5*$Z$6204</f>
        <v/>
      </c>
      <c r="F6192" s="19">
        <f>$Z$6205</f>
        <v/>
      </c>
    </row>
    <row r="6193">
      <c r="D6193" s="19">
        <f>IF(ABS(IF(ABS($E$6157)&gt;0.000000001,$E$6157,0.000000001))=0,0,IF($E$5353&lt;=$B$5346,0,IF(ABS(IF(ABS($E$6157)&gt;0.000000001,$E$6157,0.000000001))&gt;=8*$B$5348,$H$5353,0.5*$H$5353*(ABS(IF(ABS($E$6157)&gt;0.000000001,$E$6157,0.000000001))/$B$5348)^(1/3)))/ABS(IF(ABS($E$6157)&gt;0.000000001,$E$6157,0.000000001))*$I$5353)</f>
        <v/>
      </c>
      <c r="E6193" s="19">
        <f>0.5*$E$6157+0.5*$Z$6206</f>
        <v/>
      </c>
      <c r="F6193" s="19">
        <f>$Z$6207</f>
        <v/>
      </c>
    </row>
    <row r="6194">
      <c r="D6194" s="19">
        <f>IF(ABS(IF(ABS($E$6158)&gt;0.000000001,$E$6158,0.000000001))=0,0,IF($E$5354&lt;=$B$5346,0,IF(ABS(IF(ABS($E$6158)&gt;0.000000001,$E$6158,0.000000001))&gt;=8*$B$5348,$H$5354,0.5*$H$5354*(ABS(IF(ABS($E$6158)&gt;0.000000001,$E$6158,0.000000001))/$B$5348)^(1/3)))/ABS(IF(ABS($E$6158)&gt;0.000000001,$E$6158,0.000000001))*$I$5354)</f>
        <v/>
      </c>
      <c r="E6194" s="19">
        <f>0.5*$E$6158+0.5*$Z$6208</f>
        <v/>
      </c>
      <c r="F6194" s="19">
        <f>$Z$6209</f>
        <v/>
      </c>
    </row>
    <row r="6195">
      <c r="D6195" s="19">
        <f>IF(ABS(IF(ABS($E$6159)&gt;0.000000001,$E$6159,0.000000001))=0,0,IF($E$5355&lt;=$B$5346,0,IF(ABS(IF(ABS($E$6159)&gt;0.000000001,$E$6159,0.000000001))&gt;=8*$B$5348,$H$5355,0.5*$H$5355*(ABS(IF(ABS($E$6159)&gt;0.000000001,$E$6159,0.000000001))/$B$5348)^(1/3)))/ABS(IF(ABS($E$6159)&gt;0.000000001,$E$6159,0.000000001))*$I$5355)</f>
        <v/>
      </c>
      <c r="E6195" s="19">
        <f>0.5*$E$6159+0.5*$Z$6210</f>
        <v/>
      </c>
      <c r="F6195" s="19">
        <f>$Z$6211</f>
        <v/>
      </c>
    </row>
    <row r="6196">
      <c r="D6196" s="19">
        <f>IF(ABS(IF(ABS($E$6160)&gt;0.000000001,$E$6160,0.000000001))=0,0,IF($E$5356&lt;=$B$5346,0,IF(ABS(IF(ABS($E$6160)&gt;0.000000001,$E$6160,0.000000001))&gt;=8*$B$5348,$H$5356,0.5*$H$5356*(ABS(IF(ABS($E$6160)&gt;0.000000001,$E$6160,0.000000001))/$B$5348)^(1/3)))/ABS(IF(ABS($E$6160)&gt;0.000000001,$E$6160,0.000000001))*$I$5356)</f>
        <v/>
      </c>
      <c r="E6196" s="19">
        <f>0.5*$E$6160+0.5*$Z$6212</f>
        <v/>
      </c>
      <c r="F6196" s="19">
        <f>$Z$6213</f>
        <v/>
      </c>
    </row>
    <row r="6197">
      <c r="D6197" s="19">
        <f>IF(ABS(IF(ABS($E$6161)&gt;0.000000001,$E$6161,0.000000001))=0,0,IF($E$5357&lt;=$B$5346,0,IF(ABS(IF(ABS($E$6161)&gt;0.000000001,$E$6161,0.000000001))&gt;=8*$B$5348,$H$5357,0.5*$H$5357*(ABS(IF(ABS($E$6161)&gt;0.000000001,$E$6161,0.000000001))/$B$5348)^(1/3)))/ABS(IF(ABS($E$6161)&gt;0.000000001,$E$6161,0.000000001))*$I$5357)</f>
        <v/>
      </c>
      <c r="E6197" s="19">
        <f>0.5*$E$6161+0.5*$Z$6214</f>
        <v/>
      </c>
      <c r="F6197" s="19">
        <f>$Z$6215</f>
        <v/>
      </c>
    </row>
    <row r="6198">
      <c r="D6198" s="19">
        <f>IF(ABS(IF(ABS($E$6162)&gt;0.000000001,$E$6162,0.000000001))=0,0,IF($E$5358&lt;=$B$5346,0,IF(ABS(IF(ABS($E$6162)&gt;0.000000001,$E$6162,0.000000001))&gt;=8*$B$5348,$H$5358,0.5*$H$5358*(ABS(IF(ABS($E$6162)&gt;0.000000001,$E$6162,0.000000001))/$B$5348)^(1/3)))/ABS(IF(ABS($E$6162)&gt;0.000000001,$E$6162,0.000000001))*$I$5358)</f>
        <v/>
      </c>
      <c r="E6198" s="19">
        <f>0.5*$E$6162+0.5*$Z$6216</f>
        <v/>
      </c>
      <c r="F6198" s="19">
        <f>$Z$6217</f>
        <v/>
      </c>
    </row>
    <row r="6199">
      <c r="D6199" s="19">
        <f>IF(ABS(IF(ABS($E$6163)&gt;0.000000001,$E$6163,0.000000001))=0,0,IF($E$5359&lt;=$B$5346,0,IF(ABS(IF(ABS($E$6163)&gt;0.000000001,$E$6163,0.000000001))&gt;=8*$B$5348,$H$5359,0.5*$H$5359*(ABS(IF(ABS($E$6163)&gt;0.000000001,$E$6163,0.000000001))/$B$5348)^(1/3)))/ABS(IF(ABS($E$6163)&gt;0.000000001,$E$6163,0.000000001))*$I$5359)</f>
        <v/>
      </c>
      <c r="E6199" s="19">
        <f>0.5*$E$6163+0.5*$Z$6218</f>
        <v/>
      </c>
      <c r="F6199" s="19">
        <f>$Z$6219</f>
        <v/>
      </c>
    </row>
    <row r="6200">
      <c r="D6200" s="19">
        <f>IF(ABS(IF(ABS($E$6164)&gt;0.000000001,$E$6164,0.000000001))=0,0,IF($E$5360&lt;=$B$5346,0,IF(ABS(IF(ABS($E$6164)&gt;0.000000001,$E$6164,0.000000001))&gt;=8*$B$5348,$H$5360,0.5*$H$5360*(ABS(IF(ABS($E$6164)&gt;0.000000001,$E$6164,0.000000001))/$B$5348)^(1/3)))/ABS(IF(ABS($E$6164)&gt;0.000000001,$E$6164,0.000000001))*$I$5360)</f>
        <v/>
      </c>
      <c r="E6200" s="19">
        <f>0.5*$E$6164+0.5*$Z$6220</f>
        <v/>
      </c>
      <c r="F6200" s="19">
        <f>$Z$6221</f>
        <v/>
      </c>
    </row>
    <row r="6201">
      <c r="D6201" s="19">
        <f>IF(ABS(IF(ABS($E$6165)&gt;0.000000001,$E$6165,0.000000001))=0,0,IF($E$5361&lt;=$B$5346,0,IF(ABS(IF(ABS($E$6165)&gt;0.000000001,$E$6165,0.000000001))&gt;=8*$B$5348,$H$5361,0.5*$H$5361*(ABS(IF(ABS($E$6165)&gt;0.000000001,$E$6165,0.000000001))/$B$5348)^(1/3)))/ABS(IF(ABS($E$6165)&gt;0.000000001,$E$6165,0.000000001))*$I$5361)</f>
        <v/>
      </c>
      <c r="E6201" s="19">
        <f>0.5*$E$6165+0.5*$Z$6222</f>
        <v/>
      </c>
      <c r="F6201" s="19">
        <f>$Z$6223</f>
        <v/>
      </c>
    </row>
    <row r="6202">
      <c r="D6202" s="19">
        <f>IF(ABS(IF(ABS($E$6166)&gt;0.000000001,$E$6166,0.000000001))=0,0,IF($E$5362&lt;=$B$5346,0,IF(ABS(IF(ABS($E$6166)&gt;0.000000001,$E$6166,0.000000001))&gt;=8*$B$5348,$H$5362,0.5*$H$5362*(ABS(IF(ABS($E$6166)&gt;0.000000001,$E$6166,0.000000001))/$B$5348)^(1/3)))/ABS(IF(ABS($E$6166)&gt;0.000000001,$E$6166,0.000000001))*$I$5362)</f>
        <v/>
      </c>
      <c r="E6202" s="19">
        <f>0.5*$E$6166+0.5*$Z$6224</f>
        <v/>
      </c>
      <c r="F6202" s="19">
        <f>$Z$6225</f>
        <v/>
      </c>
    </row>
    <row r="6204">
      <c r="D6204" s="21">
        <f>$B$5337+$D$6192</f>
        <v/>
      </c>
      <c r="E6204" s="21">
        <f>$B$5338</f>
        <v/>
      </c>
      <c r="F6204" s="21">
        <f>-$B$5337</f>
        <v/>
      </c>
      <c r="G6204" s="21">
        <f>$B$5338</f>
        <v/>
      </c>
      <c r="H6204" s="21" t="n">
        <v>0</v>
      </c>
      <c r="I6204" s="21" t="n">
        <v>0</v>
      </c>
      <c r="J6204" s="21" t="n">
        <v>0</v>
      </c>
      <c r="K6204" s="21" t="n">
        <v>0</v>
      </c>
      <c r="L6204" s="21" t="n">
        <v>0</v>
      </c>
      <c r="M6204" s="21" t="n">
        <v>0</v>
      </c>
      <c r="N6204" s="21" t="n">
        <v>0</v>
      </c>
      <c r="O6204" s="21" t="n">
        <v>0</v>
      </c>
      <c r="P6204" s="21" t="n">
        <v>0</v>
      </c>
      <c r="Q6204" s="21" t="n">
        <v>0</v>
      </c>
      <c r="R6204" s="21" t="n">
        <v>0</v>
      </c>
      <c r="S6204" s="21" t="n">
        <v>0</v>
      </c>
      <c r="T6204" s="21" t="n">
        <v>0</v>
      </c>
      <c r="U6204" s="21" t="n">
        <v>0</v>
      </c>
      <c r="V6204" s="21" t="n">
        <v>0</v>
      </c>
      <c r="W6204" s="21" t="n">
        <v>0</v>
      </c>
      <c r="X6204" s="21" t="n">
        <v>0</v>
      </c>
      <c r="Y6204" s="21" t="n">
        <v>0</v>
      </c>
      <c r="Z6204" s="19">
        <f t="array" ref="Z6204:Z6225">MMULT(MINVERSE($D$6204:$Y$6225),$D$5364:$D$5385)</f>
        <v/>
      </c>
    </row>
    <row r="6205">
      <c r="D6205" s="21">
        <f>$B$5338</f>
        <v/>
      </c>
      <c r="E6205" s="21">
        <f>$B$5339</f>
        <v/>
      </c>
      <c r="F6205" s="21">
        <f>-$B$5338</f>
        <v/>
      </c>
      <c r="G6205" s="21">
        <f>$B$5340</f>
        <v/>
      </c>
      <c r="H6205" s="21" t="n">
        <v>0</v>
      </c>
      <c r="I6205" s="21" t="n">
        <v>0</v>
      </c>
      <c r="J6205" s="21" t="n">
        <v>0</v>
      </c>
      <c r="K6205" s="21" t="n">
        <v>0</v>
      </c>
      <c r="L6205" s="21" t="n">
        <v>0</v>
      </c>
      <c r="M6205" s="21" t="n">
        <v>0</v>
      </c>
      <c r="N6205" s="21" t="n">
        <v>0</v>
      </c>
      <c r="O6205" s="21" t="n">
        <v>0</v>
      </c>
      <c r="P6205" s="21" t="n">
        <v>0</v>
      </c>
      <c r="Q6205" s="21" t="n">
        <v>0</v>
      </c>
      <c r="R6205" s="21" t="n">
        <v>0</v>
      </c>
      <c r="S6205" s="21" t="n">
        <v>0</v>
      </c>
      <c r="T6205" s="21" t="n">
        <v>0</v>
      </c>
      <c r="U6205" s="21" t="n">
        <v>0</v>
      </c>
      <c r="V6205" s="21" t="n">
        <v>0</v>
      </c>
      <c r="W6205" s="21" t="n">
        <v>0</v>
      </c>
      <c r="X6205" s="21" t="n">
        <v>0</v>
      </c>
      <c r="Y6205" s="21" t="n">
        <v>0</v>
      </c>
      <c r="Z6205" s="19" t="n"/>
    </row>
    <row r="6206">
      <c r="D6206" s="21">
        <f>-$B$5337</f>
        <v/>
      </c>
      <c r="E6206" s="21">
        <f>-$B$5338</f>
        <v/>
      </c>
      <c r="F6206" s="21">
        <f>2*$B$5337+$D$6193</f>
        <v/>
      </c>
      <c r="G6206" s="21">
        <f>0</f>
        <v/>
      </c>
      <c r="H6206" s="21">
        <f>-$B$5337</f>
        <v/>
      </c>
      <c r="I6206" s="21">
        <f>$B$5338</f>
        <v/>
      </c>
      <c r="J6206" s="21" t="n">
        <v>0</v>
      </c>
      <c r="K6206" s="21" t="n">
        <v>0</v>
      </c>
      <c r="L6206" s="21" t="n">
        <v>0</v>
      </c>
      <c r="M6206" s="21" t="n">
        <v>0</v>
      </c>
      <c r="N6206" s="21" t="n">
        <v>0</v>
      </c>
      <c r="O6206" s="21" t="n">
        <v>0</v>
      </c>
      <c r="P6206" s="21" t="n">
        <v>0</v>
      </c>
      <c r="Q6206" s="21" t="n">
        <v>0</v>
      </c>
      <c r="R6206" s="21" t="n">
        <v>0</v>
      </c>
      <c r="S6206" s="21" t="n">
        <v>0</v>
      </c>
      <c r="T6206" s="21" t="n">
        <v>0</v>
      </c>
      <c r="U6206" s="21" t="n">
        <v>0</v>
      </c>
      <c r="V6206" s="21" t="n">
        <v>0</v>
      </c>
      <c r="W6206" s="21" t="n">
        <v>0</v>
      </c>
      <c r="X6206" s="21" t="n">
        <v>0</v>
      </c>
      <c r="Y6206" s="21" t="n">
        <v>0</v>
      </c>
      <c r="Z6206" s="19" t="n"/>
    </row>
    <row r="6207">
      <c r="D6207" s="21">
        <f>$B$5338</f>
        <v/>
      </c>
      <c r="E6207" s="21">
        <f>$B$5340</f>
        <v/>
      </c>
      <c r="F6207" s="21">
        <f>0</f>
        <v/>
      </c>
      <c r="G6207" s="21">
        <f>2*$B$5339</f>
        <v/>
      </c>
      <c r="H6207" s="21">
        <f>-$B$5338</f>
        <v/>
      </c>
      <c r="I6207" s="21">
        <f>$B$5340</f>
        <v/>
      </c>
      <c r="J6207" s="21" t="n">
        <v>0</v>
      </c>
      <c r="K6207" s="21" t="n">
        <v>0</v>
      </c>
      <c r="L6207" s="21" t="n">
        <v>0</v>
      </c>
      <c r="M6207" s="21" t="n">
        <v>0</v>
      </c>
      <c r="N6207" s="21" t="n">
        <v>0</v>
      </c>
      <c r="O6207" s="21" t="n">
        <v>0</v>
      </c>
      <c r="P6207" s="21" t="n">
        <v>0</v>
      </c>
      <c r="Q6207" s="21" t="n">
        <v>0</v>
      </c>
      <c r="R6207" s="21" t="n">
        <v>0</v>
      </c>
      <c r="S6207" s="21" t="n">
        <v>0</v>
      </c>
      <c r="T6207" s="21" t="n">
        <v>0</v>
      </c>
      <c r="U6207" s="21" t="n">
        <v>0</v>
      </c>
      <c r="V6207" s="21" t="n">
        <v>0</v>
      </c>
      <c r="W6207" s="21" t="n">
        <v>0</v>
      </c>
      <c r="X6207" s="21" t="n">
        <v>0</v>
      </c>
      <c r="Y6207" s="21" t="n">
        <v>0</v>
      </c>
      <c r="Z6207" s="19" t="n"/>
    </row>
    <row r="6208">
      <c r="D6208" s="21" t="n">
        <v>0</v>
      </c>
      <c r="E6208" s="21" t="n">
        <v>0</v>
      </c>
      <c r="F6208" s="21">
        <f>-$B$5337</f>
        <v/>
      </c>
      <c r="G6208" s="21">
        <f>-$B$5338</f>
        <v/>
      </c>
      <c r="H6208" s="21">
        <f>2*$B$5337+$D$6194</f>
        <v/>
      </c>
      <c r="I6208" s="21">
        <f>0</f>
        <v/>
      </c>
      <c r="J6208" s="21">
        <f>-$B$5337</f>
        <v/>
      </c>
      <c r="K6208" s="21">
        <f>$B$5338</f>
        <v/>
      </c>
      <c r="L6208" s="21" t="n">
        <v>0</v>
      </c>
      <c r="M6208" s="21" t="n">
        <v>0</v>
      </c>
      <c r="N6208" s="21" t="n">
        <v>0</v>
      </c>
      <c r="O6208" s="21" t="n">
        <v>0</v>
      </c>
      <c r="P6208" s="21" t="n">
        <v>0</v>
      </c>
      <c r="Q6208" s="21" t="n">
        <v>0</v>
      </c>
      <c r="R6208" s="21" t="n">
        <v>0</v>
      </c>
      <c r="S6208" s="21" t="n">
        <v>0</v>
      </c>
      <c r="T6208" s="21" t="n">
        <v>0</v>
      </c>
      <c r="U6208" s="21" t="n">
        <v>0</v>
      </c>
      <c r="V6208" s="21" t="n">
        <v>0</v>
      </c>
      <c r="W6208" s="21" t="n">
        <v>0</v>
      </c>
      <c r="X6208" s="21" t="n">
        <v>0</v>
      </c>
      <c r="Y6208" s="21" t="n">
        <v>0</v>
      </c>
      <c r="Z6208" s="19" t="n"/>
    </row>
    <row r="6209">
      <c r="D6209" s="21" t="n">
        <v>0</v>
      </c>
      <c r="E6209" s="21" t="n">
        <v>0</v>
      </c>
      <c r="F6209" s="21">
        <f>$B$5338</f>
        <v/>
      </c>
      <c r="G6209" s="21">
        <f>$B$5340</f>
        <v/>
      </c>
      <c r="H6209" s="21">
        <f>0</f>
        <v/>
      </c>
      <c r="I6209" s="21">
        <f>2*$B$5339</f>
        <v/>
      </c>
      <c r="J6209" s="21">
        <f>-$B$5338</f>
        <v/>
      </c>
      <c r="K6209" s="21">
        <f>$B$5340</f>
        <v/>
      </c>
      <c r="L6209" s="21" t="n">
        <v>0</v>
      </c>
      <c r="M6209" s="21" t="n">
        <v>0</v>
      </c>
      <c r="N6209" s="21" t="n">
        <v>0</v>
      </c>
      <c r="O6209" s="21" t="n">
        <v>0</v>
      </c>
      <c r="P6209" s="21" t="n">
        <v>0</v>
      </c>
      <c r="Q6209" s="21" t="n">
        <v>0</v>
      </c>
      <c r="R6209" s="21" t="n">
        <v>0</v>
      </c>
      <c r="S6209" s="21" t="n">
        <v>0</v>
      </c>
      <c r="T6209" s="21" t="n">
        <v>0</v>
      </c>
      <c r="U6209" s="21" t="n">
        <v>0</v>
      </c>
      <c r="V6209" s="21" t="n">
        <v>0</v>
      </c>
      <c r="W6209" s="21" t="n">
        <v>0</v>
      </c>
      <c r="X6209" s="21" t="n">
        <v>0</v>
      </c>
      <c r="Y6209" s="21" t="n">
        <v>0</v>
      </c>
      <c r="Z6209" s="19" t="n"/>
    </row>
    <row r="6210">
      <c r="D6210" s="21" t="n">
        <v>0</v>
      </c>
      <c r="E6210" s="21" t="n">
        <v>0</v>
      </c>
      <c r="F6210" s="21" t="n">
        <v>0</v>
      </c>
      <c r="G6210" s="21" t="n">
        <v>0</v>
      </c>
      <c r="H6210" s="21">
        <f>-$B$5337</f>
        <v/>
      </c>
      <c r="I6210" s="21">
        <f>-$B$5338</f>
        <v/>
      </c>
      <c r="J6210" s="21">
        <f>2*$B$5337+$D$6195</f>
        <v/>
      </c>
      <c r="K6210" s="21">
        <f>0</f>
        <v/>
      </c>
      <c r="L6210" s="21">
        <f>-$B$5337</f>
        <v/>
      </c>
      <c r="M6210" s="21">
        <f>$B$5338</f>
        <v/>
      </c>
      <c r="N6210" s="21" t="n">
        <v>0</v>
      </c>
      <c r="O6210" s="21" t="n">
        <v>0</v>
      </c>
      <c r="P6210" s="21" t="n">
        <v>0</v>
      </c>
      <c r="Q6210" s="21" t="n">
        <v>0</v>
      </c>
      <c r="R6210" s="21" t="n">
        <v>0</v>
      </c>
      <c r="S6210" s="21" t="n">
        <v>0</v>
      </c>
      <c r="T6210" s="21" t="n">
        <v>0</v>
      </c>
      <c r="U6210" s="21" t="n">
        <v>0</v>
      </c>
      <c r="V6210" s="21" t="n">
        <v>0</v>
      </c>
      <c r="W6210" s="21" t="n">
        <v>0</v>
      </c>
      <c r="X6210" s="21" t="n">
        <v>0</v>
      </c>
      <c r="Y6210" s="21" t="n">
        <v>0</v>
      </c>
      <c r="Z6210" s="19" t="n"/>
    </row>
    <row r="6211">
      <c r="D6211" s="21" t="n">
        <v>0</v>
      </c>
      <c r="E6211" s="21" t="n">
        <v>0</v>
      </c>
      <c r="F6211" s="21" t="n">
        <v>0</v>
      </c>
      <c r="G6211" s="21" t="n">
        <v>0</v>
      </c>
      <c r="H6211" s="21">
        <f>$B$5338</f>
        <v/>
      </c>
      <c r="I6211" s="21">
        <f>$B$5340</f>
        <v/>
      </c>
      <c r="J6211" s="21">
        <f>0</f>
        <v/>
      </c>
      <c r="K6211" s="21">
        <f>2*$B$5339</f>
        <v/>
      </c>
      <c r="L6211" s="21">
        <f>-$B$5338</f>
        <v/>
      </c>
      <c r="M6211" s="21">
        <f>$B$5340</f>
        <v/>
      </c>
      <c r="N6211" s="21" t="n">
        <v>0</v>
      </c>
      <c r="O6211" s="21" t="n">
        <v>0</v>
      </c>
      <c r="P6211" s="21" t="n">
        <v>0</v>
      </c>
      <c r="Q6211" s="21" t="n">
        <v>0</v>
      </c>
      <c r="R6211" s="21" t="n">
        <v>0</v>
      </c>
      <c r="S6211" s="21" t="n">
        <v>0</v>
      </c>
      <c r="T6211" s="21" t="n">
        <v>0</v>
      </c>
      <c r="U6211" s="21" t="n">
        <v>0</v>
      </c>
      <c r="V6211" s="21" t="n">
        <v>0</v>
      </c>
      <c r="W6211" s="21" t="n">
        <v>0</v>
      </c>
      <c r="X6211" s="21" t="n">
        <v>0</v>
      </c>
      <c r="Y6211" s="21" t="n">
        <v>0</v>
      </c>
      <c r="Z6211" s="19" t="n"/>
    </row>
    <row r="6212">
      <c r="D6212" s="21" t="n">
        <v>0</v>
      </c>
      <c r="E6212" s="21" t="n">
        <v>0</v>
      </c>
      <c r="F6212" s="21" t="n">
        <v>0</v>
      </c>
      <c r="G6212" s="21" t="n">
        <v>0</v>
      </c>
      <c r="H6212" s="21" t="n">
        <v>0</v>
      </c>
      <c r="I6212" s="21" t="n">
        <v>0</v>
      </c>
      <c r="J6212" s="21">
        <f>-$B$5337</f>
        <v/>
      </c>
      <c r="K6212" s="21">
        <f>-$B$5338</f>
        <v/>
      </c>
      <c r="L6212" s="21">
        <f>2*$B$5337+$D$6196</f>
        <v/>
      </c>
      <c r="M6212" s="21">
        <f>0</f>
        <v/>
      </c>
      <c r="N6212" s="21">
        <f>-$B$5337</f>
        <v/>
      </c>
      <c r="O6212" s="21">
        <f>$B$5338</f>
        <v/>
      </c>
      <c r="P6212" s="21" t="n">
        <v>0</v>
      </c>
      <c r="Q6212" s="21" t="n">
        <v>0</v>
      </c>
      <c r="R6212" s="21" t="n">
        <v>0</v>
      </c>
      <c r="S6212" s="21" t="n">
        <v>0</v>
      </c>
      <c r="T6212" s="21" t="n">
        <v>0</v>
      </c>
      <c r="U6212" s="21" t="n">
        <v>0</v>
      </c>
      <c r="V6212" s="21" t="n">
        <v>0</v>
      </c>
      <c r="W6212" s="21" t="n">
        <v>0</v>
      </c>
      <c r="X6212" s="21" t="n">
        <v>0</v>
      </c>
      <c r="Y6212" s="21" t="n">
        <v>0</v>
      </c>
      <c r="Z6212" s="19" t="n"/>
    </row>
    <row r="6213">
      <c r="D6213" s="21" t="n">
        <v>0</v>
      </c>
      <c r="E6213" s="21" t="n">
        <v>0</v>
      </c>
      <c r="F6213" s="21" t="n">
        <v>0</v>
      </c>
      <c r="G6213" s="21" t="n">
        <v>0</v>
      </c>
      <c r="H6213" s="21" t="n">
        <v>0</v>
      </c>
      <c r="I6213" s="21" t="n">
        <v>0</v>
      </c>
      <c r="J6213" s="21">
        <f>$B$5338</f>
        <v/>
      </c>
      <c r="K6213" s="21">
        <f>$B$5340</f>
        <v/>
      </c>
      <c r="L6213" s="21">
        <f>0</f>
        <v/>
      </c>
      <c r="M6213" s="21">
        <f>2*$B$5339</f>
        <v/>
      </c>
      <c r="N6213" s="21">
        <f>-$B$5338</f>
        <v/>
      </c>
      <c r="O6213" s="21">
        <f>$B$5340</f>
        <v/>
      </c>
      <c r="P6213" s="21" t="n">
        <v>0</v>
      </c>
      <c r="Q6213" s="21" t="n">
        <v>0</v>
      </c>
      <c r="R6213" s="21" t="n">
        <v>0</v>
      </c>
      <c r="S6213" s="21" t="n">
        <v>0</v>
      </c>
      <c r="T6213" s="21" t="n">
        <v>0</v>
      </c>
      <c r="U6213" s="21" t="n">
        <v>0</v>
      </c>
      <c r="V6213" s="21" t="n">
        <v>0</v>
      </c>
      <c r="W6213" s="21" t="n">
        <v>0</v>
      </c>
      <c r="X6213" s="21" t="n">
        <v>0</v>
      </c>
      <c r="Y6213" s="21" t="n">
        <v>0</v>
      </c>
      <c r="Z6213" s="19" t="n"/>
    </row>
    <row r="6214">
      <c r="D6214" s="21" t="n">
        <v>0</v>
      </c>
      <c r="E6214" s="21" t="n">
        <v>0</v>
      </c>
      <c r="F6214" s="21" t="n">
        <v>0</v>
      </c>
      <c r="G6214" s="21" t="n">
        <v>0</v>
      </c>
      <c r="H6214" s="21" t="n">
        <v>0</v>
      </c>
      <c r="I6214" s="21" t="n">
        <v>0</v>
      </c>
      <c r="J6214" s="21" t="n">
        <v>0</v>
      </c>
      <c r="K6214" s="21" t="n">
        <v>0</v>
      </c>
      <c r="L6214" s="21">
        <f>-$B$5337</f>
        <v/>
      </c>
      <c r="M6214" s="21">
        <f>-$B$5338</f>
        <v/>
      </c>
      <c r="N6214" s="21">
        <f>2*$B$5337+$D$6197</f>
        <v/>
      </c>
      <c r="O6214" s="21">
        <f>0</f>
        <v/>
      </c>
      <c r="P6214" s="21">
        <f>-$B$5337</f>
        <v/>
      </c>
      <c r="Q6214" s="21">
        <f>$B$5338</f>
        <v/>
      </c>
      <c r="R6214" s="21" t="n">
        <v>0</v>
      </c>
      <c r="S6214" s="21" t="n">
        <v>0</v>
      </c>
      <c r="T6214" s="21" t="n">
        <v>0</v>
      </c>
      <c r="U6214" s="21" t="n">
        <v>0</v>
      </c>
      <c r="V6214" s="21" t="n">
        <v>0</v>
      </c>
      <c r="W6214" s="21" t="n">
        <v>0</v>
      </c>
      <c r="X6214" s="21" t="n">
        <v>0</v>
      </c>
      <c r="Y6214" s="21" t="n">
        <v>0</v>
      </c>
      <c r="Z6214" s="19" t="n"/>
    </row>
    <row r="6215">
      <c r="D6215" s="21" t="n">
        <v>0</v>
      </c>
      <c r="E6215" s="21" t="n">
        <v>0</v>
      </c>
      <c r="F6215" s="21" t="n">
        <v>0</v>
      </c>
      <c r="G6215" s="21" t="n">
        <v>0</v>
      </c>
      <c r="H6215" s="21" t="n">
        <v>0</v>
      </c>
      <c r="I6215" s="21" t="n">
        <v>0</v>
      </c>
      <c r="J6215" s="21" t="n">
        <v>0</v>
      </c>
      <c r="K6215" s="21" t="n">
        <v>0</v>
      </c>
      <c r="L6215" s="21">
        <f>$B$5338</f>
        <v/>
      </c>
      <c r="M6215" s="21">
        <f>$B$5340</f>
        <v/>
      </c>
      <c r="N6215" s="21">
        <f>0</f>
        <v/>
      </c>
      <c r="O6215" s="21">
        <f>2*$B$5339</f>
        <v/>
      </c>
      <c r="P6215" s="21">
        <f>-$B$5338</f>
        <v/>
      </c>
      <c r="Q6215" s="21">
        <f>$B$5340</f>
        <v/>
      </c>
      <c r="R6215" s="21" t="n">
        <v>0</v>
      </c>
      <c r="S6215" s="21" t="n">
        <v>0</v>
      </c>
      <c r="T6215" s="21" t="n">
        <v>0</v>
      </c>
      <c r="U6215" s="21" t="n">
        <v>0</v>
      </c>
      <c r="V6215" s="21" t="n">
        <v>0</v>
      </c>
      <c r="W6215" s="21" t="n">
        <v>0</v>
      </c>
      <c r="X6215" s="21" t="n">
        <v>0</v>
      </c>
      <c r="Y6215" s="21" t="n">
        <v>0</v>
      </c>
      <c r="Z6215" s="19" t="n"/>
    </row>
    <row r="6216">
      <c r="D6216" s="21" t="n">
        <v>0</v>
      </c>
      <c r="E6216" s="21" t="n">
        <v>0</v>
      </c>
      <c r="F6216" s="21" t="n">
        <v>0</v>
      </c>
      <c r="G6216" s="21" t="n">
        <v>0</v>
      </c>
      <c r="H6216" s="21" t="n">
        <v>0</v>
      </c>
      <c r="I6216" s="21" t="n">
        <v>0</v>
      </c>
      <c r="J6216" s="21" t="n">
        <v>0</v>
      </c>
      <c r="K6216" s="21" t="n">
        <v>0</v>
      </c>
      <c r="L6216" s="21" t="n">
        <v>0</v>
      </c>
      <c r="M6216" s="21" t="n">
        <v>0</v>
      </c>
      <c r="N6216" s="21">
        <f>-$B$5337</f>
        <v/>
      </c>
      <c r="O6216" s="21">
        <f>-$B$5338</f>
        <v/>
      </c>
      <c r="P6216" s="21">
        <f>2*$B$5337+$D$6198</f>
        <v/>
      </c>
      <c r="Q6216" s="21">
        <f>0</f>
        <v/>
      </c>
      <c r="R6216" s="21">
        <f>-$B$5337</f>
        <v/>
      </c>
      <c r="S6216" s="21">
        <f>$B$5338</f>
        <v/>
      </c>
      <c r="T6216" s="21" t="n">
        <v>0</v>
      </c>
      <c r="U6216" s="21" t="n">
        <v>0</v>
      </c>
      <c r="V6216" s="21" t="n">
        <v>0</v>
      </c>
      <c r="W6216" s="21" t="n">
        <v>0</v>
      </c>
      <c r="X6216" s="21" t="n">
        <v>0</v>
      </c>
      <c r="Y6216" s="21" t="n">
        <v>0</v>
      </c>
      <c r="Z6216" s="19" t="n"/>
    </row>
    <row r="6217">
      <c r="D6217" s="21" t="n">
        <v>0</v>
      </c>
      <c r="E6217" s="21" t="n">
        <v>0</v>
      </c>
      <c r="F6217" s="21" t="n">
        <v>0</v>
      </c>
      <c r="G6217" s="21" t="n">
        <v>0</v>
      </c>
      <c r="H6217" s="21" t="n">
        <v>0</v>
      </c>
      <c r="I6217" s="21" t="n">
        <v>0</v>
      </c>
      <c r="J6217" s="21" t="n">
        <v>0</v>
      </c>
      <c r="K6217" s="21" t="n">
        <v>0</v>
      </c>
      <c r="L6217" s="21" t="n">
        <v>0</v>
      </c>
      <c r="M6217" s="21" t="n">
        <v>0</v>
      </c>
      <c r="N6217" s="21">
        <f>$B$5338</f>
        <v/>
      </c>
      <c r="O6217" s="21">
        <f>$B$5340</f>
        <v/>
      </c>
      <c r="P6217" s="21">
        <f>0</f>
        <v/>
      </c>
      <c r="Q6217" s="21">
        <f>2*$B$5339</f>
        <v/>
      </c>
      <c r="R6217" s="21">
        <f>-$B$5338</f>
        <v/>
      </c>
      <c r="S6217" s="21">
        <f>$B$5340</f>
        <v/>
      </c>
      <c r="T6217" s="21" t="n">
        <v>0</v>
      </c>
      <c r="U6217" s="21" t="n">
        <v>0</v>
      </c>
      <c r="V6217" s="21" t="n">
        <v>0</v>
      </c>
      <c r="W6217" s="21" t="n">
        <v>0</v>
      </c>
      <c r="X6217" s="21" t="n">
        <v>0</v>
      </c>
      <c r="Y6217" s="21" t="n">
        <v>0</v>
      </c>
      <c r="Z6217" s="19" t="n"/>
    </row>
    <row r="6218">
      <c r="D6218" s="21" t="n">
        <v>0</v>
      </c>
      <c r="E6218" s="21" t="n">
        <v>0</v>
      </c>
      <c r="F6218" s="21" t="n">
        <v>0</v>
      </c>
      <c r="G6218" s="21" t="n">
        <v>0</v>
      </c>
      <c r="H6218" s="21" t="n">
        <v>0</v>
      </c>
      <c r="I6218" s="21" t="n">
        <v>0</v>
      </c>
      <c r="J6218" s="21" t="n">
        <v>0</v>
      </c>
      <c r="K6218" s="21" t="n">
        <v>0</v>
      </c>
      <c r="L6218" s="21" t="n">
        <v>0</v>
      </c>
      <c r="M6218" s="21" t="n">
        <v>0</v>
      </c>
      <c r="N6218" s="21" t="n">
        <v>0</v>
      </c>
      <c r="O6218" s="21" t="n">
        <v>0</v>
      </c>
      <c r="P6218" s="21">
        <f>-$B$5337</f>
        <v/>
      </c>
      <c r="Q6218" s="21">
        <f>-$B$5338</f>
        <v/>
      </c>
      <c r="R6218" s="21">
        <f>2*$B$5337+$D$6199</f>
        <v/>
      </c>
      <c r="S6218" s="21">
        <f>0</f>
        <v/>
      </c>
      <c r="T6218" s="21">
        <f>-$B$5337</f>
        <v/>
      </c>
      <c r="U6218" s="21">
        <f>$B$5338</f>
        <v/>
      </c>
      <c r="V6218" s="21" t="n">
        <v>0</v>
      </c>
      <c r="W6218" s="21" t="n">
        <v>0</v>
      </c>
      <c r="X6218" s="21" t="n">
        <v>0</v>
      </c>
      <c r="Y6218" s="21" t="n">
        <v>0</v>
      </c>
      <c r="Z6218" s="19" t="n"/>
    </row>
    <row r="6219">
      <c r="D6219" s="21" t="n">
        <v>0</v>
      </c>
      <c r="E6219" s="21" t="n">
        <v>0</v>
      </c>
      <c r="F6219" s="21" t="n">
        <v>0</v>
      </c>
      <c r="G6219" s="21" t="n">
        <v>0</v>
      </c>
      <c r="H6219" s="21" t="n">
        <v>0</v>
      </c>
      <c r="I6219" s="21" t="n">
        <v>0</v>
      </c>
      <c r="J6219" s="21" t="n">
        <v>0</v>
      </c>
      <c r="K6219" s="21" t="n">
        <v>0</v>
      </c>
      <c r="L6219" s="21" t="n">
        <v>0</v>
      </c>
      <c r="M6219" s="21" t="n">
        <v>0</v>
      </c>
      <c r="N6219" s="21" t="n">
        <v>0</v>
      </c>
      <c r="O6219" s="21" t="n">
        <v>0</v>
      </c>
      <c r="P6219" s="21">
        <f>$B$5338</f>
        <v/>
      </c>
      <c r="Q6219" s="21">
        <f>$B$5340</f>
        <v/>
      </c>
      <c r="R6219" s="21">
        <f>0</f>
        <v/>
      </c>
      <c r="S6219" s="21">
        <f>2*$B$5339</f>
        <v/>
      </c>
      <c r="T6219" s="21">
        <f>-$B$5338</f>
        <v/>
      </c>
      <c r="U6219" s="21">
        <f>$B$5340</f>
        <v/>
      </c>
      <c r="V6219" s="21" t="n">
        <v>0</v>
      </c>
      <c r="W6219" s="21" t="n">
        <v>0</v>
      </c>
      <c r="X6219" s="21" t="n">
        <v>0</v>
      </c>
      <c r="Y6219" s="21" t="n">
        <v>0</v>
      </c>
      <c r="Z6219" s="19" t="n"/>
    </row>
    <row r="6220">
      <c r="D6220" s="21" t="n">
        <v>0</v>
      </c>
      <c r="E6220" s="21" t="n">
        <v>0</v>
      </c>
      <c r="F6220" s="21" t="n">
        <v>0</v>
      </c>
      <c r="G6220" s="21" t="n">
        <v>0</v>
      </c>
      <c r="H6220" s="21" t="n">
        <v>0</v>
      </c>
      <c r="I6220" s="21" t="n">
        <v>0</v>
      </c>
      <c r="J6220" s="21" t="n">
        <v>0</v>
      </c>
      <c r="K6220" s="21" t="n">
        <v>0</v>
      </c>
      <c r="L6220" s="21" t="n">
        <v>0</v>
      </c>
      <c r="M6220" s="21" t="n">
        <v>0</v>
      </c>
      <c r="N6220" s="21" t="n">
        <v>0</v>
      </c>
      <c r="O6220" s="21" t="n">
        <v>0</v>
      </c>
      <c r="P6220" s="21" t="n">
        <v>0</v>
      </c>
      <c r="Q6220" s="21" t="n">
        <v>0</v>
      </c>
      <c r="R6220" s="21">
        <f>-$B$5337</f>
        <v/>
      </c>
      <c r="S6220" s="21">
        <f>-$B$5338</f>
        <v/>
      </c>
      <c r="T6220" s="21">
        <f>2*$B$5337+$D$6200</f>
        <v/>
      </c>
      <c r="U6220" s="21">
        <f>0</f>
        <v/>
      </c>
      <c r="V6220" s="21">
        <f>-$B$5337</f>
        <v/>
      </c>
      <c r="W6220" s="21">
        <f>$B$5338</f>
        <v/>
      </c>
      <c r="X6220" s="21" t="n">
        <v>0</v>
      </c>
      <c r="Y6220" s="21" t="n">
        <v>0</v>
      </c>
      <c r="Z6220" s="19" t="n"/>
    </row>
    <row r="6221">
      <c r="D6221" s="21" t="n">
        <v>0</v>
      </c>
      <c r="E6221" s="21" t="n">
        <v>0</v>
      </c>
      <c r="F6221" s="21" t="n">
        <v>0</v>
      </c>
      <c r="G6221" s="21" t="n">
        <v>0</v>
      </c>
      <c r="H6221" s="21" t="n">
        <v>0</v>
      </c>
      <c r="I6221" s="21" t="n">
        <v>0</v>
      </c>
      <c r="J6221" s="21" t="n">
        <v>0</v>
      </c>
      <c r="K6221" s="21" t="n">
        <v>0</v>
      </c>
      <c r="L6221" s="21" t="n">
        <v>0</v>
      </c>
      <c r="M6221" s="21" t="n">
        <v>0</v>
      </c>
      <c r="N6221" s="21" t="n">
        <v>0</v>
      </c>
      <c r="O6221" s="21" t="n">
        <v>0</v>
      </c>
      <c r="P6221" s="21" t="n">
        <v>0</v>
      </c>
      <c r="Q6221" s="21" t="n">
        <v>0</v>
      </c>
      <c r="R6221" s="21">
        <f>$B$5338</f>
        <v/>
      </c>
      <c r="S6221" s="21">
        <f>$B$5340</f>
        <v/>
      </c>
      <c r="T6221" s="21">
        <f>0</f>
        <v/>
      </c>
      <c r="U6221" s="21">
        <f>2*$B$5339</f>
        <v/>
      </c>
      <c r="V6221" s="21">
        <f>-$B$5338</f>
        <v/>
      </c>
      <c r="W6221" s="21">
        <f>$B$5340</f>
        <v/>
      </c>
      <c r="X6221" s="21" t="n">
        <v>0</v>
      </c>
      <c r="Y6221" s="21" t="n">
        <v>0</v>
      </c>
      <c r="Z6221" s="19" t="n"/>
    </row>
    <row r="6222">
      <c r="D6222" s="21" t="n">
        <v>0</v>
      </c>
      <c r="E6222" s="21" t="n">
        <v>0</v>
      </c>
      <c r="F6222" s="21" t="n">
        <v>0</v>
      </c>
      <c r="G6222" s="21" t="n">
        <v>0</v>
      </c>
      <c r="H6222" s="21" t="n">
        <v>0</v>
      </c>
      <c r="I6222" s="21" t="n">
        <v>0</v>
      </c>
      <c r="J6222" s="21" t="n">
        <v>0</v>
      </c>
      <c r="K6222" s="21" t="n">
        <v>0</v>
      </c>
      <c r="L6222" s="21" t="n">
        <v>0</v>
      </c>
      <c r="M6222" s="21" t="n">
        <v>0</v>
      </c>
      <c r="N6222" s="21" t="n">
        <v>0</v>
      </c>
      <c r="O6222" s="21" t="n">
        <v>0</v>
      </c>
      <c r="P6222" s="21" t="n">
        <v>0</v>
      </c>
      <c r="Q6222" s="21" t="n">
        <v>0</v>
      </c>
      <c r="R6222" s="21" t="n">
        <v>0</v>
      </c>
      <c r="S6222" s="21" t="n">
        <v>0</v>
      </c>
      <c r="T6222" s="21">
        <f>-$B$5337</f>
        <v/>
      </c>
      <c r="U6222" s="21">
        <f>-$B$5338</f>
        <v/>
      </c>
      <c r="V6222" s="21">
        <f>2*$B$5337+$D$6201</f>
        <v/>
      </c>
      <c r="W6222" s="21">
        <f>0</f>
        <v/>
      </c>
      <c r="X6222" s="21">
        <f>-$B$5337</f>
        <v/>
      </c>
      <c r="Y6222" s="21">
        <f>$B$5338</f>
        <v/>
      </c>
      <c r="Z6222" s="19" t="n"/>
    </row>
    <row r="6223">
      <c r="D6223" s="21" t="n">
        <v>0</v>
      </c>
      <c r="E6223" s="21" t="n">
        <v>0</v>
      </c>
      <c r="F6223" s="21" t="n">
        <v>0</v>
      </c>
      <c r="G6223" s="21" t="n">
        <v>0</v>
      </c>
      <c r="H6223" s="21" t="n">
        <v>0</v>
      </c>
      <c r="I6223" s="21" t="n">
        <v>0</v>
      </c>
      <c r="J6223" s="21" t="n">
        <v>0</v>
      </c>
      <c r="K6223" s="21" t="n">
        <v>0</v>
      </c>
      <c r="L6223" s="21" t="n">
        <v>0</v>
      </c>
      <c r="M6223" s="21" t="n">
        <v>0</v>
      </c>
      <c r="N6223" s="21" t="n">
        <v>0</v>
      </c>
      <c r="O6223" s="21" t="n">
        <v>0</v>
      </c>
      <c r="P6223" s="21" t="n">
        <v>0</v>
      </c>
      <c r="Q6223" s="21" t="n">
        <v>0</v>
      </c>
      <c r="R6223" s="21" t="n">
        <v>0</v>
      </c>
      <c r="S6223" s="21" t="n">
        <v>0</v>
      </c>
      <c r="T6223" s="21">
        <f>$B$5338</f>
        <v/>
      </c>
      <c r="U6223" s="21">
        <f>$B$5340</f>
        <v/>
      </c>
      <c r="V6223" s="21">
        <f>0</f>
        <v/>
      </c>
      <c r="W6223" s="21">
        <f>2*$B$5339</f>
        <v/>
      </c>
      <c r="X6223" s="21">
        <f>-$B$5338</f>
        <v/>
      </c>
      <c r="Y6223" s="21">
        <f>$B$5340</f>
        <v/>
      </c>
      <c r="Z6223" s="19" t="n"/>
    </row>
    <row r="6224">
      <c r="D6224" s="21" t="n">
        <v>0</v>
      </c>
      <c r="E6224" s="21" t="n">
        <v>0</v>
      </c>
      <c r="F6224" s="21" t="n">
        <v>0</v>
      </c>
      <c r="G6224" s="21" t="n">
        <v>0</v>
      </c>
      <c r="H6224" s="21" t="n">
        <v>0</v>
      </c>
      <c r="I6224" s="21" t="n">
        <v>0</v>
      </c>
      <c r="J6224" s="21" t="n">
        <v>0</v>
      </c>
      <c r="K6224" s="21" t="n">
        <v>0</v>
      </c>
      <c r="L6224" s="21" t="n">
        <v>0</v>
      </c>
      <c r="M6224" s="21" t="n">
        <v>0</v>
      </c>
      <c r="N6224" s="21" t="n">
        <v>0</v>
      </c>
      <c r="O6224" s="21" t="n">
        <v>0</v>
      </c>
      <c r="P6224" s="21" t="n">
        <v>0</v>
      </c>
      <c r="Q6224" s="21" t="n">
        <v>0</v>
      </c>
      <c r="R6224" s="21" t="n">
        <v>0</v>
      </c>
      <c r="S6224" s="21" t="n">
        <v>0</v>
      </c>
      <c r="T6224" s="21" t="n">
        <v>0</v>
      </c>
      <c r="U6224" s="21" t="n">
        <v>0</v>
      </c>
      <c r="V6224" s="21">
        <f>-$B$5337</f>
        <v/>
      </c>
      <c r="W6224" s="21">
        <f>-$B$5338</f>
        <v/>
      </c>
      <c r="X6224" s="21">
        <f>$B$5337+$D$6202</f>
        <v/>
      </c>
      <c r="Y6224" s="21">
        <f>-$B$5338</f>
        <v/>
      </c>
      <c r="Z6224" s="19" t="n"/>
    </row>
    <row r="6225">
      <c r="D6225" s="21" t="n">
        <v>0</v>
      </c>
      <c r="E6225" s="21" t="n">
        <v>0</v>
      </c>
      <c r="F6225" s="21" t="n">
        <v>0</v>
      </c>
      <c r="G6225" s="21" t="n">
        <v>0</v>
      </c>
      <c r="H6225" s="21" t="n">
        <v>0</v>
      </c>
      <c r="I6225" s="21" t="n">
        <v>0</v>
      </c>
      <c r="J6225" s="21" t="n">
        <v>0</v>
      </c>
      <c r="K6225" s="21" t="n">
        <v>0</v>
      </c>
      <c r="L6225" s="21" t="n">
        <v>0</v>
      </c>
      <c r="M6225" s="21" t="n">
        <v>0</v>
      </c>
      <c r="N6225" s="21" t="n">
        <v>0</v>
      </c>
      <c r="O6225" s="21" t="n">
        <v>0</v>
      </c>
      <c r="P6225" s="21" t="n">
        <v>0</v>
      </c>
      <c r="Q6225" s="21" t="n">
        <v>0</v>
      </c>
      <c r="R6225" s="21" t="n">
        <v>0</v>
      </c>
      <c r="S6225" s="21" t="n">
        <v>0</v>
      </c>
      <c r="T6225" s="21" t="n">
        <v>0</v>
      </c>
      <c r="U6225" s="21" t="n">
        <v>0</v>
      </c>
      <c r="V6225" s="21">
        <f>$B$5338</f>
        <v/>
      </c>
      <c r="W6225" s="21">
        <f>$B$5340</f>
        <v/>
      </c>
      <c r="X6225" s="21">
        <f>-$B$5338</f>
        <v/>
      </c>
      <c r="Y6225" s="21">
        <f>$B$5339</f>
        <v/>
      </c>
      <c r="Z6225" s="19" t="n"/>
    </row>
    <row r="6227">
      <c r="A6227" s="8" t="inlineStr">
        <is>
          <t>gen 24</t>
        </is>
      </c>
    </row>
    <row r="6228">
      <c r="D6228" s="19">
        <f>IF(ABS(IF(ABS($E$6192)&gt;0.000000001,$E$6192,0.000000001))=0,0,IF($E$5352&lt;=$B$5346,0,IF(ABS(IF(ABS($E$6192)&gt;0.000000001,$E$6192,0.000000001))&gt;=8*$B$5348,$H$5352,0.5*$H$5352*(ABS(IF(ABS($E$6192)&gt;0.000000001,$E$6192,0.000000001))/$B$5348)^(1/3)))/ABS(IF(ABS($E$6192)&gt;0.000000001,$E$6192,0.000000001))*$I$5352)</f>
        <v/>
      </c>
      <c r="E6228" s="19">
        <f>0.5*$E$6192+0.5*$Z$6240</f>
        <v/>
      </c>
      <c r="F6228" s="19">
        <f>$Z$6241</f>
        <v/>
      </c>
    </row>
    <row r="6229">
      <c r="D6229" s="19">
        <f>IF(ABS(IF(ABS($E$6193)&gt;0.000000001,$E$6193,0.000000001))=0,0,IF($E$5353&lt;=$B$5346,0,IF(ABS(IF(ABS($E$6193)&gt;0.000000001,$E$6193,0.000000001))&gt;=8*$B$5348,$H$5353,0.5*$H$5353*(ABS(IF(ABS($E$6193)&gt;0.000000001,$E$6193,0.000000001))/$B$5348)^(1/3)))/ABS(IF(ABS($E$6193)&gt;0.000000001,$E$6193,0.000000001))*$I$5353)</f>
        <v/>
      </c>
      <c r="E6229" s="19">
        <f>0.5*$E$6193+0.5*$Z$6242</f>
        <v/>
      </c>
      <c r="F6229" s="19">
        <f>$Z$6243</f>
        <v/>
      </c>
    </row>
    <row r="6230">
      <c r="D6230" s="19">
        <f>IF(ABS(IF(ABS($E$6194)&gt;0.000000001,$E$6194,0.000000001))=0,0,IF($E$5354&lt;=$B$5346,0,IF(ABS(IF(ABS($E$6194)&gt;0.000000001,$E$6194,0.000000001))&gt;=8*$B$5348,$H$5354,0.5*$H$5354*(ABS(IF(ABS($E$6194)&gt;0.000000001,$E$6194,0.000000001))/$B$5348)^(1/3)))/ABS(IF(ABS($E$6194)&gt;0.000000001,$E$6194,0.000000001))*$I$5354)</f>
        <v/>
      </c>
      <c r="E6230" s="19">
        <f>0.5*$E$6194+0.5*$Z$6244</f>
        <v/>
      </c>
      <c r="F6230" s="19">
        <f>$Z$6245</f>
        <v/>
      </c>
    </row>
    <row r="6231">
      <c r="D6231" s="19">
        <f>IF(ABS(IF(ABS($E$6195)&gt;0.000000001,$E$6195,0.000000001))=0,0,IF($E$5355&lt;=$B$5346,0,IF(ABS(IF(ABS($E$6195)&gt;0.000000001,$E$6195,0.000000001))&gt;=8*$B$5348,$H$5355,0.5*$H$5355*(ABS(IF(ABS($E$6195)&gt;0.000000001,$E$6195,0.000000001))/$B$5348)^(1/3)))/ABS(IF(ABS($E$6195)&gt;0.000000001,$E$6195,0.000000001))*$I$5355)</f>
        <v/>
      </c>
      <c r="E6231" s="19">
        <f>0.5*$E$6195+0.5*$Z$6246</f>
        <v/>
      </c>
      <c r="F6231" s="19">
        <f>$Z$6247</f>
        <v/>
      </c>
    </row>
    <row r="6232">
      <c r="D6232" s="19">
        <f>IF(ABS(IF(ABS($E$6196)&gt;0.000000001,$E$6196,0.000000001))=0,0,IF($E$5356&lt;=$B$5346,0,IF(ABS(IF(ABS($E$6196)&gt;0.000000001,$E$6196,0.000000001))&gt;=8*$B$5348,$H$5356,0.5*$H$5356*(ABS(IF(ABS($E$6196)&gt;0.000000001,$E$6196,0.000000001))/$B$5348)^(1/3)))/ABS(IF(ABS($E$6196)&gt;0.000000001,$E$6196,0.000000001))*$I$5356)</f>
        <v/>
      </c>
      <c r="E6232" s="19">
        <f>0.5*$E$6196+0.5*$Z$6248</f>
        <v/>
      </c>
      <c r="F6232" s="19">
        <f>$Z$6249</f>
        <v/>
      </c>
    </row>
    <row r="6233">
      <c r="D6233" s="19">
        <f>IF(ABS(IF(ABS($E$6197)&gt;0.000000001,$E$6197,0.000000001))=0,0,IF($E$5357&lt;=$B$5346,0,IF(ABS(IF(ABS($E$6197)&gt;0.000000001,$E$6197,0.000000001))&gt;=8*$B$5348,$H$5357,0.5*$H$5357*(ABS(IF(ABS($E$6197)&gt;0.000000001,$E$6197,0.000000001))/$B$5348)^(1/3)))/ABS(IF(ABS($E$6197)&gt;0.000000001,$E$6197,0.000000001))*$I$5357)</f>
        <v/>
      </c>
      <c r="E6233" s="19">
        <f>0.5*$E$6197+0.5*$Z$6250</f>
        <v/>
      </c>
      <c r="F6233" s="19">
        <f>$Z$6251</f>
        <v/>
      </c>
    </row>
    <row r="6234">
      <c r="D6234" s="19">
        <f>IF(ABS(IF(ABS($E$6198)&gt;0.000000001,$E$6198,0.000000001))=0,0,IF($E$5358&lt;=$B$5346,0,IF(ABS(IF(ABS($E$6198)&gt;0.000000001,$E$6198,0.000000001))&gt;=8*$B$5348,$H$5358,0.5*$H$5358*(ABS(IF(ABS($E$6198)&gt;0.000000001,$E$6198,0.000000001))/$B$5348)^(1/3)))/ABS(IF(ABS($E$6198)&gt;0.000000001,$E$6198,0.000000001))*$I$5358)</f>
        <v/>
      </c>
      <c r="E6234" s="19">
        <f>0.5*$E$6198+0.5*$Z$6252</f>
        <v/>
      </c>
      <c r="F6234" s="19">
        <f>$Z$6253</f>
        <v/>
      </c>
    </row>
    <row r="6235">
      <c r="D6235" s="19">
        <f>IF(ABS(IF(ABS($E$6199)&gt;0.000000001,$E$6199,0.000000001))=0,0,IF($E$5359&lt;=$B$5346,0,IF(ABS(IF(ABS($E$6199)&gt;0.000000001,$E$6199,0.000000001))&gt;=8*$B$5348,$H$5359,0.5*$H$5359*(ABS(IF(ABS($E$6199)&gt;0.000000001,$E$6199,0.000000001))/$B$5348)^(1/3)))/ABS(IF(ABS($E$6199)&gt;0.000000001,$E$6199,0.000000001))*$I$5359)</f>
        <v/>
      </c>
      <c r="E6235" s="19">
        <f>0.5*$E$6199+0.5*$Z$6254</f>
        <v/>
      </c>
      <c r="F6235" s="19">
        <f>$Z$6255</f>
        <v/>
      </c>
    </row>
    <row r="6236">
      <c r="D6236" s="19">
        <f>IF(ABS(IF(ABS($E$6200)&gt;0.000000001,$E$6200,0.000000001))=0,0,IF($E$5360&lt;=$B$5346,0,IF(ABS(IF(ABS($E$6200)&gt;0.000000001,$E$6200,0.000000001))&gt;=8*$B$5348,$H$5360,0.5*$H$5360*(ABS(IF(ABS($E$6200)&gt;0.000000001,$E$6200,0.000000001))/$B$5348)^(1/3)))/ABS(IF(ABS($E$6200)&gt;0.000000001,$E$6200,0.000000001))*$I$5360)</f>
        <v/>
      </c>
      <c r="E6236" s="19">
        <f>0.5*$E$6200+0.5*$Z$6256</f>
        <v/>
      </c>
      <c r="F6236" s="19">
        <f>$Z$6257</f>
        <v/>
      </c>
    </row>
    <row r="6237">
      <c r="D6237" s="19">
        <f>IF(ABS(IF(ABS($E$6201)&gt;0.000000001,$E$6201,0.000000001))=0,0,IF($E$5361&lt;=$B$5346,0,IF(ABS(IF(ABS($E$6201)&gt;0.000000001,$E$6201,0.000000001))&gt;=8*$B$5348,$H$5361,0.5*$H$5361*(ABS(IF(ABS($E$6201)&gt;0.000000001,$E$6201,0.000000001))/$B$5348)^(1/3)))/ABS(IF(ABS($E$6201)&gt;0.000000001,$E$6201,0.000000001))*$I$5361)</f>
        <v/>
      </c>
      <c r="E6237" s="19">
        <f>0.5*$E$6201+0.5*$Z$6258</f>
        <v/>
      </c>
      <c r="F6237" s="19">
        <f>$Z$6259</f>
        <v/>
      </c>
    </row>
    <row r="6238">
      <c r="D6238" s="19">
        <f>IF(ABS(IF(ABS($E$6202)&gt;0.000000001,$E$6202,0.000000001))=0,0,IF($E$5362&lt;=$B$5346,0,IF(ABS(IF(ABS($E$6202)&gt;0.000000001,$E$6202,0.000000001))&gt;=8*$B$5348,$H$5362,0.5*$H$5362*(ABS(IF(ABS($E$6202)&gt;0.000000001,$E$6202,0.000000001))/$B$5348)^(1/3)))/ABS(IF(ABS($E$6202)&gt;0.000000001,$E$6202,0.000000001))*$I$5362)</f>
        <v/>
      </c>
      <c r="E6238" s="19">
        <f>0.5*$E$6202+0.5*$Z$6260</f>
        <v/>
      </c>
      <c r="F6238" s="19">
        <f>$Z$6261</f>
        <v/>
      </c>
    </row>
    <row r="6240">
      <c r="D6240" s="21">
        <f>$B$5337+$D$6228</f>
        <v/>
      </c>
      <c r="E6240" s="21">
        <f>$B$5338</f>
        <v/>
      </c>
      <c r="F6240" s="21">
        <f>-$B$5337</f>
        <v/>
      </c>
      <c r="G6240" s="21">
        <f>$B$5338</f>
        <v/>
      </c>
      <c r="H6240" s="21" t="n">
        <v>0</v>
      </c>
      <c r="I6240" s="21" t="n">
        <v>0</v>
      </c>
      <c r="J6240" s="21" t="n">
        <v>0</v>
      </c>
      <c r="K6240" s="21" t="n">
        <v>0</v>
      </c>
      <c r="L6240" s="21" t="n">
        <v>0</v>
      </c>
      <c r="M6240" s="21" t="n">
        <v>0</v>
      </c>
      <c r="N6240" s="21" t="n">
        <v>0</v>
      </c>
      <c r="O6240" s="21" t="n">
        <v>0</v>
      </c>
      <c r="P6240" s="21" t="n">
        <v>0</v>
      </c>
      <c r="Q6240" s="21" t="n">
        <v>0</v>
      </c>
      <c r="R6240" s="21" t="n">
        <v>0</v>
      </c>
      <c r="S6240" s="21" t="n">
        <v>0</v>
      </c>
      <c r="T6240" s="21" t="n">
        <v>0</v>
      </c>
      <c r="U6240" s="21" t="n">
        <v>0</v>
      </c>
      <c r="V6240" s="21" t="n">
        <v>0</v>
      </c>
      <c r="W6240" s="21" t="n">
        <v>0</v>
      </c>
      <c r="X6240" s="21" t="n">
        <v>0</v>
      </c>
      <c r="Y6240" s="21" t="n">
        <v>0</v>
      </c>
      <c r="Z6240" s="19">
        <f t="array" ref="Z6240:Z6261">MMULT(MINVERSE($D$6240:$Y$6261),$D$5364:$D$5385)</f>
        <v/>
      </c>
    </row>
    <row r="6241">
      <c r="D6241" s="21">
        <f>$B$5338</f>
        <v/>
      </c>
      <c r="E6241" s="21">
        <f>$B$5339</f>
        <v/>
      </c>
      <c r="F6241" s="21">
        <f>-$B$5338</f>
        <v/>
      </c>
      <c r="G6241" s="21">
        <f>$B$5340</f>
        <v/>
      </c>
      <c r="H6241" s="21" t="n">
        <v>0</v>
      </c>
      <c r="I6241" s="21" t="n">
        <v>0</v>
      </c>
      <c r="J6241" s="21" t="n">
        <v>0</v>
      </c>
      <c r="K6241" s="21" t="n">
        <v>0</v>
      </c>
      <c r="L6241" s="21" t="n">
        <v>0</v>
      </c>
      <c r="M6241" s="21" t="n">
        <v>0</v>
      </c>
      <c r="N6241" s="21" t="n">
        <v>0</v>
      </c>
      <c r="O6241" s="21" t="n">
        <v>0</v>
      </c>
      <c r="P6241" s="21" t="n">
        <v>0</v>
      </c>
      <c r="Q6241" s="21" t="n">
        <v>0</v>
      </c>
      <c r="R6241" s="21" t="n">
        <v>0</v>
      </c>
      <c r="S6241" s="21" t="n">
        <v>0</v>
      </c>
      <c r="T6241" s="21" t="n">
        <v>0</v>
      </c>
      <c r="U6241" s="21" t="n">
        <v>0</v>
      </c>
      <c r="V6241" s="21" t="n">
        <v>0</v>
      </c>
      <c r="W6241" s="21" t="n">
        <v>0</v>
      </c>
      <c r="X6241" s="21" t="n">
        <v>0</v>
      </c>
      <c r="Y6241" s="21" t="n">
        <v>0</v>
      </c>
      <c r="Z6241" s="19" t="n"/>
    </row>
    <row r="6242">
      <c r="D6242" s="21">
        <f>-$B$5337</f>
        <v/>
      </c>
      <c r="E6242" s="21">
        <f>-$B$5338</f>
        <v/>
      </c>
      <c r="F6242" s="21">
        <f>2*$B$5337+$D$6229</f>
        <v/>
      </c>
      <c r="G6242" s="21">
        <f>0</f>
        <v/>
      </c>
      <c r="H6242" s="21">
        <f>-$B$5337</f>
        <v/>
      </c>
      <c r="I6242" s="21">
        <f>$B$5338</f>
        <v/>
      </c>
      <c r="J6242" s="21" t="n">
        <v>0</v>
      </c>
      <c r="K6242" s="21" t="n">
        <v>0</v>
      </c>
      <c r="L6242" s="21" t="n">
        <v>0</v>
      </c>
      <c r="M6242" s="21" t="n">
        <v>0</v>
      </c>
      <c r="N6242" s="21" t="n">
        <v>0</v>
      </c>
      <c r="O6242" s="21" t="n">
        <v>0</v>
      </c>
      <c r="P6242" s="21" t="n">
        <v>0</v>
      </c>
      <c r="Q6242" s="21" t="n">
        <v>0</v>
      </c>
      <c r="R6242" s="21" t="n">
        <v>0</v>
      </c>
      <c r="S6242" s="21" t="n">
        <v>0</v>
      </c>
      <c r="T6242" s="21" t="n">
        <v>0</v>
      </c>
      <c r="U6242" s="21" t="n">
        <v>0</v>
      </c>
      <c r="V6242" s="21" t="n">
        <v>0</v>
      </c>
      <c r="W6242" s="21" t="n">
        <v>0</v>
      </c>
      <c r="X6242" s="21" t="n">
        <v>0</v>
      </c>
      <c r="Y6242" s="21" t="n">
        <v>0</v>
      </c>
      <c r="Z6242" s="19" t="n"/>
    </row>
    <row r="6243">
      <c r="D6243" s="21">
        <f>$B$5338</f>
        <v/>
      </c>
      <c r="E6243" s="21">
        <f>$B$5340</f>
        <v/>
      </c>
      <c r="F6243" s="21">
        <f>0</f>
        <v/>
      </c>
      <c r="G6243" s="21">
        <f>2*$B$5339</f>
        <v/>
      </c>
      <c r="H6243" s="21">
        <f>-$B$5338</f>
        <v/>
      </c>
      <c r="I6243" s="21">
        <f>$B$5340</f>
        <v/>
      </c>
      <c r="J6243" s="21" t="n">
        <v>0</v>
      </c>
      <c r="K6243" s="21" t="n">
        <v>0</v>
      </c>
      <c r="L6243" s="21" t="n">
        <v>0</v>
      </c>
      <c r="M6243" s="21" t="n">
        <v>0</v>
      </c>
      <c r="N6243" s="21" t="n">
        <v>0</v>
      </c>
      <c r="O6243" s="21" t="n">
        <v>0</v>
      </c>
      <c r="P6243" s="21" t="n">
        <v>0</v>
      </c>
      <c r="Q6243" s="21" t="n">
        <v>0</v>
      </c>
      <c r="R6243" s="21" t="n">
        <v>0</v>
      </c>
      <c r="S6243" s="21" t="n">
        <v>0</v>
      </c>
      <c r="T6243" s="21" t="n">
        <v>0</v>
      </c>
      <c r="U6243" s="21" t="n">
        <v>0</v>
      </c>
      <c r="V6243" s="21" t="n">
        <v>0</v>
      </c>
      <c r="W6243" s="21" t="n">
        <v>0</v>
      </c>
      <c r="X6243" s="21" t="n">
        <v>0</v>
      </c>
      <c r="Y6243" s="21" t="n">
        <v>0</v>
      </c>
      <c r="Z6243" s="19" t="n"/>
    </row>
    <row r="6244">
      <c r="D6244" s="21" t="n">
        <v>0</v>
      </c>
      <c r="E6244" s="21" t="n">
        <v>0</v>
      </c>
      <c r="F6244" s="21">
        <f>-$B$5337</f>
        <v/>
      </c>
      <c r="G6244" s="21">
        <f>-$B$5338</f>
        <v/>
      </c>
      <c r="H6244" s="21">
        <f>2*$B$5337+$D$6230</f>
        <v/>
      </c>
      <c r="I6244" s="21">
        <f>0</f>
        <v/>
      </c>
      <c r="J6244" s="21">
        <f>-$B$5337</f>
        <v/>
      </c>
      <c r="K6244" s="21">
        <f>$B$5338</f>
        <v/>
      </c>
      <c r="L6244" s="21" t="n">
        <v>0</v>
      </c>
      <c r="M6244" s="21" t="n">
        <v>0</v>
      </c>
      <c r="N6244" s="21" t="n">
        <v>0</v>
      </c>
      <c r="O6244" s="21" t="n">
        <v>0</v>
      </c>
      <c r="P6244" s="21" t="n">
        <v>0</v>
      </c>
      <c r="Q6244" s="21" t="n">
        <v>0</v>
      </c>
      <c r="R6244" s="21" t="n">
        <v>0</v>
      </c>
      <c r="S6244" s="21" t="n">
        <v>0</v>
      </c>
      <c r="T6244" s="21" t="n">
        <v>0</v>
      </c>
      <c r="U6244" s="21" t="n">
        <v>0</v>
      </c>
      <c r="V6244" s="21" t="n">
        <v>0</v>
      </c>
      <c r="W6244" s="21" t="n">
        <v>0</v>
      </c>
      <c r="X6244" s="21" t="n">
        <v>0</v>
      </c>
      <c r="Y6244" s="21" t="n">
        <v>0</v>
      </c>
      <c r="Z6244" s="19" t="n"/>
    </row>
    <row r="6245">
      <c r="D6245" s="21" t="n">
        <v>0</v>
      </c>
      <c r="E6245" s="21" t="n">
        <v>0</v>
      </c>
      <c r="F6245" s="21">
        <f>$B$5338</f>
        <v/>
      </c>
      <c r="G6245" s="21">
        <f>$B$5340</f>
        <v/>
      </c>
      <c r="H6245" s="21">
        <f>0</f>
        <v/>
      </c>
      <c r="I6245" s="21">
        <f>2*$B$5339</f>
        <v/>
      </c>
      <c r="J6245" s="21">
        <f>-$B$5338</f>
        <v/>
      </c>
      <c r="K6245" s="21">
        <f>$B$5340</f>
        <v/>
      </c>
      <c r="L6245" s="21" t="n">
        <v>0</v>
      </c>
      <c r="M6245" s="21" t="n">
        <v>0</v>
      </c>
      <c r="N6245" s="21" t="n">
        <v>0</v>
      </c>
      <c r="O6245" s="21" t="n">
        <v>0</v>
      </c>
      <c r="P6245" s="21" t="n">
        <v>0</v>
      </c>
      <c r="Q6245" s="21" t="n">
        <v>0</v>
      </c>
      <c r="R6245" s="21" t="n">
        <v>0</v>
      </c>
      <c r="S6245" s="21" t="n">
        <v>0</v>
      </c>
      <c r="T6245" s="21" t="n">
        <v>0</v>
      </c>
      <c r="U6245" s="21" t="n">
        <v>0</v>
      </c>
      <c r="V6245" s="21" t="n">
        <v>0</v>
      </c>
      <c r="W6245" s="21" t="n">
        <v>0</v>
      </c>
      <c r="X6245" s="21" t="n">
        <v>0</v>
      </c>
      <c r="Y6245" s="21" t="n">
        <v>0</v>
      </c>
      <c r="Z6245" s="19" t="n"/>
    </row>
    <row r="6246">
      <c r="D6246" s="21" t="n">
        <v>0</v>
      </c>
      <c r="E6246" s="21" t="n">
        <v>0</v>
      </c>
      <c r="F6246" s="21" t="n">
        <v>0</v>
      </c>
      <c r="G6246" s="21" t="n">
        <v>0</v>
      </c>
      <c r="H6246" s="21">
        <f>-$B$5337</f>
        <v/>
      </c>
      <c r="I6246" s="21">
        <f>-$B$5338</f>
        <v/>
      </c>
      <c r="J6246" s="21">
        <f>2*$B$5337+$D$6231</f>
        <v/>
      </c>
      <c r="K6246" s="21">
        <f>0</f>
        <v/>
      </c>
      <c r="L6246" s="21">
        <f>-$B$5337</f>
        <v/>
      </c>
      <c r="M6246" s="21">
        <f>$B$5338</f>
        <v/>
      </c>
      <c r="N6246" s="21" t="n">
        <v>0</v>
      </c>
      <c r="O6246" s="21" t="n">
        <v>0</v>
      </c>
      <c r="P6246" s="21" t="n">
        <v>0</v>
      </c>
      <c r="Q6246" s="21" t="n">
        <v>0</v>
      </c>
      <c r="R6246" s="21" t="n">
        <v>0</v>
      </c>
      <c r="S6246" s="21" t="n">
        <v>0</v>
      </c>
      <c r="T6246" s="21" t="n">
        <v>0</v>
      </c>
      <c r="U6246" s="21" t="n">
        <v>0</v>
      </c>
      <c r="V6246" s="21" t="n">
        <v>0</v>
      </c>
      <c r="W6246" s="21" t="n">
        <v>0</v>
      </c>
      <c r="X6246" s="21" t="n">
        <v>0</v>
      </c>
      <c r="Y6246" s="21" t="n">
        <v>0</v>
      </c>
      <c r="Z6246" s="19" t="n"/>
    </row>
    <row r="6247">
      <c r="D6247" s="21" t="n">
        <v>0</v>
      </c>
      <c r="E6247" s="21" t="n">
        <v>0</v>
      </c>
      <c r="F6247" s="21" t="n">
        <v>0</v>
      </c>
      <c r="G6247" s="21" t="n">
        <v>0</v>
      </c>
      <c r="H6247" s="21">
        <f>$B$5338</f>
        <v/>
      </c>
      <c r="I6247" s="21">
        <f>$B$5340</f>
        <v/>
      </c>
      <c r="J6247" s="21">
        <f>0</f>
        <v/>
      </c>
      <c r="K6247" s="21">
        <f>2*$B$5339</f>
        <v/>
      </c>
      <c r="L6247" s="21">
        <f>-$B$5338</f>
        <v/>
      </c>
      <c r="M6247" s="21">
        <f>$B$5340</f>
        <v/>
      </c>
      <c r="N6247" s="21" t="n">
        <v>0</v>
      </c>
      <c r="O6247" s="21" t="n">
        <v>0</v>
      </c>
      <c r="P6247" s="21" t="n">
        <v>0</v>
      </c>
      <c r="Q6247" s="21" t="n">
        <v>0</v>
      </c>
      <c r="R6247" s="21" t="n">
        <v>0</v>
      </c>
      <c r="S6247" s="21" t="n">
        <v>0</v>
      </c>
      <c r="T6247" s="21" t="n">
        <v>0</v>
      </c>
      <c r="U6247" s="21" t="n">
        <v>0</v>
      </c>
      <c r="V6247" s="21" t="n">
        <v>0</v>
      </c>
      <c r="W6247" s="21" t="n">
        <v>0</v>
      </c>
      <c r="X6247" s="21" t="n">
        <v>0</v>
      </c>
      <c r="Y6247" s="21" t="n">
        <v>0</v>
      </c>
      <c r="Z6247" s="19" t="n"/>
    </row>
    <row r="6248">
      <c r="D6248" s="21" t="n">
        <v>0</v>
      </c>
      <c r="E6248" s="21" t="n">
        <v>0</v>
      </c>
      <c r="F6248" s="21" t="n">
        <v>0</v>
      </c>
      <c r="G6248" s="21" t="n">
        <v>0</v>
      </c>
      <c r="H6248" s="21" t="n">
        <v>0</v>
      </c>
      <c r="I6248" s="21" t="n">
        <v>0</v>
      </c>
      <c r="J6248" s="21">
        <f>-$B$5337</f>
        <v/>
      </c>
      <c r="K6248" s="21">
        <f>-$B$5338</f>
        <v/>
      </c>
      <c r="L6248" s="21">
        <f>2*$B$5337+$D$6232</f>
        <v/>
      </c>
      <c r="M6248" s="21">
        <f>0</f>
        <v/>
      </c>
      <c r="N6248" s="21">
        <f>-$B$5337</f>
        <v/>
      </c>
      <c r="O6248" s="21">
        <f>$B$5338</f>
        <v/>
      </c>
      <c r="P6248" s="21" t="n">
        <v>0</v>
      </c>
      <c r="Q6248" s="21" t="n">
        <v>0</v>
      </c>
      <c r="R6248" s="21" t="n">
        <v>0</v>
      </c>
      <c r="S6248" s="21" t="n">
        <v>0</v>
      </c>
      <c r="T6248" s="21" t="n">
        <v>0</v>
      </c>
      <c r="U6248" s="21" t="n">
        <v>0</v>
      </c>
      <c r="V6248" s="21" t="n">
        <v>0</v>
      </c>
      <c r="W6248" s="21" t="n">
        <v>0</v>
      </c>
      <c r="X6248" s="21" t="n">
        <v>0</v>
      </c>
      <c r="Y6248" s="21" t="n">
        <v>0</v>
      </c>
      <c r="Z6248" s="19" t="n"/>
    </row>
    <row r="6249">
      <c r="D6249" s="21" t="n">
        <v>0</v>
      </c>
      <c r="E6249" s="21" t="n">
        <v>0</v>
      </c>
      <c r="F6249" s="21" t="n">
        <v>0</v>
      </c>
      <c r="G6249" s="21" t="n">
        <v>0</v>
      </c>
      <c r="H6249" s="21" t="n">
        <v>0</v>
      </c>
      <c r="I6249" s="21" t="n">
        <v>0</v>
      </c>
      <c r="J6249" s="21">
        <f>$B$5338</f>
        <v/>
      </c>
      <c r="K6249" s="21">
        <f>$B$5340</f>
        <v/>
      </c>
      <c r="L6249" s="21">
        <f>0</f>
        <v/>
      </c>
      <c r="M6249" s="21">
        <f>2*$B$5339</f>
        <v/>
      </c>
      <c r="N6249" s="21">
        <f>-$B$5338</f>
        <v/>
      </c>
      <c r="O6249" s="21">
        <f>$B$5340</f>
        <v/>
      </c>
      <c r="P6249" s="21" t="n">
        <v>0</v>
      </c>
      <c r="Q6249" s="21" t="n">
        <v>0</v>
      </c>
      <c r="R6249" s="21" t="n">
        <v>0</v>
      </c>
      <c r="S6249" s="21" t="n">
        <v>0</v>
      </c>
      <c r="T6249" s="21" t="n">
        <v>0</v>
      </c>
      <c r="U6249" s="21" t="n">
        <v>0</v>
      </c>
      <c r="V6249" s="21" t="n">
        <v>0</v>
      </c>
      <c r="W6249" s="21" t="n">
        <v>0</v>
      </c>
      <c r="X6249" s="21" t="n">
        <v>0</v>
      </c>
      <c r="Y6249" s="21" t="n">
        <v>0</v>
      </c>
      <c r="Z6249" s="19" t="n"/>
    </row>
    <row r="6250">
      <c r="D6250" s="21" t="n">
        <v>0</v>
      </c>
      <c r="E6250" s="21" t="n">
        <v>0</v>
      </c>
      <c r="F6250" s="21" t="n">
        <v>0</v>
      </c>
      <c r="G6250" s="21" t="n">
        <v>0</v>
      </c>
      <c r="H6250" s="21" t="n">
        <v>0</v>
      </c>
      <c r="I6250" s="21" t="n">
        <v>0</v>
      </c>
      <c r="J6250" s="21" t="n">
        <v>0</v>
      </c>
      <c r="K6250" s="21" t="n">
        <v>0</v>
      </c>
      <c r="L6250" s="21">
        <f>-$B$5337</f>
        <v/>
      </c>
      <c r="M6250" s="21">
        <f>-$B$5338</f>
        <v/>
      </c>
      <c r="N6250" s="21">
        <f>2*$B$5337+$D$6233</f>
        <v/>
      </c>
      <c r="O6250" s="21">
        <f>0</f>
        <v/>
      </c>
      <c r="P6250" s="21">
        <f>-$B$5337</f>
        <v/>
      </c>
      <c r="Q6250" s="21">
        <f>$B$5338</f>
        <v/>
      </c>
      <c r="R6250" s="21" t="n">
        <v>0</v>
      </c>
      <c r="S6250" s="21" t="n">
        <v>0</v>
      </c>
      <c r="T6250" s="21" t="n">
        <v>0</v>
      </c>
      <c r="U6250" s="21" t="n">
        <v>0</v>
      </c>
      <c r="V6250" s="21" t="n">
        <v>0</v>
      </c>
      <c r="W6250" s="21" t="n">
        <v>0</v>
      </c>
      <c r="X6250" s="21" t="n">
        <v>0</v>
      </c>
      <c r="Y6250" s="21" t="n">
        <v>0</v>
      </c>
      <c r="Z6250" s="19" t="n"/>
    </row>
    <row r="6251">
      <c r="D6251" s="21" t="n">
        <v>0</v>
      </c>
      <c r="E6251" s="21" t="n">
        <v>0</v>
      </c>
      <c r="F6251" s="21" t="n">
        <v>0</v>
      </c>
      <c r="G6251" s="21" t="n">
        <v>0</v>
      </c>
      <c r="H6251" s="21" t="n">
        <v>0</v>
      </c>
      <c r="I6251" s="21" t="n">
        <v>0</v>
      </c>
      <c r="J6251" s="21" t="n">
        <v>0</v>
      </c>
      <c r="K6251" s="21" t="n">
        <v>0</v>
      </c>
      <c r="L6251" s="21">
        <f>$B$5338</f>
        <v/>
      </c>
      <c r="M6251" s="21">
        <f>$B$5340</f>
        <v/>
      </c>
      <c r="N6251" s="21">
        <f>0</f>
        <v/>
      </c>
      <c r="O6251" s="21">
        <f>2*$B$5339</f>
        <v/>
      </c>
      <c r="P6251" s="21">
        <f>-$B$5338</f>
        <v/>
      </c>
      <c r="Q6251" s="21">
        <f>$B$5340</f>
        <v/>
      </c>
      <c r="R6251" s="21" t="n">
        <v>0</v>
      </c>
      <c r="S6251" s="21" t="n">
        <v>0</v>
      </c>
      <c r="T6251" s="21" t="n">
        <v>0</v>
      </c>
      <c r="U6251" s="21" t="n">
        <v>0</v>
      </c>
      <c r="V6251" s="21" t="n">
        <v>0</v>
      </c>
      <c r="W6251" s="21" t="n">
        <v>0</v>
      </c>
      <c r="X6251" s="21" t="n">
        <v>0</v>
      </c>
      <c r="Y6251" s="21" t="n">
        <v>0</v>
      </c>
      <c r="Z6251" s="19" t="n"/>
    </row>
    <row r="6252">
      <c r="D6252" s="21" t="n">
        <v>0</v>
      </c>
      <c r="E6252" s="21" t="n">
        <v>0</v>
      </c>
      <c r="F6252" s="21" t="n">
        <v>0</v>
      </c>
      <c r="G6252" s="21" t="n">
        <v>0</v>
      </c>
      <c r="H6252" s="21" t="n">
        <v>0</v>
      </c>
      <c r="I6252" s="21" t="n">
        <v>0</v>
      </c>
      <c r="J6252" s="21" t="n">
        <v>0</v>
      </c>
      <c r="K6252" s="21" t="n">
        <v>0</v>
      </c>
      <c r="L6252" s="21" t="n">
        <v>0</v>
      </c>
      <c r="M6252" s="21" t="n">
        <v>0</v>
      </c>
      <c r="N6252" s="21">
        <f>-$B$5337</f>
        <v/>
      </c>
      <c r="O6252" s="21">
        <f>-$B$5338</f>
        <v/>
      </c>
      <c r="P6252" s="21">
        <f>2*$B$5337+$D$6234</f>
        <v/>
      </c>
      <c r="Q6252" s="21">
        <f>0</f>
        <v/>
      </c>
      <c r="R6252" s="21">
        <f>-$B$5337</f>
        <v/>
      </c>
      <c r="S6252" s="21">
        <f>$B$5338</f>
        <v/>
      </c>
      <c r="T6252" s="21" t="n">
        <v>0</v>
      </c>
      <c r="U6252" s="21" t="n">
        <v>0</v>
      </c>
      <c r="V6252" s="21" t="n">
        <v>0</v>
      </c>
      <c r="W6252" s="21" t="n">
        <v>0</v>
      </c>
      <c r="X6252" s="21" t="n">
        <v>0</v>
      </c>
      <c r="Y6252" s="21" t="n">
        <v>0</v>
      </c>
      <c r="Z6252" s="19" t="n"/>
    </row>
    <row r="6253">
      <c r="D6253" s="21" t="n">
        <v>0</v>
      </c>
      <c r="E6253" s="21" t="n">
        <v>0</v>
      </c>
      <c r="F6253" s="21" t="n">
        <v>0</v>
      </c>
      <c r="G6253" s="21" t="n">
        <v>0</v>
      </c>
      <c r="H6253" s="21" t="n">
        <v>0</v>
      </c>
      <c r="I6253" s="21" t="n">
        <v>0</v>
      </c>
      <c r="J6253" s="21" t="n">
        <v>0</v>
      </c>
      <c r="K6253" s="21" t="n">
        <v>0</v>
      </c>
      <c r="L6253" s="21" t="n">
        <v>0</v>
      </c>
      <c r="M6253" s="21" t="n">
        <v>0</v>
      </c>
      <c r="N6253" s="21">
        <f>$B$5338</f>
        <v/>
      </c>
      <c r="O6253" s="21">
        <f>$B$5340</f>
        <v/>
      </c>
      <c r="P6253" s="21">
        <f>0</f>
        <v/>
      </c>
      <c r="Q6253" s="21">
        <f>2*$B$5339</f>
        <v/>
      </c>
      <c r="R6253" s="21">
        <f>-$B$5338</f>
        <v/>
      </c>
      <c r="S6253" s="21">
        <f>$B$5340</f>
        <v/>
      </c>
      <c r="T6253" s="21" t="n">
        <v>0</v>
      </c>
      <c r="U6253" s="21" t="n">
        <v>0</v>
      </c>
      <c r="V6253" s="21" t="n">
        <v>0</v>
      </c>
      <c r="W6253" s="21" t="n">
        <v>0</v>
      </c>
      <c r="X6253" s="21" t="n">
        <v>0</v>
      </c>
      <c r="Y6253" s="21" t="n">
        <v>0</v>
      </c>
      <c r="Z6253" s="19" t="n"/>
    </row>
    <row r="6254">
      <c r="D6254" s="21" t="n">
        <v>0</v>
      </c>
      <c r="E6254" s="21" t="n">
        <v>0</v>
      </c>
      <c r="F6254" s="21" t="n">
        <v>0</v>
      </c>
      <c r="G6254" s="21" t="n">
        <v>0</v>
      </c>
      <c r="H6254" s="21" t="n">
        <v>0</v>
      </c>
      <c r="I6254" s="21" t="n">
        <v>0</v>
      </c>
      <c r="J6254" s="21" t="n">
        <v>0</v>
      </c>
      <c r="K6254" s="21" t="n">
        <v>0</v>
      </c>
      <c r="L6254" s="21" t="n">
        <v>0</v>
      </c>
      <c r="M6254" s="21" t="n">
        <v>0</v>
      </c>
      <c r="N6254" s="21" t="n">
        <v>0</v>
      </c>
      <c r="O6254" s="21" t="n">
        <v>0</v>
      </c>
      <c r="P6254" s="21">
        <f>-$B$5337</f>
        <v/>
      </c>
      <c r="Q6254" s="21">
        <f>-$B$5338</f>
        <v/>
      </c>
      <c r="R6254" s="21">
        <f>2*$B$5337+$D$6235</f>
        <v/>
      </c>
      <c r="S6254" s="21">
        <f>0</f>
        <v/>
      </c>
      <c r="T6254" s="21">
        <f>-$B$5337</f>
        <v/>
      </c>
      <c r="U6254" s="21">
        <f>$B$5338</f>
        <v/>
      </c>
      <c r="V6254" s="21" t="n">
        <v>0</v>
      </c>
      <c r="W6254" s="21" t="n">
        <v>0</v>
      </c>
      <c r="X6254" s="21" t="n">
        <v>0</v>
      </c>
      <c r="Y6254" s="21" t="n">
        <v>0</v>
      </c>
      <c r="Z6254" s="19" t="n"/>
    </row>
    <row r="6255">
      <c r="D6255" s="21" t="n">
        <v>0</v>
      </c>
      <c r="E6255" s="21" t="n">
        <v>0</v>
      </c>
      <c r="F6255" s="21" t="n">
        <v>0</v>
      </c>
      <c r="G6255" s="21" t="n">
        <v>0</v>
      </c>
      <c r="H6255" s="21" t="n">
        <v>0</v>
      </c>
      <c r="I6255" s="21" t="n">
        <v>0</v>
      </c>
      <c r="J6255" s="21" t="n">
        <v>0</v>
      </c>
      <c r="K6255" s="21" t="n">
        <v>0</v>
      </c>
      <c r="L6255" s="21" t="n">
        <v>0</v>
      </c>
      <c r="M6255" s="21" t="n">
        <v>0</v>
      </c>
      <c r="N6255" s="21" t="n">
        <v>0</v>
      </c>
      <c r="O6255" s="21" t="n">
        <v>0</v>
      </c>
      <c r="P6255" s="21">
        <f>$B$5338</f>
        <v/>
      </c>
      <c r="Q6255" s="21">
        <f>$B$5340</f>
        <v/>
      </c>
      <c r="R6255" s="21">
        <f>0</f>
        <v/>
      </c>
      <c r="S6255" s="21">
        <f>2*$B$5339</f>
        <v/>
      </c>
      <c r="T6255" s="21">
        <f>-$B$5338</f>
        <v/>
      </c>
      <c r="U6255" s="21">
        <f>$B$5340</f>
        <v/>
      </c>
      <c r="V6255" s="21" t="n">
        <v>0</v>
      </c>
      <c r="W6255" s="21" t="n">
        <v>0</v>
      </c>
      <c r="X6255" s="21" t="n">
        <v>0</v>
      </c>
      <c r="Y6255" s="21" t="n">
        <v>0</v>
      </c>
      <c r="Z6255" s="19" t="n"/>
    </row>
    <row r="6256">
      <c r="D6256" s="21" t="n">
        <v>0</v>
      </c>
      <c r="E6256" s="21" t="n">
        <v>0</v>
      </c>
      <c r="F6256" s="21" t="n">
        <v>0</v>
      </c>
      <c r="G6256" s="21" t="n">
        <v>0</v>
      </c>
      <c r="H6256" s="21" t="n">
        <v>0</v>
      </c>
      <c r="I6256" s="21" t="n">
        <v>0</v>
      </c>
      <c r="J6256" s="21" t="n">
        <v>0</v>
      </c>
      <c r="K6256" s="21" t="n">
        <v>0</v>
      </c>
      <c r="L6256" s="21" t="n">
        <v>0</v>
      </c>
      <c r="M6256" s="21" t="n">
        <v>0</v>
      </c>
      <c r="N6256" s="21" t="n">
        <v>0</v>
      </c>
      <c r="O6256" s="21" t="n">
        <v>0</v>
      </c>
      <c r="P6256" s="21" t="n">
        <v>0</v>
      </c>
      <c r="Q6256" s="21" t="n">
        <v>0</v>
      </c>
      <c r="R6256" s="21">
        <f>-$B$5337</f>
        <v/>
      </c>
      <c r="S6256" s="21">
        <f>-$B$5338</f>
        <v/>
      </c>
      <c r="T6256" s="21">
        <f>2*$B$5337+$D$6236</f>
        <v/>
      </c>
      <c r="U6256" s="21">
        <f>0</f>
        <v/>
      </c>
      <c r="V6256" s="21">
        <f>-$B$5337</f>
        <v/>
      </c>
      <c r="W6256" s="21">
        <f>$B$5338</f>
        <v/>
      </c>
      <c r="X6256" s="21" t="n">
        <v>0</v>
      </c>
      <c r="Y6256" s="21" t="n">
        <v>0</v>
      </c>
      <c r="Z6256" s="19" t="n"/>
    </row>
    <row r="6257">
      <c r="D6257" s="21" t="n">
        <v>0</v>
      </c>
      <c r="E6257" s="21" t="n">
        <v>0</v>
      </c>
      <c r="F6257" s="21" t="n">
        <v>0</v>
      </c>
      <c r="G6257" s="21" t="n">
        <v>0</v>
      </c>
      <c r="H6257" s="21" t="n">
        <v>0</v>
      </c>
      <c r="I6257" s="21" t="n">
        <v>0</v>
      </c>
      <c r="J6257" s="21" t="n">
        <v>0</v>
      </c>
      <c r="K6257" s="21" t="n">
        <v>0</v>
      </c>
      <c r="L6257" s="21" t="n">
        <v>0</v>
      </c>
      <c r="M6257" s="21" t="n">
        <v>0</v>
      </c>
      <c r="N6257" s="21" t="n">
        <v>0</v>
      </c>
      <c r="O6257" s="21" t="n">
        <v>0</v>
      </c>
      <c r="P6257" s="21" t="n">
        <v>0</v>
      </c>
      <c r="Q6257" s="21" t="n">
        <v>0</v>
      </c>
      <c r="R6257" s="21">
        <f>$B$5338</f>
        <v/>
      </c>
      <c r="S6257" s="21">
        <f>$B$5340</f>
        <v/>
      </c>
      <c r="T6257" s="21">
        <f>0</f>
        <v/>
      </c>
      <c r="U6257" s="21">
        <f>2*$B$5339</f>
        <v/>
      </c>
      <c r="V6257" s="21">
        <f>-$B$5338</f>
        <v/>
      </c>
      <c r="W6257" s="21">
        <f>$B$5340</f>
        <v/>
      </c>
      <c r="X6257" s="21" t="n">
        <v>0</v>
      </c>
      <c r="Y6257" s="21" t="n">
        <v>0</v>
      </c>
      <c r="Z6257" s="19" t="n"/>
    </row>
    <row r="6258">
      <c r="D6258" s="21" t="n">
        <v>0</v>
      </c>
      <c r="E6258" s="21" t="n">
        <v>0</v>
      </c>
      <c r="F6258" s="21" t="n">
        <v>0</v>
      </c>
      <c r="G6258" s="21" t="n">
        <v>0</v>
      </c>
      <c r="H6258" s="21" t="n">
        <v>0</v>
      </c>
      <c r="I6258" s="21" t="n">
        <v>0</v>
      </c>
      <c r="J6258" s="21" t="n">
        <v>0</v>
      </c>
      <c r="K6258" s="21" t="n">
        <v>0</v>
      </c>
      <c r="L6258" s="21" t="n">
        <v>0</v>
      </c>
      <c r="M6258" s="21" t="n">
        <v>0</v>
      </c>
      <c r="N6258" s="21" t="n">
        <v>0</v>
      </c>
      <c r="O6258" s="21" t="n">
        <v>0</v>
      </c>
      <c r="P6258" s="21" t="n">
        <v>0</v>
      </c>
      <c r="Q6258" s="21" t="n">
        <v>0</v>
      </c>
      <c r="R6258" s="21" t="n">
        <v>0</v>
      </c>
      <c r="S6258" s="21" t="n">
        <v>0</v>
      </c>
      <c r="T6258" s="21">
        <f>-$B$5337</f>
        <v/>
      </c>
      <c r="U6258" s="21">
        <f>-$B$5338</f>
        <v/>
      </c>
      <c r="V6258" s="21">
        <f>2*$B$5337+$D$6237</f>
        <v/>
      </c>
      <c r="W6258" s="21">
        <f>0</f>
        <v/>
      </c>
      <c r="X6258" s="21">
        <f>-$B$5337</f>
        <v/>
      </c>
      <c r="Y6258" s="21">
        <f>$B$5338</f>
        <v/>
      </c>
      <c r="Z6258" s="19" t="n"/>
    </row>
    <row r="6259">
      <c r="D6259" s="21" t="n">
        <v>0</v>
      </c>
      <c r="E6259" s="21" t="n">
        <v>0</v>
      </c>
      <c r="F6259" s="21" t="n">
        <v>0</v>
      </c>
      <c r="G6259" s="21" t="n">
        <v>0</v>
      </c>
      <c r="H6259" s="21" t="n">
        <v>0</v>
      </c>
      <c r="I6259" s="21" t="n">
        <v>0</v>
      </c>
      <c r="J6259" s="21" t="n">
        <v>0</v>
      </c>
      <c r="K6259" s="21" t="n">
        <v>0</v>
      </c>
      <c r="L6259" s="21" t="n">
        <v>0</v>
      </c>
      <c r="M6259" s="21" t="n">
        <v>0</v>
      </c>
      <c r="N6259" s="21" t="n">
        <v>0</v>
      </c>
      <c r="O6259" s="21" t="n">
        <v>0</v>
      </c>
      <c r="P6259" s="21" t="n">
        <v>0</v>
      </c>
      <c r="Q6259" s="21" t="n">
        <v>0</v>
      </c>
      <c r="R6259" s="21" t="n">
        <v>0</v>
      </c>
      <c r="S6259" s="21" t="n">
        <v>0</v>
      </c>
      <c r="T6259" s="21">
        <f>$B$5338</f>
        <v/>
      </c>
      <c r="U6259" s="21">
        <f>$B$5340</f>
        <v/>
      </c>
      <c r="V6259" s="21">
        <f>0</f>
        <v/>
      </c>
      <c r="W6259" s="21">
        <f>2*$B$5339</f>
        <v/>
      </c>
      <c r="X6259" s="21">
        <f>-$B$5338</f>
        <v/>
      </c>
      <c r="Y6259" s="21">
        <f>$B$5340</f>
        <v/>
      </c>
      <c r="Z6259" s="19" t="n"/>
    </row>
    <row r="6260">
      <c r="D6260" s="21" t="n">
        <v>0</v>
      </c>
      <c r="E6260" s="21" t="n">
        <v>0</v>
      </c>
      <c r="F6260" s="21" t="n">
        <v>0</v>
      </c>
      <c r="G6260" s="21" t="n">
        <v>0</v>
      </c>
      <c r="H6260" s="21" t="n">
        <v>0</v>
      </c>
      <c r="I6260" s="21" t="n">
        <v>0</v>
      </c>
      <c r="J6260" s="21" t="n">
        <v>0</v>
      </c>
      <c r="K6260" s="21" t="n">
        <v>0</v>
      </c>
      <c r="L6260" s="21" t="n">
        <v>0</v>
      </c>
      <c r="M6260" s="21" t="n">
        <v>0</v>
      </c>
      <c r="N6260" s="21" t="n">
        <v>0</v>
      </c>
      <c r="O6260" s="21" t="n">
        <v>0</v>
      </c>
      <c r="P6260" s="21" t="n">
        <v>0</v>
      </c>
      <c r="Q6260" s="21" t="n">
        <v>0</v>
      </c>
      <c r="R6260" s="21" t="n">
        <v>0</v>
      </c>
      <c r="S6260" s="21" t="n">
        <v>0</v>
      </c>
      <c r="T6260" s="21" t="n">
        <v>0</v>
      </c>
      <c r="U6260" s="21" t="n">
        <v>0</v>
      </c>
      <c r="V6260" s="21">
        <f>-$B$5337</f>
        <v/>
      </c>
      <c r="W6260" s="21">
        <f>-$B$5338</f>
        <v/>
      </c>
      <c r="X6260" s="21">
        <f>$B$5337+$D$6238</f>
        <v/>
      </c>
      <c r="Y6260" s="21">
        <f>-$B$5338</f>
        <v/>
      </c>
      <c r="Z6260" s="19" t="n"/>
    </row>
    <row r="6261">
      <c r="D6261" s="21" t="n">
        <v>0</v>
      </c>
      <c r="E6261" s="21" t="n">
        <v>0</v>
      </c>
      <c r="F6261" s="21" t="n">
        <v>0</v>
      </c>
      <c r="G6261" s="21" t="n">
        <v>0</v>
      </c>
      <c r="H6261" s="21" t="n">
        <v>0</v>
      </c>
      <c r="I6261" s="21" t="n">
        <v>0</v>
      </c>
      <c r="J6261" s="21" t="n">
        <v>0</v>
      </c>
      <c r="K6261" s="21" t="n">
        <v>0</v>
      </c>
      <c r="L6261" s="21" t="n">
        <v>0</v>
      </c>
      <c r="M6261" s="21" t="n">
        <v>0</v>
      </c>
      <c r="N6261" s="21" t="n">
        <v>0</v>
      </c>
      <c r="O6261" s="21" t="n">
        <v>0</v>
      </c>
      <c r="P6261" s="21" t="n">
        <v>0</v>
      </c>
      <c r="Q6261" s="21" t="n">
        <v>0</v>
      </c>
      <c r="R6261" s="21" t="n">
        <v>0</v>
      </c>
      <c r="S6261" s="21" t="n">
        <v>0</v>
      </c>
      <c r="T6261" s="21" t="n">
        <v>0</v>
      </c>
      <c r="U6261" s="21" t="n">
        <v>0</v>
      </c>
      <c r="V6261" s="21">
        <f>$B$5338</f>
        <v/>
      </c>
      <c r="W6261" s="21">
        <f>$B$5340</f>
        <v/>
      </c>
      <c r="X6261" s="21">
        <f>-$B$5338</f>
        <v/>
      </c>
      <c r="Y6261" s="21">
        <f>$B$5339</f>
        <v/>
      </c>
      <c r="Z6261" s="19" t="n"/>
    </row>
    <row r="6263">
      <c r="A6263" s="8" t="inlineStr">
        <is>
          <t>gen 25</t>
        </is>
      </c>
    </row>
    <row r="6264">
      <c r="D6264" s="19">
        <f>IF(ABS(IF(ABS($E$6228)&gt;0.000000001,$E$6228,0.000000001))=0,0,IF($E$5352&lt;=$B$5346,0,IF(ABS(IF(ABS($E$6228)&gt;0.000000001,$E$6228,0.000000001))&gt;=8*$B$5348,$H$5352,0.5*$H$5352*(ABS(IF(ABS($E$6228)&gt;0.000000001,$E$6228,0.000000001))/$B$5348)^(1/3)))/ABS(IF(ABS($E$6228)&gt;0.000000001,$E$6228,0.000000001))*$I$5352)</f>
        <v/>
      </c>
      <c r="E6264" s="19">
        <f>0.5*$E$6228+0.5*$Z$6276</f>
        <v/>
      </c>
      <c r="F6264" s="19">
        <f>$Z$6277</f>
        <v/>
      </c>
    </row>
    <row r="6265">
      <c r="D6265" s="19">
        <f>IF(ABS(IF(ABS($E$6229)&gt;0.000000001,$E$6229,0.000000001))=0,0,IF($E$5353&lt;=$B$5346,0,IF(ABS(IF(ABS($E$6229)&gt;0.000000001,$E$6229,0.000000001))&gt;=8*$B$5348,$H$5353,0.5*$H$5353*(ABS(IF(ABS($E$6229)&gt;0.000000001,$E$6229,0.000000001))/$B$5348)^(1/3)))/ABS(IF(ABS($E$6229)&gt;0.000000001,$E$6229,0.000000001))*$I$5353)</f>
        <v/>
      </c>
      <c r="E6265" s="19">
        <f>0.5*$E$6229+0.5*$Z$6278</f>
        <v/>
      </c>
      <c r="F6265" s="19">
        <f>$Z$6279</f>
        <v/>
      </c>
    </row>
    <row r="6266">
      <c r="D6266" s="19">
        <f>IF(ABS(IF(ABS($E$6230)&gt;0.000000001,$E$6230,0.000000001))=0,0,IF($E$5354&lt;=$B$5346,0,IF(ABS(IF(ABS($E$6230)&gt;0.000000001,$E$6230,0.000000001))&gt;=8*$B$5348,$H$5354,0.5*$H$5354*(ABS(IF(ABS($E$6230)&gt;0.000000001,$E$6230,0.000000001))/$B$5348)^(1/3)))/ABS(IF(ABS($E$6230)&gt;0.000000001,$E$6230,0.000000001))*$I$5354)</f>
        <v/>
      </c>
      <c r="E6266" s="19">
        <f>0.5*$E$6230+0.5*$Z$6280</f>
        <v/>
      </c>
      <c r="F6266" s="19">
        <f>$Z$6281</f>
        <v/>
      </c>
    </row>
    <row r="6267">
      <c r="D6267" s="19">
        <f>IF(ABS(IF(ABS($E$6231)&gt;0.000000001,$E$6231,0.000000001))=0,0,IF($E$5355&lt;=$B$5346,0,IF(ABS(IF(ABS($E$6231)&gt;0.000000001,$E$6231,0.000000001))&gt;=8*$B$5348,$H$5355,0.5*$H$5355*(ABS(IF(ABS($E$6231)&gt;0.000000001,$E$6231,0.000000001))/$B$5348)^(1/3)))/ABS(IF(ABS($E$6231)&gt;0.000000001,$E$6231,0.000000001))*$I$5355)</f>
        <v/>
      </c>
      <c r="E6267" s="19">
        <f>0.5*$E$6231+0.5*$Z$6282</f>
        <v/>
      </c>
      <c r="F6267" s="19">
        <f>$Z$6283</f>
        <v/>
      </c>
    </row>
    <row r="6268">
      <c r="D6268" s="19">
        <f>IF(ABS(IF(ABS($E$6232)&gt;0.000000001,$E$6232,0.000000001))=0,0,IF($E$5356&lt;=$B$5346,0,IF(ABS(IF(ABS($E$6232)&gt;0.000000001,$E$6232,0.000000001))&gt;=8*$B$5348,$H$5356,0.5*$H$5356*(ABS(IF(ABS($E$6232)&gt;0.000000001,$E$6232,0.000000001))/$B$5348)^(1/3)))/ABS(IF(ABS($E$6232)&gt;0.000000001,$E$6232,0.000000001))*$I$5356)</f>
        <v/>
      </c>
      <c r="E6268" s="19">
        <f>0.5*$E$6232+0.5*$Z$6284</f>
        <v/>
      </c>
      <c r="F6268" s="19">
        <f>$Z$6285</f>
        <v/>
      </c>
    </row>
    <row r="6269">
      <c r="D6269" s="19">
        <f>IF(ABS(IF(ABS($E$6233)&gt;0.000000001,$E$6233,0.000000001))=0,0,IF($E$5357&lt;=$B$5346,0,IF(ABS(IF(ABS($E$6233)&gt;0.000000001,$E$6233,0.000000001))&gt;=8*$B$5348,$H$5357,0.5*$H$5357*(ABS(IF(ABS($E$6233)&gt;0.000000001,$E$6233,0.000000001))/$B$5348)^(1/3)))/ABS(IF(ABS($E$6233)&gt;0.000000001,$E$6233,0.000000001))*$I$5357)</f>
        <v/>
      </c>
      <c r="E6269" s="19">
        <f>0.5*$E$6233+0.5*$Z$6286</f>
        <v/>
      </c>
      <c r="F6269" s="19">
        <f>$Z$6287</f>
        <v/>
      </c>
    </row>
    <row r="6270">
      <c r="D6270" s="19">
        <f>IF(ABS(IF(ABS($E$6234)&gt;0.000000001,$E$6234,0.000000001))=0,0,IF($E$5358&lt;=$B$5346,0,IF(ABS(IF(ABS($E$6234)&gt;0.000000001,$E$6234,0.000000001))&gt;=8*$B$5348,$H$5358,0.5*$H$5358*(ABS(IF(ABS($E$6234)&gt;0.000000001,$E$6234,0.000000001))/$B$5348)^(1/3)))/ABS(IF(ABS($E$6234)&gt;0.000000001,$E$6234,0.000000001))*$I$5358)</f>
        <v/>
      </c>
      <c r="E6270" s="19">
        <f>0.5*$E$6234+0.5*$Z$6288</f>
        <v/>
      </c>
      <c r="F6270" s="19">
        <f>$Z$6289</f>
        <v/>
      </c>
    </row>
    <row r="6271">
      <c r="D6271" s="19">
        <f>IF(ABS(IF(ABS($E$6235)&gt;0.000000001,$E$6235,0.000000001))=0,0,IF($E$5359&lt;=$B$5346,0,IF(ABS(IF(ABS($E$6235)&gt;0.000000001,$E$6235,0.000000001))&gt;=8*$B$5348,$H$5359,0.5*$H$5359*(ABS(IF(ABS($E$6235)&gt;0.000000001,$E$6235,0.000000001))/$B$5348)^(1/3)))/ABS(IF(ABS($E$6235)&gt;0.000000001,$E$6235,0.000000001))*$I$5359)</f>
        <v/>
      </c>
      <c r="E6271" s="19">
        <f>0.5*$E$6235+0.5*$Z$6290</f>
        <v/>
      </c>
      <c r="F6271" s="19">
        <f>$Z$6291</f>
        <v/>
      </c>
    </row>
    <row r="6272">
      <c r="D6272" s="19">
        <f>IF(ABS(IF(ABS($E$6236)&gt;0.000000001,$E$6236,0.000000001))=0,0,IF($E$5360&lt;=$B$5346,0,IF(ABS(IF(ABS($E$6236)&gt;0.000000001,$E$6236,0.000000001))&gt;=8*$B$5348,$H$5360,0.5*$H$5360*(ABS(IF(ABS($E$6236)&gt;0.000000001,$E$6236,0.000000001))/$B$5348)^(1/3)))/ABS(IF(ABS($E$6236)&gt;0.000000001,$E$6236,0.000000001))*$I$5360)</f>
        <v/>
      </c>
      <c r="E6272" s="19">
        <f>0.5*$E$6236+0.5*$Z$6292</f>
        <v/>
      </c>
      <c r="F6272" s="19">
        <f>$Z$6293</f>
        <v/>
      </c>
    </row>
    <row r="6273">
      <c r="D6273" s="19">
        <f>IF(ABS(IF(ABS($E$6237)&gt;0.000000001,$E$6237,0.000000001))=0,0,IF($E$5361&lt;=$B$5346,0,IF(ABS(IF(ABS($E$6237)&gt;0.000000001,$E$6237,0.000000001))&gt;=8*$B$5348,$H$5361,0.5*$H$5361*(ABS(IF(ABS($E$6237)&gt;0.000000001,$E$6237,0.000000001))/$B$5348)^(1/3)))/ABS(IF(ABS($E$6237)&gt;0.000000001,$E$6237,0.000000001))*$I$5361)</f>
        <v/>
      </c>
      <c r="E6273" s="19">
        <f>0.5*$E$6237+0.5*$Z$6294</f>
        <v/>
      </c>
      <c r="F6273" s="19">
        <f>$Z$6295</f>
        <v/>
      </c>
    </row>
    <row r="6274">
      <c r="D6274" s="19">
        <f>IF(ABS(IF(ABS($E$6238)&gt;0.000000001,$E$6238,0.000000001))=0,0,IF($E$5362&lt;=$B$5346,0,IF(ABS(IF(ABS($E$6238)&gt;0.000000001,$E$6238,0.000000001))&gt;=8*$B$5348,$H$5362,0.5*$H$5362*(ABS(IF(ABS($E$6238)&gt;0.000000001,$E$6238,0.000000001))/$B$5348)^(1/3)))/ABS(IF(ABS($E$6238)&gt;0.000000001,$E$6238,0.000000001))*$I$5362)</f>
        <v/>
      </c>
      <c r="E6274" s="19">
        <f>0.5*$E$6238+0.5*$Z$6296</f>
        <v/>
      </c>
      <c r="F6274" s="19">
        <f>$Z$6297</f>
        <v/>
      </c>
    </row>
    <row r="6276">
      <c r="D6276" s="21">
        <f>$B$5337+$D$6264</f>
        <v/>
      </c>
      <c r="E6276" s="21">
        <f>$B$5338</f>
        <v/>
      </c>
      <c r="F6276" s="21">
        <f>-$B$5337</f>
        <v/>
      </c>
      <c r="G6276" s="21">
        <f>$B$5338</f>
        <v/>
      </c>
      <c r="H6276" s="21" t="n">
        <v>0</v>
      </c>
      <c r="I6276" s="21" t="n">
        <v>0</v>
      </c>
      <c r="J6276" s="21" t="n">
        <v>0</v>
      </c>
      <c r="K6276" s="21" t="n">
        <v>0</v>
      </c>
      <c r="L6276" s="21" t="n">
        <v>0</v>
      </c>
      <c r="M6276" s="21" t="n">
        <v>0</v>
      </c>
      <c r="N6276" s="21" t="n">
        <v>0</v>
      </c>
      <c r="O6276" s="21" t="n">
        <v>0</v>
      </c>
      <c r="P6276" s="21" t="n">
        <v>0</v>
      </c>
      <c r="Q6276" s="21" t="n">
        <v>0</v>
      </c>
      <c r="R6276" s="21" t="n">
        <v>0</v>
      </c>
      <c r="S6276" s="21" t="n">
        <v>0</v>
      </c>
      <c r="T6276" s="21" t="n">
        <v>0</v>
      </c>
      <c r="U6276" s="21" t="n">
        <v>0</v>
      </c>
      <c r="V6276" s="21" t="n">
        <v>0</v>
      </c>
      <c r="W6276" s="21" t="n">
        <v>0</v>
      </c>
      <c r="X6276" s="21" t="n">
        <v>0</v>
      </c>
      <c r="Y6276" s="21" t="n">
        <v>0</v>
      </c>
      <c r="Z6276" s="19">
        <f t="array" ref="Z6276:Z6297">MMULT(MINVERSE($D$6276:$Y$6297),$D$5364:$D$5385)</f>
        <v/>
      </c>
    </row>
    <row r="6277">
      <c r="D6277" s="21">
        <f>$B$5338</f>
        <v/>
      </c>
      <c r="E6277" s="21">
        <f>$B$5339</f>
        <v/>
      </c>
      <c r="F6277" s="21">
        <f>-$B$5338</f>
        <v/>
      </c>
      <c r="G6277" s="21">
        <f>$B$5340</f>
        <v/>
      </c>
      <c r="H6277" s="21" t="n">
        <v>0</v>
      </c>
      <c r="I6277" s="21" t="n">
        <v>0</v>
      </c>
      <c r="J6277" s="21" t="n">
        <v>0</v>
      </c>
      <c r="K6277" s="21" t="n">
        <v>0</v>
      </c>
      <c r="L6277" s="21" t="n">
        <v>0</v>
      </c>
      <c r="M6277" s="21" t="n">
        <v>0</v>
      </c>
      <c r="N6277" s="21" t="n">
        <v>0</v>
      </c>
      <c r="O6277" s="21" t="n">
        <v>0</v>
      </c>
      <c r="P6277" s="21" t="n">
        <v>0</v>
      </c>
      <c r="Q6277" s="21" t="n">
        <v>0</v>
      </c>
      <c r="R6277" s="21" t="n">
        <v>0</v>
      </c>
      <c r="S6277" s="21" t="n">
        <v>0</v>
      </c>
      <c r="T6277" s="21" t="n">
        <v>0</v>
      </c>
      <c r="U6277" s="21" t="n">
        <v>0</v>
      </c>
      <c r="V6277" s="21" t="n">
        <v>0</v>
      </c>
      <c r="W6277" s="21" t="n">
        <v>0</v>
      </c>
      <c r="X6277" s="21" t="n">
        <v>0</v>
      </c>
      <c r="Y6277" s="21" t="n">
        <v>0</v>
      </c>
      <c r="Z6277" s="19" t="n"/>
    </row>
    <row r="6278">
      <c r="D6278" s="21">
        <f>-$B$5337</f>
        <v/>
      </c>
      <c r="E6278" s="21">
        <f>-$B$5338</f>
        <v/>
      </c>
      <c r="F6278" s="21">
        <f>2*$B$5337+$D$6265</f>
        <v/>
      </c>
      <c r="G6278" s="21">
        <f>0</f>
        <v/>
      </c>
      <c r="H6278" s="21">
        <f>-$B$5337</f>
        <v/>
      </c>
      <c r="I6278" s="21">
        <f>$B$5338</f>
        <v/>
      </c>
      <c r="J6278" s="21" t="n">
        <v>0</v>
      </c>
      <c r="K6278" s="21" t="n">
        <v>0</v>
      </c>
      <c r="L6278" s="21" t="n">
        <v>0</v>
      </c>
      <c r="M6278" s="21" t="n">
        <v>0</v>
      </c>
      <c r="N6278" s="21" t="n">
        <v>0</v>
      </c>
      <c r="O6278" s="21" t="n">
        <v>0</v>
      </c>
      <c r="P6278" s="21" t="n">
        <v>0</v>
      </c>
      <c r="Q6278" s="21" t="n">
        <v>0</v>
      </c>
      <c r="R6278" s="21" t="n">
        <v>0</v>
      </c>
      <c r="S6278" s="21" t="n">
        <v>0</v>
      </c>
      <c r="T6278" s="21" t="n">
        <v>0</v>
      </c>
      <c r="U6278" s="21" t="n">
        <v>0</v>
      </c>
      <c r="V6278" s="21" t="n">
        <v>0</v>
      </c>
      <c r="W6278" s="21" t="n">
        <v>0</v>
      </c>
      <c r="X6278" s="21" t="n">
        <v>0</v>
      </c>
      <c r="Y6278" s="21" t="n">
        <v>0</v>
      </c>
      <c r="Z6278" s="19" t="n"/>
    </row>
    <row r="6279">
      <c r="D6279" s="21">
        <f>$B$5338</f>
        <v/>
      </c>
      <c r="E6279" s="21">
        <f>$B$5340</f>
        <v/>
      </c>
      <c r="F6279" s="21">
        <f>0</f>
        <v/>
      </c>
      <c r="G6279" s="21">
        <f>2*$B$5339</f>
        <v/>
      </c>
      <c r="H6279" s="21">
        <f>-$B$5338</f>
        <v/>
      </c>
      <c r="I6279" s="21">
        <f>$B$5340</f>
        <v/>
      </c>
      <c r="J6279" s="21" t="n">
        <v>0</v>
      </c>
      <c r="K6279" s="21" t="n">
        <v>0</v>
      </c>
      <c r="L6279" s="21" t="n">
        <v>0</v>
      </c>
      <c r="M6279" s="21" t="n">
        <v>0</v>
      </c>
      <c r="N6279" s="21" t="n">
        <v>0</v>
      </c>
      <c r="O6279" s="21" t="n">
        <v>0</v>
      </c>
      <c r="P6279" s="21" t="n">
        <v>0</v>
      </c>
      <c r="Q6279" s="21" t="n">
        <v>0</v>
      </c>
      <c r="R6279" s="21" t="n">
        <v>0</v>
      </c>
      <c r="S6279" s="21" t="n">
        <v>0</v>
      </c>
      <c r="T6279" s="21" t="n">
        <v>0</v>
      </c>
      <c r="U6279" s="21" t="n">
        <v>0</v>
      </c>
      <c r="V6279" s="21" t="n">
        <v>0</v>
      </c>
      <c r="W6279" s="21" t="n">
        <v>0</v>
      </c>
      <c r="X6279" s="21" t="n">
        <v>0</v>
      </c>
      <c r="Y6279" s="21" t="n">
        <v>0</v>
      </c>
      <c r="Z6279" s="19" t="n"/>
    </row>
    <row r="6280">
      <c r="D6280" s="21" t="n">
        <v>0</v>
      </c>
      <c r="E6280" s="21" t="n">
        <v>0</v>
      </c>
      <c r="F6280" s="21">
        <f>-$B$5337</f>
        <v/>
      </c>
      <c r="G6280" s="21">
        <f>-$B$5338</f>
        <v/>
      </c>
      <c r="H6280" s="21">
        <f>2*$B$5337+$D$6266</f>
        <v/>
      </c>
      <c r="I6280" s="21">
        <f>0</f>
        <v/>
      </c>
      <c r="J6280" s="21">
        <f>-$B$5337</f>
        <v/>
      </c>
      <c r="K6280" s="21">
        <f>$B$5338</f>
        <v/>
      </c>
      <c r="L6280" s="21" t="n">
        <v>0</v>
      </c>
      <c r="M6280" s="21" t="n">
        <v>0</v>
      </c>
      <c r="N6280" s="21" t="n">
        <v>0</v>
      </c>
      <c r="O6280" s="21" t="n">
        <v>0</v>
      </c>
      <c r="P6280" s="21" t="n">
        <v>0</v>
      </c>
      <c r="Q6280" s="21" t="n">
        <v>0</v>
      </c>
      <c r="R6280" s="21" t="n">
        <v>0</v>
      </c>
      <c r="S6280" s="21" t="n">
        <v>0</v>
      </c>
      <c r="T6280" s="21" t="n">
        <v>0</v>
      </c>
      <c r="U6280" s="21" t="n">
        <v>0</v>
      </c>
      <c r="V6280" s="21" t="n">
        <v>0</v>
      </c>
      <c r="W6280" s="21" t="n">
        <v>0</v>
      </c>
      <c r="X6280" s="21" t="n">
        <v>0</v>
      </c>
      <c r="Y6280" s="21" t="n">
        <v>0</v>
      </c>
      <c r="Z6280" s="19" t="n"/>
    </row>
    <row r="6281">
      <c r="D6281" s="21" t="n">
        <v>0</v>
      </c>
      <c r="E6281" s="21" t="n">
        <v>0</v>
      </c>
      <c r="F6281" s="21">
        <f>$B$5338</f>
        <v/>
      </c>
      <c r="G6281" s="21">
        <f>$B$5340</f>
        <v/>
      </c>
      <c r="H6281" s="21">
        <f>0</f>
        <v/>
      </c>
      <c r="I6281" s="21">
        <f>2*$B$5339</f>
        <v/>
      </c>
      <c r="J6281" s="21">
        <f>-$B$5338</f>
        <v/>
      </c>
      <c r="K6281" s="21">
        <f>$B$5340</f>
        <v/>
      </c>
      <c r="L6281" s="21" t="n">
        <v>0</v>
      </c>
      <c r="M6281" s="21" t="n">
        <v>0</v>
      </c>
      <c r="N6281" s="21" t="n">
        <v>0</v>
      </c>
      <c r="O6281" s="21" t="n">
        <v>0</v>
      </c>
      <c r="P6281" s="21" t="n">
        <v>0</v>
      </c>
      <c r="Q6281" s="21" t="n">
        <v>0</v>
      </c>
      <c r="R6281" s="21" t="n">
        <v>0</v>
      </c>
      <c r="S6281" s="21" t="n">
        <v>0</v>
      </c>
      <c r="T6281" s="21" t="n">
        <v>0</v>
      </c>
      <c r="U6281" s="21" t="n">
        <v>0</v>
      </c>
      <c r="V6281" s="21" t="n">
        <v>0</v>
      </c>
      <c r="W6281" s="21" t="n">
        <v>0</v>
      </c>
      <c r="X6281" s="21" t="n">
        <v>0</v>
      </c>
      <c r="Y6281" s="21" t="n">
        <v>0</v>
      </c>
      <c r="Z6281" s="19" t="n"/>
    </row>
    <row r="6282">
      <c r="D6282" s="21" t="n">
        <v>0</v>
      </c>
      <c r="E6282" s="21" t="n">
        <v>0</v>
      </c>
      <c r="F6282" s="21" t="n">
        <v>0</v>
      </c>
      <c r="G6282" s="21" t="n">
        <v>0</v>
      </c>
      <c r="H6282" s="21">
        <f>-$B$5337</f>
        <v/>
      </c>
      <c r="I6282" s="21">
        <f>-$B$5338</f>
        <v/>
      </c>
      <c r="J6282" s="21">
        <f>2*$B$5337+$D$6267</f>
        <v/>
      </c>
      <c r="K6282" s="21">
        <f>0</f>
        <v/>
      </c>
      <c r="L6282" s="21">
        <f>-$B$5337</f>
        <v/>
      </c>
      <c r="M6282" s="21">
        <f>$B$5338</f>
        <v/>
      </c>
      <c r="N6282" s="21" t="n">
        <v>0</v>
      </c>
      <c r="O6282" s="21" t="n">
        <v>0</v>
      </c>
      <c r="P6282" s="21" t="n">
        <v>0</v>
      </c>
      <c r="Q6282" s="21" t="n">
        <v>0</v>
      </c>
      <c r="R6282" s="21" t="n">
        <v>0</v>
      </c>
      <c r="S6282" s="21" t="n">
        <v>0</v>
      </c>
      <c r="T6282" s="21" t="n">
        <v>0</v>
      </c>
      <c r="U6282" s="21" t="n">
        <v>0</v>
      </c>
      <c r="V6282" s="21" t="n">
        <v>0</v>
      </c>
      <c r="W6282" s="21" t="n">
        <v>0</v>
      </c>
      <c r="X6282" s="21" t="n">
        <v>0</v>
      </c>
      <c r="Y6282" s="21" t="n">
        <v>0</v>
      </c>
      <c r="Z6282" s="19" t="n"/>
    </row>
    <row r="6283">
      <c r="D6283" s="21" t="n">
        <v>0</v>
      </c>
      <c r="E6283" s="21" t="n">
        <v>0</v>
      </c>
      <c r="F6283" s="21" t="n">
        <v>0</v>
      </c>
      <c r="G6283" s="21" t="n">
        <v>0</v>
      </c>
      <c r="H6283" s="21">
        <f>$B$5338</f>
        <v/>
      </c>
      <c r="I6283" s="21">
        <f>$B$5340</f>
        <v/>
      </c>
      <c r="J6283" s="21">
        <f>0</f>
        <v/>
      </c>
      <c r="K6283" s="21">
        <f>2*$B$5339</f>
        <v/>
      </c>
      <c r="L6283" s="21">
        <f>-$B$5338</f>
        <v/>
      </c>
      <c r="M6283" s="21">
        <f>$B$5340</f>
        <v/>
      </c>
      <c r="N6283" s="21" t="n">
        <v>0</v>
      </c>
      <c r="O6283" s="21" t="n">
        <v>0</v>
      </c>
      <c r="P6283" s="21" t="n">
        <v>0</v>
      </c>
      <c r="Q6283" s="21" t="n">
        <v>0</v>
      </c>
      <c r="R6283" s="21" t="n">
        <v>0</v>
      </c>
      <c r="S6283" s="21" t="n">
        <v>0</v>
      </c>
      <c r="T6283" s="21" t="n">
        <v>0</v>
      </c>
      <c r="U6283" s="21" t="n">
        <v>0</v>
      </c>
      <c r="V6283" s="21" t="n">
        <v>0</v>
      </c>
      <c r="W6283" s="21" t="n">
        <v>0</v>
      </c>
      <c r="X6283" s="21" t="n">
        <v>0</v>
      </c>
      <c r="Y6283" s="21" t="n">
        <v>0</v>
      </c>
      <c r="Z6283" s="19" t="n"/>
    </row>
    <row r="6284">
      <c r="D6284" s="21" t="n">
        <v>0</v>
      </c>
      <c r="E6284" s="21" t="n">
        <v>0</v>
      </c>
      <c r="F6284" s="21" t="n">
        <v>0</v>
      </c>
      <c r="G6284" s="21" t="n">
        <v>0</v>
      </c>
      <c r="H6284" s="21" t="n">
        <v>0</v>
      </c>
      <c r="I6284" s="21" t="n">
        <v>0</v>
      </c>
      <c r="J6284" s="21">
        <f>-$B$5337</f>
        <v/>
      </c>
      <c r="K6284" s="21">
        <f>-$B$5338</f>
        <v/>
      </c>
      <c r="L6284" s="21">
        <f>2*$B$5337+$D$6268</f>
        <v/>
      </c>
      <c r="M6284" s="21">
        <f>0</f>
        <v/>
      </c>
      <c r="N6284" s="21">
        <f>-$B$5337</f>
        <v/>
      </c>
      <c r="O6284" s="21">
        <f>$B$5338</f>
        <v/>
      </c>
      <c r="P6284" s="21" t="n">
        <v>0</v>
      </c>
      <c r="Q6284" s="21" t="n">
        <v>0</v>
      </c>
      <c r="R6284" s="21" t="n">
        <v>0</v>
      </c>
      <c r="S6284" s="21" t="n">
        <v>0</v>
      </c>
      <c r="T6284" s="21" t="n">
        <v>0</v>
      </c>
      <c r="U6284" s="21" t="n">
        <v>0</v>
      </c>
      <c r="V6284" s="21" t="n">
        <v>0</v>
      </c>
      <c r="W6284" s="21" t="n">
        <v>0</v>
      </c>
      <c r="X6284" s="21" t="n">
        <v>0</v>
      </c>
      <c r="Y6284" s="21" t="n">
        <v>0</v>
      </c>
      <c r="Z6284" s="19" t="n"/>
    </row>
    <row r="6285">
      <c r="D6285" s="21" t="n">
        <v>0</v>
      </c>
      <c r="E6285" s="21" t="n">
        <v>0</v>
      </c>
      <c r="F6285" s="21" t="n">
        <v>0</v>
      </c>
      <c r="G6285" s="21" t="n">
        <v>0</v>
      </c>
      <c r="H6285" s="21" t="n">
        <v>0</v>
      </c>
      <c r="I6285" s="21" t="n">
        <v>0</v>
      </c>
      <c r="J6285" s="21">
        <f>$B$5338</f>
        <v/>
      </c>
      <c r="K6285" s="21">
        <f>$B$5340</f>
        <v/>
      </c>
      <c r="L6285" s="21">
        <f>0</f>
        <v/>
      </c>
      <c r="M6285" s="21">
        <f>2*$B$5339</f>
        <v/>
      </c>
      <c r="N6285" s="21">
        <f>-$B$5338</f>
        <v/>
      </c>
      <c r="O6285" s="21">
        <f>$B$5340</f>
        <v/>
      </c>
      <c r="P6285" s="21" t="n">
        <v>0</v>
      </c>
      <c r="Q6285" s="21" t="n">
        <v>0</v>
      </c>
      <c r="R6285" s="21" t="n">
        <v>0</v>
      </c>
      <c r="S6285" s="21" t="n">
        <v>0</v>
      </c>
      <c r="T6285" s="21" t="n">
        <v>0</v>
      </c>
      <c r="U6285" s="21" t="n">
        <v>0</v>
      </c>
      <c r="V6285" s="21" t="n">
        <v>0</v>
      </c>
      <c r="W6285" s="21" t="n">
        <v>0</v>
      </c>
      <c r="X6285" s="21" t="n">
        <v>0</v>
      </c>
      <c r="Y6285" s="21" t="n">
        <v>0</v>
      </c>
      <c r="Z6285" s="19" t="n"/>
    </row>
    <row r="6286">
      <c r="D6286" s="21" t="n">
        <v>0</v>
      </c>
      <c r="E6286" s="21" t="n">
        <v>0</v>
      </c>
      <c r="F6286" s="21" t="n">
        <v>0</v>
      </c>
      <c r="G6286" s="21" t="n">
        <v>0</v>
      </c>
      <c r="H6286" s="21" t="n">
        <v>0</v>
      </c>
      <c r="I6286" s="21" t="n">
        <v>0</v>
      </c>
      <c r="J6286" s="21" t="n">
        <v>0</v>
      </c>
      <c r="K6286" s="21" t="n">
        <v>0</v>
      </c>
      <c r="L6286" s="21">
        <f>-$B$5337</f>
        <v/>
      </c>
      <c r="M6286" s="21">
        <f>-$B$5338</f>
        <v/>
      </c>
      <c r="N6286" s="21">
        <f>2*$B$5337+$D$6269</f>
        <v/>
      </c>
      <c r="O6286" s="21">
        <f>0</f>
        <v/>
      </c>
      <c r="P6286" s="21">
        <f>-$B$5337</f>
        <v/>
      </c>
      <c r="Q6286" s="21">
        <f>$B$5338</f>
        <v/>
      </c>
      <c r="R6286" s="21" t="n">
        <v>0</v>
      </c>
      <c r="S6286" s="21" t="n">
        <v>0</v>
      </c>
      <c r="T6286" s="21" t="n">
        <v>0</v>
      </c>
      <c r="U6286" s="21" t="n">
        <v>0</v>
      </c>
      <c r="V6286" s="21" t="n">
        <v>0</v>
      </c>
      <c r="W6286" s="21" t="n">
        <v>0</v>
      </c>
      <c r="X6286" s="21" t="n">
        <v>0</v>
      </c>
      <c r="Y6286" s="21" t="n">
        <v>0</v>
      </c>
      <c r="Z6286" s="19" t="n"/>
    </row>
    <row r="6287">
      <c r="D6287" s="21" t="n">
        <v>0</v>
      </c>
      <c r="E6287" s="21" t="n">
        <v>0</v>
      </c>
      <c r="F6287" s="21" t="n">
        <v>0</v>
      </c>
      <c r="G6287" s="21" t="n">
        <v>0</v>
      </c>
      <c r="H6287" s="21" t="n">
        <v>0</v>
      </c>
      <c r="I6287" s="21" t="n">
        <v>0</v>
      </c>
      <c r="J6287" s="21" t="n">
        <v>0</v>
      </c>
      <c r="K6287" s="21" t="n">
        <v>0</v>
      </c>
      <c r="L6287" s="21">
        <f>$B$5338</f>
        <v/>
      </c>
      <c r="M6287" s="21">
        <f>$B$5340</f>
        <v/>
      </c>
      <c r="N6287" s="21">
        <f>0</f>
        <v/>
      </c>
      <c r="O6287" s="21">
        <f>2*$B$5339</f>
        <v/>
      </c>
      <c r="P6287" s="21">
        <f>-$B$5338</f>
        <v/>
      </c>
      <c r="Q6287" s="21">
        <f>$B$5340</f>
        <v/>
      </c>
      <c r="R6287" s="21" t="n">
        <v>0</v>
      </c>
      <c r="S6287" s="21" t="n">
        <v>0</v>
      </c>
      <c r="T6287" s="21" t="n">
        <v>0</v>
      </c>
      <c r="U6287" s="21" t="n">
        <v>0</v>
      </c>
      <c r="V6287" s="21" t="n">
        <v>0</v>
      </c>
      <c r="W6287" s="21" t="n">
        <v>0</v>
      </c>
      <c r="X6287" s="21" t="n">
        <v>0</v>
      </c>
      <c r="Y6287" s="21" t="n">
        <v>0</v>
      </c>
      <c r="Z6287" s="19" t="n"/>
    </row>
    <row r="6288">
      <c r="D6288" s="21" t="n">
        <v>0</v>
      </c>
      <c r="E6288" s="21" t="n">
        <v>0</v>
      </c>
      <c r="F6288" s="21" t="n">
        <v>0</v>
      </c>
      <c r="G6288" s="21" t="n">
        <v>0</v>
      </c>
      <c r="H6288" s="21" t="n">
        <v>0</v>
      </c>
      <c r="I6288" s="21" t="n">
        <v>0</v>
      </c>
      <c r="J6288" s="21" t="n">
        <v>0</v>
      </c>
      <c r="K6288" s="21" t="n">
        <v>0</v>
      </c>
      <c r="L6288" s="21" t="n">
        <v>0</v>
      </c>
      <c r="M6288" s="21" t="n">
        <v>0</v>
      </c>
      <c r="N6288" s="21">
        <f>-$B$5337</f>
        <v/>
      </c>
      <c r="O6288" s="21">
        <f>-$B$5338</f>
        <v/>
      </c>
      <c r="P6288" s="21">
        <f>2*$B$5337+$D$6270</f>
        <v/>
      </c>
      <c r="Q6288" s="21">
        <f>0</f>
        <v/>
      </c>
      <c r="R6288" s="21">
        <f>-$B$5337</f>
        <v/>
      </c>
      <c r="S6288" s="21">
        <f>$B$5338</f>
        <v/>
      </c>
      <c r="T6288" s="21" t="n">
        <v>0</v>
      </c>
      <c r="U6288" s="21" t="n">
        <v>0</v>
      </c>
      <c r="V6288" s="21" t="n">
        <v>0</v>
      </c>
      <c r="W6288" s="21" t="n">
        <v>0</v>
      </c>
      <c r="X6288" s="21" t="n">
        <v>0</v>
      </c>
      <c r="Y6288" s="21" t="n">
        <v>0</v>
      </c>
      <c r="Z6288" s="19" t="n"/>
    </row>
    <row r="6289">
      <c r="D6289" s="21" t="n">
        <v>0</v>
      </c>
      <c r="E6289" s="21" t="n">
        <v>0</v>
      </c>
      <c r="F6289" s="21" t="n">
        <v>0</v>
      </c>
      <c r="G6289" s="21" t="n">
        <v>0</v>
      </c>
      <c r="H6289" s="21" t="n">
        <v>0</v>
      </c>
      <c r="I6289" s="21" t="n">
        <v>0</v>
      </c>
      <c r="J6289" s="21" t="n">
        <v>0</v>
      </c>
      <c r="K6289" s="21" t="n">
        <v>0</v>
      </c>
      <c r="L6289" s="21" t="n">
        <v>0</v>
      </c>
      <c r="M6289" s="21" t="n">
        <v>0</v>
      </c>
      <c r="N6289" s="21">
        <f>$B$5338</f>
        <v/>
      </c>
      <c r="O6289" s="21">
        <f>$B$5340</f>
        <v/>
      </c>
      <c r="P6289" s="21">
        <f>0</f>
        <v/>
      </c>
      <c r="Q6289" s="21">
        <f>2*$B$5339</f>
        <v/>
      </c>
      <c r="R6289" s="21">
        <f>-$B$5338</f>
        <v/>
      </c>
      <c r="S6289" s="21">
        <f>$B$5340</f>
        <v/>
      </c>
      <c r="T6289" s="21" t="n">
        <v>0</v>
      </c>
      <c r="U6289" s="21" t="n">
        <v>0</v>
      </c>
      <c r="V6289" s="21" t="n">
        <v>0</v>
      </c>
      <c r="W6289" s="21" t="n">
        <v>0</v>
      </c>
      <c r="X6289" s="21" t="n">
        <v>0</v>
      </c>
      <c r="Y6289" s="21" t="n">
        <v>0</v>
      </c>
      <c r="Z6289" s="19" t="n"/>
    </row>
    <row r="6290">
      <c r="D6290" s="21" t="n">
        <v>0</v>
      </c>
      <c r="E6290" s="21" t="n">
        <v>0</v>
      </c>
      <c r="F6290" s="21" t="n">
        <v>0</v>
      </c>
      <c r="G6290" s="21" t="n">
        <v>0</v>
      </c>
      <c r="H6290" s="21" t="n">
        <v>0</v>
      </c>
      <c r="I6290" s="21" t="n">
        <v>0</v>
      </c>
      <c r="J6290" s="21" t="n">
        <v>0</v>
      </c>
      <c r="K6290" s="21" t="n">
        <v>0</v>
      </c>
      <c r="L6290" s="21" t="n">
        <v>0</v>
      </c>
      <c r="M6290" s="21" t="n">
        <v>0</v>
      </c>
      <c r="N6290" s="21" t="n">
        <v>0</v>
      </c>
      <c r="O6290" s="21" t="n">
        <v>0</v>
      </c>
      <c r="P6290" s="21">
        <f>-$B$5337</f>
        <v/>
      </c>
      <c r="Q6290" s="21">
        <f>-$B$5338</f>
        <v/>
      </c>
      <c r="R6290" s="21">
        <f>2*$B$5337+$D$6271</f>
        <v/>
      </c>
      <c r="S6290" s="21">
        <f>0</f>
        <v/>
      </c>
      <c r="T6290" s="21">
        <f>-$B$5337</f>
        <v/>
      </c>
      <c r="U6290" s="21">
        <f>$B$5338</f>
        <v/>
      </c>
      <c r="V6290" s="21" t="n">
        <v>0</v>
      </c>
      <c r="W6290" s="21" t="n">
        <v>0</v>
      </c>
      <c r="X6290" s="21" t="n">
        <v>0</v>
      </c>
      <c r="Y6290" s="21" t="n">
        <v>0</v>
      </c>
      <c r="Z6290" s="19" t="n"/>
    </row>
    <row r="6291">
      <c r="D6291" s="21" t="n">
        <v>0</v>
      </c>
      <c r="E6291" s="21" t="n">
        <v>0</v>
      </c>
      <c r="F6291" s="21" t="n">
        <v>0</v>
      </c>
      <c r="G6291" s="21" t="n">
        <v>0</v>
      </c>
      <c r="H6291" s="21" t="n">
        <v>0</v>
      </c>
      <c r="I6291" s="21" t="n">
        <v>0</v>
      </c>
      <c r="J6291" s="21" t="n">
        <v>0</v>
      </c>
      <c r="K6291" s="21" t="n">
        <v>0</v>
      </c>
      <c r="L6291" s="21" t="n">
        <v>0</v>
      </c>
      <c r="M6291" s="21" t="n">
        <v>0</v>
      </c>
      <c r="N6291" s="21" t="n">
        <v>0</v>
      </c>
      <c r="O6291" s="21" t="n">
        <v>0</v>
      </c>
      <c r="P6291" s="21">
        <f>$B$5338</f>
        <v/>
      </c>
      <c r="Q6291" s="21">
        <f>$B$5340</f>
        <v/>
      </c>
      <c r="R6291" s="21">
        <f>0</f>
        <v/>
      </c>
      <c r="S6291" s="21">
        <f>2*$B$5339</f>
        <v/>
      </c>
      <c r="T6291" s="21">
        <f>-$B$5338</f>
        <v/>
      </c>
      <c r="U6291" s="21">
        <f>$B$5340</f>
        <v/>
      </c>
      <c r="V6291" s="21" t="n">
        <v>0</v>
      </c>
      <c r="W6291" s="21" t="n">
        <v>0</v>
      </c>
      <c r="X6291" s="21" t="n">
        <v>0</v>
      </c>
      <c r="Y6291" s="21" t="n">
        <v>0</v>
      </c>
      <c r="Z6291" s="19" t="n"/>
    </row>
    <row r="6292">
      <c r="D6292" s="21" t="n">
        <v>0</v>
      </c>
      <c r="E6292" s="21" t="n">
        <v>0</v>
      </c>
      <c r="F6292" s="21" t="n">
        <v>0</v>
      </c>
      <c r="G6292" s="21" t="n">
        <v>0</v>
      </c>
      <c r="H6292" s="21" t="n">
        <v>0</v>
      </c>
      <c r="I6292" s="21" t="n">
        <v>0</v>
      </c>
      <c r="J6292" s="21" t="n">
        <v>0</v>
      </c>
      <c r="K6292" s="21" t="n">
        <v>0</v>
      </c>
      <c r="L6292" s="21" t="n">
        <v>0</v>
      </c>
      <c r="M6292" s="21" t="n">
        <v>0</v>
      </c>
      <c r="N6292" s="21" t="n">
        <v>0</v>
      </c>
      <c r="O6292" s="21" t="n">
        <v>0</v>
      </c>
      <c r="P6292" s="21" t="n">
        <v>0</v>
      </c>
      <c r="Q6292" s="21" t="n">
        <v>0</v>
      </c>
      <c r="R6292" s="21">
        <f>-$B$5337</f>
        <v/>
      </c>
      <c r="S6292" s="21">
        <f>-$B$5338</f>
        <v/>
      </c>
      <c r="T6292" s="21">
        <f>2*$B$5337+$D$6272</f>
        <v/>
      </c>
      <c r="U6292" s="21">
        <f>0</f>
        <v/>
      </c>
      <c r="V6292" s="21">
        <f>-$B$5337</f>
        <v/>
      </c>
      <c r="W6292" s="21">
        <f>$B$5338</f>
        <v/>
      </c>
      <c r="X6292" s="21" t="n">
        <v>0</v>
      </c>
      <c r="Y6292" s="21" t="n">
        <v>0</v>
      </c>
      <c r="Z6292" s="19" t="n"/>
    </row>
    <row r="6293">
      <c r="D6293" s="21" t="n">
        <v>0</v>
      </c>
      <c r="E6293" s="21" t="n">
        <v>0</v>
      </c>
      <c r="F6293" s="21" t="n">
        <v>0</v>
      </c>
      <c r="G6293" s="21" t="n">
        <v>0</v>
      </c>
      <c r="H6293" s="21" t="n">
        <v>0</v>
      </c>
      <c r="I6293" s="21" t="n">
        <v>0</v>
      </c>
      <c r="J6293" s="21" t="n">
        <v>0</v>
      </c>
      <c r="K6293" s="21" t="n">
        <v>0</v>
      </c>
      <c r="L6293" s="21" t="n">
        <v>0</v>
      </c>
      <c r="M6293" s="21" t="n">
        <v>0</v>
      </c>
      <c r="N6293" s="21" t="n">
        <v>0</v>
      </c>
      <c r="O6293" s="21" t="n">
        <v>0</v>
      </c>
      <c r="P6293" s="21" t="n">
        <v>0</v>
      </c>
      <c r="Q6293" s="21" t="n">
        <v>0</v>
      </c>
      <c r="R6293" s="21">
        <f>$B$5338</f>
        <v/>
      </c>
      <c r="S6293" s="21">
        <f>$B$5340</f>
        <v/>
      </c>
      <c r="T6293" s="21">
        <f>0</f>
        <v/>
      </c>
      <c r="U6293" s="21">
        <f>2*$B$5339</f>
        <v/>
      </c>
      <c r="V6293" s="21">
        <f>-$B$5338</f>
        <v/>
      </c>
      <c r="W6293" s="21">
        <f>$B$5340</f>
        <v/>
      </c>
      <c r="X6293" s="21" t="n">
        <v>0</v>
      </c>
      <c r="Y6293" s="21" t="n">
        <v>0</v>
      </c>
      <c r="Z6293" s="19" t="n"/>
    </row>
    <row r="6294">
      <c r="D6294" s="21" t="n">
        <v>0</v>
      </c>
      <c r="E6294" s="21" t="n">
        <v>0</v>
      </c>
      <c r="F6294" s="21" t="n">
        <v>0</v>
      </c>
      <c r="G6294" s="21" t="n">
        <v>0</v>
      </c>
      <c r="H6294" s="21" t="n">
        <v>0</v>
      </c>
      <c r="I6294" s="21" t="n">
        <v>0</v>
      </c>
      <c r="J6294" s="21" t="n">
        <v>0</v>
      </c>
      <c r="K6294" s="21" t="n">
        <v>0</v>
      </c>
      <c r="L6294" s="21" t="n">
        <v>0</v>
      </c>
      <c r="M6294" s="21" t="n">
        <v>0</v>
      </c>
      <c r="N6294" s="21" t="n">
        <v>0</v>
      </c>
      <c r="O6294" s="21" t="n">
        <v>0</v>
      </c>
      <c r="P6294" s="21" t="n">
        <v>0</v>
      </c>
      <c r="Q6294" s="21" t="n">
        <v>0</v>
      </c>
      <c r="R6294" s="21" t="n">
        <v>0</v>
      </c>
      <c r="S6294" s="21" t="n">
        <v>0</v>
      </c>
      <c r="T6294" s="21">
        <f>-$B$5337</f>
        <v/>
      </c>
      <c r="U6294" s="21">
        <f>-$B$5338</f>
        <v/>
      </c>
      <c r="V6294" s="21">
        <f>2*$B$5337+$D$6273</f>
        <v/>
      </c>
      <c r="W6294" s="21">
        <f>0</f>
        <v/>
      </c>
      <c r="X6294" s="21">
        <f>-$B$5337</f>
        <v/>
      </c>
      <c r="Y6294" s="21">
        <f>$B$5338</f>
        <v/>
      </c>
      <c r="Z6294" s="19" t="n"/>
    </row>
    <row r="6295">
      <c r="D6295" s="21" t="n">
        <v>0</v>
      </c>
      <c r="E6295" s="21" t="n">
        <v>0</v>
      </c>
      <c r="F6295" s="21" t="n">
        <v>0</v>
      </c>
      <c r="G6295" s="21" t="n">
        <v>0</v>
      </c>
      <c r="H6295" s="21" t="n">
        <v>0</v>
      </c>
      <c r="I6295" s="21" t="n">
        <v>0</v>
      </c>
      <c r="J6295" s="21" t="n">
        <v>0</v>
      </c>
      <c r="K6295" s="21" t="n">
        <v>0</v>
      </c>
      <c r="L6295" s="21" t="n">
        <v>0</v>
      </c>
      <c r="M6295" s="21" t="n">
        <v>0</v>
      </c>
      <c r="N6295" s="21" t="n">
        <v>0</v>
      </c>
      <c r="O6295" s="21" t="n">
        <v>0</v>
      </c>
      <c r="P6295" s="21" t="n">
        <v>0</v>
      </c>
      <c r="Q6295" s="21" t="n">
        <v>0</v>
      </c>
      <c r="R6295" s="21" t="n">
        <v>0</v>
      </c>
      <c r="S6295" s="21" t="n">
        <v>0</v>
      </c>
      <c r="T6295" s="21">
        <f>$B$5338</f>
        <v/>
      </c>
      <c r="U6295" s="21">
        <f>$B$5340</f>
        <v/>
      </c>
      <c r="V6295" s="21">
        <f>0</f>
        <v/>
      </c>
      <c r="W6295" s="21">
        <f>2*$B$5339</f>
        <v/>
      </c>
      <c r="X6295" s="21">
        <f>-$B$5338</f>
        <v/>
      </c>
      <c r="Y6295" s="21">
        <f>$B$5340</f>
        <v/>
      </c>
      <c r="Z6295" s="19" t="n"/>
    </row>
    <row r="6296">
      <c r="D6296" s="21" t="n">
        <v>0</v>
      </c>
      <c r="E6296" s="21" t="n">
        <v>0</v>
      </c>
      <c r="F6296" s="21" t="n">
        <v>0</v>
      </c>
      <c r="G6296" s="21" t="n">
        <v>0</v>
      </c>
      <c r="H6296" s="21" t="n">
        <v>0</v>
      </c>
      <c r="I6296" s="21" t="n">
        <v>0</v>
      </c>
      <c r="J6296" s="21" t="n">
        <v>0</v>
      </c>
      <c r="K6296" s="21" t="n">
        <v>0</v>
      </c>
      <c r="L6296" s="21" t="n">
        <v>0</v>
      </c>
      <c r="M6296" s="21" t="n">
        <v>0</v>
      </c>
      <c r="N6296" s="21" t="n">
        <v>0</v>
      </c>
      <c r="O6296" s="21" t="n">
        <v>0</v>
      </c>
      <c r="P6296" s="21" t="n">
        <v>0</v>
      </c>
      <c r="Q6296" s="21" t="n">
        <v>0</v>
      </c>
      <c r="R6296" s="21" t="n">
        <v>0</v>
      </c>
      <c r="S6296" s="21" t="n">
        <v>0</v>
      </c>
      <c r="T6296" s="21" t="n">
        <v>0</v>
      </c>
      <c r="U6296" s="21" t="n">
        <v>0</v>
      </c>
      <c r="V6296" s="21">
        <f>-$B$5337</f>
        <v/>
      </c>
      <c r="W6296" s="21">
        <f>-$B$5338</f>
        <v/>
      </c>
      <c r="X6296" s="21">
        <f>$B$5337+$D$6274</f>
        <v/>
      </c>
      <c r="Y6296" s="21">
        <f>-$B$5338</f>
        <v/>
      </c>
      <c r="Z6296" s="19" t="n"/>
    </row>
    <row r="6297">
      <c r="D6297" s="21" t="n">
        <v>0</v>
      </c>
      <c r="E6297" s="21" t="n">
        <v>0</v>
      </c>
      <c r="F6297" s="21" t="n">
        <v>0</v>
      </c>
      <c r="G6297" s="21" t="n">
        <v>0</v>
      </c>
      <c r="H6297" s="21" t="n">
        <v>0</v>
      </c>
      <c r="I6297" s="21" t="n">
        <v>0</v>
      </c>
      <c r="J6297" s="21" t="n">
        <v>0</v>
      </c>
      <c r="K6297" s="21" t="n">
        <v>0</v>
      </c>
      <c r="L6297" s="21" t="n">
        <v>0</v>
      </c>
      <c r="M6297" s="21" t="n">
        <v>0</v>
      </c>
      <c r="N6297" s="21" t="n">
        <v>0</v>
      </c>
      <c r="O6297" s="21" t="n">
        <v>0</v>
      </c>
      <c r="P6297" s="21" t="n">
        <v>0</v>
      </c>
      <c r="Q6297" s="21" t="n">
        <v>0</v>
      </c>
      <c r="R6297" s="21" t="n">
        <v>0</v>
      </c>
      <c r="S6297" s="21" t="n">
        <v>0</v>
      </c>
      <c r="T6297" s="21" t="n">
        <v>0</v>
      </c>
      <c r="U6297" s="21" t="n">
        <v>0</v>
      </c>
      <c r="V6297" s="21">
        <f>$B$5338</f>
        <v/>
      </c>
      <c r="W6297" s="21">
        <f>$B$5340</f>
        <v/>
      </c>
      <c r="X6297" s="21">
        <f>-$B$5338</f>
        <v/>
      </c>
      <c r="Y6297" s="21">
        <f>$B$5339</f>
        <v/>
      </c>
      <c r="Z6297" s="19" t="n"/>
    </row>
    <row r="6299">
      <c r="A6299" s="8" t="inlineStr">
        <is>
          <t>gen 26</t>
        </is>
      </c>
    </row>
    <row r="6300">
      <c r="D6300" s="19">
        <f>IF(ABS(IF(ABS($E$6264)&gt;0.000000001,$E$6264,0.000000001))=0,0,IF($E$5352&lt;=$B$5346,0,IF(ABS(IF(ABS($E$6264)&gt;0.000000001,$E$6264,0.000000001))&gt;=8*$B$5348,$H$5352,0.5*$H$5352*(ABS(IF(ABS($E$6264)&gt;0.000000001,$E$6264,0.000000001))/$B$5348)^(1/3)))/ABS(IF(ABS($E$6264)&gt;0.000000001,$E$6264,0.000000001))*$I$5352)</f>
        <v/>
      </c>
      <c r="E6300" s="19">
        <f>0.5*$E$6264+0.5*$Z$6312</f>
        <v/>
      </c>
      <c r="F6300" s="19">
        <f>$Z$6313</f>
        <v/>
      </c>
    </row>
    <row r="6301">
      <c r="D6301" s="19">
        <f>IF(ABS(IF(ABS($E$6265)&gt;0.000000001,$E$6265,0.000000001))=0,0,IF($E$5353&lt;=$B$5346,0,IF(ABS(IF(ABS($E$6265)&gt;0.000000001,$E$6265,0.000000001))&gt;=8*$B$5348,$H$5353,0.5*$H$5353*(ABS(IF(ABS($E$6265)&gt;0.000000001,$E$6265,0.000000001))/$B$5348)^(1/3)))/ABS(IF(ABS($E$6265)&gt;0.000000001,$E$6265,0.000000001))*$I$5353)</f>
        <v/>
      </c>
      <c r="E6301" s="19">
        <f>0.5*$E$6265+0.5*$Z$6314</f>
        <v/>
      </c>
      <c r="F6301" s="19">
        <f>$Z$6315</f>
        <v/>
      </c>
    </row>
    <row r="6302">
      <c r="D6302" s="19">
        <f>IF(ABS(IF(ABS($E$6266)&gt;0.000000001,$E$6266,0.000000001))=0,0,IF($E$5354&lt;=$B$5346,0,IF(ABS(IF(ABS($E$6266)&gt;0.000000001,$E$6266,0.000000001))&gt;=8*$B$5348,$H$5354,0.5*$H$5354*(ABS(IF(ABS($E$6266)&gt;0.000000001,$E$6266,0.000000001))/$B$5348)^(1/3)))/ABS(IF(ABS($E$6266)&gt;0.000000001,$E$6266,0.000000001))*$I$5354)</f>
        <v/>
      </c>
      <c r="E6302" s="19">
        <f>0.5*$E$6266+0.5*$Z$6316</f>
        <v/>
      </c>
      <c r="F6302" s="19">
        <f>$Z$6317</f>
        <v/>
      </c>
    </row>
    <row r="6303">
      <c r="D6303" s="19">
        <f>IF(ABS(IF(ABS($E$6267)&gt;0.000000001,$E$6267,0.000000001))=0,0,IF($E$5355&lt;=$B$5346,0,IF(ABS(IF(ABS($E$6267)&gt;0.000000001,$E$6267,0.000000001))&gt;=8*$B$5348,$H$5355,0.5*$H$5355*(ABS(IF(ABS($E$6267)&gt;0.000000001,$E$6267,0.000000001))/$B$5348)^(1/3)))/ABS(IF(ABS($E$6267)&gt;0.000000001,$E$6267,0.000000001))*$I$5355)</f>
        <v/>
      </c>
      <c r="E6303" s="19">
        <f>0.5*$E$6267+0.5*$Z$6318</f>
        <v/>
      </c>
      <c r="F6303" s="19">
        <f>$Z$6319</f>
        <v/>
      </c>
    </row>
    <row r="6304">
      <c r="D6304" s="19">
        <f>IF(ABS(IF(ABS($E$6268)&gt;0.000000001,$E$6268,0.000000001))=0,0,IF($E$5356&lt;=$B$5346,0,IF(ABS(IF(ABS($E$6268)&gt;0.000000001,$E$6268,0.000000001))&gt;=8*$B$5348,$H$5356,0.5*$H$5356*(ABS(IF(ABS($E$6268)&gt;0.000000001,$E$6268,0.000000001))/$B$5348)^(1/3)))/ABS(IF(ABS($E$6268)&gt;0.000000001,$E$6268,0.000000001))*$I$5356)</f>
        <v/>
      </c>
      <c r="E6304" s="19">
        <f>0.5*$E$6268+0.5*$Z$6320</f>
        <v/>
      </c>
      <c r="F6304" s="19">
        <f>$Z$6321</f>
        <v/>
      </c>
    </row>
    <row r="6305">
      <c r="D6305" s="19">
        <f>IF(ABS(IF(ABS($E$6269)&gt;0.000000001,$E$6269,0.000000001))=0,0,IF($E$5357&lt;=$B$5346,0,IF(ABS(IF(ABS($E$6269)&gt;0.000000001,$E$6269,0.000000001))&gt;=8*$B$5348,$H$5357,0.5*$H$5357*(ABS(IF(ABS($E$6269)&gt;0.000000001,$E$6269,0.000000001))/$B$5348)^(1/3)))/ABS(IF(ABS($E$6269)&gt;0.000000001,$E$6269,0.000000001))*$I$5357)</f>
        <v/>
      </c>
      <c r="E6305" s="19">
        <f>0.5*$E$6269+0.5*$Z$6322</f>
        <v/>
      </c>
      <c r="F6305" s="19">
        <f>$Z$6323</f>
        <v/>
      </c>
    </row>
    <row r="6306">
      <c r="D6306" s="19">
        <f>IF(ABS(IF(ABS($E$6270)&gt;0.000000001,$E$6270,0.000000001))=0,0,IF($E$5358&lt;=$B$5346,0,IF(ABS(IF(ABS($E$6270)&gt;0.000000001,$E$6270,0.000000001))&gt;=8*$B$5348,$H$5358,0.5*$H$5358*(ABS(IF(ABS($E$6270)&gt;0.000000001,$E$6270,0.000000001))/$B$5348)^(1/3)))/ABS(IF(ABS($E$6270)&gt;0.000000001,$E$6270,0.000000001))*$I$5358)</f>
        <v/>
      </c>
      <c r="E6306" s="19">
        <f>0.5*$E$6270+0.5*$Z$6324</f>
        <v/>
      </c>
      <c r="F6306" s="19">
        <f>$Z$6325</f>
        <v/>
      </c>
    </row>
    <row r="6307">
      <c r="D6307" s="19">
        <f>IF(ABS(IF(ABS($E$6271)&gt;0.000000001,$E$6271,0.000000001))=0,0,IF($E$5359&lt;=$B$5346,0,IF(ABS(IF(ABS($E$6271)&gt;0.000000001,$E$6271,0.000000001))&gt;=8*$B$5348,$H$5359,0.5*$H$5359*(ABS(IF(ABS($E$6271)&gt;0.000000001,$E$6271,0.000000001))/$B$5348)^(1/3)))/ABS(IF(ABS($E$6271)&gt;0.000000001,$E$6271,0.000000001))*$I$5359)</f>
        <v/>
      </c>
      <c r="E6307" s="19">
        <f>0.5*$E$6271+0.5*$Z$6326</f>
        <v/>
      </c>
      <c r="F6307" s="19">
        <f>$Z$6327</f>
        <v/>
      </c>
    </row>
    <row r="6308">
      <c r="D6308" s="19">
        <f>IF(ABS(IF(ABS($E$6272)&gt;0.000000001,$E$6272,0.000000001))=0,0,IF($E$5360&lt;=$B$5346,0,IF(ABS(IF(ABS($E$6272)&gt;0.000000001,$E$6272,0.000000001))&gt;=8*$B$5348,$H$5360,0.5*$H$5360*(ABS(IF(ABS($E$6272)&gt;0.000000001,$E$6272,0.000000001))/$B$5348)^(1/3)))/ABS(IF(ABS($E$6272)&gt;0.000000001,$E$6272,0.000000001))*$I$5360)</f>
        <v/>
      </c>
      <c r="E6308" s="19">
        <f>0.5*$E$6272+0.5*$Z$6328</f>
        <v/>
      </c>
      <c r="F6308" s="19">
        <f>$Z$6329</f>
        <v/>
      </c>
    </row>
    <row r="6309">
      <c r="D6309" s="19">
        <f>IF(ABS(IF(ABS($E$6273)&gt;0.000000001,$E$6273,0.000000001))=0,0,IF($E$5361&lt;=$B$5346,0,IF(ABS(IF(ABS($E$6273)&gt;0.000000001,$E$6273,0.000000001))&gt;=8*$B$5348,$H$5361,0.5*$H$5361*(ABS(IF(ABS($E$6273)&gt;0.000000001,$E$6273,0.000000001))/$B$5348)^(1/3)))/ABS(IF(ABS($E$6273)&gt;0.000000001,$E$6273,0.000000001))*$I$5361)</f>
        <v/>
      </c>
      <c r="E6309" s="19">
        <f>0.5*$E$6273+0.5*$Z$6330</f>
        <v/>
      </c>
      <c r="F6309" s="19">
        <f>$Z$6331</f>
        <v/>
      </c>
    </row>
    <row r="6310">
      <c r="D6310" s="19">
        <f>IF(ABS(IF(ABS($E$6274)&gt;0.000000001,$E$6274,0.000000001))=0,0,IF($E$5362&lt;=$B$5346,0,IF(ABS(IF(ABS($E$6274)&gt;0.000000001,$E$6274,0.000000001))&gt;=8*$B$5348,$H$5362,0.5*$H$5362*(ABS(IF(ABS($E$6274)&gt;0.000000001,$E$6274,0.000000001))/$B$5348)^(1/3)))/ABS(IF(ABS($E$6274)&gt;0.000000001,$E$6274,0.000000001))*$I$5362)</f>
        <v/>
      </c>
      <c r="E6310" s="19">
        <f>0.5*$E$6274+0.5*$Z$6332</f>
        <v/>
      </c>
      <c r="F6310" s="19">
        <f>$Z$6333</f>
        <v/>
      </c>
    </row>
    <row r="6312">
      <c r="D6312" s="21">
        <f>$B$5337+$D$6300</f>
        <v/>
      </c>
      <c r="E6312" s="21">
        <f>$B$5338</f>
        <v/>
      </c>
      <c r="F6312" s="21">
        <f>-$B$5337</f>
        <v/>
      </c>
      <c r="G6312" s="21">
        <f>$B$5338</f>
        <v/>
      </c>
      <c r="H6312" s="21" t="n">
        <v>0</v>
      </c>
      <c r="I6312" s="21" t="n">
        <v>0</v>
      </c>
      <c r="J6312" s="21" t="n">
        <v>0</v>
      </c>
      <c r="K6312" s="21" t="n">
        <v>0</v>
      </c>
      <c r="L6312" s="21" t="n">
        <v>0</v>
      </c>
      <c r="M6312" s="21" t="n">
        <v>0</v>
      </c>
      <c r="N6312" s="21" t="n">
        <v>0</v>
      </c>
      <c r="O6312" s="21" t="n">
        <v>0</v>
      </c>
      <c r="P6312" s="21" t="n">
        <v>0</v>
      </c>
      <c r="Q6312" s="21" t="n">
        <v>0</v>
      </c>
      <c r="R6312" s="21" t="n">
        <v>0</v>
      </c>
      <c r="S6312" s="21" t="n">
        <v>0</v>
      </c>
      <c r="T6312" s="21" t="n">
        <v>0</v>
      </c>
      <c r="U6312" s="21" t="n">
        <v>0</v>
      </c>
      <c r="V6312" s="21" t="n">
        <v>0</v>
      </c>
      <c r="W6312" s="21" t="n">
        <v>0</v>
      </c>
      <c r="X6312" s="21" t="n">
        <v>0</v>
      </c>
      <c r="Y6312" s="21" t="n">
        <v>0</v>
      </c>
      <c r="Z6312" s="19">
        <f t="array" ref="Z6312:Z6333">MMULT(MINVERSE($D$6312:$Y$6333),$D$5364:$D$5385)</f>
        <v/>
      </c>
    </row>
    <row r="6313">
      <c r="D6313" s="21">
        <f>$B$5338</f>
        <v/>
      </c>
      <c r="E6313" s="21">
        <f>$B$5339</f>
        <v/>
      </c>
      <c r="F6313" s="21">
        <f>-$B$5338</f>
        <v/>
      </c>
      <c r="G6313" s="21">
        <f>$B$5340</f>
        <v/>
      </c>
      <c r="H6313" s="21" t="n">
        <v>0</v>
      </c>
      <c r="I6313" s="21" t="n">
        <v>0</v>
      </c>
      <c r="J6313" s="21" t="n">
        <v>0</v>
      </c>
      <c r="K6313" s="21" t="n">
        <v>0</v>
      </c>
      <c r="L6313" s="21" t="n">
        <v>0</v>
      </c>
      <c r="M6313" s="21" t="n">
        <v>0</v>
      </c>
      <c r="N6313" s="21" t="n">
        <v>0</v>
      </c>
      <c r="O6313" s="21" t="n">
        <v>0</v>
      </c>
      <c r="P6313" s="21" t="n">
        <v>0</v>
      </c>
      <c r="Q6313" s="21" t="n">
        <v>0</v>
      </c>
      <c r="R6313" s="21" t="n">
        <v>0</v>
      </c>
      <c r="S6313" s="21" t="n">
        <v>0</v>
      </c>
      <c r="T6313" s="21" t="n">
        <v>0</v>
      </c>
      <c r="U6313" s="21" t="n">
        <v>0</v>
      </c>
      <c r="V6313" s="21" t="n">
        <v>0</v>
      </c>
      <c r="W6313" s="21" t="n">
        <v>0</v>
      </c>
      <c r="X6313" s="21" t="n">
        <v>0</v>
      </c>
      <c r="Y6313" s="21" t="n">
        <v>0</v>
      </c>
      <c r="Z6313" s="19" t="n"/>
    </row>
    <row r="6314">
      <c r="D6314" s="21">
        <f>-$B$5337</f>
        <v/>
      </c>
      <c r="E6314" s="21">
        <f>-$B$5338</f>
        <v/>
      </c>
      <c r="F6314" s="21">
        <f>2*$B$5337+$D$6301</f>
        <v/>
      </c>
      <c r="G6314" s="21">
        <f>0</f>
        <v/>
      </c>
      <c r="H6314" s="21">
        <f>-$B$5337</f>
        <v/>
      </c>
      <c r="I6314" s="21">
        <f>$B$5338</f>
        <v/>
      </c>
      <c r="J6314" s="21" t="n">
        <v>0</v>
      </c>
      <c r="K6314" s="21" t="n">
        <v>0</v>
      </c>
      <c r="L6314" s="21" t="n">
        <v>0</v>
      </c>
      <c r="M6314" s="21" t="n">
        <v>0</v>
      </c>
      <c r="N6314" s="21" t="n">
        <v>0</v>
      </c>
      <c r="O6314" s="21" t="n">
        <v>0</v>
      </c>
      <c r="P6314" s="21" t="n">
        <v>0</v>
      </c>
      <c r="Q6314" s="21" t="n">
        <v>0</v>
      </c>
      <c r="R6314" s="21" t="n">
        <v>0</v>
      </c>
      <c r="S6314" s="21" t="n">
        <v>0</v>
      </c>
      <c r="T6314" s="21" t="n">
        <v>0</v>
      </c>
      <c r="U6314" s="21" t="n">
        <v>0</v>
      </c>
      <c r="V6314" s="21" t="n">
        <v>0</v>
      </c>
      <c r="W6314" s="21" t="n">
        <v>0</v>
      </c>
      <c r="X6314" s="21" t="n">
        <v>0</v>
      </c>
      <c r="Y6314" s="21" t="n">
        <v>0</v>
      </c>
      <c r="Z6314" s="19" t="n"/>
    </row>
    <row r="6315">
      <c r="D6315" s="21">
        <f>$B$5338</f>
        <v/>
      </c>
      <c r="E6315" s="21">
        <f>$B$5340</f>
        <v/>
      </c>
      <c r="F6315" s="21">
        <f>0</f>
        <v/>
      </c>
      <c r="G6315" s="21">
        <f>2*$B$5339</f>
        <v/>
      </c>
      <c r="H6315" s="21">
        <f>-$B$5338</f>
        <v/>
      </c>
      <c r="I6315" s="21">
        <f>$B$5340</f>
        <v/>
      </c>
      <c r="J6315" s="21" t="n">
        <v>0</v>
      </c>
      <c r="K6315" s="21" t="n">
        <v>0</v>
      </c>
      <c r="L6315" s="21" t="n">
        <v>0</v>
      </c>
      <c r="M6315" s="21" t="n">
        <v>0</v>
      </c>
      <c r="N6315" s="21" t="n">
        <v>0</v>
      </c>
      <c r="O6315" s="21" t="n">
        <v>0</v>
      </c>
      <c r="P6315" s="21" t="n">
        <v>0</v>
      </c>
      <c r="Q6315" s="21" t="n">
        <v>0</v>
      </c>
      <c r="R6315" s="21" t="n">
        <v>0</v>
      </c>
      <c r="S6315" s="21" t="n">
        <v>0</v>
      </c>
      <c r="T6315" s="21" t="n">
        <v>0</v>
      </c>
      <c r="U6315" s="21" t="n">
        <v>0</v>
      </c>
      <c r="V6315" s="21" t="n">
        <v>0</v>
      </c>
      <c r="W6315" s="21" t="n">
        <v>0</v>
      </c>
      <c r="X6315" s="21" t="n">
        <v>0</v>
      </c>
      <c r="Y6315" s="21" t="n">
        <v>0</v>
      </c>
      <c r="Z6315" s="19" t="n"/>
    </row>
    <row r="6316">
      <c r="D6316" s="21" t="n">
        <v>0</v>
      </c>
      <c r="E6316" s="21" t="n">
        <v>0</v>
      </c>
      <c r="F6316" s="21">
        <f>-$B$5337</f>
        <v/>
      </c>
      <c r="G6316" s="21">
        <f>-$B$5338</f>
        <v/>
      </c>
      <c r="H6316" s="21">
        <f>2*$B$5337+$D$6302</f>
        <v/>
      </c>
      <c r="I6316" s="21">
        <f>0</f>
        <v/>
      </c>
      <c r="J6316" s="21">
        <f>-$B$5337</f>
        <v/>
      </c>
      <c r="K6316" s="21">
        <f>$B$5338</f>
        <v/>
      </c>
      <c r="L6316" s="21" t="n">
        <v>0</v>
      </c>
      <c r="M6316" s="21" t="n">
        <v>0</v>
      </c>
      <c r="N6316" s="21" t="n">
        <v>0</v>
      </c>
      <c r="O6316" s="21" t="n">
        <v>0</v>
      </c>
      <c r="P6316" s="21" t="n">
        <v>0</v>
      </c>
      <c r="Q6316" s="21" t="n">
        <v>0</v>
      </c>
      <c r="R6316" s="21" t="n">
        <v>0</v>
      </c>
      <c r="S6316" s="21" t="n">
        <v>0</v>
      </c>
      <c r="T6316" s="21" t="n">
        <v>0</v>
      </c>
      <c r="U6316" s="21" t="n">
        <v>0</v>
      </c>
      <c r="V6316" s="21" t="n">
        <v>0</v>
      </c>
      <c r="W6316" s="21" t="n">
        <v>0</v>
      </c>
      <c r="X6316" s="21" t="n">
        <v>0</v>
      </c>
      <c r="Y6316" s="21" t="n">
        <v>0</v>
      </c>
      <c r="Z6316" s="19" t="n"/>
    </row>
    <row r="6317">
      <c r="D6317" s="21" t="n">
        <v>0</v>
      </c>
      <c r="E6317" s="21" t="n">
        <v>0</v>
      </c>
      <c r="F6317" s="21">
        <f>$B$5338</f>
        <v/>
      </c>
      <c r="G6317" s="21">
        <f>$B$5340</f>
        <v/>
      </c>
      <c r="H6317" s="21">
        <f>0</f>
        <v/>
      </c>
      <c r="I6317" s="21">
        <f>2*$B$5339</f>
        <v/>
      </c>
      <c r="J6317" s="21">
        <f>-$B$5338</f>
        <v/>
      </c>
      <c r="K6317" s="21">
        <f>$B$5340</f>
        <v/>
      </c>
      <c r="L6317" s="21" t="n">
        <v>0</v>
      </c>
      <c r="M6317" s="21" t="n">
        <v>0</v>
      </c>
      <c r="N6317" s="21" t="n">
        <v>0</v>
      </c>
      <c r="O6317" s="21" t="n">
        <v>0</v>
      </c>
      <c r="P6317" s="21" t="n">
        <v>0</v>
      </c>
      <c r="Q6317" s="21" t="n">
        <v>0</v>
      </c>
      <c r="R6317" s="21" t="n">
        <v>0</v>
      </c>
      <c r="S6317" s="21" t="n">
        <v>0</v>
      </c>
      <c r="T6317" s="21" t="n">
        <v>0</v>
      </c>
      <c r="U6317" s="21" t="n">
        <v>0</v>
      </c>
      <c r="V6317" s="21" t="n">
        <v>0</v>
      </c>
      <c r="W6317" s="21" t="n">
        <v>0</v>
      </c>
      <c r="X6317" s="21" t="n">
        <v>0</v>
      </c>
      <c r="Y6317" s="21" t="n">
        <v>0</v>
      </c>
      <c r="Z6317" s="19" t="n"/>
    </row>
    <row r="6318">
      <c r="D6318" s="21" t="n">
        <v>0</v>
      </c>
      <c r="E6318" s="21" t="n">
        <v>0</v>
      </c>
      <c r="F6318" s="21" t="n">
        <v>0</v>
      </c>
      <c r="G6318" s="21" t="n">
        <v>0</v>
      </c>
      <c r="H6318" s="21">
        <f>-$B$5337</f>
        <v/>
      </c>
      <c r="I6318" s="21">
        <f>-$B$5338</f>
        <v/>
      </c>
      <c r="J6318" s="21">
        <f>2*$B$5337+$D$6303</f>
        <v/>
      </c>
      <c r="K6318" s="21">
        <f>0</f>
        <v/>
      </c>
      <c r="L6318" s="21">
        <f>-$B$5337</f>
        <v/>
      </c>
      <c r="M6318" s="21">
        <f>$B$5338</f>
        <v/>
      </c>
      <c r="N6318" s="21" t="n">
        <v>0</v>
      </c>
      <c r="O6318" s="21" t="n">
        <v>0</v>
      </c>
      <c r="P6318" s="21" t="n">
        <v>0</v>
      </c>
      <c r="Q6318" s="21" t="n">
        <v>0</v>
      </c>
      <c r="R6318" s="21" t="n">
        <v>0</v>
      </c>
      <c r="S6318" s="21" t="n">
        <v>0</v>
      </c>
      <c r="T6318" s="21" t="n">
        <v>0</v>
      </c>
      <c r="U6318" s="21" t="n">
        <v>0</v>
      </c>
      <c r="V6318" s="21" t="n">
        <v>0</v>
      </c>
      <c r="W6318" s="21" t="n">
        <v>0</v>
      </c>
      <c r="X6318" s="21" t="n">
        <v>0</v>
      </c>
      <c r="Y6318" s="21" t="n">
        <v>0</v>
      </c>
      <c r="Z6318" s="19" t="n"/>
    </row>
    <row r="6319">
      <c r="D6319" s="21" t="n">
        <v>0</v>
      </c>
      <c r="E6319" s="21" t="n">
        <v>0</v>
      </c>
      <c r="F6319" s="21" t="n">
        <v>0</v>
      </c>
      <c r="G6319" s="21" t="n">
        <v>0</v>
      </c>
      <c r="H6319" s="21">
        <f>$B$5338</f>
        <v/>
      </c>
      <c r="I6319" s="21">
        <f>$B$5340</f>
        <v/>
      </c>
      <c r="J6319" s="21">
        <f>0</f>
        <v/>
      </c>
      <c r="K6319" s="21">
        <f>2*$B$5339</f>
        <v/>
      </c>
      <c r="L6319" s="21">
        <f>-$B$5338</f>
        <v/>
      </c>
      <c r="M6319" s="21">
        <f>$B$5340</f>
        <v/>
      </c>
      <c r="N6319" s="21" t="n">
        <v>0</v>
      </c>
      <c r="O6319" s="21" t="n">
        <v>0</v>
      </c>
      <c r="P6319" s="21" t="n">
        <v>0</v>
      </c>
      <c r="Q6319" s="21" t="n">
        <v>0</v>
      </c>
      <c r="R6319" s="21" t="n">
        <v>0</v>
      </c>
      <c r="S6319" s="21" t="n">
        <v>0</v>
      </c>
      <c r="T6319" s="21" t="n">
        <v>0</v>
      </c>
      <c r="U6319" s="21" t="n">
        <v>0</v>
      </c>
      <c r="V6319" s="21" t="n">
        <v>0</v>
      </c>
      <c r="W6319" s="21" t="n">
        <v>0</v>
      </c>
      <c r="X6319" s="21" t="n">
        <v>0</v>
      </c>
      <c r="Y6319" s="21" t="n">
        <v>0</v>
      </c>
      <c r="Z6319" s="19" t="n"/>
    </row>
    <row r="6320">
      <c r="D6320" s="21" t="n">
        <v>0</v>
      </c>
      <c r="E6320" s="21" t="n">
        <v>0</v>
      </c>
      <c r="F6320" s="21" t="n">
        <v>0</v>
      </c>
      <c r="G6320" s="21" t="n">
        <v>0</v>
      </c>
      <c r="H6320" s="21" t="n">
        <v>0</v>
      </c>
      <c r="I6320" s="21" t="n">
        <v>0</v>
      </c>
      <c r="J6320" s="21">
        <f>-$B$5337</f>
        <v/>
      </c>
      <c r="K6320" s="21">
        <f>-$B$5338</f>
        <v/>
      </c>
      <c r="L6320" s="21">
        <f>2*$B$5337+$D$6304</f>
        <v/>
      </c>
      <c r="M6320" s="21">
        <f>0</f>
        <v/>
      </c>
      <c r="N6320" s="21">
        <f>-$B$5337</f>
        <v/>
      </c>
      <c r="O6320" s="21">
        <f>$B$5338</f>
        <v/>
      </c>
      <c r="P6320" s="21" t="n">
        <v>0</v>
      </c>
      <c r="Q6320" s="21" t="n">
        <v>0</v>
      </c>
      <c r="R6320" s="21" t="n">
        <v>0</v>
      </c>
      <c r="S6320" s="21" t="n">
        <v>0</v>
      </c>
      <c r="T6320" s="21" t="n">
        <v>0</v>
      </c>
      <c r="U6320" s="21" t="n">
        <v>0</v>
      </c>
      <c r="V6320" s="21" t="n">
        <v>0</v>
      </c>
      <c r="W6320" s="21" t="n">
        <v>0</v>
      </c>
      <c r="X6320" s="21" t="n">
        <v>0</v>
      </c>
      <c r="Y6320" s="21" t="n">
        <v>0</v>
      </c>
      <c r="Z6320" s="19" t="n"/>
    </row>
    <row r="6321">
      <c r="D6321" s="21" t="n">
        <v>0</v>
      </c>
      <c r="E6321" s="21" t="n">
        <v>0</v>
      </c>
      <c r="F6321" s="21" t="n">
        <v>0</v>
      </c>
      <c r="G6321" s="21" t="n">
        <v>0</v>
      </c>
      <c r="H6321" s="21" t="n">
        <v>0</v>
      </c>
      <c r="I6321" s="21" t="n">
        <v>0</v>
      </c>
      <c r="J6321" s="21">
        <f>$B$5338</f>
        <v/>
      </c>
      <c r="K6321" s="21">
        <f>$B$5340</f>
        <v/>
      </c>
      <c r="L6321" s="21">
        <f>0</f>
        <v/>
      </c>
      <c r="M6321" s="21">
        <f>2*$B$5339</f>
        <v/>
      </c>
      <c r="N6321" s="21">
        <f>-$B$5338</f>
        <v/>
      </c>
      <c r="O6321" s="21">
        <f>$B$5340</f>
        <v/>
      </c>
      <c r="P6321" s="21" t="n">
        <v>0</v>
      </c>
      <c r="Q6321" s="21" t="n">
        <v>0</v>
      </c>
      <c r="R6321" s="21" t="n">
        <v>0</v>
      </c>
      <c r="S6321" s="21" t="n">
        <v>0</v>
      </c>
      <c r="T6321" s="21" t="n">
        <v>0</v>
      </c>
      <c r="U6321" s="21" t="n">
        <v>0</v>
      </c>
      <c r="V6321" s="21" t="n">
        <v>0</v>
      </c>
      <c r="W6321" s="21" t="n">
        <v>0</v>
      </c>
      <c r="X6321" s="21" t="n">
        <v>0</v>
      </c>
      <c r="Y6321" s="21" t="n">
        <v>0</v>
      </c>
      <c r="Z6321" s="19" t="n"/>
    </row>
    <row r="6322">
      <c r="D6322" s="21" t="n">
        <v>0</v>
      </c>
      <c r="E6322" s="21" t="n">
        <v>0</v>
      </c>
      <c r="F6322" s="21" t="n">
        <v>0</v>
      </c>
      <c r="G6322" s="21" t="n">
        <v>0</v>
      </c>
      <c r="H6322" s="21" t="n">
        <v>0</v>
      </c>
      <c r="I6322" s="21" t="n">
        <v>0</v>
      </c>
      <c r="J6322" s="21" t="n">
        <v>0</v>
      </c>
      <c r="K6322" s="21" t="n">
        <v>0</v>
      </c>
      <c r="L6322" s="21">
        <f>-$B$5337</f>
        <v/>
      </c>
      <c r="M6322" s="21">
        <f>-$B$5338</f>
        <v/>
      </c>
      <c r="N6322" s="21">
        <f>2*$B$5337+$D$6305</f>
        <v/>
      </c>
      <c r="O6322" s="21">
        <f>0</f>
        <v/>
      </c>
      <c r="P6322" s="21">
        <f>-$B$5337</f>
        <v/>
      </c>
      <c r="Q6322" s="21">
        <f>$B$5338</f>
        <v/>
      </c>
      <c r="R6322" s="21" t="n">
        <v>0</v>
      </c>
      <c r="S6322" s="21" t="n">
        <v>0</v>
      </c>
      <c r="T6322" s="21" t="n">
        <v>0</v>
      </c>
      <c r="U6322" s="21" t="n">
        <v>0</v>
      </c>
      <c r="V6322" s="21" t="n">
        <v>0</v>
      </c>
      <c r="W6322" s="21" t="n">
        <v>0</v>
      </c>
      <c r="X6322" s="21" t="n">
        <v>0</v>
      </c>
      <c r="Y6322" s="21" t="n">
        <v>0</v>
      </c>
      <c r="Z6322" s="19" t="n"/>
    </row>
    <row r="6323">
      <c r="D6323" s="21" t="n">
        <v>0</v>
      </c>
      <c r="E6323" s="21" t="n">
        <v>0</v>
      </c>
      <c r="F6323" s="21" t="n">
        <v>0</v>
      </c>
      <c r="G6323" s="21" t="n">
        <v>0</v>
      </c>
      <c r="H6323" s="21" t="n">
        <v>0</v>
      </c>
      <c r="I6323" s="21" t="n">
        <v>0</v>
      </c>
      <c r="J6323" s="21" t="n">
        <v>0</v>
      </c>
      <c r="K6323" s="21" t="n">
        <v>0</v>
      </c>
      <c r="L6323" s="21">
        <f>$B$5338</f>
        <v/>
      </c>
      <c r="M6323" s="21">
        <f>$B$5340</f>
        <v/>
      </c>
      <c r="N6323" s="21">
        <f>0</f>
        <v/>
      </c>
      <c r="O6323" s="21">
        <f>2*$B$5339</f>
        <v/>
      </c>
      <c r="P6323" s="21">
        <f>-$B$5338</f>
        <v/>
      </c>
      <c r="Q6323" s="21">
        <f>$B$5340</f>
        <v/>
      </c>
      <c r="R6323" s="21" t="n">
        <v>0</v>
      </c>
      <c r="S6323" s="21" t="n">
        <v>0</v>
      </c>
      <c r="T6323" s="21" t="n">
        <v>0</v>
      </c>
      <c r="U6323" s="21" t="n">
        <v>0</v>
      </c>
      <c r="V6323" s="21" t="n">
        <v>0</v>
      </c>
      <c r="W6323" s="21" t="n">
        <v>0</v>
      </c>
      <c r="X6323" s="21" t="n">
        <v>0</v>
      </c>
      <c r="Y6323" s="21" t="n">
        <v>0</v>
      </c>
      <c r="Z6323" s="19" t="n"/>
    </row>
    <row r="6324">
      <c r="D6324" s="21" t="n">
        <v>0</v>
      </c>
      <c r="E6324" s="21" t="n">
        <v>0</v>
      </c>
      <c r="F6324" s="21" t="n">
        <v>0</v>
      </c>
      <c r="G6324" s="21" t="n">
        <v>0</v>
      </c>
      <c r="H6324" s="21" t="n">
        <v>0</v>
      </c>
      <c r="I6324" s="21" t="n">
        <v>0</v>
      </c>
      <c r="J6324" s="21" t="n">
        <v>0</v>
      </c>
      <c r="K6324" s="21" t="n">
        <v>0</v>
      </c>
      <c r="L6324" s="21" t="n">
        <v>0</v>
      </c>
      <c r="M6324" s="21" t="n">
        <v>0</v>
      </c>
      <c r="N6324" s="21">
        <f>-$B$5337</f>
        <v/>
      </c>
      <c r="O6324" s="21">
        <f>-$B$5338</f>
        <v/>
      </c>
      <c r="P6324" s="21">
        <f>2*$B$5337+$D$6306</f>
        <v/>
      </c>
      <c r="Q6324" s="21">
        <f>0</f>
        <v/>
      </c>
      <c r="R6324" s="21">
        <f>-$B$5337</f>
        <v/>
      </c>
      <c r="S6324" s="21">
        <f>$B$5338</f>
        <v/>
      </c>
      <c r="T6324" s="21" t="n">
        <v>0</v>
      </c>
      <c r="U6324" s="21" t="n">
        <v>0</v>
      </c>
      <c r="V6324" s="21" t="n">
        <v>0</v>
      </c>
      <c r="W6324" s="21" t="n">
        <v>0</v>
      </c>
      <c r="X6324" s="21" t="n">
        <v>0</v>
      </c>
      <c r="Y6324" s="21" t="n">
        <v>0</v>
      </c>
      <c r="Z6324" s="19" t="n"/>
    </row>
    <row r="6325">
      <c r="D6325" s="21" t="n">
        <v>0</v>
      </c>
      <c r="E6325" s="21" t="n">
        <v>0</v>
      </c>
      <c r="F6325" s="21" t="n">
        <v>0</v>
      </c>
      <c r="G6325" s="21" t="n">
        <v>0</v>
      </c>
      <c r="H6325" s="21" t="n">
        <v>0</v>
      </c>
      <c r="I6325" s="21" t="n">
        <v>0</v>
      </c>
      <c r="J6325" s="21" t="n">
        <v>0</v>
      </c>
      <c r="K6325" s="21" t="n">
        <v>0</v>
      </c>
      <c r="L6325" s="21" t="n">
        <v>0</v>
      </c>
      <c r="M6325" s="21" t="n">
        <v>0</v>
      </c>
      <c r="N6325" s="21">
        <f>$B$5338</f>
        <v/>
      </c>
      <c r="O6325" s="21">
        <f>$B$5340</f>
        <v/>
      </c>
      <c r="P6325" s="21">
        <f>0</f>
        <v/>
      </c>
      <c r="Q6325" s="21">
        <f>2*$B$5339</f>
        <v/>
      </c>
      <c r="R6325" s="21">
        <f>-$B$5338</f>
        <v/>
      </c>
      <c r="S6325" s="21">
        <f>$B$5340</f>
        <v/>
      </c>
      <c r="T6325" s="21" t="n">
        <v>0</v>
      </c>
      <c r="U6325" s="21" t="n">
        <v>0</v>
      </c>
      <c r="V6325" s="21" t="n">
        <v>0</v>
      </c>
      <c r="W6325" s="21" t="n">
        <v>0</v>
      </c>
      <c r="X6325" s="21" t="n">
        <v>0</v>
      </c>
      <c r="Y6325" s="21" t="n">
        <v>0</v>
      </c>
      <c r="Z6325" s="19" t="n"/>
    </row>
    <row r="6326">
      <c r="D6326" s="21" t="n">
        <v>0</v>
      </c>
      <c r="E6326" s="21" t="n">
        <v>0</v>
      </c>
      <c r="F6326" s="21" t="n">
        <v>0</v>
      </c>
      <c r="G6326" s="21" t="n">
        <v>0</v>
      </c>
      <c r="H6326" s="21" t="n">
        <v>0</v>
      </c>
      <c r="I6326" s="21" t="n">
        <v>0</v>
      </c>
      <c r="J6326" s="21" t="n">
        <v>0</v>
      </c>
      <c r="K6326" s="21" t="n">
        <v>0</v>
      </c>
      <c r="L6326" s="21" t="n">
        <v>0</v>
      </c>
      <c r="M6326" s="21" t="n">
        <v>0</v>
      </c>
      <c r="N6326" s="21" t="n">
        <v>0</v>
      </c>
      <c r="O6326" s="21" t="n">
        <v>0</v>
      </c>
      <c r="P6326" s="21">
        <f>-$B$5337</f>
        <v/>
      </c>
      <c r="Q6326" s="21">
        <f>-$B$5338</f>
        <v/>
      </c>
      <c r="R6326" s="21">
        <f>2*$B$5337+$D$6307</f>
        <v/>
      </c>
      <c r="S6326" s="21">
        <f>0</f>
        <v/>
      </c>
      <c r="T6326" s="21">
        <f>-$B$5337</f>
        <v/>
      </c>
      <c r="U6326" s="21">
        <f>$B$5338</f>
        <v/>
      </c>
      <c r="V6326" s="21" t="n">
        <v>0</v>
      </c>
      <c r="W6326" s="21" t="n">
        <v>0</v>
      </c>
      <c r="X6326" s="21" t="n">
        <v>0</v>
      </c>
      <c r="Y6326" s="21" t="n">
        <v>0</v>
      </c>
      <c r="Z6326" s="19" t="n"/>
    </row>
    <row r="6327">
      <c r="D6327" s="21" t="n">
        <v>0</v>
      </c>
      <c r="E6327" s="21" t="n">
        <v>0</v>
      </c>
      <c r="F6327" s="21" t="n">
        <v>0</v>
      </c>
      <c r="G6327" s="21" t="n">
        <v>0</v>
      </c>
      <c r="H6327" s="21" t="n">
        <v>0</v>
      </c>
      <c r="I6327" s="21" t="n">
        <v>0</v>
      </c>
      <c r="J6327" s="21" t="n">
        <v>0</v>
      </c>
      <c r="K6327" s="21" t="n">
        <v>0</v>
      </c>
      <c r="L6327" s="21" t="n">
        <v>0</v>
      </c>
      <c r="M6327" s="21" t="n">
        <v>0</v>
      </c>
      <c r="N6327" s="21" t="n">
        <v>0</v>
      </c>
      <c r="O6327" s="21" t="n">
        <v>0</v>
      </c>
      <c r="P6327" s="21">
        <f>$B$5338</f>
        <v/>
      </c>
      <c r="Q6327" s="21">
        <f>$B$5340</f>
        <v/>
      </c>
      <c r="R6327" s="21">
        <f>0</f>
        <v/>
      </c>
      <c r="S6327" s="21">
        <f>2*$B$5339</f>
        <v/>
      </c>
      <c r="T6327" s="21">
        <f>-$B$5338</f>
        <v/>
      </c>
      <c r="U6327" s="21">
        <f>$B$5340</f>
        <v/>
      </c>
      <c r="V6327" s="21" t="n">
        <v>0</v>
      </c>
      <c r="W6327" s="21" t="n">
        <v>0</v>
      </c>
      <c r="X6327" s="21" t="n">
        <v>0</v>
      </c>
      <c r="Y6327" s="21" t="n">
        <v>0</v>
      </c>
      <c r="Z6327" s="19" t="n"/>
    </row>
    <row r="6328">
      <c r="D6328" s="21" t="n">
        <v>0</v>
      </c>
      <c r="E6328" s="21" t="n">
        <v>0</v>
      </c>
      <c r="F6328" s="21" t="n">
        <v>0</v>
      </c>
      <c r="G6328" s="21" t="n">
        <v>0</v>
      </c>
      <c r="H6328" s="21" t="n">
        <v>0</v>
      </c>
      <c r="I6328" s="21" t="n">
        <v>0</v>
      </c>
      <c r="J6328" s="21" t="n">
        <v>0</v>
      </c>
      <c r="K6328" s="21" t="n">
        <v>0</v>
      </c>
      <c r="L6328" s="21" t="n">
        <v>0</v>
      </c>
      <c r="M6328" s="21" t="n">
        <v>0</v>
      </c>
      <c r="N6328" s="21" t="n">
        <v>0</v>
      </c>
      <c r="O6328" s="21" t="n">
        <v>0</v>
      </c>
      <c r="P6328" s="21" t="n">
        <v>0</v>
      </c>
      <c r="Q6328" s="21" t="n">
        <v>0</v>
      </c>
      <c r="R6328" s="21">
        <f>-$B$5337</f>
        <v/>
      </c>
      <c r="S6328" s="21">
        <f>-$B$5338</f>
        <v/>
      </c>
      <c r="T6328" s="21">
        <f>2*$B$5337+$D$6308</f>
        <v/>
      </c>
      <c r="U6328" s="21">
        <f>0</f>
        <v/>
      </c>
      <c r="V6328" s="21">
        <f>-$B$5337</f>
        <v/>
      </c>
      <c r="W6328" s="21">
        <f>$B$5338</f>
        <v/>
      </c>
      <c r="X6328" s="21" t="n">
        <v>0</v>
      </c>
      <c r="Y6328" s="21" t="n">
        <v>0</v>
      </c>
      <c r="Z6328" s="19" t="n"/>
    </row>
    <row r="6329">
      <c r="D6329" s="21" t="n">
        <v>0</v>
      </c>
      <c r="E6329" s="21" t="n">
        <v>0</v>
      </c>
      <c r="F6329" s="21" t="n">
        <v>0</v>
      </c>
      <c r="G6329" s="21" t="n">
        <v>0</v>
      </c>
      <c r="H6329" s="21" t="n">
        <v>0</v>
      </c>
      <c r="I6329" s="21" t="n">
        <v>0</v>
      </c>
      <c r="J6329" s="21" t="n">
        <v>0</v>
      </c>
      <c r="K6329" s="21" t="n">
        <v>0</v>
      </c>
      <c r="L6329" s="21" t="n">
        <v>0</v>
      </c>
      <c r="M6329" s="21" t="n">
        <v>0</v>
      </c>
      <c r="N6329" s="21" t="n">
        <v>0</v>
      </c>
      <c r="O6329" s="21" t="n">
        <v>0</v>
      </c>
      <c r="P6329" s="21" t="n">
        <v>0</v>
      </c>
      <c r="Q6329" s="21" t="n">
        <v>0</v>
      </c>
      <c r="R6329" s="21">
        <f>$B$5338</f>
        <v/>
      </c>
      <c r="S6329" s="21">
        <f>$B$5340</f>
        <v/>
      </c>
      <c r="T6329" s="21">
        <f>0</f>
        <v/>
      </c>
      <c r="U6329" s="21">
        <f>2*$B$5339</f>
        <v/>
      </c>
      <c r="V6329" s="21">
        <f>-$B$5338</f>
        <v/>
      </c>
      <c r="W6329" s="21">
        <f>$B$5340</f>
        <v/>
      </c>
      <c r="X6329" s="21" t="n">
        <v>0</v>
      </c>
      <c r="Y6329" s="21" t="n">
        <v>0</v>
      </c>
      <c r="Z6329" s="19" t="n"/>
    </row>
    <row r="6330">
      <c r="D6330" s="21" t="n">
        <v>0</v>
      </c>
      <c r="E6330" s="21" t="n">
        <v>0</v>
      </c>
      <c r="F6330" s="21" t="n">
        <v>0</v>
      </c>
      <c r="G6330" s="21" t="n">
        <v>0</v>
      </c>
      <c r="H6330" s="21" t="n">
        <v>0</v>
      </c>
      <c r="I6330" s="21" t="n">
        <v>0</v>
      </c>
      <c r="J6330" s="21" t="n">
        <v>0</v>
      </c>
      <c r="K6330" s="21" t="n">
        <v>0</v>
      </c>
      <c r="L6330" s="21" t="n">
        <v>0</v>
      </c>
      <c r="M6330" s="21" t="n">
        <v>0</v>
      </c>
      <c r="N6330" s="21" t="n">
        <v>0</v>
      </c>
      <c r="O6330" s="21" t="n">
        <v>0</v>
      </c>
      <c r="P6330" s="21" t="n">
        <v>0</v>
      </c>
      <c r="Q6330" s="21" t="n">
        <v>0</v>
      </c>
      <c r="R6330" s="21" t="n">
        <v>0</v>
      </c>
      <c r="S6330" s="21" t="n">
        <v>0</v>
      </c>
      <c r="T6330" s="21">
        <f>-$B$5337</f>
        <v/>
      </c>
      <c r="U6330" s="21">
        <f>-$B$5338</f>
        <v/>
      </c>
      <c r="V6330" s="21">
        <f>2*$B$5337+$D$6309</f>
        <v/>
      </c>
      <c r="W6330" s="21">
        <f>0</f>
        <v/>
      </c>
      <c r="X6330" s="21">
        <f>-$B$5337</f>
        <v/>
      </c>
      <c r="Y6330" s="21">
        <f>$B$5338</f>
        <v/>
      </c>
      <c r="Z6330" s="19" t="n"/>
    </row>
    <row r="6331">
      <c r="D6331" s="21" t="n">
        <v>0</v>
      </c>
      <c r="E6331" s="21" t="n">
        <v>0</v>
      </c>
      <c r="F6331" s="21" t="n">
        <v>0</v>
      </c>
      <c r="G6331" s="21" t="n">
        <v>0</v>
      </c>
      <c r="H6331" s="21" t="n">
        <v>0</v>
      </c>
      <c r="I6331" s="21" t="n">
        <v>0</v>
      </c>
      <c r="J6331" s="21" t="n">
        <v>0</v>
      </c>
      <c r="K6331" s="21" t="n">
        <v>0</v>
      </c>
      <c r="L6331" s="21" t="n">
        <v>0</v>
      </c>
      <c r="M6331" s="21" t="n">
        <v>0</v>
      </c>
      <c r="N6331" s="21" t="n">
        <v>0</v>
      </c>
      <c r="O6331" s="21" t="n">
        <v>0</v>
      </c>
      <c r="P6331" s="21" t="n">
        <v>0</v>
      </c>
      <c r="Q6331" s="21" t="n">
        <v>0</v>
      </c>
      <c r="R6331" s="21" t="n">
        <v>0</v>
      </c>
      <c r="S6331" s="21" t="n">
        <v>0</v>
      </c>
      <c r="T6331" s="21">
        <f>$B$5338</f>
        <v/>
      </c>
      <c r="U6331" s="21">
        <f>$B$5340</f>
        <v/>
      </c>
      <c r="V6331" s="21">
        <f>0</f>
        <v/>
      </c>
      <c r="W6331" s="21">
        <f>2*$B$5339</f>
        <v/>
      </c>
      <c r="X6331" s="21">
        <f>-$B$5338</f>
        <v/>
      </c>
      <c r="Y6331" s="21">
        <f>$B$5340</f>
        <v/>
      </c>
      <c r="Z6331" s="19" t="n"/>
    </row>
    <row r="6332">
      <c r="D6332" s="21" t="n">
        <v>0</v>
      </c>
      <c r="E6332" s="21" t="n">
        <v>0</v>
      </c>
      <c r="F6332" s="21" t="n">
        <v>0</v>
      </c>
      <c r="G6332" s="21" t="n">
        <v>0</v>
      </c>
      <c r="H6332" s="21" t="n">
        <v>0</v>
      </c>
      <c r="I6332" s="21" t="n">
        <v>0</v>
      </c>
      <c r="J6332" s="21" t="n">
        <v>0</v>
      </c>
      <c r="K6332" s="21" t="n">
        <v>0</v>
      </c>
      <c r="L6332" s="21" t="n">
        <v>0</v>
      </c>
      <c r="M6332" s="21" t="n">
        <v>0</v>
      </c>
      <c r="N6332" s="21" t="n">
        <v>0</v>
      </c>
      <c r="O6332" s="21" t="n">
        <v>0</v>
      </c>
      <c r="P6332" s="21" t="n">
        <v>0</v>
      </c>
      <c r="Q6332" s="21" t="n">
        <v>0</v>
      </c>
      <c r="R6332" s="21" t="n">
        <v>0</v>
      </c>
      <c r="S6332" s="21" t="n">
        <v>0</v>
      </c>
      <c r="T6332" s="21" t="n">
        <v>0</v>
      </c>
      <c r="U6332" s="21" t="n">
        <v>0</v>
      </c>
      <c r="V6332" s="21">
        <f>-$B$5337</f>
        <v/>
      </c>
      <c r="W6332" s="21">
        <f>-$B$5338</f>
        <v/>
      </c>
      <c r="X6332" s="21">
        <f>$B$5337+$D$6310</f>
        <v/>
      </c>
      <c r="Y6332" s="21">
        <f>-$B$5338</f>
        <v/>
      </c>
      <c r="Z6332" s="19" t="n"/>
    </row>
    <row r="6333">
      <c r="D6333" s="21" t="n">
        <v>0</v>
      </c>
      <c r="E6333" s="21" t="n">
        <v>0</v>
      </c>
      <c r="F6333" s="21" t="n">
        <v>0</v>
      </c>
      <c r="G6333" s="21" t="n">
        <v>0</v>
      </c>
      <c r="H6333" s="21" t="n">
        <v>0</v>
      </c>
      <c r="I6333" s="21" t="n">
        <v>0</v>
      </c>
      <c r="J6333" s="21" t="n">
        <v>0</v>
      </c>
      <c r="K6333" s="21" t="n">
        <v>0</v>
      </c>
      <c r="L6333" s="21" t="n">
        <v>0</v>
      </c>
      <c r="M6333" s="21" t="n">
        <v>0</v>
      </c>
      <c r="N6333" s="21" t="n">
        <v>0</v>
      </c>
      <c r="O6333" s="21" t="n">
        <v>0</v>
      </c>
      <c r="P6333" s="21" t="n">
        <v>0</v>
      </c>
      <c r="Q6333" s="21" t="n">
        <v>0</v>
      </c>
      <c r="R6333" s="21" t="n">
        <v>0</v>
      </c>
      <c r="S6333" s="21" t="n">
        <v>0</v>
      </c>
      <c r="T6333" s="21" t="n">
        <v>0</v>
      </c>
      <c r="U6333" s="21" t="n">
        <v>0</v>
      </c>
      <c r="V6333" s="21">
        <f>$B$5338</f>
        <v/>
      </c>
      <c r="W6333" s="21">
        <f>$B$5340</f>
        <v/>
      </c>
      <c r="X6333" s="21">
        <f>-$B$5338</f>
        <v/>
      </c>
      <c r="Y6333" s="21">
        <f>$B$5339</f>
        <v/>
      </c>
      <c r="Z6333" s="19" t="n"/>
    </row>
    <row r="6335">
      <c r="A6335" s="8" t="inlineStr">
        <is>
          <t>gen 27</t>
        </is>
      </c>
    </row>
    <row r="6336">
      <c r="D6336" s="19">
        <f>IF(ABS(IF(ABS($E$6300)&gt;0.000000001,$E$6300,0.000000001))=0,0,IF($E$5352&lt;=$B$5346,0,IF(ABS(IF(ABS($E$6300)&gt;0.000000001,$E$6300,0.000000001))&gt;=8*$B$5348,$H$5352,0.5*$H$5352*(ABS(IF(ABS($E$6300)&gt;0.000000001,$E$6300,0.000000001))/$B$5348)^(1/3)))/ABS(IF(ABS($E$6300)&gt;0.000000001,$E$6300,0.000000001))*$I$5352)</f>
        <v/>
      </c>
      <c r="E6336" s="19">
        <f>0.5*$E$6300+0.5*$Z$6348</f>
        <v/>
      </c>
      <c r="F6336" s="19">
        <f>$Z$6349</f>
        <v/>
      </c>
    </row>
    <row r="6337">
      <c r="D6337" s="19">
        <f>IF(ABS(IF(ABS($E$6301)&gt;0.000000001,$E$6301,0.000000001))=0,0,IF($E$5353&lt;=$B$5346,0,IF(ABS(IF(ABS($E$6301)&gt;0.000000001,$E$6301,0.000000001))&gt;=8*$B$5348,$H$5353,0.5*$H$5353*(ABS(IF(ABS($E$6301)&gt;0.000000001,$E$6301,0.000000001))/$B$5348)^(1/3)))/ABS(IF(ABS($E$6301)&gt;0.000000001,$E$6301,0.000000001))*$I$5353)</f>
        <v/>
      </c>
      <c r="E6337" s="19">
        <f>0.5*$E$6301+0.5*$Z$6350</f>
        <v/>
      </c>
      <c r="F6337" s="19">
        <f>$Z$6351</f>
        <v/>
      </c>
    </row>
    <row r="6338">
      <c r="D6338" s="19">
        <f>IF(ABS(IF(ABS($E$6302)&gt;0.000000001,$E$6302,0.000000001))=0,0,IF($E$5354&lt;=$B$5346,0,IF(ABS(IF(ABS($E$6302)&gt;0.000000001,$E$6302,0.000000001))&gt;=8*$B$5348,$H$5354,0.5*$H$5354*(ABS(IF(ABS($E$6302)&gt;0.000000001,$E$6302,0.000000001))/$B$5348)^(1/3)))/ABS(IF(ABS($E$6302)&gt;0.000000001,$E$6302,0.000000001))*$I$5354)</f>
        <v/>
      </c>
      <c r="E6338" s="19">
        <f>0.5*$E$6302+0.5*$Z$6352</f>
        <v/>
      </c>
      <c r="F6338" s="19">
        <f>$Z$6353</f>
        <v/>
      </c>
    </row>
    <row r="6339">
      <c r="D6339" s="19">
        <f>IF(ABS(IF(ABS($E$6303)&gt;0.000000001,$E$6303,0.000000001))=0,0,IF($E$5355&lt;=$B$5346,0,IF(ABS(IF(ABS($E$6303)&gt;0.000000001,$E$6303,0.000000001))&gt;=8*$B$5348,$H$5355,0.5*$H$5355*(ABS(IF(ABS($E$6303)&gt;0.000000001,$E$6303,0.000000001))/$B$5348)^(1/3)))/ABS(IF(ABS($E$6303)&gt;0.000000001,$E$6303,0.000000001))*$I$5355)</f>
        <v/>
      </c>
      <c r="E6339" s="19">
        <f>0.5*$E$6303+0.5*$Z$6354</f>
        <v/>
      </c>
      <c r="F6339" s="19">
        <f>$Z$6355</f>
        <v/>
      </c>
    </row>
    <row r="6340">
      <c r="D6340" s="19">
        <f>IF(ABS(IF(ABS($E$6304)&gt;0.000000001,$E$6304,0.000000001))=0,0,IF($E$5356&lt;=$B$5346,0,IF(ABS(IF(ABS($E$6304)&gt;0.000000001,$E$6304,0.000000001))&gt;=8*$B$5348,$H$5356,0.5*$H$5356*(ABS(IF(ABS($E$6304)&gt;0.000000001,$E$6304,0.000000001))/$B$5348)^(1/3)))/ABS(IF(ABS($E$6304)&gt;0.000000001,$E$6304,0.000000001))*$I$5356)</f>
        <v/>
      </c>
      <c r="E6340" s="19">
        <f>0.5*$E$6304+0.5*$Z$6356</f>
        <v/>
      </c>
      <c r="F6340" s="19">
        <f>$Z$6357</f>
        <v/>
      </c>
    </row>
    <row r="6341">
      <c r="D6341" s="19">
        <f>IF(ABS(IF(ABS($E$6305)&gt;0.000000001,$E$6305,0.000000001))=0,0,IF($E$5357&lt;=$B$5346,0,IF(ABS(IF(ABS($E$6305)&gt;0.000000001,$E$6305,0.000000001))&gt;=8*$B$5348,$H$5357,0.5*$H$5357*(ABS(IF(ABS($E$6305)&gt;0.000000001,$E$6305,0.000000001))/$B$5348)^(1/3)))/ABS(IF(ABS($E$6305)&gt;0.000000001,$E$6305,0.000000001))*$I$5357)</f>
        <v/>
      </c>
      <c r="E6341" s="19">
        <f>0.5*$E$6305+0.5*$Z$6358</f>
        <v/>
      </c>
      <c r="F6341" s="19">
        <f>$Z$6359</f>
        <v/>
      </c>
    </row>
    <row r="6342">
      <c r="D6342" s="19">
        <f>IF(ABS(IF(ABS($E$6306)&gt;0.000000001,$E$6306,0.000000001))=0,0,IF($E$5358&lt;=$B$5346,0,IF(ABS(IF(ABS($E$6306)&gt;0.000000001,$E$6306,0.000000001))&gt;=8*$B$5348,$H$5358,0.5*$H$5358*(ABS(IF(ABS($E$6306)&gt;0.000000001,$E$6306,0.000000001))/$B$5348)^(1/3)))/ABS(IF(ABS($E$6306)&gt;0.000000001,$E$6306,0.000000001))*$I$5358)</f>
        <v/>
      </c>
      <c r="E6342" s="19">
        <f>0.5*$E$6306+0.5*$Z$6360</f>
        <v/>
      </c>
      <c r="F6342" s="19">
        <f>$Z$6361</f>
        <v/>
      </c>
    </row>
    <row r="6343">
      <c r="D6343" s="19">
        <f>IF(ABS(IF(ABS($E$6307)&gt;0.000000001,$E$6307,0.000000001))=0,0,IF($E$5359&lt;=$B$5346,0,IF(ABS(IF(ABS($E$6307)&gt;0.000000001,$E$6307,0.000000001))&gt;=8*$B$5348,$H$5359,0.5*$H$5359*(ABS(IF(ABS($E$6307)&gt;0.000000001,$E$6307,0.000000001))/$B$5348)^(1/3)))/ABS(IF(ABS($E$6307)&gt;0.000000001,$E$6307,0.000000001))*$I$5359)</f>
        <v/>
      </c>
      <c r="E6343" s="19">
        <f>0.5*$E$6307+0.5*$Z$6362</f>
        <v/>
      </c>
      <c r="F6343" s="19">
        <f>$Z$6363</f>
        <v/>
      </c>
    </row>
    <row r="6344">
      <c r="D6344" s="19">
        <f>IF(ABS(IF(ABS($E$6308)&gt;0.000000001,$E$6308,0.000000001))=0,0,IF($E$5360&lt;=$B$5346,0,IF(ABS(IF(ABS($E$6308)&gt;0.000000001,$E$6308,0.000000001))&gt;=8*$B$5348,$H$5360,0.5*$H$5360*(ABS(IF(ABS($E$6308)&gt;0.000000001,$E$6308,0.000000001))/$B$5348)^(1/3)))/ABS(IF(ABS($E$6308)&gt;0.000000001,$E$6308,0.000000001))*$I$5360)</f>
        <v/>
      </c>
      <c r="E6344" s="19">
        <f>0.5*$E$6308+0.5*$Z$6364</f>
        <v/>
      </c>
      <c r="F6344" s="19">
        <f>$Z$6365</f>
        <v/>
      </c>
    </row>
    <row r="6345">
      <c r="D6345" s="19">
        <f>IF(ABS(IF(ABS($E$6309)&gt;0.000000001,$E$6309,0.000000001))=0,0,IF($E$5361&lt;=$B$5346,0,IF(ABS(IF(ABS($E$6309)&gt;0.000000001,$E$6309,0.000000001))&gt;=8*$B$5348,$H$5361,0.5*$H$5361*(ABS(IF(ABS($E$6309)&gt;0.000000001,$E$6309,0.000000001))/$B$5348)^(1/3)))/ABS(IF(ABS($E$6309)&gt;0.000000001,$E$6309,0.000000001))*$I$5361)</f>
        <v/>
      </c>
      <c r="E6345" s="19">
        <f>0.5*$E$6309+0.5*$Z$6366</f>
        <v/>
      </c>
      <c r="F6345" s="19">
        <f>$Z$6367</f>
        <v/>
      </c>
    </row>
    <row r="6346">
      <c r="D6346" s="19">
        <f>IF(ABS(IF(ABS($E$6310)&gt;0.000000001,$E$6310,0.000000001))=0,0,IF($E$5362&lt;=$B$5346,0,IF(ABS(IF(ABS($E$6310)&gt;0.000000001,$E$6310,0.000000001))&gt;=8*$B$5348,$H$5362,0.5*$H$5362*(ABS(IF(ABS($E$6310)&gt;0.000000001,$E$6310,0.000000001))/$B$5348)^(1/3)))/ABS(IF(ABS($E$6310)&gt;0.000000001,$E$6310,0.000000001))*$I$5362)</f>
        <v/>
      </c>
      <c r="E6346" s="19">
        <f>0.5*$E$6310+0.5*$Z$6368</f>
        <v/>
      </c>
      <c r="F6346" s="19">
        <f>$Z$6369</f>
        <v/>
      </c>
    </row>
    <row r="6348">
      <c r="D6348" s="21">
        <f>$B$5337+$D$6336</f>
        <v/>
      </c>
      <c r="E6348" s="21">
        <f>$B$5338</f>
        <v/>
      </c>
      <c r="F6348" s="21">
        <f>-$B$5337</f>
        <v/>
      </c>
      <c r="G6348" s="21">
        <f>$B$5338</f>
        <v/>
      </c>
      <c r="H6348" s="21" t="n">
        <v>0</v>
      </c>
      <c r="I6348" s="21" t="n">
        <v>0</v>
      </c>
      <c r="J6348" s="21" t="n">
        <v>0</v>
      </c>
      <c r="K6348" s="21" t="n">
        <v>0</v>
      </c>
      <c r="L6348" s="21" t="n">
        <v>0</v>
      </c>
      <c r="M6348" s="21" t="n">
        <v>0</v>
      </c>
      <c r="N6348" s="21" t="n">
        <v>0</v>
      </c>
      <c r="O6348" s="21" t="n">
        <v>0</v>
      </c>
      <c r="P6348" s="21" t="n">
        <v>0</v>
      </c>
      <c r="Q6348" s="21" t="n">
        <v>0</v>
      </c>
      <c r="R6348" s="21" t="n">
        <v>0</v>
      </c>
      <c r="S6348" s="21" t="n">
        <v>0</v>
      </c>
      <c r="T6348" s="21" t="n">
        <v>0</v>
      </c>
      <c r="U6348" s="21" t="n">
        <v>0</v>
      </c>
      <c r="V6348" s="21" t="n">
        <v>0</v>
      </c>
      <c r="W6348" s="21" t="n">
        <v>0</v>
      </c>
      <c r="X6348" s="21" t="n">
        <v>0</v>
      </c>
      <c r="Y6348" s="21" t="n">
        <v>0</v>
      </c>
      <c r="Z6348" s="19">
        <f t="array" ref="Z6348:Z6369">MMULT(MINVERSE($D$6348:$Y$6369),$D$5364:$D$5385)</f>
        <v/>
      </c>
    </row>
    <row r="6349">
      <c r="D6349" s="21">
        <f>$B$5338</f>
        <v/>
      </c>
      <c r="E6349" s="21">
        <f>$B$5339</f>
        <v/>
      </c>
      <c r="F6349" s="21">
        <f>-$B$5338</f>
        <v/>
      </c>
      <c r="G6349" s="21">
        <f>$B$5340</f>
        <v/>
      </c>
      <c r="H6349" s="21" t="n">
        <v>0</v>
      </c>
      <c r="I6349" s="21" t="n">
        <v>0</v>
      </c>
      <c r="J6349" s="21" t="n">
        <v>0</v>
      </c>
      <c r="K6349" s="21" t="n">
        <v>0</v>
      </c>
      <c r="L6349" s="21" t="n">
        <v>0</v>
      </c>
      <c r="M6349" s="21" t="n">
        <v>0</v>
      </c>
      <c r="N6349" s="21" t="n">
        <v>0</v>
      </c>
      <c r="O6349" s="21" t="n">
        <v>0</v>
      </c>
      <c r="P6349" s="21" t="n">
        <v>0</v>
      </c>
      <c r="Q6349" s="21" t="n">
        <v>0</v>
      </c>
      <c r="R6349" s="21" t="n">
        <v>0</v>
      </c>
      <c r="S6349" s="21" t="n">
        <v>0</v>
      </c>
      <c r="T6349" s="21" t="n">
        <v>0</v>
      </c>
      <c r="U6349" s="21" t="n">
        <v>0</v>
      </c>
      <c r="V6349" s="21" t="n">
        <v>0</v>
      </c>
      <c r="W6349" s="21" t="n">
        <v>0</v>
      </c>
      <c r="X6349" s="21" t="n">
        <v>0</v>
      </c>
      <c r="Y6349" s="21" t="n">
        <v>0</v>
      </c>
      <c r="Z6349" s="19" t="n"/>
    </row>
    <row r="6350">
      <c r="D6350" s="21">
        <f>-$B$5337</f>
        <v/>
      </c>
      <c r="E6350" s="21">
        <f>-$B$5338</f>
        <v/>
      </c>
      <c r="F6350" s="21">
        <f>2*$B$5337+$D$6337</f>
        <v/>
      </c>
      <c r="G6350" s="21">
        <f>0</f>
        <v/>
      </c>
      <c r="H6350" s="21">
        <f>-$B$5337</f>
        <v/>
      </c>
      <c r="I6350" s="21">
        <f>$B$5338</f>
        <v/>
      </c>
      <c r="J6350" s="21" t="n">
        <v>0</v>
      </c>
      <c r="K6350" s="21" t="n">
        <v>0</v>
      </c>
      <c r="L6350" s="21" t="n">
        <v>0</v>
      </c>
      <c r="M6350" s="21" t="n">
        <v>0</v>
      </c>
      <c r="N6350" s="21" t="n">
        <v>0</v>
      </c>
      <c r="O6350" s="21" t="n">
        <v>0</v>
      </c>
      <c r="P6350" s="21" t="n">
        <v>0</v>
      </c>
      <c r="Q6350" s="21" t="n">
        <v>0</v>
      </c>
      <c r="R6350" s="21" t="n">
        <v>0</v>
      </c>
      <c r="S6350" s="21" t="n">
        <v>0</v>
      </c>
      <c r="T6350" s="21" t="n">
        <v>0</v>
      </c>
      <c r="U6350" s="21" t="n">
        <v>0</v>
      </c>
      <c r="V6350" s="21" t="n">
        <v>0</v>
      </c>
      <c r="W6350" s="21" t="n">
        <v>0</v>
      </c>
      <c r="X6350" s="21" t="n">
        <v>0</v>
      </c>
      <c r="Y6350" s="21" t="n">
        <v>0</v>
      </c>
      <c r="Z6350" s="19" t="n"/>
    </row>
    <row r="6351">
      <c r="D6351" s="21">
        <f>$B$5338</f>
        <v/>
      </c>
      <c r="E6351" s="21">
        <f>$B$5340</f>
        <v/>
      </c>
      <c r="F6351" s="21">
        <f>0</f>
        <v/>
      </c>
      <c r="G6351" s="21">
        <f>2*$B$5339</f>
        <v/>
      </c>
      <c r="H6351" s="21">
        <f>-$B$5338</f>
        <v/>
      </c>
      <c r="I6351" s="21">
        <f>$B$5340</f>
        <v/>
      </c>
      <c r="J6351" s="21" t="n">
        <v>0</v>
      </c>
      <c r="K6351" s="21" t="n">
        <v>0</v>
      </c>
      <c r="L6351" s="21" t="n">
        <v>0</v>
      </c>
      <c r="M6351" s="21" t="n">
        <v>0</v>
      </c>
      <c r="N6351" s="21" t="n">
        <v>0</v>
      </c>
      <c r="O6351" s="21" t="n">
        <v>0</v>
      </c>
      <c r="P6351" s="21" t="n">
        <v>0</v>
      </c>
      <c r="Q6351" s="21" t="n">
        <v>0</v>
      </c>
      <c r="R6351" s="21" t="n">
        <v>0</v>
      </c>
      <c r="S6351" s="21" t="n">
        <v>0</v>
      </c>
      <c r="T6351" s="21" t="n">
        <v>0</v>
      </c>
      <c r="U6351" s="21" t="n">
        <v>0</v>
      </c>
      <c r="V6351" s="21" t="n">
        <v>0</v>
      </c>
      <c r="W6351" s="21" t="n">
        <v>0</v>
      </c>
      <c r="X6351" s="21" t="n">
        <v>0</v>
      </c>
      <c r="Y6351" s="21" t="n">
        <v>0</v>
      </c>
      <c r="Z6351" s="19" t="n"/>
    </row>
    <row r="6352">
      <c r="D6352" s="21" t="n">
        <v>0</v>
      </c>
      <c r="E6352" s="21" t="n">
        <v>0</v>
      </c>
      <c r="F6352" s="21">
        <f>-$B$5337</f>
        <v/>
      </c>
      <c r="G6352" s="21">
        <f>-$B$5338</f>
        <v/>
      </c>
      <c r="H6352" s="21">
        <f>2*$B$5337+$D$6338</f>
        <v/>
      </c>
      <c r="I6352" s="21">
        <f>0</f>
        <v/>
      </c>
      <c r="J6352" s="21">
        <f>-$B$5337</f>
        <v/>
      </c>
      <c r="K6352" s="21">
        <f>$B$5338</f>
        <v/>
      </c>
      <c r="L6352" s="21" t="n">
        <v>0</v>
      </c>
      <c r="M6352" s="21" t="n">
        <v>0</v>
      </c>
      <c r="N6352" s="21" t="n">
        <v>0</v>
      </c>
      <c r="O6352" s="21" t="n">
        <v>0</v>
      </c>
      <c r="P6352" s="21" t="n">
        <v>0</v>
      </c>
      <c r="Q6352" s="21" t="n">
        <v>0</v>
      </c>
      <c r="R6352" s="21" t="n">
        <v>0</v>
      </c>
      <c r="S6352" s="21" t="n">
        <v>0</v>
      </c>
      <c r="T6352" s="21" t="n">
        <v>0</v>
      </c>
      <c r="U6352" s="21" t="n">
        <v>0</v>
      </c>
      <c r="V6352" s="21" t="n">
        <v>0</v>
      </c>
      <c r="W6352" s="21" t="n">
        <v>0</v>
      </c>
      <c r="X6352" s="21" t="n">
        <v>0</v>
      </c>
      <c r="Y6352" s="21" t="n">
        <v>0</v>
      </c>
      <c r="Z6352" s="19" t="n"/>
    </row>
    <row r="6353">
      <c r="D6353" s="21" t="n">
        <v>0</v>
      </c>
      <c r="E6353" s="21" t="n">
        <v>0</v>
      </c>
      <c r="F6353" s="21">
        <f>$B$5338</f>
        <v/>
      </c>
      <c r="G6353" s="21">
        <f>$B$5340</f>
        <v/>
      </c>
      <c r="H6353" s="21">
        <f>0</f>
        <v/>
      </c>
      <c r="I6353" s="21">
        <f>2*$B$5339</f>
        <v/>
      </c>
      <c r="J6353" s="21">
        <f>-$B$5338</f>
        <v/>
      </c>
      <c r="K6353" s="21">
        <f>$B$5340</f>
        <v/>
      </c>
      <c r="L6353" s="21" t="n">
        <v>0</v>
      </c>
      <c r="M6353" s="21" t="n">
        <v>0</v>
      </c>
      <c r="N6353" s="21" t="n">
        <v>0</v>
      </c>
      <c r="O6353" s="21" t="n">
        <v>0</v>
      </c>
      <c r="P6353" s="21" t="n">
        <v>0</v>
      </c>
      <c r="Q6353" s="21" t="n">
        <v>0</v>
      </c>
      <c r="R6353" s="21" t="n">
        <v>0</v>
      </c>
      <c r="S6353" s="21" t="n">
        <v>0</v>
      </c>
      <c r="T6353" s="21" t="n">
        <v>0</v>
      </c>
      <c r="U6353" s="21" t="n">
        <v>0</v>
      </c>
      <c r="V6353" s="21" t="n">
        <v>0</v>
      </c>
      <c r="W6353" s="21" t="n">
        <v>0</v>
      </c>
      <c r="X6353" s="21" t="n">
        <v>0</v>
      </c>
      <c r="Y6353" s="21" t="n">
        <v>0</v>
      </c>
      <c r="Z6353" s="19" t="n"/>
    </row>
    <row r="6354">
      <c r="D6354" s="21" t="n">
        <v>0</v>
      </c>
      <c r="E6354" s="21" t="n">
        <v>0</v>
      </c>
      <c r="F6354" s="21" t="n">
        <v>0</v>
      </c>
      <c r="G6354" s="21" t="n">
        <v>0</v>
      </c>
      <c r="H6354" s="21">
        <f>-$B$5337</f>
        <v/>
      </c>
      <c r="I6354" s="21">
        <f>-$B$5338</f>
        <v/>
      </c>
      <c r="J6354" s="21">
        <f>2*$B$5337+$D$6339</f>
        <v/>
      </c>
      <c r="K6354" s="21">
        <f>0</f>
        <v/>
      </c>
      <c r="L6354" s="21">
        <f>-$B$5337</f>
        <v/>
      </c>
      <c r="M6354" s="21">
        <f>$B$5338</f>
        <v/>
      </c>
      <c r="N6354" s="21" t="n">
        <v>0</v>
      </c>
      <c r="O6354" s="21" t="n">
        <v>0</v>
      </c>
      <c r="P6354" s="21" t="n">
        <v>0</v>
      </c>
      <c r="Q6354" s="21" t="n">
        <v>0</v>
      </c>
      <c r="R6354" s="21" t="n">
        <v>0</v>
      </c>
      <c r="S6354" s="21" t="n">
        <v>0</v>
      </c>
      <c r="T6354" s="21" t="n">
        <v>0</v>
      </c>
      <c r="U6354" s="21" t="n">
        <v>0</v>
      </c>
      <c r="V6354" s="21" t="n">
        <v>0</v>
      </c>
      <c r="W6354" s="21" t="n">
        <v>0</v>
      </c>
      <c r="X6354" s="21" t="n">
        <v>0</v>
      </c>
      <c r="Y6354" s="21" t="n">
        <v>0</v>
      </c>
      <c r="Z6354" s="19" t="n"/>
    </row>
    <row r="6355">
      <c r="D6355" s="21" t="n">
        <v>0</v>
      </c>
      <c r="E6355" s="21" t="n">
        <v>0</v>
      </c>
      <c r="F6355" s="21" t="n">
        <v>0</v>
      </c>
      <c r="G6355" s="21" t="n">
        <v>0</v>
      </c>
      <c r="H6355" s="21">
        <f>$B$5338</f>
        <v/>
      </c>
      <c r="I6355" s="21">
        <f>$B$5340</f>
        <v/>
      </c>
      <c r="J6355" s="21">
        <f>0</f>
        <v/>
      </c>
      <c r="K6355" s="21">
        <f>2*$B$5339</f>
        <v/>
      </c>
      <c r="L6355" s="21">
        <f>-$B$5338</f>
        <v/>
      </c>
      <c r="M6355" s="21">
        <f>$B$5340</f>
        <v/>
      </c>
      <c r="N6355" s="21" t="n">
        <v>0</v>
      </c>
      <c r="O6355" s="21" t="n">
        <v>0</v>
      </c>
      <c r="P6355" s="21" t="n">
        <v>0</v>
      </c>
      <c r="Q6355" s="21" t="n">
        <v>0</v>
      </c>
      <c r="R6355" s="21" t="n">
        <v>0</v>
      </c>
      <c r="S6355" s="21" t="n">
        <v>0</v>
      </c>
      <c r="T6355" s="21" t="n">
        <v>0</v>
      </c>
      <c r="U6355" s="21" t="n">
        <v>0</v>
      </c>
      <c r="V6355" s="21" t="n">
        <v>0</v>
      </c>
      <c r="W6355" s="21" t="n">
        <v>0</v>
      </c>
      <c r="X6355" s="21" t="n">
        <v>0</v>
      </c>
      <c r="Y6355" s="21" t="n">
        <v>0</v>
      </c>
      <c r="Z6355" s="19" t="n"/>
    </row>
    <row r="6356">
      <c r="D6356" s="21" t="n">
        <v>0</v>
      </c>
      <c r="E6356" s="21" t="n">
        <v>0</v>
      </c>
      <c r="F6356" s="21" t="n">
        <v>0</v>
      </c>
      <c r="G6356" s="21" t="n">
        <v>0</v>
      </c>
      <c r="H6356" s="21" t="n">
        <v>0</v>
      </c>
      <c r="I6356" s="21" t="n">
        <v>0</v>
      </c>
      <c r="J6356" s="21">
        <f>-$B$5337</f>
        <v/>
      </c>
      <c r="K6356" s="21">
        <f>-$B$5338</f>
        <v/>
      </c>
      <c r="L6356" s="21">
        <f>2*$B$5337+$D$6340</f>
        <v/>
      </c>
      <c r="M6356" s="21">
        <f>0</f>
        <v/>
      </c>
      <c r="N6356" s="21">
        <f>-$B$5337</f>
        <v/>
      </c>
      <c r="O6356" s="21">
        <f>$B$5338</f>
        <v/>
      </c>
      <c r="P6356" s="21" t="n">
        <v>0</v>
      </c>
      <c r="Q6356" s="21" t="n">
        <v>0</v>
      </c>
      <c r="R6356" s="21" t="n">
        <v>0</v>
      </c>
      <c r="S6356" s="21" t="n">
        <v>0</v>
      </c>
      <c r="T6356" s="21" t="n">
        <v>0</v>
      </c>
      <c r="U6356" s="21" t="n">
        <v>0</v>
      </c>
      <c r="V6356" s="21" t="n">
        <v>0</v>
      </c>
      <c r="W6356" s="21" t="n">
        <v>0</v>
      </c>
      <c r="X6356" s="21" t="n">
        <v>0</v>
      </c>
      <c r="Y6356" s="21" t="n">
        <v>0</v>
      </c>
      <c r="Z6356" s="19" t="n"/>
    </row>
    <row r="6357">
      <c r="D6357" s="21" t="n">
        <v>0</v>
      </c>
      <c r="E6357" s="21" t="n">
        <v>0</v>
      </c>
      <c r="F6357" s="21" t="n">
        <v>0</v>
      </c>
      <c r="G6357" s="21" t="n">
        <v>0</v>
      </c>
      <c r="H6357" s="21" t="n">
        <v>0</v>
      </c>
      <c r="I6357" s="21" t="n">
        <v>0</v>
      </c>
      <c r="J6357" s="21">
        <f>$B$5338</f>
        <v/>
      </c>
      <c r="K6357" s="21">
        <f>$B$5340</f>
        <v/>
      </c>
      <c r="L6357" s="21">
        <f>0</f>
        <v/>
      </c>
      <c r="M6357" s="21">
        <f>2*$B$5339</f>
        <v/>
      </c>
      <c r="N6357" s="21">
        <f>-$B$5338</f>
        <v/>
      </c>
      <c r="O6357" s="21">
        <f>$B$5340</f>
        <v/>
      </c>
      <c r="P6357" s="21" t="n">
        <v>0</v>
      </c>
      <c r="Q6357" s="21" t="n">
        <v>0</v>
      </c>
      <c r="R6357" s="21" t="n">
        <v>0</v>
      </c>
      <c r="S6357" s="21" t="n">
        <v>0</v>
      </c>
      <c r="T6357" s="21" t="n">
        <v>0</v>
      </c>
      <c r="U6357" s="21" t="n">
        <v>0</v>
      </c>
      <c r="V6357" s="21" t="n">
        <v>0</v>
      </c>
      <c r="W6357" s="21" t="n">
        <v>0</v>
      </c>
      <c r="X6357" s="21" t="n">
        <v>0</v>
      </c>
      <c r="Y6357" s="21" t="n">
        <v>0</v>
      </c>
      <c r="Z6357" s="19" t="n"/>
    </row>
    <row r="6358">
      <c r="D6358" s="21" t="n">
        <v>0</v>
      </c>
      <c r="E6358" s="21" t="n">
        <v>0</v>
      </c>
      <c r="F6358" s="21" t="n">
        <v>0</v>
      </c>
      <c r="G6358" s="21" t="n">
        <v>0</v>
      </c>
      <c r="H6358" s="21" t="n">
        <v>0</v>
      </c>
      <c r="I6358" s="21" t="n">
        <v>0</v>
      </c>
      <c r="J6358" s="21" t="n">
        <v>0</v>
      </c>
      <c r="K6358" s="21" t="n">
        <v>0</v>
      </c>
      <c r="L6358" s="21">
        <f>-$B$5337</f>
        <v/>
      </c>
      <c r="M6358" s="21">
        <f>-$B$5338</f>
        <v/>
      </c>
      <c r="N6358" s="21">
        <f>2*$B$5337+$D$6341</f>
        <v/>
      </c>
      <c r="O6358" s="21">
        <f>0</f>
        <v/>
      </c>
      <c r="P6358" s="21">
        <f>-$B$5337</f>
        <v/>
      </c>
      <c r="Q6358" s="21">
        <f>$B$5338</f>
        <v/>
      </c>
      <c r="R6358" s="21" t="n">
        <v>0</v>
      </c>
      <c r="S6358" s="21" t="n">
        <v>0</v>
      </c>
      <c r="T6358" s="21" t="n">
        <v>0</v>
      </c>
      <c r="U6358" s="21" t="n">
        <v>0</v>
      </c>
      <c r="V6358" s="21" t="n">
        <v>0</v>
      </c>
      <c r="W6358" s="21" t="n">
        <v>0</v>
      </c>
      <c r="X6358" s="21" t="n">
        <v>0</v>
      </c>
      <c r="Y6358" s="21" t="n">
        <v>0</v>
      </c>
      <c r="Z6358" s="19" t="n"/>
    </row>
    <row r="6359">
      <c r="D6359" s="21" t="n">
        <v>0</v>
      </c>
      <c r="E6359" s="21" t="n">
        <v>0</v>
      </c>
      <c r="F6359" s="21" t="n">
        <v>0</v>
      </c>
      <c r="G6359" s="21" t="n">
        <v>0</v>
      </c>
      <c r="H6359" s="21" t="n">
        <v>0</v>
      </c>
      <c r="I6359" s="21" t="n">
        <v>0</v>
      </c>
      <c r="J6359" s="21" t="n">
        <v>0</v>
      </c>
      <c r="K6359" s="21" t="n">
        <v>0</v>
      </c>
      <c r="L6359" s="21">
        <f>$B$5338</f>
        <v/>
      </c>
      <c r="M6359" s="21">
        <f>$B$5340</f>
        <v/>
      </c>
      <c r="N6359" s="21">
        <f>0</f>
        <v/>
      </c>
      <c r="O6359" s="21">
        <f>2*$B$5339</f>
        <v/>
      </c>
      <c r="P6359" s="21">
        <f>-$B$5338</f>
        <v/>
      </c>
      <c r="Q6359" s="21">
        <f>$B$5340</f>
        <v/>
      </c>
      <c r="R6359" s="21" t="n">
        <v>0</v>
      </c>
      <c r="S6359" s="21" t="n">
        <v>0</v>
      </c>
      <c r="T6359" s="21" t="n">
        <v>0</v>
      </c>
      <c r="U6359" s="21" t="n">
        <v>0</v>
      </c>
      <c r="V6359" s="21" t="n">
        <v>0</v>
      </c>
      <c r="W6359" s="21" t="n">
        <v>0</v>
      </c>
      <c r="X6359" s="21" t="n">
        <v>0</v>
      </c>
      <c r="Y6359" s="21" t="n">
        <v>0</v>
      </c>
      <c r="Z6359" s="19" t="n"/>
    </row>
    <row r="6360">
      <c r="D6360" s="21" t="n">
        <v>0</v>
      </c>
      <c r="E6360" s="21" t="n">
        <v>0</v>
      </c>
      <c r="F6360" s="21" t="n">
        <v>0</v>
      </c>
      <c r="G6360" s="21" t="n">
        <v>0</v>
      </c>
      <c r="H6360" s="21" t="n">
        <v>0</v>
      </c>
      <c r="I6360" s="21" t="n">
        <v>0</v>
      </c>
      <c r="J6360" s="21" t="n">
        <v>0</v>
      </c>
      <c r="K6360" s="21" t="n">
        <v>0</v>
      </c>
      <c r="L6360" s="21" t="n">
        <v>0</v>
      </c>
      <c r="M6360" s="21" t="n">
        <v>0</v>
      </c>
      <c r="N6360" s="21">
        <f>-$B$5337</f>
        <v/>
      </c>
      <c r="O6360" s="21">
        <f>-$B$5338</f>
        <v/>
      </c>
      <c r="P6360" s="21">
        <f>2*$B$5337+$D$6342</f>
        <v/>
      </c>
      <c r="Q6360" s="21">
        <f>0</f>
        <v/>
      </c>
      <c r="R6360" s="21">
        <f>-$B$5337</f>
        <v/>
      </c>
      <c r="S6360" s="21">
        <f>$B$5338</f>
        <v/>
      </c>
      <c r="T6360" s="21" t="n">
        <v>0</v>
      </c>
      <c r="U6360" s="21" t="n">
        <v>0</v>
      </c>
      <c r="V6360" s="21" t="n">
        <v>0</v>
      </c>
      <c r="W6360" s="21" t="n">
        <v>0</v>
      </c>
      <c r="X6360" s="21" t="n">
        <v>0</v>
      </c>
      <c r="Y6360" s="21" t="n">
        <v>0</v>
      </c>
      <c r="Z6360" s="19" t="n"/>
    </row>
    <row r="6361">
      <c r="D6361" s="21" t="n">
        <v>0</v>
      </c>
      <c r="E6361" s="21" t="n">
        <v>0</v>
      </c>
      <c r="F6361" s="21" t="n">
        <v>0</v>
      </c>
      <c r="G6361" s="21" t="n">
        <v>0</v>
      </c>
      <c r="H6361" s="21" t="n">
        <v>0</v>
      </c>
      <c r="I6361" s="21" t="n">
        <v>0</v>
      </c>
      <c r="J6361" s="21" t="n">
        <v>0</v>
      </c>
      <c r="K6361" s="21" t="n">
        <v>0</v>
      </c>
      <c r="L6361" s="21" t="n">
        <v>0</v>
      </c>
      <c r="M6361" s="21" t="n">
        <v>0</v>
      </c>
      <c r="N6361" s="21">
        <f>$B$5338</f>
        <v/>
      </c>
      <c r="O6361" s="21">
        <f>$B$5340</f>
        <v/>
      </c>
      <c r="P6361" s="21">
        <f>0</f>
        <v/>
      </c>
      <c r="Q6361" s="21">
        <f>2*$B$5339</f>
        <v/>
      </c>
      <c r="R6361" s="21">
        <f>-$B$5338</f>
        <v/>
      </c>
      <c r="S6361" s="21">
        <f>$B$5340</f>
        <v/>
      </c>
      <c r="T6361" s="21" t="n">
        <v>0</v>
      </c>
      <c r="U6361" s="21" t="n">
        <v>0</v>
      </c>
      <c r="V6361" s="21" t="n">
        <v>0</v>
      </c>
      <c r="W6361" s="21" t="n">
        <v>0</v>
      </c>
      <c r="X6361" s="21" t="n">
        <v>0</v>
      </c>
      <c r="Y6361" s="21" t="n">
        <v>0</v>
      </c>
      <c r="Z6361" s="19" t="n"/>
    </row>
    <row r="6362">
      <c r="D6362" s="21" t="n">
        <v>0</v>
      </c>
      <c r="E6362" s="21" t="n">
        <v>0</v>
      </c>
      <c r="F6362" s="21" t="n">
        <v>0</v>
      </c>
      <c r="G6362" s="21" t="n">
        <v>0</v>
      </c>
      <c r="H6362" s="21" t="n">
        <v>0</v>
      </c>
      <c r="I6362" s="21" t="n">
        <v>0</v>
      </c>
      <c r="J6362" s="21" t="n">
        <v>0</v>
      </c>
      <c r="K6362" s="21" t="n">
        <v>0</v>
      </c>
      <c r="L6362" s="21" t="n">
        <v>0</v>
      </c>
      <c r="M6362" s="21" t="n">
        <v>0</v>
      </c>
      <c r="N6362" s="21" t="n">
        <v>0</v>
      </c>
      <c r="O6362" s="21" t="n">
        <v>0</v>
      </c>
      <c r="P6362" s="21">
        <f>-$B$5337</f>
        <v/>
      </c>
      <c r="Q6362" s="21">
        <f>-$B$5338</f>
        <v/>
      </c>
      <c r="R6362" s="21">
        <f>2*$B$5337+$D$6343</f>
        <v/>
      </c>
      <c r="S6362" s="21">
        <f>0</f>
        <v/>
      </c>
      <c r="T6362" s="21">
        <f>-$B$5337</f>
        <v/>
      </c>
      <c r="U6362" s="21">
        <f>$B$5338</f>
        <v/>
      </c>
      <c r="V6362" s="21" t="n">
        <v>0</v>
      </c>
      <c r="W6362" s="21" t="n">
        <v>0</v>
      </c>
      <c r="X6362" s="21" t="n">
        <v>0</v>
      </c>
      <c r="Y6362" s="21" t="n">
        <v>0</v>
      </c>
      <c r="Z6362" s="19" t="n"/>
    </row>
    <row r="6363">
      <c r="D6363" s="21" t="n">
        <v>0</v>
      </c>
      <c r="E6363" s="21" t="n">
        <v>0</v>
      </c>
      <c r="F6363" s="21" t="n">
        <v>0</v>
      </c>
      <c r="G6363" s="21" t="n">
        <v>0</v>
      </c>
      <c r="H6363" s="21" t="n">
        <v>0</v>
      </c>
      <c r="I6363" s="21" t="n">
        <v>0</v>
      </c>
      <c r="J6363" s="21" t="n">
        <v>0</v>
      </c>
      <c r="K6363" s="21" t="n">
        <v>0</v>
      </c>
      <c r="L6363" s="21" t="n">
        <v>0</v>
      </c>
      <c r="M6363" s="21" t="n">
        <v>0</v>
      </c>
      <c r="N6363" s="21" t="n">
        <v>0</v>
      </c>
      <c r="O6363" s="21" t="n">
        <v>0</v>
      </c>
      <c r="P6363" s="21">
        <f>$B$5338</f>
        <v/>
      </c>
      <c r="Q6363" s="21">
        <f>$B$5340</f>
        <v/>
      </c>
      <c r="R6363" s="21">
        <f>0</f>
        <v/>
      </c>
      <c r="S6363" s="21">
        <f>2*$B$5339</f>
        <v/>
      </c>
      <c r="T6363" s="21">
        <f>-$B$5338</f>
        <v/>
      </c>
      <c r="U6363" s="21">
        <f>$B$5340</f>
        <v/>
      </c>
      <c r="V6363" s="21" t="n">
        <v>0</v>
      </c>
      <c r="W6363" s="21" t="n">
        <v>0</v>
      </c>
      <c r="X6363" s="21" t="n">
        <v>0</v>
      </c>
      <c r="Y6363" s="21" t="n">
        <v>0</v>
      </c>
      <c r="Z6363" s="19" t="n"/>
    </row>
    <row r="6364">
      <c r="D6364" s="21" t="n">
        <v>0</v>
      </c>
      <c r="E6364" s="21" t="n">
        <v>0</v>
      </c>
      <c r="F6364" s="21" t="n">
        <v>0</v>
      </c>
      <c r="G6364" s="21" t="n">
        <v>0</v>
      </c>
      <c r="H6364" s="21" t="n">
        <v>0</v>
      </c>
      <c r="I6364" s="21" t="n">
        <v>0</v>
      </c>
      <c r="J6364" s="21" t="n">
        <v>0</v>
      </c>
      <c r="K6364" s="21" t="n">
        <v>0</v>
      </c>
      <c r="L6364" s="21" t="n">
        <v>0</v>
      </c>
      <c r="M6364" s="21" t="n">
        <v>0</v>
      </c>
      <c r="N6364" s="21" t="n">
        <v>0</v>
      </c>
      <c r="O6364" s="21" t="n">
        <v>0</v>
      </c>
      <c r="P6364" s="21" t="n">
        <v>0</v>
      </c>
      <c r="Q6364" s="21" t="n">
        <v>0</v>
      </c>
      <c r="R6364" s="21">
        <f>-$B$5337</f>
        <v/>
      </c>
      <c r="S6364" s="21">
        <f>-$B$5338</f>
        <v/>
      </c>
      <c r="T6364" s="21">
        <f>2*$B$5337+$D$6344</f>
        <v/>
      </c>
      <c r="U6364" s="21">
        <f>0</f>
        <v/>
      </c>
      <c r="V6364" s="21">
        <f>-$B$5337</f>
        <v/>
      </c>
      <c r="W6364" s="21">
        <f>$B$5338</f>
        <v/>
      </c>
      <c r="X6364" s="21" t="n">
        <v>0</v>
      </c>
      <c r="Y6364" s="21" t="n">
        <v>0</v>
      </c>
      <c r="Z6364" s="19" t="n"/>
    </row>
    <row r="6365">
      <c r="D6365" s="21" t="n">
        <v>0</v>
      </c>
      <c r="E6365" s="21" t="n">
        <v>0</v>
      </c>
      <c r="F6365" s="21" t="n">
        <v>0</v>
      </c>
      <c r="G6365" s="21" t="n">
        <v>0</v>
      </c>
      <c r="H6365" s="21" t="n">
        <v>0</v>
      </c>
      <c r="I6365" s="21" t="n">
        <v>0</v>
      </c>
      <c r="J6365" s="21" t="n">
        <v>0</v>
      </c>
      <c r="K6365" s="21" t="n">
        <v>0</v>
      </c>
      <c r="L6365" s="21" t="n">
        <v>0</v>
      </c>
      <c r="M6365" s="21" t="n">
        <v>0</v>
      </c>
      <c r="N6365" s="21" t="n">
        <v>0</v>
      </c>
      <c r="O6365" s="21" t="n">
        <v>0</v>
      </c>
      <c r="P6365" s="21" t="n">
        <v>0</v>
      </c>
      <c r="Q6365" s="21" t="n">
        <v>0</v>
      </c>
      <c r="R6365" s="21">
        <f>$B$5338</f>
        <v/>
      </c>
      <c r="S6365" s="21">
        <f>$B$5340</f>
        <v/>
      </c>
      <c r="T6365" s="21">
        <f>0</f>
        <v/>
      </c>
      <c r="U6365" s="21">
        <f>2*$B$5339</f>
        <v/>
      </c>
      <c r="V6365" s="21">
        <f>-$B$5338</f>
        <v/>
      </c>
      <c r="W6365" s="21">
        <f>$B$5340</f>
        <v/>
      </c>
      <c r="X6365" s="21" t="n">
        <v>0</v>
      </c>
      <c r="Y6365" s="21" t="n">
        <v>0</v>
      </c>
      <c r="Z6365" s="19" t="n"/>
    </row>
    <row r="6366">
      <c r="D6366" s="21" t="n">
        <v>0</v>
      </c>
      <c r="E6366" s="21" t="n">
        <v>0</v>
      </c>
      <c r="F6366" s="21" t="n">
        <v>0</v>
      </c>
      <c r="G6366" s="21" t="n">
        <v>0</v>
      </c>
      <c r="H6366" s="21" t="n">
        <v>0</v>
      </c>
      <c r="I6366" s="21" t="n">
        <v>0</v>
      </c>
      <c r="J6366" s="21" t="n">
        <v>0</v>
      </c>
      <c r="K6366" s="21" t="n">
        <v>0</v>
      </c>
      <c r="L6366" s="21" t="n">
        <v>0</v>
      </c>
      <c r="M6366" s="21" t="n">
        <v>0</v>
      </c>
      <c r="N6366" s="21" t="n">
        <v>0</v>
      </c>
      <c r="O6366" s="21" t="n">
        <v>0</v>
      </c>
      <c r="P6366" s="21" t="n">
        <v>0</v>
      </c>
      <c r="Q6366" s="21" t="n">
        <v>0</v>
      </c>
      <c r="R6366" s="21" t="n">
        <v>0</v>
      </c>
      <c r="S6366" s="21" t="n">
        <v>0</v>
      </c>
      <c r="T6366" s="21">
        <f>-$B$5337</f>
        <v/>
      </c>
      <c r="U6366" s="21">
        <f>-$B$5338</f>
        <v/>
      </c>
      <c r="V6366" s="21">
        <f>2*$B$5337+$D$6345</f>
        <v/>
      </c>
      <c r="W6366" s="21">
        <f>0</f>
        <v/>
      </c>
      <c r="X6366" s="21">
        <f>-$B$5337</f>
        <v/>
      </c>
      <c r="Y6366" s="21">
        <f>$B$5338</f>
        <v/>
      </c>
      <c r="Z6366" s="19" t="n"/>
    </row>
    <row r="6367">
      <c r="D6367" s="21" t="n">
        <v>0</v>
      </c>
      <c r="E6367" s="21" t="n">
        <v>0</v>
      </c>
      <c r="F6367" s="21" t="n">
        <v>0</v>
      </c>
      <c r="G6367" s="21" t="n">
        <v>0</v>
      </c>
      <c r="H6367" s="21" t="n">
        <v>0</v>
      </c>
      <c r="I6367" s="21" t="n">
        <v>0</v>
      </c>
      <c r="J6367" s="21" t="n">
        <v>0</v>
      </c>
      <c r="K6367" s="21" t="n">
        <v>0</v>
      </c>
      <c r="L6367" s="21" t="n">
        <v>0</v>
      </c>
      <c r="M6367" s="21" t="n">
        <v>0</v>
      </c>
      <c r="N6367" s="21" t="n">
        <v>0</v>
      </c>
      <c r="O6367" s="21" t="n">
        <v>0</v>
      </c>
      <c r="P6367" s="21" t="n">
        <v>0</v>
      </c>
      <c r="Q6367" s="21" t="n">
        <v>0</v>
      </c>
      <c r="R6367" s="21" t="n">
        <v>0</v>
      </c>
      <c r="S6367" s="21" t="n">
        <v>0</v>
      </c>
      <c r="T6367" s="21">
        <f>$B$5338</f>
        <v/>
      </c>
      <c r="U6367" s="21">
        <f>$B$5340</f>
        <v/>
      </c>
      <c r="V6367" s="21">
        <f>0</f>
        <v/>
      </c>
      <c r="W6367" s="21">
        <f>2*$B$5339</f>
        <v/>
      </c>
      <c r="X6367" s="21">
        <f>-$B$5338</f>
        <v/>
      </c>
      <c r="Y6367" s="21">
        <f>$B$5340</f>
        <v/>
      </c>
      <c r="Z6367" s="19" t="n"/>
    </row>
    <row r="6368">
      <c r="D6368" s="21" t="n">
        <v>0</v>
      </c>
      <c r="E6368" s="21" t="n">
        <v>0</v>
      </c>
      <c r="F6368" s="21" t="n">
        <v>0</v>
      </c>
      <c r="G6368" s="21" t="n">
        <v>0</v>
      </c>
      <c r="H6368" s="21" t="n">
        <v>0</v>
      </c>
      <c r="I6368" s="21" t="n">
        <v>0</v>
      </c>
      <c r="J6368" s="21" t="n">
        <v>0</v>
      </c>
      <c r="K6368" s="21" t="n">
        <v>0</v>
      </c>
      <c r="L6368" s="21" t="n">
        <v>0</v>
      </c>
      <c r="M6368" s="21" t="n">
        <v>0</v>
      </c>
      <c r="N6368" s="21" t="n">
        <v>0</v>
      </c>
      <c r="O6368" s="21" t="n">
        <v>0</v>
      </c>
      <c r="P6368" s="21" t="n">
        <v>0</v>
      </c>
      <c r="Q6368" s="21" t="n">
        <v>0</v>
      </c>
      <c r="R6368" s="21" t="n">
        <v>0</v>
      </c>
      <c r="S6368" s="21" t="n">
        <v>0</v>
      </c>
      <c r="T6368" s="21" t="n">
        <v>0</v>
      </c>
      <c r="U6368" s="21" t="n">
        <v>0</v>
      </c>
      <c r="V6368" s="21">
        <f>-$B$5337</f>
        <v/>
      </c>
      <c r="W6368" s="21">
        <f>-$B$5338</f>
        <v/>
      </c>
      <c r="X6368" s="21">
        <f>$B$5337+$D$6346</f>
        <v/>
      </c>
      <c r="Y6368" s="21">
        <f>-$B$5338</f>
        <v/>
      </c>
      <c r="Z6368" s="19" t="n"/>
    </row>
    <row r="6369">
      <c r="D6369" s="21" t="n">
        <v>0</v>
      </c>
      <c r="E6369" s="21" t="n">
        <v>0</v>
      </c>
      <c r="F6369" s="21" t="n">
        <v>0</v>
      </c>
      <c r="G6369" s="21" t="n">
        <v>0</v>
      </c>
      <c r="H6369" s="21" t="n">
        <v>0</v>
      </c>
      <c r="I6369" s="21" t="n">
        <v>0</v>
      </c>
      <c r="J6369" s="21" t="n">
        <v>0</v>
      </c>
      <c r="K6369" s="21" t="n">
        <v>0</v>
      </c>
      <c r="L6369" s="21" t="n">
        <v>0</v>
      </c>
      <c r="M6369" s="21" t="n">
        <v>0</v>
      </c>
      <c r="N6369" s="21" t="n">
        <v>0</v>
      </c>
      <c r="O6369" s="21" t="n">
        <v>0</v>
      </c>
      <c r="P6369" s="21" t="n">
        <v>0</v>
      </c>
      <c r="Q6369" s="21" t="n">
        <v>0</v>
      </c>
      <c r="R6369" s="21" t="n">
        <v>0</v>
      </c>
      <c r="S6369" s="21" t="n">
        <v>0</v>
      </c>
      <c r="T6369" s="21" t="n">
        <v>0</v>
      </c>
      <c r="U6369" s="21" t="n">
        <v>0</v>
      </c>
      <c r="V6369" s="21">
        <f>$B$5338</f>
        <v/>
      </c>
      <c r="W6369" s="21">
        <f>$B$5340</f>
        <v/>
      </c>
      <c r="X6369" s="21">
        <f>-$B$5338</f>
        <v/>
      </c>
      <c r="Y6369" s="21">
        <f>$B$5339</f>
        <v/>
      </c>
      <c r="Z6369" s="19" t="n"/>
    </row>
    <row r="6371">
      <c r="A6371" s="8" t="inlineStr">
        <is>
          <t>gen 28</t>
        </is>
      </c>
    </row>
    <row r="6372">
      <c r="D6372" s="19">
        <f>IF(ABS(IF(ABS($E$6336)&gt;0.000000001,$E$6336,0.000000001))=0,0,IF($E$5352&lt;=$B$5346,0,IF(ABS(IF(ABS($E$6336)&gt;0.000000001,$E$6336,0.000000001))&gt;=8*$B$5348,$H$5352,0.5*$H$5352*(ABS(IF(ABS($E$6336)&gt;0.000000001,$E$6336,0.000000001))/$B$5348)^(1/3)))/ABS(IF(ABS($E$6336)&gt;0.000000001,$E$6336,0.000000001))*$I$5352)</f>
        <v/>
      </c>
      <c r="E6372" s="19">
        <f>0.5*$E$6336+0.5*$Z$6384</f>
        <v/>
      </c>
      <c r="F6372" s="19">
        <f>$Z$6385</f>
        <v/>
      </c>
    </row>
    <row r="6373">
      <c r="D6373" s="19">
        <f>IF(ABS(IF(ABS($E$6337)&gt;0.000000001,$E$6337,0.000000001))=0,0,IF($E$5353&lt;=$B$5346,0,IF(ABS(IF(ABS($E$6337)&gt;0.000000001,$E$6337,0.000000001))&gt;=8*$B$5348,$H$5353,0.5*$H$5353*(ABS(IF(ABS($E$6337)&gt;0.000000001,$E$6337,0.000000001))/$B$5348)^(1/3)))/ABS(IF(ABS($E$6337)&gt;0.000000001,$E$6337,0.000000001))*$I$5353)</f>
        <v/>
      </c>
      <c r="E6373" s="19">
        <f>0.5*$E$6337+0.5*$Z$6386</f>
        <v/>
      </c>
      <c r="F6373" s="19">
        <f>$Z$6387</f>
        <v/>
      </c>
    </row>
    <row r="6374">
      <c r="D6374" s="19">
        <f>IF(ABS(IF(ABS($E$6338)&gt;0.000000001,$E$6338,0.000000001))=0,0,IF($E$5354&lt;=$B$5346,0,IF(ABS(IF(ABS($E$6338)&gt;0.000000001,$E$6338,0.000000001))&gt;=8*$B$5348,$H$5354,0.5*$H$5354*(ABS(IF(ABS($E$6338)&gt;0.000000001,$E$6338,0.000000001))/$B$5348)^(1/3)))/ABS(IF(ABS($E$6338)&gt;0.000000001,$E$6338,0.000000001))*$I$5354)</f>
        <v/>
      </c>
      <c r="E6374" s="19">
        <f>0.5*$E$6338+0.5*$Z$6388</f>
        <v/>
      </c>
      <c r="F6374" s="19">
        <f>$Z$6389</f>
        <v/>
      </c>
    </row>
    <row r="6375">
      <c r="D6375" s="19">
        <f>IF(ABS(IF(ABS($E$6339)&gt;0.000000001,$E$6339,0.000000001))=0,0,IF($E$5355&lt;=$B$5346,0,IF(ABS(IF(ABS($E$6339)&gt;0.000000001,$E$6339,0.000000001))&gt;=8*$B$5348,$H$5355,0.5*$H$5355*(ABS(IF(ABS($E$6339)&gt;0.000000001,$E$6339,0.000000001))/$B$5348)^(1/3)))/ABS(IF(ABS($E$6339)&gt;0.000000001,$E$6339,0.000000001))*$I$5355)</f>
        <v/>
      </c>
      <c r="E6375" s="19">
        <f>0.5*$E$6339+0.5*$Z$6390</f>
        <v/>
      </c>
      <c r="F6375" s="19">
        <f>$Z$6391</f>
        <v/>
      </c>
    </row>
    <row r="6376">
      <c r="D6376" s="19">
        <f>IF(ABS(IF(ABS($E$6340)&gt;0.000000001,$E$6340,0.000000001))=0,0,IF($E$5356&lt;=$B$5346,0,IF(ABS(IF(ABS($E$6340)&gt;0.000000001,$E$6340,0.000000001))&gt;=8*$B$5348,$H$5356,0.5*$H$5356*(ABS(IF(ABS($E$6340)&gt;0.000000001,$E$6340,0.000000001))/$B$5348)^(1/3)))/ABS(IF(ABS($E$6340)&gt;0.000000001,$E$6340,0.000000001))*$I$5356)</f>
        <v/>
      </c>
      <c r="E6376" s="19">
        <f>0.5*$E$6340+0.5*$Z$6392</f>
        <v/>
      </c>
      <c r="F6376" s="19">
        <f>$Z$6393</f>
        <v/>
      </c>
    </row>
    <row r="6377">
      <c r="D6377" s="19">
        <f>IF(ABS(IF(ABS($E$6341)&gt;0.000000001,$E$6341,0.000000001))=0,0,IF($E$5357&lt;=$B$5346,0,IF(ABS(IF(ABS($E$6341)&gt;0.000000001,$E$6341,0.000000001))&gt;=8*$B$5348,$H$5357,0.5*$H$5357*(ABS(IF(ABS($E$6341)&gt;0.000000001,$E$6341,0.000000001))/$B$5348)^(1/3)))/ABS(IF(ABS($E$6341)&gt;0.000000001,$E$6341,0.000000001))*$I$5357)</f>
        <v/>
      </c>
      <c r="E6377" s="19">
        <f>0.5*$E$6341+0.5*$Z$6394</f>
        <v/>
      </c>
      <c r="F6377" s="19">
        <f>$Z$6395</f>
        <v/>
      </c>
    </row>
    <row r="6378">
      <c r="D6378" s="19">
        <f>IF(ABS(IF(ABS($E$6342)&gt;0.000000001,$E$6342,0.000000001))=0,0,IF($E$5358&lt;=$B$5346,0,IF(ABS(IF(ABS($E$6342)&gt;0.000000001,$E$6342,0.000000001))&gt;=8*$B$5348,$H$5358,0.5*$H$5358*(ABS(IF(ABS($E$6342)&gt;0.000000001,$E$6342,0.000000001))/$B$5348)^(1/3)))/ABS(IF(ABS($E$6342)&gt;0.000000001,$E$6342,0.000000001))*$I$5358)</f>
        <v/>
      </c>
      <c r="E6378" s="19">
        <f>0.5*$E$6342+0.5*$Z$6396</f>
        <v/>
      </c>
      <c r="F6378" s="19">
        <f>$Z$6397</f>
        <v/>
      </c>
    </row>
    <row r="6379">
      <c r="D6379" s="19">
        <f>IF(ABS(IF(ABS($E$6343)&gt;0.000000001,$E$6343,0.000000001))=0,0,IF($E$5359&lt;=$B$5346,0,IF(ABS(IF(ABS($E$6343)&gt;0.000000001,$E$6343,0.000000001))&gt;=8*$B$5348,$H$5359,0.5*$H$5359*(ABS(IF(ABS($E$6343)&gt;0.000000001,$E$6343,0.000000001))/$B$5348)^(1/3)))/ABS(IF(ABS($E$6343)&gt;0.000000001,$E$6343,0.000000001))*$I$5359)</f>
        <v/>
      </c>
      <c r="E6379" s="19">
        <f>0.5*$E$6343+0.5*$Z$6398</f>
        <v/>
      </c>
      <c r="F6379" s="19">
        <f>$Z$6399</f>
        <v/>
      </c>
    </row>
    <row r="6380">
      <c r="D6380" s="19">
        <f>IF(ABS(IF(ABS($E$6344)&gt;0.000000001,$E$6344,0.000000001))=0,0,IF($E$5360&lt;=$B$5346,0,IF(ABS(IF(ABS($E$6344)&gt;0.000000001,$E$6344,0.000000001))&gt;=8*$B$5348,$H$5360,0.5*$H$5360*(ABS(IF(ABS($E$6344)&gt;0.000000001,$E$6344,0.000000001))/$B$5348)^(1/3)))/ABS(IF(ABS($E$6344)&gt;0.000000001,$E$6344,0.000000001))*$I$5360)</f>
        <v/>
      </c>
      <c r="E6380" s="19">
        <f>0.5*$E$6344+0.5*$Z$6400</f>
        <v/>
      </c>
      <c r="F6380" s="19">
        <f>$Z$6401</f>
        <v/>
      </c>
    </row>
    <row r="6381">
      <c r="D6381" s="19">
        <f>IF(ABS(IF(ABS($E$6345)&gt;0.000000001,$E$6345,0.000000001))=0,0,IF($E$5361&lt;=$B$5346,0,IF(ABS(IF(ABS($E$6345)&gt;0.000000001,$E$6345,0.000000001))&gt;=8*$B$5348,$H$5361,0.5*$H$5361*(ABS(IF(ABS($E$6345)&gt;0.000000001,$E$6345,0.000000001))/$B$5348)^(1/3)))/ABS(IF(ABS($E$6345)&gt;0.000000001,$E$6345,0.000000001))*$I$5361)</f>
        <v/>
      </c>
      <c r="E6381" s="19">
        <f>0.5*$E$6345+0.5*$Z$6402</f>
        <v/>
      </c>
      <c r="F6381" s="19">
        <f>$Z$6403</f>
        <v/>
      </c>
    </row>
    <row r="6382">
      <c r="D6382" s="19">
        <f>IF(ABS(IF(ABS($E$6346)&gt;0.000000001,$E$6346,0.000000001))=0,0,IF($E$5362&lt;=$B$5346,0,IF(ABS(IF(ABS($E$6346)&gt;0.000000001,$E$6346,0.000000001))&gt;=8*$B$5348,$H$5362,0.5*$H$5362*(ABS(IF(ABS($E$6346)&gt;0.000000001,$E$6346,0.000000001))/$B$5348)^(1/3)))/ABS(IF(ABS($E$6346)&gt;0.000000001,$E$6346,0.000000001))*$I$5362)</f>
        <v/>
      </c>
      <c r="E6382" s="19">
        <f>0.5*$E$6346+0.5*$Z$6404</f>
        <v/>
      </c>
      <c r="F6382" s="19">
        <f>$Z$6405</f>
        <v/>
      </c>
    </row>
    <row r="6384">
      <c r="D6384" s="21">
        <f>$B$5337+$D$6372</f>
        <v/>
      </c>
      <c r="E6384" s="21">
        <f>$B$5338</f>
        <v/>
      </c>
      <c r="F6384" s="21">
        <f>-$B$5337</f>
        <v/>
      </c>
      <c r="G6384" s="21">
        <f>$B$5338</f>
        <v/>
      </c>
      <c r="H6384" s="21" t="n">
        <v>0</v>
      </c>
      <c r="I6384" s="21" t="n">
        <v>0</v>
      </c>
      <c r="J6384" s="21" t="n">
        <v>0</v>
      </c>
      <c r="K6384" s="21" t="n">
        <v>0</v>
      </c>
      <c r="L6384" s="21" t="n">
        <v>0</v>
      </c>
      <c r="M6384" s="21" t="n">
        <v>0</v>
      </c>
      <c r="N6384" s="21" t="n">
        <v>0</v>
      </c>
      <c r="O6384" s="21" t="n">
        <v>0</v>
      </c>
      <c r="P6384" s="21" t="n">
        <v>0</v>
      </c>
      <c r="Q6384" s="21" t="n">
        <v>0</v>
      </c>
      <c r="R6384" s="21" t="n">
        <v>0</v>
      </c>
      <c r="S6384" s="21" t="n">
        <v>0</v>
      </c>
      <c r="T6384" s="21" t="n">
        <v>0</v>
      </c>
      <c r="U6384" s="21" t="n">
        <v>0</v>
      </c>
      <c r="V6384" s="21" t="n">
        <v>0</v>
      </c>
      <c r="W6384" s="21" t="n">
        <v>0</v>
      </c>
      <c r="X6384" s="21" t="n">
        <v>0</v>
      </c>
      <c r="Y6384" s="21" t="n">
        <v>0</v>
      </c>
      <c r="Z6384" s="19">
        <f t="array" ref="Z6384:Z6405">MMULT(MINVERSE($D$6384:$Y$6405),$D$5364:$D$5385)</f>
        <v/>
      </c>
    </row>
    <row r="6385">
      <c r="D6385" s="21">
        <f>$B$5338</f>
        <v/>
      </c>
      <c r="E6385" s="21">
        <f>$B$5339</f>
        <v/>
      </c>
      <c r="F6385" s="21">
        <f>-$B$5338</f>
        <v/>
      </c>
      <c r="G6385" s="21">
        <f>$B$5340</f>
        <v/>
      </c>
      <c r="H6385" s="21" t="n">
        <v>0</v>
      </c>
      <c r="I6385" s="21" t="n">
        <v>0</v>
      </c>
      <c r="J6385" s="21" t="n">
        <v>0</v>
      </c>
      <c r="K6385" s="21" t="n">
        <v>0</v>
      </c>
      <c r="L6385" s="21" t="n">
        <v>0</v>
      </c>
      <c r="M6385" s="21" t="n">
        <v>0</v>
      </c>
      <c r="N6385" s="21" t="n">
        <v>0</v>
      </c>
      <c r="O6385" s="21" t="n">
        <v>0</v>
      </c>
      <c r="P6385" s="21" t="n">
        <v>0</v>
      </c>
      <c r="Q6385" s="21" t="n">
        <v>0</v>
      </c>
      <c r="R6385" s="21" t="n">
        <v>0</v>
      </c>
      <c r="S6385" s="21" t="n">
        <v>0</v>
      </c>
      <c r="T6385" s="21" t="n">
        <v>0</v>
      </c>
      <c r="U6385" s="21" t="n">
        <v>0</v>
      </c>
      <c r="V6385" s="21" t="n">
        <v>0</v>
      </c>
      <c r="W6385" s="21" t="n">
        <v>0</v>
      </c>
      <c r="X6385" s="21" t="n">
        <v>0</v>
      </c>
      <c r="Y6385" s="21" t="n">
        <v>0</v>
      </c>
      <c r="Z6385" s="19" t="n"/>
    </row>
    <row r="6386">
      <c r="D6386" s="21">
        <f>-$B$5337</f>
        <v/>
      </c>
      <c r="E6386" s="21">
        <f>-$B$5338</f>
        <v/>
      </c>
      <c r="F6386" s="21">
        <f>2*$B$5337+$D$6373</f>
        <v/>
      </c>
      <c r="G6386" s="21">
        <f>0</f>
        <v/>
      </c>
      <c r="H6386" s="21">
        <f>-$B$5337</f>
        <v/>
      </c>
      <c r="I6386" s="21">
        <f>$B$5338</f>
        <v/>
      </c>
      <c r="J6386" s="21" t="n">
        <v>0</v>
      </c>
      <c r="K6386" s="21" t="n">
        <v>0</v>
      </c>
      <c r="L6386" s="21" t="n">
        <v>0</v>
      </c>
      <c r="M6386" s="21" t="n">
        <v>0</v>
      </c>
      <c r="N6386" s="21" t="n">
        <v>0</v>
      </c>
      <c r="O6386" s="21" t="n">
        <v>0</v>
      </c>
      <c r="P6386" s="21" t="n">
        <v>0</v>
      </c>
      <c r="Q6386" s="21" t="n">
        <v>0</v>
      </c>
      <c r="R6386" s="21" t="n">
        <v>0</v>
      </c>
      <c r="S6386" s="21" t="n">
        <v>0</v>
      </c>
      <c r="T6386" s="21" t="n">
        <v>0</v>
      </c>
      <c r="U6386" s="21" t="n">
        <v>0</v>
      </c>
      <c r="V6386" s="21" t="n">
        <v>0</v>
      </c>
      <c r="W6386" s="21" t="n">
        <v>0</v>
      </c>
      <c r="X6386" s="21" t="n">
        <v>0</v>
      </c>
      <c r="Y6386" s="21" t="n">
        <v>0</v>
      </c>
      <c r="Z6386" s="19" t="n"/>
    </row>
    <row r="6387">
      <c r="D6387" s="21">
        <f>$B$5338</f>
        <v/>
      </c>
      <c r="E6387" s="21">
        <f>$B$5340</f>
        <v/>
      </c>
      <c r="F6387" s="21">
        <f>0</f>
        <v/>
      </c>
      <c r="G6387" s="21">
        <f>2*$B$5339</f>
        <v/>
      </c>
      <c r="H6387" s="21">
        <f>-$B$5338</f>
        <v/>
      </c>
      <c r="I6387" s="21">
        <f>$B$5340</f>
        <v/>
      </c>
      <c r="J6387" s="21" t="n">
        <v>0</v>
      </c>
      <c r="K6387" s="21" t="n">
        <v>0</v>
      </c>
      <c r="L6387" s="21" t="n">
        <v>0</v>
      </c>
      <c r="M6387" s="21" t="n">
        <v>0</v>
      </c>
      <c r="N6387" s="21" t="n">
        <v>0</v>
      </c>
      <c r="O6387" s="21" t="n">
        <v>0</v>
      </c>
      <c r="P6387" s="21" t="n">
        <v>0</v>
      </c>
      <c r="Q6387" s="21" t="n">
        <v>0</v>
      </c>
      <c r="R6387" s="21" t="n">
        <v>0</v>
      </c>
      <c r="S6387" s="21" t="n">
        <v>0</v>
      </c>
      <c r="T6387" s="21" t="n">
        <v>0</v>
      </c>
      <c r="U6387" s="21" t="n">
        <v>0</v>
      </c>
      <c r="V6387" s="21" t="n">
        <v>0</v>
      </c>
      <c r="W6387" s="21" t="n">
        <v>0</v>
      </c>
      <c r="X6387" s="21" t="n">
        <v>0</v>
      </c>
      <c r="Y6387" s="21" t="n">
        <v>0</v>
      </c>
      <c r="Z6387" s="19" t="n"/>
    </row>
    <row r="6388">
      <c r="D6388" s="21" t="n">
        <v>0</v>
      </c>
      <c r="E6388" s="21" t="n">
        <v>0</v>
      </c>
      <c r="F6388" s="21">
        <f>-$B$5337</f>
        <v/>
      </c>
      <c r="G6388" s="21">
        <f>-$B$5338</f>
        <v/>
      </c>
      <c r="H6388" s="21">
        <f>2*$B$5337+$D$6374</f>
        <v/>
      </c>
      <c r="I6388" s="21">
        <f>0</f>
        <v/>
      </c>
      <c r="J6388" s="21">
        <f>-$B$5337</f>
        <v/>
      </c>
      <c r="K6388" s="21">
        <f>$B$5338</f>
        <v/>
      </c>
      <c r="L6388" s="21" t="n">
        <v>0</v>
      </c>
      <c r="M6388" s="21" t="n">
        <v>0</v>
      </c>
      <c r="N6388" s="21" t="n">
        <v>0</v>
      </c>
      <c r="O6388" s="21" t="n">
        <v>0</v>
      </c>
      <c r="P6388" s="21" t="n">
        <v>0</v>
      </c>
      <c r="Q6388" s="21" t="n">
        <v>0</v>
      </c>
      <c r="R6388" s="21" t="n">
        <v>0</v>
      </c>
      <c r="S6388" s="21" t="n">
        <v>0</v>
      </c>
      <c r="T6388" s="21" t="n">
        <v>0</v>
      </c>
      <c r="U6388" s="21" t="n">
        <v>0</v>
      </c>
      <c r="V6388" s="21" t="n">
        <v>0</v>
      </c>
      <c r="W6388" s="21" t="n">
        <v>0</v>
      </c>
      <c r="X6388" s="21" t="n">
        <v>0</v>
      </c>
      <c r="Y6388" s="21" t="n">
        <v>0</v>
      </c>
      <c r="Z6388" s="19" t="n"/>
    </row>
    <row r="6389">
      <c r="D6389" s="21" t="n">
        <v>0</v>
      </c>
      <c r="E6389" s="21" t="n">
        <v>0</v>
      </c>
      <c r="F6389" s="21">
        <f>$B$5338</f>
        <v/>
      </c>
      <c r="G6389" s="21">
        <f>$B$5340</f>
        <v/>
      </c>
      <c r="H6389" s="21">
        <f>0</f>
        <v/>
      </c>
      <c r="I6389" s="21">
        <f>2*$B$5339</f>
        <v/>
      </c>
      <c r="J6389" s="21">
        <f>-$B$5338</f>
        <v/>
      </c>
      <c r="K6389" s="21">
        <f>$B$5340</f>
        <v/>
      </c>
      <c r="L6389" s="21" t="n">
        <v>0</v>
      </c>
      <c r="M6389" s="21" t="n">
        <v>0</v>
      </c>
      <c r="N6389" s="21" t="n">
        <v>0</v>
      </c>
      <c r="O6389" s="21" t="n">
        <v>0</v>
      </c>
      <c r="P6389" s="21" t="n">
        <v>0</v>
      </c>
      <c r="Q6389" s="21" t="n">
        <v>0</v>
      </c>
      <c r="R6389" s="21" t="n">
        <v>0</v>
      </c>
      <c r="S6389" s="21" t="n">
        <v>0</v>
      </c>
      <c r="T6389" s="21" t="n">
        <v>0</v>
      </c>
      <c r="U6389" s="21" t="n">
        <v>0</v>
      </c>
      <c r="V6389" s="21" t="n">
        <v>0</v>
      </c>
      <c r="W6389" s="21" t="n">
        <v>0</v>
      </c>
      <c r="X6389" s="21" t="n">
        <v>0</v>
      </c>
      <c r="Y6389" s="21" t="n">
        <v>0</v>
      </c>
      <c r="Z6389" s="19" t="n"/>
    </row>
    <row r="6390">
      <c r="D6390" s="21" t="n">
        <v>0</v>
      </c>
      <c r="E6390" s="21" t="n">
        <v>0</v>
      </c>
      <c r="F6390" s="21" t="n">
        <v>0</v>
      </c>
      <c r="G6390" s="21" t="n">
        <v>0</v>
      </c>
      <c r="H6390" s="21">
        <f>-$B$5337</f>
        <v/>
      </c>
      <c r="I6390" s="21">
        <f>-$B$5338</f>
        <v/>
      </c>
      <c r="J6390" s="21">
        <f>2*$B$5337+$D$6375</f>
        <v/>
      </c>
      <c r="K6390" s="21">
        <f>0</f>
        <v/>
      </c>
      <c r="L6390" s="21">
        <f>-$B$5337</f>
        <v/>
      </c>
      <c r="M6390" s="21">
        <f>$B$5338</f>
        <v/>
      </c>
      <c r="N6390" s="21" t="n">
        <v>0</v>
      </c>
      <c r="O6390" s="21" t="n">
        <v>0</v>
      </c>
      <c r="P6390" s="21" t="n">
        <v>0</v>
      </c>
      <c r="Q6390" s="21" t="n">
        <v>0</v>
      </c>
      <c r="R6390" s="21" t="n">
        <v>0</v>
      </c>
      <c r="S6390" s="21" t="n">
        <v>0</v>
      </c>
      <c r="T6390" s="21" t="n">
        <v>0</v>
      </c>
      <c r="U6390" s="21" t="n">
        <v>0</v>
      </c>
      <c r="V6390" s="21" t="n">
        <v>0</v>
      </c>
      <c r="W6390" s="21" t="n">
        <v>0</v>
      </c>
      <c r="X6390" s="21" t="n">
        <v>0</v>
      </c>
      <c r="Y6390" s="21" t="n">
        <v>0</v>
      </c>
      <c r="Z6390" s="19" t="n"/>
    </row>
    <row r="6391">
      <c r="D6391" s="21" t="n">
        <v>0</v>
      </c>
      <c r="E6391" s="21" t="n">
        <v>0</v>
      </c>
      <c r="F6391" s="21" t="n">
        <v>0</v>
      </c>
      <c r="G6391" s="21" t="n">
        <v>0</v>
      </c>
      <c r="H6391" s="21">
        <f>$B$5338</f>
        <v/>
      </c>
      <c r="I6391" s="21">
        <f>$B$5340</f>
        <v/>
      </c>
      <c r="J6391" s="21">
        <f>0</f>
        <v/>
      </c>
      <c r="K6391" s="21">
        <f>2*$B$5339</f>
        <v/>
      </c>
      <c r="L6391" s="21">
        <f>-$B$5338</f>
        <v/>
      </c>
      <c r="M6391" s="21">
        <f>$B$5340</f>
        <v/>
      </c>
      <c r="N6391" s="21" t="n">
        <v>0</v>
      </c>
      <c r="O6391" s="21" t="n">
        <v>0</v>
      </c>
      <c r="P6391" s="21" t="n">
        <v>0</v>
      </c>
      <c r="Q6391" s="21" t="n">
        <v>0</v>
      </c>
      <c r="R6391" s="21" t="n">
        <v>0</v>
      </c>
      <c r="S6391" s="21" t="n">
        <v>0</v>
      </c>
      <c r="T6391" s="21" t="n">
        <v>0</v>
      </c>
      <c r="U6391" s="21" t="n">
        <v>0</v>
      </c>
      <c r="V6391" s="21" t="n">
        <v>0</v>
      </c>
      <c r="W6391" s="21" t="n">
        <v>0</v>
      </c>
      <c r="X6391" s="21" t="n">
        <v>0</v>
      </c>
      <c r="Y6391" s="21" t="n">
        <v>0</v>
      </c>
      <c r="Z6391" s="19" t="n"/>
    </row>
    <row r="6392">
      <c r="D6392" s="21" t="n">
        <v>0</v>
      </c>
      <c r="E6392" s="21" t="n">
        <v>0</v>
      </c>
      <c r="F6392" s="21" t="n">
        <v>0</v>
      </c>
      <c r="G6392" s="21" t="n">
        <v>0</v>
      </c>
      <c r="H6392" s="21" t="n">
        <v>0</v>
      </c>
      <c r="I6392" s="21" t="n">
        <v>0</v>
      </c>
      <c r="J6392" s="21">
        <f>-$B$5337</f>
        <v/>
      </c>
      <c r="K6392" s="21">
        <f>-$B$5338</f>
        <v/>
      </c>
      <c r="L6392" s="21">
        <f>2*$B$5337+$D$6376</f>
        <v/>
      </c>
      <c r="M6392" s="21">
        <f>0</f>
        <v/>
      </c>
      <c r="N6392" s="21">
        <f>-$B$5337</f>
        <v/>
      </c>
      <c r="O6392" s="21">
        <f>$B$5338</f>
        <v/>
      </c>
      <c r="P6392" s="21" t="n">
        <v>0</v>
      </c>
      <c r="Q6392" s="21" t="n">
        <v>0</v>
      </c>
      <c r="R6392" s="21" t="n">
        <v>0</v>
      </c>
      <c r="S6392" s="21" t="n">
        <v>0</v>
      </c>
      <c r="T6392" s="21" t="n">
        <v>0</v>
      </c>
      <c r="U6392" s="21" t="n">
        <v>0</v>
      </c>
      <c r="V6392" s="21" t="n">
        <v>0</v>
      </c>
      <c r="W6392" s="21" t="n">
        <v>0</v>
      </c>
      <c r="X6392" s="21" t="n">
        <v>0</v>
      </c>
      <c r="Y6392" s="21" t="n">
        <v>0</v>
      </c>
      <c r="Z6392" s="19" t="n"/>
    </row>
    <row r="6393">
      <c r="D6393" s="21" t="n">
        <v>0</v>
      </c>
      <c r="E6393" s="21" t="n">
        <v>0</v>
      </c>
      <c r="F6393" s="21" t="n">
        <v>0</v>
      </c>
      <c r="G6393" s="21" t="n">
        <v>0</v>
      </c>
      <c r="H6393" s="21" t="n">
        <v>0</v>
      </c>
      <c r="I6393" s="21" t="n">
        <v>0</v>
      </c>
      <c r="J6393" s="21">
        <f>$B$5338</f>
        <v/>
      </c>
      <c r="K6393" s="21">
        <f>$B$5340</f>
        <v/>
      </c>
      <c r="L6393" s="21">
        <f>0</f>
        <v/>
      </c>
      <c r="M6393" s="21">
        <f>2*$B$5339</f>
        <v/>
      </c>
      <c r="N6393" s="21">
        <f>-$B$5338</f>
        <v/>
      </c>
      <c r="O6393" s="21">
        <f>$B$5340</f>
        <v/>
      </c>
      <c r="P6393" s="21" t="n">
        <v>0</v>
      </c>
      <c r="Q6393" s="21" t="n">
        <v>0</v>
      </c>
      <c r="R6393" s="21" t="n">
        <v>0</v>
      </c>
      <c r="S6393" s="21" t="n">
        <v>0</v>
      </c>
      <c r="T6393" s="21" t="n">
        <v>0</v>
      </c>
      <c r="U6393" s="21" t="n">
        <v>0</v>
      </c>
      <c r="V6393" s="21" t="n">
        <v>0</v>
      </c>
      <c r="W6393" s="21" t="n">
        <v>0</v>
      </c>
      <c r="X6393" s="21" t="n">
        <v>0</v>
      </c>
      <c r="Y6393" s="21" t="n">
        <v>0</v>
      </c>
      <c r="Z6393" s="19" t="n"/>
    </row>
    <row r="6394">
      <c r="D6394" s="21" t="n">
        <v>0</v>
      </c>
      <c r="E6394" s="21" t="n">
        <v>0</v>
      </c>
      <c r="F6394" s="21" t="n">
        <v>0</v>
      </c>
      <c r="G6394" s="21" t="n">
        <v>0</v>
      </c>
      <c r="H6394" s="21" t="n">
        <v>0</v>
      </c>
      <c r="I6394" s="21" t="n">
        <v>0</v>
      </c>
      <c r="J6394" s="21" t="n">
        <v>0</v>
      </c>
      <c r="K6394" s="21" t="n">
        <v>0</v>
      </c>
      <c r="L6394" s="21">
        <f>-$B$5337</f>
        <v/>
      </c>
      <c r="M6394" s="21">
        <f>-$B$5338</f>
        <v/>
      </c>
      <c r="N6394" s="21">
        <f>2*$B$5337+$D$6377</f>
        <v/>
      </c>
      <c r="O6394" s="21">
        <f>0</f>
        <v/>
      </c>
      <c r="P6394" s="21">
        <f>-$B$5337</f>
        <v/>
      </c>
      <c r="Q6394" s="21">
        <f>$B$5338</f>
        <v/>
      </c>
      <c r="R6394" s="21" t="n">
        <v>0</v>
      </c>
      <c r="S6394" s="21" t="n">
        <v>0</v>
      </c>
      <c r="T6394" s="21" t="n">
        <v>0</v>
      </c>
      <c r="U6394" s="21" t="n">
        <v>0</v>
      </c>
      <c r="V6394" s="21" t="n">
        <v>0</v>
      </c>
      <c r="W6394" s="21" t="n">
        <v>0</v>
      </c>
      <c r="X6394" s="21" t="n">
        <v>0</v>
      </c>
      <c r="Y6394" s="21" t="n">
        <v>0</v>
      </c>
      <c r="Z6394" s="19" t="n"/>
    </row>
    <row r="6395">
      <c r="D6395" s="21" t="n">
        <v>0</v>
      </c>
      <c r="E6395" s="21" t="n">
        <v>0</v>
      </c>
      <c r="F6395" s="21" t="n">
        <v>0</v>
      </c>
      <c r="G6395" s="21" t="n">
        <v>0</v>
      </c>
      <c r="H6395" s="21" t="n">
        <v>0</v>
      </c>
      <c r="I6395" s="21" t="n">
        <v>0</v>
      </c>
      <c r="J6395" s="21" t="n">
        <v>0</v>
      </c>
      <c r="K6395" s="21" t="n">
        <v>0</v>
      </c>
      <c r="L6395" s="21">
        <f>$B$5338</f>
        <v/>
      </c>
      <c r="M6395" s="21">
        <f>$B$5340</f>
        <v/>
      </c>
      <c r="N6395" s="21">
        <f>0</f>
        <v/>
      </c>
      <c r="O6395" s="21">
        <f>2*$B$5339</f>
        <v/>
      </c>
      <c r="P6395" s="21">
        <f>-$B$5338</f>
        <v/>
      </c>
      <c r="Q6395" s="21">
        <f>$B$5340</f>
        <v/>
      </c>
      <c r="R6395" s="21" t="n">
        <v>0</v>
      </c>
      <c r="S6395" s="21" t="n">
        <v>0</v>
      </c>
      <c r="T6395" s="21" t="n">
        <v>0</v>
      </c>
      <c r="U6395" s="21" t="n">
        <v>0</v>
      </c>
      <c r="V6395" s="21" t="n">
        <v>0</v>
      </c>
      <c r="W6395" s="21" t="n">
        <v>0</v>
      </c>
      <c r="X6395" s="21" t="n">
        <v>0</v>
      </c>
      <c r="Y6395" s="21" t="n">
        <v>0</v>
      </c>
      <c r="Z6395" s="19" t="n"/>
    </row>
    <row r="6396">
      <c r="D6396" s="21" t="n">
        <v>0</v>
      </c>
      <c r="E6396" s="21" t="n">
        <v>0</v>
      </c>
      <c r="F6396" s="21" t="n">
        <v>0</v>
      </c>
      <c r="G6396" s="21" t="n">
        <v>0</v>
      </c>
      <c r="H6396" s="21" t="n">
        <v>0</v>
      </c>
      <c r="I6396" s="21" t="n">
        <v>0</v>
      </c>
      <c r="J6396" s="21" t="n">
        <v>0</v>
      </c>
      <c r="K6396" s="21" t="n">
        <v>0</v>
      </c>
      <c r="L6396" s="21" t="n">
        <v>0</v>
      </c>
      <c r="M6396" s="21" t="n">
        <v>0</v>
      </c>
      <c r="N6396" s="21">
        <f>-$B$5337</f>
        <v/>
      </c>
      <c r="O6396" s="21">
        <f>-$B$5338</f>
        <v/>
      </c>
      <c r="P6396" s="21">
        <f>2*$B$5337+$D$6378</f>
        <v/>
      </c>
      <c r="Q6396" s="21">
        <f>0</f>
        <v/>
      </c>
      <c r="R6396" s="21">
        <f>-$B$5337</f>
        <v/>
      </c>
      <c r="S6396" s="21">
        <f>$B$5338</f>
        <v/>
      </c>
      <c r="T6396" s="21" t="n">
        <v>0</v>
      </c>
      <c r="U6396" s="21" t="n">
        <v>0</v>
      </c>
      <c r="V6396" s="21" t="n">
        <v>0</v>
      </c>
      <c r="W6396" s="21" t="n">
        <v>0</v>
      </c>
      <c r="X6396" s="21" t="n">
        <v>0</v>
      </c>
      <c r="Y6396" s="21" t="n">
        <v>0</v>
      </c>
      <c r="Z6396" s="19" t="n"/>
    </row>
    <row r="6397">
      <c r="D6397" s="21" t="n">
        <v>0</v>
      </c>
      <c r="E6397" s="21" t="n">
        <v>0</v>
      </c>
      <c r="F6397" s="21" t="n">
        <v>0</v>
      </c>
      <c r="G6397" s="21" t="n">
        <v>0</v>
      </c>
      <c r="H6397" s="21" t="n">
        <v>0</v>
      </c>
      <c r="I6397" s="21" t="n">
        <v>0</v>
      </c>
      <c r="J6397" s="21" t="n">
        <v>0</v>
      </c>
      <c r="K6397" s="21" t="n">
        <v>0</v>
      </c>
      <c r="L6397" s="21" t="n">
        <v>0</v>
      </c>
      <c r="M6397" s="21" t="n">
        <v>0</v>
      </c>
      <c r="N6397" s="21">
        <f>$B$5338</f>
        <v/>
      </c>
      <c r="O6397" s="21">
        <f>$B$5340</f>
        <v/>
      </c>
      <c r="P6397" s="21">
        <f>0</f>
        <v/>
      </c>
      <c r="Q6397" s="21">
        <f>2*$B$5339</f>
        <v/>
      </c>
      <c r="R6397" s="21">
        <f>-$B$5338</f>
        <v/>
      </c>
      <c r="S6397" s="21">
        <f>$B$5340</f>
        <v/>
      </c>
      <c r="T6397" s="21" t="n">
        <v>0</v>
      </c>
      <c r="U6397" s="21" t="n">
        <v>0</v>
      </c>
      <c r="V6397" s="21" t="n">
        <v>0</v>
      </c>
      <c r="W6397" s="21" t="n">
        <v>0</v>
      </c>
      <c r="X6397" s="21" t="n">
        <v>0</v>
      </c>
      <c r="Y6397" s="21" t="n">
        <v>0</v>
      </c>
      <c r="Z6397" s="19" t="n"/>
    </row>
    <row r="6398">
      <c r="D6398" s="21" t="n">
        <v>0</v>
      </c>
      <c r="E6398" s="21" t="n">
        <v>0</v>
      </c>
      <c r="F6398" s="21" t="n">
        <v>0</v>
      </c>
      <c r="G6398" s="21" t="n">
        <v>0</v>
      </c>
      <c r="H6398" s="21" t="n">
        <v>0</v>
      </c>
      <c r="I6398" s="21" t="n">
        <v>0</v>
      </c>
      <c r="J6398" s="21" t="n">
        <v>0</v>
      </c>
      <c r="K6398" s="21" t="n">
        <v>0</v>
      </c>
      <c r="L6398" s="21" t="n">
        <v>0</v>
      </c>
      <c r="M6398" s="21" t="n">
        <v>0</v>
      </c>
      <c r="N6398" s="21" t="n">
        <v>0</v>
      </c>
      <c r="O6398" s="21" t="n">
        <v>0</v>
      </c>
      <c r="P6398" s="21">
        <f>-$B$5337</f>
        <v/>
      </c>
      <c r="Q6398" s="21">
        <f>-$B$5338</f>
        <v/>
      </c>
      <c r="R6398" s="21">
        <f>2*$B$5337+$D$6379</f>
        <v/>
      </c>
      <c r="S6398" s="21">
        <f>0</f>
        <v/>
      </c>
      <c r="T6398" s="21">
        <f>-$B$5337</f>
        <v/>
      </c>
      <c r="U6398" s="21">
        <f>$B$5338</f>
        <v/>
      </c>
      <c r="V6398" s="21" t="n">
        <v>0</v>
      </c>
      <c r="W6398" s="21" t="n">
        <v>0</v>
      </c>
      <c r="X6398" s="21" t="n">
        <v>0</v>
      </c>
      <c r="Y6398" s="21" t="n">
        <v>0</v>
      </c>
      <c r="Z6398" s="19" t="n"/>
    </row>
    <row r="6399">
      <c r="D6399" s="21" t="n">
        <v>0</v>
      </c>
      <c r="E6399" s="21" t="n">
        <v>0</v>
      </c>
      <c r="F6399" s="21" t="n">
        <v>0</v>
      </c>
      <c r="G6399" s="21" t="n">
        <v>0</v>
      </c>
      <c r="H6399" s="21" t="n">
        <v>0</v>
      </c>
      <c r="I6399" s="21" t="n">
        <v>0</v>
      </c>
      <c r="J6399" s="21" t="n">
        <v>0</v>
      </c>
      <c r="K6399" s="21" t="n">
        <v>0</v>
      </c>
      <c r="L6399" s="21" t="n">
        <v>0</v>
      </c>
      <c r="M6399" s="21" t="n">
        <v>0</v>
      </c>
      <c r="N6399" s="21" t="n">
        <v>0</v>
      </c>
      <c r="O6399" s="21" t="n">
        <v>0</v>
      </c>
      <c r="P6399" s="21">
        <f>$B$5338</f>
        <v/>
      </c>
      <c r="Q6399" s="21">
        <f>$B$5340</f>
        <v/>
      </c>
      <c r="R6399" s="21">
        <f>0</f>
        <v/>
      </c>
      <c r="S6399" s="21">
        <f>2*$B$5339</f>
        <v/>
      </c>
      <c r="T6399" s="21">
        <f>-$B$5338</f>
        <v/>
      </c>
      <c r="U6399" s="21">
        <f>$B$5340</f>
        <v/>
      </c>
      <c r="V6399" s="21" t="n">
        <v>0</v>
      </c>
      <c r="W6399" s="21" t="n">
        <v>0</v>
      </c>
      <c r="X6399" s="21" t="n">
        <v>0</v>
      </c>
      <c r="Y6399" s="21" t="n">
        <v>0</v>
      </c>
      <c r="Z6399" s="19" t="n"/>
    </row>
    <row r="6400">
      <c r="D6400" s="21" t="n">
        <v>0</v>
      </c>
      <c r="E6400" s="21" t="n">
        <v>0</v>
      </c>
      <c r="F6400" s="21" t="n">
        <v>0</v>
      </c>
      <c r="G6400" s="21" t="n">
        <v>0</v>
      </c>
      <c r="H6400" s="21" t="n">
        <v>0</v>
      </c>
      <c r="I6400" s="21" t="n">
        <v>0</v>
      </c>
      <c r="J6400" s="21" t="n">
        <v>0</v>
      </c>
      <c r="K6400" s="21" t="n">
        <v>0</v>
      </c>
      <c r="L6400" s="21" t="n">
        <v>0</v>
      </c>
      <c r="M6400" s="21" t="n">
        <v>0</v>
      </c>
      <c r="N6400" s="21" t="n">
        <v>0</v>
      </c>
      <c r="O6400" s="21" t="n">
        <v>0</v>
      </c>
      <c r="P6400" s="21" t="n">
        <v>0</v>
      </c>
      <c r="Q6400" s="21" t="n">
        <v>0</v>
      </c>
      <c r="R6400" s="21">
        <f>-$B$5337</f>
        <v/>
      </c>
      <c r="S6400" s="21">
        <f>-$B$5338</f>
        <v/>
      </c>
      <c r="T6400" s="21">
        <f>2*$B$5337+$D$6380</f>
        <v/>
      </c>
      <c r="U6400" s="21">
        <f>0</f>
        <v/>
      </c>
      <c r="V6400" s="21">
        <f>-$B$5337</f>
        <v/>
      </c>
      <c r="W6400" s="21">
        <f>$B$5338</f>
        <v/>
      </c>
      <c r="X6400" s="21" t="n">
        <v>0</v>
      </c>
      <c r="Y6400" s="21" t="n">
        <v>0</v>
      </c>
      <c r="Z6400" s="19" t="n"/>
    </row>
    <row r="6401">
      <c r="D6401" s="21" t="n">
        <v>0</v>
      </c>
      <c r="E6401" s="21" t="n">
        <v>0</v>
      </c>
      <c r="F6401" s="21" t="n">
        <v>0</v>
      </c>
      <c r="G6401" s="21" t="n">
        <v>0</v>
      </c>
      <c r="H6401" s="21" t="n">
        <v>0</v>
      </c>
      <c r="I6401" s="21" t="n">
        <v>0</v>
      </c>
      <c r="J6401" s="21" t="n">
        <v>0</v>
      </c>
      <c r="K6401" s="21" t="n">
        <v>0</v>
      </c>
      <c r="L6401" s="21" t="n">
        <v>0</v>
      </c>
      <c r="M6401" s="21" t="n">
        <v>0</v>
      </c>
      <c r="N6401" s="21" t="n">
        <v>0</v>
      </c>
      <c r="O6401" s="21" t="n">
        <v>0</v>
      </c>
      <c r="P6401" s="21" t="n">
        <v>0</v>
      </c>
      <c r="Q6401" s="21" t="n">
        <v>0</v>
      </c>
      <c r="R6401" s="21">
        <f>$B$5338</f>
        <v/>
      </c>
      <c r="S6401" s="21">
        <f>$B$5340</f>
        <v/>
      </c>
      <c r="T6401" s="21">
        <f>0</f>
        <v/>
      </c>
      <c r="U6401" s="21">
        <f>2*$B$5339</f>
        <v/>
      </c>
      <c r="V6401" s="21">
        <f>-$B$5338</f>
        <v/>
      </c>
      <c r="W6401" s="21">
        <f>$B$5340</f>
        <v/>
      </c>
      <c r="X6401" s="21" t="n">
        <v>0</v>
      </c>
      <c r="Y6401" s="21" t="n">
        <v>0</v>
      </c>
      <c r="Z6401" s="19" t="n"/>
    </row>
    <row r="6402">
      <c r="D6402" s="21" t="n">
        <v>0</v>
      </c>
      <c r="E6402" s="21" t="n">
        <v>0</v>
      </c>
      <c r="F6402" s="21" t="n">
        <v>0</v>
      </c>
      <c r="G6402" s="21" t="n">
        <v>0</v>
      </c>
      <c r="H6402" s="21" t="n">
        <v>0</v>
      </c>
      <c r="I6402" s="21" t="n">
        <v>0</v>
      </c>
      <c r="J6402" s="21" t="n">
        <v>0</v>
      </c>
      <c r="K6402" s="21" t="n">
        <v>0</v>
      </c>
      <c r="L6402" s="21" t="n">
        <v>0</v>
      </c>
      <c r="M6402" s="21" t="n">
        <v>0</v>
      </c>
      <c r="N6402" s="21" t="n">
        <v>0</v>
      </c>
      <c r="O6402" s="21" t="n">
        <v>0</v>
      </c>
      <c r="P6402" s="21" t="n">
        <v>0</v>
      </c>
      <c r="Q6402" s="21" t="n">
        <v>0</v>
      </c>
      <c r="R6402" s="21" t="n">
        <v>0</v>
      </c>
      <c r="S6402" s="21" t="n">
        <v>0</v>
      </c>
      <c r="T6402" s="21">
        <f>-$B$5337</f>
        <v/>
      </c>
      <c r="U6402" s="21">
        <f>-$B$5338</f>
        <v/>
      </c>
      <c r="V6402" s="21">
        <f>2*$B$5337+$D$6381</f>
        <v/>
      </c>
      <c r="W6402" s="21">
        <f>0</f>
        <v/>
      </c>
      <c r="X6402" s="21">
        <f>-$B$5337</f>
        <v/>
      </c>
      <c r="Y6402" s="21">
        <f>$B$5338</f>
        <v/>
      </c>
      <c r="Z6402" s="19" t="n"/>
    </row>
    <row r="6403">
      <c r="D6403" s="21" t="n">
        <v>0</v>
      </c>
      <c r="E6403" s="21" t="n">
        <v>0</v>
      </c>
      <c r="F6403" s="21" t="n">
        <v>0</v>
      </c>
      <c r="G6403" s="21" t="n">
        <v>0</v>
      </c>
      <c r="H6403" s="21" t="n">
        <v>0</v>
      </c>
      <c r="I6403" s="21" t="n">
        <v>0</v>
      </c>
      <c r="J6403" s="21" t="n">
        <v>0</v>
      </c>
      <c r="K6403" s="21" t="n">
        <v>0</v>
      </c>
      <c r="L6403" s="21" t="n">
        <v>0</v>
      </c>
      <c r="M6403" s="21" t="n">
        <v>0</v>
      </c>
      <c r="N6403" s="21" t="n">
        <v>0</v>
      </c>
      <c r="O6403" s="21" t="n">
        <v>0</v>
      </c>
      <c r="P6403" s="21" t="n">
        <v>0</v>
      </c>
      <c r="Q6403" s="21" t="n">
        <v>0</v>
      </c>
      <c r="R6403" s="21" t="n">
        <v>0</v>
      </c>
      <c r="S6403" s="21" t="n">
        <v>0</v>
      </c>
      <c r="T6403" s="21">
        <f>$B$5338</f>
        <v/>
      </c>
      <c r="U6403" s="21">
        <f>$B$5340</f>
        <v/>
      </c>
      <c r="V6403" s="21">
        <f>0</f>
        <v/>
      </c>
      <c r="W6403" s="21">
        <f>2*$B$5339</f>
        <v/>
      </c>
      <c r="X6403" s="21">
        <f>-$B$5338</f>
        <v/>
      </c>
      <c r="Y6403" s="21">
        <f>$B$5340</f>
        <v/>
      </c>
      <c r="Z6403" s="19" t="n"/>
    </row>
    <row r="6404">
      <c r="D6404" s="21" t="n">
        <v>0</v>
      </c>
      <c r="E6404" s="21" t="n">
        <v>0</v>
      </c>
      <c r="F6404" s="21" t="n">
        <v>0</v>
      </c>
      <c r="G6404" s="21" t="n">
        <v>0</v>
      </c>
      <c r="H6404" s="21" t="n">
        <v>0</v>
      </c>
      <c r="I6404" s="21" t="n">
        <v>0</v>
      </c>
      <c r="J6404" s="21" t="n">
        <v>0</v>
      </c>
      <c r="K6404" s="21" t="n">
        <v>0</v>
      </c>
      <c r="L6404" s="21" t="n">
        <v>0</v>
      </c>
      <c r="M6404" s="21" t="n">
        <v>0</v>
      </c>
      <c r="N6404" s="21" t="n">
        <v>0</v>
      </c>
      <c r="O6404" s="21" t="n">
        <v>0</v>
      </c>
      <c r="P6404" s="21" t="n">
        <v>0</v>
      </c>
      <c r="Q6404" s="21" t="n">
        <v>0</v>
      </c>
      <c r="R6404" s="21" t="n">
        <v>0</v>
      </c>
      <c r="S6404" s="21" t="n">
        <v>0</v>
      </c>
      <c r="T6404" s="21" t="n">
        <v>0</v>
      </c>
      <c r="U6404" s="21" t="n">
        <v>0</v>
      </c>
      <c r="V6404" s="21">
        <f>-$B$5337</f>
        <v/>
      </c>
      <c r="W6404" s="21">
        <f>-$B$5338</f>
        <v/>
      </c>
      <c r="X6404" s="21">
        <f>$B$5337+$D$6382</f>
        <v/>
      </c>
      <c r="Y6404" s="21">
        <f>-$B$5338</f>
        <v/>
      </c>
      <c r="Z6404" s="19" t="n"/>
    </row>
    <row r="6405">
      <c r="D6405" s="21" t="n">
        <v>0</v>
      </c>
      <c r="E6405" s="21" t="n">
        <v>0</v>
      </c>
      <c r="F6405" s="21" t="n">
        <v>0</v>
      </c>
      <c r="G6405" s="21" t="n">
        <v>0</v>
      </c>
      <c r="H6405" s="21" t="n">
        <v>0</v>
      </c>
      <c r="I6405" s="21" t="n">
        <v>0</v>
      </c>
      <c r="J6405" s="21" t="n">
        <v>0</v>
      </c>
      <c r="K6405" s="21" t="n">
        <v>0</v>
      </c>
      <c r="L6405" s="21" t="n">
        <v>0</v>
      </c>
      <c r="M6405" s="21" t="n">
        <v>0</v>
      </c>
      <c r="N6405" s="21" t="n">
        <v>0</v>
      </c>
      <c r="O6405" s="21" t="n">
        <v>0</v>
      </c>
      <c r="P6405" s="21" t="n">
        <v>0</v>
      </c>
      <c r="Q6405" s="21" t="n">
        <v>0</v>
      </c>
      <c r="R6405" s="21" t="n">
        <v>0</v>
      </c>
      <c r="S6405" s="21" t="n">
        <v>0</v>
      </c>
      <c r="T6405" s="21" t="n">
        <v>0</v>
      </c>
      <c r="U6405" s="21" t="n">
        <v>0</v>
      </c>
      <c r="V6405" s="21">
        <f>$B$5338</f>
        <v/>
      </c>
      <c r="W6405" s="21">
        <f>$B$5340</f>
        <v/>
      </c>
      <c r="X6405" s="21">
        <f>-$B$5338</f>
        <v/>
      </c>
      <c r="Y6405" s="21">
        <f>$B$5339</f>
        <v/>
      </c>
      <c r="Z6405" s="19" t="n"/>
    </row>
    <row r="6407">
      <c r="A6407" s="8" t="inlineStr">
        <is>
          <t>gen 29</t>
        </is>
      </c>
    </row>
    <row r="6408">
      <c r="D6408" s="19">
        <f>IF(ABS(IF(ABS($E$6372)&gt;0.000000001,$E$6372,0.000000001))=0,0,IF($E$5352&lt;=$B$5346,0,IF(ABS(IF(ABS($E$6372)&gt;0.000000001,$E$6372,0.000000001))&gt;=8*$B$5348,$H$5352,0.5*$H$5352*(ABS(IF(ABS($E$6372)&gt;0.000000001,$E$6372,0.000000001))/$B$5348)^(1/3)))/ABS(IF(ABS($E$6372)&gt;0.000000001,$E$6372,0.000000001))*$I$5352)</f>
        <v/>
      </c>
      <c r="E6408" s="19">
        <f>0.5*$E$6372+0.5*$Z$6420</f>
        <v/>
      </c>
      <c r="F6408" s="19">
        <f>$Z$6421</f>
        <v/>
      </c>
    </row>
    <row r="6409">
      <c r="D6409" s="19">
        <f>IF(ABS(IF(ABS($E$6373)&gt;0.000000001,$E$6373,0.000000001))=0,0,IF($E$5353&lt;=$B$5346,0,IF(ABS(IF(ABS($E$6373)&gt;0.000000001,$E$6373,0.000000001))&gt;=8*$B$5348,$H$5353,0.5*$H$5353*(ABS(IF(ABS($E$6373)&gt;0.000000001,$E$6373,0.000000001))/$B$5348)^(1/3)))/ABS(IF(ABS($E$6373)&gt;0.000000001,$E$6373,0.000000001))*$I$5353)</f>
        <v/>
      </c>
      <c r="E6409" s="19">
        <f>0.5*$E$6373+0.5*$Z$6422</f>
        <v/>
      </c>
      <c r="F6409" s="19">
        <f>$Z$6423</f>
        <v/>
      </c>
    </row>
    <row r="6410">
      <c r="D6410" s="19">
        <f>IF(ABS(IF(ABS($E$6374)&gt;0.000000001,$E$6374,0.000000001))=0,0,IF($E$5354&lt;=$B$5346,0,IF(ABS(IF(ABS($E$6374)&gt;0.000000001,$E$6374,0.000000001))&gt;=8*$B$5348,$H$5354,0.5*$H$5354*(ABS(IF(ABS($E$6374)&gt;0.000000001,$E$6374,0.000000001))/$B$5348)^(1/3)))/ABS(IF(ABS($E$6374)&gt;0.000000001,$E$6374,0.000000001))*$I$5354)</f>
        <v/>
      </c>
      <c r="E6410" s="19">
        <f>0.5*$E$6374+0.5*$Z$6424</f>
        <v/>
      </c>
      <c r="F6410" s="19">
        <f>$Z$6425</f>
        <v/>
      </c>
    </row>
    <row r="6411">
      <c r="D6411" s="19">
        <f>IF(ABS(IF(ABS($E$6375)&gt;0.000000001,$E$6375,0.000000001))=0,0,IF($E$5355&lt;=$B$5346,0,IF(ABS(IF(ABS($E$6375)&gt;0.000000001,$E$6375,0.000000001))&gt;=8*$B$5348,$H$5355,0.5*$H$5355*(ABS(IF(ABS($E$6375)&gt;0.000000001,$E$6375,0.000000001))/$B$5348)^(1/3)))/ABS(IF(ABS($E$6375)&gt;0.000000001,$E$6375,0.000000001))*$I$5355)</f>
        <v/>
      </c>
      <c r="E6411" s="19">
        <f>0.5*$E$6375+0.5*$Z$6426</f>
        <v/>
      </c>
      <c r="F6411" s="19">
        <f>$Z$6427</f>
        <v/>
      </c>
    </row>
    <row r="6412">
      <c r="D6412" s="19">
        <f>IF(ABS(IF(ABS($E$6376)&gt;0.000000001,$E$6376,0.000000001))=0,0,IF($E$5356&lt;=$B$5346,0,IF(ABS(IF(ABS($E$6376)&gt;0.000000001,$E$6376,0.000000001))&gt;=8*$B$5348,$H$5356,0.5*$H$5356*(ABS(IF(ABS($E$6376)&gt;0.000000001,$E$6376,0.000000001))/$B$5348)^(1/3)))/ABS(IF(ABS($E$6376)&gt;0.000000001,$E$6376,0.000000001))*$I$5356)</f>
        <v/>
      </c>
      <c r="E6412" s="19">
        <f>0.5*$E$6376+0.5*$Z$6428</f>
        <v/>
      </c>
      <c r="F6412" s="19">
        <f>$Z$6429</f>
        <v/>
      </c>
    </row>
    <row r="6413">
      <c r="D6413" s="19">
        <f>IF(ABS(IF(ABS($E$6377)&gt;0.000000001,$E$6377,0.000000001))=0,0,IF($E$5357&lt;=$B$5346,0,IF(ABS(IF(ABS($E$6377)&gt;0.000000001,$E$6377,0.000000001))&gt;=8*$B$5348,$H$5357,0.5*$H$5357*(ABS(IF(ABS($E$6377)&gt;0.000000001,$E$6377,0.000000001))/$B$5348)^(1/3)))/ABS(IF(ABS($E$6377)&gt;0.000000001,$E$6377,0.000000001))*$I$5357)</f>
        <v/>
      </c>
      <c r="E6413" s="19">
        <f>0.5*$E$6377+0.5*$Z$6430</f>
        <v/>
      </c>
      <c r="F6413" s="19">
        <f>$Z$6431</f>
        <v/>
      </c>
    </row>
    <row r="6414">
      <c r="D6414" s="19">
        <f>IF(ABS(IF(ABS($E$6378)&gt;0.000000001,$E$6378,0.000000001))=0,0,IF($E$5358&lt;=$B$5346,0,IF(ABS(IF(ABS($E$6378)&gt;0.000000001,$E$6378,0.000000001))&gt;=8*$B$5348,$H$5358,0.5*$H$5358*(ABS(IF(ABS($E$6378)&gt;0.000000001,$E$6378,0.000000001))/$B$5348)^(1/3)))/ABS(IF(ABS($E$6378)&gt;0.000000001,$E$6378,0.000000001))*$I$5358)</f>
        <v/>
      </c>
      <c r="E6414" s="19">
        <f>0.5*$E$6378+0.5*$Z$6432</f>
        <v/>
      </c>
      <c r="F6414" s="19">
        <f>$Z$6433</f>
        <v/>
      </c>
    </row>
    <row r="6415">
      <c r="D6415" s="19">
        <f>IF(ABS(IF(ABS($E$6379)&gt;0.000000001,$E$6379,0.000000001))=0,0,IF($E$5359&lt;=$B$5346,0,IF(ABS(IF(ABS($E$6379)&gt;0.000000001,$E$6379,0.000000001))&gt;=8*$B$5348,$H$5359,0.5*$H$5359*(ABS(IF(ABS($E$6379)&gt;0.000000001,$E$6379,0.000000001))/$B$5348)^(1/3)))/ABS(IF(ABS($E$6379)&gt;0.000000001,$E$6379,0.000000001))*$I$5359)</f>
        <v/>
      </c>
      <c r="E6415" s="19">
        <f>0.5*$E$6379+0.5*$Z$6434</f>
        <v/>
      </c>
      <c r="F6415" s="19">
        <f>$Z$6435</f>
        <v/>
      </c>
    </row>
    <row r="6416">
      <c r="D6416" s="19">
        <f>IF(ABS(IF(ABS($E$6380)&gt;0.000000001,$E$6380,0.000000001))=0,0,IF($E$5360&lt;=$B$5346,0,IF(ABS(IF(ABS($E$6380)&gt;0.000000001,$E$6380,0.000000001))&gt;=8*$B$5348,$H$5360,0.5*$H$5360*(ABS(IF(ABS($E$6380)&gt;0.000000001,$E$6380,0.000000001))/$B$5348)^(1/3)))/ABS(IF(ABS($E$6380)&gt;0.000000001,$E$6380,0.000000001))*$I$5360)</f>
        <v/>
      </c>
      <c r="E6416" s="19">
        <f>0.5*$E$6380+0.5*$Z$6436</f>
        <v/>
      </c>
      <c r="F6416" s="19">
        <f>$Z$6437</f>
        <v/>
      </c>
    </row>
    <row r="6417">
      <c r="D6417" s="19">
        <f>IF(ABS(IF(ABS($E$6381)&gt;0.000000001,$E$6381,0.000000001))=0,0,IF($E$5361&lt;=$B$5346,0,IF(ABS(IF(ABS($E$6381)&gt;0.000000001,$E$6381,0.000000001))&gt;=8*$B$5348,$H$5361,0.5*$H$5361*(ABS(IF(ABS($E$6381)&gt;0.000000001,$E$6381,0.000000001))/$B$5348)^(1/3)))/ABS(IF(ABS($E$6381)&gt;0.000000001,$E$6381,0.000000001))*$I$5361)</f>
        <v/>
      </c>
      <c r="E6417" s="19">
        <f>0.5*$E$6381+0.5*$Z$6438</f>
        <v/>
      </c>
      <c r="F6417" s="19">
        <f>$Z$6439</f>
        <v/>
      </c>
    </row>
    <row r="6418">
      <c r="D6418" s="19">
        <f>IF(ABS(IF(ABS($E$6382)&gt;0.000000001,$E$6382,0.000000001))=0,0,IF($E$5362&lt;=$B$5346,0,IF(ABS(IF(ABS($E$6382)&gt;0.000000001,$E$6382,0.000000001))&gt;=8*$B$5348,$H$5362,0.5*$H$5362*(ABS(IF(ABS($E$6382)&gt;0.000000001,$E$6382,0.000000001))/$B$5348)^(1/3)))/ABS(IF(ABS($E$6382)&gt;0.000000001,$E$6382,0.000000001))*$I$5362)</f>
        <v/>
      </c>
      <c r="E6418" s="19">
        <f>0.5*$E$6382+0.5*$Z$6440</f>
        <v/>
      </c>
      <c r="F6418" s="19">
        <f>$Z$6441</f>
        <v/>
      </c>
    </row>
    <row r="6420">
      <c r="D6420" s="21">
        <f>$B$5337+$D$6408</f>
        <v/>
      </c>
      <c r="E6420" s="21">
        <f>$B$5338</f>
        <v/>
      </c>
      <c r="F6420" s="21">
        <f>-$B$5337</f>
        <v/>
      </c>
      <c r="G6420" s="21">
        <f>$B$5338</f>
        <v/>
      </c>
      <c r="H6420" s="21" t="n">
        <v>0</v>
      </c>
      <c r="I6420" s="21" t="n">
        <v>0</v>
      </c>
      <c r="J6420" s="21" t="n">
        <v>0</v>
      </c>
      <c r="K6420" s="21" t="n">
        <v>0</v>
      </c>
      <c r="L6420" s="21" t="n">
        <v>0</v>
      </c>
      <c r="M6420" s="21" t="n">
        <v>0</v>
      </c>
      <c r="N6420" s="21" t="n">
        <v>0</v>
      </c>
      <c r="O6420" s="21" t="n">
        <v>0</v>
      </c>
      <c r="P6420" s="21" t="n">
        <v>0</v>
      </c>
      <c r="Q6420" s="21" t="n">
        <v>0</v>
      </c>
      <c r="R6420" s="21" t="n">
        <v>0</v>
      </c>
      <c r="S6420" s="21" t="n">
        <v>0</v>
      </c>
      <c r="T6420" s="21" t="n">
        <v>0</v>
      </c>
      <c r="U6420" s="21" t="n">
        <v>0</v>
      </c>
      <c r="V6420" s="21" t="n">
        <v>0</v>
      </c>
      <c r="W6420" s="21" t="n">
        <v>0</v>
      </c>
      <c r="X6420" s="21" t="n">
        <v>0</v>
      </c>
      <c r="Y6420" s="21" t="n">
        <v>0</v>
      </c>
      <c r="Z6420" s="19">
        <f t="array" ref="Z6420:Z6441">MMULT(MINVERSE($D$6420:$Y$6441),$D$5364:$D$5385)</f>
        <v/>
      </c>
    </row>
    <row r="6421">
      <c r="D6421" s="21">
        <f>$B$5338</f>
        <v/>
      </c>
      <c r="E6421" s="21">
        <f>$B$5339</f>
        <v/>
      </c>
      <c r="F6421" s="21">
        <f>-$B$5338</f>
        <v/>
      </c>
      <c r="G6421" s="21">
        <f>$B$5340</f>
        <v/>
      </c>
      <c r="H6421" s="21" t="n">
        <v>0</v>
      </c>
      <c r="I6421" s="21" t="n">
        <v>0</v>
      </c>
      <c r="J6421" s="21" t="n">
        <v>0</v>
      </c>
      <c r="K6421" s="21" t="n">
        <v>0</v>
      </c>
      <c r="L6421" s="21" t="n">
        <v>0</v>
      </c>
      <c r="M6421" s="21" t="n">
        <v>0</v>
      </c>
      <c r="N6421" s="21" t="n">
        <v>0</v>
      </c>
      <c r="O6421" s="21" t="n">
        <v>0</v>
      </c>
      <c r="P6421" s="21" t="n">
        <v>0</v>
      </c>
      <c r="Q6421" s="21" t="n">
        <v>0</v>
      </c>
      <c r="R6421" s="21" t="n">
        <v>0</v>
      </c>
      <c r="S6421" s="21" t="n">
        <v>0</v>
      </c>
      <c r="T6421" s="21" t="n">
        <v>0</v>
      </c>
      <c r="U6421" s="21" t="n">
        <v>0</v>
      </c>
      <c r="V6421" s="21" t="n">
        <v>0</v>
      </c>
      <c r="W6421" s="21" t="n">
        <v>0</v>
      </c>
      <c r="X6421" s="21" t="n">
        <v>0</v>
      </c>
      <c r="Y6421" s="21" t="n">
        <v>0</v>
      </c>
      <c r="Z6421" s="19" t="n"/>
    </row>
    <row r="6422">
      <c r="D6422" s="21">
        <f>-$B$5337</f>
        <v/>
      </c>
      <c r="E6422" s="21">
        <f>-$B$5338</f>
        <v/>
      </c>
      <c r="F6422" s="21">
        <f>2*$B$5337+$D$6409</f>
        <v/>
      </c>
      <c r="G6422" s="21">
        <f>0</f>
        <v/>
      </c>
      <c r="H6422" s="21">
        <f>-$B$5337</f>
        <v/>
      </c>
      <c r="I6422" s="21">
        <f>$B$5338</f>
        <v/>
      </c>
      <c r="J6422" s="21" t="n">
        <v>0</v>
      </c>
      <c r="K6422" s="21" t="n">
        <v>0</v>
      </c>
      <c r="L6422" s="21" t="n">
        <v>0</v>
      </c>
      <c r="M6422" s="21" t="n">
        <v>0</v>
      </c>
      <c r="N6422" s="21" t="n">
        <v>0</v>
      </c>
      <c r="O6422" s="21" t="n">
        <v>0</v>
      </c>
      <c r="P6422" s="21" t="n">
        <v>0</v>
      </c>
      <c r="Q6422" s="21" t="n">
        <v>0</v>
      </c>
      <c r="R6422" s="21" t="n">
        <v>0</v>
      </c>
      <c r="S6422" s="21" t="n">
        <v>0</v>
      </c>
      <c r="T6422" s="21" t="n">
        <v>0</v>
      </c>
      <c r="U6422" s="21" t="n">
        <v>0</v>
      </c>
      <c r="V6422" s="21" t="n">
        <v>0</v>
      </c>
      <c r="W6422" s="21" t="n">
        <v>0</v>
      </c>
      <c r="X6422" s="21" t="n">
        <v>0</v>
      </c>
      <c r="Y6422" s="21" t="n">
        <v>0</v>
      </c>
      <c r="Z6422" s="19" t="n"/>
    </row>
    <row r="6423">
      <c r="D6423" s="21">
        <f>$B$5338</f>
        <v/>
      </c>
      <c r="E6423" s="21">
        <f>$B$5340</f>
        <v/>
      </c>
      <c r="F6423" s="21">
        <f>0</f>
        <v/>
      </c>
      <c r="G6423" s="21">
        <f>2*$B$5339</f>
        <v/>
      </c>
      <c r="H6423" s="21">
        <f>-$B$5338</f>
        <v/>
      </c>
      <c r="I6423" s="21">
        <f>$B$5340</f>
        <v/>
      </c>
      <c r="J6423" s="21" t="n">
        <v>0</v>
      </c>
      <c r="K6423" s="21" t="n">
        <v>0</v>
      </c>
      <c r="L6423" s="21" t="n">
        <v>0</v>
      </c>
      <c r="M6423" s="21" t="n">
        <v>0</v>
      </c>
      <c r="N6423" s="21" t="n">
        <v>0</v>
      </c>
      <c r="O6423" s="21" t="n">
        <v>0</v>
      </c>
      <c r="P6423" s="21" t="n">
        <v>0</v>
      </c>
      <c r="Q6423" s="21" t="n">
        <v>0</v>
      </c>
      <c r="R6423" s="21" t="n">
        <v>0</v>
      </c>
      <c r="S6423" s="21" t="n">
        <v>0</v>
      </c>
      <c r="T6423" s="21" t="n">
        <v>0</v>
      </c>
      <c r="U6423" s="21" t="n">
        <v>0</v>
      </c>
      <c r="V6423" s="21" t="n">
        <v>0</v>
      </c>
      <c r="W6423" s="21" t="n">
        <v>0</v>
      </c>
      <c r="X6423" s="21" t="n">
        <v>0</v>
      </c>
      <c r="Y6423" s="21" t="n">
        <v>0</v>
      </c>
      <c r="Z6423" s="19" t="n"/>
    </row>
    <row r="6424">
      <c r="D6424" s="21" t="n">
        <v>0</v>
      </c>
      <c r="E6424" s="21" t="n">
        <v>0</v>
      </c>
      <c r="F6424" s="21">
        <f>-$B$5337</f>
        <v/>
      </c>
      <c r="G6424" s="21">
        <f>-$B$5338</f>
        <v/>
      </c>
      <c r="H6424" s="21">
        <f>2*$B$5337+$D$6410</f>
        <v/>
      </c>
      <c r="I6424" s="21">
        <f>0</f>
        <v/>
      </c>
      <c r="J6424" s="21">
        <f>-$B$5337</f>
        <v/>
      </c>
      <c r="K6424" s="21">
        <f>$B$5338</f>
        <v/>
      </c>
      <c r="L6424" s="21" t="n">
        <v>0</v>
      </c>
      <c r="M6424" s="21" t="n">
        <v>0</v>
      </c>
      <c r="N6424" s="21" t="n">
        <v>0</v>
      </c>
      <c r="O6424" s="21" t="n">
        <v>0</v>
      </c>
      <c r="P6424" s="21" t="n">
        <v>0</v>
      </c>
      <c r="Q6424" s="21" t="n">
        <v>0</v>
      </c>
      <c r="R6424" s="21" t="n">
        <v>0</v>
      </c>
      <c r="S6424" s="21" t="n">
        <v>0</v>
      </c>
      <c r="T6424" s="21" t="n">
        <v>0</v>
      </c>
      <c r="U6424" s="21" t="n">
        <v>0</v>
      </c>
      <c r="V6424" s="21" t="n">
        <v>0</v>
      </c>
      <c r="W6424" s="21" t="n">
        <v>0</v>
      </c>
      <c r="X6424" s="21" t="n">
        <v>0</v>
      </c>
      <c r="Y6424" s="21" t="n">
        <v>0</v>
      </c>
      <c r="Z6424" s="19" t="n"/>
    </row>
    <row r="6425">
      <c r="D6425" s="21" t="n">
        <v>0</v>
      </c>
      <c r="E6425" s="21" t="n">
        <v>0</v>
      </c>
      <c r="F6425" s="21">
        <f>$B$5338</f>
        <v/>
      </c>
      <c r="G6425" s="21">
        <f>$B$5340</f>
        <v/>
      </c>
      <c r="H6425" s="21">
        <f>0</f>
        <v/>
      </c>
      <c r="I6425" s="21">
        <f>2*$B$5339</f>
        <v/>
      </c>
      <c r="J6425" s="21">
        <f>-$B$5338</f>
        <v/>
      </c>
      <c r="K6425" s="21">
        <f>$B$5340</f>
        <v/>
      </c>
      <c r="L6425" s="21" t="n">
        <v>0</v>
      </c>
      <c r="M6425" s="21" t="n">
        <v>0</v>
      </c>
      <c r="N6425" s="21" t="n">
        <v>0</v>
      </c>
      <c r="O6425" s="21" t="n">
        <v>0</v>
      </c>
      <c r="P6425" s="21" t="n">
        <v>0</v>
      </c>
      <c r="Q6425" s="21" t="n">
        <v>0</v>
      </c>
      <c r="R6425" s="21" t="n">
        <v>0</v>
      </c>
      <c r="S6425" s="21" t="n">
        <v>0</v>
      </c>
      <c r="T6425" s="21" t="n">
        <v>0</v>
      </c>
      <c r="U6425" s="21" t="n">
        <v>0</v>
      </c>
      <c r="V6425" s="21" t="n">
        <v>0</v>
      </c>
      <c r="W6425" s="21" t="n">
        <v>0</v>
      </c>
      <c r="X6425" s="21" t="n">
        <v>0</v>
      </c>
      <c r="Y6425" s="21" t="n">
        <v>0</v>
      </c>
      <c r="Z6425" s="19" t="n"/>
    </row>
    <row r="6426">
      <c r="D6426" s="21" t="n">
        <v>0</v>
      </c>
      <c r="E6426" s="21" t="n">
        <v>0</v>
      </c>
      <c r="F6426" s="21" t="n">
        <v>0</v>
      </c>
      <c r="G6426" s="21" t="n">
        <v>0</v>
      </c>
      <c r="H6426" s="21">
        <f>-$B$5337</f>
        <v/>
      </c>
      <c r="I6426" s="21">
        <f>-$B$5338</f>
        <v/>
      </c>
      <c r="J6426" s="21">
        <f>2*$B$5337+$D$6411</f>
        <v/>
      </c>
      <c r="K6426" s="21">
        <f>0</f>
        <v/>
      </c>
      <c r="L6426" s="21">
        <f>-$B$5337</f>
        <v/>
      </c>
      <c r="M6426" s="21">
        <f>$B$5338</f>
        <v/>
      </c>
      <c r="N6426" s="21" t="n">
        <v>0</v>
      </c>
      <c r="O6426" s="21" t="n">
        <v>0</v>
      </c>
      <c r="P6426" s="21" t="n">
        <v>0</v>
      </c>
      <c r="Q6426" s="21" t="n">
        <v>0</v>
      </c>
      <c r="R6426" s="21" t="n">
        <v>0</v>
      </c>
      <c r="S6426" s="21" t="n">
        <v>0</v>
      </c>
      <c r="T6426" s="21" t="n">
        <v>0</v>
      </c>
      <c r="U6426" s="21" t="n">
        <v>0</v>
      </c>
      <c r="V6426" s="21" t="n">
        <v>0</v>
      </c>
      <c r="W6426" s="21" t="n">
        <v>0</v>
      </c>
      <c r="X6426" s="21" t="n">
        <v>0</v>
      </c>
      <c r="Y6426" s="21" t="n">
        <v>0</v>
      </c>
      <c r="Z6426" s="19" t="n"/>
    </row>
    <row r="6427">
      <c r="D6427" s="21" t="n">
        <v>0</v>
      </c>
      <c r="E6427" s="21" t="n">
        <v>0</v>
      </c>
      <c r="F6427" s="21" t="n">
        <v>0</v>
      </c>
      <c r="G6427" s="21" t="n">
        <v>0</v>
      </c>
      <c r="H6427" s="21">
        <f>$B$5338</f>
        <v/>
      </c>
      <c r="I6427" s="21">
        <f>$B$5340</f>
        <v/>
      </c>
      <c r="J6427" s="21">
        <f>0</f>
        <v/>
      </c>
      <c r="K6427" s="21">
        <f>2*$B$5339</f>
        <v/>
      </c>
      <c r="L6427" s="21">
        <f>-$B$5338</f>
        <v/>
      </c>
      <c r="M6427" s="21">
        <f>$B$5340</f>
        <v/>
      </c>
      <c r="N6427" s="21" t="n">
        <v>0</v>
      </c>
      <c r="O6427" s="21" t="n">
        <v>0</v>
      </c>
      <c r="P6427" s="21" t="n">
        <v>0</v>
      </c>
      <c r="Q6427" s="21" t="n">
        <v>0</v>
      </c>
      <c r="R6427" s="21" t="n">
        <v>0</v>
      </c>
      <c r="S6427" s="21" t="n">
        <v>0</v>
      </c>
      <c r="T6427" s="21" t="n">
        <v>0</v>
      </c>
      <c r="U6427" s="21" t="n">
        <v>0</v>
      </c>
      <c r="V6427" s="21" t="n">
        <v>0</v>
      </c>
      <c r="W6427" s="21" t="n">
        <v>0</v>
      </c>
      <c r="X6427" s="21" t="n">
        <v>0</v>
      </c>
      <c r="Y6427" s="21" t="n">
        <v>0</v>
      </c>
      <c r="Z6427" s="19" t="n"/>
    </row>
    <row r="6428">
      <c r="D6428" s="21" t="n">
        <v>0</v>
      </c>
      <c r="E6428" s="21" t="n">
        <v>0</v>
      </c>
      <c r="F6428" s="21" t="n">
        <v>0</v>
      </c>
      <c r="G6428" s="21" t="n">
        <v>0</v>
      </c>
      <c r="H6428" s="21" t="n">
        <v>0</v>
      </c>
      <c r="I6428" s="21" t="n">
        <v>0</v>
      </c>
      <c r="J6428" s="21">
        <f>-$B$5337</f>
        <v/>
      </c>
      <c r="K6428" s="21">
        <f>-$B$5338</f>
        <v/>
      </c>
      <c r="L6428" s="21">
        <f>2*$B$5337+$D$6412</f>
        <v/>
      </c>
      <c r="M6428" s="21">
        <f>0</f>
        <v/>
      </c>
      <c r="N6428" s="21">
        <f>-$B$5337</f>
        <v/>
      </c>
      <c r="O6428" s="21">
        <f>$B$5338</f>
        <v/>
      </c>
      <c r="P6428" s="21" t="n">
        <v>0</v>
      </c>
      <c r="Q6428" s="21" t="n">
        <v>0</v>
      </c>
      <c r="R6428" s="21" t="n">
        <v>0</v>
      </c>
      <c r="S6428" s="21" t="n">
        <v>0</v>
      </c>
      <c r="T6428" s="21" t="n">
        <v>0</v>
      </c>
      <c r="U6428" s="21" t="n">
        <v>0</v>
      </c>
      <c r="V6428" s="21" t="n">
        <v>0</v>
      </c>
      <c r="W6428" s="21" t="n">
        <v>0</v>
      </c>
      <c r="X6428" s="21" t="n">
        <v>0</v>
      </c>
      <c r="Y6428" s="21" t="n">
        <v>0</v>
      </c>
      <c r="Z6428" s="19" t="n"/>
    </row>
    <row r="6429">
      <c r="D6429" s="21" t="n">
        <v>0</v>
      </c>
      <c r="E6429" s="21" t="n">
        <v>0</v>
      </c>
      <c r="F6429" s="21" t="n">
        <v>0</v>
      </c>
      <c r="G6429" s="21" t="n">
        <v>0</v>
      </c>
      <c r="H6429" s="21" t="n">
        <v>0</v>
      </c>
      <c r="I6429" s="21" t="n">
        <v>0</v>
      </c>
      <c r="J6429" s="21">
        <f>$B$5338</f>
        <v/>
      </c>
      <c r="K6429" s="21">
        <f>$B$5340</f>
        <v/>
      </c>
      <c r="L6429" s="21">
        <f>0</f>
        <v/>
      </c>
      <c r="M6429" s="21">
        <f>2*$B$5339</f>
        <v/>
      </c>
      <c r="N6429" s="21">
        <f>-$B$5338</f>
        <v/>
      </c>
      <c r="O6429" s="21">
        <f>$B$5340</f>
        <v/>
      </c>
      <c r="P6429" s="21" t="n">
        <v>0</v>
      </c>
      <c r="Q6429" s="21" t="n">
        <v>0</v>
      </c>
      <c r="R6429" s="21" t="n">
        <v>0</v>
      </c>
      <c r="S6429" s="21" t="n">
        <v>0</v>
      </c>
      <c r="T6429" s="21" t="n">
        <v>0</v>
      </c>
      <c r="U6429" s="21" t="n">
        <v>0</v>
      </c>
      <c r="V6429" s="21" t="n">
        <v>0</v>
      </c>
      <c r="W6429" s="21" t="n">
        <v>0</v>
      </c>
      <c r="X6429" s="21" t="n">
        <v>0</v>
      </c>
      <c r="Y6429" s="21" t="n">
        <v>0</v>
      </c>
      <c r="Z6429" s="19" t="n"/>
    </row>
    <row r="6430">
      <c r="D6430" s="21" t="n">
        <v>0</v>
      </c>
      <c r="E6430" s="21" t="n">
        <v>0</v>
      </c>
      <c r="F6430" s="21" t="n">
        <v>0</v>
      </c>
      <c r="G6430" s="21" t="n">
        <v>0</v>
      </c>
      <c r="H6430" s="21" t="n">
        <v>0</v>
      </c>
      <c r="I6430" s="21" t="n">
        <v>0</v>
      </c>
      <c r="J6430" s="21" t="n">
        <v>0</v>
      </c>
      <c r="K6430" s="21" t="n">
        <v>0</v>
      </c>
      <c r="L6430" s="21">
        <f>-$B$5337</f>
        <v/>
      </c>
      <c r="M6430" s="21">
        <f>-$B$5338</f>
        <v/>
      </c>
      <c r="N6430" s="21">
        <f>2*$B$5337+$D$6413</f>
        <v/>
      </c>
      <c r="O6430" s="21">
        <f>0</f>
        <v/>
      </c>
      <c r="P6430" s="21">
        <f>-$B$5337</f>
        <v/>
      </c>
      <c r="Q6430" s="21">
        <f>$B$5338</f>
        <v/>
      </c>
      <c r="R6430" s="21" t="n">
        <v>0</v>
      </c>
      <c r="S6430" s="21" t="n">
        <v>0</v>
      </c>
      <c r="T6430" s="21" t="n">
        <v>0</v>
      </c>
      <c r="U6430" s="21" t="n">
        <v>0</v>
      </c>
      <c r="V6430" s="21" t="n">
        <v>0</v>
      </c>
      <c r="W6430" s="21" t="n">
        <v>0</v>
      </c>
      <c r="X6430" s="21" t="n">
        <v>0</v>
      </c>
      <c r="Y6430" s="21" t="n">
        <v>0</v>
      </c>
      <c r="Z6430" s="19" t="n"/>
    </row>
    <row r="6431">
      <c r="D6431" s="21" t="n">
        <v>0</v>
      </c>
      <c r="E6431" s="21" t="n">
        <v>0</v>
      </c>
      <c r="F6431" s="21" t="n">
        <v>0</v>
      </c>
      <c r="G6431" s="21" t="n">
        <v>0</v>
      </c>
      <c r="H6431" s="21" t="n">
        <v>0</v>
      </c>
      <c r="I6431" s="21" t="n">
        <v>0</v>
      </c>
      <c r="J6431" s="21" t="n">
        <v>0</v>
      </c>
      <c r="K6431" s="21" t="n">
        <v>0</v>
      </c>
      <c r="L6431" s="21">
        <f>$B$5338</f>
        <v/>
      </c>
      <c r="M6431" s="21">
        <f>$B$5340</f>
        <v/>
      </c>
      <c r="N6431" s="21">
        <f>0</f>
        <v/>
      </c>
      <c r="O6431" s="21">
        <f>2*$B$5339</f>
        <v/>
      </c>
      <c r="P6431" s="21">
        <f>-$B$5338</f>
        <v/>
      </c>
      <c r="Q6431" s="21">
        <f>$B$5340</f>
        <v/>
      </c>
      <c r="R6431" s="21" t="n">
        <v>0</v>
      </c>
      <c r="S6431" s="21" t="n">
        <v>0</v>
      </c>
      <c r="T6431" s="21" t="n">
        <v>0</v>
      </c>
      <c r="U6431" s="21" t="n">
        <v>0</v>
      </c>
      <c r="V6431" s="21" t="n">
        <v>0</v>
      </c>
      <c r="W6431" s="21" t="n">
        <v>0</v>
      </c>
      <c r="X6431" s="21" t="n">
        <v>0</v>
      </c>
      <c r="Y6431" s="21" t="n">
        <v>0</v>
      </c>
      <c r="Z6431" s="19" t="n"/>
    </row>
    <row r="6432">
      <c r="D6432" s="21" t="n">
        <v>0</v>
      </c>
      <c r="E6432" s="21" t="n">
        <v>0</v>
      </c>
      <c r="F6432" s="21" t="n">
        <v>0</v>
      </c>
      <c r="G6432" s="21" t="n">
        <v>0</v>
      </c>
      <c r="H6432" s="21" t="n">
        <v>0</v>
      </c>
      <c r="I6432" s="21" t="n">
        <v>0</v>
      </c>
      <c r="J6432" s="21" t="n">
        <v>0</v>
      </c>
      <c r="K6432" s="21" t="n">
        <v>0</v>
      </c>
      <c r="L6432" s="21" t="n">
        <v>0</v>
      </c>
      <c r="M6432" s="21" t="n">
        <v>0</v>
      </c>
      <c r="N6432" s="21">
        <f>-$B$5337</f>
        <v/>
      </c>
      <c r="O6432" s="21">
        <f>-$B$5338</f>
        <v/>
      </c>
      <c r="P6432" s="21">
        <f>2*$B$5337+$D$6414</f>
        <v/>
      </c>
      <c r="Q6432" s="21">
        <f>0</f>
        <v/>
      </c>
      <c r="R6432" s="21">
        <f>-$B$5337</f>
        <v/>
      </c>
      <c r="S6432" s="21">
        <f>$B$5338</f>
        <v/>
      </c>
      <c r="T6432" s="21" t="n">
        <v>0</v>
      </c>
      <c r="U6432" s="21" t="n">
        <v>0</v>
      </c>
      <c r="V6432" s="21" t="n">
        <v>0</v>
      </c>
      <c r="W6432" s="21" t="n">
        <v>0</v>
      </c>
      <c r="X6432" s="21" t="n">
        <v>0</v>
      </c>
      <c r="Y6432" s="21" t="n">
        <v>0</v>
      </c>
      <c r="Z6432" s="19" t="n"/>
    </row>
    <row r="6433">
      <c r="D6433" s="21" t="n">
        <v>0</v>
      </c>
      <c r="E6433" s="21" t="n">
        <v>0</v>
      </c>
      <c r="F6433" s="21" t="n">
        <v>0</v>
      </c>
      <c r="G6433" s="21" t="n">
        <v>0</v>
      </c>
      <c r="H6433" s="21" t="n">
        <v>0</v>
      </c>
      <c r="I6433" s="21" t="n">
        <v>0</v>
      </c>
      <c r="J6433" s="21" t="n">
        <v>0</v>
      </c>
      <c r="K6433" s="21" t="n">
        <v>0</v>
      </c>
      <c r="L6433" s="21" t="n">
        <v>0</v>
      </c>
      <c r="M6433" s="21" t="n">
        <v>0</v>
      </c>
      <c r="N6433" s="21">
        <f>$B$5338</f>
        <v/>
      </c>
      <c r="O6433" s="21">
        <f>$B$5340</f>
        <v/>
      </c>
      <c r="P6433" s="21">
        <f>0</f>
        <v/>
      </c>
      <c r="Q6433" s="21">
        <f>2*$B$5339</f>
        <v/>
      </c>
      <c r="R6433" s="21">
        <f>-$B$5338</f>
        <v/>
      </c>
      <c r="S6433" s="21">
        <f>$B$5340</f>
        <v/>
      </c>
      <c r="T6433" s="21" t="n">
        <v>0</v>
      </c>
      <c r="U6433" s="21" t="n">
        <v>0</v>
      </c>
      <c r="V6433" s="21" t="n">
        <v>0</v>
      </c>
      <c r="W6433" s="21" t="n">
        <v>0</v>
      </c>
      <c r="X6433" s="21" t="n">
        <v>0</v>
      </c>
      <c r="Y6433" s="21" t="n">
        <v>0</v>
      </c>
      <c r="Z6433" s="19" t="n"/>
    </row>
    <row r="6434">
      <c r="D6434" s="21" t="n">
        <v>0</v>
      </c>
      <c r="E6434" s="21" t="n">
        <v>0</v>
      </c>
      <c r="F6434" s="21" t="n">
        <v>0</v>
      </c>
      <c r="G6434" s="21" t="n">
        <v>0</v>
      </c>
      <c r="H6434" s="21" t="n">
        <v>0</v>
      </c>
      <c r="I6434" s="21" t="n">
        <v>0</v>
      </c>
      <c r="J6434" s="21" t="n">
        <v>0</v>
      </c>
      <c r="K6434" s="21" t="n">
        <v>0</v>
      </c>
      <c r="L6434" s="21" t="n">
        <v>0</v>
      </c>
      <c r="M6434" s="21" t="n">
        <v>0</v>
      </c>
      <c r="N6434" s="21" t="n">
        <v>0</v>
      </c>
      <c r="O6434" s="21" t="n">
        <v>0</v>
      </c>
      <c r="P6434" s="21">
        <f>-$B$5337</f>
        <v/>
      </c>
      <c r="Q6434" s="21">
        <f>-$B$5338</f>
        <v/>
      </c>
      <c r="R6434" s="21">
        <f>2*$B$5337+$D$6415</f>
        <v/>
      </c>
      <c r="S6434" s="21">
        <f>0</f>
        <v/>
      </c>
      <c r="T6434" s="21">
        <f>-$B$5337</f>
        <v/>
      </c>
      <c r="U6434" s="21">
        <f>$B$5338</f>
        <v/>
      </c>
      <c r="V6434" s="21" t="n">
        <v>0</v>
      </c>
      <c r="W6434" s="21" t="n">
        <v>0</v>
      </c>
      <c r="X6434" s="21" t="n">
        <v>0</v>
      </c>
      <c r="Y6434" s="21" t="n">
        <v>0</v>
      </c>
      <c r="Z6434" s="19" t="n"/>
    </row>
    <row r="6435">
      <c r="D6435" s="21" t="n">
        <v>0</v>
      </c>
      <c r="E6435" s="21" t="n">
        <v>0</v>
      </c>
      <c r="F6435" s="21" t="n">
        <v>0</v>
      </c>
      <c r="G6435" s="21" t="n">
        <v>0</v>
      </c>
      <c r="H6435" s="21" t="n">
        <v>0</v>
      </c>
      <c r="I6435" s="21" t="n">
        <v>0</v>
      </c>
      <c r="J6435" s="21" t="n">
        <v>0</v>
      </c>
      <c r="K6435" s="21" t="n">
        <v>0</v>
      </c>
      <c r="L6435" s="21" t="n">
        <v>0</v>
      </c>
      <c r="M6435" s="21" t="n">
        <v>0</v>
      </c>
      <c r="N6435" s="21" t="n">
        <v>0</v>
      </c>
      <c r="O6435" s="21" t="n">
        <v>0</v>
      </c>
      <c r="P6435" s="21">
        <f>$B$5338</f>
        <v/>
      </c>
      <c r="Q6435" s="21">
        <f>$B$5340</f>
        <v/>
      </c>
      <c r="R6435" s="21">
        <f>0</f>
        <v/>
      </c>
      <c r="S6435" s="21">
        <f>2*$B$5339</f>
        <v/>
      </c>
      <c r="T6435" s="21">
        <f>-$B$5338</f>
        <v/>
      </c>
      <c r="U6435" s="21">
        <f>$B$5340</f>
        <v/>
      </c>
      <c r="V6435" s="21" t="n">
        <v>0</v>
      </c>
      <c r="W6435" s="21" t="n">
        <v>0</v>
      </c>
      <c r="X6435" s="21" t="n">
        <v>0</v>
      </c>
      <c r="Y6435" s="21" t="n">
        <v>0</v>
      </c>
      <c r="Z6435" s="19" t="n"/>
    </row>
    <row r="6436">
      <c r="D6436" s="21" t="n">
        <v>0</v>
      </c>
      <c r="E6436" s="21" t="n">
        <v>0</v>
      </c>
      <c r="F6436" s="21" t="n">
        <v>0</v>
      </c>
      <c r="G6436" s="21" t="n">
        <v>0</v>
      </c>
      <c r="H6436" s="21" t="n">
        <v>0</v>
      </c>
      <c r="I6436" s="21" t="n">
        <v>0</v>
      </c>
      <c r="J6436" s="21" t="n">
        <v>0</v>
      </c>
      <c r="K6436" s="21" t="n">
        <v>0</v>
      </c>
      <c r="L6436" s="21" t="n">
        <v>0</v>
      </c>
      <c r="M6436" s="21" t="n">
        <v>0</v>
      </c>
      <c r="N6436" s="21" t="n">
        <v>0</v>
      </c>
      <c r="O6436" s="21" t="n">
        <v>0</v>
      </c>
      <c r="P6436" s="21" t="n">
        <v>0</v>
      </c>
      <c r="Q6436" s="21" t="n">
        <v>0</v>
      </c>
      <c r="R6436" s="21">
        <f>-$B$5337</f>
        <v/>
      </c>
      <c r="S6436" s="21">
        <f>-$B$5338</f>
        <v/>
      </c>
      <c r="T6436" s="21">
        <f>2*$B$5337+$D$6416</f>
        <v/>
      </c>
      <c r="U6436" s="21">
        <f>0</f>
        <v/>
      </c>
      <c r="V6436" s="21">
        <f>-$B$5337</f>
        <v/>
      </c>
      <c r="W6436" s="21">
        <f>$B$5338</f>
        <v/>
      </c>
      <c r="X6436" s="21" t="n">
        <v>0</v>
      </c>
      <c r="Y6436" s="21" t="n">
        <v>0</v>
      </c>
      <c r="Z6436" s="19" t="n"/>
    </row>
    <row r="6437">
      <c r="D6437" s="21" t="n">
        <v>0</v>
      </c>
      <c r="E6437" s="21" t="n">
        <v>0</v>
      </c>
      <c r="F6437" s="21" t="n">
        <v>0</v>
      </c>
      <c r="G6437" s="21" t="n">
        <v>0</v>
      </c>
      <c r="H6437" s="21" t="n">
        <v>0</v>
      </c>
      <c r="I6437" s="21" t="n">
        <v>0</v>
      </c>
      <c r="J6437" s="21" t="n">
        <v>0</v>
      </c>
      <c r="K6437" s="21" t="n">
        <v>0</v>
      </c>
      <c r="L6437" s="21" t="n">
        <v>0</v>
      </c>
      <c r="M6437" s="21" t="n">
        <v>0</v>
      </c>
      <c r="N6437" s="21" t="n">
        <v>0</v>
      </c>
      <c r="O6437" s="21" t="n">
        <v>0</v>
      </c>
      <c r="P6437" s="21" t="n">
        <v>0</v>
      </c>
      <c r="Q6437" s="21" t="n">
        <v>0</v>
      </c>
      <c r="R6437" s="21">
        <f>$B$5338</f>
        <v/>
      </c>
      <c r="S6437" s="21">
        <f>$B$5340</f>
        <v/>
      </c>
      <c r="T6437" s="21">
        <f>0</f>
        <v/>
      </c>
      <c r="U6437" s="21">
        <f>2*$B$5339</f>
        <v/>
      </c>
      <c r="V6437" s="21">
        <f>-$B$5338</f>
        <v/>
      </c>
      <c r="W6437" s="21">
        <f>$B$5340</f>
        <v/>
      </c>
      <c r="X6437" s="21" t="n">
        <v>0</v>
      </c>
      <c r="Y6437" s="21" t="n">
        <v>0</v>
      </c>
      <c r="Z6437" s="19" t="n"/>
    </row>
    <row r="6438">
      <c r="D6438" s="21" t="n">
        <v>0</v>
      </c>
      <c r="E6438" s="21" t="n">
        <v>0</v>
      </c>
      <c r="F6438" s="21" t="n">
        <v>0</v>
      </c>
      <c r="G6438" s="21" t="n">
        <v>0</v>
      </c>
      <c r="H6438" s="21" t="n">
        <v>0</v>
      </c>
      <c r="I6438" s="21" t="n">
        <v>0</v>
      </c>
      <c r="J6438" s="21" t="n">
        <v>0</v>
      </c>
      <c r="K6438" s="21" t="n">
        <v>0</v>
      </c>
      <c r="L6438" s="21" t="n">
        <v>0</v>
      </c>
      <c r="M6438" s="21" t="n">
        <v>0</v>
      </c>
      <c r="N6438" s="21" t="n">
        <v>0</v>
      </c>
      <c r="O6438" s="21" t="n">
        <v>0</v>
      </c>
      <c r="P6438" s="21" t="n">
        <v>0</v>
      </c>
      <c r="Q6438" s="21" t="n">
        <v>0</v>
      </c>
      <c r="R6438" s="21" t="n">
        <v>0</v>
      </c>
      <c r="S6438" s="21" t="n">
        <v>0</v>
      </c>
      <c r="T6438" s="21">
        <f>-$B$5337</f>
        <v/>
      </c>
      <c r="U6438" s="21">
        <f>-$B$5338</f>
        <v/>
      </c>
      <c r="V6438" s="21">
        <f>2*$B$5337+$D$6417</f>
        <v/>
      </c>
      <c r="W6438" s="21">
        <f>0</f>
        <v/>
      </c>
      <c r="X6438" s="21">
        <f>-$B$5337</f>
        <v/>
      </c>
      <c r="Y6438" s="21">
        <f>$B$5338</f>
        <v/>
      </c>
      <c r="Z6438" s="19" t="n"/>
    </row>
    <row r="6439">
      <c r="D6439" s="21" t="n">
        <v>0</v>
      </c>
      <c r="E6439" s="21" t="n">
        <v>0</v>
      </c>
      <c r="F6439" s="21" t="n">
        <v>0</v>
      </c>
      <c r="G6439" s="21" t="n">
        <v>0</v>
      </c>
      <c r="H6439" s="21" t="n">
        <v>0</v>
      </c>
      <c r="I6439" s="21" t="n">
        <v>0</v>
      </c>
      <c r="J6439" s="21" t="n">
        <v>0</v>
      </c>
      <c r="K6439" s="21" t="n">
        <v>0</v>
      </c>
      <c r="L6439" s="21" t="n">
        <v>0</v>
      </c>
      <c r="M6439" s="21" t="n">
        <v>0</v>
      </c>
      <c r="N6439" s="21" t="n">
        <v>0</v>
      </c>
      <c r="O6439" s="21" t="n">
        <v>0</v>
      </c>
      <c r="P6439" s="21" t="n">
        <v>0</v>
      </c>
      <c r="Q6439" s="21" t="n">
        <v>0</v>
      </c>
      <c r="R6439" s="21" t="n">
        <v>0</v>
      </c>
      <c r="S6439" s="21" t="n">
        <v>0</v>
      </c>
      <c r="T6439" s="21">
        <f>$B$5338</f>
        <v/>
      </c>
      <c r="U6439" s="21">
        <f>$B$5340</f>
        <v/>
      </c>
      <c r="V6439" s="21">
        <f>0</f>
        <v/>
      </c>
      <c r="W6439" s="21">
        <f>2*$B$5339</f>
        <v/>
      </c>
      <c r="X6439" s="21">
        <f>-$B$5338</f>
        <v/>
      </c>
      <c r="Y6439" s="21">
        <f>$B$5340</f>
        <v/>
      </c>
      <c r="Z6439" s="19" t="n"/>
    </row>
    <row r="6440">
      <c r="D6440" s="21" t="n">
        <v>0</v>
      </c>
      <c r="E6440" s="21" t="n">
        <v>0</v>
      </c>
      <c r="F6440" s="21" t="n">
        <v>0</v>
      </c>
      <c r="G6440" s="21" t="n">
        <v>0</v>
      </c>
      <c r="H6440" s="21" t="n">
        <v>0</v>
      </c>
      <c r="I6440" s="21" t="n">
        <v>0</v>
      </c>
      <c r="J6440" s="21" t="n">
        <v>0</v>
      </c>
      <c r="K6440" s="21" t="n">
        <v>0</v>
      </c>
      <c r="L6440" s="21" t="n">
        <v>0</v>
      </c>
      <c r="M6440" s="21" t="n">
        <v>0</v>
      </c>
      <c r="N6440" s="21" t="n">
        <v>0</v>
      </c>
      <c r="O6440" s="21" t="n">
        <v>0</v>
      </c>
      <c r="P6440" s="21" t="n">
        <v>0</v>
      </c>
      <c r="Q6440" s="21" t="n">
        <v>0</v>
      </c>
      <c r="R6440" s="21" t="n">
        <v>0</v>
      </c>
      <c r="S6440" s="21" t="n">
        <v>0</v>
      </c>
      <c r="T6440" s="21" t="n">
        <v>0</v>
      </c>
      <c r="U6440" s="21" t="n">
        <v>0</v>
      </c>
      <c r="V6440" s="21">
        <f>-$B$5337</f>
        <v/>
      </c>
      <c r="W6440" s="21">
        <f>-$B$5338</f>
        <v/>
      </c>
      <c r="X6440" s="21">
        <f>$B$5337+$D$6418</f>
        <v/>
      </c>
      <c r="Y6440" s="21">
        <f>-$B$5338</f>
        <v/>
      </c>
      <c r="Z6440" s="19" t="n"/>
    </row>
    <row r="6441">
      <c r="D6441" s="21" t="n">
        <v>0</v>
      </c>
      <c r="E6441" s="21" t="n">
        <v>0</v>
      </c>
      <c r="F6441" s="21" t="n">
        <v>0</v>
      </c>
      <c r="G6441" s="21" t="n">
        <v>0</v>
      </c>
      <c r="H6441" s="21" t="n">
        <v>0</v>
      </c>
      <c r="I6441" s="21" t="n">
        <v>0</v>
      </c>
      <c r="J6441" s="21" t="n">
        <v>0</v>
      </c>
      <c r="K6441" s="21" t="n">
        <v>0</v>
      </c>
      <c r="L6441" s="21" t="n">
        <v>0</v>
      </c>
      <c r="M6441" s="21" t="n">
        <v>0</v>
      </c>
      <c r="N6441" s="21" t="n">
        <v>0</v>
      </c>
      <c r="O6441" s="21" t="n">
        <v>0</v>
      </c>
      <c r="P6441" s="21" t="n">
        <v>0</v>
      </c>
      <c r="Q6441" s="21" t="n">
        <v>0</v>
      </c>
      <c r="R6441" s="21" t="n">
        <v>0</v>
      </c>
      <c r="S6441" s="21" t="n">
        <v>0</v>
      </c>
      <c r="T6441" s="21" t="n">
        <v>0</v>
      </c>
      <c r="U6441" s="21" t="n">
        <v>0</v>
      </c>
      <c r="V6441" s="21">
        <f>$B$5338</f>
        <v/>
      </c>
      <c r="W6441" s="21">
        <f>$B$5340</f>
        <v/>
      </c>
      <c r="X6441" s="21">
        <f>-$B$5338</f>
        <v/>
      </c>
      <c r="Y6441" s="21">
        <f>$B$5339</f>
        <v/>
      </c>
      <c r="Z6441" s="19" t="n"/>
    </row>
    <row r="6443">
      <c r="A6443" s="8" t="inlineStr">
        <is>
          <t>gen 30</t>
        </is>
      </c>
    </row>
    <row r="6444">
      <c r="D6444" s="19">
        <f>IF(ABS(IF(ABS($E$6408)&gt;0.000000001,$E$6408,0.000000001))=0,0,IF($E$5352&lt;=$B$5346,0,IF(ABS(IF(ABS($E$6408)&gt;0.000000001,$E$6408,0.000000001))&gt;=8*$B$5348,$H$5352,0.5*$H$5352*(ABS(IF(ABS($E$6408)&gt;0.000000001,$E$6408,0.000000001))/$B$5348)^(1/3)))/ABS(IF(ABS($E$6408)&gt;0.000000001,$E$6408,0.000000001))*$I$5352)</f>
        <v/>
      </c>
      <c r="E6444" s="19">
        <f>0.5*$E$6408+0.5*$Z$6456</f>
        <v/>
      </c>
      <c r="F6444" s="19">
        <f>$Z$6457</f>
        <v/>
      </c>
    </row>
    <row r="6445">
      <c r="D6445" s="19">
        <f>IF(ABS(IF(ABS($E$6409)&gt;0.000000001,$E$6409,0.000000001))=0,0,IF($E$5353&lt;=$B$5346,0,IF(ABS(IF(ABS($E$6409)&gt;0.000000001,$E$6409,0.000000001))&gt;=8*$B$5348,$H$5353,0.5*$H$5353*(ABS(IF(ABS($E$6409)&gt;0.000000001,$E$6409,0.000000001))/$B$5348)^(1/3)))/ABS(IF(ABS($E$6409)&gt;0.000000001,$E$6409,0.000000001))*$I$5353)</f>
        <v/>
      </c>
      <c r="E6445" s="19">
        <f>0.5*$E$6409+0.5*$Z$6458</f>
        <v/>
      </c>
      <c r="F6445" s="19">
        <f>$Z$6459</f>
        <v/>
      </c>
    </row>
    <row r="6446">
      <c r="D6446" s="19">
        <f>IF(ABS(IF(ABS($E$6410)&gt;0.000000001,$E$6410,0.000000001))=0,0,IF($E$5354&lt;=$B$5346,0,IF(ABS(IF(ABS($E$6410)&gt;0.000000001,$E$6410,0.000000001))&gt;=8*$B$5348,$H$5354,0.5*$H$5354*(ABS(IF(ABS($E$6410)&gt;0.000000001,$E$6410,0.000000001))/$B$5348)^(1/3)))/ABS(IF(ABS($E$6410)&gt;0.000000001,$E$6410,0.000000001))*$I$5354)</f>
        <v/>
      </c>
      <c r="E6446" s="19">
        <f>0.5*$E$6410+0.5*$Z$6460</f>
        <v/>
      </c>
      <c r="F6446" s="19">
        <f>$Z$6461</f>
        <v/>
      </c>
    </row>
    <row r="6447">
      <c r="D6447" s="19">
        <f>IF(ABS(IF(ABS($E$6411)&gt;0.000000001,$E$6411,0.000000001))=0,0,IF($E$5355&lt;=$B$5346,0,IF(ABS(IF(ABS($E$6411)&gt;0.000000001,$E$6411,0.000000001))&gt;=8*$B$5348,$H$5355,0.5*$H$5355*(ABS(IF(ABS($E$6411)&gt;0.000000001,$E$6411,0.000000001))/$B$5348)^(1/3)))/ABS(IF(ABS($E$6411)&gt;0.000000001,$E$6411,0.000000001))*$I$5355)</f>
        <v/>
      </c>
      <c r="E6447" s="19">
        <f>0.5*$E$6411+0.5*$Z$6462</f>
        <v/>
      </c>
      <c r="F6447" s="19">
        <f>$Z$6463</f>
        <v/>
      </c>
    </row>
    <row r="6448">
      <c r="D6448" s="19">
        <f>IF(ABS(IF(ABS($E$6412)&gt;0.000000001,$E$6412,0.000000001))=0,0,IF($E$5356&lt;=$B$5346,0,IF(ABS(IF(ABS($E$6412)&gt;0.000000001,$E$6412,0.000000001))&gt;=8*$B$5348,$H$5356,0.5*$H$5356*(ABS(IF(ABS($E$6412)&gt;0.000000001,$E$6412,0.000000001))/$B$5348)^(1/3)))/ABS(IF(ABS($E$6412)&gt;0.000000001,$E$6412,0.000000001))*$I$5356)</f>
        <v/>
      </c>
      <c r="E6448" s="19">
        <f>0.5*$E$6412+0.5*$Z$6464</f>
        <v/>
      </c>
      <c r="F6448" s="19">
        <f>$Z$6465</f>
        <v/>
      </c>
    </row>
    <row r="6449">
      <c r="D6449" s="19">
        <f>IF(ABS(IF(ABS($E$6413)&gt;0.000000001,$E$6413,0.000000001))=0,0,IF($E$5357&lt;=$B$5346,0,IF(ABS(IF(ABS($E$6413)&gt;0.000000001,$E$6413,0.000000001))&gt;=8*$B$5348,$H$5357,0.5*$H$5357*(ABS(IF(ABS($E$6413)&gt;0.000000001,$E$6413,0.000000001))/$B$5348)^(1/3)))/ABS(IF(ABS($E$6413)&gt;0.000000001,$E$6413,0.000000001))*$I$5357)</f>
        <v/>
      </c>
      <c r="E6449" s="19">
        <f>0.5*$E$6413+0.5*$Z$6466</f>
        <v/>
      </c>
      <c r="F6449" s="19">
        <f>$Z$6467</f>
        <v/>
      </c>
    </row>
    <row r="6450">
      <c r="D6450" s="19">
        <f>IF(ABS(IF(ABS($E$6414)&gt;0.000000001,$E$6414,0.000000001))=0,0,IF($E$5358&lt;=$B$5346,0,IF(ABS(IF(ABS($E$6414)&gt;0.000000001,$E$6414,0.000000001))&gt;=8*$B$5348,$H$5358,0.5*$H$5358*(ABS(IF(ABS($E$6414)&gt;0.000000001,$E$6414,0.000000001))/$B$5348)^(1/3)))/ABS(IF(ABS($E$6414)&gt;0.000000001,$E$6414,0.000000001))*$I$5358)</f>
        <v/>
      </c>
      <c r="E6450" s="19">
        <f>0.5*$E$6414+0.5*$Z$6468</f>
        <v/>
      </c>
      <c r="F6450" s="19">
        <f>$Z$6469</f>
        <v/>
      </c>
    </row>
    <row r="6451">
      <c r="D6451" s="19">
        <f>IF(ABS(IF(ABS($E$6415)&gt;0.000000001,$E$6415,0.000000001))=0,0,IF($E$5359&lt;=$B$5346,0,IF(ABS(IF(ABS($E$6415)&gt;0.000000001,$E$6415,0.000000001))&gt;=8*$B$5348,$H$5359,0.5*$H$5359*(ABS(IF(ABS($E$6415)&gt;0.000000001,$E$6415,0.000000001))/$B$5348)^(1/3)))/ABS(IF(ABS($E$6415)&gt;0.000000001,$E$6415,0.000000001))*$I$5359)</f>
        <v/>
      </c>
      <c r="E6451" s="19">
        <f>0.5*$E$6415+0.5*$Z$6470</f>
        <v/>
      </c>
      <c r="F6451" s="19">
        <f>$Z$6471</f>
        <v/>
      </c>
    </row>
    <row r="6452">
      <c r="D6452" s="19">
        <f>IF(ABS(IF(ABS($E$6416)&gt;0.000000001,$E$6416,0.000000001))=0,0,IF($E$5360&lt;=$B$5346,0,IF(ABS(IF(ABS($E$6416)&gt;0.000000001,$E$6416,0.000000001))&gt;=8*$B$5348,$H$5360,0.5*$H$5360*(ABS(IF(ABS($E$6416)&gt;0.000000001,$E$6416,0.000000001))/$B$5348)^(1/3)))/ABS(IF(ABS($E$6416)&gt;0.000000001,$E$6416,0.000000001))*$I$5360)</f>
        <v/>
      </c>
      <c r="E6452" s="19">
        <f>0.5*$E$6416+0.5*$Z$6472</f>
        <v/>
      </c>
      <c r="F6452" s="19">
        <f>$Z$6473</f>
        <v/>
      </c>
    </row>
    <row r="6453">
      <c r="D6453" s="19">
        <f>IF(ABS(IF(ABS($E$6417)&gt;0.000000001,$E$6417,0.000000001))=0,0,IF($E$5361&lt;=$B$5346,0,IF(ABS(IF(ABS($E$6417)&gt;0.000000001,$E$6417,0.000000001))&gt;=8*$B$5348,$H$5361,0.5*$H$5361*(ABS(IF(ABS($E$6417)&gt;0.000000001,$E$6417,0.000000001))/$B$5348)^(1/3)))/ABS(IF(ABS($E$6417)&gt;0.000000001,$E$6417,0.000000001))*$I$5361)</f>
        <v/>
      </c>
      <c r="E6453" s="19">
        <f>0.5*$E$6417+0.5*$Z$6474</f>
        <v/>
      </c>
      <c r="F6453" s="19">
        <f>$Z$6475</f>
        <v/>
      </c>
    </row>
    <row r="6454">
      <c r="D6454" s="19">
        <f>IF(ABS(IF(ABS($E$6418)&gt;0.000000001,$E$6418,0.000000001))=0,0,IF($E$5362&lt;=$B$5346,0,IF(ABS(IF(ABS($E$6418)&gt;0.000000001,$E$6418,0.000000001))&gt;=8*$B$5348,$H$5362,0.5*$H$5362*(ABS(IF(ABS($E$6418)&gt;0.000000001,$E$6418,0.000000001))/$B$5348)^(1/3)))/ABS(IF(ABS($E$6418)&gt;0.000000001,$E$6418,0.000000001))*$I$5362)</f>
        <v/>
      </c>
      <c r="E6454" s="19">
        <f>0.5*$E$6418+0.5*$Z$6476</f>
        <v/>
      </c>
      <c r="F6454" s="19">
        <f>$Z$6477</f>
        <v/>
      </c>
    </row>
    <row r="6456">
      <c r="D6456" s="21">
        <f>$B$5337+$D$6444</f>
        <v/>
      </c>
      <c r="E6456" s="21">
        <f>$B$5338</f>
        <v/>
      </c>
      <c r="F6456" s="21">
        <f>-$B$5337</f>
        <v/>
      </c>
      <c r="G6456" s="21">
        <f>$B$5338</f>
        <v/>
      </c>
      <c r="H6456" s="21" t="n">
        <v>0</v>
      </c>
      <c r="I6456" s="21" t="n">
        <v>0</v>
      </c>
      <c r="J6456" s="21" t="n">
        <v>0</v>
      </c>
      <c r="K6456" s="21" t="n">
        <v>0</v>
      </c>
      <c r="L6456" s="21" t="n">
        <v>0</v>
      </c>
      <c r="M6456" s="21" t="n">
        <v>0</v>
      </c>
      <c r="N6456" s="21" t="n">
        <v>0</v>
      </c>
      <c r="O6456" s="21" t="n">
        <v>0</v>
      </c>
      <c r="P6456" s="21" t="n">
        <v>0</v>
      </c>
      <c r="Q6456" s="21" t="n">
        <v>0</v>
      </c>
      <c r="R6456" s="21" t="n">
        <v>0</v>
      </c>
      <c r="S6456" s="21" t="n">
        <v>0</v>
      </c>
      <c r="T6456" s="21" t="n">
        <v>0</v>
      </c>
      <c r="U6456" s="21" t="n">
        <v>0</v>
      </c>
      <c r="V6456" s="21" t="n">
        <v>0</v>
      </c>
      <c r="W6456" s="21" t="n">
        <v>0</v>
      </c>
      <c r="X6456" s="21" t="n">
        <v>0</v>
      </c>
      <c r="Y6456" s="21" t="n">
        <v>0</v>
      </c>
      <c r="Z6456" s="19">
        <f t="array" ref="Z6456:Z6477">MMULT(MINVERSE($D$6456:$Y$6477),$D$5364:$D$5385)</f>
        <v/>
      </c>
    </row>
    <row r="6457">
      <c r="D6457" s="21">
        <f>$B$5338</f>
        <v/>
      </c>
      <c r="E6457" s="21">
        <f>$B$5339</f>
        <v/>
      </c>
      <c r="F6457" s="21">
        <f>-$B$5338</f>
        <v/>
      </c>
      <c r="G6457" s="21">
        <f>$B$5340</f>
        <v/>
      </c>
      <c r="H6457" s="21" t="n">
        <v>0</v>
      </c>
      <c r="I6457" s="21" t="n">
        <v>0</v>
      </c>
      <c r="J6457" s="21" t="n">
        <v>0</v>
      </c>
      <c r="K6457" s="21" t="n">
        <v>0</v>
      </c>
      <c r="L6457" s="21" t="n">
        <v>0</v>
      </c>
      <c r="M6457" s="21" t="n">
        <v>0</v>
      </c>
      <c r="N6457" s="21" t="n">
        <v>0</v>
      </c>
      <c r="O6457" s="21" t="n">
        <v>0</v>
      </c>
      <c r="P6457" s="21" t="n">
        <v>0</v>
      </c>
      <c r="Q6457" s="21" t="n">
        <v>0</v>
      </c>
      <c r="R6457" s="21" t="n">
        <v>0</v>
      </c>
      <c r="S6457" s="21" t="n">
        <v>0</v>
      </c>
      <c r="T6457" s="21" t="n">
        <v>0</v>
      </c>
      <c r="U6457" s="21" t="n">
        <v>0</v>
      </c>
      <c r="V6457" s="21" t="n">
        <v>0</v>
      </c>
      <c r="W6457" s="21" t="n">
        <v>0</v>
      </c>
      <c r="X6457" s="21" t="n">
        <v>0</v>
      </c>
      <c r="Y6457" s="21" t="n">
        <v>0</v>
      </c>
      <c r="Z6457" s="19" t="n"/>
    </row>
    <row r="6458">
      <c r="D6458" s="21">
        <f>-$B$5337</f>
        <v/>
      </c>
      <c r="E6458" s="21">
        <f>-$B$5338</f>
        <v/>
      </c>
      <c r="F6458" s="21">
        <f>2*$B$5337+$D$6445</f>
        <v/>
      </c>
      <c r="G6458" s="21">
        <f>0</f>
        <v/>
      </c>
      <c r="H6458" s="21">
        <f>-$B$5337</f>
        <v/>
      </c>
      <c r="I6458" s="21">
        <f>$B$5338</f>
        <v/>
      </c>
      <c r="J6458" s="21" t="n">
        <v>0</v>
      </c>
      <c r="K6458" s="21" t="n">
        <v>0</v>
      </c>
      <c r="L6458" s="21" t="n">
        <v>0</v>
      </c>
      <c r="M6458" s="21" t="n">
        <v>0</v>
      </c>
      <c r="N6458" s="21" t="n">
        <v>0</v>
      </c>
      <c r="O6458" s="21" t="n">
        <v>0</v>
      </c>
      <c r="P6458" s="21" t="n">
        <v>0</v>
      </c>
      <c r="Q6458" s="21" t="n">
        <v>0</v>
      </c>
      <c r="R6458" s="21" t="n">
        <v>0</v>
      </c>
      <c r="S6458" s="21" t="n">
        <v>0</v>
      </c>
      <c r="T6458" s="21" t="n">
        <v>0</v>
      </c>
      <c r="U6458" s="21" t="n">
        <v>0</v>
      </c>
      <c r="V6458" s="21" t="n">
        <v>0</v>
      </c>
      <c r="W6458" s="21" t="n">
        <v>0</v>
      </c>
      <c r="X6458" s="21" t="n">
        <v>0</v>
      </c>
      <c r="Y6458" s="21" t="n">
        <v>0</v>
      </c>
      <c r="Z6458" s="19" t="n"/>
    </row>
    <row r="6459">
      <c r="D6459" s="21">
        <f>$B$5338</f>
        <v/>
      </c>
      <c r="E6459" s="21">
        <f>$B$5340</f>
        <v/>
      </c>
      <c r="F6459" s="21">
        <f>0</f>
        <v/>
      </c>
      <c r="G6459" s="21">
        <f>2*$B$5339</f>
        <v/>
      </c>
      <c r="H6459" s="21">
        <f>-$B$5338</f>
        <v/>
      </c>
      <c r="I6459" s="21">
        <f>$B$5340</f>
        <v/>
      </c>
      <c r="J6459" s="21" t="n">
        <v>0</v>
      </c>
      <c r="K6459" s="21" t="n">
        <v>0</v>
      </c>
      <c r="L6459" s="21" t="n">
        <v>0</v>
      </c>
      <c r="M6459" s="21" t="n">
        <v>0</v>
      </c>
      <c r="N6459" s="21" t="n">
        <v>0</v>
      </c>
      <c r="O6459" s="21" t="n">
        <v>0</v>
      </c>
      <c r="P6459" s="21" t="n">
        <v>0</v>
      </c>
      <c r="Q6459" s="21" t="n">
        <v>0</v>
      </c>
      <c r="R6459" s="21" t="n">
        <v>0</v>
      </c>
      <c r="S6459" s="21" t="n">
        <v>0</v>
      </c>
      <c r="T6459" s="21" t="n">
        <v>0</v>
      </c>
      <c r="U6459" s="21" t="n">
        <v>0</v>
      </c>
      <c r="V6459" s="21" t="n">
        <v>0</v>
      </c>
      <c r="W6459" s="21" t="n">
        <v>0</v>
      </c>
      <c r="X6459" s="21" t="n">
        <v>0</v>
      </c>
      <c r="Y6459" s="21" t="n">
        <v>0</v>
      </c>
      <c r="Z6459" s="19" t="n"/>
    </row>
    <row r="6460">
      <c r="D6460" s="21" t="n">
        <v>0</v>
      </c>
      <c r="E6460" s="21" t="n">
        <v>0</v>
      </c>
      <c r="F6460" s="21">
        <f>-$B$5337</f>
        <v/>
      </c>
      <c r="G6460" s="21">
        <f>-$B$5338</f>
        <v/>
      </c>
      <c r="H6460" s="21">
        <f>2*$B$5337+$D$6446</f>
        <v/>
      </c>
      <c r="I6460" s="21">
        <f>0</f>
        <v/>
      </c>
      <c r="J6460" s="21">
        <f>-$B$5337</f>
        <v/>
      </c>
      <c r="K6460" s="21">
        <f>$B$5338</f>
        <v/>
      </c>
      <c r="L6460" s="21" t="n">
        <v>0</v>
      </c>
      <c r="M6460" s="21" t="n">
        <v>0</v>
      </c>
      <c r="N6460" s="21" t="n">
        <v>0</v>
      </c>
      <c r="O6460" s="21" t="n">
        <v>0</v>
      </c>
      <c r="P6460" s="21" t="n">
        <v>0</v>
      </c>
      <c r="Q6460" s="21" t="n">
        <v>0</v>
      </c>
      <c r="R6460" s="21" t="n">
        <v>0</v>
      </c>
      <c r="S6460" s="21" t="n">
        <v>0</v>
      </c>
      <c r="T6460" s="21" t="n">
        <v>0</v>
      </c>
      <c r="U6460" s="21" t="n">
        <v>0</v>
      </c>
      <c r="V6460" s="21" t="n">
        <v>0</v>
      </c>
      <c r="W6460" s="21" t="n">
        <v>0</v>
      </c>
      <c r="X6460" s="21" t="n">
        <v>0</v>
      </c>
      <c r="Y6460" s="21" t="n">
        <v>0</v>
      </c>
      <c r="Z6460" s="19" t="n"/>
    </row>
    <row r="6461">
      <c r="D6461" s="21" t="n">
        <v>0</v>
      </c>
      <c r="E6461" s="21" t="n">
        <v>0</v>
      </c>
      <c r="F6461" s="21">
        <f>$B$5338</f>
        <v/>
      </c>
      <c r="G6461" s="21">
        <f>$B$5340</f>
        <v/>
      </c>
      <c r="H6461" s="21">
        <f>0</f>
        <v/>
      </c>
      <c r="I6461" s="21">
        <f>2*$B$5339</f>
        <v/>
      </c>
      <c r="J6461" s="21">
        <f>-$B$5338</f>
        <v/>
      </c>
      <c r="K6461" s="21">
        <f>$B$5340</f>
        <v/>
      </c>
      <c r="L6461" s="21" t="n">
        <v>0</v>
      </c>
      <c r="M6461" s="21" t="n">
        <v>0</v>
      </c>
      <c r="N6461" s="21" t="n">
        <v>0</v>
      </c>
      <c r="O6461" s="21" t="n">
        <v>0</v>
      </c>
      <c r="P6461" s="21" t="n">
        <v>0</v>
      </c>
      <c r="Q6461" s="21" t="n">
        <v>0</v>
      </c>
      <c r="R6461" s="21" t="n">
        <v>0</v>
      </c>
      <c r="S6461" s="21" t="n">
        <v>0</v>
      </c>
      <c r="T6461" s="21" t="n">
        <v>0</v>
      </c>
      <c r="U6461" s="21" t="n">
        <v>0</v>
      </c>
      <c r="V6461" s="21" t="n">
        <v>0</v>
      </c>
      <c r="W6461" s="21" t="n">
        <v>0</v>
      </c>
      <c r="X6461" s="21" t="n">
        <v>0</v>
      </c>
      <c r="Y6461" s="21" t="n">
        <v>0</v>
      </c>
      <c r="Z6461" s="19" t="n"/>
    </row>
    <row r="6462">
      <c r="D6462" s="21" t="n">
        <v>0</v>
      </c>
      <c r="E6462" s="21" t="n">
        <v>0</v>
      </c>
      <c r="F6462" s="21" t="n">
        <v>0</v>
      </c>
      <c r="G6462" s="21" t="n">
        <v>0</v>
      </c>
      <c r="H6462" s="21">
        <f>-$B$5337</f>
        <v/>
      </c>
      <c r="I6462" s="21">
        <f>-$B$5338</f>
        <v/>
      </c>
      <c r="J6462" s="21">
        <f>2*$B$5337+$D$6447</f>
        <v/>
      </c>
      <c r="K6462" s="21">
        <f>0</f>
        <v/>
      </c>
      <c r="L6462" s="21">
        <f>-$B$5337</f>
        <v/>
      </c>
      <c r="M6462" s="21">
        <f>$B$5338</f>
        <v/>
      </c>
      <c r="N6462" s="21" t="n">
        <v>0</v>
      </c>
      <c r="O6462" s="21" t="n">
        <v>0</v>
      </c>
      <c r="P6462" s="21" t="n">
        <v>0</v>
      </c>
      <c r="Q6462" s="21" t="n">
        <v>0</v>
      </c>
      <c r="R6462" s="21" t="n">
        <v>0</v>
      </c>
      <c r="S6462" s="21" t="n">
        <v>0</v>
      </c>
      <c r="T6462" s="21" t="n">
        <v>0</v>
      </c>
      <c r="U6462" s="21" t="n">
        <v>0</v>
      </c>
      <c r="V6462" s="21" t="n">
        <v>0</v>
      </c>
      <c r="W6462" s="21" t="n">
        <v>0</v>
      </c>
      <c r="X6462" s="21" t="n">
        <v>0</v>
      </c>
      <c r="Y6462" s="21" t="n">
        <v>0</v>
      </c>
      <c r="Z6462" s="19" t="n"/>
    </row>
    <row r="6463">
      <c r="D6463" s="21" t="n">
        <v>0</v>
      </c>
      <c r="E6463" s="21" t="n">
        <v>0</v>
      </c>
      <c r="F6463" s="21" t="n">
        <v>0</v>
      </c>
      <c r="G6463" s="21" t="n">
        <v>0</v>
      </c>
      <c r="H6463" s="21">
        <f>$B$5338</f>
        <v/>
      </c>
      <c r="I6463" s="21">
        <f>$B$5340</f>
        <v/>
      </c>
      <c r="J6463" s="21">
        <f>0</f>
        <v/>
      </c>
      <c r="K6463" s="21">
        <f>2*$B$5339</f>
        <v/>
      </c>
      <c r="L6463" s="21">
        <f>-$B$5338</f>
        <v/>
      </c>
      <c r="M6463" s="21">
        <f>$B$5340</f>
        <v/>
      </c>
      <c r="N6463" s="21" t="n">
        <v>0</v>
      </c>
      <c r="O6463" s="21" t="n">
        <v>0</v>
      </c>
      <c r="P6463" s="21" t="n">
        <v>0</v>
      </c>
      <c r="Q6463" s="21" t="n">
        <v>0</v>
      </c>
      <c r="R6463" s="21" t="n">
        <v>0</v>
      </c>
      <c r="S6463" s="21" t="n">
        <v>0</v>
      </c>
      <c r="T6463" s="21" t="n">
        <v>0</v>
      </c>
      <c r="U6463" s="21" t="n">
        <v>0</v>
      </c>
      <c r="V6463" s="21" t="n">
        <v>0</v>
      </c>
      <c r="W6463" s="21" t="n">
        <v>0</v>
      </c>
      <c r="X6463" s="21" t="n">
        <v>0</v>
      </c>
      <c r="Y6463" s="21" t="n">
        <v>0</v>
      </c>
      <c r="Z6463" s="19" t="n"/>
    </row>
    <row r="6464">
      <c r="D6464" s="21" t="n">
        <v>0</v>
      </c>
      <c r="E6464" s="21" t="n">
        <v>0</v>
      </c>
      <c r="F6464" s="21" t="n">
        <v>0</v>
      </c>
      <c r="G6464" s="21" t="n">
        <v>0</v>
      </c>
      <c r="H6464" s="21" t="n">
        <v>0</v>
      </c>
      <c r="I6464" s="21" t="n">
        <v>0</v>
      </c>
      <c r="J6464" s="21">
        <f>-$B$5337</f>
        <v/>
      </c>
      <c r="K6464" s="21">
        <f>-$B$5338</f>
        <v/>
      </c>
      <c r="L6464" s="21">
        <f>2*$B$5337+$D$6448</f>
        <v/>
      </c>
      <c r="M6464" s="21">
        <f>0</f>
        <v/>
      </c>
      <c r="N6464" s="21">
        <f>-$B$5337</f>
        <v/>
      </c>
      <c r="O6464" s="21">
        <f>$B$5338</f>
        <v/>
      </c>
      <c r="P6464" s="21" t="n">
        <v>0</v>
      </c>
      <c r="Q6464" s="21" t="n">
        <v>0</v>
      </c>
      <c r="R6464" s="21" t="n">
        <v>0</v>
      </c>
      <c r="S6464" s="21" t="n">
        <v>0</v>
      </c>
      <c r="T6464" s="21" t="n">
        <v>0</v>
      </c>
      <c r="U6464" s="21" t="n">
        <v>0</v>
      </c>
      <c r="V6464" s="21" t="n">
        <v>0</v>
      </c>
      <c r="W6464" s="21" t="n">
        <v>0</v>
      </c>
      <c r="X6464" s="21" t="n">
        <v>0</v>
      </c>
      <c r="Y6464" s="21" t="n">
        <v>0</v>
      </c>
      <c r="Z6464" s="19" t="n"/>
    </row>
    <row r="6465">
      <c r="D6465" s="21" t="n">
        <v>0</v>
      </c>
      <c r="E6465" s="21" t="n">
        <v>0</v>
      </c>
      <c r="F6465" s="21" t="n">
        <v>0</v>
      </c>
      <c r="G6465" s="21" t="n">
        <v>0</v>
      </c>
      <c r="H6465" s="21" t="n">
        <v>0</v>
      </c>
      <c r="I6465" s="21" t="n">
        <v>0</v>
      </c>
      <c r="J6465" s="21">
        <f>$B$5338</f>
        <v/>
      </c>
      <c r="K6465" s="21">
        <f>$B$5340</f>
        <v/>
      </c>
      <c r="L6465" s="21">
        <f>0</f>
        <v/>
      </c>
      <c r="M6465" s="21">
        <f>2*$B$5339</f>
        <v/>
      </c>
      <c r="N6465" s="21">
        <f>-$B$5338</f>
        <v/>
      </c>
      <c r="O6465" s="21">
        <f>$B$5340</f>
        <v/>
      </c>
      <c r="P6465" s="21" t="n">
        <v>0</v>
      </c>
      <c r="Q6465" s="21" t="n">
        <v>0</v>
      </c>
      <c r="R6465" s="21" t="n">
        <v>0</v>
      </c>
      <c r="S6465" s="21" t="n">
        <v>0</v>
      </c>
      <c r="T6465" s="21" t="n">
        <v>0</v>
      </c>
      <c r="U6465" s="21" t="n">
        <v>0</v>
      </c>
      <c r="V6465" s="21" t="n">
        <v>0</v>
      </c>
      <c r="W6465" s="21" t="n">
        <v>0</v>
      </c>
      <c r="X6465" s="21" t="n">
        <v>0</v>
      </c>
      <c r="Y6465" s="21" t="n">
        <v>0</v>
      </c>
      <c r="Z6465" s="19" t="n"/>
    </row>
    <row r="6466">
      <c r="D6466" s="21" t="n">
        <v>0</v>
      </c>
      <c r="E6466" s="21" t="n">
        <v>0</v>
      </c>
      <c r="F6466" s="21" t="n">
        <v>0</v>
      </c>
      <c r="G6466" s="21" t="n">
        <v>0</v>
      </c>
      <c r="H6466" s="21" t="n">
        <v>0</v>
      </c>
      <c r="I6466" s="21" t="n">
        <v>0</v>
      </c>
      <c r="J6466" s="21" t="n">
        <v>0</v>
      </c>
      <c r="K6466" s="21" t="n">
        <v>0</v>
      </c>
      <c r="L6466" s="21">
        <f>-$B$5337</f>
        <v/>
      </c>
      <c r="M6466" s="21">
        <f>-$B$5338</f>
        <v/>
      </c>
      <c r="N6466" s="21">
        <f>2*$B$5337+$D$6449</f>
        <v/>
      </c>
      <c r="O6466" s="21">
        <f>0</f>
        <v/>
      </c>
      <c r="P6466" s="21">
        <f>-$B$5337</f>
        <v/>
      </c>
      <c r="Q6466" s="21">
        <f>$B$5338</f>
        <v/>
      </c>
      <c r="R6466" s="21" t="n">
        <v>0</v>
      </c>
      <c r="S6466" s="21" t="n">
        <v>0</v>
      </c>
      <c r="T6466" s="21" t="n">
        <v>0</v>
      </c>
      <c r="U6466" s="21" t="n">
        <v>0</v>
      </c>
      <c r="V6466" s="21" t="n">
        <v>0</v>
      </c>
      <c r="W6466" s="21" t="n">
        <v>0</v>
      </c>
      <c r="X6466" s="21" t="n">
        <v>0</v>
      </c>
      <c r="Y6466" s="21" t="n">
        <v>0</v>
      </c>
      <c r="Z6466" s="19" t="n"/>
    </row>
    <row r="6467">
      <c r="D6467" s="21" t="n">
        <v>0</v>
      </c>
      <c r="E6467" s="21" t="n">
        <v>0</v>
      </c>
      <c r="F6467" s="21" t="n">
        <v>0</v>
      </c>
      <c r="G6467" s="21" t="n">
        <v>0</v>
      </c>
      <c r="H6467" s="21" t="n">
        <v>0</v>
      </c>
      <c r="I6467" s="21" t="n">
        <v>0</v>
      </c>
      <c r="J6467" s="21" t="n">
        <v>0</v>
      </c>
      <c r="K6467" s="21" t="n">
        <v>0</v>
      </c>
      <c r="L6467" s="21">
        <f>$B$5338</f>
        <v/>
      </c>
      <c r="M6467" s="21">
        <f>$B$5340</f>
        <v/>
      </c>
      <c r="N6467" s="21">
        <f>0</f>
        <v/>
      </c>
      <c r="O6467" s="21">
        <f>2*$B$5339</f>
        <v/>
      </c>
      <c r="P6467" s="21">
        <f>-$B$5338</f>
        <v/>
      </c>
      <c r="Q6467" s="21">
        <f>$B$5340</f>
        <v/>
      </c>
      <c r="R6467" s="21" t="n">
        <v>0</v>
      </c>
      <c r="S6467" s="21" t="n">
        <v>0</v>
      </c>
      <c r="T6467" s="21" t="n">
        <v>0</v>
      </c>
      <c r="U6467" s="21" t="n">
        <v>0</v>
      </c>
      <c r="V6467" s="21" t="n">
        <v>0</v>
      </c>
      <c r="W6467" s="21" t="n">
        <v>0</v>
      </c>
      <c r="X6467" s="21" t="n">
        <v>0</v>
      </c>
      <c r="Y6467" s="21" t="n">
        <v>0</v>
      </c>
      <c r="Z6467" s="19" t="n"/>
    </row>
    <row r="6468">
      <c r="D6468" s="21" t="n">
        <v>0</v>
      </c>
      <c r="E6468" s="21" t="n">
        <v>0</v>
      </c>
      <c r="F6468" s="21" t="n">
        <v>0</v>
      </c>
      <c r="G6468" s="21" t="n">
        <v>0</v>
      </c>
      <c r="H6468" s="21" t="n">
        <v>0</v>
      </c>
      <c r="I6468" s="21" t="n">
        <v>0</v>
      </c>
      <c r="J6468" s="21" t="n">
        <v>0</v>
      </c>
      <c r="K6468" s="21" t="n">
        <v>0</v>
      </c>
      <c r="L6468" s="21" t="n">
        <v>0</v>
      </c>
      <c r="M6468" s="21" t="n">
        <v>0</v>
      </c>
      <c r="N6468" s="21">
        <f>-$B$5337</f>
        <v/>
      </c>
      <c r="O6468" s="21">
        <f>-$B$5338</f>
        <v/>
      </c>
      <c r="P6468" s="21">
        <f>2*$B$5337+$D$6450</f>
        <v/>
      </c>
      <c r="Q6468" s="21">
        <f>0</f>
        <v/>
      </c>
      <c r="R6468" s="21">
        <f>-$B$5337</f>
        <v/>
      </c>
      <c r="S6468" s="21">
        <f>$B$5338</f>
        <v/>
      </c>
      <c r="T6468" s="21" t="n">
        <v>0</v>
      </c>
      <c r="U6468" s="21" t="n">
        <v>0</v>
      </c>
      <c r="V6468" s="21" t="n">
        <v>0</v>
      </c>
      <c r="W6468" s="21" t="n">
        <v>0</v>
      </c>
      <c r="X6468" s="21" t="n">
        <v>0</v>
      </c>
      <c r="Y6468" s="21" t="n">
        <v>0</v>
      </c>
      <c r="Z6468" s="19" t="n"/>
    </row>
    <row r="6469">
      <c r="D6469" s="21" t="n">
        <v>0</v>
      </c>
      <c r="E6469" s="21" t="n">
        <v>0</v>
      </c>
      <c r="F6469" s="21" t="n">
        <v>0</v>
      </c>
      <c r="G6469" s="21" t="n">
        <v>0</v>
      </c>
      <c r="H6469" s="21" t="n">
        <v>0</v>
      </c>
      <c r="I6469" s="21" t="n">
        <v>0</v>
      </c>
      <c r="J6469" s="21" t="n">
        <v>0</v>
      </c>
      <c r="K6469" s="21" t="n">
        <v>0</v>
      </c>
      <c r="L6469" s="21" t="n">
        <v>0</v>
      </c>
      <c r="M6469" s="21" t="n">
        <v>0</v>
      </c>
      <c r="N6469" s="21">
        <f>$B$5338</f>
        <v/>
      </c>
      <c r="O6469" s="21">
        <f>$B$5340</f>
        <v/>
      </c>
      <c r="P6469" s="21">
        <f>0</f>
        <v/>
      </c>
      <c r="Q6469" s="21">
        <f>2*$B$5339</f>
        <v/>
      </c>
      <c r="R6469" s="21">
        <f>-$B$5338</f>
        <v/>
      </c>
      <c r="S6469" s="21">
        <f>$B$5340</f>
        <v/>
      </c>
      <c r="T6469" s="21" t="n">
        <v>0</v>
      </c>
      <c r="U6469" s="21" t="n">
        <v>0</v>
      </c>
      <c r="V6469" s="21" t="n">
        <v>0</v>
      </c>
      <c r="W6469" s="21" t="n">
        <v>0</v>
      </c>
      <c r="X6469" s="21" t="n">
        <v>0</v>
      </c>
      <c r="Y6469" s="21" t="n">
        <v>0</v>
      </c>
      <c r="Z6469" s="19" t="n"/>
    </row>
    <row r="6470">
      <c r="D6470" s="21" t="n">
        <v>0</v>
      </c>
      <c r="E6470" s="21" t="n">
        <v>0</v>
      </c>
      <c r="F6470" s="21" t="n">
        <v>0</v>
      </c>
      <c r="G6470" s="21" t="n">
        <v>0</v>
      </c>
      <c r="H6470" s="21" t="n">
        <v>0</v>
      </c>
      <c r="I6470" s="21" t="n">
        <v>0</v>
      </c>
      <c r="J6470" s="21" t="n">
        <v>0</v>
      </c>
      <c r="K6470" s="21" t="n">
        <v>0</v>
      </c>
      <c r="L6470" s="21" t="n">
        <v>0</v>
      </c>
      <c r="M6470" s="21" t="n">
        <v>0</v>
      </c>
      <c r="N6470" s="21" t="n">
        <v>0</v>
      </c>
      <c r="O6470" s="21" t="n">
        <v>0</v>
      </c>
      <c r="P6470" s="21">
        <f>-$B$5337</f>
        <v/>
      </c>
      <c r="Q6470" s="21">
        <f>-$B$5338</f>
        <v/>
      </c>
      <c r="R6470" s="21">
        <f>2*$B$5337+$D$6451</f>
        <v/>
      </c>
      <c r="S6470" s="21">
        <f>0</f>
        <v/>
      </c>
      <c r="T6470" s="21">
        <f>-$B$5337</f>
        <v/>
      </c>
      <c r="U6470" s="21">
        <f>$B$5338</f>
        <v/>
      </c>
      <c r="V6470" s="21" t="n">
        <v>0</v>
      </c>
      <c r="W6470" s="21" t="n">
        <v>0</v>
      </c>
      <c r="X6470" s="21" t="n">
        <v>0</v>
      </c>
      <c r="Y6470" s="21" t="n">
        <v>0</v>
      </c>
      <c r="Z6470" s="19" t="n"/>
    </row>
    <row r="6471">
      <c r="D6471" s="21" t="n">
        <v>0</v>
      </c>
      <c r="E6471" s="21" t="n">
        <v>0</v>
      </c>
      <c r="F6471" s="21" t="n">
        <v>0</v>
      </c>
      <c r="G6471" s="21" t="n">
        <v>0</v>
      </c>
      <c r="H6471" s="21" t="n">
        <v>0</v>
      </c>
      <c r="I6471" s="21" t="n">
        <v>0</v>
      </c>
      <c r="J6471" s="21" t="n">
        <v>0</v>
      </c>
      <c r="K6471" s="21" t="n">
        <v>0</v>
      </c>
      <c r="L6471" s="21" t="n">
        <v>0</v>
      </c>
      <c r="M6471" s="21" t="n">
        <v>0</v>
      </c>
      <c r="N6471" s="21" t="n">
        <v>0</v>
      </c>
      <c r="O6471" s="21" t="n">
        <v>0</v>
      </c>
      <c r="P6471" s="21">
        <f>$B$5338</f>
        <v/>
      </c>
      <c r="Q6471" s="21">
        <f>$B$5340</f>
        <v/>
      </c>
      <c r="R6471" s="21">
        <f>0</f>
        <v/>
      </c>
      <c r="S6471" s="21">
        <f>2*$B$5339</f>
        <v/>
      </c>
      <c r="T6471" s="21">
        <f>-$B$5338</f>
        <v/>
      </c>
      <c r="U6471" s="21">
        <f>$B$5340</f>
        <v/>
      </c>
      <c r="V6471" s="21" t="n">
        <v>0</v>
      </c>
      <c r="W6471" s="21" t="n">
        <v>0</v>
      </c>
      <c r="X6471" s="21" t="n">
        <v>0</v>
      </c>
      <c r="Y6471" s="21" t="n">
        <v>0</v>
      </c>
      <c r="Z6471" s="19" t="n"/>
    </row>
    <row r="6472">
      <c r="D6472" s="21" t="n">
        <v>0</v>
      </c>
      <c r="E6472" s="21" t="n">
        <v>0</v>
      </c>
      <c r="F6472" s="21" t="n">
        <v>0</v>
      </c>
      <c r="G6472" s="21" t="n">
        <v>0</v>
      </c>
      <c r="H6472" s="21" t="n">
        <v>0</v>
      </c>
      <c r="I6472" s="21" t="n">
        <v>0</v>
      </c>
      <c r="J6472" s="21" t="n">
        <v>0</v>
      </c>
      <c r="K6472" s="21" t="n">
        <v>0</v>
      </c>
      <c r="L6472" s="21" t="n">
        <v>0</v>
      </c>
      <c r="M6472" s="21" t="n">
        <v>0</v>
      </c>
      <c r="N6472" s="21" t="n">
        <v>0</v>
      </c>
      <c r="O6472" s="21" t="n">
        <v>0</v>
      </c>
      <c r="P6472" s="21" t="n">
        <v>0</v>
      </c>
      <c r="Q6472" s="21" t="n">
        <v>0</v>
      </c>
      <c r="R6472" s="21">
        <f>-$B$5337</f>
        <v/>
      </c>
      <c r="S6472" s="21">
        <f>-$B$5338</f>
        <v/>
      </c>
      <c r="T6472" s="21">
        <f>2*$B$5337+$D$6452</f>
        <v/>
      </c>
      <c r="U6472" s="21">
        <f>0</f>
        <v/>
      </c>
      <c r="V6472" s="21">
        <f>-$B$5337</f>
        <v/>
      </c>
      <c r="W6472" s="21">
        <f>$B$5338</f>
        <v/>
      </c>
      <c r="X6472" s="21" t="n">
        <v>0</v>
      </c>
      <c r="Y6472" s="21" t="n">
        <v>0</v>
      </c>
      <c r="Z6472" s="19" t="n"/>
    </row>
    <row r="6473">
      <c r="D6473" s="21" t="n">
        <v>0</v>
      </c>
      <c r="E6473" s="21" t="n">
        <v>0</v>
      </c>
      <c r="F6473" s="21" t="n">
        <v>0</v>
      </c>
      <c r="G6473" s="21" t="n">
        <v>0</v>
      </c>
      <c r="H6473" s="21" t="n">
        <v>0</v>
      </c>
      <c r="I6473" s="21" t="n">
        <v>0</v>
      </c>
      <c r="J6473" s="21" t="n">
        <v>0</v>
      </c>
      <c r="K6473" s="21" t="n">
        <v>0</v>
      </c>
      <c r="L6473" s="21" t="n">
        <v>0</v>
      </c>
      <c r="M6473" s="21" t="n">
        <v>0</v>
      </c>
      <c r="N6473" s="21" t="n">
        <v>0</v>
      </c>
      <c r="O6473" s="21" t="n">
        <v>0</v>
      </c>
      <c r="P6473" s="21" t="n">
        <v>0</v>
      </c>
      <c r="Q6473" s="21" t="n">
        <v>0</v>
      </c>
      <c r="R6473" s="21">
        <f>$B$5338</f>
        <v/>
      </c>
      <c r="S6473" s="21">
        <f>$B$5340</f>
        <v/>
      </c>
      <c r="T6473" s="21">
        <f>0</f>
        <v/>
      </c>
      <c r="U6473" s="21">
        <f>2*$B$5339</f>
        <v/>
      </c>
      <c r="V6473" s="21">
        <f>-$B$5338</f>
        <v/>
      </c>
      <c r="W6473" s="21">
        <f>$B$5340</f>
        <v/>
      </c>
      <c r="X6473" s="21" t="n">
        <v>0</v>
      </c>
      <c r="Y6473" s="21" t="n">
        <v>0</v>
      </c>
      <c r="Z6473" s="19" t="n"/>
    </row>
    <row r="6474">
      <c r="D6474" s="21" t="n">
        <v>0</v>
      </c>
      <c r="E6474" s="21" t="n">
        <v>0</v>
      </c>
      <c r="F6474" s="21" t="n">
        <v>0</v>
      </c>
      <c r="G6474" s="21" t="n">
        <v>0</v>
      </c>
      <c r="H6474" s="21" t="n">
        <v>0</v>
      </c>
      <c r="I6474" s="21" t="n">
        <v>0</v>
      </c>
      <c r="J6474" s="21" t="n">
        <v>0</v>
      </c>
      <c r="K6474" s="21" t="n">
        <v>0</v>
      </c>
      <c r="L6474" s="21" t="n">
        <v>0</v>
      </c>
      <c r="M6474" s="21" t="n">
        <v>0</v>
      </c>
      <c r="N6474" s="21" t="n">
        <v>0</v>
      </c>
      <c r="O6474" s="21" t="n">
        <v>0</v>
      </c>
      <c r="P6474" s="21" t="n">
        <v>0</v>
      </c>
      <c r="Q6474" s="21" t="n">
        <v>0</v>
      </c>
      <c r="R6474" s="21" t="n">
        <v>0</v>
      </c>
      <c r="S6474" s="21" t="n">
        <v>0</v>
      </c>
      <c r="T6474" s="21">
        <f>-$B$5337</f>
        <v/>
      </c>
      <c r="U6474" s="21">
        <f>-$B$5338</f>
        <v/>
      </c>
      <c r="V6474" s="21">
        <f>2*$B$5337+$D$6453</f>
        <v/>
      </c>
      <c r="W6474" s="21">
        <f>0</f>
        <v/>
      </c>
      <c r="X6474" s="21">
        <f>-$B$5337</f>
        <v/>
      </c>
      <c r="Y6474" s="21">
        <f>$B$5338</f>
        <v/>
      </c>
      <c r="Z6474" s="19" t="n"/>
    </row>
    <row r="6475">
      <c r="D6475" s="21" t="n">
        <v>0</v>
      </c>
      <c r="E6475" s="21" t="n">
        <v>0</v>
      </c>
      <c r="F6475" s="21" t="n">
        <v>0</v>
      </c>
      <c r="G6475" s="21" t="n">
        <v>0</v>
      </c>
      <c r="H6475" s="21" t="n">
        <v>0</v>
      </c>
      <c r="I6475" s="21" t="n">
        <v>0</v>
      </c>
      <c r="J6475" s="21" t="n">
        <v>0</v>
      </c>
      <c r="K6475" s="21" t="n">
        <v>0</v>
      </c>
      <c r="L6475" s="21" t="n">
        <v>0</v>
      </c>
      <c r="M6475" s="21" t="n">
        <v>0</v>
      </c>
      <c r="N6475" s="21" t="n">
        <v>0</v>
      </c>
      <c r="O6475" s="21" t="n">
        <v>0</v>
      </c>
      <c r="P6475" s="21" t="n">
        <v>0</v>
      </c>
      <c r="Q6475" s="21" t="n">
        <v>0</v>
      </c>
      <c r="R6475" s="21" t="n">
        <v>0</v>
      </c>
      <c r="S6475" s="21" t="n">
        <v>0</v>
      </c>
      <c r="T6475" s="21">
        <f>$B$5338</f>
        <v/>
      </c>
      <c r="U6475" s="21">
        <f>$B$5340</f>
        <v/>
      </c>
      <c r="V6475" s="21">
        <f>0</f>
        <v/>
      </c>
      <c r="W6475" s="21">
        <f>2*$B$5339</f>
        <v/>
      </c>
      <c r="X6475" s="21">
        <f>-$B$5338</f>
        <v/>
      </c>
      <c r="Y6475" s="21">
        <f>$B$5340</f>
        <v/>
      </c>
      <c r="Z6475" s="19" t="n"/>
    </row>
    <row r="6476">
      <c r="D6476" s="21" t="n">
        <v>0</v>
      </c>
      <c r="E6476" s="21" t="n">
        <v>0</v>
      </c>
      <c r="F6476" s="21" t="n">
        <v>0</v>
      </c>
      <c r="G6476" s="21" t="n">
        <v>0</v>
      </c>
      <c r="H6476" s="21" t="n">
        <v>0</v>
      </c>
      <c r="I6476" s="21" t="n">
        <v>0</v>
      </c>
      <c r="J6476" s="21" t="n">
        <v>0</v>
      </c>
      <c r="K6476" s="21" t="n">
        <v>0</v>
      </c>
      <c r="L6476" s="21" t="n">
        <v>0</v>
      </c>
      <c r="M6476" s="21" t="n">
        <v>0</v>
      </c>
      <c r="N6476" s="21" t="n">
        <v>0</v>
      </c>
      <c r="O6476" s="21" t="n">
        <v>0</v>
      </c>
      <c r="P6476" s="21" t="n">
        <v>0</v>
      </c>
      <c r="Q6476" s="21" t="n">
        <v>0</v>
      </c>
      <c r="R6476" s="21" t="n">
        <v>0</v>
      </c>
      <c r="S6476" s="21" t="n">
        <v>0</v>
      </c>
      <c r="T6476" s="21" t="n">
        <v>0</v>
      </c>
      <c r="U6476" s="21" t="n">
        <v>0</v>
      </c>
      <c r="V6476" s="21">
        <f>-$B$5337</f>
        <v/>
      </c>
      <c r="W6476" s="21">
        <f>-$B$5338</f>
        <v/>
      </c>
      <c r="X6476" s="21">
        <f>$B$5337+$D$6454</f>
        <v/>
      </c>
      <c r="Y6476" s="21">
        <f>-$B$5338</f>
        <v/>
      </c>
      <c r="Z6476" s="19" t="n"/>
    </row>
    <row r="6477">
      <c r="D6477" s="21" t="n">
        <v>0</v>
      </c>
      <c r="E6477" s="21" t="n">
        <v>0</v>
      </c>
      <c r="F6477" s="21" t="n">
        <v>0</v>
      </c>
      <c r="G6477" s="21" t="n">
        <v>0</v>
      </c>
      <c r="H6477" s="21" t="n">
        <v>0</v>
      </c>
      <c r="I6477" s="21" t="n">
        <v>0</v>
      </c>
      <c r="J6477" s="21" t="n">
        <v>0</v>
      </c>
      <c r="K6477" s="21" t="n">
        <v>0</v>
      </c>
      <c r="L6477" s="21" t="n">
        <v>0</v>
      </c>
      <c r="M6477" s="21" t="n">
        <v>0</v>
      </c>
      <c r="N6477" s="21" t="n">
        <v>0</v>
      </c>
      <c r="O6477" s="21" t="n">
        <v>0</v>
      </c>
      <c r="P6477" s="21" t="n">
        <v>0</v>
      </c>
      <c r="Q6477" s="21" t="n">
        <v>0</v>
      </c>
      <c r="R6477" s="21" t="n">
        <v>0</v>
      </c>
      <c r="S6477" s="21" t="n">
        <v>0</v>
      </c>
      <c r="T6477" s="21" t="n">
        <v>0</v>
      </c>
      <c r="U6477" s="21" t="n">
        <v>0</v>
      </c>
      <c r="V6477" s="21">
        <f>$B$5338</f>
        <v/>
      </c>
      <c r="W6477" s="21">
        <f>$B$5340</f>
        <v/>
      </c>
      <c r="X6477" s="21">
        <f>-$B$5338</f>
        <v/>
      </c>
      <c r="Y6477" s="21">
        <f>$B$5339</f>
        <v/>
      </c>
      <c r="Z6477" s="19" t="n"/>
    </row>
    <row r="6479">
      <c r="A6479" s="8" t="inlineStr">
        <is>
          <t>gen 31</t>
        </is>
      </c>
    </row>
    <row r="6480">
      <c r="D6480" s="19">
        <f>IF(ABS(IF(ABS($E$6444)&gt;0.000000001,$E$6444,0.000000001))=0,0,IF($E$5352&lt;=$B$5346,0,IF(ABS(IF(ABS($E$6444)&gt;0.000000001,$E$6444,0.000000001))&gt;=8*$B$5348,$H$5352,0.5*$H$5352*(ABS(IF(ABS($E$6444)&gt;0.000000001,$E$6444,0.000000001))/$B$5348)^(1/3)))/ABS(IF(ABS($E$6444)&gt;0.000000001,$E$6444,0.000000001))*$I$5352)</f>
        <v/>
      </c>
      <c r="E6480" s="19">
        <f>0.5*$E$6444+0.5*$Z$6492</f>
        <v/>
      </c>
      <c r="F6480" s="19">
        <f>$Z$6493</f>
        <v/>
      </c>
    </row>
    <row r="6481">
      <c r="D6481" s="19">
        <f>IF(ABS(IF(ABS($E$6445)&gt;0.000000001,$E$6445,0.000000001))=0,0,IF($E$5353&lt;=$B$5346,0,IF(ABS(IF(ABS($E$6445)&gt;0.000000001,$E$6445,0.000000001))&gt;=8*$B$5348,$H$5353,0.5*$H$5353*(ABS(IF(ABS($E$6445)&gt;0.000000001,$E$6445,0.000000001))/$B$5348)^(1/3)))/ABS(IF(ABS($E$6445)&gt;0.000000001,$E$6445,0.000000001))*$I$5353)</f>
        <v/>
      </c>
      <c r="E6481" s="19">
        <f>0.5*$E$6445+0.5*$Z$6494</f>
        <v/>
      </c>
      <c r="F6481" s="19">
        <f>$Z$6495</f>
        <v/>
      </c>
    </row>
    <row r="6482">
      <c r="D6482" s="19">
        <f>IF(ABS(IF(ABS($E$6446)&gt;0.000000001,$E$6446,0.000000001))=0,0,IF($E$5354&lt;=$B$5346,0,IF(ABS(IF(ABS($E$6446)&gt;0.000000001,$E$6446,0.000000001))&gt;=8*$B$5348,$H$5354,0.5*$H$5354*(ABS(IF(ABS($E$6446)&gt;0.000000001,$E$6446,0.000000001))/$B$5348)^(1/3)))/ABS(IF(ABS($E$6446)&gt;0.000000001,$E$6446,0.000000001))*$I$5354)</f>
        <v/>
      </c>
      <c r="E6482" s="19">
        <f>0.5*$E$6446+0.5*$Z$6496</f>
        <v/>
      </c>
      <c r="F6482" s="19">
        <f>$Z$6497</f>
        <v/>
      </c>
    </row>
    <row r="6483">
      <c r="D6483" s="19">
        <f>IF(ABS(IF(ABS($E$6447)&gt;0.000000001,$E$6447,0.000000001))=0,0,IF($E$5355&lt;=$B$5346,0,IF(ABS(IF(ABS($E$6447)&gt;0.000000001,$E$6447,0.000000001))&gt;=8*$B$5348,$H$5355,0.5*$H$5355*(ABS(IF(ABS($E$6447)&gt;0.000000001,$E$6447,0.000000001))/$B$5348)^(1/3)))/ABS(IF(ABS($E$6447)&gt;0.000000001,$E$6447,0.000000001))*$I$5355)</f>
        <v/>
      </c>
      <c r="E6483" s="19">
        <f>0.5*$E$6447+0.5*$Z$6498</f>
        <v/>
      </c>
      <c r="F6483" s="19">
        <f>$Z$6499</f>
        <v/>
      </c>
    </row>
    <row r="6484">
      <c r="D6484" s="19">
        <f>IF(ABS(IF(ABS($E$6448)&gt;0.000000001,$E$6448,0.000000001))=0,0,IF($E$5356&lt;=$B$5346,0,IF(ABS(IF(ABS($E$6448)&gt;0.000000001,$E$6448,0.000000001))&gt;=8*$B$5348,$H$5356,0.5*$H$5356*(ABS(IF(ABS($E$6448)&gt;0.000000001,$E$6448,0.000000001))/$B$5348)^(1/3)))/ABS(IF(ABS($E$6448)&gt;0.000000001,$E$6448,0.000000001))*$I$5356)</f>
        <v/>
      </c>
      <c r="E6484" s="19">
        <f>0.5*$E$6448+0.5*$Z$6500</f>
        <v/>
      </c>
      <c r="F6484" s="19">
        <f>$Z$6501</f>
        <v/>
      </c>
    </row>
    <row r="6485">
      <c r="D6485" s="19">
        <f>IF(ABS(IF(ABS($E$6449)&gt;0.000000001,$E$6449,0.000000001))=0,0,IF($E$5357&lt;=$B$5346,0,IF(ABS(IF(ABS($E$6449)&gt;0.000000001,$E$6449,0.000000001))&gt;=8*$B$5348,$H$5357,0.5*$H$5357*(ABS(IF(ABS($E$6449)&gt;0.000000001,$E$6449,0.000000001))/$B$5348)^(1/3)))/ABS(IF(ABS($E$6449)&gt;0.000000001,$E$6449,0.000000001))*$I$5357)</f>
        <v/>
      </c>
      <c r="E6485" s="19">
        <f>0.5*$E$6449+0.5*$Z$6502</f>
        <v/>
      </c>
      <c r="F6485" s="19">
        <f>$Z$6503</f>
        <v/>
      </c>
    </row>
    <row r="6486">
      <c r="D6486" s="19">
        <f>IF(ABS(IF(ABS($E$6450)&gt;0.000000001,$E$6450,0.000000001))=0,0,IF($E$5358&lt;=$B$5346,0,IF(ABS(IF(ABS($E$6450)&gt;0.000000001,$E$6450,0.000000001))&gt;=8*$B$5348,$H$5358,0.5*$H$5358*(ABS(IF(ABS($E$6450)&gt;0.000000001,$E$6450,0.000000001))/$B$5348)^(1/3)))/ABS(IF(ABS($E$6450)&gt;0.000000001,$E$6450,0.000000001))*$I$5358)</f>
        <v/>
      </c>
      <c r="E6486" s="19">
        <f>0.5*$E$6450+0.5*$Z$6504</f>
        <v/>
      </c>
      <c r="F6486" s="19">
        <f>$Z$6505</f>
        <v/>
      </c>
    </row>
    <row r="6487">
      <c r="D6487" s="19">
        <f>IF(ABS(IF(ABS($E$6451)&gt;0.000000001,$E$6451,0.000000001))=0,0,IF($E$5359&lt;=$B$5346,0,IF(ABS(IF(ABS($E$6451)&gt;0.000000001,$E$6451,0.000000001))&gt;=8*$B$5348,$H$5359,0.5*$H$5359*(ABS(IF(ABS($E$6451)&gt;0.000000001,$E$6451,0.000000001))/$B$5348)^(1/3)))/ABS(IF(ABS($E$6451)&gt;0.000000001,$E$6451,0.000000001))*$I$5359)</f>
        <v/>
      </c>
      <c r="E6487" s="19">
        <f>0.5*$E$6451+0.5*$Z$6506</f>
        <v/>
      </c>
      <c r="F6487" s="19">
        <f>$Z$6507</f>
        <v/>
      </c>
    </row>
    <row r="6488">
      <c r="D6488" s="19">
        <f>IF(ABS(IF(ABS($E$6452)&gt;0.000000001,$E$6452,0.000000001))=0,0,IF($E$5360&lt;=$B$5346,0,IF(ABS(IF(ABS($E$6452)&gt;0.000000001,$E$6452,0.000000001))&gt;=8*$B$5348,$H$5360,0.5*$H$5360*(ABS(IF(ABS($E$6452)&gt;0.000000001,$E$6452,0.000000001))/$B$5348)^(1/3)))/ABS(IF(ABS($E$6452)&gt;0.000000001,$E$6452,0.000000001))*$I$5360)</f>
        <v/>
      </c>
      <c r="E6488" s="19">
        <f>0.5*$E$6452+0.5*$Z$6508</f>
        <v/>
      </c>
      <c r="F6488" s="19">
        <f>$Z$6509</f>
        <v/>
      </c>
    </row>
    <row r="6489">
      <c r="D6489" s="19">
        <f>IF(ABS(IF(ABS($E$6453)&gt;0.000000001,$E$6453,0.000000001))=0,0,IF($E$5361&lt;=$B$5346,0,IF(ABS(IF(ABS($E$6453)&gt;0.000000001,$E$6453,0.000000001))&gt;=8*$B$5348,$H$5361,0.5*$H$5361*(ABS(IF(ABS($E$6453)&gt;0.000000001,$E$6453,0.000000001))/$B$5348)^(1/3)))/ABS(IF(ABS($E$6453)&gt;0.000000001,$E$6453,0.000000001))*$I$5361)</f>
        <v/>
      </c>
      <c r="E6489" s="19">
        <f>0.5*$E$6453+0.5*$Z$6510</f>
        <v/>
      </c>
      <c r="F6489" s="19">
        <f>$Z$6511</f>
        <v/>
      </c>
    </row>
    <row r="6490">
      <c r="D6490" s="19">
        <f>IF(ABS(IF(ABS($E$6454)&gt;0.000000001,$E$6454,0.000000001))=0,0,IF($E$5362&lt;=$B$5346,0,IF(ABS(IF(ABS($E$6454)&gt;0.000000001,$E$6454,0.000000001))&gt;=8*$B$5348,$H$5362,0.5*$H$5362*(ABS(IF(ABS($E$6454)&gt;0.000000001,$E$6454,0.000000001))/$B$5348)^(1/3)))/ABS(IF(ABS($E$6454)&gt;0.000000001,$E$6454,0.000000001))*$I$5362)</f>
        <v/>
      </c>
      <c r="E6490" s="19">
        <f>0.5*$E$6454+0.5*$Z$6512</f>
        <v/>
      </c>
      <c r="F6490" s="19">
        <f>$Z$6513</f>
        <v/>
      </c>
    </row>
    <row r="6492">
      <c r="D6492" s="21">
        <f>$B$5337+$D$6480</f>
        <v/>
      </c>
      <c r="E6492" s="21">
        <f>$B$5338</f>
        <v/>
      </c>
      <c r="F6492" s="21">
        <f>-$B$5337</f>
        <v/>
      </c>
      <c r="G6492" s="21">
        <f>$B$5338</f>
        <v/>
      </c>
      <c r="H6492" s="21" t="n">
        <v>0</v>
      </c>
      <c r="I6492" s="21" t="n">
        <v>0</v>
      </c>
      <c r="J6492" s="21" t="n">
        <v>0</v>
      </c>
      <c r="K6492" s="21" t="n">
        <v>0</v>
      </c>
      <c r="L6492" s="21" t="n">
        <v>0</v>
      </c>
      <c r="M6492" s="21" t="n">
        <v>0</v>
      </c>
      <c r="N6492" s="21" t="n">
        <v>0</v>
      </c>
      <c r="O6492" s="21" t="n">
        <v>0</v>
      </c>
      <c r="P6492" s="21" t="n">
        <v>0</v>
      </c>
      <c r="Q6492" s="21" t="n">
        <v>0</v>
      </c>
      <c r="R6492" s="21" t="n">
        <v>0</v>
      </c>
      <c r="S6492" s="21" t="n">
        <v>0</v>
      </c>
      <c r="T6492" s="21" t="n">
        <v>0</v>
      </c>
      <c r="U6492" s="21" t="n">
        <v>0</v>
      </c>
      <c r="V6492" s="21" t="n">
        <v>0</v>
      </c>
      <c r="W6492" s="21" t="n">
        <v>0</v>
      </c>
      <c r="X6492" s="21" t="n">
        <v>0</v>
      </c>
      <c r="Y6492" s="21" t="n">
        <v>0</v>
      </c>
      <c r="Z6492" s="19">
        <f t="array" ref="Z6492:Z6513">MMULT(MINVERSE($D$6492:$Y$6513),$D$5364:$D$5385)</f>
        <v/>
      </c>
    </row>
    <row r="6493">
      <c r="D6493" s="21">
        <f>$B$5338</f>
        <v/>
      </c>
      <c r="E6493" s="21">
        <f>$B$5339</f>
        <v/>
      </c>
      <c r="F6493" s="21">
        <f>-$B$5338</f>
        <v/>
      </c>
      <c r="G6493" s="21">
        <f>$B$5340</f>
        <v/>
      </c>
      <c r="H6493" s="21" t="n">
        <v>0</v>
      </c>
      <c r="I6493" s="21" t="n">
        <v>0</v>
      </c>
      <c r="J6493" s="21" t="n">
        <v>0</v>
      </c>
      <c r="K6493" s="21" t="n">
        <v>0</v>
      </c>
      <c r="L6493" s="21" t="n">
        <v>0</v>
      </c>
      <c r="M6493" s="21" t="n">
        <v>0</v>
      </c>
      <c r="N6493" s="21" t="n">
        <v>0</v>
      </c>
      <c r="O6493" s="21" t="n">
        <v>0</v>
      </c>
      <c r="P6493" s="21" t="n">
        <v>0</v>
      </c>
      <c r="Q6493" s="21" t="n">
        <v>0</v>
      </c>
      <c r="R6493" s="21" t="n">
        <v>0</v>
      </c>
      <c r="S6493" s="21" t="n">
        <v>0</v>
      </c>
      <c r="T6493" s="21" t="n">
        <v>0</v>
      </c>
      <c r="U6493" s="21" t="n">
        <v>0</v>
      </c>
      <c r="V6493" s="21" t="n">
        <v>0</v>
      </c>
      <c r="W6493" s="21" t="n">
        <v>0</v>
      </c>
      <c r="X6493" s="21" t="n">
        <v>0</v>
      </c>
      <c r="Y6493" s="21" t="n">
        <v>0</v>
      </c>
      <c r="Z6493" s="19" t="n"/>
    </row>
    <row r="6494">
      <c r="D6494" s="21">
        <f>-$B$5337</f>
        <v/>
      </c>
      <c r="E6494" s="21">
        <f>-$B$5338</f>
        <v/>
      </c>
      <c r="F6494" s="21">
        <f>2*$B$5337+$D$6481</f>
        <v/>
      </c>
      <c r="G6494" s="21">
        <f>0</f>
        <v/>
      </c>
      <c r="H6494" s="21">
        <f>-$B$5337</f>
        <v/>
      </c>
      <c r="I6494" s="21">
        <f>$B$5338</f>
        <v/>
      </c>
      <c r="J6494" s="21" t="n">
        <v>0</v>
      </c>
      <c r="K6494" s="21" t="n">
        <v>0</v>
      </c>
      <c r="L6494" s="21" t="n">
        <v>0</v>
      </c>
      <c r="M6494" s="21" t="n">
        <v>0</v>
      </c>
      <c r="N6494" s="21" t="n">
        <v>0</v>
      </c>
      <c r="O6494" s="21" t="n">
        <v>0</v>
      </c>
      <c r="P6494" s="21" t="n">
        <v>0</v>
      </c>
      <c r="Q6494" s="21" t="n">
        <v>0</v>
      </c>
      <c r="R6494" s="21" t="n">
        <v>0</v>
      </c>
      <c r="S6494" s="21" t="n">
        <v>0</v>
      </c>
      <c r="T6494" s="21" t="n">
        <v>0</v>
      </c>
      <c r="U6494" s="21" t="n">
        <v>0</v>
      </c>
      <c r="V6494" s="21" t="n">
        <v>0</v>
      </c>
      <c r="W6494" s="21" t="n">
        <v>0</v>
      </c>
      <c r="X6494" s="21" t="n">
        <v>0</v>
      </c>
      <c r="Y6494" s="21" t="n">
        <v>0</v>
      </c>
      <c r="Z6494" s="19" t="n"/>
    </row>
    <row r="6495">
      <c r="D6495" s="21">
        <f>$B$5338</f>
        <v/>
      </c>
      <c r="E6495" s="21">
        <f>$B$5340</f>
        <v/>
      </c>
      <c r="F6495" s="21">
        <f>0</f>
        <v/>
      </c>
      <c r="G6495" s="21">
        <f>2*$B$5339</f>
        <v/>
      </c>
      <c r="H6495" s="21">
        <f>-$B$5338</f>
        <v/>
      </c>
      <c r="I6495" s="21">
        <f>$B$5340</f>
        <v/>
      </c>
      <c r="J6495" s="21" t="n">
        <v>0</v>
      </c>
      <c r="K6495" s="21" t="n">
        <v>0</v>
      </c>
      <c r="L6495" s="21" t="n">
        <v>0</v>
      </c>
      <c r="M6495" s="21" t="n">
        <v>0</v>
      </c>
      <c r="N6495" s="21" t="n">
        <v>0</v>
      </c>
      <c r="O6495" s="21" t="n">
        <v>0</v>
      </c>
      <c r="P6495" s="21" t="n">
        <v>0</v>
      </c>
      <c r="Q6495" s="21" t="n">
        <v>0</v>
      </c>
      <c r="R6495" s="21" t="n">
        <v>0</v>
      </c>
      <c r="S6495" s="21" t="n">
        <v>0</v>
      </c>
      <c r="T6495" s="21" t="n">
        <v>0</v>
      </c>
      <c r="U6495" s="21" t="n">
        <v>0</v>
      </c>
      <c r="V6495" s="21" t="n">
        <v>0</v>
      </c>
      <c r="W6495" s="21" t="n">
        <v>0</v>
      </c>
      <c r="X6495" s="21" t="n">
        <v>0</v>
      </c>
      <c r="Y6495" s="21" t="n">
        <v>0</v>
      </c>
      <c r="Z6495" s="19" t="n"/>
    </row>
    <row r="6496">
      <c r="D6496" s="21" t="n">
        <v>0</v>
      </c>
      <c r="E6496" s="21" t="n">
        <v>0</v>
      </c>
      <c r="F6496" s="21">
        <f>-$B$5337</f>
        <v/>
      </c>
      <c r="G6496" s="21">
        <f>-$B$5338</f>
        <v/>
      </c>
      <c r="H6496" s="21">
        <f>2*$B$5337+$D$6482</f>
        <v/>
      </c>
      <c r="I6496" s="21">
        <f>0</f>
        <v/>
      </c>
      <c r="J6496" s="21">
        <f>-$B$5337</f>
        <v/>
      </c>
      <c r="K6496" s="21">
        <f>$B$5338</f>
        <v/>
      </c>
      <c r="L6496" s="21" t="n">
        <v>0</v>
      </c>
      <c r="M6496" s="21" t="n">
        <v>0</v>
      </c>
      <c r="N6496" s="21" t="n">
        <v>0</v>
      </c>
      <c r="O6496" s="21" t="n">
        <v>0</v>
      </c>
      <c r="P6496" s="21" t="n">
        <v>0</v>
      </c>
      <c r="Q6496" s="21" t="n">
        <v>0</v>
      </c>
      <c r="R6496" s="21" t="n">
        <v>0</v>
      </c>
      <c r="S6496" s="21" t="n">
        <v>0</v>
      </c>
      <c r="T6496" s="21" t="n">
        <v>0</v>
      </c>
      <c r="U6496" s="21" t="n">
        <v>0</v>
      </c>
      <c r="V6496" s="21" t="n">
        <v>0</v>
      </c>
      <c r="W6496" s="21" t="n">
        <v>0</v>
      </c>
      <c r="X6496" s="21" t="n">
        <v>0</v>
      </c>
      <c r="Y6496" s="21" t="n">
        <v>0</v>
      </c>
      <c r="Z6496" s="19" t="n"/>
    </row>
    <row r="6497">
      <c r="D6497" s="21" t="n">
        <v>0</v>
      </c>
      <c r="E6497" s="21" t="n">
        <v>0</v>
      </c>
      <c r="F6497" s="21">
        <f>$B$5338</f>
        <v/>
      </c>
      <c r="G6497" s="21">
        <f>$B$5340</f>
        <v/>
      </c>
      <c r="H6497" s="21">
        <f>0</f>
        <v/>
      </c>
      <c r="I6497" s="21">
        <f>2*$B$5339</f>
        <v/>
      </c>
      <c r="J6497" s="21">
        <f>-$B$5338</f>
        <v/>
      </c>
      <c r="K6497" s="21">
        <f>$B$5340</f>
        <v/>
      </c>
      <c r="L6497" s="21" t="n">
        <v>0</v>
      </c>
      <c r="M6497" s="21" t="n">
        <v>0</v>
      </c>
      <c r="N6497" s="21" t="n">
        <v>0</v>
      </c>
      <c r="O6497" s="21" t="n">
        <v>0</v>
      </c>
      <c r="P6497" s="21" t="n">
        <v>0</v>
      </c>
      <c r="Q6497" s="21" t="n">
        <v>0</v>
      </c>
      <c r="R6497" s="21" t="n">
        <v>0</v>
      </c>
      <c r="S6497" s="21" t="n">
        <v>0</v>
      </c>
      <c r="T6497" s="21" t="n">
        <v>0</v>
      </c>
      <c r="U6497" s="21" t="n">
        <v>0</v>
      </c>
      <c r="V6497" s="21" t="n">
        <v>0</v>
      </c>
      <c r="W6497" s="21" t="n">
        <v>0</v>
      </c>
      <c r="X6497" s="21" t="n">
        <v>0</v>
      </c>
      <c r="Y6497" s="21" t="n">
        <v>0</v>
      </c>
      <c r="Z6497" s="19" t="n"/>
    </row>
    <row r="6498">
      <c r="D6498" s="21" t="n">
        <v>0</v>
      </c>
      <c r="E6498" s="21" t="n">
        <v>0</v>
      </c>
      <c r="F6498" s="21" t="n">
        <v>0</v>
      </c>
      <c r="G6498" s="21" t="n">
        <v>0</v>
      </c>
      <c r="H6498" s="21">
        <f>-$B$5337</f>
        <v/>
      </c>
      <c r="I6498" s="21">
        <f>-$B$5338</f>
        <v/>
      </c>
      <c r="J6498" s="21">
        <f>2*$B$5337+$D$6483</f>
        <v/>
      </c>
      <c r="K6498" s="21">
        <f>0</f>
        <v/>
      </c>
      <c r="L6498" s="21">
        <f>-$B$5337</f>
        <v/>
      </c>
      <c r="M6498" s="21">
        <f>$B$5338</f>
        <v/>
      </c>
      <c r="N6498" s="21" t="n">
        <v>0</v>
      </c>
      <c r="O6498" s="21" t="n">
        <v>0</v>
      </c>
      <c r="P6498" s="21" t="n">
        <v>0</v>
      </c>
      <c r="Q6498" s="21" t="n">
        <v>0</v>
      </c>
      <c r="R6498" s="21" t="n">
        <v>0</v>
      </c>
      <c r="S6498" s="21" t="n">
        <v>0</v>
      </c>
      <c r="T6498" s="21" t="n">
        <v>0</v>
      </c>
      <c r="U6498" s="21" t="n">
        <v>0</v>
      </c>
      <c r="V6498" s="21" t="n">
        <v>0</v>
      </c>
      <c r="W6498" s="21" t="n">
        <v>0</v>
      </c>
      <c r="X6498" s="21" t="n">
        <v>0</v>
      </c>
      <c r="Y6498" s="21" t="n">
        <v>0</v>
      </c>
      <c r="Z6498" s="19" t="n"/>
    </row>
    <row r="6499">
      <c r="D6499" s="21" t="n">
        <v>0</v>
      </c>
      <c r="E6499" s="21" t="n">
        <v>0</v>
      </c>
      <c r="F6499" s="21" t="n">
        <v>0</v>
      </c>
      <c r="G6499" s="21" t="n">
        <v>0</v>
      </c>
      <c r="H6499" s="21">
        <f>$B$5338</f>
        <v/>
      </c>
      <c r="I6499" s="21">
        <f>$B$5340</f>
        <v/>
      </c>
      <c r="J6499" s="21">
        <f>0</f>
        <v/>
      </c>
      <c r="K6499" s="21">
        <f>2*$B$5339</f>
        <v/>
      </c>
      <c r="L6499" s="21">
        <f>-$B$5338</f>
        <v/>
      </c>
      <c r="M6499" s="21">
        <f>$B$5340</f>
        <v/>
      </c>
      <c r="N6499" s="21" t="n">
        <v>0</v>
      </c>
      <c r="O6499" s="21" t="n">
        <v>0</v>
      </c>
      <c r="P6499" s="21" t="n">
        <v>0</v>
      </c>
      <c r="Q6499" s="21" t="n">
        <v>0</v>
      </c>
      <c r="R6499" s="21" t="n">
        <v>0</v>
      </c>
      <c r="S6499" s="21" t="n">
        <v>0</v>
      </c>
      <c r="T6499" s="21" t="n">
        <v>0</v>
      </c>
      <c r="U6499" s="21" t="n">
        <v>0</v>
      </c>
      <c r="V6499" s="21" t="n">
        <v>0</v>
      </c>
      <c r="W6499" s="21" t="n">
        <v>0</v>
      </c>
      <c r="X6499" s="21" t="n">
        <v>0</v>
      </c>
      <c r="Y6499" s="21" t="n">
        <v>0</v>
      </c>
      <c r="Z6499" s="19" t="n"/>
    </row>
    <row r="6500">
      <c r="D6500" s="21" t="n">
        <v>0</v>
      </c>
      <c r="E6500" s="21" t="n">
        <v>0</v>
      </c>
      <c r="F6500" s="21" t="n">
        <v>0</v>
      </c>
      <c r="G6500" s="21" t="n">
        <v>0</v>
      </c>
      <c r="H6500" s="21" t="n">
        <v>0</v>
      </c>
      <c r="I6500" s="21" t="n">
        <v>0</v>
      </c>
      <c r="J6500" s="21">
        <f>-$B$5337</f>
        <v/>
      </c>
      <c r="K6500" s="21">
        <f>-$B$5338</f>
        <v/>
      </c>
      <c r="L6500" s="21">
        <f>2*$B$5337+$D$6484</f>
        <v/>
      </c>
      <c r="M6500" s="21">
        <f>0</f>
        <v/>
      </c>
      <c r="N6500" s="21">
        <f>-$B$5337</f>
        <v/>
      </c>
      <c r="O6500" s="21">
        <f>$B$5338</f>
        <v/>
      </c>
      <c r="P6500" s="21" t="n">
        <v>0</v>
      </c>
      <c r="Q6500" s="21" t="n">
        <v>0</v>
      </c>
      <c r="R6500" s="21" t="n">
        <v>0</v>
      </c>
      <c r="S6500" s="21" t="n">
        <v>0</v>
      </c>
      <c r="T6500" s="21" t="n">
        <v>0</v>
      </c>
      <c r="U6500" s="21" t="n">
        <v>0</v>
      </c>
      <c r="V6500" s="21" t="n">
        <v>0</v>
      </c>
      <c r="W6500" s="21" t="n">
        <v>0</v>
      </c>
      <c r="X6500" s="21" t="n">
        <v>0</v>
      </c>
      <c r="Y6500" s="21" t="n">
        <v>0</v>
      </c>
      <c r="Z6500" s="19" t="n"/>
    </row>
    <row r="6501">
      <c r="D6501" s="21" t="n">
        <v>0</v>
      </c>
      <c r="E6501" s="21" t="n">
        <v>0</v>
      </c>
      <c r="F6501" s="21" t="n">
        <v>0</v>
      </c>
      <c r="G6501" s="21" t="n">
        <v>0</v>
      </c>
      <c r="H6501" s="21" t="n">
        <v>0</v>
      </c>
      <c r="I6501" s="21" t="n">
        <v>0</v>
      </c>
      <c r="J6501" s="21">
        <f>$B$5338</f>
        <v/>
      </c>
      <c r="K6501" s="21">
        <f>$B$5340</f>
        <v/>
      </c>
      <c r="L6501" s="21">
        <f>0</f>
        <v/>
      </c>
      <c r="M6501" s="21">
        <f>2*$B$5339</f>
        <v/>
      </c>
      <c r="N6501" s="21">
        <f>-$B$5338</f>
        <v/>
      </c>
      <c r="O6501" s="21">
        <f>$B$5340</f>
        <v/>
      </c>
      <c r="P6501" s="21" t="n">
        <v>0</v>
      </c>
      <c r="Q6501" s="21" t="n">
        <v>0</v>
      </c>
      <c r="R6501" s="21" t="n">
        <v>0</v>
      </c>
      <c r="S6501" s="21" t="n">
        <v>0</v>
      </c>
      <c r="T6501" s="21" t="n">
        <v>0</v>
      </c>
      <c r="U6501" s="21" t="n">
        <v>0</v>
      </c>
      <c r="V6501" s="21" t="n">
        <v>0</v>
      </c>
      <c r="W6501" s="21" t="n">
        <v>0</v>
      </c>
      <c r="X6501" s="21" t="n">
        <v>0</v>
      </c>
      <c r="Y6501" s="21" t="n">
        <v>0</v>
      </c>
      <c r="Z6501" s="19" t="n"/>
    </row>
    <row r="6502">
      <c r="D6502" s="21" t="n">
        <v>0</v>
      </c>
      <c r="E6502" s="21" t="n">
        <v>0</v>
      </c>
      <c r="F6502" s="21" t="n">
        <v>0</v>
      </c>
      <c r="G6502" s="21" t="n">
        <v>0</v>
      </c>
      <c r="H6502" s="21" t="n">
        <v>0</v>
      </c>
      <c r="I6502" s="21" t="n">
        <v>0</v>
      </c>
      <c r="J6502" s="21" t="n">
        <v>0</v>
      </c>
      <c r="K6502" s="21" t="n">
        <v>0</v>
      </c>
      <c r="L6502" s="21">
        <f>-$B$5337</f>
        <v/>
      </c>
      <c r="M6502" s="21">
        <f>-$B$5338</f>
        <v/>
      </c>
      <c r="N6502" s="21">
        <f>2*$B$5337+$D$6485</f>
        <v/>
      </c>
      <c r="O6502" s="21">
        <f>0</f>
        <v/>
      </c>
      <c r="P6502" s="21">
        <f>-$B$5337</f>
        <v/>
      </c>
      <c r="Q6502" s="21">
        <f>$B$5338</f>
        <v/>
      </c>
      <c r="R6502" s="21" t="n">
        <v>0</v>
      </c>
      <c r="S6502" s="21" t="n">
        <v>0</v>
      </c>
      <c r="T6502" s="21" t="n">
        <v>0</v>
      </c>
      <c r="U6502" s="21" t="n">
        <v>0</v>
      </c>
      <c r="V6502" s="21" t="n">
        <v>0</v>
      </c>
      <c r="W6502" s="21" t="n">
        <v>0</v>
      </c>
      <c r="X6502" s="21" t="n">
        <v>0</v>
      </c>
      <c r="Y6502" s="21" t="n">
        <v>0</v>
      </c>
      <c r="Z6502" s="19" t="n"/>
    </row>
    <row r="6503">
      <c r="D6503" s="21" t="n">
        <v>0</v>
      </c>
      <c r="E6503" s="21" t="n">
        <v>0</v>
      </c>
      <c r="F6503" s="21" t="n">
        <v>0</v>
      </c>
      <c r="G6503" s="21" t="n">
        <v>0</v>
      </c>
      <c r="H6503" s="21" t="n">
        <v>0</v>
      </c>
      <c r="I6503" s="21" t="n">
        <v>0</v>
      </c>
      <c r="J6503" s="21" t="n">
        <v>0</v>
      </c>
      <c r="K6503" s="21" t="n">
        <v>0</v>
      </c>
      <c r="L6503" s="21">
        <f>$B$5338</f>
        <v/>
      </c>
      <c r="M6503" s="21">
        <f>$B$5340</f>
        <v/>
      </c>
      <c r="N6503" s="21">
        <f>0</f>
        <v/>
      </c>
      <c r="O6503" s="21">
        <f>2*$B$5339</f>
        <v/>
      </c>
      <c r="P6503" s="21">
        <f>-$B$5338</f>
        <v/>
      </c>
      <c r="Q6503" s="21">
        <f>$B$5340</f>
        <v/>
      </c>
      <c r="R6503" s="21" t="n">
        <v>0</v>
      </c>
      <c r="S6503" s="21" t="n">
        <v>0</v>
      </c>
      <c r="T6503" s="21" t="n">
        <v>0</v>
      </c>
      <c r="U6503" s="21" t="n">
        <v>0</v>
      </c>
      <c r="V6503" s="21" t="n">
        <v>0</v>
      </c>
      <c r="W6503" s="21" t="n">
        <v>0</v>
      </c>
      <c r="X6503" s="21" t="n">
        <v>0</v>
      </c>
      <c r="Y6503" s="21" t="n">
        <v>0</v>
      </c>
      <c r="Z6503" s="19" t="n"/>
    </row>
    <row r="6504">
      <c r="D6504" s="21" t="n">
        <v>0</v>
      </c>
      <c r="E6504" s="21" t="n">
        <v>0</v>
      </c>
      <c r="F6504" s="21" t="n">
        <v>0</v>
      </c>
      <c r="G6504" s="21" t="n">
        <v>0</v>
      </c>
      <c r="H6504" s="21" t="n">
        <v>0</v>
      </c>
      <c r="I6504" s="21" t="n">
        <v>0</v>
      </c>
      <c r="J6504" s="21" t="n">
        <v>0</v>
      </c>
      <c r="K6504" s="21" t="n">
        <v>0</v>
      </c>
      <c r="L6504" s="21" t="n">
        <v>0</v>
      </c>
      <c r="M6504" s="21" t="n">
        <v>0</v>
      </c>
      <c r="N6504" s="21">
        <f>-$B$5337</f>
        <v/>
      </c>
      <c r="O6504" s="21">
        <f>-$B$5338</f>
        <v/>
      </c>
      <c r="P6504" s="21">
        <f>2*$B$5337+$D$6486</f>
        <v/>
      </c>
      <c r="Q6504" s="21">
        <f>0</f>
        <v/>
      </c>
      <c r="R6504" s="21">
        <f>-$B$5337</f>
        <v/>
      </c>
      <c r="S6504" s="21">
        <f>$B$5338</f>
        <v/>
      </c>
      <c r="T6504" s="21" t="n">
        <v>0</v>
      </c>
      <c r="U6504" s="21" t="n">
        <v>0</v>
      </c>
      <c r="V6504" s="21" t="n">
        <v>0</v>
      </c>
      <c r="W6504" s="21" t="n">
        <v>0</v>
      </c>
      <c r="X6504" s="21" t="n">
        <v>0</v>
      </c>
      <c r="Y6504" s="21" t="n">
        <v>0</v>
      </c>
      <c r="Z6504" s="19" t="n"/>
    </row>
    <row r="6505">
      <c r="D6505" s="21" t="n">
        <v>0</v>
      </c>
      <c r="E6505" s="21" t="n">
        <v>0</v>
      </c>
      <c r="F6505" s="21" t="n">
        <v>0</v>
      </c>
      <c r="G6505" s="21" t="n">
        <v>0</v>
      </c>
      <c r="H6505" s="21" t="n">
        <v>0</v>
      </c>
      <c r="I6505" s="21" t="n">
        <v>0</v>
      </c>
      <c r="J6505" s="21" t="n">
        <v>0</v>
      </c>
      <c r="K6505" s="21" t="n">
        <v>0</v>
      </c>
      <c r="L6505" s="21" t="n">
        <v>0</v>
      </c>
      <c r="M6505" s="21" t="n">
        <v>0</v>
      </c>
      <c r="N6505" s="21">
        <f>$B$5338</f>
        <v/>
      </c>
      <c r="O6505" s="21">
        <f>$B$5340</f>
        <v/>
      </c>
      <c r="P6505" s="21">
        <f>0</f>
        <v/>
      </c>
      <c r="Q6505" s="21">
        <f>2*$B$5339</f>
        <v/>
      </c>
      <c r="R6505" s="21">
        <f>-$B$5338</f>
        <v/>
      </c>
      <c r="S6505" s="21">
        <f>$B$5340</f>
        <v/>
      </c>
      <c r="T6505" s="21" t="n">
        <v>0</v>
      </c>
      <c r="U6505" s="21" t="n">
        <v>0</v>
      </c>
      <c r="V6505" s="21" t="n">
        <v>0</v>
      </c>
      <c r="W6505" s="21" t="n">
        <v>0</v>
      </c>
      <c r="X6505" s="21" t="n">
        <v>0</v>
      </c>
      <c r="Y6505" s="21" t="n">
        <v>0</v>
      </c>
      <c r="Z6505" s="19" t="n"/>
    </row>
    <row r="6506">
      <c r="D6506" s="21" t="n">
        <v>0</v>
      </c>
      <c r="E6506" s="21" t="n">
        <v>0</v>
      </c>
      <c r="F6506" s="21" t="n">
        <v>0</v>
      </c>
      <c r="G6506" s="21" t="n">
        <v>0</v>
      </c>
      <c r="H6506" s="21" t="n">
        <v>0</v>
      </c>
      <c r="I6506" s="21" t="n">
        <v>0</v>
      </c>
      <c r="J6506" s="21" t="n">
        <v>0</v>
      </c>
      <c r="K6506" s="21" t="n">
        <v>0</v>
      </c>
      <c r="L6506" s="21" t="n">
        <v>0</v>
      </c>
      <c r="M6506" s="21" t="n">
        <v>0</v>
      </c>
      <c r="N6506" s="21" t="n">
        <v>0</v>
      </c>
      <c r="O6506" s="21" t="n">
        <v>0</v>
      </c>
      <c r="P6506" s="21">
        <f>-$B$5337</f>
        <v/>
      </c>
      <c r="Q6506" s="21">
        <f>-$B$5338</f>
        <v/>
      </c>
      <c r="R6506" s="21">
        <f>2*$B$5337+$D$6487</f>
        <v/>
      </c>
      <c r="S6506" s="21">
        <f>0</f>
        <v/>
      </c>
      <c r="T6506" s="21">
        <f>-$B$5337</f>
        <v/>
      </c>
      <c r="U6506" s="21">
        <f>$B$5338</f>
        <v/>
      </c>
      <c r="V6506" s="21" t="n">
        <v>0</v>
      </c>
      <c r="W6506" s="21" t="n">
        <v>0</v>
      </c>
      <c r="X6506" s="21" t="n">
        <v>0</v>
      </c>
      <c r="Y6506" s="21" t="n">
        <v>0</v>
      </c>
      <c r="Z6506" s="19" t="n"/>
    </row>
    <row r="6507">
      <c r="D6507" s="21" t="n">
        <v>0</v>
      </c>
      <c r="E6507" s="21" t="n">
        <v>0</v>
      </c>
      <c r="F6507" s="21" t="n">
        <v>0</v>
      </c>
      <c r="G6507" s="21" t="n">
        <v>0</v>
      </c>
      <c r="H6507" s="21" t="n">
        <v>0</v>
      </c>
      <c r="I6507" s="21" t="n">
        <v>0</v>
      </c>
      <c r="J6507" s="21" t="n">
        <v>0</v>
      </c>
      <c r="K6507" s="21" t="n">
        <v>0</v>
      </c>
      <c r="L6507" s="21" t="n">
        <v>0</v>
      </c>
      <c r="M6507" s="21" t="n">
        <v>0</v>
      </c>
      <c r="N6507" s="21" t="n">
        <v>0</v>
      </c>
      <c r="O6507" s="21" t="n">
        <v>0</v>
      </c>
      <c r="P6507" s="21">
        <f>$B$5338</f>
        <v/>
      </c>
      <c r="Q6507" s="21">
        <f>$B$5340</f>
        <v/>
      </c>
      <c r="R6507" s="21">
        <f>0</f>
        <v/>
      </c>
      <c r="S6507" s="21">
        <f>2*$B$5339</f>
        <v/>
      </c>
      <c r="T6507" s="21">
        <f>-$B$5338</f>
        <v/>
      </c>
      <c r="U6507" s="21">
        <f>$B$5340</f>
        <v/>
      </c>
      <c r="V6507" s="21" t="n">
        <v>0</v>
      </c>
      <c r="W6507" s="21" t="n">
        <v>0</v>
      </c>
      <c r="X6507" s="21" t="n">
        <v>0</v>
      </c>
      <c r="Y6507" s="21" t="n">
        <v>0</v>
      </c>
      <c r="Z6507" s="19" t="n"/>
    </row>
    <row r="6508">
      <c r="D6508" s="21" t="n">
        <v>0</v>
      </c>
      <c r="E6508" s="21" t="n">
        <v>0</v>
      </c>
      <c r="F6508" s="21" t="n">
        <v>0</v>
      </c>
      <c r="G6508" s="21" t="n">
        <v>0</v>
      </c>
      <c r="H6508" s="21" t="n">
        <v>0</v>
      </c>
      <c r="I6508" s="21" t="n">
        <v>0</v>
      </c>
      <c r="J6508" s="21" t="n">
        <v>0</v>
      </c>
      <c r="K6508" s="21" t="n">
        <v>0</v>
      </c>
      <c r="L6508" s="21" t="n">
        <v>0</v>
      </c>
      <c r="M6508" s="21" t="n">
        <v>0</v>
      </c>
      <c r="N6508" s="21" t="n">
        <v>0</v>
      </c>
      <c r="O6508" s="21" t="n">
        <v>0</v>
      </c>
      <c r="P6508" s="21" t="n">
        <v>0</v>
      </c>
      <c r="Q6508" s="21" t="n">
        <v>0</v>
      </c>
      <c r="R6508" s="21">
        <f>-$B$5337</f>
        <v/>
      </c>
      <c r="S6508" s="21">
        <f>-$B$5338</f>
        <v/>
      </c>
      <c r="T6508" s="21">
        <f>2*$B$5337+$D$6488</f>
        <v/>
      </c>
      <c r="U6508" s="21">
        <f>0</f>
        <v/>
      </c>
      <c r="V6508" s="21">
        <f>-$B$5337</f>
        <v/>
      </c>
      <c r="W6508" s="21">
        <f>$B$5338</f>
        <v/>
      </c>
      <c r="X6508" s="21" t="n">
        <v>0</v>
      </c>
      <c r="Y6508" s="21" t="n">
        <v>0</v>
      </c>
      <c r="Z6508" s="19" t="n"/>
    </row>
    <row r="6509">
      <c r="D6509" s="21" t="n">
        <v>0</v>
      </c>
      <c r="E6509" s="21" t="n">
        <v>0</v>
      </c>
      <c r="F6509" s="21" t="n">
        <v>0</v>
      </c>
      <c r="G6509" s="21" t="n">
        <v>0</v>
      </c>
      <c r="H6509" s="21" t="n">
        <v>0</v>
      </c>
      <c r="I6509" s="21" t="n">
        <v>0</v>
      </c>
      <c r="J6509" s="21" t="n">
        <v>0</v>
      </c>
      <c r="K6509" s="21" t="n">
        <v>0</v>
      </c>
      <c r="L6509" s="21" t="n">
        <v>0</v>
      </c>
      <c r="M6509" s="21" t="n">
        <v>0</v>
      </c>
      <c r="N6509" s="21" t="n">
        <v>0</v>
      </c>
      <c r="O6509" s="21" t="n">
        <v>0</v>
      </c>
      <c r="P6509" s="21" t="n">
        <v>0</v>
      </c>
      <c r="Q6509" s="21" t="n">
        <v>0</v>
      </c>
      <c r="R6509" s="21">
        <f>$B$5338</f>
        <v/>
      </c>
      <c r="S6509" s="21">
        <f>$B$5340</f>
        <v/>
      </c>
      <c r="T6509" s="21">
        <f>0</f>
        <v/>
      </c>
      <c r="U6509" s="21">
        <f>2*$B$5339</f>
        <v/>
      </c>
      <c r="V6509" s="21">
        <f>-$B$5338</f>
        <v/>
      </c>
      <c r="W6509" s="21">
        <f>$B$5340</f>
        <v/>
      </c>
      <c r="X6509" s="21" t="n">
        <v>0</v>
      </c>
      <c r="Y6509" s="21" t="n">
        <v>0</v>
      </c>
      <c r="Z6509" s="19" t="n"/>
    </row>
    <row r="6510">
      <c r="D6510" s="21" t="n">
        <v>0</v>
      </c>
      <c r="E6510" s="21" t="n">
        <v>0</v>
      </c>
      <c r="F6510" s="21" t="n">
        <v>0</v>
      </c>
      <c r="G6510" s="21" t="n">
        <v>0</v>
      </c>
      <c r="H6510" s="21" t="n">
        <v>0</v>
      </c>
      <c r="I6510" s="21" t="n">
        <v>0</v>
      </c>
      <c r="J6510" s="21" t="n">
        <v>0</v>
      </c>
      <c r="K6510" s="21" t="n">
        <v>0</v>
      </c>
      <c r="L6510" s="21" t="n">
        <v>0</v>
      </c>
      <c r="M6510" s="21" t="n">
        <v>0</v>
      </c>
      <c r="N6510" s="21" t="n">
        <v>0</v>
      </c>
      <c r="O6510" s="21" t="n">
        <v>0</v>
      </c>
      <c r="P6510" s="21" t="n">
        <v>0</v>
      </c>
      <c r="Q6510" s="21" t="n">
        <v>0</v>
      </c>
      <c r="R6510" s="21" t="n">
        <v>0</v>
      </c>
      <c r="S6510" s="21" t="n">
        <v>0</v>
      </c>
      <c r="T6510" s="21">
        <f>-$B$5337</f>
        <v/>
      </c>
      <c r="U6510" s="21">
        <f>-$B$5338</f>
        <v/>
      </c>
      <c r="V6510" s="21">
        <f>2*$B$5337+$D$6489</f>
        <v/>
      </c>
      <c r="W6510" s="21">
        <f>0</f>
        <v/>
      </c>
      <c r="X6510" s="21">
        <f>-$B$5337</f>
        <v/>
      </c>
      <c r="Y6510" s="21">
        <f>$B$5338</f>
        <v/>
      </c>
      <c r="Z6510" s="19" t="n"/>
    </row>
    <row r="6511">
      <c r="D6511" s="21" t="n">
        <v>0</v>
      </c>
      <c r="E6511" s="21" t="n">
        <v>0</v>
      </c>
      <c r="F6511" s="21" t="n">
        <v>0</v>
      </c>
      <c r="G6511" s="21" t="n">
        <v>0</v>
      </c>
      <c r="H6511" s="21" t="n">
        <v>0</v>
      </c>
      <c r="I6511" s="21" t="n">
        <v>0</v>
      </c>
      <c r="J6511" s="21" t="n">
        <v>0</v>
      </c>
      <c r="K6511" s="21" t="n">
        <v>0</v>
      </c>
      <c r="L6511" s="21" t="n">
        <v>0</v>
      </c>
      <c r="M6511" s="21" t="n">
        <v>0</v>
      </c>
      <c r="N6511" s="21" t="n">
        <v>0</v>
      </c>
      <c r="O6511" s="21" t="n">
        <v>0</v>
      </c>
      <c r="P6511" s="21" t="n">
        <v>0</v>
      </c>
      <c r="Q6511" s="21" t="n">
        <v>0</v>
      </c>
      <c r="R6511" s="21" t="n">
        <v>0</v>
      </c>
      <c r="S6511" s="21" t="n">
        <v>0</v>
      </c>
      <c r="T6511" s="21">
        <f>$B$5338</f>
        <v/>
      </c>
      <c r="U6511" s="21">
        <f>$B$5340</f>
        <v/>
      </c>
      <c r="V6511" s="21">
        <f>0</f>
        <v/>
      </c>
      <c r="W6511" s="21">
        <f>2*$B$5339</f>
        <v/>
      </c>
      <c r="X6511" s="21">
        <f>-$B$5338</f>
        <v/>
      </c>
      <c r="Y6511" s="21">
        <f>$B$5340</f>
        <v/>
      </c>
      <c r="Z6511" s="19" t="n"/>
    </row>
    <row r="6512">
      <c r="D6512" s="21" t="n">
        <v>0</v>
      </c>
      <c r="E6512" s="21" t="n">
        <v>0</v>
      </c>
      <c r="F6512" s="21" t="n">
        <v>0</v>
      </c>
      <c r="G6512" s="21" t="n">
        <v>0</v>
      </c>
      <c r="H6512" s="21" t="n">
        <v>0</v>
      </c>
      <c r="I6512" s="21" t="n">
        <v>0</v>
      </c>
      <c r="J6512" s="21" t="n">
        <v>0</v>
      </c>
      <c r="K6512" s="21" t="n">
        <v>0</v>
      </c>
      <c r="L6512" s="21" t="n">
        <v>0</v>
      </c>
      <c r="M6512" s="21" t="n">
        <v>0</v>
      </c>
      <c r="N6512" s="21" t="n">
        <v>0</v>
      </c>
      <c r="O6512" s="21" t="n">
        <v>0</v>
      </c>
      <c r="P6512" s="21" t="n">
        <v>0</v>
      </c>
      <c r="Q6512" s="21" t="n">
        <v>0</v>
      </c>
      <c r="R6512" s="21" t="n">
        <v>0</v>
      </c>
      <c r="S6512" s="21" t="n">
        <v>0</v>
      </c>
      <c r="T6512" s="21" t="n">
        <v>0</v>
      </c>
      <c r="U6512" s="21" t="n">
        <v>0</v>
      </c>
      <c r="V6512" s="21">
        <f>-$B$5337</f>
        <v/>
      </c>
      <c r="W6512" s="21">
        <f>-$B$5338</f>
        <v/>
      </c>
      <c r="X6512" s="21">
        <f>$B$5337+$D$6490</f>
        <v/>
      </c>
      <c r="Y6512" s="21">
        <f>-$B$5338</f>
        <v/>
      </c>
      <c r="Z6512" s="19" t="n"/>
    </row>
    <row r="6513">
      <c r="D6513" s="21" t="n">
        <v>0</v>
      </c>
      <c r="E6513" s="21" t="n">
        <v>0</v>
      </c>
      <c r="F6513" s="21" t="n">
        <v>0</v>
      </c>
      <c r="G6513" s="21" t="n">
        <v>0</v>
      </c>
      <c r="H6513" s="21" t="n">
        <v>0</v>
      </c>
      <c r="I6513" s="21" t="n">
        <v>0</v>
      </c>
      <c r="J6513" s="21" t="n">
        <v>0</v>
      </c>
      <c r="K6513" s="21" t="n">
        <v>0</v>
      </c>
      <c r="L6513" s="21" t="n">
        <v>0</v>
      </c>
      <c r="M6513" s="21" t="n">
        <v>0</v>
      </c>
      <c r="N6513" s="21" t="n">
        <v>0</v>
      </c>
      <c r="O6513" s="21" t="n">
        <v>0</v>
      </c>
      <c r="P6513" s="21" t="n">
        <v>0</v>
      </c>
      <c r="Q6513" s="21" t="n">
        <v>0</v>
      </c>
      <c r="R6513" s="21" t="n">
        <v>0</v>
      </c>
      <c r="S6513" s="21" t="n">
        <v>0</v>
      </c>
      <c r="T6513" s="21" t="n">
        <v>0</v>
      </c>
      <c r="U6513" s="21" t="n">
        <v>0</v>
      </c>
      <c r="V6513" s="21">
        <f>$B$5338</f>
        <v/>
      </c>
      <c r="W6513" s="21">
        <f>$B$5340</f>
        <v/>
      </c>
      <c r="X6513" s="21">
        <f>-$B$5338</f>
        <v/>
      </c>
      <c r="Y6513" s="21">
        <f>$B$5339</f>
        <v/>
      </c>
      <c r="Z6513" s="19" t="n"/>
    </row>
    <row r="6515">
      <c r="A6515" s="8" t="inlineStr">
        <is>
          <t>gen 32</t>
        </is>
      </c>
    </row>
    <row r="6516">
      <c r="D6516" s="19">
        <f>IF(ABS(IF(ABS($E$6480)&gt;0.000000001,$E$6480,0.000000001))=0,0,IF($E$5352&lt;=$B$5346,0,IF(ABS(IF(ABS($E$6480)&gt;0.000000001,$E$6480,0.000000001))&gt;=8*$B$5348,$H$5352,0.5*$H$5352*(ABS(IF(ABS($E$6480)&gt;0.000000001,$E$6480,0.000000001))/$B$5348)^(1/3)))/ABS(IF(ABS($E$6480)&gt;0.000000001,$E$6480,0.000000001))*$I$5352)</f>
        <v/>
      </c>
      <c r="E6516" s="19">
        <f>0.5*$E$6480+0.5*$Z$6528</f>
        <v/>
      </c>
      <c r="F6516" s="19">
        <f>$Z$6529</f>
        <v/>
      </c>
    </row>
    <row r="6517">
      <c r="D6517" s="19">
        <f>IF(ABS(IF(ABS($E$6481)&gt;0.000000001,$E$6481,0.000000001))=0,0,IF($E$5353&lt;=$B$5346,0,IF(ABS(IF(ABS($E$6481)&gt;0.000000001,$E$6481,0.000000001))&gt;=8*$B$5348,$H$5353,0.5*$H$5353*(ABS(IF(ABS($E$6481)&gt;0.000000001,$E$6481,0.000000001))/$B$5348)^(1/3)))/ABS(IF(ABS($E$6481)&gt;0.000000001,$E$6481,0.000000001))*$I$5353)</f>
        <v/>
      </c>
      <c r="E6517" s="19">
        <f>0.5*$E$6481+0.5*$Z$6530</f>
        <v/>
      </c>
      <c r="F6517" s="19">
        <f>$Z$6531</f>
        <v/>
      </c>
    </row>
    <row r="6518">
      <c r="D6518" s="19">
        <f>IF(ABS(IF(ABS($E$6482)&gt;0.000000001,$E$6482,0.000000001))=0,0,IF($E$5354&lt;=$B$5346,0,IF(ABS(IF(ABS($E$6482)&gt;0.000000001,$E$6482,0.000000001))&gt;=8*$B$5348,$H$5354,0.5*$H$5354*(ABS(IF(ABS($E$6482)&gt;0.000000001,$E$6482,0.000000001))/$B$5348)^(1/3)))/ABS(IF(ABS($E$6482)&gt;0.000000001,$E$6482,0.000000001))*$I$5354)</f>
        <v/>
      </c>
      <c r="E6518" s="19">
        <f>0.5*$E$6482+0.5*$Z$6532</f>
        <v/>
      </c>
      <c r="F6518" s="19">
        <f>$Z$6533</f>
        <v/>
      </c>
    </row>
    <row r="6519">
      <c r="D6519" s="19">
        <f>IF(ABS(IF(ABS($E$6483)&gt;0.000000001,$E$6483,0.000000001))=0,0,IF($E$5355&lt;=$B$5346,0,IF(ABS(IF(ABS($E$6483)&gt;0.000000001,$E$6483,0.000000001))&gt;=8*$B$5348,$H$5355,0.5*$H$5355*(ABS(IF(ABS($E$6483)&gt;0.000000001,$E$6483,0.000000001))/$B$5348)^(1/3)))/ABS(IF(ABS($E$6483)&gt;0.000000001,$E$6483,0.000000001))*$I$5355)</f>
        <v/>
      </c>
      <c r="E6519" s="19">
        <f>0.5*$E$6483+0.5*$Z$6534</f>
        <v/>
      </c>
      <c r="F6519" s="19">
        <f>$Z$6535</f>
        <v/>
      </c>
    </row>
    <row r="6520">
      <c r="D6520" s="19">
        <f>IF(ABS(IF(ABS($E$6484)&gt;0.000000001,$E$6484,0.000000001))=0,0,IF($E$5356&lt;=$B$5346,0,IF(ABS(IF(ABS($E$6484)&gt;0.000000001,$E$6484,0.000000001))&gt;=8*$B$5348,$H$5356,0.5*$H$5356*(ABS(IF(ABS($E$6484)&gt;0.000000001,$E$6484,0.000000001))/$B$5348)^(1/3)))/ABS(IF(ABS($E$6484)&gt;0.000000001,$E$6484,0.000000001))*$I$5356)</f>
        <v/>
      </c>
      <c r="E6520" s="19">
        <f>0.5*$E$6484+0.5*$Z$6536</f>
        <v/>
      </c>
      <c r="F6520" s="19">
        <f>$Z$6537</f>
        <v/>
      </c>
    </row>
    <row r="6521">
      <c r="D6521" s="19">
        <f>IF(ABS(IF(ABS($E$6485)&gt;0.000000001,$E$6485,0.000000001))=0,0,IF($E$5357&lt;=$B$5346,0,IF(ABS(IF(ABS($E$6485)&gt;0.000000001,$E$6485,0.000000001))&gt;=8*$B$5348,$H$5357,0.5*$H$5357*(ABS(IF(ABS($E$6485)&gt;0.000000001,$E$6485,0.000000001))/$B$5348)^(1/3)))/ABS(IF(ABS($E$6485)&gt;0.000000001,$E$6485,0.000000001))*$I$5357)</f>
        <v/>
      </c>
      <c r="E6521" s="19">
        <f>0.5*$E$6485+0.5*$Z$6538</f>
        <v/>
      </c>
      <c r="F6521" s="19">
        <f>$Z$6539</f>
        <v/>
      </c>
    </row>
    <row r="6522">
      <c r="D6522" s="19">
        <f>IF(ABS(IF(ABS($E$6486)&gt;0.000000001,$E$6486,0.000000001))=0,0,IF($E$5358&lt;=$B$5346,0,IF(ABS(IF(ABS($E$6486)&gt;0.000000001,$E$6486,0.000000001))&gt;=8*$B$5348,$H$5358,0.5*$H$5358*(ABS(IF(ABS($E$6486)&gt;0.000000001,$E$6486,0.000000001))/$B$5348)^(1/3)))/ABS(IF(ABS($E$6486)&gt;0.000000001,$E$6486,0.000000001))*$I$5358)</f>
        <v/>
      </c>
      <c r="E6522" s="19">
        <f>0.5*$E$6486+0.5*$Z$6540</f>
        <v/>
      </c>
      <c r="F6522" s="19">
        <f>$Z$6541</f>
        <v/>
      </c>
    </row>
    <row r="6523">
      <c r="D6523" s="19">
        <f>IF(ABS(IF(ABS($E$6487)&gt;0.000000001,$E$6487,0.000000001))=0,0,IF($E$5359&lt;=$B$5346,0,IF(ABS(IF(ABS($E$6487)&gt;0.000000001,$E$6487,0.000000001))&gt;=8*$B$5348,$H$5359,0.5*$H$5359*(ABS(IF(ABS($E$6487)&gt;0.000000001,$E$6487,0.000000001))/$B$5348)^(1/3)))/ABS(IF(ABS($E$6487)&gt;0.000000001,$E$6487,0.000000001))*$I$5359)</f>
        <v/>
      </c>
      <c r="E6523" s="19">
        <f>0.5*$E$6487+0.5*$Z$6542</f>
        <v/>
      </c>
      <c r="F6523" s="19">
        <f>$Z$6543</f>
        <v/>
      </c>
    </row>
    <row r="6524">
      <c r="D6524" s="19">
        <f>IF(ABS(IF(ABS($E$6488)&gt;0.000000001,$E$6488,0.000000001))=0,0,IF($E$5360&lt;=$B$5346,0,IF(ABS(IF(ABS($E$6488)&gt;0.000000001,$E$6488,0.000000001))&gt;=8*$B$5348,$H$5360,0.5*$H$5360*(ABS(IF(ABS($E$6488)&gt;0.000000001,$E$6488,0.000000001))/$B$5348)^(1/3)))/ABS(IF(ABS($E$6488)&gt;0.000000001,$E$6488,0.000000001))*$I$5360)</f>
        <v/>
      </c>
      <c r="E6524" s="19">
        <f>0.5*$E$6488+0.5*$Z$6544</f>
        <v/>
      </c>
      <c r="F6524" s="19">
        <f>$Z$6545</f>
        <v/>
      </c>
    </row>
    <row r="6525">
      <c r="D6525" s="19">
        <f>IF(ABS(IF(ABS($E$6489)&gt;0.000000001,$E$6489,0.000000001))=0,0,IF($E$5361&lt;=$B$5346,0,IF(ABS(IF(ABS($E$6489)&gt;0.000000001,$E$6489,0.000000001))&gt;=8*$B$5348,$H$5361,0.5*$H$5361*(ABS(IF(ABS($E$6489)&gt;0.000000001,$E$6489,0.000000001))/$B$5348)^(1/3)))/ABS(IF(ABS($E$6489)&gt;0.000000001,$E$6489,0.000000001))*$I$5361)</f>
        <v/>
      </c>
      <c r="E6525" s="19">
        <f>0.5*$E$6489+0.5*$Z$6546</f>
        <v/>
      </c>
      <c r="F6525" s="19">
        <f>$Z$6547</f>
        <v/>
      </c>
    </row>
    <row r="6526">
      <c r="D6526" s="19">
        <f>IF(ABS(IF(ABS($E$6490)&gt;0.000000001,$E$6490,0.000000001))=0,0,IF($E$5362&lt;=$B$5346,0,IF(ABS(IF(ABS($E$6490)&gt;0.000000001,$E$6490,0.000000001))&gt;=8*$B$5348,$H$5362,0.5*$H$5362*(ABS(IF(ABS($E$6490)&gt;0.000000001,$E$6490,0.000000001))/$B$5348)^(1/3)))/ABS(IF(ABS($E$6490)&gt;0.000000001,$E$6490,0.000000001))*$I$5362)</f>
        <v/>
      </c>
      <c r="E6526" s="19">
        <f>0.5*$E$6490+0.5*$Z$6548</f>
        <v/>
      </c>
      <c r="F6526" s="19">
        <f>$Z$6549</f>
        <v/>
      </c>
    </row>
    <row r="6528">
      <c r="D6528" s="21">
        <f>$B$5337+$D$6516</f>
        <v/>
      </c>
      <c r="E6528" s="21">
        <f>$B$5338</f>
        <v/>
      </c>
      <c r="F6528" s="21">
        <f>-$B$5337</f>
        <v/>
      </c>
      <c r="G6528" s="21">
        <f>$B$5338</f>
        <v/>
      </c>
      <c r="H6528" s="21" t="n">
        <v>0</v>
      </c>
      <c r="I6528" s="21" t="n">
        <v>0</v>
      </c>
      <c r="J6528" s="21" t="n">
        <v>0</v>
      </c>
      <c r="K6528" s="21" t="n">
        <v>0</v>
      </c>
      <c r="L6528" s="21" t="n">
        <v>0</v>
      </c>
      <c r="M6528" s="21" t="n">
        <v>0</v>
      </c>
      <c r="N6528" s="21" t="n">
        <v>0</v>
      </c>
      <c r="O6528" s="21" t="n">
        <v>0</v>
      </c>
      <c r="P6528" s="21" t="n">
        <v>0</v>
      </c>
      <c r="Q6528" s="21" t="n">
        <v>0</v>
      </c>
      <c r="R6528" s="21" t="n">
        <v>0</v>
      </c>
      <c r="S6528" s="21" t="n">
        <v>0</v>
      </c>
      <c r="T6528" s="21" t="n">
        <v>0</v>
      </c>
      <c r="U6528" s="21" t="n">
        <v>0</v>
      </c>
      <c r="V6528" s="21" t="n">
        <v>0</v>
      </c>
      <c r="W6528" s="21" t="n">
        <v>0</v>
      </c>
      <c r="X6528" s="21" t="n">
        <v>0</v>
      </c>
      <c r="Y6528" s="21" t="n">
        <v>0</v>
      </c>
      <c r="Z6528" s="19">
        <f t="array" ref="Z6528:Z6549">MMULT(MINVERSE($D$6528:$Y$6549),$D$5364:$D$5385)</f>
        <v/>
      </c>
    </row>
    <row r="6529">
      <c r="D6529" s="21">
        <f>$B$5338</f>
        <v/>
      </c>
      <c r="E6529" s="21">
        <f>$B$5339</f>
        <v/>
      </c>
      <c r="F6529" s="21">
        <f>-$B$5338</f>
        <v/>
      </c>
      <c r="G6529" s="21">
        <f>$B$5340</f>
        <v/>
      </c>
      <c r="H6529" s="21" t="n">
        <v>0</v>
      </c>
      <c r="I6529" s="21" t="n">
        <v>0</v>
      </c>
      <c r="J6529" s="21" t="n">
        <v>0</v>
      </c>
      <c r="K6529" s="21" t="n">
        <v>0</v>
      </c>
      <c r="L6529" s="21" t="n">
        <v>0</v>
      </c>
      <c r="M6529" s="21" t="n">
        <v>0</v>
      </c>
      <c r="N6529" s="21" t="n">
        <v>0</v>
      </c>
      <c r="O6529" s="21" t="n">
        <v>0</v>
      </c>
      <c r="P6529" s="21" t="n">
        <v>0</v>
      </c>
      <c r="Q6529" s="21" t="n">
        <v>0</v>
      </c>
      <c r="R6529" s="21" t="n">
        <v>0</v>
      </c>
      <c r="S6529" s="21" t="n">
        <v>0</v>
      </c>
      <c r="T6529" s="21" t="n">
        <v>0</v>
      </c>
      <c r="U6529" s="21" t="n">
        <v>0</v>
      </c>
      <c r="V6529" s="21" t="n">
        <v>0</v>
      </c>
      <c r="W6529" s="21" t="n">
        <v>0</v>
      </c>
      <c r="X6529" s="21" t="n">
        <v>0</v>
      </c>
      <c r="Y6529" s="21" t="n">
        <v>0</v>
      </c>
      <c r="Z6529" s="19" t="n"/>
    </row>
    <row r="6530">
      <c r="D6530" s="21">
        <f>-$B$5337</f>
        <v/>
      </c>
      <c r="E6530" s="21">
        <f>-$B$5338</f>
        <v/>
      </c>
      <c r="F6530" s="21">
        <f>2*$B$5337+$D$6517</f>
        <v/>
      </c>
      <c r="G6530" s="21">
        <f>0</f>
        <v/>
      </c>
      <c r="H6530" s="21">
        <f>-$B$5337</f>
        <v/>
      </c>
      <c r="I6530" s="21">
        <f>$B$5338</f>
        <v/>
      </c>
      <c r="J6530" s="21" t="n">
        <v>0</v>
      </c>
      <c r="K6530" s="21" t="n">
        <v>0</v>
      </c>
      <c r="L6530" s="21" t="n">
        <v>0</v>
      </c>
      <c r="M6530" s="21" t="n">
        <v>0</v>
      </c>
      <c r="N6530" s="21" t="n">
        <v>0</v>
      </c>
      <c r="O6530" s="21" t="n">
        <v>0</v>
      </c>
      <c r="P6530" s="21" t="n">
        <v>0</v>
      </c>
      <c r="Q6530" s="21" t="n">
        <v>0</v>
      </c>
      <c r="R6530" s="21" t="n">
        <v>0</v>
      </c>
      <c r="S6530" s="21" t="n">
        <v>0</v>
      </c>
      <c r="T6530" s="21" t="n">
        <v>0</v>
      </c>
      <c r="U6530" s="21" t="n">
        <v>0</v>
      </c>
      <c r="V6530" s="21" t="n">
        <v>0</v>
      </c>
      <c r="W6530" s="21" t="n">
        <v>0</v>
      </c>
      <c r="X6530" s="21" t="n">
        <v>0</v>
      </c>
      <c r="Y6530" s="21" t="n">
        <v>0</v>
      </c>
      <c r="Z6530" s="19" t="n"/>
    </row>
    <row r="6531">
      <c r="D6531" s="21">
        <f>$B$5338</f>
        <v/>
      </c>
      <c r="E6531" s="21">
        <f>$B$5340</f>
        <v/>
      </c>
      <c r="F6531" s="21">
        <f>0</f>
        <v/>
      </c>
      <c r="G6531" s="21">
        <f>2*$B$5339</f>
        <v/>
      </c>
      <c r="H6531" s="21">
        <f>-$B$5338</f>
        <v/>
      </c>
      <c r="I6531" s="21">
        <f>$B$5340</f>
        <v/>
      </c>
      <c r="J6531" s="21" t="n">
        <v>0</v>
      </c>
      <c r="K6531" s="21" t="n">
        <v>0</v>
      </c>
      <c r="L6531" s="21" t="n">
        <v>0</v>
      </c>
      <c r="M6531" s="21" t="n">
        <v>0</v>
      </c>
      <c r="N6531" s="21" t="n">
        <v>0</v>
      </c>
      <c r="O6531" s="21" t="n">
        <v>0</v>
      </c>
      <c r="P6531" s="21" t="n">
        <v>0</v>
      </c>
      <c r="Q6531" s="21" t="n">
        <v>0</v>
      </c>
      <c r="R6531" s="21" t="n">
        <v>0</v>
      </c>
      <c r="S6531" s="21" t="n">
        <v>0</v>
      </c>
      <c r="T6531" s="21" t="n">
        <v>0</v>
      </c>
      <c r="U6531" s="21" t="n">
        <v>0</v>
      </c>
      <c r="V6531" s="21" t="n">
        <v>0</v>
      </c>
      <c r="W6531" s="21" t="n">
        <v>0</v>
      </c>
      <c r="X6531" s="21" t="n">
        <v>0</v>
      </c>
      <c r="Y6531" s="21" t="n">
        <v>0</v>
      </c>
      <c r="Z6531" s="19" t="n"/>
    </row>
    <row r="6532">
      <c r="D6532" s="21" t="n">
        <v>0</v>
      </c>
      <c r="E6532" s="21" t="n">
        <v>0</v>
      </c>
      <c r="F6532" s="21">
        <f>-$B$5337</f>
        <v/>
      </c>
      <c r="G6532" s="21">
        <f>-$B$5338</f>
        <v/>
      </c>
      <c r="H6532" s="21">
        <f>2*$B$5337+$D$6518</f>
        <v/>
      </c>
      <c r="I6532" s="21">
        <f>0</f>
        <v/>
      </c>
      <c r="J6532" s="21">
        <f>-$B$5337</f>
        <v/>
      </c>
      <c r="K6532" s="21">
        <f>$B$5338</f>
        <v/>
      </c>
      <c r="L6532" s="21" t="n">
        <v>0</v>
      </c>
      <c r="M6532" s="21" t="n">
        <v>0</v>
      </c>
      <c r="N6532" s="21" t="n">
        <v>0</v>
      </c>
      <c r="O6532" s="21" t="n">
        <v>0</v>
      </c>
      <c r="P6532" s="21" t="n">
        <v>0</v>
      </c>
      <c r="Q6532" s="21" t="n">
        <v>0</v>
      </c>
      <c r="R6532" s="21" t="n">
        <v>0</v>
      </c>
      <c r="S6532" s="21" t="n">
        <v>0</v>
      </c>
      <c r="T6532" s="21" t="n">
        <v>0</v>
      </c>
      <c r="U6532" s="21" t="n">
        <v>0</v>
      </c>
      <c r="V6532" s="21" t="n">
        <v>0</v>
      </c>
      <c r="W6532" s="21" t="n">
        <v>0</v>
      </c>
      <c r="X6532" s="21" t="n">
        <v>0</v>
      </c>
      <c r="Y6532" s="21" t="n">
        <v>0</v>
      </c>
      <c r="Z6532" s="19" t="n"/>
    </row>
    <row r="6533">
      <c r="D6533" s="21" t="n">
        <v>0</v>
      </c>
      <c r="E6533" s="21" t="n">
        <v>0</v>
      </c>
      <c r="F6533" s="21">
        <f>$B$5338</f>
        <v/>
      </c>
      <c r="G6533" s="21">
        <f>$B$5340</f>
        <v/>
      </c>
      <c r="H6533" s="21">
        <f>0</f>
        <v/>
      </c>
      <c r="I6533" s="21">
        <f>2*$B$5339</f>
        <v/>
      </c>
      <c r="J6533" s="21">
        <f>-$B$5338</f>
        <v/>
      </c>
      <c r="K6533" s="21">
        <f>$B$5340</f>
        <v/>
      </c>
      <c r="L6533" s="21" t="n">
        <v>0</v>
      </c>
      <c r="M6533" s="21" t="n">
        <v>0</v>
      </c>
      <c r="N6533" s="21" t="n">
        <v>0</v>
      </c>
      <c r="O6533" s="21" t="n">
        <v>0</v>
      </c>
      <c r="P6533" s="21" t="n">
        <v>0</v>
      </c>
      <c r="Q6533" s="21" t="n">
        <v>0</v>
      </c>
      <c r="R6533" s="21" t="n">
        <v>0</v>
      </c>
      <c r="S6533" s="21" t="n">
        <v>0</v>
      </c>
      <c r="T6533" s="21" t="n">
        <v>0</v>
      </c>
      <c r="U6533" s="21" t="n">
        <v>0</v>
      </c>
      <c r="V6533" s="21" t="n">
        <v>0</v>
      </c>
      <c r="W6533" s="21" t="n">
        <v>0</v>
      </c>
      <c r="X6533" s="21" t="n">
        <v>0</v>
      </c>
      <c r="Y6533" s="21" t="n">
        <v>0</v>
      </c>
      <c r="Z6533" s="19" t="n"/>
    </row>
    <row r="6534">
      <c r="D6534" s="21" t="n">
        <v>0</v>
      </c>
      <c r="E6534" s="21" t="n">
        <v>0</v>
      </c>
      <c r="F6534" s="21" t="n">
        <v>0</v>
      </c>
      <c r="G6534" s="21" t="n">
        <v>0</v>
      </c>
      <c r="H6534" s="21">
        <f>-$B$5337</f>
        <v/>
      </c>
      <c r="I6534" s="21">
        <f>-$B$5338</f>
        <v/>
      </c>
      <c r="J6534" s="21">
        <f>2*$B$5337+$D$6519</f>
        <v/>
      </c>
      <c r="K6534" s="21">
        <f>0</f>
        <v/>
      </c>
      <c r="L6534" s="21">
        <f>-$B$5337</f>
        <v/>
      </c>
      <c r="M6534" s="21">
        <f>$B$5338</f>
        <v/>
      </c>
      <c r="N6534" s="21" t="n">
        <v>0</v>
      </c>
      <c r="O6534" s="21" t="n">
        <v>0</v>
      </c>
      <c r="P6534" s="21" t="n">
        <v>0</v>
      </c>
      <c r="Q6534" s="21" t="n">
        <v>0</v>
      </c>
      <c r="R6534" s="21" t="n">
        <v>0</v>
      </c>
      <c r="S6534" s="21" t="n">
        <v>0</v>
      </c>
      <c r="T6534" s="21" t="n">
        <v>0</v>
      </c>
      <c r="U6534" s="21" t="n">
        <v>0</v>
      </c>
      <c r="V6534" s="21" t="n">
        <v>0</v>
      </c>
      <c r="W6534" s="21" t="n">
        <v>0</v>
      </c>
      <c r="X6534" s="21" t="n">
        <v>0</v>
      </c>
      <c r="Y6534" s="21" t="n">
        <v>0</v>
      </c>
      <c r="Z6534" s="19" t="n"/>
    </row>
    <row r="6535">
      <c r="D6535" s="21" t="n">
        <v>0</v>
      </c>
      <c r="E6535" s="21" t="n">
        <v>0</v>
      </c>
      <c r="F6535" s="21" t="n">
        <v>0</v>
      </c>
      <c r="G6535" s="21" t="n">
        <v>0</v>
      </c>
      <c r="H6535" s="21">
        <f>$B$5338</f>
        <v/>
      </c>
      <c r="I6535" s="21">
        <f>$B$5340</f>
        <v/>
      </c>
      <c r="J6535" s="21">
        <f>0</f>
        <v/>
      </c>
      <c r="K6535" s="21">
        <f>2*$B$5339</f>
        <v/>
      </c>
      <c r="L6535" s="21">
        <f>-$B$5338</f>
        <v/>
      </c>
      <c r="M6535" s="21">
        <f>$B$5340</f>
        <v/>
      </c>
      <c r="N6535" s="21" t="n">
        <v>0</v>
      </c>
      <c r="O6535" s="21" t="n">
        <v>0</v>
      </c>
      <c r="P6535" s="21" t="n">
        <v>0</v>
      </c>
      <c r="Q6535" s="21" t="n">
        <v>0</v>
      </c>
      <c r="R6535" s="21" t="n">
        <v>0</v>
      </c>
      <c r="S6535" s="21" t="n">
        <v>0</v>
      </c>
      <c r="T6535" s="21" t="n">
        <v>0</v>
      </c>
      <c r="U6535" s="21" t="n">
        <v>0</v>
      </c>
      <c r="V6535" s="21" t="n">
        <v>0</v>
      </c>
      <c r="W6535" s="21" t="n">
        <v>0</v>
      </c>
      <c r="X6535" s="21" t="n">
        <v>0</v>
      </c>
      <c r="Y6535" s="21" t="n">
        <v>0</v>
      </c>
      <c r="Z6535" s="19" t="n"/>
    </row>
    <row r="6536">
      <c r="D6536" s="21" t="n">
        <v>0</v>
      </c>
      <c r="E6536" s="21" t="n">
        <v>0</v>
      </c>
      <c r="F6536" s="21" t="n">
        <v>0</v>
      </c>
      <c r="G6536" s="21" t="n">
        <v>0</v>
      </c>
      <c r="H6536" s="21" t="n">
        <v>0</v>
      </c>
      <c r="I6536" s="21" t="n">
        <v>0</v>
      </c>
      <c r="J6536" s="21">
        <f>-$B$5337</f>
        <v/>
      </c>
      <c r="K6536" s="21">
        <f>-$B$5338</f>
        <v/>
      </c>
      <c r="L6536" s="21">
        <f>2*$B$5337+$D$6520</f>
        <v/>
      </c>
      <c r="M6536" s="21">
        <f>0</f>
        <v/>
      </c>
      <c r="N6536" s="21">
        <f>-$B$5337</f>
        <v/>
      </c>
      <c r="O6536" s="21">
        <f>$B$5338</f>
        <v/>
      </c>
      <c r="P6536" s="21" t="n">
        <v>0</v>
      </c>
      <c r="Q6536" s="21" t="n">
        <v>0</v>
      </c>
      <c r="R6536" s="21" t="n">
        <v>0</v>
      </c>
      <c r="S6536" s="21" t="n">
        <v>0</v>
      </c>
      <c r="T6536" s="21" t="n">
        <v>0</v>
      </c>
      <c r="U6536" s="21" t="n">
        <v>0</v>
      </c>
      <c r="V6536" s="21" t="n">
        <v>0</v>
      </c>
      <c r="W6536" s="21" t="n">
        <v>0</v>
      </c>
      <c r="X6536" s="21" t="n">
        <v>0</v>
      </c>
      <c r="Y6536" s="21" t="n">
        <v>0</v>
      </c>
      <c r="Z6536" s="19" t="n"/>
    </row>
    <row r="6537">
      <c r="D6537" s="21" t="n">
        <v>0</v>
      </c>
      <c r="E6537" s="21" t="n">
        <v>0</v>
      </c>
      <c r="F6537" s="21" t="n">
        <v>0</v>
      </c>
      <c r="G6537" s="21" t="n">
        <v>0</v>
      </c>
      <c r="H6537" s="21" t="n">
        <v>0</v>
      </c>
      <c r="I6537" s="21" t="n">
        <v>0</v>
      </c>
      <c r="J6537" s="21">
        <f>$B$5338</f>
        <v/>
      </c>
      <c r="K6537" s="21">
        <f>$B$5340</f>
        <v/>
      </c>
      <c r="L6537" s="21">
        <f>0</f>
        <v/>
      </c>
      <c r="M6537" s="21">
        <f>2*$B$5339</f>
        <v/>
      </c>
      <c r="N6537" s="21">
        <f>-$B$5338</f>
        <v/>
      </c>
      <c r="O6537" s="21">
        <f>$B$5340</f>
        <v/>
      </c>
      <c r="P6537" s="21" t="n">
        <v>0</v>
      </c>
      <c r="Q6537" s="21" t="n">
        <v>0</v>
      </c>
      <c r="R6537" s="21" t="n">
        <v>0</v>
      </c>
      <c r="S6537" s="21" t="n">
        <v>0</v>
      </c>
      <c r="T6537" s="21" t="n">
        <v>0</v>
      </c>
      <c r="U6537" s="21" t="n">
        <v>0</v>
      </c>
      <c r="V6537" s="21" t="n">
        <v>0</v>
      </c>
      <c r="W6537" s="21" t="n">
        <v>0</v>
      </c>
      <c r="X6537" s="21" t="n">
        <v>0</v>
      </c>
      <c r="Y6537" s="21" t="n">
        <v>0</v>
      </c>
      <c r="Z6537" s="19" t="n"/>
    </row>
    <row r="6538">
      <c r="D6538" s="21" t="n">
        <v>0</v>
      </c>
      <c r="E6538" s="21" t="n">
        <v>0</v>
      </c>
      <c r="F6538" s="21" t="n">
        <v>0</v>
      </c>
      <c r="G6538" s="21" t="n">
        <v>0</v>
      </c>
      <c r="H6538" s="21" t="n">
        <v>0</v>
      </c>
      <c r="I6538" s="21" t="n">
        <v>0</v>
      </c>
      <c r="J6538" s="21" t="n">
        <v>0</v>
      </c>
      <c r="K6538" s="21" t="n">
        <v>0</v>
      </c>
      <c r="L6538" s="21">
        <f>-$B$5337</f>
        <v/>
      </c>
      <c r="M6538" s="21">
        <f>-$B$5338</f>
        <v/>
      </c>
      <c r="N6538" s="21">
        <f>2*$B$5337+$D$6521</f>
        <v/>
      </c>
      <c r="O6538" s="21">
        <f>0</f>
        <v/>
      </c>
      <c r="P6538" s="21">
        <f>-$B$5337</f>
        <v/>
      </c>
      <c r="Q6538" s="21">
        <f>$B$5338</f>
        <v/>
      </c>
      <c r="R6538" s="21" t="n">
        <v>0</v>
      </c>
      <c r="S6538" s="21" t="n">
        <v>0</v>
      </c>
      <c r="T6538" s="21" t="n">
        <v>0</v>
      </c>
      <c r="U6538" s="21" t="n">
        <v>0</v>
      </c>
      <c r="V6538" s="21" t="n">
        <v>0</v>
      </c>
      <c r="W6538" s="21" t="n">
        <v>0</v>
      </c>
      <c r="X6538" s="21" t="n">
        <v>0</v>
      </c>
      <c r="Y6538" s="21" t="n">
        <v>0</v>
      </c>
      <c r="Z6538" s="19" t="n"/>
    </row>
    <row r="6539">
      <c r="D6539" s="21" t="n">
        <v>0</v>
      </c>
      <c r="E6539" s="21" t="n">
        <v>0</v>
      </c>
      <c r="F6539" s="21" t="n">
        <v>0</v>
      </c>
      <c r="G6539" s="21" t="n">
        <v>0</v>
      </c>
      <c r="H6539" s="21" t="n">
        <v>0</v>
      </c>
      <c r="I6539" s="21" t="n">
        <v>0</v>
      </c>
      <c r="J6539" s="21" t="n">
        <v>0</v>
      </c>
      <c r="K6539" s="21" t="n">
        <v>0</v>
      </c>
      <c r="L6539" s="21">
        <f>$B$5338</f>
        <v/>
      </c>
      <c r="M6539" s="21">
        <f>$B$5340</f>
        <v/>
      </c>
      <c r="N6539" s="21">
        <f>0</f>
        <v/>
      </c>
      <c r="O6539" s="21">
        <f>2*$B$5339</f>
        <v/>
      </c>
      <c r="P6539" s="21">
        <f>-$B$5338</f>
        <v/>
      </c>
      <c r="Q6539" s="21">
        <f>$B$5340</f>
        <v/>
      </c>
      <c r="R6539" s="21" t="n">
        <v>0</v>
      </c>
      <c r="S6539" s="21" t="n">
        <v>0</v>
      </c>
      <c r="T6539" s="21" t="n">
        <v>0</v>
      </c>
      <c r="U6539" s="21" t="n">
        <v>0</v>
      </c>
      <c r="V6539" s="21" t="n">
        <v>0</v>
      </c>
      <c r="W6539" s="21" t="n">
        <v>0</v>
      </c>
      <c r="X6539" s="21" t="n">
        <v>0</v>
      </c>
      <c r="Y6539" s="21" t="n">
        <v>0</v>
      </c>
      <c r="Z6539" s="19" t="n"/>
    </row>
    <row r="6540">
      <c r="D6540" s="21" t="n">
        <v>0</v>
      </c>
      <c r="E6540" s="21" t="n">
        <v>0</v>
      </c>
      <c r="F6540" s="21" t="n">
        <v>0</v>
      </c>
      <c r="G6540" s="21" t="n">
        <v>0</v>
      </c>
      <c r="H6540" s="21" t="n">
        <v>0</v>
      </c>
      <c r="I6540" s="21" t="n">
        <v>0</v>
      </c>
      <c r="J6540" s="21" t="n">
        <v>0</v>
      </c>
      <c r="K6540" s="21" t="n">
        <v>0</v>
      </c>
      <c r="L6540" s="21" t="n">
        <v>0</v>
      </c>
      <c r="M6540" s="21" t="n">
        <v>0</v>
      </c>
      <c r="N6540" s="21">
        <f>-$B$5337</f>
        <v/>
      </c>
      <c r="O6540" s="21">
        <f>-$B$5338</f>
        <v/>
      </c>
      <c r="P6540" s="21">
        <f>2*$B$5337+$D$6522</f>
        <v/>
      </c>
      <c r="Q6540" s="21">
        <f>0</f>
        <v/>
      </c>
      <c r="R6540" s="21">
        <f>-$B$5337</f>
        <v/>
      </c>
      <c r="S6540" s="21">
        <f>$B$5338</f>
        <v/>
      </c>
      <c r="T6540" s="21" t="n">
        <v>0</v>
      </c>
      <c r="U6540" s="21" t="n">
        <v>0</v>
      </c>
      <c r="V6540" s="21" t="n">
        <v>0</v>
      </c>
      <c r="W6540" s="21" t="n">
        <v>0</v>
      </c>
      <c r="X6540" s="21" t="n">
        <v>0</v>
      </c>
      <c r="Y6540" s="21" t="n">
        <v>0</v>
      </c>
      <c r="Z6540" s="19" t="n"/>
    </row>
    <row r="6541">
      <c r="D6541" s="21" t="n">
        <v>0</v>
      </c>
      <c r="E6541" s="21" t="n">
        <v>0</v>
      </c>
      <c r="F6541" s="21" t="n">
        <v>0</v>
      </c>
      <c r="G6541" s="21" t="n">
        <v>0</v>
      </c>
      <c r="H6541" s="21" t="n">
        <v>0</v>
      </c>
      <c r="I6541" s="21" t="n">
        <v>0</v>
      </c>
      <c r="J6541" s="21" t="n">
        <v>0</v>
      </c>
      <c r="K6541" s="21" t="n">
        <v>0</v>
      </c>
      <c r="L6541" s="21" t="n">
        <v>0</v>
      </c>
      <c r="M6541" s="21" t="n">
        <v>0</v>
      </c>
      <c r="N6541" s="21">
        <f>$B$5338</f>
        <v/>
      </c>
      <c r="O6541" s="21">
        <f>$B$5340</f>
        <v/>
      </c>
      <c r="P6541" s="21">
        <f>0</f>
        <v/>
      </c>
      <c r="Q6541" s="21">
        <f>2*$B$5339</f>
        <v/>
      </c>
      <c r="R6541" s="21">
        <f>-$B$5338</f>
        <v/>
      </c>
      <c r="S6541" s="21">
        <f>$B$5340</f>
        <v/>
      </c>
      <c r="T6541" s="21" t="n">
        <v>0</v>
      </c>
      <c r="U6541" s="21" t="n">
        <v>0</v>
      </c>
      <c r="V6541" s="21" t="n">
        <v>0</v>
      </c>
      <c r="W6541" s="21" t="n">
        <v>0</v>
      </c>
      <c r="X6541" s="21" t="n">
        <v>0</v>
      </c>
      <c r="Y6541" s="21" t="n">
        <v>0</v>
      </c>
      <c r="Z6541" s="19" t="n"/>
    </row>
    <row r="6542">
      <c r="D6542" s="21" t="n">
        <v>0</v>
      </c>
      <c r="E6542" s="21" t="n">
        <v>0</v>
      </c>
      <c r="F6542" s="21" t="n">
        <v>0</v>
      </c>
      <c r="G6542" s="21" t="n">
        <v>0</v>
      </c>
      <c r="H6542" s="21" t="n">
        <v>0</v>
      </c>
      <c r="I6542" s="21" t="n">
        <v>0</v>
      </c>
      <c r="J6542" s="21" t="n">
        <v>0</v>
      </c>
      <c r="K6542" s="21" t="n">
        <v>0</v>
      </c>
      <c r="L6542" s="21" t="n">
        <v>0</v>
      </c>
      <c r="M6542" s="21" t="n">
        <v>0</v>
      </c>
      <c r="N6542" s="21" t="n">
        <v>0</v>
      </c>
      <c r="O6542" s="21" t="n">
        <v>0</v>
      </c>
      <c r="P6542" s="21">
        <f>-$B$5337</f>
        <v/>
      </c>
      <c r="Q6542" s="21">
        <f>-$B$5338</f>
        <v/>
      </c>
      <c r="R6542" s="21">
        <f>2*$B$5337+$D$6523</f>
        <v/>
      </c>
      <c r="S6542" s="21">
        <f>0</f>
        <v/>
      </c>
      <c r="T6542" s="21">
        <f>-$B$5337</f>
        <v/>
      </c>
      <c r="U6542" s="21">
        <f>$B$5338</f>
        <v/>
      </c>
      <c r="V6542" s="21" t="n">
        <v>0</v>
      </c>
      <c r="W6542" s="21" t="n">
        <v>0</v>
      </c>
      <c r="X6542" s="21" t="n">
        <v>0</v>
      </c>
      <c r="Y6542" s="21" t="n">
        <v>0</v>
      </c>
      <c r="Z6542" s="19" t="n"/>
    </row>
    <row r="6543">
      <c r="D6543" s="21" t="n">
        <v>0</v>
      </c>
      <c r="E6543" s="21" t="n">
        <v>0</v>
      </c>
      <c r="F6543" s="21" t="n">
        <v>0</v>
      </c>
      <c r="G6543" s="21" t="n">
        <v>0</v>
      </c>
      <c r="H6543" s="21" t="n">
        <v>0</v>
      </c>
      <c r="I6543" s="21" t="n">
        <v>0</v>
      </c>
      <c r="J6543" s="21" t="n">
        <v>0</v>
      </c>
      <c r="K6543" s="21" t="n">
        <v>0</v>
      </c>
      <c r="L6543" s="21" t="n">
        <v>0</v>
      </c>
      <c r="M6543" s="21" t="n">
        <v>0</v>
      </c>
      <c r="N6543" s="21" t="n">
        <v>0</v>
      </c>
      <c r="O6543" s="21" t="n">
        <v>0</v>
      </c>
      <c r="P6543" s="21">
        <f>$B$5338</f>
        <v/>
      </c>
      <c r="Q6543" s="21">
        <f>$B$5340</f>
        <v/>
      </c>
      <c r="R6543" s="21">
        <f>0</f>
        <v/>
      </c>
      <c r="S6543" s="21">
        <f>2*$B$5339</f>
        <v/>
      </c>
      <c r="T6543" s="21">
        <f>-$B$5338</f>
        <v/>
      </c>
      <c r="U6543" s="21">
        <f>$B$5340</f>
        <v/>
      </c>
      <c r="V6543" s="21" t="n">
        <v>0</v>
      </c>
      <c r="W6543" s="21" t="n">
        <v>0</v>
      </c>
      <c r="X6543" s="21" t="n">
        <v>0</v>
      </c>
      <c r="Y6543" s="21" t="n">
        <v>0</v>
      </c>
      <c r="Z6543" s="19" t="n"/>
    </row>
    <row r="6544">
      <c r="D6544" s="21" t="n">
        <v>0</v>
      </c>
      <c r="E6544" s="21" t="n">
        <v>0</v>
      </c>
      <c r="F6544" s="21" t="n">
        <v>0</v>
      </c>
      <c r="G6544" s="21" t="n">
        <v>0</v>
      </c>
      <c r="H6544" s="21" t="n">
        <v>0</v>
      </c>
      <c r="I6544" s="21" t="n">
        <v>0</v>
      </c>
      <c r="J6544" s="21" t="n">
        <v>0</v>
      </c>
      <c r="K6544" s="21" t="n">
        <v>0</v>
      </c>
      <c r="L6544" s="21" t="n">
        <v>0</v>
      </c>
      <c r="M6544" s="21" t="n">
        <v>0</v>
      </c>
      <c r="N6544" s="21" t="n">
        <v>0</v>
      </c>
      <c r="O6544" s="21" t="n">
        <v>0</v>
      </c>
      <c r="P6544" s="21" t="n">
        <v>0</v>
      </c>
      <c r="Q6544" s="21" t="n">
        <v>0</v>
      </c>
      <c r="R6544" s="21">
        <f>-$B$5337</f>
        <v/>
      </c>
      <c r="S6544" s="21">
        <f>-$B$5338</f>
        <v/>
      </c>
      <c r="T6544" s="21">
        <f>2*$B$5337+$D$6524</f>
        <v/>
      </c>
      <c r="U6544" s="21">
        <f>0</f>
        <v/>
      </c>
      <c r="V6544" s="21">
        <f>-$B$5337</f>
        <v/>
      </c>
      <c r="W6544" s="21">
        <f>$B$5338</f>
        <v/>
      </c>
      <c r="X6544" s="21" t="n">
        <v>0</v>
      </c>
      <c r="Y6544" s="21" t="n">
        <v>0</v>
      </c>
      <c r="Z6544" s="19" t="n"/>
    </row>
    <row r="6545">
      <c r="D6545" s="21" t="n">
        <v>0</v>
      </c>
      <c r="E6545" s="21" t="n">
        <v>0</v>
      </c>
      <c r="F6545" s="21" t="n">
        <v>0</v>
      </c>
      <c r="G6545" s="21" t="n">
        <v>0</v>
      </c>
      <c r="H6545" s="21" t="n">
        <v>0</v>
      </c>
      <c r="I6545" s="21" t="n">
        <v>0</v>
      </c>
      <c r="J6545" s="21" t="n">
        <v>0</v>
      </c>
      <c r="K6545" s="21" t="n">
        <v>0</v>
      </c>
      <c r="L6545" s="21" t="n">
        <v>0</v>
      </c>
      <c r="M6545" s="21" t="n">
        <v>0</v>
      </c>
      <c r="N6545" s="21" t="n">
        <v>0</v>
      </c>
      <c r="O6545" s="21" t="n">
        <v>0</v>
      </c>
      <c r="P6545" s="21" t="n">
        <v>0</v>
      </c>
      <c r="Q6545" s="21" t="n">
        <v>0</v>
      </c>
      <c r="R6545" s="21">
        <f>$B$5338</f>
        <v/>
      </c>
      <c r="S6545" s="21">
        <f>$B$5340</f>
        <v/>
      </c>
      <c r="T6545" s="21">
        <f>0</f>
        <v/>
      </c>
      <c r="U6545" s="21">
        <f>2*$B$5339</f>
        <v/>
      </c>
      <c r="V6545" s="21">
        <f>-$B$5338</f>
        <v/>
      </c>
      <c r="W6545" s="21">
        <f>$B$5340</f>
        <v/>
      </c>
      <c r="X6545" s="21" t="n">
        <v>0</v>
      </c>
      <c r="Y6545" s="21" t="n">
        <v>0</v>
      </c>
      <c r="Z6545" s="19" t="n"/>
    </row>
    <row r="6546">
      <c r="D6546" s="21" t="n">
        <v>0</v>
      </c>
      <c r="E6546" s="21" t="n">
        <v>0</v>
      </c>
      <c r="F6546" s="21" t="n">
        <v>0</v>
      </c>
      <c r="G6546" s="21" t="n">
        <v>0</v>
      </c>
      <c r="H6546" s="21" t="n">
        <v>0</v>
      </c>
      <c r="I6546" s="21" t="n">
        <v>0</v>
      </c>
      <c r="J6546" s="21" t="n">
        <v>0</v>
      </c>
      <c r="K6546" s="21" t="n">
        <v>0</v>
      </c>
      <c r="L6546" s="21" t="n">
        <v>0</v>
      </c>
      <c r="M6546" s="21" t="n">
        <v>0</v>
      </c>
      <c r="N6546" s="21" t="n">
        <v>0</v>
      </c>
      <c r="O6546" s="21" t="n">
        <v>0</v>
      </c>
      <c r="P6546" s="21" t="n">
        <v>0</v>
      </c>
      <c r="Q6546" s="21" t="n">
        <v>0</v>
      </c>
      <c r="R6546" s="21" t="n">
        <v>0</v>
      </c>
      <c r="S6546" s="21" t="n">
        <v>0</v>
      </c>
      <c r="T6546" s="21">
        <f>-$B$5337</f>
        <v/>
      </c>
      <c r="U6546" s="21">
        <f>-$B$5338</f>
        <v/>
      </c>
      <c r="V6546" s="21">
        <f>2*$B$5337+$D$6525</f>
        <v/>
      </c>
      <c r="W6546" s="21">
        <f>0</f>
        <v/>
      </c>
      <c r="X6546" s="21">
        <f>-$B$5337</f>
        <v/>
      </c>
      <c r="Y6546" s="21">
        <f>$B$5338</f>
        <v/>
      </c>
      <c r="Z6546" s="19" t="n"/>
    </row>
    <row r="6547">
      <c r="D6547" s="21" t="n">
        <v>0</v>
      </c>
      <c r="E6547" s="21" t="n">
        <v>0</v>
      </c>
      <c r="F6547" s="21" t="n">
        <v>0</v>
      </c>
      <c r="G6547" s="21" t="n">
        <v>0</v>
      </c>
      <c r="H6547" s="21" t="n">
        <v>0</v>
      </c>
      <c r="I6547" s="21" t="n">
        <v>0</v>
      </c>
      <c r="J6547" s="21" t="n">
        <v>0</v>
      </c>
      <c r="K6547" s="21" t="n">
        <v>0</v>
      </c>
      <c r="L6547" s="21" t="n">
        <v>0</v>
      </c>
      <c r="M6547" s="21" t="n">
        <v>0</v>
      </c>
      <c r="N6547" s="21" t="n">
        <v>0</v>
      </c>
      <c r="O6547" s="21" t="n">
        <v>0</v>
      </c>
      <c r="P6547" s="21" t="n">
        <v>0</v>
      </c>
      <c r="Q6547" s="21" t="n">
        <v>0</v>
      </c>
      <c r="R6547" s="21" t="n">
        <v>0</v>
      </c>
      <c r="S6547" s="21" t="n">
        <v>0</v>
      </c>
      <c r="T6547" s="21">
        <f>$B$5338</f>
        <v/>
      </c>
      <c r="U6547" s="21">
        <f>$B$5340</f>
        <v/>
      </c>
      <c r="V6547" s="21">
        <f>0</f>
        <v/>
      </c>
      <c r="W6547" s="21">
        <f>2*$B$5339</f>
        <v/>
      </c>
      <c r="X6547" s="21">
        <f>-$B$5338</f>
        <v/>
      </c>
      <c r="Y6547" s="21">
        <f>$B$5340</f>
        <v/>
      </c>
      <c r="Z6547" s="19" t="n"/>
    </row>
    <row r="6548">
      <c r="D6548" s="21" t="n">
        <v>0</v>
      </c>
      <c r="E6548" s="21" t="n">
        <v>0</v>
      </c>
      <c r="F6548" s="21" t="n">
        <v>0</v>
      </c>
      <c r="G6548" s="21" t="n">
        <v>0</v>
      </c>
      <c r="H6548" s="21" t="n">
        <v>0</v>
      </c>
      <c r="I6548" s="21" t="n">
        <v>0</v>
      </c>
      <c r="J6548" s="21" t="n">
        <v>0</v>
      </c>
      <c r="K6548" s="21" t="n">
        <v>0</v>
      </c>
      <c r="L6548" s="21" t="n">
        <v>0</v>
      </c>
      <c r="M6548" s="21" t="n">
        <v>0</v>
      </c>
      <c r="N6548" s="21" t="n">
        <v>0</v>
      </c>
      <c r="O6548" s="21" t="n">
        <v>0</v>
      </c>
      <c r="P6548" s="21" t="n">
        <v>0</v>
      </c>
      <c r="Q6548" s="21" t="n">
        <v>0</v>
      </c>
      <c r="R6548" s="21" t="n">
        <v>0</v>
      </c>
      <c r="S6548" s="21" t="n">
        <v>0</v>
      </c>
      <c r="T6548" s="21" t="n">
        <v>0</v>
      </c>
      <c r="U6548" s="21" t="n">
        <v>0</v>
      </c>
      <c r="V6548" s="21">
        <f>-$B$5337</f>
        <v/>
      </c>
      <c r="W6548" s="21">
        <f>-$B$5338</f>
        <v/>
      </c>
      <c r="X6548" s="21">
        <f>$B$5337+$D$6526</f>
        <v/>
      </c>
      <c r="Y6548" s="21">
        <f>-$B$5338</f>
        <v/>
      </c>
      <c r="Z6548" s="19" t="n"/>
    </row>
    <row r="6549">
      <c r="D6549" s="21" t="n">
        <v>0</v>
      </c>
      <c r="E6549" s="21" t="n">
        <v>0</v>
      </c>
      <c r="F6549" s="21" t="n">
        <v>0</v>
      </c>
      <c r="G6549" s="21" t="n">
        <v>0</v>
      </c>
      <c r="H6549" s="21" t="n">
        <v>0</v>
      </c>
      <c r="I6549" s="21" t="n">
        <v>0</v>
      </c>
      <c r="J6549" s="21" t="n">
        <v>0</v>
      </c>
      <c r="K6549" s="21" t="n">
        <v>0</v>
      </c>
      <c r="L6549" s="21" t="n">
        <v>0</v>
      </c>
      <c r="M6549" s="21" t="n">
        <v>0</v>
      </c>
      <c r="N6549" s="21" t="n">
        <v>0</v>
      </c>
      <c r="O6549" s="21" t="n">
        <v>0</v>
      </c>
      <c r="P6549" s="21" t="n">
        <v>0</v>
      </c>
      <c r="Q6549" s="21" t="n">
        <v>0</v>
      </c>
      <c r="R6549" s="21" t="n">
        <v>0</v>
      </c>
      <c r="S6549" s="21" t="n">
        <v>0</v>
      </c>
      <c r="T6549" s="21" t="n">
        <v>0</v>
      </c>
      <c r="U6549" s="21" t="n">
        <v>0</v>
      </c>
      <c r="V6549" s="21">
        <f>$B$5338</f>
        <v/>
      </c>
      <c r="W6549" s="21">
        <f>$B$5340</f>
        <v/>
      </c>
      <c r="X6549" s="21">
        <f>-$B$5338</f>
        <v/>
      </c>
      <c r="Y6549" s="21">
        <f>$B$5339</f>
        <v/>
      </c>
      <c r="Z6549" s="19" t="n"/>
    </row>
    <row r="6551">
      <c r="A6551" s="8" t="inlineStr">
        <is>
          <t>gen 33</t>
        </is>
      </c>
    </row>
    <row r="6552">
      <c r="D6552" s="19">
        <f>IF(ABS(IF(ABS($E$6516)&gt;0.000000001,$E$6516,0.000000001))=0,0,IF($E$5352&lt;=$B$5346,0,IF(ABS(IF(ABS($E$6516)&gt;0.000000001,$E$6516,0.000000001))&gt;=8*$B$5348,$H$5352,0.5*$H$5352*(ABS(IF(ABS($E$6516)&gt;0.000000001,$E$6516,0.000000001))/$B$5348)^(1/3)))/ABS(IF(ABS($E$6516)&gt;0.000000001,$E$6516,0.000000001))*$I$5352)</f>
        <v/>
      </c>
      <c r="E6552" s="19">
        <f>0.5*$E$6516+0.5*$Z$6564</f>
        <v/>
      </c>
      <c r="F6552" s="19">
        <f>$Z$6565</f>
        <v/>
      </c>
    </row>
    <row r="6553">
      <c r="D6553" s="19">
        <f>IF(ABS(IF(ABS($E$6517)&gt;0.000000001,$E$6517,0.000000001))=0,0,IF($E$5353&lt;=$B$5346,0,IF(ABS(IF(ABS($E$6517)&gt;0.000000001,$E$6517,0.000000001))&gt;=8*$B$5348,$H$5353,0.5*$H$5353*(ABS(IF(ABS($E$6517)&gt;0.000000001,$E$6517,0.000000001))/$B$5348)^(1/3)))/ABS(IF(ABS($E$6517)&gt;0.000000001,$E$6517,0.000000001))*$I$5353)</f>
        <v/>
      </c>
      <c r="E6553" s="19">
        <f>0.5*$E$6517+0.5*$Z$6566</f>
        <v/>
      </c>
      <c r="F6553" s="19">
        <f>$Z$6567</f>
        <v/>
      </c>
    </row>
    <row r="6554">
      <c r="D6554" s="19">
        <f>IF(ABS(IF(ABS($E$6518)&gt;0.000000001,$E$6518,0.000000001))=0,0,IF($E$5354&lt;=$B$5346,0,IF(ABS(IF(ABS($E$6518)&gt;0.000000001,$E$6518,0.000000001))&gt;=8*$B$5348,$H$5354,0.5*$H$5354*(ABS(IF(ABS($E$6518)&gt;0.000000001,$E$6518,0.000000001))/$B$5348)^(1/3)))/ABS(IF(ABS($E$6518)&gt;0.000000001,$E$6518,0.000000001))*$I$5354)</f>
        <v/>
      </c>
      <c r="E6554" s="19">
        <f>0.5*$E$6518+0.5*$Z$6568</f>
        <v/>
      </c>
      <c r="F6554" s="19">
        <f>$Z$6569</f>
        <v/>
      </c>
    </row>
    <row r="6555">
      <c r="D6555" s="19">
        <f>IF(ABS(IF(ABS($E$6519)&gt;0.000000001,$E$6519,0.000000001))=0,0,IF($E$5355&lt;=$B$5346,0,IF(ABS(IF(ABS($E$6519)&gt;0.000000001,$E$6519,0.000000001))&gt;=8*$B$5348,$H$5355,0.5*$H$5355*(ABS(IF(ABS($E$6519)&gt;0.000000001,$E$6519,0.000000001))/$B$5348)^(1/3)))/ABS(IF(ABS($E$6519)&gt;0.000000001,$E$6519,0.000000001))*$I$5355)</f>
        <v/>
      </c>
      <c r="E6555" s="19">
        <f>0.5*$E$6519+0.5*$Z$6570</f>
        <v/>
      </c>
      <c r="F6555" s="19">
        <f>$Z$6571</f>
        <v/>
      </c>
    </row>
    <row r="6556">
      <c r="D6556" s="19">
        <f>IF(ABS(IF(ABS($E$6520)&gt;0.000000001,$E$6520,0.000000001))=0,0,IF($E$5356&lt;=$B$5346,0,IF(ABS(IF(ABS($E$6520)&gt;0.000000001,$E$6520,0.000000001))&gt;=8*$B$5348,$H$5356,0.5*$H$5356*(ABS(IF(ABS($E$6520)&gt;0.000000001,$E$6520,0.000000001))/$B$5348)^(1/3)))/ABS(IF(ABS($E$6520)&gt;0.000000001,$E$6520,0.000000001))*$I$5356)</f>
        <v/>
      </c>
      <c r="E6556" s="19">
        <f>0.5*$E$6520+0.5*$Z$6572</f>
        <v/>
      </c>
      <c r="F6556" s="19">
        <f>$Z$6573</f>
        <v/>
      </c>
    </row>
    <row r="6557">
      <c r="D6557" s="19">
        <f>IF(ABS(IF(ABS($E$6521)&gt;0.000000001,$E$6521,0.000000001))=0,0,IF($E$5357&lt;=$B$5346,0,IF(ABS(IF(ABS($E$6521)&gt;0.000000001,$E$6521,0.000000001))&gt;=8*$B$5348,$H$5357,0.5*$H$5357*(ABS(IF(ABS($E$6521)&gt;0.000000001,$E$6521,0.000000001))/$B$5348)^(1/3)))/ABS(IF(ABS($E$6521)&gt;0.000000001,$E$6521,0.000000001))*$I$5357)</f>
        <v/>
      </c>
      <c r="E6557" s="19">
        <f>0.5*$E$6521+0.5*$Z$6574</f>
        <v/>
      </c>
      <c r="F6557" s="19">
        <f>$Z$6575</f>
        <v/>
      </c>
    </row>
    <row r="6558">
      <c r="D6558" s="19">
        <f>IF(ABS(IF(ABS($E$6522)&gt;0.000000001,$E$6522,0.000000001))=0,0,IF($E$5358&lt;=$B$5346,0,IF(ABS(IF(ABS($E$6522)&gt;0.000000001,$E$6522,0.000000001))&gt;=8*$B$5348,$H$5358,0.5*$H$5358*(ABS(IF(ABS($E$6522)&gt;0.000000001,$E$6522,0.000000001))/$B$5348)^(1/3)))/ABS(IF(ABS($E$6522)&gt;0.000000001,$E$6522,0.000000001))*$I$5358)</f>
        <v/>
      </c>
      <c r="E6558" s="19">
        <f>0.5*$E$6522+0.5*$Z$6576</f>
        <v/>
      </c>
      <c r="F6558" s="19">
        <f>$Z$6577</f>
        <v/>
      </c>
    </row>
    <row r="6559">
      <c r="D6559" s="19">
        <f>IF(ABS(IF(ABS($E$6523)&gt;0.000000001,$E$6523,0.000000001))=0,0,IF($E$5359&lt;=$B$5346,0,IF(ABS(IF(ABS($E$6523)&gt;0.000000001,$E$6523,0.000000001))&gt;=8*$B$5348,$H$5359,0.5*$H$5359*(ABS(IF(ABS($E$6523)&gt;0.000000001,$E$6523,0.000000001))/$B$5348)^(1/3)))/ABS(IF(ABS($E$6523)&gt;0.000000001,$E$6523,0.000000001))*$I$5359)</f>
        <v/>
      </c>
      <c r="E6559" s="19">
        <f>0.5*$E$6523+0.5*$Z$6578</f>
        <v/>
      </c>
      <c r="F6559" s="19">
        <f>$Z$6579</f>
        <v/>
      </c>
    </row>
    <row r="6560">
      <c r="D6560" s="19">
        <f>IF(ABS(IF(ABS($E$6524)&gt;0.000000001,$E$6524,0.000000001))=0,0,IF($E$5360&lt;=$B$5346,0,IF(ABS(IF(ABS($E$6524)&gt;0.000000001,$E$6524,0.000000001))&gt;=8*$B$5348,$H$5360,0.5*$H$5360*(ABS(IF(ABS($E$6524)&gt;0.000000001,$E$6524,0.000000001))/$B$5348)^(1/3)))/ABS(IF(ABS($E$6524)&gt;0.000000001,$E$6524,0.000000001))*$I$5360)</f>
        <v/>
      </c>
      <c r="E6560" s="19">
        <f>0.5*$E$6524+0.5*$Z$6580</f>
        <v/>
      </c>
      <c r="F6560" s="19">
        <f>$Z$6581</f>
        <v/>
      </c>
    </row>
    <row r="6561">
      <c r="D6561" s="19">
        <f>IF(ABS(IF(ABS($E$6525)&gt;0.000000001,$E$6525,0.000000001))=0,0,IF($E$5361&lt;=$B$5346,0,IF(ABS(IF(ABS($E$6525)&gt;0.000000001,$E$6525,0.000000001))&gt;=8*$B$5348,$H$5361,0.5*$H$5361*(ABS(IF(ABS($E$6525)&gt;0.000000001,$E$6525,0.000000001))/$B$5348)^(1/3)))/ABS(IF(ABS($E$6525)&gt;0.000000001,$E$6525,0.000000001))*$I$5361)</f>
        <v/>
      </c>
      <c r="E6561" s="19">
        <f>0.5*$E$6525+0.5*$Z$6582</f>
        <v/>
      </c>
      <c r="F6561" s="19">
        <f>$Z$6583</f>
        <v/>
      </c>
    </row>
    <row r="6562">
      <c r="D6562" s="19">
        <f>IF(ABS(IF(ABS($E$6526)&gt;0.000000001,$E$6526,0.000000001))=0,0,IF($E$5362&lt;=$B$5346,0,IF(ABS(IF(ABS($E$6526)&gt;0.000000001,$E$6526,0.000000001))&gt;=8*$B$5348,$H$5362,0.5*$H$5362*(ABS(IF(ABS($E$6526)&gt;0.000000001,$E$6526,0.000000001))/$B$5348)^(1/3)))/ABS(IF(ABS($E$6526)&gt;0.000000001,$E$6526,0.000000001))*$I$5362)</f>
        <v/>
      </c>
      <c r="E6562" s="19">
        <f>0.5*$E$6526+0.5*$Z$6584</f>
        <v/>
      </c>
      <c r="F6562" s="19">
        <f>$Z$6585</f>
        <v/>
      </c>
    </row>
    <row r="6564">
      <c r="D6564" s="21">
        <f>$B$5337+$D$6552</f>
        <v/>
      </c>
      <c r="E6564" s="21">
        <f>$B$5338</f>
        <v/>
      </c>
      <c r="F6564" s="21">
        <f>-$B$5337</f>
        <v/>
      </c>
      <c r="G6564" s="21">
        <f>$B$5338</f>
        <v/>
      </c>
      <c r="H6564" s="21" t="n">
        <v>0</v>
      </c>
      <c r="I6564" s="21" t="n">
        <v>0</v>
      </c>
      <c r="J6564" s="21" t="n">
        <v>0</v>
      </c>
      <c r="K6564" s="21" t="n">
        <v>0</v>
      </c>
      <c r="L6564" s="21" t="n">
        <v>0</v>
      </c>
      <c r="M6564" s="21" t="n">
        <v>0</v>
      </c>
      <c r="N6564" s="21" t="n">
        <v>0</v>
      </c>
      <c r="O6564" s="21" t="n">
        <v>0</v>
      </c>
      <c r="P6564" s="21" t="n">
        <v>0</v>
      </c>
      <c r="Q6564" s="21" t="n">
        <v>0</v>
      </c>
      <c r="R6564" s="21" t="n">
        <v>0</v>
      </c>
      <c r="S6564" s="21" t="n">
        <v>0</v>
      </c>
      <c r="T6564" s="21" t="n">
        <v>0</v>
      </c>
      <c r="U6564" s="21" t="n">
        <v>0</v>
      </c>
      <c r="V6564" s="21" t="n">
        <v>0</v>
      </c>
      <c r="W6564" s="21" t="n">
        <v>0</v>
      </c>
      <c r="X6564" s="21" t="n">
        <v>0</v>
      </c>
      <c r="Y6564" s="21" t="n">
        <v>0</v>
      </c>
      <c r="Z6564" s="19">
        <f t="array" ref="Z6564:Z6585">MMULT(MINVERSE($D$6564:$Y$6585),$D$5364:$D$5385)</f>
        <v/>
      </c>
    </row>
    <row r="6565">
      <c r="D6565" s="21">
        <f>$B$5338</f>
        <v/>
      </c>
      <c r="E6565" s="21">
        <f>$B$5339</f>
        <v/>
      </c>
      <c r="F6565" s="21">
        <f>-$B$5338</f>
        <v/>
      </c>
      <c r="G6565" s="21">
        <f>$B$5340</f>
        <v/>
      </c>
      <c r="H6565" s="21" t="n">
        <v>0</v>
      </c>
      <c r="I6565" s="21" t="n">
        <v>0</v>
      </c>
      <c r="J6565" s="21" t="n">
        <v>0</v>
      </c>
      <c r="K6565" s="21" t="n">
        <v>0</v>
      </c>
      <c r="L6565" s="21" t="n">
        <v>0</v>
      </c>
      <c r="M6565" s="21" t="n">
        <v>0</v>
      </c>
      <c r="N6565" s="21" t="n">
        <v>0</v>
      </c>
      <c r="O6565" s="21" t="n">
        <v>0</v>
      </c>
      <c r="P6565" s="21" t="n">
        <v>0</v>
      </c>
      <c r="Q6565" s="21" t="n">
        <v>0</v>
      </c>
      <c r="R6565" s="21" t="n">
        <v>0</v>
      </c>
      <c r="S6565" s="21" t="n">
        <v>0</v>
      </c>
      <c r="T6565" s="21" t="n">
        <v>0</v>
      </c>
      <c r="U6565" s="21" t="n">
        <v>0</v>
      </c>
      <c r="V6565" s="21" t="n">
        <v>0</v>
      </c>
      <c r="W6565" s="21" t="n">
        <v>0</v>
      </c>
      <c r="X6565" s="21" t="n">
        <v>0</v>
      </c>
      <c r="Y6565" s="21" t="n">
        <v>0</v>
      </c>
      <c r="Z6565" s="19" t="n"/>
    </row>
    <row r="6566">
      <c r="D6566" s="21">
        <f>-$B$5337</f>
        <v/>
      </c>
      <c r="E6566" s="21">
        <f>-$B$5338</f>
        <v/>
      </c>
      <c r="F6566" s="21">
        <f>2*$B$5337+$D$6553</f>
        <v/>
      </c>
      <c r="G6566" s="21">
        <f>0</f>
        <v/>
      </c>
      <c r="H6566" s="21">
        <f>-$B$5337</f>
        <v/>
      </c>
      <c r="I6566" s="21">
        <f>$B$5338</f>
        <v/>
      </c>
      <c r="J6566" s="21" t="n">
        <v>0</v>
      </c>
      <c r="K6566" s="21" t="n">
        <v>0</v>
      </c>
      <c r="L6566" s="21" t="n">
        <v>0</v>
      </c>
      <c r="M6566" s="21" t="n">
        <v>0</v>
      </c>
      <c r="N6566" s="21" t="n">
        <v>0</v>
      </c>
      <c r="O6566" s="21" t="n">
        <v>0</v>
      </c>
      <c r="P6566" s="21" t="n">
        <v>0</v>
      </c>
      <c r="Q6566" s="21" t="n">
        <v>0</v>
      </c>
      <c r="R6566" s="21" t="n">
        <v>0</v>
      </c>
      <c r="S6566" s="21" t="n">
        <v>0</v>
      </c>
      <c r="T6566" s="21" t="n">
        <v>0</v>
      </c>
      <c r="U6566" s="21" t="n">
        <v>0</v>
      </c>
      <c r="V6566" s="21" t="n">
        <v>0</v>
      </c>
      <c r="W6566" s="21" t="n">
        <v>0</v>
      </c>
      <c r="X6566" s="21" t="n">
        <v>0</v>
      </c>
      <c r="Y6566" s="21" t="n">
        <v>0</v>
      </c>
      <c r="Z6566" s="19" t="n"/>
    </row>
    <row r="6567">
      <c r="D6567" s="21">
        <f>$B$5338</f>
        <v/>
      </c>
      <c r="E6567" s="21">
        <f>$B$5340</f>
        <v/>
      </c>
      <c r="F6567" s="21">
        <f>0</f>
        <v/>
      </c>
      <c r="G6567" s="21">
        <f>2*$B$5339</f>
        <v/>
      </c>
      <c r="H6567" s="21">
        <f>-$B$5338</f>
        <v/>
      </c>
      <c r="I6567" s="21">
        <f>$B$5340</f>
        <v/>
      </c>
      <c r="J6567" s="21" t="n">
        <v>0</v>
      </c>
      <c r="K6567" s="21" t="n">
        <v>0</v>
      </c>
      <c r="L6567" s="21" t="n">
        <v>0</v>
      </c>
      <c r="M6567" s="21" t="n">
        <v>0</v>
      </c>
      <c r="N6567" s="21" t="n">
        <v>0</v>
      </c>
      <c r="O6567" s="21" t="n">
        <v>0</v>
      </c>
      <c r="P6567" s="21" t="n">
        <v>0</v>
      </c>
      <c r="Q6567" s="21" t="n">
        <v>0</v>
      </c>
      <c r="R6567" s="21" t="n">
        <v>0</v>
      </c>
      <c r="S6567" s="21" t="n">
        <v>0</v>
      </c>
      <c r="T6567" s="21" t="n">
        <v>0</v>
      </c>
      <c r="U6567" s="21" t="n">
        <v>0</v>
      </c>
      <c r="V6567" s="21" t="n">
        <v>0</v>
      </c>
      <c r="W6567" s="21" t="n">
        <v>0</v>
      </c>
      <c r="X6567" s="21" t="n">
        <v>0</v>
      </c>
      <c r="Y6567" s="21" t="n">
        <v>0</v>
      </c>
      <c r="Z6567" s="19" t="n"/>
    </row>
    <row r="6568">
      <c r="D6568" s="21" t="n">
        <v>0</v>
      </c>
      <c r="E6568" s="21" t="n">
        <v>0</v>
      </c>
      <c r="F6568" s="21">
        <f>-$B$5337</f>
        <v/>
      </c>
      <c r="G6568" s="21">
        <f>-$B$5338</f>
        <v/>
      </c>
      <c r="H6568" s="21">
        <f>2*$B$5337+$D$6554</f>
        <v/>
      </c>
      <c r="I6568" s="21">
        <f>0</f>
        <v/>
      </c>
      <c r="J6568" s="21">
        <f>-$B$5337</f>
        <v/>
      </c>
      <c r="K6568" s="21">
        <f>$B$5338</f>
        <v/>
      </c>
      <c r="L6568" s="21" t="n">
        <v>0</v>
      </c>
      <c r="M6568" s="21" t="n">
        <v>0</v>
      </c>
      <c r="N6568" s="21" t="n">
        <v>0</v>
      </c>
      <c r="O6568" s="21" t="n">
        <v>0</v>
      </c>
      <c r="P6568" s="21" t="n">
        <v>0</v>
      </c>
      <c r="Q6568" s="21" t="n">
        <v>0</v>
      </c>
      <c r="R6568" s="21" t="n">
        <v>0</v>
      </c>
      <c r="S6568" s="21" t="n">
        <v>0</v>
      </c>
      <c r="T6568" s="21" t="n">
        <v>0</v>
      </c>
      <c r="U6568" s="21" t="n">
        <v>0</v>
      </c>
      <c r="V6568" s="21" t="n">
        <v>0</v>
      </c>
      <c r="W6568" s="21" t="n">
        <v>0</v>
      </c>
      <c r="X6568" s="21" t="n">
        <v>0</v>
      </c>
      <c r="Y6568" s="21" t="n">
        <v>0</v>
      </c>
      <c r="Z6568" s="19" t="n"/>
    </row>
    <row r="6569">
      <c r="D6569" s="21" t="n">
        <v>0</v>
      </c>
      <c r="E6569" s="21" t="n">
        <v>0</v>
      </c>
      <c r="F6569" s="21">
        <f>$B$5338</f>
        <v/>
      </c>
      <c r="G6569" s="21">
        <f>$B$5340</f>
        <v/>
      </c>
      <c r="H6569" s="21">
        <f>0</f>
        <v/>
      </c>
      <c r="I6569" s="21">
        <f>2*$B$5339</f>
        <v/>
      </c>
      <c r="J6569" s="21">
        <f>-$B$5338</f>
        <v/>
      </c>
      <c r="K6569" s="21">
        <f>$B$5340</f>
        <v/>
      </c>
      <c r="L6569" s="21" t="n">
        <v>0</v>
      </c>
      <c r="M6569" s="21" t="n">
        <v>0</v>
      </c>
      <c r="N6569" s="21" t="n">
        <v>0</v>
      </c>
      <c r="O6569" s="21" t="n">
        <v>0</v>
      </c>
      <c r="P6569" s="21" t="n">
        <v>0</v>
      </c>
      <c r="Q6569" s="21" t="n">
        <v>0</v>
      </c>
      <c r="R6569" s="21" t="n">
        <v>0</v>
      </c>
      <c r="S6569" s="21" t="n">
        <v>0</v>
      </c>
      <c r="T6569" s="21" t="n">
        <v>0</v>
      </c>
      <c r="U6569" s="21" t="n">
        <v>0</v>
      </c>
      <c r="V6569" s="21" t="n">
        <v>0</v>
      </c>
      <c r="W6569" s="21" t="n">
        <v>0</v>
      </c>
      <c r="X6569" s="21" t="n">
        <v>0</v>
      </c>
      <c r="Y6569" s="21" t="n">
        <v>0</v>
      </c>
      <c r="Z6569" s="19" t="n"/>
    </row>
    <row r="6570">
      <c r="D6570" s="21" t="n">
        <v>0</v>
      </c>
      <c r="E6570" s="21" t="n">
        <v>0</v>
      </c>
      <c r="F6570" s="21" t="n">
        <v>0</v>
      </c>
      <c r="G6570" s="21" t="n">
        <v>0</v>
      </c>
      <c r="H6570" s="21">
        <f>-$B$5337</f>
        <v/>
      </c>
      <c r="I6570" s="21">
        <f>-$B$5338</f>
        <v/>
      </c>
      <c r="J6570" s="21">
        <f>2*$B$5337+$D$6555</f>
        <v/>
      </c>
      <c r="K6570" s="21">
        <f>0</f>
        <v/>
      </c>
      <c r="L6570" s="21">
        <f>-$B$5337</f>
        <v/>
      </c>
      <c r="M6570" s="21">
        <f>$B$5338</f>
        <v/>
      </c>
      <c r="N6570" s="21" t="n">
        <v>0</v>
      </c>
      <c r="O6570" s="21" t="n">
        <v>0</v>
      </c>
      <c r="P6570" s="21" t="n">
        <v>0</v>
      </c>
      <c r="Q6570" s="21" t="n">
        <v>0</v>
      </c>
      <c r="R6570" s="21" t="n">
        <v>0</v>
      </c>
      <c r="S6570" s="21" t="n">
        <v>0</v>
      </c>
      <c r="T6570" s="21" t="n">
        <v>0</v>
      </c>
      <c r="U6570" s="21" t="n">
        <v>0</v>
      </c>
      <c r="V6570" s="21" t="n">
        <v>0</v>
      </c>
      <c r="W6570" s="21" t="n">
        <v>0</v>
      </c>
      <c r="X6570" s="21" t="n">
        <v>0</v>
      </c>
      <c r="Y6570" s="21" t="n">
        <v>0</v>
      </c>
      <c r="Z6570" s="19" t="n"/>
    </row>
    <row r="6571">
      <c r="D6571" s="21" t="n">
        <v>0</v>
      </c>
      <c r="E6571" s="21" t="n">
        <v>0</v>
      </c>
      <c r="F6571" s="21" t="n">
        <v>0</v>
      </c>
      <c r="G6571" s="21" t="n">
        <v>0</v>
      </c>
      <c r="H6571" s="21">
        <f>$B$5338</f>
        <v/>
      </c>
      <c r="I6571" s="21">
        <f>$B$5340</f>
        <v/>
      </c>
      <c r="J6571" s="21">
        <f>0</f>
        <v/>
      </c>
      <c r="K6571" s="21">
        <f>2*$B$5339</f>
        <v/>
      </c>
      <c r="L6571" s="21">
        <f>-$B$5338</f>
        <v/>
      </c>
      <c r="M6571" s="21">
        <f>$B$5340</f>
        <v/>
      </c>
      <c r="N6571" s="21" t="n">
        <v>0</v>
      </c>
      <c r="O6571" s="21" t="n">
        <v>0</v>
      </c>
      <c r="P6571" s="21" t="n">
        <v>0</v>
      </c>
      <c r="Q6571" s="21" t="n">
        <v>0</v>
      </c>
      <c r="R6571" s="21" t="n">
        <v>0</v>
      </c>
      <c r="S6571" s="21" t="n">
        <v>0</v>
      </c>
      <c r="T6571" s="21" t="n">
        <v>0</v>
      </c>
      <c r="U6571" s="21" t="n">
        <v>0</v>
      </c>
      <c r="V6571" s="21" t="n">
        <v>0</v>
      </c>
      <c r="W6571" s="21" t="n">
        <v>0</v>
      </c>
      <c r="X6571" s="21" t="n">
        <v>0</v>
      </c>
      <c r="Y6571" s="21" t="n">
        <v>0</v>
      </c>
      <c r="Z6571" s="19" t="n"/>
    </row>
    <row r="6572">
      <c r="D6572" s="21" t="n">
        <v>0</v>
      </c>
      <c r="E6572" s="21" t="n">
        <v>0</v>
      </c>
      <c r="F6572" s="21" t="n">
        <v>0</v>
      </c>
      <c r="G6572" s="21" t="n">
        <v>0</v>
      </c>
      <c r="H6572" s="21" t="n">
        <v>0</v>
      </c>
      <c r="I6572" s="21" t="n">
        <v>0</v>
      </c>
      <c r="J6572" s="21">
        <f>-$B$5337</f>
        <v/>
      </c>
      <c r="K6572" s="21">
        <f>-$B$5338</f>
        <v/>
      </c>
      <c r="L6572" s="21">
        <f>2*$B$5337+$D$6556</f>
        <v/>
      </c>
      <c r="M6572" s="21">
        <f>0</f>
        <v/>
      </c>
      <c r="N6572" s="21">
        <f>-$B$5337</f>
        <v/>
      </c>
      <c r="O6572" s="21">
        <f>$B$5338</f>
        <v/>
      </c>
      <c r="P6572" s="21" t="n">
        <v>0</v>
      </c>
      <c r="Q6572" s="21" t="n">
        <v>0</v>
      </c>
      <c r="R6572" s="21" t="n">
        <v>0</v>
      </c>
      <c r="S6572" s="21" t="n">
        <v>0</v>
      </c>
      <c r="T6572" s="21" t="n">
        <v>0</v>
      </c>
      <c r="U6572" s="21" t="n">
        <v>0</v>
      </c>
      <c r="V6572" s="21" t="n">
        <v>0</v>
      </c>
      <c r="W6572" s="21" t="n">
        <v>0</v>
      </c>
      <c r="X6572" s="21" t="n">
        <v>0</v>
      </c>
      <c r="Y6572" s="21" t="n">
        <v>0</v>
      </c>
      <c r="Z6572" s="19" t="n"/>
    </row>
    <row r="6573">
      <c r="D6573" s="21" t="n">
        <v>0</v>
      </c>
      <c r="E6573" s="21" t="n">
        <v>0</v>
      </c>
      <c r="F6573" s="21" t="n">
        <v>0</v>
      </c>
      <c r="G6573" s="21" t="n">
        <v>0</v>
      </c>
      <c r="H6573" s="21" t="n">
        <v>0</v>
      </c>
      <c r="I6573" s="21" t="n">
        <v>0</v>
      </c>
      <c r="J6573" s="21">
        <f>$B$5338</f>
        <v/>
      </c>
      <c r="K6573" s="21">
        <f>$B$5340</f>
        <v/>
      </c>
      <c r="L6573" s="21">
        <f>0</f>
        <v/>
      </c>
      <c r="M6573" s="21">
        <f>2*$B$5339</f>
        <v/>
      </c>
      <c r="N6573" s="21">
        <f>-$B$5338</f>
        <v/>
      </c>
      <c r="O6573" s="21">
        <f>$B$5340</f>
        <v/>
      </c>
      <c r="P6573" s="21" t="n">
        <v>0</v>
      </c>
      <c r="Q6573" s="21" t="n">
        <v>0</v>
      </c>
      <c r="R6573" s="21" t="n">
        <v>0</v>
      </c>
      <c r="S6573" s="21" t="n">
        <v>0</v>
      </c>
      <c r="T6573" s="21" t="n">
        <v>0</v>
      </c>
      <c r="U6573" s="21" t="n">
        <v>0</v>
      </c>
      <c r="V6573" s="21" t="n">
        <v>0</v>
      </c>
      <c r="W6573" s="21" t="n">
        <v>0</v>
      </c>
      <c r="X6573" s="21" t="n">
        <v>0</v>
      </c>
      <c r="Y6573" s="21" t="n">
        <v>0</v>
      </c>
      <c r="Z6573" s="19" t="n"/>
    </row>
    <row r="6574">
      <c r="D6574" s="21" t="n">
        <v>0</v>
      </c>
      <c r="E6574" s="21" t="n">
        <v>0</v>
      </c>
      <c r="F6574" s="21" t="n">
        <v>0</v>
      </c>
      <c r="G6574" s="21" t="n">
        <v>0</v>
      </c>
      <c r="H6574" s="21" t="n">
        <v>0</v>
      </c>
      <c r="I6574" s="21" t="n">
        <v>0</v>
      </c>
      <c r="J6574" s="21" t="n">
        <v>0</v>
      </c>
      <c r="K6574" s="21" t="n">
        <v>0</v>
      </c>
      <c r="L6574" s="21">
        <f>-$B$5337</f>
        <v/>
      </c>
      <c r="M6574" s="21">
        <f>-$B$5338</f>
        <v/>
      </c>
      <c r="N6574" s="21">
        <f>2*$B$5337+$D$6557</f>
        <v/>
      </c>
      <c r="O6574" s="21">
        <f>0</f>
        <v/>
      </c>
      <c r="P6574" s="21">
        <f>-$B$5337</f>
        <v/>
      </c>
      <c r="Q6574" s="21">
        <f>$B$5338</f>
        <v/>
      </c>
      <c r="R6574" s="21" t="n">
        <v>0</v>
      </c>
      <c r="S6574" s="21" t="n">
        <v>0</v>
      </c>
      <c r="T6574" s="21" t="n">
        <v>0</v>
      </c>
      <c r="U6574" s="21" t="n">
        <v>0</v>
      </c>
      <c r="V6574" s="21" t="n">
        <v>0</v>
      </c>
      <c r="W6574" s="21" t="n">
        <v>0</v>
      </c>
      <c r="X6574" s="21" t="n">
        <v>0</v>
      </c>
      <c r="Y6574" s="21" t="n">
        <v>0</v>
      </c>
      <c r="Z6574" s="19" t="n"/>
    </row>
    <row r="6575">
      <c r="D6575" s="21" t="n">
        <v>0</v>
      </c>
      <c r="E6575" s="21" t="n">
        <v>0</v>
      </c>
      <c r="F6575" s="21" t="n">
        <v>0</v>
      </c>
      <c r="G6575" s="21" t="n">
        <v>0</v>
      </c>
      <c r="H6575" s="21" t="n">
        <v>0</v>
      </c>
      <c r="I6575" s="21" t="n">
        <v>0</v>
      </c>
      <c r="J6575" s="21" t="n">
        <v>0</v>
      </c>
      <c r="K6575" s="21" t="n">
        <v>0</v>
      </c>
      <c r="L6575" s="21">
        <f>$B$5338</f>
        <v/>
      </c>
      <c r="M6575" s="21">
        <f>$B$5340</f>
        <v/>
      </c>
      <c r="N6575" s="21">
        <f>0</f>
        <v/>
      </c>
      <c r="O6575" s="21">
        <f>2*$B$5339</f>
        <v/>
      </c>
      <c r="P6575" s="21">
        <f>-$B$5338</f>
        <v/>
      </c>
      <c r="Q6575" s="21">
        <f>$B$5340</f>
        <v/>
      </c>
      <c r="R6575" s="21" t="n">
        <v>0</v>
      </c>
      <c r="S6575" s="21" t="n">
        <v>0</v>
      </c>
      <c r="T6575" s="21" t="n">
        <v>0</v>
      </c>
      <c r="U6575" s="21" t="n">
        <v>0</v>
      </c>
      <c r="V6575" s="21" t="n">
        <v>0</v>
      </c>
      <c r="W6575" s="21" t="n">
        <v>0</v>
      </c>
      <c r="X6575" s="21" t="n">
        <v>0</v>
      </c>
      <c r="Y6575" s="21" t="n">
        <v>0</v>
      </c>
      <c r="Z6575" s="19" t="n"/>
    </row>
    <row r="6576">
      <c r="D6576" s="21" t="n">
        <v>0</v>
      </c>
      <c r="E6576" s="21" t="n">
        <v>0</v>
      </c>
      <c r="F6576" s="21" t="n">
        <v>0</v>
      </c>
      <c r="G6576" s="21" t="n">
        <v>0</v>
      </c>
      <c r="H6576" s="21" t="n">
        <v>0</v>
      </c>
      <c r="I6576" s="21" t="n">
        <v>0</v>
      </c>
      <c r="J6576" s="21" t="n">
        <v>0</v>
      </c>
      <c r="K6576" s="21" t="n">
        <v>0</v>
      </c>
      <c r="L6576" s="21" t="n">
        <v>0</v>
      </c>
      <c r="M6576" s="21" t="n">
        <v>0</v>
      </c>
      <c r="N6576" s="21">
        <f>-$B$5337</f>
        <v/>
      </c>
      <c r="O6576" s="21">
        <f>-$B$5338</f>
        <v/>
      </c>
      <c r="P6576" s="21">
        <f>2*$B$5337+$D$6558</f>
        <v/>
      </c>
      <c r="Q6576" s="21">
        <f>0</f>
        <v/>
      </c>
      <c r="R6576" s="21">
        <f>-$B$5337</f>
        <v/>
      </c>
      <c r="S6576" s="21">
        <f>$B$5338</f>
        <v/>
      </c>
      <c r="T6576" s="21" t="n">
        <v>0</v>
      </c>
      <c r="U6576" s="21" t="n">
        <v>0</v>
      </c>
      <c r="V6576" s="21" t="n">
        <v>0</v>
      </c>
      <c r="W6576" s="21" t="n">
        <v>0</v>
      </c>
      <c r="X6576" s="21" t="n">
        <v>0</v>
      </c>
      <c r="Y6576" s="21" t="n">
        <v>0</v>
      </c>
      <c r="Z6576" s="19" t="n"/>
    </row>
    <row r="6577">
      <c r="D6577" s="21" t="n">
        <v>0</v>
      </c>
      <c r="E6577" s="21" t="n">
        <v>0</v>
      </c>
      <c r="F6577" s="21" t="n">
        <v>0</v>
      </c>
      <c r="G6577" s="21" t="n">
        <v>0</v>
      </c>
      <c r="H6577" s="21" t="n">
        <v>0</v>
      </c>
      <c r="I6577" s="21" t="n">
        <v>0</v>
      </c>
      <c r="J6577" s="21" t="n">
        <v>0</v>
      </c>
      <c r="K6577" s="21" t="n">
        <v>0</v>
      </c>
      <c r="L6577" s="21" t="n">
        <v>0</v>
      </c>
      <c r="M6577" s="21" t="n">
        <v>0</v>
      </c>
      <c r="N6577" s="21">
        <f>$B$5338</f>
        <v/>
      </c>
      <c r="O6577" s="21">
        <f>$B$5340</f>
        <v/>
      </c>
      <c r="P6577" s="21">
        <f>0</f>
        <v/>
      </c>
      <c r="Q6577" s="21">
        <f>2*$B$5339</f>
        <v/>
      </c>
      <c r="R6577" s="21">
        <f>-$B$5338</f>
        <v/>
      </c>
      <c r="S6577" s="21">
        <f>$B$5340</f>
        <v/>
      </c>
      <c r="T6577" s="21" t="n">
        <v>0</v>
      </c>
      <c r="U6577" s="21" t="n">
        <v>0</v>
      </c>
      <c r="V6577" s="21" t="n">
        <v>0</v>
      </c>
      <c r="W6577" s="21" t="n">
        <v>0</v>
      </c>
      <c r="X6577" s="21" t="n">
        <v>0</v>
      </c>
      <c r="Y6577" s="21" t="n">
        <v>0</v>
      </c>
      <c r="Z6577" s="19" t="n"/>
    </row>
    <row r="6578">
      <c r="D6578" s="21" t="n">
        <v>0</v>
      </c>
      <c r="E6578" s="21" t="n">
        <v>0</v>
      </c>
      <c r="F6578" s="21" t="n">
        <v>0</v>
      </c>
      <c r="G6578" s="21" t="n">
        <v>0</v>
      </c>
      <c r="H6578" s="21" t="n">
        <v>0</v>
      </c>
      <c r="I6578" s="21" t="n">
        <v>0</v>
      </c>
      <c r="J6578" s="21" t="n">
        <v>0</v>
      </c>
      <c r="K6578" s="21" t="n">
        <v>0</v>
      </c>
      <c r="L6578" s="21" t="n">
        <v>0</v>
      </c>
      <c r="M6578" s="21" t="n">
        <v>0</v>
      </c>
      <c r="N6578" s="21" t="n">
        <v>0</v>
      </c>
      <c r="O6578" s="21" t="n">
        <v>0</v>
      </c>
      <c r="P6578" s="21">
        <f>-$B$5337</f>
        <v/>
      </c>
      <c r="Q6578" s="21">
        <f>-$B$5338</f>
        <v/>
      </c>
      <c r="R6578" s="21">
        <f>2*$B$5337+$D$6559</f>
        <v/>
      </c>
      <c r="S6578" s="21">
        <f>0</f>
        <v/>
      </c>
      <c r="T6578" s="21">
        <f>-$B$5337</f>
        <v/>
      </c>
      <c r="U6578" s="21">
        <f>$B$5338</f>
        <v/>
      </c>
      <c r="V6578" s="21" t="n">
        <v>0</v>
      </c>
      <c r="W6578" s="21" t="n">
        <v>0</v>
      </c>
      <c r="X6578" s="21" t="n">
        <v>0</v>
      </c>
      <c r="Y6578" s="21" t="n">
        <v>0</v>
      </c>
      <c r="Z6578" s="19" t="n"/>
    </row>
    <row r="6579">
      <c r="D6579" s="21" t="n">
        <v>0</v>
      </c>
      <c r="E6579" s="21" t="n">
        <v>0</v>
      </c>
      <c r="F6579" s="21" t="n">
        <v>0</v>
      </c>
      <c r="G6579" s="21" t="n">
        <v>0</v>
      </c>
      <c r="H6579" s="21" t="n">
        <v>0</v>
      </c>
      <c r="I6579" s="21" t="n">
        <v>0</v>
      </c>
      <c r="J6579" s="21" t="n">
        <v>0</v>
      </c>
      <c r="K6579" s="21" t="n">
        <v>0</v>
      </c>
      <c r="L6579" s="21" t="n">
        <v>0</v>
      </c>
      <c r="M6579" s="21" t="n">
        <v>0</v>
      </c>
      <c r="N6579" s="21" t="n">
        <v>0</v>
      </c>
      <c r="O6579" s="21" t="n">
        <v>0</v>
      </c>
      <c r="P6579" s="21">
        <f>$B$5338</f>
        <v/>
      </c>
      <c r="Q6579" s="21">
        <f>$B$5340</f>
        <v/>
      </c>
      <c r="R6579" s="21">
        <f>0</f>
        <v/>
      </c>
      <c r="S6579" s="21">
        <f>2*$B$5339</f>
        <v/>
      </c>
      <c r="T6579" s="21">
        <f>-$B$5338</f>
        <v/>
      </c>
      <c r="U6579" s="21">
        <f>$B$5340</f>
        <v/>
      </c>
      <c r="V6579" s="21" t="n">
        <v>0</v>
      </c>
      <c r="W6579" s="21" t="n">
        <v>0</v>
      </c>
      <c r="X6579" s="21" t="n">
        <v>0</v>
      </c>
      <c r="Y6579" s="21" t="n">
        <v>0</v>
      </c>
      <c r="Z6579" s="19" t="n"/>
    </row>
    <row r="6580">
      <c r="D6580" s="21" t="n">
        <v>0</v>
      </c>
      <c r="E6580" s="21" t="n">
        <v>0</v>
      </c>
      <c r="F6580" s="21" t="n">
        <v>0</v>
      </c>
      <c r="G6580" s="21" t="n">
        <v>0</v>
      </c>
      <c r="H6580" s="21" t="n">
        <v>0</v>
      </c>
      <c r="I6580" s="21" t="n">
        <v>0</v>
      </c>
      <c r="J6580" s="21" t="n">
        <v>0</v>
      </c>
      <c r="K6580" s="21" t="n">
        <v>0</v>
      </c>
      <c r="L6580" s="21" t="n">
        <v>0</v>
      </c>
      <c r="M6580" s="21" t="n">
        <v>0</v>
      </c>
      <c r="N6580" s="21" t="n">
        <v>0</v>
      </c>
      <c r="O6580" s="21" t="n">
        <v>0</v>
      </c>
      <c r="P6580" s="21" t="n">
        <v>0</v>
      </c>
      <c r="Q6580" s="21" t="n">
        <v>0</v>
      </c>
      <c r="R6580" s="21">
        <f>-$B$5337</f>
        <v/>
      </c>
      <c r="S6580" s="21">
        <f>-$B$5338</f>
        <v/>
      </c>
      <c r="T6580" s="21">
        <f>2*$B$5337+$D$6560</f>
        <v/>
      </c>
      <c r="U6580" s="21">
        <f>0</f>
        <v/>
      </c>
      <c r="V6580" s="21">
        <f>-$B$5337</f>
        <v/>
      </c>
      <c r="W6580" s="21">
        <f>$B$5338</f>
        <v/>
      </c>
      <c r="X6580" s="21" t="n">
        <v>0</v>
      </c>
      <c r="Y6580" s="21" t="n">
        <v>0</v>
      </c>
      <c r="Z6580" s="19" t="n"/>
    </row>
    <row r="6581">
      <c r="D6581" s="21" t="n">
        <v>0</v>
      </c>
      <c r="E6581" s="21" t="n">
        <v>0</v>
      </c>
      <c r="F6581" s="21" t="n">
        <v>0</v>
      </c>
      <c r="G6581" s="21" t="n">
        <v>0</v>
      </c>
      <c r="H6581" s="21" t="n">
        <v>0</v>
      </c>
      <c r="I6581" s="21" t="n">
        <v>0</v>
      </c>
      <c r="J6581" s="21" t="n">
        <v>0</v>
      </c>
      <c r="K6581" s="21" t="n">
        <v>0</v>
      </c>
      <c r="L6581" s="21" t="n">
        <v>0</v>
      </c>
      <c r="M6581" s="21" t="n">
        <v>0</v>
      </c>
      <c r="N6581" s="21" t="n">
        <v>0</v>
      </c>
      <c r="O6581" s="21" t="n">
        <v>0</v>
      </c>
      <c r="P6581" s="21" t="n">
        <v>0</v>
      </c>
      <c r="Q6581" s="21" t="n">
        <v>0</v>
      </c>
      <c r="R6581" s="21">
        <f>$B$5338</f>
        <v/>
      </c>
      <c r="S6581" s="21">
        <f>$B$5340</f>
        <v/>
      </c>
      <c r="T6581" s="21">
        <f>0</f>
        <v/>
      </c>
      <c r="U6581" s="21">
        <f>2*$B$5339</f>
        <v/>
      </c>
      <c r="V6581" s="21">
        <f>-$B$5338</f>
        <v/>
      </c>
      <c r="W6581" s="21">
        <f>$B$5340</f>
        <v/>
      </c>
      <c r="X6581" s="21" t="n">
        <v>0</v>
      </c>
      <c r="Y6581" s="21" t="n">
        <v>0</v>
      </c>
      <c r="Z6581" s="19" t="n"/>
    </row>
    <row r="6582">
      <c r="D6582" s="21" t="n">
        <v>0</v>
      </c>
      <c r="E6582" s="21" t="n">
        <v>0</v>
      </c>
      <c r="F6582" s="21" t="n">
        <v>0</v>
      </c>
      <c r="G6582" s="21" t="n">
        <v>0</v>
      </c>
      <c r="H6582" s="21" t="n">
        <v>0</v>
      </c>
      <c r="I6582" s="21" t="n">
        <v>0</v>
      </c>
      <c r="J6582" s="21" t="n">
        <v>0</v>
      </c>
      <c r="K6582" s="21" t="n">
        <v>0</v>
      </c>
      <c r="L6582" s="21" t="n">
        <v>0</v>
      </c>
      <c r="M6582" s="21" t="n">
        <v>0</v>
      </c>
      <c r="N6582" s="21" t="n">
        <v>0</v>
      </c>
      <c r="O6582" s="21" t="n">
        <v>0</v>
      </c>
      <c r="P6582" s="21" t="n">
        <v>0</v>
      </c>
      <c r="Q6582" s="21" t="n">
        <v>0</v>
      </c>
      <c r="R6582" s="21" t="n">
        <v>0</v>
      </c>
      <c r="S6582" s="21" t="n">
        <v>0</v>
      </c>
      <c r="T6582" s="21">
        <f>-$B$5337</f>
        <v/>
      </c>
      <c r="U6582" s="21">
        <f>-$B$5338</f>
        <v/>
      </c>
      <c r="V6582" s="21">
        <f>2*$B$5337+$D$6561</f>
        <v/>
      </c>
      <c r="W6582" s="21">
        <f>0</f>
        <v/>
      </c>
      <c r="X6582" s="21">
        <f>-$B$5337</f>
        <v/>
      </c>
      <c r="Y6582" s="21">
        <f>$B$5338</f>
        <v/>
      </c>
      <c r="Z6582" s="19" t="n"/>
    </row>
    <row r="6583">
      <c r="D6583" s="21" t="n">
        <v>0</v>
      </c>
      <c r="E6583" s="21" t="n">
        <v>0</v>
      </c>
      <c r="F6583" s="21" t="n">
        <v>0</v>
      </c>
      <c r="G6583" s="21" t="n">
        <v>0</v>
      </c>
      <c r="H6583" s="21" t="n">
        <v>0</v>
      </c>
      <c r="I6583" s="21" t="n">
        <v>0</v>
      </c>
      <c r="J6583" s="21" t="n">
        <v>0</v>
      </c>
      <c r="K6583" s="21" t="n">
        <v>0</v>
      </c>
      <c r="L6583" s="21" t="n">
        <v>0</v>
      </c>
      <c r="M6583" s="21" t="n">
        <v>0</v>
      </c>
      <c r="N6583" s="21" t="n">
        <v>0</v>
      </c>
      <c r="O6583" s="21" t="n">
        <v>0</v>
      </c>
      <c r="P6583" s="21" t="n">
        <v>0</v>
      </c>
      <c r="Q6583" s="21" t="n">
        <v>0</v>
      </c>
      <c r="R6583" s="21" t="n">
        <v>0</v>
      </c>
      <c r="S6583" s="21" t="n">
        <v>0</v>
      </c>
      <c r="T6583" s="21">
        <f>$B$5338</f>
        <v/>
      </c>
      <c r="U6583" s="21">
        <f>$B$5340</f>
        <v/>
      </c>
      <c r="V6583" s="21">
        <f>0</f>
        <v/>
      </c>
      <c r="W6583" s="21">
        <f>2*$B$5339</f>
        <v/>
      </c>
      <c r="X6583" s="21">
        <f>-$B$5338</f>
        <v/>
      </c>
      <c r="Y6583" s="21">
        <f>$B$5340</f>
        <v/>
      </c>
      <c r="Z6583" s="19" t="n"/>
    </row>
    <row r="6584">
      <c r="D6584" s="21" t="n">
        <v>0</v>
      </c>
      <c r="E6584" s="21" t="n">
        <v>0</v>
      </c>
      <c r="F6584" s="21" t="n">
        <v>0</v>
      </c>
      <c r="G6584" s="21" t="n">
        <v>0</v>
      </c>
      <c r="H6584" s="21" t="n">
        <v>0</v>
      </c>
      <c r="I6584" s="21" t="n">
        <v>0</v>
      </c>
      <c r="J6584" s="21" t="n">
        <v>0</v>
      </c>
      <c r="K6584" s="21" t="n">
        <v>0</v>
      </c>
      <c r="L6584" s="21" t="n">
        <v>0</v>
      </c>
      <c r="M6584" s="21" t="n">
        <v>0</v>
      </c>
      <c r="N6584" s="21" t="n">
        <v>0</v>
      </c>
      <c r="O6584" s="21" t="n">
        <v>0</v>
      </c>
      <c r="P6584" s="21" t="n">
        <v>0</v>
      </c>
      <c r="Q6584" s="21" t="n">
        <v>0</v>
      </c>
      <c r="R6584" s="21" t="n">
        <v>0</v>
      </c>
      <c r="S6584" s="21" t="n">
        <v>0</v>
      </c>
      <c r="T6584" s="21" t="n">
        <v>0</v>
      </c>
      <c r="U6584" s="21" t="n">
        <v>0</v>
      </c>
      <c r="V6584" s="21">
        <f>-$B$5337</f>
        <v/>
      </c>
      <c r="W6584" s="21">
        <f>-$B$5338</f>
        <v/>
      </c>
      <c r="X6584" s="21">
        <f>$B$5337+$D$6562</f>
        <v/>
      </c>
      <c r="Y6584" s="21">
        <f>-$B$5338</f>
        <v/>
      </c>
      <c r="Z6584" s="19" t="n"/>
    </row>
    <row r="6585">
      <c r="D6585" s="21" t="n">
        <v>0</v>
      </c>
      <c r="E6585" s="21" t="n">
        <v>0</v>
      </c>
      <c r="F6585" s="21" t="n">
        <v>0</v>
      </c>
      <c r="G6585" s="21" t="n">
        <v>0</v>
      </c>
      <c r="H6585" s="21" t="n">
        <v>0</v>
      </c>
      <c r="I6585" s="21" t="n">
        <v>0</v>
      </c>
      <c r="J6585" s="21" t="n">
        <v>0</v>
      </c>
      <c r="K6585" s="21" t="n">
        <v>0</v>
      </c>
      <c r="L6585" s="21" t="n">
        <v>0</v>
      </c>
      <c r="M6585" s="21" t="n">
        <v>0</v>
      </c>
      <c r="N6585" s="21" t="n">
        <v>0</v>
      </c>
      <c r="O6585" s="21" t="n">
        <v>0</v>
      </c>
      <c r="P6585" s="21" t="n">
        <v>0</v>
      </c>
      <c r="Q6585" s="21" t="n">
        <v>0</v>
      </c>
      <c r="R6585" s="21" t="n">
        <v>0</v>
      </c>
      <c r="S6585" s="21" t="n">
        <v>0</v>
      </c>
      <c r="T6585" s="21" t="n">
        <v>0</v>
      </c>
      <c r="U6585" s="21" t="n">
        <v>0</v>
      </c>
      <c r="V6585" s="21">
        <f>$B$5338</f>
        <v/>
      </c>
      <c r="W6585" s="21">
        <f>$B$5340</f>
        <v/>
      </c>
      <c r="X6585" s="21">
        <f>-$B$5338</f>
        <v/>
      </c>
      <c r="Y6585" s="21">
        <f>$B$5339</f>
        <v/>
      </c>
      <c r="Z6585" s="19" t="n"/>
    </row>
    <row r="6587">
      <c r="A6587" s="8" t="inlineStr">
        <is>
          <t>gen 34</t>
        </is>
      </c>
    </row>
    <row r="6588">
      <c r="D6588" s="19">
        <f>IF(ABS(IF(ABS($E$6552)&gt;0.000000001,$E$6552,0.000000001))=0,0,IF($E$5352&lt;=$B$5346,0,IF(ABS(IF(ABS($E$6552)&gt;0.000000001,$E$6552,0.000000001))&gt;=8*$B$5348,$H$5352,0.5*$H$5352*(ABS(IF(ABS($E$6552)&gt;0.000000001,$E$6552,0.000000001))/$B$5348)^(1/3)))/ABS(IF(ABS($E$6552)&gt;0.000000001,$E$6552,0.000000001))*$I$5352)</f>
        <v/>
      </c>
      <c r="E6588" s="19">
        <f>0.5*$E$6552+0.5*$Z$6600</f>
        <v/>
      </c>
      <c r="F6588" s="19">
        <f>$Z$6601</f>
        <v/>
      </c>
    </row>
    <row r="6589">
      <c r="D6589" s="19">
        <f>IF(ABS(IF(ABS($E$6553)&gt;0.000000001,$E$6553,0.000000001))=0,0,IF($E$5353&lt;=$B$5346,0,IF(ABS(IF(ABS($E$6553)&gt;0.000000001,$E$6553,0.000000001))&gt;=8*$B$5348,$H$5353,0.5*$H$5353*(ABS(IF(ABS($E$6553)&gt;0.000000001,$E$6553,0.000000001))/$B$5348)^(1/3)))/ABS(IF(ABS($E$6553)&gt;0.000000001,$E$6553,0.000000001))*$I$5353)</f>
        <v/>
      </c>
      <c r="E6589" s="19">
        <f>0.5*$E$6553+0.5*$Z$6602</f>
        <v/>
      </c>
      <c r="F6589" s="19">
        <f>$Z$6603</f>
        <v/>
      </c>
    </row>
    <row r="6590">
      <c r="D6590" s="19">
        <f>IF(ABS(IF(ABS($E$6554)&gt;0.000000001,$E$6554,0.000000001))=0,0,IF($E$5354&lt;=$B$5346,0,IF(ABS(IF(ABS($E$6554)&gt;0.000000001,$E$6554,0.000000001))&gt;=8*$B$5348,$H$5354,0.5*$H$5354*(ABS(IF(ABS($E$6554)&gt;0.000000001,$E$6554,0.000000001))/$B$5348)^(1/3)))/ABS(IF(ABS($E$6554)&gt;0.000000001,$E$6554,0.000000001))*$I$5354)</f>
        <v/>
      </c>
      <c r="E6590" s="19">
        <f>0.5*$E$6554+0.5*$Z$6604</f>
        <v/>
      </c>
      <c r="F6590" s="19">
        <f>$Z$6605</f>
        <v/>
      </c>
    </row>
    <row r="6591">
      <c r="D6591" s="19">
        <f>IF(ABS(IF(ABS($E$6555)&gt;0.000000001,$E$6555,0.000000001))=0,0,IF($E$5355&lt;=$B$5346,0,IF(ABS(IF(ABS($E$6555)&gt;0.000000001,$E$6555,0.000000001))&gt;=8*$B$5348,$H$5355,0.5*$H$5355*(ABS(IF(ABS($E$6555)&gt;0.000000001,$E$6555,0.000000001))/$B$5348)^(1/3)))/ABS(IF(ABS($E$6555)&gt;0.000000001,$E$6555,0.000000001))*$I$5355)</f>
        <v/>
      </c>
      <c r="E6591" s="19">
        <f>0.5*$E$6555+0.5*$Z$6606</f>
        <v/>
      </c>
      <c r="F6591" s="19">
        <f>$Z$6607</f>
        <v/>
      </c>
    </row>
    <row r="6592">
      <c r="D6592" s="19">
        <f>IF(ABS(IF(ABS($E$6556)&gt;0.000000001,$E$6556,0.000000001))=0,0,IF($E$5356&lt;=$B$5346,0,IF(ABS(IF(ABS($E$6556)&gt;0.000000001,$E$6556,0.000000001))&gt;=8*$B$5348,$H$5356,0.5*$H$5356*(ABS(IF(ABS($E$6556)&gt;0.000000001,$E$6556,0.000000001))/$B$5348)^(1/3)))/ABS(IF(ABS($E$6556)&gt;0.000000001,$E$6556,0.000000001))*$I$5356)</f>
        <v/>
      </c>
      <c r="E6592" s="19">
        <f>0.5*$E$6556+0.5*$Z$6608</f>
        <v/>
      </c>
      <c r="F6592" s="19">
        <f>$Z$6609</f>
        <v/>
      </c>
    </row>
    <row r="6593">
      <c r="D6593" s="19">
        <f>IF(ABS(IF(ABS($E$6557)&gt;0.000000001,$E$6557,0.000000001))=0,0,IF($E$5357&lt;=$B$5346,0,IF(ABS(IF(ABS($E$6557)&gt;0.000000001,$E$6557,0.000000001))&gt;=8*$B$5348,$H$5357,0.5*$H$5357*(ABS(IF(ABS($E$6557)&gt;0.000000001,$E$6557,0.000000001))/$B$5348)^(1/3)))/ABS(IF(ABS($E$6557)&gt;0.000000001,$E$6557,0.000000001))*$I$5357)</f>
        <v/>
      </c>
      <c r="E6593" s="19">
        <f>0.5*$E$6557+0.5*$Z$6610</f>
        <v/>
      </c>
      <c r="F6593" s="19">
        <f>$Z$6611</f>
        <v/>
      </c>
    </row>
    <row r="6594">
      <c r="D6594" s="19">
        <f>IF(ABS(IF(ABS($E$6558)&gt;0.000000001,$E$6558,0.000000001))=0,0,IF($E$5358&lt;=$B$5346,0,IF(ABS(IF(ABS($E$6558)&gt;0.000000001,$E$6558,0.000000001))&gt;=8*$B$5348,$H$5358,0.5*$H$5358*(ABS(IF(ABS($E$6558)&gt;0.000000001,$E$6558,0.000000001))/$B$5348)^(1/3)))/ABS(IF(ABS($E$6558)&gt;0.000000001,$E$6558,0.000000001))*$I$5358)</f>
        <v/>
      </c>
      <c r="E6594" s="19">
        <f>0.5*$E$6558+0.5*$Z$6612</f>
        <v/>
      </c>
      <c r="F6594" s="19">
        <f>$Z$6613</f>
        <v/>
      </c>
    </row>
    <row r="6595">
      <c r="D6595" s="19">
        <f>IF(ABS(IF(ABS($E$6559)&gt;0.000000001,$E$6559,0.000000001))=0,0,IF($E$5359&lt;=$B$5346,0,IF(ABS(IF(ABS($E$6559)&gt;0.000000001,$E$6559,0.000000001))&gt;=8*$B$5348,$H$5359,0.5*$H$5359*(ABS(IF(ABS($E$6559)&gt;0.000000001,$E$6559,0.000000001))/$B$5348)^(1/3)))/ABS(IF(ABS($E$6559)&gt;0.000000001,$E$6559,0.000000001))*$I$5359)</f>
        <v/>
      </c>
      <c r="E6595" s="19">
        <f>0.5*$E$6559+0.5*$Z$6614</f>
        <v/>
      </c>
      <c r="F6595" s="19">
        <f>$Z$6615</f>
        <v/>
      </c>
    </row>
    <row r="6596">
      <c r="D6596" s="19">
        <f>IF(ABS(IF(ABS($E$6560)&gt;0.000000001,$E$6560,0.000000001))=0,0,IF($E$5360&lt;=$B$5346,0,IF(ABS(IF(ABS($E$6560)&gt;0.000000001,$E$6560,0.000000001))&gt;=8*$B$5348,$H$5360,0.5*$H$5360*(ABS(IF(ABS($E$6560)&gt;0.000000001,$E$6560,0.000000001))/$B$5348)^(1/3)))/ABS(IF(ABS($E$6560)&gt;0.000000001,$E$6560,0.000000001))*$I$5360)</f>
        <v/>
      </c>
      <c r="E6596" s="19">
        <f>0.5*$E$6560+0.5*$Z$6616</f>
        <v/>
      </c>
      <c r="F6596" s="19">
        <f>$Z$6617</f>
        <v/>
      </c>
    </row>
    <row r="6597">
      <c r="D6597" s="19">
        <f>IF(ABS(IF(ABS($E$6561)&gt;0.000000001,$E$6561,0.000000001))=0,0,IF($E$5361&lt;=$B$5346,0,IF(ABS(IF(ABS($E$6561)&gt;0.000000001,$E$6561,0.000000001))&gt;=8*$B$5348,$H$5361,0.5*$H$5361*(ABS(IF(ABS($E$6561)&gt;0.000000001,$E$6561,0.000000001))/$B$5348)^(1/3)))/ABS(IF(ABS($E$6561)&gt;0.000000001,$E$6561,0.000000001))*$I$5361)</f>
        <v/>
      </c>
      <c r="E6597" s="19">
        <f>0.5*$E$6561+0.5*$Z$6618</f>
        <v/>
      </c>
      <c r="F6597" s="19">
        <f>$Z$6619</f>
        <v/>
      </c>
    </row>
    <row r="6598">
      <c r="D6598" s="19">
        <f>IF(ABS(IF(ABS($E$6562)&gt;0.000000001,$E$6562,0.000000001))=0,0,IF($E$5362&lt;=$B$5346,0,IF(ABS(IF(ABS($E$6562)&gt;0.000000001,$E$6562,0.000000001))&gt;=8*$B$5348,$H$5362,0.5*$H$5362*(ABS(IF(ABS($E$6562)&gt;0.000000001,$E$6562,0.000000001))/$B$5348)^(1/3)))/ABS(IF(ABS($E$6562)&gt;0.000000001,$E$6562,0.000000001))*$I$5362)</f>
        <v/>
      </c>
      <c r="E6598" s="19">
        <f>0.5*$E$6562+0.5*$Z$6620</f>
        <v/>
      </c>
      <c r="F6598" s="19">
        <f>$Z$6621</f>
        <v/>
      </c>
    </row>
    <row r="6600">
      <c r="D6600" s="21">
        <f>$B$5337+$D$6588</f>
        <v/>
      </c>
      <c r="E6600" s="21">
        <f>$B$5338</f>
        <v/>
      </c>
      <c r="F6600" s="21">
        <f>-$B$5337</f>
        <v/>
      </c>
      <c r="G6600" s="21">
        <f>$B$5338</f>
        <v/>
      </c>
      <c r="H6600" s="21" t="n">
        <v>0</v>
      </c>
      <c r="I6600" s="21" t="n">
        <v>0</v>
      </c>
      <c r="J6600" s="21" t="n">
        <v>0</v>
      </c>
      <c r="K6600" s="21" t="n">
        <v>0</v>
      </c>
      <c r="L6600" s="21" t="n">
        <v>0</v>
      </c>
      <c r="M6600" s="21" t="n">
        <v>0</v>
      </c>
      <c r="N6600" s="21" t="n">
        <v>0</v>
      </c>
      <c r="O6600" s="21" t="n">
        <v>0</v>
      </c>
      <c r="P6600" s="21" t="n">
        <v>0</v>
      </c>
      <c r="Q6600" s="21" t="n">
        <v>0</v>
      </c>
      <c r="R6600" s="21" t="n">
        <v>0</v>
      </c>
      <c r="S6600" s="21" t="n">
        <v>0</v>
      </c>
      <c r="T6600" s="21" t="n">
        <v>0</v>
      </c>
      <c r="U6600" s="21" t="n">
        <v>0</v>
      </c>
      <c r="V6600" s="21" t="n">
        <v>0</v>
      </c>
      <c r="W6600" s="21" t="n">
        <v>0</v>
      </c>
      <c r="X6600" s="21" t="n">
        <v>0</v>
      </c>
      <c r="Y6600" s="21" t="n">
        <v>0</v>
      </c>
      <c r="Z6600" s="19">
        <f t="array" ref="Z6600:Z6621">MMULT(MINVERSE($D$6600:$Y$6621),$D$5364:$D$5385)</f>
        <v/>
      </c>
    </row>
    <row r="6601">
      <c r="D6601" s="21">
        <f>$B$5338</f>
        <v/>
      </c>
      <c r="E6601" s="21">
        <f>$B$5339</f>
        <v/>
      </c>
      <c r="F6601" s="21">
        <f>-$B$5338</f>
        <v/>
      </c>
      <c r="G6601" s="21">
        <f>$B$5340</f>
        <v/>
      </c>
      <c r="H6601" s="21" t="n">
        <v>0</v>
      </c>
      <c r="I6601" s="21" t="n">
        <v>0</v>
      </c>
      <c r="J6601" s="21" t="n">
        <v>0</v>
      </c>
      <c r="K6601" s="21" t="n">
        <v>0</v>
      </c>
      <c r="L6601" s="21" t="n">
        <v>0</v>
      </c>
      <c r="M6601" s="21" t="n">
        <v>0</v>
      </c>
      <c r="N6601" s="21" t="n">
        <v>0</v>
      </c>
      <c r="O6601" s="21" t="n">
        <v>0</v>
      </c>
      <c r="P6601" s="21" t="n">
        <v>0</v>
      </c>
      <c r="Q6601" s="21" t="n">
        <v>0</v>
      </c>
      <c r="R6601" s="21" t="n">
        <v>0</v>
      </c>
      <c r="S6601" s="21" t="n">
        <v>0</v>
      </c>
      <c r="T6601" s="21" t="n">
        <v>0</v>
      </c>
      <c r="U6601" s="21" t="n">
        <v>0</v>
      </c>
      <c r="V6601" s="21" t="n">
        <v>0</v>
      </c>
      <c r="W6601" s="21" t="n">
        <v>0</v>
      </c>
      <c r="X6601" s="21" t="n">
        <v>0</v>
      </c>
      <c r="Y6601" s="21" t="n">
        <v>0</v>
      </c>
      <c r="Z6601" s="19" t="n"/>
    </row>
    <row r="6602">
      <c r="D6602" s="21">
        <f>-$B$5337</f>
        <v/>
      </c>
      <c r="E6602" s="21">
        <f>-$B$5338</f>
        <v/>
      </c>
      <c r="F6602" s="21">
        <f>2*$B$5337+$D$6589</f>
        <v/>
      </c>
      <c r="G6602" s="21">
        <f>0</f>
        <v/>
      </c>
      <c r="H6602" s="21">
        <f>-$B$5337</f>
        <v/>
      </c>
      <c r="I6602" s="21">
        <f>$B$5338</f>
        <v/>
      </c>
      <c r="J6602" s="21" t="n">
        <v>0</v>
      </c>
      <c r="K6602" s="21" t="n">
        <v>0</v>
      </c>
      <c r="L6602" s="21" t="n">
        <v>0</v>
      </c>
      <c r="M6602" s="21" t="n">
        <v>0</v>
      </c>
      <c r="N6602" s="21" t="n">
        <v>0</v>
      </c>
      <c r="O6602" s="21" t="n">
        <v>0</v>
      </c>
      <c r="P6602" s="21" t="n">
        <v>0</v>
      </c>
      <c r="Q6602" s="21" t="n">
        <v>0</v>
      </c>
      <c r="R6602" s="21" t="n">
        <v>0</v>
      </c>
      <c r="S6602" s="21" t="n">
        <v>0</v>
      </c>
      <c r="T6602" s="21" t="n">
        <v>0</v>
      </c>
      <c r="U6602" s="21" t="n">
        <v>0</v>
      </c>
      <c r="V6602" s="21" t="n">
        <v>0</v>
      </c>
      <c r="W6602" s="21" t="n">
        <v>0</v>
      </c>
      <c r="X6602" s="21" t="n">
        <v>0</v>
      </c>
      <c r="Y6602" s="21" t="n">
        <v>0</v>
      </c>
      <c r="Z6602" s="19" t="n"/>
    </row>
    <row r="6603">
      <c r="D6603" s="21">
        <f>$B$5338</f>
        <v/>
      </c>
      <c r="E6603" s="21">
        <f>$B$5340</f>
        <v/>
      </c>
      <c r="F6603" s="21">
        <f>0</f>
        <v/>
      </c>
      <c r="G6603" s="21">
        <f>2*$B$5339</f>
        <v/>
      </c>
      <c r="H6603" s="21">
        <f>-$B$5338</f>
        <v/>
      </c>
      <c r="I6603" s="21">
        <f>$B$5340</f>
        <v/>
      </c>
      <c r="J6603" s="21" t="n">
        <v>0</v>
      </c>
      <c r="K6603" s="21" t="n">
        <v>0</v>
      </c>
      <c r="L6603" s="21" t="n">
        <v>0</v>
      </c>
      <c r="M6603" s="21" t="n">
        <v>0</v>
      </c>
      <c r="N6603" s="21" t="n">
        <v>0</v>
      </c>
      <c r="O6603" s="21" t="n">
        <v>0</v>
      </c>
      <c r="P6603" s="21" t="n">
        <v>0</v>
      </c>
      <c r="Q6603" s="21" t="n">
        <v>0</v>
      </c>
      <c r="R6603" s="21" t="n">
        <v>0</v>
      </c>
      <c r="S6603" s="21" t="n">
        <v>0</v>
      </c>
      <c r="T6603" s="21" t="n">
        <v>0</v>
      </c>
      <c r="U6603" s="21" t="n">
        <v>0</v>
      </c>
      <c r="V6603" s="21" t="n">
        <v>0</v>
      </c>
      <c r="W6603" s="21" t="n">
        <v>0</v>
      </c>
      <c r="X6603" s="21" t="n">
        <v>0</v>
      </c>
      <c r="Y6603" s="21" t="n">
        <v>0</v>
      </c>
      <c r="Z6603" s="19" t="n"/>
    </row>
    <row r="6604">
      <c r="D6604" s="21" t="n">
        <v>0</v>
      </c>
      <c r="E6604" s="21" t="n">
        <v>0</v>
      </c>
      <c r="F6604" s="21">
        <f>-$B$5337</f>
        <v/>
      </c>
      <c r="G6604" s="21">
        <f>-$B$5338</f>
        <v/>
      </c>
      <c r="H6604" s="21">
        <f>2*$B$5337+$D$6590</f>
        <v/>
      </c>
      <c r="I6604" s="21">
        <f>0</f>
        <v/>
      </c>
      <c r="J6604" s="21">
        <f>-$B$5337</f>
        <v/>
      </c>
      <c r="K6604" s="21">
        <f>$B$5338</f>
        <v/>
      </c>
      <c r="L6604" s="21" t="n">
        <v>0</v>
      </c>
      <c r="M6604" s="21" t="n">
        <v>0</v>
      </c>
      <c r="N6604" s="21" t="n">
        <v>0</v>
      </c>
      <c r="O6604" s="21" t="n">
        <v>0</v>
      </c>
      <c r="P6604" s="21" t="n">
        <v>0</v>
      </c>
      <c r="Q6604" s="21" t="n">
        <v>0</v>
      </c>
      <c r="R6604" s="21" t="n">
        <v>0</v>
      </c>
      <c r="S6604" s="21" t="n">
        <v>0</v>
      </c>
      <c r="T6604" s="21" t="n">
        <v>0</v>
      </c>
      <c r="U6604" s="21" t="n">
        <v>0</v>
      </c>
      <c r="V6604" s="21" t="n">
        <v>0</v>
      </c>
      <c r="W6604" s="21" t="n">
        <v>0</v>
      </c>
      <c r="X6604" s="21" t="n">
        <v>0</v>
      </c>
      <c r="Y6604" s="21" t="n">
        <v>0</v>
      </c>
      <c r="Z6604" s="19" t="n"/>
    </row>
    <row r="6605">
      <c r="D6605" s="21" t="n">
        <v>0</v>
      </c>
      <c r="E6605" s="21" t="n">
        <v>0</v>
      </c>
      <c r="F6605" s="21">
        <f>$B$5338</f>
        <v/>
      </c>
      <c r="G6605" s="21">
        <f>$B$5340</f>
        <v/>
      </c>
      <c r="H6605" s="21">
        <f>0</f>
        <v/>
      </c>
      <c r="I6605" s="21">
        <f>2*$B$5339</f>
        <v/>
      </c>
      <c r="J6605" s="21">
        <f>-$B$5338</f>
        <v/>
      </c>
      <c r="K6605" s="21">
        <f>$B$5340</f>
        <v/>
      </c>
      <c r="L6605" s="21" t="n">
        <v>0</v>
      </c>
      <c r="M6605" s="21" t="n">
        <v>0</v>
      </c>
      <c r="N6605" s="21" t="n">
        <v>0</v>
      </c>
      <c r="O6605" s="21" t="n">
        <v>0</v>
      </c>
      <c r="P6605" s="21" t="n">
        <v>0</v>
      </c>
      <c r="Q6605" s="21" t="n">
        <v>0</v>
      </c>
      <c r="R6605" s="21" t="n">
        <v>0</v>
      </c>
      <c r="S6605" s="21" t="n">
        <v>0</v>
      </c>
      <c r="T6605" s="21" t="n">
        <v>0</v>
      </c>
      <c r="U6605" s="21" t="n">
        <v>0</v>
      </c>
      <c r="V6605" s="21" t="n">
        <v>0</v>
      </c>
      <c r="W6605" s="21" t="n">
        <v>0</v>
      </c>
      <c r="X6605" s="21" t="n">
        <v>0</v>
      </c>
      <c r="Y6605" s="21" t="n">
        <v>0</v>
      </c>
      <c r="Z6605" s="19" t="n"/>
    </row>
    <row r="6606">
      <c r="D6606" s="21" t="n">
        <v>0</v>
      </c>
      <c r="E6606" s="21" t="n">
        <v>0</v>
      </c>
      <c r="F6606" s="21" t="n">
        <v>0</v>
      </c>
      <c r="G6606" s="21" t="n">
        <v>0</v>
      </c>
      <c r="H6606" s="21">
        <f>-$B$5337</f>
        <v/>
      </c>
      <c r="I6606" s="21">
        <f>-$B$5338</f>
        <v/>
      </c>
      <c r="J6606" s="21">
        <f>2*$B$5337+$D$6591</f>
        <v/>
      </c>
      <c r="K6606" s="21">
        <f>0</f>
        <v/>
      </c>
      <c r="L6606" s="21">
        <f>-$B$5337</f>
        <v/>
      </c>
      <c r="M6606" s="21">
        <f>$B$5338</f>
        <v/>
      </c>
      <c r="N6606" s="21" t="n">
        <v>0</v>
      </c>
      <c r="O6606" s="21" t="n">
        <v>0</v>
      </c>
      <c r="P6606" s="21" t="n">
        <v>0</v>
      </c>
      <c r="Q6606" s="21" t="n">
        <v>0</v>
      </c>
      <c r="R6606" s="21" t="n">
        <v>0</v>
      </c>
      <c r="S6606" s="21" t="n">
        <v>0</v>
      </c>
      <c r="T6606" s="21" t="n">
        <v>0</v>
      </c>
      <c r="U6606" s="21" t="n">
        <v>0</v>
      </c>
      <c r="V6606" s="21" t="n">
        <v>0</v>
      </c>
      <c r="W6606" s="21" t="n">
        <v>0</v>
      </c>
      <c r="X6606" s="21" t="n">
        <v>0</v>
      </c>
      <c r="Y6606" s="21" t="n">
        <v>0</v>
      </c>
      <c r="Z6606" s="19" t="n"/>
    </row>
    <row r="6607">
      <c r="D6607" s="21" t="n">
        <v>0</v>
      </c>
      <c r="E6607" s="21" t="n">
        <v>0</v>
      </c>
      <c r="F6607" s="21" t="n">
        <v>0</v>
      </c>
      <c r="G6607" s="21" t="n">
        <v>0</v>
      </c>
      <c r="H6607" s="21">
        <f>$B$5338</f>
        <v/>
      </c>
      <c r="I6607" s="21">
        <f>$B$5340</f>
        <v/>
      </c>
      <c r="J6607" s="21">
        <f>0</f>
        <v/>
      </c>
      <c r="K6607" s="21">
        <f>2*$B$5339</f>
        <v/>
      </c>
      <c r="L6607" s="21">
        <f>-$B$5338</f>
        <v/>
      </c>
      <c r="M6607" s="21">
        <f>$B$5340</f>
        <v/>
      </c>
      <c r="N6607" s="21" t="n">
        <v>0</v>
      </c>
      <c r="O6607" s="21" t="n">
        <v>0</v>
      </c>
      <c r="P6607" s="21" t="n">
        <v>0</v>
      </c>
      <c r="Q6607" s="21" t="n">
        <v>0</v>
      </c>
      <c r="R6607" s="21" t="n">
        <v>0</v>
      </c>
      <c r="S6607" s="21" t="n">
        <v>0</v>
      </c>
      <c r="T6607" s="21" t="n">
        <v>0</v>
      </c>
      <c r="U6607" s="21" t="n">
        <v>0</v>
      </c>
      <c r="V6607" s="21" t="n">
        <v>0</v>
      </c>
      <c r="W6607" s="21" t="n">
        <v>0</v>
      </c>
      <c r="X6607" s="21" t="n">
        <v>0</v>
      </c>
      <c r="Y6607" s="21" t="n">
        <v>0</v>
      </c>
      <c r="Z6607" s="19" t="n"/>
    </row>
    <row r="6608">
      <c r="D6608" s="21" t="n">
        <v>0</v>
      </c>
      <c r="E6608" s="21" t="n">
        <v>0</v>
      </c>
      <c r="F6608" s="21" t="n">
        <v>0</v>
      </c>
      <c r="G6608" s="21" t="n">
        <v>0</v>
      </c>
      <c r="H6608" s="21" t="n">
        <v>0</v>
      </c>
      <c r="I6608" s="21" t="n">
        <v>0</v>
      </c>
      <c r="J6608" s="21">
        <f>-$B$5337</f>
        <v/>
      </c>
      <c r="K6608" s="21">
        <f>-$B$5338</f>
        <v/>
      </c>
      <c r="L6608" s="21">
        <f>2*$B$5337+$D$6592</f>
        <v/>
      </c>
      <c r="M6608" s="21">
        <f>0</f>
        <v/>
      </c>
      <c r="N6608" s="21">
        <f>-$B$5337</f>
        <v/>
      </c>
      <c r="O6608" s="21">
        <f>$B$5338</f>
        <v/>
      </c>
      <c r="P6608" s="21" t="n">
        <v>0</v>
      </c>
      <c r="Q6608" s="21" t="n">
        <v>0</v>
      </c>
      <c r="R6608" s="21" t="n">
        <v>0</v>
      </c>
      <c r="S6608" s="21" t="n">
        <v>0</v>
      </c>
      <c r="T6608" s="21" t="n">
        <v>0</v>
      </c>
      <c r="U6608" s="21" t="n">
        <v>0</v>
      </c>
      <c r="V6608" s="21" t="n">
        <v>0</v>
      </c>
      <c r="W6608" s="21" t="n">
        <v>0</v>
      </c>
      <c r="X6608" s="21" t="n">
        <v>0</v>
      </c>
      <c r="Y6608" s="21" t="n">
        <v>0</v>
      </c>
      <c r="Z6608" s="19" t="n"/>
    </row>
    <row r="6609">
      <c r="D6609" s="21" t="n">
        <v>0</v>
      </c>
      <c r="E6609" s="21" t="n">
        <v>0</v>
      </c>
      <c r="F6609" s="21" t="n">
        <v>0</v>
      </c>
      <c r="G6609" s="21" t="n">
        <v>0</v>
      </c>
      <c r="H6609" s="21" t="n">
        <v>0</v>
      </c>
      <c r="I6609" s="21" t="n">
        <v>0</v>
      </c>
      <c r="J6609" s="21">
        <f>$B$5338</f>
        <v/>
      </c>
      <c r="K6609" s="21">
        <f>$B$5340</f>
        <v/>
      </c>
      <c r="L6609" s="21">
        <f>0</f>
        <v/>
      </c>
      <c r="M6609" s="21">
        <f>2*$B$5339</f>
        <v/>
      </c>
      <c r="N6609" s="21">
        <f>-$B$5338</f>
        <v/>
      </c>
      <c r="O6609" s="21">
        <f>$B$5340</f>
        <v/>
      </c>
      <c r="P6609" s="21" t="n">
        <v>0</v>
      </c>
      <c r="Q6609" s="21" t="n">
        <v>0</v>
      </c>
      <c r="R6609" s="21" t="n">
        <v>0</v>
      </c>
      <c r="S6609" s="21" t="n">
        <v>0</v>
      </c>
      <c r="T6609" s="21" t="n">
        <v>0</v>
      </c>
      <c r="U6609" s="21" t="n">
        <v>0</v>
      </c>
      <c r="V6609" s="21" t="n">
        <v>0</v>
      </c>
      <c r="W6609" s="21" t="n">
        <v>0</v>
      </c>
      <c r="X6609" s="21" t="n">
        <v>0</v>
      </c>
      <c r="Y6609" s="21" t="n">
        <v>0</v>
      </c>
      <c r="Z6609" s="19" t="n"/>
    </row>
    <row r="6610">
      <c r="D6610" s="21" t="n">
        <v>0</v>
      </c>
      <c r="E6610" s="21" t="n">
        <v>0</v>
      </c>
      <c r="F6610" s="21" t="n">
        <v>0</v>
      </c>
      <c r="G6610" s="21" t="n">
        <v>0</v>
      </c>
      <c r="H6610" s="21" t="n">
        <v>0</v>
      </c>
      <c r="I6610" s="21" t="n">
        <v>0</v>
      </c>
      <c r="J6610" s="21" t="n">
        <v>0</v>
      </c>
      <c r="K6610" s="21" t="n">
        <v>0</v>
      </c>
      <c r="L6610" s="21">
        <f>-$B$5337</f>
        <v/>
      </c>
      <c r="M6610" s="21">
        <f>-$B$5338</f>
        <v/>
      </c>
      <c r="N6610" s="21">
        <f>2*$B$5337+$D$6593</f>
        <v/>
      </c>
      <c r="O6610" s="21">
        <f>0</f>
        <v/>
      </c>
      <c r="P6610" s="21">
        <f>-$B$5337</f>
        <v/>
      </c>
      <c r="Q6610" s="21">
        <f>$B$5338</f>
        <v/>
      </c>
      <c r="R6610" s="21" t="n">
        <v>0</v>
      </c>
      <c r="S6610" s="21" t="n">
        <v>0</v>
      </c>
      <c r="T6610" s="21" t="n">
        <v>0</v>
      </c>
      <c r="U6610" s="21" t="n">
        <v>0</v>
      </c>
      <c r="V6610" s="21" t="n">
        <v>0</v>
      </c>
      <c r="W6610" s="21" t="n">
        <v>0</v>
      </c>
      <c r="X6610" s="21" t="n">
        <v>0</v>
      </c>
      <c r="Y6610" s="21" t="n">
        <v>0</v>
      </c>
      <c r="Z6610" s="19" t="n"/>
    </row>
    <row r="6611">
      <c r="D6611" s="21" t="n">
        <v>0</v>
      </c>
      <c r="E6611" s="21" t="n">
        <v>0</v>
      </c>
      <c r="F6611" s="21" t="n">
        <v>0</v>
      </c>
      <c r="G6611" s="21" t="n">
        <v>0</v>
      </c>
      <c r="H6611" s="21" t="n">
        <v>0</v>
      </c>
      <c r="I6611" s="21" t="n">
        <v>0</v>
      </c>
      <c r="J6611" s="21" t="n">
        <v>0</v>
      </c>
      <c r="K6611" s="21" t="n">
        <v>0</v>
      </c>
      <c r="L6611" s="21">
        <f>$B$5338</f>
        <v/>
      </c>
      <c r="M6611" s="21">
        <f>$B$5340</f>
        <v/>
      </c>
      <c r="N6611" s="21">
        <f>0</f>
        <v/>
      </c>
      <c r="O6611" s="21">
        <f>2*$B$5339</f>
        <v/>
      </c>
      <c r="P6611" s="21">
        <f>-$B$5338</f>
        <v/>
      </c>
      <c r="Q6611" s="21">
        <f>$B$5340</f>
        <v/>
      </c>
      <c r="R6611" s="21" t="n">
        <v>0</v>
      </c>
      <c r="S6611" s="21" t="n">
        <v>0</v>
      </c>
      <c r="T6611" s="21" t="n">
        <v>0</v>
      </c>
      <c r="U6611" s="21" t="n">
        <v>0</v>
      </c>
      <c r="V6611" s="21" t="n">
        <v>0</v>
      </c>
      <c r="W6611" s="21" t="n">
        <v>0</v>
      </c>
      <c r="X6611" s="21" t="n">
        <v>0</v>
      </c>
      <c r="Y6611" s="21" t="n">
        <v>0</v>
      </c>
      <c r="Z6611" s="19" t="n"/>
    </row>
    <row r="6612">
      <c r="D6612" s="21" t="n">
        <v>0</v>
      </c>
      <c r="E6612" s="21" t="n">
        <v>0</v>
      </c>
      <c r="F6612" s="21" t="n">
        <v>0</v>
      </c>
      <c r="G6612" s="21" t="n">
        <v>0</v>
      </c>
      <c r="H6612" s="21" t="n">
        <v>0</v>
      </c>
      <c r="I6612" s="21" t="n">
        <v>0</v>
      </c>
      <c r="J6612" s="21" t="n">
        <v>0</v>
      </c>
      <c r="K6612" s="21" t="n">
        <v>0</v>
      </c>
      <c r="L6612" s="21" t="n">
        <v>0</v>
      </c>
      <c r="M6612" s="21" t="n">
        <v>0</v>
      </c>
      <c r="N6612" s="21">
        <f>-$B$5337</f>
        <v/>
      </c>
      <c r="O6612" s="21">
        <f>-$B$5338</f>
        <v/>
      </c>
      <c r="P6612" s="21">
        <f>2*$B$5337+$D$6594</f>
        <v/>
      </c>
      <c r="Q6612" s="21">
        <f>0</f>
        <v/>
      </c>
      <c r="R6612" s="21">
        <f>-$B$5337</f>
        <v/>
      </c>
      <c r="S6612" s="21">
        <f>$B$5338</f>
        <v/>
      </c>
      <c r="T6612" s="21" t="n">
        <v>0</v>
      </c>
      <c r="U6612" s="21" t="n">
        <v>0</v>
      </c>
      <c r="V6612" s="21" t="n">
        <v>0</v>
      </c>
      <c r="W6612" s="21" t="n">
        <v>0</v>
      </c>
      <c r="X6612" s="21" t="n">
        <v>0</v>
      </c>
      <c r="Y6612" s="21" t="n">
        <v>0</v>
      </c>
      <c r="Z6612" s="19" t="n"/>
    </row>
    <row r="6613">
      <c r="D6613" s="21" t="n">
        <v>0</v>
      </c>
      <c r="E6613" s="21" t="n">
        <v>0</v>
      </c>
      <c r="F6613" s="21" t="n">
        <v>0</v>
      </c>
      <c r="G6613" s="21" t="n">
        <v>0</v>
      </c>
      <c r="H6613" s="21" t="n">
        <v>0</v>
      </c>
      <c r="I6613" s="21" t="n">
        <v>0</v>
      </c>
      <c r="J6613" s="21" t="n">
        <v>0</v>
      </c>
      <c r="K6613" s="21" t="n">
        <v>0</v>
      </c>
      <c r="L6613" s="21" t="n">
        <v>0</v>
      </c>
      <c r="M6613" s="21" t="n">
        <v>0</v>
      </c>
      <c r="N6613" s="21">
        <f>$B$5338</f>
        <v/>
      </c>
      <c r="O6613" s="21">
        <f>$B$5340</f>
        <v/>
      </c>
      <c r="P6613" s="21">
        <f>0</f>
        <v/>
      </c>
      <c r="Q6613" s="21">
        <f>2*$B$5339</f>
        <v/>
      </c>
      <c r="R6613" s="21">
        <f>-$B$5338</f>
        <v/>
      </c>
      <c r="S6613" s="21">
        <f>$B$5340</f>
        <v/>
      </c>
      <c r="T6613" s="21" t="n">
        <v>0</v>
      </c>
      <c r="U6613" s="21" t="n">
        <v>0</v>
      </c>
      <c r="V6613" s="21" t="n">
        <v>0</v>
      </c>
      <c r="W6613" s="21" t="n">
        <v>0</v>
      </c>
      <c r="X6613" s="21" t="n">
        <v>0</v>
      </c>
      <c r="Y6613" s="21" t="n">
        <v>0</v>
      </c>
      <c r="Z6613" s="19" t="n"/>
    </row>
    <row r="6614">
      <c r="D6614" s="21" t="n">
        <v>0</v>
      </c>
      <c r="E6614" s="21" t="n">
        <v>0</v>
      </c>
      <c r="F6614" s="21" t="n">
        <v>0</v>
      </c>
      <c r="G6614" s="21" t="n">
        <v>0</v>
      </c>
      <c r="H6614" s="21" t="n">
        <v>0</v>
      </c>
      <c r="I6614" s="21" t="n">
        <v>0</v>
      </c>
      <c r="J6614" s="21" t="n">
        <v>0</v>
      </c>
      <c r="K6614" s="21" t="n">
        <v>0</v>
      </c>
      <c r="L6614" s="21" t="n">
        <v>0</v>
      </c>
      <c r="M6614" s="21" t="n">
        <v>0</v>
      </c>
      <c r="N6614" s="21" t="n">
        <v>0</v>
      </c>
      <c r="O6614" s="21" t="n">
        <v>0</v>
      </c>
      <c r="P6614" s="21">
        <f>-$B$5337</f>
        <v/>
      </c>
      <c r="Q6614" s="21">
        <f>-$B$5338</f>
        <v/>
      </c>
      <c r="R6614" s="21">
        <f>2*$B$5337+$D$6595</f>
        <v/>
      </c>
      <c r="S6614" s="21">
        <f>0</f>
        <v/>
      </c>
      <c r="T6614" s="21">
        <f>-$B$5337</f>
        <v/>
      </c>
      <c r="U6614" s="21">
        <f>$B$5338</f>
        <v/>
      </c>
      <c r="V6614" s="21" t="n">
        <v>0</v>
      </c>
      <c r="W6614" s="21" t="n">
        <v>0</v>
      </c>
      <c r="X6614" s="21" t="n">
        <v>0</v>
      </c>
      <c r="Y6614" s="21" t="n">
        <v>0</v>
      </c>
      <c r="Z6614" s="19" t="n"/>
    </row>
    <row r="6615">
      <c r="D6615" s="21" t="n">
        <v>0</v>
      </c>
      <c r="E6615" s="21" t="n">
        <v>0</v>
      </c>
      <c r="F6615" s="21" t="n">
        <v>0</v>
      </c>
      <c r="G6615" s="21" t="n">
        <v>0</v>
      </c>
      <c r="H6615" s="21" t="n">
        <v>0</v>
      </c>
      <c r="I6615" s="21" t="n">
        <v>0</v>
      </c>
      <c r="J6615" s="21" t="n">
        <v>0</v>
      </c>
      <c r="K6615" s="21" t="n">
        <v>0</v>
      </c>
      <c r="L6615" s="21" t="n">
        <v>0</v>
      </c>
      <c r="M6615" s="21" t="n">
        <v>0</v>
      </c>
      <c r="N6615" s="21" t="n">
        <v>0</v>
      </c>
      <c r="O6615" s="21" t="n">
        <v>0</v>
      </c>
      <c r="P6615" s="21">
        <f>$B$5338</f>
        <v/>
      </c>
      <c r="Q6615" s="21">
        <f>$B$5340</f>
        <v/>
      </c>
      <c r="R6615" s="21">
        <f>0</f>
        <v/>
      </c>
      <c r="S6615" s="21">
        <f>2*$B$5339</f>
        <v/>
      </c>
      <c r="T6615" s="21">
        <f>-$B$5338</f>
        <v/>
      </c>
      <c r="U6615" s="21">
        <f>$B$5340</f>
        <v/>
      </c>
      <c r="V6615" s="21" t="n">
        <v>0</v>
      </c>
      <c r="W6615" s="21" t="n">
        <v>0</v>
      </c>
      <c r="X6615" s="21" t="n">
        <v>0</v>
      </c>
      <c r="Y6615" s="21" t="n">
        <v>0</v>
      </c>
      <c r="Z6615" s="19" t="n"/>
    </row>
    <row r="6616">
      <c r="D6616" s="21" t="n">
        <v>0</v>
      </c>
      <c r="E6616" s="21" t="n">
        <v>0</v>
      </c>
      <c r="F6616" s="21" t="n">
        <v>0</v>
      </c>
      <c r="G6616" s="21" t="n">
        <v>0</v>
      </c>
      <c r="H6616" s="21" t="n">
        <v>0</v>
      </c>
      <c r="I6616" s="21" t="n">
        <v>0</v>
      </c>
      <c r="J6616" s="21" t="n">
        <v>0</v>
      </c>
      <c r="K6616" s="21" t="n">
        <v>0</v>
      </c>
      <c r="L6616" s="21" t="n">
        <v>0</v>
      </c>
      <c r="M6616" s="21" t="n">
        <v>0</v>
      </c>
      <c r="N6616" s="21" t="n">
        <v>0</v>
      </c>
      <c r="O6616" s="21" t="n">
        <v>0</v>
      </c>
      <c r="P6616" s="21" t="n">
        <v>0</v>
      </c>
      <c r="Q6616" s="21" t="n">
        <v>0</v>
      </c>
      <c r="R6616" s="21">
        <f>-$B$5337</f>
        <v/>
      </c>
      <c r="S6616" s="21">
        <f>-$B$5338</f>
        <v/>
      </c>
      <c r="T6616" s="21">
        <f>2*$B$5337+$D$6596</f>
        <v/>
      </c>
      <c r="U6616" s="21">
        <f>0</f>
        <v/>
      </c>
      <c r="V6616" s="21">
        <f>-$B$5337</f>
        <v/>
      </c>
      <c r="W6616" s="21">
        <f>$B$5338</f>
        <v/>
      </c>
      <c r="X6616" s="21" t="n">
        <v>0</v>
      </c>
      <c r="Y6616" s="21" t="n">
        <v>0</v>
      </c>
      <c r="Z6616" s="19" t="n"/>
    </row>
    <row r="6617">
      <c r="D6617" s="21" t="n">
        <v>0</v>
      </c>
      <c r="E6617" s="21" t="n">
        <v>0</v>
      </c>
      <c r="F6617" s="21" t="n">
        <v>0</v>
      </c>
      <c r="G6617" s="21" t="n">
        <v>0</v>
      </c>
      <c r="H6617" s="21" t="n">
        <v>0</v>
      </c>
      <c r="I6617" s="21" t="n">
        <v>0</v>
      </c>
      <c r="J6617" s="21" t="n">
        <v>0</v>
      </c>
      <c r="K6617" s="21" t="n">
        <v>0</v>
      </c>
      <c r="L6617" s="21" t="n">
        <v>0</v>
      </c>
      <c r="M6617" s="21" t="n">
        <v>0</v>
      </c>
      <c r="N6617" s="21" t="n">
        <v>0</v>
      </c>
      <c r="O6617" s="21" t="n">
        <v>0</v>
      </c>
      <c r="P6617" s="21" t="n">
        <v>0</v>
      </c>
      <c r="Q6617" s="21" t="n">
        <v>0</v>
      </c>
      <c r="R6617" s="21">
        <f>$B$5338</f>
        <v/>
      </c>
      <c r="S6617" s="21">
        <f>$B$5340</f>
        <v/>
      </c>
      <c r="T6617" s="21">
        <f>0</f>
        <v/>
      </c>
      <c r="U6617" s="21">
        <f>2*$B$5339</f>
        <v/>
      </c>
      <c r="V6617" s="21">
        <f>-$B$5338</f>
        <v/>
      </c>
      <c r="W6617" s="21">
        <f>$B$5340</f>
        <v/>
      </c>
      <c r="X6617" s="21" t="n">
        <v>0</v>
      </c>
      <c r="Y6617" s="21" t="n">
        <v>0</v>
      </c>
      <c r="Z6617" s="19" t="n"/>
    </row>
    <row r="6618">
      <c r="D6618" s="21" t="n">
        <v>0</v>
      </c>
      <c r="E6618" s="21" t="n">
        <v>0</v>
      </c>
      <c r="F6618" s="21" t="n">
        <v>0</v>
      </c>
      <c r="G6618" s="21" t="n">
        <v>0</v>
      </c>
      <c r="H6618" s="21" t="n">
        <v>0</v>
      </c>
      <c r="I6618" s="21" t="n">
        <v>0</v>
      </c>
      <c r="J6618" s="21" t="n">
        <v>0</v>
      </c>
      <c r="K6618" s="21" t="n">
        <v>0</v>
      </c>
      <c r="L6618" s="21" t="n">
        <v>0</v>
      </c>
      <c r="M6618" s="21" t="n">
        <v>0</v>
      </c>
      <c r="N6618" s="21" t="n">
        <v>0</v>
      </c>
      <c r="O6618" s="21" t="n">
        <v>0</v>
      </c>
      <c r="P6618" s="21" t="n">
        <v>0</v>
      </c>
      <c r="Q6618" s="21" t="n">
        <v>0</v>
      </c>
      <c r="R6618" s="21" t="n">
        <v>0</v>
      </c>
      <c r="S6618" s="21" t="n">
        <v>0</v>
      </c>
      <c r="T6618" s="21">
        <f>-$B$5337</f>
        <v/>
      </c>
      <c r="U6618" s="21">
        <f>-$B$5338</f>
        <v/>
      </c>
      <c r="V6618" s="21">
        <f>2*$B$5337+$D$6597</f>
        <v/>
      </c>
      <c r="W6618" s="21">
        <f>0</f>
        <v/>
      </c>
      <c r="X6618" s="21">
        <f>-$B$5337</f>
        <v/>
      </c>
      <c r="Y6618" s="21">
        <f>$B$5338</f>
        <v/>
      </c>
      <c r="Z6618" s="19" t="n"/>
    </row>
    <row r="6619">
      <c r="D6619" s="21" t="n">
        <v>0</v>
      </c>
      <c r="E6619" s="21" t="n">
        <v>0</v>
      </c>
      <c r="F6619" s="21" t="n">
        <v>0</v>
      </c>
      <c r="G6619" s="21" t="n">
        <v>0</v>
      </c>
      <c r="H6619" s="21" t="n">
        <v>0</v>
      </c>
      <c r="I6619" s="21" t="n">
        <v>0</v>
      </c>
      <c r="J6619" s="21" t="n">
        <v>0</v>
      </c>
      <c r="K6619" s="21" t="n">
        <v>0</v>
      </c>
      <c r="L6619" s="21" t="n">
        <v>0</v>
      </c>
      <c r="M6619" s="21" t="n">
        <v>0</v>
      </c>
      <c r="N6619" s="21" t="n">
        <v>0</v>
      </c>
      <c r="O6619" s="21" t="n">
        <v>0</v>
      </c>
      <c r="P6619" s="21" t="n">
        <v>0</v>
      </c>
      <c r="Q6619" s="21" t="n">
        <v>0</v>
      </c>
      <c r="R6619" s="21" t="n">
        <v>0</v>
      </c>
      <c r="S6619" s="21" t="n">
        <v>0</v>
      </c>
      <c r="T6619" s="21">
        <f>$B$5338</f>
        <v/>
      </c>
      <c r="U6619" s="21">
        <f>$B$5340</f>
        <v/>
      </c>
      <c r="V6619" s="21">
        <f>0</f>
        <v/>
      </c>
      <c r="W6619" s="21">
        <f>2*$B$5339</f>
        <v/>
      </c>
      <c r="X6619" s="21">
        <f>-$B$5338</f>
        <v/>
      </c>
      <c r="Y6619" s="21">
        <f>$B$5340</f>
        <v/>
      </c>
      <c r="Z6619" s="19" t="n"/>
    </row>
    <row r="6620">
      <c r="D6620" s="21" t="n">
        <v>0</v>
      </c>
      <c r="E6620" s="21" t="n">
        <v>0</v>
      </c>
      <c r="F6620" s="21" t="n">
        <v>0</v>
      </c>
      <c r="G6620" s="21" t="n">
        <v>0</v>
      </c>
      <c r="H6620" s="21" t="n">
        <v>0</v>
      </c>
      <c r="I6620" s="21" t="n">
        <v>0</v>
      </c>
      <c r="J6620" s="21" t="n">
        <v>0</v>
      </c>
      <c r="K6620" s="21" t="n">
        <v>0</v>
      </c>
      <c r="L6620" s="21" t="n">
        <v>0</v>
      </c>
      <c r="M6620" s="21" t="n">
        <v>0</v>
      </c>
      <c r="N6620" s="21" t="n">
        <v>0</v>
      </c>
      <c r="O6620" s="21" t="n">
        <v>0</v>
      </c>
      <c r="P6620" s="21" t="n">
        <v>0</v>
      </c>
      <c r="Q6620" s="21" t="n">
        <v>0</v>
      </c>
      <c r="R6620" s="21" t="n">
        <v>0</v>
      </c>
      <c r="S6620" s="21" t="n">
        <v>0</v>
      </c>
      <c r="T6620" s="21" t="n">
        <v>0</v>
      </c>
      <c r="U6620" s="21" t="n">
        <v>0</v>
      </c>
      <c r="V6620" s="21">
        <f>-$B$5337</f>
        <v/>
      </c>
      <c r="W6620" s="21">
        <f>-$B$5338</f>
        <v/>
      </c>
      <c r="X6620" s="21">
        <f>$B$5337+$D$6598</f>
        <v/>
      </c>
      <c r="Y6620" s="21">
        <f>-$B$5338</f>
        <v/>
      </c>
      <c r="Z6620" s="19" t="n"/>
    </row>
    <row r="6621">
      <c r="D6621" s="21" t="n">
        <v>0</v>
      </c>
      <c r="E6621" s="21" t="n">
        <v>0</v>
      </c>
      <c r="F6621" s="21" t="n">
        <v>0</v>
      </c>
      <c r="G6621" s="21" t="n">
        <v>0</v>
      </c>
      <c r="H6621" s="21" t="n">
        <v>0</v>
      </c>
      <c r="I6621" s="21" t="n">
        <v>0</v>
      </c>
      <c r="J6621" s="21" t="n">
        <v>0</v>
      </c>
      <c r="K6621" s="21" t="n">
        <v>0</v>
      </c>
      <c r="L6621" s="21" t="n">
        <v>0</v>
      </c>
      <c r="M6621" s="21" t="n">
        <v>0</v>
      </c>
      <c r="N6621" s="21" t="n">
        <v>0</v>
      </c>
      <c r="O6621" s="21" t="n">
        <v>0</v>
      </c>
      <c r="P6621" s="21" t="n">
        <v>0</v>
      </c>
      <c r="Q6621" s="21" t="n">
        <v>0</v>
      </c>
      <c r="R6621" s="21" t="n">
        <v>0</v>
      </c>
      <c r="S6621" s="21" t="n">
        <v>0</v>
      </c>
      <c r="T6621" s="21" t="n">
        <v>0</v>
      </c>
      <c r="U6621" s="21" t="n">
        <v>0</v>
      </c>
      <c r="V6621" s="21">
        <f>$B$5338</f>
        <v/>
      </c>
      <c r="W6621" s="21">
        <f>$B$5340</f>
        <v/>
      </c>
      <c r="X6621" s="21">
        <f>-$B$5338</f>
        <v/>
      </c>
      <c r="Y6621" s="21">
        <f>$B$5339</f>
        <v/>
      </c>
      <c r="Z6621" s="19" t="n"/>
    </row>
    <row r="6623">
      <c r="A6623" s="8" t="inlineStr">
        <is>
          <t>gen 35</t>
        </is>
      </c>
    </row>
    <row r="6624">
      <c r="D6624" s="19">
        <f>IF(ABS(IF(ABS($E$6588)&gt;0.000000001,$E$6588,0.000000001))=0,0,IF($E$5352&lt;=$B$5346,0,IF(ABS(IF(ABS($E$6588)&gt;0.000000001,$E$6588,0.000000001))&gt;=8*$B$5348,$H$5352,0.5*$H$5352*(ABS(IF(ABS($E$6588)&gt;0.000000001,$E$6588,0.000000001))/$B$5348)^(1/3)))/ABS(IF(ABS($E$6588)&gt;0.000000001,$E$6588,0.000000001))*$I$5352)</f>
        <v/>
      </c>
      <c r="E6624" s="19">
        <f>0.5*$E$6588+0.5*$Z$6636</f>
        <v/>
      </c>
      <c r="F6624" s="19">
        <f>$Z$6637</f>
        <v/>
      </c>
    </row>
    <row r="6625">
      <c r="D6625" s="19">
        <f>IF(ABS(IF(ABS($E$6589)&gt;0.000000001,$E$6589,0.000000001))=0,0,IF($E$5353&lt;=$B$5346,0,IF(ABS(IF(ABS($E$6589)&gt;0.000000001,$E$6589,0.000000001))&gt;=8*$B$5348,$H$5353,0.5*$H$5353*(ABS(IF(ABS($E$6589)&gt;0.000000001,$E$6589,0.000000001))/$B$5348)^(1/3)))/ABS(IF(ABS($E$6589)&gt;0.000000001,$E$6589,0.000000001))*$I$5353)</f>
        <v/>
      </c>
      <c r="E6625" s="19">
        <f>0.5*$E$6589+0.5*$Z$6638</f>
        <v/>
      </c>
      <c r="F6625" s="19">
        <f>$Z$6639</f>
        <v/>
      </c>
    </row>
    <row r="6626">
      <c r="D6626" s="19">
        <f>IF(ABS(IF(ABS($E$6590)&gt;0.000000001,$E$6590,0.000000001))=0,0,IF($E$5354&lt;=$B$5346,0,IF(ABS(IF(ABS($E$6590)&gt;0.000000001,$E$6590,0.000000001))&gt;=8*$B$5348,$H$5354,0.5*$H$5354*(ABS(IF(ABS($E$6590)&gt;0.000000001,$E$6590,0.000000001))/$B$5348)^(1/3)))/ABS(IF(ABS($E$6590)&gt;0.000000001,$E$6590,0.000000001))*$I$5354)</f>
        <v/>
      </c>
      <c r="E6626" s="19">
        <f>0.5*$E$6590+0.5*$Z$6640</f>
        <v/>
      </c>
      <c r="F6626" s="19">
        <f>$Z$6641</f>
        <v/>
      </c>
    </row>
    <row r="6627">
      <c r="D6627" s="19">
        <f>IF(ABS(IF(ABS($E$6591)&gt;0.000000001,$E$6591,0.000000001))=0,0,IF($E$5355&lt;=$B$5346,0,IF(ABS(IF(ABS($E$6591)&gt;0.000000001,$E$6591,0.000000001))&gt;=8*$B$5348,$H$5355,0.5*$H$5355*(ABS(IF(ABS($E$6591)&gt;0.000000001,$E$6591,0.000000001))/$B$5348)^(1/3)))/ABS(IF(ABS($E$6591)&gt;0.000000001,$E$6591,0.000000001))*$I$5355)</f>
        <v/>
      </c>
      <c r="E6627" s="19">
        <f>0.5*$E$6591+0.5*$Z$6642</f>
        <v/>
      </c>
      <c r="F6627" s="19">
        <f>$Z$6643</f>
        <v/>
      </c>
    </row>
    <row r="6628">
      <c r="D6628" s="19">
        <f>IF(ABS(IF(ABS($E$6592)&gt;0.000000001,$E$6592,0.000000001))=0,0,IF($E$5356&lt;=$B$5346,0,IF(ABS(IF(ABS($E$6592)&gt;0.000000001,$E$6592,0.000000001))&gt;=8*$B$5348,$H$5356,0.5*$H$5356*(ABS(IF(ABS($E$6592)&gt;0.000000001,$E$6592,0.000000001))/$B$5348)^(1/3)))/ABS(IF(ABS($E$6592)&gt;0.000000001,$E$6592,0.000000001))*$I$5356)</f>
        <v/>
      </c>
      <c r="E6628" s="19">
        <f>0.5*$E$6592+0.5*$Z$6644</f>
        <v/>
      </c>
      <c r="F6628" s="19">
        <f>$Z$6645</f>
        <v/>
      </c>
    </row>
    <row r="6629">
      <c r="D6629" s="19">
        <f>IF(ABS(IF(ABS($E$6593)&gt;0.000000001,$E$6593,0.000000001))=0,0,IF($E$5357&lt;=$B$5346,0,IF(ABS(IF(ABS($E$6593)&gt;0.000000001,$E$6593,0.000000001))&gt;=8*$B$5348,$H$5357,0.5*$H$5357*(ABS(IF(ABS($E$6593)&gt;0.000000001,$E$6593,0.000000001))/$B$5348)^(1/3)))/ABS(IF(ABS($E$6593)&gt;0.000000001,$E$6593,0.000000001))*$I$5357)</f>
        <v/>
      </c>
      <c r="E6629" s="19">
        <f>0.5*$E$6593+0.5*$Z$6646</f>
        <v/>
      </c>
      <c r="F6629" s="19">
        <f>$Z$6647</f>
        <v/>
      </c>
    </row>
    <row r="6630">
      <c r="D6630" s="19">
        <f>IF(ABS(IF(ABS($E$6594)&gt;0.000000001,$E$6594,0.000000001))=0,0,IF($E$5358&lt;=$B$5346,0,IF(ABS(IF(ABS($E$6594)&gt;0.000000001,$E$6594,0.000000001))&gt;=8*$B$5348,$H$5358,0.5*$H$5358*(ABS(IF(ABS($E$6594)&gt;0.000000001,$E$6594,0.000000001))/$B$5348)^(1/3)))/ABS(IF(ABS($E$6594)&gt;0.000000001,$E$6594,0.000000001))*$I$5358)</f>
        <v/>
      </c>
      <c r="E6630" s="19">
        <f>0.5*$E$6594+0.5*$Z$6648</f>
        <v/>
      </c>
      <c r="F6630" s="19">
        <f>$Z$6649</f>
        <v/>
      </c>
    </row>
    <row r="6631">
      <c r="D6631" s="19">
        <f>IF(ABS(IF(ABS($E$6595)&gt;0.000000001,$E$6595,0.000000001))=0,0,IF($E$5359&lt;=$B$5346,0,IF(ABS(IF(ABS($E$6595)&gt;0.000000001,$E$6595,0.000000001))&gt;=8*$B$5348,$H$5359,0.5*$H$5359*(ABS(IF(ABS($E$6595)&gt;0.000000001,$E$6595,0.000000001))/$B$5348)^(1/3)))/ABS(IF(ABS($E$6595)&gt;0.000000001,$E$6595,0.000000001))*$I$5359)</f>
        <v/>
      </c>
      <c r="E6631" s="19">
        <f>0.5*$E$6595+0.5*$Z$6650</f>
        <v/>
      </c>
      <c r="F6631" s="19">
        <f>$Z$6651</f>
        <v/>
      </c>
    </row>
    <row r="6632">
      <c r="D6632" s="19">
        <f>IF(ABS(IF(ABS($E$6596)&gt;0.000000001,$E$6596,0.000000001))=0,0,IF($E$5360&lt;=$B$5346,0,IF(ABS(IF(ABS($E$6596)&gt;0.000000001,$E$6596,0.000000001))&gt;=8*$B$5348,$H$5360,0.5*$H$5360*(ABS(IF(ABS($E$6596)&gt;0.000000001,$E$6596,0.000000001))/$B$5348)^(1/3)))/ABS(IF(ABS($E$6596)&gt;0.000000001,$E$6596,0.000000001))*$I$5360)</f>
        <v/>
      </c>
      <c r="E6632" s="19">
        <f>0.5*$E$6596+0.5*$Z$6652</f>
        <v/>
      </c>
      <c r="F6632" s="19">
        <f>$Z$6653</f>
        <v/>
      </c>
    </row>
    <row r="6633">
      <c r="D6633" s="19">
        <f>IF(ABS(IF(ABS($E$6597)&gt;0.000000001,$E$6597,0.000000001))=0,0,IF($E$5361&lt;=$B$5346,0,IF(ABS(IF(ABS($E$6597)&gt;0.000000001,$E$6597,0.000000001))&gt;=8*$B$5348,$H$5361,0.5*$H$5361*(ABS(IF(ABS($E$6597)&gt;0.000000001,$E$6597,0.000000001))/$B$5348)^(1/3)))/ABS(IF(ABS($E$6597)&gt;0.000000001,$E$6597,0.000000001))*$I$5361)</f>
        <v/>
      </c>
      <c r="E6633" s="19">
        <f>0.5*$E$6597+0.5*$Z$6654</f>
        <v/>
      </c>
      <c r="F6633" s="19">
        <f>$Z$6655</f>
        <v/>
      </c>
    </row>
    <row r="6634">
      <c r="D6634" s="19">
        <f>IF(ABS(IF(ABS($E$6598)&gt;0.000000001,$E$6598,0.000000001))=0,0,IF($E$5362&lt;=$B$5346,0,IF(ABS(IF(ABS($E$6598)&gt;0.000000001,$E$6598,0.000000001))&gt;=8*$B$5348,$H$5362,0.5*$H$5362*(ABS(IF(ABS($E$6598)&gt;0.000000001,$E$6598,0.000000001))/$B$5348)^(1/3)))/ABS(IF(ABS($E$6598)&gt;0.000000001,$E$6598,0.000000001))*$I$5362)</f>
        <v/>
      </c>
      <c r="E6634" s="19">
        <f>0.5*$E$6598+0.5*$Z$6656</f>
        <v/>
      </c>
      <c r="F6634" s="19">
        <f>$Z$6657</f>
        <v/>
      </c>
    </row>
    <row r="6636">
      <c r="D6636" s="21">
        <f>$B$5337+$D$6624</f>
        <v/>
      </c>
      <c r="E6636" s="21">
        <f>$B$5338</f>
        <v/>
      </c>
      <c r="F6636" s="21">
        <f>-$B$5337</f>
        <v/>
      </c>
      <c r="G6636" s="21">
        <f>$B$5338</f>
        <v/>
      </c>
      <c r="H6636" s="21" t="n">
        <v>0</v>
      </c>
      <c r="I6636" s="21" t="n">
        <v>0</v>
      </c>
      <c r="J6636" s="21" t="n">
        <v>0</v>
      </c>
      <c r="K6636" s="21" t="n">
        <v>0</v>
      </c>
      <c r="L6636" s="21" t="n">
        <v>0</v>
      </c>
      <c r="M6636" s="21" t="n">
        <v>0</v>
      </c>
      <c r="N6636" s="21" t="n">
        <v>0</v>
      </c>
      <c r="O6636" s="21" t="n">
        <v>0</v>
      </c>
      <c r="P6636" s="21" t="n">
        <v>0</v>
      </c>
      <c r="Q6636" s="21" t="n">
        <v>0</v>
      </c>
      <c r="R6636" s="21" t="n">
        <v>0</v>
      </c>
      <c r="S6636" s="21" t="n">
        <v>0</v>
      </c>
      <c r="T6636" s="21" t="n">
        <v>0</v>
      </c>
      <c r="U6636" s="21" t="n">
        <v>0</v>
      </c>
      <c r="V6636" s="21" t="n">
        <v>0</v>
      </c>
      <c r="W6636" s="21" t="n">
        <v>0</v>
      </c>
      <c r="X6636" s="21" t="n">
        <v>0</v>
      </c>
      <c r="Y6636" s="21" t="n">
        <v>0</v>
      </c>
      <c r="Z6636" s="19">
        <f t="array" ref="Z6636:Z6657">MMULT(MINVERSE($D$6636:$Y$6657),$D$5364:$D$5385)</f>
        <v/>
      </c>
    </row>
    <row r="6637">
      <c r="D6637" s="21">
        <f>$B$5338</f>
        <v/>
      </c>
      <c r="E6637" s="21">
        <f>$B$5339</f>
        <v/>
      </c>
      <c r="F6637" s="21">
        <f>-$B$5338</f>
        <v/>
      </c>
      <c r="G6637" s="21">
        <f>$B$5340</f>
        <v/>
      </c>
      <c r="H6637" s="21" t="n">
        <v>0</v>
      </c>
      <c r="I6637" s="21" t="n">
        <v>0</v>
      </c>
      <c r="J6637" s="21" t="n">
        <v>0</v>
      </c>
      <c r="K6637" s="21" t="n">
        <v>0</v>
      </c>
      <c r="L6637" s="21" t="n">
        <v>0</v>
      </c>
      <c r="M6637" s="21" t="n">
        <v>0</v>
      </c>
      <c r="N6637" s="21" t="n">
        <v>0</v>
      </c>
      <c r="O6637" s="21" t="n">
        <v>0</v>
      </c>
      <c r="P6637" s="21" t="n">
        <v>0</v>
      </c>
      <c r="Q6637" s="21" t="n">
        <v>0</v>
      </c>
      <c r="R6637" s="21" t="n">
        <v>0</v>
      </c>
      <c r="S6637" s="21" t="n">
        <v>0</v>
      </c>
      <c r="T6637" s="21" t="n">
        <v>0</v>
      </c>
      <c r="U6637" s="21" t="n">
        <v>0</v>
      </c>
      <c r="V6637" s="21" t="n">
        <v>0</v>
      </c>
      <c r="W6637" s="21" t="n">
        <v>0</v>
      </c>
      <c r="X6637" s="21" t="n">
        <v>0</v>
      </c>
      <c r="Y6637" s="21" t="n">
        <v>0</v>
      </c>
      <c r="Z6637" s="19" t="n"/>
    </row>
    <row r="6638">
      <c r="D6638" s="21">
        <f>-$B$5337</f>
        <v/>
      </c>
      <c r="E6638" s="21">
        <f>-$B$5338</f>
        <v/>
      </c>
      <c r="F6638" s="21">
        <f>2*$B$5337+$D$6625</f>
        <v/>
      </c>
      <c r="G6638" s="21">
        <f>0</f>
        <v/>
      </c>
      <c r="H6638" s="21">
        <f>-$B$5337</f>
        <v/>
      </c>
      <c r="I6638" s="21">
        <f>$B$5338</f>
        <v/>
      </c>
      <c r="J6638" s="21" t="n">
        <v>0</v>
      </c>
      <c r="K6638" s="21" t="n">
        <v>0</v>
      </c>
      <c r="L6638" s="21" t="n">
        <v>0</v>
      </c>
      <c r="M6638" s="21" t="n">
        <v>0</v>
      </c>
      <c r="N6638" s="21" t="n">
        <v>0</v>
      </c>
      <c r="O6638" s="21" t="n">
        <v>0</v>
      </c>
      <c r="P6638" s="21" t="n">
        <v>0</v>
      </c>
      <c r="Q6638" s="21" t="n">
        <v>0</v>
      </c>
      <c r="R6638" s="21" t="n">
        <v>0</v>
      </c>
      <c r="S6638" s="21" t="n">
        <v>0</v>
      </c>
      <c r="T6638" s="21" t="n">
        <v>0</v>
      </c>
      <c r="U6638" s="21" t="n">
        <v>0</v>
      </c>
      <c r="V6638" s="21" t="n">
        <v>0</v>
      </c>
      <c r="W6638" s="21" t="n">
        <v>0</v>
      </c>
      <c r="X6638" s="21" t="n">
        <v>0</v>
      </c>
      <c r="Y6638" s="21" t="n">
        <v>0</v>
      </c>
      <c r="Z6638" s="19" t="n"/>
    </row>
    <row r="6639">
      <c r="D6639" s="21">
        <f>$B$5338</f>
        <v/>
      </c>
      <c r="E6639" s="21">
        <f>$B$5340</f>
        <v/>
      </c>
      <c r="F6639" s="21">
        <f>0</f>
        <v/>
      </c>
      <c r="G6639" s="21">
        <f>2*$B$5339</f>
        <v/>
      </c>
      <c r="H6639" s="21">
        <f>-$B$5338</f>
        <v/>
      </c>
      <c r="I6639" s="21">
        <f>$B$5340</f>
        <v/>
      </c>
      <c r="J6639" s="21" t="n">
        <v>0</v>
      </c>
      <c r="K6639" s="21" t="n">
        <v>0</v>
      </c>
      <c r="L6639" s="21" t="n">
        <v>0</v>
      </c>
      <c r="M6639" s="21" t="n">
        <v>0</v>
      </c>
      <c r="N6639" s="21" t="n">
        <v>0</v>
      </c>
      <c r="O6639" s="21" t="n">
        <v>0</v>
      </c>
      <c r="P6639" s="21" t="n">
        <v>0</v>
      </c>
      <c r="Q6639" s="21" t="n">
        <v>0</v>
      </c>
      <c r="R6639" s="21" t="n">
        <v>0</v>
      </c>
      <c r="S6639" s="21" t="n">
        <v>0</v>
      </c>
      <c r="T6639" s="21" t="n">
        <v>0</v>
      </c>
      <c r="U6639" s="21" t="n">
        <v>0</v>
      </c>
      <c r="V6639" s="21" t="n">
        <v>0</v>
      </c>
      <c r="W6639" s="21" t="n">
        <v>0</v>
      </c>
      <c r="X6639" s="21" t="n">
        <v>0</v>
      </c>
      <c r="Y6639" s="21" t="n">
        <v>0</v>
      </c>
      <c r="Z6639" s="19" t="n"/>
    </row>
    <row r="6640">
      <c r="D6640" s="21" t="n">
        <v>0</v>
      </c>
      <c r="E6640" s="21" t="n">
        <v>0</v>
      </c>
      <c r="F6640" s="21">
        <f>-$B$5337</f>
        <v/>
      </c>
      <c r="G6640" s="21">
        <f>-$B$5338</f>
        <v/>
      </c>
      <c r="H6640" s="21">
        <f>2*$B$5337+$D$6626</f>
        <v/>
      </c>
      <c r="I6640" s="21">
        <f>0</f>
        <v/>
      </c>
      <c r="J6640" s="21">
        <f>-$B$5337</f>
        <v/>
      </c>
      <c r="K6640" s="21">
        <f>$B$5338</f>
        <v/>
      </c>
      <c r="L6640" s="21" t="n">
        <v>0</v>
      </c>
      <c r="M6640" s="21" t="n">
        <v>0</v>
      </c>
      <c r="N6640" s="21" t="n">
        <v>0</v>
      </c>
      <c r="O6640" s="21" t="n">
        <v>0</v>
      </c>
      <c r="P6640" s="21" t="n">
        <v>0</v>
      </c>
      <c r="Q6640" s="21" t="n">
        <v>0</v>
      </c>
      <c r="R6640" s="21" t="n">
        <v>0</v>
      </c>
      <c r="S6640" s="21" t="n">
        <v>0</v>
      </c>
      <c r="T6640" s="21" t="n">
        <v>0</v>
      </c>
      <c r="U6640" s="21" t="n">
        <v>0</v>
      </c>
      <c r="V6640" s="21" t="n">
        <v>0</v>
      </c>
      <c r="W6640" s="21" t="n">
        <v>0</v>
      </c>
      <c r="X6640" s="21" t="n">
        <v>0</v>
      </c>
      <c r="Y6640" s="21" t="n">
        <v>0</v>
      </c>
      <c r="Z6640" s="19" t="n"/>
    </row>
    <row r="6641">
      <c r="D6641" s="21" t="n">
        <v>0</v>
      </c>
      <c r="E6641" s="21" t="n">
        <v>0</v>
      </c>
      <c r="F6641" s="21">
        <f>$B$5338</f>
        <v/>
      </c>
      <c r="G6641" s="21">
        <f>$B$5340</f>
        <v/>
      </c>
      <c r="H6641" s="21">
        <f>0</f>
        <v/>
      </c>
      <c r="I6641" s="21">
        <f>2*$B$5339</f>
        <v/>
      </c>
      <c r="J6641" s="21">
        <f>-$B$5338</f>
        <v/>
      </c>
      <c r="K6641" s="21">
        <f>$B$5340</f>
        <v/>
      </c>
      <c r="L6641" s="21" t="n">
        <v>0</v>
      </c>
      <c r="M6641" s="21" t="n">
        <v>0</v>
      </c>
      <c r="N6641" s="21" t="n">
        <v>0</v>
      </c>
      <c r="O6641" s="21" t="n">
        <v>0</v>
      </c>
      <c r="P6641" s="21" t="n">
        <v>0</v>
      </c>
      <c r="Q6641" s="21" t="n">
        <v>0</v>
      </c>
      <c r="R6641" s="21" t="n">
        <v>0</v>
      </c>
      <c r="S6641" s="21" t="n">
        <v>0</v>
      </c>
      <c r="T6641" s="21" t="n">
        <v>0</v>
      </c>
      <c r="U6641" s="21" t="n">
        <v>0</v>
      </c>
      <c r="V6641" s="21" t="n">
        <v>0</v>
      </c>
      <c r="W6641" s="21" t="n">
        <v>0</v>
      </c>
      <c r="X6641" s="21" t="n">
        <v>0</v>
      </c>
      <c r="Y6641" s="21" t="n">
        <v>0</v>
      </c>
      <c r="Z6641" s="19" t="n"/>
    </row>
    <row r="6642">
      <c r="D6642" s="21" t="n">
        <v>0</v>
      </c>
      <c r="E6642" s="21" t="n">
        <v>0</v>
      </c>
      <c r="F6642" s="21" t="n">
        <v>0</v>
      </c>
      <c r="G6642" s="21" t="n">
        <v>0</v>
      </c>
      <c r="H6642" s="21">
        <f>-$B$5337</f>
        <v/>
      </c>
      <c r="I6642" s="21">
        <f>-$B$5338</f>
        <v/>
      </c>
      <c r="J6642" s="21">
        <f>2*$B$5337+$D$6627</f>
        <v/>
      </c>
      <c r="K6642" s="21">
        <f>0</f>
        <v/>
      </c>
      <c r="L6642" s="21">
        <f>-$B$5337</f>
        <v/>
      </c>
      <c r="M6642" s="21">
        <f>$B$5338</f>
        <v/>
      </c>
      <c r="N6642" s="21" t="n">
        <v>0</v>
      </c>
      <c r="O6642" s="21" t="n">
        <v>0</v>
      </c>
      <c r="P6642" s="21" t="n">
        <v>0</v>
      </c>
      <c r="Q6642" s="21" t="n">
        <v>0</v>
      </c>
      <c r="R6642" s="21" t="n">
        <v>0</v>
      </c>
      <c r="S6642" s="21" t="n">
        <v>0</v>
      </c>
      <c r="T6642" s="21" t="n">
        <v>0</v>
      </c>
      <c r="U6642" s="21" t="n">
        <v>0</v>
      </c>
      <c r="V6642" s="21" t="n">
        <v>0</v>
      </c>
      <c r="W6642" s="21" t="n">
        <v>0</v>
      </c>
      <c r="X6642" s="21" t="n">
        <v>0</v>
      </c>
      <c r="Y6642" s="21" t="n">
        <v>0</v>
      </c>
      <c r="Z6642" s="19" t="n"/>
    </row>
    <row r="6643">
      <c r="D6643" s="21" t="n">
        <v>0</v>
      </c>
      <c r="E6643" s="21" t="n">
        <v>0</v>
      </c>
      <c r="F6643" s="21" t="n">
        <v>0</v>
      </c>
      <c r="G6643" s="21" t="n">
        <v>0</v>
      </c>
      <c r="H6643" s="21">
        <f>$B$5338</f>
        <v/>
      </c>
      <c r="I6643" s="21">
        <f>$B$5340</f>
        <v/>
      </c>
      <c r="J6643" s="21">
        <f>0</f>
        <v/>
      </c>
      <c r="K6643" s="21">
        <f>2*$B$5339</f>
        <v/>
      </c>
      <c r="L6643" s="21">
        <f>-$B$5338</f>
        <v/>
      </c>
      <c r="M6643" s="21">
        <f>$B$5340</f>
        <v/>
      </c>
      <c r="N6643" s="21" t="n">
        <v>0</v>
      </c>
      <c r="O6643" s="21" t="n">
        <v>0</v>
      </c>
      <c r="P6643" s="21" t="n">
        <v>0</v>
      </c>
      <c r="Q6643" s="21" t="n">
        <v>0</v>
      </c>
      <c r="R6643" s="21" t="n">
        <v>0</v>
      </c>
      <c r="S6643" s="21" t="n">
        <v>0</v>
      </c>
      <c r="T6643" s="21" t="n">
        <v>0</v>
      </c>
      <c r="U6643" s="21" t="n">
        <v>0</v>
      </c>
      <c r="V6643" s="21" t="n">
        <v>0</v>
      </c>
      <c r="W6643" s="21" t="n">
        <v>0</v>
      </c>
      <c r="X6643" s="21" t="n">
        <v>0</v>
      </c>
      <c r="Y6643" s="21" t="n">
        <v>0</v>
      </c>
      <c r="Z6643" s="19" t="n"/>
    </row>
    <row r="6644">
      <c r="D6644" s="21" t="n">
        <v>0</v>
      </c>
      <c r="E6644" s="21" t="n">
        <v>0</v>
      </c>
      <c r="F6644" s="21" t="n">
        <v>0</v>
      </c>
      <c r="G6644" s="21" t="n">
        <v>0</v>
      </c>
      <c r="H6644" s="21" t="n">
        <v>0</v>
      </c>
      <c r="I6644" s="21" t="n">
        <v>0</v>
      </c>
      <c r="J6644" s="21">
        <f>-$B$5337</f>
        <v/>
      </c>
      <c r="K6644" s="21">
        <f>-$B$5338</f>
        <v/>
      </c>
      <c r="L6644" s="21">
        <f>2*$B$5337+$D$6628</f>
        <v/>
      </c>
      <c r="M6644" s="21">
        <f>0</f>
        <v/>
      </c>
      <c r="N6644" s="21">
        <f>-$B$5337</f>
        <v/>
      </c>
      <c r="O6644" s="21">
        <f>$B$5338</f>
        <v/>
      </c>
      <c r="P6644" s="21" t="n">
        <v>0</v>
      </c>
      <c r="Q6644" s="21" t="n">
        <v>0</v>
      </c>
      <c r="R6644" s="21" t="n">
        <v>0</v>
      </c>
      <c r="S6644" s="21" t="n">
        <v>0</v>
      </c>
      <c r="T6644" s="21" t="n">
        <v>0</v>
      </c>
      <c r="U6644" s="21" t="n">
        <v>0</v>
      </c>
      <c r="V6644" s="21" t="n">
        <v>0</v>
      </c>
      <c r="W6644" s="21" t="n">
        <v>0</v>
      </c>
      <c r="X6644" s="21" t="n">
        <v>0</v>
      </c>
      <c r="Y6644" s="21" t="n">
        <v>0</v>
      </c>
      <c r="Z6644" s="19" t="n"/>
    </row>
    <row r="6645">
      <c r="D6645" s="21" t="n">
        <v>0</v>
      </c>
      <c r="E6645" s="21" t="n">
        <v>0</v>
      </c>
      <c r="F6645" s="21" t="n">
        <v>0</v>
      </c>
      <c r="G6645" s="21" t="n">
        <v>0</v>
      </c>
      <c r="H6645" s="21" t="n">
        <v>0</v>
      </c>
      <c r="I6645" s="21" t="n">
        <v>0</v>
      </c>
      <c r="J6645" s="21">
        <f>$B$5338</f>
        <v/>
      </c>
      <c r="K6645" s="21">
        <f>$B$5340</f>
        <v/>
      </c>
      <c r="L6645" s="21">
        <f>0</f>
        <v/>
      </c>
      <c r="M6645" s="21">
        <f>2*$B$5339</f>
        <v/>
      </c>
      <c r="N6645" s="21">
        <f>-$B$5338</f>
        <v/>
      </c>
      <c r="O6645" s="21">
        <f>$B$5340</f>
        <v/>
      </c>
      <c r="P6645" s="21" t="n">
        <v>0</v>
      </c>
      <c r="Q6645" s="21" t="n">
        <v>0</v>
      </c>
      <c r="R6645" s="21" t="n">
        <v>0</v>
      </c>
      <c r="S6645" s="21" t="n">
        <v>0</v>
      </c>
      <c r="T6645" s="21" t="n">
        <v>0</v>
      </c>
      <c r="U6645" s="21" t="n">
        <v>0</v>
      </c>
      <c r="V6645" s="21" t="n">
        <v>0</v>
      </c>
      <c r="W6645" s="21" t="n">
        <v>0</v>
      </c>
      <c r="X6645" s="21" t="n">
        <v>0</v>
      </c>
      <c r="Y6645" s="21" t="n">
        <v>0</v>
      </c>
      <c r="Z6645" s="19" t="n"/>
    </row>
    <row r="6646">
      <c r="D6646" s="21" t="n">
        <v>0</v>
      </c>
      <c r="E6646" s="21" t="n">
        <v>0</v>
      </c>
      <c r="F6646" s="21" t="n">
        <v>0</v>
      </c>
      <c r="G6646" s="21" t="n">
        <v>0</v>
      </c>
      <c r="H6646" s="21" t="n">
        <v>0</v>
      </c>
      <c r="I6646" s="21" t="n">
        <v>0</v>
      </c>
      <c r="J6646" s="21" t="n">
        <v>0</v>
      </c>
      <c r="K6646" s="21" t="n">
        <v>0</v>
      </c>
      <c r="L6646" s="21">
        <f>-$B$5337</f>
        <v/>
      </c>
      <c r="M6646" s="21">
        <f>-$B$5338</f>
        <v/>
      </c>
      <c r="N6646" s="21">
        <f>2*$B$5337+$D$6629</f>
        <v/>
      </c>
      <c r="O6646" s="21">
        <f>0</f>
        <v/>
      </c>
      <c r="P6646" s="21">
        <f>-$B$5337</f>
        <v/>
      </c>
      <c r="Q6646" s="21">
        <f>$B$5338</f>
        <v/>
      </c>
      <c r="R6646" s="21" t="n">
        <v>0</v>
      </c>
      <c r="S6646" s="21" t="n">
        <v>0</v>
      </c>
      <c r="T6646" s="21" t="n">
        <v>0</v>
      </c>
      <c r="U6646" s="21" t="n">
        <v>0</v>
      </c>
      <c r="V6646" s="21" t="n">
        <v>0</v>
      </c>
      <c r="W6646" s="21" t="n">
        <v>0</v>
      </c>
      <c r="X6646" s="21" t="n">
        <v>0</v>
      </c>
      <c r="Y6646" s="21" t="n">
        <v>0</v>
      </c>
      <c r="Z6646" s="19" t="n"/>
    </row>
    <row r="6647">
      <c r="D6647" s="21" t="n">
        <v>0</v>
      </c>
      <c r="E6647" s="21" t="n">
        <v>0</v>
      </c>
      <c r="F6647" s="21" t="n">
        <v>0</v>
      </c>
      <c r="G6647" s="21" t="n">
        <v>0</v>
      </c>
      <c r="H6647" s="21" t="n">
        <v>0</v>
      </c>
      <c r="I6647" s="21" t="n">
        <v>0</v>
      </c>
      <c r="J6647" s="21" t="n">
        <v>0</v>
      </c>
      <c r="K6647" s="21" t="n">
        <v>0</v>
      </c>
      <c r="L6647" s="21">
        <f>$B$5338</f>
        <v/>
      </c>
      <c r="M6647" s="21">
        <f>$B$5340</f>
        <v/>
      </c>
      <c r="N6647" s="21">
        <f>0</f>
        <v/>
      </c>
      <c r="O6647" s="21">
        <f>2*$B$5339</f>
        <v/>
      </c>
      <c r="P6647" s="21">
        <f>-$B$5338</f>
        <v/>
      </c>
      <c r="Q6647" s="21">
        <f>$B$5340</f>
        <v/>
      </c>
      <c r="R6647" s="21" t="n">
        <v>0</v>
      </c>
      <c r="S6647" s="21" t="n">
        <v>0</v>
      </c>
      <c r="T6647" s="21" t="n">
        <v>0</v>
      </c>
      <c r="U6647" s="21" t="n">
        <v>0</v>
      </c>
      <c r="V6647" s="21" t="n">
        <v>0</v>
      </c>
      <c r="W6647" s="21" t="n">
        <v>0</v>
      </c>
      <c r="X6647" s="21" t="n">
        <v>0</v>
      </c>
      <c r="Y6647" s="21" t="n">
        <v>0</v>
      </c>
      <c r="Z6647" s="19" t="n"/>
    </row>
    <row r="6648">
      <c r="D6648" s="21" t="n">
        <v>0</v>
      </c>
      <c r="E6648" s="21" t="n">
        <v>0</v>
      </c>
      <c r="F6648" s="21" t="n">
        <v>0</v>
      </c>
      <c r="G6648" s="21" t="n">
        <v>0</v>
      </c>
      <c r="H6648" s="21" t="n">
        <v>0</v>
      </c>
      <c r="I6648" s="21" t="n">
        <v>0</v>
      </c>
      <c r="J6648" s="21" t="n">
        <v>0</v>
      </c>
      <c r="K6648" s="21" t="n">
        <v>0</v>
      </c>
      <c r="L6648" s="21" t="n">
        <v>0</v>
      </c>
      <c r="M6648" s="21" t="n">
        <v>0</v>
      </c>
      <c r="N6648" s="21">
        <f>-$B$5337</f>
        <v/>
      </c>
      <c r="O6648" s="21">
        <f>-$B$5338</f>
        <v/>
      </c>
      <c r="P6648" s="21">
        <f>2*$B$5337+$D$6630</f>
        <v/>
      </c>
      <c r="Q6648" s="21">
        <f>0</f>
        <v/>
      </c>
      <c r="R6648" s="21">
        <f>-$B$5337</f>
        <v/>
      </c>
      <c r="S6648" s="21">
        <f>$B$5338</f>
        <v/>
      </c>
      <c r="T6648" s="21" t="n">
        <v>0</v>
      </c>
      <c r="U6648" s="21" t="n">
        <v>0</v>
      </c>
      <c r="V6648" s="21" t="n">
        <v>0</v>
      </c>
      <c r="W6648" s="21" t="n">
        <v>0</v>
      </c>
      <c r="X6648" s="21" t="n">
        <v>0</v>
      </c>
      <c r="Y6648" s="21" t="n">
        <v>0</v>
      </c>
      <c r="Z6648" s="19" t="n"/>
    </row>
    <row r="6649">
      <c r="D6649" s="21" t="n">
        <v>0</v>
      </c>
      <c r="E6649" s="21" t="n">
        <v>0</v>
      </c>
      <c r="F6649" s="21" t="n">
        <v>0</v>
      </c>
      <c r="G6649" s="21" t="n">
        <v>0</v>
      </c>
      <c r="H6649" s="21" t="n">
        <v>0</v>
      </c>
      <c r="I6649" s="21" t="n">
        <v>0</v>
      </c>
      <c r="J6649" s="21" t="n">
        <v>0</v>
      </c>
      <c r="K6649" s="21" t="n">
        <v>0</v>
      </c>
      <c r="L6649" s="21" t="n">
        <v>0</v>
      </c>
      <c r="M6649" s="21" t="n">
        <v>0</v>
      </c>
      <c r="N6649" s="21">
        <f>$B$5338</f>
        <v/>
      </c>
      <c r="O6649" s="21">
        <f>$B$5340</f>
        <v/>
      </c>
      <c r="P6649" s="21">
        <f>0</f>
        <v/>
      </c>
      <c r="Q6649" s="21">
        <f>2*$B$5339</f>
        <v/>
      </c>
      <c r="R6649" s="21">
        <f>-$B$5338</f>
        <v/>
      </c>
      <c r="S6649" s="21">
        <f>$B$5340</f>
        <v/>
      </c>
      <c r="T6649" s="21" t="n">
        <v>0</v>
      </c>
      <c r="U6649" s="21" t="n">
        <v>0</v>
      </c>
      <c r="V6649" s="21" t="n">
        <v>0</v>
      </c>
      <c r="W6649" s="21" t="n">
        <v>0</v>
      </c>
      <c r="X6649" s="21" t="n">
        <v>0</v>
      </c>
      <c r="Y6649" s="21" t="n">
        <v>0</v>
      </c>
      <c r="Z6649" s="19" t="n"/>
    </row>
    <row r="6650">
      <c r="D6650" s="21" t="n">
        <v>0</v>
      </c>
      <c r="E6650" s="21" t="n">
        <v>0</v>
      </c>
      <c r="F6650" s="21" t="n">
        <v>0</v>
      </c>
      <c r="G6650" s="21" t="n">
        <v>0</v>
      </c>
      <c r="H6650" s="21" t="n">
        <v>0</v>
      </c>
      <c r="I6650" s="21" t="n">
        <v>0</v>
      </c>
      <c r="J6650" s="21" t="n">
        <v>0</v>
      </c>
      <c r="K6650" s="21" t="n">
        <v>0</v>
      </c>
      <c r="L6650" s="21" t="n">
        <v>0</v>
      </c>
      <c r="M6650" s="21" t="n">
        <v>0</v>
      </c>
      <c r="N6650" s="21" t="n">
        <v>0</v>
      </c>
      <c r="O6650" s="21" t="n">
        <v>0</v>
      </c>
      <c r="P6650" s="21">
        <f>-$B$5337</f>
        <v/>
      </c>
      <c r="Q6650" s="21">
        <f>-$B$5338</f>
        <v/>
      </c>
      <c r="R6650" s="21">
        <f>2*$B$5337+$D$6631</f>
        <v/>
      </c>
      <c r="S6650" s="21">
        <f>0</f>
        <v/>
      </c>
      <c r="T6650" s="21">
        <f>-$B$5337</f>
        <v/>
      </c>
      <c r="U6650" s="21">
        <f>$B$5338</f>
        <v/>
      </c>
      <c r="V6650" s="21" t="n">
        <v>0</v>
      </c>
      <c r="W6650" s="21" t="n">
        <v>0</v>
      </c>
      <c r="X6650" s="21" t="n">
        <v>0</v>
      </c>
      <c r="Y6650" s="21" t="n">
        <v>0</v>
      </c>
      <c r="Z6650" s="19" t="n"/>
    </row>
    <row r="6651">
      <c r="D6651" s="21" t="n">
        <v>0</v>
      </c>
      <c r="E6651" s="21" t="n">
        <v>0</v>
      </c>
      <c r="F6651" s="21" t="n">
        <v>0</v>
      </c>
      <c r="G6651" s="21" t="n">
        <v>0</v>
      </c>
      <c r="H6651" s="21" t="n">
        <v>0</v>
      </c>
      <c r="I6651" s="21" t="n">
        <v>0</v>
      </c>
      <c r="J6651" s="21" t="n">
        <v>0</v>
      </c>
      <c r="K6651" s="21" t="n">
        <v>0</v>
      </c>
      <c r="L6651" s="21" t="n">
        <v>0</v>
      </c>
      <c r="M6651" s="21" t="n">
        <v>0</v>
      </c>
      <c r="N6651" s="21" t="n">
        <v>0</v>
      </c>
      <c r="O6651" s="21" t="n">
        <v>0</v>
      </c>
      <c r="P6651" s="21">
        <f>$B$5338</f>
        <v/>
      </c>
      <c r="Q6651" s="21">
        <f>$B$5340</f>
        <v/>
      </c>
      <c r="R6651" s="21">
        <f>0</f>
        <v/>
      </c>
      <c r="S6651" s="21">
        <f>2*$B$5339</f>
        <v/>
      </c>
      <c r="T6651" s="21">
        <f>-$B$5338</f>
        <v/>
      </c>
      <c r="U6651" s="21">
        <f>$B$5340</f>
        <v/>
      </c>
      <c r="V6651" s="21" t="n">
        <v>0</v>
      </c>
      <c r="W6651" s="21" t="n">
        <v>0</v>
      </c>
      <c r="X6651" s="21" t="n">
        <v>0</v>
      </c>
      <c r="Y6651" s="21" t="n">
        <v>0</v>
      </c>
      <c r="Z6651" s="19" t="n"/>
    </row>
    <row r="6652">
      <c r="D6652" s="21" t="n">
        <v>0</v>
      </c>
      <c r="E6652" s="21" t="n">
        <v>0</v>
      </c>
      <c r="F6652" s="21" t="n">
        <v>0</v>
      </c>
      <c r="G6652" s="21" t="n">
        <v>0</v>
      </c>
      <c r="H6652" s="21" t="n">
        <v>0</v>
      </c>
      <c r="I6652" s="21" t="n">
        <v>0</v>
      </c>
      <c r="J6652" s="21" t="n">
        <v>0</v>
      </c>
      <c r="K6652" s="21" t="n">
        <v>0</v>
      </c>
      <c r="L6652" s="21" t="n">
        <v>0</v>
      </c>
      <c r="M6652" s="21" t="n">
        <v>0</v>
      </c>
      <c r="N6652" s="21" t="n">
        <v>0</v>
      </c>
      <c r="O6652" s="21" t="n">
        <v>0</v>
      </c>
      <c r="P6652" s="21" t="n">
        <v>0</v>
      </c>
      <c r="Q6652" s="21" t="n">
        <v>0</v>
      </c>
      <c r="R6652" s="21">
        <f>-$B$5337</f>
        <v/>
      </c>
      <c r="S6652" s="21">
        <f>-$B$5338</f>
        <v/>
      </c>
      <c r="T6652" s="21">
        <f>2*$B$5337+$D$6632</f>
        <v/>
      </c>
      <c r="U6652" s="21">
        <f>0</f>
        <v/>
      </c>
      <c r="V6652" s="21">
        <f>-$B$5337</f>
        <v/>
      </c>
      <c r="W6652" s="21">
        <f>$B$5338</f>
        <v/>
      </c>
      <c r="X6652" s="21" t="n">
        <v>0</v>
      </c>
      <c r="Y6652" s="21" t="n">
        <v>0</v>
      </c>
      <c r="Z6652" s="19" t="n"/>
    </row>
    <row r="6653">
      <c r="D6653" s="21" t="n">
        <v>0</v>
      </c>
      <c r="E6653" s="21" t="n">
        <v>0</v>
      </c>
      <c r="F6653" s="21" t="n">
        <v>0</v>
      </c>
      <c r="G6653" s="21" t="n">
        <v>0</v>
      </c>
      <c r="H6653" s="21" t="n">
        <v>0</v>
      </c>
      <c r="I6653" s="21" t="n">
        <v>0</v>
      </c>
      <c r="J6653" s="21" t="n">
        <v>0</v>
      </c>
      <c r="K6653" s="21" t="n">
        <v>0</v>
      </c>
      <c r="L6653" s="21" t="n">
        <v>0</v>
      </c>
      <c r="M6653" s="21" t="n">
        <v>0</v>
      </c>
      <c r="N6653" s="21" t="n">
        <v>0</v>
      </c>
      <c r="O6653" s="21" t="n">
        <v>0</v>
      </c>
      <c r="P6653" s="21" t="n">
        <v>0</v>
      </c>
      <c r="Q6653" s="21" t="n">
        <v>0</v>
      </c>
      <c r="R6653" s="21">
        <f>$B$5338</f>
        <v/>
      </c>
      <c r="S6653" s="21">
        <f>$B$5340</f>
        <v/>
      </c>
      <c r="T6653" s="21">
        <f>0</f>
        <v/>
      </c>
      <c r="U6653" s="21">
        <f>2*$B$5339</f>
        <v/>
      </c>
      <c r="V6653" s="21">
        <f>-$B$5338</f>
        <v/>
      </c>
      <c r="W6653" s="21">
        <f>$B$5340</f>
        <v/>
      </c>
      <c r="X6653" s="21" t="n">
        <v>0</v>
      </c>
      <c r="Y6653" s="21" t="n">
        <v>0</v>
      </c>
      <c r="Z6653" s="19" t="n"/>
    </row>
    <row r="6654">
      <c r="D6654" s="21" t="n">
        <v>0</v>
      </c>
      <c r="E6654" s="21" t="n">
        <v>0</v>
      </c>
      <c r="F6654" s="21" t="n">
        <v>0</v>
      </c>
      <c r="G6654" s="21" t="n">
        <v>0</v>
      </c>
      <c r="H6654" s="21" t="n">
        <v>0</v>
      </c>
      <c r="I6654" s="21" t="n">
        <v>0</v>
      </c>
      <c r="J6654" s="21" t="n">
        <v>0</v>
      </c>
      <c r="K6654" s="21" t="n">
        <v>0</v>
      </c>
      <c r="L6654" s="21" t="n">
        <v>0</v>
      </c>
      <c r="M6654" s="21" t="n">
        <v>0</v>
      </c>
      <c r="N6654" s="21" t="n">
        <v>0</v>
      </c>
      <c r="O6654" s="21" t="n">
        <v>0</v>
      </c>
      <c r="P6654" s="21" t="n">
        <v>0</v>
      </c>
      <c r="Q6654" s="21" t="n">
        <v>0</v>
      </c>
      <c r="R6654" s="21" t="n">
        <v>0</v>
      </c>
      <c r="S6654" s="21" t="n">
        <v>0</v>
      </c>
      <c r="T6654" s="21">
        <f>-$B$5337</f>
        <v/>
      </c>
      <c r="U6654" s="21">
        <f>-$B$5338</f>
        <v/>
      </c>
      <c r="V6654" s="21">
        <f>2*$B$5337+$D$6633</f>
        <v/>
      </c>
      <c r="W6654" s="21">
        <f>0</f>
        <v/>
      </c>
      <c r="X6654" s="21">
        <f>-$B$5337</f>
        <v/>
      </c>
      <c r="Y6654" s="21">
        <f>$B$5338</f>
        <v/>
      </c>
      <c r="Z6654" s="19" t="n"/>
    </row>
    <row r="6655">
      <c r="D6655" s="21" t="n">
        <v>0</v>
      </c>
      <c r="E6655" s="21" t="n">
        <v>0</v>
      </c>
      <c r="F6655" s="21" t="n">
        <v>0</v>
      </c>
      <c r="G6655" s="21" t="n">
        <v>0</v>
      </c>
      <c r="H6655" s="21" t="n">
        <v>0</v>
      </c>
      <c r="I6655" s="21" t="n">
        <v>0</v>
      </c>
      <c r="J6655" s="21" t="n">
        <v>0</v>
      </c>
      <c r="K6655" s="21" t="n">
        <v>0</v>
      </c>
      <c r="L6655" s="21" t="n">
        <v>0</v>
      </c>
      <c r="M6655" s="21" t="n">
        <v>0</v>
      </c>
      <c r="N6655" s="21" t="n">
        <v>0</v>
      </c>
      <c r="O6655" s="21" t="n">
        <v>0</v>
      </c>
      <c r="P6655" s="21" t="n">
        <v>0</v>
      </c>
      <c r="Q6655" s="21" t="n">
        <v>0</v>
      </c>
      <c r="R6655" s="21" t="n">
        <v>0</v>
      </c>
      <c r="S6655" s="21" t="n">
        <v>0</v>
      </c>
      <c r="T6655" s="21">
        <f>$B$5338</f>
        <v/>
      </c>
      <c r="U6655" s="21">
        <f>$B$5340</f>
        <v/>
      </c>
      <c r="V6655" s="21">
        <f>0</f>
        <v/>
      </c>
      <c r="W6655" s="21">
        <f>2*$B$5339</f>
        <v/>
      </c>
      <c r="X6655" s="21">
        <f>-$B$5338</f>
        <v/>
      </c>
      <c r="Y6655" s="21">
        <f>$B$5340</f>
        <v/>
      </c>
      <c r="Z6655" s="19" t="n"/>
    </row>
    <row r="6656">
      <c r="D6656" s="21" t="n">
        <v>0</v>
      </c>
      <c r="E6656" s="21" t="n">
        <v>0</v>
      </c>
      <c r="F6656" s="21" t="n">
        <v>0</v>
      </c>
      <c r="G6656" s="21" t="n">
        <v>0</v>
      </c>
      <c r="H6656" s="21" t="n">
        <v>0</v>
      </c>
      <c r="I6656" s="21" t="n">
        <v>0</v>
      </c>
      <c r="J6656" s="21" t="n">
        <v>0</v>
      </c>
      <c r="K6656" s="21" t="n">
        <v>0</v>
      </c>
      <c r="L6656" s="21" t="n">
        <v>0</v>
      </c>
      <c r="M6656" s="21" t="n">
        <v>0</v>
      </c>
      <c r="N6656" s="21" t="n">
        <v>0</v>
      </c>
      <c r="O6656" s="21" t="n">
        <v>0</v>
      </c>
      <c r="P6656" s="21" t="n">
        <v>0</v>
      </c>
      <c r="Q6656" s="21" t="n">
        <v>0</v>
      </c>
      <c r="R6656" s="21" t="n">
        <v>0</v>
      </c>
      <c r="S6656" s="21" t="n">
        <v>0</v>
      </c>
      <c r="T6656" s="21" t="n">
        <v>0</v>
      </c>
      <c r="U6656" s="21" t="n">
        <v>0</v>
      </c>
      <c r="V6656" s="21">
        <f>-$B$5337</f>
        <v/>
      </c>
      <c r="W6656" s="21">
        <f>-$B$5338</f>
        <v/>
      </c>
      <c r="X6656" s="21">
        <f>$B$5337+$D$6634</f>
        <v/>
      </c>
      <c r="Y6656" s="21">
        <f>-$B$5338</f>
        <v/>
      </c>
      <c r="Z6656" s="19" t="n"/>
    </row>
    <row r="6657">
      <c r="D6657" s="21" t="n">
        <v>0</v>
      </c>
      <c r="E6657" s="21" t="n">
        <v>0</v>
      </c>
      <c r="F6657" s="21" t="n">
        <v>0</v>
      </c>
      <c r="G6657" s="21" t="n">
        <v>0</v>
      </c>
      <c r="H6657" s="21" t="n">
        <v>0</v>
      </c>
      <c r="I6657" s="21" t="n">
        <v>0</v>
      </c>
      <c r="J6657" s="21" t="n">
        <v>0</v>
      </c>
      <c r="K6657" s="21" t="n">
        <v>0</v>
      </c>
      <c r="L6657" s="21" t="n">
        <v>0</v>
      </c>
      <c r="M6657" s="21" t="n">
        <v>0</v>
      </c>
      <c r="N6657" s="21" t="n">
        <v>0</v>
      </c>
      <c r="O6657" s="21" t="n">
        <v>0</v>
      </c>
      <c r="P6657" s="21" t="n">
        <v>0</v>
      </c>
      <c r="Q6657" s="21" t="n">
        <v>0</v>
      </c>
      <c r="R6657" s="21" t="n">
        <v>0</v>
      </c>
      <c r="S6657" s="21" t="n">
        <v>0</v>
      </c>
      <c r="T6657" s="21" t="n">
        <v>0</v>
      </c>
      <c r="U6657" s="21" t="n">
        <v>0</v>
      </c>
      <c r="V6657" s="21">
        <f>$B$5338</f>
        <v/>
      </c>
      <c r="W6657" s="21">
        <f>$B$5340</f>
        <v/>
      </c>
      <c r="X6657" s="21">
        <f>-$B$5338</f>
        <v/>
      </c>
      <c r="Y6657" s="21">
        <f>$B$5339</f>
        <v/>
      </c>
      <c r="Z6657" s="19" t="n"/>
    </row>
    <row r="6659">
      <c r="A6659" s="8" t="inlineStr">
        <is>
          <t>gen 36</t>
        </is>
      </c>
    </row>
    <row r="6660">
      <c r="D6660" s="19">
        <f>IF(ABS(IF(ABS($E$6624)&gt;0.000000001,$E$6624,0.000000001))=0,0,IF($E$5352&lt;=$B$5346,0,IF(ABS(IF(ABS($E$6624)&gt;0.000000001,$E$6624,0.000000001))&gt;=8*$B$5348,$H$5352,0.5*$H$5352*(ABS(IF(ABS($E$6624)&gt;0.000000001,$E$6624,0.000000001))/$B$5348)^(1/3)))/ABS(IF(ABS($E$6624)&gt;0.000000001,$E$6624,0.000000001))*$I$5352)</f>
        <v/>
      </c>
      <c r="E6660" s="19">
        <f>0.5*$E$6624+0.5*$Z$6672</f>
        <v/>
      </c>
      <c r="F6660" s="19">
        <f>$Z$6673</f>
        <v/>
      </c>
    </row>
    <row r="6661">
      <c r="D6661" s="19">
        <f>IF(ABS(IF(ABS($E$6625)&gt;0.000000001,$E$6625,0.000000001))=0,0,IF($E$5353&lt;=$B$5346,0,IF(ABS(IF(ABS($E$6625)&gt;0.000000001,$E$6625,0.000000001))&gt;=8*$B$5348,$H$5353,0.5*$H$5353*(ABS(IF(ABS($E$6625)&gt;0.000000001,$E$6625,0.000000001))/$B$5348)^(1/3)))/ABS(IF(ABS($E$6625)&gt;0.000000001,$E$6625,0.000000001))*$I$5353)</f>
        <v/>
      </c>
      <c r="E6661" s="19">
        <f>0.5*$E$6625+0.5*$Z$6674</f>
        <v/>
      </c>
      <c r="F6661" s="19">
        <f>$Z$6675</f>
        <v/>
      </c>
    </row>
    <row r="6662">
      <c r="D6662" s="19">
        <f>IF(ABS(IF(ABS($E$6626)&gt;0.000000001,$E$6626,0.000000001))=0,0,IF($E$5354&lt;=$B$5346,0,IF(ABS(IF(ABS($E$6626)&gt;0.000000001,$E$6626,0.000000001))&gt;=8*$B$5348,$H$5354,0.5*$H$5354*(ABS(IF(ABS($E$6626)&gt;0.000000001,$E$6626,0.000000001))/$B$5348)^(1/3)))/ABS(IF(ABS($E$6626)&gt;0.000000001,$E$6626,0.000000001))*$I$5354)</f>
        <v/>
      </c>
      <c r="E6662" s="19">
        <f>0.5*$E$6626+0.5*$Z$6676</f>
        <v/>
      </c>
      <c r="F6662" s="19">
        <f>$Z$6677</f>
        <v/>
      </c>
    </row>
    <row r="6663">
      <c r="D6663" s="19">
        <f>IF(ABS(IF(ABS($E$6627)&gt;0.000000001,$E$6627,0.000000001))=0,0,IF($E$5355&lt;=$B$5346,0,IF(ABS(IF(ABS($E$6627)&gt;0.000000001,$E$6627,0.000000001))&gt;=8*$B$5348,$H$5355,0.5*$H$5355*(ABS(IF(ABS($E$6627)&gt;0.000000001,$E$6627,0.000000001))/$B$5348)^(1/3)))/ABS(IF(ABS($E$6627)&gt;0.000000001,$E$6627,0.000000001))*$I$5355)</f>
        <v/>
      </c>
      <c r="E6663" s="19">
        <f>0.5*$E$6627+0.5*$Z$6678</f>
        <v/>
      </c>
      <c r="F6663" s="19">
        <f>$Z$6679</f>
        <v/>
      </c>
    </row>
    <row r="6664">
      <c r="D6664" s="19">
        <f>IF(ABS(IF(ABS($E$6628)&gt;0.000000001,$E$6628,0.000000001))=0,0,IF($E$5356&lt;=$B$5346,0,IF(ABS(IF(ABS($E$6628)&gt;0.000000001,$E$6628,0.000000001))&gt;=8*$B$5348,$H$5356,0.5*$H$5356*(ABS(IF(ABS($E$6628)&gt;0.000000001,$E$6628,0.000000001))/$B$5348)^(1/3)))/ABS(IF(ABS($E$6628)&gt;0.000000001,$E$6628,0.000000001))*$I$5356)</f>
        <v/>
      </c>
      <c r="E6664" s="19">
        <f>0.5*$E$6628+0.5*$Z$6680</f>
        <v/>
      </c>
      <c r="F6664" s="19">
        <f>$Z$6681</f>
        <v/>
      </c>
    </row>
    <row r="6665">
      <c r="D6665" s="19">
        <f>IF(ABS(IF(ABS($E$6629)&gt;0.000000001,$E$6629,0.000000001))=0,0,IF($E$5357&lt;=$B$5346,0,IF(ABS(IF(ABS($E$6629)&gt;0.000000001,$E$6629,0.000000001))&gt;=8*$B$5348,$H$5357,0.5*$H$5357*(ABS(IF(ABS($E$6629)&gt;0.000000001,$E$6629,0.000000001))/$B$5348)^(1/3)))/ABS(IF(ABS($E$6629)&gt;0.000000001,$E$6629,0.000000001))*$I$5357)</f>
        <v/>
      </c>
      <c r="E6665" s="19">
        <f>0.5*$E$6629+0.5*$Z$6682</f>
        <v/>
      </c>
      <c r="F6665" s="19">
        <f>$Z$6683</f>
        <v/>
      </c>
    </row>
    <row r="6666">
      <c r="D6666" s="19">
        <f>IF(ABS(IF(ABS($E$6630)&gt;0.000000001,$E$6630,0.000000001))=0,0,IF($E$5358&lt;=$B$5346,0,IF(ABS(IF(ABS($E$6630)&gt;0.000000001,$E$6630,0.000000001))&gt;=8*$B$5348,$H$5358,0.5*$H$5358*(ABS(IF(ABS($E$6630)&gt;0.000000001,$E$6630,0.000000001))/$B$5348)^(1/3)))/ABS(IF(ABS($E$6630)&gt;0.000000001,$E$6630,0.000000001))*$I$5358)</f>
        <v/>
      </c>
      <c r="E6666" s="19">
        <f>0.5*$E$6630+0.5*$Z$6684</f>
        <v/>
      </c>
      <c r="F6666" s="19">
        <f>$Z$6685</f>
        <v/>
      </c>
    </row>
    <row r="6667">
      <c r="D6667" s="19">
        <f>IF(ABS(IF(ABS($E$6631)&gt;0.000000001,$E$6631,0.000000001))=0,0,IF($E$5359&lt;=$B$5346,0,IF(ABS(IF(ABS($E$6631)&gt;0.000000001,$E$6631,0.000000001))&gt;=8*$B$5348,$H$5359,0.5*$H$5359*(ABS(IF(ABS($E$6631)&gt;0.000000001,$E$6631,0.000000001))/$B$5348)^(1/3)))/ABS(IF(ABS($E$6631)&gt;0.000000001,$E$6631,0.000000001))*$I$5359)</f>
        <v/>
      </c>
      <c r="E6667" s="19">
        <f>0.5*$E$6631+0.5*$Z$6686</f>
        <v/>
      </c>
      <c r="F6667" s="19">
        <f>$Z$6687</f>
        <v/>
      </c>
    </row>
    <row r="6668">
      <c r="D6668" s="19">
        <f>IF(ABS(IF(ABS($E$6632)&gt;0.000000001,$E$6632,0.000000001))=0,0,IF($E$5360&lt;=$B$5346,0,IF(ABS(IF(ABS($E$6632)&gt;0.000000001,$E$6632,0.000000001))&gt;=8*$B$5348,$H$5360,0.5*$H$5360*(ABS(IF(ABS($E$6632)&gt;0.000000001,$E$6632,0.000000001))/$B$5348)^(1/3)))/ABS(IF(ABS($E$6632)&gt;0.000000001,$E$6632,0.000000001))*$I$5360)</f>
        <v/>
      </c>
      <c r="E6668" s="19">
        <f>0.5*$E$6632+0.5*$Z$6688</f>
        <v/>
      </c>
      <c r="F6668" s="19">
        <f>$Z$6689</f>
        <v/>
      </c>
    </row>
    <row r="6669">
      <c r="D6669" s="19">
        <f>IF(ABS(IF(ABS($E$6633)&gt;0.000000001,$E$6633,0.000000001))=0,0,IF($E$5361&lt;=$B$5346,0,IF(ABS(IF(ABS($E$6633)&gt;0.000000001,$E$6633,0.000000001))&gt;=8*$B$5348,$H$5361,0.5*$H$5361*(ABS(IF(ABS($E$6633)&gt;0.000000001,$E$6633,0.000000001))/$B$5348)^(1/3)))/ABS(IF(ABS($E$6633)&gt;0.000000001,$E$6633,0.000000001))*$I$5361)</f>
        <v/>
      </c>
      <c r="E6669" s="19">
        <f>0.5*$E$6633+0.5*$Z$6690</f>
        <v/>
      </c>
      <c r="F6669" s="19">
        <f>$Z$6691</f>
        <v/>
      </c>
    </row>
    <row r="6670">
      <c r="D6670" s="19">
        <f>IF(ABS(IF(ABS($E$6634)&gt;0.000000001,$E$6634,0.000000001))=0,0,IF($E$5362&lt;=$B$5346,0,IF(ABS(IF(ABS($E$6634)&gt;0.000000001,$E$6634,0.000000001))&gt;=8*$B$5348,$H$5362,0.5*$H$5362*(ABS(IF(ABS($E$6634)&gt;0.000000001,$E$6634,0.000000001))/$B$5348)^(1/3)))/ABS(IF(ABS($E$6634)&gt;0.000000001,$E$6634,0.000000001))*$I$5362)</f>
        <v/>
      </c>
      <c r="E6670" s="19">
        <f>0.5*$E$6634+0.5*$Z$6692</f>
        <v/>
      </c>
      <c r="F6670" s="19">
        <f>$Z$6693</f>
        <v/>
      </c>
    </row>
    <row r="6672">
      <c r="D6672" s="21">
        <f>$B$5337+$D$6660</f>
        <v/>
      </c>
      <c r="E6672" s="21">
        <f>$B$5338</f>
        <v/>
      </c>
      <c r="F6672" s="21">
        <f>-$B$5337</f>
        <v/>
      </c>
      <c r="G6672" s="21">
        <f>$B$5338</f>
        <v/>
      </c>
      <c r="H6672" s="21" t="n">
        <v>0</v>
      </c>
      <c r="I6672" s="21" t="n">
        <v>0</v>
      </c>
      <c r="J6672" s="21" t="n">
        <v>0</v>
      </c>
      <c r="K6672" s="21" t="n">
        <v>0</v>
      </c>
      <c r="L6672" s="21" t="n">
        <v>0</v>
      </c>
      <c r="M6672" s="21" t="n">
        <v>0</v>
      </c>
      <c r="N6672" s="21" t="n">
        <v>0</v>
      </c>
      <c r="O6672" s="21" t="n">
        <v>0</v>
      </c>
      <c r="P6672" s="21" t="n">
        <v>0</v>
      </c>
      <c r="Q6672" s="21" t="n">
        <v>0</v>
      </c>
      <c r="R6672" s="21" t="n">
        <v>0</v>
      </c>
      <c r="S6672" s="21" t="n">
        <v>0</v>
      </c>
      <c r="T6672" s="21" t="n">
        <v>0</v>
      </c>
      <c r="U6672" s="21" t="n">
        <v>0</v>
      </c>
      <c r="V6672" s="21" t="n">
        <v>0</v>
      </c>
      <c r="W6672" s="21" t="n">
        <v>0</v>
      </c>
      <c r="X6672" s="21" t="n">
        <v>0</v>
      </c>
      <c r="Y6672" s="21" t="n">
        <v>0</v>
      </c>
      <c r="Z6672" s="19">
        <f t="array" ref="Z6672:Z6693">MMULT(MINVERSE($D$6672:$Y$6693),$D$5364:$D$5385)</f>
        <v/>
      </c>
    </row>
    <row r="6673">
      <c r="D6673" s="21">
        <f>$B$5338</f>
        <v/>
      </c>
      <c r="E6673" s="21">
        <f>$B$5339</f>
        <v/>
      </c>
      <c r="F6673" s="21">
        <f>-$B$5338</f>
        <v/>
      </c>
      <c r="G6673" s="21">
        <f>$B$5340</f>
        <v/>
      </c>
      <c r="H6673" s="21" t="n">
        <v>0</v>
      </c>
      <c r="I6673" s="21" t="n">
        <v>0</v>
      </c>
      <c r="J6673" s="21" t="n">
        <v>0</v>
      </c>
      <c r="K6673" s="21" t="n">
        <v>0</v>
      </c>
      <c r="L6673" s="21" t="n">
        <v>0</v>
      </c>
      <c r="M6673" s="21" t="n">
        <v>0</v>
      </c>
      <c r="N6673" s="21" t="n">
        <v>0</v>
      </c>
      <c r="O6673" s="21" t="n">
        <v>0</v>
      </c>
      <c r="P6673" s="21" t="n">
        <v>0</v>
      </c>
      <c r="Q6673" s="21" t="n">
        <v>0</v>
      </c>
      <c r="R6673" s="21" t="n">
        <v>0</v>
      </c>
      <c r="S6673" s="21" t="n">
        <v>0</v>
      </c>
      <c r="T6673" s="21" t="n">
        <v>0</v>
      </c>
      <c r="U6673" s="21" t="n">
        <v>0</v>
      </c>
      <c r="V6673" s="21" t="n">
        <v>0</v>
      </c>
      <c r="W6673" s="21" t="n">
        <v>0</v>
      </c>
      <c r="X6673" s="21" t="n">
        <v>0</v>
      </c>
      <c r="Y6673" s="21" t="n">
        <v>0</v>
      </c>
      <c r="Z6673" s="19" t="n"/>
    </row>
    <row r="6674">
      <c r="D6674" s="21">
        <f>-$B$5337</f>
        <v/>
      </c>
      <c r="E6674" s="21">
        <f>-$B$5338</f>
        <v/>
      </c>
      <c r="F6674" s="21">
        <f>2*$B$5337+$D$6661</f>
        <v/>
      </c>
      <c r="G6674" s="21">
        <f>0</f>
        <v/>
      </c>
      <c r="H6674" s="21">
        <f>-$B$5337</f>
        <v/>
      </c>
      <c r="I6674" s="21">
        <f>$B$5338</f>
        <v/>
      </c>
      <c r="J6674" s="21" t="n">
        <v>0</v>
      </c>
      <c r="K6674" s="21" t="n">
        <v>0</v>
      </c>
      <c r="L6674" s="21" t="n">
        <v>0</v>
      </c>
      <c r="M6674" s="21" t="n">
        <v>0</v>
      </c>
      <c r="N6674" s="21" t="n">
        <v>0</v>
      </c>
      <c r="O6674" s="21" t="n">
        <v>0</v>
      </c>
      <c r="P6674" s="21" t="n">
        <v>0</v>
      </c>
      <c r="Q6674" s="21" t="n">
        <v>0</v>
      </c>
      <c r="R6674" s="21" t="n">
        <v>0</v>
      </c>
      <c r="S6674" s="21" t="n">
        <v>0</v>
      </c>
      <c r="T6674" s="21" t="n">
        <v>0</v>
      </c>
      <c r="U6674" s="21" t="n">
        <v>0</v>
      </c>
      <c r="V6674" s="21" t="n">
        <v>0</v>
      </c>
      <c r="W6674" s="21" t="n">
        <v>0</v>
      </c>
      <c r="X6674" s="21" t="n">
        <v>0</v>
      </c>
      <c r="Y6674" s="21" t="n">
        <v>0</v>
      </c>
      <c r="Z6674" s="19" t="n"/>
    </row>
    <row r="6675">
      <c r="D6675" s="21">
        <f>$B$5338</f>
        <v/>
      </c>
      <c r="E6675" s="21">
        <f>$B$5340</f>
        <v/>
      </c>
      <c r="F6675" s="21">
        <f>0</f>
        <v/>
      </c>
      <c r="G6675" s="21">
        <f>2*$B$5339</f>
        <v/>
      </c>
      <c r="H6675" s="21">
        <f>-$B$5338</f>
        <v/>
      </c>
      <c r="I6675" s="21">
        <f>$B$5340</f>
        <v/>
      </c>
      <c r="J6675" s="21" t="n">
        <v>0</v>
      </c>
      <c r="K6675" s="21" t="n">
        <v>0</v>
      </c>
      <c r="L6675" s="21" t="n">
        <v>0</v>
      </c>
      <c r="M6675" s="21" t="n">
        <v>0</v>
      </c>
      <c r="N6675" s="21" t="n">
        <v>0</v>
      </c>
      <c r="O6675" s="21" t="n">
        <v>0</v>
      </c>
      <c r="P6675" s="21" t="n">
        <v>0</v>
      </c>
      <c r="Q6675" s="21" t="n">
        <v>0</v>
      </c>
      <c r="R6675" s="21" t="n">
        <v>0</v>
      </c>
      <c r="S6675" s="21" t="n">
        <v>0</v>
      </c>
      <c r="T6675" s="21" t="n">
        <v>0</v>
      </c>
      <c r="U6675" s="21" t="n">
        <v>0</v>
      </c>
      <c r="V6675" s="21" t="n">
        <v>0</v>
      </c>
      <c r="W6675" s="21" t="n">
        <v>0</v>
      </c>
      <c r="X6675" s="21" t="n">
        <v>0</v>
      </c>
      <c r="Y6675" s="21" t="n">
        <v>0</v>
      </c>
      <c r="Z6675" s="19" t="n"/>
    </row>
    <row r="6676">
      <c r="D6676" s="21" t="n">
        <v>0</v>
      </c>
      <c r="E6676" s="21" t="n">
        <v>0</v>
      </c>
      <c r="F6676" s="21">
        <f>-$B$5337</f>
        <v/>
      </c>
      <c r="G6676" s="21">
        <f>-$B$5338</f>
        <v/>
      </c>
      <c r="H6676" s="21">
        <f>2*$B$5337+$D$6662</f>
        <v/>
      </c>
      <c r="I6676" s="21">
        <f>0</f>
        <v/>
      </c>
      <c r="J6676" s="21">
        <f>-$B$5337</f>
        <v/>
      </c>
      <c r="K6676" s="21">
        <f>$B$5338</f>
        <v/>
      </c>
      <c r="L6676" s="21" t="n">
        <v>0</v>
      </c>
      <c r="M6676" s="21" t="n">
        <v>0</v>
      </c>
      <c r="N6676" s="21" t="n">
        <v>0</v>
      </c>
      <c r="O6676" s="21" t="n">
        <v>0</v>
      </c>
      <c r="P6676" s="21" t="n">
        <v>0</v>
      </c>
      <c r="Q6676" s="21" t="n">
        <v>0</v>
      </c>
      <c r="R6676" s="21" t="n">
        <v>0</v>
      </c>
      <c r="S6676" s="21" t="n">
        <v>0</v>
      </c>
      <c r="T6676" s="21" t="n">
        <v>0</v>
      </c>
      <c r="U6676" s="21" t="n">
        <v>0</v>
      </c>
      <c r="V6676" s="21" t="n">
        <v>0</v>
      </c>
      <c r="W6676" s="21" t="n">
        <v>0</v>
      </c>
      <c r="X6676" s="21" t="n">
        <v>0</v>
      </c>
      <c r="Y6676" s="21" t="n">
        <v>0</v>
      </c>
      <c r="Z6676" s="19" t="n"/>
    </row>
    <row r="6677">
      <c r="D6677" s="21" t="n">
        <v>0</v>
      </c>
      <c r="E6677" s="21" t="n">
        <v>0</v>
      </c>
      <c r="F6677" s="21">
        <f>$B$5338</f>
        <v/>
      </c>
      <c r="G6677" s="21">
        <f>$B$5340</f>
        <v/>
      </c>
      <c r="H6677" s="21">
        <f>0</f>
        <v/>
      </c>
      <c r="I6677" s="21">
        <f>2*$B$5339</f>
        <v/>
      </c>
      <c r="J6677" s="21">
        <f>-$B$5338</f>
        <v/>
      </c>
      <c r="K6677" s="21">
        <f>$B$5340</f>
        <v/>
      </c>
      <c r="L6677" s="21" t="n">
        <v>0</v>
      </c>
      <c r="M6677" s="21" t="n">
        <v>0</v>
      </c>
      <c r="N6677" s="21" t="n">
        <v>0</v>
      </c>
      <c r="O6677" s="21" t="n">
        <v>0</v>
      </c>
      <c r="P6677" s="21" t="n">
        <v>0</v>
      </c>
      <c r="Q6677" s="21" t="n">
        <v>0</v>
      </c>
      <c r="R6677" s="21" t="n">
        <v>0</v>
      </c>
      <c r="S6677" s="21" t="n">
        <v>0</v>
      </c>
      <c r="T6677" s="21" t="n">
        <v>0</v>
      </c>
      <c r="U6677" s="21" t="n">
        <v>0</v>
      </c>
      <c r="V6677" s="21" t="n">
        <v>0</v>
      </c>
      <c r="W6677" s="21" t="n">
        <v>0</v>
      </c>
      <c r="X6677" s="21" t="n">
        <v>0</v>
      </c>
      <c r="Y6677" s="21" t="n">
        <v>0</v>
      </c>
      <c r="Z6677" s="19" t="n"/>
    </row>
    <row r="6678">
      <c r="D6678" s="21" t="n">
        <v>0</v>
      </c>
      <c r="E6678" s="21" t="n">
        <v>0</v>
      </c>
      <c r="F6678" s="21" t="n">
        <v>0</v>
      </c>
      <c r="G6678" s="21" t="n">
        <v>0</v>
      </c>
      <c r="H6678" s="21">
        <f>-$B$5337</f>
        <v/>
      </c>
      <c r="I6678" s="21">
        <f>-$B$5338</f>
        <v/>
      </c>
      <c r="J6678" s="21">
        <f>2*$B$5337+$D$6663</f>
        <v/>
      </c>
      <c r="K6678" s="21">
        <f>0</f>
        <v/>
      </c>
      <c r="L6678" s="21">
        <f>-$B$5337</f>
        <v/>
      </c>
      <c r="M6678" s="21">
        <f>$B$5338</f>
        <v/>
      </c>
      <c r="N6678" s="21" t="n">
        <v>0</v>
      </c>
      <c r="O6678" s="21" t="n">
        <v>0</v>
      </c>
      <c r="P6678" s="21" t="n">
        <v>0</v>
      </c>
      <c r="Q6678" s="21" t="n">
        <v>0</v>
      </c>
      <c r="R6678" s="21" t="n">
        <v>0</v>
      </c>
      <c r="S6678" s="21" t="n">
        <v>0</v>
      </c>
      <c r="T6678" s="21" t="n">
        <v>0</v>
      </c>
      <c r="U6678" s="21" t="n">
        <v>0</v>
      </c>
      <c r="V6678" s="21" t="n">
        <v>0</v>
      </c>
      <c r="W6678" s="21" t="n">
        <v>0</v>
      </c>
      <c r="X6678" s="21" t="n">
        <v>0</v>
      </c>
      <c r="Y6678" s="21" t="n">
        <v>0</v>
      </c>
      <c r="Z6678" s="19" t="n"/>
    </row>
    <row r="6679">
      <c r="D6679" s="21" t="n">
        <v>0</v>
      </c>
      <c r="E6679" s="21" t="n">
        <v>0</v>
      </c>
      <c r="F6679" s="21" t="n">
        <v>0</v>
      </c>
      <c r="G6679" s="21" t="n">
        <v>0</v>
      </c>
      <c r="H6679" s="21">
        <f>$B$5338</f>
        <v/>
      </c>
      <c r="I6679" s="21">
        <f>$B$5340</f>
        <v/>
      </c>
      <c r="J6679" s="21">
        <f>0</f>
        <v/>
      </c>
      <c r="K6679" s="21">
        <f>2*$B$5339</f>
        <v/>
      </c>
      <c r="L6679" s="21">
        <f>-$B$5338</f>
        <v/>
      </c>
      <c r="M6679" s="21">
        <f>$B$5340</f>
        <v/>
      </c>
      <c r="N6679" s="21" t="n">
        <v>0</v>
      </c>
      <c r="O6679" s="21" t="n">
        <v>0</v>
      </c>
      <c r="P6679" s="21" t="n">
        <v>0</v>
      </c>
      <c r="Q6679" s="21" t="n">
        <v>0</v>
      </c>
      <c r="R6679" s="21" t="n">
        <v>0</v>
      </c>
      <c r="S6679" s="21" t="n">
        <v>0</v>
      </c>
      <c r="T6679" s="21" t="n">
        <v>0</v>
      </c>
      <c r="U6679" s="21" t="n">
        <v>0</v>
      </c>
      <c r="V6679" s="21" t="n">
        <v>0</v>
      </c>
      <c r="W6679" s="21" t="n">
        <v>0</v>
      </c>
      <c r="X6679" s="21" t="n">
        <v>0</v>
      </c>
      <c r="Y6679" s="21" t="n">
        <v>0</v>
      </c>
      <c r="Z6679" s="19" t="n"/>
    </row>
    <row r="6680">
      <c r="D6680" s="21" t="n">
        <v>0</v>
      </c>
      <c r="E6680" s="21" t="n">
        <v>0</v>
      </c>
      <c r="F6680" s="21" t="n">
        <v>0</v>
      </c>
      <c r="G6680" s="21" t="n">
        <v>0</v>
      </c>
      <c r="H6680" s="21" t="n">
        <v>0</v>
      </c>
      <c r="I6680" s="21" t="n">
        <v>0</v>
      </c>
      <c r="J6680" s="21">
        <f>-$B$5337</f>
        <v/>
      </c>
      <c r="K6680" s="21">
        <f>-$B$5338</f>
        <v/>
      </c>
      <c r="L6680" s="21">
        <f>2*$B$5337+$D$6664</f>
        <v/>
      </c>
      <c r="M6680" s="21">
        <f>0</f>
        <v/>
      </c>
      <c r="N6680" s="21">
        <f>-$B$5337</f>
        <v/>
      </c>
      <c r="O6680" s="21">
        <f>$B$5338</f>
        <v/>
      </c>
      <c r="P6680" s="21" t="n">
        <v>0</v>
      </c>
      <c r="Q6680" s="21" t="n">
        <v>0</v>
      </c>
      <c r="R6680" s="21" t="n">
        <v>0</v>
      </c>
      <c r="S6680" s="21" t="n">
        <v>0</v>
      </c>
      <c r="T6680" s="21" t="n">
        <v>0</v>
      </c>
      <c r="U6680" s="21" t="n">
        <v>0</v>
      </c>
      <c r="V6680" s="21" t="n">
        <v>0</v>
      </c>
      <c r="W6680" s="21" t="n">
        <v>0</v>
      </c>
      <c r="X6680" s="21" t="n">
        <v>0</v>
      </c>
      <c r="Y6680" s="21" t="n">
        <v>0</v>
      </c>
      <c r="Z6680" s="19" t="n"/>
    </row>
    <row r="6681">
      <c r="D6681" s="21" t="n">
        <v>0</v>
      </c>
      <c r="E6681" s="21" t="n">
        <v>0</v>
      </c>
      <c r="F6681" s="21" t="n">
        <v>0</v>
      </c>
      <c r="G6681" s="21" t="n">
        <v>0</v>
      </c>
      <c r="H6681" s="21" t="n">
        <v>0</v>
      </c>
      <c r="I6681" s="21" t="n">
        <v>0</v>
      </c>
      <c r="J6681" s="21">
        <f>$B$5338</f>
        <v/>
      </c>
      <c r="K6681" s="21">
        <f>$B$5340</f>
        <v/>
      </c>
      <c r="L6681" s="21">
        <f>0</f>
        <v/>
      </c>
      <c r="M6681" s="21">
        <f>2*$B$5339</f>
        <v/>
      </c>
      <c r="N6681" s="21">
        <f>-$B$5338</f>
        <v/>
      </c>
      <c r="O6681" s="21">
        <f>$B$5340</f>
        <v/>
      </c>
      <c r="P6681" s="21" t="n">
        <v>0</v>
      </c>
      <c r="Q6681" s="21" t="n">
        <v>0</v>
      </c>
      <c r="R6681" s="21" t="n">
        <v>0</v>
      </c>
      <c r="S6681" s="21" t="n">
        <v>0</v>
      </c>
      <c r="T6681" s="21" t="n">
        <v>0</v>
      </c>
      <c r="U6681" s="21" t="n">
        <v>0</v>
      </c>
      <c r="V6681" s="21" t="n">
        <v>0</v>
      </c>
      <c r="W6681" s="21" t="n">
        <v>0</v>
      </c>
      <c r="X6681" s="21" t="n">
        <v>0</v>
      </c>
      <c r="Y6681" s="21" t="n">
        <v>0</v>
      </c>
      <c r="Z6681" s="19" t="n"/>
    </row>
    <row r="6682">
      <c r="D6682" s="21" t="n">
        <v>0</v>
      </c>
      <c r="E6682" s="21" t="n">
        <v>0</v>
      </c>
      <c r="F6682" s="21" t="n">
        <v>0</v>
      </c>
      <c r="G6682" s="21" t="n">
        <v>0</v>
      </c>
      <c r="H6682" s="21" t="n">
        <v>0</v>
      </c>
      <c r="I6682" s="21" t="n">
        <v>0</v>
      </c>
      <c r="J6682" s="21" t="n">
        <v>0</v>
      </c>
      <c r="K6682" s="21" t="n">
        <v>0</v>
      </c>
      <c r="L6682" s="21">
        <f>-$B$5337</f>
        <v/>
      </c>
      <c r="M6682" s="21">
        <f>-$B$5338</f>
        <v/>
      </c>
      <c r="N6682" s="21">
        <f>2*$B$5337+$D$6665</f>
        <v/>
      </c>
      <c r="O6682" s="21">
        <f>0</f>
        <v/>
      </c>
      <c r="P6682" s="21">
        <f>-$B$5337</f>
        <v/>
      </c>
      <c r="Q6682" s="21">
        <f>$B$5338</f>
        <v/>
      </c>
      <c r="R6682" s="21" t="n">
        <v>0</v>
      </c>
      <c r="S6682" s="21" t="n">
        <v>0</v>
      </c>
      <c r="T6682" s="21" t="n">
        <v>0</v>
      </c>
      <c r="U6682" s="21" t="n">
        <v>0</v>
      </c>
      <c r="V6682" s="21" t="n">
        <v>0</v>
      </c>
      <c r="W6682" s="21" t="n">
        <v>0</v>
      </c>
      <c r="X6682" s="21" t="n">
        <v>0</v>
      </c>
      <c r="Y6682" s="21" t="n">
        <v>0</v>
      </c>
      <c r="Z6682" s="19" t="n"/>
    </row>
    <row r="6683">
      <c r="D6683" s="21" t="n">
        <v>0</v>
      </c>
      <c r="E6683" s="21" t="n">
        <v>0</v>
      </c>
      <c r="F6683" s="21" t="n">
        <v>0</v>
      </c>
      <c r="G6683" s="21" t="n">
        <v>0</v>
      </c>
      <c r="H6683" s="21" t="n">
        <v>0</v>
      </c>
      <c r="I6683" s="21" t="n">
        <v>0</v>
      </c>
      <c r="J6683" s="21" t="n">
        <v>0</v>
      </c>
      <c r="K6683" s="21" t="n">
        <v>0</v>
      </c>
      <c r="L6683" s="21">
        <f>$B$5338</f>
        <v/>
      </c>
      <c r="M6683" s="21">
        <f>$B$5340</f>
        <v/>
      </c>
      <c r="N6683" s="21">
        <f>0</f>
        <v/>
      </c>
      <c r="O6683" s="21">
        <f>2*$B$5339</f>
        <v/>
      </c>
      <c r="P6683" s="21">
        <f>-$B$5338</f>
        <v/>
      </c>
      <c r="Q6683" s="21">
        <f>$B$5340</f>
        <v/>
      </c>
      <c r="R6683" s="21" t="n">
        <v>0</v>
      </c>
      <c r="S6683" s="21" t="n">
        <v>0</v>
      </c>
      <c r="T6683" s="21" t="n">
        <v>0</v>
      </c>
      <c r="U6683" s="21" t="n">
        <v>0</v>
      </c>
      <c r="V6683" s="21" t="n">
        <v>0</v>
      </c>
      <c r="W6683" s="21" t="n">
        <v>0</v>
      </c>
      <c r="X6683" s="21" t="n">
        <v>0</v>
      </c>
      <c r="Y6683" s="21" t="n">
        <v>0</v>
      </c>
      <c r="Z6683" s="19" t="n"/>
    </row>
    <row r="6684">
      <c r="D6684" s="21" t="n">
        <v>0</v>
      </c>
      <c r="E6684" s="21" t="n">
        <v>0</v>
      </c>
      <c r="F6684" s="21" t="n">
        <v>0</v>
      </c>
      <c r="G6684" s="21" t="n">
        <v>0</v>
      </c>
      <c r="H6684" s="21" t="n">
        <v>0</v>
      </c>
      <c r="I6684" s="21" t="n">
        <v>0</v>
      </c>
      <c r="J6684" s="21" t="n">
        <v>0</v>
      </c>
      <c r="K6684" s="21" t="n">
        <v>0</v>
      </c>
      <c r="L6684" s="21" t="n">
        <v>0</v>
      </c>
      <c r="M6684" s="21" t="n">
        <v>0</v>
      </c>
      <c r="N6684" s="21">
        <f>-$B$5337</f>
        <v/>
      </c>
      <c r="O6684" s="21">
        <f>-$B$5338</f>
        <v/>
      </c>
      <c r="P6684" s="21">
        <f>2*$B$5337+$D$6666</f>
        <v/>
      </c>
      <c r="Q6684" s="21">
        <f>0</f>
        <v/>
      </c>
      <c r="R6684" s="21">
        <f>-$B$5337</f>
        <v/>
      </c>
      <c r="S6684" s="21">
        <f>$B$5338</f>
        <v/>
      </c>
      <c r="T6684" s="21" t="n">
        <v>0</v>
      </c>
      <c r="U6684" s="21" t="n">
        <v>0</v>
      </c>
      <c r="V6684" s="21" t="n">
        <v>0</v>
      </c>
      <c r="W6684" s="21" t="n">
        <v>0</v>
      </c>
      <c r="X6684" s="21" t="n">
        <v>0</v>
      </c>
      <c r="Y6684" s="21" t="n">
        <v>0</v>
      </c>
      <c r="Z6684" s="19" t="n"/>
    </row>
    <row r="6685">
      <c r="D6685" s="21" t="n">
        <v>0</v>
      </c>
      <c r="E6685" s="21" t="n">
        <v>0</v>
      </c>
      <c r="F6685" s="21" t="n">
        <v>0</v>
      </c>
      <c r="G6685" s="21" t="n">
        <v>0</v>
      </c>
      <c r="H6685" s="21" t="n">
        <v>0</v>
      </c>
      <c r="I6685" s="21" t="n">
        <v>0</v>
      </c>
      <c r="J6685" s="21" t="n">
        <v>0</v>
      </c>
      <c r="K6685" s="21" t="n">
        <v>0</v>
      </c>
      <c r="L6685" s="21" t="n">
        <v>0</v>
      </c>
      <c r="M6685" s="21" t="n">
        <v>0</v>
      </c>
      <c r="N6685" s="21">
        <f>$B$5338</f>
        <v/>
      </c>
      <c r="O6685" s="21">
        <f>$B$5340</f>
        <v/>
      </c>
      <c r="P6685" s="21">
        <f>0</f>
        <v/>
      </c>
      <c r="Q6685" s="21">
        <f>2*$B$5339</f>
        <v/>
      </c>
      <c r="R6685" s="21">
        <f>-$B$5338</f>
        <v/>
      </c>
      <c r="S6685" s="21">
        <f>$B$5340</f>
        <v/>
      </c>
      <c r="T6685" s="21" t="n">
        <v>0</v>
      </c>
      <c r="U6685" s="21" t="n">
        <v>0</v>
      </c>
      <c r="V6685" s="21" t="n">
        <v>0</v>
      </c>
      <c r="W6685" s="21" t="n">
        <v>0</v>
      </c>
      <c r="X6685" s="21" t="n">
        <v>0</v>
      </c>
      <c r="Y6685" s="21" t="n">
        <v>0</v>
      </c>
      <c r="Z6685" s="19" t="n"/>
    </row>
    <row r="6686">
      <c r="D6686" s="21" t="n">
        <v>0</v>
      </c>
      <c r="E6686" s="21" t="n">
        <v>0</v>
      </c>
      <c r="F6686" s="21" t="n">
        <v>0</v>
      </c>
      <c r="G6686" s="21" t="n">
        <v>0</v>
      </c>
      <c r="H6686" s="21" t="n">
        <v>0</v>
      </c>
      <c r="I6686" s="21" t="n">
        <v>0</v>
      </c>
      <c r="J6686" s="21" t="n">
        <v>0</v>
      </c>
      <c r="K6686" s="21" t="n">
        <v>0</v>
      </c>
      <c r="L6686" s="21" t="n">
        <v>0</v>
      </c>
      <c r="M6686" s="21" t="n">
        <v>0</v>
      </c>
      <c r="N6686" s="21" t="n">
        <v>0</v>
      </c>
      <c r="O6686" s="21" t="n">
        <v>0</v>
      </c>
      <c r="P6686" s="21">
        <f>-$B$5337</f>
        <v/>
      </c>
      <c r="Q6686" s="21">
        <f>-$B$5338</f>
        <v/>
      </c>
      <c r="R6686" s="21">
        <f>2*$B$5337+$D$6667</f>
        <v/>
      </c>
      <c r="S6686" s="21">
        <f>0</f>
        <v/>
      </c>
      <c r="T6686" s="21">
        <f>-$B$5337</f>
        <v/>
      </c>
      <c r="U6686" s="21">
        <f>$B$5338</f>
        <v/>
      </c>
      <c r="V6686" s="21" t="n">
        <v>0</v>
      </c>
      <c r="W6686" s="21" t="n">
        <v>0</v>
      </c>
      <c r="X6686" s="21" t="n">
        <v>0</v>
      </c>
      <c r="Y6686" s="21" t="n">
        <v>0</v>
      </c>
      <c r="Z6686" s="19" t="n"/>
    </row>
    <row r="6687">
      <c r="D6687" s="21" t="n">
        <v>0</v>
      </c>
      <c r="E6687" s="21" t="n">
        <v>0</v>
      </c>
      <c r="F6687" s="21" t="n">
        <v>0</v>
      </c>
      <c r="G6687" s="21" t="n">
        <v>0</v>
      </c>
      <c r="H6687" s="21" t="n">
        <v>0</v>
      </c>
      <c r="I6687" s="21" t="n">
        <v>0</v>
      </c>
      <c r="J6687" s="21" t="n">
        <v>0</v>
      </c>
      <c r="K6687" s="21" t="n">
        <v>0</v>
      </c>
      <c r="L6687" s="21" t="n">
        <v>0</v>
      </c>
      <c r="M6687" s="21" t="n">
        <v>0</v>
      </c>
      <c r="N6687" s="21" t="n">
        <v>0</v>
      </c>
      <c r="O6687" s="21" t="n">
        <v>0</v>
      </c>
      <c r="P6687" s="21">
        <f>$B$5338</f>
        <v/>
      </c>
      <c r="Q6687" s="21">
        <f>$B$5340</f>
        <v/>
      </c>
      <c r="R6687" s="21">
        <f>0</f>
        <v/>
      </c>
      <c r="S6687" s="21">
        <f>2*$B$5339</f>
        <v/>
      </c>
      <c r="T6687" s="21">
        <f>-$B$5338</f>
        <v/>
      </c>
      <c r="U6687" s="21">
        <f>$B$5340</f>
        <v/>
      </c>
      <c r="V6687" s="21" t="n">
        <v>0</v>
      </c>
      <c r="W6687" s="21" t="n">
        <v>0</v>
      </c>
      <c r="X6687" s="21" t="n">
        <v>0</v>
      </c>
      <c r="Y6687" s="21" t="n">
        <v>0</v>
      </c>
      <c r="Z6687" s="19" t="n"/>
    </row>
    <row r="6688">
      <c r="D6688" s="21" t="n">
        <v>0</v>
      </c>
      <c r="E6688" s="21" t="n">
        <v>0</v>
      </c>
      <c r="F6688" s="21" t="n">
        <v>0</v>
      </c>
      <c r="G6688" s="21" t="n">
        <v>0</v>
      </c>
      <c r="H6688" s="21" t="n">
        <v>0</v>
      </c>
      <c r="I6688" s="21" t="n">
        <v>0</v>
      </c>
      <c r="J6688" s="21" t="n">
        <v>0</v>
      </c>
      <c r="K6688" s="21" t="n">
        <v>0</v>
      </c>
      <c r="L6688" s="21" t="n">
        <v>0</v>
      </c>
      <c r="M6688" s="21" t="n">
        <v>0</v>
      </c>
      <c r="N6688" s="21" t="n">
        <v>0</v>
      </c>
      <c r="O6688" s="21" t="n">
        <v>0</v>
      </c>
      <c r="P6688" s="21" t="n">
        <v>0</v>
      </c>
      <c r="Q6688" s="21" t="n">
        <v>0</v>
      </c>
      <c r="R6688" s="21">
        <f>-$B$5337</f>
        <v/>
      </c>
      <c r="S6688" s="21">
        <f>-$B$5338</f>
        <v/>
      </c>
      <c r="T6688" s="21">
        <f>2*$B$5337+$D$6668</f>
        <v/>
      </c>
      <c r="U6688" s="21">
        <f>0</f>
        <v/>
      </c>
      <c r="V6688" s="21">
        <f>-$B$5337</f>
        <v/>
      </c>
      <c r="W6688" s="21">
        <f>$B$5338</f>
        <v/>
      </c>
      <c r="X6688" s="21" t="n">
        <v>0</v>
      </c>
      <c r="Y6688" s="21" t="n">
        <v>0</v>
      </c>
      <c r="Z6688" s="19" t="n"/>
    </row>
    <row r="6689">
      <c r="D6689" s="21" t="n">
        <v>0</v>
      </c>
      <c r="E6689" s="21" t="n">
        <v>0</v>
      </c>
      <c r="F6689" s="21" t="n">
        <v>0</v>
      </c>
      <c r="G6689" s="21" t="n">
        <v>0</v>
      </c>
      <c r="H6689" s="21" t="n">
        <v>0</v>
      </c>
      <c r="I6689" s="21" t="n">
        <v>0</v>
      </c>
      <c r="J6689" s="21" t="n">
        <v>0</v>
      </c>
      <c r="K6689" s="21" t="n">
        <v>0</v>
      </c>
      <c r="L6689" s="21" t="n">
        <v>0</v>
      </c>
      <c r="M6689" s="21" t="n">
        <v>0</v>
      </c>
      <c r="N6689" s="21" t="n">
        <v>0</v>
      </c>
      <c r="O6689" s="21" t="n">
        <v>0</v>
      </c>
      <c r="P6689" s="21" t="n">
        <v>0</v>
      </c>
      <c r="Q6689" s="21" t="n">
        <v>0</v>
      </c>
      <c r="R6689" s="21">
        <f>$B$5338</f>
        <v/>
      </c>
      <c r="S6689" s="21">
        <f>$B$5340</f>
        <v/>
      </c>
      <c r="T6689" s="21">
        <f>0</f>
        <v/>
      </c>
      <c r="U6689" s="21">
        <f>2*$B$5339</f>
        <v/>
      </c>
      <c r="V6689" s="21">
        <f>-$B$5338</f>
        <v/>
      </c>
      <c r="W6689" s="21">
        <f>$B$5340</f>
        <v/>
      </c>
      <c r="X6689" s="21" t="n">
        <v>0</v>
      </c>
      <c r="Y6689" s="21" t="n">
        <v>0</v>
      </c>
      <c r="Z6689" s="19" t="n"/>
    </row>
    <row r="6690">
      <c r="D6690" s="21" t="n">
        <v>0</v>
      </c>
      <c r="E6690" s="21" t="n">
        <v>0</v>
      </c>
      <c r="F6690" s="21" t="n">
        <v>0</v>
      </c>
      <c r="G6690" s="21" t="n">
        <v>0</v>
      </c>
      <c r="H6690" s="21" t="n">
        <v>0</v>
      </c>
      <c r="I6690" s="21" t="n">
        <v>0</v>
      </c>
      <c r="J6690" s="21" t="n">
        <v>0</v>
      </c>
      <c r="K6690" s="21" t="n">
        <v>0</v>
      </c>
      <c r="L6690" s="21" t="n">
        <v>0</v>
      </c>
      <c r="M6690" s="21" t="n">
        <v>0</v>
      </c>
      <c r="N6690" s="21" t="n">
        <v>0</v>
      </c>
      <c r="O6690" s="21" t="n">
        <v>0</v>
      </c>
      <c r="P6690" s="21" t="n">
        <v>0</v>
      </c>
      <c r="Q6690" s="21" t="n">
        <v>0</v>
      </c>
      <c r="R6690" s="21" t="n">
        <v>0</v>
      </c>
      <c r="S6690" s="21" t="n">
        <v>0</v>
      </c>
      <c r="T6690" s="21">
        <f>-$B$5337</f>
        <v/>
      </c>
      <c r="U6690" s="21">
        <f>-$B$5338</f>
        <v/>
      </c>
      <c r="V6690" s="21">
        <f>2*$B$5337+$D$6669</f>
        <v/>
      </c>
      <c r="W6690" s="21">
        <f>0</f>
        <v/>
      </c>
      <c r="X6690" s="21">
        <f>-$B$5337</f>
        <v/>
      </c>
      <c r="Y6690" s="21">
        <f>$B$5338</f>
        <v/>
      </c>
      <c r="Z6690" s="19" t="n"/>
    </row>
    <row r="6691">
      <c r="D6691" s="21" t="n">
        <v>0</v>
      </c>
      <c r="E6691" s="21" t="n">
        <v>0</v>
      </c>
      <c r="F6691" s="21" t="n">
        <v>0</v>
      </c>
      <c r="G6691" s="21" t="n">
        <v>0</v>
      </c>
      <c r="H6691" s="21" t="n">
        <v>0</v>
      </c>
      <c r="I6691" s="21" t="n">
        <v>0</v>
      </c>
      <c r="J6691" s="21" t="n">
        <v>0</v>
      </c>
      <c r="K6691" s="21" t="n">
        <v>0</v>
      </c>
      <c r="L6691" s="21" t="n">
        <v>0</v>
      </c>
      <c r="M6691" s="21" t="n">
        <v>0</v>
      </c>
      <c r="N6691" s="21" t="n">
        <v>0</v>
      </c>
      <c r="O6691" s="21" t="n">
        <v>0</v>
      </c>
      <c r="P6691" s="21" t="n">
        <v>0</v>
      </c>
      <c r="Q6691" s="21" t="n">
        <v>0</v>
      </c>
      <c r="R6691" s="21" t="n">
        <v>0</v>
      </c>
      <c r="S6691" s="21" t="n">
        <v>0</v>
      </c>
      <c r="T6691" s="21">
        <f>$B$5338</f>
        <v/>
      </c>
      <c r="U6691" s="21">
        <f>$B$5340</f>
        <v/>
      </c>
      <c r="V6691" s="21">
        <f>0</f>
        <v/>
      </c>
      <c r="W6691" s="21">
        <f>2*$B$5339</f>
        <v/>
      </c>
      <c r="X6691" s="21">
        <f>-$B$5338</f>
        <v/>
      </c>
      <c r="Y6691" s="21">
        <f>$B$5340</f>
        <v/>
      </c>
      <c r="Z6691" s="19" t="n"/>
    </row>
    <row r="6692">
      <c r="D6692" s="21" t="n">
        <v>0</v>
      </c>
      <c r="E6692" s="21" t="n">
        <v>0</v>
      </c>
      <c r="F6692" s="21" t="n">
        <v>0</v>
      </c>
      <c r="G6692" s="21" t="n">
        <v>0</v>
      </c>
      <c r="H6692" s="21" t="n">
        <v>0</v>
      </c>
      <c r="I6692" s="21" t="n">
        <v>0</v>
      </c>
      <c r="J6692" s="21" t="n">
        <v>0</v>
      </c>
      <c r="K6692" s="21" t="n">
        <v>0</v>
      </c>
      <c r="L6692" s="21" t="n">
        <v>0</v>
      </c>
      <c r="M6692" s="21" t="n">
        <v>0</v>
      </c>
      <c r="N6692" s="21" t="n">
        <v>0</v>
      </c>
      <c r="O6692" s="21" t="n">
        <v>0</v>
      </c>
      <c r="P6692" s="21" t="n">
        <v>0</v>
      </c>
      <c r="Q6692" s="21" t="n">
        <v>0</v>
      </c>
      <c r="R6692" s="21" t="n">
        <v>0</v>
      </c>
      <c r="S6692" s="21" t="n">
        <v>0</v>
      </c>
      <c r="T6692" s="21" t="n">
        <v>0</v>
      </c>
      <c r="U6692" s="21" t="n">
        <v>0</v>
      </c>
      <c r="V6692" s="21">
        <f>-$B$5337</f>
        <v/>
      </c>
      <c r="W6692" s="21">
        <f>-$B$5338</f>
        <v/>
      </c>
      <c r="X6692" s="21">
        <f>$B$5337+$D$6670</f>
        <v/>
      </c>
      <c r="Y6692" s="21">
        <f>-$B$5338</f>
        <v/>
      </c>
      <c r="Z6692" s="19" t="n"/>
    </row>
    <row r="6693">
      <c r="D6693" s="21" t="n">
        <v>0</v>
      </c>
      <c r="E6693" s="21" t="n">
        <v>0</v>
      </c>
      <c r="F6693" s="21" t="n">
        <v>0</v>
      </c>
      <c r="G6693" s="21" t="n">
        <v>0</v>
      </c>
      <c r="H6693" s="21" t="n">
        <v>0</v>
      </c>
      <c r="I6693" s="21" t="n">
        <v>0</v>
      </c>
      <c r="J6693" s="21" t="n">
        <v>0</v>
      </c>
      <c r="K6693" s="21" t="n">
        <v>0</v>
      </c>
      <c r="L6693" s="21" t="n">
        <v>0</v>
      </c>
      <c r="M6693" s="21" t="n">
        <v>0</v>
      </c>
      <c r="N6693" s="21" t="n">
        <v>0</v>
      </c>
      <c r="O6693" s="21" t="n">
        <v>0</v>
      </c>
      <c r="P6693" s="21" t="n">
        <v>0</v>
      </c>
      <c r="Q6693" s="21" t="n">
        <v>0</v>
      </c>
      <c r="R6693" s="21" t="n">
        <v>0</v>
      </c>
      <c r="S6693" s="21" t="n">
        <v>0</v>
      </c>
      <c r="T6693" s="21" t="n">
        <v>0</v>
      </c>
      <c r="U6693" s="21" t="n">
        <v>0</v>
      </c>
      <c r="V6693" s="21">
        <f>$B$5338</f>
        <v/>
      </c>
      <c r="W6693" s="21">
        <f>$B$5340</f>
        <v/>
      </c>
      <c r="X6693" s="21">
        <f>-$B$5338</f>
        <v/>
      </c>
      <c r="Y6693" s="21">
        <f>$B$5339</f>
        <v/>
      </c>
      <c r="Z6693" s="19" t="n"/>
    </row>
    <row r="6695">
      <c r="A6695" s="8" t="inlineStr">
        <is>
          <t>gen 37</t>
        </is>
      </c>
    </row>
    <row r="6696">
      <c r="D6696" s="19">
        <f>IF(ABS(IF(ABS($E$6660)&gt;0.000000001,$E$6660,0.000000001))=0,0,IF($E$5352&lt;=$B$5346,0,IF(ABS(IF(ABS($E$6660)&gt;0.000000001,$E$6660,0.000000001))&gt;=8*$B$5348,$H$5352,0.5*$H$5352*(ABS(IF(ABS($E$6660)&gt;0.000000001,$E$6660,0.000000001))/$B$5348)^(1/3)))/ABS(IF(ABS($E$6660)&gt;0.000000001,$E$6660,0.000000001))*$I$5352)</f>
        <v/>
      </c>
      <c r="E6696" s="19">
        <f>0.5*$E$6660+0.5*$Z$6708</f>
        <v/>
      </c>
      <c r="F6696" s="19">
        <f>$Z$6709</f>
        <v/>
      </c>
    </row>
    <row r="6697">
      <c r="D6697" s="19">
        <f>IF(ABS(IF(ABS($E$6661)&gt;0.000000001,$E$6661,0.000000001))=0,0,IF($E$5353&lt;=$B$5346,0,IF(ABS(IF(ABS($E$6661)&gt;0.000000001,$E$6661,0.000000001))&gt;=8*$B$5348,$H$5353,0.5*$H$5353*(ABS(IF(ABS($E$6661)&gt;0.000000001,$E$6661,0.000000001))/$B$5348)^(1/3)))/ABS(IF(ABS($E$6661)&gt;0.000000001,$E$6661,0.000000001))*$I$5353)</f>
        <v/>
      </c>
      <c r="E6697" s="19">
        <f>0.5*$E$6661+0.5*$Z$6710</f>
        <v/>
      </c>
      <c r="F6697" s="19">
        <f>$Z$6711</f>
        <v/>
      </c>
    </row>
    <row r="6698">
      <c r="D6698" s="19">
        <f>IF(ABS(IF(ABS($E$6662)&gt;0.000000001,$E$6662,0.000000001))=0,0,IF($E$5354&lt;=$B$5346,0,IF(ABS(IF(ABS($E$6662)&gt;0.000000001,$E$6662,0.000000001))&gt;=8*$B$5348,$H$5354,0.5*$H$5354*(ABS(IF(ABS($E$6662)&gt;0.000000001,$E$6662,0.000000001))/$B$5348)^(1/3)))/ABS(IF(ABS($E$6662)&gt;0.000000001,$E$6662,0.000000001))*$I$5354)</f>
        <v/>
      </c>
      <c r="E6698" s="19">
        <f>0.5*$E$6662+0.5*$Z$6712</f>
        <v/>
      </c>
      <c r="F6698" s="19">
        <f>$Z$6713</f>
        <v/>
      </c>
    </row>
    <row r="6699">
      <c r="D6699" s="19">
        <f>IF(ABS(IF(ABS($E$6663)&gt;0.000000001,$E$6663,0.000000001))=0,0,IF($E$5355&lt;=$B$5346,0,IF(ABS(IF(ABS($E$6663)&gt;0.000000001,$E$6663,0.000000001))&gt;=8*$B$5348,$H$5355,0.5*$H$5355*(ABS(IF(ABS($E$6663)&gt;0.000000001,$E$6663,0.000000001))/$B$5348)^(1/3)))/ABS(IF(ABS($E$6663)&gt;0.000000001,$E$6663,0.000000001))*$I$5355)</f>
        <v/>
      </c>
      <c r="E6699" s="19">
        <f>0.5*$E$6663+0.5*$Z$6714</f>
        <v/>
      </c>
      <c r="F6699" s="19">
        <f>$Z$6715</f>
        <v/>
      </c>
    </row>
    <row r="6700">
      <c r="D6700" s="19">
        <f>IF(ABS(IF(ABS($E$6664)&gt;0.000000001,$E$6664,0.000000001))=0,0,IF($E$5356&lt;=$B$5346,0,IF(ABS(IF(ABS($E$6664)&gt;0.000000001,$E$6664,0.000000001))&gt;=8*$B$5348,$H$5356,0.5*$H$5356*(ABS(IF(ABS($E$6664)&gt;0.000000001,$E$6664,0.000000001))/$B$5348)^(1/3)))/ABS(IF(ABS($E$6664)&gt;0.000000001,$E$6664,0.000000001))*$I$5356)</f>
        <v/>
      </c>
      <c r="E6700" s="19">
        <f>0.5*$E$6664+0.5*$Z$6716</f>
        <v/>
      </c>
      <c r="F6700" s="19">
        <f>$Z$6717</f>
        <v/>
      </c>
    </row>
    <row r="6701">
      <c r="D6701" s="19">
        <f>IF(ABS(IF(ABS($E$6665)&gt;0.000000001,$E$6665,0.000000001))=0,0,IF($E$5357&lt;=$B$5346,0,IF(ABS(IF(ABS($E$6665)&gt;0.000000001,$E$6665,0.000000001))&gt;=8*$B$5348,$H$5357,0.5*$H$5357*(ABS(IF(ABS($E$6665)&gt;0.000000001,$E$6665,0.000000001))/$B$5348)^(1/3)))/ABS(IF(ABS($E$6665)&gt;0.000000001,$E$6665,0.000000001))*$I$5357)</f>
        <v/>
      </c>
      <c r="E6701" s="19">
        <f>0.5*$E$6665+0.5*$Z$6718</f>
        <v/>
      </c>
      <c r="F6701" s="19">
        <f>$Z$6719</f>
        <v/>
      </c>
    </row>
    <row r="6702">
      <c r="D6702" s="19">
        <f>IF(ABS(IF(ABS($E$6666)&gt;0.000000001,$E$6666,0.000000001))=0,0,IF($E$5358&lt;=$B$5346,0,IF(ABS(IF(ABS($E$6666)&gt;0.000000001,$E$6666,0.000000001))&gt;=8*$B$5348,$H$5358,0.5*$H$5358*(ABS(IF(ABS($E$6666)&gt;0.000000001,$E$6666,0.000000001))/$B$5348)^(1/3)))/ABS(IF(ABS($E$6666)&gt;0.000000001,$E$6666,0.000000001))*$I$5358)</f>
        <v/>
      </c>
      <c r="E6702" s="19">
        <f>0.5*$E$6666+0.5*$Z$6720</f>
        <v/>
      </c>
      <c r="F6702" s="19">
        <f>$Z$6721</f>
        <v/>
      </c>
    </row>
    <row r="6703">
      <c r="D6703" s="19">
        <f>IF(ABS(IF(ABS($E$6667)&gt;0.000000001,$E$6667,0.000000001))=0,0,IF($E$5359&lt;=$B$5346,0,IF(ABS(IF(ABS($E$6667)&gt;0.000000001,$E$6667,0.000000001))&gt;=8*$B$5348,$H$5359,0.5*$H$5359*(ABS(IF(ABS($E$6667)&gt;0.000000001,$E$6667,0.000000001))/$B$5348)^(1/3)))/ABS(IF(ABS($E$6667)&gt;0.000000001,$E$6667,0.000000001))*$I$5359)</f>
        <v/>
      </c>
      <c r="E6703" s="19">
        <f>0.5*$E$6667+0.5*$Z$6722</f>
        <v/>
      </c>
      <c r="F6703" s="19">
        <f>$Z$6723</f>
        <v/>
      </c>
    </row>
    <row r="6704">
      <c r="D6704" s="19">
        <f>IF(ABS(IF(ABS($E$6668)&gt;0.000000001,$E$6668,0.000000001))=0,0,IF($E$5360&lt;=$B$5346,0,IF(ABS(IF(ABS($E$6668)&gt;0.000000001,$E$6668,0.000000001))&gt;=8*$B$5348,$H$5360,0.5*$H$5360*(ABS(IF(ABS($E$6668)&gt;0.000000001,$E$6668,0.000000001))/$B$5348)^(1/3)))/ABS(IF(ABS($E$6668)&gt;0.000000001,$E$6668,0.000000001))*$I$5360)</f>
        <v/>
      </c>
      <c r="E6704" s="19">
        <f>0.5*$E$6668+0.5*$Z$6724</f>
        <v/>
      </c>
      <c r="F6704" s="19">
        <f>$Z$6725</f>
        <v/>
      </c>
    </row>
    <row r="6705">
      <c r="D6705" s="19">
        <f>IF(ABS(IF(ABS($E$6669)&gt;0.000000001,$E$6669,0.000000001))=0,0,IF($E$5361&lt;=$B$5346,0,IF(ABS(IF(ABS($E$6669)&gt;0.000000001,$E$6669,0.000000001))&gt;=8*$B$5348,$H$5361,0.5*$H$5361*(ABS(IF(ABS($E$6669)&gt;0.000000001,$E$6669,0.000000001))/$B$5348)^(1/3)))/ABS(IF(ABS($E$6669)&gt;0.000000001,$E$6669,0.000000001))*$I$5361)</f>
        <v/>
      </c>
      <c r="E6705" s="19">
        <f>0.5*$E$6669+0.5*$Z$6726</f>
        <v/>
      </c>
      <c r="F6705" s="19">
        <f>$Z$6727</f>
        <v/>
      </c>
    </row>
    <row r="6706">
      <c r="D6706" s="19">
        <f>IF(ABS(IF(ABS($E$6670)&gt;0.000000001,$E$6670,0.000000001))=0,0,IF($E$5362&lt;=$B$5346,0,IF(ABS(IF(ABS($E$6670)&gt;0.000000001,$E$6670,0.000000001))&gt;=8*$B$5348,$H$5362,0.5*$H$5362*(ABS(IF(ABS($E$6670)&gt;0.000000001,$E$6670,0.000000001))/$B$5348)^(1/3)))/ABS(IF(ABS($E$6670)&gt;0.000000001,$E$6670,0.000000001))*$I$5362)</f>
        <v/>
      </c>
      <c r="E6706" s="19">
        <f>0.5*$E$6670+0.5*$Z$6728</f>
        <v/>
      </c>
      <c r="F6706" s="19">
        <f>$Z$6729</f>
        <v/>
      </c>
    </row>
    <row r="6708">
      <c r="D6708" s="21">
        <f>$B$5337+$D$6696</f>
        <v/>
      </c>
      <c r="E6708" s="21">
        <f>$B$5338</f>
        <v/>
      </c>
      <c r="F6708" s="21">
        <f>-$B$5337</f>
        <v/>
      </c>
      <c r="G6708" s="21">
        <f>$B$5338</f>
        <v/>
      </c>
      <c r="H6708" s="21" t="n">
        <v>0</v>
      </c>
      <c r="I6708" s="21" t="n">
        <v>0</v>
      </c>
      <c r="J6708" s="21" t="n">
        <v>0</v>
      </c>
      <c r="K6708" s="21" t="n">
        <v>0</v>
      </c>
      <c r="L6708" s="21" t="n">
        <v>0</v>
      </c>
      <c r="M6708" s="21" t="n">
        <v>0</v>
      </c>
      <c r="N6708" s="21" t="n">
        <v>0</v>
      </c>
      <c r="O6708" s="21" t="n">
        <v>0</v>
      </c>
      <c r="P6708" s="21" t="n">
        <v>0</v>
      </c>
      <c r="Q6708" s="21" t="n">
        <v>0</v>
      </c>
      <c r="R6708" s="21" t="n">
        <v>0</v>
      </c>
      <c r="S6708" s="21" t="n">
        <v>0</v>
      </c>
      <c r="T6708" s="21" t="n">
        <v>0</v>
      </c>
      <c r="U6708" s="21" t="n">
        <v>0</v>
      </c>
      <c r="V6708" s="21" t="n">
        <v>0</v>
      </c>
      <c r="W6708" s="21" t="n">
        <v>0</v>
      </c>
      <c r="X6708" s="21" t="n">
        <v>0</v>
      </c>
      <c r="Y6708" s="21" t="n">
        <v>0</v>
      </c>
      <c r="Z6708" s="19">
        <f t="array" ref="Z6708:Z6729">MMULT(MINVERSE($D$6708:$Y$6729),$D$5364:$D$5385)</f>
        <v/>
      </c>
    </row>
    <row r="6709">
      <c r="D6709" s="21">
        <f>$B$5338</f>
        <v/>
      </c>
      <c r="E6709" s="21">
        <f>$B$5339</f>
        <v/>
      </c>
      <c r="F6709" s="21">
        <f>-$B$5338</f>
        <v/>
      </c>
      <c r="G6709" s="21">
        <f>$B$5340</f>
        <v/>
      </c>
      <c r="H6709" s="21" t="n">
        <v>0</v>
      </c>
      <c r="I6709" s="21" t="n">
        <v>0</v>
      </c>
      <c r="J6709" s="21" t="n">
        <v>0</v>
      </c>
      <c r="K6709" s="21" t="n">
        <v>0</v>
      </c>
      <c r="L6709" s="21" t="n">
        <v>0</v>
      </c>
      <c r="M6709" s="21" t="n">
        <v>0</v>
      </c>
      <c r="N6709" s="21" t="n">
        <v>0</v>
      </c>
      <c r="O6709" s="21" t="n">
        <v>0</v>
      </c>
      <c r="P6709" s="21" t="n">
        <v>0</v>
      </c>
      <c r="Q6709" s="21" t="n">
        <v>0</v>
      </c>
      <c r="R6709" s="21" t="n">
        <v>0</v>
      </c>
      <c r="S6709" s="21" t="n">
        <v>0</v>
      </c>
      <c r="T6709" s="21" t="n">
        <v>0</v>
      </c>
      <c r="U6709" s="21" t="n">
        <v>0</v>
      </c>
      <c r="V6709" s="21" t="n">
        <v>0</v>
      </c>
      <c r="W6709" s="21" t="n">
        <v>0</v>
      </c>
      <c r="X6709" s="21" t="n">
        <v>0</v>
      </c>
      <c r="Y6709" s="21" t="n">
        <v>0</v>
      </c>
      <c r="Z6709" s="19" t="n"/>
    </row>
    <row r="6710">
      <c r="D6710" s="21">
        <f>-$B$5337</f>
        <v/>
      </c>
      <c r="E6710" s="21">
        <f>-$B$5338</f>
        <v/>
      </c>
      <c r="F6710" s="21">
        <f>2*$B$5337+$D$6697</f>
        <v/>
      </c>
      <c r="G6710" s="21">
        <f>0</f>
        <v/>
      </c>
      <c r="H6710" s="21">
        <f>-$B$5337</f>
        <v/>
      </c>
      <c r="I6710" s="21">
        <f>$B$5338</f>
        <v/>
      </c>
      <c r="J6710" s="21" t="n">
        <v>0</v>
      </c>
      <c r="K6710" s="21" t="n">
        <v>0</v>
      </c>
      <c r="L6710" s="21" t="n">
        <v>0</v>
      </c>
      <c r="M6710" s="21" t="n">
        <v>0</v>
      </c>
      <c r="N6710" s="21" t="n">
        <v>0</v>
      </c>
      <c r="O6710" s="21" t="n">
        <v>0</v>
      </c>
      <c r="P6710" s="21" t="n">
        <v>0</v>
      </c>
      <c r="Q6710" s="21" t="n">
        <v>0</v>
      </c>
      <c r="R6710" s="21" t="n">
        <v>0</v>
      </c>
      <c r="S6710" s="21" t="n">
        <v>0</v>
      </c>
      <c r="T6710" s="21" t="n">
        <v>0</v>
      </c>
      <c r="U6710" s="21" t="n">
        <v>0</v>
      </c>
      <c r="V6710" s="21" t="n">
        <v>0</v>
      </c>
      <c r="W6710" s="21" t="n">
        <v>0</v>
      </c>
      <c r="X6710" s="21" t="n">
        <v>0</v>
      </c>
      <c r="Y6710" s="21" t="n">
        <v>0</v>
      </c>
      <c r="Z6710" s="19" t="n"/>
    </row>
    <row r="6711">
      <c r="D6711" s="21">
        <f>$B$5338</f>
        <v/>
      </c>
      <c r="E6711" s="21">
        <f>$B$5340</f>
        <v/>
      </c>
      <c r="F6711" s="21">
        <f>0</f>
        <v/>
      </c>
      <c r="G6711" s="21">
        <f>2*$B$5339</f>
        <v/>
      </c>
      <c r="H6711" s="21">
        <f>-$B$5338</f>
        <v/>
      </c>
      <c r="I6711" s="21">
        <f>$B$5340</f>
        <v/>
      </c>
      <c r="J6711" s="21" t="n">
        <v>0</v>
      </c>
      <c r="K6711" s="21" t="n">
        <v>0</v>
      </c>
      <c r="L6711" s="21" t="n">
        <v>0</v>
      </c>
      <c r="M6711" s="21" t="n">
        <v>0</v>
      </c>
      <c r="N6711" s="21" t="n">
        <v>0</v>
      </c>
      <c r="O6711" s="21" t="n">
        <v>0</v>
      </c>
      <c r="P6711" s="21" t="n">
        <v>0</v>
      </c>
      <c r="Q6711" s="21" t="n">
        <v>0</v>
      </c>
      <c r="R6711" s="21" t="n">
        <v>0</v>
      </c>
      <c r="S6711" s="21" t="n">
        <v>0</v>
      </c>
      <c r="T6711" s="21" t="n">
        <v>0</v>
      </c>
      <c r="U6711" s="21" t="n">
        <v>0</v>
      </c>
      <c r="V6711" s="21" t="n">
        <v>0</v>
      </c>
      <c r="W6711" s="21" t="n">
        <v>0</v>
      </c>
      <c r="X6711" s="21" t="n">
        <v>0</v>
      </c>
      <c r="Y6711" s="21" t="n">
        <v>0</v>
      </c>
      <c r="Z6711" s="19" t="n"/>
    </row>
    <row r="6712">
      <c r="D6712" s="21" t="n">
        <v>0</v>
      </c>
      <c r="E6712" s="21" t="n">
        <v>0</v>
      </c>
      <c r="F6712" s="21">
        <f>-$B$5337</f>
        <v/>
      </c>
      <c r="G6712" s="21">
        <f>-$B$5338</f>
        <v/>
      </c>
      <c r="H6712" s="21">
        <f>2*$B$5337+$D$6698</f>
        <v/>
      </c>
      <c r="I6712" s="21">
        <f>0</f>
        <v/>
      </c>
      <c r="J6712" s="21">
        <f>-$B$5337</f>
        <v/>
      </c>
      <c r="K6712" s="21">
        <f>$B$5338</f>
        <v/>
      </c>
      <c r="L6712" s="21" t="n">
        <v>0</v>
      </c>
      <c r="M6712" s="21" t="n">
        <v>0</v>
      </c>
      <c r="N6712" s="21" t="n">
        <v>0</v>
      </c>
      <c r="O6712" s="21" t="n">
        <v>0</v>
      </c>
      <c r="P6712" s="21" t="n">
        <v>0</v>
      </c>
      <c r="Q6712" s="21" t="n">
        <v>0</v>
      </c>
      <c r="R6712" s="21" t="n">
        <v>0</v>
      </c>
      <c r="S6712" s="21" t="n">
        <v>0</v>
      </c>
      <c r="T6712" s="21" t="n">
        <v>0</v>
      </c>
      <c r="U6712" s="21" t="n">
        <v>0</v>
      </c>
      <c r="V6712" s="21" t="n">
        <v>0</v>
      </c>
      <c r="W6712" s="21" t="n">
        <v>0</v>
      </c>
      <c r="X6712" s="21" t="n">
        <v>0</v>
      </c>
      <c r="Y6712" s="21" t="n">
        <v>0</v>
      </c>
      <c r="Z6712" s="19" t="n"/>
    </row>
    <row r="6713">
      <c r="D6713" s="21" t="n">
        <v>0</v>
      </c>
      <c r="E6713" s="21" t="n">
        <v>0</v>
      </c>
      <c r="F6713" s="21">
        <f>$B$5338</f>
        <v/>
      </c>
      <c r="G6713" s="21">
        <f>$B$5340</f>
        <v/>
      </c>
      <c r="H6713" s="21">
        <f>0</f>
        <v/>
      </c>
      <c r="I6713" s="21">
        <f>2*$B$5339</f>
        <v/>
      </c>
      <c r="J6713" s="21">
        <f>-$B$5338</f>
        <v/>
      </c>
      <c r="K6713" s="21">
        <f>$B$5340</f>
        <v/>
      </c>
      <c r="L6713" s="21" t="n">
        <v>0</v>
      </c>
      <c r="M6713" s="21" t="n">
        <v>0</v>
      </c>
      <c r="N6713" s="21" t="n">
        <v>0</v>
      </c>
      <c r="O6713" s="21" t="n">
        <v>0</v>
      </c>
      <c r="P6713" s="21" t="n">
        <v>0</v>
      </c>
      <c r="Q6713" s="21" t="n">
        <v>0</v>
      </c>
      <c r="R6713" s="21" t="n">
        <v>0</v>
      </c>
      <c r="S6713" s="21" t="n">
        <v>0</v>
      </c>
      <c r="T6713" s="21" t="n">
        <v>0</v>
      </c>
      <c r="U6713" s="21" t="n">
        <v>0</v>
      </c>
      <c r="V6713" s="21" t="n">
        <v>0</v>
      </c>
      <c r="W6713" s="21" t="n">
        <v>0</v>
      </c>
      <c r="X6713" s="21" t="n">
        <v>0</v>
      </c>
      <c r="Y6713" s="21" t="n">
        <v>0</v>
      </c>
      <c r="Z6713" s="19" t="n"/>
    </row>
    <row r="6714">
      <c r="D6714" s="21" t="n">
        <v>0</v>
      </c>
      <c r="E6714" s="21" t="n">
        <v>0</v>
      </c>
      <c r="F6714" s="21" t="n">
        <v>0</v>
      </c>
      <c r="G6714" s="21" t="n">
        <v>0</v>
      </c>
      <c r="H6714" s="21">
        <f>-$B$5337</f>
        <v/>
      </c>
      <c r="I6714" s="21">
        <f>-$B$5338</f>
        <v/>
      </c>
      <c r="J6714" s="21">
        <f>2*$B$5337+$D$6699</f>
        <v/>
      </c>
      <c r="K6714" s="21">
        <f>0</f>
        <v/>
      </c>
      <c r="L6714" s="21">
        <f>-$B$5337</f>
        <v/>
      </c>
      <c r="M6714" s="21">
        <f>$B$5338</f>
        <v/>
      </c>
      <c r="N6714" s="21" t="n">
        <v>0</v>
      </c>
      <c r="O6714" s="21" t="n">
        <v>0</v>
      </c>
      <c r="P6714" s="21" t="n">
        <v>0</v>
      </c>
      <c r="Q6714" s="21" t="n">
        <v>0</v>
      </c>
      <c r="R6714" s="21" t="n">
        <v>0</v>
      </c>
      <c r="S6714" s="21" t="n">
        <v>0</v>
      </c>
      <c r="T6714" s="21" t="n">
        <v>0</v>
      </c>
      <c r="U6714" s="21" t="n">
        <v>0</v>
      </c>
      <c r="V6714" s="21" t="n">
        <v>0</v>
      </c>
      <c r="W6714" s="21" t="n">
        <v>0</v>
      </c>
      <c r="X6714" s="21" t="n">
        <v>0</v>
      </c>
      <c r="Y6714" s="21" t="n">
        <v>0</v>
      </c>
      <c r="Z6714" s="19" t="n"/>
    </row>
    <row r="6715">
      <c r="D6715" s="21" t="n">
        <v>0</v>
      </c>
      <c r="E6715" s="21" t="n">
        <v>0</v>
      </c>
      <c r="F6715" s="21" t="n">
        <v>0</v>
      </c>
      <c r="G6715" s="21" t="n">
        <v>0</v>
      </c>
      <c r="H6715" s="21">
        <f>$B$5338</f>
        <v/>
      </c>
      <c r="I6715" s="21">
        <f>$B$5340</f>
        <v/>
      </c>
      <c r="J6715" s="21">
        <f>0</f>
        <v/>
      </c>
      <c r="K6715" s="21">
        <f>2*$B$5339</f>
        <v/>
      </c>
      <c r="L6715" s="21">
        <f>-$B$5338</f>
        <v/>
      </c>
      <c r="M6715" s="21">
        <f>$B$5340</f>
        <v/>
      </c>
      <c r="N6715" s="21" t="n">
        <v>0</v>
      </c>
      <c r="O6715" s="21" t="n">
        <v>0</v>
      </c>
      <c r="P6715" s="21" t="n">
        <v>0</v>
      </c>
      <c r="Q6715" s="21" t="n">
        <v>0</v>
      </c>
      <c r="R6715" s="21" t="n">
        <v>0</v>
      </c>
      <c r="S6715" s="21" t="n">
        <v>0</v>
      </c>
      <c r="T6715" s="21" t="n">
        <v>0</v>
      </c>
      <c r="U6715" s="21" t="n">
        <v>0</v>
      </c>
      <c r="V6715" s="21" t="n">
        <v>0</v>
      </c>
      <c r="W6715" s="21" t="n">
        <v>0</v>
      </c>
      <c r="X6715" s="21" t="n">
        <v>0</v>
      </c>
      <c r="Y6715" s="21" t="n">
        <v>0</v>
      </c>
      <c r="Z6715" s="19" t="n"/>
    </row>
    <row r="6716">
      <c r="D6716" s="21" t="n">
        <v>0</v>
      </c>
      <c r="E6716" s="21" t="n">
        <v>0</v>
      </c>
      <c r="F6716" s="21" t="n">
        <v>0</v>
      </c>
      <c r="G6716" s="21" t="n">
        <v>0</v>
      </c>
      <c r="H6716" s="21" t="n">
        <v>0</v>
      </c>
      <c r="I6716" s="21" t="n">
        <v>0</v>
      </c>
      <c r="J6716" s="21">
        <f>-$B$5337</f>
        <v/>
      </c>
      <c r="K6716" s="21">
        <f>-$B$5338</f>
        <v/>
      </c>
      <c r="L6716" s="21">
        <f>2*$B$5337+$D$6700</f>
        <v/>
      </c>
      <c r="M6716" s="21">
        <f>0</f>
        <v/>
      </c>
      <c r="N6716" s="21">
        <f>-$B$5337</f>
        <v/>
      </c>
      <c r="O6716" s="21">
        <f>$B$5338</f>
        <v/>
      </c>
      <c r="P6716" s="21" t="n">
        <v>0</v>
      </c>
      <c r="Q6716" s="21" t="n">
        <v>0</v>
      </c>
      <c r="R6716" s="21" t="n">
        <v>0</v>
      </c>
      <c r="S6716" s="21" t="n">
        <v>0</v>
      </c>
      <c r="T6716" s="21" t="n">
        <v>0</v>
      </c>
      <c r="U6716" s="21" t="n">
        <v>0</v>
      </c>
      <c r="V6716" s="21" t="n">
        <v>0</v>
      </c>
      <c r="W6716" s="21" t="n">
        <v>0</v>
      </c>
      <c r="X6716" s="21" t="n">
        <v>0</v>
      </c>
      <c r="Y6716" s="21" t="n">
        <v>0</v>
      </c>
      <c r="Z6716" s="19" t="n"/>
    </row>
    <row r="6717">
      <c r="D6717" s="21" t="n">
        <v>0</v>
      </c>
      <c r="E6717" s="21" t="n">
        <v>0</v>
      </c>
      <c r="F6717" s="21" t="n">
        <v>0</v>
      </c>
      <c r="G6717" s="21" t="n">
        <v>0</v>
      </c>
      <c r="H6717" s="21" t="n">
        <v>0</v>
      </c>
      <c r="I6717" s="21" t="n">
        <v>0</v>
      </c>
      <c r="J6717" s="21">
        <f>$B$5338</f>
        <v/>
      </c>
      <c r="K6717" s="21">
        <f>$B$5340</f>
        <v/>
      </c>
      <c r="L6717" s="21">
        <f>0</f>
        <v/>
      </c>
      <c r="M6717" s="21">
        <f>2*$B$5339</f>
        <v/>
      </c>
      <c r="N6717" s="21">
        <f>-$B$5338</f>
        <v/>
      </c>
      <c r="O6717" s="21">
        <f>$B$5340</f>
        <v/>
      </c>
      <c r="P6717" s="21" t="n">
        <v>0</v>
      </c>
      <c r="Q6717" s="21" t="n">
        <v>0</v>
      </c>
      <c r="R6717" s="21" t="n">
        <v>0</v>
      </c>
      <c r="S6717" s="21" t="n">
        <v>0</v>
      </c>
      <c r="T6717" s="21" t="n">
        <v>0</v>
      </c>
      <c r="U6717" s="21" t="n">
        <v>0</v>
      </c>
      <c r="V6717" s="21" t="n">
        <v>0</v>
      </c>
      <c r="W6717" s="21" t="n">
        <v>0</v>
      </c>
      <c r="X6717" s="21" t="n">
        <v>0</v>
      </c>
      <c r="Y6717" s="21" t="n">
        <v>0</v>
      </c>
      <c r="Z6717" s="19" t="n"/>
    </row>
    <row r="6718">
      <c r="D6718" s="21" t="n">
        <v>0</v>
      </c>
      <c r="E6718" s="21" t="n">
        <v>0</v>
      </c>
      <c r="F6718" s="21" t="n">
        <v>0</v>
      </c>
      <c r="G6718" s="21" t="n">
        <v>0</v>
      </c>
      <c r="H6718" s="21" t="n">
        <v>0</v>
      </c>
      <c r="I6718" s="21" t="n">
        <v>0</v>
      </c>
      <c r="J6718" s="21" t="n">
        <v>0</v>
      </c>
      <c r="K6718" s="21" t="n">
        <v>0</v>
      </c>
      <c r="L6718" s="21">
        <f>-$B$5337</f>
        <v/>
      </c>
      <c r="M6718" s="21">
        <f>-$B$5338</f>
        <v/>
      </c>
      <c r="N6718" s="21">
        <f>2*$B$5337+$D$6701</f>
        <v/>
      </c>
      <c r="O6718" s="21">
        <f>0</f>
        <v/>
      </c>
      <c r="P6718" s="21">
        <f>-$B$5337</f>
        <v/>
      </c>
      <c r="Q6718" s="21">
        <f>$B$5338</f>
        <v/>
      </c>
      <c r="R6718" s="21" t="n">
        <v>0</v>
      </c>
      <c r="S6718" s="21" t="n">
        <v>0</v>
      </c>
      <c r="T6718" s="21" t="n">
        <v>0</v>
      </c>
      <c r="U6718" s="21" t="n">
        <v>0</v>
      </c>
      <c r="V6718" s="21" t="n">
        <v>0</v>
      </c>
      <c r="W6718" s="21" t="n">
        <v>0</v>
      </c>
      <c r="X6718" s="21" t="n">
        <v>0</v>
      </c>
      <c r="Y6718" s="21" t="n">
        <v>0</v>
      </c>
      <c r="Z6718" s="19" t="n"/>
    </row>
    <row r="6719">
      <c r="D6719" s="21" t="n">
        <v>0</v>
      </c>
      <c r="E6719" s="21" t="n">
        <v>0</v>
      </c>
      <c r="F6719" s="21" t="n">
        <v>0</v>
      </c>
      <c r="G6719" s="21" t="n">
        <v>0</v>
      </c>
      <c r="H6719" s="21" t="n">
        <v>0</v>
      </c>
      <c r="I6719" s="21" t="n">
        <v>0</v>
      </c>
      <c r="J6719" s="21" t="n">
        <v>0</v>
      </c>
      <c r="K6719" s="21" t="n">
        <v>0</v>
      </c>
      <c r="L6719" s="21">
        <f>$B$5338</f>
        <v/>
      </c>
      <c r="M6719" s="21">
        <f>$B$5340</f>
        <v/>
      </c>
      <c r="N6719" s="21">
        <f>0</f>
        <v/>
      </c>
      <c r="O6719" s="21">
        <f>2*$B$5339</f>
        <v/>
      </c>
      <c r="P6719" s="21">
        <f>-$B$5338</f>
        <v/>
      </c>
      <c r="Q6719" s="21">
        <f>$B$5340</f>
        <v/>
      </c>
      <c r="R6719" s="21" t="n">
        <v>0</v>
      </c>
      <c r="S6719" s="21" t="n">
        <v>0</v>
      </c>
      <c r="T6719" s="21" t="n">
        <v>0</v>
      </c>
      <c r="U6719" s="21" t="n">
        <v>0</v>
      </c>
      <c r="V6719" s="21" t="n">
        <v>0</v>
      </c>
      <c r="W6719" s="21" t="n">
        <v>0</v>
      </c>
      <c r="X6719" s="21" t="n">
        <v>0</v>
      </c>
      <c r="Y6719" s="21" t="n">
        <v>0</v>
      </c>
      <c r="Z6719" s="19" t="n"/>
    </row>
    <row r="6720">
      <c r="D6720" s="21" t="n">
        <v>0</v>
      </c>
      <c r="E6720" s="21" t="n">
        <v>0</v>
      </c>
      <c r="F6720" s="21" t="n">
        <v>0</v>
      </c>
      <c r="G6720" s="21" t="n">
        <v>0</v>
      </c>
      <c r="H6720" s="21" t="n">
        <v>0</v>
      </c>
      <c r="I6720" s="21" t="n">
        <v>0</v>
      </c>
      <c r="J6720" s="21" t="n">
        <v>0</v>
      </c>
      <c r="K6720" s="21" t="n">
        <v>0</v>
      </c>
      <c r="L6720" s="21" t="n">
        <v>0</v>
      </c>
      <c r="M6720" s="21" t="n">
        <v>0</v>
      </c>
      <c r="N6720" s="21">
        <f>-$B$5337</f>
        <v/>
      </c>
      <c r="O6720" s="21">
        <f>-$B$5338</f>
        <v/>
      </c>
      <c r="P6720" s="21">
        <f>2*$B$5337+$D$6702</f>
        <v/>
      </c>
      <c r="Q6720" s="21">
        <f>0</f>
        <v/>
      </c>
      <c r="R6720" s="21">
        <f>-$B$5337</f>
        <v/>
      </c>
      <c r="S6720" s="21">
        <f>$B$5338</f>
        <v/>
      </c>
      <c r="T6720" s="21" t="n">
        <v>0</v>
      </c>
      <c r="U6720" s="21" t="n">
        <v>0</v>
      </c>
      <c r="V6720" s="21" t="n">
        <v>0</v>
      </c>
      <c r="W6720" s="21" t="n">
        <v>0</v>
      </c>
      <c r="X6720" s="21" t="n">
        <v>0</v>
      </c>
      <c r="Y6720" s="21" t="n">
        <v>0</v>
      </c>
      <c r="Z6720" s="19" t="n"/>
    </row>
    <row r="6721">
      <c r="D6721" s="21" t="n">
        <v>0</v>
      </c>
      <c r="E6721" s="21" t="n">
        <v>0</v>
      </c>
      <c r="F6721" s="21" t="n">
        <v>0</v>
      </c>
      <c r="G6721" s="21" t="n">
        <v>0</v>
      </c>
      <c r="H6721" s="21" t="n">
        <v>0</v>
      </c>
      <c r="I6721" s="21" t="n">
        <v>0</v>
      </c>
      <c r="J6721" s="21" t="n">
        <v>0</v>
      </c>
      <c r="K6721" s="21" t="n">
        <v>0</v>
      </c>
      <c r="L6721" s="21" t="n">
        <v>0</v>
      </c>
      <c r="M6721" s="21" t="n">
        <v>0</v>
      </c>
      <c r="N6721" s="21">
        <f>$B$5338</f>
        <v/>
      </c>
      <c r="O6721" s="21">
        <f>$B$5340</f>
        <v/>
      </c>
      <c r="P6721" s="21">
        <f>0</f>
        <v/>
      </c>
      <c r="Q6721" s="21">
        <f>2*$B$5339</f>
        <v/>
      </c>
      <c r="R6721" s="21">
        <f>-$B$5338</f>
        <v/>
      </c>
      <c r="S6721" s="21">
        <f>$B$5340</f>
        <v/>
      </c>
      <c r="T6721" s="21" t="n">
        <v>0</v>
      </c>
      <c r="U6721" s="21" t="n">
        <v>0</v>
      </c>
      <c r="V6721" s="21" t="n">
        <v>0</v>
      </c>
      <c r="W6721" s="21" t="n">
        <v>0</v>
      </c>
      <c r="X6721" s="21" t="n">
        <v>0</v>
      </c>
      <c r="Y6721" s="21" t="n">
        <v>0</v>
      </c>
      <c r="Z6721" s="19" t="n"/>
    </row>
    <row r="6722">
      <c r="D6722" s="21" t="n">
        <v>0</v>
      </c>
      <c r="E6722" s="21" t="n">
        <v>0</v>
      </c>
      <c r="F6722" s="21" t="n">
        <v>0</v>
      </c>
      <c r="G6722" s="21" t="n">
        <v>0</v>
      </c>
      <c r="H6722" s="21" t="n">
        <v>0</v>
      </c>
      <c r="I6722" s="21" t="n">
        <v>0</v>
      </c>
      <c r="J6722" s="21" t="n">
        <v>0</v>
      </c>
      <c r="K6722" s="21" t="n">
        <v>0</v>
      </c>
      <c r="L6722" s="21" t="n">
        <v>0</v>
      </c>
      <c r="M6722" s="21" t="n">
        <v>0</v>
      </c>
      <c r="N6722" s="21" t="n">
        <v>0</v>
      </c>
      <c r="O6722" s="21" t="n">
        <v>0</v>
      </c>
      <c r="P6722" s="21">
        <f>-$B$5337</f>
        <v/>
      </c>
      <c r="Q6722" s="21">
        <f>-$B$5338</f>
        <v/>
      </c>
      <c r="R6722" s="21">
        <f>2*$B$5337+$D$6703</f>
        <v/>
      </c>
      <c r="S6722" s="21">
        <f>0</f>
        <v/>
      </c>
      <c r="T6722" s="21">
        <f>-$B$5337</f>
        <v/>
      </c>
      <c r="U6722" s="21">
        <f>$B$5338</f>
        <v/>
      </c>
      <c r="V6722" s="21" t="n">
        <v>0</v>
      </c>
      <c r="W6722" s="21" t="n">
        <v>0</v>
      </c>
      <c r="X6722" s="21" t="n">
        <v>0</v>
      </c>
      <c r="Y6722" s="21" t="n">
        <v>0</v>
      </c>
      <c r="Z6722" s="19" t="n"/>
    </row>
    <row r="6723">
      <c r="D6723" s="21" t="n">
        <v>0</v>
      </c>
      <c r="E6723" s="21" t="n">
        <v>0</v>
      </c>
      <c r="F6723" s="21" t="n">
        <v>0</v>
      </c>
      <c r="G6723" s="21" t="n">
        <v>0</v>
      </c>
      <c r="H6723" s="21" t="n">
        <v>0</v>
      </c>
      <c r="I6723" s="21" t="n">
        <v>0</v>
      </c>
      <c r="J6723" s="21" t="n">
        <v>0</v>
      </c>
      <c r="K6723" s="21" t="n">
        <v>0</v>
      </c>
      <c r="L6723" s="21" t="n">
        <v>0</v>
      </c>
      <c r="M6723" s="21" t="n">
        <v>0</v>
      </c>
      <c r="N6723" s="21" t="n">
        <v>0</v>
      </c>
      <c r="O6723" s="21" t="n">
        <v>0</v>
      </c>
      <c r="P6723" s="21">
        <f>$B$5338</f>
        <v/>
      </c>
      <c r="Q6723" s="21">
        <f>$B$5340</f>
        <v/>
      </c>
      <c r="R6723" s="21">
        <f>0</f>
        <v/>
      </c>
      <c r="S6723" s="21">
        <f>2*$B$5339</f>
        <v/>
      </c>
      <c r="T6723" s="21">
        <f>-$B$5338</f>
        <v/>
      </c>
      <c r="U6723" s="21">
        <f>$B$5340</f>
        <v/>
      </c>
      <c r="V6723" s="21" t="n">
        <v>0</v>
      </c>
      <c r="W6723" s="21" t="n">
        <v>0</v>
      </c>
      <c r="X6723" s="21" t="n">
        <v>0</v>
      </c>
      <c r="Y6723" s="21" t="n">
        <v>0</v>
      </c>
      <c r="Z6723" s="19" t="n"/>
    </row>
    <row r="6724">
      <c r="D6724" s="21" t="n">
        <v>0</v>
      </c>
      <c r="E6724" s="21" t="n">
        <v>0</v>
      </c>
      <c r="F6724" s="21" t="n">
        <v>0</v>
      </c>
      <c r="G6724" s="21" t="n">
        <v>0</v>
      </c>
      <c r="H6724" s="21" t="n">
        <v>0</v>
      </c>
      <c r="I6724" s="21" t="n">
        <v>0</v>
      </c>
      <c r="J6724" s="21" t="n">
        <v>0</v>
      </c>
      <c r="K6724" s="21" t="n">
        <v>0</v>
      </c>
      <c r="L6724" s="21" t="n">
        <v>0</v>
      </c>
      <c r="M6724" s="21" t="n">
        <v>0</v>
      </c>
      <c r="N6724" s="21" t="n">
        <v>0</v>
      </c>
      <c r="O6724" s="21" t="n">
        <v>0</v>
      </c>
      <c r="P6724" s="21" t="n">
        <v>0</v>
      </c>
      <c r="Q6724" s="21" t="n">
        <v>0</v>
      </c>
      <c r="R6724" s="21">
        <f>-$B$5337</f>
        <v/>
      </c>
      <c r="S6724" s="21">
        <f>-$B$5338</f>
        <v/>
      </c>
      <c r="T6724" s="21">
        <f>2*$B$5337+$D$6704</f>
        <v/>
      </c>
      <c r="U6724" s="21">
        <f>0</f>
        <v/>
      </c>
      <c r="V6724" s="21">
        <f>-$B$5337</f>
        <v/>
      </c>
      <c r="W6724" s="21">
        <f>$B$5338</f>
        <v/>
      </c>
      <c r="X6724" s="21" t="n">
        <v>0</v>
      </c>
      <c r="Y6724" s="21" t="n">
        <v>0</v>
      </c>
      <c r="Z6724" s="19" t="n"/>
    </row>
    <row r="6725">
      <c r="D6725" s="21" t="n">
        <v>0</v>
      </c>
      <c r="E6725" s="21" t="n">
        <v>0</v>
      </c>
      <c r="F6725" s="21" t="n">
        <v>0</v>
      </c>
      <c r="G6725" s="21" t="n">
        <v>0</v>
      </c>
      <c r="H6725" s="21" t="n">
        <v>0</v>
      </c>
      <c r="I6725" s="21" t="n">
        <v>0</v>
      </c>
      <c r="J6725" s="21" t="n">
        <v>0</v>
      </c>
      <c r="K6725" s="21" t="n">
        <v>0</v>
      </c>
      <c r="L6725" s="21" t="n">
        <v>0</v>
      </c>
      <c r="M6725" s="21" t="n">
        <v>0</v>
      </c>
      <c r="N6725" s="21" t="n">
        <v>0</v>
      </c>
      <c r="O6725" s="21" t="n">
        <v>0</v>
      </c>
      <c r="P6725" s="21" t="n">
        <v>0</v>
      </c>
      <c r="Q6725" s="21" t="n">
        <v>0</v>
      </c>
      <c r="R6725" s="21">
        <f>$B$5338</f>
        <v/>
      </c>
      <c r="S6725" s="21">
        <f>$B$5340</f>
        <v/>
      </c>
      <c r="T6725" s="21">
        <f>0</f>
        <v/>
      </c>
      <c r="U6725" s="21">
        <f>2*$B$5339</f>
        <v/>
      </c>
      <c r="V6725" s="21">
        <f>-$B$5338</f>
        <v/>
      </c>
      <c r="W6725" s="21">
        <f>$B$5340</f>
        <v/>
      </c>
      <c r="X6725" s="21" t="n">
        <v>0</v>
      </c>
      <c r="Y6725" s="21" t="n">
        <v>0</v>
      </c>
      <c r="Z6725" s="19" t="n"/>
    </row>
    <row r="6726">
      <c r="D6726" s="21" t="n">
        <v>0</v>
      </c>
      <c r="E6726" s="21" t="n">
        <v>0</v>
      </c>
      <c r="F6726" s="21" t="n">
        <v>0</v>
      </c>
      <c r="G6726" s="21" t="n">
        <v>0</v>
      </c>
      <c r="H6726" s="21" t="n">
        <v>0</v>
      </c>
      <c r="I6726" s="21" t="n">
        <v>0</v>
      </c>
      <c r="J6726" s="21" t="n">
        <v>0</v>
      </c>
      <c r="K6726" s="21" t="n">
        <v>0</v>
      </c>
      <c r="L6726" s="21" t="n">
        <v>0</v>
      </c>
      <c r="M6726" s="21" t="n">
        <v>0</v>
      </c>
      <c r="N6726" s="21" t="n">
        <v>0</v>
      </c>
      <c r="O6726" s="21" t="n">
        <v>0</v>
      </c>
      <c r="P6726" s="21" t="n">
        <v>0</v>
      </c>
      <c r="Q6726" s="21" t="n">
        <v>0</v>
      </c>
      <c r="R6726" s="21" t="n">
        <v>0</v>
      </c>
      <c r="S6726" s="21" t="n">
        <v>0</v>
      </c>
      <c r="T6726" s="21">
        <f>-$B$5337</f>
        <v/>
      </c>
      <c r="U6726" s="21">
        <f>-$B$5338</f>
        <v/>
      </c>
      <c r="V6726" s="21">
        <f>2*$B$5337+$D$6705</f>
        <v/>
      </c>
      <c r="W6726" s="21">
        <f>0</f>
        <v/>
      </c>
      <c r="X6726" s="21">
        <f>-$B$5337</f>
        <v/>
      </c>
      <c r="Y6726" s="21">
        <f>$B$5338</f>
        <v/>
      </c>
      <c r="Z6726" s="19" t="n"/>
    </row>
    <row r="6727">
      <c r="D6727" s="21" t="n">
        <v>0</v>
      </c>
      <c r="E6727" s="21" t="n">
        <v>0</v>
      </c>
      <c r="F6727" s="21" t="n">
        <v>0</v>
      </c>
      <c r="G6727" s="21" t="n">
        <v>0</v>
      </c>
      <c r="H6727" s="21" t="n">
        <v>0</v>
      </c>
      <c r="I6727" s="21" t="n">
        <v>0</v>
      </c>
      <c r="J6727" s="21" t="n">
        <v>0</v>
      </c>
      <c r="K6727" s="21" t="n">
        <v>0</v>
      </c>
      <c r="L6727" s="21" t="n">
        <v>0</v>
      </c>
      <c r="M6727" s="21" t="n">
        <v>0</v>
      </c>
      <c r="N6727" s="21" t="n">
        <v>0</v>
      </c>
      <c r="O6727" s="21" t="n">
        <v>0</v>
      </c>
      <c r="P6727" s="21" t="n">
        <v>0</v>
      </c>
      <c r="Q6727" s="21" t="n">
        <v>0</v>
      </c>
      <c r="R6727" s="21" t="n">
        <v>0</v>
      </c>
      <c r="S6727" s="21" t="n">
        <v>0</v>
      </c>
      <c r="T6727" s="21">
        <f>$B$5338</f>
        <v/>
      </c>
      <c r="U6727" s="21">
        <f>$B$5340</f>
        <v/>
      </c>
      <c r="V6727" s="21">
        <f>0</f>
        <v/>
      </c>
      <c r="W6727" s="21">
        <f>2*$B$5339</f>
        <v/>
      </c>
      <c r="X6727" s="21">
        <f>-$B$5338</f>
        <v/>
      </c>
      <c r="Y6727" s="21">
        <f>$B$5340</f>
        <v/>
      </c>
      <c r="Z6727" s="19" t="n"/>
    </row>
    <row r="6728">
      <c r="D6728" s="21" t="n">
        <v>0</v>
      </c>
      <c r="E6728" s="21" t="n">
        <v>0</v>
      </c>
      <c r="F6728" s="21" t="n">
        <v>0</v>
      </c>
      <c r="G6728" s="21" t="n">
        <v>0</v>
      </c>
      <c r="H6728" s="21" t="n">
        <v>0</v>
      </c>
      <c r="I6728" s="21" t="n">
        <v>0</v>
      </c>
      <c r="J6728" s="21" t="n">
        <v>0</v>
      </c>
      <c r="K6728" s="21" t="n">
        <v>0</v>
      </c>
      <c r="L6728" s="21" t="n">
        <v>0</v>
      </c>
      <c r="M6728" s="21" t="n">
        <v>0</v>
      </c>
      <c r="N6728" s="21" t="n">
        <v>0</v>
      </c>
      <c r="O6728" s="21" t="n">
        <v>0</v>
      </c>
      <c r="P6728" s="21" t="n">
        <v>0</v>
      </c>
      <c r="Q6728" s="21" t="n">
        <v>0</v>
      </c>
      <c r="R6728" s="21" t="n">
        <v>0</v>
      </c>
      <c r="S6728" s="21" t="n">
        <v>0</v>
      </c>
      <c r="T6728" s="21" t="n">
        <v>0</v>
      </c>
      <c r="U6728" s="21" t="n">
        <v>0</v>
      </c>
      <c r="V6728" s="21">
        <f>-$B$5337</f>
        <v/>
      </c>
      <c r="W6728" s="21">
        <f>-$B$5338</f>
        <v/>
      </c>
      <c r="X6728" s="21">
        <f>$B$5337+$D$6706</f>
        <v/>
      </c>
      <c r="Y6728" s="21">
        <f>-$B$5338</f>
        <v/>
      </c>
      <c r="Z6728" s="19" t="n"/>
    </row>
    <row r="6729">
      <c r="D6729" s="21" t="n">
        <v>0</v>
      </c>
      <c r="E6729" s="21" t="n">
        <v>0</v>
      </c>
      <c r="F6729" s="21" t="n">
        <v>0</v>
      </c>
      <c r="G6729" s="21" t="n">
        <v>0</v>
      </c>
      <c r="H6729" s="21" t="n">
        <v>0</v>
      </c>
      <c r="I6729" s="21" t="n">
        <v>0</v>
      </c>
      <c r="J6729" s="21" t="n">
        <v>0</v>
      </c>
      <c r="K6729" s="21" t="n">
        <v>0</v>
      </c>
      <c r="L6729" s="21" t="n">
        <v>0</v>
      </c>
      <c r="M6729" s="21" t="n">
        <v>0</v>
      </c>
      <c r="N6729" s="21" t="n">
        <v>0</v>
      </c>
      <c r="O6729" s="21" t="n">
        <v>0</v>
      </c>
      <c r="P6729" s="21" t="n">
        <v>0</v>
      </c>
      <c r="Q6729" s="21" t="n">
        <v>0</v>
      </c>
      <c r="R6729" s="21" t="n">
        <v>0</v>
      </c>
      <c r="S6729" s="21" t="n">
        <v>0</v>
      </c>
      <c r="T6729" s="21" t="n">
        <v>0</v>
      </c>
      <c r="U6729" s="21" t="n">
        <v>0</v>
      </c>
      <c r="V6729" s="21">
        <f>$B$5338</f>
        <v/>
      </c>
      <c r="W6729" s="21">
        <f>$B$5340</f>
        <v/>
      </c>
      <c r="X6729" s="21">
        <f>-$B$5338</f>
        <v/>
      </c>
      <c r="Y6729" s="21">
        <f>$B$5339</f>
        <v/>
      </c>
      <c r="Z6729" s="19" t="n"/>
    </row>
    <row r="6731">
      <c r="A6731" s="8" t="inlineStr">
        <is>
          <t>gen 38</t>
        </is>
      </c>
    </row>
    <row r="6732">
      <c r="D6732" s="19">
        <f>IF(ABS(IF(ABS($E$6696)&gt;0.000000001,$E$6696,0.000000001))=0,0,IF($E$5352&lt;=$B$5346,0,IF(ABS(IF(ABS($E$6696)&gt;0.000000001,$E$6696,0.000000001))&gt;=8*$B$5348,$H$5352,0.5*$H$5352*(ABS(IF(ABS($E$6696)&gt;0.000000001,$E$6696,0.000000001))/$B$5348)^(1/3)))/ABS(IF(ABS($E$6696)&gt;0.000000001,$E$6696,0.000000001))*$I$5352)</f>
        <v/>
      </c>
      <c r="E6732" s="19">
        <f>0.5*$E$6696+0.5*$Z$6744</f>
        <v/>
      </c>
      <c r="F6732" s="19">
        <f>$Z$6745</f>
        <v/>
      </c>
    </row>
    <row r="6733">
      <c r="D6733" s="19">
        <f>IF(ABS(IF(ABS($E$6697)&gt;0.000000001,$E$6697,0.000000001))=0,0,IF($E$5353&lt;=$B$5346,0,IF(ABS(IF(ABS($E$6697)&gt;0.000000001,$E$6697,0.000000001))&gt;=8*$B$5348,$H$5353,0.5*$H$5353*(ABS(IF(ABS($E$6697)&gt;0.000000001,$E$6697,0.000000001))/$B$5348)^(1/3)))/ABS(IF(ABS($E$6697)&gt;0.000000001,$E$6697,0.000000001))*$I$5353)</f>
        <v/>
      </c>
      <c r="E6733" s="19">
        <f>0.5*$E$6697+0.5*$Z$6746</f>
        <v/>
      </c>
      <c r="F6733" s="19">
        <f>$Z$6747</f>
        <v/>
      </c>
    </row>
    <row r="6734">
      <c r="D6734" s="19">
        <f>IF(ABS(IF(ABS($E$6698)&gt;0.000000001,$E$6698,0.000000001))=0,0,IF($E$5354&lt;=$B$5346,0,IF(ABS(IF(ABS($E$6698)&gt;0.000000001,$E$6698,0.000000001))&gt;=8*$B$5348,$H$5354,0.5*$H$5354*(ABS(IF(ABS($E$6698)&gt;0.000000001,$E$6698,0.000000001))/$B$5348)^(1/3)))/ABS(IF(ABS($E$6698)&gt;0.000000001,$E$6698,0.000000001))*$I$5354)</f>
        <v/>
      </c>
      <c r="E6734" s="19">
        <f>0.5*$E$6698+0.5*$Z$6748</f>
        <v/>
      </c>
      <c r="F6734" s="19">
        <f>$Z$6749</f>
        <v/>
      </c>
    </row>
    <row r="6735">
      <c r="D6735" s="19">
        <f>IF(ABS(IF(ABS($E$6699)&gt;0.000000001,$E$6699,0.000000001))=0,0,IF($E$5355&lt;=$B$5346,0,IF(ABS(IF(ABS($E$6699)&gt;0.000000001,$E$6699,0.000000001))&gt;=8*$B$5348,$H$5355,0.5*$H$5355*(ABS(IF(ABS($E$6699)&gt;0.000000001,$E$6699,0.000000001))/$B$5348)^(1/3)))/ABS(IF(ABS($E$6699)&gt;0.000000001,$E$6699,0.000000001))*$I$5355)</f>
        <v/>
      </c>
      <c r="E6735" s="19">
        <f>0.5*$E$6699+0.5*$Z$6750</f>
        <v/>
      </c>
      <c r="F6735" s="19">
        <f>$Z$6751</f>
        <v/>
      </c>
    </row>
    <row r="6736">
      <c r="D6736" s="19">
        <f>IF(ABS(IF(ABS($E$6700)&gt;0.000000001,$E$6700,0.000000001))=0,0,IF($E$5356&lt;=$B$5346,0,IF(ABS(IF(ABS($E$6700)&gt;0.000000001,$E$6700,0.000000001))&gt;=8*$B$5348,$H$5356,0.5*$H$5356*(ABS(IF(ABS($E$6700)&gt;0.000000001,$E$6700,0.000000001))/$B$5348)^(1/3)))/ABS(IF(ABS($E$6700)&gt;0.000000001,$E$6700,0.000000001))*$I$5356)</f>
        <v/>
      </c>
      <c r="E6736" s="19">
        <f>0.5*$E$6700+0.5*$Z$6752</f>
        <v/>
      </c>
      <c r="F6736" s="19">
        <f>$Z$6753</f>
        <v/>
      </c>
    </row>
    <row r="6737">
      <c r="D6737" s="19">
        <f>IF(ABS(IF(ABS($E$6701)&gt;0.000000001,$E$6701,0.000000001))=0,0,IF($E$5357&lt;=$B$5346,0,IF(ABS(IF(ABS($E$6701)&gt;0.000000001,$E$6701,0.000000001))&gt;=8*$B$5348,$H$5357,0.5*$H$5357*(ABS(IF(ABS($E$6701)&gt;0.000000001,$E$6701,0.000000001))/$B$5348)^(1/3)))/ABS(IF(ABS($E$6701)&gt;0.000000001,$E$6701,0.000000001))*$I$5357)</f>
        <v/>
      </c>
      <c r="E6737" s="19">
        <f>0.5*$E$6701+0.5*$Z$6754</f>
        <v/>
      </c>
      <c r="F6737" s="19">
        <f>$Z$6755</f>
        <v/>
      </c>
    </row>
    <row r="6738">
      <c r="D6738" s="19">
        <f>IF(ABS(IF(ABS($E$6702)&gt;0.000000001,$E$6702,0.000000001))=0,0,IF($E$5358&lt;=$B$5346,0,IF(ABS(IF(ABS($E$6702)&gt;0.000000001,$E$6702,0.000000001))&gt;=8*$B$5348,$H$5358,0.5*$H$5358*(ABS(IF(ABS($E$6702)&gt;0.000000001,$E$6702,0.000000001))/$B$5348)^(1/3)))/ABS(IF(ABS($E$6702)&gt;0.000000001,$E$6702,0.000000001))*$I$5358)</f>
        <v/>
      </c>
      <c r="E6738" s="19">
        <f>0.5*$E$6702+0.5*$Z$6756</f>
        <v/>
      </c>
      <c r="F6738" s="19">
        <f>$Z$6757</f>
        <v/>
      </c>
    </row>
    <row r="6739">
      <c r="D6739" s="19">
        <f>IF(ABS(IF(ABS($E$6703)&gt;0.000000001,$E$6703,0.000000001))=0,0,IF($E$5359&lt;=$B$5346,0,IF(ABS(IF(ABS($E$6703)&gt;0.000000001,$E$6703,0.000000001))&gt;=8*$B$5348,$H$5359,0.5*$H$5359*(ABS(IF(ABS($E$6703)&gt;0.000000001,$E$6703,0.000000001))/$B$5348)^(1/3)))/ABS(IF(ABS($E$6703)&gt;0.000000001,$E$6703,0.000000001))*$I$5359)</f>
        <v/>
      </c>
      <c r="E6739" s="19">
        <f>0.5*$E$6703+0.5*$Z$6758</f>
        <v/>
      </c>
      <c r="F6739" s="19">
        <f>$Z$6759</f>
        <v/>
      </c>
    </row>
    <row r="6740">
      <c r="D6740" s="19">
        <f>IF(ABS(IF(ABS($E$6704)&gt;0.000000001,$E$6704,0.000000001))=0,0,IF($E$5360&lt;=$B$5346,0,IF(ABS(IF(ABS($E$6704)&gt;0.000000001,$E$6704,0.000000001))&gt;=8*$B$5348,$H$5360,0.5*$H$5360*(ABS(IF(ABS($E$6704)&gt;0.000000001,$E$6704,0.000000001))/$B$5348)^(1/3)))/ABS(IF(ABS($E$6704)&gt;0.000000001,$E$6704,0.000000001))*$I$5360)</f>
        <v/>
      </c>
      <c r="E6740" s="19">
        <f>0.5*$E$6704+0.5*$Z$6760</f>
        <v/>
      </c>
      <c r="F6740" s="19">
        <f>$Z$6761</f>
        <v/>
      </c>
    </row>
    <row r="6741">
      <c r="D6741" s="19">
        <f>IF(ABS(IF(ABS($E$6705)&gt;0.000000001,$E$6705,0.000000001))=0,0,IF($E$5361&lt;=$B$5346,0,IF(ABS(IF(ABS($E$6705)&gt;0.000000001,$E$6705,0.000000001))&gt;=8*$B$5348,$H$5361,0.5*$H$5361*(ABS(IF(ABS($E$6705)&gt;0.000000001,$E$6705,0.000000001))/$B$5348)^(1/3)))/ABS(IF(ABS($E$6705)&gt;0.000000001,$E$6705,0.000000001))*$I$5361)</f>
        <v/>
      </c>
      <c r="E6741" s="19">
        <f>0.5*$E$6705+0.5*$Z$6762</f>
        <v/>
      </c>
      <c r="F6741" s="19">
        <f>$Z$6763</f>
        <v/>
      </c>
    </row>
    <row r="6742">
      <c r="D6742" s="19">
        <f>IF(ABS(IF(ABS($E$6706)&gt;0.000000001,$E$6706,0.000000001))=0,0,IF($E$5362&lt;=$B$5346,0,IF(ABS(IF(ABS($E$6706)&gt;0.000000001,$E$6706,0.000000001))&gt;=8*$B$5348,$H$5362,0.5*$H$5362*(ABS(IF(ABS($E$6706)&gt;0.000000001,$E$6706,0.000000001))/$B$5348)^(1/3)))/ABS(IF(ABS($E$6706)&gt;0.000000001,$E$6706,0.000000001))*$I$5362)</f>
        <v/>
      </c>
      <c r="E6742" s="19">
        <f>0.5*$E$6706+0.5*$Z$6764</f>
        <v/>
      </c>
      <c r="F6742" s="19">
        <f>$Z$6765</f>
        <v/>
      </c>
    </row>
    <row r="6744">
      <c r="D6744" s="21">
        <f>$B$5337+$D$6732</f>
        <v/>
      </c>
      <c r="E6744" s="21">
        <f>$B$5338</f>
        <v/>
      </c>
      <c r="F6744" s="21">
        <f>-$B$5337</f>
        <v/>
      </c>
      <c r="G6744" s="21">
        <f>$B$5338</f>
        <v/>
      </c>
      <c r="H6744" s="21" t="n">
        <v>0</v>
      </c>
      <c r="I6744" s="21" t="n">
        <v>0</v>
      </c>
      <c r="J6744" s="21" t="n">
        <v>0</v>
      </c>
      <c r="K6744" s="21" t="n">
        <v>0</v>
      </c>
      <c r="L6744" s="21" t="n">
        <v>0</v>
      </c>
      <c r="M6744" s="21" t="n">
        <v>0</v>
      </c>
      <c r="N6744" s="21" t="n">
        <v>0</v>
      </c>
      <c r="O6744" s="21" t="n">
        <v>0</v>
      </c>
      <c r="P6744" s="21" t="n">
        <v>0</v>
      </c>
      <c r="Q6744" s="21" t="n">
        <v>0</v>
      </c>
      <c r="R6744" s="21" t="n">
        <v>0</v>
      </c>
      <c r="S6744" s="21" t="n">
        <v>0</v>
      </c>
      <c r="T6744" s="21" t="n">
        <v>0</v>
      </c>
      <c r="U6744" s="21" t="n">
        <v>0</v>
      </c>
      <c r="V6744" s="21" t="n">
        <v>0</v>
      </c>
      <c r="W6744" s="21" t="n">
        <v>0</v>
      </c>
      <c r="X6744" s="21" t="n">
        <v>0</v>
      </c>
      <c r="Y6744" s="21" t="n">
        <v>0</v>
      </c>
      <c r="Z6744" s="19">
        <f t="array" ref="Z6744:Z6765">MMULT(MINVERSE($D$6744:$Y$6765),$D$5364:$D$5385)</f>
        <v/>
      </c>
    </row>
    <row r="6745">
      <c r="D6745" s="21">
        <f>$B$5338</f>
        <v/>
      </c>
      <c r="E6745" s="21">
        <f>$B$5339</f>
        <v/>
      </c>
      <c r="F6745" s="21">
        <f>-$B$5338</f>
        <v/>
      </c>
      <c r="G6745" s="21">
        <f>$B$5340</f>
        <v/>
      </c>
      <c r="H6745" s="21" t="n">
        <v>0</v>
      </c>
      <c r="I6745" s="21" t="n">
        <v>0</v>
      </c>
      <c r="J6745" s="21" t="n">
        <v>0</v>
      </c>
      <c r="K6745" s="21" t="n">
        <v>0</v>
      </c>
      <c r="L6745" s="21" t="n">
        <v>0</v>
      </c>
      <c r="M6745" s="21" t="n">
        <v>0</v>
      </c>
      <c r="N6745" s="21" t="n">
        <v>0</v>
      </c>
      <c r="O6745" s="21" t="n">
        <v>0</v>
      </c>
      <c r="P6745" s="21" t="n">
        <v>0</v>
      </c>
      <c r="Q6745" s="21" t="n">
        <v>0</v>
      </c>
      <c r="R6745" s="21" t="n">
        <v>0</v>
      </c>
      <c r="S6745" s="21" t="n">
        <v>0</v>
      </c>
      <c r="T6745" s="21" t="n">
        <v>0</v>
      </c>
      <c r="U6745" s="21" t="n">
        <v>0</v>
      </c>
      <c r="V6745" s="21" t="n">
        <v>0</v>
      </c>
      <c r="W6745" s="21" t="n">
        <v>0</v>
      </c>
      <c r="X6745" s="21" t="n">
        <v>0</v>
      </c>
      <c r="Y6745" s="21" t="n">
        <v>0</v>
      </c>
      <c r="Z6745" s="19" t="n"/>
    </row>
    <row r="6746">
      <c r="D6746" s="21">
        <f>-$B$5337</f>
        <v/>
      </c>
      <c r="E6746" s="21">
        <f>-$B$5338</f>
        <v/>
      </c>
      <c r="F6746" s="21">
        <f>2*$B$5337+$D$6733</f>
        <v/>
      </c>
      <c r="G6746" s="21">
        <f>0</f>
        <v/>
      </c>
      <c r="H6746" s="21">
        <f>-$B$5337</f>
        <v/>
      </c>
      <c r="I6746" s="21">
        <f>$B$5338</f>
        <v/>
      </c>
      <c r="J6746" s="21" t="n">
        <v>0</v>
      </c>
      <c r="K6746" s="21" t="n">
        <v>0</v>
      </c>
      <c r="L6746" s="21" t="n">
        <v>0</v>
      </c>
      <c r="M6746" s="21" t="n">
        <v>0</v>
      </c>
      <c r="N6746" s="21" t="n">
        <v>0</v>
      </c>
      <c r="O6746" s="21" t="n">
        <v>0</v>
      </c>
      <c r="P6746" s="21" t="n">
        <v>0</v>
      </c>
      <c r="Q6746" s="21" t="n">
        <v>0</v>
      </c>
      <c r="R6746" s="21" t="n">
        <v>0</v>
      </c>
      <c r="S6746" s="21" t="n">
        <v>0</v>
      </c>
      <c r="T6746" s="21" t="n">
        <v>0</v>
      </c>
      <c r="U6746" s="21" t="n">
        <v>0</v>
      </c>
      <c r="V6746" s="21" t="n">
        <v>0</v>
      </c>
      <c r="W6746" s="21" t="n">
        <v>0</v>
      </c>
      <c r="X6746" s="21" t="n">
        <v>0</v>
      </c>
      <c r="Y6746" s="21" t="n">
        <v>0</v>
      </c>
      <c r="Z6746" s="19" t="n"/>
    </row>
    <row r="6747">
      <c r="D6747" s="21">
        <f>$B$5338</f>
        <v/>
      </c>
      <c r="E6747" s="21">
        <f>$B$5340</f>
        <v/>
      </c>
      <c r="F6747" s="21">
        <f>0</f>
        <v/>
      </c>
      <c r="G6747" s="21">
        <f>2*$B$5339</f>
        <v/>
      </c>
      <c r="H6747" s="21">
        <f>-$B$5338</f>
        <v/>
      </c>
      <c r="I6747" s="21">
        <f>$B$5340</f>
        <v/>
      </c>
      <c r="J6747" s="21" t="n">
        <v>0</v>
      </c>
      <c r="K6747" s="21" t="n">
        <v>0</v>
      </c>
      <c r="L6747" s="21" t="n">
        <v>0</v>
      </c>
      <c r="M6747" s="21" t="n">
        <v>0</v>
      </c>
      <c r="N6747" s="21" t="n">
        <v>0</v>
      </c>
      <c r="O6747" s="21" t="n">
        <v>0</v>
      </c>
      <c r="P6747" s="21" t="n">
        <v>0</v>
      </c>
      <c r="Q6747" s="21" t="n">
        <v>0</v>
      </c>
      <c r="R6747" s="21" t="n">
        <v>0</v>
      </c>
      <c r="S6747" s="21" t="n">
        <v>0</v>
      </c>
      <c r="T6747" s="21" t="n">
        <v>0</v>
      </c>
      <c r="U6747" s="21" t="n">
        <v>0</v>
      </c>
      <c r="V6747" s="21" t="n">
        <v>0</v>
      </c>
      <c r="W6747" s="21" t="n">
        <v>0</v>
      </c>
      <c r="X6747" s="21" t="n">
        <v>0</v>
      </c>
      <c r="Y6747" s="21" t="n">
        <v>0</v>
      </c>
      <c r="Z6747" s="19" t="n"/>
    </row>
    <row r="6748">
      <c r="D6748" s="21" t="n">
        <v>0</v>
      </c>
      <c r="E6748" s="21" t="n">
        <v>0</v>
      </c>
      <c r="F6748" s="21">
        <f>-$B$5337</f>
        <v/>
      </c>
      <c r="G6748" s="21">
        <f>-$B$5338</f>
        <v/>
      </c>
      <c r="H6748" s="21">
        <f>2*$B$5337+$D$6734</f>
        <v/>
      </c>
      <c r="I6748" s="21">
        <f>0</f>
        <v/>
      </c>
      <c r="J6748" s="21">
        <f>-$B$5337</f>
        <v/>
      </c>
      <c r="K6748" s="21">
        <f>$B$5338</f>
        <v/>
      </c>
      <c r="L6748" s="21" t="n">
        <v>0</v>
      </c>
      <c r="M6748" s="21" t="n">
        <v>0</v>
      </c>
      <c r="N6748" s="21" t="n">
        <v>0</v>
      </c>
      <c r="O6748" s="21" t="n">
        <v>0</v>
      </c>
      <c r="P6748" s="21" t="n">
        <v>0</v>
      </c>
      <c r="Q6748" s="21" t="n">
        <v>0</v>
      </c>
      <c r="R6748" s="21" t="n">
        <v>0</v>
      </c>
      <c r="S6748" s="21" t="n">
        <v>0</v>
      </c>
      <c r="T6748" s="21" t="n">
        <v>0</v>
      </c>
      <c r="U6748" s="21" t="n">
        <v>0</v>
      </c>
      <c r="V6748" s="21" t="n">
        <v>0</v>
      </c>
      <c r="W6748" s="21" t="n">
        <v>0</v>
      </c>
      <c r="X6748" s="21" t="n">
        <v>0</v>
      </c>
      <c r="Y6748" s="21" t="n">
        <v>0</v>
      </c>
      <c r="Z6748" s="19" t="n"/>
    </row>
    <row r="6749">
      <c r="D6749" s="21" t="n">
        <v>0</v>
      </c>
      <c r="E6749" s="21" t="n">
        <v>0</v>
      </c>
      <c r="F6749" s="21">
        <f>$B$5338</f>
        <v/>
      </c>
      <c r="G6749" s="21">
        <f>$B$5340</f>
        <v/>
      </c>
      <c r="H6749" s="21">
        <f>0</f>
        <v/>
      </c>
      <c r="I6749" s="21">
        <f>2*$B$5339</f>
        <v/>
      </c>
      <c r="J6749" s="21">
        <f>-$B$5338</f>
        <v/>
      </c>
      <c r="K6749" s="21">
        <f>$B$5340</f>
        <v/>
      </c>
      <c r="L6749" s="21" t="n">
        <v>0</v>
      </c>
      <c r="M6749" s="21" t="n">
        <v>0</v>
      </c>
      <c r="N6749" s="21" t="n">
        <v>0</v>
      </c>
      <c r="O6749" s="21" t="n">
        <v>0</v>
      </c>
      <c r="P6749" s="21" t="n">
        <v>0</v>
      </c>
      <c r="Q6749" s="21" t="n">
        <v>0</v>
      </c>
      <c r="R6749" s="21" t="n">
        <v>0</v>
      </c>
      <c r="S6749" s="21" t="n">
        <v>0</v>
      </c>
      <c r="T6749" s="21" t="n">
        <v>0</v>
      </c>
      <c r="U6749" s="21" t="n">
        <v>0</v>
      </c>
      <c r="V6749" s="21" t="n">
        <v>0</v>
      </c>
      <c r="W6749" s="21" t="n">
        <v>0</v>
      </c>
      <c r="X6749" s="21" t="n">
        <v>0</v>
      </c>
      <c r="Y6749" s="21" t="n">
        <v>0</v>
      </c>
      <c r="Z6749" s="19" t="n"/>
    </row>
    <row r="6750">
      <c r="D6750" s="21" t="n">
        <v>0</v>
      </c>
      <c r="E6750" s="21" t="n">
        <v>0</v>
      </c>
      <c r="F6750" s="21" t="n">
        <v>0</v>
      </c>
      <c r="G6750" s="21" t="n">
        <v>0</v>
      </c>
      <c r="H6750" s="21">
        <f>-$B$5337</f>
        <v/>
      </c>
      <c r="I6750" s="21">
        <f>-$B$5338</f>
        <v/>
      </c>
      <c r="J6750" s="21">
        <f>2*$B$5337+$D$6735</f>
        <v/>
      </c>
      <c r="K6750" s="21">
        <f>0</f>
        <v/>
      </c>
      <c r="L6750" s="21">
        <f>-$B$5337</f>
        <v/>
      </c>
      <c r="M6750" s="21">
        <f>$B$5338</f>
        <v/>
      </c>
      <c r="N6750" s="21" t="n">
        <v>0</v>
      </c>
      <c r="O6750" s="21" t="n">
        <v>0</v>
      </c>
      <c r="P6750" s="21" t="n">
        <v>0</v>
      </c>
      <c r="Q6750" s="21" t="n">
        <v>0</v>
      </c>
      <c r="R6750" s="21" t="n">
        <v>0</v>
      </c>
      <c r="S6750" s="21" t="n">
        <v>0</v>
      </c>
      <c r="T6750" s="21" t="n">
        <v>0</v>
      </c>
      <c r="U6750" s="21" t="n">
        <v>0</v>
      </c>
      <c r="V6750" s="21" t="n">
        <v>0</v>
      </c>
      <c r="W6750" s="21" t="n">
        <v>0</v>
      </c>
      <c r="X6750" s="21" t="n">
        <v>0</v>
      </c>
      <c r="Y6750" s="21" t="n">
        <v>0</v>
      </c>
      <c r="Z6750" s="19" t="n"/>
    </row>
    <row r="6751">
      <c r="D6751" s="21" t="n">
        <v>0</v>
      </c>
      <c r="E6751" s="21" t="n">
        <v>0</v>
      </c>
      <c r="F6751" s="21" t="n">
        <v>0</v>
      </c>
      <c r="G6751" s="21" t="n">
        <v>0</v>
      </c>
      <c r="H6751" s="21">
        <f>$B$5338</f>
        <v/>
      </c>
      <c r="I6751" s="21">
        <f>$B$5340</f>
        <v/>
      </c>
      <c r="J6751" s="21">
        <f>0</f>
        <v/>
      </c>
      <c r="K6751" s="21">
        <f>2*$B$5339</f>
        <v/>
      </c>
      <c r="L6751" s="21">
        <f>-$B$5338</f>
        <v/>
      </c>
      <c r="M6751" s="21">
        <f>$B$5340</f>
        <v/>
      </c>
      <c r="N6751" s="21" t="n">
        <v>0</v>
      </c>
      <c r="O6751" s="21" t="n">
        <v>0</v>
      </c>
      <c r="P6751" s="21" t="n">
        <v>0</v>
      </c>
      <c r="Q6751" s="21" t="n">
        <v>0</v>
      </c>
      <c r="R6751" s="21" t="n">
        <v>0</v>
      </c>
      <c r="S6751" s="21" t="n">
        <v>0</v>
      </c>
      <c r="T6751" s="21" t="n">
        <v>0</v>
      </c>
      <c r="U6751" s="21" t="n">
        <v>0</v>
      </c>
      <c r="V6751" s="21" t="n">
        <v>0</v>
      </c>
      <c r="W6751" s="21" t="n">
        <v>0</v>
      </c>
      <c r="X6751" s="21" t="n">
        <v>0</v>
      </c>
      <c r="Y6751" s="21" t="n">
        <v>0</v>
      </c>
      <c r="Z6751" s="19" t="n"/>
    </row>
    <row r="6752">
      <c r="D6752" s="21" t="n">
        <v>0</v>
      </c>
      <c r="E6752" s="21" t="n">
        <v>0</v>
      </c>
      <c r="F6752" s="21" t="n">
        <v>0</v>
      </c>
      <c r="G6752" s="21" t="n">
        <v>0</v>
      </c>
      <c r="H6752" s="21" t="n">
        <v>0</v>
      </c>
      <c r="I6752" s="21" t="n">
        <v>0</v>
      </c>
      <c r="J6752" s="21">
        <f>-$B$5337</f>
        <v/>
      </c>
      <c r="K6752" s="21">
        <f>-$B$5338</f>
        <v/>
      </c>
      <c r="L6752" s="21">
        <f>2*$B$5337+$D$6736</f>
        <v/>
      </c>
      <c r="M6752" s="21">
        <f>0</f>
        <v/>
      </c>
      <c r="N6752" s="21">
        <f>-$B$5337</f>
        <v/>
      </c>
      <c r="O6752" s="21">
        <f>$B$5338</f>
        <v/>
      </c>
      <c r="P6752" s="21" t="n">
        <v>0</v>
      </c>
      <c r="Q6752" s="21" t="n">
        <v>0</v>
      </c>
      <c r="R6752" s="21" t="n">
        <v>0</v>
      </c>
      <c r="S6752" s="21" t="n">
        <v>0</v>
      </c>
      <c r="T6752" s="21" t="n">
        <v>0</v>
      </c>
      <c r="U6752" s="21" t="n">
        <v>0</v>
      </c>
      <c r="V6752" s="21" t="n">
        <v>0</v>
      </c>
      <c r="W6752" s="21" t="n">
        <v>0</v>
      </c>
      <c r="X6752" s="21" t="n">
        <v>0</v>
      </c>
      <c r="Y6752" s="21" t="n">
        <v>0</v>
      </c>
      <c r="Z6752" s="19" t="n"/>
    </row>
    <row r="6753">
      <c r="D6753" s="21" t="n">
        <v>0</v>
      </c>
      <c r="E6753" s="21" t="n">
        <v>0</v>
      </c>
      <c r="F6753" s="21" t="n">
        <v>0</v>
      </c>
      <c r="G6753" s="21" t="n">
        <v>0</v>
      </c>
      <c r="H6753" s="21" t="n">
        <v>0</v>
      </c>
      <c r="I6753" s="21" t="n">
        <v>0</v>
      </c>
      <c r="J6753" s="21">
        <f>$B$5338</f>
        <v/>
      </c>
      <c r="K6753" s="21">
        <f>$B$5340</f>
        <v/>
      </c>
      <c r="L6753" s="21">
        <f>0</f>
        <v/>
      </c>
      <c r="M6753" s="21">
        <f>2*$B$5339</f>
        <v/>
      </c>
      <c r="N6753" s="21">
        <f>-$B$5338</f>
        <v/>
      </c>
      <c r="O6753" s="21">
        <f>$B$5340</f>
        <v/>
      </c>
      <c r="P6753" s="21" t="n">
        <v>0</v>
      </c>
      <c r="Q6753" s="21" t="n">
        <v>0</v>
      </c>
      <c r="R6753" s="21" t="n">
        <v>0</v>
      </c>
      <c r="S6753" s="21" t="n">
        <v>0</v>
      </c>
      <c r="T6753" s="21" t="n">
        <v>0</v>
      </c>
      <c r="U6753" s="21" t="n">
        <v>0</v>
      </c>
      <c r="V6753" s="21" t="n">
        <v>0</v>
      </c>
      <c r="W6753" s="21" t="n">
        <v>0</v>
      </c>
      <c r="X6753" s="21" t="n">
        <v>0</v>
      </c>
      <c r="Y6753" s="21" t="n">
        <v>0</v>
      </c>
      <c r="Z6753" s="19" t="n"/>
    </row>
    <row r="6754">
      <c r="D6754" s="21" t="n">
        <v>0</v>
      </c>
      <c r="E6754" s="21" t="n">
        <v>0</v>
      </c>
      <c r="F6754" s="21" t="n">
        <v>0</v>
      </c>
      <c r="G6754" s="21" t="n">
        <v>0</v>
      </c>
      <c r="H6754" s="21" t="n">
        <v>0</v>
      </c>
      <c r="I6754" s="21" t="n">
        <v>0</v>
      </c>
      <c r="J6754" s="21" t="n">
        <v>0</v>
      </c>
      <c r="K6754" s="21" t="n">
        <v>0</v>
      </c>
      <c r="L6754" s="21">
        <f>-$B$5337</f>
        <v/>
      </c>
      <c r="M6754" s="21">
        <f>-$B$5338</f>
        <v/>
      </c>
      <c r="N6754" s="21">
        <f>2*$B$5337+$D$6737</f>
        <v/>
      </c>
      <c r="O6754" s="21">
        <f>0</f>
        <v/>
      </c>
      <c r="P6754" s="21">
        <f>-$B$5337</f>
        <v/>
      </c>
      <c r="Q6754" s="21">
        <f>$B$5338</f>
        <v/>
      </c>
      <c r="R6754" s="21" t="n">
        <v>0</v>
      </c>
      <c r="S6754" s="21" t="n">
        <v>0</v>
      </c>
      <c r="T6754" s="21" t="n">
        <v>0</v>
      </c>
      <c r="U6754" s="21" t="n">
        <v>0</v>
      </c>
      <c r="V6754" s="21" t="n">
        <v>0</v>
      </c>
      <c r="W6754" s="21" t="n">
        <v>0</v>
      </c>
      <c r="X6754" s="21" t="n">
        <v>0</v>
      </c>
      <c r="Y6754" s="21" t="n">
        <v>0</v>
      </c>
      <c r="Z6754" s="19" t="n"/>
    </row>
    <row r="6755">
      <c r="D6755" s="21" t="n">
        <v>0</v>
      </c>
      <c r="E6755" s="21" t="n">
        <v>0</v>
      </c>
      <c r="F6755" s="21" t="n">
        <v>0</v>
      </c>
      <c r="G6755" s="21" t="n">
        <v>0</v>
      </c>
      <c r="H6755" s="21" t="n">
        <v>0</v>
      </c>
      <c r="I6755" s="21" t="n">
        <v>0</v>
      </c>
      <c r="J6755" s="21" t="n">
        <v>0</v>
      </c>
      <c r="K6755" s="21" t="n">
        <v>0</v>
      </c>
      <c r="L6755" s="21">
        <f>$B$5338</f>
        <v/>
      </c>
      <c r="M6755" s="21">
        <f>$B$5340</f>
        <v/>
      </c>
      <c r="N6755" s="21">
        <f>0</f>
        <v/>
      </c>
      <c r="O6755" s="21">
        <f>2*$B$5339</f>
        <v/>
      </c>
      <c r="P6755" s="21">
        <f>-$B$5338</f>
        <v/>
      </c>
      <c r="Q6755" s="21">
        <f>$B$5340</f>
        <v/>
      </c>
      <c r="R6755" s="21" t="n">
        <v>0</v>
      </c>
      <c r="S6755" s="21" t="n">
        <v>0</v>
      </c>
      <c r="T6755" s="21" t="n">
        <v>0</v>
      </c>
      <c r="U6755" s="21" t="n">
        <v>0</v>
      </c>
      <c r="V6755" s="21" t="n">
        <v>0</v>
      </c>
      <c r="W6755" s="21" t="n">
        <v>0</v>
      </c>
      <c r="X6755" s="21" t="n">
        <v>0</v>
      </c>
      <c r="Y6755" s="21" t="n">
        <v>0</v>
      </c>
      <c r="Z6755" s="19" t="n"/>
    </row>
    <row r="6756">
      <c r="D6756" s="21" t="n">
        <v>0</v>
      </c>
      <c r="E6756" s="21" t="n">
        <v>0</v>
      </c>
      <c r="F6756" s="21" t="n">
        <v>0</v>
      </c>
      <c r="G6756" s="21" t="n">
        <v>0</v>
      </c>
      <c r="H6756" s="21" t="n">
        <v>0</v>
      </c>
      <c r="I6756" s="21" t="n">
        <v>0</v>
      </c>
      <c r="J6756" s="21" t="n">
        <v>0</v>
      </c>
      <c r="K6756" s="21" t="n">
        <v>0</v>
      </c>
      <c r="L6756" s="21" t="n">
        <v>0</v>
      </c>
      <c r="M6756" s="21" t="n">
        <v>0</v>
      </c>
      <c r="N6756" s="21">
        <f>-$B$5337</f>
        <v/>
      </c>
      <c r="O6756" s="21">
        <f>-$B$5338</f>
        <v/>
      </c>
      <c r="P6756" s="21">
        <f>2*$B$5337+$D$6738</f>
        <v/>
      </c>
      <c r="Q6756" s="21">
        <f>0</f>
        <v/>
      </c>
      <c r="R6756" s="21">
        <f>-$B$5337</f>
        <v/>
      </c>
      <c r="S6756" s="21">
        <f>$B$5338</f>
        <v/>
      </c>
      <c r="T6756" s="21" t="n">
        <v>0</v>
      </c>
      <c r="U6756" s="21" t="n">
        <v>0</v>
      </c>
      <c r="V6756" s="21" t="n">
        <v>0</v>
      </c>
      <c r="W6756" s="21" t="n">
        <v>0</v>
      </c>
      <c r="X6756" s="21" t="n">
        <v>0</v>
      </c>
      <c r="Y6756" s="21" t="n">
        <v>0</v>
      </c>
      <c r="Z6756" s="19" t="n"/>
    </row>
    <row r="6757">
      <c r="D6757" s="21" t="n">
        <v>0</v>
      </c>
      <c r="E6757" s="21" t="n">
        <v>0</v>
      </c>
      <c r="F6757" s="21" t="n">
        <v>0</v>
      </c>
      <c r="G6757" s="21" t="n">
        <v>0</v>
      </c>
      <c r="H6757" s="21" t="n">
        <v>0</v>
      </c>
      <c r="I6757" s="21" t="n">
        <v>0</v>
      </c>
      <c r="J6757" s="21" t="n">
        <v>0</v>
      </c>
      <c r="K6757" s="21" t="n">
        <v>0</v>
      </c>
      <c r="L6757" s="21" t="n">
        <v>0</v>
      </c>
      <c r="M6757" s="21" t="n">
        <v>0</v>
      </c>
      <c r="N6757" s="21">
        <f>$B$5338</f>
        <v/>
      </c>
      <c r="O6757" s="21">
        <f>$B$5340</f>
        <v/>
      </c>
      <c r="P6757" s="21">
        <f>0</f>
        <v/>
      </c>
      <c r="Q6757" s="21">
        <f>2*$B$5339</f>
        <v/>
      </c>
      <c r="R6757" s="21">
        <f>-$B$5338</f>
        <v/>
      </c>
      <c r="S6757" s="21">
        <f>$B$5340</f>
        <v/>
      </c>
      <c r="T6757" s="21" t="n">
        <v>0</v>
      </c>
      <c r="U6757" s="21" t="n">
        <v>0</v>
      </c>
      <c r="V6757" s="21" t="n">
        <v>0</v>
      </c>
      <c r="W6757" s="21" t="n">
        <v>0</v>
      </c>
      <c r="X6757" s="21" t="n">
        <v>0</v>
      </c>
      <c r="Y6757" s="21" t="n">
        <v>0</v>
      </c>
      <c r="Z6757" s="19" t="n"/>
    </row>
    <row r="6758">
      <c r="D6758" s="21" t="n">
        <v>0</v>
      </c>
      <c r="E6758" s="21" t="n">
        <v>0</v>
      </c>
      <c r="F6758" s="21" t="n">
        <v>0</v>
      </c>
      <c r="G6758" s="21" t="n">
        <v>0</v>
      </c>
      <c r="H6758" s="21" t="n">
        <v>0</v>
      </c>
      <c r="I6758" s="21" t="n">
        <v>0</v>
      </c>
      <c r="J6758" s="21" t="n">
        <v>0</v>
      </c>
      <c r="K6758" s="21" t="n">
        <v>0</v>
      </c>
      <c r="L6758" s="21" t="n">
        <v>0</v>
      </c>
      <c r="M6758" s="21" t="n">
        <v>0</v>
      </c>
      <c r="N6758" s="21" t="n">
        <v>0</v>
      </c>
      <c r="O6758" s="21" t="n">
        <v>0</v>
      </c>
      <c r="P6758" s="21">
        <f>-$B$5337</f>
        <v/>
      </c>
      <c r="Q6758" s="21">
        <f>-$B$5338</f>
        <v/>
      </c>
      <c r="R6758" s="21">
        <f>2*$B$5337+$D$6739</f>
        <v/>
      </c>
      <c r="S6758" s="21">
        <f>0</f>
        <v/>
      </c>
      <c r="T6758" s="21">
        <f>-$B$5337</f>
        <v/>
      </c>
      <c r="U6758" s="21">
        <f>$B$5338</f>
        <v/>
      </c>
      <c r="V6758" s="21" t="n">
        <v>0</v>
      </c>
      <c r="W6758" s="21" t="n">
        <v>0</v>
      </c>
      <c r="X6758" s="21" t="n">
        <v>0</v>
      </c>
      <c r="Y6758" s="21" t="n">
        <v>0</v>
      </c>
      <c r="Z6758" s="19" t="n"/>
    </row>
    <row r="6759">
      <c r="D6759" s="21" t="n">
        <v>0</v>
      </c>
      <c r="E6759" s="21" t="n">
        <v>0</v>
      </c>
      <c r="F6759" s="21" t="n">
        <v>0</v>
      </c>
      <c r="G6759" s="21" t="n">
        <v>0</v>
      </c>
      <c r="H6759" s="21" t="n">
        <v>0</v>
      </c>
      <c r="I6759" s="21" t="n">
        <v>0</v>
      </c>
      <c r="J6759" s="21" t="n">
        <v>0</v>
      </c>
      <c r="K6759" s="21" t="n">
        <v>0</v>
      </c>
      <c r="L6759" s="21" t="n">
        <v>0</v>
      </c>
      <c r="M6759" s="21" t="n">
        <v>0</v>
      </c>
      <c r="N6759" s="21" t="n">
        <v>0</v>
      </c>
      <c r="O6759" s="21" t="n">
        <v>0</v>
      </c>
      <c r="P6759" s="21">
        <f>$B$5338</f>
        <v/>
      </c>
      <c r="Q6759" s="21">
        <f>$B$5340</f>
        <v/>
      </c>
      <c r="R6759" s="21">
        <f>0</f>
        <v/>
      </c>
      <c r="S6759" s="21">
        <f>2*$B$5339</f>
        <v/>
      </c>
      <c r="T6759" s="21">
        <f>-$B$5338</f>
        <v/>
      </c>
      <c r="U6759" s="21">
        <f>$B$5340</f>
        <v/>
      </c>
      <c r="V6759" s="21" t="n">
        <v>0</v>
      </c>
      <c r="W6759" s="21" t="n">
        <v>0</v>
      </c>
      <c r="X6759" s="21" t="n">
        <v>0</v>
      </c>
      <c r="Y6759" s="21" t="n">
        <v>0</v>
      </c>
      <c r="Z6759" s="19" t="n"/>
    </row>
    <row r="6760">
      <c r="D6760" s="21" t="n">
        <v>0</v>
      </c>
      <c r="E6760" s="21" t="n">
        <v>0</v>
      </c>
      <c r="F6760" s="21" t="n">
        <v>0</v>
      </c>
      <c r="G6760" s="21" t="n">
        <v>0</v>
      </c>
      <c r="H6760" s="21" t="n">
        <v>0</v>
      </c>
      <c r="I6760" s="21" t="n">
        <v>0</v>
      </c>
      <c r="J6760" s="21" t="n">
        <v>0</v>
      </c>
      <c r="K6760" s="21" t="n">
        <v>0</v>
      </c>
      <c r="L6760" s="21" t="n">
        <v>0</v>
      </c>
      <c r="M6760" s="21" t="n">
        <v>0</v>
      </c>
      <c r="N6760" s="21" t="n">
        <v>0</v>
      </c>
      <c r="O6760" s="21" t="n">
        <v>0</v>
      </c>
      <c r="P6760" s="21" t="n">
        <v>0</v>
      </c>
      <c r="Q6760" s="21" t="n">
        <v>0</v>
      </c>
      <c r="R6760" s="21">
        <f>-$B$5337</f>
        <v/>
      </c>
      <c r="S6760" s="21">
        <f>-$B$5338</f>
        <v/>
      </c>
      <c r="T6760" s="21">
        <f>2*$B$5337+$D$6740</f>
        <v/>
      </c>
      <c r="U6760" s="21">
        <f>0</f>
        <v/>
      </c>
      <c r="V6760" s="21">
        <f>-$B$5337</f>
        <v/>
      </c>
      <c r="W6760" s="21">
        <f>$B$5338</f>
        <v/>
      </c>
      <c r="X6760" s="21" t="n">
        <v>0</v>
      </c>
      <c r="Y6760" s="21" t="n">
        <v>0</v>
      </c>
      <c r="Z6760" s="19" t="n"/>
    </row>
    <row r="6761">
      <c r="D6761" s="21" t="n">
        <v>0</v>
      </c>
      <c r="E6761" s="21" t="n">
        <v>0</v>
      </c>
      <c r="F6761" s="21" t="n">
        <v>0</v>
      </c>
      <c r="G6761" s="21" t="n">
        <v>0</v>
      </c>
      <c r="H6761" s="21" t="n">
        <v>0</v>
      </c>
      <c r="I6761" s="21" t="n">
        <v>0</v>
      </c>
      <c r="J6761" s="21" t="n">
        <v>0</v>
      </c>
      <c r="K6761" s="21" t="n">
        <v>0</v>
      </c>
      <c r="L6761" s="21" t="n">
        <v>0</v>
      </c>
      <c r="M6761" s="21" t="n">
        <v>0</v>
      </c>
      <c r="N6761" s="21" t="n">
        <v>0</v>
      </c>
      <c r="O6761" s="21" t="n">
        <v>0</v>
      </c>
      <c r="P6761" s="21" t="n">
        <v>0</v>
      </c>
      <c r="Q6761" s="21" t="n">
        <v>0</v>
      </c>
      <c r="R6761" s="21">
        <f>$B$5338</f>
        <v/>
      </c>
      <c r="S6761" s="21">
        <f>$B$5340</f>
        <v/>
      </c>
      <c r="T6761" s="21">
        <f>0</f>
        <v/>
      </c>
      <c r="U6761" s="21">
        <f>2*$B$5339</f>
        <v/>
      </c>
      <c r="V6761" s="21">
        <f>-$B$5338</f>
        <v/>
      </c>
      <c r="W6761" s="21">
        <f>$B$5340</f>
        <v/>
      </c>
      <c r="X6761" s="21" t="n">
        <v>0</v>
      </c>
      <c r="Y6761" s="21" t="n">
        <v>0</v>
      </c>
      <c r="Z6761" s="19" t="n"/>
    </row>
    <row r="6762">
      <c r="D6762" s="21" t="n">
        <v>0</v>
      </c>
      <c r="E6762" s="21" t="n">
        <v>0</v>
      </c>
      <c r="F6762" s="21" t="n">
        <v>0</v>
      </c>
      <c r="G6762" s="21" t="n">
        <v>0</v>
      </c>
      <c r="H6762" s="21" t="n">
        <v>0</v>
      </c>
      <c r="I6762" s="21" t="n">
        <v>0</v>
      </c>
      <c r="J6762" s="21" t="n">
        <v>0</v>
      </c>
      <c r="K6762" s="21" t="n">
        <v>0</v>
      </c>
      <c r="L6762" s="21" t="n">
        <v>0</v>
      </c>
      <c r="M6762" s="21" t="n">
        <v>0</v>
      </c>
      <c r="N6762" s="21" t="n">
        <v>0</v>
      </c>
      <c r="O6762" s="21" t="n">
        <v>0</v>
      </c>
      <c r="P6762" s="21" t="n">
        <v>0</v>
      </c>
      <c r="Q6762" s="21" t="n">
        <v>0</v>
      </c>
      <c r="R6762" s="21" t="n">
        <v>0</v>
      </c>
      <c r="S6762" s="21" t="n">
        <v>0</v>
      </c>
      <c r="T6762" s="21">
        <f>-$B$5337</f>
        <v/>
      </c>
      <c r="U6762" s="21">
        <f>-$B$5338</f>
        <v/>
      </c>
      <c r="V6762" s="21">
        <f>2*$B$5337+$D$6741</f>
        <v/>
      </c>
      <c r="W6762" s="21">
        <f>0</f>
        <v/>
      </c>
      <c r="X6762" s="21">
        <f>-$B$5337</f>
        <v/>
      </c>
      <c r="Y6762" s="21">
        <f>$B$5338</f>
        <v/>
      </c>
      <c r="Z6762" s="19" t="n"/>
    </row>
    <row r="6763">
      <c r="D6763" s="21" t="n">
        <v>0</v>
      </c>
      <c r="E6763" s="21" t="n">
        <v>0</v>
      </c>
      <c r="F6763" s="21" t="n">
        <v>0</v>
      </c>
      <c r="G6763" s="21" t="n">
        <v>0</v>
      </c>
      <c r="H6763" s="21" t="n">
        <v>0</v>
      </c>
      <c r="I6763" s="21" t="n">
        <v>0</v>
      </c>
      <c r="J6763" s="21" t="n">
        <v>0</v>
      </c>
      <c r="K6763" s="21" t="n">
        <v>0</v>
      </c>
      <c r="L6763" s="21" t="n">
        <v>0</v>
      </c>
      <c r="M6763" s="21" t="n">
        <v>0</v>
      </c>
      <c r="N6763" s="21" t="n">
        <v>0</v>
      </c>
      <c r="O6763" s="21" t="n">
        <v>0</v>
      </c>
      <c r="P6763" s="21" t="n">
        <v>0</v>
      </c>
      <c r="Q6763" s="21" t="n">
        <v>0</v>
      </c>
      <c r="R6763" s="21" t="n">
        <v>0</v>
      </c>
      <c r="S6763" s="21" t="n">
        <v>0</v>
      </c>
      <c r="T6763" s="21">
        <f>$B$5338</f>
        <v/>
      </c>
      <c r="U6763" s="21">
        <f>$B$5340</f>
        <v/>
      </c>
      <c r="V6763" s="21">
        <f>0</f>
        <v/>
      </c>
      <c r="W6763" s="21">
        <f>2*$B$5339</f>
        <v/>
      </c>
      <c r="X6763" s="21">
        <f>-$B$5338</f>
        <v/>
      </c>
      <c r="Y6763" s="21">
        <f>$B$5340</f>
        <v/>
      </c>
      <c r="Z6763" s="19" t="n"/>
    </row>
    <row r="6764">
      <c r="D6764" s="21" t="n">
        <v>0</v>
      </c>
      <c r="E6764" s="21" t="n">
        <v>0</v>
      </c>
      <c r="F6764" s="21" t="n">
        <v>0</v>
      </c>
      <c r="G6764" s="21" t="n">
        <v>0</v>
      </c>
      <c r="H6764" s="21" t="n">
        <v>0</v>
      </c>
      <c r="I6764" s="21" t="n">
        <v>0</v>
      </c>
      <c r="J6764" s="21" t="n">
        <v>0</v>
      </c>
      <c r="K6764" s="21" t="n">
        <v>0</v>
      </c>
      <c r="L6764" s="21" t="n">
        <v>0</v>
      </c>
      <c r="M6764" s="21" t="n">
        <v>0</v>
      </c>
      <c r="N6764" s="21" t="n">
        <v>0</v>
      </c>
      <c r="O6764" s="21" t="n">
        <v>0</v>
      </c>
      <c r="P6764" s="21" t="n">
        <v>0</v>
      </c>
      <c r="Q6764" s="21" t="n">
        <v>0</v>
      </c>
      <c r="R6764" s="21" t="n">
        <v>0</v>
      </c>
      <c r="S6764" s="21" t="n">
        <v>0</v>
      </c>
      <c r="T6764" s="21" t="n">
        <v>0</v>
      </c>
      <c r="U6764" s="21" t="n">
        <v>0</v>
      </c>
      <c r="V6764" s="21">
        <f>-$B$5337</f>
        <v/>
      </c>
      <c r="W6764" s="21">
        <f>-$B$5338</f>
        <v/>
      </c>
      <c r="X6764" s="21">
        <f>$B$5337+$D$6742</f>
        <v/>
      </c>
      <c r="Y6764" s="21">
        <f>-$B$5338</f>
        <v/>
      </c>
      <c r="Z6764" s="19" t="n"/>
    </row>
    <row r="6765">
      <c r="D6765" s="21" t="n">
        <v>0</v>
      </c>
      <c r="E6765" s="21" t="n">
        <v>0</v>
      </c>
      <c r="F6765" s="21" t="n">
        <v>0</v>
      </c>
      <c r="G6765" s="21" t="n">
        <v>0</v>
      </c>
      <c r="H6765" s="21" t="n">
        <v>0</v>
      </c>
      <c r="I6765" s="21" t="n">
        <v>0</v>
      </c>
      <c r="J6765" s="21" t="n">
        <v>0</v>
      </c>
      <c r="K6765" s="21" t="n">
        <v>0</v>
      </c>
      <c r="L6765" s="21" t="n">
        <v>0</v>
      </c>
      <c r="M6765" s="21" t="n">
        <v>0</v>
      </c>
      <c r="N6765" s="21" t="n">
        <v>0</v>
      </c>
      <c r="O6765" s="21" t="n">
        <v>0</v>
      </c>
      <c r="P6765" s="21" t="n">
        <v>0</v>
      </c>
      <c r="Q6765" s="21" t="n">
        <v>0</v>
      </c>
      <c r="R6765" s="21" t="n">
        <v>0</v>
      </c>
      <c r="S6765" s="21" t="n">
        <v>0</v>
      </c>
      <c r="T6765" s="21" t="n">
        <v>0</v>
      </c>
      <c r="U6765" s="21" t="n">
        <v>0</v>
      </c>
      <c r="V6765" s="21">
        <f>$B$5338</f>
        <v/>
      </c>
      <c r="W6765" s="21">
        <f>$B$5340</f>
        <v/>
      </c>
      <c r="X6765" s="21">
        <f>-$B$5338</f>
        <v/>
      </c>
      <c r="Y6765" s="21">
        <f>$B$5339</f>
        <v/>
      </c>
      <c r="Z6765" s="19" t="n"/>
    </row>
    <row r="6767">
      <c r="A6767" s="8" t="inlineStr">
        <is>
          <t>gen 39</t>
        </is>
      </c>
    </row>
    <row r="6768">
      <c r="D6768" s="19">
        <f>IF(ABS(IF(ABS($E$6732)&gt;0.000000001,$E$6732,0.000000001))=0,0,IF($E$5352&lt;=$B$5346,0,IF(ABS(IF(ABS($E$6732)&gt;0.000000001,$E$6732,0.000000001))&gt;=8*$B$5348,$H$5352,0.5*$H$5352*(ABS(IF(ABS($E$6732)&gt;0.000000001,$E$6732,0.000000001))/$B$5348)^(1/3)))/ABS(IF(ABS($E$6732)&gt;0.000000001,$E$6732,0.000000001))*$I$5352)</f>
        <v/>
      </c>
      <c r="E6768" s="19">
        <f>0.5*$E$6732+0.5*$Z$6780</f>
        <v/>
      </c>
      <c r="F6768" s="19">
        <f>$Z$6781</f>
        <v/>
      </c>
    </row>
    <row r="6769">
      <c r="D6769" s="19">
        <f>IF(ABS(IF(ABS($E$6733)&gt;0.000000001,$E$6733,0.000000001))=0,0,IF($E$5353&lt;=$B$5346,0,IF(ABS(IF(ABS($E$6733)&gt;0.000000001,$E$6733,0.000000001))&gt;=8*$B$5348,$H$5353,0.5*$H$5353*(ABS(IF(ABS($E$6733)&gt;0.000000001,$E$6733,0.000000001))/$B$5348)^(1/3)))/ABS(IF(ABS($E$6733)&gt;0.000000001,$E$6733,0.000000001))*$I$5353)</f>
        <v/>
      </c>
      <c r="E6769" s="19">
        <f>0.5*$E$6733+0.5*$Z$6782</f>
        <v/>
      </c>
      <c r="F6769" s="19">
        <f>$Z$6783</f>
        <v/>
      </c>
    </row>
    <row r="6770">
      <c r="D6770" s="19">
        <f>IF(ABS(IF(ABS($E$6734)&gt;0.000000001,$E$6734,0.000000001))=0,0,IF($E$5354&lt;=$B$5346,0,IF(ABS(IF(ABS($E$6734)&gt;0.000000001,$E$6734,0.000000001))&gt;=8*$B$5348,$H$5354,0.5*$H$5354*(ABS(IF(ABS($E$6734)&gt;0.000000001,$E$6734,0.000000001))/$B$5348)^(1/3)))/ABS(IF(ABS($E$6734)&gt;0.000000001,$E$6734,0.000000001))*$I$5354)</f>
        <v/>
      </c>
      <c r="E6770" s="19">
        <f>0.5*$E$6734+0.5*$Z$6784</f>
        <v/>
      </c>
      <c r="F6770" s="19">
        <f>$Z$6785</f>
        <v/>
      </c>
    </row>
    <row r="6771">
      <c r="D6771" s="19">
        <f>IF(ABS(IF(ABS($E$6735)&gt;0.000000001,$E$6735,0.000000001))=0,0,IF($E$5355&lt;=$B$5346,0,IF(ABS(IF(ABS($E$6735)&gt;0.000000001,$E$6735,0.000000001))&gt;=8*$B$5348,$H$5355,0.5*$H$5355*(ABS(IF(ABS($E$6735)&gt;0.000000001,$E$6735,0.000000001))/$B$5348)^(1/3)))/ABS(IF(ABS($E$6735)&gt;0.000000001,$E$6735,0.000000001))*$I$5355)</f>
        <v/>
      </c>
      <c r="E6771" s="19">
        <f>0.5*$E$6735+0.5*$Z$6786</f>
        <v/>
      </c>
      <c r="F6771" s="19">
        <f>$Z$6787</f>
        <v/>
      </c>
    </row>
    <row r="6772">
      <c r="D6772" s="19">
        <f>IF(ABS(IF(ABS($E$6736)&gt;0.000000001,$E$6736,0.000000001))=0,0,IF($E$5356&lt;=$B$5346,0,IF(ABS(IF(ABS($E$6736)&gt;0.000000001,$E$6736,0.000000001))&gt;=8*$B$5348,$H$5356,0.5*$H$5356*(ABS(IF(ABS($E$6736)&gt;0.000000001,$E$6736,0.000000001))/$B$5348)^(1/3)))/ABS(IF(ABS($E$6736)&gt;0.000000001,$E$6736,0.000000001))*$I$5356)</f>
        <v/>
      </c>
      <c r="E6772" s="19">
        <f>0.5*$E$6736+0.5*$Z$6788</f>
        <v/>
      </c>
      <c r="F6772" s="19">
        <f>$Z$6789</f>
        <v/>
      </c>
    </row>
    <row r="6773">
      <c r="D6773" s="19">
        <f>IF(ABS(IF(ABS($E$6737)&gt;0.000000001,$E$6737,0.000000001))=0,0,IF($E$5357&lt;=$B$5346,0,IF(ABS(IF(ABS($E$6737)&gt;0.000000001,$E$6737,0.000000001))&gt;=8*$B$5348,$H$5357,0.5*$H$5357*(ABS(IF(ABS($E$6737)&gt;0.000000001,$E$6737,0.000000001))/$B$5348)^(1/3)))/ABS(IF(ABS($E$6737)&gt;0.000000001,$E$6737,0.000000001))*$I$5357)</f>
        <v/>
      </c>
      <c r="E6773" s="19">
        <f>0.5*$E$6737+0.5*$Z$6790</f>
        <v/>
      </c>
      <c r="F6773" s="19">
        <f>$Z$6791</f>
        <v/>
      </c>
    </row>
    <row r="6774">
      <c r="D6774" s="19">
        <f>IF(ABS(IF(ABS($E$6738)&gt;0.000000001,$E$6738,0.000000001))=0,0,IF($E$5358&lt;=$B$5346,0,IF(ABS(IF(ABS($E$6738)&gt;0.000000001,$E$6738,0.000000001))&gt;=8*$B$5348,$H$5358,0.5*$H$5358*(ABS(IF(ABS($E$6738)&gt;0.000000001,$E$6738,0.000000001))/$B$5348)^(1/3)))/ABS(IF(ABS($E$6738)&gt;0.000000001,$E$6738,0.000000001))*$I$5358)</f>
        <v/>
      </c>
      <c r="E6774" s="19">
        <f>0.5*$E$6738+0.5*$Z$6792</f>
        <v/>
      </c>
      <c r="F6774" s="19">
        <f>$Z$6793</f>
        <v/>
      </c>
    </row>
    <row r="6775">
      <c r="D6775" s="19">
        <f>IF(ABS(IF(ABS($E$6739)&gt;0.000000001,$E$6739,0.000000001))=0,0,IF($E$5359&lt;=$B$5346,0,IF(ABS(IF(ABS($E$6739)&gt;0.000000001,$E$6739,0.000000001))&gt;=8*$B$5348,$H$5359,0.5*$H$5359*(ABS(IF(ABS($E$6739)&gt;0.000000001,$E$6739,0.000000001))/$B$5348)^(1/3)))/ABS(IF(ABS($E$6739)&gt;0.000000001,$E$6739,0.000000001))*$I$5359)</f>
        <v/>
      </c>
      <c r="E6775" s="19">
        <f>0.5*$E$6739+0.5*$Z$6794</f>
        <v/>
      </c>
      <c r="F6775" s="19">
        <f>$Z$6795</f>
        <v/>
      </c>
    </row>
    <row r="6776">
      <c r="D6776" s="19">
        <f>IF(ABS(IF(ABS($E$6740)&gt;0.000000001,$E$6740,0.000000001))=0,0,IF($E$5360&lt;=$B$5346,0,IF(ABS(IF(ABS($E$6740)&gt;0.000000001,$E$6740,0.000000001))&gt;=8*$B$5348,$H$5360,0.5*$H$5360*(ABS(IF(ABS($E$6740)&gt;0.000000001,$E$6740,0.000000001))/$B$5348)^(1/3)))/ABS(IF(ABS($E$6740)&gt;0.000000001,$E$6740,0.000000001))*$I$5360)</f>
        <v/>
      </c>
      <c r="E6776" s="19">
        <f>0.5*$E$6740+0.5*$Z$6796</f>
        <v/>
      </c>
      <c r="F6776" s="19">
        <f>$Z$6797</f>
        <v/>
      </c>
    </row>
    <row r="6777">
      <c r="D6777" s="19">
        <f>IF(ABS(IF(ABS($E$6741)&gt;0.000000001,$E$6741,0.000000001))=0,0,IF($E$5361&lt;=$B$5346,0,IF(ABS(IF(ABS($E$6741)&gt;0.000000001,$E$6741,0.000000001))&gt;=8*$B$5348,$H$5361,0.5*$H$5361*(ABS(IF(ABS($E$6741)&gt;0.000000001,$E$6741,0.000000001))/$B$5348)^(1/3)))/ABS(IF(ABS($E$6741)&gt;0.000000001,$E$6741,0.000000001))*$I$5361)</f>
        <v/>
      </c>
      <c r="E6777" s="19">
        <f>0.5*$E$6741+0.5*$Z$6798</f>
        <v/>
      </c>
      <c r="F6777" s="19">
        <f>$Z$6799</f>
        <v/>
      </c>
    </row>
    <row r="6778">
      <c r="D6778" s="19">
        <f>IF(ABS(IF(ABS($E$6742)&gt;0.000000001,$E$6742,0.000000001))=0,0,IF($E$5362&lt;=$B$5346,0,IF(ABS(IF(ABS($E$6742)&gt;0.000000001,$E$6742,0.000000001))&gt;=8*$B$5348,$H$5362,0.5*$H$5362*(ABS(IF(ABS($E$6742)&gt;0.000000001,$E$6742,0.000000001))/$B$5348)^(1/3)))/ABS(IF(ABS($E$6742)&gt;0.000000001,$E$6742,0.000000001))*$I$5362)</f>
        <v/>
      </c>
      <c r="E6778" s="19">
        <f>0.5*$E$6742+0.5*$Z$6800</f>
        <v/>
      </c>
      <c r="F6778" s="19">
        <f>$Z$6801</f>
        <v/>
      </c>
    </row>
    <row r="6780">
      <c r="D6780" s="21">
        <f>$B$5337+$D$6768</f>
        <v/>
      </c>
      <c r="E6780" s="21">
        <f>$B$5338</f>
        <v/>
      </c>
      <c r="F6780" s="21">
        <f>-$B$5337</f>
        <v/>
      </c>
      <c r="G6780" s="21">
        <f>$B$5338</f>
        <v/>
      </c>
      <c r="H6780" s="21" t="n">
        <v>0</v>
      </c>
      <c r="I6780" s="21" t="n">
        <v>0</v>
      </c>
      <c r="J6780" s="21" t="n">
        <v>0</v>
      </c>
      <c r="K6780" s="21" t="n">
        <v>0</v>
      </c>
      <c r="L6780" s="21" t="n">
        <v>0</v>
      </c>
      <c r="M6780" s="21" t="n">
        <v>0</v>
      </c>
      <c r="N6780" s="21" t="n">
        <v>0</v>
      </c>
      <c r="O6780" s="21" t="n">
        <v>0</v>
      </c>
      <c r="P6780" s="21" t="n">
        <v>0</v>
      </c>
      <c r="Q6780" s="21" t="n">
        <v>0</v>
      </c>
      <c r="R6780" s="21" t="n">
        <v>0</v>
      </c>
      <c r="S6780" s="21" t="n">
        <v>0</v>
      </c>
      <c r="T6780" s="21" t="n">
        <v>0</v>
      </c>
      <c r="U6780" s="21" t="n">
        <v>0</v>
      </c>
      <c r="V6780" s="21" t="n">
        <v>0</v>
      </c>
      <c r="W6780" s="21" t="n">
        <v>0</v>
      </c>
      <c r="X6780" s="21" t="n">
        <v>0</v>
      </c>
      <c r="Y6780" s="21" t="n">
        <v>0</v>
      </c>
      <c r="Z6780" s="19">
        <f t="array" ref="Z6780:Z6801">MMULT(MINVERSE($D$6780:$Y$6801),$D$5364:$D$5385)</f>
        <v/>
      </c>
    </row>
    <row r="6781">
      <c r="D6781" s="21">
        <f>$B$5338</f>
        <v/>
      </c>
      <c r="E6781" s="21">
        <f>$B$5339</f>
        <v/>
      </c>
      <c r="F6781" s="21">
        <f>-$B$5338</f>
        <v/>
      </c>
      <c r="G6781" s="21">
        <f>$B$5340</f>
        <v/>
      </c>
      <c r="H6781" s="21" t="n">
        <v>0</v>
      </c>
      <c r="I6781" s="21" t="n">
        <v>0</v>
      </c>
      <c r="J6781" s="21" t="n">
        <v>0</v>
      </c>
      <c r="K6781" s="21" t="n">
        <v>0</v>
      </c>
      <c r="L6781" s="21" t="n">
        <v>0</v>
      </c>
      <c r="M6781" s="21" t="n">
        <v>0</v>
      </c>
      <c r="N6781" s="21" t="n">
        <v>0</v>
      </c>
      <c r="O6781" s="21" t="n">
        <v>0</v>
      </c>
      <c r="P6781" s="21" t="n">
        <v>0</v>
      </c>
      <c r="Q6781" s="21" t="n">
        <v>0</v>
      </c>
      <c r="R6781" s="21" t="n">
        <v>0</v>
      </c>
      <c r="S6781" s="21" t="n">
        <v>0</v>
      </c>
      <c r="T6781" s="21" t="n">
        <v>0</v>
      </c>
      <c r="U6781" s="21" t="n">
        <v>0</v>
      </c>
      <c r="V6781" s="21" t="n">
        <v>0</v>
      </c>
      <c r="W6781" s="21" t="n">
        <v>0</v>
      </c>
      <c r="X6781" s="21" t="n">
        <v>0</v>
      </c>
      <c r="Y6781" s="21" t="n">
        <v>0</v>
      </c>
      <c r="Z6781" s="19" t="n"/>
    </row>
    <row r="6782">
      <c r="D6782" s="21">
        <f>-$B$5337</f>
        <v/>
      </c>
      <c r="E6782" s="21">
        <f>-$B$5338</f>
        <v/>
      </c>
      <c r="F6782" s="21">
        <f>2*$B$5337+$D$6769</f>
        <v/>
      </c>
      <c r="G6782" s="21">
        <f>0</f>
        <v/>
      </c>
      <c r="H6782" s="21">
        <f>-$B$5337</f>
        <v/>
      </c>
      <c r="I6782" s="21">
        <f>$B$5338</f>
        <v/>
      </c>
      <c r="J6782" s="21" t="n">
        <v>0</v>
      </c>
      <c r="K6782" s="21" t="n">
        <v>0</v>
      </c>
      <c r="L6782" s="21" t="n">
        <v>0</v>
      </c>
      <c r="M6782" s="21" t="n">
        <v>0</v>
      </c>
      <c r="N6782" s="21" t="n">
        <v>0</v>
      </c>
      <c r="O6782" s="21" t="n">
        <v>0</v>
      </c>
      <c r="P6782" s="21" t="n">
        <v>0</v>
      </c>
      <c r="Q6782" s="21" t="n">
        <v>0</v>
      </c>
      <c r="R6782" s="21" t="n">
        <v>0</v>
      </c>
      <c r="S6782" s="21" t="n">
        <v>0</v>
      </c>
      <c r="T6782" s="21" t="n">
        <v>0</v>
      </c>
      <c r="U6782" s="21" t="n">
        <v>0</v>
      </c>
      <c r="V6782" s="21" t="n">
        <v>0</v>
      </c>
      <c r="W6782" s="21" t="n">
        <v>0</v>
      </c>
      <c r="X6782" s="21" t="n">
        <v>0</v>
      </c>
      <c r="Y6782" s="21" t="n">
        <v>0</v>
      </c>
      <c r="Z6782" s="19" t="n"/>
    </row>
    <row r="6783">
      <c r="D6783" s="21">
        <f>$B$5338</f>
        <v/>
      </c>
      <c r="E6783" s="21">
        <f>$B$5340</f>
        <v/>
      </c>
      <c r="F6783" s="21">
        <f>0</f>
        <v/>
      </c>
      <c r="G6783" s="21">
        <f>2*$B$5339</f>
        <v/>
      </c>
      <c r="H6783" s="21">
        <f>-$B$5338</f>
        <v/>
      </c>
      <c r="I6783" s="21">
        <f>$B$5340</f>
        <v/>
      </c>
      <c r="J6783" s="21" t="n">
        <v>0</v>
      </c>
      <c r="K6783" s="21" t="n">
        <v>0</v>
      </c>
      <c r="L6783" s="21" t="n">
        <v>0</v>
      </c>
      <c r="M6783" s="21" t="n">
        <v>0</v>
      </c>
      <c r="N6783" s="21" t="n">
        <v>0</v>
      </c>
      <c r="O6783" s="21" t="n">
        <v>0</v>
      </c>
      <c r="P6783" s="21" t="n">
        <v>0</v>
      </c>
      <c r="Q6783" s="21" t="n">
        <v>0</v>
      </c>
      <c r="R6783" s="21" t="n">
        <v>0</v>
      </c>
      <c r="S6783" s="21" t="n">
        <v>0</v>
      </c>
      <c r="T6783" s="21" t="n">
        <v>0</v>
      </c>
      <c r="U6783" s="21" t="n">
        <v>0</v>
      </c>
      <c r="V6783" s="21" t="n">
        <v>0</v>
      </c>
      <c r="W6783" s="21" t="n">
        <v>0</v>
      </c>
      <c r="X6783" s="21" t="n">
        <v>0</v>
      </c>
      <c r="Y6783" s="21" t="n">
        <v>0</v>
      </c>
      <c r="Z6783" s="19" t="n"/>
    </row>
    <row r="6784">
      <c r="D6784" s="21" t="n">
        <v>0</v>
      </c>
      <c r="E6784" s="21" t="n">
        <v>0</v>
      </c>
      <c r="F6784" s="21">
        <f>-$B$5337</f>
        <v/>
      </c>
      <c r="G6784" s="21">
        <f>-$B$5338</f>
        <v/>
      </c>
      <c r="H6784" s="21">
        <f>2*$B$5337+$D$6770</f>
        <v/>
      </c>
      <c r="I6784" s="21">
        <f>0</f>
        <v/>
      </c>
      <c r="J6784" s="21">
        <f>-$B$5337</f>
        <v/>
      </c>
      <c r="K6784" s="21">
        <f>$B$5338</f>
        <v/>
      </c>
      <c r="L6784" s="21" t="n">
        <v>0</v>
      </c>
      <c r="M6784" s="21" t="n">
        <v>0</v>
      </c>
      <c r="N6784" s="21" t="n">
        <v>0</v>
      </c>
      <c r="O6784" s="21" t="n">
        <v>0</v>
      </c>
      <c r="P6784" s="21" t="n">
        <v>0</v>
      </c>
      <c r="Q6784" s="21" t="n">
        <v>0</v>
      </c>
      <c r="R6784" s="21" t="n">
        <v>0</v>
      </c>
      <c r="S6784" s="21" t="n">
        <v>0</v>
      </c>
      <c r="T6784" s="21" t="n">
        <v>0</v>
      </c>
      <c r="U6784" s="21" t="n">
        <v>0</v>
      </c>
      <c r="V6784" s="21" t="n">
        <v>0</v>
      </c>
      <c r="W6784" s="21" t="n">
        <v>0</v>
      </c>
      <c r="X6784" s="21" t="n">
        <v>0</v>
      </c>
      <c r="Y6784" s="21" t="n">
        <v>0</v>
      </c>
      <c r="Z6784" s="19" t="n"/>
    </row>
    <row r="6785">
      <c r="D6785" s="21" t="n">
        <v>0</v>
      </c>
      <c r="E6785" s="21" t="n">
        <v>0</v>
      </c>
      <c r="F6785" s="21">
        <f>$B$5338</f>
        <v/>
      </c>
      <c r="G6785" s="21">
        <f>$B$5340</f>
        <v/>
      </c>
      <c r="H6785" s="21">
        <f>0</f>
        <v/>
      </c>
      <c r="I6785" s="21">
        <f>2*$B$5339</f>
        <v/>
      </c>
      <c r="J6785" s="21">
        <f>-$B$5338</f>
        <v/>
      </c>
      <c r="K6785" s="21">
        <f>$B$5340</f>
        <v/>
      </c>
      <c r="L6785" s="21" t="n">
        <v>0</v>
      </c>
      <c r="M6785" s="21" t="n">
        <v>0</v>
      </c>
      <c r="N6785" s="21" t="n">
        <v>0</v>
      </c>
      <c r="O6785" s="21" t="n">
        <v>0</v>
      </c>
      <c r="P6785" s="21" t="n">
        <v>0</v>
      </c>
      <c r="Q6785" s="21" t="n">
        <v>0</v>
      </c>
      <c r="R6785" s="21" t="n">
        <v>0</v>
      </c>
      <c r="S6785" s="21" t="n">
        <v>0</v>
      </c>
      <c r="T6785" s="21" t="n">
        <v>0</v>
      </c>
      <c r="U6785" s="21" t="n">
        <v>0</v>
      </c>
      <c r="V6785" s="21" t="n">
        <v>0</v>
      </c>
      <c r="W6785" s="21" t="n">
        <v>0</v>
      </c>
      <c r="X6785" s="21" t="n">
        <v>0</v>
      </c>
      <c r="Y6785" s="21" t="n">
        <v>0</v>
      </c>
      <c r="Z6785" s="19" t="n"/>
    </row>
    <row r="6786">
      <c r="D6786" s="21" t="n">
        <v>0</v>
      </c>
      <c r="E6786" s="21" t="n">
        <v>0</v>
      </c>
      <c r="F6786" s="21" t="n">
        <v>0</v>
      </c>
      <c r="G6786" s="21" t="n">
        <v>0</v>
      </c>
      <c r="H6786" s="21">
        <f>-$B$5337</f>
        <v/>
      </c>
      <c r="I6786" s="21">
        <f>-$B$5338</f>
        <v/>
      </c>
      <c r="J6786" s="21">
        <f>2*$B$5337+$D$6771</f>
        <v/>
      </c>
      <c r="K6786" s="21">
        <f>0</f>
        <v/>
      </c>
      <c r="L6786" s="21">
        <f>-$B$5337</f>
        <v/>
      </c>
      <c r="M6786" s="21">
        <f>$B$5338</f>
        <v/>
      </c>
      <c r="N6786" s="21" t="n">
        <v>0</v>
      </c>
      <c r="O6786" s="21" t="n">
        <v>0</v>
      </c>
      <c r="P6786" s="21" t="n">
        <v>0</v>
      </c>
      <c r="Q6786" s="21" t="n">
        <v>0</v>
      </c>
      <c r="R6786" s="21" t="n">
        <v>0</v>
      </c>
      <c r="S6786" s="21" t="n">
        <v>0</v>
      </c>
      <c r="T6786" s="21" t="n">
        <v>0</v>
      </c>
      <c r="U6786" s="21" t="n">
        <v>0</v>
      </c>
      <c r="V6786" s="21" t="n">
        <v>0</v>
      </c>
      <c r="W6786" s="21" t="n">
        <v>0</v>
      </c>
      <c r="X6786" s="21" t="n">
        <v>0</v>
      </c>
      <c r="Y6786" s="21" t="n">
        <v>0</v>
      </c>
      <c r="Z6786" s="19" t="n"/>
    </row>
    <row r="6787">
      <c r="D6787" s="21" t="n">
        <v>0</v>
      </c>
      <c r="E6787" s="21" t="n">
        <v>0</v>
      </c>
      <c r="F6787" s="21" t="n">
        <v>0</v>
      </c>
      <c r="G6787" s="21" t="n">
        <v>0</v>
      </c>
      <c r="H6787" s="21">
        <f>$B$5338</f>
        <v/>
      </c>
      <c r="I6787" s="21">
        <f>$B$5340</f>
        <v/>
      </c>
      <c r="J6787" s="21">
        <f>0</f>
        <v/>
      </c>
      <c r="K6787" s="21">
        <f>2*$B$5339</f>
        <v/>
      </c>
      <c r="L6787" s="21">
        <f>-$B$5338</f>
        <v/>
      </c>
      <c r="M6787" s="21">
        <f>$B$5340</f>
        <v/>
      </c>
      <c r="N6787" s="21" t="n">
        <v>0</v>
      </c>
      <c r="O6787" s="21" t="n">
        <v>0</v>
      </c>
      <c r="P6787" s="21" t="n">
        <v>0</v>
      </c>
      <c r="Q6787" s="21" t="n">
        <v>0</v>
      </c>
      <c r="R6787" s="21" t="n">
        <v>0</v>
      </c>
      <c r="S6787" s="21" t="n">
        <v>0</v>
      </c>
      <c r="T6787" s="21" t="n">
        <v>0</v>
      </c>
      <c r="U6787" s="21" t="n">
        <v>0</v>
      </c>
      <c r="V6787" s="21" t="n">
        <v>0</v>
      </c>
      <c r="W6787" s="21" t="n">
        <v>0</v>
      </c>
      <c r="X6787" s="21" t="n">
        <v>0</v>
      </c>
      <c r="Y6787" s="21" t="n">
        <v>0</v>
      </c>
      <c r="Z6787" s="19" t="n"/>
    </row>
    <row r="6788">
      <c r="D6788" s="21" t="n">
        <v>0</v>
      </c>
      <c r="E6788" s="21" t="n">
        <v>0</v>
      </c>
      <c r="F6788" s="21" t="n">
        <v>0</v>
      </c>
      <c r="G6788" s="21" t="n">
        <v>0</v>
      </c>
      <c r="H6788" s="21" t="n">
        <v>0</v>
      </c>
      <c r="I6788" s="21" t="n">
        <v>0</v>
      </c>
      <c r="J6788" s="21">
        <f>-$B$5337</f>
        <v/>
      </c>
      <c r="K6788" s="21">
        <f>-$B$5338</f>
        <v/>
      </c>
      <c r="L6788" s="21">
        <f>2*$B$5337+$D$6772</f>
        <v/>
      </c>
      <c r="M6788" s="21">
        <f>0</f>
        <v/>
      </c>
      <c r="N6788" s="21">
        <f>-$B$5337</f>
        <v/>
      </c>
      <c r="O6788" s="21">
        <f>$B$5338</f>
        <v/>
      </c>
      <c r="P6788" s="21" t="n">
        <v>0</v>
      </c>
      <c r="Q6788" s="21" t="n">
        <v>0</v>
      </c>
      <c r="R6788" s="21" t="n">
        <v>0</v>
      </c>
      <c r="S6788" s="21" t="n">
        <v>0</v>
      </c>
      <c r="T6788" s="21" t="n">
        <v>0</v>
      </c>
      <c r="U6788" s="21" t="n">
        <v>0</v>
      </c>
      <c r="V6788" s="21" t="n">
        <v>0</v>
      </c>
      <c r="W6788" s="21" t="n">
        <v>0</v>
      </c>
      <c r="X6788" s="21" t="n">
        <v>0</v>
      </c>
      <c r="Y6788" s="21" t="n">
        <v>0</v>
      </c>
      <c r="Z6788" s="19" t="n"/>
    </row>
    <row r="6789">
      <c r="D6789" s="21" t="n">
        <v>0</v>
      </c>
      <c r="E6789" s="21" t="n">
        <v>0</v>
      </c>
      <c r="F6789" s="21" t="n">
        <v>0</v>
      </c>
      <c r="G6789" s="21" t="n">
        <v>0</v>
      </c>
      <c r="H6789" s="21" t="n">
        <v>0</v>
      </c>
      <c r="I6789" s="21" t="n">
        <v>0</v>
      </c>
      <c r="J6789" s="21">
        <f>$B$5338</f>
        <v/>
      </c>
      <c r="K6789" s="21">
        <f>$B$5340</f>
        <v/>
      </c>
      <c r="L6789" s="21">
        <f>0</f>
        <v/>
      </c>
      <c r="M6789" s="21">
        <f>2*$B$5339</f>
        <v/>
      </c>
      <c r="N6789" s="21">
        <f>-$B$5338</f>
        <v/>
      </c>
      <c r="O6789" s="21">
        <f>$B$5340</f>
        <v/>
      </c>
      <c r="P6789" s="21" t="n">
        <v>0</v>
      </c>
      <c r="Q6789" s="21" t="n">
        <v>0</v>
      </c>
      <c r="R6789" s="21" t="n">
        <v>0</v>
      </c>
      <c r="S6789" s="21" t="n">
        <v>0</v>
      </c>
      <c r="T6789" s="21" t="n">
        <v>0</v>
      </c>
      <c r="U6789" s="21" t="n">
        <v>0</v>
      </c>
      <c r="V6789" s="21" t="n">
        <v>0</v>
      </c>
      <c r="W6789" s="21" t="n">
        <v>0</v>
      </c>
      <c r="X6789" s="21" t="n">
        <v>0</v>
      </c>
      <c r="Y6789" s="21" t="n">
        <v>0</v>
      </c>
      <c r="Z6789" s="19" t="n"/>
    </row>
    <row r="6790">
      <c r="D6790" s="21" t="n">
        <v>0</v>
      </c>
      <c r="E6790" s="21" t="n">
        <v>0</v>
      </c>
      <c r="F6790" s="21" t="n">
        <v>0</v>
      </c>
      <c r="G6790" s="21" t="n">
        <v>0</v>
      </c>
      <c r="H6790" s="21" t="n">
        <v>0</v>
      </c>
      <c r="I6790" s="21" t="n">
        <v>0</v>
      </c>
      <c r="J6790" s="21" t="n">
        <v>0</v>
      </c>
      <c r="K6790" s="21" t="n">
        <v>0</v>
      </c>
      <c r="L6790" s="21">
        <f>-$B$5337</f>
        <v/>
      </c>
      <c r="M6790" s="21">
        <f>-$B$5338</f>
        <v/>
      </c>
      <c r="N6790" s="21">
        <f>2*$B$5337+$D$6773</f>
        <v/>
      </c>
      <c r="O6790" s="21">
        <f>0</f>
        <v/>
      </c>
      <c r="P6790" s="21">
        <f>-$B$5337</f>
        <v/>
      </c>
      <c r="Q6790" s="21">
        <f>$B$5338</f>
        <v/>
      </c>
      <c r="R6790" s="21" t="n">
        <v>0</v>
      </c>
      <c r="S6790" s="21" t="n">
        <v>0</v>
      </c>
      <c r="T6790" s="21" t="n">
        <v>0</v>
      </c>
      <c r="U6790" s="21" t="n">
        <v>0</v>
      </c>
      <c r="V6790" s="21" t="n">
        <v>0</v>
      </c>
      <c r="W6790" s="21" t="n">
        <v>0</v>
      </c>
      <c r="X6790" s="21" t="n">
        <v>0</v>
      </c>
      <c r="Y6790" s="21" t="n">
        <v>0</v>
      </c>
      <c r="Z6790" s="19" t="n"/>
    </row>
    <row r="6791">
      <c r="D6791" s="21" t="n">
        <v>0</v>
      </c>
      <c r="E6791" s="21" t="n">
        <v>0</v>
      </c>
      <c r="F6791" s="21" t="n">
        <v>0</v>
      </c>
      <c r="G6791" s="21" t="n">
        <v>0</v>
      </c>
      <c r="H6791" s="21" t="n">
        <v>0</v>
      </c>
      <c r="I6791" s="21" t="n">
        <v>0</v>
      </c>
      <c r="J6791" s="21" t="n">
        <v>0</v>
      </c>
      <c r="K6791" s="21" t="n">
        <v>0</v>
      </c>
      <c r="L6791" s="21">
        <f>$B$5338</f>
        <v/>
      </c>
      <c r="M6791" s="21">
        <f>$B$5340</f>
        <v/>
      </c>
      <c r="N6791" s="21">
        <f>0</f>
        <v/>
      </c>
      <c r="O6791" s="21">
        <f>2*$B$5339</f>
        <v/>
      </c>
      <c r="P6791" s="21">
        <f>-$B$5338</f>
        <v/>
      </c>
      <c r="Q6791" s="21">
        <f>$B$5340</f>
        <v/>
      </c>
      <c r="R6791" s="21" t="n">
        <v>0</v>
      </c>
      <c r="S6791" s="21" t="n">
        <v>0</v>
      </c>
      <c r="T6791" s="21" t="n">
        <v>0</v>
      </c>
      <c r="U6791" s="21" t="n">
        <v>0</v>
      </c>
      <c r="V6791" s="21" t="n">
        <v>0</v>
      </c>
      <c r="W6791" s="21" t="n">
        <v>0</v>
      </c>
      <c r="X6791" s="21" t="n">
        <v>0</v>
      </c>
      <c r="Y6791" s="21" t="n">
        <v>0</v>
      </c>
      <c r="Z6791" s="19" t="n"/>
    </row>
    <row r="6792">
      <c r="D6792" s="21" t="n">
        <v>0</v>
      </c>
      <c r="E6792" s="21" t="n">
        <v>0</v>
      </c>
      <c r="F6792" s="21" t="n">
        <v>0</v>
      </c>
      <c r="G6792" s="21" t="n">
        <v>0</v>
      </c>
      <c r="H6792" s="21" t="n">
        <v>0</v>
      </c>
      <c r="I6792" s="21" t="n">
        <v>0</v>
      </c>
      <c r="J6792" s="21" t="n">
        <v>0</v>
      </c>
      <c r="K6792" s="21" t="n">
        <v>0</v>
      </c>
      <c r="L6792" s="21" t="n">
        <v>0</v>
      </c>
      <c r="M6792" s="21" t="n">
        <v>0</v>
      </c>
      <c r="N6792" s="21">
        <f>-$B$5337</f>
        <v/>
      </c>
      <c r="O6792" s="21">
        <f>-$B$5338</f>
        <v/>
      </c>
      <c r="P6792" s="21">
        <f>2*$B$5337+$D$6774</f>
        <v/>
      </c>
      <c r="Q6792" s="21">
        <f>0</f>
        <v/>
      </c>
      <c r="R6792" s="21">
        <f>-$B$5337</f>
        <v/>
      </c>
      <c r="S6792" s="21">
        <f>$B$5338</f>
        <v/>
      </c>
      <c r="T6792" s="21" t="n">
        <v>0</v>
      </c>
      <c r="U6792" s="21" t="n">
        <v>0</v>
      </c>
      <c r="V6792" s="21" t="n">
        <v>0</v>
      </c>
      <c r="W6792" s="21" t="n">
        <v>0</v>
      </c>
      <c r="X6792" s="21" t="n">
        <v>0</v>
      </c>
      <c r="Y6792" s="21" t="n">
        <v>0</v>
      </c>
      <c r="Z6792" s="19" t="n"/>
    </row>
    <row r="6793">
      <c r="D6793" s="21" t="n">
        <v>0</v>
      </c>
      <c r="E6793" s="21" t="n">
        <v>0</v>
      </c>
      <c r="F6793" s="21" t="n">
        <v>0</v>
      </c>
      <c r="G6793" s="21" t="n">
        <v>0</v>
      </c>
      <c r="H6793" s="21" t="n">
        <v>0</v>
      </c>
      <c r="I6793" s="21" t="n">
        <v>0</v>
      </c>
      <c r="J6793" s="21" t="n">
        <v>0</v>
      </c>
      <c r="K6793" s="21" t="n">
        <v>0</v>
      </c>
      <c r="L6793" s="21" t="n">
        <v>0</v>
      </c>
      <c r="M6793" s="21" t="n">
        <v>0</v>
      </c>
      <c r="N6793" s="21">
        <f>$B$5338</f>
        <v/>
      </c>
      <c r="O6793" s="21">
        <f>$B$5340</f>
        <v/>
      </c>
      <c r="P6793" s="21">
        <f>0</f>
        <v/>
      </c>
      <c r="Q6793" s="21">
        <f>2*$B$5339</f>
        <v/>
      </c>
      <c r="R6793" s="21">
        <f>-$B$5338</f>
        <v/>
      </c>
      <c r="S6793" s="21">
        <f>$B$5340</f>
        <v/>
      </c>
      <c r="T6793" s="21" t="n">
        <v>0</v>
      </c>
      <c r="U6793" s="21" t="n">
        <v>0</v>
      </c>
      <c r="V6793" s="21" t="n">
        <v>0</v>
      </c>
      <c r="W6793" s="21" t="n">
        <v>0</v>
      </c>
      <c r="X6793" s="21" t="n">
        <v>0</v>
      </c>
      <c r="Y6793" s="21" t="n">
        <v>0</v>
      </c>
      <c r="Z6793" s="19" t="n"/>
    </row>
    <row r="6794">
      <c r="D6794" s="21" t="n">
        <v>0</v>
      </c>
      <c r="E6794" s="21" t="n">
        <v>0</v>
      </c>
      <c r="F6794" s="21" t="n">
        <v>0</v>
      </c>
      <c r="G6794" s="21" t="n">
        <v>0</v>
      </c>
      <c r="H6794" s="21" t="n">
        <v>0</v>
      </c>
      <c r="I6794" s="21" t="n">
        <v>0</v>
      </c>
      <c r="J6794" s="21" t="n">
        <v>0</v>
      </c>
      <c r="K6794" s="21" t="n">
        <v>0</v>
      </c>
      <c r="L6794" s="21" t="n">
        <v>0</v>
      </c>
      <c r="M6794" s="21" t="n">
        <v>0</v>
      </c>
      <c r="N6794" s="21" t="n">
        <v>0</v>
      </c>
      <c r="O6794" s="21" t="n">
        <v>0</v>
      </c>
      <c r="P6794" s="21">
        <f>-$B$5337</f>
        <v/>
      </c>
      <c r="Q6794" s="21">
        <f>-$B$5338</f>
        <v/>
      </c>
      <c r="R6794" s="21">
        <f>2*$B$5337+$D$6775</f>
        <v/>
      </c>
      <c r="S6794" s="21">
        <f>0</f>
        <v/>
      </c>
      <c r="T6794" s="21">
        <f>-$B$5337</f>
        <v/>
      </c>
      <c r="U6794" s="21">
        <f>$B$5338</f>
        <v/>
      </c>
      <c r="V6794" s="21" t="n">
        <v>0</v>
      </c>
      <c r="W6794" s="21" t="n">
        <v>0</v>
      </c>
      <c r="X6794" s="21" t="n">
        <v>0</v>
      </c>
      <c r="Y6794" s="21" t="n">
        <v>0</v>
      </c>
      <c r="Z6794" s="19" t="n"/>
    </row>
    <row r="6795">
      <c r="D6795" s="21" t="n">
        <v>0</v>
      </c>
      <c r="E6795" s="21" t="n">
        <v>0</v>
      </c>
      <c r="F6795" s="21" t="n">
        <v>0</v>
      </c>
      <c r="G6795" s="21" t="n">
        <v>0</v>
      </c>
      <c r="H6795" s="21" t="n">
        <v>0</v>
      </c>
      <c r="I6795" s="21" t="n">
        <v>0</v>
      </c>
      <c r="J6795" s="21" t="n">
        <v>0</v>
      </c>
      <c r="K6795" s="21" t="n">
        <v>0</v>
      </c>
      <c r="L6795" s="21" t="n">
        <v>0</v>
      </c>
      <c r="M6795" s="21" t="n">
        <v>0</v>
      </c>
      <c r="N6795" s="21" t="n">
        <v>0</v>
      </c>
      <c r="O6795" s="21" t="n">
        <v>0</v>
      </c>
      <c r="P6795" s="21">
        <f>$B$5338</f>
        <v/>
      </c>
      <c r="Q6795" s="21">
        <f>$B$5340</f>
        <v/>
      </c>
      <c r="R6795" s="21">
        <f>0</f>
        <v/>
      </c>
      <c r="S6795" s="21">
        <f>2*$B$5339</f>
        <v/>
      </c>
      <c r="T6795" s="21">
        <f>-$B$5338</f>
        <v/>
      </c>
      <c r="U6795" s="21">
        <f>$B$5340</f>
        <v/>
      </c>
      <c r="V6795" s="21" t="n">
        <v>0</v>
      </c>
      <c r="W6795" s="21" t="n">
        <v>0</v>
      </c>
      <c r="X6795" s="21" t="n">
        <v>0</v>
      </c>
      <c r="Y6795" s="21" t="n">
        <v>0</v>
      </c>
      <c r="Z6795" s="19" t="n"/>
    </row>
    <row r="6796">
      <c r="D6796" s="21" t="n">
        <v>0</v>
      </c>
      <c r="E6796" s="21" t="n">
        <v>0</v>
      </c>
      <c r="F6796" s="21" t="n">
        <v>0</v>
      </c>
      <c r="G6796" s="21" t="n">
        <v>0</v>
      </c>
      <c r="H6796" s="21" t="n">
        <v>0</v>
      </c>
      <c r="I6796" s="21" t="n">
        <v>0</v>
      </c>
      <c r="J6796" s="21" t="n">
        <v>0</v>
      </c>
      <c r="K6796" s="21" t="n">
        <v>0</v>
      </c>
      <c r="L6796" s="21" t="n">
        <v>0</v>
      </c>
      <c r="M6796" s="21" t="n">
        <v>0</v>
      </c>
      <c r="N6796" s="21" t="n">
        <v>0</v>
      </c>
      <c r="O6796" s="21" t="n">
        <v>0</v>
      </c>
      <c r="P6796" s="21" t="n">
        <v>0</v>
      </c>
      <c r="Q6796" s="21" t="n">
        <v>0</v>
      </c>
      <c r="R6796" s="21">
        <f>-$B$5337</f>
        <v/>
      </c>
      <c r="S6796" s="21">
        <f>-$B$5338</f>
        <v/>
      </c>
      <c r="T6796" s="21">
        <f>2*$B$5337+$D$6776</f>
        <v/>
      </c>
      <c r="U6796" s="21">
        <f>0</f>
        <v/>
      </c>
      <c r="V6796" s="21">
        <f>-$B$5337</f>
        <v/>
      </c>
      <c r="W6796" s="21">
        <f>$B$5338</f>
        <v/>
      </c>
      <c r="X6796" s="21" t="n">
        <v>0</v>
      </c>
      <c r="Y6796" s="21" t="n">
        <v>0</v>
      </c>
      <c r="Z6796" s="19" t="n"/>
    </row>
    <row r="6797">
      <c r="D6797" s="21" t="n">
        <v>0</v>
      </c>
      <c r="E6797" s="21" t="n">
        <v>0</v>
      </c>
      <c r="F6797" s="21" t="n">
        <v>0</v>
      </c>
      <c r="G6797" s="21" t="n">
        <v>0</v>
      </c>
      <c r="H6797" s="21" t="n">
        <v>0</v>
      </c>
      <c r="I6797" s="21" t="n">
        <v>0</v>
      </c>
      <c r="J6797" s="21" t="n">
        <v>0</v>
      </c>
      <c r="K6797" s="21" t="n">
        <v>0</v>
      </c>
      <c r="L6797" s="21" t="n">
        <v>0</v>
      </c>
      <c r="M6797" s="21" t="n">
        <v>0</v>
      </c>
      <c r="N6797" s="21" t="n">
        <v>0</v>
      </c>
      <c r="O6797" s="21" t="n">
        <v>0</v>
      </c>
      <c r="P6797" s="21" t="n">
        <v>0</v>
      </c>
      <c r="Q6797" s="21" t="n">
        <v>0</v>
      </c>
      <c r="R6797" s="21">
        <f>$B$5338</f>
        <v/>
      </c>
      <c r="S6797" s="21">
        <f>$B$5340</f>
        <v/>
      </c>
      <c r="T6797" s="21">
        <f>0</f>
        <v/>
      </c>
      <c r="U6797" s="21">
        <f>2*$B$5339</f>
        <v/>
      </c>
      <c r="V6797" s="21">
        <f>-$B$5338</f>
        <v/>
      </c>
      <c r="W6797" s="21">
        <f>$B$5340</f>
        <v/>
      </c>
      <c r="X6797" s="21" t="n">
        <v>0</v>
      </c>
      <c r="Y6797" s="21" t="n">
        <v>0</v>
      </c>
      <c r="Z6797" s="19" t="n"/>
    </row>
    <row r="6798">
      <c r="D6798" s="21" t="n">
        <v>0</v>
      </c>
      <c r="E6798" s="21" t="n">
        <v>0</v>
      </c>
      <c r="F6798" s="21" t="n">
        <v>0</v>
      </c>
      <c r="G6798" s="21" t="n">
        <v>0</v>
      </c>
      <c r="H6798" s="21" t="n">
        <v>0</v>
      </c>
      <c r="I6798" s="21" t="n">
        <v>0</v>
      </c>
      <c r="J6798" s="21" t="n">
        <v>0</v>
      </c>
      <c r="K6798" s="21" t="n">
        <v>0</v>
      </c>
      <c r="L6798" s="21" t="n">
        <v>0</v>
      </c>
      <c r="M6798" s="21" t="n">
        <v>0</v>
      </c>
      <c r="N6798" s="21" t="n">
        <v>0</v>
      </c>
      <c r="O6798" s="21" t="n">
        <v>0</v>
      </c>
      <c r="P6798" s="21" t="n">
        <v>0</v>
      </c>
      <c r="Q6798" s="21" t="n">
        <v>0</v>
      </c>
      <c r="R6798" s="21" t="n">
        <v>0</v>
      </c>
      <c r="S6798" s="21" t="n">
        <v>0</v>
      </c>
      <c r="T6798" s="21">
        <f>-$B$5337</f>
        <v/>
      </c>
      <c r="U6798" s="21">
        <f>-$B$5338</f>
        <v/>
      </c>
      <c r="V6798" s="21">
        <f>2*$B$5337+$D$6777</f>
        <v/>
      </c>
      <c r="W6798" s="21">
        <f>0</f>
        <v/>
      </c>
      <c r="X6798" s="21">
        <f>-$B$5337</f>
        <v/>
      </c>
      <c r="Y6798" s="21">
        <f>$B$5338</f>
        <v/>
      </c>
      <c r="Z6798" s="19" t="n"/>
    </row>
    <row r="6799">
      <c r="D6799" s="21" t="n">
        <v>0</v>
      </c>
      <c r="E6799" s="21" t="n">
        <v>0</v>
      </c>
      <c r="F6799" s="21" t="n">
        <v>0</v>
      </c>
      <c r="G6799" s="21" t="n">
        <v>0</v>
      </c>
      <c r="H6799" s="21" t="n">
        <v>0</v>
      </c>
      <c r="I6799" s="21" t="n">
        <v>0</v>
      </c>
      <c r="J6799" s="21" t="n">
        <v>0</v>
      </c>
      <c r="K6799" s="21" t="n">
        <v>0</v>
      </c>
      <c r="L6799" s="21" t="n">
        <v>0</v>
      </c>
      <c r="M6799" s="21" t="n">
        <v>0</v>
      </c>
      <c r="N6799" s="21" t="n">
        <v>0</v>
      </c>
      <c r="O6799" s="21" t="n">
        <v>0</v>
      </c>
      <c r="P6799" s="21" t="n">
        <v>0</v>
      </c>
      <c r="Q6799" s="21" t="n">
        <v>0</v>
      </c>
      <c r="R6799" s="21" t="n">
        <v>0</v>
      </c>
      <c r="S6799" s="21" t="n">
        <v>0</v>
      </c>
      <c r="T6799" s="21">
        <f>$B$5338</f>
        <v/>
      </c>
      <c r="U6799" s="21">
        <f>$B$5340</f>
        <v/>
      </c>
      <c r="V6799" s="21">
        <f>0</f>
        <v/>
      </c>
      <c r="W6799" s="21">
        <f>2*$B$5339</f>
        <v/>
      </c>
      <c r="X6799" s="21">
        <f>-$B$5338</f>
        <v/>
      </c>
      <c r="Y6799" s="21">
        <f>$B$5340</f>
        <v/>
      </c>
      <c r="Z6799" s="19" t="n"/>
    </row>
    <row r="6800">
      <c r="D6800" s="21" t="n">
        <v>0</v>
      </c>
      <c r="E6800" s="21" t="n">
        <v>0</v>
      </c>
      <c r="F6800" s="21" t="n">
        <v>0</v>
      </c>
      <c r="G6800" s="21" t="n">
        <v>0</v>
      </c>
      <c r="H6800" s="21" t="n">
        <v>0</v>
      </c>
      <c r="I6800" s="21" t="n">
        <v>0</v>
      </c>
      <c r="J6800" s="21" t="n">
        <v>0</v>
      </c>
      <c r="K6800" s="21" t="n">
        <v>0</v>
      </c>
      <c r="L6800" s="21" t="n">
        <v>0</v>
      </c>
      <c r="M6800" s="21" t="n">
        <v>0</v>
      </c>
      <c r="N6800" s="21" t="n">
        <v>0</v>
      </c>
      <c r="O6800" s="21" t="n">
        <v>0</v>
      </c>
      <c r="P6800" s="21" t="n">
        <v>0</v>
      </c>
      <c r="Q6800" s="21" t="n">
        <v>0</v>
      </c>
      <c r="R6800" s="21" t="n">
        <v>0</v>
      </c>
      <c r="S6800" s="21" t="n">
        <v>0</v>
      </c>
      <c r="T6800" s="21" t="n">
        <v>0</v>
      </c>
      <c r="U6800" s="21" t="n">
        <v>0</v>
      </c>
      <c r="V6800" s="21">
        <f>-$B$5337</f>
        <v/>
      </c>
      <c r="W6800" s="21">
        <f>-$B$5338</f>
        <v/>
      </c>
      <c r="X6800" s="21">
        <f>$B$5337+$D$6778</f>
        <v/>
      </c>
      <c r="Y6800" s="21">
        <f>-$B$5338</f>
        <v/>
      </c>
      <c r="Z6800" s="19" t="n"/>
    </row>
    <row r="6801">
      <c r="D6801" s="21" t="n">
        <v>0</v>
      </c>
      <c r="E6801" s="21" t="n">
        <v>0</v>
      </c>
      <c r="F6801" s="21" t="n">
        <v>0</v>
      </c>
      <c r="G6801" s="21" t="n">
        <v>0</v>
      </c>
      <c r="H6801" s="21" t="n">
        <v>0</v>
      </c>
      <c r="I6801" s="21" t="n">
        <v>0</v>
      </c>
      <c r="J6801" s="21" t="n">
        <v>0</v>
      </c>
      <c r="K6801" s="21" t="n">
        <v>0</v>
      </c>
      <c r="L6801" s="21" t="n">
        <v>0</v>
      </c>
      <c r="M6801" s="21" t="n">
        <v>0</v>
      </c>
      <c r="N6801" s="21" t="n">
        <v>0</v>
      </c>
      <c r="O6801" s="21" t="n">
        <v>0</v>
      </c>
      <c r="P6801" s="21" t="n">
        <v>0</v>
      </c>
      <c r="Q6801" s="21" t="n">
        <v>0</v>
      </c>
      <c r="R6801" s="21" t="n">
        <v>0</v>
      </c>
      <c r="S6801" s="21" t="n">
        <v>0</v>
      </c>
      <c r="T6801" s="21" t="n">
        <v>0</v>
      </c>
      <c r="U6801" s="21" t="n">
        <v>0</v>
      </c>
      <c r="V6801" s="21">
        <f>$B$5338</f>
        <v/>
      </c>
      <c r="W6801" s="21">
        <f>$B$5340</f>
        <v/>
      </c>
      <c r="X6801" s="21">
        <f>-$B$5338</f>
        <v/>
      </c>
      <c r="Y6801" s="21">
        <f>$B$5339</f>
        <v/>
      </c>
      <c r="Z6801" s="19" t="n"/>
    </row>
    <row r="6803">
      <c r="A6803" s="8" t="inlineStr">
        <is>
          <t>gen 40</t>
        </is>
      </c>
    </row>
    <row r="6804">
      <c r="D6804" s="19">
        <f>IF(ABS(IF(ABS($E$6768)&gt;0.000000001,$E$6768,0.000000001))=0,0,IF($E$5352&lt;=$B$5346,0,IF(ABS(IF(ABS($E$6768)&gt;0.000000001,$E$6768,0.000000001))&gt;=8*$B$5348,$H$5352,0.5*$H$5352*(ABS(IF(ABS($E$6768)&gt;0.000000001,$E$6768,0.000000001))/$B$5348)^(1/3)))/ABS(IF(ABS($E$6768)&gt;0.000000001,$E$6768,0.000000001))*$I$5352)</f>
        <v/>
      </c>
      <c r="E6804" s="19">
        <f>0.5*$E$6768+0.5*$Z$6816</f>
        <v/>
      </c>
      <c r="F6804" s="19">
        <f>$Z$6817</f>
        <v/>
      </c>
    </row>
    <row r="6805">
      <c r="D6805" s="19">
        <f>IF(ABS(IF(ABS($E$6769)&gt;0.000000001,$E$6769,0.000000001))=0,0,IF($E$5353&lt;=$B$5346,0,IF(ABS(IF(ABS($E$6769)&gt;0.000000001,$E$6769,0.000000001))&gt;=8*$B$5348,$H$5353,0.5*$H$5353*(ABS(IF(ABS($E$6769)&gt;0.000000001,$E$6769,0.000000001))/$B$5348)^(1/3)))/ABS(IF(ABS($E$6769)&gt;0.000000001,$E$6769,0.000000001))*$I$5353)</f>
        <v/>
      </c>
      <c r="E6805" s="19">
        <f>0.5*$E$6769+0.5*$Z$6818</f>
        <v/>
      </c>
      <c r="F6805" s="19">
        <f>$Z$6819</f>
        <v/>
      </c>
    </row>
    <row r="6806">
      <c r="D6806" s="19">
        <f>IF(ABS(IF(ABS($E$6770)&gt;0.000000001,$E$6770,0.000000001))=0,0,IF($E$5354&lt;=$B$5346,0,IF(ABS(IF(ABS($E$6770)&gt;0.000000001,$E$6770,0.000000001))&gt;=8*$B$5348,$H$5354,0.5*$H$5354*(ABS(IF(ABS($E$6770)&gt;0.000000001,$E$6770,0.000000001))/$B$5348)^(1/3)))/ABS(IF(ABS($E$6770)&gt;0.000000001,$E$6770,0.000000001))*$I$5354)</f>
        <v/>
      </c>
      <c r="E6806" s="19">
        <f>0.5*$E$6770+0.5*$Z$6820</f>
        <v/>
      </c>
      <c r="F6806" s="19">
        <f>$Z$6821</f>
        <v/>
      </c>
    </row>
    <row r="6807">
      <c r="D6807" s="19">
        <f>IF(ABS(IF(ABS($E$6771)&gt;0.000000001,$E$6771,0.000000001))=0,0,IF($E$5355&lt;=$B$5346,0,IF(ABS(IF(ABS($E$6771)&gt;0.000000001,$E$6771,0.000000001))&gt;=8*$B$5348,$H$5355,0.5*$H$5355*(ABS(IF(ABS($E$6771)&gt;0.000000001,$E$6771,0.000000001))/$B$5348)^(1/3)))/ABS(IF(ABS($E$6771)&gt;0.000000001,$E$6771,0.000000001))*$I$5355)</f>
        <v/>
      </c>
      <c r="E6807" s="19">
        <f>0.5*$E$6771+0.5*$Z$6822</f>
        <v/>
      </c>
      <c r="F6807" s="19">
        <f>$Z$6823</f>
        <v/>
      </c>
    </row>
    <row r="6808">
      <c r="D6808" s="19">
        <f>IF(ABS(IF(ABS($E$6772)&gt;0.000000001,$E$6772,0.000000001))=0,0,IF($E$5356&lt;=$B$5346,0,IF(ABS(IF(ABS($E$6772)&gt;0.000000001,$E$6772,0.000000001))&gt;=8*$B$5348,$H$5356,0.5*$H$5356*(ABS(IF(ABS($E$6772)&gt;0.000000001,$E$6772,0.000000001))/$B$5348)^(1/3)))/ABS(IF(ABS($E$6772)&gt;0.000000001,$E$6772,0.000000001))*$I$5356)</f>
        <v/>
      </c>
      <c r="E6808" s="19">
        <f>0.5*$E$6772+0.5*$Z$6824</f>
        <v/>
      </c>
      <c r="F6808" s="19">
        <f>$Z$6825</f>
        <v/>
      </c>
    </row>
    <row r="6809">
      <c r="D6809" s="19">
        <f>IF(ABS(IF(ABS($E$6773)&gt;0.000000001,$E$6773,0.000000001))=0,0,IF($E$5357&lt;=$B$5346,0,IF(ABS(IF(ABS($E$6773)&gt;0.000000001,$E$6773,0.000000001))&gt;=8*$B$5348,$H$5357,0.5*$H$5357*(ABS(IF(ABS($E$6773)&gt;0.000000001,$E$6773,0.000000001))/$B$5348)^(1/3)))/ABS(IF(ABS($E$6773)&gt;0.000000001,$E$6773,0.000000001))*$I$5357)</f>
        <v/>
      </c>
      <c r="E6809" s="19">
        <f>0.5*$E$6773+0.5*$Z$6826</f>
        <v/>
      </c>
      <c r="F6809" s="19">
        <f>$Z$6827</f>
        <v/>
      </c>
    </row>
    <row r="6810">
      <c r="D6810" s="19">
        <f>IF(ABS(IF(ABS($E$6774)&gt;0.000000001,$E$6774,0.000000001))=0,0,IF($E$5358&lt;=$B$5346,0,IF(ABS(IF(ABS($E$6774)&gt;0.000000001,$E$6774,0.000000001))&gt;=8*$B$5348,$H$5358,0.5*$H$5358*(ABS(IF(ABS($E$6774)&gt;0.000000001,$E$6774,0.000000001))/$B$5348)^(1/3)))/ABS(IF(ABS($E$6774)&gt;0.000000001,$E$6774,0.000000001))*$I$5358)</f>
        <v/>
      </c>
      <c r="E6810" s="19">
        <f>0.5*$E$6774+0.5*$Z$6828</f>
        <v/>
      </c>
      <c r="F6810" s="19">
        <f>$Z$6829</f>
        <v/>
      </c>
    </row>
    <row r="6811">
      <c r="D6811" s="19">
        <f>IF(ABS(IF(ABS($E$6775)&gt;0.000000001,$E$6775,0.000000001))=0,0,IF($E$5359&lt;=$B$5346,0,IF(ABS(IF(ABS($E$6775)&gt;0.000000001,$E$6775,0.000000001))&gt;=8*$B$5348,$H$5359,0.5*$H$5359*(ABS(IF(ABS($E$6775)&gt;0.000000001,$E$6775,0.000000001))/$B$5348)^(1/3)))/ABS(IF(ABS($E$6775)&gt;0.000000001,$E$6775,0.000000001))*$I$5359)</f>
        <v/>
      </c>
      <c r="E6811" s="19">
        <f>0.5*$E$6775+0.5*$Z$6830</f>
        <v/>
      </c>
      <c r="F6811" s="19">
        <f>$Z$6831</f>
        <v/>
      </c>
    </row>
    <row r="6812">
      <c r="D6812" s="19">
        <f>IF(ABS(IF(ABS($E$6776)&gt;0.000000001,$E$6776,0.000000001))=0,0,IF($E$5360&lt;=$B$5346,0,IF(ABS(IF(ABS($E$6776)&gt;0.000000001,$E$6776,0.000000001))&gt;=8*$B$5348,$H$5360,0.5*$H$5360*(ABS(IF(ABS($E$6776)&gt;0.000000001,$E$6776,0.000000001))/$B$5348)^(1/3)))/ABS(IF(ABS($E$6776)&gt;0.000000001,$E$6776,0.000000001))*$I$5360)</f>
        <v/>
      </c>
      <c r="E6812" s="19">
        <f>0.5*$E$6776+0.5*$Z$6832</f>
        <v/>
      </c>
      <c r="F6812" s="19">
        <f>$Z$6833</f>
        <v/>
      </c>
    </row>
    <row r="6813">
      <c r="D6813" s="19">
        <f>IF(ABS(IF(ABS($E$6777)&gt;0.000000001,$E$6777,0.000000001))=0,0,IF($E$5361&lt;=$B$5346,0,IF(ABS(IF(ABS($E$6777)&gt;0.000000001,$E$6777,0.000000001))&gt;=8*$B$5348,$H$5361,0.5*$H$5361*(ABS(IF(ABS($E$6777)&gt;0.000000001,$E$6777,0.000000001))/$B$5348)^(1/3)))/ABS(IF(ABS($E$6777)&gt;0.000000001,$E$6777,0.000000001))*$I$5361)</f>
        <v/>
      </c>
      <c r="E6813" s="19">
        <f>0.5*$E$6777+0.5*$Z$6834</f>
        <v/>
      </c>
      <c r="F6813" s="19">
        <f>$Z$6835</f>
        <v/>
      </c>
    </row>
    <row r="6814">
      <c r="D6814" s="19">
        <f>IF(ABS(IF(ABS($E$6778)&gt;0.000000001,$E$6778,0.000000001))=0,0,IF($E$5362&lt;=$B$5346,0,IF(ABS(IF(ABS($E$6778)&gt;0.000000001,$E$6778,0.000000001))&gt;=8*$B$5348,$H$5362,0.5*$H$5362*(ABS(IF(ABS($E$6778)&gt;0.000000001,$E$6778,0.000000001))/$B$5348)^(1/3)))/ABS(IF(ABS($E$6778)&gt;0.000000001,$E$6778,0.000000001))*$I$5362)</f>
        <v/>
      </c>
      <c r="E6814" s="19">
        <f>0.5*$E$6778+0.5*$Z$6836</f>
        <v/>
      </c>
      <c r="F6814" s="19">
        <f>$Z$6837</f>
        <v/>
      </c>
    </row>
    <row r="6816">
      <c r="D6816" s="21">
        <f>$B$5337+$D$6804</f>
        <v/>
      </c>
      <c r="E6816" s="21">
        <f>$B$5338</f>
        <v/>
      </c>
      <c r="F6816" s="21">
        <f>-$B$5337</f>
        <v/>
      </c>
      <c r="G6816" s="21">
        <f>$B$5338</f>
        <v/>
      </c>
      <c r="H6816" s="21" t="n">
        <v>0</v>
      </c>
      <c r="I6816" s="21" t="n">
        <v>0</v>
      </c>
      <c r="J6816" s="21" t="n">
        <v>0</v>
      </c>
      <c r="K6816" s="21" t="n">
        <v>0</v>
      </c>
      <c r="L6816" s="21" t="n">
        <v>0</v>
      </c>
      <c r="M6816" s="21" t="n">
        <v>0</v>
      </c>
      <c r="N6816" s="21" t="n">
        <v>0</v>
      </c>
      <c r="O6816" s="21" t="n">
        <v>0</v>
      </c>
      <c r="P6816" s="21" t="n">
        <v>0</v>
      </c>
      <c r="Q6816" s="21" t="n">
        <v>0</v>
      </c>
      <c r="R6816" s="21" t="n">
        <v>0</v>
      </c>
      <c r="S6816" s="21" t="n">
        <v>0</v>
      </c>
      <c r="T6816" s="21" t="n">
        <v>0</v>
      </c>
      <c r="U6816" s="21" t="n">
        <v>0</v>
      </c>
      <c r="V6816" s="21" t="n">
        <v>0</v>
      </c>
      <c r="W6816" s="21" t="n">
        <v>0</v>
      </c>
      <c r="X6816" s="21" t="n">
        <v>0</v>
      </c>
      <c r="Y6816" s="21" t="n">
        <v>0</v>
      </c>
      <c r="Z6816" s="19">
        <f t="array" ref="Z6816:Z6837">MMULT(MINVERSE($D$6816:$Y$6837),$D$5364:$D$5385)</f>
        <v/>
      </c>
    </row>
    <row r="6817">
      <c r="D6817" s="21">
        <f>$B$5338</f>
        <v/>
      </c>
      <c r="E6817" s="21">
        <f>$B$5339</f>
        <v/>
      </c>
      <c r="F6817" s="21">
        <f>-$B$5338</f>
        <v/>
      </c>
      <c r="G6817" s="21">
        <f>$B$5340</f>
        <v/>
      </c>
      <c r="H6817" s="21" t="n">
        <v>0</v>
      </c>
      <c r="I6817" s="21" t="n">
        <v>0</v>
      </c>
      <c r="J6817" s="21" t="n">
        <v>0</v>
      </c>
      <c r="K6817" s="21" t="n">
        <v>0</v>
      </c>
      <c r="L6817" s="21" t="n">
        <v>0</v>
      </c>
      <c r="M6817" s="21" t="n">
        <v>0</v>
      </c>
      <c r="N6817" s="21" t="n">
        <v>0</v>
      </c>
      <c r="O6817" s="21" t="n">
        <v>0</v>
      </c>
      <c r="P6817" s="21" t="n">
        <v>0</v>
      </c>
      <c r="Q6817" s="21" t="n">
        <v>0</v>
      </c>
      <c r="R6817" s="21" t="n">
        <v>0</v>
      </c>
      <c r="S6817" s="21" t="n">
        <v>0</v>
      </c>
      <c r="T6817" s="21" t="n">
        <v>0</v>
      </c>
      <c r="U6817" s="21" t="n">
        <v>0</v>
      </c>
      <c r="V6817" s="21" t="n">
        <v>0</v>
      </c>
      <c r="W6817" s="21" t="n">
        <v>0</v>
      </c>
      <c r="X6817" s="21" t="n">
        <v>0</v>
      </c>
      <c r="Y6817" s="21" t="n">
        <v>0</v>
      </c>
      <c r="Z6817" s="19" t="n"/>
    </row>
    <row r="6818">
      <c r="D6818" s="21">
        <f>-$B$5337</f>
        <v/>
      </c>
      <c r="E6818" s="21">
        <f>-$B$5338</f>
        <v/>
      </c>
      <c r="F6818" s="21">
        <f>2*$B$5337+$D$6805</f>
        <v/>
      </c>
      <c r="G6818" s="21">
        <f>0</f>
        <v/>
      </c>
      <c r="H6818" s="21">
        <f>-$B$5337</f>
        <v/>
      </c>
      <c r="I6818" s="21">
        <f>$B$5338</f>
        <v/>
      </c>
      <c r="J6818" s="21" t="n">
        <v>0</v>
      </c>
      <c r="K6818" s="21" t="n">
        <v>0</v>
      </c>
      <c r="L6818" s="21" t="n">
        <v>0</v>
      </c>
      <c r="M6818" s="21" t="n">
        <v>0</v>
      </c>
      <c r="N6818" s="21" t="n">
        <v>0</v>
      </c>
      <c r="O6818" s="21" t="n">
        <v>0</v>
      </c>
      <c r="P6818" s="21" t="n">
        <v>0</v>
      </c>
      <c r="Q6818" s="21" t="n">
        <v>0</v>
      </c>
      <c r="R6818" s="21" t="n">
        <v>0</v>
      </c>
      <c r="S6818" s="21" t="n">
        <v>0</v>
      </c>
      <c r="T6818" s="21" t="n">
        <v>0</v>
      </c>
      <c r="U6818" s="21" t="n">
        <v>0</v>
      </c>
      <c r="V6818" s="21" t="n">
        <v>0</v>
      </c>
      <c r="W6818" s="21" t="n">
        <v>0</v>
      </c>
      <c r="X6818" s="21" t="n">
        <v>0</v>
      </c>
      <c r="Y6818" s="21" t="n">
        <v>0</v>
      </c>
      <c r="Z6818" s="19" t="n"/>
    </row>
    <row r="6819">
      <c r="D6819" s="21">
        <f>$B$5338</f>
        <v/>
      </c>
      <c r="E6819" s="21">
        <f>$B$5340</f>
        <v/>
      </c>
      <c r="F6819" s="21">
        <f>0</f>
        <v/>
      </c>
      <c r="G6819" s="21">
        <f>2*$B$5339</f>
        <v/>
      </c>
      <c r="H6819" s="21">
        <f>-$B$5338</f>
        <v/>
      </c>
      <c r="I6819" s="21">
        <f>$B$5340</f>
        <v/>
      </c>
      <c r="J6819" s="21" t="n">
        <v>0</v>
      </c>
      <c r="K6819" s="21" t="n">
        <v>0</v>
      </c>
      <c r="L6819" s="21" t="n">
        <v>0</v>
      </c>
      <c r="M6819" s="21" t="n">
        <v>0</v>
      </c>
      <c r="N6819" s="21" t="n">
        <v>0</v>
      </c>
      <c r="O6819" s="21" t="n">
        <v>0</v>
      </c>
      <c r="P6819" s="21" t="n">
        <v>0</v>
      </c>
      <c r="Q6819" s="21" t="n">
        <v>0</v>
      </c>
      <c r="R6819" s="21" t="n">
        <v>0</v>
      </c>
      <c r="S6819" s="21" t="n">
        <v>0</v>
      </c>
      <c r="T6819" s="21" t="n">
        <v>0</v>
      </c>
      <c r="U6819" s="21" t="n">
        <v>0</v>
      </c>
      <c r="V6819" s="21" t="n">
        <v>0</v>
      </c>
      <c r="W6819" s="21" t="n">
        <v>0</v>
      </c>
      <c r="X6819" s="21" t="n">
        <v>0</v>
      </c>
      <c r="Y6819" s="21" t="n">
        <v>0</v>
      </c>
      <c r="Z6819" s="19" t="n"/>
    </row>
    <row r="6820">
      <c r="D6820" s="21" t="n">
        <v>0</v>
      </c>
      <c r="E6820" s="21" t="n">
        <v>0</v>
      </c>
      <c r="F6820" s="21">
        <f>-$B$5337</f>
        <v/>
      </c>
      <c r="G6820" s="21">
        <f>-$B$5338</f>
        <v/>
      </c>
      <c r="H6820" s="21">
        <f>2*$B$5337+$D$6806</f>
        <v/>
      </c>
      <c r="I6820" s="21">
        <f>0</f>
        <v/>
      </c>
      <c r="J6820" s="21">
        <f>-$B$5337</f>
        <v/>
      </c>
      <c r="K6820" s="21">
        <f>$B$5338</f>
        <v/>
      </c>
      <c r="L6820" s="21" t="n">
        <v>0</v>
      </c>
      <c r="M6820" s="21" t="n">
        <v>0</v>
      </c>
      <c r="N6820" s="21" t="n">
        <v>0</v>
      </c>
      <c r="O6820" s="21" t="n">
        <v>0</v>
      </c>
      <c r="P6820" s="21" t="n">
        <v>0</v>
      </c>
      <c r="Q6820" s="21" t="n">
        <v>0</v>
      </c>
      <c r="R6820" s="21" t="n">
        <v>0</v>
      </c>
      <c r="S6820" s="21" t="n">
        <v>0</v>
      </c>
      <c r="T6820" s="21" t="n">
        <v>0</v>
      </c>
      <c r="U6820" s="21" t="n">
        <v>0</v>
      </c>
      <c r="V6820" s="21" t="n">
        <v>0</v>
      </c>
      <c r="W6820" s="21" t="n">
        <v>0</v>
      </c>
      <c r="X6820" s="21" t="n">
        <v>0</v>
      </c>
      <c r="Y6820" s="21" t="n">
        <v>0</v>
      </c>
      <c r="Z6820" s="19" t="n"/>
    </row>
    <row r="6821">
      <c r="D6821" s="21" t="n">
        <v>0</v>
      </c>
      <c r="E6821" s="21" t="n">
        <v>0</v>
      </c>
      <c r="F6821" s="21">
        <f>$B$5338</f>
        <v/>
      </c>
      <c r="G6821" s="21">
        <f>$B$5340</f>
        <v/>
      </c>
      <c r="H6821" s="21">
        <f>0</f>
        <v/>
      </c>
      <c r="I6821" s="21">
        <f>2*$B$5339</f>
        <v/>
      </c>
      <c r="J6821" s="21">
        <f>-$B$5338</f>
        <v/>
      </c>
      <c r="K6821" s="21">
        <f>$B$5340</f>
        <v/>
      </c>
      <c r="L6821" s="21" t="n">
        <v>0</v>
      </c>
      <c r="M6821" s="21" t="n">
        <v>0</v>
      </c>
      <c r="N6821" s="21" t="n">
        <v>0</v>
      </c>
      <c r="O6821" s="21" t="n">
        <v>0</v>
      </c>
      <c r="P6821" s="21" t="n">
        <v>0</v>
      </c>
      <c r="Q6821" s="21" t="n">
        <v>0</v>
      </c>
      <c r="R6821" s="21" t="n">
        <v>0</v>
      </c>
      <c r="S6821" s="21" t="n">
        <v>0</v>
      </c>
      <c r="T6821" s="21" t="n">
        <v>0</v>
      </c>
      <c r="U6821" s="21" t="n">
        <v>0</v>
      </c>
      <c r="V6821" s="21" t="n">
        <v>0</v>
      </c>
      <c r="W6821" s="21" t="n">
        <v>0</v>
      </c>
      <c r="X6821" s="21" t="n">
        <v>0</v>
      </c>
      <c r="Y6821" s="21" t="n">
        <v>0</v>
      </c>
      <c r="Z6821" s="19" t="n"/>
    </row>
    <row r="6822">
      <c r="D6822" s="21" t="n">
        <v>0</v>
      </c>
      <c r="E6822" s="21" t="n">
        <v>0</v>
      </c>
      <c r="F6822" s="21" t="n">
        <v>0</v>
      </c>
      <c r="G6822" s="21" t="n">
        <v>0</v>
      </c>
      <c r="H6822" s="21">
        <f>-$B$5337</f>
        <v/>
      </c>
      <c r="I6822" s="21">
        <f>-$B$5338</f>
        <v/>
      </c>
      <c r="J6822" s="21">
        <f>2*$B$5337+$D$6807</f>
        <v/>
      </c>
      <c r="K6822" s="21">
        <f>0</f>
        <v/>
      </c>
      <c r="L6822" s="21">
        <f>-$B$5337</f>
        <v/>
      </c>
      <c r="M6822" s="21">
        <f>$B$5338</f>
        <v/>
      </c>
      <c r="N6822" s="21" t="n">
        <v>0</v>
      </c>
      <c r="O6822" s="21" t="n">
        <v>0</v>
      </c>
      <c r="P6822" s="21" t="n">
        <v>0</v>
      </c>
      <c r="Q6822" s="21" t="n">
        <v>0</v>
      </c>
      <c r="R6822" s="21" t="n">
        <v>0</v>
      </c>
      <c r="S6822" s="21" t="n">
        <v>0</v>
      </c>
      <c r="T6822" s="21" t="n">
        <v>0</v>
      </c>
      <c r="U6822" s="21" t="n">
        <v>0</v>
      </c>
      <c r="V6822" s="21" t="n">
        <v>0</v>
      </c>
      <c r="W6822" s="21" t="n">
        <v>0</v>
      </c>
      <c r="X6822" s="21" t="n">
        <v>0</v>
      </c>
      <c r="Y6822" s="21" t="n">
        <v>0</v>
      </c>
      <c r="Z6822" s="19" t="n"/>
    </row>
    <row r="6823">
      <c r="D6823" s="21" t="n">
        <v>0</v>
      </c>
      <c r="E6823" s="21" t="n">
        <v>0</v>
      </c>
      <c r="F6823" s="21" t="n">
        <v>0</v>
      </c>
      <c r="G6823" s="21" t="n">
        <v>0</v>
      </c>
      <c r="H6823" s="21">
        <f>$B$5338</f>
        <v/>
      </c>
      <c r="I6823" s="21">
        <f>$B$5340</f>
        <v/>
      </c>
      <c r="J6823" s="21">
        <f>0</f>
        <v/>
      </c>
      <c r="K6823" s="21">
        <f>2*$B$5339</f>
        <v/>
      </c>
      <c r="L6823" s="21">
        <f>-$B$5338</f>
        <v/>
      </c>
      <c r="M6823" s="21">
        <f>$B$5340</f>
        <v/>
      </c>
      <c r="N6823" s="21" t="n">
        <v>0</v>
      </c>
      <c r="O6823" s="21" t="n">
        <v>0</v>
      </c>
      <c r="P6823" s="21" t="n">
        <v>0</v>
      </c>
      <c r="Q6823" s="21" t="n">
        <v>0</v>
      </c>
      <c r="R6823" s="21" t="n">
        <v>0</v>
      </c>
      <c r="S6823" s="21" t="n">
        <v>0</v>
      </c>
      <c r="T6823" s="21" t="n">
        <v>0</v>
      </c>
      <c r="U6823" s="21" t="n">
        <v>0</v>
      </c>
      <c r="V6823" s="21" t="n">
        <v>0</v>
      </c>
      <c r="W6823" s="21" t="n">
        <v>0</v>
      </c>
      <c r="X6823" s="21" t="n">
        <v>0</v>
      </c>
      <c r="Y6823" s="21" t="n">
        <v>0</v>
      </c>
      <c r="Z6823" s="19" t="n"/>
    </row>
    <row r="6824">
      <c r="D6824" s="21" t="n">
        <v>0</v>
      </c>
      <c r="E6824" s="21" t="n">
        <v>0</v>
      </c>
      <c r="F6824" s="21" t="n">
        <v>0</v>
      </c>
      <c r="G6824" s="21" t="n">
        <v>0</v>
      </c>
      <c r="H6824" s="21" t="n">
        <v>0</v>
      </c>
      <c r="I6824" s="21" t="n">
        <v>0</v>
      </c>
      <c r="J6824" s="21">
        <f>-$B$5337</f>
        <v/>
      </c>
      <c r="K6824" s="21">
        <f>-$B$5338</f>
        <v/>
      </c>
      <c r="L6824" s="21">
        <f>2*$B$5337+$D$6808</f>
        <v/>
      </c>
      <c r="M6824" s="21">
        <f>0</f>
        <v/>
      </c>
      <c r="N6824" s="21">
        <f>-$B$5337</f>
        <v/>
      </c>
      <c r="O6824" s="21">
        <f>$B$5338</f>
        <v/>
      </c>
      <c r="P6824" s="21" t="n">
        <v>0</v>
      </c>
      <c r="Q6824" s="21" t="n">
        <v>0</v>
      </c>
      <c r="R6824" s="21" t="n">
        <v>0</v>
      </c>
      <c r="S6824" s="21" t="n">
        <v>0</v>
      </c>
      <c r="T6824" s="21" t="n">
        <v>0</v>
      </c>
      <c r="U6824" s="21" t="n">
        <v>0</v>
      </c>
      <c r="V6824" s="21" t="n">
        <v>0</v>
      </c>
      <c r="W6824" s="21" t="n">
        <v>0</v>
      </c>
      <c r="X6824" s="21" t="n">
        <v>0</v>
      </c>
      <c r="Y6824" s="21" t="n">
        <v>0</v>
      </c>
      <c r="Z6824" s="19" t="n"/>
    </row>
    <row r="6825">
      <c r="D6825" s="21" t="n">
        <v>0</v>
      </c>
      <c r="E6825" s="21" t="n">
        <v>0</v>
      </c>
      <c r="F6825" s="21" t="n">
        <v>0</v>
      </c>
      <c r="G6825" s="21" t="n">
        <v>0</v>
      </c>
      <c r="H6825" s="21" t="n">
        <v>0</v>
      </c>
      <c r="I6825" s="21" t="n">
        <v>0</v>
      </c>
      <c r="J6825" s="21">
        <f>$B$5338</f>
        <v/>
      </c>
      <c r="K6825" s="21">
        <f>$B$5340</f>
        <v/>
      </c>
      <c r="L6825" s="21">
        <f>0</f>
        <v/>
      </c>
      <c r="M6825" s="21">
        <f>2*$B$5339</f>
        <v/>
      </c>
      <c r="N6825" s="21">
        <f>-$B$5338</f>
        <v/>
      </c>
      <c r="O6825" s="21">
        <f>$B$5340</f>
        <v/>
      </c>
      <c r="P6825" s="21" t="n">
        <v>0</v>
      </c>
      <c r="Q6825" s="21" t="n">
        <v>0</v>
      </c>
      <c r="R6825" s="21" t="n">
        <v>0</v>
      </c>
      <c r="S6825" s="21" t="n">
        <v>0</v>
      </c>
      <c r="T6825" s="21" t="n">
        <v>0</v>
      </c>
      <c r="U6825" s="21" t="n">
        <v>0</v>
      </c>
      <c r="V6825" s="21" t="n">
        <v>0</v>
      </c>
      <c r="W6825" s="21" t="n">
        <v>0</v>
      </c>
      <c r="X6825" s="21" t="n">
        <v>0</v>
      </c>
      <c r="Y6825" s="21" t="n">
        <v>0</v>
      </c>
      <c r="Z6825" s="19" t="n"/>
    </row>
    <row r="6826">
      <c r="D6826" s="21" t="n">
        <v>0</v>
      </c>
      <c r="E6826" s="21" t="n">
        <v>0</v>
      </c>
      <c r="F6826" s="21" t="n">
        <v>0</v>
      </c>
      <c r="G6826" s="21" t="n">
        <v>0</v>
      </c>
      <c r="H6826" s="21" t="n">
        <v>0</v>
      </c>
      <c r="I6826" s="21" t="n">
        <v>0</v>
      </c>
      <c r="J6826" s="21" t="n">
        <v>0</v>
      </c>
      <c r="K6826" s="21" t="n">
        <v>0</v>
      </c>
      <c r="L6826" s="21">
        <f>-$B$5337</f>
        <v/>
      </c>
      <c r="M6826" s="21">
        <f>-$B$5338</f>
        <v/>
      </c>
      <c r="N6826" s="21">
        <f>2*$B$5337+$D$6809</f>
        <v/>
      </c>
      <c r="O6826" s="21">
        <f>0</f>
        <v/>
      </c>
      <c r="P6826" s="21">
        <f>-$B$5337</f>
        <v/>
      </c>
      <c r="Q6826" s="21">
        <f>$B$5338</f>
        <v/>
      </c>
      <c r="R6826" s="21" t="n">
        <v>0</v>
      </c>
      <c r="S6826" s="21" t="n">
        <v>0</v>
      </c>
      <c r="T6826" s="21" t="n">
        <v>0</v>
      </c>
      <c r="U6826" s="21" t="n">
        <v>0</v>
      </c>
      <c r="V6826" s="21" t="n">
        <v>0</v>
      </c>
      <c r="W6826" s="21" t="n">
        <v>0</v>
      </c>
      <c r="X6826" s="21" t="n">
        <v>0</v>
      </c>
      <c r="Y6826" s="21" t="n">
        <v>0</v>
      </c>
      <c r="Z6826" s="19" t="n"/>
    </row>
    <row r="6827">
      <c r="D6827" s="21" t="n">
        <v>0</v>
      </c>
      <c r="E6827" s="21" t="n">
        <v>0</v>
      </c>
      <c r="F6827" s="21" t="n">
        <v>0</v>
      </c>
      <c r="G6827" s="21" t="n">
        <v>0</v>
      </c>
      <c r="H6827" s="21" t="n">
        <v>0</v>
      </c>
      <c r="I6827" s="21" t="n">
        <v>0</v>
      </c>
      <c r="J6827" s="21" t="n">
        <v>0</v>
      </c>
      <c r="K6827" s="21" t="n">
        <v>0</v>
      </c>
      <c r="L6827" s="21">
        <f>$B$5338</f>
        <v/>
      </c>
      <c r="M6827" s="21">
        <f>$B$5340</f>
        <v/>
      </c>
      <c r="N6827" s="21">
        <f>0</f>
        <v/>
      </c>
      <c r="O6827" s="21">
        <f>2*$B$5339</f>
        <v/>
      </c>
      <c r="P6827" s="21">
        <f>-$B$5338</f>
        <v/>
      </c>
      <c r="Q6827" s="21">
        <f>$B$5340</f>
        <v/>
      </c>
      <c r="R6827" s="21" t="n">
        <v>0</v>
      </c>
      <c r="S6827" s="21" t="n">
        <v>0</v>
      </c>
      <c r="T6827" s="21" t="n">
        <v>0</v>
      </c>
      <c r="U6827" s="21" t="n">
        <v>0</v>
      </c>
      <c r="V6827" s="21" t="n">
        <v>0</v>
      </c>
      <c r="W6827" s="21" t="n">
        <v>0</v>
      </c>
      <c r="X6827" s="21" t="n">
        <v>0</v>
      </c>
      <c r="Y6827" s="21" t="n">
        <v>0</v>
      </c>
      <c r="Z6827" s="19" t="n"/>
    </row>
    <row r="6828">
      <c r="D6828" s="21" t="n">
        <v>0</v>
      </c>
      <c r="E6828" s="21" t="n">
        <v>0</v>
      </c>
      <c r="F6828" s="21" t="n">
        <v>0</v>
      </c>
      <c r="G6828" s="21" t="n">
        <v>0</v>
      </c>
      <c r="H6828" s="21" t="n">
        <v>0</v>
      </c>
      <c r="I6828" s="21" t="n">
        <v>0</v>
      </c>
      <c r="J6828" s="21" t="n">
        <v>0</v>
      </c>
      <c r="K6828" s="21" t="n">
        <v>0</v>
      </c>
      <c r="L6828" s="21" t="n">
        <v>0</v>
      </c>
      <c r="M6828" s="21" t="n">
        <v>0</v>
      </c>
      <c r="N6828" s="21">
        <f>-$B$5337</f>
        <v/>
      </c>
      <c r="O6828" s="21">
        <f>-$B$5338</f>
        <v/>
      </c>
      <c r="P6828" s="21">
        <f>2*$B$5337+$D$6810</f>
        <v/>
      </c>
      <c r="Q6828" s="21">
        <f>0</f>
        <v/>
      </c>
      <c r="R6828" s="21">
        <f>-$B$5337</f>
        <v/>
      </c>
      <c r="S6828" s="21">
        <f>$B$5338</f>
        <v/>
      </c>
      <c r="T6828" s="21" t="n">
        <v>0</v>
      </c>
      <c r="U6828" s="21" t="n">
        <v>0</v>
      </c>
      <c r="V6828" s="21" t="n">
        <v>0</v>
      </c>
      <c r="W6828" s="21" t="n">
        <v>0</v>
      </c>
      <c r="X6828" s="21" t="n">
        <v>0</v>
      </c>
      <c r="Y6828" s="21" t="n">
        <v>0</v>
      </c>
      <c r="Z6828" s="19" t="n"/>
    </row>
    <row r="6829">
      <c r="D6829" s="21" t="n">
        <v>0</v>
      </c>
      <c r="E6829" s="21" t="n">
        <v>0</v>
      </c>
      <c r="F6829" s="21" t="n">
        <v>0</v>
      </c>
      <c r="G6829" s="21" t="n">
        <v>0</v>
      </c>
      <c r="H6829" s="21" t="n">
        <v>0</v>
      </c>
      <c r="I6829" s="21" t="n">
        <v>0</v>
      </c>
      <c r="J6829" s="21" t="n">
        <v>0</v>
      </c>
      <c r="K6829" s="21" t="n">
        <v>0</v>
      </c>
      <c r="L6829" s="21" t="n">
        <v>0</v>
      </c>
      <c r="M6829" s="21" t="n">
        <v>0</v>
      </c>
      <c r="N6829" s="21">
        <f>$B$5338</f>
        <v/>
      </c>
      <c r="O6829" s="21">
        <f>$B$5340</f>
        <v/>
      </c>
      <c r="P6829" s="21">
        <f>0</f>
        <v/>
      </c>
      <c r="Q6829" s="21">
        <f>2*$B$5339</f>
        <v/>
      </c>
      <c r="R6829" s="21">
        <f>-$B$5338</f>
        <v/>
      </c>
      <c r="S6829" s="21">
        <f>$B$5340</f>
        <v/>
      </c>
      <c r="T6829" s="21" t="n">
        <v>0</v>
      </c>
      <c r="U6829" s="21" t="n">
        <v>0</v>
      </c>
      <c r="V6829" s="21" t="n">
        <v>0</v>
      </c>
      <c r="W6829" s="21" t="n">
        <v>0</v>
      </c>
      <c r="X6829" s="21" t="n">
        <v>0</v>
      </c>
      <c r="Y6829" s="21" t="n">
        <v>0</v>
      </c>
      <c r="Z6829" s="19" t="n"/>
    </row>
    <row r="6830">
      <c r="D6830" s="21" t="n">
        <v>0</v>
      </c>
      <c r="E6830" s="21" t="n">
        <v>0</v>
      </c>
      <c r="F6830" s="21" t="n">
        <v>0</v>
      </c>
      <c r="G6830" s="21" t="n">
        <v>0</v>
      </c>
      <c r="H6830" s="21" t="n">
        <v>0</v>
      </c>
      <c r="I6830" s="21" t="n">
        <v>0</v>
      </c>
      <c r="J6830" s="21" t="n">
        <v>0</v>
      </c>
      <c r="K6830" s="21" t="n">
        <v>0</v>
      </c>
      <c r="L6830" s="21" t="n">
        <v>0</v>
      </c>
      <c r="M6830" s="21" t="n">
        <v>0</v>
      </c>
      <c r="N6830" s="21" t="n">
        <v>0</v>
      </c>
      <c r="O6830" s="21" t="n">
        <v>0</v>
      </c>
      <c r="P6830" s="21">
        <f>-$B$5337</f>
        <v/>
      </c>
      <c r="Q6830" s="21">
        <f>-$B$5338</f>
        <v/>
      </c>
      <c r="R6830" s="21">
        <f>2*$B$5337+$D$6811</f>
        <v/>
      </c>
      <c r="S6830" s="21">
        <f>0</f>
        <v/>
      </c>
      <c r="T6830" s="21">
        <f>-$B$5337</f>
        <v/>
      </c>
      <c r="U6830" s="21">
        <f>$B$5338</f>
        <v/>
      </c>
      <c r="V6830" s="21" t="n">
        <v>0</v>
      </c>
      <c r="W6830" s="21" t="n">
        <v>0</v>
      </c>
      <c r="X6830" s="21" t="n">
        <v>0</v>
      </c>
      <c r="Y6830" s="21" t="n">
        <v>0</v>
      </c>
      <c r="Z6830" s="19" t="n"/>
    </row>
    <row r="6831">
      <c r="D6831" s="21" t="n">
        <v>0</v>
      </c>
      <c r="E6831" s="21" t="n">
        <v>0</v>
      </c>
      <c r="F6831" s="21" t="n">
        <v>0</v>
      </c>
      <c r="G6831" s="21" t="n">
        <v>0</v>
      </c>
      <c r="H6831" s="21" t="n">
        <v>0</v>
      </c>
      <c r="I6831" s="21" t="n">
        <v>0</v>
      </c>
      <c r="J6831" s="21" t="n">
        <v>0</v>
      </c>
      <c r="K6831" s="21" t="n">
        <v>0</v>
      </c>
      <c r="L6831" s="21" t="n">
        <v>0</v>
      </c>
      <c r="M6831" s="21" t="n">
        <v>0</v>
      </c>
      <c r="N6831" s="21" t="n">
        <v>0</v>
      </c>
      <c r="O6831" s="21" t="n">
        <v>0</v>
      </c>
      <c r="P6831" s="21">
        <f>$B$5338</f>
        <v/>
      </c>
      <c r="Q6831" s="21">
        <f>$B$5340</f>
        <v/>
      </c>
      <c r="R6831" s="21">
        <f>0</f>
        <v/>
      </c>
      <c r="S6831" s="21">
        <f>2*$B$5339</f>
        <v/>
      </c>
      <c r="T6831" s="21">
        <f>-$B$5338</f>
        <v/>
      </c>
      <c r="U6831" s="21">
        <f>$B$5340</f>
        <v/>
      </c>
      <c r="V6831" s="21" t="n">
        <v>0</v>
      </c>
      <c r="W6831" s="21" t="n">
        <v>0</v>
      </c>
      <c r="X6831" s="21" t="n">
        <v>0</v>
      </c>
      <c r="Y6831" s="21" t="n">
        <v>0</v>
      </c>
      <c r="Z6831" s="19" t="n"/>
    </row>
    <row r="6832">
      <c r="D6832" s="21" t="n">
        <v>0</v>
      </c>
      <c r="E6832" s="21" t="n">
        <v>0</v>
      </c>
      <c r="F6832" s="21" t="n">
        <v>0</v>
      </c>
      <c r="G6832" s="21" t="n">
        <v>0</v>
      </c>
      <c r="H6832" s="21" t="n">
        <v>0</v>
      </c>
      <c r="I6832" s="21" t="n">
        <v>0</v>
      </c>
      <c r="J6832" s="21" t="n">
        <v>0</v>
      </c>
      <c r="K6832" s="21" t="n">
        <v>0</v>
      </c>
      <c r="L6832" s="21" t="n">
        <v>0</v>
      </c>
      <c r="M6832" s="21" t="n">
        <v>0</v>
      </c>
      <c r="N6832" s="21" t="n">
        <v>0</v>
      </c>
      <c r="O6832" s="21" t="n">
        <v>0</v>
      </c>
      <c r="P6832" s="21" t="n">
        <v>0</v>
      </c>
      <c r="Q6832" s="21" t="n">
        <v>0</v>
      </c>
      <c r="R6832" s="21">
        <f>-$B$5337</f>
        <v/>
      </c>
      <c r="S6832" s="21">
        <f>-$B$5338</f>
        <v/>
      </c>
      <c r="T6832" s="21">
        <f>2*$B$5337+$D$6812</f>
        <v/>
      </c>
      <c r="U6832" s="21">
        <f>0</f>
        <v/>
      </c>
      <c r="V6832" s="21">
        <f>-$B$5337</f>
        <v/>
      </c>
      <c r="W6832" s="21">
        <f>$B$5338</f>
        <v/>
      </c>
      <c r="X6832" s="21" t="n">
        <v>0</v>
      </c>
      <c r="Y6832" s="21" t="n">
        <v>0</v>
      </c>
      <c r="Z6832" s="19" t="n"/>
    </row>
    <row r="6833">
      <c r="D6833" s="21" t="n">
        <v>0</v>
      </c>
      <c r="E6833" s="21" t="n">
        <v>0</v>
      </c>
      <c r="F6833" s="21" t="n">
        <v>0</v>
      </c>
      <c r="G6833" s="21" t="n">
        <v>0</v>
      </c>
      <c r="H6833" s="21" t="n">
        <v>0</v>
      </c>
      <c r="I6833" s="21" t="n">
        <v>0</v>
      </c>
      <c r="J6833" s="21" t="n">
        <v>0</v>
      </c>
      <c r="K6833" s="21" t="n">
        <v>0</v>
      </c>
      <c r="L6833" s="21" t="n">
        <v>0</v>
      </c>
      <c r="M6833" s="21" t="n">
        <v>0</v>
      </c>
      <c r="N6833" s="21" t="n">
        <v>0</v>
      </c>
      <c r="O6833" s="21" t="n">
        <v>0</v>
      </c>
      <c r="P6833" s="21" t="n">
        <v>0</v>
      </c>
      <c r="Q6833" s="21" t="n">
        <v>0</v>
      </c>
      <c r="R6833" s="21">
        <f>$B$5338</f>
        <v/>
      </c>
      <c r="S6833" s="21">
        <f>$B$5340</f>
        <v/>
      </c>
      <c r="T6833" s="21">
        <f>0</f>
        <v/>
      </c>
      <c r="U6833" s="21">
        <f>2*$B$5339</f>
        <v/>
      </c>
      <c r="V6833" s="21">
        <f>-$B$5338</f>
        <v/>
      </c>
      <c r="W6833" s="21">
        <f>$B$5340</f>
        <v/>
      </c>
      <c r="X6833" s="21" t="n">
        <v>0</v>
      </c>
      <c r="Y6833" s="21" t="n">
        <v>0</v>
      </c>
      <c r="Z6833" s="19" t="n"/>
    </row>
    <row r="6834">
      <c r="D6834" s="21" t="n">
        <v>0</v>
      </c>
      <c r="E6834" s="21" t="n">
        <v>0</v>
      </c>
      <c r="F6834" s="21" t="n">
        <v>0</v>
      </c>
      <c r="G6834" s="21" t="n">
        <v>0</v>
      </c>
      <c r="H6834" s="21" t="n">
        <v>0</v>
      </c>
      <c r="I6834" s="21" t="n">
        <v>0</v>
      </c>
      <c r="J6834" s="21" t="n">
        <v>0</v>
      </c>
      <c r="K6834" s="21" t="n">
        <v>0</v>
      </c>
      <c r="L6834" s="21" t="n">
        <v>0</v>
      </c>
      <c r="M6834" s="21" t="n">
        <v>0</v>
      </c>
      <c r="N6834" s="21" t="n">
        <v>0</v>
      </c>
      <c r="O6834" s="21" t="n">
        <v>0</v>
      </c>
      <c r="P6834" s="21" t="n">
        <v>0</v>
      </c>
      <c r="Q6834" s="21" t="n">
        <v>0</v>
      </c>
      <c r="R6834" s="21" t="n">
        <v>0</v>
      </c>
      <c r="S6834" s="21" t="n">
        <v>0</v>
      </c>
      <c r="T6834" s="21">
        <f>-$B$5337</f>
        <v/>
      </c>
      <c r="U6834" s="21">
        <f>-$B$5338</f>
        <v/>
      </c>
      <c r="V6834" s="21">
        <f>2*$B$5337+$D$6813</f>
        <v/>
      </c>
      <c r="W6834" s="21">
        <f>0</f>
        <v/>
      </c>
      <c r="X6834" s="21">
        <f>-$B$5337</f>
        <v/>
      </c>
      <c r="Y6834" s="21">
        <f>$B$5338</f>
        <v/>
      </c>
      <c r="Z6834" s="19" t="n"/>
    </row>
    <row r="6835">
      <c r="D6835" s="21" t="n">
        <v>0</v>
      </c>
      <c r="E6835" s="21" t="n">
        <v>0</v>
      </c>
      <c r="F6835" s="21" t="n">
        <v>0</v>
      </c>
      <c r="G6835" s="21" t="n">
        <v>0</v>
      </c>
      <c r="H6835" s="21" t="n">
        <v>0</v>
      </c>
      <c r="I6835" s="21" t="n">
        <v>0</v>
      </c>
      <c r="J6835" s="21" t="n">
        <v>0</v>
      </c>
      <c r="K6835" s="21" t="n">
        <v>0</v>
      </c>
      <c r="L6835" s="21" t="n">
        <v>0</v>
      </c>
      <c r="M6835" s="21" t="n">
        <v>0</v>
      </c>
      <c r="N6835" s="21" t="n">
        <v>0</v>
      </c>
      <c r="O6835" s="21" t="n">
        <v>0</v>
      </c>
      <c r="P6835" s="21" t="n">
        <v>0</v>
      </c>
      <c r="Q6835" s="21" t="n">
        <v>0</v>
      </c>
      <c r="R6835" s="21" t="n">
        <v>0</v>
      </c>
      <c r="S6835" s="21" t="n">
        <v>0</v>
      </c>
      <c r="T6835" s="21">
        <f>$B$5338</f>
        <v/>
      </c>
      <c r="U6835" s="21">
        <f>$B$5340</f>
        <v/>
      </c>
      <c r="V6835" s="21">
        <f>0</f>
        <v/>
      </c>
      <c r="W6835" s="21">
        <f>2*$B$5339</f>
        <v/>
      </c>
      <c r="X6835" s="21">
        <f>-$B$5338</f>
        <v/>
      </c>
      <c r="Y6835" s="21">
        <f>$B$5340</f>
        <v/>
      </c>
      <c r="Z6835" s="19" t="n"/>
    </row>
    <row r="6836">
      <c r="D6836" s="21" t="n">
        <v>0</v>
      </c>
      <c r="E6836" s="21" t="n">
        <v>0</v>
      </c>
      <c r="F6836" s="21" t="n">
        <v>0</v>
      </c>
      <c r="G6836" s="21" t="n">
        <v>0</v>
      </c>
      <c r="H6836" s="21" t="n">
        <v>0</v>
      </c>
      <c r="I6836" s="21" t="n">
        <v>0</v>
      </c>
      <c r="J6836" s="21" t="n">
        <v>0</v>
      </c>
      <c r="K6836" s="21" t="n">
        <v>0</v>
      </c>
      <c r="L6836" s="21" t="n">
        <v>0</v>
      </c>
      <c r="M6836" s="21" t="n">
        <v>0</v>
      </c>
      <c r="N6836" s="21" t="n">
        <v>0</v>
      </c>
      <c r="O6836" s="21" t="n">
        <v>0</v>
      </c>
      <c r="P6836" s="21" t="n">
        <v>0</v>
      </c>
      <c r="Q6836" s="21" t="n">
        <v>0</v>
      </c>
      <c r="R6836" s="21" t="n">
        <v>0</v>
      </c>
      <c r="S6836" s="21" t="n">
        <v>0</v>
      </c>
      <c r="T6836" s="21" t="n">
        <v>0</v>
      </c>
      <c r="U6836" s="21" t="n">
        <v>0</v>
      </c>
      <c r="V6836" s="21">
        <f>-$B$5337</f>
        <v/>
      </c>
      <c r="W6836" s="21">
        <f>-$B$5338</f>
        <v/>
      </c>
      <c r="X6836" s="21">
        <f>$B$5337+$D$6814</f>
        <v/>
      </c>
      <c r="Y6836" s="21">
        <f>-$B$5338</f>
        <v/>
      </c>
      <c r="Z6836" s="19" t="n"/>
    </row>
    <row r="6837">
      <c r="D6837" s="21" t="n">
        <v>0</v>
      </c>
      <c r="E6837" s="21" t="n">
        <v>0</v>
      </c>
      <c r="F6837" s="21" t="n">
        <v>0</v>
      </c>
      <c r="G6837" s="21" t="n">
        <v>0</v>
      </c>
      <c r="H6837" s="21" t="n">
        <v>0</v>
      </c>
      <c r="I6837" s="21" t="n">
        <v>0</v>
      </c>
      <c r="J6837" s="21" t="n">
        <v>0</v>
      </c>
      <c r="K6837" s="21" t="n">
        <v>0</v>
      </c>
      <c r="L6837" s="21" t="n">
        <v>0</v>
      </c>
      <c r="M6837" s="21" t="n">
        <v>0</v>
      </c>
      <c r="N6837" s="21" t="n">
        <v>0</v>
      </c>
      <c r="O6837" s="21" t="n">
        <v>0</v>
      </c>
      <c r="P6837" s="21" t="n">
        <v>0</v>
      </c>
      <c r="Q6837" s="21" t="n">
        <v>0</v>
      </c>
      <c r="R6837" s="21" t="n">
        <v>0</v>
      </c>
      <c r="S6837" s="21" t="n">
        <v>0</v>
      </c>
      <c r="T6837" s="21" t="n">
        <v>0</v>
      </c>
      <c r="U6837" s="21" t="n">
        <v>0</v>
      </c>
      <c r="V6837" s="21">
        <f>$B$5338</f>
        <v/>
      </c>
      <c r="W6837" s="21">
        <f>$B$5340</f>
        <v/>
      </c>
      <c r="X6837" s="21">
        <f>-$B$5338</f>
        <v/>
      </c>
      <c r="Y6837" s="21">
        <f>$B$5339</f>
        <v/>
      </c>
      <c r="Z6837" s="19" t="n"/>
    </row>
    <row r="6839">
      <c r="A6839" s="8" t="inlineStr">
        <is>
          <t>gen 41</t>
        </is>
      </c>
    </row>
    <row r="6840">
      <c r="D6840" s="19">
        <f>IF(ABS(IF(ABS($E$6804)&gt;0.000000001,$E$6804,0.000000001))=0,0,IF($E$5352&lt;=$B$5346,0,IF(ABS(IF(ABS($E$6804)&gt;0.000000001,$E$6804,0.000000001))&gt;=8*$B$5348,$H$5352,0.5*$H$5352*(ABS(IF(ABS($E$6804)&gt;0.000000001,$E$6804,0.000000001))/$B$5348)^(1/3)))/ABS(IF(ABS($E$6804)&gt;0.000000001,$E$6804,0.000000001))*$I$5352)</f>
        <v/>
      </c>
      <c r="E6840" s="19">
        <f>0.5*$E$6804+0.5*$Z$6852</f>
        <v/>
      </c>
      <c r="F6840" s="19">
        <f>$Z$6853</f>
        <v/>
      </c>
    </row>
    <row r="6841">
      <c r="D6841" s="19">
        <f>IF(ABS(IF(ABS($E$6805)&gt;0.000000001,$E$6805,0.000000001))=0,0,IF($E$5353&lt;=$B$5346,0,IF(ABS(IF(ABS($E$6805)&gt;0.000000001,$E$6805,0.000000001))&gt;=8*$B$5348,$H$5353,0.5*$H$5353*(ABS(IF(ABS($E$6805)&gt;0.000000001,$E$6805,0.000000001))/$B$5348)^(1/3)))/ABS(IF(ABS($E$6805)&gt;0.000000001,$E$6805,0.000000001))*$I$5353)</f>
        <v/>
      </c>
      <c r="E6841" s="19">
        <f>0.5*$E$6805+0.5*$Z$6854</f>
        <v/>
      </c>
      <c r="F6841" s="19">
        <f>$Z$6855</f>
        <v/>
      </c>
    </row>
    <row r="6842">
      <c r="D6842" s="19">
        <f>IF(ABS(IF(ABS($E$6806)&gt;0.000000001,$E$6806,0.000000001))=0,0,IF($E$5354&lt;=$B$5346,0,IF(ABS(IF(ABS($E$6806)&gt;0.000000001,$E$6806,0.000000001))&gt;=8*$B$5348,$H$5354,0.5*$H$5354*(ABS(IF(ABS($E$6806)&gt;0.000000001,$E$6806,0.000000001))/$B$5348)^(1/3)))/ABS(IF(ABS($E$6806)&gt;0.000000001,$E$6806,0.000000001))*$I$5354)</f>
        <v/>
      </c>
      <c r="E6842" s="19">
        <f>0.5*$E$6806+0.5*$Z$6856</f>
        <v/>
      </c>
      <c r="F6842" s="19">
        <f>$Z$6857</f>
        <v/>
      </c>
    </row>
    <row r="6843">
      <c r="D6843" s="19">
        <f>IF(ABS(IF(ABS($E$6807)&gt;0.000000001,$E$6807,0.000000001))=0,0,IF($E$5355&lt;=$B$5346,0,IF(ABS(IF(ABS($E$6807)&gt;0.000000001,$E$6807,0.000000001))&gt;=8*$B$5348,$H$5355,0.5*$H$5355*(ABS(IF(ABS($E$6807)&gt;0.000000001,$E$6807,0.000000001))/$B$5348)^(1/3)))/ABS(IF(ABS($E$6807)&gt;0.000000001,$E$6807,0.000000001))*$I$5355)</f>
        <v/>
      </c>
      <c r="E6843" s="19">
        <f>0.5*$E$6807+0.5*$Z$6858</f>
        <v/>
      </c>
      <c r="F6843" s="19">
        <f>$Z$6859</f>
        <v/>
      </c>
    </row>
    <row r="6844">
      <c r="D6844" s="19">
        <f>IF(ABS(IF(ABS($E$6808)&gt;0.000000001,$E$6808,0.000000001))=0,0,IF($E$5356&lt;=$B$5346,0,IF(ABS(IF(ABS($E$6808)&gt;0.000000001,$E$6808,0.000000001))&gt;=8*$B$5348,$H$5356,0.5*$H$5356*(ABS(IF(ABS($E$6808)&gt;0.000000001,$E$6808,0.000000001))/$B$5348)^(1/3)))/ABS(IF(ABS($E$6808)&gt;0.000000001,$E$6808,0.000000001))*$I$5356)</f>
        <v/>
      </c>
      <c r="E6844" s="19">
        <f>0.5*$E$6808+0.5*$Z$6860</f>
        <v/>
      </c>
      <c r="F6844" s="19">
        <f>$Z$6861</f>
        <v/>
      </c>
    </row>
    <row r="6845">
      <c r="D6845" s="19">
        <f>IF(ABS(IF(ABS($E$6809)&gt;0.000000001,$E$6809,0.000000001))=0,0,IF($E$5357&lt;=$B$5346,0,IF(ABS(IF(ABS($E$6809)&gt;0.000000001,$E$6809,0.000000001))&gt;=8*$B$5348,$H$5357,0.5*$H$5357*(ABS(IF(ABS($E$6809)&gt;0.000000001,$E$6809,0.000000001))/$B$5348)^(1/3)))/ABS(IF(ABS($E$6809)&gt;0.000000001,$E$6809,0.000000001))*$I$5357)</f>
        <v/>
      </c>
      <c r="E6845" s="19">
        <f>0.5*$E$6809+0.5*$Z$6862</f>
        <v/>
      </c>
      <c r="F6845" s="19">
        <f>$Z$6863</f>
        <v/>
      </c>
    </row>
    <row r="6846">
      <c r="D6846" s="19">
        <f>IF(ABS(IF(ABS($E$6810)&gt;0.000000001,$E$6810,0.000000001))=0,0,IF($E$5358&lt;=$B$5346,0,IF(ABS(IF(ABS($E$6810)&gt;0.000000001,$E$6810,0.000000001))&gt;=8*$B$5348,$H$5358,0.5*$H$5358*(ABS(IF(ABS($E$6810)&gt;0.000000001,$E$6810,0.000000001))/$B$5348)^(1/3)))/ABS(IF(ABS($E$6810)&gt;0.000000001,$E$6810,0.000000001))*$I$5358)</f>
        <v/>
      </c>
      <c r="E6846" s="19">
        <f>0.5*$E$6810+0.5*$Z$6864</f>
        <v/>
      </c>
      <c r="F6846" s="19">
        <f>$Z$6865</f>
        <v/>
      </c>
    </row>
    <row r="6847">
      <c r="D6847" s="19">
        <f>IF(ABS(IF(ABS($E$6811)&gt;0.000000001,$E$6811,0.000000001))=0,0,IF($E$5359&lt;=$B$5346,0,IF(ABS(IF(ABS($E$6811)&gt;0.000000001,$E$6811,0.000000001))&gt;=8*$B$5348,$H$5359,0.5*$H$5359*(ABS(IF(ABS($E$6811)&gt;0.000000001,$E$6811,0.000000001))/$B$5348)^(1/3)))/ABS(IF(ABS($E$6811)&gt;0.000000001,$E$6811,0.000000001))*$I$5359)</f>
        <v/>
      </c>
      <c r="E6847" s="19">
        <f>0.5*$E$6811+0.5*$Z$6866</f>
        <v/>
      </c>
      <c r="F6847" s="19">
        <f>$Z$6867</f>
        <v/>
      </c>
    </row>
    <row r="6848">
      <c r="D6848" s="19">
        <f>IF(ABS(IF(ABS($E$6812)&gt;0.000000001,$E$6812,0.000000001))=0,0,IF($E$5360&lt;=$B$5346,0,IF(ABS(IF(ABS($E$6812)&gt;0.000000001,$E$6812,0.000000001))&gt;=8*$B$5348,$H$5360,0.5*$H$5360*(ABS(IF(ABS($E$6812)&gt;0.000000001,$E$6812,0.000000001))/$B$5348)^(1/3)))/ABS(IF(ABS($E$6812)&gt;0.000000001,$E$6812,0.000000001))*$I$5360)</f>
        <v/>
      </c>
      <c r="E6848" s="19">
        <f>0.5*$E$6812+0.5*$Z$6868</f>
        <v/>
      </c>
      <c r="F6848" s="19">
        <f>$Z$6869</f>
        <v/>
      </c>
    </row>
    <row r="6849">
      <c r="D6849" s="19">
        <f>IF(ABS(IF(ABS($E$6813)&gt;0.000000001,$E$6813,0.000000001))=0,0,IF($E$5361&lt;=$B$5346,0,IF(ABS(IF(ABS($E$6813)&gt;0.000000001,$E$6813,0.000000001))&gt;=8*$B$5348,$H$5361,0.5*$H$5361*(ABS(IF(ABS($E$6813)&gt;0.000000001,$E$6813,0.000000001))/$B$5348)^(1/3)))/ABS(IF(ABS($E$6813)&gt;0.000000001,$E$6813,0.000000001))*$I$5361)</f>
        <v/>
      </c>
      <c r="E6849" s="19">
        <f>0.5*$E$6813+0.5*$Z$6870</f>
        <v/>
      </c>
      <c r="F6849" s="19">
        <f>$Z$6871</f>
        <v/>
      </c>
    </row>
    <row r="6850">
      <c r="D6850" s="19">
        <f>IF(ABS(IF(ABS($E$6814)&gt;0.000000001,$E$6814,0.000000001))=0,0,IF($E$5362&lt;=$B$5346,0,IF(ABS(IF(ABS($E$6814)&gt;0.000000001,$E$6814,0.000000001))&gt;=8*$B$5348,$H$5362,0.5*$H$5362*(ABS(IF(ABS($E$6814)&gt;0.000000001,$E$6814,0.000000001))/$B$5348)^(1/3)))/ABS(IF(ABS($E$6814)&gt;0.000000001,$E$6814,0.000000001))*$I$5362)</f>
        <v/>
      </c>
      <c r="E6850" s="19">
        <f>0.5*$E$6814+0.5*$Z$6872</f>
        <v/>
      </c>
      <c r="F6850" s="19">
        <f>$Z$6873</f>
        <v/>
      </c>
    </row>
    <row r="6852">
      <c r="D6852" s="21">
        <f>$B$5337+$D$6840</f>
        <v/>
      </c>
      <c r="E6852" s="21">
        <f>$B$5338</f>
        <v/>
      </c>
      <c r="F6852" s="21">
        <f>-$B$5337</f>
        <v/>
      </c>
      <c r="G6852" s="21">
        <f>$B$5338</f>
        <v/>
      </c>
      <c r="H6852" s="21" t="n">
        <v>0</v>
      </c>
      <c r="I6852" s="21" t="n">
        <v>0</v>
      </c>
      <c r="J6852" s="21" t="n">
        <v>0</v>
      </c>
      <c r="K6852" s="21" t="n">
        <v>0</v>
      </c>
      <c r="L6852" s="21" t="n">
        <v>0</v>
      </c>
      <c r="M6852" s="21" t="n">
        <v>0</v>
      </c>
      <c r="N6852" s="21" t="n">
        <v>0</v>
      </c>
      <c r="O6852" s="21" t="n">
        <v>0</v>
      </c>
      <c r="P6852" s="21" t="n">
        <v>0</v>
      </c>
      <c r="Q6852" s="21" t="n">
        <v>0</v>
      </c>
      <c r="R6852" s="21" t="n">
        <v>0</v>
      </c>
      <c r="S6852" s="21" t="n">
        <v>0</v>
      </c>
      <c r="T6852" s="21" t="n">
        <v>0</v>
      </c>
      <c r="U6852" s="21" t="n">
        <v>0</v>
      </c>
      <c r="V6852" s="21" t="n">
        <v>0</v>
      </c>
      <c r="W6852" s="21" t="n">
        <v>0</v>
      </c>
      <c r="X6852" s="21" t="n">
        <v>0</v>
      </c>
      <c r="Y6852" s="21" t="n">
        <v>0</v>
      </c>
      <c r="Z6852" s="19">
        <f t="array" ref="Z6852:Z6873">MMULT(MINVERSE($D$6852:$Y$6873),$D$5364:$D$5385)</f>
        <v/>
      </c>
    </row>
    <row r="6853">
      <c r="D6853" s="21">
        <f>$B$5338</f>
        <v/>
      </c>
      <c r="E6853" s="21">
        <f>$B$5339</f>
        <v/>
      </c>
      <c r="F6853" s="21">
        <f>-$B$5338</f>
        <v/>
      </c>
      <c r="G6853" s="21">
        <f>$B$5340</f>
        <v/>
      </c>
      <c r="H6853" s="21" t="n">
        <v>0</v>
      </c>
      <c r="I6853" s="21" t="n">
        <v>0</v>
      </c>
      <c r="J6853" s="21" t="n">
        <v>0</v>
      </c>
      <c r="K6853" s="21" t="n">
        <v>0</v>
      </c>
      <c r="L6853" s="21" t="n">
        <v>0</v>
      </c>
      <c r="M6853" s="21" t="n">
        <v>0</v>
      </c>
      <c r="N6853" s="21" t="n">
        <v>0</v>
      </c>
      <c r="O6853" s="21" t="n">
        <v>0</v>
      </c>
      <c r="P6853" s="21" t="n">
        <v>0</v>
      </c>
      <c r="Q6853" s="21" t="n">
        <v>0</v>
      </c>
      <c r="R6853" s="21" t="n">
        <v>0</v>
      </c>
      <c r="S6853" s="21" t="n">
        <v>0</v>
      </c>
      <c r="T6853" s="21" t="n">
        <v>0</v>
      </c>
      <c r="U6853" s="21" t="n">
        <v>0</v>
      </c>
      <c r="V6853" s="21" t="n">
        <v>0</v>
      </c>
      <c r="W6853" s="21" t="n">
        <v>0</v>
      </c>
      <c r="X6853" s="21" t="n">
        <v>0</v>
      </c>
      <c r="Y6853" s="21" t="n">
        <v>0</v>
      </c>
      <c r="Z6853" s="19" t="n"/>
    </row>
    <row r="6854">
      <c r="D6854" s="21">
        <f>-$B$5337</f>
        <v/>
      </c>
      <c r="E6854" s="21">
        <f>-$B$5338</f>
        <v/>
      </c>
      <c r="F6854" s="21">
        <f>2*$B$5337+$D$6841</f>
        <v/>
      </c>
      <c r="G6854" s="21">
        <f>0</f>
        <v/>
      </c>
      <c r="H6854" s="21">
        <f>-$B$5337</f>
        <v/>
      </c>
      <c r="I6854" s="21">
        <f>$B$5338</f>
        <v/>
      </c>
      <c r="J6854" s="21" t="n">
        <v>0</v>
      </c>
      <c r="K6854" s="21" t="n">
        <v>0</v>
      </c>
      <c r="L6854" s="21" t="n">
        <v>0</v>
      </c>
      <c r="M6854" s="21" t="n">
        <v>0</v>
      </c>
      <c r="N6854" s="21" t="n">
        <v>0</v>
      </c>
      <c r="O6854" s="21" t="n">
        <v>0</v>
      </c>
      <c r="P6854" s="21" t="n">
        <v>0</v>
      </c>
      <c r="Q6854" s="21" t="n">
        <v>0</v>
      </c>
      <c r="R6854" s="21" t="n">
        <v>0</v>
      </c>
      <c r="S6854" s="21" t="n">
        <v>0</v>
      </c>
      <c r="T6854" s="21" t="n">
        <v>0</v>
      </c>
      <c r="U6854" s="21" t="n">
        <v>0</v>
      </c>
      <c r="V6854" s="21" t="n">
        <v>0</v>
      </c>
      <c r="W6854" s="21" t="n">
        <v>0</v>
      </c>
      <c r="X6854" s="21" t="n">
        <v>0</v>
      </c>
      <c r="Y6854" s="21" t="n">
        <v>0</v>
      </c>
      <c r="Z6854" s="19" t="n"/>
    </row>
    <row r="6855">
      <c r="D6855" s="21">
        <f>$B$5338</f>
        <v/>
      </c>
      <c r="E6855" s="21">
        <f>$B$5340</f>
        <v/>
      </c>
      <c r="F6855" s="21">
        <f>0</f>
        <v/>
      </c>
      <c r="G6855" s="21">
        <f>2*$B$5339</f>
        <v/>
      </c>
      <c r="H6855" s="21">
        <f>-$B$5338</f>
        <v/>
      </c>
      <c r="I6855" s="21">
        <f>$B$5340</f>
        <v/>
      </c>
      <c r="J6855" s="21" t="n">
        <v>0</v>
      </c>
      <c r="K6855" s="21" t="n">
        <v>0</v>
      </c>
      <c r="L6855" s="21" t="n">
        <v>0</v>
      </c>
      <c r="M6855" s="21" t="n">
        <v>0</v>
      </c>
      <c r="N6855" s="21" t="n">
        <v>0</v>
      </c>
      <c r="O6855" s="21" t="n">
        <v>0</v>
      </c>
      <c r="P6855" s="21" t="n">
        <v>0</v>
      </c>
      <c r="Q6855" s="21" t="n">
        <v>0</v>
      </c>
      <c r="R6855" s="21" t="n">
        <v>0</v>
      </c>
      <c r="S6855" s="21" t="n">
        <v>0</v>
      </c>
      <c r="T6855" s="21" t="n">
        <v>0</v>
      </c>
      <c r="U6855" s="21" t="n">
        <v>0</v>
      </c>
      <c r="V6855" s="21" t="n">
        <v>0</v>
      </c>
      <c r="W6855" s="21" t="n">
        <v>0</v>
      </c>
      <c r="X6855" s="21" t="n">
        <v>0</v>
      </c>
      <c r="Y6855" s="21" t="n">
        <v>0</v>
      </c>
      <c r="Z6855" s="19" t="n"/>
    </row>
    <row r="6856">
      <c r="D6856" s="21" t="n">
        <v>0</v>
      </c>
      <c r="E6856" s="21" t="n">
        <v>0</v>
      </c>
      <c r="F6856" s="21">
        <f>-$B$5337</f>
        <v/>
      </c>
      <c r="G6856" s="21">
        <f>-$B$5338</f>
        <v/>
      </c>
      <c r="H6856" s="21">
        <f>2*$B$5337+$D$6842</f>
        <v/>
      </c>
      <c r="I6856" s="21">
        <f>0</f>
        <v/>
      </c>
      <c r="J6856" s="21">
        <f>-$B$5337</f>
        <v/>
      </c>
      <c r="K6856" s="21">
        <f>$B$5338</f>
        <v/>
      </c>
      <c r="L6856" s="21" t="n">
        <v>0</v>
      </c>
      <c r="M6856" s="21" t="n">
        <v>0</v>
      </c>
      <c r="N6856" s="21" t="n">
        <v>0</v>
      </c>
      <c r="O6856" s="21" t="n">
        <v>0</v>
      </c>
      <c r="P6856" s="21" t="n">
        <v>0</v>
      </c>
      <c r="Q6856" s="21" t="n">
        <v>0</v>
      </c>
      <c r="R6856" s="21" t="n">
        <v>0</v>
      </c>
      <c r="S6856" s="21" t="n">
        <v>0</v>
      </c>
      <c r="T6856" s="21" t="n">
        <v>0</v>
      </c>
      <c r="U6856" s="21" t="n">
        <v>0</v>
      </c>
      <c r="V6856" s="21" t="n">
        <v>0</v>
      </c>
      <c r="W6856" s="21" t="n">
        <v>0</v>
      </c>
      <c r="X6856" s="21" t="n">
        <v>0</v>
      </c>
      <c r="Y6856" s="21" t="n">
        <v>0</v>
      </c>
      <c r="Z6856" s="19" t="n"/>
    </row>
    <row r="6857">
      <c r="D6857" s="21" t="n">
        <v>0</v>
      </c>
      <c r="E6857" s="21" t="n">
        <v>0</v>
      </c>
      <c r="F6857" s="21">
        <f>$B$5338</f>
        <v/>
      </c>
      <c r="G6857" s="21">
        <f>$B$5340</f>
        <v/>
      </c>
      <c r="H6857" s="21">
        <f>0</f>
        <v/>
      </c>
      <c r="I6857" s="21">
        <f>2*$B$5339</f>
        <v/>
      </c>
      <c r="J6857" s="21">
        <f>-$B$5338</f>
        <v/>
      </c>
      <c r="K6857" s="21">
        <f>$B$5340</f>
        <v/>
      </c>
      <c r="L6857" s="21" t="n">
        <v>0</v>
      </c>
      <c r="M6857" s="21" t="n">
        <v>0</v>
      </c>
      <c r="N6857" s="21" t="n">
        <v>0</v>
      </c>
      <c r="O6857" s="21" t="n">
        <v>0</v>
      </c>
      <c r="P6857" s="21" t="n">
        <v>0</v>
      </c>
      <c r="Q6857" s="21" t="n">
        <v>0</v>
      </c>
      <c r="R6857" s="21" t="n">
        <v>0</v>
      </c>
      <c r="S6857" s="21" t="n">
        <v>0</v>
      </c>
      <c r="T6857" s="21" t="n">
        <v>0</v>
      </c>
      <c r="U6857" s="21" t="n">
        <v>0</v>
      </c>
      <c r="V6857" s="21" t="n">
        <v>0</v>
      </c>
      <c r="W6857" s="21" t="n">
        <v>0</v>
      </c>
      <c r="X6857" s="21" t="n">
        <v>0</v>
      </c>
      <c r="Y6857" s="21" t="n">
        <v>0</v>
      </c>
      <c r="Z6857" s="19" t="n"/>
    </row>
    <row r="6858">
      <c r="D6858" s="21" t="n">
        <v>0</v>
      </c>
      <c r="E6858" s="21" t="n">
        <v>0</v>
      </c>
      <c r="F6858" s="21" t="n">
        <v>0</v>
      </c>
      <c r="G6858" s="21" t="n">
        <v>0</v>
      </c>
      <c r="H6858" s="21">
        <f>-$B$5337</f>
        <v/>
      </c>
      <c r="I6858" s="21">
        <f>-$B$5338</f>
        <v/>
      </c>
      <c r="J6858" s="21">
        <f>2*$B$5337+$D$6843</f>
        <v/>
      </c>
      <c r="K6858" s="21">
        <f>0</f>
        <v/>
      </c>
      <c r="L6858" s="21">
        <f>-$B$5337</f>
        <v/>
      </c>
      <c r="M6858" s="21">
        <f>$B$5338</f>
        <v/>
      </c>
      <c r="N6858" s="21" t="n">
        <v>0</v>
      </c>
      <c r="O6858" s="21" t="n">
        <v>0</v>
      </c>
      <c r="P6858" s="21" t="n">
        <v>0</v>
      </c>
      <c r="Q6858" s="21" t="n">
        <v>0</v>
      </c>
      <c r="R6858" s="21" t="n">
        <v>0</v>
      </c>
      <c r="S6858" s="21" t="n">
        <v>0</v>
      </c>
      <c r="T6858" s="21" t="n">
        <v>0</v>
      </c>
      <c r="U6858" s="21" t="n">
        <v>0</v>
      </c>
      <c r="V6858" s="21" t="n">
        <v>0</v>
      </c>
      <c r="W6858" s="21" t="n">
        <v>0</v>
      </c>
      <c r="X6858" s="21" t="n">
        <v>0</v>
      </c>
      <c r="Y6858" s="21" t="n">
        <v>0</v>
      </c>
      <c r="Z6858" s="19" t="n"/>
    </row>
    <row r="6859">
      <c r="D6859" s="21" t="n">
        <v>0</v>
      </c>
      <c r="E6859" s="21" t="n">
        <v>0</v>
      </c>
      <c r="F6859" s="21" t="n">
        <v>0</v>
      </c>
      <c r="G6859" s="21" t="n">
        <v>0</v>
      </c>
      <c r="H6859" s="21">
        <f>$B$5338</f>
        <v/>
      </c>
      <c r="I6859" s="21">
        <f>$B$5340</f>
        <v/>
      </c>
      <c r="J6859" s="21">
        <f>0</f>
        <v/>
      </c>
      <c r="K6859" s="21">
        <f>2*$B$5339</f>
        <v/>
      </c>
      <c r="L6859" s="21">
        <f>-$B$5338</f>
        <v/>
      </c>
      <c r="M6859" s="21">
        <f>$B$5340</f>
        <v/>
      </c>
      <c r="N6859" s="21" t="n">
        <v>0</v>
      </c>
      <c r="O6859" s="21" t="n">
        <v>0</v>
      </c>
      <c r="P6859" s="21" t="n">
        <v>0</v>
      </c>
      <c r="Q6859" s="21" t="n">
        <v>0</v>
      </c>
      <c r="R6859" s="21" t="n">
        <v>0</v>
      </c>
      <c r="S6859" s="21" t="n">
        <v>0</v>
      </c>
      <c r="T6859" s="21" t="n">
        <v>0</v>
      </c>
      <c r="U6859" s="21" t="n">
        <v>0</v>
      </c>
      <c r="V6859" s="21" t="n">
        <v>0</v>
      </c>
      <c r="W6859" s="21" t="n">
        <v>0</v>
      </c>
      <c r="X6859" s="21" t="n">
        <v>0</v>
      </c>
      <c r="Y6859" s="21" t="n">
        <v>0</v>
      </c>
      <c r="Z6859" s="19" t="n"/>
    </row>
    <row r="6860">
      <c r="D6860" s="21" t="n">
        <v>0</v>
      </c>
      <c r="E6860" s="21" t="n">
        <v>0</v>
      </c>
      <c r="F6860" s="21" t="n">
        <v>0</v>
      </c>
      <c r="G6860" s="21" t="n">
        <v>0</v>
      </c>
      <c r="H6860" s="21" t="n">
        <v>0</v>
      </c>
      <c r="I6860" s="21" t="n">
        <v>0</v>
      </c>
      <c r="J6860" s="21">
        <f>-$B$5337</f>
        <v/>
      </c>
      <c r="K6860" s="21">
        <f>-$B$5338</f>
        <v/>
      </c>
      <c r="L6860" s="21">
        <f>2*$B$5337+$D$6844</f>
        <v/>
      </c>
      <c r="M6860" s="21">
        <f>0</f>
        <v/>
      </c>
      <c r="N6860" s="21">
        <f>-$B$5337</f>
        <v/>
      </c>
      <c r="O6860" s="21">
        <f>$B$5338</f>
        <v/>
      </c>
      <c r="P6860" s="21" t="n">
        <v>0</v>
      </c>
      <c r="Q6860" s="21" t="n">
        <v>0</v>
      </c>
      <c r="R6860" s="21" t="n">
        <v>0</v>
      </c>
      <c r="S6860" s="21" t="n">
        <v>0</v>
      </c>
      <c r="T6860" s="21" t="n">
        <v>0</v>
      </c>
      <c r="U6860" s="21" t="n">
        <v>0</v>
      </c>
      <c r="V6860" s="21" t="n">
        <v>0</v>
      </c>
      <c r="W6860" s="21" t="n">
        <v>0</v>
      </c>
      <c r="X6860" s="21" t="n">
        <v>0</v>
      </c>
      <c r="Y6860" s="21" t="n">
        <v>0</v>
      </c>
      <c r="Z6860" s="19" t="n"/>
    </row>
    <row r="6861">
      <c r="D6861" s="21" t="n">
        <v>0</v>
      </c>
      <c r="E6861" s="21" t="n">
        <v>0</v>
      </c>
      <c r="F6861" s="21" t="n">
        <v>0</v>
      </c>
      <c r="G6861" s="21" t="n">
        <v>0</v>
      </c>
      <c r="H6861" s="21" t="n">
        <v>0</v>
      </c>
      <c r="I6861" s="21" t="n">
        <v>0</v>
      </c>
      <c r="J6861" s="21">
        <f>$B$5338</f>
        <v/>
      </c>
      <c r="K6861" s="21">
        <f>$B$5340</f>
        <v/>
      </c>
      <c r="L6861" s="21">
        <f>0</f>
        <v/>
      </c>
      <c r="M6861" s="21">
        <f>2*$B$5339</f>
        <v/>
      </c>
      <c r="N6861" s="21">
        <f>-$B$5338</f>
        <v/>
      </c>
      <c r="O6861" s="21">
        <f>$B$5340</f>
        <v/>
      </c>
      <c r="P6861" s="21" t="n">
        <v>0</v>
      </c>
      <c r="Q6861" s="21" t="n">
        <v>0</v>
      </c>
      <c r="R6861" s="21" t="n">
        <v>0</v>
      </c>
      <c r="S6861" s="21" t="n">
        <v>0</v>
      </c>
      <c r="T6861" s="21" t="n">
        <v>0</v>
      </c>
      <c r="U6861" s="21" t="n">
        <v>0</v>
      </c>
      <c r="V6861" s="21" t="n">
        <v>0</v>
      </c>
      <c r="W6861" s="21" t="n">
        <v>0</v>
      </c>
      <c r="X6861" s="21" t="n">
        <v>0</v>
      </c>
      <c r="Y6861" s="21" t="n">
        <v>0</v>
      </c>
      <c r="Z6861" s="19" t="n"/>
    </row>
    <row r="6862">
      <c r="D6862" s="21" t="n">
        <v>0</v>
      </c>
      <c r="E6862" s="21" t="n">
        <v>0</v>
      </c>
      <c r="F6862" s="21" t="n">
        <v>0</v>
      </c>
      <c r="G6862" s="21" t="n">
        <v>0</v>
      </c>
      <c r="H6862" s="21" t="n">
        <v>0</v>
      </c>
      <c r="I6862" s="21" t="n">
        <v>0</v>
      </c>
      <c r="J6862" s="21" t="n">
        <v>0</v>
      </c>
      <c r="K6862" s="21" t="n">
        <v>0</v>
      </c>
      <c r="L6862" s="21">
        <f>-$B$5337</f>
        <v/>
      </c>
      <c r="M6862" s="21">
        <f>-$B$5338</f>
        <v/>
      </c>
      <c r="N6862" s="21">
        <f>2*$B$5337+$D$6845</f>
        <v/>
      </c>
      <c r="O6862" s="21">
        <f>0</f>
        <v/>
      </c>
      <c r="P6862" s="21">
        <f>-$B$5337</f>
        <v/>
      </c>
      <c r="Q6862" s="21">
        <f>$B$5338</f>
        <v/>
      </c>
      <c r="R6862" s="21" t="n">
        <v>0</v>
      </c>
      <c r="S6862" s="21" t="n">
        <v>0</v>
      </c>
      <c r="T6862" s="21" t="n">
        <v>0</v>
      </c>
      <c r="U6862" s="21" t="n">
        <v>0</v>
      </c>
      <c r="V6862" s="21" t="n">
        <v>0</v>
      </c>
      <c r="W6862" s="21" t="n">
        <v>0</v>
      </c>
      <c r="X6862" s="21" t="n">
        <v>0</v>
      </c>
      <c r="Y6862" s="21" t="n">
        <v>0</v>
      </c>
      <c r="Z6862" s="19" t="n"/>
    </row>
    <row r="6863">
      <c r="D6863" s="21" t="n">
        <v>0</v>
      </c>
      <c r="E6863" s="21" t="n">
        <v>0</v>
      </c>
      <c r="F6863" s="21" t="n">
        <v>0</v>
      </c>
      <c r="G6863" s="21" t="n">
        <v>0</v>
      </c>
      <c r="H6863" s="21" t="n">
        <v>0</v>
      </c>
      <c r="I6863" s="21" t="n">
        <v>0</v>
      </c>
      <c r="J6863" s="21" t="n">
        <v>0</v>
      </c>
      <c r="K6863" s="21" t="n">
        <v>0</v>
      </c>
      <c r="L6863" s="21">
        <f>$B$5338</f>
        <v/>
      </c>
      <c r="M6863" s="21">
        <f>$B$5340</f>
        <v/>
      </c>
      <c r="N6863" s="21">
        <f>0</f>
        <v/>
      </c>
      <c r="O6863" s="21">
        <f>2*$B$5339</f>
        <v/>
      </c>
      <c r="P6863" s="21">
        <f>-$B$5338</f>
        <v/>
      </c>
      <c r="Q6863" s="21">
        <f>$B$5340</f>
        <v/>
      </c>
      <c r="R6863" s="21" t="n">
        <v>0</v>
      </c>
      <c r="S6863" s="21" t="n">
        <v>0</v>
      </c>
      <c r="T6863" s="21" t="n">
        <v>0</v>
      </c>
      <c r="U6863" s="21" t="n">
        <v>0</v>
      </c>
      <c r="V6863" s="21" t="n">
        <v>0</v>
      </c>
      <c r="W6863" s="21" t="n">
        <v>0</v>
      </c>
      <c r="X6863" s="21" t="n">
        <v>0</v>
      </c>
      <c r="Y6863" s="21" t="n">
        <v>0</v>
      </c>
      <c r="Z6863" s="19" t="n"/>
    </row>
    <row r="6864">
      <c r="D6864" s="21" t="n">
        <v>0</v>
      </c>
      <c r="E6864" s="21" t="n">
        <v>0</v>
      </c>
      <c r="F6864" s="21" t="n">
        <v>0</v>
      </c>
      <c r="G6864" s="21" t="n">
        <v>0</v>
      </c>
      <c r="H6864" s="21" t="n">
        <v>0</v>
      </c>
      <c r="I6864" s="21" t="n">
        <v>0</v>
      </c>
      <c r="J6864" s="21" t="n">
        <v>0</v>
      </c>
      <c r="K6864" s="21" t="n">
        <v>0</v>
      </c>
      <c r="L6864" s="21" t="n">
        <v>0</v>
      </c>
      <c r="M6864" s="21" t="n">
        <v>0</v>
      </c>
      <c r="N6864" s="21">
        <f>-$B$5337</f>
        <v/>
      </c>
      <c r="O6864" s="21">
        <f>-$B$5338</f>
        <v/>
      </c>
      <c r="P6864" s="21">
        <f>2*$B$5337+$D$6846</f>
        <v/>
      </c>
      <c r="Q6864" s="21">
        <f>0</f>
        <v/>
      </c>
      <c r="R6864" s="21">
        <f>-$B$5337</f>
        <v/>
      </c>
      <c r="S6864" s="21">
        <f>$B$5338</f>
        <v/>
      </c>
      <c r="T6864" s="21" t="n">
        <v>0</v>
      </c>
      <c r="U6864" s="21" t="n">
        <v>0</v>
      </c>
      <c r="V6864" s="21" t="n">
        <v>0</v>
      </c>
      <c r="W6864" s="21" t="n">
        <v>0</v>
      </c>
      <c r="X6864" s="21" t="n">
        <v>0</v>
      </c>
      <c r="Y6864" s="21" t="n">
        <v>0</v>
      </c>
      <c r="Z6864" s="19" t="n"/>
    </row>
    <row r="6865">
      <c r="D6865" s="21" t="n">
        <v>0</v>
      </c>
      <c r="E6865" s="21" t="n">
        <v>0</v>
      </c>
      <c r="F6865" s="21" t="n">
        <v>0</v>
      </c>
      <c r="G6865" s="21" t="n">
        <v>0</v>
      </c>
      <c r="H6865" s="21" t="n">
        <v>0</v>
      </c>
      <c r="I6865" s="21" t="n">
        <v>0</v>
      </c>
      <c r="J6865" s="21" t="n">
        <v>0</v>
      </c>
      <c r="K6865" s="21" t="n">
        <v>0</v>
      </c>
      <c r="L6865" s="21" t="n">
        <v>0</v>
      </c>
      <c r="M6865" s="21" t="n">
        <v>0</v>
      </c>
      <c r="N6865" s="21">
        <f>$B$5338</f>
        <v/>
      </c>
      <c r="O6865" s="21">
        <f>$B$5340</f>
        <v/>
      </c>
      <c r="P6865" s="21">
        <f>0</f>
        <v/>
      </c>
      <c r="Q6865" s="21">
        <f>2*$B$5339</f>
        <v/>
      </c>
      <c r="R6865" s="21">
        <f>-$B$5338</f>
        <v/>
      </c>
      <c r="S6865" s="21">
        <f>$B$5340</f>
        <v/>
      </c>
      <c r="T6865" s="21" t="n">
        <v>0</v>
      </c>
      <c r="U6865" s="21" t="n">
        <v>0</v>
      </c>
      <c r="V6865" s="21" t="n">
        <v>0</v>
      </c>
      <c r="W6865" s="21" t="n">
        <v>0</v>
      </c>
      <c r="X6865" s="21" t="n">
        <v>0</v>
      </c>
      <c r="Y6865" s="21" t="n">
        <v>0</v>
      </c>
      <c r="Z6865" s="19" t="n"/>
    </row>
    <row r="6866">
      <c r="D6866" s="21" t="n">
        <v>0</v>
      </c>
      <c r="E6866" s="21" t="n">
        <v>0</v>
      </c>
      <c r="F6866" s="21" t="n">
        <v>0</v>
      </c>
      <c r="G6866" s="21" t="n">
        <v>0</v>
      </c>
      <c r="H6866" s="21" t="n">
        <v>0</v>
      </c>
      <c r="I6866" s="21" t="n">
        <v>0</v>
      </c>
      <c r="J6866" s="21" t="n">
        <v>0</v>
      </c>
      <c r="K6866" s="21" t="n">
        <v>0</v>
      </c>
      <c r="L6866" s="21" t="n">
        <v>0</v>
      </c>
      <c r="M6866" s="21" t="n">
        <v>0</v>
      </c>
      <c r="N6866" s="21" t="n">
        <v>0</v>
      </c>
      <c r="O6866" s="21" t="n">
        <v>0</v>
      </c>
      <c r="P6866" s="21">
        <f>-$B$5337</f>
        <v/>
      </c>
      <c r="Q6866" s="21">
        <f>-$B$5338</f>
        <v/>
      </c>
      <c r="R6866" s="21">
        <f>2*$B$5337+$D$6847</f>
        <v/>
      </c>
      <c r="S6866" s="21">
        <f>0</f>
        <v/>
      </c>
      <c r="T6866" s="21">
        <f>-$B$5337</f>
        <v/>
      </c>
      <c r="U6866" s="21">
        <f>$B$5338</f>
        <v/>
      </c>
      <c r="V6866" s="21" t="n">
        <v>0</v>
      </c>
      <c r="W6866" s="21" t="n">
        <v>0</v>
      </c>
      <c r="X6866" s="21" t="n">
        <v>0</v>
      </c>
      <c r="Y6866" s="21" t="n">
        <v>0</v>
      </c>
      <c r="Z6866" s="19" t="n"/>
    </row>
    <row r="6867">
      <c r="D6867" s="21" t="n">
        <v>0</v>
      </c>
      <c r="E6867" s="21" t="n">
        <v>0</v>
      </c>
      <c r="F6867" s="21" t="n">
        <v>0</v>
      </c>
      <c r="G6867" s="21" t="n">
        <v>0</v>
      </c>
      <c r="H6867" s="21" t="n">
        <v>0</v>
      </c>
      <c r="I6867" s="21" t="n">
        <v>0</v>
      </c>
      <c r="J6867" s="21" t="n">
        <v>0</v>
      </c>
      <c r="K6867" s="21" t="n">
        <v>0</v>
      </c>
      <c r="L6867" s="21" t="n">
        <v>0</v>
      </c>
      <c r="M6867" s="21" t="n">
        <v>0</v>
      </c>
      <c r="N6867" s="21" t="n">
        <v>0</v>
      </c>
      <c r="O6867" s="21" t="n">
        <v>0</v>
      </c>
      <c r="P6867" s="21">
        <f>$B$5338</f>
        <v/>
      </c>
      <c r="Q6867" s="21">
        <f>$B$5340</f>
        <v/>
      </c>
      <c r="R6867" s="21">
        <f>0</f>
        <v/>
      </c>
      <c r="S6867" s="21">
        <f>2*$B$5339</f>
        <v/>
      </c>
      <c r="T6867" s="21">
        <f>-$B$5338</f>
        <v/>
      </c>
      <c r="U6867" s="21">
        <f>$B$5340</f>
        <v/>
      </c>
      <c r="V6867" s="21" t="n">
        <v>0</v>
      </c>
      <c r="W6867" s="21" t="n">
        <v>0</v>
      </c>
      <c r="X6867" s="21" t="n">
        <v>0</v>
      </c>
      <c r="Y6867" s="21" t="n">
        <v>0</v>
      </c>
      <c r="Z6867" s="19" t="n"/>
    </row>
    <row r="6868">
      <c r="D6868" s="21" t="n">
        <v>0</v>
      </c>
      <c r="E6868" s="21" t="n">
        <v>0</v>
      </c>
      <c r="F6868" s="21" t="n">
        <v>0</v>
      </c>
      <c r="G6868" s="21" t="n">
        <v>0</v>
      </c>
      <c r="H6868" s="21" t="n">
        <v>0</v>
      </c>
      <c r="I6868" s="21" t="n">
        <v>0</v>
      </c>
      <c r="J6868" s="21" t="n">
        <v>0</v>
      </c>
      <c r="K6868" s="21" t="n">
        <v>0</v>
      </c>
      <c r="L6868" s="21" t="n">
        <v>0</v>
      </c>
      <c r="M6868" s="21" t="n">
        <v>0</v>
      </c>
      <c r="N6868" s="21" t="n">
        <v>0</v>
      </c>
      <c r="O6868" s="21" t="n">
        <v>0</v>
      </c>
      <c r="P6868" s="21" t="n">
        <v>0</v>
      </c>
      <c r="Q6868" s="21" t="n">
        <v>0</v>
      </c>
      <c r="R6868" s="21">
        <f>-$B$5337</f>
        <v/>
      </c>
      <c r="S6868" s="21">
        <f>-$B$5338</f>
        <v/>
      </c>
      <c r="T6868" s="21">
        <f>2*$B$5337+$D$6848</f>
        <v/>
      </c>
      <c r="U6868" s="21">
        <f>0</f>
        <v/>
      </c>
      <c r="V6868" s="21">
        <f>-$B$5337</f>
        <v/>
      </c>
      <c r="W6868" s="21">
        <f>$B$5338</f>
        <v/>
      </c>
      <c r="X6868" s="21" t="n">
        <v>0</v>
      </c>
      <c r="Y6868" s="21" t="n">
        <v>0</v>
      </c>
      <c r="Z6868" s="19" t="n"/>
    </row>
    <row r="6869">
      <c r="D6869" s="21" t="n">
        <v>0</v>
      </c>
      <c r="E6869" s="21" t="n">
        <v>0</v>
      </c>
      <c r="F6869" s="21" t="n">
        <v>0</v>
      </c>
      <c r="G6869" s="21" t="n">
        <v>0</v>
      </c>
      <c r="H6869" s="21" t="n">
        <v>0</v>
      </c>
      <c r="I6869" s="21" t="n">
        <v>0</v>
      </c>
      <c r="J6869" s="21" t="n">
        <v>0</v>
      </c>
      <c r="K6869" s="21" t="n">
        <v>0</v>
      </c>
      <c r="L6869" s="21" t="n">
        <v>0</v>
      </c>
      <c r="M6869" s="21" t="n">
        <v>0</v>
      </c>
      <c r="N6869" s="21" t="n">
        <v>0</v>
      </c>
      <c r="O6869" s="21" t="n">
        <v>0</v>
      </c>
      <c r="P6869" s="21" t="n">
        <v>0</v>
      </c>
      <c r="Q6869" s="21" t="n">
        <v>0</v>
      </c>
      <c r="R6869" s="21">
        <f>$B$5338</f>
        <v/>
      </c>
      <c r="S6869" s="21">
        <f>$B$5340</f>
        <v/>
      </c>
      <c r="T6869" s="21">
        <f>0</f>
        <v/>
      </c>
      <c r="U6869" s="21">
        <f>2*$B$5339</f>
        <v/>
      </c>
      <c r="V6869" s="21">
        <f>-$B$5338</f>
        <v/>
      </c>
      <c r="W6869" s="21">
        <f>$B$5340</f>
        <v/>
      </c>
      <c r="X6869" s="21" t="n">
        <v>0</v>
      </c>
      <c r="Y6869" s="21" t="n">
        <v>0</v>
      </c>
      <c r="Z6869" s="19" t="n"/>
    </row>
    <row r="6870">
      <c r="D6870" s="21" t="n">
        <v>0</v>
      </c>
      <c r="E6870" s="21" t="n">
        <v>0</v>
      </c>
      <c r="F6870" s="21" t="n">
        <v>0</v>
      </c>
      <c r="G6870" s="21" t="n">
        <v>0</v>
      </c>
      <c r="H6870" s="21" t="n">
        <v>0</v>
      </c>
      <c r="I6870" s="21" t="n">
        <v>0</v>
      </c>
      <c r="J6870" s="21" t="n">
        <v>0</v>
      </c>
      <c r="K6870" s="21" t="n">
        <v>0</v>
      </c>
      <c r="L6870" s="21" t="n">
        <v>0</v>
      </c>
      <c r="M6870" s="21" t="n">
        <v>0</v>
      </c>
      <c r="N6870" s="21" t="n">
        <v>0</v>
      </c>
      <c r="O6870" s="21" t="n">
        <v>0</v>
      </c>
      <c r="P6870" s="21" t="n">
        <v>0</v>
      </c>
      <c r="Q6870" s="21" t="n">
        <v>0</v>
      </c>
      <c r="R6870" s="21" t="n">
        <v>0</v>
      </c>
      <c r="S6870" s="21" t="n">
        <v>0</v>
      </c>
      <c r="T6870" s="21">
        <f>-$B$5337</f>
        <v/>
      </c>
      <c r="U6870" s="21">
        <f>-$B$5338</f>
        <v/>
      </c>
      <c r="V6870" s="21">
        <f>2*$B$5337+$D$6849</f>
        <v/>
      </c>
      <c r="W6870" s="21">
        <f>0</f>
        <v/>
      </c>
      <c r="X6870" s="21">
        <f>-$B$5337</f>
        <v/>
      </c>
      <c r="Y6870" s="21">
        <f>$B$5338</f>
        <v/>
      </c>
      <c r="Z6870" s="19" t="n"/>
    </row>
    <row r="6871">
      <c r="D6871" s="21" t="n">
        <v>0</v>
      </c>
      <c r="E6871" s="21" t="n">
        <v>0</v>
      </c>
      <c r="F6871" s="21" t="n">
        <v>0</v>
      </c>
      <c r="G6871" s="21" t="n">
        <v>0</v>
      </c>
      <c r="H6871" s="21" t="n">
        <v>0</v>
      </c>
      <c r="I6871" s="21" t="n">
        <v>0</v>
      </c>
      <c r="J6871" s="21" t="n">
        <v>0</v>
      </c>
      <c r="K6871" s="21" t="n">
        <v>0</v>
      </c>
      <c r="L6871" s="21" t="n">
        <v>0</v>
      </c>
      <c r="M6871" s="21" t="n">
        <v>0</v>
      </c>
      <c r="N6871" s="21" t="n">
        <v>0</v>
      </c>
      <c r="O6871" s="21" t="n">
        <v>0</v>
      </c>
      <c r="P6871" s="21" t="n">
        <v>0</v>
      </c>
      <c r="Q6871" s="21" t="n">
        <v>0</v>
      </c>
      <c r="R6871" s="21" t="n">
        <v>0</v>
      </c>
      <c r="S6871" s="21" t="n">
        <v>0</v>
      </c>
      <c r="T6871" s="21">
        <f>$B$5338</f>
        <v/>
      </c>
      <c r="U6871" s="21">
        <f>$B$5340</f>
        <v/>
      </c>
      <c r="V6871" s="21">
        <f>0</f>
        <v/>
      </c>
      <c r="W6871" s="21">
        <f>2*$B$5339</f>
        <v/>
      </c>
      <c r="X6871" s="21">
        <f>-$B$5338</f>
        <v/>
      </c>
      <c r="Y6871" s="21">
        <f>$B$5340</f>
        <v/>
      </c>
      <c r="Z6871" s="19" t="n"/>
    </row>
    <row r="6872">
      <c r="D6872" s="21" t="n">
        <v>0</v>
      </c>
      <c r="E6872" s="21" t="n">
        <v>0</v>
      </c>
      <c r="F6872" s="21" t="n">
        <v>0</v>
      </c>
      <c r="G6872" s="21" t="n">
        <v>0</v>
      </c>
      <c r="H6872" s="21" t="n">
        <v>0</v>
      </c>
      <c r="I6872" s="21" t="n">
        <v>0</v>
      </c>
      <c r="J6872" s="21" t="n">
        <v>0</v>
      </c>
      <c r="K6872" s="21" t="n">
        <v>0</v>
      </c>
      <c r="L6872" s="21" t="n">
        <v>0</v>
      </c>
      <c r="M6872" s="21" t="n">
        <v>0</v>
      </c>
      <c r="N6872" s="21" t="n">
        <v>0</v>
      </c>
      <c r="O6872" s="21" t="n">
        <v>0</v>
      </c>
      <c r="P6872" s="21" t="n">
        <v>0</v>
      </c>
      <c r="Q6872" s="21" t="n">
        <v>0</v>
      </c>
      <c r="R6872" s="21" t="n">
        <v>0</v>
      </c>
      <c r="S6872" s="21" t="n">
        <v>0</v>
      </c>
      <c r="T6872" s="21" t="n">
        <v>0</v>
      </c>
      <c r="U6872" s="21" t="n">
        <v>0</v>
      </c>
      <c r="V6872" s="21">
        <f>-$B$5337</f>
        <v/>
      </c>
      <c r="W6872" s="21">
        <f>-$B$5338</f>
        <v/>
      </c>
      <c r="X6872" s="21">
        <f>$B$5337+$D$6850</f>
        <v/>
      </c>
      <c r="Y6872" s="21">
        <f>-$B$5338</f>
        <v/>
      </c>
      <c r="Z6872" s="19" t="n"/>
    </row>
    <row r="6873">
      <c r="D6873" s="21" t="n">
        <v>0</v>
      </c>
      <c r="E6873" s="21" t="n">
        <v>0</v>
      </c>
      <c r="F6873" s="21" t="n">
        <v>0</v>
      </c>
      <c r="G6873" s="21" t="n">
        <v>0</v>
      </c>
      <c r="H6873" s="21" t="n">
        <v>0</v>
      </c>
      <c r="I6873" s="21" t="n">
        <v>0</v>
      </c>
      <c r="J6873" s="21" t="n">
        <v>0</v>
      </c>
      <c r="K6873" s="21" t="n">
        <v>0</v>
      </c>
      <c r="L6873" s="21" t="n">
        <v>0</v>
      </c>
      <c r="M6873" s="21" t="n">
        <v>0</v>
      </c>
      <c r="N6873" s="21" t="n">
        <v>0</v>
      </c>
      <c r="O6873" s="21" t="n">
        <v>0</v>
      </c>
      <c r="P6873" s="21" t="n">
        <v>0</v>
      </c>
      <c r="Q6873" s="21" t="n">
        <v>0</v>
      </c>
      <c r="R6873" s="21" t="n">
        <v>0</v>
      </c>
      <c r="S6873" s="21" t="n">
        <v>0</v>
      </c>
      <c r="T6873" s="21" t="n">
        <v>0</v>
      </c>
      <c r="U6873" s="21" t="n">
        <v>0</v>
      </c>
      <c r="V6873" s="21">
        <f>$B$5338</f>
        <v/>
      </c>
      <c r="W6873" s="21">
        <f>$B$5340</f>
        <v/>
      </c>
      <c r="X6873" s="21">
        <f>-$B$5338</f>
        <v/>
      </c>
      <c r="Y6873" s="21">
        <f>$B$5339</f>
        <v/>
      </c>
      <c r="Z6873" s="19" t="n"/>
    </row>
    <row r="6875">
      <c r="A6875" s="8" t="inlineStr">
        <is>
          <t>gen 42</t>
        </is>
      </c>
    </row>
    <row r="6876">
      <c r="D6876" s="19">
        <f>IF(ABS(IF(ABS($E$6840)&gt;0.000000001,$E$6840,0.000000001))=0,0,IF($E$5352&lt;=$B$5346,0,IF(ABS(IF(ABS($E$6840)&gt;0.000000001,$E$6840,0.000000001))&gt;=8*$B$5348,$H$5352,0.5*$H$5352*(ABS(IF(ABS($E$6840)&gt;0.000000001,$E$6840,0.000000001))/$B$5348)^(1/3)))/ABS(IF(ABS($E$6840)&gt;0.000000001,$E$6840,0.000000001))*$I$5352)</f>
        <v/>
      </c>
      <c r="E6876" s="19">
        <f>0.5*$E$6840+0.5*$Z$6888</f>
        <v/>
      </c>
      <c r="F6876" s="19">
        <f>$Z$6889</f>
        <v/>
      </c>
    </row>
    <row r="6877">
      <c r="D6877" s="19">
        <f>IF(ABS(IF(ABS($E$6841)&gt;0.000000001,$E$6841,0.000000001))=0,0,IF($E$5353&lt;=$B$5346,0,IF(ABS(IF(ABS($E$6841)&gt;0.000000001,$E$6841,0.000000001))&gt;=8*$B$5348,$H$5353,0.5*$H$5353*(ABS(IF(ABS($E$6841)&gt;0.000000001,$E$6841,0.000000001))/$B$5348)^(1/3)))/ABS(IF(ABS($E$6841)&gt;0.000000001,$E$6841,0.000000001))*$I$5353)</f>
        <v/>
      </c>
      <c r="E6877" s="19">
        <f>0.5*$E$6841+0.5*$Z$6890</f>
        <v/>
      </c>
      <c r="F6877" s="19">
        <f>$Z$6891</f>
        <v/>
      </c>
    </row>
    <row r="6878">
      <c r="D6878" s="19">
        <f>IF(ABS(IF(ABS($E$6842)&gt;0.000000001,$E$6842,0.000000001))=0,0,IF($E$5354&lt;=$B$5346,0,IF(ABS(IF(ABS($E$6842)&gt;0.000000001,$E$6842,0.000000001))&gt;=8*$B$5348,$H$5354,0.5*$H$5354*(ABS(IF(ABS($E$6842)&gt;0.000000001,$E$6842,0.000000001))/$B$5348)^(1/3)))/ABS(IF(ABS($E$6842)&gt;0.000000001,$E$6842,0.000000001))*$I$5354)</f>
        <v/>
      </c>
      <c r="E6878" s="19">
        <f>0.5*$E$6842+0.5*$Z$6892</f>
        <v/>
      </c>
      <c r="F6878" s="19">
        <f>$Z$6893</f>
        <v/>
      </c>
    </row>
    <row r="6879">
      <c r="D6879" s="19">
        <f>IF(ABS(IF(ABS($E$6843)&gt;0.000000001,$E$6843,0.000000001))=0,0,IF($E$5355&lt;=$B$5346,0,IF(ABS(IF(ABS($E$6843)&gt;0.000000001,$E$6843,0.000000001))&gt;=8*$B$5348,$H$5355,0.5*$H$5355*(ABS(IF(ABS($E$6843)&gt;0.000000001,$E$6843,0.000000001))/$B$5348)^(1/3)))/ABS(IF(ABS($E$6843)&gt;0.000000001,$E$6843,0.000000001))*$I$5355)</f>
        <v/>
      </c>
      <c r="E6879" s="19">
        <f>0.5*$E$6843+0.5*$Z$6894</f>
        <v/>
      </c>
      <c r="F6879" s="19">
        <f>$Z$6895</f>
        <v/>
      </c>
    </row>
    <row r="6880">
      <c r="D6880" s="19">
        <f>IF(ABS(IF(ABS($E$6844)&gt;0.000000001,$E$6844,0.000000001))=0,0,IF($E$5356&lt;=$B$5346,0,IF(ABS(IF(ABS($E$6844)&gt;0.000000001,$E$6844,0.000000001))&gt;=8*$B$5348,$H$5356,0.5*$H$5356*(ABS(IF(ABS($E$6844)&gt;0.000000001,$E$6844,0.000000001))/$B$5348)^(1/3)))/ABS(IF(ABS($E$6844)&gt;0.000000001,$E$6844,0.000000001))*$I$5356)</f>
        <v/>
      </c>
      <c r="E6880" s="19">
        <f>0.5*$E$6844+0.5*$Z$6896</f>
        <v/>
      </c>
      <c r="F6880" s="19">
        <f>$Z$6897</f>
        <v/>
      </c>
    </row>
    <row r="6881">
      <c r="D6881" s="19">
        <f>IF(ABS(IF(ABS($E$6845)&gt;0.000000001,$E$6845,0.000000001))=0,0,IF($E$5357&lt;=$B$5346,0,IF(ABS(IF(ABS($E$6845)&gt;0.000000001,$E$6845,0.000000001))&gt;=8*$B$5348,$H$5357,0.5*$H$5357*(ABS(IF(ABS($E$6845)&gt;0.000000001,$E$6845,0.000000001))/$B$5348)^(1/3)))/ABS(IF(ABS($E$6845)&gt;0.000000001,$E$6845,0.000000001))*$I$5357)</f>
        <v/>
      </c>
      <c r="E6881" s="19">
        <f>0.5*$E$6845+0.5*$Z$6898</f>
        <v/>
      </c>
      <c r="F6881" s="19">
        <f>$Z$6899</f>
        <v/>
      </c>
    </row>
    <row r="6882">
      <c r="D6882" s="19">
        <f>IF(ABS(IF(ABS($E$6846)&gt;0.000000001,$E$6846,0.000000001))=0,0,IF($E$5358&lt;=$B$5346,0,IF(ABS(IF(ABS($E$6846)&gt;0.000000001,$E$6846,0.000000001))&gt;=8*$B$5348,$H$5358,0.5*$H$5358*(ABS(IF(ABS($E$6846)&gt;0.000000001,$E$6846,0.000000001))/$B$5348)^(1/3)))/ABS(IF(ABS($E$6846)&gt;0.000000001,$E$6846,0.000000001))*$I$5358)</f>
        <v/>
      </c>
      <c r="E6882" s="19">
        <f>0.5*$E$6846+0.5*$Z$6900</f>
        <v/>
      </c>
      <c r="F6882" s="19">
        <f>$Z$6901</f>
        <v/>
      </c>
    </row>
    <row r="6883">
      <c r="D6883" s="19">
        <f>IF(ABS(IF(ABS($E$6847)&gt;0.000000001,$E$6847,0.000000001))=0,0,IF($E$5359&lt;=$B$5346,0,IF(ABS(IF(ABS($E$6847)&gt;0.000000001,$E$6847,0.000000001))&gt;=8*$B$5348,$H$5359,0.5*$H$5359*(ABS(IF(ABS($E$6847)&gt;0.000000001,$E$6847,0.000000001))/$B$5348)^(1/3)))/ABS(IF(ABS($E$6847)&gt;0.000000001,$E$6847,0.000000001))*$I$5359)</f>
        <v/>
      </c>
      <c r="E6883" s="19">
        <f>0.5*$E$6847+0.5*$Z$6902</f>
        <v/>
      </c>
      <c r="F6883" s="19">
        <f>$Z$6903</f>
        <v/>
      </c>
    </row>
    <row r="6884">
      <c r="D6884" s="19">
        <f>IF(ABS(IF(ABS($E$6848)&gt;0.000000001,$E$6848,0.000000001))=0,0,IF($E$5360&lt;=$B$5346,0,IF(ABS(IF(ABS($E$6848)&gt;0.000000001,$E$6848,0.000000001))&gt;=8*$B$5348,$H$5360,0.5*$H$5360*(ABS(IF(ABS($E$6848)&gt;0.000000001,$E$6848,0.000000001))/$B$5348)^(1/3)))/ABS(IF(ABS($E$6848)&gt;0.000000001,$E$6848,0.000000001))*$I$5360)</f>
        <v/>
      </c>
      <c r="E6884" s="19">
        <f>0.5*$E$6848+0.5*$Z$6904</f>
        <v/>
      </c>
      <c r="F6884" s="19">
        <f>$Z$6905</f>
        <v/>
      </c>
    </row>
    <row r="6885">
      <c r="D6885" s="19">
        <f>IF(ABS(IF(ABS($E$6849)&gt;0.000000001,$E$6849,0.000000001))=0,0,IF($E$5361&lt;=$B$5346,0,IF(ABS(IF(ABS($E$6849)&gt;0.000000001,$E$6849,0.000000001))&gt;=8*$B$5348,$H$5361,0.5*$H$5361*(ABS(IF(ABS($E$6849)&gt;0.000000001,$E$6849,0.000000001))/$B$5348)^(1/3)))/ABS(IF(ABS($E$6849)&gt;0.000000001,$E$6849,0.000000001))*$I$5361)</f>
        <v/>
      </c>
      <c r="E6885" s="19">
        <f>0.5*$E$6849+0.5*$Z$6906</f>
        <v/>
      </c>
      <c r="F6885" s="19">
        <f>$Z$6907</f>
        <v/>
      </c>
    </row>
    <row r="6886">
      <c r="D6886" s="19">
        <f>IF(ABS(IF(ABS($E$6850)&gt;0.000000001,$E$6850,0.000000001))=0,0,IF($E$5362&lt;=$B$5346,0,IF(ABS(IF(ABS($E$6850)&gt;0.000000001,$E$6850,0.000000001))&gt;=8*$B$5348,$H$5362,0.5*$H$5362*(ABS(IF(ABS($E$6850)&gt;0.000000001,$E$6850,0.000000001))/$B$5348)^(1/3)))/ABS(IF(ABS($E$6850)&gt;0.000000001,$E$6850,0.000000001))*$I$5362)</f>
        <v/>
      </c>
      <c r="E6886" s="19">
        <f>0.5*$E$6850+0.5*$Z$6908</f>
        <v/>
      </c>
      <c r="F6886" s="19">
        <f>$Z$6909</f>
        <v/>
      </c>
    </row>
    <row r="6888">
      <c r="D6888" s="21">
        <f>$B$5337+$D$6876</f>
        <v/>
      </c>
      <c r="E6888" s="21">
        <f>$B$5338</f>
        <v/>
      </c>
      <c r="F6888" s="21">
        <f>-$B$5337</f>
        <v/>
      </c>
      <c r="G6888" s="21">
        <f>$B$5338</f>
        <v/>
      </c>
      <c r="H6888" s="21" t="n">
        <v>0</v>
      </c>
      <c r="I6888" s="21" t="n">
        <v>0</v>
      </c>
      <c r="J6888" s="21" t="n">
        <v>0</v>
      </c>
      <c r="K6888" s="21" t="n">
        <v>0</v>
      </c>
      <c r="L6888" s="21" t="n">
        <v>0</v>
      </c>
      <c r="M6888" s="21" t="n">
        <v>0</v>
      </c>
      <c r="N6888" s="21" t="n">
        <v>0</v>
      </c>
      <c r="O6888" s="21" t="n">
        <v>0</v>
      </c>
      <c r="P6888" s="21" t="n">
        <v>0</v>
      </c>
      <c r="Q6888" s="21" t="n">
        <v>0</v>
      </c>
      <c r="R6888" s="21" t="n">
        <v>0</v>
      </c>
      <c r="S6888" s="21" t="n">
        <v>0</v>
      </c>
      <c r="T6888" s="21" t="n">
        <v>0</v>
      </c>
      <c r="U6888" s="21" t="n">
        <v>0</v>
      </c>
      <c r="V6888" s="21" t="n">
        <v>0</v>
      </c>
      <c r="W6888" s="21" t="n">
        <v>0</v>
      </c>
      <c r="X6888" s="21" t="n">
        <v>0</v>
      </c>
      <c r="Y6888" s="21" t="n">
        <v>0</v>
      </c>
      <c r="Z6888" s="19">
        <f t="array" ref="Z6888:Z6909">MMULT(MINVERSE($D$6888:$Y$6909),$D$5364:$D$5385)</f>
        <v/>
      </c>
    </row>
    <row r="6889">
      <c r="D6889" s="21">
        <f>$B$5338</f>
        <v/>
      </c>
      <c r="E6889" s="21">
        <f>$B$5339</f>
        <v/>
      </c>
      <c r="F6889" s="21">
        <f>-$B$5338</f>
        <v/>
      </c>
      <c r="G6889" s="21">
        <f>$B$5340</f>
        <v/>
      </c>
      <c r="H6889" s="21" t="n">
        <v>0</v>
      </c>
      <c r="I6889" s="21" t="n">
        <v>0</v>
      </c>
      <c r="J6889" s="21" t="n">
        <v>0</v>
      </c>
      <c r="K6889" s="21" t="n">
        <v>0</v>
      </c>
      <c r="L6889" s="21" t="n">
        <v>0</v>
      </c>
      <c r="M6889" s="21" t="n">
        <v>0</v>
      </c>
      <c r="N6889" s="21" t="n">
        <v>0</v>
      </c>
      <c r="O6889" s="21" t="n">
        <v>0</v>
      </c>
      <c r="P6889" s="21" t="n">
        <v>0</v>
      </c>
      <c r="Q6889" s="21" t="n">
        <v>0</v>
      </c>
      <c r="R6889" s="21" t="n">
        <v>0</v>
      </c>
      <c r="S6889" s="21" t="n">
        <v>0</v>
      </c>
      <c r="T6889" s="21" t="n">
        <v>0</v>
      </c>
      <c r="U6889" s="21" t="n">
        <v>0</v>
      </c>
      <c r="V6889" s="21" t="n">
        <v>0</v>
      </c>
      <c r="W6889" s="21" t="n">
        <v>0</v>
      </c>
      <c r="X6889" s="21" t="n">
        <v>0</v>
      </c>
      <c r="Y6889" s="21" t="n">
        <v>0</v>
      </c>
      <c r="Z6889" s="19" t="n"/>
    </row>
    <row r="6890">
      <c r="D6890" s="21">
        <f>-$B$5337</f>
        <v/>
      </c>
      <c r="E6890" s="21">
        <f>-$B$5338</f>
        <v/>
      </c>
      <c r="F6890" s="21">
        <f>2*$B$5337+$D$6877</f>
        <v/>
      </c>
      <c r="G6890" s="21">
        <f>0</f>
        <v/>
      </c>
      <c r="H6890" s="21">
        <f>-$B$5337</f>
        <v/>
      </c>
      <c r="I6890" s="21">
        <f>$B$5338</f>
        <v/>
      </c>
      <c r="J6890" s="21" t="n">
        <v>0</v>
      </c>
      <c r="K6890" s="21" t="n">
        <v>0</v>
      </c>
      <c r="L6890" s="21" t="n">
        <v>0</v>
      </c>
      <c r="M6890" s="21" t="n">
        <v>0</v>
      </c>
      <c r="N6890" s="21" t="n">
        <v>0</v>
      </c>
      <c r="O6890" s="21" t="n">
        <v>0</v>
      </c>
      <c r="P6890" s="21" t="n">
        <v>0</v>
      </c>
      <c r="Q6890" s="21" t="n">
        <v>0</v>
      </c>
      <c r="R6890" s="21" t="n">
        <v>0</v>
      </c>
      <c r="S6890" s="21" t="n">
        <v>0</v>
      </c>
      <c r="T6890" s="21" t="n">
        <v>0</v>
      </c>
      <c r="U6890" s="21" t="n">
        <v>0</v>
      </c>
      <c r="V6890" s="21" t="n">
        <v>0</v>
      </c>
      <c r="W6890" s="21" t="n">
        <v>0</v>
      </c>
      <c r="X6890" s="21" t="n">
        <v>0</v>
      </c>
      <c r="Y6890" s="21" t="n">
        <v>0</v>
      </c>
      <c r="Z6890" s="19" t="n"/>
    </row>
    <row r="6891">
      <c r="D6891" s="21">
        <f>$B$5338</f>
        <v/>
      </c>
      <c r="E6891" s="21">
        <f>$B$5340</f>
        <v/>
      </c>
      <c r="F6891" s="21">
        <f>0</f>
        <v/>
      </c>
      <c r="G6891" s="21">
        <f>2*$B$5339</f>
        <v/>
      </c>
      <c r="H6891" s="21">
        <f>-$B$5338</f>
        <v/>
      </c>
      <c r="I6891" s="21">
        <f>$B$5340</f>
        <v/>
      </c>
      <c r="J6891" s="21" t="n">
        <v>0</v>
      </c>
      <c r="K6891" s="21" t="n">
        <v>0</v>
      </c>
      <c r="L6891" s="21" t="n">
        <v>0</v>
      </c>
      <c r="M6891" s="21" t="n">
        <v>0</v>
      </c>
      <c r="N6891" s="21" t="n">
        <v>0</v>
      </c>
      <c r="O6891" s="21" t="n">
        <v>0</v>
      </c>
      <c r="P6891" s="21" t="n">
        <v>0</v>
      </c>
      <c r="Q6891" s="21" t="n">
        <v>0</v>
      </c>
      <c r="R6891" s="21" t="n">
        <v>0</v>
      </c>
      <c r="S6891" s="21" t="n">
        <v>0</v>
      </c>
      <c r="T6891" s="21" t="n">
        <v>0</v>
      </c>
      <c r="U6891" s="21" t="n">
        <v>0</v>
      </c>
      <c r="V6891" s="21" t="n">
        <v>0</v>
      </c>
      <c r="W6891" s="21" t="n">
        <v>0</v>
      </c>
      <c r="X6891" s="21" t="n">
        <v>0</v>
      </c>
      <c r="Y6891" s="21" t="n">
        <v>0</v>
      </c>
      <c r="Z6891" s="19" t="n"/>
    </row>
    <row r="6892">
      <c r="D6892" s="21" t="n">
        <v>0</v>
      </c>
      <c r="E6892" s="21" t="n">
        <v>0</v>
      </c>
      <c r="F6892" s="21">
        <f>-$B$5337</f>
        <v/>
      </c>
      <c r="G6892" s="21">
        <f>-$B$5338</f>
        <v/>
      </c>
      <c r="H6892" s="21">
        <f>2*$B$5337+$D$6878</f>
        <v/>
      </c>
      <c r="I6892" s="21">
        <f>0</f>
        <v/>
      </c>
      <c r="J6892" s="21">
        <f>-$B$5337</f>
        <v/>
      </c>
      <c r="K6892" s="21">
        <f>$B$5338</f>
        <v/>
      </c>
      <c r="L6892" s="21" t="n">
        <v>0</v>
      </c>
      <c r="M6892" s="21" t="n">
        <v>0</v>
      </c>
      <c r="N6892" s="21" t="n">
        <v>0</v>
      </c>
      <c r="O6892" s="21" t="n">
        <v>0</v>
      </c>
      <c r="P6892" s="21" t="n">
        <v>0</v>
      </c>
      <c r="Q6892" s="21" t="n">
        <v>0</v>
      </c>
      <c r="R6892" s="21" t="n">
        <v>0</v>
      </c>
      <c r="S6892" s="21" t="n">
        <v>0</v>
      </c>
      <c r="T6892" s="21" t="n">
        <v>0</v>
      </c>
      <c r="U6892" s="21" t="n">
        <v>0</v>
      </c>
      <c r="V6892" s="21" t="n">
        <v>0</v>
      </c>
      <c r="W6892" s="21" t="n">
        <v>0</v>
      </c>
      <c r="X6892" s="21" t="n">
        <v>0</v>
      </c>
      <c r="Y6892" s="21" t="n">
        <v>0</v>
      </c>
      <c r="Z6892" s="19" t="n"/>
    </row>
    <row r="6893">
      <c r="D6893" s="21" t="n">
        <v>0</v>
      </c>
      <c r="E6893" s="21" t="n">
        <v>0</v>
      </c>
      <c r="F6893" s="21">
        <f>$B$5338</f>
        <v/>
      </c>
      <c r="G6893" s="21">
        <f>$B$5340</f>
        <v/>
      </c>
      <c r="H6893" s="21">
        <f>0</f>
        <v/>
      </c>
      <c r="I6893" s="21">
        <f>2*$B$5339</f>
        <v/>
      </c>
      <c r="J6893" s="21">
        <f>-$B$5338</f>
        <v/>
      </c>
      <c r="K6893" s="21">
        <f>$B$5340</f>
        <v/>
      </c>
      <c r="L6893" s="21" t="n">
        <v>0</v>
      </c>
      <c r="M6893" s="21" t="n">
        <v>0</v>
      </c>
      <c r="N6893" s="21" t="n">
        <v>0</v>
      </c>
      <c r="O6893" s="21" t="n">
        <v>0</v>
      </c>
      <c r="P6893" s="21" t="n">
        <v>0</v>
      </c>
      <c r="Q6893" s="21" t="n">
        <v>0</v>
      </c>
      <c r="R6893" s="21" t="n">
        <v>0</v>
      </c>
      <c r="S6893" s="21" t="n">
        <v>0</v>
      </c>
      <c r="T6893" s="21" t="n">
        <v>0</v>
      </c>
      <c r="U6893" s="21" t="n">
        <v>0</v>
      </c>
      <c r="V6893" s="21" t="n">
        <v>0</v>
      </c>
      <c r="W6893" s="21" t="n">
        <v>0</v>
      </c>
      <c r="X6893" s="21" t="n">
        <v>0</v>
      </c>
      <c r="Y6893" s="21" t="n">
        <v>0</v>
      </c>
      <c r="Z6893" s="19" t="n"/>
    </row>
    <row r="6894">
      <c r="D6894" s="21" t="n">
        <v>0</v>
      </c>
      <c r="E6894" s="21" t="n">
        <v>0</v>
      </c>
      <c r="F6894" s="21" t="n">
        <v>0</v>
      </c>
      <c r="G6894" s="21" t="n">
        <v>0</v>
      </c>
      <c r="H6894" s="21">
        <f>-$B$5337</f>
        <v/>
      </c>
      <c r="I6894" s="21">
        <f>-$B$5338</f>
        <v/>
      </c>
      <c r="J6894" s="21">
        <f>2*$B$5337+$D$6879</f>
        <v/>
      </c>
      <c r="K6894" s="21">
        <f>0</f>
        <v/>
      </c>
      <c r="L6894" s="21">
        <f>-$B$5337</f>
        <v/>
      </c>
      <c r="M6894" s="21">
        <f>$B$5338</f>
        <v/>
      </c>
      <c r="N6894" s="21" t="n">
        <v>0</v>
      </c>
      <c r="O6894" s="21" t="n">
        <v>0</v>
      </c>
      <c r="P6894" s="21" t="n">
        <v>0</v>
      </c>
      <c r="Q6894" s="21" t="n">
        <v>0</v>
      </c>
      <c r="R6894" s="21" t="n">
        <v>0</v>
      </c>
      <c r="S6894" s="21" t="n">
        <v>0</v>
      </c>
      <c r="T6894" s="21" t="n">
        <v>0</v>
      </c>
      <c r="U6894" s="21" t="n">
        <v>0</v>
      </c>
      <c r="V6894" s="21" t="n">
        <v>0</v>
      </c>
      <c r="W6894" s="21" t="n">
        <v>0</v>
      </c>
      <c r="X6894" s="21" t="n">
        <v>0</v>
      </c>
      <c r="Y6894" s="21" t="n">
        <v>0</v>
      </c>
      <c r="Z6894" s="19" t="n"/>
    </row>
    <row r="6895">
      <c r="D6895" s="21" t="n">
        <v>0</v>
      </c>
      <c r="E6895" s="21" t="n">
        <v>0</v>
      </c>
      <c r="F6895" s="21" t="n">
        <v>0</v>
      </c>
      <c r="G6895" s="21" t="n">
        <v>0</v>
      </c>
      <c r="H6895" s="21">
        <f>$B$5338</f>
        <v/>
      </c>
      <c r="I6895" s="21">
        <f>$B$5340</f>
        <v/>
      </c>
      <c r="J6895" s="21">
        <f>0</f>
        <v/>
      </c>
      <c r="K6895" s="21">
        <f>2*$B$5339</f>
        <v/>
      </c>
      <c r="L6895" s="21">
        <f>-$B$5338</f>
        <v/>
      </c>
      <c r="M6895" s="21">
        <f>$B$5340</f>
        <v/>
      </c>
      <c r="N6895" s="21" t="n">
        <v>0</v>
      </c>
      <c r="O6895" s="21" t="n">
        <v>0</v>
      </c>
      <c r="P6895" s="21" t="n">
        <v>0</v>
      </c>
      <c r="Q6895" s="21" t="n">
        <v>0</v>
      </c>
      <c r="R6895" s="21" t="n">
        <v>0</v>
      </c>
      <c r="S6895" s="21" t="n">
        <v>0</v>
      </c>
      <c r="T6895" s="21" t="n">
        <v>0</v>
      </c>
      <c r="U6895" s="21" t="n">
        <v>0</v>
      </c>
      <c r="V6895" s="21" t="n">
        <v>0</v>
      </c>
      <c r="W6895" s="21" t="n">
        <v>0</v>
      </c>
      <c r="X6895" s="21" t="n">
        <v>0</v>
      </c>
      <c r="Y6895" s="21" t="n">
        <v>0</v>
      </c>
      <c r="Z6895" s="19" t="n"/>
    </row>
    <row r="6896">
      <c r="D6896" s="21" t="n">
        <v>0</v>
      </c>
      <c r="E6896" s="21" t="n">
        <v>0</v>
      </c>
      <c r="F6896" s="21" t="n">
        <v>0</v>
      </c>
      <c r="G6896" s="21" t="n">
        <v>0</v>
      </c>
      <c r="H6896" s="21" t="n">
        <v>0</v>
      </c>
      <c r="I6896" s="21" t="n">
        <v>0</v>
      </c>
      <c r="J6896" s="21">
        <f>-$B$5337</f>
        <v/>
      </c>
      <c r="K6896" s="21">
        <f>-$B$5338</f>
        <v/>
      </c>
      <c r="L6896" s="21">
        <f>2*$B$5337+$D$6880</f>
        <v/>
      </c>
      <c r="M6896" s="21">
        <f>0</f>
        <v/>
      </c>
      <c r="N6896" s="21">
        <f>-$B$5337</f>
        <v/>
      </c>
      <c r="O6896" s="21">
        <f>$B$5338</f>
        <v/>
      </c>
      <c r="P6896" s="21" t="n">
        <v>0</v>
      </c>
      <c r="Q6896" s="21" t="n">
        <v>0</v>
      </c>
      <c r="R6896" s="21" t="n">
        <v>0</v>
      </c>
      <c r="S6896" s="21" t="n">
        <v>0</v>
      </c>
      <c r="T6896" s="21" t="n">
        <v>0</v>
      </c>
      <c r="U6896" s="21" t="n">
        <v>0</v>
      </c>
      <c r="V6896" s="21" t="n">
        <v>0</v>
      </c>
      <c r="W6896" s="21" t="n">
        <v>0</v>
      </c>
      <c r="X6896" s="21" t="n">
        <v>0</v>
      </c>
      <c r="Y6896" s="21" t="n">
        <v>0</v>
      </c>
      <c r="Z6896" s="19" t="n"/>
    </row>
    <row r="6897">
      <c r="D6897" s="21" t="n">
        <v>0</v>
      </c>
      <c r="E6897" s="21" t="n">
        <v>0</v>
      </c>
      <c r="F6897" s="21" t="n">
        <v>0</v>
      </c>
      <c r="G6897" s="21" t="n">
        <v>0</v>
      </c>
      <c r="H6897" s="21" t="n">
        <v>0</v>
      </c>
      <c r="I6897" s="21" t="n">
        <v>0</v>
      </c>
      <c r="J6897" s="21">
        <f>$B$5338</f>
        <v/>
      </c>
      <c r="K6897" s="21">
        <f>$B$5340</f>
        <v/>
      </c>
      <c r="L6897" s="21">
        <f>0</f>
        <v/>
      </c>
      <c r="M6897" s="21">
        <f>2*$B$5339</f>
        <v/>
      </c>
      <c r="N6897" s="21">
        <f>-$B$5338</f>
        <v/>
      </c>
      <c r="O6897" s="21">
        <f>$B$5340</f>
        <v/>
      </c>
      <c r="P6897" s="21" t="n">
        <v>0</v>
      </c>
      <c r="Q6897" s="21" t="n">
        <v>0</v>
      </c>
      <c r="R6897" s="21" t="n">
        <v>0</v>
      </c>
      <c r="S6897" s="21" t="n">
        <v>0</v>
      </c>
      <c r="T6897" s="21" t="n">
        <v>0</v>
      </c>
      <c r="U6897" s="21" t="n">
        <v>0</v>
      </c>
      <c r="V6897" s="21" t="n">
        <v>0</v>
      </c>
      <c r="W6897" s="21" t="n">
        <v>0</v>
      </c>
      <c r="X6897" s="21" t="n">
        <v>0</v>
      </c>
      <c r="Y6897" s="21" t="n">
        <v>0</v>
      </c>
      <c r="Z6897" s="19" t="n"/>
    </row>
    <row r="6898">
      <c r="D6898" s="21" t="n">
        <v>0</v>
      </c>
      <c r="E6898" s="21" t="n">
        <v>0</v>
      </c>
      <c r="F6898" s="21" t="n">
        <v>0</v>
      </c>
      <c r="G6898" s="21" t="n">
        <v>0</v>
      </c>
      <c r="H6898" s="21" t="n">
        <v>0</v>
      </c>
      <c r="I6898" s="21" t="n">
        <v>0</v>
      </c>
      <c r="J6898" s="21" t="n">
        <v>0</v>
      </c>
      <c r="K6898" s="21" t="n">
        <v>0</v>
      </c>
      <c r="L6898" s="21">
        <f>-$B$5337</f>
        <v/>
      </c>
      <c r="M6898" s="21">
        <f>-$B$5338</f>
        <v/>
      </c>
      <c r="N6898" s="21">
        <f>2*$B$5337+$D$6881</f>
        <v/>
      </c>
      <c r="O6898" s="21">
        <f>0</f>
        <v/>
      </c>
      <c r="P6898" s="21">
        <f>-$B$5337</f>
        <v/>
      </c>
      <c r="Q6898" s="21">
        <f>$B$5338</f>
        <v/>
      </c>
      <c r="R6898" s="21" t="n">
        <v>0</v>
      </c>
      <c r="S6898" s="21" t="n">
        <v>0</v>
      </c>
      <c r="T6898" s="21" t="n">
        <v>0</v>
      </c>
      <c r="U6898" s="21" t="n">
        <v>0</v>
      </c>
      <c r="V6898" s="21" t="n">
        <v>0</v>
      </c>
      <c r="W6898" s="21" t="n">
        <v>0</v>
      </c>
      <c r="X6898" s="21" t="n">
        <v>0</v>
      </c>
      <c r="Y6898" s="21" t="n">
        <v>0</v>
      </c>
      <c r="Z6898" s="19" t="n"/>
    </row>
    <row r="6899">
      <c r="D6899" s="21" t="n">
        <v>0</v>
      </c>
      <c r="E6899" s="21" t="n">
        <v>0</v>
      </c>
      <c r="F6899" s="21" t="n">
        <v>0</v>
      </c>
      <c r="G6899" s="21" t="n">
        <v>0</v>
      </c>
      <c r="H6899" s="21" t="n">
        <v>0</v>
      </c>
      <c r="I6899" s="21" t="n">
        <v>0</v>
      </c>
      <c r="J6899" s="21" t="n">
        <v>0</v>
      </c>
      <c r="K6899" s="21" t="n">
        <v>0</v>
      </c>
      <c r="L6899" s="21">
        <f>$B$5338</f>
        <v/>
      </c>
      <c r="M6899" s="21">
        <f>$B$5340</f>
        <v/>
      </c>
      <c r="N6899" s="21">
        <f>0</f>
        <v/>
      </c>
      <c r="O6899" s="21">
        <f>2*$B$5339</f>
        <v/>
      </c>
      <c r="P6899" s="21">
        <f>-$B$5338</f>
        <v/>
      </c>
      <c r="Q6899" s="21">
        <f>$B$5340</f>
        <v/>
      </c>
      <c r="R6899" s="21" t="n">
        <v>0</v>
      </c>
      <c r="S6899" s="21" t="n">
        <v>0</v>
      </c>
      <c r="T6899" s="21" t="n">
        <v>0</v>
      </c>
      <c r="U6899" s="21" t="n">
        <v>0</v>
      </c>
      <c r="V6899" s="21" t="n">
        <v>0</v>
      </c>
      <c r="W6899" s="21" t="n">
        <v>0</v>
      </c>
      <c r="X6899" s="21" t="n">
        <v>0</v>
      </c>
      <c r="Y6899" s="21" t="n">
        <v>0</v>
      </c>
      <c r="Z6899" s="19" t="n"/>
    </row>
    <row r="6900">
      <c r="D6900" s="21" t="n">
        <v>0</v>
      </c>
      <c r="E6900" s="21" t="n">
        <v>0</v>
      </c>
      <c r="F6900" s="21" t="n">
        <v>0</v>
      </c>
      <c r="G6900" s="21" t="n">
        <v>0</v>
      </c>
      <c r="H6900" s="21" t="n">
        <v>0</v>
      </c>
      <c r="I6900" s="21" t="n">
        <v>0</v>
      </c>
      <c r="J6900" s="21" t="n">
        <v>0</v>
      </c>
      <c r="K6900" s="21" t="n">
        <v>0</v>
      </c>
      <c r="L6900" s="21" t="n">
        <v>0</v>
      </c>
      <c r="M6900" s="21" t="n">
        <v>0</v>
      </c>
      <c r="N6900" s="21">
        <f>-$B$5337</f>
        <v/>
      </c>
      <c r="O6900" s="21">
        <f>-$B$5338</f>
        <v/>
      </c>
      <c r="P6900" s="21">
        <f>2*$B$5337+$D$6882</f>
        <v/>
      </c>
      <c r="Q6900" s="21">
        <f>0</f>
        <v/>
      </c>
      <c r="R6900" s="21">
        <f>-$B$5337</f>
        <v/>
      </c>
      <c r="S6900" s="21">
        <f>$B$5338</f>
        <v/>
      </c>
      <c r="T6900" s="21" t="n">
        <v>0</v>
      </c>
      <c r="U6900" s="21" t="n">
        <v>0</v>
      </c>
      <c r="V6900" s="21" t="n">
        <v>0</v>
      </c>
      <c r="W6900" s="21" t="n">
        <v>0</v>
      </c>
      <c r="X6900" s="21" t="n">
        <v>0</v>
      </c>
      <c r="Y6900" s="21" t="n">
        <v>0</v>
      </c>
      <c r="Z6900" s="19" t="n"/>
    </row>
    <row r="6901">
      <c r="D6901" s="21" t="n">
        <v>0</v>
      </c>
      <c r="E6901" s="21" t="n">
        <v>0</v>
      </c>
      <c r="F6901" s="21" t="n">
        <v>0</v>
      </c>
      <c r="G6901" s="21" t="n">
        <v>0</v>
      </c>
      <c r="H6901" s="21" t="n">
        <v>0</v>
      </c>
      <c r="I6901" s="21" t="n">
        <v>0</v>
      </c>
      <c r="J6901" s="21" t="n">
        <v>0</v>
      </c>
      <c r="K6901" s="21" t="n">
        <v>0</v>
      </c>
      <c r="L6901" s="21" t="n">
        <v>0</v>
      </c>
      <c r="M6901" s="21" t="n">
        <v>0</v>
      </c>
      <c r="N6901" s="21">
        <f>$B$5338</f>
        <v/>
      </c>
      <c r="O6901" s="21">
        <f>$B$5340</f>
        <v/>
      </c>
      <c r="P6901" s="21">
        <f>0</f>
        <v/>
      </c>
      <c r="Q6901" s="21">
        <f>2*$B$5339</f>
        <v/>
      </c>
      <c r="R6901" s="21">
        <f>-$B$5338</f>
        <v/>
      </c>
      <c r="S6901" s="21">
        <f>$B$5340</f>
        <v/>
      </c>
      <c r="T6901" s="21" t="n">
        <v>0</v>
      </c>
      <c r="U6901" s="21" t="n">
        <v>0</v>
      </c>
      <c r="V6901" s="21" t="n">
        <v>0</v>
      </c>
      <c r="W6901" s="21" t="n">
        <v>0</v>
      </c>
      <c r="X6901" s="21" t="n">
        <v>0</v>
      </c>
      <c r="Y6901" s="21" t="n">
        <v>0</v>
      </c>
      <c r="Z6901" s="19" t="n"/>
    </row>
    <row r="6902">
      <c r="D6902" s="21" t="n">
        <v>0</v>
      </c>
      <c r="E6902" s="21" t="n">
        <v>0</v>
      </c>
      <c r="F6902" s="21" t="n">
        <v>0</v>
      </c>
      <c r="G6902" s="21" t="n">
        <v>0</v>
      </c>
      <c r="H6902" s="21" t="n">
        <v>0</v>
      </c>
      <c r="I6902" s="21" t="n">
        <v>0</v>
      </c>
      <c r="J6902" s="21" t="n">
        <v>0</v>
      </c>
      <c r="K6902" s="21" t="n">
        <v>0</v>
      </c>
      <c r="L6902" s="21" t="n">
        <v>0</v>
      </c>
      <c r="M6902" s="21" t="n">
        <v>0</v>
      </c>
      <c r="N6902" s="21" t="n">
        <v>0</v>
      </c>
      <c r="O6902" s="21" t="n">
        <v>0</v>
      </c>
      <c r="P6902" s="21">
        <f>-$B$5337</f>
        <v/>
      </c>
      <c r="Q6902" s="21">
        <f>-$B$5338</f>
        <v/>
      </c>
      <c r="R6902" s="21">
        <f>2*$B$5337+$D$6883</f>
        <v/>
      </c>
      <c r="S6902" s="21">
        <f>0</f>
        <v/>
      </c>
      <c r="T6902" s="21">
        <f>-$B$5337</f>
        <v/>
      </c>
      <c r="U6902" s="21">
        <f>$B$5338</f>
        <v/>
      </c>
      <c r="V6902" s="21" t="n">
        <v>0</v>
      </c>
      <c r="W6902" s="21" t="n">
        <v>0</v>
      </c>
      <c r="X6902" s="21" t="n">
        <v>0</v>
      </c>
      <c r="Y6902" s="21" t="n">
        <v>0</v>
      </c>
      <c r="Z6902" s="19" t="n"/>
    </row>
    <row r="6903">
      <c r="D6903" s="21" t="n">
        <v>0</v>
      </c>
      <c r="E6903" s="21" t="n">
        <v>0</v>
      </c>
      <c r="F6903" s="21" t="n">
        <v>0</v>
      </c>
      <c r="G6903" s="21" t="n">
        <v>0</v>
      </c>
      <c r="H6903" s="21" t="n">
        <v>0</v>
      </c>
      <c r="I6903" s="21" t="n">
        <v>0</v>
      </c>
      <c r="J6903" s="21" t="n">
        <v>0</v>
      </c>
      <c r="K6903" s="21" t="n">
        <v>0</v>
      </c>
      <c r="L6903" s="21" t="n">
        <v>0</v>
      </c>
      <c r="M6903" s="21" t="n">
        <v>0</v>
      </c>
      <c r="N6903" s="21" t="n">
        <v>0</v>
      </c>
      <c r="O6903" s="21" t="n">
        <v>0</v>
      </c>
      <c r="P6903" s="21">
        <f>$B$5338</f>
        <v/>
      </c>
      <c r="Q6903" s="21">
        <f>$B$5340</f>
        <v/>
      </c>
      <c r="R6903" s="21">
        <f>0</f>
        <v/>
      </c>
      <c r="S6903" s="21">
        <f>2*$B$5339</f>
        <v/>
      </c>
      <c r="T6903" s="21">
        <f>-$B$5338</f>
        <v/>
      </c>
      <c r="U6903" s="21">
        <f>$B$5340</f>
        <v/>
      </c>
      <c r="V6903" s="21" t="n">
        <v>0</v>
      </c>
      <c r="W6903" s="21" t="n">
        <v>0</v>
      </c>
      <c r="X6903" s="21" t="n">
        <v>0</v>
      </c>
      <c r="Y6903" s="21" t="n">
        <v>0</v>
      </c>
      <c r="Z6903" s="19" t="n"/>
    </row>
    <row r="6904">
      <c r="D6904" s="21" t="n">
        <v>0</v>
      </c>
      <c r="E6904" s="21" t="n">
        <v>0</v>
      </c>
      <c r="F6904" s="21" t="n">
        <v>0</v>
      </c>
      <c r="G6904" s="21" t="n">
        <v>0</v>
      </c>
      <c r="H6904" s="21" t="n">
        <v>0</v>
      </c>
      <c r="I6904" s="21" t="n">
        <v>0</v>
      </c>
      <c r="J6904" s="21" t="n">
        <v>0</v>
      </c>
      <c r="K6904" s="21" t="n">
        <v>0</v>
      </c>
      <c r="L6904" s="21" t="n">
        <v>0</v>
      </c>
      <c r="M6904" s="21" t="n">
        <v>0</v>
      </c>
      <c r="N6904" s="21" t="n">
        <v>0</v>
      </c>
      <c r="O6904" s="21" t="n">
        <v>0</v>
      </c>
      <c r="P6904" s="21" t="n">
        <v>0</v>
      </c>
      <c r="Q6904" s="21" t="n">
        <v>0</v>
      </c>
      <c r="R6904" s="21">
        <f>-$B$5337</f>
        <v/>
      </c>
      <c r="S6904" s="21">
        <f>-$B$5338</f>
        <v/>
      </c>
      <c r="T6904" s="21">
        <f>2*$B$5337+$D$6884</f>
        <v/>
      </c>
      <c r="U6904" s="21">
        <f>0</f>
        <v/>
      </c>
      <c r="V6904" s="21">
        <f>-$B$5337</f>
        <v/>
      </c>
      <c r="W6904" s="21">
        <f>$B$5338</f>
        <v/>
      </c>
      <c r="X6904" s="21" t="n">
        <v>0</v>
      </c>
      <c r="Y6904" s="21" t="n">
        <v>0</v>
      </c>
      <c r="Z6904" s="19" t="n"/>
    </row>
    <row r="6905">
      <c r="D6905" s="21" t="n">
        <v>0</v>
      </c>
      <c r="E6905" s="21" t="n">
        <v>0</v>
      </c>
      <c r="F6905" s="21" t="n">
        <v>0</v>
      </c>
      <c r="G6905" s="21" t="n">
        <v>0</v>
      </c>
      <c r="H6905" s="21" t="n">
        <v>0</v>
      </c>
      <c r="I6905" s="21" t="n">
        <v>0</v>
      </c>
      <c r="J6905" s="21" t="n">
        <v>0</v>
      </c>
      <c r="K6905" s="21" t="n">
        <v>0</v>
      </c>
      <c r="L6905" s="21" t="n">
        <v>0</v>
      </c>
      <c r="M6905" s="21" t="n">
        <v>0</v>
      </c>
      <c r="N6905" s="21" t="n">
        <v>0</v>
      </c>
      <c r="O6905" s="21" t="n">
        <v>0</v>
      </c>
      <c r="P6905" s="21" t="n">
        <v>0</v>
      </c>
      <c r="Q6905" s="21" t="n">
        <v>0</v>
      </c>
      <c r="R6905" s="21">
        <f>$B$5338</f>
        <v/>
      </c>
      <c r="S6905" s="21">
        <f>$B$5340</f>
        <v/>
      </c>
      <c r="T6905" s="21">
        <f>0</f>
        <v/>
      </c>
      <c r="U6905" s="21">
        <f>2*$B$5339</f>
        <v/>
      </c>
      <c r="V6905" s="21">
        <f>-$B$5338</f>
        <v/>
      </c>
      <c r="W6905" s="21">
        <f>$B$5340</f>
        <v/>
      </c>
      <c r="X6905" s="21" t="n">
        <v>0</v>
      </c>
      <c r="Y6905" s="21" t="n">
        <v>0</v>
      </c>
      <c r="Z6905" s="19" t="n"/>
    </row>
    <row r="6906">
      <c r="D6906" s="21" t="n">
        <v>0</v>
      </c>
      <c r="E6906" s="21" t="n">
        <v>0</v>
      </c>
      <c r="F6906" s="21" t="n">
        <v>0</v>
      </c>
      <c r="G6906" s="21" t="n">
        <v>0</v>
      </c>
      <c r="H6906" s="21" t="n">
        <v>0</v>
      </c>
      <c r="I6906" s="21" t="n">
        <v>0</v>
      </c>
      <c r="J6906" s="21" t="n">
        <v>0</v>
      </c>
      <c r="K6906" s="21" t="n">
        <v>0</v>
      </c>
      <c r="L6906" s="21" t="n">
        <v>0</v>
      </c>
      <c r="M6906" s="21" t="n">
        <v>0</v>
      </c>
      <c r="N6906" s="21" t="n">
        <v>0</v>
      </c>
      <c r="O6906" s="21" t="n">
        <v>0</v>
      </c>
      <c r="P6906" s="21" t="n">
        <v>0</v>
      </c>
      <c r="Q6906" s="21" t="n">
        <v>0</v>
      </c>
      <c r="R6906" s="21" t="n">
        <v>0</v>
      </c>
      <c r="S6906" s="21" t="n">
        <v>0</v>
      </c>
      <c r="T6906" s="21">
        <f>-$B$5337</f>
        <v/>
      </c>
      <c r="U6906" s="21">
        <f>-$B$5338</f>
        <v/>
      </c>
      <c r="V6906" s="21">
        <f>2*$B$5337+$D$6885</f>
        <v/>
      </c>
      <c r="W6906" s="21">
        <f>0</f>
        <v/>
      </c>
      <c r="X6906" s="21">
        <f>-$B$5337</f>
        <v/>
      </c>
      <c r="Y6906" s="21">
        <f>$B$5338</f>
        <v/>
      </c>
      <c r="Z6906" s="19" t="n"/>
    </row>
    <row r="6907">
      <c r="D6907" s="21" t="n">
        <v>0</v>
      </c>
      <c r="E6907" s="21" t="n">
        <v>0</v>
      </c>
      <c r="F6907" s="21" t="n">
        <v>0</v>
      </c>
      <c r="G6907" s="21" t="n">
        <v>0</v>
      </c>
      <c r="H6907" s="21" t="n">
        <v>0</v>
      </c>
      <c r="I6907" s="21" t="n">
        <v>0</v>
      </c>
      <c r="J6907" s="21" t="n">
        <v>0</v>
      </c>
      <c r="K6907" s="21" t="n">
        <v>0</v>
      </c>
      <c r="L6907" s="21" t="n">
        <v>0</v>
      </c>
      <c r="M6907" s="21" t="n">
        <v>0</v>
      </c>
      <c r="N6907" s="21" t="n">
        <v>0</v>
      </c>
      <c r="O6907" s="21" t="n">
        <v>0</v>
      </c>
      <c r="P6907" s="21" t="n">
        <v>0</v>
      </c>
      <c r="Q6907" s="21" t="n">
        <v>0</v>
      </c>
      <c r="R6907" s="21" t="n">
        <v>0</v>
      </c>
      <c r="S6907" s="21" t="n">
        <v>0</v>
      </c>
      <c r="T6907" s="21">
        <f>$B$5338</f>
        <v/>
      </c>
      <c r="U6907" s="21">
        <f>$B$5340</f>
        <v/>
      </c>
      <c r="V6907" s="21">
        <f>0</f>
        <v/>
      </c>
      <c r="W6907" s="21">
        <f>2*$B$5339</f>
        <v/>
      </c>
      <c r="X6907" s="21">
        <f>-$B$5338</f>
        <v/>
      </c>
      <c r="Y6907" s="21">
        <f>$B$5340</f>
        <v/>
      </c>
      <c r="Z6907" s="19" t="n"/>
    </row>
    <row r="6908">
      <c r="D6908" s="21" t="n">
        <v>0</v>
      </c>
      <c r="E6908" s="21" t="n">
        <v>0</v>
      </c>
      <c r="F6908" s="21" t="n">
        <v>0</v>
      </c>
      <c r="G6908" s="21" t="n">
        <v>0</v>
      </c>
      <c r="H6908" s="21" t="n">
        <v>0</v>
      </c>
      <c r="I6908" s="21" t="n">
        <v>0</v>
      </c>
      <c r="J6908" s="21" t="n">
        <v>0</v>
      </c>
      <c r="K6908" s="21" t="n">
        <v>0</v>
      </c>
      <c r="L6908" s="21" t="n">
        <v>0</v>
      </c>
      <c r="M6908" s="21" t="n">
        <v>0</v>
      </c>
      <c r="N6908" s="21" t="n">
        <v>0</v>
      </c>
      <c r="O6908" s="21" t="n">
        <v>0</v>
      </c>
      <c r="P6908" s="21" t="n">
        <v>0</v>
      </c>
      <c r="Q6908" s="21" t="n">
        <v>0</v>
      </c>
      <c r="R6908" s="21" t="n">
        <v>0</v>
      </c>
      <c r="S6908" s="21" t="n">
        <v>0</v>
      </c>
      <c r="T6908" s="21" t="n">
        <v>0</v>
      </c>
      <c r="U6908" s="21" t="n">
        <v>0</v>
      </c>
      <c r="V6908" s="21">
        <f>-$B$5337</f>
        <v/>
      </c>
      <c r="W6908" s="21">
        <f>-$B$5338</f>
        <v/>
      </c>
      <c r="X6908" s="21">
        <f>$B$5337+$D$6886</f>
        <v/>
      </c>
      <c r="Y6908" s="21">
        <f>-$B$5338</f>
        <v/>
      </c>
      <c r="Z6908" s="19" t="n"/>
    </row>
    <row r="6909">
      <c r="D6909" s="21" t="n">
        <v>0</v>
      </c>
      <c r="E6909" s="21" t="n">
        <v>0</v>
      </c>
      <c r="F6909" s="21" t="n">
        <v>0</v>
      </c>
      <c r="G6909" s="21" t="n">
        <v>0</v>
      </c>
      <c r="H6909" s="21" t="n">
        <v>0</v>
      </c>
      <c r="I6909" s="21" t="n">
        <v>0</v>
      </c>
      <c r="J6909" s="21" t="n">
        <v>0</v>
      </c>
      <c r="K6909" s="21" t="n">
        <v>0</v>
      </c>
      <c r="L6909" s="21" t="n">
        <v>0</v>
      </c>
      <c r="M6909" s="21" t="n">
        <v>0</v>
      </c>
      <c r="N6909" s="21" t="n">
        <v>0</v>
      </c>
      <c r="O6909" s="21" t="n">
        <v>0</v>
      </c>
      <c r="P6909" s="21" t="n">
        <v>0</v>
      </c>
      <c r="Q6909" s="21" t="n">
        <v>0</v>
      </c>
      <c r="R6909" s="21" t="n">
        <v>0</v>
      </c>
      <c r="S6909" s="21" t="n">
        <v>0</v>
      </c>
      <c r="T6909" s="21" t="n">
        <v>0</v>
      </c>
      <c r="U6909" s="21" t="n">
        <v>0</v>
      </c>
      <c r="V6909" s="21">
        <f>$B$5338</f>
        <v/>
      </c>
      <c r="W6909" s="21">
        <f>$B$5340</f>
        <v/>
      </c>
      <c r="X6909" s="21">
        <f>-$B$5338</f>
        <v/>
      </c>
      <c r="Y6909" s="21">
        <f>$B$5339</f>
        <v/>
      </c>
      <c r="Z6909" s="19" t="n"/>
    </row>
    <row r="6911">
      <c r="A6911" s="8" t="inlineStr">
        <is>
          <t>gen 43</t>
        </is>
      </c>
    </row>
    <row r="6912">
      <c r="D6912" s="19">
        <f>IF(ABS(IF(ABS($E$6876)&gt;0.000000001,$E$6876,0.000000001))=0,0,IF($E$5352&lt;=$B$5346,0,IF(ABS(IF(ABS($E$6876)&gt;0.000000001,$E$6876,0.000000001))&gt;=8*$B$5348,$H$5352,0.5*$H$5352*(ABS(IF(ABS($E$6876)&gt;0.000000001,$E$6876,0.000000001))/$B$5348)^(1/3)))/ABS(IF(ABS($E$6876)&gt;0.000000001,$E$6876,0.000000001))*$I$5352)</f>
        <v/>
      </c>
      <c r="E6912" s="19">
        <f>0.5*$E$6876+0.5*$Z$6924</f>
        <v/>
      </c>
      <c r="F6912" s="19">
        <f>$Z$6925</f>
        <v/>
      </c>
    </row>
    <row r="6913">
      <c r="D6913" s="19">
        <f>IF(ABS(IF(ABS($E$6877)&gt;0.000000001,$E$6877,0.000000001))=0,0,IF($E$5353&lt;=$B$5346,0,IF(ABS(IF(ABS($E$6877)&gt;0.000000001,$E$6877,0.000000001))&gt;=8*$B$5348,$H$5353,0.5*$H$5353*(ABS(IF(ABS($E$6877)&gt;0.000000001,$E$6877,0.000000001))/$B$5348)^(1/3)))/ABS(IF(ABS($E$6877)&gt;0.000000001,$E$6877,0.000000001))*$I$5353)</f>
        <v/>
      </c>
      <c r="E6913" s="19">
        <f>0.5*$E$6877+0.5*$Z$6926</f>
        <v/>
      </c>
      <c r="F6913" s="19">
        <f>$Z$6927</f>
        <v/>
      </c>
    </row>
    <row r="6914">
      <c r="D6914" s="19">
        <f>IF(ABS(IF(ABS($E$6878)&gt;0.000000001,$E$6878,0.000000001))=0,0,IF($E$5354&lt;=$B$5346,0,IF(ABS(IF(ABS($E$6878)&gt;0.000000001,$E$6878,0.000000001))&gt;=8*$B$5348,$H$5354,0.5*$H$5354*(ABS(IF(ABS($E$6878)&gt;0.000000001,$E$6878,0.000000001))/$B$5348)^(1/3)))/ABS(IF(ABS($E$6878)&gt;0.000000001,$E$6878,0.000000001))*$I$5354)</f>
        <v/>
      </c>
      <c r="E6914" s="19">
        <f>0.5*$E$6878+0.5*$Z$6928</f>
        <v/>
      </c>
      <c r="F6914" s="19">
        <f>$Z$6929</f>
        <v/>
      </c>
    </row>
    <row r="6915">
      <c r="D6915" s="19">
        <f>IF(ABS(IF(ABS($E$6879)&gt;0.000000001,$E$6879,0.000000001))=0,0,IF($E$5355&lt;=$B$5346,0,IF(ABS(IF(ABS($E$6879)&gt;0.000000001,$E$6879,0.000000001))&gt;=8*$B$5348,$H$5355,0.5*$H$5355*(ABS(IF(ABS($E$6879)&gt;0.000000001,$E$6879,0.000000001))/$B$5348)^(1/3)))/ABS(IF(ABS($E$6879)&gt;0.000000001,$E$6879,0.000000001))*$I$5355)</f>
        <v/>
      </c>
      <c r="E6915" s="19">
        <f>0.5*$E$6879+0.5*$Z$6930</f>
        <v/>
      </c>
      <c r="F6915" s="19">
        <f>$Z$6931</f>
        <v/>
      </c>
    </row>
    <row r="6916">
      <c r="D6916" s="19">
        <f>IF(ABS(IF(ABS($E$6880)&gt;0.000000001,$E$6880,0.000000001))=0,0,IF($E$5356&lt;=$B$5346,0,IF(ABS(IF(ABS($E$6880)&gt;0.000000001,$E$6880,0.000000001))&gt;=8*$B$5348,$H$5356,0.5*$H$5356*(ABS(IF(ABS($E$6880)&gt;0.000000001,$E$6880,0.000000001))/$B$5348)^(1/3)))/ABS(IF(ABS($E$6880)&gt;0.000000001,$E$6880,0.000000001))*$I$5356)</f>
        <v/>
      </c>
      <c r="E6916" s="19">
        <f>0.5*$E$6880+0.5*$Z$6932</f>
        <v/>
      </c>
      <c r="F6916" s="19">
        <f>$Z$6933</f>
        <v/>
      </c>
    </row>
    <row r="6917">
      <c r="D6917" s="19">
        <f>IF(ABS(IF(ABS($E$6881)&gt;0.000000001,$E$6881,0.000000001))=0,0,IF($E$5357&lt;=$B$5346,0,IF(ABS(IF(ABS($E$6881)&gt;0.000000001,$E$6881,0.000000001))&gt;=8*$B$5348,$H$5357,0.5*$H$5357*(ABS(IF(ABS($E$6881)&gt;0.000000001,$E$6881,0.000000001))/$B$5348)^(1/3)))/ABS(IF(ABS($E$6881)&gt;0.000000001,$E$6881,0.000000001))*$I$5357)</f>
        <v/>
      </c>
      <c r="E6917" s="19">
        <f>0.5*$E$6881+0.5*$Z$6934</f>
        <v/>
      </c>
      <c r="F6917" s="19">
        <f>$Z$6935</f>
        <v/>
      </c>
    </row>
    <row r="6918">
      <c r="D6918" s="19">
        <f>IF(ABS(IF(ABS($E$6882)&gt;0.000000001,$E$6882,0.000000001))=0,0,IF($E$5358&lt;=$B$5346,0,IF(ABS(IF(ABS($E$6882)&gt;0.000000001,$E$6882,0.000000001))&gt;=8*$B$5348,$H$5358,0.5*$H$5358*(ABS(IF(ABS($E$6882)&gt;0.000000001,$E$6882,0.000000001))/$B$5348)^(1/3)))/ABS(IF(ABS($E$6882)&gt;0.000000001,$E$6882,0.000000001))*$I$5358)</f>
        <v/>
      </c>
      <c r="E6918" s="19">
        <f>0.5*$E$6882+0.5*$Z$6936</f>
        <v/>
      </c>
      <c r="F6918" s="19">
        <f>$Z$6937</f>
        <v/>
      </c>
    </row>
    <row r="6919">
      <c r="D6919" s="19">
        <f>IF(ABS(IF(ABS($E$6883)&gt;0.000000001,$E$6883,0.000000001))=0,0,IF($E$5359&lt;=$B$5346,0,IF(ABS(IF(ABS($E$6883)&gt;0.000000001,$E$6883,0.000000001))&gt;=8*$B$5348,$H$5359,0.5*$H$5359*(ABS(IF(ABS($E$6883)&gt;0.000000001,$E$6883,0.000000001))/$B$5348)^(1/3)))/ABS(IF(ABS($E$6883)&gt;0.000000001,$E$6883,0.000000001))*$I$5359)</f>
        <v/>
      </c>
      <c r="E6919" s="19">
        <f>0.5*$E$6883+0.5*$Z$6938</f>
        <v/>
      </c>
      <c r="F6919" s="19">
        <f>$Z$6939</f>
        <v/>
      </c>
    </row>
    <row r="6920">
      <c r="D6920" s="19">
        <f>IF(ABS(IF(ABS($E$6884)&gt;0.000000001,$E$6884,0.000000001))=0,0,IF($E$5360&lt;=$B$5346,0,IF(ABS(IF(ABS($E$6884)&gt;0.000000001,$E$6884,0.000000001))&gt;=8*$B$5348,$H$5360,0.5*$H$5360*(ABS(IF(ABS($E$6884)&gt;0.000000001,$E$6884,0.000000001))/$B$5348)^(1/3)))/ABS(IF(ABS($E$6884)&gt;0.000000001,$E$6884,0.000000001))*$I$5360)</f>
        <v/>
      </c>
      <c r="E6920" s="19">
        <f>0.5*$E$6884+0.5*$Z$6940</f>
        <v/>
      </c>
      <c r="F6920" s="19">
        <f>$Z$6941</f>
        <v/>
      </c>
    </row>
    <row r="6921">
      <c r="D6921" s="19">
        <f>IF(ABS(IF(ABS($E$6885)&gt;0.000000001,$E$6885,0.000000001))=0,0,IF($E$5361&lt;=$B$5346,0,IF(ABS(IF(ABS($E$6885)&gt;0.000000001,$E$6885,0.000000001))&gt;=8*$B$5348,$H$5361,0.5*$H$5361*(ABS(IF(ABS($E$6885)&gt;0.000000001,$E$6885,0.000000001))/$B$5348)^(1/3)))/ABS(IF(ABS($E$6885)&gt;0.000000001,$E$6885,0.000000001))*$I$5361)</f>
        <v/>
      </c>
      <c r="E6921" s="19">
        <f>0.5*$E$6885+0.5*$Z$6942</f>
        <v/>
      </c>
      <c r="F6921" s="19">
        <f>$Z$6943</f>
        <v/>
      </c>
    </row>
    <row r="6922">
      <c r="D6922" s="19">
        <f>IF(ABS(IF(ABS($E$6886)&gt;0.000000001,$E$6886,0.000000001))=0,0,IF($E$5362&lt;=$B$5346,0,IF(ABS(IF(ABS($E$6886)&gt;0.000000001,$E$6886,0.000000001))&gt;=8*$B$5348,$H$5362,0.5*$H$5362*(ABS(IF(ABS($E$6886)&gt;0.000000001,$E$6886,0.000000001))/$B$5348)^(1/3)))/ABS(IF(ABS($E$6886)&gt;0.000000001,$E$6886,0.000000001))*$I$5362)</f>
        <v/>
      </c>
      <c r="E6922" s="19">
        <f>0.5*$E$6886+0.5*$Z$6944</f>
        <v/>
      </c>
      <c r="F6922" s="19">
        <f>$Z$6945</f>
        <v/>
      </c>
    </row>
    <row r="6924">
      <c r="D6924" s="21">
        <f>$B$5337+$D$6912</f>
        <v/>
      </c>
      <c r="E6924" s="21">
        <f>$B$5338</f>
        <v/>
      </c>
      <c r="F6924" s="21">
        <f>-$B$5337</f>
        <v/>
      </c>
      <c r="G6924" s="21">
        <f>$B$5338</f>
        <v/>
      </c>
      <c r="H6924" s="21" t="n">
        <v>0</v>
      </c>
      <c r="I6924" s="21" t="n">
        <v>0</v>
      </c>
      <c r="J6924" s="21" t="n">
        <v>0</v>
      </c>
      <c r="K6924" s="21" t="n">
        <v>0</v>
      </c>
      <c r="L6924" s="21" t="n">
        <v>0</v>
      </c>
      <c r="M6924" s="21" t="n">
        <v>0</v>
      </c>
      <c r="N6924" s="21" t="n">
        <v>0</v>
      </c>
      <c r="O6924" s="21" t="n">
        <v>0</v>
      </c>
      <c r="P6924" s="21" t="n">
        <v>0</v>
      </c>
      <c r="Q6924" s="21" t="n">
        <v>0</v>
      </c>
      <c r="R6924" s="21" t="n">
        <v>0</v>
      </c>
      <c r="S6924" s="21" t="n">
        <v>0</v>
      </c>
      <c r="T6924" s="21" t="n">
        <v>0</v>
      </c>
      <c r="U6924" s="21" t="n">
        <v>0</v>
      </c>
      <c r="V6924" s="21" t="n">
        <v>0</v>
      </c>
      <c r="W6924" s="21" t="n">
        <v>0</v>
      </c>
      <c r="X6924" s="21" t="n">
        <v>0</v>
      </c>
      <c r="Y6924" s="21" t="n">
        <v>0</v>
      </c>
      <c r="Z6924" s="19">
        <f t="array" ref="Z6924:Z6945">MMULT(MINVERSE($D$6924:$Y$6945),$D$5364:$D$5385)</f>
        <v/>
      </c>
    </row>
    <row r="6925">
      <c r="D6925" s="21">
        <f>$B$5338</f>
        <v/>
      </c>
      <c r="E6925" s="21">
        <f>$B$5339</f>
        <v/>
      </c>
      <c r="F6925" s="21">
        <f>-$B$5338</f>
        <v/>
      </c>
      <c r="G6925" s="21">
        <f>$B$5340</f>
        <v/>
      </c>
      <c r="H6925" s="21" t="n">
        <v>0</v>
      </c>
      <c r="I6925" s="21" t="n">
        <v>0</v>
      </c>
      <c r="J6925" s="21" t="n">
        <v>0</v>
      </c>
      <c r="K6925" s="21" t="n">
        <v>0</v>
      </c>
      <c r="L6925" s="21" t="n">
        <v>0</v>
      </c>
      <c r="M6925" s="21" t="n">
        <v>0</v>
      </c>
      <c r="N6925" s="21" t="n">
        <v>0</v>
      </c>
      <c r="O6925" s="21" t="n">
        <v>0</v>
      </c>
      <c r="P6925" s="21" t="n">
        <v>0</v>
      </c>
      <c r="Q6925" s="21" t="n">
        <v>0</v>
      </c>
      <c r="R6925" s="21" t="n">
        <v>0</v>
      </c>
      <c r="S6925" s="21" t="n">
        <v>0</v>
      </c>
      <c r="T6925" s="21" t="n">
        <v>0</v>
      </c>
      <c r="U6925" s="21" t="n">
        <v>0</v>
      </c>
      <c r="V6925" s="21" t="n">
        <v>0</v>
      </c>
      <c r="W6925" s="21" t="n">
        <v>0</v>
      </c>
      <c r="X6925" s="21" t="n">
        <v>0</v>
      </c>
      <c r="Y6925" s="21" t="n">
        <v>0</v>
      </c>
      <c r="Z6925" s="19" t="n"/>
    </row>
    <row r="6926">
      <c r="D6926" s="21">
        <f>-$B$5337</f>
        <v/>
      </c>
      <c r="E6926" s="21">
        <f>-$B$5338</f>
        <v/>
      </c>
      <c r="F6926" s="21">
        <f>2*$B$5337+$D$6913</f>
        <v/>
      </c>
      <c r="G6926" s="21">
        <f>0</f>
        <v/>
      </c>
      <c r="H6926" s="21">
        <f>-$B$5337</f>
        <v/>
      </c>
      <c r="I6926" s="21">
        <f>$B$5338</f>
        <v/>
      </c>
      <c r="J6926" s="21" t="n">
        <v>0</v>
      </c>
      <c r="K6926" s="21" t="n">
        <v>0</v>
      </c>
      <c r="L6926" s="21" t="n">
        <v>0</v>
      </c>
      <c r="M6926" s="21" t="n">
        <v>0</v>
      </c>
      <c r="N6926" s="21" t="n">
        <v>0</v>
      </c>
      <c r="O6926" s="21" t="n">
        <v>0</v>
      </c>
      <c r="P6926" s="21" t="n">
        <v>0</v>
      </c>
      <c r="Q6926" s="21" t="n">
        <v>0</v>
      </c>
      <c r="R6926" s="21" t="n">
        <v>0</v>
      </c>
      <c r="S6926" s="21" t="n">
        <v>0</v>
      </c>
      <c r="T6926" s="21" t="n">
        <v>0</v>
      </c>
      <c r="U6926" s="21" t="n">
        <v>0</v>
      </c>
      <c r="V6926" s="21" t="n">
        <v>0</v>
      </c>
      <c r="W6926" s="21" t="n">
        <v>0</v>
      </c>
      <c r="X6926" s="21" t="n">
        <v>0</v>
      </c>
      <c r="Y6926" s="21" t="n">
        <v>0</v>
      </c>
      <c r="Z6926" s="19" t="n"/>
    </row>
    <row r="6927">
      <c r="D6927" s="21">
        <f>$B$5338</f>
        <v/>
      </c>
      <c r="E6927" s="21">
        <f>$B$5340</f>
        <v/>
      </c>
      <c r="F6927" s="21">
        <f>0</f>
        <v/>
      </c>
      <c r="G6927" s="21">
        <f>2*$B$5339</f>
        <v/>
      </c>
      <c r="H6927" s="21">
        <f>-$B$5338</f>
        <v/>
      </c>
      <c r="I6927" s="21">
        <f>$B$5340</f>
        <v/>
      </c>
      <c r="J6927" s="21" t="n">
        <v>0</v>
      </c>
      <c r="K6927" s="21" t="n">
        <v>0</v>
      </c>
      <c r="L6927" s="21" t="n">
        <v>0</v>
      </c>
      <c r="M6927" s="21" t="n">
        <v>0</v>
      </c>
      <c r="N6927" s="21" t="n">
        <v>0</v>
      </c>
      <c r="O6927" s="21" t="n">
        <v>0</v>
      </c>
      <c r="P6927" s="21" t="n">
        <v>0</v>
      </c>
      <c r="Q6927" s="21" t="n">
        <v>0</v>
      </c>
      <c r="R6927" s="21" t="n">
        <v>0</v>
      </c>
      <c r="S6927" s="21" t="n">
        <v>0</v>
      </c>
      <c r="T6927" s="21" t="n">
        <v>0</v>
      </c>
      <c r="U6927" s="21" t="n">
        <v>0</v>
      </c>
      <c r="V6927" s="21" t="n">
        <v>0</v>
      </c>
      <c r="W6927" s="21" t="n">
        <v>0</v>
      </c>
      <c r="X6927" s="21" t="n">
        <v>0</v>
      </c>
      <c r="Y6927" s="21" t="n">
        <v>0</v>
      </c>
      <c r="Z6927" s="19" t="n"/>
    </row>
    <row r="6928">
      <c r="D6928" s="21" t="n">
        <v>0</v>
      </c>
      <c r="E6928" s="21" t="n">
        <v>0</v>
      </c>
      <c r="F6928" s="21">
        <f>-$B$5337</f>
        <v/>
      </c>
      <c r="G6928" s="21">
        <f>-$B$5338</f>
        <v/>
      </c>
      <c r="H6928" s="21">
        <f>2*$B$5337+$D$6914</f>
        <v/>
      </c>
      <c r="I6928" s="21">
        <f>0</f>
        <v/>
      </c>
      <c r="J6928" s="21">
        <f>-$B$5337</f>
        <v/>
      </c>
      <c r="K6928" s="21">
        <f>$B$5338</f>
        <v/>
      </c>
      <c r="L6928" s="21" t="n">
        <v>0</v>
      </c>
      <c r="M6928" s="21" t="n">
        <v>0</v>
      </c>
      <c r="N6928" s="21" t="n">
        <v>0</v>
      </c>
      <c r="O6928" s="21" t="n">
        <v>0</v>
      </c>
      <c r="P6928" s="21" t="n">
        <v>0</v>
      </c>
      <c r="Q6928" s="21" t="n">
        <v>0</v>
      </c>
      <c r="R6928" s="21" t="n">
        <v>0</v>
      </c>
      <c r="S6928" s="21" t="n">
        <v>0</v>
      </c>
      <c r="T6928" s="21" t="n">
        <v>0</v>
      </c>
      <c r="U6928" s="21" t="n">
        <v>0</v>
      </c>
      <c r="V6928" s="21" t="n">
        <v>0</v>
      </c>
      <c r="W6928" s="21" t="n">
        <v>0</v>
      </c>
      <c r="X6928" s="21" t="n">
        <v>0</v>
      </c>
      <c r="Y6928" s="21" t="n">
        <v>0</v>
      </c>
      <c r="Z6928" s="19" t="n"/>
    </row>
    <row r="6929">
      <c r="D6929" s="21" t="n">
        <v>0</v>
      </c>
      <c r="E6929" s="21" t="n">
        <v>0</v>
      </c>
      <c r="F6929" s="21">
        <f>$B$5338</f>
        <v/>
      </c>
      <c r="G6929" s="21">
        <f>$B$5340</f>
        <v/>
      </c>
      <c r="H6929" s="21">
        <f>0</f>
        <v/>
      </c>
      <c r="I6929" s="21">
        <f>2*$B$5339</f>
        <v/>
      </c>
      <c r="J6929" s="21">
        <f>-$B$5338</f>
        <v/>
      </c>
      <c r="K6929" s="21">
        <f>$B$5340</f>
        <v/>
      </c>
      <c r="L6929" s="21" t="n">
        <v>0</v>
      </c>
      <c r="M6929" s="21" t="n">
        <v>0</v>
      </c>
      <c r="N6929" s="21" t="n">
        <v>0</v>
      </c>
      <c r="O6929" s="21" t="n">
        <v>0</v>
      </c>
      <c r="P6929" s="21" t="n">
        <v>0</v>
      </c>
      <c r="Q6929" s="21" t="n">
        <v>0</v>
      </c>
      <c r="R6929" s="21" t="n">
        <v>0</v>
      </c>
      <c r="S6929" s="21" t="n">
        <v>0</v>
      </c>
      <c r="T6929" s="21" t="n">
        <v>0</v>
      </c>
      <c r="U6929" s="21" t="n">
        <v>0</v>
      </c>
      <c r="V6929" s="21" t="n">
        <v>0</v>
      </c>
      <c r="W6929" s="21" t="n">
        <v>0</v>
      </c>
      <c r="X6929" s="21" t="n">
        <v>0</v>
      </c>
      <c r="Y6929" s="21" t="n">
        <v>0</v>
      </c>
      <c r="Z6929" s="19" t="n"/>
    </row>
    <row r="6930">
      <c r="D6930" s="21" t="n">
        <v>0</v>
      </c>
      <c r="E6930" s="21" t="n">
        <v>0</v>
      </c>
      <c r="F6930" s="21" t="n">
        <v>0</v>
      </c>
      <c r="G6930" s="21" t="n">
        <v>0</v>
      </c>
      <c r="H6930" s="21">
        <f>-$B$5337</f>
        <v/>
      </c>
      <c r="I6930" s="21">
        <f>-$B$5338</f>
        <v/>
      </c>
      <c r="J6930" s="21">
        <f>2*$B$5337+$D$6915</f>
        <v/>
      </c>
      <c r="K6930" s="21">
        <f>0</f>
        <v/>
      </c>
      <c r="L6930" s="21">
        <f>-$B$5337</f>
        <v/>
      </c>
      <c r="M6930" s="21">
        <f>$B$5338</f>
        <v/>
      </c>
      <c r="N6930" s="21" t="n">
        <v>0</v>
      </c>
      <c r="O6930" s="21" t="n">
        <v>0</v>
      </c>
      <c r="P6930" s="21" t="n">
        <v>0</v>
      </c>
      <c r="Q6930" s="21" t="n">
        <v>0</v>
      </c>
      <c r="R6930" s="21" t="n">
        <v>0</v>
      </c>
      <c r="S6930" s="21" t="n">
        <v>0</v>
      </c>
      <c r="T6930" s="21" t="n">
        <v>0</v>
      </c>
      <c r="U6930" s="21" t="n">
        <v>0</v>
      </c>
      <c r="V6930" s="21" t="n">
        <v>0</v>
      </c>
      <c r="W6930" s="21" t="n">
        <v>0</v>
      </c>
      <c r="X6930" s="21" t="n">
        <v>0</v>
      </c>
      <c r="Y6930" s="21" t="n">
        <v>0</v>
      </c>
      <c r="Z6930" s="19" t="n"/>
    </row>
    <row r="6931">
      <c r="D6931" s="21" t="n">
        <v>0</v>
      </c>
      <c r="E6931" s="21" t="n">
        <v>0</v>
      </c>
      <c r="F6931" s="21" t="n">
        <v>0</v>
      </c>
      <c r="G6931" s="21" t="n">
        <v>0</v>
      </c>
      <c r="H6931" s="21">
        <f>$B$5338</f>
        <v/>
      </c>
      <c r="I6931" s="21">
        <f>$B$5340</f>
        <v/>
      </c>
      <c r="J6931" s="21">
        <f>0</f>
        <v/>
      </c>
      <c r="K6931" s="21">
        <f>2*$B$5339</f>
        <v/>
      </c>
      <c r="L6931" s="21">
        <f>-$B$5338</f>
        <v/>
      </c>
      <c r="M6931" s="21">
        <f>$B$5340</f>
        <v/>
      </c>
      <c r="N6931" s="21" t="n">
        <v>0</v>
      </c>
      <c r="O6931" s="21" t="n">
        <v>0</v>
      </c>
      <c r="P6931" s="21" t="n">
        <v>0</v>
      </c>
      <c r="Q6931" s="21" t="n">
        <v>0</v>
      </c>
      <c r="R6931" s="21" t="n">
        <v>0</v>
      </c>
      <c r="S6931" s="21" t="n">
        <v>0</v>
      </c>
      <c r="T6931" s="21" t="n">
        <v>0</v>
      </c>
      <c r="U6931" s="21" t="n">
        <v>0</v>
      </c>
      <c r="V6931" s="21" t="n">
        <v>0</v>
      </c>
      <c r="W6931" s="21" t="n">
        <v>0</v>
      </c>
      <c r="X6931" s="21" t="n">
        <v>0</v>
      </c>
      <c r="Y6931" s="21" t="n">
        <v>0</v>
      </c>
      <c r="Z6931" s="19" t="n"/>
    </row>
    <row r="6932">
      <c r="D6932" s="21" t="n">
        <v>0</v>
      </c>
      <c r="E6932" s="21" t="n">
        <v>0</v>
      </c>
      <c r="F6932" s="21" t="n">
        <v>0</v>
      </c>
      <c r="G6932" s="21" t="n">
        <v>0</v>
      </c>
      <c r="H6932" s="21" t="n">
        <v>0</v>
      </c>
      <c r="I6932" s="21" t="n">
        <v>0</v>
      </c>
      <c r="J6932" s="21">
        <f>-$B$5337</f>
        <v/>
      </c>
      <c r="K6932" s="21">
        <f>-$B$5338</f>
        <v/>
      </c>
      <c r="L6932" s="21">
        <f>2*$B$5337+$D$6916</f>
        <v/>
      </c>
      <c r="M6932" s="21">
        <f>0</f>
        <v/>
      </c>
      <c r="N6932" s="21">
        <f>-$B$5337</f>
        <v/>
      </c>
      <c r="O6932" s="21">
        <f>$B$5338</f>
        <v/>
      </c>
      <c r="P6932" s="21" t="n">
        <v>0</v>
      </c>
      <c r="Q6932" s="21" t="n">
        <v>0</v>
      </c>
      <c r="R6932" s="21" t="n">
        <v>0</v>
      </c>
      <c r="S6932" s="21" t="n">
        <v>0</v>
      </c>
      <c r="T6932" s="21" t="n">
        <v>0</v>
      </c>
      <c r="U6932" s="21" t="n">
        <v>0</v>
      </c>
      <c r="V6932" s="21" t="n">
        <v>0</v>
      </c>
      <c r="W6932" s="21" t="n">
        <v>0</v>
      </c>
      <c r="X6932" s="21" t="n">
        <v>0</v>
      </c>
      <c r="Y6932" s="21" t="n">
        <v>0</v>
      </c>
      <c r="Z6932" s="19" t="n"/>
    </row>
    <row r="6933">
      <c r="D6933" s="21" t="n">
        <v>0</v>
      </c>
      <c r="E6933" s="21" t="n">
        <v>0</v>
      </c>
      <c r="F6933" s="21" t="n">
        <v>0</v>
      </c>
      <c r="G6933" s="21" t="n">
        <v>0</v>
      </c>
      <c r="H6933" s="21" t="n">
        <v>0</v>
      </c>
      <c r="I6933" s="21" t="n">
        <v>0</v>
      </c>
      <c r="J6933" s="21">
        <f>$B$5338</f>
        <v/>
      </c>
      <c r="K6933" s="21">
        <f>$B$5340</f>
        <v/>
      </c>
      <c r="L6933" s="21">
        <f>0</f>
        <v/>
      </c>
      <c r="M6933" s="21">
        <f>2*$B$5339</f>
        <v/>
      </c>
      <c r="N6933" s="21">
        <f>-$B$5338</f>
        <v/>
      </c>
      <c r="O6933" s="21">
        <f>$B$5340</f>
        <v/>
      </c>
      <c r="P6933" s="21" t="n">
        <v>0</v>
      </c>
      <c r="Q6933" s="21" t="n">
        <v>0</v>
      </c>
      <c r="R6933" s="21" t="n">
        <v>0</v>
      </c>
      <c r="S6933" s="21" t="n">
        <v>0</v>
      </c>
      <c r="T6933" s="21" t="n">
        <v>0</v>
      </c>
      <c r="U6933" s="21" t="n">
        <v>0</v>
      </c>
      <c r="V6933" s="21" t="n">
        <v>0</v>
      </c>
      <c r="W6933" s="21" t="n">
        <v>0</v>
      </c>
      <c r="X6933" s="21" t="n">
        <v>0</v>
      </c>
      <c r="Y6933" s="21" t="n">
        <v>0</v>
      </c>
      <c r="Z6933" s="19" t="n"/>
    </row>
    <row r="6934">
      <c r="D6934" s="21" t="n">
        <v>0</v>
      </c>
      <c r="E6934" s="21" t="n">
        <v>0</v>
      </c>
      <c r="F6934" s="21" t="n">
        <v>0</v>
      </c>
      <c r="G6934" s="21" t="n">
        <v>0</v>
      </c>
      <c r="H6934" s="21" t="n">
        <v>0</v>
      </c>
      <c r="I6934" s="21" t="n">
        <v>0</v>
      </c>
      <c r="J6934" s="21" t="n">
        <v>0</v>
      </c>
      <c r="K6934" s="21" t="n">
        <v>0</v>
      </c>
      <c r="L6934" s="21">
        <f>-$B$5337</f>
        <v/>
      </c>
      <c r="M6934" s="21">
        <f>-$B$5338</f>
        <v/>
      </c>
      <c r="N6934" s="21">
        <f>2*$B$5337+$D$6917</f>
        <v/>
      </c>
      <c r="O6934" s="21">
        <f>0</f>
        <v/>
      </c>
      <c r="P6934" s="21">
        <f>-$B$5337</f>
        <v/>
      </c>
      <c r="Q6934" s="21">
        <f>$B$5338</f>
        <v/>
      </c>
      <c r="R6934" s="21" t="n">
        <v>0</v>
      </c>
      <c r="S6934" s="21" t="n">
        <v>0</v>
      </c>
      <c r="T6934" s="21" t="n">
        <v>0</v>
      </c>
      <c r="U6934" s="21" t="n">
        <v>0</v>
      </c>
      <c r="V6934" s="21" t="n">
        <v>0</v>
      </c>
      <c r="W6934" s="21" t="n">
        <v>0</v>
      </c>
      <c r="X6934" s="21" t="n">
        <v>0</v>
      </c>
      <c r="Y6934" s="21" t="n">
        <v>0</v>
      </c>
      <c r="Z6934" s="19" t="n"/>
    </row>
    <row r="6935">
      <c r="D6935" s="21" t="n">
        <v>0</v>
      </c>
      <c r="E6935" s="21" t="n">
        <v>0</v>
      </c>
      <c r="F6935" s="21" t="n">
        <v>0</v>
      </c>
      <c r="G6935" s="21" t="n">
        <v>0</v>
      </c>
      <c r="H6935" s="21" t="n">
        <v>0</v>
      </c>
      <c r="I6935" s="21" t="n">
        <v>0</v>
      </c>
      <c r="J6935" s="21" t="n">
        <v>0</v>
      </c>
      <c r="K6935" s="21" t="n">
        <v>0</v>
      </c>
      <c r="L6935" s="21">
        <f>$B$5338</f>
        <v/>
      </c>
      <c r="M6935" s="21">
        <f>$B$5340</f>
        <v/>
      </c>
      <c r="N6935" s="21">
        <f>0</f>
        <v/>
      </c>
      <c r="O6935" s="21">
        <f>2*$B$5339</f>
        <v/>
      </c>
      <c r="P6935" s="21">
        <f>-$B$5338</f>
        <v/>
      </c>
      <c r="Q6935" s="21">
        <f>$B$5340</f>
        <v/>
      </c>
      <c r="R6935" s="21" t="n">
        <v>0</v>
      </c>
      <c r="S6935" s="21" t="n">
        <v>0</v>
      </c>
      <c r="T6935" s="21" t="n">
        <v>0</v>
      </c>
      <c r="U6935" s="21" t="n">
        <v>0</v>
      </c>
      <c r="V6935" s="21" t="n">
        <v>0</v>
      </c>
      <c r="W6935" s="21" t="n">
        <v>0</v>
      </c>
      <c r="X6935" s="21" t="n">
        <v>0</v>
      </c>
      <c r="Y6935" s="21" t="n">
        <v>0</v>
      </c>
      <c r="Z6935" s="19" t="n"/>
    </row>
    <row r="6936">
      <c r="D6936" s="21" t="n">
        <v>0</v>
      </c>
      <c r="E6936" s="21" t="n">
        <v>0</v>
      </c>
      <c r="F6936" s="21" t="n">
        <v>0</v>
      </c>
      <c r="G6936" s="21" t="n">
        <v>0</v>
      </c>
      <c r="H6936" s="21" t="n">
        <v>0</v>
      </c>
      <c r="I6936" s="21" t="n">
        <v>0</v>
      </c>
      <c r="J6936" s="21" t="n">
        <v>0</v>
      </c>
      <c r="K6936" s="21" t="n">
        <v>0</v>
      </c>
      <c r="L6936" s="21" t="n">
        <v>0</v>
      </c>
      <c r="M6936" s="21" t="n">
        <v>0</v>
      </c>
      <c r="N6936" s="21">
        <f>-$B$5337</f>
        <v/>
      </c>
      <c r="O6936" s="21">
        <f>-$B$5338</f>
        <v/>
      </c>
      <c r="P6936" s="21">
        <f>2*$B$5337+$D$6918</f>
        <v/>
      </c>
      <c r="Q6936" s="21">
        <f>0</f>
        <v/>
      </c>
      <c r="R6936" s="21">
        <f>-$B$5337</f>
        <v/>
      </c>
      <c r="S6936" s="21">
        <f>$B$5338</f>
        <v/>
      </c>
      <c r="T6936" s="21" t="n">
        <v>0</v>
      </c>
      <c r="U6936" s="21" t="n">
        <v>0</v>
      </c>
      <c r="V6936" s="21" t="n">
        <v>0</v>
      </c>
      <c r="W6936" s="21" t="n">
        <v>0</v>
      </c>
      <c r="X6936" s="21" t="n">
        <v>0</v>
      </c>
      <c r="Y6936" s="21" t="n">
        <v>0</v>
      </c>
      <c r="Z6936" s="19" t="n"/>
    </row>
    <row r="6937">
      <c r="D6937" s="21" t="n">
        <v>0</v>
      </c>
      <c r="E6937" s="21" t="n">
        <v>0</v>
      </c>
      <c r="F6937" s="21" t="n">
        <v>0</v>
      </c>
      <c r="G6937" s="21" t="n">
        <v>0</v>
      </c>
      <c r="H6937" s="21" t="n">
        <v>0</v>
      </c>
      <c r="I6937" s="21" t="n">
        <v>0</v>
      </c>
      <c r="J6937" s="21" t="n">
        <v>0</v>
      </c>
      <c r="K6937" s="21" t="n">
        <v>0</v>
      </c>
      <c r="L6937" s="21" t="n">
        <v>0</v>
      </c>
      <c r="M6937" s="21" t="n">
        <v>0</v>
      </c>
      <c r="N6937" s="21">
        <f>$B$5338</f>
        <v/>
      </c>
      <c r="O6937" s="21">
        <f>$B$5340</f>
        <v/>
      </c>
      <c r="P6937" s="21">
        <f>0</f>
        <v/>
      </c>
      <c r="Q6937" s="21">
        <f>2*$B$5339</f>
        <v/>
      </c>
      <c r="R6937" s="21">
        <f>-$B$5338</f>
        <v/>
      </c>
      <c r="S6937" s="21">
        <f>$B$5340</f>
        <v/>
      </c>
      <c r="T6937" s="21" t="n">
        <v>0</v>
      </c>
      <c r="U6937" s="21" t="n">
        <v>0</v>
      </c>
      <c r="V6937" s="21" t="n">
        <v>0</v>
      </c>
      <c r="W6937" s="21" t="n">
        <v>0</v>
      </c>
      <c r="X6937" s="21" t="n">
        <v>0</v>
      </c>
      <c r="Y6937" s="21" t="n">
        <v>0</v>
      </c>
      <c r="Z6937" s="19" t="n"/>
    </row>
    <row r="6938">
      <c r="D6938" s="21" t="n">
        <v>0</v>
      </c>
      <c r="E6938" s="21" t="n">
        <v>0</v>
      </c>
      <c r="F6938" s="21" t="n">
        <v>0</v>
      </c>
      <c r="G6938" s="21" t="n">
        <v>0</v>
      </c>
      <c r="H6938" s="21" t="n">
        <v>0</v>
      </c>
      <c r="I6938" s="21" t="n">
        <v>0</v>
      </c>
      <c r="J6938" s="21" t="n">
        <v>0</v>
      </c>
      <c r="K6938" s="21" t="n">
        <v>0</v>
      </c>
      <c r="L6938" s="21" t="n">
        <v>0</v>
      </c>
      <c r="M6938" s="21" t="n">
        <v>0</v>
      </c>
      <c r="N6938" s="21" t="n">
        <v>0</v>
      </c>
      <c r="O6938" s="21" t="n">
        <v>0</v>
      </c>
      <c r="P6938" s="21">
        <f>-$B$5337</f>
        <v/>
      </c>
      <c r="Q6938" s="21">
        <f>-$B$5338</f>
        <v/>
      </c>
      <c r="R6938" s="21">
        <f>2*$B$5337+$D$6919</f>
        <v/>
      </c>
      <c r="S6938" s="21">
        <f>0</f>
        <v/>
      </c>
      <c r="T6938" s="21">
        <f>-$B$5337</f>
        <v/>
      </c>
      <c r="U6938" s="21">
        <f>$B$5338</f>
        <v/>
      </c>
      <c r="V6938" s="21" t="n">
        <v>0</v>
      </c>
      <c r="W6938" s="21" t="n">
        <v>0</v>
      </c>
      <c r="X6938" s="21" t="n">
        <v>0</v>
      </c>
      <c r="Y6938" s="21" t="n">
        <v>0</v>
      </c>
      <c r="Z6938" s="19" t="n"/>
    </row>
    <row r="6939">
      <c r="D6939" s="21" t="n">
        <v>0</v>
      </c>
      <c r="E6939" s="21" t="n">
        <v>0</v>
      </c>
      <c r="F6939" s="21" t="n">
        <v>0</v>
      </c>
      <c r="G6939" s="21" t="n">
        <v>0</v>
      </c>
      <c r="H6939" s="21" t="n">
        <v>0</v>
      </c>
      <c r="I6939" s="21" t="n">
        <v>0</v>
      </c>
      <c r="J6939" s="21" t="n">
        <v>0</v>
      </c>
      <c r="K6939" s="21" t="n">
        <v>0</v>
      </c>
      <c r="L6939" s="21" t="n">
        <v>0</v>
      </c>
      <c r="M6939" s="21" t="n">
        <v>0</v>
      </c>
      <c r="N6939" s="21" t="n">
        <v>0</v>
      </c>
      <c r="O6939" s="21" t="n">
        <v>0</v>
      </c>
      <c r="P6939" s="21">
        <f>$B$5338</f>
        <v/>
      </c>
      <c r="Q6939" s="21">
        <f>$B$5340</f>
        <v/>
      </c>
      <c r="R6939" s="21">
        <f>0</f>
        <v/>
      </c>
      <c r="S6939" s="21">
        <f>2*$B$5339</f>
        <v/>
      </c>
      <c r="T6939" s="21">
        <f>-$B$5338</f>
        <v/>
      </c>
      <c r="U6939" s="21">
        <f>$B$5340</f>
        <v/>
      </c>
      <c r="V6939" s="21" t="n">
        <v>0</v>
      </c>
      <c r="W6939" s="21" t="n">
        <v>0</v>
      </c>
      <c r="X6939" s="21" t="n">
        <v>0</v>
      </c>
      <c r="Y6939" s="21" t="n">
        <v>0</v>
      </c>
      <c r="Z6939" s="19" t="n"/>
    </row>
    <row r="6940">
      <c r="D6940" s="21" t="n">
        <v>0</v>
      </c>
      <c r="E6940" s="21" t="n">
        <v>0</v>
      </c>
      <c r="F6940" s="21" t="n">
        <v>0</v>
      </c>
      <c r="G6940" s="21" t="n">
        <v>0</v>
      </c>
      <c r="H6940" s="21" t="n">
        <v>0</v>
      </c>
      <c r="I6940" s="21" t="n">
        <v>0</v>
      </c>
      <c r="J6940" s="21" t="n">
        <v>0</v>
      </c>
      <c r="K6940" s="21" t="n">
        <v>0</v>
      </c>
      <c r="L6940" s="21" t="n">
        <v>0</v>
      </c>
      <c r="M6940" s="21" t="n">
        <v>0</v>
      </c>
      <c r="N6940" s="21" t="n">
        <v>0</v>
      </c>
      <c r="O6940" s="21" t="n">
        <v>0</v>
      </c>
      <c r="P6940" s="21" t="n">
        <v>0</v>
      </c>
      <c r="Q6940" s="21" t="n">
        <v>0</v>
      </c>
      <c r="R6940" s="21">
        <f>-$B$5337</f>
        <v/>
      </c>
      <c r="S6940" s="21">
        <f>-$B$5338</f>
        <v/>
      </c>
      <c r="T6940" s="21">
        <f>2*$B$5337+$D$6920</f>
        <v/>
      </c>
      <c r="U6940" s="21">
        <f>0</f>
        <v/>
      </c>
      <c r="V6940" s="21">
        <f>-$B$5337</f>
        <v/>
      </c>
      <c r="W6940" s="21">
        <f>$B$5338</f>
        <v/>
      </c>
      <c r="X6940" s="21" t="n">
        <v>0</v>
      </c>
      <c r="Y6940" s="21" t="n">
        <v>0</v>
      </c>
      <c r="Z6940" s="19" t="n"/>
    </row>
    <row r="6941">
      <c r="D6941" s="21" t="n">
        <v>0</v>
      </c>
      <c r="E6941" s="21" t="n">
        <v>0</v>
      </c>
      <c r="F6941" s="21" t="n">
        <v>0</v>
      </c>
      <c r="G6941" s="21" t="n">
        <v>0</v>
      </c>
      <c r="H6941" s="21" t="n">
        <v>0</v>
      </c>
      <c r="I6941" s="21" t="n">
        <v>0</v>
      </c>
      <c r="J6941" s="21" t="n">
        <v>0</v>
      </c>
      <c r="K6941" s="21" t="n">
        <v>0</v>
      </c>
      <c r="L6941" s="21" t="n">
        <v>0</v>
      </c>
      <c r="M6941" s="21" t="n">
        <v>0</v>
      </c>
      <c r="N6941" s="21" t="n">
        <v>0</v>
      </c>
      <c r="O6941" s="21" t="n">
        <v>0</v>
      </c>
      <c r="P6941" s="21" t="n">
        <v>0</v>
      </c>
      <c r="Q6941" s="21" t="n">
        <v>0</v>
      </c>
      <c r="R6941" s="21">
        <f>$B$5338</f>
        <v/>
      </c>
      <c r="S6941" s="21">
        <f>$B$5340</f>
        <v/>
      </c>
      <c r="T6941" s="21">
        <f>0</f>
        <v/>
      </c>
      <c r="U6941" s="21">
        <f>2*$B$5339</f>
        <v/>
      </c>
      <c r="V6941" s="21">
        <f>-$B$5338</f>
        <v/>
      </c>
      <c r="W6941" s="21">
        <f>$B$5340</f>
        <v/>
      </c>
      <c r="X6941" s="21" t="n">
        <v>0</v>
      </c>
      <c r="Y6941" s="21" t="n">
        <v>0</v>
      </c>
      <c r="Z6941" s="19" t="n"/>
    </row>
    <row r="6942">
      <c r="D6942" s="21" t="n">
        <v>0</v>
      </c>
      <c r="E6942" s="21" t="n">
        <v>0</v>
      </c>
      <c r="F6942" s="21" t="n">
        <v>0</v>
      </c>
      <c r="G6942" s="21" t="n">
        <v>0</v>
      </c>
      <c r="H6942" s="21" t="n">
        <v>0</v>
      </c>
      <c r="I6942" s="21" t="n">
        <v>0</v>
      </c>
      <c r="J6942" s="21" t="n">
        <v>0</v>
      </c>
      <c r="K6942" s="21" t="n">
        <v>0</v>
      </c>
      <c r="L6942" s="21" t="n">
        <v>0</v>
      </c>
      <c r="M6942" s="21" t="n">
        <v>0</v>
      </c>
      <c r="N6942" s="21" t="n">
        <v>0</v>
      </c>
      <c r="O6942" s="21" t="n">
        <v>0</v>
      </c>
      <c r="P6942" s="21" t="n">
        <v>0</v>
      </c>
      <c r="Q6942" s="21" t="n">
        <v>0</v>
      </c>
      <c r="R6942" s="21" t="n">
        <v>0</v>
      </c>
      <c r="S6942" s="21" t="n">
        <v>0</v>
      </c>
      <c r="T6942" s="21">
        <f>-$B$5337</f>
        <v/>
      </c>
      <c r="U6942" s="21">
        <f>-$B$5338</f>
        <v/>
      </c>
      <c r="V6942" s="21">
        <f>2*$B$5337+$D$6921</f>
        <v/>
      </c>
      <c r="W6942" s="21">
        <f>0</f>
        <v/>
      </c>
      <c r="X6942" s="21">
        <f>-$B$5337</f>
        <v/>
      </c>
      <c r="Y6942" s="21">
        <f>$B$5338</f>
        <v/>
      </c>
      <c r="Z6942" s="19" t="n"/>
    </row>
    <row r="6943">
      <c r="D6943" s="21" t="n">
        <v>0</v>
      </c>
      <c r="E6943" s="21" t="n">
        <v>0</v>
      </c>
      <c r="F6943" s="21" t="n">
        <v>0</v>
      </c>
      <c r="G6943" s="21" t="n">
        <v>0</v>
      </c>
      <c r="H6943" s="21" t="n">
        <v>0</v>
      </c>
      <c r="I6943" s="21" t="n">
        <v>0</v>
      </c>
      <c r="J6943" s="21" t="n">
        <v>0</v>
      </c>
      <c r="K6943" s="21" t="n">
        <v>0</v>
      </c>
      <c r="L6943" s="21" t="n">
        <v>0</v>
      </c>
      <c r="M6943" s="21" t="n">
        <v>0</v>
      </c>
      <c r="N6943" s="21" t="n">
        <v>0</v>
      </c>
      <c r="O6943" s="21" t="n">
        <v>0</v>
      </c>
      <c r="P6943" s="21" t="n">
        <v>0</v>
      </c>
      <c r="Q6943" s="21" t="n">
        <v>0</v>
      </c>
      <c r="R6943" s="21" t="n">
        <v>0</v>
      </c>
      <c r="S6943" s="21" t="n">
        <v>0</v>
      </c>
      <c r="T6943" s="21">
        <f>$B$5338</f>
        <v/>
      </c>
      <c r="U6943" s="21">
        <f>$B$5340</f>
        <v/>
      </c>
      <c r="V6943" s="21">
        <f>0</f>
        <v/>
      </c>
      <c r="W6943" s="21">
        <f>2*$B$5339</f>
        <v/>
      </c>
      <c r="X6943" s="21">
        <f>-$B$5338</f>
        <v/>
      </c>
      <c r="Y6943" s="21">
        <f>$B$5340</f>
        <v/>
      </c>
      <c r="Z6943" s="19" t="n"/>
    </row>
    <row r="6944">
      <c r="D6944" s="21" t="n">
        <v>0</v>
      </c>
      <c r="E6944" s="21" t="n">
        <v>0</v>
      </c>
      <c r="F6944" s="21" t="n">
        <v>0</v>
      </c>
      <c r="G6944" s="21" t="n">
        <v>0</v>
      </c>
      <c r="H6944" s="21" t="n">
        <v>0</v>
      </c>
      <c r="I6944" s="21" t="n">
        <v>0</v>
      </c>
      <c r="J6944" s="21" t="n">
        <v>0</v>
      </c>
      <c r="K6944" s="21" t="n">
        <v>0</v>
      </c>
      <c r="L6944" s="21" t="n">
        <v>0</v>
      </c>
      <c r="M6944" s="21" t="n">
        <v>0</v>
      </c>
      <c r="N6944" s="21" t="n">
        <v>0</v>
      </c>
      <c r="O6944" s="21" t="n">
        <v>0</v>
      </c>
      <c r="P6944" s="21" t="n">
        <v>0</v>
      </c>
      <c r="Q6944" s="21" t="n">
        <v>0</v>
      </c>
      <c r="R6944" s="21" t="n">
        <v>0</v>
      </c>
      <c r="S6944" s="21" t="n">
        <v>0</v>
      </c>
      <c r="T6944" s="21" t="n">
        <v>0</v>
      </c>
      <c r="U6944" s="21" t="n">
        <v>0</v>
      </c>
      <c r="V6944" s="21">
        <f>-$B$5337</f>
        <v/>
      </c>
      <c r="W6944" s="21">
        <f>-$B$5338</f>
        <v/>
      </c>
      <c r="X6944" s="21">
        <f>$B$5337+$D$6922</f>
        <v/>
      </c>
      <c r="Y6944" s="21">
        <f>-$B$5338</f>
        <v/>
      </c>
      <c r="Z6944" s="19" t="n"/>
    </row>
    <row r="6945">
      <c r="D6945" s="21" t="n">
        <v>0</v>
      </c>
      <c r="E6945" s="21" t="n">
        <v>0</v>
      </c>
      <c r="F6945" s="21" t="n">
        <v>0</v>
      </c>
      <c r="G6945" s="21" t="n">
        <v>0</v>
      </c>
      <c r="H6945" s="21" t="n">
        <v>0</v>
      </c>
      <c r="I6945" s="21" t="n">
        <v>0</v>
      </c>
      <c r="J6945" s="21" t="n">
        <v>0</v>
      </c>
      <c r="K6945" s="21" t="n">
        <v>0</v>
      </c>
      <c r="L6945" s="21" t="n">
        <v>0</v>
      </c>
      <c r="M6945" s="21" t="n">
        <v>0</v>
      </c>
      <c r="N6945" s="21" t="n">
        <v>0</v>
      </c>
      <c r="O6945" s="21" t="n">
        <v>0</v>
      </c>
      <c r="P6945" s="21" t="n">
        <v>0</v>
      </c>
      <c r="Q6945" s="21" t="n">
        <v>0</v>
      </c>
      <c r="R6945" s="21" t="n">
        <v>0</v>
      </c>
      <c r="S6945" s="21" t="n">
        <v>0</v>
      </c>
      <c r="T6945" s="21" t="n">
        <v>0</v>
      </c>
      <c r="U6945" s="21" t="n">
        <v>0</v>
      </c>
      <c r="V6945" s="21">
        <f>$B$5338</f>
        <v/>
      </c>
      <c r="W6945" s="21">
        <f>$B$5340</f>
        <v/>
      </c>
      <c r="X6945" s="21">
        <f>-$B$5338</f>
        <v/>
      </c>
      <c r="Y6945" s="21">
        <f>$B$5339</f>
        <v/>
      </c>
      <c r="Z6945" s="19" t="n"/>
    </row>
    <row r="6947">
      <c r="A6947" s="8" t="inlineStr">
        <is>
          <t>gen 44</t>
        </is>
      </c>
    </row>
    <row r="6948">
      <c r="D6948" s="19">
        <f>IF(ABS(IF(ABS($E$6912)&gt;0.000000001,$E$6912,0.000000001))=0,0,IF($E$5352&lt;=$B$5346,0,IF(ABS(IF(ABS($E$6912)&gt;0.000000001,$E$6912,0.000000001))&gt;=8*$B$5348,$H$5352,0.5*$H$5352*(ABS(IF(ABS($E$6912)&gt;0.000000001,$E$6912,0.000000001))/$B$5348)^(1/3)))/ABS(IF(ABS($E$6912)&gt;0.000000001,$E$6912,0.000000001))*$I$5352)</f>
        <v/>
      </c>
      <c r="E6948" s="19">
        <f>0.5*$E$6912+0.5*$Z$6960</f>
        <v/>
      </c>
      <c r="F6948" s="19">
        <f>$Z$6961</f>
        <v/>
      </c>
    </row>
    <row r="6949">
      <c r="D6949" s="19">
        <f>IF(ABS(IF(ABS($E$6913)&gt;0.000000001,$E$6913,0.000000001))=0,0,IF($E$5353&lt;=$B$5346,0,IF(ABS(IF(ABS($E$6913)&gt;0.000000001,$E$6913,0.000000001))&gt;=8*$B$5348,$H$5353,0.5*$H$5353*(ABS(IF(ABS($E$6913)&gt;0.000000001,$E$6913,0.000000001))/$B$5348)^(1/3)))/ABS(IF(ABS($E$6913)&gt;0.000000001,$E$6913,0.000000001))*$I$5353)</f>
        <v/>
      </c>
      <c r="E6949" s="19">
        <f>0.5*$E$6913+0.5*$Z$6962</f>
        <v/>
      </c>
      <c r="F6949" s="19">
        <f>$Z$6963</f>
        <v/>
      </c>
    </row>
    <row r="6950">
      <c r="D6950" s="19">
        <f>IF(ABS(IF(ABS($E$6914)&gt;0.000000001,$E$6914,0.000000001))=0,0,IF($E$5354&lt;=$B$5346,0,IF(ABS(IF(ABS($E$6914)&gt;0.000000001,$E$6914,0.000000001))&gt;=8*$B$5348,$H$5354,0.5*$H$5354*(ABS(IF(ABS($E$6914)&gt;0.000000001,$E$6914,0.000000001))/$B$5348)^(1/3)))/ABS(IF(ABS($E$6914)&gt;0.000000001,$E$6914,0.000000001))*$I$5354)</f>
        <v/>
      </c>
      <c r="E6950" s="19">
        <f>0.5*$E$6914+0.5*$Z$6964</f>
        <v/>
      </c>
      <c r="F6950" s="19">
        <f>$Z$6965</f>
        <v/>
      </c>
    </row>
    <row r="6951">
      <c r="D6951" s="19">
        <f>IF(ABS(IF(ABS($E$6915)&gt;0.000000001,$E$6915,0.000000001))=0,0,IF($E$5355&lt;=$B$5346,0,IF(ABS(IF(ABS($E$6915)&gt;0.000000001,$E$6915,0.000000001))&gt;=8*$B$5348,$H$5355,0.5*$H$5355*(ABS(IF(ABS($E$6915)&gt;0.000000001,$E$6915,0.000000001))/$B$5348)^(1/3)))/ABS(IF(ABS($E$6915)&gt;0.000000001,$E$6915,0.000000001))*$I$5355)</f>
        <v/>
      </c>
      <c r="E6951" s="19">
        <f>0.5*$E$6915+0.5*$Z$6966</f>
        <v/>
      </c>
      <c r="F6951" s="19">
        <f>$Z$6967</f>
        <v/>
      </c>
    </row>
    <row r="6952">
      <c r="D6952" s="19">
        <f>IF(ABS(IF(ABS($E$6916)&gt;0.000000001,$E$6916,0.000000001))=0,0,IF($E$5356&lt;=$B$5346,0,IF(ABS(IF(ABS($E$6916)&gt;0.000000001,$E$6916,0.000000001))&gt;=8*$B$5348,$H$5356,0.5*$H$5356*(ABS(IF(ABS($E$6916)&gt;0.000000001,$E$6916,0.000000001))/$B$5348)^(1/3)))/ABS(IF(ABS($E$6916)&gt;0.000000001,$E$6916,0.000000001))*$I$5356)</f>
        <v/>
      </c>
      <c r="E6952" s="19">
        <f>0.5*$E$6916+0.5*$Z$6968</f>
        <v/>
      </c>
      <c r="F6952" s="19">
        <f>$Z$6969</f>
        <v/>
      </c>
    </row>
    <row r="6953">
      <c r="D6953" s="19">
        <f>IF(ABS(IF(ABS($E$6917)&gt;0.000000001,$E$6917,0.000000001))=0,0,IF($E$5357&lt;=$B$5346,0,IF(ABS(IF(ABS($E$6917)&gt;0.000000001,$E$6917,0.000000001))&gt;=8*$B$5348,$H$5357,0.5*$H$5357*(ABS(IF(ABS($E$6917)&gt;0.000000001,$E$6917,0.000000001))/$B$5348)^(1/3)))/ABS(IF(ABS($E$6917)&gt;0.000000001,$E$6917,0.000000001))*$I$5357)</f>
        <v/>
      </c>
      <c r="E6953" s="19">
        <f>0.5*$E$6917+0.5*$Z$6970</f>
        <v/>
      </c>
      <c r="F6953" s="19">
        <f>$Z$6971</f>
        <v/>
      </c>
    </row>
    <row r="6954">
      <c r="D6954" s="19">
        <f>IF(ABS(IF(ABS($E$6918)&gt;0.000000001,$E$6918,0.000000001))=0,0,IF($E$5358&lt;=$B$5346,0,IF(ABS(IF(ABS($E$6918)&gt;0.000000001,$E$6918,0.000000001))&gt;=8*$B$5348,$H$5358,0.5*$H$5358*(ABS(IF(ABS($E$6918)&gt;0.000000001,$E$6918,0.000000001))/$B$5348)^(1/3)))/ABS(IF(ABS($E$6918)&gt;0.000000001,$E$6918,0.000000001))*$I$5358)</f>
        <v/>
      </c>
      <c r="E6954" s="19">
        <f>0.5*$E$6918+0.5*$Z$6972</f>
        <v/>
      </c>
      <c r="F6954" s="19">
        <f>$Z$6973</f>
        <v/>
      </c>
    </row>
    <row r="6955">
      <c r="D6955" s="19">
        <f>IF(ABS(IF(ABS($E$6919)&gt;0.000000001,$E$6919,0.000000001))=0,0,IF($E$5359&lt;=$B$5346,0,IF(ABS(IF(ABS($E$6919)&gt;0.000000001,$E$6919,0.000000001))&gt;=8*$B$5348,$H$5359,0.5*$H$5359*(ABS(IF(ABS($E$6919)&gt;0.000000001,$E$6919,0.000000001))/$B$5348)^(1/3)))/ABS(IF(ABS($E$6919)&gt;0.000000001,$E$6919,0.000000001))*$I$5359)</f>
        <v/>
      </c>
      <c r="E6955" s="19">
        <f>0.5*$E$6919+0.5*$Z$6974</f>
        <v/>
      </c>
      <c r="F6955" s="19">
        <f>$Z$6975</f>
        <v/>
      </c>
    </row>
    <row r="6956">
      <c r="D6956" s="19">
        <f>IF(ABS(IF(ABS($E$6920)&gt;0.000000001,$E$6920,0.000000001))=0,0,IF($E$5360&lt;=$B$5346,0,IF(ABS(IF(ABS($E$6920)&gt;0.000000001,$E$6920,0.000000001))&gt;=8*$B$5348,$H$5360,0.5*$H$5360*(ABS(IF(ABS($E$6920)&gt;0.000000001,$E$6920,0.000000001))/$B$5348)^(1/3)))/ABS(IF(ABS($E$6920)&gt;0.000000001,$E$6920,0.000000001))*$I$5360)</f>
        <v/>
      </c>
      <c r="E6956" s="19">
        <f>0.5*$E$6920+0.5*$Z$6976</f>
        <v/>
      </c>
      <c r="F6956" s="19">
        <f>$Z$6977</f>
        <v/>
      </c>
    </row>
    <row r="6957">
      <c r="D6957" s="19">
        <f>IF(ABS(IF(ABS($E$6921)&gt;0.000000001,$E$6921,0.000000001))=0,0,IF($E$5361&lt;=$B$5346,0,IF(ABS(IF(ABS($E$6921)&gt;0.000000001,$E$6921,0.000000001))&gt;=8*$B$5348,$H$5361,0.5*$H$5361*(ABS(IF(ABS($E$6921)&gt;0.000000001,$E$6921,0.000000001))/$B$5348)^(1/3)))/ABS(IF(ABS($E$6921)&gt;0.000000001,$E$6921,0.000000001))*$I$5361)</f>
        <v/>
      </c>
      <c r="E6957" s="19">
        <f>0.5*$E$6921+0.5*$Z$6978</f>
        <v/>
      </c>
      <c r="F6957" s="19">
        <f>$Z$6979</f>
        <v/>
      </c>
    </row>
    <row r="6958">
      <c r="D6958" s="19">
        <f>IF(ABS(IF(ABS($E$6922)&gt;0.000000001,$E$6922,0.000000001))=0,0,IF($E$5362&lt;=$B$5346,0,IF(ABS(IF(ABS($E$6922)&gt;0.000000001,$E$6922,0.000000001))&gt;=8*$B$5348,$H$5362,0.5*$H$5362*(ABS(IF(ABS($E$6922)&gt;0.000000001,$E$6922,0.000000001))/$B$5348)^(1/3)))/ABS(IF(ABS($E$6922)&gt;0.000000001,$E$6922,0.000000001))*$I$5362)</f>
        <v/>
      </c>
      <c r="E6958" s="19">
        <f>0.5*$E$6922+0.5*$Z$6980</f>
        <v/>
      </c>
      <c r="F6958" s="19">
        <f>$Z$6981</f>
        <v/>
      </c>
    </row>
    <row r="6960">
      <c r="D6960" s="21">
        <f>$B$5337+$D$6948</f>
        <v/>
      </c>
      <c r="E6960" s="21">
        <f>$B$5338</f>
        <v/>
      </c>
      <c r="F6960" s="21">
        <f>-$B$5337</f>
        <v/>
      </c>
      <c r="G6960" s="21">
        <f>$B$5338</f>
        <v/>
      </c>
      <c r="H6960" s="21" t="n">
        <v>0</v>
      </c>
      <c r="I6960" s="21" t="n">
        <v>0</v>
      </c>
      <c r="J6960" s="21" t="n">
        <v>0</v>
      </c>
      <c r="K6960" s="21" t="n">
        <v>0</v>
      </c>
      <c r="L6960" s="21" t="n">
        <v>0</v>
      </c>
      <c r="M6960" s="21" t="n">
        <v>0</v>
      </c>
      <c r="N6960" s="21" t="n">
        <v>0</v>
      </c>
      <c r="O6960" s="21" t="n">
        <v>0</v>
      </c>
      <c r="P6960" s="21" t="n">
        <v>0</v>
      </c>
      <c r="Q6960" s="21" t="n">
        <v>0</v>
      </c>
      <c r="R6960" s="21" t="n">
        <v>0</v>
      </c>
      <c r="S6960" s="21" t="n">
        <v>0</v>
      </c>
      <c r="T6960" s="21" t="n">
        <v>0</v>
      </c>
      <c r="U6960" s="21" t="n">
        <v>0</v>
      </c>
      <c r="V6960" s="21" t="n">
        <v>0</v>
      </c>
      <c r="W6960" s="21" t="n">
        <v>0</v>
      </c>
      <c r="X6960" s="21" t="n">
        <v>0</v>
      </c>
      <c r="Y6960" s="21" t="n">
        <v>0</v>
      </c>
      <c r="Z6960" s="19">
        <f t="array" ref="Z6960:Z6981">MMULT(MINVERSE($D$6960:$Y$6981),$D$5364:$D$5385)</f>
        <v/>
      </c>
    </row>
    <row r="6961">
      <c r="D6961" s="21">
        <f>$B$5338</f>
        <v/>
      </c>
      <c r="E6961" s="21">
        <f>$B$5339</f>
        <v/>
      </c>
      <c r="F6961" s="21">
        <f>-$B$5338</f>
        <v/>
      </c>
      <c r="G6961" s="21">
        <f>$B$5340</f>
        <v/>
      </c>
      <c r="H6961" s="21" t="n">
        <v>0</v>
      </c>
      <c r="I6961" s="21" t="n">
        <v>0</v>
      </c>
      <c r="J6961" s="21" t="n">
        <v>0</v>
      </c>
      <c r="K6961" s="21" t="n">
        <v>0</v>
      </c>
      <c r="L6961" s="21" t="n">
        <v>0</v>
      </c>
      <c r="M6961" s="21" t="n">
        <v>0</v>
      </c>
      <c r="N6961" s="21" t="n">
        <v>0</v>
      </c>
      <c r="O6961" s="21" t="n">
        <v>0</v>
      </c>
      <c r="P6961" s="21" t="n">
        <v>0</v>
      </c>
      <c r="Q6961" s="21" t="n">
        <v>0</v>
      </c>
      <c r="R6961" s="21" t="n">
        <v>0</v>
      </c>
      <c r="S6961" s="21" t="n">
        <v>0</v>
      </c>
      <c r="T6961" s="21" t="n">
        <v>0</v>
      </c>
      <c r="U6961" s="21" t="n">
        <v>0</v>
      </c>
      <c r="V6961" s="21" t="n">
        <v>0</v>
      </c>
      <c r="W6961" s="21" t="n">
        <v>0</v>
      </c>
      <c r="X6961" s="21" t="n">
        <v>0</v>
      </c>
      <c r="Y6961" s="21" t="n">
        <v>0</v>
      </c>
      <c r="Z6961" s="19" t="n"/>
    </row>
    <row r="6962">
      <c r="D6962" s="21">
        <f>-$B$5337</f>
        <v/>
      </c>
      <c r="E6962" s="21">
        <f>-$B$5338</f>
        <v/>
      </c>
      <c r="F6962" s="21">
        <f>2*$B$5337+$D$6949</f>
        <v/>
      </c>
      <c r="G6962" s="21">
        <f>0</f>
        <v/>
      </c>
      <c r="H6962" s="21">
        <f>-$B$5337</f>
        <v/>
      </c>
      <c r="I6962" s="21">
        <f>$B$5338</f>
        <v/>
      </c>
      <c r="J6962" s="21" t="n">
        <v>0</v>
      </c>
      <c r="K6962" s="21" t="n">
        <v>0</v>
      </c>
      <c r="L6962" s="21" t="n">
        <v>0</v>
      </c>
      <c r="M6962" s="21" t="n">
        <v>0</v>
      </c>
      <c r="N6962" s="21" t="n">
        <v>0</v>
      </c>
      <c r="O6962" s="21" t="n">
        <v>0</v>
      </c>
      <c r="P6962" s="21" t="n">
        <v>0</v>
      </c>
      <c r="Q6962" s="21" t="n">
        <v>0</v>
      </c>
      <c r="R6962" s="21" t="n">
        <v>0</v>
      </c>
      <c r="S6962" s="21" t="n">
        <v>0</v>
      </c>
      <c r="T6962" s="21" t="n">
        <v>0</v>
      </c>
      <c r="U6962" s="21" t="n">
        <v>0</v>
      </c>
      <c r="V6962" s="21" t="n">
        <v>0</v>
      </c>
      <c r="W6962" s="21" t="n">
        <v>0</v>
      </c>
      <c r="X6962" s="21" t="n">
        <v>0</v>
      </c>
      <c r="Y6962" s="21" t="n">
        <v>0</v>
      </c>
      <c r="Z6962" s="19" t="n"/>
    </row>
    <row r="6963">
      <c r="D6963" s="21">
        <f>$B$5338</f>
        <v/>
      </c>
      <c r="E6963" s="21">
        <f>$B$5340</f>
        <v/>
      </c>
      <c r="F6963" s="21">
        <f>0</f>
        <v/>
      </c>
      <c r="G6963" s="21">
        <f>2*$B$5339</f>
        <v/>
      </c>
      <c r="H6963" s="21">
        <f>-$B$5338</f>
        <v/>
      </c>
      <c r="I6963" s="21">
        <f>$B$5340</f>
        <v/>
      </c>
      <c r="J6963" s="21" t="n">
        <v>0</v>
      </c>
      <c r="K6963" s="21" t="n">
        <v>0</v>
      </c>
      <c r="L6963" s="21" t="n">
        <v>0</v>
      </c>
      <c r="M6963" s="21" t="n">
        <v>0</v>
      </c>
      <c r="N6963" s="21" t="n">
        <v>0</v>
      </c>
      <c r="O6963" s="21" t="n">
        <v>0</v>
      </c>
      <c r="P6963" s="21" t="n">
        <v>0</v>
      </c>
      <c r="Q6963" s="21" t="n">
        <v>0</v>
      </c>
      <c r="R6963" s="21" t="n">
        <v>0</v>
      </c>
      <c r="S6963" s="21" t="n">
        <v>0</v>
      </c>
      <c r="T6963" s="21" t="n">
        <v>0</v>
      </c>
      <c r="U6963" s="21" t="n">
        <v>0</v>
      </c>
      <c r="V6963" s="21" t="n">
        <v>0</v>
      </c>
      <c r="W6963" s="21" t="n">
        <v>0</v>
      </c>
      <c r="X6963" s="21" t="n">
        <v>0</v>
      </c>
      <c r="Y6963" s="21" t="n">
        <v>0</v>
      </c>
      <c r="Z6963" s="19" t="n"/>
    </row>
    <row r="6964">
      <c r="D6964" s="21" t="n">
        <v>0</v>
      </c>
      <c r="E6964" s="21" t="n">
        <v>0</v>
      </c>
      <c r="F6964" s="21">
        <f>-$B$5337</f>
        <v/>
      </c>
      <c r="G6964" s="21">
        <f>-$B$5338</f>
        <v/>
      </c>
      <c r="H6964" s="21">
        <f>2*$B$5337+$D$6950</f>
        <v/>
      </c>
      <c r="I6964" s="21">
        <f>0</f>
        <v/>
      </c>
      <c r="J6964" s="21">
        <f>-$B$5337</f>
        <v/>
      </c>
      <c r="K6964" s="21">
        <f>$B$5338</f>
        <v/>
      </c>
      <c r="L6964" s="21" t="n">
        <v>0</v>
      </c>
      <c r="M6964" s="21" t="n">
        <v>0</v>
      </c>
      <c r="N6964" s="21" t="n">
        <v>0</v>
      </c>
      <c r="O6964" s="21" t="n">
        <v>0</v>
      </c>
      <c r="P6964" s="21" t="n">
        <v>0</v>
      </c>
      <c r="Q6964" s="21" t="n">
        <v>0</v>
      </c>
      <c r="R6964" s="21" t="n">
        <v>0</v>
      </c>
      <c r="S6964" s="21" t="n">
        <v>0</v>
      </c>
      <c r="T6964" s="21" t="n">
        <v>0</v>
      </c>
      <c r="U6964" s="21" t="n">
        <v>0</v>
      </c>
      <c r="V6964" s="21" t="n">
        <v>0</v>
      </c>
      <c r="W6964" s="21" t="n">
        <v>0</v>
      </c>
      <c r="X6964" s="21" t="n">
        <v>0</v>
      </c>
      <c r="Y6964" s="21" t="n">
        <v>0</v>
      </c>
      <c r="Z6964" s="19" t="n"/>
    </row>
    <row r="6965">
      <c r="D6965" s="21" t="n">
        <v>0</v>
      </c>
      <c r="E6965" s="21" t="n">
        <v>0</v>
      </c>
      <c r="F6965" s="21">
        <f>$B$5338</f>
        <v/>
      </c>
      <c r="G6965" s="21">
        <f>$B$5340</f>
        <v/>
      </c>
      <c r="H6965" s="21">
        <f>0</f>
        <v/>
      </c>
      <c r="I6965" s="21">
        <f>2*$B$5339</f>
        <v/>
      </c>
      <c r="J6965" s="21">
        <f>-$B$5338</f>
        <v/>
      </c>
      <c r="K6965" s="21">
        <f>$B$5340</f>
        <v/>
      </c>
      <c r="L6965" s="21" t="n">
        <v>0</v>
      </c>
      <c r="M6965" s="21" t="n">
        <v>0</v>
      </c>
      <c r="N6965" s="21" t="n">
        <v>0</v>
      </c>
      <c r="O6965" s="21" t="n">
        <v>0</v>
      </c>
      <c r="P6965" s="21" t="n">
        <v>0</v>
      </c>
      <c r="Q6965" s="21" t="n">
        <v>0</v>
      </c>
      <c r="R6965" s="21" t="n">
        <v>0</v>
      </c>
      <c r="S6965" s="21" t="n">
        <v>0</v>
      </c>
      <c r="T6965" s="21" t="n">
        <v>0</v>
      </c>
      <c r="U6965" s="21" t="n">
        <v>0</v>
      </c>
      <c r="V6965" s="21" t="n">
        <v>0</v>
      </c>
      <c r="W6965" s="21" t="n">
        <v>0</v>
      </c>
      <c r="X6965" s="21" t="n">
        <v>0</v>
      </c>
      <c r="Y6965" s="21" t="n">
        <v>0</v>
      </c>
      <c r="Z6965" s="19" t="n"/>
    </row>
    <row r="6966">
      <c r="D6966" s="21" t="n">
        <v>0</v>
      </c>
      <c r="E6966" s="21" t="n">
        <v>0</v>
      </c>
      <c r="F6966" s="21" t="n">
        <v>0</v>
      </c>
      <c r="G6966" s="21" t="n">
        <v>0</v>
      </c>
      <c r="H6966" s="21">
        <f>-$B$5337</f>
        <v/>
      </c>
      <c r="I6966" s="21">
        <f>-$B$5338</f>
        <v/>
      </c>
      <c r="J6966" s="21">
        <f>2*$B$5337+$D$6951</f>
        <v/>
      </c>
      <c r="K6966" s="21">
        <f>0</f>
        <v/>
      </c>
      <c r="L6966" s="21">
        <f>-$B$5337</f>
        <v/>
      </c>
      <c r="M6966" s="21">
        <f>$B$5338</f>
        <v/>
      </c>
      <c r="N6966" s="21" t="n">
        <v>0</v>
      </c>
      <c r="O6966" s="21" t="n">
        <v>0</v>
      </c>
      <c r="P6966" s="21" t="n">
        <v>0</v>
      </c>
      <c r="Q6966" s="21" t="n">
        <v>0</v>
      </c>
      <c r="R6966" s="21" t="n">
        <v>0</v>
      </c>
      <c r="S6966" s="21" t="n">
        <v>0</v>
      </c>
      <c r="T6966" s="21" t="n">
        <v>0</v>
      </c>
      <c r="U6966" s="21" t="n">
        <v>0</v>
      </c>
      <c r="V6966" s="21" t="n">
        <v>0</v>
      </c>
      <c r="W6966" s="21" t="n">
        <v>0</v>
      </c>
      <c r="X6966" s="21" t="n">
        <v>0</v>
      </c>
      <c r="Y6966" s="21" t="n">
        <v>0</v>
      </c>
      <c r="Z6966" s="19" t="n"/>
    </row>
    <row r="6967">
      <c r="D6967" s="21" t="n">
        <v>0</v>
      </c>
      <c r="E6967" s="21" t="n">
        <v>0</v>
      </c>
      <c r="F6967" s="21" t="n">
        <v>0</v>
      </c>
      <c r="G6967" s="21" t="n">
        <v>0</v>
      </c>
      <c r="H6967" s="21">
        <f>$B$5338</f>
        <v/>
      </c>
      <c r="I6967" s="21">
        <f>$B$5340</f>
        <v/>
      </c>
      <c r="J6967" s="21">
        <f>0</f>
        <v/>
      </c>
      <c r="K6967" s="21">
        <f>2*$B$5339</f>
        <v/>
      </c>
      <c r="L6967" s="21">
        <f>-$B$5338</f>
        <v/>
      </c>
      <c r="M6967" s="21">
        <f>$B$5340</f>
        <v/>
      </c>
      <c r="N6967" s="21" t="n">
        <v>0</v>
      </c>
      <c r="O6967" s="21" t="n">
        <v>0</v>
      </c>
      <c r="P6967" s="21" t="n">
        <v>0</v>
      </c>
      <c r="Q6967" s="21" t="n">
        <v>0</v>
      </c>
      <c r="R6967" s="21" t="n">
        <v>0</v>
      </c>
      <c r="S6967" s="21" t="n">
        <v>0</v>
      </c>
      <c r="T6967" s="21" t="n">
        <v>0</v>
      </c>
      <c r="U6967" s="21" t="n">
        <v>0</v>
      </c>
      <c r="V6967" s="21" t="n">
        <v>0</v>
      </c>
      <c r="W6967" s="21" t="n">
        <v>0</v>
      </c>
      <c r="X6967" s="21" t="n">
        <v>0</v>
      </c>
      <c r="Y6967" s="21" t="n">
        <v>0</v>
      </c>
      <c r="Z6967" s="19" t="n"/>
    </row>
    <row r="6968">
      <c r="D6968" s="21" t="n">
        <v>0</v>
      </c>
      <c r="E6968" s="21" t="n">
        <v>0</v>
      </c>
      <c r="F6968" s="21" t="n">
        <v>0</v>
      </c>
      <c r="G6968" s="21" t="n">
        <v>0</v>
      </c>
      <c r="H6968" s="21" t="n">
        <v>0</v>
      </c>
      <c r="I6968" s="21" t="n">
        <v>0</v>
      </c>
      <c r="J6968" s="21">
        <f>-$B$5337</f>
        <v/>
      </c>
      <c r="K6968" s="21">
        <f>-$B$5338</f>
        <v/>
      </c>
      <c r="L6968" s="21">
        <f>2*$B$5337+$D$6952</f>
        <v/>
      </c>
      <c r="M6968" s="21">
        <f>0</f>
        <v/>
      </c>
      <c r="N6968" s="21">
        <f>-$B$5337</f>
        <v/>
      </c>
      <c r="O6968" s="21">
        <f>$B$5338</f>
        <v/>
      </c>
      <c r="P6968" s="21" t="n">
        <v>0</v>
      </c>
      <c r="Q6968" s="21" t="n">
        <v>0</v>
      </c>
      <c r="R6968" s="21" t="n">
        <v>0</v>
      </c>
      <c r="S6968" s="21" t="n">
        <v>0</v>
      </c>
      <c r="T6968" s="21" t="n">
        <v>0</v>
      </c>
      <c r="U6968" s="21" t="n">
        <v>0</v>
      </c>
      <c r="V6968" s="21" t="n">
        <v>0</v>
      </c>
      <c r="W6968" s="21" t="n">
        <v>0</v>
      </c>
      <c r="X6968" s="21" t="n">
        <v>0</v>
      </c>
      <c r="Y6968" s="21" t="n">
        <v>0</v>
      </c>
      <c r="Z6968" s="19" t="n"/>
    </row>
    <row r="6969">
      <c r="D6969" s="21" t="n">
        <v>0</v>
      </c>
      <c r="E6969" s="21" t="n">
        <v>0</v>
      </c>
      <c r="F6969" s="21" t="n">
        <v>0</v>
      </c>
      <c r="G6969" s="21" t="n">
        <v>0</v>
      </c>
      <c r="H6969" s="21" t="n">
        <v>0</v>
      </c>
      <c r="I6969" s="21" t="n">
        <v>0</v>
      </c>
      <c r="J6969" s="21">
        <f>$B$5338</f>
        <v/>
      </c>
      <c r="K6969" s="21">
        <f>$B$5340</f>
        <v/>
      </c>
      <c r="L6969" s="21">
        <f>0</f>
        <v/>
      </c>
      <c r="M6969" s="21">
        <f>2*$B$5339</f>
        <v/>
      </c>
      <c r="N6969" s="21">
        <f>-$B$5338</f>
        <v/>
      </c>
      <c r="O6969" s="21">
        <f>$B$5340</f>
        <v/>
      </c>
      <c r="P6969" s="21" t="n">
        <v>0</v>
      </c>
      <c r="Q6969" s="21" t="n">
        <v>0</v>
      </c>
      <c r="R6969" s="21" t="n">
        <v>0</v>
      </c>
      <c r="S6969" s="21" t="n">
        <v>0</v>
      </c>
      <c r="T6969" s="21" t="n">
        <v>0</v>
      </c>
      <c r="U6969" s="21" t="n">
        <v>0</v>
      </c>
      <c r="V6969" s="21" t="n">
        <v>0</v>
      </c>
      <c r="W6969" s="21" t="n">
        <v>0</v>
      </c>
      <c r="X6969" s="21" t="n">
        <v>0</v>
      </c>
      <c r="Y6969" s="21" t="n">
        <v>0</v>
      </c>
      <c r="Z6969" s="19" t="n"/>
    </row>
    <row r="6970">
      <c r="D6970" s="21" t="n">
        <v>0</v>
      </c>
      <c r="E6970" s="21" t="n">
        <v>0</v>
      </c>
      <c r="F6970" s="21" t="n">
        <v>0</v>
      </c>
      <c r="G6970" s="21" t="n">
        <v>0</v>
      </c>
      <c r="H6970" s="21" t="n">
        <v>0</v>
      </c>
      <c r="I6970" s="21" t="n">
        <v>0</v>
      </c>
      <c r="J6970" s="21" t="n">
        <v>0</v>
      </c>
      <c r="K6970" s="21" t="n">
        <v>0</v>
      </c>
      <c r="L6970" s="21">
        <f>-$B$5337</f>
        <v/>
      </c>
      <c r="M6970" s="21">
        <f>-$B$5338</f>
        <v/>
      </c>
      <c r="N6970" s="21">
        <f>2*$B$5337+$D$6953</f>
        <v/>
      </c>
      <c r="O6970" s="21">
        <f>0</f>
        <v/>
      </c>
      <c r="P6970" s="21">
        <f>-$B$5337</f>
        <v/>
      </c>
      <c r="Q6970" s="21">
        <f>$B$5338</f>
        <v/>
      </c>
      <c r="R6970" s="21" t="n">
        <v>0</v>
      </c>
      <c r="S6970" s="21" t="n">
        <v>0</v>
      </c>
      <c r="T6970" s="21" t="n">
        <v>0</v>
      </c>
      <c r="U6970" s="21" t="n">
        <v>0</v>
      </c>
      <c r="V6970" s="21" t="n">
        <v>0</v>
      </c>
      <c r="W6970" s="21" t="n">
        <v>0</v>
      </c>
      <c r="X6970" s="21" t="n">
        <v>0</v>
      </c>
      <c r="Y6970" s="21" t="n">
        <v>0</v>
      </c>
      <c r="Z6970" s="19" t="n"/>
    </row>
    <row r="6971">
      <c r="D6971" s="21" t="n">
        <v>0</v>
      </c>
      <c r="E6971" s="21" t="n">
        <v>0</v>
      </c>
      <c r="F6971" s="21" t="n">
        <v>0</v>
      </c>
      <c r="G6971" s="21" t="n">
        <v>0</v>
      </c>
      <c r="H6971" s="21" t="n">
        <v>0</v>
      </c>
      <c r="I6971" s="21" t="n">
        <v>0</v>
      </c>
      <c r="J6971" s="21" t="n">
        <v>0</v>
      </c>
      <c r="K6971" s="21" t="n">
        <v>0</v>
      </c>
      <c r="L6971" s="21">
        <f>$B$5338</f>
        <v/>
      </c>
      <c r="M6971" s="21">
        <f>$B$5340</f>
        <v/>
      </c>
      <c r="N6971" s="21">
        <f>0</f>
        <v/>
      </c>
      <c r="O6971" s="21">
        <f>2*$B$5339</f>
        <v/>
      </c>
      <c r="P6971" s="21">
        <f>-$B$5338</f>
        <v/>
      </c>
      <c r="Q6971" s="21">
        <f>$B$5340</f>
        <v/>
      </c>
      <c r="R6971" s="21" t="n">
        <v>0</v>
      </c>
      <c r="S6971" s="21" t="n">
        <v>0</v>
      </c>
      <c r="T6971" s="21" t="n">
        <v>0</v>
      </c>
      <c r="U6971" s="21" t="n">
        <v>0</v>
      </c>
      <c r="V6971" s="21" t="n">
        <v>0</v>
      </c>
      <c r="W6971" s="21" t="n">
        <v>0</v>
      </c>
      <c r="X6971" s="21" t="n">
        <v>0</v>
      </c>
      <c r="Y6971" s="21" t="n">
        <v>0</v>
      </c>
      <c r="Z6971" s="19" t="n"/>
    </row>
    <row r="6972">
      <c r="D6972" s="21" t="n">
        <v>0</v>
      </c>
      <c r="E6972" s="21" t="n">
        <v>0</v>
      </c>
      <c r="F6972" s="21" t="n">
        <v>0</v>
      </c>
      <c r="G6972" s="21" t="n">
        <v>0</v>
      </c>
      <c r="H6972" s="21" t="n">
        <v>0</v>
      </c>
      <c r="I6972" s="21" t="n">
        <v>0</v>
      </c>
      <c r="J6972" s="21" t="n">
        <v>0</v>
      </c>
      <c r="K6972" s="21" t="n">
        <v>0</v>
      </c>
      <c r="L6972" s="21" t="n">
        <v>0</v>
      </c>
      <c r="M6972" s="21" t="n">
        <v>0</v>
      </c>
      <c r="N6972" s="21">
        <f>-$B$5337</f>
        <v/>
      </c>
      <c r="O6972" s="21">
        <f>-$B$5338</f>
        <v/>
      </c>
      <c r="P6972" s="21">
        <f>2*$B$5337+$D$6954</f>
        <v/>
      </c>
      <c r="Q6972" s="21">
        <f>0</f>
        <v/>
      </c>
      <c r="R6972" s="21">
        <f>-$B$5337</f>
        <v/>
      </c>
      <c r="S6972" s="21">
        <f>$B$5338</f>
        <v/>
      </c>
      <c r="T6972" s="21" t="n">
        <v>0</v>
      </c>
      <c r="U6972" s="21" t="n">
        <v>0</v>
      </c>
      <c r="V6972" s="21" t="n">
        <v>0</v>
      </c>
      <c r="W6972" s="21" t="n">
        <v>0</v>
      </c>
      <c r="X6972" s="21" t="n">
        <v>0</v>
      </c>
      <c r="Y6972" s="21" t="n">
        <v>0</v>
      </c>
      <c r="Z6972" s="19" t="n"/>
    </row>
    <row r="6973">
      <c r="D6973" s="21" t="n">
        <v>0</v>
      </c>
      <c r="E6973" s="21" t="n">
        <v>0</v>
      </c>
      <c r="F6973" s="21" t="n">
        <v>0</v>
      </c>
      <c r="G6973" s="21" t="n">
        <v>0</v>
      </c>
      <c r="H6973" s="21" t="n">
        <v>0</v>
      </c>
      <c r="I6973" s="21" t="n">
        <v>0</v>
      </c>
      <c r="J6973" s="21" t="n">
        <v>0</v>
      </c>
      <c r="K6973" s="21" t="n">
        <v>0</v>
      </c>
      <c r="L6973" s="21" t="n">
        <v>0</v>
      </c>
      <c r="M6973" s="21" t="n">
        <v>0</v>
      </c>
      <c r="N6973" s="21">
        <f>$B$5338</f>
        <v/>
      </c>
      <c r="O6973" s="21">
        <f>$B$5340</f>
        <v/>
      </c>
      <c r="P6973" s="21">
        <f>0</f>
        <v/>
      </c>
      <c r="Q6973" s="21">
        <f>2*$B$5339</f>
        <v/>
      </c>
      <c r="R6973" s="21">
        <f>-$B$5338</f>
        <v/>
      </c>
      <c r="S6973" s="21">
        <f>$B$5340</f>
        <v/>
      </c>
      <c r="T6973" s="21" t="n">
        <v>0</v>
      </c>
      <c r="U6973" s="21" t="n">
        <v>0</v>
      </c>
      <c r="V6973" s="21" t="n">
        <v>0</v>
      </c>
      <c r="W6973" s="21" t="n">
        <v>0</v>
      </c>
      <c r="X6973" s="21" t="n">
        <v>0</v>
      </c>
      <c r="Y6973" s="21" t="n">
        <v>0</v>
      </c>
      <c r="Z6973" s="19" t="n"/>
    </row>
    <row r="6974">
      <c r="D6974" s="21" t="n">
        <v>0</v>
      </c>
      <c r="E6974" s="21" t="n">
        <v>0</v>
      </c>
      <c r="F6974" s="21" t="n">
        <v>0</v>
      </c>
      <c r="G6974" s="21" t="n">
        <v>0</v>
      </c>
      <c r="H6974" s="21" t="n">
        <v>0</v>
      </c>
      <c r="I6974" s="21" t="n">
        <v>0</v>
      </c>
      <c r="J6974" s="21" t="n">
        <v>0</v>
      </c>
      <c r="K6974" s="21" t="n">
        <v>0</v>
      </c>
      <c r="L6974" s="21" t="n">
        <v>0</v>
      </c>
      <c r="M6974" s="21" t="n">
        <v>0</v>
      </c>
      <c r="N6974" s="21" t="n">
        <v>0</v>
      </c>
      <c r="O6974" s="21" t="n">
        <v>0</v>
      </c>
      <c r="P6974" s="21">
        <f>-$B$5337</f>
        <v/>
      </c>
      <c r="Q6974" s="21">
        <f>-$B$5338</f>
        <v/>
      </c>
      <c r="R6974" s="21">
        <f>2*$B$5337+$D$6955</f>
        <v/>
      </c>
      <c r="S6974" s="21">
        <f>0</f>
        <v/>
      </c>
      <c r="T6974" s="21">
        <f>-$B$5337</f>
        <v/>
      </c>
      <c r="U6974" s="21">
        <f>$B$5338</f>
        <v/>
      </c>
      <c r="V6974" s="21" t="n">
        <v>0</v>
      </c>
      <c r="W6974" s="21" t="n">
        <v>0</v>
      </c>
      <c r="X6974" s="21" t="n">
        <v>0</v>
      </c>
      <c r="Y6974" s="21" t="n">
        <v>0</v>
      </c>
      <c r="Z6974" s="19" t="n"/>
    </row>
    <row r="6975">
      <c r="D6975" s="21" t="n">
        <v>0</v>
      </c>
      <c r="E6975" s="21" t="n">
        <v>0</v>
      </c>
      <c r="F6975" s="21" t="n">
        <v>0</v>
      </c>
      <c r="G6975" s="21" t="n">
        <v>0</v>
      </c>
      <c r="H6975" s="21" t="n">
        <v>0</v>
      </c>
      <c r="I6975" s="21" t="n">
        <v>0</v>
      </c>
      <c r="J6975" s="21" t="n">
        <v>0</v>
      </c>
      <c r="K6975" s="21" t="n">
        <v>0</v>
      </c>
      <c r="L6975" s="21" t="n">
        <v>0</v>
      </c>
      <c r="M6975" s="21" t="n">
        <v>0</v>
      </c>
      <c r="N6975" s="21" t="n">
        <v>0</v>
      </c>
      <c r="O6975" s="21" t="n">
        <v>0</v>
      </c>
      <c r="P6975" s="21">
        <f>$B$5338</f>
        <v/>
      </c>
      <c r="Q6975" s="21">
        <f>$B$5340</f>
        <v/>
      </c>
      <c r="R6975" s="21">
        <f>0</f>
        <v/>
      </c>
      <c r="S6975" s="21">
        <f>2*$B$5339</f>
        <v/>
      </c>
      <c r="T6975" s="21">
        <f>-$B$5338</f>
        <v/>
      </c>
      <c r="U6975" s="21">
        <f>$B$5340</f>
        <v/>
      </c>
      <c r="V6975" s="21" t="n">
        <v>0</v>
      </c>
      <c r="W6975" s="21" t="n">
        <v>0</v>
      </c>
      <c r="X6975" s="21" t="n">
        <v>0</v>
      </c>
      <c r="Y6975" s="21" t="n">
        <v>0</v>
      </c>
      <c r="Z6975" s="19" t="n"/>
    </row>
    <row r="6976">
      <c r="D6976" s="21" t="n">
        <v>0</v>
      </c>
      <c r="E6976" s="21" t="n">
        <v>0</v>
      </c>
      <c r="F6976" s="21" t="n">
        <v>0</v>
      </c>
      <c r="G6976" s="21" t="n">
        <v>0</v>
      </c>
      <c r="H6976" s="21" t="n">
        <v>0</v>
      </c>
      <c r="I6976" s="21" t="n">
        <v>0</v>
      </c>
      <c r="J6976" s="21" t="n">
        <v>0</v>
      </c>
      <c r="K6976" s="21" t="n">
        <v>0</v>
      </c>
      <c r="L6976" s="21" t="n">
        <v>0</v>
      </c>
      <c r="M6976" s="21" t="n">
        <v>0</v>
      </c>
      <c r="N6976" s="21" t="n">
        <v>0</v>
      </c>
      <c r="O6976" s="21" t="n">
        <v>0</v>
      </c>
      <c r="P6976" s="21" t="n">
        <v>0</v>
      </c>
      <c r="Q6976" s="21" t="n">
        <v>0</v>
      </c>
      <c r="R6976" s="21">
        <f>-$B$5337</f>
        <v/>
      </c>
      <c r="S6976" s="21">
        <f>-$B$5338</f>
        <v/>
      </c>
      <c r="T6976" s="21">
        <f>2*$B$5337+$D$6956</f>
        <v/>
      </c>
      <c r="U6976" s="21">
        <f>0</f>
        <v/>
      </c>
      <c r="V6976" s="21">
        <f>-$B$5337</f>
        <v/>
      </c>
      <c r="W6976" s="21">
        <f>$B$5338</f>
        <v/>
      </c>
      <c r="X6976" s="21" t="n">
        <v>0</v>
      </c>
      <c r="Y6976" s="21" t="n">
        <v>0</v>
      </c>
      <c r="Z6976" s="19" t="n"/>
    </row>
    <row r="6977">
      <c r="D6977" s="21" t="n">
        <v>0</v>
      </c>
      <c r="E6977" s="21" t="n">
        <v>0</v>
      </c>
      <c r="F6977" s="21" t="n">
        <v>0</v>
      </c>
      <c r="G6977" s="21" t="n">
        <v>0</v>
      </c>
      <c r="H6977" s="21" t="n">
        <v>0</v>
      </c>
      <c r="I6977" s="21" t="n">
        <v>0</v>
      </c>
      <c r="J6977" s="21" t="n">
        <v>0</v>
      </c>
      <c r="K6977" s="21" t="n">
        <v>0</v>
      </c>
      <c r="L6977" s="21" t="n">
        <v>0</v>
      </c>
      <c r="M6977" s="21" t="n">
        <v>0</v>
      </c>
      <c r="N6977" s="21" t="n">
        <v>0</v>
      </c>
      <c r="O6977" s="21" t="n">
        <v>0</v>
      </c>
      <c r="P6977" s="21" t="n">
        <v>0</v>
      </c>
      <c r="Q6977" s="21" t="n">
        <v>0</v>
      </c>
      <c r="R6977" s="21">
        <f>$B$5338</f>
        <v/>
      </c>
      <c r="S6977" s="21">
        <f>$B$5340</f>
        <v/>
      </c>
      <c r="T6977" s="21">
        <f>0</f>
        <v/>
      </c>
      <c r="U6977" s="21">
        <f>2*$B$5339</f>
        <v/>
      </c>
      <c r="V6977" s="21">
        <f>-$B$5338</f>
        <v/>
      </c>
      <c r="W6977" s="21">
        <f>$B$5340</f>
        <v/>
      </c>
      <c r="X6977" s="21" t="n">
        <v>0</v>
      </c>
      <c r="Y6977" s="21" t="n">
        <v>0</v>
      </c>
      <c r="Z6977" s="19" t="n"/>
    </row>
    <row r="6978">
      <c r="D6978" s="21" t="n">
        <v>0</v>
      </c>
      <c r="E6978" s="21" t="n">
        <v>0</v>
      </c>
      <c r="F6978" s="21" t="n">
        <v>0</v>
      </c>
      <c r="G6978" s="21" t="n">
        <v>0</v>
      </c>
      <c r="H6978" s="21" t="n">
        <v>0</v>
      </c>
      <c r="I6978" s="21" t="n">
        <v>0</v>
      </c>
      <c r="J6978" s="21" t="n">
        <v>0</v>
      </c>
      <c r="K6978" s="21" t="n">
        <v>0</v>
      </c>
      <c r="L6978" s="21" t="n">
        <v>0</v>
      </c>
      <c r="M6978" s="21" t="n">
        <v>0</v>
      </c>
      <c r="N6978" s="21" t="n">
        <v>0</v>
      </c>
      <c r="O6978" s="21" t="n">
        <v>0</v>
      </c>
      <c r="P6978" s="21" t="n">
        <v>0</v>
      </c>
      <c r="Q6978" s="21" t="n">
        <v>0</v>
      </c>
      <c r="R6978" s="21" t="n">
        <v>0</v>
      </c>
      <c r="S6978" s="21" t="n">
        <v>0</v>
      </c>
      <c r="T6978" s="21">
        <f>-$B$5337</f>
        <v/>
      </c>
      <c r="U6978" s="21">
        <f>-$B$5338</f>
        <v/>
      </c>
      <c r="V6978" s="21">
        <f>2*$B$5337+$D$6957</f>
        <v/>
      </c>
      <c r="W6978" s="21">
        <f>0</f>
        <v/>
      </c>
      <c r="X6978" s="21">
        <f>-$B$5337</f>
        <v/>
      </c>
      <c r="Y6978" s="21">
        <f>$B$5338</f>
        <v/>
      </c>
      <c r="Z6978" s="19" t="n"/>
    </row>
    <row r="6979">
      <c r="D6979" s="21" t="n">
        <v>0</v>
      </c>
      <c r="E6979" s="21" t="n">
        <v>0</v>
      </c>
      <c r="F6979" s="21" t="n">
        <v>0</v>
      </c>
      <c r="G6979" s="21" t="n">
        <v>0</v>
      </c>
      <c r="H6979" s="21" t="n">
        <v>0</v>
      </c>
      <c r="I6979" s="21" t="n">
        <v>0</v>
      </c>
      <c r="J6979" s="21" t="n">
        <v>0</v>
      </c>
      <c r="K6979" s="21" t="n">
        <v>0</v>
      </c>
      <c r="L6979" s="21" t="n">
        <v>0</v>
      </c>
      <c r="M6979" s="21" t="n">
        <v>0</v>
      </c>
      <c r="N6979" s="21" t="n">
        <v>0</v>
      </c>
      <c r="O6979" s="21" t="n">
        <v>0</v>
      </c>
      <c r="P6979" s="21" t="n">
        <v>0</v>
      </c>
      <c r="Q6979" s="21" t="n">
        <v>0</v>
      </c>
      <c r="R6979" s="21" t="n">
        <v>0</v>
      </c>
      <c r="S6979" s="21" t="n">
        <v>0</v>
      </c>
      <c r="T6979" s="21">
        <f>$B$5338</f>
        <v/>
      </c>
      <c r="U6979" s="21">
        <f>$B$5340</f>
        <v/>
      </c>
      <c r="V6979" s="21">
        <f>0</f>
        <v/>
      </c>
      <c r="W6979" s="21">
        <f>2*$B$5339</f>
        <v/>
      </c>
      <c r="X6979" s="21">
        <f>-$B$5338</f>
        <v/>
      </c>
      <c r="Y6979" s="21">
        <f>$B$5340</f>
        <v/>
      </c>
      <c r="Z6979" s="19" t="n"/>
    </row>
    <row r="6980">
      <c r="D6980" s="21" t="n">
        <v>0</v>
      </c>
      <c r="E6980" s="21" t="n">
        <v>0</v>
      </c>
      <c r="F6980" s="21" t="n">
        <v>0</v>
      </c>
      <c r="G6980" s="21" t="n">
        <v>0</v>
      </c>
      <c r="H6980" s="21" t="n">
        <v>0</v>
      </c>
      <c r="I6980" s="21" t="n">
        <v>0</v>
      </c>
      <c r="J6980" s="21" t="n">
        <v>0</v>
      </c>
      <c r="K6980" s="21" t="n">
        <v>0</v>
      </c>
      <c r="L6980" s="21" t="n">
        <v>0</v>
      </c>
      <c r="M6980" s="21" t="n">
        <v>0</v>
      </c>
      <c r="N6980" s="21" t="n">
        <v>0</v>
      </c>
      <c r="O6980" s="21" t="n">
        <v>0</v>
      </c>
      <c r="P6980" s="21" t="n">
        <v>0</v>
      </c>
      <c r="Q6980" s="21" t="n">
        <v>0</v>
      </c>
      <c r="R6980" s="21" t="n">
        <v>0</v>
      </c>
      <c r="S6980" s="21" t="n">
        <v>0</v>
      </c>
      <c r="T6980" s="21" t="n">
        <v>0</v>
      </c>
      <c r="U6980" s="21" t="n">
        <v>0</v>
      </c>
      <c r="V6980" s="21">
        <f>-$B$5337</f>
        <v/>
      </c>
      <c r="W6980" s="21">
        <f>-$B$5338</f>
        <v/>
      </c>
      <c r="X6980" s="21">
        <f>$B$5337+$D$6958</f>
        <v/>
      </c>
      <c r="Y6980" s="21">
        <f>-$B$5338</f>
        <v/>
      </c>
      <c r="Z6980" s="19" t="n"/>
    </row>
    <row r="6981">
      <c r="D6981" s="21" t="n">
        <v>0</v>
      </c>
      <c r="E6981" s="21" t="n">
        <v>0</v>
      </c>
      <c r="F6981" s="21" t="n">
        <v>0</v>
      </c>
      <c r="G6981" s="21" t="n">
        <v>0</v>
      </c>
      <c r="H6981" s="21" t="n">
        <v>0</v>
      </c>
      <c r="I6981" s="21" t="n">
        <v>0</v>
      </c>
      <c r="J6981" s="21" t="n">
        <v>0</v>
      </c>
      <c r="K6981" s="21" t="n">
        <v>0</v>
      </c>
      <c r="L6981" s="21" t="n">
        <v>0</v>
      </c>
      <c r="M6981" s="21" t="n">
        <v>0</v>
      </c>
      <c r="N6981" s="21" t="n">
        <v>0</v>
      </c>
      <c r="O6981" s="21" t="n">
        <v>0</v>
      </c>
      <c r="P6981" s="21" t="n">
        <v>0</v>
      </c>
      <c r="Q6981" s="21" t="n">
        <v>0</v>
      </c>
      <c r="R6981" s="21" t="n">
        <v>0</v>
      </c>
      <c r="S6981" s="21" t="n">
        <v>0</v>
      </c>
      <c r="T6981" s="21" t="n">
        <v>0</v>
      </c>
      <c r="U6981" s="21" t="n">
        <v>0</v>
      </c>
      <c r="V6981" s="21">
        <f>$B$5338</f>
        <v/>
      </c>
      <c r="W6981" s="21">
        <f>$B$5340</f>
        <v/>
      </c>
      <c r="X6981" s="21">
        <f>-$B$5338</f>
        <v/>
      </c>
      <c r="Y6981" s="21">
        <f>$B$5339</f>
        <v/>
      </c>
      <c r="Z6981" s="19" t="n"/>
    </row>
    <row r="6983">
      <c r="A6983" s="8" t="inlineStr">
        <is>
          <t>gen 45</t>
        </is>
      </c>
    </row>
    <row r="6984">
      <c r="D6984" s="19">
        <f>IF(ABS(IF(ABS($E$6948)&gt;0.000000001,$E$6948,0.000000001))=0,0,IF($E$5352&lt;=$B$5346,0,IF(ABS(IF(ABS($E$6948)&gt;0.000000001,$E$6948,0.000000001))&gt;=8*$B$5348,$H$5352,0.5*$H$5352*(ABS(IF(ABS($E$6948)&gt;0.000000001,$E$6948,0.000000001))/$B$5348)^(1/3)))/ABS(IF(ABS($E$6948)&gt;0.000000001,$E$6948,0.000000001))*$I$5352)</f>
        <v/>
      </c>
      <c r="E6984" s="19">
        <f>0.5*$E$6948+0.5*$Z$6996</f>
        <v/>
      </c>
      <c r="F6984" s="19">
        <f>$Z$6997</f>
        <v/>
      </c>
    </row>
    <row r="6985">
      <c r="D6985" s="19">
        <f>IF(ABS(IF(ABS($E$6949)&gt;0.000000001,$E$6949,0.000000001))=0,0,IF($E$5353&lt;=$B$5346,0,IF(ABS(IF(ABS($E$6949)&gt;0.000000001,$E$6949,0.000000001))&gt;=8*$B$5348,$H$5353,0.5*$H$5353*(ABS(IF(ABS($E$6949)&gt;0.000000001,$E$6949,0.000000001))/$B$5348)^(1/3)))/ABS(IF(ABS($E$6949)&gt;0.000000001,$E$6949,0.000000001))*$I$5353)</f>
        <v/>
      </c>
      <c r="E6985" s="19">
        <f>0.5*$E$6949+0.5*$Z$6998</f>
        <v/>
      </c>
      <c r="F6985" s="19">
        <f>$Z$6999</f>
        <v/>
      </c>
    </row>
    <row r="6986">
      <c r="D6986" s="19">
        <f>IF(ABS(IF(ABS($E$6950)&gt;0.000000001,$E$6950,0.000000001))=0,0,IF($E$5354&lt;=$B$5346,0,IF(ABS(IF(ABS($E$6950)&gt;0.000000001,$E$6950,0.000000001))&gt;=8*$B$5348,$H$5354,0.5*$H$5354*(ABS(IF(ABS($E$6950)&gt;0.000000001,$E$6950,0.000000001))/$B$5348)^(1/3)))/ABS(IF(ABS($E$6950)&gt;0.000000001,$E$6950,0.000000001))*$I$5354)</f>
        <v/>
      </c>
      <c r="E6986" s="19">
        <f>0.5*$E$6950+0.5*$Z$7000</f>
        <v/>
      </c>
      <c r="F6986" s="19">
        <f>$Z$7001</f>
        <v/>
      </c>
    </row>
    <row r="6987">
      <c r="D6987" s="19">
        <f>IF(ABS(IF(ABS($E$6951)&gt;0.000000001,$E$6951,0.000000001))=0,0,IF($E$5355&lt;=$B$5346,0,IF(ABS(IF(ABS($E$6951)&gt;0.000000001,$E$6951,0.000000001))&gt;=8*$B$5348,$H$5355,0.5*$H$5355*(ABS(IF(ABS($E$6951)&gt;0.000000001,$E$6951,0.000000001))/$B$5348)^(1/3)))/ABS(IF(ABS($E$6951)&gt;0.000000001,$E$6951,0.000000001))*$I$5355)</f>
        <v/>
      </c>
      <c r="E6987" s="19">
        <f>0.5*$E$6951+0.5*$Z$7002</f>
        <v/>
      </c>
      <c r="F6987" s="19">
        <f>$Z$7003</f>
        <v/>
      </c>
    </row>
    <row r="6988">
      <c r="D6988" s="19">
        <f>IF(ABS(IF(ABS($E$6952)&gt;0.000000001,$E$6952,0.000000001))=0,0,IF($E$5356&lt;=$B$5346,0,IF(ABS(IF(ABS($E$6952)&gt;0.000000001,$E$6952,0.000000001))&gt;=8*$B$5348,$H$5356,0.5*$H$5356*(ABS(IF(ABS($E$6952)&gt;0.000000001,$E$6952,0.000000001))/$B$5348)^(1/3)))/ABS(IF(ABS($E$6952)&gt;0.000000001,$E$6952,0.000000001))*$I$5356)</f>
        <v/>
      </c>
      <c r="E6988" s="19">
        <f>0.5*$E$6952+0.5*$Z$7004</f>
        <v/>
      </c>
      <c r="F6988" s="19">
        <f>$Z$7005</f>
        <v/>
      </c>
    </row>
    <row r="6989">
      <c r="D6989" s="19">
        <f>IF(ABS(IF(ABS($E$6953)&gt;0.000000001,$E$6953,0.000000001))=0,0,IF($E$5357&lt;=$B$5346,0,IF(ABS(IF(ABS($E$6953)&gt;0.000000001,$E$6953,0.000000001))&gt;=8*$B$5348,$H$5357,0.5*$H$5357*(ABS(IF(ABS($E$6953)&gt;0.000000001,$E$6953,0.000000001))/$B$5348)^(1/3)))/ABS(IF(ABS($E$6953)&gt;0.000000001,$E$6953,0.000000001))*$I$5357)</f>
        <v/>
      </c>
      <c r="E6989" s="19">
        <f>0.5*$E$6953+0.5*$Z$7006</f>
        <v/>
      </c>
      <c r="F6989" s="19">
        <f>$Z$7007</f>
        <v/>
      </c>
    </row>
    <row r="6990">
      <c r="D6990" s="19">
        <f>IF(ABS(IF(ABS($E$6954)&gt;0.000000001,$E$6954,0.000000001))=0,0,IF($E$5358&lt;=$B$5346,0,IF(ABS(IF(ABS($E$6954)&gt;0.000000001,$E$6954,0.000000001))&gt;=8*$B$5348,$H$5358,0.5*$H$5358*(ABS(IF(ABS($E$6954)&gt;0.000000001,$E$6954,0.000000001))/$B$5348)^(1/3)))/ABS(IF(ABS($E$6954)&gt;0.000000001,$E$6954,0.000000001))*$I$5358)</f>
        <v/>
      </c>
      <c r="E6990" s="19">
        <f>0.5*$E$6954+0.5*$Z$7008</f>
        <v/>
      </c>
      <c r="F6990" s="19">
        <f>$Z$7009</f>
        <v/>
      </c>
    </row>
    <row r="6991">
      <c r="D6991" s="19">
        <f>IF(ABS(IF(ABS($E$6955)&gt;0.000000001,$E$6955,0.000000001))=0,0,IF($E$5359&lt;=$B$5346,0,IF(ABS(IF(ABS($E$6955)&gt;0.000000001,$E$6955,0.000000001))&gt;=8*$B$5348,$H$5359,0.5*$H$5359*(ABS(IF(ABS($E$6955)&gt;0.000000001,$E$6955,0.000000001))/$B$5348)^(1/3)))/ABS(IF(ABS($E$6955)&gt;0.000000001,$E$6955,0.000000001))*$I$5359)</f>
        <v/>
      </c>
      <c r="E6991" s="19">
        <f>0.5*$E$6955+0.5*$Z$7010</f>
        <v/>
      </c>
      <c r="F6991" s="19">
        <f>$Z$7011</f>
        <v/>
      </c>
    </row>
    <row r="6992">
      <c r="D6992" s="19">
        <f>IF(ABS(IF(ABS($E$6956)&gt;0.000000001,$E$6956,0.000000001))=0,0,IF($E$5360&lt;=$B$5346,0,IF(ABS(IF(ABS($E$6956)&gt;0.000000001,$E$6956,0.000000001))&gt;=8*$B$5348,$H$5360,0.5*$H$5360*(ABS(IF(ABS($E$6956)&gt;0.000000001,$E$6956,0.000000001))/$B$5348)^(1/3)))/ABS(IF(ABS($E$6956)&gt;0.000000001,$E$6956,0.000000001))*$I$5360)</f>
        <v/>
      </c>
      <c r="E6992" s="19">
        <f>0.5*$E$6956+0.5*$Z$7012</f>
        <v/>
      </c>
      <c r="F6992" s="19">
        <f>$Z$7013</f>
        <v/>
      </c>
    </row>
    <row r="6993">
      <c r="D6993" s="19">
        <f>IF(ABS(IF(ABS($E$6957)&gt;0.000000001,$E$6957,0.000000001))=0,0,IF($E$5361&lt;=$B$5346,0,IF(ABS(IF(ABS($E$6957)&gt;0.000000001,$E$6957,0.000000001))&gt;=8*$B$5348,$H$5361,0.5*$H$5361*(ABS(IF(ABS($E$6957)&gt;0.000000001,$E$6957,0.000000001))/$B$5348)^(1/3)))/ABS(IF(ABS($E$6957)&gt;0.000000001,$E$6957,0.000000001))*$I$5361)</f>
        <v/>
      </c>
      <c r="E6993" s="19">
        <f>0.5*$E$6957+0.5*$Z$7014</f>
        <v/>
      </c>
      <c r="F6993" s="19">
        <f>$Z$7015</f>
        <v/>
      </c>
    </row>
    <row r="6994">
      <c r="D6994" s="19">
        <f>IF(ABS(IF(ABS($E$6958)&gt;0.000000001,$E$6958,0.000000001))=0,0,IF($E$5362&lt;=$B$5346,0,IF(ABS(IF(ABS($E$6958)&gt;0.000000001,$E$6958,0.000000001))&gt;=8*$B$5348,$H$5362,0.5*$H$5362*(ABS(IF(ABS($E$6958)&gt;0.000000001,$E$6958,0.000000001))/$B$5348)^(1/3)))/ABS(IF(ABS($E$6958)&gt;0.000000001,$E$6958,0.000000001))*$I$5362)</f>
        <v/>
      </c>
      <c r="E6994" s="19">
        <f>0.5*$E$6958+0.5*$Z$7016</f>
        <v/>
      </c>
      <c r="F6994" s="19">
        <f>$Z$7017</f>
        <v/>
      </c>
    </row>
    <row r="6996">
      <c r="D6996" s="21">
        <f>$B$5337+$D$6984</f>
        <v/>
      </c>
      <c r="E6996" s="21">
        <f>$B$5338</f>
        <v/>
      </c>
      <c r="F6996" s="21">
        <f>-$B$5337</f>
        <v/>
      </c>
      <c r="G6996" s="21">
        <f>$B$5338</f>
        <v/>
      </c>
      <c r="H6996" s="21" t="n">
        <v>0</v>
      </c>
      <c r="I6996" s="21" t="n">
        <v>0</v>
      </c>
      <c r="J6996" s="21" t="n">
        <v>0</v>
      </c>
      <c r="K6996" s="21" t="n">
        <v>0</v>
      </c>
      <c r="L6996" s="21" t="n">
        <v>0</v>
      </c>
      <c r="M6996" s="21" t="n">
        <v>0</v>
      </c>
      <c r="N6996" s="21" t="n">
        <v>0</v>
      </c>
      <c r="O6996" s="21" t="n">
        <v>0</v>
      </c>
      <c r="P6996" s="21" t="n">
        <v>0</v>
      </c>
      <c r="Q6996" s="21" t="n">
        <v>0</v>
      </c>
      <c r="R6996" s="21" t="n">
        <v>0</v>
      </c>
      <c r="S6996" s="21" t="n">
        <v>0</v>
      </c>
      <c r="T6996" s="21" t="n">
        <v>0</v>
      </c>
      <c r="U6996" s="21" t="n">
        <v>0</v>
      </c>
      <c r="V6996" s="21" t="n">
        <v>0</v>
      </c>
      <c r="W6996" s="21" t="n">
        <v>0</v>
      </c>
      <c r="X6996" s="21" t="n">
        <v>0</v>
      </c>
      <c r="Y6996" s="21" t="n">
        <v>0</v>
      </c>
      <c r="Z6996" s="19">
        <f t="array" ref="Z6996:Z7017">MMULT(MINVERSE($D$6996:$Y$7017),$D$5364:$D$5385)</f>
        <v/>
      </c>
    </row>
    <row r="6997">
      <c r="D6997" s="21">
        <f>$B$5338</f>
        <v/>
      </c>
      <c r="E6997" s="21">
        <f>$B$5339</f>
        <v/>
      </c>
      <c r="F6997" s="21">
        <f>-$B$5338</f>
        <v/>
      </c>
      <c r="G6997" s="21">
        <f>$B$5340</f>
        <v/>
      </c>
      <c r="H6997" s="21" t="n">
        <v>0</v>
      </c>
      <c r="I6997" s="21" t="n">
        <v>0</v>
      </c>
      <c r="J6997" s="21" t="n">
        <v>0</v>
      </c>
      <c r="K6997" s="21" t="n">
        <v>0</v>
      </c>
      <c r="L6997" s="21" t="n">
        <v>0</v>
      </c>
      <c r="M6997" s="21" t="n">
        <v>0</v>
      </c>
      <c r="N6997" s="21" t="n">
        <v>0</v>
      </c>
      <c r="O6997" s="21" t="n">
        <v>0</v>
      </c>
      <c r="P6997" s="21" t="n">
        <v>0</v>
      </c>
      <c r="Q6997" s="21" t="n">
        <v>0</v>
      </c>
      <c r="R6997" s="21" t="n">
        <v>0</v>
      </c>
      <c r="S6997" s="21" t="n">
        <v>0</v>
      </c>
      <c r="T6997" s="21" t="n">
        <v>0</v>
      </c>
      <c r="U6997" s="21" t="n">
        <v>0</v>
      </c>
      <c r="V6997" s="21" t="n">
        <v>0</v>
      </c>
      <c r="W6997" s="21" t="n">
        <v>0</v>
      </c>
      <c r="X6997" s="21" t="n">
        <v>0</v>
      </c>
      <c r="Y6997" s="21" t="n">
        <v>0</v>
      </c>
      <c r="Z6997" s="19" t="n"/>
    </row>
    <row r="6998">
      <c r="D6998" s="21">
        <f>-$B$5337</f>
        <v/>
      </c>
      <c r="E6998" s="21">
        <f>-$B$5338</f>
        <v/>
      </c>
      <c r="F6998" s="21">
        <f>2*$B$5337+$D$6985</f>
        <v/>
      </c>
      <c r="G6998" s="21">
        <f>0</f>
        <v/>
      </c>
      <c r="H6998" s="21">
        <f>-$B$5337</f>
        <v/>
      </c>
      <c r="I6998" s="21">
        <f>$B$5338</f>
        <v/>
      </c>
      <c r="J6998" s="21" t="n">
        <v>0</v>
      </c>
      <c r="K6998" s="21" t="n">
        <v>0</v>
      </c>
      <c r="L6998" s="21" t="n">
        <v>0</v>
      </c>
      <c r="M6998" s="21" t="n">
        <v>0</v>
      </c>
      <c r="N6998" s="21" t="n">
        <v>0</v>
      </c>
      <c r="O6998" s="21" t="n">
        <v>0</v>
      </c>
      <c r="P6998" s="21" t="n">
        <v>0</v>
      </c>
      <c r="Q6998" s="21" t="n">
        <v>0</v>
      </c>
      <c r="R6998" s="21" t="n">
        <v>0</v>
      </c>
      <c r="S6998" s="21" t="n">
        <v>0</v>
      </c>
      <c r="T6998" s="21" t="n">
        <v>0</v>
      </c>
      <c r="U6998" s="21" t="n">
        <v>0</v>
      </c>
      <c r="V6998" s="21" t="n">
        <v>0</v>
      </c>
      <c r="W6998" s="21" t="n">
        <v>0</v>
      </c>
      <c r="X6998" s="21" t="n">
        <v>0</v>
      </c>
      <c r="Y6998" s="21" t="n">
        <v>0</v>
      </c>
      <c r="Z6998" s="19" t="n"/>
    </row>
    <row r="6999">
      <c r="D6999" s="21">
        <f>$B$5338</f>
        <v/>
      </c>
      <c r="E6999" s="21">
        <f>$B$5340</f>
        <v/>
      </c>
      <c r="F6999" s="21">
        <f>0</f>
        <v/>
      </c>
      <c r="G6999" s="21">
        <f>2*$B$5339</f>
        <v/>
      </c>
      <c r="H6999" s="21">
        <f>-$B$5338</f>
        <v/>
      </c>
      <c r="I6999" s="21">
        <f>$B$5340</f>
        <v/>
      </c>
      <c r="J6999" s="21" t="n">
        <v>0</v>
      </c>
      <c r="K6999" s="21" t="n">
        <v>0</v>
      </c>
      <c r="L6999" s="21" t="n">
        <v>0</v>
      </c>
      <c r="M6999" s="21" t="n">
        <v>0</v>
      </c>
      <c r="N6999" s="21" t="n">
        <v>0</v>
      </c>
      <c r="O6999" s="21" t="n">
        <v>0</v>
      </c>
      <c r="P6999" s="21" t="n">
        <v>0</v>
      </c>
      <c r="Q6999" s="21" t="n">
        <v>0</v>
      </c>
      <c r="R6999" s="21" t="n">
        <v>0</v>
      </c>
      <c r="S6999" s="21" t="n">
        <v>0</v>
      </c>
      <c r="T6999" s="21" t="n">
        <v>0</v>
      </c>
      <c r="U6999" s="21" t="n">
        <v>0</v>
      </c>
      <c r="V6999" s="21" t="n">
        <v>0</v>
      </c>
      <c r="W6999" s="21" t="n">
        <v>0</v>
      </c>
      <c r="X6999" s="21" t="n">
        <v>0</v>
      </c>
      <c r="Y6999" s="21" t="n">
        <v>0</v>
      </c>
      <c r="Z6999" s="19" t="n"/>
    </row>
    <row r="7000">
      <c r="D7000" s="21" t="n">
        <v>0</v>
      </c>
      <c r="E7000" s="21" t="n">
        <v>0</v>
      </c>
      <c r="F7000" s="21">
        <f>-$B$5337</f>
        <v/>
      </c>
      <c r="G7000" s="21">
        <f>-$B$5338</f>
        <v/>
      </c>
      <c r="H7000" s="21">
        <f>2*$B$5337+$D$6986</f>
        <v/>
      </c>
      <c r="I7000" s="21">
        <f>0</f>
        <v/>
      </c>
      <c r="J7000" s="21">
        <f>-$B$5337</f>
        <v/>
      </c>
      <c r="K7000" s="21">
        <f>$B$5338</f>
        <v/>
      </c>
      <c r="L7000" s="21" t="n">
        <v>0</v>
      </c>
      <c r="M7000" s="21" t="n">
        <v>0</v>
      </c>
      <c r="N7000" s="21" t="n">
        <v>0</v>
      </c>
      <c r="O7000" s="21" t="n">
        <v>0</v>
      </c>
      <c r="P7000" s="21" t="n">
        <v>0</v>
      </c>
      <c r="Q7000" s="21" t="n">
        <v>0</v>
      </c>
      <c r="R7000" s="21" t="n">
        <v>0</v>
      </c>
      <c r="S7000" s="21" t="n">
        <v>0</v>
      </c>
      <c r="T7000" s="21" t="n">
        <v>0</v>
      </c>
      <c r="U7000" s="21" t="n">
        <v>0</v>
      </c>
      <c r="V7000" s="21" t="n">
        <v>0</v>
      </c>
      <c r="W7000" s="21" t="n">
        <v>0</v>
      </c>
      <c r="X7000" s="21" t="n">
        <v>0</v>
      </c>
      <c r="Y7000" s="21" t="n">
        <v>0</v>
      </c>
      <c r="Z7000" s="19" t="n"/>
    </row>
    <row r="7001">
      <c r="D7001" s="21" t="n">
        <v>0</v>
      </c>
      <c r="E7001" s="21" t="n">
        <v>0</v>
      </c>
      <c r="F7001" s="21">
        <f>$B$5338</f>
        <v/>
      </c>
      <c r="G7001" s="21">
        <f>$B$5340</f>
        <v/>
      </c>
      <c r="H7001" s="21">
        <f>0</f>
        <v/>
      </c>
      <c r="I7001" s="21">
        <f>2*$B$5339</f>
        <v/>
      </c>
      <c r="J7001" s="21">
        <f>-$B$5338</f>
        <v/>
      </c>
      <c r="K7001" s="21">
        <f>$B$5340</f>
        <v/>
      </c>
      <c r="L7001" s="21" t="n">
        <v>0</v>
      </c>
      <c r="M7001" s="21" t="n">
        <v>0</v>
      </c>
      <c r="N7001" s="21" t="n">
        <v>0</v>
      </c>
      <c r="O7001" s="21" t="n">
        <v>0</v>
      </c>
      <c r="P7001" s="21" t="n">
        <v>0</v>
      </c>
      <c r="Q7001" s="21" t="n">
        <v>0</v>
      </c>
      <c r="R7001" s="21" t="n">
        <v>0</v>
      </c>
      <c r="S7001" s="21" t="n">
        <v>0</v>
      </c>
      <c r="T7001" s="21" t="n">
        <v>0</v>
      </c>
      <c r="U7001" s="21" t="n">
        <v>0</v>
      </c>
      <c r="V7001" s="21" t="n">
        <v>0</v>
      </c>
      <c r="W7001" s="21" t="n">
        <v>0</v>
      </c>
      <c r="X7001" s="21" t="n">
        <v>0</v>
      </c>
      <c r="Y7001" s="21" t="n">
        <v>0</v>
      </c>
      <c r="Z7001" s="19" t="n"/>
    </row>
    <row r="7002">
      <c r="D7002" s="21" t="n">
        <v>0</v>
      </c>
      <c r="E7002" s="21" t="n">
        <v>0</v>
      </c>
      <c r="F7002" s="21" t="n">
        <v>0</v>
      </c>
      <c r="G7002" s="21" t="n">
        <v>0</v>
      </c>
      <c r="H7002" s="21">
        <f>-$B$5337</f>
        <v/>
      </c>
      <c r="I7002" s="21">
        <f>-$B$5338</f>
        <v/>
      </c>
      <c r="J7002" s="21">
        <f>2*$B$5337+$D$6987</f>
        <v/>
      </c>
      <c r="K7002" s="21">
        <f>0</f>
        <v/>
      </c>
      <c r="L7002" s="21">
        <f>-$B$5337</f>
        <v/>
      </c>
      <c r="M7002" s="21">
        <f>$B$5338</f>
        <v/>
      </c>
      <c r="N7002" s="21" t="n">
        <v>0</v>
      </c>
      <c r="O7002" s="21" t="n">
        <v>0</v>
      </c>
      <c r="P7002" s="21" t="n">
        <v>0</v>
      </c>
      <c r="Q7002" s="21" t="n">
        <v>0</v>
      </c>
      <c r="R7002" s="21" t="n">
        <v>0</v>
      </c>
      <c r="S7002" s="21" t="n">
        <v>0</v>
      </c>
      <c r="T7002" s="21" t="n">
        <v>0</v>
      </c>
      <c r="U7002" s="21" t="n">
        <v>0</v>
      </c>
      <c r="V7002" s="21" t="n">
        <v>0</v>
      </c>
      <c r="W7002" s="21" t="n">
        <v>0</v>
      </c>
      <c r="X7002" s="21" t="n">
        <v>0</v>
      </c>
      <c r="Y7002" s="21" t="n">
        <v>0</v>
      </c>
      <c r="Z7002" s="19" t="n"/>
    </row>
    <row r="7003">
      <c r="D7003" s="21" t="n">
        <v>0</v>
      </c>
      <c r="E7003" s="21" t="n">
        <v>0</v>
      </c>
      <c r="F7003" s="21" t="n">
        <v>0</v>
      </c>
      <c r="G7003" s="21" t="n">
        <v>0</v>
      </c>
      <c r="H7003" s="21">
        <f>$B$5338</f>
        <v/>
      </c>
      <c r="I7003" s="21">
        <f>$B$5340</f>
        <v/>
      </c>
      <c r="J7003" s="21">
        <f>0</f>
        <v/>
      </c>
      <c r="K7003" s="21">
        <f>2*$B$5339</f>
        <v/>
      </c>
      <c r="L7003" s="21">
        <f>-$B$5338</f>
        <v/>
      </c>
      <c r="M7003" s="21">
        <f>$B$5340</f>
        <v/>
      </c>
      <c r="N7003" s="21" t="n">
        <v>0</v>
      </c>
      <c r="O7003" s="21" t="n">
        <v>0</v>
      </c>
      <c r="P7003" s="21" t="n">
        <v>0</v>
      </c>
      <c r="Q7003" s="21" t="n">
        <v>0</v>
      </c>
      <c r="R7003" s="21" t="n">
        <v>0</v>
      </c>
      <c r="S7003" s="21" t="n">
        <v>0</v>
      </c>
      <c r="T7003" s="21" t="n">
        <v>0</v>
      </c>
      <c r="U7003" s="21" t="n">
        <v>0</v>
      </c>
      <c r="V7003" s="21" t="n">
        <v>0</v>
      </c>
      <c r="W7003" s="21" t="n">
        <v>0</v>
      </c>
      <c r="X7003" s="21" t="n">
        <v>0</v>
      </c>
      <c r="Y7003" s="21" t="n">
        <v>0</v>
      </c>
      <c r="Z7003" s="19" t="n"/>
    </row>
    <row r="7004">
      <c r="D7004" s="21" t="n">
        <v>0</v>
      </c>
      <c r="E7004" s="21" t="n">
        <v>0</v>
      </c>
      <c r="F7004" s="21" t="n">
        <v>0</v>
      </c>
      <c r="G7004" s="21" t="n">
        <v>0</v>
      </c>
      <c r="H7004" s="21" t="n">
        <v>0</v>
      </c>
      <c r="I7004" s="21" t="n">
        <v>0</v>
      </c>
      <c r="J7004" s="21">
        <f>-$B$5337</f>
        <v/>
      </c>
      <c r="K7004" s="21">
        <f>-$B$5338</f>
        <v/>
      </c>
      <c r="L7004" s="21">
        <f>2*$B$5337+$D$6988</f>
        <v/>
      </c>
      <c r="M7004" s="21">
        <f>0</f>
        <v/>
      </c>
      <c r="N7004" s="21">
        <f>-$B$5337</f>
        <v/>
      </c>
      <c r="O7004" s="21">
        <f>$B$5338</f>
        <v/>
      </c>
      <c r="P7004" s="21" t="n">
        <v>0</v>
      </c>
      <c r="Q7004" s="21" t="n">
        <v>0</v>
      </c>
      <c r="R7004" s="21" t="n">
        <v>0</v>
      </c>
      <c r="S7004" s="21" t="n">
        <v>0</v>
      </c>
      <c r="T7004" s="21" t="n">
        <v>0</v>
      </c>
      <c r="U7004" s="21" t="n">
        <v>0</v>
      </c>
      <c r="V7004" s="21" t="n">
        <v>0</v>
      </c>
      <c r="W7004" s="21" t="n">
        <v>0</v>
      </c>
      <c r="X7004" s="21" t="n">
        <v>0</v>
      </c>
      <c r="Y7004" s="21" t="n">
        <v>0</v>
      </c>
      <c r="Z7004" s="19" t="n"/>
    </row>
    <row r="7005">
      <c r="D7005" s="21" t="n">
        <v>0</v>
      </c>
      <c r="E7005" s="21" t="n">
        <v>0</v>
      </c>
      <c r="F7005" s="21" t="n">
        <v>0</v>
      </c>
      <c r="G7005" s="21" t="n">
        <v>0</v>
      </c>
      <c r="H7005" s="21" t="n">
        <v>0</v>
      </c>
      <c r="I7005" s="21" t="n">
        <v>0</v>
      </c>
      <c r="J7005" s="21">
        <f>$B$5338</f>
        <v/>
      </c>
      <c r="K7005" s="21">
        <f>$B$5340</f>
        <v/>
      </c>
      <c r="L7005" s="21">
        <f>0</f>
        <v/>
      </c>
      <c r="M7005" s="21">
        <f>2*$B$5339</f>
        <v/>
      </c>
      <c r="N7005" s="21">
        <f>-$B$5338</f>
        <v/>
      </c>
      <c r="O7005" s="21">
        <f>$B$5340</f>
        <v/>
      </c>
      <c r="P7005" s="21" t="n">
        <v>0</v>
      </c>
      <c r="Q7005" s="21" t="n">
        <v>0</v>
      </c>
      <c r="R7005" s="21" t="n">
        <v>0</v>
      </c>
      <c r="S7005" s="21" t="n">
        <v>0</v>
      </c>
      <c r="T7005" s="21" t="n">
        <v>0</v>
      </c>
      <c r="U7005" s="21" t="n">
        <v>0</v>
      </c>
      <c r="V7005" s="21" t="n">
        <v>0</v>
      </c>
      <c r="W7005" s="21" t="n">
        <v>0</v>
      </c>
      <c r="X7005" s="21" t="n">
        <v>0</v>
      </c>
      <c r="Y7005" s="21" t="n">
        <v>0</v>
      </c>
      <c r="Z7005" s="19" t="n"/>
    </row>
    <row r="7006">
      <c r="D7006" s="21" t="n">
        <v>0</v>
      </c>
      <c r="E7006" s="21" t="n">
        <v>0</v>
      </c>
      <c r="F7006" s="21" t="n">
        <v>0</v>
      </c>
      <c r="G7006" s="21" t="n">
        <v>0</v>
      </c>
      <c r="H7006" s="21" t="n">
        <v>0</v>
      </c>
      <c r="I7006" s="21" t="n">
        <v>0</v>
      </c>
      <c r="J7006" s="21" t="n">
        <v>0</v>
      </c>
      <c r="K7006" s="21" t="n">
        <v>0</v>
      </c>
      <c r="L7006" s="21">
        <f>-$B$5337</f>
        <v/>
      </c>
      <c r="M7006" s="21">
        <f>-$B$5338</f>
        <v/>
      </c>
      <c r="N7006" s="21">
        <f>2*$B$5337+$D$6989</f>
        <v/>
      </c>
      <c r="O7006" s="21">
        <f>0</f>
        <v/>
      </c>
      <c r="P7006" s="21">
        <f>-$B$5337</f>
        <v/>
      </c>
      <c r="Q7006" s="21">
        <f>$B$5338</f>
        <v/>
      </c>
      <c r="R7006" s="21" t="n">
        <v>0</v>
      </c>
      <c r="S7006" s="21" t="n">
        <v>0</v>
      </c>
      <c r="T7006" s="21" t="n">
        <v>0</v>
      </c>
      <c r="U7006" s="21" t="n">
        <v>0</v>
      </c>
      <c r="V7006" s="21" t="n">
        <v>0</v>
      </c>
      <c r="W7006" s="21" t="n">
        <v>0</v>
      </c>
      <c r="X7006" s="21" t="n">
        <v>0</v>
      </c>
      <c r="Y7006" s="21" t="n">
        <v>0</v>
      </c>
      <c r="Z7006" s="19" t="n"/>
    </row>
    <row r="7007">
      <c r="D7007" s="21" t="n">
        <v>0</v>
      </c>
      <c r="E7007" s="21" t="n">
        <v>0</v>
      </c>
      <c r="F7007" s="21" t="n">
        <v>0</v>
      </c>
      <c r="G7007" s="21" t="n">
        <v>0</v>
      </c>
      <c r="H7007" s="21" t="n">
        <v>0</v>
      </c>
      <c r="I7007" s="21" t="n">
        <v>0</v>
      </c>
      <c r="J7007" s="21" t="n">
        <v>0</v>
      </c>
      <c r="K7007" s="21" t="n">
        <v>0</v>
      </c>
      <c r="L7007" s="21">
        <f>$B$5338</f>
        <v/>
      </c>
      <c r="M7007" s="21">
        <f>$B$5340</f>
        <v/>
      </c>
      <c r="N7007" s="21">
        <f>0</f>
        <v/>
      </c>
      <c r="O7007" s="21">
        <f>2*$B$5339</f>
        <v/>
      </c>
      <c r="P7007" s="21">
        <f>-$B$5338</f>
        <v/>
      </c>
      <c r="Q7007" s="21">
        <f>$B$5340</f>
        <v/>
      </c>
      <c r="R7007" s="21" t="n">
        <v>0</v>
      </c>
      <c r="S7007" s="21" t="n">
        <v>0</v>
      </c>
      <c r="T7007" s="21" t="n">
        <v>0</v>
      </c>
      <c r="U7007" s="21" t="n">
        <v>0</v>
      </c>
      <c r="V7007" s="21" t="n">
        <v>0</v>
      </c>
      <c r="W7007" s="21" t="n">
        <v>0</v>
      </c>
      <c r="X7007" s="21" t="n">
        <v>0</v>
      </c>
      <c r="Y7007" s="21" t="n">
        <v>0</v>
      </c>
      <c r="Z7007" s="19" t="n"/>
    </row>
    <row r="7008">
      <c r="D7008" s="21" t="n">
        <v>0</v>
      </c>
      <c r="E7008" s="21" t="n">
        <v>0</v>
      </c>
      <c r="F7008" s="21" t="n">
        <v>0</v>
      </c>
      <c r="G7008" s="21" t="n">
        <v>0</v>
      </c>
      <c r="H7008" s="21" t="n">
        <v>0</v>
      </c>
      <c r="I7008" s="21" t="n">
        <v>0</v>
      </c>
      <c r="J7008" s="21" t="n">
        <v>0</v>
      </c>
      <c r="K7008" s="21" t="n">
        <v>0</v>
      </c>
      <c r="L7008" s="21" t="n">
        <v>0</v>
      </c>
      <c r="M7008" s="21" t="n">
        <v>0</v>
      </c>
      <c r="N7008" s="21">
        <f>-$B$5337</f>
        <v/>
      </c>
      <c r="O7008" s="21">
        <f>-$B$5338</f>
        <v/>
      </c>
      <c r="P7008" s="21">
        <f>2*$B$5337+$D$6990</f>
        <v/>
      </c>
      <c r="Q7008" s="21">
        <f>0</f>
        <v/>
      </c>
      <c r="R7008" s="21">
        <f>-$B$5337</f>
        <v/>
      </c>
      <c r="S7008" s="21">
        <f>$B$5338</f>
        <v/>
      </c>
      <c r="T7008" s="21" t="n">
        <v>0</v>
      </c>
      <c r="U7008" s="21" t="n">
        <v>0</v>
      </c>
      <c r="V7008" s="21" t="n">
        <v>0</v>
      </c>
      <c r="W7008" s="21" t="n">
        <v>0</v>
      </c>
      <c r="X7008" s="21" t="n">
        <v>0</v>
      </c>
      <c r="Y7008" s="21" t="n">
        <v>0</v>
      </c>
      <c r="Z7008" s="19" t="n"/>
    </row>
    <row r="7009">
      <c r="D7009" s="21" t="n">
        <v>0</v>
      </c>
      <c r="E7009" s="21" t="n">
        <v>0</v>
      </c>
      <c r="F7009" s="21" t="n">
        <v>0</v>
      </c>
      <c r="G7009" s="21" t="n">
        <v>0</v>
      </c>
      <c r="H7009" s="21" t="n">
        <v>0</v>
      </c>
      <c r="I7009" s="21" t="n">
        <v>0</v>
      </c>
      <c r="J7009" s="21" t="n">
        <v>0</v>
      </c>
      <c r="K7009" s="21" t="n">
        <v>0</v>
      </c>
      <c r="L7009" s="21" t="n">
        <v>0</v>
      </c>
      <c r="M7009" s="21" t="n">
        <v>0</v>
      </c>
      <c r="N7009" s="21">
        <f>$B$5338</f>
        <v/>
      </c>
      <c r="O7009" s="21">
        <f>$B$5340</f>
        <v/>
      </c>
      <c r="P7009" s="21">
        <f>0</f>
        <v/>
      </c>
      <c r="Q7009" s="21">
        <f>2*$B$5339</f>
        <v/>
      </c>
      <c r="R7009" s="21">
        <f>-$B$5338</f>
        <v/>
      </c>
      <c r="S7009" s="21">
        <f>$B$5340</f>
        <v/>
      </c>
      <c r="T7009" s="21" t="n">
        <v>0</v>
      </c>
      <c r="U7009" s="21" t="n">
        <v>0</v>
      </c>
      <c r="V7009" s="21" t="n">
        <v>0</v>
      </c>
      <c r="W7009" s="21" t="n">
        <v>0</v>
      </c>
      <c r="X7009" s="21" t="n">
        <v>0</v>
      </c>
      <c r="Y7009" s="21" t="n">
        <v>0</v>
      </c>
      <c r="Z7009" s="19" t="n"/>
    </row>
    <row r="7010">
      <c r="D7010" s="21" t="n">
        <v>0</v>
      </c>
      <c r="E7010" s="21" t="n">
        <v>0</v>
      </c>
      <c r="F7010" s="21" t="n">
        <v>0</v>
      </c>
      <c r="G7010" s="21" t="n">
        <v>0</v>
      </c>
      <c r="H7010" s="21" t="n">
        <v>0</v>
      </c>
      <c r="I7010" s="21" t="n">
        <v>0</v>
      </c>
      <c r="J7010" s="21" t="n">
        <v>0</v>
      </c>
      <c r="K7010" s="21" t="n">
        <v>0</v>
      </c>
      <c r="L7010" s="21" t="n">
        <v>0</v>
      </c>
      <c r="M7010" s="21" t="n">
        <v>0</v>
      </c>
      <c r="N7010" s="21" t="n">
        <v>0</v>
      </c>
      <c r="O7010" s="21" t="n">
        <v>0</v>
      </c>
      <c r="P7010" s="21">
        <f>-$B$5337</f>
        <v/>
      </c>
      <c r="Q7010" s="21">
        <f>-$B$5338</f>
        <v/>
      </c>
      <c r="R7010" s="21">
        <f>2*$B$5337+$D$6991</f>
        <v/>
      </c>
      <c r="S7010" s="21">
        <f>0</f>
        <v/>
      </c>
      <c r="T7010" s="21">
        <f>-$B$5337</f>
        <v/>
      </c>
      <c r="U7010" s="21">
        <f>$B$5338</f>
        <v/>
      </c>
      <c r="V7010" s="21" t="n">
        <v>0</v>
      </c>
      <c r="W7010" s="21" t="n">
        <v>0</v>
      </c>
      <c r="X7010" s="21" t="n">
        <v>0</v>
      </c>
      <c r="Y7010" s="21" t="n">
        <v>0</v>
      </c>
      <c r="Z7010" s="19" t="n"/>
    </row>
    <row r="7011">
      <c r="D7011" s="21" t="n">
        <v>0</v>
      </c>
      <c r="E7011" s="21" t="n">
        <v>0</v>
      </c>
      <c r="F7011" s="21" t="n">
        <v>0</v>
      </c>
      <c r="G7011" s="21" t="n">
        <v>0</v>
      </c>
      <c r="H7011" s="21" t="n">
        <v>0</v>
      </c>
      <c r="I7011" s="21" t="n">
        <v>0</v>
      </c>
      <c r="J7011" s="21" t="n">
        <v>0</v>
      </c>
      <c r="K7011" s="21" t="n">
        <v>0</v>
      </c>
      <c r="L7011" s="21" t="n">
        <v>0</v>
      </c>
      <c r="M7011" s="21" t="n">
        <v>0</v>
      </c>
      <c r="N7011" s="21" t="n">
        <v>0</v>
      </c>
      <c r="O7011" s="21" t="n">
        <v>0</v>
      </c>
      <c r="P7011" s="21">
        <f>$B$5338</f>
        <v/>
      </c>
      <c r="Q7011" s="21">
        <f>$B$5340</f>
        <v/>
      </c>
      <c r="R7011" s="21">
        <f>0</f>
        <v/>
      </c>
      <c r="S7011" s="21">
        <f>2*$B$5339</f>
        <v/>
      </c>
      <c r="T7011" s="21">
        <f>-$B$5338</f>
        <v/>
      </c>
      <c r="U7011" s="21">
        <f>$B$5340</f>
        <v/>
      </c>
      <c r="V7011" s="21" t="n">
        <v>0</v>
      </c>
      <c r="W7011" s="21" t="n">
        <v>0</v>
      </c>
      <c r="X7011" s="21" t="n">
        <v>0</v>
      </c>
      <c r="Y7011" s="21" t="n">
        <v>0</v>
      </c>
      <c r="Z7011" s="19" t="n"/>
    </row>
    <row r="7012">
      <c r="D7012" s="21" t="n">
        <v>0</v>
      </c>
      <c r="E7012" s="21" t="n">
        <v>0</v>
      </c>
      <c r="F7012" s="21" t="n">
        <v>0</v>
      </c>
      <c r="G7012" s="21" t="n">
        <v>0</v>
      </c>
      <c r="H7012" s="21" t="n">
        <v>0</v>
      </c>
      <c r="I7012" s="21" t="n">
        <v>0</v>
      </c>
      <c r="J7012" s="21" t="n">
        <v>0</v>
      </c>
      <c r="K7012" s="21" t="n">
        <v>0</v>
      </c>
      <c r="L7012" s="21" t="n">
        <v>0</v>
      </c>
      <c r="M7012" s="21" t="n">
        <v>0</v>
      </c>
      <c r="N7012" s="21" t="n">
        <v>0</v>
      </c>
      <c r="O7012" s="21" t="n">
        <v>0</v>
      </c>
      <c r="P7012" s="21" t="n">
        <v>0</v>
      </c>
      <c r="Q7012" s="21" t="n">
        <v>0</v>
      </c>
      <c r="R7012" s="21">
        <f>-$B$5337</f>
        <v/>
      </c>
      <c r="S7012" s="21">
        <f>-$B$5338</f>
        <v/>
      </c>
      <c r="T7012" s="21">
        <f>2*$B$5337+$D$6992</f>
        <v/>
      </c>
      <c r="U7012" s="21">
        <f>0</f>
        <v/>
      </c>
      <c r="V7012" s="21">
        <f>-$B$5337</f>
        <v/>
      </c>
      <c r="W7012" s="21">
        <f>$B$5338</f>
        <v/>
      </c>
      <c r="X7012" s="21" t="n">
        <v>0</v>
      </c>
      <c r="Y7012" s="21" t="n">
        <v>0</v>
      </c>
      <c r="Z7012" s="19" t="n"/>
    </row>
    <row r="7013">
      <c r="D7013" s="21" t="n">
        <v>0</v>
      </c>
      <c r="E7013" s="21" t="n">
        <v>0</v>
      </c>
      <c r="F7013" s="21" t="n">
        <v>0</v>
      </c>
      <c r="G7013" s="21" t="n">
        <v>0</v>
      </c>
      <c r="H7013" s="21" t="n">
        <v>0</v>
      </c>
      <c r="I7013" s="21" t="n">
        <v>0</v>
      </c>
      <c r="J7013" s="21" t="n">
        <v>0</v>
      </c>
      <c r="K7013" s="21" t="n">
        <v>0</v>
      </c>
      <c r="L7013" s="21" t="n">
        <v>0</v>
      </c>
      <c r="M7013" s="21" t="n">
        <v>0</v>
      </c>
      <c r="N7013" s="21" t="n">
        <v>0</v>
      </c>
      <c r="O7013" s="21" t="n">
        <v>0</v>
      </c>
      <c r="P7013" s="21" t="n">
        <v>0</v>
      </c>
      <c r="Q7013" s="21" t="n">
        <v>0</v>
      </c>
      <c r="R7013" s="21">
        <f>$B$5338</f>
        <v/>
      </c>
      <c r="S7013" s="21">
        <f>$B$5340</f>
        <v/>
      </c>
      <c r="T7013" s="21">
        <f>0</f>
        <v/>
      </c>
      <c r="U7013" s="21">
        <f>2*$B$5339</f>
        <v/>
      </c>
      <c r="V7013" s="21">
        <f>-$B$5338</f>
        <v/>
      </c>
      <c r="W7013" s="21">
        <f>$B$5340</f>
        <v/>
      </c>
      <c r="X7013" s="21" t="n">
        <v>0</v>
      </c>
      <c r="Y7013" s="21" t="n">
        <v>0</v>
      </c>
      <c r="Z7013" s="19" t="n"/>
    </row>
    <row r="7014">
      <c r="D7014" s="21" t="n">
        <v>0</v>
      </c>
      <c r="E7014" s="21" t="n">
        <v>0</v>
      </c>
      <c r="F7014" s="21" t="n">
        <v>0</v>
      </c>
      <c r="G7014" s="21" t="n">
        <v>0</v>
      </c>
      <c r="H7014" s="21" t="n">
        <v>0</v>
      </c>
      <c r="I7014" s="21" t="n">
        <v>0</v>
      </c>
      <c r="J7014" s="21" t="n">
        <v>0</v>
      </c>
      <c r="K7014" s="21" t="n">
        <v>0</v>
      </c>
      <c r="L7014" s="21" t="n">
        <v>0</v>
      </c>
      <c r="M7014" s="21" t="n">
        <v>0</v>
      </c>
      <c r="N7014" s="21" t="n">
        <v>0</v>
      </c>
      <c r="O7014" s="21" t="n">
        <v>0</v>
      </c>
      <c r="P7014" s="21" t="n">
        <v>0</v>
      </c>
      <c r="Q7014" s="21" t="n">
        <v>0</v>
      </c>
      <c r="R7014" s="21" t="n">
        <v>0</v>
      </c>
      <c r="S7014" s="21" t="n">
        <v>0</v>
      </c>
      <c r="T7014" s="21">
        <f>-$B$5337</f>
        <v/>
      </c>
      <c r="U7014" s="21">
        <f>-$B$5338</f>
        <v/>
      </c>
      <c r="V7014" s="21">
        <f>2*$B$5337+$D$6993</f>
        <v/>
      </c>
      <c r="W7014" s="21">
        <f>0</f>
        <v/>
      </c>
      <c r="X7014" s="21">
        <f>-$B$5337</f>
        <v/>
      </c>
      <c r="Y7014" s="21">
        <f>$B$5338</f>
        <v/>
      </c>
      <c r="Z7014" s="19" t="n"/>
    </row>
    <row r="7015">
      <c r="D7015" s="21" t="n">
        <v>0</v>
      </c>
      <c r="E7015" s="21" t="n">
        <v>0</v>
      </c>
      <c r="F7015" s="21" t="n">
        <v>0</v>
      </c>
      <c r="G7015" s="21" t="n">
        <v>0</v>
      </c>
      <c r="H7015" s="21" t="n">
        <v>0</v>
      </c>
      <c r="I7015" s="21" t="n">
        <v>0</v>
      </c>
      <c r="J7015" s="21" t="n">
        <v>0</v>
      </c>
      <c r="K7015" s="21" t="n">
        <v>0</v>
      </c>
      <c r="L7015" s="21" t="n">
        <v>0</v>
      </c>
      <c r="M7015" s="21" t="n">
        <v>0</v>
      </c>
      <c r="N7015" s="21" t="n">
        <v>0</v>
      </c>
      <c r="O7015" s="21" t="n">
        <v>0</v>
      </c>
      <c r="P7015" s="21" t="n">
        <v>0</v>
      </c>
      <c r="Q7015" s="21" t="n">
        <v>0</v>
      </c>
      <c r="R7015" s="21" t="n">
        <v>0</v>
      </c>
      <c r="S7015" s="21" t="n">
        <v>0</v>
      </c>
      <c r="T7015" s="21">
        <f>$B$5338</f>
        <v/>
      </c>
      <c r="U7015" s="21">
        <f>$B$5340</f>
        <v/>
      </c>
      <c r="V7015" s="21">
        <f>0</f>
        <v/>
      </c>
      <c r="W7015" s="21">
        <f>2*$B$5339</f>
        <v/>
      </c>
      <c r="X7015" s="21">
        <f>-$B$5338</f>
        <v/>
      </c>
      <c r="Y7015" s="21">
        <f>$B$5340</f>
        <v/>
      </c>
      <c r="Z7015" s="19" t="n"/>
    </row>
    <row r="7016">
      <c r="D7016" s="21" t="n">
        <v>0</v>
      </c>
      <c r="E7016" s="21" t="n">
        <v>0</v>
      </c>
      <c r="F7016" s="21" t="n">
        <v>0</v>
      </c>
      <c r="G7016" s="21" t="n">
        <v>0</v>
      </c>
      <c r="H7016" s="21" t="n">
        <v>0</v>
      </c>
      <c r="I7016" s="21" t="n">
        <v>0</v>
      </c>
      <c r="J7016" s="21" t="n">
        <v>0</v>
      </c>
      <c r="K7016" s="21" t="n">
        <v>0</v>
      </c>
      <c r="L7016" s="21" t="n">
        <v>0</v>
      </c>
      <c r="M7016" s="21" t="n">
        <v>0</v>
      </c>
      <c r="N7016" s="21" t="n">
        <v>0</v>
      </c>
      <c r="O7016" s="21" t="n">
        <v>0</v>
      </c>
      <c r="P7016" s="21" t="n">
        <v>0</v>
      </c>
      <c r="Q7016" s="21" t="n">
        <v>0</v>
      </c>
      <c r="R7016" s="21" t="n">
        <v>0</v>
      </c>
      <c r="S7016" s="21" t="n">
        <v>0</v>
      </c>
      <c r="T7016" s="21" t="n">
        <v>0</v>
      </c>
      <c r="U7016" s="21" t="n">
        <v>0</v>
      </c>
      <c r="V7016" s="21">
        <f>-$B$5337</f>
        <v/>
      </c>
      <c r="W7016" s="21">
        <f>-$B$5338</f>
        <v/>
      </c>
      <c r="X7016" s="21">
        <f>$B$5337+$D$6994</f>
        <v/>
      </c>
      <c r="Y7016" s="21">
        <f>-$B$5338</f>
        <v/>
      </c>
      <c r="Z7016" s="19" t="n"/>
    </row>
    <row r="7017">
      <c r="D7017" s="21" t="n">
        <v>0</v>
      </c>
      <c r="E7017" s="21" t="n">
        <v>0</v>
      </c>
      <c r="F7017" s="21" t="n">
        <v>0</v>
      </c>
      <c r="G7017" s="21" t="n">
        <v>0</v>
      </c>
      <c r="H7017" s="21" t="n">
        <v>0</v>
      </c>
      <c r="I7017" s="21" t="n">
        <v>0</v>
      </c>
      <c r="J7017" s="21" t="n">
        <v>0</v>
      </c>
      <c r="K7017" s="21" t="n">
        <v>0</v>
      </c>
      <c r="L7017" s="21" t="n">
        <v>0</v>
      </c>
      <c r="M7017" s="21" t="n">
        <v>0</v>
      </c>
      <c r="N7017" s="21" t="n">
        <v>0</v>
      </c>
      <c r="O7017" s="21" t="n">
        <v>0</v>
      </c>
      <c r="P7017" s="21" t="n">
        <v>0</v>
      </c>
      <c r="Q7017" s="21" t="n">
        <v>0</v>
      </c>
      <c r="R7017" s="21" t="n">
        <v>0</v>
      </c>
      <c r="S7017" s="21" t="n">
        <v>0</v>
      </c>
      <c r="T7017" s="21" t="n">
        <v>0</v>
      </c>
      <c r="U7017" s="21" t="n">
        <v>0</v>
      </c>
      <c r="V7017" s="21">
        <f>$B$5338</f>
        <v/>
      </c>
      <c r="W7017" s="21">
        <f>$B$5340</f>
        <v/>
      </c>
      <c r="X7017" s="21">
        <f>-$B$5338</f>
        <v/>
      </c>
      <c r="Y7017" s="21">
        <f>$B$5339</f>
        <v/>
      </c>
      <c r="Z7017" s="19" t="n"/>
    </row>
    <row r="7020">
      <c r="D7020" s="18" t="inlineStr">
        <is>
          <t>e</t>
        </is>
      </c>
      <c r="E7020" s="18" t="inlineStr">
        <is>
          <t>y_e</t>
        </is>
      </c>
      <c r="F7020" s="18" t="inlineStr">
        <is>
          <t>theta_e</t>
        </is>
      </c>
      <c r="G7020" s="18" t="inlineStr">
        <is>
          <t>y_e+1</t>
        </is>
      </c>
      <c r="H7020" s="18" t="inlineStr">
        <is>
          <t>theta_e+1</t>
        </is>
      </c>
      <c r="I7020" s="18" t="inlineStr">
        <is>
          <t>fe1</t>
        </is>
      </c>
      <c r="J7020" s="18" t="inlineStr">
        <is>
          <t>fe3</t>
        </is>
      </c>
      <c r="K7020" s="18" t="inlineStr">
        <is>
          <t>M (kN*m)</t>
        </is>
      </c>
    </row>
    <row r="7021">
      <c r="D7021" t="n">
        <v>0</v>
      </c>
      <c r="E7021" s="19">
        <f>$E$6984</f>
        <v/>
      </c>
      <c r="F7021" s="19">
        <f>$F$6984</f>
        <v/>
      </c>
      <c r="G7021" s="19">
        <f>$E$6985</f>
        <v/>
      </c>
      <c r="H7021" s="19">
        <f>$F$6985</f>
        <v/>
      </c>
      <c r="I7021" s="19">
        <f>$B$5338*$E$7021+$B$5339*$F$7021-$B$5338*$G$7021+$B$5340*$H$7021</f>
        <v/>
      </c>
      <c r="J7021" s="19">
        <f>$B$5338*$E$7021+$B$5340*$F$7021-$B$5338*$G$7021+$B$5339*$H$7021</f>
        <v/>
      </c>
      <c r="K7021" s="21">
        <f>-$I$7021</f>
        <v/>
      </c>
    </row>
    <row r="7022">
      <c r="D7022" t="n">
        <v>1</v>
      </c>
      <c r="E7022" s="19">
        <f>$E$6985</f>
        <v/>
      </c>
      <c r="F7022" s="19">
        <f>$F$6985</f>
        <v/>
      </c>
      <c r="G7022" s="19">
        <f>$E$6986</f>
        <v/>
      </c>
      <c r="H7022" s="19">
        <f>$F$6986</f>
        <v/>
      </c>
      <c r="I7022" s="19">
        <f>$B$5338*$E$7022+$B$5339*$F$7022-$B$5338*$G$7022+$B$5340*$H$7022</f>
        <v/>
      </c>
      <c r="J7022" s="19">
        <f>$B$5338*$E$7022+$B$5340*$F$7022-$B$5338*$G$7022+$B$5339*$H$7022</f>
        <v/>
      </c>
      <c r="K7022" s="21">
        <f>($J$7021-$I$7022)/2</f>
        <v/>
      </c>
    </row>
    <row r="7023">
      <c r="D7023" t="n">
        <v>2</v>
      </c>
      <c r="E7023" s="19">
        <f>$E$6986</f>
        <v/>
      </c>
      <c r="F7023" s="19">
        <f>$F$6986</f>
        <v/>
      </c>
      <c r="G7023" s="19">
        <f>$E$6987</f>
        <v/>
      </c>
      <c r="H7023" s="19">
        <f>$F$6987</f>
        <v/>
      </c>
      <c r="I7023" s="19">
        <f>$B$5338*$E$7023+$B$5339*$F$7023-$B$5338*$G$7023+$B$5340*$H$7023</f>
        <v/>
      </c>
      <c r="J7023" s="19">
        <f>$B$5338*$E$7023+$B$5340*$F$7023-$B$5338*$G$7023+$B$5339*$H$7023</f>
        <v/>
      </c>
      <c r="K7023" s="21">
        <f>($J$7022-$I$7023)/2</f>
        <v/>
      </c>
    </row>
    <row r="7024">
      <c r="D7024" t="n">
        <v>3</v>
      </c>
      <c r="E7024" s="19">
        <f>$E$6987</f>
        <v/>
      </c>
      <c r="F7024" s="19">
        <f>$F$6987</f>
        <v/>
      </c>
      <c r="G7024" s="19">
        <f>$E$6988</f>
        <v/>
      </c>
      <c r="H7024" s="19">
        <f>$F$6988</f>
        <v/>
      </c>
      <c r="I7024" s="19">
        <f>$B$5338*$E$7024+$B$5339*$F$7024-$B$5338*$G$7024+$B$5340*$H$7024</f>
        <v/>
      </c>
      <c r="J7024" s="19">
        <f>$B$5338*$E$7024+$B$5340*$F$7024-$B$5338*$G$7024+$B$5339*$H$7024</f>
        <v/>
      </c>
      <c r="K7024" s="21">
        <f>($J$7023-$I$7024)/2</f>
        <v/>
      </c>
    </row>
    <row r="7025">
      <c r="D7025" t="n">
        <v>4</v>
      </c>
      <c r="E7025" s="19">
        <f>$E$6988</f>
        <v/>
      </c>
      <c r="F7025" s="19">
        <f>$F$6988</f>
        <v/>
      </c>
      <c r="G7025" s="19">
        <f>$E$6989</f>
        <v/>
      </c>
      <c r="H7025" s="19">
        <f>$F$6989</f>
        <v/>
      </c>
      <c r="I7025" s="19">
        <f>$B$5338*$E$7025+$B$5339*$F$7025-$B$5338*$G$7025+$B$5340*$H$7025</f>
        <v/>
      </c>
      <c r="J7025" s="19">
        <f>$B$5338*$E$7025+$B$5340*$F$7025-$B$5338*$G$7025+$B$5339*$H$7025</f>
        <v/>
      </c>
      <c r="K7025" s="21">
        <f>($J$7024-$I$7025)/2</f>
        <v/>
      </c>
    </row>
    <row r="7026">
      <c r="D7026" t="n">
        <v>5</v>
      </c>
      <c r="E7026" s="19">
        <f>$E$6989</f>
        <v/>
      </c>
      <c r="F7026" s="19">
        <f>$F$6989</f>
        <v/>
      </c>
      <c r="G7026" s="19">
        <f>$E$6990</f>
        <v/>
      </c>
      <c r="H7026" s="19">
        <f>$F$6990</f>
        <v/>
      </c>
      <c r="I7026" s="19">
        <f>$B$5338*$E$7026+$B$5339*$F$7026-$B$5338*$G$7026+$B$5340*$H$7026</f>
        <v/>
      </c>
      <c r="J7026" s="19">
        <f>$B$5338*$E$7026+$B$5340*$F$7026-$B$5338*$G$7026+$B$5339*$H$7026</f>
        <v/>
      </c>
      <c r="K7026" s="21">
        <f>($J$7025-$I$7026)/2</f>
        <v/>
      </c>
    </row>
    <row r="7027">
      <c r="D7027" t="n">
        <v>6</v>
      </c>
      <c r="E7027" s="19">
        <f>$E$6990</f>
        <v/>
      </c>
      <c r="F7027" s="19">
        <f>$F$6990</f>
        <v/>
      </c>
      <c r="G7027" s="19">
        <f>$E$6991</f>
        <v/>
      </c>
      <c r="H7027" s="19">
        <f>$F$6991</f>
        <v/>
      </c>
      <c r="I7027" s="19">
        <f>$B$5338*$E$7027+$B$5339*$F$7027-$B$5338*$G$7027+$B$5340*$H$7027</f>
        <v/>
      </c>
      <c r="J7027" s="19">
        <f>$B$5338*$E$7027+$B$5340*$F$7027-$B$5338*$G$7027+$B$5339*$H$7027</f>
        <v/>
      </c>
      <c r="K7027" s="21">
        <f>($J$7026-$I$7027)/2</f>
        <v/>
      </c>
    </row>
    <row r="7028">
      <c r="D7028" t="n">
        <v>7</v>
      </c>
      <c r="E7028" s="19">
        <f>$E$6991</f>
        <v/>
      </c>
      <c r="F7028" s="19">
        <f>$F$6991</f>
        <v/>
      </c>
      <c r="G7028" s="19">
        <f>$E$6992</f>
        <v/>
      </c>
      <c r="H7028" s="19">
        <f>$F$6992</f>
        <v/>
      </c>
      <c r="I7028" s="19">
        <f>$B$5338*$E$7028+$B$5339*$F$7028-$B$5338*$G$7028+$B$5340*$H$7028</f>
        <v/>
      </c>
      <c r="J7028" s="19">
        <f>$B$5338*$E$7028+$B$5340*$F$7028-$B$5338*$G$7028+$B$5339*$H$7028</f>
        <v/>
      </c>
      <c r="K7028" s="21">
        <f>($J$7027-$I$7028)/2</f>
        <v/>
      </c>
    </row>
    <row r="7029">
      <c r="D7029" t="n">
        <v>8</v>
      </c>
      <c r="E7029" s="19">
        <f>$E$6992</f>
        <v/>
      </c>
      <c r="F7029" s="19">
        <f>$F$6992</f>
        <v/>
      </c>
      <c r="G7029" s="19">
        <f>$E$6993</f>
        <v/>
      </c>
      <c r="H7029" s="19">
        <f>$F$6993</f>
        <v/>
      </c>
      <c r="I7029" s="19">
        <f>$B$5338*$E$7029+$B$5339*$F$7029-$B$5338*$G$7029+$B$5340*$H$7029</f>
        <v/>
      </c>
      <c r="J7029" s="19">
        <f>$B$5338*$E$7029+$B$5340*$F$7029-$B$5338*$G$7029+$B$5339*$H$7029</f>
        <v/>
      </c>
      <c r="K7029" s="21">
        <f>($J$7028-$I$7029)/2</f>
        <v/>
      </c>
    </row>
    <row r="7030">
      <c r="D7030" t="n">
        <v>9</v>
      </c>
      <c r="E7030" s="19">
        <f>$E$6993</f>
        <v/>
      </c>
      <c r="F7030" s="19">
        <f>$F$6993</f>
        <v/>
      </c>
      <c r="G7030" s="19">
        <f>$E$6994</f>
        <v/>
      </c>
      <c r="H7030" s="19">
        <f>$F$6994</f>
        <v/>
      </c>
      <c r="I7030" s="19">
        <f>$B$5338*$E$7030+$B$5339*$F$7030-$B$5338*$G$7030+$B$5340*$H$7030</f>
        <v/>
      </c>
      <c r="J7030" s="19">
        <f>$B$5338*$E$7030+$B$5340*$F$7030-$B$5338*$G$7030+$B$5339*$H$7030</f>
        <v/>
      </c>
      <c r="K7030" s="21">
        <f>($J$7029-$I$7030)/2</f>
        <v/>
      </c>
    </row>
    <row r="7031">
      <c r="K7031" s="21">
        <f>$J$7030</f>
        <v/>
      </c>
    </row>
    <row r="7033">
      <c r="A7033" s="12" t="inlineStr">
        <is>
          <t>y_gl (mm)</t>
        </is>
      </c>
      <c r="B7033" s="22">
        <f>$E$6984*1000</f>
        <v/>
      </c>
    </row>
    <row r="7034">
      <c r="A7034" s="12" t="inlineStr">
        <is>
          <t>theta_gl (deg)</t>
        </is>
      </c>
      <c r="B7034" s="23">
        <f>DEGREES($F$6984)</f>
        <v/>
      </c>
    </row>
    <row r="7035">
      <c r="A7035" s="12" t="inlineStr">
        <is>
          <t>M_max (kN*m)</t>
        </is>
      </c>
      <c r="B7035" s="22">
        <f t="array" ref="B7035">MAX(ABS($K$7021:$K$7031))</f>
        <v/>
      </c>
    </row>
    <row r="7038">
      <c r="A7038" s="2" t="inlineStr">
        <is>
          <t>PUSHOVER lambda = 8 (n=10 elements, 45 unrolled iterations)</t>
        </is>
      </c>
    </row>
    <row r="7040">
      <c r="A7040" s="6" t="inlineStr">
        <is>
          <t>V (kN)</t>
        </is>
      </c>
      <c r="B7040" s="20">
        <f>8*'1-Loads'!$D$38</f>
        <v/>
      </c>
      <c r="C7040" s="8" t="inlineStr">
        <is>
          <t>kN</t>
        </is>
      </c>
    </row>
    <row r="7041">
      <c r="A7041" s="6" t="inlineStr">
        <is>
          <t>M (kN*m)</t>
        </is>
      </c>
      <c r="B7041" s="20">
        <f>-8*'1-Loads'!$D$39</f>
        <v/>
      </c>
      <c r="C7041" s="8" t="inlineStr">
        <is>
          <t>kN*m</t>
        </is>
      </c>
    </row>
    <row r="7042">
      <c r="A7042" s="6" t="inlineStr">
        <is>
          <t>D_shaft</t>
        </is>
      </c>
      <c r="B7042" s="20">
        <f>'3-Sizing'!$D$10</f>
        <v/>
      </c>
      <c r="C7042" s="8" t="inlineStr">
        <is>
          <t>m</t>
        </is>
      </c>
    </row>
    <row r="7043">
      <c r="A7043" s="6" t="inlineStr">
        <is>
          <t>t (corroded)</t>
        </is>
      </c>
      <c r="B7043" s="20">
        <f>'7-Corrosion'!$D$19/1000</f>
        <v/>
      </c>
      <c r="C7043" s="8" t="inlineStr">
        <is>
          <t>m</t>
        </is>
      </c>
    </row>
    <row r="7044">
      <c r="A7044" s="6" t="inlineStr">
        <is>
          <t>E, steel</t>
        </is>
      </c>
      <c r="B7044" s="20">
        <f>200000000</f>
        <v/>
      </c>
      <c r="C7044" s="8" t="inlineStr">
        <is>
          <t>kPa</t>
        </is>
      </c>
    </row>
    <row r="7045">
      <c r="A7045" s="6" t="inlineStr">
        <is>
          <t>I (pipe)</t>
        </is>
      </c>
      <c r="B7045" s="20">
        <f>PI()/64*($B$7042^4-($B$7042-2*$B$7043)^4)</f>
        <v/>
      </c>
      <c r="C7045" s="8" t="inlineStr">
        <is>
          <t>m^4</t>
        </is>
      </c>
    </row>
    <row r="7046">
      <c r="A7046" s="6" t="inlineStr">
        <is>
          <t>EI</t>
        </is>
      </c>
      <c r="B7046" s="20">
        <f>$B$7044*$B$7045</f>
        <v/>
      </c>
      <c r="C7046" s="8" t="inlineStr">
        <is>
          <t>kN*m^2</t>
        </is>
      </c>
    </row>
    <row r="7047">
      <c r="A7047" s="6" t="inlineStr">
        <is>
          <t>L, embedded length</t>
        </is>
      </c>
      <c r="B7047" s="20">
        <f>'3-Sizing'!$D$25</f>
        <v/>
      </c>
      <c r="C7047" s="8" t="inlineStr">
        <is>
          <t>m</t>
        </is>
      </c>
    </row>
    <row r="7048">
      <c r="A7048" s="6" t="inlineStr">
        <is>
          <t>n_elements</t>
        </is>
      </c>
      <c r="B7048" s="20" t="n">
        <v>10</v>
      </c>
      <c r="C7048" s="8" t="inlineStr">
        <is>
          <t>-</t>
        </is>
      </c>
    </row>
    <row r="7049">
      <c r="A7049" s="6" t="inlineStr">
        <is>
          <t>h = L/n</t>
        </is>
      </c>
      <c r="B7049" s="20">
        <f>$B$7047/$B$7048</f>
        <v/>
      </c>
      <c r="C7049" s="8" t="inlineStr">
        <is>
          <t>m</t>
        </is>
      </c>
    </row>
    <row r="7050">
      <c r="A7050" s="6" t="inlineStr">
        <is>
          <t>a = 12EI/h^3</t>
        </is>
      </c>
      <c r="B7050" s="20">
        <f>12*$B$7046/$B$7049^3</f>
        <v/>
      </c>
    </row>
    <row r="7051">
      <c r="A7051" s="6" t="inlineStr">
        <is>
          <t>b = 6EI/h^2</t>
        </is>
      </c>
      <c r="B7051" s="20">
        <f>6*$B$7046/$B$7049^2</f>
        <v/>
      </c>
    </row>
    <row r="7052">
      <c r="A7052" s="6" t="inlineStr">
        <is>
          <t>c = 4EI/h</t>
        </is>
      </c>
      <c r="B7052" s="20">
        <f>4*$B$7046/$B$7049</f>
        <v/>
      </c>
    </row>
    <row r="7053">
      <c r="A7053" s="6" t="inlineStr">
        <is>
          <t>d = 2EI/h</t>
        </is>
      </c>
      <c r="B7053" s="20">
        <f>2*$B$7046/$B$7049</f>
        <v/>
      </c>
    </row>
    <row r="7054">
      <c r="A7054" s="6" t="inlineStr">
        <is>
          <t>Su</t>
        </is>
      </c>
      <c r="B7054" s="20">
        <f>'2-Geotech'!$D$15</f>
        <v/>
      </c>
      <c r="C7054" s="8" t="inlineStr">
        <is>
          <t>kPa</t>
        </is>
      </c>
    </row>
    <row r="7055">
      <c r="A7055" s="6" t="inlineStr">
        <is>
          <t>gamma</t>
        </is>
      </c>
      <c r="B7055" s="20">
        <f>'2-Geotech'!$D$20</f>
        <v/>
      </c>
      <c r="C7055" s="8" t="inlineStr">
        <is>
          <t>kN/m3</t>
        </is>
      </c>
    </row>
    <row r="7056">
      <c r="A7056" s="6" t="inlineStr">
        <is>
          <t>gamma_sub</t>
        </is>
      </c>
      <c r="B7056" s="20">
        <f>'2-Geotech'!$D$22</f>
        <v/>
      </c>
      <c r="C7056" s="8" t="inlineStr">
        <is>
          <t>kN/m3</t>
        </is>
      </c>
    </row>
    <row r="7057">
      <c r="A7057" s="6" t="inlineStr">
        <is>
          <t>GWT depth</t>
        </is>
      </c>
      <c r="B7057" s="20">
        <f>'2-Geotech'!$D$23</f>
        <v/>
      </c>
      <c r="C7057" s="8" t="inlineStr">
        <is>
          <t>m</t>
        </is>
      </c>
    </row>
    <row r="7058">
      <c r="A7058" s="6" t="inlineStr">
        <is>
          <t>eps50</t>
        </is>
      </c>
      <c r="B7058" s="20">
        <f>'2-Geotech'!$D$18</f>
        <v/>
      </c>
      <c r="C7058" s="8" t="inlineStr">
        <is>
          <t>-</t>
        </is>
      </c>
    </row>
    <row r="7059">
      <c r="A7059" s="6" t="inlineStr">
        <is>
          <t>frost depth</t>
        </is>
      </c>
      <c r="B7059" s="20">
        <f>'2-Geotech'!$D$24</f>
        <v/>
      </c>
      <c r="C7059" s="8" t="inlineStr">
        <is>
          <t>m</t>
        </is>
      </c>
    </row>
    <row r="7060">
      <c r="A7060" s="6" t="inlineStr">
        <is>
          <t>J (Matlock)</t>
        </is>
      </c>
      <c r="B7060" s="20" t="n">
        <v>0.5</v>
      </c>
      <c r="C7060" s="8" t="inlineStr">
        <is>
          <t>-</t>
        </is>
      </c>
    </row>
    <row r="7061">
      <c r="A7061" s="6" t="inlineStr">
        <is>
          <t>y50 = 2.5*eps50*D</t>
        </is>
      </c>
      <c r="B7061" s="20">
        <f>2.5*$B$7058*$B$7042</f>
        <v/>
      </c>
      <c r="C7061" s="8" t="inlineStr">
        <is>
          <t>m</t>
        </is>
      </c>
    </row>
    <row r="7062">
      <c r="A7062" s="6" t="inlineStr">
        <is>
          <t>n_generations (unrolled iterations)</t>
        </is>
      </c>
      <c r="B7062" s="20" t="n">
        <v>45</v>
      </c>
      <c r="C7062" s="8" t="inlineStr">
        <is>
          <t>-</t>
        </is>
      </c>
    </row>
    <row r="7064">
      <c r="D7064" s="18" t="inlineStr">
        <is>
          <t>i</t>
        </is>
      </c>
      <c r="E7064" s="18" t="inlineStr">
        <is>
          <t>z (m)</t>
        </is>
      </c>
      <c r="F7064" s="18" t="inlineStr">
        <is>
          <t>sigma_v (kPa)</t>
        </is>
      </c>
      <c r="G7064" s="18" t="inlineStr">
        <is>
          <t>Np</t>
        </is>
      </c>
      <c r="H7064" s="18" t="inlineStr">
        <is>
          <t>pu (kN/m)</t>
        </is>
      </c>
      <c r="I7064" s="18" t="inlineStr">
        <is>
          <t>trib (m)</t>
        </is>
      </c>
    </row>
    <row r="7065">
      <c r="D7065" t="n">
        <v>0</v>
      </c>
      <c r="E7065" s="19">
        <f>$D$7065*$B$7049</f>
        <v/>
      </c>
      <c r="F7065" s="19">
        <f>IF($E$7065&lt;=$B$7057,$B$7055*$E$7065,$B$7055*$B$7057+$B$7056*($E$7065-$B$7057))</f>
        <v/>
      </c>
      <c r="G7065" s="19">
        <f>MIN(3+$F$7065/$B$7054+$B$7060*$E$7065/$B$7042,9)</f>
        <v/>
      </c>
      <c r="H7065" s="19">
        <f>$G$7065*$B$7054*$B$7042</f>
        <v/>
      </c>
      <c r="I7065" s="19">
        <f>IF(OR($D$7065=0,$D$7065=$B$7048),$B$7049/2,$B$7049)</f>
        <v/>
      </c>
    </row>
    <row r="7066">
      <c r="D7066" t="n">
        <v>1</v>
      </c>
      <c r="E7066" s="19">
        <f>$D$7066*$B$7049</f>
        <v/>
      </c>
      <c r="F7066" s="19">
        <f>IF($E$7066&lt;=$B$7057,$B$7055*$E$7066,$B$7055*$B$7057+$B$7056*($E$7066-$B$7057))</f>
        <v/>
      </c>
      <c r="G7066" s="19">
        <f>MIN(3+$F$7066/$B$7054+$B$7060*$E$7066/$B$7042,9)</f>
        <v/>
      </c>
      <c r="H7066" s="19">
        <f>$G$7066*$B$7054*$B$7042</f>
        <v/>
      </c>
      <c r="I7066" s="19">
        <f>IF(OR($D$7066=0,$D$7066=$B$7048),$B$7049/2,$B$7049)</f>
        <v/>
      </c>
    </row>
    <row r="7067">
      <c r="D7067" t="n">
        <v>2</v>
      </c>
      <c r="E7067" s="19">
        <f>$D$7067*$B$7049</f>
        <v/>
      </c>
      <c r="F7067" s="19">
        <f>IF($E$7067&lt;=$B$7057,$B$7055*$E$7067,$B$7055*$B$7057+$B$7056*($E$7067-$B$7057))</f>
        <v/>
      </c>
      <c r="G7067" s="19">
        <f>MIN(3+$F$7067/$B$7054+$B$7060*$E$7067/$B$7042,9)</f>
        <v/>
      </c>
      <c r="H7067" s="19">
        <f>$G$7067*$B$7054*$B$7042</f>
        <v/>
      </c>
      <c r="I7067" s="19">
        <f>IF(OR($D$7067=0,$D$7067=$B$7048),$B$7049/2,$B$7049)</f>
        <v/>
      </c>
    </row>
    <row r="7068">
      <c r="D7068" t="n">
        <v>3</v>
      </c>
      <c r="E7068" s="19">
        <f>$D$7068*$B$7049</f>
        <v/>
      </c>
      <c r="F7068" s="19">
        <f>IF($E$7068&lt;=$B$7057,$B$7055*$E$7068,$B$7055*$B$7057+$B$7056*($E$7068-$B$7057))</f>
        <v/>
      </c>
      <c r="G7068" s="19">
        <f>MIN(3+$F$7068/$B$7054+$B$7060*$E$7068/$B$7042,9)</f>
        <v/>
      </c>
      <c r="H7068" s="19">
        <f>$G$7068*$B$7054*$B$7042</f>
        <v/>
      </c>
      <c r="I7068" s="19">
        <f>IF(OR($D$7068=0,$D$7068=$B$7048),$B$7049/2,$B$7049)</f>
        <v/>
      </c>
    </row>
    <row r="7069">
      <c r="D7069" t="n">
        <v>4</v>
      </c>
      <c r="E7069" s="19">
        <f>$D$7069*$B$7049</f>
        <v/>
      </c>
      <c r="F7069" s="19">
        <f>IF($E$7069&lt;=$B$7057,$B$7055*$E$7069,$B$7055*$B$7057+$B$7056*($E$7069-$B$7057))</f>
        <v/>
      </c>
      <c r="G7069" s="19">
        <f>MIN(3+$F$7069/$B$7054+$B$7060*$E$7069/$B$7042,9)</f>
        <v/>
      </c>
      <c r="H7069" s="19">
        <f>$G$7069*$B$7054*$B$7042</f>
        <v/>
      </c>
      <c r="I7069" s="19">
        <f>IF(OR($D$7069=0,$D$7069=$B$7048),$B$7049/2,$B$7049)</f>
        <v/>
      </c>
    </row>
    <row r="7070">
      <c r="D7070" t="n">
        <v>5</v>
      </c>
      <c r="E7070" s="19">
        <f>$D$7070*$B$7049</f>
        <v/>
      </c>
      <c r="F7070" s="19">
        <f>IF($E$7070&lt;=$B$7057,$B$7055*$E$7070,$B$7055*$B$7057+$B$7056*($E$7070-$B$7057))</f>
        <v/>
      </c>
      <c r="G7070" s="19">
        <f>MIN(3+$F$7070/$B$7054+$B$7060*$E$7070/$B$7042,9)</f>
        <v/>
      </c>
      <c r="H7070" s="19">
        <f>$G$7070*$B$7054*$B$7042</f>
        <v/>
      </c>
      <c r="I7070" s="19">
        <f>IF(OR($D$7070=0,$D$7070=$B$7048),$B$7049/2,$B$7049)</f>
        <v/>
      </c>
    </row>
    <row r="7071">
      <c r="D7071" t="n">
        <v>6</v>
      </c>
      <c r="E7071" s="19">
        <f>$D$7071*$B$7049</f>
        <v/>
      </c>
      <c r="F7071" s="19">
        <f>IF($E$7071&lt;=$B$7057,$B$7055*$E$7071,$B$7055*$B$7057+$B$7056*($E$7071-$B$7057))</f>
        <v/>
      </c>
      <c r="G7071" s="19">
        <f>MIN(3+$F$7071/$B$7054+$B$7060*$E$7071/$B$7042,9)</f>
        <v/>
      </c>
      <c r="H7071" s="19">
        <f>$G$7071*$B$7054*$B$7042</f>
        <v/>
      </c>
      <c r="I7071" s="19">
        <f>IF(OR($D$7071=0,$D$7071=$B$7048),$B$7049/2,$B$7049)</f>
        <v/>
      </c>
    </row>
    <row r="7072">
      <c r="D7072" t="n">
        <v>7</v>
      </c>
      <c r="E7072" s="19">
        <f>$D$7072*$B$7049</f>
        <v/>
      </c>
      <c r="F7072" s="19">
        <f>IF($E$7072&lt;=$B$7057,$B$7055*$E$7072,$B$7055*$B$7057+$B$7056*($E$7072-$B$7057))</f>
        <v/>
      </c>
      <c r="G7072" s="19">
        <f>MIN(3+$F$7072/$B$7054+$B$7060*$E$7072/$B$7042,9)</f>
        <v/>
      </c>
      <c r="H7072" s="19">
        <f>$G$7072*$B$7054*$B$7042</f>
        <v/>
      </c>
      <c r="I7072" s="19">
        <f>IF(OR($D$7072=0,$D$7072=$B$7048),$B$7049/2,$B$7049)</f>
        <v/>
      </c>
    </row>
    <row r="7073">
      <c r="D7073" t="n">
        <v>8</v>
      </c>
      <c r="E7073" s="19">
        <f>$D$7073*$B$7049</f>
        <v/>
      </c>
      <c r="F7073" s="19">
        <f>IF($E$7073&lt;=$B$7057,$B$7055*$E$7073,$B$7055*$B$7057+$B$7056*($E$7073-$B$7057))</f>
        <v/>
      </c>
      <c r="G7073" s="19">
        <f>MIN(3+$F$7073/$B$7054+$B$7060*$E$7073/$B$7042,9)</f>
        <v/>
      </c>
      <c r="H7073" s="19">
        <f>$G$7073*$B$7054*$B$7042</f>
        <v/>
      </c>
      <c r="I7073" s="19">
        <f>IF(OR($D$7073=0,$D$7073=$B$7048),$B$7049/2,$B$7049)</f>
        <v/>
      </c>
    </row>
    <row r="7074">
      <c r="D7074" t="n">
        <v>9</v>
      </c>
      <c r="E7074" s="19">
        <f>$D$7074*$B$7049</f>
        <v/>
      </c>
      <c r="F7074" s="19">
        <f>IF($E$7074&lt;=$B$7057,$B$7055*$E$7074,$B$7055*$B$7057+$B$7056*($E$7074-$B$7057))</f>
        <v/>
      </c>
      <c r="G7074" s="19">
        <f>MIN(3+$F$7074/$B$7054+$B$7060*$E$7074/$B$7042,9)</f>
        <v/>
      </c>
      <c r="H7074" s="19">
        <f>$G$7074*$B$7054*$B$7042</f>
        <v/>
      </c>
      <c r="I7074" s="19">
        <f>IF(OR($D$7074=0,$D$7074=$B$7048),$B$7049/2,$B$7049)</f>
        <v/>
      </c>
    </row>
    <row r="7075">
      <c r="D7075" t="n">
        <v>10</v>
      </c>
      <c r="E7075" s="19">
        <f>$D$7075*$B$7049</f>
        <v/>
      </c>
      <c r="F7075" s="19">
        <f>IF($E$7075&lt;=$B$7057,$B$7055*$E$7075,$B$7055*$B$7057+$B$7056*($E$7075-$B$7057))</f>
        <v/>
      </c>
      <c r="G7075" s="19">
        <f>MIN(3+$F$7075/$B$7054+$B$7060*$E$7075/$B$7042,9)</f>
        <v/>
      </c>
      <c r="H7075" s="19">
        <f>$G$7075*$B$7054*$B$7042</f>
        <v/>
      </c>
      <c r="I7075" s="19">
        <f>IF(OR($D$7075=0,$D$7075=$B$7048),$B$7049/2,$B$7049)</f>
        <v/>
      </c>
    </row>
    <row r="7077">
      <c r="D7077" s="21">
        <f>$B$7040</f>
        <v/>
      </c>
    </row>
    <row r="7078">
      <c r="D7078" s="21">
        <f>$B$7041</f>
        <v/>
      </c>
    </row>
    <row r="7079">
      <c r="D7079" s="21" t="n">
        <v>0</v>
      </c>
    </row>
    <row r="7080">
      <c r="D7080" s="21" t="n">
        <v>0</v>
      </c>
    </row>
    <row r="7081">
      <c r="D7081" s="21" t="n">
        <v>0</v>
      </c>
    </row>
    <row r="7082">
      <c r="D7082" s="21" t="n">
        <v>0</v>
      </c>
    </row>
    <row r="7083">
      <c r="D7083" s="21" t="n">
        <v>0</v>
      </c>
    </row>
    <row r="7084">
      <c r="D7084" s="21" t="n">
        <v>0</v>
      </c>
    </row>
    <row r="7085">
      <c r="D7085" s="21" t="n">
        <v>0</v>
      </c>
    </row>
    <row r="7086">
      <c r="D7086" s="21" t="n">
        <v>0</v>
      </c>
    </row>
    <row r="7087">
      <c r="D7087" s="21" t="n">
        <v>0</v>
      </c>
    </row>
    <row r="7088">
      <c r="D7088" s="21" t="n">
        <v>0</v>
      </c>
    </row>
    <row r="7089">
      <c r="D7089" s="21" t="n">
        <v>0</v>
      </c>
    </row>
    <row r="7090">
      <c r="D7090" s="21" t="n">
        <v>0</v>
      </c>
    </row>
    <row r="7091">
      <c r="D7091" s="21" t="n">
        <v>0</v>
      </c>
    </row>
    <row r="7092">
      <c r="D7092" s="21" t="n">
        <v>0</v>
      </c>
    </row>
    <row r="7093">
      <c r="D7093" s="21" t="n">
        <v>0</v>
      </c>
    </row>
    <row r="7094">
      <c r="D7094" s="21" t="n">
        <v>0</v>
      </c>
    </row>
    <row r="7095">
      <c r="D7095" s="21" t="n">
        <v>0</v>
      </c>
    </row>
    <row r="7096">
      <c r="D7096" s="21" t="n">
        <v>0</v>
      </c>
    </row>
    <row r="7097">
      <c r="D7097" s="21" t="n">
        <v>0</v>
      </c>
    </row>
    <row r="7098">
      <c r="D7098" s="21" t="n">
        <v>0</v>
      </c>
    </row>
    <row r="7100">
      <c r="A7100" s="8" t="inlineStr">
        <is>
          <t>y seed (gen 0)</t>
        </is>
      </c>
    </row>
    <row r="7101">
      <c r="E7101" s="19" t="n">
        <v>1e-05</v>
      </c>
    </row>
    <row r="7102">
      <c r="E7102" s="19" t="n">
        <v>1e-05</v>
      </c>
    </row>
    <row r="7103">
      <c r="E7103" s="19" t="n">
        <v>1e-05</v>
      </c>
    </row>
    <row r="7104">
      <c r="E7104" s="19" t="n">
        <v>1e-05</v>
      </c>
    </row>
    <row r="7105">
      <c r="E7105" s="19" t="n">
        <v>1e-05</v>
      </c>
    </row>
    <row r="7106">
      <c r="E7106" s="19" t="n">
        <v>1e-05</v>
      </c>
    </row>
    <row r="7107">
      <c r="E7107" s="19" t="n">
        <v>1e-05</v>
      </c>
    </row>
    <row r="7108">
      <c r="E7108" s="19" t="n">
        <v>1e-05</v>
      </c>
    </row>
    <row r="7109">
      <c r="E7109" s="19" t="n">
        <v>1e-05</v>
      </c>
    </row>
    <row r="7110">
      <c r="E7110" s="19" t="n">
        <v>1e-05</v>
      </c>
    </row>
    <row r="7111">
      <c r="E7111" s="19" t="n">
        <v>1e-05</v>
      </c>
    </row>
    <row r="7112">
      <c r="A7112" s="8" t="inlineStr">
        <is>
          <t>gen 1</t>
        </is>
      </c>
    </row>
    <row r="7113">
      <c r="D7113" s="19">
        <f>IF(ABS(IF(ABS($E$7101)&gt;0.000000001,$E$7101,0.000000001))=0,0,IF($E$7065&lt;=$B$7059,0,IF(ABS(IF(ABS($E$7101)&gt;0.000000001,$E$7101,0.000000001))&gt;=8*$B$7061,$H$7065,0.5*$H$7065*(ABS(IF(ABS($E$7101)&gt;0.000000001,$E$7101,0.000000001))/$B$7061)^(1/3)))/ABS(IF(ABS($E$7101)&gt;0.000000001,$E$7101,0.000000001))*$I$7065)</f>
        <v/>
      </c>
      <c r="E7113" s="19">
        <f>0.5*$E$7101+0.5*$Z$7125</f>
        <v/>
      </c>
      <c r="F7113" s="19">
        <f>$Z$7126</f>
        <v/>
      </c>
    </row>
    <row r="7114">
      <c r="D7114" s="19">
        <f>IF(ABS(IF(ABS($E$7102)&gt;0.000000001,$E$7102,0.000000001))=0,0,IF($E$7066&lt;=$B$7059,0,IF(ABS(IF(ABS($E$7102)&gt;0.000000001,$E$7102,0.000000001))&gt;=8*$B$7061,$H$7066,0.5*$H$7066*(ABS(IF(ABS($E$7102)&gt;0.000000001,$E$7102,0.000000001))/$B$7061)^(1/3)))/ABS(IF(ABS($E$7102)&gt;0.000000001,$E$7102,0.000000001))*$I$7066)</f>
        <v/>
      </c>
      <c r="E7114" s="19">
        <f>0.5*$E$7102+0.5*$Z$7127</f>
        <v/>
      </c>
      <c r="F7114" s="19">
        <f>$Z$7128</f>
        <v/>
      </c>
    </row>
    <row r="7115">
      <c r="D7115" s="19">
        <f>IF(ABS(IF(ABS($E$7103)&gt;0.000000001,$E$7103,0.000000001))=0,0,IF($E$7067&lt;=$B$7059,0,IF(ABS(IF(ABS($E$7103)&gt;0.000000001,$E$7103,0.000000001))&gt;=8*$B$7061,$H$7067,0.5*$H$7067*(ABS(IF(ABS($E$7103)&gt;0.000000001,$E$7103,0.000000001))/$B$7061)^(1/3)))/ABS(IF(ABS($E$7103)&gt;0.000000001,$E$7103,0.000000001))*$I$7067)</f>
        <v/>
      </c>
      <c r="E7115" s="19">
        <f>0.5*$E$7103+0.5*$Z$7129</f>
        <v/>
      </c>
      <c r="F7115" s="19">
        <f>$Z$7130</f>
        <v/>
      </c>
    </row>
    <row r="7116">
      <c r="D7116" s="19">
        <f>IF(ABS(IF(ABS($E$7104)&gt;0.000000001,$E$7104,0.000000001))=0,0,IF($E$7068&lt;=$B$7059,0,IF(ABS(IF(ABS($E$7104)&gt;0.000000001,$E$7104,0.000000001))&gt;=8*$B$7061,$H$7068,0.5*$H$7068*(ABS(IF(ABS($E$7104)&gt;0.000000001,$E$7104,0.000000001))/$B$7061)^(1/3)))/ABS(IF(ABS($E$7104)&gt;0.000000001,$E$7104,0.000000001))*$I$7068)</f>
        <v/>
      </c>
      <c r="E7116" s="19">
        <f>0.5*$E$7104+0.5*$Z$7131</f>
        <v/>
      </c>
      <c r="F7116" s="19">
        <f>$Z$7132</f>
        <v/>
      </c>
    </row>
    <row r="7117">
      <c r="D7117" s="19">
        <f>IF(ABS(IF(ABS($E$7105)&gt;0.000000001,$E$7105,0.000000001))=0,0,IF($E$7069&lt;=$B$7059,0,IF(ABS(IF(ABS($E$7105)&gt;0.000000001,$E$7105,0.000000001))&gt;=8*$B$7061,$H$7069,0.5*$H$7069*(ABS(IF(ABS($E$7105)&gt;0.000000001,$E$7105,0.000000001))/$B$7061)^(1/3)))/ABS(IF(ABS($E$7105)&gt;0.000000001,$E$7105,0.000000001))*$I$7069)</f>
        <v/>
      </c>
      <c r="E7117" s="19">
        <f>0.5*$E$7105+0.5*$Z$7133</f>
        <v/>
      </c>
      <c r="F7117" s="19">
        <f>$Z$7134</f>
        <v/>
      </c>
    </row>
    <row r="7118">
      <c r="D7118" s="19">
        <f>IF(ABS(IF(ABS($E$7106)&gt;0.000000001,$E$7106,0.000000001))=0,0,IF($E$7070&lt;=$B$7059,0,IF(ABS(IF(ABS($E$7106)&gt;0.000000001,$E$7106,0.000000001))&gt;=8*$B$7061,$H$7070,0.5*$H$7070*(ABS(IF(ABS($E$7106)&gt;0.000000001,$E$7106,0.000000001))/$B$7061)^(1/3)))/ABS(IF(ABS($E$7106)&gt;0.000000001,$E$7106,0.000000001))*$I$7070)</f>
        <v/>
      </c>
      <c r="E7118" s="19">
        <f>0.5*$E$7106+0.5*$Z$7135</f>
        <v/>
      </c>
      <c r="F7118" s="19">
        <f>$Z$7136</f>
        <v/>
      </c>
    </row>
    <row r="7119">
      <c r="D7119" s="19">
        <f>IF(ABS(IF(ABS($E$7107)&gt;0.000000001,$E$7107,0.000000001))=0,0,IF($E$7071&lt;=$B$7059,0,IF(ABS(IF(ABS($E$7107)&gt;0.000000001,$E$7107,0.000000001))&gt;=8*$B$7061,$H$7071,0.5*$H$7071*(ABS(IF(ABS($E$7107)&gt;0.000000001,$E$7107,0.000000001))/$B$7061)^(1/3)))/ABS(IF(ABS($E$7107)&gt;0.000000001,$E$7107,0.000000001))*$I$7071)</f>
        <v/>
      </c>
      <c r="E7119" s="19">
        <f>0.5*$E$7107+0.5*$Z$7137</f>
        <v/>
      </c>
      <c r="F7119" s="19">
        <f>$Z$7138</f>
        <v/>
      </c>
    </row>
    <row r="7120">
      <c r="D7120" s="19">
        <f>IF(ABS(IF(ABS($E$7108)&gt;0.000000001,$E$7108,0.000000001))=0,0,IF($E$7072&lt;=$B$7059,0,IF(ABS(IF(ABS($E$7108)&gt;0.000000001,$E$7108,0.000000001))&gt;=8*$B$7061,$H$7072,0.5*$H$7072*(ABS(IF(ABS($E$7108)&gt;0.000000001,$E$7108,0.000000001))/$B$7061)^(1/3)))/ABS(IF(ABS($E$7108)&gt;0.000000001,$E$7108,0.000000001))*$I$7072)</f>
        <v/>
      </c>
      <c r="E7120" s="19">
        <f>0.5*$E$7108+0.5*$Z$7139</f>
        <v/>
      </c>
      <c r="F7120" s="19">
        <f>$Z$7140</f>
        <v/>
      </c>
    </row>
    <row r="7121">
      <c r="D7121" s="19">
        <f>IF(ABS(IF(ABS($E$7109)&gt;0.000000001,$E$7109,0.000000001))=0,0,IF($E$7073&lt;=$B$7059,0,IF(ABS(IF(ABS($E$7109)&gt;0.000000001,$E$7109,0.000000001))&gt;=8*$B$7061,$H$7073,0.5*$H$7073*(ABS(IF(ABS($E$7109)&gt;0.000000001,$E$7109,0.000000001))/$B$7061)^(1/3)))/ABS(IF(ABS($E$7109)&gt;0.000000001,$E$7109,0.000000001))*$I$7073)</f>
        <v/>
      </c>
      <c r="E7121" s="19">
        <f>0.5*$E$7109+0.5*$Z$7141</f>
        <v/>
      </c>
      <c r="F7121" s="19">
        <f>$Z$7142</f>
        <v/>
      </c>
    </row>
    <row r="7122">
      <c r="D7122" s="19">
        <f>IF(ABS(IF(ABS($E$7110)&gt;0.000000001,$E$7110,0.000000001))=0,0,IF($E$7074&lt;=$B$7059,0,IF(ABS(IF(ABS($E$7110)&gt;0.000000001,$E$7110,0.000000001))&gt;=8*$B$7061,$H$7074,0.5*$H$7074*(ABS(IF(ABS($E$7110)&gt;0.000000001,$E$7110,0.000000001))/$B$7061)^(1/3)))/ABS(IF(ABS($E$7110)&gt;0.000000001,$E$7110,0.000000001))*$I$7074)</f>
        <v/>
      </c>
      <c r="E7122" s="19">
        <f>0.5*$E$7110+0.5*$Z$7143</f>
        <v/>
      </c>
      <c r="F7122" s="19">
        <f>$Z$7144</f>
        <v/>
      </c>
    </row>
    <row r="7123">
      <c r="D7123" s="19">
        <f>IF(ABS(IF(ABS($E$7111)&gt;0.000000001,$E$7111,0.000000001))=0,0,IF($E$7075&lt;=$B$7059,0,IF(ABS(IF(ABS($E$7111)&gt;0.000000001,$E$7111,0.000000001))&gt;=8*$B$7061,$H$7075,0.5*$H$7075*(ABS(IF(ABS($E$7111)&gt;0.000000001,$E$7111,0.000000001))/$B$7061)^(1/3)))/ABS(IF(ABS($E$7111)&gt;0.000000001,$E$7111,0.000000001))*$I$7075)</f>
        <v/>
      </c>
      <c r="E7123" s="19">
        <f>0.5*$E$7111+0.5*$Z$7145</f>
        <v/>
      </c>
      <c r="F7123" s="19">
        <f>$Z$7146</f>
        <v/>
      </c>
    </row>
    <row r="7125">
      <c r="D7125" s="21">
        <f>$B$7050+$D$7113</f>
        <v/>
      </c>
      <c r="E7125" s="21">
        <f>$B$7051</f>
        <v/>
      </c>
      <c r="F7125" s="21">
        <f>-$B$7050</f>
        <v/>
      </c>
      <c r="G7125" s="21">
        <f>$B$7051</f>
        <v/>
      </c>
      <c r="H7125" s="21" t="n">
        <v>0</v>
      </c>
      <c r="I7125" s="21" t="n">
        <v>0</v>
      </c>
      <c r="J7125" s="21" t="n">
        <v>0</v>
      </c>
      <c r="K7125" s="21" t="n">
        <v>0</v>
      </c>
      <c r="L7125" s="21" t="n">
        <v>0</v>
      </c>
      <c r="M7125" s="21" t="n">
        <v>0</v>
      </c>
      <c r="N7125" s="21" t="n">
        <v>0</v>
      </c>
      <c r="O7125" s="21" t="n">
        <v>0</v>
      </c>
      <c r="P7125" s="21" t="n">
        <v>0</v>
      </c>
      <c r="Q7125" s="21" t="n">
        <v>0</v>
      </c>
      <c r="R7125" s="21" t="n">
        <v>0</v>
      </c>
      <c r="S7125" s="21" t="n">
        <v>0</v>
      </c>
      <c r="T7125" s="21" t="n">
        <v>0</v>
      </c>
      <c r="U7125" s="21" t="n">
        <v>0</v>
      </c>
      <c r="V7125" s="21" t="n">
        <v>0</v>
      </c>
      <c r="W7125" s="21" t="n">
        <v>0</v>
      </c>
      <c r="X7125" s="21" t="n">
        <v>0</v>
      </c>
      <c r="Y7125" s="21" t="n">
        <v>0</v>
      </c>
      <c r="Z7125" s="19">
        <f t="array" ref="Z7125:Z7146">MMULT(MINVERSE($D$7125:$Y$7146),$D$7077:$D$7098)</f>
        <v/>
      </c>
    </row>
    <row r="7126">
      <c r="D7126" s="21">
        <f>$B$7051</f>
        <v/>
      </c>
      <c r="E7126" s="21">
        <f>$B$7052</f>
        <v/>
      </c>
      <c r="F7126" s="21">
        <f>-$B$7051</f>
        <v/>
      </c>
      <c r="G7126" s="21">
        <f>$B$7053</f>
        <v/>
      </c>
      <c r="H7126" s="21" t="n">
        <v>0</v>
      </c>
      <c r="I7126" s="21" t="n">
        <v>0</v>
      </c>
      <c r="J7126" s="21" t="n">
        <v>0</v>
      </c>
      <c r="K7126" s="21" t="n">
        <v>0</v>
      </c>
      <c r="L7126" s="21" t="n">
        <v>0</v>
      </c>
      <c r="M7126" s="21" t="n">
        <v>0</v>
      </c>
      <c r="N7126" s="21" t="n">
        <v>0</v>
      </c>
      <c r="O7126" s="21" t="n">
        <v>0</v>
      </c>
      <c r="P7126" s="21" t="n">
        <v>0</v>
      </c>
      <c r="Q7126" s="21" t="n">
        <v>0</v>
      </c>
      <c r="R7126" s="21" t="n">
        <v>0</v>
      </c>
      <c r="S7126" s="21" t="n">
        <v>0</v>
      </c>
      <c r="T7126" s="21" t="n">
        <v>0</v>
      </c>
      <c r="U7126" s="21" t="n">
        <v>0</v>
      </c>
      <c r="V7126" s="21" t="n">
        <v>0</v>
      </c>
      <c r="W7126" s="21" t="n">
        <v>0</v>
      </c>
      <c r="X7126" s="21" t="n">
        <v>0</v>
      </c>
      <c r="Y7126" s="21" t="n">
        <v>0</v>
      </c>
      <c r="Z7126" s="19" t="n"/>
    </row>
    <row r="7127">
      <c r="D7127" s="21">
        <f>-$B$7050</f>
        <v/>
      </c>
      <c r="E7127" s="21">
        <f>-$B$7051</f>
        <v/>
      </c>
      <c r="F7127" s="21">
        <f>2*$B$7050+$D$7114</f>
        <v/>
      </c>
      <c r="G7127" s="21">
        <f>0</f>
        <v/>
      </c>
      <c r="H7127" s="21">
        <f>-$B$7050</f>
        <v/>
      </c>
      <c r="I7127" s="21">
        <f>$B$7051</f>
        <v/>
      </c>
      <c r="J7127" s="21" t="n">
        <v>0</v>
      </c>
      <c r="K7127" s="21" t="n">
        <v>0</v>
      </c>
      <c r="L7127" s="21" t="n">
        <v>0</v>
      </c>
      <c r="M7127" s="21" t="n">
        <v>0</v>
      </c>
      <c r="N7127" s="21" t="n">
        <v>0</v>
      </c>
      <c r="O7127" s="21" t="n">
        <v>0</v>
      </c>
      <c r="P7127" s="21" t="n">
        <v>0</v>
      </c>
      <c r="Q7127" s="21" t="n">
        <v>0</v>
      </c>
      <c r="R7127" s="21" t="n">
        <v>0</v>
      </c>
      <c r="S7127" s="21" t="n">
        <v>0</v>
      </c>
      <c r="T7127" s="21" t="n">
        <v>0</v>
      </c>
      <c r="U7127" s="21" t="n">
        <v>0</v>
      </c>
      <c r="V7127" s="21" t="n">
        <v>0</v>
      </c>
      <c r="W7127" s="21" t="n">
        <v>0</v>
      </c>
      <c r="X7127" s="21" t="n">
        <v>0</v>
      </c>
      <c r="Y7127" s="21" t="n">
        <v>0</v>
      </c>
      <c r="Z7127" s="19" t="n"/>
    </row>
    <row r="7128">
      <c r="D7128" s="21">
        <f>$B$7051</f>
        <v/>
      </c>
      <c r="E7128" s="21">
        <f>$B$7053</f>
        <v/>
      </c>
      <c r="F7128" s="21">
        <f>0</f>
        <v/>
      </c>
      <c r="G7128" s="21">
        <f>2*$B$7052</f>
        <v/>
      </c>
      <c r="H7128" s="21">
        <f>-$B$7051</f>
        <v/>
      </c>
      <c r="I7128" s="21">
        <f>$B$7053</f>
        <v/>
      </c>
      <c r="J7128" s="21" t="n">
        <v>0</v>
      </c>
      <c r="K7128" s="21" t="n">
        <v>0</v>
      </c>
      <c r="L7128" s="21" t="n">
        <v>0</v>
      </c>
      <c r="M7128" s="21" t="n">
        <v>0</v>
      </c>
      <c r="N7128" s="21" t="n">
        <v>0</v>
      </c>
      <c r="O7128" s="21" t="n">
        <v>0</v>
      </c>
      <c r="P7128" s="21" t="n">
        <v>0</v>
      </c>
      <c r="Q7128" s="21" t="n">
        <v>0</v>
      </c>
      <c r="R7128" s="21" t="n">
        <v>0</v>
      </c>
      <c r="S7128" s="21" t="n">
        <v>0</v>
      </c>
      <c r="T7128" s="21" t="n">
        <v>0</v>
      </c>
      <c r="U7128" s="21" t="n">
        <v>0</v>
      </c>
      <c r="V7128" s="21" t="n">
        <v>0</v>
      </c>
      <c r="W7128" s="21" t="n">
        <v>0</v>
      </c>
      <c r="X7128" s="21" t="n">
        <v>0</v>
      </c>
      <c r="Y7128" s="21" t="n">
        <v>0</v>
      </c>
      <c r="Z7128" s="19" t="n"/>
    </row>
    <row r="7129">
      <c r="D7129" s="21" t="n">
        <v>0</v>
      </c>
      <c r="E7129" s="21" t="n">
        <v>0</v>
      </c>
      <c r="F7129" s="21">
        <f>-$B$7050</f>
        <v/>
      </c>
      <c r="G7129" s="21">
        <f>-$B$7051</f>
        <v/>
      </c>
      <c r="H7129" s="21">
        <f>2*$B$7050+$D$7115</f>
        <v/>
      </c>
      <c r="I7129" s="21">
        <f>0</f>
        <v/>
      </c>
      <c r="J7129" s="21">
        <f>-$B$7050</f>
        <v/>
      </c>
      <c r="K7129" s="21">
        <f>$B$7051</f>
        <v/>
      </c>
      <c r="L7129" s="21" t="n">
        <v>0</v>
      </c>
      <c r="M7129" s="21" t="n">
        <v>0</v>
      </c>
      <c r="N7129" s="21" t="n">
        <v>0</v>
      </c>
      <c r="O7129" s="21" t="n">
        <v>0</v>
      </c>
      <c r="P7129" s="21" t="n">
        <v>0</v>
      </c>
      <c r="Q7129" s="21" t="n">
        <v>0</v>
      </c>
      <c r="R7129" s="21" t="n">
        <v>0</v>
      </c>
      <c r="S7129" s="21" t="n">
        <v>0</v>
      </c>
      <c r="T7129" s="21" t="n">
        <v>0</v>
      </c>
      <c r="U7129" s="21" t="n">
        <v>0</v>
      </c>
      <c r="V7129" s="21" t="n">
        <v>0</v>
      </c>
      <c r="W7129" s="21" t="n">
        <v>0</v>
      </c>
      <c r="X7129" s="21" t="n">
        <v>0</v>
      </c>
      <c r="Y7129" s="21" t="n">
        <v>0</v>
      </c>
      <c r="Z7129" s="19" t="n"/>
    </row>
    <row r="7130">
      <c r="D7130" s="21" t="n">
        <v>0</v>
      </c>
      <c r="E7130" s="21" t="n">
        <v>0</v>
      </c>
      <c r="F7130" s="21">
        <f>$B$7051</f>
        <v/>
      </c>
      <c r="G7130" s="21">
        <f>$B$7053</f>
        <v/>
      </c>
      <c r="H7130" s="21">
        <f>0</f>
        <v/>
      </c>
      <c r="I7130" s="21">
        <f>2*$B$7052</f>
        <v/>
      </c>
      <c r="J7130" s="21">
        <f>-$B$7051</f>
        <v/>
      </c>
      <c r="K7130" s="21">
        <f>$B$7053</f>
        <v/>
      </c>
      <c r="L7130" s="21" t="n">
        <v>0</v>
      </c>
      <c r="M7130" s="21" t="n">
        <v>0</v>
      </c>
      <c r="N7130" s="21" t="n">
        <v>0</v>
      </c>
      <c r="O7130" s="21" t="n">
        <v>0</v>
      </c>
      <c r="P7130" s="21" t="n">
        <v>0</v>
      </c>
      <c r="Q7130" s="21" t="n">
        <v>0</v>
      </c>
      <c r="R7130" s="21" t="n">
        <v>0</v>
      </c>
      <c r="S7130" s="21" t="n">
        <v>0</v>
      </c>
      <c r="T7130" s="21" t="n">
        <v>0</v>
      </c>
      <c r="U7130" s="21" t="n">
        <v>0</v>
      </c>
      <c r="V7130" s="21" t="n">
        <v>0</v>
      </c>
      <c r="W7130" s="21" t="n">
        <v>0</v>
      </c>
      <c r="X7130" s="21" t="n">
        <v>0</v>
      </c>
      <c r="Y7130" s="21" t="n">
        <v>0</v>
      </c>
      <c r="Z7130" s="19" t="n"/>
    </row>
    <row r="7131">
      <c r="D7131" s="21" t="n">
        <v>0</v>
      </c>
      <c r="E7131" s="21" t="n">
        <v>0</v>
      </c>
      <c r="F7131" s="21" t="n">
        <v>0</v>
      </c>
      <c r="G7131" s="21" t="n">
        <v>0</v>
      </c>
      <c r="H7131" s="21">
        <f>-$B$7050</f>
        <v/>
      </c>
      <c r="I7131" s="21">
        <f>-$B$7051</f>
        <v/>
      </c>
      <c r="J7131" s="21">
        <f>2*$B$7050+$D$7116</f>
        <v/>
      </c>
      <c r="K7131" s="21">
        <f>0</f>
        <v/>
      </c>
      <c r="L7131" s="21">
        <f>-$B$7050</f>
        <v/>
      </c>
      <c r="M7131" s="21">
        <f>$B$7051</f>
        <v/>
      </c>
      <c r="N7131" s="21" t="n">
        <v>0</v>
      </c>
      <c r="O7131" s="21" t="n">
        <v>0</v>
      </c>
      <c r="P7131" s="21" t="n">
        <v>0</v>
      </c>
      <c r="Q7131" s="21" t="n">
        <v>0</v>
      </c>
      <c r="R7131" s="21" t="n">
        <v>0</v>
      </c>
      <c r="S7131" s="21" t="n">
        <v>0</v>
      </c>
      <c r="T7131" s="21" t="n">
        <v>0</v>
      </c>
      <c r="U7131" s="21" t="n">
        <v>0</v>
      </c>
      <c r="V7131" s="21" t="n">
        <v>0</v>
      </c>
      <c r="W7131" s="21" t="n">
        <v>0</v>
      </c>
      <c r="X7131" s="21" t="n">
        <v>0</v>
      </c>
      <c r="Y7131" s="21" t="n">
        <v>0</v>
      </c>
      <c r="Z7131" s="19" t="n"/>
    </row>
    <row r="7132">
      <c r="D7132" s="21" t="n">
        <v>0</v>
      </c>
      <c r="E7132" s="21" t="n">
        <v>0</v>
      </c>
      <c r="F7132" s="21" t="n">
        <v>0</v>
      </c>
      <c r="G7132" s="21" t="n">
        <v>0</v>
      </c>
      <c r="H7132" s="21">
        <f>$B$7051</f>
        <v/>
      </c>
      <c r="I7132" s="21">
        <f>$B$7053</f>
        <v/>
      </c>
      <c r="J7132" s="21">
        <f>0</f>
        <v/>
      </c>
      <c r="K7132" s="21">
        <f>2*$B$7052</f>
        <v/>
      </c>
      <c r="L7132" s="21">
        <f>-$B$7051</f>
        <v/>
      </c>
      <c r="M7132" s="21">
        <f>$B$7053</f>
        <v/>
      </c>
      <c r="N7132" s="21" t="n">
        <v>0</v>
      </c>
      <c r="O7132" s="21" t="n">
        <v>0</v>
      </c>
      <c r="P7132" s="21" t="n">
        <v>0</v>
      </c>
      <c r="Q7132" s="21" t="n">
        <v>0</v>
      </c>
      <c r="R7132" s="21" t="n">
        <v>0</v>
      </c>
      <c r="S7132" s="21" t="n">
        <v>0</v>
      </c>
      <c r="T7132" s="21" t="n">
        <v>0</v>
      </c>
      <c r="U7132" s="21" t="n">
        <v>0</v>
      </c>
      <c r="V7132" s="21" t="n">
        <v>0</v>
      </c>
      <c r="W7132" s="21" t="n">
        <v>0</v>
      </c>
      <c r="X7132" s="21" t="n">
        <v>0</v>
      </c>
      <c r="Y7132" s="21" t="n">
        <v>0</v>
      </c>
      <c r="Z7132" s="19" t="n"/>
    </row>
    <row r="7133">
      <c r="D7133" s="21" t="n">
        <v>0</v>
      </c>
      <c r="E7133" s="21" t="n">
        <v>0</v>
      </c>
      <c r="F7133" s="21" t="n">
        <v>0</v>
      </c>
      <c r="G7133" s="21" t="n">
        <v>0</v>
      </c>
      <c r="H7133" s="21" t="n">
        <v>0</v>
      </c>
      <c r="I7133" s="21" t="n">
        <v>0</v>
      </c>
      <c r="J7133" s="21">
        <f>-$B$7050</f>
        <v/>
      </c>
      <c r="K7133" s="21">
        <f>-$B$7051</f>
        <v/>
      </c>
      <c r="L7133" s="21">
        <f>2*$B$7050+$D$7117</f>
        <v/>
      </c>
      <c r="M7133" s="21">
        <f>0</f>
        <v/>
      </c>
      <c r="N7133" s="21">
        <f>-$B$7050</f>
        <v/>
      </c>
      <c r="O7133" s="21">
        <f>$B$7051</f>
        <v/>
      </c>
      <c r="P7133" s="21" t="n">
        <v>0</v>
      </c>
      <c r="Q7133" s="21" t="n">
        <v>0</v>
      </c>
      <c r="R7133" s="21" t="n">
        <v>0</v>
      </c>
      <c r="S7133" s="21" t="n">
        <v>0</v>
      </c>
      <c r="T7133" s="21" t="n">
        <v>0</v>
      </c>
      <c r="U7133" s="21" t="n">
        <v>0</v>
      </c>
      <c r="V7133" s="21" t="n">
        <v>0</v>
      </c>
      <c r="W7133" s="21" t="n">
        <v>0</v>
      </c>
      <c r="X7133" s="21" t="n">
        <v>0</v>
      </c>
      <c r="Y7133" s="21" t="n">
        <v>0</v>
      </c>
      <c r="Z7133" s="19" t="n"/>
    </row>
    <row r="7134">
      <c r="D7134" s="21" t="n">
        <v>0</v>
      </c>
      <c r="E7134" s="21" t="n">
        <v>0</v>
      </c>
      <c r="F7134" s="21" t="n">
        <v>0</v>
      </c>
      <c r="G7134" s="21" t="n">
        <v>0</v>
      </c>
      <c r="H7134" s="21" t="n">
        <v>0</v>
      </c>
      <c r="I7134" s="21" t="n">
        <v>0</v>
      </c>
      <c r="J7134" s="21">
        <f>$B$7051</f>
        <v/>
      </c>
      <c r="K7134" s="21">
        <f>$B$7053</f>
        <v/>
      </c>
      <c r="L7134" s="21">
        <f>0</f>
        <v/>
      </c>
      <c r="M7134" s="21">
        <f>2*$B$7052</f>
        <v/>
      </c>
      <c r="N7134" s="21">
        <f>-$B$7051</f>
        <v/>
      </c>
      <c r="O7134" s="21">
        <f>$B$7053</f>
        <v/>
      </c>
      <c r="P7134" s="21" t="n">
        <v>0</v>
      </c>
      <c r="Q7134" s="21" t="n">
        <v>0</v>
      </c>
      <c r="R7134" s="21" t="n">
        <v>0</v>
      </c>
      <c r="S7134" s="21" t="n">
        <v>0</v>
      </c>
      <c r="T7134" s="21" t="n">
        <v>0</v>
      </c>
      <c r="U7134" s="21" t="n">
        <v>0</v>
      </c>
      <c r="V7134" s="21" t="n">
        <v>0</v>
      </c>
      <c r="W7134" s="21" t="n">
        <v>0</v>
      </c>
      <c r="X7134" s="21" t="n">
        <v>0</v>
      </c>
      <c r="Y7134" s="21" t="n">
        <v>0</v>
      </c>
      <c r="Z7134" s="19" t="n"/>
    </row>
    <row r="7135">
      <c r="D7135" s="21" t="n">
        <v>0</v>
      </c>
      <c r="E7135" s="21" t="n">
        <v>0</v>
      </c>
      <c r="F7135" s="21" t="n">
        <v>0</v>
      </c>
      <c r="G7135" s="21" t="n">
        <v>0</v>
      </c>
      <c r="H7135" s="21" t="n">
        <v>0</v>
      </c>
      <c r="I7135" s="21" t="n">
        <v>0</v>
      </c>
      <c r="J7135" s="21" t="n">
        <v>0</v>
      </c>
      <c r="K7135" s="21" t="n">
        <v>0</v>
      </c>
      <c r="L7135" s="21">
        <f>-$B$7050</f>
        <v/>
      </c>
      <c r="M7135" s="21">
        <f>-$B$7051</f>
        <v/>
      </c>
      <c r="N7135" s="21">
        <f>2*$B$7050+$D$7118</f>
        <v/>
      </c>
      <c r="O7135" s="21">
        <f>0</f>
        <v/>
      </c>
      <c r="P7135" s="21">
        <f>-$B$7050</f>
        <v/>
      </c>
      <c r="Q7135" s="21">
        <f>$B$7051</f>
        <v/>
      </c>
      <c r="R7135" s="21" t="n">
        <v>0</v>
      </c>
      <c r="S7135" s="21" t="n">
        <v>0</v>
      </c>
      <c r="T7135" s="21" t="n">
        <v>0</v>
      </c>
      <c r="U7135" s="21" t="n">
        <v>0</v>
      </c>
      <c r="V7135" s="21" t="n">
        <v>0</v>
      </c>
      <c r="W7135" s="21" t="n">
        <v>0</v>
      </c>
      <c r="X7135" s="21" t="n">
        <v>0</v>
      </c>
      <c r="Y7135" s="21" t="n">
        <v>0</v>
      </c>
      <c r="Z7135" s="19" t="n"/>
    </row>
    <row r="7136">
      <c r="D7136" s="21" t="n">
        <v>0</v>
      </c>
      <c r="E7136" s="21" t="n">
        <v>0</v>
      </c>
      <c r="F7136" s="21" t="n">
        <v>0</v>
      </c>
      <c r="G7136" s="21" t="n">
        <v>0</v>
      </c>
      <c r="H7136" s="21" t="n">
        <v>0</v>
      </c>
      <c r="I7136" s="21" t="n">
        <v>0</v>
      </c>
      <c r="J7136" s="21" t="n">
        <v>0</v>
      </c>
      <c r="K7136" s="21" t="n">
        <v>0</v>
      </c>
      <c r="L7136" s="21">
        <f>$B$7051</f>
        <v/>
      </c>
      <c r="M7136" s="21">
        <f>$B$7053</f>
        <v/>
      </c>
      <c r="N7136" s="21">
        <f>0</f>
        <v/>
      </c>
      <c r="O7136" s="21">
        <f>2*$B$7052</f>
        <v/>
      </c>
      <c r="P7136" s="21">
        <f>-$B$7051</f>
        <v/>
      </c>
      <c r="Q7136" s="21">
        <f>$B$7053</f>
        <v/>
      </c>
      <c r="R7136" s="21" t="n">
        <v>0</v>
      </c>
      <c r="S7136" s="21" t="n">
        <v>0</v>
      </c>
      <c r="T7136" s="21" t="n">
        <v>0</v>
      </c>
      <c r="U7136" s="21" t="n">
        <v>0</v>
      </c>
      <c r="V7136" s="21" t="n">
        <v>0</v>
      </c>
      <c r="W7136" s="21" t="n">
        <v>0</v>
      </c>
      <c r="X7136" s="21" t="n">
        <v>0</v>
      </c>
      <c r="Y7136" s="21" t="n">
        <v>0</v>
      </c>
      <c r="Z7136" s="19" t="n"/>
    </row>
    <row r="7137">
      <c r="D7137" s="21" t="n">
        <v>0</v>
      </c>
      <c r="E7137" s="21" t="n">
        <v>0</v>
      </c>
      <c r="F7137" s="21" t="n">
        <v>0</v>
      </c>
      <c r="G7137" s="21" t="n">
        <v>0</v>
      </c>
      <c r="H7137" s="21" t="n">
        <v>0</v>
      </c>
      <c r="I7137" s="21" t="n">
        <v>0</v>
      </c>
      <c r="J7137" s="21" t="n">
        <v>0</v>
      </c>
      <c r="K7137" s="21" t="n">
        <v>0</v>
      </c>
      <c r="L7137" s="21" t="n">
        <v>0</v>
      </c>
      <c r="M7137" s="21" t="n">
        <v>0</v>
      </c>
      <c r="N7137" s="21">
        <f>-$B$7050</f>
        <v/>
      </c>
      <c r="O7137" s="21">
        <f>-$B$7051</f>
        <v/>
      </c>
      <c r="P7137" s="21">
        <f>2*$B$7050+$D$7119</f>
        <v/>
      </c>
      <c r="Q7137" s="21">
        <f>0</f>
        <v/>
      </c>
      <c r="R7137" s="21">
        <f>-$B$7050</f>
        <v/>
      </c>
      <c r="S7137" s="21">
        <f>$B$7051</f>
        <v/>
      </c>
      <c r="T7137" s="21" t="n">
        <v>0</v>
      </c>
      <c r="U7137" s="21" t="n">
        <v>0</v>
      </c>
      <c r="V7137" s="21" t="n">
        <v>0</v>
      </c>
      <c r="W7137" s="21" t="n">
        <v>0</v>
      </c>
      <c r="X7137" s="21" t="n">
        <v>0</v>
      </c>
      <c r="Y7137" s="21" t="n">
        <v>0</v>
      </c>
      <c r="Z7137" s="19" t="n"/>
    </row>
    <row r="7138">
      <c r="D7138" s="21" t="n">
        <v>0</v>
      </c>
      <c r="E7138" s="21" t="n">
        <v>0</v>
      </c>
      <c r="F7138" s="21" t="n">
        <v>0</v>
      </c>
      <c r="G7138" s="21" t="n">
        <v>0</v>
      </c>
      <c r="H7138" s="21" t="n">
        <v>0</v>
      </c>
      <c r="I7138" s="21" t="n">
        <v>0</v>
      </c>
      <c r="J7138" s="21" t="n">
        <v>0</v>
      </c>
      <c r="K7138" s="21" t="n">
        <v>0</v>
      </c>
      <c r="L7138" s="21" t="n">
        <v>0</v>
      </c>
      <c r="M7138" s="21" t="n">
        <v>0</v>
      </c>
      <c r="N7138" s="21">
        <f>$B$7051</f>
        <v/>
      </c>
      <c r="O7138" s="21">
        <f>$B$7053</f>
        <v/>
      </c>
      <c r="P7138" s="21">
        <f>0</f>
        <v/>
      </c>
      <c r="Q7138" s="21">
        <f>2*$B$7052</f>
        <v/>
      </c>
      <c r="R7138" s="21">
        <f>-$B$7051</f>
        <v/>
      </c>
      <c r="S7138" s="21">
        <f>$B$7053</f>
        <v/>
      </c>
      <c r="T7138" s="21" t="n">
        <v>0</v>
      </c>
      <c r="U7138" s="21" t="n">
        <v>0</v>
      </c>
      <c r="V7138" s="21" t="n">
        <v>0</v>
      </c>
      <c r="W7138" s="21" t="n">
        <v>0</v>
      </c>
      <c r="X7138" s="21" t="n">
        <v>0</v>
      </c>
      <c r="Y7138" s="21" t="n">
        <v>0</v>
      </c>
      <c r="Z7138" s="19" t="n"/>
    </row>
    <row r="7139">
      <c r="D7139" s="21" t="n">
        <v>0</v>
      </c>
      <c r="E7139" s="21" t="n">
        <v>0</v>
      </c>
      <c r="F7139" s="21" t="n">
        <v>0</v>
      </c>
      <c r="G7139" s="21" t="n">
        <v>0</v>
      </c>
      <c r="H7139" s="21" t="n">
        <v>0</v>
      </c>
      <c r="I7139" s="21" t="n">
        <v>0</v>
      </c>
      <c r="J7139" s="21" t="n">
        <v>0</v>
      </c>
      <c r="K7139" s="21" t="n">
        <v>0</v>
      </c>
      <c r="L7139" s="21" t="n">
        <v>0</v>
      </c>
      <c r="M7139" s="21" t="n">
        <v>0</v>
      </c>
      <c r="N7139" s="21" t="n">
        <v>0</v>
      </c>
      <c r="O7139" s="21" t="n">
        <v>0</v>
      </c>
      <c r="P7139" s="21">
        <f>-$B$7050</f>
        <v/>
      </c>
      <c r="Q7139" s="21">
        <f>-$B$7051</f>
        <v/>
      </c>
      <c r="R7139" s="21">
        <f>2*$B$7050+$D$7120</f>
        <v/>
      </c>
      <c r="S7139" s="21">
        <f>0</f>
        <v/>
      </c>
      <c r="T7139" s="21">
        <f>-$B$7050</f>
        <v/>
      </c>
      <c r="U7139" s="21">
        <f>$B$7051</f>
        <v/>
      </c>
      <c r="V7139" s="21" t="n">
        <v>0</v>
      </c>
      <c r="W7139" s="21" t="n">
        <v>0</v>
      </c>
      <c r="X7139" s="21" t="n">
        <v>0</v>
      </c>
      <c r="Y7139" s="21" t="n">
        <v>0</v>
      </c>
      <c r="Z7139" s="19" t="n"/>
    </row>
    <row r="7140">
      <c r="D7140" s="21" t="n">
        <v>0</v>
      </c>
      <c r="E7140" s="21" t="n">
        <v>0</v>
      </c>
      <c r="F7140" s="21" t="n">
        <v>0</v>
      </c>
      <c r="G7140" s="21" t="n">
        <v>0</v>
      </c>
      <c r="H7140" s="21" t="n">
        <v>0</v>
      </c>
      <c r="I7140" s="21" t="n">
        <v>0</v>
      </c>
      <c r="J7140" s="21" t="n">
        <v>0</v>
      </c>
      <c r="K7140" s="21" t="n">
        <v>0</v>
      </c>
      <c r="L7140" s="21" t="n">
        <v>0</v>
      </c>
      <c r="M7140" s="21" t="n">
        <v>0</v>
      </c>
      <c r="N7140" s="21" t="n">
        <v>0</v>
      </c>
      <c r="O7140" s="21" t="n">
        <v>0</v>
      </c>
      <c r="P7140" s="21">
        <f>$B$7051</f>
        <v/>
      </c>
      <c r="Q7140" s="21">
        <f>$B$7053</f>
        <v/>
      </c>
      <c r="R7140" s="21">
        <f>0</f>
        <v/>
      </c>
      <c r="S7140" s="21">
        <f>2*$B$7052</f>
        <v/>
      </c>
      <c r="T7140" s="21">
        <f>-$B$7051</f>
        <v/>
      </c>
      <c r="U7140" s="21">
        <f>$B$7053</f>
        <v/>
      </c>
      <c r="V7140" s="21" t="n">
        <v>0</v>
      </c>
      <c r="W7140" s="21" t="n">
        <v>0</v>
      </c>
      <c r="X7140" s="21" t="n">
        <v>0</v>
      </c>
      <c r="Y7140" s="21" t="n">
        <v>0</v>
      </c>
      <c r="Z7140" s="19" t="n"/>
    </row>
    <row r="7141">
      <c r="D7141" s="21" t="n">
        <v>0</v>
      </c>
      <c r="E7141" s="21" t="n">
        <v>0</v>
      </c>
      <c r="F7141" s="21" t="n">
        <v>0</v>
      </c>
      <c r="G7141" s="21" t="n">
        <v>0</v>
      </c>
      <c r="H7141" s="21" t="n">
        <v>0</v>
      </c>
      <c r="I7141" s="21" t="n">
        <v>0</v>
      </c>
      <c r="J7141" s="21" t="n">
        <v>0</v>
      </c>
      <c r="K7141" s="21" t="n">
        <v>0</v>
      </c>
      <c r="L7141" s="21" t="n">
        <v>0</v>
      </c>
      <c r="M7141" s="21" t="n">
        <v>0</v>
      </c>
      <c r="N7141" s="21" t="n">
        <v>0</v>
      </c>
      <c r="O7141" s="21" t="n">
        <v>0</v>
      </c>
      <c r="P7141" s="21" t="n">
        <v>0</v>
      </c>
      <c r="Q7141" s="21" t="n">
        <v>0</v>
      </c>
      <c r="R7141" s="21">
        <f>-$B$7050</f>
        <v/>
      </c>
      <c r="S7141" s="21">
        <f>-$B$7051</f>
        <v/>
      </c>
      <c r="T7141" s="21">
        <f>2*$B$7050+$D$7121</f>
        <v/>
      </c>
      <c r="U7141" s="21">
        <f>0</f>
        <v/>
      </c>
      <c r="V7141" s="21">
        <f>-$B$7050</f>
        <v/>
      </c>
      <c r="W7141" s="21">
        <f>$B$7051</f>
        <v/>
      </c>
      <c r="X7141" s="21" t="n">
        <v>0</v>
      </c>
      <c r="Y7141" s="21" t="n">
        <v>0</v>
      </c>
      <c r="Z7141" s="19" t="n"/>
    </row>
    <row r="7142">
      <c r="D7142" s="21" t="n">
        <v>0</v>
      </c>
      <c r="E7142" s="21" t="n">
        <v>0</v>
      </c>
      <c r="F7142" s="21" t="n">
        <v>0</v>
      </c>
      <c r="G7142" s="21" t="n">
        <v>0</v>
      </c>
      <c r="H7142" s="21" t="n">
        <v>0</v>
      </c>
      <c r="I7142" s="21" t="n">
        <v>0</v>
      </c>
      <c r="J7142" s="21" t="n">
        <v>0</v>
      </c>
      <c r="K7142" s="21" t="n">
        <v>0</v>
      </c>
      <c r="L7142" s="21" t="n">
        <v>0</v>
      </c>
      <c r="M7142" s="21" t="n">
        <v>0</v>
      </c>
      <c r="N7142" s="21" t="n">
        <v>0</v>
      </c>
      <c r="O7142" s="21" t="n">
        <v>0</v>
      </c>
      <c r="P7142" s="21" t="n">
        <v>0</v>
      </c>
      <c r="Q7142" s="21" t="n">
        <v>0</v>
      </c>
      <c r="R7142" s="21">
        <f>$B$7051</f>
        <v/>
      </c>
      <c r="S7142" s="21">
        <f>$B$7053</f>
        <v/>
      </c>
      <c r="T7142" s="21">
        <f>0</f>
        <v/>
      </c>
      <c r="U7142" s="21">
        <f>2*$B$7052</f>
        <v/>
      </c>
      <c r="V7142" s="21">
        <f>-$B$7051</f>
        <v/>
      </c>
      <c r="W7142" s="21">
        <f>$B$7053</f>
        <v/>
      </c>
      <c r="X7142" s="21" t="n">
        <v>0</v>
      </c>
      <c r="Y7142" s="21" t="n">
        <v>0</v>
      </c>
      <c r="Z7142" s="19" t="n"/>
    </row>
    <row r="7143">
      <c r="D7143" s="21" t="n">
        <v>0</v>
      </c>
      <c r="E7143" s="21" t="n">
        <v>0</v>
      </c>
      <c r="F7143" s="21" t="n">
        <v>0</v>
      </c>
      <c r="G7143" s="21" t="n">
        <v>0</v>
      </c>
      <c r="H7143" s="21" t="n">
        <v>0</v>
      </c>
      <c r="I7143" s="21" t="n">
        <v>0</v>
      </c>
      <c r="J7143" s="21" t="n">
        <v>0</v>
      </c>
      <c r="K7143" s="21" t="n">
        <v>0</v>
      </c>
      <c r="L7143" s="21" t="n">
        <v>0</v>
      </c>
      <c r="M7143" s="21" t="n">
        <v>0</v>
      </c>
      <c r="N7143" s="21" t="n">
        <v>0</v>
      </c>
      <c r="O7143" s="21" t="n">
        <v>0</v>
      </c>
      <c r="P7143" s="21" t="n">
        <v>0</v>
      </c>
      <c r="Q7143" s="21" t="n">
        <v>0</v>
      </c>
      <c r="R7143" s="21" t="n">
        <v>0</v>
      </c>
      <c r="S7143" s="21" t="n">
        <v>0</v>
      </c>
      <c r="T7143" s="21">
        <f>-$B$7050</f>
        <v/>
      </c>
      <c r="U7143" s="21">
        <f>-$B$7051</f>
        <v/>
      </c>
      <c r="V7143" s="21">
        <f>2*$B$7050+$D$7122</f>
        <v/>
      </c>
      <c r="W7143" s="21">
        <f>0</f>
        <v/>
      </c>
      <c r="X7143" s="21">
        <f>-$B$7050</f>
        <v/>
      </c>
      <c r="Y7143" s="21">
        <f>$B$7051</f>
        <v/>
      </c>
      <c r="Z7143" s="19" t="n"/>
    </row>
    <row r="7144">
      <c r="D7144" s="21" t="n">
        <v>0</v>
      </c>
      <c r="E7144" s="21" t="n">
        <v>0</v>
      </c>
      <c r="F7144" s="21" t="n">
        <v>0</v>
      </c>
      <c r="G7144" s="21" t="n">
        <v>0</v>
      </c>
      <c r="H7144" s="21" t="n">
        <v>0</v>
      </c>
      <c r="I7144" s="21" t="n">
        <v>0</v>
      </c>
      <c r="J7144" s="21" t="n">
        <v>0</v>
      </c>
      <c r="K7144" s="21" t="n">
        <v>0</v>
      </c>
      <c r="L7144" s="21" t="n">
        <v>0</v>
      </c>
      <c r="M7144" s="21" t="n">
        <v>0</v>
      </c>
      <c r="N7144" s="21" t="n">
        <v>0</v>
      </c>
      <c r="O7144" s="21" t="n">
        <v>0</v>
      </c>
      <c r="P7144" s="21" t="n">
        <v>0</v>
      </c>
      <c r="Q7144" s="21" t="n">
        <v>0</v>
      </c>
      <c r="R7144" s="21" t="n">
        <v>0</v>
      </c>
      <c r="S7144" s="21" t="n">
        <v>0</v>
      </c>
      <c r="T7144" s="21">
        <f>$B$7051</f>
        <v/>
      </c>
      <c r="U7144" s="21">
        <f>$B$7053</f>
        <v/>
      </c>
      <c r="V7144" s="21">
        <f>0</f>
        <v/>
      </c>
      <c r="W7144" s="21">
        <f>2*$B$7052</f>
        <v/>
      </c>
      <c r="X7144" s="21">
        <f>-$B$7051</f>
        <v/>
      </c>
      <c r="Y7144" s="21">
        <f>$B$7053</f>
        <v/>
      </c>
      <c r="Z7144" s="19" t="n"/>
    </row>
    <row r="7145">
      <c r="D7145" s="21" t="n">
        <v>0</v>
      </c>
      <c r="E7145" s="21" t="n">
        <v>0</v>
      </c>
      <c r="F7145" s="21" t="n">
        <v>0</v>
      </c>
      <c r="G7145" s="21" t="n">
        <v>0</v>
      </c>
      <c r="H7145" s="21" t="n">
        <v>0</v>
      </c>
      <c r="I7145" s="21" t="n">
        <v>0</v>
      </c>
      <c r="J7145" s="21" t="n">
        <v>0</v>
      </c>
      <c r="K7145" s="21" t="n">
        <v>0</v>
      </c>
      <c r="L7145" s="21" t="n">
        <v>0</v>
      </c>
      <c r="M7145" s="21" t="n">
        <v>0</v>
      </c>
      <c r="N7145" s="21" t="n">
        <v>0</v>
      </c>
      <c r="O7145" s="21" t="n">
        <v>0</v>
      </c>
      <c r="P7145" s="21" t="n">
        <v>0</v>
      </c>
      <c r="Q7145" s="21" t="n">
        <v>0</v>
      </c>
      <c r="R7145" s="21" t="n">
        <v>0</v>
      </c>
      <c r="S7145" s="21" t="n">
        <v>0</v>
      </c>
      <c r="T7145" s="21" t="n">
        <v>0</v>
      </c>
      <c r="U7145" s="21" t="n">
        <v>0</v>
      </c>
      <c r="V7145" s="21">
        <f>-$B$7050</f>
        <v/>
      </c>
      <c r="W7145" s="21">
        <f>-$B$7051</f>
        <v/>
      </c>
      <c r="X7145" s="21">
        <f>$B$7050+$D$7123</f>
        <v/>
      </c>
      <c r="Y7145" s="21">
        <f>-$B$7051</f>
        <v/>
      </c>
      <c r="Z7145" s="19" t="n"/>
    </row>
    <row r="7146">
      <c r="D7146" s="21" t="n">
        <v>0</v>
      </c>
      <c r="E7146" s="21" t="n">
        <v>0</v>
      </c>
      <c r="F7146" s="21" t="n">
        <v>0</v>
      </c>
      <c r="G7146" s="21" t="n">
        <v>0</v>
      </c>
      <c r="H7146" s="21" t="n">
        <v>0</v>
      </c>
      <c r="I7146" s="21" t="n">
        <v>0</v>
      </c>
      <c r="J7146" s="21" t="n">
        <v>0</v>
      </c>
      <c r="K7146" s="21" t="n">
        <v>0</v>
      </c>
      <c r="L7146" s="21" t="n">
        <v>0</v>
      </c>
      <c r="M7146" s="21" t="n">
        <v>0</v>
      </c>
      <c r="N7146" s="21" t="n">
        <v>0</v>
      </c>
      <c r="O7146" s="21" t="n">
        <v>0</v>
      </c>
      <c r="P7146" s="21" t="n">
        <v>0</v>
      </c>
      <c r="Q7146" s="21" t="n">
        <v>0</v>
      </c>
      <c r="R7146" s="21" t="n">
        <v>0</v>
      </c>
      <c r="S7146" s="21" t="n">
        <v>0</v>
      </c>
      <c r="T7146" s="21" t="n">
        <v>0</v>
      </c>
      <c r="U7146" s="21" t="n">
        <v>0</v>
      </c>
      <c r="V7146" s="21">
        <f>$B$7051</f>
        <v/>
      </c>
      <c r="W7146" s="21">
        <f>$B$7053</f>
        <v/>
      </c>
      <c r="X7146" s="21">
        <f>-$B$7051</f>
        <v/>
      </c>
      <c r="Y7146" s="21">
        <f>$B$7052</f>
        <v/>
      </c>
      <c r="Z7146" s="19" t="n"/>
    </row>
    <row r="7148">
      <c r="A7148" s="8" t="inlineStr">
        <is>
          <t>gen 2</t>
        </is>
      </c>
    </row>
    <row r="7149">
      <c r="D7149" s="19">
        <f>IF(ABS(IF(ABS($E$7113)&gt;0.000000001,$E$7113,0.000000001))=0,0,IF($E$7065&lt;=$B$7059,0,IF(ABS(IF(ABS($E$7113)&gt;0.000000001,$E$7113,0.000000001))&gt;=8*$B$7061,$H$7065,0.5*$H$7065*(ABS(IF(ABS($E$7113)&gt;0.000000001,$E$7113,0.000000001))/$B$7061)^(1/3)))/ABS(IF(ABS($E$7113)&gt;0.000000001,$E$7113,0.000000001))*$I$7065)</f>
        <v/>
      </c>
      <c r="E7149" s="19">
        <f>0.5*$E$7113+0.5*$Z$7161</f>
        <v/>
      </c>
      <c r="F7149" s="19">
        <f>$Z$7162</f>
        <v/>
      </c>
    </row>
    <row r="7150">
      <c r="D7150" s="19">
        <f>IF(ABS(IF(ABS($E$7114)&gt;0.000000001,$E$7114,0.000000001))=0,0,IF($E$7066&lt;=$B$7059,0,IF(ABS(IF(ABS($E$7114)&gt;0.000000001,$E$7114,0.000000001))&gt;=8*$B$7061,$H$7066,0.5*$H$7066*(ABS(IF(ABS($E$7114)&gt;0.000000001,$E$7114,0.000000001))/$B$7061)^(1/3)))/ABS(IF(ABS($E$7114)&gt;0.000000001,$E$7114,0.000000001))*$I$7066)</f>
        <v/>
      </c>
      <c r="E7150" s="19">
        <f>0.5*$E$7114+0.5*$Z$7163</f>
        <v/>
      </c>
      <c r="F7150" s="19">
        <f>$Z$7164</f>
        <v/>
      </c>
    </row>
    <row r="7151">
      <c r="D7151" s="19">
        <f>IF(ABS(IF(ABS($E$7115)&gt;0.000000001,$E$7115,0.000000001))=0,0,IF($E$7067&lt;=$B$7059,0,IF(ABS(IF(ABS($E$7115)&gt;0.000000001,$E$7115,0.000000001))&gt;=8*$B$7061,$H$7067,0.5*$H$7067*(ABS(IF(ABS($E$7115)&gt;0.000000001,$E$7115,0.000000001))/$B$7061)^(1/3)))/ABS(IF(ABS($E$7115)&gt;0.000000001,$E$7115,0.000000001))*$I$7067)</f>
        <v/>
      </c>
      <c r="E7151" s="19">
        <f>0.5*$E$7115+0.5*$Z$7165</f>
        <v/>
      </c>
      <c r="F7151" s="19">
        <f>$Z$7166</f>
        <v/>
      </c>
    </row>
    <row r="7152">
      <c r="D7152" s="19">
        <f>IF(ABS(IF(ABS($E$7116)&gt;0.000000001,$E$7116,0.000000001))=0,0,IF($E$7068&lt;=$B$7059,0,IF(ABS(IF(ABS($E$7116)&gt;0.000000001,$E$7116,0.000000001))&gt;=8*$B$7061,$H$7068,0.5*$H$7068*(ABS(IF(ABS($E$7116)&gt;0.000000001,$E$7116,0.000000001))/$B$7061)^(1/3)))/ABS(IF(ABS($E$7116)&gt;0.000000001,$E$7116,0.000000001))*$I$7068)</f>
        <v/>
      </c>
      <c r="E7152" s="19">
        <f>0.5*$E$7116+0.5*$Z$7167</f>
        <v/>
      </c>
      <c r="F7152" s="19">
        <f>$Z$7168</f>
        <v/>
      </c>
    </row>
    <row r="7153">
      <c r="D7153" s="19">
        <f>IF(ABS(IF(ABS($E$7117)&gt;0.000000001,$E$7117,0.000000001))=0,0,IF($E$7069&lt;=$B$7059,0,IF(ABS(IF(ABS($E$7117)&gt;0.000000001,$E$7117,0.000000001))&gt;=8*$B$7061,$H$7069,0.5*$H$7069*(ABS(IF(ABS($E$7117)&gt;0.000000001,$E$7117,0.000000001))/$B$7061)^(1/3)))/ABS(IF(ABS($E$7117)&gt;0.000000001,$E$7117,0.000000001))*$I$7069)</f>
        <v/>
      </c>
      <c r="E7153" s="19">
        <f>0.5*$E$7117+0.5*$Z$7169</f>
        <v/>
      </c>
      <c r="F7153" s="19">
        <f>$Z$7170</f>
        <v/>
      </c>
    </row>
    <row r="7154">
      <c r="D7154" s="19">
        <f>IF(ABS(IF(ABS($E$7118)&gt;0.000000001,$E$7118,0.000000001))=0,0,IF($E$7070&lt;=$B$7059,0,IF(ABS(IF(ABS($E$7118)&gt;0.000000001,$E$7118,0.000000001))&gt;=8*$B$7061,$H$7070,0.5*$H$7070*(ABS(IF(ABS($E$7118)&gt;0.000000001,$E$7118,0.000000001))/$B$7061)^(1/3)))/ABS(IF(ABS($E$7118)&gt;0.000000001,$E$7118,0.000000001))*$I$7070)</f>
        <v/>
      </c>
      <c r="E7154" s="19">
        <f>0.5*$E$7118+0.5*$Z$7171</f>
        <v/>
      </c>
      <c r="F7154" s="19">
        <f>$Z$7172</f>
        <v/>
      </c>
    </row>
    <row r="7155">
      <c r="D7155" s="19">
        <f>IF(ABS(IF(ABS($E$7119)&gt;0.000000001,$E$7119,0.000000001))=0,0,IF($E$7071&lt;=$B$7059,0,IF(ABS(IF(ABS($E$7119)&gt;0.000000001,$E$7119,0.000000001))&gt;=8*$B$7061,$H$7071,0.5*$H$7071*(ABS(IF(ABS($E$7119)&gt;0.000000001,$E$7119,0.000000001))/$B$7061)^(1/3)))/ABS(IF(ABS($E$7119)&gt;0.000000001,$E$7119,0.000000001))*$I$7071)</f>
        <v/>
      </c>
      <c r="E7155" s="19">
        <f>0.5*$E$7119+0.5*$Z$7173</f>
        <v/>
      </c>
      <c r="F7155" s="19">
        <f>$Z$7174</f>
        <v/>
      </c>
    </row>
    <row r="7156">
      <c r="D7156" s="19">
        <f>IF(ABS(IF(ABS($E$7120)&gt;0.000000001,$E$7120,0.000000001))=0,0,IF($E$7072&lt;=$B$7059,0,IF(ABS(IF(ABS($E$7120)&gt;0.000000001,$E$7120,0.000000001))&gt;=8*$B$7061,$H$7072,0.5*$H$7072*(ABS(IF(ABS($E$7120)&gt;0.000000001,$E$7120,0.000000001))/$B$7061)^(1/3)))/ABS(IF(ABS($E$7120)&gt;0.000000001,$E$7120,0.000000001))*$I$7072)</f>
        <v/>
      </c>
      <c r="E7156" s="19">
        <f>0.5*$E$7120+0.5*$Z$7175</f>
        <v/>
      </c>
      <c r="F7156" s="19">
        <f>$Z$7176</f>
        <v/>
      </c>
    </row>
    <row r="7157">
      <c r="D7157" s="19">
        <f>IF(ABS(IF(ABS($E$7121)&gt;0.000000001,$E$7121,0.000000001))=0,0,IF($E$7073&lt;=$B$7059,0,IF(ABS(IF(ABS($E$7121)&gt;0.000000001,$E$7121,0.000000001))&gt;=8*$B$7061,$H$7073,0.5*$H$7073*(ABS(IF(ABS($E$7121)&gt;0.000000001,$E$7121,0.000000001))/$B$7061)^(1/3)))/ABS(IF(ABS($E$7121)&gt;0.000000001,$E$7121,0.000000001))*$I$7073)</f>
        <v/>
      </c>
      <c r="E7157" s="19">
        <f>0.5*$E$7121+0.5*$Z$7177</f>
        <v/>
      </c>
      <c r="F7157" s="19">
        <f>$Z$7178</f>
        <v/>
      </c>
    </row>
    <row r="7158">
      <c r="D7158" s="19">
        <f>IF(ABS(IF(ABS($E$7122)&gt;0.000000001,$E$7122,0.000000001))=0,0,IF($E$7074&lt;=$B$7059,0,IF(ABS(IF(ABS($E$7122)&gt;0.000000001,$E$7122,0.000000001))&gt;=8*$B$7061,$H$7074,0.5*$H$7074*(ABS(IF(ABS($E$7122)&gt;0.000000001,$E$7122,0.000000001))/$B$7061)^(1/3)))/ABS(IF(ABS($E$7122)&gt;0.000000001,$E$7122,0.000000001))*$I$7074)</f>
        <v/>
      </c>
      <c r="E7158" s="19">
        <f>0.5*$E$7122+0.5*$Z$7179</f>
        <v/>
      </c>
      <c r="F7158" s="19">
        <f>$Z$7180</f>
        <v/>
      </c>
    </row>
    <row r="7159">
      <c r="D7159" s="19">
        <f>IF(ABS(IF(ABS($E$7123)&gt;0.000000001,$E$7123,0.000000001))=0,0,IF($E$7075&lt;=$B$7059,0,IF(ABS(IF(ABS($E$7123)&gt;0.000000001,$E$7123,0.000000001))&gt;=8*$B$7061,$H$7075,0.5*$H$7075*(ABS(IF(ABS($E$7123)&gt;0.000000001,$E$7123,0.000000001))/$B$7061)^(1/3)))/ABS(IF(ABS($E$7123)&gt;0.000000001,$E$7123,0.000000001))*$I$7075)</f>
        <v/>
      </c>
      <c r="E7159" s="19">
        <f>0.5*$E$7123+0.5*$Z$7181</f>
        <v/>
      </c>
      <c r="F7159" s="19">
        <f>$Z$7182</f>
        <v/>
      </c>
    </row>
    <row r="7161">
      <c r="D7161" s="21">
        <f>$B$7050+$D$7149</f>
        <v/>
      </c>
      <c r="E7161" s="21">
        <f>$B$7051</f>
        <v/>
      </c>
      <c r="F7161" s="21">
        <f>-$B$7050</f>
        <v/>
      </c>
      <c r="G7161" s="21">
        <f>$B$7051</f>
        <v/>
      </c>
      <c r="H7161" s="21" t="n">
        <v>0</v>
      </c>
      <c r="I7161" s="21" t="n">
        <v>0</v>
      </c>
      <c r="J7161" s="21" t="n">
        <v>0</v>
      </c>
      <c r="K7161" s="21" t="n">
        <v>0</v>
      </c>
      <c r="L7161" s="21" t="n">
        <v>0</v>
      </c>
      <c r="M7161" s="21" t="n">
        <v>0</v>
      </c>
      <c r="N7161" s="21" t="n">
        <v>0</v>
      </c>
      <c r="O7161" s="21" t="n">
        <v>0</v>
      </c>
      <c r="P7161" s="21" t="n">
        <v>0</v>
      </c>
      <c r="Q7161" s="21" t="n">
        <v>0</v>
      </c>
      <c r="R7161" s="21" t="n">
        <v>0</v>
      </c>
      <c r="S7161" s="21" t="n">
        <v>0</v>
      </c>
      <c r="T7161" s="21" t="n">
        <v>0</v>
      </c>
      <c r="U7161" s="21" t="n">
        <v>0</v>
      </c>
      <c r="V7161" s="21" t="n">
        <v>0</v>
      </c>
      <c r="W7161" s="21" t="n">
        <v>0</v>
      </c>
      <c r="X7161" s="21" t="n">
        <v>0</v>
      </c>
      <c r="Y7161" s="21" t="n">
        <v>0</v>
      </c>
      <c r="Z7161" s="19">
        <f t="array" ref="Z7161:Z7182">MMULT(MINVERSE($D$7161:$Y$7182),$D$7077:$D$7098)</f>
        <v/>
      </c>
    </row>
    <row r="7162">
      <c r="D7162" s="21">
        <f>$B$7051</f>
        <v/>
      </c>
      <c r="E7162" s="21">
        <f>$B$7052</f>
        <v/>
      </c>
      <c r="F7162" s="21">
        <f>-$B$7051</f>
        <v/>
      </c>
      <c r="G7162" s="21">
        <f>$B$7053</f>
        <v/>
      </c>
      <c r="H7162" s="21" t="n">
        <v>0</v>
      </c>
      <c r="I7162" s="21" t="n">
        <v>0</v>
      </c>
      <c r="J7162" s="21" t="n">
        <v>0</v>
      </c>
      <c r="K7162" s="21" t="n">
        <v>0</v>
      </c>
      <c r="L7162" s="21" t="n">
        <v>0</v>
      </c>
      <c r="M7162" s="21" t="n">
        <v>0</v>
      </c>
      <c r="N7162" s="21" t="n">
        <v>0</v>
      </c>
      <c r="O7162" s="21" t="n">
        <v>0</v>
      </c>
      <c r="P7162" s="21" t="n">
        <v>0</v>
      </c>
      <c r="Q7162" s="21" t="n">
        <v>0</v>
      </c>
      <c r="R7162" s="21" t="n">
        <v>0</v>
      </c>
      <c r="S7162" s="21" t="n">
        <v>0</v>
      </c>
      <c r="T7162" s="21" t="n">
        <v>0</v>
      </c>
      <c r="U7162" s="21" t="n">
        <v>0</v>
      </c>
      <c r="V7162" s="21" t="n">
        <v>0</v>
      </c>
      <c r="W7162" s="21" t="n">
        <v>0</v>
      </c>
      <c r="X7162" s="21" t="n">
        <v>0</v>
      </c>
      <c r="Y7162" s="21" t="n">
        <v>0</v>
      </c>
      <c r="Z7162" s="19" t="n"/>
    </row>
    <row r="7163">
      <c r="D7163" s="21">
        <f>-$B$7050</f>
        <v/>
      </c>
      <c r="E7163" s="21">
        <f>-$B$7051</f>
        <v/>
      </c>
      <c r="F7163" s="21">
        <f>2*$B$7050+$D$7150</f>
        <v/>
      </c>
      <c r="G7163" s="21">
        <f>0</f>
        <v/>
      </c>
      <c r="H7163" s="21">
        <f>-$B$7050</f>
        <v/>
      </c>
      <c r="I7163" s="21">
        <f>$B$7051</f>
        <v/>
      </c>
      <c r="J7163" s="21" t="n">
        <v>0</v>
      </c>
      <c r="K7163" s="21" t="n">
        <v>0</v>
      </c>
      <c r="L7163" s="21" t="n">
        <v>0</v>
      </c>
      <c r="M7163" s="21" t="n">
        <v>0</v>
      </c>
      <c r="N7163" s="21" t="n">
        <v>0</v>
      </c>
      <c r="O7163" s="21" t="n">
        <v>0</v>
      </c>
      <c r="P7163" s="21" t="n">
        <v>0</v>
      </c>
      <c r="Q7163" s="21" t="n">
        <v>0</v>
      </c>
      <c r="R7163" s="21" t="n">
        <v>0</v>
      </c>
      <c r="S7163" s="21" t="n">
        <v>0</v>
      </c>
      <c r="T7163" s="21" t="n">
        <v>0</v>
      </c>
      <c r="U7163" s="21" t="n">
        <v>0</v>
      </c>
      <c r="V7163" s="21" t="n">
        <v>0</v>
      </c>
      <c r="W7163" s="21" t="n">
        <v>0</v>
      </c>
      <c r="X7163" s="21" t="n">
        <v>0</v>
      </c>
      <c r="Y7163" s="21" t="n">
        <v>0</v>
      </c>
      <c r="Z7163" s="19" t="n"/>
    </row>
    <row r="7164">
      <c r="D7164" s="21">
        <f>$B$7051</f>
        <v/>
      </c>
      <c r="E7164" s="21">
        <f>$B$7053</f>
        <v/>
      </c>
      <c r="F7164" s="21">
        <f>0</f>
        <v/>
      </c>
      <c r="G7164" s="21">
        <f>2*$B$7052</f>
        <v/>
      </c>
      <c r="H7164" s="21">
        <f>-$B$7051</f>
        <v/>
      </c>
      <c r="I7164" s="21">
        <f>$B$7053</f>
        <v/>
      </c>
      <c r="J7164" s="21" t="n">
        <v>0</v>
      </c>
      <c r="K7164" s="21" t="n">
        <v>0</v>
      </c>
      <c r="L7164" s="21" t="n">
        <v>0</v>
      </c>
      <c r="M7164" s="21" t="n">
        <v>0</v>
      </c>
      <c r="N7164" s="21" t="n">
        <v>0</v>
      </c>
      <c r="O7164" s="21" t="n">
        <v>0</v>
      </c>
      <c r="P7164" s="21" t="n">
        <v>0</v>
      </c>
      <c r="Q7164" s="21" t="n">
        <v>0</v>
      </c>
      <c r="R7164" s="21" t="n">
        <v>0</v>
      </c>
      <c r="S7164" s="21" t="n">
        <v>0</v>
      </c>
      <c r="T7164" s="21" t="n">
        <v>0</v>
      </c>
      <c r="U7164" s="21" t="n">
        <v>0</v>
      </c>
      <c r="V7164" s="21" t="n">
        <v>0</v>
      </c>
      <c r="W7164" s="21" t="n">
        <v>0</v>
      </c>
      <c r="X7164" s="21" t="n">
        <v>0</v>
      </c>
      <c r="Y7164" s="21" t="n">
        <v>0</v>
      </c>
      <c r="Z7164" s="19" t="n"/>
    </row>
    <row r="7165">
      <c r="D7165" s="21" t="n">
        <v>0</v>
      </c>
      <c r="E7165" s="21" t="n">
        <v>0</v>
      </c>
      <c r="F7165" s="21">
        <f>-$B$7050</f>
        <v/>
      </c>
      <c r="G7165" s="21">
        <f>-$B$7051</f>
        <v/>
      </c>
      <c r="H7165" s="21">
        <f>2*$B$7050+$D$7151</f>
        <v/>
      </c>
      <c r="I7165" s="21">
        <f>0</f>
        <v/>
      </c>
      <c r="J7165" s="21">
        <f>-$B$7050</f>
        <v/>
      </c>
      <c r="K7165" s="21">
        <f>$B$7051</f>
        <v/>
      </c>
      <c r="L7165" s="21" t="n">
        <v>0</v>
      </c>
      <c r="M7165" s="21" t="n">
        <v>0</v>
      </c>
      <c r="N7165" s="21" t="n">
        <v>0</v>
      </c>
      <c r="O7165" s="21" t="n">
        <v>0</v>
      </c>
      <c r="P7165" s="21" t="n">
        <v>0</v>
      </c>
      <c r="Q7165" s="21" t="n">
        <v>0</v>
      </c>
      <c r="R7165" s="21" t="n">
        <v>0</v>
      </c>
      <c r="S7165" s="21" t="n">
        <v>0</v>
      </c>
      <c r="T7165" s="21" t="n">
        <v>0</v>
      </c>
      <c r="U7165" s="21" t="n">
        <v>0</v>
      </c>
      <c r="V7165" s="21" t="n">
        <v>0</v>
      </c>
      <c r="W7165" s="21" t="n">
        <v>0</v>
      </c>
      <c r="X7165" s="21" t="n">
        <v>0</v>
      </c>
      <c r="Y7165" s="21" t="n">
        <v>0</v>
      </c>
      <c r="Z7165" s="19" t="n"/>
    </row>
    <row r="7166">
      <c r="D7166" s="21" t="n">
        <v>0</v>
      </c>
      <c r="E7166" s="21" t="n">
        <v>0</v>
      </c>
      <c r="F7166" s="21">
        <f>$B$7051</f>
        <v/>
      </c>
      <c r="G7166" s="21">
        <f>$B$7053</f>
        <v/>
      </c>
      <c r="H7166" s="21">
        <f>0</f>
        <v/>
      </c>
      <c r="I7166" s="21">
        <f>2*$B$7052</f>
        <v/>
      </c>
      <c r="J7166" s="21">
        <f>-$B$7051</f>
        <v/>
      </c>
      <c r="K7166" s="21">
        <f>$B$7053</f>
        <v/>
      </c>
      <c r="L7166" s="21" t="n">
        <v>0</v>
      </c>
      <c r="M7166" s="21" t="n">
        <v>0</v>
      </c>
      <c r="N7166" s="21" t="n">
        <v>0</v>
      </c>
      <c r="O7166" s="21" t="n">
        <v>0</v>
      </c>
      <c r="P7166" s="21" t="n">
        <v>0</v>
      </c>
      <c r="Q7166" s="21" t="n">
        <v>0</v>
      </c>
      <c r="R7166" s="21" t="n">
        <v>0</v>
      </c>
      <c r="S7166" s="21" t="n">
        <v>0</v>
      </c>
      <c r="T7166" s="21" t="n">
        <v>0</v>
      </c>
      <c r="U7166" s="21" t="n">
        <v>0</v>
      </c>
      <c r="V7166" s="21" t="n">
        <v>0</v>
      </c>
      <c r="W7166" s="21" t="n">
        <v>0</v>
      </c>
      <c r="X7166" s="21" t="n">
        <v>0</v>
      </c>
      <c r="Y7166" s="21" t="n">
        <v>0</v>
      </c>
      <c r="Z7166" s="19" t="n"/>
    </row>
    <row r="7167">
      <c r="D7167" s="21" t="n">
        <v>0</v>
      </c>
      <c r="E7167" s="21" t="n">
        <v>0</v>
      </c>
      <c r="F7167" s="21" t="n">
        <v>0</v>
      </c>
      <c r="G7167" s="21" t="n">
        <v>0</v>
      </c>
      <c r="H7167" s="21">
        <f>-$B$7050</f>
        <v/>
      </c>
      <c r="I7167" s="21">
        <f>-$B$7051</f>
        <v/>
      </c>
      <c r="J7167" s="21">
        <f>2*$B$7050+$D$7152</f>
        <v/>
      </c>
      <c r="K7167" s="21">
        <f>0</f>
        <v/>
      </c>
      <c r="L7167" s="21">
        <f>-$B$7050</f>
        <v/>
      </c>
      <c r="M7167" s="21">
        <f>$B$7051</f>
        <v/>
      </c>
      <c r="N7167" s="21" t="n">
        <v>0</v>
      </c>
      <c r="O7167" s="21" t="n">
        <v>0</v>
      </c>
      <c r="P7167" s="21" t="n">
        <v>0</v>
      </c>
      <c r="Q7167" s="21" t="n">
        <v>0</v>
      </c>
      <c r="R7167" s="21" t="n">
        <v>0</v>
      </c>
      <c r="S7167" s="21" t="n">
        <v>0</v>
      </c>
      <c r="T7167" s="21" t="n">
        <v>0</v>
      </c>
      <c r="U7167" s="21" t="n">
        <v>0</v>
      </c>
      <c r="V7167" s="21" t="n">
        <v>0</v>
      </c>
      <c r="W7167" s="21" t="n">
        <v>0</v>
      </c>
      <c r="X7167" s="21" t="n">
        <v>0</v>
      </c>
      <c r="Y7167" s="21" t="n">
        <v>0</v>
      </c>
      <c r="Z7167" s="19" t="n"/>
    </row>
    <row r="7168">
      <c r="D7168" s="21" t="n">
        <v>0</v>
      </c>
      <c r="E7168" s="21" t="n">
        <v>0</v>
      </c>
      <c r="F7168" s="21" t="n">
        <v>0</v>
      </c>
      <c r="G7168" s="21" t="n">
        <v>0</v>
      </c>
      <c r="H7168" s="21">
        <f>$B$7051</f>
        <v/>
      </c>
      <c r="I7168" s="21">
        <f>$B$7053</f>
        <v/>
      </c>
      <c r="J7168" s="21">
        <f>0</f>
        <v/>
      </c>
      <c r="K7168" s="21">
        <f>2*$B$7052</f>
        <v/>
      </c>
      <c r="L7168" s="21">
        <f>-$B$7051</f>
        <v/>
      </c>
      <c r="M7168" s="21">
        <f>$B$7053</f>
        <v/>
      </c>
      <c r="N7168" s="21" t="n">
        <v>0</v>
      </c>
      <c r="O7168" s="21" t="n">
        <v>0</v>
      </c>
      <c r="P7168" s="21" t="n">
        <v>0</v>
      </c>
      <c r="Q7168" s="21" t="n">
        <v>0</v>
      </c>
      <c r="R7168" s="21" t="n">
        <v>0</v>
      </c>
      <c r="S7168" s="21" t="n">
        <v>0</v>
      </c>
      <c r="T7168" s="21" t="n">
        <v>0</v>
      </c>
      <c r="U7168" s="21" t="n">
        <v>0</v>
      </c>
      <c r="V7168" s="21" t="n">
        <v>0</v>
      </c>
      <c r="W7168" s="21" t="n">
        <v>0</v>
      </c>
      <c r="X7168" s="21" t="n">
        <v>0</v>
      </c>
      <c r="Y7168" s="21" t="n">
        <v>0</v>
      </c>
      <c r="Z7168" s="19" t="n"/>
    </row>
    <row r="7169">
      <c r="D7169" s="21" t="n">
        <v>0</v>
      </c>
      <c r="E7169" s="21" t="n">
        <v>0</v>
      </c>
      <c r="F7169" s="21" t="n">
        <v>0</v>
      </c>
      <c r="G7169" s="21" t="n">
        <v>0</v>
      </c>
      <c r="H7169" s="21" t="n">
        <v>0</v>
      </c>
      <c r="I7169" s="21" t="n">
        <v>0</v>
      </c>
      <c r="J7169" s="21">
        <f>-$B$7050</f>
        <v/>
      </c>
      <c r="K7169" s="21">
        <f>-$B$7051</f>
        <v/>
      </c>
      <c r="L7169" s="21">
        <f>2*$B$7050+$D$7153</f>
        <v/>
      </c>
      <c r="M7169" s="21">
        <f>0</f>
        <v/>
      </c>
      <c r="N7169" s="21">
        <f>-$B$7050</f>
        <v/>
      </c>
      <c r="O7169" s="21">
        <f>$B$7051</f>
        <v/>
      </c>
      <c r="P7169" s="21" t="n">
        <v>0</v>
      </c>
      <c r="Q7169" s="21" t="n">
        <v>0</v>
      </c>
      <c r="R7169" s="21" t="n">
        <v>0</v>
      </c>
      <c r="S7169" s="21" t="n">
        <v>0</v>
      </c>
      <c r="T7169" s="21" t="n">
        <v>0</v>
      </c>
      <c r="U7169" s="21" t="n">
        <v>0</v>
      </c>
      <c r="V7169" s="21" t="n">
        <v>0</v>
      </c>
      <c r="W7169" s="21" t="n">
        <v>0</v>
      </c>
      <c r="X7169" s="21" t="n">
        <v>0</v>
      </c>
      <c r="Y7169" s="21" t="n">
        <v>0</v>
      </c>
      <c r="Z7169" s="19" t="n"/>
    </row>
    <row r="7170">
      <c r="D7170" s="21" t="n">
        <v>0</v>
      </c>
      <c r="E7170" s="21" t="n">
        <v>0</v>
      </c>
      <c r="F7170" s="21" t="n">
        <v>0</v>
      </c>
      <c r="G7170" s="21" t="n">
        <v>0</v>
      </c>
      <c r="H7170" s="21" t="n">
        <v>0</v>
      </c>
      <c r="I7170" s="21" t="n">
        <v>0</v>
      </c>
      <c r="J7170" s="21">
        <f>$B$7051</f>
        <v/>
      </c>
      <c r="K7170" s="21">
        <f>$B$7053</f>
        <v/>
      </c>
      <c r="L7170" s="21">
        <f>0</f>
        <v/>
      </c>
      <c r="M7170" s="21">
        <f>2*$B$7052</f>
        <v/>
      </c>
      <c r="N7170" s="21">
        <f>-$B$7051</f>
        <v/>
      </c>
      <c r="O7170" s="21">
        <f>$B$7053</f>
        <v/>
      </c>
      <c r="P7170" s="21" t="n">
        <v>0</v>
      </c>
      <c r="Q7170" s="21" t="n">
        <v>0</v>
      </c>
      <c r="R7170" s="21" t="n">
        <v>0</v>
      </c>
      <c r="S7170" s="21" t="n">
        <v>0</v>
      </c>
      <c r="T7170" s="21" t="n">
        <v>0</v>
      </c>
      <c r="U7170" s="21" t="n">
        <v>0</v>
      </c>
      <c r="V7170" s="21" t="n">
        <v>0</v>
      </c>
      <c r="W7170" s="21" t="n">
        <v>0</v>
      </c>
      <c r="X7170" s="21" t="n">
        <v>0</v>
      </c>
      <c r="Y7170" s="21" t="n">
        <v>0</v>
      </c>
      <c r="Z7170" s="19" t="n"/>
    </row>
    <row r="7171">
      <c r="D7171" s="21" t="n">
        <v>0</v>
      </c>
      <c r="E7171" s="21" t="n">
        <v>0</v>
      </c>
      <c r="F7171" s="21" t="n">
        <v>0</v>
      </c>
      <c r="G7171" s="21" t="n">
        <v>0</v>
      </c>
      <c r="H7171" s="21" t="n">
        <v>0</v>
      </c>
      <c r="I7171" s="21" t="n">
        <v>0</v>
      </c>
      <c r="J7171" s="21" t="n">
        <v>0</v>
      </c>
      <c r="K7171" s="21" t="n">
        <v>0</v>
      </c>
      <c r="L7171" s="21">
        <f>-$B$7050</f>
        <v/>
      </c>
      <c r="M7171" s="21">
        <f>-$B$7051</f>
        <v/>
      </c>
      <c r="N7171" s="21">
        <f>2*$B$7050+$D$7154</f>
        <v/>
      </c>
      <c r="O7171" s="21">
        <f>0</f>
        <v/>
      </c>
      <c r="P7171" s="21">
        <f>-$B$7050</f>
        <v/>
      </c>
      <c r="Q7171" s="21">
        <f>$B$7051</f>
        <v/>
      </c>
      <c r="R7171" s="21" t="n">
        <v>0</v>
      </c>
      <c r="S7171" s="21" t="n">
        <v>0</v>
      </c>
      <c r="T7171" s="21" t="n">
        <v>0</v>
      </c>
      <c r="U7171" s="21" t="n">
        <v>0</v>
      </c>
      <c r="V7171" s="21" t="n">
        <v>0</v>
      </c>
      <c r="W7171" s="21" t="n">
        <v>0</v>
      </c>
      <c r="X7171" s="21" t="n">
        <v>0</v>
      </c>
      <c r="Y7171" s="21" t="n">
        <v>0</v>
      </c>
      <c r="Z7171" s="19" t="n"/>
    </row>
    <row r="7172">
      <c r="D7172" s="21" t="n">
        <v>0</v>
      </c>
      <c r="E7172" s="21" t="n">
        <v>0</v>
      </c>
      <c r="F7172" s="21" t="n">
        <v>0</v>
      </c>
      <c r="G7172" s="21" t="n">
        <v>0</v>
      </c>
      <c r="H7172" s="21" t="n">
        <v>0</v>
      </c>
      <c r="I7172" s="21" t="n">
        <v>0</v>
      </c>
      <c r="J7172" s="21" t="n">
        <v>0</v>
      </c>
      <c r="K7172" s="21" t="n">
        <v>0</v>
      </c>
      <c r="L7172" s="21">
        <f>$B$7051</f>
        <v/>
      </c>
      <c r="M7172" s="21">
        <f>$B$7053</f>
        <v/>
      </c>
      <c r="N7172" s="21">
        <f>0</f>
        <v/>
      </c>
      <c r="O7172" s="21">
        <f>2*$B$7052</f>
        <v/>
      </c>
      <c r="P7172" s="21">
        <f>-$B$7051</f>
        <v/>
      </c>
      <c r="Q7172" s="21">
        <f>$B$7053</f>
        <v/>
      </c>
      <c r="R7172" s="21" t="n">
        <v>0</v>
      </c>
      <c r="S7172" s="21" t="n">
        <v>0</v>
      </c>
      <c r="T7172" s="21" t="n">
        <v>0</v>
      </c>
      <c r="U7172" s="21" t="n">
        <v>0</v>
      </c>
      <c r="V7172" s="21" t="n">
        <v>0</v>
      </c>
      <c r="W7172" s="21" t="n">
        <v>0</v>
      </c>
      <c r="X7172" s="21" t="n">
        <v>0</v>
      </c>
      <c r="Y7172" s="21" t="n">
        <v>0</v>
      </c>
      <c r="Z7172" s="19" t="n"/>
    </row>
    <row r="7173">
      <c r="D7173" s="21" t="n">
        <v>0</v>
      </c>
      <c r="E7173" s="21" t="n">
        <v>0</v>
      </c>
      <c r="F7173" s="21" t="n">
        <v>0</v>
      </c>
      <c r="G7173" s="21" t="n">
        <v>0</v>
      </c>
      <c r="H7173" s="21" t="n">
        <v>0</v>
      </c>
      <c r="I7173" s="21" t="n">
        <v>0</v>
      </c>
      <c r="J7173" s="21" t="n">
        <v>0</v>
      </c>
      <c r="K7173" s="21" t="n">
        <v>0</v>
      </c>
      <c r="L7173" s="21" t="n">
        <v>0</v>
      </c>
      <c r="M7173" s="21" t="n">
        <v>0</v>
      </c>
      <c r="N7173" s="21">
        <f>-$B$7050</f>
        <v/>
      </c>
      <c r="O7173" s="21">
        <f>-$B$7051</f>
        <v/>
      </c>
      <c r="P7173" s="21">
        <f>2*$B$7050+$D$7155</f>
        <v/>
      </c>
      <c r="Q7173" s="21">
        <f>0</f>
        <v/>
      </c>
      <c r="R7173" s="21">
        <f>-$B$7050</f>
        <v/>
      </c>
      <c r="S7173" s="21">
        <f>$B$7051</f>
        <v/>
      </c>
      <c r="T7173" s="21" t="n">
        <v>0</v>
      </c>
      <c r="U7173" s="21" t="n">
        <v>0</v>
      </c>
      <c r="V7173" s="21" t="n">
        <v>0</v>
      </c>
      <c r="W7173" s="21" t="n">
        <v>0</v>
      </c>
      <c r="X7173" s="21" t="n">
        <v>0</v>
      </c>
      <c r="Y7173" s="21" t="n">
        <v>0</v>
      </c>
      <c r="Z7173" s="19" t="n"/>
    </row>
    <row r="7174">
      <c r="D7174" s="21" t="n">
        <v>0</v>
      </c>
      <c r="E7174" s="21" t="n">
        <v>0</v>
      </c>
      <c r="F7174" s="21" t="n">
        <v>0</v>
      </c>
      <c r="G7174" s="21" t="n">
        <v>0</v>
      </c>
      <c r="H7174" s="21" t="n">
        <v>0</v>
      </c>
      <c r="I7174" s="21" t="n">
        <v>0</v>
      </c>
      <c r="J7174" s="21" t="n">
        <v>0</v>
      </c>
      <c r="K7174" s="21" t="n">
        <v>0</v>
      </c>
      <c r="L7174" s="21" t="n">
        <v>0</v>
      </c>
      <c r="M7174" s="21" t="n">
        <v>0</v>
      </c>
      <c r="N7174" s="21">
        <f>$B$7051</f>
        <v/>
      </c>
      <c r="O7174" s="21">
        <f>$B$7053</f>
        <v/>
      </c>
      <c r="P7174" s="21">
        <f>0</f>
        <v/>
      </c>
      <c r="Q7174" s="21">
        <f>2*$B$7052</f>
        <v/>
      </c>
      <c r="R7174" s="21">
        <f>-$B$7051</f>
        <v/>
      </c>
      <c r="S7174" s="21">
        <f>$B$7053</f>
        <v/>
      </c>
      <c r="T7174" s="21" t="n">
        <v>0</v>
      </c>
      <c r="U7174" s="21" t="n">
        <v>0</v>
      </c>
      <c r="V7174" s="21" t="n">
        <v>0</v>
      </c>
      <c r="W7174" s="21" t="n">
        <v>0</v>
      </c>
      <c r="X7174" s="21" t="n">
        <v>0</v>
      </c>
      <c r="Y7174" s="21" t="n">
        <v>0</v>
      </c>
      <c r="Z7174" s="19" t="n"/>
    </row>
    <row r="7175">
      <c r="D7175" s="21" t="n">
        <v>0</v>
      </c>
      <c r="E7175" s="21" t="n">
        <v>0</v>
      </c>
      <c r="F7175" s="21" t="n">
        <v>0</v>
      </c>
      <c r="G7175" s="21" t="n">
        <v>0</v>
      </c>
      <c r="H7175" s="21" t="n">
        <v>0</v>
      </c>
      <c r="I7175" s="21" t="n">
        <v>0</v>
      </c>
      <c r="J7175" s="21" t="n">
        <v>0</v>
      </c>
      <c r="K7175" s="21" t="n">
        <v>0</v>
      </c>
      <c r="L7175" s="21" t="n">
        <v>0</v>
      </c>
      <c r="M7175" s="21" t="n">
        <v>0</v>
      </c>
      <c r="N7175" s="21" t="n">
        <v>0</v>
      </c>
      <c r="O7175" s="21" t="n">
        <v>0</v>
      </c>
      <c r="P7175" s="21">
        <f>-$B$7050</f>
        <v/>
      </c>
      <c r="Q7175" s="21">
        <f>-$B$7051</f>
        <v/>
      </c>
      <c r="R7175" s="21">
        <f>2*$B$7050+$D$7156</f>
        <v/>
      </c>
      <c r="S7175" s="21">
        <f>0</f>
        <v/>
      </c>
      <c r="T7175" s="21">
        <f>-$B$7050</f>
        <v/>
      </c>
      <c r="U7175" s="21">
        <f>$B$7051</f>
        <v/>
      </c>
      <c r="V7175" s="21" t="n">
        <v>0</v>
      </c>
      <c r="W7175" s="21" t="n">
        <v>0</v>
      </c>
      <c r="X7175" s="21" t="n">
        <v>0</v>
      </c>
      <c r="Y7175" s="21" t="n">
        <v>0</v>
      </c>
      <c r="Z7175" s="19" t="n"/>
    </row>
    <row r="7176">
      <c r="D7176" s="21" t="n">
        <v>0</v>
      </c>
      <c r="E7176" s="21" t="n">
        <v>0</v>
      </c>
      <c r="F7176" s="21" t="n">
        <v>0</v>
      </c>
      <c r="G7176" s="21" t="n">
        <v>0</v>
      </c>
      <c r="H7176" s="21" t="n">
        <v>0</v>
      </c>
      <c r="I7176" s="21" t="n">
        <v>0</v>
      </c>
      <c r="J7176" s="21" t="n">
        <v>0</v>
      </c>
      <c r="K7176" s="21" t="n">
        <v>0</v>
      </c>
      <c r="L7176" s="21" t="n">
        <v>0</v>
      </c>
      <c r="M7176" s="21" t="n">
        <v>0</v>
      </c>
      <c r="N7176" s="21" t="n">
        <v>0</v>
      </c>
      <c r="O7176" s="21" t="n">
        <v>0</v>
      </c>
      <c r="P7176" s="21">
        <f>$B$7051</f>
        <v/>
      </c>
      <c r="Q7176" s="21">
        <f>$B$7053</f>
        <v/>
      </c>
      <c r="R7176" s="21">
        <f>0</f>
        <v/>
      </c>
      <c r="S7176" s="21">
        <f>2*$B$7052</f>
        <v/>
      </c>
      <c r="T7176" s="21">
        <f>-$B$7051</f>
        <v/>
      </c>
      <c r="U7176" s="21">
        <f>$B$7053</f>
        <v/>
      </c>
      <c r="V7176" s="21" t="n">
        <v>0</v>
      </c>
      <c r="W7176" s="21" t="n">
        <v>0</v>
      </c>
      <c r="X7176" s="21" t="n">
        <v>0</v>
      </c>
      <c r="Y7176" s="21" t="n">
        <v>0</v>
      </c>
      <c r="Z7176" s="19" t="n"/>
    </row>
    <row r="7177">
      <c r="D7177" s="21" t="n">
        <v>0</v>
      </c>
      <c r="E7177" s="21" t="n">
        <v>0</v>
      </c>
      <c r="F7177" s="21" t="n">
        <v>0</v>
      </c>
      <c r="G7177" s="21" t="n">
        <v>0</v>
      </c>
      <c r="H7177" s="21" t="n">
        <v>0</v>
      </c>
      <c r="I7177" s="21" t="n">
        <v>0</v>
      </c>
      <c r="J7177" s="21" t="n">
        <v>0</v>
      </c>
      <c r="K7177" s="21" t="n">
        <v>0</v>
      </c>
      <c r="L7177" s="21" t="n">
        <v>0</v>
      </c>
      <c r="M7177" s="21" t="n">
        <v>0</v>
      </c>
      <c r="N7177" s="21" t="n">
        <v>0</v>
      </c>
      <c r="O7177" s="21" t="n">
        <v>0</v>
      </c>
      <c r="P7177" s="21" t="n">
        <v>0</v>
      </c>
      <c r="Q7177" s="21" t="n">
        <v>0</v>
      </c>
      <c r="R7177" s="21">
        <f>-$B$7050</f>
        <v/>
      </c>
      <c r="S7177" s="21">
        <f>-$B$7051</f>
        <v/>
      </c>
      <c r="T7177" s="21">
        <f>2*$B$7050+$D$7157</f>
        <v/>
      </c>
      <c r="U7177" s="21">
        <f>0</f>
        <v/>
      </c>
      <c r="V7177" s="21">
        <f>-$B$7050</f>
        <v/>
      </c>
      <c r="W7177" s="21">
        <f>$B$7051</f>
        <v/>
      </c>
      <c r="X7177" s="21" t="n">
        <v>0</v>
      </c>
      <c r="Y7177" s="21" t="n">
        <v>0</v>
      </c>
      <c r="Z7177" s="19" t="n"/>
    </row>
    <row r="7178">
      <c r="D7178" s="21" t="n">
        <v>0</v>
      </c>
      <c r="E7178" s="21" t="n">
        <v>0</v>
      </c>
      <c r="F7178" s="21" t="n">
        <v>0</v>
      </c>
      <c r="G7178" s="21" t="n">
        <v>0</v>
      </c>
      <c r="H7178" s="21" t="n">
        <v>0</v>
      </c>
      <c r="I7178" s="21" t="n">
        <v>0</v>
      </c>
      <c r="J7178" s="21" t="n">
        <v>0</v>
      </c>
      <c r="K7178" s="21" t="n">
        <v>0</v>
      </c>
      <c r="L7178" s="21" t="n">
        <v>0</v>
      </c>
      <c r="M7178" s="21" t="n">
        <v>0</v>
      </c>
      <c r="N7178" s="21" t="n">
        <v>0</v>
      </c>
      <c r="O7178" s="21" t="n">
        <v>0</v>
      </c>
      <c r="P7178" s="21" t="n">
        <v>0</v>
      </c>
      <c r="Q7178" s="21" t="n">
        <v>0</v>
      </c>
      <c r="R7178" s="21">
        <f>$B$7051</f>
        <v/>
      </c>
      <c r="S7178" s="21">
        <f>$B$7053</f>
        <v/>
      </c>
      <c r="T7178" s="21">
        <f>0</f>
        <v/>
      </c>
      <c r="U7178" s="21">
        <f>2*$B$7052</f>
        <v/>
      </c>
      <c r="V7178" s="21">
        <f>-$B$7051</f>
        <v/>
      </c>
      <c r="W7178" s="21">
        <f>$B$7053</f>
        <v/>
      </c>
      <c r="X7178" s="21" t="n">
        <v>0</v>
      </c>
      <c r="Y7178" s="21" t="n">
        <v>0</v>
      </c>
      <c r="Z7178" s="19" t="n"/>
    </row>
    <row r="7179">
      <c r="D7179" s="21" t="n">
        <v>0</v>
      </c>
      <c r="E7179" s="21" t="n">
        <v>0</v>
      </c>
      <c r="F7179" s="21" t="n">
        <v>0</v>
      </c>
      <c r="G7179" s="21" t="n">
        <v>0</v>
      </c>
      <c r="H7179" s="21" t="n">
        <v>0</v>
      </c>
      <c r="I7179" s="21" t="n">
        <v>0</v>
      </c>
      <c r="J7179" s="21" t="n">
        <v>0</v>
      </c>
      <c r="K7179" s="21" t="n">
        <v>0</v>
      </c>
      <c r="L7179" s="21" t="n">
        <v>0</v>
      </c>
      <c r="M7179" s="21" t="n">
        <v>0</v>
      </c>
      <c r="N7179" s="21" t="n">
        <v>0</v>
      </c>
      <c r="O7179" s="21" t="n">
        <v>0</v>
      </c>
      <c r="P7179" s="21" t="n">
        <v>0</v>
      </c>
      <c r="Q7179" s="21" t="n">
        <v>0</v>
      </c>
      <c r="R7179" s="21" t="n">
        <v>0</v>
      </c>
      <c r="S7179" s="21" t="n">
        <v>0</v>
      </c>
      <c r="T7179" s="21">
        <f>-$B$7050</f>
        <v/>
      </c>
      <c r="U7179" s="21">
        <f>-$B$7051</f>
        <v/>
      </c>
      <c r="V7179" s="21">
        <f>2*$B$7050+$D$7158</f>
        <v/>
      </c>
      <c r="W7179" s="21">
        <f>0</f>
        <v/>
      </c>
      <c r="X7179" s="21">
        <f>-$B$7050</f>
        <v/>
      </c>
      <c r="Y7179" s="21">
        <f>$B$7051</f>
        <v/>
      </c>
      <c r="Z7179" s="19" t="n"/>
    </row>
    <row r="7180">
      <c r="D7180" s="21" t="n">
        <v>0</v>
      </c>
      <c r="E7180" s="21" t="n">
        <v>0</v>
      </c>
      <c r="F7180" s="21" t="n">
        <v>0</v>
      </c>
      <c r="G7180" s="21" t="n">
        <v>0</v>
      </c>
      <c r="H7180" s="21" t="n">
        <v>0</v>
      </c>
      <c r="I7180" s="21" t="n">
        <v>0</v>
      </c>
      <c r="J7180" s="21" t="n">
        <v>0</v>
      </c>
      <c r="K7180" s="21" t="n">
        <v>0</v>
      </c>
      <c r="L7180" s="21" t="n">
        <v>0</v>
      </c>
      <c r="M7180" s="21" t="n">
        <v>0</v>
      </c>
      <c r="N7180" s="21" t="n">
        <v>0</v>
      </c>
      <c r="O7180" s="21" t="n">
        <v>0</v>
      </c>
      <c r="P7180" s="21" t="n">
        <v>0</v>
      </c>
      <c r="Q7180" s="21" t="n">
        <v>0</v>
      </c>
      <c r="R7180" s="21" t="n">
        <v>0</v>
      </c>
      <c r="S7180" s="21" t="n">
        <v>0</v>
      </c>
      <c r="T7180" s="21">
        <f>$B$7051</f>
        <v/>
      </c>
      <c r="U7180" s="21">
        <f>$B$7053</f>
        <v/>
      </c>
      <c r="V7180" s="21">
        <f>0</f>
        <v/>
      </c>
      <c r="W7180" s="21">
        <f>2*$B$7052</f>
        <v/>
      </c>
      <c r="X7180" s="21">
        <f>-$B$7051</f>
        <v/>
      </c>
      <c r="Y7180" s="21">
        <f>$B$7053</f>
        <v/>
      </c>
      <c r="Z7180" s="19" t="n"/>
    </row>
    <row r="7181">
      <c r="D7181" s="21" t="n">
        <v>0</v>
      </c>
      <c r="E7181" s="21" t="n">
        <v>0</v>
      </c>
      <c r="F7181" s="21" t="n">
        <v>0</v>
      </c>
      <c r="G7181" s="21" t="n">
        <v>0</v>
      </c>
      <c r="H7181" s="21" t="n">
        <v>0</v>
      </c>
      <c r="I7181" s="21" t="n">
        <v>0</v>
      </c>
      <c r="J7181" s="21" t="n">
        <v>0</v>
      </c>
      <c r="K7181" s="21" t="n">
        <v>0</v>
      </c>
      <c r="L7181" s="21" t="n">
        <v>0</v>
      </c>
      <c r="M7181" s="21" t="n">
        <v>0</v>
      </c>
      <c r="N7181" s="21" t="n">
        <v>0</v>
      </c>
      <c r="O7181" s="21" t="n">
        <v>0</v>
      </c>
      <c r="P7181" s="21" t="n">
        <v>0</v>
      </c>
      <c r="Q7181" s="21" t="n">
        <v>0</v>
      </c>
      <c r="R7181" s="21" t="n">
        <v>0</v>
      </c>
      <c r="S7181" s="21" t="n">
        <v>0</v>
      </c>
      <c r="T7181" s="21" t="n">
        <v>0</v>
      </c>
      <c r="U7181" s="21" t="n">
        <v>0</v>
      </c>
      <c r="V7181" s="21">
        <f>-$B$7050</f>
        <v/>
      </c>
      <c r="W7181" s="21">
        <f>-$B$7051</f>
        <v/>
      </c>
      <c r="X7181" s="21">
        <f>$B$7050+$D$7159</f>
        <v/>
      </c>
      <c r="Y7181" s="21">
        <f>-$B$7051</f>
        <v/>
      </c>
      <c r="Z7181" s="19" t="n"/>
    </row>
    <row r="7182">
      <c r="D7182" s="21" t="n">
        <v>0</v>
      </c>
      <c r="E7182" s="21" t="n">
        <v>0</v>
      </c>
      <c r="F7182" s="21" t="n">
        <v>0</v>
      </c>
      <c r="G7182" s="21" t="n">
        <v>0</v>
      </c>
      <c r="H7182" s="21" t="n">
        <v>0</v>
      </c>
      <c r="I7182" s="21" t="n">
        <v>0</v>
      </c>
      <c r="J7182" s="21" t="n">
        <v>0</v>
      </c>
      <c r="K7182" s="21" t="n">
        <v>0</v>
      </c>
      <c r="L7182" s="21" t="n">
        <v>0</v>
      </c>
      <c r="M7182" s="21" t="n">
        <v>0</v>
      </c>
      <c r="N7182" s="21" t="n">
        <v>0</v>
      </c>
      <c r="O7182" s="21" t="n">
        <v>0</v>
      </c>
      <c r="P7182" s="21" t="n">
        <v>0</v>
      </c>
      <c r="Q7182" s="21" t="n">
        <v>0</v>
      </c>
      <c r="R7182" s="21" t="n">
        <v>0</v>
      </c>
      <c r="S7182" s="21" t="n">
        <v>0</v>
      </c>
      <c r="T7182" s="21" t="n">
        <v>0</v>
      </c>
      <c r="U7182" s="21" t="n">
        <v>0</v>
      </c>
      <c r="V7182" s="21">
        <f>$B$7051</f>
        <v/>
      </c>
      <c r="W7182" s="21">
        <f>$B$7053</f>
        <v/>
      </c>
      <c r="X7182" s="21">
        <f>-$B$7051</f>
        <v/>
      </c>
      <c r="Y7182" s="21">
        <f>$B$7052</f>
        <v/>
      </c>
      <c r="Z7182" s="19" t="n"/>
    </row>
    <row r="7184">
      <c r="A7184" s="8" t="inlineStr">
        <is>
          <t>gen 3</t>
        </is>
      </c>
    </row>
    <row r="7185">
      <c r="D7185" s="19">
        <f>IF(ABS(IF(ABS($E$7149)&gt;0.000000001,$E$7149,0.000000001))=0,0,IF($E$7065&lt;=$B$7059,0,IF(ABS(IF(ABS($E$7149)&gt;0.000000001,$E$7149,0.000000001))&gt;=8*$B$7061,$H$7065,0.5*$H$7065*(ABS(IF(ABS($E$7149)&gt;0.000000001,$E$7149,0.000000001))/$B$7061)^(1/3)))/ABS(IF(ABS($E$7149)&gt;0.000000001,$E$7149,0.000000001))*$I$7065)</f>
        <v/>
      </c>
      <c r="E7185" s="19">
        <f>0.5*$E$7149+0.5*$Z$7197</f>
        <v/>
      </c>
      <c r="F7185" s="19">
        <f>$Z$7198</f>
        <v/>
      </c>
    </row>
    <row r="7186">
      <c r="D7186" s="19">
        <f>IF(ABS(IF(ABS($E$7150)&gt;0.000000001,$E$7150,0.000000001))=0,0,IF($E$7066&lt;=$B$7059,0,IF(ABS(IF(ABS($E$7150)&gt;0.000000001,$E$7150,0.000000001))&gt;=8*$B$7061,$H$7066,0.5*$H$7066*(ABS(IF(ABS($E$7150)&gt;0.000000001,$E$7150,0.000000001))/$B$7061)^(1/3)))/ABS(IF(ABS($E$7150)&gt;0.000000001,$E$7150,0.000000001))*$I$7066)</f>
        <v/>
      </c>
      <c r="E7186" s="19">
        <f>0.5*$E$7150+0.5*$Z$7199</f>
        <v/>
      </c>
      <c r="F7186" s="19">
        <f>$Z$7200</f>
        <v/>
      </c>
    </row>
    <row r="7187">
      <c r="D7187" s="19">
        <f>IF(ABS(IF(ABS($E$7151)&gt;0.000000001,$E$7151,0.000000001))=0,0,IF($E$7067&lt;=$B$7059,0,IF(ABS(IF(ABS($E$7151)&gt;0.000000001,$E$7151,0.000000001))&gt;=8*$B$7061,$H$7067,0.5*$H$7067*(ABS(IF(ABS($E$7151)&gt;0.000000001,$E$7151,0.000000001))/$B$7061)^(1/3)))/ABS(IF(ABS($E$7151)&gt;0.000000001,$E$7151,0.000000001))*$I$7067)</f>
        <v/>
      </c>
      <c r="E7187" s="19">
        <f>0.5*$E$7151+0.5*$Z$7201</f>
        <v/>
      </c>
      <c r="F7187" s="19">
        <f>$Z$7202</f>
        <v/>
      </c>
    </row>
    <row r="7188">
      <c r="D7188" s="19">
        <f>IF(ABS(IF(ABS($E$7152)&gt;0.000000001,$E$7152,0.000000001))=0,0,IF($E$7068&lt;=$B$7059,0,IF(ABS(IF(ABS($E$7152)&gt;0.000000001,$E$7152,0.000000001))&gt;=8*$B$7061,$H$7068,0.5*$H$7068*(ABS(IF(ABS($E$7152)&gt;0.000000001,$E$7152,0.000000001))/$B$7061)^(1/3)))/ABS(IF(ABS($E$7152)&gt;0.000000001,$E$7152,0.000000001))*$I$7068)</f>
        <v/>
      </c>
      <c r="E7188" s="19">
        <f>0.5*$E$7152+0.5*$Z$7203</f>
        <v/>
      </c>
      <c r="F7188" s="19">
        <f>$Z$7204</f>
        <v/>
      </c>
    </row>
    <row r="7189">
      <c r="D7189" s="19">
        <f>IF(ABS(IF(ABS($E$7153)&gt;0.000000001,$E$7153,0.000000001))=0,0,IF($E$7069&lt;=$B$7059,0,IF(ABS(IF(ABS($E$7153)&gt;0.000000001,$E$7153,0.000000001))&gt;=8*$B$7061,$H$7069,0.5*$H$7069*(ABS(IF(ABS($E$7153)&gt;0.000000001,$E$7153,0.000000001))/$B$7061)^(1/3)))/ABS(IF(ABS($E$7153)&gt;0.000000001,$E$7153,0.000000001))*$I$7069)</f>
        <v/>
      </c>
      <c r="E7189" s="19">
        <f>0.5*$E$7153+0.5*$Z$7205</f>
        <v/>
      </c>
      <c r="F7189" s="19">
        <f>$Z$7206</f>
        <v/>
      </c>
    </row>
    <row r="7190">
      <c r="D7190" s="19">
        <f>IF(ABS(IF(ABS($E$7154)&gt;0.000000001,$E$7154,0.000000001))=0,0,IF($E$7070&lt;=$B$7059,0,IF(ABS(IF(ABS($E$7154)&gt;0.000000001,$E$7154,0.000000001))&gt;=8*$B$7061,$H$7070,0.5*$H$7070*(ABS(IF(ABS($E$7154)&gt;0.000000001,$E$7154,0.000000001))/$B$7061)^(1/3)))/ABS(IF(ABS($E$7154)&gt;0.000000001,$E$7154,0.000000001))*$I$7070)</f>
        <v/>
      </c>
      <c r="E7190" s="19">
        <f>0.5*$E$7154+0.5*$Z$7207</f>
        <v/>
      </c>
      <c r="F7190" s="19">
        <f>$Z$7208</f>
        <v/>
      </c>
    </row>
    <row r="7191">
      <c r="D7191" s="19">
        <f>IF(ABS(IF(ABS($E$7155)&gt;0.000000001,$E$7155,0.000000001))=0,0,IF($E$7071&lt;=$B$7059,0,IF(ABS(IF(ABS($E$7155)&gt;0.000000001,$E$7155,0.000000001))&gt;=8*$B$7061,$H$7071,0.5*$H$7071*(ABS(IF(ABS($E$7155)&gt;0.000000001,$E$7155,0.000000001))/$B$7061)^(1/3)))/ABS(IF(ABS($E$7155)&gt;0.000000001,$E$7155,0.000000001))*$I$7071)</f>
        <v/>
      </c>
      <c r="E7191" s="19">
        <f>0.5*$E$7155+0.5*$Z$7209</f>
        <v/>
      </c>
      <c r="F7191" s="19">
        <f>$Z$7210</f>
        <v/>
      </c>
    </row>
    <row r="7192">
      <c r="D7192" s="19">
        <f>IF(ABS(IF(ABS($E$7156)&gt;0.000000001,$E$7156,0.000000001))=0,0,IF($E$7072&lt;=$B$7059,0,IF(ABS(IF(ABS($E$7156)&gt;0.000000001,$E$7156,0.000000001))&gt;=8*$B$7061,$H$7072,0.5*$H$7072*(ABS(IF(ABS($E$7156)&gt;0.000000001,$E$7156,0.000000001))/$B$7061)^(1/3)))/ABS(IF(ABS($E$7156)&gt;0.000000001,$E$7156,0.000000001))*$I$7072)</f>
        <v/>
      </c>
      <c r="E7192" s="19">
        <f>0.5*$E$7156+0.5*$Z$7211</f>
        <v/>
      </c>
      <c r="F7192" s="19">
        <f>$Z$7212</f>
        <v/>
      </c>
    </row>
    <row r="7193">
      <c r="D7193" s="19">
        <f>IF(ABS(IF(ABS($E$7157)&gt;0.000000001,$E$7157,0.000000001))=0,0,IF($E$7073&lt;=$B$7059,0,IF(ABS(IF(ABS($E$7157)&gt;0.000000001,$E$7157,0.000000001))&gt;=8*$B$7061,$H$7073,0.5*$H$7073*(ABS(IF(ABS($E$7157)&gt;0.000000001,$E$7157,0.000000001))/$B$7061)^(1/3)))/ABS(IF(ABS($E$7157)&gt;0.000000001,$E$7157,0.000000001))*$I$7073)</f>
        <v/>
      </c>
      <c r="E7193" s="19">
        <f>0.5*$E$7157+0.5*$Z$7213</f>
        <v/>
      </c>
      <c r="F7193" s="19">
        <f>$Z$7214</f>
        <v/>
      </c>
    </row>
    <row r="7194">
      <c r="D7194" s="19">
        <f>IF(ABS(IF(ABS($E$7158)&gt;0.000000001,$E$7158,0.000000001))=0,0,IF($E$7074&lt;=$B$7059,0,IF(ABS(IF(ABS($E$7158)&gt;0.000000001,$E$7158,0.000000001))&gt;=8*$B$7061,$H$7074,0.5*$H$7074*(ABS(IF(ABS($E$7158)&gt;0.000000001,$E$7158,0.000000001))/$B$7061)^(1/3)))/ABS(IF(ABS($E$7158)&gt;0.000000001,$E$7158,0.000000001))*$I$7074)</f>
        <v/>
      </c>
      <c r="E7194" s="19">
        <f>0.5*$E$7158+0.5*$Z$7215</f>
        <v/>
      </c>
      <c r="F7194" s="19">
        <f>$Z$7216</f>
        <v/>
      </c>
    </row>
    <row r="7195">
      <c r="D7195" s="19">
        <f>IF(ABS(IF(ABS($E$7159)&gt;0.000000001,$E$7159,0.000000001))=0,0,IF($E$7075&lt;=$B$7059,0,IF(ABS(IF(ABS($E$7159)&gt;0.000000001,$E$7159,0.000000001))&gt;=8*$B$7061,$H$7075,0.5*$H$7075*(ABS(IF(ABS($E$7159)&gt;0.000000001,$E$7159,0.000000001))/$B$7061)^(1/3)))/ABS(IF(ABS($E$7159)&gt;0.000000001,$E$7159,0.000000001))*$I$7075)</f>
        <v/>
      </c>
      <c r="E7195" s="19">
        <f>0.5*$E$7159+0.5*$Z$7217</f>
        <v/>
      </c>
      <c r="F7195" s="19">
        <f>$Z$7218</f>
        <v/>
      </c>
    </row>
    <row r="7197">
      <c r="D7197" s="21">
        <f>$B$7050+$D$7185</f>
        <v/>
      </c>
      <c r="E7197" s="21">
        <f>$B$7051</f>
        <v/>
      </c>
      <c r="F7197" s="21">
        <f>-$B$7050</f>
        <v/>
      </c>
      <c r="G7197" s="21">
        <f>$B$7051</f>
        <v/>
      </c>
      <c r="H7197" s="21" t="n">
        <v>0</v>
      </c>
      <c r="I7197" s="21" t="n">
        <v>0</v>
      </c>
      <c r="J7197" s="21" t="n">
        <v>0</v>
      </c>
      <c r="K7197" s="21" t="n">
        <v>0</v>
      </c>
      <c r="L7197" s="21" t="n">
        <v>0</v>
      </c>
      <c r="M7197" s="21" t="n">
        <v>0</v>
      </c>
      <c r="N7197" s="21" t="n">
        <v>0</v>
      </c>
      <c r="O7197" s="21" t="n">
        <v>0</v>
      </c>
      <c r="P7197" s="21" t="n">
        <v>0</v>
      </c>
      <c r="Q7197" s="21" t="n">
        <v>0</v>
      </c>
      <c r="R7197" s="21" t="n">
        <v>0</v>
      </c>
      <c r="S7197" s="21" t="n">
        <v>0</v>
      </c>
      <c r="T7197" s="21" t="n">
        <v>0</v>
      </c>
      <c r="U7197" s="21" t="n">
        <v>0</v>
      </c>
      <c r="V7197" s="21" t="n">
        <v>0</v>
      </c>
      <c r="W7197" s="21" t="n">
        <v>0</v>
      </c>
      <c r="X7197" s="21" t="n">
        <v>0</v>
      </c>
      <c r="Y7197" s="21" t="n">
        <v>0</v>
      </c>
      <c r="Z7197" s="19">
        <f t="array" ref="Z7197:Z7218">MMULT(MINVERSE($D$7197:$Y$7218),$D$7077:$D$7098)</f>
        <v/>
      </c>
    </row>
    <row r="7198">
      <c r="D7198" s="21">
        <f>$B$7051</f>
        <v/>
      </c>
      <c r="E7198" s="21">
        <f>$B$7052</f>
        <v/>
      </c>
      <c r="F7198" s="21">
        <f>-$B$7051</f>
        <v/>
      </c>
      <c r="G7198" s="21">
        <f>$B$7053</f>
        <v/>
      </c>
      <c r="H7198" s="21" t="n">
        <v>0</v>
      </c>
      <c r="I7198" s="21" t="n">
        <v>0</v>
      </c>
      <c r="J7198" s="21" t="n">
        <v>0</v>
      </c>
      <c r="K7198" s="21" t="n">
        <v>0</v>
      </c>
      <c r="L7198" s="21" t="n">
        <v>0</v>
      </c>
      <c r="M7198" s="21" t="n">
        <v>0</v>
      </c>
      <c r="N7198" s="21" t="n">
        <v>0</v>
      </c>
      <c r="O7198" s="21" t="n">
        <v>0</v>
      </c>
      <c r="P7198" s="21" t="n">
        <v>0</v>
      </c>
      <c r="Q7198" s="21" t="n">
        <v>0</v>
      </c>
      <c r="R7198" s="21" t="n">
        <v>0</v>
      </c>
      <c r="S7198" s="21" t="n">
        <v>0</v>
      </c>
      <c r="T7198" s="21" t="n">
        <v>0</v>
      </c>
      <c r="U7198" s="21" t="n">
        <v>0</v>
      </c>
      <c r="V7198" s="21" t="n">
        <v>0</v>
      </c>
      <c r="W7198" s="21" t="n">
        <v>0</v>
      </c>
      <c r="X7198" s="21" t="n">
        <v>0</v>
      </c>
      <c r="Y7198" s="21" t="n">
        <v>0</v>
      </c>
      <c r="Z7198" s="19" t="n"/>
    </row>
    <row r="7199">
      <c r="D7199" s="21">
        <f>-$B$7050</f>
        <v/>
      </c>
      <c r="E7199" s="21">
        <f>-$B$7051</f>
        <v/>
      </c>
      <c r="F7199" s="21">
        <f>2*$B$7050+$D$7186</f>
        <v/>
      </c>
      <c r="G7199" s="21">
        <f>0</f>
        <v/>
      </c>
      <c r="H7199" s="21">
        <f>-$B$7050</f>
        <v/>
      </c>
      <c r="I7199" s="21">
        <f>$B$7051</f>
        <v/>
      </c>
      <c r="J7199" s="21" t="n">
        <v>0</v>
      </c>
      <c r="K7199" s="21" t="n">
        <v>0</v>
      </c>
      <c r="L7199" s="21" t="n">
        <v>0</v>
      </c>
      <c r="M7199" s="21" t="n">
        <v>0</v>
      </c>
      <c r="N7199" s="21" t="n">
        <v>0</v>
      </c>
      <c r="O7199" s="21" t="n">
        <v>0</v>
      </c>
      <c r="P7199" s="21" t="n">
        <v>0</v>
      </c>
      <c r="Q7199" s="21" t="n">
        <v>0</v>
      </c>
      <c r="R7199" s="21" t="n">
        <v>0</v>
      </c>
      <c r="S7199" s="21" t="n">
        <v>0</v>
      </c>
      <c r="T7199" s="21" t="n">
        <v>0</v>
      </c>
      <c r="U7199" s="21" t="n">
        <v>0</v>
      </c>
      <c r="V7199" s="21" t="n">
        <v>0</v>
      </c>
      <c r="W7199" s="21" t="n">
        <v>0</v>
      </c>
      <c r="X7199" s="21" t="n">
        <v>0</v>
      </c>
      <c r="Y7199" s="21" t="n">
        <v>0</v>
      </c>
      <c r="Z7199" s="19" t="n"/>
    </row>
    <row r="7200">
      <c r="D7200" s="21">
        <f>$B$7051</f>
        <v/>
      </c>
      <c r="E7200" s="21">
        <f>$B$7053</f>
        <v/>
      </c>
      <c r="F7200" s="21">
        <f>0</f>
        <v/>
      </c>
      <c r="G7200" s="21">
        <f>2*$B$7052</f>
        <v/>
      </c>
      <c r="H7200" s="21">
        <f>-$B$7051</f>
        <v/>
      </c>
      <c r="I7200" s="21">
        <f>$B$7053</f>
        <v/>
      </c>
      <c r="J7200" s="21" t="n">
        <v>0</v>
      </c>
      <c r="K7200" s="21" t="n">
        <v>0</v>
      </c>
      <c r="L7200" s="21" t="n">
        <v>0</v>
      </c>
      <c r="M7200" s="21" t="n">
        <v>0</v>
      </c>
      <c r="N7200" s="21" t="n">
        <v>0</v>
      </c>
      <c r="O7200" s="21" t="n">
        <v>0</v>
      </c>
      <c r="P7200" s="21" t="n">
        <v>0</v>
      </c>
      <c r="Q7200" s="21" t="n">
        <v>0</v>
      </c>
      <c r="R7200" s="21" t="n">
        <v>0</v>
      </c>
      <c r="S7200" s="21" t="n">
        <v>0</v>
      </c>
      <c r="T7200" s="21" t="n">
        <v>0</v>
      </c>
      <c r="U7200" s="21" t="n">
        <v>0</v>
      </c>
      <c r="V7200" s="21" t="n">
        <v>0</v>
      </c>
      <c r="W7200" s="21" t="n">
        <v>0</v>
      </c>
      <c r="X7200" s="21" t="n">
        <v>0</v>
      </c>
      <c r="Y7200" s="21" t="n">
        <v>0</v>
      </c>
      <c r="Z7200" s="19" t="n"/>
    </row>
    <row r="7201">
      <c r="D7201" s="21" t="n">
        <v>0</v>
      </c>
      <c r="E7201" s="21" t="n">
        <v>0</v>
      </c>
      <c r="F7201" s="21">
        <f>-$B$7050</f>
        <v/>
      </c>
      <c r="G7201" s="21">
        <f>-$B$7051</f>
        <v/>
      </c>
      <c r="H7201" s="21">
        <f>2*$B$7050+$D$7187</f>
        <v/>
      </c>
      <c r="I7201" s="21">
        <f>0</f>
        <v/>
      </c>
      <c r="J7201" s="21">
        <f>-$B$7050</f>
        <v/>
      </c>
      <c r="K7201" s="21">
        <f>$B$7051</f>
        <v/>
      </c>
      <c r="L7201" s="21" t="n">
        <v>0</v>
      </c>
      <c r="M7201" s="21" t="n">
        <v>0</v>
      </c>
      <c r="N7201" s="21" t="n">
        <v>0</v>
      </c>
      <c r="O7201" s="21" t="n">
        <v>0</v>
      </c>
      <c r="P7201" s="21" t="n">
        <v>0</v>
      </c>
      <c r="Q7201" s="21" t="n">
        <v>0</v>
      </c>
      <c r="R7201" s="21" t="n">
        <v>0</v>
      </c>
      <c r="S7201" s="21" t="n">
        <v>0</v>
      </c>
      <c r="T7201" s="21" t="n">
        <v>0</v>
      </c>
      <c r="U7201" s="21" t="n">
        <v>0</v>
      </c>
      <c r="V7201" s="21" t="n">
        <v>0</v>
      </c>
      <c r="W7201" s="21" t="n">
        <v>0</v>
      </c>
      <c r="X7201" s="21" t="n">
        <v>0</v>
      </c>
      <c r="Y7201" s="21" t="n">
        <v>0</v>
      </c>
      <c r="Z7201" s="19" t="n"/>
    </row>
    <row r="7202">
      <c r="D7202" s="21" t="n">
        <v>0</v>
      </c>
      <c r="E7202" s="21" t="n">
        <v>0</v>
      </c>
      <c r="F7202" s="21">
        <f>$B$7051</f>
        <v/>
      </c>
      <c r="G7202" s="21">
        <f>$B$7053</f>
        <v/>
      </c>
      <c r="H7202" s="21">
        <f>0</f>
        <v/>
      </c>
      <c r="I7202" s="21">
        <f>2*$B$7052</f>
        <v/>
      </c>
      <c r="J7202" s="21">
        <f>-$B$7051</f>
        <v/>
      </c>
      <c r="K7202" s="21">
        <f>$B$7053</f>
        <v/>
      </c>
      <c r="L7202" s="21" t="n">
        <v>0</v>
      </c>
      <c r="M7202" s="21" t="n">
        <v>0</v>
      </c>
      <c r="N7202" s="21" t="n">
        <v>0</v>
      </c>
      <c r="O7202" s="21" t="n">
        <v>0</v>
      </c>
      <c r="P7202" s="21" t="n">
        <v>0</v>
      </c>
      <c r="Q7202" s="21" t="n">
        <v>0</v>
      </c>
      <c r="R7202" s="21" t="n">
        <v>0</v>
      </c>
      <c r="S7202" s="21" t="n">
        <v>0</v>
      </c>
      <c r="T7202" s="21" t="n">
        <v>0</v>
      </c>
      <c r="U7202" s="21" t="n">
        <v>0</v>
      </c>
      <c r="V7202" s="21" t="n">
        <v>0</v>
      </c>
      <c r="W7202" s="21" t="n">
        <v>0</v>
      </c>
      <c r="X7202" s="21" t="n">
        <v>0</v>
      </c>
      <c r="Y7202" s="21" t="n">
        <v>0</v>
      </c>
      <c r="Z7202" s="19" t="n"/>
    </row>
    <row r="7203">
      <c r="D7203" s="21" t="n">
        <v>0</v>
      </c>
      <c r="E7203" s="21" t="n">
        <v>0</v>
      </c>
      <c r="F7203" s="21" t="n">
        <v>0</v>
      </c>
      <c r="G7203" s="21" t="n">
        <v>0</v>
      </c>
      <c r="H7203" s="21">
        <f>-$B$7050</f>
        <v/>
      </c>
      <c r="I7203" s="21">
        <f>-$B$7051</f>
        <v/>
      </c>
      <c r="J7203" s="21">
        <f>2*$B$7050+$D$7188</f>
        <v/>
      </c>
      <c r="K7203" s="21">
        <f>0</f>
        <v/>
      </c>
      <c r="L7203" s="21">
        <f>-$B$7050</f>
        <v/>
      </c>
      <c r="M7203" s="21">
        <f>$B$7051</f>
        <v/>
      </c>
      <c r="N7203" s="21" t="n">
        <v>0</v>
      </c>
      <c r="O7203" s="21" t="n">
        <v>0</v>
      </c>
      <c r="P7203" s="21" t="n">
        <v>0</v>
      </c>
      <c r="Q7203" s="21" t="n">
        <v>0</v>
      </c>
      <c r="R7203" s="21" t="n">
        <v>0</v>
      </c>
      <c r="S7203" s="21" t="n">
        <v>0</v>
      </c>
      <c r="T7203" s="21" t="n">
        <v>0</v>
      </c>
      <c r="U7203" s="21" t="n">
        <v>0</v>
      </c>
      <c r="V7203" s="21" t="n">
        <v>0</v>
      </c>
      <c r="W7203" s="21" t="n">
        <v>0</v>
      </c>
      <c r="X7203" s="21" t="n">
        <v>0</v>
      </c>
      <c r="Y7203" s="21" t="n">
        <v>0</v>
      </c>
      <c r="Z7203" s="19" t="n"/>
    </row>
    <row r="7204">
      <c r="D7204" s="21" t="n">
        <v>0</v>
      </c>
      <c r="E7204" s="21" t="n">
        <v>0</v>
      </c>
      <c r="F7204" s="21" t="n">
        <v>0</v>
      </c>
      <c r="G7204" s="21" t="n">
        <v>0</v>
      </c>
      <c r="H7204" s="21">
        <f>$B$7051</f>
        <v/>
      </c>
      <c r="I7204" s="21">
        <f>$B$7053</f>
        <v/>
      </c>
      <c r="J7204" s="21">
        <f>0</f>
        <v/>
      </c>
      <c r="K7204" s="21">
        <f>2*$B$7052</f>
        <v/>
      </c>
      <c r="L7204" s="21">
        <f>-$B$7051</f>
        <v/>
      </c>
      <c r="M7204" s="21">
        <f>$B$7053</f>
        <v/>
      </c>
      <c r="N7204" s="21" t="n">
        <v>0</v>
      </c>
      <c r="O7204" s="21" t="n">
        <v>0</v>
      </c>
      <c r="P7204" s="21" t="n">
        <v>0</v>
      </c>
      <c r="Q7204" s="21" t="n">
        <v>0</v>
      </c>
      <c r="R7204" s="21" t="n">
        <v>0</v>
      </c>
      <c r="S7204" s="21" t="n">
        <v>0</v>
      </c>
      <c r="T7204" s="21" t="n">
        <v>0</v>
      </c>
      <c r="U7204" s="21" t="n">
        <v>0</v>
      </c>
      <c r="V7204" s="21" t="n">
        <v>0</v>
      </c>
      <c r="W7204" s="21" t="n">
        <v>0</v>
      </c>
      <c r="X7204" s="21" t="n">
        <v>0</v>
      </c>
      <c r="Y7204" s="21" t="n">
        <v>0</v>
      </c>
      <c r="Z7204" s="19" t="n"/>
    </row>
    <row r="7205">
      <c r="D7205" s="21" t="n">
        <v>0</v>
      </c>
      <c r="E7205" s="21" t="n">
        <v>0</v>
      </c>
      <c r="F7205" s="21" t="n">
        <v>0</v>
      </c>
      <c r="G7205" s="21" t="n">
        <v>0</v>
      </c>
      <c r="H7205" s="21" t="n">
        <v>0</v>
      </c>
      <c r="I7205" s="21" t="n">
        <v>0</v>
      </c>
      <c r="J7205" s="21">
        <f>-$B$7050</f>
        <v/>
      </c>
      <c r="K7205" s="21">
        <f>-$B$7051</f>
        <v/>
      </c>
      <c r="L7205" s="21">
        <f>2*$B$7050+$D$7189</f>
        <v/>
      </c>
      <c r="M7205" s="21">
        <f>0</f>
        <v/>
      </c>
      <c r="N7205" s="21">
        <f>-$B$7050</f>
        <v/>
      </c>
      <c r="O7205" s="21">
        <f>$B$7051</f>
        <v/>
      </c>
      <c r="P7205" s="21" t="n">
        <v>0</v>
      </c>
      <c r="Q7205" s="21" t="n">
        <v>0</v>
      </c>
      <c r="R7205" s="21" t="n">
        <v>0</v>
      </c>
      <c r="S7205" s="21" t="n">
        <v>0</v>
      </c>
      <c r="T7205" s="21" t="n">
        <v>0</v>
      </c>
      <c r="U7205" s="21" t="n">
        <v>0</v>
      </c>
      <c r="V7205" s="21" t="n">
        <v>0</v>
      </c>
      <c r="W7205" s="21" t="n">
        <v>0</v>
      </c>
      <c r="X7205" s="21" t="n">
        <v>0</v>
      </c>
      <c r="Y7205" s="21" t="n">
        <v>0</v>
      </c>
      <c r="Z7205" s="19" t="n"/>
    </row>
    <row r="7206">
      <c r="D7206" s="21" t="n">
        <v>0</v>
      </c>
      <c r="E7206" s="21" t="n">
        <v>0</v>
      </c>
      <c r="F7206" s="21" t="n">
        <v>0</v>
      </c>
      <c r="G7206" s="21" t="n">
        <v>0</v>
      </c>
      <c r="H7206" s="21" t="n">
        <v>0</v>
      </c>
      <c r="I7206" s="21" t="n">
        <v>0</v>
      </c>
      <c r="J7206" s="21">
        <f>$B$7051</f>
        <v/>
      </c>
      <c r="K7206" s="21">
        <f>$B$7053</f>
        <v/>
      </c>
      <c r="L7206" s="21">
        <f>0</f>
        <v/>
      </c>
      <c r="M7206" s="21">
        <f>2*$B$7052</f>
        <v/>
      </c>
      <c r="N7206" s="21">
        <f>-$B$7051</f>
        <v/>
      </c>
      <c r="O7206" s="21">
        <f>$B$7053</f>
        <v/>
      </c>
      <c r="P7206" s="21" t="n">
        <v>0</v>
      </c>
      <c r="Q7206" s="21" t="n">
        <v>0</v>
      </c>
      <c r="R7206" s="21" t="n">
        <v>0</v>
      </c>
      <c r="S7206" s="21" t="n">
        <v>0</v>
      </c>
      <c r="T7206" s="21" t="n">
        <v>0</v>
      </c>
      <c r="U7206" s="21" t="n">
        <v>0</v>
      </c>
      <c r="V7206" s="21" t="n">
        <v>0</v>
      </c>
      <c r="W7206" s="21" t="n">
        <v>0</v>
      </c>
      <c r="X7206" s="21" t="n">
        <v>0</v>
      </c>
      <c r="Y7206" s="21" t="n">
        <v>0</v>
      </c>
      <c r="Z7206" s="19" t="n"/>
    </row>
    <row r="7207">
      <c r="D7207" s="21" t="n">
        <v>0</v>
      </c>
      <c r="E7207" s="21" t="n">
        <v>0</v>
      </c>
      <c r="F7207" s="21" t="n">
        <v>0</v>
      </c>
      <c r="G7207" s="21" t="n">
        <v>0</v>
      </c>
      <c r="H7207" s="21" t="n">
        <v>0</v>
      </c>
      <c r="I7207" s="21" t="n">
        <v>0</v>
      </c>
      <c r="J7207" s="21" t="n">
        <v>0</v>
      </c>
      <c r="K7207" s="21" t="n">
        <v>0</v>
      </c>
      <c r="L7207" s="21">
        <f>-$B$7050</f>
        <v/>
      </c>
      <c r="M7207" s="21">
        <f>-$B$7051</f>
        <v/>
      </c>
      <c r="N7207" s="21">
        <f>2*$B$7050+$D$7190</f>
        <v/>
      </c>
      <c r="O7207" s="21">
        <f>0</f>
        <v/>
      </c>
      <c r="P7207" s="21">
        <f>-$B$7050</f>
        <v/>
      </c>
      <c r="Q7207" s="21">
        <f>$B$7051</f>
        <v/>
      </c>
      <c r="R7207" s="21" t="n">
        <v>0</v>
      </c>
      <c r="S7207" s="21" t="n">
        <v>0</v>
      </c>
      <c r="T7207" s="21" t="n">
        <v>0</v>
      </c>
      <c r="U7207" s="21" t="n">
        <v>0</v>
      </c>
      <c r="V7207" s="21" t="n">
        <v>0</v>
      </c>
      <c r="W7207" s="21" t="n">
        <v>0</v>
      </c>
      <c r="X7207" s="21" t="n">
        <v>0</v>
      </c>
      <c r="Y7207" s="21" t="n">
        <v>0</v>
      </c>
      <c r="Z7207" s="19" t="n"/>
    </row>
    <row r="7208">
      <c r="D7208" s="21" t="n">
        <v>0</v>
      </c>
      <c r="E7208" s="21" t="n">
        <v>0</v>
      </c>
      <c r="F7208" s="21" t="n">
        <v>0</v>
      </c>
      <c r="G7208" s="21" t="n">
        <v>0</v>
      </c>
      <c r="H7208" s="21" t="n">
        <v>0</v>
      </c>
      <c r="I7208" s="21" t="n">
        <v>0</v>
      </c>
      <c r="J7208" s="21" t="n">
        <v>0</v>
      </c>
      <c r="K7208" s="21" t="n">
        <v>0</v>
      </c>
      <c r="L7208" s="21">
        <f>$B$7051</f>
        <v/>
      </c>
      <c r="M7208" s="21">
        <f>$B$7053</f>
        <v/>
      </c>
      <c r="N7208" s="21">
        <f>0</f>
        <v/>
      </c>
      <c r="O7208" s="21">
        <f>2*$B$7052</f>
        <v/>
      </c>
      <c r="P7208" s="21">
        <f>-$B$7051</f>
        <v/>
      </c>
      <c r="Q7208" s="21">
        <f>$B$7053</f>
        <v/>
      </c>
      <c r="R7208" s="21" t="n">
        <v>0</v>
      </c>
      <c r="S7208" s="21" t="n">
        <v>0</v>
      </c>
      <c r="T7208" s="21" t="n">
        <v>0</v>
      </c>
      <c r="U7208" s="21" t="n">
        <v>0</v>
      </c>
      <c r="V7208" s="21" t="n">
        <v>0</v>
      </c>
      <c r="W7208" s="21" t="n">
        <v>0</v>
      </c>
      <c r="X7208" s="21" t="n">
        <v>0</v>
      </c>
      <c r="Y7208" s="21" t="n">
        <v>0</v>
      </c>
      <c r="Z7208" s="19" t="n"/>
    </row>
    <row r="7209">
      <c r="D7209" s="21" t="n">
        <v>0</v>
      </c>
      <c r="E7209" s="21" t="n">
        <v>0</v>
      </c>
      <c r="F7209" s="21" t="n">
        <v>0</v>
      </c>
      <c r="G7209" s="21" t="n">
        <v>0</v>
      </c>
      <c r="H7209" s="21" t="n">
        <v>0</v>
      </c>
      <c r="I7209" s="21" t="n">
        <v>0</v>
      </c>
      <c r="J7209" s="21" t="n">
        <v>0</v>
      </c>
      <c r="K7209" s="21" t="n">
        <v>0</v>
      </c>
      <c r="L7209" s="21" t="n">
        <v>0</v>
      </c>
      <c r="M7209" s="21" t="n">
        <v>0</v>
      </c>
      <c r="N7209" s="21">
        <f>-$B$7050</f>
        <v/>
      </c>
      <c r="O7209" s="21">
        <f>-$B$7051</f>
        <v/>
      </c>
      <c r="P7209" s="21">
        <f>2*$B$7050+$D$7191</f>
        <v/>
      </c>
      <c r="Q7209" s="21">
        <f>0</f>
        <v/>
      </c>
      <c r="R7209" s="21">
        <f>-$B$7050</f>
        <v/>
      </c>
      <c r="S7209" s="21">
        <f>$B$7051</f>
        <v/>
      </c>
      <c r="T7209" s="21" t="n">
        <v>0</v>
      </c>
      <c r="U7209" s="21" t="n">
        <v>0</v>
      </c>
      <c r="V7209" s="21" t="n">
        <v>0</v>
      </c>
      <c r="W7209" s="21" t="n">
        <v>0</v>
      </c>
      <c r="X7209" s="21" t="n">
        <v>0</v>
      </c>
      <c r="Y7209" s="21" t="n">
        <v>0</v>
      </c>
      <c r="Z7209" s="19" t="n"/>
    </row>
    <row r="7210">
      <c r="D7210" s="21" t="n">
        <v>0</v>
      </c>
      <c r="E7210" s="21" t="n">
        <v>0</v>
      </c>
      <c r="F7210" s="21" t="n">
        <v>0</v>
      </c>
      <c r="G7210" s="21" t="n">
        <v>0</v>
      </c>
      <c r="H7210" s="21" t="n">
        <v>0</v>
      </c>
      <c r="I7210" s="21" t="n">
        <v>0</v>
      </c>
      <c r="J7210" s="21" t="n">
        <v>0</v>
      </c>
      <c r="K7210" s="21" t="n">
        <v>0</v>
      </c>
      <c r="L7210" s="21" t="n">
        <v>0</v>
      </c>
      <c r="M7210" s="21" t="n">
        <v>0</v>
      </c>
      <c r="N7210" s="21">
        <f>$B$7051</f>
        <v/>
      </c>
      <c r="O7210" s="21">
        <f>$B$7053</f>
        <v/>
      </c>
      <c r="P7210" s="21">
        <f>0</f>
        <v/>
      </c>
      <c r="Q7210" s="21">
        <f>2*$B$7052</f>
        <v/>
      </c>
      <c r="R7210" s="21">
        <f>-$B$7051</f>
        <v/>
      </c>
      <c r="S7210" s="21">
        <f>$B$7053</f>
        <v/>
      </c>
      <c r="T7210" s="21" t="n">
        <v>0</v>
      </c>
      <c r="U7210" s="21" t="n">
        <v>0</v>
      </c>
      <c r="V7210" s="21" t="n">
        <v>0</v>
      </c>
      <c r="W7210" s="21" t="n">
        <v>0</v>
      </c>
      <c r="X7210" s="21" t="n">
        <v>0</v>
      </c>
      <c r="Y7210" s="21" t="n">
        <v>0</v>
      </c>
      <c r="Z7210" s="19" t="n"/>
    </row>
    <row r="7211">
      <c r="D7211" s="21" t="n">
        <v>0</v>
      </c>
      <c r="E7211" s="21" t="n">
        <v>0</v>
      </c>
      <c r="F7211" s="21" t="n">
        <v>0</v>
      </c>
      <c r="G7211" s="21" t="n">
        <v>0</v>
      </c>
      <c r="H7211" s="21" t="n">
        <v>0</v>
      </c>
      <c r="I7211" s="21" t="n">
        <v>0</v>
      </c>
      <c r="J7211" s="21" t="n">
        <v>0</v>
      </c>
      <c r="K7211" s="21" t="n">
        <v>0</v>
      </c>
      <c r="L7211" s="21" t="n">
        <v>0</v>
      </c>
      <c r="M7211" s="21" t="n">
        <v>0</v>
      </c>
      <c r="N7211" s="21" t="n">
        <v>0</v>
      </c>
      <c r="O7211" s="21" t="n">
        <v>0</v>
      </c>
      <c r="P7211" s="21">
        <f>-$B$7050</f>
        <v/>
      </c>
      <c r="Q7211" s="21">
        <f>-$B$7051</f>
        <v/>
      </c>
      <c r="R7211" s="21">
        <f>2*$B$7050+$D$7192</f>
        <v/>
      </c>
      <c r="S7211" s="21">
        <f>0</f>
        <v/>
      </c>
      <c r="T7211" s="21">
        <f>-$B$7050</f>
        <v/>
      </c>
      <c r="U7211" s="21">
        <f>$B$7051</f>
        <v/>
      </c>
      <c r="V7211" s="21" t="n">
        <v>0</v>
      </c>
      <c r="W7211" s="21" t="n">
        <v>0</v>
      </c>
      <c r="X7211" s="21" t="n">
        <v>0</v>
      </c>
      <c r="Y7211" s="21" t="n">
        <v>0</v>
      </c>
      <c r="Z7211" s="19" t="n"/>
    </row>
    <row r="7212">
      <c r="D7212" s="21" t="n">
        <v>0</v>
      </c>
      <c r="E7212" s="21" t="n">
        <v>0</v>
      </c>
      <c r="F7212" s="21" t="n">
        <v>0</v>
      </c>
      <c r="G7212" s="21" t="n">
        <v>0</v>
      </c>
      <c r="H7212" s="21" t="n">
        <v>0</v>
      </c>
      <c r="I7212" s="21" t="n">
        <v>0</v>
      </c>
      <c r="J7212" s="21" t="n">
        <v>0</v>
      </c>
      <c r="K7212" s="21" t="n">
        <v>0</v>
      </c>
      <c r="L7212" s="21" t="n">
        <v>0</v>
      </c>
      <c r="M7212" s="21" t="n">
        <v>0</v>
      </c>
      <c r="N7212" s="21" t="n">
        <v>0</v>
      </c>
      <c r="O7212" s="21" t="n">
        <v>0</v>
      </c>
      <c r="P7212" s="21">
        <f>$B$7051</f>
        <v/>
      </c>
      <c r="Q7212" s="21">
        <f>$B$7053</f>
        <v/>
      </c>
      <c r="R7212" s="21">
        <f>0</f>
        <v/>
      </c>
      <c r="S7212" s="21">
        <f>2*$B$7052</f>
        <v/>
      </c>
      <c r="T7212" s="21">
        <f>-$B$7051</f>
        <v/>
      </c>
      <c r="U7212" s="21">
        <f>$B$7053</f>
        <v/>
      </c>
      <c r="V7212" s="21" t="n">
        <v>0</v>
      </c>
      <c r="W7212" s="21" t="n">
        <v>0</v>
      </c>
      <c r="X7212" s="21" t="n">
        <v>0</v>
      </c>
      <c r="Y7212" s="21" t="n">
        <v>0</v>
      </c>
      <c r="Z7212" s="19" t="n"/>
    </row>
    <row r="7213">
      <c r="D7213" s="21" t="n">
        <v>0</v>
      </c>
      <c r="E7213" s="21" t="n">
        <v>0</v>
      </c>
      <c r="F7213" s="21" t="n">
        <v>0</v>
      </c>
      <c r="G7213" s="21" t="n">
        <v>0</v>
      </c>
      <c r="H7213" s="21" t="n">
        <v>0</v>
      </c>
      <c r="I7213" s="21" t="n">
        <v>0</v>
      </c>
      <c r="J7213" s="21" t="n">
        <v>0</v>
      </c>
      <c r="K7213" s="21" t="n">
        <v>0</v>
      </c>
      <c r="L7213" s="21" t="n">
        <v>0</v>
      </c>
      <c r="M7213" s="21" t="n">
        <v>0</v>
      </c>
      <c r="N7213" s="21" t="n">
        <v>0</v>
      </c>
      <c r="O7213" s="21" t="n">
        <v>0</v>
      </c>
      <c r="P7213" s="21" t="n">
        <v>0</v>
      </c>
      <c r="Q7213" s="21" t="n">
        <v>0</v>
      </c>
      <c r="R7213" s="21">
        <f>-$B$7050</f>
        <v/>
      </c>
      <c r="S7213" s="21">
        <f>-$B$7051</f>
        <v/>
      </c>
      <c r="T7213" s="21">
        <f>2*$B$7050+$D$7193</f>
        <v/>
      </c>
      <c r="U7213" s="21">
        <f>0</f>
        <v/>
      </c>
      <c r="V7213" s="21">
        <f>-$B$7050</f>
        <v/>
      </c>
      <c r="W7213" s="21">
        <f>$B$7051</f>
        <v/>
      </c>
      <c r="X7213" s="21" t="n">
        <v>0</v>
      </c>
      <c r="Y7213" s="21" t="n">
        <v>0</v>
      </c>
      <c r="Z7213" s="19" t="n"/>
    </row>
    <row r="7214">
      <c r="D7214" s="21" t="n">
        <v>0</v>
      </c>
      <c r="E7214" s="21" t="n">
        <v>0</v>
      </c>
      <c r="F7214" s="21" t="n">
        <v>0</v>
      </c>
      <c r="G7214" s="21" t="n">
        <v>0</v>
      </c>
      <c r="H7214" s="21" t="n">
        <v>0</v>
      </c>
      <c r="I7214" s="21" t="n">
        <v>0</v>
      </c>
      <c r="J7214" s="21" t="n">
        <v>0</v>
      </c>
      <c r="K7214" s="21" t="n">
        <v>0</v>
      </c>
      <c r="L7214" s="21" t="n">
        <v>0</v>
      </c>
      <c r="M7214" s="21" t="n">
        <v>0</v>
      </c>
      <c r="N7214" s="21" t="n">
        <v>0</v>
      </c>
      <c r="O7214" s="21" t="n">
        <v>0</v>
      </c>
      <c r="P7214" s="21" t="n">
        <v>0</v>
      </c>
      <c r="Q7214" s="21" t="n">
        <v>0</v>
      </c>
      <c r="R7214" s="21">
        <f>$B$7051</f>
        <v/>
      </c>
      <c r="S7214" s="21">
        <f>$B$7053</f>
        <v/>
      </c>
      <c r="T7214" s="21">
        <f>0</f>
        <v/>
      </c>
      <c r="U7214" s="21">
        <f>2*$B$7052</f>
        <v/>
      </c>
      <c r="V7214" s="21">
        <f>-$B$7051</f>
        <v/>
      </c>
      <c r="W7214" s="21">
        <f>$B$7053</f>
        <v/>
      </c>
      <c r="X7214" s="21" t="n">
        <v>0</v>
      </c>
      <c r="Y7214" s="21" t="n">
        <v>0</v>
      </c>
      <c r="Z7214" s="19" t="n"/>
    </row>
    <row r="7215">
      <c r="D7215" s="21" t="n">
        <v>0</v>
      </c>
      <c r="E7215" s="21" t="n">
        <v>0</v>
      </c>
      <c r="F7215" s="21" t="n">
        <v>0</v>
      </c>
      <c r="G7215" s="21" t="n">
        <v>0</v>
      </c>
      <c r="H7215" s="21" t="n">
        <v>0</v>
      </c>
      <c r="I7215" s="21" t="n">
        <v>0</v>
      </c>
      <c r="J7215" s="21" t="n">
        <v>0</v>
      </c>
      <c r="K7215" s="21" t="n">
        <v>0</v>
      </c>
      <c r="L7215" s="21" t="n">
        <v>0</v>
      </c>
      <c r="M7215" s="21" t="n">
        <v>0</v>
      </c>
      <c r="N7215" s="21" t="n">
        <v>0</v>
      </c>
      <c r="O7215" s="21" t="n">
        <v>0</v>
      </c>
      <c r="P7215" s="21" t="n">
        <v>0</v>
      </c>
      <c r="Q7215" s="21" t="n">
        <v>0</v>
      </c>
      <c r="R7215" s="21" t="n">
        <v>0</v>
      </c>
      <c r="S7215" s="21" t="n">
        <v>0</v>
      </c>
      <c r="T7215" s="21">
        <f>-$B$7050</f>
        <v/>
      </c>
      <c r="U7215" s="21">
        <f>-$B$7051</f>
        <v/>
      </c>
      <c r="V7215" s="21">
        <f>2*$B$7050+$D$7194</f>
        <v/>
      </c>
      <c r="W7215" s="21">
        <f>0</f>
        <v/>
      </c>
      <c r="X7215" s="21">
        <f>-$B$7050</f>
        <v/>
      </c>
      <c r="Y7215" s="21">
        <f>$B$7051</f>
        <v/>
      </c>
      <c r="Z7215" s="19" t="n"/>
    </row>
    <row r="7216">
      <c r="D7216" s="21" t="n">
        <v>0</v>
      </c>
      <c r="E7216" s="21" t="n">
        <v>0</v>
      </c>
      <c r="F7216" s="21" t="n">
        <v>0</v>
      </c>
      <c r="G7216" s="21" t="n">
        <v>0</v>
      </c>
      <c r="H7216" s="21" t="n">
        <v>0</v>
      </c>
      <c r="I7216" s="21" t="n">
        <v>0</v>
      </c>
      <c r="J7216" s="21" t="n">
        <v>0</v>
      </c>
      <c r="K7216" s="21" t="n">
        <v>0</v>
      </c>
      <c r="L7216" s="21" t="n">
        <v>0</v>
      </c>
      <c r="M7216" s="21" t="n">
        <v>0</v>
      </c>
      <c r="N7216" s="21" t="n">
        <v>0</v>
      </c>
      <c r="O7216" s="21" t="n">
        <v>0</v>
      </c>
      <c r="P7216" s="21" t="n">
        <v>0</v>
      </c>
      <c r="Q7216" s="21" t="n">
        <v>0</v>
      </c>
      <c r="R7216" s="21" t="n">
        <v>0</v>
      </c>
      <c r="S7216" s="21" t="n">
        <v>0</v>
      </c>
      <c r="T7216" s="21">
        <f>$B$7051</f>
        <v/>
      </c>
      <c r="U7216" s="21">
        <f>$B$7053</f>
        <v/>
      </c>
      <c r="V7216" s="21">
        <f>0</f>
        <v/>
      </c>
      <c r="W7216" s="21">
        <f>2*$B$7052</f>
        <v/>
      </c>
      <c r="X7216" s="21">
        <f>-$B$7051</f>
        <v/>
      </c>
      <c r="Y7216" s="21">
        <f>$B$7053</f>
        <v/>
      </c>
      <c r="Z7216" s="19" t="n"/>
    </row>
    <row r="7217">
      <c r="D7217" s="21" t="n">
        <v>0</v>
      </c>
      <c r="E7217" s="21" t="n">
        <v>0</v>
      </c>
      <c r="F7217" s="21" t="n">
        <v>0</v>
      </c>
      <c r="G7217" s="21" t="n">
        <v>0</v>
      </c>
      <c r="H7217" s="21" t="n">
        <v>0</v>
      </c>
      <c r="I7217" s="21" t="n">
        <v>0</v>
      </c>
      <c r="J7217" s="21" t="n">
        <v>0</v>
      </c>
      <c r="K7217" s="21" t="n">
        <v>0</v>
      </c>
      <c r="L7217" s="21" t="n">
        <v>0</v>
      </c>
      <c r="M7217" s="21" t="n">
        <v>0</v>
      </c>
      <c r="N7217" s="21" t="n">
        <v>0</v>
      </c>
      <c r="O7217" s="21" t="n">
        <v>0</v>
      </c>
      <c r="P7217" s="21" t="n">
        <v>0</v>
      </c>
      <c r="Q7217" s="21" t="n">
        <v>0</v>
      </c>
      <c r="R7217" s="21" t="n">
        <v>0</v>
      </c>
      <c r="S7217" s="21" t="n">
        <v>0</v>
      </c>
      <c r="T7217" s="21" t="n">
        <v>0</v>
      </c>
      <c r="U7217" s="21" t="n">
        <v>0</v>
      </c>
      <c r="V7217" s="21">
        <f>-$B$7050</f>
        <v/>
      </c>
      <c r="W7217" s="21">
        <f>-$B$7051</f>
        <v/>
      </c>
      <c r="X7217" s="21">
        <f>$B$7050+$D$7195</f>
        <v/>
      </c>
      <c r="Y7217" s="21">
        <f>-$B$7051</f>
        <v/>
      </c>
      <c r="Z7217" s="19" t="n"/>
    </row>
    <row r="7218">
      <c r="D7218" s="21" t="n">
        <v>0</v>
      </c>
      <c r="E7218" s="21" t="n">
        <v>0</v>
      </c>
      <c r="F7218" s="21" t="n">
        <v>0</v>
      </c>
      <c r="G7218" s="21" t="n">
        <v>0</v>
      </c>
      <c r="H7218" s="21" t="n">
        <v>0</v>
      </c>
      <c r="I7218" s="21" t="n">
        <v>0</v>
      </c>
      <c r="J7218" s="21" t="n">
        <v>0</v>
      </c>
      <c r="K7218" s="21" t="n">
        <v>0</v>
      </c>
      <c r="L7218" s="21" t="n">
        <v>0</v>
      </c>
      <c r="M7218" s="21" t="n">
        <v>0</v>
      </c>
      <c r="N7218" s="21" t="n">
        <v>0</v>
      </c>
      <c r="O7218" s="21" t="n">
        <v>0</v>
      </c>
      <c r="P7218" s="21" t="n">
        <v>0</v>
      </c>
      <c r="Q7218" s="21" t="n">
        <v>0</v>
      </c>
      <c r="R7218" s="21" t="n">
        <v>0</v>
      </c>
      <c r="S7218" s="21" t="n">
        <v>0</v>
      </c>
      <c r="T7218" s="21" t="n">
        <v>0</v>
      </c>
      <c r="U7218" s="21" t="n">
        <v>0</v>
      </c>
      <c r="V7218" s="21">
        <f>$B$7051</f>
        <v/>
      </c>
      <c r="W7218" s="21">
        <f>$B$7053</f>
        <v/>
      </c>
      <c r="X7218" s="21">
        <f>-$B$7051</f>
        <v/>
      </c>
      <c r="Y7218" s="21">
        <f>$B$7052</f>
        <v/>
      </c>
      <c r="Z7218" s="19" t="n"/>
    </row>
    <row r="7220">
      <c r="A7220" s="8" t="inlineStr">
        <is>
          <t>gen 4</t>
        </is>
      </c>
    </row>
    <row r="7221">
      <c r="D7221" s="19">
        <f>IF(ABS(IF(ABS($E$7185)&gt;0.000000001,$E$7185,0.000000001))=0,0,IF($E$7065&lt;=$B$7059,0,IF(ABS(IF(ABS($E$7185)&gt;0.000000001,$E$7185,0.000000001))&gt;=8*$B$7061,$H$7065,0.5*$H$7065*(ABS(IF(ABS($E$7185)&gt;0.000000001,$E$7185,0.000000001))/$B$7061)^(1/3)))/ABS(IF(ABS($E$7185)&gt;0.000000001,$E$7185,0.000000001))*$I$7065)</f>
        <v/>
      </c>
      <c r="E7221" s="19">
        <f>0.5*$E$7185+0.5*$Z$7233</f>
        <v/>
      </c>
      <c r="F7221" s="19">
        <f>$Z$7234</f>
        <v/>
      </c>
    </row>
    <row r="7222">
      <c r="D7222" s="19">
        <f>IF(ABS(IF(ABS($E$7186)&gt;0.000000001,$E$7186,0.000000001))=0,0,IF($E$7066&lt;=$B$7059,0,IF(ABS(IF(ABS($E$7186)&gt;0.000000001,$E$7186,0.000000001))&gt;=8*$B$7061,$H$7066,0.5*$H$7066*(ABS(IF(ABS($E$7186)&gt;0.000000001,$E$7186,0.000000001))/$B$7061)^(1/3)))/ABS(IF(ABS($E$7186)&gt;0.000000001,$E$7186,0.000000001))*$I$7066)</f>
        <v/>
      </c>
      <c r="E7222" s="19">
        <f>0.5*$E$7186+0.5*$Z$7235</f>
        <v/>
      </c>
      <c r="F7222" s="19">
        <f>$Z$7236</f>
        <v/>
      </c>
    </row>
    <row r="7223">
      <c r="D7223" s="19">
        <f>IF(ABS(IF(ABS($E$7187)&gt;0.000000001,$E$7187,0.000000001))=0,0,IF($E$7067&lt;=$B$7059,0,IF(ABS(IF(ABS($E$7187)&gt;0.000000001,$E$7187,0.000000001))&gt;=8*$B$7061,$H$7067,0.5*$H$7067*(ABS(IF(ABS($E$7187)&gt;0.000000001,$E$7187,0.000000001))/$B$7061)^(1/3)))/ABS(IF(ABS($E$7187)&gt;0.000000001,$E$7187,0.000000001))*$I$7067)</f>
        <v/>
      </c>
      <c r="E7223" s="19">
        <f>0.5*$E$7187+0.5*$Z$7237</f>
        <v/>
      </c>
      <c r="F7223" s="19">
        <f>$Z$7238</f>
        <v/>
      </c>
    </row>
    <row r="7224">
      <c r="D7224" s="19">
        <f>IF(ABS(IF(ABS($E$7188)&gt;0.000000001,$E$7188,0.000000001))=0,0,IF($E$7068&lt;=$B$7059,0,IF(ABS(IF(ABS($E$7188)&gt;0.000000001,$E$7188,0.000000001))&gt;=8*$B$7061,$H$7068,0.5*$H$7068*(ABS(IF(ABS($E$7188)&gt;0.000000001,$E$7188,0.000000001))/$B$7061)^(1/3)))/ABS(IF(ABS($E$7188)&gt;0.000000001,$E$7188,0.000000001))*$I$7068)</f>
        <v/>
      </c>
      <c r="E7224" s="19">
        <f>0.5*$E$7188+0.5*$Z$7239</f>
        <v/>
      </c>
      <c r="F7224" s="19">
        <f>$Z$7240</f>
        <v/>
      </c>
    </row>
    <row r="7225">
      <c r="D7225" s="19">
        <f>IF(ABS(IF(ABS($E$7189)&gt;0.000000001,$E$7189,0.000000001))=0,0,IF($E$7069&lt;=$B$7059,0,IF(ABS(IF(ABS($E$7189)&gt;0.000000001,$E$7189,0.000000001))&gt;=8*$B$7061,$H$7069,0.5*$H$7069*(ABS(IF(ABS($E$7189)&gt;0.000000001,$E$7189,0.000000001))/$B$7061)^(1/3)))/ABS(IF(ABS($E$7189)&gt;0.000000001,$E$7189,0.000000001))*$I$7069)</f>
        <v/>
      </c>
      <c r="E7225" s="19">
        <f>0.5*$E$7189+0.5*$Z$7241</f>
        <v/>
      </c>
      <c r="F7225" s="19">
        <f>$Z$7242</f>
        <v/>
      </c>
    </row>
    <row r="7226">
      <c r="D7226" s="19">
        <f>IF(ABS(IF(ABS($E$7190)&gt;0.000000001,$E$7190,0.000000001))=0,0,IF($E$7070&lt;=$B$7059,0,IF(ABS(IF(ABS($E$7190)&gt;0.000000001,$E$7190,0.000000001))&gt;=8*$B$7061,$H$7070,0.5*$H$7070*(ABS(IF(ABS($E$7190)&gt;0.000000001,$E$7190,0.000000001))/$B$7061)^(1/3)))/ABS(IF(ABS($E$7190)&gt;0.000000001,$E$7190,0.000000001))*$I$7070)</f>
        <v/>
      </c>
      <c r="E7226" s="19">
        <f>0.5*$E$7190+0.5*$Z$7243</f>
        <v/>
      </c>
      <c r="F7226" s="19">
        <f>$Z$7244</f>
        <v/>
      </c>
    </row>
    <row r="7227">
      <c r="D7227" s="19">
        <f>IF(ABS(IF(ABS($E$7191)&gt;0.000000001,$E$7191,0.000000001))=0,0,IF($E$7071&lt;=$B$7059,0,IF(ABS(IF(ABS($E$7191)&gt;0.000000001,$E$7191,0.000000001))&gt;=8*$B$7061,$H$7071,0.5*$H$7071*(ABS(IF(ABS($E$7191)&gt;0.000000001,$E$7191,0.000000001))/$B$7061)^(1/3)))/ABS(IF(ABS($E$7191)&gt;0.000000001,$E$7191,0.000000001))*$I$7071)</f>
        <v/>
      </c>
      <c r="E7227" s="19">
        <f>0.5*$E$7191+0.5*$Z$7245</f>
        <v/>
      </c>
      <c r="F7227" s="19">
        <f>$Z$7246</f>
        <v/>
      </c>
    </row>
    <row r="7228">
      <c r="D7228" s="19">
        <f>IF(ABS(IF(ABS($E$7192)&gt;0.000000001,$E$7192,0.000000001))=0,0,IF($E$7072&lt;=$B$7059,0,IF(ABS(IF(ABS($E$7192)&gt;0.000000001,$E$7192,0.000000001))&gt;=8*$B$7061,$H$7072,0.5*$H$7072*(ABS(IF(ABS($E$7192)&gt;0.000000001,$E$7192,0.000000001))/$B$7061)^(1/3)))/ABS(IF(ABS($E$7192)&gt;0.000000001,$E$7192,0.000000001))*$I$7072)</f>
        <v/>
      </c>
      <c r="E7228" s="19">
        <f>0.5*$E$7192+0.5*$Z$7247</f>
        <v/>
      </c>
      <c r="F7228" s="19">
        <f>$Z$7248</f>
        <v/>
      </c>
    </row>
    <row r="7229">
      <c r="D7229" s="19">
        <f>IF(ABS(IF(ABS($E$7193)&gt;0.000000001,$E$7193,0.000000001))=0,0,IF($E$7073&lt;=$B$7059,0,IF(ABS(IF(ABS($E$7193)&gt;0.000000001,$E$7193,0.000000001))&gt;=8*$B$7061,$H$7073,0.5*$H$7073*(ABS(IF(ABS($E$7193)&gt;0.000000001,$E$7193,0.000000001))/$B$7061)^(1/3)))/ABS(IF(ABS($E$7193)&gt;0.000000001,$E$7193,0.000000001))*$I$7073)</f>
        <v/>
      </c>
      <c r="E7229" s="19">
        <f>0.5*$E$7193+0.5*$Z$7249</f>
        <v/>
      </c>
      <c r="F7229" s="19">
        <f>$Z$7250</f>
        <v/>
      </c>
    </row>
    <row r="7230">
      <c r="D7230" s="19">
        <f>IF(ABS(IF(ABS($E$7194)&gt;0.000000001,$E$7194,0.000000001))=0,0,IF($E$7074&lt;=$B$7059,0,IF(ABS(IF(ABS($E$7194)&gt;0.000000001,$E$7194,0.000000001))&gt;=8*$B$7061,$H$7074,0.5*$H$7074*(ABS(IF(ABS($E$7194)&gt;0.000000001,$E$7194,0.000000001))/$B$7061)^(1/3)))/ABS(IF(ABS($E$7194)&gt;0.000000001,$E$7194,0.000000001))*$I$7074)</f>
        <v/>
      </c>
      <c r="E7230" s="19">
        <f>0.5*$E$7194+0.5*$Z$7251</f>
        <v/>
      </c>
      <c r="F7230" s="19">
        <f>$Z$7252</f>
        <v/>
      </c>
    </row>
    <row r="7231">
      <c r="D7231" s="19">
        <f>IF(ABS(IF(ABS($E$7195)&gt;0.000000001,$E$7195,0.000000001))=0,0,IF($E$7075&lt;=$B$7059,0,IF(ABS(IF(ABS($E$7195)&gt;0.000000001,$E$7195,0.000000001))&gt;=8*$B$7061,$H$7075,0.5*$H$7075*(ABS(IF(ABS($E$7195)&gt;0.000000001,$E$7195,0.000000001))/$B$7061)^(1/3)))/ABS(IF(ABS($E$7195)&gt;0.000000001,$E$7195,0.000000001))*$I$7075)</f>
        <v/>
      </c>
      <c r="E7231" s="19">
        <f>0.5*$E$7195+0.5*$Z$7253</f>
        <v/>
      </c>
      <c r="F7231" s="19">
        <f>$Z$7254</f>
        <v/>
      </c>
    </row>
    <row r="7233">
      <c r="D7233" s="21">
        <f>$B$7050+$D$7221</f>
        <v/>
      </c>
      <c r="E7233" s="21">
        <f>$B$7051</f>
        <v/>
      </c>
      <c r="F7233" s="21">
        <f>-$B$7050</f>
        <v/>
      </c>
      <c r="G7233" s="21">
        <f>$B$7051</f>
        <v/>
      </c>
      <c r="H7233" s="21" t="n">
        <v>0</v>
      </c>
      <c r="I7233" s="21" t="n">
        <v>0</v>
      </c>
      <c r="J7233" s="21" t="n">
        <v>0</v>
      </c>
      <c r="K7233" s="21" t="n">
        <v>0</v>
      </c>
      <c r="L7233" s="21" t="n">
        <v>0</v>
      </c>
      <c r="M7233" s="21" t="n">
        <v>0</v>
      </c>
      <c r="N7233" s="21" t="n">
        <v>0</v>
      </c>
      <c r="O7233" s="21" t="n">
        <v>0</v>
      </c>
      <c r="P7233" s="21" t="n">
        <v>0</v>
      </c>
      <c r="Q7233" s="21" t="n">
        <v>0</v>
      </c>
      <c r="R7233" s="21" t="n">
        <v>0</v>
      </c>
      <c r="S7233" s="21" t="n">
        <v>0</v>
      </c>
      <c r="T7233" s="21" t="n">
        <v>0</v>
      </c>
      <c r="U7233" s="21" t="n">
        <v>0</v>
      </c>
      <c r="V7233" s="21" t="n">
        <v>0</v>
      </c>
      <c r="W7233" s="21" t="n">
        <v>0</v>
      </c>
      <c r="X7233" s="21" t="n">
        <v>0</v>
      </c>
      <c r="Y7233" s="21" t="n">
        <v>0</v>
      </c>
      <c r="Z7233" s="19">
        <f t="array" ref="Z7233:Z7254">MMULT(MINVERSE($D$7233:$Y$7254),$D$7077:$D$7098)</f>
        <v/>
      </c>
    </row>
    <row r="7234">
      <c r="D7234" s="21">
        <f>$B$7051</f>
        <v/>
      </c>
      <c r="E7234" s="21">
        <f>$B$7052</f>
        <v/>
      </c>
      <c r="F7234" s="21">
        <f>-$B$7051</f>
        <v/>
      </c>
      <c r="G7234" s="21">
        <f>$B$7053</f>
        <v/>
      </c>
      <c r="H7234" s="21" t="n">
        <v>0</v>
      </c>
      <c r="I7234" s="21" t="n">
        <v>0</v>
      </c>
      <c r="J7234" s="21" t="n">
        <v>0</v>
      </c>
      <c r="K7234" s="21" t="n">
        <v>0</v>
      </c>
      <c r="L7234" s="21" t="n">
        <v>0</v>
      </c>
      <c r="M7234" s="21" t="n">
        <v>0</v>
      </c>
      <c r="N7234" s="21" t="n">
        <v>0</v>
      </c>
      <c r="O7234" s="21" t="n">
        <v>0</v>
      </c>
      <c r="P7234" s="21" t="n">
        <v>0</v>
      </c>
      <c r="Q7234" s="21" t="n">
        <v>0</v>
      </c>
      <c r="R7234" s="21" t="n">
        <v>0</v>
      </c>
      <c r="S7234" s="21" t="n">
        <v>0</v>
      </c>
      <c r="T7234" s="21" t="n">
        <v>0</v>
      </c>
      <c r="U7234" s="21" t="n">
        <v>0</v>
      </c>
      <c r="V7234" s="21" t="n">
        <v>0</v>
      </c>
      <c r="W7234" s="21" t="n">
        <v>0</v>
      </c>
      <c r="X7234" s="21" t="n">
        <v>0</v>
      </c>
      <c r="Y7234" s="21" t="n">
        <v>0</v>
      </c>
      <c r="Z7234" s="19" t="n"/>
    </row>
    <row r="7235">
      <c r="D7235" s="21">
        <f>-$B$7050</f>
        <v/>
      </c>
      <c r="E7235" s="21">
        <f>-$B$7051</f>
        <v/>
      </c>
      <c r="F7235" s="21">
        <f>2*$B$7050+$D$7222</f>
        <v/>
      </c>
      <c r="G7235" s="21">
        <f>0</f>
        <v/>
      </c>
      <c r="H7235" s="21">
        <f>-$B$7050</f>
        <v/>
      </c>
      <c r="I7235" s="21">
        <f>$B$7051</f>
        <v/>
      </c>
      <c r="J7235" s="21" t="n">
        <v>0</v>
      </c>
      <c r="K7235" s="21" t="n">
        <v>0</v>
      </c>
      <c r="L7235" s="21" t="n">
        <v>0</v>
      </c>
      <c r="M7235" s="21" t="n">
        <v>0</v>
      </c>
      <c r="N7235" s="21" t="n">
        <v>0</v>
      </c>
      <c r="O7235" s="21" t="n">
        <v>0</v>
      </c>
      <c r="P7235" s="21" t="n">
        <v>0</v>
      </c>
      <c r="Q7235" s="21" t="n">
        <v>0</v>
      </c>
      <c r="R7235" s="21" t="n">
        <v>0</v>
      </c>
      <c r="S7235" s="21" t="n">
        <v>0</v>
      </c>
      <c r="T7235" s="21" t="n">
        <v>0</v>
      </c>
      <c r="U7235" s="21" t="n">
        <v>0</v>
      </c>
      <c r="V7235" s="21" t="n">
        <v>0</v>
      </c>
      <c r="W7235" s="21" t="n">
        <v>0</v>
      </c>
      <c r="X7235" s="21" t="n">
        <v>0</v>
      </c>
      <c r="Y7235" s="21" t="n">
        <v>0</v>
      </c>
      <c r="Z7235" s="19" t="n"/>
    </row>
    <row r="7236">
      <c r="D7236" s="21">
        <f>$B$7051</f>
        <v/>
      </c>
      <c r="E7236" s="21">
        <f>$B$7053</f>
        <v/>
      </c>
      <c r="F7236" s="21">
        <f>0</f>
        <v/>
      </c>
      <c r="G7236" s="21">
        <f>2*$B$7052</f>
        <v/>
      </c>
      <c r="H7236" s="21">
        <f>-$B$7051</f>
        <v/>
      </c>
      <c r="I7236" s="21">
        <f>$B$7053</f>
        <v/>
      </c>
      <c r="J7236" s="21" t="n">
        <v>0</v>
      </c>
      <c r="K7236" s="21" t="n">
        <v>0</v>
      </c>
      <c r="L7236" s="21" t="n">
        <v>0</v>
      </c>
      <c r="M7236" s="21" t="n">
        <v>0</v>
      </c>
      <c r="N7236" s="21" t="n">
        <v>0</v>
      </c>
      <c r="O7236" s="21" t="n">
        <v>0</v>
      </c>
      <c r="P7236" s="21" t="n">
        <v>0</v>
      </c>
      <c r="Q7236" s="21" t="n">
        <v>0</v>
      </c>
      <c r="R7236" s="21" t="n">
        <v>0</v>
      </c>
      <c r="S7236" s="21" t="n">
        <v>0</v>
      </c>
      <c r="T7236" s="21" t="n">
        <v>0</v>
      </c>
      <c r="U7236" s="21" t="n">
        <v>0</v>
      </c>
      <c r="V7236" s="21" t="n">
        <v>0</v>
      </c>
      <c r="W7236" s="21" t="n">
        <v>0</v>
      </c>
      <c r="X7236" s="21" t="n">
        <v>0</v>
      </c>
      <c r="Y7236" s="21" t="n">
        <v>0</v>
      </c>
      <c r="Z7236" s="19" t="n"/>
    </row>
    <row r="7237">
      <c r="D7237" s="21" t="n">
        <v>0</v>
      </c>
      <c r="E7237" s="21" t="n">
        <v>0</v>
      </c>
      <c r="F7237" s="21">
        <f>-$B$7050</f>
        <v/>
      </c>
      <c r="G7237" s="21">
        <f>-$B$7051</f>
        <v/>
      </c>
      <c r="H7237" s="21">
        <f>2*$B$7050+$D$7223</f>
        <v/>
      </c>
      <c r="I7237" s="21">
        <f>0</f>
        <v/>
      </c>
      <c r="J7237" s="21">
        <f>-$B$7050</f>
        <v/>
      </c>
      <c r="K7237" s="21">
        <f>$B$7051</f>
        <v/>
      </c>
      <c r="L7237" s="21" t="n">
        <v>0</v>
      </c>
      <c r="M7237" s="21" t="n">
        <v>0</v>
      </c>
      <c r="N7237" s="21" t="n">
        <v>0</v>
      </c>
      <c r="O7237" s="21" t="n">
        <v>0</v>
      </c>
      <c r="P7237" s="21" t="n">
        <v>0</v>
      </c>
      <c r="Q7237" s="21" t="n">
        <v>0</v>
      </c>
      <c r="R7237" s="21" t="n">
        <v>0</v>
      </c>
      <c r="S7237" s="21" t="n">
        <v>0</v>
      </c>
      <c r="T7237" s="21" t="n">
        <v>0</v>
      </c>
      <c r="U7237" s="21" t="n">
        <v>0</v>
      </c>
      <c r="V7237" s="21" t="n">
        <v>0</v>
      </c>
      <c r="W7237" s="21" t="n">
        <v>0</v>
      </c>
      <c r="X7237" s="21" t="n">
        <v>0</v>
      </c>
      <c r="Y7237" s="21" t="n">
        <v>0</v>
      </c>
      <c r="Z7237" s="19" t="n"/>
    </row>
    <row r="7238">
      <c r="D7238" s="21" t="n">
        <v>0</v>
      </c>
      <c r="E7238" s="21" t="n">
        <v>0</v>
      </c>
      <c r="F7238" s="21">
        <f>$B$7051</f>
        <v/>
      </c>
      <c r="G7238" s="21">
        <f>$B$7053</f>
        <v/>
      </c>
      <c r="H7238" s="21">
        <f>0</f>
        <v/>
      </c>
      <c r="I7238" s="21">
        <f>2*$B$7052</f>
        <v/>
      </c>
      <c r="J7238" s="21">
        <f>-$B$7051</f>
        <v/>
      </c>
      <c r="K7238" s="21">
        <f>$B$7053</f>
        <v/>
      </c>
      <c r="L7238" s="21" t="n">
        <v>0</v>
      </c>
      <c r="M7238" s="21" t="n">
        <v>0</v>
      </c>
      <c r="N7238" s="21" t="n">
        <v>0</v>
      </c>
      <c r="O7238" s="21" t="n">
        <v>0</v>
      </c>
      <c r="P7238" s="21" t="n">
        <v>0</v>
      </c>
      <c r="Q7238" s="21" t="n">
        <v>0</v>
      </c>
      <c r="R7238" s="21" t="n">
        <v>0</v>
      </c>
      <c r="S7238" s="21" t="n">
        <v>0</v>
      </c>
      <c r="T7238" s="21" t="n">
        <v>0</v>
      </c>
      <c r="U7238" s="21" t="n">
        <v>0</v>
      </c>
      <c r="V7238" s="21" t="n">
        <v>0</v>
      </c>
      <c r="W7238" s="21" t="n">
        <v>0</v>
      </c>
      <c r="X7238" s="21" t="n">
        <v>0</v>
      </c>
      <c r="Y7238" s="21" t="n">
        <v>0</v>
      </c>
      <c r="Z7238" s="19" t="n"/>
    </row>
    <row r="7239">
      <c r="D7239" s="21" t="n">
        <v>0</v>
      </c>
      <c r="E7239" s="21" t="n">
        <v>0</v>
      </c>
      <c r="F7239" s="21" t="n">
        <v>0</v>
      </c>
      <c r="G7239" s="21" t="n">
        <v>0</v>
      </c>
      <c r="H7239" s="21">
        <f>-$B$7050</f>
        <v/>
      </c>
      <c r="I7239" s="21">
        <f>-$B$7051</f>
        <v/>
      </c>
      <c r="J7239" s="21">
        <f>2*$B$7050+$D$7224</f>
        <v/>
      </c>
      <c r="K7239" s="21">
        <f>0</f>
        <v/>
      </c>
      <c r="L7239" s="21">
        <f>-$B$7050</f>
        <v/>
      </c>
      <c r="M7239" s="21">
        <f>$B$7051</f>
        <v/>
      </c>
      <c r="N7239" s="21" t="n">
        <v>0</v>
      </c>
      <c r="O7239" s="21" t="n">
        <v>0</v>
      </c>
      <c r="P7239" s="21" t="n">
        <v>0</v>
      </c>
      <c r="Q7239" s="21" t="n">
        <v>0</v>
      </c>
      <c r="R7239" s="21" t="n">
        <v>0</v>
      </c>
      <c r="S7239" s="21" t="n">
        <v>0</v>
      </c>
      <c r="T7239" s="21" t="n">
        <v>0</v>
      </c>
      <c r="U7239" s="21" t="n">
        <v>0</v>
      </c>
      <c r="V7239" s="21" t="n">
        <v>0</v>
      </c>
      <c r="W7239" s="21" t="n">
        <v>0</v>
      </c>
      <c r="X7239" s="21" t="n">
        <v>0</v>
      </c>
      <c r="Y7239" s="21" t="n">
        <v>0</v>
      </c>
      <c r="Z7239" s="19" t="n"/>
    </row>
    <row r="7240">
      <c r="D7240" s="21" t="n">
        <v>0</v>
      </c>
      <c r="E7240" s="21" t="n">
        <v>0</v>
      </c>
      <c r="F7240" s="21" t="n">
        <v>0</v>
      </c>
      <c r="G7240" s="21" t="n">
        <v>0</v>
      </c>
      <c r="H7240" s="21">
        <f>$B$7051</f>
        <v/>
      </c>
      <c r="I7240" s="21">
        <f>$B$7053</f>
        <v/>
      </c>
      <c r="J7240" s="21">
        <f>0</f>
        <v/>
      </c>
      <c r="K7240" s="21">
        <f>2*$B$7052</f>
        <v/>
      </c>
      <c r="L7240" s="21">
        <f>-$B$7051</f>
        <v/>
      </c>
      <c r="M7240" s="21">
        <f>$B$7053</f>
        <v/>
      </c>
      <c r="N7240" s="21" t="n">
        <v>0</v>
      </c>
      <c r="O7240" s="21" t="n">
        <v>0</v>
      </c>
      <c r="P7240" s="21" t="n">
        <v>0</v>
      </c>
      <c r="Q7240" s="21" t="n">
        <v>0</v>
      </c>
      <c r="R7240" s="21" t="n">
        <v>0</v>
      </c>
      <c r="S7240" s="21" t="n">
        <v>0</v>
      </c>
      <c r="T7240" s="21" t="n">
        <v>0</v>
      </c>
      <c r="U7240" s="21" t="n">
        <v>0</v>
      </c>
      <c r="V7240" s="21" t="n">
        <v>0</v>
      </c>
      <c r="W7240" s="21" t="n">
        <v>0</v>
      </c>
      <c r="X7240" s="21" t="n">
        <v>0</v>
      </c>
      <c r="Y7240" s="21" t="n">
        <v>0</v>
      </c>
      <c r="Z7240" s="19" t="n"/>
    </row>
    <row r="7241">
      <c r="D7241" s="21" t="n">
        <v>0</v>
      </c>
      <c r="E7241" s="21" t="n">
        <v>0</v>
      </c>
      <c r="F7241" s="21" t="n">
        <v>0</v>
      </c>
      <c r="G7241" s="21" t="n">
        <v>0</v>
      </c>
      <c r="H7241" s="21" t="n">
        <v>0</v>
      </c>
      <c r="I7241" s="21" t="n">
        <v>0</v>
      </c>
      <c r="J7241" s="21">
        <f>-$B$7050</f>
        <v/>
      </c>
      <c r="K7241" s="21">
        <f>-$B$7051</f>
        <v/>
      </c>
      <c r="L7241" s="21">
        <f>2*$B$7050+$D$7225</f>
        <v/>
      </c>
      <c r="M7241" s="21">
        <f>0</f>
        <v/>
      </c>
      <c r="N7241" s="21">
        <f>-$B$7050</f>
        <v/>
      </c>
      <c r="O7241" s="21">
        <f>$B$7051</f>
        <v/>
      </c>
      <c r="P7241" s="21" t="n">
        <v>0</v>
      </c>
      <c r="Q7241" s="21" t="n">
        <v>0</v>
      </c>
      <c r="R7241" s="21" t="n">
        <v>0</v>
      </c>
      <c r="S7241" s="21" t="n">
        <v>0</v>
      </c>
      <c r="T7241" s="21" t="n">
        <v>0</v>
      </c>
      <c r="U7241" s="21" t="n">
        <v>0</v>
      </c>
      <c r="V7241" s="21" t="n">
        <v>0</v>
      </c>
      <c r="W7241" s="21" t="n">
        <v>0</v>
      </c>
      <c r="X7241" s="21" t="n">
        <v>0</v>
      </c>
      <c r="Y7241" s="21" t="n">
        <v>0</v>
      </c>
      <c r="Z7241" s="19" t="n"/>
    </row>
    <row r="7242">
      <c r="D7242" s="21" t="n">
        <v>0</v>
      </c>
      <c r="E7242" s="21" t="n">
        <v>0</v>
      </c>
      <c r="F7242" s="21" t="n">
        <v>0</v>
      </c>
      <c r="G7242" s="21" t="n">
        <v>0</v>
      </c>
      <c r="H7242" s="21" t="n">
        <v>0</v>
      </c>
      <c r="I7242" s="21" t="n">
        <v>0</v>
      </c>
      <c r="J7242" s="21">
        <f>$B$7051</f>
        <v/>
      </c>
      <c r="K7242" s="21">
        <f>$B$7053</f>
        <v/>
      </c>
      <c r="L7242" s="21">
        <f>0</f>
        <v/>
      </c>
      <c r="M7242" s="21">
        <f>2*$B$7052</f>
        <v/>
      </c>
      <c r="N7242" s="21">
        <f>-$B$7051</f>
        <v/>
      </c>
      <c r="O7242" s="21">
        <f>$B$7053</f>
        <v/>
      </c>
      <c r="P7242" s="21" t="n">
        <v>0</v>
      </c>
      <c r="Q7242" s="21" t="n">
        <v>0</v>
      </c>
      <c r="R7242" s="21" t="n">
        <v>0</v>
      </c>
      <c r="S7242" s="21" t="n">
        <v>0</v>
      </c>
      <c r="T7242" s="21" t="n">
        <v>0</v>
      </c>
      <c r="U7242" s="21" t="n">
        <v>0</v>
      </c>
      <c r="V7242" s="21" t="n">
        <v>0</v>
      </c>
      <c r="W7242" s="21" t="n">
        <v>0</v>
      </c>
      <c r="X7242" s="21" t="n">
        <v>0</v>
      </c>
      <c r="Y7242" s="21" t="n">
        <v>0</v>
      </c>
      <c r="Z7242" s="19" t="n"/>
    </row>
    <row r="7243">
      <c r="D7243" s="21" t="n">
        <v>0</v>
      </c>
      <c r="E7243" s="21" t="n">
        <v>0</v>
      </c>
      <c r="F7243" s="21" t="n">
        <v>0</v>
      </c>
      <c r="G7243" s="21" t="n">
        <v>0</v>
      </c>
      <c r="H7243" s="21" t="n">
        <v>0</v>
      </c>
      <c r="I7243" s="21" t="n">
        <v>0</v>
      </c>
      <c r="J7243" s="21" t="n">
        <v>0</v>
      </c>
      <c r="K7243" s="21" t="n">
        <v>0</v>
      </c>
      <c r="L7243" s="21">
        <f>-$B$7050</f>
        <v/>
      </c>
      <c r="M7243" s="21">
        <f>-$B$7051</f>
        <v/>
      </c>
      <c r="N7243" s="21">
        <f>2*$B$7050+$D$7226</f>
        <v/>
      </c>
      <c r="O7243" s="21">
        <f>0</f>
        <v/>
      </c>
      <c r="P7243" s="21">
        <f>-$B$7050</f>
        <v/>
      </c>
      <c r="Q7243" s="21">
        <f>$B$7051</f>
        <v/>
      </c>
      <c r="R7243" s="21" t="n">
        <v>0</v>
      </c>
      <c r="S7243" s="21" t="n">
        <v>0</v>
      </c>
      <c r="T7243" s="21" t="n">
        <v>0</v>
      </c>
      <c r="U7243" s="21" t="n">
        <v>0</v>
      </c>
      <c r="V7243" s="21" t="n">
        <v>0</v>
      </c>
      <c r="W7243" s="21" t="n">
        <v>0</v>
      </c>
      <c r="X7243" s="21" t="n">
        <v>0</v>
      </c>
      <c r="Y7243" s="21" t="n">
        <v>0</v>
      </c>
      <c r="Z7243" s="19" t="n"/>
    </row>
    <row r="7244">
      <c r="D7244" s="21" t="n">
        <v>0</v>
      </c>
      <c r="E7244" s="21" t="n">
        <v>0</v>
      </c>
      <c r="F7244" s="21" t="n">
        <v>0</v>
      </c>
      <c r="G7244" s="21" t="n">
        <v>0</v>
      </c>
      <c r="H7244" s="21" t="n">
        <v>0</v>
      </c>
      <c r="I7244" s="21" t="n">
        <v>0</v>
      </c>
      <c r="J7244" s="21" t="n">
        <v>0</v>
      </c>
      <c r="K7244" s="21" t="n">
        <v>0</v>
      </c>
      <c r="L7244" s="21">
        <f>$B$7051</f>
        <v/>
      </c>
      <c r="M7244" s="21">
        <f>$B$7053</f>
        <v/>
      </c>
      <c r="N7244" s="21">
        <f>0</f>
        <v/>
      </c>
      <c r="O7244" s="21">
        <f>2*$B$7052</f>
        <v/>
      </c>
      <c r="P7244" s="21">
        <f>-$B$7051</f>
        <v/>
      </c>
      <c r="Q7244" s="21">
        <f>$B$7053</f>
        <v/>
      </c>
      <c r="R7244" s="21" t="n">
        <v>0</v>
      </c>
      <c r="S7244" s="21" t="n">
        <v>0</v>
      </c>
      <c r="T7244" s="21" t="n">
        <v>0</v>
      </c>
      <c r="U7244" s="21" t="n">
        <v>0</v>
      </c>
      <c r="V7244" s="21" t="n">
        <v>0</v>
      </c>
      <c r="W7244" s="21" t="n">
        <v>0</v>
      </c>
      <c r="X7244" s="21" t="n">
        <v>0</v>
      </c>
      <c r="Y7244" s="21" t="n">
        <v>0</v>
      </c>
      <c r="Z7244" s="19" t="n"/>
    </row>
    <row r="7245">
      <c r="D7245" s="21" t="n">
        <v>0</v>
      </c>
      <c r="E7245" s="21" t="n">
        <v>0</v>
      </c>
      <c r="F7245" s="21" t="n">
        <v>0</v>
      </c>
      <c r="G7245" s="21" t="n">
        <v>0</v>
      </c>
      <c r="H7245" s="21" t="n">
        <v>0</v>
      </c>
      <c r="I7245" s="21" t="n">
        <v>0</v>
      </c>
      <c r="J7245" s="21" t="n">
        <v>0</v>
      </c>
      <c r="K7245" s="21" t="n">
        <v>0</v>
      </c>
      <c r="L7245" s="21" t="n">
        <v>0</v>
      </c>
      <c r="M7245" s="21" t="n">
        <v>0</v>
      </c>
      <c r="N7245" s="21">
        <f>-$B$7050</f>
        <v/>
      </c>
      <c r="O7245" s="21">
        <f>-$B$7051</f>
        <v/>
      </c>
      <c r="P7245" s="21">
        <f>2*$B$7050+$D$7227</f>
        <v/>
      </c>
      <c r="Q7245" s="21">
        <f>0</f>
        <v/>
      </c>
      <c r="R7245" s="21">
        <f>-$B$7050</f>
        <v/>
      </c>
      <c r="S7245" s="21">
        <f>$B$7051</f>
        <v/>
      </c>
      <c r="T7245" s="21" t="n">
        <v>0</v>
      </c>
      <c r="U7245" s="21" t="n">
        <v>0</v>
      </c>
      <c r="V7245" s="21" t="n">
        <v>0</v>
      </c>
      <c r="W7245" s="21" t="n">
        <v>0</v>
      </c>
      <c r="X7245" s="21" t="n">
        <v>0</v>
      </c>
      <c r="Y7245" s="21" t="n">
        <v>0</v>
      </c>
      <c r="Z7245" s="19" t="n"/>
    </row>
    <row r="7246">
      <c r="D7246" s="21" t="n">
        <v>0</v>
      </c>
      <c r="E7246" s="21" t="n">
        <v>0</v>
      </c>
      <c r="F7246" s="21" t="n">
        <v>0</v>
      </c>
      <c r="G7246" s="21" t="n">
        <v>0</v>
      </c>
      <c r="H7246" s="21" t="n">
        <v>0</v>
      </c>
      <c r="I7246" s="21" t="n">
        <v>0</v>
      </c>
      <c r="J7246" s="21" t="n">
        <v>0</v>
      </c>
      <c r="K7246" s="21" t="n">
        <v>0</v>
      </c>
      <c r="L7246" s="21" t="n">
        <v>0</v>
      </c>
      <c r="M7246" s="21" t="n">
        <v>0</v>
      </c>
      <c r="N7246" s="21">
        <f>$B$7051</f>
        <v/>
      </c>
      <c r="O7246" s="21">
        <f>$B$7053</f>
        <v/>
      </c>
      <c r="P7246" s="21">
        <f>0</f>
        <v/>
      </c>
      <c r="Q7246" s="21">
        <f>2*$B$7052</f>
        <v/>
      </c>
      <c r="R7246" s="21">
        <f>-$B$7051</f>
        <v/>
      </c>
      <c r="S7246" s="21">
        <f>$B$7053</f>
        <v/>
      </c>
      <c r="T7246" s="21" t="n">
        <v>0</v>
      </c>
      <c r="U7246" s="21" t="n">
        <v>0</v>
      </c>
      <c r="V7246" s="21" t="n">
        <v>0</v>
      </c>
      <c r="W7246" s="21" t="n">
        <v>0</v>
      </c>
      <c r="X7246" s="21" t="n">
        <v>0</v>
      </c>
      <c r="Y7246" s="21" t="n">
        <v>0</v>
      </c>
      <c r="Z7246" s="19" t="n"/>
    </row>
    <row r="7247">
      <c r="D7247" s="21" t="n">
        <v>0</v>
      </c>
      <c r="E7247" s="21" t="n">
        <v>0</v>
      </c>
      <c r="F7247" s="21" t="n">
        <v>0</v>
      </c>
      <c r="G7247" s="21" t="n">
        <v>0</v>
      </c>
      <c r="H7247" s="21" t="n">
        <v>0</v>
      </c>
      <c r="I7247" s="21" t="n">
        <v>0</v>
      </c>
      <c r="J7247" s="21" t="n">
        <v>0</v>
      </c>
      <c r="K7247" s="21" t="n">
        <v>0</v>
      </c>
      <c r="L7247" s="21" t="n">
        <v>0</v>
      </c>
      <c r="M7247" s="21" t="n">
        <v>0</v>
      </c>
      <c r="N7247" s="21" t="n">
        <v>0</v>
      </c>
      <c r="O7247" s="21" t="n">
        <v>0</v>
      </c>
      <c r="P7247" s="21">
        <f>-$B$7050</f>
        <v/>
      </c>
      <c r="Q7247" s="21">
        <f>-$B$7051</f>
        <v/>
      </c>
      <c r="R7247" s="21">
        <f>2*$B$7050+$D$7228</f>
        <v/>
      </c>
      <c r="S7247" s="21">
        <f>0</f>
        <v/>
      </c>
      <c r="T7247" s="21">
        <f>-$B$7050</f>
        <v/>
      </c>
      <c r="U7247" s="21">
        <f>$B$7051</f>
        <v/>
      </c>
      <c r="V7247" s="21" t="n">
        <v>0</v>
      </c>
      <c r="W7247" s="21" t="n">
        <v>0</v>
      </c>
      <c r="X7247" s="21" t="n">
        <v>0</v>
      </c>
      <c r="Y7247" s="21" t="n">
        <v>0</v>
      </c>
      <c r="Z7247" s="19" t="n"/>
    </row>
    <row r="7248">
      <c r="D7248" s="21" t="n">
        <v>0</v>
      </c>
      <c r="E7248" s="21" t="n">
        <v>0</v>
      </c>
      <c r="F7248" s="21" t="n">
        <v>0</v>
      </c>
      <c r="G7248" s="21" t="n">
        <v>0</v>
      </c>
      <c r="H7248" s="21" t="n">
        <v>0</v>
      </c>
      <c r="I7248" s="21" t="n">
        <v>0</v>
      </c>
      <c r="J7248" s="21" t="n">
        <v>0</v>
      </c>
      <c r="K7248" s="21" t="n">
        <v>0</v>
      </c>
      <c r="L7248" s="21" t="n">
        <v>0</v>
      </c>
      <c r="M7248" s="21" t="n">
        <v>0</v>
      </c>
      <c r="N7248" s="21" t="n">
        <v>0</v>
      </c>
      <c r="O7248" s="21" t="n">
        <v>0</v>
      </c>
      <c r="P7248" s="21">
        <f>$B$7051</f>
        <v/>
      </c>
      <c r="Q7248" s="21">
        <f>$B$7053</f>
        <v/>
      </c>
      <c r="R7248" s="21">
        <f>0</f>
        <v/>
      </c>
      <c r="S7248" s="21">
        <f>2*$B$7052</f>
        <v/>
      </c>
      <c r="T7248" s="21">
        <f>-$B$7051</f>
        <v/>
      </c>
      <c r="U7248" s="21">
        <f>$B$7053</f>
        <v/>
      </c>
      <c r="V7248" s="21" t="n">
        <v>0</v>
      </c>
      <c r="W7248" s="21" t="n">
        <v>0</v>
      </c>
      <c r="X7248" s="21" t="n">
        <v>0</v>
      </c>
      <c r="Y7248" s="21" t="n">
        <v>0</v>
      </c>
      <c r="Z7248" s="19" t="n"/>
    </row>
    <row r="7249">
      <c r="D7249" s="21" t="n">
        <v>0</v>
      </c>
      <c r="E7249" s="21" t="n">
        <v>0</v>
      </c>
      <c r="F7249" s="21" t="n">
        <v>0</v>
      </c>
      <c r="G7249" s="21" t="n">
        <v>0</v>
      </c>
      <c r="H7249" s="21" t="n">
        <v>0</v>
      </c>
      <c r="I7249" s="21" t="n">
        <v>0</v>
      </c>
      <c r="J7249" s="21" t="n">
        <v>0</v>
      </c>
      <c r="K7249" s="21" t="n">
        <v>0</v>
      </c>
      <c r="L7249" s="21" t="n">
        <v>0</v>
      </c>
      <c r="M7249" s="21" t="n">
        <v>0</v>
      </c>
      <c r="N7249" s="21" t="n">
        <v>0</v>
      </c>
      <c r="O7249" s="21" t="n">
        <v>0</v>
      </c>
      <c r="P7249" s="21" t="n">
        <v>0</v>
      </c>
      <c r="Q7249" s="21" t="n">
        <v>0</v>
      </c>
      <c r="R7249" s="21">
        <f>-$B$7050</f>
        <v/>
      </c>
      <c r="S7249" s="21">
        <f>-$B$7051</f>
        <v/>
      </c>
      <c r="T7249" s="21">
        <f>2*$B$7050+$D$7229</f>
        <v/>
      </c>
      <c r="U7249" s="21">
        <f>0</f>
        <v/>
      </c>
      <c r="V7249" s="21">
        <f>-$B$7050</f>
        <v/>
      </c>
      <c r="W7249" s="21">
        <f>$B$7051</f>
        <v/>
      </c>
      <c r="X7249" s="21" t="n">
        <v>0</v>
      </c>
      <c r="Y7249" s="21" t="n">
        <v>0</v>
      </c>
      <c r="Z7249" s="19" t="n"/>
    </row>
    <row r="7250">
      <c r="D7250" s="21" t="n">
        <v>0</v>
      </c>
      <c r="E7250" s="21" t="n">
        <v>0</v>
      </c>
      <c r="F7250" s="21" t="n">
        <v>0</v>
      </c>
      <c r="G7250" s="21" t="n">
        <v>0</v>
      </c>
      <c r="H7250" s="21" t="n">
        <v>0</v>
      </c>
      <c r="I7250" s="21" t="n">
        <v>0</v>
      </c>
      <c r="J7250" s="21" t="n">
        <v>0</v>
      </c>
      <c r="K7250" s="21" t="n">
        <v>0</v>
      </c>
      <c r="L7250" s="21" t="n">
        <v>0</v>
      </c>
      <c r="M7250" s="21" t="n">
        <v>0</v>
      </c>
      <c r="N7250" s="21" t="n">
        <v>0</v>
      </c>
      <c r="O7250" s="21" t="n">
        <v>0</v>
      </c>
      <c r="P7250" s="21" t="n">
        <v>0</v>
      </c>
      <c r="Q7250" s="21" t="n">
        <v>0</v>
      </c>
      <c r="R7250" s="21">
        <f>$B$7051</f>
        <v/>
      </c>
      <c r="S7250" s="21">
        <f>$B$7053</f>
        <v/>
      </c>
      <c r="T7250" s="21">
        <f>0</f>
        <v/>
      </c>
      <c r="U7250" s="21">
        <f>2*$B$7052</f>
        <v/>
      </c>
      <c r="V7250" s="21">
        <f>-$B$7051</f>
        <v/>
      </c>
      <c r="W7250" s="21">
        <f>$B$7053</f>
        <v/>
      </c>
      <c r="X7250" s="21" t="n">
        <v>0</v>
      </c>
      <c r="Y7250" s="21" t="n">
        <v>0</v>
      </c>
      <c r="Z7250" s="19" t="n"/>
    </row>
    <row r="7251">
      <c r="D7251" s="21" t="n">
        <v>0</v>
      </c>
      <c r="E7251" s="21" t="n">
        <v>0</v>
      </c>
      <c r="F7251" s="21" t="n">
        <v>0</v>
      </c>
      <c r="G7251" s="21" t="n">
        <v>0</v>
      </c>
      <c r="H7251" s="21" t="n">
        <v>0</v>
      </c>
      <c r="I7251" s="21" t="n">
        <v>0</v>
      </c>
      <c r="J7251" s="21" t="n">
        <v>0</v>
      </c>
      <c r="K7251" s="21" t="n">
        <v>0</v>
      </c>
      <c r="L7251" s="21" t="n">
        <v>0</v>
      </c>
      <c r="M7251" s="21" t="n">
        <v>0</v>
      </c>
      <c r="N7251" s="21" t="n">
        <v>0</v>
      </c>
      <c r="O7251" s="21" t="n">
        <v>0</v>
      </c>
      <c r="P7251" s="21" t="n">
        <v>0</v>
      </c>
      <c r="Q7251" s="21" t="n">
        <v>0</v>
      </c>
      <c r="R7251" s="21" t="n">
        <v>0</v>
      </c>
      <c r="S7251" s="21" t="n">
        <v>0</v>
      </c>
      <c r="T7251" s="21">
        <f>-$B$7050</f>
        <v/>
      </c>
      <c r="U7251" s="21">
        <f>-$B$7051</f>
        <v/>
      </c>
      <c r="V7251" s="21">
        <f>2*$B$7050+$D$7230</f>
        <v/>
      </c>
      <c r="W7251" s="21">
        <f>0</f>
        <v/>
      </c>
      <c r="X7251" s="21">
        <f>-$B$7050</f>
        <v/>
      </c>
      <c r="Y7251" s="21">
        <f>$B$7051</f>
        <v/>
      </c>
      <c r="Z7251" s="19" t="n"/>
    </row>
    <row r="7252">
      <c r="D7252" s="21" t="n">
        <v>0</v>
      </c>
      <c r="E7252" s="21" t="n">
        <v>0</v>
      </c>
      <c r="F7252" s="21" t="n">
        <v>0</v>
      </c>
      <c r="G7252" s="21" t="n">
        <v>0</v>
      </c>
      <c r="H7252" s="21" t="n">
        <v>0</v>
      </c>
      <c r="I7252" s="21" t="n">
        <v>0</v>
      </c>
      <c r="J7252" s="21" t="n">
        <v>0</v>
      </c>
      <c r="K7252" s="21" t="n">
        <v>0</v>
      </c>
      <c r="L7252" s="21" t="n">
        <v>0</v>
      </c>
      <c r="M7252" s="21" t="n">
        <v>0</v>
      </c>
      <c r="N7252" s="21" t="n">
        <v>0</v>
      </c>
      <c r="O7252" s="21" t="n">
        <v>0</v>
      </c>
      <c r="P7252" s="21" t="n">
        <v>0</v>
      </c>
      <c r="Q7252" s="21" t="n">
        <v>0</v>
      </c>
      <c r="R7252" s="21" t="n">
        <v>0</v>
      </c>
      <c r="S7252" s="21" t="n">
        <v>0</v>
      </c>
      <c r="T7252" s="21">
        <f>$B$7051</f>
        <v/>
      </c>
      <c r="U7252" s="21">
        <f>$B$7053</f>
        <v/>
      </c>
      <c r="V7252" s="21">
        <f>0</f>
        <v/>
      </c>
      <c r="W7252" s="21">
        <f>2*$B$7052</f>
        <v/>
      </c>
      <c r="X7252" s="21">
        <f>-$B$7051</f>
        <v/>
      </c>
      <c r="Y7252" s="21">
        <f>$B$7053</f>
        <v/>
      </c>
      <c r="Z7252" s="19" t="n"/>
    </row>
    <row r="7253">
      <c r="D7253" s="21" t="n">
        <v>0</v>
      </c>
      <c r="E7253" s="21" t="n">
        <v>0</v>
      </c>
      <c r="F7253" s="21" t="n">
        <v>0</v>
      </c>
      <c r="G7253" s="21" t="n">
        <v>0</v>
      </c>
      <c r="H7253" s="21" t="n">
        <v>0</v>
      </c>
      <c r="I7253" s="21" t="n">
        <v>0</v>
      </c>
      <c r="J7253" s="21" t="n">
        <v>0</v>
      </c>
      <c r="K7253" s="21" t="n">
        <v>0</v>
      </c>
      <c r="L7253" s="21" t="n">
        <v>0</v>
      </c>
      <c r="M7253" s="21" t="n">
        <v>0</v>
      </c>
      <c r="N7253" s="21" t="n">
        <v>0</v>
      </c>
      <c r="O7253" s="21" t="n">
        <v>0</v>
      </c>
      <c r="P7253" s="21" t="n">
        <v>0</v>
      </c>
      <c r="Q7253" s="21" t="n">
        <v>0</v>
      </c>
      <c r="R7253" s="21" t="n">
        <v>0</v>
      </c>
      <c r="S7253" s="21" t="n">
        <v>0</v>
      </c>
      <c r="T7253" s="21" t="n">
        <v>0</v>
      </c>
      <c r="U7253" s="21" t="n">
        <v>0</v>
      </c>
      <c r="V7253" s="21">
        <f>-$B$7050</f>
        <v/>
      </c>
      <c r="W7253" s="21">
        <f>-$B$7051</f>
        <v/>
      </c>
      <c r="X7253" s="21">
        <f>$B$7050+$D$7231</f>
        <v/>
      </c>
      <c r="Y7253" s="21">
        <f>-$B$7051</f>
        <v/>
      </c>
      <c r="Z7253" s="19" t="n"/>
    </row>
    <row r="7254">
      <c r="D7254" s="21" t="n">
        <v>0</v>
      </c>
      <c r="E7254" s="21" t="n">
        <v>0</v>
      </c>
      <c r="F7254" s="21" t="n">
        <v>0</v>
      </c>
      <c r="G7254" s="21" t="n">
        <v>0</v>
      </c>
      <c r="H7254" s="21" t="n">
        <v>0</v>
      </c>
      <c r="I7254" s="21" t="n">
        <v>0</v>
      </c>
      <c r="J7254" s="21" t="n">
        <v>0</v>
      </c>
      <c r="K7254" s="21" t="n">
        <v>0</v>
      </c>
      <c r="L7254" s="21" t="n">
        <v>0</v>
      </c>
      <c r="M7254" s="21" t="n">
        <v>0</v>
      </c>
      <c r="N7254" s="21" t="n">
        <v>0</v>
      </c>
      <c r="O7254" s="21" t="n">
        <v>0</v>
      </c>
      <c r="P7254" s="21" t="n">
        <v>0</v>
      </c>
      <c r="Q7254" s="21" t="n">
        <v>0</v>
      </c>
      <c r="R7254" s="21" t="n">
        <v>0</v>
      </c>
      <c r="S7254" s="21" t="n">
        <v>0</v>
      </c>
      <c r="T7254" s="21" t="n">
        <v>0</v>
      </c>
      <c r="U7254" s="21" t="n">
        <v>0</v>
      </c>
      <c r="V7254" s="21">
        <f>$B$7051</f>
        <v/>
      </c>
      <c r="W7254" s="21">
        <f>$B$7053</f>
        <v/>
      </c>
      <c r="X7254" s="21">
        <f>-$B$7051</f>
        <v/>
      </c>
      <c r="Y7254" s="21">
        <f>$B$7052</f>
        <v/>
      </c>
      <c r="Z7254" s="19" t="n"/>
    </row>
    <row r="7256">
      <c r="A7256" s="8" t="inlineStr">
        <is>
          <t>gen 5</t>
        </is>
      </c>
    </row>
    <row r="7257">
      <c r="D7257" s="19">
        <f>IF(ABS(IF(ABS($E$7221)&gt;0.000000001,$E$7221,0.000000001))=0,0,IF($E$7065&lt;=$B$7059,0,IF(ABS(IF(ABS($E$7221)&gt;0.000000001,$E$7221,0.000000001))&gt;=8*$B$7061,$H$7065,0.5*$H$7065*(ABS(IF(ABS($E$7221)&gt;0.000000001,$E$7221,0.000000001))/$B$7061)^(1/3)))/ABS(IF(ABS($E$7221)&gt;0.000000001,$E$7221,0.000000001))*$I$7065)</f>
        <v/>
      </c>
      <c r="E7257" s="19">
        <f>0.5*$E$7221+0.5*$Z$7269</f>
        <v/>
      </c>
      <c r="F7257" s="19">
        <f>$Z$7270</f>
        <v/>
      </c>
    </row>
    <row r="7258">
      <c r="D7258" s="19">
        <f>IF(ABS(IF(ABS($E$7222)&gt;0.000000001,$E$7222,0.000000001))=0,0,IF($E$7066&lt;=$B$7059,0,IF(ABS(IF(ABS($E$7222)&gt;0.000000001,$E$7222,0.000000001))&gt;=8*$B$7061,$H$7066,0.5*$H$7066*(ABS(IF(ABS($E$7222)&gt;0.000000001,$E$7222,0.000000001))/$B$7061)^(1/3)))/ABS(IF(ABS($E$7222)&gt;0.000000001,$E$7222,0.000000001))*$I$7066)</f>
        <v/>
      </c>
      <c r="E7258" s="19">
        <f>0.5*$E$7222+0.5*$Z$7271</f>
        <v/>
      </c>
      <c r="F7258" s="19">
        <f>$Z$7272</f>
        <v/>
      </c>
    </row>
    <row r="7259">
      <c r="D7259" s="19">
        <f>IF(ABS(IF(ABS($E$7223)&gt;0.000000001,$E$7223,0.000000001))=0,0,IF($E$7067&lt;=$B$7059,0,IF(ABS(IF(ABS($E$7223)&gt;0.000000001,$E$7223,0.000000001))&gt;=8*$B$7061,$H$7067,0.5*$H$7067*(ABS(IF(ABS($E$7223)&gt;0.000000001,$E$7223,0.000000001))/$B$7061)^(1/3)))/ABS(IF(ABS($E$7223)&gt;0.000000001,$E$7223,0.000000001))*$I$7067)</f>
        <v/>
      </c>
      <c r="E7259" s="19">
        <f>0.5*$E$7223+0.5*$Z$7273</f>
        <v/>
      </c>
      <c r="F7259" s="19">
        <f>$Z$7274</f>
        <v/>
      </c>
    </row>
    <row r="7260">
      <c r="D7260" s="19">
        <f>IF(ABS(IF(ABS($E$7224)&gt;0.000000001,$E$7224,0.000000001))=0,0,IF($E$7068&lt;=$B$7059,0,IF(ABS(IF(ABS($E$7224)&gt;0.000000001,$E$7224,0.000000001))&gt;=8*$B$7061,$H$7068,0.5*$H$7068*(ABS(IF(ABS($E$7224)&gt;0.000000001,$E$7224,0.000000001))/$B$7061)^(1/3)))/ABS(IF(ABS($E$7224)&gt;0.000000001,$E$7224,0.000000001))*$I$7068)</f>
        <v/>
      </c>
      <c r="E7260" s="19">
        <f>0.5*$E$7224+0.5*$Z$7275</f>
        <v/>
      </c>
      <c r="F7260" s="19">
        <f>$Z$7276</f>
        <v/>
      </c>
    </row>
    <row r="7261">
      <c r="D7261" s="19">
        <f>IF(ABS(IF(ABS($E$7225)&gt;0.000000001,$E$7225,0.000000001))=0,0,IF($E$7069&lt;=$B$7059,0,IF(ABS(IF(ABS($E$7225)&gt;0.000000001,$E$7225,0.000000001))&gt;=8*$B$7061,$H$7069,0.5*$H$7069*(ABS(IF(ABS($E$7225)&gt;0.000000001,$E$7225,0.000000001))/$B$7061)^(1/3)))/ABS(IF(ABS($E$7225)&gt;0.000000001,$E$7225,0.000000001))*$I$7069)</f>
        <v/>
      </c>
      <c r="E7261" s="19">
        <f>0.5*$E$7225+0.5*$Z$7277</f>
        <v/>
      </c>
      <c r="F7261" s="19">
        <f>$Z$7278</f>
        <v/>
      </c>
    </row>
    <row r="7262">
      <c r="D7262" s="19">
        <f>IF(ABS(IF(ABS($E$7226)&gt;0.000000001,$E$7226,0.000000001))=0,0,IF($E$7070&lt;=$B$7059,0,IF(ABS(IF(ABS($E$7226)&gt;0.000000001,$E$7226,0.000000001))&gt;=8*$B$7061,$H$7070,0.5*$H$7070*(ABS(IF(ABS($E$7226)&gt;0.000000001,$E$7226,0.000000001))/$B$7061)^(1/3)))/ABS(IF(ABS($E$7226)&gt;0.000000001,$E$7226,0.000000001))*$I$7070)</f>
        <v/>
      </c>
      <c r="E7262" s="19">
        <f>0.5*$E$7226+0.5*$Z$7279</f>
        <v/>
      </c>
      <c r="F7262" s="19">
        <f>$Z$7280</f>
        <v/>
      </c>
    </row>
    <row r="7263">
      <c r="D7263" s="19">
        <f>IF(ABS(IF(ABS($E$7227)&gt;0.000000001,$E$7227,0.000000001))=0,0,IF($E$7071&lt;=$B$7059,0,IF(ABS(IF(ABS($E$7227)&gt;0.000000001,$E$7227,0.000000001))&gt;=8*$B$7061,$H$7071,0.5*$H$7071*(ABS(IF(ABS($E$7227)&gt;0.000000001,$E$7227,0.000000001))/$B$7061)^(1/3)))/ABS(IF(ABS($E$7227)&gt;0.000000001,$E$7227,0.000000001))*$I$7071)</f>
        <v/>
      </c>
      <c r="E7263" s="19">
        <f>0.5*$E$7227+0.5*$Z$7281</f>
        <v/>
      </c>
      <c r="F7263" s="19">
        <f>$Z$7282</f>
        <v/>
      </c>
    </row>
    <row r="7264">
      <c r="D7264" s="19">
        <f>IF(ABS(IF(ABS($E$7228)&gt;0.000000001,$E$7228,0.000000001))=0,0,IF($E$7072&lt;=$B$7059,0,IF(ABS(IF(ABS($E$7228)&gt;0.000000001,$E$7228,0.000000001))&gt;=8*$B$7061,$H$7072,0.5*$H$7072*(ABS(IF(ABS($E$7228)&gt;0.000000001,$E$7228,0.000000001))/$B$7061)^(1/3)))/ABS(IF(ABS($E$7228)&gt;0.000000001,$E$7228,0.000000001))*$I$7072)</f>
        <v/>
      </c>
      <c r="E7264" s="19">
        <f>0.5*$E$7228+0.5*$Z$7283</f>
        <v/>
      </c>
      <c r="F7264" s="19">
        <f>$Z$7284</f>
        <v/>
      </c>
    </row>
    <row r="7265">
      <c r="D7265" s="19">
        <f>IF(ABS(IF(ABS($E$7229)&gt;0.000000001,$E$7229,0.000000001))=0,0,IF($E$7073&lt;=$B$7059,0,IF(ABS(IF(ABS($E$7229)&gt;0.000000001,$E$7229,0.000000001))&gt;=8*$B$7061,$H$7073,0.5*$H$7073*(ABS(IF(ABS($E$7229)&gt;0.000000001,$E$7229,0.000000001))/$B$7061)^(1/3)))/ABS(IF(ABS($E$7229)&gt;0.000000001,$E$7229,0.000000001))*$I$7073)</f>
        <v/>
      </c>
      <c r="E7265" s="19">
        <f>0.5*$E$7229+0.5*$Z$7285</f>
        <v/>
      </c>
      <c r="F7265" s="19">
        <f>$Z$7286</f>
        <v/>
      </c>
    </row>
    <row r="7266">
      <c r="D7266" s="19">
        <f>IF(ABS(IF(ABS($E$7230)&gt;0.000000001,$E$7230,0.000000001))=0,0,IF($E$7074&lt;=$B$7059,0,IF(ABS(IF(ABS($E$7230)&gt;0.000000001,$E$7230,0.000000001))&gt;=8*$B$7061,$H$7074,0.5*$H$7074*(ABS(IF(ABS($E$7230)&gt;0.000000001,$E$7230,0.000000001))/$B$7061)^(1/3)))/ABS(IF(ABS($E$7230)&gt;0.000000001,$E$7230,0.000000001))*$I$7074)</f>
        <v/>
      </c>
      <c r="E7266" s="19">
        <f>0.5*$E$7230+0.5*$Z$7287</f>
        <v/>
      </c>
      <c r="F7266" s="19">
        <f>$Z$7288</f>
        <v/>
      </c>
    </row>
    <row r="7267">
      <c r="D7267" s="19">
        <f>IF(ABS(IF(ABS($E$7231)&gt;0.000000001,$E$7231,0.000000001))=0,0,IF($E$7075&lt;=$B$7059,0,IF(ABS(IF(ABS($E$7231)&gt;0.000000001,$E$7231,0.000000001))&gt;=8*$B$7061,$H$7075,0.5*$H$7075*(ABS(IF(ABS($E$7231)&gt;0.000000001,$E$7231,0.000000001))/$B$7061)^(1/3)))/ABS(IF(ABS($E$7231)&gt;0.000000001,$E$7231,0.000000001))*$I$7075)</f>
        <v/>
      </c>
      <c r="E7267" s="19">
        <f>0.5*$E$7231+0.5*$Z$7289</f>
        <v/>
      </c>
      <c r="F7267" s="19">
        <f>$Z$7290</f>
        <v/>
      </c>
    </row>
    <row r="7269">
      <c r="D7269" s="21">
        <f>$B$7050+$D$7257</f>
        <v/>
      </c>
      <c r="E7269" s="21">
        <f>$B$7051</f>
        <v/>
      </c>
      <c r="F7269" s="21">
        <f>-$B$7050</f>
        <v/>
      </c>
      <c r="G7269" s="21">
        <f>$B$7051</f>
        <v/>
      </c>
      <c r="H7269" s="21" t="n">
        <v>0</v>
      </c>
      <c r="I7269" s="21" t="n">
        <v>0</v>
      </c>
      <c r="J7269" s="21" t="n">
        <v>0</v>
      </c>
      <c r="K7269" s="21" t="n">
        <v>0</v>
      </c>
      <c r="L7269" s="21" t="n">
        <v>0</v>
      </c>
      <c r="M7269" s="21" t="n">
        <v>0</v>
      </c>
      <c r="N7269" s="21" t="n">
        <v>0</v>
      </c>
      <c r="O7269" s="21" t="n">
        <v>0</v>
      </c>
      <c r="P7269" s="21" t="n">
        <v>0</v>
      </c>
      <c r="Q7269" s="21" t="n">
        <v>0</v>
      </c>
      <c r="R7269" s="21" t="n">
        <v>0</v>
      </c>
      <c r="S7269" s="21" t="n">
        <v>0</v>
      </c>
      <c r="T7269" s="21" t="n">
        <v>0</v>
      </c>
      <c r="U7269" s="21" t="n">
        <v>0</v>
      </c>
      <c r="V7269" s="21" t="n">
        <v>0</v>
      </c>
      <c r="W7269" s="21" t="n">
        <v>0</v>
      </c>
      <c r="X7269" s="21" t="n">
        <v>0</v>
      </c>
      <c r="Y7269" s="21" t="n">
        <v>0</v>
      </c>
      <c r="Z7269" s="19">
        <f t="array" ref="Z7269:Z7290">MMULT(MINVERSE($D$7269:$Y$7290),$D$7077:$D$7098)</f>
        <v/>
      </c>
    </row>
    <row r="7270">
      <c r="D7270" s="21">
        <f>$B$7051</f>
        <v/>
      </c>
      <c r="E7270" s="21">
        <f>$B$7052</f>
        <v/>
      </c>
      <c r="F7270" s="21">
        <f>-$B$7051</f>
        <v/>
      </c>
      <c r="G7270" s="21">
        <f>$B$7053</f>
        <v/>
      </c>
      <c r="H7270" s="21" t="n">
        <v>0</v>
      </c>
      <c r="I7270" s="21" t="n">
        <v>0</v>
      </c>
      <c r="J7270" s="21" t="n">
        <v>0</v>
      </c>
      <c r="K7270" s="21" t="n">
        <v>0</v>
      </c>
      <c r="L7270" s="21" t="n">
        <v>0</v>
      </c>
      <c r="M7270" s="21" t="n">
        <v>0</v>
      </c>
      <c r="N7270" s="21" t="n">
        <v>0</v>
      </c>
      <c r="O7270" s="21" t="n">
        <v>0</v>
      </c>
      <c r="P7270" s="21" t="n">
        <v>0</v>
      </c>
      <c r="Q7270" s="21" t="n">
        <v>0</v>
      </c>
      <c r="R7270" s="21" t="n">
        <v>0</v>
      </c>
      <c r="S7270" s="21" t="n">
        <v>0</v>
      </c>
      <c r="T7270" s="21" t="n">
        <v>0</v>
      </c>
      <c r="U7270" s="21" t="n">
        <v>0</v>
      </c>
      <c r="V7270" s="21" t="n">
        <v>0</v>
      </c>
      <c r="W7270" s="21" t="n">
        <v>0</v>
      </c>
      <c r="X7270" s="21" t="n">
        <v>0</v>
      </c>
      <c r="Y7270" s="21" t="n">
        <v>0</v>
      </c>
      <c r="Z7270" s="19" t="n"/>
    </row>
    <row r="7271">
      <c r="D7271" s="21">
        <f>-$B$7050</f>
        <v/>
      </c>
      <c r="E7271" s="21">
        <f>-$B$7051</f>
        <v/>
      </c>
      <c r="F7271" s="21">
        <f>2*$B$7050+$D$7258</f>
        <v/>
      </c>
      <c r="G7271" s="21">
        <f>0</f>
        <v/>
      </c>
      <c r="H7271" s="21">
        <f>-$B$7050</f>
        <v/>
      </c>
      <c r="I7271" s="21">
        <f>$B$7051</f>
        <v/>
      </c>
      <c r="J7271" s="21" t="n">
        <v>0</v>
      </c>
      <c r="K7271" s="21" t="n">
        <v>0</v>
      </c>
      <c r="L7271" s="21" t="n">
        <v>0</v>
      </c>
      <c r="M7271" s="21" t="n">
        <v>0</v>
      </c>
      <c r="N7271" s="21" t="n">
        <v>0</v>
      </c>
      <c r="O7271" s="21" t="n">
        <v>0</v>
      </c>
      <c r="P7271" s="21" t="n">
        <v>0</v>
      </c>
      <c r="Q7271" s="21" t="n">
        <v>0</v>
      </c>
      <c r="R7271" s="21" t="n">
        <v>0</v>
      </c>
      <c r="S7271" s="21" t="n">
        <v>0</v>
      </c>
      <c r="T7271" s="21" t="n">
        <v>0</v>
      </c>
      <c r="U7271" s="21" t="n">
        <v>0</v>
      </c>
      <c r="V7271" s="21" t="n">
        <v>0</v>
      </c>
      <c r="W7271" s="21" t="n">
        <v>0</v>
      </c>
      <c r="X7271" s="21" t="n">
        <v>0</v>
      </c>
      <c r="Y7271" s="21" t="n">
        <v>0</v>
      </c>
      <c r="Z7271" s="19" t="n"/>
    </row>
    <row r="7272">
      <c r="D7272" s="21">
        <f>$B$7051</f>
        <v/>
      </c>
      <c r="E7272" s="21">
        <f>$B$7053</f>
        <v/>
      </c>
      <c r="F7272" s="21">
        <f>0</f>
        <v/>
      </c>
      <c r="G7272" s="21">
        <f>2*$B$7052</f>
        <v/>
      </c>
      <c r="H7272" s="21">
        <f>-$B$7051</f>
        <v/>
      </c>
      <c r="I7272" s="21">
        <f>$B$7053</f>
        <v/>
      </c>
      <c r="J7272" s="21" t="n">
        <v>0</v>
      </c>
      <c r="K7272" s="21" t="n">
        <v>0</v>
      </c>
      <c r="L7272" s="21" t="n">
        <v>0</v>
      </c>
      <c r="M7272" s="21" t="n">
        <v>0</v>
      </c>
      <c r="N7272" s="21" t="n">
        <v>0</v>
      </c>
      <c r="O7272" s="21" t="n">
        <v>0</v>
      </c>
      <c r="P7272" s="21" t="n">
        <v>0</v>
      </c>
      <c r="Q7272" s="21" t="n">
        <v>0</v>
      </c>
      <c r="R7272" s="21" t="n">
        <v>0</v>
      </c>
      <c r="S7272" s="21" t="n">
        <v>0</v>
      </c>
      <c r="T7272" s="21" t="n">
        <v>0</v>
      </c>
      <c r="U7272" s="21" t="n">
        <v>0</v>
      </c>
      <c r="V7272" s="21" t="n">
        <v>0</v>
      </c>
      <c r="W7272" s="21" t="n">
        <v>0</v>
      </c>
      <c r="X7272" s="21" t="n">
        <v>0</v>
      </c>
      <c r="Y7272" s="21" t="n">
        <v>0</v>
      </c>
      <c r="Z7272" s="19" t="n"/>
    </row>
    <row r="7273">
      <c r="D7273" s="21" t="n">
        <v>0</v>
      </c>
      <c r="E7273" s="21" t="n">
        <v>0</v>
      </c>
      <c r="F7273" s="21">
        <f>-$B$7050</f>
        <v/>
      </c>
      <c r="G7273" s="21">
        <f>-$B$7051</f>
        <v/>
      </c>
      <c r="H7273" s="21">
        <f>2*$B$7050+$D$7259</f>
        <v/>
      </c>
      <c r="I7273" s="21">
        <f>0</f>
        <v/>
      </c>
      <c r="J7273" s="21">
        <f>-$B$7050</f>
        <v/>
      </c>
      <c r="K7273" s="21">
        <f>$B$7051</f>
        <v/>
      </c>
      <c r="L7273" s="21" t="n">
        <v>0</v>
      </c>
      <c r="M7273" s="21" t="n">
        <v>0</v>
      </c>
      <c r="N7273" s="21" t="n">
        <v>0</v>
      </c>
      <c r="O7273" s="21" t="n">
        <v>0</v>
      </c>
      <c r="P7273" s="21" t="n">
        <v>0</v>
      </c>
      <c r="Q7273" s="21" t="n">
        <v>0</v>
      </c>
      <c r="R7273" s="21" t="n">
        <v>0</v>
      </c>
      <c r="S7273" s="21" t="n">
        <v>0</v>
      </c>
      <c r="T7273" s="21" t="n">
        <v>0</v>
      </c>
      <c r="U7273" s="21" t="n">
        <v>0</v>
      </c>
      <c r="V7273" s="21" t="n">
        <v>0</v>
      </c>
      <c r="W7273" s="21" t="n">
        <v>0</v>
      </c>
      <c r="X7273" s="21" t="n">
        <v>0</v>
      </c>
      <c r="Y7273" s="21" t="n">
        <v>0</v>
      </c>
      <c r="Z7273" s="19" t="n"/>
    </row>
    <row r="7274">
      <c r="D7274" s="21" t="n">
        <v>0</v>
      </c>
      <c r="E7274" s="21" t="n">
        <v>0</v>
      </c>
      <c r="F7274" s="21">
        <f>$B$7051</f>
        <v/>
      </c>
      <c r="G7274" s="21">
        <f>$B$7053</f>
        <v/>
      </c>
      <c r="H7274" s="21">
        <f>0</f>
        <v/>
      </c>
      <c r="I7274" s="21">
        <f>2*$B$7052</f>
        <v/>
      </c>
      <c r="J7274" s="21">
        <f>-$B$7051</f>
        <v/>
      </c>
      <c r="K7274" s="21">
        <f>$B$7053</f>
        <v/>
      </c>
      <c r="L7274" s="21" t="n">
        <v>0</v>
      </c>
      <c r="M7274" s="21" t="n">
        <v>0</v>
      </c>
      <c r="N7274" s="21" t="n">
        <v>0</v>
      </c>
      <c r="O7274" s="21" t="n">
        <v>0</v>
      </c>
      <c r="P7274" s="21" t="n">
        <v>0</v>
      </c>
      <c r="Q7274" s="21" t="n">
        <v>0</v>
      </c>
      <c r="R7274" s="21" t="n">
        <v>0</v>
      </c>
      <c r="S7274" s="21" t="n">
        <v>0</v>
      </c>
      <c r="T7274" s="21" t="n">
        <v>0</v>
      </c>
      <c r="U7274" s="21" t="n">
        <v>0</v>
      </c>
      <c r="V7274" s="21" t="n">
        <v>0</v>
      </c>
      <c r="W7274" s="21" t="n">
        <v>0</v>
      </c>
      <c r="X7274" s="21" t="n">
        <v>0</v>
      </c>
      <c r="Y7274" s="21" t="n">
        <v>0</v>
      </c>
      <c r="Z7274" s="19" t="n"/>
    </row>
    <row r="7275">
      <c r="D7275" s="21" t="n">
        <v>0</v>
      </c>
      <c r="E7275" s="21" t="n">
        <v>0</v>
      </c>
      <c r="F7275" s="21" t="n">
        <v>0</v>
      </c>
      <c r="G7275" s="21" t="n">
        <v>0</v>
      </c>
      <c r="H7275" s="21">
        <f>-$B$7050</f>
        <v/>
      </c>
      <c r="I7275" s="21">
        <f>-$B$7051</f>
        <v/>
      </c>
      <c r="J7275" s="21">
        <f>2*$B$7050+$D$7260</f>
        <v/>
      </c>
      <c r="K7275" s="21">
        <f>0</f>
        <v/>
      </c>
      <c r="L7275" s="21">
        <f>-$B$7050</f>
        <v/>
      </c>
      <c r="M7275" s="21">
        <f>$B$7051</f>
        <v/>
      </c>
      <c r="N7275" s="21" t="n">
        <v>0</v>
      </c>
      <c r="O7275" s="21" t="n">
        <v>0</v>
      </c>
      <c r="P7275" s="21" t="n">
        <v>0</v>
      </c>
      <c r="Q7275" s="21" t="n">
        <v>0</v>
      </c>
      <c r="R7275" s="21" t="n">
        <v>0</v>
      </c>
      <c r="S7275" s="21" t="n">
        <v>0</v>
      </c>
      <c r="T7275" s="21" t="n">
        <v>0</v>
      </c>
      <c r="U7275" s="21" t="n">
        <v>0</v>
      </c>
      <c r="V7275" s="21" t="n">
        <v>0</v>
      </c>
      <c r="W7275" s="21" t="n">
        <v>0</v>
      </c>
      <c r="X7275" s="21" t="n">
        <v>0</v>
      </c>
      <c r="Y7275" s="21" t="n">
        <v>0</v>
      </c>
      <c r="Z7275" s="19" t="n"/>
    </row>
    <row r="7276">
      <c r="D7276" s="21" t="n">
        <v>0</v>
      </c>
      <c r="E7276" s="21" t="n">
        <v>0</v>
      </c>
      <c r="F7276" s="21" t="n">
        <v>0</v>
      </c>
      <c r="G7276" s="21" t="n">
        <v>0</v>
      </c>
      <c r="H7276" s="21">
        <f>$B$7051</f>
        <v/>
      </c>
      <c r="I7276" s="21">
        <f>$B$7053</f>
        <v/>
      </c>
      <c r="J7276" s="21">
        <f>0</f>
        <v/>
      </c>
      <c r="K7276" s="21">
        <f>2*$B$7052</f>
        <v/>
      </c>
      <c r="L7276" s="21">
        <f>-$B$7051</f>
        <v/>
      </c>
      <c r="M7276" s="21">
        <f>$B$7053</f>
        <v/>
      </c>
      <c r="N7276" s="21" t="n">
        <v>0</v>
      </c>
      <c r="O7276" s="21" t="n">
        <v>0</v>
      </c>
      <c r="P7276" s="21" t="n">
        <v>0</v>
      </c>
      <c r="Q7276" s="21" t="n">
        <v>0</v>
      </c>
      <c r="R7276" s="21" t="n">
        <v>0</v>
      </c>
      <c r="S7276" s="21" t="n">
        <v>0</v>
      </c>
      <c r="T7276" s="21" t="n">
        <v>0</v>
      </c>
      <c r="U7276" s="21" t="n">
        <v>0</v>
      </c>
      <c r="V7276" s="21" t="n">
        <v>0</v>
      </c>
      <c r="W7276" s="21" t="n">
        <v>0</v>
      </c>
      <c r="X7276" s="21" t="n">
        <v>0</v>
      </c>
      <c r="Y7276" s="21" t="n">
        <v>0</v>
      </c>
      <c r="Z7276" s="19" t="n"/>
    </row>
    <row r="7277">
      <c r="D7277" s="21" t="n">
        <v>0</v>
      </c>
      <c r="E7277" s="21" t="n">
        <v>0</v>
      </c>
      <c r="F7277" s="21" t="n">
        <v>0</v>
      </c>
      <c r="G7277" s="21" t="n">
        <v>0</v>
      </c>
      <c r="H7277" s="21" t="n">
        <v>0</v>
      </c>
      <c r="I7277" s="21" t="n">
        <v>0</v>
      </c>
      <c r="J7277" s="21">
        <f>-$B$7050</f>
        <v/>
      </c>
      <c r="K7277" s="21">
        <f>-$B$7051</f>
        <v/>
      </c>
      <c r="L7277" s="21">
        <f>2*$B$7050+$D$7261</f>
        <v/>
      </c>
      <c r="M7277" s="21">
        <f>0</f>
        <v/>
      </c>
      <c r="N7277" s="21">
        <f>-$B$7050</f>
        <v/>
      </c>
      <c r="O7277" s="21">
        <f>$B$7051</f>
        <v/>
      </c>
      <c r="P7277" s="21" t="n">
        <v>0</v>
      </c>
      <c r="Q7277" s="21" t="n">
        <v>0</v>
      </c>
      <c r="R7277" s="21" t="n">
        <v>0</v>
      </c>
      <c r="S7277" s="21" t="n">
        <v>0</v>
      </c>
      <c r="T7277" s="21" t="n">
        <v>0</v>
      </c>
      <c r="U7277" s="21" t="n">
        <v>0</v>
      </c>
      <c r="V7277" s="21" t="n">
        <v>0</v>
      </c>
      <c r="W7277" s="21" t="n">
        <v>0</v>
      </c>
      <c r="X7277" s="21" t="n">
        <v>0</v>
      </c>
      <c r="Y7277" s="21" t="n">
        <v>0</v>
      </c>
      <c r="Z7277" s="19" t="n"/>
    </row>
    <row r="7278">
      <c r="D7278" s="21" t="n">
        <v>0</v>
      </c>
      <c r="E7278" s="21" t="n">
        <v>0</v>
      </c>
      <c r="F7278" s="21" t="n">
        <v>0</v>
      </c>
      <c r="G7278" s="21" t="n">
        <v>0</v>
      </c>
      <c r="H7278" s="21" t="n">
        <v>0</v>
      </c>
      <c r="I7278" s="21" t="n">
        <v>0</v>
      </c>
      <c r="J7278" s="21">
        <f>$B$7051</f>
        <v/>
      </c>
      <c r="K7278" s="21">
        <f>$B$7053</f>
        <v/>
      </c>
      <c r="L7278" s="21">
        <f>0</f>
        <v/>
      </c>
      <c r="M7278" s="21">
        <f>2*$B$7052</f>
        <v/>
      </c>
      <c r="N7278" s="21">
        <f>-$B$7051</f>
        <v/>
      </c>
      <c r="O7278" s="21">
        <f>$B$7053</f>
        <v/>
      </c>
      <c r="P7278" s="21" t="n">
        <v>0</v>
      </c>
      <c r="Q7278" s="21" t="n">
        <v>0</v>
      </c>
      <c r="R7278" s="21" t="n">
        <v>0</v>
      </c>
      <c r="S7278" s="21" t="n">
        <v>0</v>
      </c>
      <c r="T7278" s="21" t="n">
        <v>0</v>
      </c>
      <c r="U7278" s="21" t="n">
        <v>0</v>
      </c>
      <c r="V7278" s="21" t="n">
        <v>0</v>
      </c>
      <c r="W7278" s="21" t="n">
        <v>0</v>
      </c>
      <c r="X7278" s="21" t="n">
        <v>0</v>
      </c>
      <c r="Y7278" s="21" t="n">
        <v>0</v>
      </c>
      <c r="Z7278" s="19" t="n"/>
    </row>
    <row r="7279">
      <c r="D7279" s="21" t="n">
        <v>0</v>
      </c>
      <c r="E7279" s="21" t="n">
        <v>0</v>
      </c>
      <c r="F7279" s="21" t="n">
        <v>0</v>
      </c>
      <c r="G7279" s="21" t="n">
        <v>0</v>
      </c>
      <c r="H7279" s="21" t="n">
        <v>0</v>
      </c>
      <c r="I7279" s="21" t="n">
        <v>0</v>
      </c>
      <c r="J7279" s="21" t="n">
        <v>0</v>
      </c>
      <c r="K7279" s="21" t="n">
        <v>0</v>
      </c>
      <c r="L7279" s="21">
        <f>-$B$7050</f>
        <v/>
      </c>
      <c r="M7279" s="21">
        <f>-$B$7051</f>
        <v/>
      </c>
      <c r="N7279" s="21">
        <f>2*$B$7050+$D$7262</f>
        <v/>
      </c>
      <c r="O7279" s="21">
        <f>0</f>
        <v/>
      </c>
      <c r="P7279" s="21">
        <f>-$B$7050</f>
        <v/>
      </c>
      <c r="Q7279" s="21">
        <f>$B$7051</f>
        <v/>
      </c>
      <c r="R7279" s="21" t="n">
        <v>0</v>
      </c>
      <c r="S7279" s="21" t="n">
        <v>0</v>
      </c>
      <c r="T7279" s="21" t="n">
        <v>0</v>
      </c>
      <c r="U7279" s="21" t="n">
        <v>0</v>
      </c>
      <c r="V7279" s="21" t="n">
        <v>0</v>
      </c>
      <c r="W7279" s="21" t="n">
        <v>0</v>
      </c>
      <c r="X7279" s="21" t="n">
        <v>0</v>
      </c>
      <c r="Y7279" s="21" t="n">
        <v>0</v>
      </c>
      <c r="Z7279" s="19" t="n"/>
    </row>
    <row r="7280">
      <c r="D7280" s="21" t="n">
        <v>0</v>
      </c>
      <c r="E7280" s="21" t="n">
        <v>0</v>
      </c>
      <c r="F7280" s="21" t="n">
        <v>0</v>
      </c>
      <c r="G7280" s="21" t="n">
        <v>0</v>
      </c>
      <c r="H7280" s="21" t="n">
        <v>0</v>
      </c>
      <c r="I7280" s="21" t="n">
        <v>0</v>
      </c>
      <c r="J7280" s="21" t="n">
        <v>0</v>
      </c>
      <c r="K7280" s="21" t="n">
        <v>0</v>
      </c>
      <c r="L7280" s="21">
        <f>$B$7051</f>
        <v/>
      </c>
      <c r="M7280" s="21">
        <f>$B$7053</f>
        <v/>
      </c>
      <c r="N7280" s="21">
        <f>0</f>
        <v/>
      </c>
      <c r="O7280" s="21">
        <f>2*$B$7052</f>
        <v/>
      </c>
      <c r="P7280" s="21">
        <f>-$B$7051</f>
        <v/>
      </c>
      <c r="Q7280" s="21">
        <f>$B$7053</f>
        <v/>
      </c>
      <c r="R7280" s="21" t="n">
        <v>0</v>
      </c>
      <c r="S7280" s="21" t="n">
        <v>0</v>
      </c>
      <c r="T7280" s="21" t="n">
        <v>0</v>
      </c>
      <c r="U7280" s="21" t="n">
        <v>0</v>
      </c>
      <c r="V7280" s="21" t="n">
        <v>0</v>
      </c>
      <c r="W7280" s="21" t="n">
        <v>0</v>
      </c>
      <c r="X7280" s="21" t="n">
        <v>0</v>
      </c>
      <c r="Y7280" s="21" t="n">
        <v>0</v>
      </c>
      <c r="Z7280" s="19" t="n"/>
    </row>
    <row r="7281">
      <c r="D7281" s="21" t="n">
        <v>0</v>
      </c>
      <c r="E7281" s="21" t="n">
        <v>0</v>
      </c>
      <c r="F7281" s="21" t="n">
        <v>0</v>
      </c>
      <c r="G7281" s="21" t="n">
        <v>0</v>
      </c>
      <c r="H7281" s="21" t="n">
        <v>0</v>
      </c>
      <c r="I7281" s="21" t="n">
        <v>0</v>
      </c>
      <c r="J7281" s="21" t="n">
        <v>0</v>
      </c>
      <c r="K7281" s="21" t="n">
        <v>0</v>
      </c>
      <c r="L7281" s="21" t="n">
        <v>0</v>
      </c>
      <c r="M7281" s="21" t="n">
        <v>0</v>
      </c>
      <c r="N7281" s="21">
        <f>-$B$7050</f>
        <v/>
      </c>
      <c r="O7281" s="21">
        <f>-$B$7051</f>
        <v/>
      </c>
      <c r="P7281" s="21">
        <f>2*$B$7050+$D$7263</f>
        <v/>
      </c>
      <c r="Q7281" s="21">
        <f>0</f>
        <v/>
      </c>
      <c r="R7281" s="21">
        <f>-$B$7050</f>
        <v/>
      </c>
      <c r="S7281" s="21">
        <f>$B$7051</f>
        <v/>
      </c>
      <c r="T7281" s="21" t="n">
        <v>0</v>
      </c>
      <c r="U7281" s="21" t="n">
        <v>0</v>
      </c>
      <c r="V7281" s="21" t="n">
        <v>0</v>
      </c>
      <c r="W7281" s="21" t="n">
        <v>0</v>
      </c>
      <c r="X7281" s="21" t="n">
        <v>0</v>
      </c>
      <c r="Y7281" s="21" t="n">
        <v>0</v>
      </c>
      <c r="Z7281" s="19" t="n"/>
    </row>
    <row r="7282">
      <c r="D7282" s="21" t="n">
        <v>0</v>
      </c>
      <c r="E7282" s="21" t="n">
        <v>0</v>
      </c>
      <c r="F7282" s="21" t="n">
        <v>0</v>
      </c>
      <c r="G7282" s="21" t="n">
        <v>0</v>
      </c>
      <c r="H7282" s="21" t="n">
        <v>0</v>
      </c>
      <c r="I7282" s="21" t="n">
        <v>0</v>
      </c>
      <c r="J7282" s="21" t="n">
        <v>0</v>
      </c>
      <c r="K7282" s="21" t="n">
        <v>0</v>
      </c>
      <c r="L7282" s="21" t="n">
        <v>0</v>
      </c>
      <c r="M7282" s="21" t="n">
        <v>0</v>
      </c>
      <c r="N7282" s="21">
        <f>$B$7051</f>
        <v/>
      </c>
      <c r="O7282" s="21">
        <f>$B$7053</f>
        <v/>
      </c>
      <c r="P7282" s="21">
        <f>0</f>
        <v/>
      </c>
      <c r="Q7282" s="21">
        <f>2*$B$7052</f>
        <v/>
      </c>
      <c r="R7282" s="21">
        <f>-$B$7051</f>
        <v/>
      </c>
      <c r="S7282" s="21">
        <f>$B$7053</f>
        <v/>
      </c>
      <c r="T7282" s="21" t="n">
        <v>0</v>
      </c>
      <c r="U7282" s="21" t="n">
        <v>0</v>
      </c>
      <c r="V7282" s="21" t="n">
        <v>0</v>
      </c>
      <c r="W7282" s="21" t="n">
        <v>0</v>
      </c>
      <c r="X7282" s="21" t="n">
        <v>0</v>
      </c>
      <c r="Y7282" s="21" t="n">
        <v>0</v>
      </c>
      <c r="Z7282" s="19" t="n"/>
    </row>
    <row r="7283">
      <c r="D7283" s="21" t="n">
        <v>0</v>
      </c>
      <c r="E7283" s="21" t="n">
        <v>0</v>
      </c>
      <c r="F7283" s="21" t="n">
        <v>0</v>
      </c>
      <c r="G7283" s="21" t="n">
        <v>0</v>
      </c>
      <c r="H7283" s="21" t="n">
        <v>0</v>
      </c>
      <c r="I7283" s="21" t="n">
        <v>0</v>
      </c>
      <c r="J7283" s="21" t="n">
        <v>0</v>
      </c>
      <c r="K7283" s="21" t="n">
        <v>0</v>
      </c>
      <c r="L7283" s="21" t="n">
        <v>0</v>
      </c>
      <c r="M7283" s="21" t="n">
        <v>0</v>
      </c>
      <c r="N7283" s="21" t="n">
        <v>0</v>
      </c>
      <c r="O7283" s="21" t="n">
        <v>0</v>
      </c>
      <c r="P7283" s="21">
        <f>-$B$7050</f>
        <v/>
      </c>
      <c r="Q7283" s="21">
        <f>-$B$7051</f>
        <v/>
      </c>
      <c r="R7283" s="21">
        <f>2*$B$7050+$D$7264</f>
        <v/>
      </c>
      <c r="S7283" s="21">
        <f>0</f>
        <v/>
      </c>
      <c r="T7283" s="21">
        <f>-$B$7050</f>
        <v/>
      </c>
      <c r="U7283" s="21">
        <f>$B$7051</f>
        <v/>
      </c>
      <c r="V7283" s="21" t="n">
        <v>0</v>
      </c>
      <c r="W7283" s="21" t="n">
        <v>0</v>
      </c>
      <c r="X7283" s="21" t="n">
        <v>0</v>
      </c>
      <c r="Y7283" s="21" t="n">
        <v>0</v>
      </c>
      <c r="Z7283" s="19" t="n"/>
    </row>
    <row r="7284">
      <c r="D7284" s="21" t="n">
        <v>0</v>
      </c>
      <c r="E7284" s="21" t="n">
        <v>0</v>
      </c>
      <c r="F7284" s="21" t="n">
        <v>0</v>
      </c>
      <c r="G7284" s="21" t="n">
        <v>0</v>
      </c>
      <c r="H7284" s="21" t="n">
        <v>0</v>
      </c>
      <c r="I7284" s="21" t="n">
        <v>0</v>
      </c>
      <c r="J7284" s="21" t="n">
        <v>0</v>
      </c>
      <c r="K7284" s="21" t="n">
        <v>0</v>
      </c>
      <c r="L7284" s="21" t="n">
        <v>0</v>
      </c>
      <c r="M7284" s="21" t="n">
        <v>0</v>
      </c>
      <c r="N7284" s="21" t="n">
        <v>0</v>
      </c>
      <c r="O7284" s="21" t="n">
        <v>0</v>
      </c>
      <c r="P7284" s="21">
        <f>$B$7051</f>
        <v/>
      </c>
      <c r="Q7284" s="21">
        <f>$B$7053</f>
        <v/>
      </c>
      <c r="R7284" s="21">
        <f>0</f>
        <v/>
      </c>
      <c r="S7284" s="21">
        <f>2*$B$7052</f>
        <v/>
      </c>
      <c r="T7284" s="21">
        <f>-$B$7051</f>
        <v/>
      </c>
      <c r="U7284" s="21">
        <f>$B$7053</f>
        <v/>
      </c>
      <c r="V7284" s="21" t="n">
        <v>0</v>
      </c>
      <c r="W7284" s="21" t="n">
        <v>0</v>
      </c>
      <c r="X7284" s="21" t="n">
        <v>0</v>
      </c>
      <c r="Y7284" s="21" t="n">
        <v>0</v>
      </c>
      <c r="Z7284" s="19" t="n"/>
    </row>
    <row r="7285">
      <c r="D7285" s="21" t="n">
        <v>0</v>
      </c>
      <c r="E7285" s="21" t="n">
        <v>0</v>
      </c>
      <c r="F7285" s="21" t="n">
        <v>0</v>
      </c>
      <c r="G7285" s="21" t="n">
        <v>0</v>
      </c>
      <c r="H7285" s="21" t="n">
        <v>0</v>
      </c>
      <c r="I7285" s="21" t="n">
        <v>0</v>
      </c>
      <c r="J7285" s="21" t="n">
        <v>0</v>
      </c>
      <c r="K7285" s="21" t="n">
        <v>0</v>
      </c>
      <c r="L7285" s="21" t="n">
        <v>0</v>
      </c>
      <c r="M7285" s="21" t="n">
        <v>0</v>
      </c>
      <c r="N7285" s="21" t="n">
        <v>0</v>
      </c>
      <c r="O7285" s="21" t="n">
        <v>0</v>
      </c>
      <c r="P7285" s="21" t="n">
        <v>0</v>
      </c>
      <c r="Q7285" s="21" t="n">
        <v>0</v>
      </c>
      <c r="R7285" s="21">
        <f>-$B$7050</f>
        <v/>
      </c>
      <c r="S7285" s="21">
        <f>-$B$7051</f>
        <v/>
      </c>
      <c r="T7285" s="21">
        <f>2*$B$7050+$D$7265</f>
        <v/>
      </c>
      <c r="U7285" s="21">
        <f>0</f>
        <v/>
      </c>
      <c r="V7285" s="21">
        <f>-$B$7050</f>
        <v/>
      </c>
      <c r="W7285" s="21">
        <f>$B$7051</f>
        <v/>
      </c>
      <c r="X7285" s="21" t="n">
        <v>0</v>
      </c>
      <c r="Y7285" s="21" t="n">
        <v>0</v>
      </c>
      <c r="Z7285" s="19" t="n"/>
    </row>
    <row r="7286">
      <c r="D7286" s="21" t="n">
        <v>0</v>
      </c>
      <c r="E7286" s="21" t="n">
        <v>0</v>
      </c>
      <c r="F7286" s="21" t="n">
        <v>0</v>
      </c>
      <c r="G7286" s="21" t="n">
        <v>0</v>
      </c>
      <c r="H7286" s="21" t="n">
        <v>0</v>
      </c>
      <c r="I7286" s="21" t="n">
        <v>0</v>
      </c>
      <c r="J7286" s="21" t="n">
        <v>0</v>
      </c>
      <c r="K7286" s="21" t="n">
        <v>0</v>
      </c>
      <c r="L7286" s="21" t="n">
        <v>0</v>
      </c>
      <c r="M7286" s="21" t="n">
        <v>0</v>
      </c>
      <c r="N7286" s="21" t="n">
        <v>0</v>
      </c>
      <c r="O7286" s="21" t="n">
        <v>0</v>
      </c>
      <c r="P7286" s="21" t="n">
        <v>0</v>
      </c>
      <c r="Q7286" s="21" t="n">
        <v>0</v>
      </c>
      <c r="R7286" s="21">
        <f>$B$7051</f>
        <v/>
      </c>
      <c r="S7286" s="21">
        <f>$B$7053</f>
        <v/>
      </c>
      <c r="T7286" s="21">
        <f>0</f>
        <v/>
      </c>
      <c r="U7286" s="21">
        <f>2*$B$7052</f>
        <v/>
      </c>
      <c r="V7286" s="21">
        <f>-$B$7051</f>
        <v/>
      </c>
      <c r="W7286" s="21">
        <f>$B$7053</f>
        <v/>
      </c>
      <c r="X7286" s="21" t="n">
        <v>0</v>
      </c>
      <c r="Y7286" s="21" t="n">
        <v>0</v>
      </c>
      <c r="Z7286" s="19" t="n"/>
    </row>
    <row r="7287">
      <c r="D7287" s="21" t="n">
        <v>0</v>
      </c>
      <c r="E7287" s="21" t="n">
        <v>0</v>
      </c>
      <c r="F7287" s="21" t="n">
        <v>0</v>
      </c>
      <c r="G7287" s="21" t="n">
        <v>0</v>
      </c>
      <c r="H7287" s="21" t="n">
        <v>0</v>
      </c>
      <c r="I7287" s="21" t="n">
        <v>0</v>
      </c>
      <c r="J7287" s="21" t="n">
        <v>0</v>
      </c>
      <c r="K7287" s="21" t="n">
        <v>0</v>
      </c>
      <c r="L7287" s="21" t="n">
        <v>0</v>
      </c>
      <c r="M7287" s="21" t="n">
        <v>0</v>
      </c>
      <c r="N7287" s="21" t="n">
        <v>0</v>
      </c>
      <c r="O7287" s="21" t="n">
        <v>0</v>
      </c>
      <c r="P7287" s="21" t="n">
        <v>0</v>
      </c>
      <c r="Q7287" s="21" t="n">
        <v>0</v>
      </c>
      <c r="R7287" s="21" t="n">
        <v>0</v>
      </c>
      <c r="S7287" s="21" t="n">
        <v>0</v>
      </c>
      <c r="T7287" s="21">
        <f>-$B$7050</f>
        <v/>
      </c>
      <c r="U7287" s="21">
        <f>-$B$7051</f>
        <v/>
      </c>
      <c r="V7287" s="21">
        <f>2*$B$7050+$D$7266</f>
        <v/>
      </c>
      <c r="W7287" s="21">
        <f>0</f>
        <v/>
      </c>
      <c r="X7287" s="21">
        <f>-$B$7050</f>
        <v/>
      </c>
      <c r="Y7287" s="21">
        <f>$B$7051</f>
        <v/>
      </c>
      <c r="Z7287" s="19" t="n"/>
    </row>
    <row r="7288">
      <c r="D7288" s="21" t="n">
        <v>0</v>
      </c>
      <c r="E7288" s="21" t="n">
        <v>0</v>
      </c>
      <c r="F7288" s="21" t="n">
        <v>0</v>
      </c>
      <c r="G7288" s="21" t="n">
        <v>0</v>
      </c>
      <c r="H7288" s="21" t="n">
        <v>0</v>
      </c>
      <c r="I7288" s="21" t="n">
        <v>0</v>
      </c>
      <c r="J7288" s="21" t="n">
        <v>0</v>
      </c>
      <c r="K7288" s="21" t="n">
        <v>0</v>
      </c>
      <c r="L7288" s="21" t="n">
        <v>0</v>
      </c>
      <c r="M7288" s="21" t="n">
        <v>0</v>
      </c>
      <c r="N7288" s="21" t="n">
        <v>0</v>
      </c>
      <c r="O7288" s="21" t="n">
        <v>0</v>
      </c>
      <c r="P7288" s="21" t="n">
        <v>0</v>
      </c>
      <c r="Q7288" s="21" t="n">
        <v>0</v>
      </c>
      <c r="R7288" s="21" t="n">
        <v>0</v>
      </c>
      <c r="S7288" s="21" t="n">
        <v>0</v>
      </c>
      <c r="T7288" s="21">
        <f>$B$7051</f>
        <v/>
      </c>
      <c r="U7288" s="21">
        <f>$B$7053</f>
        <v/>
      </c>
      <c r="V7288" s="21">
        <f>0</f>
        <v/>
      </c>
      <c r="W7288" s="21">
        <f>2*$B$7052</f>
        <v/>
      </c>
      <c r="X7288" s="21">
        <f>-$B$7051</f>
        <v/>
      </c>
      <c r="Y7288" s="21">
        <f>$B$7053</f>
        <v/>
      </c>
      <c r="Z7288" s="19" t="n"/>
    </row>
    <row r="7289">
      <c r="D7289" s="21" t="n">
        <v>0</v>
      </c>
      <c r="E7289" s="21" t="n">
        <v>0</v>
      </c>
      <c r="F7289" s="21" t="n">
        <v>0</v>
      </c>
      <c r="G7289" s="21" t="n">
        <v>0</v>
      </c>
      <c r="H7289" s="21" t="n">
        <v>0</v>
      </c>
      <c r="I7289" s="21" t="n">
        <v>0</v>
      </c>
      <c r="J7289" s="21" t="n">
        <v>0</v>
      </c>
      <c r="K7289" s="21" t="n">
        <v>0</v>
      </c>
      <c r="L7289" s="21" t="n">
        <v>0</v>
      </c>
      <c r="M7289" s="21" t="n">
        <v>0</v>
      </c>
      <c r="N7289" s="21" t="n">
        <v>0</v>
      </c>
      <c r="O7289" s="21" t="n">
        <v>0</v>
      </c>
      <c r="P7289" s="21" t="n">
        <v>0</v>
      </c>
      <c r="Q7289" s="21" t="n">
        <v>0</v>
      </c>
      <c r="R7289" s="21" t="n">
        <v>0</v>
      </c>
      <c r="S7289" s="21" t="n">
        <v>0</v>
      </c>
      <c r="T7289" s="21" t="n">
        <v>0</v>
      </c>
      <c r="U7289" s="21" t="n">
        <v>0</v>
      </c>
      <c r="V7289" s="21">
        <f>-$B$7050</f>
        <v/>
      </c>
      <c r="W7289" s="21">
        <f>-$B$7051</f>
        <v/>
      </c>
      <c r="X7289" s="21">
        <f>$B$7050+$D$7267</f>
        <v/>
      </c>
      <c r="Y7289" s="21">
        <f>-$B$7051</f>
        <v/>
      </c>
      <c r="Z7289" s="19" t="n"/>
    </row>
    <row r="7290">
      <c r="D7290" s="21" t="n">
        <v>0</v>
      </c>
      <c r="E7290" s="21" t="n">
        <v>0</v>
      </c>
      <c r="F7290" s="21" t="n">
        <v>0</v>
      </c>
      <c r="G7290" s="21" t="n">
        <v>0</v>
      </c>
      <c r="H7290" s="21" t="n">
        <v>0</v>
      </c>
      <c r="I7290" s="21" t="n">
        <v>0</v>
      </c>
      <c r="J7290" s="21" t="n">
        <v>0</v>
      </c>
      <c r="K7290" s="21" t="n">
        <v>0</v>
      </c>
      <c r="L7290" s="21" t="n">
        <v>0</v>
      </c>
      <c r="M7290" s="21" t="n">
        <v>0</v>
      </c>
      <c r="N7290" s="21" t="n">
        <v>0</v>
      </c>
      <c r="O7290" s="21" t="n">
        <v>0</v>
      </c>
      <c r="P7290" s="21" t="n">
        <v>0</v>
      </c>
      <c r="Q7290" s="21" t="n">
        <v>0</v>
      </c>
      <c r="R7290" s="21" t="n">
        <v>0</v>
      </c>
      <c r="S7290" s="21" t="n">
        <v>0</v>
      </c>
      <c r="T7290" s="21" t="n">
        <v>0</v>
      </c>
      <c r="U7290" s="21" t="n">
        <v>0</v>
      </c>
      <c r="V7290" s="21">
        <f>$B$7051</f>
        <v/>
      </c>
      <c r="W7290" s="21">
        <f>$B$7053</f>
        <v/>
      </c>
      <c r="X7290" s="21">
        <f>-$B$7051</f>
        <v/>
      </c>
      <c r="Y7290" s="21">
        <f>$B$7052</f>
        <v/>
      </c>
      <c r="Z7290" s="19" t="n"/>
    </row>
    <row r="7292">
      <c r="A7292" s="8" t="inlineStr">
        <is>
          <t>gen 6</t>
        </is>
      </c>
    </row>
    <row r="7293">
      <c r="D7293" s="19">
        <f>IF(ABS(IF(ABS($E$7257)&gt;0.000000001,$E$7257,0.000000001))=0,0,IF($E$7065&lt;=$B$7059,0,IF(ABS(IF(ABS($E$7257)&gt;0.000000001,$E$7257,0.000000001))&gt;=8*$B$7061,$H$7065,0.5*$H$7065*(ABS(IF(ABS($E$7257)&gt;0.000000001,$E$7257,0.000000001))/$B$7061)^(1/3)))/ABS(IF(ABS($E$7257)&gt;0.000000001,$E$7257,0.000000001))*$I$7065)</f>
        <v/>
      </c>
      <c r="E7293" s="19">
        <f>0.5*$E$7257+0.5*$Z$7305</f>
        <v/>
      </c>
      <c r="F7293" s="19">
        <f>$Z$7306</f>
        <v/>
      </c>
    </row>
    <row r="7294">
      <c r="D7294" s="19">
        <f>IF(ABS(IF(ABS($E$7258)&gt;0.000000001,$E$7258,0.000000001))=0,0,IF($E$7066&lt;=$B$7059,0,IF(ABS(IF(ABS($E$7258)&gt;0.000000001,$E$7258,0.000000001))&gt;=8*$B$7061,$H$7066,0.5*$H$7066*(ABS(IF(ABS($E$7258)&gt;0.000000001,$E$7258,0.000000001))/$B$7061)^(1/3)))/ABS(IF(ABS($E$7258)&gt;0.000000001,$E$7258,0.000000001))*$I$7066)</f>
        <v/>
      </c>
      <c r="E7294" s="19">
        <f>0.5*$E$7258+0.5*$Z$7307</f>
        <v/>
      </c>
      <c r="F7294" s="19">
        <f>$Z$7308</f>
        <v/>
      </c>
    </row>
    <row r="7295">
      <c r="D7295" s="19">
        <f>IF(ABS(IF(ABS($E$7259)&gt;0.000000001,$E$7259,0.000000001))=0,0,IF($E$7067&lt;=$B$7059,0,IF(ABS(IF(ABS($E$7259)&gt;0.000000001,$E$7259,0.000000001))&gt;=8*$B$7061,$H$7067,0.5*$H$7067*(ABS(IF(ABS($E$7259)&gt;0.000000001,$E$7259,0.000000001))/$B$7061)^(1/3)))/ABS(IF(ABS($E$7259)&gt;0.000000001,$E$7259,0.000000001))*$I$7067)</f>
        <v/>
      </c>
      <c r="E7295" s="19">
        <f>0.5*$E$7259+0.5*$Z$7309</f>
        <v/>
      </c>
      <c r="F7295" s="19">
        <f>$Z$7310</f>
        <v/>
      </c>
    </row>
    <row r="7296">
      <c r="D7296" s="19">
        <f>IF(ABS(IF(ABS($E$7260)&gt;0.000000001,$E$7260,0.000000001))=0,0,IF($E$7068&lt;=$B$7059,0,IF(ABS(IF(ABS($E$7260)&gt;0.000000001,$E$7260,0.000000001))&gt;=8*$B$7061,$H$7068,0.5*$H$7068*(ABS(IF(ABS($E$7260)&gt;0.000000001,$E$7260,0.000000001))/$B$7061)^(1/3)))/ABS(IF(ABS($E$7260)&gt;0.000000001,$E$7260,0.000000001))*$I$7068)</f>
        <v/>
      </c>
      <c r="E7296" s="19">
        <f>0.5*$E$7260+0.5*$Z$7311</f>
        <v/>
      </c>
      <c r="F7296" s="19">
        <f>$Z$7312</f>
        <v/>
      </c>
    </row>
    <row r="7297">
      <c r="D7297" s="19">
        <f>IF(ABS(IF(ABS($E$7261)&gt;0.000000001,$E$7261,0.000000001))=0,0,IF($E$7069&lt;=$B$7059,0,IF(ABS(IF(ABS($E$7261)&gt;0.000000001,$E$7261,0.000000001))&gt;=8*$B$7061,$H$7069,0.5*$H$7069*(ABS(IF(ABS($E$7261)&gt;0.000000001,$E$7261,0.000000001))/$B$7061)^(1/3)))/ABS(IF(ABS($E$7261)&gt;0.000000001,$E$7261,0.000000001))*$I$7069)</f>
        <v/>
      </c>
      <c r="E7297" s="19">
        <f>0.5*$E$7261+0.5*$Z$7313</f>
        <v/>
      </c>
      <c r="F7297" s="19">
        <f>$Z$7314</f>
        <v/>
      </c>
    </row>
    <row r="7298">
      <c r="D7298" s="19">
        <f>IF(ABS(IF(ABS($E$7262)&gt;0.000000001,$E$7262,0.000000001))=0,0,IF($E$7070&lt;=$B$7059,0,IF(ABS(IF(ABS($E$7262)&gt;0.000000001,$E$7262,0.000000001))&gt;=8*$B$7061,$H$7070,0.5*$H$7070*(ABS(IF(ABS($E$7262)&gt;0.000000001,$E$7262,0.000000001))/$B$7061)^(1/3)))/ABS(IF(ABS($E$7262)&gt;0.000000001,$E$7262,0.000000001))*$I$7070)</f>
        <v/>
      </c>
      <c r="E7298" s="19">
        <f>0.5*$E$7262+0.5*$Z$7315</f>
        <v/>
      </c>
      <c r="F7298" s="19">
        <f>$Z$7316</f>
        <v/>
      </c>
    </row>
    <row r="7299">
      <c r="D7299" s="19">
        <f>IF(ABS(IF(ABS($E$7263)&gt;0.000000001,$E$7263,0.000000001))=0,0,IF($E$7071&lt;=$B$7059,0,IF(ABS(IF(ABS($E$7263)&gt;0.000000001,$E$7263,0.000000001))&gt;=8*$B$7061,$H$7071,0.5*$H$7071*(ABS(IF(ABS($E$7263)&gt;0.000000001,$E$7263,0.000000001))/$B$7061)^(1/3)))/ABS(IF(ABS($E$7263)&gt;0.000000001,$E$7263,0.000000001))*$I$7071)</f>
        <v/>
      </c>
      <c r="E7299" s="19">
        <f>0.5*$E$7263+0.5*$Z$7317</f>
        <v/>
      </c>
      <c r="F7299" s="19">
        <f>$Z$7318</f>
        <v/>
      </c>
    </row>
    <row r="7300">
      <c r="D7300" s="19">
        <f>IF(ABS(IF(ABS($E$7264)&gt;0.000000001,$E$7264,0.000000001))=0,0,IF($E$7072&lt;=$B$7059,0,IF(ABS(IF(ABS($E$7264)&gt;0.000000001,$E$7264,0.000000001))&gt;=8*$B$7061,$H$7072,0.5*$H$7072*(ABS(IF(ABS($E$7264)&gt;0.000000001,$E$7264,0.000000001))/$B$7061)^(1/3)))/ABS(IF(ABS($E$7264)&gt;0.000000001,$E$7264,0.000000001))*$I$7072)</f>
        <v/>
      </c>
      <c r="E7300" s="19">
        <f>0.5*$E$7264+0.5*$Z$7319</f>
        <v/>
      </c>
      <c r="F7300" s="19">
        <f>$Z$7320</f>
        <v/>
      </c>
    </row>
    <row r="7301">
      <c r="D7301" s="19">
        <f>IF(ABS(IF(ABS($E$7265)&gt;0.000000001,$E$7265,0.000000001))=0,0,IF($E$7073&lt;=$B$7059,0,IF(ABS(IF(ABS($E$7265)&gt;0.000000001,$E$7265,0.000000001))&gt;=8*$B$7061,$H$7073,0.5*$H$7073*(ABS(IF(ABS($E$7265)&gt;0.000000001,$E$7265,0.000000001))/$B$7061)^(1/3)))/ABS(IF(ABS($E$7265)&gt;0.000000001,$E$7265,0.000000001))*$I$7073)</f>
        <v/>
      </c>
      <c r="E7301" s="19">
        <f>0.5*$E$7265+0.5*$Z$7321</f>
        <v/>
      </c>
      <c r="F7301" s="19">
        <f>$Z$7322</f>
        <v/>
      </c>
    </row>
    <row r="7302">
      <c r="D7302" s="19">
        <f>IF(ABS(IF(ABS($E$7266)&gt;0.000000001,$E$7266,0.000000001))=0,0,IF($E$7074&lt;=$B$7059,0,IF(ABS(IF(ABS($E$7266)&gt;0.000000001,$E$7266,0.000000001))&gt;=8*$B$7061,$H$7074,0.5*$H$7074*(ABS(IF(ABS($E$7266)&gt;0.000000001,$E$7266,0.000000001))/$B$7061)^(1/3)))/ABS(IF(ABS($E$7266)&gt;0.000000001,$E$7266,0.000000001))*$I$7074)</f>
        <v/>
      </c>
      <c r="E7302" s="19">
        <f>0.5*$E$7266+0.5*$Z$7323</f>
        <v/>
      </c>
      <c r="F7302" s="19">
        <f>$Z$7324</f>
        <v/>
      </c>
    </row>
    <row r="7303">
      <c r="D7303" s="19">
        <f>IF(ABS(IF(ABS($E$7267)&gt;0.000000001,$E$7267,0.000000001))=0,0,IF($E$7075&lt;=$B$7059,0,IF(ABS(IF(ABS($E$7267)&gt;0.000000001,$E$7267,0.000000001))&gt;=8*$B$7061,$H$7075,0.5*$H$7075*(ABS(IF(ABS($E$7267)&gt;0.000000001,$E$7267,0.000000001))/$B$7061)^(1/3)))/ABS(IF(ABS($E$7267)&gt;0.000000001,$E$7267,0.000000001))*$I$7075)</f>
        <v/>
      </c>
      <c r="E7303" s="19">
        <f>0.5*$E$7267+0.5*$Z$7325</f>
        <v/>
      </c>
      <c r="F7303" s="19">
        <f>$Z$7326</f>
        <v/>
      </c>
    </row>
    <row r="7305">
      <c r="D7305" s="21">
        <f>$B$7050+$D$7293</f>
        <v/>
      </c>
      <c r="E7305" s="21">
        <f>$B$7051</f>
        <v/>
      </c>
      <c r="F7305" s="21">
        <f>-$B$7050</f>
        <v/>
      </c>
      <c r="G7305" s="21">
        <f>$B$7051</f>
        <v/>
      </c>
      <c r="H7305" s="21" t="n">
        <v>0</v>
      </c>
      <c r="I7305" s="21" t="n">
        <v>0</v>
      </c>
      <c r="J7305" s="21" t="n">
        <v>0</v>
      </c>
      <c r="K7305" s="21" t="n">
        <v>0</v>
      </c>
      <c r="L7305" s="21" t="n">
        <v>0</v>
      </c>
      <c r="M7305" s="21" t="n">
        <v>0</v>
      </c>
      <c r="N7305" s="21" t="n">
        <v>0</v>
      </c>
      <c r="O7305" s="21" t="n">
        <v>0</v>
      </c>
      <c r="P7305" s="21" t="n">
        <v>0</v>
      </c>
      <c r="Q7305" s="21" t="n">
        <v>0</v>
      </c>
      <c r="R7305" s="21" t="n">
        <v>0</v>
      </c>
      <c r="S7305" s="21" t="n">
        <v>0</v>
      </c>
      <c r="T7305" s="21" t="n">
        <v>0</v>
      </c>
      <c r="U7305" s="21" t="n">
        <v>0</v>
      </c>
      <c r="V7305" s="21" t="n">
        <v>0</v>
      </c>
      <c r="W7305" s="21" t="n">
        <v>0</v>
      </c>
      <c r="X7305" s="21" t="n">
        <v>0</v>
      </c>
      <c r="Y7305" s="21" t="n">
        <v>0</v>
      </c>
      <c r="Z7305" s="19">
        <f t="array" ref="Z7305:Z7326">MMULT(MINVERSE($D$7305:$Y$7326),$D$7077:$D$7098)</f>
        <v/>
      </c>
    </row>
    <row r="7306">
      <c r="D7306" s="21">
        <f>$B$7051</f>
        <v/>
      </c>
      <c r="E7306" s="21">
        <f>$B$7052</f>
        <v/>
      </c>
      <c r="F7306" s="21">
        <f>-$B$7051</f>
        <v/>
      </c>
      <c r="G7306" s="21">
        <f>$B$7053</f>
        <v/>
      </c>
      <c r="H7306" s="21" t="n">
        <v>0</v>
      </c>
      <c r="I7306" s="21" t="n">
        <v>0</v>
      </c>
      <c r="J7306" s="21" t="n">
        <v>0</v>
      </c>
      <c r="K7306" s="21" t="n">
        <v>0</v>
      </c>
      <c r="L7306" s="21" t="n">
        <v>0</v>
      </c>
      <c r="M7306" s="21" t="n">
        <v>0</v>
      </c>
      <c r="N7306" s="21" t="n">
        <v>0</v>
      </c>
      <c r="O7306" s="21" t="n">
        <v>0</v>
      </c>
      <c r="P7306" s="21" t="n">
        <v>0</v>
      </c>
      <c r="Q7306" s="21" t="n">
        <v>0</v>
      </c>
      <c r="R7306" s="21" t="n">
        <v>0</v>
      </c>
      <c r="S7306" s="21" t="n">
        <v>0</v>
      </c>
      <c r="T7306" s="21" t="n">
        <v>0</v>
      </c>
      <c r="U7306" s="21" t="n">
        <v>0</v>
      </c>
      <c r="V7306" s="21" t="n">
        <v>0</v>
      </c>
      <c r="W7306" s="21" t="n">
        <v>0</v>
      </c>
      <c r="X7306" s="21" t="n">
        <v>0</v>
      </c>
      <c r="Y7306" s="21" t="n">
        <v>0</v>
      </c>
      <c r="Z7306" s="19" t="n"/>
    </row>
    <row r="7307">
      <c r="D7307" s="21">
        <f>-$B$7050</f>
        <v/>
      </c>
      <c r="E7307" s="21">
        <f>-$B$7051</f>
        <v/>
      </c>
      <c r="F7307" s="21">
        <f>2*$B$7050+$D$7294</f>
        <v/>
      </c>
      <c r="G7307" s="21">
        <f>0</f>
        <v/>
      </c>
      <c r="H7307" s="21">
        <f>-$B$7050</f>
        <v/>
      </c>
      <c r="I7307" s="21">
        <f>$B$7051</f>
        <v/>
      </c>
      <c r="J7307" s="21" t="n">
        <v>0</v>
      </c>
      <c r="K7307" s="21" t="n">
        <v>0</v>
      </c>
      <c r="L7307" s="21" t="n">
        <v>0</v>
      </c>
      <c r="M7307" s="21" t="n">
        <v>0</v>
      </c>
      <c r="N7307" s="21" t="n">
        <v>0</v>
      </c>
      <c r="O7307" s="21" t="n">
        <v>0</v>
      </c>
      <c r="P7307" s="21" t="n">
        <v>0</v>
      </c>
      <c r="Q7307" s="21" t="n">
        <v>0</v>
      </c>
      <c r="R7307" s="21" t="n">
        <v>0</v>
      </c>
      <c r="S7307" s="21" t="n">
        <v>0</v>
      </c>
      <c r="T7307" s="21" t="n">
        <v>0</v>
      </c>
      <c r="U7307" s="21" t="n">
        <v>0</v>
      </c>
      <c r="V7307" s="21" t="n">
        <v>0</v>
      </c>
      <c r="W7307" s="21" t="n">
        <v>0</v>
      </c>
      <c r="X7307" s="21" t="n">
        <v>0</v>
      </c>
      <c r="Y7307" s="21" t="n">
        <v>0</v>
      </c>
      <c r="Z7307" s="19" t="n"/>
    </row>
    <row r="7308">
      <c r="D7308" s="21">
        <f>$B$7051</f>
        <v/>
      </c>
      <c r="E7308" s="21">
        <f>$B$7053</f>
        <v/>
      </c>
      <c r="F7308" s="21">
        <f>0</f>
        <v/>
      </c>
      <c r="G7308" s="21">
        <f>2*$B$7052</f>
        <v/>
      </c>
      <c r="H7308" s="21">
        <f>-$B$7051</f>
        <v/>
      </c>
      <c r="I7308" s="21">
        <f>$B$7053</f>
        <v/>
      </c>
      <c r="J7308" s="21" t="n">
        <v>0</v>
      </c>
      <c r="K7308" s="21" t="n">
        <v>0</v>
      </c>
      <c r="L7308" s="21" t="n">
        <v>0</v>
      </c>
      <c r="M7308" s="21" t="n">
        <v>0</v>
      </c>
      <c r="N7308" s="21" t="n">
        <v>0</v>
      </c>
      <c r="O7308" s="21" t="n">
        <v>0</v>
      </c>
      <c r="P7308" s="21" t="n">
        <v>0</v>
      </c>
      <c r="Q7308" s="21" t="n">
        <v>0</v>
      </c>
      <c r="R7308" s="21" t="n">
        <v>0</v>
      </c>
      <c r="S7308" s="21" t="n">
        <v>0</v>
      </c>
      <c r="T7308" s="21" t="n">
        <v>0</v>
      </c>
      <c r="U7308" s="21" t="n">
        <v>0</v>
      </c>
      <c r="V7308" s="21" t="n">
        <v>0</v>
      </c>
      <c r="W7308" s="21" t="n">
        <v>0</v>
      </c>
      <c r="X7308" s="21" t="n">
        <v>0</v>
      </c>
      <c r="Y7308" s="21" t="n">
        <v>0</v>
      </c>
      <c r="Z7308" s="19" t="n"/>
    </row>
    <row r="7309">
      <c r="D7309" s="21" t="n">
        <v>0</v>
      </c>
      <c r="E7309" s="21" t="n">
        <v>0</v>
      </c>
      <c r="F7309" s="21">
        <f>-$B$7050</f>
        <v/>
      </c>
      <c r="G7309" s="21">
        <f>-$B$7051</f>
        <v/>
      </c>
      <c r="H7309" s="21">
        <f>2*$B$7050+$D$7295</f>
        <v/>
      </c>
      <c r="I7309" s="21">
        <f>0</f>
        <v/>
      </c>
      <c r="J7309" s="21">
        <f>-$B$7050</f>
        <v/>
      </c>
      <c r="K7309" s="21">
        <f>$B$7051</f>
        <v/>
      </c>
      <c r="L7309" s="21" t="n">
        <v>0</v>
      </c>
      <c r="M7309" s="21" t="n">
        <v>0</v>
      </c>
      <c r="N7309" s="21" t="n">
        <v>0</v>
      </c>
      <c r="O7309" s="21" t="n">
        <v>0</v>
      </c>
      <c r="P7309" s="21" t="n">
        <v>0</v>
      </c>
      <c r="Q7309" s="21" t="n">
        <v>0</v>
      </c>
      <c r="R7309" s="21" t="n">
        <v>0</v>
      </c>
      <c r="S7309" s="21" t="n">
        <v>0</v>
      </c>
      <c r="T7309" s="21" t="n">
        <v>0</v>
      </c>
      <c r="U7309" s="21" t="n">
        <v>0</v>
      </c>
      <c r="V7309" s="21" t="n">
        <v>0</v>
      </c>
      <c r="W7309" s="21" t="n">
        <v>0</v>
      </c>
      <c r="X7309" s="21" t="n">
        <v>0</v>
      </c>
      <c r="Y7309" s="21" t="n">
        <v>0</v>
      </c>
      <c r="Z7309" s="19" t="n"/>
    </row>
    <row r="7310">
      <c r="D7310" s="21" t="n">
        <v>0</v>
      </c>
      <c r="E7310" s="21" t="n">
        <v>0</v>
      </c>
      <c r="F7310" s="21">
        <f>$B$7051</f>
        <v/>
      </c>
      <c r="G7310" s="21">
        <f>$B$7053</f>
        <v/>
      </c>
      <c r="H7310" s="21">
        <f>0</f>
        <v/>
      </c>
      <c r="I7310" s="21">
        <f>2*$B$7052</f>
        <v/>
      </c>
      <c r="J7310" s="21">
        <f>-$B$7051</f>
        <v/>
      </c>
      <c r="K7310" s="21">
        <f>$B$7053</f>
        <v/>
      </c>
      <c r="L7310" s="21" t="n">
        <v>0</v>
      </c>
      <c r="M7310" s="21" t="n">
        <v>0</v>
      </c>
      <c r="N7310" s="21" t="n">
        <v>0</v>
      </c>
      <c r="O7310" s="21" t="n">
        <v>0</v>
      </c>
      <c r="P7310" s="21" t="n">
        <v>0</v>
      </c>
      <c r="Q7310" s="21" t="n">
        <v>0</v>
      </c>
      <c r="R7310" s="21" t="n">
        <v>0</v>
      </c>
      <c r="S7310" s="21" t="n">
        <v>0</v>
      </c>
      <c r="T7310" s="21" t="n">
        <v>0</v>
      </c>
      <c r="U7310" s="21" t="n">
        <v>0</v>
      </c>
      <c r="V7310" s="21" t="n">
        <v>0</v>
      </c>
      <c r="W7310" s="21" t="n">
        <v>0</v>
      </c>
      <c r="X7310" s="21" t="n">
        <v>0</v>
      </c>
      <c r="Y7310" s="21" t="n">
        <v>0</v>
      </c>
      <c r="Z7310" s="19" t="n"/>
    </row>
    <row r="7311">
      <c r="D7311" s="21" t="n">
        <v>0</v>
      </c>
      <c r="E7311" s="21" t="n">
        <v>0</v>
      </c>
      <c r="F7311" s="21" t="n">
        <v>0</v>
      </c>
      <c r="G7311" s="21" t="n">
        <v>0</v>
      </c>
      <c r="H7311" s="21">
        <f>-$B$7050</f>
        <v/>
      </c>
      <c r="I7311" s="21">
        <f>-$B$7051</f>
        <v/>
      </c>
      <c r="J7311" s="21">
        <f>2*$B$7050+$D$7296</f>
        <v/>
      </c>
      <c r="K7311" s="21">
        <f>0</f>
        <v/>
      </c>
      <c r="L7311" s="21">
        <f>-$B$7050</f>
        <v/>
      </c>
      <c r="M7311" s="21">
        <f>$B$7051</f>
        <v/>
      </c>
      <c r="N7311" s="21" t="n">
        <v>0</v>
      </c>
      <c r="O7311" s="21" t="n">
        <v>0</v>
      </c>
      <c r="P7311" s="21" t="n">
        <v>0</v>
      </c>
      <c r="Q7311" s="21" t="n">
        <v>0</v>
      </c>
      <c r="R7311" s="21" t="n">
        <v>0</v>
      </c>
      <c r="S7311" s="21" t="n">
        <v>0</v>
      </c>
      <c r="T7311" s="21" t="n">
        <v>0</v>
      </c>
      <c r="U7311" s="21" t="n">
        <v>0</v>
      </c>
      <c r="V7311" s="21" t="n">
        <v>0</v>
      </c>
      <c r="W7311" s="21" t="n">
        <v>0</v>
      </c>
      <c r="X7311" s="21" t="n">
        <v>0</v>
      </c>
      <c r="Y7311" s="21" t="n">
        <v>0</v>
      </c>
      <c r="Z7311" s="19" t="n"/>
    </row>
    <row r="7312">
      <c r="D7312" s="21" t="n">
        <v>0</v>
      </c>
      <c r="E7312" s="21" t="n">
        <v>0</v>
      </c>
      <c r="F7312" s="21" t="n">
        <v>0</v>
      </c>
      <c r="G7312" s="21" t="n">
        <v>0</v>
      </c>
      <c r="H7312" s="21">
        <f>$B$7051</f>
        <v/>
      </c>
      <c r="I7312" s="21">
        <f>$B$7053</f>
        <v/>
      </c>
      <c r="J7312" s="21">
        <f>0</f>
        <v/>
      </c>
      <c r="K7312" s="21">
        <f>2*$B$7052</f>
        <v/>
      </c>
      <c r="L7312" s="21">
        <f>-$B$7051</f>
        <v/>
      </c>
      <c r="M7312" s="21">
        <f>$B$7053</f>
        <v/>
      </c>
      <c r="N7312" s="21" t="n">
        <v>0</v>
      </c>
      <c r="O7312" s="21" t="n">
        <v>0</v>
      </c>
      <c r="P7312" s="21" t="n">
        <v>0</v>
      </c>
      <c r="Q7312" s="21" t="n">
        <v>0</v>
      </c>
      <c r="R7312" s="21" t="n">
        <v>0</v>
      </c>
      <c r="S7312" s="21" t="n">
        <v>0</v>
      </c>
      <c r="T7312" s="21" t="n">
        <v>0</v>
      </c>
      <c r="U7312" s="21" t="n">
        <v>0</v>
      </c>
      <c r="V7312" s="21" t="n">
        <v>0</v>
      </c>
      <c r="W7312" s="21" t="n">
        <v>0</v>
      </c>
      <c r="X7312" s="21" t="n">
        <v>0</v>
      </c>
      <c r="Y7312" s="21" t="n">
        <v>0</v>
      </c>
      <c r="Z7312" s="19" t="n"/>
    </row>
    <row r="7313">
      <c r="D7313" s="21" t="n">
        <v>0</v>
      </c>
      <c r="E7313" s="21" t="n">
        <v>0</v>
      </c>
      <c r="F7313" s="21" t="n">
        <v>0</v>
      </c>
      <c r="G7313" s="21" t="n">
        <v>0</v>
      </c>
      <c r="H7313" s="21" t="n">
        <v>0</v>
      </c>
      <c r="I7313" s="21" t="n">
        <v>0</v>
      </c>
      <c r="J7313" s="21">
        <f>-$B$7050</f>
        <v/>
      </c>
      <c r="K7313" s="21">
        <f>-$B$7051</f>
        <v/>
      </c>
      <c r="L7313" s="21">
        <f>2*$B$7050+$D$7297</f>
        <v/>
      </c>
      <c r="M7313" s="21">
        <f>0</f>
        <v/>
      </c>
      <c r="N7313" s="21">
        <f>-$B$7050</f>
        <v/>
      </c>
      <c r="O7313" s="21">
        <f>$B$7051</f>
        <v/>
      </c>
      <c r="P7313" s="21" t="n">
        <v>0</v>
      </c>
      <c r="Q7313" s="21" t="n">
        <v>0</v>
      </c>
      <c r="R7313" s="21" t="n">
        <v>0</v>
      </c>
      <c r="S7313" s="21" t="n">
        <v>0</v>
      </c>
      <c r="T7313" s="21" t="n">
        <v>0</v>
      </c>
      <c r="U7313" s="21" t="n">
        <v>0</v>
      </c>
      <c r="V7313" s="21" t="n">
        <v>0</v>
      </c>
      <c r="W7313" s="21" t="n">
        <v>0</v>
      </c>
      <c r="X7313" s="21" t="n">
        <v>0</v>
      </c>
      <c r="Y7313" s="21" t="n">
        <v>0</v>
      </c>
      <c r="Z7313" s="19" t="n"/>
    </row>
    <row r="7314">
      <c r="D7314" s="21" t="n">
        <v>0</v>
      </c>
      <c r="E7314" s="21" t="n">
        <v>0</v>
      </c>
      <c r="F7314" s="21" t="n">
        <v>0</v>
      </c>
      <c r="G7314" s="21" t="n">
        <v>0</v>
      </c>
      <c r="H7314" s="21" t="n">
        <v>0</v>
      </c>
      <c r="I7314" s="21" t="n">
        <v>0</v>
      </c>
      <c r="J7314" s="21">
        <f>$B$7051</f>
        <v/>
      </c>
      <c r="K7314" s="21">
        <f>$B$7053</f>
        <v/>
      </c>
      <c r="L7314" s="21">
        <f>0</f>
        <v/>
      </c>
      <c r="M7314" s="21">
        <f>2*$B$7052</f>
        <v/>
      </c>
      <c r="N7314" s="21">
        <f>-$B$7051</f>
        <v/>
      </c>
      <c r="O7314" s="21">
        <f>$B$7053</f>
        <v/>
      </c>
      <c r="P7314" s="21" t="n">
        <v>0</v>
      </c>
      <c r="Q7314" s="21" t="n">
        <v>0</v>
      </c>
      <c r="R7314" s="21" t="n">
        <v>0</v>
      </c>
      <c r="S7314" s="21" t="n">
        <v>0</v>
      </c>
      <c r="T7314" s="21" t="n">
        <v>0</v>
      </c>
      <c r="U7314" s="21" t="n">
        <v>0</v>
      </c>
      <c r="V7314" s="21" t="n">
        <v>0</v>
      </c>
      <c r="W7314" s="21" t="n">
        <v>0</v>
      </c>
      <c r="X7314" s="21" t="n">
        <v>0</v>
      </c>
      <c r="Y7314" s="21" t="n">
        <v>0</v>
      </c>
      <c r="Z7314" s="19" t="n"/>
    </row>
    <row r="7315">
      <c r="D7315" s="21" t="n">
        <v>0</v>
      </c>
      <c r="E7315" s="21" t="n">
        <v>0</v>
      </c>
      <c r="F7315" s="21" t="n">
        <v>0</v>
      </c>
      <c r="G7315" s="21" t="n">
        <v>0</v>
      </c>
      <c r="H7315" s="21" t="n">
        <v>0</v>
      </c>
      <c r="I7315" s="21" t="n">
        <v>0</v>
      </c>
      <c r="J7315" s="21" t="n">
        <v>0</v>
      </c>
      <c r="K7315" s="21" t="n">
        <v>0</v>
      </c>
      <c r="L7315" s="21">
        <f>-$B$7050</f>
        <v/>
      </c>
      <c r="M7315" s="21">
        <f>-$B$7051</f>
        <v/>
      </c>
      <c r="N7315" s="21">
        <f>2*$B$7050+$D$7298</f>
        <v/>
      </c>
      <c r="O7315" s="21">
        <f>0</f>
        <v/>
      </c>
      <c r="P7315" s="21">
        <f>-$B$7050</f>
        <v/>
      </c>
      <c r="Q7315" s="21">
        <f>$B$7051</f>
        <v/>
      </c>
      <c r="R7315" s="21" t="n">
        <v>0</v>
      </c>
      <c r="S7315" s="21" t="n">
        <v>0</v>
      </c>
      <c r="T7315" s="21" t="n">
        <v>0</v>
      </c>
      <c r="U7315" s="21" t="n">
        <v>0</v>
      </c>
      <c r="V7315" s="21" t="n">
        <v>0</v>
      </c>
      <c r="W7315" s="21" t="n">
        <v>0</v>
      </c>
      <c r="X7315" s="21" t="n">
        <v>0</v>
      </c>
      <c r="Y7315" s="21" t="n">
        <v>0</v>
      </c>
      <c r="Z7315" s="19" t="n"/>
    </row>
    <row r="7316">
      <c r="D7316" s="21" t="n">
        <v>0</v>
      </c>
      <c r="E7316" s="21" t="n">
        <v>0</v>
      </c>
      <c r="F7316" s="21" t="n">
        <v>0</v>
      </c>
      <c r="G7316" s="21" t="n">
        <v>0</v>
      </c>
      <c r="H7316" s="21" t="n">
        <v>0</v>
      </c>
      <c r="I7316" s="21" t="n">
        <v>0</v>
      </c>
      <c r="J7316" s="21" t="n">
        <v>0</v>
      </c>
      <c r="K7316" s="21" t="n">
        <v>0</v>
      </c>
      <c r="L7316" s="21">
        <f>$B$7051</f>
        <v/>
      </c>
      <c r="M7316" s="21">
        <f>$B$7053</f>
        <v/>
      </c>
      <c r="N7316" s="21">
        <f>0</f>
        <v/>
      </c>
      <c r="O7316" s="21">
        <f>2*$B$7052</f>
        <v/>
      </c>
      <c r="P7316" s="21">
        <f>-$B$7051</f>
        <v/>
      </c>
      <c r="Q7316" s="21">
        <f>$B$7053</f>
        <v/>
      </c>
      <c r="R7316" s="21" t="n">
        <v>0</v>
      </c>
      <c r="S7316" s="21" t="n">
        <v>0</v>
      </c>
      <c r="T7316" s="21" t="n">
        <v>0</v>
      </c>
      <c r="U7316" s="21" t="n">
        <v>0</v>
      </c>
      <c r="V7316" s="21" t="n">
        <v>0</v>
      </c>
      <c r="W7316" s="21" t="n">
        <v>0</v>
      </c>
      <c r="X7316" s="21" t="n">
        <v>0</v>
      </c>
      <c r="Y7316" s="21" t="n">
        <v>0</v>
      </c>
      <c r="Z7316" s="19" t="n"/>
    </row>
    <row r="7317">
      <c r="D7317" s="21" t="n">
        <v>0</v>
      </c>
      <c r="E7317" s="21" t="n">
        <v>0</v>
      </c>
      <c r="F7317" s="21" t="n">
        <v>0</v>
      </c>
      <c r="G7317" s="21" t="n">
        <v>0</v>
      </c>
      <c r="H7317" s="21" t="n">
        <v>0</v>
      </c>
      <c r="I7317" s="21" t="n">
        <v>0</v>
      </c>
      <c r="J7317" s="21" t="n">
        <v>0</v>
      </c>
      <c r="K7317" s="21" t="n">
        <v>0</v>
      </c>
      <c r="L7317" s="21" t="n">
        <v>0</v>
      </c>
      <c r="M7317" s="21" t="n">
        <v>0</v>
      </c>
      <c r="N7317" s="21">
        <f>-$B$7050</f>
        <v/>
      </c>
      <c r="O7317" s="21">
        <f>-$B$7051</f>
        <v/>
      </c>
      <c r="P7317" s="21">
        <f>2*$B$7050+$D$7299</f>
        <v/>
      </c>
      <c r="Q7317" s="21">
        <f>0</f>
        <v/>
      </c>
      <c r="R7317" s="21">
        <f>-$B$7050</f>
        <v/>
      </c>
      <c r="S7317" s="21">
        <f>$B$7051</f>
        <v/>
      </c>
      <c r="T7317" s="21" t="n">
        <v>0</v>
      </c>
      <c r="U7317" s="21" t="n">
        <v>0</v>
      </c>
      <c r="V7317" s="21" t="n">
        <v>0</v>
      </c>
      <c r="W7317" s="21" t="n">
        <v>0</v>
      </c>
      <c r="X7317" s="21" t="n">
        <v>0</v>
      </c>
      <c r="Y7317" s="21" t="n">
        <v>0</v>
      </c>
      <c r="Z7317" s="19" t="n"/>
    </row>
    <row r="7318">
      <c r="D7318" s="21" t="n">
        <v>0</v>
      </c>
      <c r="E7318" s="21" t="n">
        <v>0</v>
      </c>
      <c r="F7318" s="21" t="n">
        <v>0</v>
      </c>
      <c r="G7318" s="21" t="n">
        <v>0</v>
      </c>
      <c r="H7318" s="21" t="n">
        <v>0</v>
      </c>
      <c r="I7318" s="21" t="n">
        <v>0</v>
      </c>
      <c r="J7318" s="21" t="n">
        <v>0</v>
      </c>
      <c r="K7318" s="21" t="n">
        <v>0</v>
      </c>
      <c r="L7318" s="21" t="n">
        <v>0</v>
      </c>
      <c r="M7318" s="21" t="n">
        <v>0</v>
      </c>
      <c r="N7318" s="21">
        <f>$B$7051</f>
        <v/>
      </c>
      <c r="O7318" s="21">
        <f>$B$7053</f>
        <v/>
      </c>
      <c r="P7318" s="21">
        <f>0</f>
        <v/>
      </c>
      <c r="Q7318" s="21">
        <f>2*$B$7052</f>
        <v/>
      </c>
      <c r="R7318" s="21">
        <f>-$B$7051</f>
        <v/>
      </c>
      <c r="S7318" s="21">
        <f>$B$7053</f>
        <v/>
      </c>
      <c r="T7318" s="21" t="n">
        <v>0</v>
      </c>
      <c r="U7318" s="21" t="n">
        <v>0</v>
      </c>
      <c r="V7318" s="21" t="n">
        <v>0</v>
      </c>
      <c r="W7318" s="21" t="n">
        <v>0</v>
      </c>
      <c r="X7318" s="21" t="n">
        <v>0</v>
      </c>
      <c r="Y7318" s="21" t="n">
        <v>0</v>
      </c>
      <c r="Z7318" s="19" t="n"/>
    </row>
    <row r="7319">
      <c r="D7319" s="21" t="n">
        <v>0</v>
      </c>
      <c r="E7319" s="21" t="n">
        <v>0</v>
      </c>
      <c r="F7319" s="21" t="n">
        <v>0</v>
      </c>
      <c r="G7319" s="21" t="n">
        <v>0</v>
      </c>
      <c r="H7319" s="21" t="n">
        <v>0</v>
      </c>
      <c r="I7319" s="21" t="n">
        <v>0</v>
      </c>
      <c r="J7319" s="21" t="n">
        <v>0</v>
      </c>
      <c r="K7319" s="21" t="n">
        <v>0</v>
      </c>
      <c r="L7319" s="21" t="n">
        <v>0</v>
      </c>
      <c r="M7319" s="21" t="n">
        <v>0</v>
      </c>
      <c r="N7319" s="21" t="n">
        <v>0</v>
      </c>
      <c r="O7319" s="21" t="n">
        <v>0</v>
      </c>
      <c r="P7319" s="21">
        <f>-$B$7050</f>
        <v/>
      </c>
      <c r="Q7319" s="21">
        <f>-$B$7051</f>
        <v/>
      </c>
      <c r="R7319" s="21">
        <f>2*$B$7050+$D$7300</f>
        <v/>
      </c>
      <c r="S7319" s="21">
        <f>0</f>
        <v/>
      </c>
      <c r="T7319" s="21">
        <f>-$B$7050</f>
        <v/>
      </c>
      <c r="U7319" s="21">
        <f>$B$7051</f>
        <v/>
      </c>
      <c r="V7319" s="21" t="n">
        <v>0</v>
      </c>
      <c r="W7319" s="21" t="n">
        <v>0</v>
      </c>
      <c r="X7319" s="21" t="n">
        <v>0</v>
      </c>
      <c r="Y7319" s="21" t="n">
        <v>0</v>
      </c>
      <c r="Z7319" s="19" t="n"/>
    </row>
    <row r="7320">
      <c r="D7320" s="21" t="n">
        <v>0</v>
      </c>
      <c r="E7320" s="21" t="n">
        <v>0</v>
      </c>
      <c r="F7320" s="21" t="n">
        <v>0</v>
      </c>
      <c r="G7320" s="21" t="n">
        <v>0</v>
      </c>
      <c r="H7320" s="21" t="n">
        <v>0</v>
      </c>
      <c r="I7320" s="21" t="n">
        <v>0</v>
      </c>
      <c r="J7320" s="21" t="n">
        <v>0</v>
      </c>
      <c r="K7320" s="21" t="n">
        <v>0</v>
      </c>
      <c r="L7320" s="21" t="n">
        <v>0</v>
      </c>
      <c r="M7320" s="21" t="n">
        <v>0</v>
      </c>
      <c r="N7320" s="21" t="n">
        <v>0</v>
      </c>
      <c r="O7320" s="21" t="n">
        <v>0</v>
      </c>
      <c r="P7320" s="21">
        <f>$B$7051</f>
        <v/>
      </c>
      <c r="Q7320" s="21">
        <f>$B$7053</f>
        <v/>
      </c>
      <c r="R7320" s="21">
        <f>0</f>
        <v/>
      </c>
      <c r="S7320" s="21">
        <f>2*$B$7052</f>
        <v/>
      </c>
      <c r="T7320" s="21">
        <f>-$B$7051</f>
        <v/>
      </c>
      <c r="U7320" s="21">
        <f>$B$7053</f>
        <v/>
      </c>
      <c r="V7320" s="21" t="n">
        <v>0</v>
      </c>
      <c r="W7320" s="21" t="n">
        <v>0</v>
      </c>
      <c r="X7320" s="21" t="n">
        <v>0</v>
      </c>
      <c r="Y7320" s="21" t="n">
        <v>0</v>
      </c>
      <c r="Z7320" s="19" t="n"/>
    </row>
    <row r="7321">
      <c r="D7321" s="21" t="n">
        <v>0</v>
      </c>
      <c r="E7321" s="21" t="n">
        <v>0</v>
      </c>
      <c r="F7321" s="21" t="n">
        <v>0</v>
      </c>
      <c r="G7321" s="21" t="n">
        <v>0</v>
      </c>
      <c r="H7321" s="21" t="n">
        <v>0</v>
      </c>
      <c r="I7321" s="21" t="n">
        <v>0</v>
      </c>
      <c r="J7321" s="21" t="n">
        <v>0</v>
      </c>
      <c r="K7321" s="21" t="n">
        <v>0</v>
      </c>
      <c r="L7321" s="21" t="n">
        <v>0</v>
      </c>
      <c r="M7321" s="21" t="n">
        <v>0</v>
      </c>
      <c r="N7321" s="21" t="n">
        <v>0</v>
      </c>
      <c r="O7321" s="21" t="n">
        <v>0</v>
      </c>
      <c r="P7321" s="21" t="n">
        <v>0</v>
      </c>
      <c r="Q7321" s="21" t="n">
        <v>0</v>
      </c>
      <c r="R7321" s="21">
        <f>-$B$7050</f>
        <v/>
      </c>
      <c r="S7321" s="21">
        <f>-$B$7051</f>
        <v/>
      </c>
      <c r="T7321" s="21">
        <f>2*$B$7050+$D$7301</f>
        <v/>
      </c>
      <c r="U7321" s="21">
        <f>0</f>
        <v/>
      </c>
      <c r="V7321" s="21">
        <f>-$B$7050</f>
        <v/>
      </c>
      <c r="W7321" s="21">
        <f>$B$7051</f>
        <v/>
      </c>
      <c r="X7321" s="21" t="n">
        <v>0</v>
      </c>
      <c r="Y7321" s="21" t="n">
        <v>0</v>
      </c>
      <c r="Z7321" s="19" t="n"/>
    </row>
    <row r="7322">
      <c r="D7322" s="21" t="n">
        <v>0</v>
      </c>
      <c r="E7322" s="21" t="n">
        <v>0</v>
      </c>
      <c r="F7322" s="21" t="n">
        <v>0</v>
      </c>
      <c r="G7322" s="21" t="n">
        <v>0</v>
      </c>
      <c r="H7322" s="21" t="n">
        <v>0</v>
      </c>
      <c r="I7322" s="21" t="n">
        <v>0</v>
      </c>
      <c r="J7322" s="21" t="n">
        <v>0</v>
      </c>
      <c r="K7322" s="21" t="n">
        <v>0</v>
      </c>
      <c r="L7322" s="21" t="n">
        <v>0</v>
      </c>
      <c r="M7322" s="21" t="n">
        <v>0</v>
      </c>
      <c r="N7322" s="21" t="n">
        <v>0</v>
      </c>
      <c r="O7322" s="21" t="n">
        <v>0</v>
      </c>
      <c r="P7322" s="21" t="n">
        <v>0</v>
      </c>
      <c r="Q7322" s="21" t="n">
        <v>0</v>
      </c>
      <c r="R7322" s="21">
        <f>$B$7051</f>
        <v/>
      </c>
      <c r="S7322" s="21">
        <f>$B$7053</f>
        <v/>
      </c>
      <c r="T7322" s="21">
        <f>0</f>
        <v/>
      </c>
      <c r="U7322" s="21">
        <f>2*$B$7052</f>
        <v/>
      </c>
      <c r="V7322" s="21">
        <f>-$B$7051</f>
        <v/>
      </c>
      <c r="W7322" s="21">
        <f>$B$7053</f>
        <v/>
      </c>
      <c r="X7322" s="21" t="n">
        <v>0</v>
      </c>
      <c r="Y7322" s="21" t="n">
        <v>0</v>
      </c>
      <c r="Z7322" s="19" t="n"/>
    </row>
    <row r="7323">
      <c r="D7323" s="21" t="n">
        <v>0</v>
      </c>
      <c r="E7323" s="21" t="n">
        <v>0</v>
      </c>
      <c r="F7323" s="21" t="n">
        <v>0</v>
      </c>
      <c r="G7323" s="21" t="n">
        <v>0</v>
      </c>
      <c r="H7323" s="21" t="n">
        <v>0</v>
      </c>
      <c r="I7323" s="21" t="n">
        <v>0</v>
      </c>
      <c r="J7323" s="21" t="n">
        <v>0</v>
      </c>
      <c r="K7323" s="21" t="n">
        <v>0</v>
      </c>
      <c r="L7323" s="21" t="n">
        <v>0</v>
      </c>
      <c r="M7323" s="21" t="n">
        <v>0</v>
      </c>
      <c r="N7323" s="21" t="n">
        <v>0</v>
      </c>
      <c r="O7323" s="21" t="n">
        <v>0</v>
      </c>
      <c r="P7323" s="21" t="n">
        <v>0</v>
      </c>
      <c r="Q7323" s="21" t="n">
        <v>0</v>
      </c>
      <c r="R7323" s="21" t="n">
        <v>0</v>
      </c>
      <c r="S7323" s="21" t="n">
        <v>0</v>
      </c>
      <c r="T7323" s="21">
        <f>-$B$7050</f>
        <v/>
      </c>
      <c r="U7323" s="21">
        <f>-$B$7051</f>
        <v/>
      </c>
      <c r="V7323" s="21">
        <f>2*$B$7050+$D$7302</f>
        <v/>
      </c>
      <c r="W7323" s="21">
        <f>0</f>
        <v/>
      </c>
      <c r="X7323" s="21">
        <f>-$B$7050</f>
        <v/>
      </c>
      <c r="Y7323" s="21">
        <f>$B$7051</f>
        <v/>
      </c>
      <c r="Z7323" s="19" t="n"/>
    </row>
    <row r="7324">
      <c r="D7324" s="21" t="n">
        <v>0</v>
      </c>
      <c r="E7324" s="21" t="n">
        <v>0</v>
      </c>
      <c r="F7324" s="21" t="n">
        <v>0</v>
      </c>
      <c r="G7324" s="21" t="n">
        <v>0</v>
      </c>
      <c r="H7324" s="21" t="n">
        <v>0</v>
      </c>
      <c r="I7324" s="21" t="n">
        <v>0</v>
      </c>
      <c r="J7324" s="21" t="n">
        <v>0</v>
      </c>
      <c r="K7324" s="21" t="n">
        <v>0</v>
      </c>
      <c r="L7324" s="21" t="n">
        <v>0</v>
      </c>
      <c r="M7324" s="21" t="n">
        <v>0</v>
      </c>
      <c r="N7324" s="21" t="n">
        <v>0</v>
      </c>
      <c r="O7324" s="21" t="n">
        <v>0</v>
      </c>
      <c r="P7324" s="21" t="n">
        <v>0</v>
      </c>
      <c r="Q7324" s="21" t="n">
        <v>0</v>
      </c>
      <c r="R7324" s="21" t="n">
        <v>0</v>
      </c>
      <c r="S7324" s="21" t="n">
        <v>0</v>
      </c>
      <c r="T7324" s="21">
        <f>$B$7051</f>
        <v/>
      </c>
      <c r="U7324" s="21">
        <f>$B$7053</f>
        <v/>
      </c>
      <c r="V7324" s="21">
        <f>0</f>
        <v/>
      </c>
      <c r="W7324" s="21">
        <f>2*$B$7052</f>
        <v/>
      </c>
      <c r="X7324" s="21">
        <f>-$B$7051</f>
        <v/>
      </c>
      <c r="Y7324" s="21">
        <f>$B$7053</f>
        <v/>
      </c>
      <c r="Z7324" s="19" t="n"/>
    </row>
    <row r="7325">
      <c r="D7325" s="21" t="n">
        <v>0</v>
      </c>
      <c r="E7325" s="21" t="n">
        <v>0</v>
      </c>
      <c r="F7325" s="21" t="n">
        <v>0</v>
      </c>
      <c r="G7325" s="21" t="n">
        <v>0</v>
      </c>
      <c r="H7325" s="21" t="n">
        <v>0</v>
      </c>
      <c r="I7325" s="21" t="n">
        <v>0</v>
      </c>
      <c r="J7325" s="21" t="n">
        <v>0</v>
      </c>
      <c r="K7325" s="21" t="n">
        <v>0</v>
      </c>
      <c r="L7325" s="21" t="n">
        <v>0</v>
      </c>
      <c r="M7325" s="21" t="n">
        <v>0</v>
      </c>
      <c r="N7325" s="21" t="n">
        <v>0</v>
      </c>
      <c r="O7325" s="21" t="n">
        <v>0</v>
      </c>
      <c r="P7325" s="21" t="n">
        <v>0</v>
      </c>
      <c r="Q7325" s="21" t="n">
        <v>0</v>
      </c>
      <c r="R7325" s="21" t="n">
        <v>0</v>
      </c>
      <c r="S7325" s="21" t="n">
        <v>0</v>
      </c>
      <c r="T7325" s="21" t="n">
        <v>0</v>
      </c>
      <c r="U7325" s="21" t="n">
        <v>0</v>
      </c>
      <c r="V7325" s="21">
        <f>-$B$7050</f>
        <v/>
      </c>
      <c r="W7325" s="21">
        <f>-$B$7051</f>
        <v/>
      </c>
      <c r="X7325" s="21">
        <f>$B$7050+$D$7303</f>
        <v/>
      </c>
      <c r="Y7325" s="21">
        <f>-$B$7051</f>
        <v/>
      </c>
      <c r="Z7325" s="19" t="n"/>
    </row>
    <row r="7326">
      <c r="D7326" s="21" t="n">
        <v>0</v>
      </c>
      <c r="E7326" s="21" t="n">
        <v>0</v>
      </c>
      <c r="F7326" s="21" t="n">
        <v>0</v>
      </c>
      <c r="G7326" s="21" t="n">
        <v>0</v>
      </c>
      <c r="H7326" s="21" t="n">
        <v>0</v>
      </c>
      <c r="I7326" s="21" t="n">
        <v>0</v>
      </c>
      <c r="J7326" s="21" t="n">
        <v>0</v>
      </c>
      <c r="K7326" s="21" t="n">
        <v>0</v>
      </c>
      <c r="L7326" s="21" t="n">
        <v>0</v>
      </c>
      <c r="M7326" s="21" t="n">
        <v>0</v>
      </c>
      <c r="N7326" s="21" t="n">
        <v>0</v>
      </c>
      <c r="O7326" s="21" t="n">
        <v>0</v>
      </c>
      <c r="P7326" s="21" t="n">
        <v>0</v>
      </c>
      <c r="Q7326" s="21" t="n">
        <v>0</v>
      </c>
      <c r="R7326" s="21" t="n">
        <v>0</v>
      </c>
      <c r="S7326" s="21" t="n">
        <v>0</v>
      </c>
      <c r="T7326" s="21" t="n">
        <v>0</v>
      </c>
      <c r="U7326" s="21" t="n">
        <v>0</v>
      </c>
      <c r="V7326" s="21">
        <f>$B$7051</f>
        <v/>
      </c>
      <c r="W7326" s="21">
        <f>$B$7053</f>
        <v/>
      </c>
      <c r="X7326" s="21">
        <f>-$B$7051</f>
        <v/>
      </c>
      <c r="Y7326" s="21">
        <f>$B$7052</f>
        <v/>
      </c>
      <c r="Z7326" s="19" t="n"/>
    </row>
    <row r="7328">
      <c r="A7328" s="8" t="inlineStr">
        <is>
          <t>gen 7</t>
        </is>
      </c>
    </row>
    <row r="7329">
      <c r="D7329" s="19">
        <f>IF(ABS(IF(ABS($E$7293)&gt;0.000000001,$E$7293,0.000000001))=0,0,IF($E$7065&lt;=$B$7059,0,IF(ABS(IF(ABS($E$7293)&gt;0.000000001,$E$7293,0.000000001))&gt;=8*$B$7061,$H$7065,0.5*$H$7065*(ABS(IF(ABS($E$7293)&gt;0.000000001,$E$7293,0.000000001))/$B$7061)^(1/3)))/ABS(IF(ABS($E$7293)&gt;0.000000001,$E$7293,0.000000001))*$I$7065)</f>
        <v/>
      </c>
      <c r="E7329" s="19">
        <f>0.5*$E$7293+0.5*$Z$7341</f>
        <v/>
      </c>
      <c r="F7329" s="19">
        <f>$Z$7342</f>
        <v/>
      </c>
    </row>
    <row r="7330">
      <c r="D7330" s="19">
        <f>IF(ABS(IF(ABS($E$7294)&gt;0.000000001,$E$7294,0.000000001))=0,0,IF($E$7066&lt;=$B$7059,0,IF(ABS(IF(ABS($E$7294)&gt;0.000000001,$E$7294,0.000000001))&gt;=8*$B$7061,$H$7066,0.5*$H$7066*(ABS(IF(ABS($E$7294)&gt;0.000000001,$E$7294,0.000000001))/$B$7061)^(1/3)))/ABS(IF(ABS($E$7294)&gt;0.000000001,$E$7294,0.000000001))*$I$7066)</f>
        <v/>
      </c>
      <c r="E7330" s="19">
        <f>0.5*$E$7294+0.5*$Z$7343</f>
        <v/>
      </c>
      <c r="F7330" s="19">
        <f>$Z$7344</f>
        <v/>
      </c>
    </row>
    <row r="7331">
      <c r="D7331" s="19">
        <f>IF(ABS(IF(ABS($E$7295)&gt;0.000000001,$E$7295,0.000000001))=0,0,IF($E$7067&lt;=$B$7059,0,IF(ABS(IF(ABS($E$7295)&gt;0.000000001,$E$7295,0.000000001))&gt;=8*$B$7061,$H$7067,0.5*$H$7067*(ABS(IF(ABS($E$7295)&gt;0.000000001,$E$7295,0.000000001))/$B$7061)^(1/3)))/ABS(IF(ABS($E$7295)&gt;0.000000001,$E$7295,0.000000001))*$I$7067)</f>
        <v/>
      </c>
      <c r="E7331" s="19">
        <f>0.5*$E$7295+0.5*$Z$7345</f>
        <v/>
      </c>
      <c r="F7331" s="19">
        <f>$Z$7346</f>
        <v/>
      </c>
    </row>
    <row r="7332">
      <c r="D7332" s="19">
        <f>IF(ABS(IF(ABS($E$7296)&gt;0.000000001,$E$7296,0.000000001))=0,0,IF($E$7068&lt;=$B$7059,0,IF(ABS(IF(ABS($E$7296)&gt;0.000000001,$E$7296,0.000000001))&gt;=8*$B$7061,$H$7068,0.5*$H$7068*(ABS(IF(ABS($E$7296)&gt;0.000000001,$E$7296,0.000000001))/$B$7061)^(1/3)))/ABS(IF(ABS($E$7296)&gt;0.000000001,$E$7296,0.000000001))*$I$7068)</f>
        <v/>
      </c>
      <c r="E7332" s="19">
        <f>0.5*$E$7296+0.5*$Z$7347</f>
        <v/>
      </c>
      <c r="F7332" s="19">
        <f>$Z$7348</f>
        <v/>
      </c>
    </row>
    <row r="7333">
      <c r="D7333" s="19">
        <f>IF(ABS(IF(ABS($E$7297)&gt;0.000000001,$E$7297,0.000000001))=0,0,IF($E$7069&lt;=$B$7059,0,IF(ABS(IF(ABS($E$7297)&gt;0.000000001,$E$7297,0.000000001))&gt;=8*$B$7061,$H$7069,0.5*$H$7069*(ABS(IF(ABS($E$7297)&gt;0.000000001,$E$7297,0.000000001))/$B$7061)^(1/3)))/ABS(IF(ABS($E$7297)&gt;0.000000001,$E$7297,0.000000001))*$I$7069)</f>
        <v/>
      </c>
      <c r="E7333" s="19">
        <f>0.5*$E$7297+0.5*$Z$7349</f>
        <v/>
      </c>
      <c r="F7333" s="19">
        <f>$Z$7350</f>
        <v/>
      </c>
    </row>
    <row r="7334">
      <c r="D7334" s="19">
        <f>IF(ABS(IF(ABS($E$7298)&gt;0.000000001,$E$7298,0.000000001))=0,0,IF($E$7070&lt;=$B$7059,0,IF(ABS(IF(ABS($E$7298)&gt;0.000000001,$E$7298,0.000000001))&gt;=8*$B$7061,$H$7070,0.5*$H$7070*(ABS(IF(ABS($E$7298)&gt;0.000000001,$E$7298,0.000000001))/$B$7061)^(1/3)))/ABS(IF(ABS($E$7298)&gt;0.000000001,$E$7298,0.000000001))*$I$7070)</f>
        <v/>
      </c>
      <c r="E7334" s="19">
        <f>0.5*$E$7298+0.5*$Z$7351</f>
        <v/>
      </c>
      <c r="F7334" s="19">
        <f>$Z$7352</f>
        <v/>
      </c>
    </row>
    <row r="7335">
      <c r="D7335" s="19">
        <f>IF(ABS(IF(ABS($E$7299)&gt;0.000000001,$E$7299,0.000000001))=0,0,IF($E$7071&lt;=$B$7059,0,IF(ABS(IF(ABS($E$7299)&gt;0.000000001,$E$7299,0.000000001))&gt;=8*$B$7061,$H$7071,0.5*$H$7071*(ABS(IF(ABS($E$7299)&gt;0.000000001,$E$7299,0.000000001))/$B$7061)^(1/3)))/ABS(IF(ABS($E$7299)&gt;0.000000001,$E$7299,0.000000001))*$I$7071)</f>
        <v/>
      </c>
      <c r="E7335" s="19">
        <f>0.5*$E$7299+0.5*$Z$7353</f>
        <v/>
      </c>
      <c r="F7335" s="19">
        <f>$Z$7354</f>
        <v/>
      </c>
    </row>
    <row r="7336">
      <c r="D7336" s="19">
        <f>IF(ABS(IF(ABS($E$7300)&gt;0.000000001,$E$7300,0.000000001))=0,0,IF($E$7072&lt;=$B$7059,0,IF(ABS(IF(ABS($E$7300)&gt;0.000000001,$E$7300,0.000000001))&gt;=8*$B$7061,$H$7072,0.5*$H$7072*(ABS(IF(ABS($E$7300)&gt;0.000000001,$E$7300,0.000000001))/$B$7061)^(1/3)))/ABS(IF(ABS($E$7300)&gt;0.000000001,$E$7300,0.000000001))*$I$7072)</f>
        <v/>
      </c>
      <c r="E7336" s="19">
        <f>0.5*$E$7300+0.5*$Z$7355</f>
        <v/>
      </c>
      <c r="F7336" s="19">
        <f>$Z$7356</f>
        <v/>
      </c>
    </row>
    <row r="7337">
      <c r="D7337" s="19">
        <f>IF(ABS(IF(ABS($E$7301)&gt;0.000000001,$E$7301,0.000000001))=0,0,IF($E$7073&lt;=$B$7059,0,IF(ABS(IF(ABS($E$7301)&gt;0.000000001,$E$7301,0.000000001))&gt;=8*$B$7061,$H$7073,0.5*$H$7073*(ABS(IF(ABS($E$7301)&gt;0.000000001,$E$7301,0.000000001))/$B$7061)^(1/3)))/ABS(IF(ABS($E$7301)&gt;0.000000001,$E$7301,0.000000001))*$I$7073)</f>
        <v/>
      </c>
      <c r="E7337" s="19">
        <f>0.5*$E$7301+0.5*$Z$7357</f>
        <v/>
      </c>
      <c r="F7337" s="19">
        <f>$Z$7358</f>
        <v/>
      </c>
    </row>
    <row r="7338">
      <c r="D7338" s="19">
        <f>IF(ABS(IF(ABS($E$7302)&gt;0.000000001,$E$7302,0.000000001))=0,0,IF($E$7074&lt;=$B$7059,0,IF(ABS(IF(ABS($E$7302)&gt;0.000000001,$E$7302,0.000000001))&gt;=8*$B$7061,$H$7074,0.5*$H$7074*(ABS(IF(ABS($E$7302)&gt;0.000000001,$E$7302,0.000000001))/$B$7061)^(1/3)))/ABS(IF(ABS($E$7302)&gt;0.000000001,$E$7302,0.000000001))*$I$7074)</f>
        <v/>
      </c>
      <c r="E7338" s="19">
        <f>0.5*$E$7302+0.5*$Z$7359</f>
        <v/>
      </c>
      <c r="F7338" s="19">
        <f>$Z$7360</f>
        <v/>
      </c>
    </row>
    <row r="7339">
      <c r="D7339" s="19">
        <f>IF(ABS(IF(ABS($E$7303)&gt;0.000000001,$E$7303,0.000000001))=0,0,IF($E$7075&lt;=$B$7059,0,IF(ABS(IF(ABS($E$7303)&gt;0.000000001,$E$7303,0.000000001))&gt;=8*$B$7061,$H$7075,0.5*$H$7075*(ABS(IF(ABS($E$7303)&gt;0.000000001,$E$7303,0.000000001))/$B$7061)^(1/3)))/ABS(IF(ABS($E$7303)&gt;0.000000001,$E$7303,0.000000001))*$I$7075)</f>
        <v/>
      </c>
      <c r="E7339" s="19">
        <f>0.5*$E$7303+0.5*$Z$7361</f>
        <v/>
      </c>
      <c r="F7339" s="19">
        <f>$Z$7362</f>
        <v/>
      </c>
    </row>
    <row r="7341">
      <c r="D7341" s="21">
        <f>$B$7050+$D$7329</f>
        <v/>
      </c>
      <c r="E7341" s="21">
        <f>$B$7051</f>
        <v/>
      </c>
      <c r="F7341" s="21">
        <f>-$B$7050</f>
        <v/>
      </c>
      <c r="G7341" s="21">
        <f>$B$7051</f>
        <v/>
      </c>
      <c r="H7341" s="21" t="n">
        <v>0</v>
      </c>
      <c r="I7341" s="21" t="n">
        <v>0</v>
      </c>
      <c r="J7341" s="21" t="n">
        <v>0</v>
      </c>
      <c r="K7341" s="21" t="n">
        <v>0</v>
      </c>
      <c r="L7341" s="21" t="n">
        <v>0</v>
      </c>
      <c r="M7341" s="21" t="n">
        <v>0</v>
      </c>
      <c r="N7341" s="21" t="n">
        <v>0</v>
      </c>
      <c r="O7341" s="21" t="n">
        <v>0</v>
      </c>
      <c r="P7341" s="21" t="n">
        <v>0</v>
      </c>
      <c r="Q7341" s="21" t="n">
        <v>0</v>
      </c>
      <c r="R7341" s="21" t="n">
        <v>0</v>
      </c>
      <c r="S7341" s="21" t="n">
        <v>0</v>
      </c>
      <c r="T7341" s="21" t="n">
        <v>0</v>
      </c>
      <c r="U7341" s="21" t="n">
        <v>0</v>
      </c>
      <c r="V7341" s="21" t="n">
        <v>0</v>
      </c>
      <c r="W7341" s="21" t="n">
        <v>0</v>
      </c>
      <c r="X7341" s="21" t="n">
        <v>0</v>
      </c>
      <c r="Y7341" s="21" t="n">
        <v>0</v>
      </c>
      <c r="Z7341" s="19">
        <f t="array" ref="Z7341:Z7362">MMULT(MINVERSE($D$7341:$Y$7362),$D$7077:$D$7098)</f>
        <v/>
      </c>
    </row>
    <row r="7342">
      <c r="D7342" s="21">
        <f>$B$7051</f>
        <v/>
      </c>
      <c r="E7342" s="21">
        <f>$B$7052</f>
        <v/>
      </c>
      <c r="F7342" s="21">
        <f>-$B$7051</f>
        <v/>
      </c>
      <c r="G7342" s="21">
        <f>$B$7053</f>
        <v/>
      </c>
      <c r="H7342" s="21" t="n">
        <v>0</v>
      </c>
      <c r="I7342" s="21" t="n">
        <v>0</v>
      </c>
      <c r="J7342" s="21" t="n">
        <v>0</v>
      </c>
      <c r="K7342" s="21" t="n">
        <v>0</v>
      </c>
      <c r="L7342" s="21" t="n">
        <v>0</v>
      </c>
      <c r="M7342" s="21" t="n">
        <v>0</v>
      </c>
      <c r="N7342" s="21" t="n">
        <v>0</v>
      </c>
      <c r="O7342" s="21" t="n">
        <v>0</v>
      </c>
      <c r="P7342" s="21" t="n">
        <v>0</v>
      </c>
      <c r="Q7342" s="21" t="n">
        <v>0</v>
      </c>
      <c r="R7342" s="21" t="n">
        <v>0</v>
      </c>
      <c r="S7342" s="21" t="n">
        <v>0</v>
      </c>
      <c r="T7342" s="21" t="n">
        <v>0</v>
      </c>
      <c r="U7342" s="21" t="n">
        <v>0</v>
      </c>
      <c r="V7342" s="21" t="n">
        <v>0</v>
      </c>
      <c r="W7342" s="21" t="n">
        <v>0</v>
      </c>
      <c r="X7342" s="21" t="n">
        <v>0</v>
      </c>
      <c r="Y7342" s="21" t="n">
        <v>0</v>
      </c>
      <c r="Z7342" s="19" t="n"/>
    </row>
    <row r="7343">
      <c r="D7343" s="21">
        <f>-$B$7050</f>
        <v/>
      </c>
      <c r="E7343" s="21">
        <f>-$B$7051</f>
        <v/>
      </c>
      <c r="F7343" s="21">
        <f>2*$B$7050+$D$7330</f>
        <v/>
      </c>
      <c r="G7343" s="21">
        <f>0</f>
        <v/>
      </c>
      <c r="H7343" s="21">
        <f>-$B$7050</f>
        <v/>
      </c>
      <c r="I7343" s="21">
        <f>$B$7051</f>
        <v/>
      </c>
      <c r="J7343" s="21" t="n">
        <v>0</v>
      </c>
      <c r="K7343" s="21" t="n">
        <v>0</v>
      </c>
      <c r="L7343" s="21" t="n">
        <v>0</v>
      </c>
      <c r="M7343" s="21" t="n">
        <v>0</v>
      </c>
      <c r="N7343" s="21" t="n">
        <v>0</v>
      </c>
      <c r="O7343" s="21" t="n">
        <v>0</v>
      </c>
      <c r="P7343" s="21" t="n">
        <v>0</v>
      </c>
      <c r="Q7343" s="21" t="n">
        <v>0</v>
      </c>
      <c r="R7343" s="21" t="n">
        <v>0</v>
      </c>
      <c r="S7343" s="21" t="n">
        <v>0</v>
      </c>
      <c r="T7343" s="21" t="n">
        <v>0</v>
      </c>
      <c r="U7343" s="21" t="n">
        <v>0</v>
      </c>
      <c r="V7343" s="21" t="n">
        <v>0</v>
      </c>
      <c r="W7343" s="21" t="n">
        <v>0</v>
      </c>
      <c r="X7343" s="21" t="n">
        <v>0</v>
      </c>
      <c r="Y7343" s="21" t="n">
        <v>0</v>
      </c>
      <c r="Z7343" s="19" t="n"/>
    </row>
    <row r="7344">
      <c r="D7344" s="21">
        <f>$B$7051</f>
        <v/>
      </c>
      <c r="E7344" s="21">
        <f>$B$7053</f>
        <v/>
      </c>
      <c r="F7344" s="21">
        <f>0</f>
        <v/>
      </c>
      <c r="G7344" s="21">
        <f>2*$B$7052</f>
        <v/>
      </c>
      <c r="H7344" s="21">
        <f>-$B$7051</f>
        <v/>
      </c>
      <c r="I7344" s="21">
        <f>$B$7053</f>
        <v/>
      </c>
      <c r="J7344" s="21" t="n">
        <v>0</v>
      </c>
      <c r="K7344" s="21" t="n">
        <v>0</v>
      </c>
      <c r="L7344" s="21" t="n">
        <v>0</v>
      </c>
      <c r="M7344" s="21" t="n">
        <v>0</v>
      </c>
      <c r="N7344" s="21" t="n">
        <v>0</v>
      </c>
      <c r="O7344" s="21" t="n">
        <v>0</v>
      </c>
      <c r="P7344" s="21" t="n">
        <v>0</v>
      </c>
      <c r="Q7344" s="21" t="n">
        <v>0</v>
      </c>
      <c r="R7344" s="21" t="n">
        <v>0</v>
      </c>
      <c r="S7344" s="21" t="n">
        <v>0</v>
      </c>
      <c r="T7344" s="21" t="n">
        <v>0</v>
      </c>
      <c r="U7344" s="21" t="n">
        <v>0</v>
      </c>
      <c r="V7344" s="21" t="n">
        <v>0</v>
      </c>
      <c r="W7344" s="21" t="n">
        <v>0</v>
      </c>
      <c r="X7344" s="21" t="n">
        <v>0</v>
      </c>
      <c r="Y7344" s="21" t="n">
        <v>0</v>
      </c>
      <c r="Z7344" s="19" t="n"/>
    </row>
    <row r="7345">
      <c r="D7345" s="21" t="n">
        <v>0</v>
      </c>
      <c r="E7345" s="21" t="n">
        <v>0</v>
      </c>
      <c r="F7345" s="21">
        <f>-$B$7050</f>
        <v/>
      </c>
      <c r="G7345" s="21">
        <f>-$B$7051</f>
        <v/>
      </c>
      <c r="H7345" s="21">
        <f>2*$B$7050+$D$7331</f>
        <v/>
      </c>
      <c r="I7345" s="21">
        <f>0</f>
        <v/>
      </c>
      <c r="J7345" s="21">
        <f>-$B$7050</f>
        <v/>
      </c>
      <c r="K7345" s="21">
        <f>$B$7051</f>
        <v/>
      </c>
      <c r="L7345" s="21" t="n">
        <v>0</v>
      </c>
      <c r="M7345" s="21" t="n">
        <v>0</v>
      </c>
      <c r="N7345" s="21" t="n">
        <v>0</v>
      </c>
      <c r="O7345" s="21" t="n">
        <v>0</v>
      </c>
      <c r="P7345" s="21" t="n">
        <v>0</v>
      </c>
      <c r="Q7345" s="21" t="n">
        <v>0</v>
      </c>
      <c r="R7345" s="21" t="n">
        <v>0</v>
      </c>
      <c r="S7345" s="21" t="n">
        <v>0</v>
      </c>
      <c r="T7345" s="21" t="n">
        <v>0</v>
      </c>
      <c r="U7345" s="21" t="n">
        <v>0</v>
      </c>
      <c r="V7345" s="21" t="n">
        <v>0</v>
      </c>
      <c r="W7345" s="21" t="n">
        <v>0</v>
      </c>
      <c r="X7345" s="21" t="n">
        <v>0</v>
      </c>
      <c r="Y7345" s="21" t="n">
        <v>0</v>
      </c>
      <c r="Z7345" s="19" t="n"/>
    </row>
    <row r="7346">
      <c r="D7346" s="21" t="n">
        <v>0</v>
      </c>
      <c r="E7346" s="21" t="n">
        <v>0</v>
      </c>
      <c r="F7346" s="21">
        <f>$B$7051</f>
        <v/>
      </c>
      <c r="G7346" s="21">
        <f>$B$7053</f>
        <v/>
      </c>
      <c r="H7346" s="21">
        <f>0</f>
        <v/>
      </c>
      <c r="I7346" s="21">
        <f>2*$B$7052</f>
        <v/>
      </c>
      <c r="J7346" s="21">
        <f>-$B$7051</f>
        <v/>
      </c>
      <c r="K7346" s="21">
        <f>$B$7053</f>
        <v/>
      </c>
      <c r="L7346" s="21" t="n">
        <v>0</v>
      </c>
      <c r="M7346" s="21" t="n">
        <v>0</v>
      </c>
      <c r="N7346" s="21" t="n">
        <v>0</v>
      </c>
      <c r="O7346" s="21" t="n">
        <v>0</v>
      </c>
      <c r="P7346" s="21" t="n">
        <v>0</v>
      </c>
      <c r="Q7346" s="21" t="n">
        <v>0</v>
      </c>
      <c r="R7346" s="21" t="n">
        <v>0</v>
      </c>
      <c r="S7346" s="21" t="n">
        <v>0</v>
      </c>
      <c r="T7346" s="21" t="n">
        <v>0</v>
      </c>
      <c r="U7346" s="21" t="n">
        <v>0</v>
      </c>
      <c r="V7346" s="21" t="n">
        <v>0</v>
      </c>
      <c r="W7346" s="21" t="n">
        <v>0</v>
      </c>
      <c r="X7346" s="21" t="n">
        <v>0</v>
      </c>
      <c r="Y7346" s="21" t="n">
        <v>0</v>
      </c>
      <c r="Z7346" s="19" t="n"/>
    </row>
    <row r="7347">
      <c r="D7347" s="21" t="n">
        <v>0</v>
      </c>
      <c r="E7347" s="21" t="n">
        <v>0</v>
      </c>
      <c r="F7347" s="21" t="n">
        <v>0</v>
      </c>
      <c r="G7347" s="21" t="n">
        <v>0</v>
      </c>
      <c r="H7347" s="21">
        <f>-$B$7050</f>
        <v/>
      </c>
      <c r="I7347" s="21">
        <f>-$B$7051</f>
        <v/>
      </c>
      <c r="J7347" s="21">
        <f>2*$B$7050+$D$7332</f>
        <v/>
      </c>
      <c r="K7347" s="21">
        <f>0</f>
        <v/>
      </c>
      <c r="L7347" s="21">
        <f>-$B$7050</f>
        <v/>
      </c>
      <c r="M7347" s="21">
        <f>$B$7051</f>
        <v/>
      </c>
      <c r="N7347" s="21" t="n">
        <v>0</v>
      </c>
      <c r="O7347" s="21" t="n">
        <v>0</v>
      </c>
      <c r="P7347" s="21" t="n">
        <v>0</v>
      </c>
      <c r="Q7347" s="21" t="n">
        <v>0</v>
      </c>
      <c r="R7347" s="21" t="n">
        <v>0</v>
      </c>
      <c r="S7347" s="21" t="n">
        <v>0</v>
      </c>
      <c r="T7347" s="21" t="n">
        <v>0</v>
      </c>
      <c r="U7347" s="21" t="n">
        <v>0</v>
      </c>
      <c r="V7347" s="21" t="n">
        <v>0</v>
      </c>
      <c r="W7347" s="21" t="n">
        <v>0</v>
      </c>
      <c r="X7347" s="21" t="n">
        <v>0</v>
      </c>
      <c r="Y7347" s="21" t="n">
        <v>0</v>
      </c>
      <c r="Z7347" s="19" t="n"/>
    </row>
    <row r="7348">
      <c r="D7348" s="21" t="n">
        <v>0</v>
      </c>
      <c r="E7348" s="21" t="n">
        <v>0</v>
      </c>
      <c r="F7348" s="21" t="n">
        <v>0</v>
      </c>
      <c r="G7348" s="21" t="n">
        <v>0</v>
      </c>
      <c r="H7348" s="21">
        <f>$B$7051</f>
        <v/>
      </c>
      <c r="I7348" s="21">
        <f>$B$7053</f>
        <v/>
      </c>
      <c r="J7348" s="21">
        <f>0</f>
        <v/>
      </c>
      <c r="K7348" s="21">
        <f>2*$B$7052</f>
        <v/>
      </c>
      <c r="L7348" s="21">
        <f>-$B$7051</f>
        <v/>
      </c>
      <c r="M7348" s="21">
        <f>$B$7053</f>
        <v/>
      </c>
      <c r="N7348" s="21" t="n">
        <v>0</v>
      </c>
      <c r="O7348" s="21" t="n">
        <v>0</v>
      </c>
      <c r="P7348" s="21" t="n">
        <v>0</v>
      </c>
      <c r="Q7348" s="21" t="n">
        <v>0</v>
      </c>
      <c r="R7348" s="21" t="n">
        <v>0</v>
      </c>
      <c r="S7348" s="21" t="n">
        <v>0</v>
      </c>
      <c r="T7348" s="21" t="n">
        <v>0</v>
      </c>
      <c r="U7348" s="21" t="n">
        <v>0</v>
      </c>
      <c r="V7348" s="21" t="n">
        <v>0</v>
      </c>
      <c r="W7348" s="21" t="n">
        <v>0</v>
      </c>
      <c r="X7348" s="21" t="n">
        <v>0</v>
      </c>
      <c r="Y7348" s="21" t="n">
        <v>0</v>
      </c>
      <c r="Z7348" s="19" t="n"/>
    </row>
    <row r="7349">
      <c r="D7349" s="21" t="n">
        <v>0</v>
      </c>
      <c r="E7349" s="21" t="n">
        <v>0</v>
      </c>
      <c r="F7349" s="21" t="n">
        <v>0</v>
      </c>
      <c r="G7349" s="21" t="n">
        <v>0</v>
      </c>
      <c r="H7349" s="21" t="n">
        <v>0</v>
      </c>
      <c r="I7349" s="21" t="n">
        <v>0</v>
      </c>
      <c r="J7349" s="21">
        <f>-$B$7050</f>
        <v/>
      </c>
      <c r="K7349" s="21">
        <f>-$B$7051</f>
        <v/>
      </c>
      <c r="L7349" s="21">
        <f>2*$B$7050+$D$7333</f>
        <v/>
      </c>
      <c r="M7349" s="21">
        <f>0</f>
        <v/>
      </c>
      <c r="N7349" s="21">
        <f>-$B$7050</f>
        <v/>
      </c>
      <c r="O7349" s="21">
        <f>$B$7051</f>
        <v/>
      </c>
      <c r="P7349" s="21" t="n">
        <v>0</v>
      </c>
      <c r="Q7349" s="21" t="n">
        <v>0</v>
      </c>
      <c r="R7349" s="21" t="n">
        <v>0</v>
      </c>
      <c r="S7349" s="21" t="n">
        <v>0</v>
      </c>
      <c r="T7349" s="21" t="n">
        <v>0</v>
      </c>
      <c r="U7349" s="21" t="n">
        <v>0</v>
      </c>
      <c r="V7349" s="21" t="n">
        <v>0</v>
      </c>
      <c r="W7349" s="21" t="n">
        <v>0</v>
      </c>
      <c r="X7349" s="21" t="n">
        <v>0</v>
      </c>
      <c r="Y7349" s="21" t="n">
        <v>0</v>
      </c>
      <c r="Z7349" s="19" t="n"/>
    </row>
    <row r="7350">
      <c r="D7350" s="21" t="n">
        <v>0</v>
      </c>
      <c r="E7350" s="21" t="n">
        <v>0</v>
      </c>
      <c r="F7350" s="21" t="n">
        <v>0</v>
      </c>
      <c r="G7350" s="21" t="n">
        <v>0</v>
      </c>
      <c r="H7350" s="21" t="n">
        <v>0</v>
      </c>
      <c r="I7350" s="21" t="n">
        <v>0</v>
      </c>
      <c r="J7350" s="21">
        <f>$B$7051</f>
        <v/>
      </c>
      <c r="K7350" s="21">
        <f>$B$7053</f>
        <v/>
      </c>
      <c r="L7350" s="21">
        <f>0</f>
        <v/>
      </c>
      <c r="M7350" s="21">
        <f>2*$B$7052</f>
        <v/>
      </c>
      <c r="N7350" s="21">
        <f>-$B$7051</f>
        <v/>
      </c>
      <c r="O7350" s="21">
        <f>$B$7053</f>
        <v/>
      </c>
      <c r="P7350" s="21" t="n">
        <v>0</v>
      </c>
      <c r="Q7350" s="21" t="n">
        <v>0</v>
      </c>
      <c r="R7350" s="21" t="n">
        <v>0</v>
      </c>
      <c r="S7350" s="21" t="n">
        <v>0</v>
      </c>
      <c r="T7350" s="21" t="n">
        <v>0</v>
      </c>
      <c r="U7350" s="21" t="n">
        <v>0</v>
      </c>
      <c r="V7350" s="21" t="n">
        <v>0</v>
      </c>
      <c r="W7350" s="21" t="n">
        <v>0</v>
      </c>
      <c r="X7350" s="21" t="n">
        <v>0</v>
      </c>
      <c r="Y7350" s="21" t="n">
        <v>0</v>
      </c>
      <c r="Z7350" s="19" t="n"/>
    </row>
    <row r="7351">
      <c r="D7351" s="21" t="n">
        <v>0</v>
      </c>
      <c r="E7351" s="21" t="n">
        <v>0</v>
      </c>
      <c r="F7351" s="21" t="n">
        <v>0</v>
      </c>
      <c r="G7351" s="21" t="n">
        <v>0</v>
      </c>
      <c r="H7351" s="21" t="n">
        <v>0</v>
      </c>
      <c r="I7351" s="21" t="n">
        <v>0</v>
      </c>
      <c r="J7351" s="21" t="n">
        <v>0</v>
      </c>
      <c r="K7351" s="21" t="n">
        <v>0</v>
      </c>
      <c r="L7351" s="21">
        <f>-$B$7050</f>
        <v/>
      </c>
      <c r="M7351" s="21">
        <f>-$B$7051</f>
        <v/>
      </c>
      <c r="N7351" s="21">
        <f>2*$B$7050+$D$7334</f>
        <v/>
      </c>
      <c r="O7351" s="21">
        <f>0</f>
        <v/>
      </c>
      <c r="P7351" s="21">
        <f>-$B$7050</f>
        <v/>
      </c>
      <c r="Q7351" s="21">
        <f>$B$7051</f>
        <v/>
      </c>
      <c r="R7351" s="21" t="n">
        <v>0</v>
      </c>
      <c r="S7351" s="21" t="n">
        <v>0</v>
      </c>
      <c r="T7351" s="21" t="n">
        <v>0</v>
      </c>
      <c r="U7351" s="21" t="n">
        <v>0</v>
      </c>
      <c r="V7351" s="21" t="n">
        <v>0</v>
      </c>
      <c r="W7351" s="21" t="n">
        <v>0</v>
      </c>
      <c r="X7351" s="21" t="n">
        <v>0</v>
      </c>
      <c r="Y7351" s="21" t="n">
        <v>0</v>
      </c>
      <c r="Z7351" s="19" t="n"/>
    </row>
    <row r="7352">
      <c r="D7352" s="21" t="n">
        <v>0</v>
      </c>
      <c r="E7352" s="21" t="n">
        <v>0</v>
      </c>
      <c r="F7352" s="21" t="n">
        <v>0</v>
      </c>
      <c r="G7352" s="21" t="n">
        <v>0</v>
      </c>
      <c r="H7352" s="21" t="n">
        <v>0</v>
      </c>
      <c r="I7352" s="21" t="n">
        <v>0</v>
      </c>
      <c r="J7352" s="21" t="n">
        <v>0</v>
      </c>
      <c r="K7352" s="21" t="n">
        <v>0</v>
      </c>
      <c r="L7352" s="21">
        <f>$B$7051</f>
        <v/>
      </c>
      <c r="M7352" s="21">
        <f>$B$7053</f>
        <v/>
      </c>
      <c r="N7352" s="21">
        <f>0</f>
        <v/>
      </c>
      <c r="O7352" s="21">
        <f>2*$B$7052</f>
        <v/>
      </c>
      <c r="P7352" s="21">
        <f>-$B$7051</f>
        <v/>
      </c>
      <c r="Q7352" s="21">
        <f>$B$7053</f>
        <v/>
      </c>
      <c r="R7352" s="21" t="n">
        <v>0</v>
      </c>
      <c r="S7352" s="21" t="n">
        <v>0</v>
      </c>
      <c r="T7352" s="21" t="n">
        <v>0</v>
      </c>
      <c r="U7352" s="21" t="n">
        <v>0</v>
      </c>
      <c r="V7352" s="21" t="n">
        <v>0</v>
      </c>
      <c r="W7352" s="21" t="n">
        <v>0</v>
      </c>
      <c r="X7352" s="21" t="n">
        <v>0</v>
      </c>
      <c r="Y7352" s="21" t="n">
        <v>0</v>
      </c>
      <c r="Z7352" s="19" t="n"/>
    </row>
    <row r="7353">
      <c r="D7353" s="21" t="n">
        <v>0</v>
      </c>
      <c r="E7353" s="21" t="n">
        <v>0</v>
      </c>
      <c r="F7353" s="21" t="n">
        <v>0</v>
      </c>
      <c r="G7353" s="21" t="n">
        <v>0</v>
      </c>
      <c r="H7353" s="21" t="n">
        <v>0</v>
      </c>
      <c r="I7353" s="21" t="n">
        <v>0</v>
      </c>
      <c r="J7353" s="21" t="n">
        <v>0</v>
      </c>
      <c r="K7353" s="21" t="n">
        <v>0</v>
      </c>
      <c r="L7353" s="21" t="n">
        <v>0</v>
      </c>
      <c r="M7353" s="21" t="n">
        <v>0</v>
      </c>
      <c r="N7353" s="21">
        <f>-$B$7050</f>
        <v/>
      </c>
      <c r="O7353" s="21">
        <f>-$B$7051</f>
        <v/>
      </c>
      <c r="P7353" s="21">
        <f>2*$B$7050+$D$7335</f>
        <v/>
      </c>
      <c r="Q7353" s="21">
        <f>0</f>
        <v/>
      </c>
      <c r="R7353" s="21">
        <f>-$B$7050</f>
        <v/>
      </c>
      <c r="S7353" s="21">
        <f>$B$7051</f>
        <v/>
      </c>
      <c r="T7353" s="21" t="n">
        <v>0</v>
      </c>
      <c r="U7353" s="21" t="n">
        <v>0</v>
      </c>
      <c r="V7353" s="21" t="n">
        <v>0</v>
      </c>
      <c r="W7353" s="21" t="n">
        <v>0</v>
      </c>
      <c r="X7353" s="21" t="n">
        <v>0</v>
      </c>
      <c r="Y7353" s="21" t="n">
        <v>0</v>
      </c>
      <c r="Z7353" s="19" t="n"/>
    </row>
    <row r="7354">
      <c r="D7354" s="21" t="n">
        <v>0</v>
      </c>
      <c r="E7354" s="21" t="n">
        <v>0</v>
      </c>
      <c r="F7354" s="21" t="n">
        <v>0</v>
      </c>
      <c r="G7354" s="21" t="n">
        <v>0</v>
      </c>
      <c r="H7354" s="21" t="n">
        <v>0</v>
      </c>
      <c r="I7354" s="21" t="n">
        <v>0</v>
      </c>
      <c r="J7354" s="21" t="n">
        <v>0</v>
      </c>
      <c r="K7354" s="21" t="n">
        <v>0</v>
      </c>
      <c r="L7354" s="21" t="n">
        <v>0</v>
      </c>
      <c r="M7354" s="21" t="n">
        <v>0</v>
      </c>
      <c r="N7354" s="21">
        <f>$B$7051</f>
        <v/>
      </c>
      <c r="O7354" s="21">
        <f>$B$7053</f>
        <v/>
      </c>
      <c r="P7354" s="21">
        <f>0</f>
        <v/>
      </c>
      <c r="Q7354" s="21">
        <f>2*$B$7052</f>
        <v/>
      </c>
      <c r="R7354" s="21">
        <f>-$B$7051</f>
        <v/>
      </c>
      <c r="S7354" s="21">
        <f>$B$7053</f>
        <v/>
      </c>
      <c r="T7354" s="21" t="n">
        <v>0</v>
      </c>
      <c r="U7354" s="21" t="n">
        <v>0</v>
      </c>
      <c r="V7354" s="21" t="n">
        <v>0</v>
      </c>
      <c r="W7354" s="21" t="n">
        <v>0</v>
      </c>
      <c r="X7354" s="21" t="n">
        <v>0</v>
      </c>
      <c r="Y7354" s="21" t="n">
        <v>0</v>
      </c>
      <c r="Z7354" s="19" t="n"/>
    </row>
    <row r="7355">
      <c r="D7355" s="21" t="n">
        <v>0</v>
      </c>
      <c r="E7355" s="21" t="n">
        <v>0</v>
      </c>
      <c r="F7355" s="21" t="n">
        <v>0</v>
      </c>
      <c r="G7355" s="21" t="n">
        <v>0</v>
      </c>
      <c r="H7355" s="21" t="n">
        <v>0</v>
      </c>
      <c r="I7355" s="21" t="n">
        <v>0</v>
      </c>
      <c r="J7355" s="21" t="n">
        <v>0</v>
      </c>
      <c r="K7355" s="21" t="n">
        <v>0</v>
      </c>
      <c r="L7355" s="21" t="n">
        <v>0</v>
      </c>
      <c r="M7355" s="21" t="n">
        <v>0</v>
      </c>
      <c r="N7355" s="21" t="n">
        <v>0</v>
      </c>
      <c r="O7355" s="21" t="n">
        <v>0</v>
      </c>
      <c r="P7355" s="21">
        <f>-$B$7050</f>
        <v/>
      </c>
      <c r="Q7355" s="21">
        <f>-$B$7051</f>
        <v/>
      </c>
      <c r="R7355" s="21">
        <f>2*$B$7050+$D$7336</f>
        <v/>
      </c>
      <c r="S7355" s="21">
        <f>0</f>
        <v/>
      </c>
      <c r="T7355" s="21">
        <f>-$B$7050</f>
        <v/>
      </c>
      <c r="U7355" s="21">
        <f>$B$7051</f>
        <v/>
      </c>
      <c r="V7355" s="21" t="n">
        <v>0</v>
      </c>
      <c r="W7355" s="21" t="n">
        <v>0</v>
      </c>
      <c r="X7355" s="21" t="n">
        <v>0</v>
      </c>
      <c r="Y7355" s="21" t="n">
        <v>0</v>
      </c>
      <c r="Z7355" s="19" t="n"/>
    </row>
    <row r="7356">
      <c r="D7356" s="21" t="n">
        <v>0</v>
      </c>
      <c r="E7356" s="21" t="n">
        <v>0</v>
      </c>
      <c r="F7356" s="21" t="n">
        <v>0</v>
      </c>
      <c r="G7356" s="21" t="n">
        <v>0</v>
      </c>
      <c r="H7356" s="21" t="n">
        <v>0</v>
      </c>
      <c r="I7356" s="21" t="n">
        <v>0</v>
      </c>
      <c r="J7356" s="21" t="n">
        <v>0</v>
      </c>
      <c r="K7356" s="21" t="n">
        <v>0</v>
      </c>
      <c r="L7356" s="21" t="n">
        <v>0</v>
      </c>
      <c r="M7356" s="21" t="n">
        <v>0</v>
      </c>
      <c r="N7356" s="21" t="n">
        <v>0</v>
      </c>
      <c r="O7356" s="21" t="n">
        <v>0</v>
      </c>
      <c r="P7356" s="21">
        <f>$B$7051</f>
        <v/>
      </c>
      <c r="Q7356" s="21">
        <f>$B$7053</f>
        <v/>
      </c>
      <c r="R7356" s="21">
        <f>0</f>
        <v/>
      </c>
      <c r="S7356" s="21">
        <f>2*$B$7052</f>
        <v/>
      </c>
      <c r="T7356" s="21">
        <f>-$B$7051</f>
        <v/>
      </c>
      <c r="U7356" s="21">
        <f>$B$7053</f>
        <v/>
      </c>
      <c r="V7356" s="21" t="n">
        <v>0</v>
      </c>
      <c r="W7356" s="21" t="n">
        <v>0</v>
      </c>
      <c r="X7356" s="21" t="n">
        <v>0</v>
      </c>
      <c r="Y7356" s="21" t="n">
        <v>0</v>
      </c>
      <c r="Z7356" s="19" t="n"/>
    </row>
    <row r="7357">
      <c r="D7357" s="21" t="n">
        <v>0</v>
      </c>
      <c r="E7357" s="21" t="n">
        <v>0</v>
      </c>
      <c r="F7357" s="21" t="n">
        <v>0</v>
      </c>
      <c r="G7357" s="21" t="n">
        <v>0</v>
      </c>
      <c r="H7357" s="21" t="n">
        <v>0</v>
      </c>
      <c r="I7357" s="21" t="n">
        <v>0</v>
      </c>
      <c r="J7357" s="21" t="n">
        <v>0</v>
      </c>
      <c r="K7357" s="21" t="n">
        <v>0</v>
      </c>
      <c r="L7357" s="21" t="n">
        <v>0</v>
      </c>
      <c r="M7357" s="21" t="n">
        <v>0</v>
      </c>
      <c r="N7357" s="21" t="n">
        <v>0</v>
      </c>
      <c r="O7357" s="21" t="n">
        <v>0</v>
      </c>
      <c r="P7357" s="21" t="n">
        <v>0</v>
      </c>
      <c r="Q7357" s="21" t="n">
        <v>0</v>
      </c>
      <c r="R7357" s="21">
        <f>-$B$7050</f>
        <v/>
      </c>
      <c r="S7357" s="21">
        <f>-$B$7051</f>
        <v/>
      </c>
      <c r="T7357" s="21">
        <f>2*$B$7050+$D$7337</f>
        <v/>
      </c>
      <c r="U7357" s="21">
        <f>0</f>
        <v/>
      </c>
      <c r="V7357" s="21">
        <f>-$B$7050</f>
        <v/>
      </c>
      <c r="W7357" s="21">
        <f>$B$7051</f>
        <v/>
      </c>
      <c r="X7357" s="21" t="n">
        <v>0</v>
      </c>
      <c r="Y7357" s="21" t="n">
        <v>0</v>
      </c>
      <c r="Z7357" s="19" t="n"/>
    </row>
    <row r="7358">
      <c r="D7358" s="21" t="n">
        <v>0</v>
      </c>
      <c r="E7358" s="21" t="n">
        <v>0</v>
      </c>
      <c r="F7358" s="21" t="n">
        <v>0</v>
      </c>
      <c r="G7358" s="21" t="n">
        <v>0</v>
      </c>
      <c r="H7358" s="21" t="n">
        <v>0</v>
      </c>
      <c r="I7358" s="21" t="n">
        <v>0</v>
      </c>
      <c r="J7358" s="21" t="n">
        <v>0</v>
      </c>
      <c r="K7358" s="21" t="n">
        <v>0</v>
      </c>
      <c r="L7358" s="21" t="n">
        <v>0</v>
      </c>
      <c r="M7358" s="21" t="n">
        <v>0</v>
      </c>
      <c r="N7358" s="21" t="n">
        <v>0</v>
      </c>
      <c r="O7358" s="21" t="n">
        <v>0</v>
      </c>
      <c r="P7358" s="21" t="n">
        <v>0</v>
      </c>
      <c r="Q7358" s="21" t="n">
        <v>0</v>
      </c>
      <c r="R7358" s="21">
        <f>$B$7051</f>
        <v/>
      </c>
      <c r="S7358" s="21">
        <f>$B$7053</f>
        <v/>
      </c>
      <c r="T7358" s="21">
        <f>0</f>
        <v/>
      </c>
      <c r="U7358" s="21">
        <f>2*$B$7052</f>
        <v/>
      </c>
      <c r="V7358" s="21">
        <f>-$B$7051</f>
        <v/>
      </c>
      <c r="W7358" s="21">
        <f>$B$7053</f>
        <v/>
      </c>
      <c r="X7358" s="21" t="n">
        <v>0</v>
      </c>
      <c r="Y7358" s="21" t="n">
        <v>0</v>
      </c>
      <c r="Z7358" s="19" t="n"/>
    </row>
    <row r="7359">
      <c r="D7359" s="21" t="n">
        <v>0</v>
      </c>
      <c r="E7359" s="21" t="n">
        <v>0</v>
      </c>
      <c r="F7359" s="21" t="n">
        <v>0</v>
      </c>
      <c r="G7359" s="21" t="n">
        <v>0</v>
      </c>
      <c r="H7359" s="21" t="n">
        <v>0</v>
      </c>
      <c r="I7359" s="21" t="n">
        <v>0</v>
      </c>
      <c r="J7359" s="21" t="n">
        <v>0</v>
      </c>
      <c r="K7359" s="21" t="n">
        <v>0</v>
      </c>
      <c r="L7359" s="21" t="n">
        <v>0</v>
      </c>
      <c r="M7359" s="21" t="n">
        <v>0</v>
      </c>
      <c r="N7359" s="21" t="n">
        <v>0</v>
      </c>
      <c r="O7359" s="21" t="n">
        <v>0</v>
      </c>
      <c r="P7359" s="21" t="n">
        <v>0</v>
      </c>
      <c r="Q7359" s="21" t="n">
        <v>0</v>
      </c>
      <c r="R7359" s="21" t="n">
        <v>0</v>
      </c>
      <c r="S7359" s="21" t="n">
        <v>0</v>
      </c>
      <c r="T7359" s="21">
        <f>-$B$7050</f>
        <v/>
      </c>
      <c r="U7359" s="21">
        <f>-$B$7051</f>
        <v/>
      </c>
      <c r="V7359" s="21">
        <f>2*$B$7050+$D$7338</f>
        <v/>
      </c>
      <c r="W7359" s="21">
        <f>0</f>
        <v/>
      </c>
      <c r="X7359" s="21">
        <f>-$B$7050</f>
        <v/>
      </c>
      <c r="Y7359" s="21">
        <f>$B$7051</f>
        <v/>
      </c>
      <c r="Z7359" s="19" t="n"/>
    </row>
    <row r="7360">
      <c r="D7360" s="21" t="n">
        <v>0</v>
      </c>
      <c r="E7360" s="21" t="n">
        <v>0</v>
      </c>
      <c r="F7360" s="21" t="n">
        <v>0</v>
      </c>
      <c r="G7360" s="21" t="n">
        <v>0</v>
      </c>
      <c r="H7360" s="21" t="n">
        <v>0</v>
      </c>
      <c r="I7360" s="21" t="n">
        <v>0</v>
      </c>
      <c r="J7360" s="21" t="n">
        <v>0</v>
      </c>
      <c r="K7360" s="21" t="n">
        <v>0</v>
      </c>
      <c r="L7360" s="21" t="n">
        <v>0</v>
      </c>
      <c r="M7360" s="21" t="n">
        <v>0</v>
      </c>
      <c r="N7360" s="21" t="n">
        <v>0</v>
      </c>
      <c r="O7360" s="21" t="n">
        <v>0</v>
      </c>
      <c r="P7360" s="21" t="n">
        <v>0</v>
      </c>
      <c r="Q7360" s="21" t="n">
        <v>0</v>
      </c>
      <c r="R7360" s="21" t="n">
        <v>0</v>
      </c>
      <c r="S7360" s="21" t="n">
        <v>0</v>
      </c>
      <c r="T7360" s="21">
        <f>$B$7051</f>
        <v/>
      </c>
      <c r="U7360" s="21">
        <f>$B$7053</f>
        <v/>
      </c>
      <c r="V7360" s="21">
        <f>0</f>
        <v/>
      </c>
      <c r="W7360" s="21">
        <f>2*$B$7052</f>
        <v/>
      </c>
      <c r="X7360" s="21">
        <f>-$B$7051</f>
        <v/>
      </c>
      <c r="Y7360" s="21">
        <f>$B$7053</f>
        <v/>
      </c>
      <c r="Z7360" s="19" t="n"/>
    </row>
    <row r="7361">
      <c r="D7361" s="21" t="n">
        <v>0</v>
      </c>
      <c r="E7361" s="21" t="n">
        <v>0</v>
      </c>
      <c r="F7361" s="21" t="n">
        <v>0</v>
      </c>
      <c r="G7361" s="21" t="n">
        <v>0</v>
      </c>
      <c r="H7361" s="21" t="n">
        <v>0</v>
      </c>
      <c r="I7361" s="21" t="n">
        <v>0</v>
      </c>
      <c r="J7361" s="21" t="n">
        <v>0</v>
      </c>
      <c r="K7361" s="21" t="n">
        <v>0</v>
      </c>
      <c r="L7361" s="21" t="n">
        <v>0</v>
      </c>
      <c r="M7361" s="21" t="n">
        <v>0</v>
      </c>
      <c r="N7361" s="21" t="n">
        <v>0</v>
      </c>
      <c r="O7361" s="21" t="n">
        <v>0</v>
      </c>
      <c r="P7361" s="21" t="n">
        <v>0</v>
      </c>
      <c r="Q7361" s="21" t="n">
        <v>0</v>
      </c>
      <c r="R7361" s="21" t="n">
        <v>0</v>
      </c>
      <c r="S7361" s="21" t="n">
        <v>0</v>
      </c>
      <c r="T7361" s="21" t="n">
        <v>0</v>
      </c>
      <c r="U7361" s="21" t="n">
        <v>0</v>
      </c>
      <c r="V7361" s="21">
        <f>-$B$7050</f>
        <v/>
      </c>
      <c r="W7361" s="21">
        <f>-$B$7051</f>
        <v/>
      </c>
      <c r="X7361" s="21">
        <f>$B$7050+$D$7339</f>
        <v/>
      </c>
      <c r="Y7361" s="21">
        <f>-$B$7051</f>
        <v/>
      </c>
      <c r="Z7361" s="19" t="n"/>
    </row>
    <row r="7362">
      <c r="D7362" s="21" t="n">
        <v>0</v>
      </c>
      <c r="E7362" s="21" t="n">
        <v>0</v>
      </c>
      <c r="F7362" s="21" t="n">
        <v>0</v>
      </c>
      <c r="G7362" s="21" t="n">
        <v>0</v>
      </c>
      <c r="H7362" s="21" t="n">
        <v>0</v>
      </c>
      <c r="I7362" s="21" t="n">
        <v>0</v>
      </c>
      <c r="J7362" s="21" t="n">
        <v>0</v>
      </c>
      <c r="K7362" s="21" t="n">
        <v>0</v>
      </c>
      <c r="L7362" s="21" t="n">
        <v>0</v>
      </c>
      <c r="M7362" s="21" t="n">
        <v>0</v>
      </c>
      <c r="N7362" s="21" t="n">
        <v>0</v>
      </c>
      <c r="O7362" s="21" t="n">
        <v>0</v>
      </c>
      <c r="P7362" s="21" t="n">
        <v>0</v>
      </c>
      <c r="Q7362" s="21" t="n">
        <v>0</v>
      </c>
      <c r="R7362" s="21" t="n">
        <v>0</v>
      </c>
      <c r="S7362" s="21" t="n">
        <v>0</v>
      </c>
      <c r="T7362" s="21" t="n">
        <v>0</v>
      </c>
      <c r="U7362" s="21" t="n">
        <v>0</v>
      </c>
      <c r="V7362" s="21">
        <f>$B$7051</f>
        <v/>
      </c>
      <c r="W7362" s="21">
        <f>$B$7053</f>
        <v/>
      </c>
      <c r="X7362" s="21">
        <f>-$B$7051</f>
        <v/>
      </c>
      <c r="Y7362" s="21">
        <f>$B$7052</f>
        <v/>
      </c>
      <c r="Z7362" s="19" t="n"/>
    </row>
    <row r="7364">
      <c r="A7364" s="8" t="inlineStr">
        <is>
          <t>gen 8</t>
        </is>
      </c>
    </row>
    <row r="7365">
      <c r="D7365" s="19">
        <f>IF(ABS(IF(ABS($E$7329)&gt;0.000000001,$E$7329,0.000000001))=0,0,IF($E$7065&lt;=$B$7059,0,IF(ABS(IF(ABS($E$7329)&gt;0.000000001,$E$7329,0.000000001))&gt;=8*$B$7061,$H$7065,0.5*$H$7065*(ABS(IF(ABS($E$7329)&gt;0.000000001,$E$7329,0.000000001))/$B$7061)^(1/3)))/ABS(IF(ABS($E$7329)&gt;0.000000001,$E$7329,0.000000001))*$I$7065)</f>
        <v/>
      </c>
      <c r="E7365" s="19">
        <f>0.5*$E$7329+0.5*$Z$7377</f>
        <v/>
      </c>
      <c r="F7365" s="19">
        <f>$Z$7378</f>
        <v/>
      </c>
    </row>
    <row r="7366">
      <c r="D7366" s="19">
        <f>IF(ABS(IF(ABS($E$7330)&gt;0.000000001,$E$7330,0.000000001))=0,0,IF($E$7066&lt;=$B$7059,0,IF(ABS(IF(ABS($E$7330)&gt;0.000000001,$E$7330,0.000000001))&gt;=8*$B$7061,$H$7066,0.5*$H$7066*(ABS(IF(ABS($E$7330)&gt;0.000000001,$E$7330,0.000000001))/$B$7061)^(1/3)))/ABS(IF(ABS($E$7330)&gt;0.000000001,$E$7330,0.000000001))*$I$7066)</f>
        <v/>
      </c>
      <c r="E7366" s="19">
        <f>0.5*$E$7330+0.5*$Z$7379</f>
        <v/>
      </c>
      <c r="F7366" s="19">
        <f>$Z$7380</f>
        <v/>
      </c>
    </row>
    <row r="7367">
      <c r="D7367" s="19">
        <f>IF(ABS(IF(ABS($E$7331)&gt;0.000000001,$E$7331,0.000000001))=0,0,IF($E$7067&lt;=$B$7059,0,IF(ABS(IF(ABS($E$7331)&gt;0.000000001,$E$7331,0.000000001))&gt;=8*$B$7061,$H$7067,0.5*$H$7067*(ABS(IF(ABS($E$7331)&gt;0.000000001,$E$7331,0.000000001))/$B$7061)^(1/3)))/ABS(IF(ABS($E$7331)&gt;0.000000001,$E$7331,0.000000001))*$I$7067)</f>
        <v/>
      </c>
      <c r="E7367" s="19">
        <f>0.5*$E$7331+0.5*$Z$7381</f>
        <v/>
      </c>
      <c r="F7367" s="19">
        <f>$Z$7382</f>
        <v/>
      </c>
    </row>
    <row r="7368">
      <c r="D7368" s="19">
        <f>IF(ABS(IF(ABS($E$7332)&gt;0.000000001,$E$7332,0.000000001))=0,0,IF($E$7068&lt;=$B$7059,0,IF(ABS(IF(ABS($E$7332)&gt;0.000000001,$E$7332,0.000000001))&gt;=8*$B$7061,$H$7068,0.5*$H$7068*(ABS(IF(ABS($E$7332)&gt;0.000000001,$E$7332,0.000000001))/$B$7061)^(1/3)))/ABS(IF(ABS($E$7332)&gt;0.000000001,$E$7332,0.000000001))*$I$7068)</f>
        <v/>
      </c>
      <c r="E7368" s="19">
        <f>0.5*$E$7332+0.5*$Z$7383</f>
        <v/>
      </c>
      <c r="F7368" s="19">
        <f>$Z$7384</f>
        <v/>
      </c>
    </row>
    <row r="7369">
      <c r="D7369" s="19">
        <f>IF(ABS(IF(ABS($E$7333)&gt;0.000000001,$E$7333,0.000000001))=0,0,IF($E$7069&lt;=$B$7059,0,IF(ABS(IF(ABS($E$7333)&gt;0.000000001,$E$7333,0.000000001))&gt;=8*$B$7061,$H$7069,0.5*$H$7069*(ABS(IF(ABS($E$7333)&gt;0.000000001,$E$7333,0.000000001))/$B$7061)^(1/3)))/ABS(IF(ABS($E$7333)&gt;0.000000001,$E$7333,0.000000001))*$I$7069)</f>
        <v/>
      </c>
      <c r="E7369" s="19">
        <f>0.5*$E$7333+0.5*$Z$7385</f>
        <v/>
      </c>
      <c r="F7369" s="19">
        <f>$Z$7386</f>
        <v/>
      </c>
    </row>
    <row r="7370">
      <c r="D7370" s="19">
        <f>IF(ABS(IF(ABS($E$7334)&gt;0.000000001,$E$7334,0.000000001))=0,0,IF($E$7070&lt;=$B$7059,0,IF(ABS(IF(ABS($E$7334)&gt;0.000000001,$E$7334,0.000000001))&gt;=8*$B$7061,$H$7070,0.5*$H$7070*(ABS(IF(ABS($E$7334)&gt;0.000000001,$E$7334,0.000000001))/$B$7061)^(1/3)))/ABS(IF(ABS($E$7334)&gt;0.000000001,$E$7334,0.000000001))*$I$7070)</f>
        <v/>
      </c>
      <c r="E7370" s="19">
        <f>0.5*$E$7334+0.5*$Z$7387</f>
        <v/>
      </c>
      <c r="F7370" s="19">
        <f>$Z$7388</f>
        <v/>
      </c>
    </row>
    <row r="7371">
      <c r="D7371" s="19">
        <f>IF(ABS(IF(ABS($E$7335)&gt;0.000000001,$E$7335,0.000000001))=0,0,IF($E$7071&lt;=$B$7059,0,IF(ABS(IF(ABS($E$7335)&gt;0.000000001,$E$7335,0.000000001))&gt;=8*$B$7061,$H$7071,0.5*$H$7071*(ABS(IF(ABS($E$7335)&gt;0.000000001,$E$7335,0.000000001))/$B$7061)^(1/3)))/ABS(IF(ABS($E$7335)&gt;0.000000001,$E$7335,0.000000001))*$I$7071)</f>
        <v/>
      </c>
      <c r="E7371" s="19">
        <f>0.5*$E$7335+0.5*$Z$7389</f>
        <v/>
      </c>
      <c r="F7371" s="19">
        <f>$Z$7390</f>
        <v/>
      </c>
    </row>
    <row r="7372">
      <c r="D7372" s="19">
        <f>IF(ABS(IF(ABS($E$7336)&gt;0.000000001,$E$7336,0.000000001))=0,0,IF($E$7072&lt;=$B$7059,0,IF(ABS(IF(ABS($E$7336)&gt;0.000000001,$E$7336,0.000000001))&gt;=8*$B$7061,$H$7072,0.5*$H$7072*(ABS(IF(ABS($E$7336)&gt;0.000000001,$E$7336,0.000000001))/$B$7061)^(1/3)))/ABS(IF(ABS($E$7336)&gt;0.000000001,$E$7336,0.000000001))*$I$7072)</f>
        <v/>
      </c>
      <c r="E7372" s="19">
        <f>0.5*$E$7336+0.5*$Z$7391</f>
        <v/>
      </c>
      <c r="F7372" s="19">
        <f>$Z$7392</f>
        <v/>
      </c>
    </row>
    <row r="7373">
      <c r="D7373" s="19">
        <f>IF(ABS(IF(ABS($E$7337)&gt;0.000000001,$E$7337,0.000000001))=0,0,IF($E$7073&lt;=$B$7059,0,IF(ABS(IF(ABS($E$7337)&gt;0.000000001,$E$7337,0.000000001))&gt;=8*$B$7061,$H$7073,0.5*$H$7073*(ABS(IF(ABS($E$7337)&gt;0.000000001,$E$7337,0.000000001))/$B$7061)^(1/3)))/ABS(IF(ABS($E$7337)&gt;0.000000001,$E$7337,0.000000001))*$I$7073)</f>
        <v/>
      </c>
      <c r="E7373" s="19">
        <f>0.5*$E$7337+0.5*$Z$7393</f>
        <v/>
      </c>
      <c r="F7373" s="19">
        <f>$Z$7394</f>
        <v/>
      </c>
    </row>
    <row r="7374">
      <c r="D7374" s="19">
        <f>IF(ABS(IF(ABS($E$7338)&gt;0.000000001,$E$7338,0.000000001))=0,0,IF($E$7074&lt;=$B$7059,0,IF(ABS(IF(ABS($E$7338)&gt;0.000000001,$E$7338,0.000000001))&gt;=8*$B$7061,$H$7074,0.5*$H$7074*(ABS(IF(ABS($E$7338)&gt;0.000000001,$E$7338,0.000000001))/$B$7061)^(1/3)))/ABS(IF(ABS($E$7338)&gt;0.000000001,$E$7338,0.000000001))*$I$7074)</f>
        <v/>
      </c>
      <c r="E7374" s="19">
        <f>0.5*$E$7338+0.5*$Z$7395</f>
        <v/>
      </c>
      <c r="F7374" s="19">
        <f>$Z$7396</f>
        <v/>
      </c>
    </row>
    <row r="7375">
      <c r="D7375" s="19">
        <f>IF(ABS(IF(ABS($E$7339)&gt;0.000000001,$E$7339,0.000000001))=0,0,IF($E$7075&lt;=$B$7059,0,IF(ABS(IF(ABS($E$7339)&gt;0.000000001,$E$7339,0.000000001))&gt;=8*$B$7061,$H$7075,0.5*$H$7075*(ABS(IF(ABS($E$7339)&gt;0.000000001,$E$7339,0.000000001))/$B$7061)^(1/3)))/ABS(IF(ABS($E$7339)&gt;0.000000001,$E$7339,0.000000001))*$I$7075)</f>
        <v/>
      </c>
      <c r="E7375" s="19">
        <f>0.5*$E$7339+0.5*$Z$7397</f>
        <v/>
      </c>
      <c r="F7375" s="19">
        <f>$Z$7398</f>
        <v/>
      </c>
    </row>
    <row r="7377">
      <c r="D7377" s="21">
        <f>$B$7050+$D$7365</f>
        <v/>
      </c>
      <c r="E7377" s="21">
        <f>$B$7051</f>
        <v/>
      </c>
      <c r="F7377" s="21">
        <f>-$B$7050</f>
        <v/>
      </c>
      <c r="G7377" s="21">
        <f>$B$7051</f>
        <v/>
      </c>
      <c r="H7377" s="21" t="n">
        <v>0</v>
      </c>
      <c r="I7377" s="21" t="n">
        <v>0</v>
      </c>
      <c r="J7377" s="21" t="n">
        <v>0</v>
      </c>
      <c r="K7377" s="21" t="n">
        <v>0</v>
      </c>
      <c r="L7377" s="21" t="n">
        <v>0</v>
      </c>
      <c r="M7377" s="21" t="n">
        <v>0</v>
      </c>
      <c r="N7377" s="21" t="n">
        <v>0</v>
      </c>
      <c r="O7377" s="21" t="n">
        <v>0</v>
      </c>
      <c r="P7377" s="21" t="n">
        <v>0</v>
      </c>
      <c r="Q7377" s="21" t="n">
        <v>0</v>
      </c>
      <c r="R7377" s="21" t="n">
        <v>0</v>
      </c>
      <c r="S7377" s="21" t="n">
        <v>0</v>
      </c>
      <c r="T7377" s="21" t="n">
        <v>0</v>
      </c>
      <c r="U7377" s="21" t="n">
        <v>0</v>
      </c>
      <c r="V7377" s="21" t="n">
        <v>0</v>
      </c>
      <c r="W7377" s="21" t="n">
        <v>0</v>
      </c>
      <c r="X7377" s="21" t="n">
        <v>0</v>
      </c>
      <c r="Y7377" s="21" t="n">
        <v>0</v>
      </c>
      <c r="Z7377" s="19">
        <f t="array" ref="Z7377:Z7398">MMULT(MINVERSE($D$7377:$Y$7398),$D$7077:$D$7098)</f>
        <v/>
      </c>
    </row>
    <row r="7378">
      <c r="D7378" s="21">
        <f>$B$7051</f>
        <v/>
      </c>
      <c r="E7378" s="21">
        <f>$B$7052</f>
        <v/>
      </c>
      <c r="F7378" s="21">
        <f>-$B$7051</f>
        <v/>
      </c>
      <c r="G7378" s="21">
        <f>$B$7053</f>
        <v/>
      </c>
      <c r="H7378" s="21" t="n">
        <v>0</v>
      </c>
      <c r="I7378" s="21" t="n">
        <v>0</v>
      </c>
      <c r="J7378" s="21" t="n">
        <v>0</v>
      </c>
      <c r="K7378" s="21" t="n">
        <v>0</v>
      </c>
      <c r="L7378" s="21" t="n">
        <v>0</v>
      </c>
      <c r="M7378" s="21" t="n">
        <v>0</v>
      </c>
      <c r="N7378" s="21" t="n">
        <v>0</v>
      </c>
      <c r="O7378" s="21" t="n">
        <v>0</v>
      </c>
      <c r="P7378" s="21" t="n">
        <v>0</v>
      </c>
      <c r="Q7378" s="21" t="n">
        <v>0</v>
      </c>
      <c r="R7378" s="21" t="n">
        <v>0</v>
      </c>
      <c r="S7378" s="21" t="n">
        <v>0</v>
      </c>
      <c r="T7378" s="21" t="n">
        <v>0</v>
      </c>
      <c r="U7378" s="21" t="n">
        <v>0</v>
      </c>
      <c r="V7378" s="21" t="n">
        <v>0</v>
      </c>
      <c r="W7378" s="21" t="n">
        <v>0</v>
      </c>
      <c r="X7378" s="21" t="n">
        <v>0</v>
      </c>
      <c r="Y7378" s="21" t="n">
        <v>0</v>
      </c>
      <c r="Z7378" s="19" t="n"/>
    </row>
    <row r="7379">
      <c r="D7379" s="21">
        <f>-$B$7050</f>
        <v/>
      </c>
      <c r="E7379" s="21">
        <f>-$B$7051</f>
        <v/>
      </c>
      <c r="F7379" s="21">
        <f>2*$B$7050+$D$7366</f>
        <v/>
      </c>
      <c r="G7379" s="21">
        <f>0</f>
        <v/>
      </c>
      <c r="H7379" s="21">
        <f>-$B$7050</f>
        <v/>
      </c>
      <c r="I7379" s="21">
        <f>$B$7051</f>
        <v/>
      </c>
      <c r="J7379" s="21" t="n">
        <v>0</v>
      </c>
      <c r="K7379" s="21" t="n">
        <v>0</v>
      </c>
      <c r="L7379" s="21" t="n">
        <v>0</v>
      </c>
      <c r="M7379" s="21" t="n">
        <v>0</v>
      </c>
      <c r="N7379" s="21" t="n">
        <v>0</v>
      </c>
      <c r="O7379" s="21" t="n">
        <v>0</v>
      </c>
      <c r="P7379" s="21" t="n">
        <v>0</v>
      </c>
      <c r="Q7379" s="21" t="n">
        <v>0</v>
      </c>
      <c r="R7379" s="21" t="n">
        <v>0</v>
      </c>
      <c r="S7379" s="21" t="n">
        <v>0</v>
      </c>
      <c r="T7379" s="21" t="n">
        <v>0</v>
      </c>
      <c r="U7379" s="21" t="n">
        <v>0</v>
      </c>
      <c r="V7379" s="21" t="n">
        <v>0</v>
      </c>
      <c r="W7379" s="21" t="n">
        <v>0</v>
      </c>
      <c r="X7379" s="21" t="n">
        <v>0</v>
      </c>
      <c r="Y7379" s="21" t="n">
        <v>0</v>
      </c>
      <c r="Z7379" s="19" t="n"/>
    </row>
    <row r="7380">
      <c r="D7380" s="21">
        <f>$B$7051</f>
        <v/>
      </c>
      <c r="E7380" s="21">
        <f>$B$7053</f>
        <v/>
      </c>
      <c r="F7380" s="21">
        <f>0</f>
        <v/>
      </c>
      <c r="G7380" s="21">
        <f>2*$B$7052</f>
        <v/>
      </c>
      <c r="H7380" s="21">
        <f>-$B$7051</f>
        <v/>
      </c>
      <c r="I7380" s="21">
        <f>$B$7053</f>
        <v/>
      </c>
      <c r="J7380" s="21" t="n">
        <v>0</v>
      </c>
      <c r="K7380" s="21" t="n">
        <v>0</v>
      </c>
      <c r="L7380" s="21" t="n">
        <v>0</v>
      </c>
      <c r="M7380" s="21" t="n">
        <v>0</v>
      </c>
      <c r="N7380" s="21" t="n">
        <v>0</v>
      </c>
      <c r="O7380" s="21" t="n">
        <v>0</v>
      </c>
      <c r="P7380" s="21" t="n">
        <v>0</v>
      </c>
      <c r="Q7380" s="21" t="n">
        <v>0</v>
      </c>
      <c r="R7380" s="21" t="n">
        <v>0</v>
      </c>
      <c r="S7380" s="21" t="n">
        <v>0</v>
      </c>
      <c r="T7380" s="21" t="n">
        <v>0</v>
      </c>
      <c r="U7380" s="21" t="n">
        <v>0</v>
      </c>
      <c r="V7380" s="21" t="n">
        <v>0</v>
      </c>
      <c r="W7380" s="21" t="n">
        <v>0</v>
      </c>
      <c r="X7380" s="21" t="n">
        <v>0</v>
      </c>
      <c r="Y7380" s="21" t="n">
        <v>0</v>
      </c>
      <c r="Z7380" s="19" t="n"/>
    </row>
    <row r="7381">
      <c r="D7381" s="21" t="n">
        <v>0</v>
      </c>
      <c r="E7381" s="21" t="n">
        <v>0</v>
      </c>
      <c r="F7381" s="21">
        <f>-$B$7050</f>
        <v/>
      </c>
      <c r="G7381" s="21">
        <f>-$B$7051</f>
        <v/>
      </c>
      <c r="H7381" s="21">
        <f>2*$B$7050+$D$7367</f>
        <v/>
      </c>
      <c r="I7381" s="21">
        <f>0</f>
        <v/>
      </c>
      <c r="J7381" s="21">
        <f>-$B$7050</f>
        <v/>
      </c>
      <c r="K7381" s="21">
        <f>$B$7051</f>
        <v/>
      </c>
      <c r="L7381" s="21" t="n">
        <v>0</v>
      </c>
      <c r="M7381" s="21" t="n">
        <v>0</v>
      </c>
      <c r="N7381" s="21" t="n">
        <v>0</v>
      </c>
      <c r="O7381" s="21" t="n">
        <v>0</v>
      </c>
      <c r="P7381" s="21" t="n">
        <v>0</v>
      </c>
      <c r="Q7381" s="21" t="n">
        <v>0</v>
      </c>
      <c r="R7381" s="21" t="n">
        <v>0</v>
      </c>
      <c r="S7381" s="21" t="n">
        <v>0</v>
      </c>
      <c r="T7381" s="21" t="n">
        <v>0</v>
      </c>
      <c r="U7381" s="21" t="n">
        <v>0</v>
      </c>
      <c r="V7381" s="21" t="n">
        <v>0</v>
      </c>
      <c r="W7381" s="21" t="n">
        <v>0</v>
      </c>
      <c r="X7381" s="21" t="n">
        <v>0</v>
      </c>
      <c r="Y7381" s="21" t="n">
        <v>0</v>
      </c>
      <c r="Z7381" s="19" t="n"/>
    </row>
    <row r="7382">
      <c r="D7382" s="21" t="n">
        <v>0</v>
      </c>
      <c r="E7382" s="21" t="n">
        <v>0</v>
      </c>
      <c r="F7382" s="21">
        <f>$B$7051</f>
        <v/>
      </c>
      <c r="G7382" s="21">
        <f>$B$7053</f>
        <v/>
      </c>
      <c r="H7382" s="21">
        <f>0</f>
        <v/>
      </c>
      <c r="I7382" s="21">
        <f>2*$B$7052</f>
        <v/>
      </c>
      <c r="J7382" s="21">
        <f>-$B$7051</f>
        <v/>
      </c>
      <c r="K7382" s="21">
        <f>$B$7053</f>
        <v/>
      </c>
      <c r="L7382" s="21" t="n">
        <v>0</v>
      </c>
      <c r="M7382" s="21" t="n">
        <v>0</v>
      </c>
      <c r="N7382" s="21" t="n">
        <v>0</v>
      </c>
      <c r="O7382" s="21" t="n">
        <v>0</v>
      </c>
      <c r="P7382" s="21" t="n">
        <v>0</v>
      </c>
      <c r="Q7382" s="21" t="n">
        <v>0</v>
      </c>
      <c r="R7382" s="21" t="n">
        <v>0</v>
      </c>
      <c r="S7382" s="21" t="n">
        <v>0</v>
      </c>
      <c r="T7382" s="21" t="n">
        <v>0</v>
      </c>
      <c r="U7382" s="21" t="n">
        <v>0</v>
      </c>
      <c r="V7382" s="21" t="n">
        <v>0</v>
      </c>
      <c r="W7382" s="21" t="n">
        <v>0</v>
      </c>
      <c r="X7382" s="21" t="n">
        <v>0</v>
      </c>
      <c r="Y7382" s="21" t="n">
        <v>0</v>
      </c>
      <c r="Z7382" s="19" t="n"/>
    </row>
    <row r="7383">
      <c r="D7383" s="21" t="n">
        <v>0</v>
      </c>
      <c r="E7383" s="21" t="n">
        <v>0</v>
      </c>
      <c r="F7383" s="21" t="n">
        <v>0</v>
      </c>
      <c r="G7383" s="21" t="n">
        <v>0</v>
      </c>
      <c r="H7383" s="21">
        <f>-$B$7050</f>
        <v/>
      </c>
      <c r="I7383" s="21">
        <f>-$B$7051</f>
        <v/>
      </c>
      <c r="J7383" s="21">
        <f>2*$B$7050+$D$7368</f>
        <v/>
      </c>
      <c r="K7383" s="21">
        <f>0</f>
        <v/>
      </c>
      <c r="L7383" s="21">
        <f>-$B$7050</f>
        <v/>
      </c>
      <c r="M7383" s="21">
        <f>$B$7051</f>
        <v/>
      </c>
      <c r="N7383" s="21" t="n">
        <v>0</v>
      </c>
      <c r="O7383" s="21" t="n">
        <v>0</v>
      </c>
      <c r="P7383" s="21" t="n">
        <v>0</v>
      </c>
      <c r="Q7383" s="21" t="n">
        <v>0</v>
      </c>
      <c r="R7383" s="21" t="n">
        <v>0</v>
      </c>
      <c r="S7383" s="21" t="n">
        <v>0</v>
      </c>
      <c r="T7383" s="21" t="n">
        <v>0</v>
      </c>
      <c r="U7383" s="21" t="n">
        <v>0</v>
      </c>
      <c r="V7383" s="21" t="n">
        <v>0</v>
      </c>
      <c r="W7383" s="21" t="n">
        <v>0</v>
      </c>
      <c r="X7383" s="21" t="n">
        <v>0</v>
      </c>
      <c r="Y7383" s="21" t="n">
        <v>0</v>
      </c>
      <c r="Z7383" s="19" t="n"/>
    </row>
    <row r="7384">
      <c r="D7384" s="21" t="n">
        <v>0</v>
      </c>
      <c r="E7384" s="21" t="n">
        <v>0</v>
      </c>
      <c r="F7384" s="21" t="n">
        <v>0</v>
      </c>
      <c r="G7384" s="21" t="n">
        <v>0</v>
      </c>
      <c r="H7384" s="21">
        <f>$B$7051</f>
        <v/>
      </c>
      <c r="I7384" s="21">
        <f>$B$7053</f>
        <v/>
      </c>
      <c r="J7384" s="21">
        <f>0</f>
        <v/>
      </c>
      <c r="K7384" s="21">
        <f>2*$B$7052</f>
        <v/>
      </c>
      <c r="L7384" s="21">
        <f>-$B$7051</f>
        <v/>
      </c>
      <c r="M7384" s="21">
        <f>$B$7053</f>
        <v/>
      </c>
      <c r="N7384" s="21" t="n">
        <v>0</v>
      </c>
      <c r="O7384" s="21" t="n">
        <v>0</v>
      </c>
      <c r="P7384" s="21" t="n">
        <v>0</v>
      </c>
      <c r="Q7384" s="21" t="n">
        <v>0</v>
      </c>
      <c r="R7384" s="21" t="n">
        <v>0</v>
      </c>
      <c r="S7384" s="21" t="n">
        <v>0</v>
      </c>
      <c r="T7384" s="21" t="n">
        <v>0</v>
      </c>
      <c r="U7384" s="21" t="n">
        <v>0</v>
      </c>
      <c r="V7384" s="21" t="n">
        <v>0</v>
      </c>
      <c r="W7384" s="21" t="n">
        <v>0</v>
      </c>
      <c r="X7384" s="21" t="n">
        <v>0</v>
      </c>
      <c r="Y7384" s="21" t="n">
        <v>0</v>
      </c>
      <c r="Z7384" s="19" t="n"/>
    </row>
    <row r="7385">
      <c r="D7385" s="21" t="n">
        <v>0</v>
      </c>
      <c r="E7385" s="21" t="n">
        <v>0</v>
      </c>
      <c r="F7385" s="21" t="n">
        <v>0</v>
      </c>
      <c r="G7385" s="21" t="n">
        <v>0</v>
      </c>
      <c r="H7385" s="21" t="n">
        <v>0</v>
      </c>
      <c r="I7385" s="21" t="n">
        <v>0</v>
      </c>
      <c r="J7385" s="21">
        <f>-$B$7050</f>
        <v/>
      </c>
      <c r="K7385" s="21">
        <f>-$B$7051</f>
        <v/>
      </c>
      <c r="L7385" s="21">
        <f>2*$B$7050+$D$7369</f>
        <v/>
      </c>
      <c r="M7385" s="21">
        <f>0</f>
        <v/>
      </c>
      <c r="N7385" s="21">
        <f>-$B$7050</f>
        <v/>
      </c>
      <c r="O7385" s="21">
        <f>$B$7051</f>
        <v/>
      </c>
      <c r="P7385" s="21" t="n">
        <v>0</v>
      </c>
      <c r="Q7385" s="21" t="n">
        <v>0</v>
      </c>
      <c r="R7385" s="21" t="n">
        <v>0</v>
      </c>
      <c r="S7385" s="21" t="n">
        <v>0</v>
      </c>
      <c r="T7385" s="21" t="n">
        <v>0</v>
      </c>
      <c r="U7385" s="21" t="n">
        <v>0</v>
      </c>
      <c r="V7385" s="21" t="n">
        <v>0</v>
      </c>
      <c r="W7385" s="21" t="n">
        <v>0</v>
      </c>
      <c r="X7385" s="21" t="n">
        <v>0</v>
      </c>
      <c r="Y7385" s="21" t="n">
        <v>0</v>
      </c>
      <c r="Z7385" s="19" t="n"/>
    </row>
    <row r="7386">
      <c r="D7386" s="21" t="n">
        <v>0</v>
      </c>
      <c r="E7386" s="21" t="n">
        <v>0</v>
      </c>
      <c r="F7386" s="21" t="n">
        <v>0</v>
      </c>
      <c r="G7386" s="21" t="n">
        <v>0</v>
      </c>
      <c r="H7386" s="21" t="n">
        <v>0</v>
      </c>
      <c r="I7386" s="21" t="n">
        <v>0</v>
      </c>
      <c r="J7386" s="21">
        <f>$B$7051</f>
        <v/>
      </c>
      <c r="K7386" s="21">
        <f>$B$7053</f>
        <v/>
      </c>
      <c r="L7386" s="21">
        <f>0</f>
        <v/>
      </c>
      <c r="M7386" s="21">
        <f>2*$B$7052</f>
        <v/>
      </c>
      <c r="N7386" s="21">
        <f>-$B$7051</f>
        <v/>
      </c>
      <c r="O7386" s="21">
        <f>$B$7053</f>
        <v/>
      </c>
      <c r="P7386" s="21" t="n">
        <v>0</v>
      </c>
      <c r="Q7386" s="21" t="n">
        <v>0</v>
      </c>
      <c r="R7386" s="21" t="n">
        <v>0</v>
      </c>
      <c r="S7386" s="21" t="n">
        <v>0</v>
      </c>
      <c r="T7386" s="21" t="n">
        <v>0</v>
      </c>
      <c r="U7386" s="21" t="n">
        <v>0</v>
      </c>
      <c r="V7386" s="21" t="n">
        <v>0</v>
      </c>
      <c r="W7386" s="21" t="n">
        <v>0</v>
      </c>
      <c r="X7386" s="21" t="n">
        <v>0</v>
      </c>
      <c r="Y7386" s="21" t="n">
        <v>0</v>
      </c>
      <c r="Z7386" s="19" t="n"/>
    </row>
    <row r="7387">
      <c r="D7387" s="21" t="n">
        <v>0</v>
      </c>
      <c r="E7387" s="21" t="n">
        <v>0</v>
      </c>
      <c r="F7387" s="21" t="n">
        <v>0</v>
      </c>
      <c r="G7387" s="21" t="n">
        <v>0</v>
      </c>
      <c r="H7387" s="21" t="n">
        <v>0</v>
      </c>
      <c r="I7387" s="21" t="n">
        <v>0</v>
      </c>
      <c r="J7387" s="21" t="n">
        <v>0</v>
      </c>
      <c r="K7387" s="21" t="n">
        <v>0</v>
      </c>
      <c r="L7387" s="21">
        <f>-$B$7050</f>
        <v/>
      </c>
      <c r="M7387" s="21">
        <f>-$B$7051</f>
        <v/>
      </c>
      <c r="N7387" s="21">
        <f>2*$B$7050+$D$7370</f>
        <v/>
      </c>
      <c r="O7387" s="21">
        <f>0</f>
        <v/>
      </c>
      <c r="P7387" s="21">
        <f>-$B$7050</f>
        <v/>
      </c>
      <c r="Q7387" s="21">
        <f>$B$7051</f>
        <v/>
      </c>
      <c r="R7387" s="21" t="n">
        <v>0</v>
      </c>
      <c r="S7387" s="21" t="n">
        <v>0</v>
      </c>
      <c r="T7387" s="21" t="n">
        <v>0</v>
      </c>
      <c r="U7387" s="21" t="n">
        <v>0</v>
      </c>
      <c r="V7387" s="21" t="n">
        <v>0</v>
      </c>
      <c r="W7387" s="21" t="n">
        <v>0</v>
      </c>
      <c r="X7387" s="21" t="n">
        <v>0</v>
      </c>
      <c r="Y7387" s="21" t="n">
        <v>0</v>
      </c>
      <c r="Z7387" s="19" t="n"/>
    </row>
    <row r="7388">
      <c r="D7388" s="21" t="n">
        <v>0</v>
      </c>
      <c r="E7388" s="21" t="n">
        <v>0</v>
      </c>
      <c r="F7388" s="21" t="n">
        <v>0</v>
      </c>
      <c r="G7388" s="21" t="n">
        <v>0</v>
      </c>
      <c r="H7388" s="21" t="n">
        <v>0</v>
      </c>
      <c r="I7388" s="21" t="n">
        <v>0</v>
      </c>
      <c r="J7388" s="21" t="n">
        <v>0</v>
      </c>
      <c r="K7388" s="21" t="n">
        <v>0</v>
      </c>
      <c r="L7388" s="21">
        <f>$B$7051</f>
        <v/>
      </c>
      <c r="M7388" s="21">
        <f>$B$7053</f>
        <v/>
      </c>
      <c r="N7388" s="21">
        <f>0</f>
        <v/>
      </c>
      <c r="O7388" s="21">
        <f>2*$B$7052</f>
        <v/>
      </c>
      <c r="P7388" s="21">
        <f>-$B$7051</f>
        <v/>
      </c>
      <c r="Q7388" s="21">
        <f>$B$7053</f>
        <v/>
      </c>
      <c r="R7388" s="21" t="n">
        <v>0</v>
      </c>
      <c r="S7388" s="21" t="n">
        <v>0</v>
      </c>
      <c r="T7388" s="21" t="n">
        <v>0</v>
      </c>
      <c r="U7388" s="21" t="n">
        <v>0</v>
      </c>
      <c r="V7388" s="21" t="n">
        <v>0</v>
      </c>
      <c r="W7388" s="21" t="n">
        <v>0</v>
      </c>
      <c r="X7388" s="21" t="n">
        <v>0</v>
      </c>
      <c r="Y7388" s="21" t="n">
        <v>0</v>
      </c>
      <c r="Z7388" s="19" t="n"/>
    </row>
    <row r="7389">
      <c r="D7389" s="21" t="n">
        <v>0</v>
      </c>
      <c r="E7389" s="21" t="n">
        <v>0</v>
      </c>
      <c r="F7389" s="21" t="n">
        <v>0</v>
      </c>
      <c r="G7389" s="21" t="n">
        <v>0</v>
      </c>
      <c r="H7389" s="21" t="n">
        <v>0</v>
      </c>
      <c r="I7389" s="21" t="n">
        <v>0</v>
      </c>
      <c r="J7389" s="21" t="n">
        <v>0</v>
      </c>
      <c r="K7389" s="21" t="n">
        <v>0</v>
      </c>
      <c r="L7389" s="21" t="n">
        <v>0</v>
      </c>
      <c r="M7389" s="21" t="n">
        <v>0</v>
      </c>
      <c r="N7389" s="21">
        <f>-$B$7050</f>
        <v/>
      </c>
      <c r="O7389" s="21">
        <f>-$B$7051</f>
        <v/>
      </c>
      <c r="P7389" s="21">
        <f>2*$B$7050+$D$7371</f>
        <v/>
      </c>
      <c r="Q7389" s="21">
        <f>0</f>
        <v/>
      </c>
      <c r="R7389" s="21">
        <f>-$B$7050</f>
        <v/>
      </c>
      <c r="S7389" s="21">
        <f>$B$7051</f>
        <v/>
      </c>
      <c r="T7389" s="21" t="n">
        <v>0</v>
      </c>
      <c r="U7389" s="21" t="n">
        <v>0</v>
      </c>
      <c r="V7389" s="21" t="n">
        <v>0</v>
      </c>
      <c r="W7389" s="21" t="n">
        <v>0</v>
      </c>
      <c r="X7389" s="21" t="n">
        <v>0</v>
      </c>
      <c r="Y7389" s="21" t="n">
        <v>0</v>
      </c>
      <c r="Z7389" s="19" t="n"/>
    </row>
    <row r="7390">
      <c r="D7390" s="21" t="n">
        <v>0</v>
      </c>
      <c r="E7390" s="21" t="n">
        <v>0</v>
      </c>
      <c r="F7390" s="21" t="n">
        <v>0</v>
      </c>
      <c r="G7390" s="21" t="n">
        <v>0</v>
      </c>
      <c r="H7390" s="21" t="n">
        <v>0</v>
      </c>
      <c r="I7390" s="21" t="n">
        <v>0</v>
      </c>
      <c r="J7390" s="21" t="n">
        <v>0</v>
      </c>
      <c r="K7390" s="21" t="n">
        <v>0</v>
      </c>
      <c r="L7390" s="21" t="n">
        <v>0</v>
      </c>
      <c r="M7390" s="21" t="n">
        <v>0</v>
      </c>
      <c r="N7390" s="21">
        <f>$B$7051</f>
        <v/>
      </c>
      <c r="O7390" s="21">
        <f>$B$7053</f>
        <v/>
      </c>
      <c r="P7390" s="21">
        <f>0</f>
        <v/>
      </c>
      <c r="Q7390" s="21">
        <f>2*$B$7052</f>
        <v/>
      </c>
      <c r="R7390" s="21">
        <f>-$B$7051</f>
        <v/>
      </c>
      <c r="S7390" s="21">
        <f>$B$7053</f>
        <v/>
      </c>
      <c r="T7390" s="21" t="n">
        <v>0</v>
      </c>
      <c r="U7390" s="21" t="n">
        <v>0</v>
      </c>
      <c r="V7390" s="21" t="n">
        <v>0</v>
      </c>
      <c r="W7390" s="21" t="n">
        <v>0</v>
      </c>
      <c r="X7390" s="21" t="n">
        <v>0</v>
      </c>
      <c r="Y7390" s="21" t="n">
        <v>0</v>
      </c>
      <c r="Z7390" s="19" t="n"/>
    </row>
    <row r="7391">
      <c r="D7391" s="21" t="n">
        <v>0</v>
      </c>
      <c r="E7391" s="21" t="n">
        <v>0</v>
      </c>
      <c r="F7391" s="21" t="n">
        <v>0</v>
      </c>
      <c r="G7391" s="21" t="n">
        <v>0</v>
      </c>
      <c r="H7391" s="21" t="n">
        <v>0</v>
      </c>
      <c r="I7391" s="21" t="n">
        <v>0</v>
      </c>
      <c r="J7391" s="21" t="n">
        <v>0</v>
      </c>
      <c r="K7391" s="21" t="n">
        <v>0</v>
      </c>
      <c r="L7391" s="21" t="n">
        <v>0</v>
      </c>
      <c r="M7391" s="21" t="n">
        <v>0</v>
      </c>
      <c r="N7391" s="21" t="n">
        <v>0</v>
      </c>
      <c r="O7391" s="21" t="n">
        <v>0</v>
      </c>
      <c r="P7391" s="21">
        <f>-$B$7050</f>
        <v/>
      </c>
      <c r="Q7391" s="21">
        <f>-$B$7051</f>
        <v/>
      </c>
      <c r="R7391" s="21">
        <f>2*$B$7050+$D$7372</f>
        <v/>
      </c>
      <c r="S7391" s="21">
        <f>0</f>
        <v/>
      </c>
      <c r="T7391" s="21">
        <f>-$B$7050</f>
        <v/>
      </c>
      <c r="U7391" s="21">
        <f>$B$7051</f>
        <v/>
      </c>
      <c r="V7391" s="21" t="n">
        <v>0</v>
      </c>
      <c r="W7391" s="21" t="n">
        <v>0</v>
      </c>
      <c r="X7391" s="21" t="n">
        <v>0</v>
      </c>
      <c r="Y7391" s="21" t="n">
        <v>0</v>
      </c>
      <c r="Z7391" s="19" t="n"/>
    </row>
    <row r="7392">
      <c r="D7392" s="21" t="n">
        <v>0</v>
      </c>
      <c r="E7392" s="21" t="n">
        <v>0</v>
      </c>
      <c r="F7392" s="21" t="n">
        <v>0</v>
      </c>
      <c r="G7392" s="21" t="n">
        <v>0</v>
      </c>
      <c r="H7392" s="21" t="n">
        <v>0</v>
      </c>
      <c r="I7392" s="21" t="n">
        <v>0</v>
      </c>
      <c r="J7392" s="21" t="n">
        <v>0</v>
      </c>
      <c r="K7392" s="21" t="n">
        <v>0</v>
      </c>
      <c r="L7392" s="21" t="n">
        <v>0</v>
      </c>
      <c r="M7392" s="21" t="n">
        <v>0</v>
      </c>
      <c r="N7392" s="21" t="n">
        <v>0</v>
      </c>
      <c r="O7392" s="21" t="n">
        <v>0</v>
      </c>
      <c r="P7392" s="21">
        <f>$B$7051</f>
        <v/>
      </c>
      <c r="Q7392" s="21">
        <f>$B$7053</f>
        <v/>
      </c>
      <c r="R7392" s="21">
        <f>0</f>
        <v/>
      </c>
      <c r="S7392" s="21">
        <f>2*$B$7052</f>
        <v/>
      </c>
      <c r="T7392" s="21">
        <f>-$B$7051</f>
        <v/>
      </c>
      <c r="U7392" s="21">
        <f>$B$7053</f>
        <v/>
      </c>
      <c r="V7392" s="21" t="n">
        <v>0</v>
      </c>
      <c r="W7392" s="21" t="n">
        <v>0</v>
      </c>
      <c r="X7392" s="21" t="n">
        <v>0</v>
      </c>
      <c r="Y7392" s="21" t="n">
        <v>0</v>
      </c>
      <c r="Z7392" s="19" t="n"/>
    </row>
    <row r="7393">
      <c r="D7393" s="21" t="n">
        <v>0</v>
      </c>
      <c r="E7393" s="21" t="n">
        <v>0</v>
      </c>
      <c r="F7393" s="21" t="n">
        <v>0</v>
      </c>
      <c r="G7393" s="21" t="n">
        <v>0</v>
      </c>
      <c r="H7393" s="21" t="n">
        <v>0</v>
      </c>
      <c r="I7393" s="21" t="n">
        <v>0</v>
      </c>
      <c r="J7393" s="21" t="n">
        <v>0</v>
      </c>
      <c r="K7393" s="21" t="n">
        <v>0</v>
      </c>
      <c r="L7393" s="21" t="n">
        <v>0</v>
      </c>
      <c r="M7393" s="21" t="n">
        <v>0</v>
      </c>
      <c r="N7393" s="21" t="n">
        <v>0</v>
      </c>
      <c r="O7393" s="21" t="n">
        <v>0</v>
      </c>
      <c r="P7393" s="21" t="n">
        <v>0</v>
      </c>
      <c r="Q7393" s="21" t="n">
        <v>0</v>
      </c>
      <c r="R7393" s="21">
        <f>-$B$7050</f>
        <v/>
      </c>
      <c r="S7393" s="21">
        <f>-$B$7051</f>
        <v/>
      </c>
      <c r="T7393" s="21">
        <f>2*$B$7050+$D$7373</f>
        <v/>
      </c>
      <c r="U7393" s="21">
        <f>0</f>
        <v/>
      </c>
      <c r="V7393" s="21">
        <f>-$B$7050</f>
        <v/>
      </c>
      <c r="W7393" s="21">
        <f>$B$7051</f>
        <v/>
      </c>
      <c r="X7393" s="21" t="n">
        <v>0</v>
      </c>
      <c r="Y7393" s="21" t="n">
        <v>0</v>
      </c>
      <c r="Z7393" s="19" t="n"/>
    </row>
    <row r="7394">
      <c r="D7394" s="21" t="n">
        <v>0</v>
      </c>
      <c r="E7394" s="21" t="n">
        <v>0</v>
      </c>
      <c r="F7394" s="21" t="n">
        <v>0</v>
      </c>
      <c r="G7394" s="21" t="n">
        <v>0</v>
      </c>
      <c r="H7394" s="21" t="n">
        <v>0</v>
      </c>
      <c r="I7394" s="21" t="n">
        <v>0</v>
      </c>
      <c r="J7394" s="21" t="n">
        <v>0</v>
      </c>
      <c r="K7394" s="21" t="n">
        <v>0</v>
      </c>
      <c r="L7394" s="21" t="n">
        <v>0</v>
      </c>
      <c r="M7394" s="21" t="n">
        <v>0</v>
      </c>
      <c r="N7394" s="21" t="n">
        <v>0</v>
      </c>
      <c r="O7394" s="21" t="n">
        <v>0</v>
      </c>
      <c r="P7394" s="21" t="n">
        <v>0</v>
      </c>
      <c r="Q7394" s="21" t="n">
        <v>0</v>
      </c>
      <c r="R7394" s="21">
        <f>$B$7051</f>
        <v/>
      </c>
      <c r="S7394" s="21">
        <f>$B$7053</f>
        <v/>
      </c>
      <c r="T7394" s="21">
        <f>0</f>
        <v/>
      </c>
      <c r="U7394" s="21">
        <f>2*$B$7052</f>
        <v/>
      </c>
      <c r="V7394" s="21">
        <f>-$B$7051</f>
        <v/>
      </c>
      <c r="W7394" s="21">
        <f>$B$7053</f>
        <v/>
      </c>
      <c r="X7394" s="21" t="n">
        <v>0</v>
      </c>
      <c r="Y7394" s="21" t="n">
        <v>0</v>
      </c>
      <c r="Z7394" s="19" t="n"/>
    </row>
    <row r="7395">
      <c r="D7395" s="21" t="n">
        <v>0</v>
      </c>
      <c r="E7395" s="21" t="n">
        <v>0</v>
      </c>
      <c r="F7395" s="21" t="n">
        <v>0</v>
      </c>
      <c r="G7395" s="21" t="n">
        <v>0</v>
      </c>
      <c r="H7395" s="21" t="n">
        <v>0</v>
      </c>
      <c r="I7395" s="21" t="n">
        <v>0</v>
      </c>
      <c r="J7395" s="21" t="n">
        <v>0</v>
      </c>
      <c r="K7395" s="21" t="n">
        <v>0</v>
      </c>
      <c r="L7395" s="21" t="n">
        <v>0</v>
      </c>
      <c r="M7395" s="21" t="n">
        <v>0</v>
      </c>
      <c r="N7395" s="21" t="n">
        <v>0</v>
      </c>
      <c r="O7395" s="21" t="n">
        <v>0</v>
      </c>
      <c r="P7395" s="21" t="n">
        <v>0</v>
      </c>
      <c r="Q7395" s="21" t="n">
        <v>0</v>
      </c>
      <c r="R7395" s="21" t="n">
        <v>0</v>
      </c>
      <c r="S7395" s="21" t="n">
        <v>0</v>
      </c>
      <c r="T7395" s="21">
        <f>-$B$7050</f>
        <v/>
      </c>
      <c r="U7395" s="21">
        <f>-$B$7051</f>
        <v/>
      </c>
      <c r="V7395" s="21">
        <f>2*$B$7050+$D$7374</f>
        <v/>
      </c>
      <c r="W7395" s="21">
        <f>0</f>
        <v/>
      </c>
      <c r="X7395" s="21">
        <f>-$B$7050</f>
        <v/>
      </c>
      <c r="Y7395" s="21">
        <f>$B$7051</f>
        <v/>
      </c>
      <c r="Z7395" s="19" t="n"/>
    </row>
    <row r="7396">
      <c r="D7396" s="21" t="n">
        <v>0</v>
      </c>
      <c r="E7396" s="21" t="n">
        <v>0</v>
      </c>
      <c r="F7396" s="21" t="n">
        <v>0</v>
      </c>
      <c r="G7396" s="21" t="n">
        <v>0</v>
      </c>
      <c r="H7396" s="21" t="n">
        <v>0</v>
      </c>
      <c r="I7396" s="21" t="n">
        <v>0</v>
      </c>
      <c r="J7396" s="21" t="n">
        <v>0</v>
      </c>
      <c r="K7396" s="21" t="n">
        <v>0</v>
      </c>
      <c r="L7396" s="21" t="n">
        <v>0</v>
      </c>
      <c r="M7396" s="21" t="n">
        <v>0</v>
      </c>
      <c r="N7396" s="21" t="n">
        <v>0</v>
      </c>
      <c r="O7396" s="21" t="n">
        <v>0</v>
      </c>
      <c r="P7396" s="21" t="n">
        <v>0</v>
      </c>
      <c r="Q7396" s="21" t="n">
        <v>0</v>
      </c>
      <c r="R7396" s="21" t="n">
        <v>0</v>
      </c>
      <c r="S7396" s="21" t="n">
        <v>0</v>
      </c>
      <c r="T7396" s="21">
        <f>$B$7051</f>
        <v/>
      </c>
      <c r="U7396" s="21">
        <f>$B$7053</f>
        <v/>
      </c>
      <c r="V7396" s="21">
        <f>0</f>
        <v/>
      </c>
      <c r="W7396" s="21">
        <f>2*$B$7052</f>
        <v/>
      </c>
      <c r="X7396" s="21">
        <f>-$B$7051</f>
        <v/>
      </c>
      <c r="Y7396" s="21">
        <f>$B$7053</f>
        <v/>
      </c>
      <c r="Z7396" s="19" t="n"/>
    </row>
    <row r="7397">
      <c r="D7397" s="21" t="n">
        <v>0</v>
      </c>
      <c r="E7397" s="21" t="n">
        <v>0</v>
      </c>
      <c r="F7397" s="21" t="n">
        <v>0</v>
      </c>
      <c r="G7397" s="21" t="n">
        <v>0</v>
      </c>
      <c r="H7397" s="21" t="n">
        <v>0</v>
      </c>
      <c r="I7397" s="21" t="n">
        <v>0</v>
      </c>
      <c r="J7397" s="21" t="n">
        <v>0</v>
      </c>
      <c r="K7397" s="21" t="n">
        <v>0</v>
      </c>
      <c r="L7397" s="21" t="n">
        <v>0</v>
      </c>
      <c r="M7397" s="21" t="n">
        <v>0</v>
      </c>
      <c r="N7397" s="21" t="n">
        <v>0</v>
      </c>
      <c r="O7397" s="21" t="n">
        <v>0</v>
      </c>
      <c r="P7397" s="21" t="n">
        <v>0</v>
      </c>
      <c r="Q7397" s="21" t="n">
        <v>0</v>
      </c>
      <c r="R7397" s="21" t="n">
        <v>0</v>
      </c>
      <c r="S7397" s="21" t="n">
        <v>0</v>
      </c>
      <c r="T7397" s="21" t="n">
        <v>0</v>
      </c>
      <c r="U7397" s="21" t="n">
        <v>0</v>
      </c>
      <c r="V7397" s="21">
        <f>-$B$7050</f>
        <v/>
      </c>
      <c r="W7397" s="21">
        <f>-$B$7051</f>
        <v/>
      </c>
      <c r="X7397" s="21">
        <f>$B$7050+$D$7375</f>
        <v/>
      </c>
      <c r="Y7397" s="21">
        <f>-$B$7051</f>
        <v/>
      </c>
      <c r="Z7397" s="19" t="n"/>
    </row>
    <row r="7398">
      <c r="D7398" s="21" t="n">
        <v>0</v>
      </c>
      <c r="E7398" s="21" t="n">
        <v>0</v>
      </c>
      <c r="F7398" s="21" t="n">
        <v>0</v>
      </c>
      <c r="G7398" s="21" t="n">
        <v>0</v>
      </c>
      <c r="H7398" s="21" t="n">
        <v>0</v>
      </c>
      <c r="I7398" s="21" t="n">
        <v>0</v>
      </c>
      <c r="J7398" s="21" t="n">
        <v>0</v>
      </c>
      <c r="K7398" s="21" t="n">
        <v>0</v>
      </c>
      <c r="L7398" s="21" t="n">
        <v>0</v>
      </c>
      <c r="M7398" s="21" t="n">
        <v>0</v>
      </c>
      <c r="N7398" s="21" t="n">
        <v>0</v>
      </c>
      <c r="O7398" s="21" t="n">
        <v>0</v>
      </c>
      <c r="P7398" s="21" t="n">
        <v>0</v>
      </c>
      <c r="Q7398" s="21" t="n">
        <v>0</v>
      </c>
      <c r="R7398" s="21" t="n">
        <v>0</v>
      </c>
      <c r="S7398" s="21" t="n">
        <v>0</v>
      </c>
      <c r="T7398" s="21" t="n">
        <v>0</v>
      </c>
      <c r="U7398" s="21" t="n">
        <v>0</v>
      </c>
      <c r="V7398" s="21">
        <f>$B$7051</f>
        <v/>
      </c>
      <c r="W7398" s="21">
        <f>$B$7053</f>
        <v/>
      </c>
      <c r="X7398" s="21">
        <f>-$B$7051</f>
        <v/>
      </c>
      <c r="Y7398" s="21">
        <f>$B$7052</f>
        <v/>
      </c>
      <c r="Z7398" s="19" t="n"/>
    </row>
    <row r="7400">
      <c r="A7400" s="8" t="inlineStr">
        <is>
          <t>gen 9</t>
        </is>
      </c>
    </row>
    <row r="7401">
      <c r="D7401" s="19">
        <f>IF(ABS(IF(ABS($E$7365)&gt;0.000000001,$E$7365,0.000000001))=0,0,IF($E$7065&lt;=$B$7059,0,IF(ABS(IF(ABS($E$7365)&gt;0.000000001,$E$7365,0.000000001))&gt;=8*$B$7061,$H$7065,0.5*$H$7065*(ABS(IF(ABS($E$7365)&gt;0.000000001,$E$7365,0.000000001))/$B$7061)^(1/3)))/ABS(IF(ABS($E$7365)&gt;0.000000001,$E$7365,0.000000001))*$I$7065)</f>
        <v/>
      </c>
      <c r="E7401" s="19">
        <f>0.5*$E$7365+0.5*$Z$7413</f>
        <v/>
      </c>
      <c r="F7401" s="19">
        <f>$Z$7414</f>
        <v/>
      </c>
    </row>
    <row r="7402">
      <c r="D7402" s="19">
        <f>IF(ABS(IF(ABS($E$7366)&gt;0.000000001,$E$7366,0.000000001))=0,0,IF($E$7066&lt;=$B$7059,0,IF(ABS(IF(ABS($E$7366)&gt;0.000000001,$E$7366,0.000000001))&gt;=8*$B$7061,$H$7066,0.5*$H$7066*(ABS(IF(ABS($E$7366)&gt;0.000000001,$E$7366,0.000000001))/$B$7061)^(1/3)))/ABS(IF(ABS($E$7366)&gt;0.000000001,$E$7366,0.000000001))*$I$7066)</f>
        <v/>
      </c>
      <c r="E7402" s="19">
        <f>0.5*$E$7366+0.5*$Z$7415</f>
        <v/>
      </c>
      <c r="F7402" s="19">
        <f>$Z$7416</f>
        <v/>
      </c>
    </row>
    <row r="7403">
      <c r="D7403" s="19">
        <f>IF(ABS(IF(ABS($E$7367)&gt;0.000000001,$E$7367,0.000000001))=0,0,IF($E$7067&lt;=$B$7059,0,IF(ABS(IF(ABS($E$7367)&gt;0.000000001,$E$7367,0.000000001))&gt;=8*$B$7061,$H$7067,0.5*$H$7067*(ABS(IF(ABS($E$7367)&gt;0.000000001,$E$7367,0.000000001))/$B$7061)^(1/3)))/ABS(IF(ABS($E$7367)&gt;0.000000001,$E$7367,0.000000001))*$I$7067)</f>
        <v/>
      </c>
      <c r="E7403" s="19">
        <f>0.5*$E$7367+0.5*$Z$7417</f>
        <v/>
      </c>
      <c r="F7403" s="19">
        <f>$Z$7418</f>
        <v/>
      </c>
    </row>
    <row r="7404">
      <c r="D7404" s="19">
        <f>IF(ABS(IF(ABS($E$7368)&gt;0.000000001,$E$7368,0.000000001))=0,0,IF($E$7068&lt;=$B$7059,0,IF(ABS(IF(ABS($E$7368)&gt;0.000000001,$E$7368,0.000000001))&gt;=8*$B$7061,$H$7068,0.5*$H$7068*(ABS(IF(ABS($E$7368)&gt;0.000000001,$E$7368,0.000000001))/$B$7061)^(1/3)))/ABS(IF(ABS($E$7368)&gt;0.000000001,$E$7368,0.000000001))*$I$7068)</f>
        <v/>
      </c>
      <c r="E7404" s="19">
        <f>0.5*$E$7368+0.5*$Z$7419</f>
        <v/>
      </c>
      <c r="F7404" s="19">
        <f>$Z$7420</f>
        <v/>
      </c>
    </row>
    <row r="7405">
      <c r="D7405" s="19">
        <f>IF(ABS(IF(ABS($E$7369)&gt;0.000000001,$E$7369,0.000000001))=0,0,IF($E$7069&lt;=$B$7059,0,IF(ABS(IF(ABS($E$7369)&gt;0.000000001,$E$7369,0.000000001))&gt;=8*$B$7061,$H$7069,0.5*$H$7069*(ABS(IF(ABS($E$7369)&gt;0.000000001,$E$7369,0.000000001))/$B$7061)^(1/3)))/ABS(IF(ABS($E$7369)&gt;0.000000001,$E$7369,0.000000001))*$I$7069)</f>
        <v/>
      </c>
      <c r="E7405" s="19">
        <f>0.5*$E$7369+0.5*$Z$7421</f>
        <v/>
      </c>
      <c r="F7405" s="19">
        <f>$Z$7422</f>
        <v/>
      </c>
    </row>
    <row r="7406">
      <c r="D7406" s="19">
        <f>IF(ABS(IF(ABS($E$7370)&gt;0.000000001,$E$7370,0.000000001))=0,0,IF($E$7070&lt;=$B$7059,0,IF(ABS(IF(ABS($E$7370)&gt;0.000000001,$E$7370,0.000000001))&gt;=8*$B$7061,$H$7070,0.5*$H$7070*(ABS(IF(ABS($E$7370)&gt;0.000000001,$E$7370,0.000000001))/$B$7061)^(1/3)))/ABS(IF(ABS($E$7370)&gt;0.000000001,$E$7370,0.000000001))*$I$7070)</f>
        <v/>
      </c>
      <c r="E7406" s="19">
        <f>0.5*$E$7370+0.5*$Z$7423</f>
        <v/>
      </c>
      <c r="F7406" s="19">
        <f>$Z$7424</f>
        <v/>
      </c>
    </row>
    <row r="7407">
      <c r="D7407" s="19">
        <f>IF(ABS(IF(ABS($E$7371)&gt;0.000000001,$E$7371,0.000000001))=0,0,IF($E$7071&lt;=$B$7059,0,IF(ABS(IF(ABS($E$7371)&gt;0.000000001,$E$7371,0.000000001))&gt;=8*$B$7061,$H$7071,0.5*$H$7071*(ABS(IF(ABS($E$7371)&gt;0.000000001,$E$7371,0.000000001))/$B$7061)^(1/3)))/ABS(IF(ABS($E$7371)&gt;0.000000001,$E$7371,0.000000001))*$I$7071)</f>
        <v/>
      </c>
      <c r="E7407" s="19">
        <f>0.5*$E$7371+0.5*$Z$7425</f>
        <v/>
      </c>
      <c r="F7407" s="19">
        <f>$Z$7426</f>
        <v/>
      </c>
    </row>
    <row r="7408">
      <c r="D7408" s="19">
        <f>IF(ABS(IF(ABS($E$7372)&gt;0.000000001,$E$7372,0.000000001))=0,0,IF($E$7072&lt;=$B$7059,0,IF(ABS(IF(ABS($E$7372)&gt;0.000000001,$E$7372,0.000000001))&gt;=8*$B$7061,$H$7072,0.5*$H$7072*(ABS(IF(ABS($E$7372)&gt;0.000000001,$E$7372,0.000000001))/$B$7061)^(1/3)))/ABS(IF(ABS($E$7372)&gt;0.000000001,$E$7372,0.000000001))*$I$7072)</f>
        <v/>
      </c>
      <c r="E7408" s="19">
        <f>0.5*$E$7372+0.5*$Z$7427</f>
        <v/>
      </c>
      <c r="F7408" s="19">
        <f>$Z$7428</f>
        <v/>
      </c>
    </row>
    <row r="7409">
      <c r="D7409" s="19">
        <f>IF(ABS(IF(ABS($E$7373)&gt;0.000000001,$E$7373,0.000000001))=0,0,IF($E$7073&lt;=$B$7059,0,IF(ABS(IF(ABS($E$7373)&gt;0.000000001,$E$7373,0.000000001))&gt;=8*$B$7061,$H$7073,0.5*$H$7073*(ABS(IF(ABS($E$7373)&gt;0.000000001,$E$7373,0.000000001))/$B$7061)^(1/3)))/ABS(IF(ABS($E$7373)&gt;0.000000001,$E$7373,0.000000001))*$I$7073)</f>
        <v/>
      </c>
      <c r="E7409" s="19">
        <f>0.5*$E$7373+0.5*$Z$7429</f>
        <v/>
      </c>
      <c r="F7409" s="19">
        <f>$Z$7430</f>
        <v/>
      </c>
    </row>
    <row r="7410">
      <c r="D7410" s="19">
        <f>IF(ABS(IF(ABS($E$7374)&gt;0.000000001,$E$7374,0.000000001))=0,0,IF($E$7074&lt;=$B$7059,0,IF(ABS(IF(ABS($E$7374)&gt;0.000000001,$E$7374,0.000000001))&gt;=8*$B$7061,$H$7074,0.5*$H$7074*(ABS(IF(ABS($E$7374)&gt;0.000000001,$E$7374,0.000000001))/$B$7061)^(1/3)))/ABS(IF(ABS($E$7374)&gt;0.000000001,$E$7374,0.000000001))*$I$7074)</f>
        <v/>
      </c>
      <c r="E7410" s="19">
        <f>0.5*$E$7374+0.5*$Z$7431</f>
        <v/>
      </c>
      <c r="F7410" s="19">
        <f>$Z$7432</f>
        <v/>
      </c>
    </row>
    <row r="7411">
      <c r="D7411" s="19">
        <f>IF(ABS(IF(ABS($E$7375)&gt;0.000000001,$E$7375,0.000000001))=0,0,IF($E$7075&lt;=$B$7059,0,IF(ABS(IF(ABS($E$7375)&gt;0.000000001,$E$7375,0.000000001))&gt;=8*$B$7061,$H$7075,0.5*$H$7075*(ABS(IF(ABS($E$7375)&gt;0.000000001,$E$7375,0.000000001))/$B$7061)^(1/3)))/ABS(IF(ABS($E$7375)&gt;0.000000001,$E$7375,0.000000001))*$I$7075)</f>
        <v/>
      </c>
      <c r="E7411" s="19">
        <f>0.5*$E$7375+0.5*$Z$7433</f>
        <v/>
      </c>
      <c r="F7411" s="19">
        <f>$Z$7434</f>
        <v/>
      </c>
    </row>
    <row r="7413">
      <c r="D7413" s="21">
        <f>$B$7050+$D$7401</f>
        <v/>
      </c>
      <c r="E7413" s="21">
        <f>$B$7051</f>
        <v/>
      </c>
      <c r="F7413" s="21">
        <f>-$B$7050</f>
        <v/>
      </c>
      <c r="G7413" s="21">
        <f>$B$7051</f>
        <v/>
      </c>
      <c r="H7413" s="21" t="n">
        <v>0</v>
      </c>
      <c r="I7413" s="21" t="n">
        <v>0</v>
      </c>
      <c r="J7413" s="21" t="n">
        <v>0</v>
      </c>
      <c r="K7413" s="21" t="n">
        <v>0</v>
      </c>
      <c r="L7413" s="21" t="n">
        <v>0</v>
      </c>
      <c r="M7413" s="21" t="n">
        <v>0</v>
      </c>
      <c r="N7413" s="21" t="n">
        <v>0</v>
      </c>
      <c r="O7413" s="21" t="n">
        <v>0</v>
      </c>
      <c r="P7413" s="21" t="n">
        <v>0</v>
      </c>
      <c r="Q7413" s="21" t="n">
        <v>0</v>
      </c>
      <c r="R7413" s="21" t="n">
        <v>0</v>
      </c>
      <c r="S7413" s="21" t="n">
        <v>0</v>
      </c>
      <c r="T7413" s="21" t="n">
        <v>0</v>
      </c>
      <c r="U7413" s="21" t="n">
        <v>0</v>
      </c>
      <c r="V7413" s="21" t="n">
        <v>0</v>
      </c>
      <c r="W7413" s="21" t="n">
        <v>0</v>
      </c>
      <c r="X7413" s="21" t="n">
        <v>0</v>
      </c>
      <c r="Y7413" s="21" t="n">
        <v>0</v>
      </c>
      <c r="Z7413" s="19">
        <f t="array" ref="Z7413:Z7434">MMULT(MINVERSE($D$7413:$Y$7434),$D$7077:$D$7098)</f>
        <v/>
      </c>
    </row>
    <row r="7414">
      <c r="D7414" s="21">
        <f>$B$7051</f>
        <v/>
      </c>
      <c r="E7414" s="21">
        <f>$B$7052</f>
        <v/>
      </c>
      <c r="F7414" s="21">
        <f>-$B$7051</f>
        <v/>
      </c>
      <c r="G7414" s="21">
        <f>$B$7053</f>
        <v/>
      </c>
      <c r="H7414" s="21" t="n">
        <v>0</v>
      </c>
      <c r="I7414" s="21" t="n">
        <v>0</v>
      </c>
      <c r="J7414" s="21" t="n">
        <v>0</v>
      </c>
      <c r="K7414" s="21" t="n">
        <v>0</v>
      </c>
      <c r="L7414" s="21" t="n">
        <v>0</v>
      </c>
      <c r="M7414" s="21" t="n">
        <v>0</v>
      </c>
      <c r="N7414" s="21" t="n">
        <v>0</v>
      </c>
      <c r="O7414" s="21" t="n">
        <v>0</v>
      </c>
      <c r="P7414" s="21" t="n">
        <v>0</v>
      </c>
      <c r="Q7414" s="21" t="n">
        <v>0</v>
      </c>
      <c r="R7414" s="21" t="n">
        <v>0</v>
      </c>
      <c r="S7414" s="21" t="n">
        <v>0</v>
      </c>
      <c r="T7414" s="21" t="n">
        <v>0</v>
      </c>
      <c r="U7414" s="21" t="n">
        <v>0</v>
      </c>
      <c r="V7414" s="21" t="n">
        <v>0</v>
      </c>
      <c r="W7414" s="21" t="n">
        <v>0</v>
      </c>
      <c r="X7414" s="21" t="n">
        <v>0</v>
      </c>
      <c r="Y7414" s="21" t="n">
        <v>0</v>
      </c>
      <c r="Z7414" s="19" t="n"/>
    </row>
    <row r="7415">
      <c r="D7415" s="21">
        <f>-$B$7050</f>
        <v/>
      </c>
      <c r="E7415" s="21">
        <f>-$B$7051</f>
        <v/>
      </c>
      <c r="F7415" s="21">
        <f>2*$B$7050+$D$7402</f>
        <v/>
      </c>
      <c r="G7415" s="21">
        <f>0</f>
        <v/>
      </c>
      <c r="H7415" s="21">
        <f>-$B$7050</f>
        <v/>
      </c>
      <c r="I7415" s="21">
        <f>$B$7051</f>
        <v/>
      </c>
      <c r="J7415" s="21" t="n">
        <v>0</v>
      </c>
      <c r="K7415" s="21" t="n">
        <v>0</v>
      </c>
      <c r="L7415" s="21" t="n">
        <v>0</v>
      </c>
      <c r="M7415" s="21" t="n">
        <v>0</v>
      </c>
      <c r="N7415" s="21" t="n">
        <v>0</v>
      </c>
      <c r="O7415" s="21" t="n">
        <v>0</v>
      </c>
      <c r="P7415" s="21" t="n">
        <v>0</v>
      </c>
      <c r="Q7415" s="21" t="n">
        <v>0</v>
      </c>
      <c r="R7415" s="21" t="n">
        <v>0</v>
      </c>
      <c r="S7415" s="21" t="n">
        <v>0</v>
      </c>
      <c r="T7415" s="21" t="n">
        <v>0</v>
      </c>
      <c r="U7415" s="21" t="n">
        <v>0</v>
      </c>
      <c r="V7415" s="21" t="n">
        <v>0</v>
      </c>
      <c r="W7415" s="21" t="n">
        <v>0</v>
      </c>
      <c r="X7415" s="21" t="n">
        <v>0</v>
      </c>
      <c r="Y7415" s="21" t="n">
        <v>0</v>
      </c>
      <c r="Z7415" s="19" t="n"/>
    </row>
    <row r="7416">
      <c r="D7416" s="21">
        <f>$B$7051</f>
        <v/>
      </c>
      <c r="E7416" s="21">
        <f>$B$7053</f>
        <v/>
      </c>
      <c r="F7416" s="21">
        <f>0</f>
        <v/>
      </c>
      <c r="G7416" s="21">
        <f>2*$B$7052</f>
        <v/>
      </c>
      <c r="H7416" s="21">
        <f>-$B$7051</f>
        <v/>
      </c>
      <c r="I7416" s="21">
        <f>$B$7053</f>
        <v/>
      </c>
      <c r="J7416" s="21" t="n">
        <v>0</v>
      </c>
      <c r="K7416" s="21" t="n">
        <v>0</v>
      </c>
      <c r="L7416" s="21" t="n">
        <v>0</v>
      </c>
      <c r="M7416" s="21" t="n">
        <v>0</v>
      </c>
      <c r="N7416" s="21" t="n">
        <v>0</v>
      </c>
      <c r="O7416" s="21" t="n">
        <v>0</v>
      </c>
      <c r="P7416" s="21" t="n">
        <v>0</v>
      </c>
      <c r="Q7416" s="21" t="n">
        <v>0</v>
      </c>
      <c r="R7416" s="21" t="n">
        <v>0</v>
      </c>
      <c r="S7416" s="21" t="n">
        <v>0</v>
      </c>
      <c r="T7416" s="21" t="n">
        <v>0</v>
      </c>
      <c r="U7416" s="21" t="n">
        <v>0</v>
      </c>
      <c r="V7416" s="21" t="n">
        <v>0</v>
      </c>
      <c r="W7416" s="21" t="n">
        <v>0</v>
      </c>
      <c r="X7416" s="21" t="n">
        <v>0</v>
      </c>
      <c r="Y7416" s="21" t="n">
        <v>0</v>
      </c>
      <c r="Z7416" s="19" t="n"/>
    </row>
    <row r="7417">
      <c r="D7417" s="21" t="n">
        <v>0</v>
      </c>
      <c r="E7417" s="21" t="n">
        <v>0</v>
      </c>
      <c r="F7417" s="21">
        <f>-$B$7050</f>
        <v/>
      </c>
      <c r="G7417" s="21">
        <f>-$B$7051</f>
        <v/>
      </c>
      <c r="H7417" s="21">
        <f>2*$B$7050+$D$7403</f>
        <v/>
      </c>
      <c r="I7417" s="21">
        <f>0</f>
        <v/>
      </c>
      <c r="J7417" s="21">
        <f>-$B$7050</f>
        <v/>
      </c>
      <c r="K7417" s="21">
        <f>$B$7051</f>
        <v/>
      </c>
      <c r="L7417" s="21" t="n">
        <v>0</v>
      </c>
      <c r="M7417" s="21" t="n">
        <v>0</v>
      </c>
      <c r="N7417" s="21" t="n">
        <v>0</v>
      </c>
      <c r="O7417" s="21" t="n">
        <v>0</v>
      </c>
      <c r="P7417" s="21" t="n">
        <v>0</v>
      </c>
      <c r="Q7417" s="21" t="n">
        <v>0</v>
      </c>
      <c r="R7417" s="21" t="n">
        <v>0</v>
      </c>
      <c r="S7417" s="21" t="n">
        <v>0</v>
      </c>
      <c r="T7417" s="21" t="n">
        <v>0</v>
      </c>
      <c r="U7417" s="21" t="n">
        <v>0</v>
      </c>
      <c r="V7417" s="21" t="n">
        <v>0</v>
      </c>
      <c r="W7417" s="21" t="n">
        <v>0</v>
      </c>
      <c r="X7417" s="21" t="n">
        <v>0</v>
      </c>
      <c r="Y7417" s="21" t="n">
        <v>0</v>
      </c>
      <c r="Z7417" s="19" t="n"/>
    </row>
    <row r="7418">
      <c r="D7418" s="21" t="n">
        <v>0</v>
      </c>
      <c r="E7418" s="21" t="n">
        <v>0</v>
      </c>
      <c r="F7418" s="21">
        <f>$B$7051</f>
        <v/>
      </c>
      <c r="G7418" s="21">
        <f>$B$7053</f>
        <v/>
      </c>
      <c r="H7418" s="21">
        <f>0</f>
        <v/>
      </c>
      <c r="I7418" s="21">
        <f>2*$B$7052</f>
        <v/>
      </c>
      <c r="J7418" s="21">
        <f>-$B$7051</f>
        <v/>
      </c>
      <c r="K7418" s="21">
        <f>$B$7053</f>
        <v/>
      </c>
      <c r="L7418" s="21" t="n">
        <v>0</v>
      </c>
      <c r="M7418" s="21" t="n">
        <v>0</v>
      </c>
      <c r="N7418" s="21" t="n">
        <v>0</v>
      </c>
      <c r="O7418" s="21" t="n">
        <v>0</v>
      </c>
      <c r="P7418" s="21" t="n">
        <v>0</v>
      </c>
      <c r="Q7418" s="21" t="n">
        <v>0</v>
      </c>
      <c r="R7418" s="21" t="n">
        <v>0</v>
      </c>
      <c r="S7418" s="21" t="n">
        <v>0</v>
      </c>
      <c r="T7418" s="21" t="n">
        <v>0</v>
      </c>
      <c r="U7418" s="21" t="n">
        <v>0</v>
      </c>
      <c r="V7418" s="21" t="n">
        <v>0</v>
      </c>
      <c r="W7418" s="21" t="n">
        <v>0</v>
      </c>
      <c r="X7418" s="21" t="n">
        <v>0</v>
      </c>
      <c r="Y7418" s="21" t="n">
        <v>0</v>
      </c>
      <c r="Z7418" s="19" t="n"/>
    </row>
    <row r="7419">
      <c r="D7419" s="21" t="n">
        <v>0</v>
      </c>
      <c r="E7419" s="21" t="n">
        <v>0</v>
      </c>
      <c r="F7419" s="21" t="n">
        <v>0</v>
      </c>
      <c r="G7419" s="21" t="n">
        <v>0</v>
      </c>
      <c r="H7419" s="21">
        <f>-$B$7050</f>
        <v/>
      </c>
      <c r="I7419" s="21">
        <f>-$B$7051</f>
        <v/>
      </c>
      <c r="J7419" s="21">
        <f>2*$B$7050+$D$7404</f>
        <v/>
      </c>
      <c r="K7419" s="21">
        <f>0</f>
        <v/>
      </c>
      <c r="L7419" s="21">
        <f>-$B$7050</f>
        <v/>
      </c>
      <c r="M7419" s="21">
        <f>$B$7051</f>
        <v/>
      </c>
      <c r="N7419" s="21" t="n">
        <v>0</v>
      </c>
      <c r="O7419" s="21" t="n">
        <v>0</v>
      </c>
      <c r="P7419" s="21" t="n">
        <v>0</v>
      </c>
      <c r="Q7419" s="21" t="n">
        <v>0</v>
      </c>
      <c r="R7419" s="21" t="n">
        <v>0</v>
      </c>
      <c r="S7419" s="21" t="n">
        <v>0</v>
      </c>
      <c r="T7419" s="21" t="n">
        <v>0</v>
      </c>
      <c r="U7419" s="21" t="n">
        <v>0</v>
      </c>
      <c r="V7419" s="21" t="n">
        <v>0</v>
      </c>
      <c r="W7419" s="21" t="n">
        <v>0</v>
      </c>
      <c r="X7419" s="21" t="n">
        <v>0</v>
      </c>
      <c r="Y7419" s="21" t="n">
        <v>0</v>
      </c>
      <c r="Z7419" s="19" t="n"/>
    </row>
    <row r="7420">
      <c r="D7420" s="21" t="n">
        <v>0</v>
      </c>
      <c r="E7420" s="21" t="n">
        <v>0</v>
      </c>
      <c r="F7420" s="21" t="n">
        <v>0</v>
      </c>
      <c r="G7420" s="21" t="n">
        <v>0</v>
      </c>
      <c r="H7420" s="21">
        <f>$B$7051</f>
        <v/>
      </c>
      <c r="I7420" s="21">
        <f>$B$7053</f>
        <v/>
      </c>
      <c r="J7420" s="21">
        <f>0</f>
        <v/>
      </c>
      <c r="K7420" s="21">
        <f>2*$B$7052</f>
        <v/>
      </c>
      <c r="L7420" s="21">
        <f>-$B$7051</f>
        <v/>
      </c>
      <c r="M7420" s="21">
        <f>$B$7053</f>
        <v/>
      </c>
      <c r="N7420" s="21" t="n">
        <v>0</v>
      </c>
      <c r="O7420" s="21" t="n">
        <v>0</v>
      </c>
      <c r="P7420" s="21" t="n">
        <v>0</v>
      </c>
      <c r="Q7420" s="21" t="n">
        <v>0</v>
      </c>
      <c r="R7420" s="21" t="n">
        <v>0</v>
      </c>
      <c r="S7420" s="21" t="n">
        <v>0</v>
      </c>
      <c r="T7420" s="21" t="n">
        <v>0</v>
      </c>
      <c r="U7420" s="21" t="n">
        <v>0</v>
      </c>
      <c r="V7420" s="21" t="n">
        <v>0</v>
      </c>
      <c r="W7420" s="21" t="n">
        <v>0</v>
      </c>
      <c r="X7420" s="21" t="n">
        <v>0</v>
      </c>
      <c r="Y7420" s="21" t="n">
        <v>0</v>
      </c>
      <c r="Z7420" s="19" t="n"/>
    </row>
    <row r="7421">
      <c r="D7421" s="21" t="n">
        <v>0</v>
      </c>
      <c r="E7421" s="21" t="n">
        <v>0</v>
      </c>
      <c r="F7421" s="21" t="n">
        <v>0</v>
      </c>
      <c r="G7421" s="21" t="n">
        <v>0</v>
      </c>
      <c r="H7421" s="21" t="n">
        <v>0</v>
      </c>
      <c r="I7421" s="21" t="n">
        <v>0</v>
      </c>
      <c r="J7421" s="21">
        <f>-$B$7050</f>
        <v/>
      </c>
      <c r="K7421" s="21">
        <f>-$B$7051</f>
        <v/>
      </c>
      <c r="L7421" s="21">
        <f>2*$B$7050+$D$7405</f>
        <v/>
      </c>
      <c r="M7421" s="21">
        <f>0</f>
        <v/>
      </c>
      <c r="N7421" s="21">
        <f>-$B$7050</f>
        <v/>
      </c>
      <c r="O7421" s="21">
        <f>$B$7051</f>
        <v/>
      </c>
      <c r="P7421" s="21" t="n">
        <v>0</v>
      </c>
      <c r="Q7421" s="21" t="n">
        <v>0</v>
      </c>
      <c r="R7421" s="21" t="n">
        <v>0</v>
      </c>
      <c r="S7421" s="21" t="n">
        <v>0</v>
      </c>
      <c r="T7421" s="21" t="n">
        <v>0</v>
      </c>
      <c r="U7421" s="21" t="n">
        <v>0</v>
      </c>
      <c r="V7421" s="21" t="n">
        <v>0</v>
      </c>
      <c r="W7421" s="21" t="n">
        <v>0</v>
      </c>
      <c r="X7421" s="21" t="n">
        <v>0</v>
      </c>
      <c r="Y7421" s="21" t="n">
        <v>0</v>
      </c>
      <c r="Z7421" s="19" t="n"/>
    </row>
    <row r="7422">
      <c r="D7422" s="21" t="n">
        <v>0</v>
      </c>
      <c r="E7422" s="21" t="n">
        <v>0</v>
      </c>
      <c r="F7422" s="21" t="n">
        <v>0</v>
      </c>
      <c r="G7422" s="21" t="n">
        <v>0</v>
      </c>
      <c r="H7422" s="21" t="n">
        <v>0</v>
      </c>
      <c r="I7422" s="21" t="n">
        <v>0</v>
      </c>
      <c r="J7422" s="21">
        <f>$B$7051</f>
        <v/>
      </c>
      <c r="K7422" s="21">
        <f>$B$7053</f>
        <v/>
      </c>
      <c r="L7422" s="21">
        <f>0</f>
        <v/>
      </c>
      <c r="M7422" s="21">
        <f>2*$B$7052</f>
        <v/>
      </c>
      <c r="N7422" s="21">
        <f>-$B$7051</f>
        <v/>
      </c>
      <c r="O7422" s="21">
        <f>$B$7053</f>
        <v/>
      </c>
      <c r="P7422" s="21" t="n">
        <v>0</v>
      </c>
      <c r="Q7422" s="21" t="n">
        <v>0</v>
      </c>
      <c r="R7422" s="21" t="n">
        <v>0</v>
      </c>
      <c r="S7422" s="21" t="n">
        <v>0</v>
      </c>
      <c r="T7422" s="21" t="n">
        <v>0</v>
      </c>
      <c r="U7422" s="21" t="n">
        <v>0</v>
      </c>
      <c r="V7422" s="21" t="n">
        <v>0</v>
      </c>
      <c r="W7422" s="21" t="n">
        <v>0</v>
      </c>
      <c r="X7422" s="21" t="n">
        <v>0</v>
      </c>
      <c r="Y7422" s="21" t="n">
        <v>0</v>
      </c>
      <c r="Z7422" s="19" t="n"/>
    </row>
    <row r="7423">
      <c r="D7423" s="21" t="n">
        <v>0</v>
      </c>
      <c r="E7423" s="21" t="n">
        <v>0</v>
      </c>
      <c r="F7423" s="21" t="n">
        <v>0</v>
      </c>
      <c r="G7423" s="21" t="n">
        <v>0</v>
      </c>
      <c r="H7423" s="21" t="n">
        <v>0</v>
      </c>
      <c r="I7423" s="21" t="n">
        <v>0</v>
      </c>
      <c r="J7423" s="21" t="n">
        <v>0</v>
      </c>
      <c r="K7423" s="21" t="n">
        <v>0</v>
      </c>
      <c r="L7423" s="21">
        <f>-$B$7050</f>
        <v/>
      </c>
      <c r="M7423" s="21">
        <f>-$B$7051</f>
        <v/>
      </c>
      <c r="N7423" s="21">
        <f>2*$B$7050+$D$7406</f>
        <v/>
      </c>
      <c r="O7423" s="21">
        <f>0</f>
        <v/>
      </c>
      <c r="P7423" s="21">
        <f>-$B$7050</f>
        <v/>
      </c>
      <c r="Q7423" s="21">
        <f>$B$7051</f>
        <v/>
      </c>
      <c r="R7423" s="21" t="n">
        <v>0</v>
      </c>
      <c r="S7423" s="21" t="n">
        <v>0</v>
      </c>
      <c r="T7423" s="21" t="n">
        <v>0</v>
      </c>
      <c r="U7423" s="21" t="n">
        <v>0</v>
      </c>
      <c r="V7423" s="21" t="n">
        <v>0</v>
      </c>
      <c r="W7423" s="21" t="n">
        <v>0</v>
      </c>
      <c r="X7423" s="21" t="n">
        <v>0</v>
      </c>
      <c r="Y7423" s="21" t="n">
        <v>0</v>
      </c>
      <c r="Z7423" s="19" t="n"/>
    </row>
    <row r="7424">
      <c r="D7424" s="21" t="n">
        <v>0</v>
      </c>
      <c r="E7424" s="21" t="n">
        <v>0</v>
      </c>
      <c r="F7424" s="21" t="n">
        <v>0</v>
      </c>
      <c r="G7424" s="21" t="n">
        <v>0</v>
      </c>
      <c r="H7424" s="21" t="n">
        <v>0</v>
      </c>
      <c r="I7424" s="21" t="n">
        <v>0</v>
      </c>
      <c r="J7424" s="21" t="n">
        <v>0</v>
      </c>
      <c r="K7424" s="21" t="n">
        <v>0</v>
      </c>
      <c r="L7424" s="21">
        <f>$B$7051</f>
        <v/>
      </c>
      <c r="M7424" s="21">
        <f>$B$7053</f>
        <v/>
      </c>
      <c r="N7424" s="21">
        <f>0</f>
        <v/>
      </c>
      <c r="O7424" s="21">
        <f>2*$B$7052</f>
        <v/>
      </c>
      <c r="P7424" s="21">
        <f>-$B$7051</f>
        <v/>
      </c>
      <c r="Q7424" s="21">
        <f>$B$7053</f>
        <v/>
      </c>
      <c r="R7424" s="21" t="n">
        <v>0</v>
      </c>
      <c r="S7424" s="21" t="n">
        <v>0</v>
      </c>
      <c r="T7424" s="21" t="n">
        <v>0</v>
      </c>
      <c r="U7424" s="21" t="n">
        <v>0</v>
      </c>
      <c r="V7424" s="21" t="n">
        <v>0</v>
      </c>
      <c r="W7424" s="21" t="n">
        <v>0</v>
      </c>
      <c r="X7424" s="21" t="n">
        <v>0</v>
      </c>
      <c r="Y7424" s="21" t="n">
        <v>0</v>
      </c>
      <c r="Z7424" s="19" t="n"/>
    </row>
    <row r="7425">
      <c r="D7425" s="21" t="n">
        <v>0</v>
      </c>
      <c r="E7425" s="21" t="n">
        <v>0</v>
      </c>
      <c r="F7425" s="21" t="n">
        <v>0</v>
      </c>
      <c r="G7425" s="21" t="n">
        <v>0</v>
      </c>
      <c r="H7425" s="21" t="n">
        <v>0</v>
      </c>
      <c r="I7425" s="21" t="n">
        <v>0</v>
      </c>
      <c r="J7425" s="21" t="n">
        <v>0</v>
      </c>
      <c r="K7425" s="21" t="n">
        <v>0</v>
      </c>
      <c r="L7425" s="21" t="n">
        <v>0</v>
      </c>
      <c r="M7425" s="21" t="n">
        <v>0</v>
      </c>
      <c r="N7425" s="21">
        <f>-$B$7050</f>
        <v/>
      </c>
      <c r="O7425" s="21">
        <f>-$B$7051</f>
        <v/>
      </c>
      <c r="P7425" s="21">
        <f>2*$B$7050+$D$7407</f>
        <v/>
      </c>
      <c r="Q7425" s="21">
        <f>0</f>
        <v/>
      </c>
      <c r="R7425" s="21">
        <f>-$B$7050</f>
        <v/>
      </c>
      <c r="S7425" s="21">
        <f>$B$7051</f>
        <v/>
      </c>
      <c r="T7425" s="21" t="n">
        <v>0</v>
      </c>
      <c r="U7425" s="21" t="n">
        <v>0</v>
      </c>
      <c r="V7425" s="21" t="n">
        <v>0</v>
      </c>
      <c r="W7425" s="21" t="n">
        <v>0</v>
      </c>
      <c r="X7425" s="21" t="n">
        <v>0</v>
      </c>
      <c r="Y7425" s="21" t="n">
        <v>0</v>
      </c>
      <c r="Z7425" s="19" t="n"/>
    </row>
    <row r="7426">
      <c r="D7426" s="21" t="n">
        <v>0</v>
      </c>
      <c r="E7426" s="21" t="n">
        <v>0</v>
      </c>
      <c r="F7426" s="21" t="n">
        <v>0</v>
      </c>
      <c r="G7426" s="21" t="n">
        <v>0</v>
      </c>
      <c r="H7426" s="21" t="n">
        <v>0</v>
      </c>
      <c r="I7426" s="21" t="n">
        <v>0</v>
      </c>
      <c r="J7426" s="21" t="n">
        <v>0</v>
      </c>
      <c r="K7426" s="21" t="n">
        <v>0</v>
      </c>
      <c r="L7426" s="21" t="n">
        <v>0</v>
      </c>
      <c r="M7426" s="21" t="n">
        <v>0</v>
      </c>
      <c r="N7426" s="21">
        <f>$B$7051</f>
        <v/>
      </c>
      <c r="O7426" s="21">
        <f>$B$7053</f>
        <v/>
      </c>
      <c r="P7426" s="21">
        <f>0</f>
        <v/>
      </c>
      <c r="Q7426" s="21">
        <f>2*$B$7052</f>
        <v/>
      </c>
      <c r="R7426" s="21">
        <f>-$B$7051</f>
        <v/>
      </c>
      <c r="S7426" s="21">
        <f>$B$7053</f>
        <v/>
      </c>
      <c r="T7426" s="21" t="n">
        <v>0</v>
      </c>
      <c r="U7426" s="21" t="n">
        <v>0</v>
      </c>
      <c r="V7426" s="21" t="n">
        <v>0</v>
      </c>
      <c r="W7426" s="21" t="n">
        <v>0</v>
      </c>
      <c r="X7426" s="21" t="n">
        <v>0</v>
      </c>
      <c r="Y7426" s="21" t="n">
        <v>0</v>
      </c>
      <c r="Z7426" s="19" t="n"/>
    </row>
    <row r="7427">
      <c r="D7427" s="21" t="n">
        <v>0</v>
      </c>
      <c r="E7427" s="21" t="n">
        <v>0</v>
      </c>
      <c r="F7427" s="21" t="n">
        <v>0</v>
      </c>
      <c r="G7427" s="21" t="n">
        <v>0</v>
      </c>
      <c r="H7427" s="21" t="n">
        <v>0</v>
      </c>
      <c r="I7427" s="21" t="n">
        <v>0</v>
      </c>
      <c r="J7427" s="21" t="n">
        <v>0</v>
      </c>
      <c r="K7427" s="21" t="n">
        <v>0</v>
      </c>
      <c r="L7427" s="21" t="n">
        <v>0</v>
      </c>
      <c r="M7427" s="21" t="n">
        <v>0</v>
      </c>
      <c r="N7427" s="21" t="n">
        <v>0</v>
      </c>
      <c r="O7427" s="21" t="n">
        <v>0</v>
      </c>
      <c r="P7427" s="21">
        <f>-$B$7050</f>
        <v/>
      </c>
      <c r="Q7427" s="21">
        <f>-$B$7051</f>
        <v/>
      </c>
      <c r="R7427" s="21">
        <f>2*$B$7050+$D$7408</f>
        <v/>
      </c>
      <c r="S7427" s="21">
        <f>0</f>
        <v/>
      </c>
      <c r="T7427" s="21">
        <f>-$B$7050</f>
        <v/>
      </c>
      <c r="U7427" s="21">
        <f>$B$7051</f>
        <v/>
      </c>
      <c r="V7427" s="21" t="n">
        <v>0</v>
      </c>
      <c r="W7427" s="21" t="n">
        <v>0</v>
      </c>
      <c r="X7427" s="21" t="n">
        <v>0</v>
      </c>
      <c r="Y7427" s="21" t="n">
        <v>0</v>
      </c>
      <c r="Z7427" s="19" t="n"/>
    </row>
    <row r="7428">
      <c r="D7428" s="21" t="n">
        <v>0</v>
      </c>
      <c r="E7428" s="21" t="n">
        <v>0</v>
      </c>
      <c r="F7428" s="21" t="n">
        <v>0</v>
      </c>
      <c r="G7428" s="21" t="n">
        <v>0</v>
      </c>
      <c r="H7428" s="21" t="n">
        <v>0</v>
      </c>
      <c r="I7428" s="21" t="n">
        <v>0</v>
      </c>
      <c r="J7428" s="21" t="n">
        <v>0</v>
      </c>
      <c r="K7428" s="21" t="n">
        <v>0</v>
      </c>
      <c r="L7428" s="21" t="n">
        <v>0</v>
      </c>
      <c r="M7428" s="21" t="n">
        <v>0</v>
      </c>
      <c r="N7428" s="21" t="n">
        <v>0</v>
      </c>
      <c r="O7428" s="21" t="n">
        <v>0</v>
      </c>
      <c r="P7428" s="21">
        <f>$B$7051</f>
        <v/>
      </c>
      <c r="Q7428" s="21">
        <f>$B$7053</f>
        <v/>
      </c>
      <c r="R7428" s="21">
        <f>0</f>
        <v/>
      </c>
      <c r="S7428" s="21">
        <f>2*$B$7052</f>
        <v/>
      </c>
      <c r="T7428" s="21">
        <f>-$B$7051</f>
        <v/>
      </c>
      <c r="U7428" s="21">
        <f>$B$7053</f>
        <v/>
      </c>
      <c r="V7428" s="21" t="n">
        <v>0</v>
      </c>
      <c r="W7428" s="21" t="n">
        <v>0</v>
      </c>
      <c r="X7428" s="21" t="n">
        <v>0</v>
      </c>
      <c r="Y7428" s="21" t="n">
        <v>0</v>
      </c>
      <c r="Z7428" s="19" t="n"/>
    </row>
    <row r="7429">
      <c r="D7429" s="21" t="n">
        <v>0</v>
      </c>
      <c r="E7429" s="21" t="n">
        <v>0</v>
      </c>
      <c r="F7429" s="21" t="n">
        <v>0</v>
      </c>
      <c r="G7429" s="21" t="n">
        <v>0</v>
      </c>
      <c r="H7429" s="21" t="n">
        <v>0</v>
      </c>
      <c r="I7429" s="21" t="n">
        <v>0</v>
      </c>
      <c r="J7429" s="21" t="n">
        <v>0</v>
      </c>
      <c r="K7429" s="21" t="n">
        <v>0</v>
      </c>
      <c r="L7429" s="21" t="n">
        <v>0</v>
      </c>
      <c r="M7429" s="21" t="n">
        <v>0</v>
      </c>
      <c r="N7429" s="21" t="n">
        <v>0</v>
      </c>
      <c r="O7429" s="21" t="n">
        <v>0</v>
      </c>
      <c r="P7429" s="21" t="n">
        <v>0</v>
      </c>
      <c r="Q7429" s="21" t="n">
        <v>0</v>
      </c>
      <c r="R7429" s="21">
        <f>-$B$7050</f>
        <v/>
      </c>
      <c r="S7429" s="21">
        <f>-$B$7051</f>
        <v/>
      </c>
      <c r="T7429" s="21">
        <f>2*$B$7050+$D$7409</f>
        <v/>
      </c>
      <c r="U7429" s="21">
        <f>0</f>
        <v/>
      </c>
      <c r="V7429" s="21">
        <f>-$B$7050</f>
        <v/>
      </c>
      <c r="W7429" s="21">
        <f>$B$7051</f>
        <v/>
      </c>
      <c r="X7429" s="21" t="n">
        <v>0</v>
      </c>
      <c r="Y7429" s="21" t="n">
        <v>0</v>
      </c>
      <c r="Z7429" s="19" t="n"/>
    </row>
    <row r="7430">
      <c r="D7430" s="21" t="n">
        <v>0</v>
      </c>
      <c r="E7430" s="21" t="n">
        <v>0</v>
      </c>
      <c r="F7430" s="21" t="n">
        <v>0</v>
      </c>
      <c r="G7430" s="21" t="n">
        <v>0</v>
      </c>
      <c r="H7430" s="21" t="n">
        <v>0</v>
      </c>
      <c r="I7430" s="21" t="n">
        <v>0</v>
      </c>
      <c r="J7430" s="21" t="n">
        <v>0</v>
      </c>
      <c r="K7430" s="21" t="n">
        <v>0</v>
      </c>
      <c r="L7430" s="21" t="n">
        <v>0</v>
      </c>
      <c r="M7430" s="21" t="n">
        <v>0</v>
      </c>
      <c r="N7430" s="21" t="n">
        <v>0</v>
      </c>
      <c r="O7430" s="21" t="n">
        <v>0</v>
      </c>
      <c r="P7430" s="21" t="n">
        <v>0</v>
      </c>
      <c r="Q7430" s="21" t="n">
        <v>0</v>
      </c>
      <c r="R7430" s="21">
        <f>$B$7051</f>
        <v/>
      </c>
      <c r="S7430" s="21">
        <f>$B$7053</f>
        <v/>
      </c>
      <c r="T7430" s="21">
        <f>0</f>
        <v/>
      </c>
      <c r="U7430" s="21">
        <f>2*$B$7052</f>
        <v/>
      </c>
      <c r="V7430" s="21">
        <f>-$B$7051</f>
        <v/>
      </c>
      <c r="W7430" s="21">
        <f>$B$7053</f>
        <v/>
      </c>
      <c r="X7430" s="21" t="n">
        <v>0</v>
      </c>
      <c r="Y7430" s="21" t="n">
        <v>0</v>
      </c>
      <c r="Z7430" s="19" t="n"/>
    </row>
    <row r="7431">
      <c r="D7431" s="21" t="n">
        <v>0</v>
      </c>
      <c r="E7431" s="21" t="n">
        <v>0</v>
      </c>
      <c r="F7431" s="21" t="n">
        <v>0</v>
      </c>
      <c r="G7431" s="21" t="n">
        <v>0</v>
      </c>
      <c r="H7431" s="21" t="n">
        <v>0</v>
      </c>
      <c r="I7431" s="21" t="n">
        <v>0</v>
      </c>
      <c r="J7431" s="21" t="n">
        <v>0</v>
      </c>
      <c r="K7431" s="21" t="n">
        <v>0</v>
      </c>
      <c r="L7431" s="21" t="n">
        <v>0</v>
      </c>
      <c r="M7431" s="21" t="n">
        <v>0</v>
      </c>
      <c r="N7431" s="21" t="n">
        <v>0</v>
      </c>
      <c r="O7431" s="21" t="n">
        <v>0</v>
      </c>
      <c r="P7431" s="21" t="n">
        <v>0</v>
      </c>
      <c r="Q7431" s="21" t="n">
        <v>0</v>
      </c>
      <c r="R7431" s="21" t="n">
        <v>0</v>
      </c>
      <c r="S7431" s="21" t="n">
        <v>0</v>
      </c>
      <c r="T7431" s="21">
        <f>-$B$7050</f>
        <v/>
      </c>
      <c r="U7431" s="21">
        <f>-$B$7051</f>
        <v/>
      </c>
      <c r="V7431" s="21">
        <f>2*$B$7050+$D$7410</f>
        <v/>
      </c>
      <c r="W7431" s="21">
        <f>0</f>
        <v/>
      </c>
      <c r="X7431" s="21">
        <f>-$B$7050</f>
        <v/>
      </c>
      <c r="Y7431" s="21">
        <f>$B$7051</f>
        <v/>
      </c>
      <c r="Z7431" s="19" t="n"/>
    </row>
    <row r="7432">
      <c r="D7432" s="21" t="n">
        <v>0</v>
      </c>
      <c r="E7432" s="21" t="n">
        <v>0</v>
      </c>
      <c r="F7432" s="21" t="n">
        <v>0</v>
      </c>
      <c r="G7432" s="21" t="n">
        <v>0</v>
      </c>
      <c r="H7432" s="21" t="n">
        <v>0</v>
      </c>
      <c r="I7432" s="21" t="n">
        <v>0</v>
      </c>
      <c r="J7432" s="21" t="n">
        <v>0</v>
      </c>
      <c r="K7432" s="21" t="n">
        <v>0</v>
      </c>
      <c r="L7432" s="21" t="n">
        <v>0</v>
      </c>
      <c r="M7432" s="21" t="n">
        <v>0</v>
      </c>
      <c r="N7432" s="21" t="n">
        <v>0</v>
      </c>
      <c r="O7432" s="21" t="n">
        <v>0</v>
      </c>
      <c r="P7432" s="21" t="n">
        <v>0</v>
      </c>
      <c r="Q7432" s="21" t="n">
        <v>0</v>
      </c>
      <c r="R7432" s="21" t="n">
        <v>0</v>
      </c>
      <c r="S7432" s="21" t="n">
        <v>0</v>
      </c>
      <c r="T7432" s="21">
        <f>$B$7051</f>
        <v/>
      </c>
      <c r="U7432" s="21">
        <f>$B$7053</f>
        <v/>
      </c>
      <c r="V7432" s="21">
        <f>0</f>
        <v/>
      </c>
      <c r="W7432" s="21">
        <f>2*$B$7052</f>
        <v/>
      </c>
      <c r="X7432" s="21">
        <f>-$B$7051</f>
        <v/>
      </c>
      <c r="Y7432" s="21">
        <f>$B$7053</f>
        <v/>
      </c>
      <c r="Z7432" s="19" t="n"/>
    </row>
    <row r="7433">
      <c r="D7433" s="21" t="n">
        <v>0</v>
      </c>
      <c r="E7433" s="21" t="n">
        <v>0</v>
      </c>
      <c r="F7433" s="21" t="n">
        <v>0</v>
      </c>
      <c r="G7433" s="21" t="n">
        <v>0</v>
      </c>
      <c r="H7433" s="21" t="n">
        <v>0</v>
      </c>
      <c r="I7433" s="21" t="n">
        <v>0</v>
      </c>
      <c r="J7433" s="21" t="n">
        <v>0</v>
      </c>
      <c r="K7433" s="21" t="n">
        <v>0</v>
      </c>
      <c r="L7433" s="21" t="n">
        <v>0</v>
      </c>
      <c r="M7433" s="21" t="n">
        <v>0</v>
      </c>
      <c r="N7433" s="21" t="n">
        <v>0</v>
      </c>
      <c r="O7433" s="21" t="n">
        <v>0</v>
      </c>
      <c r="P7433" s="21" t="n">
        <v>0</v>
      </c>
      <c r="Q7433" s="21" t="n">
        <v>0</v>
      </c>
      <c r="R7433" s="21" t="n">
        <v>0</v>
      </c>
      <c r="S7433" s="21" t="n">
        <v>0</v>
      </c>
      <c r="T7433" s="21" t="n">
        <v>0</v>
      </c>
      <c r="U7433" s="21" t="n">
        <v>0</v>
      </c>
      <c r="V7433" s="21">
        <f>-$B$7050</f>
        <v/>
      </c>
      <c r="W7433" s="21">
        <f>-$B$7051</f>
        <v/>
      </c>
      <c r="X7433" s="21">
        <f>$B$7050+$D$7411</f>
        <v/>
      </c>
      <c r="Y7433" s="21">
        <f>-$B$7051</f>
        <v/>
      </c>
      <c r="Z7433" s="19" t="n"/>
    </row>
    <row r="7434">
      <c r="D7434" s="21" t="n">
        <v>0</v>
      </c>
      <c r="E7434" s="21" t="n">
        <v>0</v>
      </c>
      <c r="F7434" s="21" t="n">
        <v>0</v>
      </c>
      <c r="G7434" s="21" t="n">
        <v>0</v>
      </c>
      <c r="H7434" s="21" t="n">
        <v>0</v>
      </c>
      <c r="I7434" s="21" t="n">
        <v>0</v>
      </c>
      <c r="J7434" s="21" t="n">
        <v>0</v>
      </c>
      <c r="K7434" s="21" t="n">
        <v>0</v>
      </c>
      <c r="L7434" s="21" t="n">
        <v>0</v>
      </c>
      <c r="M7434" s="21" t="n">
        <v>0</v>
      </c>
      <c r="N7434" s="21" t="n">
        <v>0</v>
      </c>
      <c r="O7434" s="21" t="n">
        <v>0</v>
      </c>
      <c r="P7434" s="21" t="n">
        <v>0</v>
      </c>
      <c r="Q7434" s="21" t="n">
        <v>0</v>
      </c>
      <c r="R7434" s="21" t="n">
        <v>0</v>
      </c>
      <c r="S7434" s="21" t="n">
        <v>0</v>
      </c>
      <c r="T7434" s="21" t="n">
        <v>0</v>
      </c>
      <c r="U7434" s="21" t="n">
        <v>0</v>
      </c>
      <c r="V7434" s="21">
        <f>$B$7051</f>
        <v/>
      </c>
      <c r="W7434" s="21">
        <f>$B$7053</f>
        <v/>
      </c>
      <c r="X7434" s="21">
        <f>-$B$7051</f>
        <v/>
      </c>
      <c r="Y7434" s="21">
        <f>$B$7052</f>
        <v/>
      </c>
      <c r="Z7434" s="19" t="n"/>
    </row>
    <row r="7436">
      <c r="A7436" s="8" t="inlineStr">
        <is>
          <t>gen 10</t>
        </is>
      </c>
    </row>
    <row r="7437">
      <c r="D7437" s="19">
        <f>IF(ABS(IF(ABS($E$7401)&gt;0.000000001,$E$7401,0.000000001))=0,0,IF($E$7065&lt;=$B$7059,0,IF(ABS(IF(ABS($E$7401)&gt;0.000000001,$E$7401,0.000000001))&gt;=8*$B$7061,$H$7065,0.5*$H$7065*(ABS(IF(ABS($E$7401)&gt;0.000000001,$E$7401,0.000000001))/$B$7061)^(1/3)))/ABS(IF(ABS($E$7401)&gt;0.000000001,$E$7401,0.000000001))*$I$7065)</f>
        <v/>
      </c>
      <c r="E7437" s="19">
        <f>0.5*$E$7401+0.5*$Z$7449</f>
        <v/>
      </c>
      <c r="F7437" s="19">
        <f>$Z$7450</f>
        <v/>
      </c>
    </row>
    <row r="7438">
      <c r="D7438" s="19">
        <f>IF(ABS(IF(ABS($E$7402)&gt;0.000000001,$E$7402,0.000000001))=0,0,IF($E$7066&lt;=$B$7059,0,IF(ABS(IF(ABS($E$7402)&gt;0.000000001,$E$7402,0.000000001))&gt;=8*$B$7061,$H$7066,0.5*$H$7066*(ABS(IF(ABS($E$7402)&gt;0.000000001,$E$7402,0.000000001))/$B$7061)^(1/3)))/ABS(IF(ABS($E$7402)&gt;0.000000001,$E$7402,0.000000001))*$I$7066)</f>
        <v/>
      </c>
      <c r="E7438" s="19">
        <f>0.5*$E$7402+0.5*$Z$7451</f>
        <v/>
      </c>
      <c r="F7438" s="19">
        <f>$Z$7452</f>
        <v/>
      </c>
    </row>
    <row r="7439">
      <c r="D7439" s="19">
        <f>IF(ABS(IF(ABS($E$7403)&gt;0.000000001,$E$7403,0.000000001))=0,0,IF($E$7067&lt;=$B$7059,0,IF(ABS(IF(ABS($E$7403)&gt;0.000000001,$E$7403,0.000000001))&gt;=8*$B$7061,$H$7067,0.5*$H$7067*(ABS(IF(ABS($E$7403)&gt;0.000000001,$E$7403,0.000000001))/$B$7061)^(1/3)))/ABS(IF(ABS($E$7403)&gt;0.000000001,$E$7403,0.000000001))*$I$7067)</f>
        <v/>
      </c>
      <c r="E7439" s="19">
        <f>0.5*$E$7403+0.5*$Z$7453</f>
        <v/>
      </c>
      <c r="F7439" s="19">
        <f>$Z$7454</f>
        <v/>
      </c>
    </row>
    <row r="7440">
      <c r="D7440" s="19">
        <f>IF(ABS(IF(ABS($E$7404)&gt;0.000000001,$E$7404,0.000000001))=0,0,IF($E$7068&lt;=$B$7059,0,IF(ABS(IF(ABS($E$7404)&gt;0.000000001,$E$7404,0.000000001))&gt;=8*$B$7061,$H$7068,0.5*$H$7068*(ABS(IF(ABS($E$7404)&gt;0.000000001,$E$7404,0.000000001))/$B$7061)^(1/3)))/ABS(IF(ABS($E$7404)&gt;0.000000001,$E$7404,0.000000001))*$I$7068)</f>
        <v/>
      </c>
      <c r="E7440" s="19">
        <f>0.5*$E$7404+0.5*$Z$7455</f>
        <v/>
      </c>
      <c r="F7440" s="19">
        <f>$Z$7456</f>
        <v/>
      </c>
    </row>
    <row r="7441">
      <c r="D7441" s="19">
        <f>IF(ABS(IF(ABS($E$7405)&gt;0.000000001,$E$7405,0.000000001))=0,0,IF($E$7069&lt;=$B$7059,0,IF(ABS(IF(ABS($E$7405)&gt;0.000000001,$E$7405,0.000000001))&gt;=8*$B$7061,$H$7069,0.5*$H$7069*(ABS(IF(ABS($E$7405)&gt;0.000000001,$E$7405,0.000000001))/$B$7061)^(1/3)))/ABS(IF(ABS($E$7405)&gt;0.000000001,$E$7405,0.000000001))*$I$7069)</f>
        <v/>
      </c>
      <c r="E7441" s="19">
        <f>0.5*$E$7405+0.5*$Z$7457</f>
        <v/>
      </c>
      <c r="F7441" s="19">
        <f>$Z$7458</f>
        <v/>
      </c>
    </row>
    <row r="7442">
      <c r="D7442" s="19">
        <f>IF(ABS(IF(ABS($E$7406)&gt;0.000000001,$E$7406,0.000000001))=0,0,IF($E$7070&lt;=$B$7059,0,IF(ABS(IF(ABS($E$7406)&gt;0.000000001,$E$7406,0.000000001))&gt;=8*$B$7061,$H$7070,0.5*$H$7070*(ABS(IF(ABS($E$7406)&gt;0.000000001,$E$7406,0.000000001))/$B$7061)^(1/3)))/ABS(IF(ABS($E$7406)&gt;0.000000001,$E$7406,0.000000001))*$I$7070)</f>
        <v/>
      </c>
      <c r="E7442" s="19">
        <f>0.5*$E$7406+0.5*$Z$7459</f>
        <v/>
      </c>
      <c r="F7442" s="19">
        <f>$Z$7460</f>
        <v/>
      </c>
    </row>
    <row r="7443">
      <c r="D7443" s="19">
        <f>IF(ABS(IF(ABS($E$7407)&gt;0.000000001,$E$7407,0.000000001))=0,0,IF($E$7071&lt;=$B$7059,0,IF(ABS(IF(ABS($E$7407)&gt;0.000000001,$E$7407,0.000000001))&gt;=8*$B$7061,$H$7071,0.5*$H$7071*(ABS(IF(ABS($E$7407)&gt;0.000000001,$E$7407,0.000000001))/$B$7061)^(1/3)))/ABS(IF(ABS($E$7407)&gt;0.000000001,$E$7407,0.000000001))*$I$7071)</f>
        <v/>
      </c>
      <c r="E7443" s="19">
        <f>0.5*$E$7407+0.5*$Z$7461</f>
        <v/>
      </c>
      <c r="F7443" s="19">
        <f>$Z$7462</f>
        <v/>
      </c>
    </row>
    <row r="7444">
      <c r="D7444" s="19">
        <f>IF(ABS(IF(ABS($E$7408)&gt;0.000000001,$E$7408,0.000000001))=0,0,IF($E$7072&lt;=$B$7059,0,IF(ABS(IF(ABS($E$7408)&gt;0.000000001,$E$7408,0.000000001))&gt;=8*$B$7061,$H$7072,0.5*$H$7072*(ABS(IF(ABS($E$7408)&gt;0.000000001,$E$7408,0.000000001))/$B$7061)^(1/3)))/ABS(IF(ABS($E$7408)&gt;0.000000001,$E$7408,0.000000001))*$I$7072)</f>
        <v/>
      </c>
      <c r="E7444" s="19">
        <f>0.5*$E$7408+0.5*$Z$7463</f>
        <v/>
      </c>
      <c r="F7444" s="19">
        <f>$Z$7464</f>
        <v/>
      </c>
    </row>
    <row r="7445">
      <c r="D7445" s="19">
        <f>IF(ABS(IF(ABS($E$7409)&gt;0.000000001,$E$7409,0.000000001))=0,0,IF($E$7073&lt;=$B$7059,0,IF(ABS(IF(ABS($E$7409)&gt;0.000000001,$E$7409,0.000000001))&gt;=8*$B$7061,$H$7073,0.5*$H$7073*(ABS(IF(ABS($E$7409)&gt;0.000000001,$E$7409,0.000000001))/$B$7061)^(1/3)))/ABS(IF(ABS($E$7409)&gt;0.000000001,$E$7409,0.000000001))*$I$7073)</f>
        <v/>
      </c>
      <c r="E7445" s="19">
        <f>0.5*$E$7409+0.5*$Z$7465</f>
        <v/>
      </c>
      <c r="F7445" s="19">
        <f>$Z$7466</f>
        <v/>
      </c>
    </row>
    <row r="7446">
      <c r="D7446" s="19">
        <f>IF(ABS(IF(ABS($E$7410)&gt;0.000000001,$E$7410,0.000000001))=0,0,IF($E$7074&lt;=$B$7059,0,IF(ABS(IF(ABS($E$7410)&gt;0.000000001,$E$7410,0.000000001))&gt;=8*$B$7061,$H$7074,0.5*$H$7074*(ABS(IF(ABS($E$7410)&gt;0.000000001,$E$7410,0.000000001))/$B$7061)^(1/3)))/ABS(IF(ABS($E$7410)&gt;0.000000001,$E$7410,0.000000001))*$I$7074)</f>
        <v/>
      </c>
      <c r="E7446" s="19">
        <f>0.5*$E$7410+0.5*$Z$7467</f>
        <v/>
      </c>
      <c r="F7446" s="19">
        <f>$Z$7468</f>
        <v/>
      </c>
    </row>
    <row r="7447">
      <c r="D7447" s="19">
        <f>IF(ABS(IF(ABS($E$7411)&gt;0.000000001,$E$7411,0.000000001))=0,0,IF($E$7075&lt;=$B$7059,0,IF(ABS(IF(ABS($E$7411)&gt;0.000000001,$E$7411,0.000000001))&gt;=8*$B$7061,$H$7075,0.5*$H$7075*(ABS(IF(ABS($E$7411)&gt;0.000000001,$E$7411,0.000000001))/$B$7061)^(1/3)))/ABS(IF(ABS($E$7411)&gt;0.000000001,$E$7411,0.000000001))*$I$7075)</f>
        <v/>
      </c>
      <c r="E7447" s="19">
        <f>0.5*$E$7411+0.5*$Z$7469</f>
        <v/>
      </c>
      <c r="F7447" s="19">
        <f>$Z$7470</f>
        <v/>
      </c>
    </row>
    <row r="7449">
      <c r="D7449" s="21">
        <f>$B$7050+$D$7437</f>
        <v/>
      </c>
      <c r="E7449" s="21">
        <f>$B$7051</f>
        <v/>
      </c>
      <c r="F7449" s="21">
        <f>-$B$7050</f>
        <v/>
      </c>
      <c r="G7449" s="21">
        <f>$B$7051</f>
        <v/>
      </c>
      <c r="H7449" s="21" t="n">
        <v>0</v>
      </c>
      <c r="I7449" s="21" t="n">
        <v>0</v>
      </c>
      <c r="J7449" s="21" t="n">
        <v>0</v>
      </c>
      <c r="K7449" s="21" t="n">
        <v>0</v>
      </c>
      <c r="L7449" s="21" t="n">
        <v>0</v>
      </c>
      <c r="M7449" s="21" t="n">
        <v>0</v>
      </c>
      <c r="N7449" s="21" t="n">
        <v>0</v>
      </c>
      <c r="O7449" s="21" t="n">
        <v>0</v>
      </c>
      <c r="P7449" s="21" t="n">
        <v>0</v>
      </c>
      <c r="Q7449" s="21" t="n">
        <v>0</v>
      </c>
      <c r="R7449" s="21" t="n">
        <v>0</v>
      </c>
      <c r="S7449" s="21" t="n">
        <v>0</v>
      </c>
      <c r="T7449" s="21" t="n">
        <v>0</v>
      </c>
      <c r="U7449" s="21" t="n">
        <v>0</v>
      </c>
      <c r="V7449" s="21" t="n">
        <v>0</v>
      </c>
      <c r="W7449" s="21" t="n">
        <v>0</v>
      </c>
      <c r="X7449" s="21" t="n">
        <v>0</v>
      </c>
      <c r="Y7449" s="21" t="n">
        <v>0</v>
      </c>
      <c r="Z7449" s="19">
        <f t="array" ref="Z7449:Z7470">MMULT(MINVERSE($D$7449:$Y$7470),$D$7077:$D$7098)</f>
        <v/>
      </c>
    </row>
    <row r="7450">
      <c r="D7450" s="21">
        <f>$B$7051</f>
        <v/>
      </c>
      <c r="E7450" s="21">
        <f>$B$7052</f>
        <v/>
      </c>
      <c r="F7450" s="21">
        <f>-$B$7051</f>
        <v/>
      </c>
      <c r="G7450" s="21">
        <f>$B$7053</f>
        <v/>
      </c>
      <c r="H7450" s="21" t="n">
        <v>0</v>
      </c>
      <c r="I7450" s="21" t="n">
        <v>0</v>
      </c>
      <c r="J7450" s="21" t="n">
        <v>0</v>
      </c>
      <c r="K7450" s="21" t="n">
        <v>0</v>
      </c>
      <c r="L7450" s="21" t="n">
        <v>0</v>
      </c>
      <c r="M7450" s="21" t="n">
        <v>0</v>
      </c>
      <c r="N7450" s="21" t="n">
        <v>0</v>
      </c>
      <c r="O7450" s="21" t="n">
        <v>0</v>
      </c>
      <c r="P7450" s="21" t="n">
        <v>0</v>
      </c>
      <c r="Q7450" s="21" t="n">
        <v>0</v>
      </c>
      <c r="R7450" s="21" t="n">
        <v>0</v>
      </c>
      <c r="S7450" s="21" t="n">
        <v>0</v>
      </c>
      <c r="T7450" s="21" t="n">
        <v>0</v>
      </c>
      <c r="U7450" s="21" t="n">
        <v>0</v>
      </c>
      <c r="V7450" s="21" t="n">
        <v>0</v>
      </c>
      <c r="W7450" s="21" t="n">
        <v>0</v>
      </c>
      <c r="X7450" s="21" t="n">
        <v>0</v>
      </c>
      <c r="Y7450" s="21" t="n">
        <v>0</v>
      </c>
      <c r="Z7450" s="19" t="n"/>
    </row>
    <row r="7451">
      <c r="D7451" s="21">
        <f>-$B$7050</f>
        <v/>
      </c>
      <c r="E7451" s="21">
        <f>-$B$7051</f>
        <v/>
      </c>
      <c r="F7451" s="21">
        <f>2*$B$7050+$D$7438</f>
        <v/>
      </c>
      <c r="G7451" s="21">
        <f>0</f>
        <v/>
      </c>
      <c r="H7451" s="21">
        <f>-$B$7050</f>
        <v/>
      </c>
      <c r="I7451" s="21">
        <f>$B$7051</f>
        <v/>
      </c>
      <c r="J7451" s="21" t="n">
        <v>0</v>
      </c>
      <c r="K7451" s="21" t="n">
        <v>0</v>
      </c>
      <c r="L7451" s="21" t="n">
        <v>0</v>
      </c>
      <c r="M7451" s="21" t="n">
        <v>0</v>
      </c>
      <c r="N7451" s="21" t="n">
        <v>0</v>
      </c>
      <c r="O7451" s="21" t="n">
        <v>0</v>
      </c>
      <c r="P7451" s="21" t="n">
        <v>0</v>
      </c>
      <c r="Q7451" s="21" t="n">
        <v>0</v>
      </c>
      <c r="R7451" s="21" t="n">
        <v>0</v>
      </c>
      <c r="S7451" s="21" t="n">
        <v>0</v>
      </c>
      <c r="T7451" s="21" t="n">
        <v>0</v>
      </c>
      <c r="U7451" s="21" t="n">
        <v>0</v>
      </c>
      <c r="V7451" s="21" t="n">
        <v>0</v>
      </c>
      <c r="W7451" s="21" t="n">
        <v>0</v>
      </c>
      <c r="X7451" s="21" t="n">
        <v>0</v>
      </c>
      <c r="Y7451" s="21" t="n">
        <v>0</v>
      </c>
      <c r="Z7451" s="19" t="n"/>
    </row>
    <row r="7452">
      <c r="D7452" s="21">
        <f>$B$7051</f>
        <v/>
      </c>
      <c r="E7452" s="21">
        <f>$B$7053</f>
        <v/>
      </c>
      <c r="F7452" s="21">
        <f>0</f>
        <v/>
      </c>
      <c r="G7452" s="21">
        <f>2*$B$7052</f>
        <v/>
      </c>
      <c r="H7452" s="21">
        <f>-$B$7051</f>
        <v/>
      </c>
      <c r="I7452" s="21">
        <f>$B$7053</f>
        <v/>
      </c>
      <c r="J7452" s="21" t="n">
        <v>0</v>
      </c>
      <c r="K7452" s="21" t="n">
        <v>0</v>
      </c>
      <c r="L7452" s="21" t="n">
        <v>0</v>
      </c>
      <c r="M7452" s="21" t="n">
        <v>0</v>
      </c>
      <c r="N7452" s="21" t="n">
        <v>0</v>
      </c>
      <c r="O7452" s="21" t="n">
        <v>0</v>
      </c>
      <c r="P7452" s="21" t="n">
        <v>0</v>
      </c>
      <c r="Q7452" s="21" t="n">
        <v>0</v>
      </c>
      <c r="R7452" s="21" t="n">
        <v>0</v>
      </c>
      <c r="S7452" s="21" t="n">
        <v>0</v>
      </c>
      <c r="T7452" s="21" t="n">
        <v>0</v>
      </c>
      <c r="U7452" s="21" t="n">
        <v>0</v>
      </c>
      <c r="V7452" s="21" t="n">
        <v>0</v>
      </c>
      <c r="W7452" s="21" t="n">
        <v>0</v>
      </c>
      <c r="X7452" s="21" t="n">
        <v>0</v>
      </c>
      <c r="Y7452" s="21" t="n">
        <v>0</v>
      </c>
      <c r="Z7452" s="19" t="n"/>
    </row>
    <row r="7453">
      <c r="D7453" s="21" t="n">
        <v>0</v>
      </c>
      <c r="E7453" s="21" t="n">
        <v>0</v>
      </c>
      <c r="F7453" s="21">
        <f>-$B$7050</f>
        <v/>
      </c>
      <c r="G7453" s="21">
        <f>-$B$7051</f>
        <v/>
      </c>
      <c r="H7453" s="21">
        <f>2*$B$7050+$D$7439</f>
        <v/>
      </c>
      <c r="I7453" s="21">
        <f>0</f>
        <v/>
      </c>
      <c r="J7453" s="21">
        <f>-$B$7050</f>
        <v/>
      </c>
      <c r="K7453" s="21">
        <f>$B$7051</f>
        <v/>
      </c>
      <c r="L7453" s="21" t="n">
        <v>0</v>
      </c>
      <c r="M7453" s="21" t="n">
        <v>0</v>
      </c>
      <c r="N7453" s="21" t="n">
        <v>0</v>
      </c>
      <c r="O7453" s="21" t="n">
        <v>0</v>
      </c>
      <c r="P7453" s="21" t="n">
        <v>0</v>
      </c>
      <c r="Q7453" s="21" t="n">
        <v>0</v>
      </c>
      <c r="R7453" s="21" t="n">
        <v>0</v>
      </c>
      <c r="S7453" s="21" t="n">
        <v>0</v>
      </c>
      <c r="T7453" s="21" t="n">
        <v>0</v>
      </c>
      <c r="U7453" s="21" t="n">
        <v>0</v>
      </c>
      <c r="V7453" s="21" t="n">
        <v>0</v>
      </c>
      <c r="W7453" s="21" t="n">
        <v>0</v>
      </c>
      <c r="X7453" s="21" t="n">
        <v>0</v>
      </c>
      <c r="Y7453" s="21" t="n">
        <v>0</v>
      </c>
      <c r="Z7453" s="19" t="n"/>
    </row>
    <row r="7454">
      <c r="D7454" s="21" t="n">
        <v>0</v>
      </c>
      <c r="E7454" s="21" t="n">
        <v>0</v>
      </c>
      <c r="F7454" s="21">
        <f>$B$7051</f>
        <v/>
      </c>
      <c r="G7454" s="21">
        <f>$B$7053</f>
        <v/>
      </c>
      <c r="H7454" s="21">
        <f>0</f>
        <v/>
      </c>
      <c r="I7454" s="21">
        <f>2*$B$7052</f>
        <v/>
      </c>
      <c r="J7454" s="21">
        <f>-$B$7051</f>
        <v/>
      </c>
      <c r="K7454" s="21">
        <f>$B$7053</f>
        <v/>
      </c>
      <c r="L7454" s="21" t="n">
        <v>0</v>
      </c>
      <c r="M7454" s="21" t="n">
        <v>0</v>
      </c>
      <c r="N7454" s="21" t="n">
        <v>0</v>
      </c>
      <c r="O7454" s="21" t="n">
        <v>0</v>
      </c>
      <c r="P7454" s="21" t="n">
        <v>0</v>
      </c>
      <c r="Q7454" s="21" t="n">
        <v>0</v>
      </c>
      <c r="R7454" s="21" t="n">
        <v>0</v>
      </c>
      <c r="S7454" s="21" t="n">
        <v>0</v>
      </c>
      <c r="T7454" s="21" t="n">
        <v>0</v>
      </c>
      <c r="U7454" s="21" t="n">
        <v>0</v>
      </c>
      <c r="V7454" s="21" t="n">
        <v>0</v>
      </c>
      <c r="W7454" s="21" t="n">
        <v>0</v>
      </c>
      <c r="X7454" s="21" t="n">
        <v>0</v>
      </c>
      <c r="Y7454" s="21" t="n">
        <v>0</v>
      </c>
      <c r="Z7454" s="19" t="n"/>
    </row>
    <row r="7455">
      <c r="D7455" s="21" t="n">
        <v>0</v>
      </c>
      <c r="E7455" s="21" t="n">
        <v>0</v>
      </c>
      <c r="F7455" s="21" t="n">
        <v>0</v>
      </c>
      <c r="G7455" s="21" t="n">
        <v>0</v>
      </c>
      <c r="H7455" s="21">
        <f>-$B$7050</f>
        <v/>
      </c>
      <c r="I7455" s="21">
        <f>-$B$7051</f>
        <v/>
      </c>
      <c r="J7455" s="21">
        <f>2*$B$7050+$D$7440</f>
        <v/>
      </c>
      <c r="K7455" s="21">
        <f>0</f>
        <v/>
      </c>
      <c r="L7455" s="21">
        <f>-$B$7050</f>
        <v/>
      </c>
      <c r="M7455" s="21">
        <f>$B$7051</f>
        <v/>
      </c>
      <c r="N7455" s="21" t="n">
        <v>0</v>
      </c>
      <c r="O7455" s="21" t="n">
        <v>0</v>
      </c>
      <c r="P7455" s="21" t="n">
        <v>0</v>
      </c>
      <c r="Q7455" s="21" t="n">
        <v>0</v>
      </c>
      <c r="R7455" s="21" t="n">
        <v>0</v>
      </c>
      <c r="S7455" s="21" t="n">
        <v>0</v>
      </c>
      <c r="T7455" s="21" t="n">
        <v>0</v>
      </c>
      <c r="U7455" s="21" t="n">
        <v>0</v>
      </c>
      <c r="V7455" s="21" t="n">
        <v>0</v>
      </c>
      <c r="W7455" s="21" t="n">
        <v>0</v>
      </c>
      <c r="X7455" s="21" t="n">
        <v>0</v>
      </c>
      <c r="Y7455" s="21" t="n">
        <v>0</v>
      </c>
      <c r="Z7455" s="19" t="n"/>
    </row>
    <row r="7456">
      <c r="D7456" s="21" t="n">
        <v>0</v>
      </c>
      <c r="E7456" s="21" t="n">
        <v>0</v>
      </c>
      <c r="F7456" s="21" t="n">
        <v>0</v>
      </c>
      <c r="G7456" s="21" t="n">
        <v>0</v>
      </c>
      <c r="H7456" s="21">
        <f>$B$7051</f>
        <v/>
      </c>
      <c r="I7456" s="21">
        <f>$B$7053</f>
        <v/>
      </c>
      <c r="J7456" s="21">
        <f>0</f>
        <v/>
      </c>
      <c r="K7456" s="21">
        <f>2*$B$7052</f>
        <v/>
      </c>
      <c r="L7456" s="21">
        <f>-$B$7051</f>
        <v/>
      </c>
      <c r="M7456" s="21">
        <f>$B$7053</f>
        <v/>
      </c>
      <c r="N7456" s="21" t="n">
        <v>0</v>
      </c>
      <c r="O7456" s="21" t="n">
        <v>0</v>
      </c>
      <c r="P7456" s="21" t="n">
        <v>0</v>
      </c>
      <c r="Q7456" s="21" t="n">
        <v>0</v>
      </c>
      <c r="R7456" s="21" t="n">
        <v>0</v>
      </c>
      <c r="S7456" s="21" t="n">
        <v>0</v>
      </c>
      <c r="T7456" s="21" t="n">
        <v>0</v>
      </c>
      <c r="U7456" s="21" t="n">
        <v>0</v>
      </c>
      <c r="V7456" s="21" t="n">
        <v>0</v>
      </c>
      <c r="W7456" s="21" t="n">
        <v>0</v>
      </c>
      <c r="X7456" s="21" t="n">
        <v>0</v>
      </c>
      <c r="Y7456" s="21" t="n">
        <v>0</v>
      </c>
      <c r="Z7456" s="19" t="n"/>
    </row>
    <row r="7457">
      <c r="D7457" s="21" t="n">
        <v>0</v>
      </c>
      <c r="E7457" s="21" t="n">
        <v>0</v>
      </c>
      <c r="F7457" s="21" t="n">
        <v>0</v>
      </c>
      <c r="G7457" s="21" t="n">
        <v>0</v>
      </c>
      <c r="H7457" s="21" t="n">
        <v>0</v>
      </c>
      <c r="I7457" s="21" t="n">
        <v>0</v>
      </c>
      <c r="J7457" s="21">
        <f>-$B$7050</f>
        <v/>
      </c>
      <c r="K7457" s="21">
        <f>-$B$7051</f>
        <v/>
      </c>
      <c r="L7457" s="21">
        <f>2*$B$7050+$D$7441</f>
        <v/>
      </c>
      <c r="M7457" s="21">
        <f>0</f>
        <v/>
      </c>
      <c r="N7457" s="21">
        <f>-$B$7050</f>
        <v/>
      </c>
      <c r="O7457" s="21">
        <f>$B$7051</f>
        <v/>
      </c>
      <c r="P7457" s="21" t="n">
        <v>0</v>
      </c>
      <c r="Q7457" s="21" t="n">
        <v>0</v>
      </c>
      <c r="R7457" s="21" t="n">
        <v>0</v>
      </c>
      <c r="S7457" s="21" t="n">
        <v>0</v>
      </c>
      <c r="T7457" s="21" t="n">
        <v>0</v>
      </c>
      <c r="U7457" s="21" t="n">
        <v>0</v>
      </c>
      <c r="V7457" s="21" t="n">
        <v>0</v>
      </c>
      <c r="W7457" s="21" t="n">
        <v>0</v>
      </c>
      <c r="X7457" s="21" t="n">
        <v>0</v>
      </c>
      <c r="Y7457" s="21" t="n">
        <v>0</v>
      </c>
      <c r="Z7457" s="19" t="n"/>
    </row>
    <row r="7458">
      <c r="D7458" s="21" t="n">
        <v>0</v>
      </c>
      <c r="E7458" s="21" t="n">
        <v>0</v>
      </c>
      <c r="F7458" s="21" t="n">
        <v>0</v>
      </c>
      <c r="G7458" s="21" t="n">
        <v>0</v>
      </c>
      <c r="H7458" s="21" t="n">
        <v>0</v>
      </c>
      <c r="I7458" s="21" t="n">
        <v>0</v>
      </c>
      <c r="J7458" s="21">
        <f>$B$7051</f>
        <v/>
      </c>
      <c r="K7458" s="21">
        <f>$B$7053</f>
        <v/>
      </c>
      <c r="L7458" s="21">
        <f>0</f>
        <v/>
      </c>
      <c r="M7458" s="21">
        <f>2*$B$7052</f>
        <v/>
      </c>
      <c r="N7458" s="21">
        <f>-$B$7051</f>
        <v/>
      </c>
      <c r="O7458" s="21">
        <f>$B$7053</f>
        <v/>
      </c>
      <c r="P7458" s="21" t="n">
        <v>0</v>
      </c>
      <c r="Q7458" s="21" t="n">
        <v>0</v>
      </c>
      <c r="R7458" s="21" t="n">
        <v>0</v>
      </c>
      <c r="S7458" s="21" t="n">
        <v>0</v>
      </c>
      <c r="T7458" s="21" t="n">
        <v>0</v>
      </c>
      <c r="U7458" s="21" t="n">
        <v>0</v>
      </c>
      <c r="V7458" s="21" t="n">
        <v>0</v>
      </c>
      <c r="W7458" s="21" t="n">
        <v>0</v>
      </c>
      <c r="X7458" s="21" t="n">
        <v>0</v>
      </c>
      <c r="Y7458" s="21" t="n">
        <v>0</v>
      </c>
      <c r="Z7458" s="19" t="n"/>
    </row>
    <row r="7459">
      <c r="D7459" s="21" t="n">
        <v>0</v>
      </c>
      <c r="E7459" s="21" t="n">
        <v>0</v>
      </c>
      <c r="F7459" s="21" t="n">
        <v>0</v>
      </c>
      <c r="G7459" s="21" t="n">
        <v>0</v>
      </c>
      <c r="H7459" s="21" t="n">
        <v>0</v>
      </c>
      <c r="I7459" s="21" t="n">
        <v>0</v>
      </c>
      <c r="J7459" s="21" t="n">
        <v>0</v>
      </c>
      <c r="K7459" s="21" t="n">
        <v>0</v>
      </c>
      <c r="L7459" s="21">
        <f>-$B$7050</f>
        <v/>
      </c>
      <c r="M7459" s="21">
        <f>-$B$7051</f>
        <v/>
      </c>
      <c r="N7459" s="21">
        <f>2*$B$7050+$D$7442</f>
        <v/>
      </c>
      <c r="O7459" s="21">
        <f>0</f>
        <v/>
      </c>
      <c r="P7459" s="21">
        <f>-$B$7050</f>
        <v/>
      </c>
      <c r="Q7459" s="21">
        <f>$B$7051</f>
        <v/>
      </c>
      <c r="R7459" s="21" t="n">
        <v>0</v>
      </c>
      <c r="S7459" s="21" t="n">
        <v>0</v>
      </c>
      <c r="T7459" s="21" t="n">
        <v>0</v>
      </c>
      <c r="U7459" s="21" t="n">
        <v>0</v>
      </c>
      <c r="V7459" s="21" t="n">
        <v>0</v>
      </c>
      <c r="W7459" s="21" t="n">
        <v>0</v>
      </c>
      <c r="X7459" s="21" t="n">
        <v>0</v>
      </c>
      <c r="Y7459" s="21" t="n">
        <v>0</v>
      </c>
      <c r="Z7459" s="19" t="n"/>
    </row>
    <row r="7460">
      <c r="D7460" s="21" t="n">
        <v>0</v>
      </c>
      <c r="E7460" s="21" t="n">
        <v>0</v>
      </c>
      <c r="F7460" s="21" t="n">
        <v>0</v>
      </c>
      <c r="G7460" s="21" t="n">
        <v>0</v>
      </c>
      <c r="H7460" s="21" t="n">
        <v>0</v>
      </c>
      <c r="I7460" s="21" t="n">
        <v>0</v>
      </c>
      <c r="J7460" s="21" t="n">
        <v>0</v>
      </c>
      <c r="K7460" s="21" t="n">
        <v>0</v>
      </c>
      <c r="L7460" s="21">
        <f>$B$7051</f>
        <v/>
      </c>
      <c r="M7460" s="21">
        <f>$B$7053</f>
        <v/>
      </c>
      <c r="N7460" s="21">
        <f>0</f>
        <v/>
      </c>
      <c r="O7460" s="21">
        <f>2*$B$7052</f>
        <v/>
      </c>
      <c r="P7460" s="21">
        <f>-$B$7051</f>
        <v/>
      </c>
      <c r="Q7460" s="21">
        <f>$B$7053</f>
        <v/>
      </c>
      <c r="R7460" s="21" t="n">
        <v>0</v>
      </c>
      <c r="S7460" s="21" t="n">
        <v>0</v>
      </c>
      <c r="T7460" s="21" t="n">
        <v>0</v>
      </c>
      <c r="U7460" s="21" t="n">
        <v>0</v>
      </c>
      <c r="V7460" s="21" t="n">
        <v>0</v>
      </c>
      <c r="W7460" s="21" t="n">
        <v>0</v>
      </c>
      <c r="X7460" s="21" t="n">
        <v>0</v>
      </c>
      <c r="Y7460" s="21" t="n">
        <v>0</v>
      </c>
      <c r="Z7460" s="19" t="n"/>
    </row>
    <row r="7461">
      <c r="D7461" s="21" t="n">
        <v>0</v>
      </c>
      <c r="E7461" s="21" t="n">
        <v>0</v>
      </c>
      <c r="F7461" s="21" t="n">
        <v>0</v>
      </c>
      <c r="G7461" s="21" t="n">
        <v>0</v>
      </c>
      <c r="H7461" s="21" t="n">
        <v>0</v>
      </c>
      <c r="I7461" s="21" t="n">
        <v>0</v>
      </c>
      <c r="J7461" s="21" t="n">
        <v>0</v>
      </c>
      <c r="K7461" s="21" t="n">
        <v>0</v>
      </c>
      <c r="L7461" s="21" t="n">
        <v>0</v>
      </c>
      <c r="M7461" s="21" t="n">
        <v>0</v>
      </c>
      <c r="N7461" s="21">
        <f>-$B$7050</f>
        <v/>
      </c>
      <c r="O7461" s="21">
        <f>-$B$7051</f>
        <v/>
      </c>
      <c r="P7461" s="21">
        <f>2*$B$7050+$D$7443</f>
        <v/>
      </c>
      <c r="Q7461" s="21">
        <f>0</f>
        <v/>
      </c>
      <c r="R7461" s="21">
        <f>-$B$7050</f>
        <v/>
      </c>
      <c r="S7461" s="21">
        <f>$B$7051</f>
        <v/>
      </c>
      <c r="T7461" s="21" t="n">
        <v>0</v>
      </c>
      <c r="U7461" s="21" t="n">
        <v>0</v>
      </c>
      <c r="V7461" s="21" t="n">
        <v>0</v>
      </c>
      <c r="W7461" s="21" t="n">
        <v>0</v>
      </c>
      <c r="X7461" s="21" t="n">
        <v>0</v>
      </c>
      <c r="Y7461" s="21" t="n">
        <v>0</v>
      </c>
      <c r="Z7461" s="19" t="n"/>
    </row>
    <row r="7462">
      <c r="D7462" s="21" t="n">
        <v>0</v>
      </c>
      <c r="E7462" s="21" t="n">
        <v>0</v>
      </c>
      <c r="F7462" s="21" t="n">
        <v>0</v>
      </c>
      <c r="G7462" s="21" t="n">
        <v>0</v>
      </c>
      <c r="H7462" s="21" t="n">
        <v>0</v>
      </c>
      <c r="I7462" s="21" t="n">
        <v>0</v>
      </c>
      <c r="J7462" s="21" t="n">
        <v>0</v>
      </c>
      <c r="K7462" s="21" t="n">
        <v>0</v>
      </c>
      <c r="L7462" s="21" t="n">
        <v>0</v>
      </c>
      <c r="M7462" s="21" t="n">
        <v>0</v>
      </c>
      <c r="N7462" s="21">
        <f>$B$7051</f>
        <v/>
      </c>
      <c r="O7462" s="21">
        <f>$B$7053</f>
        <v/>
      </c>
      <c r="P7462" s="21">
        <f>0</f>
        <v/>
      </c>
      <c r="Q7462" s="21">
        <f>2*$B$7052</f>
        <v/>
      </c>
      <c r="R7462" s="21">
        <f>-$B$7051</f>
        <v/>
      </c>
      <c r="S7462" s="21">
        <f>$B$7053</f>
        <v/>
      </c>
      <c r="T7462" s="21" t="n">
        <v>0</v>
      </c>
      <c r="U7462" s="21" t="n">
        <v>0</v>
      </c>
      <c r="V7462" s="21" t="n">
        <v>0</v>
      </c>
      <c r="W7462" s="21" t="n">
        <v>0</v>
      </c>
      <c r="X7462" s="21" t="n">
        <v>0</v>
      </c>
      <c r="Y7462" s="21" t="n">
        <v>0</v>
      </c>
      <c r="Z7462" s="19" t="n"/>
    </row>
    <row r="7463">
      <c r="D7463" s="21" t="n">
        <v>0</v>
      </c>
      <c r="E7463" s="21" t="n">
        <v>0</v>
      </c>
      <c r="F7463" s="21" t="n">
        <v>0</v>
      </c>
      <c r="G7463" s="21" t="n">
        <v>0</v>
      </c>
      <c r="H7463" s="21" t="n">
        <v>0</v>
      </c>
      <c r="I7463" s="21" t="n">
        <v>0</v>
      </c>
      <c r="J7463" s="21" t="n">
        <v>0</v>
      </c>
      <c r="K7463" s="21" t="n">
        <v>0</v>
      </c>
      <c r="L7463" s="21" t="n">
        <v>0</v>
      </c>
      <c r="M7463" s="21" t="n">
        <v>0</v>
      </c>
      <c r="N7463" s="21" t="n">
        <v>0</v>
      </c>
      <c r="O7463" s="21" t="n">
        <v>0</v>
      </c>
      <c r="P7463" s="21">
        <f>-$B$7050</f>
        <v/>
      </c>
      <c r="Q7463" s="21">
        <f>-$B$7051</f>
        <v/>
      </c>
      <c r="R7463" s="21">
        <f>2*$B$7050+$D$7444</f>
        <v/>
      </c>
      <c r="S7463" s="21">
        <f>0</f>
        <v/>
      </c>
      <c r="T7463" s="21">
        <f>-$B$7050</f>
        <v/>
      </c>
      <c r="U7463" s="21">
        <f>$B$7051</f>
        <v/>
      </c>
      <c r="V7463" s="21" t="n">
        <v>0</v>
      </c>
      <c r="W7463" s="21" t="n">
        <v>0</v>
      </c>
      <c r="X7463" s="21" t="n">
        <v>0</v>
      </c>
      <c r="Y7463" s="21" t="n">
        <v>0</v>
      </c>
      <c r="Z7463" s="19" t="n"/>
    </row>
    <row r="7464">
      <c r="D7464" s="21" t="n">
        <v>0</v>
      </c>
      <c r="E7464" s="21" t="n">
        <v>0</v>
      </c>
      <c r="F7464" s="21" t="n">
        <v>0</v>
      </c>
      <c r="G7464" s="21" t="n">
        <v>0</v>
      </c>
      <c r="H7464" s="21" t="n">
        <v>0</v>
      </c>
      <c r="I7464" s="21" t="n">
        <v>0</v>
      </c>
      <c r="J7464" s="21" t="n">
        <v>0</v>
      </c>
      <c r="K7464" s="21" t="n">
        <v>0</v>
      </c>
      <c r="L7464" s="21" t="n">
        <v>0</v>
      </c>
      <c r="M7464" s="21" t="n">
        <v>0</v>
      </c>
      <c r="N7464" s="21" t="n">
        <v>0</v>
      </c>
      <c r="O7464" s="21" t="n">
        <v>0</v>
      </c>
      <c r="P7464" s="21">
        <f>$B$7051</f>
        <v/>
      </c>
      <c r="Q7464" s="21">
        <f>$B$7053</f>
        <v/>
      </c>
      <c r="R7464" s="21">
        <f>0</f>
        <v/>
      </c>
      <c r="S7464" s="21">
        <f>2*$B$7052</f>
        <v/>
      </c>
      <c r="T7464" s="21">
        <f>-$B$7051</f>
        <v/>
      </c>
      <c r="U7464" s="21">
        <f>$B$7053</f>
        <v/>
      </c>
      <c r="V7464" s="21" t="n">
        <v>0</v>
      </c>
      <c r="W7464" s="21" t="n">
        <v>0</v>
      </c>
      <c r="X7464" s="21" t="n">
        <v>0</v>
      </c>
      <c r="Y7464" s="21" t="n">
        <v>0</v>
      </c>
      <c r="Z7464" s="19" t="n"/>
    </row>
    <row r="7465">
      <c r="D7465" s="21" t="n">
        <v>0</v>
      </c>
      <c r="E7465" s="21" t="n">
        <v>0</v>
      </c>
      <c r="F7465" s="21" t="n">
        <v>0</v>
      </c>
      <c r="G7465" s="21" t="n">
        <v>0</v>
      </c>
      <c r="H7465" s="21" t="n">
        <v>0</v>
      </c>
      <c r="I7465" s="21" t="n">
        <v>0</v>
      </c>
      <c r="J7465" s="21" t="n">
        <v>0</v>
      </c>
      <c r="K7465" s="21" t="n">
        <v>0</v>
      </c>
      <c r="L7465" s="21" t="n">
        <v>0</v>
      </c>
      <c r="M7465" s="21" t="n">
        <v>0</v>
      </c>
      <c r="N7465" s="21" t="n">
        <v>0</v>
      </c>
      <c r="O7465" s="21" t="n">
        <v>0</v>
      </c>
      <c r="P7465" s="21" t="n">
        <v>0</v>
      </c>
      <c r="Q7465" s="21" t="n">
        <v>0</v>
      </c>
      <c r="R7465" s="21">
        <f>-$B$7050</f>
        <v/>
      </c>
      <c r="S7465" s="21">
        <f>-$B$7051</f>
        <v/>
      </c>
      <c r="T7465" s="21">
        <f>2*$B$7050+$D$7445</f>
        <v/>
      </c>
      <c r="U7465" s="21">
        <f>0</f>
        <v/>
      </c>
      <c r="V7465" s="21">
        <f>-$B$7050</f>
        <v/>
      </c>
      <c r="W7465" s="21">
        <f>$B$7051</f>
        <v/>
      </c>
      <c r="X7465" s="21" t="n">
        <v>0</v>
      </c>
      <c r="Y7465" s="21" t="n">
        <v>0</v>
      </c>
      <c r="Z7465" s="19" t="n"/>
    </row>
    <row r="7466">
      <c r="D7466" s="21" t="n">
        <v>0</v>
      </c>
      <c r="E7466" s="21" t="n">
        <v>0</v>
      </c>
      <c r="F7466" s="21" t="n">
        <v>0</v>
      </c>
      <c r="G7466" s="21" t="n">
        <v>0</v>
      </c>
      <c r="H7466" s="21" t="n">
        <v>0</v>
      </c>
      <c r="I7466" s="21" t="n">
        <v>0</v>
      </c>
      <c r="J7466" s="21" t="n">
        <v>0</v>
      </c>
      <c r="K7466" s="21" t="n">
        <v>0</v>
      </c>
      <c r="L7466" s="21" t="n">
        <v>0</v>
      </c>
      <c r="M7466" s="21" t="n">
        <v>0</v>
      </c>
      <c r="N7466" s="21" t="n">
        <v>0</v>
      </c>
      <c r="O7466" s="21" t="n">
        <v>0</v>
      </c>
      <c r="P7466" s="21" t="n">
        <v>0</v>
      </c>
      <c r="Q7466" s="21" t="n">
        <v>0</v>
      </c>
      <c r="R7466" s="21">
        <f>$B$7051</f>
        <v/>
      </c>
      <c r="S7466" s="21">
        <f>$B$7053</f>
        <v/>
      </c>
      <c r="T7466" s="21">
        <f>0</f>
        <v/>
      </c>
      <c r="U7466" s="21">
        <f>2*$B$7052</f>
        <v/>
      </c>
      <c r="V7466" s="21">
        <f>-$B$7051</f>
        <v/>
      </c>
      <c r="W7466" s="21">
        <f>$B$7053</f>
        <v/>
      </c>
      <c r="X7466" s="21" t="n">
        <v>0</v>
      </c>
      <c r="Y7466" s="21" t="n">
        <v>0</v>
      </c>
      <c r="Z7466" s="19" t="n"/>
    </row>
    <row r="7467">
      <c r="D7467" s="21" t="n">
        <v>0</v>
      </c>
      <c r="E7467" s="21" t="n">
        <v>0</v>
      </c>
      <c r="F7467" s="21" t="n">
        <v>0</v>
      </c>
      <c r="G7467" s="21" t="n">
        <v>0</v>
      </c>
      <c r="H7467" s="21" t="n">
        <v>0</v>
      </c>
      <c r="I7467" s="21" t="n">
        <v>0</v>
      </c>
      <c r="J7467" s="21" t="n">
        <v>0</v>
      </c>
      <c r="K7467" s="21" t="n">
        <v>0</v>
      </c>
      <c r="L7467" s="21" t="n">
        <v>0</v>
      </c>
      <c r="M7467" s="21" t="n">
        <v>0</v>
      </c>
      <c r="N7467" s="21" t="n">
        <v>0</v>
      </c>
      <c r="O7467" s="21" t="n">
        <v>0</v>
      </c>
      <c r="P7467" s="21" t="n">
        <v>0</v>
      </c>
      <c r="Q7467" s="21" t="n">
        <v>0</v>
      </c>
      <c r="R7467" s="21" t="n">
        <v>0</v>
      </c>
      <c r="S7467" s="21" t="n">
        <v>0</v>
      </c>
      <c r="T7467" s="21">
        <f>-$B$7050</f>
        <v/>
      </c>
      <c r="U7467" s="21">
        <f>-$B$7051</f>
        <v/>
      </c>
      <c r="V7467" s="21">
        <f>2*$B$7050+$D$7446</f>
        <v/>
      </c>
      <c r="W7467" s="21">
        <f>0</f>
        <v/>
      </c>
      <c r="X7467" s="21">
        <f>-$B$7050</f>
        <v/>
      </c>
      <c r="Y7467" s="21">
        <f>$B$7051</f>
        <v/>
      </c>
      <c r="Z7467" s="19" t="n"/>
    </row>
    <row r="7468">
      <c r="D7468" s="21" t="n">
        <v>0</v>
      </c>
      <c r="E7468" s="21" t="n">
        <v>0</v>
      </c>
      <c r="F7468" s="21" t="n">
        <v>0</v>
      </c>
      <c r="G7468" s="21" t="n">
        <v>0</v>
      </c>
      <c r="H7468" s="21" t="n">
        <v>0</v>
      </c>
      <c r="I7468" s="21" t="n">
        <v>0</v>
      </c>
      <c r="J7468" s="21" t="n">
        <v>0</v>
      </c>
      <c r="K7468" s="21" t="n">
        <v>0</v>
      </c>
      <c r="L7468" s="21" t="n">
        <v>0</v>
      </c>
      <c r="M7468" s="21" t="n">
        <v>0</v>
      </c>
      <c r="N7468" s="21" t="n">
        <v>0</v>
      </c>
      <c r="O7468" s="21" t="n">
        <v>0</v>
      </c>
      <c r="P7468" s="21" t="n">
        <v>0</v>
      </c>
      <c r="Q7468" s="21" t="n">
        <v>0</v>
      </c>
      <c r="R7468" s="21" t="n">
        <v>0</v>
      </c>
      <c r="S7468" s="21" t="n">
        <v>0</v>
      </c>
      <c r="T7468" s="21">
        <f>$B$7051</f>
        <v/>
      </c>
      <c r="U7468" s="21">
        <f>$B$7053</f>
        <v/>
      </c>
      <c r="V7468" s="21">
        <f>0</f>
        <v/>
      </c>
      <c r="W7468" s="21">
        <f>2*$B$7052</f>
        <v/>
      </c>
      <c r="X7468" s="21">
        <f>-$B$7051</f>
        <v/>
      </c>
      <c r="Y7468" s="21">
        <f>$B$7053</f>
        <v/>
      </c>
      <c r="Z7468" s="19" t="n"/>
    </row>
    <row r="7469">
      <c r="D7469" s="21" t="n">
        <v>0</v>
      </c>
      <c r="E7469" s="21" t="n">
        <v>0</v>
      </c>
      <c r="F7469" s="21" t="n">
        <v>0</v>
      </c>
      <c r="G7469" s="21" t="n">
        <v>0</v>
      </c>
      <c r="H7469" s="21" t="n">
        <v>0</v>
      </c>
      <c r="I7469" s="21" t="n">
        <v>0</v>
      </c>
      <c r="J7469" s="21" t="n">
        <v>0</v>
      </c>
      <c r="K7469" s="21" t="n">
        <v>0</v>
      </c>
      <c r="L7469" s="21" t="n">
        <v>0</v>
      </c>
      <c r="M7469" s="21" t="n">
        <v>0</v>
      </c>
      <c r="N7469" s="21" t="n">
        <v>0</v>
      </c>
      <c r="O7469" s="21" t="n">
        <v>0</v>
      </c>
      <c r="P7469" s="21" t="n">
        <v>0</v>
      </c>
      <c r="Q7469" s="21" t="n">
        <v>0</v>
      </c>
      <c r="R7469" s="21" t="n">
        <v>0</v>
      </c>
      <c r="S7469" s="21" t="n">
        <v>0</v>
      </c>
      <c r="T7469" s="21" t="n">
        <v>0</v>
      </c>
      <c r="U7469" s="21" t="n">
        <v>0</v>
      </c>
      <c r="V7469" s="21">
        <f>-$B$7050</f>
        <v/>
      </c>
      <c r="W7469" s="21">
        <f>-$B$7051</f>
        <v/>
      </c>
      <c r="X7469" s="21">
        <f>$B$7050+$D$7447</f>
        <v/>
      </c>
      <c r="Y7469" s="21">
        <f>-$B$7051</f>
        <v/>
      </c>
      <c r="Z7469" s="19" t="n"/>
    </row>
    <row r="7470">
      <c r="D7470" s="21" t="n">
        <v>0</v>
      </c>
      <c r="E7470" s="21" t="n">
        <v>0</v>
      </c>
      <c r="F7470" s="21" t="n">
        <v>0</v>
      </c>
      <c r="G7470" s="21" t="n">
        <v>0</v>
      </c>
      <c r="H7470" s="21" t="n">
        <v>0</v>
      </c>
      <c r="I7470" s="21" t="n">
        <v>0</v>
      </c>
      <c r="J7470" s="21" t="n">
        <v>0</v>
      </c>
      <c r="K7470" s="21" t="n">
        <v>0</v>
      </c>
      <c r="L7470" s="21" t="n">
        <v>0</v>
      </c>
      <c r="M7470" s="21" t="n">
        <v>0</v>
      </c>
      <c r="N7470" s="21" t="n">
        <v>0</v>
      </c>
      <c r="O7470" s="21" t="n">
        <v>0</v>
      </c>
      <c r="P7470" s="21" t="n">
        <v>0</v>
      </c>
      <c r="Q7470" s="21" t="n">
        <v>0</v>
      </c>
      <c r="R7470" s="21" t="n">
        <v>0</v>
      </c>
      <c r="S7470" s="21" t="n">
        <v>0</v>
      </c>
      <c r="T7470" s="21" t="n">
        <v>0</v>
      </c>
      <c r="U7470" s="21" t="n">
        <v>0</v>
      </c>
      <c r="V7470" s="21">
        <f>$B$7051</f>
        <v/>
      </c>
      <c r="W7470" s="21">
        <f>$B$7053</f>
        <v/>
      </c>
      <c r="X7470" s="21">
        <f>-$B$7051</f>
        <v/>
      </c>
      <c r="Y7470" s="21">
        <f>$B$7052</f>
        <v/>
      </c>
      <c r="Z7470" s="19" t="n"/>
    </row>
    <row r="7472">
      <c r="A7472" s="8" t="inlineStr">
        <is>
          <t>gen 11</t>
        </is>
      </c>
    </row>
    <row r="7473">
      <c r="D7473" s="19">
        <f>IF(ABS(IF(ABS($E$7437)&gt;0.000000001,$E$7437,0.000000001))=0,0,IF($E$7065&lt;=$B$7059,0,IF(ABS(IF(ABS($E$7437)&gt;0.000000001,$E$7437,0.000000001))&gt;=8*$B$7061,$H$7065,0.5*$H$7065*(ABS(IF(ABS($E$7437)&gt;0.000000001,$E$7437,0.000000001))/$B$7061)^(1/3)))/ABS(IF(ABS($E$7437)&gt;0.000000001,$E$7437,0.000000001))*$I$7065)</f>
        <v/>
      </c>
      <c r="E7473" s="19">
        <f>0.5*$E$7437+0.5*$Z$7485</f>
        <v/>
      </c>
      <c r="F7473" s="19">
        <f>$Z$7486</f>
        <v/>
      </c>
    </row>
    <row r="7474">
      <c r="D7474" s="19">
        <f>IF(ABS(IF(ABS($E$7438)&gt;0.000000001,$E$7438,0.000000001))=0,0,IF($E$7066&lt;=$B$7059,0,IF(ABS(IF(ABS($E$7438)&gt;0.000000001,$E$7438,0.000000001))&gt;=8*$B$7061,$H$7066,0.5*$H$7066*(ABS(IF(ABS($E$7438)&gt;0.000000001,$E$7438,0.000000001))/$B$7061)^(1/3)))/ABS(IF(ABS($E$7438)&gt;0.000000001,$E$7438,0.000000001))*$I$7066)</f>
        <v/>
      </c>
      <c r="E7474" s="19">
        <f>0.5*$E$7438+0.5*$Z$7487</f>
        <v/>
      </c>
      <c r="F7474" s="19">
        <f>$Z$7488</f>
        <v/>
      </c>
    </row>
    <row r="7475">
      <c r="D7475" s="19">
        <f>IF(ABS(IF(ABS($E$7439)&gt;0.000000001,$E$7439,0.000000001))=0,0,IF($E$7067&lt;=$B$7059,0,IF(ABS(IF(ABS($E$7439)&gt;0.000000001,$E$7439,0.000000001))&gt;=8*$B$7061,$H$7067,0.5*$H$7067*(ABS(IF(ABS($E$7439)&gt;0.000000001,$E$7439,0.000000001))/$B$7061)^(1/3)))/ABS(IF(ABS($E$7439)&gt;0.000000001,$E$7439,0.000000001))*$I$7067)</f>
        <v/>
      </c>
      <c r="E7475" s="19">
        <f>0.5*$E$7439+0.5*$Z$7489</f>
        <v/>
      </c>
      <c r="F7475" s="19">
        <f>$Z$7490</f>
        <v/>
      </c>
    </row>
    <row r="7476">
      <c r="D7476" s="19">
        <f>IF(ABS(IF(ABS($E$7440)&gt;0.000000001,$E$7440,0.000000001))=0,0,IF($E$7068&lt;=$B$7059,0,IF(ABS(IF(ABS($E$7440)&gt;0.000000001,$E$7440,0.000000001))&gt;=8*$B$7061,$H$7068,0.5*$H$7068*(ABS(IF(ABS($E$7440)&gt;0.000000001,$E$7440,0.000000001))/$B$7061)^(1/3)))/ABS(IF(ABS($E$7440)&gt;0.000000001,$E$7440,0.000000001))*$I$7068)</f>
        <v/>
      </c>
      <c r="E7476" s="19">
        <f>0.5*$E$7440+0.5*$Z$7491</f>
        <v/>
      </c>
      <c r="F7476" s="19">
        <f>$Z$7492</f>
        <v/>
      </c>
    </row>
    <row r="7477">
      <c r="D7477" s="19">
        <f>IF(ABS(IF(ABS($E$7441)&gt;0.000000001,$E$7441,0.000000001))=0,0,IF($E$7069&lt;=$B$7059,0,IF(ABS(IF(ABS($E$7441)&gt;0.000000001,$E$7441,0.000000001))&gt;=8*$B$7061,$H$7069,0.5*$H$7069*(ABS(IF(ABS($E$7441)&gt;0.000000001,$E$7441,0.000000001))/$B$7061)^(1/3)))/ABS(IF(ABS($E$7441)&gt;0.000000001,$E$7441,0.000000001))*$I$7069)</f>
        <v/>
      </c>
      <c r="E7477" s="19">
        <f>0.5*$E$7441+0.5*$Z$7493</f>
        <v/>
      </c>
      <c r="F7477" s="19">
        <f>$Z$7494</f>
        <v/>
      </c>
    </row>
    <row r="7478">
      <c r="D7478" s="19">
        <f>IF(ABS(IF(ABS($E$7442)&gt;0.000000001,$E$7442,0.000000001))=0,0,IF($E$7070&lt;=$B$7059,0,IF(ABS(IF(ABS($E$7442)&gt;0.000000001,$E$7442,0.000000001))&gt;=8*$B$7061,$H$7070,0.5*$H$7070*(ABS(IF(ABS($E$7442)&gt;0.000000001,$E$7442,0.000000001))/$B$7061)^(1/3)))/ABS(IF(ABS($E$7442)&gt;0.000000001,$E$7442,0.000000001))*$I$7070)</f>
        <v/>
      </c>
      <c r="E7478" s="19">
        <f>0.5*$E$7442+0.5*$Z$7495</f>
        <v/>
      </c>
      <c r="F7478" s="19">
        <f>$Z$7496</f>
        <v/>
      </c>
    </row>
    <row r="7479">
      <c r="D7479" s="19">
        <f>IF(ABS(IF(ABS($E$7443)&gt;0.000000001,$E$7443,0.000000001))=0,0,IF($E$7071&lt;=$B$7059,0,IF(ABS(IF(ABS($E$7443)&gt;0.000000001,$E$7443,0.000000001))&gt;=8*$B$7061,$H$7071,0.5*$H$7071*(ABS(IF(ABS($E$7443)&gt;0.000000001,$E$7443,0.000000001))/$B$7061)^(1/3)))/ABS(IF(ABS($E$7443)&gt;0.000000001,$E$7443,0.000000001))*$I$7071)</f>
        <v/>
      </c>
      <c r="E7479" s="19">
        <f>0.5*$E$7443+0.5*$Z$7497</f>
        <v/>
      </c>
      <c r="F7479" s="19">
        <f>$Z$7498</f>
        <v/>
      </c>
    </row>
    <row r="7480">
      <c r="D7480" s="19">
        <f>IF(ABS(IF(ABS($E$7444)&gt;0.000000001,$E$7444,0.000000001))=0,0,IF($E$7072&lt;=$B$7059,0,IF(ABS(IF(ABS($E$7444)&gt;0.000000001,$E$7444,0.000000001))&gt;=8*$B$7061,$H$7072,0.5*$H$7072*(ABS(IF(ABS($E$7444)&gt;0.000000001,$E$7444,0.000000001))/$B$7061)^(1/3)))/ABS(IF(ABS($E$7444)&gt;0.000000001,$E$7444,0.000000001))*$I$7072)</f>
        <v/>
      </c>
      <c r="E7480" s="19">
        <f>0.5*$E$7444+0.5*$Z$7499</f>
        <v/>
      </c>
      <c r="F7480" s="19">
        <f>$Z$7500</f>
        <v/>
      </c>
    </row>
    <row r="7481">
      <c r="D7481" s="19">
        <f>IF(ABS(IF(ABS($E$7445)&gt;0.000000001,$E$7445,0.000000001))=0,0,IF($E$7073&lt;=$B$7059,0,IF(ABS(IF(ABS($E$7445)&gt;0.000000001,$E$7445,0.000000001))&gt;=8*$B$7061,$H$7073,0.5*$H$7073*(ABS(IF(ABS($E$7445)&gt;0.000000001,$E$7445,0.000000001))/$B$7061)^(1/3)))/ABS(IF(ABS($E$7445)&gt;0.000000001,$E$7445,0.000000001))*$I$7073)</f>
        <v/>
      </c>
      <c r="E7481" s="19">
        <f>0.5*$E$7445+0.5*$Z$7501</f>
        <v/>
      </c>
      <c r="F7481" s="19">
        <f>$Z$7502</f>
        <v/>
      </c>
    </row>
    <row r="7482">
      <c r="D7482" s="19">
        <f>IF(ABS(IF(ABS($E$7446)&gt;0.000000001,$E$7446,0.000000001))=0,0,IF($E$7074&lt;=$B$7059,0,IF(ABS(IF(ABS($E$7446)&gt;0.000000001,$E$7446,0.000000001))&gt;=8*$B$7061,$H$7074,0.5*$H$7074*(ABS(IF(ABS($E$7446)&gt;0.000000001,$E$7446,0.000000001))/$B$7061)^(1/3)))/ABS(IF(ABS($E$7446)&gt;0.000000001,$E$7446,0.000000001))*$I$7074)</f>
        <v/>
      </c>
      <c r="E7482" s="19">
        <f>0.5*$E$7446+0.5*$Z$7503</f>
        <v/>
      </c>
      <c r="F7482" s="19">
        <f>$Z$7504</f>
        <v/>
      </c>
    </row>
    <row r="7483">
      <c r="D7483" s="19">
        <f>IF(ABS(IF(ABS($E$7447)&gt;0.000000001,$E$7447,0.000000001))=0,0,IF($E$7075&lt;=$B$7059,0,IF(ABS(IF(ABS($E$7447)&gt;0.000000001,$E$7447,0.000000001))&gt;=8*$B$7061,$H$7075,0.5*$H$7075*(ABS(IF(ABS($E$7447)&gt;0.000000001,$E$7447,0.000000001))/$B$7061)^(1/3)))/ABS(IF(ABS($E$7447)&gt;0.000000001,$E$7447,0.000000001))*$I$7075)</f>
        <v/>
      </c>
      <c r="E7483" s="19">
        <f>0.5*$E$7447+0.5*$Z$7505</f>
        <v/>
      </c>
      <c r="F7483" s="19">
        <f>$Z$7506</f>
        <v/>
      </c>
    </row>
    <row r="7485">
      <c r="D7485" s="21">
        <f>$B$7050+$D$7473</f>
        <v/>
      </c>
      <c r="E7485" s="21">
        <f>$B$7051</f>
        <v/>
      </c>
      <c r="F7485" s="21">
        <f>-$B$7050</f>
        <v/>
      </c>
      <c r="G7485" s="21">
        <f>$B$7051</f>
        <v/>
      </c>
      <c r="H7485" s="21" t="n">
        <v>0</v>
      </c>
      <c r="I7485" s="21" t="n">
        <v>0</v>
      </c>
      <c r="J7485" s="21" t="n">
        <v>0</v>
      </c>
      <c r="K7485" s="21" t="n">
        <v>0</v>
      </c>
      <c r="L7485" s="21" t="n">
        <v>0</v>
      </c>
      <c r="M7485" s="21" t="n">
        <v>0</v>
      </c>
      <c r="N7485" s="21" t="n">
        <v>0</v>
      </c>
      <c r="O7485" s="21" t="n">
        <v>0</v>
      </c>
      <c r="P7485" s="21" t="n">
        <v>0</v>
      </c>
      <c r="Q7485" s="21" t="n">
        <v>0</v>
      </c>
      <c r="R7485" s="21" t="n">
        <v>0</v>
      </c>
      <c r="S7485" s="21" t="n">
        <v>0</v>
      </c>
      <c r="T7485" s="21" t="n">
        <v>0</v>
      </c>
      <c r="U7485" s="21" t="n">
        <v>0</v>
      </c>
      <c r="V7485" s="21" t="n">
        <v>0</v>
      </c>
      <c r="W7485" s="21" t="n">
        <v>0</v>
      </c>
      <c r="X7485" s="21" t="n">
        <v>0</v>
      </c>
      <c r="Y7485" s="21" t="n">
        <v>0</v>
      </c>
      <c r="Z7485" s="19">
        <f t="array" ref="Z7485:Z7506">MMULT(MINVERSE($D$7485:$Y$7506),$D$7077:$D$7098)</f>
        <v/>
      </c>
    </row>
    <row r="7486">
      <c r="D7486" s="21">
        <f>$B$7051</f>
        <v/>
      </c>
      <c r="E7486" s="21">
        <f>$B$7052</f>
        <v/>
      </c>
      <c r="F7486" s="21">
        <f>-$B$7051</f>
        <v/>
      </c>
      <c r="G7486" s="21">
        <f>$B$7053</f>
        <v/>
      </c>
      <c r="H7486" s="21" t="n">
        <v>0</v>
      </c>
      <c r="I7486" s="21" t="n">
        <v>0</v>
      </c>
      <c r="J7486" s="21" t="n">
        <v>0</v>
      </c>
      <c r="K7486" s="21" t="n">
        <v>0</v>
      </c>
      <c r="L7486" s="21" t="n">
        <v>0</v>
      </c>
      <c r="M7486" s="21" t="n">
        <v>0</v>
      </c>
      <c r="N7486" s="21" t="n">
        <v>0</v>
      </c>
      <c r="O7486" s="21" t="n">
        <v>0</v>
      </c>
      <c r="P7486" s="21" t="n">
        <v>0</v>
      </c>
      <c r="Q7486" s="21" t="n">
        <v>0</v>
      </c>
      <c r="R7486" s="21" t="n">
        <v>0</v>
      </c>
      <c r="S7486" s="21" t="n">
        <v>0</v>
      </c>
      <c r="T7486" s="21" t="n">
        <v>0</v>
      </c>
      <c r="U7486" s="21" t="n">
        <v>0</v>
      </c>
      <c r="V7486" s="21" t="n">
        <v>0</v>
      </c>
      <c r="W7486" s="21" t="n">
        <v>0</v>
      </c>
      <c r="X7486" s="21" t="n">
        <v>0</v>
      </c>
      <c r="Y7486" s="21" t="n">
        <v>0</v>
      </c>
      <c r="Z7486" s="19" t="n"/>
    </row>
    <row r="7487">
      <c r="D7487" s="21">
        <f>-$B$7050</f>
        <v/>
      </c>
      <c r="E7487" s="21">
        <f>-$B$7051</f>
        <v/>
      </c>
      <c r="F7487" s="21">
        <f>2*$B$7050+$D$7474</f>
        <v/>
      </c>
      <c r="G7487" s="21">
        <f>0</f>
        <v/>
      </c>
      <c r="H7487" s="21">
        <f>-$B$7050</f>
        <v/>
      </c>
      <c r="I7487" s="21">
        <f>$B$7051</f>
        <v/>
      </c>
      <c r="J7487" s="21" t="n">
        <v>0</v>
      </c>
      <c r="K7487" s="21" t="n">
        <v>0</v>
      </c>
      <c r="L7487" s="21" t="n">
        <v>0</v>
      </c>
      <c r="M7487" s="21" t="n">
        <v>0</v>
      </c>
      <c r="N7487" s="21" t="n">
        <v>0</v>
      </c>
      <c r="O7487" s="21" t="n">
        <v>0</v>
      </c>
      <c r="P7487" s="21" t="n">
        <v>0</v>
      </c>
      <c r="Q7487" s="21" t="n">
        <v>0</v>
      </c>
      <c r="R7487" s="21" t="n">
        <v>0</v>
      </c>
      <c r="S7487" s="21" t="n">
        <v>0</v>
      </c>
      <c r="T7487" s="21" t="n">
        <v>0</v>
      </c>
      <c r="U7487" s="21" t="n">
        <v>0</v>
      </c>
      <c r="V7487" s="21" t="n">
        <v>0</v>
      </c>
      <c r="W7487" s="21" t="n">
        <v>0</v>
      </c>
      <c r="X7487" s="21" t="n">
        <v>0</v>
      </c>
      <c r="Y7487" s="21" t="n">
        <v>0</v>
      </c>
      <c r="Z7487" s="19" t="n"/>
    </row>
    <row r="7488">
      <c r="D7488" s="21">
        <f>$B$7051</f>
        <v/>
      </c>
      <c r="E7488" s="21">
        <f>$B$7053</f>
        <v/>
      </c>
      <c r="F7488" s="21">
        <f>0</f>
        <v/>
      </c>
      <c r="G7488" s="21">
        <f>2*$B$7052</f>
        <v/>
      </c>
      <c r="H7488" s="21">
        <f>-$B$7051</f>
        <v/>
      </c>
      <c r="I7488" s="21">
        <f>$B$7053</f>
        <v/>
      </c>
      <c r="J7488" s="21" t="n">
        <v>0</v>
      </c>
      <c r="K7488" s="21" t="n">
        <v>0</v>
      </c>
      <c r="L7488" s="21" t="n">
        <v>0</v>
      </c>
      <c r="M7488" s="21" t="n">
        <v>0</v>
      </c>
      <c r="N7488" s="21" t="n">
        <v>0</v>
      </c>
      <c r="O7488" s="21" t="n">
        <v>0</v>
      </c>
      <c r="P7488" s="21" t="n">
        <v>0</v>
      </c>
      <c r="Q7488" s="21" t="n">
        <v>0</v>
      </c>
      <c r="R7488" s="21" t="n">
        <v>0</v>
      </c>
      <c r="S7488" s="21" t="n">
        <v>0</v>
      </c>
      <c r="T7488" s="21" t="n">
        <v>0</v>
      </c>
      <c r="U7488" s="21" t="n">
        <v>0</v>
      </c>
      <c r="V7488" s="21" t="n">
        <v>0</v>
      </c>
      <c r="W7488" s="21" t="n">
        <v>0</v>
      </c>
      <c r="X7488" s="21" t="n">
        <v>0</v>
      </c>
      <c r="Y7488" s="21" t="n">
        <v>0</v>
      </c>
      <c r="Z7488" s="19" t="n"/>
    </row>
    <row r="7489">
      <c r="D7489" s="21" t="n">
        <v>0</v>
      </c>
      <c r="E7489" s="21" t="n">
        <v>0</v>
      </c>
      <c r="F7489" s="21">
        <f>-$B$7050</f>
        <v/>
      </c>
      <c r="G7489" s="21">
        <f>-$B$7051</f>
        <v/>
      </c>
      <c r="H7489" s="21">
        <f>2*$B$7050+$D$7475</f>
        <v/>
      </c>
      <c r="I7489" s="21">
        <f>0</f>
        <v/>
      </c>
      <c r="J7489" s="21">
        <f>-$B$7050</f>
        <v/>
      </c>
      <c r="K7489" s="21">
        <f>$B$7051</f>
        <v/>
      </c>
      <c r="L7489" s="21" t="n">
        <v>0</v>
      </c>
      <c r="M7489" s="21" t="n">
        <v>0</v>
      </c>
      <c r="N7489" s="21" t="n">
        <v>0</v>
      </c>
      <c r="O7489" s="21" t="n">
        <v>0</v>
      </c>
      <c r="P7489" s="21" t="n">
        <v>0</v>
      </c>
      <c r="Q7489" s="21" t="n">
        <v>0</v>
      </c>
      <c r="R7489" s="21" t="n">
        <v>0</v>
      </c>
      <c r="S7489" s="21" t="n">
        <v>0</v>
      </c>
      <c r="T7489" s="21" t="n">
        <v>0</v>
      </c>
      <c r="U7489" s="21" t="n">
        <v>0</v>
      </c>
      <c r="V7489" s="21" t="n">
        <v>0</v>
      </c>
      <c r="W7489" s="21" t="n">
        <v>0</v>
      </c>
      <c r="X7489" s="21" t="n">
        <v>0</v>
      </c>
      <c r="Y7489" s="21" t="n">
        <v>0</v>
      </c>
      <c r="Z7489" s="19" t="n"/>
    </row>
    <row r="7490">
      <c r="D7490" s="21" t="n">
        <v>0</v>
      </c>
      <c r="E7490" s="21" t="n">
        <v>0</v>
      </c>
      <c r="F7490" s="21">
        <f>$B$7051</f>
        <v/>
      </c>
      <c r="G7490" s="21">
        <f>$B$7053</f>
        <v/>
      </c>
      <c r="H7490" s="21">
        <f>0</f>
        <v/>
      </c>
      <c r="I7490" s="21">
        <f>2*$B$7052</f>
        <v/>
      </c>
      <c r="J7490" s="21">
        <f>-$B$7051</f>
        <v/>
      </c>
      <c r="K7490" s="21">
        <f>$B$7053</f>
        <v/>
      </c>
      <c r="L7490" s="21" t="n">
        <v>0</v>
      </c>
      <c r="M7490" s="21" t="n">
        <v>0</v>
      </c>
      <c r="N7490" s="21" t="n">
        <v>0</v>
      </c>
      <c r="O7490" s="21" t="n">
        <v>0</v>
      </c>
      <c r="P7490" s="21" t="n">
        <v>0</v>
      </c>
      <c r="Q7490" s="21" t="n">
        <v>0</v>
      </c>
      <c r="R7490" s="21" t="n">
        <v>0</v>
      </c>
      <c r="S7490" s="21" t="n">
        <v>0</v>
      </c>
      <c r="T7490" s="21" t="n">
        <v>0</v>
      </c>
      <c r="U7490" s="21" t="n">
        <v>0</v>
      </c>
      <c r="V7490" s="21" t="n">
        <v>0</v>
      </c>
      <c r="W7490" s="21" t="n">
        <v>0</v>
      </c>
      <c r="X7490" s="21" t="n">
        <v>0</v>
      </c>
      <c r="Y7490" s="21" t="n">
        <v>0</v>
      </c>
      <c r="Z7490" s="19" t="n"/>
    </row>
    <row r="7491">
      <c r="D7491" s="21" t="n">
        <v>0</v>
      </c>
      <c r="E7491" s="21" t="n">
        <v>0</v>
      </c>
      <c r="F7491" s="21" t="n">
        <v>0</v>
      </c>
      <c r="G7491" s="21" t="n">
        <v>0</v>
      </c>
      <c r="H7491" s="21">
        <f>-$B$7050</f>
        <v/>
      </c>
      <c r="I7491" s="21">
        <f>-$B$7051</f>
        <v/>
      </c>
      <c r="J7491" s="21">
        <f>2*$B$7050+$D$7476</f>
        <v/>
      </c>
      <c r="K7491" s="21">
        <f>0</f>
        <v/>
      </c>
      <c r="L7491" s="21">
        <f>-$B$7050</f>
        <v/>
      </c>
      <c r="M7491" s="21">
        <f>$B$7051</f>
        <v/>
      </c>
      <c r="N7491" s="21" t="n">
        <v>0</v>
      </c>
      <c r="O7491" s="21" t="n">
        <v>0</v>
      </c>
      <c r="P7491" s="21" t="n">
        <v>0</v>
      </c>
      <c r="Q7491" s="21" t="n">
        <v>0</v>
      </c>
      <c r="R7491" s="21" t="n">
        <v>0</v>
      </c>
      <c r="S7491" s="21" t="n">
        <v>0</v>
      </c>
      <c r="T7491" s="21" t="n">
        <v>0</v>
      </c>
      <c r="U7491" s="21" t="n">
        <v>0</v>
      </c>
      <c r="V7491" s="21" t="n">
        <v>0</v>
      </c>
      <c r="W7491" s="21" t="n">
        <v>0</v>
      </c>
      <c r="X7491" s="21" t="n">
        <v>0</v>
      </c>
      <c r="Y7491" s="21" t="n">
        <v>0</v>
      </c>
      <c r="Z7491" s="19" t="n"/>
    </row>
    <row r="7492">
      <c r="D7492" s="21" t="n">
        <v>0</v>
      </c>
      <c r="E7492" s="21" t="n">
        <v>0</v>
      </c>
      <c r="F7492" s="21" t="n">
        <v>0</v>
      </c>
      <c r="G7492" s="21" t="n">
        <v>0</v>
      </c>
      <c r="H7492" s="21">
        <f>$B$7051</f>
        <v/>
      </c>
      <c r="I7492" s="21">
        <f>$B$7053</f>
        <v/>
      </c>
      <c r="J7492" s="21">
        <f>0</f>
        <v/>
      </c>
      <c r="K7492" s="21">
        <f>2*$B$7052</f>
        <v/>
      </c>
      <c r="L7492" s="21">
        <f>-$B$7051</f>
        <v/>
      </c>
      <c r="M7492" s="21">
        <f>$B$7053</f>
        <v/>
      </c>
      <c r="N7492" s="21" t="n">
        <v>0</v>
      </c>
      <c r="O7492" s="21" t="n">
        <v>0</v>
      </c>
      <c r="P7492" s="21" t="n">
        <v>0</v>
      </c>
      <c r="Q7492" s="21" t="n">
        <v>0</v>
      </c>
      <c r="R7492" s="21" t="n">
        <v>0</v>
      </c>
      <c r="S7492" s="21" t="n">
        <v>0</v>
      </c>
      <c r="T7492" s="21" t="n">
        <v>0</v>
      </c>
      <c r="U7492" s="21" t="n">
        <v>0</v>
      </c>
      <c r="V7492" s="21" t="n">
        <v>0</v>
      </c>
      <c r="W7492" s="21" t="n">
        <v>0</v>
      </c>
      <c r="X7492" s="21" t="n">
        <v>0</v>
      </c>
      <c r="Y7492" s="21" t="n">
        <v>0</v>
      </c>
      <c r="Z7492" s="19" t="n"/>
    </row>
    <row r="7493">
      <c r="D7493" s="21" t="n">
        <v>0</v>
      </c>
      <c r="E7493" s="21" t="n">
        <v>0</v>
      </c>
      <c r="F7493" s="21" t="n">
        <v>0</v>
      </c>
      <c r="G7493" s="21" t="n">
        <v>0</v>
      </c>
      <c r="H7493" s="21" t="n">
        <v>0</v>
      </c>
      <c r="I7493" s="21" t="n">
        <v>0</v>
      </c>
      <c r="J7493" s="21">
        <f>-$B$7050</f>
        <v/>
      </c>
      <c r="K7493" s="21">
        <f>-$B$7051</f>
        <v/>
      </c>
      <c r="L7493" s="21">
        <f>2*$B$7050+$D$7477</f>
        <v/>
      </c>
      <c r="M7493" s="21">
        <f>0</f>
        <v/>
      </c>
      <c r="N7493" s="21">
        <f>-$B$7050</f>
        <v/>
      </c>
      <c r="O7493" s="21">
        <f>$B$7051</f>
        <v/>
      </c>
      <c r="P7493" s="21" t="n">
        <v>0</v>
      </c>
      <c r="Q7493" s="21" t="n">
        <v>0</v>
      </c>
      <c r="R7493" s="21" t="n">
        <v>0</v>
      </c>
      <c r="S7493" s="21" t="n">
        <v>0</v>
      </c>
      <c r="T7493" s="21" t="n">
        <v>0</v>
      </c>
      <c r="U7493" s="21" t="n">
        <v>0</v>
      </c>
      <c r="V7493" s="21" t="n">
        <v>0</v>
      </c>
      <c r="W7493" s="21" t="n">
        <v>0</v>
      </c>
      <c r="X7493" s="21" t="n">
        <v>0</v>
      </c>
      <c r="Y7493" s="21" t="n">
        <v>0</v>
      </c>
      <c r="Z7493" s="19" t="n"/>
    </row>
    <row r="7494">
      <c r="D7494" s="21" t="n">
        <v>0</v>
      </c>
      <c r="E7494" s="21" t="n">
        <v>0</v>
      </c>
      <c r="F7494" s="21" t="n">
        <v>0</v>
      </c>
      <c r="G7494" s="21" t="n">
        <v>0</v>
      </c>
      <c r="H7494" s="21" t="n">
        <v>0</v>
      </c>
      <c r="I7494" s="21" t="n">
        <v>0</v>
      </c>
      <c r="J7494" s="21">
        <f>$B$7051</f>
        <v/>
      </c>
      <c r="K7494" s="21">
        <f>$B$7053</f>
        <v/>
      </c>
      <c r="L7494" s="21">
        <f>0</f>
        <v/>
      </c>
      <c r="M7494" s="21">
        <f>2*$B$7052</f>
        <v/>
      </c>
      <c r="N7494" s="21">
        <f>-$B$7051</f>
        <v/>
      </c>
      <c r="O7494" s="21">
        <f>$B$7053</f>
        <v/>
      </c>
      <c r="P7494" s="21" t="n">
        <v>0</v>
      </c>
      <c r="Q7494" s="21" t="n">
        <v>0</v>
      </c>
      <c r="R7494" s="21" t="n">
        <v>0</v>
      </c>
      <c r="S7494" s="21" t="n">
        <v>0</v>
      </c>
      <c r="T7494" s="21" t="n">
        <v>0</v>
      </c>
      <c r="U7494" s="21" t="n">
        <v>0</v>
      </c>
      <c r="V7494" s="21" t="n">
        <v>0</v>
      </c>
      <c r="W7494" s="21" t="n">
        <v>0</v>
      </c>
      <c r="X7494" s="21" t="n">
        <v>0</v>
      </c>
      <c r="Y7494" s="21" t="n">
        <v>0</v>
      </c>
      <c r="Z7494" s="19" t="n"/>
    </row>
    <row r="7495">
      <c r="D7495" s="21" t="n">
        <v>0</v>
      </c>
      <c r="E7495" s="21" t="n">
        <v>0</v>
      </c>
      <c r="F7495" s="21" t="n">
        <v>0</v>
      </c>
      <c r="G7495" s="21" t="n">
        <v>0</v>
      </c>
      <c r="H7495" s="21" t="n">
        <v>0</v>
      </c>
      <c r="I7495" s="21" t="n">
        <v>0</v>
      </c>
      <c r="J7495" s="21" t="n">
        <v>0</v>
      </c>
      <c r="K7495" s="21" t="n">
        <v>0</v>
      </c>
      <c r="L7495" s="21">
        <f>-$B$7050</f>
        <v/>
      </c>
      <c r="M7495" s="21">
        <f>-$B$7051</f>
        <v/>
      </c>
      <c r="N7495" s="21">
        <f>2*$B$7050+$D$7478</f>
        <v/>
      </c>
      <c r="O7495" s="21">
        <f>0</f>
        <v/>
      </c>
      <c r="P7495" s="21">
        <f>-$B$7050</f>
        <v/>
      </c>
      <c r="Q7495" s="21">
        <f>$B$7051</f>
        <v/>
      </c>
      <c r="R7495" s="21" t="n">
        <v>0</v>
      </c>
      <c r="S7495" s="21" t="n">
        <v>0</v>
      </c>
      <c r="T7495" s="21" t="n">
        <v>0</v>
      </c>
      <c r="U7495" s="21" t="n">
        <v>0</v>
      </c>
      <c r="V7495" s="21" t="n">
        <v>0</v>
      </c>
      <c r="W7495" s="21" t="n">
        <v>0</v>
      </c>
      <c r="X7495" s="21" t="n">
        <v>0</v>
      </c>
      <c r="Y7495" s="21" t="n">
        <v>0</v>
      </c>
      <c r="Z7495" s="19" t="n"/>
    </row>
    <row r="7496">
      <c r="D7496" s="21" t="n">
        <v>0</v>
      </c>
      <c r="E7496" s="21" t="n">
        <v>0</v>
      </c>
      <c r="F7496" s="21" t="n">
        <v>0</v>
      </c>
      <c r="G7496" s="21" t="n">
        <v>0</v>
      </c>
      <c r="H7496" s="21" t="n">
        <v>0</v>
      </c>
      <c r="I7496" s="21" t="n">
        <v>0</v>
      </c>
      <c r="J7496" s="21" t="n">
        <v>0</v>
      </c>
      <c r="K7496" s="21" t="n">
        <v>0</v>
      </c>
      <c r="L7496" s="21">
        <f>$B$7051</f>
        <v/>
      </c>
      <c r="M7496" s="21">
        <f>$B$7053</f>
        <v/>
      </c>
      <c r="N7496" s="21">
        <f>0</f>
        <v/>
      </c>
      <c r="O7496" s="21">
        <f>2*$B$7052</f>
        <v/>
      </c>
      <c r="P7496" s="21">
        <f>-$B$7051</f>
        <v/>
      </c>
      <c r="Q7496" s="21">
        <f>$B$7053</f>
        <v/>
      </c>
      <c r="R7496" s="21" t="n">
        <v>0</v>
      </c>
      <c r="S7496" s="21" t="n">
        <v>0</v>
      </c>
      <c r="T7496" s="21" t="n">
        <v>0</v>
      </c>
      <c r="U7496" s="21" t="n">
        <v>0</v>
      </c>
      <c r="V7496" s="21" t="n">
        <v>0</v>
      </c>
      <c r="W7496" s="21" t="n">
        <v>0</v>
      </c>
      <c r="X7496" s="21" t="n">
        <v>0</v>
      </c>
      <c r="Y7496" s="21" t="n">
        <v>0</v>
      </c>
      <c r="Z7496" s="19" t="n"/>
    </row>
    <row r="7497">
      <c r="D7497" s="21" t="n">
        <v>0</v>
      </c>
      <c r="E7497" s="21" t="n">
        <v>0</v>
      </c>
      <c r="F7497" s="21" t="n">
        <v>0</v>
      </c>
      <c r="G7497" s="21" t="n">
        <v>0</v>
      </c>
      <c r="H7497" s="21" t="n">
        <v>0</v>
      </c>
      <c r="I7497" s="21" t="n">
        <v>0</v>
      </c>
      <c r="J7497" s="21" t="n">
        <v>0</v>
      </c>
      <c r="K7497" s="21" t="n">
        <v>0</v>
      </c>
      <c r="L7497" s="21" t="n">
        <v>0</v>
      </c>
      <c r="M7497" s="21" t="n">
        <v>0</v>
      </c>
      <c r="N7497" s="21">
        <f>-$B$7050</f>
        <v/>
      </c>
      <c r="O7497" s="21">
        <f>-$B$7051</f>
        <v/>
      </c>
      <c r="P7497" s="21">
        <f>2*$B$7050+$D$7479</f>
        <v/>
      </c>
      <c r="Q7497" s="21">
        <f>0</f>
        <v/>
      </c>
      <c r="R7497" s="21">
        <f>-$B$7050</f>
        <v/>
      </c>
      <c r="S7497" s="21">
        <f>$B$7051</f>
        <v/>
      </c>
      <c r="T7497" s="21" t="n">
        <v>0</v>
      </c>
      <c r="U7497" s="21" t="n">
        <v>0</v>
      </c>
      <c r="V7497" s="21" t="n">
        <v>0</v>
      </c>
      <c r="W7497" s="21" t="n">
        <v>0</v>
      </c>
      <c r="X7497" s="21" t="n">
        <v>0</v>
      </c>
      <c r="Y7497" s="21" t="n">
        <v>0</v>
      </c>
      <c r="Z7497" s="19" t="n"/>
    </row>
    <row r="7498">
      <c r="D7498" s="21" t="n">
        <v>0</v>
      </c>
      <c r="E7498" s="21" t="n">
        <v>0</v>
      </c>
      <c r="F7498" s="21" t="n">
        <v>0</v>
      </c>
      <c r="G7498" s="21" t="n">
        <v>0</v>
      </c>
      <c r="H7498" s="21" t="n">
        <v>0</v>
      </c>
      <c r="I7498" s="21" t="n">
        <v>0</v>
      </c>
      <c r="J7498" s="21" t="n">
        <v>0</v>
      </c>
      <c r="K7498" s="21" t="n">
        <v>0</v>
      </c>
      <c r="L7498" s="21" t="n">
        <v>0</v>
      </c>
      <c r="M7498" s="21" t="n">
        <v>0</v>
      </c>
      <c r="N7498" s="21">
        <f>$B$7051</f>
        <v/>
      </c>
      <c r="O7498" s="21">
        <f>$B$7053</f>
        <v/>
      </c>
      <c r="P7498" s="21">
        <f>0</f>
        <v/>
      </c>
      <c r="Q7498" s="21">
        <f>2*$B$7052</f>
        <v/>
      </c>
      <c r="R7498" s="21">
        <f>-$B$7051</f>
        <v/>
      </c>
      <c r="S7498" s="21">
        <f>$B$7053</f>
        <v/>
      </c>
      <c r="T7498" s="21" t="n">
        <v>0</v>
      </c>
      <c r="U7498" s="21" t="n">
        <v>0</v>
      </c>
      <c r="V7498" s="21" t="n">
        <v>0</v>
      </c>
      <c r="W7498" s="21" t="n">
        <v>0</v>
      </c>
      <c r="X7498" s="21" t="n">
        <v>0</v>
      </c>
      <c r="Y7498" s="21" t="n">
        <v>0</v>
      </c>
      <c r="Z7498" s="19" t="n"/>
    </row>
    <row r="7499">
      <c r="D7499" s="21" t="n">
        <v>0</v>
      </c>
      <c r="E7499" s="21" t="n">
        <v>0</v>
      </c>
      <c r="F7499" s="21" t="n">
        <v>0</v>
      </c>
      <c r="G7499" s="21" t="n">
        <v>0</v>
      </c>
      <c r="H7499" s="21" t="n">
        <v>0</v>
      </c>
      <c r="I7499" s="21" t="n">
        <v>0</v>
      </c>
      <c r="J7499" s="21" t="n">
        <v>0</v>
      </c>
      <c r="K7499" s="21" t="n">
        <v>0</v>
      </c>
      <c r="L7499" s="21" t="n">
        <v>0</v>
      </c>
      <c r="M7499" s="21" t="n">
        <v>0</v>
      </c>
      <c r="N7499" s="21" t="n">
        <v>0</v>
      </c>
      <c r="O7499" s="21" t="n">
        <v>0</v>
      </c>
      <c r="P7499" s="21">
        <f>-$B$7050</f>
        <v/>
      </c>
      <c r="Q7499" s="21">
        <f>-$B$7051</f>
        <v/>
      </c>
      <c r="R7499" s="21">
        <f>2*$B$7050+$D$7480</f>
        <v/>
      </c>
      <c r="S7499" s="21">
        <f>0</f>
        <v/>
      </c>
      <c r="T7499" s="21">
        <f>-$B$7050</f>
        <v/>
      </c>
      <c r="U7499" s="21">
        <f>$B$7051</f>
        <v/>
      </c>
      <c r="V7499" s="21" t="n">
        <v>0</v>
      </c>
      <c r="W7499" s="21" t="n">
        <v>0</v>
      </c>
      <c r="X7499" s="21" t="n">
        <v>0</v>
      </c>
      <c r="Y7499" s="21" t="n">
        <v>0</v>
      </c>
      <c r="Z7499" s="19" t="n"/>
    </row>
    <row r="7500">
      <c r="D7500" s="21" t="n">
        <v>0</v>
      </c>
      <c r="E7500" s="21" t="n">
        <v>0</v>
      </c>
      <c r="F7500" s="21" t="n">
        <v>0</v>
      </c>
      <c r="G7500" s="21" t="n">
        <v>0</v>
      </c>
      <c r="H7500" s="21" t="n">
        <v>0</v>
      </c>
      <c r="I7500" s="21" t="n">
        <v>0</v>
      </c>
      <c r="J7500" s="21" t="n">
        <v>0</v>
      </c>
      <c r="K7500" s="21" t="n">
        <v>0</v>
      </c>
      <c r="L7500" s="21" t="n">
        <v>0</v>
      </c>
      <c r="M7500" s="21" t="n">
        <v>0</v>
      </c>
      <c r="N7500" s="21" t="n">
        <v>0</v>
      </c>
      <c r="O7500" s="21" t="n">
        <v>0</v>
      </c>
      <c r="P7500" s="21">
        <f>$B$7051</f>
        <v/>
      </c>
      <c r="Q7500" s="21">
        <f>$B$7053</f>
        <v/>
      </c>
      <c r="R7500" s="21">
        <f>0</f>
        <v/>
      </c>
      <c r="S7500" s="21">
        <f>2*$B$7052</f>
        <v/>
      </c>
      <c r="T7500" s="21">
        <f>-$B$7051</f>
        <v/>
      </c>
      <c r="U7500" s="21">
        <f>$B$7053</f>
        <v/>
      </c>
      <c r="V7500" s="21" t="n">
        <v>0</v>
      </c>
      <c r="W7500" s="21" t="n">
        <v>0</v>
      </c>
      <c r="X7500" s="21" t="n">
        <v>0</v>
      </c>
      <c r="Y7500" s="21" t="n">
        <v>0</v>
      </c>
      <c r="Z7500" s="19" t="n"/>
    </row>
    <row r="7501">
      <c r="D7501" s="21" t="n">
        <v>0</v>
      </c>
      <c r="E7501" s="21" t="n">
        <v>0</v>
      </c>
      <c r="F7501" s="21" t="n">
        <v>0</v>
      </c>
      <c r="G7501" s="21" t="n">
        <v>0</v>
      </c>
      <c r="H7501" s="21" t="n">
        <v>0</v>
      </c>
      <c r="I7501" s="21" t="n">
        <v>0</v>
      </c>
      <c r="J7501" s="21" t="n">
        <v>0</v>
      </c>
      <c r="K7501" s="21" t="n">
        <v>0</v>
      </c>
      <c r="L7501" s="21" t="n">
        <v>0</v>
      </c>
      <c r="M7501" s="21" t="n">
        <v>0</v>
      </c>
      <c r="N7501" s="21" t="n">
        <v>0</v>
      </c>
      <c r="O7501" s="21" t="n">
        <v>0</v>
      </c>
      <c r="P7501" s="21" t="n">
        <v>0</v>
      </c>
      <c r="Q7501" s="21" t="n">
        <v>0</v>
      </c>
      <c r="R7501" s="21">
        <f>-$B$7050</f>
        <v/>
      </c>
      <c r="S7501" s="21">
        <f>-$B$7051</f>
        <v/>
      </c>
      <c r="T7501" s="21">
        <f>2*$B$7050+$D$7481</f>
        <v/>
      </c>
      <c r="U7501" s="21">
        <f>0</f>
        <v/>
      </c>
      <c r="V7501" s="21">
        <f>-$B$7050</f>
        <v/>
      </c>
      <c r="W7501" s="21">
        <f>$B$7051</f>
        <v/>
      </c>
      <c r="X7501" s="21" t="n">
        <v>0</v>
      </c>
      <c r="Y7501" s="21" t="n">
        <v>0</v>
      </c>
      <c r="Z7501" s="19" t="n"/>
    </row>
    <row r="7502">
      <c r="D7502" s="21" t="n">
        <v>0</v>
      </c>
      <c r="E7502" s="21" t="n">
        <v>0</v>
      </c>
      <c r="F7502" s="21" t="n">
        <v>0</v>
      </c>
      <c r="G7502" s="21" t="n">
        <v>0</v>
      </c>
      <c r="H7502" s="21" t="n">
        <v>0</v>
      </c>
      <c r="I7502" s="21" t="n">
        <v>0</v>
      </c>
      <c r="J7502" s="21" t="n">
        <v>0</v>
      </c>
      <c r="K7502" s="21" t="n">
        <v>0</v>
      </c>
      <c r="L7502" s="21" t="n">
        <v>0</v>
      </c>
      <c r="M7502" s="21" t="n">
        <v>0</v>
      </c>
      <c r="N7502" s="21" t="n">
        <v>0</v>
      </c>
      <c r="O7502" s="21" t="n">
        <v>0</v>
      </c>
      <c r="P7502" s="21" t="n">
        <v>0</v>
      </c>
      <c r="Q7502" s="21" t="n">
        <v>0</v>
      </c>
      <c r="R7502" s="21">
        <f>$B$7051</f>
        <v/>
      </c>
      <c r="S7502" s="21">
        <f>$B$7053</f>
        <v/>
      </c>
      <c r="T7502" s="21">
        <f>0</f>
        <v/>
      </c>
      <c r="U7502" s="21">
        <f>2*$B$7052</f>
        <v/>
      </c>
      <c r="V7502" s="21">
        <f>-$B$7051</f>
        <v/>
      </c>
      <c r="W7502" s="21">
        <f>$B$7053</f>
        <v/>
      </c>
      <c r="X7502" s="21" t="n">
        <v>0</v>
      </c>
      <c r="Y7502" s="21" t="n">
        <v>0</v>
      </c>
      <c r="Z7502" s="19" t="n"/>
    </row>
    <row r="7503">
      <c r="D7503" s="21" t="n">
        <v>0</v>
      </c>
      <c r="E7503" s="21" t="n">
        <v>0</v>
      </c>
      <c r="F7503" s="21" t="n">
        <v>0</v>
      </c>
      <c r="G7503" s="21" t="n">
        <v>0</v>
      </c>
      <c r="H7503" s="21" t="n">
        <v>0</v>
      </c>
      <c r="I7503" s="21" t="n">
        <v>0</v>
      </c>
      <c r="J7503" s="21" t="n">
        <v>0</v>
      </c>
      <c r="K7503" s="21" t="n">
        <v>0</v>
      </c>
      <c r="L7503" s="21" t="n">
        <v>0</v>
      </c>
      <c r="M7503" s="21" t="n">
        <v>0</v>
      </c>
      <c r="N7503" s="21" t="n">
        <v>0</v>
      </c>
      <c r="O7503" s="21" t="n">
        <v>0</v>
      </c>
      <c r="P7503" s="21" t="n">
        <v>0</v>
      </c>
      <c r="Q7503" s="21" t="n">
        <v>0</v>
      </c>
      <c r="R7503" s="21" t="n">
        <v>0</v>
      </c>
      <c r="S7503" s="21" t="n">
        <v>0</v>
      </c>
      <c r="T7503" s="21">
        <f>-$B$7050</f>
        <v/>
      </c>
      <c r="U7503" s="21">
        <f>-$B$7051</f>
        <v/>
      </c>
      <c r="V7503" s="21">
        <f>2*$B$7050+$D$7482</f>
        <v/>
      </c>
      <c r="W7503" s="21">
        <f>0</f>
        <v/>
      </c>
      <c r="X7503" s="21">
        <f>-$B$7050</f>
        <v/>
      </c>
      <c r="Y7503" s="21">
        <f>$B$7051</f>
        <v/>
      </c>
      <c r="Z7503" s="19" t="n"/>
    </row>
    <row r="7504">
      <c r="D7504" s="21" t="n">
        <v>0</v>
      </c>
      <c r="E7504" s="21" t="n">
        <v>0</v>
      </c>
      <c r="F7504" s="21" t="n">
        <v>0</v>
      </c>
      <c r="G7504" s="21" t="n">
        <v>0</v>
      </c>
      <c r="H7504" s="21" t="n">
        <v>0</v>
      </c>
      <c r="I7504" s="21" t="n">
        <v>0</v>
      </c>
      <c r="J7504" s="21" t="n">
        <v>0</v>
      </c>
      <c r="K7504" s="21" t="n">
        <v>0</v>
      </c>
      <c r="L7504" s="21" t="n">
        <v>0</v>
      </c>
      <c r="M7504" s="21" t="n">
        <v>0</v>
      </c>
      <c r="N7504" s="21" t="n">
        <v>0</v>
      </c>
      <c r="O7504" s="21" t="n">
        <v>0</v>
      </c>
      <c r="P7504" s="21" t="n">
        <v>0</v>
      </c>
      <c r="Q7504" s="21" t="n">
        <v>0</v>
      </c>
      <c r="R7504" s="21" t="n">
        <v>0</v>
      </c>
      <c r="S7504" s="21" t="n">
        <v>0</v>
      </c>
      <c r="T7504" s="21">
        <f>$B$7051</f>
        <v/>
      </c>
      <c r="U7504" s="21">
        <f>$B$7053</f>
        <v/>
      </c>
      <c r="V7504" s="21">
        <f>0</f>
        <v/>
      </c>
      <c r="W7504" s="21">
        <f>2*$B$7052</f>
        <v/>
      </c>
      <c r="X7504" s="21">
        <f>-$B$7051</f>
        <v/>
      </c>
      <c r="Y7504" s="21">
        <f>$B$7053</f>
        <v/>
      </c>
      <c r="Z7504" s="19" t="n"/>
    </row>
    <row r="7505">
      <c r="D7505" s="21" t="n">
        <v>0</v>
      </c>
      <c r="E7505" s="21" t="n">
        <v>0</v>
      </c>
      <c r="F7505" s="21" t="n">
        <v>0</v>
      </c>
      <c r="G7505" s="21" t="n">
        <v>0</v>
      </c>
      <c r="H7505" s="21" t="n">
        <v>0</v>
      </c>
      <c r="I7505" s="21" t="n">
        <v>0</v>
      </c>
      <c r="J7505" s="21" t="n">
        <v>0</v>
      </c>
      <c r="K7505" s="21" t="n">
        <v>0</v>
      </c>
      <c r="L7505" s="21" t="n">
        <v>0</v>
      </c>
      <c r="M7505" s="21" t="n">
        <v>0</v>
      </c>
      <c r="N7505" s="21" t="n">
        <v>0</v>
      </c>
      <c r="O7505" s="21" t="n">
        <v>0</v>
      </c>
      <c r="P7505" s="21" t="n">
        <v>0</v>
      </c>
      <c r="Q7505" s="21" t="n">
        <v>0</v>
      </c>
      <c r="R7505" s="21" t="n">
        <v>0</v>
      </c>
      <c r="S7505" s="21" t="n">
        <v>0</v>
      </c>
      <c r="T7505" s="21" t="n">
        <v>0</v>
      </c>
      <c r="U7505" s="21" t="n">
        <v>0</v>
      </c>
      <c r="V7505" s="21">
        <f>-$B$7050</f>
        <v/>
      </c>
      <c r="W7505" s="21">
        <f>-$B$7051</f>
        <v/>
      </c>
      <c r="X7505" s="21">
        <f>$B$7050+$D$7483</f>
        <v/>
      </c>
      <c r="Y7505" s="21">
        <f>-$B$7051</f>
        <v/>
      </c>
      <c r="Z7505" s="19" t="n"/>
    </row>
    <row r="7506">
      <c r="D7506" s="21" t="n">
        <v>0</v>
      </c>
      <c r="E7506" s="21" t="n">
        <v>0</v>
      </c>
      <c r="F7506" s="21" t="n">
        <v>0</v>
      </c>
      <c r="G7506" s="21" t="n">
        <v>0</v>
      </c>
      <c r="H7506" s="21" t="n">
        <v>0</v>
      </c>
      <c r="I7506" s="21" t="n">
        <v>0</v>
      </c>
      <c r="J7506" s="21" t="n">
        <v>0</v>
      </c>
      <c r="K7506" s="21" t="n">
        <v>0</v>
      </c>
      <c r="L7506" s="21" t="n">
        <v>0</v>
      </c>
      <c r="M7506" s="21" t="n">
        <v>0</v>
      </c>
      <c r="N7506" s="21" t="n">
        <v>0</v>
      </c>
      <c r="O7506" s="21" t="n">
        <v>0</v>
      </c>
      <c r="P7506" s="21" t="n">
        <v>0</v>
      </c>
      <c r="Q7506" s="21" t="n">
        <v>0</v>
      </c>
      <c r="R7506" s="21" t="n">
        <v>0</v>
      </c>
      <c r="S7506" s="21" t="n">
        <v>0</v>
      </c>
      <c r="T7506" s="21" t="n">
        <v>0</v>
      </c>
      <c r="U7506" s="21" t="n">
        <v>0</v>
      </c>
      <c r="V7506" s="21">
        <f>$B$7051</f>
        <v/>
      </c>
      <c r="W7506" s="21">
        <f>$B$7053</f>
        <v/>
      </c>
      <c r="X7506" s="21">
        <f>-$B$7051</f>
        <v/>
      </c>
      <c r="Y7506" s="21">
        <f>$B$7052</f>
        <v/>
      </c>
      <c r="Z7506" s="19" t="n"/>
    </row>
    <row r="7508">
      <c r="A7508" s="8" t="inlineStr">
        <is>
          <t>gen 12</t>
        </is>
      </c>
    </row>
    <row r="7509">
      <c r="D7509" s="19">
        <f>IF(ABS(IF(ABS($E$7473)&gt;0.000000001,$E$7473,0.000000001))=0,0,IF($E$7065&lt;=$B$7059,0,IF(ABS(IF(ABS($E$7473)&gt;0.000000001,$E$7473,0.000000001))&gt;=8*$B$7061,$H$7065,0.5*$H$7065*(ABS(IF(ABS($E$7473)&gt;0.000000001,$E$7473,0.000000001))/$B$7061)^(1/3)))/ABS(IF(ABS($E$7473)&gt;0.000000001,$E$7473,0.000000001))*$I$7065)</f>
        <v/>
      </c>
      <c r="E7509" s="19">
        <f>0.5*$E$7473+0.5*$Z$7521</f>
        <v/>
      </c>
      <c r="F7509" s="19">
        <f>$Z$7522</f>
        <v/>
      </c>
    </row>
    <row r="7510">
      <c r="D7510" s="19">
        <f>IF(ABS(IF(ABS($E$7474)&gt;0.000000001,$E$7474,0.000000001))=0,0,IF($E$7066&lt;=$B$7059,0,IF(ABS(IF(ABS($E$7474)&gt;0.000000001,$E$7474,0.000000001))&gt;=8*$B$7061,$H$7066,0.5*$H$7066*(ABS(IF(ABS($E$7474)&gt;0.000000001,$E$7474,0.000000001))/$B$7061)^(1/3)))/ABS(IF(ABS($E$7474)&gt;0.000000001,$E$7474,0.000000001))*$I$7066)</f>
        <v/>
      </c>
      <c r="E7510" s="19">
        <f>0.5*$E$7474+0.5*$Z$7523</f>
        <v/>
      </c>
      <c r="F7510" s="19">
        <f>$Z$7524</f>
        <v/>
      </c>
    </row>
    <row r="7511">
      <c r="D7511" s="19">
        <f>IF(ABS(IF(ABS($E$7475)&gt;0.000000001,$E$7475,0.000000001))=0,0,IF($E$7067&lt;=$B$7059,0,IF(ABS(IF(ABS($E$7475)&gt;0.000000001,$E$7475,0.000000001))&gt;=8*$B$7061,$H$7067,0.5*$H$7067*(ABS(IF(ABS($E$7475)&gt;0.000000001,$E$7475,0.000000001))/$B$7061)^(1/3)))/ABS(IF(ABS($E$7475)&gt;0.000000001,$E$7475,0.000000001))*$I$7067)</f>
        <v/>
      </c>
      <c r="E7511" s="19">
        <f>0.5*$E$7475+0.5*$Z$7525</f>
        <v/>
      </c>
      <c r="F7511" s="19">
        <f>$Z$7526</f>
        <v/>
      </c>
    </row>
    <row r="7512">
      <c r="D7512" s="19">
        <f>IF(ABS(IF(ABS($E$7476)&gt;0.000000001,$E$7476,0.000000001))=0,0,IF($E$7068&lt;=$B$7059,0,IF(ABS(IF(ABS($E$7476)&gt;0.000000001,$E$7476,0.000000001))&gt;=8*$B$7061,$H$7068,0.5*$H$7068*(ABS(IF(ABS($E$7476)&gt;0.000000001,$E$7476,0.000000001))/$B$7061)^(1/3)))/ABS(IF(ABS($E$7476)&gt;0.000000001,$E$7476,0.000000001))*$I$7068)</f>
        <v/>
      </c>
      <c r="E7512" s="19">
        <f>0.5*$E$7476+0.5*$Z$7527</f>
        <v/>
      </c>
      <c r="F7512" s="19">
        <f>$Z$7528</f>
        <v/>
      </c>
    </row>
    <row r="7513">
      <c r="D7513" s="19">
        <f>IF(ABS(IF(ABS($E$7477)&gt;0.000000001,$E$7477,0.000000001))=0,0,IF($E$7069&lt;=$B$7059,0,IF(ABS(IF(ABS($E$7477)&gt;0.000000001,$E$7477,0.000000001))&gt;=8*$B$7061,$H$7069,0.5*$H$7069*(ABS(IF(ABS($E$7477)&gt;0.000000001,$E$7477,0.000000001))/$B$7061)^(1/3)))/ABS(IF(ABS($E$7477)&gt;0.000000001,$E$7477,0.000000001))*$I$7069)</f>
        <v/>
      </c>
      <c r="E7513" s="19">
        <f>0.5*$E$7477+0.5*$Z$7529</f>
        <v/>
      </c>
      <c r="F7513" s="19">
        <f>$Z$7530</f>
        <v/>
      </c>
    </row>
    <row r="7514">
      <c r="D7514" s="19">
        <f>IF(ABS(IF(ABS($E$7478)&gt;0.000000001,$E$7478,0.000000001))=0,0,IF($E$7070&lt;=$B$7059,0,IF(ABS(IF(ABS($E$7478)&gt;0.000000001,$E$7478,0.000000001))&gt;=8*$B$7061,$H$7070,0.5*$H$7070*(ABS(IF(ABS($E$7478)&gt;0.000000001,$E$7478,0.000000001))/$B$7061)^(1/3)))/ABS(IF(ABS($E$7478)&gt;0.000000001,$E$7478,0.000000001))*$I$7070)</f>
        <v/>
      </c>
      <c r="E7514" s="19">
        <f>0.5*$E$7478+0.5*$Z$7531</f>
        <v/>
      </c>
      <c r="F7514" s="19">
        <f>$Z$7532</f>
        <v/>
      </c>
    </row>
    <row r="7515">
      <c r="D7515" s="19">
        <f>IF(ABS(IF(ABS($E$7479)&gt;0.000000001,$E$7479,0.000000001))=0,0,IF($E$7071&lt;=$B$7059,0,IF(ABS(IF(ABS($E$7479)&gt;0.000000001,$E$7479,0.000000001))&gt;=8*$B$7061,$H$7071,0.5*$H$7071*(ABS(IF(ABS($E$7479)&gt;0.000000001,$E$7479,0.000000001))/$B$7061)^(1/3)))/ABS(IF(ABS($E$7479)&gt;0.000000001,$E$7479,0.000000001))*$I$7071)</f>
        <v/>
      </c>
      <c r="E7515" s="19">
        <f>0.5*$E$7479+0.5*$Z$7533</f>
        <v/>
      </c>
      <c r="F7515" s="19">
        <f>$Z$7534</f>
        <v/>
      </c>
    </row>
    <row r="7516">
      <c r="D7516" s="19">
        <f>IF(ABS(IF(ABS($E$7480)&gt;0.000000001,$E$7480,0.000000001))=0,0,IF($E$7072&lt;=$B$7059,0,IF(ABS(IF(ABS($E$7480)&gt;0.000000001,$E$7480,0.000000001))&gt;=8*$B$7061,$H$7072,0.5*$H$7072*(ABS(IF(ABS($E$7480)&gt;0.000000001,$E$7480,0.000000001))/$B$7061)^(1/3)))/ABS(IF(ABS($E$7480)&gt;0.000000001,$E$7480,0.000000001))*$I$7072)</f>
        <v/>
      </c>
      <c r="E7516" s="19">
        <f>0.5*$E$7480+0.5*$Z$7535</f>
        <v/>
      </c>
      <c r="F7516" s="19">
        <f>$Z$7536</f>
        <v/>
      </c>
    </row>
    <row r="7517">
      <c r="D7517" s="19">
        <f>IF(ABS(IF(ABS($E$7481)&gt;0.000000001,$E$7481,0.000000001))=0,0,IF($E$7073&lt;=$B$7059,0,IF(ABS(IF(ABS($E$7481)&gt;0.000000001,$E$7481,0.000000001))&gt;=8*$B$7061,$H$7073,0.5*$H$7073*(ABS(IF(ABS($E$7481)&gt;0.000000001,$E$7481,0.000000001))/$B$7061)^(1/3)))/ABS(IF(ABS($E$7481)&gt;0.000000001,$E$7481,0.000000001))*$I$7073)</f>
        <v/>
      </c>
      <c r="E7517" s="19">
        <f>0.5*$E$7481+0.5*$Z$7537</f>
        <v/>
      </c>
      <c r="F7517" s="19">
        <f>$Z$7538</f>
        <v/>
      </c>
    </row>
    <row r="7518">
      <c r="D7518" s="19">
        <f>IF(ABS(IF(ABS($E$7482)&gt;0.000000001,$E$7482,0.000000001))=0,0,IF($E$7074&lt;=$B$7059,0,IF(ABS(IF(ABS($E$7482)&gt;0.000000001,$E$7482,0.000000001))&gt;=8*$B$7061,$H$7074,0.5*$H$7074*(ABS(IF(ABS($E$7482)&gt;0.000000001,$E$7482,0.000000001))/$B$7061)^(1/3)))/ABS(IF(ABS($E$7482)&gt;0.000000001,$E$7482,0.000000001))*$I$7074)</f>
        <v/>
      </c>
      <c r="E7518" s="19">
        <f>0.5*$E$7482+0.5*$Z$7539</f>
        <v/>
      </c>
      <c r="F7518" s="19">
        <f>$Z$7540</f>
        <v/>
      </c>
    </row>
    <row r="7519">
      <c r="D7519" s="19">
        <f>IF(ABS(IF(ABS($E$7483)&gt;0.000000001,$E$7483,0.000000001))=0,0,IF($E$7075&lt;=$B$7059,0,IF(ABS(IF(ABS($E$7483)&gt;0.000000001,$E$7483,0.000000001))&gt;=8*$B$7061,$H$7075,0.5*$H$7075*(ABS(IF(ABS($E$7483)&gt;0.000000001,$E$7483,0.000000001))/$B$7061)^(1/3)))/ABS(IF(ABS($E$7483)&gt;0.000000001,$E$7483,0.000000001))*$I$7075)</f>
        <v/>
      </c>
      <c r="E7519" s="19">
        <f>0.5*$E$7483+0.5*$Z$7541</f>
        <v/>
      </c>
      <c r="F7519" s="19">
        <f>$Z$7542</f>
        <v/>
      </c>
    </row>
    <row r="7521">
      <c r="D7521" s="21">
        <f>$B$7050+$D$7509</f>
        <v/>
      </c>
      <c r="E7521" s="21">
        <f>$B$7051</f>
        <v/>
      </c>
      <c r="F7521" s="21">
        <f>-$B$7050</f>
        <v/>
      </c>
      <c r="G7521" s="21">
        <f>$B$7051</f>
        <v/>
      </c>
      <c r="H7521" s="21" t="n">
        <v>0</v>
      </c>
      <c r="I7521" s="21" t="n">
        <v>0</v>
      </c>
      <c r="J7521" s="21" t="n">
        <v>0</v>
      </c>
      <c r="K7521" s="21" t="n">
        <v>0</v>
      </c>
      <c r="L7521" s="21" t="n">
        <v>0</v>
      </c>
      <c r="M7521" s="21" t="n">
        <v>0</v>
      </c>
      <c r="N7521" s="21" t="n">
        <v>0</v>
      </c>
      <c r="O7521" s="21" t="n">
        <v>0</v>
      </c>
      <c r="P7521" s="21" t="n">
        <v>0</v>
      </c>
      <c r="Q7521" s="21" t="n">
        <v>0</v>
      </c>
      <c r="R7521" s="21" t="n">
        <v>0</v>
      </c>
      <c r="S7521" s="21" t="n">
        <v>0</v>
      </c>
      <c r="T7521" s="21" t="n">
        <v>0</v>
      </c>
      <c r="U7521" s="21" t="n">
        <v>0</v>
      </c>
      <c r="V7521" s="21" t="n">
        <v>0</v>
      </c>
      <c r="W7521" s="21" t="n">
        <v>0</v>
      </c>
      <c r="X7521" s="21" t="n">
        <v>0</v>
      </c>
      <c r="Y7521" s="21" t="n">
        <v>0</v>
      </c>
      <c r="Z7521" s="19">
        <f t="array" ref="Z7521:Z7542">MMULT(MINVERSE($D$7521:$Y$7542),$D$7077:$D$7098)</f>
        <v/>
      </c>
    </row>
    <row r="7522">
      <c r="D7522" s="21">
        <f>$B$7051</f>
        <v/>
      </c>
      <c r="E7522" s="21">
        <f>$B$7052</f>
        <v/>
      </c>
      <c r="F7522" s="21">
        <f>-$B$7051</f>
        <v/>
      </c>
      <c r="G7522" s="21">
        <f>$B$7053</f>
        <v/>
      </c>
      <c r="H7522" s="21" t="n">
        <v>0</v>
      </c>
      <c r="I7522" s="21" t="n">
        <v>0</v>
      </c>
      <c r="J7522" s="21" t="n">
        <v>0</v>
      </c>
      <c r="K7522" s="21" t="n">
        <v>0</v>
      </c>
      <c r="L7522" s="21" t="n">
        <v>0</v>
      </c>
      <c r="M7522" s="21" t="n">
        <v>0</v>
      </c>
      <c r="N7522" s="21" t="n">
        <v>0</v>
      </c>
      <c r="O7522" s="21" t="n">
        <v>0</v>
      </c>
      <c r="P7522" s="21" t="n">
        <v>0</v>
      </c>
      <c r="Q7522" s="21" t="n">
        <v>0</v>
      </c>
      <c r="R7522" s="21" t="n">
        <v>0</v>
      </c>
      <c r="S7522" s="21" t="n">
        <v>0</v>
      </c>
      <c r="T7522" s="21" t="n">
        <v>0</v>
      </c>
      <c r="U7522" s="21" t="n">
        <v>0</v>
      </c>
      <c r="V7522" s="21" t="n">
        <v>0</v>
      </c>
      <c r="W7522" s="21" t="n">
        <v>0</v>
      </c>
      <c r="X7522" s="21" t="n">
        <v>0</v>
      </c>
      <c r="Y7522" s="21" t="n">
        <v>0</v>
      </c>
      <c r="Z7522" s="19" t="n"/>
    </row>
    <row r="7523">
      <c r="D7523" s="21">
        <f>-$B$7050</f>
        <v/>
      </c>
      <c r="E7523" s="21">
        <f>-$B$7051</f>
        <v/>
      </c>
      <c r="F7523" s="21">
        <f>2*$B$7050+$D$7510</f>
        <v/>
      </c>
      <c r="G7523" s="21">
        <f>0</f>
        <v/>
      </c>
      <c r="H7523" s="21">
        <f>-$B$7050</f>
        <v/>
      </c>
      <c r="I7523" s="21">
        <f>$B$7051</f>
        <v/>
      </c>
      <c r="J7523" s="21" t="n">
        <v>0</v>
      </c>
      <c r="K7523" s="21" t="n">
        <v>0</v>
      </c>
      <c r="L7523" s="21" t="n">
        <v>0</v>
      </c>
      <c r="M7523" s="21" t="n">
        <v>0</v>
      </c>
      <c r="N7523" s="21" t="n">
        <v>0</v>
      </c>
      <c r="O7523" s="21" t="n">
        <v>0</v>
      </c>
      <c r="P7523" s="21" t="n">
        <v>0</v>
      </c>
      <c r="Q7523" s="21" t="n">
        <v>0</v>
      </c>
      <c r="R7523" s="21" t="n">
        <v>0</v>
      </c>
      <c r="S7523" s="21" t="n">
        <v>0</v>
      </c>
      <c r="T7523" s="21" t="n">
        <v>0</v>
      </c>
      <c r="U7523" s="21" t="n">
        <v>0</v>
      </c>
      <c r="V7523" s="21" t="n">
        <v>0</v>
      </c>
      <c r="W7523" s="21" t="n">
        <v>0</v>
      </c>
      <c r="X7523" s="21" t="n">
        <v>0</v>
      </c>
      <c r="Y7523" s="21" t="n">
        <v>0</v>
      </c>
      <c r="Z7523" s="19" t="n"/>
    </row>
    <row r="7524">
      <c r="D7524" s="21">
        <f>$B$7051</f>
        <v/>
      </c>
      <c r="E7524" s="21">
        <f>$B$7053</f>
        <v/>
      </c>
      <c r="F7524" s="21">
        <f>0</f>
        <v/>
      </c>
      <c r="G7524" s="21">
        <f>2*$B$7052</f>
        <v/>
      </c>
      <c r="H7524" s="21">
        <f>-$B$7051</f>
        <v/>
      </c>
      <c r="I7524" s="21">
        <f>$B$7053</f>
        <v/>
      </c>
      <c r="J7524" s="21" t="n">
        <v>0</v>
      </c>
      <c r="K7524" s="21" t="n">
        <v>0</v>
      </c>
      <c r="L7524" s="21" t="n">
        <v>0</v>
      </c>
      <c r="M7524" s="21" t="n">
        <v>0</v>
      </c>
      <c r="N7524" s="21" t="n">
        <v>0</v>
      </c>
      <c r="O7524" s="21" t="n">
        <v>0</v>
      </c>
      <c r="P7524" s="21" t="n">
        <v>0</v>
      </c>
      <c r="Q7524" s="21" t="n">
        <v>0</v>
      </c>
      <c r="R7524" s="21" t="n">
        <v>0</v>
      </c>
      <c r="S7524" s="21" t="n">
        <v>0</v>
      </c>
      <c r="T7524" s="21" t="n">
        <v>0</v>
      </c>
      <c r="U7524" s="21" t="n">
        <v>0</v>
      </c>
      <c r="V7524" s="21" t="n">
        <v>0</v>
      </c>
      <c r="W7524" s="21" t="n">
        <v>0</v>
      </c>
      <c r="X7524" s="21" t="n">
        <v>0</v>
      </c>
      <c r="Y7524" s="21" t="n">
        <v>0</v>
      </c>
      <c r="Z7524" s="19" t="n"/>
    </row>
    <row r="7525">
      <c r="D7525" s="21" t="n">
        <v>0</v>
      </c>
      <c r="E7525" s="21" t="n">
        <v>0</v>
      </c>
      <c r="F7525" s="21">
        <f>-$B$7050</f>
        <v/>
      </c>
      <c r="G7525" s="21">
        <f>-$B$7051</f>
        <v/>
      </c>
      <c r="H7525" s="21">
        <f>2*$B$7050+$D$7511</f>
        <v/>
      </c>
      <c r="I7525" s="21">
        <f>0</f>
        <v/>
      </c>
      <c r="J7525" s="21">
        <f>-$B$7050</f>
        <v/>
      </c>
      <c r="K7525" s="21">
        <f>$B$7051</f>
        <v/>
      </c>
      <c r="L7525" s="21" t="n">
        <v>0</v>
      </c>
      <c r="M7525" s="21" t="n">
        <v>0</v>
      </c>
      <c r="N7525" s="21" t="n">
        <v>0</v>
      </c>
      <c r="O7525" s="21" t="n">
        <v>0</v>
      </c>
      <c r="P7525" s="21" t="n">
        <v>0</v>
      </c>
      <c r="Q7525" s="21" t="n">
        <v>0</v>
      </c>
      <c r="R7525" s="21" t="n">
        <v>0</v>
      </c>
      <c r="S7525" s="21" t="n">
        <v>0</v>
      </c>
      <c r="T7525" s="21" t="n">
        <v>0</v>
      </c>
      <c r="U7525" s="21" t="n">
        <v>0</v>
      </c>
      <c r="V7525" s="21" t="n">
        <v>0</v>
      </c>
      <c r="W7525" s="21" t="n">
        <v>0</v>
      </c>
      <c r="X7525" s="21" t="n">
        <v>0</v>
      </c>
      <c r="Y7525" s="21" t="n">
        <v>0</v>
      </c>
      <c r="Z7525" s="19" t="n"/>
    </row>
    <row r="7526">
      <c r="D7526" s="21" t="n">
        <v>0</v>
      </c>
      <c r="E7526" s="21" t="n">
        <v>0</v>
      </c>
      <c r="F7526" s="21">
        <f>$B$7051</f>
        <v/>
      </c>
      <c r="G7526" s="21">
        <f>$B$7053</f>
        <v/>
      </c>
      <c r="H7526" s="21">
        <f>0</f>
        <v/>
      </c>
      <c r="I7526" s="21">
        <f>2*$B$7052</f>
        <v/>
      </c>
      <c r="J7526" s="21">
        <f>-$B$7051</f>
        <v/>
      </c>
      <c r="K7526" s="21">
        <f>$B$7053</f>
        <v/>
      </c>
      <c r="L7526" s="21" t="n">
        <v>0</v>
      </c>
      <c r="M7526" s="21" t="n">
        <v>0</v>
      </c>
      <c r="N7526" s="21" t="n">
        <v>0</v>
      </c>
      <c r="O7526" s="21" t="n">
        <v>0</v>
      </c>
      <c r="P7526" s="21" t="n">
        <v>0</v>
      </c>
      <c r="Q7526" s="21" t="n">
        <v>0</v>
      </c>
      <c r="R7526" s="21" t="n">
        <v>0</v>
      </c>
      <c r="S7526" s="21" t="n">
        <v>0</v>
      </c>
      <c r="T7526" s="21" t="n">
        <v>0</v>
      </c>
      <c r="U7526" s="21" t="n">
        <v>0</v>
      </c>
      <c r="V7526" s="21" t="n">
        <v>0</v>
      </c>
      <c r="W7526" s="21" t="n">
        <v>0</v>
      </c>
      <c r="X7526" s="21" t="n">
        <v>0</v>
      </c>
      <c r="Y7526" s="21" t="n">
        <v>0</v>
      </c>
      <c r="Z7526" s="19" t="n"/>
    </row>
    <row r="7527">
      <c r="D7527" s="21" t="n">
        <v>0</v>
      </c>
      <c r="E7527" s="21" t="n">
        <v>0</v>
      </c>
      <c r="F7527" s="21" t="n">
        <v>0</v>
      </c>
      <c r="G7527" s="21" t="n">
        <v>0</v>
      </c>
      <c r="H7527" s="21">
        <f>-$B$7050</f>
        <v/>
      </c>
      <c r="I7527" s="21">
        <f>-$B$7051</f>
        <v/>
      </c>
      <c r="J7527" s="21">
        <f>2*$B$7050+$D$7512</f>
        <v/>
      </c>
      <c r="K7527" s="21">
        <f>0</f>
        <v/>
      </c>
      <c r="L7527" s="21">
        <f>-$B$7050</f>
        <v/>
      </c>
      <c r="M7527" s="21">
        <f>$B$7051</f>
        <v/>
      </c>
      <c r="N7527" s="21" t="n">
        <v>0</v>
      </c>
      <c r="O7527" s="21" t="n">
        <v>0</v>
      </c>
      <c r="P7527" s="21" t="n">
        <v>0</v>
      </c>
      <c r="Q7527" s="21" t="n">
        <v>0</v>
      </c>
      <c r="R7527" s="21" t="n">
        <v>0</v>
      </c>
      <c r="S7527" s="21" t="n">
        <v>0</v>
      </c>
      <c r="T7527" s="21" t="n">
        <v>0</v>
      </c>
      <c r="U7527" s="21" t="n">
        <v>0</v>
      </c>
      <c r="V7527" s="21" t="n">
        <v>0</v>
      </c>
      <c r="W7527" s="21" t="n">
        <v>0</v>
      </c>
      <c r="X7527" s="21" t="n">
        <v>0</v>
      </c>
      <c r="Y7527" s="21" t="n">
        <v>0</v>
      </c>
      <c r="Z7527" s="19" t="n"/>
    </row>
    <row r="7528">
      <c r="D7528" s="21" t="n">
        <v>0</v>
      </c>
      <c r="E7528" s="21" t="n">
        <v>0</v>
      </c>
      <c r="F7528" s="21" t="n">
        <v>0</v>
      </c>
      <c r="G7528" s="21" t="n">
        <v>0</v>
      </c>
      <c r="H7528" s="21">
        <f>$B$7051</f>
        <v/>
      </c>
      <c r="I7528" s="21">
        <f>$B$7053</f>
        <v/>
      </c>
      <c r="J7528" s="21">
        <f>0</f>
        <v/>
      </c>
      <c r="K7528" s="21">
        <f>2*$B$7052</f>
        <v/>
      </c>
      <c r="L7528" s="21">
        <f>-$B$7051</f>
        <v/>
      </c>
      <c r="M7528" s="21">
        <f>$B$7053</f>
        <v/>
      </c>
      <c r="N7528" s="21" t="n">
        <v>0</v>
      </c>
      <c r="O7528" s="21" t="n">
        <v>0</v>
      </c>
      <c r="P7528" s="21" t="n">
        <v>0</v>
      </c>
      <c r="Q7528" s="21" t="n">
        <v>0</v>
      </c>
      <c r="R7528" s="21" t="n">
        <v>0</v>
      </c>
      <c r="S7528" s="21" t="n">
        <v>0</v>
      </c>
      <c r="T7528" s="21" t="n">
        <v>0</v>
      </c>
      <c r="U7528" s="21" t="n">
        <v>0</v>
      </c>
      <c r="V7528" s="21" t="n">
        <v>0</v>
      </c>
      <c r="W7528" s="21" t="n">
        <v>0</v>
      </c>
      <c r="X7528" s="21" t="n">
        <v>0</v>
      </c>
      <c r="Y7528" s="21" t="n">
        <v>0</v>
      </c>
      <c r="Z7528" s="19" t="n"/>
    </row>
    <row r="7529">
      <c r="D7529" s="21" t="n">
        <v>0</v>
      </c>
      <c r="E7529" s="21" t="n">
        <v>0</v>
      </c>
      <c r="F7529" s="21" t="n">
        <v>0</v>
      </c>
      <c r="G7529" s="21" t="n">
        <v>0</v>
      </c>
      <c r="H7529" s="21" t="n">
        <v>0</v>
      </c>
      <c r="I7529" s="21" t="n">
        <v>0</v>
      </c>
      <c r="J7529" s="21">
        <f>-$B$7050</f>
        <v/>
      </c>
      <c r="K7529" s="21">
        <f>-$B$7051</f>
        <v/>
      </c>
      <c r="L7529" s="21">
        <f>2*$B$7050+$D$7513</f>
        <v/>
      </c>
      <c r="M7529" s="21">
        <f>0</f>
        <v/>
      </c>
      <c r="N7529" s="21">
        <f>-$B$7050</f>
        <v/>
      </c>
      <c r="O7529" s="21">
        <f>$B$7051</f>
        <v/>
      </c>
      <c r="P7529" s="21" t="n">
        <v>0</v>
      </c>
      <c r="Q7529" s="21" t="n">
        <v>0</v>
      </c>
      <c r="R7529" s="21" t="n">
        <v>0</v>
      </c>
      <c r="S7529" s="21" t="n">
        <v>0</v>
      </c>
      <c r="T7529" s="21" t="n">
        <v>0</v>
      </c>
      <c r="U7529" s="21" t="n">
        <v>0</v>
      </c>
      <c r="V7529" s="21" t="n">
        <v>0</v>
      </c>
      <c r="W7529" s="21" t="n">
        <v>0</v>
      </c>
      <c r="X7529" s="21" t="n">
        <v>0</v>
      </c>
      <c r="Y7529" s="21" t="n">
        <v>0</v>
      </c>
      <c r="Z7529" s="19" t="n"/>
    </row>
    <row r="7530">
      <c r="D7530" s="21" t="n">
        <v>0</v>
      </c>
      <c r="E7530" s="21" t="n">
        <v>0</v>
      </c>
      <c r="F7530" s="21" t="n">
        <v>0</v>
      </c>
      <c r="G7530" s="21" t="n">
        <v>0</v>
      </c>
      <c r="H7530" s="21" t="n">
        <v>0</v>
      </c>
      <c r="I7530" s="21" t="n">
        <v>0</v>
      </c>
      <c r="J7530" s="21">
        <f>$B$7051</f>
        <v/>
      </c>
      <c r="K7530" s="21">
        <f>$B$7053</f>
        <v/>
      </c>
      <c r="L7530" s="21">
        <f>0</f>
        <v/>
      </c>
      <c r="M7530" s="21">
        <f>2*$B$7052</f>
        <v/>
      </c>
      <c r="N7530" s="21">
        <f>-$B$7051</f>
        <v/>
      </c>
      <c r="O7530" s="21">
        <f>$B$7053</f>
        <v/>
      </c>
      <c r="P7530" s="21" t="n">
        <v>0</v>
      </c>
      <c r="Q7530" s="21" t="n">
        <v>0</v>
      </c>
      <c r="R7530" s="21" t="n">
        <v>0</v>
      </c>
      <c r="S7530" s="21" t="n">
        <v>0</v>
      </c>
      <c r="T7530" s="21" t="n">
        <v>0</v>
      </c>
      <c r="U7530" s="21" t="n">
        <v>0</v>
      </c>
      <c r="V7530" s="21" t="n">
        <v>0</v>
      </c>
      <c r="W7530" s="21" t="n">
        <v>0</v>
      </c>
      <c r="X7530" s="21" t="n">
        <v>0</v>
      </c>
      <c r="Y7530" s="21" t="n">
        <v>0</v>
      </c>
      <c r="Z7530" s="19" t="n"/>
    </row>
    <row r="7531">
      <c r="D7531" s="21" t="n">
        <v>0</v>
      </c>
      <c r="E7531" s="21" t="n">
        <v>0</v>
      </c>
      <c r="F7531" s="21" t="n">
        <v>0</v>
      </c>
      <c r="G7531" s="21" t="n">
        <v>0</v>
      </c>
      <c r="H7531" s="21" t="n">
        <v>0</v>
      </c>
      <c r="I7531" s="21" t="n">
        <v>0</v>
      </c>
      <c r="J7531" s="21" t="n">
        <v>0</v>
      </c>
      <c r="K7531" s="21" t="n">
        <v>0</v>
      </c>
      <c r="L7531" s="21">
        <f>-$B$7050</f>
        <v/>
      </c>
      <c r="M7531" s="21">
        <f>-$B$7051</f>
        <v/>
      </c>
      <c r="N7531" s="21">
        <f>2*$B$7050+$D$7514</f>
        <v/>
      </c>
      <c r="O7531" s="21">
        <f>0</f>
        <v/>
      </c>
      <c r="P7531" s="21">
        <f>-$B$7050</f>
        <v/>
      </c>
      <c r="Q7531" s="21">
        <f>$B$7051</f>
        <v/>
      </c>
      <c r="R7531" s="21" t="n">
        <v>0</v>
      </c>
      <c r="S7531" s="21" t="n">
        <v>0</v>
      </c>
      <c r="T7531" s="21" t="n">
        <v>0</v>
      </c>
      <c r="U7531" s="21" t="n">
        <v>0</v>
      </c>
      <c r="V7531" s="21" t="n">
        <v>0</v>
      </c>
      <c r="W7531" s="21" t="n">
        <v>0</v>
      </c>
      <c r="X7531" s="21" t="n">
        <v>0</v>
      </c>
      <c r="Y7531" s="21" t="n">
        <v>0</v>
      </c>
      <c r="Z7531" s="19" t="n"/>
    </row>
    <row r="7532">
      <c r="D7532" s="21" t="n">
        <v>0</v>
      </c>
      <c r="E7532" s="21" t="n">
        <v>0</v>
      </c>
      <c r="F7532" s="21" t="n">
        <v>0</v>
      </c>
      <c r="G7532" s="21" t="n">
        <v>0</v>
      </c>
      <c r="H7532" s="21" t="n">
        <v>0</v>
      </c>
      <c r="I7532" s="21" t="n">
        <v>0</v>
      </c>
      <c r="J7532" s="21" t="n">
        <v>0</v>
      </c>
      <c r="K7532" s="21" t="n">
        <v>0</v>
      </c>
      <c r="L7532" s="21">
        <f>$B$7051</f>
        <v/>
      </c>
      <c r="M7532" s="21">
        <f>$B$7053</f>
        <v/>
      </c>
      <c r="N7532" s="21">
        <f>0</f>
        <v/>
      </c>
      <c r="O7532" s="21">
        <f>2*$B$7052</f>
        <v/>
      </c>
      <c r="P7532" s="21">
        <f>-$B$7051</f>
        <v/>
      </c>
      <c r="Q7532" s="21">
        <f>$B$7053</f>
        <v/>
      </c>
      <c r="R7532" s="21" t="n">
        <v>0</v>
      </c>
      <c r="S7532" s="21" t="n">
        <v>0</v>
      </c>
      <c r="T7532" s="21" t="n">
        <v>0</v>
      </c>
      <c r="U7532" s="21" t="n">
        <v>0</v>
      </c>
      <c r="V7532" s="21" t="n">
        <v>0</v>
      </c>
      <c r="W7532" s="21" t="n">
        <v>0</v>
      </c>
      <c r="X7532" s="21" t="n">
        <v>0</v>
      </c>
      <c r="Y7532" s="21" t="n">
        <v>0</v>
      </c>
      <c r="Z7532" s="19" t="n"/>
    </row>
    <row r="7533">
      <c r="D7533" s="21" t="n">
        <v>0</v>
      </c>
      <c r="E7533" s="21" t="n">
        <v>0</v>
      </c>
      <c r="F7533" s="21" t="n">
        <v>0</v>
      </c>
      <c r="G7533" s="21" t="n">
        <v>0</v>
      </c>
      <c r="H7533" s="21" t="n">
        <v>0</v>
      </c>
      <c r="I7533" s="21" t="n">
        <v>0</v>
      </c>
      <c r="J7533" s="21" t="n">
        <v>0</v>
      </c>
      <c r="K7533" s="21" t="n">
        <v>0</v>
      </c>
      <c r="L7533" s="21" t="n">
        <v>0</v>
      </c>
      <c r="M7533" s="21" t="n">
        <v>0</v>
      </c>
      <c r="N7533" s="21">
        <f>-$B$7050</f>
        <v/>
      </c>
      <c r="O7533" s="21">
        <f>-$B$7051</f>
        <v/>
      </c>
      <c r="P7533" s="21">
        <f>2*$B$7050+$D$7515</f>
        <v/>
      </c>
      <c r="Q7533" s="21">
        <f>0</f>
        <v/>
      </c>
      <c r="R7533" s="21">
        <f>-$B$7050</f>
        <v/>
      </c>
      <c r="S7533" s="21">
        <f>$B$7051</f>
        <v/>
      </c>
      <c r="T7533" s="21" t="n">
        <v>0</v>
      </c>
      <c r="U7533" s="21" t="n">
        <v>0</v>
      </c>
      <c r="V7533" s="21" t="n">
        <v>0</v>
      </c>
      <c r="W7533" s="21" t="n">
        <v>0</v>
      </c>
      <c r="X7533" s="21" t="n">
        <v>0</v>
      </c>
      <c r="Y7533" s="21" t="n">
        <v>0</v>
      </c>
      <c r="Z7533" s="19" t="n"/>
    </row>
    <row r="7534">
      <c r="D7534" s="21" t="n">
        <v>0</v>
      </c>
      <c r="E7534" s="21" t="n">
        <v>0</v>
      </c>
      <c r="F7534" s="21" t="n">
        <v>0</v>
      </c>
      <c r="G7534" s="21" t="n">
        <v>0</v>
      </c>
      <c r="H7534" s="21" t="n">
        <v>0</v>
      </c>
      <c r="I7534" s="21" t="n">
        <v>0</v>
      </c>
      <c r="J7534" s="21" t="n">
        <v>0</v>
      </c>
      <c r="K7534" s="21" t="n">
        <v>0</v>
      </c>
      <c r="L7534" s="21" t="n">
        <v>0</v>
      </c>
      <c r="M7534" s="21" t="n">
        <v>0</v>
      </c>
      <c r="N7534" s="21">
        <f>$B$7051</f>
        <v/>
      </c>
      <c r="O7534" s="21">
        <f>$B$7053</f>
        <v/>
      </c>
      <c r="P7534" s="21">
        <f>0</f>
        <v/>
      </c>
      <c r="Q7534" s="21">
        <f>2*$B$7052</f>
        <v/>
      </c>
      <c r="R7534" s="21">
        <f>-$B$7051</f>
        <v/>
      </c>
      <c r="S7534" s="21">
        <f>$B$7053</f>
        <v/>
      </c>
      <c r="T7534" s="21" t="n">
        <v>0</v>
      </c>
      <c r="U7534" s="21" t="n">
        <v>0</v>
      </c>
      <c r="V7534" s="21" t="n">
        <v>0</v>
      </c>
      <c r="W7534" s="21" t="n">
        <v>0</v>
      </c>
      <c r="X7534" s="21" t="n">
        <v>0</v>
      </c>
      <c r="Y7534" s="21" t="n">
        <v>0</v>
      </c>
      <c r="Z7534" s="19" t="n"/>
    </row>
    <row r="7535">
      <c r="D7535" s="21" t="n">
        <v>0</v>
      </c>
      <c r="E7535" s="21" t="n">
        <v>0</v>
      </c>
      <c r="F7535" s="21" t="n">
        <v>0</v>
      </c>
      <c r="G7535" s="21" t="n">
        <v>0</v>
      </c>
      <c r="H7535" s="21" t="n">
        <v>0</v>
      </c>
      <c r="I7535" s="21" t="n">
        <v>0</v>
      </c>
      <c r="J7535" s="21" t="n">
        <v>0</v>
      </c>
      <c r="K7535" s="21" t="n">
        <v>0</v>
      </c>
      <c r="L7535" s="21" t="n">
        <v>0</v>
      </c>
      <c r="M7535" s="21" t="n">
        <v>0</v>
      </c>
      <c r="N7535" s="21" t="n">
        <v>0</v>
      </c>
      <c r="O7535" s="21" t="n">
        <v>0</v>
      </c>
      <c r="P7535" s="21">
        <f>-$B$7050</f>
        <v/>
      </c>
      <c r="Q7535" s="21">
        <f>-$B$7051</f>
        <v/>
      </c>
      <c r="R7535" s="21">
        <f>2*$B$7050+$D$7516</f>
        <v/>
      </c>
      <c r="S7535" s="21">
        <f>0</f>
        <v/>
      </c>
      <c r="T7535" s="21">
        <f>-$B$7050</f>
        <v/>
      </c>
      <c r="U7535" s="21">
        <f>$B$7051</f>
        <v/>
      </c>
      <c r="V7535" s="21" t="n">
        <v>0</v>
      </c>
      <c r="W7535" s="21" t="n">
        <v>0</v>
      </c>
      <c r="X7535" s="21" t="n">
        <v>0</v>
      </c>
      <c r="Y7535" s="21" t="n">
        <v>0</v>
      </c>
      <c r="Z7535" s="19" t="n"/>
    </row>
    <row r="7536">
      <c r="D7536" s="21" t="n">
        <v>0</v>
      </c>
      <c r="E7536" s="21" t="n">
        <v>0</v>
      </c>
      <c r="F7536" s="21" t="n">
        <v>0</v>
      </c>
      <c r="G7536" s="21" t="n">
        <v>0</v>
      </c>
      <c r="H7536" s="21" t="n">
        <v>0</v>
      </c>
      <c r="I7536" s="21" t="n">
        <v>0</v>
      </c>
      <c r="J7536" s="21" t="n">
        <v>0</v>
      </c>
      <c r="K7536" s="21" t="n">
        <v>0</v>
      </c>
      <c r="L7536" s="21" t="n">
        <v>0</v>
      </c>
      <c r="M7536" s="21" t="n">
        <v>0</v>
      </c>
      <c r="N7536" s="21" t="n">
        <v>0</v>
      </c>
      <c r="O7536" s="21" t="n">
        <v>0</v>
      </c>
      <c r="P7536" s="21">
        <f>$B$7051</f>
        <v/>
      </c>
      <c r="Q7536" s="21">
        <f>$B$7053</f>
        <v/>
      </c>
      <c r="R7536" s="21">
        <f>0</f>
        <v/>
      </c>
      <c r="S7536" s="21">
        <f>2*$B$7052</f>
        <v/>
      </c>
      <c r="T7536" s="21">
        <f>-$B$7051</f>
        <v/>
      </c>
      <c r="U7536" s="21">
        <f>$B$7053</f>
        <v/>
      </c>
      <c r="V7536" s="21" t="n">
        <v>0</v>
      </c>
      <c r="W7536" s="21" t="n">
        <v>0</v>
      </c>
      <c r="X7536" s="21" t="n">
        <v>0</v>
      </c>
      <c r="Y7536" s="21" t="n">
        <v>0</v>
      </c>
      <c r="Z7536" s="19" t="n"/>
    </row>
    <row r="7537">
      <c r="D7537" s="21" t="n">
        <v>0</v>
      </c>
      <c r="E7537" s="21" t="n">
        <v>0</v>
      </c>
      <c r="F7537" s="21" t="n">
        <v>0</v>
      </c>
      <c r="G7537" s="21" t="n">
        <v>0</v>
      </c>
      <c r="H7537" s="21" t="n">
        <v>0</v>
      </c>
      <c r="I7537" s="21" t="n">
        <v>0</v>
      </c>
      <c r="J7537" s="21" t="n">
        <v>0</v>
      </c>
      <c r="K7537" s="21" t="n">
        <v>0</v>
      </c>
      <c r="L7537" s="21" t="n">
        <v>0</v>
      </c>
      <c r="M7537" s="21" t="n">
        <v>0</v>
      </c>
      <c r="N7537" s="21" t="n">
        <v>0</v>
      </c>
      <c r="O7537" s="21" t="n">
        <v>0</v>
      </c>
      <c r="P7537" s="21" t="n">
        <v>0</v>
      </c>
      <c r="Q7537" s="21" t="n">
        <v>0</v>
      </c>
      <c r="R7537" s="21">
        <f>-$B$7050</f>
        <v/>
      </c>
      <c r="S7537" s="21">
        <f>-$B$7051</f>
        <v/>
      </c>
      <c r="T7537" s="21">
        <f>2*$B$7050+$D$7517</f>
        <v/>
      </c>
      <c r="U7537" s="21">
        <f>0</f>
        <v/>
      </c>
      <c r="V7537" s="21">
        <f>-$B$7050</f>
        <v/>
      </c>
      <c r="W7537" s="21">
        <f>$B$7051</f>
        <v/>
      </c>
      <c r="X7537" s="21" t="n">
        <v>0</v>
      </c>
      <c r="Y7537" s="21" t="n">
        <v>0</v>
      </c>
      <c r="Z7537" s="19" t="n"/>
    </row>
    <row r="7538">
      <c r="D7538" s="21" t="n">
        <v>0</v>
      </c>
      <c r="E7538" s="21" t="n">
        <v>0</v>
      </c>
      <c r="F7538" s="21" t="n">
        <v>0</v>
      </c>
      <c r="G7538" s="21" t="n">
        <v>0</v>
      </c>
      <c r="H7538" s="21" t="n">
        <v>0</v>
      </c>
      <c r="I7538" s="21" t="n">
        <v>0</v>
      </c>
      <c r="J7538" s="21" t="n">
        <v>0</v>
      </c>
      <c r="K7538" s="21" t="n">
        <v>0</v>
      </c>
      <c r="L7538" s="21" t="n">
        <v>0</v>
      </c>
      <c r="M7538" s="21" t="n">
        <v>0</v>
      </c>
      <c r="N7538" s="21" t="n">
        <v>0</v>
      </c>
      <c r="O7538" s="21" t="n">
        <v>0</v>
      </c>
      <c r="P7538" s="21" t="n">
        <v>0</v>
      </c>
      <c r="Q7538" s="21" t="n">
        <v>0</v>
      </c>
      <c r="R7538" s="21">
        <f>$B$7051</f>
        <v/>
      </c>
      <c r="S7538" s="21">
        <f>$B$7053</f>
        <v/>
      </c>
      <c r="T7538" s="21">
        <f>0</f>
        <v/>
      </c>
      <c r="U7538" s="21">
        <f>2*$B$7052</f>
        <v/>
      </c>
      <c r="V7538" s="21">
        <f>-$B$7051</f>
        <v/>
      </c>
      <c r="W7538" s="21">
        <f>$B$7053</f>
        <v/>
      </c>
      <c r="X7538" s="21" t="n">
        <v>0</v>
      </c>
      <c r="Y7538" s="21" t="n">
        <v>0</v>
      </c>
      <c r="Z7538" s="19" t="n"/>
    </row>
    <row r="7539">
      <c r="D7539" s="21" t="n">
        <v>0</v>
      </c>
      <c r="E7539" s="21" t="n">
        <v>0</v>
      </c>
      <c r="F7539" s="21" t="n">
        <v>0</v>
      </c>
      <c r="G7539" s="21" t="n">
        <v>0</v>
      </c>
      <c r="H7539" s="21" t="n">
        <v>0</v>
      </c>
      <c r="I7539" s="21" t="n">
        <v>0</v>
      </c>
      <c r="J7539" s="21" t="n">
        <v>0</v>
      </c>
      <c r="K7539" s="21" t="n">
        <v>0</v>
      </c>
      <c r="L7539" s="21" t="n">
        <v>0</v>
      </c>
      <c r="M7539" s="21" t="n">
        <v>0</v>
      </c>
      <c r="N7539" s="21" t="n">
        <v>0</v>
      </c>
      <c r="O7539" s="21" t="n">
        <v>0</v>
      </c>
      <c r="P7539" s="21" t="n">
        <v>0</v>
      </c>
      <c r="Q7539" s="21" t="n">
        <v>0</v>
      </c>
      <c r="R7539" s="21" t="n">
        <v>0</v>
      </c>
      <c r="S7539" s="21" t="n">
        <v>0</v>
      </c>
      <c r="T7539" s="21">
        <f>-$B$7050</f>
        <v/>
      </c>
      <c r="U7539" s="21">
        <f>-$B$7051</f>
        <v/>
      </c>
      <c r="V7539" s="21">
        <f>2*$B$7050+$D$7518</f>
        <v/>
      </c>
      <c r="W7539" s="21">
        <f>0</f>
        <v/>
      </c>
      <c r="X7539" s="21">
        <f>-$B$7050</f>
        <v/>
      </c>
      <c r="Y7539" s="21">
        <f>$B$7051</f>
        <v/>
      </c>
      <c r="Z7539" s="19" t="n"/>
    </row>
    <row r="7540">
      <c r="D7540" s="21" t="n">
        <v>0</v>
      </c>
      <c r="E7540" s="21" t="n">
        <v>0</v>
      </c>
      <c r="F7540" s="21" t="n">
        <v>0</v>
      </c>
      <c r="G7540" s="21" t="n">
        <v>0</v>
      </c>
      <c r="H7540" s="21" t="n">
        <v>0</v>
      </c>
      <c r="I7540" s="21" t="n">
        <v>0</v>
      </c>
      <c r="J7540" s="21" t="n">
        <v>0</v>
      </c>
      <c r="K7540" s="21" t="n">
        <v>0</v>
      </c>
      <c r="L7540" s="21" t="n">
        <v>0</v>
      </c>
      <c r="M7540" s="21" t="n">
        <v>0</v>
      </c>
      <c r="N7540" s="21" t="n">
        <v>0</v>
      </c>
      <c r="O7540" s="21" t="n">
        <v>0</v>
      </c>
      <c r="P7540" s="21" t="n">
        <v>0</v>
      </c>
      <c r="Q7540" s="21" t="n">
        <v>0</v>
      </c>
      <c r="R7540" s="21" t="n">
        <v>0</v>
      </c>
      <c r="S7540" s="21" t="n">
        <v>0</v>
      </c>
      <c r="T7540" s="21">
        <f>$B$7051</f>
        <v/>
      </c>
      <c r="U7540" s="21">
        <f>$B$7053</f>
        <v/>
      </c>
      <c r="V7540" s="21">
        <f>0</f>
        <v/>
      </c>
      <c r="W7540" s="21">
        <f>2*$B$7052</f>
        <v/>
      </c>
      <c r="X7540" s="21">
        <f>-$B$7051</f>
        <v/>
      </c>
      <c r="Y7540" s="21">
        <f>$B$7053</f>
        <v/>
      </c>
      <c r="Z7540" s="19" t="n"/>
    </row>
    <row r="7541">
      <c r="D7541" s="21" t="n">
        <v>0</v>
      </c>
      <c r="E7541" s="21" t="n">
        <v>0</v>
      </c>
      <c r="F7541" s="21" t="n">
        <v>0</v>
      </c>
      <c r="G7541" s="21" t="n">
        <v>0</v>
      </c>
      <c r="H7541" s="21" t="n">
        <v>0</v>
      </c>
      <c r="I7541" s="21" t="n">
        <v>0</v>
      </c>
      <c r="J7541" s="21" t="n">
        <v>0</v>
      </c>
      <c r="K7541" s="21" t="n">
        <v>0</v>
      </c>
      <c r="L7541" s="21" t="n">
        <v>0</v>
      </c>
      <c r="M7541" s="21" t="n">
        <v>0</v>
      </c>
      <c r="N7541" s="21" t="n">
        <v>0</v>
      </c>
      <c r="O7541" s="21" t="n">
        <v>0</v>
      </c>
      <c r="P7541" s="21" t="n">
        <v>0</v>
      </c>
      <c r="Q7541" s="21" t="n">
        <v>0</v>
      </c>
      <c r="R7541" s="21" t="n">
        <v>0</v>
      </c>
      <c r="S7541" s="21" t="n">
        <v>0</v>
      </c>
      <c r="T7541" s="21" t="n">
        <v>0</v>
      </c>
      <c r="U7541" s="21" t="n">
        <v>0</v>
      </c>
      <c r="V7541" s="21">
        <f>-$B$7050</f>
        <v/>
      </c>
      <c r="W7541" s="21">
        <f>-$B$7051</f>
        <v/>
      </c>
      <c r="X7541" s="21">
        <f>$B$7050+$D$7519</f>
        <v/>
      </c>
      <c r="Y7541" s="21">
        <f>-$B$7051</f>
        <v/>
      </c>
      <c r="Z7541" s="19" t="n"/>
    </row>
    <row r="7542">
      <c r="D7542" s="21" t="n">
        <v>0</v>
      </c>
      <c r="E7542" s="21" t="n">
        <v>0</v>
      </c>
      <c r="F7542" s="21" t="n">
        <v>0</v>
      </c>
      <c r="G7542" s="21" t="n">
        <v>0</v>
      </c>
      <c r="H7542" s="21" t="n">
        <v>0</v>
      </c>
      <c r="I7542" s="21" t="n">
        <v>0</v>
      </c>
      <c r="J7542" s="21" t="n">
        <v>0</v>
      </c>
      <c r="K7542" s="21" t="n">
        <v>0</v>
      </c>
      <c r="L7542" s="21" t="n">
        <v>0</v>
      </c>
      <c r="M7542" s="21" t="n">
        <v>0</v>
      </c>
      <c r="N7542" s="21" t="n">
        <v>0</v>
      </c>
      <c r="O7542" s="21" t="n">
        <v>0</v>
      </c>
      <c r="P7542" s="21" t="n">
        <v>0</v>
      </c>
      <c r="Q7542" s="21" t="n">
        <v>0</v>
      </c>
      <c r="R7542" s="21" t="n">
        <v>0</v>
      </c>
      <c r="S7542" s="21" t="n">
        <v>0</v>
      </c>
      <c r="T7542" s="21" t="n">
        <v>0</v>
      </c>
      <c r="U7542" s="21" t="n">
        <v>0</v>
      </c>
      <c r="V7542" s="21">
        <f>$B$7051</f>
        <v/>
      </c>
      <c r="W7542" s="21">
        <f>$B$7053</f>
        <v/>
      </c>
      <c r="X7542" s="21">
        <f>-$B$7051</f>
        <v/>
      </c>
      <c r="Y7542" s="21">
        <f>$B$7052</f>
        <v/>
      </c>
      <c r="Z7542" s="19" t="n"/>
    </row>
    <row r="7544">
      <c r="A7544" s="8" t="inlineStr">
        <is>
          <t>gen 13</t>
        </is>
      </c>
    </row>
    <row r="7545">
      <c r="D7545" s="19">
        <f>IF(ABS(IF(ABS($E$7509)&gt;0.000000001,$E$7509,0.000000001))=0,0,IF($E$7065&lt;=$B$7059,0,IF(ABS(IF(ABS($E$7509)&gt;0.000000001,$E$7509,0.000000001))&gt;=8*$B$7061,$H$7065,0.5*$H$7065*(ABS(IF(ABS($E$7509)&gt;0.000000001,$E$7509,0.000000001))/$B$7061)^(1/3)))/ABS(IF(ABS($E$7509)&gt;0.000000001,$E$7509,0.000000001))*$I$7065)</f>
        <v/>
      </c>
      <c r="E7545" s="19">
        <f>0.5*$E$7509+0.5*$Z$7557</f>
        <v/>
      </c>
      <c r="F7545" s="19">
        <f>$Z$7558</f>
        <v/>
      </c>
    </row>
    <row r="7546">
      <c r="D7546" s="19">
        <f>IF(ABS(IF(ABS($E$7510)&gt;0.000000001,$E$7510,0.000000001))=0,0,IF($E$7066&lt;=$B$7059,0,IF(ABS(IF(ABS($E$7510)&gt;0.000000001,$E$7510,0.000000001))&gt;=8*$B$7061,$H$7066,0.5*$H$7066*(ABS(IF(ABS($E$7510)&gt;0.000000001,$E$7510,0.000000001))/$B$7061)^(1/3)))/ABS(IF(ABS($E$7510)&gt;0.000000001,$E$7510,0.000000001))*$I$7066)</f>
        <v/>
      </c>
      <c r="E7546" s="19">
        <f>0.5*$E$7510+0.5*$Z$7559</f>
        <v/>
      </c>
      <c r="F7546" s="19">
        <f>$Z$7560</f>
        <v/>
      </c>
    </row>
    <row r="7547">
      <c r="D7547" s="19">
        <f>IF(ABS(IF(ABS($E$7511)&gt;0.000000001,$E$7511,0.000000001))=0,0,IF($E$7067&lt;=$B$7059,0,IF(ABS(IF(ABS($E$7511)&gt;0.000000001,$E$7511,0.000000001))&gt;=8*$B$7061,$H$7067,0.5*$H$7067*(ABS(IF(ABS($E$7511)&gt;0.000000001,$E$7511,0.000000001))/$B$7061)^(1/3)))/ABS(IF(ABS($E$7511)&gt;0.000000001,$E$7511,0.000000001))*$I$7067)</f>
        <v/>
      </c>
      <c r="E7547" s="19">
        <f>0.5*$E$7511+0.5*$Z$7561</f>
        <v/>
      </c>
      <c r="F7547" s="19">
        <f>$Z$7562</f>
        <v/>
      </c>
    </row>
    <row r="7548">
      <c r="D7548" s="19">
        <f>IF(ABS(IF(ABS($E$7512)&gt;0.000000001,$E$7512,0.000000001))=0,0,IF($E$7068&lt;=$B$7059,0,IF(ABS(IF(ABS($E$7512)&gt;0.000000001,$E$7512,0.000000001))&gt;=8*$B$7061,$H$7068,0.5*$H$7068*(ABS(IF(ABS($E$7512)&gt;0.000000001,$E$7512,0.000000001))/$B$7061)^(1/3)))/ABS(IF(ABS($E$7512)&gt;0.000000001,$E$7512,0.000000001))*$I$7068)</f>
        <v/>
      </c>
      <c r="E7548" s="19">
        <f>0.5*$E$7512+0.5*$Z$7563</f>
        <v/>
      </c>
      <c r="F7548" s="19">
        <f>$Z$7564</f>
        <v/>
      </c>
    </row>
    <row r="7549">
      <c r="D7549" s="19">
        <f>IF(ABS(IF(ABS($E$7513)&gt;0.000000001,$E$7513,0.000000001))=0,0,IF($E$7069&lt;=$B$7059,0,IF(ABS(IF(ABS($E$7513)&gt;0.000000001,$E$7513,0.000000001))&gt;=8*$B$7061,$H$7069,0.5*$H$7069*(ABS(IF(ABS($E$7513)&gt;0.000000001,$E$7513,0.000000001))/$B$7061)^(1/3)))/ABS(IF(ABS($E$7513)&gt;0.000000001,$E$7513,0.000000001))*$I$7069)</f>
        <v/>
      </c>
      <c r="E7549" s="19">
        <f>0.5*$E$7513+0.5*$Z$7565</f>
        <v/>
      </c>
      <c r="F7549" s="19">
        <f>$Z$7566</f>
        <v/>
      </c>
    </row>
    <row r="7550">
      <c r="D7550" s="19">
        <f>IF(ABS(IF(ABS($E$7514)&gt;0.000000001,$E$7514,0.000000001))=0,0,IF($E$7070&lt;=$B$7059,0,IF(ABS(IF(ABS($E$7514)&gt;0.000000001,$E$7514,0.000000001))&gt;=8*$B$7061,$H$7070,0.5*$H$7070*(ABS(IF(ABS($E$7514)&gt;0.000000001,$E$7514,0.000000001))/$B$7061)^(1/3)))/ABS(IF(ABS($E$7514)&gt;0.000000001,$E$7514,0.000000001))*$I$7070)</f>
        <v/>
      </c>
      <c r="E7550" s="19">
        <f>0.5*$E$7514+0.5*$Z$7567</f>
        <v/>
      </c>
      <c r="F7550" s="19">
        <f>$Z$7568</f>
        <v/>
      </c>
    </row>
    <row r="7551">
      <c r="D7551" s="19">
        <f>IF(ABS(IF(ABS($E$7515)&gt;0.000000001,$E$7515,0.000000001))=0,0,IF($E$7071&lt;=$B$7059,0,IF(ABS(IF(ABS($E$7515)&gt;0.000000001,$E$7515,0.000000001))&gt;=8*$B$7061,$H$7071,0.5*$H$7071*(ABS(IF(ABS($E$7515)&gt;0.000000001,$E$7515,0.000000001))/$B$7061)^(1/3)))/ABS(IF(ABS($E$7515)&gt;0.000000001,$E$7515,0.000000001))*$I$7071)</f>
        <v/>
      </c>
      <c r="E7551" s="19">
        <f>0.5*$E$7515+0.5*$Z$7569</f>
        <v/>
      </c>
      <c r="F7551" s="19">
        <f>$Z$7570</f>
        <v/>
      </c>
    </row>
    <row r="7552">
      <c r="D7552" s="19">
        <f>IF(ABS(IF(ABS($E$7516)&gt;0.000000001,$E$7516,0.000000001))=0,0,IF($E$7072&lt;=$B$7059,0,IF(ABS(IF(ABS($E$7516)&gt;0.000000001,$E$7516,0.000000001))&gt;=8*$B$7061,$H$7072,0.5*$H$7072*(ABS(IF(ABS($E$7516)&gt;0.000000001,$E$7516,0.000000001))/$B$7061)^(1/3)))/ABS(IF(ABS($E$7516)&gt;0.000000001,$E$7516,0.000000001))*$I$7072)</f>
        <v/>
      </c>
      <c r="E7552" s="19">
        <f>0.5*$E$7516+0.5*$Z$7571</f>
        <v/>
      </c>
      <c r="F7552" s="19">
        <f>$Z$7572</f>
        <v/>
      </c>
    </row>
    <row r="7553">
      <c r="D7553" s="19">
        <f>IF(ABS(IF(ABS($E$7517)&gt;0.000000001,$E$7517,0.000000001))=0,0,IF($E$7073&lt;=$B$7059,0,IF(ABS(IF(ABS($E$7517)&gt;0.000000001,$E$7517,0.000000001))&gt;=8*$B$7061,$H$7073,0.5*$H$7073*(ABS(IF(ABS($E$7517)&gt;0.000000001,$E$7517,0.000000001))/$B$7061)^(1/3)))/ABS(IF(ABS($E$7517)&gt;0.000000001,$E$7517,0.000000001))*$I$7073)</f>
        <v/>
      </c>
      <c r="E7553" s="19">
        <f>0.5*$E$7517+0.5*$Z$7573</f>
        <v/>
      </c>
      <c r="F7553" s="19">
        <f>$Z$7574</f>
        <v/>
      </c>
    </row>
    <row r="7554">
      <c r="D7554" s="19">
        <f>IF(ABS(IF(ABS($E$7518)&gt;0.000000001,$E$7518,0.000000001))=0,0,IF($E$7074&lt;=$B$7059,0,IF(ABS(IF(ABS($E$7518)&gt;0.000000001,$E$7518,0.000000001))&gt;=8*$B$7061,$H$7074,0.5*$H$7074*(ABS(IF(ABS($E$7518)&gt;0.000000001,$E$7518,0.000000001))/$B$7061)^(1/3)))/ABS(IF(ABS($E$7518)&gt;0.000000001,$E$7518,0.000000001))*$I$7074)</f>
        <v/>
      </c>
      <c r="E7554" s="19">
        <f>0.5*$E$7518+0.5*$Z$7575</f>
        <v/>
      </c>
      <c r="F7554" s="19">
        <f>$Z$7576</f>
        <v/>
      </c>
    </row>
    <row r="7555">
      <c r="D7555" s="19">
        <f>IF(ABS(IF(ABS($E$7519)&gt;0.000000001,$E$7519,0.000000001))=0,0,IF($E$7075&lt;=$B$7059,0,IF(ABS(IF(ABS($E$7519)&gt;0.000000001,$E$7519,0.000000001))&gt;=8*$B$7061,$H$7075,0.5*$H$7075*(ABS(IF(ABS($E$7519)&gt;0.000000001,$E$7519,0.000000001))/$B$7061)^(1/3)))/ABS(IF(ABS($E$7519)&gt;0.000000001,$E$7519,0.000000001))*$I$7075)</f>
        <v/>
      </c>
      <c r="E7555" s="19">
        <f>0.5*$E$7519+0.5*$Z$7577</f>
        <v/>
      </c>
      <c r="F7555" s="19">
        <f>$Z$7578</f>
        <v/>
      </c>
    </row>
    <row r="7557">
      <c r="D7557" s="21">
        <f>$B$7050+$D$7545</f>
        <v/>
      </c>
      <c r="E7557" s="21">
        <f>$B$7051</f>
        <v/>
      </c>
      <c r="F7557" s="21">
        <f>-$B$7050</f>
        <v/>
      </c>
      <c r="G7557" s="21">
        <f>$B$7051</f>
        <v/>
      </c>
      <c r="H7557" s="21" t="n">
        <v>0</v>
      </c>
      <c r="I7557" s="21" t="n">
        <v>0</v>
      </c>
      <c r="J7557" s="21" t="n">
        <v>0</v>
      </c>
      <c r="K7557" s="21" t="n">
        <v>0</v>
      </c>
      <c r="L7557" s="21" t="n">
        <v>0</v>
      </c>
      <c r="M7557" s="21" t="n">
        <v>0</v>
      </c>
      <c r="N7557" s="21" t="n">
        <v>0</v>
      </c>
      <c r="O7557" s="21" t="n">
        <v>0</v>
      </c>
      <c r="P7557" s="21" t="n">
        <v>0</v>
      </c>
      <c r="Q7557" s="21" t="n">
        <v>0</v>
      </c>
      <c r="R7557" s="21" t="n">
        <v>0</v>
      </c>
      <c r="S7557" s="21" t="n">
        <v>0</v>
      </c>
      <c r="T7557" s="21" t="n">
        <v>0</v>
      </c>
      <c r="U7557" s="21" t="n">
        <v>0</v>
      </c>
      <c r="V7557" s="21" t="n">
        <v>0</v>
      </c>
      <c r="W7557" s="21" t="n">
        <v>0</v>
      </c>
      <c r="X7557" s="21" t="n">
        <v>0</v>
      </c>
      <c r="Y7557" s="21" t="n">
        <v>0</v>
      </c>
      <c r="Z7557" s="19">
        <f t="array" ref="Z7557:Z7578">MMULT(MINVERSE($D$7557:$Y$7578),$D$7077:$D$7098)</f>
        <v/>
      </c>
    </row>
    <row r="7558">
      <c r="D7558" s="21">
        <f>$B$7051</f>
        <v/>
      </c>
      <c r="E7558" s="21">
        <f>$B$7052</f>
        <v/>
      </c>
      <c r="F7558" s="21">
        <f>-$B$7051</f>
        <v/>
      </c>
      <c r="G7558" s="21">
        <f>$B$7053</f>
        <v/>
      </c>
      <c r="H7558" s="21" t="n">
        <v>0</v>
      </c>
      <c r="I7558" s="21" t="n">
        <v>0</v>
      </c>
      <c r="J7558" s="21" t="n">
        <v>0</v>
      </c>
      <c r="K7558" s="21" t="n">
        <v>0</v>
      </c>
      <c r="L7558" s="21" t="n">
        <v>0</v>
      </c>
      <c r="M7558" s="21" t="n">
        <v>0</v>
      </c>
      <c r="N7558" s="21" t="n">
        <v>0</v>
      </c>
      <c r="O7558" s="21" t="n">
        <v>0</v>
      </c>
      <c r="P7558" s="21" t="n">
        <v>0</v>
      </c>
      <c r="Q7558" s="21" t="n">
        <v>0</v>
      </c>
      <c r="R7558" s="21" t="n">
        <v>0</v>
      </c>
      <c r="S7558" s="21" t="n">
        <v>0</v>
      </c>
      <c r="T7558" s="21" t="n">
        <v>0</v>
      </c>
      <c r="U7558" s="21" t="n">
        <v>0</v>
      </c>
      <c r="V7558" s="21" t="n">
        <v>0</v>
      </c>
      <c r="W7558" s="21" t="n">
        <v>0</v>
      </c>
      <c r="X7558" s="21" t="n">
        <v>0</v>
      </c>
      <c r="Y7558" s="21" t="n">
        <v>0</v>
      </c>
      <c r="Z7558" s="19" t="n"/>
    </row>
    <row r="7559">
      <c r="D7559" s="21">
        <f>-$B$7050</f>
        <v/>
      </c>
      <c r="E7559" s="21">
        <f>-$B$7051</f>
        <v/>
      </c>
      <c r="F7559" s="21">
        <f>2*$B$7050+$D$7546</f>
        <v/>
      </c>
      <c r="G7559" s="21">
        <f>0</f>
        <v/>
      </c>
      <c r="H7559" s="21">
        <f>-$B$7050</f>
        <v/>
      </c>
      <c r="I7559" s="21">
        <f>$B$7051</f>
        <v/>
      </c>
      <c r="J7559" s="21" t="n">
        <v>0</v>
      </c>
      <c r="K7559" s="21" t="n">
        <v>0</v>
      </c>
      <c r="L7559" s="21" t="n">
        <v>0</v>
      </c>
      <c r="M7559" s="21" t="n">
        <v>0</v>
      </c>
      <c r="N7559" s="21" t="n">
        <v>0</v>
      </c>
      <c r="O7559" s="21" t="n">
        <v>0</v>
      </c>
      <c r="P7559" s="21" t="n">
        <v>0</v>
      </c>
      <c r="Q7559" s="21" t="n">
        <v>0</v>
      </c>
      <c r="R7559" s="21" t="n">
        <v>0</v>
      </c>
      <c r="S7559" s="21" t="n">
        <v>0</v>
      </c>
      <c r="T7559" s="21" t="n">
        <v>0</v>
      </c>
      <c r="U7559" s="21" t="n">
        <v>0</v>
      </c>
      <c r="V7559" s="21" t="n">
        <v>0</v>
      </c>
      <c r="W7559" s="21" t="n">
        <v>0</v>
      </c>
      <c r="X7559" s="21" t="n">
        <v>0</v>
      </c>
      <c r="Y7559" s="21" t="n">
        <v>0</v>
      </c>
      <c r="Z7559" s="19" t="n"/>
    </row>
    <row r="7560">
      <c r="D7560" s="21">
        <f>$B$7051</f>
        <v/>
      </c>
      <c r="E7560" s="21">
        <f>$B$7053</f>
        <v/>
      </c>
      <c r="F7560" s="21">
        <f>0</f>
        <v/>
      </c>
      <c r="G7560" s="21">
        <f>2*$B$7052</f>
        <v/>
      </c>
      <c r="H7560" s="21">
        <f>-$B$7051</f>
        <v/>
      </c>
      <c r="I7560" s="21">
        <f>$B$7053</f>
        <v/>
      </c>
      <c r="J7560" s="21" t="n">
        <v>0</v>
      </c>
      <c r="K7560" s="21" t="n">
        <v>0</v>
      </c>
      <c r="L7560" s="21" t="n">
        <v>0</v>
      </c>
      <c r="M7560" s="21" t="n">
        <v>0</v>
      </c>
      <c r="N7560" s="21" t="n">
        <v>0</v>
      </c>
      <c r="O7560" s="21" t="n">
        <v>0</v>
      </c>
      <c r="P7560" s="21" t="n">
        <v>0</v>
      </c>
      <c r="Q7560" s="21" t="n">
        <v>0</v>
      </c>
      <c r="R7560" s="21" t="n">
        <v>0</v>
      </c>
      <c r="S7560" s="21" t="n">
        <v>0</v>
      </c>
      <c r="T7560" s="21" t="n">
        <v>0</v>
      </c>
      <c r="U7560" s="21" t="n">
        <v>0</v>
      </c>
      <c r="V7560" s="21" t="n">
        <v>0</v>
      </c>
      <c r="W7560" s="21" t="n">
        <v>0</v>
      </c>
      <c r="X7560" s="21" t="n">
        <v>0</v>
      </c>
      <c r="Y7560" s="21" t="n">
        <v>0</v>
      </c>
      <c r="Z7560" s="19" t="n"/>
    </row>
    <row r="7561">
      <c r="D7561" s="21" t="n">
        <v>0</v>
      </c>
      <c r="E7561" s="21" t="n">
        <v>0</v>
      </c>
      <c r="F7561" s="21">
        <f>-$B$7050</f>
        <v/>
      </c>
      <c r="G7561" s="21">
        <f>-$B$7051</f>
        <v/>
      </c>
      <c r="H7561" s="21">
        <f>2*$B$7050+$D$7547</f>
        <v/>
      </c>
      <c r="I7561" s="21">
        <f>0</f>
        <v/>
      </c>
      <c r="J7561" s="21">
        <f>-$B$7050</f>
        <v/>
      </c>
      <c r="K7561" s="21">
        <f>$B$7051</f>
        <v/>
      </c>
      <c r="L7561" s="21" t="n">
        <v>0</v>
      </c>
      <c r="M7561" s="21" t="n">
        <v>0</v>
      </c>
      <c r="N7561" s="21" t="n">
        <v>0</v>
      </c>
      <c r="O7561" s="21" t="n">
        <v>0</v>
      </c>
      <c r="P7561" s="21" t="n">
        <v>0</v>
      </c>
      <c r="Q7561" s="21" t="n">
        <v>0</v>
      </c>
      <c r="R7561" s="21" t="n">
        <v>0</v>
      </c>
      <c r="S7561" s="21" t="n">
        <v>0</v>
      </c>
      <c r="T7561" s="21" t="n">
        <v>0</v>
      </c>
      <c r="U7561" s="21" t="n">
        <v>0</v>
      </c>
      <c r="V7561" s="21" t="n">
        <v>0</v>
      </c>
      <c r="W7561" s="21" t="n">
        <v>0</v>
      </c>
      <c r="X7561" s="21" t="n">
        <v>0</v>
      </c>
      <c r="Y7561" s="21" t="n">
        <v>0</v>
      </c>
      <c r="Z7561" s="19" t="n"/>
    </row>
    <row r="7562">
      <c r="D7562" s="21" t="n">
        <v>0</v>
      </c>
      <c r="E7562" s="21" t="n">
        <v>0</v>
      </c>
      <c r="F7562" s="21">
        <f>$B$7051</f>
        <v/>
      </c>
      <c r="G7562" s="21">
        <f>$B$7053</f>
        <v/>
      </c>
      <c r="H7562" s="21">
        <f>0</f>
        <v/>
      </c>
      <c r="I7562" s="21">
        <f>2*$B$7052</f>
        <v/>
      </c>
      <c r="J7562" s="21">
        <f>-$B$7051</f>
        <v/>
      </c>
      <c r="K7562" s="21">
        <f>$B$7053</f>
        <v/>
      </c>
      <c r="L7562" s="21" t="n">
        <v>0</v>
      </c>
      <c r="M7562" s="21" t="n">
        <v>0</v>
      </c>
      <c r="N7562" s="21" t="n">
        <v>0</v>
      </c>
      <c r="O7562" s="21" t="n">
        <v>0</v>
      </c>
      <c r="P7562" s="21" t="n">
        <v>0</v>
      </c>
      <c r="Q7562" s="21" t="n">
        <v>0</v>
      </c>
      <c r="R7562" s="21" t="n">
        <v>0</v>
      </c>
      <c r="S7562" s="21" t="n">
        <v>0</v>
      </c>
      <c r="T7562" s="21" t="n">
        <v>0</v>
      </c>
      <c r="U7562" s="21" t="n">
        <v>0</v>
      </c>
      <c r="V7562" s="21" t="n">
        <v>0</v>
      </c>
      <c r="W7562" s="21" t="n">
        <v>0</v>
      </c>
      <c r="X7562" s="21" t="n">
        <v>0</v>
      </c>
      <c r="Y7562" s="21" t="n">
        <v>0</v>
      </c>
      <c r="Z7562" s="19" t="n"/>
    </row>
    <row r="7563">
      <c r="D7563" s="21" t="n">
        <v>0</v>
      </c>
      <c r="E7563" s="21" t="n">
        <v>0</v>
      </c>
      <c r="F7563" s="21" t="n">
        <v>0</v>
      </c>
      <c r="G7563" s="21" t="n">
        <v>0</v>
      </c>
      <c r="H7563" s="21">
        <f>-$B$7050</f>
        <v/>
      </c>
      <c r="I7563" s="21">
        <f>-$B$7051</f>
        <v/>
      </c>
      <c r="J7563" s="21">
        <f>2*$B$7050+$D$7548</f>
        <v/>
      </c>
      <c r="K7563" s="21">
        <f>0</f>
        <v/>
      </c>
      <c r="L7563" s="21">
        <f>-$B$7050</f>
        <v/>
      </c>
      <c r="M7563" s="21">
        <f>$B$7051</f>
        <v/>
      </c>
      <c r="N7563" s="21" t="n">
        <v>0</v>
      </c>
      <c r="O7563" s="21" t="n">
        <v>0</v>
      </c>
      <c r="P7563" s="21" t="n">
        <v>0</v>
      </c>
      <c r="Q7563" s="21" t="n">
        <v>0</v>
      </c>
      <c r="R7563" s="21" t="n">
        <v>0</v>
      </c>
      <c r="S7563" s="21" t="n">
        <v>0</v>
      </c>
      <c r="T7563" s="21" t="n">
        <v>0</v>
      </c>
      <c r="U7563" s="21" t="n">
        <v>0</v>
      </c>
      <c r="V7563" s="21" t="n">
        <v>0</v>
      </c>
      <c r="W7563" s="21" t="n">
        <v>0</v>
      </c>
      <c r="X7563" s="21" t="n">
        <v>0</v>
      </c>
      <c r="Y7563" s="21" t="n">
        <v>0</v>
      </c>
      <c r="Z7563" s="19" t="n"/>
    </row>
    <row r="7564">
      <c r="D7564" s="21" t="n">
        <v>0</v>
      </c>
      <c r="E7564" s="21" t="n">
        <v>0</v>
      </c>
      <c r="F7564" s="21" t="n">
        <v>0</v>
      </c>
      <c r="G7564" s="21" t="n">
        <v>0</v>
      </c>
      <c r="H7564" s="21">
        <f>$B$7051</f>
        <v/>
      </c>
      <c r="I7564" s="21">
        <f>$B$7053</f>
        <v/>
      </c>
      <c r="J7564" s="21">
        <f>0</f>
        <v/>
      </c>
      <c r="K7564" s="21">
        <f>2*$B$7052</f>
        <v/>
      </c>
      <c r="L7564" s="21">
        <f>-$B$7051</f>
        <v/>
      </c>
      <c r="M7564" s="21">
        <f>$B$7053</f>
        <v/>
      </c>
      <c r="N7564" s="21" t="n">
        <v>0</v>
      </c>
      <c r="O7564" s="21" t="n">
        <v>0</v>
      </c>
      <c r="P7564" s="21" t="n">
        <v>0</v>
      </c>
      <c r="Q7564" s="21" t="n">
        <v>0</v>
      </c>
      <c r="R7564" s="21" t="n">
        <v>0</v>
      </c>
      <c r="S7564" s="21" t="n">
        <v>0</v>
      </c>
      <c r="T7564" s="21" t="n">
        <v>0</v>
      </c>
      <c r="U7564" s="21" t="n">
        <v>0</v>
      </c>
      <c r="V7564" s="21" t="n">
        <v>0</v>
      </c>
      <c r="W7564" s="21" t="n">
        <v>0</v>
      </c>
      <c r="X7564" s="21" t="n">
        <v>0</v>
      </c>
      <c r="Y7564" s="21" t="n">
        <v>0</v>
      </c>
      <c r="Z7564" s="19" t="n"/>
    </row>
    <row r="7565">
      <c r="D7565" s="21" t="n">
        <v>0</v>
      </c>
      <c r="E7565" s="21" t="n">
        <v>0</v>
      </c>
      <c r="F7565" s="21" t="n">
        <v>0</v>
      </c>
      <c r="G7565" s="21" t="n">
        <v>0</v>
      </c>
      <c r="H7565" s="21" t="n">
        <v>0</v>
      </c>
      <c r="I7565" s="21" t="n">
        <v>0</v>
      </c>
      <c r="J7565" s="21">
        <f>-$B$7050</f>
        <v/>
      </c>
      <c r="K7565" s="21">
        <f>-$B$7051</f>
        <v/>
      </c>
      <c r="L7565" s="21">
        <f>2*$B$7050+$D$7549</f>
        <v/>
      </c>
      <c r="M7565" s="21">
        <f>0</f>
        <v/>
      </c>
      <c r="N7565" s="21">
        <f>-$B$7050</f>
        <v/>
      </c>
      <c r="O7565" s="21">
        <f>$B$7051</f>
        <v/>
      </c>
      <c r="P7565" s="21" t="n">
        <v>0</v>
      </c>
      <c r="Q7565" s="21" t="n">
        <v>0</v>
      </c>
      <c r="R7565" s="21" t="n">
        <v>0</v>
      </c>
      <c r="S7565" s="21" t="n">
        <v>0</v>
      </c>
      <c r="T7565" s="21" t="n">
        <v>0</v>
      </c>
      <c r="U7565" s="21" t="n">
        <v>0</v>
      </c>
      <c r="V7565" s="21" t="n">
        <v>0</v>
      </c>
      <c r="W7565" s="21" t="n">
        <v>0</v>
      </c>
      <c r="X7565" s="21" t="n">
        <v>0</v>
      </c>
      <c r="Y7565" s="21" t="n">
        <v>0</v>
      </c>
      <c r="Z7565" s="19" t="n"/>
    </row>
    <row r="7566">
      <c r="D7566" s="21" t="n">
        <v>0</v>
      </c>
      <c r="E7566" s="21" t="n">
        <v>0</v>
      </c>
      <c r="F7566" s="21" t="n">
        <v>0</v>
      </c>
      <c r="G7566" s="21" t="n">
        <v>0</v>
      </c>
      <c r="H7566" s="21" t="n">
        <v>0</v>
      </c>
      <c r="I7566" s="21" t="n">
        <v>0</v>
      </c>
      <c r="J7566" s="21">
        <f>$B$7051</f>
        <v/>
      </c>
      <c r="K7566" s="21">
        <f>$B$7053</f>
        <v/>
      </c>
      <c r="L7566" s="21">
        <f>0</f>
        <v/>
      </c>
      <c r="M7566" s="21">
        <f>2*$B$7052</f>
        <v/>
      </c>
      <c r="N7566" s="21">
        <f>-$B$7051</f>
        <v/>
      </c>
      <c r="O7566" s="21">
        <f>$B$7053</f>
        <v/>
      </c>
      <c r="P7566" s="21" t="n">
        <v>0</v>
      </c>
      <c r="Q7566" s="21" t="n">
        <v>0</v>
      </c>
      <c r="R7566" s="21" t="n">
        <v>0</v>
      </c>
      <c r="S7566" s="21" t="n">
        <v>0</v>
      </c>
      <c r="T7566" s="21" t="n">
        <v>0</v>
      </c>
      <c r="U7566" s="21" t="n">
        <v>0</v>
      </c>
      <c r="V7566" s="21" t="n">
        <v>0</v>
      </c>
      <c r="W7566" s="21" t="n">
        <v>0</v>
      </c>
      <c r="X7566" s="21" t="n">
        <v>0</v>
      </c>
      <c r="Y7566" s="21" t="n">
        <v>0</v>
      </c>
      <c r="Z7566" s="19" t="n"/>
    </row>
    <row r="7567">
      <c r="D7567" s="21" t="n">
        <v>0</v>
      </c>
      <c r="E7567" s="21" t="n">
        <v>0</v>
      </c>
      <c r="F7567" s="21" t="n">
        <v>0</v>
      </c>
      <c r="G7567" s="21" t="n">
        <v>0</v>
      </c>
      <c r="H7567" s="21" t="n">
        <v>0</v>
      </c>
      <c r="I7567" s="21" t="n">
        <v>0</v>
      </c>
      <c r="J7567" s="21" t="n">
        <v>0</v>
      </c>
      <c r="K7567" s="21" t="n">
        <v>0</v>
      </c>
      <c r="L7567" s="21">
        <f>-$B$7050</f>
        <v/>
      </c>
      <c r="M7567" s="21">
        <f>-$B$7051</f>
        <v/>
      </c>
      <c r="N7567" s="21">
        <f>2*$B$7050+$D$7550</f>
        <v/>
      </c>
      <c r="O7567" s="21">
        <f>0</f>
        <v/>
      </c>
      <c r="P7567" s="21">
        <f>-$B$7050</f>
        <v/>
      </c>
      <c r="Q7567" s="21">
        <f>$B$7051</f>
        <v/>
      </c>
      <c r="R7567" s="21" t="n">
        <v>0</v>
      </c>
      <c r="S7567" s="21" t="n">
        <v>0</v>
      </c>
      <c r="T7567" s="21" t="n">
        <v>0</v>
      </c>
      <c r="U7567" s="21" t="n">
        <v>0</v>
      </c>
      <c r="V7567" s="21" t="n">
        <v>0</v>
      </c>
      <c r="W7567" s="21" t="n">
        <v>0</v>
      </c>
      <c r="X7567" s="21" t="n">
        <v>0</v>
      </c>
      <c r="Y7567" s="21" t="n">
        <v>0</v>
      </c>
      <c r="Z7567" s="19" t="n"/>
    </row>
    <row r="7568">
      <c r="D7568" s="21" t="n">
        <v>0</v>
      </c>
      <c r="E7568" s="21" t="n">
        <v>0</v>
      </c>
      <c r="F7568" s="21" t="n">
        <v>0</v>
      </c>
      <c r="G7568" s="21" t="n">
        <v>0</v>
      </c>
      <c r="H7568" s="21" t="n">
        <v>0</v>
      </c>
      <c r="I7568" s="21" t="n">
        <v>0</v>
      </c>
      <c r="J7568" s="21" t="n">
        <v>0</v>
      </c>
      <c r="K7568" s="21" t="n">
        <v>0</v>
      </c>
      <c r="L7568" s="21">
        <f>$B$7051</f>
        <v/>
      </c>
      <c r="M7568" s="21">
        <f>$B$7053</f>
        <v/>
      </c>
      <c r="N7568" s="21">
        <f>0</f>
        <v/>
      </c>
      <c r="O7568" s="21">
        <f>2*$B$7052</f>
        <v/>
      </c>
      <c r="P7568" s="21">
        <f>-$B$7051</f>
        <v/>
      </c>
      <c r="Q7568" s="21">
        <f>$B$7053</f>
        <v/>
      </c>
      <c r="R7568" s="21" t="n">
        <v>0</v>
      </c>
      <c r="S7568" s="21" t="n">
        <v>0</v>
      </c>
      <c r="T7568" s="21" t="n">
        <v>0</v>
      </c>
      <c r="U7568" s="21" t="n">
        <v>0</v>
      </c>
      <c r="V7568" s="21" t="n">
        <v>0</v>
      </c>
      <c r="W7568" s="21" t="n">
        <v>0</v>
      </c>
      <c r="X7568" s="21" t="n">
        <v>0</v>
      </c>
      <c r="Y7568" s="21" t="n">
        <v>0</v>
      </c>
      <c r="Z7568" s="19" t="n"/>
    </row>
    <row r="7569">
      <c r="D7569" s="21" t="n">
        <v>0</v>
      </c>
      <c r="E7569" s="21" t="n">
        <v>0</v>
      </c>
      <c r="F7569" s="21" t="n">
        <v>0</v>
      </c>
      <c r="G7569" s="21" t="n">
        <v>0</v>
      </c>
      <c r="H7569" s="21" t="n">
        <v>0</v>
      </c>
      <c r="I7569" s="21" t="n">
        <v>0</v>
      </c>
      <c r="J7569" s="21" t="n">
        <v>0</v>
      </c>
      <c r="K7569" s="21" t="n">
        <v>0</v>
      </c>
      <c r="L7569" s="21" t="n">
        <v>0</v>
      </c>
      <c r="M7569" s="21" t="n">
        <v>0</v>
      </c>
      <c r="N7569" s="21">
        <f>-$B$7050</f>
        <v/>
      </c>
      <c r="O7569" s="21">
        <f>-$B$7051</f>
        <v/>
      </c>
      <c r="P7569" s="21">
        <f>2*$B$7050+$D$7551</f>
        <v/>
      </c>
      <c r="Q7569" s="21">
        <f>0</f>
        <v/>
      </c>
      <c r="R7569" s="21">
        <f>-$B$7050</f>
        <v/>
      </c>
      <c r="S7569" s="21">
        <f>$B$7051</f>
        <v/>
      </c>
      <c r="T7569" s="21" t="n">
        <v>0</v>
      </c>
      <c r="U7569" s="21" t="n">
        <v>0</v>
      </c>
      <c r="V7569" s="21" t="n">
        <v>0</v>
      </c>
      <c r="W7569" s="21" t="n">
        <v>0</v>
      </c>
      <c r="X7569" s="21" t="n">
        <v>0</v>
      </c>
      <c r="Y7569" s="21" t="n">
        <v>0</v>
      </c>
      <c r="Z7569" s="19" t="n"/>
    </row>
    <row r="7570">
      <c r="D7570" s="21" t="n">
        <v>0</v>
      </c>
      <c r="E7570" s="21" t="n">
        <v>0</v>
      </c>
      <c r="F7570" s="21" t="n">
        <v>0</v>
      </c>
      <c r="G7570" s="21" t="n">
        <v>0</v>
      </c>
      <c r="H7570" s="21" t="n">
        <v>0</v>
      </c>
      <c r="I7570" s="21" t="n">
        <v>0</v>
      </c>
      <c r="J7570" s="21" t="n">
        <v>0</v>
      </c>
      <c r="K7570" s="21" t="n">
        <v>0</v>
      </c>
      <c r="L7570" s="21" t="n">
        <v>0</v>
      </c>
      <c r="M7570" s="21" t="n">
        <v>0</v>
      </c>
      <c r="N7570" s="21">
        <f>$B$7051</f>
        <v/>
      </c>
      <c r="O7570" s="21">
        <f>$B$7053</f>
        <v/>
      </c>
      <c r="P7570" s="21">
        <f>0</f>
        <v/>
      </c>
      <c r="Q7570" s="21">
        <f>2*$B$7052</f>
        <v/>
      </c>
      <c r="R7570" s="21">
        <f>-$B$7051</f>
        <v/>
      </c>
      <c r="S7570" s="21">
        <f>$B$7053</f>
        <v/>
      </c>
      <c r="T7570" s="21" t="n">
        <v>0</v>
      </c>
      <c r="U7570" s="21" t="n">
        <v>0</v>
      </c>
      <c r="V7570" s="21" t="n">
        <v>0</v>
      </c>
      <c r="W7570" s="21" t="n">
        <v>0</v>
      </c>
      <c r="X7570" s="21" t="n">
        <v>0</v>
      </c>
      <c r="Y7570" s="21" t="n">
        <v>0</v>
      </c>
      <c r="Z7570" s="19" t="n"/>
    </row>
    <row r="7571">
      <c r="D7571" s="21" t="n">
        <v>0</v>
      </c>
      <c r="E7571" s="21" t="n">
        <v>0</v>
      </c>
      <c r="F7571" s="21" t="n">
        <v>0</v>
      </c>
      <c r="G7571" s="21" t="n">
        <v>0</v>
      </c>
      <c r="H7571" s="21" t="n">
        <v>0</v>
      </c>
      <c r="I7571" s="21" t="n">
        <v>0</v>
      </c>
      <c r="J7571" s="21" t="n">
        <v>0</v>
      </c>
      <c r="K7571" s="21" t="n">
        <v>0</v>
      </c>
      <c r="L7571" s="21" t="n">
        <v>0</v>
      </c>
      <c r="M7571" s="21" t="n">
        <v>0</v>
      </c>
      <c r="N7571" s="21" t="n">
        <v>0</v>
      </c>
      <c r="O7571" s="21" t="n">
        <v>0</v>
      </c>
      <c r="P7571" s="21">
        <f>-$B$7050</f>
        <v/>
      </c>
      <c r="Q7571" s="21">
        <f>-$B$7051</f>
        <v/>
      </c>
      <c r="R7571" s="21">
        <f>2*$B$7050+$D$7552</f>
        <v/>
      </c>
      <c r="S7571" s="21">
        <f>0</f>
        <v/>
      </c>
      <c r="T7571" s="21">
        <f>-$B$7050</f>
        <v/>
      </c>
      <c r="U7571" s="21">
        <f>$B$7051</f>
        <v/>
      </c>
      <c r="V7571" s="21" t="n">
        <v>0</v>
      </c>
      <c r="W7571" s="21" t="n">
        <v>0</v>
      </c>
      <c r="X7571" s="21" t="n">
        <v>0</v>
      </c>
      <c r="Y7571" s="21" t="n">
        <v>0</v>
      </c>
      <c r="Z7571" s="19" t="n"/>
    </row>
    <row r="7572">
      <c r="D7572" s="21" t="n">
        <v>0</v>
      </c>
      <c r="E7572" s="21" t="n">
        <v>0</v>
      </c>
      <c r="F7572" s="21" t="n">
        <v>0</v>
      </c>
      <c r="G7572" s="21" t="n">
        <v>0</v>
      </c>
      <c r="H7572" s="21" t="n">
        <v>0</v>
      </c>
      <c r="I7572" s="21" t="n">
        <v>0</v>
      </c>
      <c r="J7572" s="21" t="n">
        <v>0</v>
      </c>
      <c r="K7572" s="21" t="n">
        <v>0</v>
      </c>
      <c r="L7572" s="21" t="n">
        <v>0</v>
      </c>
      <c r="M7572" s="21" t="n">
        <v>0</v>
      </c>
      <c r="N7572" s="21" t="n">
        <v>0</v>
      </c>
      <c r="O7572" s="21" t="n">
        <v>0</v>
      </c>
      <c r="P7572" s="21">
        <f>$B$7051</f>
        <v/>
      </c>
      <c r="Q7572" s="21">
        <f>$B$7053</f>
        <v/>
      </c>
      <c r="R7572" s="21">
        <f>0</f>
        <v/>
      </c>
      <c r="S7572" s="21">
        <f>2*$B$7052</f>
        <v/>
      </c>
      <c r="T7572" s="21">
        <f>-$B$7051</f>
        <v/>
      </c>
      <c r="U7572" s="21">
        <f>$B$7053</f>
        <v/>
      </c>
      <c r="V7572" s="21" t="n">
        <v>0</v>
      </c>
      <c r="W7572" s="21" t="n">
        <v>0</v>
      </c>
      <c r="X7572" s="21" t="n">
        <v>0</v>
      </c>
      <c r="Y7572" s="21" t="n">
        <v>0</v>
      </c>
      <c r="Z7572" s="19" t="n"/>
    </row>
    <row r="7573">
      <c r="D7573" s="21" t="n">
        <v>0</v>
      </c>
      <c r="E7573" s="21" t="n">
        <v>0</v>
      </c>
      <c r="F7573" s="21" t="n">
        <v>0</v>
      </c>
      <c r="G7573" s="21" t="n">
        <v>0</v>
      </c>
      <c r="H7573" s="21" t="n">
        <v>0</v>
      </c>
      <c r="I7573" s="21" t="n">
        <v>0</v>
      </c>
      <c r="J7573" s="21" t="n">
        <v>0</v>
      </c>
      <c r="K7573" s="21" t="n">
        <v>0</v>
      </c>
      <c r="L7573" s="21" t="n">
        <v>0</v>
      </c>
      <c r="M7573" s="21" t="n">
        <v>0</v>
      </c>
      <c r="N7573" s="21" t="n">
        <v>0</v>
      </c>
      <c r="O7573" s="21" t="n">
        <v>0</v>
      </c>
      <c r="P7573" s="21" t="n">
        <v>0</v>
      </c>
      <c r="Q7573" s="21" t="n">
        <v>0</v>
      </c>
      <c r="R7573" s="21">
        <f>-$B$7050</f>
        <v/>
      </c>
      <c r="S7573" s="21">
        <f>-$B$7051</f>
        <v/>
      </c>
      <c r="T7573" s="21">
        <f>2*$B$7050+$D$7553</f>
        <v/>
      </c>
      <c r="U7573" s="21">
        <f>0</f>
        <v/>
      </c>
      <c r="V7573" s="21">
        <f>-$B$7050</f>
        <v/>
      </c>
      <c r="W7573" s="21">
        <f>$B$7051</f>
        <v/>
      </c>
      <c r="X7573" s="21" t="n">
        <v>0</v>
      </c>
      <c r="Y7573" s="21" t="n">
        <v>0</v>
      </c>
      <c r="Z7573" s="19" t="n"/>
    </row>
    <row r="7574">
      <c r="D7574" s="21" t="n">
        <v>0</v>
      </c>
      <c r="E7574" s="21" t="n">
        <v>0</v>
      </c>
      <c r="F7574" s="21" t="n">
        <v>0</v>
      </c>
      <c r="G7574" s="21" t="n">
        <v>0</v>
      </c>
      <c r="H7574" s="21" t="n">
        <v>0</v>
      </c>
      <c r="I7574" s="21" t="n">
        <v>0</v>
      </c>
      <c r="J7574" s="21" t="n">
        <v>0</v>
      </c>
      <c r="K7574" s="21" t="n">
        <v>0</v>
      </c>
      <c r="L7574" s="21" t="n">
        <v>0</v>
      </c>
      <c r="M7574" s="21" t="n">
        <v>0</v>
      </c>
      <c r="N7574" s="21" t="n">
        <v>0</v>
      </c>
      <c r="O7574" s="21" t="n">
        <v>0</v>
      </c>
      <c r="P7574" s="21" t="n">
        <v>0</v>
      </c>
      <c r="Q7574" s="21" t="n">
        <v>0</v>
      </c>
      <c r="R7574" s="21">
        <f>$B$7051</f>
        <v/>
      </c>
      <c r="S7574" s="21">
        <f>$B$7053</f>
        <v/>
      </c>
      <c r="T7574" s="21">
        <f>0</f>
        <v/>
      </c>
      <c r="U7574" s="21">
        <f>2*$B$7052</f>
        <v/>
      </c>
      <c r="V7574" s="21">
        <f>-$B$7051</f>
        <v/>
      </c>
      <c r="W7574" s="21">
        <f>$B$7053</f>
        <v/>
      </c>
      <c r="X7574" s="21" t="n">
        <v>0</v>
      </c>
      <c r="Y7574" s="21" t="n">
        <v>0</v>
      </c>
      <c r="Z7574" s="19" t="n"/>
    </row>
    <row r="7575">
      <c r="D7575" s="21" t="n">
        <v>0</v>
      </c>
      <c r="E7575" s="21" t="n">
        <v>0</v>
      </c>
      <c r="F7575" s="21" t="n">
        <v>0</v>
      </c>
      <c r="G7575" s="21" t="n">
        <v>0</v>
      </c>
      <c r="H7575" s="21" t="n">
        <v>0</v>
      </c>
      <c r="I7575" s="21" t="n">
        <v>0</v>
      </c>
      <c r="J7575" s="21" t="n">
        <v>0</v>
      </c>
      <c r="K7575" s="21" t="n">
        <v>0</v>
      </c>
      <c r="L7575" s="21" t="n">
        <v>0</v>
      </c>
      <c r="M7575" s="21" t="n">
        <v>0</v>
      </c>
      <c r="N7575" s="21" t="n">
        <v>0</v>
      </c>
      <c r="O7575" s="21" t="n">
        <v>0</v>
      </c>
      <c r="P7575" s="21" t="n">
        <v>0</v>
      </c>
      <c r="Q7575" s="21" t="n">
        <v>0</v>
      </c>
      <c r="R7575" s="21" t="n">
        <v>0</v>
      </c>
      <c r="S7575" s="21" t="n">
        <v>0</v>
      </c>
      <c r="T7575" s="21">
        <f>-$B$7050</f>
        <v/>
      </c>
      <c r="U7575" s="21">
        <f>-$B$7051</f>
        <v/>
      </c>
      <c r="V7575" s="21">
        <f>2*$B$7050+$D$7554</f>
        <v/>
      </c>
      <c r="W7575" s="21">
        <f>0</f>
        <v/>
      </c>
      <c r="X7575" s="21">
        <f>-$B$7050</f>
        <v/>
      </c>
      <c r="Y7575" s="21">
        <f>$B$7051</f>
        <v/>
      </c>
      <c r="Z7575" s="19" t="n"/>
    </row>
    <row r="7576">
      <c r="D7576" s="21" t="n">
        <v>0</v>
      </c>
      <c r="E7576" s="21" t="n">
        <v>0</v>
      </c>
      <c r="F7576" s="21" t="n">
        <v>0</v>
      </c>
      <c r="G7576" s="21" t="n">
        <v>0</v>
      </c>
      <c r="H7576" s="21" t="n">
        <v>0</v>
      </c>
      <c r="I7576" s="21" t="n">
        <v>0</v>
      </c>
      <c r="J7576" s="21" t="n">
        <v>0</v>
      </c>
      <c r="K7576" s="21" t="n">
        <v>0</v>
      </c>
      <c r="L7576" s="21" t="n">
        <v>0</v>
      </c>
      <c r="M7576" s="21" t="n">
        <v>0</v>
      </c>
      <c r="N7576" s="21" t="n">
        <v>0</v>
      </c>
      <c r="O7576" s="21" t="n">
        <v>0</v>
      </c>
      <c r="P7576" s="21" t="n">
        <v>0</v>
      </c>
      <c r="Q7576" s="21" t="n">
        <v>0</v>
      </c>
      <c r="R7576" s="21" t="n">
        <v>0</v>
      </c>
      <c r="S7576" s="21" t="n">
        <v>0</v>
      </c>
      <c r="T7576" s="21">
        <f>$B$7051</f>
        <v/>
      </c>
      <c r="U7576" s="21">
        <f>$B$7053</f>
        <v/>
      </c>
      <c r="V7576" s="21">
        <f>0</f>
        <v/>
      </c>
      <c r="W7576" s="21">
        <f>2*$B$7052</f>
        <v/>
      </c>
      <c r="X7576" s="21">
        <f>-$B$7051</f>
        <v/>
      </c>
      <c r="Y7576" s="21">
        <f>$B$7053</f>
        <v/>
      </c>
      <c r="Z7576" s="19" t="n"/>
    </row>
    <row r="7577">
      <c r="D7577" s="21" t="n">
        <v>0</v>
      </c>
      <c r="E7577" s="21" t="n">
        <v>0</v>
      </c>
      <c r="F7577" s="21" t="n">
        <v>0</v>
      </c>
      <c r="G7577" s="21" t="n">
        <v>0</v>
      </c>
      <c r="H7577" s="21" t="n">
        <v>0</v>
      </c>
      <c r="I7577" s="21" t="n">
        <v>0</v>
      </c>
      <c r="J7577" s="21" t="n">
        <v>0</v>
      </c>
      <c r="K7577" s="21" t="n">
        <v>0</v>
      </c>
      <c r="L7577" s="21" t="n">
        <v>0</v>
      </c>
      <c r="M7577" s="21" t="n">
        <v>0</v>
      </c>
      <c r="N7577" s="21" t="n">
        <v>0</v>
      </c>
      <c r="O7577" s="21" t="n">
        <v>0</v>
      </c>
      <c r="P7577" s="21" t="n">
        <v>0</v>
      </c>
      <c r="Q7577" s="21" t="n">
        <v>0</v>
      </c>
      <c r="R7577" s="21" t="n">
        <v>0</v>
      </c>
      <c r="S7577" s="21" t="n">
        <v>0</v>
      </c>
      <c r="T7577" s="21" t="n">
        <v>0</v>
      </c>
      <c r="U7577" s="21" t="n">
        <v>0</v>
      </c>
      <c r="V7577" s="21">
        <f>-$B$7050</f>
        <v/>
      </c>
      <c r="W7577" s="21">
        <f>-$B$7051</f>
        <v/>
      </c>
      <c r="X7577" s="21">
        <f>$B$7050+$D$7555</f>
        <v/>
      </c>
      <c r="Y7577" s="21">
        <f>-$B$7051</f>
        <v/>
      </c>
      <c r="Z7577" s="19" t="n"/>
    </row>
    <row r="7578">
      <c r="D7578" s="21" t="n">
        <v>0</v>
      </c>
      <c r="E7578" s="21" t="n">
        <v>0</v>
      </c>
      <c r="F7578" s="21" t="n">
        <v>0</v>
      </c>
      <c r="G7578" s="21" t="n">
        <v>0</v>
      </c>
      <c r="H7578" s="21" t="n">
        <v>0</v>
      </c>
      <c r="I7578" s="21" t="n">
        <v>0</v>
      </c>
      <c r="J7578" s="21" t="n">
        <v>0</v>
      </c>
      <c r="K7578" s="21" t="n">
        <v>0</v>
      </c>
      <c r="L7578" s="21" t="n">
        <v>0</v>
      </c>
      <c r="M7578" s="21" t="n">
        <v>0</v>
      </c>
      <c r="N7578" s="21" t="n">
        <v>0</v>
      </c>
      <c r="O7578" s="21" t="n">
        <v>0</v>
      </c>
      <c r="P7578" s="21" t="n">
        <v>0</v>
      </c>
      <c r="Q7578" s="21" t="n">
        <v>0</v>
      </c>
      <c r="R7578" s="21" t="n">
        <v>0</v>
      </c>
      <c r="S7578" s="21" t="n">
        <v>0</v>
      </c>
      <c r="T7578" s="21" t="n">
        <v>0</v>
      </c>
      <c r="U7578" s="21" t="n">
        <v>0</v>
      </c>
      <c r="V7578" s="21">
        <f>$B$7051</f>
        <v/>
      </c>
      <c r="W7578" s="21">
        <f>$B$7053</f>
        <v/>
      </c>
      <c r="X7578" s="21">
        <f>-$B$7051</f>
        <v/>
      </c>
      <c r="Y7578" s="21">
        <f>$B$7052</f>
        <v/>
      </c>
      <c r="Z7578" s="19" t="n"/>
    </row>
    <row r="7580">
      <c r="A7580" s="8" t="inlineStr">
        <is>
          <t>gen 14</t>
        </is>
      </c>
    </row>
    <row r="7581">
      <c r="D7581" s="19">
        <f>IF(ABS(IF(ABS($E$7545)&gt;0.000000001,$E$7545,0.000000001))=0,0,IF($E$7065&lt;=$B$7059,0,IF(ABS(IF(ABS($E$7545)&gt;0.000000001,$E$7545,0.000000001))&gt;=8*$B$7061,$H$7065,0.5*$H$7065*(ABS(IF(ABS($E$7545)&gt;0.000000001,$E$7545,0.000000001))/$B$7061)^(1/3)))/ABS(IF(ABS($E$7545)&gt;0.000000001,$E$7545,0.000000001))*$I$7065)</f>
        <v/>
      </c>
      <c r="E7581" s="19">
        <f>0.5*$E$7545+0.5*$Z$7593</f>
        <v/>
      </c>
      <c r="F7581" s="19">
        <f>$Z$7594</f>
        <v/>
      </c>
    </row>
    <row r="7582">
      <c r="D7582" s="19">
        <f>IF(ABS(IF(ABS($E$7546)&gt;0.000000001,$E$7546,0.000000001))=0,0,IF($E$7066&lt;=$B$7059,0,IF(ABS(IF(ABS($E$7546)&gt;0.000000001,$E$7546,0.000000001))&gt;=8*$B$7061,$H$7066,0.5*$H$7066*(ABS(IF(ABS($E$7546)&gt;0.000000001,$E$7546,0.000000001))/$B$7061)^(1/3)))/ABS(IF(ABS($E$7546)&gt;0.000000001,$E$7546,0.000000001))*$I$7066)</f>
        <v/>
      </c>
      <c r="E7582" s="19">
        <f>0.5*$E$7546+0.5*$Z$7595</f>
        <v/>
      </c>
      <c r="F7582" s="19">
        <f>$Z$7596</f>
        <v/>
      </c>
    </row>
    <row r="7583">
      <c r="D7583" s="19">
        <f>IF(ABS(IF(ABS($E$7547)&gt;0.000000001,$E$7547,0.000000001))=0,0,IF($E$7067&lt;=$B$7059,0,IF(ABS(IF(ABS($E$7547)&gt;0.000000001,$E$7547,0.000000001))&gt;=8*$B$7061,$H$7067,0.5*$H$7067*(ABS(IF(ABS($E$7547)&gt;0.000000001,$E$7547,0.000000001))/$B$7061)^(1/3)))/ABS(IF(ABS($E$7547)&gt;0.000000001,$E$7547,0.000000001))*$I$7067)</f>
        <v/>
      </c>
      <c r="E7583" s="19">
        <f>0.5*$E$7547+0.5*$Z$7597</f>
        <v/>
      </c>
      <c r="F7583" s="19">
        <f>$Z$7598</f>
        <v/>
      </c>
    </row>
    <row r="7584">
      <c r="D7584" s="19">
        <f>IF(ABS(IF(ABS($E$7548)&gt;0.000000001,$E$7548,0.000000001))=0,0,IF($E$7068&lt;=$B$7059,0,IF(ABS(IF(ABS($E$7548)&gt;0.000000001,$E$7548,0.000000001))&gt;=8*$B$7061,$H$7068,0.5*$H$7068*(ABS(IF(ABS($E$7548)&gt;0.000000001,$E$7548,0.000000001))/$B$7061)^(1/3)))/ABS(IF(ABS($E$7548)&gt;0.000000001,$E$7548,0.000000001))*$I$7068)</f>
        <v/>
      </c>
      <c r="E7584" s="19">
        <f>0.5*$E$7548+0.5*$Z$7599</f>
        <v/>
      </c>
      <c r="F7584" s="19">
        <f>$Z$7600</f>
        <v/>
      </c>
    </row>
    <row r="7585">
      <c r="D7585" s="19">
        <f>IF(ABS(IF(ABS($E$7549)&gt;0.000000001,$E$7549,0.000000001))=0,0,IF($E$7069&lt;=$B$7059,0,IF(ABS(IF(ABS($E$7549)&gt;0.000000001,$E$7549,0.000000001))&gt;=8*$B$7061,$H$7069,0.5*$H$7069*(ABS(IF(ABS($E$7549)&gt;0.000000001,$E$7549,0.000000001))/$B$7061)^(1/3)))/ABS(IF(ABS($E$7549)&gt;0.000000001,$E$7549,0.000000001))*$I$7069)</f>
        <v/>
      </c>
      <c r="E7585" s="19">
        <f>0.5*$E$7549+0.5*$Z$7601</f>
        <v/>
      </c>
      <c r="F7585" s="19">
        <f>$Z$7602</f>
        <v/>
      </c>
    </row>
    <row r="7586">
      <c r="D7586" s="19">
        <f>IF(ABS(IF(ABS($E$7550)&gt;0.000000001,$E$7550,0.000000001))=0,0,IF($E$7070&lt;=$B$7059,0,IF(ABS(IF(ABS($E$7550)&gt;0.000000001,$E$7550,0.000000001))&gt;=8*$B$7061,$H$7070,0.5*$H$7070*(ABS(IF(ABS($E$7550)&gt;0.000000001,$E$7550,0.000000001))/$B$7061)^(1/3)))/ABS(IF(ABS($E$7550)&gt;0.000000001,$E$7550,0.000000001))*$I$7070)</f>
        <v/>
      </c>
      <c r="E7586" s="19">
        <f>0.5*$E$7550+0.5*$Z$7603</f>
        <v/>
      </c>
      <c r="F7586" s="19">
        <f>$Z$7604</f>
        <v/>
      </c>
    </row>
    <row r="7587">
      <c r="D7587" s="19">
        <f>IF(ABS(IF(ABS($E$7551)&gt;0.000000001,$E$7551,0.000000001))=0,0,IF($E$7071&lt;=$B$7059,0,IF(ABS(IF(ABS($E$7551)&gt;0.000000001,$E$7551,0.000000001))&gt;=8*$B$7061,$H$7071,0.5*$H$7071*(ABS(IF(ABS($E$7551)&gt;0.000000001,$E$7551,0.000000001))/$B$7061)^(1/3)))/ABS(IF(ABS($E$7551)&gt;0.000000001,$E$7551,0.000000001))*$I$7071)</f>
        <v/>
      </c>
      <c r="E7587" s="19">
        <f>0.5*$E$7551+0.5*$Z$7605</f>
        <v/>
      </c>
      <c r="F7587" s="19">
        <f>$Z$7606</f>
        <v/>
      </c>
    </row>
    <row r="7588">
      <c r="D7588" s="19">
        <f>IF(ABS(IF(ABS($E$7552)&gt;0.000000001,$E$7552,0.000000001))=0,0,IF($E$7072&lt;=$B$7059,0,IF(ABS(IF(ABS($E$7552)&gt;0.000000001,$E$7552,0.000000001))&gt;=8*$B$7061,$H$7072,0.5*$H$7072*(ABS(IF(ABS($E$7552)&gt;0.000000001,$E$7552,0.000000001))/$B$7061)^(1/3)))/ABS(IF(ABS($E$7552)&gt;0.000000001,$E$7552,0.000000001))*$I$7072)</f>
        <v/>
      </c>
      <c r="E7588" s="19">
        <f>0.5*$E$7552+0.5*$Z$7607</f>
        <v/>
      </c>
      <c r="F7588" s="19">
        <f>$Z$7608</f>
        <v/>
      </c>
    </row>
    <row r="7589">
      <c r="D7589" s="19">
        <f>IF(ABS(IF(ABS($E$7553)&gt;0.000000001,$E$7553,0.000000001))=0,0,IF($E$7073&lt;=$B$7059,0,IF(ABS(IF(ABS($E$7553)&gt;0.000000001,$E$7553,0.000000001))&gt;=8*$B$7061,$H$7073,0.5*$H$7073*(ABS(IF(ABS($E$7553)&gt;0.000000001,$E$7553,0.000000001))/$B$7061)^(1/3)))/ABS(IF(ABS($E$7553)&gt;0.000000001,$E$7553,0.000000001))*$I$7073)</f>
        <v/>
      </c>
      <c r="E7589" s="19">
        <f>0.5*$E$7553+0.5*$Z$7609</f>
        <v/>
      </c>
      <c r="F7589" s="19">
        <f>$Z$7610</f>
        <v/>
      </c>
    </row>
    <row r="7590">
      <c r="D7590" s="19">
        <f>IF(ABS(IF(ABS($E$7554)&gt;0.000000001,$E$7554,0.000000001))=0,0,IF($E$7074&lt;=$B$7059,0,IF(ABS(IF(ABS($E$7554)&gt;0.000000001,$E$7554,0.000000001))&gt;=8*$B$7061,$H$7074,0.5*$H$7074*(ABS(IF(ABS($E$7554)&gt;0.000000001,$E$7554,0.000000001))/$B$7061)^(1/3)))/ABS(IF(ABS($E$7554)&gt;0.000000001,$E$7554,0.000000001))*$I$7074)</f>
        <v/>
      </c>
      <c r="E7590" s="19">
        <f>0.5*$E$7554+0.5*$Z$7611</f>
        <v/>
      </c>
      <c r="F7590" s="19">
        <f>$Z$7612</f>
        <v/>
      </c>
    </row>
    <row r="7591">
      <c r="D7591" s="19">
        <f>IF(ABS(IF(ABS($E$7555)&gt;0.000000001,$E$7555,0.000000001))=0,0,IF($E$7075&lt;=$B$7059,0,IF(ABS(IF(ABS($E$7555)&gt;0.000000001,$E$7555,0.000000001))&gt;=8*$B$7061,$H$7075,0.5*$H$7075*(ABS(IF(ABS($E$7555)&gt;0.000000001,$E$7555,0.000000001))/$B$7061)^(1/3)))/ABS(IF(ABS($E$7555)&gt;0.000000001,$E$7555,0.000000001))*$I$7075)</f>
        <v/>
      </c>
      <c r="E7591" s="19">
        <f>0.5*$E$7555+0.5*$Z$7613</f>
        <v/>
      </c>
      <c r="F7591" s="19">
        <f>$Z$7614</f>
        <v/>
      </c>
    </row>
    <row r="7593">
      <c r="D7593" s="21">
        <f>$B$7050+$D$7581</f>
        <v/>
      </c>
      <c r="E7593" s="21">
        <f>$B$7051</f>
        <v/>
      </c>
      <c r="F7593" s="21">
        <f>-$B$7050</f>
        <v/>
      </c>
      <c r="G7593" s="21">
        <f>$B$7051</f>
        <v/>
      </c>
      <c r="H7593" s="21" t="n">
        <v>0</v>
      </c>
      <c r="I7593" s="21" t="n">
        <v>0</v>
      </c>
      <c r="J7593" s="21" t="n">
        <v>0</v>
      </c>
      <c r="K7593" s="21" t="n">
        <v>0</v>
      </c>
      <c r="L7593" s="21" t="n">
        <v>0</v>
      </c>
      <c r="M7593" s="21" t="n">
        <v>0</v>
      </c>
      <c r="N7593" s="21" t="n">
        <v>0</v>
      </c>
      <c r="O7593" s="21" t="n">
        <v>0</v>
      </c>
      <c r="P7593" s="21" t="n">
        <v>0</v>
      </c>
      <c r="Q7593" s="21" t="n">
        <v>0</v>
      </c>
      <c r="R7593" s="21" t="n">
        <v>0</v>
      </c>
      <c r="S7593" s="21" t="n">
        <v>0</v>
      </c>
      <c r="T7593" s="21" t="n">
        <v>0</v>
      </c>
      <c r="U7593" s="21" t="n">
        <v>0</v>
      </c>
      <c r="V7593" s="21" t="n">
        <v>0</v>
      </c>
      <c r="W7593" s="21" t="n">
        <v>0</v>
      </c>
      <c r="X7593" s="21" t="n">
        <v>0</v>
      </c>
      <c r="Y7593" s="21" t="n">
        <v>0</v>
      </c>
      <c r="Z7593" s="19">
        <f t="array" ref="Z7593:Z7614">MMULT(MINVERSE($D$7593:$Y$7614),$D$7077:$D$7098)</f>
        <v/>
      </c>
    </row>
    <row r="7594">
      <c r="D7594" s="21">
        <f>$B$7051</f>
        <v/>
      </c>
      <c r="E7594" s="21">
        <f>$B$7052</f>
        <v/>
      </c>
      <c r="F7594" s="21">
        <f>-$B$7051</f>
        <v/>
      </c>
      <c r="G7594" s="21">
        <f>$B$7053</f>
        <v/>
      </c>
      <c r="H7594" s="21" t="n">
        <v>0</v>
      </c>
      <c r="I7594" s="21" t="n">
        <v>0</v>
      </c>
      <c r="J7594" s="21" t="n">
        <v>0</v>
      </c>
      <c r="K7594" s="21" t="n">
        <v>0</v>
      </c>
      <c r="L7594" s="21" t="n">
        <v>0</v>
      </c>
      <c r="M7594" s="21" t="n">
        <v>0</v>
      </c>
      <c r="N7594" s="21" t="n">
        <v>0</v>
      </c>
      <c r="O7594" s="21" t="n">
        <v>0</v>
      </c>
      <c r="P7594" s="21" t="n">
        <v>0</v>
      </c>
      <c r="Q7594" s="21" t="n">
        <v>0</v>
      </c>
      <c r="R7594" s="21" t="n">
        <v>0</v>
      </c>
      <c r="S7594" s="21" t="n">
        <v>0</v>
      </c>
      <c r="T7594" s="21" t="n">
        <v>0</v>
      </c>
      <c r="U7594" s="21" t="n">
        <v>0</v>
      </c>
      <c r="V7594" s="21" t="n">
        <v>0</v>
      </c>
      <c r="W7594" s="21" t="n">
        <v>0</v>
      </c>
      <c r="X7594" s="21" t="n">
        <v>0</v>
      </c>
      <c r="Y7594" s="21" t="n">
        <v>0</v>
      </c>
      <c r="Z7594" s="19" t="n"/>
    </row>
    <row r="7595">
      <c r="D7595" s="21">
        <f>-$B$7050</f>
        <v/>
      </c>
      <c r="E7595" s="21">
        <f>-$B$7051</f>
        <v/>
      </c>
      <c r="F7595" s="21">
        <f>2*$B$7050+$D$7582</f>
        <v/>
      </c>
      <c r="G7595" s="21">
        <f>0</f>
        <v/>
      </c>
      <c r="H7595" s="21">
        <f>-$B$7050</f>
        <v/>
      </c>
      <c r="I7595" s="21">
        <f>$B$7051</f>
        <v/>
      </c>
      <c r="J7595" s="21" t="n">
        <v>0</v>
      </c>
      <c r="K7595" s="21" t="n">
        <v>0</v>
      </c>
      <c r="L7595" s="21" t="n">
        <v>0</v>
      </c>
      <c r="M7595" s="21" t="n">
        <v>0</v>
      </c>
      <c r="N7595" s="21" t="n">
        <v>0</v>
      </c>
      <c r="O7595" s="21" t="n">
        <v>0</v>
      </c>
      <c r="P7595" s="21" t="n">
        <v>0</v>
      </c>
      <c r="Q7595" s="21" t="n">
        <v>0</v>
      </c>
      <c r="R7595" s="21" t="n">
        <v>0</v>
      </c>
      <c r="S7595" s="21" t="n">
        <v>0</v>
      </c>
      <c r="T7595" s="21" t="n">
        <v>0</v>
      </c>
      <c r="U7595" s="21" t="n">
        <v>0</v>
      </c>
      <c r="V7595" s="21" t="n">
        <v>0</v>
      </c>
      <c r="W7595" s="21" t="n">
        <v>0</v>
      </c>
      <c r="X7595" s="21" t="n">
        <v>0</v>
      </c>
      <c r="Y7595" s="21" t="n">
        <v>0</v>
      </c>
      <c r="Z7595" s="19" t="n"/>
    </row>
    <row r="7596">
      <c r="D7596" s="21">
        <f>$B$7051</f>
        <v/>
      </c>
      <c r="E7596" s="21">
        <f>$B$7053</f>
        <v/>
      </c>
      <c r="F7596" s="21">
        <f>0</f>
        <v/>
      </c>
      <c r="G7596" s="21">
        <f>2*$B$7052</f>
        <v/>
      </c>
      <c r="H7596" s="21">
        <f>-$B$7051</f>
        <v/>
      </c>
      <c r="I7596" s="21">
        <f>$B$7053</f>
        <v/>
      </c>
      <c r="J7596" s="21" t="n">
        <v>0</v>
      </c>
      <c r="K7596" s="21" t="n">
        <v>0</v>
      </c>
      <c r="L7596" s="21" t="n">
        <v>0</v>
      </c>
      <c r="M7596" s="21" t="n">
        <v>0</v>
      </c>
      <c r="N7596" s="21" t="n">
        <v>0</v>
      </c>
      <c r="O7596" s="21" t="n">
        <v>0</v>
      </c>
      <c r="P7596" s="21" t="n">
        <v>0</v>
      </c>
      <c r="Q7596" s="21" t="n">
        <v>0</v>
      </c>
      <c r="R7596" s="21" t="n">
        <v>0</v>
      </c>
      <c r="S7596" s="21" t="n">
        <v>0</v>
      </c>
      <c r="T7596" s="21" t="n">
        <v>0</v>
      </c>
      <c r="U7596" s="21" t="n">
        <v>0</v>
      </c>
      <c r="V7596" s="21" t="n">
        <v>0</v>
      </c>
      <c r="W7596" s="21" t="n">
        <v>0</v>
      </c>
      <c r="X7596" s="21" t="n">
        <v>0</v>
      </c>
      <c r="Y7596" s="21" t="n">
        <v>0</v>
      </c>
      <c r="Z7596" s="19" t="n"/>
    </row>
    <row r="7597">
      <c r="D7597" s="21" t="n">
        <v>0</v>
      </c>
      <c r="E7597" s="21" t="n">
        <v>0</v>
      </c>
      <c r="F7597" s="21">
        <f>-$B$7050</f>
        <v/>
      </c>
      <c r="G7597" s="21">
        <f>-$B$7051</f>
        <v/>
      </c>
      <c r="H7597" s="21">
        <f>2*$B$7050+$D$7583</f>
        <v/>
      </c>
      <c r="I7597" s="21">
        <f>0</f>
        <v/>
      </c>
      <c r="J7597" s="21">
        <f>-$B$7050</f>
        <v/>
      </c>
      <c r="K7597" s="21">
        <f>$B$7051</f>
        <v/>
      </c>
      <c r="L7597" s="21" t="n">
        <v>0</v>
      </c>
      <c r="M7597" s="21" t="n">
        <v>0</v>
      </c>
      <c r="N7597" s="21" t="n">
        <v>0</v>
      </c>
      <c r="O7597" s="21" t="n">
        <v>0</v>
      </c>
      <c r="P7597" s="21" t="n">
        <v>0</v>
      </c>
      <c r="Q7597" s="21" t="n">
        <v>0</v>
      </c>
      <c r="R7597" s="21" t="n">
        <v>0</v>
      </c>
      <c r="S7597" s="21" t="n">
        <v>0</v>
      </c>
      <c r="T7597" s="21" t="n">
        <v>0</v>
      </c>
      <c r="U7597" s="21" t="n">
        <v>0</v>
      </c>
      <c r="V7597" s="21" t="n">
        <v>0</v>
      </c>
      <c r="W7597" s="21" t="n">
        <v>0</v>
      </c>
      <c r="X7597" s="21" t="n">
        <v>0</v>
      </c>
      <c r="Y7597" s="21" t="n">
        <v>0</v>
      </c>
      <c r="Z7597" s="19" t="n"/>
    </row>
    <row r="7598">
      <c r="D7598" s="21" t="n">
        <v>0</v>
      </c>
      <c r="E7598" s="21" t="n">
        <v>0</v>
      </c>
      <c r="F7598" s="21">
        <f>$B$7051</f>
        <v/>
      </c>
      <c r="G7598" s="21">
        <f>$B$7053</f>
        <v/>
      </c>
      <c r="H7598" s="21">
        <f>0</f>
        <v/>
      </c>
      <c r="I7598" s="21">
        <f>2*$B$7052</f>
        <v/>
      </c>
      <c r="J7598" s="21">
        <f>-$B$7051</f>
        <v/>
      </c>
      <c r="K7598" s="21">
        <f>$B$7053</f>
        <v/>
      </c>
      <c r="L7598" s="21" t="n">
        <v>0</v>
      </c>
      <c r="M7598" s="21" t="n">
        <v>0</v>
      </c>
      <c r="N7598" s="21" t="n">
        <v>0</v>
      </c>
      <c r="O7598" s="21" t="n">
        <v>0</v>
      </c>
      <c r="P7598" s="21" t="n">
        <v>0</v>
      </c>
      <c r="Q7598" s="21" t="n">
        <v>0</v>
      </c>
      <c r="R7598" s="21" t="n">
        <v>0</v>
      </c>
      <c r="S7598" s="21" t="n">
        <v>0</v>
      </c>
      <c r="T7598" s="21" t="n">
        <v>0</v>
      </c>
      <c r="U7598" s="21" t="n">
        <v>0</v>
      </c>
      <c r="V7598" s="21" t="n">
        <v>0</v>
      </c>
      <c r="W7598" s="21" t="n">
        <v>0</v>
      </c>
      <c r="X7598" s="21" t="n">
        <v>0</v>
      </c>
      <c r="Y7598" s="21" t="n">
        <v>0</v>
      </c>
      <c r="Z7598" s="19" t="n"/>
    </row>
    <row r="7599">
      <c r="D7599" s="21" t="n">
        <v>0</v>
      </c>
      <c r="E7599" s="21" t="n">
        <v>0</v>
      </c>
      <c r="F7599" s="21" t="n">
        <v>0</v>
      </c>
      <c r="G7599" s="21" t="n">
        <v>0</v>
      </c>
      <c r="H7599" s="21">
        <f>-$B$7050</f>
        <v/>
      </c>
      <c r="I7599" s="21">
        <f>-$B$7051</f>
        <v/>
      </c>
      <c r="J7599" s="21">
        <f>2*$B$7050+$D$7584</f>
        <v/>
      </c>
      <c r="K7599" s="21">
        <f>0</f>
        <v/>
      </c>
      <c r="L7599" s="21">
        <f>-$B$7050</f>
        <v/>
      </c>
      <c r="M7599" s="21">
        <f>$B$7051</f>
        <v/>
      </c>
      <c r="N7599" s="21" t="n">
        <v>0</v>
      </c>
      <c r="O7599" s="21" t="n">
        <v>0</v>
      </c>
      <c r="P7599" s="21" t="n">
        <v>0</v>
      </c>
      <c r="Q7599" s="21" t="n">
        <v>0</v>
      </c>
      <c r="R7599" s="21" t="n">
        <v>0</v>
      </c>
      <c r="S7599" s="21" t="n">
        <v>0</v>
      </c>
      <c r="T7599" s="21" t="n">
        <v>0</v>
      </c>
      <c r="U7599" s="21" t="n">
        <v>0</v>
      </c>
      <c r="V7599" s="21" t="n">
        <v>0</v>
      </c>
      <c r="W7599" s="21" t="n">
        <v>0</v>
      </c>
      <c r="X7599" s="21" t="n">
        <v>0</v>
      </c>
      <c r="Y7599" s="21" t="n">
        <v>0</v>
      </c>
      <c r="Z7599" s="19" t="n"/>
    </row>
    <row r="7600">
      <c r="D7600" s="21" t="n">
        <v>0</v>
      </c>
      <c r="E7600" s="21" t="n">
        <v>0</v>
      </c>
      <c r="F7600" s="21" t="n">
        <v>0</v>
      </c>
      <c r="G7600" s="21" t="n">
        <v>0</v>
      </c>
      <c r="H7600" s="21">
        <f>$B$7051</f>
        <v/>
      </c>
      <c r="I7600" s="21">
        <f>$B$7053</f>
        <v/>
      </c>
      <c r="J7600" s="21">
        <f>0</f>
        <v/>
      </c>
      <c r="K7600" s="21">
        <f>2*$B$7052</f>
        <v/>
      </c>
      <c r="L7600" s="21">
        <f>-$B$7051</f>
        <v/>
      </c>
      <c r="M7600" s="21">
        <f>$B$7053</f>
        <v/>
      </c>
      <c r="N7600" s="21" t="n">
        <v>0</v>
      </c>
      <c r="O7600" s="21" t="n">
        <v>0</v>
      </c>
      <c r="P7600" s="21" t="n">
        <v>0</v>
      </c>
      <c r="Q7600" s="21" t="n">
        <v>0</v>
      </c>
      <c r="R7600" s="21" t="n">
        <v>0</v>
      </c>
      <c r="S7600" s="21" t="n">
        <v>0</v>
      </c>
      <c r="T7600" s="21" t="n">
        <v>0</v>
      </c>
      <c r="U7600" s="21" t="n">
        <v>0</v>
      </c>
      <c r="V7600" s="21" t="n">
        <v>0</v>
      </c>
      <c r="W7600" s="21" t="n">
        <v>0</v>
      </c>
      <c r="X7600" s="21" t="n">
        <v>0</v>
      </c>
      <c r="Y7600" s="21" t="n">
        <v>0</v>
      </c>
      <c r="Z7600" s="19" t="n"/>
    </row>
    <row r="7601">
      <c r="D7601" s="21" t="n">
        <v>0</v>
      </c>
      <c r="E7601" s="21" t="n">
        <v>0</v>
      </c>
      <c r="F7601" s="21" t="n">
        <v>0</v>
      </c>
      <c r="G7601" s="21" t="n">
        <v>0</v>
      </c>
      <c r="H7601" s="21" t="n">
        <v>0</v>
      </c>
      <c r="I7601" s="21" t="n">
        <v>0</v>
      </c>
      <c r="J7601" s="21">
        <f>-$B$7050</f>
        <v/>
      </c>
      <c r="K7601" s="21">
        <f>-$B$7051</f>
        <v/>
      </c>
      <c r="L7601" s="21">
        <f>2*$B$7050+$D$7585</f>
        <v/>
      </c>
      <c r="M7601" s="21">
        <f>0</f>
        <v/>
      </c>
      <c r="N7601" s="21">
        <f>-$B$7050</f>
        <v/>
      </c>
      <c r="O7601" s="21">
        <f>$B$7051</f>
        <v/>
      </c>
      <c r="P7601" s="21" t="n">
        <v>0</v>
      </c>
      <c r="Q7601" s="21" t="n">
        <v>0</v>
      </c>
      <c r="R7601" s="21" t="n">
        <v>0</v>
      </c>
      <c r="S7601" s="21" t="n">
        <v>0</v>
      </c>
      <c r="T7601" s="21" t="n">
        <v>0</v>
      </c>
      <c r="U7601" s="21" t="n">
        <v>0</v>
      </c>
      <c r="V7601" s="21" t="n">
        <v>0</v>
      </c>
      <c r="W7601" s="21" t="n">
        <v>0</v>
      </c>
      <c r="X7601" s="21" t="n">
        <v>0</v>
      </c>
      <c r="Y7601" s="21" t="n">
        <v>0</v>
      </c>
      <c r="Z7601" s="19" t="n"/>
    </row>
    <row r="7602">
      <c r="D7602" s="21" t="n">
        <v>0</v>
      </c>
      <c r="E7602" s="21" t="n">
        <v>0</v>
      </c>
      <c r="F7602" s="21" t="n">
        <v>0</v>
      </c>
      <c r="G7602" s="21" t="n">
        <v>0</v>
      </c>
      <c r="H7602" s="21" t="n">
        <v>0</v>
      </c>
      <c r="I7602" s="21" t="n">
        <v>0</v>
      </c>
      <c r="J7602" s="21">
        <f>$B$7051</f>
        <v/>
      </c>
      <c r="K7602" s="21">
        <f>$B$7053</f>
        <v/>
      </c>
      <c r="L7602" s="21">
        <f>0</f>
        <v/>
      </c>
      <c r="M7602" s="21">
        <f>2*$B$7052</f>
        <v/>
      </c>
      <c r="N7602" s="21">
        <f>-$B$7051</f>
        <v/>
      </c>
      <c r="O7602" s="21">
        <f>$B$7053</f>
        <v/>
      </c>
      <c r="P7602" s="21" t="n">
        <v>0</v>
      </c>
      <c r="Q7602" s="21" t="n">
        <v>0</v>
      </c>
      <c r="R7602" s="21" t="n">
        <v>0</v>
      </c>
      <c r="S7602" s="21" t="n">
        <v>0</v>
      </c>
      <c r="T7602" s="21" t="n">
        <v>0</v>
      </c>
      <c r="U7602" s="21" t="n">
        <v>0</v>
      </c>
      <c r="V7602" s="21" t="n">
        <v>0</v>
      </c>
      <c r="W7602" s="21" t="n">
        <v>0</v>
      </c>
      <c r="X7602" s="21" t="n">
        <v>0</v>
      </c>
      <c r="Y7602" s="21" t="n">
        <v>0</v>
      </c>
      <c r="Z7602" s="19" t="n"/>
    </row>
    <row r="7603">
      <c r="D7603" s="21" t="n">
        <v>0</v>
      </c>
      <c r="E7603" s="21" t="n">
        <v>0</v>
      </c>
      <c r="F7603" s="21" t="n">
        <v>0</v>
      </c>
      <c r="G7603" s="21" t="n">
        <v>0</v>
      </c>
      <c r="H7603" s="21" t="n">
        <v>0</v>
      </c>
      <c r="I7603" s="21" t="n">
        <v>0</v>
      </c>
      <c r="J7603" s="21" t="n">
        <v>0</v>
      </c>
      <c r="K7603" s="21" t="n">
        <v>0</v>
      </c>
      <c r="L7603" s="21">
        <f>-$B$7050</f>
        <v/>
      </c>
      <c r="M7603" s="21">
        <f>-$B$7051</f>
        <v/>
      </c>
      <c r="N7603" s="21">
        <f>2*$B$7050+$D$7586</f>
        <v/>
      </c>
      <c r="O7603" s="21">
        <f>0</f>
        <v/>
      </c>
      <c r="P7603" s="21">
        <f>-$B$7050</f>
        <v/>
      </c>
      <c r="Q7603" s="21">
        <f>$B$7051</f>
        <v/>
      </c>
      <c r="R7603" s="21" t="n">
        <v>0</v>
      </c>
      <c r="S7603" s="21" t="n">
        <v>0</v>
      </c>
      <c r="T7603" s="21" t="n">
        <v>0</v>
      </c>
      <c r="U7603" s="21" t="n">
        <v>0</v>
      </c>
      <c r="V7603" s="21" t="n">
        <v>0</v>
      </c>
      <c r="W7603" s="21" t="n">
        <v>0</v>
      </c>
      <c r="X7603" s="21" t="n">
        <v>0</v>
      </c>
      <c r="Y7603" s="21" t="n">
        <v>0</v>
      </c>
      <c r="Z7603" s="19" t="n"/>
    </row>
    <row r="7604">
      <c r="D7604" s="21" t="n">
        <v>0</v>
      </c>
      <c r="E7604" s="21" t="n">
        <v>0</v>
      </c>
      <c r="F7604" s="21" t="n">
        <v>0</v>
      </c>
      <c r="G7604" s="21" t="n">
        <v>0</v>
      </c>
      <c r="H7604" s="21" t="n">
        <v>0</v>
      </c>
      <c r="I7604" s="21" t="n">
        <v>0</v>
      </c>
      <c r="J7604" s="21" t="n">
        <v>0</v>
      </c>
      <c r="K7604" s="21" t="n">
        <v>0</v>
      </c>
      <c r="L7604" s="21">
        <f>$B$7051</f>
        <v/>
      </c>
      <c r="M7604" s="21">
        <f>$B$7053</f>
        <v/>
      </c>
      <c r="N7604" s="21">
        <f>0</f>
        <v/>
      </c>
      <c r="O7604" s="21">
        <f>2*$B$7052</f>
        <v/>
      </c>
      <c r="P7604" s="21">
        <f>-$B$7051</f>
        <v/>
      </c>
      <c r="Q7604" s="21">
        <f>$B$7053</f>
        <v/>
      </c>
      <c r="R7604" s="21" t="n">
        <v>0</v>
      </c>
      <c r="S7604" s="21" t="n">
        <v>0</v>
      </c>
      <c r="T7604" s="21" t="n">
        <v>0</v>
      </c>
      <c r="U7604" s="21" t="n">
        <v>0</v>
      </c>
      <c r="V7604" s="21" t="n">
        <v>0</v>
      </c>
      <c r="W7604" s="21" t="n">
        <v>0</v>
      </c>
      <c r="X7604" s="21" t="n">
        <v>0</v>
      </c>
      <c r="Y7604" s="21" t="n">
        <v>0</v>
      </c>
      <c r="Z7604" s="19" t="n"/>
    </row>
    <row r="7605">
      <c r="D7605" s="21" t="n">
        <v>0</v>
      </c>
      <c r="E7605" s="21" t="n">
        <v>0</v>
      </c>
      <c r="F7605" s="21" t="n">
        <v>0</v>
      </c>
      <c r="G7605" s="21" t="n">
        <v>0</v>
      </c>
      <c r="H7605" s="21" t="n">
        <v>0</v>
      </c>
      <c r="I7605" s="21" t="n">
        <v>0</v>
      </c>
      <c r="J7605" s="21" t="n">
        <v>0</v>
      </c>
      <c r="K7605" s="21" t="n">
        <v>0</v>
      </c>
      <c r="L7605" s="21" t="n">
        <v>0</v>
      </c>
      <c r="M7605" s="21" t="n">
        <v>0</v>
      </c>
      <c r="N7605" s="21">
        <f>-$B$7050</f>
        <v/>
      </c>
      <c r="O7605" s="21">
        <f>-$B$7051</f>
        <v/>
      </c>
      <c r="P7605" s="21">
        <f>2*$B$7050+$D$7587</f>
        <v/>
      </c>
      <c r="Q7605" s="21">
        <f>0</f>
        <v/>
      </c>
      <c r="R7605" s="21">
        <f>-$B$7050</f>
        <v/>
      </c>
      <c r="S7605" s="21">
        <f>$B$7051</f>
        <v/>
      </c>
      <c r="T7605" s="21" t="n">
        <v>0</v>
      </c>
      <c r="U7605" s="21" t="n">
        <v>0</v>
      </c>
      <c r="V7605" s="21" t="n">
        <v>0</v>
      </c>
      <c r="W7605" s="21" t="n">
        <v>0</v>
      </c>
      <c r="X7605" s="21" t="n">
        <v>0</v>
      </c>
      <c r="Y7605" s="21" t="n">
        <v>0</v>
      </c>
      <c r="Z7605" s="19" t="n"/>
    </row>
    <row r="7606">
      <c r="D7606" s="21" t="n">
        <v>0</v>
      </c>
      <c r="E7606" s="21" t="n">
        <v>0</v>
      </c>
      <c r="F7606" s="21" t="n">
        <v>0</v>
      </c>
      <c r="G7606" s="21" t="n">
        <v>0</v>
      </c>
      <c r="H7606" s="21" t="n">
        <v>0</v>
      </c>
      <c r="I7606" s="21" t="n">
        <v>0</v>
      </c>
      <c r="J7606" s="21" t="n">
        <v>0</v>
      </c>
      <c r="K7606" s="21" t="n">
        <v>0</v>
      </c>
      <c r="L7606" s="21" t="n">
        <v>0</v>
      </c>
      <c r="M7606" s="21" t="n">
        <v>0</v>
      </c>
      <c r="N7606" s="21">
        <f>$B$7051</f>
        <v/>
      </c>
      <c r="O7606" s="21">
        <f>$B$7053</f>
        <v/>
      </c>
      <c r="P7606" s="21">
        <f>0</f>
        <v/>
      </c>
      <c r="Q7606" s="21">
        <f>2*$B$7052</f>
        <v/>
      </c>
      <c r="R7606" s="21">
        <f>-$B$7051</f>
        <v/>
      </c>
      <c r="S7606" s="21">
        <f>$B$7053</f>
        <v/>
      </c>
      <c r="T7606" s="21" t="n">
        <v>0</v>
      </c>
      <c r="U7606" s="21" t="n">
        <v>0</v>
      </c>
      <c r="V7606" s="21" t="n">
        <v>0</v>
      </c>
      <c r="W7606" s="21" t="n">
        <v>0</v>
      </c>
      <c r="X7606" s="21" t="n">
        <v>0</v>
      </c>
      <c r="Y7606" s="21" t="n">
        <v>0</v>
      </c>
      <c r="Z7606" s="19" t="n"/>
    </row>
    <row r="7607">
      <c r="D7607" s="21" t="n">
        <v>0</v>
      </c>
      <c r="E7607" s="21" t="n">
        <v>0</v>
      </c>
      <c r="F7607" s="21" t="n">
        <v>0</v>
      </c>
      <c r="G7607" s="21" t="n">
        <v>0</v>
      </c>
      <c r="H7607" s="21" t="n">
        <v>0</v>
      </c>
      <c r="I7607" s="21" t="n">
        <v>0</v>
      </c>
      <c r="J7607" s="21" t="n">
        <v>0</v>
      </c>
      <c r="K7607" s="21" t="n">
        <v>0</v>
      </c>
      <c r="L7607" s="21" t="n">
        <v>0</v>
      </c>
      <c r="M7607" s="21" t="n">
        <v>0</v>
      </c>
      <c r="N7607" s="21" t="n">
        <v>0</v>
      </c>
      <c r="O7607" s="21" t="n">
        <v>0</v>
      </c>
      <c r="P7607" s="21">
        <f>-$B$7050</f>
        <v/>
      </c>
      <c r="Q7607" s="21">
        <f>-$B$7051</f>
        <v/>
      </c>
      <c r="R7607" s="21">
        <f>2*$B$7050+$D$7588</f>
        <v/>
      </c>
      <c r="S7607" s="21">
        <f>0</f>
        <v/>
      </c>
      <c r="T7607" s="21">
        <f>-$B$7050</f>
        <v/>
      </c>
      <c r="U7607" s="21">
        <f>$B$7051</f>
        <v/>
      </c>
      <c r="V7607" s="21" t="n">
        <v>0</v>
      </c>
      <c r="W7607" s="21" t="n">
        <v>0</v>
      </c>
      <c r="X7607" s="21" t="n">
        <v>0</v>
      </c>
      <c r="Y7607" s="21" t="n">
        <v>0</v>
      </c>
      <c r="Z7607" s="19" t="n"/>
    </row>
    <row r="7608">
      <c r="D7608" s="21" t="n">
        <v>0</v>
      </c>
      <c r="E7608" s="21" t="n">
        <v>0</v>
      </c>
      <c r="F7608" s="21" t="n">
        <v>0</v>
      </c>
      <c r="G7608" s="21" t="n">
        <v>0</v>
      </c>
      <c r="H7608" s="21" t="n">
        <v>0</v>
      </c>
      <c r="I7608" s="21" t="n">
        <v>0</v>
      </c>
      <c r="J7608" s="21" t="n">
        <v>0</v>
      </c>
      <c r="K7608" s="21" t="n">
        <v>0</v>
      </c>
      <c r="L7608" s="21" t="n">
        <v>0</v>
      </c>
      <c r="M7608" s="21" t="n">
        <v>0</v>
      </c>
      <c r="N7608" s="21" t="n">
        <v>0</v>
      </c>
      <c r="O7608" s="21" t="n">
        <v>0</v>
      </c>
      <c r="P7608" s="21">
        <f>$B$7051</f>
        <v/>
      </c>
      <c r="Q7608" s="21">
        <f>$B$7053</f>
        <v/>
      </c>
      <c r="R7608" s="21">
        <f>0</f>
        <v/>
      </c>
      <c r="S7608" s="21">
        <f>2*$B$7052</f>
        <v/>
      </c>
      <c r="T7608" s="21">
        <f>-$B$7051</f>
        <v/>
      </c>
      <c r="U7608" s="21">
        <f>$B$7053</f>
        <v/>
      </c>
      <c r="V7608" s="21" t="n">
        <v>0</v>
      </c>
      <c r="W7608" s="21" t="n">
        <v>0</v>
      </c>
      <c r="X7608" s="21" t="n">
        <v>0</v>
      </c>
      <c r="Y7608" s="21" t="n">
        <v>0</v>
      </c>
      <c r="Z7608" s="19" t="n"/>
    </row>
    <row r="7609">
      <c r="D7609" s="21" t="n">
        <v>0</v>
      </c>
      <c r="E7609" s="21" t="n">
        <v>0</v>
      </c>
      <c r="F7609" s="21" t="n">
        <v>0</v>
      </c>
      <c r="G7609" s="21" t="n">
        <v>0</v>
      </c>
      <c r="H7609" s="21" t="n">
        <v>0</v>
      </c>
      <c r="I7609" s="21" t="n">
        <v>0</v>
      </c>
      <c r="J7609" s="21" t="n">
        <v>0</v>
      </c>
      <c r="K7609" s="21" t="n">
        <v>0</v>
      </c>
      <c r="L7609" s="21" t="n">
        <v>0</v>
      </c>
      <c r="M7609" s="21" t="n">
        <v>0</v>
      </c>
      <c r="N7609" s="21" t="n">
        <v>0</v>
      </c>
      <c r="O7609" s="21" t="n">
        <v>0</v>
      </c>
      <c r="P7609" s="21" t="n">
        <v>0</v>
      </c>
      <c r="Q7609" s="21" t="n">
        <v>0</v>
      </c>
      <c r="R7609" s="21">
        <f>-$B$7050</f>
        <v/>
      </c>
      <c r="S7609" s="21">
        <f>-$B$7051</f>
        <v/>
      </c>
      <c r="T7609" s="21">
        <f>2*$B$7050+$D$7589</f>
        <v/>
      </c>
      <c r="U7609" s="21">
        <f>0</f>
        <v/>
      </c>
      <c r="V7609" s="21">
        <f>-$B$7050</f>
        <v/>
      </c>
      <c r="W7609" s="21">
        <f>$B$7051</f>
        <v/>
      </c>
      <c r="X7609" s="21" t="n">
        <v>0</v>
      </c>
      <c r="Y7609" s="21" t="n">
        <v>0</v>
      </c>
      <c r="Z7609" s="19" t="n"/>
    </row>
    <row r="7610">
      <c r="D7610" s="21" t="n">
        <v>0</v>
      </c>
      <c r="E7610" s="21" t="n">
        <v>0</v>
      </c>
      <c r="F7610" s="21" t="n">
        <v>0</v>
      </c>
      <c r="G7610" s="21" t="n">
        <v>0</v>
      </c>
      <c r="H7610" s="21" t="n">
        <v>0</v>
      </c>
      <c r="I7610" s="21" t="n">
        <v>0</v>
      </c>
      <c r="J7610" s="21" t="n">
        <v>0</v>
      </c>
      <c r="K7610" s="21" t="n">
        <v>0</v>
      </c>
      <c r="L7610" s="21" t="n">
        <v>0</v>
      </c>
      <c r="M7610" s="21" t="n">
        <v>0</v>
      </c>
      <c r="N7610" s="21" t="n">
        <v>0</v>
      </c>
      <c r="O7610" s="21" t="n">
        <v>0</v>
      </c>
      <c r="P7610" s="21" t="n">
        <v>0</v>
      </c>
      <c r="Q7610" s="21" t="n">
        <v>0</v>
      </c>
      <c r="R7610" s="21">
        <f>$B$7051</f>
        <v/>
      </c>
      <c r="S7610" s="21">
        <f>$B$7053</f>
        <v/>
      </c>
      <c r="T7610" s="21">
        <f>0</f>
        <v/>
      </c>
      <c r="U7610" s="21">
        <f>2*$B$7052</f>
        <v/>
      </c>
      <c r="V7610" s="21">
        <f>-$B$7051</f>
        <v/>
      </c>
      <c r="W7610" s="21">
        <f>$B$7053</f>
        <v/>
      </c>
      <c r="X7610" s="21" t="n">
        <v>0</v>
      </c>
      <c r="Y7610" s="21" t="n">
        <v>0</v>
      </c>
      <c r="Z7610" s="19" t="n"/>
    </row>
    <row r="7611">
      <c r="D7611" s="21" t="n">
        <v>0</v>
      </c>
      <c r="E7611" s="21" t="n">
        <v>0</v>
      </c>
      <c r="F7611" s="21" t="n">
        <v>0</v>
      </c>
      <c r="G7611" s="21" t="n">
        <v>0</v>
      </c>
      <c r="H7611" s="21" t="n">
        <v>0</v>
      </c>
      <c r="I7611" s="21" t="n">
        <v>0</v>
      </c>
      <c r="J7611" s="21" t="n">
        <v>0</v>
      </c>
      <c r="K7611" s="21" t="n">
        <v>0</v>
      </c>
      <c r="L7611" s="21" t="n">
        <v>0</v>
      </c>
      <c r="M7611" s="21" t="n">
        <v>0</v>
      </c>
      <c r="N7611" s="21" t="n">
        <v>0</v>
      </c>
      <c r="O7611" s="21" t="n">
        <v>0</v>
      </c>
      <c r="P7611" s="21" t="n">
        <v>0</v>
      </c>
      <c r="Q7611" s="21" t="n">
        <v>0</v>
      </c>
      <c r="R7611" s="21" t="n">
        <v>0</v>
      </c>
      <c r="S7611" s="21" t="n">
        <v>0</v>
      </c>
      <c r="T7611" s="21">
        <f>-$B$7050</f>
        <v/>
      </c>
      <c r="U7611" s="21">
        <f>-$B$7051</f>
        <v/>
      </c>
      <c r="V7611" s="21">
        <f>2*$B$7050+$D$7590</f>
        <v/>
      </c>
      <c r="W7611" s="21">
        <f>0</f>
        <v/>
      </c>
      <c r="X7611" s="21">
        <f>-$B$7050</f>
        <v/>
      </c>
      <c r="Y7611" s="21">
        <f>$B$7051</f>
        <v/>
      </c>
      <c r="Z7611" s="19" t="n"/>
    </row>
    <row r="7612">
      <c r="D7612" s="21" t="n">
        <v>0</v>
      </c>
      <c r="E7612" s="21" t="n">
        <v>0</v>
      </c>
      <c r="F7612" s="21" t="n">
        <v>0</v>
      </c>
      <c r="G7612" s="21" t="n">
        <v>0</v>
      </c>
      <c r="H7612" s="21" t="n">
        <v>0</v>
      </c>
      <c r="I7612" s="21" t="n">
        <v>0</v>
      </c>
      <c r="J7612" s="21" t="n">
        <v>0</v>
      </c>
      <c r="K7612" s="21" t="n">
        <v>0</v>
      </c>
      <c r="L7612" s="21" t="n">
        <v>0</v>
      </c>
      <c r="M7612" s="21" t="n">
        <v>0</v>
      </c>
      <c r="N7612" s="21" t="n">
        <v>0</v>
      </c>
      <c r="O7612" s="21" t="n">
        <v>0</v>
      </c>
      <c r="P7612" s="21" t="n">
        <v>0</v>
      </c>
      <c r="Q7612" s="21" t="n">
        <v>0</v>
      </c>
      <c r="R7612" s="21" t="n">
        <v>0</v>
      </c>
      <c r="S7612" s="21" t="n">
        <v>0</v>
      </c>
      <c r="T7612" s="21">
        <f>$B$7051</f>
        <v/>
      </c>
      <c r="U7612" s="21">
        <f>$B$7053</f>
        <v/>
      </c>
      <c r="V7612" s="21">
        <f>0</f>
        <v/>
      </c>
      <c r="W7612" s="21">
        <f>2*$B$7052</f>
        <v/>
      </c>
      <c r="X7612" s="21">
        <f>-$B$7051</f>
        <v/>
      </c>
      <c r="Y7612" s="21">
        <f>$B$7053</f>
        <v/>
      </c>
      <c r="Z7612" s="19" t="n"/>
    </row>
    <row r="7613">
      <c r="D7613" s="21" t="n">
        <v>0</v>
      </c>
      <c r="E7613" s="21" t="n">
        <v>0</v>
      </c>
      <c r="F7613" s="21" t="n">
        <v>0</v>
      </c>
      <c r="G7613" s="21" t="n">
        <v>0</v>
      </c>
      <c r="H7613" s="21" t="n">
        <v>0</v>
      </c>
      <c r="I7613" s="21" t="n">
        <v>0</v>
      </c>
      <c r="J7613" s="21" t="n">
        <v>0</v>
      </c>
      <c r="K7613" s="21" t="n">
        <v>0</v>
      </c>
      <c r="L7613" s="21" t="n">
        <v>0</v>
      </c>
      <c r="M7613" s="21" t="n">
        <v>0</v>
      </c>
      <c r="N7613" s="21" t="n">
        <v>0</v>
      </c>
      <c r="O7613" s="21" t="n">
        <v>0</v>
      </c>
      <c r="P7613" s="21" t="n">
        <v>0</v>
      </c>
      <c r="Q7613" s="21" t="n">
        <v>0</v>
      </c>
      <c r="R7613" s="21" t="n">
        <v>0</v>
      </c>
      <c r="S7613" s="21" t="n">
        <v>0</v>
      </c>
      <c r="T7613" s="21" t="n">
        <v>0</v>
      </c>
      <c r="U7613" s="21" t="n">
        <v>0</v>
      </c>
      <c r="V7613" s="21">
        <f>-$B$7050</f>
        <v/>
      </c>
      <c r="W7613" s="21">
        <f>-$B$7051</f>
        <v/>
      </c>
      <c r="X7613" s="21">
        <f>$B$7050+$D$7591</f>
        <v/>
      </c>
      <c r="Y7613" s="21">
        <f>-$B$7051</f>
        <v/>
      </c>
      <c r="Z7613" s="19" t="n"/>
    </row>
    <row r="7614">
      <c r="D7614" s="21" t="n">
        <v>0</v>
      </c>
      <c r="E7614" s="21" t="n">
        <v>0</v>
      </c>
      <c r="F7614" s="21" t="n">
        <v>0</v>
      </c>
      <c r="G7614" s="21" t="n">
        <v>0</v>
      </c>
      <c r="H7614" s="21" t="n">
        <v>0</v>
      </c>
      <c r="I7614" s="21" t="n">
        <v>0</v>
      </c>
      <c r="J7614" s="21" t="n">
        <v>0</v>
      </c>
      <c r="K7614" s="21" t="n">
        <v>0</v>
      </c>
      <c r="L7614" s="21" t="n">
        <v>0</v>
      </c>
      <c r="M7614" s="21" t="n">
        <v>0</v>
      </c>
      <c r="N7614" s="21" t="n">
        <v>0</v>
      </c>
      <c r="O7614" s="21" t="n">
        <v>0</v>
      </c>
      <c r="P7614" s="21" t="n">
        <v>0</v>
      </c>
      <c r="Q7614" s="21" t="n">
        <v>0</v>
      </c>
      <c r="R7614" s="21" t="n">
        <v>0</v>
      </c>
      <c r="S7614" s="21" t="n">
        <v>0</v>
      </c>
      <c r="T7614" s="21" t="n">
        <v>0</v>
      </c>
      <c r="U7614" s="21" t="n">
        <v>0</v>
      </c>
      <c r="V7614" s="21">
        <f>$B$7051</f>
        <v/>
      </c>
      <c r="W7614" s="21">
        <f>$B$7053</f>
        <v/>
      </c>
      <c r="X7614" s="21">
        <f>-$B$7051</f>
        <v/>
      </c>
      <c r="Y7614" s="21">
        <f>$B$7052</f>
        <v/>
      </c>
      <c r="Z7614" s="19" t="n"/>
    </row>
    <row r="7616">
      <c r="A7616" s="8" t="inlineStr">
        <is>
          <t>gen 15</t>
        </is>
      </c>
    </row>
    <row r="7617">
      <c r="D7617" s="19">
        <f>IF(ABS(IF(ABS($E$7581)&gt;0.000000001,$E$7581,0.000000001))=0,0,IF($E$7065&lt;=$B$7059,0,IF(ABS(IF(ABS($E$7581)&gt;0.000000001,$E$7581,0.000000001))&gt;=8*$B$7061,$H$7065,0.5*$H$7065*(ABS(IF(ABS($E$7581)&gt;0.000000001,$E$7581,0.000000001))/$B$7061)^(1/3)))/ABS(IF(ABS($E$7581)&gt;0.000000001,$E$7581,0.000000001))*$I$7065)</f>
        <v/>
      </c>
      <c r="E7617" s="19">
        <f>0.5*$E$7581+0.5*$Z$7629</f>
        <v/>
      </c>
      <c r="F7617" s="19">
        <f>$Z$7630</f>
        <v/>
      </c>
    </row>
    <row r="7618">
      <c r="D7618" s="19">
        <f>IF(ABS(IF(ABS($E$7582)&gt;0.000000001,$E$7582,0.000000001))=0,0,IF($E$7066&lt;=$B$7059,0,IF(ABS(IF(ABS($E$7582)&gt;0.000000001,$E$7582,0.000000001))&gt;=8*$B$7061,$H$7066,0.5*$H$7066*(ABS(IF(ABS($E$7582)&gt;0.000000001,$E$7582,0.000000001))/$B$7061)^(1/3)))/ABS(IF(ABS($E$7582)&gt;0.000000001,$E$7582,0.000000001))*$I$7066)</f>
        <v/>
      </c>
      <c r="E7618" s="19">
        <f>0.5*$E$7582+0.5*$Z$7631</f>
        <v/>
      </c>
      <c r="F7618" s="19">
        <f>$Z$7632</f>
        <v/>
      </c>
    </row>
    <row r="7619">
      <c r="D7619" s="19">
        <f>IF(ABS(IF(ABS($E$7583)&gt;0.000000001,$E$7583,0.000000001))=0,0,IF($E$7067&lt;=$B$7059,0,IF(ABS(IF(ABS($E$7583)&gt;0.000000001,$E$7583,0.000000001))&gt;=8*$B$7061,$H$7067,0.5*$H$7067*(ABS(IF(ABS($E$7583)&gt;0.000000001,$E$7583,0.000000001))/$B$7061)^(1/3)))/ABS(IF(ABS($E$7583)&gt;0.000000001,$E$7583,0.000000001))*$I$7067)</f>
        <v/>
      </c>
      <c r="E7619" s="19">
        <f>0.5*$E$7583+0.5*$Z$7633</f>
        <v/>
      </c>
      <c r="F7619" s="19">
        <f>$Z$7634</f>
        <v/>
      </c>
    </row>
    <row r="7620">
      <c r="D7620" s="19">
        <f>IF(ABS(IF(ABS($E$7584)&gt;0.000000001,$E$7584,0.000000001))=0,0,IF($E$7068&lt;=$B$7059,0,IF(ABS(IF(ABS($E$7584)&gt;0.000000001,$E$7584,0.000000001))&gt;=8*$B$7061,$H$7068,0.5*$H$7068*(ABS(IF(ABS($E$7584)&gt;0.000000001,$E$7584,0.000000001))/$B$7061)^(1/3)))/ABS(IF(ABS($E$7584)&gt;0.000000001,$E$7584,0.000000001))*$I$7068)</f>
        <v/>
      </c>
      <c r="E7620" s="19">
        <f>0.5*$E$7584+0.5*$Z$7635</f>
        <v/>
      </c>
      <c r="F7620" s="19">
        <f>$Z$7636</f>
        <v/>
      </c>
    </row>
    <row r="7621">
      <c r="D7621" s="19">
        <f>IF(ABS(IF(ABS($E$7585)&gt;0.000000001,$E$7585,0.000000001))=0,0,IF($E$7069&lt;=$B$7059,0,IF(ABS(IF(ABS($E$7585)&gt;0.000000001,$E$7585,0.000000001))&gt;=8*$B$7061,$H$7069,0.5*$H$7069*(ABS(IF(ABS($E$7585)&gt;0.000000001,$E$7585,0.000000001))/$B$7061)^(1/3)))/ABS(IF(ABS($E$7585)&gt;0.000000001,$E$7585,0.000000001))*$I$7069)</f>
        <v/>
      </c>
      <c r="E7621" s="19">
        <f>0.5*$E$7585+0.5*$Z$7637</f>
        <v/>
      </c>
      <c r="F7621" s="19">
        <f>$Z$7638</f>
        <v/>
      </c>
    </row>
    <row r="7622">
      <c r="D7622" s="19">
        <f>IF(ABS(IF(ABS($E$7586)&gt;0.000000001,$E$7586,0.000000001))=0,0,IF($E$7070&lt;=$B$7059,0,IF(ABS(IF(ABS($E$7586)&gt;0.000000001,$E$7586,0.000000001))&gt;=8*$B$7061,$H$7070,0.5*$H$7070*(ABS(IF(ABS($E$7586)&gt;0.000000001,$E$7586,0.000000001))/$B$7061)^(1/3)))/ABS(IF(ABS($E$7586)&gt;0.000000001,$E$7586,0.000000001))*$I$7070)</f>
        <v/>
      </c>
      <c r="E7622" s="19">
        <f>0.5*$E$7586+0.5*$Z$7639</f>
        <v/>
      </c>
      <c r="F7622" s="19">
        <f>$Z$7640</f>
        <v/>
      </c>
    </row>
    <row r="7623">
      <c r="D7623" s="19">
        <f>IF(ABS(IF(ABS($E$7587)&gt;0.000000001,$E$7587,0.000000001))=0,0,IF($E$7071&lt;=$B$7059,0,IF(ABS(IF(ABS($E$7587)&gt;0.000000001,$E$7587,0.000000001))&gt;=8*$B$7061,$H$7071,0.5*$H$7071*(ABS(IF(ABS($E$7587)&gt;0.000000001,$E$7587,0.000000001))/$B$7061)^(1/3)))/ABS(IF(ABS($E$7587)&gt;0.000000001,$E$7587,0.000000001))*$I$7071)</f>
        <v/>
      </c>
      <c r="E7623" s="19">
        <f>0.5*$E$7587+0.5*$Z$7641</f>
        <v/>
      </c>
      <c r="F7623" s="19">
        <f>$Z$7642</f>
        <v/>
      </c>
    </row>
    <row r="7624">
      <c r="D7624" s="19">
        <f>IF(ABS(IF(ABS($E$7588)&gt;0.000000001,$E$7588,0.000000001))=0,0,IF($E$7072&lt;=$B$7059,0,IF(ABS(IF(ABS($E$7588)&gt;0.000000001,$E$7588,0.000000001))&gt;=8*$B$7061,$H$7072,0.5*$H$7072*(ABS(IF(ABS($E$7588)&gt;0.000000001,$E$7588,0.000000001))/$B$7061)^(1/3)))/ABS(IF(ABS($E$7588)&gt;0.000000001,$E$7588,0.000000001))*$I$7072)</f>
        <v/>
      </c>
      <c r="E7624" s="19">
        <f>0.5*$E$7588+0.5*$Z$7643</f>
        <v/>
      </c>
      <c r="F7624" s="19">
        <f>$Z$7644</f>
        <v/>
      </c>
    </row>
    <row r="7625">
      <c r="D7625" s="19">
        <f>IF(ABS(IF(ABS($E$7589)&gt;0.000000001,$E$7589,0.000000001))=0,0,IF($E$7073&lt;=$B$7059,0,IF(ABS(IF(ABS($E$7589)&gt;0.000000001,$E$7589,0.000000001))&gt;=8*$B$7061,$H$7073,0.5*$H$7073*(ABS(IF(ABS($E$7589)&gt;0.000000001,$E$7589,0.000000001))/$B$7061)^(1/3)))/ABS(IF(ABS($E$7589)&gt;0.000000001,$E$7589,0.000000001))*$I$7073)</f>
        <v/>
      </c>
      <c r="E7625" s="19">
        <f>0.5*$E$7589+0.5*$Z$7645</f>
        <v/>
      </c>
      <c r="F7625" s="19">
        <f>$Z$7646</f>
        <v/>
      </c>
    </row>
    <row r="7626">
      <c r="D7626" s="19">
        <f>IF(ABS(IF(ABS($E$7590)&gt;0.000000001,$E$7590,0.000000001))=0,0,IF($E$7074&lt;=$B$7059,0,IF(ABS(IF(ABS($E$7590)&gt;0.000000001,$E$7590,0.000000001))&gt;=8*$B$7061,$H$7074,0.5*$H$7074*(ABS(IF(ABS($E$7590)&gt;0.000000001,$E$7590,0.000000001))/$B$7061)^(1/3)))/ABS(IF(ABS($E$7590)&gt;0.000000001,$E$7590,0.000000001))*$I$7074)</f>
        <v/>
      </c>
      <c r="E7626" s="19">
        <f>0.5*$E$7590+0.5*$Z$7647</f>
        <v/>
      </c>
      <c r="F7626" s="19">
        <f>$Z$7648</f>
        <v/>
      </c>
    </row>
    <row r="7627">
      <c r="D7627" s="19">
        <f>IF(ABS(IF(ABS($E$7591)&gt;0.000000001,$E$7591,0.000000001))=0,0,IF($E$7075&lt;=$B$7059,0,IF(ABS(IF(ABS($E$7591)&gt;0.000000001,$E$7591,0.000000001))&gt;=8*$B$7061,$H$7075,0.5*$H$7075*(ABS(IF(ABS($E$7591)&gt;0.000000001,$E$7591,0.000000001))/$B$7061)^(1/3)))/ABS(IF(ABS($E$7591)&gt;0.000000001,$E$7591,0.000000001))*$I$7075)</f>
        <v/>
      </c>
      <c r="E7627" s="19">
        <f>0.5*$E$7591+0.5*$Z$7649</f>
        <v/>
      </c>
      <c r="F7627" s="19">
        <f>$Z$7650</f>
        <v/>
      </c>
    </row>
    <row r="7629">
      <c r="D7629" s="21">
        <f>$B$7050+$D$7617</f>
        <v/>
      </c>
      <c r="E7629" s="21">
        <f>$B$7051</f>
        <v/>
      </c>
      <c r="F7629" s="21">
        <f>-$B$7050</f>
        <v/>
      </c>
      <c r="G7629" s="21">
        <f>$B$7051</f>
        <v/>
      </c>
      <c r="H7629" s="21" t="n">
        <v>0</v>
      </c>
      <c r="I7629" s="21" t="n">
        <v>0</v>
      </c>
      <c r="J7629" s="21" t="n">
        <v>0</v>
      </c>
      <c r="K7629" s="21" t="n">
        <v>0</v>
      </c>
      <c r="L7629" s="21" t="n">
        <v>0</v>
      </c>
      <c r="M7629" s="21" t="n">
        <v>0</v>
      </c>
      <c r="N7629" s="21" t="n">
        <v>0</v>
      </c>
      <c r="O7629" s="21" t="n">
        <v>0</v>
      </c>
      <c r="P7629" s="21" t="n">
        <v>0</v>
      </c>
      <c r="Q7629" s="21" t="n">
        <v>0</v>
      </c>
      <c r="R7629" s="21" t="n">
        <v>0</v>
      </c>
      <c r="S7629" s="21" t="n">
        <v>0</v>
      </c>
      <c r="T7629" s="21" t="n">
        <v>0</v>
      </c>
      <c r="U7629" s="21" t="n">
        <v>0</v>
      </c>
      <c r="V7629" s="21" t="n">
        <v>0</v>
      </c>
      <c r="W7629" s="21" t="n">
        <v>0</v>
      </c>
      <c r="X7629" s="21" t="n">
        <v>0</v>
      </c>
      <c r="Y7629" s="21" t="n">
        <v>0</v>
      </c>
      <c r="Z7629" s="19">
        <f t="array" ref="Z7629:Z7650">MMULT(MINVERSE($D$7629:$Y$7650),$D$7077:$D$7098)</f>
        <v/>
      </c>
    </row>
    <row r="7630">
      <c r="D7630" s="21">
        <f>$B$7051</f>
        <v/>
      </c>
      <c r="E7630" s="21">
        <f>$B$7052</f>
        <v/>
      </c>
      <c r="F7630" s="21">
        <f>-$B$7051</f>
        <v/>
      </c>
      <c r="G7630" s="21">
        <f>$B$7053</f>
        <v/>
      </c>
      <c r="H7630" s="21" t="n">
        <v>0</v>
      </c>
      <c r="I7630" s="21" t="n">
        <v>0</v>
      </c>
      <c r="J7630" s="21" t="n">
        <v>0</v>
      </c>
      <c r="K7630" s="21" t="n">
        <v>0</v>
      </c>
      <c r="L7630" s="21" t="n">
        <v>0</v>
      </c>
      <c r="M7630" s="21" t="n">
        <v>0</v>
      </c>
      <c r="N7630" s="21" t="n">
        <v>0</v>
      </c>
      <c r="O7630" s="21" t="n">
        <v>0</v>
      </c>
      <c r="P7630" s="21" t="n">
        <v>0</v>
      </c>
      <c r="Q7630" s="21" t="n">
        <v>0</v>
      </c>
      <c r="R7630" s="21" t="n">
        <v>0</v>
      </c>
      <c r="S7630" s="21" t="n">
        <v>0</v>
      </c>
      <c r="T7630" s="21" t="n">
        <v>0</v>
      </c>
      <c r="U7630" s="21" t="n">
        <v>0</v>
      </c>
      <c r="V7630" s="21" t="n">
        <v>0</v>
      </c>
      <c r="W7630" s="21" t="n">
        <v>0</v>
      </c>
      <c r="X7630" s="21" t="n">
        <v>0</v>
      </c>
      <c r="Y7630" s="21" t="n">
        <v>0</v>
      </c>
      <c r="Z7630" s="19" t="n"/>
    </row>
    <row r="7631">
      <c r="D7631" s="21">
        <f>-$B$7050</f>
        <v/>
      </c>
      <c r="E7631" s="21">
        <f>-$B$7051</f>
        <v/>
      </c>
      <c r="F7631" s="21">
        <f>2*$B$7050+$D$7618</f>
        <v/>
      </c>
      <c r="G7631" s="21">
        <f>0</f>
        <v/>
      </c>
      <c r="H7631" s="21">
        <f>-$B$7050</f>
        <v/>
      </c>
      <c r="I7631" s="21">
        <f>$B$7051</f>
        <v/>
      </c>
      <c r="J7631" s="21" t="n">
        <v>0</v>
      </c>
      <c r="K7631" s="21" t="n">
        <v>0</v>
      </c>
      <c r="L7631" s="21" t="n">
        <v>0</v>
      </c>
      <c r="M7631" s="21" t="n">
        <v>0</v>
      </c>
      <c r="N7631" s="21" t="n">
        <v>0</v>
      </c>
      <c r="O7631" s="21" t="n">
        <v>0</v>
      </c>
      <c r="P7631" s="21" t="n">
        <v>0</v>
      </c>
      <c r="Q7631" s="21" t="n">
        <v>0</v>
      </c>
      <c r="R7631" s="21" t="n">
        <v>0</v>
      </c>
      <c r="S7631" s="21" t="n">
        <v>0</v>
      </c>
      <c r="T7631" s="21" t="n">
        <v>0</v>
      </c>
      <c r="U7631" s="21" t="n">
        <v>0</v>
      </c>
      <c r="V7631" s="21" t="n">
        <v>0</v>
      </c>
      <c r="W7631" s="21" t="n">
        <v>0</v>
      </c>
      <c r="X7631" s="21" t="n">
        <v>0</v>
      </c>
      <c r="Y7631" s="21" t="n">
        <v>0</v>
      </c>
      <c r="Z7631" s="19" t="n"/>
    </row>
    <row r="7632">
      <c r="D7632" s="21">
        <f>$B$7051</f>
        <v/>
      </c>
      <c r="E7632" s="21">
        <f>$B$7053</f>
        <v/>
      </c>
      <c r="F7632" s="21">
        <f>0</f>
        <v/>
      </c>
      <c r="G7632" s="21">
        <f>2*$B$7052</f>
        <v/>
      </c>
      <c r="H7632" s="21">
        <f>-$B$7051</f>
        <v/>
      </c>
      <c r="I7632" s="21">
        <f>$B$7053</f>
        <v/>
      </c>
      <c r="J7632" s="21" t="n">
        <v>0</v>
      </c>
      <c r="K7632" s="21" t="n">
        <v>0</v>
      </c>
      <c r="L7632" s="21" t="n">
        <v>0</v>
      </c>
      <c r="M7632" s="21" t="n">
        <v>0</v>
      </c>
      <c r="N7632" s="21" t="n">
        <v>0</v>
      </c>
      <c r="O7632" s="21" t="n">
        <v>0</v>
      </c>
      <c r="P7632" s="21" t="n">
        <v>0</v>
      </c>
      <c r="Q7632" s="21" t="n">
        <v>0</v>
      </c>
      <c r="R7632" s="21" t="n">
        <v>0</v>
      </c>
      <c r="S7632" s="21" t="n">
        <v>0</v>
      </c>
      <c r="T7632" s="21" t="n">
        <v>0</v>
      </c>
      <c r="U7632" s="21" t="n">
        <v>0</v>
      </c>
      <c r="V7632" s="21" t="n">
        <v>0</v>
      </c>
      <c r="W7632" s="21" t="n">
        <v>0</v>
      </c>
      <c r="X7632" s="21" t="n">
        <v>0</v>
      </c>
      <c r="Y7632" s="21" t="n">
        <v>0</v>
      </c>
      <c r="Z7632" s="19" t="n"/>
    </row>
    <row r="7633">
      <c r="D7633" s="21" t="n">
        <v>0</v>
      </c>
      <c r="E7633" s="21" t="n">
        <v>0</v>
      </c>
      <c r="F7633" s="21">
        <f>-$B$7050</f>
        <v/>
      </c>
      <c r="G7633" s="21">
        <f>-$B$7051</f>
        <v/>
      </c>
      <c r="H7633" s="21">
        <f>2*$B$7050+$D$7619</f>
        <v/>
      </c>
      <c r="I7633" s="21">
        <f>0</f>
        <v/>
      </c>
      <c r="J7633" s="21">
        <f>-$B$7050</f>
        <v/>
      </c>
      <c r="K7633" s="21">
        <f>$B$7051</f>
        <v/>
      </c>
      <c r="L7633" s="21" t="n">
        <v>0</v>
      </c>
      <c r="M7633" s="21" t="n">
        <v>0</v>
      </c>
      <c r="N7633" s="21" t="n">
        <v>0</v>
      </c>
      <c r="O7633" s="21" t="n">
        <v>0</v>
      </c>
      <c r="P7633" s="21" t="n">
        <v>0</v>
      </c>
      <c r="Q7633" s="21" t="n">
        <v>0</v>
      </c>
      <c r="R7633" s="21" t="n">
        <v>0</v>
      </c>
      <c r="S7633" s="21" t="n">
        <v>0</v>
      </c>
      <c r="T7633" s="21" t="n">
        <v>0</v>
      </c>
      <c r="U7633" s="21" t="n">
        <v>0</v>
      </c>
      <c r="V7633" s="21" t="n">
        <v>0</v>
      </c>
      <c r="W7633" s="21" t="n">
        <v>0</v>
      </c>
      <c r="X7633" s="21" t="n">
        <v>0</v>
      </c>
      <c r="Y7633" s="21" t="n">
        <v>0</v>
      </c>
      <c r="Z7633" s="19" t="n"/>
    </row>
    <row r="7634">
      <c r="D7634" s="21" t="n">
        <v>0</v>
      </c>
      <c r="E7634" s="21" t="n">
        <v>0</v>
      </c>
      <c r="F7634" s="21">
        <f>$B$7051</f>
        <v/>
      </c>
      <c r="G7634" s="21">
        <f>$B$7053</f>
        <v/>
      </c>
      <c r="H7634" s="21">
        <f>0</f>
        <v/>
      </c>
      <c r="I7634" s="21">
        <f>2*$B$7052</f>
        <v/>
      </c>
      <c r="J7634" s="21">
        <f>-$B$7051</f>
        <v/>
      </c>
      <c r="K7634" s="21">
        <f>$B$7053</f>
        <v/>
      </c>
      <c r="L7634" s="21" t="n">
        <v>0</v>
      </c>
      <c r="M7634" s="21" t="n">
        <v>0</v>
      </c>
      <c r="N7634" s="21" t="n">
        <v>0</v>
      </c>
      <c r="O7634" s="21" t="n">
        <v>0</v>
      </c>
      <c r="P7634" s="21" t="n">
        <v>0</v>
      </c>
      <c r="Q7634" s="21" t="n">
        <v>0</v>
      </c>
      <c r="R7634" s="21" t="n">
        <v>0</v>
      </c>
      <c r="S7634" s="21" t="n">
        <v>0</v>
      </c>
      <c r="T7634" s="21" t="n">
        <v>0</v>
      </c>
      <c r="U7634" s="21" t="n">
        <v>0</v>
      </c>
      <c r="V7634" s="21" t="n">
        <v>0</v>
      </c>
      <c r="W7634" s="21" t="n">
        <v>0</v>
      </c>
      <c r="X7634" s="21" t="n">
        <v>0</v>
      </c>
      <c r="Y7634" s="21" t="n">
        <v>0</v>
      </c>
      <c r="Z7634" s="19" t="n"/>
    </row>
    <row r="7635">
      <c r="D7635" s="21" t="n">
        <v>0</v>
      </c>
      <c r="E7635" s="21" t="n">
        <v>0</v>
      </c>
      <c r="F7635" s="21" t="n">
        <v>0</v>
      </c>
      <c r="G7635" s="21" t="n">
        <v>0</v>
      </c>
      <c r="H7635" s="21">
        <f>-$B$7050</f>
        <v/>
      </c>
      <c r="I7635" s="21">
        <f>-$B$7051</f>
        <v/>
      </c>
      <c r="J7635" s="21">
        <f>2*$B$7050+$D$7620</f>
        <v/>
      </c>
      <c r="K7635" s="21">
        <f>0</f>
        <v/>
      </c>
      <c r="L7635" s="21">
        <f>-$B$7050</f>
        <v/>
      </c>
      <c r="M7635" s="21">
        <f>$B$7051</f>
        <v/>
      </c>
      <c r="N7635" s="21" t="n">
        <v>0</v>
      </c>
      <c r="O7635" s="21" t="n">
        <v>0</v>
      </c>
      <c r="P7635" s="21" t="n">
        <v>0</v>
      </c>
      <c r="Q7635" s="21" t="n">
        <v>0</v>
      </c>
      <c r="R7635" s="21" t="n">
        <v>0</v>
      </c>
      <c r="S7635" s="21" t="n">
        <v>0</v>
      </c>
      <c r="T7635" s="21" t="n">
        <v>0</v>
      </c>
      <c r="U7635" s="21" t="n">
        <v>0</v>
      </c>
      <c r="V7635" s="21" t="n">
        <v>0</v>
      </c>
      <c r="W7635" s="21" t="n">
        <v>0</v>
      </c>
      <c r="X7635" s="21" t="n">
        <v>0</v>
      </c>
      <c r="Y7635" s="21" t="n">
        <v>0</v>
      </c>
      <c r="Z7635" s="19" t="n"/>
    </row>
    <row r="7636">
      <c r="D7636" s="21" t="n">
        <v>0</v>
      </c>
      <c r="E7636" s="21" t="n">
        <v>0</v>
      </c>
      <c r="F7636" s="21" t="n">
        <v>0</v>
      </c>
      <c r="G7636" s="21" t="n">
        <v>0</v>
      </c>
      <c r="H7636" s="21">
        <f>$B$7051</f>
        <v/>
      </c>
      <c r="I7636" s="21">
        <f>$B$7053</f>
        <v/>
      </c>
      <c r="J7636" s="21">
        <f>0</f>
        <v/>
      </c>
      <c r="K7636" s="21">
        <f>2*$B$7052</f>
        <v/>
      </c>
      <c r="L7636" s="21">
        <f>-$B$7051</f>
        <v/>
      </c>
      <c r="M7636" s="21">
        <f>$B$7053</f>
        <v/>
      </c>
      <c r="N7636" s="21" t="n">
        <v>0</v>
      </c>
      <c r="O7636" s="21" t="n">
        <v>0</v>
      </c>
      <c r="P7636" s="21" t="n">
        <v>0</v>
      </c>
      <c r="Q7636" s="21" t="n">
        <v>0</v>
      </c>
      <c r="R7636" s="21" t="n">
        <v>0</v>
      </c>
      <c r="S7636" s="21" t="n">
        <v>0</v>
      </c>
      <c r="T7636" s="21" t="n">
        <v>0</v>
      </c>
      <c r="U7636" s="21" t="n">
        <v>0</v>
      </c>
      <c r="V7636" s="21" t="n">
        <v>0</v>
      </c>
      <c r="W7636" s="21" t="n">
        <v>0</v>
      </c>
      <c r="X7636" s="21" t="n">
        <v>0</v>
      </c>
      <c r="Y7636" s="21" t="n">
        <v>0</v>
      </c>
      <c r="Z7636" s="19" t="n"/>
    </row>
    <row r="7637">
      <c r="D7637" s="21" t="n">
        <v>0</v>
      </c>
      <c r="E7637" s="21" t="n">
        <v>0</v>
      </c>
      <c r="F7637" s="21" t="n">
        <v>0</v>
      </c>
      <c r="G7637" s="21" t="n">
        <v>0</v>
      </c>
      <c r="H7637" s="21" t="n">
        <v>0</v>
      </c>
      <c r="I7637" s="21" t="n">
        <v>0</v>
      </c>
      <c r="J7637" s="21">
        <f>-$B$7050</f>
        <v/>
      </c>
      <c r="K7637" s="21">
        <f>-$B$7051</f>
        <v/>
      </c>
      <c r="L7637" s="21">
        <f>2*$B$7050+$D$7621</f>
        <v/>
      </c>
      <c r="M7637" s="21">
        <f>0</f>
        <v/>
      </c>
      <c r="N7637" s="21">
        <f>-$B$7050</f>
        <v/>
      </c>
      <c r="O7637" s="21">
        <f>$B$7051</f>
        <v/>
      </c>
      <c r="P7637" s="21" t="n">
        <v>0</v>
      </c>
      <c r="Q7637" s="21" t="n">
        <v>0</v>
      </c>
      <c r="R7637" s="21" t="n">
        <v>0</v>
      </c>
      <c r="S7637" s="21" t="n">
        <v>0</v>
      </c>
      <c r="T7637" s="21" t="n">
        <v>0</v>
      </c>
      <c r="U7637" s="21" t="n">
        <v>0</v>
      </c>
      <c r="V7637" s="21" t="n">
        <v>0</v>
      </c>
      <c r="W7637" s="21" t="n">
        <v>0</v>
      </c>
      <c r="X7637" s="21" t="n">
        <v>0</v>
      </c>
      <c r="Y7637" s="21" t="n">
        <v>0</v>
      </c>
      <c r="Z7637" s="19" t="n"/>
    </row>
    <row r="7638">
      <c r="D7638" s="21" t="n">
        <v>0</v>
      </c>
      <c r="E7638" s="21" t="n">
        <v>0</v>
      </c>
      <c r="F7638" s="21" t="n">
        <v>0</v>
      </c>
      <c r="G7638" s="21" t="n">
        <v>0</v>
      </c>
      <c r="H7638" s="21" t="n">
        <v>0</v>
      </c>
      <c r="I7638" s="21" t="n">
        <v>0</v>
      </c>
      <c r="J7638" s="21">
        <f>$B$7051</f>
        <v/>
      </c>
      <c r="K7638" s="21">
        <f>$B$7053</f>
        <v/>
      </c>
      <c r="L7638" s="21">
        <f>0</f>
        <v/>
      </c>
      <c r="M7638" s="21">
        <f>2*$B$7052</f>
        <v/>
      </c>
      <c r="N7638" s="21">
        <f>-$B$7051</f>
        <v/>
      </c>
      <c r="O7638" s="21">
        <f>$B$7053</f>
        <v/>
      </c>
      <c r="P7638" s="21" t="n">
        <v>0</v>
      </c>
      <c r="Q7638" s="21" t="n">
        <v>0</v>
      </c>
      <c r="R7638" s="21" t="n">
        <v>0</v>
      </c>
      <c r="S7638" s="21" t="n">
        <v>0</v>
      </c>
      <c r="T7638" s="21" t="n">
        <v>0</v>
      </c>
      <c r="U7638" s="21" t="n">
        <v>0</v>
      </c>
      <c r="V7638" s="21" t="n">
        <v>0</v>
      </c>
      <c r="W7638" s="21" t="n">
        <v>0</v>
      </c>
      <c r="X7638" s="21" t="n">
        <v>0</v>
      </c>
      <c r="Y7638" s="21" t="n">
        <v>0</v>
      </c>
      <c r="Z7638" s="19" t="n"/>
    </row>
    <row r="7639">
      <c r="D7639" s="21" t="n">
        <v>0</v>
      </c>
      <c r="E7639" s="21" t="n">
        <v>0</v>
      </c>
      <c r="F7639" s="21" t="n">
        <v>0</v>
      </c>
      <c r="G7639" s="21" t="n">
        <v>0</v>
      </c>
      <c r="H7639" s="21" t="n">
        <v>0</v>
      </c>
      <c r="I7639" s="21" t="n">
        <v>0</v>
      </c>
      <c r="J7639" s="21" t="n">
        <v>0</v>
      </c>
      <c r="K7639" s="21" t="n">
        <v>0</v>
      </c>
      <c r="L7639" s="21">
        <f>-$B$7050</f>
        <v/>
      </c>
      <c r="M7639" s="21">
        <f>-$B$7051</f>
        <v/>
      </c>
      <c r="N7639" s="21">
        <f>2*$B$7050+$D$7622</f>
        <v/>
      </c>
      <c r="O7639" s="21">
        <f>0</f>
        <v/>
      </c>
      <c r="P7639" s="21">
        <f>-$B$7050</f>
        <v/>
      </c>
      <c r="Q7639" s="21">
        <f>$B$7051</f>
        <v/>
      </c>
      <c r="R7639" s="21" t="n">
        <v>0</v>
      </c>
      <c r="S7639" s="21" t="n">
        <v>0</v>
      </c>
      <c r="T7639" s="21" t="n">
        <v>0</v>
      </c>
      <c r="U7639" s="21" t="n">
        <v>0</v>
      </c>
      <c r="V7639" s="21" t="n">
        <v>0</v>
      </c>
      <c r="W7639" s="21" t="n">
        <v>0</v>
      </c>
      <c r="X7639" s="21" t="n">
        <v>0</v>
      </c>
      <c r="Y7639" s="21" t="n">
        <v>0</v>
      </c>
      <c r="Z7639" s="19" t="n"/>
    </row>
    <row r="7640">
      <c r="D7640" s="21" t="n">
        <v>0</v>
      </c>
      <c r="E7640" s="21" t="n">
        <v>0</v>
      </c>
      <c r="F7640" s="21" t="n">
        <v>0</v>
      </c>
      <c r="G7640" s="21" t="n">
        <v>0</v>
      </c>
      <c r="H7640" s="21" t="n">
        <v>0</v>
      </c>
      <c r="I7640" s="21" t="n">
        <v>0</v>
      </c>
      <c r="J7640" s="21" t="n">
        <v>0</v>
      </c>
      <c r="K7640" s="21" t="n">
        <v>0</v>
      </c>
      <c r="L7640" s="21">
        <f>$B$7051</f>
        <v/>
      </c>
      <c r="M7640" s="21">
        <f>$B$7053</f>
        <v/>
      </c>
      <c r="N7640" s="21">
        <f>0</f>
        <v/>
      </c>
      <c r="O7640" s="21">
        <f>2*$B$7052</f>
        <v/>
      </c>
      <c r="P7640" s="21">
        <f>-$B$7051</f>
        <v/>
      </c>
      <c r="Q7640" s="21">
        <f>$B$7053</f>
        <v/>
      </c>
      <c r="R7640" s="21" t="n">
        <v>0</v>
      </c>
      <c r="S7640" s="21" t="n">
        <v>0</v>
      </c>
      <c r="T7640" s="21" t="n">
        <v>0</v>
      </c>
      <c r="U7640" s="21" t="n">
        <v>0</v>
      </c>
      <c r="V7640" s="21" t="n">
        <v>0</v>
      </c>
      <c r="W7640" s="21" t="n">
        <v>0</v>
      </c>
      <c r="X7640" s="21" t="n">
        <v>0</v>
      </c>
      <c r="Y7640" s="21" t="n">
        <v>0</v>
      </c>
      <c r="Z7640" s="19" t="n"/>
    </row>
    <row r="7641">
      <c r="D7641" s="21" t="n">
        <v>0</v>
      </c>
      <c r="E7641" s="21" t="n">
        <v>0</v>
      </c>
      <c r="F7641" s="21" t="n">
        <v>0</v>
      </c>
      <c r="G7641" s="21" t="n">
        <v>0</v>
      </c>
      <c r="H7641" s="21" t="n">
        <v>0</v>
      </c>
      <c r="I7641" s="21" t="n">
        <v>0</v>
      </c>
      <c r="J7641" s="21" t="n">
        <v>0</v>
      </c>
      <c r="K7641" s="21" t="n">
        <v>0</v>
      </c>
      <c r="L7641" s="21" t="n">
        <v>0</v>
      </c>
      <c r="M7641" s="21" t="n">
        <v>0</v>
      </c>
      <c r="N7641" s="21">
        <f>-$B$7050</f>
        <v/>
      </c>
      <c r="O7641" s="21">
        <f>-$B$7051</f>
        <v/>
      </c>
      <c r="P7641" s="21">
        <f>2*$B$7050+$D$7623</f>
        <v/>
      </c>
      <c r="Q7641" s="21">
        <f>0</f>
        <v/>
      </c>
      <c r="R7641" s="21">
        <f>-$B$7050</f>
        <v/>
      </c>
      <c r="S7641" s="21">
        <f>$B$7051</f>
        <v/>
      </c>
      <c r="T7641" s="21" t="n">
        <v>0</v>
      </c>
      <c r="U7641" s="21" t="n">
        <v>0</v>
      </c>
      <c r="V7641" s="21" t="n">
        <v>0</v>
      </c>
      <c r="W7641" s="21" t="n">
        <v>0</v>
      </c>
      <c r="X7641" s="21" t="n">
        <v>0</v>
      </c>
      <c r="Y7641" s="21" t="n">
        <v>0</v>
      </c>
      <c r="Z7641" s="19" t="n"/>
    </row>
    <row r="7642">
      <c r="D7642" s="21" t="n">
        <v>0</v>
      </c>
      <c r="E7642" s="21" t="n">
        <v>0</v>
      </c>
      <c r="F7642" s="21" t="n">
        <v>0</v>
      </c>
      <c r="G7642" s="21" t="n">
        <v>0</v>
      </c>
      <c r="H7642" s="21" t="n">
        <v>0</v>
      </c>
      <c r="I7642" s="21" t="n">
        <v>0</v>
      </c>
      <c r="J7642" s="21" t="n">
        <v>0</v>
      </c>
      <c r="K7642" s="21" t="n">
        <v>0</v>
      </c>
      <c r="L7642" s="21" t="n">
        <v>0</v>
      </c>
      <c r="M7642" s="21" t="n">
        <v>0</v>
      </c>
      <c r="N7642" s="21">
        <f>$B$7051</f>
        <v/>
      </c>
      <c r="O7642" s="21">
        <f>$B$7053</f>
        <v/>
      </c>
      <c r="P7642" s="21">
        <f>0</f>
        <v/>
      </c>
      <c r="Q7642" s="21">
        <f>2*$B$7052</f>
        <v/>
      </c>
      <c r="R7642" s="21">
        <f>-$B$7051</f>
        <v/>
      </c>
      <c r="S7642" s="21">
        <f>$B$7053</f>
        <v/>
      </c>
      <c r="T7642" s="21" t="n">
        <v>0</v>
      </c>
      <c r="U7642" s="21" t="n">
        <v>0</v>
      </c>
      <c r="V7642" s="21" t="n">
        <v>0</v>
      </c>
      <c r="W7642" s="21" t="n">
        <v>0</v>
      </c>
      <c r="X7642" s="21" t="n">
        <v>0</v>
      </c>
      <c r="Y7642" s="21" t="n">
        <v>0</v>
      </c>
      <c r="Z7642" s="19" t="n"/>
    </row>
    <row r="7643">
      <c r="D7643" s="21" t="n">
        <v>0</v>
      </c>
      <c r="E7643" s="21" t="n">
        <v>0</v>
      </c>
      <c r="F7643" s="21" t="n">
        <v>0</v>
      </c>
      <c r="G7643" s="21" t="n">
        <v>0</v>
      </c>
      <c r="H7643" s="21" t="n">
        <v>0</v>
      </c>
      <c r="I7643" s="21" t="n">
        <v>0</v>
      </c>
      <c r="J7643" s="21" t="n">
        <v>0</v>
      </c>
      <c r="K7643" s="21" t="n">
        <v>0</v>
      </c>
      <c r="L7643" s="21" t="n">
        <v>0</v>
      </c>
      <c r="M7643" s="21" t="n">
        <v>0</v>
      </c>
      <c r="N7643" s="21" t="n">
        <v>0</v>
      </c>
      <c r="O7643" s="21" t="n">
        <v>0</v>
      </c>
      <c r="P7643" s="21">
        <f>-$B$7050</f>
        <v/>
      </c>
      <c r="Q7643" s="21">
        <f>-$B$7051</f>
        <v/>
      </c>
      <c r="R7643" s="21">
        <f>2*$B$7050+$D$7624</f>
        <v/>
      </c>
      <c r="S7643" s="21">
        <f>0</f>
        <v/>
      </c>
      <c r="T7643" s="21">
        <f>-$B$7050</f>
        <v/>
      </c>
      <c r="U7643" s="21">
        <f>$B$7051</f>
        <v/>
      </c>
      <c r="V7643" s="21" t="n">
        <v>0</v>
      </c>
      <c r="W7643" s="21" t="n">
        <v>0</v>
      </c>
      <c r="X7643" s="21" t="n">
        <v>0</v>
      </c>
      <c r="Y7643" s="21" t="n">
        <v>0</v>
      </c>
      <c r="Z7643" s="19" t="n"/>
    </row>
    <row r="7644">
      <c r="D7644" s="21" t="n">
        <v>0</v>
      </c>
      <c r="E7644" s="21" t="n">
        <v>0</v>
      </c>
      <c r="F7644" s="21" t="n">
        <v>0</v>
      </c>
      <c r="G7644" s="21" t="n">
        <v>0</v>
      </c>
      <c r="H7644" s="21" t="n">
        <v>0</v>
      </c>
      <c r="I7644" s="21" t="n">
        <v>0</v>
      </c>
      <c r="J7644" s="21" t="n">
        <v>0</v>
      </c>
      <c r="K7644" s="21" t="n">
        <v>0</v>
      </c>
      <c r="L7644" s="21" t="n">
        <v>0</v>
      </c>
      <c r="M7644" s="21" t="n">
        <v>0</v>
      </c>
      <c r="N7644" s="21" t="n">
        <v>0</v>
      </c>
      <c r="O7644" s="21" t="n">
        <v>0</v>
      </c>
      <c r="P7644" s="21">
        <f>$B$7051</f>
        <v/>
      </c>
      <c r="Q7644" s="21">
        <f>$B$7053</f>
        <v/>
      </c>
      <c r="R7644" s="21">
        <f>0</f>
        <v/>
      </c>
      <c r="S7644" s="21">
        <f>2*$B$7052</f>
        <v/>
      </c>
      <c r="T7644" s="21">
        <f>-$B$7051</f>
        <v/>
      </c>
      <c r="U7644" s="21">
        <f>$B$7053</f>
        <v/>
      </c>
      <c r="V7644" s="21" t="n">
        <v>0</v>
      </c>
      <c r="W7644" s="21" t="n">
        <v>0</v>
      </c>
      <c r="X7644" s="21" t="n">
        <v>0</v>
      </c>
      <c r="Y7644" s="21" t="n">
        <v>0</v>
      </c>
      <c r="Z7644" s="19" t="n"/>
    </row>
    <row r="7645">
      <c r="D7645" s="21" t="n">
        <v>0</v>
      </c>
      <c r="E7645" s="21" t="n">
        <v>0</v>
      </c>
      <c r="F7645" s="21" t="n">
        <v>0</v>
      </c>
      <c r="G7645" s="21" t="n">
        <v>0</v>
      </c>
      <c r="H7645" s="21" t="n">
        <v>0</v>
      </c>
      <c r="I7645" s="21" t="n">
        <v>0</v>
      </c>
      <c r="J7645" s="21" t="n">
        <v>0</v>
      </c>
      <c r="K7645" s="21" t="n">
        <v>0</v>
      </c>
      <c r="L7645" s="21" t="n">
        <v>0</v>
      </c>
      <c r="M7645" s="21" t="n">
        <v>0</v>
      </c>
      <c r="N7645" s="21" t="n">
        <v>0</v>
      </c>
      <c r="O7645" s="21" t="n">
        <v>0</v>
      </c>
      <c r="P7645" s="21" t="n">
        <v>0</v>
      </c>
      <c r="Q7645" s="21" t="n">
        <v>0</v>
      </c>
      <c r="R7645" s="21">
        <f>-$B$7050</f>
        <v/>
      </c>
      <c r="S7645" s="21">
        <f>-$B$7051</f>
        <v/>
      </c>
      <c r="T7645" s="21">
        <f>2*$B$7050+$D$7625</f>
        <v/>
      </c>
      <c r="U7645" s="21">
        <f>0</f>
        <v/>
      </c>
      <c r="V7645" s="21">
        <f>-$B$7050</f>
        <v/>
      </c>
      <c r="W7645" s="21">
        <f>$B$7051</f>
        <v/>
      </c>
      <c r="X7645" s="21" t="n">
        <v>0</v>
      </c>
      <c r="Y7645" s="21" t="n">
        <v>0</v>
      </c>
      <c r="Z7645" s="19" t="n"/>
    </row>
    <row r="7646">
      <c r="D7646" s="21" t="n">
        <v>0</v>
      </c>
      <c r="E7646" s="21" t="n">
        <v>0</v>
      </c>
      <c r="F7646" s="21" t="n">
        <v>0</v>
      </c>
      <c r="G7646" s="21" t="n">
        <v>0</v>
      </c>
      <c r="H7646" s="21" t="n">
        <v>0</v>
      </c>
      <c r="I7646" s="21" t="n">
        <v>0</v>
      </c>
      <c r="J7646" s="21" t="n">
        <v>0</v>
      </c>
      <c r="K7646" s="21" t="n">
        <v>0</v>
      </c>
      <c r="L7646" s="21" t="n">
        <v>0</v>
      </c>
      <c r="M7646" s="21" t="n">
        <v>0</v>
      </c>
      <c r="N7646" s="21" t="n">
        <v>0</v>
      </c>
      <c r="O7646" s="21" t="n">
        <v>0</v>
      </c>
      <c r="P7646" s="21" t="n">
        <v>0</v>
      </c>
      <c r="Q7646" s="21" t="n">
        <v>0</v>
      </c>
      <c r="R7646" s="21">
        <f>$B$7051</f>
        <v/>
      </c>
      <c r="S7646" s="21">
        <f>$B$7053</f>
        <v/>
      </c>
      <c r="T7646" s="21">
        <f>0</f>
        <v/>
      </c>
      <c r="U7646" s="21">
        <f>2*$B$7052</f>
        <v/>
      </c>
      <c r="V7646" s="21">
        <f>-$B$7051</f>
        <v/>
      </c>
      <c r="W7646" s="21">
        <f>$B$7053</f>
        <v/>
      </c>
      <c r="X7646" s="21" t="n">
        <v>0</v>
      </c>
      <c r="Y7646" s="21" t="n">
        <v>0</v>
      </c>
      <c r="Z7646" s="19" t="n"/>
    </row>
    <row r="7647">
      <c r="D7647" s="21" t="n">
        <v>0</v>
      </c>
      <c r="E7647" s="21" t="n">
        <v>0</v>
      </c>
      <c r="F7647" s="21" t="n">
        <v>0</v>
      </c>
      <c r="G7647" s="21" t="n">
        <v>0</v>
      </c>
      <c r="H7647" s="21" t="n">
        <v>0</v>
      </c>
      <c r="I7647" s="21" t="n">
        <v>0</v>
      </c>
      <c r="J7647" s="21" t="n">
        <v>0</v>
      </c>
      <c r="K7647" s="21" t="n">
        <v>0</v>
      </c>
      <c r="L7647" s="21" t="n">
        <v>0</v>
      </c>
      <c r="M7647" s="21" t="n">
        <v>0</v>
      </c>
      <c r="N7647" s="21" t="n">
        <v>0</v>
      </c>
      <c r="O7647" s="21" t="n">
        <v>0</v>
      </c>
      <c r="P7647" s="21" t="n">
        <v>0</v>
      </c>
      <c r="Q7647" s="21" t="n">
        <v>0</v>
      </c>
      <c r="R7647" s="21" t="n">
        <v>0</v>
      </c>
      <c r="S7647" s="21" t="n">
        <v>0</v>
      </c>
      <c r="T7647" s="21">
        <f>-$B$7050</f>
        <v/>
      </c>
      <c r="U7647" s="21">
        <f>-$B$7051</f>
        <v/>
      </c>
      <c r="V7647" s="21">
        <f>2*$B$7050+$D$7626</f>
        <v/>
      </c>
      <c r="W7647" s="21">
        <f>0</f>
        <v/>
      </c>
      <c r="X7647" s="21">
        <f>-$B$7050</f>
        <v/>
      </c>
      <c r="Y7647" s="21">
        <f>$B$7051</f>
        <v/>
      </c>
      <c r="Z7647" s="19" t="n"/>
    </row>
    <row r="7648">
      <c r="D7648" s="21" t="n">
        <v>0</v>
      </c>
      <c r="E7648" s="21" t="n">
        <v>0</v>
      </c>
      <c r="F7648" s="21" t="n">
        <v>0</v>
      </c>
      <c r="G7648" s="21" t="n">
        <v>0</v>
      </c>
      <c r="H7648" s="21" t="n">
        <v>0</v>
      </c>
      <c r="I7648" s="21" t="n">
        <v>0</v>
      </c>
      <c r="J7648" s="21" t="n">
        <v>0</v>
      </c>
      <c r="K7648" s="21" t="n">
        <v>0</v>
      </c>
      <c r="L7648" s="21" t="n">
        <v>0</v>
      </c>
      <c r="M7648" s="21" t="n">
        <v>0</v>
      </c>
      <c r="N7648" s="21" t="n">
        <v>0</v>
      </c>
      <c r="O7648" s="21" t="n">
        <v>0</v>
      </c>
      <c r="P7648" s="21" t="n">
        <v>0</v>
      </c>
      <c r="Q7648" s="21" t="n">
        <v>0</v>
      </c>
      <c r="R7648" s="21" t="n">
        <v>0</v>
      </c>
      <c r="S7648" s="21" t="n">
        <v>0</v>
      </c>
      <c r="T7648" s="21">
        <f>$B$7051</f>
        <v/>
      </c>
      <c r="U7648" s="21">
        <f>$B$7053</f>
        <v/>
      </c>
      <c r="V7648" s="21">
        <f>0</f>
        <v/>
      </c>
      <c r="W7648" s="21">
        <f>2*$B$7052</f>
        <v/>
      </c>
      <c r="X7648" s="21">
        <f>-$B$7051</f>
        <v/>
      </c>
      <c r="Y7648" s="21">
        <f>$B$7053</f>
        <v/>
      </c>
      <c r="Z7648" s="19" t="n"/>
    </row>
    <row r="7649">
      <c r="D7649" s="21" t="n">
        <v>0</v>
      </c>
      <c r="E7649" s="21" t="n">
        <v>0</v>
      </c>
      <c r="F7649" s="21" t="n">
        <v>0</v>
      </c>
      <c r="G7649" s="21" t="n">
        <v>0</v>
      </c>
      <c r="H7649" s="21" t="n">
        <v>0</v>
      </c>
      <c r="I7649" s="21" t="n">
        <v>0</v>
      </c>
      <c r="J7649" s="21" t="n">
        <v>0</v>
      </c>
      <c r="K7649" s="21" t="n">
        <v>0</v>
      </c>
      <c r="L7649" s="21" t="n">
        <v>0</v>
      </c>
      <c r="M7649" s="21" t="n">
        <v>0</v>
      </c>
      <c r="N7649" s="21" t="n">
        <v>0</v>
      </c>
      <c r="O7649" s="21" t="n">
        <v>0</v>
      </c>
      <c r="P7649" s="21" t="n">
        <v>0</v>
      </c>
      <c r="Q7649" s="21" t="n">
        <v>0</v>
      </c>
      <c r="R7649" s="21" t="n">
        <v>0</v>
      </c>
      <c r="S7649" s="21" t="n">
        <v>0</v>
      </c>
      <c r="T7649" s="21" t="n">
        <v>0</v>
      </c>
      <c r="U7649" s="21" t="n">
        <v>0</v>
      </c>
      <c r="V7649" s="21">
        <f>-$B$7050</f>
        <v/>
      </c>
      <c r="W7649" s="21">
        <f>-$B$7051</f>
        <v/>
      </c>
      <c r="X7649" s="21">
        <f>$B$7050+$D$7627</f>
        <v/>
      </c>
      <c r="Y7649" s="21">
        <f>-$B$7051</f>
        <v/>
      </c>
      <c r="Z7649" s="19" t="n"/>
    </row>
    <row r="7650">
      <c r="D7650" s="21" t="n">
        <v>0</v>
      </c>
      <c r="E7650" s="21" t="n">
        <v>0</v>
      </c>
      <c r="F7650" s="21" t="n">
        <v>0</v>
      </c>
      <c r="G7650" s="21" t="n">
        <v>0</v>
      </c>
      <c r="H7650" s="21" t="n">
        <v>0</v>
      </c>
      <c r="I7650" s="21" t="n">
        <v>0</v>
      </c>
      <c r="J7650" s="21" t="n">
        <v>0</v>
      </c>
      <c r="K7650" s="21" t="n">
        <v>0</v>
      </c>
      <c r="L7650" s="21" t="n">
        <v>0</v>
      </c>
      <c r="M7650" s="21" t="n">
        <v>0</v>
      </c>
      <c r="N7650" s="21" t="n">
        <v>0</v>
      </c>
      <c r="O7650" s="21" t="n">
        <v>0</v>
      </c>
      <c r="P7650" s="21" t="n">
        <v>0</v>
      </c>
      <c r="Q7650" s="21" t="n">
        <v>0</v>
      </c>
      <c r="R7650" s="21" t="n">
        <v>0</v>
      </c>
      <c r="S7650" s="21" t="n">
        <v>0</v>
      </c>
      <c r="T7650" s="21" t="n">
        <v>0</v>
      </c>
      <c r="U7650" s="21" t="n">
        <v>0</v>
      </c>
      <c r="V7650" s="21">
        <f>$B$7051</f>
        <v/>
      </c>
      <c r="W7650" s="21">
        <f>$B$7053</f>
        <v/>
      </c>
      <c r="X7650" s="21">
        <f>-$B$7051</f>
        <v/>
      </c>
      <c r="Y7650" s="21">
        <f>$B$7052</f>
        <v/>
      </c>
      <c r="Z7650" s="19" t="n"/>
    </row>
    <row r="7652">
      <c r="A7652" s="8" t="inlineStr">
        <is>
          <t>gen 16</t>
        </is>
      </c>
    </row>
    <row r="7653">
      <c r="D7653" s="19">
        <f>IF(ABS(IF(ABS($E$7617)&gt;0.000000001,$E$7617,0.000000001))=0,0,IF($E$7065&lt;=$B$7059,0,IF(ABS(IF(ABS($E$7617)&gt;0.000000001,$E$7617,0.000000001))&gt;=8*$B$7061,$H$7065,0.5*$H$7065*(ABS(IF(ABS($E$7617)&gt;0.000000001,$E$7617,0.000000001))/$B$7061)^(1/3)))/ABS(IF(ABS($E$7617)&gt;0.000000001,$E$7617,0.000000001))*$I$7065)</f>
        <v/>
      </c>
      <c r="E7653" s="19">
        <f>0.5*$E$7617+0.5*$Z$7665</f>
        <v/>
      </c>
      <c r="F7653" s="19">
        <f>$Z$7666</f>
        <v/>
      </c>
    </row>
    <row r="7654">
      <c r="D7654" s="19">
        <f>IF(ABS(IF(ABS($E$7618)&gt;0.000000001,$E$7618,0.000000001))=0,0,IF($E$7066&lt;=$B$7059,0,IF(ABS(IF(ABS($E$7618)&gt;0.000000001,$E$7618,0.000000001))&gt;=8*$B$7061,$H$7066,0.5*$H$7066*(ABS(IF(ABS($E$7618)&gt;0.000000001,$E$7618,0.000000001))/$B$7061)^(1/3)))/ABS(IF(ABS($E$7618)&gt;0.000000001,$E$7618,0.000000001))*$I$7066)</f>
        <v/>
      </c>
      <c r="E7654" s="19">
        <f>0.5*$E$7618+0.5*$Z$7667</f>
        <v/>
      </c>
      <c r="F7654" s="19">
        <f>$Z$7668</f>
        <v/>
      </c>
    </row>
    <row r="7655">
      <c r="D7655" s="19">
        <f>IF(ABS(IF(ABS($E$7619)&gt;0.000000001,$E$7619,0.000000001))=0,0,IF($E$7067&lt;=$B$7059,0,IF(ABS(IF(ABS($E$7619)&gt;0.000000001,$E$7619,0.000000001))&gt;=8*$B$7061,$H$7067,0.5*$H$7067*(ABS(IF(ABS($E$7619)&gt;0.000000001,$E$7619,0.000000001))/$B$7061)^(1/3)))/ABS(IF(ABS($E$7619)&gt;0.000000001,$E$7619,0.000000001))*$I$7067)</f>
        <v/>
      </c>
      <c r="E7655" s="19">
        <f>0.5*$E$7619+0.5*$Z$7669</f>
        <v/>
      </c>
      <c r="F7655" s="19">
        <f>$Z$7670</f>
        <v/>
      </c>
    </row>
    <row r="7656">
      <c r="D7656" s="19">
        <f>IF(ABS(IF(ABS($E$7620)&gt;0.000000001,$E$7620,0.000000001))=0,0,IF($E$7068&lt;=$B$7059,0,IF(ABS(IF(ABS($E$7620)&gt;0.000000001,$E$7620,0.000000001))&gt;=8*$B$7061,$H$7068,0.5*$H$7068*(ABS(IF(ABS($E$7620)&gt;0.000000001,$E$7620,0.000000001))/$B$7061)^(1/3)))/ABS(IF(ABS($E$7620)&gt;0.000000001,$E$7620,0.000000001))*$I$7068)</f>
        <v/>
      </c>
      <c r="E7656" s="19">
        <f>0.5*$E$7620+0.5*$Z$7671</f>
        <v/>
      </c>
      <c r="F7656" s="19">
        <f>$Z$7672</f>
        <v/>
      </c>
    </row>
    <row r="7657">
      <c r="D7657" s="19">
        <f>IF(ABS(IF(ABS($E$7621)&gt;0.000000001,$E$7621,0.000000001))=0,0,IF($E$7069&lt;=$B$7059,0,IF(ABS(IF(ABS($E$7621)&gt;0.000000001,$E$7621,0.000000001))&gt;=8*$B$7061,$H$7069,0.5*$H$7069*(ABS(IF(ABS($E$7621)&gt;0.000000001,$E$7621,0.000000001))/$B$7061)^(1/3)))/ABS(IF(ABS($E$7621)&gt;0.000000001,$E$7621,0.000000001))*$I$7069)</f>
        <v/>
      </c>
      <c r="E7657" s="19">
        <f>0.5*$E$7621+0.5*$Z$7673</f>
        <v/>
      </c>
      <c r="F7657" s="19">
        <f>$Z$7674</f>
        <v/>
      </c>
    </row>
    <row r="7658">
      <c r="D7658" s="19">
        <f>IF(ABS(IF(ABS($E$7622)&gt;0.000000001,$E$7622,0.000000001))=0,0,IF($E$7070&lt;=$B$7059,0,IF(ABS(IF(ABS($E$7622)&gt;0.000000001,$E$7622,0.000000001))&gt;=8*$B$7061,$H$7070,0.5*$H$7070*(ABS(IF(ABS($E$7622)&gt;0.000000001,$E$7622,0.000000001))/$B$7061)^(1/3)))/ABS(IF(ABS($E$7622)&gt;0.000000001,$E$7622,0.000000001))*$I$7070)</f>
        <v/>
      </c>
      <c r="E7658" s="19">
        <f>0.5*$E$7622+0.5*$Z$7675</f>
        <v/>
      </c>
      <c r="F7658" s="19">
        <f>$Z$7676</f>
        <v/>
      </c>
    </row>
    <row r="7659">
      <c r="D7659" s="19">
        <f>IF(ABS(IF(ABS($E$7623)&gt;0.000000001,$E$7623,0.000000001))=0,0,IF($E$7071&lt;=$B$7059,0,IF(ABS(IF(ABS($E$7623)&gt;0.000000001,$E$7623,0.000000001))&gt;=8*$B$7061,$H$7071,0.5*$H$7071*(ABS(IF(ABS($E$7623)&gt;0.000000001,$E$7623,0.000000001))/$B$7061)^(1/3)))/ABS(IF(ABS($E$7623)&gt;0.000000001,$E$7623,0.000000001))*$I$7071)</f>
        <v/>
      </c>
      <c r="E7659" s="19">
        <f>0.5*$E$7623+0.5*$Z$7677</f>
        <v/>
      </c>
      <c r="F7659" s="19">
        <f>$Z$7678</f>
        <v/>
      </c>
    </row>
    <row r="7660">
      <c r="D7660" s="19">
        <f>IF(ABS(IF(ABS($E$7624)&gt;0.000000001,$E$7624,0.000000001))=0,0,IF($E$7072&lt;=$B$7059,0,IF(ABS(IF(ABS($E$7624)&gt;0.000000001,$E$7624,0.000000001))&gt;=8*$B$7061,$H$7072,0.5*$H$7072*(ABS(IF(ABS($E$7624)&gt;0.000000001,$E$7624,0.000000001))/$B$7061)^(1/3)))/ABS(IF(ABS($E$7624)&gt;0.000000001,$E$7624,0.000000001))*$I$7072)</f>
        <v/>
      </c>
      <c r="E7660" s="19">
        <f>0.5*$E$7624+0.5*$Z$7679</f>
        <v/>
      </c>
      <c r="F7660" s="19">
        <f>$Z$7680</f>
        <v/>
      </c>
    </row>
    <row r="7661">
      <c r="D7661" s="19">
        <f>IF(ABS(IF(ABS($E$7625)&gt;0.000000001,$E$7625,0.000000001))=0,0,IF($E$7073&lt;=$B$7059,0,IF(ABS(IF(ABS($E$7625)&gt;0.000000001,$E$7625,0.000000001))&gt;=8*$B$7061,$H$7073,0.5*$H$7073*(ABS(IF(ABS($E$7625)&gt;0.000000001,$E$7625,0.000000001))/$B$7061)^(1/3)))/ABS(IF(ABS($E$7625)&gt;0.000000001,$E$7625,0.000000001))*$I$7073)</f>
        <v/>
      </c>
      <c r="E7661" s="19">
        <f>0.5*$E$7625+0.5*$Z$7681</f>
        <v/>
      </c>
      <c r="F7661" s="19">
        <f>$Z$7682</f>
        <v/>
      </c>
    </row>
    <row r="7662">
      <c r="D7662" s="19">
        <f>IF(ABS(IF(ABS($E$7626)&gt;0.000000001,$E$7626,0.000000001))=0,0,IF($E$7074&lt;=$B$7059,0,IF(ABS(IF(ABS($E$7626)&gt;0.000000001,$E$7626,0.000000001))&gt;=8*$B$7061,$H$7074,0.5*$H$7074*(ABS(IF(ABS($E$7626)&gt;0.000000001,$E$7626,0.000000001))/$B$7061)^(1/3)))/ABS(IF(ABS($E$7626)&gt;0.000000001,$E$7626,0.000000001))*$I$7074)</f>
        <v/>
      </c>
      <c r="E7662" s="19">
        <f>0.5*$E$7626+0.5*$Z$7683</f>
        <v/>
      </c>
      <c r="F7662" s="19">
        <f>$Z$7684</f>
        <v/>
      </c>
    </row>
    <row r="7663">
      <c r="D7663" s="19">
        <f>IF(ABS(IF(ABS($E$7627)&gt;0.000000001,$E$7627,0.000000001))=0,0,IF($E$7075&lt;=$B$7059,0,IF(ABS(IF(ABS($E$7627)&gt;0.000000001,$E$7627,0.000000001))&gt;=8*$B$7061,$H$7075,0.5*$H$7075*(ABS(IF(ABS($E$7627)&gt;0.000000001,$E$7627,0.000000001))/$B$7061)^(1/3)))/ABS(IF(ABS($E$7627)&gt;0.000000001,$E$7627,0.000000001))*$I$7075)</f>
        <v/>
      </c>
      <c r="E7663" s="19">
        <f>0.5*$E$7627+0.5*$Z$7685</f>
        <v/>
      </c>
      <c r="F7663" s="19">
        <f>$Z$7686</f>
        <v/>
      </c>
    </row>
    <row r="7665">
      <c r="D7665" s="21">
        <f>$B$7050+$D$7653</f>
        <v/>
      </c>
      <c r="E7665" s="21">
        <f>$B$7051</f>
        <v/>
      </c>
      <c r="F7665" s="21">
        <f>-$B$7050</f>
        <v/>
      </c>
      <c r="G7665" s="21">
        <f>$B$7051</f>
        <v/>
      </c>
      <c r="H7665" s="21" t="n">
        <v>0</v>
      </c>
      <c r="I7665" s="21" t="n">
        <v>0</v>
      </c>
      <c r="J7665" s="21" t="n">
        <v>0</v>
      </c>
      <c r="K7665" s="21" t="n">
        <v>0</v>
      </c>
      <c r="L7665" s="21" t="n">
        <v>0</v>
      </c>
      <c r="M7665" s="21" t="n">
        <v>0</v>
      </c>
      <c r="N7665" s="21" t="n">
        <v>0</v>
      </c>
      <c r="O7665" s="21" t="n">
        <v>0</v>
      </c>
      <c r="P7665" s="21" t="n">
        <v>0</v>
      </c>
      <c r="Q7665" s="21" t="n">
        <v>0</v>
      </c>
      <c r="R7665" s="21" t="n">
        <v>0</v>
      </c>
      <c r="S7665" s="21" t="n">
        <v>0</v>
      </c>
      <c r="T7665" s="21" t="n">
        <v>0</v>
      </c>
      <c r="U7665" s="21" t="n">
        <v>0</v>
      </c>
      <c r="V7665" s="21" t="n">
        <v>0</v>
      </c>
      <c r="W7665" s="21" t="n">
        <v>0</v>
      </c>
      <c r="X7665" s="21" t="n">
        <v>0</v>
      </c>
      <c r="Y7665" s="21" t="n">
        <v>0</v>
      </c>
      <c r="Z7665" s="19">
        <f t="array" ref="Z7665:Z7686">MMULT(MINVERSE($D$7665:$Y$7686),$D$7077:$D$7098)</f>
        <v/>
      </c>
    </row>
    <row r="7666">
      <c r="D7666" s="21">
        <f>$B$7051</f>
        <v/>
      </c>
      <c r="E7666" s="21">
        <f>$B$7052</f>
        <v/>
      </c>
      <c r="F7666" s="21">
        <f>-$B$7051</f>
        <v/>
      </c>
      <c r="G7666" s="21">
        <f>$B$7053</f>
        <v/>
      </c>
      <c r="H7666" s="21" t="n">
        <v>0</v>
      </c>
      <c r="I7666" s="21" t="n">
        <v>0</v>
      </c>
      <c r="J7666" s="21" t="n">
        <v>0</v>
      </c>
      <c r="K7666" s="21" t="n">
        <v>0</v>
      </c>
      <c r="L7666" s="21" t="n">
        <v>0</v>
      </c>
      <c r="M7666" s="21" t="n">
        <v>0</v>
      </c>
      <c r="N7666" s="21" t="n">
        <v>0</v>
      </c>
      <c r="O7666" s="21" t="n">
        <v>0</v>
      </c>
      <c r="P7666" s="21" t="n">
        <v>0</v>
      </c>
      <c r="Q7666" s="21" t="n">
        <v>0</v>
      </c>
      <c r="R7666" s="21" t="n">
        <v>0</v>
      </c>
      <c r="S7666" s="21" t="n">
        <v>0</v>
      </c>
      <c r="T7666" s="21" t="n">
        <v>0</v>
      </c>
      <c r="U7666" s="21" t="n">
        <v>0</v>
      </c>
      <c r="V7666" s="21" t="n">
        <v>0</v>
      </c>
      <c r="W7666" s="21" t="n">
        <v>0</v>
      </c>
      <c r="X7666" s="21" t="n">
        <v>0</v>
      </c>
      <c r="Y7666" s="21" t="n">
        <v>0</v>
      </c>
      <c r="Z7666" s="19" t="n"/>
    </row>
    <row r="7667">
      <c r="D7667" s="21">
        <f>-$B$7050</f>
        <v/>
      </c>
      <c r="E7667" s="21">
        <f>-$B$7051</f>
        <v/>
      </c>
      <c r="F7667" s="21">
        <f>2*$B$7050+$D$7654</f>
        <v/>
      </c>
      <c r="G7667" s="21">
        <f>0</f>
        <v/>
      </c>
      <c r="H7667" s="21">
        <f>-$B$7050</f>
        <v/>
      </c>
      <c r="I7667" s="21">
        <f>$B$7051</f>
        <v/>
      </c>
      <c r="J7667" s="21" t="n">
        <v>0</v>
      </c>
      <c r="K7667" s="21" t="n">
        <v>0</v>
      </c>
      <c r="L7667" s="21" t="n">
        <v>0</v>
      </c>
      <c r="M7667" s="21" t="n">
        <v>0</v>
      </c>
      <c r="N7667" s="21" t="n">
        <v>0</v>
      </c>
      <c r="O7667" s="21" t="n">
        <v>0</v>
      </c>
      <c r="P7667" s="21" t="n">
        <v>0</v>
      </c>
      <c r="Q7667" s="21" t="n">
        <v>0</v>
      </c>
      <c r="R7667" s="21" t="n">
        <v>0</v>
      </c>
      <c r="S7667" s="21" t="n">
        <v>0</v>
      </c>
      <c r="T7667" s="21" t="n">
        <v>0</v>
      </c>
      <c r="U7667" s="21" t="n">
        <v>0</v>
      </c>
      <c r="V7667" s="21" t="n">
        <v>0</v>
      </c>
      <c r="W7667" s="21" t="n">
        <v>0</v>
      </c>
      <c r="X7667" s="21" t="n">
        <v>0</v>
      </c>
      <c r="Y7667" s="21" t="n">
        <v>0</v>
      </c>
      <c r="Z7667" s="19" t="n"/>
    </row>
    <row r="7668">
      <c r="D7668" s="21">
        <f>$B$7051</f>
        <v/>
      </c>
      <c r="E7668" s="21">
        <f>$B$7053</f>
        <v/>
      </c>
      <c r="F7668" s="21">
        <f>0</f>
        <v/>
      </c>
      <c r="G7668" s="21">
        <f>2*$B$7052</f>
        <v/>
      </c>
      <c r="H7668" s="21">
        <f>-$B$7051</f>
        <v/>
      </c>
      <c r="I7668" s="21">
        <f>$B$7053</f>
        <v/>
      </c>
      <c r="J7668" s="21" t="n">
        <v>0</v>
      </c>
      <c r="K7668" s="21" t="n">
        <v>0</v>
      </c>
      <c r="L7668" s="21" t="n">
        <v>0</v>
      </c>
      <c r="M7668" s="21" t="n">
        <v>0</v>
      </c>
      <c r="N7668" s="21" t="n">
        <v>0</v>
      </c>
      <c r="O7668" s="21" t="n">
        <v>0</v>
      </c>
      <c r="P7668" s="21" t="n">
        <v>0</v>
      </c>
      <c r="Q7668" s="21" t="n">
        <v>0</v>
      </c>
      <c r="R7668" s="21" t="n">
        <v>0</v>
      </c>
      <c r="S7668" s="21" t="n">
        <v>0</v>
      </c>
      <c r="T7668" s="21" t="n">
        <v>0</v>
      </c>
      <c r="U7668" s="21" t="n">
        <v>0</v>
      </c>
      <c r="V7668" s="21" t="n">
        <v>0</v>
      </c>
      <c r="W7668" s="21" t="n">
        <v>0</v>
      </c>
      <c r="X7668" s="21" t="n">
        <v>0</v>
      </c>
      <c r="Y7668" s="21" t="n">
        <v>0</v>
      </c>
      <c r="Z7668" s="19" t="n"/>
    </row>
    <row r="7669">
      <c r="D7669" s="21" t="n">
        <v>0</v>
      </c>
      <c r="E7669" s="21" t="n">
        <v>0</v>
      </c>
      <c r="F7669" s="21">
        <f>-$B$7050</f>
        <v/>
      </c>
      <c r="G7669" s="21">
        <f>-$B$7051</f>
        <v/>
      </c>
      <c r="H7669" s="21">
        <f>2*$B$7050+$D$7655</f>
        <v/>
      </c>
      <c r="I7669" s="21">
        <f>0</f>
        <v/>
      </c>
      <c r="J7669" s="21">
        <f>-$B$7050</f>
        <v/>
      </c>
      <c r="K7669" s="21">
        <f>$B$7051</f>
        <v/>
      </c>
      <c r="L7669" s="21" t="n">
        <v>0</v>
      </c>
      <c r="M7669" s="21" t="n">
        <v>0</v>
      </c>
      <c r="N7669" s="21" t="n">
        <v>0</v>
      </c>
      <c r="O7669" s="21" t="n">
        <v>0</v>
      </c>
      <c r="P7669" s="21" t="n">
        <v>0</v>
      </c>
      <c r="Q7669" s="21" t="n">
        <v>0</v>
      </c>
      <c r="R7669" s="21" t="n">
        <v>0</v>
      </c>
      <c r="S7669" s="21" t="n">
        <v>0</v>
      </c>
      <c r="T7669" s="21" t="n">
        <v>0</v>
      </c>
      <c r="U7669" s="21" t="n">
        <v>0</v>
      </c>
      <c r="V7669" s="21" t="n">
        <v>0</v>
      </c>
      <c r="W7669" s="21" t="n">
        <v>0</v>
      </c>
      <c r="X7669" s="21" t="n">
        <v>0</v>
      </c>
      <c r="Y7669" s="21" t="n">
        <v>0</v>
      </c>
      <c r="Z7669" s="19" t="n"/>
    </row>
    <row r="7670">
      <c r="D7670" s="21" t="n">
        <v>0</v>
      </c>
      <c r="E7670" s="21" t="n">
        <v>0</v>
      </c>
      <c r="F7670" s="21">
        <f>$B$7051</f>
        <v/>
      </c>
      <c r="G7670" s="21">
        <f>$B$7053</f>
        <v/>
      </c>
      <c r="H7670" s="21">
        <f>0</f>
        <v/>
      </c>
      <c r="I7670" s="21">
        <f>2*$B$7052</f>
        <v/>
      </c>
      <c r="J7670" s="21">
        <f>-$B$7051</f>
        <v/>
      </c>
      <c r="K7670" s="21">
        <f>$B$7053</f>
        <v/>
      </c>
      <c r="L7670" s="21" t="n">
        <v>0</v>
      </c>
      <c r="M7670" s="21" t="n">
        <v>0</v>
      </c>
      <c r="N7670" s="21" t="n">
        <v>0</v>
      </c>
      <c r="O7670" s="21" t="n">
        <v>0</v>
      </c>
      <c r="P7670" s="21" t="n">
        <v>0</v>
      </c>
      <c r="Q7670" s="21" t="n">
        <v>0</v>
      </c>
      <c r="R7670" s="21" t="n">
        <v>0</v>
      </c>
      <c r="S7670" s="21" t="n">
        <v>0</v>
      </c>
      <c r="T7670" s="21" t="n">
        <v>0</v>
      </c>
      <c r="U7670" s="21" t="n">
        <v>0</v>
      </c>
      <c r="V7670" s="21" t="n">
        <v>0</v>
      </c>
      <c r="W7670" s="21" t="n">
        <v>0</v>
      </c>
      <c r="X7670" s="21" t="n">
        <v>0</v>
      </c>
      <c r="Y7670" s="21" t="n">
        <v>0</v>
      </c>
      <c r="Z7670" s="19" t="n"/>
    </row>
    <row r="7671">
      <c r="D7671" s="21" t="n">
        <v>0</v>
      </c>
      <c r="E7671" s="21" t="n">
        <v>0</v>
      </c>
      <c r="F7671" s="21" t="n">
        <v>0</v>
      </c>
      <c r="G7671" s="21" t="n">
        <v>0</v>
      </c>
      <c r="H7671" s="21">
        <f>-$B$7050</f>
        <v/>
      </c>
      <c r="I7671" s="21">
        <f>-$B$7051</f>
        <v/>
      </c>
      <c r="J7671" s="21">
        <f>2*$B$7050+$D$7656</f>
        <v/>
      </c>
      <c r="K7671" s="21">
        <f>0</f>
        <v/>
      </c>
      <c r="L7671" s="21">
        <f>-$B$7050</f>
        <v/>
      </c>
      <c r="M7671" s="21">
        <f>$B$7051</f>
        <v/>
      </c>
      <c r="N7671" s="21" t="n">
        <v>0</v>
      </c>
      <c r="O7671" s="21" t="n">
        <v>0</v>
      </c>
      <c r="P7671" s="21" t="n">
        <v>0</v>
      </c>
      <c r="Q7671" s="21" t="n">
        <v>0</v>
      </c>
      <c r="R7671" s="21" t="n">
        <v>0</v>
      </c>
      <c r="S7671" s="21" t="n">
        <v>0</v>
      </c>
      <c r="T7671" s="21" t="n">
        <v>0</v>
      </c>
      <c r="U7671" s="21" t="n">
        <v>0</v>
      </c>
      <c r="V7671" s="21" t="n">
        <v>0</v>
      </c>
      <c r="W7671" s="21" t="n">
        <v>0</v>
      </c>
      <c r="X7671" s="21" t="n">
        <v>0</v>
      </c>
      <c r="Y7671" s="21" t="n">
        <v>0</v>
      </c>
      <c r="Z7671" s="19" t="n"/>
    </row>
    <row r="7672">
      <c r="D7672" s="21" t="n">
        <v>0</v>
      </c>
      <c r="E7672" s="21" t="n">
        <v>0</v>
      </c>
      <c r="F7672" s="21" t="n">
        <v>0</v>
      </c>
      <c r="G7672" s="21" t="n">
        <v>0</v>
      </c>
      <c r="H7672" s="21">
        <f>$B$7051</f>
        <v/>
      </c>
      <c r="I7672" s="21">
        <f>$B$7053</f>
        <v/>
      </c>
      <c r="J7672" s="21">
        <f>0</f>
        <v/>
      </c>
      <c r="K7672" s="21">
        <f>2*$B$7052</f>
        <v/>
      </c>
      <c r="L7672" s="21">
        <f>-$B$7051</f>
        <v/>
      </c>
      <c r="M7672" s="21">
        <f>$B$7053</f>
        <v/>
      </c>
      <c r="N7672" s="21" t="n">
        <v>0</v>
      </c>
      <c r="O7672" s="21" t="n">
        <v>0</v>
      </c>
      <c r="P7672" s="21" t="n">
        <v>0</v>
      </c>
      <c r="Q7672" s="21" t="n">
        <v>0</v>
      </c>
      <c r="R7672" s="21" t="n">
        <v>0</v>
      </c>
      <c r="S7672" s="21" t="n">
        <v>0</v>
      </c>
      <c r="T7672" s="21" t="n">
        <v>0</v>
      </c>
      <c r="U7672" s="21" t="n">
        <v>0</v>
      </c>
      <c r="V7672" s="21" t="n">
        <v>0</v>
      </c>
      <c r="W7672" s="21" t="n">
        <v>0</v>
      </c>
      <c r="X7672" s="21" t="n">
        <v>0</v>
      </c>
      <c r="Y7672" s="21" t="n">
        <v>0</v>
      </c>
      <c r="Z7672" s="19" t="n"/>
    </row>
    <row r="7673">
      <c r="D7673" s="21" t="n">
        <v>0</v>
      </c>
      <c r="E7673" s="21" t="n">
        <v>0</v>
      </c>
      <c r="F7673" s="21" t="n">
        <v>0</v>
      </c>
      <c r="G7673" s="21" t="n">
        <v>0</v>
      </c>
      <c r="H7673" s="21" t="n">
        <v>0</v>
      </c>
      <c r="I7673" s="21" t="n">
        <v>0</v>
      </c>
      <c r="J7673" s="21">
        <f>-$B$7050</f>
        <v/>
      </c>
      <c r="K7673" s="21">
        <f>-$B$7051</f>
        <v/>
      </c>
      <c r="L7673" s="21">
        <f>2*$B$7050+$D$7657</f>
        <v/>
      </c>
      <c r="M7673" s="21">
        <f>0</f>
        <v/>
      </c>
      <c r="N7673" s="21">
        <f>-$B$7050</f>
        <v/>
      </c>
      <c r="O7673" s="21">
        <f>$B$7051</f>
        <v/>
      </c>
      <c r="P7673" s="21" t="n">
        <v>0</v>
      </c>
      <c r="Q7673" s="21" t="n">
        <v>0</v>
      </c>
      <c r="R7673" s="21" t="n">
        <v>0</v>
      </c>
      <c r="S7673" s="21" t="n">
        <v>0</v>
      </c>
      <c r="T7673" s="21" t="n">
        <v>0</v>
      </c>
      <c r="U7673" s="21" t="n">
        <v>0</v>
      </c>
      <c r="V7673" s="21" t="n">
        <v>0</v>
      </c>
      <c r="W7673" s="21" t="n">
        <v>0</v>
      </c>
      <c r="X7673" s="21" t="n">
        <v>0</v>
      </c>
      <c r="Y7673" s="21" t="n">
        <v>0</v>
      </c>
      <c r="Z7673" s="19" t="n"/>
    </row>
    <row r="7674">
      <c r="D7674" s="21" t="n">
        <v>0</v>
      </c>
      <c r="E7674" s="21" t="n">
        <v>0</v>
      </c>
      <c r="F7674" s="21" t="n">
        <v>0</v>
      </c>
      <c r="G7674" s="21" t="n">
        <v>0</v>
      </c>
      <c r="H7674" s="21" t="n">
        <v>0</v>
      </c>
      <c r="I7674" s="21" t="n">
        <v>0</v>
      </c>
      <c r="J7674" s="21">
        <f>$B$7051</f>
        <v/>
      </c>
      <c r="K7674" s="21">
        <f>$B$7053</f>
        <v/>
      </c>
      <c r="L7674" s="21">
        <f>0</f>
        <v/>
      </c>
      <c r="M7674" s="21">
        <f>2*$B$7052</f>
        <v/>
      </c>
      <c r="N7674" s="21">
        <f>-$B$7051</f>
        <v/>
      </c>
      <c r="O7674" s="21">
        <f>$B$7053</f>
        <v/>
      </c>
      <c r="P7674" s="21" t="n">
        <v>0</v>
      </c>
      <c r="Q7674" s="21" t="n">
        <v>0</v>
      </c>
      <c r="R7674" s="21" t="n">
        <v>0</v>
      </c>
      <c r="S7674" s="21" t="n">
        <v>0</v>
      </c>
      <c r="T7674" s="21" t="n">
        <v>0</v>
      </c>
      <c r="U7674" s="21" t="n">
        <v>0</v>
      </c>
      <c r="V7674" s="21" t="n">
        <v>0</v>
      </c>
      <c r="W7674" s="21" t="n">
        <v>0</v>
      </c>
      <c r="X7674" s="21" t="n">
        <v>0</v>
      </c>
      <c r="Y7674" s="21" t="n">
        <v>0</v>
      </c>
      <c r="Z7674" s="19" t="n"/>
    </row>
    <row r="7675">
      <c r="D7675" s="21" t="n">
        <v>0</v>
      </c>
      <c r="E7675" s="21" t="n">
        <v>0</v>
      </c>
      <c r="F7675" s="21" t="n">
        <v>0</v>
      </c>
      <c r="G7675" s="21" t="n">
        <v>0</v>
      </c>
      <c r="H7675" s="21" t="n">
        <v>0</v>
      </c>
      <c r="I7675" s="21" t="n">
        <v>0</v>
      </c>
      <c r="J7675" s="21" t="n">
        <v>0</v>
      </c>
      <c r="K7675" s="21" t="n">
        <v>0</v>
      </c>
      <c r="L7675" s="21">
        <f>-$B$7050</f>
        <v/>
      </c>
      <c r="M7675" s="21">
        <f>-$B$7051</f>
        <v/>
      </c>
      <c r="N7675" s="21">
        <f>2*$B$7050+$D$7658</f>
        <v/>
      </c>
      <c r="O7675" s="21">
        <f>0</f>
        <v/>
      </c>
      <c r="P7675" s="21">
        <f>-$B$7050</f>
        <v/>
      </c>
      <c r="Q7675" s="21">
        <f>$B$7051</f>
        <v/>
      </c>
      <c r="R7675" s="21" t="n">
        <v>0</v>
      </c>
      <c r="S7675" s="21" t="n">
        <v>0</v>
      </c>
      <c r="T7675" s="21" t="n">
        <v>0</v>
      </c>
      <c r="U7675" s="21" t="n">
        <v>0</v>
      </c>
      <c r="V7675" s="21" t="n">
        <v>0</v>
      </c>
      <c r="W7675" s="21" t="n">
        <v>0</v>
      </c>
      <c r="X7675" s="21" t="n">
        <v>0</v>
      </c>
      <c r="Y7675" s="21" t="n">
        <v>0</v>
      </c>
      <c r="Z7675" s="19" t="n"/>
    </row>
    <row r="7676">
      <c r="D7676" s="21" t="n">
        <v>0</v>
      </c>
      <c r="E7676" s="21" t="n">
        <v>0</v>
      </c>
      <c r="F7676" s="21" t="n">
        <v>0</v>
      </c>
      <c r="G7676" s="21" t="n">
        <v>0</v>
      </c>
      <c r="H7676" s="21" t="n">
        <v>0</v>
      </c>
      <c r="I7676" s="21" t="n">
        <v>0</v>
      </c>
      <c r="J7676" s="21" t="n">
        <v>0</v>
      </c>
      <c r="K7676" s="21" t="n">
        <v>0</v>
      </c>
      <c r="L7676" s="21">
        <f>$B$7051</f>
        <v/>
      </c>
      <c r="M7676" s="21">
        <f>$B$7053</f>
        <v/>
      </c>
      <c r="N7676" s="21">
        <f>0</f>
        <v/>
      </c>
      <c r="O7676" s="21">
        <f>2*$B$7052</f>
        <v/>
      </c>
      <c r="P7676" s="21">
        <f>-$B$7051</f>
        <v/>
      </c>
      <c r="Q7676" s="21">
        <f>$B$7053</f>
        <v/>
      </c>
      <c r="R7676" s="21" t="n">
        <v>0</v>
      </c>
      <c r="S7676" s="21" t="n">
        <v>0</v>
      </c>
      <c r="T7676" s="21" t="n">
        <v>0</v>
      </c>
      <c r="U7676" s="21" t="n">
        <v>0</v>
      </c>
      <c r="V7676" s="21" t="n">
        <v>0</v>
      </c>
      <c r="W7676" s="21" t="n">
        <v>0</v>
      </c>
      <c r="X7676" s="21" t="n">
        <v>0</v>
      </c>
      <c r="Y7676" s="21" t="n">
        <v>0</v>
      </c>
      <c r="Z7676" s="19" t="n"/>
    </row>
    <row r="7677">
      <c r="D7677" s="21" t="n">
        <v>0</v>
      </c>
      <c r="E7677" s="21" t="n">
        <v>0</v>
      </c>
      <c r="F7677" s="21" t="n">
        <v>0</v>
      </c>
      <c r="G7677" s="21" t="n">
        <v>0</v>
      </c>
      <c r="H7677" s="21" t="n">
        <v>0</v>
      </c>
      <c r="I7677" s="21" t="n">
        <v>0</v>
      </c>
      <c r="J7677" s="21" t="n">
        <v>0</v>
      </c>
      <c r="K7677" s="21" t="n">
        <v>0</v>
      </c>
      <c r="L7677" s="21" t="n">
        <v>0</v>
      </c>
      <c r="M7677" s="21" t="n">
        <v>0</v>
      </c>
      <c r="N7677" s="21">
        <f>-$B$7050</f>
        <v/>
      </c>
      <c r="O7677" s="21">
        <f>-$B$7051</f>
        <v/>
      </c>
      <c r="P7677" s="21">
        <f>2*$B$7050+$D$7659</f>
        <v/>
      </c>
      <c r="Q7677" s="21">
        <f>0</f>
        <v/>
      </c>
      <c r="R7677" s="21">
        <f>-$B$7050</f>
        <v/>
      </c>
      <c r="S7677" s="21">
        <f>$B$7051</f>
        <v/>
      </c>
      <c r="T7677" s="21" t="n">
        <v>0</v>
      </c>
      <c r="U7677" s="21" t="n">
        <v>0</v>
      </c>
      <c r="V7677" s="21" t="n">
        <v>0</v>
      </c>
      <c r="W7677" s="21" t="n">
        <v>0</v>
      </c>
      <c r="X7677" s="21" t="n">
        <v>0</v>
      </c>
      <c r="Y7677" s="21" t="n">
        <v>0</v>
      </c>
      <c r="Z7677" s="19" t="n"/>
    </row>
    <row r="7678">
      <c r="D7678" s="21" t="n">
        <v>0</v>
      </c>
      <c r="E7678" s="21" t="n">
        <v>0</v>
      </c>
      <c r="F7678" s="21" t="n">
        <v>0</v>
      </c>
      <c r="G7678" s="21" t="n">
        <v>0</v>
      </c>
      <c r="H7678" s="21" t="n">
        <v>0</v>
      </c>
      <c r="I7678" s="21" t="n">
        <v>0</v>
      </c>
      <c r="J7678" s="21" t="n">
        <v>0</v>
      </c>
      <c r="K7678" s="21" t="n">
        <v>0</v>
      </c>
      <c r="L7678" s="21" t="n">
        <v>0</v>
      </c>
      <c r="M7678" s="21" t="n">
        <v>0</v>
      </c>
      <c r="N7678" s="21">
        <f>$B$7051</f>
        <v/>
      </c>
      <c r="O7678" s="21">
        <f>$B$7053</f>
        <v/>
      </c>
      <c r="P7678" s="21">
        <f>0</f>
        <v/>
      </c>
      <c r="Q7678" s="21">
        <f>2*$B$7052</f>
        <v/>
      </c>
      <c r="R7678" s="21">
        <f>-$B$7051</f>
        <v/>
      </c>
      <c r="S7678" s="21">
        <f>$B$7053</f>
        <v/>
      </c>
      <c r="T7678" s="21" t="n">
        <v>0</v>
      </c>
      <c r="U7678" s="21" t="n">
        <v>0</v>
      </c>
      <c r="V7678" s="21" t="n">
        <v>0</v>
      </c>
      <c r="W7678" s="21" t="n">
        <v>0</v>
      </c>
      <c r="X7678" s="21" t="n">
        <v>0</v>
      </c>
      <c r="Y7678" s="21" t="n">
        <v>0</v>
      </c>
      <c r="Z7678" s="19" t="n"/>
    </row>
    <row r="7679">
      <c r="D7679" s="21" t="n">
        <v>0</v>
      </c>
      <c r="E7679" s="21" t="n">
        <v>0</v>
      </c>
      <c r="F7679" s="21" t="n">
        <v>0</v>
      </c>
      <c r="G7679" s="21" t="n">
        <v>0</v>
      </c>
      <c r="H7679" s="21" t="n">
        <v>0</v>
      </c>
      <c r="I7679" s="21" t="n">
        <v>0</v>
      </c>
      <c r="J7679" s="21" t="n">
        <v>0</v>
      </c>
      <c r="K7679" s="21" t="n">
        <v>0</v>
      </c>
      <c r="L7679" s="21" t="n">
        <v>0</v>
      </c>
      <c r="M7679" s="21" t="n">
        <v>0</v>
      </c>
      <c r="N7679" s="21" t="n">
        <v>0</v>
      </c>
      <c r="O7679" s="21" t="n">
        <v>0</v>
      </c>
      <c r="P7679" s="21">
        <f>-$B$7050</f>
        <v/>
      </c>
      <c r="Q7679" s="21">
        <f>-$B$7051</f>
        <v/>
      </c>
      <c r="R7679" s="21">
        <f>2*$B$7050+$D$7660</f>
        <v/>
      </c>
      <c r="S7679" s="21">
        <f>0</f>
        <v/>
      </c>
      <c r="T7679" s="21">
        <f>-$B$7050</f>
        <v/>
      </c>
      <c r="U7679" s="21">
        <f>$B$7051</f>
        <v/>
      </c>
      <c r="V7679" s="21" t="n">
        <v>0</v>
      </c>
      <c r="W7679" s="21" t="n">
        <v>0</v>
      </c>
      <c r="X7679" s="21" t="n">
        <v>0</v>
      </c>
      <c r="Y7679" s="21" t="n">
        <v>0</v>
      </c>
      <c r="Z7679" s="19" t="n"/>
    </row>
    <row r="7680">
      <c r="D7680" s="21" t="n">
        <v>0</v>
      </c>
      <c r="E7680" s="21" t="n">
        <v>0</v>
      </c>
      <c r="F7680" s="21" t="n">
        <v>0</v>
      </c>
      <c r="G7680" s="21" t="n">
        <v>0</v>
      </c>
      <c r="H7680" s="21" t="n">
        <v>0</v>
      </c>
      <c r="I7680" s="21" t="n">
        <v>0</v>
      </c>
      <c r="J7680" s="21" t="n">
        <v>0</v>
      </c>
      <c r="K7680" s="21" t="n">
        <v>0</v>
      </c>
      <c r="L7680" s="21" t="n">
        <v>0</v>
      </c>
      <c r="M7680" s="21" t="n">
        <v>0</v>
      </c>
      <c r="N7680" s="21" t="n">
        <v>0</v>
      </c>
      <c r="O7680" s="21" t="n">
        <v>0</v>
      </c>
      <c r="P7680" s="21">
        <f>$B$7051</f>
        <v/>
      </c>
      <c r="Q7680" s="21">
        <f>$B$7053</f>
        <v/>
      </c>
      <c r="R7680" s="21">
        <f>0</f>
        <v/>
      </c>
      <c r="S7680" s="21">
        <f>2*$B$7052</f>
        <v/>
      </c>
      <c r="T7680" s="21">
        <f>-$B$7051</f>
        <v/>
      </c>
      <c r="U7680" s="21">
        <f>$B$7053</f>
        <v/>
      </c>
      <c r="V7680" s="21" t="n">
        <v>0</v>
      </c>
      <c r="W7680" s="21" t="n">
        <v>0</v>
      </c>
      <c r="X7680" s="21" t="n">
        <v>0</v>
      </c>
      <c r="Y7680" s="21" t="n">
        <v>0</v>
      </c>
      <c r="Z7680" s="19" t="n"/>
    </row>
    <row r="7681">
      <c r="D7681" s="21" t="n">
        <v>0</v>
      </c>
      <c r="E7681" s="21" t="n">
        <v>0</v>
      </c>
      <c r="F7681" s="21" t="n">
        <v>0</v>
      </c>
      <c r="G7681" s="21" t="n">
        <v>0</v>
      </c>
      <c r="H7681" s="21" t="n">
        <v>0</v>
      </c>
      <c r="I7681" s="21" t="n">
        <v>0</v>
      </c>
      <c r="J7681" s="21" t="n">
        <v>0</v>
      </c>
      <c r="K7681" s="21" t="n">
        <v>0</v>
      </c>
      <c r="L7681" s="21" t="n">
        <v>0</v>
      </c>
      <c r="M7681" s="21" t="n">
        <v>0</v>
      </c>
      <c r="N7681" s="21" t="n">
        <v>0</v>
      </c>
      <c r="O7681" s="21" t="n">
        <v>0</v>
      </c>
      <c r="P7681" s="21" t="n">
        <v>0</v>
      </c>
      <c r="Q7681" s="21" t="n">
        <v>0</v>
      </c>
      <c r="R7681" s="21">
        <f>-$B$7050</f>
        <v/>
      </c>
      <c r="S7681" s="21">
        <f>-$B$7051</f>
        <v/>
      </c>
      <c r="T7681" s="21">
        <f>2*$B$7050+$D$7661</f>
        <v/>
      </c>
      <c r="U7681" s="21">
        <f>0</f>
        <v/>
      </c>
      <c r="V7681" s="21">
        <f>-$B$7050</f>
        <v/>
      </c>
      <c r="W7681" s="21">
        <f>$B$7051</f>
        <v/>
      </c>
      <c r="X7681" s="21" t="n">
        <v>0</v>
      </c>
      <c r="Y7681" s="21" t="n">
        <v>0</v>
      </c>
      <c r="Z7681" s="19" t="n"/>
    </row>
    <row r="7682">
      <c r="D7682" s="21" t="n">
        <v>0</v>
      </c>
      <c r="E7682" s="21" t="n">
        <v>0</v>
      </c>
      <c r="F7682" s="21" t="n">
        <v>0</v>
      </c>
      <c r="G7682" s="21" t="n">
        <v>0</v>
      </c>
      <c r="H7682" s="21" t="n">
        <v>0</v>
      </c>
      <c r="I7682" s="21" t="n">
        <v>0</v>
      </c>
      <c r="J7682" s="21" t="n">
        <v>0</v>
      </c>
      <c r="K7682" s="21" t="n">
        <v>0</v>
      </c>
      <c r="L7682" s="21" t="n">
        <v>0</v>
      </c>
      <c r="M7682" s="21" t="n">
        <v>0</v>
      </c>
      <c r="N7682" s="21" t="n">
        <v>0</v>
      </c>
      <c r="O7682" s="21" t="n">
        <v>0</v>
      </c>
      <c r="P7682" s="21" t="n">
        <v>0</v>
      </c>
      <c r="Q7682" s="21" t="n">
        <v>0</v>
      </c>
      <c r="R7682" s="21">
        <f>$B$7051</f>
        <v/>
      </c>
      <c r="S7682" s="21">
        <f>$B$7053</f>
        <v/>
      </c>
      <c r="T7682" s="21">
        <f>0</f>
        <v/>
      </c>
      <c r="U7682" s="21">
        <f>2*$B$7052</f>
        <v/>
      </c>
      <c r="V7682" s="21">
        <f>-$B$7051</f>
        <v/>
      </c>
      <c r="W7682" s="21">
        <f>$B$7053</f>
        <v/>
      </c>
      <c r="X7682" s="21" t="n">
        <v>0</v>
      </c>
      <c r="Y7682" s="21" t="n">
        <v>0</v>
      </c>
      <c r="Z7682" s="19" t="n"/>
    </row>
    <row r="7683">
      <c r="D7683" s="21" t="n">
        <v>0</v>
      </c>
      <c r="E7683" s="21" t="n">
        <v>0</v>
      </c>
      <c r="F7683" s="21" t="n">
        <v>0</v>
      </c>
      <c r="G7683" s="21" t="n">
        <v>0</v>
      </c>
      <c r="H7683" s="21" t="n">
        <v>0</v>
      </c>
      <c r="I7683" s="21" t="n">
        <v>0</v>
      </c>
      <c r="J7683" s="21" t="n">
        <v>0</v>
      </c>
      <c r="K7683" s="21" t="n">
        <v>0</v>
      </c>
      <c r="L7683" s="21" t="n">
        <v>0</v>
      </c>
      <c r="M7683" s="21" t="n">
        <v>0</v>
      </c>
      <c r="N7683" s="21" t="n">
        <v>0</v>
      </c>
      <c r="O7683" s="21" t="n">
        <v>0</v>
      </c>
      <c r="P7683" s="21" t="n">
        <v>0</v>
      </c>
      <c r="Q7683" s="21" t="n">
        <v>0</v>
      </c>
      <c r="R7683" s="21" t="n">
        <v>0</v>
      </c>
      <c r="S7683" s="21" t="n">
        <v>0</v>
      </c>
      <c r="T7683" s="21">
        <f>-$B$7050</f>
        <v/>
      </c>
      <c r="U7683" s="21">
        <f>-$B$7051</f>
        <v/>
      </c>
      <c r="V7683" s="21">
        <f>2*$B$7050+$D$7662</f>
        <v/>
      </c>
      <c r="W7683" s="21">
        <f>0</f>
        <v/>
      </c>
      <c r="X7683" s="21">
        <f>-$B$7050</f>
        <v/>
      </c>
      <c r="Y7683" s="21">
        <f>$B$7051</f>
        <v/>
      </c>
      <c r="Z7683" s="19" t="n"/>
    </row>
    <row r="7684">
      <c r="D7684" s="21" t="n">
        <v>0</v>
      </c>
      <c r="E7684" s="21" t="n">
        <v>0</v>
      </c>
      <c r="F7684" s="21" t="n">
        <v>0</v>
      </c>
      <c r="G7684" s="21" t="n">
        <v>0</v>
      </c>
      <c r="H7684" s="21" t="n">
        <v>0</v>
      </c>
      <c r="I7684" s="21" t="n">
        <v>0</v>
      </c>
      <c r="J7684" s="21" t="n">
        <v>0</v>
      </c>
      <c r="K7684" s="21" t="n">
        <v>0</v>
      </c>
      <c r="L7684" s="21" t="n">
        <v>0</v>
      </c>
      <c r="M7684" s="21" t="n">
        <v>0</v>
      </c>
      <c r="N7684" s="21" t="n">
        <v>0</v>
      </c>
      <c r="O7684" s="21" t="n">
        <v>0</v>
      </c>
      <c r="P7684" s="21" t="n">
        <v>0</v>
      </c>
      <c r="Q7684" s="21" t="n">
        <v>0</v>
      </c>
      <c r="R7684" s="21" t="n">
        <v>0</v>
      </c>
      <c r="S7684" s="21" t="n">
        <v>0</v>
      </c>
      <c r="T7684" s="21">
        <f>$B$7051</f>
        <v/>
      </c>
      <c r="U7684" s="21">
        <f>$B$7053</f>
        <v/>
      </c>
      <c r="V7684" s="21">
        <f>0</f>
        <v/>
      </c>
      <c r="W7684" s="21">
        <f>2*$B$7052</f>
        <v/>
      </c>
      <c r="X7684" s="21">
        <f>-$B$7051</f>
        <v/>
      </c>
      <c r="Y7684" s="21">
        <f>$B$7053</f>
        <v/>
      </c>
      <c r="Z7684" s="19" t="n"/>
    </row>
    <row r="7685">
      <c r="D7685" s="21" t="n">
        <v>0</v>
      </c>
      <c r="E7685" s="21" t="n">
        <v>0</v>
      </c>
      <c r="F7685" s="21" t="n">
        <v>0</v>
      </c>
      <c r="G7685" s="21" t="n">
        <v>0</v>
      </c>
      <c r="H7685" s="21" t="n">
        <v>0</v>
      </c>
      <c r="I7685" s="21" t="n">
        <v>0</v>
      </c>
      <c r="J7685" s="21" t="n">
        <v>0</v>
      </c>
      <c r="K7685" s="21" t="n">
        <v>0</v>
      </c>
      <c r="L7685" s="21" t="n">
        <v>0</v>
      </c>
      <c r="M7685" s="21" t="n">
        <v>0</v>
      </c>
      <c r="N7685" s="21" t="n">
        <v>0</v>
      </c>
      <c r="O7685" s="21" t="n">
        <v>0</v>
      </c>
      <c r="P7685" s="21" t="n">
        <v>0</v>
      </c>
      <c r="Q7685" s="21" t="n">
        <v>0</v>
      </c>
      <c r="R7685" s="21" t="n">
        <v>0</v>
      </c>
      <c r="S7685" s="21" t="n">
        <v>0</v>
      </c>
      <c r="T7685" s="21" t="n">
        <v>0</v>
      </c>
      <c r="U7685" s="21" t="n">
        <v>0</v>
      </c>
      <c r="V7685" s="21">
        <f>-$B$7050</f>
        <v/>
      </c>
      <c r="W7685" s="21">
        <f>-$B$7051</f>
        <v/>
      </c>
      <c r="X7685" s="21">
        <f>$B$7050+$D$7663</f>
        <v/>
      </c>
      <c r="Y7685" s="21">
        <f>-$B$7051</f>
        <v/>
      </c>
      <c r="Z7685" s="19" t="n"/>
    </row>
    <row r="7686">
      <c r="D7686" s="21" t="n">
        <v>0</v>
      </c>
      <c r="E7686" s="21" t="n">
        <v>0</v>
      </c>
      <c r="F7686" s="21" t="n">
        <v>0</v>
      </c>
      <c r="G7686" s="21" t="n">
        <v>0</v>
      </c>
      <c r="H7686" s="21" t="n">
        <v>0</v>
      </c>
      <c r="I7686" s="21" t="n">
        <v>0</v>
      </c>
      <c r="J7686" s="21" t="n">
        <v>0</v>
      </c>
      <c r="K7686" s="21" t="n">
        <v>0</v>
      </c>
      <c r="L7686" s="21" t="n">
        <v>0</v>
      </c>
      <c r="M7686" s="21" t="n">
        <v>0</v>
      </c>
      <c r="N7686" s="21" t="n">
        <v>0</v>
      </c>
      <c r="O7686" s="21" t="n">
        <v>0</v>
      </c>
      <c r="P7686" s="21" t="n">
        <v>0</v>
      </c>
      <c r="Q7686" s="21" t="n">
        <v>0</v>
      </c>
      <c r="R7686" s="21" t="n">
        <v>0</v>
      </c>
      <c r="S7686" s="21" t="n">
        <v>0</v>
      </c>
      <c r="T7686" s="21" t="n">
        <v>0</v>
      </c>
      <c r="U7686" s="21" t="n">
        <v>0</v>
      </c>
      <c r="V7686" s="21">
        <f>$B$7051</f>
        <v/>
      </c>
      <c r="W7686" s="21">
        <f>$B$7053</f>
        <v/>
      </c>
      <c r="X7686" s="21">
        <f>-$B$7051</f>
        <v/>
      </c>
      <c r="Y7686" s="21">
        <f>$B$7052</f>
        <v/>
      </c>
      <c r="Z7686" s="19" t="n"/>
    </row>
    <row r="7688">
      <c r="A7688" s="8" t="inlineStr">
        <is>
          <t>gen 17</t>
        </is>
      </c>
    </row>
    <row r="7689">
      <c r="D7689" s="19">
        <f>IF(ABS(IF(ABS($E$7653)&gt;0.000000001,$E$7653,0.000000001))=0,0,IF($E$7065&lt;=$B$7059,0,IF(ABS(IF(ABS($E$7653)&gt;0.000000001,$E$7653,0.000000001))&gt;=8*$B$7061,$H$7065,0.5*$H$7065*(ABS(IF(ABS($E$7653)&gt;0.000000001,$E$7653,0.000000001))/$B$7061)^(1/3)))/ABS(IF(ABS($E$7653)&gt;0.000000001,$E$7653,0.000000001))*$I$7065)</f>
        <v/>
      </c>
      <c r="E7689" s="19">
        <f>0.5*$E$7653+0.5*$Z$7701</f>
        <v/>
      </c>
      <c r="F7689" s="19">
        <f>$Z$7702</f>
        <v/>
      </c>
    </row>
    <row r="7690">
      <c r="D7690" s="19">
        <f>IF(ABS(IF(ABS($E$7654)&gt;0.000000001,$E$7654,0.000000001))=0,0,IF($E$7066&lt;=$B$7059,0,IF(ABS(IF(ABS($E$7654)&gt;0.000000001,$E$7654,0.000000001))&gt;=8*$B$7061,$H$7066,0.5*$H$7066*(ABS(IF(ABS($E$7654)&gt;0.000000001,$E$7654,0.000000001))/$B$7061)^(1/3)))/ABS(IF(ABS($E$7654)&gt;0.000000001,$E$7654,0.000000001))*$I$7066)</f>
        <v/>
      </c>
      <c r="E7690" s="19">
        <f>0.5*$E$7654+0.5*$Z$7703</f>
        <v/>
      </c>
      <c r="F7690" s="19">
        <f>$Z$7704</f>
        <v/>
      </c>
    </row>
    <row r="7691">
      <c r="D7691" s="19">
        <f>IF(ABS(IF(ABS($E$7655)&gt;0.000000001,$E$7655,0.000000001))=0,0,IF($E$7067&lt;=$B$7059,0,IF(ABS(IF(ABS($E$7655)&gt;0.000000001,$E$7655,0.000000001))&gt;=8*$B$7061,$H$7067,0.5*$H$7067*(ABS(IF(ABS($E$7655)&gt;0.000000001,$E$7655,0.000000001))/$B$7061)^(1/3)))/ABS(IF(ABS($E$7655)&gt;0.000000001,$E$7655,0.000000001))*$I$7067)</f>
        <v/>
      </c>
      <c r="E7691" s="19">
        <f>0.5*$E$7655+0.5*$Z$7705</f>
        <v/>
      </c>
      <c r="F7691" s="19">
        <f>$Z$7706</f>
        <v/>
      </c>
    </row>
    <row r="7692">
      <c r="D7692" s="19">
        <f>IF(ABS(IF(ABS($E$7656)&gt;0.000000001,$E$7656,0.000000001))=0,0,IF($E$7068&lt;=$B$7059,0,IF(ABS(IF(ABS($E$7656)&gt;0.000000001,$E$7656,0.000000001))&gt;=8*$B$7061,$H$7068,0.5*$H$7068*(ABS(IF(ABS($E$7656)&gt;0.000000001,$E$7656,0.000000001))/$B$7061)^(1/3)))/ABS(IF(ABS($E$7656)&gt;0.000000001,$E$7656,0.000000001))*$I$7068)</f>
        <v/>
      </c>
      <c r="E7692" s="19">
        <f>0.5*$E$7656+0.5*$Z$7707</f>
        <v/>
      </c>
      <c r="F7692" s="19">
        <f>$Z$7708</f>
        <v/>
      </c>
    </row>
    <row r="7693">
      <c r="D7693" s="19">
        <f>IF(ABS(IF(ABS($E$7657)&gt;0.000000001,$E$7657,0.000000001))=0,0,IF($E$7069&lt;=$B$7059,0,IF(ABS(IF(ABS($E$7657)&gt;0.000000001,$E$7657,0.000000001))&gt;=8*$B$7061,$H$7069,0.5*$H$7069*(ABS(IF(ABS($E$7657)&gt;0.000000001,$E$7657,0.000000001))/$B$7061)^(1/3)))/ABS(IF(ABS($E$7657)&gt;0.000000001,$E$7657,0.000000001))*$I$7069)</f>
        <v/>
      </c>
      <c r="E7693" s="19">
        <f>0.5*$E$7657+0.5*$Z$7709</f>
        <v/>
      </c>
      <c r="F7693" s="19">
        <f>$Z$7710</f>
        <v/>
      </c>
    </row>
    <row r="7694">
      <c r="D7694" s="19">
        <f>IF(ABS(IF(ABS($E$7658)&gt;0.000000001,$E$7658,0.000000001))=0,0,IF($E$7070&lt;=$B$7059,0,IF(ABS(IF(ABS($E$7658)&gt;0.000000001,$E$7658,0.000000001))&gt;=8*$B$7061,$H$7070,0.5*$H$7070*(ABS(IF(ABS($E$7658)&gt;0.000000001,$E$7658,0.000000001))/$B$7061)^(1/3)))/ABS(IF(ABS($E$7658)&gt;0.000000001,$E$7658,0.000000001))*$I$7070)</f>
        <v/>
      </c>
      <c r="E7694" s="19">
        <f>0.5*$E$7658+0.5*$Z$7711</f>
        <v/>
      </c>
      <c r="F7694" s="19">
        <f>$Z$7712</f>
        <v/>
      </c>
    </row>
    <row r="7695">
      <c r="D7695" s="19">
        <f>IF(ABS(IF(ABS($E$7659)&gt;0.000000001,$E$7659,0.000000001))=0,0,IF($E$7071&lt;=$B$7059,0,IF(ABS(IF(ABS($E$7659)&gt;0.000000001,$E$7659,0.000000001))&gt;=8*$B$7061,$H$7071,0.5*$H$7071*(ABS(IF(ABS($E$7659)&gt;0.000000001,$E$7659,0.000000001))/$B$7061)^(1/3)))/ABS(IF(ABS($E$7659)&gt;0.000000001,$E$7659,0.000000001))*$I$7071)</f>
        <v/>
      </c>
      <c r="E7695" s="19">
        <f>0.5*$E$7659+0.5*$Z$7713</f>
        <v/>
      </c>
      <c r="F7695" s="19">
        <f>$Z$7714</f>
        <v/>
      </c>
    </row>
    <row r="7696">
      <c r="D7696" s="19">
        <f>IF(ABS(IF(ABS($E$7660)&gt;0.000000001,$E$7660,0.000000001))=0,0,IF($E$7072&lt;=$B$7059,0,IF(ABS(IF(ABS($E$7660)&gt;0.000000001,$E$7660,0.000000001))&gt;=8*$B$7061,$H$7072,0.5*$H$7072*(ABS(IF(ABS($E$7660)&gt;0.000000001,$E$7660,0.000000001))/$B$7061)^(1/3)))/ABS(IF(ABS($E$7660)&gt;0.000000001,$E$7660,0.000000001))*$I$7072)</f>
        <v/>
      </c>
      <c r="E7696" s="19">
        <f>0.5*$E$7660+0.5*$Z$7715</f>
        <v/>
      </c>
      <c r="F7696" s="19">
        <f>$Z$7716</f>
        <v/>
      </c>
    </row>
    <row r="7697">
      <c r="D7697" s="19">
        <f>IF(ABS(IF(ABS($E$7661)&gt;0.000000001,$E$7661,0.000000001))=0,0,IF($E$7073&lt;=$B$7059,0,IF(ABS(IF(ABS($E$7661)&gt;0.000000001,$E$7661,0.000000001))&gt;=8*$B$7061,$H$7073,0.5*$H$7073*(ABS(IF(ABS($E$7661)&gt;0.000000001,$E$7661,0.000000001))/$B$7061)^(1/3)))/ABS(IF(ABS($E$7661)&gt;0.000000001,$E$7661,0.000000001))*$I$7073)</f>
        <v/>
      </c>
      <c r="E7697" s="19">
        <f>0.5*$E$7661+0.5*$Z$7717</f>
        <v/>
      </c>
      <c r="F7697" s="19">
        <f>$Z$7718</f>
        <v/>
      </c>
    </row>
    <row r="7698">
      <c r="D7698" s="19">
        <f>IF(ABS(IF(ABS($E$7662)&gt;0.000000001,$E$7662,0.000000001))=0,0,IF($E$7074&lt;=$B$7059,0,IF(ABS(IF(ABS($E$7662)&gt;0.000000001,$E$7662,0.000000001))&gt;=8*$B$7061,$H$7074,0.5*$H$7074*(ABS(IF(ABS($E$7662)&gt;0.000000001,$E$7662,0.000000001))/$B$7061)^(1/3)))/ABS(IF(ABS($E$7662)&gt;0.000000001,$E$7662,0.000000001))*$I$7074)</f>
        <v/>
      </c>
      <c r="E7698" s="19">
        <f>0.5*$E$7662+0.5*$Z$7719</f>
        <v/>
      </c>
      <c r="F7698" s="19">
        <f>$Z$7720</f>
        <v/>
      </c>
    </row>
    <row r="7699">
      <c r="D7699" s="19">
        <f>IF(ABS(IF(ABS($E$7663)&gt;0.000000001,$E$7663,0.000000001))=0,0,IF($E$7075&lt;=$B$7059,0,IF(ABS(IF(ABS($E$7663)&gt;0.000000001,$E$7663,0.000000001))&gt;=8*$B$7061,$H$7075,0.5*$H$7075*(ABS(IF(ABS($E$7663)&gt;0.000000001,$E$7663,0.000000001))/$B$7061)^(1/3)))/ABS(IF(ABS($E$7663)&gt;0.000000001,$E$7663,0.000000001))*$I$7075)</f>
        <v/>
      </c>
      <c r="E7699" s="19">
        <f>0.5*$E$7663+0.5*$Z$7721</f>
        <v/>
      </c>
      <c r="F7699" s="19">
        <f>$Z$7722</f>
        <v/>
      </c>
    </row>
    <row r="7701">
      <c r="D7701" s="21">
        <f>$B$7050+$D$7689</f>
        <v/>
      </c>
      <c r="E7701" s="21">
        <f>$B$7051</f>
        <v/>
      </c>
      <c r="F7701" s="21">
        <f>-$B$7050</f>
        <v/>
      </c>
      <c r="G7701" s="21">
        <f>$B$7051</f>
        <v/>
      </c>
      <c r="H7701" s="21" t="n">
        <v>0</v>
      </c>
      <c r="I7701" s="21" t="n">
        <v>0</v>
      </c>
      <c r="J7701" s="21" t="n">
        <v>0</v>
      </c>
      <c r="K7701" s="21" t="n">
        <v>0</v>
      </c>
      <c r="L7701" s="21" t="n">
        <v>0</v>
      </c>
      <c r="M7701" s="21" t="n">
        <v>0</v>
      </c>
      <c r="N7701" s="21" t="n">
        <v>0</v>
      </c>
      <c r="O7701" s="21" t="n">
        <v>0</v>
      </c>
      <c r="P7701" s="21" t="n">
        <v>0</v>
      </c>
      <c r="Q7701" s="21" t="n">
        <v>0</v>
      </c>
      <c r="R7701" s="21" t="n">
        <v>0</v>
      </c>
      <c r="S7701" s="21" t="n">
        <v>0</v>
      </c>
      <c r="T7701" s="21" t="n">
        <v>0</v>
      </c>
      <c r="U7701" s="21" t="n">
        <v>0</v>
      </c>
      <c r="V7701" s="21" t="n">
        <v>0</v>
      </c>
      <c r="W7701" s="21" t="n">
        <v>0</v>
      </c>
      <c r="X7701" s="21" t="n">
        <v>0</v>
      </c>
      <c r="Y7701" s="21" t="n">
        <v>0</v>
      </c>
      <c r="Z7701" s="19">
        <f t="array" ref="Z7701:Z7722">MMULT(MINVERSE($D$7701:$Y$7722),$D$7077:$D$7098)</f>
        <v/>
      </c>
    </row>
    <row r="7702">
      <c r="D7702" s="21">
        <f>$B$7051</f>
        <v/>
      </c>
      <c r="E7702" s="21">
        <f>$B$7052</f>
        <v/>
      </c>
      <c r="F7702" s="21">
        <f>-$B$7051</f>
        <v/>
      </c>
      <c r="G7702" s="21">
        <f>$B$7053</f>
        <v/>
      </c>
      <c r="H7702" s="21" t="n">
        <v>0</v>
      </c>
      <c r="I7702" s="21" t="n">
        <v>0</v>
      </c>
      <c r="J7702" s="21" t="n">
        <v>0</v>
      </c>
      <c r="K7702" s="21" t="n">
        <v>0</v>
      </c>
      <c r="L7702" s="21" t="n">
        <v>0</v>
      </c>
      <c r="M7702" s="21" t="n">
        <v>0</v>
      </c>
      <c r="N7702" s="21" t="n">
        <v>0</v>
      </c>
      <c r="O7702" s="21" t="n">
        <v>0</v>
      </c>
      <c r="P7702" s="21" t="n">
        <v>0</v>
      </c>
      <c r="Q7702" s="21" t="n">
        <v>0</v>
      </c>
      <c r="R7702" s="21" t="n">
        <v>0</v>
      </c>
      <c r="S7702" s="21" t="n">
        <v>0</v>
      </c>
      <c r="T7702" s="21" t="n">
        <v>0</v>
      </c>
      <c r="U7702" s="21" t="n">
        <v>0</v>
      </c>
      <c r="V7702" s="21" t="n">
        <v>0</v>
      </c>
      <c r="W7702" s="21" t="n">
        <v>0</v>
      </c>
      <c r="X7702" s="21" t="n">
        <v>0</v>
      </c>
      <c r="Y7702" s="21" t="n">
        <v>0</v>
      </c>
      <c r="Z7702" s="19" t="n"/>
    </row>
    <row r="7703">
      <c r="D7703" s="21">
        <f>-$B$7050</f>
        <v/>
      </c>
      <c r="E7703" s="21">
        <f>-$B$7051</f>
        <v/>
      </c>
      <c r="F7703" s="21">
        <f>2*$B$7050+$D$7690</f>
        <v/>
      </c>
      <c r="G7703" s="21">
        <f>0</f>
        <v/>
      </c>
      <c r="H7703" s="21">
        <f>-$B$7050</f>
        <v/>
      </c>
      <c r="I7703" s="21">
        <f>$B$7051</f>
        <v/>
      </c>
      <c r="J7703" s="21" t="n">
        <v>0</v>
      </c>
      <c r="K7703" s="21" t="n">
        <v>0</v>
      </c>
      <c r="L7703" s="21" t="n">
        <v>0</v>
      </c>
      <c r="M7703" s="21" t="n">
        <v>0</v>
      </c>
      <c r="N7703" s="21" t="n">
        <v>0</v>
      </c>
      <c r="O7703" s="21" t="n">
        <v>0</v>
      </c>
      <c r="P7703" s="21" t="n">
        <v>0</v>
      </c>
      <c r="Q7703" s="21" t="n">
        <v>0</v>
      </c>
      <c r="R7703" s="21" t="n">
        <v>0</v>
      </c>
      <c r="S7703" s="21" t="n">
        <v>0</v>
      </c>
      <c r="T7703" s="21" t="n">
        <v>0</v>
      </c>
      <c r="U7703" s="21" t="n">
        <v>0</v>
      </c>
      <c r="V7703" s="21" t="n">
        <v>0</v>
      </c>
      <c r="W7703" s="21" t="n">
        <v>0</v>
      </c>
      <c r="X7703" s="21" t="n">
        <v>0</v>
      </c>
      <c r="Y7703" s="21" t="n">
        <v>0</v>
      </c>
      <c r="Z7703" s="19" t="n"/>
    </row>
    <row r="7704">
      <c r="D7704" s="21">
        <f>$B$7051</f>
        <v/>
      </c>
      <c r="E7704" s="21">
        <f>$B$7053</f>
        <v/>
      </c>
      <c r="F7704" s="21">
        <f>0</f>
        <v/>
      </c>
      <c r="G7704" s="21">
        <f>2*$B$7052</f>
        <v/>
      </c>
      <c r="H7704" s="21">
        <f>-$B$7051</f>
        <v/>
      </c>
      <c r="I7704" s="21">
        <f>$B$7053</f>
        <v/>
      </c>
      <c r="J7704" s="21" t="n">
        <v>0</v>
      </c>
      <c r="K7704" s="21" t="n">
        <v>0</v>
      </c>
      <c r="L7704" s="21" t="n">
        <v>0</v>
      </c>
      <c r="M7704" s="21" t="n">
        <v>0</v>
      </c>
      <c r="N7704" s="21" t="n">
        <v>0</v>
      </c>
      <c r="O7704" s="21" t="n">
        <v>0</v>
      </c>
      <c r="P7704" s="21" t="n">
        <v>0</v>
      </c>
      <c r="Q7704" s="21" t="n">
        <v>0</v>
      </c>
      <c r="R7704" s="21" t="n">
        <v>0</v>
      </c>
      <c r="S7704" s="21" t="n">
        <v>0</v>
      </c>
      <c r="T7704" s="21" t="n">
        <v>0</v>
      </c>
      <c r="U7704" s="21" t="n">
        <v>0</v>
      </c>
      <c r="V7704" s="21" t="n">
        <v>0</v>
      </c>
      <c r="W7704" s="21" t="n">
        <v>0</v>
      </c>
      <c r="X7704" s="21" t="n">
        <v>0</v>
      </c>
      <c r="Y7704" s="21" t="n">
        <v>0</v>
      </c>
      <c r="Z7704" s="19" t="n"/>
    </row>
    <row r="7705">
      <c r="D7705" s="21" t="n">
        <v>0</v>
      </c>
      <c r="E7705" s="21" t="n">
        <v>0</v>
      </c>
      <c r="F7705" s="21">
        <f>-$B$7050</f>
        <v/>
      </c>
      <c r="G7705" s="21">
        <f>-$B$7051</f>
        <v/>
      </c>
      <c r="H7705" s="21">
        <f>2*$B$7050+$D$7691</f>
        <v/>
      </c>
      <c r="I7705" s="21">
        <f>0</f>
        <v/>
      </c>
      <c r="J7705" s="21">
        <f>-$B$7050</f>
        <v/>
      </c>
      <c r="K7705" s="21">
        <f>$B$7051</f>
        <v/>
      </c>
      <c r="L7705" s="21" t="n">
        <v>0</v>
      </c>
      <c r="M7705" s="21" t="n">
        <v>0</v>
      </c>
      <c r="N7705" s="21" t="n">
        <v>0</v>
      </c>
      <c r="O7705" s="21" t="n">
        <v>0</v>
      </c>
      <c r="P7705" s="21" t="n">
        <v>0</v>
      </c>
      <c r="Q7705" s="21" t="n">
        <v>0</v>
      </c>
      <c r="R7705" s="21" t="n">
        <v>0</v>
      </c>
      <c r="S7705" s="21" t="n">
        <v>0</v>
      </c>
      <c r="T7705" s="21" t="n">
        <v>0</v>
      </c>
      <c r="U7705" s="21" t="n">
        <v>0</v>
      </c>
      <c r="V7705" s="21" t="n">
        <v>0</v>
      </c>
      <c r="W7705" s="21" t="n">
        <v>0</v>
      </c>
      <c r="X7705" s="21" t="n">
        <v>0</v>
      </c>
      <c r="Y7705" s="21" t="n">
        <v>0</v>
      </c>
      <c r="Z7705" s="19" t="n"/>
    </row>
    <row r="7706">
      <c r="D7706" s="21" t="n">
        <v>0</v>
      </c>
      <c r="E7706" s="21" t="n">
        <v>0</v>
      </c>
      <c r="F7706" s="21">
        <f>$B$7051</f>
        <v/>
      </c>
      <c r="G7706" s="21">
        <f>$B$7053</f>
        <v/>
      </c>
      <c r="H7706" s="21">
        <f>0</f>
        <v/>
      </c>
      <c r="I7706" s="21">
        <f>2*$B$7052</f>
        <v/>
      </c>
      <c r="J7706" s="21">
        <f>-$B$7051</f>
        <v/>
      </c>
      <c r="K7706" s="21">
        <f>$B$7053</f>
        <v/>
      </c>
      <c r="L7706" s="21" t="n">
        <v>0</v>
      </c>
      <c r="M7706" s="21" t="n">
        <v>0</v>
      </c>
      <c r="N7706" s="21" t="n">
        <v>0</v>
      </c>
      <c r="O7706" s="21" t="n">
        <v>0</v>
      </c>
      <c r="P7706" s="21" t="n">
        <v>0</v>
      </c>
      <c r="Q7706" s="21" t="n">
        <v>0</v>
      </c>
      <c r="R7706" s="21" t="n">
        <v>0</v>
      </c>
      <c r="S7706" s="21" t="n">
        <v>0</v>
      </c>
      <c r="T7706" s="21" t="n">
        <v>0</v>
      </c>
      <c r="U7706" s="21" t="n">
        <v>0</v>
      </c>
      <c r="V7706" s="21" t="n">
        <v>0</v>
      </c>
      <c r="W7706" s="21" t="n">
        <v>0</v>
      </c>
      <c r="X7706" s="21" t="n">
        <v>0</v>
      </c>
      <c r="Y7706" s="21" t="n">
        <v>0</v>
      </c>
      <c r="Z7706" s="19" t="n"/>
    </row>
    <row r="7707">
      <c r="D7707" s="21" t="n">
        <v>0</v>
      </c>
      <c r="E7707" s="21" t="n">
        <v>0</v>
      </c>
      <c r="F7707" s="21" t="n">
        <v>0</v>
      </c>
      <c r="G7707" s="21" t="n">
        <v>0</v>
      </c>
      <c r="H7707" s="21">
        <f>-$B$7050</f>
        <v/>
      </c>
      <c r="I7707" s="21">
        <f>-$B$7051</f>
        <v/>
      </c>
      <c r="J7707" s="21">
        <f>2*$B$7050+$D$7692</f>
        <v/>
      </c>
      <c r="K7707" s="21">
        <f>0</f>
        <v/>
      </c>
      <c r="L7707" s="21">
        <f>-$B$7050</f>
        <v/>
      </c>
      <c r="M7707" s="21">
        <f>$B$7051</f>
        <v/>
      </c>
      <c r="N7707" s="21" t="n">
        <v>0</v>
      </c>
      <c r="O7707" s="21" t="n">
        <v>0</v>
      </c>
      <c r="P7707" s="21" t="n">
        <v>0</v>
      </c>
      <c r="Q7707" s="21" t="n">
        <v>0</v>
      </c>
      <c r="R7707" s="21" t="n">
        <v>0</v>
      </c>
      <c r="S7707" s="21" t="n">
        <v>0</v>
      </c>
      <c r="T7707" s="21" t="n">
        <v>0</v>
      </c>
      <c r="U7707" s="21" t="n">
        <v>0</v>
      </c>
      <c r="V7707" s="21" t="n">
        <v>0</v>
      </c>
      <c r="W7707" s="21" t="n">
        <v>0</v>
      </c>
      <c r="X7707" s="21" t="n">
        <v>0</v>
      </c>
      <c r="Y7707" s="21" t="n">
        <v>0</v>
      </c>
      <c r="Z7707" s="19" t="n"/>
    </row>
    <row r="7708">
      <c r="D7708" s="21" t="n">
        <v>0</v>
      </c>
      <c r="E7708" s="21" t="n">
        <v>0</v>
      </c>
      <c r="F7708" s="21" t="n">
        <v>0</v>
      </c>
      <c r="G7708" s="21" t="n">
        <v>0</v>
      </c>
      <c r="H7708" s="21">
        <f>$B$7051</f>
        <v/>
      </c>
      <c r="I7708" s="21">
        <f>$B$7053</f>
        <v/>
      </c>
      <c r="J7708" s="21">
        <f>0</f>
        <v/>
      </c>
      <c r="K7708" s="21">
        <f>2*$B$7052</f>
        <v/>
      </c>
      <c r="L7708" s="21">
        <f>-$B$7051</f>
        <v/>
      </c>
      <c r="M7708" s="21">
        <f>$B$7053</f>
        <v/>
      </c>
      <c r="N7708" s="21" t="n">
        <v>0</v>
      </c>
      <c r="O7708" s="21" t="n">
        <v>0</v>
      </c>
      <c r="P7708" s="21" t="n">
        <v>0</v>
      </c>
      <c r="Q7708" s="21" t="n">
        <v>0</v>
      </c>
      <c r="R7708" s="21" t="n">
        <v>0</v>
      </c>
      <c r="S7708" s="21" t="n">
        <v>0</v>
      </c>
      <c r="T7708" s="21" t="n">
        <v>0</v>
      </c>
      <c r="U7708" s="21" t="n">
        <v>0</v>
      </c>
      <c r="V7708" s="21" t="n">
        <v>0</v>
      </c>
      <c r="W7708" s="21" t="n">
        <v>0</v>
      </c>
      <c r="X7708" s="21" t="n">
        <v>0</v>
      </c>
      <c r="Y7708" s="21" t="n">
        <v>0</v>
      </c>
      <c r="Z7708" s="19" t="n"/>
    </row>
    <row r="7709">
      <c r="D7709" s="21" t="n">
        <v>0</v>
      </c>
      <c r="E7709" s="21" t="n">
        <v>0</v>
      </c>
      <c r="F7709" s="21" t="n">
        <v>0</v>
      </c>
      <c r="G7709" s="21" t="n">
        <v>0</v>
      </c>
      <c r="H7709" s="21" t="n">
        <v>0</v>
      </c>
      <c r="I7709" s="21" t="n">
        <v>0</v>
      </c>
      <c r="J7709" s="21">
        <f>-$B$7050</f>
        <v/>
      </c>
      <c r="K7709" s="21">
        <f>-$B$7051</f>
        <v/>
      </c>
      <c r="L7709" s="21">
        <f>2*$B$7050+$D$7693</f>
        <v/>
      </c>
      <c r="M7709" s="21">
        <f>0</f>
        <v/>
      </c>
      <c r="N7709" s="21">
        <f>-$B$7050</f>
        <v/>
      </c>
      <c r="O7709" s="21">
        <f>$B$7051</f>
        <v/>
      </c>
      <c r="P7709" s="21" t="n">
        <v>0</v>
      </c>
      <c r="Q7709" s="21" t="n">
        <v>0</v>
      </c>
      <c r="R7709" s="21" t="n">
        <v>0</v>
      </c>
      <c r="S7709" s="21" t="n">
        <v>0</v>
      </c>
      <c r="T7709" s="21" t="n">
        <v>0</v>
      </c>
      <c r="U7709" s="21" t="n">
        <v>0</v>
      </c>
      <c r="V7709" s="21" t="n">
        <v>0</v>
      </c>
      <c r="W7709" s="21" t="n">
        <v>0</v>
      </c>
      <c r="X7709" s="21" t="n">
        <v>0</v>
      </c>
      <c r="Y7709" s="21" t="n">
        <v>0</v>
      </c>
      <c r="Z7709" s="19" t="n"/>
    </row>
    <row r="7710">
      <c r="D7710" s="21" t="n">
        <v>0</v>
      </c>
      <c r="E7710" s="21" t="n">
        <v>0</v>
      </c>
      <c r="F7710" s="21" t="n">
        <v>0</v>
      </c>
      <c r="G7710" s="21" t="n">
        <v>0</v>
      </c>
      <c r="H7710" s="21" t="n">
        <v>0</v>
      </c>
      <c r="I7710" s="21" t="n">
        <v>0</v>
      </c>
      <c r="J7710" s="21">
        <f>$B$7051</f>
        <v/>
      </c>
      <c r="K7710" s="21">
        <f>$B$7053</f>
        <v/>
      </c>
      <c r="L7710" s="21">
        <f>0</f>
        <v/>
      </c>
      <c r="M7710" s="21">
        <f>2*$B$7052</f>
        <v/>
      </c>
      <c r="N7710" s="21">
        <f>-$B$7051</f>
        <v/>
      </c>
      <c r="O7710" s="21">
        <f>$B$7053</f>
        <v/>
      </c>
      <c r="P7710" s="21" t="n">
        <v>0</v>
      </c>
      <c r="Q7710" s="21" t="n">
        <v>0</v>
      </c>
      <c r="R7710" s="21" t="n">
        <v>0</v>
      </c>
      <c r="S7710" s="21" t="n">
        <v>0</v>
      </c>
      <c r="T7710" s="21" t="n">
        <v>0</v>
      </c>
      <c r="U7710" s="21" t="n">
        <v>0</v>
      </c>
      <c r="V7710" s="21" t="n">
        <v>0</v>
      </c>
      <c r="W7710" s="21" t="n">
        <v>0</v>
      </c>
      <c r="X7710" s="21" t="n">
        <v>0</v>
      </c>
      <c r="Y7710" s="21" t="n">
        <v>0</v>
      </c>
      <c r="Z7710" s="19" t="n"/>
    </row>
    <row r="7711">
      <c r="D7711" s="21" t="n">
        <v>0</v>
      </c>
      <c r="E7711" s="21" t="n">
        <v>0</v>
      </c>
      <c r="F7711" s="21" t="n">
        <v>0</v>
      </c>
      <c r="G7711" s="21" t="n">
        <v>0</v>
      </c>
      <c r="H7711" s="21" t="n">
        <v>0</v>
      </c>
      <c r="I7711" s="21" t="n">
        <v>0</v>
      </c>
      <c r="J7711" s="21" t="n">
        <v>0</v>
      </c>
      <c r="K7711" s="21" t="n">
        <v>0</v>
      </c>
      <c r="L7711" s="21">
        <f>-$B$7050</f>
        <v/>
      </c>
      <c r="M7711" s="21">
        <f>-$B$7051</f>
        <v/>
      </c>
      <c r="N7711" s="21">
        <f>2*$B$7050+$D$7694</f>
        <v/>
      </c>
      <c r="O7711" s="21">
        <f>0</f>
        <v/>
      </c>
      <c r="P7711" s="21">
        <f>-$B$7050</f>
        <v/>
      </c>
      <c r="Q7711" s="21">
        <f>$B$7051</f>
        <v/>
      </c>
      <c r="R7711" s="21" t="n">
        <v>0</v>
      </c>
      <c r="S7711" s="21" t="n">
        <v>0</v>
      </c>
      <c r="T7711" s="21" t="n">
        <v>0</v>
      </c>
      <c r="U7711" s="21" t="n">
        <v>0</v>
      </c>
      <c r="V7711" s="21" t="n">
        <v>0</v>
      </c>
      <c r="W7711" s="21" t="n">
        <v>0</v>
      </c>
      <c r="X7711" s="21" t="n">
        <v>0</v>
      </c>
      <c r="Y7711" s="21" t="n">
        <v>0</v>
      </c>
      <c r="Z7711" s="19" t="n"/>
    </row>
    <row r="7712">
      <c r="D7712" s="21" t="n">
        <v>0</v>
      </c>
      <c r="E7712" s="21" t="n">
        <v>0</v>
      </c>
      <c r="F7712" s="21" t="n">
        <v>0</v>
      </c>
      <c r="G7712" s="21" t="n">
        <v>0</v>
      </c>
      <c r="H7712" s="21" t="n">
        <v>0</v>
      </c>
      <c r="I7712" s="21" t="n">
        <v>0</v>
      </c>
      <c r="J7712" s="21" t="n">
        <v>0</v>
      </c>
      <c r="K7712" s="21" t="n">
        <v>0</v>
      </c>
      <c r="L7712" s="21">
        <f>$B$7051</f>
        <v/>
      </c>
      <c r="M7712" s="21">
        <f>$B$7053</f>
        <v/>
      </c>
      <c r="N7712" s="21">
        <f>0</f>
        <v/>
      </c>
      <c r="O7712" s="21">
        <f>2*$B$7052</f>
        <v/>
      </c>
      <c r="P7712" s="21">
        <f>-$B$7051</f>
        <v/>
      </c>
      <c r="Q7712" s="21">
        <f>$B$7053</f>
        <v/>
      </c>
      <c r="R7712" s="21" t="n">
        <v>0</v>
      </c>
      <c r="S7712" s="21" t="n">
        <v>0</v>
      </c>
      <c r="T7712" s="21" t="n">
        <v>0</v>
      </c>
      <c r="U7712" s="21" t="n">
        <v>0</v>
      </c>
      <c r="V7712" s="21" t="n">
        <v>0</v>
      </c>
      <c r="W7712" s="21" t="n">
        <v>0</v>
      </c>
      <c r="X7712" s="21" t="n">
        <v>0</v>
      </c>
      <c r="Y7712" s="21" t="n">
        <v>0</v>
      </c>
      <c r="Z7712" s="19" t="n"/>
    </row>
    <row r="7713">
      <c r="D7713" s="21" t="n">
        <v>0</v>
      </c>
      <c r="E7713" s="21" t="n">
        <v>0</v>
      </c>
      <c r="F7713" s="21" t="n">
        <v>0</v>
      </c>
      <c r="G7713" s="21" t="n">
        <v>0</v>
      </c>
      <c r="H7713" s="21" t="n">
        <v>0</v>
      </c>
      <c r="I7713" s="21" t="n">
        <v>0</v>
      </c>
      <c r="J7713" s="21" t="n">
        <v>0</v>
      </c>
      <c r="K7713" s="21" t="n">
        <v>0</v>
      </c>
      <c r="L7713" s="21" t="n">
        <v>0</v>
      </c>
      <c r="M7713" s="21" t="n">
        <v>0</v>
      </c>
      <c r="N7713" s="21">
        <f>-$B$7050</f>
        <v/>
      </c>
      <c r="O7713" s="21">
        <f>-$B$7051</f>
        <v/>
      </c>
      <c r="P7713" s="21">
        <f>2*$B$7050+$D$7695</f>
        <v/>
      </c>
      <c r="Q7713" s="21">
        <f>0</f>
        <v/>
      </c>
      <c r="R7713" s="21">
        <f>-$B$7050</f>
        <v/>
      </c>
      <c r="S7713" s="21">
        <f>$B$7051</f>
        <v/>
      </c>
      <c r="T7713" s="21" t="n">
        <v>0</v>
      </c>
      <c r="U7713" s="21" t="n">
        <v>0</v>
      </c>
      <c r="V7713" s="21" t="n">
        <v>0</v>
      </c>
      <c r="W7713" s="21" t="n">
        <v>0</v>
      </c>
      <c r="X7713" s="21" t="n">
        <v>0</v>
      </c>
      <c r="Y7713" s="21" t="n">
        <v>0</v>
      </c>
      <c r="Z7713" s="19" t="n"/>
    </row>
    <row r="7714">
      <c r="D7714" s="21" t="n">
        <v>0</v>
      </c>
      <c r="E7714" s="21" t="n">
        <v>0</v>
      </c>
      <c r="F7714" s="21" t="n">
        <v>0</v>
      </c>
      <c r="G7714" s="21" t="n">
        <v>0</v>
      </c>
      <c r="H7714" s="21" t="n">
        <v>0</v>
      </c>
      <c r="I7714" s="21" t="n">
        <v>0</v>
      </c>
      <c r="J7714" s="21" t="n">
        <v>0</v>
      </c>
      <c r="K7714" s="21" t="n">
        <v>0</v>
      </c>
      <c r="L7714" s="21" t="n">
        <v>0</v>
      </c>
      <c r="M7714" s="21" t="n">
        <v>0</v>
      </c>
      <c r="N7714" s="21">
        <f>$B$7051</f>
        <v/>
      </c>
      <c r="O7714" s="21">
        <f>$B$7053</f>
        <v/>
      </c>
      <c r="P7714" s="21">
        <f>0</f>
        <v/>
      </c>
      <c r="Q7714" s="21">
        <f>2*$B$7052</f>
        <v/>
      </c>
      <c r="R7714" s="21">
        <f>-$B$7051</f>
        <v/>
      </c>
      <c r="S7714" s="21">
        <f>$B$7053</f>
        <v/>
      </c>
      <c r="T7714" s="21" t="n">
        <v>0</v>
      </c>
      <c r="U7714" s="21" t="n">
        <v>0</v>
      </c>
      <c r="V7714" s="21" t="n">
        <v>0</v>
      </c>
      <c r="W7714" s="21" t="n">
        <v>0</v>
      </c>
      <c r="X7714" s="21" t="n">
        <v>0</v>
      </c>
      <c r="Y7714" s="21" t="n">
        <v>0</v>
      </c>
      <c r="Z7714" s="19" t="n"/>
    </row>
    <row r="7715">
      <c r="D7715" s="21" t="n">
        <v>0</v>
      </c>
      <c r="E7715" s="21" t="n">
        <v>0</v>
      </c>
      <c r="F7715" s="21" t="n">
        <v>0</v>
      </c>
      <c r="G7715" s="21" t="n">
        <v>0</v>
      </c>
      <c r="H7715" s="21" t="n">
        <v>0</v>
      </c>
      <c r="I7715" s="21" t="n">
        <v>0</v>
      </c>
      <c r="J7715" s="21" t="n">
        <v>0</v>
      </c>
      <c r="K7715" s="21" t="n">
        <v>0</v>
      </c>
      <c r="L7715" s="21" t="n">
        <v>0</v>
      </c>
      <c r="M7715" s="21" t="n">
        <v>0</v>
      </c>
      <c r="N7715" s="21" t="n">
        <v>0</v>
      </c>
      <c r="O7715" s="21" t="n">
        <v>0</v>
      </c>
      <c r="P7715" s="21">
        <f>-$B$7050</f>
        <v/>
      </c>
      <c r="Q7715" s="21">
        <f>-$B$7051</f>
        <v/>
      </c>
      <c r="R7715" s="21">
        <f>2*$B$7050+$D$7696</f>
        <v/>
      </c>
      <c r="S7715" s="21">
        <f>0</f>
        <v/>
      </c>
      <c r="T7715" s="21">
        <f>-$B$7050</f>
        <v/>
      </c>
      <c r="U7715" s="21">
        <f>$B$7051</f>
        <v/>
      </c>
      <c r="V7715" s="21" t="n">
        <v>0</v>
      </c>
      <c r="W7715" s="21" t="n">
        <v>0</v>
      </c>
      <c r="X7715" s="21" t="n">
        <v>0</v>
      </c>
      <c r="Y7715" s="21" t="n">
        <v>0</v>
      </c>
      <c r="Z7715" s="19" t="n"/>
    </row>
    <row r="7716">
      <c r="D7716" s="21" t="n">
        <v>0</v>
      </c>
      <c r="E7716" s="21" t="n">
        <v>0</v>
      </c>
      <c r="F7716" s="21" t="n">
        <v>0</v>
      </c>
      <c r="G7716" s="21" t="n">
        <v>0</v>
      </c>
      <c r="H7716" s="21" t="n">
        <v>0</v>
      </c>
      <c r="I7716" s="21" t="n">
        <v>0</v>
      </c>
      <c r="J7716" s="21" t="n">
        <v>0</v>
      </c>
      <c r="K7716" s="21" t="n">
        <v>0</v>
      </c>
      <c r="L7716" s="21" t="n">
        <v>0</v>
      </c>
      <c r="M7716" s="21" t="n">
        <v>0</v>
      </c>
      <c r="N7716" s="21" t="n">
        <v>0</v>
      </c>
      <c r="O7716" s="21" t="n">
        <v>0</v>
      </c>
      <c r="P7716" s="21">
        <f>$B$7051</f>
        <v/>
      </c>
      <c r="Q7716" s="21">
        <f>$B$7053</f>
        <v/>
      </c>
      <c r="R7716" s="21">
        <f>0</f>
        <v/>
      </c>
      <c r="S7716" s="21">
        <f>2*$B$7052</f>
        <v/>
      </c>
      <c r="T7716" s="21">
        <f>-$B$7051</f>
        <v/>
      </c>
      <c r="U7716" s="21">
        <f>$B$7053</f>
        <v/>
      </c>
      <c r="V7716" s="21" t="n">
        <v>0</v>
      </c>
      <c r="W7716" s="21" t="n">
        <v>0</v>
      </c>
      <c r="X7716" s="21" t="n">
        <v>0</v>
      </c>
      <c r="Y7716" s="21" t="n">
        <v>0</v>
      </c>
      <c r="Z7716" s="19" t="n"/>
    </row>
    <row r="7717">
      <c r="D7717" s="21" t="n">
        <v>0</v>
      </c>
      <c r="E7717" s="21" t="n">
        <v>0</v>
      </c>
      <c r="F7717" s="21" t="n">
        <v>0</v>
      </c>
      <c r="G7717" s="21" t="n">
        <v>0</v>
      </c>
      <c r="H7717" s="21" t="n">
        <v>0</v>
      </c>
      <c r="I7717" s="21" t="n">
        <v>0</v>
      </c>
      <c r="J7717" s="21" t="n">
        <v>0</v>
      </c>
      <c r="K7717" s="21" t="n">
        <v>0</v>
      </c>
      <c r="L7717" s="21" t="n">
        <v>0</v>
      </c>
      <c r="M7717" s="21" t="n">
        <v>0</v>
      </c>
      <c r="N7717" s="21" t="n">
        <v>0</v>
      </c>
      <c r="O7717" s="21" t="n">
        <v>0</v>
      </c>
      <c r="P7717" s="21" t="n">
        <v>0</v>
      </c>
      <c r="Q7717" s="21" t="n">
        <v>0</v>
      </c>
      <c r="R7717" s="21">
        <f>-$B$7050</f>
        <v/>
      </c>
      <c r="S7717" s="21">
        <f>-$B$7051</f>
        <v/>
      </c>
      <c r="T7717" s="21">
        <f>2*$B$7050+$D$7697</f>
        <v/>
      </c>
      <c r="U7717" s="21">
        <f>0</f>
        <v/>
      </c>
      <c r="V7717" s="21">
        <f>-$B$7050</f>
        <v/>
      </c>
      <c r="W7717" s="21">
        <f>$B$7051</f>
        <v/>
      </c>
      <c r="X7717" s="21" t="n">
        <v>0</v>
      </c>
      <c r="Y7717" s="21" t="n">
        <v>0</v>
      </c>
      <c r="Z7717" s="19" t="n"/>
    </row>
    <row r="7718">
      <c r="D7718" s="21" t="n">
        <v>0</v>
      </c>
      <c r="E7718" s="21" t="n">
        <v>0</v>
      </c>
      <c r="F7718" s="21" t="n">
        <v>0</v>
      </c>
      <c r="G7718" s="21" t="n">
        <v>0</v>
      </c>
      <c r="H7718" s="21" t="n">
        <v>0</v>
      </c>
      <c r="I7718" s="21" t="n">
        <v>0</v>
      </c>
      <c r="J7718" s="21" t="n">
        <v>0</v>
      </c>
      <c r="K7718" s="21" t="n">
        <v>0</v>
      </c>
      <c r="L7718" s="21" t="n">
        <v>0</v>
      </c>
      <c r="M7718" s="21" t="n">
        <v>0</v>
      </c>
      <c r="N7718" s="21" t="n">
        <v>0</v>
      </c>
      <c r="O7718" s="21" t="n">
        <v>0</v>
      </c>
      <c r="P7718" s="21" t="n">
        <v>0</v>
      </c>
      <c r="Q7718" s="21" t="n">
        <v>0</v>
      </c>
      <c r="R7718" s="21">
        <f>$B$7051</f>
        <v/>
      </c>
      <c r="S7718" s="21">
        <f>$B$7053</f>
        <v/>
      </c>
      <c r="T7718" s="21">
        <f>0</f>
        <v/>
      </c>
      <c r="U7718" s="21">
        <f>2*$B$7052</f>
        <v/>
      </c>
      <c r="V7718" s="21">
        <f>-$B$7051</f>
        <v/>
      </c>
      <c r="W7718" s="21">
        <f>$B$7053</f>
        <v/>
      </c>
      <c r="X7718" s="21" t="n">
        <v>0</v>
      </c>
      <c r="Y7718" s="21" t="n">
        <v>0</v>
      </c>
      <c r="Z7718" s="19" t="n"/>
    </row>
    <row r="7719">
      <c r="D7719" s="21" t="n">
        <v>0</v>
      </c>
      <c r="E7719" s="21" t="n">
        <v>0</v>
      </c>
      <c r="F7719" s="21" t="n">
        <v>0</v>
      </c>
      <c r="G7719" s="21" t="n">
        <v>0</v>
      </c>
      <c r="H7719" s="21" t="n">
        <v>0</v>
      </c>
      <c r="I7719" s="21" t="n">
        <v>0</v>
      </c>
      <c r="J7719" s="21" t="n">
        <v>0</v>
      </c>
      <c r="K7719" s="21" t="n">
        <v>0</v>
      </c>
      <c r="L7719" s="21" t="n">
        <v>0</v>
      </c>
      <c r="M7719" s="21" t="n">
        <v>0</v>
      </c>
      <c r="N7719" s="21" t="n">
        <v>0</v>
      </c>
      <c r="O7719" s="21" t="n">
        <v>0</v>
      </c>
      <c r="P7719" s="21" t="n">
        <v>0</v>
      </c>
      <c r="Q7719" s="21" t="n">
        <v>0</v>
      </c>
      <c r="R7719" s="21" t="n">
        <v>0</v>
      </c>
      <c r="S7719" s="21" t="n">
        <v>0</v>
      </c>
      <c r="T7719" s="21">
        <f>-$B$7050</f>
        <v/>
      </c>
      <c r="U7719" s="21">
        <f>-$B$7051</f>
        <v/>
      </c>
      <c r="V7719" s="21">
        <f>2*$B$7050+$D$7698</f>
        <v/>
      </c>
      <c r="W7719" s="21">
        <f>0</f>
        <v/>
      </c>
      <c r="X7719" s="21">
        <f>-$B$7050</f>
        <v/>
      </c>
      <c r="Y7719" s="21">
        <f>$B$7051</f>
        <v/>
      </c>
      <c r="Z7719" s="19" t="n"/>
    </row>
    <row r="7720">
      <c r="D7720" s="21" t="n">
        <v>0</v>
      </c>
      <c r="E7720" s="21" t="n">
        <v>0</v>
      </c>
      <c r="F7720" s="21" t="n">
        <v>0</v>
      </c>
      <c r="G7720" s="21" t="n">
        <v>0</v>
      </c>
      <c r="H7720" s="21" t="n">
        <v>0</v>
      </c>
      <c r="I7720" s="21" t="n">
        <v>0</v>
      </c>
      <c r="J7720" s="21" t="n">
        <v>0</v>
      </c>
      <c r="K7720" s="21" t="n">
        <v>0</v>
      </c>
      <c r="L7720" s="21" t="n">
        <v>0</v>
      </c>
      <c r="M7720" s="21" t="n">
        <v>0</v>
      </c>
      <c r="N7720" s="21" t="n">
        <v>0</v>
      </c>
      <c r="O7720" s="21" t="n">
        <v>0</v>
      </c>
      <c r="P7720" s="21" t="n">
        <v>0</v>
      </c>
      <c r="Q7720" s="21" t="n">
        <v>0</v>
      </c>
      <c r="R7720" s="21" t="n">
        <v>0</v>
      </c>
      <c r="S7720" s="21" t="n">
        <v>0</v>
      </c>
      <c r="T7720" s="21">
        <f>$B$7051</f>
        <v/>
      </c>
      <c r="U7720" s="21">
        <f>$B$7053</f>
        <v/>
      </c>
      <c r="V7720" s="21">
        <f>0</f>
        <v/>
      </c>
      <c r="W7720" s="21">
        <f>2*$B$7052</f>
        <v/>
      </c>
      <c r="X7720" s="21">
        <f>-$B$7051</f>
        <v/>
      </c>
      <c r="Y7720" s="21">
        <f>$B$7053</f>
        <v/>
      </c>
      <c r="Z7720" s="19" t="n"/>
    </row>
    <row r="7721">
      <c r="D7721" s="21" t="n">
        <v>0</v>
      </c>
      <c r="E7721" s="21" t="n">
        <v>0</v>
      </c>
      <c r="F7721" s="21" t="n">
        <v>0</v>
      </c>
      <c r="G7721" s="21" t="n">
        <v>0</v>
      </c>
      <c r="H7721" s="21" t="n">
        <v>0</v>
      </c>
      <c r="I7721" s="21" t="n">
        <v>0</v>
      </c>
      <c r="J7721" s="21" t="n">
        <v>0</v>
      </c>
      <c r="K7721" s="21" t="n">
        <v>0</v>
      </c>
      <c r="L7721" s="21" t="n">
        <v>0</v>
      </c>
      <c r="M7721" s="21" t="n">
        <v>0</v>
      </c>
      <c r="N7721" s="21" t="n">
        <v>0</v>
      </c>
      <c r="O7721" s="21" t="n">
        <v>0</v>
      </c>
      <c r="P7721" s="21" t="n">
        <v>0</v>
      </c>
      <c r="Q7721" s="21" t="n">
        <v>0</v>
      </c>
      <c r="R7721" s="21" t="n">
        <v>0</v>
      </c>
      <c r="S7721" s="21" t="n">
        <v>0</v>
      </c>
      <c r="T7721" s="21" t="n">
        <v>0</v>
      </c>
      <c r="U7721" s="21" t="n">
        <v>0</v>
      </c>
      <c r="V7721" s="21">
        <f>-$B$7050</f>
        <v/>
      </c>
      <c r="W7721" s="21">
        <f>-$B$7051</f>
        <v/>
      </c>
      <c r="X7721" s="21">
        <f>$B$7050+$D$7699</f>
        <v/>
      </c>
      <c r="Y7721" s="21">
        <f>-$B$7051</f>
        <v/>
      </c>
      <c r="Z7721" s="19" t="n"/>
    </row>
    <row r="7722">
      <c r="D7722" s="21" t="n">
        <v>0</v>
      </c>
      <c r="E7722" s="21" t="n">
        <v>0</v>
      </c>
      <c r="F7722" s="21" t="n">
        <v>0</v>
      </c>
      <c r="G7722" s="21" t="n">
        <v>0</v>
      </c>
      <c r="H7722" s="21" t="n">
        <v>0</v>
      </c>
      <c r="I7722" s="21" t="n">
        <v>0</v>
      </c>
      <c r="J7722" s="21" t="n">
        <v>0</v>
      </c>
      <c r="K7722" s="21" t="n">
        <v>0</v>
      </c>
      <c r="L7722" s="21" t="n">
        <v>0</v>
      </c>
      <c r="M7722" s="21" t="n">
        <v>0</v>
      </c>
      <c r="N7722" s="21" t="n">
        <v>0</v>
      </c>
      <c r="O7722" s="21" t="n">
        <v>0</v>
      </c>
      <c r="P7722" s="21" t="n">
        <v>0</v>
      </c>
      <c r="Q7722" s="21" t="n">
        <v>0</v>
      </c>
      <c r="R7722" s="21" t="n">
        <v>0</v>
      </c>
      <c r="S7722" s="21" t="n">
        <v>0</v>
      </c>
      <c r="T7722" s="21" t="n">
        <v>0</v>
      </c>
      <c r="U7722" s="21" t="n">
        <v>0</v>
      </c>
      <c r="V7722" s="21">
        <f>$B$7051</f>
        <v/>
      </c>
      <c r="W7722" s="21">
        <f>$B$7053</f>
        <v/>
      </c>
      <c r="X7722" s="21">
        <f>-$B$7051</f>
        <v/>
      </c>
      <c r="Y7722" s="21">
        <f>$B$7052</f>
        <v/>
      </c>
      <c r="Z7722" s="19" t="n"/>
    </row>
    <row r="7724">
      <c r="A7724" s="8" t="inlineStr">
        <is>
          <t>gen 18</t>
        </is>
      </c>
    </row>
    <row r="7725">
      <c r="D7725" s="19">
        <f>IF(ABS(IF(ABS($E$7689)&gt;0.000000001,$E$7689,0.000000001))=0,0,IF($E$7065&lt;=$B$7059,0,IF(ABS(IF(ABS($E$7689)&gt;0.000000001,$E$7689,0.000000001))&gt;=8*$B$7061,$H$7065,0.5*$H$7065*(ABS(IF(ABS($E$7689)&gt;0.000000001,$E$7689,0.000000001))/$B$7061)^(1/3)))/ABS(IF(ABS($E$7689)&gt;0.000000001,$E$7689,0.000000001))*$I$7065)</f>
        <v/>
      </c>
      <c r="E7725" s="19">
        <f>0.5*$E$7689+0.5*$Z$7737</f>
        <v/>
      </c>
      <c r="F7725" s="19">
        <f>$Z$7738</f>
        <v/>
      </c>
    </row>
    <row r="7726">
      <c r="D7726" s="19">
        <f>IF(ABS(IF(ABS($E$7690)&gt;0.000000001,$E$7690,0.000000001))=0,0,IF($E$7066&lt;=$B$7059,0,IF(ABS(IF(ABS($E$7690)&gt;0.000000001,$E$7690,0.000000001))&gt;=8*$B$7061,$H$7066,0.5*$H$7066*(ABS(IF(ABS($E$7690)&gt;0.000000001,$E$7690,0.000000001))/$B$7061)^(1/3)))/ABS(IF(ABS($E$7690)&gt;0.000000001,$E$7690,0.000000001))*$I$7066)</f>
        <v/>
      </c>
      <c r="E7726" s="19">
        <f>0.5*$E$7690+0.5*$Z$7739</f>
        <v/>
      </c>
      <c r="F7726" s="19">
        <f>$Z$7740</f>
        <v/>
      </c>
    </row>
    <row r="7727">
      <c r="D7727" s="19">
        <f>IF(ABS(IF(ABS($E$7691)&gt;0.000000001,$E$7691,0.000000001))=0,0,IF($E$7067&lt;=$B$7059,0,IF(ABS(IF(ABS($E$7691)&gt;0.000000001,$E$7691,0.000000001))&gt;=8*$B$7061,$H$7067,0.5*$H$7067*(ABS(IF(ABS($E$7691)&gt;0.000000001,$E$7691,0.000000001))/$B$7061)^(1/3)))/ABS(IF(ABS($E$7691)&gt;0.000000001,$E$7691,0.000000001))*$I$7067)</f>
        <v/>
      </c>
      <c r="E7727" s="19">
        <f>0.5*$E$7691+0.5*$Z$7741</f>
        <v/>
      </c>
      <c r="F7727" s="19">
        <f>$Z$7742</f>
        <v/>
      </c>
    </row>
    <row r="7728">
      <c r="D7728" s="19">
        <f>IF(ABS(IF(ABS($E$7692)&gt;0.000000001,$E$7692,0.000000001))=0,0,IF($E$7068&lt;=$B$7059,0,IF(ABS(IF(ABS($E$7692)&gt;0.000000001,$E$7692,0.000000001))&gt;=8*$B$7061,$H$7068,0.5*$H$7068*(ABS(IF(ABS($E$7692)&gt;0.000000001,$E$7692,0.000000001))/$B$7061)^(1/3)))/ABS(IF(ABS($E$7692)&gt;0.000000001,$E$7692,0.000000001))*$I$7068)</f>
        <v/>
      </c>
      <c r="E7728" s="19">
        <f>0.5*$E$7692+0.5*$Z$7743</f>
        <v/>
      </c>
      <c r="F7728" s="19">
        <f>$Z$7744</f>
        <v/>
      </c>
    </row>
    <row r="7729">
      <c r="D7729" s="19">
        <f>IF(ABS(IF(ABS($E$7693)&gt;0.000000001,$E$7693,0.000000001))=0,0,IF($E$7069&lt;=$B$7059,0,IF(ABS(IF(ABS($E$7693)&gt;0.000000001,$E$7693,0.000000001))&gt;=8*$B$7061,$H$7069,0.5*$H$7069*(ABS(IF(ABS($E$7693)&gt;0.000000001,$E$7693,0.000000001))/$B$7061)^(1/3)))/ABS(IF(ABS($E$7693)&gt;0.000000001,$E$7693,0.000000001))*$I$7069)</f>
        <v/>
      </c>
      <c r="E7729" s="19">
        <f>0.5*$E$7693+0.5*$Z$7745</f>
        <v/>
      </c>
      <c r="F7729" s="19">
        <f>$Z$7746</f>
        <v/>
      </c>
    </row>
    <row r="7730">
      <c r="D7730" s="19">
        <f>IF(ABS(IF(ABS($E$7694)&gt;0.000000001,$E$7694,0.000000001))=0,0,IF($E$7070&lt;=$B$7059,0,IF(ABS(IF(ABS($E$7694)&gt;0.000000001,$E$7694,0.000000001))&gt;=8*$B$7061,$H$7070,0.5*$H$7070*(ABS(IF(ABS($E$7694)&gt;0.000000001,$E$7694,0.000000001))/$B$7061)^(1/3)))/ABS(IF(ABS($E$7694)&gt;0.000000001,$E$7694,0.000000001))*$I$7070)</f>
        <v/>
      </c>
      <c r="E7730" s="19">
        <f>0.5*$E$7694+0.5*$Z$7747</f>
        <v/>
      </c>
      <c r="F7730" s="19">
        <f>$Z$7748</f>
        <v/>
      </c>
    </row>
    <row r="7731">
      <c r="D7731" s="19">
        <f>IF(ABS(IF(ABS($E$7695)&gt;0.000000001,$E$7695,0.000000001))=0,0,IF($E$7071&lt;=$B$7059,0,IF(ABS(IF(ABS($E$7695)&gt;0.000000001,$E$7695,0.000000001))&gt;=8*$B$7061,$H$7071,0.5*$H$7071*(ABS(IF(ABS($E$7695)&gt;0.000000001,$E$7695,0.000000001))/$B$7061)^(1/3)))/ABS(IF(ABS($E$7695)&gt;0.000000001,$E$7695,0.000000001))*$I$7071)</f>
        <v/>
      </c>
      <c r="E7731" s="19">
        <f>0.5*$E$7695+0.5*$Z$7749</f>
        <v/>
      </c>
      <c r="F7731" s="19">
        <f>$Z$7750</f>
        <v/>
      </c>
    </row>
    <row r="7732">
      <c r="D7732" s="19">
        <f>IF(ABS(IF(ABS($E$7696)&gt;0.000000001,$E$7696,0.000000001))=0,0,IF($E$7072&lt;=$B$7059,0,IF(ABS(IF(ABS($E$7696)&gt;0.000000001,$E$7696,0.000000001))&gt;=8*$B$7061,$H$7072,0.5*$H$7072*(ABS(IF(ABS($E$7696)&gt;0.000000001,$E$7696,0.000000001))/$B$7061)^(1/3)))/ABS(IF(ABS($E$7696)&gt;0.000000001,$E$7696,0.000000001))*$I$7072)</f>
        <v/>
      </c>
      <c r="E7732" s="19">
        <f>0.5*$E$7696+0.5*$Z$7751</f>
        <v/>
      </c>
      <c r="F7732" s="19">
        <f>$Z$7752</f>
        <v/>
      </c>
    </row>
    <row r="7733">
      <c r="D7733" s="19">
        <f>IF(ABS(IF(ABS($E$7697)&gt;0.000000001,$E$7697,0.000000001))=0,0,IF($E$7073&lt;=$B$7059,0,IF(ABS(IF(ABS($E$7697)&gt;0.000000001,$E$7697,0.000000001))&gt;=8*$B$7061,$H$7073,0.5*$H$7073*(ABS(IF(ABS($E$7697)&gt;0.000000001,$E$7697,0.000000001))/$B$7061)^(1/3)))/ABS(IF(ABS($E$7697)&gt;0.000000001,$E$7697,0.000000001))*$I$7073)</f>
        <v/>
      </c>
      <c r="E7733" s="19">
        <f>0.5*$E$7697+0.5*$Z$7753</f>
        <v/>
      </c>
      <c r="F7733" s="19">
        <f>$Z$7754</f>
        <v/>
      </c>
    </row>
    <row r="7734">
      <c r="D7734" s="19">
        <f>IF(ABS(IF(ABS($E$7698)&gt;0.000000001,$E$7698,0.000000001))=0,0,IF($E$7074&lt;=$B$7059,0,IF(ABS(IF(ABS($E$7698)&gt;0.000000001,$E$7698,0.000000001))&gt;=8*$B$7061,$H$7074,0.5*$H$7074*(ABS(IF(ABS($E$7698)&gt;0.000000001,$E$7698,0.000000001))/$B$7061)^(1/3)))/ABS(IF(ABS($E$7698)&gt;0.000000001,$E$7698,0.000000001))*$I$7074)</f>
        <v/>
      </c>
      <c r="E7734" s="19">
        <f>0.5*$E$7698+0.5*$Z$7755</f>
        <v/>
      </c>
      <c r="F7734" s="19">
        <f>$Z$7756</f>
        <v/>
      </c>
    </row>
    <row r="7735">
      <c r="D7735" s="19">
        <f>IF(ABS(IF(ABS($E$7699)&gt;0.000000001,$E$7699,0.000000001))=0,0,IF($E$7075&lt;=$B$7059,0,IF(ABS(IF(ABS($E$7699)&gt;0.000000001,$E$7699,0.000000001))&gt;=8*$B$7061,$H$7075,0.5*$H$7075*(ABS(IF(ABS($E$7699)&gt;0.000000001,$E$7699,0.000000001))/$B$7061)^(1/3)))/ABS(IF(ABS($E$7699)&gt;0.000000001,$E$7699,0.000000001))*$I$7075)</f>
        <v/>
      </c>
      <c r="E7735" s="19">
        <f>0.5*$E$7699+0.5*$Z$7757</f>
        <v/>
      </c>
      <c r="F7735" s="19">
        <f>$Z$7758</f>
        <v/>
      </c>
    </row>
    <row r="7737">
      <c r="D7737" s="21">
        <f>$B$7050+$D$7725</f>
        <v/>
      </c>
      <c r="E7737" s="21">
        <f>$B$7051</f>
        <v/>
      </c>
      <c r="F7737" s="21">
        <f>-$B$7050</f>
        <v/>
      </c>
      <c r="G7737" s="21">
        <f>$B$7051</f>
        <v/>
      </c>
      <c r="H7737" s="21" t="n">
        <v>0</v>
      </c>
      <c r="I7737" s="21" t="n">
        <v>0</v>
      </c>
      <c r="J7737" s="21" t="n">
        <v>0</v>
      </c>
      <c r="K7737" s="21" t="n">
        <v>0</v>
      </c>
      <c r="L7737" s="21" t="n">
        <v>0</v>
      </c>
      <c r="M7737" s="21" t="n">
        <v>0</v>
      </c>
      <c r="N7737" s="21" t="n">
        <v>0</v>
      </c>
      <c r="O7737" s="21" t="n">
        <v>0</v>
      </c>
      <c r="P7737" s="21" t="n">
        <v>0</v>
      </c>
      <c r="Q7737" s="21" t="n">
        <v>0</v>
      </c>
      <c r="R7737" s="21" t="n">
        <v>0</v>
      </c>
      <c r="S7737" s="21" t="n">
        <v>0</v>
      </c>
      <c r="T7737" s="21" t="n">
        <v>0</v>
      </c>
      <c r="U7737" s="21" t="n">
        <v>0</v>
      </c>
      <c r="V7737" s="21" t="n">
        <v>0</v>
      </c>
      <c r="W7737" s="21" t="n">
        <v>0</v>
      </c>
      <c r="X7737" s="21" t="n">
        <v>0</v>
      </c>
      <c r="Y7737" s="21" t="n">
        <v>0</v>
      </c>
      <c r="Z7737" s="19">
        <f t="array" ref="Z7737:Z7758">MMULT(MINVERSE($D$7737:$Y$7758),$D$7077:$D$7098)</f>
        <v/>
      </c>
    </row>
    <row r="7738">
      <c r="D7738" s="21">
        <f>$B$7051</f>
        <v/>
      </c>
      <c r="E7738" s="21">
        <f>$B$7052</f>
        <v/>
      </c>
      <c r="F7738" s="21">
        <f>-$B$7051</f>
        <v/>
      </c>
      <c r="G7738" s="21">
        <f>$B$7053</f>
        <v/>
      </c>
      <c r="H7738" s="21" t="n">
        <v>0</v>
      </c>
      <c r="I7738" s="21" t="n">
        <v>0</v>
      </c>
      <c r="J7738" s="21" t="n">
        <v>0</v>
      </c>
      <c r="K7738" s="21" t="n">
        <v>0</v>
      </c>
      <c r="L7738" s="21" t="n">
        <v>0</v>
      </c>
      <c r="M7738" s="21" t="n">
        <v>0</v>
      </c>
      <c r="N7738" s="21" t="n">
        <v>0</v>
      </c>
      <c r="O7738" s="21" t="n">
        <v>0</v>
      </c>
      <c r="P7738" s="21" t="n">
        <v>0</v>
      </c>
      <c r="Q7738" s="21" t="n">
        <v>0</v>
      </c>
      <c r="R7738" s="21" t="n">
        <v>0</v>
      </c>
      <c r="S7738" s="21" t="n">
        <v>0</v>
      </c>
      <c r="T7738" s="21" t="n">
        <v>0</v>
      </c>
      <c r="U7738" s="21" t="n">
        <v>0</v>
      </c>
      <c r="V7738" s="21" t="n">
        <v>0</v>
      </c>
      <c r="W7738" s="21" t="n">
        <v>0</v>
      </c>
      <c r="X7738" s="21" t="n">
        <v>0</v>
      </c>
      <c r="Y7738" s="21" t="n">
        <v>0</v>
      </c>
      <c r="Z7738" s="19" t="n"/>
    </row>
    <row r="7739">
      <c r="D7739" s="21">
        <f>-$B$7050</f>
        <v/>
      </c>
      <c r="E7739" s="21">
        <f>-$B$7051</f>
        <v/>
      </c>
      <c r="F7739" s="21">
        <f>2*$B$7050+$D$7726</f>
        <v/>
      </c>
      <c r="G7739" s="21">
        <f>0</f>
        <v/>
      </c>
      <c r="H7739" s="21">
        <f>-$B$7050</f>
        <v/>
      </c>
      <c r="I7739" s="21">
        <f>$B$7051</f>
        <v/>
      </c>
      <c r="J7739" s="21" t="n">
        <v>0</v>
      </c>
      <c r="K7739" s="21" t="n">
        <v>0</v>
      </c>
      <c r="L7739" s="21" t="n">
        <v>0</v>
      </c>
      <c r="M7739" s="21" t="n">
        <v>0</v>
      </c>
      <c r="N7739" s="21" t="n">
        <v>0</v>
      </c>
      <c r="O7739" s="21" t="n">
        <v>0</v>
      </c>
      <c r="P7739" s="21" t="n">
        <v>0</v>
      </c>
      <c r="Q7739" s="21" t="n">
        <v>0</v>
      </c>
      <c r="R7739" s="21" t="n">
        <v>0</v>
      </c>
      <c r="S7739" s="21" t="n">
        <v>0</v>
      </c>
      <c r="T7739" s="21" t="n">
        <v>0</v>
      </c>
      <c r="U7739" s="21" t="n">
        <v>0</v>
      </c>
      <c r="V7739" s="21" t="n">
        <v>0</v>
      </c>
      <c r="W7739" s="21" t="n">
        <v>0</v>
      </c>
      <c r="X7739" s="21" t="n">
        <v>0</v>
      </c>
      <c r="Y7739" s="21" t="n">
        <v>0</v>
      </c>
      <c r="Z7739" s="19" t="n"/>
    </row>
    <row r="7740">
      <c r="D7740" s="21">
        <f>$B$7051</f>
        <v/>
      </c>
      <c r="E7740" s="21">
        <f>$B$7053</f>
        <v/>
      </c>
      <c r="F7740" s="21">
        <f>0</f>
        <v/>
      </c>
      <c r="G7740" s="21">
        <f>2*$B$7052</f>
        <v/>
      </c>
      <c r="H7740" s="21">
        <f>-$B$7051</f>
        <v/>
      </c>
      <c r="I7740" s="21">
        <f>$B$7053</f>
        <v/>
      </c>
      <c r="J7740" s="21" t="n">
        <v>0</v>
      </c>
      <c r="K7740" s="21" t="n">
        <v>0</v>
      </c>
      <c r="L7740" s="21" t="n">
        <v>0</v>
      </c>
      <c r="M7740" s="21" t="n">
        <v>0</v>
      </c>
      <c r="N7740" s="21" t="n">
        <v>0</v>
      </c>
      <c r="O7740" s="21" t="n">
        <v>0</v>
      </c>
      <c r="P7740" s="21" t="n">
        <v>0</v>
      </c>
      <c r="Q7740" s="21" t="n">
        <v>0</v>
      </c>
      <c r="R7740" s="21" t="n">
        <v>0</v>
      </c>
      <c r="S7740" s="21" t="n">
        <v>0</v>
      </c>
      <c r="T7740" s="21" t="n">
        <v>0</v>
      </c>
      <c r="U7740" s="21" t="n">
        <v>0</v>
      </c>
      <c r="V7740" s="21" t="n">
        <v>0</v>
      </c>
      <c r="W7740" s="21" t="n">
        <v>0</v>
      </c>
      <c r="X7740" s="21" t="n">
        <v>0</v>
      </c>
      <c r="Y7740" s="21" t="n">
        <v>0</v>
      </c>
      <c r="Z7740" s="19" t="n"/>
    </row>
    <row r="7741">
      <c r="D7741" s="21" t="n">
        <v>0</v>
      </c>
      <c r="E7741" s="21" t="n">
        <v>0</v>
      </c>
      <c r="F7741" s="21">
        <f>-$B$7050</f>
        <v/>
      </c>
      <c r="G7741" s="21">
        <f>-$B$7051</f>
        <v/>
      </c>
      <c r="H7741" s="21">
        <f>2*$B$7050+$D$7727</f>
        <v/>
      </c>
      <c r="I7741" s="21">
        <f>0</f>
        <v/>
      </c>
      <c r="J7741" s="21">
        <f>-$B$7050</f>
        <v/>
      </c>
      <c r="K7741" s="21">
        <f>$B$7051</f>
        <v/>
      </c>
      <c r="L7741" s="21" t="n">
        <v>0</v>
      </c>
      <c r="M7741" s="21" t="n">
        <v>0</v>
      </c>
      <c r="N7741" s="21" t="n">
        <v>0</v>
      </c>
      <c r="O7741" s="21" t="n">
        <v>0</v>
      </c>
      <c r="P7741" s="21" t="n">
        <v>0</v>
      </c>
      <c r="Q7741" s="21" t="n">
        <v>0</v>
      </c>
      <c r="R7741" s="21" t="n">
        <v>0</v>
      </c>
      <c r="S7741" s="21" t="n">
        <v>0</v>
      </c>
      <c r="T7741" s="21" t="n">
        <v>0</v>
      </c>
      <c r="U7741" s="21" t="n">
        <v>0</v>
      </c>
      <c r="V7741" s="21" t="n">
        <v>0</v>
      </c>
      <c r="W7741" s="21" t="n">
        <v>0</v>
      </c>
      <c r="X7741" s="21" t="n">
        <v>0</v>
      </c>
      <c r="Y7741" s="21" t="n">
        <v>0</v>
      </c>
      <c r="Z7741" s="19" t="n"/>
    </row>
    <row r="7742">
      <c r="D7742" s="21" t="n">
        <v>0</v>
      </c>
      <c r="E7742" s="21" t="n">
        <v>0</v>
      </c>
      <c r="F7742" s="21">
        <f>$B$7051</f>
        <v/>
      </c>
      <c r="G7742" s="21">
        <f>$B$7053</f>
        <v/>
      </c>
      <c r="H7742" s="21">
        <f>0</f>
        <v/>
      </c>
      <c r="I7742" s="21">
        <f>2*$B$7052</f>
        <v/>
      </c>
      <c r="J7742" s="21">
        <f>-$B$7051</f>
        <v/>
      </c>
      <c r="K7742" s="21">
        <f>$B$7053</f>
        <v/>
      </c>
      <c r="L7742" s="21" t="n">
        <v>0</v>
      </c>
      <c r="M7742" s="21" t="n">
        <v>0</v>
      </c>
      <c r="N7742" s="21" t="n">
        <v>0</v>
      </c>
      <c r="O7742" s="21" t="n">
        <v>0</v>
      </c>
      <c r="P7742" s="21" t="n">
        <v>0</v>
      </c>
      <c r="Q7742" s="21" t="n">
        <v>0</v>
      </c>
      <c r="R7742" s="21" t="n">
        <v>0</v>
      </c>
      <c r="S7742" s="21" t="n">
        <v>0</v>
      </c>
      <c r="T7742" s="21" t="n">
        <v>0</v>
      </c>
      <c r="U7742" s="21" t="n">
        <v>0</v>
      </c>
      <c r="V7742" s="21" t="n">
        <v>0</v>
      </c>
      <c r="W7742" s="21" t="n">
        <v>0</v>
      </c>
      <c r="X7742" s="21" t="n">
        <v>0</v>
      </c>
      <c r="Y7742" s="21" t="n">
        <v>0</v>
      </c>
      <c r="Z7742" s="19" t="n"/>
    </row>
    <row r="7743">
      <c r="D7743" s="21" t="n">
        <v>0</v>
      </c>
      <c r="E7743" s="21" t="n">
        <v>0</v>
      </c>
      <c r="F7743" s="21" t="n">
        <v>0</v>
      </c>
      <c r="G7743" s="21" t="n">
        <v>0</v>
      </c>
      <c r="H7743" s="21">
        <f>-$B$7050</f>
        <v/>
      </c>
      <c r="I7743" s="21">
        <f>-$B$7051</f>
        <v/>
      </c>
      <c r="J7743" s="21">
        <f>2*$B$7050+$D$7728</f>
        <v/>
      </c>
      <c r="K7743" s="21">
        <f>0</f>
        <v/>
      </c>
      <c r="L7743" s="21">
        <f>-$B$7050</f>
        <v/>
      </c>
      <c r="M7743" s="21">
        <f>$B$7051</f>
        <v/>
      </c>
      <c r="N7743" s="21" t="n">
        <v>0</v>
      </c>
      <c r="O7743" s="21" t="n">
        <v>0</v>
      </c>
      <c r="P7743" s="21" t="n">
        <v>0</v>
      </c>
      <c r="Q7743" s="21" t="n">
        <v>0</v>
      </c>
      <c r="R7743" s="21" t="n">
        <v>0</v>
      </c>
      <c r="S7743" s="21" t="n">
        <v>0</v>
      </c>
      <c r="T7743" s="21" t="n">
        <v>0</v>
      </c>
      <c r="U7743" s="21" t="n">
        <v>0</v>
      </c>
      <c r="V7743" s="21" t="n">
        <v>0</v>
      </c>
      <c r="W7743" s="21" t="n">
        <v>0</v>
      </c>
      <c r="X7743" s="21" t="n">
        <v>0</v>
      </c>
      <c r="Y7743" s="21" t="n">
        <v>0</v>
      </c>
      <c r="Z7743" s="19" t="n"/>
    </row>
    <row r="7744">
      <c r="D7744" s="21" t="n">
        <v>0</v>
      </c>
      <c r="E7744" s="21" t="n">
        <v>0</v>
      </c>
      <c r="F7744" s="21" t="n">
        <v>0</v>
      </c>
      <c r="G7744" s="21" t="n">
        <v>0</v>
      </c>
      <c r="H7744" s="21">
        <f>$B$7051</f>
        <v/>
      </c>
      <c r="I7744" s="21">
        <f>$B$7053</f>
        <v/>
      </c>
      <c r="J7744" s="21">
        <f>0</f>
        <v/>
      </c>
      <c r="K7744" s="21">
        <f>2*$B$7052</f>
        <v/>
      </c>
      <c r="L7744" s="21">
        <f>-$B$7051</f>
        <v/>
      </c>
      <c r="M7744" s="21">
        <f>$B$7053</f>
        <v/>
      </c>
      <c r="N7744" s="21" t="n">
        <v>0</v>
      </c>
      <c r="O7744" s="21" t="n">
        <v>0</v>
      </c>
      <c r="P7744" s="21" t="n">
        <v>0</v>
      </c>
      <c r="Q7744" s="21" t="n">
        <v>0</v>
      </c>
      <c r="R7744" s="21" t="n">
        <v>0</v>
      </c>
      <c r="S7744" s="21" t="n">
        <v>0</v>
      </c>
      <c r="T7744" s="21" t="n">
        <v>0</v>
      </c>
      <c r="U7744" s="21" t="n">
        <v>0</v>
      </c>
      <c r="V7744" s="21" t="n">
        <v>0</v>
      </c>
      <c r="W7744" s="21" t="n">
        <v>0</v>
      </c>
      <c r="X7744" s="21" t="n">
        <v>0</v>
      </c>
      <c r="Y7744" s="21" t="n">
        <v>0</v>
      </c>
      <c r="Z7744" s="19" t="n"/>
    </row>
    <row r="7745">
      <c r="D7745" s="21" t="n">
        <v>0</v>
      </c>
      <c r="E7745" s="21" t="n">
        <v>0</v>
      </c>
      <c r="F7745" s="21" t="n">
        <v>0</v>
      </c>
      <c r="G7745" s="21" t="n">
        <v>0</v>
      </c>
      <c r="H7745" s="21" t="n">
        <v>0</v>
      </c>
      <c r="I7745" s="21" t="n">
        <v>0</v>
      </c>
      <c r="J7745" s="21">
        <f>-$B$7050</f>
        <v/>
      </c>
      <c r="K7745" s="21">
        <f>-$B$7051</f>
        <v/>
      </c>
      <c r="L7745" s="21">
        <f>2*$B$7050+$D$7729</f>
        <v/>
      </c>
      <c r="M7745" s="21">
        <f>0</f>
        <v/>
      </c>
      <c r="N7745" s="21">
        <f>-$B$7050</f>
        <v/>
      </c>
      <c r="O7745" s="21">
        <f>$B$7051</f>
        <v/>
      </c>
      <c r="P7745" s="21" t="n">
        <v>0</v>
      </c>
      <c r="Q7745" s="21" t="n">
        <v>0</v>
      </c>
      <c r="R7745" s="21" t="n">
        <v>0</v>
      </c>
      <c r="S7745" s="21" t="n">
        <v>0</v>
      </c>
      <c r="T7745" s="21" t="n">
        <v>0</v>
      </c>
      <c r="U7745" s="21" t="n">
        <v>0</v>
      </c>
      <c r="V7745" s="21" t="n">
        <v>0</v>
      </c>
      <c r="W7745" s="21" t="n">
        <v>0</v>
      </c>
      <c r="X7745" s="21" t="n">
        <v>0</v>
      </c>
      <c r="Y7745" s="21" t="n">
        <v>0</v>
      </c>
      <c r="Z7745" s="19" t="n"/>
    </row>
    <row r="7746">
      <c r="D7746" s="21" t="n">
        <v>0</v>
      </c>
      <c r="E7746" s="21" t="n">
        <v>0</v>
      </c>
      <c r="F7746" s="21" t="n">
        <v>0</v>
      </c>
      <c r="G7746" s="21" t="n">
        <v>0</v>
      </c>
      <c r="H7746" s="21" t="n">
        <v>0</v>
      </c>
      <c r="I7746" s="21" t="n">
        <v>0</v>
      </c>
      <c r="J7746" s="21">
        <f>$B$7051</f>
        <v/>
      </c>
      <c r="K7746" s="21">
        <f>$B$7053</f>
        <v/>
      </c>
      <c r="L7746" s="21">
        <f>0</f>
        <v/>
      </c>
      <c r="M7746" s="21">
        <f>2*$B$7052</f>
        <v/>
      </c>
      <c r="N7746" s="21">
        <f>-$B$7051</f>
        <v/>
      </c>
      <c r="O7746" s="21">
        <f>$B$7053</f>
        <v/>
      </c>
      <c r="P7746" s="21" t="n">
        <v>0</v>
      </c>
      <c r="Q7746" s="21" t="n">
        <v>0</v>
      </c>
      <c r="R7746" s="21" t="n">
        <v>0</v>
      </c>
      <c r="S7746" s="21" t="n">
        <v>0</v>
      </c>
      <c r="T7746" s="21" t="n">
        <v>0</v>
      </c>
      <c r="U7746" s="21" t="n">
        <v>0</v>
      </c>
      <c r="V7746" s="21" t="n">
        <v>0</v>
      </c>
      <c r="W7746" s="21" t="n">
        <v>0</v>
      </c>
      <c r="X7746" s="21" t="n">
        <v>0</v>
      </c>
      <c r="Y7746" s="21" t="n">
        <v>0</v>
      </c>
      <c r="Z7746" s="19" t="n"/>
    </row>
    <row r="7747">
      <c r="D7747" s="21" t="n">
        <v>0</v>
      </c>
      <c r="E7747" s="21" t="n">
        <v>0</v>
      </c>
      <c r="F7747" s="21" t="n">
        <v>0</v>
      </c>
      <c r="G7747" s="21" t="n">
        <v>0</v>
      </c>
      <c r="H7747" s="21" t="n">
        <v>0</v>
      </c>
      <c r="I7747" s="21" t="n">
        <v>0</v>
      </c>
      <c r="J7747" s="21" t="n">
        <v>0</v>
      </c>
      <c r="K7747" s="21" t="n">
        <v>0</v>
      </c>
      <c r="L7747" s="21">
        <f>-$B$7050</f>
        <v/>
      </c>
      <c r="M7747" s="21">
        <f>-$B$7051</f>
        <v/>
      </c>
      <c r="N7747" s="21">
        <f>2*$B$7050+$D$7730</f>
        <v/>
      </c>
      <c r="O7747" s="21">
        <f>0</f>
        <v/>
      </c>
      <c r="P7747" s="21">
        <f>-$B$7050</f>
        <v/>
      </c>
      <c r="Q7747" s="21">
        <f>$B$7051</f>
        <v/>
      </c>
      <c r="R7747" s="21" t="n">
        <v>0</v>
      </c>
      <c r="S7747" s="21" t="n">
        <v>0</v>
      </c>
      <c r="T7747" s="21" t="n">
        <v>0</v>
      </c>
      <c r="U7747" s="21" t="n">
        <v>0</v>
      </c>
      <c r="V7747" s="21" t="n">
        <v>0</v>
      </c>
      <c r="W7747" s="21" t="n">
        <v>0</v>
      </c>
      <c r="X7747" s="21" t="n">
        <v>0</v>
      </c>
      <c r="Y7747" s="21" t="n">
        <v>0</v>
      </c>
      <c r="Z7747" s="19" t="n"/>
    </row>
    <row r="7748">
      <c r="D7748" s="21" t="n">
        <v>0</v>
      </c>
      <c r="E7748" s="21" t="n">
        <v>0</v>
      </c>
      <c r="F7748" s="21" t="n">
        <v>0</v>
      </c>
      <c r="G7748" s="21" t="n">
        <v>0</v>
      </c>
      <c r="H7748" s="21" t="n">
        <v>0</v>
      </c>
      <c r="I7748" s="21" t="n">
        <v>0</v>
      </c>
      <c r="J7748" s="21" t="n">
        <v>0</v>
      </c>
      <c r="K7748" s="21" t="n">
        <v>0</v>
      </c>
      <c r="L7748" s="21">
        <f>$B$7051</f>
        <v/>
      </c>
      <c r="M7748" s="21">
        <f>$B$7053</f>
        <v/>
      </c>
      <c r="N7748" s="21">
        <f>0</f>
        <v/>
      </c>
      <c r="O7748" s="21">
        <f>2*$B$7052</f>
        <v/>
      </c>
      <c r="P7748" s="21">
        <f>-$B$7051</f>
        <v/>
      </c>
      <c r="Q7748" s="21">
        <f>$B$7053</f>
        <v/>
      </c>
      <c r="R7748" s="21" t="n">
        <v>0</v>
      </c>
      <c r="S7748" s="21" t="n">
        <v>0</v>
      </c>
      <c r="T7748" s="21" t="n">
        <v>0</v>
      </c>
      <c r="U7748" s="21" t="n">
        <v>0</v>
      </c>
      <c r="V7748" s="21" t="n">
        <v>0</v>
      </c>
      <c r="W7748" s="21" t="n">
        <v>0</v>
      </c>
      <c r="X7748" s="21" t="n">
        <v>0</v>
      </c>
      <c r="Y7748" s="21" t="n">
        <v>0</v>
      </c>
      <c r="Z7748" s="19" t="n"/>
    </row>
    <row r="7749">
      <c r="D7749" s="21" t="n">
        <v>0</v>
      </c>
      <c r="E7749" s="21" t="n">
        <v>0</v>
      </c>
      <c r="F7749" s="21" t="n">
        <v>0</v>
      </c>
      <c r="G7749" s="21" t="n">
        <v>0</v>
      </c>
      <c r="H7749" s="21" t="n">
        <v>0</v>
      </c>
      <c r="I7749" s="21" t="n">
        <v>0</v>
      </c>
      <c r="J7749" s="21" t="n">
        <v>0</v>
      </c>
      <c r="K7749" s="21" t="n">
        <v>0</v>
      </c>
      <c r="L7749" s="21" t="n">
        <v>0</v>
      </c>
      <c r="M7749" s="21" t="n">
        <v>0</v>
      </c>
      <c r="N7749" s="21">
        <f>-$B$7050</f>
        <v/>
      </c>
      <c r="O7749" s="21">
        <f>-$B$7051</f>
        <v/>
      </c>
      <c r="P7749" s="21">
        <f>2*$B$7050+$D$7731</f>
        <v/>
      </c>
      <c r="Q7749" s="21">
        <f>0</f>
        <v/>
      </c>
      <c r="R7749" s="21">
        <f>-$B$7050</f>
        <v/>
      </c>
      <c r="S7749" s="21">
        <f>$B$7051</f>
        <v/>
      </c>
      <c r="T7749" s="21" t="n">
        <v>0</v>
      </c>
      <c r="U7749" s="21" t="n">
        <v>0</v>
      </c>
      <c r="V7749" s="21" t="n">
        <v>0</v>
      </c>
      <c r="W7749" s="21" t="n">
        <v>0</v>
      </c>
      <c r="X7749" s="21" t="n">
        <v>0</v>
      </c>
      <c r="Y7749" s="21" t="n">
        <v>0</v>
      </c>
      <c r="Z7749" s="19" t="n"/>
    </row>
    <row r="7750">
      <c r="D7750" s="21" t="n">
        <v>0</v>
      </c>
      <c r="E7750" s="21" t="n">
        <v>0</v>
      </c>
      <c r="F7750" s="21" t="n">
        <v>0</v>
      </c>
      <c r="G7750" s="21" t="n">
        <v>0</v>
      </c>
      <c r="H7750" s="21" t="n">
        <v>0</v>
      </c>
      <c r="I7750" s="21" t="n">
        <v>0</v>
      </c>
      <c r="J7750" s="21" t="n">
        <v>0</v>
      </c>
      <c r="K7750" s="21" t="n">
        <v>0</v>
      </c>
      <c r="L7750" s="21" t="n">
        <v>0</v>
      </c>
      <c r="M7750" s="21" t="n">
        <v>0</v>
      </c>
      <c r="N7750" s="21">
        <f>$B$7051</f>
        <v/>
      </c>
      <c r="O7750" s="21">
        <f>$B$7053</f>
        <v/>
      </c>
      <c r="P7750" s="21">
        <f>0</f>
        <v/>
      </c>
      <c r="Q7750" s="21">
        <f>2*$B$7052</f>
        <v/>
      </c>
      <c r="R7750" s="21">
        <f>-$B$7051</f>
        <v/>
      </c>
      <c r="S7750" s="21">
        <f>$B$7053</f>
        <v/>
      </c>
      <c r="T7750" s="21" t="n">
        <v>0</v>
      </c>
      <c r="U7750" s="21" t="n">
        <v>0</v>
      </c>
      <c r="V7750" s="21" t="n">
        <v>0</v>
      </c>
      <c r="W7750" s="21" t="n">
        <v>0</v>
      </c>
      <c r="X7750" s="21" t="n">
        <v>0</v>
      </c>
      <c r="Y7750" s="21" t="n">
        <v>0</v>
      </c>
      <c r="Z7750" s="19" t="n"/>
    </row>
    <row r="7751">
      <c r="D7751" s="21" t="n">
        <v>0</v>
      </c>
      <c r="E7751" s="21" t="n">
        <v>0</v>
      </c>
      <c r="F7751" s="21" t="n">
        <v>0</v>
      </c>
      <c r="G7751" s="21" t="n">
        <v>0</v>
      </c>
      <c r="H7751" s="21" t="n">
        <v>0</v>
      </c>
      <c r="I7751" s="21" t="n">
        <v>0</v>
      </c>
      <c r="J7751" s="21" t="n">
        <v>0</v>
      </c>
      <c r="K7751" s="21" t="n">
        <v>0</v>
      </c>
      <c r="L7751" s="21" t="n">
        <v>0</v>
      </c>
      <c r="M7751" s="21" t="n">
        <v>0</v>
      </c>
      <c r="N7751" s="21" t="n">
        <v>0</v>
      </c>
      <c r="O7751" s="21" t="n">
        <v>0</v>
      </c>
      <c r="P7751" s="21">
        <f>-$B$7050</f>
        <v/>
      </c>
      <c r="Q7751" s="21">
        <f>-$B$7051</f>
        <v/>
      </c>
      <c r="R7751" s="21">
        <f>2*$B$7050+$D$7732</f>
        <v/>
      </c>
      <c r="S7751" s="21">
        <f>0</f>
        <v/>
      </c>
      <c r="T7751" s="21">
        <f>-$B$7050</f>
        <v/>
      </c>
      <c r="U7751" s="21">
        <f>$B$7051</f>
        <v/>
      </c>
      <c r="V7751" s="21" t="n">
        <v>0</v>
      </c>
      <c r="W7751" s="21" t="n">
        <v>0</v>
      </c>
      <c r="X7751" s="21" t="n">
        <v>0</v>
      </c>
      <c r="Y7751" s="21" t="n">
        <v>0</v>
      </c>
      <c r="Z7751" s="19" t="n"/>
    </row>
    <row r="7752">
      <c r="D7752" s="21" t="n">
        <v>0</v>
      </c>
      <c r="E7752" s="21" t="n">
        <v>0</v>
      </c>
      <c r="F7752" s="21" t="n">
        <v>0</v>
      </c>
      <c r="G7752" s="21" t="n">
        <v>0</v>
      </c>
      <c r="H7752" s="21" t="n">
        <v>0</v>
      </c>
      <c r="I7752" s="21" t="n">
        <v>0</v>
      </c>
      <c r="J7752" s="21" t="n">
        <v>0</v>
      </c>
      <c r="K7752" s="21" t="n">
        <v>0</v>
      </c>
      <c r="L7752" s="21" t="n">
        <v>0</v>
      </c>
      <c r="M7752" s="21" t="n">
        <v>0</v>
      </c>
      <c r="N7752" s="21" t="n">
        <v>0</v>
      </c>
      <c r="O7752" s="21" t="n">
        <v>0</v>
      </c>
      <c r="P7752" s="21">
        <f>$B$7051</f>
        <v/>
      </c>
      <c r="Q7752" s="21">
        <f>$B$7053</f>
        <v/>
      </c>
      <c r="R7752" s="21">
        <f>0</f>
        <v/>
      </c>
      <c r="S7752" s="21">
        <f>2*$B$7052</f>
        <v/>
      </c>
      <c r="T7752" s="21">
        <f>-$B$7051</f>
        <v/>
      </c>
      <c r="U7752" s="21">
        <f>$B$7053</f>
        <v/>
      </c>
      <c r="V7752" s="21" t="n">
        <v>0</v>
      </c>
      <c r="W7752" s="21" t="n">
        <v>0</v>
      </c>
      <c r="X7752" s="21" t="n">
        <v>0</v>
      </c>
      <c r="Y7752" s="21" t="n">
        <v>0</v>
      </c>
      <c r="Z7752" s="19" t="n"/>
    </row>
    <row r="7753">
      <c r="D7753" s="21" t="n">
        <v>0</v>
      </c>
      <c r="E7753" s="21" t="n">
        <v>0</v>
      </c>
      <c r="F7753" s="21" t="n">
        <v>0</v>
      </c>
      <c r="G7753" s="21" t="n">
        <v>0</v>
      </c>
      <c r="H7753" s="21" t="n">
        <v>0</v>
      </c>
      <c r="I7753" s="21" t="n">
        <v>0</v>
      </c>
      <c r="J7753" s="21" t="n">
        <v>0</v>
      </c>
      <c r="K7753" s="21" t="n">
        <v>0</v>
      </c>
      <c r="L7753" s="21" t="n">
        <v>0</v>
      </c>
      <c r="M7753" s="21" t="n">
        <v>0</v>
      </c>
      <c r="N7753" s="21" t="n">
        <v>0</v>
      </c>
      <c r="O7753" s="21" t="n">
        <v>0</v>
      </c>
      <c r="P7753" s="21" t="n">
        <v>0</v>
      </c>
      <c r="Q7753" s="21" t="n">
        <v>0</v>
      </c>
      <c r="R7753" s="21">
        <f>-$B$7050</f>
        <v/>
      </c>
      <c r="S7753" s="21">
        <f>-$B$7051</f>
        <v/>
      </c>
      <c r="T7753" s="21">
        <f>2*$B$7050+$D$7733</f>
        <v/>
      </c>
      <c r="U7753" s="21">
        <f>0</f>
        <v/>
      </c>
      <c r="V7753" s="21">
        <f>-$B$7050</f>
        <v/>
      </c>
      <c r="W7753" s="21">
        <f>$B$7051</f>
        <v/>
      </c>
      <c r="X7753" s="21" t="n">
        <v>0</v>
      </c>
      <c r="Y7753" s="21" t="n">
        <v>0</v>
      </c>
      <c r="Z7753" s="19" t="n"/>
    </row>
    <row r="7754">
      <c r="D7754" s="21" t="n">
        <v>0</v>
      </c>
      <c r="E7754" s="21" t="n">
        <v>0</v>
      </c>
      <c r="F7754" s="21" t="n">
        <v>0</v>
      </c>
      <c r="G7754" s="21" t="n">
        <v>0</v>
      </c>
      <c r="H7754" s="21" t="n">
        <v>0</v>
      </c>
      <c r="I7754" s="21" t="n">
        <v>0</v>
      </c>
      <c r="J7754" s="21" t="n">
        <v>0</v>
      </c>
      <c r="K7754" s="21" t="n">
        <v>0</v>
      </c>
      <c r="L7754" s="21" t="n">
        <v>0</v>
      </c>
      <c r="M7754" s="21" t="n">
        <v>0</v>
      </c>
      <c r="N7754" s="21" t="n">
        <v>0</v>
      </c>
      <c r="O7754" s="21" t="n">
        <v>0</v>
      </c>
      <c r="P7754" s="21" t="n">
        <v>0</v>
      </c>
      <c r="Q7754" s="21" t="n">
        <v>0</v>
      </c>
      <c r="R7754" s="21">
        <f>$B$7051</f>
        <v/>
      </c>
      <c r="S7754" s="21">
        <f>$B$7053</f>
        <v/>
      </c>
      <c r="T7754" s="21">
        <f>0</f>
        <v/>
      </c>
      <c r="U7754" s="21">
        <f>2*$B$7052</f>
        <v/>
      </c>
      <c r="V7754" s="21">
        <f>-$B$7051</f>
        <v/>
      </c>
      <c r="W7754" s="21">
        <f>$B$7053</f>
        <v/>
      </c>
      <c r="X7754" s="21" t="n">
        <v>0</v>
      </c>
      <c r="Y7754" s="21" t="n">
        <v>0</v>
      </c>
      <c r="Z7754" s="19" t="n"/>
    </row>
    <row r="7755">
      <c r="D7755" s="21" t="n">
        <v>0</v>
      </c>
      <c r="E7755" s="21" t="n">
        <v>0</v>
      </c>
      <c r="F7755" s="21" t="n">
        <v>0</v>
      </c>
      <c r="G7755" s="21" t="n">
        <v>0</v>
      </c>
      <c r="H7755" s="21" t="n">
        <v>0</v>
      </c>
      <c r="I7755" s="21" t="n">
        <v>0</v>
      </c>
      <c r="J7755" s="21" t="n">
        <v>0</v>
      </c>
      <c r="K7755" s="21" t="n">
        <v>0</v>
      </c>
      <c r="L7755" s="21" t="n">
        <v>0</v>
      </c>
      <c r="M7755" s="21" t="n">
        <v>0</v>
      </c>
      <c r="N7755" s="21" t="n">
        <v>0</v>
      </c>
      <c r="O7755" s="21" t="n">
        <v>0</v>
      </c>
      <c r="P7755" s="21" t="n">
        <v>0</v>
      </c>
      <c r="Q7755" s="21" t="n">
        <v>0</v>
      </c>
      <c r="R7755" s="21" t="n">
        <v>0</v>
      </c>
      <c r="S7755" s="21" t="n">
        <v>0</v>
      </c>
      <c r="T7755" s="21">
        <f>-$B$7050</f>
        <v/>
      </c>
      <c r="U7755" s="21">
        <f>-$B$7051</f>
        <v/>
      </c>
      <c r="V7755" s="21">
        <f>2*$B$7050+$D$7734</f>
        <v/>
      </c>
      <c r="W7755" s="21">
        <f>0</f>
        <v/>
      </c>
      <c r="X7755" s="21">
        <f>-$B$7050</f>
        <v/>
      </c>
      <c r="Y7755" s="21">
        <f>$B$7051</f>
        <v/>
      </c>
      <c r="Z7755" s="19" t="n"/>
    </row>
    <row r="7756">
      <c r="D7756" s="21" t="n">
        <v>0</v>
      </c>
      <c r="E7756" s="21" t="n">
        <v>0</v>
      </c>
      <c r="F7756" s="21" t="n">
        <v>0</v>
      </c>
      <c r="G7756" s="21" t="n">
        <v>0</v>
      </c>
      <c r="H7756" s="21" t="n">
        <v>0</v>
      </c>
      <c r="I7756" s="21" t="n">
        <v>0</v>
      </c>
      <c r="J7756" s="21" t="n">
        <v>0</v>
      </c>
      <c r="K7756" s="21" t="n">
        <v>0</v>
      </c>
      <c r="L7756" s="21" t="n">
        <v>0</v>
      </c>
      <c r="M7756" s="21" t="n">
        <v>0</v>
      </c>
      <c r="N7756" s="21" t="n">
        <v>0</v>
      </c>
      <c r="O7756" s="21" t="n">
        <v>0</v>
      </c>
      <c r="P7756" s="21" t="n">
        <v>0</v>
      </c>
      <c r="Q7756" s="21" t="n">
        <v>0</v>
      </c>
      <c r="R7756" s="21" t="n">
        <v>0</v>
      </c>
      <c r="S7756" s="21" t="n">
        <v>0</v>
      </c>
      <c r="T7756" s="21">
        <f>$B$7051</f>
        <v/>
      </c>
      <c r="U7756" s="21">
        <f>$B$7053</f>
        <v/>
      </c>
      <c r="V7756" s="21">
        <f>0</f>
        <v/>
      </c>
      <c r="W7756" s="21">
        <f>2*$B$7052</f>
        <v/>
      </c>
      <c r="X7756" s="21">
        <f>-$B$7051</f>
        <v/>
      </c>
      <c r="Y7756" s="21">
        <f>$B$7053</f>
        <v/>
      </c>
      <c r="Z7756" s="19" t="n"/>
    </row>
    <row r="7757">
      <c r="D7757" s="21" t="n">
        <v>0</v>
      </c>
      <c r="E7757" s="21" t="n">
        <v>0</v>
      </c>
      <c r="F7757" s="21" t="n">
        <v>0</v>
      </c>
      <c r="G7757" s="21" t="n">
        <v>0</v>
      </c>
      <c r="H7757" s="21" t="n">
        <v>0</v>
      </c>
      <c r="I7757" s="21" t="n">
        <v>0</v>
      </c>
      <c r="J7757" s="21" t="n">
        <v>0</v>
      </c>
      <c r="K7757" s="21" t="n">
        <v>0</v>
      </c>
      <c r="L7757" s="21" t="n">
        <v>0</v>
      </c>
      <c r="M7757" s="21" t="n">
        <v>0</v>
      </c>
      <c r="N7757" s="21" t="n">
        <v>0</v>
      </c>
      <c r="O7757" s="21" t="n">
        <v>0</v>
      </c>
      <c r="P7757" s="21" t="n">
        <v>0</v>
      </c>
      <c r="Q7757" s="21" t="n">
        <v>0</v>
      </c>
      <c r="R7757" s="21" t="n">
        <v>0</v>
      </c>
      <c r="S7757" s="21" t="n">
        <v>0</v>
      </c>
      <c r="T7757" s="21" t="n">
        <v>0</v>
      </c>
      <c r="U7757" s="21" t="n">
        <v>0</v>
      </c>
      <c r="V7757" s="21">
        <f>-$B$7050</f>
        <v/>
      </c>
      <c r="W7757" s="21">
        <f>-$B$7051</f>
        <v/>
      </c>
      <c r="X7757" s="21">
        <f>$B$7050+$D$7735</f>
        <v/>
      </c>
      <c r="Y7757" s="21">
        <f>-$B$7051</f>
        <v/>
      </c>
      <c r="Z7757" s="19" t="n"/>
    </row>
    <row r="7758">
      <c r="D7758" s="21" t="n">
        <v>0</v>
      </c>
      <c r="E7758" s="21" t="n">
        <v>0</v>
      </c>
      <c r="F7758" s="21" t="n">
        <v>0</v>
      </c>
      <c r="G7758" s="21" t="n">
        <v>0</v>
      </c>
      <c r="H7758" s="21" t="n">
        <v>0</v>
      </c>
      <c r="I7758" s="21" t="n">
        <v>0</v>
      </c>
      <c r="J7758" s="21" t="n">
        <v>0</v>
      </c>
      <c r="K7758" s="21" t="n">
        <v>0</v>
      </c>
      <c r="L7758" s="21" t="n">
        <v>0</v>
      </c>
      <c r="M7758" s="21" t="n">
        <v>0</v>
      </c>
      <c r="N7758" s="21" t="n">
        <v>0</v>
      </c>
      <c r="O7758" s="21" t="n">
        <v>0</v>
      </c>
      <c r="P7758" s="21" t="n">
        <v>0</v>
      </c>
      <c r="Q7758" s="21" t="n">
        <v>0</v>
      </c>
      <c r="R7758" s="21" t="n">
        <v>0</v>
      </c>
      <c r="S7758" s="21" t="n">
        <v>0</v>
      </c>
      <c r="T7758" s="21" t="n">
        <v>0</v>
      </c>
      <c r="U7758" s="21" t="n">
        <v>0</v>
      </c>
      <c r="V7758" s="21">
        <f>$B$7051</f>
        <v/>
      </c>
      <c r="W7758" s="21">
        <f>$B$7053</f>
        <v/>
      </c>
      <c r="X7758" s="21">
        <f>-$B$7051</f>
        <v/>
      </c>
      <c r="Y7758" s="21">
        <f>$B$7052</f>
        <v/>
      </c>
      <c r="Z7758" s="19" t="n"/>
    </row>
    <row r="7760">
      <c r="A7760" s="8" t="inlineStr">
        <is>
          <t>gen 19</t>
        </is>
      </c>
    </row>
    <row r="7761">
      <c r="D7761" s="19">
        <f>IF(ABS(IF(ABS($E$7725)&gt;0.000000001,$E$7725,0.000000001))=0,0,IF($E$7065&lt;=$B$7059,0,IF(ABS(IF(ABS($E$7725)&gt;0.000000001,$E$7725,0.000000001))&gt;=8*$B$7061,$H$7065,0.5*$H$7065*(ABS(IF(ABS($E$7725)&gt;0.000000001,$E$7725,0.000000001))/$B$7061)^(1/3)))/ABS(IF(ABS($E$7725)&gt;0.000000001,$E$7725,0.000000001))*$I$7065)</f>
        <v/>
      </c>
      <c r="E7761" s="19">
        <f>0.5*$E$7725+0.5*$Z$7773</f>
        <v/>
      </c>
      <c r="F7761" s="19">
        <f>$Z$7774</f>
        <v/>
      </c>
    </row>
    <row r="7762">
      <c r="D7762" s="19">
        <f>IF(ABS(IF(ABS($E$7726)&gt;0.000000001,$E$7726,0.000000001))=0,0,IF($E$7066&lt;=$B$7059,0,IF(ABS(IF(ABS($E$7726)&gt;0.000000001,$E$7726,0.000000001))&gt;=8*$B$7061,$H$7066,0.5*$H$7066*(ABS(IF(ABS($E$7726)&gt;0.000000001,$E$7726,0.000000001))/$B$7061)^(1/3)))/ABS(IF(ABS($E$7726)&gt;0.000000001,$E$7726,0.000000001))*$I$7066)</f>
        <v/>
      </c>
      <c r="E7762" s="19">
        <f>0.5*$E$7726+0.5*$Z$7775</f>
        <v/>
      </c>
      <c r="F7762" s="19">
        <f>$Z$7776</f>
        <v/>
      </c>
    </row>
    <row r="7763">
      <c r="D7763" s="19">
        <f>IF(ABS(IF(ABS($E$7727)&gt;0.000000001,$E$7727,0.000000001))=0,0,IF($E$7067&lt;=$B$7059,0,IF(ABS(IF(ABS($E$7727)&gt;0.000000001,$E$7727,0.000000001))&gt;=8*$B$7061,$H$7067,0.5*$H$7067*(ABS(IF(ABS($E$7727)&gt;0.000000001,$E$7727,0.000000001))/$B$7061)^(1/3)))/ABS(IF(ABS($E$7727)&gt;0.000000001,$E$7727,0.000000001))*$I$7067)</f>
        <v/>
      </c>
      <c r="E7763" s="19">
        <f>0.5*$E$7727+0.5*$Z$7777</f>
        <v/>
      </c>
      <c r="F7763" s="19">
        <f>$Z$7778</f>
        <v/>
      </c>
    </row>
    <row r="7764">
      <c r="D7764" s="19">
        <f>IF(ABS(IF(ABS($E$7728)&gt;0.000000001,$E$7728,0.000000001))=0,0,IF($E$7068&lt;=$B$7059,0,IF(ABS(IF(ABS($E$7728)&gt;0.000000001,$E$7728,0.000000001))&gt;=8*$B$7061,$H$7068,0.5*$H$7068*(ABS(IF(ABS($E$7728)&gt;0.000000001,$E$7728,0.000000001))/$B$7061)^(1/3)))/ABS(IF(ABS($E$7728)&gt;0.000000001,$E$7728,0.000000001))*$I$7068)</f>
        <v/>
      </c>
      <c r="E7764" s="19">
        <f>0.5*$E$7728+0.5*$Z$7779</f>
        <v/>
      </c>
      <c r="F7764" s="19">
        <f>$Z$7780</f>
        <v/>
      </c>
    </row>
    <row r="7765">
      <c r="D7765" s="19">
        <f>IF(ABS(IF(ABS($E$7729)&gt;0.000000001,$E$7729,0.000000001))=0,0,IF($E$7069&lt;=$B$7059,0,IF(ABS(IF(ABS($E$7729)&gt;0.000000001,$E$7729,0.000000001))&gt;=8*$B$7061,$H$7069,0.5*$H$7069*(ABS(IF(ABS($E$7729)&gt;0.000000001,$E$7729,0.000000001))/$B$7061)^(1/3)))/ABS(IF(ABS($E$7729)&gt;0.000000001,$E$7729,0.000000001))*$I$7069)</f>
        <v/>
      </c>
      <c r="E7765" s="19">
        <f>0.5*$E$7729+0.5*$Z$7781</f>
        <v/>
      </c>
      <c r="F7765" s="19">
        <f>$Z$7782</f>
        <v/>
      </c>
    </row>
    <row r="7766">
      <c r="D7766" s="19">
        <f>IF(ABS(IF(ABS($E$7730)&gt;0.000000001,$E$7730,0.000000001))=0,0,IF($E$7070&lt;=$B$7059,0,IF(ABS(IF(ABS($E$7730)&gt;0.000000001,$E$7730,0.000000001))&gt;=8*$B$7061,$H$7070,0.5*$H$7070*(ABS(IF(ABS($E$7730)&gt;0.000000001,$E$7730,0.000000001))/$B$7061)^(1/3)))/ABS(IF(ABS($E$7730)&gt;0.000000001,$E$7730,0.000000001))*$I$7070)</f>
        <v/>
      </c>
      <c r="E7766" s="19">
        <f>0.5*$E$7730+0.5*$Z$7783</f>
        <v/>
      </c>
      <c r="F7766" s="19">
        <f>$Z$7784</f>
        <v/>
      </c>
    </row>
    <row r="7767">
      <c r="D7767" s="19">
        <f>IF(ABS(IF(ABS($E$7731)&gt;0.000000001,$E$7731,0.000000001))=0,0,IF($E$7071&lt;=$B$7059,0,IF(ABS(IF(ABS($E$7731)&gt;0.000000001,$E$7731,0.000000001))&gt;=8*$B$7061,$H$7071,0.5*$H$7071*(ABS(IF(ABS($E$7731)&gt;0.000000001,$E$7731,0.000000001))/$B$7061)^(1/3)))/ABS(IF(ABS($E$7731)&gt;0.000000001,$E$7731,0.000000001))*$I$7071)</f>
        <v/>
      </c>
      <c r="E7767" s="19">
        <f>0.5*$E$7731+0.5*$Z$7785</f>
        <v/>
      </c>
      <c r="F7767" s="19">
        <f>$Z$7786</f>
        <v/>
      </c>
    </row>
    <row r="7768">
      <c r="D7768" s="19">
        <f>IF(ABS(IF(ABS($E$7732)&gt;0.000000001,$E$7732,0.000000001))=0,0,IF($E$7072&lt;=$B$7059,0,IF(ABS(IF(ABS($E$7732)&gt;0.000000001,$E$7732,0.000000001))&gt;=8*$B$7061,$H$7072,0.5*$H$7072*(ABS(IF(ABS($E$7732)&gt;0.000000001,$E$7732,0.000000001))/$B$7061)^(1/3)))/ABS(IF(ABS($E$7732)&gt;0.000000001,$E$7732,0.000000001))*$I$7072)</f>
        <v/>
      </c>
      <c r="E7768" s="19">
        <f>0.5*$E$7732+0.5*$Z$7787</f>
        <v/>
      </c>
      <c r="F7768" s="19">
        <f>$Z$7788</f>
        <v/>
      </c>
    </row>
    <row r="7769">
      <c r="D7769" s="19">
        <f>IF(ABS(IF(ABS($E$7733)&gt;0.000000001,$E$7733,0.000000001))=0,0,IF($E$7073&lt;=$B$7059,0,IF(ABS(IF(ABS($E$7733)&gt;0.000000001,$E$7733,0.000000001))&gt;=8*$B$7061,$H$7073,0.5*$H$7073*(ABS(IF(ABS($E$7733)&gt;0.000000001,$E$7733,0.000000001))/$B$7061)^(1/3)))/ABS(IF(ABS($E$7733)&gt;0.000000001,$E$7733,0.000000001))*$I$7073)</f>
        <v/>
      </c>
      <c r="E7769" s="19">
        <f>0.5*$E$7733+0.5*$Z$7789</f>
        <v/>
      </c>
      <c r="F7769" s="19">
        <f>$Z$7790</f>
        <v/>
      </c>
    </row>
    <row r="7770">
      <c r="D7770" s="19">
        <f>IF(ABS(IF(ABS($E$7734)&gt;0.000000001,$E$7734,0.000000001))=0,0,IF($E$7074&lt;=$B$7059,0,IF(ABS(IF(ABS($E$7734)&gt;0.000000001,$E$7734,0.000000001))&gt;=8*$B$7061,$H$7074,0.5*$H$7074*(ABS(IF(ABS($E$7734)&gt;0.000000001,$E$7734,0.000000001))/$B$7061)^(1/3)))/ABS(IF(ABS($E$7734)&gt;0.000000001,$E$7734,0.000000001))*$I$7074)</f>
        <v/>
      </c>
      <c r="E7770" s="19">
        <f>0.5*$E$7734+0.5*$Z$7791</f>
        <v/>
      </c>
      <c r="F7770" s="19">
        <f>$Z$7792</f>
        <v/>
      </c>
    </row>
    <row r="7771">
      <c r="D7771" s="19">
        <f>IF(ABS(IF(ABS($E$7735)&gt;0.000000001,$E$7735,0.000000001))=0,0,IF($E$7075&lt;=$B$7059,0,IF(ABS(IF(ABS($E$7735)&gt;0.000000001,$E$7735,0.000000001))&gt;=8*$B$7061,$H$7075,0.5*$H$7075*(ABS(IF(ABS($E$7735)&gt;0.000000001,$E$7735,0.000000001))/$B$7061)^(1/3)))/ABS(IF(ABS($E$7735)&gt;0.000000001,$E$7735,0.000000001))*$I$7075)</f>
        <v/>
      </c>
      <c r="E7771" s="19">
        <f>0.5*$E$7735+0.5*$Z$7793</f>
        <v/>
      </c>
      <c r="F7771" s="19">
        <f>$Z$7794</f>
        <v/>
      </c>
    </row>
    <row r="7773">
      <c r="D7773" s="21">
        <f>$B$7050+$D$7761</f>
        <v/>
      </c>
      <c r="E7773" s="21">
        <f>$B$7051</f>
        <v/>
      </c>
      <c r="F7773" s="21">
        <f>-$B$7050</f>
        <v/>
      </c>
      <c r="G7773" s="21">
        <f>$B$7051</f>
        <v/>
      </c>
      <c r="H7773" s="21" t="n">
        <v>0</v>
      </c>
      <c r="I7773" s="21" t="n">
        <v>0</v>
      </c>
      <c r="J7773" s="21" t="n">
        <v>0</v>
      </c>
      <c r="K7773" s="21" t="n">
        <v>0</v>
      </c>
      <c r="L7773" s="21" t="n">
        <v>0</v>
      </c>
      <c r="M7773" s="21" t="n">
        <v>0</v>
      </c>
      <c r="N7773" s="21" t="n">
        <v>0</v>
      </c>
      <c r="O7773" s="21" t="n">
        <v>0</v>
      </c>
      <c r="P7773" s="21" t="n">
        <v>0</v>
      </c>
      <c r="Q7773" s="21" t="n">
        <v>0</v>
      </c>
      <c r="R7773" s="21" t="n">
        <v>0</v>
      </c>
      <c r="S7773" s="21" t="n">
        <v>0</v>
      </c>
      <c r="T7773" s="21" t="n">
        <v>0</v>
      </c>
      <c r="U7773" s="21" t="n">
        <v>0</v>
      </c>
      <c r="V7773" s="21" t="n">
        <v>0</v>
      </c>
      <c r="W7773" s="21" t="n">
        <v>0</v>
      </c>
      <c r="X7773" s="21" t="n">
        <v>0</v>
      </c>
      <c r="Y7773" s="21" t="n">
        <v>0</v>
      </c>
      <c r="Z7773" s="19">
        <f t="array" ref="Z7773:Z7794">MMULT(MINVERSE($D$7773:$Y$7794),$D$7077:$D$7098)</f>
        <v/>
      </c>
    </row>
    <row r="7774">
      <c r="D7774" s="21">
        <f>$B$7051</f>
        <v/>
      </c>
      <c r="E7774" s="21">
        <f>$B$7052</f>
        <v/>
      </c>
      <c r="F7774" s="21">
        <f>-$B$7051</f>
        <v/>
      </c>
      <c r="G7774" s="21">
        <f>$B$7053</f>
        <v/>
      </c>
      <c r="H7774" s="21" t="n">
        <v>0</v>
      </c>
      <c r="I7774" s="21" t="n">
        <v>0</v>
      </c>
      <c r="J7774" s="21" t="n">
        <v>0</v>
      </c>
      <c r="K7774" s="21" t="n">
        <v>0</v>
      </c>
      <c r="L7774" s="21" t="n">
        <v>0</v>
      </c>
      <c r="M7774" s="21" t="n">
        <v>0</v>
      </c>
      <c r="N7774" s="21" t="n">
        <v>0</v>
      </c>
      <c r="O7774" s="21" t="n">
        <v>0</v>
      </c>
      <c r="P7774" s="21" t="n">
        <v>0</v>
      </c>
      <c r="Q7774" s="21" t="n">
        <v>0</v>
      </c>
      <c r="R7774" s="21" t="n">
        <v>0</v>
      </c>
      <c r="S7774" s="21" t="n">
        <v>0</v>
      </c>
      <c r="T7774" s="21" t="n">
        <v>0</v>
      </c>
      <c r="U7774" s="21" t="n">
        <v>0</v>
      </c>
      <c r="V7774" s="21" t="n">
        <v>0</v>
      </c>
      <c r="W7774" s="21" t="n">
        <v>0</v>
      </c>
      <c r="X7774" s="21" t="n">
        <v>0</v>
      </c>
      <c r="Y7774" s="21" t="n">
        <v>0</v>
      </c>
      <c r="Z7774" s="19" t="n"/>
    </row>
    <row r="7775">
      <c r="D7775" s="21">
        <f>-$B$7050</f>
        <v/>
      </c>
      <c r="E7775" s="21">
        <f>-$B$7051</f>
        <v/>
      </c>
      <c r="F7775" s="21">
        <f>2*$B$7050+$D$7762</f>
        <v/>
      </c>
      <c r="G7775" s="21">
        <f>0</f>
        <v/>
      </c>
      <c r="H7775" s="21">
        <f>-$B$7050</f>
        <v/>
      </c>
      <c r="I7775" s="21">
        <f>$B$7051</f>
        <v/>
      </c>
      <c r="J7775" s="21" t="n">
        <v>0</v>
      </c>
      <c r="K7775" s="21" t="n">
        <v>0</v>
      </c>
      <c r="L7775" s="21" t="n">
        <v>0</v>
      </c>
      <c r="M7775" s="21" t="n">
        <v>0</v>
      </c>
      <c r="N7775" s="21" t="n">
        <v>0</v>
      </c>
      <c r="O7775" s="21" t="n">
        <v>0</v>
      </c>
      <c r="P7775" s="21" t="n">
        <v>0</v>
      </c>
      <c r="Q7775" s="21" t="n">
        <v>0</v>
      </c>
      <c r="R7775" s="21" t="n">
        <v>0</v>
      </c>
      <c r="S7775" s="21" t="n">
        <v>0</v>
      </c>
      <c r="T7775" s="21" t="n">
        <v>0</v>
      </c>
      <c r="U7775" s="21" t="n">
        <v>0</v>
      </c>
      <c r="V7775" s="21" t="n">
        <v>0</v>
      </c>
      <c r="W7775" s="21" t="n">
        <v>0</v>
      </c>
      <c r="X7775" s="21" t="n">
        <v>0</v>
      </c>
      <c r="Y7775" s="21" t="n">
        <v>0</v>
      </c>
      <c r="Z7775" s="19" t="n"/>
    </row>
    <row r="7776">
      <c r="D7776" s="21">
        <f>$B$7051</f>
        <v/>
      </c>
      <c r="E7776" s="21">
        <f>$B$7053</f>
        <v/>
      </c>
      <c r="F7776" s="21">
        <f>0</f>
        <v/>
      </c>
      <c r="G7776" s="21">
        <f>2*$B$7052</f>
        <v/>
      </c>
      <c r="H7776" s="21">
        <f>-$B$7051</f>
        <v/>
      </c>
      <c r="I7776" s="21">
        <f>$B$7053</f>
        <v/>
      </c>
      <c r="J7776" s="21" t="n">
        <v>0</v>
      </c>
      <c r="K7776" s="21" t="n">
        <v>0</v>
      </c>
      <c r="L7776" s="21" t="n">
        <v>0</v>
      </c>
      <c r="M7776" s="21" t="n">
        <v>0</v>
      </c>
      <c r="N7776" s="21" t="n">
        <v>0</v>
      </c>
      <c r="O7776" s="21" t="n">
        <v>0</v>
      </c>
      <c r="P7776" s="21" t="n">
        <v>0</v>
      </c>
      <c r="Q7776" s="21" t="n">
        <v>0</v>
      </c>
      <c r="R7776" s="21" t="n">
        <v>0</v>
      </c>
      <c r="S7776" s="21" t="n">
        <v>0</v>
      </c>
      <c r="T7776" s="21" t="n">
        <v>0</v>
      </c>
      <c r="U7776" s="21" t="n">
        <v>0</v>
      </c>
      <c r="V7776" s="21" t="n">
        <v>0</v>
      </c>
      <c r="W7776" s="21" t="n">
        <v>0</v>
      </c>
      <c r="X7776" s="21" t="n">
        <v>0</v>
      </c>
      <c r="Y7776" s="21" t="n">
        <v>0</v>
      </c>
      <c r="Z7776" s="19" t="n"/>
    </row>
    <row r="7777">
      <c r="D7777" s="21" t="n">
        <v>0</v>
      </c>
      <c r="E7777" s="21" t="n">
        <v>0</v>
      </c>
      <c r="F7777" s="21">
        <f>-$B$7050</f>
        <v/>
      </c>
      <c r="G7777" s="21">
        <f>-$B$7051</f>
        <v/>
      </c>
      <c r="H7777" s="21">
        <f>2*$B$7050+$D$7763</f>
        <v/>
      </c>
      <c r="I7777" s="21">
        <f>0</f>
        <v/>
      </c>
      <c r="J7777" s="21">
        <f>-$B$7050</f>
        <v/>
      </c>
      <c r="K7777" s="21">
        <f>$B$7051</f>
        <v/>
      </c>
      <c r="L7777" s="21" t="n">
        <v>0</v>
      </c>
      <c r="M7777" s="21" t="n">
        <v>0</v>
      </c>
      <c r="N7777" s="21" t="n">
        <v>0</v>
      </c>
      <c r="O7777" s="21" t="n">
        <v>0</v>
      </c>
      <c r="P7777" s="21" t="n">
        <v>0</v>
      </c>
      <c r="Q7777" s="21" t="n">
        <v>0</v>
      </c>
      <c r="R7777" s="21" t="n">
        <v>0</v>
      </c>
      <c r="S7777" s="21" t="n">
        <v>0</v>
      </c>
      <c r="T7777" s="21" t="n">
        <v>0</v>
      </c>
      <c r="U7777" s="21" t="n">
        <v>0</v>
      </c>
      <c r="V7777" s="21" t="n">
        <v>0</v>
      </c>
      <c r="W7777" s="21" t="n">
        <v>0</v>
      </c>
      <c r="X7777" s="21" t="n">
        <v>0</v>
      </c>
      <c r="Y7777" s="21" t="n">
        <v>0</v>
      </c>
      <c r="Z7777" s="19" t="n"/>
    </row>
    <row r="7778">
      <c r="D7778" s="21" t="n">
        <v>0</v>
      </c>
      <c r="E7778" s="21" t="n">
        <v>0</v>
      </c>
      <c r="F7778" s="21">
        <f>$B$7051</f>
        <v/>
      </c>
      <c r="G7778" s="21">
        <f>$B$7053</f>
        <v/>
      </c>
      <c r="H7778" s="21">
        <f>0</f>
        <v/>
      </c>
      <c r="I7778" s="21">
        <f>2*$B$7052</f>
        <v/>
      </c>
      <c r="J7778" s="21">
        <f>-$B$7051</f>
        <v/>
      </c>
      <c r="K7778" s="21">
        <f>$B$7053</f>
        <v/>
      </c>
      <c r="L7778" s="21" t="n">
        <v>0</v>
      </c>
      <c r="M7778" s="21" t="n">
        <v>0</v>
      </c>
      <c r="N7778" s="21" t="n">
        <v>0</v>
      </c>
      <c r="O7778" s="21" t="n">
        <v>0</v>
      </c>
      <c r="P7778" s="21" t="n">
        <v>0</v>
      </c>
      <c r="Q7778" s="21" t="n">
        <v>0</v>
      </c>
      <c r="R7778" s="21" t="n">
        <v>0</v>
      </c>
      <c r="S7778" s="21" t="n">
        <v>0</v>
      </c>
      <c r="T7778" s="21" t="n">
        <v>0</v>
      </c>
      <c r="U7778" s="21" t="n">
        <v>0</v>
      </c>
      <c r="V7778" s="21" t="n">
        <v>0</v>
      </c>
      <c r="W7778" s="21" t="n">
        <v>0</v>
      </c>
      <c r="X7778" s="21" t="n">
        <v>0</v>
      </c>
      <c r="Y7778" s="21" t="n">
        <v>0</v>
      </c>
      <c r="Z7778" s="19" t="n"/>
    </row>
    <row r="7779">
      <c r="D7779" s="21" t="n">
        <v>0</v>
      </c>
      <c r="E7779" s="21" t="n">
        <v>0</v>
      </c>
      <c r="F7779" s="21" t="n">
        <v>0</v>
      </c>
      <c r="G7779" s="21" t="n">
        <v>0</v>
      </c>
      <c r="H7779" s="21">
        <f>-$B$7050</f>
        <v/>
      </c>
      <c r="I7779" s="21">
        <f>-$B$7051</f>
        <v/>
      </c>
      <c r="J7779" s="21">
        <f>2*$B$7050+$D$7764</f>
        <v/>
      </c>
      <c r="K7779" s="21">
        <f>0</f>
        <v/>
      </c>
      <c r="L7779" s="21">
        <f>-$B$7050</f>
        <v/>
      </c>
      <c r="M7779" s="21">
        <f>$B$7051</f>
        <v/>
      </c>
      <c r="N7779" s="21" t="n">
        <v>0</v>
      </c>
      <c r="O7779" s="21" t="n">
        <v>0</v>
      </c>
      <c r="P7779" s="21" t="n">
        <v>0</v>
      </c>
      <c r="Q7779" s="21" t="n">
        <v>0</v>
      </c>
      <c r="R7779" s="21" t="n">
        <v>0</v>
      </c>
      <c r="S7779" s="21" t="n">
        <v>0</v>
      </c>
      <c r="T7779" s="21" t="n">
        <v>0</v>
      </c>
      <c r="U7779" s="21" t="n">
        <v>0</v>
      </c>
      <c r="V7779" s="21" t="n">
        <v>0</v>
      </c>
      <c r="W7779" s="21" t="n">
        <v>0</v>
      </c>
      <c r="X7779" s="21" t="n">
        <v>0</v>
      </c>
      <c r="Y7779" s="21" t="n">
        <v>0</v>
      </c>
      <c r="Z7779" s="19" t="n"/>
    </row>
    <row r="7780">
      <c r="D7780" s="21" t="n">
        <v>0</v>
      </c>
      <c r="E7780" s="21" t="n">
        <v>0</v>
      </c>
      <c r="F7780" s="21" t="n">
        <v>0</v>
      </c>
      <c r="G7780" s="21" t="n">
        <v>0</v>
      </c>
      <c r="H7780" s="21">
        <f>$B$7051</f>
        <v/>
      </c>
      <c r="I7780" s="21">
        <f>$B$7053</f>
        <v/>
      </c>
      <c r="J7780" s="21">
        <f>0</f>
        <v/>
      </c>
      <c r="K7780" s="21">
        <f>2*$B$7052</f>
        <v/>
      </c>
      <c r="L7780" s="21">
        <f>-$B$7051</f>
        <v/>
      </c>
      <c r="M7780" s="21">
        <f>$B$7053</f>
        <v/>
      </c>
      <c r="N7780" s="21" t="n">
        <v>0</v>
      </c>
      <c r="O7780" s="21" t="n">
        <v>0</v>
      </c>
      <c r="P7780" s="21" t="n">
        <v>0</v>
      </c>
      <c r="Q7780" s="21" t="n">
        <v>0</v>
      </c>
      <c r="R7780" s="21" t="n">
        <v>0</v>
      </c>
      <c r="S7780" s="21" t="n">
        <v>0</v>
      </c>
      <c r="T7780" s="21" t="n">
        <v>0</v>
      </c>
      <c r="U7780" s="21" t="n">
        <v>0</v>
      </c>
      <c r="V7780" s="21" t="n">
        <v>0</v>
      </c>
      <c r="W7780" s="21" t="n">
        <v>0</v>
      </c>
      <c r="X7780" s="21" t="n">
        <v>0</v>
      </c>
      <c r="Y7780" s="21" t="n">
        <v>0</v>
      </c>
      <c r="Z7780" s="19" t="n"/>
    </row>
    <row r="7781">
      <c r="D7781" s="21" t="n">
        <v>0</v>
      </c>
      <c r="E7781" s="21" t="n">
        <v>0</v>
      </c>
      <c r="F7781" s="21" t="n">
        <v>0</v>
      </c>
      <c r="G7781" s="21" t="n">
        <v>0</v>
      </c>
      <c r="H7781" s="21" t="n">
        <v>0</v>
      </c>
      <c r="I7781" s="21" t="n">
        <v>0</v>
      </c>
      <c r="J7781" s="21">
        <f>-$B$7050</f>
        <v/>
      </c>
      <c r="K7781" s="21">
        <f>-$B$7051</f>
        <v/>
      </c>
      <c r="L7781" s="21">
        <f>2*$B$7050+$D$7765</f>
        <v/>
      </c>
      <c r="M7781" s="21">
        <f>0</f>
        <v/>
      </c>
      <c r="N7781" s="21">
        <f>-$B$7050</f>
        <v/>
      </c>
      <c r="O7781" s="21">
        <f>$B$7051</f>
        <v/>
      </c>
      <c r="P7781" s="21" t="n">
        <v>0</v>
      </c>
      <c r="Q7781" s="21" t="n">
        <v>0</v>
      </c>
      <c r="R7781" s="21" t="n">
        <v>0</v>
      </c>
      <c r="S7781" s="21" t="n">
        <v>0</v>
      </c>
      <c r="T7781" s="21" t="n">
        <v>0</v>
      </c>
      <c r="U7781" s="21" t="n">
        <v>0</v>
      </c>
      <c r="V7781" s="21" t="n">
        <v>0</v>
      </c>
      <c r="W7781" s="21" t="n">
        <v>0</v>
      </c>
      <c r="X7781" s="21" t="n">
        <v>0</v>
      </c>
      <c r="Y7781" s="21" t="n">
        <v>0</v>
      </c>
      <c r="Z7781" s="19" t="n"/>
    </row>
    <row r="7782">
      <c r="D7782" s="21" t="n">
        <v>0</v>
      </c>
      <c r="E7782" s="21" t="n">
        <v>0</v>
      </c>
      <c r="F7782" s="21" t="n">
        <v>0</v>
      </c>
      <c r="G7782" s="21" t="n">
        <v>0</v>
      </c>
      <c r="H7782" s="21" t="n">
        <v>0</v>
      </c>
      <c r="I7782" s="21" t="n">
        <v>0</v>
      </c>
      <c r="J7782" s="21">
        <f>$B$7051</f>
        <v/>
      </c>
      <c r="K7782" s="21">
        <f>$B$7053</f>
        <v/>
      </c>
      <c r="L7782" s="21">
        <f>0</f>
        <v/>
      </c>
      <c r="M7782" s="21">
        <f>2*$B$7052</f>
        <v/>
      </c>
      <c r="N7782" s="21">
        <f>-$B$7051</f>
        <v/>
      </c>
      <c r="O7782" s="21">
        <f>$B$7053</f>
        <v/>
      </c>
      <c r="P7782" s="21" t="n">
        <v>0</v>
      </c>
      <c r="Q7782" s="21" t="n">
        <v>0</v>
      </c>
      <c r="R7782" s="21" t="n">
        <v>0</v>
      </c>
      <c r="S7782" s="21" t="n">
        <v>0</v>
      </c>
      <c r="T7782" s="21" t="n">
        <v>0</v>
      </c>
      <c r="U7782" s="21" t="n">
        <v>0</v>
      </c>
      <c r="V7782" s="21" t="n">
        <v>0</v>
      </c>
      <c r="W7782" s="21" t="n">
        <v>0</v>
      </c>
      <c r="X7782" s="21" t="n">
        <v>0</v>
      </c>
      <c r="Y7782" s="21" t="n">
        <v>0</v>
      </c>
      <c r="Z7782" s="19" t="n"/>
    </row>
    <row r="7783">
      <c r="D7783" s="21" t="n">
        <v>0</v>
      </c>
      <c r="E7783" s="21" t="n">
        <v>0</v>
      </c>
      <c r="F7783" s="21" t="n">
        <v>0</v>
      </c>
      <c r="G7783" s="21" t="n">
        <v>0</v>
      </c>
      <c r="H7783" s="21" t="n">
        <v>0</v>
      </c>
      <c r="I7783" s="21" t="n">
        <v>0</v>
      </c>
      <c r="J7783" s="21" t="n">
        <v>0</v>
      </c>
      <c r="K7783" s="21" t="n">
        <v>0</v>
      </c>
      <c r="L7783" s="21">
        <f>-$B$7050</f>
        <v/>
      </c>
      <c r="M7783" s="21">
        <f>-$B$7051</f>
        <v/>
      </c>
      <c r="N7783" s="21">
        <f>2*$B$7050+$D$7766</f>
        <v/>
      </c>
      <c r="O7783" s="21">
        <f>0</f>
        <v/>
      </c>
      <c r="P7783" s="21">
        <f>-$B$7050</f>
        <v/>
      </c>
      <c r="Q7783" s="21">
        <f>$B$7051</f>
        <v/>
      </c>
      <c r="R7783" s="21" t="n">
        <v>0</v>
      </c>
      <c r="S7783" s="21" t="n">
        <v>0</v>
      </c>
      <c r="T7783" s="21" t="n">
        <v>0</v>
      </c>
      <c r="U7783" s="21" t="n">
        <v>0</v>
      </c>
      <c r="V7783" s="21" t="n">
        <v>0</v>
      </c>
      <c r="W7783" s="21" t="n">
        <v>0</v>
      </c>
      <c r="X7783" s="21" t="n">
        <v>0</v>
      </c>
      <c r="Y7783" s="21" t="n">
        <v>0</v>
      </c>
      <c r="Z7783" s="19" t="n"/>
    </row>
    <row r="7784">
      <c r="D7784" s="21" t="n">
        <v>0</v>
      </c>
      <c r="E7784" s="21" t="n">
        <v>0</v>
      </c>
      <c r="F7784" s="21" t="n">
        <v>0</v>
      </c>
      <c r="G7784" s="21" t="n">
        <v>0</v>
      </c>
      <c r="H7784" s="21" t="n">
        <v>0</v>
      </c>
      <c r="I7784" s="21" t="n">
        <v>0</v>
      </c>
      <c r="J7784" s="21" t="n">
        <v>0</v>
      </c>
      <c r="K7784" s="21" t="n">
        <v>0</v>
      </c>
      <c r="L7784" s="21">
        <f>$B$7051</f>
        <v/>
      </c>
      <c r="M7784" s="21">
        <f>$B$7053</f>
        <v/>
      </c>
      <c r="N7784" s="21">
        <f>0</f>
        <v/>
      </c>
      <c r="O7784" s="21">
        <f>2*$B$7052</f>
        <v/>
      </c>
      <c r="P7784" s="21">
        <f>-$B$7051</f>
        <v/>
      </c>
      <c r="Q7784" s="21">
        <f>$B$7053</f>
        <v/>
      </c>
      <c r="R7784" s="21" t="n">
        <v>0</v>
      </c>
      <c r="S7784" s="21" t="n">
        <v>0</v>
      </c>
      <c r="T7784" s="21" t="n">
        <v>0</v>
      </c>
      <c r="U7784" s="21" t="n">
        <v>0</v>
      </c>
      <c r="V7784" s="21" t="n">
        <v>0</v>
      </c>
      <c r="W7784" s="21" t="n">
        <v>0</v>
      </c>
      <c r="X7784" s="21" t="n">
        <v>0</v>
      </c>
      <c r="Y7784" s="21" t="n">
        <v>0</v>
      </c>
      <c r="Z7784" s="19" t="n"/>
    </row>
    <row r="7785">
      <c r="D7785" s="21" t="n">
        <v>0</v>
      </c>
      <c r="E7785" s="21" t="n">
        <v>0</v>
      </c>
      <c r="F7785" s="21" t="n">
        <v>0</v>
      </c>
      <c r="G7785" s="21" t="n">
        <v>0</v>
      </c>
      <c r="H7785" s="21" t="n">
        <v>0</v>
      </c>
      <c r="I7785" s="21" t="n">
        <v>0</v>
      </c>
      <c r="J7785" s="21" t="n">
        <v>0</v>
      </c>
      <c r="K7785" s="21" t="n">
        <v>0</v>
      </c>
      <c r="L7785" s="21" t="n">
        <v>0</v>
      </c>
      <c r="M7785" s="21" t="n">
        <v>0</v>
      </c>
      <c r="N7785" s="21">
        <f>-$B$7050</f>
        <v/>
      </c>
      <c r="O7785" s="21">
        <f>-$B$7051</f>
        <v/>
      </c>
      <c r="P7785" s="21">
        <f>2*$B$7050+$D$7767</f>
        <v/>
      </c>
      <c r="Q7785" s="21">
        <f>0</f>
        <v/>
      </c>
      <c r="R7785" s="21">
        <f>-$B$7050</f>
        <v/>
      </c>
      <c r="S7785" s="21">
        <f>$B$7051</f>
        <v/>
      </c>
      <c r="T7785" s="21" t="n">
        <v>0</v>
      </c>
      <c r="U7785" s="21" t="n">
        <v>0</v>
      </c>
      <c r="V7785" s="21" t="n">
        <v>0</v>
      </c>
      <c r="W7785" s="21" t="n">
        <v>0</v>
      </c>
      <c r="X7785" s="21" t="n">
        <v>0</v>
      </c>
      <c r="Y7785" s="21" t="n">
        <v>0</v>
      </c>
      <c r="Z7785" s="19" t="n"/>
    </row>
    <row r="7786">
      <c r="D7786" s="21" t="n">
        <v>0</v>
      </c>
      <c r="E7786" s="21" t="n">
        <v>0</v>
      </c>
      <c r="F7786" s="21" t="n">
        <v>0</v>
      </c>
      <c r="G7786" s="21" t="n">
        <v>0</v>
      </c>
      <c r="H7786" s="21" t="n">
        <v>0</v>
      </c>
      <c r="I7786" s="21" t="n">
        <v>0</v>
      </c>
      <c r="J7786" s="21" t="n">
        <v>0</v>
      </c>
      <c r="K7786" s="21" t="n">
        <v>0</v>
      </c>
      <c r="L7786" s="21" t="n">
        <v>0</v>
      </c>
      <c r="M7786" s="21" t="n">
        <v>0</v>
      </c>
      <c r="N7786" s="21">
        <f>$B$7051</f>
        <v/>
      </c>
      <c r="O7786" s="21">
        <f>$B$7053</f>
        <v/>
      </c>
      <c r="P7786" s="21">
        <f>0</f>
        <v/>
      </c>
      <c r="Q7786" s="21">
        <f>2*$B$7052</f>
        <v/>
      </c>
      <c r="R7786" s="21">
        <f>-$B$7051</f>
        <v/>
      </c>
      <c r="S7786" s="21">
        <f>$B$7053</f>
        <v/>
      </c>
      <c r="T7786" s="21" t="n">
        <v>0</v>
      </c>
      <c r="U7786" s="21" t="n">
        <v>0</v>
      </c>
      <c r="V7786" s="21" t="n">
        <v>0</v>
      </c>
      <c r="W7786" s="21" t="n">
        <v>0</v>
      </c>
      <c r="X7786" s="21" t="n">
        <v>0</v>
      </c>
      <c r="Y7786" s="21" t="n">
        <v>0</v>
      </c>
      <c r="Z7786" s="19" t="n"/>
    </row>
    <row r="7787">
      <c r="D7787" s="21" t="n">
        <v>0</v>
      </c>
      <c r="E7787" s="21" t="n">
        <v>0</v>
      </c>
      <c r="F7787" s="21" t="n">
        <v>0</v>
      </c>
      <c r="G7787" s="21" t="n">
        <v>0</v>
      </c>
      <c r="H7787" s="21" t="n">
        <v>0</v>
      </c>
      <c r="I7787" s="21" t="n">
        <v>0</v>
      </c>
      <c r="J7787" s="21" t="n">
        <v>0</v>
      </c>
      <c r="K7787" s="21" t="n">
        <v>0</v>
      </c>
      <c r="L7787" s="21" t="n">
        <v>0</v>
      </c>
      <c r="M7787" s="21" t="n">
        <v>0</v>
      </c>
      <c r="N7787" s="21" t="n">
        <v>0</v>
      </c>
      <c r="O7787" s="21" t="n">
        <v>0</v>
      </c>
      <c r="P7787" s="21">
        <f>-$B$7050</f>
        <v/>
      </c>
      <c r="Q7787" s="21">
        <f>-$B$7051</f>
        <v/>
      </c>
      <c r="R7787" s="21">
        <f>2*$B$7050+$D$7768</f>
        <v/>
      </c>
      <c r="S7787" s="21">
        <f>0</f>
        <v/>
      </c>
      <c r="T7787" s="21">
        <f>-$B$7050</f>
        <v/>
      </c>
      <c r="U7787" s="21">
        <f>$B$7051</f>
        <v/>
      </c>
      <c r="V7787" s="21" t="n">
        <v>0</v>
      </c>
      <c r="W7787" s="21" t="n">
        <v>0</v>
      </c>
      <c r="X7787" s="21" t="n">
        <v>0</v>
      </c>
      <c r="Y7787" s="21" t="n">
        <v>0</v>
      </c>
      <c r="Z7787" s="19" t="n"/>
    </row>
    <row r="7788">
      <c r="D7788" s="21" t="n">
        <v>0</v>
      </c>
      <c r="E7788" s="21" t="n">
        <v>0</v>
      </c>
      <c r="F7788" s="21" t="n">
        <v>0</v>
      </c>
      <c r="G7788" s="21" t="n">
        <v>0</v>
      </c>
      <c r="H7788" s="21" t="n">
        <v>0</v>
      </c>
      <c r="I7788" s="21" t="n">
        <v>0</v>
      </c>
      <c r="J7788" s="21" t="n">
        <v>0</v>
      </c>
      <c r="K7788" s="21" t="n">
        <v>0</v>
      </c>
      <c r="L7788" s="21" t="n">
        <v>0</v>
      </c>
      <c r="M7788" s="21" t="n">
        <v>0</v>
      </c>
      <c r="N7788" s="21" t="n">
        <v>0</v>
      </c>
      <c r="O7788" s="21" t="n">
        <v>0</v>
      </c>
      <c r="P7788" s="21">
        <f>$B$7051</f>
        <v/>
      </c>
      <c r="Q7788" s="21">
        <f>$B$7053</f>
        <v/>
      </c>
      <c r="R7788" s="21">
        <f>0</f>
        <v/>
      </c>
      <c r="S7788" s="21">
        <f>2*$B$7052</f>
        <v/>
      </c>
      <c r="T7788" s="21">
        <f>-$B$7051</f>
        <v/>
      </c>
      <c r="U7788" s="21">
        <f>$B$7053</f>
        <v/>
      </c>
      <c r="V7788" s="21" t="n">
        <v>0</v>
      </c>
      <c r="W7788" s="21" t="n">
        <v>0</v>
      </c>
      <c r="X7788" s="21" t="n">
        <v>0</v>
      </c>
      <c r="Y7788" s="21" t="n">
        <v>0</v>
      </c>
      <c r="Z7788" s="19" t="n"/>
    </row>
    <row r="7789">
      <c r="D7789" s="21" t="n">
        <v>0</v>
      </c>
      <c r="E7789" s="21" t="n">
        <v>0</v>
      </c>
      <c r="F7789" s="21" t="n">
        <v>0</v>
      </c>
      <c r="G7789" s="21" t="n">
        <v>0</v>
      </c>
      <c r="H7789" s="21" t="n">
        <v>0</v>
      </c>
      <c r="I7789" s="21" t="n">
        <v>0</v>
      </c>
      <c r="J7789" s="21" t="n">
        <v>0</v>
      </c>
      <c r="K7789" s="21" t="n">
        <v>0</v>
      </c>
      <c r="L7789" s="21" t="n">
        <v>0</v>
      </c>
      <c r="M7789" s="21" t="n">
        <v>0</v>
      </c>
      <c r="N7789" s="21" t="n">
        <v>0</v>
      </c>
      <c r="O7789" s="21" t="n">
        <v>0</v>
      </c>
      <c r="P7789" s="21" t="n">
        <v>0</v>
      </c>
      <c r="Q7789" s="21" t="n">
        <v>0</v>
      </c>
      <c r="R7789" s="21">
        <f>-$B$7050</f>
        <v/>
      </c>
      <c r="S7789" s="21">
        <f>-$B$7051</f>
        <v/>
      </c>
      <c r="T7789" s="21">
        <f>2*$B$7050+$D$7769</f>
        <v/>
      </c>
      <c r="U7789" s="21">
        <f>0</f>
        <v/>
      </c>
      <c r="V7789" s="21">
        <f>-$B$7050</f>
        <v/>
      </c>
      <c r="W7789" s="21">
        <f>$B$7051</f>
        <v/>
      </c>
      <c r="X7789" s="21" t="n">
        <v>0</v>
      </c>
      <c r="Y7789" s="21" t="n">
        <v>0</v>
      </c>
      <c r="Z7789" s="19" t="n"/>
    </row>
    <row r="7790">
      <c r="D7790" s="21" t="n">
        <v>0</v>
      </c>
      <c r="E7790" s="21" t="n">
        <v>0</v>
      </c>
      <c r="F7790" s="21" t="n">
        <v>0</v>
      </c>
      <c r="G7790" s="21" t="n">
        <v>0</v>
      </c>
      <c r="H7790" s="21" t="n">
        <v>0</v>
      </c>
      <c r="I7790" s="21" t="n">
        <v>0</v>
      </c>
      <c r="J7790" s="21" t="n">
        <v>0</v>
      </c>
      <c r="K7790" s="21" t="n">
        <v>0</v>
      </c>
      <c r="L7790" s="21" t="n">
        <v>0</v>
      </c>
      <c r="M7790" s="21" t="n">
        <v>0</v>
      </c>
      <c r="N7790" s="21" t="n">
        <v>0</v>
      </c>
      <c r="O7790" s="21" t="n">
        <v>0</v>
      </c>
      <c r="P7790" s="21" t="n">
        <v>0</v>
      </c>
      <c r="Q7790" s="21" t="n">
        <v>0</v>
      </c>
      <c r="R7790" s="21">
        <f>$B$7051</f>
        <v/>
      </c>
      <c r="S7790" s="21">
        <f>$B$7053</f>
        <v/>
      </c>
      <c r="T7790" s="21">
        <f>0</f>
        <v/>
      </c>
      <c r="U7790" s="21">
        <f>2*$B$7052</f>
        <v/>
      </c>
      <c r="V7790" s="21">
        <f>-$B$7051</f>
        <v/>
      </c>
      <c r="W7790" s="21">
        <f>$B$7053</f>
        <v/>
      </c>
      <c r="X7790" s="21" t="n">
        <v>0</v>
      </c>
      <c r="Y7790" s="21" t="n">
        <v>0</v>
      </c>
      <c r="Z7790" s="19" t="n"/>
    </row>
    <row r="7791">
      <c r="D7791" s="21" t="n">
        <v>0</v>
      </c>
      <c r="E7791" s="21" t="n">
        <v>0</v>
      </c>
      <c r="F7791" s="21" t="n">
        <v>0</v>
      </c>
      <c r="G7791" s="21" t="n">
        <v>0</v>
      </c>
      <c r="H7791" s="21" t="n">
        <v>0</v>
      </c>
      <c r="I7791" s="21" t="n">
        <v>0</v>
      </c>
      <c r="J7791" s="21" t="n">
        <v>0</v>
      </c>
      <c r="K7791" s="21" t="n">
        <v>0</v>
      </c>
      <c r="L7791" s="21" t="n">
        <v>0</v>
      </c>
      <c r="M7791" s="21" t="n">
        <v>0</v>
      </c>
      <c r="N7791" s="21" t="n">
        <v>0</v>
      </c>
      <c r="O7791" s="21" t="n">
        <v>0</v>
      </c>
      <c r="P7791" s="21" t="n">
        <v>0</v>
      </c>
      <c r="Q7791" s="21" t="n">
        <v>0</v>
      </c>
      <c r="R7791" s="21" t="n">
        <v>0</v>
      </c>
      <c r="S7791" s="21" t="n">
        <v>0</v>
      </c>
      <c r="T7791" s="21">
        <f>-$B$7050</f>
        <v/>
      </c>
      <c r="U7791" s="21">
        <f>-$B$7051</f>
        <v/>
      </c>
      <c r="V7791" s="21">
        <f>2*$B$7050+$D$7770</f>
        <v/>
      </c>
      <c r="W7791" s="21">
        <f>0</f>
        <v/>
      </c>
      <c r="X7791" s="21">
        <f>-$B$7050</f>
        <v/>
      </c>
      <c r="Y7791" s="21">
        <f>$B$7051</f>
        <v/>
      </c>
      <c r="Z7791" s="19" t="n"/>
    </row>
    <row r="7792">
      <c r="D7792" s="21" t="n">
        <v>0</v>
      </c>
      <c r="E7792" s="21" t="n">
        <v>0</v>
      </c>
      <c r="F7792" s="21" t="n">
        <v>0</v>
      </c>
      <c r="G7792" s="21" t="n">
        <v>0</v>
      </c>
      <c r="H7792" s="21" t="n">
        <v>0</v>
      </c>
      <c r="I7792" s="21" t="n">
        <v>0</v>
      </c>
      <c r="J7792" s="21" t="n">
        <v>0</v>
      </c>
      <c r="K7792" s="21" t="n">
        <v>0</v>
      </c>
      <c r="L7792" s="21" t="n">
        <v>0</v>
      </c>
      <c r="M7792" s="21" t="n">
        <v>0</v>
      </c>
      <c r="N7792" s="21" t="n">
        <v>0</v>
      </c>
      <c r="O7792" s="21" t="n">
        <v>0</v>
      </c>
      <c r="P7792" s="21" t="n">
        <v>0</v>
      </c>
      <c r="Q7792" s="21" t="n">
        <v>0</v>
      </c>
      <c r="R7792" s="21" t="n">
        <v>0</v>
      </c>
      <c r="S7792" s="21" t="n">
        <v>0</v>
      </c>
      <c r="T7792" s="21">
        <f>$B$7051</f>
        <v/>
      </c>
      <c r="U7792" s="21">
        <f>$B$7053</f>
        <v/>
      </c>
      <c r="V7792" s="21">
        <f>0</f>
        <v/>
      </c>
      <c r="W7792" s="21">
        <f>2*$B$7052</f>
        <v/>
      </c>
      <c r="X7792" s="21">
        <f>-$B$7051</f>
        <v/>
      </c>
      <c r="Y7792" s="21">
        <f>$B$7053</f>
        <v/>
      </c>
      <c r="Z7792" s="19" t="n"/>
    </row>
    <row r="7793">
      <c r="D7793" s="21" t="n">
        <v>0</v>
      </c>
      <c r="E7793" s="21" t="n">
        <v>0</v>
      </c>
      <c r="F7793" s="21" t="n">
        <v>0</v>
      </c>
      <c r="G7793" s="21" t="n">
        <v>0</v>
      </c>
      <c r="H7793" s="21" t="n">
        <v>0</v>
      </c>
      <c r="I7793" s="21" t="n">
        <v>0</v>
      </c>
      <c r="J7793" s="21" t="n">
        <v>0</v>
      </c>
      <c r="K7793" s="21" t="n">
        <v>0</v>
      </c>
      <c r="L7793" s="21" t="n">
        <v>0</v>
      </c>
      <c r="M7793" s="21" t="n">
        <v>0</v>
      </c>
      <c r="N7793" s="21" t="n">
        <v>0</v>
      </c>
      <c r="O7793" s="21" t="n">
        <v>0</v>
      </c>
      <c r="P7793" s="21" t="n">
        <v>0</v>
      </c>
      <c r="Q7793" s="21" t="n">
        <v>0</v>
      </c>
      <c r="R7793" s="21" t="n">
        <v>0</v>
      </c>
      <c r="S7793" s="21" t="n">
        <v>0</v>
      </c>
      <c r="T7793" s="21" t="n">
        <v>0</v>
      </c>
      <c r="U7793" s="21" t="n">
        <v>0</v>
      </c>
      <c r="V7793" s="21">
        <f>-$B$7050</f>
        <v/>
      </c>
      <c r="W7793" s="21">
        <f>-$B$7051</f>
        <v/>
      </c>
      <c r="X7793" s="21">
        <f>$B$7050+$D$7771</f>
        <v/>
      </c>
      <c r="Y7793" s="21">
        <f>-$B$7051</f>
        <v/>
      </c>
      <c r="Z7793" s="19" t="n"/>
    </row>
    <row r="7794">
      <c r="D7794" s="21" t="n">
        <v>0</v>
      </c>
      <c r="E7794" s="21" t="n">
        <v>0</v>
      </c>
      <c r="F7794" s="21" t="n">
        <v>0</v>
      </c>
      <c r="G7794" s="21" t="n">
        <v>0</v>
      </c>
      <c r="H7794" s="21" t="n">
        <v>0</v>
      </c>
      <c r="I7794" s="21" t="n">
        <v>0</v>
      </c>
      <c r="J7794" s="21" t="n">
        <v>0</v>
      </c>
      <c r="K7794" s="21" t="n">
        <v>0</v>
      </c>
      <c r="L7794" s="21" t="n">
        <v>0</v>
      </c>
      <c r="M7794" s="21" t="n">
        <v>0</v>
      </c>
      <c r="N7794" s="21" t="n">
        <v>0</v>
      </c>
      <c r="O7794" s="21" t="n">
        <v>0</v>
      </c>
      <c r="P7794" s="21" t="n">
        <v>0</v>
      </c>
      <c r="Q7794" s="21" t="n">
        <v>0</v>
      </c>
      <c r="R7794" s="21" t="n">
        <v>0</v>
      </c>
      <c r="S7794" s="21" t="n">
        <v>0</v>
      </c>
      <c r="T7794" s="21" t="n">
        <v>0</v>
      </c>
      <c r="U7794" s="21" t="n">
        <v>0</v>
      </c>
      <c r="V7794" s="21">
        <f>$B$7051</f>
        <v/>
      </c>
      <c r="W7794" s="21">
        <f>$B$7053</f>
        <v/>
      </c>
      <c r="X7794" s="21">
        <f>-$B$7051</f>
        <v/>
      </c>
      <c r="Y7794" s="21">
        <f>$B$7052</f>
        <v/>
      </c>
      <c r="Z7794" s="19" t="n"/>
    </row>
    <row r="7796">
      <c r="A7796" s="8" t="inlineStr">
        <is>
          <t>gen 20</t>
        </is>
      </c>
    </row>
    <row r="7797">
      <c r="D7797" s="19">
        <f>IF(ABS(IF(ABS($E$7761)&gt;0.000000001,$E$7761,0.000000001))=0,0,IF($E$7065&lt;=$B$7059,0,IF(ABS(IF(ABS($E$7761)&gt;0.000000001,$E$7761,0.000000001))&gt;=8*$B$7061,$H$7065,0.5*$H$7065*(ABS(IF(ABS($E$7761)&gt;0.000000001,$E$7761,0.000000001))/$B$7061)^(1/3)))/ABS(IF(ABS($E$7761)&gt;0.000000001,$E$7761,0.000000001))*$I$7065)</f>
        <v/>
      </c>
      <c r="E7797" s="19">
        <f>0.5*$E$7761+0.5*$Z$7809</f>
        <v/>
      </c>
      <c r="F7797" s="19">
        <f>$Z$7810</f>
        <v/>
      </c>
    </row>
    <row r="7798">
      <c r="D7798" s="19">
        <f>IF(ABS(IF(ABS($E$7762)&gt;0.000000001,$E$7762,0.000000001))=0,0,IF($E$7066&lt;=$B$7059,0,IF(ABS(IF(ABS($E$7762)&gt;0.000000001,$E$7762,0.000000001))&gt;=8*$B$7061,$H$7066,0.5*$H$7066*(ABS(IF(ABS($E$7762)&gt;0.000000001,$E$7762,0.000000001))/$B$7061)^(1/3)))/ABS(IF(ABS($E$7762)&gt;0.000000001,$E$7762,0.000000001))*$I$7066)</f>
        <v/>
      </c>
      <c r="E7798" s="19">
        <f>0.5*$E$7762+0.5*$Z$7811</f>
        <v/>
      </c>
      <c r="F7798" s="19">
        <f>$Z$7812</f>
        <v/>
      </c>
    </row>
    <row r="7799">
      <c r="D7799" s="19">
        <f>IF(ABS(IF(ABS($E$7763)&gt;0.000000001,$E$7763,0.000000001))=0,0,IF($E$7067&lt;=$B$7059,0,IF(ABS(IF(ABS($E$7763)&gt;0.000000001,$E$7763,0.000000001))&gt;=8*$B$7061,$H$7067,0.5*$H$7067*(ABS(IF(ABS($E$7763)&gt;0.000000001,$E$7763,0.000000001))/$B$7061)^(1/3)))/ABS(IF(ABS($E$7763)&gt;0.000000001,$E$7763,0.000000001))*$I$7067)</f>
        <v/>
      </c>
      <c r="E7799" s="19">
        <f>0.5*$E$7763+0.5*$Z$7813</f>
        <v/>
      </c>
      <c r="F7799" s="19">
        <f>$Z$7814</f>
        <v/>
      </c>
    </row>
    <row r="7800">
      <c r="D7800" s="19">
        <f>IF(ABS(IF(ABS($E$7764)&gt;0.000000001,$E$7764,0.000000001))=0,0,IF($E$7068&lt;=$B$7059,0,IF(ABS(IF(ABS($E$7764)&gt;0.000000001,$E$7764,0.000000001))&gt;=8*$B$7061,$H$7068,0.5*$H$7068*(ABS(IF(ABS($E$7764)&gt;0.000000001,$E$7764,0.000000001))/$B$7061)^(1/3)))/ABS(IF(ABS($E$7764)&gt;0.000000001,$E$7764,0.000000001))*$I$7068)</f>
        <v/>
      </c>
      <c r="E7800" s="19">
        <f>0.5*$E$7764+0.5*$Z$7815</f>
        <v/>
      </c>
      <c r="F7800" s="19">
        <f>$Z$7816</f>
        <v/>
      </c>
    </row>
    <row r="7801">
      <c r="D7801" s="19">
        <f>IF(ABS(IF(ABS($E$7765)&gt;0.000000001,$E$7765,0.000000001))=0,0,IF($E$7069&lt;=$B$7059,0,IF(ABS(IF(ABS($E$7765)&gt;0.000000001,$E$7765,0.000000001))&gt;=8*$B$7061,$H$7069,0.5*$H$7069*(ABS(IF(ABS($E$7765)&gt;0.000000001,$E$7765,0.000000001))/$B$7061)^(1/3)))/ABS(IF(ABS($E$7765)&gt;0.000000001,$E$7765,0.000000001))*$I$7069)</f>
        <v/>
      </c>
      <c r="E7801" s="19">
        <f>0.5*$E$7765+0.5*$Z$7817</f>
        <v/>
      </c>
      <c r="F7801" s="19">
        <f>$Z$7818</f>
        <v/>
      </c>
    </row>
    <row r="7802">
      <c r="D7802" s="19">
        <f>IF(ABS(IF(ABS($E$7766)&gt;0.000000001,$E$7766,0.000000001))=0,0,IF($E$7070&lt;=$B$7059,0,IF(ABS(IF(ABS($E$7766)&gt;0.000000001,$E$7766,0.000000001))&gt;=8*$B$7061,$H$7070,0.5*$H$7070*(ABS(IF(ABS($E$7766)&gt;0.000000001,$E$7766,0.000000001))/$B$7061)^(1/3)))/ABS(IF(ABS($E$7766)&gt;0.000000001,$E$7766,0.000000001))*$I$7070)</f>
        <v/>
      </c>
      <c r="E7802" s="19">
        <f>0.5*$E$7766+0.5*$Z$7819</f>
        <v/>
      </c>
      <c r="F7802" s="19">
        <f>$Z$7820</f>
        <v/>
      </c>
    </row>
    <row r="7803">
      <c r="D7803" s="19">
        <f>IF(ABS(IF(ABS($E$7767)&gt;0.000000001,$E$7767,0.000000001))=0,0,IF($E$7071&lt;=$B$7059,0,IF(ABS(IF(ABS($E$7767)&gt;0.000000001,$E$7767,0.000000001))&gt;=8*$B$7061,$H$7071,0.5*$H$7071*(ABS(IF(ABS($E$7767)&gt;0.000000001,$E$7767,0.000000001))/$B$7061)^(1/3)))/ABS(IF(ABS($E$7767)&gt;0.000000001,$E$7767,0.000000001))*$I$7071)</f>
        <v/>
      </c>
      <c r="E7803" s="19">
        <f>0.5*$E$7767+0.5*$Z$7821</f>
        <v/>
      </c>
      <c r="F7803" s="19">
        <f>$Z$7822</f>
        <v/>
      </c>
    </row>
    <row r="7804">
      <c r="D7804" s="19">
        <f>IF(ABS(IF(ABS($E$7768)&gt;0.000000001,$E$7768,0.000000001))=0,0,IF($E$7072&lt;=$B$7059,0,IF(ABS(IF(ABS($E$7768)&gt;0.000000001,$E$7768,0.000000001))&gt;=8*$B$7061,$H$7072,0.5*$H$7072*(ABS(IF(ABS($E$7768)&gt;0.000000001,$E$7768,0.000000001))/$B$7061)^(1/3)))/ABS(IF(ABS($E$7768)&gt;0.000000001,$E$7768,0.000000001))*$I$7072)</f>
        <v/>
      </c>
      <c r="E7804" s="19">
        <f>0.5*$E$7768+0.5*$Z$7823</f>
        <v/>
      </c>
      <c r="F7804" s="19">
        <f>$Z$7824</f>
        <v/>
      </c>
    </row>
    <row r="7805">
      <c r="D7805" s="19">
        <f>IF(ABS(IF(ABS($E$7769)&gt;0.000000001,$E$7769,0.000000001))=0,0,IF($E$7073&lt;=$B$7059,0,IF(ABS(IF(ABS($E$7769)&gt;0.000000001,$E$7769,0.000000001))&gt;=8*$B$7061,$H$7073,0.5*$H$7073*(ABS(IF(ABS($E$7769)&gt;0.000000001,$E$7769,0.000000001))/$B$7061)^(1/3)))/ABS(IF(ABS($E$7769)&gt;0.000000001,$E$7769,0.000000001))*$I$7073)</f>
        <v/>
      </c>
      <c r="E7805" s="19">
        <f>0.5*$E$7769+0.5*$Z$7825</f>
        <v/>
      </c>
      <c r="F7805" s="19">
        <f>$Z$7826</f>
        <v/>
      </c>
    </row>
    <row r="7806">
      <c r="D7806" s="19">
        <f>IF(ABS(IF(ABS($E$7770)&gt;0.000000001,$E$7770,0.000000001))=0,0,IF($E$7074&lt;=$B$7059,0,IF(ABS(IF(ABS($E$7770)&gt;0.000000001,$E$7770,0.000000001))&gt;=8*$B$7061,$H$7074,0.5*$H$7074*(ABS(IF(ABS($E$7770)&gt;0.000000001,$E$7770,0.000000001))/$B$7061)^(1/3)))/ABS(IF(ABS($E$7770)&gt;0.000000001,$E$7770,0.000000001))*$I$7074)</f>
        <v/>
      </c>
      <c r="E7806" s="19">
        <f>0.5*$E$7770+0.5*$Z$7827</f>
        <v/>
      </c>
      <c r="F7806" s="19">
        <f>$Z$7828</f>
        <v/>
      </c>
    </row>
    <row r="7807">
      <c r="D7807" s="19">
        <f>IF(ABS(IF(ABS($E$7771)&gt;0.000000001,$E$7771,0.000000001))=0,0,IF($E$7075&lt;=$B$7059,0,IF(ABS(IF(ABS($E$7771)&gt;0.000000001,$E$7771,0.000000001))&gt;=8*$B$7061,$H$7075,0.5*$H$7075*(ABS(IF(ABS($E$7771)&gt;0.000000001,$E$7771,0.000000001))/$B$7061)^(1/3)))/ABS(IF(ABS($E$7771)&gt;0.000000001,$E$7771,0.000000001))*$I$7075)</f>
        <v/>
      </c>
      <c r="E7807" s="19">
        <f>0.5*$E$7771+0.5*$Z$7829</f>
        <v/>
      </c>
      <c r="F7807" s="19">
        <f>$Z$7830</f>
        <v/>
      </c>
    </row>
    <row r="7809">
      <c r="D7809" s="21">
        <f>$B$7050+$D$7797</f>
        <v/>
      </c>
      <c r="E7809" s="21">
        <f>$B$7051</f>
        <v/>
      </c>
      <c r="F7809" s="21">
        <f>-$B$7050</f>
        <v/>
      </c>
      <c r="G7809" s="21">
        <f>$B$7051</f>
        <v/>
      </c>
      <c r="H7809" s="21" t="n">
        <v>0</v>
      </c>
      <c r="I7809" s="21" t="n">
        <v>0</v>
      </c>
      <c r="J7809" s="21" t="n">
        <v>0</v>
      </c>
      <c r="K7809" s="21" t="n">
        <v>0</v>
      </c>
      <c r="L7809" s="21" t="n">
        <v>0</v>
      </c>
      <c r="M7809" s="21" t="n">
        <v>0</v>
      </c>
      <c r="N7809" s="21" t="n">
        <v>0</v>
      </c>
      <c r="O7809" s="21" t="n">
        <v>0</v>
      </c>
      <c r="P7809" s="21" t="n">
        <v>0</v>
      </c>
      <c r="Q7809" s="21" t="n">
        <v>0</v>
      </c>
      <c r="R7809" s="21" t="n">
        <v>0</v>
      </c>
      <c r="S7809" s="21" t="n">
        <v>0</v>
      </c>
      <c r="T7809" s="21" t="n">
        <v>0</v>
      </c>
      <c r="U7809" s="21" t="n">
        <v>0</v>
      </c>
      <c r="V7809" s="21" t="n">
        <v>0</v>
      </c>
      <c r="W7809" s="21" t="n">
        <v>0</v>
      </c>
      <c r="X7809" s="21" t="n">
        <v>0</v>
      </c>
      <c r="Y7809" s="21" t="n">
        <v>0</v>
      </c>
      <c r="Z7809" s="19">
        <f t="array" ref="Z7809:Z7830">MMULT(MINVERSE($D$7809:$Y$7830),$D$7077:$D$7098)</f>
        <v/>
      </c>
    </row>
    <row r="7810">
      <c r="D7810" s="21">
        <f>$B$7051</f>
        <v/>
      </c>
      <c r="E7810" s="21">
        <f>$B$7052</f>
        <v/>
      </c>
      <c r="F7810" s="21">
        <f>-$B$7051</f>
        <v/>
      </c>
      <c r="G7810" s="21">
        <f>$B$7053</f>
        <v/>
      </c>
      <c r="H7810" s="21" t="n">
        <v>0</v>
      </c>
      <c r="I7810" s="21" t="n">
        <v>0</v>
      </c>
      <c r="J7810" s="21" t="n">
        <v>0</v>
      </c>
      <c r="K7810" s="21" t="n">
        <v>0</v>
      </c>
      <c r="L7810" s="21" t="n">
        <v>0</v>
      </c>
      <c r="M7810" s="21" t="n">
        <v>0</v>
      </c>
      <c r="N7810" s="21" t="n">
        <v>0</v>
      </c>
      <c r="O7810" s="21" t="n">
        <v>0</v>
      </c>
      <c r="P7810" s="21" t="n">
        <v>0</v>
      </c>
      <c r="Q7810" s="21" t="n">
        <v>0</v>
      </c>
      <c r="R7810" s="21" t="n">
        <v>0</v>
      </c>
      <c r="S7810" s="21" t="n">
        <v>0</v>
      </c>
      <c r="T7810" s="21" t="n">
        <v>0</v>
      </c>
      <c r="U7810" s="21" t="n">
        <v>0</v>
      </c>
      <c r="V7810" s="21" t="n">
        <v>0</v>
      </c>
      <c r="W7810" s="21" t="n">
        <v>0</v>
      </c>
      <c r="X7810" s="21" t="n">
        <v>0</v>
      </c>
      <c r="Y7810" s="21" t="n">
        <v>0</v>
      </c>
      <c r="Z7810" s="19" t="n"/>
    </row>
    <row r="7811">
      <c r="D7811" s="21">
        <f>-$B$7050</f>
        <v/>
      </c>
      <c r="E7811" s="21">
        <f>-$B$7051</f>
        <v/>
      </c>
      <c r="F7811" s="21">
        <f>2*$B$7050+$D$7798</f>
        <v/>
      </c>
      <c r="G7811" s="21">
        <f>0</f>
        <v/>
      </c>
      <c r="H7811" s="21">
        <f>-$B$7050</f>
        <v/>
      </c>
      <c r="I7811" s="21">
        <f>$B$7051</f>
        <v/>
      </c>
      <c r="J7811" s="21" t="n">
        <v>0</v>
      </c>
      <c r="K7811" s="21" t="n">
        <v>0</v>
      </c>
      <c r="L7811" s="21" t="n">
        <v>0</v>
      </c>
      <c r="M7811" s="21" t="n">
        <v>0</v>
      </c>
      <c r="N7811" s="21" t="n">
        <v>0</v>
      </c>
      <c r="O7811" s="21" t="n">
        <v>0</v>
      </c>
      <c r="P7811" s="21" t="n">
        <v>0</v>
      </c>
      <c r="Q7811" s="21" t="n">
        <v>0</v>
      </c>
      <c r="R7811" s="21" t="n">
        <v>0</v>
      </c>
      <c r="S7811" s="21" t="n">
        <v>0</v>
      </c>
      <c r="T7811" s="21" t="n">
        <v>0</v>
      </c>
      <c r="U7811" s="21" t="n">
        <v>0</v>
      </c>
      <c r="V7811" s="21" t="n">
        <v>0</v>
      </c>
      <c r="W7811" s="21" t="n">
        <v>0</v>
      </c>
      <c r="X7811" s="21" t="n">
        <v>0</v>
      </c>
      <c r="Y7811" s="21" t="n">
        <v>0</v>
      </c>
      <c r="Z7811" s="19" t="n"/>
    </row>
    <row r="7812">
      <c r="D7812" s="21">
        <f>$B$7051</f>
        <v/>
      </c>
      <c r="E7812" s="21">
        <f>$B$7053</f>
        <v/>
      </c>
      <c r="F7812" s="21">
        <f>0</f>
        <v/>
      </c>
      <c r="G7812" s="21">
        <f>2*$B$7052</f>
        <v/>
      </c>
      <c r="H7812" s="21">
        <f>-$B$7051</f>
        <v/>
      </c>
      <c r="I7812" s="21">
        <f>$B$7053</f>
        <v/>
      </c>
      <c r="J7812" s="21" t="n">
        <v>0</v>
      </c>
      <c r="K7812" s="21" t="n">
        <v>0</v>
      </c>
      <c r="L7812" s="21" t="n">
        <v>0</v>
      </c>
      <c r="M7812" s="21" t="n">
        <v>0</v>
      </c>
      <c r="N7812" s="21" t="n">
        <v>0</v>
      </c>
      <c r="O7812" s="21" t="n">
        <v>0</v>
      </c>
      <c r="P7812" s="21" t="n">
        <v>0</v>
      </c>
      <c r="Q7812" s="21" t="n">
        <v>0</v>
      </c>
      <c r="R7812" s="21" t="n">
        <v>0</v>
      </c>
      <c r="S7812" s="21" t="n">
        <v>0</v>
      </c>
      <c r="T7812" s="21" t="n">
        <v>0</v>
      </c>
      <c r="U7812" s="21" t="n">
        <v>0</v>
      </c>
      <c r="V7812" s="21" t="n">
        <v>0</v>
      </c>
      <c r="W7812" s="21" t="n">
        <v>0</v>
      </c>
      <c r="X7812" s="21" t="n">
        <v>0</v>
      </c>
      <c r="Y7812" s="21" t="n">
        <v>0</v>
      </c>
      <c r="Z7812" s="19" t="n"/>
    </row>
    <row r="7813">
      <c r="D7813" s="21" t="n">
        <v>0</v>
      </c>
      <c r="E7813" s="21" t="n">
        <v>0</v>
      </c>
      <c r="F7813" s="21">
        <f>-$B$7050</f>
        <v/>
      </c>
      <c r="G7813" s="21">
        <f>-$B$7051</f>
        <v/>
      </c>
      <c r="H7813" s="21">
        <f>2*$B$7050+$D$7799</f>
        <v/>
      </c>
      <c r="I7813" s="21">
        <f>0</f>
        <v/>
      </c>
      <c r="J7813" s="21">
        <f>-$B$7050</f>
        <v/>
      </c>
      <c r="K7813" s="21">
        <f>$B$7051</f>
        <v/>
      </c>
      <c r="L7813" s="21" t="n">
        <v>0</v>
      </c>
      <c r="M7813" s="21" t="n">
        <v>0</v>
      </c>
      <c r="N7813" s="21" t="n">
        <v>0</v>
      </c>
      <c r="O7813" s="21" t="n">
        <v>0</v>
      </c>
      <c r="P7813" s="21" t="n">
        <v>0</v>
      </c>
      <c r="Q7813" s="21" t="n">
        <v>0</v>
      </c>
      <c r="R7813" s="21" t="n">
        <v>0</v>
      </c>
      <c r="S7813" s="21" t="n">
        <v>0</v>
      </c>
      <c r="T7813" s="21" t="n">
        <v>0</v>
      </c>
      <c r="U7813" s="21" t="n">
        <v>0</v>
      </c>
      <c r="V7813" s="21" t="n">
        <v>0</v>
      </c>
      <c r="W7813" s="21" t="n">
        <v>0</v>
      </c>
      <c r="X7813" s="21" t="n">
        <v>0</v>
      </c>
      <c r="Y7813" s="21" t="n">
        <v>0</v>
      </c>
      <c r="Z7813" s="19" t="n"/>
    </row>
    <row r="7814">
      <c r="D7814" s="21" t="n">
        <v>0</v>
      </c>
      <c r="E7814" s="21" t="n">
        <v>0</v>
      </c>
      <c r="F7814" s="21">
        <f>$B$7051</f>
        <v/>
      </c>
      <c r="G7814" s="21">
        <f>$B$7053</f>
        <v/>
      </c>
      <c r="H7814" s="21">
        <f>0</f>
        <v/>
      </c>
      <c r="I7814" s="21">
        <f>2*$B$7052</f>
        <v/>
      </c>
      <c r="J7814" s="21">
        <f>-$B$7051</f>
        <v/>
      </c>
      <c r="K7814" s="21">
        <f>$B$7053</f>
        <v/>
      </c>
      <c r="L7814" s="21" t="n">
        <v>0</v>
      </c>
      <c r="M7814" s="21" t="n">
        <v>0</v>
      </c>
      <c r="N7814" s="21" t="n">
        <v>0</v>
      </c>
      <c r="O7814" s="21" t="n">
        <v>0</v>
      </c>
      <c r="P7814" s="21" t="n">
        <v>0</v>
      </c>
      <c r="Q7814" s="21" t="n">
        <v>0</v>
      </c>
      <c r="R7814" s="21" t="n">
        <v>0</v>
      </c>
      <c r="S7814" s="21" t="n">
        <v>0</v>
      </c>
      <c r="T7814" s="21" t="n">
        <v>0</v>
      </c>
      <c r="U7814" s="21" t="n">
        <v>0</v>
      </c>
      <c r="V7814" s="21" t="n">
        <v>0</v>
      </c>
      <c r="W7814" s="21" t="n">
        <v>0</v>
      </c>
      <c r="X7814" s="21" t="n">
        <v>0</v>
      </c>
      <c r="Y7814" s="21" t="n">
        <v>0</v>
      </c>
      <c r="Z7814" s="19" t="n"/>
    </row>
    <row r="7815">
      <c r="D7815" s="21" t="n">
        <v>0</v>
      </c>
      <c r="E7815" s="21" t="n">
        <v>0</v>
      </c>
      <c r="F7815" s="21" t="n">
        <v>0</v>
      </c>
      <c r="G7815" s="21" t="n">
        <v>0</v>
      </c>
      <c r="H7815" s="21">
        <f>-$B$7050</f>
        <v/>
      </c>
      <c r="I7815" s="21">
        <f>-$B$7051</f>
        <v/>
      </c>
      <c r="J7815" s="21">
        <f>2*$B$7050+$D$7800</f>
        <v/>
      </c>
      <c r="K7815" s="21">
        <f>0</f>
        <v/>
      </c>
      <c r="L7815" s="21">
        <f>-$B$7050</f>
        <v/>
      </c>
      <c r="M7815" s="21">
        <f>$B$7051</f>
        <v/>
      </c>
      <c r="N7815" s="21" t="n">
        <v>0</v>
      </c>
      <c r="O7815" s="21" t="n">
        <v>0</v>
      </c>
      <c r="P7815" s="21" t="n">
        <v>0</v>
      </c>
      <c r="Q7815" s="21" t="n">
        <v>0</v>
      </c>
      <c r="R7815" s="21" t="n">
        <v>0</v>
      </c>
      <c r="S7815" s="21" t="n">
        <v>0</v>
      </c>
      <c r="T7815" s="21" t="n">
        <v>0</v>
      </c>
      <c r="U7815" s="21" t="n">
        <v>0</v>
      </c>
      <c r="V7815" s="21" t="n">
        <v>0</v>
      </c>
      <c r="W7815" s="21" t="n">
        <v>0</v>
      </c>
      <c r="X7815" s="21" t="n">
        <v>0</v>
      </c>
      <c r="Y7815" s="21" t="n">
        <v>0</v>
      </c>
      <c r="Z7815" s="19" t="n"/>
    </row>
    <row r="7816">
      <c r="D7816" s="21" t="n">
        <v>0</v>
      </c>
      <c r="E7816" s="21" t="n">
        <v>0</v>
      </c>
      <c r="F7816" s="21" t="n">
        <v>0</v>
      </c>
      <c r="G7816" s="21" t="n">
        <v>0</v>
      </c>
      <c r="H7816" s="21">
        <f>$B$7051</f>
        <v/>
      </c>
      <c r="I7816" s="21">
        <f>$B$7053</f>
        <v/>
      </c>
      <c r="J7816" s="21">
        <f>0</f>
        <v/>
      </c>
      <c r="K7816" s="21">
        <f>2*$B$7052</f>
        <v/>
      </c>
      <c r="L7816" s="21">
        <f>-$B$7051</f>
        <v/>
      </c>
      <c r="M7816" s="21">
        <f>$B$7053</f>
        <v/>
      </c>
      <c r="N7816" s="21" t="n">
        <v>0</v>
      </c>
      <c r="O7816" s="21" t="n">
        <v>0</v>
      </c>
      <c r="P7816" s="21" t="n">
        <v>0</v>
      </c>
      <c r="Q7816" s="21" t="n">
        <v>0</v>
      </c>
      <c r="R7816" s="21" t="n">
        <v>0</v>
      </c>
      <c r="S7816" s="21" t="n">
        <v>0</v>
      </c>
      <c r="T7816" s="21" t="n">
        <v>0</v>
      </c>
      <c r="U7816" s="21" t="n">
        <v>0</v>
      </c>
      <c r="V7816" s="21" t="n">
        <v>0</v>
      </c>
      <c r="W7816" s="21" t="n">
        <v>0</v>
      </c>
      <c r="X7816" s="21" t="n">
        <v>0</v>
      </c>
      <c r="Y7816" s="21" t="n">
        <v>0</v>
      </c>
      <c r="Z7816" s="19" t="n"/>
    </row>
    <row r="7817">
      <c r="D7817" s="21" t="n">
        <v>0</v>
      </c>
      <c r="E7817" s="21" t="n">
        <v>0</v>
      </c>
      <c r="F7817" s="21" t="n">
        <v>0</v>
      </c>
      <c r="G7817" s="21" t="n">
        <v>0</v>
      </c>
      <c r="H7817" s="21" t="n">
        <v>0</v>
      </c>
      <c r="I7817" s="21" t="n">
        <v>0</v>
      </c>
      <c r="J7817" s="21">
        <f>-$B$7050</f>
        <v/>
      </c>
      <c r="K7817" s="21">
        <f>-$B$7051</f>
        <v/>
      </c>
      <c r="L7817" s="21">
        <f>2*$B$7050+$D$7801</f>
        <v/>
      </c>
      <c r="M7817" s="21">
        <f>0</f>
        <v/>
      </c>
      <c r="N7817" s="21">
        <f>-$B$7050</f>
        <v/>
      </c>
      <c r="O7817" s="21">
        <f>$B$7051</f>
        <v/>
      </c>
      <c r="P7817" s="21" t="n">
        <v>0</v>
      </c>
      <c r="Q7817" s="21" t="n">
        <v>0</v>
      </c>
      <c r="R7817" s="21" t="n">
        <v>0</v>
      </c>
      <c r="S7817" s="21" t="n">
        <v>0</v>
      </c>
      <c r="T7817" s="21" t="n">
        <v>0</v>
      </c>
      <c r="U7817" s="21" t="n">
        <v>0</v>
      </c>
      <c r="V7817" s="21" t="n">
        <v>0</v>
      </c>
      <c r="W7817" s="21" t="n">
        <v>0</v>
      </c>
      <c r="X7817" s="21" t="n">
        <v>0</v>
      </c>
      <c r="Y7817" s="21" t="n">
        <v>0</v>
      </c>
      <c r="Z7817" s="19" t="n"/>
    </row>
    <row r="7818">
      <c r="D7818" s="21" t="n">
        <v>0</v>
      </c>
      <c r="E7818" s="21" t="n">
        <v>0</v>
      </c>
      <c r="F7818" s="21" t="n">
        <v>0</v>
      </c>
      <c r="G7818" s="21" t="n">
        <v>0</v>
      </c>
      <c r="H7818" s="21" t="n">
        <v>0</v>
      </c>
      <c r="I7818" s="21" t="n">
        <v>0</v>
      </c>
      <c r="J7818" s="21">
        <f>$B$7051</f>
        <v/>
      </c>
      <c r="K7818" s="21">
        <f>$B$7053</f>
        <v/>
      </c>
      <c r="L7818" s="21">
        <f>0</f>
        <v/>
      </c>
      <c r="M7818" s="21">
        <f>2*$B$7052</f>
        <v/>
      </c>
      <c r="N7818" s="21">
        <f>-$B$7051</f>
        <v/>
      </c>
      <c r="O7818" s="21">
        <f>$B$7053</f>
        <v/>
      </c>
      <c r="P7818" s="21" t="n">
        <v>0</v>
      </c>
      <c r="Q7818" s="21" t="n">
        <v>0</v>
      </c>
      <c r="R7818" s="21" t="n">
        <v>0</v>
      </c>
      <c r="S7818" s="21" t="n">
        <v>0</v>
      </c>
      <c r="T7818" s="21" t="n">
        <v>0</v>
      </c>
      <c r="U7818" s="21" t="n">
        <v>0</v>
      </c>
      <c r="V7818" s="21" t="n">
        <v>0</v>
      </c>
      <c r="W7818" s="21" t="n">
        <v>0</v>
      </c>
      <c r="X7818" s="21" t="n">
        <v>0</v>
      </c>
      <c r="Y7818" s="21" t="n">
        <v>0</v>
      </c>
      <c r="Z7818" s="19" t="n"/>
    </row>
    <row r="7819">
      <c r="D7819" s="21" t="n">
        <v>0</v>
      </c>
      <c r="E7819" s="21" t="n">
        <v>0</v>
      </c>
      <c r="F7819" s="21" t="n">
        <v>0</v>
      </c>
      <c r="G7819" s="21" t="n">
        <v>0</v>
      </c>
      <c r="H7819" s="21" t="n">
        <v>0</v>
      </c>
      <c r="I7819" s="21" t="n">
        <v>0</v>
      </c>
      <c r="J7819" s="21" t="n">
        <v>0</v>
      </c>
      <c r="K7819" s="21" t="n">
        <v>0</v>
      </c>
      <c r="L7819" s="21">
        <f>-$B$7050</f>
        <v/>
      </c>
      <c r="M7819" s="21">
        <f>-$B$7051</f>
        <v/>
      </c>
      <c r="N7819" s="21">
        <f>2*$B$7050+$D$7802</f>
        <v/>
      </c>
      <c r="O7819" s="21">
        <f>0</f>
        <v/>
      </c>
      <c r="P7819" s="21">
        <f>-$B$7050</f>
        <v/>
      </c>
      <c r="Q7819" s="21">
        <f>$B$7051</f>
        <v/>
      </c>
      <c r="R7819" s="21" t="n">
        <v>0</v>
      </c>
      <c r="S7819" s="21" t="n">
        <v>0</v>
      </c>
      <c r="T7819" s="21" t="n">
        <v>0</v>
      </c>
      <c r="U7819" s="21" t="n">
        <v>0</v>
      </c>
      <c r="V7819" s="21" t="n">
        <v>0</v>
      </c>
      <c r="W7819" s="21" t="n">
        <v>0</v>
      </c>
      <c r="X7819" s="21" t="n">
        <v>0</v>
      </c>
      <c r="Y7819" s="21" t="n">
        <v>0</v>
      </c>
      <c r="Z7819" s="19" t="n"/>
    </row>
    <row r="7820">
      <c r="D7820" s="21" t="n">
        <v>0</v>
      </c>
      <c r="E7820" s="21" t="n">
        <v>0</v>
      </c>
      <c r="F7820" s="21" t="n">
        <v>0</v>
      </c>
      <c r="G7820" s="21" t="n">
        <v>0</v>
      </c>
      <c r="H7820" s="21" t="n">
        <v>0</v>
      </c>
      <c r="I7820" s="21" t="n">
        <v>0</v>
      </c>
      <c r="J7820" s="21" t="n">
        <v>0</v>
      </c>
      <c r="K7820" s="21" t="n">
        <v>0</v>
      </c>
      <c r="L7820" s="21">
        <f>$B$7051</f>
        <v/>
      </c>
      <c r="M7820" s="21">
        <f>$B$7053</f>
        <v/>
      </c>
      <c r="N7820" s="21">
        <f>0</f>
        <v/>
      </c>
      <c r="O7820" s="21">
        <f>2*$B$7052</f>
        <v/>
      </c>
      <c r="P7820" s="21">
        <f>-$B$7051</f>
        <v/>
      </c>
      <c r="Q7820" s="21">
        <f>$B$7053</f>
        <v/>
      </c>
      <c r="R7820" s="21" t="n">
        <v>0</v>
      </c>
      <c r="S7820" s="21" t="n">
        <v>0</v>
      </c>
      <c r="T7820" s="21" t="n">
        <v>0</v>
      </c>
      <c r="U7820" s="21" t="n">
        <v>0</v>
      </c>
      <c r="V7820" s="21" t="n">
        <v>0</v>
      </c>
      <c r="W7820" s="21" t="n">
        <v>0</v>
      </c>
      <c r="X7820" s="21" t="n">
        <v>0</v>
      </c>
      <c r="Y7820" s="21" t="n">
        <v>0</v>
      </c>
      <c r="Z7820" s="19" t="n"/>
    </row>
    <row r="7821">
      <c r="D7821" s="21" t="n">
        <v>0</v>
      </c>
      <c r="E7821" s="21" t="n">
        <v>0</v>
      </c>
      <c r="F7821" s="21" t="n">
        <v>0</v>
      </c>
      <c r="G7821" s="21" t="n">
        <v>0</v>
      </c>
      <c r="H7821" s="21" t="n">
        <v>0</v>
      </c>
      <c r="I7821" s="21" t="n">
        <v>0</v>
      </c>
      <c r="J7821" s="21" t="n">
        <v>0</v>
      </c>
      <c r="K7821" s="21" t="n">
        <v>0</v>
      </c>
      <c r="L7821" s="21" t="n">
        <v>0</v>
      </c>
      <c r="M7821" s="21" t="n">
        <v>0</v>
      </c>
      <c r="N7821" s="21">
        <f>-$B$7050</f>
        <v/>
      </c>
      <c r="O7821" s="21">
        <f>-$B$7051</f>
        <v/>
      </c>
      <c r="P7821" s="21">
        <f>2*$B$7050+$D$7803</f>
        <v/>
      </c>
      <c r="Q7821" s="21">
        <f>0</f>
        <v/>
      </c>
      <c r="R7821" s="21">
        <f>-$B$7050</f>
        <v/>
      </c>
      <c r="S7821" s="21">
        <f>$B$7051</f>
        <v/>
      </c>
      <c r="T7821" s="21" t="n">
        <v>0</v>
      </c>
      <c r="U7821" s="21" t="n">
        <v>0</v>
      </c>
      <c r="V7821" s="21" t="n">
        <v>0</v>
      </c>
      <c r="W7821" s="21" t="n">
        <v>0</v>
      </c>
      <c r="X7821" s="21" t="n">
        <v>0</v>
      </c>
      <c r="Y7821" s="21" t="n">
        <v>0</v>
      </c>
      <c r="Z7821" s="19" t="n"/>
    </row>
    <row r="7822">
      <c r="D7822" s="21" t="n">
        <v>0</v>
      </c>
      <c r="E7822" s="21" t="n">
        <v>0</v>
      </c>
      <c r="F7822" s="21" t="n">
        <v>0</v>
      </c>
      <c r="G7822" s="21" t="n">
        <v>0</v>
      </c>
      <c r="H7822" s="21" t="n">
        <v>0</v>
      </c>
      <c r="I7822" s="21" t="n">
        <v>0</v>
      </c>
      <c r="J7822" s="21" t="n">
        <v>0</v>
      </c>
      <c r="K7822" s="21" t="n">
        <v>0</v>
      </c>
      <c r="L7822" s="21" t="n">
        <v>0</v>
      </c>
      <c r="M7822" s="21" t="n">
        <v>0</v>
      </c>
      <c r="N7822" s="21">
        <f>$B$7051</f>
        <v/>
      </c>
      <c r="O7822" s="21">
        <f>$B$7053</f>
        <v/>
      </c>
      <c r="P7822" s="21">
        <f>0</f>
        <v/>
      </c>
      <c r="Q7822" s="21">
        <f>2*$B$7052</f>
        <v/>
      </c>
      <c r="R7822" s="21">
        <f>-$B$7051</f>
        <v/>
      </c>
      <c r="S7822" s="21">
        <f>$B$7053</f>
        <v/>
      </c>
      <c r="T7822" s="21" t="n">
        <v>0</v>
      </c>
      <c r="U7822" s="21" t="n">
        <v>0</v>
      </c>
      <c r="V7822" s="21" t="n">
        <v>0</v>
      </c>
      <c r="W7822" s="21" t="n">
        <v>0</v>
      </c>
      <c r="X7822" s="21" t="n">
        <v>0</v>
      </c>
      <c r="Y7822" s="21" t="n">
        <v>0</v>
      </c>
      <c r="Z7822" s="19" t="n"/>
    </row>
    <row r="7823">
      <c r="D7823" s="21" t="n">
        <v>0</v>
      </c>
      <c r="E7823" s="21" t="n">
        <v>0</v>
      </c>
      <c r="F7823" s="21" t="n">
        <v>0</v>
      </c>
      <c r="G7823" s="21" t="n">
        <v>0</v>
      </c>
      <c r="H7823" s="21" t="n">
        <v>0</v>
      </c>
      <c r="I7823" s="21" t="n">
        <v>0</v>
      </c>
      <c r="J7823" s="21" t="n">
        <v>0</v>
      </c>
      <c r="K7823" s="21" t="n">
        <v>0</v>
      </c>
      <c r="L7823" s="21" t="n">
        <v>0</v>
      </c>
      <c r="M7823" s="21" t="n">
        <v>0</v>
      </c>
      <c r="N7823" s="21" t="n">
        <v>0</v>
      </c>
      <c r="O7823" s="21" t="n">
        <v>0</v>
      </c>
      <c r="P7823" s="21">
        <f>-$B$7050</f>
        <v/>
      </c>
      <c r="Q7823" s="21">
        <f>-$B$7051</f>
        <v/>
      </c>
      <c r="R7823" s="21">
        <f>2*$B$7050+$D$7804</f>
        <v/>
      </c>
      <c r="S7823" s="21">
        <f>0</f>
        <v/>
      </c>
      <c r="T7823" s="21">
        <f>-$B$7050</f>
        <v/>
      </c>
      <c r="U7823" s="21">
        <f>$B$7051</f>
        <v/>
      </c>
      <c r="V7823" s="21" t="n">
        <v>0</v>
      </c>
      <c r="W7823" s="21" t="n">
        <v>0</v>
      </c>
      <c r="X7823" s="21" t="n">
        <v>0</v>
      </c>
      <c r="Y7823" s="21" t="n">
        <v>0</v>
      </c>
      <c r="Z7823" s="19" t="n"/>
    </row>
    <row r="7824">
      <c r="D7824" s="21" t="n">
        <v>0</v>
      </c>
      <c r="E7824" s="21" t="n">
        <v>0</v>
      </c>
      <c r="F7824" s="21" t="n">
        <v>0</v>
      </c>
      <c r="G7824" s="21" t="n">
        <v>0</v>
      </c>
      <c r="H7824" s="21" t="n">
        <v>0</v>
      </c>
      <c r="I7824" s="21" t="n">
        <v>0</v>
      </c>
      <c r="J7824" s="21" t="n">
        <v>0</v>
      </c>
      <c r="K7824" s="21" t="n">
        <v>0</v>
      </c>
      <c r="L7824" s="21" t="n">
        <v>0</v>
      </c>
      <c r="M7824" s="21" t="n">
        <v>0</v>
      </c>
      <c r="N7824" s="21" t="n">
        <v>0</v>
      </c>
      <c r="O7824" s="21" t="n">
        <v>0</v>
      </c>
      <c r="P7824" s="21">
        <f>$B$7051</f>
        <v/>
      </c>
      <c r="Q7824" s="21">
        <f>$B$7053</f>
        <v/>
      </c>
      <c r="R7824" s="21">
        <f>0</f>
        <v/>
      </c>
      <c r="S7824" s="21">
        <f>2*$B$7052</f>
        <v/>
      </c>
      <c r="T7824" s="21">
        <f>-$B$7051</f>
        <v/>
      </c>
      <c r="U7824" s="21">
        <f>$B$7053</f>
        <v/>
      </c>
      <c r="V7824" s="21" t="n">
        <v>0</v>
      </c>
      <c r="W7824" s="21" t="n">
        <v>0</v>
      </c>
      <c r="X7824" s="21" t="n">
        <v>0</v>
      </c>
      <c r="Y7824" s="21" t="n">
        <v>0</v>
      </c>
      <c r="Z7824" s="19" t="n"/>
    </row>
    <row r="7825">
      <c r="D7825" s="21" t="n">
        <v>0</v>
      </c>
      <c r="E7825" s="21" t="n">
        <v>0</v>
      </c>
      <c r="F7825" s="21" t="n">
        <v>0</v>
      </c>
      <c r="G7825" s="21" t="n">
        <v>0</v>
      </c>
      <c r="H7825" s="21" t="n">
        <v>0</v>
      </c>
      <c r="I7825" s="21" t="n">
        <v>0</v>
      </c>
      <c r="J7825" s="21" t="n">
        <v>0</v>
      </c>
      <c r="K7825" s="21" t="n">
        <v>0</v>
      </c>
      <c r="L7825" s="21" t="n">
        <v>0</v>
      </c>
      <c r="M7825" s="21" t="n">
        <v>0</v>
      </c>
      <c r="N7825" s="21" t="n">
        <v>0</v>
      </c>
      <c r="O7825" s="21" t="n">
        <v>0</v>
      </c>
      <c r="P7825" s="21" t="n">
        <v>0</v>
      </c>
      <c r="Q7825" s="21" t="n">
        <v>0</v>
      </c>
      <c r="R7825" s="21">
        <f>-$B$7050</f>
        <v/>
      </c>
      <c r="S7825" s="21">
        <f>-$B$7051</f>
        <v/>
      </c>
      <c r="T7825" s="21">
        <f>2*$B$7050+$D$7805</f>
        <v/>
      </c>
      <c r="U7825" s="21">
        <f>0</f>
        <v/>
      </c>
      <c r="V7825" s="21">
        <f>-$B$7050</f>
        <v/>
      </c>
      <c r="W7825" s="21">
        <f>$B$7051</f>
        <v/>
      </c>
      <c r="X7825" s="21" t="n">
        <v>0</v>
      </c>
      <c r="Y7825" s="21" t="n">
        <v>0</v>
      </c>
      <c r="Z7825" s="19" t="n"/>
    </row>
    <row r="7826">
      <c r="D7826" s="21" t="n">
        <v>0</v>
      </c>
      <c r="E7826" s="21" t="n">
        <v>0</v>
      </c>
      <c r="F7826" s="21" t="n">
        <v>0</v>
      </c>
      <c r="G7826" s="21" t="n">
        <v>0</v>
      </c>
      <c r="H7826" s="21" t="n">
        <v>0</v>
      </c>
      <c r="I7826" s="21" t="n">
        <v>0</v>
      </c>
      <c r="J7826" s="21" t="n">
        <v>0</v>
      </c>
      <c r="K7826" s="21" t="n">
        <v>0</v>
      </c>
      <c r="L7826" s="21" t="n">
        <v>0</v>
      </c>
      <c r="M7826" s="21" t="n">
        <v>0</v>
      </c>
      <c r="N7826" s="21" t="n">
        <v>0</v>
      </c>
      <c r="O7826" s="21" t="n">
        <v>0</v>
      </c>
      <c r="P7826" s="21" t="n">
        <v>0</v>
      </c>
      <c r="Q7826" s="21" t="n">
        <v>0</v>
      </c>
      <c r="R7826" s="21">
        <f>$B$7051</f>
        <v/>
      </c>
      <c r="S7826" s="21">
        <f>$B$7053</f>
        <v/>
      </c>
      <c r="T7826" s="21">
        <f>0</f>
        <v/>
      </c>
      <c r="U7826" s="21">
        <f>2*$B$7052</f>
        <v/>
      </c>
      <c r="V7826" s="21">
        <f>-$B$7051</f>
        <v/>
      </c>
      <c r="W7826" s="21">
        <f>$B$7053</f>
        <v/>
      </c>
      <c r="X7826" s="21" t="n">
        <v>0</v>
      </c>
      <c r="Y7826" s="21" t="n">
        <v>0</v>
      </c>
      <c r="Z7826" s="19" t="n"/>
    </row>
    <row r="7827">
      <c r="D7827" s="21" t="n">
        <v>0</v>
      </c>
      <c r="E7827" s="21" t="n">
        <v>0</v>
      </c>
      <c r="F7827" s="21" t="n">
        <v>0</v>
      </c>
      <c r="G7827" s="21" t="n">
        <v>0</v>
      </c>
      <c r="H7827" s="21" t="n">
        <v>0</v>
      </c>
      <c r="I7827" s="21" t="n">
        <v>0</v>
      </c>
      <c r="J7827" s="21" t="n">
        <v>0</v>
      </c>
      <c r="K7827" s="21" t="n">
        <v>0</v>
      </c>
      <c r="L7827" s="21" t="n">
        <v>0</v>
      </c>
      <c r="M7827" s="21" t="n">
        <v>0</v>
      </c>
      <c r="N7827" s="21" t="n">
        <v>0</v>
      </c>
      <c r="O7827" s="21" t="n">
        <v>0</v>
      </c>
      <c r="P7827" s="21" t="n">
        <v>0</v>
      </c>
      <c r="Q7827" s="21" t="n">
        <v>0</v>
      </c>
      <c r="R7827" s="21" t="n">
        <v>0</v>
      </c>
      <c r="S7827" s="21" t="n">
        <v>0</v>
      </c>
      <c r="T7827" s="21">
        <f>-$B$7050</f>
        <v/>
      </c>
      <c r="U7827" s="21">
        <f>-$B$7051</f>
        <v/>
      </c>
      <c r="V7827" s="21">
        <f>2*$B$7050+$D$7806</f>
        <v/>
      </c>
      <c r="W7827" s="21">
        <f>0</f>
        <v/>
      </c>
      <c r="X7827" s="21">
        <f>-$B$7050</f>
        <v/>
      </c>
      <c r="Y7827" s="21">
        <f>$B$7051</f>
        <v/>
      </c>
      <c r="Z7827" s="19" t="n"/>
    </row>
    <row r="7828">
      <c r="D7828" s="21" t="n">
        <v>0</v>
      </c>
      <c r="E7828" s="21" t="n">
        <v>0</v>
      </c>
      <c r="F7828" s="21" t="n">
        <v>0</v>
      </c>
      <c r="G7828" s="21" t="n">
        <v>0</v>
      </c>
      <c r="H7828" s="21" t="n">
        <v>0</v>
      </c>
      <c r="I7828" s="21" t="n">
        <v>0</v>
      </c>
      <c r="J7828" s="21" t="n">
        <v>0</v>
      </c>
      <c r="K7828" s="21" t="n">
        <v>0</v>
      </c>
      <c r="L7828" s="21" t="n">
        <v>0</v>
      </c>
      <c r="M7828" s="21" t="n">
        <v>0</v>
      </c>
      <c r="N7828" s="21" t="n">
        <v>0</v>
      </c>
      <c r="O7828" s="21" t="n">
        <v>0</v>
      </c>
      <c r="P7828" s="21" t="n">
        <v>0</v>
      </c>
      <c r="Q7828" s="21" t="n">
        <v>0</v>
      </c>
      <c r="R7828" s="21" t="n">
        <v>0</v>
      </c>
      <c r="S7828" s="21" t="n">
        <v>0</v>
      </c>
      <c r="T7828" s="21">
        <f>$B$7051</f>
        <v/>
      </c>
      <c r="U7828" s="21">
        <f>$B$7053</f>
        <v/>
      </c>
      <c r="V7828" s="21">
        <f>0</f>
        <v/>
      </c>
      <c r="W7828" s="21">
        <f>2*$B$7052</f>
        <v/>
      </c>
      <c r="X7828" s="21">
        <f>-$B$7051</f>
        <v/>
      </c>
      <c r="Y7828" s="21">
        <f>$B$7053</f>
        <v/>
      </c>
      <c r="Z7828" s="19" t="n"/>
    </row>
    <row r="7829">
      <c r="D7829" s="21" t="n">
        <v>0</v>
      </c>
      <c r="E7829" s="21" t="n">
        <v>0</v>
      </c>
      <c r="F7829" s="21" t="n">
        <v>0</v>
      </c>
      <c r="G7829" s="21" t="n">
        <v>0</v>
      </c>
      <c r="H7829" s="21" t="n">
        <v>0</v>
      </c>
      <c r="I7829" s="21" t="n">
        <v>0</v>
      </c>
      <c r="J7829" s="21" t="n">
        <v>0</v>
      </c>
      <c r="K7829" s="21" t="n">
        <v>0</v>
      </c>
      <c r="L7829" s="21" t="n">
        <v>0</v>
      </c>
      <c r="M7829" s="21" t="n">
        <v>0</v>
      </c>
      <c r="N7829" s="21" t="n">
        <v>0</v>
      </c>
      <c r="O7829" s="21" t="n">
        <v>0</v>
      </c>
      <c r="P7829" s="21" t="n">
        <v>0</v>
      </c>
      <c r="Q7829" s="21" t="n">
        <v>0</v>
      </c>
      <c r="R7829" s="21" t="n">
        <v>0</v>
      </c>
      <c r="S7829" s="21" t="n">
        <v>0</v>
      </c>
      <c r="T7829" s="21" t="n">
        <v>0</v>
      </c>
      <c r="U7829" s="21" t="n">
        <v>0</v>
      </c>
      <c r="V7829" s="21">
        <f>-$B$7050</f>
        <v/>
      </c>
      <c r="W7829" s="21">
        <f>-$B$7051</f>
        <v/>
      </c>
      <c r="X7829" s="21">
        <f>$B$7050+$D$7807</f>
        <v/>
      </c>
      <c r="Y7829" s="21">
        <f>-$B$7051</f>
        <v/>
      </c>
      <c r="Z7829" s="19" t="n"/>
    </row>
    <row r="7830">
      <c r="D7830" s="21" t="n">
        <v>0</v>
      </c>
      <c r="E7830" s="21" t="n">
        <v>0</v>
      </c>
      <c r="F7830" s="21" t="n">
        <v>0</v>
      </c>
      <c r="G7830" s="21" t="n">
        <v>0</v>
      </c>
      <c r="H7830" s="21" t="n">
        <v>0</v>
      </c>
      <c r="I7830" s="21" t="n">
        <v>0</v>
      </c>
      <c r="J7830" s="21" t="n">
        <v>0</v>
      </c>
      <c r="K7830" s="21" t="n">
        <v>0</v>
      </c>
      <c r="L7830" s="21" t="n">
        <v>0</v>
      </c>
      <c r="M7830" s="21" t="n">
        <v>0</v>
      </c>
      <c r="N7830" s="21" t="n">
        <v>0</v>
      </c>
      <c r="O7830" s="21" t="n">
        <v>0</v>
      </c>
      <c r="P7830" s="21" t="n">
        <v>0</v>
      </c>
      <c r="Q7830" s="21" t="n">
        <v>0</v>
      </c>
      <c r="R7830" s="21" t="n">
        <v>0</v>
      </c>
      <c r="S7830" s="21" t="n">
        <v>0</v>
      </c>
      <c r="T7830" s="21" t="n">
        <v>0</v>
      </c>
      <c r="U7830" s="21" t="n">
        <v>0</v>
      </c>
      <c r="V7830" s="21">
        <f>$B$7051</f>
        <v/>
      </c>
      <c r="W7830" s="21">
        <f>$B$7053</f>
        <v/>
      </c>
      <c r="X7830" s="21">
        <f>-$B$7051</f>
        <v/>
      </c>
      <c r="Y7830" s="21">
        <f>$B$7052</f>
        <v/>
      </c>
      <c r="Z7830" s="19" t="n"/>
    </row>
    <row r="7832">
      <c r="A7832" s="8" t="inlineStr">
        <is>
          <t>gen 21</t>
        </is>
      </c>
    </row>
    <row r="7833">
      <c r="D7833" s="19">
        <f>IF(ABS(IF(ABS($E$7797)&gt;0.000000001,$E$7797,0.000000001))=0,0,IF($E$7065&lt;=$B$7059,0,IF(ABS(IF(ABS($E$7797)&gt;0.000000001,$E$7797,0.000000001))&gt;=8*$B$7061,$H$7065,0.5*$H$7065*(ABS(IF(ABS($E$7797)&gt;0.000000001,$E$7797,0.000000001))/$B$7061)^(1/3)))/ABS(IF(ABS($E$7797)&gt;0.000000001,$E$7797,0.000000001))*$I$7065)</f>
        <v/>
      </c>
      <c r="E7833" s="19">
        <f>0.5*$E$7797+0.5*$Z$7845</f>
        <v/>
      </c>
      <c r="F7833" s="19">
        <f>$Z$7846</f>
        <v/>
      </c>
    </row>
    <row r="7834">
      <c r="D7834" s="19">
        <f>IF(ABS(IF(ABS($E$7798)&gt;0.000000001,$E$7798,0.000000001))=0,0,IF($E$7066&lt;=$B$7059,0,IF(ABS(IF(ABS($E$7798)&gt;0.000000001,$E$7798,0.000000001))&gt;=8*$B$7061,$H$7066,0.5*$H$7066*(ABS(IF(ABS($E$7798)&gt;0.000000001,$E$7798,0.000000001))/$B$7061)^(1/3)))/ABS(IF(ABS($E$7798)&gt;0.000000001,$E$7798,0.000000001))*$I$7066)</f>
        <v/>
      </c>
      <c r="E7834" s="19">
        <f>0.5*$E$7798+0.5*$Z$7847</f>
        <v/>
      </c>
      <c r="F7834" s="19">
        <f>$Z$7848</f>
        <v/>
      </c>
    </row>
    <row r="7835">
      <c r="D7835" s="19">
        <f>IF(ABS(IF(ABS($E$7799)&gt;0.000000001,$E$7799,0.000000001))=0,0,IF($E$7067&lt;=$B$7059,0,IF(ABS(IF(ABS($E$7799)&gt;0.000000001,$E$7799,0.000000001))&gt;=8*$B$7061,$H$7067,0.5*$H$7067*(ABS(IF(ABS($E$7799)&gt;0.000000001,$E$7799,0.000000001))/$B$7061)^(1/3)))/ABS(IF(ABS($E$7799)&gt;0.000000001,$E$7799,0.000000001))*$I$7067)</f>
        <v/>
      </c>
      <c r="E7835" s="19">
        <f>0.5*$E$7799+0.5*$Z$7849</f>
        <v/>
      </c>
      <c r="F7835" s="19">
        <f>$Z$7850</f>
        <v/>
      </c>
    </row>
    <row r="7836">
      <c r="D7836" s="19">
        <f>IF(ABS(IF(ABS($E$7800)&gt;0.000000001,$E$7800,0.000000001))=0,0,IF($E$7068&lt;=$B$7059,0,IF(ABS(IF(ABS($E$7800)&gt;0.000000001,$E$7800,0.000000001))&gt;=8*$B$7061,$H$7068,0.5*$H$7068*(ABS(IF(ABS($E$7800)&gt;0.000000001,$E$7800,0.000000001))/$B$7061)^(1/3)))/ABS(IF(ABS($E$7800)&gt;0.000000001,$E$7800,0.000000001))*$I$7068)</f>
        <v/>
      </c>
      <c r="E7836" s="19">
        <f>0.5*$E$7800+0.5*$Z$7851</f>
        <v/>
      </c>
      <c r="F7836" s="19">
        <f>$Z$7852</f>
        <v/>
      </c>
    </row>
    <row r="7837">
      <c r="D7837" s="19">
        <f>IF(ABS(IF(ABS($E$7801)&gt;0.000000001,$E$7801,0.000000001))=0,0,IF($E$7069&lt;=$B$7059,0,IF(ABS(IF(ABS($E$7801)&gt;0.000000001,$E$7801,0.000000001))&gt;=8*$B$7061,$H$7069,0.5*$H$7069*(ABS(IF(ABS($E$7801)&gt;0.000000001,$E$7801,0.000000001))/$B$7061)^(1/3)))/ABS(IF(ABS($E$7801)&gt;0.000000001,$E$7801,0.000000001))*$I$7069)</f>
        <v/>
      </c>
      <c r="E7837" s="19">
        <f>0.5*$E$7801+0.5*$Z$7853</f>
        <v/>
      </c>
      <c r="F7837" s="19">
        <f>$Z$7854</f>
        <v/>
      </c>
    </row>
    <row r="7838">
      <c r="D7838" s="19">
        <f>IF(ABS(IF(ABS($E$7802)&gt;0.000000001,$E$7802,0.000000001))=0,0,IF($E$7070&lt;=$B$7059,0,IF(ABS(IF(ABS($E$7802)&gt;0.000000001,$E$7802,0.000000001))&gt;=8*$B$7061,$H$7070,0.5*$H$7070*(ABS(IF(ABS($E$7802)&gt;0.000000001,$E$7802,0.000000001))/$B$7061)^(1/3)))/ABS(IF(ABS($E$7802)&gt;0.000000001,$E$7802,0.000000001))*$I$7070)</f>
        <v/>
      </c>
      <c r="E7838" s="19">
        <f>0.5*$E$7802+0.5*$Z$7855</f>
        <v/>
      </c>
      <c r="F7838" s="19">
        <f>$Z$7856</f>
        <v/>
      </c>
    </row>
    <row r="7839">
      <c r="D7839" s="19">
        <f>IF(ABS(IF(ABS($E$7803)&gt;0.000000001,$E$7803,0.000000001))=0,0,IF($E$7071&lt;=$B$7059,0,IF(ABS(IF(ABS($E$7803)&gt;0.000000001,$E$7803,0.000000001))&gt;=8*$B$7061,$H$7071,0.5*$H$7071*(ABS(IF(ABS($E$7803)&gt;0.000000001,$E$7803,0.000000001))/$B$7061)^(1/3)))/ABS(IF(ABS($E$7803)&gt;0.000000001,$E$7803,0.000000001))*$I$7071)</f>
        <v/>
      </c>
      <c r="E7839" s="19">
        <f>0.5*$E$7803+0.5*$Z$7857</f>
        <v/>
      </c>
      <c r="F7839" s="19">
        <f>$Z$7858</f>
        <v/>
      </c>
    </row>
    <row r="7840">
      <c r="D7840" s="19">
        <f>IF(ABS(IF(ABS($E$7804)&gt;0.000000001,$E$7804,0.000000001))=0,0,IF($E$7072&lt;=$B$7059,0,IF(ABS(IF(ABS($E$7804)&gt;0.000000001,$E$7804,0.000000001))&gt;=8*$B$7061,$H$7072,0.5*$H$7072*(ABS(IF(ABS($E$7804)&gt;0.000000001,$E$7804,0.000000001))/$B$7061)^(1/3)))/ABS(IF(ABS($E$7804)&gt;0.000000001,$E$7804,0.000000001))*$I$7072)</f>
        <v/>
      </c>
      <c r="E7840" s="19">
        <f>0.5*$E$7804+0.5*$Z$7859</f>
        <v/>
      </c>
      <c r="F7840" s="19">
        <f>$Z$7860</f>
        <v/>
      </c>
    </row>
    <row r="7841">
      <c r="D7841" s="19">
        <f>IF(ABS(IF(ABS($E$7805)&gt;0.000000001,$E$7805,0.000000001))=0,0,IF($E$7073&lt;=$B$7059,0,IF(ABS(IF(ABS($E$7805)&gt;0.000000001,$E$7805,0.000000001))&gt;=8*$B$7061,$H$7073,0.5*$H$7073*(ABS(IF(ABS($E$7805)&gt;0.000000001,$E$7805,0.000000001))/$B$7061)^(1/3)))/ABS(IF(ABS($E$7805)&gt;0.000000001,$E$7805,0.000000001))*$I$7073)</f>
        <v/>
      </c>
      <c r="E7841" s="19">
        <f>0.5*$E$7805+0.5*$Z$7861</f>
        <v/>
      </c>
      <c r="F7841" s="19">
        <f>$Z$7862</f>
        <v/>
      </c>
    </row>
    <row r="7842">
      <c r="D7842" s="19">
        <f>IF(ABS(IF(ABS($E$7806)&gt;0.000000001,$E$7806,0.000000001))=0,0,IF($E$7074&lt;=$B$7059,0,IF(ABS(IF(ABS($E$7806)&gt;0.000000001,$E$7806,0.000000001))&gt;=8*$B$7061,$H$7074,0.5*$H$7074*(ABS(IF(ABS($E$7806)&gt;0.000000001,$E$7806,0.000000001))/$B$7061)^(1/3)))/ABS(IF(ABS($E$7806)&gt;0.000000001,$E$7806,0.000000001))*$I$7074)</f>
        <v/>
      </c>
      <c r="E7842" s="19">
        <f>0.5*$E$7806+0.5*$Z$7863</f>
        <v/>
      </c>
      <c r="F7842" s="19">
        <f>$Z$7864</f>
        <v/>
      </c>
    </row>
    <row r="7843">
      <c r="D7843" s="19">
        <f>IF(ABS(IF(ABS($E$7807)&gt;0.000000001,$E$7807,0.000000001))=0,0,IF($E$7075&lt;=$B$7059,0,IF(ABS(IF(ABS($E$7807)&gt;0.000000001,$E$7807,0.000000001))&gt;=8*$B$7061,$H$7075,0.5*$H$7075*(ABS(IF(ABS($E$7807)&gt;0.000000001,$E$7807,0.000000001))/$B$7061)^(1/3)))/ABS(IF(ABS($E$7807)&gt;0.000000001,$E$7807,0.000000001))*$I$7075)</f>
        <v/>
      </c>
      <c r="E7843" s="19">
        <f>0.5*$E$7807+0.5*$Z$7865</f>
        <v/>
      </c>
      <c r="F7843" s="19">
        <f>$Z$7866</f>
        <v/>
      </c>
    </row>
    <row r="7845">
      <c r="D7845" s="21">
        <f>$B$7050+$D$7833</f>
        <v/>
      </c>
      <c r="E7845" s="21">
        <f>$B$7051</f>
        <v/>
      </c>
      <c r="F7845" s="21">
        <f>-$B$7050</f>
        <v/>
      </c>
      <c r="G7845" s="21">
        <f>$B$7051</f>
        <v/>
      </c>
      <c r="H7845" s="21" t="n">
        <v>0</v>
      </c>
      <c r="I7845" s="21" t="n">
        <v>0</v>
      </c>
      <c r="J7845" s="21" t="n">
        <v>0</v>
      </c>
      <c r="K7845" s="21" t="n">
        <v>0</v>
      </c>
      <c r="L7845" s="21" t="n">
        <v>0</v>
      </c>
      <c r="M7845" s="21" t="n">
        <v>0</v>
      </c>
      <c r="N7845" s="21" t="n">
        <v>0</v>
      </c>
      <c r="O7845" s="21" t="n">
        <v>0</v>
      </c>
      <c r="P7845" s="21" t="n">
        <v>0</v>
      </c>
      <c r="Q7845" s="21" t="n">
        <v>0</v>
      </c>
      <c r="R7845" s="21" t="n">
        <v>0</v>
      </c>
      <c r="S7845" s="21" t="n">
        <v>0</v>
      </c>
      <c r="T7845" s="21" t="n">
        <v>0</v>
      </c>
      <c r="U7845" s="21" t="n">
        <v>0</v>
      </c>
      <c r="V7845" s="21" t="n">
        <v>0</v>
      </c>
      <c r="W7845" s="21" t="n">
        <v>0</v>
      </c>
      <c r="X7845" s="21" t="n">
        <v>0</v>
      </c>
      <c r="Y7845" s="21" t="n">
        <v>0</v>
      </c>
      <c r="Z7845" s="19">
        <f t="array" ref="Z7845:Z7866">MMULT(MINVERSE($D$7845:$Y$7866),$D$7077:$D$7098)</f>
        <v/>
      </c>
    </row>
    <row r="7846">
      <c r="D7846" s="21">
        <f>$B$7051</f>
        <v/>
      </c>
      <c r="E7846" s="21">
        <f>$B$7052</f>
        <v/>
      </c>
      <c r="F7846" s="21">
        <f>-$B$7051</f>
        <v/>
      </c>
      <c r="G7846" s="21">
        <f>$B$7053</f>
        <v/>
      </c>
      <c r="H7846" s="21" t="n">
        <v>0</v>
      </c>
      <c r="I7846" s="21" t="n">
        <v>0</v>
      </c>
      <c r="J7846" s="21" t="n">
        <v>0</v>
      </c>
      <c r="K7846" s="21" t="n">
        <v>0</v>
      </c>
      <c r="L7846" s="21" t="n">
        <v>0</v>
      </c>
      <c r="M7846" s="21" t="n">
        <v>0</v>
      </c>
      <c r="N7846" s="21" t="n">
        <v>0</v>
      </c>
      <c r="O7846" s="21" t="n">
        <v>0</v>
      </c>
      <c r="P7846" s="21" t="n">
        <v>0</v>
      </c>
      <c r="Q7846" s="21" t="n">
        <v>0</v>
      </c>
      <c r="R7846" s="21" t="n">
        <v>0</v>
      </c>
      <c r="S7846" s="21" t="n">
        <v>0</v>
      </c>
      <c r="T7846" s="21" t="n">
        <v>0</v>
      </c>
      <c r="U7846" s="21" t="n">
        <v>0</v>
      </c>
      <c r="V7846" s="21" t="n">
        <v>0</v>
      </c>
      <c r="W7846" s="21" t="n">
        <v>0</v>
      </c>
      <c r="X7846" s="21" t="n">
        <v>0</v>
      </c>
      <c r="Y7846" s="21" t="n">
        <v>0</v>
      </c>
      <c r="Z7846" s="19" t="n"/>
    </row>
    <row r="7847">
      <c r="D7847" s="21">
        <f>-$B$7050</f>
        <v/>
      </c>
      <c r="E7847" s="21">
        <f>-$B$7051</f>
        <v/>
      </c>
      <c r="F7847" s="21">
        <f>2*$B$7050+$D$7834</f>
        <v/>
      </c>
      <c r="G7847" s="21">
        <f>0</f>
        <v/>
      </c>
      <c r="H7847" s="21">
        <f>-$B$7050</f>
        <v/>
      </c>
      <c r="I7847" s="21">
        <f>$B$7051</f>
        <v/>
      </c>
      <c r="J7847" s="21" t="n">
        <v>0</v>
      </c>
      <c r="K7847" s="21" t="n">
        <v>0</v>
      </c>
      <c r="L7847" s="21" t="n">
        <v>0</v>
      </c>
      <c r="M7847" s="21" t="n">
        <v>0</v>
      </c>
      <c r="N7847" s="21" t="n">
        <v>0</v>
      </c>
      <c r="O7847" s="21" t="n">
        <v>0</v>
      </c>
      <c r="P7847" s="21" t="n">
        <v>0</v>
      </c>
      <c r="Q7847" s="21" t="n">
        <v>0</v>
      </c>
      <c r="R7847" s="21" t="n">
        <v>0</v>
      </c>
      <c r="S7847" s="21" t="n">
        <v>0</v>
      </c>
      <c r="T7847" s="21" t="n">
        <v>0</v>
      </c>
      <c r="U7847" s="21" t="n">
        <v>0</v>
      </c>
      <c r="V7847" s="21" t="n">
        <v>0</v>
      </c>
      <c r="W7847" s="21" t="n">
        <v>0</v>
      </c>
      <c r="X7847" s="21" t="n">
        <v>0</v>
      </c>
      <c r="Y7847" s="21" t="n">
        <v>0</v>
      </c>
      <c r="Z7847" s="19" t="n"/>
    </row>
    <row r="7848">
      <c r="D7848" s="21">
        <f>$B$7051</f>
        <v/>
      </c>
      <c r="E7848" s="21">
        <f>$B$7053</f>
        <v/>
      </c>
      <c r="F7848" s="21">
        <f>0</f>
        <v/>
      </c>
      <c r="G7848" s="21">
        <f>2*$B$7052</f>
        <v/>
      </c>
      <c r="H7848" s="21">
        <f>-$B$7051</f>
        <v/>
      </c>
      <c r="I7848" s="21">
        <f>$B$7053</f>
        <v/>
      </c>
      <c r="J7848" s="21" t="n">
        <v>0</v>
      </c>
      <c r="K7848" s="21" t="n">
        <v>0</v>
      </c>
      <c r="L7848" s="21" t="n">
        <v>0</v>
      </c>
      <c r="M7848" s="21" t="n">
        <v>0</v>
      </c>
      <c r="N7848" s="21" t="n">
        <v>0</v>
      </c>
      <c r="O7848" s="21" t="n">
        <v>0</v>
      </c>
      <c r="P7848" s="21" t="n">
        <v>0</v>
      </c>
      <c r="Q7848" s="21" t="n">
        <v>0</v>
      </c>
      <c r="R7848" s="21" t="n">
        <v>0</v>
      </c>
      <c r="S7848" s="21" t="n">
        <v>0</v>
      </c>
      <c r="T7848" s="21" t="n">
        <v>0</v>
      </c>
      <c r="U7848" s="21" t="n">
        <v>0</v>
      </c>
      <c r="V7848" s="21" t="n">
        <v>0</v>
      </c>
      <c r="W7848" s="21" t="n">
        <v>0</v>
      </c>
      <c r="X7848" s="21" t="n">
        <v>0</v>
      </c>
      <c r="Y7848" s="21" t="n">
        <v>0</v>
      </c>
      <c r="Z7848" s="19" t="n"/>
    </row>
    <row r="7849">
      <c r="D7849" s="21" t="n">
        <v>0</v>
      </c>
      <c r="E7849" s="21" t="n">
        <v>0</v>
      </c>
      <c r="F7849" s="21">
        <f>-$B$7050</f>
        <v/>
      </c>
      <c r="G7849" s="21">
        <f>-$B$7051</f>
        <v/>
      </c>
      <c r="H7849" s="21">
        <f>2*$B$7050+$D$7835</f>
        <v/>
      </c>
      <c r="I7849" s="21">
        <f>0</f>
        <v/>
      </c>
      <c r="J7849" s="21">
        <f>-$B$7050</f>
        <v/>
      </c>
      <c r="K7849" s="21">
        <f>$B$7051</f>
        <v/>
      </c>
      <c r="L7849" s="21" t="n">
        <v>0</v>
      </c>
      <c r="M7849" s="21" t="n">
        <v>0</v>
      </c>
      <c r="N7849" s="21" t="n">
        <v>0</v>
      </c>
      <c r="O7849" s="21" t="n">
        <v>0</v>
      </c>
      <c r="P7849" s="21" t="n">
        <v>0</v>
      </c>
      <c r="Q7849" s="21" t="n">
        <v>0</v>
      </c>
      <c r="R7849" s="21" t="n">
        <v>0</v>
      </c>
      <c r="S7849" s="21" t="n">
        <v>0</v>
      </c>
      <c r="T7849" s="21" t="n">
        <v>0</v>
      </c>
      <c r="U7849" s="21" t="n">
        <v>0</v>
      </c>
      <c r="V7849" s="21" t="n">
        <v>0</v>
      </c>
      <c r="W7849" s="21" t="n">
        <v>0</v>
      </c>
      <c r="X7849" s="21" t="n">
        <v>0</v>
      </c>
      <c r="Y7849" s="21" t="n">
        <v>0</v>
      </c>
      <c r="Z7849" s="19" t="n"/>
    </row>
    <row r="7850">
      <c r="D7850" s="21" t="n">
        <v>0</v>
      </c>
      <c r="E7850" s="21" t="n">
        <v>0</v>
      </c>
      <c r="F7850" s="21">
        <f>$B$7051</f>
        <v/>
      </c>
      <c r="G7850" s="21">
        <f>$B$7053</f>
        <v/>
      </c>
      <c r="H7850" s="21">
        <f>0</f>
        <v/>
      </c>
      <c r="I7850" s="21">
        <f>2*$B$7052</f>
        <v/>
      </c>
      <c r="J7850" s="21">
        <f>-$B$7051</f>
        <v/>
      </c>
      <c r="K7850" s="21">
        <f>$B$7053</f>
        <v/>
      </c>
      <c r="L7850" s="21" t="n">
        <v>0</v>
      </c>
      <c r="M7850" s="21" t="n">
        <v>0</v>
      </c>
      <c r="N7850" s="21" t="n">
        <v>0</v>
      </c>
      <c r="O7850" s="21" t="n">
        <v>0</v>
      </c>
      <c r="P7850" s="21" t="n">
        <v>0</v>
      </c>
      <c r="Q7850" s="21" t="n">
        <v>0</v>
      </c>
      <c r="R7850" s="21" t="n">
        <v>0</v>
      </c>
      <c r="S7850" s="21" t="n">
        <v>0</v>
      </c>
      <c r="T7850" s="21" t="n">
        <v>0</v>
      </c>
      <c r="U7850" s="21" t="n">
        <v>0</v>
      </c>
      <c r="V7850" s="21" t="n">
        <v>0</v>
      </c>
      <c r="W7850" s="21" t="n">
        <v>0</v>
      </c>
      <c r="X7850" s="21" t="n">
        <v>0</v>
      </c>
      <c r="Y7850" s="21" t="n">
        <v>0</v>
      </c>
      <c r="Z7850" s="19" t="n"/>
    </row>
    <row r="7851">
      <c r="D7851" s="21" t="n">
        <v>0</v>
      </c>
      <c r="E7851" s="21" t="n">
        <v>0</v>
      </c>
      <c r="F7851" s="21" t="n">
        <v>0</v>
      </c>
      <c r="G7851" s="21" t="n">
        <v>0</v>
      </c>
      <c r="H7851" s="21">
        <f>-$B$7050</f>
        <v/>
      </c>
      <c r="I7851" s="21">
        <f>-$B$7051</f>
        <v/>
      </c>
      <c r="J7851" s="21">
        <f>2*$B$7050+$D$7836</f>
        <v/>
      </c>
      <c r="K7851" s="21">
        <f>0</f>
        <v/>
      </c>
      <c r="L7851" s="21">
        <f>-$B$7050</f>
        <v/>
      </c>
      <c r="M7851" s="21">
        <f>$B$7051</f>
        <v/>
      </c>
      <c r="N7851" s="21" t="n">
        <v>0</v>
      </c>
      <c r="O7851" s="21" t="n">
        <v>0</v>
      </c>
      <c r="P7851" s="21" t="n">
        <v>0</v>
      </c>
      <c r="Q7851" s="21" t="n">
        <v>0</v>
      </c>
      <c r="R7851" s="21" t="n">
        <v>0</v>
      </c>
      <c r="S7851" s="21" t="n">
        <v>0</v>
      </c>
      <c r="T7851" s="21" t="n">
        <v>0</v>
      </c>
      <c r="U7851" s="21" t="n">
        <v>0</v>
      </c>
      <c r="V7851" s="21" t="n">
        <v>0</v>
      </c>
      <c r="W7851" s="21" t="n">
        <v>0</v>
      </c>
      <c r="X7851" s="21" t="n">
        <v>0</v>
      </c>
      <c r="Y7851" s="21" t="n">
        <v>0</v>
      </c>
      <c r="Z7851" s="19" t="n"/>
    </row>
    <row r="7852">
      <c r="D7852" s="21" t="n">
        <v>0</v>
      </c>
      <c r="E7852" s="21" t="n">
        <v>0</v>
      </c>
      <c r="F7852" s="21" t="n">
        <v>0</v>
      </c>
      <c r="G7852" s="21" t="n">
        <v>0</v>
      </c>
      <c r="H7852" s="21">
        <f>$B$7051</f>
        <v/>
      </c>
      <c r="I7852" s="21">
        <f>$B$7053</f>
        <v/>
      </c>
      <c r="J7852" s="21">
        <f>0</f>
        <v/>
      </c>
      <c r="K7852" s="21">
        <f>2*$B$7052</f>
        <v/>
      </c>
      <c r="L7852" s="21">
        <f>-$B$7051</f>
        <v/>
      </c>
      <c r="M7852" s="21">
        <f>$B$7053</f>
        <v/>
      </c>
      <c r="N7852" s="21" t="n">
        <v>0</v>
      </c>
      <c r="O7852" s="21" t="n">
        <v>0</v>
      </c>
      <c r="P7852" s="21" t="n">
        <v>0</v>
      </c>
      <c r="Q7852" s="21" t="n">
        <v>0</v>
      </c>
      <c r="R7852" s="21" t="n">
        <v>0</v>
      </c>
      <c r="S7852" s="21" t="n">
        <v>0</v>
      </c>
      <c r="T7852" s="21" t="n">
        <v>0</v>
      </c>
      <c r="U7852" s="21" t="n">
        <v>0</v>
      </c>
      <c r="V7852" s="21" t="n">
        <v>0</v>
      </c>
      <c r="W7852" s="21" t="n">
        <v>0</v>
      </c>
      <c r="X7852" s="21" t="n">
        <v>0</v>
      </c>
      <c r="Y7852" s="21" t="n">
        <v>0</v>
      </c>
      <c r="Z7852" s="19" t="n"/>
    </row>
    <row r="7853">
      <c r="D7853" s="21" t="n">
        <v>0</v>
      </c>
      <c r="E7853" s="21" t="n">
        <v>0</v>
      </c>
      <c r="F7853" s="21" t="n">
        <v>0</v>
      </c>
      <c r="G7853" s="21" t="n">
        <v>0</v>
      </c>
      <c r="H7853" s="21" t="n">
        <v>0</v>
      </c>
      <c r="I7853" s="21" t="n">
        <v>0</v>
      </c>
      <c r="J7853" s="21">
        <f>-$B$7050</f>
        <v/>
      </c>
      <c r="K7853" s="21">
        <f>-$B$7051</f>
        <v/>
      </c>
      <c r="L7853" s="21">
        <f>2*$B$7050+$D$7837</f>
        <v/>
      </c>
      <c r="M7853" s="21">
        <f>0</f>
        <v/>
      </c>
      <c r="N7853" s="21">
        <f>-$B$7050</f>
        <v/>
      </c>
      <c r="O7853" s="21">
        <f>$B$7051</f>
        <v/>
      </c>
      <c r="P7853" s="21" t="n">
        <v>0</v>
      </c>
      <c r="Q7853" s="21" t="n">
        <v>0</v>
      </c>
      <c r="R7853" s="21" t="n">
        <v>0</v>
      </c>
      <c r="S7853" s="21" t="n">
        <v>0</v>
      </c>
      <c r="T7853" s="21" t="n">
        <v>0</v>
      </c>
      <c r="U7853" s="21" t="n">
        <v>0</v>
      </c>
      <c r="V7853" s="21" t="n">
        <v>0</v>
      </c>
      <c r="W7853" s="21" t="n">
        <v>0</v>
      </c>
      <c r="X7853" s="21" t="n">
        <v>0</v>
      </c>
      <c r="Y7853" s="21" t="n">
        <v>0</v>
      </c>
      <c r="Z7853" s="19" t="n"/>
    </row>
    <row r="7854">
      <c r="D7854" s="21" t="n">
        <v>0</v>
      </c>
      <c r="E7854" s="21" t="n">
        <v>0</v>
      </c>
      <c r="F7854" s="21" t="n">
        <v>0</v>
      </c>
      <c r="G7854" s="21" t="n">
        <v>0</v>
      </c>
      <c r="H7854" s="21" t="n">
        <v>0</v>
      </c>
      <c r="I7854" s="21" t="n">
        <v>0</v>
      </c>
      <c r="J7854" s="21">
        <f>$B$7051</f>
        <v/>
      </c>
      <c r="K7854" s="21">
        <f>$B$7053</f>
        <v/>
      </c>
      <c r="L7854" s="21">
        <f>0</f>
        <v/>
      </c>
      <c r="M7854" s="21">
        <f>2*$B$7052</f>
        <v/>
      </c>
      <c r="N7854" s="21">
        <f>-$B$7051</f>
        <v/>
      </c>
      <c r="O7854" s="21">
        <f>$B$7053</f>
        <v/>
      </c>
      <c r="P7854" s="21" t="n">
        <v>0</v>
      </c>
      <c r="Q7854" s="21" t="n">
        <v>0</v>
      </c>
      <c r="R7854" s="21" t="n">
        <v>0</v>
      </c>
      <c r="S7854" s="21" t="n">
        <v>0</v>
      </c>
      <c r="T7854" s="21" t="n">
        <v>0</v>
      </c>
      <c r="U7854" s="21" t="n">
        <v>0</v>
      </c>
      <c r="V7854" s="21" t="n">
        <v>0</v>
      </c>
      <c r="W7854" s="21" t="n">
        <v>0</v>
      </c>
      <c r="X7854" s="21" t="n">
        <v>0</v>
      </c>
      <c r="Y7854" s="21" t="n">
        <v>0</v>
      </c>
      <c r="Z7854" s="19" t="n"/>
    </row>
    <row r="7855">
      <c r="D7855" s="21" t="n">
        <v>0</v>
      </c>
      <c r="E7855" s="21" t="n">
        <v>0</v>
      </c>
      <c r="F7855" s="21" t="n">
        <v>0</v>
      </c>
      <c r="G7855" s="21" t="n">
        <v>0</v>
      </c>
      <c r="H7855" s="21" t="n">
        <v>0</v>
      </c>
      <c r="I7855" s="21" t="n">
        <v>0</v>
      </c>
      <c r="J7855" s="21" t="n">
        <v>0</v>
      </c>
      <c r="K7855" s="21" t="n">
        <v>0</v>
      </c>
      <c r="L7855" s="21">
        <f>-$B$7050</f>
        <v/>
      </c>
      <c r="M7855" s="21">
        <f>-$B$7051</f>
        <v/>
      </c>
      <c r="N7855" s="21">
        <f>2*$B$7050+$D$7838</f>
        <v/>
      </c>
      <c r="O7855" s="21">
        <f>0</f>
        <v/>
      </c>
      <c r="P7855" s="21">
        <f>-$B$7050</f>
        <v/>
      </c>
      <c r="Q7855" s="21">
        <f>$B$7051</f>
        <v/>
      </c>
      <c r="R7855" s="21" t="n">
        <v>0</v>
      </c>
      <c r="S7855" s="21" t="n">
        <v>0</v>
      </c>
      <c r="T7855" s="21" t="n">
        <v>0</v>
      </c>
      <c r="U7855" s="21" t="n">
        <v>0</v>
      </c>
      <c r="V7855" s="21" t="n">
        <v>0</v>
      </c>
      <c r="W7855" s="21" t="n">
        <v>0</v>
      </c>
      <c r="X7855" s="21" t="n">
        <v>0</v>
      </c>
      <c r="Y7855" s="21" t="n">
        <v>0</v>
      </c>
      <c r="Z7855" s="19" t="n"/>
    </row>
    <row r="7856">
      <c r="D7856" s="21" t="n">
        <v>0</v>
      </c>
      <c r="E7856" s="21" t="n">
        <v>0</v>
      </c>
      <c r="F7856" s="21" t="n">
        <v>0</v>
      </c>
      <c r="G7856" s="21" t="n">
        <v>0</v>
      </c>
      <c r="H7856" s="21" t="n">
        <v>0</v>
      </c>
      <c r="I7856" s="21" t="n">
        <v>0</v>
      </c>
      <c r="J7856" s="21" t="n">
        <v>0</v>
      </c>
      <c r="K7856" s="21" t="n">
        <v>0</v>
      </c>
      <c r="L7856" s="21">
        <f>$B$7051</f>
        <v/>
      </c>
      <c r="M7856" s="21">
        <f>$B$7053</f>
        <v/>
      </c>
      <c r="N7856" s="21">
        <f>0</f>
        <v/>
      </c>
      <c r="O7856" s="21">
        <f>2*$B$7052</f>
        <v/>
      </c>
      <c r="P7856" s="21">
        <f>-$B$7051</f>
        <v/>
      </c>
      <c r="Q7856" s="21">
        <f>$B$7053</f>
        <v/>
      </c>
      <c r="R7856" s="21" t="n">
        <v>0</v>
      </c>
      <c r="S7856" s="21" t="n">
        <v>0</v>
      </c>
      <c r="T7856" s="21" t="n">
        <v>0</v>
      </c>
      <c r="U7856" s="21" t="n">
        <v>0</v>
      </c>
      <c r="V7856" s="21" t="n">
        <v>0</v>
      </c>
      <c r="W7856" s="21" t="n">
        <v>0</v>
      </c>
      <c r="X7856" s="21" t="n">
        <v>0</v>
      </c>
      <c r="Y7856" s="21" t="n">
        <v>0</v>
      </c>
      <c r="Z7856" s="19" t="n"/>
    </row>
    <row r="7857">
      <c r="D7857" s="21" t="n">
        <v>0</v>
      </c>
      <c r="E7857" s="21" t="n">
        <v>0</v>
      </c>
      <c r="F7857" s="21" t="n">
        <v>0</v>
      </c>
      <c r="G7857" s="21" t="n">
        <v>0</v>
      </c>
      <c r="H7857" s="21" t="n">
        <v>0</v>
      </c>
      <c r="I7857" s="21" t="n">
        <v>0</v>
      </c>
      <c r="J7857" s="21" t="n">
        <v>0</v>
      </c>
      <c r="K7857" s="21" t="n">
        <v>0</v>
      </c>
      <c r="L7857" s="21" t="n">
        <v>0</v>
      </c>
      <c r="M7857" s="21" t="n">
        <v>0</v>
      </c>
      <c r="N7857" s="21">
        <f>-$B$7050</f>
        <v/>
      </c>
      <c r="O7857" s="21">
        <f>-$B$7051</f>
        <v/>
      </c>
      <c r="P7857" s="21">
        <f>2*$B$7050+$D$7839</f>
        <v/>
      </c>
      <c r="Q7857" s="21">
        <f>0</f>
        <v/>
      </c>
      <c r="R7857" s="21">
        <f>-$B$7050</f>
        <v/>
      </c>
      <c r="S7857" s="21">
        <f>$B$7051</f>
        <v/>
      </c>
      <c r="T7857" s="21" t="n">
        <v>0</v>
      </c>
      <c r="U7857" s="21" t="n">
        <v>0</v>
      </c>
      <c r="V7857" s="21" t="n">
        <v>0</v>
      </c>
      <c r="W7857" s="21" t="n">
        <v>0</v>
      </c>
      <c r="X7857" s="21" t="n">
        <v>0</v>
      </c>
      <c r="Y7857" s="21" t="n">
        <v>0</v>
      </c>
      <c r="Z7857" s="19" t="n"/>
    </row>
    <row r="7858">
      <c r="D7858" s="21" t="n">
        <v>0</v>
      </c>
      <c r="E7858" s="21" t="n">
        <v>0</v>
      </c>
      <c r="F7858" s="21" t="n">
        <v>0</v>
      </c>
      <c r="G7858" s="21" t="n">
        <v>0</v>
      </c>
      <c r="H7858" s="21" t="n">
        <v>0</v>
      </c>
      <c r="I7858" s="21" t="n">
        <v>0</v>
      </c>
      <c r="J7858" s="21" t="n">
        <v>0</v>
      </c>
      <c r="K7858" s="21" t="n">
        <v>0</v>
      </c>
      <c r="L7858" s="21" t="n">
        <v>0</v>
      </c>
      <c r="M7858" s="21" t="n">
        <v>0</v>
      </c>
      <c r="N7858" s="21">
        <f>$B$7051</f>
        <v/>
      </c>
      <c r="O7858" s="21">
        <f>$B$7053</f>
        <v/>
      </c>
      <c r="P7858" s="21">
        <f>0</f>
        <v/>
      </c>
      <c r="Q7858" s="21">
        <f>2*$B$7052</f>
        <v/>
      </c>
      <c r="R7858" s="21">
        <f>-$B$7051</f>
        <v/>
      </c>
      <c r="S7858" s="21">
        <f>$B$7053</f>
        <v/>
      </c>
      <c r="T7858" s="21" t="n">
        <v>0</v>
      </c>
      <c r="U7858" s="21" t="n">
        <v>0</v>
      </c>
      <c r="V7858" s="21" t="n">
        <v>0</v>
      </c>
      <c r="W7858" s="21" t="n">
        <v>0</v>
      </c>
      <c r="X7858" s="21" t="n">
        <v>0</v>
      </c>
      <c r="Y7858" s="21" t="n">
        <v>0</v>
      </c>
      <c r="Z7858" s="19" t="n"/>
    </row>
    <row r="7859">
      <c r="D7859" s="21" t="n">
        <v>0</v>
      </c>
      <c r="E7859" s="21" t="n">
        <v>0</v>
      </c>
      <c r="F7859" s="21" t="n">
        <v>0</v>
      </c>
      <c r="G7859" s="21" t="n">
        <v>0</v>
      </c>
      <c r="H7859" s="21" t="n">
        <v>0</v>
      </c>
      <c r="I7859" s="21" t="n">
        <v>0</v>
      </c>
      <c r="J7859" s="21" t="n">
        <v>0</v>
      </c>
      <c r="K7859" s="21" t="n">
        <v>0</v>
      </c>
      <c r="L7859" s="21" t="n">
        <v>0</v>
      </c>
      <c r="M7859" s="21" t="n">
        <v>0</v>
      </c>
      <c r="N7859" s="21" t="n">
        <v>0</v>
      </c>
      <c r="O7859" s="21" t="n">
        <v>0</v>
      </c>
      <c r="P7859" s="21">
        <f>-$B$7050</f>
        <v/>
      </c>
      <c r="Q7859" s="21">
        <f>-$B$7051</f>
        <v/>
      </c>
      <c r="R7859" s="21">
        <f>2*$B$7050+$D$7840</f>
        <v/>
      </c>
      <c r="S7859" s="21">
        <f>0</f>
        <v/>
      </c>
      <c r="T7859" s="21">
        <f>-$B$7050</f>
        <v/>
      </c>
      <c r="U7859" s="21">
        <f>$B$7051</f>
        <v/>
      </c>
      <c r="V7859" s="21" t="n">
        <v>0</v>
      </c>
      <c r="W7859" s="21" t="n">
        <v>0</v>
      </c>
      <c r="X7859" s="21" t="n">
        <v>0</v>
      </c>
      <c r="Y7859" s="21" t="n">
        <v>0</v>
      </c>
      <c r="Z7859" s="19" t="n"/>
    </row>
    <row r="7860">
      <c r="D7860" s="21" t="n">
        <v>0</v>
      </c>
      <c r="E7860" s="21" t="n">
        <v>0</v>
      </c>
      <c r="F7860" s="21" t="n">
        <v>0</v>
      </c>
      <c r="G7860" s="21" t="n">
        <v>0</v>
      </c>
      <c r="H7860" s="21" t="n">
        <v>0</v>
      </c>
      <c r="I7860" s="21" t="n">
        <v>0</v>
      </c>
      <c r="J7860" s="21" t="n">
        <v>0</v>
      </c>
      <c r="K7860" s="21" t="n">
        <v>0</v>
      </c>
      <c r="L7860" s="21" t="n">
        <v>0</v>
      </c>
      <c r="M7860" s="21" t="n">
        <v>0</v>
      </c>
      <c r="N7860" s="21" t="n">
        <v>0</v>
      </c>
      <c r="O7860" s="21" t="n">
        <v>0</v>
      </c>
      <c r="P7860" s="21">
        <f>$B$7051</f>
        <v/>
      </c>
      <c r="Q7860" s="21">
        <f>$B$7053</f>
        <v/>
      </c>
      <c r="R7860" s="21">
        <f>0</f>
        <v/>
      </c>
      <c r="S7860" s="21">
        <f>2*$B$7052</f>
        <v/>
      </c>
      <c r="T7860" s="21">
        <f>-$B$7051</f>
        <v/>
      </c>
      <c r="U7860" s="21">
        <f>$B$7053</f>
        <v/>
      </c>
      <c r="V7860" s="21" t="n">
        <v>0</v>
      </c>
      <c r="W7860" s="21" t="n">
        <v>0</v>
      </c>
      <c r="X7860" s="21" t="n">
        <v>0</v>
      </c>
      <c r="Y7860" s="21" t="n">
        <v>0</v>
      </c>
      <c r="Z7860" s="19" t="n"/>
    </row>
    <row r="7861">
      <c r="D7861" s="21" t="n">
        <v>0</v>
      </c>
      <c r="E7861" s="21" t="n">
        <v>0</v>
      </c>
      <c r="F7861" s="21" t="n">
        <v>0</v>
      </c>
      <c r="G7861" s="21" t="n">
        <v>0</v>
      </c>
      <c r="H7861" s="21" t="n">
        <v>0</v>
      </c>
      <c r="I7861" s="21" t="n">
        <v>0</v>
      </c>
      <c r="J7861" s="21" t="n">
        <v>0</v>
      </c>
      <c r="K7861" s="21" t="n">
        <v>0</v>
      </c>
      <c r="L7861" s="21" t="n">
        <v>0</v>
      </c>
      <c r="M7861" s="21" t="n">
        <v>0</v>
      </c>
      <c r="N7861" s="21" t="n">
        <v>0</v>
      </c>
      <c r="O7861" s="21" t="n">
        <v>0</v>
      </c>
      <c r="P7861" s="21" t="n">
        <v>0</v>
      </c>
      <c r="Q7861" s="21" t="n">
        <v>0</v>
      </c>
      <c r="R7861" s="21">
        <f>-$B$7050</f>
        <v/>
      </c>
      <c r="S7861" s="21">
        <f>-$B$7051</f>
        <v/>
      </c>
      <c r="T7861" s="21">
        <f>2*$B$7050+$D$7841</f>
        <v/>
      </c>
      <c r="U7861" s="21">
        <f>0</f>
        <v/>
      </c>
      <c r="V7861" s="21">
        <f>-$B$7050</f>
        <v/>
      </c>
      <c r="W7861" s="21">
        <f>$B$7051</f>
        <v/>
      </c>
      <c r="X7861" s="21" t="n">
        <v>0</v>
      </c>
      <c r="Y7861" s="21" t="n">
        <v>0</v>
      </c>
      <c r="Z7861" s="19" t="n"/>
    </row>
    <row r="7862">
      <c r="D7862" s="21" t="n">
        <v>0</v>
      </c>
      <c r="E7862" s="21" t="n">
        <v>0</v>
      </c>
      <c r="F7862" s="21" t="n">
        <v>0</v>
      </c>
      <c r="G7862" s="21" t="n">
        <v>0</v>
      </c>
      <c r="H7862" s="21" t="n">
        <v>0</v>
      </c>
      <c r="I7862" s="21" t="n">
        <v>0</v>
      </c>
      <c r="J7862" s="21" t="n">
        <v>0</v>
      </c>
      <c r="K7862" s="21" t="n">
        <v>0</v>
      </c>
      <c r="L7862" s="21" t="n">
        <v>0</v>
      </c>
      <c r="M7862" s="21" t="n">
        <v>0</v>
      </c>
      <c r="N7862" s="21" t="n">
        <v>0</v>
      </c>
      <c r="O7862" s="21" t="n">
        <v>0</v>
      </c>
      <c r="P7862" s="21" t="n">
        <v>0</v>
      </c>
      <c r="Q7862" s="21" t="n">
        <v>0</v>
      </c>
      <c r="R7862" s="21">
        <f>$B$7051</f>
        <v/>
      </c>
      <c r="S7862" s="21">
        <f>$B$7053</f>
        <v/>
      </c>
      <c r="T7862" s="21">
        <f>0</f>
        <v/>
      </c>
      <c r="U7862" s="21">
        <f>2*$B$7052</f>
        <v/>
      </c>
      <c r="V7862" s="21">
        <f>-$B$7051</f>
        <v/>
      </c>
      <c r="W7862" s="21">
        <f>$B$7053</f>
        <v/>
      </c>
      <c r="X7862" s="21" t="n">
        <v>0</v>
      </c>
      <c r="Y7862" s="21" t="n">
        <v>0</v>
      </c>
      <c r="Z7862" s="19" t="n"/>
    </row>
    <row r="7863">
      <c r="D7863" s="21" t="n">
        <v>0</v>
      </c>
      <c r="E7863" s="21" t="n">
        <v>0</v>
      </c>
      <c r="F7863" s="21" t="n">
        <v>0</v>
      </c>
      <c r="G7863" s="21" t="n">
        <v>0</v>
      </c>
      <c r="H7863" s="21" t="n">
        <v>0</v>
      </c>
      <c r="I7863" s="21" t="n">
        <v>0</v>
      </c>
      <c r="J7863" s="21" t="n">
        <v>0</v>
      </c>
      <c r="K7863" s="21" t="n">
        <v>0</v>
      </c>
      <c r="L7863" s="21" t="n">
        <v>0</v>
      </c>
      <c r="M7863" s="21" t="n">
        <v>0</v>
      </c>
      <c r="N7863" s="21" t="n">
        <v>0</v>
      </c>
      <c r="O7863" s="21" t="n">
        <v>0</v>
      </c>
      <c r="P7863" s="21" t="n">
        <v>0</v>
      </c>
      <c r="Q7863" s="21" t="n">
        <v>0</v>
      </c>
      <c r="R7863" s="21" t="n">
        <v>0</v>
      </c>
      <c r="S7863" s="21" t="n">
        <v>0</v>
      </c>
      <c r="T7863" s="21">
        <f>-$B$7050</f>
        <v/>
      </c>
      <c r="U7863" s="21">
        <f>-$B$7051</f>
        <v/>
      </c>
      <c r="V7863" s="21">
        <f>2*$B$7050+$D$7842</f>
        <v/>
      </c>
      <c r="W7863" s="21">
        <f>0</f>
        <v/>
      </c>
      <c r="X7863" s="21">
        <f>-$B$7050</f>
        <v/>
      </c>
      <c r="Y7863" s="21">
        <f>$B$7051</f>
        <v/>
      </c>
      <c r="Z7863" s="19" t="n"/>
    </row>
    <row r="7864">
      <c r="D7864" s="21" t="n">
        <v>0</v>
      </c>
      <c r="E7864" s="21" t="n">
        <v>0</v>
      </c>
      <c r="F7864" s="21" t="n">
        <v>0</v>
      </c>
      <c r="G7864" s="21" t="n">
        <v>0</v>
      </c>
      <c r="H7864" s="21" t="n">
        <v>0</v>
      </c>
      <c r="I7864" s="21" t="n">
        <v>0</v>
      </c>
      <c r="J7864" s="21" t="n">
        <v>0</v>
      </c>
      <c r="K7864" s="21" t="n">
        <v>0</v>
      </c>
      <c r="L7864" s="21" t="n">
        <v>0</v>
      </c>
      <c r="M7864" s="21" t="n">
        <v>0</v>
      </c>
      <c r="N7864" s="21" t="n">
        <v>0</v>
      </c>
      <c r="O7864" s="21" t="n">
        <v>0</v>
      </c>
      <c r="P7864" s="21" t="n">
        <v>0</v>
      </c>
      <c r="Q7864" s="21" t="n">
        <v>0</v>
      </c>
      <c r="R7864" s="21" t="n">
        <v>0</v>
      </c>
      <c r="S7864" s="21" t="n">
        <v>0</v>
      </c>
      <c r="T7864" s="21">
        <f>$B$7051</f>
        <v/>
      </c>
      <c r="U7864" s="21">
        <f>$B$7053</f>
        <v/>
      </c>
      <c r="V7864" s="21">
        <f>0</f>
        <v/>
      </c>
      <c r="W7864" s="21">
        <f>2*$B$7052</f>
        <v/>
      </c>
      <c r="X7864" s="21">
        <f>-$B$7051</f>
        <v/>
      </c>
      <c r="Y7864" s="21">
        <f>$B$7053</f>
        <v/>
      </c>
      <c r="Z7864" s="19" t="n"/>
    </row>
    <row r="7865">
      <c r="D7865" s="21" t="n">
        <v>0</v>
      </c>
      <c r="E7865" s="21" t="n">
        <v>0</v>
      </c>
      <c r="F7865" s="21" t="n">
        <v>0</v>
      </c>
      <c r="G7865" s="21" t="n">
        <v>0</v>
      </c>
      <c r="H7865" s="21" t="n">
        <v>0</v>
      </c>
      <c r="I7865" s="21" t="n">
        <v>0</v>
      </c>
      <c r="J7865" s="21" t="n">
        <v>0</v>
      </c>
      <c r="K7865" s="21" t="n">
        <v>0</v>
      </c>
      <c r="L7865" s="21" t="n">
        <v>0</v>
      </c>
      <c r="M7865" s="21" t="n">
        <v>0</v>
      </c>
      <c r="N7865" s="21" t="n">
        <v>0</v>
      </c>
      <c r="O7865" s="21" t="n">
        <v>0</v>
      </c>
      <c r="P7865" s="21" t="n">
        <v>0</v>
      </c>
      <c r="Q7865" s="21" t="n">
        <v>0</v>
      </c>
      <c r="R7865" s="21" t="n">
        <v>0</v>
      </c>
      <c r="S7865" s="21" t="n">
        <v>0</v>
      </c>
      <c r="T7865" s="21" t="n">
        <v>0</v>
      </c>
      <c r="U7865" s="21" t="n">
        <v>0</v>
      </c>
      <c r="V7865" s="21">
        <f>-$B$7050</f>
        <v/>
      </c>
      <c r="W7865" s="21">
        <f>-$B$7051</f>
        <v/>
      </c>
      <c r="X7865" s="21">
        <f>$B$7050+$D$7843</f>
        <v/>
      </c>
      <c r="Y7865" s="21">
        <f>-$B$7051</f>
        <v/>
      </c>
      <c r="Z7865" s="19" t="n"/>
    </row>
    <row r="7866">
      <c r="D7866" s="21" t="n">
        <v>0</v>
      </c>
      <c r="E7866" s="21" t="n">
        <v>0</v>
      </c>
      <c r="F7866" s="21" t="n">
        <v>0</v>
      </c>
      <c r="G7866" s="21" t="n">
        <v>0</v>
      </c>
      <c r="H7866" s="21" t="n">
        <v>0</v>
      </c>
      <c r="I7866" s="21" t="n">
        <v>0</v>
      </c>
      <c r="J7866" s="21" t="n">
        <v>0</v>
      </c>
      <c r="K7866" s="21" t="n">
        <v>0</v>
      </c>
      <c r="L7866" s="21" t="n">
        <v>0</v>
      </c>
      <c r="M7866" s="21" t="n">
        <v>0</v>
      </c>
      <c r="N7866" s="21" t="n">
        <v>0</v>
      </c>
      <c r="O7866" s="21" t="n">
        <v>0</v>
      </c>
      <c r="P7866" s="21" t="n">
        <v>0</v>
      </c>
      <c r="Q7866" s="21" t="n">
        <v>0</v>
      </c>
      <c r="R7866" s="21" t="n">
        <v>0</v>
      </c>
      <c r="S7866" s="21" t="n">
        <v>0</v>
      </c>
      <c r="T7866" s="21" t="n">
        <v>0</v>
      </c>
      <c r="U7866" s="21" t="n">
        <v>0</v>
      </c>
      <c r="V7866" s="21">
        <f>$B$7051</f>
        <v/>
      </c>
      <c r="W7866" s="21">
        <f>$B$7053</f>
        <v/>
      </c>
      <c r="X7866" s="21">
        <f>-$B$7051</f>
        <v/>
      </c>
      <c r="Y7866" s="21">
        <f>$B$7052</f>
        <v/>
      </c>
      <c r="Z7866" s="19" t="n"/>
    </row>
    <row r="7868">
      <c r="A7868" s="8" t="inlineStr">
        <is>
          <t>gen 22</t>
        </is>
      </c>
    </row>
    <row r="7869">
      <c r="D7869" s="19">
        <f>IF(ABS(IF(ABS($E$7833)&gt;0.000000001,$E$7833,0.000000001))=0,0,IF($E$7065&lt;=$B$7059,0,IF(ABS(IF(ABS($E$7833)&gt;0.000000001,$E$7833,0.000000001))&gt;=8*$B$7061,$H$7065,0.5*$H$7065*(ABS(IF(ABS($E$7833)&gt;0.000000001,$E$7833,0.000000001))/$B$7061)^(1/3)))/ABS(IF(ABS($E$7833)&gt;0.000000001,$E$7833,0.000000001))*$I$7065)</f>
        <v/>
      </c>
      <c r="E7869" s="19">
        <f>0.5*$E$7833+0.5*$Z$7881</f>
        <v/>
      </c>
      <c r="F7869" s="19">
        <f>$Z$7882</f>
        <v/>
      </c>
    </row>
    <row r="7870">
      <c r="D7870" s="19">
        <f>IF(ABS(IF(ABS($E$7834)&gt;0.000000001,$E$7834,0.000000001))=0,0,IF($E$7066&lt;=$B$7059,0,IF(ABS(IF(ABS($E$7834)&gt;0.000000001,$E$7834,0.000000001))&gt;=8*$B$7061,$H$7066,0.5*$H$7066*(ABS(IF(ABS($E$7834)&gt;0.000000001,$E$7834,0.000000001))/$B$7061)^(1/3)))/ABS(IF(ABS($E$7834)&gt;0.000000001,$E$7834,0.000000001))*$I$7066)</f>
        <v/>
      </c>
      <c r="E7870" s="19">
        <f>0.5*$E$7834+0.5*$Z$7883</f>
        <v/>
      </c>
      <c r="F7870" s="19">
        <f>$Z$7884</f>
        <v/>
      </c>
    </row>
    <row r="7871">
      <c r="D7871" s="19">
        <f>IF(ABS(IF(ABS($E$7835)&gt;0.000000001,$E$7835,0.000000001))=0,0,IF($E$7067&lt;=$B$7059,0,IF(ABS(IF(ABS($E$7835)&gt;0.000000001,$E$7835,0.000000001))&gt;=8*$B$7061,$H$7067,0.5*$H$7067*(ABS(IF(ABS($E$7835)&gt;0.000000001,$E$7835,0.000000001))/$B$7061)^(1/3)))/ABS(IF(ABS($E$7835)&gt;0.000000001,$E$7835,0.000000001))*$I$7067)</f>
        <v/>
      </c>
      <c r="E7871" s="19">
        <f>0.5*$E$7835+0.5*$Z$7885</f>
        <v/>
      </c>
      <c r="F7871" s="19">
        <f>$Z$7886</f>
        <v/>
      </c>
    </row>
    <row r="7872">
      <c r="D7872" s="19">
        <f>IF(ABS(IF(ABS($E$7836)&gt;0.000000001,$E$7836,0.000000001))=0,0,IF($E$7068&lt;=$B$7059,0,IF(ABS(IF(ABS($E$7836)&gt;0.000000001,$E$7836,0.000000001))&gt;=8*$B$7061,$H$7068,0.5*$H$7068*(ABS(IF(ABS($E$7836)&gt;0.000000001,$E$7836,0.000000001))/$B$7061)^(1/3)))/ABS(IF(ABS($E$7836)&gt;0.000000001,$E$7836,0.000000001))*$I$7068)</f>
        <v/>
      </c>
      <c r="E7872" s="19">
        <f>0.5*$E$7836+0.5*$Z$7887</f>
        <v/>
      </c>
      <c r="F7872" s="19">
        <f>$Z$7888</f>
        <v/>
      </c>
    </row>
    <row r="7873">
      <c r="D7873" s="19">
        <f>IF(ABS(IF(ABS($E$7837)&gt;0.000000001,$E$7837,0.000000001))=0,0,IF($E$7069&lt;=$B$7059,0,IF(ABS(IF(ABS($E$7837)&gt;0.000000001,$E$7837,0.000000001))&gt;=8*$B$7061,$H$7069,0.5*$H$7069*(ABS(IF(ABS($E$7837)&gt;0.000000001,$E$7837,0.000000001))/$B$7061)^(1/3)))/ABS(IF(ABS($E$7837)&gt;0.000000001,$E$7837,0.000000001))*$I$7069)</f>
        <v/>
      </c>
      <c r="E7873" s="19">
        <f>0.5*$E$7837+0.5*$Z$7889</f>
        <v/>
      </c>
      <c r="F7873" s="19">
        <f>$Z$7890</f>
        <v/>
      </c>
    </row>
    <row r="7874">
      <c r="D7874" s="19">
        <f>IF(ABS(IF(ABS($E$7838)&gt;0.000000001,$E$7838,0.000000001))=0,0,IF($E$7070&lt;=$B$7059,0,IF(ABS(IF(ABS($E$7838)&gt;0.000000001,$E$7838,0.000000001))&gt;=8*$B$7061,$H$7070,0.5*$H$7070*(ABS(IF(ABS($E$7838)&gt;0.000000001,$E$7838,0.000000001))/$B$7061)^(1/3)))/ABS(IF(ABS($E$7838)&gt;0.000000001,$E$7838,0.000000001))*$I$7070)</f>
        <v/>
      </c>
      <c r="E7874" s="19">
        <f>0.5*$E$7838+0.5*$Z$7891</f>
        <v/>
      </c>
      <c r="F7874" s="19">
        <f>$Z$7892</f>
        <v/>
      </c>
    </row>
    <row r="7875">
      <c r="D7875" s="19">
        <f>IF(ABS(IF(ABS($E$7839)&gt;0.000000001,$E$7839,0.000000001))=0,0,IF($E$7071&lt;=$B$7059,0,IF(ABS(IF(ABS($E$7839)&gt;0.000000001,$E$7839,0.000000001))&gt;=8*$B$7061,$H$7071,0.5*$H$7071*(ABS(IF(ABS($E$7839)&gt;0.000000001,$E$7839,0.000000001))/$B$7061)^(1/3)))/ABS(IF(ABS($E$7839)&gt;0.000000001,$E$7839,0.000000001))*$I$7071)</f>
        <v/>
      </c>
      <c r="E7875" s="19">
        <f>0.5*$E$7839+0.5*$Z$7893</f>
        <v/>
      </c>
      <c r="F7875" s="19">
        <f>$Z$7894</f>
        <v/>
      </c>
    </row>
    <row r="7876">
      <c r="D7876" s="19">
        <f>IF(ABS(IF(ABS($E$7840)&gt;0.000000001,$E$7840,0.000000001))=0,0,IF($E$7072&lt;=$B$7059,0,IF(ABS(IF(ABS($E$7840)&gt;0.000000001,$E$7840,0.000000001))&gt;=8*$B$7061,$H$7072,0.5*$H$7072*(ABS(IF(ABS($E$7840)&gt;0.000000001,$E$7840,0.000000001))/$B$7061)^(1/3)))/ABS(IF(ABS($E$7840)&gt;0.000000001,$E$7840,0.000000001))*$I$7072)</f>
        <v/>
      </c>
      <c r="E7876" s="19">
        <f>0.5*$E$7840+0.5*$Z$7895</f>
        <v/>
      </c>
      <c r="F7876" s="19">
        <f>$Z$7896</f>
        <v/>
      </c>
    </row>
    <row r="7877">
      <c r="D7877" s="19">
        <f>IF(ABS(IF(ABS($E$7841)&gt;0.000000001,$E$7841,0.000000001))=0,0,IF($E$7073&lt;=$B$7059,0,IF(ABS(IF(ABS($E$7841)&gt;0.000000001,$E$7841,0.000000001))&gt;=8*$B$7061,$H$7073,0.5*$H$7073*(ABS(IF(ABS($E$7841)&gt;0.000000001,$E$7841,0.000000001))/$B$7061)^(1/3)))/ABS(IF(ABS($E$7841)&gt;0.000000001,$E$7841,0.000000001))*$I$7073)</f>
        <v/>
      </c>
      <c r="E7877" s="19">
        <f>0.5*$E$7841+0.5*$Z$7897</f>
        <v/>
      </c>
      <c r="F7877" s="19">
        <f>$Z$7898</f>
        <v/>
      </c>
    </row>
    <row r="7878">
      <c r="D7878" s="19">
        <f>IF(ABS(IF(ABS($E$7842)&gt;0.000000001,$E$7842,0.000000001))=0,0,IF($E$7074&lt;=$B$7059,0,IF(ABS(IF(ABS($E$7842)&gt;0.000000001,$E$7842,0.000000001))&gt;=8*$B$7061,$H$7074,0.5*$H$7074*(ABS(IF(ABS($E$7842)&gt;0.000000001,$E$7842,0.000000001))/$B$7061)^(1/3)))/ABS(IF(ABS($E$7842)&gt;0.000000001,$E$7842,0.000000001))*$I$7074)</f>
        <v/>
      </c>
      <c r="E7878" s="19">
        <f>0.5*$E$7842+0.5*$Z$7899</f>
        <v/>
      </c>
      <c r="F7878" s="19">
        <f>$Z$7900</f>
        <v/>
      </c>
    </row>
    <row r="7879">
      <c r="D7879" s="19">
        <f>IF(ABS(IF(ABS($E$7843)&gt;0.000000001,$E$7843,0.000000001))=0,0,IF($E$7075&lt;=$B$7059,0,IF(ABS(IF(ABS($E$7843)&gt;0.000000001,$E$7843,0.000000001))&gt;=8*$B$7061,$H$7075,0.5*$H$7075*(ABS(IF(ABS($E$7843)&gt;0.000000001,$E$7843,0.000000001))/$B$7061)^(1/3)))/ABS(IF(ABS($E$7843)&gt;0.000000001,$E$7843,0.000000001))*$I$7075)</f>
        <v/>
      </c>
      <c r="E7879" s="19">
        <f>0.5*$E$7843+0.5*$Z$7901</f>
        <v/>
      </c>
      <c r="F7879" s="19">
        <f>$Z$7902</f>
        <v/>
      </c>
    </row>
    <row r="7881">
      <c r="D7881" s="21">
        <f>$B$7050+$D$7869</f>
        <v/>
      </c>
      <c r="E7881" s="21">
        <f>$B$7051</f>
        <v/>
      </c>
      <c r="F7881" s="21">
        <f>-$B$7050</f>
        <v/>
      </c>
      <c r="G7881" s="21">
        <f>$B$7051</f>
        <v/>
      </c>
      <c r="H7881" s="21" t="n">
        <v>0</v>
      </c>
      <c r="I7881" s="21" t="n">
        <v>0</v>
      </c>
      <c r="J7881" s="21" t="n">
        <v>0</v>
      </c>
      <c r="K7881" s="21" t="n">
        <v>0</v>
      </c>
      <c r="L7881" s="21" t="n">
        <v>0</v>
      </c>
      <c r="M7881" s="21" t="n">
        <v>0</v>
      </c>
      <c r="N7881" s="21" t="n">
        <v>0</v>
      </c>
      <c r="O7881" s="21" t="n">
        <v>0</v>
      </c>
      <c r="P7881" s="21" t="n">
        <v>0</v>
      </c>
      <c r="Q7881" s="21" t="n">
        <v>0</v>
      </c>
      <c r="R7881" s="21" t="n">
        <v>0</v>
      </c>
      <c r="S7881" s="21" t="n">
        <v>0</v>
      </c>
      <c r="T7881" s="21" t="n">
        <v>0</v>
      </c>
      <c r="U7881" s="21" t="n">
        <v>0</v>
      </c>
      <c r="V7881" s="21" t="n">
        <v>0</v>
      </c>
      <c r="W7881" s="21" t="n">
        <v>0</v>
      </c>
      <c r="X7881" s="21" t="n">
        <v>0</v>
      </c>
      <c r="Y7881" s="21" t="n">
        <v>0</v>
      </c>
      <c r="Z7881" s="19">
        <f t="array" ref="Z7881:Z7902">MMULT(MINVERSE($D$7881:$Y$7902),$D$7077:$D$7098)</f>
        <v/>
      </c>
    </row>
    <row r="7882">
      <c r="D7882" s="21">
        <f>$B$7051</f>
        <v/>
      </c>
      <c r="E7882" s="21">
        <f>$B$7052</f>
        <v/>
      </c>
      <c r="F7882" s="21">
        <f>-$B$7051</f>
        <v/>
      </c>
      <c r="G7882" s="21">
        <f>$B$7053</f>
        <v/>
      </c>
      <c r="H7882" s="21" t="n">
        <v>0</v>
      </c>
      <c r="I7882" s="21" t="n">
        <v>0</v>
      </c>
      <c r="J7882" s="21" t="n">
        <v>0</v>
      </c>
      <c r="K7882" s="21" t="n">
        <v>0</v>
      </c>
      <c r="L7882" s="21" t="n">
        <v>0</v>
      </c>
      <c r="M7882" s="21" t="n">
        <v>0</v>
      </c>
      <c r="N7882" s="21" t="n">
        <v>0</v>
      </c>
      <c r="O7882" s="21" t="n">
        <v>0</v>
      </c>
      <c r="P7882" s="21" t="n">
        <v>0</v>
      </c>
      <c r="Q7882" s="21" t="n">
        <v>0</v>
      </c>
      <c r="R7882" s="21" t="n">
        <v>0</v>
      </c>
      <c r="S7882" s="21" t="n">
        <v>0</v>
      </c>
      <c r="T7882" s="21" t="n">
        <v>0</v>
      </c>
      <c r="U7882" s="21" t="n">
        <v>0</v>
      </c>
      <c r="V7882" s="21" t="n">
        <v>0</v>
      </c>
      <c r="W7882" s="21" t="n">
        <v>0</v>
      </c>
      <c r="X7882" s="21" t="n">
        <v>0</v>
      </c>
      <c r="Y7882" s="21" t="n">
        <v>0</v>
      </c>
      <c r="Z7882" s="19" t="n"/>
    </row>
    <row r="7883">
      <c r="D7883" s="21">
        <f>-$B$7050</f>
        <v/>
      </c>
      <c r="E7883" s="21">
        <f>-$B$7051</f>
        <v/>
      </c>
      <c r="F7883" s="21">
        <f>2*$B$7050+$D$7870</f>
        <v/>
      </c>
      <c r="G7883" s="21">
        <f>0</f>
        <v/>
      </c>
      <c r="H7883" s="21">
        <f>-$B$7050</f>
        <v/>
      </c>
      <c r="I7883" s="21">
        <f>$B$7051</f>
        <v/>
      </c>
      <c r="J7883" s="21" t="n">
        <v>0</v>
      </c>
      <c r="K7883" s="21" t="n">
        <v>0</v>
      </c>
      <c r="L7883" s="21" t="n">
        <v>0</v>
      </c>
      <c r="M7883" s="21" t="n">
        <v>0</v>
      </c>
      <c r="N7883" s="21" t="n">
        <v>0</v>
      </c>
      <c r="O7883" s="21" t="n">
        <v>0</v>
      </c>
      <c r="P7883" s="21" t="n">
        <v>0</v>
      </c>
      <c r="Q7883" s="21" t="n">
        <v>0</v>
      </c>
      <c r="R7883" s="21" t="n">
        <v>0</v>
      </c>
      <c r="S7883" s="21" t="n">
        <v>0</v>
      </c>
      <c r="T7883" s="21" t="n">
        <v>0</v>
      </c>
      <c r="U7883" s="21" t="n">
        <v>0</v>
      </c>
      <c r="V7883" s="21" t="n">
        <v>0</v>
      </c>
      <c r="W7883" s="21" t="n">
        <v>0</v>
      </c>
      <c r="X7883" s="21" t="n">
        <v>0</v>
      </c>
      <c r="Y7883" s="21" t="n">
        <v>0</v>
      </c>
      <c r="Z7883" s="19" t="n"/>
    </row>
    <row r="7884">
      <c r="D7884" s="21">
        <f>$B$7051</f>
        <v/>
      </c>
      <c r="E7884" s="21">
        <f>$B$7053</f>
        <v/>
      </c>
      <c r="F7884" s="21">
        <f>0</f>
        <v/>
      </c>
      <c r="G7884" s="21">
        <f>2*$B$7052</f>
        <v/>
      </c>
      <c r="H7884" s="21">
        <f>-$B$7051</f>
        <v/>
      </c>
      <c r="I7884" s="21">
        <f>$B$7053</f>
        <v/>
      </c>
      <c r="J7884" s="21" t="n">
        <v>0</v>
      </c>
      <c r="K7884" s="21" t="n">
        <v>0</v>
      </c>
      <c r="L7884" s="21" t="n">
        <v>0</v>
      </c>
      <c r="M7884" s="21" t="n">
        <v>0</v>
      </c>
      <c r="N7884" s="21" t="n">
        <v>0</v>
      </c>
      <c r="O7884" s="21" t="n">
        <v>0</v>
      </c>
      <c r="P7884" s="21" t="n">
        <v>0</v>
      </c>
      <c r="Q7884" s="21" t="n">
        <v>0</v>
      </c>
      <c r="R7884" s="21" t="n">
        <v>0</v>
      </c>
      <c r="S7884" s="21" t="n">
        <v>0</v>
      </c>
      <c r="T7884" s="21" t="n">
        <v>0</v>
      </c>
      <c r="U7884" s="21" t="n">
        <v>0</v>
      </c>
      <c r="V7884" s="21" t="n">
        <v>0</v>
      </c>
      <c r="W7884" s="21" t="n">
        <v>0</v>
      </c>
      <c r="X7884" s="21" t="n">
        <v>0</v>
      </c>
      <c r="Y7884" s="21" t="n">
        <v>0</v>
      </c>
      <c r="Z7884" s="19" t="n"/>
    </row>
    <row r="7885">
      <c r="D7885" s="21" t="n">
        <v>0</v>
      </c>
      <c r="E7885" s="21" t="n">
        <v>0</v>
      </c>
      <c r="F7885" s="21">
        <f>-$B$7050</f>
        <v/>
      </c>
      <c r="G7885" s="21">
        <f>-$B$7051</f>
        <v/>
      </c>
      <c r="H7885" s="21">
        <f>2*$B$7050+$D$7871</f>
        <v/>
      </c>
      <c r="I7885" s="21">
        <f>0</f>
        <v/>
      </c>
      <c r="J7885" s="21">
        <f>-$B$7050</f>
        <v/>
      </c>
      <c r="K7885" s="21">
        <f>$B$7051</f>
        <v/>
      </c>
      <c r="L7885" s="21" t="n">
        <v>0</v>
      </c>
      <c r="M7885" s="21" t="n">
        <v>0</v>
      </c>
      <c r="N7885" s="21" t="n">
        <v>0</v>
      </c>
      <c r="O7885" s="21" t="n">
        <v>0</v>
      </c>
      <c r="P7885" s="21" t="n">
        <v>0</v>
      </c>
      <c r="Q7885" s="21" t="n">
        <v>0</v>
      </c>
      <c r="R7885" s="21" t="n">
        <v>0</v>
      </c>
      <c r="S7885" s="21" t="n">
        <v>0</v>
      </c>
      <c r="T7885" s="21" t="n">
        <v>0</v>
      </c>
      <c r="U7885" s="21" t="n">
        <v>0</v>
      </c>
      <c r="V7885" s="21" t="n">
        <v>0</v>
      </c>
      <c r="W7885" s="21" t="n">
        <v>0</v>
      </c>
      <c r="X7885" s="21" t="n">
        <v>0</v>
      </c>
      <c r="Y7885" s="21" t="n">
        <v>0</v>
      </c>
      <c r="Z7885" s="19" t="n"/>
    </row>
    <row r="7886">
      <c r="D7886" s="21" t="n">
        <v>0</v>
      </c>
      <c r="E7886" s="21" t="n">
        <v>0</v>
      </c>
      <c r="F7886" s="21">
        <f>$B$7051</f>
        <v/>
      </c>
      <c r="G7886" s="21">
        <f>$B$7053</f>
        <v/>
      </c>
      <c r="H7886" s="21">
        <f>0</f>
        <v/>
      </c>
      <c r="I7886" s="21">
        <f>2*$B$7052</f>
        <v/>
      </c>
      <c r="J7886" s="21">
        <f>-$B$7051</f>
        <v/>
      </c>
      <c r="K7886" s="21">
        <f>$B$7053</f>
        <v/>
      </c>
      <c r="L7886" s="21" t="n">
        <v>0</v>
      </c>
      <c r="M7886" s="21" t="n">
        <v>0</v>
      </c>
      <c r="N7886" s="21" t="n">
        <v>0</v>
      </c>
      <c r="O7886" s="21" t="n">
        <v>0</v>
      </c>
      <c r="P7886" s="21" t="n">
        <v>0</v>
      </c>
      <c r="Q7886" s="21" t="n">
        <v>0</v>
      </c>
      <c r="R7886" s="21" t="n">
        <v>0</v>
      </c>
      <c r="S7886" s="21" t="n">
        <v>0</v>
      </c>
      <c r="T7886" s="21" t="n">
        <v>0</v>
      </c>
      <c r="U7886" s="21" t="n">
        <v>0</v>
      </c>
      <c r="V7886" s="21" t="n">
        <v>0</v>
      </c>
      <c r="W7886" s="21" t="n">
        <v>0</v>
      </c>
      <c r="X7886" s="21" t="n">
        <v>0</v>
      </c>
      <c r="Y7886" s="21" t="n">
        <v>0</v>
      </c>
      <c r="Z7886" s="19" t="n"/>
    </row>
    <row r="7887">
      <c r="D7887" s="21" t="n">
        <v>0</v>
      </c>
      <c r="E7887" s="21" t="n">
        <v>0</v>
      </c>
      <c r="F7887" s="21" t="n">
        <v>0</v>
      </c>
      <c r="G7887" s="21" t="n">
        <v>0</v>
      </c>
      <c r="H7887" s="21">
        <f>-$B$7050</f>
        <v/>
      </c>
      <c r="I7887" s="21">
        <f>-$B$7051</f>
        <v/>
      </c>
      <c r="J7887" s="21">
        <f>2*$B$7050+$D$7872</f>
        <v/>
      </c>
      <c r="K7887" s="21">
        <f>0</f>
        <v/>
      </c>
      <c r="L7887" s="21">
        <f>-$B$7050</f>
        <v/>
      </c>
      <c r="M7887" s="21">
        <f>$B$7051</f>
        <v/>
      </c>
      <c r="N7887" s="21" t="n">
        <v>0</v>
      </c>
      <c r="O7887" s="21" t="n">
        <v>0</v>
      </c>
      <c r="P7887" s="21" t="n">
        <v>0</v>
      </c>
      <c r="Q7887" s="21" t="n">
        <v>0</v>
      </c>
      <c r="R7887" s="21" t="n">
        <v>0</v>
      </c>
      <c r="S7887" s="21" t="n">
        <v>0</v>
      </c>
      <c r="T7887" s="21" t="n">
        <v>0</v>
      </c>
      <c r="U7887" s="21" t="n">
        <v>0</v>
      </c>
      <c r="V7887" s="21" t="n">
        <v>0</v>
      </c>
      <c r="W7887" s="21" t="n">
        <v>0</v>
      </c>
      <c r="X7887" s="21" t="n">
        <v>0</v>
      </c>
      <c r="Y7887" s="21" t="n">
        <v>0</v>
      </c>
      <c r="Z7887" s="19" t="n"/>
    </row>
    <row r="7888">
      <c r="D7888" s="21" t="n">
        <v>0</v>
      </c>
      <c r="E7888" s="21" t="n">
        <v>0</v>
      </c>
      <c r="F7888" s="21" t="n">
        <v>0</v>
      </c>
      <c r="G7888" s="21" t="n">
        <v>0</v>
      </c>
      <c r="H7888" s="21">
        <f>$B$7051</f>
        <v/>
      </c>
      <c r="I7888" s="21">
        <f>$B$7053</f>
        <v/>
      </c>
      <c r="J7888" s="21">
        <f>0</f>
        <v/>
      </c>
      <c r="K7888" s="21">
        <f>2*$B$7052</f>
        <v/>
      </c>
      <c r="L7888" s="21">
        <f>-$B$7051</f>
        <v/>
      </c>
      <c r="M7888" s="21">
        <f>$B$7053</f>
        <v/>
      </c>
      <c r="N7888" s="21" t="n">
        <v>0</v>
      </c>
      <c r="O7888" s="21" t="n">
        <v>0</v>
      </c>
      <c r="P7888" s="21" t="n">
        <v>0</v>
      </c>
      <c r="Q7888" s="21" t="n">
        <v>0</v>
      </c>
      <c r="R7888" s="21" t="n">
        <v>0</v>
      </c>
      <c r="S7888" s="21" t="n">
        <v>0</v>
      </c>
      <c r="T7888" s="21" t="n">
        <v>0</v>
      </c>
      <c r="U7888" s="21" t="n">
        <v>0</v>
      </c>
      <c r="V7888" s="21" t="n">
        <v>0</v>
      </c>
      <c r="W7888" s="21" t="n">
        <v>0</v>
      </c>
      <c r="X7888" s="21" t="n">
        <v>0</v>
      </c>
      <c r="Y7888" s="21" t="n">
        <v>0</v>
      </c>
      <c r="Z7888" s="19" t="n"/>
    </row>
    <row r="7889">
      <c r="D7889" s="21" t="n">
        <v>0</v>
      </c>
      <c r="E7889" s="21" t="n">
        <v>0</v>
      </c>
      <c r="F7889" s="21" t="n">
        <v>0</v>
      </c>
      <c r="G7889" s="21" t="n">
        <v>0</v>
      </c>
      <c r="H7889" s="21" t="n">
        <v>0</v>
      </c>
      <c r="I7889" s="21" t="n">
        <v>0</v>
      </c>
      <c r="J7889" s="21">
        <f>-$B$7050</f>
        <v/>
      </c>
      <c r="K7889" s="21">
        <f>-$B$7051</f>
        <v/>
      </c>
      <c r="L7889" s="21">
        <f>2*$B$7050+$D$7873</f>
        <v/>
      </c>
      <c r="M7889" s="21">
        <f>0</f>
        <v/>
      </c>
      <c r="N7889" s="21">
        <f>-$B$7050</f>
        <v/>
      </c>
      <c r="O7889" s="21">
        <f>$B$7051</f>
        <v/>
      </c>
      <c r="P7889" s="21" t="n">
        <v>0</v>
      </c>
      <c r="Q7889" s="21" t="n">
        <v>0</v>
      </c>
      <c r="R7889" s="21" t="n">
        <v>0</v>
      </c>
      <c r="S7889" s="21" t="n">
        <v>0</v>
      </c>
      <c r="T7889" s="21" t="n">
        <v>0</v>
      </c>
      <c r="U7889" s="21" t="n">
        <v>0</v>
      </c>
      <c r="V7889" s="21" t="n">
        <v>0</v>
      </c>
      <c r="W7889" s="21" t="n">
        <v>0</v>
      </c>
      <c r="X7889" s="21" t="n">
        <v>0</v>
      </c>
      <c r="Y7889" s="21" t="n">
        <v>0</v>
      </c>
      <c r="Z7889" s="19" t="n"/>
    </row>
    <row r="7890">
      <c r="D7890" s="21" t="n">
        <v>0</v>
      </c>
      <c r="E7890" s="21" t="n">
        <v>0</v>
      </c>
      <c r="F7890" s="21" t="n">
        <v>0</v>
      </c>
      <c r="G7890" s="21" t="n">
        <v>0</v>
      </c>
      <c r="H7890" s="21" t="n">
        <v>0</v>
      </c>
      <c r="I7890" s="21" t="n">
        <v>0</v>
      </c>
      <c r="J7890" s="21">
        <f>$B$7051</f>
        <v/>
      </c>
      <c r="K7890" s="21">
        <f>$B$7053</f>
        <v/>
      </c>
      <c r="L7890" s="21">
        <f>0</f>
        <v/>
      </c>
      <c r="M7890" s="21">
        <f>2*$B$7052</f>
        <v/>
      </c>
      <c r="N7890" s="21">
        <f>-$B$7051</f>
        <v/>
      </c>
      <c r="O7890" s="21">
        <f>$B$7053</f>
        <v/>
      </c>
      <c r="P7890" s="21" t="n">
        <v>0</v>
      </c>
      <c r="Q7890" s="21" t="n">
        <v>0</v>
      </c>
      <c r="R7890" s="21" t="n">
        <v>0</v>
      </c>
      <c r="S7890" s="21" t="n">
        <v>0</v>
      </c>
      <c r="T7890" s="21" t="n">
        <v>0</v>
      </c>
      <c r="U7890" s="21" t="n">
        <v>0</v>
      </c>
      <c r="V7890" s="21" t="n">
        <v>0</v>
      </c>
      <c r="W7890" s="21" t="n">
        <v>0</v>
      </c>
      <c r="X7890" s="21" t="n">
        <v>0</v>
      </c>
      <c r="Y7890" s="21" t="n">
        <v>0</v>
      </c>
      <c r="Z7890" s="19" t="n"/>
    </row>
    <row r="7891">
      <c r="D7891" s="21" t="n">
        <v>0</v>
      </c>
      <c r="E7891" s="21" t="n">
        <v>0</v>
      </c>
      <c r="F7891" s="21" t="n">
        <v>0</v>
      </c>
      <c r="G7891" s="21" t="n">
        <v>0</v>
      </c>
      <c r="H7891" s="21" t="n">
        <v>0</v>
      </c>
      <c r="I7891" s="21" t="n">
        <v>0</v>
      </c>
      <c r="J7891" s="21" t="n">
        <v>0</v>
      </c>
      <c r="K7891" s="21" t="n">
        <v>0</v>
      </c>
      <c r="L7891" s="21">
        <f>-$B$7050</f>
        <v/>
      </c>
      <c r="M7891" s="21">
        <f>-$B$7051</f>
        <v/>
      </c>
      <c r="N7891" s="21">
        <f>2*$B$7050+$D$7874</f>
        <v/>
      </c>
      <c r="O7891" s="21">
        <f>0</f>
        <v/>
      </c>
      <c r="P7891" s="21">
        <f>-$B$7050</f>
        <v/>
      </c>
      <c r="Q7891" s="21">
        <f>$B$7051</f>
        <v/>
      </c>
      <c r="R7891" s="21" t="n">
        <v>0</v>
      </c>
      <c r="S7891" s="21" t="n">
        <v>0</v>
      </c>
      <c r="T7891" s="21" t="n">
        <v>0</v>
      </c>
      <c r="U7891" s="21" t="n">
        <v>0</v>
      </c>
      <c r="V7891" s="21" t="n">
        <v>0</v>
      </c>
      <c r="W7891" s="21" t="n">
        <v>0</v>
      </c>
      <c r="X7891" s="21" t="n">
        <v>0</v>
      </c>
      <c r="Y7891" s="21" t="n">
        <v>0</v>
      </c>
      <c r="Z7891" s="19" t="n"/>
    </row>
    <row r="7892">
      <c r="D7892" s="21" t="n">
        <v>0</v>
      </c>
      <c r="E7892" s="21" t="n">
        <v>0</v>
      </c>
      <c r="F7892" s="21" t="n">
        <v>0</v>
      </c>
      <c r="G7892" s="21" t="n">
        <v>0</v>
      </c>
      <c r="H7892" s="21" t="n">
        <v>0</v>
      </c>
      <c r="I7892" s="21" t="n">
        <v>0</v>
      </c>
      <c r="J7892" s="21" t="n">
        <v>0</v>
      </c>
      <c r="K7892" s="21" t="n">
        <v>0</v>
      </c>
      <c r="L7892" s="21">
        <f>$B$7051</f>
        <v/>
      </c>
      <c r="M7892" s="21">
        <f>$B$7053</f>
        <v/>
      </c>
      <c r="N7892" s="21">
        <f>0</f>
        <v/>
      </c>
      <c r="O7892" s="21">
        <f>2*$B$7052</f>
        <v/>
      </c>
      <c r="P7892" s="21">
        <f>-$B$7051</f>
        <v/>
      </c>
      <c r="Q7892" s="21">
        <f>$B$7053</f>
        <v/>
      </c>
      <c r="R7892" s="21" t="n">
        <v>0</v>
      </c>
      <c r="S7892" s="21" t="n">
        <v>0</v>
      </c>
      <c r="T7892" s="21" t="n">
        <v>0</v>
      </c>
      <c r="U7892" s="21" t="n">
        <v>0</v>
      </c>
      <c r="V7892" s="21" t="n">
        <v>0</v>
      </c>
      <c r="W7892" s="21" t="n">
        <v>0</v>
      </c>
      <c r="X7892" s="21" t="n">
        <v>0</v>
      </c>
      <c r="Y7892" s="21" t="n">
        <v>0</v>
      </c>
      <c r="Z7892" s="19" t="n"/>
    </row>
    <row r="7893">
      <c r="D7893" s="21" t="n">
        <v>0</v>
      </c>
      <c r="E7893" s="21" t="n">
        <v>0</v>
      </c>
      <c r="F7893" s="21" t="n">
        <v>0</v>
      </c>
      <c r="G7893" s="21" t="n">
        <v>0</v>
      </c>
      <c r="H7893" s="21" t="n">
        <v>0</v>
      </c>
      <c r="I7893" s="21" t="n">
        <v>0</v>
      </c>
      <c r="J7893" s="21" t="n">
        <v>0</v>
      </c>
      <c r="K7893" s="21" t="n">
        <v>0</v>
      </c>
      <c r="L7893" s="21" t="n">
        <v>0</v>
      </c>
      <c r="M7893" s="21" t="n">
        <v>0</v>
      </c>
      <c r="N7893" s="21">
        <f>-$B$7050</f>
        <v/>
      </c>
      <c r="O7893" s="21">
        <f>-$B$7051</f>
        <v/>
      </c>
      <c r="P7893" s="21">
        <f>2*$B$7050+$D$7875</f>
        <v/>
      </c>
      <c r="Q7893" s="21">
        <f>0</f>
        <v/>
      </c>
      <c r="R7893" s="21">
        <f>-$B$7050</f>
        <v/>
      </c>
      <c r="S7893" s="21">
        <f>$B$7051</f>
        <v/>
      </c>
      <c r="T7893" s="21" t="n">
        <v>0</v>
      </c>
      <c r="U7893" s="21" t="n">
        <v>0</v>
      </c>
      <c r="V7893" s="21" t="n">
        <v>0</v>
      </c>
      <c r="W7893" s="21" t="n">
        <v>0</v>
      </c>
      <c r="X7893" s="21" t="n">
        <v>0</v>
      </c>
      <c r="Y7893" s="21" t="n">
        <v>0</v>
      </c>
      <c r="Z7893" s="19" t="n"/>
    </row>
    <row r="7894">
      <c r="D7894" s="21" t="n">
        <v>0</v>
      </c>
      <c r="E7894" s="21" t="n">
        <v>0</v>
      </c>
      <c r="F7894" s="21" t="n">
        <v>0</v>
      </c>
      <c r="G7894" s="21" t="n">
        <v>0</v>
      </c>
      <c r="H7894" s="21" t="n">
        <v>0</v>
      </c>
      <c r="I7894" s="21" t="n">
        <v>0</v>
      </c>
      <c r="J7894" s="21" t="n">
        <v>0</v>
      </c>
      <c r="K7894" s="21" t="n">
        <v>0</v>
      </c>
      <c r="L7894" s="21" t="n">
        <v>0</v>
      </c>
      <c r="M7894" s="21" t="n">
        <v>0</v>
      </c>
      <c r="N7894" s="21">
        <f>$B$7051</f>
        <v/>
      </c>
      <c r="O7894" s="21">
        <f>$B$7053</f>
        <v/>
      </c>
      <c r="P7894" s="21">
        <f>0</f>
        <v/>
      </c>
      <c r="Q7894" s="21">
        <f>2*$B$7052</f>
        <v/>
      </c>
      <c r="R7894" s="21">
        <f>-$B$7051</f>
        <v/>
      </c>
      <c r="S7894" s="21">
        <f>$B$7053</f>
        <v/>
      </c>
      <c r="T7894" s="21" t="n">
        <v>0</v>
      </c>
      <c r="U7894" s="21" t="n">
        <v>0</v>
      </c>
      <c r="V7894" s="21" t="n">
        <v>0</v>
      </c>
      <c r="W7894" s="21" t="n">
        <v>0</v>
      </c>
      <c r="X7894" s="21" t="n">
        <v>0</v>
      </c>
      <c r="Y7894" s="21" t="n">
        <v>0</v>
      </c>
      <c r="Z7894" s="19" t="n"/>
    </row>
    <row r="7895">
      <c r="D7895" s="21" t="n">
        <v>0</v>
      </c>
      <c r="E7895" s="21" t="n">
        <v>0</v>
      </c>
      <c r="F7895" s="21" t="n">
        <v>0</v>
      </c>
      <c r="G7895" s="21" t="n">
        <v>0</v>
      </c>
      <c r="H7895" s="21" t="n">
        <v>0</v>
      </c>
      <c r="I7895" s="21" t="n">
        <v>0</v>
      </c>
      <c r="J7895" s="21" t="n">
        <v>0</v>
      </c>
      <c r="K7895" s="21" t="n">
        <v>0</v>
      </c>
      <c r="L7895" s="21" t="n">
        <v>0</v>
      </c>
      <c r="M7895" s="21" t="n">
        <v>0</v>
      </c>
      <c r="N7895" s="21" t="n">
        <v>0</v>
      </c>
      <c r="O7895" s="21" t="n">
        <v>0</v>
      </c>
      <c r="P7895" s="21">
        <f>-$B$7050</f>
        <v/>
      </c>
      <c r="Q7895" s="21">
        <f>-$B$7051</f>
        <v/>
      </c>
      <c r="R7895" s="21">
        <f>2*$B$7050+$D$7876</f>
        <v/>
      </c>
      <c r="S7895" s="21">
        <f>0</f>
        <v/>
      </c>
      <c r="T7895" s="21">
        <f>-$B$7050</f>
        <v/>
      </c>
      <c r="U7895" s="21">
        <f>$B$7051</f>
        <v/>
      </c>
      <c r="V7895" s="21" t="n">
        <v>0</v>
      </c>
      <c r="W7895" s="21" t="n">
        <v>0</v>
      </c>
      <c r="X7895" s="21" t="n">
        <v>0</v>
      </c>
      <c r="Y7895" s="21" t="n">
        <v>0</v>
      </c>
      <c r="Z7895" s="19" t="n"/>
    </row>
    <row r="7896">
      <c r="D7896" s="21" t="n">
        <v>0</v>
      </c>
      <c r="E7896" s="21" t="n">
        <v>0</v>
      </c>
      <c r="F7896" s="21" t="n">
        <v>0</v>
      </c>
      <c r="G7896" s="21" t="n">
        <v>0</v>
      </c>
      <c r="H7896" s="21" t="n">
        <v>0</v>
      </c>
      <c r="I7896" s="21" t="n">
        <v>0</v>
      </c>
      <c r="J7896" s="21" t="n">
        <v>0</v>
      </c>
      <c r="K7896" s="21" t="n">
        <v>0</v>
      </c>
      <c r="L7896" s="21" t="n">
        <v>0</v>
      </c>
      <c r="M7896" s="21" t="n">
        <v>0</v>
      </c>
      <c r="N7896" s="21" t="n">
        <v>0</v>
      </c>
      <c r="O7896" s="21" t="n">
        <v>0</v>
      </c>
      <c r="P7896" s="21">
        <f>$B$7051</f>
        <v/>
      </c>
      <c r="Q7896" s="21">
        <f>$B$7053</f>
        <v/>
      </c>
      <c r="R7896" s="21">
        <f>0</f>
        <v/>
      </c>
      <c r="S7896" s="21">
        <f>2*$B$7052</f>
        <v/>
      </c>
      <c r="T7896" s="21">
        <f>-$B$7051</f>
        <v/>
      </c>
      <c r="U7896" s="21">
        <f>$B$7053</f>
        <v/>
      </c>
      <c r="V7896" s="21" t="n">
        <v>0</v>
      </c>
      <c r="W7896" s="21" t="n">
        <v>0</v>
      </c>
      <c r="X7896" s="21" t="n">
        <v>0</v>
      </c>
      <c r="Y7896" s="21" t="n">
        <v>0</v>
      </c>
      <c r="Z7896" s="19" t="n"/>
    </row>
    <row r="7897">
      <c r="D7897" s="21" t="n">
        <v>0</v>
      </c>
      <c r="E7897" s="21" t="n">
        <v>0</v>
      </c>
      <c r="F7897" s="21" t="n">
        <v>0</v>
      </c>
      <c r="G7897" s="21" t="n">
        <v>0</v>
      </c>
      <c r="H7897" s="21" t="n">
        <v>0</v>
      </c>
      <c r="I7897" s="21" t="n">
        <v>0</v>
      </c>
      <c r="J7897" s="21" t="n">
        <v>0</v>
      </c>
      <c r="K7897" s="21" t="n">
        <v>0</v>
      </c>
      <c r="L7897" s="21" t="n">
        <v>0</v>
      </c>
      <c r="M7897" s="21" t="n">
        <v>0</v>
      </c>
      <c r="N7897" s="21" t="n">
        <v>0</v>
      </c>
      <c r="O7897" s="21" t="n">
        <v>0</v>
      </c>
      <c r="P7897" s="21" t="n">
        <v>0</v>
      </c>
      <c r="Q7897" s="21" t="n">
        <v>0</v>
      </c>
      <c r="R7897" s="21">
        <f>-$B$7050</f>
        <v/>
      </c>
      <c r="S7897" s="21">
        <f>-$B$7051</f>
        <v/>
      </c>
      <c r="T7897" s="21">
        <f>2*$B$7050+$D$7877</f>
        <v/>
      </c>
      <c r="U7897" s="21">
        <f>0</f>
        <v/>
      </c>
      <c r="V7897" s="21">
        <f>-$B$7050</f>
        <v/>
      </c>
      <c r="W7897" s="21">
        <f>$B$7051</f>
        <v/>
      </c>
      <c r="X7897" s="21" t="n">
        <v>0</v>
      </c>
      <c r="Y7897" s="21" t="n">
        <v>0</v>
      </c>
      <c r="Z7897" s="19" t="n"/>
    </row>
    <row r="7898">
      <c r="D7898" s="21" t="n">
        <v>0</v>
      </c>
      <c r="E7898" s="21" t="n">
        <v>0</v>
      </c>
      <c r="F7898" s="21" t="n">
        <v>0</v>
      </c>
      <c r="G7898" s="21" t="n">
        <v>0</v>
      </c>
      <c r="H7898" s="21" t="n">
        <v>0</v>
      </c>
      <c r="I7898" s="21" t="n">
        <v>0</v>
      </c>
      <c r="J7898" s="21" t="n">
        <v>0</v>
      </c>
      <c r="K7898" s="21" t="n">
        <v>0</v>
      </c>
      <c r="L7898" s="21" t="n">
        <v>0</v>
      </c>
      <c r="M7898" s="21" t="n">
        <v>0</v>
      </c>
      <c r="N7898" s="21" t="n">
        <v>0</v>
      </c>
      <c r="O7898" s="21" t="n">
        <v>0</v>
      </c>
      <c r="P7898" s="21" t="n">
        <v>0</v>
      </c>
      <c r="Q7898" s="21" t="n">
        <v>0</v>
      </c>
      <c r="R7898" s="21">
        <f>$B$7051</f>
        <v/>
      </c>
      <c r="S7898" s="21">
        <f>$B$7053</f>
        <v/>
      </c>
      <c r="T7898" s="21">
        <f>0</f>
        <v/>
      </c>
      <c r="U7898" s="21">
        <f>2*$B$7052</f>
        <v/>
      </c>
      <c r="V7898" s="21">
        <f>-$B$7051</f>
        <v/>
      </c>
      <c r="W7898" s="21">
        <f>$B$7053</f>
        <v/>
      </c>
      <c r="X7898" s="21" t="n">
        <v>0</v>
      </c>
      <c r="Y7898" s="21" t="n">
        <v>0</v>
      </c>
      <c r="Z7898" s="19" t="n"/>
    </row>
    <row r="7899">
      <c r="D7899" s="21" t="n">
        <v>0</v>
      </c>
      <c r="E7899" s="21" t="n">
        <v>0</v>
      </c>
      <c r="F7899" s="21" t="n">
        <v>0</v>
      </c>
      <c r="G7899" s="21" t="n">
        <v>0</v>
      </c>
      <c r="H7899" s="21" t="n">
        <v>0</v>
      </c>
      <c r="I7899" s="21" t="n">
        <v>0</v>
      </c>
      <c r="J7899" s="21" t="n">
        <v>0</v>
      </c>
      <c r="K7899" s="21" t="n">
        <v>0</v>
      </c>
      <c r="L7899" s="21" t="n">
        <v>0</v>
      </c>
      <c r="M7899" s="21" t="n">
        <v>0</v>
      </c>
      <c r="N7899" s="21" t="n">
        <v>0</v>
      </c>
      <c r="O7899" s="21" t="n">
        <v>0</v>
      </c>
      <c r="P7899" s="21" t="n">
        <v>0</v>
      </c>
      <c r="Q7899" s="21" t="n">
        <v>0</v>
      </c>
      <c r="R7899" s="21" t="n">
        <v>0</v>
      </c>
      <c r="S7899" s="21" t="n">
        <v>0</v>
      </c>
      <c r="T7899" s="21">
        <f>-$B$7050</f>
        <v/>
      </c>
      <c r="U7899" s="21">
        <f>-$B$7051</f>
        <v/>
      </c>
      <c r="V7899" s="21">
        <f>2*$B$7050+$D$7878</f>
        <v/>
      </c>
      <c r="W7899" s="21">
        <f>0</f>
        <v/>
      </c>
      <c r="X7899" s="21">
        <f>-$B$7050</f>
        <v/>
      </c>
      <c r="Y7899" s="21">
        <f>$B$7051</f>
        <v/>
      </c>
      <c r="Z7899" s="19" t="n"/>
    </row>
    <row r="7900">
      <c r="D7900" s="21" t="n">
        <v>0</v>
      </c>
      <c r="E7900" s="21" t="n">
        <v>0</v>
      </c>
      <c r="F7900" s="21" t="n">
        <v>0</v>
      </c>
      <c r="G7900" s="21" t="n">
        <v>0</v>
      </c>
      <c r="H7900" s="21" t="n">
        <v>0</v>
      </c>
      <c r="I7900" s="21" t="n">
        <v>0</v>
      </c>
      <c r="J7900" s="21" t="n">
        <v>0</v>
      </c>
      <c r="K7900" s="21" t="n">
        <v>0</v>
      </c>
      <c r="L7900" s="21" t="n">
        <v>0</v>
      </c>
      <c r="M7900" s="21" t="n">
        <v>0</v>
      </c>
      <c r="N7900" s="21" t="n">
        <v>0</v>
      </c>
      <c r="O7900" s="21" t="n">
        <v>0</v>
      </c>
      <c r="P7900" s="21" t="n">
        <v>0</v>
      </c>
      <c r="Q7900" s="21" t="n">
        <v>0</v>
      </c>
      <c r="R7900" s="21" t="n">
        <v>0</v>
      </c>
      <c r="S7900" s="21" t="n">
        <v>0</v>
      </c>
      <c r="T7900" s="21">
        <f>$B$7051</f>
        <v/>
      </c>
      <c r="U7900" s="21">
        <f>$B$7053</f>
        <v/>
      </c>
      <c r="V7900" s="21">
        <f>0</f>
        <v/>
      </c>
      <c r="W7900" s="21">
        <f>2*$B$7052</f>
        <v/>
      </c>
      <c r="X7900" s="21">
        <f>-$B$7051</f>
        <v/>
      </c>
      <c r="Y7900" s="21">
        <f>$B$7053</f>
        <v/>
      </c>
      <c r="Z7900" s="19" t="n"/>
    </row>
    <row r="7901">
      <c r="D7901" s="21" t="n">
        <v>0</v>
      </c>
      <c r="E7901" s="21" t="n">
        <v>0</v>
      </c>
      <c r="F7901" s="21" t="n">
        <v>0</v>
      </c>
      <c r="G7901" s="21" t="n">
        <v>0</v>
      </c>
      <c r="H7901" s="21" t="n">
        <v>0</v>
      </c>
      <c r="I7901" s="21" t="n">
        <v>0</v>
      </c>
      <c r="J7901" s="21" t="n">
        <v>0</v>
      </c>
      <c r="K7901" s="21" t="n">
        <v>0</v>
      </c>
      <c r="L7901" s="21" t="n">
        <v>0</v>
      </c>
      <c r="M7901" s="21" t="n">
        <v>0</v>
      </c>
      <c r="N7901" s="21" t="n">
        <v>0</v>
      </c>
      <c r="O7901" s="21" t="n">
        <v>0</v>
      </c>
      <c r="P7901" s="21" t="n">
        <v>0</v>
      </c>
      <c r="Q7901" s="21" t="n">
        <v>0</v>
      </c>
      <c r="R7901" s="21" t="n">
        <v>0</v>
      </c>
      <c r="S7901" s="21" t="n">
        <v>0</v>
      </c>
      <c r="T7901" s="21" t="n">
        <v>0</v>
      </c>
      <c r="U7901" s="21" t="n">
        <v>0</v>
      </c>
      <c r="V7901" s="21">
        <f>-$B$7050</f>
        <v/>
      </c>
      <c r="W7901" s="21">
        <f>-$B$7051</f>
        <v/>
      </c>
      <c r="X7901" s="21">
        <f>$B$7050+$D$7879</f>
        <v/>
      </c>
      <c r="Y7901" s="21">
        <f>-$B$7051</f>
        <v/>
      </c>
      <c r="Z7901" s="19" t="n"/>
    </row>
    <row r="7902">
      <c r="D7902" s="21" t="n">
        <v>0</v>
      </c>
      <c r="E7902" s="21" t="n">
        <v>0</v>
      </c>
      <c r="F7902" s="21" t="n">
        <v>0</v>
      </c>
      <c r="G7902" s="21" t="n">
        <v>0</v>
      </c>
      <c r="H7902" s="21" t="n">
        <v>0</v>
      </c>
      <c r="I7902" s="21" t="n">
        <v>0</v>
      </c>
      <c r="J7902" s="21" t="n">
        <v>0</v>
      </c>
      <c r="K7902" s="21" t="n">
        <v>0</v>
      </c>
      <c r="L7902" s="21" t="n">
        <v>0</v>
      </c>
      <c r="M7902" s="21" t="n">
        <v>0</v>
      </c>
      <c r="N7902" s="21" t="n">
        <v>0</v>
      </c>
      <c r="O7902" s="21" t="n">
        <v>0</v>
      </c>
      <c r="P7902" s="21" t="n">
        <v>0</v>
      </c>
      <c r="Q7902" s="21" t="n">
        <v>0</v>
      </c>
      <c r="R7902" s="21" t="n">
        <v>0</v>
      </c>
      <c r="S7902" s="21" t="n">
        <v>0</v>
      </c>
      <c r="T7902" s="21" t="n">
        <v>0</v>
      </c>
      <c r="U7902" s="21" t="n">
        <v>0</v>
      </c>
      <c r="V7902" s="21">
        <f>$B$7051</f>
        <v/>
      </c>
      <c r="W7902" s="21">
        <f>$B$7053</f>
        <v/>
      </c>
      <c r="X7902" s="21">
        <f>-$B$7051</f>
        <v/>
      </c>
      <c r="Y7902" s="21">
        <f>$B$7052</f>
        <v/>
      </c>
      <c r="Z7902" s="19" t="n"/>
    </row>
    <row r="7904">
      <c r="A7904" s="8" t="inlineStr">
        <is>
          <t>gen 23</t>
        </is>
      </c>
    </row>
    <row r="7905">
      <c r="D7905" s="19">
        <f>IF(ABS(IF(ABS($E$7869)&gt;0.000000001,$E$7869,0.000000001))=0,0,IF($E$7065&lt;=$B$7059,0,IF(ABS(IF(ABS($E$7869)&gt;0.000000001,$E$7869,0.000000001))&gt;=8*$B$7061,$H$7065,0.5*$H$7065*(ABS(IF(ABS($E$7869)&gt;0.000000001,$E$7869,0.000000001))/$B$7061)^(1/3)))/ABS(IF(ABS($E$7869)&gt;0.000000001,$E$7869,0.000000001))*$I$7065)</f>
        <v/>
      </c>
      <c r="E7905" s="19">
        <f>0.5*$E$7869+0.5*$Z$7917</f>
        <v/>
      </c>
      <c r="F7905" s="19">
        <f>$Z$7918</f>
        <v/>
      </c>
    </row>
    <row r="7906">
      <c r="D7906" s="19">
        <f>IF(ABS(IF(ABS($E$7870)&gt;0.000000001,$E$7870,0.000000001))=0,0,IF($E$7066&lt;=$B$7059,0,IF(ABS(IF(ABS($E$7870)&gt;0.000000001,$E$7870,0.000000001))&gt;=8*$B$7061,$H$7066,0.5*$H$7066*(ABS(IF(ABS($E$7870)&gt;0.000000001,$E$7870,0.000000001))/$B$7061)^(1/3)))/ABS(IF(ABS($E$7870)&gt;0.000000001,$E$7870,0.000000001))*$I$7066)</f>
        <v/>
      </c>
      <c r="E7906" s="19">
        <f>0.5*$E$7870+0.5*$Z$7919</f>
        <v/>
      </c>
      <c r="F7906" s="19">
        <f>$Z$7920</f>
        <v/>
      </c>
    </row>
    <row r="7907">
      <c r="D7907" s="19">
        <f>IF(ABS(IF(ABS($E$7871)&gt;0.000000001,$E$7871,0.000000001))=0,0,IF($E$7067&lt;=$B$7059,0,IF(ABS(IF(ABS($E$7871)&gt;0.000000001,$E$7871,0.000000001))&gt;=8*$B$7061,$H$7067,0.5*$H$7067*(ABS(IF(ABS($E$7871)&gt;0.000000001,$E$7871,0.000000001))/$B$7061)^(1/3)))/ABS(IF(ABS($E$7871)&gt;0.000000001,$E$7871,0.000000001))*$I$7067)</f>
        <v/>
      </c>
      <c r="E7907" s="19">
        <f>0.5*$E$7871+0.5*$Z$7921</f>
        <v/>
      </c>
      <c r="F7907" s="19">
        <f>$Z$7922</f>
        <v/>
      </c>
    </row>
    <row r="7908">
      <c r="D7908" s="19">
        <f>IF(ABS(IF(ABS($E$7872)&gt;0.000000001,$E$7872,0.000000001))=0,0,IF($E$7068&lt;=$B$7059,0,IF(ABS(IF(ABS($E$7872)&gt;0.000000001,$E$7872,0.000000001))&gt;=8*$B$7061,$H$7068,0.5*$H$7068*(ABS(IF(ABS($E$7872)&gt;0.000000001,$E$7872,0.000000001))/$B$7061)^(1/3)))/ABS(IF(ABS($E$7872)&gt;0.000000001,$E$7872,0.000000001))*$I$7068)</f>
        <v/>
      </c>
      <c r="E7908" s="19">
        <f>0.5*$E$7872+0.5*$Z$7923</f>
        <v/>
      </c>
      <c r="F7908" s="19">
        <f>$Z$7924</f>
        <v/>
      </c>
    </row>
    <row r="7909">
      <c r="D7909" s="19">
        <f>IF(ABS(IF(ABS($E$7873)&gt;0.000000001,$E$7873,0.000000001))=0,0,IF($E$7069&lt;=$B$7059,0,IF(ABS(IF(ABS($E$7873)&gt;0.000000001,$E$7873,0.000000001))&gt;=8*$B$7061,$H$7069,0.5*$H$7069*(ABS(IF(ABS($E$7873)&gt;0.000000001,$E$7873,0.000000001))/$B$7061)^(1/3)))/ABS(IF(ABS($E$7873)&gt;0.000000001,$E$7873,0.000000001))*$I$7069)</f>
        <v/>
      </c>
      <c r="E7909" s="19">
        <f>0.5*$E$7873+0.5*$Z$7925</f>
        <v/>
      </c>
      <c r="F7909" s="19">
        <f>$Z$7926</f>
        <v/>
      </c>
    </row>
    <row r="7910">
      <c r="D7910" s="19">
        <f>IF(ABS(IF(ABS($E$7874)&gt;0.000000001,$E$7874,0.000000001))=0,0,IF($E$7070&lt;=$B$7059,0,IF(ABS(IF(ABS($E$7874)&gt;0.000000001,$E$7874,0.000000001))&gt;=8*$B$7061,$H$7070,0.5*$H$7070*(ABS(IF(ABS($E$7874)&gt;0.000000001,$E$7874,0.000000001))/$B$7061)^(1/3)))/ABS(IF(ABS($E$7874)&gt;0.000000001,$E$7874,0.000000001))*$I$7070)</f>
        <v/>
      </c>
      <c r="E7910" s="19">
        <f>0.5*$E$7874+0.5*$Z$7927</f>
        <v/>
      </c>
      <c r="F7910" s="19">
        <f>$Z$7928</f>
        <v/>
      </c>
    </row>
    <row r="7911">
      <c r="D7911" s="19">
        <f>IF(ABS(IF(ABS($E$7875)&gt;0.000000001,$E$7875,0.000000001))=0,0,IF($E$7071&lt;=$B$7059,0,IF(ABS(IF(ABS($E$7875)&gt;0.000000001,$E$7875,0.000000001))&gt;=8*$B$7061,$H$7071,0.5*$H$7071*(ABS(IF(ABS($E$7875)&gt;0.000000001,$E$7875,0.000000001))/$B$7061)^(1/3)))/ABS(IF(ABS($E$7875)&gt;0.000000001,$E$7875,0.000000001))*$I$7071)</f>
        <v/>
      </c>
      <c r="E7911" s="19">
        <f>0.5*$E$7875+0.5*$Z$7929</f>
        <v/>
      </c>
      <c r="F7911" s="19">
        <f>$Z$7930</f>
        <v/>
      </c>
    </row>
    <row r="7912">
      <c r="D7912" s="19">
        <f>IF(ABS(IF(ABS($E$7876)&gt;0.000000001,$E$7876,0.000000001))=0,0,IF($E$7072&lt;=$B$7059,0,IF(ABS(IF(ABS($E$7876)&gt;0.000000001,$E$7876,0.000000001))&gt;=8*$B$7061,$H$7072,0.5*$H$7072*(ABS(IF(ABS($E$7876)&gt;0.000000001,$E$7876,0.000000001))/$B$7061)^(1/3)))/ABS(IF(ABS($E$7876)&gt;0.000000001,$E$7876,0.000000001))*$I$7072)</f>
        <v/>
      </c>
      <c r="E7912" s="19">
        <f>0.5*$E$7876+0.5*$Z$7931</f>
        <v/>
      </c>
      <c r="F7912" s="19">
        <f>$Z$7932</f>
        <v/>
      </c>
    </row>
    <row r="7913">
      <c r="D7913" s="19">
        <f>IF(ABS(IF(ABS($E$7877)&gt;0.000000001,$E$7877,0.000000001))=0,0,IF($E$7073&lt;=$B$7059,0,IF(ABS(IF(ABS($E$7877)&gt;0.000000001,$E$7877,0.000000001))&gt;=8*$B$7061,$H$7073,0.5*$H$7073*(ABS(IF(ABS($E$7877)&gt;0.000000001,$E$7877,0.000000001))/$B$7061)^(1/3)))/ABS(IF(ABS($E$7877)&gt;0.000000001,$E$7877,0.000000001))*$I$7073)</f>
        <v/>
      </c>
      <c r="E7913" s="19">
        <f>0.5*$E$7877+0.5*$Z$7933</f>
        <v/>
      </c>
      <c r="F7913" s="19">
        <f>$Z$7934</f>
        <v/>
      </c>
    </row>
    <row r="7914">
      <c r="D7914" s="19">
        <f>IF(ABS(IF(ABS($E$7878)&gt;0.000000001,$E$7878,0.000000001))=0,0,IF($E$7074&lt;=$B$7059,0,IF(ABS(IF(ABS($E$7878)&gt;0.000000001,$E$7878,0.000000001))&gt;=8*$B$7061,$H$7074,0.5*$H$7074*(ABS(IF(ABS($E$7878)&gt;0.000000001,$E$7878,0.000000001))/$B$7061)^(1/3)))/ABS(IF(ABS($E$7878)&gt;0.000000001,$E$7878,0.000000001))*$I$7074)</f>
        <v/>
      </c>
      <c r="E7914" s="19">
        <f>0.5*$E$7878+0.5*$Z$7935</f>
        <v/>
      </c>
      <c r="F7914" s="19">
        <f>$Z$7936</f>
        <v/>
      </c>
    </row>
    <row r="7915">
      <c r="D7915" s="19">
        <f>IF(ABS(IF(ABS($E$7879)&gt;0.000000001,$E$7879,0.000000001))=0,0,IF($E$7075&lt;=$B$7059,0,IF(ABS(IF(ABS($E$7879)&gt;0.000000001,$E$7879,0.000000001))&gt;=8*$B$7061,$H$7075,0.5*$H$7075*(ABS(IF(ABS($E$7879)&gt;0.000000001,$E$7879,0.000000001))/$B$7061)^(1/3)))/ABS(IF(ABS($E$7879)&gt;0.000000001,$E$7879,0.000000001))*$I$7075)</f>
        <v/>
      </c>
      <c r="E7915" s="19">
        <f>0.5*$E$7879+0.5*$Z$7937</f>
        <v/>
      </c>
      <c r="F7915" s="19">
        <f>$Z$7938</f>
        <v/>
      </c>
    </row>
    <row r="7917">
      <c r="D7917" s="21">
        <f>$B$7050+$D$7905</f>
        <v/>
      </c>
      <c r="E7917" s="21">
        <f>$B$7051</f>
        <v/>
      </c>
      <c r="F7917" s="21">
        <f>-$B$7050</f>
        <v/>
      </c>
      <c r="G7917" s="21">
        <f>$B$7051</f>
        <v/>
      </c>
      <c r="H7917" s="21" t="n">
        <v>0</v>
      </c>
      <c r="I7917" s="21" t="n">
        <v>0</v>
      </c>
      <c r="J7917" s="21" t="n">
        <v>0</v>
      </c>
      <c r="K7917" s="21" t="n">
        <v>0</v>
      </c>
      <c r="L7917" s="21" t="n">
        <v>0</v>
      </c>
      <c r="M7917" s="21" t="n">
        <v>0</v>
      </c>
      <c r="N7917" s="21" t="n">
        <v>0</v>
      </c>
      <c r="O7917" s="21" t="n">
        <v>0</v>
      </c>
      <c r="P7917" s="21" t="n">
        <v>0</v>
      </c>
      <c r="Q7917" s="21" t="n">
        <v>0</v>
      </c>
      <c r="R7917" s="21" t="n">
        <v>0</v>
      </c>
      <c r="S7917" s="21" t="n">
        <v>0</v>
      </c>
      <c r="T7917" s="21" t="n">
        <v>0</v>
      </c>
      <c r="U7917" s="21" t="n">
        <v>0</v>
      </c>
      <c r="V7917" s="21" t="n">
        <v>0</v>
      </c>
      <c r="W7917" s="21" t="n">
        <v>0</v>
      </c>
      <c r="X7917" s="21" t="n">
        <v>0</v>
      </c>
      <c r="Y7917" s="21" t="n">
        <v>0</v>
      </c>
      <c r="Z7917" s="19">
        <f t="array" ref="Z7917:Z7938">MMULT(MINVERSE($D$7917:$Y$7938),$D$7077:$D$7098)</f>
        <v/>
      </c>
    </row>
    <row r="7918">
      <c r="D7918" s="21">
        <f>$B$7051</f>
        <v/>
      </c>
      <c r="E7918" s="21">
        <f>$B$7052</f>
        <v/>
      </c>
      <c r="F7918" s="21">
        <f>-$B$7051</f>
        <v/>
      </c>
      <c r="G7918" s="21">
        <f>$B$7053</f>
        <v/>
      </c>
      <c r="H7918" s="21" t="n">
        <v>0</v>
      </c>
      <c r="I7918" s="21" t="n">
        <v>0</v>
      </c>
      <c r="J7918" s="21" t="n">
        <v>0</v>
      </c>
      <c r="K7918" s="21" t="n">
        <v>0</v>
      </c>
      <c r="L7918" s="21" t="n">
        <v>0</v>
      </c>
      <c r="M7918" s="21" t="n">
        <v>0</v>
      </c>
      <c r="N7918" s="21" t="n">
        <v>0</v>
      </c>
      <c r="O7918" s="21" t="n">
        <v>0</v>
      </c>
      <c r="P7918" s="21" t="n">
        <v>0</v>
      </c>
      <c r="Q7918" s="21" t="n">
        <v>0</v>
      </c>
      <c r="R7918" s="21" t="n">
        <v>0</v>
      </c>
      <c r="S7918" s="21" t="n">
        <v>0</v>
      </c>
      <c r="T7918" s="21" t="n">
        <v>0</v>
      </c>
      <c r="U7918" s="21" t="n">
        <v>0</v>
      </c>
      <c r="V7918" s="21" t="n">
        <v>0</v>
      </c>
      <c r="W7918" s="21" t="n">
        <v>0</v>
      </c>
      <c r="X7918" s="21" t="n">
        <v>0</v>
      </c>
      <c r="Y7918" s="21" t="n">
        <v>0</v>
      </c>
      <c r="Z7918" s="19" t="n"/>
    </row>
    <row r="7919">
      <c r="D7919" s="21">
        <f>-$B$7050</f>
        <v/>
      </c>
      <c r="E7919" s="21">
        <f>-$B$7051</f>
        <v/>
      </c>
      <c r="F7919" s="21">
        <f>2*$B$7050+$D$7906</f>
        <v/>
      </c>
      <c r="G7919" s="21">
        <f>0</f>
        <v/>
      </c>
      <c r="H7919" s="21">
        <f>-$B$7050</f>
        <v/>
      </c>
      <c r="I7919" s="21">
        <f>$B$7051</f>
        <v/>
      </c>
      <c r="J7919" s="21" t="n">
        <v>0</v>
      </c>
      <c r="K7919" s="21" t="n">
        <v>0</v>
      </c>
      <c r="L7919" s="21" t="n">
        <v>0</v>
      </c>
      <c r="M7919" s="21" t="n">
        <v>0</v>
      </c>
      <c r="N7919" s="21" t="n">
        <v>0</v>
      </c>
      <c r="O7919" s="21" t="n">
        <v>0</v>
      </c>
      <c r="P7919" s="21" t="n">
        <v>0</v>
      </c>
      <c r="Q7919" s="21" t="n">
        <v>0</v>
      </c>
      <c r="R7919" s="21" t="n">
        <v>0</v>
      </c>
      <c r="S7919" s="21" t="n">
        <v>0</v>
      </c>
      <c r="T7919" s="21" t="n">
        <v>0</v>
      </c>
      <c r="U7919" s="21" t="n">
        <v>0</v>
      </c>
      <c r="V7919" s="21" t="n">
        <v>0</v>
      </c>
      <c r="W7919" s="21" t="n">
        <v>0</v>
      </c>
      <c r="X7919" s="21" t="n">
        <v>0</v>
      </c>
      <c r="Y7919" s="21" t="n">
        <v>0</v>
      </c>
      <c r="Z7919" s="19" t="n"/>
    </row>
    <row r="7920">
      <c r="D7920" s="21">
        <f>$B$7051</f>
        <v/>
      </c>
      <c r="E7920" s="21">
        <f>$B$7053</f>
        <v/>
      </c>
      <c r="F7920" s="21">
        <f>0</f>
        <v/>
      </c>
      <c r="G7920" s="21">
        <f>2*$B$7052</f>
        <v/>
      </c>
      <c r="H7920" s="21">
        <f>-$B$7051</f>
        <v/>
      </c>
      <c r="I7920" s="21">
        <f>$B$7053</f>
        <v/>
      </c>
      <c r="J7920" s="21" t="n">
        <v>0</v>
      </c>
      <c r="K7920" s="21" t="n">
        <v>0</v>
      </c>
      <c r="L7920" s="21" t="n">
        <v>0</v>
      </c>
      <c r="M7920" s="21" t="n">
        <v>0</v>
      </c>
      <c r="N7920" s="21" t="n">
        <v>0</v>
      </c>
      <c r="O7920" s="21" t="n">
        <v>0</v>
      </c>
      <c r="P7920" s="21" t="n">
        <v>0</v>
      </c>
      <c r="Q7920" s="21" t="n">
        <v>0</v>
      </c>
      <c r="R7920" s="21" t="n">
        <v>0</v>
      </c>
      <c r="S7920" s="21" t="n">
        <v>0</v>
      </c>
      <c r="T7920" s="21" t="n">
        <v>0</v>
      </c>
      <c r="U7920" s="21" t="n">
        <v>0</v>
      </c>
      <c r="V7920" s="21" t="n">
        <v>0</v>
      </c>
      <c r="W7920" s="21" t="n">
        <v>0</v>
      </c>
      <c r="X7920" s="21" t="n">
        <v>0</v>
      </c>
      <c r="Y7920" s="21" t="n">
        <v>0</v>
      </c>
      <c r="Z7920" s="19" t="n"/>
    </row>
    <row r="7921">
      <c r="D7921" s="21" t="n">
        <v>0</v>
      </c>
      <c r="E7921" s="21" t="n">
        <v>0</v>
      </c>
      <c r="F7921" s="21">
        <f>-$B$7050</f>
        <v/>
      </c>
      <c r="G7921" s="21">
        <f>-$B$7051</f>
        <v/>
      </c>
      <c r="H7921" s="21">
        <f>2*$B$7050+$D$7907</f>
        <v/>
      </c>
      <c r="I7921" s="21">
        <f>0</f>
        <v/>
      </c>
      <c r="J7921" s="21">
        <f>-$B$7050</f>
        <v/>
      </c>
      <c r="K7921" s="21">
        <f>$B$7051</f>
        <v/>
      </c>
      <c r="L7921" s="21" t="n">
        <v>0</v>
      </c>
      <c r="M7921" s="21" t="n">
        <v>0</v>
      </c>
      <c r="N7921" s="21" t="n">
        <v>0</v>
      </c>
      <c r="O7921" s="21" t="n">
        <v>0</v>
      </c>
      <c r="P7921" s="21" t="n">
        <v>0</v>
      </c>
      <c r="Q7921" s="21" t="n">
        <v>0</v>
      </c>
      <c r="R7921" s="21" t="n">
        <v>0</v>
      </c>
      <c r="S7921" s="21" t="n">
        <v>0</v>
      </c>
      <c r="T7921" s="21" t="n">
        <v>0</v>
      </c>
      <c r="U7921" s="21" t="n">
        <v>0</v>
      </c>
      <c r="V7921" s="21" t="n">
        <v>0</v>
      </c>
      <c r="W7921" s="21" t="n">
        <v>0</v>
      </c>
      <c r="X7921" s="21" t="n">
        <v>0</v>
      </c>
      <c r="Y7921" s="21" t="n">
        <v>0</v>
      </c>
      <c r="Z7921" s="19" t="n"/>
    </row>
    <row r="7922">
      <c r="D7922" s="21" t="n">
        <v>0</v>
      </c>
      <c r="E7922" s="21" t="n">
        <v>0</v>
      </c>
      <c r="F7922" s="21">
        <f>$B$7051</f>
        <v/>
      </c>
      <c r="G7922" s="21">
        <f>$B$7053</f>
        <v/>
      </c>
      <c r="H7922" s="21">
        <f>0</f>
        <v/>
      </c>
      <c r="I7922" s="21">
        <f>2*$B$7052</f>
        <v/>
      </c>
      <c r="J7922" s="21">
        <f>-$B$7051</f>
        <v/>
      </c>
      <c r="K7922" s="21">
        <f>$B$7053</f>
        <v/>
      </c>
      <c r="L7922" s="21" t="n">
        <v>0</v>
      </c>
      <c r="M7922" s="21" t="n">
        <v>0</v>
      </c>
      <c r="N7922" s="21" t="n">
        <v>0</v>
      </c>
      <c r="O7922" s="21" t="n">
        <v>0</v>
      </c>
      <c r="P7922" s="21" t="n">
        <v>0</v>
      </c>
      <c r="Q7922" s="21" t="n">
        <v>0</v>
      </c>
      <c r="R7922" s="21" t="n">
        <v>0</v>
      </c>
      <c r="S7922" s="21" t="n">
        <v>0</v>
      </c>
      <c r="T7922" s="21" t="n">
        <v>0</v>
      </c>
      <c r="U7922" s="21" t="n">
        <v>0</v>
      </c>
      <c r="V7922" s="21" t="n">
        <v>0</v>
      </c>
      <c r="W7922" s="21" t="n">
        <v>0</v>
      </c>
      <c r="X7922" s="21" t="n">
        <v>0</v>
      </c>
      <c r="Y7922" s="21" t="n">
        <v>0</v>
      </c>
      <c r="Z7922" s="19" t="n"/>
    </row>
    <row r="7923">
      <c r="D7923" s="21" t="n">
        <v>0</v>
      </c>
      <c r="E7923" s="21" t="n">
        <v>0</v>
      </c>
      <c r="F7923" s="21" t="n">
        <v>0</v>
      </c>
      <c r="G7923" s="21" t="n">
        <v>0</v>
      </c>
      <c r="H7923" s="21">
        <f>-$B$7050</f>
        <v/>
      </c>
      <c r="I7923" s="21">
        <f>-$B$7051</f>
        <v/>
      </c>
      <c r="J7923" s="21">
        <f>2*$B$7050+$D$7908</f>
        <v/>
      </c>
      <c r="K7923" s="21">
        <f>0</f>
        <v/>
      </c>
      <c r="L7923" s="21">
        <f>-$B$7050</f>
        <v/>
      </c>
      <c r="M7923" s="21">
        <f>$B$7051</f>
        <v/>
      </c>
      <c r="N7923" s="21" t="n">
        <v>0</v>
      </c>
      <c r="O7923" s="21" t="n">
        <v>0</v>
      </c>
      <c r="P7923" s="21" t="n">
        <v>0</v>
      </c>
      <c r="Q7923" s="21" t="n">
        <v>0</v>
      </c>
      <c r="R7923" s="21" t="n">
        <v>0</v>
      </c>
      <c r="S7923" s="21" t="n">
        <v>0</v>
      </c>
      <c r="T7923" s="21" t="n">
        <v>0</v>
      </c>
      <c r="U7923" s="21" t="n">
        <v>0</v>
      </c>
      <c r="V7923" s="21" t="n">
        <v>0</v>
      </c>
      <c r="W7923" s="21" t="n">
        <v>0</v>
      </c>
      <c r="X7923" s="21" t="n">
        <v>0</v>
      </c>
      <c r="Y7923" s="21" t="n">
        <v>0</v>
      </c>
      <c r="Z7923" s="19" t="n"/>
    </row>
    <row r="7924">
      <c r="D7924" s="21" t="n">
        <v>0</v>
      </c>
      <c r="E7924" s="21" t="n">
        <v>0</v>
      </c>
      <c r="F7924" s="21" t="n">
        <v>0</v>
      </c>
      <c r="G7924" s="21" t="n">
        <v>0</v>
      </c>
      <c r="H7924" s="21">
        <f>$B$7051</f>
        <v/>
      </c>
      <c r="I7924" s="21">
        <f>$B$7053</f>
        <v/>
      </c>
      <c r="J7924" s="21">
        <f>0</f>
        <v/>
      </c>
      <c r="K7924" s="21">
        <f>2*$B$7052</f>
        <v/>
      </c>
      <c r="L7924" s="21">
        <f>-$B$7051</f>
        <v/>
      </c>
      <c r="M7924" s="21">
        <f>$B$7053</f>
        <v/>
      </c>
      <c r="N7924" s="21" t="n">
        <v>0</v>
      </c>
      <c r="O7924" s="21" t="n">
        <v>0</v>
      </c>
      <c r="P7924" s="21" t="n">
        <v>0</v>
      </c>
      <c r="Q7924" s="21" t="n">
        <v>0</v>
      </c>
      <c r="R7924" s="21" t="n">
        <v>0</v>
      </c>
      <c r="S7924" s="21" t="n">
        <v>0</v>
      </c>
      <c r="T7924" s="21" t="n">
        <v>0</v>
      </c>
      <c r="U7924" s="21" t="n">
        <v>0</v>
      </c>
      <c r="V7924" s="21" t="n">
        <v>0</v>
      </c>
      <c r="W7924" s="21" t="n">
        <v>0</v>
      </c>
      <c r="X7924" s="21" t="n">
        <v>0</v>
      </c>
      <c r="Y7924" s="21" t="n">
        <v>0</v>
      </c>
      <c r="Z7924" s="19" t="n"/>
    </row>
    <row r="7925">
      <c r="D7925" s="21" t="n">
        <v>0</v>
      </c>
      <c r="E7925" s="21" t="n">
        <v>0</v>
      </c>
      <c r="F7925" s="21" t="n">
        <v>0</v>
      </c>
      <c r="G7925" s="21" t="n">
        <v>0</v>
      </c>
      <c r="H7925" s="21" t="n">
        <v>0</v>
      </c>
      <c r="I7925" s="21" t="n">
        <v>0</v>
      </c>
      <c r="J7925" s="21">
        <f>-$B$7050</f>
        <v/>
      </c>
      <c r="K7925" s="21">
        <f>-$B$7051</f>
        <v/>
      </c>
      <c r="L7925" s="21">
        <f>2*$B$7050+$D$7909</f>
        <v/>
      </c>
      <c r="M7925" s="21">
        <f>0</f>
        <v/>
      </c>
      <c r="N7925" s="21">
        <f>-$B$7050</f>
        <v/>
      </c>
      <c r="O7925" s="21">
        <f>$B$7051</f>
        <v/>
      </c>
      <c r="P7925" s="21" t="n">
        <v>0</v>
      </c>
      <c r="Q7925" s="21" t="n">
        <v>0</v>
      </c>
      <c r="R7925" s="21" t="n">
        <v>0</v>
      </c>
      <c r="S7925" s="21" t="n">
        <v>0</v>
      </c>
      <c r="T7925" s="21" t="n">
        <v>0</v>
      </c>
      <c r="U7925" s="21" t="n">
        <v>0</v>
      </c>
      <c r="V7925" s="21" t="n">
        <v>0</v>
      </c>
      <c r="W7925" s="21" t="n">
        <v>0</v>
      </c>
      <c r="X7925" s="21" t="n">
        <v>0</v>
      </c>
      <c r="Y7925" s="21" t="n">
        <v>0</v>
      </c>
      <c r="Z7925" s="19" t="n"/>
    </row>
    <row r="7926">
      <c r="D7926" s="21" t="n">
        <v>0</v>
      </c>
      <c r="E7926" s="21" t="n">
        <v>0</v>
      </c>
      <c r="F7926" s="21" t="n">
        <v>0</v>
      </c>
      <c r="G7926" s="21" t="n">
        <v>0</v>
      </c>
      <c r="H7926" s="21" t="n">
        <v>0</v>
      </c>
      <c r="I7926" s="21" t="n">
        <v>0</v>
      </c>
      <c r="J7926" s="21">
        <f>$B$7051</f>
        <v/>
      </c>
      <c r="K7926" s="21">
        <f>$B$7053</f>
        <v/>
      </c>
      <c r="L7926" s="21">
        <f>0</f>
        <v/>
      </c>
      <c r="M7926" s="21">
        <f>2*$B$7052</f>
        <v/>
      </c>
      <c r="N7926" s="21">
        <f>-$B$7051</f>
        <v/>
      </c>
      <c r="O7926" s="21">
        <f>$B$7053</f>
        <v/>
      </c>
      <c r="P7926" s="21" t="n">
        <v>0</v>
      </c>
      <c r="Q7926" s="21" t="n">
        <v>0</v>
      </c>
      <c r="R7926" s="21" t="n">
        <v>0</v>
      </c>
      <c r="S7926" s="21" t="n">
        <v>0</v>
      </c>
      <c r="T7926" s="21" t="n">
        <v>0</v>
      </c>
      <c r="U7926" s="21" t="n">
        <v>0</v>
      </c>
      <c r="V7926" s="21" t="n">
        <v>0</v>
      </c>
      <c r="W7926" s="21" t="n">
        <v>0</v>
      </c>
      <c r="X7926" s="21" t="n">
        <v>0</v>
      </c>
      <c r="Y7926" s="21" t="n">
        <v>0</v>
      </c>
      <c r="Z7926" s="19" t="n"/>
    </row>
    <row r="7927">
      <c r="D7927" s="21" t="n">
        <v>0</v>
      </c>
      <c r="E7927" s="21" t="n">
        <v>0</v>
      </c>
      <c r="F7927" s="21" t="n">
        <v>0</v>
      </c>
      <c r="G7927" s="21" t="n">
        <v>0</v>
      </c>
      <c r="H7927" s="21" t="n">
        <v>0</v>
      </c>
      <c r="I7927" s="21" t="n">
        <v>0</v>
      </c>
      <c r="J7927" s="21" t="n">
        <v>0</v>
      </c>
      <c r="K7927" s="21" t="n">
        <v>0</v>
      </c>
      <c r="L7927" s="21">
        <f>-$B$7050</f>
        <v/>
      </c>
      <c r="M7927" s="21">
        <f>-$B$7051</f>
        <v/>
      </c>
      <c r="N7927" s="21">
        <f>2*$B$7050+$D$7910</f>
        <v/>
      </c>
      <c r="O7927" s="21">
        <f>0</f>
        <v/>
      </c>
      <c r="P7927" s="21">
        <f>-$B$7050</f>
        <v/>
      </c>
      <c r="Q7927" s="21">
        <f>$B$7051</f>
        <v/>
      </c>
      <c r="R7927" s="21" t="n">
        <v>0</v>
      </c>
      <c r="S7927" s="21" t="n">
        <v>0</v>
      </c>
      <c r="T7927" s="21" t="n">
        <v>0</v>
      </c>
      <c r="U7927" s="21" t="n">
        <v>0</v>
      </c>
      <c r="V7927" s="21" t="n">
        <v>0</v>
      </c>
      <c r="W7927" s="21" t="n">
        <v>0</v>
      </c>
      <c r="X7927" s="21" t="n">
        <v>0</v>
      </c>
      <c r="Y7927" s="21" t="n">
        <v>0</v>
      </c>
      <c r="Z7927" s="19" t="n"/>
    </row>
    <row r="7928">
      <c r="D7928" s="21" t="n">
        <v>0</v>
      </c>
      <c r="E7928" s="21" t="n">
        <v>0</v>
      </c>
      <c r="F7928" s="21" t="n">
        <v>0</v>
      </c>
      <c r="G7928" s="21" t="n">
        <v>0</v>
      </c>
      <c r="H7928" s="21" t="n">
        <v>0</v>
      </c>
      <c r="I7928" s="21" t="n">
        <v>0</v>
      </c>
      <c r="J7928" s="21" t="n">
        <v>0</v>
      </c>
      <c r="K7928" s="21" t="n">
        <v>0</v>
      </c>
      <c r="L7928" s="21">
        <f>$B$7051</f>
        <v/>
      </c>
      <c r="M7928" s="21">
        <f>$B$7053</f>
        <v/>
      </c>
      <c r="N7928" s="21">
        <f>0</f>
        <v/>
      </c>
      <c r="O7928" s="21">
        <f>2*$B$7052</f>
        <v/>
      </c>
      <c r="P7928" s="21">
        <f>-$B$7051</f>
        <v/>
      </c>
      <c r="Q7928" s="21">
        <f>$B$7053</f>
        <v/>
      </c>
      <c r="R7928" s="21" t="n">
        <v>0</v>
      </c>
      <c r="S7928" s="21" t="n">
        <v>0</v>
      </c>
      <c r="T7928" s="21" t="n">
        <v>0</v>
      </c>
      <c r="U7928" s="21" t="n">
        <v>0</v>
      </c>
      <c r="V7928" s="21" t="n">
        <v>0</v>
      </c>
      <c r="W7928" s="21" t="n">
        <v>0</v>
      </c>
      <c r="X7928" s="21" t="n">
        <v>0</v>
      </c>
      <c r="Y7928" s="21" t="n">
        <v>0</v>
      </c>
      <c r="Z7928" s="19" t="n"/>
    </row>
    <row r="7929">
      <c r="D7929" s="21" t="n">
        <v>0</v>
      </c>
      <c r="E7929" s="21" t="n">
        <v>0</v>
      </c>
      <c r="F7929" s="21" t="n">
        <v>0</v>
      </c>
      <c r="G7929" s="21" t="n">
        <v>0</v>
      </c>
      <c r="H7929" s="21" t="n">
        <v>0</v>
      </c>
      <c r="I7929" s="21" t="n">
        <v>0</v>
      </c>
      <c r="J7929" s="21" t="n">
        <v>0</v>
      </c>
      <c r="K7929" s="21" t="n">
        <v>0</v>
      </c>
      <c r="L7929" s="21" t="n">
        <v>0</v>
      </c>
      <c r="M7929" s="21" t="n">
        <v>0</v>
      </c>
      <c r="N7929" s="21">
        <f>-$B$7050</f>
        <v/>
      </c>
      <c r="O7929" s="21">
        <f>-$B$7051</f>
        <v/>
      </c>
      <c r="P7929" s="21">
        <f>2*$B$7050+$D$7911</f>
        <v/>
      </c>
      <c r="Q7929" s="21">
        <f>0</f>
        <v/>
      </c>
      <c r="R7929" s="21">
        <f>-$B$7050</f>
        <v/>
      </c>
      <c r="S7929" s="21">
        <f>$B$7051</f>
        <v/>
      </c>
      <c r="T7929" s="21" t="n">
        <v>0</v>
      </c>
      <c r="U7929" s="21" t="n">
        <v>0</v>
      </c>
      <c r="V7929" s="21" t="n">
        <v>0</v>
      </c>
      <c r="W7929" s="21" t="n">
        <v>0</v>
      </c>
      <c r="X7929" s="21" t="n">
        <v>0</v>
      </c>
      <c r="Y7929" s="21" t="n">
        <v>0</v>
      </c>
      <c r="Z7929" s="19" t="n"/>
    </row>
    <row r="7930">
      <c r="D7930" s="21" t="n">
        <v>0</v>
      </c>
      <c r="E7930" s="21" t="n">
        <v>0</v>
      </c>
      <c r="F7930" s="21" t="n">
        <v>0</v>
      </c>
      <c r="G7930" s="21" t="n">
        <v>0</v>
      </c>
      <c r="H7930" s="21" t="n">
        <v>0</v>
      </c>
      <c r="I7930" s="21" t="n">
        <v>0</v>
      </c>
      <c r="J7930" s="21" t="n">
        <v>0</v>
      </c>
      <c r="K7930" s="21" t="n">
        <v>0</v>
      </c>
      <c r="L7930" s="21" t="n">
        <v>0</v>
      </c>
      <c r="M7930" s="21" t="n">
        <v>0</v>
      </c>
      <c r="N7930" s="21">
        <f>$B$7051</f>
        <v/>
      </c>
      <c r="O7930" s="21">
        <f>$B$7053</f>
        <v/>
      </c>
      <c r="P7930" s="21">
        <f>0</f>
        <v/>
      </c>
      <c r="Q7930" s="21">
        <f>2*$B$7052</f>
        <v/>
      </c>
      <c r="R7930" s="21">
        <f>-$B$7051</f>
        <v/>
      </c>
      <c r="S7930" s="21">
        <f>$B$7053</f>
        <v/>
      </c>
      <c r="T7930" s="21" t="n">
        <v>0</v>
      </c>
      <c r="U7930" s="21" t="n">
        <v>0</v>
      </c>
      <c r="V7930" s="21" t="n">
        <v>0</v>
      </c>
      <c r="W7930" s="21" t="n">
        <v>0</v>
      </c>
      <c r="X7930" s="21" t="n">
        <v>0</v>
      </c>
      <c r="Y7930" s="21" t="n">
        <v>0</v>
      </c>
      <c r="Z7930" s="19" t="n"/>
    </row>
    <row r="7931">
      <c r="D7931" s="21" t="n">
        <v>0</v>
      </c>
      <c r="E7931" s="21" t="n">
        <v>0</v>
      </c>
      <c r="F7931" s="21" t="n">
        <v>0</v>
      </c>
      <c r="G7931" s="21" t="n">
        <v>0</v>
      </c>
      <c r="H7931" s="21" t="n">
        <v>0</v>
      </c>
      <c r="I7931" s="21" t="n">
        <v>0</v>
      </c>
      <c r="J7931" s="21" t="n">
        <v>0</v>
      </c>
      <c r="K7931" s="21" t="n">
        <v>0</v>
      </c>
      <c r="L7931" s="21" t="n">
        <v>0</v>
      </c>
      <c r="M7931" s="21" t="n">
        <v>0</v>
      </c>
      <c r="N7931" s="21" t="n">
        <v>0</v>
      </c>
      <c r="O7931" s="21" t="n">
        <v>0</v>
      </c>
      <c r="P7931" s="21">
        <f>-$B$7050</f>
        <v/>
      </c>
      <c r="Q7931" s="21">
        <f>-$B$7051</f>
        <v/>
      </c>
      <c r="R7931" s="21">
        <f>2*$B$7050+$D$7912</f>
        <v/>
      </c>
      <c r="S7931" s="21">
        <f>0</f>
        <v/>
      </c>
      <c r="T7931" s="21">
        <f>-$B$7050</f>
        <v/>
      </c>
      <c r="U7931" s="21">
        <f>$B$7051</f>
        <v/>
      </c>
      <c r="V7931" s="21" t="n">
        <v>0</v>
      </c>
      <c r="W7931" s="21" t="n">
        <v>0</v>
      </c>
      <c r="X7931" s="21" t="n">
        <v>0</v>
      </c>
      <c r="Y7931" s="21" t="n">
        <v>0</v>
      </c>
      <c r="Z7931" s="19" t="n"/>
    </row>
    <row r="7932">
      <c r="D7932" s="21" t="n">
        <v>0</v>
      </c>
      <c r="E7932" s="21" t="n">
        <v>0</v>
      </c>
      <c r="F7932" s="21" t="n">
        <v>0</v>
      </c>
      <c r="G7932" s="21" t="n">
        <v>0</v>
      </c>
      <c r="H7932" s="21" t="n">
        <v>0</v>
      </c>
      <c r="I7932" s="21" t="n">
        <v>0</v>
      </c>
      <c r="J7932" s="21" t="n">
        <v>0</v>
      </c>
      <c r="K7932" s="21" t="n">
        <v>0</v>
      </c>
      <c r="L7932" s="21" t="n">
        <v>0</v>
      </c>
      <c r="M7932" s="21" t="n">
        <v>0</v>
      </c>
      <c r="N7932" s="21" t="n">
        <v>0</v>
      </c>
      <c r="O7932" s="21" t="n">
        <v>0</v>
      </c>
      <c r="P7932" s="21">
        <f>$B$7051</f>
        <v/>
      </c>
      <c r="Q7932" s="21">
        <f>$B$7053</f>
        <v/>
      </c>
      <c r="R7932" s="21">
        <f>0</f>
        <v/>
      </c>
      <c r="S7932" s="21">
        <f>2*$B$7052</f>
        <v/>
      </c>
      <c r="T7932" s="21">
        <f>-$B$7051</f>
        <v/>
      </c>
      <c r="U7932" s="21">
        <f>$B$7053</f>
        <v/>
      </c>
      <c r="V7932" s="21" t="n">
        <v>0</v>
      </c>
      <c r="W7932" s="21" t="n">
        <v>0</v>
      </c>
      <c r="X7932" s="21" t="n">
        <v>0</v>
      </c>
      <c r="Y7932" s="21" t="n">
        <v>0</v>
      </c>
      <c r="Z7932" s="19" t="n"/>
    </row>
    <row r="7933">
      <c r="D7933" s="21" t="n">
        <v>0</v>
      </c>
      <c r="E7933" s="21" t="n">
        <v>0</v>
      </c>
      <c r="F7933" s="21" t="n">
        <v>0</v>
      </c>
      <c r="G7933" s="21" t="n">
        <v>0</v>
      </c>
      <c r="H7933" s="21" t="n">
        <v>0</v>
      </c>
      <c r="I7933" s="21" t="n">
        <v>0</v>
      </c>
      <c r="J7933" s="21" t="n">
        <v>0</v>
      </c>
      <c r="K7933" s="21" t="n">
        <v>0</v>
      </c>
      <c r="L7933" s="21" t="n">
        <v>0</v>
      </c>
      <c r="M7933" s="21" t="n">
        <v>0</v>
      </c>
      <c r="N7933" s="21" t="n">
        <v>0</v>
      </c>
      <c r="O7933" s="21" t="n">
        <v>0</v>
      </c>
      <c r="P7933" s="21" t="n">
        <v>0</v>
      </c>
      <c r="Q7933" s="21" t="n">
        <v>0</v>
      </c>
      <c r="R7933" s="21">
        <f>-$B$7050</f>
        <v/>
      </c>
      <c r="S7933" s="21">
        <f>-$B$7051</f>
        <v/>
      </c>
      <c r="T7933" s="21">
        <f>2*$B$7050+$D$7913</f>
        <v/>
      </c>
      <c r="U7933" s="21">
        <f>0</f>
        <v/>
      </c>
      <c r="V7933" s="21">
        <f>-$B$7050</f>
        <v/>
      </c>
      <c r="W7933" s="21">
        <f>$B$7051</f>
        <v/>
      </c>
      <c r="X7933" s="21" t="n">
        <v>0</v>
      </c>
      <c r="Y7933" s="21" t="n">
        <v>0</v>
      </c>
      <c r="Z7933" s="19" t="n"/>
    </row>
    <row r="7934">
      <c r="D7934" s="21" t="n">
        <v>0</v>
      </c>
      <c r="E7934" s="21" t="n">
        <v>0</v>
      </c>
      <c r="F7934" s="21" t="n">
        <v>0</v>
      </c>
      <c r="G7934" s="21" t="n">
        <v>0</v>
      </c>
      <c r="H7934" s="21" t="n">
        <v>0</v>
      </c>
      <c r="I7934" s="21" t="n">
        <v>0</v>
      </c>
      <c r="J7934" s="21" t="n">
        <v>0</v>
      </c>
      <c r="K7934" s="21" t="n">
        <v>0</v>
      </c>
      <c r="L7934" s="21" t="n">
        <v>0</v>
      </c>
      <c r="M7934" s="21" t="n">
        <v>0</v>
      </c>
      <c r="N7934" s="21" t="n">
        <v>0</v>
      </c>
      <c r="O7934" s="21" t="n">
        <v>0</v>
      </c>
      <c r="P7934" s="21" t="n">
        <v>0</v>
      </c>
      <c r="Q7934" s="21" t="n">
        <v>0</v>
      </c>
      <c r="R7934" s="21">
        <f>$B$7051</f>
        <v/>
      </c>
      <c r="S7934" s="21">
        <f>$B$7053</f>
        <v/>
      </c>
      <c r="T7934" s="21">
        <f>0</f>
        <v/>
      </c>
      <c r="U7934" s="21">
        <f>2*$B$7052</f>
        <v/>
      </c>
      <c r="V7934" s="21">
        <f>-$B$7051</f>
        <v/>
      </c>
      <c r="W7934" s="21">
        <f>$B$7053</f>
        <v/>
      </c>
      <c r="X7934" s="21" t="n">
        <v>0</v>
      </c>
      <c r="Y7934" s="21" t="n">
        <v>0</v>
      </c>
      <c r="Z7934" s="19" t="n"/>
    </row>
    <row r="7935">
      <c r="D7935" s="21" t="n">
        <v>0</v>
      </c>
      <c r="E7935" s="21" t="n">
        <v>0</v>
      </c>
      <c r="F7935" s="21" t="n">
        <v>0</v>
      </c>
      <c r="G7935" s="21" t="n">
        <v>0</v>
      </c>
      <c r="H7935" s="21" t="n">
        <v>0</v>
      </c>
      <c r="I7935" s="21" t="n">
        <v>0</v>
      </c>
      <c r="J7935" s="21" t="n">
        <v>0</v>
      </c>
      <c r="K7935" s="21" t="n">
        <v>0</v>
      </c>
      <c r="L7935" s="21" t="n">
        <v>0</v>
      </c>
      <c r="M7935" s="21" t="n">
        <v>0</v>
      </c>
      <c r="N7935" s="21" t="n">
        <v>0</v>
      </c>
      <c r="O7935" s="21" t="n">
        <v>0</v>
      </c>
      <c r="P7935" s="21" t="n">
        <v>0</v>
      </c>
      <c r="Q7935" s="21" t="n">
        <v>0</v>
      </c>
      <c r="R7935" s="21" t="n">
        <v>0</v>
      </c>
      <c r="S7935" s="21" t="n">
        <v>0</v>
      </c>
      <c r="T7935" s="21">
        <f>-$B$7050</f>
        <v/>
      </c>
      <c r="U7935" s="21">
        <f>-$B$7051</f>
        <v/>
      </c>
      <c r="V7935" s="21">
        <f>2*$B$7050+$D$7914</f>
        <v/>
      </c>
      <c r="W7935" s="21">
        <f>0</f>
        <v/>
      </c>
      <c r="X7935" s="21">
        <f>-$B$7050</f>
        <v/>
      </c>
      <c r="Y7935" s="21">
        <f>$B$7051</f>
        <v/>
      </c>
      <c r="Z7935" s="19" t="n"/>
    </row>
    <row r="7936">
      <c r="D7936" s="21" t="n">
        <v>0</v>
      </c>
      <c r="E7936" s="21" t="n">
        <v>0</v>
      </c>
      <c r="F7936" s="21" t="n">
        <v>0</v>
      </c>
      <c r="G7936" s="21" t="n">
        <v>0</v>
      </c>
      <c r="H7936" s="21" t="n">
        <v>0</v>
      </c>
      <c r="I7936" s="21" t="n">
        <v>0</v>
      </c>
      <c r="J7936" s="21" t="n">
        <v>0</v>
      </c>
      <c r="K7936" s="21" t="n">
        <v>0</v>
      </c>
      <c r="L7936" s="21" t="n">
        <v>0</v>
      </c>
      <c r="M7936" s="21" t="n">
        <v>0</v>
      </c>
      <c r="N7936" s="21" t="n">
        <v>0</v>
      </c>
      <c r="O7936" s="21" t="n">
        <v>0</v>
      </c>
      <c r="P7936" s="21" t="n">
        <v>0</v>
      </c>
      <c r="Q7936" s="21" t="n">
        <v>0</v>
      </c>
      <c r="R7936" s="21" t="n">
        <v>0</v>
      </c>
      <c r="S7936" s="21" t="n">
        <v>0</v>
      </c>
      <c r="T7936" s="21">
        <f>$B$7051</f>
        <v/>
      </c>
      <c r="U7936" s="21">
        <f>$B$7053</f>
        <v/>
      </c>
      <c r="V7936" s="21">
        <f>0</f>
        <v/>
      </c>
      <c r="W7936" s="21">
        <f>2*$B$7052</f>
        <v/>
      </c>
      <c r="X7936" s="21">
        <f>-$B$7051</f>
        <v/>
      </c>
      <c r="Y7936" s="21">
        <f>$B$7053</f>
        <v/>
      </c>
      <c r="Z7936" s="19" t="n"/>
    </row>
    <row r="7937">
      <c r="D7937" s="21" t="n">
        <v>0</v>
      </c>
      <c r="E7937" s="21" t="n">
        <v>0</v>
      </c>
      <c r="F7937" s="21" t="n">
        <v>0</v>
      </c>
      <c r="G7937" s="21" t="n">
        <v>0</v>
      </c>
      <c r="H7937" s="21" t="n">
        <v>0</v>
      </c>
      <c r="I7937" s="21" t="n">
        <v>0</v>
      </c>
      <c r="J7937" s="21" t="n">
        <v>0</v>
      </c>
      <c r="K7937" s="21" t="n">
        <v>0</v>
      </c>
      <c r="L7937" s="21" t="n">
        <v>0</v>
      </c>
      <c r="M7937" s="21" t="n">
        <v>0</v>
      </c>
      <c r="N7937" s="21" t="n">
        <v>0</v>
      </c>
      <c r="O7937" s="21" t="n">
        <v>0</v>
      </c>
      <c r="P7937" s="21" t="n">
        <v>0</v>
      </c>
      <c r="Q7937" s="21" t="n">
        <v>0</v>
      </c>
      <c r="R7937" s="21" t="n">
        <v>0</v>
      </c>
      <c r="S7937" s="21" t="n">
        <v>0</v>
      </c>
      <c r="T7937" s="21" t="n">
        <v>0</v>
      </c>
      <c r="U7937" s="21" t="n">
        <v>0</v>
      </c>
      <c r="V7937" s="21">
        <f>-$B$7050</f>
        <v/>
      </c>
      <c r="W7937" s="21">
        <f>-$B$7051</f>
        <v/>
      </c>
      <c r="X7937" s="21">
        <f>$B$7050+$D$7915</f>
        <v/>
      </c>
      <c r="Y7937" s="21">
        <f>-$B$7051</f>
        <v/>
      </c>
      <c r="Z7937" s="19" t="n"/>
    </row>
    <row r="7938">
      <c r="D7938" s="21" t="n">
        <v>0</v>
      </c>
      <c r="E7938" s="21" t="n">
        <v>0</v>
      </c>
      <c r="F7938" s="21" t="n">
        <v>0</v>
      </c>
      <c r="G7938" s="21" t="n">
        <v>0</v>
      </c>
      <c r="H7938" s="21" t="n">
        <v>0</v>
      </c>
      <c r="I7938" s="21" t="n">
        <v>0</v>
      </c>
      <c r="J7938" s="21" t="n">
        <v>0</v>
      </c>
      <c r="K7938" s="21" t="n">
        <v>0</v>
      </c>
      <c r="L7938" s="21" t="n">
        <v>0</v>
      </c>
      <c r="M7938" s="21" t="n">
        <v>0</v>
      </c>
      <c r="N7938" s="21" t="n">
        <v>0</v>
      </c>
      <c r="O7938" s="21" t="n">
        <v>0</v>
      </c>
      <c r="P7938" s="21" t="n">
        <v>0</v>
      </c>
      <c r="Q7938" s="21" t="n">
        <v>0</v>
      </c>
      <c r="R7938" s="21" t="n">
        <v>0</v>
      </c>
      <c r="S7938" s="21" t="n">
        <v>0</v>
      </c>
      <c r="T7938" s="21" t="n">
        <v>0</v>
      </c>
      <c r="U7938" s="21" t="n">
        <v>0</v>
      </c>
      <c r="V7938" s="21">
        <f>$B$7051</f>
        <v/>
      </c>
      <c r="W7938" s="21">
        <f>$B$7053</f>
        <v/>
      </c>
      <c r="X7938" s="21">
        <f>-$B$7051</f>
        <v/>
      </c>
      <c r="Y7938" s="21">
        <f>$B$7052</f>
        <v/>
      </c>
      <c r="Z7938" s="19" t="n"/>
    </row>
    <row r="7940">
      <c r="A7940" s="8" t="inlineStr">
        <is>
          <t>gen 24</t>
        </is>
      </c>
    </row>
    <row r="7941">
      <c r="D7941" s="19">
        <f>IF(ABS(IF(ABS($E$7905)&gt;0.000000001,$E$7905,0.000000001))=0,0,IF($E$7065&lt;=$B$7059,0,IF(ABS(IF(ABS($E$7905)&gt;0.000000001,$E$7905,0.000000001))&gt;=8*$B$7061,$H$7065,0.5*$H$7065*(ABS(IF(ABS($E$7905)&gt;0.000000001,$E$7905,0.000000001))/$B$7061)^(1/3)))/ABS(IF(ABS($E$7905)&gt;0.000000001,$E$7905,0.000000001))*$I$7065)</f>
        <v/>
      </c>
      <c r="E7941" s="19">
        <f>0.5*$E$7905+0.5*$Z$7953</f>
        <v/>
      </c>
      <c r="F7941" s="19">
        <f>$Z$7954</f>
        <v/>
      </c>
    </row>
    <row r="7942">
      <c r="D7942" s="19">
        <f>IF(ABS(IF(ABS($E$7906)&gt;0.000000001,$E$7906,0.000000001))=0,0,IF($E$7066&lt;=$B$7059,0,IF(ABS(IF(ABS($E$7906)&gt;0.000000001,$E$7906,0.000000001))&gt;=8*$B$7061,$H$7066,0.5*$H$7066*(ABS(IF(ABS($E$7906)&gt;0.000000001,$E$7906,0.000000001))/$B$7061)^(1/3)))/ABS(IF(ABS($E$7906)&gt;0.000000001,$E$7906,0.000000001))*$I$7066)</f>
        <v/>
      </c>
      <c r="E7942" s="19">
        <f>0.5*$E$7906+0.5*$Z$7955</f>
        <v/>
      </c>
      <c r="F7942" s="19">
        <f>$Z$7956</f>
        <v/>
      </c>
    </row>
    <row r="7943">
      <c r="D7943" s="19">
        <f>IF(ABS(IF(ABS($E$7907)&gt;0.000000001,$E$7907,0.000000001))=0,0,IF($E$7067&lt;=$B$7059,0,IF(ABS(IF(ABS($E$7907)&gt;0.000000001,$E$7907,0.000000001))&gt;=8*$B$7061,$H$7067,0.5*$H$7067*(ABS(IF(ABS($E$7907)&gt;0.000000001,$E$7907,0.000000001))/$B$7061)^(1/3)))/ABS(IF(ABS($E$7907)&gt;0.000000001,$E$7907,0.000000001))*$I$7067)</f>
        <v/>
      </c>
      <c r="E7943" s="19">
        <f>0.5*$E$7907+0.5*$Z$7957</f>
        <v/>
      </c>
      <c r="F7943" s="19">
        <f>$Z$7958</f>
        <v/>
      </c>
    </row>
    <row r="7944">
      <c r="D7944" s="19">
        <f>IF(ABS(IF(ABS($E$7908)&gt;0.000000001,$E$7908,0.000000001))=0,0,IF($E$7068&lt;=$B$7059,0,IF(ABS(IF(ABS($E$7908)&gt;0.000000001,$E$7908,0.000000001))&gt;=8*$B$7061,$H$7068,0.5*$H$7068*(ABS(IF(ABS($E$7908)&gt;0.000000001,$E$7908,0.000000001))/$B$7061)^(1/3)))/ABS(IF(ABS($E$7908)&gt;0.000000001,$E$7908,0.000000001))*$I$7068)</f>
        <v/>
      </c>
      <c r="E7944" s="19">
        <f>0.5*$E$7908+0.5*$Z$7959</f>
        <v/>
      </c>
      <c r="F7944" s="19">
        <f>$Z$7960</f>
        <v/>
      </c>
    </row>
    <row r="7945">
      <c r="D7945" s="19">
        <f>IF(ABS(IF(ABS($E$7909)&gt;0.000000001,$E$7909,0.000000001))=0,0,IF($E$7069&lt;=$B$7059,0,IF(ABS(IF(ABS($E$7909)&gt;0.000000001,$E$7909,0.000000001))&gt;=8*$B$7061,$H$7069,0.5*$H$7069*(ABS(IF(ABS($E$7909)&gt;0.000000001,$E$7909,0.000000001))/$B$7061)^(1/3)))/ABS(IF(ABS($E$7909)&gt;0.000000001,$E$7909,0.000000001))*$I$7069)</f>
        <v/>
      </c>
      <c r="E7945" s="19">
        <f>0.5*$E$7909+0.5*$Z$7961</f>
        <v/>
      </c>
      <c r="F7945" s="19">
        <f>$Z$7962</f>
        <v/>
      </c>
    </row>
    <row r="7946">
      <c r="D7946" s="19">
        <f>IF(ABS(IF(ABS($E$7910)&gt;0.000000001,$E$7910,0.000000001))=0,0,IF($E$7070&lt;=$B$7059,0,IF(ABS(IF(ABS($E$7910)&gt;0.000000001,$E$7910,0.000000001))&gt;=8*$B$7061,$H$7070,0.5*$H$7070*(ABS(IF(ABS($E$7910)&gt;0.000000001,$E$7910,0.000000001))/$B$7061)^(1/3)))/ABS(IF(ABS($E$7910)&gt;0.000000001,$E$7910,0.000000001))*$I$7070)</f>
        <v/>
      </c>
      <c r="E7946" s="19">
        <f>0.5*$E$7910+0.5*$Z$7963</f>
        <v/>
      </c>
      <c r="F7946" s="19">
        <f>$Z$7964</f>
        <v/>
      </c>
    </row>
    <row r="7947">
      <c r="D7947" s="19">
        <f>IF(ABS(IF(ABS($E$7911)&gt;0.000000001,$E$7911,0.000000001))=0,0,IF($E$7071&lt;=$B$7059,0,IF(ABS(IF(ABS($E$7911)&gt;0.000000001,$E$7911,0.000000001))&gt;=8*$B$7061,$H$7071,0.5*$H$7071*(ABS(IF(ABS($E$7911)&gt;0.000000001,$E$7911,0.000000001))/$B$7061)^(1/3)))/ABS(IF(ABS($E$7911)&gt;0.000000001,$E$7911,0.000000001))*$I$7071)</f>
        <v/>
      </c>
      <c r="E7947" s="19">
        <f>0.5*$E$7911+0.5*$Z$7965</f>
        <v/>
      </c>
      <c r="F7947" s="19">
        <f>$Z$7966</f>
        <v/>
      </c>
    </row>
    <row r="7948">
      <c r="D7948" s="19">
        <f>IF(ABS(IF(ABS($E$7912)&gt;0.000000001,$E$7912,0.000000001))=0,0,IF($E$7072&lt;=$B$7059,0,IF(ABS(IF(ABS($E$7912)&gt;0.000000001,$E$7912,0.000000001))&gt;=8*$B$7061,$H$7072,0.5*$H$7072*(ABS(IF(ABS($E$7912)&gt;0.000000001,$E$7912,0.000000001))/$B$7061)^(1/3)))/ABS(IF(ABS($E$7912)&gt;0.000000001,$E$7912,0.000000001))*$I$7072)</f>
        <v/>
      </c>
      <c r="E7948" s="19">
        <f>0.5*$E$7912+0.5*$Z$7967</f>
        <v/>
      </c>
      <c r="F7948" s="19">
        <f>$Z$7968</f>
        <v/>
      </c>
    </row>
    <row r="7949">
      <c r="D7949" s="19">
        <f>IF(ABS(IF(ABS($E$7913)&gt;0.000000001,$E$7913,0.000000001))=0,0,IF($E$7073&lt;=$B$7059,0,IF(ABS(IF(ABS($E$7913)&gt;0.000000001,$E$7913,0.000000001))&gt;=8*$B$7061,$H$7073,0.5*$H$7073*(ABS(IF(ABS($E$7913)&gt;0.000000001,$E$7913,0.000000001))/$B$7061)^(1/3)))/ABS(IF(ABS($E$7913)&gt;0.000000001,$E$7913,0.000000001))*$I$7073)</f>
        <v/>
      </c>
      <c r="E7949" s="19">
        <f>0.5*$E$7913+0.5*$Z$7969</f>
        <v/>
      </c>
      <c r="F7949" s="19">
        <f>$Z$7970</f>
        <v/>
      </c>
    </row>
    <row r="7950">
      <c r="D7950" s="19">
        <f>IF(ABS(IF(ABS($E$7914)&gt;0.000000001,$E$7914,0.000000001))=0,0,IF($E$7074&lt;=$B$7059,0,IF(ABS(IF(ABS($E$7914)&gt;0.000000001,$E$7914,0.000000001))&gt;=8*$B$7061,$H$7074,0.5*$H$7074*(ABS(IF(ABS($E$7914)&gt;0.000000001,$E$7914,0.000000001))/$B$7061)^(1/3)))/ABS(IF(ABS($E$7914)&gt;0.000000001,$E$7914,0.000000001))*$I$7074)</f>
        <v/>
      </c>
      <c r="E7950" s="19">
        <f>0.5*$E$7914+0.5*$Z$7971</f>
        <v/>
      </c>
      <c r="F7950" s="19">
        <f>$Z$7972</f>
        <v/>
      </c>
    </row>
    <row r="7951">
      <c r="D7951" s="19">
        <f>IF(ABS(IF(ABS($E$7915)&gt;0.000000001,$E$7915,0.000000001))=0,0,IF($E$7075&lt;=$B$7059,0,IF(ABS(IF(ABS($E$7915)&gt;0.000000001,$E$7915,0.000000001))&gt;=8*$B$7061,$H$7075,0.5*$H$7075*(ABS(IF(ABS($E$7915)&gt;0.000000001,$E$7915,0.000000001))/$B$7061)^(1/3)))/ABS(IF(ABS($E$7915)&gt;0.000000001,$E$7915,0.000000001))*$I$7075)</f>
        <v/>
      </c>
      <c r="E7951" s="19">
        <f>0.5*$E$7915+0.5*$Z$7973</f>
        <v/>
      </c>
      <c r="F7951" s="19">
        <f>$Z$7974</f>
        <v/>
      </c>
    </row>
    <row r="7953">
      <c r="D7953" s="21">
        <f>$B$7050+$D$7941</f>
        <v/>
      </c>
      <c r="E7953" s="21">
        <f>$B$7051</f>
        <v/>
      </c>
      <c r="F7953" s="21">
        <f>-$B$7050</f>
        <v/>
      </c>
      <c r="G7953" s="21">
        <f>$B$7051</f>
        <v/>
      </c>
      <c r="H7953" s="21" t="n">
        <v>0</v>
      </c>
      <c r="I7953" s="21" t="n">
        <v>0</v>
      </c>
      <c r="J7953" s="21" t="n">
        <v>0</v>
      </c>
      <c r="K7953" s="21" t="n">
        <v>0</v>
      </c>
      <c r="L7953" s="21" t="n">
        <v>0</v>
      </c>
      <c r="M7953" s="21" t="n">
        <v>0</v>
      </c>
      <c r="N7953" s="21" t="n">
        <v>0</v>
      </c>
      <c r="O7953" s="21" t="n">
        <v>0</v>
      </c>
      <c r="P7953" s="21" t="n">
        <v>0</v>
      </c>
      <c r="Q7953" s="21" t="n">
        <v>0</v>
      </c>
      <c r="R7953" s="21" t="n">
        <v>0</v>
      </c>
      <c r="S7953" s="21" t="n">
        <v>0</v>
      </c>
      <c r="T7953" s="21" t="n">
        <v>0</v>
      </c>
      <c r="U7953" s="21" t="n">
        <v>0</v>
      </c>
      <c r="V7953" s="21" t="n">
        <v>0</v>
      </c>
      <c r="W7953" s="21" t="n">
        <v>0</v>
      </c>
      <c r="X7953" s="21" t="n">
        <v>0</v>
      </c>
      <c r="Y7953" s="21" t="n">
        <v>0</v>
      </c>
      <c r="Z7953" s="19">
        <f t="array" ref="Z7953:Z7974">MMULT(MINVERSE($D$7953:$Y$7974),$D$7077:$D$7098)</f>
        <v/>
      </c>
    </row>
    <row r="7954">
      <c r="D7954" s="21">
        <f>$B$7051</f>
        <v/>
      </c>
      <c r="E7954" s="21">
        <f>$B$7052</f>
        <v/>
      </c>
      <c r="F7954" s="21">
        <f>-$B$7051</f>
        <v/>
      </c>
      <c r="G7954" s="21">
        <f>$B$7053</f>
        <v/>
      </c>
      <c r="H7954" s="21" t="n">
        <v>0</v>
      </c>
      <c r="I7954" s="21" t="n">
        <v>0</v>
      </c>
      <c r="J7954" s="21" t="n">
        <v>0</v>
      </c>
      <c r="K7954" s="21" t="n">
        <v>0</v>
      </c>
      <c r="L7954" s="21" t="n">
        <v>0</v>
      </c>
      <c r="M7954" s="21" t="n">
        <v>0</v>
      </c>
      <c r="N7954" s="21" t="n">
        <v>0</v>
      </c>
      <c r="O7954" s="21" t="n">
        <v>0</v>
      </c>
      <c r="P7954" s="21" t="n">
        <v>0</v>
      </c>
      <c r="Q7954" s="21" t="n">
        <v>0</v>
      </c>
      <c r="R7954" s="21" t="n">
        <v>0</v>
      </c>
      <c r="S7954" s="21" t="n">
        <v>0</v>
      </c>
      <c r="T7954" s="21" t="n">
        <v>0</v>
      </c>
      <c r="U7954" s="21" t="n">
        <v>0</v>
      </c>
      <c r="V7954" s="21" t="n">
        <v>0</v>
      </c>
      <c r="W7954" s="21" t="n">
        <v>0</v>
      </c>
      <c r="X7954" s="21" t="n">
        <v>0</v>
      </c>
      <c r="Y7954" s="21" t="n">
        <v>0</v>
      </c>
      <c r="Z7954" s="19" t="n"/>
    </row>
    <row r="7955">
      <c r="D7955" s="21">
        <f>-$B$7050</f>
        <v/>
      </c>
      <c r="E7955" s="21">
        <f>-$B$7051</f>
        <v/>
      </c>
      <c r="F7955" s="21">
        <f>2*$B$7050+$D$7942</f>
        <v/>
      </c>
      <c r="G7955" s="21">
        <f>0</f>
        <v/>
      </c>
      <c r="H7955" s="21">
        <f>-$B$7050</f>
        <v/>
      </c>
      <c r="I7955" s="21">
        <f>$B$7051</f>
        <v/>
      </c>
      <c r="J7955" s="21" t="n">
        <v>0</v>
      </c>
      <c r="K7955" s="21" t="n">
        <v>0</v>
      </c>
      <c r="L7955" s="21" t="n">
        <v>0</v>
      </c>
      <c r="M7955" s="21" t="n">
        <v>0</v>
      </c>
      <c r="N7955" s="21" t="n">
        <v>0</v>
      </c>
      <c r="O7955" s="21" t="n">
        <v>0</v>
      </c>
      <c r="P7955" s="21" t="n">
        <v>0</v>
      </c>
      <c r="Q7955" s="21" t="n">
        <v>0</v>
      </c>
      <c r="R7955" s="21" t="n">
        <v>0</v>
      </c>
      <c r="S7955" s="21" t="n">
        <v>0</v>
      </c>
      <c r="T7955" s="21" t="n">
        <v>0</v>
      </c>
      <c r="U7955" s="21" t="n">
        <v>0</v>
      </c>
      <c r="V7955" s="21" t="n">
        <v>0</v>
      </c>
      <c r="W7955" s="21" t="n">
        <v>0</v>
      </c>
      <c r="X7955" s="21" t="n">
        <v>0</v>
      </c>
      <c r="Y7955" s="21" t="n">
        <v>0</v>
      </c>
      <c r="Z7955" s="19" t="n"/>
    </row>
    <row r="7956">
      <c r="D7956" s="21">
        <f>$B$7051</f>
        <v/>
      </c>
      <c r="E7956" s="21">
        <f>$B$7053</f>
        <v/>
      </c>
      <c r="F7956" s="21">
        <f>0</f>
        <v/>
      </c>
      <c r="G7956" s="21">
        <f>2*$B$7052</f>
        <v/>
      </c>
      <c r="H7956" s="21">
        <f>-$B$7051</f>
        <v/>
      </c>
      <c r="I7956" s="21">
        <f>$B$7053</f>
        <v/>
      </c>
      <c r="J7956" s="21" t="n">
        <v>0</v>
      </c>
      <c r="K7956" s="21" t="n">
        <v>0</v>
      </c>
      <c r="L7956" s="21" t="n">
        <v>0</v>
      </c>
      <c r="M7956" s="21" t="n">
        <v>0</v>
      </c>
      <c r="N7956" s="21" t="n">
        <v>0</v>
      </c>
      <c r="O7956" s="21" t="n">
        <v>0</v>
      </c>
      <c r="P7956" s="21" t="n">
        <v>0</v>
      </c>
      <c r="Q7956" s="21" t="n">
        <v>0</v>
      </c>
      <c r="R7956" s="21" t="n">
        <v>0</v>
      </c>
      <c r="S7956" s="21" t="n">
        <v>0</v>
      </c>
      <c r="T7956" s="21" t="n">
        <v>0</v>
      </c>
      <c r="U7956" s="21" t="n">
        <v>0</v>
      </c>
      <c r="V7956" s="21" t="n">
        <v>0</v>
      </c>
      <c r="W7956" s="21" t="n">
        <v>0</v>
      </c>
      <c r="X7956" s="21" t="n">
        <v>0</v>
      </c>
      <c r="Y7956" s="21" t="n">
        <v>0</v>
      </c>
      <c r="Z7956" s="19" t="n"/>
    </row>
    <row r="7957">
      <c r="D7957" s="21" t="n">
        <v>0</v>
      </c>
      <c r="E7957" s="21" t="n">
        <v>0</v>
      </c>
      <c r="F7957" s="21">
        <f>-$B$7050</f>
        <v/>
      </c>
      <c r="G7957" s="21">
        <f>-$B$7051</f>
        <v/>
      </c>
      <c r="H7957" s="21">
        <f>2*$B$7050+$D$7943</f>
        <v/>
      </c>
      <c r="I7957" s="21">
        <f>0</f>
        <v/>
      </c>
      <c r="J7957" s="21">
        <f>-$B$7050</f>
        <v/>
      </c>
      <c r="K7957" s="21">
        <f>$B$7051</f>
        <v/>
      </c>
      <c r="L7957" s="21" t="n">
        <v>0</v>
      </c>
      <c r="M7957" s="21" t="n">
        <v>0</v>
      </c>
      <c r="N7957" s="21" t="n">
        <v>0</v>
      </c>
      <c r="O7957" s="21" t="n">
        <v>0</v>
      </c>
      <c r="P7957" s="21" t="n">
        <v>0</v>
      </c>
      <c r="Q7957" s="21" t="n">
        <v>0</v>
      </c>
      <c r="R7957" s="21" t="n">
        <v>0</v>
      </c>
      <c r="S7957" s="21" t="n">
        <v>0</v>
      </c>
      <c r="T7957" s="21" t="n">
        <v>0</v>
      </c>
      <c r="U7957" s="21" t="n">
        <v>0</v>
      </c>
      <c r="V7957" s="21" t="n">
        <v>0</v>
      </c>
      <c r="W7957" s="21" t="n">
        <v>0</v>
      </c>
      <c r="X7957" s="21" t="n">
        <v>0</v>
      </c>
      <c r="Y7957" s="21" t="n">
        <v>0</v>
      </c>
      <c r="Z7957" s="19" t="n"/>
    </row>
    <row r="7958">
      <c r="D7958" s="21" t="n">
        <v>0</v>
      </c>
      <c r="E7958" s="21" t="n">
        <v>0</v>
      </c>
      <c r="F7958" s="21">
        <f>$B$7051</f>
        <v/>
      </c>
      <c r="G7958" s="21">
        <f>$B$7053</f>
        <v/>
      </c>
      <c r="H7958" s="21">
        <f>0</f>
        <v/>
      </c>
      <c r="I7958" s="21">
        <f>2*$B$7052</f>
        <v/>
      </c>
      <c r="J7958" s="21">
        <f>-$B$7051</f>
        <v/>
      </c>
      <c r="K7958" s="21">
        <f>$B$7053</f>
        <v/>
      </c>
      <c r="L7958" s="21" t="n">
        <v>0</v>
      </c>
      <c r="M7958" s="21" t="n">
        <v>0</v>
      </c>
      <c r="N7958" s="21" t="n">
        <v>0</v>
      </c>
      <c r="O7958" s="21" t="n">
        <v>0</v>
      </c>
      <c r="P7958" s="21" t="n">
        <v>0</v>
      </c>
      <c r="Q7958" s="21" t="n">
        <v>0</v>
      </c>
      <c r="R7958" s="21" t="n">
        <v>0</v>
      </c>
      <c r="S7958" s="21" t="n">
        <v>0</v>
      </c>
      <c r="T7958" s="21" t="n">
        <v>0</v>
      </c>
      <c r="U7958" s="21" t="n">
        <v>0</v>
      </c>
      <c r="V7958" s="21" t="n">
        <v>0</v>
      </c>
      <c r="W7958" s="21" t="n">
        <v>0</v>
      </c>
      <c r="X7958" s="21" t="n">
        <v>0</v>
      </c>
      <c r="Y7958" s="21" t="n">
        <v>0</v>
      </c>
      <c r="Z7958" s="19" t="n"/>
    </row>
    <row r="7959">
      <c r="D7959" s="21" t="n">
        <v>0</v>
      </c>
      <c r="E7959" s="21" t="n">
        <v>0</v>
      </c>
      <c r="F7959" s="21" t="n">
        <v>0</v>
      </c>
      <c r="G7959" s="21" t="n">
        <v>0</v>
      </c>
      <c r="H7959" s="21">
        <f>-$B$7050</f>
        <v/>
      </c>
      <c r="I7959" s="21">
        <f>-$B$7051</f>
        <v/>
      </c>
      <c r="J7959" s="21">
        <f>2*$B$7050+$D$7944</f>
        <v/>
      </c>
      <c r="K7959" s="21">
        <f>0</f>
        <v/>
      </c>
      <c r="L7959" s="21">
        <f>-$B$7050</f>
        <v/>
      </c>
      <c r="M7959" s="21">
        <f>$B$7051</f>
        <v/>
      </c>
      <c r="N7959" s="21" t="n">
        <v>0</v>
      </c>
      <c r="O7959" s="21" t="n">
        <v>0</v>
      </c>
      <c r="P7959" s="21" t="n">
        <v>0</v>
      </c>
      <c r="Q7959" s="21" t="n">
        <v>0</v>
      </c>
      <c r="R7959" s="21" t="n">
        <v>0</v>
      </c>
      <c r="S7959" s="21" t="n">
        <v>0</v>
      </c>
      <c r="T7959" s="21" t="n">
        <v>0</v>
      </c>
      <c r="U7959" s="21" t="n">
        <v>0</v>
      </c>
      <c r="V7959" s="21" t="n">
        <v>0</v>
      </c>
      <c r="W7959" s="21" t="n">
        <v>0</v>
      </c>
      <c r="X7959" s="21" t="n">
        <v>0</v>
      </c>
      <c r="Y7959" s="21" t="n">
        <v>0</v>
      </c>
      <c r="Z7959" s="19" t="n"/>
    </row>
    <row r="7960">
      <c r="D7960" s="21" t="n">
        <v>0</v>
      </c>
      <c r="E7960" s="21" t="n">
        <v>0</v>
      </c>
      <c r="F7960" s="21" t="n">
        <v>0</v>
      </c>
      <c r="G7960" s="21" t="n">
        <v>0</v>
      </c>
      <c r="H7960" s="21">
        <f>$B$7051</f>
        <v/>
      </c>
      <c r="I7960" s="21">
        <f>$B$7053</f>
        <v/>
      </c>
      <c r="J7960" s="21">
        <f>0</f>
        <v/>
      </c>
      <c r="K7960" s="21">
        <f>2*$B$7052</f>
        <v/>
      </c>
      <c r="L7960" s="21">
        <f>-$B$7051</f>
        <v/>
      </c>
      <c r="M7960" s="21">
        <f>$B$7053</f>
        <v/>
      </c>
      <c r="N7960" s="21" t="n">
        <v>0</v>
      </c>
      <c r="O7960" s="21" t="n">
        <v>0</v>
      </c>
      <c r="P7960" s="21" t="n">
        <v>0</v>
      </c>
      <c r="Q7960" s="21" t="n">
        <v>0</v>
      </c>
      <c r="R7960" s="21" t="n">
        <v>0</v>
      </c>
      <c r="S7960" s="21" t="n">
        <v>0</v>
      </c>
      <c r="T7960" s="21" t="n">
        <v>0</v>
      </c>
      <c r="U7960" s="21" t="n">
        <v>0</v>
      </c>
      <c r="V7960" s="21" t="n">
        <v>0</v>
      </c>
      <c r="W7960" s="21" t="n">
        <v>0</v>
      </c>
      <c r="X7960" s="21" t="n">
        <v>0</v>
      </c>
      <c r="Y7960" s="21" t="n">
        <v>0</v>
      </c>
      <c r="Z7960" s="19" t="n"/>
    </row>
    <row r="7961">
      <c r="D7961" s="21" t="n">
        <v>0</v>
      </c>
      <c r="E7961" s="21" t="n">
        <v>0</v>
      </c>
      <c r="F7961" s="21" t="n">
        <v>0</v>
      </c>
      <c r="G7961" s="21" t="n">
        <v>0</v>
      </c>
      <c r="H7961" s="21" t="n">
        <v>0</v>
      </c>
      <c r="I7961" s="21" t="n">
        <v>0</v>
      </c>
      <c r="J7961" s="21">
        <f>-$B$7050</f>
        <v/>
      </c>
      <c r="K7961" s="21">
        <f>-$B$7051</f>
        <v/>
      </c>
      <c r="L7961" s="21">
        <f>2*$B$7050+$D$7945</f>
        <v/>
      </c>
      <c r="M7961" s="21">
        <f>0</f>
        <v/>
      </c>
      <c r="N7961" s="21">
        <f>-$B$7050</f>
        <v/>
      </c>
      <c r="O7961" s="21">
        <f>$B$7051</f>
        <v/>
      </c>
      <c r="P7961" s="21" t="n">
        <v>0</v>
      </c>
      <c r="Q7961" s="21" t="n">
        <v>0</v>
      </c>
      <c r="R7961" s="21" t="n">
        <v>0</v>
      </c>
      <c r="S7961" s="21" t="n">
        <v>0</v>
      </c>
      <c r="T7961" s="21" t="n">
        <v>0</v>
      </c>
      <c r="U7961" s="21" t="n">
        <v>0</v>
      </c>
      <c r="V7961" s="21" t="n">
        <v>0</v>
      </c>
      <c r="W7961" s="21" t="n">
        <v>0</v>
      </c>
      <c r="X7961" s="21" t="n">
        <v>0</v>
      </c>
      <c r="Y7961" s="21" t="n">
        <v>0</v>
      </c>
      <c r="Z7961" s="19" t="n"/>
    </row>
    <row r="7962">
      <c r="D7962" s="21" t="n">
        <v>0</v>
      </c>
      <c r="E7962" s="21" t="n">
        <v>0</v>
      </c>
      <c r="F7962" s="21" t="n">
        <v>0</v>
      </c>
      <c r="G7962" s="21" t="n">
        <v>0</v>
      </c>
      <c r="H7962" s="21" t="n">
        <v>0</v>
      </c>
      <c r="I7962" s="21" t="n">
        <v>0</v>
      </c>
      <c r="J7962" s="21">
        <f>$B$7051</f>
        <v/>
      </c>
      <c r="K7962" s="21">
        <f>$B$7053</f>
        <v/>
      </c>
      <c r="L7962" s="21">
        <f>0</f>
        <v/>
      </c>
      <c r="M7962" s="21">
        <f>2*$B$7052</f>
        <v/>
      </c>
      <c r="N7962" s="21">
        <f>-$B$7051</f>
        <v/>
      </c>
      <c r="O7962" s="21">
        <f>$B$7053</f>
        <v/>
      </c>
      <c r="P7962" s="21" t="n">
        <v>0</v>
      </c>
      <c r="Q7962" s="21" t="n">
        <v>0</v>
      </c>
      <c r="R7962" s="21" t="n">
        <v>0</v>
      </c>
      <c r="S7962" s="21" t="n">
        <v>0</v>
      </c>
      <c r="T7962" s="21" t="n">
        <v>0</v>
      </c>
      <c r="U7962" s="21" t="n">
        <v>0</v>
      </c>
      <c r="V7962" s="21" t="n">
        <v>0</v>
      </c>
      <c r="W7962" s="21" t="n">
        <v>0</v>
      </c>
      <c r="X7962" s="21" t="n">
        <v>0</v>
      </c>
      <c r="Y7962" s="21" t="n">
        <v>0</v>
      </c>
      <c r="Z7962" s="19" t="n"/>
    </row>
    <row r="7963">
      <c r="D7963" s="21" t="n">
        <v>0</v>
      </c>
      <c r="E7963" s="21" t="n">
        <v>0</v>
      </c>
      <c r="F7963" s="21" t="n">
        <v>0</v>
      </c>
      <c r="G7963" s="21" t="n">
        <v>0</v>
      </c>
      <c r="H7963" s="21" t="n">
        <v>0</v>
      </c>
      <c r="I7963" s="21" t="n">
        <v>0</v>
      </c>
      <c r="J7963" s="21" t="n">
        <v>0</v>
      </c>
      <c r="K7963" s="21" t="n">
        <v>0</v>
      </c>
      <c r="L7963" s="21">
        <f>-$B$7050</f>
        <v/>
      </c>
      <c r="M7963" s="21">
        <f>-$B$7051</f>
        <v/>
      </c>
      <c r="N7963" s="21">
        <f>2*$B$7050+$D$7946</f>
        <v/>
      </c>
      <c r="O7963" s="21">
        <f>0</f>
        <v/>
      </c>
      <c r="P7963" s="21">
        <f>-$B$7050</f>
        <v/>
      </c>
      <c r="Q7963" s="21">
        <f>$B$7051</f>
        <v/>
      </c>
      <c r="R7963" s="21" t="n">
        <v>0</v>
      </c>
      <c r="S7963" s="21" t="n">
        <v>0</v>
      </c>
      <c r="T7963" s="21" t="n">
        <v>0</v>
      </c>
      <c r="U7963" s="21" t="n">
        <v>0</v>
      </c>
      <c r="V7963" s="21" t="n">
        <v>0</v>
      </c>
      <c r="W7963" s="21" t="n">
        <v>0</v>
      </c>
      <c r="X7963" s="21" t="n">
        <v>0</v>
      </c>
      <c r="Y7963" s="21" t="n">
        <v>0</v>
      </c>
      <c r="Z7963" s="19" t="n"/>
    </row>
    <row r="7964">
      <c r="D7964" s="21" t="n">
        <v>0</v>
      </c>
      <c r="E7964" s="21" t="n">
        <v>0</v>
      </c>
      <c r="F7964" s="21" t="n">
        <v>0</v>
      </c>
      <c r="G7964" s="21" t="n">
        <v>0</v>
      </c>
      <c r="H7964" s="21" t="n">
        <v>0</v>
      </c>
      <c r="I7964" s="21" t="n">
        <v>0</v>
      </c>
      <c r="J7964" s="21" t="n">
        <v>0</v>
      </c>
      <c r="K7964" s="21" t="n">
        <v>0</v>
      </c>
      <c r="L7964" s="21">
        <f>$B$7051</f>
        <v/>
      </c>
      <c r="M7964" s="21">
        <f>$B$7053</f>
        <v/>
      </c>
      <c r="N7964" s="21">
        <f>0</f>
        <v/>
      </c>
      <c r="O7964" s="21">
        <f>2*$B$7052</f>
        <v/>
      </c>
      <c r="P7964" s="21">
        <f>-$B$7051</f>
        <v/>
      </c>
      <c r="Q7964" s="21">
        <f>$B$7053</f>
        <v/>
      </c>
      <c r="R7964" s="21" t="n">
        <v>0</v>
      </c>
      <c r="S7964" s="21" t="n">
        <v>0</v>
      </c>
      <c r="T7964" s="21" t="n">
        <v>0</v>
      </c>
      <c r="U7964" s="21" t="n">
        <v>0</v>
      </c>
      <c r="V7964" s="21" t="n">
        <v>0</v>
      </c>
      <c r="W7964" s="21" t="n">
        <v>0</v>
      </c>
      <c r="X7964" s="21" t="n">
        <v>0</v>
      </c>
      <c r="Y7964" s="21" t="n">
        <v>0</v>
      </c>
      <c r="Z7964" s="19" t="n"/>
    </row>
    <row r="7965">
      <c r="D7965" s="21" t="n">
        <v>0</v>
      </c>
      <c r="E7965" s="21" t="n">
        <v>0</v>
      </c>
      <c r="F7965" s="21" t="n">
        <v>0</v>
      </c>
      <c r="G7965" s="21" t="n">
        <v>0</v>
      </c>
      <c r="H7965" s="21" t="n">
        <v>0</v>
      </c>
      <c r="I7965" s="21" t="n">
        <v>0</v>
      </c>
      <c r="J7965" s="21" t="n">
        <v>0</v>
      </c>
      <c r="K7965" s="21" t="n">
        <v>0</v>
      </c>
      <c r="L7965" s="21" t="n">
        <v>0</v>
      </c>
      <c r="M7965" s="21" t="n">
        <v>0</v>
      </c>
      <c r="N7965" s="21">
        <f>-$B$7050</f>
        <v/>
      </c>
      <c r="O7965" s="21">
        <f>-$B$7051</f>
        <v/>
      </c>
      <c r="P7965" s="21">
        <f>2*$B$7050+$D$7947</f>
        <v/>
      </c>
      <c r="Q7965" s="21">
        <f>0</f>
        <v/>
      </c>
      <c r="R7965" s="21">
        <f>-$B$7050</f>
        <v/>
      </c>
      <c r="S7965" s="21">
        <f>$B$7051</f>
        <v/>
      </c>
      <c r="T7965" s="21" t="n">
        <v>0</v>
      </c>
      <c r="U7965" s="21" t="n">
        <v>0</v>
      </c>
      <c r="V7965" s="21" t="n">
        <v>0</v>
      </c>
      <c r="W7965" s="21" t="n">
        <v>0</v>
      </c>
      <c r="X7965" s="21" t="n">
        <v>0</v>
      </c>
      <c r="Y7965" s="21" t="n">
        <v>0</v>
      </c>
      <c r="Z7965" s="19" t="n"/>
    </row>
    <row r="7966">
      <c r="D7966" s="21" t="n">
        <v>0</v>
      </c>
      <c r="E7966" s="21" t="n">
        <v>0</v>
      </c>
      <c r="F7966" s="21" t="n">
        <v>0</v>
      </c>
      <c r="G7966" s="21" t="n">
        <v>0</v>
      </c>
      <c r="H7966" s="21" t="n">
        <v>0</v>
      </c>
      <c r="I7966" s="21" t="n">
        <v>0</v>
      </c>
      <c r="J7966" s="21" t="n">
        <v>0</v>
      </c>
      <c r="K7966" s="21" t="n">
        <v>0</v>
      </c>
      <c r="L7966" s="21" t="n">
        <v>0</v>
      </c>
      <c r="M7966" s="21" t="n">
        <v>0</v>
      </c>
      <c r="N7966" s="21">
        <f>$B$7051</f>
        <v/>
      </c>
      <c r="O7966" s="21">
        <f>$B$7053</f>
        <v/>
      </c>
      <c r="P7966" s="21">
        <f>0</f>
        <v/>
      </c>
      <c r="Q7966" s="21">
        <f>2*$B$7052</f>
        <v/>
      </c>
      <c r="R7966" s="21">
        <f>-$B$7051</f>
        <v/>
      </c>
      <c r="S7966" s="21">
        <f>$B$7053</f>
        <v/>
      </c>
      <c r="T7966" s="21" t="n">
        <v>0</v>
      </c>
      <c r="U7966" s="21" t="n">
        <v>0</v>
      </c>
      <c r="V7966" s="21" t="n">
        <v>0</v>
      </c>
      <c r="W7966" s="21" t="n">
        <v>0</v>
      </c>
      <c r="X7966" s="21" t="n">
        <v>0</v>
      </c>
      <c r="Y7966" s="21" t="n">
        <v>0</v>
      </c>
      <c r="Z7966" s="19" t="n"/>
    </row>
    <row r="7967">
      <c r="D7967" s="21" t="n">
        <v>0</v>
      </c>
      <c r="E7967" s="21" t="n">
        <v>0</v>
      </c>
      <c r="F7967" s="21" t="n">
        <v>0</v>
      </c>
      <c r="G7967" s="21" t="n">
        <v>0</v>
      </c>
      <c r="H7967" s="21" t="n">
        <v>0</v>
      </c>
      <c r="I7967" s="21" t="n">
        <v>0</v>
      </c>
      <c r="J7967" s="21" t="n">
        <v>0</v>
      </c>
      <c r="K7967" s="21" t="n">
        <v>0</v>
      </c>
      <c r="L7967" s="21" t="n">
        <v>0</v>
      </c>
      <c r="M7967" s="21" t="n">
        <v>0</v>
      </c>
      <c r="N7967" s="21" t="n">
        <v>0</v>
      </c>
      <c r="O7967" s="21" t="n">
        <v>0</v>
      </c>
      <c r="P7967" s="21">
        <f>-$B$7050</f>
        <v/>
      </c>
      <c r="Q7967" s="21">
        <f>-$B$7051</f>
        <v/>
      </c>
      <c r="R7967" s="21">
        <f>2*$B$7050+$D$7948</f>
        <v/>
      </c>
      <c r="S7967" s="21">
        <f>0</f>
        <v/>
      </c>
      <c r="T7967" s="21">
        <f>-$B$7050</f>
        <v/>
      </c>
      <c r="U7967" s="21">
        <f>$B$7051</f>
        <v/>
      </c>
      <c r="V7967" s="21" t="n">
        <v>0</v>
      </c>
      <c r="W7967" s="21" t="n">
        <v>0</v>
      </c>
      <c r="X7967" s="21" t="n">
        <v>0</v>
      </c>
      <c r="Y7967" s="21" t="n">
        <v>0</v>
      </c>
      <c r="Z7967" s="19" t="n"/>
    </row>
    <row r="7968">
      <c r="D7968" s="21" t="n">
        <v>0</v>
      </c>
      <c r="E7968" s="21" t="n">
        <v>0</v>
      </c>
      <c r="F7968" s="21" t="n">
        <v>0</v>
      </c>
      <c r="G7968" s="21" t="n">
        <v>0</v>
      </c>
      <c r="H7968" s="21" t="n">
        <v>0</v>
      </c>
      <c r="I7968" s="21" t="n">
        <v>0</v>
      </c>
      <c r="J7968" s="21" t="n">
        <v>0</v>
      </c>
      <c r="K7968" s="21" t="n">
        <v>0</v>
      </c>
      <c r="L7968" s="21" t="n">
        <v>0</v>
      </c>
      <c r="M7968" s="21" t="n">
        <v>0</v>
      </c>
      <c r="N7968" s="21" t="n">
        <v>0</v>
      </c>
      <c r="O7968" s="21" t="n">
        <v>0</v>
      </c>
      <c r="P7968" s="21">
        <f>$B$7051</f>
        <v/>
      </c>
      <c r="Q7968" s="21">
        <f>$B$7053</f>
        <v/>
      </c>
      <c r="R7968" s="21">
        <f>0</f>
        <v/>
      </c>
      <c r="S7968" s="21">
        <f>2*$B$7052</f>
        <v/>
      </c>
      <c r="T7968" s="21">
        <f>-$B$7051</f>
        <v/>
      </c>
      <c r="U7968" s="21">
        <f>$B$7053</f>
        <v/>
      </c>
      <c r="V7968" s="21" t="n">
        <v>0</v>
      </c>
      <c r="W7968" s="21" t="n">
        <v>0</v>
      </c>
      <c r="X7968" s="21" t="n">
        <v>0</v>
      </c>
      <c r="Y7968" s="21" t="n">
        <v>0</v>
      </c>
      <c r="Z7968" s="19" t="n"/>
    </row>
    <row r="7969">
      <c r="D7969" s="21" t="n">
        <v>0</v>
      </c>
      <c r="E7969" s="21" t="n">
        <v>0</v>
      </c>
      <c r="F7969" s="21" t="n">
        <v>0</v>
      </c>
      <c r="G7969" s="21" t="n">
        <v>0</v>
      </c>
      <c r="H7969" s="21" t="n">
        <v>0</v>
      </c>
      <c r="I7969" s="21" t="n">
        <v>0</v>
      </c>
      <c r="J7969" s="21" t="n">
        <v>0</v>
      </c>
      <c r="K7969" s="21" t="n">
        <v>0</v>
      </c>
      <c r="L7969" s="21" t="n">
        <v>0</v>
      </c>
      <c r="M7969" s="21" t="n">
        <v>0</v>
      </c>
      <c r="N7969" s="21" t="n">
        <v>0</v>
      </c>
      <c r="O7969" s="21" t="n">
        <v>0</v>
      </c>
      <c r="P7969" s="21" t="n">
        <v>0</v>
      </c>
      <c r="Q7969" s="21" t="n">
        <v>0</v>
      </c>
      <c r="R7969" s="21">
        <f>-$B$7050</f>
        <v/>
      </c>
      <c r="S7969" s="21">
        <f>-$B$7051</f>
        <v/>
      </c>
      <c r="T7969" s="21">
        <f>2*$B$7050+$D$7949</f>
        <v/>
      </c>
      <c r="U7969" s="21">
        <f>0</f>
        <v/>
      </c>
      <c r="V7969" s="21">
        <f>-$B$7050</f>
        <v/>
      </c>
      <c r="W7969" s="21">
        <f>$B$7051</f>
        <v/>
      </c>
      <c r="X7969" s="21" t="n">
        <v>0</v>
      </c>
      <c r="Y7969" s="21" t="n">
        <v>0</v>
      </c>
      <c r="Z7969" s="19" t="n"/>
    </row>
    <row r="7970">
      <c r="D7970" s="21" t="n">
        <v>0</v>
      </c>
      <c r="E7970" s="21" t="n">
        <v>0</v>
      </c>
      <c r="F7970" s="21" t="n">
        <v>0</v>
      </c>
      <c r="G7970" s="21" t="n">
        <v>0</v>
      </c>
      <c r="H7970" s="21" t="n">
        <v>0</v>
      </c>
      <c r="I7970" s="21" t="n">
        <v>0</v>
      </c>
      <c r="J7970" s="21" t="n">
        <v>0</v>
      </c>
      <c r="K7970" s="21" t="n">
        <v>0</v>
      </c>
      <c r="L7970" s="21" t="n">
        <v>0</v>
      </c>
      <c r="M7970" s="21" t="n">
        <v>0</v>
      </c>
      <c r="N7970" s="21" t="n">
        <v>0</v>
      </c>
      <c r="O7970" s="21" t="n">
        <v>0</v>
      </c>
      <c r="P7970" s="21" t="n">
        <v>0</v>
      </c>
      <c r="Q7970" s="21" t="n">
        <v>0</v>
      </c>
      <c r="R7970" s="21">
        <f>$B$7051</f>
        <v/>
      </c>
      <c r="S7970" s="21">
        <f>$B$7053</f>
        <v/>
      </c>
      <c r="T7970" s="21">
        <f>0</f>
        <v/>
      </c>
      <c r="U7970" s="21">
        <f>2*$B$7052</f>
        <v/>
      </c>
      <c r="V7970" s="21">
        <f>-$B$7051</f>
        <v/>
      </c>
      <c r="W7970" s="21">
        <f>$B$7053</f>
        <v/>
      </c>
      <c r="X7970" s="21" t="n">
        <v>0</v>
      </c>
      <c r="Y7970" s="21" t="n">
        <v>0</v>
      </c>
      <c r="Z7970" s="19" t="n"/>
    </row>
    <row r="7971">
      <c r="D7971" s="21" t="n">
        <v>0</v>
      </c>
      <c r="E7971" s="21" t="n">
        <v>0</v>
      </c>
      <c r="F7971" s="21" t="n">
        <v>0</v>
      </c>
      <c r="G7971" s="21" t="n">
        <v>0</v>
      </c>
      <c r="H7971" s="21" t="n">
        <v>0</v>
      </c>
      <c r="I7971" s="21" t="n">
        <v>0</v>
      </c>
      <c r="J7971" s="21" t="n">
        <v>0</v>
      </c>
      <c r="K7971" s="21" t="n">
        <v>0</v>
      </c>
      <c r="L7971" s="21" t="n">
        <v>0</v>
      </c>
      <c r="M7971" s="21" t="n">
        <v>0</v>
      </c>
      <c r="N7971" s="21" t="n">
        <v>0</v>
      </c>
      <c r="O7971" s="21" t="n">
        <v>0</v>
      </c>
      <c r="P7971" s="21" t="n">
        <v>0</v>
      </c>
      <c r="Q7971" s="21" t="n">
        <v>0</v>
      </c>
      <c r="R7971" s="21" t="n">
        <v>0</v>
      </c>
      <c r="S7971" s="21" t="n">
        <v>0</v>
      </c>
      <c r="T7971" s="21">
        <f>-$B$7050</f>
        <v/>
      </c>
      <c r="U7971" s="21">
        <f>-$B$7051</f>
        <v/>
      </c>
      <c r="V7971" s="21">
        <f>2*$B$7050+$D$7950</f>
        <v/>
      </c>
      <c r="W7971" s="21">
        <f>0</f>
        <v/>
      </c>
      <c r="X7971" s="21">
        <f>-$B$7050</f>
        <v/>
      </c>
      <c r="Y7971" s="21">
        <f>$B$7051</f>
        <v/>
      </c>
      <c r="Z7971" s="19" t="n"/>
    </row>
    <row r="7972">
      <c r="D7972" s="21" t="n">
        <v>0</v>
      </c>
      <c r="E7972" s="21" t="n">
        <v>0</v>
      </c>
      <c r="F7972" s="21" t="n">
        <v>0</v>
      </c>
      <c r="G7972" s="21" t="n">
        <v>0</v>
      </c>
      <c r="H7972" s="21" t="n">
        <v>0</v>
      </c>
      <c r="I7972" s="21" t="n">
        <v>0</v>
      </c>
      <c r="J7972" s="21" t="n">
        <v>0</v>
      </c>
      <c r="K7972" s="21" t="n">
        <v>0</v>
      </c>
      <c r="L7972" s="21" t="n">
        <v>0</v>
      </c>
      <c r="M7972" s="21" t="n">
        <v>0</v>
      </c>
      <c r="N7972" s="21" t="n">
        <v>0</v>
      </c>
      <c r="O7972" s="21" t="n">
        <v>0</v>
      </c>
      <c r="P7972" s="21" t="n">
        <v>0</v>
      </c>
      <c r="Q7972" s="21" t="n">
        <v>0</v>
      </c>
      <c r="R7972" s="21" t="n">
        <v>0</v>
      </c>
      <c r="S7972" s="21" t="n">
        <v>0</v>
      </c>
      <c r="T7972" s="21">
        <f>$B$7051</f>
        <v/>
      </c>
      <c r="U7972" s="21">
        <f>$B$7053</f>
        <v/>
      </c>
      <c r="V7972" s="21">
        <f>0</f>
        <v/>
      </c>
      <c r="W7972" s="21">
        <f>2*$B$7052</f>
        <v/>
      </c>
      <c r="X7972" s="21">
        <f>-$B$7051</f>
        <v/>
      </c>
      <c r="Y7972" s="21">
        <f>$B$7053</f>
        <v/>
      </c>
      <c r="Z7972" s="19" t="n"/>
    </row>
    <row r="7973">
      <c r="D7973" s="21" t="n">
        <v>0</v>
      </c>
      <c r="E7973" s="21" t="n">
        <v>0</v>
      </c>
      <c r="F7973" s="21" t="n">
        <v>0</v>
      </c>
      <c r="G7973" s="21" t="n">
        <v>0</v>
      </c>
      <c r="H7973" s="21" t="n">
        <v>0</v>
      </c>
      <c r="I7973" s="21" t="n">
        <v>0</v>
      </c>
      <c r="J7973" s="21" t="n">
        <v>0</v>
      </c>
      <c r="K7973" s="21" t="n">
        <v>0</v>
      </c>
      <c r="L7973" s="21" t="n">
        <v>0</v>
      </c>
      <c r="M7973" s="21" t="n">
        <v>0</v>
      </c>
      <c r="N7973" s="21" t="n">
        <v>0</v>
      </c>
      <c r="O7973" s="21" t="n">
        <v>0</v>
      </c>
      <c r="P7973" s="21" t="n">
        <v>0</v>
      </c>
      <c r="Q7973" s="21" t="n">
        <v>0</v>
      </c>
      <c r="R7973" s="21" t="n">
        <v>0</v>
      </c>
      <c r="S7973" s="21" t="n">
        <v>0</v>
      </c>
      <c r="T7973" s="21" t="n">
        <v>0</v>
      </c>
      <c r="U7973" s="21" t="n">
        <v>0</v>
      </c>
      <c r="V7973" s="21">
        <f>-$B$7050</f>
        <v/>
      </c>
      <c r="W7973" s="21">
        <f>-$B$7051</f>
        <v/>
      </c>
      <c r="X7973" s="21">
        <f>$B$7050+$D$7951</f>
        <v/>
      </c>
      <c r="Y7973" s="21">
        <f>-$B$7051</f>
        <v/>
      </c>
      <c r="Z7973" s="19" t="n"/>
    </row>
    <row r="7974">
      <c r="D7974" s="21" t="n">
        <v>0</v>
      </c>
      <c r="E7974" s="21" t="n">
        <v>0</v>
      </c>
      <c r="F7974" s="21" t="n">
        <v>0</v>
      </c>
      <c r="G7974" s="21" t="n">
        <v>0</v>
      </c>
      <c r="H7974" s="21" t="n">
        <v>0</v>
      </c>
      <c r="I7974" s="21" t="n">
        <v>0</v>
      </c>
      <c r="J7974" s="21" t="n">
        <v>0</v>
      </c>
      <c r="K7974" s="21" t="n">
        <v>0</v>
      </c>
      <c r="L7974" s="21" t="n">
        <v>0</v>
      </c>
      <c r="M7974" s="21" t="n">
        <v>0</v>
      </c>
      <c r="N7974" s="21" t="n">
        <v>0</v>
      </c>
      <c r="O7974" s="21" t="n">
        <v>0</v>
      </c>
      <c r="P7974" s="21" t="n">
        <v>0</v>
      </c>
      <c r="Q7974" s="21" t="n">
        <v>0</v>
      </c>
      <c r="R7974" s="21" t="n">
        <v>0</v>
      </c>
      <c r="S7974" s="21" t="n">
        <v>0</v>
      </c>
      <c r="T7974" s="21" t="n">
        <v>0</v>
      </c>
      <c r="U7974" s="21" t="n">
        <v>0</v>
      </c>
      <c r="V7974" s="21">
        <f>$B$7051</f>
        <v/>
      </c>
      <c r="W7974" s="21">
        <f>$B$7053</f>
        <v/>
      </c>
      <c r="X7974" s="21">
        <f>-$B$7051</f>
        <v/>
      </c>
      <c r="Y7974" s="21">
        <f>$B$7052</f>
        <v/>
      </c>
      <c r="Z7974" s="19" t="n"/>
    </row>
    <row r="7976">
      <c r="A7976" s="8" t="inlineStr">
        <is>
          <t>gen 25</t>
        </is>
      </c>
    </row>
    <row r="7977">
      <c r="D7977" s="19">
        <f>IF(ABS(IF(ABS($E$7941)&gt;0.000000001,$E$7941,0.000000001))=0,0,IF($E$7065&lt;=$B$7059,0,IF(ABS(IF(ABS($E$7941)&gt;0.000000001,$E$7941,0.000000001))&gt;=8*$B$7061,$H$7065,0.5*$H$7065*(ABS(IF(ABS($E$7941)&gt;0.000000001,$E$7941,0.000000001))/$B$7061)^(1/3)))/ABS(IF(ABS($E$7941)&gt;0.000000001,$E$7941,0.000000001))*$I$7065)</f>
        <v/>
      </c>
      <c r="E7977" s="19">
        <f>0.5*$E$7941+0.5*$Z$7989</f>
        <v/>
      </c>
      <c r="F7977" s="19">
        <f>$Z$7990</f>
        <v/>
      </c>
    </row>
    <row r="7978">
      <c r="D7978" s="19">
        <f>IF(ABS(IF(ABS($E$7942)&gt;0.000000001,$E$7942,0.000000001))=0,0,IF($E$7066&lt;=$B$7059,0,IF(ABS(IF(ABS($E$7942)&gt;0.000000001,$E$7942,0.000000001))&gt;=8*$B$7061,$H$7066,0.5*$H$7066*(ABS(IF(ABS($E$7942)&gt;0.000000001,$E$7942,0.000000001))/$B$7061)^(1/3)))/ABS(IF(ABS($E$7942)&gt;0.000000001,$E$7942,0.000000001))*$I$7066)</f>
        <v/>
      </c>
      <c r="E7978" s="19">
        <f>0.5*$E$7942+0.5*$Z$7991</f>
        <v/>
      </c>
      <c r="F7978" s="19">
        <f>$Z$7992</f>
        <v/>
      </c>
    </row>
    <row r="7979">
      <c r="D7979" s="19">
        <f>IF(ABS(IF(ABS($E$7943)&gt;0.000000001,$E$7943,0.000000001))=0,0,IF($E$7067&lt;=$B$7059,0,IF(ABS(IF(ABS($E$7943)&gt;0.000000001,$E$7943,0.000000001))&gt;=8*$B$7061,$H$7067,0.5*$H$7067*(ABS(IF(ABS($E$7943)&gt;0.000000001,$E$7943,0.000000001))/$B$7061)^(1/3)))/ABS(IF(ABS($E$7943)&gt;0.000000001,$E$7943,0.000000001))*$I$7067)</f>
        <v/>
      </c>
      <c r="E7979" s="19">
        <f>0.5*$E$7943+0.5*$Z$7993</f>
        <v/>
      </c>
      <c r="F7979" s="19">
        <f>$Z$7994</f>
        <v/>
      </c>
    </row>
    <row r="7980">
      <c r="D7980" s="19">
        <f>IF(ABS(IF(ABS($E$7944)&gt;0.000000001,$E$7944,0.000000001))=0,0,IF($E$7068&lt;=$B$7059,0,IF(ABS(IF(ABS($E$7944)&gt;0.000000001,$E$7944,0.000000001))&gt;=8*$B$7061,$H$7068,0.5*$H$7068*(ABS(IF(ABS($E$7944)&gt;0.000000001,$E$7944,0.000000001))/$B$7061)^(1/3)))/ABS(IF(ABS($E$7944)&gt;0.000000001,$E$7944,0.000000001))*$I$7068)</f>
        <v/>
      </c>
      <c r="E7980" s="19">
        <f>0.5*$E$7944+0.5*$Z$7995</f>
        <v/>
      </c>
      <c r="F7980" s="19">
        <f>$Z$7996</f>
        <v/>
      </c>
    </row>
    <row r="7981">
      <c r="D7981" s="19">
        <f>IF(ABS(IF(ABS($E$7945)&gt;0.000000001,$E$7945,0.000000001))=0,0,IF($E$7069&lt;=$B$7059,0,IF(ABS(IF(ABS($E$7945)&gt;0.000000001,$E$7945,0.000000001))&gt;=8*$B$7061,$H$7069,0.5*$H$7069*(ABS(IF(ABS($E$7945)&gt;0.000000001,$E$7945,0.000000001))/$B$7061)^(1/3)))/ABS(IF(ABS($E$7945)&gt;0.000000001,$E$7945,0.000000001))*$I$7069)</f>
        <v/>
      </c>
      <c r="E7981" s="19">
        <f>0.5*$E$7945+0.5*$Z$7997</f>
        <v/>
      </c>
      <c r="F7981" s="19">
        <f>$Z$7998</f>
        <v/>
      </c>
    </row>
    <row r="7982">
      <c r="D7982" s="19">
        <f>IF(ABS(IF(ABS($E$7946)&gt;0.000000001,$E$7946,0.000000001))=0,0,IF($E$7070&lt;=$B$7059,0,IF(ABS(IF(ABS($E$7946)&gt;0.000000001,$E$7946,0.000000001))&gt;=8*$B$7061,$H$7070,0.5*$H$7070*(ABS(IF(ABS($E$7946)&gt;0.000000001,$E$7946,0.000000001))/$B$7061)^(1/3)))/ABS(IF(ABS($E$7946)&gt;0.000000001,$E$7946,0.000000001))*$I$7070)</f>
        <v/>
      </c>
      <c r="E7982" s="19">
        <f>0.5*$E$7946+0.5*$Z$7999</f>
        <v/>
      </c>
      <c r="F7982" s="19">
        <f>$Z$8000</f>
        <v/>
      </c>
    </row>
    <row r="7983">
      <c r="D7983" s="19">
        <f>IF(ABS(IF(ABS($E$7947)&gt;0.000000001,$E$7947,0.000000001))=0,0,IF($E$7071&lt;=$B$7059,0,IF(ABS(IF(ABS($E$7947)&gt;0.000000001,$E$7947,0.000000001))&gt;=8*$B$7061,$H$7071,0.5*$H$7071*(ABS(IF(ABS($E$7947)&gt;0.000000001,$E$7947,0.000000001))/$B$7061)^(1/3)))/ABS(IF(ABS($E$7947)&gt;0.000000001,$E$7947,0.000000001))*$I$7071)</f>
        <v/>
      </c>
      <c r="E7983" s="19">
        <f>0.5*$E$7947+0.5*$Z$8001</f>
        <v/>
      </c>
      <c r="F7983" s="19">
        <f>$Z$8002</f>
        <v/>
      </c>
    </row>
    <row r="7984">
      <c r="D7984" s="19">
        <f>IF(ABS(IF(ABS($E$7948)&gt;0.000000001,$E$7948,0.000000001))=0,0,IF($E$7072&lt;=$B$7059,0,IF(ABS(IF(ABS($E$7948)&gt;0.000000001,$E$7948,0.000000001))&gt;=8*$B$7061,$H$7072,0.5*$H$7072*(ABS(IF(ABS($E$7948)&gt;0.000000001,$E$7948,0.000000001))/$B$7061)^(1/3)))/ABS(IF(ABS($E$7948)&gt;0.000000001,$E$7948,0.000000001))*$I$7072)</f>
        <v/>
      </c>
      <c r="E7984" s="19">
        <f>0.5*$E$7948+0.5*$Z$8003</f>
        <v/>
      </c>
      <c r="F7984" s="19">
        <f>$Z$8004</f>
        <v/>
      </c>
    </row>
    <row r="7985">
      <c r="D7985" s="19">
        <f>IF(ABS(IF(ABS($E$7949)&gt;0.000000001,$E$7949,0.000000001))=0,0,IF($E$7073&lt;=$B$7059,0,IF(ABS(IF(ABS($E$7949)&gt;0.000000001,$E$7949,0.000000001))&gt;=8*$B$7061,$H$7073,0.5*$H$7073*(ABS(IF(ABS($E$7949)&gt;0.000000001,$E$7949,0.000000001))/$B$7061)^(1/3)))/ABS(IF(ABS($E$7949)&gt;0.000000001,$E$7949,0.000000001))*$I$7073)</f>
        <v/>
      </c>
      <c r="E7985" s="19">
        <f>0.5*$E$7949+0.5*$Z$8005</f>
        <v/>
      </c>
      <c r="F7985" s="19">
        <f>$Z$8006</f>
        <v/>
      </c>
    </row>
    <row r="7986">
      <c r="D7986" s="19">
        <f>IF(ABS(IF(ABS($E$7950)&gt;0.000000001,$E$7950,0.000000001))=0,0,IF($E$7074&lt;=$B$7059,0,IF(ABS(IF(ABS($E$7950)&gt;0.000000001,$E$7950,0.000000001))&gt;=8*$B$7061,$H$7074,0.5*$H$7074*(ABS(IF(ABS($E$7950)&gt;0.000000001,$E$7950,0.000000001))/$B$7061)^(1/3)))/ABS(IF(ABS($E$7950)&gt;0.000000001,$E$7950,0.000000001))*$I$7074)</f>
        <v/>
      </c>
      <c r="E7986" s="19">
        <f>0.5*$E$7950+0.5*$Z$8007</f>
        <v/>
      </c>
      <c r="F7986" s="19">
        <f>$Z$8008</f>
        <v/>
      </c>
    </row>
    <row r="7987">
      <c r="D7987" s="19">
        <f>IF(ABS(IF(ABS($E$7951)&gt;0.000000001,$E$7951,0.000000001))=0,0,IF($E$7075&lt;=$B$7059,0,IF(ABS(IF(ABS($E$7951)&gt;0.000000001,$E$7951,0.000000001))&gt;=8*$B$7061,$H$7075,0.5*$H$7075*(ABS(IF(ABS($E$7951)&gt;0.000000001,$E$7951,0.000000001))/$B$7061)^(1/3)))/ABS(IF(ABS($E$7951)&gt;0.000000001,$E$7951,0.000000001))*$I$7075)</f>
        <v/>
      </c>
      <c r="E7987" s="19">
        <f>0.5*$E$7951+0.5*$Z$8009</f>
        <v/>
      </c>
      <c r="F7987" s="19">
        <f>$Z$8010</f>
        <v/>
      </c>
    </row>
    <row r="7989">
      <c r="D7989" s="21">
        <f>$B$7050+$D$7977</f>
        <v/>
      </c>
      <c r="E7989" s="21">
        <f>$B$7051</f>
        <v/>
      </c>
      <c r="F7989" s="21">
        <f>-$B$7050</f>
        <v/>
      </c>
      <c r="G7989" s="21">
        <f>$B$7051</f>
        <v/>
      </c>
      <c r="H7989" s="21" t="n">
        <v>0</v>
      </c>
      <c r="I7989" s="21" t="n">
        <v>0</v>
      </c>
      <c r="J7989" s="21" t="n">
        <v>0</v>
      </c>
      <c r="K7989" s="21" t="n">
        <v>0</v>
      </c>
      <c r="L7989" s="21" t="n">
        <v>0</v>
      </c>
      <c r="M7989" s="21" t="n">
        <v>0</v>
      </c>
      <c r="N7989" s="21" t="n">
        <v>0</v>
      </c>
      <c r="O7989" s="21" t="n">
        <v>0</v>
      </c>
      <c r="P7989" s="21" t="n">
        <v>0</v>
      </c>
      <c r="Q7989" s="21" t="n">
        <v>0</v>
      </c>
      <c r="R7989" s="21" t="n">
        <v>0</v>
      </c>
      <c r="S7989" s="21" t="n">
        <v>0</v>
      </c>
      <c r="T7989" s="21" t="n">
        <v>0</v>
      </c>
      <c r="U7989" s="21" t="n">
        <v>0</v>
      </c>
      <c r="V7989" s="21" t="n">
        <v>0</v>
      </c>
      <c r="W7989" s="21" t="n">
        <v>0</v>
      </c>
      <c r="X7989" s="21" t="n">
        <v>0</v>
      </c>
      <c r="Y7989" s="21" t="n">
        <v>0</v>
      </c>
      <c r="Z7989" s="19">
        <f t="array" ref="Z7989:Z8010">MMULT(MINVERSE($D$7989:$Y$8010),$D$7077:$D$7098)</f>
        <v/>
      </c>
    </row>
    <row r="7990">
      <c r="D7990" s="21">
        <f>$B$7051</f>
        <v/>
      </c>
      <c r="E7990" s="21">
        <f>$B$7052</f>
        <v/>
      </c>
      <c r="F7990" s="21">
        <f>-$B$7051</f>
        <v/>
      </c>
      <c r="G7990" s="21">
        <f>$B$7053</f>
        <v/>
      </c>
      <c r="H7990" s="21" t="n">
        <v>0</v>
      </c>
      <c r="I7990" s="21" t="n">
        <v>0</v>
      </c>
      <c r="J7990" s="21" t="n">
        <v>0</v>
      </c>
      <c r="K7990" s="21" t="n">
        <v>0</v>
      </c>
      <c r="L7990" s="21" t="n">
        <v>0</v>
      </c>
      <c r="M7990" s="21" t="n">
        <v>0</v>
      </c>
      <c r="N7990" s="21" t="n">
        <v>0</v>
      </c>
      <c r="O7990" s="21" t="n">
        <v>0</v>
      </c>
      <c r="P7990" s="21" t="n">
        <v>0</v>
      </c>
      <c r="Q7990" s="21" t="n">
        <v>0</v>
      </c>
      <c r="R7990" s="21" t="n">
        <v>0</v>
      </c>
      <c r="S7990" s="21" t="n">
        <v>0</v>
      </c>
      <c r="T7990" s="21" t="n">
        <v>0</v>
      </c>
      <c r="U7990" s="21" t="n">
        <v>0</v>
      </c>
      <c r="V7990" s="21" t="n">
        <v>0</v>
      </c>
      <c r="W7990" s="21" t="n">
        <v>0</v>
      </c>
      <c r="X7990" s="21" t="n">
        <v>0</v>
      </c>
      <c r="Y7990" s="21" t="n">
        <v>0</v>
      </c>
      <c r="Z7990" s="19" t="n"/>
    </row>
    <row r="7991">
      <c r="D7991" s="21">
        <f>-$B$7050</f>
        <v/>
      </c>
      <c r="E7991" s="21">
        <f>-$B$7051</f>
        <v/>
      </c>
      <c r="F7991" s="21">
        <f>2*$B$7050+$D$7978</f>
        <v/>
      </c>
      <c r="G7991" s="21">
        <f>0</f>
        <v/>
      </c>
      <c r="H7991" s="21">
        <f>-$B$7050</f>
        <v/>
      </c>
      <c r="I7991" s="21">
        <f>$B$7051</f>
        <v/>
      </c>
      <c r="J7991" s="21" t="n">
        <v>0</v>
      </c>
      <c r="K7991" s="21" t="n">
        <v>0</v>
      </c>
      <c r="L7991" s="21" t="n">
        <v>0</v>
      </c>
      <c r="M7991" s="21" t="n">
        <v>0</v>
      </c>
      <c r="N7991" s="21" t="n">
        <v>0</v>
      </c>
      <c r="O7991" s="21" t="n">
        <v>0</v>
      </c>
      <c r="P7991" s="21" t="n">
        <v>0</v>
      </c>
      <c r="Q7991" s="21" t="n">
        <v>0</v>
      </c>
      <c r="R7991" s="21" t="n">
        <v>0</v>
      </c>
      <c r="S7991" s="21" t="n">
        <v>0</v>
      </c>
      <c r="T7991" s="21" t="n">
        <v>0</v>
      </c>
      <c r="U7991" s="21" t="n">
        <v>0</v>
      </c>
      <c r="V7991" s="21" t="n">
        <v>0</v>
      </c>
      <c r="W7991" s="21" t="n">
        <v>0</v>
      </c>
      <c r="X7991" s="21" t="n">
        <v>0</v>
      </c>
      <c r="Y7991" s="21" t="n">
        <v>0</v>
      </c>
      <c r="Z7991" s="19" t="n"/>
    </row>
    <row r="7992">
      <c r="D7992" s="21">
        <f>$B$7051</f>
        <v/>
      </c>
      <c r="E7992" s="21">
        <f>$B$7053</f>
        <v/>
      </c>
      <c r="F7992" s="21">
        <f>0</f>
        <v/>
      </c>
      <c r="G7992" s="21">
        <f>2*$B$7052</f>
        <v/>
      </c>
      <c r="H7992" s="21">
        <f>-$B$7051</f>
        <v/>
      </c>
      <c r="I7992" s="21">
        <f>$B$7053</f>
        <v/>
      </c>
      <c r="J7992" s="21" t="n">
        <v>0</v>
      </c>
      <c r="K7992" s="21" t="n">
        <v>0</v>
      </c>
      <c r="L7992" s="21" t="n">
        <v>0</v>
      </c>
      <c r="M7992" s="21" t="n">
        <v>0</v>
      </c>
      <c r="N7992" s="21" t="n">
        <v>0</v>
      </c>
      <c r="O7992" s="21" t="n">
        <v>0</v>
      </c>
      <c r="P7992" s="21" t="n">
        <v>0</v>
      </c>
      <c r="Q7992" s="21" t="n">
        <v>0</v>
      </c>
      <c r="R7992" s="21" t="n">
        <v>0</v>
      </c>
      <c r="S7992" s="21" t="n">
        <v>0</v>
      </c>
      <c r="T7992" s="21" t="n">
        <v>0</v>
      </c>
      <c r="U7992" s="21" t="n">
        <v>0</v>
      </c>
      <c r="V7992" s="21" t="n">
        <v>0</v>
      </c>
      <c r="W7992" s="21" t="n">
        <v>0</v>
      </c>
      <c r="X7992" s="21" t="n">
        <v>0</v>
      </c>
      <c r="Y7992" s="21" t="n">
        <v>0</v>
      </c>
      <c r="Z7992" s="19" t="n"/>
    </row>
    <row r="7993">
      <c r="D7993" s="21" t="n">
        <v>0</v>
      </c>
      <c r="E7993" s="21" t="n">
        <v>0</v>
      </c>
      <c r="F7993" s="21">
        <f>-$B$7050</f>
        <v/>
      </c>
      <c r="G7993" s="21">
        <f>-$B$7051</f>
        <v/>
      </c>
      <c r="H7993" s="21">
        <f>2*$B$7050+$D$7979</f>
        <v/>
      </c>
      <c r="I7993" s="21">
        <f>0</f>
        <v/>
      </c>
      <c r="J7993" s="21">
        <f>-$B$7050</f>
        <v/>
      </c>
      <c r="K7993" s="21">
        <f>$B$7051</f>
        <v/>
      </c>
      <c r="L7993" s="21" t="n">
        <v>0</v>
      </c>
      <c r="M7993" s="21" t="n">
        <v>0</v>
      </c>
      <c r="N7993" s="21" t="n">
        <v>0</v>
      </c>
      <c r="O7993" s="21" t="n">
        <v>0</v>
      </c>
      <c r="P7993" s="21" t="n">
        <v>0</v>
      </c>
      <c r="Q7993" s="21" t="n">
        <v>0</v>
      </c>
      <c r="R7993" s="21" t="n">
        <v>0</v>
      </c>
      <c r="S7993" s="21" t="n">
        <v>0</v>
      </c>
      <c r="T7993" s="21" t="n">
        <v>0</v>
      </c>
      <c r="U7993" s="21" t="n">
        <v>0</v>
      </c>
      <c r="V7993" s="21" t="n">
        <v>0</v>
      </c>
      <c r="W7993" s="21" t="n">
        <v>0</v>
      </c>
      <c r="X7993" s="21" t="n">
        <v>0</v>
      </c>
      <c r="Y7993" s="21" t="n">
        <v>0</v>
      </c>
      <c r="Z7993" s="19" t="n"/>
    </row>
    <row r="7994">
      <c r="D7994" s="21" t="n">
        <v>0</v>
      </c>
      <c r="E7994" s="21" t="n">
        <v>0</v>
      </c>
      <c r="F7994" s="21">
        <f>$B$7051</f>
        <v/>
      </c>
      <c r="G7994" s="21">
        <f>$B$7053</f>
        <v/>
      </c>
      <c r="H7994" s="21">
        <f>0</f>
        <v/>
      </c>
      <c r="I7994" s="21">
        <f>2*$B$7052</f>
        <v/>
      </c>
      <c r="J7994" s="21">
        <f>-$B$7051</f>
        <v/>
      </c>
      <c r="K7994" s="21">
        <f>$B$7053</f>
        <v/>
      </c>
      <c r="L7994" s="21" t="n">
        <v>0</v>
      </c>
      <c r="M7994" s="21" t="n">
        <v>0</v>
      </c>
      <c r="N7994" s="21" t="n">
        <v>0</v>
      </c>
      <c r="O7994" s="21" t="n">
        <v>0</v>
      </c>
      <c r="P7994" s="21" t="n">
        <v>0</v>
      </c>
      <c r="Q7994" s="21" t="n">
        <v>0</v>
      </c>
      <c r="R7994" s="21" t="n">
        <v>0</v>
      </c>
      <c r="S7994" s="21" t="n">
        <v>0</v>
      </c>
      <c r="T7994" s="21" t="n">
        <v>0</v>
      </c>
      <c r="U7994" s="21" t="n">
        <v>0</v>
      </c>
      <c r="V7994" s="21" t="n">
        <v>0</v>
      </c>
      <c r="W7994" s="21" t="n">
        <v>0</v>
      </c>
      <c r="X7994" s="21" t="n">
        <v>0</v>
      </c>
      <c r="Y7994" s="21" t="n">
        <v>0</v>
      </c>
      <c r="Z7994" s="19" t="n"/>
    </row>
    <row r="7995">
      <c r="D7995" s="21" t="n">
        <v>0</v>
      </c>
      <c r="E7995" s="21" t="n">
        <v>0</v>
      </c>
      <c r="F7995" s="21" t="n">
        <v>0</v>
      </c>
      <c r="G7995" s="21" t="n">
        <v>0</v>
      </c>
      <c r="H7995" s="21">
        <f>-$B$7050</f>
        <v/>
      </c>
      <c r="I7995" s="21">
        <f>-$B$7051</f>
        <v/>
      </c>
      <c r="J7995" s="21">
        <f>2*$B$7050+$D$7980</f>
        <v/>
      </c>
      <c r="K7995" s="21">
        <f>0</f>
        <v/>
      </c>
      <c r="L7995" s="21">
        <f>-$B$7050</f>
        <v/>
      </c>
      <c r="M7995" s="21">
        <f>$B$7051</f>
        <v/>
      </c>
      <c r="N7995" s="21" t="n">
        <v>0</v>
      </c>
      <c r="O7995" s="21" t="n">
        <v>0</v>
      </c>
      <c r="P7995" s="21" t="n">
        <v>0</v>
      </c>
      <c r="Q7995" s="21" t="n">
        <v>0</v>
      </c>
      <c r="R7995" s="21" t="n">
        <v>0</v>
      </c>
      <c r="S7995" s="21" t="n">
        <v>0</v>
      </c>
      <c r="T7995" s="21" t="n">
        <v>0</v>
      </c>
      <c r="U7995" s="21" t="n">
        <v>0</v>
      </c>
      <c r="V7995" s="21" t="n">
        <v>0</v>
      </c>
      <c r="W7995" s="21" t="n">
        <v>0</v>
      </c>
      <c r="X7995" s="21" t="n">
        <v>0</v>
      </c>
      <c r="Y7995" s="21" t="n">
        <v>0</v>
      </c>
      <c r="Z7995" s="19" t="n"/>
    </row>
    <row r="7996">
      <c r="D7996" s="21" t="n">
        <v>0</v>
      </c>
      <c r="E7996" s="21" t="n">
        <v>0</v>
      </c>
      <c r="F7996" s="21" t="n">
        <v>0</v>
      </c>
      <c r="G7996" s="21" t="n">
        <v>0</v>
      </c>
      <c r="H7996" s="21">
        <f>$B$7051</f>
        <v/>
      </c>
      <c r="I7996" s="21">
        <f>$B$7053</f>
        <v/>
      </c>
      <c r="J7996" s="21">
        <f>0</f>
        <v/>
      </c>
      <c r="K7996" s="21">
        <f>2*$B$7052</f>
        <v/>
      </c>
      <c r="L7996" s="21">
        <f>-$B$7051</f>
        <v/>
      </c>
      <c r="M7996" s="21">
        <f>$B$7053</f>
        <v/>
      </c>
      <c r="N7996" s="21" t="n">
        <v>0</v>
      </c>
      <c r="O7996" s="21" t="n">
        <v>0</v>
      </c>
      <c r="P7996" s="21" t="n">
        <v>0</v>
      </c>
      <c r="Q7996" s="21" t="n">
        <v>0</v>
      </c>
      <c r="R7996" s="21" t="n">
        <v>0</v>
      </c>
      <c r="S7996" s="21" t="n">
        <v>0</v>
      </c>
      <c r="T7996" s="21" t="n">
        <v>0</v>
      </c>
      <c r="U7996" s="21" t="n">
        <v>0</v>
      </c>
      <c r="V7996" s="21" t="n">
        <v>0</v>
      </c>
      <c r="W7996" s="21" t="n">
        <v>0</v>
      </c>
      <c r="X7996" s="21" t="n">
        <v>0</v>
      </c>
      <c r="Y7996" s="21" t="n">
        <v>0</v>
      </c>
      <c r="Z7996" s="19" t="n"/>
    </row>
    <row r="7997">
      <c r="D7997" s="21" t="n">
        <v>0</v>
      </c>
      <c r="E7997" s="21" t="n">
        <v>0</v>
      </c>
      <c r="F7997" s="21" t="n">
        <v>0</v>
      </c>
      <c r="G7997" s="21" t="n">
        <v>0</v>
      </c>
      <c r="H7997" s="21" t="n">
        <v>0</v>
      </c>
      <c r="I7997" s="21" t="n">
        <v>0</v>
      </c>
      <c r="J7997" s="21">
        <f>-$B$7050</f>
        <v/>
      </c>
      <c r="K7997" s="21">
        <f>-$B$7051</f>
        <v/>
      </c>
      <c r="L7997" s="21">
        <f>2*$B$7050+$D$7981</f>
        <v/>
      </c>
      <c r="M7997" s="21">
        <f>0</f>
        <v/>
      </c>
      <c r="N7997" s="21">
        <f>-$B$7050</f>
        <v/>
      </c>
      <c r="O7997" s="21">
        <f>$B$7051</f>
        <v/>
      </c>
      <c r="P7997" s="21" t="n">
        <v>0</v>
      </c>
      <c r="Q7997" s="21" t="n">
        <v>0</v>
      </c>
      <c r="R7997" s="21" t="n">
        <v>0</v>
      </c>
      <c r="S7997" s="21" t="n">
        <v>0</v>
      </c>
      <c r="T7997" s="21" t="n">
        <v>0</v>
      </c>
      <c r="U7997" s="21" t="n">
        <v>0</v>
      </c>
      <c r="V7997" s="21" t="n">
        <v>0</v>
      </c>
      <c r="W7997" s="21" t="n">
        <v>0</v>
      </c>
      <c r="X7997" s="21" t="n">
        <v>0</v>
      </c>
      <c r="Y7997" s="21" t="n">
        <v>0</v>
      </c>
      <c r="Z7997" s="19" t="n"/>
    </row>
    <row r="7998">
      <c r="D7998" s="21" t="n">
        <v>0</v>
      </c>
      <c r="E7998" s="21" t="n">
        <v>0</v>
      </c>
      <c r="F7998" s="21" t="n">
        <v>0</v>
      </c>
      <c r="G7998" s="21" t="n">
        <v>0</v>
      </c>
      <c r="H7998" s="21" t="n">
        <v>0</v>
      </c>
      <c r="I7998" s="21" t="n">
        <v>0</v>
      </c>
      <c r="J7998" s="21">
        <f>$B$7051</f>
        <v/>
      </c>
      <c r="K7998" s="21">
        <f>$B$7053</f>
        <v/>
      </c>
      <c r="L7998" s="21">
        <f>0</f>
        <v/>
      </c>
      <c r="M7998" s="21">
        <f>2*$B$7052</f>
        <v/>
      </c>
      <c r="N7998" s="21">
        <f>-$B$7051</f>
        <v/>
      </c>
      <c r="O7998" s="21">
        <f>$B$7053</f>
        <v/>
      </c>
      <c r="P7998" s="21" t="n">
        <v>0</v>
      </c>
      <c r="Q7998" s="21" t="n">
        <v>0</v>
      </c>
      <c r="R7998" s="21" t="n">
        <v>0</v>
      </c>
      <c r="S7998" s="21" t="n">
        <v>0</v>
      </c>
      <c r="T7998" s="21" t="n">
        <v>0</v>
      </c>
      <c r="U7998" s="21" t="n">
        <v>0</v>
      </c>
      <c r="V7998" s="21" t="n">
        <v>0</v>
      </c>
      <c r="W7998" s="21" t="n">
        <v>0</v>
      </c>
      <c r="X7998" s="21" t="n">
        <v>0</v>
      </c>
      <c r="Y7998" s="21" t="n">
        <v>0</v>
      </c>
      <c r="Z7998" s="19" t="n"/>
    </row>
    <row r="7999">
      <c r="D7999" s="21" t="n">
        <v>0</v>
      </c>
      <c r="E7999" s="21" t="n">
        <v>0</v>
      </c>
      <c r="F7999" s="21" t="n">
        <v>0</v>
      </c>
      <c r="G7999" s="21" t="n">
        <v>0</v>
      </c>
      <c r="H7999" s="21" t="n">
        <v>0</v>
      </c>
      <c r="I7999" s="21" t="n">
        <v>0</v>
      </c>
      <c r="J7999" s="21" t="n">
        <v>0</v>
      </c>
      <c r="K7999" s="21" t="n">
        <v>0</v>
      </c>
      <c r="L7999" s="21">
        <f>-$B$7050</f>
        <v/>
      </c>
      <c r="M7999" s="21">
        <f>-$B$7051</f>
        <v/>
      </c>
      <c r="N7999" s="21">
        <f>2*$B$7050+$D$7982</f>
        <v/>
      </c>
      <c r="O7999" s="21">
        <f>0</f>
        <v/>
      </c>
      <c r="P7999" s="21">
        <f>-$B$7050</f>
        <v/>
      </c>
      <c r="Q7999" s="21">
        <f>$B$7051</f>
        <v/>
      </c>
      <c r="R7999" s="21" t="n">
        <v>0</v>
      </c>
      <c r="S7999" s="21" t="n">
        <v>0</v>
      </c>
      <c r="T7999" s="21" t="n">
        <v>0</v>
      </c>
      <c r="U7999" s="21" t="n">
        <v>0</v>
      </c>
      <c r="V7999" s="21" t="n">
        <v>0</v>
      </c>
      <c r="W7999" s="21" t="n">
        <v>0</v>
      </c>
      <c r="X7999" s="21" t="n">
        <v>0</v>
      </c>
      <c r="Y7999" s="21" t="n">
        <v>0</v>
      </c>
      <c r="Z7999" s="19" t="n"/>
    </row>
    <row r="8000">
      <c r="D8000" s="21" t="n">
        <v>0</v>
      </c>
      <c r="E8000" s="21" t="n">
        <v>0</v>
      </c>
      <c r="F8000" s="21" t="n">
        <v>0</v>
      </c>
      <c r="G8000" s="21" t="n">
        <v>0</v>
      </c>
      <c r="H8000" s="21" t="n">
        <v>0</v>
      </c>
      <c r="I8000" s="21" t="n">
        <v>0</v>
      </c>
      <c r="J8000" s="21" t="n">
        <v>0</v>
      </c>
      <c r="K8000" s="21" t="n">
        <v>0</v>
      </c>
      <c r="L8000" s="21">
        <f>$B$7051</f>
        <v/>
      </c>
      <c r="M8000" s="21">
        <f>$B$7053</f>
        <v/>
      </c>
      <c r="N8000" s="21">
        <f>0</f>
        <v/>
      </c>
      <c r="O8000" s="21">
        <f>2*$B$7052</f>
        <v/>
      </c>
      <c r="P8000" s="21">
        <f>-$B$7051</f>
        <v/>
      </c>
      <c r="Q8000" s="21">
        <f>$B$7053</f>
        <v/>
      </c>
      <c r="R8000" s="21" t="n">
        <v>0</v>
      </c>
      <c r="S8000" s="21" t="n">
        <v>0</v>
      </c>
      <c r="T8000" s="21" t="n">
        <v>0</v>
      </c>
      <c r="U8000" s="21" t="n">
        <v>0</v>
      </c>
      <c r="V8000" s="21" t="n">
        <v>0</v>
      </c>
      <c r="W8000" s="21" t="n">
        <v>0</v>
      </c>
      <c r="X8000" s="21" t="n">
        <v>0</v>
      </c>
      <c r="Y8000" s="21" t="n">
        <v>0</v>
      </c>
      <c r="Z8000" s="19" t="n"/>
    </row>
    <row r="8001">
      <c r="D8001" s="21" t="n">
        <v>0</v>
      </c>
      <c r="E8001" s="21" t="n">
        <v>0</v>
      </c>
      <c r="F8001" s="21" t="n">
        <v>0</v>
      </c>
      <c r="G8001" s="21" t="n">
        <v>0</v>
      </c>
      <c r="H8001" s="21" t="n">
        <v>0</v>
      </c>
      <c r="I8001" s="21" t="n">
        <v>0</v>
      </c>
      <c r="J8001" s="21" t="n">
        <v>0</v>
      </c>
      <c r="K8001" s="21" t="n">
        <v>0</v>
      </c>
      <c r="L8001" s="21" t="n">
        <v>0</v>
      </c>
      <c r="M8001" s="21" t="n">
        <v>0</v>
      </c>
      <c r="N8001" s="21">
        <f>-$B$7050</f>
        <v/>
      </c>
      <c r="O8001" s="21">
        <f>-$B$7051</f>
        <v/>
      </c>
      <c r="P8001" s="21">
        <f>2*$B$7050+$D$7983</f>
        <v/>
      </c>
      <c r="Q8001" s="21">
        <f>0</f>
        <v/>
      </c>
      <c r="R8001" s="21">
        <f>-$B$7050</f>
        <v/>
      </c>
      <c r="S8001" s="21">
        <f>$B$7051</f>
        <v/>
      </c>
      <c r="T8001" s="21" t="n">
        <v>0</v>
      </c>
      <c r="U8001" s="21" t="n">
        <v>0</v>
      </c>
      <c r="V8001" s="21" t="n">
        <v>0</v>
      </c>
      <c r="W8001" s="21" t="n">
        <v>0</v>
      </c>
      <c r="X8001" s="21" t="n">
        <v>0</v>
      </c>
      <c r="Y8001" s="21" t="n">
        <v>0</v>
      </c>
      <c r="Z8001" s="19" t="n"/>
    </row>
    <row r="8002">
      <c r="D8002" s="21" t="n">
        <v>0</v>
      </c>
      <c r="E8002" s="21" t="n">
        <v>0</v>
      </c>
      <c r="F8002" s="21" t="n">
        <v>0</v>
      </c>
      <c r="G8002" s="21" t="n">
        <v>0</v>
      </c>
      <c r="H8002" s="21" t="n">
        <v>0</v>
      </c>
      <c r="I8002" s="21" t="n">
        <v>0</v>
      </c>
      <c r="J8002" s="21" t="n">
        <v>0</v>
      </c>
      <c r="K8002" s="21" t="n">
        <v>0</v>
      </c>
      <c r="L8002" s="21" t="n">
        <v>0</v>
      </c>
      <c r="M8002" s="21" t="n">
        <v>0</v>
      </c>
      <c r="N8002" s="21">
        <f>$B$7051</f>
        <v/>
      </c>
      <c r="O8002" s="21">
        <f>$B$7053</f>
        <v/>
      </c>
      <c r="P8002" s="21">
        <f>0</f>
        <v/>
      </c>
      <c r="Q8002" s="21">
        <f>2*$B$7052</f>
        <v/>
      </c>
      <c r="R8002" s="21">
        <f>-$B$7051</f>
        <v/>
      </c>
      <c r="S8002" s="21">
        <f>$B$7053</f>
        <v/>
      </c>
      <c r="T8002" s="21" t="n">
        <v>0</v>
      </c>
      <c r="U8002" s="21" t="n">
        <v>0</v>
      </c>
      <c r="V8002" s="21" t="n">
        <v>0</v>
      </c>
      <c r="W8002" s="21" t="n">
        <v>0</v>
      </c>
      <c r="X8002" s="21" t="n">
        <v>0</v>
      </c>
      <c r="Y8002" s="21" t="n">
        <v>0</v>
      </c>
      <c r="Z8002" s="19" t="n"/>
    </row>
    <row r="8003">
      <c r="D8003" s="21" t="n">
        <v>0</v>
      </c>
      <c r="E8003" s="21" t="n">
        <v>0</v>
      </c>
      <c r="F8003" s="21" t="n">
        <v>0</v>
      </c>
      <c r="G8003" s="21" t="n">
        <v>0</v>
      </c>
      <c r="H8003" s="21" t="n">
        <v>0</v>
      </c>
      <c r="I8003" s="21" t="n">
        <v>0</v>
      </c>
      <c r="J8003" s="21" t="n">
        <v>0</v>
      </c>
      <c r="K8003" s="21" t="n">
        <v>0</v>
      </c>
      <c r="L8003" s="21" t="n">
        <v>0</v>
      </c>
      <c r="M8003" s="21" t="n">
        <v>0</v>
      </c>
      <c r="N8003" s="21" t="n">
        <v>0</v>
      </c>
      <c r="O8003" s="21" t="n">
        <v>0</v>
      </c>
      <c r="P8003" s="21">
        <f>-$B$7050</f>
        <v/>
      </c>
      <c r="Q8003" s="21">
        <f>-$B$7051</f>
        <v/>
      </c>
      <c r="R8003" s="21">
        <f>2*$B$7050+$D$7984</f>
        <v/>
      </c>
      <c r="S8003" s="21">
        <f>0</f>
        <v/>
      </c>
      <c r="T8003" s="21">
        <f>-$B$7050</f>
        <v/>
      </c>
      <c r="U8003" s="21">
        <f>$B$7051</f>
        <v/>
      </c>
      <c r="V8003" s="21" t="n">
        <v>0</v>
      </c>
      <c r="W8003" s="21" t="n">
        <v>0</v>
      </c>
      <c r="X8003" s="21" t="n">
        <v>0</v>
      </c>
      <c r="Y8003" s="21" t="n">
        <v>0</v>
      </c>
      <c r="Z8003" s="19" t="n"/>
    </row>
    <row r="8004">
      <c r="D8004" s="21" t="n">
        <v>0</v>
      </c>
      <c r="E8004" s="21" t="n">
        <v>0</v>
      </c>
      <c r="F8004" s="21" t="n">
        <v>0</v>
      </c>
      <c r="G8004" s="21" t="n">
        <v>0</v>
      </c>
      <c r="H8004" s="21" t="n">
        <v>0</v>
      </c>
      <c r="I8004" s="21" t="n">
        <v>0</v>
      </c>
      <c r="J8004" s="21" t="n">
        <v>0</v>
      </c>
      <c r="K8004" s="21" t="n">
        <v>0</v>
      </c>
      <c r="L8004" s="21" t="n">
        <v>0</v>
      </c>
      <c r="M8004" s="21" t="n">
        <v>0</v>
      </c>
      <c r="N8004" s="21" t="n">
        <v>0</v>
      </c>
      <c r="O8004" s="21" t="n">
        <v>0</v>
      </c>
      <c r="P8004" s="21">
        <f>$B$7051</f>
        <v/>
      </c>
      <c r="Q8004" s="21">
        <f>$B$7053</f>
        <v/>
      </c>
      <c r="R8004" s="21">
        <f>0</f>
        <v/>
      </c>
      <c r="S8004" s="21">
        <f>2*$B$7052</f>
        <v/>
      </c>
      <c r="T8004" s="21">
        <f>-$B$7051</f>
        <v/>
      </c>
      <c r="U8004" s="21">
        <f>$B$7053</f>
        <v/>
      </c>
      <c r="V8004" s="21" t="n">
        <v>0</v>
      </c>
      <c r="W8004" s="21" t="n">
        <v>0</v>
      </c>
      <c r="X8004" s="21" t="n">
        <v>0</v>
      </c>
      <c r="Y8004" s="21" t="n">
        <v>0</v>
      </c>
      <c r="Z8004" s="19" t="n"/>
    </row>
    <row r="8005">
      <c r="D8005" s="21" t="n">
        <v>0</v>
      </c>
      <c r="E8005" s="21" t="n">
        <v>0</v>
      </c>
      <c r="F8005" s="21" t="n">
        <v>0</v>
      </c>
      <c r="G8005" s="21" t="n">
        <v>0</v>
      </c>
      <c r="H8005" s="21" t="n">
        <v>0</v>
      </c>
      <c r="I8005" s="21" t="n">
        <v>0</v>
      </c>
      <c r="J8005" s="21" t="n">
        <v>0</v>
      </c>
      <c r="K8005" s="21" t="n">
        <v>0</v>
      </c>
      <c r="L8005" s="21" t="n">
        <v>0</v>
      </c>
      <c r="M8005" s="21" t="n">
        <v>0</v>
      </c>
      <c r="N8005" s="21" t="n">
        <v>0</v>
      </c>
      <c r="O8005" s="21" t="n">
        <v>0</v>
      </c>
      <c r="P8005" s="21" t="n">
        <v>0</v>
      </c>
      <c r="Q8005" s="21" t="n">
        <v>0</v>
      </c>
      <c r="R8005" s="21">
        <f>-$B$7050</f>
        <v/>
      </c>
      <c r="S8005" s="21">
        <f>-$B$7051</f>
        <v/>
      </c>
      <c r="T8005" s="21">
        <f>2*$B$7050+$D$7985</f>
        <v/>
      </c>
      <c r="U8005" s="21">
        <f>0</f>
        <v/>
      </c>
      <c r="V8005" s="21">
        <f>-$B$7050</f>
        <v/>
      </c>
      <c r="W8005" s="21">
        <f>$B$7051</f>
        <v/>
      </c>
      <c r="X8005" s="21" t="n">
        <v>0</v>
      </c>
      <c r="Y8005" s="21" t="n">
        <v>0</v>
      </c>
      <c r="Z8005" s="19" t="n"/>
    </row>
    <row r="8006">
      <c r="D8006" s="21" t="n">
        <v>0</v>
      </c>
      <c r="E8006" s="21" t="n">
        <v>0</v>
      </c>
      <c r="F8006" s="21" t="n">
        <v>0</v>
      </c>
      <c r="G8006" s="21" t="n">
        <v>0</v>
      </c>
      <c r="H8006" s="21" t="n">
        <v>0</v>
      </c>
      <c r="I8006" s="21" t="n">
        <v>0</v>
      </c>
      <c r="J8006" s="21" t="n">
        <v>0</v>
      </c>
      <c r="K8006" s="21" t="n">
        <v>0</v>
      </c>
      <c r="L8006" s="21" t="n">
        <v>0</v>
      </c>
      <c r="M8006" s="21" t="n">
        <v>0</v>
      </c>
      <c r="N8006" s="21" t="n">
        <v>0</v>
      </c>
      <c r="O8006" s="21" t="n">
        <v>0</v>
      </c>
      <c r="P8006" s="21" t="n">
        <v>0</v>
      </c>
      <c r="Q8006" s="21" t="n">
        <v>0</v>
      </c>
      <c r="R8006" s="21">
        <f>$B$7051</f>
        <v/>
      </c>
      <c r="S8006" s="21">
        <f>$B$7053</f>
        <v/>
      </c>
      <c r="T8006" s="21">
        <f>0</f>
        <v/>
      </c>
      <c r="U8006" s="21">
        <f>2*$B$7052</f>
        <v/>
      </c>
      <c r="V8006" s="21">
        <f>-$B$7051</f>
        <v/>
      </c>
      <c r="W8006" s="21">
        <f>$B$7053</f>
        <v/>
      </c>
      <c r="X8006" s="21" t="n">
        <v>0</v>
      </c>
      <c r="Y8006" s="21" t="n">
        <v>0</v>
      </c>
      <c r="Z8006" s="19" t="n"/>
    </row>
    <row r="8007">
      <c r="D8007" s="21" t="n">
        <v>0</v>
      </c>
      <c r="E8007" s="21" t="n">
        <v>0</v>
      </c>
      <c r="F8007" s="21" t="n">
        <v>0</v>
      </c>
      <c r="G8007" s="21" t="n">
        <v>0</v>
      </c>
      <c r="H8007" s="21" t="n">
        <v>0</v>
      </c>
      <c r="I8007" s="21" t="n">
        <v>0</v>
      </c>
      <c r="J8007" s="21" t="n">
        <v>0</v>
      </c>
      <c r="K8007" s="21" t="n">
        <v>0</v>
      </c>
      <c r="L8007" s="21" t="n">
        <v>0</v>
      </c>
      <c r="M8007" s="21" t="n">
        <v>0</v>
      </c>
      <c r="N8007" s="21" t="n">
        <v>0</v>
      </c>
      <c r="O8007" s="21" t="n">
        <v>0</v>
      </c>
      <c r="P8007" s="21" t="n">
        <v>0</v>
      </c>
      <c r="Q8007" s="21" t="n">
        <v>0</v>
      </c>
      <c r="R8007" s="21" t="n">
        <v>0</v>
      </c>
      <c r="S8007" s="21" t="n">
        <v>0</v>
      </c>
      <c r="T8007" s="21">
        <f>-$B$7050</f>
        <v/>
      </c>
      <c r="U8007" s="21">
        <f>-$B$7051</f>
        <v/>
      </c>
      <c r="V8007" s="21">
        <f>2*$B$7050+$D$7986</f>
        <v/>
      </c>
      <c r="W8007" s="21">
        <f>0</f>
        <v/>
      </c>
      <c r="X8007" s="21">
        <f>-$B$7050</f>
        <v/>
      </c>
      <c r="Y8007" s="21">
        <f>$B$7051</f>
        <v/>
      </c>
      <c r="Z8007" s="19" t="n"/>
    </row>
    <row r="8008">
      <c r="D8008" s="21" t="n">
        <v>0</v>
      </c>
      <c r="E8008" s="21" t="n">
        <v>0</v>
      </c>
      <c r="F8008" s="21" t="n">
        <v>0</v>
      </c>
      <c r="G8008" s="21" t="n">
        <v>0</v>
      </c>
      <c r="H8008" s="21" t="n">
        <v>0</v>
      </c>
      <c r="I8008" s="21" t="n">
        <v>0</v>
      </c>
      <c r="J8008" s="21" t="n">
        <v>0</v>
      </c>
      <c r="K8008" s="21" t="n">
        <v>0</v>
      </c>
      <c r="L8008" s="21" t="n">
        <v>0</v>
      </c>
      <c r="M8008" s="21" t="n">
        <v>0</v>
      </c>
      <c r="N8008" s="21" t="n">
        <v>0</v>
      </c>
      <c r="O8008" s="21" t="n">
        <v>0</v>
      </c>
      <c r="P8008" s="21" t="n">
        <v>0</v>
      </c>
      <c r="Q8008" s="21" t="n">
        <v>0</v>
      </c>
      <c r="R8008" s="21" t="n">
        <v>0</v>
      </c>
      <c r="S8008" s="21" t="n">
        <v>0</v>
      </c>
      <c r="T8008" s="21">
        <f>$B$7051</f>
        <v/>
      </c>
      <c r="U8008" s="21">
        <f>$B$7053</f>
        <v/>
      </c>
      <c r="V8008" s="21">
        <f>0</f>
        <v/>
      </c>
      <c r="W8008" s="21">
        <f>2*$B$7052</f>
        <v/>
      </c>
      <c r="X8008" s="21">
        <f>-$B$7051</f>
        <v/>
      </c>
      <c r="Y8008" s="21">
        <f>$B$7053</f>
        <v/>
      </c>
      <c r="Z8008" s="19" t="n"/>
    </row>
    <row r="8009">
      <c r="D8009" s="21" t="n">
        <v>0</v>
      </c>
      <c r="E8009" s="21" t="n">
        <v>0</v>
      </c>
      <c r="F8009" s="21" t="n">
        <v>0</v>
      </c>
      <c r="G8009" s="21" t="n">
        <v>0</v>
      </c>
      <c r="H8009" s="21" t="n">
        <v>0</v>
      </c>
      <c r="I8009" s="21" t="n">
        <v>0</v>
      </c>
      <c r="J8009" s="21" t="n">
        <v>0</v>
      </c>
      <c r="K8009" s="21" t="n">
        <v>0</v>
      </c>
      <c r="L8009" s="21" t="n">
        <v>0</v>
      </c>
      <c r="M8009" s="21" t="n">
        <v>0</v>
      </c>
      <c r="N8009" s="21" t="n">
        <v>0</v>
      </c>
      <c r="O8009" s="21" t="n">
        <v>0</v>
      </c>
      <c r="P8009" s="21" t="n">
        <v>0</v>
      </c>
      <c r="Q8009" s="21" t="n">
        <v>0</v>
      </c>
      <c r="R8009" s="21" t="n">
        <v>0</v>
      </c>
      <c r="S8009" s="21" t="n">
        <v>0</v>
      </c>
      <c r="T8009" s="21" t="n">
        <v>0</v>
      </c>
      <c r="U8009" s="21" t="n">
        <v>0</v>
      </c>
      <c r="V8009" s="21">
        <f>-$B$7050</f>
        <v/>
      </c>
      <c r="W8009" s="21">
        <f>-$B$7051</f>
        <v/>
      </c>
      <c r="X8009" s="21">
        <f>$B$7050+$D$7987</f>
        <v/>
      </c>
      <c r="Y8009" s="21">
        <f>-$B$7051</f>
        <v/>
      </c>
      <c r="Z8009" s="19" t="n"/>
    </row>
    <row r="8010">
      <c r="D8010" s="21" t="n">
        <v>0</v>
      </c>
      <c r="E8010" s="21" t="n">
        <v>0</v>
      </c>
      <c r="F8010" s="21" t="n">
        <v>0</v>
      </c>
      <c r="G8010" s="21" t="n">
        <v>0</v>
      </c>
      <c r="H8010" s="21" t="n">
        <v>0</v>
      </c>
      <c r="I8010" s="21" t="n">
        <v>0</v>
      </c>
      <c r="J8010" s="21" t="n">
        <v>0</v>
      </c>
      <c r="K8010" s="21" t="n">
        <v>0</v>
      </c>
      <c r="L8010" s="21" t="n">
        <v>0</v>
      </c>
      <c r="M8010" s="21" t="n">
        <v>0</v>
      </c>
      <c r="N8010" s="21" t="n">
        <v>0</v>
      </c>
      <c r="O8010" s="21" t="n">
        <v>0</v>
      </c>
      <c r="P8010" s="21" t="n">
        <v>0</v>
      </c>
      <c r="Q8010" s="21" t="n">
        <v>0</v>
      </c>
      <c r="R8010" s="21" t="n">
        <v>0</v>
      </c>
      <c r="S8010" s="21" t="n">
        <v>0</v>
      </c>
      <c r="T8010" s="21" t="n">
        <v>0</v>
      </c>
      <c r="U8010" s="21" t="n">
        <v>0</v>
      </c>
      <c r="V8010" s="21">
        <f>$B$7051</f>
        <v/>
      </c>
      <c r="W8010" s="21">
        <f>$B$7053</f>
        <v/>
      </c>
      <c r="X8010" s="21">
        <f>-$B$7051</f>
        <v/>
      </c>
      <c r="Y8010" s="21">
        <f>$B$7052</f>
        <v/>
      </c>
      <c r="Z8010" s="19" t="n"/>
    </row>
    <row r="8012">
      <c r="A8012" s="8" t="inlineStr">
        <is>
          <t>gen 26</t>
        </is>
      </c>
    </row>
    <row r="8013">
      <c r="D8013" s="19">
        <f>IF(ABS(IF(ABS($E$7977)&gt;0.000000001,$E$7977,0.000000001))=0,0,IF($E$7065&lt;=$B$7059,0,IF(ABS(IF(ABS($E$7977)&gt;0.000000001,$E$7977,0.000000001))&gt;=8*$B$7061,$H$7065,0.5*$H$7065*(ABS(IF(ABS($E$7977)&gt;0.000000001,$E$7977,0.000000001))/$B$7061)^(1/3)))/ABS(IF(ABS($E$7977)&gt;0.000000001,$E$7977,0.000000001))*$I$7065)</f>
        <v/>
      </c>
      <c r="E8013" s="19">
        <f>0.5*$E$7977+0.5*$Z$8025</f>
        <v/>
      </c>
      <c r="F8013" s="19">
        <f>$Z$8026</f>
        <v/>
      </c>
    </row>
    <row r="8014">
      <c r="D8014" s="19">
        <f>IF(ABS(IF(ABS($E$7978)&gt;0.000000001,$E$7978,0.000000001))=0,0,IF($E$7066&lt;=$B$7059,0,IF(ABS(IF(ABS($E$7978)&gt;0.000000001,$E$7978,0.000000001))&gt;=8*$B$7061,$H$7066,0.5*$H$7066*(ABS(IF(ABS($E$7978)&gt;0.000000001,$E$7978,0.000000001))/$B$7061)^(1/3)))/ABS(IF(ABS($E$7978)&gt;0.000000001,$E$7978,0.000000001))*$I$7066)</f>
        <v/>
      </c>
      <c r="E8014" s="19">
        <f>0.5*$E$7978+0.5*$Z$8027</f>
        <v/>
      </c>
      <c r="F8014" s="19">
        <f>$Z$8028</f>
        <v/>
      </c>
    </row>
    <row r="8015">
      <c r="D8015" s="19">
        <f>IF(ABS(IF(ABS($E$7979)&gt;0.000000001,$E$7979,0.000000001))=0,0,IF($E$7067&lt;=$B$7059,0,IF(ABS(IF(ABS($E$7979)&gt;0.000000001,$E$7979,0.000000001))&gt;=8*$B$7061,$H$7067,0.5*$H$7067*(ABS(IF(ABS($E$7979)&gt;0.000000001,$E$7979,0.000000001))/$B$7061)^(1/3)))/ABS(IF(ABS($E$7979)&gt;0.000000001,$E$7979,0.000000001))*$I$7067)</f>
        <v/>
      </c>
      <c r="E8015" s="19">
        <f>0.5*$E$7979+0.5*$Z$8029</f>
        <v/>
      </c>
      <c r="F8015" s="19">
        <f>$Z$8030</f>
        <v/>
      </c>
    </row>
    <row r="8016">
      <c r="D8016" s="19">
        <f>IF(ABS(IF(ABS($E$7980)&gt;0.000000001,$E$7980,0.000000001))=0,0,IF($E$7068&lt;=$B$7059,0,IF(ABS(IF(ABS($E$7980)&gt;0.000000001,$E$7980,0.000000001))&gt;=8*$B$7061,$H$7068,0.5*$H$7068*(ABS(IF(ABS($E$7980)&gt;0.000000001,$E$7980,0.000000001))/$B$7061)^(1/3)))/ABS(IF(ABS($E$7980)&gt;0.000000001,$E$7980,0.000000001))*$I$7068)</f>
        <v/>
      </c>
      <c r="E8016" s="19">
        <f>0.5*$E$7980+0.5*$Z$8031</f>
        <v/>
      </c>
      <c r="F8016" s="19">
        <f>$Z$8032</f>
        <v/>
      </c>
    </row>
    <row r="8017">
      <c r="D8017" s="19">
        <f>IF(ABS(IF(ABS($E$7981)&gt;0.000000001,$E$7981,0.000000001))=0,0,IF($E$7069&lt;=$B$7059,0,IF(ABS(IF(ABS($E$7981)&gt;0.000000001,$E$7981,0.000000001))&gt;=8*$B$7061,$H$7069,0.5*$H$7069*(ABS(IF(ABS($E$7981)&gt;0.000000001,$E$7981,0.000000001))/$B$7061)^(1/3)))/ABS(IF(ABS($E$7981)&gt;0.000000001,$E$7981,0.000000001))*$I$7069)</f>
        <v/>
      </c>
      <c r="E8017" s="19">
        <f>0.5*$E$7981+0.5*$Z$8033</f>
        <v/>
      </c>
      <c r="F8017" s="19">
        <f>$Z$8034</f>
        <v/>
      </c>
    </row>
    <row r="8018">
      <c r="D8018" s="19">
        <f>IF(ABS(IF(ABS($E$7982)&gt;0.000000001,$E$7982,0.000000001))=0,0,IF($E$7070&lt;=$B$7059,0,IF(ABS(IF(ABS($E$7982)&gt;0.000000001,$E$7982,0.000000001))&gt;=8*$B$7061,$H$7070,0.5*$H$7070*(ABS(IF(ABS($E$7982)&gt;0.000000001,$E$7982,0.000000001))/$B$7061)^(1/3)))/ABS(IF(ABS($E$7982)&gt;0.000000001,$E$7982,0.000000001))*$I$7070)</f>
        <v/>
      </c>
      <c r="E8018" s="19">
        <f>0.5*$E$7982+0.5*$Z$8035</f>
        <v/>
      </c>
      <c r="F8018" s="19">
        <f>$Z$8036</f>
        <v/>
      </c>
    </row>
    <row r="8019">
      <c r="D8019" s="19">
        <f>IF(ABS(IF(ABS($E$7983)&gt;0.000000001,$E$7983,0.000000001))=0,0,IF($E$7071&lt;=$B$7059,0,IF(ABS(IF(ABS($E$7983)&gt;0.000000001,$E$7983,0.000000001))&gt;=8*$B$7061,$H$7071,0.5*$H$7071*(ABS(IF(ABS($E$7983)&gt;0.000000001,$E$7983,0.000000001))/$B$7061)^(1/3)))/ABS(IF(ABS($E$7983)&gt;0.000000001,$E$7983,0.000000001))*$I$7071)</f>
        <v/>
      </c>
      <c r="E8019" s="19">
        <f>0.5*$E$7983+0.5*$Z$8037</f>
        <v/>
      </c>
      <c r="F8019" s="19">
        <f>$Z$8038</f>
        <v/>
      </c>
    </row>
    <row r="8020">
      <c r="D8020" s="19">
        <f>IF(ABS(IF(ABS($E$7984)&gt;0.000000001,$E$7984,0.000000001))=0,0,IF($E$7072&lt;=$B$7059,0,IF(ABS(IF(ABS($E$7984)&gt;0.000000001,$E$7984,0.000000001))&gt;=8*$B$7061,$H$7072,0.5*$H$7072*(ABS(IF(ABS($E$7984)&gt;0.000000001,$E$7984,0.000000001))/$B$7061)^(1/3)))/ABS(IF(ABS($E$7984)&gt;0.000000001,$E$7984,0.000000001))*$I$7072)</f>
        <v/>
      </c>
      <c r="E8020" s="19">
        <f>0.5*$E$7984+0.5*$Z$8039</f>
        <v/>
      </c>
      <c r="F8020" s="19">
        <f>$Z$8040</f>
        <v/>
      </c>
    </row>
    <row r="8021">
      <c r="D8021" s="19">
        <f>IF(ABS(IF(ABS($E$7985)&gt;0.000000001,$E$7985,0.000000001))=0,0,IF($E$7073&lt;=$B$7059,0,IF(ABS(IF(ABS($E$7985)&gt;0.000000001,$E$7985,0.000000001))&gt;=8*$B$7061,$H$7073,0.5*$H$7073*(ABS(IF(ABS($E$7985)&gt;0.000000001,$E$7985,0.000000001))/$B$7061)^(1/3)))/ABS(IF(ABS($E$7985)&gt;0.000000001,$E$7985,0.000000001))*$I$7073)</f>
        <v/>
      </c>
      <c r="E8021" s="19">
        <f>0.5*$E$7985+0.5*$Z$8041</f>
        <v/>
      </c>
      <c r="F8021" s="19">
        <f>$Z$8042</f>
        <v/>
      </c>
    </row>
    <row r="8022">
      <c r="D8022" s="19">
        <f>IF(ABS(IF(ABS($E$7986)&gt;0.000000001,$E$7986,0.000000001))=0,0,IF($E$7074&lt;=$B$7059,0,IF(ABS(IF(ABS($E$7986)&gt;0.000000001,$E$7986,0.000000001))&gt;=8*$B$7061,$H$7074,0.5*$H$7074*(ABS(IF(ABS($E$7986)&gt;0.000000001,$E$7986,0.000000001))/$B$7061)^(1/3)))/ABS(IF(ABS($E$7986)&gt;0.000000001,$E$7986,0.000000001))*$I$7074)</f>
        <v/>
      </c>
      <c r="E8022" s="19">
        <f>0.5*$E$7986+0.5*$Z$8043</f>
        <v/>
      </c>
      <c r="F8022" s="19">
        <f>$Z$8044</f>
        <v/>
      </c>
    </row>
    <row r="8023">
      <c r="D8023" s="19">
        <f>IF(ABS(IF(ABS($E$7987)&gt;0.000000001,$E$7987,0.000000001))=0,0,IF($E$7075&lt;=$B$7059,0,IF(ABS(IF(ABS($E$7987)&gt;0.000000001,$E$7987,0.000000001))&gt;=8*$B$7061,$H$7075,0.5*$H$7075*(ABS(IF(ABS($E$7987)&gt;0.000000001,$E$7987,0.000000001))/$B$7061)^(1/3)))/ABS(IF(ABS($E$7987)&gt;0.000000001,$E$7987,0.000000001))*$I$7075)</f>
        <v/>
      </c>
      <c r="E8023" s="19">
        <f>0.5*$E$7987+0.5*$Z$8045</f>
        <v/>
      </c>
      <c r="F8023" s="19">
        <f>$Z$8046</f>
        <v/>
      </c>
    </row>
    <row r="8025">
      <c r="D8025" s="21">
        <f>$B$7050+$D$8013</f>
        <v/>
      </c>
      <c r="E8025" s="21">
        <f>$B$7051</f>
        <v/>
      </c>
      <c r="F8025" s="21">
        <f>-$B$7050</f>
        <v/>
      </c>
      <c r="G8025" s="21">
        <f>$B$7051</f>
        <v/>
      </c>
      <c r="H8025" s="21" t="n">
        <v>0</v>
      </c>
      <c r="I8025" s="21" t="n">
        <v>0</v>
      </c>
      <c r="J8025" s="21" t="n">
        <v>0</v>
      </c>
      <c r="K8025" s="21" t="n">
        <v>0</v>
      </c>
      <c r="L8025" s="21" t="n">
        <v>0</v>
      </c>
      <c r="M8025" s="21" t="n">
        <v>0</v>
      </c>
      <c r="N8025" s="21" t="n">
        <v>0</v>
      </c>
      <c r="O8025" s="21" t="n">
        <v>0</v>
      </c>
      <c r="P8025" s="21" t="n">
        <v>0</v>
      </c>
      <c r="Q8025" s="21" t="n">
        <v>0</v>
      </c>
      <c r="R8025" s="21" t="n">
        <v>0</v>
      </c>
      <c r="S8025" s="21" t="n">
        <v>0</v>
      </c>
      <c r="T8025" s="21" t="n">
        <v>0</v>
      </c>
      <c r="U8025" s="21" t="n">
        <v>0</v>
      </c>
      <c r="V8025" s="21" t="n">
        <v>0</v>
      </c>
      <c r="W8025" s="21" t="n">
        <v>0</v>
      </c>
      <c r="X8025" s="21" t="n">
        <v>0</v>
      </c>
      <c r="Y8025" s="21" t="n">
        <v>0</v>
      </c>
      <c r="Z8025" s="19">
        <f t="array" ref="Z8025:Z8046">MMULT(MINVERSE($D$8025:$Y$8046),$D$7077:$D$7098)</f>
        <v/>
      </c>
    </row>
    <row r="8026">
      <c r="D8026" s="21">
        <f>$B$7051</f>
        <v/>
      </c>
      <c r="E8026" s="21">
        <f>$B$7052</f>
        <v/>
      </c>
      <c r="F8026" s="21">
        <f>-$B$7051</f>
        <v/>
      </c>
      <c r="G8026" s="21">
        <f>$B$7053</f>
        <v/>
      </c>
      <c r="H8026" s="21" t="n">
        <v>0</v>
      </c>
      <c r="I8026" s="21" t="n">
        <v>0</v>
      </c>
      <c r="J8026" s="21" t="n">
        <v>0</v>
      </c>
      <c r="K8026" s="21" t="n">
        <v>0</v>
      </c>
      <c r="L8026" s="21" t="n">
        <v>0</v>
      </c>
      <c r="M8026" s="21" t="n">
        <v>0</v>
      </c>
      <c r="N8026" s="21" t="n">
        <v>0</v>
      </c>
      <c r="O8026" s="21" t="n">
        <v>0</v>
      </c>
      <c r="P8026" s="21" t="n">
        <v>0</v>
      </c>
      <c r="Q8026" s="21" t="n">
        <v>0</v>
      </c>
      <c r="R8026" s="21" t="n">
        <v>0</v>
      </c>
      <c r="S8026" s="21" t="n">
        <v>0</v>
      </c>
      <c r="T8026" s="21" t="n">
        <v>0</v>
      </c>
      <c r="U8026" s="21" t="n">
        <v>0</v>
      </c>
      <c r="V8026" s="21" t="n">
        <v>0</v>
      </c>
      <c r="W8026" s="21" t="n">
        <v>0</v>
      </c>
      <c r="X8026" s="21" t="n">
        <v>0</v>
      </c>
      <c r="Y8026" s="21" t="n">
        <v>0</v>
      </c>
      <c r="Z8026" s="19" t="n"/>
    </row>
    <row r="8027">
      <c r="D8027" s="21">
        <f>-$B$7050</f>
        <v/>
      </c>
      <c r="E8027" s="21">
        <f>-$B$7051</f>
        <v/>
      </c>
      <c r="F8027" s="21">
        <f>2*$B$7050+$D$8014</f>
        <v/>
      </c>
      <c r="G8027" s="21">
        <f>0</f>
        <v/>
      </c>
      <c r="H8027" s="21">
        <f>-$B$7050</f>
        <v/>
      </c>
      <c r="I8027" s="21">
        <f>$B$7051</f>
        <v/>
      </c>
      <c r="J8027" s="21" t="n">
        <v>0</v>
      </c>
      <c r="K8027" s="21" t="n">
        <v>0</v>
      </c>
      <c r="L8027" s="21" t="n">
        <v>0</v>
      </c>
      <c r="M8027" s="21" t="n">
        <v>0</v>
      </c>
      <c r="N8027" s="21" t="n">
        <v>0</v>
      </c>
      <c r="O8027" s="21" t="n">
        <v>0</v>
      </c>
      <c r="P8027" s="21" t="n">
        <v>0</v>
      </c>
      <c r="Q8027" s="21" t="n">
        <v>0</v>
      </c>
      <c r="R8027" s="21" t="n">
        <v>0</v>
      </c>
      <c r="S8027" s="21" t="n">
        <v>0</v>
      </c>
      <c r="T8027" s="21" t="n">
        <v>0</v>
      </c>
      <c r="U8027" s="21" t="n">
        <v>0</v>
      </c>
      <c r="V8027" s="21" t="n">
        <v>0</v>
      </c>
      <c r="W8027" s="21" t="n">
        <v>0</v>
      </c>
      <c r="X8027" s="21" t="n">
        <v>0</v>
      </c>
      <c r="Y8027" s="21" t="n">
        <v>0</v>
      </c>
      <c r="Z8027" s="19" t="n"/>
    </row>
    <row r="8028">
      <c r="D8028" s="21">
        <f>$B$7051</f>
        <v/>
      </c>
      <c r="E8028" s="21">
        <f>$B$7053</f>
        <v/>
      </c>
      <c r="F8028" s="21">
        <f>0</f>
        <v/>
      </c>
      <c r="G8028" s="21">
        <f>2*$B$7052</f>
        <v/>
      </c>
      <c r="H8028" s="21">
        <f>-$B$7051</f>
        <v/>
      </c>
      <c r="I8028" s="21">
        <f>$B$7053</f>
        <v/>
      </c>
      <c r="J8028" s="21" t="n">
        <v>0</v>
      </c>
      <c r="K8028" s="21" t="n">
        <v>0</v>
      </c>
      <c r="L8028" s="21" t="n">
        <v>0</v>
      </c>
      <c r="M8028" s="21" t="n">
        <v>0</v>
      </c>
      <c r="N8028" s="21" t="n">
        <v>0</v>
      </c>
      <c r="O8028" s="21" t="n">
        <v>0</v>
      </c>
      <c r="P8028" s="21" t="n">
        <v>0</v>
      </c>
      <c r="Q8028" s="21" t="n">
        <v>0</v>
      </c>
      <c r="R8028" s="21" t="n">
        <v>0</v>
      </c>
      <c r="S8028" s="21" t="n">
        <v>0</v>
      </c>
      <c r="T8028" s="21" t="n">
        <v>0</v>
      </c>
      <c r="U8028" s="21" t="n">
        <v>0</v>
      </c>
      <c r="V8028" s="21" t="n">
        <v>0</v>
      </c>
      <c r="W8028" s="21" t="n">
        <v>0</v>
      </c>
      <c r="X8028" s="21" t="n">
        <v>0</v>
      </c>
      <c r="Y8028" s="21" t="n">
        <v>0</v>
      </c>
      <c r="Z8028" s="19" t="n"/>
    </row>
    <row r="8029">
      <c r="D8029" s="21" t="n">
        <v>0</v>
      </c>
      <c r="E8029" s="21" t="n">
        <v>0</v>
      </c>
      <c r="F8029" s="21">
        <f>-$B$7050</f>
        <v/>
      </c>
      <c r="G8029" s="21">
        <f>-$B$7051</f>
        <v/>
      </c>
      <c r="H8029" s="21">
        <f>2*$B$7050+$D$8015</f>
        <v/>
      </c>
      <c r="I8029" s="21">
        <f>0</f>
        <v/>
      </c>
      <c r="J8029" s="21">
        <f>-$B$7050</f>
        <v/>
      </c>
      <c r="K8029" s="21">
        <f>$B$7051</f>
        <v/>
      </c>
      <c r="L8029" s="21" t="n">
        <v>0</v>
      </c>
      <c r="M8029" s="21" t="n">
        <v>0</v>
      </c>
      <c r="N8029" s="21" t="n">
        <v>0</v>
      </c>
      <c r="O8029" s="21" t="n">
        <v>0</v>
      </c>
      <c r="P8029" s="21" t="n">
        <v>0</v>
      </c>
      <c r="Q8029" s="21" t="n">
        <v>0</v>
      </c>
      <c r="R8029" s="21" t="n">
        <v>0</v>
      </c>
      <c r="S8029" s="21" t="n">
        <v>0</v>
      </c>
      <c r="T8029" s="21" t="n">
        <v>0</v>
      </c>
      <c r="U8029" s="21" t="n">
        <v>0</v>
      </c>
      <c r="V8029" s="21" t="n">
        <v>0</v>
      </c>
      <c r="W8029" s="21" t="n">
        <v>0</v>
      </c>
      <c r="X8029" s="21" t="n">
        <v>0</v>
      </c>
      <c r="Y8029" s="21" t="n">
        <v>0</v>
      </c>
      <c r="Z8029" s="19" t="n"/>
    </row>
    <row r="8030">
      <c r="D8030" s="21" t="n">
        <v>0</v>
      </c>
      <c r="E8030" s="21" t="n">
        <v>0</v>
      </c>
      <c r="F8030" s="21">
        <f>$B$7051</f>
        <v/>
      </c>
      <c r="G8030" s="21">
        <f>$B$7053</f>
        <v/>
      </c>
      <c r="H8030" s="21">
        <f>0</f>
        <v/>
      </c>
      <c r="I8030" s="21">
        <f>2*$B$7052</f>
        <v/>
      </c>
      <c r="J8030" s="21">
        <f>-$B$7051</f>
        <v/>
      </c>
      <c r="K8030" s="21">
        <f>$B$7053</f>
        <v/>
      </c>
      <c r="L8030" s="21" t="n">
        <v>0</v>
      </c>
      <c r="M8030" s="21" t="n">
        <v>0</v>
      </c>
      <c r="N8030" s="21" t="n">
        <v>0</v>
      </c>
      <c r="O8030" s="21" t="n">
        <v>0</v>
      </c>
      <c r="P8030" s="21" t="n">
        <v>0</v>
      </c>
      <c r="Q8030" s="21" t="n">
        <v>0</v>
      </c>
      <c r="R8030" s="21" t="n">
        <v>0</v>
      </c>
      <c r="S8030" s="21" t="n">
        <v>0</v>
      </c>
      <c r="T8030" s="21" t="n">
        <v>0</v>
      </c>
      <c r="U8030" s="21" t="n">
        <v>0</v>
      </c>
      <c r="V8030" s="21" t="n">
        <v>0</v>
      </c>
      <c r="W8030" s="21" t="n">
        <v>0</v>
      </c>
      <c r="X8030" s="21" t="n">
        <v>0</v>
      </c>
      <c r="Y8030" s="21" t="n">
        <v>0</v>
      </c>
      <c r="Z8030" s="19" t="n"/>
    </row>
    <row r="8031">
      <c r="D8031" s="21" t="n">
        <v>0</v>
      </c>
      <c r="E8031" s="21" t="n">
        <v>0</v>
      </c>
      <c r="F8031" s="21" t="n">
        <v>0</v>
      </c>
      <c r="G8031" s="21" t="n">
        <v>0</v>
      </c>
      <c r="H8031" s="21">
        <f>-$B$7050</f>
        <v/>
      </c>
      <c r="I8031" s="21">
        <f>-$B$7051</f>
        <v/>
      </c>
      <c r="J8031" s="21">
        <f>2*$B$7050+$D$8016</f>
        <v/>
      </c>
      <c r="K8031" s="21">
        <f>0</f>
        <v/>
      </c>
      <c r="L8031" s="21">
        <f>-$B$7050</f>
        <v/>
      </c>
      <c r="M8031" s="21">
        <f>$B$7051</f>
        <v/>
      </c>
      <c r="N8031" s="21" t="n">
        <v>0</v>
      </c>
      <c r="O8031" s="21" t="n">
        <v>0</v>
      </c>
      <c r="P8031" s="21" t="n">
        <v>0</v>
      </c>
      <c r="Q8031" s="21" t="n">
        <v>0</v>
      </c>
      <c r="R8031" s="21" t="n">
        <v>0</v>
      </c>
      <c r="S8031" s="21" t="n">
        <v>0</v>
      </c>
      <c r="T8031" s="21" t="n">
        <v>0</v>
      </c>
      <c r="U8031" s="21" t="n">
        <v>0</v>
      </c>
      <c r="V8031" s="21" t="n">
        <v>0</v>
      </c>
      <c r="W8031" s="21" t="n">
        <v>0</v>
      </c>
      <c r="X8031" s="21" t="n">
        <v>0</v>
      </c>
      <c r="Y8031" s="21" t="n">
        <v>0</v>
      </c>
      <c r="Z8031" s="19" t="n"/>
    </row>
    <row r="8032">
      <c r="D8032" s="21" t="n">
        <v>0</v>
      </c>
      <c r="E8032" s="21" t="n">
        <v>0</v>
      </c>
      <c r="F8032" s="21" t="n">
        <v>0</v>
      </c>
      <c r="G8032" s="21" t="n">
        <v>0</v>
      </c>
      <c r="H8032" s="21">
        <f>$B$7051</f>
        <v/>
      </c>
      <c r="I8032" s="21">
        <f>$B$7053</f>
        <v/>
      </c>
      <c r="J8032" s="21">
        <f>0</f>
        <v/>
      </c>
      <c r="K8032" s="21">
        <f>2*$B$7052</f>
        <v/>
      </c>
      <c r="L8032" s="21">
        <f>-$B$7051</f>
        <v/>
      </c>
      <c r="M8032" s="21">
        <f>$B$7053</f>
        <v/>
      </c>
      <c r="N8032" s="21" t="n">
        <v>0</v>
      </c>
      <c r="O8032" s="21" t="n">
        <v>0</v>
      </c>
      <c r="P8032" s="21" t="n">
        <v>0</v>
      </c>
      <c r="Q8032" s="21" t="n">
        <v>0</v>
      </c>
      <c r="R8032" s="21" t="n">
        <v>0</v>
      </c>
      <c r="S8032" s="21" t="n">
        <v>0</v>
      </c>
      <c r="T8032" s="21" t="n">
        <v>0</v>
      </c>
      <c r="U8032" s="21" t="n">
        <v>0</v>
      </c>
      <c r="V8032" s="21" t="n">
        <v>0</v>
      </c>
      <c r="W8032" s="21" t="n">
        <v>0</v>
      </c>
      <c r="X8032" s="21" t="n">
        <v>0</v>
      </c>
      <c r="Y8032" s="21" t="n">
        <v>0</v>
      </c>
      <c r="Z8032" s="19" t="n"/>
    </row>
    <row r="8033">
      <c r="D8033" s="21" t="n">
        <v>0</v>
      </c>
      <c r="E8033" s="21" t="n">
        <v>0</v>
      </c>
      <c r="F8033" s="21" t="n">
        <v>0</v>
      </c>
      <c r="G8033" s="21" t="n">
        <v>0</v>
      </c>
      <c r="H8033" s="21" t="n">
        <v>0</v>
      </c>
      <c r="I8033" s="21" t="n">
        <v>0</v>
      </c>
      <c r="J8033" s="21">
        <f>-$B$7050</f>
        <v/>
      </c>
      <c r="K8033" s="21">
        <f>-$B$7051</f>
        <v/>
      </c>
      <c r="L8033" s="21">
        <f>2*$B$7050+$D$8017</f>
        <v/>
      </c>
      <c r="M8033" s="21">
        <f>0</f>
        <v/>
      </c>
      <c r="N8033" s="21">
        <f>-$B$7050</f>
        <v/>
      </c>
      <c r="O8033" s="21">
        <f>$B$7051</f>
        <v/>
      </c>
      <c r="P8033" s="21" t="n">
        <v>0</v>
      </c>
      <c r="Q8033" s="21" t="n">
        <v>0</v>
      </c>
      <c r="R8033" s="21" t="n">
        <v>0</v>
      </c>
      <c r="S8033" s="21" t="n">
        <v>0</v>
      </c>
      <c r="T8033" s="21" t="n">
        <v>0</v>
      </c>
      <c r="U8033" s="21" t="n">
        <v>0</v>
      </c>
      <c r="V8033" s="21" t="n">
        <v>0</v>
      </c>
      <c r="W8033" s="21" t="n">
        <v>0</v>
      </c>
      <c r="X8033" s="21" t="n">
        <v>0</v>
      </c>
      <c r="Y8033" s="21" t="n">
        <v>0</v>
      </c>
      <c r="Z8033" s="19" t="n"/>
    </row>
    <row r="8034">
      <c r="D8034" s="21" t="n">
        <v>0</v>
      </c>
      <c r="E8034" s="21" t="n">
        <v>0</v>
      </c>
      <c r="F8034" s="21" t="n">
        <v>0</v>
      </c>
      <c r="G8034" s="21" t="n">
        <v>0</v>
      </c>
      <c r="H8034" s="21" t="n">
        <v>0</v>
      </c>
      <c r="I8034" s="21" t="n">
        <v>0</v>
      </c>
      <c r="J8034" s="21">
        <f>$B$7051</f>
        <v/>
      </c>
      <c r="K8034" s="21">
        <f>$B$7053</f>
        <v/>
      </c>
      <c r="L8034" s="21">
        <f>0</f>
        <v/>
      </c>
      <c r="M8034" s="21">
        <f>2*$B$7052</f>
        <v/>
      </c>
      <c r="N8034" s="21">
        <f>-$B$7051</f>
        <v/>
      </c>
      <c r="O8034" s="21">
        <f>$B$7053</f>
        <v/>
      </c>
      <c r="P8034" s="21" t="n">
        <v>0</v>
      </c>
      <c r="Q8034" s="21" t="n">
        <v>0</v>
      </c>
      <c r="R8034" s="21" t="n">
        <v>0</v>
      </c>
      <c r="S8034" s="21" t="n">
        <v>0</v>
      </c>
      <c r="T8034" s="21" t="n">
        <v>0</v>
      </c>
      <c r="U8034" s="21" t="n">
        <v>0</v>
      </c>
      <c r="V8034" s="21" t="n">
        <v>0</v>
      </c>
      <c r="W8034" s="21" t="n">
        <v>0</v>
      </c>
      <c r="X8034" s="21" t="n">
        <v>0</v>
      </c>
      <c r="Y8034" s="21" t="n">
        <v>0</v>
      </c>
      <c r="Z8034" s="19" t="n"/>
    </row>
    <row r="8035">
      <c r="D8035" s="21" t="n">
        <v>0</v>
      </c>
      <c r="E8035" s="21" t="n">
        <v>0</v>
      </c>
      <c r="F8035" s="21" t="n">
        <v>0</v>
      </c>
      <c r="G8035" s="21" t="n">
        <v>0</v>
      </c>
      <c r="H8035" s="21" t="n">
        <v>0</v>
      </c>
      <c r="I8035" s="21" t="n">
        <v>0</v>
      </c>
      <c r="J8035" s="21" t="n">
        <v>0</v>
      </c>
      <c r="K8035" s="21" t="n">
        <v>0</v>
      </c>
      <c r="L8035" s="21">
        <f>-$B$7050</f>
        <v/>
      </c>
      <c r="M8035" s="21">
        <f>-$B$7051</f>
        <v/>
      </c>
      <c r="N8035" s="21">
        <f>2*$B$7050+$D$8018</f>
        <v/>
      </c>
      <c r="O8035" s="21">
        <f>0</f>
        <v/>
      </c>
      <c r="P8035" s="21">
        <f>-$B$7050</f>
        <v/>
      </c>
      <c r="Q8035" s="21">
        <f>$B$7051</f>
        <v/>
      </c>
      <c r="R8035" s="21" t="n">
        <v>0</v>
      </c>
      <c r="S8035" s="21" t="n">
        <v>0</v>
      </c>
      <c r="T8035" s="21" t="n">
        <v>0</v>
      </c>
      <c r="U8035" s="21" t="n">
        <v>0</v>
      </c>
      <c r="V8035" s="21" t="n">
        <v>0</v>
      </c>
      <c r="W8035" s="21" t="n">
        <v>0</v>
      </c>
      <c r="X8035" s="21" t="n">
        <v>0</v>
      </c>
      <c r="Y8035" s="21" t="n">
        <v>0</v>
      </c>
      <c r="Z8035" s="19" t="n"/>
    </row>
    <row r="8036">
      <c r="D8036" s="21" t="n">
        <v>0</v>
      </c>
      <c r="E8036" s="21" t="n">
        <v>0</v>
      </c>
      <c r="F8036" s="21" t="n">
        <v>0</v>
      </c>
      <c r="G8036" s="21" t="n">
        <v>0</v>
      </c>
      <c r="H8036" s="21" t="n">
        <v>0</v>
      </c>
      <c r="I8036" s="21" t="n">
        <v>0</v>
      </c>
      <c r="J8036" s="21" t="n">
        <v>0</v>
      </c>
      <c r="K8036" s="21" t="n">
        <v>0</v>
      </c>
      <c r="L8036" s="21">
        <f>$B$7051</f>
        <v/>
      </c>
      <c r="M8036" s="21">
        <f>$B$7053</f>
        <v/>
      </c>
      <c r="N8036" s="21">
        <f>0</f>
        <v/>
      </c>
      <c r="O8036" s="21">
        <f>2*$B$7052</f>
        <v/>
      </c>
      <c r="P8036" s="21">
        <f>-$B$7051</f>
        <v/>
      </c>
      <c r="Q8036" s="21">
        <f>$B$7053</f>
        <v/>
      </c>
      <c r="R8036" s="21" t="n">
        <v>0</v>
      </c>
      <c r="S8036" s="21" t="n">
        <v>0</v>
      </c>
      <c r="T8036" s="21" t="n">
        <v>0</v>
      </c>
      <c r="U8036" s="21" t="n">
        <v>0</v>
      </c>
      <c r="V8036" s="21" t="n">
        <v>0</v>
      </c>
      <c r="W8036" s="21" t="n">
        <v>0</v>
      </c>
      <c r="X8036" s="21" t="n">
        <v>0</v>
      </c>
      <c r="Y8036" s="21" t="n">
        <v>0</v>
      </c>
      <c r="Z8036" s="19" t="n"/>
    </row>
    <row r="8037">
      <c r="D8037" s="21" t="n">
        <v>0</v>
      </c>
      <c r="E8037" s="21" t="n">
        <v>0</v>
      </c>
      <c r="F8037" s="21" t="n">
        <v>0</v>
      </c>
      <c r="G8037" s="21" t="n">
        <v>0</v>
      </c>
      <c r="H8037" s="21" t="n">
        <v>0</v>
      </c>
      <c r="I8037" s="21" t="n">
        <v>0</v>
      </c>
      <c r="J8037" s="21" t="n">
        <v>0</v>
      </c>
      <c r="K8037" s="21" t="n">
        <v>0</v>
      </c>
      <c r="L8037" s="21" t="n">
        <v>0</v>
      </c>
      <c r="M8037" s="21" t="n">
        <v>0</v>
      </c>
      <c r="N8037" s="21">
        <f>-$B$7050</f>
        <v/>
      </c>
      <c r="O8037" s="21">
        <f>-$B$7051</f>
        <v/>
      </c>
      <c r="P8037" s="21">
        <f>2*$B$7050+$D$8019</f>
        <v/>
      </c>
      <c r="Q8037" s="21">
        <f>0</f>
        <v/>
      </c>
      <c r="R8037" s="21">
        <f>-$B$7050</f>
        <v/>
      </c>
      <c r="S8037" s="21">
        <f>$B$7051</f>
        <v/>
      </c>
      <c r="T8037" s="21" t="n">
        <v>0</v>
      </c>
      <c r="U8037" s="21" t="n">
        <v>0</v>
      </c>
      <c r="V8037" s="21" t="n">
        <v>0</v>
      </c>
      <c r="W8037" s="21" t="n">
        <v>0</v>
      </c>
      <c r="X8037" s="21" t="n">
        <v>0</v>
      </c>
      <c r="Y8037" s="21" t="n">
        <v>0</v>
      </c>
      <c r="Z8037" s="19" t="n"/>
    </row>
    <row r="8038">
      <c r="D8038" s="21" t="n">
        <v>0</v>
      </c>
      <c r="E8038" s="21" t="n">
        <v>0</v>
      </c>
      <c r="F8038" s="21" t="n">
        <v>0</v>
      </c>
      <c r="G8038" s="21" t="n">
        <v>0</v>
      </c>
      <c r="H8038" s="21" t="n">
        <v>0</v>
      </c>
      <c r="I8038" s="21" t="n">
        <v>0</v>
      </c>
      <c r="J8038" s="21" t="n">
        <v>0</v>
      </c>
      <c r="K8038" s="21" t="n">
        <v>0</v>
      </c>
      <c r="L8038" s="21" t="n">
        <v>0</v>
      </c>
      <c r="M8038" s="21" t="n">
        <v>0</v>
      </c>
      <c r="N8038" s="21">
        <f>$B$7051</f>
        <v/>
      </c>
      <c r="O8038" s="21">
        <f>$B$7053</f>
        <v/>
      </c>
      <c r="P8038" s="21">
        <f>0</f>
        <v/>
      </c>
      <c r="Q8038" s="21">
        <f>2*$B$7052</f>
        <v/>
      </c>
      <c r="R8038" s="21">
        <f>-$B$7051</f>
        <v/>
      </c>
      <c r="S8038" s="21">
        <f>$B$7053</f>
        <v/>
      </c>
      <c r="T8038" s="21" t="n">
        <v>0</v>
      </c>
      <c r="U8038" s="21" t="n">
        <v>0</v>
      </c>
      <c r="V8038" s="21" t="n">
        <v>0</v>
      </c>
      <c r="W8038" s="21" t="n">
        <v>0</v>
      </c>
      <c r="X8038" s="21" t="n">
        <v>0</v>
      </c>
      <c r="Y8038" s="21" t="n">
        <v>0</v>
      </c>
      <c r="Z8038" s="19" t="n"/>
    </row>
    <row r="8039">
      <c r="D8039" s="21" t="n">
        <v>0</v>
      </c>
      <c r="E8039" s="21" t="n">
        <v>0</v>
      </c>
      <c r="F8039" s="21" t="n">
        <v>0</v>
      </c>
      <c r="G8039" s="21" t="n">
        <v>0</v>
      </c>
      <c r="H8039" s="21" t="n">
        <v>0</v>
      </c>
      <c r="I8039" s="21" t="n">
        <v>0</v>
      </c>
      <c r="J8039" s="21" t="n">
        <v>0</v>
      </c>
      <c r="K8039" s="21" t="n">
        <v>0</v>
      </c>
      <c r="L8039" s="21" t="n">
        <v>0</v>
      </c>
      <c r="M8039" s="21" t="n">
        <v>0</v>
      </c>
      <c r="N8039" s="21" t="n">
        <v>0</v>
      </c>
      <c r="O8039" s="21" t="n">
        <v>0</v>
      </c>
      <c r="P8039" s="21">
        <f>-$B$7050</f>
        <v/>
      </c>
      <c r="Q8039" s="21">
        <f>-$B$7051</f>
        <v/>
      </c>
      <c r="R8039" s="21">
        <f>2*$B$7050+$D$8020</f>
        <v/>
      </c>
      <c r="S8039" s="21">
        <f>0</f>
        <v/>
      </c>
      <c r="T8039" s="21">
        <f>-$B$7050</f>
        <v/>
      </c>
      <c r="U8039" s="21">
        <f>$B$7051</f>
        <v/>
      </c>
      <c r="V8039" s="21" t="n">
        <v>0</v>
      </c>
      <c r="W8039" s="21" t="n">
        <v>0</v>
      </c>
      <c r="X8039" s="21" t="n">
        <v>0</v>
      </c>
      <c r="Y8039" s="21" t="n">
        <v>0</v>
      </c>
      <c r="Z8039" s="19" t="n"/>
    </row>
    <row r="8040">
      <c r="D8040" s="21" t="n">
        <v>0</v>
      </c>
      <c r="E8040" s="21" t="n">
        <v>0</v>
      </c>
      <c r="F8040" s="21" t="n">
        <v>0</v>
      </c>
      <c r="G8040" s="21" t="n">
        <v>0</v>
      </c>
      <c r="H8040" s="21" t="n">
        <v>0</v>
      </c>
      <c r="I8040" s="21" t="n">
        <v>0</v>
      </c>
      <c r="J8040" s="21" t="n">
        <v>0</v>
      </c>
      <c r="K8040" s="21" t="n">
        <v>0</v>
      </c>
      <c r="L8040" s="21" t="n">
        <v>0</v>
      </c>
      <c r="M8040" s="21" t="n">
        <v>0</v>
      </c>
      <c r="N8040" s="21" t="n">
        <v>0</v>
      </c>
      <c r="O8040" s="21" t="n">
        <v>0</v>
      </c>
      <c r="P8040" s="21">
        <f>$B$7051</f>
        <v/>
      </c>
      <c r="Q8040" s="21">
        <f>$B$7053</f>
        <v/>
      </c>
      <c r="R8040" s="21">
        <f>0</f>
        <v/>
      </c>
      <c r="S8040" s="21">
        <f>2*$B$7052</f>
        <v/>
      </c>
      <c r="T8040" s="21">
        <f>-$B$7051</f>
        <v/>
      </c>
      <c r="U8040" s="21">
        <f>$B$7053</f>
        <v/>
      </c>
      <c r="V8040" s="21" t="n">
        <v>0</v>
      </c>
      <c r="W8040" s="21" t="n">
        <v>0</v>
      </c>
      <c r="X8040" s="21" t="n">
        <v>0</v>
      </c>
      <c r="Y8040" s="21" t="n">
        <v>0</v>
      </c>
      <c r="Z8040" s="19" t="n"/>
    </row>
    <row r="8041">
      <c r="D8041" s="21" t="n">
        <v>0</v>
      </c>
      <c r="E8041" s="21" t="n">
        <v>0</v>
      </c>
      <c r="F8041" s="21" t="n">
        <v>0</v>
      </c>
      <c r="G8041" s="21" t="n">
        <v>0</v>
      </c>
      <c r="H8041" s="21" t="n">
        <v>0</v>
      </c>
      <c r="I8041" s="21" t="n">
        <v>0</v>
      </c>
      <c r="J8041" s="21" t="n">
        <v>0</v>
      </c>
      <c r="K8041" s="21" t="n">
        <v>0</v>
      </c>
      <c r="L8041" s="21" t="n">
        <v>0</v>
      </c>
      <c r="M8041" s="21" t="n">
        <v>0</v>
      </c>
      <c r="N8041" s="21" t="n">
        <v>0</v>
      </c>
      <c r="O8041" s="21" t="n">
        <v>0</v>
      </c>
      <c r="P8041" s="21" t="n">
        <v>0</v>
      </c>
      <c r="Q8041" s="21" t="n">
        <v>0</v>
      </c>
      <c r="R8041" s="21">
        <f>-$B$7050</f>
        <v/>
      </c>
      <c r="S8041" s="21">
        <f>-$B$7051</f>
        <v/>
      </c>
      <c r="T8041" s="21">
        <f>2*$B$7050+$D$8021</f>
        <v/>
      </c>
      <c r="U8041" s="21">
        <f>0</f>
        <v/>
      </c>
      <c r="V8041" s="21">
        <f>-$B$7050</f>
        <v/>
      </c>
      <c r="W8041" s="21">
        <f>$B$7051</f>
        <v/>
      </c>
      <c r="X8041" s="21" t="n">
        <v>0</v>
      </c>
      <c r="Y8041" s="21" t="n">
        <v>0</v>
      </c>
      <c r="Z8041" s="19" t="n"/>
    </row>
    <row r="8042">
      <c r="D8042" s="21" t="n">
        <v>0</v>
      </c>
      <c r="E8042" s="21" t="n">
        <v>0</v>
      </c>
      <c r="F8042" s="21" t="n">
        <v>0</v>
      </c>
      <c r="G8042" s="21" t="n">
        <v>0</v>
      </c>
      <c r="H8042" s="21" t="n">
        <v>0</v>
      </c>
      <c r="I8042" s="21" t="n">
        <v>0</v>
      </c>
      <c r="J8042" s="21" t="n">
        <v>0</v>
      </c>
      <c r="K8042" s="21" t="n">
        <v>0</v>
      </c>
      <c r="L8042" s="21" t="n">
        <v>0</v>
      </c>
      <c r="M8042" s="21" t="n">
        <v>0</v>
      </c>
      <c r="N8042" s="21" t="n">
        <v>0</v>
      </c>
      <c r="O8042" s="21" t="n">
        <v>0</v>
      </c>
      <c r="P8042" s="21" t="n">
        <v>0</v>
      </c>
      <c r="Q8042" s="21" t="n">
        <v>0</v>
      </c>
      <c r="R8042" s="21">
        <f>$B$7051</f>
        <v/>
      </c>
      <c r="S8042" s="21">
        <f>$B$7053</f>
        <v/>
      </c>
      <c r="T8042" s="21">
        <f>0</f>
        <v/>
      </c>
      <c r="U8042" s="21">
        <f>2*$B$7052</f>
        <v/>
      </c>
      <c r="V8042" s="21">
        <f>-$B$7051</f>
        <v/>
      </c>
      <c r="W8042" s="21">
        <f>$B$7053</f>
        <v/>
      </c>
      <c r="X8042" s="21" t="n">
        <v>0</v>
      </c>
      <c r="Y8042" s="21" t="n">
        <v>0</v>
      </c>
      <c r="Z8042" s="19" t="n"/>
    </row>
    <row r="8043">
      <c r="D8043" s="21" t="n">
        <v>0</v>
      </c>
      <c r="E8043" s="21" t="n">
        <v>0</v>
      </c>
      <c r="F8043" s="21" t="n">
        <v>0</v>
      </c>
      <c r="G8043" s="21" t="n">
        <v>0</v>
      </c>
      <c r="H8043" s="21" t="n">
        <v>0</v>
      </c>
      <c r="I8043" s="21" t="n">
        <v>0</v>
      </c>
      <c r="J8043" s="21" t="n">
        <v>0</v>
      </c>
      <c r="K8043" s="21" t="n">
        <v>0</v>
      </c>
      <c r="L8043" s="21" t="n">
        <v>0</v>
      </c>
      <c r="M8043" s="21" t="n">
        <v>0</v>
      </c>
      <c r="N8043" s="21" t="n">
        <v>0</v>
      </c>
      <c r="O8043" s="21" t="n">
        <v>0</v>
      </c>
      <c r="P8043" s="21" t="n">
        <v>0</v>
      </c>
      <c r="Q8043" s="21" t="n">
        <v>0</v>
      </c>
      <c r="R8043" s="21" t="n">
        <v>0</v>
      </c>
      <c r="S8043" s="21" t="n">
        <v>0</v>
      </c>
      <c r="T8043" s="21">
        <f>-$B$7050</f>
        <v/>
      </c>
      <c r="U8043" s="21">
        <f>-$B$7051</f>
        <v/>
      </c>
      <c r="V8043" s="21">
        <f>2*$B$7050+$D$8022</f>
        <v/>
      </c>
      <c r="W8043" s="21">
        <f>0</f>
        <v/>
      </c>
      <c r="X8043" s="21">
        <f>-$B$7050</f>
        <v/>
      </c>
      <c r="Y8043" s="21">
        <f>$B$7051</f>
        <v/>
      </c>
      <c r="Z8043" s="19" t="n"/>
    </row>
    <row r="8044">
      <c r="D8044" s="21" t="n">
        <v>0</v>
      </c>
      <c r="E8044" s="21" t="n">
        <v>0</v>
      </c>
      <c r="F8044" s="21" t="n">
        <v>0</v>
      </c>
      <c r="G8044" s="21" t="n">
        <v>0</v>
      </c>
      <c r="H8044" s="21" t="n">
        <v>0</v>
      </c>
      <c r="I8044" s="21" t="n">
        <v>0</v>
      </c>
      <c r="J8044" s="21" t="n">
        <v>0</v>
      </c>
      <c r="K8044" s="21" t="n">
        <v>0</v>
      </c>
      <c r="L8044" s="21" t="n">
        <v>0</v>
      </c>
      <c r="M8044" s="21" t="n">
        <v>0</v>
      </c>
      <c r="N8044" s="21" t="n">
        <v>0</v>
      </c>
      <c r="O8044" s="21" t="n">
        <v>0</v>
      </c>
      <c r="P8044" s="21" t="n">
        <v>0</v>
      </c>
      <c r="Q8044" s="21" t="n">
        <v>0</v>
      </c>
      <c r="R8044" s="21" t="n">
        <v>0</v>
      </c>
      <c r="S8044" s="21" t="n">
        <v>0</v>
      </c>
      <c r="T8044" s="21">
        <f>$B$7051</f>
        <v/>
      </c>
      <c r="U8044" s="21">
        <f>$B$7053</f>
        <v/>
      </c>
      <c r="V8044" s="21">
        <f>0</f>
        <v/>
      </c>
      <c r="W8044" s="21">
        <f>2*$B$7052</f>
        <v/>
      </c>
      <c r="X8044" s="21">
        <f>-$B$7051</f>
        <v/>
      </c>
      <c r="Y8044" s="21">
        <f>$B$7053</f>
        <v/>
      </c>
      <c r="Z8044" s="19" t="n"/>
    </row>
    <row r="8045">
      <c r="D8045" s="21" t="n">
        <v>0</v>
      </c>
      <c r="E8045" s="21" t="n">
        <v>0</v>
      </c>
      <c r="F8045" s="21" t="n">
        <v>0</v>
      </c>
      <c r="G8045" s="21" t="n">
        <v>0</v>
      </c>
      <c r="H8045" s="21" t="n">
        <v>0</v>
      </c>
      <c r="I8045" s="21" t="n">
        <v>0</v>
      </c>
      <c r="J8045" s="21" t="n">
        <v>0</v>
      </c>
      <c r="K8045" s="21" t="n">
        <v>0</v>
      </c>
      <c r="L8045" s="21" t="n">
        <v>0</v>
      </c>
      <c r="M8045" s="21" t="n">
        <v>0</v>
      </c>
      <c r="N8045" s="21" t="n">
        <v>0</v>
      </c>
      <c r="O8045" s="21" t="n">
        <v>0</v>
      </c>
      <c r="P8045" s="21" t="n">
        <v>0</v>
      </c>
      <c r="Q8045" s="21" t="n">
        <v>0</v>
      </c>
      <c r="R8045" s="21" t="n">
        <v>0</v>
      </c>
      <c r="S8045" s="21" t="n">
        <v>0</v>
      </c>
      <c r="T8045" s="21" t="n">
        <v>0</v>
      </c>
      <c r="U8045" s="21" t="n">
        <v>0</v>
      </c>
      <c r="V8045" s="21">
        <f>-$B$7050</f>
        <v/>
      </c>
      <c r="W8045" s="21">
        <f>-$B$7051</f>
        <v/>
      </c>
      <c r="X8045" s="21">
        <f>$B$7050+$D$8023</f>
        <v/>
      </c>
      <c r="Y8045" s="21">
        <f>-$B$7051</f>
        <v/>
      </c>
      <c r="Z8045" s="19" t="n"/>
    </row>
    <row r="8046">
      <c r="D8046" s="21" t="n">
        <v>0</v>
      </c>
      <c r="E8046" s="21" t="n">
        <v>0</v>
      </c>
      <c r="F8046" s="21" t="n">
        <v>0</v>
      </c>
      <c r="G8046" s="21" t="n">
        <v>0</v>
      </c>
      <c r="H8046" s="21" t="n">
        <v>0</v>
      </c>
      <c r="I8046" s="21" t="n">
        <v>0</v>
      </c>
      <c r="J8046" s="21" t="n">
        <v>0</v>
      </c>
      <c r="K8046" s="21" t="n">
        <v>0</v>
      </c>
      <c r="L8046" s="21" t="n">
        <v>0</v>
      </c>
      <c r="M8046" s="21" t="n">
        <v>0</v>
      </c>
      <c r="N8046" s="21" t="n">
        <v>0</v>
      </c>
      <c r="O8046" s="21" t="n">
        <v>0</v>
      </c>
      <c r="P8046" s="21" t="n">
        <v>0</v>
      </c>
      <c r="Q8046" s="21" t="n">
        <v>0</v>
      </c>
      <c r="R8046" s="21" t="n">
        <v>0</v>
      </c>
      <c r="S8046" s="21" t="n">
        <v>0</v>
      </c>
      <c r="T8046" s="21" t="n">
        <v>0</v>
      </c>
      <c r="U8046" s="21" t="n">
        <v>0</v>
      </c>
      <c r="V8046" s="21">
        <f>$B$7051</f>
        <v/>
      </c>
      <c r="W8046" s="21">
        <f>$B$7053</f>
        <v/>
      </c>
      <c r="X8046" s="21">
        <f>-$B$7051</f>
        <v/>
      </c>
      <c r="Y8046" s="21">
        <f>$B$7052</f>
        <v/>
      </c>
      <c r="Z8046" s="19" t="n"/>
    </row>
    <row r="8048">
      <c r="A8048" s="8" t="inlineStr">
        <is>
          <t>gen 27</t>
        </is>
      </c>
    </row>
    <row r="8049">
      <c r="D8049" s="19">
        <f>IF(ABS(IF(ABS($E$8013)&gt;0.000000001,$E$8013,0.000000001))=0,0,IF($E$7065&lt;=$B$7059,0,IF(ABS(IF(ABS($E$8013)&gt;0.000000001,$E$8013,0.000000001))&gt;=8*$B$7061,$H$7065,0.5*$H$7065*(ABS(IF(ABS($E$8013)&gt;0.000000001,$E$8013,0.000000001))/$B$7061)^(1/3)))/ABS(IF(ABS($E$8013)&gt;0.000000001,$E$8013,0.000000001))*$I$7065)</f>
        <v/>
      </c>
      <c r="E8049" s="19">
        <f>0.5*$E$8013+0.5*$Z$8061</f>
        <v/>
      </c>
      <c r="F8049" s="19">
        <f>$Z$8062</f>
        <v/>
      </c>
    </row>
    <row r="8050">
      <c r="D8050" s="19">
        <f>IF(ABS(IF(ABS($E$8014)&gt;0.000000001,$E$8014,0.000000001))=0,0,IF($E$7066&lt;=$B$7059,0,IF(ABS(IF(ABS($E$8014)&gt;0.000000001,$E$8014,0.000000001))&gt;=8*$B$7061,$H$7066,0.5*$H$7066*(ABS(IF(ABS($E$8014)&gt;0.000000001,$E$8014,0.000000001))/$B$7061)^(1/3)))/ABS(IF(ABS($E$8014)&gt;0.000000001,$E$8014,0.000000001))*$I$7066)</f>
        <v/>
      </c>
      <c r="E8050" s="19">
        <f>0.5*$E$8014+0.5*$Z$8063</f>
        <v/>
      </c>
      <c r="F8050" s="19">
        <f>$Z$8064</f>
        <v/>
      </c>
    </row>
    <row r="8051">
      <c r="D8051" s="19">
        <f>IF(ABS(IF(ABS($E$8015)&gt;0.000000001,$E$8015,0.000000001))=0,0,IF($E$7067&lt;=$B$7059,0,IF(ABS(IF(ABS($E$8015)&gt;0.000000001,$E$8015,0.000000001))&gt;=8*$B$7061,$H$7067,0.5*$H$7067*(ABS(IF(ABS($E$8015)&gt;0.000000001,$E$8015,0.000000001))/$B$7061)^(1/3)))/ABS(IF(ABS($E$8015)&gt;0.000000001,$E$8015,0.000000001))*$I$7067)</f>
        <v/>
      </c>
      <c r="E8051" s="19">
        <f>0.5*$E$8015+0.5*$Z$8065</f>
        <v/>
      </c>
      <c r="F8051" s="19">
        <f>$Z$8066</f>
        <v/>
      </c>
    </row>
    <row r="8052">
      <c r="D8052" s="19">
        <f>IF(ABS(IF(ABS($E$8016)&gt;0.000000001,$E$8016,0.000000001))=0,0,IF($E$7068&lt;=$B$7059,0,IF(ABS(IF(ABS($E$8016)&gt;0.000000001,$E$8016,0.000000001))&gt;=8*$B$7061,$H$7068,0.5*$H$7068*(ABS(IF(ABS($E$8016)&gt;0.000000001,$E$8016,0.000000001))/$B$7061)^(1/3)))/ABS(IF(ABS($E$8016)&gt;0.000000001,$E$8016,0.000000001))*$I$7068)</f>
        <v/>
      </c>
      <c r="E8052" s="19">
        <f>0.5*$E$8016+0.5*$Z$8067</f>
        <v/>
      </c>
      <c r="F8052" s="19">
        <f>$Z$8068</f>
        <v/>
      </c>
    </row>
    <row r="8053">
      <c r="D8053" s="19">
        <f>IF(ABS(IF(ABS($E$8017)&gt;0.000000001,$E$8017,0.000000001))=0,0,IF($E$7069&lt;=$B$7059,0,IF(ABS(IF(ABS($E$8017)&gt;0.000000001,$E$8017,0.000000001))&gt;=8*$B$7061,$H$7069,0.5*$H$7069*(ABS(IF(ABS($E$8017)&gt;0.000000001,$E$8017,0.000000001))/$B$7061)^(1/3)))/ABS(IF(ABS($E$8017)&gt;0.000000001,$E$8017,0.000000001))*$I$7069)</f>
        <v/>
      </c>
      <c r="E8053" s="19">
        <f>0.5*$E$8017+0.5*$Z$8069</f>
        <v/>
      </c>
      <c r="F8053" s="19">
        <f>$Z$8070</f>
        <v/>
      </c>
    </row>
    <row r="8054">
      <c r="D8054" s="19">
        <f>IF(ABS(IF(ABS($E$8018)&gt;0.000000001,$E$8018,0.000000001))=0,0,IF($E$7070&lt;=$B$7059,0,IF(ABS(IF(ABS($E$8018)&gt;0.000000001,$E$8018,0.000000001))&gt;=8*$B$7061,$H$7070,0.5*$H$7070*(ABS(IF(ABS($E$8018)&gt;0.000000001,$E$8018,0.000000001))/$B$7061)^(1/3)))/ABS(IF(ABS($E$8018)&gt;0.000000001,$E$8018,0.000000001))*$I$7070)</f>
        <v/>
      </c>
      <c r="E8054" s="19">
        <f>0.5*$E$8018+0.5*$Z$8071</f>
        <v/>
      </c>
      <c r="F8054" s="19">
        <f>$Z$8072</f>
        <v/>
      </c>
    </row>
    <row r="8055">
      <c r="D8055" s="19">
        <f>IF(ABS(IF(ABS($E$8019)&gt;0.000000001,$E$8019,0.000000001))=0,0,IF($E$7071&lt;=$B$7059,0,IF(ABS(IF(ABS($E$8019)&gt;0.000000001,$E$8019,0.000000001))&gt;=8*$B$7061,$H$7071,0.5*$H$7071*(ABS(IF(ABS($E$8019)&gt;0.000000001,$E$8019,0.000000001))/$B$7061)^(1/3)))/ABS(IF(ABS($E$8019)&gt;0.000000001,$E$8019,0.000000001))*$I$7071)</f>
        <v/>
      </c>
      <c r="E8055" s="19">
        <f>0.5*$E$8019+0.5*$Z$8073</f>
        <v/>
      </c>
      <c r="F8055" s="19">
        <f>$Z$8074</f>
        <v/>
      </c>
    </row>
    <row r="8056">
      <c r="D8056" s="19">
        <f>IF(ABS(IF(ABS($E$8020)&gt;0.000000001,$E$8020,0.000000001))=0,0,IF($E$7072&lt;=$B$7059,0,IF(ABS(IF(ABS($E$8020)&gt;0.000000001,$E$8020,0.000000001))&gt;=8*$B$7061,$H$7072,0.5*$H$7072*(ABS(IF(ABS($E$8020)&gt;0.000000001,$E$8020,0.000000001))/$B$7061)^(1/3)))/ABS(IF(ABS($E$8020)&gt;0.000000001,$E$8020,0.000000001))*$I$7072)</f>
        <v/>
      </c>
      <c r="E8056" s="19">
        <f>0.5*$E$8020+0.5*$Z$8075</f>
        <v/>
      </c>
      <c r="F8056" s="19">
        <f>$Z$8076</f>
        <v/>
      </c>
    </row>
    <row r="8057">
      <c r="D8057" s="19">
        <f>IF(ABS(IF(ABS($E$8021)&gt;0.000000001,$E$8021,0.000000001))=0,0,IF($E$7073&lt;=$B$7059,0,IF(ABS(IF(ABS($E$8021)&gt;0.000000001,$E$8021,0.000000001))&gt;=8*$B$7061,$H$7073,0.5*$H$7073*(ABS(IF(ABS($E$8021)&gt;0.000000001,$E$8021,0.000000001))/$B$7061)^(1/3)))/ABS(IF(ABS($E$8021)&gt;0.000000001,$E$8021,0.000000001))*$I$7073)</f>
        <v/>
      </c>
      <c r="E8057" s="19">
        <f>0.5*$E$8021+0.5*$Z$8077</f>
        <v/>
      </c>
      <c r="F8057" s="19">
        <f>$Z$8078</f>
        <v/>
      </c>
    </row>
    <row r="8058">
      <c r="D8058" s="19">
        <f>IF(ABS(IF(ABS($E$8022)&gt;0.000000001,$E$8022,0.000000001))=0,0,IF($E$7074&lt;=$B$7059,0,IF(ABS(IF(ABS($E$8022)&gt;0.000000001,$E$8022,0.000000001))&gt;=8*$B$7061,$H$7074,0.5*$H$7074*(ABS(IF(ABS($E$8022)&gt;0.000000001,$E$8022,0.000000001))/$B$7061)^(1/3)))/ABS(IF(ABS($E$8022)&gt;0.000000001,$E$8022,0.000000001))*$I$7074)</f>
        <v/>
      </c>
      <c r="E8058" s="19">
        <f>0.5*$E$8022+0.5*$Z$8079</f>
        <v/>
      </c>
      <c r="F8058" s="19">
        <f>$Z$8080</f>
        <v/>
      </c>
    </row>
    <row r="8059">
      <c r="D8059" s="19">
        <f>IF(ABS(IF(ABS($E$8023)&gt;0.000000001,$E$8023,0.000000001))=0,0,IF($E$7075&lt;=$B$7059,0,IF(ABS(IF(ABS($E$8023)&gt;0.000000001,$E$8023,0.000000001))&gt;=8*$B$7061,$H$7075,0.5*$H$7075*(ABS(IF(ABS($E$8023)&gt;0.000000001,$E$8023,0.000000001))/$B$7061)^(1/3)))/ABS(IF(ABS($E$8023)&gt;0.000000001,$E$8023,0.000000001))*$I$7075)</f>
        <v/>
      </c>
      <c r="E8059" s="19">
        <f>0.5*$E$8023+0.5*$Z$8081</f>
        <v/>
      </c>
      <c r="F8059" s="19">
        <f>$Z$8082</f>
        <v/>
      </c>
    </row>
    <row r="8061">
      <c r="D8061" s="21">
        <f>$B$7050+$D$8049</f>
        <v/>
      </c>
      <c r="E8061" s="21">
        <f>$B$7051</f>
        <v/>
      </c>
      <c r="F8061" s="21">
        <f>-$B$7050</f>
        <v/>
      </c>
      <c r="G8061" s="21">
        <f>$B$7051</f>
        <v/>
      </c>
      <c r="H8061" s="21" t="n">
        <v>0</v>
      </c>
      <c r="I8061" s="21" t="n">
        <v>0</v>
      </c>
      <c r="J8061" s="21" t="n">
        <v>0</v>
      </c>
      <c r="K8061" s="21" t="n">
        <v>0</v>
      </c>
      <c r="L8061" s="21" t="n">
        <v>0</v>
      </c>
      <c r="M8061" s="21" t="n">
        <v>0</v>
      </c>
      <c r="N8061" s="21" t="n">
        <v>0</v>
      </c>
      <c r="O8061" s="21" t="n">
        <v>0</v>
      </c>
      <c r="P8061" s="21" t="n">
        <v>0</v>
      </c>
      <c r="Q8061" s="21" t="n">
        <v>0</v>
      </c>
      <c r="R8061" s="21" t="n">
        <v>0</v>
      </c>
      <c r="S8061" s="21" t="n">
        <v>0</v>
      </c>
      <c r="T8061" s="21" t="n">
        <v>0</v>
      </c>
      <c r="U8061" s="21" t="n">
        <v>0</v>
      </c>
      <c r="V8061" s="21" t="n">
        <v>0</v>
      </c>
      <c r="W8061" s="21" t="n">
        <v>0</v>
      </c>
      <c r="X8061" s="21" t="n">
        <v>0</v>
      </c>
      <c r="Y8061" s="21" t="n">
        <v>0</v>
      </c>
      <c r="Z8061" s="19">
        <f t="array" ref="Z8061:Z8082">MMULT(MINVERSE($D$8061:$Y$8082),$D$7077:$D$7098)</f>
        <v/>
      </c>
    </row>
    <row r="8062">
      <c r="D8062" s="21">
        <f>$B$7051</f>
        <v/>
      </c>
      <c r="E8062" s="21">
        <f>$B$7052</f>
        <v/>
      </c>
      <c r="F8062" s="21">
        <f>-$B$7051</f>
        <v/>
      </c>
      <c r="G8062" s="21">
        <f>$B$7053</f>
        <v/>
      </c>
      <c r="H8062" s="21" t="n">
        <v>0</v>
      </c>
      <c r="I8062" s="21" t="n">
        <v>0</v>
      </c>
      <c r="J8062" s="21" t="n">
        <v>0</v>
      </c>
      <c r="K8062" s="21" t="n">
        <v>0</v>
      </c>
      <c r="L8062" s="21" t="n">
        <v>0</v>
      </c>
      <c r="M8062" s="21" t="n">
        <v>0</v>
      </c>
      <c r="N8062" s="21" t="n">
        <v>0</v>
      </c>
      <c r="O8062" s="21" t="n">
        <v>0</v>
      </c>
      <c r="P8062" s="21" t="n">
        <v>0</v>
      </c>
      <c r="Q8062" s="21" t="n">
        <v>0</v>
      </c>
      <c r="R8062" s="21" t="n">
        <v>0</v>
      </c>
      <c r="S8062" s="21" t="n">
        <v>0</v>
      </c>
      <c r="T8062" s="21" t="n">
        <v>0</v>
      </c>
      <c r="U8062" s="21" t="n">
        <v>0</v>
      </c>
      <c r="V8062" s="21" t="n">
        <v>0</v>
      </c>
      <c r="W8062" s="21" t="n">
        <v>0</v>
      </c>
      <c r="X8062" s="21" t="n">
        <v>0</v>
      </c>
      <c r="Y8062" s="21" t="n">
        <v>0</v>
      </c>
      <c r="Z8062" s="19" t="n"/>
    </row>
    <row r="8063">
      <c r="D8063" s="21">
        <f>-$B$7050</f>
        <v/>
      </c>
      <c r="E8063" s="21">
        <f>-$B$7051</f>
        <v/>
      </c>
      <c r="F8063" s="21">
        <f>2*$B$7050+$D$8050</f>
        <v/>
      </c>
      <c r="G8063" s="21">
        <f>0</f>
        <v/>
      </c>
      <c r="H8063" s="21">
        <f>-$B$7050</f>
        <v/>
      </c>
      <c r="I8063" s="21">
        <f>$B$7051</f>
        <v/>
      </c>
      <c r="J8063" s="21" t="n">
        <v>0</v>
      </c>
      <c r="K8063" s="21" t="n">
        <v>0</v>
      </c>
      <c r="L8063" s="21" t="n">
        <v>0</v>
      </c>
      <c r="M8063" s="21" t="n">
        <v>0</v>
      </c>
      <c r="N8063" s="21" t="n">
        <v>0</v>
      </c>
      <c r="O8063" s="21" t="n">
        <v>0</v>
      </c>
      <c r="P8063" s="21" t="n">
        <v>0</v>
      </c>
      <c r="Q8063" s="21" t="n">
        <v>0</v>
      </c>
      <c r="R8063" s="21" t="n">
        <v>0</v>
      </c>
      <c r="S8063" s="21" t="n">
        <v>0</v>
      </c>
      <c r="T8063" s="21" t="n">
        <v>0</v>
      </c>
      <c r="U8063" s="21" t="n">
        <v>0</v>
      </c>
      <c r="V8063" s="21" t="n">
        <v>0</v>
      </c>
      <c r="W8063" s="21" t="n">
        <v>0</v>
      </c>
      <c r="X8063" s="21" t="n">
        <v>0</v>
      </c>
      <c r="Y8063" s="21" t="n">
        <v>0</v>
      </c>
      <c r="Z8063" s="19" t="n"/>
    </row>
    <row r="8064">
      <c r="D8064" s="21">
        <f>$B$7051</f>
        <v/>
      </c>
      <c r="E8064" s="21">
        <f>$B$7053</f>
        <v/>
      </c>
      <c r="F8064" s="21">
        <f>0</f>
        <v/>
      </c>
      <c r="G8064" s="21">
        <f>2*$B$7052</f>
        <v/>
      </c>
      <c r="H8064" s="21">
        <f>-$B$7051</f>
        <v/>
      </c>
      <c r="I8064" s="21">
        <f>$B$7053</f>
        <v/>
      </c>
      <c r="J8064" s="21" t="n">
        <v>0</v>
      </c>
      <c r="K8064" s="21" t="n">
        <v>0</v>
      </c>
      <c r="L8064" s="21" t="n">
        <v>0</v>
      </c>
      <c r="M8064" s="21" t="n">
        <v>0</v>
      </c>
      <c r="N8064" s="21" t="n">
        <v>0</v>
      </c>
      <c r="O8064" s="21" t="n">
        <v>0</v>
      </c>
      <c r="P8064" s="21" t="n">
        <v>0</v>
      </c>
      <c r="Q8064" s="21" t="n">
        <v>0</v>
      </c>
      <c r="R8064" s="21" t="n">
        <v>0</v>
      </c>
      <c r="S8064" s="21" t="n">
        <v>0</v>
      </c>
      <c r="T8064" s="21" t="n">
        <v>0</v>
      </c>
      <c r="U8064" s="21" t="n">
        <v>0</v>
      </c>
      <c r="V8064" s="21" t="n">
        <v>0</v>
      </c>
      <c r="W8064" s="21" t="n">
        <v>0</v>
      </c>
      <c r="X8064" s="21" t="n">
        <v>0</v>
      </c>
      <c r="Y8064" s="21" t="n">
        <v>0</v>
      </c>
      <c r="Z8064" s="19" t="n"/>
    </row>
    <row r="8065">
      <c r="D8065" s="21" t="n">
        <v>0</v>
      </c>
      <c r="E8065" s="21" t="n">
        <v>0</v>
      </c>
      <c r="F8065" s="21">
        <f>-$B$7050</f>
        <v/>
      </c>
      <c r="G8065" s="21">
        <f>-$B$7051</f>
        <v/>
      </c>
      <c r="H8065" s="21">
        <f>2*$B$7050+$D$8051</f>
        <v/>
      </c>
      <c r="I8065" s="21">
        <f>0</f>
        <v/>
      </c>
      <c r="J8065" s="21">
        <f>-$B$7050</f>
        <v/>
      </c>
      <c r="K8065" s="21">
        <f>$B$7051</f>
        <v/>
      </c>
      <c r="L8065" s="21" t="n">
        <v>0</v>
      </c>
      <c r="M8065" s="21" t="n">
        <v>0</v>
      </c>
      <c r="N8065" s="21" t="n">
        <v>0</v>
      </c>
      <c r="O8065" s="21" t="n">
        <v>0</v>
      </c>
      <c r="P8065" s="21" t="n">
        <v>0</v>
      </c>
      <c r="Q8065" s="21" t="n">
        <v>0</v>
      </c>
      <c r="R8065" s="21" t="n">
        <v>0</v>
      </c>
      <c r="S8065" s="21" t="n">
        <v>0</v>
      </c>
      <c r="T8065" s="21" t="n">
        <v>0</v>
      </c>
      <c r="U8065" s="21" t="n">
        <v>0</v>
      </c>
      <c r="V8065" s="21" t="n">
        <v>0</v>
      </c>
      <c r="W8065" s="21" t="n">
        <v>0</v>
      </c>
      <c r="X8065" s="21" t="n">
        <v>0</v>
      </c>
      <c r="Y8065" s="21" t="n">
        <v>0</v>
      </c>
      <c r="Z8065" s="19" t="n"/>
    </row>
    <row r="8066">
      <c r="D8066" s="21" t="n">
        <v>0</v>
      </c>
      <c r="E8066" s="21" t="n">
        <v>0</v>
      </c>
      <c r="F8066" s="21">
        <f>$B$7051</f>
        <v/>
      </c>
      <c r="G8066" s="21">
        <f>$B$7053</f>
        <v/>
      </c>
      <c r="H8066" s="21">
        <f>0</f>
        <v/>
      </c>
      <c r="I8066" s="21">
        <f>2*$B$7052</f>
        <v/>
      </c>
      <c r="J8066" s="21">
        <f>-$B$7051</f>
        <v/>
      </c>
      <c r="K8066" s="21">
        <f>$B$7053</f>
        <v/>
      </c>
      <c r="L8066" s="21" t="n">
        <v>0</v>
      </c>
      <c r="M8066" s="21" t="n">
        <v>0</v>
      </c>
      <c r="N8066" s="21" t="n">
        <v>0</v>
      </c>
      <c r="O8066" s="21" t="n">
        <v>0</v>
      </c>
      <c r="P8066" s="21" t="n">
        <v>0</v>
      </c>
      <c r="Q8066" s="21" t="n">
        <v>0</v>
      </c>
      <c r="R8066" s="21" t="n">
        <v>0</v>
      </c>
      <c r="S8066" s="21" t="n">
        <v>0</v>
      </c>
      <c r="T8066" s="21" t="n">
        <v>0</v>
      </c>
      <c r="U8066" s="21" t="n">
        <v>0</v>
      </c>
      <c r="V8066" s="21" t="n">
        <v>0</v>
      </c>
      <c r="W8066" s="21" t="n">
        <v>0</v>
      </c>
      <c r="X8066" s="21" t="n">
        <v>0</v>
      </c>
      <c r="Y8066" s="21" t="n">
        <v>0</v>
      </c>
      <c r="Z8066" s="19" t="n"/>
    </row>
    <row r="8067">
      <c r="D8067" s="21" t="n">
        <v>0</v>
      </c>
      <c r="E8067" s="21" t="n">
        <v>0</v>
      </c>
      <c r="F8067" s="21" t="n">
        <v>0</v>
      </c>
      <c r="G8067" s="21" t="n">
        <v>0</v>
      </c>
      <c r="H8067" s="21">
        <f>-$B$7050</f>
        <v/>
      </c>
      <c r="I8067" s="21">
        <f>-$B$7051</f>
        <v/>
      </c>
      <c r="J8067" s="21">
        <f>2*$B$7050+$D$8052</f>
        <v/>
      </c>
      <c r="K8067" s="21">
        <f>0</f>
        <v/>
      </c>
      <c r="L8067" s="21">
        <f>-$B$7050</f>
        <v/>
      </c>
      <c r="M8067" s="21">
        <f>$B$7051</f>
        <v/>
      </c>
      <c r="N8067" s="21" t="n">
        <v>0</v>
      </c>
      <c r="O8067" s="21" t="n">
        <v>0</v>
      </c>
      <c r="P8067" s="21" t="n">
        <v>0</v>
      </c>
      <c r="Q8067" s="21" t="n">
        <v>0</v>
      </c>
      <c r="R8067" s="21" t="n">
        <v>0</v>
      </c>
      <c r="S8067" s="21" t="n">
        <v>0</v>
      </c>
      <c r="T8067" s="21" t="n">
        <v>0</v>
      </c>
      <c r="U8067" s="21" t="n">
        <v>0</v>
      </c>
      <c r="V8067" s="21" t="n">
        <v>0</v>
      </c>
      <c r="W8067" s="21" t="n">
        <v>0</v>
      </c>
      <c r="X8067" s="21" t="n">
        <v>0</v>
      </c>
      <c r="Y8067" s="21" t="n">
        <v>0</v>
      </c>
      <c r="Z8067" s="19" t="n"/>
    </row>
    <row r="8068">
      <c r="D8068" s="21" t="n">
        <v>0</v>
      </c>
      <c r="E8068" s="21" t="n">
        <v>0</v>
      </c>
      <c r="F8068" s="21" t="n">
        <v>0</v>
      </c>
      <c r="G8068" s="21" t="n">
        <v>0</v>
      </c>
      <c r="H8068" s="21">
        <f>$B$7051</f>
        <v/>
      </c>
      <c r="I8068" s="21">
        <f>$B$7053</f>
        <v/>
      </c>
      <c r="J8068" s="21">
        <f>0</f>
        <v/>
      </c>
      <c r="K8068" s="21">
        <f>2*$B$7052</f>
        <v/>
      </c>
      <c r="L8068" s="21">
        <f>-$B$7051</f>
        <v/>
      </c>
      <c r="M8068" s="21">
        <f>$B$7053</f>
        <v/>
      </c>
      <c r="N8068" s="21" t="n">
        <v>0</v>
      </c>
      <c r="O8068" s="21" t="n">
        <v>0</v>
      </c>
      <c r="P8068" s="21" t="n">
        <v>0</v>
      </c>
      <c r="Q8068" s="21" t="n">
        <v>0</v>
      </c>
      <c r="R8068" s="21" t="n">
        <v>0</v>
      </c>
      <c r="S8068" s="21" t="n">
        <v>0</v>
      </c>
      <c r="T8068" s="21" t="n">
        <v>0</v>
      </c>
      <c r="U8068" s="21" t="n">
        <v>0</v>
      </c>
      <c r="V8068" s="21" t="n">
        <v>0</v>
      </c>
      <c r="W8068" s="21" t="n">
        <v>0</v>
      </c>
      <c r="X8068" s="21" t="n">
        <v>0</v>
      </c>
      <c r="Y8068" s="21" t="n">
        <v>0</v>
      </c>
      <c r="Z8068" s="19" t="n"/>
    </row>
    <row r="8069">
      <c r="D8069" s="21" t="n">
        <v>0</v>
      </c>
      <c r="E8069" s="21" t="n">
        <v>0</v>
      </c>
      <c r="F8069" s="21" t="n">
        <v>0</v>
      </c>
      <c r="G8069" s="21" t="n">
        <v>0</v>
      </c>
      <c r="H8069" s="21" t="n">
        <v>0</v>
      </c>
      <c r="I8069" s="21" t="n">
        <v>0</v>
      </c>
      <c r="J8069" s="21">
        <f>-$B$7050</f>
        <v/>
      </c>
      <c r="K8069" s="21">
        <f>-$B$7051</f>
        <v/>
      </c>
      <c r="L8069" s="21">
        <f>2*$B$7050+$D$8053</f>
        <v/>
      </c>
      <c r="M8069" s="21">
        <f>0</f>
        <v/>
      </c>
      <c r="N8069" s="21">
        <f>-$B$7050</f>
        <v/>
      </c>
      <c r="O8069" s="21">
        <f>$B$7051</f>
        <v/>
      </c>
      <c r="P8069" s="21" t="n">
        <v>0</v>
      </c>
      <c r="Q8069" s="21" t="n">
        <v>0</v>
      </c>
      <c r="R8069" s="21" t="n">
        <v>0</v>
      </c>
      <c r="S8069" s="21" t="n">
        <v>0</v>
      </c>
      <c r="T8069" s="21" t="n">
        <v>0</v>
      </c>
      <c r="U8069" s="21" t="n">
        <v>0</v>
      </c>
      <c r="V8069" s="21" t="n">
        <v>0</v>
      </c>
      <c r="W8069" s="21" t="n">
        <v>0</v>
      </c>
      <c r="X8069" s="21" t="n">
        <v>0</v>
      </c>
      <c r="Y8069" s="21" t="n">
        <v>0</v>
      </c>
      <c r="Z8069" s="19" t="n"/>
    </row>
    <row r="8070">
      <c r="D8070" s="21" t="n">
        <v>0</v>
      </c>
      <c r="E8070" s="21" t="n">
        <v>0</v>
      </c>
      <c r="F8070" s="21" t="n">
        <v>0</v>
      </c>
      <c r="G8070" s="21" t="n">
        <v>0</v>
      </c>
      <c r="H8070" s="21" t="n">
        <v>0</v>
      </c>
      <c r="I8070" s="21" t="n">
        <v>0</v>
      </c>
      <c r="J8070" s="21">
        <f>$B$7051</f>
        <v/>
      </c>
      <c r="K8070" s="21">
        <f>$B$7053</f>
        <v/>
      </c>
      <c r="L8070" s="21">
        <f>0</f>
        <v/>
      </c>
      <c r="M8070" s="21">
        <f>2*$B$7052</f>
        <v/>
      </c>
      <c r="N8070" s="21">
        <f>-$B$7051</f>
        <v/>
      </c>
      <c r="O8070" s="21">
        <f>$B$7053</f>
        <v/>
      </c>
      <c r="P8070" s="21" t="n">
        <v>0</v>
      </c>
      <c r="Q8070" s="21" t="n">
        <v>0</v>
      </c>
      <c r="R8070" s="21" t="n">
        <v>0</v>
      </c>
      <c r="S8070" s="21" t="n">
        <v>0</v>
      </c>
      <c r="T8070" s="21" t="n">
        <v>0</v>
      </c>
      <c r="U8070" s="21" t="n">
        <v>0</v>
      </c>
      <c r="V8070" s="21" t="n">
        <v>0</v>
      </c>
      <c r="W8070" s="21" t="n">
        <v>0</v>
      </c>
      <c r="X8070" s="21" t="n">
        <v>0</v>
      </c>
      <c r="Y8070" s="21" t="n">
        <v>0</v>
      </c>
      <c r="Z8070" s="19" t="n"/>
    </row>
    <row r="8071">
      <c r="D8071" s="21" t="n">
        <v>0</v>
      </c>
      <c r="E8071" s="21" t="n">
        <v>0</v>
      </c>
      <c r="F8071" s="21" t="n">
        <v>0</v>
      </c>
      <c r="G8071" s="21" t="n">
        <v>0</v>
      </c>
      <c r="H8071" s="21" t="n">
        <v>0</v>
      </c>
      <c r="I8071" s="21" t="n">
        <v>0</v>
      </c>
      <c r="J8071" s="21" t="n">
        <v>0</v>
      </c>
      <c r="K8071" s="21" t="n">
        <v>0</v>
      </c>
      <c r="L8071" s="21">
        <f>-$B$7050</f>
        <v/>
      </c>
      <c r="M8071" s="21">
        <f>-$B$7051</f>
        <v/>
      </c>
      <c r="N8071" s="21">
        <f>2*$B$7050+$D$8054</f>
        <v/>
      </c>
      <c r="O8071" s="21">
        <f>0</f>
        <v/>
      </c>
      <c r="P8071" s="21">
        <f>-$B$7050</f>
        <v/>
      </c>
      <c r="Q8071" s="21">
        <f>$B$7051</f>
        <v/>
      </c>
      <c r="R8071" s="21" t="n">
        <v>0</v>
      </c>
      <c r="S8071" s="21" t="n">
        <v>0</v>
      </c>
      <c r="T8071" s="21" t="n">
        <v>0</v>
      </c>
      <c r="U8071" s="21" t="n">
        <v>0</v>
      </c>
      <c r="V8071" s="21" t="n">
        <v>0</v>
      </c>
      <c r="W8071" s="21" t="n">
        <v>0</v>
      </c>
      <c r="X8071" s="21" t="n">
        <v>0</v>
      </c>
      <c r="Y8071" s="21" t="n">
        <v>0</v>
      </c>
      <c r="Z8071" s="19" t="n"/>
    </row>
    <row r="8072">
      <c r="D8072" s="21" t="n">
        <v>0</v>
      </c>
      <c r="E8072" s="21" t="n">
        <v>0</v>
      </c>
      <c r="F8072" s="21" t="n">
        <v>0</v>
      </c>
      <c r="G8072" s="21" t="n">
        <v>0</v>
      </c>
      <c r="H8072" s="21" t="n">
        <v>0</v>
      </c>
      <c r="I8072" s="21" t="n">
        <v>0</v>
      </c>
      <c r="J8072" s="21" t="n">
        <v>0</v>
      </c>
      <c r="K8072" s="21" t="n">
        <v>0</v>
      </c>
      <c r="L8072" s="21">
        <f>$B$7051</f>
        <v/>
      </c>
      <c r="M8072" s="21">
        <f>$B$7053</f>
        <v/>
      </c>
      <c r="N8072" s="21">
        <f>0</f>
        <v/>
      </c>
      <c r="O8072" s="21">
        <f>2*$B$7052</f>
        <v/>
      </c>
      <c r="P8072" s="21">
        <f>-$B$7051</f>
        <v/>
      </c>
      <c r="Q8072" s="21">
        <f>$B$7053</f>
        <v/>
      </c>
      <c r="R8072" s="21" t="n">
        <v>0</v>
      </c>
      <c r="S8072" s="21" t="n">
        <v>0</v>
      </c>
      <c r="T8072" s="21" t="n">
        <v>0</v>
      </c>
      <c r="U8072" s="21" t="n">
        <v>0</v>
      </c>
      <c r="V8072" s="21" t="n">
        <v>0</v>
      </c>
      <c r="W8072" s="21" t="n">
        <v>0</v>
      </c>
      <c r="X8072" s="21" t="n">
        <v>0</v>
      </c>
      <c r="Y8072" s="21" t="n">
        <v>0</v>
      </c>
      <c r="Z8072" s="19" t="n"/>
    </row>
    <row r="8073">
      <c r="D8073" s="21" t="n">
        <v>0</v>
      </c>
      <c r="E8073" s="21" t="n">
        <v>0</v>
      </c>
      <c r="F8073" s="21" t="n">
        <v>0</v>
      </c>
      <c r="G8073" s="21" t="n">
        <v>0</v>
      </c>
      <c r="H8073" s="21" t="n">
        <v>0</v>
      </c>
      <c r="I8073" s="21" t="n">
        <v>0</v>
      </c>
      <c r="J8073" s="21" t="n">
        <v>0</v>
      </c>
      <c r="K8073" s="21" t="n">
        <v>0</v>
      </c>
      <c r="L8073" s="21" t="n">
        <v>0</v>
      </c>
      <c r="M8073" s="21" t="n">
        <v>0</v>
      </c>
      <c r="N8073" s="21">
        <f>-$B$7050</f>
        <v/>
      </c>
      <c r="O8073" s="21">
        <f>-$B$7051</f>
        <v/>
      </c>
      <c r="P8073" s="21">
        <f>2*$B$7050+$D$8055</f>
        <v/>
      </c>
      <c r="Q8073" s="21">
        <f>0</f>
        <v/>
      </c>
      <c r="R8073" s="21">
        <f>-$B$7050</f>
        <v/>
      </c>
      <c r="S8073" s="21">
        <f>$B$7051</f>
        <v/>
      </c>
      <c r="T8073" s="21" t="n">
        <v>0</v>
      </c>
      <c r="U8073" s="21" t="n">
        <v>0</v>
      </c>
      <c r="V8073" s="21" t="n">
        <v>0</v>
      </c>
      <c r="W8073" s="21" t="n">
        <v>0</v>
      </c>
      <c r="X8073" s="21" t="n">
        <v>0</v>
      </c>
      <c r="Y8073" s="21" t="n">
        <v>0</v>
      </c>
      <c r="Z8073" s="19" t="n"/>
    </row>
    <row r="8074">
      <c r="D8074" s="21" t="n">
        <v>0</v>
      </c>
      <c r="E8074" s="21" t="n">
        <v>0</v>
      </c>
      <c r="F8074" s="21" t="n">
        <v>0</v>
      </c>
      <c r="G8074" s="21" t="n">
        <v>0</v>
      </c>
      <c r="H8074" s="21" t="n">
        <v>0</v>
      </c>
      <c r="I8074" s="21" t="n">
        <v>0</v>
      </c>
      <c r="J8074" s="21" t="n">
        <v>0</v>
      </c>
      <c r="K8074" s="21" t="n">
        <v>0</v>
      </c>
      <c r="L8074" s="21" t="n">
        <v>0</v>
      </c>
      <c r="M8074" s="21" t="n">
        <v>0</v>
      </c>
      <c r="N8074" s="21">
        <f>$B$7051</f>
        <v/>
      </c>
      <c r="O8074" s="21">
        <f>$B$7053</f>
        <v/>
      </c>
      <c r="P8074" s="21">
        <f>0</f>
        <v/>
      </c>
      <c r="Q8074" s="21">
        <f>2*$B$7052</f>
        <v/>
      </c>
      <c r="R8074" s="21">
        <f>-$B$7051</f>
        <v/>
      </c>
      <c r="S8074" s="21">
        <f>$B$7053</f>
        <v/>
      </c>
      <c r="T8074" s="21" t="n">
        <v>0</v>
      </c>
      <c r="U8074" s="21" t="n">
        <v>0</v>
      </c>
      <c r="V8074" s="21" t="n">
        <v>0</v>
      </c>
      <c r="W8074" s="21" t="n">
        <v>0</v>
      </c>
      <c r="X8074" s="21" t="n">
        <v>0</v>
      </c>
      <c r="Y8074" s="21" t="n">
        <v>0</v>
      </c>
      <c r="Z8074" s="19" t="n"/>
    </row>
    <row r="8075">
      <c r="D8075" s="21" t="n">
        <v>0</v>
      </c>
      <c r="E8075" s="21" t="n">
        <v>0</v>
      </c>
      <c r="F8075" s="21" t="n">
        <v>0</v>
      </c>
      <c r="G8075" s="21" t="n">
        <v>0</v>
      </c>
      <c r="H8075" s="21" t="n">
        <v>0</v>
      </c>
      <c r="I8075" s="21" t="n">
        <v>0</v>
      </c>
      <c r="J8075" s="21" t="n">
        <v>0</v>
      </c>
      <c r="K8075" s="21" t="n">
        <v>0</v>
      </c>
      <c r="L8075" s="21" t="n">
        <v>0</v>
      </c>
      <c r="M8075" s="21" t="n">
        <v>0</v>
      </c>
      <c r="N8075" s="21" t="n">
        <v>0</v>
      </c>
      <c r="O8075" s="21" t="n">
        <v>0</v>
      </c>
      <c r="P8075" s="21">
        <f>-$B$7050</f>
        <v/>
      </c>
      <c r="Q8075" s="21">
        <f>-$B$7051</f>
        <v/>
      </c>
      <c r="R8075" s="21">
        <f>2*$B$7050+$D$8056</f>
        <v/>
      </c>
      <c r="S8075" s="21">
        <f>0</f>
        <v/>
      </c>
      <c r="T8075" s="21">
        <f>-$B$7050</f>
        <v/>
      </c>
      <c r="U8075" s="21">
        <f>$B$7051</f>
        <v/>
      </c>
      <c r="V8075" s="21" t="n">
        <v>0</v>
      </c>
      <c r="W8075" s="21" t="n">
        <v>0</v>
      </c>
      <c r="X8075" s="21" t="n">
        <v>0</v>
      </c>
      <c r="Y8075" s="21" t="n">
        <v>0</v>
      </c>
      <c r="Z8075" s="19" t="n"/>
    </row>
    <row r="8076">
      <c r="D8076" s="21" t="n">
        <v>0</v>
      </c>
      <c r="E8076" s="21" t="n">
        <v>0</v>
      </c>
      <c r="F8076" s="21" t="n">
        <v>0</v>
      </c>
      <c r="G8076" s="21" t="n">
        <v>0</v>
      </c>
      <c r="H8076" s="21" t="n">
        <v>0</v>
      </c>
      <c r="I8076" s="21" t="n">
        <v>0</v>
      </c>
      <c r="J8076" s="21" t="n">
        <v>0</v>
      </c>
      <c r="K8076" s="21" t="n">
        <v>0</v>
      </c>
      <c r="L8076" s="21" t="n">
        <v>0</v>
      </c>
      <c r="M8076" s="21" t="n">
        <v>0</v>
      </c>
      <c r="N8076" s="21" t="n">
        <v>0</v>
      </c>
      <c r="O8076" s="21" t="n">
        <v>0</v>
      </c>
      <c r="P8076" s="21">
        <f>$B$7051</f>
        <v/>
      </c>
      <c r="Q8076" s="21">
        <f>$B$7053</f>
        <v/>
      </c>
      <c r="R8076" s="21">
        <f>0</f>
        <v/>
      </c>
      <c r="S8076" s="21">
        <f>2*$B$7052</f>
        <v/>
      </c>
      <c r="T8076" s="21">
        <f>-$B$7051</f>
        <v/>
      </c>
      <c r="U8076" s="21">
        <f>$B$7053</f>
        <v/>
      </c>
      <c r="V8076" s="21" t="n">
        <v>0</v>
      </c>
      <c r="W8076" s="21" t="n">
        <v>0</v>
      </c>
      <c r="X8076" s="21" t="n">
        <v>0</v>
      </c>
      <c r="Y8076" s="21" t="n">
        <v>0</v>
      </c>
      <c r="Z8076" s="19" t="n"/>
    </row>
    <row r="8077">
      <c r="D8077" s="21" t="n">
        <v>0</v>
      </c>
      <c r="E8077" s="21" t="n">
        <v>0</v>
      </c>
      <c r="F8077" s="21" t="n">
        <v>0</v>
      </c>
      <c r="G8077" s="21" t="n">
        <v>0</v>
      </c>
      <c r="H8077" s="21" t="n">
        <v>0</v>
      </c>
      <c r="I8077" s="21" t="n">
        <v>0</v>
      </c>
      <c r="J8077" s="21" t="n">
        <v>0</v>
      </c>
      <c r="K8077" s="21" t="n">
        <v>0</v>
      </c>
      <c r="L8077" s="21" t="n">
        <v>0</v>
      </c>
      <c r="M8077" s="21" t="n">
        <v>0</v>
      </c>
      <c r="N8077" s="21" t="n">
        <v>0</v>
      </c>
      <c r="O8077" s="21" t="n">
        <v>0</v>
      </c>
      <c r="P8077" s="21" t="n">
        <v>0</v>
      </c>
      <c r="Q8077" s="21" t="n">
        <v>0</v>
      </c>
      <c r="R8077" s="21">
        <f>-$B$7050</f>
        <v/>
      </c>
      <c r="S8077" s="21">
        <f>-$B$7051</f>
        <v/>
      </c>
      <c r="T8077" s="21">
        <f>2*$B$7050+$D$8057</f>
        <v/>
      </c>
      <c r="U8077" s="21">
        <f>0</f>
        <v/>
      </c>
      <c r="V8077" s="21">
        <f>-$B$7050</f>
        <v/>
      </c>
      <c r="W8077" s="21">
        <f>$B$7051</f>
        <v/>
      </c>
      <c r="X8077" s="21" t="n">
        <v>0</v>
      </c>
      <c r="Y8077" s="21" t="n">
        <v>0</v>
      </c>
      <c r="Z8077" s="19" t="n"/>
    </row>
    <row r="8078">
      <c r="D8078" s="21" t="n">
        <v>0</v>
      </c>
      <c r="E8078" s="21" t="n">
        <v>0</v>
      </c>
      <c r="F8078" s="21" t="n">
        <v>0</v>
      </c>
      <c r="G8078" s="21" t="n">
        <v>0</v>
      </c>
      <c r="H8078" s="21" t="n">
        <v>0</v>
      </c>
      <c r="I8078" s="21" t="n">
        <v>0</v>
      </c>
      <c r="J8078" s="21" t="n">
        <v>0</v>
      </c>
      <c r="K8078" s="21" t="n">
        <v>0</v>
      </c>
      <c r="L8078" s="21" t="n">
        <v>0</v>
      </c>
      <c r="M8078" s="21" t="n">
        <v>0</v>
      </c>
      <c r="N8078" s="21" t="n">
        <v>0</v>
      </c>
      <c r="O8078" s="21" t="n">
        <v>0</v>
      </c>
      <c r="P8078" s="21" t="n">
        <v>0</v>
      </c>
      <c r="Q8078" s="21" t="n">
        <v>0</v>
      </c>
      <c r="R8078" s="21">
        <f>$B$7051</f>
        <v/>
      </c>
      <c r="S8078" s="21">
        <f>$B$7053</f>
        <v/>
      </c>
      <c r="T8078" s="21">
        <f>0</f>
        <v/>
      </c>
      <c r="U8078" s="21">
        <f>2*$B$7052</f>
        <v/>
      </c>
      <c r="V8078" s="21">
        <f>-$B$7051</f>
        <v/>
      </c>
      <c r="W8078" s="21">
        <f>$B$7053</f>
        <v/>
      </c>
      <c r="X8078" s="21" t="n">
        <v>0</v>
      </c>
      <c r="Y8078" s="21" t="n">
        <v>0</v>
      </c>
      <c r="Z8078" s="19" t="n"/>
    </row>
    <row r="8079">
      <c r="D8079" s="21" t="n">
        <v>0</v>
      </c>
      <c r="E8079" s="21" t="n">
        <v>0</v>
      </c>
      <c r="F8079" s="21" t="n">
        <v>0</v>
      </c>
      <c r="G8079" s="21" t="n">
        <v>0</v>
      </c>
      <c r="H8079" s="21" t="n">
        <v>0</v>
      </c>
      <c r="I8079" s="21" t="n">
        <v>0</v>
      </c>
      <c r="J8079" s="21" t="n">
        <v>0</v>
      </c>
      <c r="K8079" s="21" t="n">
        <v>0</v>
      </c>
      <c r="L8079" s="21" t="n">
        <v>0</v>
      </c>
      <c r="M8079" s="21" t="n">
        <v>0</v>
      </c>
      <c r="N8079" s="21" t="n">
        <v>0</v>
      </c>
      <c r="O8079" s="21" t="n">
        <v>0</v>
      </c>
      <c r="P8079" s="21" t="n">
        <v>0</v>
      </c>
      <c r="Q8079" s="21" t="n">
        <v>0</v>
      </c>
      <c r="R8079" s="21" t="n">
        <v>0</v>
      </c>
      <c r="S8079" s="21" t="n">
        <v>0</v>
      </c>
      <c r="T8079" s="21">
        <f>-$B$7050</f>
        <v/>
      </c>
      <c r="U8079" s="21">
        <f>-$B$7051</f>
        <v/>
      </c>
      <c r="V8079" s="21">
        <f>2*$B$7050+$D$8058</f>
        <v/>
      </c>
      <c r="W8079" s="21">
        <f>0</f>
        <v/>
      </c>
      <c r="X8079" s="21">
        <f>-$B$7050</f>
        <v/>
      </c>
      <c r="Y8079" s="21">
        <f>$B$7051</f>
        <v/>
      </c>
      <c r="Z8079" s="19" t="n"/>
    </row>
    <row r="8080">
      <c r="D8080" s="21" t="n">
        <v>0</v>
      </c>
      <c r="E8080" s="21" t="n">
        <v>0</v>
      </c>
      <c r="F8080" s="21" t="n">
        <v>0</v>
      </c>
      <c r="G8080" s="21" t="n">
        <v>0</v>
      </c>
      <c r="H8080" s="21" t="n">
        <v>0</v>
      </c>
      <c r="I8080" s="21" t="n">
        <v>0</v>
      </c>
      <c r="J8080" s="21" t="n">
        <v>0</v>
      </c>
      <c r="K8080" s="21" t="n">
        <v>0</v>
      </c>
      <c r="L8080" s="21" t="n">
        <v>0</v>
      </c>
      <c r="M8080" s="21" t="n">
        <v>0</v>
      </c>
      <c r="N8080" s="21" t="n">
        <v>0</v>
      </c>
      <c r="O8080" s="21" t="n">
        <v>0</v>
      </c>
      <c r="P8080" s="21" t="n">
        <v>0</v>
      </c>
      <c r="Q8080" s="21" t="n">
        <v>0</v>
      </c>
      <c r="R8080" s="21" t="n">
        <v>0</v>
      </c>
      <c r="S8080" s="21" t="n">
        <v>0</v>
      </c>
      <c r="T8080" s="21">
        <f>$B$7051</f>
        <v/>
      </c>
      <c r="U8080" s="21">
        <f>$B$7053</f>
        <v/>
      </c>
      <c r="V8080" s="21">
        <f>0</f>
        <v/>
      </c>
      <c r="W8080" s="21">
        <f>2*$B$7052</f>
        <v/>
      </c>
      <c r="X8080" s="21">
        <f>-$B$7051</f>
        <v/>
      </c>
      <c r="Y8080" s="21">
        <f>$B$7053</f>
        <v/>
      </c>
      <c r="Z8080" s="19" t="n"/>
    </row>
    <row r="8081">
      <c r="D8081" s="21" t="n">
        <v>0</v>
      </c>
      <c r="E8081" s="21" t="n">
        <v>0</v>
      </c>
      <c r="F8081" s="21" t="n">
        <v>0</v>
      </c>
      <c r="G8081" s="21" t="n">
        <v>0</v>
      </c>
      <c r="H8081" s="21" t="n">
        <v>0</v>
      </c>
      <c r="I8081" s="21" t="n">
        <v>0</v>
      </c>
      <c r="J8081" s="21" t="n">
        <v>0</v>
      </c>
      <c r="K8081" s="21" t="n">
        <v>0</v>
      </c>
      <c r="L8081" s="21" t="n">
        <v>0</v>
      </c>
      <c r="M8081" s="21" t="n">
        <v>0</v>
      </c>
      <c r="N8081" s="21" t="n">
        <v>0</v>
      </c>
      <c r="O8081" s="21" t="n">
        <v>0</v>
      </c>
      <c r="P8081" s="21" t="n">
        <v>0</v>
      </c>
      <c r="Q8081" s="21" t="n">
        <v>0</v>
      </c>
      <c r="R8081" s="21" t="n">
        <v>0</v>
      </c>
      <c r="S8081" s="21" t="n">
        <v>0</v>
      </c>
      <c r="T8081" s="21" t="n">
        <v>0</v>
      </c>
      <c r="U8081" s="21" t="n">
        <v>0</v>
      </c>
      <c r="V8081" s="21">
        <f>-$B$7050</f>
        <v/>
      </c>
      <c r="W8081" s="21">
        <f>-$B$7051</f>
        <v/>
      </c>
      <c r="X8081" s="21">
        <f>$B$7050+$D$8059</f>
        <v/>
      </c>
      <c r="Y8081" s="21">
        <f>-$B$7051</f>
        <v/>
      </c>
      <c r="Z8081" s="19" t="n"/>
    </row>
    <row r="8082">
      <c r="D8082" s="21" t="n">
        <v>0</v>
      </c>
      <c r="E8082" s="21" t="n">
        <v>0</v>
      </c>
      <c r="F8082" s="21" t="n">
        <v>0</v>
      </c>
      <c r="G8082" s="21" t="n">
        <v>0</v>
      </c>
      <c r="H8082" s="21" t="n">
        <v>0</v>
      </c>
      <c r="I8082" s="21" t="n">
        <v>0</v>
      </c>
      <c r="J8082" s="21" t="n">
        <v>0</v>
      </c>
      <c r="K8082" s="21" t="n">
        <v>0</v>
      </c>
      <c r="L8082" s="21" t="n">
        <v>0</v>
      </c>
      <c r="M8082" s="21" t="n">
        <v>0</v>
      </c>
      <c r="N8082" s="21" t="n">
        <v>0</v>
      </c>
      <c r="O8082" s="21" t="n">
        <v>0</v>
      </c>
      <c r="P8082" s="21" t="n">
        <v>0</v>
      </c>
      <c r="Q8082" s="21" t="n">
        <v>0</v>
      </c>
      <c r="R8082" s="21" t="n">
        <v>0</v>
      </c>
      <c r="S8082" s="21" t="n">
        <v>0</v>
      </c>
      <c r="T8082" s="21" t="n">
        <v>0</v>
      </c>
      <c r="U8082" s="21" t="n">
        <v>0</v>
      </c>
      <c r="V8082" s="21">
        <f>$B$7051</f>
        <v/>
      </c>
      <c r="W8082" s="21">
        <f>$B$7053</f>
        <v/>
      </c>
      <c r="X8082" s="21">
        <f>-$B$7051</f>
        <v/>
      </c>
      <c r="Y8082" s="21">
        <f>$B$7052</f>
        <v/>
      </c>
      <c r="Z8082" s="19" t="n"/>
    </row>
    <row r="8084">
      <c r="A8084" s="8" t="inlineStr">
        <is>
          <t>gen 28</t>
        </is>
      </c>
    </row>
    <row r="8085">
      <c r="D8085" s="19">
        <f>IF(ABS(IF(ABS($E$8049)&gt;0.000000001,$E$8049,0.000000001))=0,0,IF($E$7065&lt;=$B$7059,0,IF(ABS(IF(ABS($E$8049)&gt;0.000000001,$E$8049,0.000000001))&gt;=8*$B$7061,$H$7065,0.5*$H$7065*(ABS(IF(ABS($E$8049)&gt;0.000000001,$E$8049,0.000000001))/$B$7061)^(1/3)))/ABS(IF(ABS($E$8049)&gt;0.000000001,$E$8049,0.000000001))*$I$7065)</f>
        <v/>
      </c>
      <c r="E8085" s="19">
        <f>0.5*$E$8049+0.5*$Z$8097</f>
        <v/>
      </c>
      <c r="F8085" s="19">
        <f>$Z$8098</f>
        <v/>
      </c>
    </row>
    <row r="8086">
      <c r="D8086" s="19">
        <f>IF(ABS(IF(ABS($E$8050)&gt;0.000000001,$E$8050,0.000000001))=0,0,IF($E$7066&lt;=$B$7059,0,IF(ABS(IF(ABS($E$8050)&gt;0.000000001,$E$8050,0.000000001))&gt;=8*$B$7061,$H$7066,0.5*$H$7066*(ABS(IF(ABS($E$8050)&gt;0.000000001,$E$8050,0.000000001))/$B$7061)^(1/3)))/ABS(IF(ABS($E$8050)&gt;0.000000001,$E$8050,0.000000001))*$I$7066)</f>
        <v/>
      </c>
      <c r="E8086" s="19">
        <f>0.5*$E$8050+0.5*$Z$8099</f>
        <v/>
      </c>
      <c r="F8086" s="19">
        <f>$Z$8100</f>
        <v/>
      </c>
    </row>
    <row r="8087">
      <c r="D8087" s="19">
        <f>IF(ABS(IF(ABS($E$8051)&gt;0.000000001,$E$8051,0.000000001))=0,0,IF($E$7067&lt;=$B$7059,0,IF(ABS(IF(ABS($E$8051)&gt;0.000000001,$E$8051,0.000000001))&gt;=8*$B$7061,$H$7067,0.5*$H$7067*(ABS(IF(ABS($E$8051)&gt;0.000000001,$E$8051,0.000000001))/$B$7061)^(1/3)))/ABS(IF(ABS($E$8051)&gt;0.000000001,$E$8051,0.000000001))*$I$7067)</f>
        <v/>
      </c>
      <c r="E8087" s="19">
        <f>0.5*$E$8051+0.5*$Z$8101</f>
        <v/>
      </c>
      <c r="F8087" s="19">
        <f>$Z$8102</f>
        <v/>
      </c>
    </row>
    <row r="8088">
      <c r="D8088" s="19">
        <f>IF(ABS(IF(ABS($E$8052)&gt;0.000000001,$E$8052,0.000000001))=0,0,IF($E$7068&lt;=$B$7059,0,IF(ABS(IF(ABS($E$8052)&gt;0.000000001,$E$8052,0.000000001))&gt;=8*$B$7061,$H$7068,0.5*$H$7068*(ABS(IF(ABS($E$8052)&gt;0.000000001,$E$8052,0.000000001))/$B$7061)^(1/3)))/ABS(IF(ABS($E$8052)&gt;0.000000001,$E$8052,0.000000001))*$I$7068)</f>
        <v/>
      </c>
      <c r="E8088" s="19">
        <f>0.5*$E$8052+0.5*$Z$8103</f>
        <v/>
      </c>
      <c r="F8088" s="19">
        <f>$Z$8104</f>
        <v/>
      </c>
    </row>
    <row r="8089">
      <c r="D8089" s="19">
        <f>IF(ABS(IF(ABS($E$8053)&gt;0.000000001,$E$8053,0.000000001))=0,0,IF($E$7069&lt;=$B$7059,0,IF(ABS(IF(ABS($E$8053)&gt;0.000000001,$E$8053,0.000000001))&gt;=8*$B$7061,$H$7069,0.5*$H$7069*(ABS(IF(ABS($E$8053)&gt;0.000000001,$E$8053,0.000000001))/$B$7061)^(1/3)))/ABS(IF(ABS($E$8053)&gt;0.000000001,$E$8053,0.000000001))*$I$7069)</f>
        <v/>
      </c>
      <c r="E8089" s="19">
        <f>0.5*$E$8053+0.5*$Z$8105</f>
        <v/>
      </c>
      <c r="F8089" s="19">
        <f>$Z$8106</f>
        <v/>
      </c>
    </row>
    <row r="8090">
      <c r="D8090" s="19">
        <f>IF(ABS(IF(ABS($E$8054)&gt;0.000000001,$E$8054,0.000000001))=0,0,IF($E$7070&lt;=$B$7059,0,IF(ABS(IF(ABS($E$8054)&gt;0.000000001,$E$8054,0.000000001))&gt;=8*$B$7061,$H$7070,0.5*$H$7070*(ABS(IF(ABS($E$8054)&gt;0.000000001,$E$8054,0.000000001))/$B$7061)^(1/3)))/ABS(IF(ABS($E$8054)&gt;0.000000001,$E$8054,0.000000001))*$I$7070)</f>
        <v/>
      </c>
      <c r="E8090" s="19">
        <f>0.5*$E$8054+0.5*$Z$8107</f>
        <v/>
      </c>
      <c r="F8090" s="19">
        <f>$Z$8108</f>
        <v/>
      </c>
    </row>
    <row r="8091">
      <c r="D8091" s="19">
        <f>IF(ABS(IF(ABS($E$8055)&gt;0.000000001,$E$8055,0.000000001))=0,0,IF($E$7071&lt;=$B$7059,0,IF(ABS(IF(ABS($E$8055)&gt;0.000000001,$E$8055,0.000000001))&gt;=8*$B$7061,$H$7071,0.5*$H$7071*(ABS(IF(ABS($E$8055)&gt;0.000000001,$E$8055,0.000000001))/$B$7061)^(1/3)))/ABS(IF(ABS($E$8055)&gt;0.000000001,$E$8055,0.000000001))*$I$7071)</f>
        <v/>
      </c>
      <c r="E8091" s="19">
        <f>0.5*$E$8055+0.5*$Z$8109</f>
        <v/>
      </c>
      <c r="F8091" s="19">
        <f>$Z$8110</f>
        <v/>
      </c>
    </row>
    <row r="8092">
      <c r="D8092" s="19">
        <f>IF(ABS(IF(ABS($E$8056)&gt;0.000000001,$E$8056,0.000000001))=0,0,IF($E$7072&lt;=$B$7059,0,IF(ABS(IF(ABS($E$8056)&gt;0.000000001,$E$8056,0.000000001))&gt;=8*$B$7061,$H$7072,0.5*$H$7072*(ABS(IF(ABS($E$8056)&gt;0.000000001,$E$8056,0.000000001))/$B$7061)^(1/3)))/ABS(IF(ABS($E$8056)&gt;0.000000001,$E$8056,0.000000001))*$I$7072)</f>
        <v/>
      </c>
      <c r="E8092" s="19">
        <f>0.5*$E$8056+0.5*$Z$8111</f>
        <v/>
      </c>
      <c r="F8092" s="19">
        <f>$Z$8112</f>
        <v/>
      </c>
    </row>
    <row r="8093">
      <c r="D8093" s="19">
        <f>IF(ABS(IF(ABS($E$8057)&gt;0.000000001,$E$8057,0.000000001))=0,0,IF($E$7073&lt;=$B$7059,0,IF(ABS(IF(ABS($E$8057)&gt;0.000000001,$E$8057,0.000000001))&gt;=8*$B$7061,$H$7073,0.5*$H$7073*(ABS(IF(ABS($E$8057)&gt;0.000000001,$E$8057,0.000000001))/$B$7061)^(1/3)))/ABS(IF(ABS($E$8057)&gt;0.000000001,$E$8057,0.000000001))*$I$7073)</f>
        <v/>
      </c>
      <c r="E8093" s="19">
        <f>0.5*$E$8057+0.5*$Z$8113</f>
        <v/>
      </c>
      <c r="F8093" s="19">
        <f>$Z$8114</f>
        <v/>
      </c>
    </row>
    <row r="8094">
      <c r="D8094" s="19">
        <f>IF(ABS(IF(ABS($E$8058)&gt;0.000000001,$E$8058,0.000000001))=0,0,IF($E$7074&lt;=$B$7059,0,IF(ABS(IF(ABS($E$8058)&gt;0.000000001,$E$8058,0.000000001))&gt;=8*$B$7061,$H$7074,0.5*$H$7074*(ABS(IF(ABS($E$8058)&gt;0.000000001,$E$8058,0.000000001))/$B$7061)^(1/3)))/ABS(IF(ABS($E$8058)&gt;0.000000001,$E$8058,0.000000001))*$I$7074)</f>
        <v/>
      </c>
      <c r="E8094" s="19">
        <f>0.5*$E$8058+0.5*$Z$8115</f>
        <v/>
      </c>
      <c r="F8094" s="19">
        <f>$Z$8116</f>
        <v/>
      </c>
    </row>
    <row r="8095">
      <c r="D8095" s="19">
        <f>IF(ABS(IF(ABS($E$8059)&gt;0.000000001,$E$8059,0.000000001))=0,0,IF($E$7075&lt;=$B$7059,0,IF(ABS(IF(ABS($E$8059)&gt;0.000000001,$E$8059,0.000000001))&gt;=8*$B$7061,$H$7075,0.5*$H$7075*(ABS(IF(ABS($E$8059)&gt;0.000000001,$E$8059,0.000000001))/$B$7061)^(1/3)))/ABS(IF(ABS($E$8059)&gt;0.000000001,$E$8059,0.000000001))*$I$7075)</f>
        <v/>
      </c>
      <c r="E8095" s="19">
        <f>0.5*$E$8059+0.5*$Z$8117</f>
        <v/>
      </c>
      <c r="F8095" s="19">
        <f>$Z$8118</f>
        <v/>
      </c>
    </row>
    <row r="8097">
      <c r="D8097" s="21">
        <f>$B$7050+$D$8085</f>
        <v/>
      </c>
      <c r="E8097" s="21">
        <f>$B$7051</f>
        <v/>
      </c>
      <c r="F8097" s="21">
        <f>-$B$7050</f>
        <v/>
      </c>
      <c r="G8097" s="21">
        <f>$B$7051</f>
        <v/>
      </c>
      <c r="H8097" s="21" t="n">
        <v>0</v>
      </c>
      <c r="I8097" s="21" t="n">
        <v>0</v>
      </c>
      <c r="J8097" s="21" t="n">
        <v>0</v>
      </c>
      <c r="K8097" s="21" t="n">
        <v>0</v>
      </c>
      <c r="L8097" s="21" t="n">
        <v>0</v>
      </c>
      <c r="M8097" s="21" t="n">
        <v>0</v>
      </c>
      <c r="N8097" s="21" t="n">
        <v>0</v>
      </c>
      <c r="O8097" s="21" t="n">
        <v>0</v>
      </c>
      <c r="P8097" s="21" t="n">
        <v>0</v>
      </c>
      <c r="Q8097" s="21" t="n">
        <v>0</v>
      </c>
      <c r="R8097" s="21" t="n">
        <v>0</v>
      </c>
      <c r="S8097" s="21" t="n">
        <v>0</v>
      </c>
      <c r="T8097" s="21" t="n">
        <v>0</v>
      </c>
      <c r="U8097" s="21" t="n">
        <v>0</v>
      </c>
      <c r="V8097" s="21" t="n">
        <v>0</v>
      </c>
      <c r="W8097" s="21" t="n">
        <v>0</v>
      </c>
      <c r="X8097" s="21" t="n">
        <v>0</v>
      </c>
      <c r="Y8097" s="21" t="n">
        <v>0</v>
      </c>
      <c r="Z8097" s="19">
        <f t="array" ref="Z8097:Z8118">MMULT(MINVERSE($D$8097:$Y$8118),$D$7077:$D$7098)</f>
        <v/>
      </c>
    </row>
    <row r="8098">
      <c r="D8098" s="21">
        <f>$B$7051</f>
        <v/>
      </c>
      <c r="E8098" s="21">
        <f>$B$7052</f>
        <v/>
      </c>
      <c r="F8098" s="21">
        <f>-$B$7051</f>
        <v/>
      </c>
      <c r="G8098" s="21">
        <f>$B$7053</f>
        <v/>
      </c>
      <c r="H8098" s="21" t="n">
        <v>0</v>
      </c>
      <c r="I8098" s="21" t="n">
        <v>0</v>
      </c>
      <c r="J8098" s="21" t="n">
        <v>0</v>
      </c>
      <c r="K8098" s="21" t="n">
        <v>0</v>
      </c>
      <c r="L8098" s="21" t="n">
        <v>0</v>
      </c>
      <c r="M8098" s="21" t="n">
        <v>0</v>
      </c>
      <c r="N8098" s="21" t="n">
        <v>0</v>
      </c>
      <c r="O8098" s="21" t="n">
        <v>0</v>
      </c>
      <c r="P8098" s="21" t="n">
        <v>0</v>
      </c>
      <c r="Q8098" s="21" t="n">
        <v>0</v>
      </c>
      <c r="R8098" s="21" t="n">
        <v>0</v>
      </c>
      <c r="S8098" s="21" t="n">
        <v>0</v>
      </c>
      <c r="T8098" s="21" t="n">
        <v>0</v>
      </c>
      <c r="U8098" s="21" t="n">
        <v>0</v>
      </c>
      <c r="V8098" s="21" t="n">
        <v>0</v>
      </c>
      <c r="W8098" s="21" t="n">
        <v>0</v>
      </c>
      <c r="X8098" s="21" t="n">
        <v>0</v>
      </c>
      <c r="Y8098" s="21" t="n">
        <v>0</v>
      </c>
      <c r="Z8098" s="19" t="n"/>
    </row>
    <row r="8099">
      <c r="D8099" s="21">
        <f>-$B$7050</f>
        <v/>
      </c>
      <c r="E8099" s="21">
        <f>-$B$7051</f>
        <v/>
      </c>
      <c r="F8099" s="21">
        <f>2*$B$7050+$D$8086</f>
        <v/>
      </c>
      <c r="G8099" s="21">
        <f>0</f>
        <v/>
      </c>
      <c r="H8099" s="21">
        <f>-$B$7050</f>
        <v/>
      </c>
      <c r="I8099" s="21">
        <f>$B$7051</f>
        <v/>
      </c>
      <c r="J8099" s="21" t="n">
        <v>0</v>
      </c>
      <c r="K8099" s="21" t="n">
        <v>0</v>
      </c>
      <c r="L8099" s="21" t="n">
        <v>0</v>
      </c>
      <c r="M8099" s="21" t="n">
        <v>0</v>
      </c>
      <c r="N8099" s="21" t="n">
        <v>0</v>
      </c>
      <c r="O8099" s="21" t="n">
        <v>0</v>
      </c>
      <c r="P8099" s="21" t="n">
        <v>0</v>
      </c>
      <c r="Q8099" s="21" t="n">
        <v>0</v>
      </c>
      <c r="R8099" s="21" t="n">
        <v>0</v>
      </c>
      <c r="S8099" s="21" t="n">
        <v>0</v>
      </c>
      <c r="T8099" s="21" t="n">
        <v>0</v>
      </c>
      <c r="U8099" s="21" t="n">
        <v>0</v>
      </c>
      <c r="V8099" s="21" t="n">
        <v>0</v>
      </c>
      <c r="W8099" s="21" t="n">
        <v>0</v>
      </c>
      <c r="X8099" s="21" t="n">
        <v>0</v>
      </c>
      <c r="Y8099" s="21" t="n">
        <v>0</v>
      </c>
      <c r="Z8099" s="19" t="n"/>
    </row>
    <row r="8100">
      <c r="D8100" s="21">
        <f>$B$7051</f>
        <v/>
      </c>
      <c r="E8100" s="21">
        <f>$B$7053</f>
        <v/>
      </c>
      <c r="F8100" s="21">
        <f>0</f>
        <v/>
      </c>
      <c r="G8100" s="21">
        <f>2*$B$7052</f>
        <v/>
      </c>
      <c r="H8100" s="21">
        <f>-$B$7051</f>
        <v/>
      </c>
      <c r="I8100" s="21">
        <f>$B$7053</f>
        <v/>
      </c>
      <c r="J8100" s="21" t="n">
        <v>0</v>
      </c>
      <c r="K8100" s="21" t="n">
        <v>0</v>
      </c>
      <c r="L8100" s="21" t="n">
        <v>0</v>
      </c>
      <c r="M8100" s="21" t="n">
        <v>0</v>
      </c>
      <c r="N8100" s="21" t="n">
        <v>0</v>
      </c>
      <c r="O8100" s="21" t="n">
        <v>0</v>
      </c>
      <c r="P8100" s="21" t="n">
        <v>0</v>
      </c>
      <c r="Q8100" s="21" t="n">
        <v>0</v>
      </c>
      <c r="R8100" s="21" t="n">
        <v>0</v>
      </c>
      <c r="S8100" s="21" t="n">
        <v>0</v>
      </c>
      <c r="T8100" s="21" t="n">
        <v>0</v>
      </c>
      <c r="U8100" s="21" t="n">
        <v>0</v>
      </c>
      <c r="V8100" s="21" t="n">
        <v>0</v>
      </c>
      <c r="W8100" s="21" t="n">
        <v>0</v>
      </c>
      <c r="X8100" s="21" t="n">
        <v>0</v>
      </c>
      <c r="Y8100" s="21" t="n">
        <v>0</v>
      </c>
      <c r="Z8100" s="19" t="n"/>
    </row>
    <row r="8101">
      <c r="D8101" s="21" t="n">
        <v>0</v>
      </c>
      <c r="E8101" s="21" t="n">
        <v>0</v>
      </c>
      <c r="F8101" s="21">
        <f>-$B$7050</f>
        <v/>
      </c>
      <c r="G8101" s="21">
        <f>-$B$7051</f>
        <v/>
      </c>
      <c r="H8101" s="21">
        <f>2*$B$7050+$D$8087</f>
        <v/>
      </c>
      <c r="I8101" s="21">
        <f>0</f>
        <v/>
      </c>
      <c r="J8101" s="21">
        <f>-$B$7050</f>
        <v/>
      </c>
      <c r="K8101" s="21">
        <f>$B$7051</f>
        <v/>
      </c>
      <c r="L8101" s="21" t="n">
        <v>0</v>
      </c>
      <c r="M8101" s="21" t="n">
        <v>0</v>
      </c>
      <c r="N8101" s="21" t="n">
        <v>0</v>
      </c>
      <c r="O8101" s="21" t="n">
        <v>0</v>
      </c>
      <c r="P8101" s="21" t="n">
        <v>0</v>
      </c>
      <c r="Q8101" s="21" t="n">
        <v>0</v>
      </c>
      <c r="R8101" s="21" t="n">
        <v>0</v>
      </c>
      <c r="S8101" s="21" t="n">
        <v>0</v>
      </c>
      <c r="T8101" s="21" t="n">
        <v>0</v>
      </c>
      <c r="U8101" s="21" t="n">
        <v>0</v>
      </c>
      <c r="V8101" s="21" t="n">
        <v>0</v>
      </c>
      <c r="W8101" s="21" t="n">
        <v>0</v>
      </c>
      <c r="X8101" s="21" t="n">
        <v>0</v>
      </c>
      <c r="Y8101" s="21" t="n">
        <v>0</v>
      </c>
      <c r="Z8101" s="19" t="n"/>
    </row>
    <row r="8102">
      <c r="D8102" s="21" t="n">
        <v>0</v>
      </c>
      <c r="E8102" s="21" t="n">
        <v>0</v>
      </c>
      <c r="F8102" s="21">
        <f>$B$7051</f>
        <v/>
      </c>
      <c r="G8102" s="21">
        <f>$B$7053</f>
        <v/>
      </c>
      <c r="H8102" s="21">
        <f>0</f>
        <v/>
      </c>
      <c r="I8102" s="21">
        <f>2*$B$7052</f>
        <v/>
      </c>
      <c r="J8102" s="21">
        <f>-$B$7051</f>
        <v/>
      </c>
      <c r="K8102" s="21">
        <f>$B$7053</f>
        <v/>
      </c>
      <c r="L8102" s="21" t="n">
        <v>0</v>
      </c>
      <c r="M8102" s="21" t="n">
        <v>0</v>
      </c>
      <c r="N8102" s="21" t="n">
        <v>0</v>
      </c>
      <c r="O8102" s="21" t="n">
        <v>0</v>
      </c>
      <c r="P8102" s="21" t="n">
        <v>0</v>
      </c>
      <c r="Q8102" s="21" t="n">
        <v>0</v>
      </c>
      <c r="R8102" s="21" t="n">
        <v>0</v>
      </c>
      <c r="S8102" s="21" t="n">
        <v>0</v>
      </c>
      <c r="T8102" s="21" t="n">
        <v>0</v>
      </c>
      <c r="U8102" s="21" t="n">
        <v>0</v>
      </c>
      <c r="V8102" s="21" t="n">
        <v>0</v>
      </c>
      <c r="W8102" s="21" t="n">
        <v>0</v>
      </c>
      <c r="X8102" s="21" t="n">
        <v>0</v>
      </c>
      <c r="Y8102" s="21" t="n">
        <v>0</v>
      </c>
      <c r="Z8102" s="19" t="n"/>
    </row>
    <row r="8103">
      <c r="D8103" s="21" t="n">
        <v>0</v>
      </c>
      <c r="E8103" s="21" t="n">
        <v>0</v>
      </c>
      <c r="F8103" s="21" t="n">
        <v>0</v>
      </c>
      <c r="G8103" s="21" t="n">
        <v>0</v>
      </c>
      <c r="H8103" s="21">
        <f>-$B$7050</f>
        <v/>
      </c>
      <c r="I8103" s="21">
        <f>-$B$7051</f>
        <v/>
      </c>
      <c r="J8103" s="21">
        <f>2*$B$7050+$D$8088</f>
        <v/>
      </c>
      <c r="K8103" s="21">
        <f>0</f>
        <v/>
      </c>
      <c r="L8103" s="21">
        <f>-$B$7050</f>
        <v/>
      </c>
      <c r="M8103" s="21">
        <f>$B$7051</f>
        <v/>
      </c>
      <c r="N8103" s="21" t="n">
        <v>0</v>
      </c>
      <c r="O8103" s="21" t="n">
        <v>0</v>
      </c>
      <c r="P8103" s="21" t="n">
        <v>0</v>
      </c>
      <c r="Q8103" s="21" t="n">
        <v>0</v>
      </c>
      <c r="R8103" s="21" t="n">
        <v>0</v>
      </c>
      <c r="S8103" s="21" t="n">
        <v>0</v>
      </c>
      <c r="T8103" s="21" t="n">
        <v>0</v>
      </c>
      <c r="U8103" s="21" t="n">
        <v>0</v>
      </c>
      <c r="V8103" s="21" t="n">
        <v>0</v>
      </c>
      <c r="W8103" s="21" t="n">
        <v>0</v>
      </c>
      <c r="X8103" s="21" t="n">
        <v>0</v>
      </c>
      <c r="Y8103" s="21" t="n">
        <v>0</v>
      </c>
      <c r="Z8103" s="19" t="n"/>
    </row>
    <row r="8104">
      <c r="D8104" s="21" t="n">
        <v>0</v>
      </c>
      <c r="E8104" s="21" t="n">
        <v>0</v>
      </c>
      <c r="F8104" s="21" t="n">
        <v>0</v>
      </c>
      <c r="G8104" s="21" t="n">
        <v>0</v>
      </c>
      <c r="H8104" s="21">
        <f>$B$7051</f>
        <v/>
      </c>
      <c r="I8104" s="21">
        <f>$B$7053</f>
        <v/>
      </c>
      <c r="J8104" s="21">
        <f>0</f>
        <v/>
      </c>
      <c r="K8104" s="21">
        <f>2*$B$7052</f>
        <v/>
      </c>
      <c r="L8104" s="21">
        <f>-$B$7051</f>
        <v/>
      </c>
      <c r="M8104" s="21">
        <f>$B$7053</f>
        <v/>
      </c>
      <c r="N8104" s="21" t="n">
        <v>0</v>
      </c>
      <c r="O8104" s="21" t="n">
        <v>0</v>
      </c>
      <c r="P8104" s="21" t="n">
        <v>0</v>
      </c>
      <c r="Q8104" s="21" t="n">
        <v>0</v>
      </c>
      <c r="R8104" s="21" t="n">
        <v>0</v>
      </c>
      <c r="S8104" s="21" t="n">
        <v>0</v>
      </c>
      <c r="T8104" s="21" t="n">
        <v>0</v>
      </c>
      <c r="U8104" s="21" t="n">
        <v>0</v>
      </c>
      <c r="V8104" s="21" t="n">
        <v>0</v>
      </c>
      <c r="W8104" s="21" t="n">
        <v>0</v>
      </c>
      <c r="X8104" s="21" t="n">
        <v>0</v>
      </c>
      <c r="Y8104" s="21" t="n">
        <v>0</v>
      </c>
      <c r="Z8104" s="19" t="n"/>
    </row>
    <row r="8105">
      <c r="D8105" s="21" t="n">
        <v>0</v>
      </c>
      <c r="E8105" s="21" t="n">
        <v>0</v>
      </c>
      <c r="F8105" s="21" t="n">
        <v>0</v>
      </c>
      <c r="G8105" s="21" t="n">
        <v>0</v>
      </c>
      <c r="H8105" s="21" t="n">
        <v>0</v>
      </c>
      <c r="I8105" s="21" t="n">
        <v>0</v>
      </c>
      <c r="J8105" s="21">
        <f>-$B$7050</f>
        <v/>
      </c>
      <c r="K8105" s="21">
        <f>-$B$7051</f>
        <v/>
      </c>
      <c r="L8105" s="21">
        <f>2*$B$7050+$D$8089</f>
        <v/>
      </c>
      <c r="M8105" s="21">
        <f>0</f>
        <v/>
      </c>
      <c r="N8105" s="21">
        <f>-$B$7050</f>
        <v/>
      </c>
      <c r="O8105" s="21">
        <f>$B$7051</f>
        <v/>
      </c>
      <c r="P8105" s="21" t="n">
        <v>0</v>
      </c>
      <c r="Q8105" s="21" t="n">
        <v>0</v>
      </c>
      <c r="R8105" s="21" t="n">
        <v>0</v>
      </c>
      <c r="S8105" s="21" t="n">
        <v>0</v>
      </c>
      <c r="T8105" s="21" t="n">
        <v>0</v>
      </c>
      <c r="U8105" s="21" t="n">
        <v>0</v>
      </c>
      <c r="V8105" s="21" t="n">
        <v>0</v>
      </c>
      <c r="W8105" s="21" t="n">
        <v>0</v>
      </c>
      <c r="X8105" s="21" t="n">
        <v>0</v>
      </c>
      <c r="Y8105" s="21" t="n">
        <v>0</v>
      </c>
      <c r="Z8105" s="19" t="n"/>
    </row>
    <row r="8106">
      <c r="D8106" s="21" t="n">
        <v>0</v>
      </c>
      <c r="E8106" s="21" t="n">
        <v>0</v>
      </c>
      <c r="F8106" s="21" t="n">
        <v>0</v>
      </c>
      <c r="G8106" s="21" t="n">
        <v>0</v>
      </c>
      <c r="H8106" s="21" t="n">
        <v>0</v>
      </c>
      <c r="I8106" s="21" t="n">
        <v>0</v>
      </c>
      <c r="J8106" s="21">
        <f>$B$7051</f>
        <v/>
      </c>
      <c r="K8106" s="21">
        <f>$B$7053</f>
        <v/>
      </c>
      <c r="L8106" s="21">
        <f>0</f>
        <v/>
      </c>
      <c r="M8106" s="21">
        <f>2*$B$7052</f>
        <v/>
      </c>
      <c r="N8106" s="21">
        <f>-$B$7051</f>
        <v/>
      </c>
      <c r="O8106" s="21">
        <f>$B$7053</f>
        <v/>
      </c>
      <c r="P8106" s="21" t="n">
        <v>0</v>
      </c>
      <c r="Q8106" s="21" t="n">
        <v>0</v>
      </c>
      <c r="R8106" s="21" t="n">
        <v>0</v>
      </c>
      <c r="S8106" s="21" t="n">
        <v>0</v>
      </c>
      <c r="T8106" s="21" t="n">
        <v>0</v>
      </c>
      <c r="U8106" s="21" t="n">
        <v>0</v>
      </c>
      <c r="V8106" s="21" t="n">
        <v>0</v>
      </c>
      <c r="W8106" s="21" t="n">
        <v>0</v>
      </c>
      <c r="X8106" s="21" t="n">
        <v>0</v>
      </c>
      <c r="Y8106" s="21" t="n">
        <v>0</v>
      </c>
      <c r="Z8106" s="19" t="n"/>
    </row>
    <row r="8107">
      <c r="D8107" s="21" t="n">
        <v>0</v>
      </c>
      <c r="E8107" s="21" t="n">
        <v>0</v>
      </c>
      <c r="F8107" s="21" t="n">
        <v>0</v>
      </c>
      <c r="G8107" s="21" t="n">
        <v>0</v>
      </c>
      <c r="H8107" s="21" t="n">
        <v>0</v>
      </c>
      <c r="I8107" s="21" t="n">
        <v>0</v>
      </c>
      <c r="J8107" s="21" t="n">
        <v>0</v>
      </c>
      <c r="K8107" s="21" t="n">
        <v>0</v>
      </c>
      <c r="L8107" s="21">
        <f>-$B$7050</f>
        <v/>
      </c>
      <c r="M8107" s="21">
        <f>-$B$7051</f>
        <v/>
      </c>
      <c r="N8107" s="21">
        <f>2*$B$7050+$D$8090</f>
        <v/>
      </c>
      <c r="O8107" s="21">
        <f>0</f>
        <v/>
      </c>
      <c r="P8107" s="21">
        <f>-$B$7050</f>
        <v/>
      </c>
      <c r="Q8107" s="21">
        <f>$B$7051</f>
        <v/>
      </c>
      <c r="R8107" s="21" t="n">
        <v>0</v>
      </c>
      <c r="S8107" s="21" t="n">
        <v>0</v>
      </c>
      <c r="T8107" s="21" t="n">
        <v>0</v>
      </c>
      <c r="U8107" s="21" t="n">
        <v>0</v>
      </c>
      <c r="V8107" s="21" t="n">
        <v>0</v>
      </c>
      <c r="W8107" s="21" t="n">
        <v>0</v>
      </c>
      <c r="X8107" s="21" t="n">
        <v>0</v>
      </c>
      <c r="Y8107" s="21" t="n">
        <v>0</v>
      </c>
      <c r="Z8107" s="19" t="n"/>
    </row>
    <row r="8108">
      <c r="D8108" s="21" t="n">
        <v>0</v>
      </c>
      <c r="E8108" s="21" t="n">
        <v>0</v>
      </c>
      <c r="F8108" s="21" t="n">
        <v>0</v>
      </c>
      <c r="G8108" s="21" t="n">
        <v>0</v>
      </c>
      <c r="H8108" s="21" t="n">
        <v>0</v>
      </c>
      <c r="I8108" s="21" t="n">
        <v>0</v>
      </c>
      <c r="J8108" s="21" t="n">
        <v>0</v>
      </c>
      <c r="K8108" s="21" t="n">
        <v>0</v>
      </c>
      <c r="L8108" s="21">
        <f>$B$7051</f>
        <v/>
      </c>
      <c r="M8108" s="21">
        <f>$B$7053</f>
        <v/>
      </c>
      <c r="N8108" s="21">
        <f>0</f>
        <v/>
      </c>
      <c r="O8108" s="21">
        <f>2*$B$7052</f>
        <v/>
      </c>
      <c r="P8108" s="21">
        <f>-$B$7051</f>
        <v/>
      </c>
      <c r="Q8108" s="21">
        <f>$B$7053</f>
        <v/>
      </c>
      <c r="R8108" s="21" t="n">
        <v>0</v>
      </c>
      <c r="S8108" s="21" t="n">
        <v>0</v>
      </c>
      <c r="T8108" s="21" t="n">
        <v>0</v>
      </c>
      <c r="U8108" s="21" t="n">
        <v>0</v>
      </c>
      <c r="V8108" s="21" t="n">
        <v>0</v>
      </c>
      <c r="W8108" s="21" t="n">
        <v>0</v>
      </c>
      <c r="X8108" s="21" t="n">
        <v>0</v>
      </c>
      <c r="Y8108" s="21" t="n">
        <v>0</v>
      </c>
      <c r="Z8108" s="19" t="n"/>
    </row>
    <row r="8109">
      <c r="D8109" s="21" t="n">
        <v>0</v>
      </c>
      <c r="E8109" s="21" t="n">
        <v>0</v>
      </c>
      <c r="F8109" s="21" t="n">
        <v>0</v>
      </c>
      <c r="G8109" s="21" t="n">
        <v>0</v>
      </c>
      <c r="H8109" s="21" t="n">
        <v>0</v>
      </c>
      <c r="I8109" s="21" t="n">
        <v>0</v>
      </c>
      <c r="J8109" s="21" t="n">
        <v>0</v>
      </c>
      <c r="K8109" s="21" t="n">
        <v>0</v>
      </c>
      <c r="L8109" s="21" t="n">
        <v>0</v>
      </c>
      <c r="M8109" s="21" t="n">
        <v>0</v>
      </c>
      <c r="N8109" s="21">
        <f>-$B$7050</f>
        <v/>
      </c>
      <c r="O8109" s="21">
        <f>-$B$7051</f>
        <v/>
      </c>
      <c r="P8109" s="21">
        <f>2*$B$7050+$D$8091</f>
        <v/>
      </c>
      <c r="Q8109" s="21">
        <f>0</f>
        <v/>
      </c>
      <c r="R8109" s="21">
        <f>-$B$7050</f>
        <v/>
      </c>
      <c r="S8109" s="21">
        <f>$B$7051</f>
        <v/>
      </c>
      <c r="T8109" s="21" t="n">
        <v>0</v>
      </c>
      <c r="U8109" s="21" t="n">
        <v>0</v>
      </c>
      <c r="V8109" s="21" t="n">
        <v>0</v>
      </c>
      <c r="W8109" s="21" t="n">
        <v>0</v>
      </c>
      <c r="X8109" s="21" t="n">
        <v>0</v>
      </c>
      <c r="Y8109" s="21" t="n">
        <v>0</v>
      </c>
      <c r="Z8109" s="19" t="n"/>
    </row>
    <row r="8110">
      <c r="D8110" s="21" t="n">
        <v>0</v>
      </c>
      <c r="E8110" s="21" t="n">
        <v>0</v>
      </c>
      <c r="F8110" s="21" t="n">
        <v>0</v>
      </c>
      <c r="G8110" s="21" t="n">
        <v>0</v>
      </c>
      <c r="H8110" s="21" t="n">
        <v>0</v>
      </c>
      <c r="I8110" s="21" t="n">
        <v>0</v>
      </c>
      <c r="J8110" s="21" t="n">
        <v>0</v>
      </c>
      <c r="K8110" s="21" t="n">
        <v>0</v>
      </c>
      <c r="L8110" s="21" t="n">
        <v>0</v>
      </c>
      <c r="M8110" s="21" t="n">
        <v>0</v>
      </c>
      <c r="N8110" s="21">
        <f>$B$7051</f>
        <v/>
      </c>
      <c r="O8110" s="21">
        <f>$B$7053</f>
        <v/>
      </c>
      <c r="P8110" s="21">
        <f>0</f>
        <v/>
      </c>
      <c r="Q8110" s="21">
        <f>2*$B$7052</f>
        <v/>
      </c>
      <c r="R8110" s="21">
        <f>-$B$7051</f>
        <v/>
      </c>
      <c r="S8110" s="21">
        <f>$B$7053</f>
        <v/>
      </c>
      <c r="T8110" s="21" t="n">
        <v>0</v>
      </c>
      <c r="U8110" s="21" t="n">
        <v>0</v>
      </c>
      <c r="V8110" s="21" t="n">
        <v>0</v>
      </c>
      <c r="W8110" s="21" t="n">
        <v>0</v>
      </c>
      <c r="X8110" s="21" t="n">
        <v>0</v>
      </c>
      <c r="Y8110" s="21" t="n">
        <v>0</v>
      </c>
      <c r="Z8110" s="19" t="n"/>
    </row>
    <row r="8111">
      <c r="D8111" s="21" t="n">
        <v>0</v>
      </c>
      <c r="E8111" s="21" t="n">
        <v>0</v>
      </c>
      <c r="F8111" s="21" t="n">
        <v>0</v>
      </c>
      <c r="G8111" s="21" t="n">
        <v>0</v>
      </c>
      <c r="H8111" s="21" t="n">
        <v>0</v>
      </c>
      <c r="I8111" s="21" t="n">
        <v>0</v>
      </c>
      <c r="J8111" s="21" t="n">
        <v>0</v>
      </c>
      <c r="K8111" s="21" t="n">
        <v>0</v>
      </c>
      <c r="L8111" s="21" t="n">
        <v>0</v>
      </c>
      <c r="M8111" s="21" t="n">
        <v>0</v>
      </c>
      <c r="N8111" s="21" t="n">
        <v>0</v>
      </c>
      <c r="O8111" s="21" t="n">
        <v>0</v>
      </c>
      <c r="P8111" s="21">
        <f>-$B$7050</f>
        <v/>
      </c>
      <c r="Q8111" s="21">
        <f>-$B$7051</f>
        <v/>
      </c>
      <c r="R8111" s="21">
        <f>2*$B$7050+$D$8092</f>
        <v/>
      </c>
      <c r="S8111" s="21">
        <f>0</f>
        <v/>
      </c>
      <c r="T8111" s="21">
        <f>-$B$7050</f>
        <v/>
      </c>
      <c r="U8111" s="21">
        <f>$B$7051</f>
        <v/>
      </c>
      <c r="V8111" s="21" t="n">
        <v>0</v>
      </c>
      <c r="W8111" s="21" t="n">
        <v>0</v>
      </c>
      <c r="X8111" s="21" t="n">
        <v>0</v>
      </c>
      <c r="Y8111" s="21" t="n">
        <v>0</v>
      </c>
      <c r="Z8111" s="19" t="n"/>
    </row>
    <row r="8112">
      <c r="D8112" s="21" t="n">
        <v>0</v>
      </c>
      <c r="E8112" s="21" t="n">
        <v>0</v>
      </c>
      <c r="F8112" s="21" t="n">
        <v>0</v>
      </c>
      <c r="G8112" s="21" t="n">
        <v>0</v>
      </c>
      <c r="H8112" s="21" t="n">
        <v>0</v>
      </c>
      <c r="I8112" s="21" t="n">
        <v>0</v>
      </c>
      <c r="J8112" s="21" t="n">
        <v>0</v>
      </c>
      <c r="K8112" s="21" t="n">
        <v>0</v>
      </c>
      <c r="L8112" s="21" t="n">
        <v>0</v>
      </c>
      <c r="M8112" s="21" t="n">
        <v>0</v>
      </c>
      <c r="N8112" s="21" t="n">
        <v>0</v>
      </c>
      <c r="O8112" s="21" t="n">
        <v>0</v>
      </c>
      <c r="P8112" s="21">
        <f>$B$7051</f>
        <v/>
      </c>
      <c r="Q8112" s="21">
        <f>$B$7053</f>
        <v/>
      </c>
      <c r="R8112" s="21">
        <f>0</f>
        <v/>
      </c>
      <c r="S8112" s="21">
        <f>2*$B$7052</f>
        <v/>
      </c>
      <c r="T8112" s="21">
        <f>-$B$7051</f>
        <v/>
      </c>
      <c r="U8112" s="21">
        <f>$B$7053</f>
        <v/>
      </c>
      <c r="V8112" s="21" t="n">
        <v>0</v>
      </c>
      <c r="W8112" s="21" t="n">
        <v>0</v>
      </c>
      <c r="X8112" s="21" t="n">
        <v>0</v>
      </c>
      <c r="Y8112" s="21" t="n">
        <v>0</v>
      </c>
      <c r="Z8112" s="19" t="n"/>
    </row>
    <row r="8113">
      <c r="D8113" s="21" t="n">
        <v>0</v>
      </c>
      <c r="E8113" s="21" t="n">
        <v>0</v>
      </c>
      <c r="F8113" s="21" t="n">
        <v>0</v>
      </c>
      <c r="G8113" s="21" t="n">
        <v>0</v>
      </c>
      <c r="H8113" s="21" t="n">
        <v>0</v>
      </c>
      <c r="I8113" s="21" t="n">
        <v>0</v>
      </c>
      <c r="J8113" s="21" t="n">
        <v>0</v>
      </c>
      <c r="K8113" s="21" t="n">
        <v>0</v>
      </c>
      <c r="L8113" s="21" t="n">
        <v>0</v>
      </c>
      <c r="M8113" s="21" t="n">
        <v>0</v>
      </c>
      <c r="N8113" s="21" t="n">
        <v>0</v>
      </c>
      <c r="O8113" s="21" t="n">
        <v>0</v>
      </c>
      <c r="P8113" s="21" t="n">
        <v>0</v>
      </c>
      <c r="Q8113" s="21" t="n">
        <v>0</v>
      </c>
      <c r="R8113" s="21">
        <f>-$B$7050</f>
        <v/>
      </c>
      <c r="S8113" s="21">
        <f>-$B$7051</f>
        <v/>
      </c>
      <c r="T8113" s="21">
        <f>2*$B$7050+$D$8093</f>
        <v/>
      </c>
      <c r="U8113" s="21">
        <f>0</f>
        <v/>
      </c>
      <c r="V8113" s="21">
        <f>-$B$7050</f>
        <v/>
      </c>
      <c r="W8113" s="21">
        <f>$B$7051</f>
        <v/>
      </c>
      <c r="X8113" s="21" t="n">
        <v>0</v>
      </c>
      <c r="Y8113" s="21" t="n">
        <v>0</v>
      </c>
      <c r="Z8113" s="19" t="n"/>
    </row>
    <row r="8114">
      <c r="D8114" s="21" t="n">
        <v>0</v>
      </c>
      <c r="E8114" s="21" t="n">
        <v>0</v>
      </c>
      <c r="F8114" s="21" t="n">
        <v>0</v>
      </c>
      <c r="G8114" s="21" t="n">
        <v>0</v>
      </c>
      <c r="H8114" s="21" t="n">
        <v>0</v>
      </c>
      <c r="I8114" s="21" t="n">
        <v>0</v>
      </c>
      <c r="J8114" s="21" t="n">
        <v>0</v>
      </c>
      <c r="K8114" s="21" t="n">
        <v>0</v>
      </c>
      <c r="L8114" s="21" t="n">
        <v>0</v>
      </c>
      <c r="M8114" s="21" t="n">
        <v>0</v>
      </c>
      <c r="N8114" s="21" t="n">
        <v>0</v>
      </c>
      <c r="O8114" s="21" t="n">
        <v>0</v>
      </c>
      <c r="P8114" s="21" t="n">
        <v>0</v>
      </c>
      <c r="Q8114" s="21" t="n">
        <v>0</v>
      </c>
      <c r="R8114" s="21">
        <f>$B$7051</f>
        <v/>
      </c>
      <c r="S8114" s="21">
        <f>$B$7053</f>
        <v/>
      </c>
      <c r="T8114" s="21">
        <f>0</f>
        <v/>
      </c>
      <c r="U8114" s="21">
        <f>2*$B$7052</f>
        <v/>
      </c>
      <c r="V8114" s="21">
        <f>-$B$7051</f>
        <v/>
      </c>
      <c r="W8114" s="21">
        <f>$B$7053</f>
        <v/>
      </c>
      <c r="X8114" s="21" t="n">
        <v>0</v>
      </c>
      <c r="Y8114" s="21" t="n">
        <v>0</v>
      </c>
      <c r="Z8114" s="19" t="n"/>
    </row>
    <row r="8115">
      <c r="D8115" s="21" t="n">
        <v>0</v>
      </c>
      <c r="E8115" s="21" t="n">
        <v>0</v>
      </c>
      <c r="F8115" s="21" t="n">
        <v>0</v>
      </c>
      <c r="G8115" s="21" t="n">
        <v>0</v>
      </c>
      <c r="H8115" s="21" t="n">
        <v>0</v>
      </c>
      <c r="I8115" s="21" t="n">
        <v>0</v>
      </c>
      <c r="J8115" s="21" t="n">
        <v>0</v>
      </c>
      <c r="K8115" s="21" t="n">
        <v>0</v>
      </c>
      <c r="L8115" s="21" t="n">
        <v>0</v>
      </c>
      <c r="M8115" s="21" t="n">
        <v>0</v>
      </c>
      <c r="N8115" s="21" t="n">
        <v>0</v>
      </c>
      <c r="O8115" s="21" t="n">
        <v>0</v>
      </c>
      <c r="P8115" s="21" t="n">
        <v>0</v>
      </c>
      <c r="Q8115" s="21" t="n">
        <v>0</v>
      </c>
      <c r="R8115" s="21" t="n">
        <v>0</v>
      </c>
      <c r="S8115" s="21" t="n">
        <v>0</v>
      </c>
      <c r="T8115" s="21">
        <f>-$B$7050</f>
        <v/>
      </c>
      <c r="U8115" s="21">
        <f>-$B$7051</f>
        <v/>
      </c>
      <c r="V8115" s="21">
        <f>2*$B$7050+$D$8094</f>
        <v/>
      </c>
      <c r="W8115" s="21">
        <f>0</f>
        <v/>
      </c>
      <c r="X8115" s="21">
        <f>-$B$7050</f>
        <v/>
      </c>
      <c r="Y8115" s="21">
        <f>$B$7051</f>
        <v/>
      </c>
      <c r="Z8115" s="19" t="n"/>
    </row>
    <row r="8116">
      <c r="D8116" s="21" t="n">
        <v>0</v>
      </c>
      <c r="E8116" s="21" t="n">
        <v>0</v>
      </c>
      <c r="F8116" s="21" t="n">
        <v>0</v>
      </c>
      <c r="G8116" s="21" t="n">
        <v>0</v>
      </c>
      <c r="H8116" s="21" t="n">
        <v>0</v>
      </c>
      <c r="I8116" s="21" t="n">
        <v>0</v>
      </c>
      <c r="J8116" s="21" t="n">
        <v>0</v>
      </c>
      <c r="K8116" s="21" t="n">
        <v>0</v>
      </c>
      <c r="L8116" s="21" t="n">
        <v>0</v>
      </c>
      <c r="M8116" s="21" t="n">
        <v>0</v>
      </c>
      <c r="N8116" s="21" t="n">
        <v>0</v>
      </c>
      <c r="O8116" s="21" t="n">
        <v>0</v>
      </c>
      <c r="P8116" s="21" t="n">
        <v>0</v>
      </c>
      <c r="Q8116" s="21" t="n">
        <v>0</v>
      </c>
      <c r="R8116" s="21" t="n">
        <v>0</v>
      </c>
      <c r="S8116" s="21" t="n">
        <v>0</v>
      </c>
      <c r="T8116" s="21">
        <f>$B$7051</f>
        <v/>
      </c>
      <c r="U8116" s="21">
        <f>$B$7053</f>
        <v/>
      </c>
      <c r="V8116" s="21">
        <f>0</f>
        <v/>
      </c>
      <c r="W8116" s="21">
        <f>2*$B$7052</f>
        <v/>
      </c>
      <c r="X8116" s="21">
        <f>-$B$7051</f>
        <v/>
      </c>
      <c r="Y8116" s="21">
        <f>$B$7053</f>
        <v/>
      </c>
      <c r="Z8116" s="19" t="n"/>
    </row>
    <row r="8117">
      <c r="D8117" s="21" t="n">
        <v>0</v>
      </c>
      <c r="E8117" s="21" t="n">
        <v>0</v>
      </c>
      <c r="F8117" s="21" t="n">
        <v>0</v>
      </c>
      <c r="G8117" s="21" t="n">
        <v>0</v>
      </c>
      <c r="H8117" s="21" t="n">
        <v>0</v>
      </c>
      <c r="I8117" s="21" t="n">
        <v>0</v>
      </c>
      <c r="J8117" s="21" t="n">
        <v>0</v>
      </c>
      <c r="K8117" s="21" t="n">
        <v>0</v>
      </c>
      <c r="L8117" s="21" t="n">
        <v>0</v>
      </c>
      <c r="M8117" s="21" t="n">
        <v>0</v>
      </c>
      <c r="N8117" s="21" t="n">
        <v>0</v>
      </c>
      <c r="O8117" s="21" t="n">
        <v>0</v>
      </c>
      <c r="P8117" s="21" t="n">
        <v>0</v>
      </c>
      <c r="Q8117" s="21" t="n">
        <v>0</v>
      </c>
      <c r="R8117" s="21" t="n">
        <v>0</v>
      </c>
      <c r="S8117" s="21" t="n">
        <v>0</v>
      </c>
      <c r="T8117" s="21" t="n">
        <v>0</v>
      </c>
      <c r="U8117" s="21" t="n">
        <v>0</v>
      </c>
      <c r="V8117" s="21">
        <f>-$B$7050</f>
        <v/>
      </c>
      <c r="W8117" s="21">
        <f>-$B$7051</f>
        <v/>
      </c>
      <c r="X8117" s="21">
        <f>$B$7050+$D$8095</f>
        <v/>
      </c>
      <c r="Y8117" s="21">
        <f>-$B$7051</f>
        <v/>
      </c>
      <c r="Z8117" s="19" t="n"/>
    </row>
    <row r="8118">
      <c r="D8118" s="21" t="n">
        <v>0</v>
      </c>
      <c r="E8118" s="21" t="n">
        <v>0</v>
      </c>
      <c r="F8118" s="21" t="n">
        <v>0</v>
      </c>
      <c r="G8118" s="21" t="n">
        <v>0</v>
      </c>
      <c r="H8118" s="21" t="n">
        <v>0</v>
      </c>
      <c r="I8118" s="21" t="n">
        <v>0</v>
      </c>
      <c r="J8118" s="21" t="n">
        <v>0</v>
      </c>
      <c r="K8118" s="21" t="n">
        <v>0</v>
      </c>
      <c r="L8118" s="21" t="n">
        <v>0</v>
      </c>
      <c r="M8118" s="21" t="n">
        <v>0</v>
      </c>
      <c r="N8118" s="21" t="n">
        <v>0</v>
      </c>
      <c r="O8118" s="21" t="n">
        <v>0</v>
      </c>
      <c r="P8118" s="21" t="n">
        <v>0</v>
      </c>
      <c r="Q8118" s="21" t="n">
        <v>0</v>
      </c>
      <c r="R8118" s="21" t="n">
        <v>0</v>
      </c>
      <c r="S8118" s="21" t="n">
        <v>0</v>
      </c>
      <c r="T8118" s="21" t="n">
        <v>0</v>
      </c>
      <c r="U8118" s="21" t="n">
        <v>0</v>
      </c>
      <c r="V8118" s="21">
        <f>$B$7051</f>
        <v/>
      </c>
      <c r="W8118" s="21">
        <f>$B$7053</f>
        <v/>
      </c>
      <c r="X8118" s="21">
        <f>-$B$7051</f>
        <v/>
      </c>
      <c r="Y8118" s="21">
        <f>$B$7052</f>
        <v/>
      </c>
      <c r="Z8118" s="19" t="n"/>
    </row>
    <row r="8120">
      <c r="A8120" s="8" t="inlineStr">
        <is>
          <t>gen 29</t>
        </is>
      </c>
    </row>
    <row r="8121">
      <c r="D8121" s="19">
        <f>IF(ABS(IF(ABS($E$8085)&gt;0.000000001,$E$8085,0.000000001))=0,0,IF($E$7065&lt;=$B$7059,0,IF(ABS(IF(ABS($E$8085)&gt;0.000000001,$E$8085,0.000000001))&gt;=8*$B$7061,$H$7065,0.5*$H$7065*(ABS(IF(ABS($E$8085)&gt;0.000000001,$E$8085,0.000000001))/$B$7061)^(1/3)))/ABS(IF(ABS($E$8085)&gt;0.000000001,$E$8085,0.000000001))*$I$7065)</f>
        <v/>
      </c>
      <c r="E8121" s="19">
        <f>0.5*$E$8085+0.5*$Z$8133</f>
        <v/>
      </c>
      <c r="F8121" s="19">
        <f>$Z$8134</f>
        <v/>
      </c>
    </row>
    <row r="8122">
      <c r="D8122" s="19">
        <f>IF(ABS(IF(ABS($E$8086)&gt;0.000000001,$E$8086,0.000000001))=0,0,IF($E$7066&lt;=$B$7059,0,IF(ABS(IF(ABS($E$8086)&gt;0.000000001,$E$8086,0.000000001))&gt;=8*$B$7061,$H$7066,0.5*$H$7066*(ABS(IF(ABS($E$8086)&gt;0.000000001,$E$8086,0.000000001))/$B$7061)^(1/3)))/ABS(IF(ABS($E$8086)&gt;0.000000001,$E$8086,0.000000001))*$I$7066)</f>
        <v/>
      </c>
      <c r="E8122" s="19">
        <f>0.5*$E$8086+0.5*$Z$8135</f>
        <v/>
      </c>
      <c r="F8122" s="19">
        <f>$Z$8136</f>
        <v/>
      </c>
    </row>
    <row r="8123">
      <c r="D8123" s="19">
        <f>IF(ABS(IF(ABS($E$8087)&gt;0.000000001,$E$8087,0.000000001))=0,0,IF($E$7067&lt;=$B$7059,0,IF(ABS(IF(ABS($E$8087)&gt;0.000000001,$E$8087,0.000000001))&gt;=8*$B$7061,$H$7067,0.5*$H$7067*(ABS(IF(ABS($E$8087)&gt;0.000000001,$E$8087,0.000000001))/$B$7061)^(1/3)))/ABS(IF(ABS($E$8087)&gt;0.000000001,$E$8087,0.000000001))*$I$7067)</f>
        <v/>
      </c>
      <c r="E8123" s="19">
        <f>0.5*$E$8087+0.5*$Z$8137</f>
        <v/>
      </c>
      <c r="F8123" s="19">
        <f>$Z$8138</f>
        <v/>
      </c>
    </row>
    <row r="8124">
      <c r="D8124" s="19">
        <f>IF(ABS(IF(ABS($E$8088)&gt;0.000000001,$E$8088,0.000000001))=0,0,IF($E$7068&lt;=$B$7059,0,IF(ABS(IF(ABS($E$8088)&gt;0.000000001,$E$8088,0.000000001))&gt;=8*$B$7061,$H$7068,0.5*$H$7068*(ABS(IF(ABS($E$8088)&gt;0.000000001,$E$8088,0.000000001))/$B$7061)^(1/3)))/ABS(IF(ABS($E$8088)&gt;0.000000001,$E$8088,0.000000001))*$I$7068)</f>
        <v/>
      </c>
      <c r="E8124" s="19">
        <f>0.5*$E$8088+0.5*$Z$8139</f>
        <v/>
      </c>
      <c r="F8124" s="19">
        <f>$Z$8140</f>
        <v/>
      </c>
    </row>
    <row r="8125">
      <c r="D8125" s="19">
        <f>IF(ABS(IF(ABS($E$8089)&gt;0.000000001,$E$8089,0.000000001))=0,0,IF($E$7069&lt;=$B$7059,0,IF(ABS(IF(ABS($E$8089)&gt;0.000000001,$E$8089,0.000000001))&gt;=8*$B$7061,$H$7069,0.5*$H$7069*(ABS(IF(ABS($E$8089)&gt;0.000000001,$E$8089,0.000000001))/$B$7061)^(1/3)))/ABS(IF(ABS($E$8089)&gt;0.000000001,$E$8089,0.000000001))*$I$7069)</f>
        <v/>
      </c>
      <c r="E8125" s="19">
        <f>0.5*$E$8089+0.5*$Z$8141</f>
        <v/>
      </c>
      <c r="F8125" s="19">
        <f>$Z$8142</f>
        <v/>
      </c>
    </row>
    <row r="8126">
      <c r="D8126" s="19">
        <f>IF(ABS(IF(ABS($E$8090)&gt;0.000000001,$E$8090,0.000000001))=0,0,IF($E$7070&lt;=$B$7059,0,IF(ABS(IF(ABS($E$8090)&gt;0.000000001,$E$8090,0.000000001))&gt;=8*$B$7061,$H$7070,0.5*$H$7070*(ABS(IF(ABS($E$8090)&gt;0.000000001,$E$8090,0.000000001))/$B$7061)^(1/3)))/ABS(IF(ABS($E$8090)&gt;0.000000001,$E$8090,0.000000001))*$I$7070)</f>
        <v/>
      </c>
      <c r="E8126" s="19">
        <f>0.5*$E$8090+0.5*$Z$8143</f>
        <v/>
      </c>
      <c r="F8126" s="19">
        <f>$Z$8144</f>
        <v/>
      </c>
    </row>
    <row r="8127">
      <c r="D8127" s="19">
        <f>IF(ABS(IF(ABS($E$8091)&gt;0.000000001,$E$8091,0.000000001))=0,0,IF($E$7071&lt;=$B$7059,0,IF(ABS(IF(ABS($E$8091)&gt;0.000000001,$E$8091,0.000000001))&gt;=8*$B$7061,$H$7071,0.5*$H$7071*(ABS(IF(ABS($E$8091)&gt;0.000000001,$E$8091,0.000000001))/$B$7061)^(1/3)))/ABS(IF(ABS($E$8091)&gt;0.000000001,$E$8091,0.000000001))*$I$7071)</f>
        <v/>
      </c>
      <c r="E8127" s="19">
        <f>0.5*$E$8091+0.5*$Z$8145</f>
        <v/>
      </c>
      <c r="F8127" s="19">
        <f>$Z$8146</f>
        <v/>
      </c>
    </row>
    <row r="8128">
      <c r="D8128" s="19">
        <f>IF(ABS(IF(ABS($E$8092)&gt;0.000000001,$E$8092,0.000000001))=0,0,IF($E$7072&lt;=$B$7059,0,IF(ABS(IF(ABS($E$8092)&gt;0.000000001,$E$8092,0.000000001))&gt;=8*$B$7061,$H$7072,0.5*$H$7072*(ABS(IF(ABS($E$8092)&gt;0.000000001,$E$8092,0.000000001))/$B$7061)^(1/3)))/ABS(IF(ABS($E$8092)&gt;0.000000001,$E$8092,0.000000001))*$I$7072)</f>
        <v/>
      </c>
      <c r="E8128" s="19">
        <f>0.5*$E$8092+0.5*$Z$8147</f>
        <v/>
      </c>
      <c r="F8128" s="19">
        <f>$Z$8148</f>
        <v/>
      </c>
    </row>
    <row r="8129">
      <c r="D8129" s="19">
        <f>IF(ABS(IF(ABS($E$8093)&gt;0.000000001,$E$8093,0.000000001))=0,0,IF($E$7073&lt;=$B$7059,0,IF(ABS(IF(ABS($E$8093)&gt;0.000000001,$E$8093,0.000000001))&gt;=8*$B$7061,$H$7073,0.5*$H$7073*(ABS(IF(ABS($E$8093)&gt;0.000000001,$E$8093,0.000000001))/$B$7061)^(1/3)))/ABS(IF(ABS($E$8093)&gt;0.000000001,$E$8093,0.000000001))*$I$7073)</f>
        <v/>
      </c>
      <c r="E8129" s="19">
        <f>0.5*$E$8093+0.5*$Z$8149</f>
        <v/>
      </c>
      <c r="F8129" s="19">
        <f>$Z$8150</f>
        <v/>
      </c>
    </row>
    <row r="8130">
      <c r="D8130" s="19">
        <f>IF(ABS(IF(ABS($E$8094)&gt;0.000000001,$E$8094,0.000000001))=0,0,IF($E$7074&lt;=$B$7059,0,IF(ABS(IF(ABS($E$8094)&gt;0.000000001,$E$8094,0.000000001))&gt;=8*$B$7061,$H$7074,0.5*$H$7074*(ABS(IF(ABS($E$8094)&gt;0.000000001,$E$8094,0.000000001))/$B$7061)^(1/3)))/ABS(IF(ABS($E$8094)&gt;0.000000001,$E$8094,0.000000001))*$I$7074)</f>
        <v/>
      </c>
      <c r="E8130" s="19">
        <f>0.5*$E$8094+0.5*$Z$8151</f>
        <v/>
      </c>
      <c r="F8130" s="19">
        <f>$Z$8152</f>
        <v/>
      </c>
    </row>
    <row r="8131">
      <c r="D8131" s="19">
        <f>IF(ABS(IF(ABS($E$8095)&gt;0.000000001,$E$8095,0.000000001))=0,0,IF($E$7075&lt;=$B$7059,0,IF(ABS(IF(ABS($E$8095)&gt;0.000000001,$E$8095,0.000000001))&gt;=8*$B$7061,$H$7075,0.5*$H$7075*(ABS(IF(ABS($E$8095)&gt;0.000000001,$E$8095,0.000000001))/$B$7061)^(1/3)))/ABS(IF(ABS($E$8095)&gt;0.000000001,$E$8095,0.000000001))*$I$7075)</f>
        <v/>
      </c>
      <c r="E8131" s="19">
        <f>0.5*$E$8095+0.5*$Z$8153</f>
        <v/>
      </c>
      <c r="F8131" s="19">
        <f>$Z$8154</f>
        <v/>
      </c>
    </row>
    <row r="8133">
      <c r="D8133" s="21">
        <f>$B$7050+$D$8121</f>
        <v/>
      </c>
      <c r="E8133" s="21">
        <f>$B$7051</f>
        <v/>
      </c>
      <c r="F8133" s="21">
        <f>-$B$7050</f>
        <v/>
      </c>
      <c r="G8133" s="21">
        <f>$B$7051</f>
        <v/>
      </c>
      <c r="H8133" s="21" t="n">
        <v>0</v>
      </c>
      <c r="I8133" s="21" t="n">
        <v>0</v>
      </c>
      <c r="J8133" s="21" t="n">
        <v>0</v>
      </c>
      <c r="K8133" s="21" t="n">
        <v>0</v>
      </c>
      <c r="L8133" s="21" t="n">
        <v>0</v>
      </c>
      <c r="M8133" s="21" t="n">
        <v>0</v>
      </c>
      <c r="N8133" s="21" t="n">
        <v>0</v>
      </c>
      <c r="O8133" s="21" t="n">
        <v>0</v>
      </c>
      <c r="P8133" s="21" t="n">
        <v>0</v>
      </c>
      <c r="Q8133" s="21" t="n">
        <v>0</v>
      </c>
      <c r="R8133" s="21" t="n">
        <v>0</v>
      </c>
      <c r="S8133" s="21" t="n">
        <v>0</v>
      </c>
      <c r="T8133" s="21" t="n">
        <v>0</v>
      </c>
      <c r="U8133" s="21" t="n">
        <v>0</v>
      </c>
      <c r="V8133" s="21" t="n">
        <v>0</v>
      </c>
      <c r="W8133" s="21" t="n">
        <v>0</v>
      </c>
      <c r="X8133" s="21" t="n">
        <v>0</v>
      </c>
      <c r="Y8133" s="21" t="n">
        <v>0</v>
      </c>
      <c r="Z8133" s="19">
        <f t="array" ref="Z8133:Z8154">MMULT(MINVERSE($D$8133:$Y$8154),$D$7077:$D$7098)</f>
        <v/>
      </c>
    </row>
    <row r="8134">
      <c r="D8134" s="21">
        <f>$B$7051</f>
        <v/>
      </c>
      <c r="E8134" s="21">
        <f>$B$7052</f>
        <v/>
      </c>
      <c r="F8134" s="21">
        <f>-$B$7051</f>
        <v/>
      </c>
      <c r="G8134" s="21">
        <f>$B$7053</f>
        <v/>
      </c>
      <c r="H8134" s="21" t="n">
        <v>0</v>
      </c>
      <c r="I8134" s="21" t="n">
        <v>0</v>
      </c>
      <c r="J8134" s="21" t="n">
        <v>0</v>
      </c>
      <c r="K8134" s="21" t="n">
        <v>0</v>
      </c>
      <c r="L8134" s="21" t="n">
        <v>0</v>
      </c>
      <c r="M8134" s="21" t="n">
        <v>0</v>
      </c>
      <c r="N8134" s="21" t="n">
        <v>0</v>
      </c>
      <c r="O8134" s="21" t="n">
        <v>0</v>
      </c>
      <c r="P8134" s="21" t="n">
        <v>0</v>
      </c>
      <c r="Q8134" s="21" t="n">
        <v>0</v>
      </c>
      <c r="R8134" s="21" t="n">
        <v>0</v>
      </c>
      <c r="S8134" s="21" t="n">
        <v>0</v>
      </c>
      <c r="T8134" s="21" t="n">
        <v>0</v>
      </c>
      <c r="U8134" s="21" t="n">
        <v>0</v>
      </c>
      <c r="V8134" s="21" t="n">
        <v>0</v>
      </c>
      <c r="W8134" s="21" t="n">
        <v>0</v>
      </c>
      <c r="X8134" s="21" t="n">
        <v>0</v>
      </c>
      <c r="Y8134" s="21" t="n">
        <v>0</v>
      </c>
      <c r="Z8134" s="19" t="n"/>
    </row>
    <row r="8135">
      <c r="D8135" s="21">
        <f>-$B$7050</f>
        <v/>
      </c>
      <c r="E8135" s="21">
        <f>-$B$7051</f>
        <v/>
      </c>
      <c r="F8135" s="21">
        <f>2*$B$7050+$D$8122</f>
        <v/>
      </c>
      <c r="G8135" s="21">
        <f>0</f>
        <v/>
      </c>
      <c r="H8135" s="21">
        <f>-$B$7050</f>
        <v/>
      </c>
      <c r="I8135" s="21">
        <f>$B$7051</f>
        <v/>
      </c>
      <c r="J8135" s="21" t="n">
        <v>0</v>
      </c>
      <c r="K8135" s="21" t="n">
        <v>0</v>
      </c>
      <c r="L8135" s="21" t="n">
        <v>0</v>
      </c>
      <c r="M8135" s="21" t="n">
        <v>0</v>
      </c>
      <c r="N8135" s="21" t="n">
        <v>0</v>
      </c>
      <c r="O8135" s="21" t="n">
        <v>0</v>
      </c>
      <c r="P8135" s="21" t="n">
        <v>0</v>
      </c>
      <c r="Q8135" s="21" t="n">
        <v>0</v>
      </c>
      <c r="R8135" s="21" t="n">
        <v>0</v>
      </c>
      <c r="S8135" s="21" t="n">
        <v>0</v>
      </c>
      <c r="T8135" s="21" t="n">
        <v>0</v>
      </c>
      <c r="U8135" s="21" t="n">
        <v>0</v>
      </c>
      <c r="V8135" s="21" t="n">
        <v>0</v>
      </c>
      <c r="W8135" s="21" t="n">
        <v>0</v>
      </c>
      <c r="X8135" s="21" t="n">
        <v>0</v>
      </c>
      <c r="Y8135" s="21" t="n">
        <v>0</v>
      </c>
      <c r="Z8135" s="19" t="n"/>
    </row>
    <row r="8136">
      <c r="D8136" s="21">
        <f>$B$7051</f>
        <v/>
      </c>
      <c r="E8136" s="21">
        <f>$B$7053</f>
        <v/>
      </c>
      <c r="F8136" s="21">
        <f>0</f>
        <v/>
      </c>
      <c r="G8136" s="21">
        <f>2*$B$7052</f>
        <v/>
      </c>
      <c r="H8136" s="21">
        <f>-$B$7051</f>
        <v/>
      </c>
      <c r="I8136" s="21">
        <f>$B$7053</f>
        <v/>
      </c>
      <c r="J8136" s="21" t="n">
        <v>0</v>
      </c>
      <c r="K8136" s="21" t="n">
        <v>0</v>
      </c>
      <c r="L8136" s="21" t="n">
        <v>0</v>
      </c>
      <c r="M8136" s="21" t="n">
        <v>0</v>
      </c>
      <c r="N8136" s="21" t="n">
        <v>0</v>
      </c>
      <c r="O8136" s="21" t="n">
        <v>0</v>
      </c>
      <c r="P8136" s="21" t="n">
        <v>0</v>
      </c>
      <c r="Q8136" s="21" t="n">
        <v>0</v>
      </c>
      <c r="R8136" s="21" t="n">
        <v>0</v>
      </c>
      <c r="S8136" s="21" t="n">
        <v>0</v>
      </c>
      <c r="T8136" s="21" t="n">
        <v>0</v>
      </c>
      <c r="U8136" s="21" t="n">
        <v>0</v>
      </c>
      <c r="V8136" s="21" t="n">
        <v>0</v>
      </c>
      <c r="W8136" s="21" t="n">
        <v>0</v>
      </c>
      <c r="X8136" s="21" t="n">
        <v>0</v>
      </c>
      <c r="Y8136" s="21" t="n">
        <v>0</v>
      </c>
      <c r="Z8136" s="19" t="n"/>
    </row>
    <row r="8137">
      <c r="D8137" s="21" t="n">
        <v>0</v>
      </c>
      <c r="E8137" s="21" t="n">
        <v>0</v>
      </c>
      <c r="F8137" s="21">
        <f>-$B$7050</f>
        <v/>
      </c>
      <c r="G8137" s="21">
        <f>-$B$7051</f>
        <v/>
      </c>
      <c r="H8137" s="21">
        <f>2*$B$7050+$D$8123</f>
        <v/>
      </c>
      <c r="I8137" s="21">
        <f>0</f>
        <v/>
      </c>
      <c r="J8137" s="21">
        <f>-$B$7050</f>
        <v/>
      </c>
      <c r="K8137" s="21">
        <f>$B$7051</f>
        <v/>
      </c>
      <c r="L8137" s="21" t="n">
        <v>0</v>
      </c>
      <c r="M8137" s="21" t="n">
        <v>0</v>
      </c>
      <c r="N8137" s="21" t="n">
        <v>0</v>
      </c>
      <c r="O8137" s="21" t="n">
        <v>0</v>
      </c>
      <c r="P8137" s="21" t="n">
        <v>0</v>
      </c>
      <c r="Q8137" s="21" t="n">
        <v>0</v>
      </c>
      <c r="R8137" s="21" t="n">
        <v>0</v>
      </c>
      <c r="S8137" s="21" t="n">
        <v>0</v>
      </c>
      <c r="T8137" s="21" t="n">
        <v>0</v>
      </c>
      <c r="U8137" s="21" t="n">
        <v>0</v>
      </c>
      <c r="V8137" s="21" t="n">
        <v>0</v>
      </c>
      <c r="W8137" s="21" t="n">
        <v>0</v>
      </c>
      <c r="X8137" s="21" t="n">
        <v>0</v>
      </c>
      <c r="Y8137" s="21" t="n">
        <v>0</v>
      </c>
      <c r="Z8137" s="19" t="n"/>
    </row>
    <row r="8138">
      <c r="D8138" s="21" t="n">
        <v>0</v>
      </c>
      <c r="E8138" s="21" t="n">
        <v>0</v>
      </c>
      <c r="F8138" s="21">
        <f>$B$7051</f>
        <v/>
      </c>
      <c r="G8138" s="21">
        <f>$B$7053</f>
        <v/>
      </c>
      <c r="H8138" s="21">
        <f>0</f>
        <v/>
      </c>
      <c r="I8138" s="21">
        <f>2*$B$7052</f>
        <v/>
      </c>
      <c r="J8138" s="21">
        <f>-$B$7051</f>
        <v/>
      </c>
      <c r="K8138" s="21">
        <f>$B$7053</f>
        <v/>
      </c>
      <c r="L8138" s="21" t="n">
        <v>0</v>
      </c>
      <c r="M8138" s="21" t="n">
        <v>0</v>
      </c>
      <c r="N8138" s="21" t="n">
        <v>0</v>
      </c>
      <c r="O8138" s="21" t="n">
        <v>0</v>
      </c>
      <c r="P8138" s="21" t="n">
        <v>0</v>
      </c>
      <c r="Q8138" s="21" t="n">
        <v>0</v>
      </c>
      <c r="R8138" s="21" t="n">
        <v>0</v>
      </c>
      <c r="S8138" s="21" t="n">
        <v>0</v>
      </c>
      <c r="T8138" s="21" t="n">
        <v>0</v>
      </c>
      <c r="U8138" s="21" t="n">
        <v>0</v>
      </c>
      <c r="V8138" s="21" t="n">
        <v>0</v>
      </c>
      <c r="W8138" s="21" t="n">
        <v>0</v>
      </c>
      <c r="X8138" s="21" t="n">
        <v>0</v>
      </c>
      <c r="Y8138" s="21" t="n">
        <v>0</v>
      </c>
      <c r="Z8138" s="19" t="n"/>
    </row>
    <row r="8139">
      <c r="D8139" s="21" t="n">
        <v>0</v>
      </c>
      <c r="E8139" s="21" t="n">
        <v>0</v>
      </c>
      <c r="F8139" s="21" t="n">
        <v>0</v>
      </c>
      <c r="G8139" s="21" t="n">
        <v>0</v>
      </c>
      <c r="H8139" s="21">
        <f>-$B$7050</f>
        <v/>
      </c>
      <c r="I8139" s="21">
        <f>-$B$7051</f>
        <v/>
      </c>
      <c r="J8139" s="21">
        <f>2*$B$7050+$D$8124</f>
        <v/>
      </c>
      <c r="K8139" s="21">
        <f>0</f>
        <v/>
      </c>
      <c r="L8139" s="21">
        <f>-$B$7050</f>
        <v/>
      </c>
      <c r="M8139" s="21">
        <f>$B$7051</f>
        <v/>
      </c>
      <c r="N8139" s="21" t="n">
        <v>0</v>
      </c>
      <c r="O8139" s="21" t="n">
        <v>0</v>
      </c>
      <c r="P8139" s="21" t="n">
        <v>0</v>
      </c>
      <c r="Q8139" s="21" t="n">
        <v>0</v>
      </c>
      <c r="R8139" s="21" t="n">
        <v>0</v>
      </c>
      <c r="S8139" s="21" t="n">
        <v>0</v>
      </c>
      <c r="T8139" s="21" t="n">
        <v>0</v>
      </c>
      <c r="U8139" s="21" t="n">
        <v>0</v>
      </c>
      <c r="V8139" s="21" t="n">
        <v>0</v>
      </c>
      <c r="W8139" s="21" t="n">
        <v>0</v>
      </c>
      <c r="X8139" s="21" t="n">
        <v>0</v>
      </c>
      <c r="Y8139" s="21" t="n">
        <v>0</v>
      </c>
      <c r="Z8139" s="19" t="n"/>
    </row>
    <row r="8140">
      <c r="D8140" s="21" t="n">
        <v>0</v>
      </c>
      <c r="E8140" s="21" t="n">
        <v>0</v>
      </c>
      <c r="F8140" s="21" t="n">
        <v>0</v>
      </c>
      <c r="G8140" s="21" t="n">
        <v>0</v>
      </c>
      <c r="H8140" s="21">
        <f>$B$7051</f>
        <v/>
      </c>
      <c r="I8140" s="21">
        <f>$B$7053</f>
        <v/>
      </c>
      <c r="J8140" s="21">
        <f>0</f>
        <v/>
      </c>
      <c r="K8140" s="21">
        <f>2*$B$7052</f>
        <v/>
      </c>
      <c r="L8140" s="21">
        <f>-$B$7051</f>
        <v/>
      </c>
      <c r="M8140" s="21">
        <f>$B$7053</f>
        <v/>
      </c>
      <c r="N8140" s="21" t="n">
        <v>0</v>
      </c>
      <c r="O8140" s="21" t="n">
        <v>0</v>
      </c>
      <c r="P8140" s="21" t="n">
        <v>0</v>
      </c>
      <c r="Q8140" s="21" t="n">
        <v>0</v>
      </c>
      <c r="R8140" s="21" t="n">
        <v>0</v>
      </c>
      <c r="S8140" s="21" t="n">
        <v>0</v>
      </c>
      <c r="T8140" s="21" t="n">
        <v>0</v>
      </c>
      <c r="U8140" s="21" t="n">
        <v>0</v>
      </c>
      <c r="V8140" s="21" t="n">
        <v>0</v>
      </c>
      <c r="W8140" s="21" t="n">
        <v>0</v>
      </c>
      <c r="X8140" s="21" t="n">
        <v>0</v>
      </c>
      <c r="Y8140" s="21" t="n">
        <v>0</v>
      </c>
      <c r="Z8140" s="19" t="n"/>
    </row>
    <row r="8141">
      <c r="D8141" s="21" t="n">
        <v>0</v>
      </c>
      <c r="E8141" s="21" t="n">
        <v>0</v>
      </c>
      <c r="F8141" s="21" t="n">
        <v>0</v>
      </c>
      <c r="G8141" s="21" t="n">
        <v>0</v>
      </c>
      <c r="H8141" s="21" t="n">
        <v>0</v>
      </c>
      <c r="I8141" s="21" t="n">
        <v>0</v>
      </c>
      <c r="J8141" s="21">
        <f>-$B$7050</f>
        <v/>
      </c>
      <c r="K8141" s="21">
        <f>-$B$7051</f>
        <v/>
      </c>
      <c r="L8141" s="21">
        <f>2*$B$7050+$D$8125</f>
        <v/>
      </c>
      <c r="M8141" s="21">
        <f>0</f>
        <v/>
      </c>
      <c r="N8141" s="21">
        <f>-$B$7050</f>
        <v/>
      </c>
      <c r="O8141" s="21">
        <f>$B$7051</f>
        <v/>
      </c>
      <c r="P8141" s="21" t="n">
        <v>0</v>
      </c>
      <c r="Q8141" s="21" t="n">
        <v>0</v>
      </c>
      <c r="R8141" s="21" t="n">
        <v>0</v>
      </c>
      <c r="S8141" s="21" t="n">
        <v>0</v>
      </c>
      <c r="T8141" s="21" t="n">
        <v>0</v>
      </c>
      <c r="U8141" s="21" t="n">
        <v>0</v>
      </c>
      <c r="V8141" s="21" t="n">
        <v>0</v>
      </c>
      <c r="W8141" s="21" t="n">
        <v>0</v>
      </c>
      <c r="X8141" s="21" t="n">
        <v>0</v>
      </c>
      <c r="Y8141" s="21" t="n">
        <v>0</v>
      </c>
      <c r="Z8141" s="19" t="n"/>
    </row>
    <row r="8142">
      <c r="D8142" s="21" t="n">
        <v>0</v>
      </c>
      <c r="E8142" s="21" t="n">
        <v>0</v>
      </c>
      <c r="F8142" s="21" t="n">
        <v>0</v>
      </c>
      <c r="G8142" s="21" t="n">
        <v>0</v>
      </c>
      <c r="H8142" s="21" t="n">
        <v>0</v>
      </c>
      <c r="I8142" s="21" t="n">
        <v>0</v>
      </c>
      <c r="J8142" s="21">
        <f>$B$7051</f>
        <v/>
      </c>
      <c r="K8142" s="21">
        <f>$B$7053</f>
        <v/>
      </c>
      <c r="L8142" s="21">
        <f>0</f>
        <v/>
      </c>
      <c r="M8142" s="21">
        <f>2*$B$7052</f>
        <v/>
      </c>
      <c r="N8142" s="21">
        <f>-$B$7051</f>
        <v/>
      </c>
      <c r="O8142" s="21">
        <f>$B$7053</f>
        <v/>
      </c>
      <c r="P8142" s="21" t="n">
        <v>0</v>
      </c>
      <c r="Q8142" s="21" t="n">
        <v>0</v>
      </c>
      <c r="R8142" s="21" t="n">
        <v>0</v>
      </c>
      <c r="S8142" s="21" t="n">
        <v>0</v>
      </c>
      <c r="T8142" s="21" t="n">
        <v>0</v>
      </c>
      <c r="U8142" s="21" t="n">
        <v>0</v>
      </c>
      <c r="V8142" s="21" t="n">
        <v>0</v>
      </c>
      <c r="W8142" s="21" t="n">
        <v>0</v>
      </c>
      <c r="X8142" s="21" t="n">
        <v>0</v>
      </c>
      <c r="Y8142" s="21" t="n">
        <v>0</v>
      </c>
      <c r="Z8142" s="19" t="n"/>
    </row>
    <row r="8143">
      <c r="D8143" s="21" t="n">
        <v>0</v>
      </c>
      <c r="E8143" s="21" t="n">
        <v>0</v>
      </c>
      <c r="F8143" s="21" t="n">
        <v>0</v>
      </c>
      <c r="G8143" s="21" t="n">
        <v>0</v>
      </c>
      <c r="H8143" s="21" t="n">
        <v>0</v>
      </c>
      <c r="I8143" s="21" t="n">
        <v>0</v>
      </c>
      <c r="J8143" s="21" t="n">
        <v>0</v>
      </c>
      <c r="K8143" s="21" t="n">
        <v>0</v>
      </c>
      <c r="L8143" s="21">
        <f>-$B$7050</f>
        <v/>
      </c>
      <c r="M8143" s="21">
        <f>-$B$7051</f>
        <v/>
      </c>
      <c r="N8143" s="21">
        <f>2*$B$7050+$D$8126</f>
        <v/>
      </c>
      <c r="O8143" s="21">
        <f>0</f>
        <v/>
      </c>
      <c r="P8143" s="21">
        <f>-$B$7050</f>
        <v/>
      </c>
      <c r="Q8143" s="21">
        <f>$B$7051</f>
        <v/>
      </c>
      <c r="R8143" s="21" t="n">
        <v>0</v>
      </c>
      <c r="S8143" s="21" t="n">
        <v>0</v>
      </c>
      <c r="T8143" s="21" t="n">
        <v>0</v>
      </c>
      <c r="U8143" s="21" t="n">
        <v>0</v>
      </c>
      <c r="V8143" s="21" t="n">
        <v>0</v>
      </c>
      <c r="W8143" s="21" t="n">
        <v>0</v>
      </c>
      <c r="X8143" s="21" t="n">
        <v>0</v>
      </c>
      <c r="Y8143" s="21" t="n">
        <v>0</v>
      </c>
      <c r="Z8143" s="19" t="n"/>
    </row>
    <row r="8144">
      <c r="D8144" s="21" t="n">
        <v>0</v>
      </c>
      <c r="E8144" s="21" t="n">
        <v>0</v>
      </c>
      <c r="F8144" s="21" t="n">
        <v>0</v>
      </c>
      <c r="G8144" s="21" t="n">
        <v>0</v>
      </c>
      <c r="H8144" s="21" t="n">
        <v>0</v>
      </c>
      <c r="I8144" s="21" t="n">
        <v>0</v>
      </c>
      <c r="J8144" s="21" t="n">
        <v>0</v>
      </c>
      <c r="K8144" s="21" t="n">
        <v>0</v>
      </c>
      <c r="L8144" s="21">
        <f>$B$7051</f>
        <v/>
      </c>
      <c r="M8144" s="21">
        <f>$B$7053</f>
        <v/>
      </c>
      <c r="N8144" s="21">
        <f>0</f>
        <v/>
      </c>
      <c r="O8144" s="21">
        <f>2*$B$7052</f>
        <v/>
      </c>
      <c r="P8144" s="21">
        <f>-$B$7051</f>
        <v/>
      </c>
      <c r="Q8144" s="21">
        <f>$B$7053</f>
        <v/>
      </c>
      <c r="R8144" s="21" t="n">
        <v>0</v>
      </c>
      <c r="S8144" s="21" t="n">
        <v>0</v>
      </c>
      <c r="T8144" s="21" t="n">
        <v>0</v>
      </c>
      <c r="U8144" s="21" t="n">
        <v>0</v>
      </c>
      <c r="V8144" s="21" t="n">
        <v>0</v>
      </c>
      <c r="W8144" s="21" t="n">
        <v>0</v>
      </c>
      <c r="X8144" s="21" t="n">
        <v>0</v>
      </c>
      <c r="Y8144" s="21" t="n">
        <v>0</v>
      </c>
      <c r="Z8144" s="19" t="n"/>
    </row>
    <row r="8145">
      <c r="D8145" s="21" t="n">
        <v>0</v>
      </c>
      <c r="E8145" s="21" t="n">
        <v>0</v>
      </c>
      <c r="F8145" s="21" t="n">
        <v>0</v>
      </c>
      <c r="G8145" s="21" t="n">
        <v>0</v>
      </c>
      <c r="H8145" s="21" t="n">
        <v>0</v>
      </c>
      <c r="I8145" s="21" t="n">
        <v>0</v>
      </c>
      <c r="J8145" s="21" t="n">
        <v>0</v>
      </c>
      <c r="K8145" s="21" t="n">
        <v>0</v>
      </c>
      <c r="L8145" s="21" t="n">
        <v>0</v>
      </c>
      <c r="M8145" s="21" t="n">
        <v>0</v>
      </c>
      <c r="N8145" s="21">
        <f>-$B$7050</f>
        <v/>
      </c>
      <c r="O8145" s="21">
        <f>-$B$7051</f>
        <v/>
      </c>
      <c r="P8145" s="21">
        <f>2*$B$7050+$D$8127</f>
        <v/>
      </c>
      <c r="Q8145" s="21">
        <f>0</f>
        <v/>
      </c>
      <c r="R8145" s="21">
        <f>-$B$7050</f>
        <v/>
      </c>
      <c r="S8145" s="21">
        <f>$B$7051</f>
        <v/>
      </c>
      <c r="T8145" s="21" t="n">
        <v>0</v>
      </c>
      <c r="U8145" s="21" t="n">
        <v>0</v>
      </c>
      <c r="V8145" s="21" t="n">
        <v>0</v>
      </c>
      <c r="W8145" s="21" t="n">
        <v>0</v>
      </c>
      <c r="X8145" s="21" t="n">
        <v>0</v>
      </c>
      <c r="Y8145" s="21" t="n">
        <v>0</v>
      </c>
      <c r="Z8145" s="19" t="n"/>
    </row>
    <row r="8146">
      <c r="D8146" s="21" t="n">
        <v>0</v>
      </c>
      <c r="E8146" s="21" t="n">
        <v>0</v>
      </c>
      <c r="F8146" s="21" t="n">
        <v>0</v>
      </c>
      <c r="G8146" s="21" t="n">
        <v>0</v>
      </c>
      <c r="H8146" s="21" t="n">
        <v>0</v>
      </c>
      <c r="I8146" s="21" t="n">
        <v>0</v>
      </c>
      <c r="J8146" s="21" t="n">
        <v>0</v>
      </c>
      <c r="K8146" s="21" t="n">
        <v>0</v>
      </c>
      <c r="L8146" s="21" t="n">
        <v>0</v>
      </c>
      <c r="M8146" s="21" t="n">
        <v>0</v>
      </c>
      <c r="N8146" s="21">
        <f>$B$7051</f>
        <v/>
      </c>
      <c r="O8146" s="21">
        <f>$B$7053</f>
        <v/>
      </c>
      <c r="P8146" s="21">
        <f>0</f>
        <v/>
      </c>
      <c r="Q8146" s="21">
        <f>2*$B$7052</f>
        <v/>
      </c>
      <c r="R8146" s="21">
        <f>-$B$7051</f>
        <v/>
      </c>
      <c r="S8146" s="21">
        <f>$B$7053</f>
        <v/>
      </c>
      <c r="T8146" s="21" t="n">
        <v>0</v>
      </c>
      <c r="U8146" s="21" t="n">
        <v>0</v>
      </c>
      <c r="V8146" s="21" t="n">
        <v>0</v>
      </c>
      <c r="W8146" s="21" t="n">
        <v>0</v>
      </c>
      <c r="X8146" s="21" t="n">
        <v>0</v>
      </c>
      <c r="Y8146" s="21" t="n">
        <v>0</v>
      </c>
      <c r="Z8146" s="19" t="n"/>
    </row>
    <row r="8147">
      <c r="D8147" s="21" t="n">
        <v>0</v>
      </c>
      <c r="E8147" s="21" t="n">
        <v>0</v>
      </c>
      <c r="F8147" s="21" t="n">
        <v>0</v>
      </c>
      <c r="G8147" s="21" t="n">
        <v>0</v>
      </c>
      <c r="H8147" s="21" t="n">
        <v>0</v>
      </c>
      <c r="I8147" s="21" t="n">
        <v>0</v>
      </c>
      <c r="J8147" s="21" t="n">
        <v>0</v>
      </c>
      <c r="K8147" s="21" t="n">
        <v>0</v>
      </c>
      <c r="L8147" s="21" t="n">
        <v>0</v>
      </c>
      <c r="M8147" s="21" t="n">
        <v>0</v>
      </c>
      <c r="N8147" s="21" t="n">
        <v>0</v>
      </c>
      <c r="O8147" s="21" t="n">
        <v>0</v>
      </c>
      <c r="P8147" s="21">
        <f>-$B$7050</f>
        <v/>
      </c>
      <c r="Q8147" s="21">
        <f>-$B$7051</f>
        <v/>
      </c>
      <c r="R8147" s="21">
        <f>2*$B$7050+$D$8128</f>
        <v/>
      </c>
      <c r="S8147" s="21">
        <f>0</f>
        <v/>
      </c>
      <c r="T8147" s="21">
        <f>-$B$7050</f>
        <v/>
      </c>
      <c r="U8147" s="21">
        <f>$B$7051</f>
        <v/>
      </c>
      <c r="V8147" s="21" t="n">
        <v>0</v>
      </c>
      <c r="W8147" s="21" t="n">
        <v>0</v>
      </c>
      <c r="X8147" s="21" t="n">
        <v>0</v>
      </c>
      <c r="Y8147" s="21" t="n">
        <v>0</v>
      </c>
      <c r="Z8147" s="19" t="n"/>
    </row>
    <row r="8148">
      <c r="D8148" s="21" t="n">
        <v>0</v>
      </c>
      <c r="E8148" s="21" t="n">
        <v>0</v>
      </c>
      <c r="F8148" s="21" t="n">
        <v>0</v>
      </c>
      <c r="G8148" s="21" t="n">
        <v>0</v>
      </c>
      <c r="H8148" s="21" t="n">
        <v>0</v>
      </c>
      <c r="I8148" s="21" t="n">
        <v>0</v>
      </c>
      <c r="J8148" s="21" t="n">
        <v>0</v>
      </c>
      <c r="K8148" s="21" t="n">
        <v>0</v>
      </c>
      <c r="L8148" s="21" t="n">
        <v>0</v>
      </c>
      <c r="M8148" s="21" t="n">
        <v>0</v>
      </c>
      <c r="N8148" s="21" t="n">
        <v>0</v>
      </c>
      <c r="O8148" s="21" t="n">
        <v>0</v>
      </c>
      <c r="P8148" s="21">
        <f>$B$7051</f>
        <v/>
      </c>
      <c r="Q8148" s="21">
        <f>$B$7053</f>
        <v/>
      </c>
      <c r="R8148" s="21">
        <f>0</f>
        <v/>
      </c>
      <c r="S8148" s="21">
        <f>2*$B$7052</f>
        <v/>
      </c>
      <c r="T8148" s="21">
        <f>-$B$7051</f>
        <v/>
      </c>
      <c r="U8148" s="21">
        <f>$B$7053</f>
        <v/>
      </c>
      <c r="V8148" s="21" t="n">
        <v>0</v>
      </c>
      <c r="W8148" s="21" t="n">
        <v>0</v>
      </c>
      <c r="X8148" s="21" t="n">
        <v>0</v>
      </c>
      <c r="Y8148" s="21" t="n">
        <v>0</v>
      </c>
      <c r="Z8148" s="19" t="n"/>
    </row>
    <row r="8149">
      <c r="D8149" s="21" t="n">
        <v>0</v>
      </c>
      <c r="E8149" s="21" t="n">
        <v>0</v>
      </c>
      <c r="F8149" s="21" t="n">
        <v>0</v>
      </c>
      <c r="G8149" s="21" t="n">
        <v>0</v>
      </c>
      <c r="H8149" s="21" t="n">
        <v>0</v>
      </c>
      <c r="I8149" s="21" t="n">
        <v>0</v>
      </c>
      <c r="J8149" s="21" t="n">
        <v>0</v>
      </c>
      <c r="K8149" s="21" t="n">
        <v>0</v>
      </c>
      <c r="L8149" s="21" t="n">
        <v>0</v>
      </c>
      <c r="M8149" s="21" t="n">
        <v>0</v>
      </c>
      <c r="N8149" s="21" t="n">
        <v>0</v>
      </c>
      <c r="O8149" s="21" t="n">
        <v>0</v>
      </c>
      <c r="P8149" s="21" t="n">
        <v>0</v>
      </c>
      <c r="Q8149" s="21" t="n">
        <v>0</v>
      </c>
      <c r="R8149" s="21">
        <f>-$B$7050</f>
        <v/>
      </c>
      <c r="S8149" s="21">
        <f>-$B$7051</f>
        <v/>
      </c>
      <c r="T8149" s="21">
        <f>2*$B$7050+$D$8129</f>
        <v/>
      </c>
      <c r="U8149" s="21">
        <f>0</f>
        <v/>
      </c>
      <c r="V8149" s="21">
        <f>-$B$7050</f>
        <v/>
      </c>
      <c r="W8149" s="21">
        <f>$B$7051</f>
        <v/>
      </c>
      <c r="X8149" s="21" t="n">
        <v>0</v>
      </c>
      <c r="Y8149" s="21" t="n">
        <v>0</v>
      </c>
      <c r="Z8149" s="19" t="n"/>
    </row>
    <row r="8150">
      <c r="D8150" s="21" t="n">
        <v>0</v>
      </c>
      <c r="E8150" s="21" t="n">
        <v>0</v>
      </c>
      <c r="F8150" s="21" t="n">
        <v>0</v>
      </c>
      <c r="G8150" s="21" t="n">
        <v>0</v>
      </c>
      <c r="H8150" s="21" t="n">
        <v>0</v>
      </c>
      <c r="I8150" s="21" t="n">
        <v>0</v>
      </c>
      <c r="J8150" s="21" t="n">
        <v>0</v>
      </c>
      <c r="K8150" s="21" t="n">
        <v>0</v>
      </c>
      <c r="L8150" s="21" t="n">
        <v>0</v>
      </c>
      <c r="M8150" s="21" t="n">
        <v>0</v>
      </c>
      <c r="N8150" s="21" t="n">
        <v>0</v>
      </c>
      <c r="O8150" s="21" t="n">
        <v>0</v>
      </c>
      <c r="P8150" s="21" t="n">
        <v>0</v>
      </c>
      <c r="Q8150" s="21" t="n">
        <v>0</v>
      </c>
      <c r="R8150" s="21">
        <f>$B$7051</f>
        <v/>
      </c>
      <c r="S8150" s="21">
        <f>$B$7053</f>
        <v/>
      </c>
      <c r="T8150" s="21">
        <f>0</f>
        <v/>
      </c>
      <c r="U8150" s="21">
        <f>2*$B$7052</f>
        <v/>
      </c>
      <c r="V8150" s="21">
        <f>-$B$7051</f>
        <v/>
      </c>
      <c r="W8150" s="21">
        <f>$B$7053</f>
        <v/>
      </c>
      <c r="X8150" s="21" t="n">
        <v>0</v>
      </c>
      <c r="Y8150" s="21" t="n">
        <v>0</v>
      </c>
      <c r="Z8150" s="19" t="n"/>
    </row>
    <row r="8151">
      <c r="D8151" s="21" t="n">
        <v>0</v>
      </c>
      <c r="E8151" s="21" t="n">
        <v>0</v>
      </c>
      <c r="F8151" s="21" t="n">
        <v>0</v>
      </c>
      <c r="G8151" s="21" t="n">
        <v>0</v>
      </c>
      <c r="H8151" s="21" t="n">
        <v>0</v>
      </c>
      <c r="I8151" s="21" t="n">
        <v>0</v>
      </c>
      <c r="J8151" s="21" t="n">
        <v>0</v>
      </c>
      <c r="K8151" s="21" t="n">
        <v>0</v>
      </c>
      <c r="L8151" s="21" t="n">
        <v>0</v>
      </c>
      <c r="M8151" s="21" t="n">
        <v>0</v>
      </c>
      <c r="N8151" s="21" t="n">
        <v>0</v>
      </c>
      <c r="O8151" s="21" t="n">
        <v>0</v>
      </c>
      <c r="P8151" s="21" t="n">
        <v>0</v>
      </c>
      <c r="Q8151" s="21" t="n">
        <v>0</v>
      </c>
      <c r="R8151" s="21" t="n">
        <v>0</v>
      </c>
      <c r="S8151" s="21" t="n">
        <v>0</v>
      </c>
      <c r="T8151" s="21">
        <f>-$B$7050</f>
        <v/>
      </c>
      <c r="U8151" s="21">
        <f>-$B$7051</f>
        <v/>
      </c>
      <c r="V8151" s="21">
        <f>2*$B$7050+$D$8130</f>
        <v/>
      </c>
      <c r="W8151" s="21">
        <f>0</f>
        <v/>
      </c>
      <c r="X8151" s="21">
        <f>-$B$7050</f>
        <v/>
      </c>
      <c r="Y8151" s="21">
        <f>$B$7051</f>
        <v/>
      </c>
      <c r="Z8151" s="19" t="n"/>
    </row>
    <row r="8152">
      <c r="D8152" s="21" t="n">
        <v>0</v>
      </c>
      <c r="E8152" s="21" t="n">
        <v>0</v>
      </c>
      <c r="F8152" s="21" t="n">
        <v>0</v>
      </c>
      <c r="G8152" s="21" t="n">
        <v>0</v>
      </c>
      <c r="H8152" s="21" t="n">
        <v>0</v>
      </c>
      <c r="I8152" s="21" t="n">
        <v>0</v>
      </c>
      <c r="J8152" s="21" t="n">
        <v>0</v>
      </c>
      <c r="K8152" s="21" t="n">
        <v>0</v>
      </c>
      <c r="L8152" s="21" t="n">
        <v>0</v>
      </c>
      <c r="M8152" s="21" t="n">
        <v>0</v>
      </c>
      <c r="N8152" s="21" t="n">
        <v>0</v>
      </c>
      <c r="O8152" s="21" t="n">
        <v>0</v>
      </c>
      <c r="P8152" s="21" t="n">
        <v>0</v>
      </c>
      <c r="Q8152" s="21" t="n">
        <v>0</v>
      </c>
      <c r="R8152" s="21" t="n">
        <v>0</v>
      </c>
      <c r="S8152" s="21" t="n">
        <v>0</v>
      </c>
      <c r="T8152" s="21">
        <f>$B$7051</f>
        <v/>
      </c>
      <c r="U8152" s="21">
        <f>$B$7053</f>
        <v/>
      </c>
      <c r="V8152" s="21">
        <f>0</f>
        <v/>
      </c>
      <c r="W8152" s="21">
        <f>2*$B$7052</f>
        <v/>
      </c>
      <c r="X8152" s="21">
        <f>-$B$7051</f>
        <v/>
      </c>
      <c r="Y8152" s="21">
        <f>$B$7053</f>
        <v/>
      </c>
      <c r="Z8152" s="19" t="n"/>
    </row>
    <row r="8153">
      <c r="D8153" s="21" t="n">
        <v>0</v>
      </c>
      <c r="E8153" s="21" t="n">
        <v>0</v>
      </c>
      <c r="F8153" s="21" t="n">
        <v>0</v>
      </c>
      <c r="G8153" s="21" t="n">
        <v>0</v>
      </c>
      <c r="H8153" s="21" t="n">
        <v>0</v>
      </c>
      <c r="I8153" s="21" t="n">
        <v>0</v>
      </c>
      <c r="J8153" s="21" t="n">
        <v>0</v>
      </c>
      <c r="K8153" s="21" t="n">
        <v>0</v>
      </c>
      <c r="L8153" s="21" t="n">
        <v>0</v>
      </c>
      <c r="M8153" s="21" t="n">
        <v>0</v>
      </c>
      <c r="N8153" s="21" t="n">
        <v>0</v>
      </c>
      <c r="O8153" s="21" t="n">
        <v>0</v>
      </c>
      <c r="P8153" s="21" t="n">
        <v>0</v>
      </c>
      <c r="Q8153" s="21" t="n">
        <v>0</v>
      </c>
      <c r="R8153" s="21" t="n">
        <v>0</v>
      </c>
      <c r="S8153" s="21" t="n">
        <v>0</v>
      </c>
      <c r="T8153" s="21" t="n">
        <v>0</v>
      </c>
      <c r="U8153" s="21" t="n">
        <v>0</v>
      </c>
      <c r="V8153" s="21">
        <f>-$B$7050</f>
        <v/>
      </c>
      <c r="W8153" s="21">
        <f>-$B$7051</f>
        <v/>
      </c>
      <c r="X8153" s="21">
        <f>$B$7050+$D$8131</f>
        <v/>
      </c>
      <c r="Y8153" s="21">
        <f>-$B$7051</f>
        <v/>
      </c>
      <c r="Z8153" s="19" t="n"/>
    </row>
    <row r="8154">
      <c r="D8154" s="21" t="n">
        <v>0</v>
      </c>
      <c r="E8154" s="21" t="n">
        <v>0</v>
      </c>
      <c r="F8154" s="21" t="n">
        <v>0</v>
      </c>
      <c r="G8154" s="21" t="n">
        <v>0</v>
      </c>
      <c r="H8154" s="21" t="n">
        <v>0</v>
      </c>
      <c r="I8154" s="21" t="n">
        <v>0</v>
      </c>
      <c r="J8154" s="21" t="n">
        <v>0</v>
      </c>
      <c r="K8154" s="21" t="n">
        <v>0</v>
      </c>
      <c r="L8154" s="21" t="n">
        <v>0</v>
      </c>
      <c r="M8154" s="21" t="n">
        <v>0</v>
      </c>
      <c r="N8154" s="21" t="n">
        <v>0</v>
      </c>
      <c r="O8154" s="21" t="n">
        <v>0</v>
      </c>
      <c r="P8154" s="21" t="n">
        <v>0</v>
      </c>
      <c r="Q8154" s="21" t="n">
        <v>0</v>
      </c>
      <c r="R8154" s="21" t="n">
        <v>0</v>
      </c>
      <c r="S8154" s="21" t="n">
        <v>0</v>
      </c>
      <c r="T8154" s="21" t="n">
        <v>0</v>
      </c>
      <c r="U8154" s="21" t="n">
        <v>0</v>
      </c>
      <c r="V8154" s="21">
        <f>$B$7051</f>
        <v/>
      </c>
      <c r="W8154" s="21">
        <f>$B$7053</f>
        <v/>
      </c>
      <c r="X8154" s="21">
        <f>-$B$7051</f>
        <v/>
      </c>
      <c r="Y8154" s="21">
        <f>$B$7052</f>
        <v/>
      </c>
      <c r="Z8154" s="19" t="n"/>
    </row>
    <row r="8156">
      <c r="A8156" s="8" t="inlineStr">
        <is>
          <t>gen 30</t>
        </is>
      </c>
    </row>
    <row r="8157">
      <c r="D8157" s="19">
        <f>IF(ABS(IF(ABS($E$8121)&gt;0.000000001,$E$8121,0.000000001))=0,0,IF($E$7065&lt;=$B$7059,0,IF(ABS(IF(ABS($E$8121)&gt;0.000000001,$E$8121,0.000000001))&gt;=8*$B$7061,$H$7065,0.5*$H$7065*(ABS(IF(ABS($E$8121)&gt;0.000000001,$E$8121,0.000000001))/$B$7061)^(1/3)))/ABS(IF(ABS($E$8121)&gt;0.000000001,$E$8121,0.000000001))*$I$7065)</f>
        <v/>
      </c>
      <c r="E8157" s="19">
        <f>0.5*$E$8121+0.5*$Z$8169</f>
        <v/>
      </c>
      <c r="F8157" s="19">
        <f>$Z$8170</f>
        <v/>
      </c>
    </row>
    <row r="8158">
      <c r="D8158" s="19">
        <f>IF(ABS(IF(ABS($E$8122)&gt;0.000000001,$E$8122,0.000000001))=0,0,IF($E$7066&lt;=$B$7059,0,IF(ABS(IF(ABS($E$8122)&gt;0.000000001,$E$8122,0.000000001))&gt;=8*$B$7061,$H$7066,0.5*$H$7066*(ABS(IF(ABS($E$8122)&gt;0.000000001,$E$8122,0.000000001))/$B$7061)^(1/3)))/ABS(IF(ABS($E$8122)&gt;0.000000001,$E$8122,0.000000001))*$I$7066)</f>
        <v/>
      </c>
      <c r="E8158" s="19">
        <f>0.5*$E$8122+0.5*$Z$8171</f>
        <v/>
      </c>
      <c r="F8158" s="19">
        <f>$Z$8172</f>
        <v/>
      </c>
    </row>
    <row r="8159">
      <c r="D8159" s="19">
        <f>IF(ABS(IF(ABS($E$8123)&gt;0.000000001,$E$8123,0.000000001))=0,0,IF($E$7067&lt;=$B$7059,0,IF(ABS(IF(ABS($E$8123)&gt;0.000000001,$E$8123,0.000000001))&gt;=8*$B$7061,$H$7067,0.5*$H$7067*(ABS(IF(ABS($E$8123)&gt;0.000000001,$E$8123,0.000000001))/$B$7061)^(1/3)))/ABS(IF(ABS($E$8123)&gt;0.000000001,$E$8123,0.000000001))*$I$7067)</f>
        <v/>
      </c>
      <c r="E8159" s="19">
        <f>0.5*$E$8123+0.5*$Z$8173</f>
        <v/>
      </c>
      <c r="F8159" s="19">
        <f>$Z$8174</f>
        <v/>
      </c>
    </row>
    <row r="8160">
      <c r="D8160" s="19">
        <f>IF(ABS(IF(ABS($E$8124)&gt;0.000000001,$E$8124,0.000000001))=0,0,IF($E$7068&lt;=$B$7059,0,IF(ABS(IF(ABS($E$8124)&gt;0.000000001,$E$8124,0.000000001))&gt;=8*$B$7061,$H$7068,0.5*$H$7068*(ABS(IF(ABS($E$8124)&gt;0.000000001,$E$8124,0.000000001))/$B$7061)^(1/3)))/ABS(IF(ABS($E$8124)&gt;0.000000001,$E$8124,0.000000001))*$I$7068)</f>
        <v/>
      </c>
      <c r="E8160" s="19">
        <f>0.5*$E$8124+0.5*$Z$8175</f>
        <v/>
      </c>
      <c r="F8160" s="19">
        <f>$Z$8176</f>
        <v/>
      </c>
    </row>
    <row r="8161">
      <c r="D8161" s="19">
        <f>IF(ABS(IF(ABS($E$8125)&gt;0.000000001,$E$8125,0.000000001))=0,0,IF($E$7069&lt;=$B$7059,0,IF(ABS(IF(ABS($E$8125)&gt;0.000000001,$E$8125,0.000000001))&gt;=8*$B$7061,$H$7069,0.5*$H$7069*(ABS(IF(ABS($E$8125)&gt;0.000000001,$E$8125,0.000000001))/$B$7061)^(1/3)))/ABS(IF(ABS($E$8125)&gt;0.000000001,$E$8125,0.000000001))*$I$7069)</f>
        <v/>
      </c>
      <c r="E8161" s="19">
        <f>0.5*$E$8125+0.5*$Z$8177</f>
        <v/>
      </c>
      <c r="F8161" s="19">
        <f>$Z$8178</f>
        <v/>
      </c>
    </row>
    <row r="8162">
      <c r="D8162" s="19">
        <f>IF(ABS(IF(ABS($E$8126)&gt;0.000000001,$E$8126,0.000000001))=0,0,IF($E$7070&lt;=$B$7059,0,IF(ABS(IF(ABS($E$8126)&gt;0.000000001,$E$8126,0.000000001))&gt;=8*$B$7061,$H$7070,0.5*$H$7070*(ABS(IF(ABS($E$8126)&gt;0.000000001,$E$8126,0.000000001))/$B$7061)^(1/3)))/ABS(IF(ABS($E$8126)&gt;0.000000001,$E$8126,0.000000001))*$I$7070)</f>
        <v/>
      </c>
      <c r="E8162" s="19">
        <f>0.5*$E$8126+0.5*$Z$8179</f>
        <v/>
      </c>
      <c r="F8162" s="19">
        <f>$Z$8180</f>
        <v/>
      </c>
    </row>
    <row r="8163">
      <c r="D8163" s="19">
        <f>IF(ABS(IF(ABS($E$8127)&gt;0.000000001,$E$8127,0.000000001))=0,0,IF($E$7071&lt;=$B$7059,0,IF(ABS(IF(ABS($E$8127)&gt;0.000000001,$E$8127,0.000000001))&gt;=8*$B$7061,$H$7071,0.5*$H$7071*(ABS(IF(ABS($E$8127)&gt;0.000000001,$E$8127,0.000000001))/$B$7061)^(1/3)))/ABS(IF(ABS($E$8127)&gt;0.000000001,$E$8127,0.000000001))*$I$7071)</f>
        <v/>
      </c>
      <c r="E8163" s="19">
        <f>0.5*$E$8127+0.5*$Z$8181</f>
        <v/>
      </c>
      <c r="F8163" s="19">
        <f>$Z$8182</f>
        <v/>
      </c>
    </row>
    <row r="8164">
      <c r="D8164" s="19">
        <f>IF(ABS(IF(ABS($E$8128)&gt;0.000000001,$E$8128,0.000000001))=0,0,IF($E$7072&lt;=$B$7059,0,IF(ABS(IF(ABS($E$8128)&gt;0.000000001,$E$8128,0.000000001))&gt;=8*$B$7061,$H$7072,0.5*$H$7072*(ABS(IF(ABS($E$8128)&gt;0.000000001,$E$8128,0.000000001))/$B$7061)^(1/3)))/ABS(IF(ABS($E$8128)&gt;0.000000001,$E$8128,0.000000001))*$I$7072)</f>
        <v/>
      </c>
      <c r="E8164" s="19">
        <f>0.5*$E$8128+0.5*$Z$8183</f>
        <v/>
      </c>
      <c r="F8164" s="19">
        <f>$Z$8184</f>
        <v/>
      </c>
    </row>
    <row r="8165">
      <c r="D8165" s="19">
        <f>IF(ABS(IF(ABS($E$8129)&gt;0.000000001,$E$8129,0.000000001))=0,0,IF($E$7073&lt;=$B$7059,0,IF(ABS(IF(ABS($E$8129)&gt;0.000000001,$E$8129,0.000000001))&gt;=8*$B$7061,$H$7073,0.5*$H$7073*(ABS(IF(ABS($E$8129)&gt;0.000000001,$E$8129,0.000000001))/$B$7061)^(1/3)))/ABS(IF(ABS($E$8129)&gt;0.000000001,$E$8129,0.000000001))*$I$7073)</f>
        <v/>
      </c>
      <c r="E8165" s="19">
        <f>0.5*$E$8129+0.5*$Z$8185</f>
        <v/>
      </c>
      <c r="F8165" s="19">
        <f>$Z$8186</f>
        <v/>
      </c>
    </row>
    <row r="8166">
      <c r="D8166" s="19">
        <f>IF(ABS(IF(ABS($E$8130)&gt;0.000000001,$E$8130,0.000000001))=0,0,IF($E$7074&lt;=$B$7059,0,IF(ABS(IF(ABS($E$8130)&gt;0.000000001,$E$8130,0.000000001))&gt;=8*$B$7061,$H$7074,0.5*$H$7074*(ABS(IF(ABS($E$8130)&gt;0.000000001,$E$8130,0.000000001))/$B$7061)^(1/3)))/ABS(IF(ABS($E$8130)&gt;0.000000001,$E$8130,0.000000001))*$I$7074)</f>
        <v/>
      </c>
      <c r="E8166" s="19">
        <f>0.5*$E$8130+0.5*$Z$8187</f>
        <v/>
      </c>
      <c r="F8166" s="19">
        <f>$Z$8188</f>
        <v/>
      </c>
    </row>
    <row r="8167">
      <c r="D8167" s="19">
        <f>IF(ABS(IF(ABS($E$8131)&gt;0.000000001,$E$8131,0.000000001))=0,0,IF($E$7075&lt;=$B$7059,0,IF(ABS(IF(ABS($E$8131)&gt;0.000000001,$E$8131,0.000000001))&gt;=8*$B$7061,$H$7075,0.5*$H$7075*(ABS(IF(ABS($E$8131)&gt;0.000000001,$E$8131,0.000000001))/$B$7061)^(1/3)))/ABS(IF(ABS($E$8131)&gt;0.000000001,$E$8131,0.000000001))*$I$7075)</f>
        <v/>
      </c>
      <c r="E8167" s="19">
        <f>0.5*$E$8131+0.5*$Z$8189</f>
        <v/>
      </c>
      <c r="F8167" s="19">
        <f>$Z$8190</f>
        <v/>
      </c>
    </row>
    <row r="8169">
      <c r="D8169" s="21">
        <f>$B$7050+$D$8157</f>
        <v/>
      </c>
      <c r="E8169" s="21">
        <f>$B$7051</f>
        <v/>
      </c>
      <c r="F8169" s="21">
        <f>-$B$7050</f>
        <v/>
      </c>
      <c r="G8169" s="21">
        <f>$B$7051</f>
        <v/>
      </c>
      <c r="H8169" s="21" t="n">
        <v>0</v>
      </c>
      <c r="I8169" s="21" t="n">
        <v>0</v>
      </c>
      <c r="J8169" s="21" t="n">
        <v>0</v>
      </c>
      <c r="K8169" s="21" t="n">
        <v>0</v>
      </c>
      <c r="L8169" s="21" t="n">
        <v>0</v>
      </c>
      <c r="M8169" s="21" t="n">
        <v>0</v>
      </c>
      <c r="N8169" s="21" t="n">
        <v>0</v>
      </c>
      <c r="O8169" s="21" t="n">
        <v>0</v>
      </c>
      <c r="P8169" s="21" t="n">
        <v>0</v>
      </c>
      <c r="Q8169" s="21" t="n">
        <v>0</v>
      </c>
      <c r="R8169" s="21" t="n">
        <v>0</v>
      </c>
      <c r="S8169" s="21" t="n">
        <v>0</v>
      </c>
      <c r="T8169" s="21" t="n">
        <v>0</v>
      </c>
      <c r="U8169" s="21" t="n">
        <v>0</v>
      </c>
      <c r="V8169" s="21" t="n">
        <v>0</v>
      </c>
      <c r="W8169" s="21" t="n">
        <v>0</v>
      </c>
      <c r="X8169" s="21" t="n">
        <v>0</v>
      </c>
      <c r="Y8169" s="21" t="n">
        <v>0</v>
      </c>
      <c r="Z8169" s="19">
        <f t="array" ref="Z8169:Z8190">MMULT(MINVERSE($D$8169:$Y$8190),$D$7077:$D$7098)</f>
        <v/>
      </c>
    </row>
    <row r="8170">
      <c r="D8170" s="21">
        <f>$B$7051</f>
        <v/>
      </c>
      <c r="E8170" s="21">
        <f>$B$7052</f>
        <v/>
      </c>
      <c r="F8170" s="21">
        <f>-$B$7051</f>
        <v/>
      </c>
      <c r="G8170" s="21">
        <f>$B$7053</f>
        <v/>
      </c>
      <c r="H8170" s="21" t="n">
        <v>0</v>
      </c>
      <c r="I8170" s="21" t="n">
        <v>0</v>
      </c>
      <c r="J8170" s="21" t="n">
        <v>0</v>
      </c>
      <c r="K8170" s="21" t="n">
        <v>0</v>
      </c>
      <c r="L8170" s="21" t="n">
        <v>0</v>
      </c>
      <c r="M8170" s="21" t="n">
        <v>0</v>
      </c>
      <c r="N8170" s="21" t="n">
        <v>0</v>
      </c>
      <c r="O8170" s="21" t="n">
        <v>0</v>
      </c>
      <c r="P8170" s="21" t="n">
        <v>0</v>
      </c>
      <c r="Q8170" s="21" t="n">
        <v>0</v>
      </c>
      <c r="R8170" s="21" t="n">
        <v>0</v>
      </c>
      <c r="S8170" s="21" t="n">
        <v>0</v>
      </c>
      <c r="T8170" s="21" t="n">
        <v>0</v>
      </c>
      <c r="U8170" s="21" t="n">
        <v>0</v>
      </c>
      <c r="V8170" s="21" t="n">
        <v>0</v>
      </c>
      <c r="W8170" s="21" t="n">
        <v>0</v>
      </c>
      <c r="X8170" s="21" t="n">
        <v>0</v>
      </c>
      <c r="Y8170" s="21" t="n">
        <v>0</v>
      </c>
      <c r="Z8170" s="19" t="n"/>
    </row>
    <row r="8171">
      <c r="D8171" s="21">
        <f>-$B$7050</f>
        <v/>
      </c>
      <c r="E8171" s="21">
        <f>-$B$7051</f>
        <v/>
      </c>
      <c r="F8171" s="21">
        <f>2*$B$7050+$D$8158</f>
        <v/>
      </c>
      <c r="G8171" s="21">
        <f>0</f>
        <v/>
      </c>
      <c r="H8171" s="21">
        <f>-$B$7050</f>
        <v/>
      </c>
      <c r="I8171" s="21">
        <f>$B$7051</f>
        <v/>
      </c>
      <c r="J8171" s="21" t="n">
        <v>0</v>
      </c>
      <c r="K8171" s="21" t="n">
        <v>0</v>
      </c>
      <c r="L8171" s="21" t="n">
        <v>0</v>
      </c>
      <c r="M8171" s="21" t="n">
        <v>0</v>
      </c>
      <c r="N8171" s="21" t="n">
        <v>0</v>
      </c>
      <c r="O8171" s="21" t="n">
        <v>0</v>
      </c>
      <c r="P8171" s="21" t="n">
        <v>0</v>
      </c>
      <c r="Q8171" s="21" t="n">
        <v>0</v>
      </c>
      <c r="R8171" s="21" t="n">
        <v>0</v>
      </c>
      <c r="S8171" s="21" t="n">
        <v>0</v>
      </c>
      <c r="T8171" s="21" t="n">
        <v>0</v>
      </c>
      <c r="U8171" s="21" t="n">
        <v>0</v>
      </c>
      <c r="V8171" s="21" t="n">
        <v>0</v>
      </c>
      <c r="W8171" s="21" t="n">
        <v>0</v>
      </c>
      <c r="X8171" s="21" t="n">
        <v>0</v>
      </c>
      <c r="Y8171" s="21" t="n">
        <v>0</v>
      </c>
      <c r="Z8171" s="19" t="n"/>
    </row>
    <row r="8172">
      <c r="D8172" s="21">
        <f>$B$7051</f>
        <v/>
      </c>
      <c r="E8172" s="21">
        <f>$B$7053</f>
        <v/>
      </c>
      <c r="F8172" s="21">
        <f>0</f>
        <v/>
      </c>
      <c r="G8172" s="21">
        <f>2*$B$7052</f>
        <v/>
      </c>
      <c r="H8172" s="21">
        <f>-$B$7051</f>
        <v/>
      </c>
      <c r="I8172" s="21">
        <f>$B$7053</f>
        <v/>
      </c>
      <c r="J8172" s="21" t="n">
        <v>0</v>
      </c>
      <c r="K8172" s="21" t="n">
        <v>0</v>
      </c>
      <c r="L8172" s="21" t="n">
        <v>0</v>
      </c>
      <c r="M8172" s="21" t="n">
        <v>0</v>
      </c>
      <c r="N8172" s="21" t="n">
        <v>0</v>
      </c>
      <c r="O8172" s="21" t="n">
        <v>0</v>
      </c>
      <c r="P8172" s="21" t="n">
        <v>0</v>
      </c>
      <c r="Q8172" s="21" t="n">
        <v>0</v>
      </c>
      <c r="R8172" s="21" t="n">
        <v>0</v>
      </c>
      <c r="S8172" s="21" t="n">
        <v>0</v>
      </c>
      <c r="T8172" s="21" t="n">
        <v>0</v>
      </c>
      <c r="U8172" s="21" t="n">
        <v>0</v>
      </c>
      <c r="V8172" s="21" t="n">
        <v>0</v>
      </c>
      <c r="W8172" s="21" t="n">
        <v>0</v>
      </c>
      <c r="X8172" s="21" t="n">
        <v>0</v>
      </c>
      <c r="Y8172" s="21" t="n">
        <v>0</v>
      </c>
      <c r="Z8172" s="19" t="n"/>
    </row>
    <row r="8173">
      <c r="D8173" s="21" t="n">
        <v>0</v>
      </c>
      <c r="E8173" s="21" t="n">
        <v>0</v>
      </c>
      <c r="F8173" s="21">
        <f>-$B$7050</f>
        <v/>
      </c>
      <c r="G8173" s="21">
        <f>-$B$7051</f>
        <v/>
      </c>
      <c r="H8173" s="21">
        <f>2*$B$7050+$D$8159</f>
        <v/>
      </c>
      <c r="I8173" s="21">
        <f>0</f>
        <v/>
      </c>
      <c r="J8173" s="21">
        <f>-$B$7050</f>
        <v/>
      </c>
      <c r="K8173" s="21">
        <f>$B$7051</f>
        <v/>
      </c>
      <c r="L8173" s="21" t="n">
        <v>0</v>
      </c>
      <c r="M8173" s="21" t="n">
        <v>0</v>
      </c>
      <c r="N8173" s="21" t="n">
        <v>0</v>
      </c>
      <c r="O8173" s="21" t="n">
        <v>0</v>
      </c>
      <c r="P8173" s="21" t="n">
        <v>0</v>
      </c>
      <c r="Q8173" s="21" t="n">
        <v>0</v>
      </c>
      <c r="R8173" s="21" t="n">
        <v>0</v>
      </c>
      <c r="S8173" s="21" t="n">
        <v>0</v>
      </c>
      <c r="T8173" s="21" t="n">
        <v>0</v>
      </c>
      <c r="U8173" s="21" t="n">
        <v>0</v>
      </c>
      <c r="V8173" s="21" t="n">
        <v>0</v>
      </c>
      <c r="W8173" s="21" t="n">
        <v>0</v>
      </c>
      <c r="X8173" s="21" t="n">
        <v>0</v>
      </c>
      <c r="Y8173" s="21" t="n">
        <v>0</v>
      </c>
      <c r="Z8173" s="19" t="n"/>
    </row>
    <row r="8174">
      <c r="D8174" s="21" t="n">
        <v>0</v>
      </c>
      <c r="E8174" s="21" t="n">
        <v>0</v>
      </c>
      <c r="F8174" s="21">
        <f>$B$7051</f>
        <v/>
      </c>
      <c r="G8174" s="21">
        <f>$B$7053</f>
        <v/>
      </c>
      <c r="H8174" s="21">
        <f>0</f>
        <v/>
      </c>
      <c r="I8174" s="21">
        <f>2*$B$7052</f>
        <v/>
      </c>
      <c r="J8174" s="21">
        <f>-$B$7051</f>
        <v/>
      </c>
      <c r="K8174" s="21">
        <f>$B$7053</f>
        <v/>
      </c>
      <c r="L8174" s="21" t="n">
        <v>0</v>
      </c>
      <c r="M8174" s="21" t="n">
        <v>0</v>
      </c>
      <c r="N8174" s="21" t="n">
        <v>0</v>
      </c>
      <c r="O8174" s="21" t="n">
        <v>0</v>
      </c>
      <c r="P8174" s="21" t="n">
        <v>0</v>
      </c>
      <c r="Q8174" s="21" t="n">
        <v>0</v>
      </c>
      <c r="R8174" s="21" t="n">
        <v>0</v>
      </c>
      <c r="S8174" s="21" t="n">
        <v>0</v>
      </c>
      <c r="T8174" s="21" t="n">
        <v>0</v>
      </c>
      <c r="U8174" s="21" t="n">
        <v>0</v>
      </c>
      <c r="V8174" s="21" t="n">
        <v>0</v>
      </c>
      <c r="W8174" s="21" t="n">
        <v>0</v>
      </c>
      <c r="X8174" s="21" t="n">
        <v>0</v>
      </c>
      <c r="Y8174" s="21" t="n">
        <v>0</v>
      </c>
      <c r="Z8174" s="19" t="n"/>
    </row>
    <row r="8175">
      <c r="D8175" s="21" t="n">
        <v>0</v>
      </c>
      <c r="E8175" s="21" t="n">
        <v>0</v>
      </c>
      <c r="F8175" s="21" t="n">
        <v>0</v>
      </c>
      <c r="G8175" s="21" t="n">
        <v>0</v>
      </c>
      <c r="H8175" s="21">
        <f>-$B$7050</f>
        <v/>
      </c>
      <c r="I8175" s="21">
        <f>-$B$7051</f>
        <v/>
      </c>
      <c r="J8175" s="21">
        <f>2*$B$7050+$D$8160</f>
        <v/>
      </c>
      <c r="K8175" s="21">
        <f>0</f>
        <v/>
      </c>
      <c r="L8175" s="21">
        <f>-$B$7050</f>
        <v/>
      </c>
      <c r="M8175" s="21">
        <f>$B$7051</f>
        <v/>
      </c>
      <c r="N8175" s="21" t="n">
        <v>0</v>
      </c>
      <c r="O8175" s="21" t="n">
        <v>0</v>
      </c>
      <c r="P8175" s="21" t="n">
        <v>0</v>
      </c>
      <c r="Q8175" s="21" t="n">
        <v>0</v>
      </c>
      <c r="R8175" s="21" t="n">
        <v>0</v>
      </c>
      <c r="S8175" s="21" t="n">
        <v>0</v>
      </c>
      <c r="T8175" s="21" t="n">
        <v>0</v>
      </c>
      <c r="U8175" s="21" t="n">
        <v>0</v>
      </c>
      <c r="V8175" s="21" t="n">
        <v>0</v>
      </c>
      <c r="W8175" s="21" t="n">
        <v>0</v>
      </c>
      <c r="X8175" s="21" t="n">
        <v>0</v>
      </c>
      <c r="Y8175" s="21" t="n">
        <v>0</v>
      </c>
      <c r="Z8175" s="19" t="n"/>
    </row>
    <row r="8176">
      <c r="D8176" s="21" t="n">
        <v>0</v>
      </c>
      <c r="E8176" s="21" t="n">
        <v>0</v>
      </c>
      <c r="F8176" s="21" t="n">
        <v>0</v>
      </c>
      <c r="G8176" s="21" t="n">
        <v>0</v>
      </c>
      <c r="H8176" s="21">
        <f>$B$7051</f>
        <v/>
      </c>
      <c r="I8176" s="21">
        <f>$B$7053</f>
        <v/>
      </c>
      <c r="J8176" s="21">
        <f>0</f>
        <v/>
      </c>
      <c r="K8176" s="21">
        <f>2*$B$7052</f>
        <v/>
      </c>
      <c r="L8176" s="21">
        <f>-$B$7051</f>
        <v/>
      </c>
      <c r="M8176" s="21">
        <f>$B$7053</f>
        <v/>
      </c>
      <c r="N8176" s="21" t="n">
        <v>0</v>
      </c>
      <c r="O8176" s="21" t="n">
        <v>0</v>
      </c>
      <c r="P8176" s="21" t="n">
        <v>0</v>
      </c>
      <c r="Q8176" s="21" t="n">
        <v>0</v>
      </c>
      <c r="R8176" s="21" t="n">
        <v>0</v>
      </c>
      <c r="S8176" s="21" t="n">
        <v>0</v>
      </c>
      <c r="T8176" s="21" t="n">
        <v>0</v>
      </c>
      <c r="U8176" s="21" t="n">
        <v>0</v>
      </c>
      <c r="V8176" s="21" t="n">
        <v>0</v>
      </c>
      <c r="W8176" s="21" t="n">
        <v>0</v>
      </c>
      <c r="X8176" s="21" t="n">
        <v>0</v>
      </c>
      <c r="Y8176" s="21" t="n">
        <v>0</v>
      </c>
      <c r="Z8176" s="19" t="n"/>
    </row>
    <row r="8177">
      <c r="D8177" s="21" t="n">
        <v>0</v>
      </c>
      <c r="E8177" s="21" t="n">
        <v>0</v>
      </c>
      <c r="F8177" s="21" t="n">
        <v>0</v>
      </c>
      <c r="G8177" s="21" t="n">
        <v>0</v>
      </c>
      <c r="H8177" s="21" t="n">
        <v>0</v>
      </c>
      <c r="I8177" s="21" t="n">
        <v>0</v>
      </c>
      <c r="J8177" s="21">
        <f>-$B$7050</f>
        <v/>
      </c>
      <c r="K8177" s="21">
        <f>-$B$7051</f>
        <v/>
      </c>
      <c r="L8177" s="21">
        <f>2*$B$7050+$D$8161</f>
        <v/>
      </c>
      <c r="M8177" s="21">
        <f>0</f>
        <v/>
      </c>
      <c r="N8177" s="21">
        <f>-$B$7050</f>
        <v/>
      </c>
      <c r="O8177" s="21">
        <f>$B$7051</f>
        <v/>
      </c>
      <c r="P8177" s="21" t="n">
        <v>0</v>
      </c>
      <c r="Q8177" s="21" t="n">
        <v>0</v>
      </c>
      <c r="R8177" s="21" t="n">
        <v>0</v>
      </c>
      <c r="S8177" s="21" t="n">
        <v>0</v>
      </c>
      <c r="T8177" s="21" t="n">
        <v>0</v>
      </c>
      <c r="U8177" s="21" t="n">
        <v>0</v>
      </c>
      <c r="V8177" s="21" t="n">
        <v>0</v>
      </c>
      <c r="W8177" s="21" t="n">
        <v>0</v>
      </c>
      <c r="X8177" s="21" t="n">
        <v>0</v>
      </c>
      <c r="Y8177" s="21" t="n">
        <v>0</v>
      </c>
      <c r="Z8177" s="19" t="n"/>
    </row>
    <row r="8178">
      <c r="D8178" s="21" t="n">
        <v>0</v>
      </c>
      <c r="E8178" s="21" t="n">
        <v>0</v>
      </c>
      <c r="F8178" s="21" t="n">
        <v>0</v>
      </c>
      <c r="G8178" s="21" t="n">
        <v>0</v>
      </c>
      <c r="H8178" s="21" t="n">
        <v>0</v>
      </c>
      <c r="I8178" s="21" t="n">
        <v>0</v>
      </c>
      <c r="J8178" s="21">
        <f>$B$7051</f>
        <v/>
      </c>
      <c r="K8178" s="21">
        <f>$B$7053</f>
        <v/>
      </c>
      <c r="L8178" s="21">
        <f>0</f>
        <v/>
      </c>
      <c r="M8178" s="21">
        <f>2*$B$7052</f>
        <v/>
      </c>
      <c r="N8178" s="21">
        <f>-$B$7051</f>
        <v/>
      </c>
      <c r="O8178" s="21">
        <f>$B$7053</f>
        <v/>
      </c>
      <c r="P8178" s="21" t="n">
        <v>0</v>
      </c>
      <c r="Q8178" s="21" t="n">
        <v>0</v>
      </c>
      <c r="R8178" s="21" t="n">
        <v>0</v>
      </c>
      <c r="S8178" s="21" t="n">
        <v>0</v>
      </c>
      <c r="T8178" s="21" t="n">
        <v>0</v>
      </c>
      <c r="U8178" s="21" t="n">
        <v>0</v>
      </c>
      <c r="V8178" s="21" t="n">
        <v>0</v>
      </c>
      <c r="W8178" s="21" t="n">
        <v>0</v>
      </c>
      <c r="X8178" s="21" t="n">
        <v>0</v>
      </c>
      <c r="Y8178" s="21" t="n">
        <v>0</v>
      </c>
      <c r="Z8178" s="19" t="n"/>
    </row>
    <row r="8179">
      <c r="D8179" s="21" t="n">
        <v>0</v>
      </c>
      <c r="E8179" s="21" t="n">
        <v>0</v>
      </c>
      <c r="F8179" s="21" t="n">
        <v>0</v>
      </c>
      <c r="G8179" s="21" t="n">
        <v>0</v>
      </c>
      <c r="H8179" s="21" t="n">
        <v>0</v>
      </c>
      <c r="I8179" s="21" t="n">
        <v>0</v>
      </c>
      <c r="J8179" s="21" t="n">
        <v>0</v>
      </c>
      <c r="K8179" s="21" t="n">
        <v>0</v>
      </c>
      <c r="L8179" s="21">
        <f>-$B$7050</f>
        <v/>
      </c>
      <c r="M8179" s="21">
        <f>-$B$7051</f>
        <v/>
      </c>
      <c r="N8179" s="21">
        <f>2*$B$7050+$D$8162</f>
        <v/>
      </c>
      <c r="O8179" s="21">
        <f>0</f>
        <v/>
      </c>
      <c r="P8179" s="21">
        <f>-$B$7050</f>
        <v/>
      </c>
      <c r="Q8179" s="21">
        <f>$B$7051</f>
        <v/>
      </c>
      <c r="R8179" s="21" t="n">
        <v>0</v>
      </c>
      <c r="S8179" s="21" t="n">
        <v>0</v>
      </c>
      <c r="T8179" s="21" t="n">
        <v>0</v>
      </c>
      <c r="U8179" s="21" t="n">
        <v>0</v>
      </c>
      <c r="V8179" s="21" t="n">
        <v>0</v>
      </c>
      <c r="W8179" s="21" t="n">
        <v>0</v>
      </c>
      <c r="X8179" s="21" t="n">
        <v>0</v>
      </c>
      <c r="Y8179" s="21" t="n">
        <v>0</v>
      </c>
      <c r="Z8179" s="19" t="n"/>
    </row>
    <row r="8180">
      <c r="D8180" s="21" t="n">
        <v>0</v>
      </c>
      <c r="E8180" s="21" t="n">
        <v>0</v>
      </c>
      <c r="F8180" s="21" t="n">
        <v>0</v>
      </c>
      <c r="G8180" s="21" t="n">
        <v>0</v>
      </c>
      <c r="H8180" s="21" t="n">
        <v>0</v>
      </c>
      <c r="I8180" s="21" t="n">
        <v>0</v>
      </c>
      <c r="J8180" s="21" t="n">
        <v>0</v>
      </c>
      <c r="K8180" s="21" t="n">
        <v>0</v>
      </c>
      <c r="L8180" s="21">
        <f>$B$7051</f>
        <v/>
      </c>
      <c r="M8180" s="21">
        <f>$B$7053</f>
        <v/>
      </c>
      <c r="N8180" s="21">
        <f>0</f>
        <v/>
      </c>
      <c r="O8180" s="21">
        <f>2*$B$7052</f>
        <v/>
      </c>
      <c r="P8180" s="21">
        <f>-$B$7051</f>
        <v/>
      </c>
      <c r="Q8180" s="21">
        <f>$B$7053</f>
        <v/>
      </c>
      <c r="R8180" s="21" t="n">
        <v>0</v>
      </c>
      <c r="S8180" s="21" t="n">
        <v>0</v>
      </c>
      <c r="T8180" s="21" t="n">
        <v>0</v>
      </c>
      <c r="U8180" s="21" t="n">
        <v>0</v>
      </c>
      <c r="V8180" s="21" t="n">
        <v>0</v>
      </c>
      <c r="W8180" s="21" t="n">
        <v>0</v>
      </c>
      <c r="X8180" s="21" t="n">
        <v>0</v>
      </c>
      <c r="Y8180" s="21" t="n">
        <v>0</v>
      </c>
      <c r="Z8180" s="19" t="n"/>
    </row>
    <row r="8181">
      <c r="D8181" s="21" t="n">
        <v>0</v>
      </c>
      <c r="E8181" s="21" t="n">
        <v>0</v>
      </c>
      <c r="F8181" s="21" t="n">
        <v>0</v>
      </c>
      <c r="G8181" s="21" t="n">
        <v>0</v>
      </c>
      <c r="H8181" s="21" t="n">
        <v>0</v>
      </c>
      <c r="I8181" s="21" t="n">
        <v>0</v>
      </c>
      <c r="J8181" s="21" t="n">
        <v>0</v>
      </c>
      <c r="K8181" s="21" t="n">
        <v>0</v>
      </c>
      <c r="L8181" s="21" t="n">
        <v>0</v>
      </c>
      <c r="M8181" s="21" t="n">
        <v>0</v>
      </c>
      <c r="N8181" s="21">
        <f>-$B$7050</f>
        <v/>
      </c>
      <c r="O8181" s="21">
        <f>-$B$7051</f>
        <v/>
      </c>
      <c r="P8181" s="21">
        <f>2*$B$7050+$D$8163</f>
        <v/>
      </c>
      <c r="Q8181" s="21">
        <f>0</f>
        <v/>
      </c>
      <c r="R8181" s="21">
        <f>-$B$7050</f>
        <v/>
      </c>
      <c r="S8181" s="21">
        <f>$B$7051</f>
        <v/>
      </c>
      <c r="T8181" s="21" t="n">
        <v>0</v>
      </c>
      <c r="U8181" s="21" t="n">
        <v>0</v>
      </c>
      <c r="V8181" s="21" t="n">
        <v>0</v>
      </c>
      <c r="W8181" s="21" t="n">
        <v>0</v>
      </c>
      <c r="X8181" s="21" t="n">
        <v>0</v>
      </c>
      <c r="Y8181" s="21" t="n">
        <v>0</v>
      </c>
      <c r="Z8181" s="19" t="n"/>
    </row>
    <row r="8182">
      <c r="D8182" s="21" t="n">
        <v>0</v>
      </c>
      <c r="E8182" s="21" t="n">
        <v>0</v>
      </c>
      <c r="F8182" s="21" t="n">
        <v>0</v>
      </c>
      <c r="G8182" s="21" t="n">
        <v>0</v>
      </c>
      <c r="H8182" s="21" t="n">
        <v>0</v>
      </c>
      <c r="I8182" s="21" t="n">
        <v>0</v>
      </c>
      <c r="J8182" s="21" t="n">
        <v>0</v>
      </c>
      <c r="K8182" s="21" t="n">
        <v>0</v>
      </c>
      <c r="L8182" s="21" t="n">
        <v>0</v>
      </c>
      <c r="M8182" s="21" t="n">
        <v>0</v>
      </c>
      <c r="N8182" s="21">
        <f>$B$7051</f>
        <v/>
      </c>
      <c r="O8182" s="21">
        <f>$B$7053</f>
        <v/>
      </c>
      <c r="P8182" s="21">
        <f>0</f>
        <v/>
      </c>
      <c r="Q8182" s="21">
        <f>2*$B$7052</f>
        <v/>
      </c>
      <c r="R8182" s="21">
        <f>-$B$7051</f>
        <v/>
      </c>
      <c r="S8182" s="21">
        <f>$B$7053</f>
        <v/>
      </c>
      <c r="T8182" s="21" t="n">
        <v>0</v>
      </c>
      <c r="U8182" s="21" t="n">
        <v>0</v>
      </c>
      <c r="V8182" s="21" t="n">
        <v>0</v>
      </c>
      <c r="W8182" s="21" t="n">
        <v>0</v>
      </c>
      <c r="X8182" s="21" t="n">
        <v>0</v>
      </c>
      <c r="Y8182" s="21" t="n">
        <v>0</v>
      </c>
      <c r="Z8182" s="19" t="n"/>
    </row>
    <row r="8183">
      <c r="D8183" s="21" t="n">
        <v>0</v>
      </c>
      <c r="E8183" s="21" t="n">
        <v>0</v>
      </c>
      <c r="F8183" s="21" t="n">
        <v>0</v>
      </c>
      <c r="G8183" s="21" t="n">
        <v>0</v>
      </c>
      <c r="H8183" s="21" t="n">
        <v>0</v>
      </c>
      <c r="I8183" s="21" t="n">
        <v>0</v>
      </c>
      <c r="J8183" s="21" t="n">
        <v>0</v>
      </c>
      <c r="K8183" s="21" t="n">
        <v>0</v>
      </c>
      <c r="L8183" s="21" t="n">
        <v>0</v>
      </c>
      <c r="M8183" s="21" t="n">
        <v>0</v>
      </c>
      <c r="N8183" s="21" t="n">
        <v>0</v>
      </c>
      <c r="O8183" s="21" t="n">
        <v>0</v>
      </c>
      <c r="P8183" s="21">
        <f>-$B$7050</f>
        <v/>
      </c>
      <c r="Q8183" s="21">
        <f>-$B$7051</f>
        <v/>
      </c>
      <c r="R8183" s="21">
        <f>2*$B$7050+$D$8164</f>
        <v/>
      </c>
      <c r="S8183" s="21">
        <f>0</f>
        <v/>
      </c>
      <c r="T8183" s="21">
        <f>-$B$7050</f>
        <v/>
      </c>
      <c r="U8183" s="21">
        <f>$B$7051</f>
        <v/>
      </c>
      <c r="V8183" s="21" t="n">
        <v>0</v>
      </c>
      <c r="W8183" s="21" t="n">
        <v>0</v>
      </c>
      <c r="X8183" s="21" t="n">
        <v>0</v>
      </c>
      <c r="Y8183" s="21" t="n">
        <v>0</v>
      </c>
      <c r="Z8183" s="19" t="n"/>
    </row>
    <row r="8184">
      <c r="D8184" s="21" t="n">
        <v>0</v>
      </c>
      <c r="E8184" s="21" t="n">
        <v>0</v>
      </c>
      <c r="F8184" s="21" t="n">
        <v>0</v>
      </c>
      <c r="G8184" s="21" t="n">
        <v>0</v>
      </c>
      <c r="H8184" s="21" t="n">
        <v>0</v>
      </c>
      <c r="I8184" s="21" t="n">
        <v>0</v>
      </c>
      <c r="J8184" s="21" t="n">
        <v>0</v>
      </c>
      <c r="K8184" s="21" t="n">
        <v>0</v>
      </c>
      <c r="L8184" s="21" t="n">
        <v>0</v>
      </c>
      <c r="M8184" s="21" t="n">
        <v>0</v>
      </c>
      <c r="N8184" s="21" t="n">
        <v>0</v>
      </c>
      <c r="O8184" s="21" t="n">
        <v>0</v>
      </c>
      <c r="P8184" s="21">
        <f>$B$7051</f>
        <v/>
      </c>
      <c r="Q8184" s="21">
        <f>$B$7053</f>
        <v/>
      </c>
      <c r="R8184" s="21">
        <f>0</f>
        <v/>
      </c>
      <c r="S8184" s="21">
        <f>2*$B$7052</f>
        <v/>
      </c>
      <c r="T8184" s="21">
        <f>-$B$7051</f>
        <v/>
      </c>
      <c r="U8184" s="21">
        <f>$B$7053</f>
        <v/>
      </c>
      <c r="V8184" s="21" t="n">
        <v>0</v>
      </c>
      <c r="W8184" s="21" t="n">
        <v>0</v>
      </c>
      <c r="X8184" s="21" t="n">
        <v>0</v>
      </c>
      <c r="Y8184" s="21" t="n">
        <v>0</v>
      </c>
      <c r="Z8184" s="19" t="n"/>
    </row>
    <row r="8185">
      <c r="D8185" s="21" t="n">
        <v>0</v>
      </c>
      <c r="E8185" s="21" t="n">
        <v>0</v>
      </c>
      <c r="F8185" s="21" t="n">
        <v>0</v>
      </c>
      <c r="G8185" s="21" t="n">
        <v>0</v>
      </c>
      <c r="H8185" s="21" t="n">
        <v>0</v>
      </c>
      <c r="I8185" s="21" t="n">
        <v>0</v>
      </c>
      <c r="J8185" s="21" t="n">
        <v>0</v>
      </c>
      <c r="K8185" s="21" t="n">
        <v>0</v>
      </c>
      <c r="L8185" s="21" t="n">
        <v>0</v>
      </c>
      <c r="M8185" s="21" t="n">
        <v>0</v>
      </c>
      <c r="N8185" s="21" t="n">
        <v>0</v>
      </c>
      <c r="O8185" s="21" t="n">
        <v>0</v>
      </c>
      <c r="P8185" s="21" t="n">
        <v>0</v>
      </c>
      <c r="Q8185" s="21" t="n">
        <v>0</v>
      </c>
      <c r="R8185" s="21">
        <f>-$B$7050</f>
        <v/>
      </c>
      <c r="S8185" s="21">
        <f>-$B$7051</f>
        <v/>
      </c>
      <c r="T8185" s="21">
        <f>2*$B$7050+$D$8165</f>
        <v/>
      </c>
      <c r="U8185" s="21">
        <f>0</f>
        <v/>
      </c>
      <c r="V8185" s="21">
        <f>-$B$7050</f>
        <v/>
      </c>
      <c r="W8185" s="21">
        <f>$B$7051</f>
        <v/>
      </c>
      <c r="X8185" s="21" t="n">
        <v>0</v>
      </c>
      <c r="Y8185" s="21" t="n">
        <v>0</v>
      </c>
      <c r="Z8185" s="19" t="n"/>
    </row>
    <row r="8186">
      <c r="D8186" s="21" t="n">
        <v>0</v>
      </c>
      <c r="E8186" s="21" t="n">
        <v>0</v>
      </c>
      <c r="F8186" s="21" t="n">
        <v>0</v>
      </c>
      <c r="G8186" s="21" t="n">
        <v>0</v>
      </c>
      <c r="H8186" s="21" t="n">
        <v>0</v>
      </c>
      <c r="I8186" s="21" t="n">
        <v>0</v>
      </c>
      <c r="J8186" s="21" t="n">
        <v>0</v>
      </c>
      <c r="K8186" s="21" t="n">
        <v>0</v>
      </c>
      <c r="L8186" s="21" t="n">
        <v>0</v>
      </c>
      <c r="M8186" s="21" t="n">
        <v>0</v>
      </c>
      <c r="N8186" s="21" t="n">
        <v>0</v>
      </c>
      <c r="O8186" s="21" t="n">
        <v>0</v>
      </c>
      <c r="P8186" s="21" t="n">
        <v>0</v>
      </c>
      <c r="Q8186" s="21" t="n">
        <v>0</v>
      </c>
      <c r="R8186" s="21">
        <f>$B$7051</f>
        <v/>
      </c>
      <c r="S8186" s="21">
        <f>$B$7053</f>
        <v/>
      </c>
      <c r="T8186" s="21">
        <f>0</f>
        <v/>
      </c>
      <c r="U8186" s="21">
        <f>2*$B$7052</f>
        <v/>
      </c>
      <c r="V8186" s="21">
        <f>-$B$7051</f>
        <v/>
      </c>
      <c r="W8186" s="21">
        <f>$B$7053</f>
        <v/>
      </c>
      <c r="X8186" s="21" t="n">
        <v>0</v>
      </c>
      <c r="Y8186" s="21" t="n">
        <v>0</v>
      </c>
      <c r="Z8186" s="19" t="n"/>
    </row>
    <row r="8187">
      <c r="D8187" s="21" t="n">
        <v>0</v>
      </c>
      <c r="E8187" s="21" t="n">
        <v>0</v>
      </c>
      <c r="F8187" s="21" t="n">
        <v>0</v>
      </c>
      <c r="G8187" s="21" t="n">
        <v>0</v>
      </c>
      <c r="H8187" s="21" t="n">
        <v>0</v>
      </c>
      <c r="I8187" s="21" t="n">
        <v>0</v>
      </c>
      <c r="J8187" s="21" t="n">
        <v>0</v>
      </c>
      <c r="K8187" s="21" t="n">
        <v>0</v>
      </c>
      <c r="L8187" s="21" t="n">
        <v>0</v>
      </c>
      <c r="M8187" s="21" t="n">
        <v>0</v>
      </c>
      <c r="N8187" s="21" t="n">
        <v>0</v>
      </c>
      <c r="O8187" s="21" t="n">
        <v>0</v>
      </c>
      <c r="P8187" s="21" t="n">
        <v>0</v>
      </c>
      <c r="Q8187" s="21" t="n">
        <v>0</v>
      </c>
      <c r="R8187" s="21" t="n">
        <v>0</v>
      </c>
      <c r="S8187" s="21" t="n">
        <v>0</v>
      </c>
      <c r="T8187" s="21">
        <f>-$B$7050</f>
        <v/>
      </c>
      <c r="U8187" s="21">
        <f>-$B$7051</f>
        <v/>
      </c>
      <c r="V8187" s="21">
        <f>2*$B$7050+$D$8166</f>
        <v/>
      </c>
      <c r="W8187" s="21">
        <f>0</f>
        <v/>
      </c>
      <c r="X8187" s="21">
        <f>-$B$7050</f>
        <v/>
      </c>
      <c r="Y8187" s="21">
        <f>$B$7051</f>
        <v/>
      </c>
      <c r="Z8187" s="19" t="n"/>
    </row>
    <row r="8188">
      <c r="D8188" s="21" t="n">
        <v>0</v>
      </c>
      <c r="E8188" s="21" t="n">
        <v>0</v>
      </c>
      <c r="F8188" s="21" t="n">
        <v>0</v>
      </c>
      <c r="G8188" s="21" t="n">
        <v>0</v>
      </c>
      <c r="H8188" s="21" t="n">
        <v>0</v>
      </c>
      <c r="I8188" s="21" t="n">
        <v>0</v>
      </c>
      <c r="J8188" s="21" t="n">
        <v>0</v>
      </c>
      <c r="K8188" s="21" t="n">
        <v>0</v>
      </c>
      <c r="L8188" s="21" t="n">
        <v>0</v>
      </c>
      <c r="M8188" s="21" t="n">
        <v>0</v>
      </c>
      <c r="N8188" s="21" t="n">
        <v>0</v>
      </c>
      <c r="O8188" s="21" t="n">
        <v>0</v>
      </c>
      <c r="P8188" s="21" t="n">
        <v>0</v>
      </c>
      <c r="Q8188" s="21" t="n">
        <v>0</v>
      </c>
      <c r="R8188" s="21" t="n">
        <v>0</v>
      </c>
      <c r="S8188" s="21" t="n">
        <v>0</v>
      </c>
      <c r="T8188" s="21">
        <f>$B$7051</f>
        <v/>
      </c>
      <c r="U8188" s="21">
        <f>$B$7053</f>
        <v/>
      </c>
      <c r="V8188" s="21">
        <f>0</f>
        <v/>
      </c>
      <c r="W8188" s="21">
        <f>2*$B$7052</f>
        <v/>
      </c>
      <c r="X8188" s="21">
        <f>-$B$7051</f>
        <v/>
      </c>
      <c r="Y8188" s="21">
        <f>$B$7053</f>
        <v/>
      </c>
      <c r="Z8188" s="19" t="n"/>
    </row>
    <row r="8189">
      <c r="D8189" s="21" t="n">
        <v>0</v>
      </c>
      <c r="E8189" s="21" t="n">
        <v>0</v>
      </c>
      <c r="F8189" s="21" t="n">
        <v>0</v>
      </c>
      <c r="G8189" s="21" t="n">
        <v>0</v>
      </c>
      <c r="H8189" s="21" t="n">
        <v>0</v>
      </c>
      <c r="I8189" s="21" t="n">
        <v>0</v>
      </c>
      <c r="J8189" s="21" t="n">
        <v>0</v>
      </c>
      <c r="K8189" s="21" t="n">
        <v>0</v>
      </c>
      <c r="L8189" s="21" t="n">
        <v>0</v>
      </c>
      <c r="M8189" s="21" t="n">
        <v>0</v>
      </c>
      <c r="N8189" s="21" t="n">
        <v>0</v>
      </c>
      <c r="O8189" s="21" t="n">
        <v>0</v>
      </c>
      <c r="P8189" s="21" t="n">
        <v>0</v>
      </c>
      <c r="Q8189" s="21" t="n">
        <v>0</v>
      </c>
      <c r="R8189" s="21" t="n">
        <v>0</v>
      </c>
      <c r="S8189" s="21" t="n">
        <v>0</v>
      </c>
      <c r="T8189" s="21" t="n">
        <v>0</v>
      </c>
      <c r="U8189" s="21" t="n">
        <v>0</v>
      </c>
      <c r="V8189" s="21">
        <f>-$B$7050</f>
        <v/>
      </c>
      <c r="W8189" s="21">
        <f>-$B$7051</f>
        <v/>
      </c>
      <c r="X8189" s="21">
        <f>$B$7050+$D$8167</f>
        <v/>
      </c>
      <c r="Y8189" s="21">
        <f>-$B$7051</f>
        <v/>
      </c>
      <c r="Z8189" s="19" t="n"/>
    </row>
    <row r="8190">
      <c r="D8190" s="21" t="n">
        <v>0</v>
      </c>
      <c r="E8190" s="21" t="n">
        <v>0</v>
      </c>
      <c r="F8190" s="21" t="n">
        <v>0</v>
      </c>
      <c r="G8190" s="21" t="n">
        <v>0</v>
      </c>
      <c r="H8190" s="21" t="n">
        <v>0</v>
      </c>
      <c r="I8190" s="21" t="n">
        <v>0</v>
      </c>
      <c r="J8190" s="21" t="n">
        <v>0</v>
      </c>
      <c r="K8190" s="21" t="n">
        <v>0</v>
      </c>
      <c r="L8190" s="21" t="n">
        <v>0</v>
      </c>
      <c r="M8190" s="21" t="n">
        <v>0</v>
      </c>
      <c r="N8190" s="21" t="n">
        <v>0</v>
      </c>
      <c r="O8190" s="21" t="n">
        <v>0</v>
      </c>
      <c r="P8190" s="21" t="n">
        <v>0</v>
      </c>
      <c r="Q8190" s="21" t="n">
        <v>0</v>
      </c>
      <c r="R8190" s="21" t="n">
        <v>0</v>
      </c>
      <c r="S8190" s="21" t="n">
        <v>0</v>
      </c>
      <c r="T8190" s="21" t="n">
        <v>0</v>
      </c>
      <c r="U8190" s="21" t="n">
        <v>0</v>
      </c>
      <c r="V8190" s="21">
        <f>$B$7051</f>
        <v/>
      </c>
      <c r="W8190" s="21">
        <f>$B$7053</f>
        <v/>
      </c>
      <c r="X8190" s="21">
        <f>-$B$7051</f>
        <v/>
      </c>
      <c r="Y8190" s="21">
        <f>$B$7052</f>
        <v/>
      </c>
      <c r="Z8190" s="19" t="n"/>
    </row>
    <row r="8192">
      <c r="A8192" s="8" t="inlineStr">
        <is>
          <t>gen 31</t>
        </is>
      </c>
    </row>
    <row r="8193">
      <c r="D8193" s="19">
        <f>IF(ABS(IF(ABS($E$8157)&gt;0.000000001,$E$8157,0.000000001))=0,0,IF($E$7065&lt;=$B$7059,0,IF(ABS(IF(ABS($E$8157)&gt;0.000000001,$E$8157,0.000000001))&gt;=8*$B$7061,$H$7065,0.5*$H$7065*(ABS(IF(ABS($E$8157)&gt;0.000000001,$E$8157,0.000000001))/$B$7061)^(1/3)))/ABS(IF(ABS($E$8157)&gt;0.000000001,$E$8157,0.000000001))*$I$7065)</f>
        <v/>
      </c>
      <c r="E8193" s="19">
        <f>0.5*$E$8157+0.5*$Z$8205</f>
        <v/>
      </c>
      <c r="F8193" s="19">
        <f>$Z$8206</f>
        <v/>
      </c>
    </row>
    <row r="8194">
      <c r="D8194" s="19">
        <f>IF(ABS(IF(ABS($E$8158)&gt;0.000000001,$E$8158,0.000000001))=0,0,IF($E$7066&lt;=$B$7059,0,IF(ABS(IF(ABS($E$8158)&gt;0.000000001,$E$8158,0.000000001))&gt;=8*$B$7061,$H$7066,0.5*$H$7066*(ABS(IF(ABS($E$8158)&gt;0.000000001,$E$8158,0.000000001))/$B$7061)^(1/3)))/ABS(IF(ABS($E$8158)&gt;0.000000001,$E$8158,0.000000001))*$I$7066)</f>
        <v/>
      </c>
      <c r="E8194" s="19">
        <f>0.5*$E$8158+0.5*$Z$8207</f>
        <v/>
      </c>
      <c r="F8194" s="19">
        <f>$Z$8208</f>
        <v/>
      </c>
    </row>
    <row r="8195">
      <c r="D8195" s="19">
        <f>IF(ABS(IF(ABS($E$8159)&gt;0.000000001,$E$8159,0.000000001))=0,0,IF($E$7067&lt;=$B$7059,0,IF(ABS(IF(ABS($E$8159)&gt;0.000000001,$E$8159,0.000000001))&gt;=8*$B$7061,$H$7067,0.5*$H$7067*(ABS(IF(ABS($E$8159)&gt;0.000000001,$E$8159,0.000000001))/$B$7061)^(1/3)))/ABS(IF(ABS($E$8159)&gt;0.000000001,$E$8159,0.000000001))*$I$7067)</f>
        <v/>
      </c>
      <c r="E8195" s="19">
        <f>0.5*$E$8159+0.5*$Z$8209</f>
        <v/>
      </c>
      <c r="F8195" s="19">
        <f>$Z$8210</f>
        <v/>
      </c>
    </row>
    <row r="8196">
      <c r="D8196" s="19">
        <f>IF(ABS(IF(ABS($E$8160)&gt;0.000000001,$E$8160,0.000000001))=0,0,IF($E$7068&lt;=$B$7059,0,IF(ABS(IF(ABS($E$8160)&gt;0.000000001,$E$8160,0.000000001))&gt;=8*$B$7061,$H$7068,0.5*$H$7068*(ABS(IF(ABS($E$8160)&gt;0.000000001,$E$8160,0.000000001))/$B$7061)^(1/3)))/ABS(IF(ABS($E$8160)&gt;0.000000001,$E$8160,0.000000001))*$I$7068)</f>
        <v/>
      </c>
      <c r="E8196" s="19">
        <f>0.5*$E$8160+0.5*$Z$8211</f>
        <v/>
      </c>
      <c r="F8196" s="19">
        <f>$Z$8212</f>
        <v/>
      </c>
    </row>
    <row r="8197">
      <c r="D8197" s="19">
        <f>IF(ABS(IF(ABS($E$8161)&gt;0.000000001,$E$8161,0.000000001))=0,0,IF($E$7069&lt;=$B$7059,0,IF(ABS(IF(ABS($E$8161)&gt;0.000000001,$E$8161,0.000000001))&gt;=8*$B$7061,$H$7069,0.5*$H$7069*(ABS(IF(ABS($E$8161)&gt;0.000000001,$E$8161,0.000000001))/$B$7061)^(1/3)))/ABS(IF(ABS($E$8161)&gt;0.000000001,$E$8161,0.000000001))*$I$7069)</f>
        <v/>
      </c>
      <c r="E8197" s="19">
        <f>0.5*$E$8161+0.5*$Z$8213</f>
        <v/>
      </c>
      <c r="F8197" s="19">
        <f>$Z$8214</f>
        <v/>
      </c>
    </row>
    <row r="8198">
      <c r="D8198" s="19">
        <f>IF(ABS(IF(ABS($E$8162)&gt;0.000000001,$E$8162,0.000000001))=0,0,IF($E$7070&lt;=$B$7059,0,IF(ABS(IF(ABS($E$8162)&gt;0.000000001,$E$8162,0.000000001))&gt;=8*$B$7061,$H$7070,0.5*$H$7070*(ABS(IF(ABS($E$8162)&gt;0.000000001,$E$8162,0.000000001))/$B$7061)^(1/3)))/ABS(IF(ABS($E$8162)&gt;0.000000001,$E$8162,0.000000001))*$I$7070)</f>
        <v/>
      </c>
      <c r="E8198" s="19">
        <f>0.5*$E$8162+0.5*$Z$8215</f>
        <v/>
      </c>
      <c r="F8198" s="19">
        <f>$Z$8216</f>
        <v/>
      </c>
    </row>
    <row r="8199">
      <c r="D8199" s="19">
        <f>IF(ABS(IF(ABS($E$8163)&gt;0.000000001,$E$8163,0.000000001))=0,0,IF($E$7071&lt;=$B$7059,0,IF(ABS(IF(ABS($E$8163)&gt;0.000000001,$E$8163,0.000000001))&gt;=8*$B$7061,$H$7071,0.5*$H$7071*(ABS(IF(ABS($E$8163)&gt;0.000000001,$E$8163,0.000000001))/$B$7061)^(1/3)))/ABS(IF(ABS($E$8163)&gt;0.000000001,$E$8163,0.000000001))*$I$7071)</f>
        <v/>
      </c>
      <c r="E8199" s="19">
        <f>0.5*$E$8163+0.5*$Z$8217</f>
        <v/>
      </c>
      <c r="F8199" s="19">
        <f>$Z$8218</f>
        <v/>
      </c>
    </row>
    <row r="8200">
      <c r="D8200" s="19">
        <f>IF(ABS(IF(ABS($E$8164)&gt;0.000000001,$E$8164,0.000000001))=0,0,IF($E$7072&lt;=$B$7059,0,IF(ABS(IF(ABS($E$8164)&gt;0.000000001,$E$8164,0.000000001))&gt;=8*$B$7061,$H$7072,0.5*$H$7072*(ABS(IF(ABS($E$8164)&gt;0.000000001,$E$8164,0.000000001))/$B$7061)^(1/3)))/ABS(IF(ABS($E$8164)&gt;0.000000001,$E$8164,0.000000001))*$I$7072)</f>
        <v/>
      </c>
      <c r="E8200" s="19">
        <f>0.5*$E$8164+0.5*$Z$8219</f>
        <v/>
      </c>
      <c r="F8200" s="19">
        <f>$Z$8220</f>
        <v/>
      </c>
    </row>
    <row r="8201">
      <c r="D8201" s="19">
        <f>IF(ABS(IF(ABS($E$8165)&gt;0.000000001,$E$8165,0.000000001))=0,0,IF($E$7073&lt;=$B$7059,0,IF(ABS(IF(ABS($E$8165)&gt;0.000000001,$E$8165,0.000000001))&gt;=8*$B$7061,$H$7073,0.5*$H$7073*(ABS(IF(ABS($E$8165)&gt;0.000000001,$E$8165,0.000000001))/$B$7061)^(1/3)))/ABS(IF(ABS($E$8165)&gt;0.000000001,$E$8165,0.000000001))*$I$7073)</f>
        <v/>
      </c>
      <c r="E8201" s="19">
        <f>0.5*$E$8165+0.5*$Z$8221</f>
        <v/>
      </c>
      <c r="F8201" s="19">
        <f>$Z$8222</f>
        <v/>
      </c>
    </row>
    <row r="8202">
      <c r="D8202" s="19">
        <f>IF(ABS(IF(ABS($E$8166)&gt;0.000000001,$E$8166,0.000000001))=0,0,IF($E$7074&lt;=$B$7059,0,IF(ABS(IF(ABS($E$8166)&gt;0.000000001,$E$8166,0.000000001))&gt;=8*$B$7061,$H$7074,0.5*$H$7074*(ABS(IF(ABS($E$8166)&gt;0.000000001,$E$8166,0.000000001))/$B$7061)^(1/3)))/ABS(IF(ABS($E$8166)&gt;0.000000001,$E$8166,0.000000001))*$I$7074)</f>
        <v/>
      </c>
      <c r="E8202" s="19">
        <f>0.5*$E$8166+0.5*$Z$8223</f>
        <v/>
      </c>
      <c r="F8202" s="19">
        <f>$Z$8224</f>
        <v/>
      </c>
    </row>
    <row r="8203">
      <c r="D8203" s="19">
        <f>IF(ABS(IF(ABS($E$8167)&gt;0.000000001,$E$8167,0.000000001))=0,0,IF($E$7075&lt;=$B$7059,0,IF(ABS(IF(ABS($E$8167)&gt;0.000000001,$E$8167,0.000000001))&gt;=8*$B$7061,$H$7075,0.5*$H$7075*(ABS(IF(ABS($E$8167)&gt;0.000000001,$E$8167,0.000000001))/$B$7061)^(1/3)))/ABS(IF(ABS($E$8167)&gt;0.000000001,$E$8167,0.000000001))*$I$7075)</f>
        <v/>
      </c>
      <c r="E8203" s="19">
        <f>0.5*$E$8167+0.5*$Z$8225</f>
        <v/>
      </c>
      <c r="F8203" s="19">
        <f>$Z$8226</f>
        <v/>
      </c>
    </row>
    <row r="8205">
      <c r="D8205" s="21">
        <f>$B$7050+$D$8193</f>
        <v/>
      </c>
      <c r="E8205" s="21">
        <f>$B$7051</f>
        <v/>
      </c>
      <c r="F8205" s="21">
        <f>-$B$7050</f>
        <v/>
      </c>
      <c r="G8205" s="21">
        <f>$B$7051</f>
        <v/>
      </c>
      <c r="H8205" s="21" t="n">
        <v>0</v>
      </c>
      <c r="I8205" s="21" t="n">
        <v>0</v>
      </c>
      <c r="J8205" s="21" t="n">
        <v>0</v>
      </c>
      <c r="K8205" s="21" t="n">
        <v>0</v>
      </c>
      <c r="L8205" s="21" t="n">
        <v>0</v>
      </c>
      <c r="M8205" s="21" t="n">
        <v>0</v>
      </c>
      <c r="N8205" s="21" t="n">
        <v>0</v>
      </c>
      <c r="O8205" s="21" t="n">
        <v>0</v>
      </c>
      <c r="P8205" s="21" t="n">
        <v>0</v>
      </c>
      <c r="Q8205" s="21" t="n">
        <v>0</v>
      </c>
      <c r="R8205" s="21" t="n">
        <v>0</v>
      </c>
      <c r="S8205" s="21" t="n">
        <v>0</v>
      </c>
      <c r="T8205" s="21" t="n">
        <v>0</v>
      </c>
      <c r="U8205" s="21" t="n">
        <v>0</v>
      </c>
      <c r="V8205" s="21" t="n">
        <v>0</v>
      </c>
      <c r="W8205" s="21" t="n">
        <v>0</v>
      </c>
      <c r="X8205" s="21" t="n">
        <v>0</v>
      </c>
      <c r="Y8205" s="21" t="n">
        <v>0</v>
      </c>
      <c r="Z8205" s="19">
        <f t="array" ref="Z8205:Z8226">MMULT(MINVERSE($D$8205:$Y$8226),$D$7077:$D$7098)</f>
        <v/>
      </c>
    </row>
    <row r="8206">
      <c r="D8206" s="21">
        <f>$B$7051</f>
        <v/>
      </c>
      <c r="E8206" s="21">
        <f>$B$7052</f>
        <v/>
      </c>
      <c r="F8206" s="21">
        <f>-$B$7051</f>
        <v/>
      </c>
      <c r="G8206" s="21">
        <f>$B$7053</f>
        <v/>
      </c>
      <c r="H8206" s="21" t="n">
        <v>0</v>
      </c>
      <c r="I8206" s="21" t="n">
        <v>0</v>
      </c>
      <c r="J8206" s="21" t="n">
        <v>0</v>
      </c>
      <c r="K8206" s="21" t="n">
        <v>0</v>
      </c>
      <c r="L8206" s="21" t="n">
        <v>0</v>
      </c>
      <c r="M8206" s="21" t="n">
        <v>0</v>
      </c>
      <c r="N8206" s="21" t="n">
        <v>0</v>
      </c>
      <c r="O8206" s="21" t="n">
        <v>0</v>
      </c>
      <c r="P8206" s="21" t="n">
        <v>0</v>
      </c>
      <c r="Q8206" s="21" t="n">
        <v>0</v>
      </c>
      <c r="R8206" s="21" t="n">
        <v>0</v>
      </c>
      <c r="S8206" s="21" t="n">
        <v>0</v>
      </c>
      <c r="T8206" s="21" t="n">
        <v>0</v>
      </c>
      <c r="U8206" s="21" t="n">
        <v>0</v>
      </c>
      <c r="V8206" s="21" t="n">
        <v>0</v>
      </c>
      <c r="W8206" s="21" t="n">
        <v>0</v>
      </c>
      <c r="X8206" s="21" t="n">
        <v>0</v>
      </c>
      <c r="Y8206" s="21" t="n">
        <v>0</v>
      </c>
      <c r="Z8206" s="19" t="n"/>
    </row>
    <row r="8207">
      <c r="D8207" s="21">
        <f>-$B$7050</f>
        <v/>
      </c>
      <c r="E8207" s="21">
        <f>-$B$7051</f>
        <v/>
      </c>
      <c r="F8207" s="21">
        <f>2*$B$7050+$D$8194</f>
        <v/>
      </c>
      <c r="G8207" s="21">
        <f>0</f>
        <v/>
      </c>
      <c r="H8207" s="21">
        <f>-$B$7050</f>
        <v/>
      </c>
      <c r="I8207" s="21">
        <f>$B$7051</f>
        <v/>
      </c>
      <c r="J8207" s="21" t="n">
        <v>0</v>
      </c>
      <c r="K8207" s="21" t="n">
        <v>0</v>
      </c>
      <c r="L8207" s="21" t="n">
        <v>0</v>
      </c>
      <c r="M8207" s="21" t="n">
        <v>0</v>
      </c>
      <c r="N8207" s="21" t="n">
        <v>0</v>
      </c>
      <c r="O8207" s="21" t="n">
        <v>0</v>
      </c>
      <c r="P8207" s="21" t="n">
        <v>0</v>
      </c>
      <c r="Q8207" s="21" t="n">
        <v>0</v>
      </c>
      <c r="R8207" s="21" t="n">
        <v>0</v>
      </c>
      <c r="S8207" s="21" t="n">
        <v>0</v>
      </c>
      <c r="T8207" s="21" t="n">
        <v>0</v>
      </c>
      <c r="U8207" s="21" t="n">
        <v>0</v>
      </c>
      <c r="V8207" s="21" t="n">
        <v>0</v>
      </c>
      <c r="W8207" s="21" t="n">
        <v>0</v>
      </c>
      <c r="X8207" s="21" t="n">
        <v>0</v>
      </c>
      <c r="Y8207" s="21" t="n">
        <v>0</v>
      </c>
      <c r="Z8207" s="19" t="n"/>
    </row>
    <row r="8208">
      <c r="D8208" s="21">
        <f>$B$7051</f>
        <v/>
      </c>
      <c r="E8208" s="21">
        <f>$B$7053</f>
        <v/>
      </c>
      <c r="F8208" s="21">
        <f>0</f>
        <v/>
      </c>
      <c r="G8208" s="21">
        <f>2*$B$7052</f>
        <v/>
      </c>
      <c r="H8208" s="21">
        <f>-$B$7051</f>
        <v/>
      </c>
      <c r="I8208" s="21">
        <f>$B$7053</f>
        <v/>
      </c>
      <c r="J8208" s="21" t="n">
        <v>0</v>
      </c>
      <c r="K8208" s="21" t="n">
        <v>0</v>
      </c>
      <c r="L8208" s="21" t="n">
        <v>0</v>
      </c>
      <c r="M8208" s="21" t="n">
        <v>0</v>
      </c>
      <c r="N8208" s="21" t="n">
        <v>0</v>
      </c>
      <c r="O8208" s="21" t="n">
        <v>0</v>
      </c>
      <c r="P8208" s="21" t="n">
        <v>0</v>
      </c>
      <c r="Q8208" s="21" t="n">
        <v>0</v>
      </c>
      <c r="R8208" s="21" t="n">
        <v>0</v>
      </c>
      <c r="S8208" s="21" t="n">
        <v>0</v>
      </c>
      <c r="T8208" s="21" t="n">
        <v>0</v>
      </c>
      <c r="U8208" s="21" t="n">
        <v>0</v>
      </c>
      <c r="V8208" s="21" t="n">
        <v>0</v>
      </c>
      <c r="W8208" s="21" t="n">
        <v>0</v>
      </c>
      <c r="X8208" s="21" t="n">
        <v>0</v>
      </c>
      <c r="Y8208" s="21" t="n">
        <v>0</v>
      </c>
      <c r="Z8208" s="19" t="n"/>
    </row>
    <row r="8209">
      <c r="D8209" s="21" t="n">
        <v>0</v>
      </c>
      <c r="E8209" s="21" t="n">
        <v>0</v>
      </c>
      <c r="F8209" s="21">
        <f>-$B$7050</f>
        <v/>
      </c>
      <c r="G8209" s="21">
        <f>-$B$7051</f>
        <v/>
      </c>
      <c r="H8209" s="21">
        <f>2*$B$7050+$D$8195</f>
        <v/>
      </c>
      <c r="I8209" s="21">
        <f>0</f>
        <v/>
      </c>
      <c r="J8209" s="21">
        <f>-$B$7050</f>
        <v/>
      </c>
      <c r="K8209" s="21">
        <f>$B$7051</f>
        <v/>
      </c>
      <c r="L8209" s="21" t="n">
        <v>0</v>
      </c>
      <c r="M8209" s="21" t="n">
        <v>0</v>
      </c>
      <c r="N8209" s="21" t="n">
        <v>0</v>
      </c>
      <c r="O8209" s="21" t="n">
        <v>0</v>
      </c>
      <c r="P8209" s="21" t="n">
        <v>0</v>
      </c>
      <c r="Q8209" s="21" t="n">
        <v>0</v>
      </c>
      <c r="R8209" s="21" t="n">
        <v>0</v>
      </c>
      <c r="S8209" s="21" t="n">
        <v>0</v>
      </c>
      <c r="T8209" s="21" t="n">
        <v>0</v>
      </c>
      <c r="U8209" s="21" t="n">
        <v>0</v>
      </c>
      <c r="V8209" s="21" t="n">
        <v>0</v>
      </c>
      <c r="W8209" s="21" t="n">
        <v>0</v>
      </c>
      <c r="X8209" s="21" t="n">
        <v>0</v>
      </c>
      <c r="Y8209" s="21" t="n">
        <v>0</v>
      </c>
      <c r="Z8209" s="19" t="n"/>
    </row>
    <row r="8210">
      <c r="D8210" s="21" t="n">
        <v>0</v>
      </c>
      <c r="E8210" s="21" t="n">
        <v>0</v>
      </c>
      <c r="F8210" s="21">
        <f>$B$7051</f>
        <v/>
      </c>
      <c r="G8210" s="21">
        <f>$B$7053</f>
        <v/>
      </c>
      <c r="H8210" s="21">
        <f>0</f>
        <v/>
      </c>
      <c r="I8210" s="21">
        <f>2*$B$7052</f>
        <v/>
      </c>
      <c r="J8210" s="21">
        <f>-$B$7051</f>
        <v/>
      </c>
      <c r="K8210" s="21">
        <f>$B$7053</f>
        <v/>
      </c>
      <c r="L8210" s="21" t="n">
        <v>0</v>
      </c>
      <c r="M8210" s="21" t="n">
        <v>0</v>
      </c>
      <c r="N8210" s="21" t="n">
        <v>0</v>
      </c>
      <c r="O8210" s="21" t="n">
        <v>0</v>
      </c>
      <c r="P8210" s="21" t="n">
        <v>0</v>
      </c>
      <c r="Q8210" s="21" t="n">
        <v>0</v>
      </c>
      <c r="R8210" s="21" t="n">
        <v>0</v>
      </c>
      <c r="S8210" s="21" t="n">
        <v>0</v>
      </c>
      <c r="T8210" s="21" t="n">
        <v>0</v>
      </c>
      <c r="U8210" s="21" t="n">
        <v>0</v>
      </c>
      <c r="V8210" s="21" t="n">
        <v>0</v>
      </c>
      <c r="W8210" s="21" t="n">
        <v>0</v>
      </c>
      <c r="X8210" s="21" t="n">
        <v>0</v>
      </c>
      <c r="Y8210" s="21" t="n">
        <v>0</v>
      </c>
      <c r="Z8210" s="19" t="n"/>
    </row>
    <row r="8211">
      <c r="D8211" s="21" t="n">
        <v>0</v>
      </c>
      <c r="E8211" s="21" t="n">
        <v>0</v>
      </c>
      <c r="F8211" s="21" t="n">
        <v>0</v>
      </c>
      <c r="G8211" s="21" t="n">
        <v>0</v>
      </c>
      <c r="H8211" s="21">
        <f>-$B$7050</f>
        <v/>
      </c>
      <c r="I8211" s="21">
        <f>-$B$7051</f>
        <v/>
      </c>
      <c r="J8211" s="21">
        <f>2*$B$7050+$D$8196</f>
        <v/>
      </c>
      <c r="K8211" s="21">
        <f>0</f>
        <v/>
      </c>
      <c r="L8211" s="21">
        <f>-$B$7050</f>
        <v/>
      </c>
      <c r="M8211" s="21">
        <f>$B$7051</f>
        <v/>
      </c>
      <c r="N8211" s="21" t="n">
        <v>0</v>
      </c>
      <c r="O8211" s="21" t="n">
        <v>0</v>
      </c>
      <c r="P8211" s="21" t="n">
        <v>0</v>
      </c>
      <c r="Q8211" s="21" t="n">
        <v>0</v>
      </c>
      <c r="R8211" s="21" t="n">
        <v>0</v>
      </c>
      <c r="S8211" s="21" t="n">
        <v>0</v>
      </c>
      <c r="T8211" s="21" t="n">
        <v>0</v>
      </c>
      <c r="U8211" s="21" t="n">
        <v>0</v>
      </c>
      <c r="V8211" s="21" t="n">
        <v>0</v>
      </c>
      <c r="W8211" s="21" t="n">
        <v>0</v>
      </c>
      <c r="X8211" s="21" t="n">
        <v>0</v>
      </c>
      <c r="Y8211" s="21" t="n">
        <v>0</v>
      </c>
      <c r="Z8211" s="19" t="n"/>
    </row>
    <row r="8212">
      <c r="D8212" s="21" t="n">
        <v>0</v>
      </c>
      <c r="E8212" s="21" t="n">
        <v>0</v>
      </c>
      <c r="F8212" s="21" t="n">
        <v>0</v>
      </c>
      <c r="G8212" s="21" t="n">
        <v>0</v>
      </c>
      <c r="H8212" s="21">
        <f>$B$7051</f>
        <v/>
      </c>
      <c r="I8212" s="21">
        <f>$B$7053</f>
        <v/>
      </c>
      <c r="J8212" s="21">
        <f>0</f>
        <v/>
      </c>
      <c r="K8212" s="21">
        <f>2*$B$7052</f>
        <v/>
      </c>
      <c r="L8212" s="21">
        <f>-$B$7051</f>
        <v/>
      </c>
      <c r="M8212" s="21">
        <f>$B$7053</f>
        <v/>
      </c>
      <c r="N8212" s="21" t="n">
        <v>0</v>
      </c>
      <c r="O8212" s="21" t="n">
        <v>0</v>
      </c>
      <c r="P8212" s="21" t="n">
        <v>0</v>
      </c>
      <c r="Q8212" s="21" t="n">
        <v>0</v>
      </c>
      <c r="R8212" s="21" t="n">
        <v>0</v>
      </c>
      <c r="S8212" s="21" t="n">
        <v>0</v>
      </c>
      <c r="T8212" s="21" t="n">
        <v>0</v>
      </c>
      <c r="U8212" s="21" t="n">
        <v>0</v>
      </c>
      <c r="V8212" s="21" t="n">
        <v>0</v>
      </c>
      <c r="W8212" s="21" t="n">
        <v>0</v>
      </c>
      <c r="X8212" s="21" t="n">
        <v>0</v>
      </c>
      <c r="Y8212" s="21" t="n">
        <v>0</v>
      </c>
      <c r="Z8212" s="19" t="n"/>
    </row>
    <row r="8213">
      <c r="D8213" s="21" t="n">
        <v>0</v>
      </c>
      <c r="E8213" s="21" t="n">
        <v>0</v>
      </c>
      <c r="F8213" s="21" t="n">
        <v>0</v>
      </c>
      <c r="G8213" s="21" t="n">
        <v>0</v>
      </c>
      <c r="H8213" s="21" t="n">
        <v>0</v>
      </c>
      <c r="I8213" s="21" t="n">
        <v>0</v>
      </c>
      <c r="J8213" s="21">
        <f>-$B$7050</f>
        <v/>
      </c>
      <c r="K8213" s="21">
        <f>-$B$7051</f>
        <v/>
      </c>
      <c r="L8213" s="21">
        <f>2*$B$7050+$D$8197</f>
        <v/>
      </c>
      <c r="M8213" s="21">
        <f>0</f>
        <v/>
      </c>
      <c r="N8213" s="21">
        <f>-$B$7050</f>
        <v/>
      </c>
      <c r="O8213" s="21">
        <f>$B$7051</f>
        <v/>
      </c>
      <c r="P8213" s="21" t="n">
        <v>0</v>
      </c>
      <c r="Q8213" s="21" t="n">
        <v>0</v>
      </c>
      <c r="R8213" s="21" t="n">
        <v>0</v>
      </c>
      <c r="S8213" s="21" t="n">
        <v>0</v>
      </c>
      <c r="T8213" s="21" t="n">
        <v>0</v>
      </c>
      <c r="U8213" s="21" t="n">
        <v>0</v>
      </c>
      <c r="V8213" s="21" t="n">
        <v>0</v>
      </c>
      <c r="W8213" s="21" t="n">
        <v>0</v>
      </c>
      <c r="X8213" s="21" t="n">
        <v>0</v>
      </c>
      <c r="Y8213" s="21" t="n">
        <v>0</v>
      </c>
      <c r="Z8213" s="19" t="n"/>
    </row>
    <row r="8214">
      <c r="D8214" s="21" t="n">
        <v>0</v>
      </c>
      <c r="E8214" s="21" t="n">
        <v>0</v>
      </c>
      <c r="F8214" s="21" t="n">
        <v>0</v>
      </c>
      <c r="G8214" s="21" t="n">
        <v>0</v>
      </c>
      <c r="H8214" s="21" t="n">
        <v>0</v>
      </c>
      <c r="I8214" s="21" t="n">
        <v>0</v>
      </c>
      <c r="J8214" s="21">
        <f>$B$7051</f>
        <v/>
      </c>
      <c r="K8214" s="21">
        <f>$B$7053</f>
        <v/>
      </c>
      <c r="L8214" s="21">
        <f>0</f>
        <v/>
      </c>
      <c r="M8214" s="21">
        <f>2*$B$7052</f>
        <v/>
      </c>
      <c r="N8214" s="21">
        <f>-$B$7051</f>
        <v/>
      </c>
      <c r="O8214" s="21">
        <f>$B$7053</f>
        <v/>
      </c>
      <c r="P8214" s="21" t="n">
        <v>0</v>
      </c>
      <c r="Q8214" s="21" t="n">
        <v>0</v>
      </c>
      <c r="R8214" s="21" t="n">
        <v>0</v>
      </c>
      <c r="S8214" s="21" t="n">
        <v>0</v>
      </c>
      <c r="T8214" s="21" t="n">
        <v>0</v>
      </c>
      <c r="U8214" s="21" t="n">
        <v>0</v>
      </c>
      <c r="V8214" s="21" t="n">
        <v>0</v>
      </c>
      <c r="W8214" s="21" t="n">
        <v>0</v>
      </c>
      <c r="X8214" s="21" t="n">
        <v>0</v>
      </c>
      <c r="Y8214" s="21" t="n">
        <v>0</v>
      </c>
      <c r="Z8214" s="19" t="n"/>
    </row>
    <row r="8215">
      <c r="D8215" s="21" t="n">
        <v>0</v>
      </c>
      <c r="E8215" s="21" t="n">
        <v>0</v>
      </c>
      <c r="F8215" s="21" t="n">
        <v>0</v>
      </c>
      <c r="G8215" s="21" t="n">
        <v>0</v>
      </c>
      <c r="H8215" s="21" t="n">
        <v>0</v>
      </c>
      <c r="I8215" s="21" t="n">
        <v>0</v>
      </c>
      <c r="J8215" s="21" t="n">
        <v>0</v>
      </c>
      <c r="K8215" s="21" t="n">
        <v>0</v>
      </c>
      <c r="L8215" s="21">
        <f>-$B$7050</f>
        <v/>
      </c>
      <c r="M8215" s="21">
        <f>-$B$7051</f>
        <v/>
      </c>
      <c r="N8215" s="21">
        <f>2*$B$7050+$D$8198</f>
        <v/>
      </c>
      <c r="O8215" s="21">
        <f>0</f>
        <v/>
      </c>
      <c r="P8215" s="21">
        <f>-$B$7050</f>
        <v/>
      </c>
      <c r="Q8215" s="21">
        <f>$B$7051</f>
        <v/>
      </c>
      <c r="R8215" s="21" t="n">
        <v>0</v>
      </c>
      <c r="S8215" s="21" t="n">
        <v>0</v>
      </c>
      <c r="T8215" s="21" t="n">
        <v>0</v>
      </c>
      <c r="U8215" s="21" t="n">
        <v>0</v>
      </c>
      <c r="V8215" s="21" t="n">
        <v>0</v>
      </c>
      <c r="W8215" s="21" t="n">
        <v>0</v>
      </c>
      <c r="X8215" s="21" t="n">
        <v>0</v>
      </c>
      <c r="Y8215" s="21" t="n">
        <v>0</v>
      </c>
      <c r="Z8215" s="19" t="n"/>
    </row>
    <row r="8216">
      <c r="D8216" s="21" t="n">
        <v>0</v>
      </c>
      <c r="E8216" s="21" t="n">
        <v>0</v>
      </c>
      <c r="F8216" s="21" t="n">
        <v>0</v>
      </c>
      <c r="G8216" s="21" t="n">
        <v>0</v>
      </c>
      <c r="H8216" s="21" t="n">
        <v>0</v>
      </c>
      <c r="I8216" s="21" t="n">
        <v>0</v>
      </c>
      <c r="J8216" s="21" t="n">
        <v>0</v>
      </c>
      <c r="K8216" s="21" t="n">
        <v>0</v>
      </c>
      <c r="L8216" s="21">
        <f>$B$7051</f>
        <v/>
      </c>
      <c r="M8216" s="21">
        <f>$B$7053</f>
        <v/>
      </c>
      <c r="N8216" s="21">
        <f>0</f>
        <v/>
      </c>
      <c r="O8216" s="21">
        <f>2*$B$7052</f>
        <v/>
      </c>
      <c r="P8216" s="21">
        <f>-$B$7051</f>
        <v/>
      </c>
      <c r="Q8216" s="21">
        <f>$B$7053</f>
        <v/>
      </c>
      <c r="R8216" s="21" t="n">
        <v>0</v>
      </c>
      <c r="S8216" s="21" t="n">
        <v>0</v>
      </c>
      <c r="T8216" s="21" t="n">
        <v>0</v>
      </c>
      <c r="U8216" s="21" t="n">
        <v>0</v>
      </c>
      <c r="V8216" s="21" t="n">
        <v>0</v>
      </c>
      <c r="W8216" s="21" t="n">
        <v>0</v>
      </c>
      <c r="X8216" s="21" t="n">
        <v>0</v>
      </c>
      <c r="Y8216" s="21" t="n">
        <v>0</v>
      </c>
      <c r="Z8216" s="19" t="n"/>
    </row>
    <row r="8217">
      <c r="D8217" s="21" t="n">
        <v>0</v>
      </c>
      <c r="E8217" s="21" t="n">
        <v>0</v>
      </c>
      <c r="F8217" s="21" t="n">
        <v>0</v>
      </c>
      <c r="G8217" s="21" t="n">
        <v>0</v>
      </c>
      <c r="H8217" s="21" t="n">
        <v>0</v>
      </c>
      <c r="I8217" s="21" t="n">
        <v>0</v>
      </c>
      <c r="J8217" s="21" t="n">
        <v>0</v>
      </c>
      <c r="K8217" s="21" t="n">
        <v>0</v>
      </c>
      <c r="L8217" s="21" t="n">
        <v>0</v>
      </c>
      <c r="M8217" s="21" t="n">
        <v>0</v>
      </c>
      <c r="N8217" s="21">
        <f>-$B$7050</f>
        <v/>
      </c>
      <c r="O8217" s="21">
        <f>-$B$7051</f>
        <v/>
      </c>
      <c r="P8217" s="21">
        <f>2*$B$7050+$D$8199</f>
        <v/>
      </c>
      <c r="Q8217" s="21">
        <f>0</f>
        <v/>
      </c>
      <c r="R8217" s="21">
        <f>-$B$7050</f>
        <v/>
      </c>
      <c r="S8217" s="21">
        <f>$B$7051</f>
        <v/>
      </c>
      <c r="T8217" s="21" t="n">
        <v>0</v>
      </c>
      <c r="U8217" s="21" t="n">
        <v>0</v>
      </c>
      <c r="V8217" s="21" t="n">
        <v>0</v>
      </c>
      <c r="W8217" s="21" t="n">
        <v>0</v>
      </c>
      <c r="X8217" s="21" t="n">
        <v>0</v>
      </c>
      <c r="Y8217" s="21" t="n">
        <v>0</v>
      </c>
      <c r="Z8217" s="19" t="n"/>
    </row>
    <row r="8218">
      <c r="D8218" s="21" t="n">
        <v>0</v>
      </c>
      <c r="E8218" s="21" t="n">
        <v>0</v>
      </c>
      <c r="F8218" s="21" t="n">
        <v>0</v>
      </c>
      <c r="G8218" s="21" t="n">
        <v>0</v>
      </c>
      <c r="H8218" s="21" t="n">
        <v>0</v>
      </c>
      <c r="I8218" s="21" t="n">
        <v>0</v>
      </c>
      <c r="J8218" s="21" t="n">
        <v>0</v>
      </c>
      <c r="K8218" s="21" t="n">
        <v>0</v>
      </c>
      <c r="L8218" s="21" t="n">
        <v>0</v>
      </c>
      <c r="M8218" s="21" t="n">
        <v>0</v>
      </c>
      <c r="N8218" s="21">
        <f>$B$7051</f>
        <v/>
      </c>
      <c r="O8218" s="21">
        <f>$B$7053</f>
        <v/>
      </c>
      <c r="P8218" s="21">
        <f>0</f>
        <v/>
      </c>
      <c r="Q8218" s="21">
        <f>2*$B$7052</f>
        <v/>
      </c>
      <c r="R8218" s="21">
        <f>-$B$7051</f>
        <v/>
      </c>
      <c r="S8218" s="21">
        <f>$B$7053</f>
        <v/>
      </c>
      <c r="T8218" s="21" t="n">
        <v>0</v>
      </c>
      <c r="U8218" s="21" t="n">
        <v>0</v>
      </c>
      <c r="V8218" s="21" t="n">
        <v>0</v>
      </c>
      <c r="W8218" s="21" t="n">
        <v>0</v>
      </c>
      <c r="X8218" s="21" t="n">
        <v>0</v>
      </c>
      <c r="Y8218" s="21" t="n">
        <v>0</v>
      </c>
      <c r="Z8218" s="19" t="n"/>
    </row>
    <row r="8219">
      <c r="D8219" s="21" t="n">
        <v>0</v>
      </c>
      <c r="E8219" s="21" t="n">
        <v>0</v>
      </c>
      <c r="F8219" s="21" t="n">
        <v>0</v>
      </c>
      <c r="G8219" s="21" t="n">
        <v>0</v>
      </c>
      <c r="H8219" s="21" t="n">
        <v>0</v>
      </c>
      <c r="I8219" s="21" t="n">
        <v>0</v>
      </c>
      <c r="J8219" s="21" t="n">
        <v>0</v>
      </c>
      <c r="K8219" s="21" t="n">
        <v>0</v>
      </c>
      <c r="L8219" s="21" t="n">
        <v>0</v>
      </c>
      <c r="M8219" s="21" t="n">
        <v>0</v>
      </c>
      <c r="N8219" s="21" t="n">
        <v>0</v>
      </c>
      <c r="O8219" s="21" t="n">
        <v>0</v>
      </c>
      <c r="P8219" s="21">
        <f>-$B$7050</f>
        <v/>
      </c>
      <c r="Q8219" s="21">
        <f>-$B$7051</f>
        <v/>
      </c>
      <c r="R8219" s="21">
        <f>2*$B$7050+$D$8200</f>
        <v/>
      </c>
      <c r="S8219" s="21">
        <f>0</f>
        <v/>
      </c>
      <c r="T8219" s="21">
        <f>-$B$7050</f>
        <v/>
      </c>
      <c r="U8219" s="21">
        <f>$B$7051</f>
        <v/>
      </c>
      <c r="V8219" s="21" t="n">
        <v>0</v>
      </c>
      <c r="W8219" s="21" t="n">
        <v>0</v>
      </c>
      <c r="X8219" s="21" t="n">
        <v>0</v>
      </c>
      <c r="Y8219" s="21" t="n">
        <v>0</v>
      </c>
      <c r="Z8219" s="19" t="n"/>
    </row>
    <row r="8220">
      <c r="D8220" s="21" t="n">
        <v>0</v>
      </c>
      <c r="E8220" s="21" t="n">
        <v>0</v>
      </c>
      <c r="F8220" s="21" t="n">
        <v>0</v>
      </c>
      <c r="G8220" s="21" t="n">
        <v>0</v>
      </c>
      <c r="H8220" s="21" t="n">
        <v>0</v>
      </c>
      <c r="I8220" s="21" t="n">
        <v>0</v>
      </c>
      <c r="J8220" s="21" t="n">
        <v>0</v>
      </c>
      <c r="K8220" s="21" t="n">
        <v>0</v>
      </c>
      <c r="L8220" s="21" t="n">
        <v>0</v>
      </c>
      <c r="M8220" s="21" t="n">
        <v>0</v>
      </c>
      <c r="N8220" s="21" t="n">
        <v>0</v>
      </c>
      <c r="O8220" s="21" t="n">
        <v>0</v>
      </c>
      <c r="P8220" s="21">
        <f>$B$7051</f>
        <v/>
      </c>
      <c r="Q8220" s="21">
        <f>$B$7053</f>
        <v/>
      </c>
      <c r="R8220" s="21">
        <f>0</f>
        <v/>
      </c>
      <c r="S8220" s="21">
        <f>2*$B$7052</f>
        <v/>
      </c>
      <c r="T8220" s="21">
        <f>-$B$7051</f>
        <v/>
      </c>
      <c r="U8220" s="21">
        <f>$B$7053</f>
        <v/>
      </c>
      <c r="V8220" s="21" t="n">
        <v>0</v>
      </c>
      <c r="W8220" s="21" t="n">
        <v>0</v>
      </c>
      <c r="X8220" s="21" t="n">
        <v>0</v>
      </c>
      <c r="Y8220" s="21" t="n">
        <v>0</v>
      </c>
      <c r="Z8220" s="19" t="n"/>
    </row>
    <row r="8221">
      <c r="D8221" s="21" t="n">
        <v>0</v>
      </c>
      <c r="E8221" s="21" t="n">
        <v>0</v>
      </c>
      <c r="F8221" s="21" t="n">
        <v>0</v>
      </c>
      <c r="G8221" s="21" t="n">
        <v>0</v>
      </c>
      <c r="H8221" s="21" t="n">
        <v>0</v>
      </c>
      <c r="I8221" s="21" t="n">
        <v>0</v>
      </c>
      <c r="J8221" s="21" t="n">
        <v>0</v>
      </c>
      <c r="K8221" s="21" t="n">
        <v>0</v>
      </c>
      <c r="L8221" s="21" t="n">
        <v>0</v>
      </c>
      <c r="M8221" s="21" t="n">
        <v>0</v>
      </c>
      <c r="N8221" s="21" t="n">
        <v>0</v>
      </c>
      <c r="O8221" s="21" t="n">
        <v>0</v>
      </c>
      <c r="P8221" s="21" t="n">
        <v>0</v>
      </c>
      <c r="Q8221" s="21" t="n">
        <v>0</v>
      </c>
      <c r="R8221" s="21">
        <f>-$B$7050</f>
        <v/>
      </c>
      <c r="S8221" s="21">
        <f>-$B$7051</f>
        <v/>
      </c>
      <c r="T8221" s="21">
        <f>2*$B$7050+$D$8201</f>
        <v/>
      </c>
      <c r="U8221" s="21">
        <f>0</f>
        <v/>
      </c>
      <c r="V8221" s="21">
        <f>-$B$7050</f>
        <v/>
      </c>
      <c r="W8221" s="21">
        <f>$B$7051</f>
        <v/>
      </c>
      <c r="X8221" s="21" t="n">
        <v>0</v>
      </c>
      <c r="Y8221" s="21" t="n">
        <v>0</v>
      </c>
      <c r="Z8221" s="19" t="n"/>
    </row>
    <row r="8222">
      <c r="D8222" s="21" t="n">
        <v>0</v>
      </c>
      <c r="E8222" s="21" t="n">
        <v>0</v>
      </c>
      <c r="F8222" s="21" t="n">
        <v>0</v>
      </c>
      <c r="G8222" s="21" t="n">
        <v>0</v>
      </c>
      <c r="H8222" s="21" t="n">
        <v>0</v>
      </c>
      <c r="I8222" s="21" t="n">
        <v>0</v>
      </c>
      <c r="J8222" s="21" t="n">
        <v>0</v>
      </c>
      <c r="K8222" s="21" t="n">
        <v>0</v>
      </c>
      <c r="L8222" s="21" t="n">
        <v>0</v>
      </c>
      <c r="M8222" s="21" t="n">
        <v>0</v>
      </c>
      <c r="N8222" s="21" t="n">
        <v>0</v>
      </c>
      <c r="O8222" s="21" t="n">
        <v>0</v>
      </c>
      <c r="P8222" s="21" t="n">
        <v>0</v>
      </c>
      <c r="Q8222" s="21" t="n">
        <v>0</v>
      </c>
      <c r="R8222" s="21">
        <f>$B$7051</f>
        <v/>
      </c>
      <c r="S8222" s="21">
        <f>$B$7053</f>
        <v/>
      </c>
      <c r="T8222" s="21">
        <f>0</f>
        <v/>
      </c>
      <c r="U8222" s="21">
        <f>2*$B$7052</f>
        <v/>
      </c>
      <c r="V8222" s="21">
        <f>-$B$7051</f>
        <v/>
      </c>
      <c r="W8222" s="21">
        <f>$B$7053</f>
        <v/>
      </c>
      <c r="X8222" s="21" t="n">
        <v>0</v>
      </c>
      <c r="Y8222" s="21" t="n">
        <v>0</v>
      </c>
      <c r="Z8222" s="19" t="n"/>
    </row>
    <row r="8223">
      <c r="D8223" s="21" t="n">
        <v>0</v>
      </c>
      <c r="E8223" s="21" t="n">
        <v>0</v>
      </c>
      <c r="F8223" s="21" t="n">
        <v>0</v>
      </c>
      <c r="G8223" s="21" t="n">
        <v>0</v>
      </c>
      <c r="H8223" s="21" t="n">
        <v>0</v>
      </c>
      <c r="I8223" s="21" t="n">
        <v>0</v>
      </c>
      <c r="J8223" s="21" t="n">
        <v>0</v>
      </c>
      <c r="K8223" s="21" t="n">
        <v>0</v>
      </c>
      <c r="L8223" s="21" t="n">
        <v>0</v>
      </c>
      <c r="M8223" s="21" t="n">
        <v>0</v>
      </c>
      <c r="N8223" s="21" t="n">
        <v>0</v>
      </c>
      <c r="O8223" s="21" t="n">
        <v>0</v>
      </c>
      <c r="P8223" s="21" t="n">
        <v>0</v>
      </c>
      <c r="Q8223" s="21" t="n">
        <v>0</v>
      </c>
      <c r="R8223" s="21" t="n">
        <v>0</v>
      </c>
      <c r="S8223" s="21" t="n">
        <v>0</v>
      </c>
      <c r="T8223" s="21">
        <f>-$B$7050</f>
        <v/>
      </c>
      <c r="U8223" s="21">
        <f>-$B$7051</f>
        <v/>
      </c>
      <c r="V8223" s="21">
        <f>2*$B$7050+$D$8202</f>
        <v/>
      </c>
      <c r="W8223" s="21">
        <f>0</f>
        <v/>
      </c>
      <c r="X8223" s="21">
        <f>-$B$7050</f>
        <v/>
      </c>
      <c r="Y8223" s="21">
        <f>$B$7051</f>
        <v/>
      </c>
      <c r="Z8223" s="19" t="n"/>
    </row>
    <row r="8224">
      <c r="D8224" s="21" t="n">
        <v>0</v>
      </c>
      <c r="E8224" s="21" t="n">
        <v>0</v>
      </c>
      <c r="F8224" s="21" t="n">
        <v>0</v>
      </c>
      <c r="G8224" s="21" t="n">
        <v>0</v>
      </c>
      <c r="H8224" s="21" t="n">
        <v>0</v>
      </c>
      <c r="I8224" s="21" t="n">
        <v>0</v>
      </c>
      <c r="J8224" s="21" t="n">
        <v>0</v>
      </c>
      <c r="K8224" s="21" t="n">
        <v>0</v>
      </c>
      <c r="L8224" s="21" t="n">
        <v>0</v>
      </c>
      <c r="M8224" s="21" t="n">
        <v>0</v>
      </c>
      <c r="N8224" s="21" t="n">
        <v>0</v>
      </c>
      <c r="O8224" s="21" t="n">
        <v>0</v>
      </c>
      <c r="P8224" s="21" t="n">
        <v>0</v>
      </c>
      <c r="Q8224" s="21" t="n">
        <v>0</v>
      </c>
      <c r="R8224" s="21" t="n">
        <v>0</v>
      </c>
      <c r="S8224" s="21" t="n">
        <v>0</v>
      </c>
      <c r="T8224" s="21">
        <f>$B$7051</f>
        <v/>
      </c>
      <c r="U8224" s="21">
        <f>$B$7053</f>
        <v/>
      </c>
      <c r="V8224" s="21">
        <f>0</f>
        <v/>
      </c>
      <c r="W8224" s="21">
        <f>2*$B$7052</f>
        <v/>
      </c>
      <c r="X8224" s="21">
        <f>-$B$7051</f>
        <v/>
      </c>
      <c r="Y8224" s="21">
        <f>$B$7053</f>
        <v/>
      </c>
      <c r="Z8224" s="19" t="n"/>
    </row>
    <row r="8225">
      <c r="D8225" s="21" t="n">
        <v>0</v>
      </c>
      <c r="E8225" s="21" t="n">
        <v>0</v>
      </c>
      <c r="F8225" s="21" t="n">
        <v>0</v>
      </c>
      <c r="G8225" s="21" t="n">
        <v>0</v>
      </c>
      <c r="H8225" s="21" t="n">
        <v>0</v>
      </c>
      <c r="I8225" s="21" t="n">
        <v>0</v>
      </c>
      <c r="J8225" s="21" t="n">
        <v>0</v>
      </c>
      <c r="K8225" s="21" t="n">
        <v>0</v>
      </c>
      <c r="L8225" s="21" t="n">
        <v>0</v>
      </c>
      <c r="M8225" s="21" t="n">
        <v>0</v>
      </c>
      <c r="N8225" s="21" t="n">
        <v>0</v>
      </c>
      <c r="O8225" s="21" t="n">
        <v>0</v>
      </c>
      <c r="P8225" s="21" t="n">
        <v>0</v>
      </c>
      <c r="Q8225" s="21" t="n">
        <v>0</v>
      </c>
      <c r="R8225" s="21" t="n">
        <v>0</v>
      </c>
      <c r="S8225" s="21" t="n">
        <v>0</v>
      </c>
      <c r="T8225" s="21" t="n">
        <v>0</v>
      </c>
      <c r="U8225" s="21" t="n">
        <v>0</v>
      </c>
      <c r="V8225" s="21">
        <f>-$B$7050</f>
        <v/>
      </c>
      <c r="W8225" s="21">
        <f>-$B$7051</f>
        <v/>
      </c>
      <c r="X8225" s="21">
        <f>$B$7050+$D$8203</f>
        <v/>
      </c>
      <c r="Y8225" s="21">
        <f>-$B$7051</f>
        <v/>
      </c>
      <c r="Z8225" s="19" t="n"/>
    </row>
    <row r="8226">
      <c r="D8226" s="21" t="n">
        <v>0</v>
      </c>
      <c r="E8226" s="21" t="n">
        <v>0</v>
      </c>
      <c r="F8226" s="21" t="n">
        <v>0</v>
      </c>
      <c r="G8226" s="21" t="n">
        <v>0</v>
      </c>
      <c r="H8226" s="21" t="n">
        <v>0</v>
      </c>
      <c r="I8226" s="21" t="n">
        <v>0</v>
      </c>
      <c r="J8226" s="21" t="n">
        <v>0</v>
      </c>
      <c r="K8226" s="21" t="n">
        <v>0</v>
      </c>
      <c r="L8226" s="21" t="n">
        <v>0</v>
      </c>
      <c r="M8226" s="21" t="n">
        <v>0</v>
      </c>
      <c r="N8226" s="21" t="n">
        <v>0</v>
      </c>
      <c r="O8226" s="21" t="n">
        <v>0</v>
      </c>
      <c r="P8226" s="21" t="n">
        <v>0</v>
      </c>
      <c r="Q8226" s="21" t="n">
        <v>0</v>
      </c>
      <c r="R8226" s="21" t="n">
        <v>0</v>
      </c>
      <c r="S8226" s="21" t="n">
        <v>0</v>
      </c>
      <c r="T8226" s="21" t="n">
        <v>0</v>
      </c>
      <c r="U8226" s="21" t="n">
        <v>0</v>
      </c>
      <c r="V8226" s="21">
        <f>$B$7051</f>
        <v/>
      </c>
      <c r="W8226" s="21">
        <f>$B$7053</f>
        <v/>
      </c>
      <c r="X8226" s="21">
        <f>-$B$7051</f>
        <v/>
      </c>
      <c r="Y8226" s="21">
        <f>$B$7052</f>
        <v/>
      </c>
      <c r="Z8226" s="19" t="n"/>
    </row>
    <row r="8228">
      <c r="A8228" s="8" t="inlineStr">
        <is>
          <t>gen 32</t>
        </is>
      </c>
    </row>
    <row r="8229">
      <c r="D8229" s="19">
        <f>IF(ABS(IF(ABS($E$8193)&gt;0.000000001,$E$8193,0.000000001))=0,0,IF($E$7065&lt;=$B$7059,0,IF(ABS(IF(ABS($E$8193)&gt;0.000000001,$E$8193,0.000000001))&gt;=8*$B$7061,$H$7065,0.5*$H$7065*(ABS(IF(ABS($E$8193)&gt;0.000000001,$E$8193,0.000000001))/$B$7061)^(1/3)))/ABS(IF(ABS($E$8193)&gt;0.000000001,$E$8193,0.000000001))*$I$7065)</f>
        <v/>
      </c>
      <c r="E8229" s="19">
        <f>0.5*$E$8193+0.5*$Z$8241</f>
        <v/>
      </c>
      <c r="F8229" s="19">
        <f>$Z$8242</f>
        <v/>
      </c>
    </row>
    <row r="8230">
      <c r="D8230" s="19">
        <f>IF(ABS(IF(ABS($E$8194)&gt;0.000000001,$E$8194,0.000000001))=0,0,IF($E$7066&lt;=$B$7059,0,IF(ABS(IF(ABS($E$8194)&gt;0.000000001,$E$8194,0.000000001))&gt;=8*$B$7061,$H$7066,0.5*$H$7066*(ABS(IF(ABS($E$8194)&gt;0.000000001,$E$8194,0.000000001))/$B$7061)^(1/3)))/ABS(IF(ABS($E$8194)&gt;0.000000001,$E$8194,0.000000001))*$I$7066)</f>
        <v/>
      </c>
      <c r="E8230" s="19">
        <f>0.5*$E$8194+0.5*$Z$8243</f>
        <v/>
      </c>
      <c r="F8230" s="19">
        <f>$Z$8244</f>
        <v/>
      </c>
    </row>
    <row r="8231">
      <c r="D8231" s="19">
        <f>IF(ABS(IF(ABS($E$8195)&gt;0.000000001,$E$8195,0.000000001))=0,0,IF($E$7067&lt;=$B$7059,0,IF(ABS(IF(ABS($E$8195)&gt;0.000000001,$E$8195,0.000000001))&gt;=8*$B$7061,$H$7067,0.5*$H$7067*(ABS(IF(ABS($E$8195)&gt;0.000000001,$E$8195,0.000000001))/$B$7061)^(1/3)))/ABS(IF(ABS($E$8195)&gt;0.000000001,$E$8195,0.000000001))*$I$7067)</f>
        <v/>
      </c>
      <c r="E8231" s="19">
        <f>0.5*$E$8195+0.5*$Z$8245</f>
        <v/>
      </c>
      <c r="F8231" s="19">
        <f>$Z$8246</f>
        <v/>
      </c>
    </row>
    <row r="8232">
      <c r="D8232" s="19">
        <f>IF(ABS(IF(ABS($E$8196)&gt;0.000000001,$E$8196,0.000000001))=0,0,IF($E$7068&lt;=$B$7059,0,IF(ABS(IF(ABS($E$8196)&gt;0.000000001,$E$8196,0.000000001))&gt;=8*$B$7061,$H$7068,0.5*$H$7068*(ABS(IF(ABS($E$8196)&gt;0.000000001,$E$8196,0.000000001))/$B$7061)^(1/3)))/ABS(IF(ABS($E$8196)&gt;0.000000001,$E$8196,0.000000001))*$I$7068)</f>
        <v/>
      </c>
      <c r="E8232" s="19">
        <f>0.5*$E$8196+0.5*$Z$8247</f>
        <v/>
      </c>
      <c r="F8232" s="19">
        <f>$Z$8248</f>
        <v/>
      </c>
    </row>
    <row r="8233">
      <c r="D8233" s="19">
        <f>IF(ABS(IF(ABS($E$8197)&gt;0.000000001,$E$8197,0.000000001))=0,0,IF($E$7069&lt;=$B$7059,0,IF(ABS(IF(ABS($E$8197)&gt;0.000000001,$E$8197,0.000000001))&gt;=8*$B$7061,$H$7069,0.5*$H$7069*(ABS(IF(ABS($E$8197)&gt;0.000000001,$E$8197,0.000000001))/$B$7061)^(1/3)))/ABS(IF(ABS($E$8197)&gt;0.000000001,$E$8197,0.000000001))*$I$7069)</f>
        <v/>
      </c>
      <c r="E8233" s="19">
        <f>0.5*$E$8197+0.5*$Z$8249</f>
        <v/>
      </c>
      <c r="F8233" s="19">
        <f>$Z$8250</f>
        <v/>
      </c>
    </row>
    <row r="8234">
      <c r="D8234" s="19">
        <f>IF(ABS(IF(ABS($E$8198)&gt;0.000000001,$E$8198,0.000000001))=0,0,IF($E$7070&lt;=$B$7059,0,IF(ABS(IF(ABS($E$8198)&gt;0.000000001,$E$8198,0.000000001))&gt;=8*$B$7061,$H$7070,0.5*$H$7070*(ABS(IF(ABS($E$8198)&gt;0.000000001,$E$8198,0.000000001))/$B$7061)^(1/3)))/ABS(IF(ABS($E$8198)&gt;0.000000001,$E$8198,0.000000001))*$I$7070)</f>
        <v/>
      </c>
      <c r="E8234" s="19">
        <f>0.5*$E$8198+0.5*$Z$8251</f>
        <v/>
      </c>
      <c r="F8234" s="19">
        <f>$Z$8252</f>
        <v/>
      </c>
    </row>
    <row r="8235">
      <c r="D8235" s="19">
        <f>IF(ABS(IF(ABS($E$8199)&gt;0.000000001,$E$8199,0.000000001))=0,0,IF($E$7071&lt;=$B$7059,0,IF(ABS(IF(ABS($E$8199)&gt;0.000000001,$E$8199,0.000000001))&gt;=8*$B$7061,$H$7071,0.5*$H$7071*(ABS(IF(ABS($E$8199)&gt;0.000000001,$E$8199,0.000000001))/$B$7061)^(1/3)))/ABS(IF(ABS($E$8199)&gt;0.000000001,$E$8199,0.000000001))*$I$7071)</f>
        <v/>
      </c>
      <c r="E8235" s="19">
        <f>0.5*$E$8199+0.5*$Z$8253</f>
        <v/>
      </c>
      <c r="F8235" s="19">
        <f>$Z$8254</f>
        <v/>
      </c>
    </row>
    <row r="8236">
      <c r="D8236" s="19">
        <f>IF(ABS(IF(ABS($E$8200)&gt;0.000000001,$E$8200,0.000000001))=0,0,IF($E$7072&lt;=$B$7059,0,IF(ABS(IF(ABS($E$8200)&gt;0.000000001,$E$8200,0.000000001))&gt;=8*$B$7061,$H$7072,0.5*$H$7072*(ABS(IF(ABS($E$8200)&gt;0.000000001,$E$8200,0.000000001))/$B$7061)^(1/3)))/ABS(IF(ABS($E$8200)&gt;0.000000001,$E$8200,0.000000001))*$I$7072)</f>
        <v/>
      </c>
      <c r="E8236" s="19">
        <f>0.5*$E$8200+0.5*$Z$8255</f>
        <v/>
      </c>
      <c r="F8236" s="19">
        <f>$Z$8256</f>
        <v/>
      </c>
    </row>
    <row r="8237">
      <c r="D8237" s="19">
        <f>IF(ABS(IF(ABS($E$8201)&gt;0.000000001,$E$8201,0.000000001))=0,0,IF($E$7073&lt;=$B$7059,0,IF(ABS(IF(ABS($E$8201)&gt;0.000000001,$E$8201,0.000000001))&gt;=8*$B$7061,$H$7073,0.5*$H$7073*(ABS(IF(ABS($E$8201)&gt;0.000000001,$E$8201,0.000000001))/$B$7061)^(1/3)))/ABS(IF(ABS($E$8201)&gt;0.000000001,$E$8201,0.000000001))*$I$7073)</f>
        <v/>
      </c>
      <c r="E8237" s="19">
        <f>0.5*$E$8201+0.5*$Z$8257</f>
        <v/>
      </c>
      <c r="F8237" s="19">
        <f>$Z$8258</f>
        <v/>
      </c>
    </row>
    <row r="8238">
      <c r="D8238" s="19">
        <f>IF(ABS(IF(ABS($E$8202)&gt;0.000000001,$E$8202,0.000000001))=0,0,IF($E$7074&lt;=$B$7059,0,IF(ABS(IF(ABS($E$8202)&gt;0.000000001,$E$8202,0.000000001))&gt;=8*$B$7061,$H$7074,0.5*$H$7074*(ABS(IF(ABS($E$8202)&gt;0.000000001,$E$8202,0.000000001))/$B$7061)^(1/3)))/ABS(IF(ABS($E$8202)&gt;0.000000001,$E$8202,0.000000001))*$I$7074)</f>
        <v/>
      </c>
      <c r="E8238" s="19">
        <f>0.5*$E$8202+0.5*$Z$8259</f>
        <v/>
      </c>
      <c r="F8238" s="19">
        <f>$Z$8260</f>
        <v/>
      </c>
    </row>
    <row r="8239">
      <c r="D8239" s="19">
        <f>IF(ABS(IF(ABS($E$8203)&gt;0.000000001,$E$8203,0.000000001))=0,0,IF($E$7075&lt;=$B$7059,0,IF(ABS(IF(ABS($E$8203)&gt;0.000000001,$E$8203,0.000000001))&gt;=8*$B$7061,$H$7075,0.5*$H$7075*(ABS(IF(ABS($E$8203)&gt;0.000000001,$E$8203,0.000000001))/$B$7061)^(1/3)))/ABS(IF(ABS($E$8203)&gt;0.000000001,$E$8203,0.000000001))*$I$7075)</f>
        <v/>
      </c>
      <c r="E8239" s="19">
        <f>0.5*$E$8203+0.5*$Z$8261</f>
        <v/>
      </c>
      <c r="F8239" s="19">
        <f>$Z$8262</f>
        <v/>
      </c>
    </row>
    <row r="8241">
      <c r="D8241" s="21">
        <f>$B$7050+$D$8229</f>
        <v/>
      </c>
      <c r="E8241" s="21">
        <f>$B$7051</f>
        <v/>
      </c>
      <c r="F8241" s="21">
        <f>-$B$7050</f>
        <v/>
      </c>
      <c r="G8241" s="21">
        <f>$B$7051</f>
        <v/>
      </c>
      <c r="H8241" s="21" t="n">
        <v>0</v>
      </c>
      <c r="I8241" s="21" t="n">
        <v>0</v>
      </c>
      <c r="J8241" s="21" t="n">
        <v>0</v>
      </c>
      <c r="K8241" s="21" t="n">
        <v>0</v>
      </c>
      <c r="L8241" s="21" t="n">
        <v>0</v>
      </c>
      <c r="M8241" s="21" t="n">
        <v>0</v>
      </c>
      <c r="N8241" s="21" t="n">
        <v>0</v>
      </c>
      <c r="O8241" s="21" t="n">
        <v>0</v>
      </c>
      <c r="P8241" s="21" t="n">
        <v>0</v>
      </c>
      <c r="Q8241" s="21" t="n">
        <v>0</v>
      </c>
      <c r="R8241" s="21" t="n">
        <v>0</v>
      </c>
      <c r="S8241" s="21" t="n">
        <v>0</v>
      </c>
      <c r="T8241" s="21" t="n">
        <v>0</v>
      </c>
      <c r="U8241" s="21" t="n">
        <v>0</v>
      </c>
      <c r="V8241" s="21" t="n">
        <v>0</v>
      </c>
      <c r="W8241" s="21" t="n">
        <v>0</v>
      </c>
      <c r="X8241" s="21" t="n">
        <v>0</v>
      </c>
      <c r="Y8241" s="21" t="n">
        <v>0</v>
      </c>
      <c r="Z8241" s="19">
        <f t="array" ref="Z8241:Z8262">MMULT(MINVERSE($D$8241:$Y$8262),$D$7077:$D$7098)</f>
        <v/>
      </c>
    </row>
    <row r="8242">
      <c r="D8242" s="21">
        <f>$B$7051</f>
        <v/>
      </c>
      <c r="E8242" s="21">
        <f>$B$7052</f>
        <v/>
      </c>
      <c r="F8242" s="21">
        <f>-$B$7051</f>
        <v/>
      </c>
      <c r="G8242" s="21">
        <f>$B$7053</f>
        <v/>
      </c>
      <c r="H8242" s="21" t="n">
        <v>0</v>
      </c>
      <c r="I8242" s="21" t="n">
        <v>0</v>
      </c>
      <c r="J8242" s="21" t="n">
        <v>0</v>
      </c>
      <c r="K8242" s="21" t="n">
        <v>0</v>
      </c>
      <c r="L8242" s="21" t="n">
        <v>0</v>
      </c>
      <c r="M8242" s="21" t="n">
        <v>0</v>
      </c>
      <c r="N8242" s="21" t="n">
        <v>0</v>
      </c>
      <c r="O8242" s="21" t="n">
        <v>0</v>
      </c>
      <c r="P8242" s="21" t="n">
        <v>0</v>
      </c>
      <c r="Q8242" s="21" t="n">
        <v>0</v>
      </c>
      <c r="R8242" s="21" t="n">
        <v>0</v>
      </c>
      <c r="S8242" s="21" t="n">
        <v>0</v>
      </c>
      <c r="T8242" s="21" t="n">
        <v>0</v>
      </c>
      <c r="U8242" s="21" t="n">
        <v>0</v>
      </c>
      <c r="V8242" s="21" t="n">
        <v>0</v>
      </c>
      <c r="W8242" s="21" t="n">
        <v>0</v>
      </c>
      <c r="X8242" s="21" t="n">
        <v>0</v>
      </c>
      <c r="Y8242" s="21" t="n">
        <v>0</v>
      </c>
      <c r="Z8242" s="19" t="n"/>
    </row>
    <row r="8243">
      <c r="D8243" s="21">
        <f>-$B$7050</f>
        <v/>
      </c>
      <c r="E8243" s="21">
        <f>-$B$7051</f>
        <v/>
      </c>
      <c r="F8243" s="21">
        <f>2*$B$7050+$D$8230</f>
        <v/>
      </c>
      <c r="G8243" s="21">
        <f>0</f>
        <v/>
      </c>
      <c r="H8243" s="21">
        <f>-$B$7050</f>
        <v/>
      </c>
      <c r="I8243" s="21">
        <f>$B$7051</f>
        <v/>
      </c>
      <c r="J8243" s="21" t="n">
        <v>0</v>
      </c>
      <c r="K8243" s="21" t="n">
        <v>0</v>
      </c>
      <c r="L8243" s="21" t="n">
        <v>0</v>
      </c>
      <c r="M8243" s="21" t="n">
        <v>0</v>
      </c>
      <c r="N8243" s="21" t="n">
        <v>0</v>
      </c>
      <c r="O8243" s="21" t="n">
        <v>0</v>
      </c>
      <c r="P8243" s="21" t="n">
        <v>0</v>
      </c>
      <c r="Q8243" s="21" t="n">
        <v>0</v>
      </c>
      <c r="R8243" s="21" t="n">
        <v>0</v>
      </c>
      <c r="S8243" s="21" t="n">
        <v>0</v>
      </c>
      <c r="T8243" s="21" t="n">
        <v>0</v>
      </c>
      <c r="U8243" s="21" t="n">
        <v>0</v>
      </c>
      <c r="V8243" s="21" t="n">
        <v>0</v>
      </c>
      <c r="W8243" s="21" t="n">
        <v>0</v>
      </c>
      <c r="X8243" s="21" t="n">
        <v>0</v>
      </c>
      <c r="Y8243" s="21" t="n">
        <v>0</v>
      </c>
      <c r="Z8243" s="19" t="n"/>
    </row>
    <row r="8244">
      <c r="D8244" s="21">
        <f>$B$7051</f>
        <v/>
      </c>
      <c r="E8244" s="21">
        <f>$B$7053</f>
        <v/>
      </c>
      <c r="F8244" s="21">
        <f>0</f>
        <v/>
      </c>
      <c r="G8244" s="21">
        <f>2*$B$7052</f>
        <v/>
      </c>
      <c r="H8244" s="21">
        <f>-$B$7051</f>
        <v/>
      </c>
      <c r="I8244" s="21">
        <f>$B$7053</f>
        <v/>
      </c>
      <c r="J8244" s="21" t="n">
        <v>0</v>
      </c>
      <c r="K8244" s="21" t="n">
        <v>0</v>
      </c>
      <c r="L8244" s="21" t="n">
        <v>0</v>
      </c>
      <c r="M8244" s="21" t="n">
        <v>0</v>
      </c>
      <c r="N8244" s="21" t="n">
        <v>0</v>
      </c>
      <c r="O8244" s="21" t="n">
        <v>0</v>
      </c>
      <c r="P8244" s="21" t="n">
        <v>0</v>
      </c>
      <c r="Q8244" s="21" t="n">
        <v>0</v>
      </c>
      <c r="R8244" s="21" t="n">
        <v>0</v>
      </c>
      <c r="S8244" s="21" t="n">
        <v>0</v>
      </c>
      <c r="T8244" s="21" t="n">
        <v>0</v>
      </c>
      <c r="U8244" s="21" t="n">
        <v>0</v>
      </c>
      <c r="V8244" s="21" t="n">
        <v>0</v>
      </c>
      <c r="W8244" s="21" t="n">
        <v>0</v>
      </c>
      <c r="X8244" s="21" t="n">
        <v>0</v>
      </c>
      <c r="Y8244" s="21" t="n">
        <v>0</v>
      </c>
      <c r="Z8244" s="19" t="n"/>
    </row>
    <row r="8245">
      <c r="D8245" s="21" t="n">
        <v>0</v>
      </c>
      <c r="E8245" s="21" t="n">
        <v>0</v>
      </c>
      <c r="F8245" s="21">
        <f>-$B$7050</f>
        <v/>
      </c>
      <c r="G8245" s="21">
        <f>-$B$7051</f>
        <v/>
      </c>
      <c r="H8245" s="21">
        <f>2*$B$7050+$D$8231</f>
        <v/>
      </c>
      <c r="I8245" s="21">
        <f>0</f>
        <v/>
      </c>
      <c r="J8245" s="21">
        <f>-$B$7050</f>
        <v/>
      </c>
      <c r="K8245" s="21">
        <f>$B$7051</f>
        <v/>
      </c>
      <c r="L8245" s="21" t="n">
        <v>0</v>
      </c>
      <c r="M8245" s="21" t="n">
        <v>0</v>
      </c>
      <c r="N8245" s="21" t="n">
        <v>0</v>
      </c>
      <c r="O8245" s="21" t="n">
        <v>0</v>
      </c>
      <c r="P8245" s="21" t="n">
        <v>0</v>
      </c>
      <c r="Q8245" s="21" t="n">
        <v>0</v>
      </c>
      <c r="R8245" s="21" t="n">
        <v>0</v>
      </c>
      <c r="S8245" s="21" t="n">
        <v>0</v>
      </c>
      <c r="T8245" s="21" t="n">
        <v>0</v>
      </c>
      <c r="U8245" s="21" t="n">
        <v>0</v>
      </c>
      <c r="V8245" s="21" t="n">
        <v>0</v>
      </c>
      <c r="W8245" s="21" t="n">
        <v>0</v>
      </c>
      <c r="X8245" s="21" t="n">
        <v>0</v>
      </c>
      <c r="Y8245" s="21" t="n">
        <v>0</v>
      </c>
      <c r="Z8245" s="19" t="n"/>
    </row>
    <row r="8246">
      <c r="D8246" s="21" t="n">
        <v>0</v>
      </c>
      <c r="E8246" s="21" t="n">
        <v>0</v>
      </c>
      <c r="F8246" s="21">
        <f>$B$7051</f>
        <v/>
      </c>
      <c r="G8246" s="21">
        <f>$B$7053</f>
        <v/>
      </c>
      <c r="H8246" s="21">
        <f>0</f>
        <v/>
      </c>
      <c r="I8246" s="21">
        <f>2*$B$7052</f>
        <v/>
      </c>
      <c r="J8246" s="21">
        <f>-$B$7051</f>
        <v/>
      </c>
      <c r="K8246" s="21">
        <f>$B$7053</f>
        <v/>
      </c>
      <c r="L8246" s="21" t="n">
        <v>0</v>
      </c>
      <c r="M8246" s="21" t="n">
        <v>0</v>
      </c>
      <c r="N8246" s="21" t="n">
        <v>0</v>
      </c>
      <c r="O8246" s="21" t="n">
        <v>0</v>
      </c>
      <c r="P8246" s="21" t="n">
        <v>0</v>
      </c>
      <c r="Q8246" s="21" t="n">
        <v>0</v>
      </c>
      <c r="R8246" s="21" t="n">
        <v>0</v>
      </c>
      <c r="S8246" s="21" t="n">
        <v>0</v>
      </c>
      <c r="T8246" s="21" t="n">
        <v>0</v>
      </c>
      <c r="U8246" s="21" t="n">
        <v>0</v>
      </c>
      <c r="V8246" s="21" t="n">
        <v>0</v>
      </c>
      <c r="W8246" s="21" t="n">
        <v>0</v>
      </c>
      <c r="X8246" s="21" t="n">
        <v>0</v>
      </c>
      <c r="Y8246" s="21" t="n">
        <v>0</v>
      </c>
      <c r="Z8246" s="19" t="n"/>
    </row>
    <row r="8247">
      <c r="D8247" s="21" t="n">
        <v>0</v>
      </c>
      <c r="E8247" s="21" t="n">
        <v>0</v>
      </c>
      <c r="F8247" s="21" t="n">
        <v>0</v>
      </c>
      <c r="G8247" s="21" t="n">
        <v>0</v>
      </c>
      <c r="H8247" s="21">
        <f>-$B$7050</f>
        <v/>
      </c>
      <c r="I8247" s="21">
        <f>-$B$7051</f>
        <v/>
      </c>
      <c r="J8247" s="21">
        <f>2*$B$7050+$D$8232</f>
        <v/>
      </c>
      <c r="K8247" s="21">
        <f>0</f>
        <v/>
      </c>
      <c r="L8247" s="21">
        <f>-$B$7050</f>
        <v/>
      </c>
      <c r="M8247" s="21">
        <f>$B$7051</f>
        <v/>
      </c>
      <c r="N8247" s="21" t="n">
        <v>0</v>
      </c>
      <c r="O8247" s="21" t="n">
        <v>0</v>
      </c>
      <c r="P8247" s="21" t="n">
        <v>0</v>
      </c>
      <c r="Q8247" s="21" t="n">
        <v>0</v>
      </c>
      <c r="R8247" s="21" t="n">
        <v>0</v>
      </c>
      <c r="S8247" s="21" t="n">
        <v>0</v>
      </c>
      <c r="T8247" s="21" t="n">
        <v>0</v>
      </c>
      <c r="U8247" s="21" t="n">
        <v>0</v>
      </c>
      <c r="V8247" s="21" t="n">
        <v>0</v>
      </c>
      <c r="W8247" s="21" t="n">
        <v>0</v>
      </c>
      <c r="X8247" s="21" t="n">
        <v>0</v>
      </c>
      <c r="Y8247" s="21" t="n">
        <v>0</v>
      </c>
      <c r="Z8247" s="19" t="n"/>
    </row>
    <row r="8248">
      <c r="D8248" s="21" t="n">
        <v>0</v>
      </c>
      <c r="E8248" s="21" t="n">
        <v>0</v>
      </c>
      <c r="F8248" s="21" t="n">
        <v>0</v>
      </c>
      <c r="G8248" s="21" t="n">
        <v>0</v>
      </c>
      <c r="H8248" s="21">
        <f>$B$7051</f>
        <v/>
      </c>
      <c r="I8248" s="21">
        <f>$B$7053</f>
        <v/>
      </c>
      <c r="J8248" s="21">
        <f>0</f>
        <v/>
      </c>
      <c r="K8248" s="21">
        <f>2*$B$7052</f>
        <v/>
      </c>
      <c r="L8248" s="21">
        <f>-$B$7051</f>
        <v/>
      </c>
      <c r="M8248" s="21">
        <f>$B$7053</f>
        <v/>
      </c>
      <c r="N8248" s="21" t="n">
        <v>0</v>
      </c>
      <c r="O8248" s="21" t="n">
        <v>0</v>
      </c>
      <c r="P8248" s="21" t="n">
        <v>0</v>
      </c>
      <c r="Q8248" s="21" t="n">
        <v>0</v>
      </c>
      <c r="R8248" s="21" t="n">
        <v>0</v>
      </c>
      <c r="S8248" s="21" t="n">
        <v>0</v>
      </c>
      <c r="T8248" s="21" t="n">
        <v>0</v>
      </c>
      <c r="U8248" s="21" t="n">
        <v>0</v>
      </c>
      <c r="V8248" s="21" t="n">
        <v>0</v>
      </c>
      <c r="W8248" s="21" t="n">
        <v>0</v>
      </c>
      <c r="X8248" s="21" t="n">
        <v>0</v>
      </c>
      <c r="Y8248" s="21" t="n">
        <v>0</v>
      </c>
      <c r="Z8248" s="19" t="n"/>
    </row>
    <row r="8249">
      <c r="D8249" s="21" t="n">
        <v>0</v>
      </c>
      <c r="E8249" s="21" t="n">
        <v>0</v>
      </c>
      <c r="F8249" s="21" t="n">
        <v>0</v>
      </c>
      <c r="G8249" s="21" t="n">
        <v>0</v>
      </c>
      <c r="H8249" s="21" t="n">
        <v>0</v>
      </c>
      <c r="I8249" s="21" t="n">
        <v>0</v>
      </c>
      <c r="J8249" s="21">
        <f>-$B$7050</f>
        <v/>
      </c>
      <c r="K8249" s="21">
        <f>-$B$7051</f>
        <v/>
      </c>
      <c r="L8249" s="21">
        <f>2*$B$7050+$D$8233</f>
        <v/>
      </c>
      <c r="M8249" s="21">
        <f>0</f>
        <v/>
      </c>
      <c r="N8249" s="21">
        <f>-$B$7050</f>
        <v/>
      </c>
      <c r="O8249" s="21">
        <f>$B$7051</f>
        <v/>
      </c>
      <c r="P8249" s="21" t="n">
        <v>0</v>
      </c>
      <c r="Q8249" s="21" t="n">
        <v>0</v>
      </c>
      <c r="R8249" s="21" t="n">
        <v>0</v>
      </c>
      <c r="S8249" s="21" t="n">
        <v>0</v>
      </c>
      <c r="T8249" s="21" t="n">
        <v>0</v>
      </c>
      <c r="U8249" s="21" t="n">
        <v>0</v>
      </c>
      <c r="V8249" s="21" t="n">
        <v>0</v>
      </c>
      <c r="W8249" s="21" t="n">
        <v>0</v>
      </c>
      <c r="X8249" s="21" t="n">
        <v>0</v>
      </c>
      <c r="Y8249" s="21" t="n">
        <v>0</v>
      </c>
      <c r="Z8249" s="19" t="n"/>
    </row>
    <row r="8250">
      <c r="D8250" s="21" t="n">
        <v>0</v>
      </c>
      <c r="E8250" s="21" t="n">
        <v>0</v>
      </c>
      <c r="F8250" s="21" t="n">
        <v>0</v>
      </c>
      <c r="G8250" s="21" t="n">
        <v>0</v>
      </c>
      <c r="H8250" s="21" t="n">
        <v>0</v>
      </c>
      <c r="I8250" s="21" t="n">
        <v>0</v>
      </c>
      <c r="J8250" s="21">
        <f>$B$7051</f>
        <v/>
      </c>
      <c r="K8250" s="21">
        <f>$B$7053</f>
        <v/>
      </c>
      <c r="L8250" s="21">
        <f>0</f>
        <v/>
      </c>
      <c r="M8250" s="21">
        <f>2*$B$7052</f>
        <v/>
      </c>
      <c r="N8250" s="21">
        <f>-$B$7051</f>
        <v/>
      </c>
      <c r="O8250" s="21">
        <f>$B$7053</f>
        <v/>
      </c>
      <c r="P8250" s="21" t="n">
        <v>0</v>
      </c>
      <c r="Q8250" s="21" t="n">
        <v>0</v>
      </c>
      <c r="R8250" s="21" t="n">
        <v>0</v>
      </c>
      <c r="S8250" s="21" t="n">
        <v>0</v>
      </c>
      <c r="T8250" s="21" t="n">
        <v>0</v>
      </c>
      <c r="U8250" s="21" t="n">
        <v>0</v>
      </c>
      <c r="V8250" s="21" t="n">
        <v>0</v>
      </c>
      <c r="W8250" s="21" t="n">
        <v>0</v>
      </c>
      <c r="X8250" s="21" t="n">
        <v>0</v>
      </c>
      <c r="Y8250" s="21" t="n">
        <v>0</v>
      </c>
      <c r="Z8250" s="19" t="n"/>
    </row>
    <row r="8251">
      <c r="D8251" s="21" t="n">
        <v>0</v>
      </c>
      <c r="E8251" s="21" t="n">
        <v>0</v>
      </c>
      <c r="F8251" s="21" t="n">
        <v>0</v>
      </c>
      <c r="G8251" s="21" t="n">
        <v>0</v>
      </c>
      <c r="H8251" s="21" t="n">
        <v>0</v>
      </c>
      <c r="I8251" s="21" t="n">
        <v>0</v>
      </c>
      <c r="J8251" s="21" t="n">
        <v>0</v>
      </c>
      <c r="K8251" s="21" t="n">
        <v>0</v>
      </c>
      <c r="L8251" s="21">
        <f>-$B$7050</f>
        <v/>
      </c>
      <c r="M8251" s="21">
        <f>-$B$7051</f>
        <v/>
      </c>
      <c r="N8251" s="21">
        <f>2*$B$7050+$D$8234</f>
        <v/>
      </c>
      <c r="O8251" s="21">
        <f>0</f>
        <v/>
      </c>
      <c r="P8251" s="21">
        <f>-$B$7050</f>
        <v/>
      </c>
      <c r="Q8251" s="21">
        <f>$B$7051</f>
        <v/>
      </c>
      <c r="R8251" s="21" t="n">
        <v>0</v>
      </c>
      <c r="S8251" s="21" t="n">
        <v>0</v>
      </c>
      <c r="T8251" s="21" t="n">
        <v>0</v>
      </c>
      <c r="U8251" s="21" t="n">
        <v>0</v>
      </c>
      <c r="V8251" s="21" t="n">
        <v>0</v>
      </c>
      <c r="W8251" s="21" t="n">
        <v>0</v>
      </c>
      <c r="X8251" s="21" t="n">
        <v>0</v>
      </c>
      <c r="Y8251" s="21" t="n">
        <v>0</v>
      </c>
      <c r="Z8251" s="19" t="n"/>
    </row>
    <row r="8252">
      <c r="D8252" s="21" t="n">
        <v>0</v>
      </c>
      <c r="E8252" s="21" t="n">
        <v>0</v>
      </c>
      <c r="F8252" s="21" t="n">
        <v>0</v>
      </c>
      <c r="G8252" s="21" t="n">
        <v>0</v>
      </c>
      <c r="H8252" s="21" t="n">
        <v>0</v>
      </c>
      <c r="I8252" s="21" t="n">
        <v>0</v>
      </c>
      <c r="J8252" s="21" t="n">
        <v>0</v>
      </c>
      <c r="K8252" s="21" t="n">
        <v>0</v>
      </c>
      <c r="L8252" s="21">
        <f>$B$7051</f>
        <v/>
      </c>
      <c r="M8252" s="21">
        <f>$B$7053</f>
        <v/>
      </c>
      <c r="N8252" s="21">
        <f>0</f>
        <v/>
      </c>
      <c r="O8252" s="21">
        <f>2*$B$7052</f>
        <v/>
      </c>
      <c r="P8252" s="21">
        <f>-$B$7051</f>
        <v/>
      </c>
      <c r="Q8252" s="21">
        <f>$B$7053</f>
        <v/>
      </c>
      <c r="R8252" s="21" t="n">
        <v>0</v>
      </c>
      <c r="S8252" s="21" t="n">
        <v>0</v>
      </c>
      <c r="T8252" s="21" t="n">
        <v>0</v>
      </c>
      <c r="U8252" s="21" t="n">
        <v>0</v>
      </c>
      <c r="V8252" s="21" t="n">
        <v>0</v>
      </c>
      <c r="W8252" s="21" t="n">
        <v>0</v>
      </c>
      <c r="X8252" s="21" t="n">
        <v>0</v>
      </c>
      <c r="Y8252" s="21" t="n">
        <v>0</v>
      </c>
      <c r="Z8252" s="19" t="n"/>
    </row>
    <row r="8253">
      <c r="D8253" s="21" t="n">
        <v>0</v>
      </c>
      <c r="E8253" s="21" t="n">
        <v>0</v>
      </c>
      <c r="F8253" s="21" t="n">
        <v>0</v>
      </c>
      <c r="G8253" s="21" t="n">
        <v>0</v>
      </c>
      <c r="H8253" s="21" t="n">
        <v>0</v>
      </c>
      <c r="I8253" s="21" t="n">
        <v>0</v>
      </c>
      <c r="J8253" s="21" t="n">
        <v>0</v>
      </c>
      <c r="K8253" s="21" t="n">
        <v>0</v>
      </c>
      <c r="L8253" s="21" t="n">
        <v>0</v>
      </c>
      <c r="M8253" s="21" t="n">
        <v>0</v>
      </c>
      <c r="N8253" s="21">
        <f>-$B$7050</f>
        <v/>
      </c>
      <c r="O8253" s="21">
        <f>-$B$7051</f>
        <v/>
      </c>
      <c r="P8253" s="21">
        <f>2*$B$7050+$D$8235</f>
        <v/>
      </c>
      <c r="Q8253" s="21">
        <f>0</f>
        <v/>
      </c>
      <c r="R8253" s="21">
        <f>-$B$7050</f>
        <v/>
      </c>
      <c r="S8253" s="21">
        <f>$B$7051</f>
        <v/>
      </c>
      <c r="T8253" s="21" t="n">
        <v>0</v>
      </c>
      <c r="U8253" s="21" t="n">
        <v>0</v>
      </c>
      <c r="V8253" s="21" t="n">
        <v>0</v>
      </c>
      <c r="W8253" s="21" t="n">
        <v>0</v>
      </c>
      <c r="X8253" s="21" t="n">
        <v>0</v>
      </c>
      <c r="Y8253" s="21" t="n">
        <v>0</v>
      </c>
      <c r="Z8253" s="19" t="n"/>
    </row>
    <row r="8254">
      <c r="D8254" s="21" t="n">
        <v>0</v>
      </c>
      <c r="E8254" s="21" t="n">
        <v>0</v>
      </c>
      <c r="F8254" s="21" t="n">
        <v>0</v>
      </c>
      <c r="G8254" s="21" t="n">
        <v>0</v>
      </c>
      <c r="H8254" s="21" t="n">
        <v>0</v>
      </c>
      <c r="I8254" s="21" t="n">
        <v>0</v>
      </c>
      <c r="J8254" s="21" t="n">
        <v>0</v>
      </c>
      <c r="K8254" s="21" t="n">
        <v>0</v>
      </c>
      <c r="L8254" s="21" t="n">
        <v>0</v>
      </c>
      <c r="M8254" s="21" t="n">
        <v>0</v>
      </c>
      <c r="N8254" s="21">
        <f>$B$7051</f>
        <v/>
      </c>
      <c r="O8254" s="21">
        <f>$B$7053</f>
        <v/>
      </c>
      <c r="P8254" s="21">
        <f>0</f>
        <v/>
      </c>
      <c r="Q8254" s="21">
        <f>2*$B$7052</f>
        <v/>
      </c>
      <c r="R8254" s="21">
        <f>-$B$7051</f>
        <v/>
      </c>
      <c r="S8254" s="21">
        <f>$B$7053</f>
        <v/>
      </c>
      <c r="T8254" s="21" t="n">
        <v>0</v>
      </c>
      <c r="U8254" s="21" t="n">
        <v>0</v>
      </c>
      <c r="V8254" s="21" t="n">
        <v>0</v>
      </c>
      <c r="W8254" s="21" t="n">
        <v>0</v>
      </c>
      <c r="X8254" s="21" t="n">
        <v>0</v>
      </c>
      <c r="Y8254" s="21" t="n">
        <v>0</v>
      </c>
      <c r="Z8254" s="19" t="n"/>
    </row>
    <row r="8255">
      <c r="D8255" s="21" t="n">
        <v>0</v>
      </c>
      <c r="E8255" s="21" t="n">
        <v>0</v>
      </c>
      <c r="F8255" s="21" t="n">
        <v>0</v>
      </c>
      <c r="G8255" s="21" t="n">
        <v>0</v>
      </c>
      <c r="H8255" s="21" t="n">
        <v>0</v>
      </c>
      <c r="I8255" s="21" t="n">
        <v>0</v>
      </c>
      <c r="J8255" s="21" t="n">
        <v>0</v>
      </c>
      <c r="K8255" s="21" t="n">
        <v>0</v>
      </c>
      <c r="L8255" s="21" t="n">
        <v>0</v>
      </c>
      <c r="M8255" s="21" t="n">
        <v>0</v>
      </c>
      <c r="N8255" s="21" t="n">
        <v>0</v>
      </c>
      <c r="O8255" s="21" t="n">
        <v>0</v>
      </c>
      <c r="P8255" s="21">
        <f>-$B$7050</f>
        <v/>
      </c>
      <c r="Q8255" s="21">
        <f>-$B$7051</f>
        <v/>
      </c>
      <c r="R8255" s="21">
        <f>2*$B$7050+$D$8236</f>
        <v/>
      </c>
      <c r="S8255" s="21">
        <f>0</f>
        <v/>
      </c>
      <c r="T8255" s="21">
        <f>-$B$7050</f>
        <v/>
      </c>
      <c r="U8255" s="21">
        <f>$B$7051</f>
        <v/>
      </c>
      <c r="V8255" s="21" t="n">
        <v>0</v>
      </c>
      <c r="W8255" s="21" t="n">
        <v>0</v>
      </c>
      <c r="X8255" s="21" t="n">
        <v>0</v>
      </c>
      <c r="Y8255" s="21" t="n">
        <v>0</v>
      </c>
      <c r="Z8255" s="19" t="n"/>
    </row>
    <row r="8256">
      <c r="D8256" s="21" t="n">
        <v>0</v>
      </c>
      <c r="E8256" s="21" t="n">
        <v>0</v>
      </c>
      <c r="F8256" s="21" t="n">
        <v>0</v>
      </c>
      <c r="G8256" s="21" t="n">
        <v>0</v>
      </c>
      <c r="H8256" s="21" t="n">
        <v>0</v>
      </c>
      <c r="I8256" s="21" t="n">
        <v>0</v>
      </c>
      <c r="J8256" s="21" t="n">
        <v>0</v>
      </c>
      <c r="K8256" s="21" t="n">
        <v>0</v>
      </c>
      <c r="L8256" s="21" t="n">
        <v>0</v>
      </c>
      <c r="M8256" s="21" t="n">
        <v>0</v>
      </c>
      <c r="N8256" s="21" t="n">
        <v>0</v>
      </c>
      <c r="O8256" s="21" t="n">
        <v>0</v>
      </c>
      <c r="P8256" s="21">
        <f>$B$7051</f>
        <v/>
      </c>
      <c r="Q8256" s="21">
        <f>$B$7053</f>
        <v/>
      </c>
      <c r="R8256" s="21">
        <f>0</f>
        <v/>
      </c>
      <c r="S8256" s="21">
        <f>2*$B$7052</f>
        <v/>
      </c>
      <c r="T8256" s="21">
        <f>-$B$7051</f>
        <v/>
      </c>
      <c r="U8256" s="21">
        <f>$B$7053</f>
        <v/>
      </c>
      <c r="V8256" s="21" t="n">
        <v>0</v>
      </c>
      <c r="W8256" s="21" t="n">
        <v>0</v>
      </c>
      <c r="X8256" s="21" t="n">
        <v>0</v>
      </c>
      <c r="Y8256" s="21" t="n">
        <v>0</v>
      </c>
      <c r="Z8256" s="19" t="n"/>
    </row>
    <row r="8257">
      <c r="D8257" s="21" t="n">
        <v>0</v>
      </c>
      <c r="E8257" s="21" t="n">
        <v>0</v>
      </c>
      <c r="F8257" s="21" t="n">
        <v>0</v>
      </c>
      <c r="G8257" s="21" t="n">
        <v>0</v>
      </c>
      <c r="H8257" s="21" t="n">
        <v>0</v>
      </c>
      <c r="I8257" s="21" t="n">
        <v>0</v>
      </c>
      <c r="J8257" s="21" t="n">
        <v>0</v>
      </c>
      <c r="K8257" s="21" t="n">
        <v>0</v>
      </c>
      <c r="L8257" s="21" t="n">
        <v>0</v>
      </c>
      <c r="M8257" s="21" t="n">
        <v>0</v>
      </c>
      <c r="N8257" s="21" t="n">
        <v>0</v>
      </c>
      <c r="O8257" s="21" t="n">
        <v>0</v>
      </c>
      <c r="P8257" s="21" t="n">
        <v>0</v>
      </c>
      <c r="Q8257" s="21" t="n">
        <v>0</v>
      </c>
      <c r="R8257" s="21">
        <f>-$B$7050</f>
        <v/>
      </c>
      <c r="S8257" s="21">
        <f>-$B$7051</f>
        <v/>
      </c>
      <c r="T8257" s="21">
        <f>2*$B$7050+$D$8237</f>
        <v/>
      </c>
      <c r="U8257" s="21">
        <f>0</f>
        <v/>
      </c>
      <c r="V8257" s="21">
        <f>-$B$7050</f>
        <v/>
      </c>
      <c r="W8257" s="21">
        <f>$B$7051</f>
        <v/>
      </c>
      <c r="X8257" s="21" t="n">
        <v>0</v>
      </c>
      <c r="Y8257" s="21" t="n">
        <v>0</v>
      </c>
      <c r="Z8257" s="19" t="n"/>
    </row>
    <row r="8258">
      <c r="D8258" s="21" t="n">
        <v>0</v>
      </c>
      <c r="E8258" s="21" t="n">
        <v>0</v>
      </c>
      <c r="F8258" s="21" t="n">
        <v>0</v>
      </c>
      <c r="G8258" s="21" t="n">
        <v>0</v>
      </c>
      <c r="H8258" s="21" t="n">
        <v>0</v>
      </c>
      <c r="I8258" s="21" t="n">
        <v>0</v>
      </c>
      <c r="J8258" s="21" t="n">
        <v>0</v>
      </c>
      <c r="K8258" s="21" t="n">
        <v>0</v>
      </c>
      <c r="L8258" s="21" t="n">
        <v>0</v>
      </c>
      <c r="M8258" s="21" t="n">
        <v>0</v>
      </c>
      <c r="N8258" s="21" t="n">
        <v>0</v>
      </c>
      <c r="O8258" s="21" t="n">
        <v>0</v>
      </c>
      <c r="P8258" s="21" t="n">
        <v>0</v>
      </c>
      <c r="Q8258" s="21" t="n">
        <v>0</v>
      </c>
      <c r="R8258" s="21">
        <f>$B$7051</f>
        <v/>
      </c>
      <c r="S8258" s="21">
        <f>$B$7053</f>
        <v/>
      </c>
      <c r="T8258" s="21">
        <f>0</f>
        <v/>
      </c>
      <c r="U8258" s="21">
        <f>2*$B$7052</f>
        <v/>
      </c>
      <c r="V8258" s="21">
        <f>-$B$7051</f>
        <v/>
      </c>
      <c r="W8258" s="21">
        <f>$B$7053</f>
        <v/>
      </c>
      <c r="X8258" s="21" t="n">
        <v>0</v>
      </c>
      <c r="Y8258" s="21" t="n">
        <v>0</v>
      </c>
      <c r="Z8258" s="19" t="n"/>
    </row>
    <row r="8259">
      <c r="D8259" s="21" t="n">
        <v>0</v>
      </c>
      <c r="E8259" s="21" t="n">
        <v>0</v>
      </c>
      <c r="F8259" s="21" t="n">
        <v>0</v>
      </c>
      <c r="G8259" s="21" t="n">
        <v>0</v>
      </c>
      <c r="H8259" s="21" t="n">
        <v>0</v>
      </c>
      <c r="I8259" s="21" t="n">
        <v>0</v>
      </c>
      <c r="J8259" s="21" t="n">
        <v>0</v>
      </c>
      <c r="K8259" s="21" t="n">
        <v>0</v>
      </c>
      <c r="L8259" s="21" t="n">
        <v>0</v>
      </c>
      <c r="M8259" s="21" t="n">
        <v>0</v>
      </c>
      <c r="N8259" s="21" t="n">
        <v>0</v>
      </c>
      <c r="O8259" s="21" t="n">
        <v>0</v>
      </c>
      <c r="P8259" s="21" t="n">
        <v>0</v>
      </c>
      <c r="Q8259" s="21" t="n">
        <v>0</v>
      </c>
      <c r="R8259" s="21" t="n">
        <v>0</v>
      </c>
      <c r="S8259" s="21" t="n">
        <v>0</v>
      </c>
      <c r="T8259" s="21">
        <f>-$B$7050</f>
        <v/>
      </c>
      <c r="U8259" s="21">
        <f>-$B$7051</f>
        <v/>
      </c>
      <c r="V8259" s="21">
        <f>2*$B$7050+$D$8238</f>
        <v/>
      </c>
      <c r="W8259" s="21">
        <f>0</f>
        <v/>
      </c>
      <c r="X8259" s="21">
        <f>-$B$7050</f>
        <v/>
      </c>
      <c r="Y8259" s="21">
        <f>$B$7051</f>
        <v/>
      </c>
      <c r="Z8259" s="19" t="n"/>
    </row>
    <row r="8260">
      <c r="D8260" s="21" t="n">
        <v>0</v>
      </c>
      <c r="E8260" s="21" t="n">
        <v>0</v>
      </c>
      <c r="F8260" s="21" t="n">
        <v>0</v>
      </c>
      <c r="G8260" s="21" t="n">
        <v>0</v>
      </c>
      <c r="H8260" s="21" t="n">
        <v>0</v>
      </c>
      <c r="I8260" s="21" t="n">
        <v>0</v>
      </c>
      <c r="J8260" s="21" t="n">
        <v>0</v>
      </c>
      <c r="K8260" s="21" t="n">
        <v>0</v>
      </c>
      <c r="L8260" s="21" t="n">
        <v>0</v>
      </c>
      <c r="M8260" s="21" t="n">
        <v>0</v>
      </c>
      <c r="N8260" s="21" t="n">
        <v>0</v>
      </c>
      <c r="O8260" s="21" t="n">
        <v>0</v>
      </c>
      <c r="P8260" s="21" t="n">
        <v>0</v>
      </c>
      <c r="Q8260" s="21" t="n">
        <v>0</v>
      </c>
      <c r="R8260" s="21" t="n">
        <v>0</v>
      </c>
      <c r="S8260" s="21" t="n">
        <v>0</v>
      </c>
      <c r="T8260" s="21">
        <f>$B$7051</f>
        <v/>
      </c>
      <c r="U8260" s="21">
        <f>$B$7053</f>
        <v/>
      </c>
      <c r="V8260" s="21">
        <f>0</f>
        <v/>
      </c>
      <c r="W8260" s="21">
        <f>2*$B$7052</f>
        <v/>
      </c>
      <c r="X8260" s="21">
        <f>-$B$7051</f>
        <v/>
      </c>
      <c r="Y8260" s="21">
        <f>$B$7053</f>
        <v/>
      </c>
      <c r="Z8260" s="19" t="n"/>
    </row>
    <row r="8261">
      <c r="D8261" s="21" t="n">
        <v>0</v>
      </c>
      <c r="E8261" s="21" t="n">
        <v>0</v>
      </c>
      <c r="F8261" s="21" t="n">
        <v>0</v>
      </c>
      <c r="G8261" s="21" t="n">
        <v>0</v>
      </c>
      <c r="H8261" s="21" t="n">
        <v>0</v>
      </c>
      <c r="I8261" s="21" t="n">
        <v>0</v>
      </c>
      <c r="J8261" s="21" t="n">
        <v>0</v>
      </c>
      <c r="K8261" s="21" t="n">
        <v>0</v>
      </c>
      <c r="L8261" s="21" t="n">
        <v>0</v>
      </c>
      <c r="M8261" s="21" t="n">
        <v>0</v>
      </c>
      <c r="N8261" s="21" t="n">
        <v>0</v>
      </c>
      <c r="O8261" s="21" t="n">
        <v>0</v>
      </c>
      <c r="P8261" s="21" t="n">
        <v>0</v>
      </c>
      <c r="Q8261" s="21" t="n">
        <v>0</v>
      </c>
      <c r="R8261" s="21" t="n">
        <v>0</v>
      </c>
      <c r="S8261" s="21" t="n">
        <v>0</v>
      </c>
      <c r="T8261" s="21" t="n">
        <v>0</v>
      </c>
      <c r="U8261" s="21" t="n">
        <v>0</v>
      </c>
      <c r="V8261" s="21">
        <f>-$B$7050</f>
        <v/>
      </c>
      <c r="W8261" s="21">
        <f>-$B$7051</f>
        <v/>
      </c>
      <c r="X8261" s="21">
        <f>$B$7050+$D$8239</f>
        <v/>
      </c>
      <c r="Y8261" s="21">
        <f>-$B$7051</f>
        <v/>
      </c>
      <c r="Z8261" s="19" t="n"/>
    </row>
    <row r="8262">
      <c r="D8262" s="21" t="n">
        <v>0</v>
      </c>
      <c r="E8262" s="21" t="n">
        <v>0</v>
      </c>
      <c r="F8262" s="21" t="n">
        <v>0</v>
      </c>
      <c r="G8262" s="21" t="n">
        <v>0</v>
      </c>
      <c r="H8262" s="21" t="n">
        <v>0</v>
      </c>
      <c r="I8262" s="21" t="n">
        <v>0</v>
      </c>
      <c r="J8262" s="21" t="n">
        <v>0</v>
      </c>
      <c r="K8262" s="21" t="n">
        <v>0</v>
      </c>
      <c r="L8262" s="21" t="n">
        <v>0</v>
      </c>
      <c r="M8262" s="21" t="n">
        <v>0</v>
      </c>
      <c r="N8262" s="21" t="n">
        <v>0</v>
      </c>
      <c r="O8262" s="21" t="n">
        <v>0</v>
      </c>
      <c r="P8262" s="21" t="n">
        <v>0</v>
      </c>
      <c r="Q8262" s="21" t="n">
        <v>0</v>
      </c>
      <c r="R8262" s="21" t="n">
        <v>0</v>
      </c>
      <c r="S8262" s="21" t="n">
        <v>0</v>
      </c>
      <c r="T8262" s="21" t="n">
        <v>0</v>
      </c>
      <c r="U8262" s="21" t="n">
        <v>0</v>
      </c>
      <c r="V8262" s="21">
        <f>$B$7051</f>
        <v/>
      </c>
      <c r="W8262" s="21">
        <f>$B$7053</f>
        <v/>
      </c>
      <c r="X8262" s="21">
        <f>-$B$7051</f>
        <v/>
      </c>
      <c r="Y8262" s="21">
        <f>$B$7052</f>
        <v/>
      </c>
      <c r="Z8262" s="19" t="n"/>
    </row>
    <row r="8264">
      <c r="A8264" s="8" t="inlineStr">
        <is>
          <t>gen 33</t>
        </is>
      </c>
    </row>
    <row r="8265">
      <c r="D8265" s="19">
        <f>IF(ABS(IF(ABS($E$8229)&gt;0.000000001,$E$8229,0.000000001))=0,0,IF($E$7065&lt;=$B$7059,0,IF(ABS(IF(ABS($E$8229)&gt;0.000000001,$E$8229,0.000000001))&gt;=8*$B$7061,$H$7065,0.5*$H$7065*(ABS(IF(ABS($E$8229)&gt;0.000000001,$E$8229,0.000000001))/$B$7061)^(1/3)))/ABS(IF(ABS($E$8229)&gt;0.000000001,$E$8229,0.000000001))*$I$7065)</f>
        <v/>
      </c>
      <c r="E8265" s="19">
        <f>0.5*$E$8229+0.5*$Z$8277</f>
        <v/>
      </c>
      <c r="F8265" s="19">
        <f>$Z$8278</f>
        <v/>
      </c>
    </row>
    <row r="8266">
      <c r="D8266" s="19">
        <f>IF(ABS(IF(ABS($E$8230)&gt;0.000000001,$E$8230,0.000000001))=0,0,IF($E$7066&lt;=$B$7059,0,IF(ABS(IF(ABS($E$8230)&gt;0.000000001,$E$8230,0.000000001))&gt;=8*$B$7061,$H$7066,0.5*$H$7066*(ABS(IF(ABS($E$8230)&gt;0.000000001,$E$8230,0.000000001))/$B$7061)^(1/3)))/ABS(IF(ABS($E$8230)&gt;0.000000001,$E$8230,0.000000001))*$I$7066)</f>
        <v/>
      </c>
      <c r="E8266" s="19">
        <f>0.5*$E$8230+0.5*$Z$8279</f>
        <v/>
      </c>
      <c r="F8266" s="19">
        <f>$Z$8280</f>
        <v/>
      </c>
    </row>
    <row r="8267">
      <c r="D8267" s="19">
        <f>IF(ABS(IF(ABS($E$8231)&gt;0.000000001,$E$8231,0.000000001))=0,0,IF($E$7067&lt;=$B$7059,0,IF(ABS(IF(ABS($E$8231)&gt;0.000000001,$E$8231,0.000000001))&gt;=8*$B$7061,$H$7067,0.5*$H$7067*(ABS(IF(ABS($E$8231)&gt;0.000000001,$E$8231,0.000000001))/$B$7061)^(1/3)))/ABS(IF(ABS($E$8231)&gt;0.000000001,$E$8231,0.000000001))*$I$7067)</f>
        <v/>
      </c>
      <c r="E8267" s="19">
        <f>0.5*$E$8231+0.5*$Z$8281</f>
        <v/>
      </c>
      <c r="F8267" s="19">
        <f>$Z$8282</f>
        <v/>
      </c>
    </row>
    <row r="8268">
      <c r="D8268" s="19">
        <f>IF(ABS(IF(ABS($E$8232)&gt;0.000000001,$E$8232,0.000000001))=0,0,IF($E$7068&lt;=$B$7059,0,IF(ABS(IF(ABS($E$8232)&gt;0.000000001,$E$8232,0.000000001))&gt;=8*$B$7061,$H$7068,0.5*$H$7068*(ABS(IF(ABS($E$8232)&gt;0.000000001,$E$8232,0.000000001))/$B$7061)^(1/3)))/ABS(IF(ABS($E$8232)&gt;0.000000001,$E$8232,0.000000001))*$I$7068)</f>
        <v/>
      </c>
      <c r="E8268" s="19">
        <f>0.5*$E$8232+0.5*$Z$8283</f>
        <v/>
      </c>
      <c r="F8268" s="19">
        <f>$Z$8284</f>
        <v/>
      </c>
    </row>
    <row r="8269">
      <c r="D8269" s="19">
        <f>IF(ABS(IF(ABS($E$8233)&gt;0.000000001,$E$8233,0.000000001))=0,0,IF($E$7069&lt;=$B$7059,0,IF(ABS(IF(ABS($E$8233)&gt;0.000000001,$E$8233,0.000000001))&gt;=8*$B$7061,$H$7069,0.5*$H$7069*(ABS(IF(ABS($E$8233)&gt;0.000000001,$E$8233,0.000000001))/$B$7061)^(1/3)))/ABS(IF(ABS($E$8233)&gt;0.000000001,$E$8233,0.000000001))*$I$7069)</f>
        <v/>
      </c>
      <c r="E8269" s="19">
        <f>0.5*$E$8233+0.5*$Z$8285</f>
        <v/>
      </c>
      <c r="F8269" s="19">
        <f>$Z$8286</f>
        <v/>
      </c>
    </row>
    <row r="8270">
      <c r="D8270" s="19">
        <f>IF(ABS(IF(ABS($E$8234)&gt;0.000000001,$E$8234,0.000000001))=0,0,IF($E$7070&lt;=$B$7059,0,IF(ABS(IF(ABS($E$8234)&gt;0.000000001,$E$8234,0.000000001))&gt;=8*$B$7061,$H$7070,0.5*$H$7070*(ABS(IF(ABS($E$8234)&gt;0.000000001,$E$8234,0.000000001))/$B$7061)^(1/3)))/ABS(IF(ABS($E$8234)&gt;0.000000001,$E$8234,0.000000001))*$I$7070)</f>
        <v/>
      </c>
      <c r="E8270" s="19">
        <f>0.5*$E$8234+0.5*$Z$8287</f>
        <v/>
      </c>
      <c r="F8270" s="19">
        <f>$Z$8288</f>
        <v/>
      </c>
    </row>
    <row r="8271">
      <c r="D8271" s="19">
        <f>IF(ABS(IF(ABS($E$8235)&gt;0.000000001,$E$8235,0.000000001))=0,0,IF($E$7071&lt;=$B$7059,0,IF(ABS(IF(ABS($E$8235)&gt;0.000000001,$E$8235,0.000000001))&gt;=8*$B$7061,$H$7071,0.5*$H$7071*(ABS(IF(ABS($E$8235)&gt;0.000000001,$E$8235,0.000000001))/$B$7061)^(1/3)))/ABS(IF(ABS($E$8235)&gt;0.000000001,$E$8235,0.000000001))*$I$7071)</f>
        <v/>
      </c>
      <c r="E8271" s="19">
        <f>0.5*$E$8235+0.5*$Z$8289</f>
        <v/>
      </c>
      <c r="F8271" s="19">
        <f>$Z$8290</f>
        <v/>
      </c>
    </row>
    <row r="8272">
      <c r="D8272" s="19">
        <f>IF(ABS(IF(ABS($E$8236)&gt;0.000000001,$E$8236,0.000000001))=0,0,IF($E$7072&lt;=$B$7059,0,IF(ABS(IF(ABS($E$8236)&gt;0.000000001,$E$8236,0.000000001))&gt;=8*$B$7061,$H$7072,0.5*$H$7072*(ABS(IF(ABS($E$8236)&gt;0.000000001,$E$8236,0.000000001))/$B$7061)^(1/3)))/ABS(IF(ABS($E$8236)&gt;0.000000001,$E$8236,0.000000001))*$I$7072)</f>
        <v/>
      </c>
      <c r="E8272" s="19">
        <f>0.5*$E$8236+0.5*$Z$8291</f>
        <v/>
      </c>
      <c r="F8272" s="19">
        <f>$Z$8292</f>
        <v/>
      </c>
    </row>
    <row r="8273">
      <c r="D8273" s="19">
        <f>IF(ABS(IF(ABS($E$8237)&gt;0.000000001,$E$8237,0.000000001))=0,0,IF($E$7073&lt;=$B$7059,0,IF(ABS(IF(ABS($E$8237)&gt;0.000000001,$E$8237,0.000000001))&gt;=8*$B$7061,$H$7073,0.5*$H$7073*(ABS(IF(ABS($E$8237)&gt;0.000000001,$E$8237,0.000000001))/$B$7061)^(1/3)))/ABS(IF(ABS($E$8237)&gt;0.000000001,$E$8237,0.000000001))*$I$7073)</f>
        <v/>
      </c>
      <c r="E8273" s="19">
        <f>0.5*$E$8237+0.5*$Z$8293</f>
        <v/>
      </c>
      <c r="F8273" s="19">
        <f>$Z$8294</f>
        <v/>
      </c>
    </row>
    <row r="8274">
      <c r="D8274" s="19">
        <f>IF(ABS(IF(ABS($E$8238)&gt;0.000000001,$E$8238,0.000000001))=0,0,IF($E$7074&lt;=$B$7059,0,IF(ABS(IF(ABS($E$8238)&gt;0.000000001,$E$8238,0.000000001))&gt;=8*$B$7061,$H$7074,0.5*$H$7074*(ABS(IF(ABS($E$8238)&gt;0.000000001,$E$8238,0.000000001))/$B$7061)^(1/3)))/ABS(IF(ABS($E$8238)&gt;0.000000001,$E$8238,0.000000001))*$I$7074)</f>
        <v/>
      </c>
      <c r="E8274" s="19">
        <f>0.5*$E$8238+0.5*$Z$8295</f>
        <v/>
      </c>
      <c r="F8274" s="19">
        <f>$Z$8296</f>
        <v/>
      </c>
    </row>
    <row r="8275">
      <c r="D8275" s="19">
        <f>IF(ABS(IF(ABS($E$8239)&gt;0.000000001,$E$8239,0.000000001))=0,0,IF($E$7075&lt;=$B$7059,0,IF(ABS(IF(ABS($E$8239)&gt;0.000000001,$E$8239,0.000000001))&gt;=8*$B$7061,$H$7075,0.5*$H$7075*(ABS(IF(ABS($E$8239)&gt;0.000000001,$E$8239,0.000000001))/$B$7061)^(1/3)))/ABS(IF(ABS($E$8239)&gt;0.000000001,$E$8239,0.000000001))*$I$7075)</f>
        <v/>
      </c>
      <c r="E8275" s="19">
        <f>0.5*$E$8239+0.5*$Z$8297</f>
        <v/>
      </c>
      <c r="F8275" s="19">
        <f>$Z$8298</f>
        <v/>
      </c>
    </row>
    <row r="8277">
      <c r="D8277" s="21">
        <f>$B$7050+$D$8265</f>
        <v/>
      </c>
      <c r="E8277" s="21">
        <f>$B$7051</f>
        <v/>
      </c>
      <c r="F8277" s="21">
        <f>-$B$7050</f>
        <v/>
      </c>
      <c r="G8277" s="21">
        <f>$B$7051</f>
        <v/>
      </c>
      <c r="H8277" s="21" t="n">
        <v>0</v>
      </c>
      <c r="I8277" s="21" t="n">
        <v>0</v>
      </c>
      <c r="J8277" s="21" t="n">
        <v>0</v>
      </c>
      <c r="K8277" s="21" t="n">
        <v>0</v>
      </c>
      <c r="L8277" s="21" t="n">
        <v>0</v>
      </c>
      <c r="M8277" s="21" t="n">
        <v>0</v>
      </c>
      <c r="N8277" s="21" t="n">
        <v>0</v>
      </c>
      <c r="O8277" s="21" t="n">
        <v>0</v>
      </c>
      <c r="P8277" s="21" t="n">
        <v>0</v>
      </c>
      <c r="Q8277" s="21" t="n">
        <v>0</v>
      </c>
      <c r="R8277" s="21" t="n">
        <v>0</v>
      </c>
      <c r="S8277" s="21" t="n">
        <v>0</v>
      </c>
      <c r="T8277" s="21" t="n">
        <v>0</v>
      </c>
      <c r="U8277" s="21" t="n">
        <v>0</v>
      </c>
      <c r="V8277" s="21" t="n">
        <v>0</v>
      </c>
      <c r="W8277" s="21" t="n">
        <v>0</v>
      </c>
      <c r="X8277" s="21" t="n">
        <v>0</v>
      </c>
      <c r="Y8277" s="21" t="n">
        <v>0</v>
      </c>
      <c r="Z8277" s="19">
        <f t="array" ref="Z8277:Z8298">MMULT(MINVERSE($D$8277:$Y$8298),$D$7077:$D$7098)</f>
        <v/>
      </c>
    </row>
    <row r="8278">
      <c r="D8278" s="21">
        <f>$B$7051</f>
        <v/>
      </c>
      <c r="E8278" s="21">
        <f>$B$7052</f>
        <v/>
      </c>
      <c r="F8278" s="21">
        <f>-$B$7051</f>
        <v/>
      </c>
      <c r="G8278" s="21">
        <f>$B$7053</f>
        <v/>
      </c>
      <c r="H8278" s="21" t="n">
        <v>0</v>
      </c>
      <c r="I8278" s="21" t="n">
        <v>0</v>
      </c>
      <c r="J8278" s="21" t="n">
        <v>0</v>
      </c>
      <c r="K8278" s="21" t="n">
        <v>0</v>
      </c>
      <c r="L8278" s="21" t="n">
        <v>0</v>
      </c>
      <c r="M8278" s="21" t="n">
        <v>0</v>
      </c>
      <c r="N8278" s="21" t="n">
        <v>0</v>
      </c>
      <c r="O8278" s="21" t="n">
        <v>0</v>
      </c>
      <c r="P8278" s="21" t="n">
        <v>0</v>
      </c>
      <c r="Q8278" s="21" t="n">
        <v>0</v>
      </c>
      <c r="R8278" s="21" t="n">
        <v>0</v>
      </c>
      <c r="S8278" s="21" t="n">
        <v>0</v>
      </c>
      <c r="T8278" s="21" t="n">
        <v>0</v>
      </c>
      <c r="U8278" s="21" t="n">
        <v>0</v>
      </c>
      <c r="V8278" s="21" t="n">
        <v>0</v>
      </c>
      <c r="W8278" s="21" t="n">
        <v>0</v>
      </c>
      <c r="X8278" s="21" t="n">
        <v>0</v>
      </c>
      <c r="Y8278" s="21" t="n">
        <v>0</v>
      </c>
      <c r="Z8278" s="19" t="n"/>
    </row>
    <row r="8279">
      <c r="D8279" s="21">
        <f>-$B$7050</f>
        <v/>
      </c>
      <c r="E8279" s="21">
        <f>-$B$7051</f>
        <v/>
      </c>
      <c r="F8279" s="21">
        <f>2*$B$7050+$D$8266</f>
        <v/>
      </c>
      <c r="G8279" s="21">
        <f>0</f>
        <v/>
      </c>
      <c r="H8279" s="21">
        <f>-$B$7050</f>
        <v/>
      </c>
      <c r="I8279" s="21">
        <f>$B$7051</f>
        <v/>
      </c>
      <c r="J8279" s="21" t="n">
        <v>0</v>
      </c>
      <c r="K8279" s="21" t="n">
        <v>0</v>
      </c>
      <c r="L8279" s="21" t="n">
        <v>0</v>
      </c>
      <c r="M8279" s="21" t="n">
        <v>0</v>
      </c>
      <c r="N8279" s="21" t="n">
        <v>0</v>
      </c>
      <c r="O8279" s="21" t="n">
        <v>0</v>
      </c>
      <c r="P8279" s="21" t="n">
        <v>0</v>
      </c>
      <c r="Q8279" s="21" t="n">
        <v>0</v>
      </c>
      <c r="R8279" s="21" t="n">
        <v>0</v>
      </c>
      <c r="S8279" s="21" t="n">
        <v>0</v>
      </c>
      <c r="T8279" s="21" t="n">
        <v>0</v>
      </c>
      <c r="U8279" s="21" t="n">
        <v>0</v>
      </c>
      <c r="V8279" s="21" t="n">
        <v>0</v>
      </c>
      <c r="W8279" s="21" t="n">
        <v>0</v>
      </c>
      <c r="X8279" s="21" t="n">
        <v>0</v>
      </c>
      <c r="Y8279" s="21" t="n">
        <v>0</v>
      </c>
      <c r="Z8279" s="19" t="n"/>
    </row>
    <row r="8280">
      <c r="D8280" s="21">
        <f>$B$7051</f>
        <v/>
      </c>
      <c r="E8280" s="21">
        <f>$B$7053</f>
        <v/>
      </c>
      <c r="F8280" s="21">
        <f>0</f>
        <v/>
      </c>
      <c r="G8280" s="21">
        <f>2*$B$7052</f>
        <v/>
      </c>
      <c r="H8280" s="21">
        <f>-$B$7051</f>
        <v/>
      </c>
      <c r="I8280" s="21">
        <f>$B$7053</f>
        <v/>
      </c>
      <c r="J8280" s="21" t="n">
        <v>0</v>
      </c>
      <c r="K8280" s="21" t="n">
        <v>0</v>
      </c>
      <c r="L8280" s="21" t="n">
        <v>0</v>
      </c>
      <c r="M8280" s="21" t="n">
        <v>0</v>
      </c>
      <c r="N8280" s="21" t="n">
        <v>0</v>
      </c>
      <c r="O8280" s="21" t="n">
        <v>0</v>
      </c>
      <c r="P8280" s="21" t="n">
        <v>0</v>
      </c>
      <c r="Q8280" s="21" t="n">
        <v>0</v>
      </c>
      <c r="R8280" s="21" t="n">
        <v>0</v>
      </c>
      <c r="S8280" s="21" t="n">
        <v>0</v>
      </c>
      <c r="T8280" s="21" t="n">
        <v>0</v>
      </c>
      <c r="U8280" s="21" t="n">
        <v>0</v>
      </c>
      <c r="V8280" s="21" t="n">
        <v>0</v>
      </c>
      <c r="W8280" s="21" t="n">
        <v>0</v>
      </c>
      <c r="X8280" s="21" t="n">
        <v>0</v>
      </c>
      <c r="Y8280" s="21" t="n">
        <v>0</v>
      </c>
      <c r="Z8280" s="19" t="n"/>
    </row>
    <row r="8281">
      <c r="D8281" s="21" t="n">
        <v>0</v>
      </c>
      <c r="E8281" s="21" t="n">
        <v>0</v>
      </c>
      <c r="F8281" s="21">
        <f>-$B$7050</f>
        <v/>
      </c>
      <c r="G8281" s="21">
        <f>-$B$7051</f>
        <v/>
      </c>
      <c r="H8281" s="21">
        <f>2*$B$7050+$D$8267</f>
        <v/>
      </c>
      <c r="I8281" s="21">
        <f>0</f>
        <v/>
      </c>
      <c r="J8281" s="21">
        <f>-$B$7050</f>
        <v/>
      </c>
      <c r="K8281" s="21">
        <f>$B$7051</f>
        <v/>
      </c>
      <c r="L8281" s="21" t="n">
        <v>0</v>
      </c>
      <c r="M8281" s="21" t="n">
        <v>0</v>
      </c>
      <c r="N8281" s="21" t="n">
        <v>0</v>
      </c>
      <c r="O8281" s="21" t="n">
        <v>0</v>
      </c>
      <c r="P8281" s="21" t="n">
        <v>0</v>
      </c>
      <c r="Q8281" s="21" t="n">
        <v>0</v>
      </c>
      <c r="R8281" s="21" t="n">
        <v>0</v>
      </c>
      <c r="S8281" s="21" t="n">
        <v>0</v>
      </c>
      <c r="T8281" s="21" t="n">
        <v>0</v>
      </c>
      <c r="U8281" s="21" t="n">
        <v>0</v>
      </c>
      <c r="V8281" s="21" t="n">
        <v>0</v>
      </c>
      <c r="W8281" s="21" t="n">
        <v>0</v>
      </c>
      <c r="X8281" s="21" t="n">
        <v>0</v>
      </c>
      <c r="Y8281" s="21" t="n">
        <v>0</v>
      </c>
      <c r="Z8281" s="19" t="n"/>
    </row>
    <row r="8282">
      <c r="D8282" s="21" t="n">
        <v>0</v>
      </c>
      <c r="E8282" s="21" t="n">
        <v>0</v>
      </c>
      <c r="F8282" s="21">
        <f>$B$7051</f>
        <v/>
      </c>
      <c r="G8282" s="21">
        <f>$B$7053</f>
        <v/>
      </c>
      <c r="H8282" s="21">
        <f>0</f>
        <v/>
      </c>
      <c r="I8282" s="21">
        <f>2*$B$7052</f>
        <v/>
      </c>
      <c r="J8282" s="21">
        <f>-$B$7051</f>
        <v/>
      </c>
      <c r="K8282" s="21">
        <f>$B$7053</f>
        <v/>
      </c>
      <c r="L8282" s="21" t="n">
        <v>0</v>
      </c>
      <c r="M8282" s="21" t="n">
        <v>0</v>
      </c>
      <c r="N8282" s="21" t="n">
        <v>0</v>
      </c>
      <c r="O8282" s="21" t="n">
        <v>0</v>
      </c>
      <c r="P8282" s="21" t="n">
        <v>0</v>
      </c>
      <c r="Q8282" s="21" t="n">
        <v>0</v>
      </c>
      <c r="R8282" s="21" t="n">
        <v>0</v>
      </c>
      <c r="S8282" s="21" t="n">
        <v>0</v>
      </c>
      <c r="T8282" s="21" t="n">
        <v>0</v>
      </c>
      <c r="U8282" s="21" t="n">
        <v>0</v>
      </c>
      <c r="V8282" s="21" t="n">
        <v>0</v>
      </c>
      <c r="W8282" s="21" t="n">
        <v>0</v>
      </c>
      <c r="X8282" s="21" t="n">
        <v>0</v>
      </c>
      <c r="Y8282" s="21" t="n">
        <v>0</v>
      </c>
      <c r="Z8282" s="19" t="n"/>
    </row>
    <row r="8283">
      <c r="D8283" s="21" t="n">
        <v>0</v>
      </c>
      <c r="E8283" s="21" t="n">
        <v>0</v>
      </c>
      <c r="F8283" s="21" t="n">
        <v>0</v>
      </c>
      <c r="G8283" s="21" t="n">
        <v>0</v>
      </c>
      <c r="H8283" s="21">
        <f>-$B$7050</f>
        <v/>
      </c>
      <c r="I8283" s="21">
        <f>-$B$7051</f>
        <v/>
      </c>
      <c r="J8283" s="21">
        <f>2*$B$7050+$D$8268</f>
        <v/>
      </c>
      <c r="K8283" s="21">
        <f>0</f>
        <v/>
      </c>
      <c r="L8283" s="21">
        <f>-$B$7050</f>
        <v/>
      </c>
      <c r="M8283" s="21">
        <f>$B$7051</f>
        <v/>
      </c>
      <c r="N8283" s="21" t="n">
        <v>0</v>
      </c>
      <c r="O8283" s="21" t="n">
        <v>0</v>
      </c>
      <c r="P8283" s="21" t="n">
        <v>0</v>
      </c>
      <c r="Q8283" s="21" t="n">
        <v>0</v>
      </c>
      <c r="R8283" s="21" t="n">
        <v>0</v>
      </c>
      <c r="S8283" s="21" t="n">
        <v>0</v>
      </c>
      <c r="T8283" s="21" t="n">
        <v>0</v>
      </c>
      <c r="U8283" s="21" t="n">
        <v>0</v>
      </c>
      <c r="V8283" s="21" t="n">
        <v>0</v>
      </c>
      <c r="W8283" s="21" t="n">
        <v>0</v>
      </c>
      <c r="X8283" s="21" t="n">
        <v>0</v>
      </c>
      <c r="Y8283" s="21" t="n">
        <v>0</v>
      </c>
      <c r="Z8283" s="19" t="n"/>
    </row>
    <row r="8284">
      <c r="D8284" s="21" t="n">
        <v>0</v>
      </c>
      <c r="E8284" s="21" t="n">
        <v>0</v>
      </c>
      <c r="F8284" s="21" t="n">
        <v>0</v>
      </c>
      <c r="G8284" s="21" t="n">
        <v>0</v>
      </c>
      <c r="H8284" s="21">
        <f>$B$7051</f>
        <v/>
      </c>
      <c r="I8284" s="21">
        <f>$B$7053</f>
        <v/>
      </c>
      <c r="J8284" s="21">
        <f>0</f>
        <v/>
      </c>
      <c r="K8284" s="21">
        <f>2*$B$7052</f>
        <v/>
      </c>
      <c r="L8284" s="21">
        <f>-$B$7051</f>
        <v/>
      </c>
      <c r="M8284" s="21">
        <f>$B$7053</f>
        <v/>
      </c>
      <c r="N8284" s="21" t="n">
        <v>0</v>
      </c>
      <c r="O8284" s="21" t="n">
        <v>0</v>
      </c>
      <c r="P8284" s="21" t="n">
        <v>0</v>
      </c>
      <c r="Q8284" s="21" t="n">
        <v>0</v>
      </c>
      <c r="R8284" s="21" t="n">
        <v>0</v>
      </c>
      <c r="S8284" s="21" t="n">
        <v>0</v>
      </c>
      <c r="T8284" s="21" t="n">
        <v>0</v>
      </c>
      <c r="U8284" s="21" t="n">
        <v>0</v>
      </c>
      <c r="V8284" s="21" t="n">
        <v>0</v>
      </c>
      <c r="W8284" s="21" t="n">
        <v>0</v>
      </c>
      <c r="X8284" s="21" t="n">
        <v>0</v>
      </c>
      <c r="Y8284" s="21" t="n">
        <v>0</v>
      </c>
      <c r="Z8284" s="19" t="n"/>
    </row>
    <row r="8285">
      <c r="D8285" s="21" t="n">
        <v>0</v>
      </c>
      <c r="E8285" s="21" t="n">
        <v>0</v>
      </c>
      <c r="F8285" s="21" t="n">
        <v>0</v>
      </c>
      <c r="G8285" s="21" t="n">
        <v>0</v>
      </c>
      <c r="H8285" s="21" t="n">
        <v>0</v>
      </c>
      <c r="I8285" s="21" t="n">
        <v>0</v>
      </c>
      <c r="J8285" s="21">
        <f>-$B$7050</f>
        <v/>
      </c>
      <c r="K8285" s="21">
        <f>-$B$7051</f>
        <v/>
      </c>
      <c r="L8285" s="21">
        <f>2*$B$7050+$D$8269</f>
        <v/>
      </c>
      <c r="M8285" s="21">
        <f>0</f>
        <v/>
      </c>
      <c r="N8285" s="21">
        <f>-$B$7050</f>
        <v/>
      </c>
      <c r="O8285" s="21">
        <f>$B$7051</f>
        <v/>
      </c>
      <c r="P8285" s="21" t="n">
        <v>0</v>
      </c>
      <c r="Q8285" s="21" t="n">
        <v>0</v>
      </c>
      <c r="R8285" s="21" t="n">
        <v>0</v>
      </c>
      <c r="S8285" s="21" t="n">
        <v>0</v>
      </c>
      <c r="T8285" s="21" t="n">
        <v>0</v>
      </c>
      <c r="U8285" s="21" t="n">
        <v>0</v>
      </c>
      <c r="V8285" s="21" t="n">
        <v>0</v>
      </c>
      <c r="W8285" s="21" t="n">
        <v>0</v>
      </c>
      <c r="X8285" s="21" t="n">
        <v>0</v>
      </c>
      <c r="Y8285" s="21" t="n">
        <v>0</v>
      </c>
      <c r="Z8285" s="19" t="n"/>
    </row>
    <row r="8286">
      <c r="D8286" s="21" t="n">
        <v>0</v>
      </c>
      <c r="E8286" s="21" t="n">
        <v>0</v>
      </c>
      <c r="F8286" s="21" t="n">
        <v>0</v>
      </c>
      <c r="G8286" s="21" t="n">
        <v>0</v>
      </c>
      <c r="H8286" s="21" t="n">
        <v>0</v>
      </c>
      <c r="I8286" s="21" t="n">
        <v>0</v>
      </c>
      <c r="J8286" s="21">
        <f>$B$7051</f>
        <v/>
      </c>
      <c r="K8286" s="21">
        <f>$B$7053</f>
        <v/>
      </c>
      <c r="L8286" s="21">
        <f>0</f>
        <v/>
      </c>
      <c r="M8286" s="21">
        <f>2*$B$7052</f>
        <v/>
      </c>
      <c r="N8286" s="21">
        <f>-$B$7051</f>
        <v/>
      </c>
      <c r="O8286" s="21">
        <f>$B$7053</f>
        <v/>
      </c>
      <c r="P8286" s="21" t="n">
        <v>0</v>
      </c>
      <c r="Q8286" s="21" t="n">
        <v>0</v>
      </c>
      <c r="R8286" s="21" t="n">
        <v>0</v>
      </c>
      <c r="S8286" s="21" t="n">
        <v>0</v>
      </c>
      <c r="T8286" s="21" t="n">
        <v>0</v>
      </c>
      <c r="U8286" s="21" t="n">
        <v>0</v>
      </c>
      <c r="V8286" s="21" t="n">
        <v>0</v>
      </c>
      <c r="W8286" s="21" t="n">
        <v>0</v>
      </c>
      <c r="X8286" s="21" t="n">
        <v>0</v>
      </c>
      <c r="Y8286" s="21" t="n">
        <v>0</v>
      </c>
      <c r="Z8286" s="19" t="n"/>
    </row>
    <row r="8287">
      <c r="D8287" s="21" t="n">
        <v>0</v>
      </c>
      <c r="E8287" s="21" t="n">
        <v>0</v>
      </c>
      <c r="F8287" s="21" t="n">
        <v>0</v>
      </c>
      <c r="G8287" s="21" t="n">
        <v>0</v>
      </c>
      <c r="H8287" s="21" t="n">
        <v>0</v>
      </c>
      <c r="I8287" s="21" t="n">
        <v>0</v>
      </c>
      <c r="J8287" s="21" t="n">
        <v>0</v>
      </c>
      <c r="K8287" s="21" t="n">
        <v>0</v>
      </c>
      <c r="L8287" s="21">
        <f>-$B$7050</f>
        <v/>
      </c>
      <c r="M8287" s="21">
        <f>-$B$7051</f>
        <v/>
      </c>
      <c r="N8287" s="21">
        <f>2*$B$7050+$D$8270</f>
        <v/>
      </c>
      <c r="O8287" s="21">
        <f>0</f>
        <v/>
      </c>
      <c r="P8287" s="21">
        <f>-$B$7050</f>
        <v/>
      </c>
      <c r="Q8287" s="21">
        <f>$B$7051</f>
        <v/>
      </c>
      <c r="R8287" s="21" t="n">
        <v>0</v>
      </c>
      <c r="S8287" s="21" t="n">
        <v>0</v>
      </c>
      <c r="T8287" s="21" t="n">
        <v>0</v>
      </c>
      <c r="U8287" s="21" t="n">
        <v>0</v>
      </c>
      <c r="V8287" s="21" t="n">
        <v>0</v>
      </c>
      <c r="W8287" s="21" t="n">
        <v>0</v>
      </c>
      <c r="X8287" s="21" t="n">
        <v>0</v>
      </c>
      <c r="Y8287" s="21" t="n">
        <v>0</v>
      </c>
      <c r="Z8287" s="19" t="n"/>
    </row>
    <row r="8288">
      <c r="D8288" s="21" t="n">
        <v>0</v>
      </c>
      <c r="E8288" s="21" t="n">
        <v>0</v>
      </c>
      <c r="F8288" s="21" t="n">
        <v>0</v>
      </c>
      <c r="G8288" s="21" t="n">
        <v>0</v>
      </c>
      <c r="H8288" s="21" t="n">
        <v>0</v>
      </c>
      <c r="I8288" s="21" t="n">
        <v>0</v>
      </c>
      <c r="J8288" s="21" t="n">
        <v>0</v>
      </c>
      <c r="K8288" s="21" t="n">
        <v>0</v>
      </c>
      <c r="L8288" s="21">
        <f>$B$7051</f>
        <v/>
      </c>
      <c r="M8288" s="21">
        <f>$B$7053</f>
        <v/>
      </c>
      <c r="N8288" s="21">
        <f>0</f>
        <v/>
      </c>
      <c r="O8288" s="21">
        <f>2*$B$7052</f>
        <v/>
      </c>
      <c r="P8288" s="21">
        <f>-$B$7051</f>
        <v/>
      </c>
      <c r="Q8288" s="21">
        <f>$B$7053</f>
        <v/>
      </c>
      <c r="R8288" s="21" t="n">
        <v>0</v>
      </c>
      <c r="S8288" s="21" t="n">
        <v>0</v>
      </c>
      <c r="T8288" s="21" t="n">
        <v>0</v>
      </c>
      <c r="U8288" s="21" t="n">
        <v>0</v>
      </c>
      <c r="V8288" s="21" t="n">
        <v>0</v>
      </c>
      <c r="W8288" s="21" t="n">
        <v>0</v>
      </c>
      <c r="X8288" s="21" t="n">
        <v>0</v>
      </c>
      <c r="Y8288" s="21" t="n">
        <v>0</v>
      </c>
      <c r="Z8288" s="19" t="n"/>
    </row>
    <row r="8289">
      <c r="D8289" s="21" t="n">
        <v>0</v>
      </c>
      <c r="E8289" s="21" t="n">
        <v>0</v>
      </c>
      <c r="F8289" s="21" t="n">
        <v>0</v>
      </c>
      <c r="G8289" s="21" t="n">
        <v>0</v>
      </c>
      <c r="H8289" s="21" t="n">
        <v>0</v>
      </c>
      <c r="I8289" s="21" t="n">
        <v>0</v>
      </c>
      <c r="J8289" s="21" t="n">
        <v>0</v>
      </c>
      <c r="K8289" s="21" t="n">
        <v>0</v>
      </c>
      <c r="L8289" s="21" t="n">
        <v>0</v>
      </c>
      <c r="M8289" s="21" t="n">
        <v>0</v>
      </c>
      <c r="N8289" s="21">
        <f>-$B$7050</f>
        <v/>
      </c>
      <c r="O8289" s="21">
        <f>-$B$7051</f>
        <v/>
      </c>
      <c r="P8289" s="21">
        <f>2*$B$7050+$D$8271</f>
        <v/>
      </c>
      <c r="Q8289" s="21">
        <f>0</f>
        <v/>
      </c>
      <c r="R8289" s="21">
        <f>-$B$7050</f>
        <v/>
      </c>
      <c r="S8289" s="21">
        <f>$B$7051</f>
        <v/>
      </c>
      <c r="T8289" s="21" t="n">
        <v>0</v>
      </c>
      <c r="U8289" s="21" t="n">
        <v>0</v>
      </c>
      <c r="V8289" s="21" t="n">
        <v>0</v>
      </c>
      <c r="W8289" s="21" t="n">
        <v>0</v>
      </c>
      <c r="X8289" s="21" t="n">
        <v>0</v>
      </c>
      <c r="Y8289" s="21" t="n">
        <v>0</v>
      </c>
      <c r="Z8289" s="19" t="n"/>
    </row>
    <row r="8290">
      <c r="D8290" s="21" t="n">
        <v>0</v>
      </c>
      <c r="E8290" s="21" t="n">
        <v>0</v>
      </c>
      <c r="F8290" s="21" t="n">
        <v>0</v>
      </c>
      <c r="G8290" s="21" t="n">
        <v>0</v>
      </c>
      <c r="H8290" s="21" t="n">
        <v>0</v>
      </c>
      <c r="I8290" s="21" t="n">
        <v>0</v>
      </c>
      <c r="J8290" s="21" t="n">
        <v>0</v>
      </c>
      <c r="K8290" s="21" t="n">
        <v>0</v>
      </c>
      <c r="L8290" s="21" t="n">
        <v>0</v>
      </c>
      <c r="M8290" s="21" t="n">
        <v>0</v>
      </c>
      <c r="N8290" s="21">
        <f>$B$7051</f>
        <v/>
      </c>
      <c r="O8290" s="21">
        <f>$B$7053</f>
        <v/>
      </c>
      <c r="P8290" s="21">
        <f>0</f>
        <v/>
      </c>
      <c r="Q8290" s="21">
        <f>2*$B$7052</f>
        <v/>
      </c>
      <c r="R8290" s="21">
        <f>-$B$7051</f>
        <v/>
      </c>
      <c r="S8290" s="21">
        <f>$B$7053</f>
        <v/>
      </c>
      <c r="T8290" s="21" t="n">
        <v>0</v>
      </c>
      <c r="U8290" s="21" t="n">
        <v>0</v>
      </c>
      <c r="V8290" s="21" t="n">
        <v>0</v>
      </c>
      <c r="W8290" s="21" t="n">
        <v>0</v>
      </c>
      <c r="X8290" s="21" t="n">
        <v>0</v>
      </c>
      <c r="Y8290" s="21" t="n">
        <v>0</v>
      </c>
      <c r="Z8290" s="19" t="n"/>
    </row>
    <row r="8291">
      <c r="D8291" s="21" t="n">
        <v>0</v>
      </c>
      <c r="E8291" s="21" t="n">
        <v>0</v>
      </c>
      <c r="F8291" s="21" t="n">
        <v>0</v>
      </c>
      <c r="G8291" s="21" t="n">
        <v>0</v>
      </c>
      <c r="H8291" s="21" t="n">
        <v>0</v>
      </c>
      <c r="I8291" s="21" t="n">
        <v>0</v>
      </c>
      <c r="J8291" s="21" t="n">
        <v>0</v>
      </c>
      <c r="K8291" s="21" t="n">
        <v>0</v>
      </c>
      <c r="L8291" s="21" t="n">
        <v>0</v>
      </c>
      <c r="M8291" s="21" t="n">
        <v>0</v>
      </c>
      <c r="N8291" s="21" t="n">
        <v>0</v>
      </c>
      <c r="O8291" s="21" t="n">
        <v>0</v>
      </c>
      <c r="P8291" s="21">
        <f>-$B$7050</f>
        <v/>
      </c>
      <c r="Q8291" s="21">
        <f>-$B$7051</f>
        <v/>
      </c>
      <c r="R8291" s="21">
        <f>2*$B$7050+$D$8272</f>
        <v/>
      </c>
      <c r="S8291" s="21">
        <f>0</f>
        <v/>
      </c>
      <c r="T8291" s="21">
        <f>-$B$7050</f>
        <v/>
      </c>
      <c r="U8291" s="21">
        <f>$B$7051</f>
        <v/>
      </c>
      <c r="V8291" s="21" t="n">
        <v>0</v>
      </c>
      <c r="W8291" s="21" t="n">
        <v>0</v>
      </c>
      <c r="X8291" s="21" t="n">
        <v>0</v>
      </c>
      <c r="Y8291" s="21" t="n">
        <v>0</v>
      </c>
      <c r="Z8291" s="19" t="n"/>
    </row>
    <row r="8292">
      <c r="D8292" s="21" t="n">
        <v>0</v>
      </c>
      <c r="E8292" s="21" t="n">
        <v>0</v>
      </c>
      <c r="F8292" s="21" t="n">
        <v>0</v>
      </c>
      <c r="G8292" s="21" t="n">
        <v>0</v>
      </c>
      <c r="H8292" s="21" t="n">
        <v>0</v>
      </c>
      <c r="I8292" s="21" t="n">
        <v>0</v>
      </c>
      <c r="J8292" s="21" t="n">
        <v>0</v>
      </c>
      <c r="K8292" s="21" t="n">
        <v>0</v>
      </c>
      <c r="L8292" s="21" t="n">
        <v>0</v>
      </c>
      <c r="M8292" s="21" t="n">
        <v>0</v>
      </c>
      <c r="N8292" s="21" t="n">
        <v>0</v>
      </c>
      <c r="O8292" s="21" t="n">
        <v>0</v>
      </c>
      <c r="P8292" s="21">
        <f>$B$7051</f>
        <v/>
      </c>
      <c r="Q8292" s="21">
        <f>$B$7053</f>
        <v/>
      </c>
      <c r="R8292" s="21">
        <f>0</f>
        <v/>
      </c>
      <c r="S8292" s="21">
        <f>2*$B$7052</f>
        <v/>
      </c>
      <c r="T8292" s="21">
        <f>-$B$7051</f>
        <v/>
      </c>
      <c r="U8292" s="21">
        <f>$B$7053</f>
        <v/>
      </c>
      <c r="V8292" s="21" t="n">
        <v>0</v>
      </c>
      <c r="W8292" s="21" t="n">
        <v>0</v>
      </c>
      <c r="X8292" s="21" t="n">
        <v>0</v>
      </c>
      <c r="Y8292" s="21" t="n">
        <v>0</v>
      </c>
      <c r="Z8292" s="19" t="n"/>
    </row>
    <row r="8293">
      <c r="D8293" s="21" t="n">
        <v>0</v>
      </c>
      <c r="E8293" s="21" t="n">
        <v>0</v>
      </c>
      <c r="F8293" s="21" t="n">
        <v>0</v>
      </c>
      <c r="G8293" s="21" t="n">
        <v>0</v>
      </c>
      <c r="H8293" s="21" t="n">
        <v>0</v>
      </c>
      <c r="I8293" s="21" t="n">
        <v>0</v>
      </c>
      <c r="J8293" s="21" t="n">
        <v>0</v>
      </c>
      <c r="K8293" s="21" t="n">
        <v>0</v>
      </c>
      <c r="L8293" s="21" t="n">
        <v>0</v>
      </c>
      <c r="M8293" s="21" t="n">
        <v>0</v>
      </c>
      <c r="N8293" s="21" t="n">
        <v>0</v>
      </c>
      <c r="O8293" s="21" t="n">
        <v>0</v>
      </c>
      <c r="P8293" s="21" t="n">
        <v>0</v>
      </c>
      <c r="Q8293" s="21" t="n">
        <v>0</v>
      </c>
      <c r="R8293" s="21">
        <f>-$B$7050</f>
        <v/>
      </c>
      <c r="S8293" s="21">
        <f>-$B$7051</f>
        <v/>
      </c>
      <c r="T8293" s="21">
        <f>2*$B$7050+$D$8273</f>
        <v/>
      </c>
      <c r="U8293" s="21">
        <f>0</f>
        <v/>
      </c>
      <c r="V8293" s="21">
        <f>-$B$7050</f>
        <v/>
      </c>
      <c r="W8293" s="21">
        <f>$B$7051</f>
        <v/>
      </c>
      <c r="X8293" s="21" t="n">
        <v>0</v>
      </c>
      <c r="Y8293" s="21" t="n">
        <v>0</v>
      </c>
      <c r="Z8293" s="19" t="n"/>
    </row>
    <row r="8294">
      <c r="D8294" s="21" t="n">
        <v>0</v>
      </c>
      <c r="E8294" s="21" t="n">
        <v>0</v>
      </c>
      <c r="F8294" s="21" t="n">
        <v>0</v>
      </c>
      <c r="G8294" s="21" t="n">
        <v>0</v>
      </c>
      <c r="H8294" s="21" t="n">
        <v>0</v>
      </c>
      <c r="I8294" s="21" t="n">
        <v>0</v>
      </c>
      <c r="J8294" s="21" t="n">
        <v>0</v>
      </c>
      <c r="K8294" s="21" t="n">
        <v>0</v>
      </c>
      <c r="L8294" s="21" t="n">
        <v>0</v>
      </c>
      <c r="M8294" s="21" t="n">
        <v>0</v>
      </c>
      <c r="N8294" s="21" t="n">
        <v>0</v>
      </c>
      <c r="O8294" s="21" t="n">
        <v>0</v>
      </c>
      <c r="P8294" s="21" t="n">
        <v>0</v>
      </c>
      <c r="Q8294" s="21" t="n">
        <v>0</v>
      </c>
      <c r="R8294" s="21">
        <f>$B$7051</f>
        <v/>
      </c>
      <c r="S8294" s="21">
        <f>$B$7053</f>
        <v/>
      </c>
      <c r="T8294" s="21">
        <f>0</f>
        <v/>
      </c>
      <c r="U8294" s="21">
        <f>2*$B$7052</f>
        <v/>
      </c>
      <c r="V8294" s="21">
        <f>-$B$7051</f>
        <v/>
      </c>
      <c r="W8294" s="21">
        <f>$B$7053</f>
        <v/>
      </c>
      <c r="X8294" s="21" t="n">
        <v>0</v>
      </c>
      <c r="Y8294" s="21" t="n">
        <v>0</v>
      </c>
      <c r="Z8294" s="19" t="n"/>
    </row>
    <row r="8295">
      <c r="D8295" s="21" t="n">
        <v>0</v>
      </c>
      <c r="E8295" s="21" t="n">
        <v>0</v>
      </c>
      <c r="F8295" s="21" t="n">
        <v>0</v>
      </c>
      <c r="G8295" s="21" t="n">
        <v>0</v>
      </c>
      <c r="H8295" s="21" t="n">
        <v>0</v>
      </c>
      <c r="I8295" s="21" t="n">
        <v>0</v>
      </c>
      <c r="J8295" s="21" t="n">
        <v>0</v>
      </c>
      <c r="K8295" s="21" t="n">
        <v>0</v>
      </c>
      <c r="L8295" s="21" t="n">
        <v>0</v>
      </c>
      <c r="M8295" s="21" t="n">
        <v>0</v>
      </c>
      <c r="N8295" s="21" t="n">
        <v>0</v>
      </c>
      <c r="O8295" s="21" t="n">
        <v>0</v>
      </c>
      <c r="P8295" s="21" t="n">
        <v>0</v>
      </c>
      <c r="Q8295" s="21" t="n">
        <v>0</v>
      </c>
      <c r="R8295" s="21" t="n">
        <v>0</v>
      </c>
      <c r="S8295" s="21" t="n">
        <v>0</v>
      </c>
      <c r="T8295" s="21">
        <f>-$B$7050</f>
        <v/>
      </c>
      <c r="U8295" s="21">
        <f>-$B$7051</f>
        <v/>
      </c>
      <c r="V8295" s="21">
        <f>2*$B$7050+$D$8274</f>
        <v/>
      </c>
      <c r="W8295" s="21">
        <f>0</f>
        <v/>
      </c>
      <c r="X8295" s="21">
        <f>-$B$7050</f>
        <v/>
      </c>
      <c r="Y8295" s="21">
        <f>$B$7051</f>
        <v/>
      </c>
      <c r="Z8295" s="19" t="n"/>
    </row>
    <row r="8296">
      <c r="D8296" s="21" t="n">
        <v>0</v>
      </c>
      <c r="E8296" s="21" t="n">
        <v>0</v>
      </c>
      <c r="F8296" s="21" t="n">
        <v>0</v>
      </c>
      <c r="G8296" s="21" t="n">
        <v>0</v>
      </c>
      <c r="H8296" s="21" t="n">
        <v>0</v>
      </c>
      <c r="I8296" s="21" t="n">
        <v>0</v>
      </c>
      <c r="J8296" s="21" t="n">
        <v>0</v>
      </c>
      <c r="K8296" s="21" t="n">
        <v>0</v>
      </c>
      <c r="L8296" s="21" t="n">
        <v>0</v>
      </c>
      <c r="M8296" s="21" t="n">
        <v>0</v>
      </c>
      <c r="N8296" s="21" t="n">
        <v>0</v>
      </c>
      <c r="O8296" s="21" t="n">
        <v>0</v>
      </c>
      <c r="P8296" s="21" t="n">
        <v>0</v>
      </c>
      <c r="Q8296" s="21" t="n">
        <v>0</v>
      </c>
      <c r="R8296" s="21" t="n">
        <v>0</v>
      </c>
      <c r="S8296" s="21" t="n">
        <v>0</v>
      </c>
      <c r="T8296" s="21">
        <f>$B$7051</f>
        <v/>
      </c>
      <c r="U8296" s="21">
        <f>$B$7053</f>
        <v/>
      </c>
      <c r="V8296" s="21">
        <f>0</f>
        <v/>
      </c>
      <c r="W8296" s="21">
        <f>2*$B$7052</f>
        <v/>
      </c>
      <c r="X8296" s="21">
        <f>-$B$7051</f>
        <v/>
      </c>
      <c r="Y8296" s="21">
        <f>$B$7053</f>
        <v/>
      </c>
      <c r="Z8296" s="19" t="n"/>
    </row>
    <row r="8297">
      <c r="D8297" s="21" t="n">
        <v>0</v>
      </c>
      <c r="E8297" s="21" t="n">
        <v>0</v>
      </c>
      <c r="F8297" s="21" t="n">
        <v>0</v>
      </c>
      <c r="G8297" s="21" t="n">
        <v>0</v>
      </c>
      <c r="H8297" s="21" t="n">
        <v>0</v>
      </c>
      <c r="I8297" s="21" t="n">
        <v>0</v>
      </c>
      <c r="J8297" s="21" t="n">
        <v>0</v>
      </c>
      <c r="K8297" s="21" t="n">
        <v>0</v>
      </c>
      <c r="L8297" s="21" t="n">
        <v>0</v>
      </c>
      <c r="M8297" s="21" t="n">
        <v>0</v>
      </c>
      <c r="N8297" s="21" t="n">
        <v>0</v>
      </c>
      <c r="O8297" s="21" t="n">
        <v>0</v>
      </c>
      <c r="P8297" s="21" t="n">
        <v>0</v>
      </c>
      <c r="Q8297" s="21" t="n">
        <v>0</v>
      </c>
      <c r="R8297" s="21" t="n">
        <v>0</v>
      </c>
      <c r="S8297" s="21" t="n">
        <v>0</v>
      </c>
      <c r="T8297" s="21" t="n">
        <v>0</v>
      </c>
      <c r="U8297" s="21" t="n">
        <v>0</v>
      </c>
      <c r="V8297" s="21">
        <f>-$B$7050</f>
        <v/>
      </c>
      <c r="W8297" s="21">
        <f>-$B$7051</f>
        <v/>
      </c>
      <c r="X8297" s="21">
        <f>$B$7050+$D$8275</f>
        <v/>
      </c>
      <c r="Y8297" s="21">
        <f>-$B$7051</f>
        <v/>
      </c>
      <c r="Z8297" s="19" t="n"/>
    </row>
    <row r="8298">
      <c r="D8298" s="21" t="n">
        <v>0</v>
      </c>
      <c r="E8298" s="21" t="n">
        <v>0</v>
      </c>
      <c r="F8298" s="21" t="n">
        <v>0</v>
      </c>
      <c r="G8298" s="21" t="n">
        <v>0</v>
      </c>
      <c r="H8298" s="21" t="n">
        <v>0</v>
      </c>
      <c r="I8298" s="21" t="n">
        <v>0</v>
      </c>
      <c r="J8298" s="21" t="n">
        <v>0</v>
      </c>
      <c r="K8298" s="21" t="n">
        <v>0</v>
      </c>
      <c r="L8298" s="21" t="n">
        <v>0</v>
      </c>
      <c r="M8298" s="21" t="n">
        <v>0</v>
      </c>
      <c r="N8298" s="21" t="n">
        <v>0</v>
      </c>
      <c r="O8298" s="21" t="n">
        <v>0</v>
      </c>
      <c r="P8298" s="21" t="n">
        <v>0</v>
      </c>
      <c r="Q8298" s="21" t="n">
        <v>0</v>
      </c>
      <c r="R8298" s="21" t="n">
        <v>0</v>
      </c>
      <c r="S8298" s="21" t="n">
        <v>0</v>
      </c>
      <c r="T8298" s="21" t="n">
        <v>0</v>
      </c>
      <c r="U8298" s="21" t="n">
        <v>0</v>
      </c>
      <c r="V8298" s="21">
        <f>$B$7051</f>
        <v/>
      </c>
      <c r="W8298" s="21">
        <f>$B$7053</f>
        <v/>
      </c>
      <c r="X8298" s="21">
        <f>-$B$7051</f>
        <v/>
      </c>
      <c r="Y8298" s="21">
        <f>$B$7052</f>
        <v/>
      </c>
      <c r="Z8298" s="19" t="n"/>
    </row>
    <row r="8300">
      <c r="A8300" s="8" t="inlineStr">
        <is>
          <t>gen 34</t>
        </is>
      </c>
    </row>
    <row r="8301">
      <c r="D8301" s="19">
        <f>IF(ABS(IF(ABS($E$8265)&gt;0.000000001,$E$8265,0.000000001))=0,0,IF($E$7065&lt;=$B$7059,0,IF(ABS(IF(ABS($E$8265)&gt;0.000000001,$E$8265,0.000000001))&gt;=8*$B$7061,$H$7065,0.5*$H$7065*(ABS(IF(ABS($E$8265)&gt;0.000000001,$E$8265,0.000000001))/$B$7061)^(1/3)))/ABS(IF(ABS($E$8265)&gt;0.000000001,$E$8265,0.000000001))*$I$7065)</f>
        <v/>
      </c>
      <c r="E8301" s="19">
        <f>0.5*$E$8265+0.5*$Z$8313</f>
        <v/>
      </c>
      <c r="F8301" s="19">
        <f>$Z$8314</f>
        <v/>
      </c>
    </row>
    <row r="8302">
      <c r="D8302" s="19">
        <f>IF(ABS(IF(ABS($E$8266)&gt;0.000000001,$E$8266,0.000000001))=0,0,IF($E$7066&lt;=$B$7059,0,IF(ABS(IF(ABS($E$8266)&gt;0.000000001,$E$8266,0.000000001))&gt;=8*$B$7061,$H$7066,0.5*$H$7066*(ABS(IF(ABS($E$8266)&gt;0.000000001,$E$8266,0.000000001))/$B$7061)^(1/3)))/ABS(IF(ABS($E$8266)&gt;0.000000001,$E$8266,0.000000001))*$I$7066)</f>
        <v/>
      </c>
      <c r="E8302" s="19">
        <f>0.5*$E$8266+0.5*$Z$8315</f>
        <v/>
      </c>
      <c r="F8302" s="19">
        <f>$Z$8316</f>
        <v/>
      </c>
    </row>
    <row r="8303">
      <c r="D8303" s="19">
        <f>IF(ABS(IF(ABS($E$8267)&gt;0.000000001,$E$8267,0.000000001))=0,0,IF($E$7067&lt;=$B$7059,0,IF(ABS(IF(ABS($E$8267)&gt;0.000000001,$E$8267,0.000000001))&gt;=8*$B$7061,$H$7067,0.5*$H$7067*(ABS(IF(ABS($E$8267)&gt;0.000000001,$E$8267,0.000000001))/$B$7061)^(1/3)))/ABS(IF(ABS($E$8267)&gt;0.000000001,$E$8267,0.000000001))*$I$7067)</f>
        <v/>
      </c>
      <c r="E8303" s="19">
        <f>0.5*$E$8267+0.5*$Z$8317</f>
        <v/>
      </c>
      <c r="F8303" s="19">
        <f>$Z$8318</f>
        <v/>
      </c>
    </row>
    <row r="8304">
      <c r="D8304" s="19">
        <f>IF(ABS(IF(ABS($E$8268)&gt;0.000000001,$E$8268,0.000000001))=0,0,IF($E$7068&lt;=$B$7059,0,IF(ABS(IF(ABS($E$8268)&gt;0.000000001,$E$8268,0.000000001))&gt;=8*$B$7061,$H$7068,0.5*$H$7068*(ABS(IF(ABS($E$8268)&gt;0.000000001,$E$8268,0.000000001))/$B$7061)^(1/3)))/ABS(IF(ABS($E$8268)&gt;0.000000001,$E$8268,0.000000001))*$I$7068)</f>
        <v/>
      </c>
      <c r="E8304" s="19">
        <f>0.5*$E$8268+0.5*$Z$8319</f>
        <v/>
      </c>
      <c r="F8304" s="19">
        <f>$Z$8320</f>
        <v/>
      </c>
    </row>
    <row r="8305">
      <c r="D8305" s="19">
        <f>IF(ABS(IF(ABS($E$8269)&gt;0.000000001,$E$8269,0.000000001))=0,0,IF($E$7069&lt;=$B$7059,0,IF(ABS(IF(ABS($E$8269)&gt;0.000000001,$E$8269,0.000000001))&gt;=8*$B$7061,$H$7069,0.5*$H$7069*(ABS(IF(ABS($E$8269)&gt;0.000000001,$E$8269,0.000000001))/$B$7061)^(1/3)))/ABS(IF(ABS($E$8269)&gt;0.000000001,$E$8269,0.000000001))*$I$7069)</f>
        <v/>
      </c>
      <c r="E8305" s="19">
        <f>0.5*$E$8269+0.5*$Z$8321</f>
        <v/>
      </c>
      <c r="F8305" s="19">
        <f>$Z$8322</f>
        <v/>
      </c>
    </row>
    <row r="8306">
      <c r="D8306" s="19">
        <f>IF(ABS(IF(ABS($E$8270)&gt;0.000000001,$E$8270,0.000000001))=0,0,IF($E$7070&lt;=$B$7059,0,IF(ABS(IF(ABS($E$8270)&gt;0.000000001,$E$8270,0.000000001))&gt;=8*$B$7061,$H$7070,0.5*$H$7070*(ABS(IF(ABS($E$8270)&gt;0.000000001,$E$8270,0.000000001))/$B$7061)^(1/3)))/ABS(IF(ABS($E$8270)&gt;0.000000001,$E$8270,0.000000001))*$I$7070)</f>
        <v/>
      </c>
      <c r="E8306" s="19">
        <f>0.5*$E$8270+0.5*$Z$8323</f>
        <v/>
      </c>
      <c r="F8306" s="19">
        <f>$Z$8324</f>
        <v/>
      </c>
    </row>
    <row r="8307">
      <c r="D8307" s="19">
        <f>IF(ABS(IF(ABS($E$8271)&gt;0.000000001,$E$8271,0.000000001))=0,0,IF($E$7071&lt;=$B$7059,0,IF(ABS(IF(ABS($E$8271)&gt;0.000000001,$E$8271,0.000000001))&gt;=8*$B$7061,$H$7071,0.5*$H$7071*(ABS(IF(ABS($E$8271)&gt;0.000000001,$E$8271,0.000000001))/$B$7061)^(1/3)))/ABS(IF(ABS($E$8271)&gt;0.000000001,$E$8271,0.000000001))*$I$7071)</f>
        <v/>
      </c>
      <c r="E8307" s="19">
        <f>0.5*$E$8271+0.5*$Z$8325</f>
        <v/>
      </c>
      <c r="F8307" s="19">
        <f>$Z$8326</f>
        <v/>
      </c>
    </row>
    <row r="8308">
      <c r="D8308" s="19">
        <f>IF(ABS(IF(ABS($E$8272)&gt;0.000000001,$E$8272,0.000000001))=0,0,IF($E$7072&lt;=$B$7059,0,IF(ABS(IF(ABS($E$8272)&gt;0.000000001,$E$8272,0.000000001))&gt;=8*$B$7061,$H$7072,0.5*$H$7072*(ABS(IF(ABS($E$8272)&gt;0.000000001,$E$8272,0.000000001))/$B$7061)^(1/3)))/ABS(IF(ABS($E$8272)&gt;0.000000001,$E$8272,0.000000001))*$I$7072)</f>
        <v/>
      </c>
      <c r="E8308" s="19">
        <f>0.5*$E$8272+0.5*$Z$8327</f>
        <v/>
      </c>
      <c r="F8308" s="19">
        <f>$Z$8328</f>
        <v/>
      </c>
    </row>
    <row r="8309">
      <c r="D8309" s="19">
        <f>IF(ABS(IF(ABS($E$8273)&gt;0.000000001,$E$8273,0.000000001))=0,0,IF($E$7073&lt;=$B$7059,0,IF(ABS(IF(ABS($E$8273)&gt;0.000000001,$E$8273,0.000000001))&gt;=8*$B$7061,$H$7073,0.5*$H$7073*(ABS(IF(ABS($E$8273)&gt;0.000000001,$E$8273,0.000000001))/$B$7061)^(1/3)))/ABS(IF(ABS($E$8273)&gt;0.000000001,$E$8273,0.000000001))*$I$7073)</f>
        <v/>
      </c>
      <c r="E8309" s="19">
        <f>0.5*$E$8273+0.5*$Z$8329</f>
        <v/>
      </c>
      <c r="F8309" s="19">
        <f>$Z$8330</f>
        <v/>
      </c>
    </row>
    <row r="8310">
      <c r="D8310" s="19">
        <f>IF(ABS(IF(ABS($E$8274)&gt;0.000000001,$E$8274,0.000000001))=0,0,IF($E$7074&lt;=$B$7059,0,IF(ABS(IF(ABS($E$8274)&gt;0.000000001,$E$8274,0.000000001))&gt;=8*$B$7061,$H$7074,0.5*$H$7074*(ABS(IF(ABS($E$8274)&gt;0.000000001,$E$8274,0.000000001))/$B$7061)^(1/3)))/ABS(IF(ABS($E$8274)&gt;0.000000001,$E$8274,0.000000001))*$I$7074)</f>
        <v/>
      </c>
      <c r="E8310" s="19">
        <f>0.5*$E$8274+0.5*$Z$8331</f>
        <v/>
      </c>
      <c r="F8310" s="19">
        <f>$Z$8332</f>
        <v/>
      </c>
    </row>
    <row r="8311">
      <c r="D8311" s="19">
        <f>IF(ABS(IF(ABS($E$8275)&gt;0.000000001,$E$8275,0.000000001))=0,0,IF($E$7075&lt;=$B$7059,0,IF(ABS(IF(ABS($E$8275)&gt;0.000000001,$E$8275,0.000000001))&gt;=8*$B$7061,$H$7075,0.5*$H$7075*(ABS(IF(ABS($E$8275)&gt;0.000000001,$E$8275,0.000000001))/$B$7061)^(1/3)))/ABS(IF(ABS($E$8275)&gt;0.000000001,$E$8275,0.000000001))*$I$7075)</f>
        <v/>
      </c>
      <c r="E8311" s="19">
        <f>0.5*$E$8275+0.5*$Z$8333</f>
        <v/>
      </c>
      <c r="F8311" s="19">
        <f>$Z$8334</f>
        <v/>
      </c>
    </row>
    <row r="8313">
      <c r="D8313" s="21">
        <f>$B$7050+$D$8301</f>
        <v/>
      </c>
      <c r="E8313" s="21">
        <f>$B$7051</f>
        <v/>
      </c>
      <c r="F8313" s="21">
        <f>-$B$7050</f>
        <v/>
      </c>
      <c r="G8313" s="21">
        <f>$B$7051</f>
        <v/>
      </c>
      <c r="H8313" s="21" t="n">
        <v>0</v>
      </c>
      <c r="I8313" s="21" t="n">
        <v>0</v>
      </c>
      <c r="J8313" s="21" t="n">
        <v>0</v>
      </c>
      <c r="K8313" s="21" t="n">
        <v>0</v>
      </c>
      <c r="L8313" s="21" t="n">
        <v>0</v>
      </c>
      <c r="M8313" s="21" t="n">
        <v>0</v>
      </c>
      <c r="N8313" s="21" t="n">
        <v>0</v>
      </c>
      <c r="O8313" s="21" t="n">
        <v>0</v>
      </c>
      <c r="P8313" s="21" t="n">
        <v>0</v>
      </c>
      <c r="Q8313" s="21" t="n">
        <v>0</v>
      </c>
      <c r="R8313" s="21" t="n">
        <v>0</v>
      </c>
      <c r="S8313" s="21" t="n">
        <v>0</v>
      </c>
      <c r="T8313" s="21" t="n">
        <v>0</v>
      </c>
      <c r="U8313" s="21" t="n">
        <v>0</v>
      </c>
      <c r="V8313" s="21" t="n">
        <v>0</v>
      </c>
      <c r="W8313" s="21" t="n">
        <v>0</v>
      </c>
      <c r="X8313" s="21" t="n">
        <v>0</v>
      </c>
      <c r="Y8313" s="21" t="n">
        <v>0</v>
      </c>
      <c r="Z8313" s="19">
        <f t="array" ref="Z8313:Z8334">MMULT(MINVERSE($D$8313:$Y$8334),$D$7077:$D$7098)</f>
        <v/>
      </c>
    </row>
    <row r="8314">
      <c r="D8314" s="21">
        <f>$B$7051</f>
        <v/>
      </c>
      <c r="E8314" s="21">
        <f>$B$7052</f>
        <v/>
      </c>
      <c r="F8314" s="21">
        <f>-$B$7051</f>
        <v/>
      </c>
      <c r="G8314" s="21">
        <f>$B$7053</f>
        <v/>
      </c>
      <c r="H8314" s="21" t="n">
        <v>0</v>
      </c>
      <c r="I8314" s="21" t="n">
        <v>0</v>
      </c>
      <c r="J8314" s="21" t="n">
        <v>0</v>
      </c>
      <c r="K8314" s="21" t="n">
        <v>0</v>
      </c>
      <c r="L8314" s="21" t="n">
        <v>0</v>
      </c>
      <c r="M8314" s="21" t="n">
        <v>0</v>
      </c>
      <c r="N8314" s="21" t="n">
        <v>0</v>
      </c>
      <c r="O8314" s="21" t="n">
        <v>0</v>
      </c>
      <c r="P8314" s="21" t="n">
        <v>0</v>
      </c>
      <c r="Q8314" s="21" t="n">
        <v>0</v>
      </c>
      <c r="R8314" s="21" t="n">
        <v>0</v>
      </c>
      <c r="S8314" s="21" t="n">
        <v>0</v>
      </c>
      <c r="T8314" s="21" t="n">
        <v>0</v>
      </c>
      <c r="U8314" s="21" t="n">
        <v>0</v>
      </c>
      <c r="V8314" s="21" t="n">
        <v>0</v>
      </c>
      <c r="W8314" s="21" t="n">
        <v>0</v>
      </c>
      <c r="X8314" s="21" t="n">
        <v>0</v>
      </c>
      <c r="Y8314" s="21" t="n">
        <v>0</v>
      </c>
      <c r="Z8314" s="19" t="n"/>
    </row>
    <row r="8315">
      <c r="D8315" s="21">
        <f>-$B$7050</f>
        <v/>
      </c>
      <c r="E8315" s="21">
        <f>-$B$7051</f>
        <v/>
      </c>
      <c r="F8315" s="21">
        <f>2*$B$7050+$D$8302</f>
        <v/>
      </c>
      <c r="G8315" s="21">
        <f>0</f>
        <v/>
      </c>
      <c r="H8315" s="21">
        <f>-$B$7050</f>
        <v/>
      </c>
      <c r="I8315" s="21">
        <f>$B$7051</f>
        <v/>
      </c>
      <c r="J8315" s="21" t="n">
        <v>0</v>
      </c>
      <c r="K8315" s="21" t="n">
        <v>0</v>
      </c>
      <c r="L8315" s="21" t="n">
        <v>0</v>
      </c>
      <c r="M8315" s="21" t="n">
        <v>0</v>
      </c>
      <c r="N8315" s="21" t="n">
        <v>0</v>
      </c>
      <c r="O8315" s="21" t="n">
        <v>0</v>
      </c>
      <c r="P8315" s="21" t="n">
        <v>0</v>
      </c>
      <c r="Q8315" s="21" t="n">
        <v>0</v>
      </c>
      <c r="R8315" s="21" t="n">
        <v>0</v>
      </c>
      <c r="S8315" s="21" t="n">
        <v>0</v>
      </c>
      <c r="T8315" s="21" t="n">
        <v>0</v>
      </c>
      <c r="U8315" s="21" t="n">
        <v>0</v>
      </c>
      <c r="V8315" s="21" t="n">
        <v>0</v>
      </c>
      <c r="W8315" s="21" t="n">
        <v>0</v>
      </c>
      <c r="X8315" s="21" t="n">
        <v>0</v>
      </c>
      <c r="Y8315" s="21" t="n">
        <v>0</v>
      </c>
      <c r="Z8315" s="19" t="n"/>
    </row>
    <row r="8316">
      <c r="D8316" s="21">
        <f>$B$7051</f>
        <v/>
      </c>
      <c r="E8316" s="21">
        <f>$B$7053</f>
        <v/>
      </c>
      <c r="F8316" s="21">
        <f>0</f>
        <v/>
      </c>
      <c r="G8316" s="21">
        <f>2*$B$7052</f>
        <v/>
      </c>
      <c r="H8316" s="21">
        <f>-$B$7051</f>
        <v/>
      </c>
      <c r="I8316" s="21">
        <f>$B$7053</f>
        <v/>
      </c>
      <c r="J8316" s="21" t="n">
        <v>0</v>
      </c>
      <c r="K8316" s="21" t="n">
        <v>0</v>
      </c>
      <c r="L8316" s="21" t="n">
        <v>0</v>
      </c>
      <c r="M8316" s="21" t="n">
        <v>0</v>
      </c>
      <c r="N8316" s="21" t="n">
        <v>0</v>
      </c>
      <c r="O8316" s="21" t="n">
        <v>0</v>
      </c>
      <c r="P8316" s="21" t="n">
        <v>0</v>
      </c>
      <c r="Q8316" s="21" t="n">
        <v>0</v>
      </c>
      <c r="R8316" s="21" t="n">
        <v>0</v>
      </c>
      <c r="S8316" s="21" t="n">
        <v>0</v>
      </c>
      <c r="T8316" s="21" t="n">
        <v>0</v>
      </c>
      <c r="U8316" s="21" t="n">
        <v>0</v>
      </c>
      <c r="V8316" s="21" t="n">
        <v>0</v>
      </c>
      <c r="W8316" s="21" t="n">
        <v>0</v>
      </c>
      <c r="X8316" s="21" t="n">
        <v>0</v>
      </c>
      <c r="Y8316" s="21" t="n">
        <v>0</v>
      </c>
      <c r="Z8316" s="19" t="n"/>
    </row>
    <row r="8317">
      <c r="D8317" s="21" t="n">
        <v>0</v>
      </c>
      <c r="E8317" s="21" t="n">
        <v>0</v>
      </c>
      <c r="F8317" s="21">
        <f>-$B$7050</f>
        <v/>
      </c>
      <c r="G8317" s="21">
        <f>-$B$7051</f>
        <v/>
      </c>
      <c r="H8317" s="21">
        <f>2*$B$7050+$D$8303</f>
        <v/>
      </c>
      <c r="I8317" s="21">
        <f>0</f>
        <v/>
      </c>
      <c r="J8317" s="21">
        <f>-$B$7050</f>
        <v/>
      </c>
      <c r="K8317" s="21">
        <f>$B$7051</f>
        <v/>
      </c>
      <c r="L8317" s="21" t="n">
        <v>0</v>
      </c>
      <c r="M8317" s="21" t="n">
        <v>0</v>
      </c>
      <c r="N8317" s="21" t="n">
        <v>0</v>
      </c>
      <c r="O8317" s="21" t="n">
        <v>0</v>
      </c>
      <c r="P8317" s="21" t="n">
        <v>0</v>
      </c>
      <c r="Q8317" s="21" t="n">
        <v>0</v>
      </c>
      <c r="R8317" s="21" t="n">
        <v>0</v>
      </c>
      <c r="S8317" s="21" t="n">
        <v>0</v>
      </c>
      <c r="T8317" s="21" t="n">
        <v>0</v>
      </c>
      <c r="U8317" s="21" t="n">
        <v>0</v>
      </c>
      <c r="V8317" s="21" t="n">
        <v>0</v>
      </c>
      <c r="W8317" s="21" t="n">
        <v>0</v>
      </c>
      <c r="X8317" s="21" t="n">
        <v>0</v>
      </c>
      <c r="Y8317" s="21" t="n">
        <v>0</v>
      </c>
      <c r="Z8317" s="19" t="n"/>
    </row>
    <row r="8318">
      <c r="D8318" s="21" t="n">
        <v>0</v>
      </c>
      <c r="E8318" s="21" t="n">
        <v>0</v>
      </c>
      <c r="F8318" s="21">
        <f>$B$7051</f>
        <v/>
      </c>
      <c r="G8318" s="21">
        <f>$B$7053</f>
        <v/>
      </c>
      <c r="H8318" s="21">
        <f>0</f>
        <v/>
      </c>
      <c r="I8318" s="21">
        <f>2*$B$7052</f>
        <v/>
      </c>
      <c r="J8318" s="21">
        <f>-$B$7051</f>
        <v/>
      </c>
      <c r="K8318" s="21">
        <f>$B$7053</f>
        <v/>
      </c>
      <c r="L8318" s="21" t="n">
        <v>0</v>
      </c>
      <c r="M8318" s="21" t="n">
        <v>0</v>
      </c>
      <c r="N8318" s="21" t="n">
        <v>0</v>
      </c>
      <c r="O8318" s="21" t="n">
        <v>0</v>
      </c>
      <c r="P8318" s="21" t="n">
        <v>0</v>
      </c>
      <c r="Q8318" s="21" t="n">
        <v>0</v>
      </c>
      <c r="R8318" s="21" t="n">
        <v>0</v>
      </c>
      <c r="S8318" s="21" t="n">
        <v>0</v>
      </c>
      <c r="T8318" s="21" t="n">
        <v>0</v>
      </c>
      <c r="U8318" s="21" t="n">
        <v>0</v>
      </c>
      <c r="V8318" s="21" t="n">
        <v>0</v>
      </c>
      <c r="W8318" s="21" t="n">
        <v>0</v>
      </c>
      <c r="X8318" s="21" t="n">
        <v>0</v>
      </c>
      <c r="Y8318" s="21" t="n">
        <v>0</v>
      </c>
      <c r="Z8318" s="19" t="n"/>
    </row>
    <row r="8319">
      <c r="D8319" s="21" t="n">
        <v>0</v>
      </c>
      <c r="E8319" s="21" t="n">
        <v>0</v>
      </c>
      <c r="F8319" s="21" t="n">
        <v>0</v>
      </c>
      <c r="G8319" s="21" t="n">
        <v>0</v>
      </c>
      <c r="H8319" s="21">
        <f>-$B$7050</f>
        <v/>
      </c>
      <c r="I8319" s="21">
        <f>-$B$7051</f>
        <v/>
      </c>
      <c r="J8319" s="21">
        <f>2*$B$7050+$D$8304</f>
        <v/>
      </c>
      <c r="K8319" s="21">
        <f>0</f>
        <v/>
      </c>
      <c r="L8319" s="21">
        <f>-$B$7050</f>
        <v/>
      </c>
      <c r="M8319" s="21">
        <f>$B$7051</f>
        <v/>
      </c>
      <c r="N8319" s="21" t="n">
        <v>0</v>
      </c>
      <c r="O8319" s="21" t="n">
        <v>0</v>
      </c>
      <c r="P8319" s="21" t="n">
        <v>0</v>
      </c>
      <c r="Q8319" s="21" t="n">
        <v>0</v>
      </c>
      <c r="R8319" s="21" t="n">
        <v>0</v>
      </c>
      <c r="S8319" s="21" t="n">
        <v>0</v>
      </c>
      <c r="T8319" s="21" t="n">
        <v>0</v>
      </c>
      <c r="U8319" s="21" t="n">
        <v>0</v>
      </c>
      <c r="V8319" s="21" t="n">
        <v>0</v>
      </c>
      <c r="W8319" s="21" t="n">
        <v>0</v>
      </c>
      <c r="X8319" s="21" t="n">
        <v>0</v>
      </c>
      <c r="Y8319" s="21" t="n">
        <v>0</v>
      </c>
      <c r="Z8319" s="19" t="n"/>
    </row>
    <row r="8320">
      <c r="D8320" s="21" t="n">
        <v>0</v>
      </c>
      <c r="E8320" s="21" t="n">
        <v>0</v>
      </c>
      <c r="F8320" s="21" t="n">
        <v>0</v>
      </c>
      <c r="G8320" s="21" t="n">
        <v>0</v>
      </c>
      <c r="H8320" s="21">
        <f>$B$7051</f>
        <v/>
      </c>
      <c r="I8320" s="21">
        <f>$B$7053</f>
        <v/>
      </c>
      <c r="J8320" s="21">
        <f>0</f>
        <v/>
      </c>
      <c r="K8320" s="21">
        <f>2*$B$7052</f>
        <v/>
      </c>
      <c r="L8320" s="21">
        <f>-$B$7051</f>
        <v/>
      </c>
      <c r="M8320" s="21">
        <f>$B$7053</f>
        <v/>
      </c>
      <c r="N8320" s="21" t="n">
        <v>0</v>
      </c>
      <c r="O8320" s="21" t="n">
        <v>0</v>
      </c>
      <c r="P8320" s="21" t="n">
        <v>0</v>
      </c>
      <c r="Q8320" s="21" t="n">
        <v>0</v>
      </c>
      <c r="R8320" s="21" t="n">
        <v>0</v>
      </c>
      <c r="S8320" s="21" t="n">
        <v>0</v>
      </c>
      <c r="T8320" s="21" t="n">
        <v>0</v>
      </c>
      <c r="U8320" s="21" t="n">
        <v>0</v>
      </c>
      <c r="V8320" s="21" t="n">
        <v>0</v>
      </c>
      <c r="W8320" s="21" t="n">
        <v>0</v>
      </c>
      <c r="X8320" s="21" t="n">
        <v>0</v>
      </c>
      <c r="Y8320" s="21" t="n">
        <v>0</v>
      </c>
      <c r="Z8320" s="19" t="n"/>
    </row>
    <row r="8321">
      <c r="D8321" s="21" t="n">
        <v>0</v>
      </c>
      <c r="E8321" s="21" t="n">
        <v>0</v>
      </c>
      <c r="F8321" s="21" t="n">
        <v>0</v>
      </c>
      <c r="G8321" s="21" t="n">
        <v>0</v>
      </c>
      <c r="H8321" s="21" t="n">
        <v>0</v>
      </c>
      <c r="I8321" s="21" t="n">
        <v>0</v>
      </c>
      <c r="J8321" s="21">
        <f>-$B$7050</f>
        <v/>
      </c>
      <c r="K8321" s="21">
        <f>-$B$7051</f>
        <v/>
      </c>
      <c r="L8321" s="21">
        <f>2*$B$7050+$D$8305</f>
        <v/>
      </c>
      <c r="M8321" s="21">
        <f>0</f>
        <v/>
      </c>
      <c r="N8321" s="21">
        <f>-$B$7050</f>
        <v/>
      </c>
      <c r="O8321" s="21">
        <f>$B$7051</f>
        <v/>
      </c>
      <c r="P8321" s="21" t="n">
        <v>0</v>
      </c>
      <c r="Q8321" s="21" t="n">
        <v>0</v>
      </c>
      <c r="R8321" s="21" t="n">
        <v>0</v>
      </c>
      <c r="S8321" s="21" t="n">
        <v>0</v>
      </c>
      <c r="T8321" s="21" t="n">
        <v>0</v>
      </c>
      <c r="U8321" s="21" t="n">
        <v>0</v>
      </c>
      <c r="V8321" s="21" t="n">
        <v>0</v>
      </c>
      <c r="W8321" s="21" t="n">
        <v>0</v>
      </c>
      <c r="X8321" s="21" t="n">
        <v>0</v>
      </c>
      <c r="Y8321" s="21" t="n">
        <v>0</v>
      </c>
      <c r="Z8321" s="19" t="n"/>
    </row>
    <row r="8322">
      <c r="D8322" s="21" t="n">
        <v>0</v>
      </c>
      <c r="E8322" s="21" t="n">
        <v>0</v>
      </c>
      <c r="F8322" s="21" t="n">
        <v>0</v>
      </c>
      <c r="G8322" s="21" t="n">
        <v>0</v>
      </c>
      <c r="H8322" s="21" t="n">
        <v>0</v>
      </c>
      <c r="I8322" s="21" t="n">
        <v>0</v>
      </c>
      <c r="J8322" s="21">
        <f>$B$7051</f>
        <v/>
      </c>
      <c r="K8322" s="21">
        <f>$B$7053</f>
        <v/>
      </c>
      <c r="L8322" s="21">
        <f>0</f>
        <v/>
      </c>
      <c r="M8322" s="21">
        <f>2*$B$7052</f>
        <v/>
      </c>
      <c r="N8322" s="21">
        <f>-$B$7051</f>
        <v/>
      </c>
      <c r="O8322" s="21">
        <f>$B$7053</f>
        <v/>
      </c>
      <c r="P8322" s="21" t="n">
        <v>0</v>
      </c>
      <c r="Q8322" s="21" t="n">
        <v>0</v>
      </c>
      <c r="R8322" s="21" t="n">
        <v>0</v>
      </c>
      <c r="S8322" s="21" t="n">
        <v>0</v>
      </c>
      <c r="T8322" s="21" t="n">
        <v>0</v>
      </c>
      <c r="U8322" s="21" t="n">
        <v>0</v>
      </c>
      <c r="V8322" s="21" t="n">
        <v>0</v>
      </c>
      <c r="W8322" s="21" t="n">
        <v>0</v>
      </c>
      <c r="X8322" s="21" t="n">
        <v>0</v>
      </c>
      <c r="Y8322" s="21" t="n">
        <v>0</v>
      </c>
      <c r="Z8322" s="19" t="n"/>
    </row>
    <row r="8323">
      <c r="D8323" s="21" t="n">
        <v>0</v>
      </c>
      <c r="E8323" s="21" t="n">
        <v>0</v>
      </c>
      <c r="F8323" s="21" t="n">
        <v>0</v>
      </c>
      <c r="G8323" s="21" t="n">
        <v>0</v>
      </c>
      <c r="H8323" s="21" t="n">
        <v>0</v>
      </c>
      <c r="I8323" s="21" t="n">
        <v>0</v>
      </c>
      <c r="J8323" s="21" t="n">
        <v>0</v>
      </c>
      <c r="K8323" s="21" t="n">
        <v>0</v>
      </c>
      <c r="L8323" s="21">
        <f>-$B$7050</f>
        <v/>
      </c>
      <c r="M8323" s="21">
        <f>-$B$7051</f>
        <v/>
      </c>
      <c r="N8323" s="21">
        <f>2*$B$7050+$D$8306</f>
        <v/>
      </c>
      <c r="O8323" s="21">
        <f>0</f>
        <v/>
      </c>
      <c r="P8323" s="21">
        <f>-$B$7050</f>
        <v/>
      </c>
      <c r="Q8323" s="21">
        <f>$B$7051</f>
        <v/>
      </c>
      <c r="R8323" s="21" t="n">
        <v>0</v>
      </c>
      <c r="S8323" s="21" t="n">
        <v>0</v>
      </c>
      <c r="T8323" s="21" t="n">
        <v>0</v>
      </c>
      <c r="U8323" s="21" t="n">
        <v>0</v>
      </c>
      <c r="V8323" s="21" t="n">
        <v>0</v>
      </c>
      <c r="W8323" s="21" t="n">
        <v>0</v>
      </c>
      <c r="X8323" s="21" t="n">
        <v>0</v>
      </c>
      <c r="Y8323" s="21" t="n">
        <v>0</v>
      </c>
      <c r="Z8323" s="19" t="n"/>
    </row>
    <row r="8324">
      <c r="D8324" s="21" t="n">
        <v>0</v>
      </c>
      <c r="E8324" s="21" t="n">
        <v>0</v>
      </c>
      <c r="F8324" s="21" t="n">
        <v>0</v>
      </c>
      <c r="G8324" s="21" t="n">
        <v>0</v>
      </c>
      <c r="H8324" s="21" t="n">
        <v>0</v>
      </c>
      <c r="I8324" s="21" t="n">
        <v>0</v>
      </c>
      <c r="J8324" s="21" t="n">
        <v>0</v>
      </c>
      <c r="K8324" s="21" t="n">
        <v>0</v>
      </c>
      <c r="L8324" s="21">
        <f>$B$7051</f>
        <v/>
      </c>
      <c r="M8324" s="21">
        <f>$B$7053</f>
        <v/>
      </c>
      <c r="N8324" s="21">
        <f>0</f>
        <v/>
      </c>
      <c r="O8324" s="21">
        <f>2*$B$7052</f>
        <v/>
      </c>
      <c r="P8324" s="21">
        <f>-$B$7051</f>
        <v/>
      </c>
      <c r="Q8324" s="21">
        <f>$B$7053</f>
        <v/>
      </c>
      <c r="R8324" s="21" t="n">
        <v>0</v>
      </c>
      <c r="S8324" s="21" t="n">
        <v>0</v>
      </c>
      <c r="T8324" s="21" t="n">
        <v>0</v>
      </c>
      <c r="U8324" s="21" t="n">
        <v>0</v>
      </c>
      <c r="V8324" s="21" t="n">
        <v>0</v>
      </c>
      <c r="W8324" s="21" t="n">
        <v>0</v>
      </c>
      <c r="X8324" s="21" t="n">
        <v>0</v>
      </c>
      <c r="Y8324" s="21" t="n">
        <v>0</v>
      </c>
      <c r="Z8324" s="19" t="n"/>
    </row>
    <row r="8325">
      <c r="D8325" s="21" t="n">
        <v>0</v>
      </c>
      <c r="E8325" s="21" t="n">
        <v>0</v>
      </c>
      <c r="F8325" s="21" t="n">
        <v>0</v>
      </c>
      <c r="G8325" s="21" t="n">
        <v>0</v>
      </c>
      <c r="H8325" s="21" t="n">
        <v>0</v>
      </c>
      <c r="I8325" s="21" t="n">
        <v>0</v>
      </c>
      <c r="J8325" s="21" t="n">
        <v>0</v>
      </c>
      <c r="K8325" s="21" t="n">
        <v>0</v>
      </c>
      <c r="L8325" s="21" t="n">
        <v>0</v>
      </c>
      <c r="M8325" s="21" t="n">
        <v>0</v>
      </c>
      <c r="N8325" s="21">
        <f>-$B$7050</f>
        <v/>
      </c>
      <c r="O8325" s="21">
        <f>-$B$7051</f>
        <v/>
      </c>
      <c r="P8325" s="21">
        <f>2*$B$7050+$D$8307</f>
        <v/>
      </c>
      <c r="Q8325" s="21">
        <f>0</f>
        <v/>
      </c>
      <c r="R8325" s="21">
        <f>-$B$7050</f>
        <v/>
      </c>
      <c r="S8325" s="21">
        <f>$B$7051</f>
        <v/>
      </c>
      <c r="T8325" s="21" t="n">
        <v>0</v>
      </c>
      <c r="U8325" s="21" t="n">
        <v>0</v>
      </c>
      <c r="V8325" s="21" t="n">
        <v>0</v>
      </c>
      <c r="W8325" s="21" t="n">
        <v>0</v>
      </c>
      <c r="X8325" s="21" t="n">
        <v>0</v>
      </c>
      <c r="Y8325" s="21" t="n">
        <v>0</v>
      </c>
      <c r="Z8325" s="19" t="n"/>
    </row>
    <row r="8326">
      <c r="D8326" s="21" t="n">
        <v>0</v>
      </c>
      <c r="E8326" s="21" t="n">
        <v>0</v>
      </c>
      <c r="F8326" s="21" t="n">
        <v>0</v>
      </c>
      <c r="G8326" s="21" t="n">
        <v>0</v>
      </c>
      <c r="H8326" s="21" t="n">
        <v>0</v>
      </c>
      <c r="I8326" s="21" t="n">
        <v>0</v>
      </c>
      <c r="J8326" s="21" t="n">
        <v>0</v>
      </c>
      <c r="K8326" s="21" t="n">
        <v>0</v>
      </c>
      <c r="L8326" s="21" t="n">
        <v>0</v>
      </c>
      <c r="M8326" s="21" t="n">
        <v>0</v>
      </c>
      <c r="N8326" s="21">
        <f>$B$7051</f>
        <v/>
      </c>
      <c r="O8326" s="21">
        <f>$B$7053</f>
        <v/>
      </c>
      <c r="P8326" s="21">
        <f>0</f>
        <v/>
      </c>
      <c r="Q8326" s="21">
        <f>2*$B$7052</f>
        <v/>
      </c>
      <c r="R8326" s="21">
        <f>-$B$7051</f>
        <v/>
      </c>
      <c r="S8326" s="21">
        <f>$B$7053</f>
        <v/>
      </c>
      <c r="T8326" s="21" t="n">
        <v>0</v>
      </c>
      <c r="U8326" s="21" t="n">
        <v>0</v>
      </c>
      <c r="V8326" s="21" t="n">
        <v>0</v>
      </c>
      <c r="W8326" s="21" t="n">
        <v>0</v>
      </c>
      <c r="X8326" s="21" t="n">
        <v>0</v>
      </c>
      <c r="Y8326" s="21" t="n">
        <v>0</v>
      </c>
      <c r="Z8326" s="19" t="n"/>
    </row>
    <row r="8327">
      <c r="D8327" s="21" t="n">
        <v>0</v>
      </c>
      <c r="E8327" s="21" t="n">
        <v>0</v>
      </c>
      <c r="F8327" s="21" t="n">
        <v>0</v>
      </c>
      <c r="G8327" s="21" t="n">
        <v>0</v>
      </c>
      <c r="H8327" s="21" t="n">
        <v>0</v>
      </c>
      <c r="I8327" s="21" t="n">
        <v>0</v>
      </c>
      <c r="J8327" s="21" t="n">
        <v>0</v>
      </c>
      <c r="K8327" s="21" t="n">
        <v>0</v>
      </c>
      <c r="L8327" s="21" t="n">
        <v>0</v>
      </c>
      <c r="M8327" s="21" t="n">
        <v>0</v>
      </c>
      <c r="N8327" s="21" t="n">
        <v>0</v>
      </c>
      <c r="O8327" s="21" t="n">
        <v>0</v>
      </c>
      <c r="P8327" s="21">
        <f>-$B$7050</f>
        <v/>
      </c>
      <c r="Q8327" s="21">
        <f>-$B$7051</f>
        <v/>
      </c>
      <c r="R8327" s="21">
        <f>2*$B$7050+$D$8308</f>
        <v/>
      </c>
      <c r="S8327" s="21">
        <f>0</f>
        <v/>
      </c>
      <c r="T8327" s="21">
        <f>-$B$7050</f>
        <v/>
      </c>
      <c r="U8327" s="21">
        <f>$B$7051</f>
        <v/>
      </c>
      <c r="V8327" s="21" t="n">
        <v>0</v>
      </c>
      <c r="W8327" s="21" t="n">
        <v>0</v>
      </c>
      <c r="X8327" s="21" t="n">
        <v>0</v>
      </c>
      <c r="Y8327" s="21" t="n">
        <v>0</v>
      </c>
      <c r="Z8327" s="19" t="n"/>
    </row>
    <row r="8328">
      <c r="D8328" s="21" t="n">
        <v>0</v>
      </c>
      <c r="E8328" s="21" t="n">
        <v>0</v>
      </c>
      <c r="F8328" s="21" t="n">
        <v>0</v>
      </c>
      <c r="G8328" s="21" t="n">
        <v>0</v>
      </c>
      <c r="H8328" s="21" t="n">
        <v>0</v>
      </c>
      <c r="I8328" s="21" t="n">
        <v>0</v>
      </c>
      <c r="J8328" s="21" t="n">
        <v>0</v>
      </c>
      <c r="K8328" s="21" t="n">
        <v>0</v>
      </c>
      <c r="L8328" s="21" t="n">
        <v>0</v>
      </c>
      <c r="M8328" s="21" t="n">
        <v>0</v>
      </c>
      <c r="N8328" s="21" t="n">
        <v>0</v>
      </c>
      <c r="O8328" s="21" t="n">
        <v>0</v>
      </c>
      <c r="P8328" s="21">
        <f>$B$7051</f>
        <v/>
      </c>
      <c r="Q8328" s="21">
        <f>$B$7053</f>
        <v/>
      </c>
      <c r="R8328" s="21">
        <f>0</f>
        <v/>
      </c>
      <c r="S8328" s="21">
        <f>2*$B$7052</f>
        <v/>
      </c>
      <c r="T8328" s="21">
        <f>-$B$7051</f>
        <v/>
      </c>
      <c r="U8328" s="21">
        <f>$B$7053</f>
        <v/>
      </c>
      <c r="V8328" s="21" t="n">
        <v>0</v>
      </c>
      <c r="W8328" s="21" t="n">
        <v>0</v>
      </c>
      <c r="X8328" s="21" t="n">
        <v>0</v>
      </c>
      <c r="Y8328" s="21" t="n">
        <v>0</v>
      </c>
      <c r="Z8328" s="19" t="n"/>
    </row>
    <row r="8329">
      <c r="D8329" s="21" t="n">
        <v>0</v>
      </c>
      <c r="E8329" s="21" t="n">
        <v>0</v>
      </c>
      <c r="F8329" s="21" t="n">
        <v>0</v>
      </c>
      <c r="G8329" s="21" t="n">
        <v>0</v>
      </c>
      <c r="H8329" s="21" t="n">
        <v>0</v>
      </c>
      <c r="I8329" s="21" t="n">
        <v>0</v>
      </c>
      <c r="J8329" s="21" t="n">
        <v>0</v>
      </c>
      <c r="K8329" s="21" t="n">
        <v>0</v>
      </c>
      <c r="L8329" s="21" t="n">
        <v>0</v>
      </c>
      <c r="M8329" s="21" t="n">
        <v>0</v>
      </c>
      <c r="N8329" s="21" t="n">
        <v>0</v>
      </c>
      <c r="O8329" s="21" t="n">
        <v>0</v>
      </c>
      <c r="P8329" s="21" t="n">
        <v>0</v>
      </c>
      <c r="Q8329" s="21" t="n">
        <v>0</v>
      </c>
      <c r="R8329" s="21">
        <f>-$B$7050</f>
        <v/>
      </c>
      <c r="S8329" s="21">
        <f>-$B$7051</f>
        <v/>
      </c>
      <c r="T8329" s="21">
        <f>2*$B$7050+$D$8309</f>
        <v/>
      </c>
      <c r="U8329" s="21">
        <f>0</f>
        <v/>
      </c>
      <c r="V8329" s="21">
        <f>-$B$7050</f>
        <v/>
      </c>
      <c r="W8329" s="21">
        <f>$B$7051</f>
        <v/>
      </c>
      <c r="X8329" s="21" t="n">
        <v>0</v>
      </c>
      <c r="Y8329" s="21" t="n">
        <v>0</v>
      </c>
      <c r="Z8329" s="19" t="n"/>
    </row>
    <row r="8330">
      <c r="D8330" s="21" t="n">
        <v>0</v>
      </c>
      <c r="E8330" s="21" t="n">
        <v>0</v>
      </c>
      <c r="F8330" s="21" t="n">
        <v>0</v>
      </c>
      <c r="G8330" s="21" t="n">
        <v>0</v>
      </c>
      <c r="H8330" s="21" t="n">
        <v>0</v>
      </c>
      <c r="I8330" s="21" t="n">
        <v>0</v>
      </c>
      <c r="J8330" s="21" t="n">
        <v>0</v>
      </c>
      <c r="K8330" s="21" t="n">
        <v>0</v>
      </c>
      <c r="L8330" s="21" t="n">
        <v>0</v>
      </c>
      <c r="M8330" s="21" t="n">
        <v>0</v>
      </c>
      <c r="N8330" s="21" t="n">
        <v>0</v>
      </c>
      <c r="O8330" s="21" t="n">
        <v>0</v>
      </c>
      <c r="P8330" s="21" t="n">
        <v>0</v>
      </c>
      <c r="Q8330" s="21" t="n">
        <v>0</v>
      </c>
      <c r="R8330" s="21">
        <f>$B$7051</f>
        <v/>
      </c>
      <c r="S8330" s="21">
        <f>$B$7053</f>
        <v/>
      </c>
      <c r="T8330" s="21">
        <f>0</f>
        <v/>
      </c>
      <c r="U8330" s="21">
        <f>2*$B$7052</f>
        <v/>
      </c>
      <c r="V8330" s="21">
        <f>-$B$7051</f>
        <v/>
      </c>
      <c r="W8330" s="21">
        <f>$B$7053</f>
        <v/>
      </c>
      <c r="X8330" s="21" t="n">
        <v>0</v>
      </c>
      <c r="Y8330" s="21" t="n">
        <v>0</v>
      </c>
      <c r="Z8330" s="19" t="n"/>
    </row>
    <row r="8331">
      <c r="D8331" s="21" t="n">
        <v>0</v>
      </c>
      <c r="E8331" s="21" t="n">
        <v>0</v>
      </c>
      <c r="F8331" s="21" t="n">
        <v>0</v>
      </c>
      <c r="G8331" s="21" t="n">
        <v>0</v>
      </c>
      <c r="H8331" s="21" t="n">
        <v>0</v>
      </c>
      <c r="I8331" s="21" t="n">
        <v>0</v>
      </c>
      <c r="J8331" s="21" t="n">
        <v>0</v>
      </c>
      <c r="K8331" s="21" t="n">
        <v>0</v>
      </c>
      <c r="L8331" s="21" t="n">
        <v>0</v>
      </c>
      <c r="M8331" s="21" t="n">
        <v>0</v>
      </c>
      <c r="N8331" s="21" t="n">
        <v>0</v>
      </c>
      <c r="O8331" s="21" t="n">
        <v>0</v>
      </c>
      <c r="P8331" s="21" t="n">
        <v>0</v>
      </c>
      <c r="Q8331" s="21" t="n">
        <v>0</v>
      </c>
      <c r="R8331" s="21" t="n">
        <v>0</v>
      </c>
      <c r="S8331" s="21" t="n">
        <v>0</v>
      </c>
      <c r="T8331" s="21">
        <f>-$B$7050</f>
        <v/>
      </c>
      <c r="U8331" s="21">
        <f>-$B$7051</f>
        <v/>
      </c>
      <c r="V8331" s="21">
        <f>2*$B$7050+$D$8310</f>
        <v/>
      </c>
      <c r="W8331" s="21">
        <f>0</f>
        <v/>
      </c>
      <c r="X8331" s="21">
        <f>-$B$7050</f>
        <v/>
      </c>
      <c r="Y8331" s="21">
        <f>$B$7051</f>
        <v/>
      </c>
      <c r="Z8331" s="19" t="n"/>
    </row>
    <row r="8332">
      <c r="D8332" s="21" t="n">
        <v>0</v>
      </c>
      <c r="E8332" s="21" t="n">
        <v>0</v>
      </c>
      <c r="F8332" s="21" t="n">
        <v>0</v>
      </c>
      <c r="G8332" s="21" t="n">
        <v>0</v>
      </c>
      <c r="H8332" s="21" t="n">
        <v>0</v>
      </c>
      <c r="I8332" s="21" t="n">
        <v>0</v>
      </c>
      <c r="J8332" s="21" t="n">
        <v>0</v>
      </c>
      <c r="K8332" s="21" t="n">
        <v>0</v>
      </c>
      <c r="L8332" s="21" t="n">
        <v>0</v>
      </c>
      <c r="M8332" s="21" t="n">
        <v>0</v>
      </c>
      <c r="N8332" s="21" t="n">
        <v>0</v>
      </c>
      <c r="O8332" s="21" t="n">
        <v>0</v>
      </c>
      <c r="P8332" s="21" t="n">
        <v>0</v>
      </c>
      <c r="Q8332" s="21" t="n">
        <v>0</v>
      </c>
      <c r="R8332" s="21" t="n">
        <v>0</v>
      </c>
      <c r="S8332" s="21" t="n">
        <v>0</v>
      </c>
      <c r="T8332" s="21">
        <f>$B$7051</f>
        <v/>
      </c>
      <c r="U8332" s="21">
        <f>$B$7053</f>
        <v/>
      </c>
      <c r="V8332" s="21">
        <f>0</f>
        <v/>
      </c>
      <c r="W8332" s="21">
        <f>2*$B$7052</f>
        <v/>
      </c>
      <c r="X8332" s="21">
        <f>-$B$7051</f>
        <v/>
      </c>
      <c r="Y8332" s="21">
        <f>$B$7053</f>
        <v/>
      </c>
      <c r="Z8332" s="19" t="n"/>
    </row>
    <row r="8333">
      <c r="D8333" s="21" t="n">
        <v>0</v>
      </c>
      <c r="E8333" s="21" t="n">
        <v>0</v>
      </c>
      <c r="F8333" s="21" t="n">
        <v>0</v>
      </c>
      <c r="G8333" s="21" t="n">
        <v>0</v>
      </c>
      <c r="H8333" s="21" t="n">
        <v>0</v>
      </c>
      <c r="I8333" s="21" t="n">
        <v>0</v>
      </c>
      <c r="J8333" s="21" t="n">
        <v>0</v>
      </c>
      <c r="K8333" s="21" t="n">
        <v>0</v>
      </c>
      <c r="L8333" s="21" t="n">
        <v>0</v>
      </c>
      <c r="M8333" s="21" t="n">
        <v>0</v>
      </c>
      <c r="N8333" s="21" t="n">
        <v>0</v>
      </c>
      <c r="O8333" s="21" t="n">
        <v>0</v>
      </c>
      <c r="P8333" s="21" t="n">
        <v>0</v>
      </c>
      <c r="Q8333" s="21" t="n">
        <v>0</v>
      </c>
      <c r="R8333" s="21" t="n">
        <v>0</v>
      </c>
      <c r="S8333" s="21" t="n">
        <v>0</v>
      </c>
      <c r="T8333" s="21" t="n">
        <v>0</v>
      </c>
      <c r="U8333" s="21" t="n">
        <v>0</v>
      </c>
      <c r="V8333" s="21">
        <f>-$B$7050</f>
        <v/>
      </c>
      <c r="W8333" s="21">
        <f>-$B$7051</f>
        <v/>
      </c>
      <c r="X8333" s="21">
        <f>$B$7050+$D$8311</f>
        <v/>
      </c>
      <c r="Y8333" s="21">
        <f>-$B$7051</f>
        <v/>
      </c>
      <c r="Z8333" s="19" t="n"/>
    </row>
    <row r="8334">
      <c r="D8334" s="21" t="n">
        <v>0</v>
      </c>
      <c r="E8334" s="21" t="n">
        <v>0</v>
      </c>
      <c r="F8334" s="21" t="n">
        <v>0</v>
      </c>
      <c r="G8334" s="21" t="n">
        <v>0</v>
      </c>
      <c r="H8334" s="21" t="n">
        <v>0</v>
      </c>
      <c r="I8334" s="21" t="n">
        <v>0</v>
      </c>
      <c r="J8334" s="21" t="n">
        <v>0</v>
      </c>
      <c r="K8334" s="21" t="n">
        <v>0</v>
      </c>
      <c r="L8334" s="21" t="n">
        <v>0</v>
      </c>
      <c r="M8334" s="21" t="n">
        <v>0</v>
      </c>
      <c r="N8334" s="21" t="n">
        <v>0</v>
      </c>
      <c r="O8334" s="21" t="n">
        <v>0</v>
      </c>
      <c r="P8334" s="21" t="n">
        <v>0</v>
      </c>
      <c r="Q8334" s="21" t="n">
        <v>0</v>
      </c>
      <c r="R8334" s="21" t="n">
        <v>0</v>
      </c>
      <c r="S8334" s="21" t="n">
        <v>0</v>
      </c>
      <c r="T8334" s="21" t="n">
        <v>0</v>
      </c>
      <c r="U8334" s="21" t="n">
        <v>0</v>
      </c>
      <c r="V8334" s="21">
        <f>$B$7051</f>
        <v/>
      </c>
      <c r="W8334" s="21">
        <f>$B$7053</f>
        <v/>
      </c>
      <c r="X8334" s="21">
        <f>-$B$7051</f>
        <v/>
      </c>
      <c r="Y8334" s="21">
        <f>$B$7052</f>
        <v/>
      </c>
      <c r="Z8334" s="19" t="n"/>
    </row>
    <row r="8336">
      <c r="A8336" s="8" t="inlineStr">
        <is>
          <t>gen 35</t>
        </is>
      </c>
    </row>
    <row r="8337">
      <c r="D8337" s="19">
        <f>IF(ABS(IF(ABS($E$8301)&gt;0.000000001,$E$8301,0.000000001))=0,0,IF($E$7065&lt;=$B$7059,0,IF(ABS(IF(ABS($E$8301)&gt;0.000000001,$E$8301,0.000000001))&gt;=8*$B$7061,$H$7065,0.5*$H$7065*(ABS(IF(ABS($E$8301)&gt;0.000000001,$E$8301,0.000000001))/$B$7061)^(1/3)))/ABS(IF(ABS($E$8301)&gt;0.000000001,$E$8301,0.000000001))*$I$7065)</f>
        <v/>
      </c>
      <c r="E8337" s="19">
        <f>0.5*$E$8301+0.5*$Z$8349</f>
        <v/>
      </c>
      <c r="F8337" s="19">
        <f>$Z$8350</f>
        <v/>
      </c>
    </row>
    <row r="8338">
      <c r="D8338" s="19">
        <f>IF(ABS(IF(ABS($E$8302)&gt;0.000000001,$E$8302,0.000000001))=0,0,IF($E$7066&lt;=$B$7059,0,IF(ABS(IF(ABS($E$8302)&gt;0.000000001,$E$8302,0.000000001))&gt;=8*$B$7061,$H$7066,0.5*$H$7066*(ABS(IF(ABS($E$8302)&gt;0.000000001,$E$8302,0.000000001))/$B$7061)^(1/3)))/ABS(IF(ABS($E$8302)&gt;0.000000001,$E$8302,0.000000001))*$I$7066)</f>
        <v/>
      </c>
      <c r="E8338" s="19">
        <f>0.5*$E$8302+0.5*$Z$8351</f>
        <v/>
      </c>
      <c r="F8338" s="19">
        <f>$Z$8352</f>
        <v/>
      </c>
    </row>
    <row r="8339">
      <c r="D8339" s="19">
        <f>IF(ABS(IF(ABS($E$8303)&gt;0.000000001,$E$8303,0.000000001))=0,0,IF($E$7067&lt;=$B$7059,0,IF(ABS(IF(ABS($E$8303)&gt;0.000000001,$E$8303,0.000000001))&gt;=8*$B$7061,$H$7067,0.5*$H$7067*(ABS(IF(ABS($E$8303)&gt;0.000000001,$E$8303,0.000000001))/$B$7061)^(1/3)))/ABS(IF(ABS($E$8303)&gt;0.000000001,$E$8303,0.000000001))*$I$7067)</f>
        <v/>
      </c>
      <c r="E8339" s="19">
        <f>0.5*$E$8303+0.5*$Z$8353</f>
        <v/>
      </c>
      <c r="F8339" s="19">
        <f>$Z$8354</f>
        <v/>
      </c>
    </row>
    <row r="8340">
      <c r="D8340" s="19">
        <f>IF(ABS(IF(ABS($E$8304)&gt;0.000000001,$E$8304,0.000000001))=0,0,IF($E$7068&lt;=$B$7059,0,IF(ABS(IF(ABS($E$8304)&gt;0.000000001,$E$8304,0.000000001))&gt;=8*$B$7061,$H$7068,0.5*$H$7068*(ABS(IF(ABS($E$8304)&gt;0.000000001,$E$8304,0.000000001))/$B$7061)^(1/3)))/ABS(IF(ABS($E$8304)&gt;0.000000001,$E$8304,0.000000001))*$I$7068)</f>
        <v/>
      </c>
      <c r="E8340" s="19">
        <f>0.5*$E$8304+0.5*$Z$8355</f>
        <v/>
      </c>
      <c r="F8340" s="19">
        <f>$Z$8356</f>
        <v/>
      </c>
    </row>
    <row r="8341">
      <c r="D8341" s="19">
        <f>IF(ABS(IF(ABS($E$8305)&gt;0.000000001,$E$8305,0.000000001))=0,0,IF($E$7069&lt;=$B$7059,0,IF(ABS(IF(ABS($E$8305)&gt;0.000000001,$E$8305,0.000000001))&gt;=8*$B$7061,$H$7069,0.5*$H$7069*(ABS(IF(ABS($E$8305)&gt;0.000000001,$E$8305,0.000000001))/$B$7061)^(1/3)))/ABS(IF(ABS($E$8305)&gt;0.000000001,$E$8305,0.000000001))*$I$7069)</f>
        <v/>
      </c>
      <c r="E8341" s="19">
        <f>0.5*$E$8305+0.5*$Z$8357</f>
        <v/>
      </c>
      <c r="F8341" s="19">
        <f>$Z$8358</f>
        <v/>
      </c>
    </row>
    <row r="8342">
      <c r="D8342" s="19">
        <f>IF(ABS(IF(ABS($E$8306)&gt;0.000000001,$E$8306,0.000000001))=0,0,IF($E$7070&lt;=$B$7059,0,IF(ABS(IF(ABS($E$8306)&gt;0.000000001,$E$8306,0.000000001))&gt;=8*$B$7061,$H$7070,0.5*$H$7070*(ABS(IF(ABS($E$8306)&gt;0.000000001,$E$8306,0.000000001))/$B$7061)^(1/3)))/ABS(IF(ABS($E$8306)&gt;0.000000001,$E$8306,0.000000001))*$I$7070)</f>
        <v/>
      </c>
      <c r="E8342" s="19">
        <f>0.5*$E$8306+0.5*$Z$8359</f>
        <v/>
      </c>
      <c r="F8342" s="19">
        <f>$Z$8360</f>
        <v/>
      </c>
    </row>
    <row r="8343">
      <c r="D8343" s="19">
        <f>IF(ABS(IF(ABS($E$8307)&gt;0.000000001,$E$8307,0.000000001))=0,0,IF($E$7071&lt;=$B$7059,0,IF(ABS(IF(ABS($E$8307)&gt;0.000000001,$E$8307,0.000000001))&gt;=8*$B$7061,$H$7071,0.5*$H$7071*(ABS(IF(ABS($E$8307)&gt;0.000000001,$E$8307,0.000000001))/$B$7061)^(1/3)))/ABS(IF(ABS($E$8307)&gt;0.000000001,$E$8307,0.000000001))*$I$7071)</f>
        <v/>
      </c>
      <c r="E8343" s="19">
        <f>0.5*$E$8307+0.5*$Z$8361</f>
        <v/>
      </c>
      <c r="F8343" s="19">
        <f>$Z$8362</f>
        <v/>
      </c>
    </row>
    <row r="8344">
      <c r="D8344" s="19">
        <f>IF(ABS(IF(ABS($E$8308)&gt;0.000000001,$E$8308,0.000000001))=0,0,IF($E$7072&lt;=$B$7059,0,IF(ABS(IF(ABS($E$8308)&gt;0.000000001,$E$8308,0.000000001))&gt;=8*$B$7061,$H$7072,0.5*$H$7072*(ABS(IF(ABS($E$8308)&gt;0.000000001,$E$8308,0.000000001))/$B$7061)^(1/3)))/ABS(IF(ABS($E$8308)&gt;0.000000001,$E$8308,0.000000001))*$I$7072)</f>
        <v/>
      </c>
      <c r="E8344" s="19">
        <f>0.5*$E$8308+0.5*$Z$8363</f>
        <v/>
      </c>
      <c r="F8344" s="19">
        <f>$Z$8364</f>
        <v/>
      </c>
    </row>
    <row r="8345">
      <c r="D8345" s="19">
        <f>IF(ABS(IF(ABS($E$8309)&gt;0.000000001,$E$8309,0.000000001))=0,0,IF($E$7073&lt;=$B$7059,0,IF(ABS(IF(ABS($E$8309)&gt;0.000000001,$E$8309,0.000000001))&gt;=8*$B$7061,$H$7073,0.5*$H$7073*(ABS(IF(ABS($E$8309)&gt;0.000000001,$E$8309,0.000000001))/$B$7061)^(1/3)))/ABS(IF(ABS($E$8309)&gt;0.000000001,$E$8309,0.000000001))*$I$7073)</f>
        <v/>
      </c>
      <c r="E8345" s="19">
        <f>0.5*$E$8309+0.5*$Z$8365</f>
        <v/>
      </c>
      <c r="F8345" s="19">
        <f>$Z$8366</f>
        <v/>
      </c>
    </row>
    <row r="8346">
      <c r="D8346" s="19">
        <f>IF(ABS(IF(ABS($E$8310)&gt;0.000000001,$E$8310,0.000000001))=0,0,IF($E$7074&lt;=$B$7059,0,IF(ABS(IF(ABS($E$8310)&gt;0.000000001,$E$8310,0.000000001))&gt;=8*$B$7061,$H$7074,0.5*$H$7074*(ABS(IF(ABS($E$8310)&gt;0.000000001,$E$8310,0.000000001))/$B$7061)^(1/3)))/ABS(IF(ABS($E$8310)&gt;0.000000001,$E$8310,0.000000001))*$I$7074)</f>
        <v/>
      </c>
      <c r="E8346" s="19">
        <f>0.5*$E$8310+0.5*$Z$8367</f>
        <v/>
      </c>
      <c r="F8346" s="19">
        <f>$Z$8368</f>
        <v/>
      </c>
    </row>
    <row r="8347">
      <c r="D8347" s="19">
        <f>IF(ABS(IF(ABS($E$8311)&gt;0.000000001,$E$8311,0.000000001))=0,0,IF($E$7075&lt;=$B$7059,0,IF(ABS(IF(ABS($E$8311)&gt;0.000000001,$E$8311,0.000000001))&gt;=8*$B$7061,$H$7075,0.5*$H$7075*(ABS(IF(ABS($E$8311)&gt;0.000000001,$E$8311,0.000000001))/$B$7061)^(1/3)))/ABS(IF(ABS($E$8311)&gt;0.000000001,$E$8311,0.000000001))*$I$7075)</f>
        <v/>
      </c>
      <c r="E8347" s="19">
        <f>0.5*$E$8311+0.5*$Z$8369</f>
        <v/>
      </c>
      <c r="F8347" s="19">
        <f>$Z$8370</f>
        <v/>
      </c>
    </row>
    <row r="8349">
      <c r="D8349" s="21">
        <f>$B$7050+$D$8337</f>
        <v/>
      </c>
      <c r="E8349" s="21">
        <f>$B$7051</f>
        <v/>
      </c>
      <c r="F8349" s="21">
        <f>-$B$7050</f>
        <v/>
      </c>
      <c r="G8349" s="21">
        <f>$B$7051</f>
        <v/>
      </c>
      <c r="H8349" s="21" t="n">
        <v>0</v>
      </c>
      <c r="I8349" s="21" t="n">
        <v>0</v>
      </c>
      <c r="J8349" s="21" t="n">
        <v>0</v>
      </c>
      <c r="K8349" s="21" t="n">
        <v>0</v>
      </c>
      <c r="L8349" s="21" t="n">
        <v>0</v>
      </c>
      <c r="M8349" s="21" t="n">
        <v>0</v>
      </c>
      <c r="N8349" s="21" t="n">
        <v>0</v>
      </c>
      <c r="O8349" s="21" t="n">
        <v>0</v>
      </c>
      <c r="P8349" s="21" t="n">
        <v>0</v>
      </c>
      <c r="Q8349" s="21" t="n">
        <v>0</v>
      </c>
      <c r="R8349" s="21" t="n">
        <v>0</v>
      </c>
      <c r="S8349" s="21" t="n">
        <v>0</v>
      </c>
      <c r="T8349" s="21" t="n">
        <v>0</v>
      </c>
      <c r="U8349" s="21" t="n">
        <v>0</v>
      </c>
      <c r="V8349" s="21" t="n">
        <v>0</v>
      </c>
      <c r="W8349" s="21" t="n">
        <v>0</v>
      </c>
      <c r="X8349" s="21" t="n">
        <v>0</v>
      </c>
      <c r="Y8349" s="21" t="n">
        <v>0</v>
      </c>
      <c r="Z8349" s="19">
        <f t="array" ref="Z8349:Z8370">MMULT(MINVERSE($D$8349:$Y$8370),$D$7077:$D$7098)</f>
        <v/>
      </c>
    </row>
    <row r="8350">
      <c r="D8350" s="21">
        <f>$B$7051</f>
        <v/>
      </c>
      <c r="E8350" s="21">
        <f>$B$7052</f>
        <v/>
      </c>
      <c r="F8350" s="21">
        <f>-$B$7051</f>
        <v/>
      </c>
      <c r="G8350" s="21">
        <f>$B$7053</f>
        <v/>
      </c>
      <c r="H8350" s="21" t="n">
        <v>0</v>
      </c>
      <c r="I8350" s="21" t="n">
        <v>0</v>
      </c>
      <c r="J8350" s="21" t="n">
        <v>0</v>
      </c>
      <c r="K8350" s="21" t="n">
        <v>0</v>
      </c>
      <c r="L8350" s="21" t="n">
        <v>0</v>
      </c>
      <c r="M8350" s="21" t="n">
        <v>0</v>
      </c>
      <c r="N8350" s="21" t="n">
        <v>0</v>
      </c>
      <c r="O8350" s="21" t="n">
        <v>0</v>
      </c>
      <c r="P8350" s="21" t="n">
        <v>0</v>
      </c>
      <c r="Q8350" s="21" t="n">
        <v>0</v>
      </c>
      <c r="R8350" s="21" t="n">
        <v>0</v>
      </c>
      <c r="S8350" s="21" t="n">
        <v>0</v>
      </c>
      <c r="T8350" s="21" t="n">
        <v>0</v>
      </c>
      <c r="U8350" s="21" t="n">
        <v>0</v>
      </c>
      <c r="V8350" s="21" t="n">
        <v>0</v>
      </c>
      <c r="W8350" s="21" t="n">
        <v>0</v>
      </c>
      <c r="X8350" s="21" t="n">
        <v>0</v>
      </c>
      <c r="Y8350" s="21" t="n">
        <v>0</v>
      </c>
      <c r="Z8350" s="19" t="n"/>
    </row>
    <row r="8351">
      <c r="D8351" s="21">
        <f>-$B$7050</f>
        <v/>
      </c>
      <c r="E8351" s="21">
        <f>-$B$7051</f>
        <v/>
      </c>
      <c r="F8351" s="21">
        <f>2*$B$7050+$D$8338</f>
        <v/>
      </c>
      <c r="G8351" s="21">
        <f>0</f>
        <v/>
      </c>
      <c r="H8351" s="21">
        <f>-$B$7050</f>
        <v/>
      </c>
      <c r="I8351" s="21">
        <f>$B$7051</f>
        <v/>
      </c>
      <c r="J8351" s="21" t="n">
        <v>0</v>
      </c>
      <c r="K8351" s="21" t="n">
        <v>0</v>
      </c>
      <c r="L8351" s="21" t="n">
        <v>0</v>
      </c>
      <c r="M8351" s="21" t="n">
        <v>0</v>
      </c>
      <c r="N8351" s="21" t="n">
        <v>0</v>
      </c>
      <c r="O8351" s="21" t="n">
        <v>0</v>
      </c>
      <c r="P8351" s="21" t="n">
        <v>0</v>
      </c>
      <c r="Q8351" s="21" t="n">
        <v>0</v>
      </c>
      <c r="R8351" s="21" t="n">
        <v>0</v>
      </c>
      <c r="S8351" s="21" t="n">
        <v>0</v>
      </c>
      <c r="T8351" s="21" t="n">
        <v>0</v>
      </c>
      <c r="U8351" s="21" t="n">
        <v>0</v>
      </c>
      <c r="V8351" s="21" t="n">
        <v>0</v>
      </c>
      <c r="W8351" s="21" t="n">
        <v>0</v>
      </c>
      <c r="X8351" s="21" t="n">
        <v>0</v>
      </c>
      <c r="Y8351" s="21" t="n">
        <v>0</v>
      </c>
      <c r="Z8351" s="19" t="n"/>
    </row>
    <row r="8352">
      <c r="D8352" s="21">
        <f>$B$7051</f>
        <v/>
      </c>
      <c r="E8352" s="21">
        <f>$B$7053</f>
        <v/>
      </c>
      <c r="F8352" s="21">
        <f>0</f>
        <v/>
      </c>
      <c r="G8352" s="21">
        <f>2*$B$7052</f>
        <v/>
      </c>
      <c r="H8352" s="21">
        <f>-$B$7051</f>
        <v/>
      </c>
      <c r="I8352" s="21">
        <f>$B$7053</f>
        <v/>
      </c>
      <c r="J8352" s="21" t="n">
        <v>0</v>
      </c>
      <c r="K8352" s="21" t="n">
        <v>0</v>
      </c>
      <c r="L8352" s="21" t="n">
        <v>0</v>
      </c>
      <c r="M8352" s="21" t="n">
        <v>0</v>
      </c>
      <c r="N8352" s="21" t="n">
        <v>0</v>
      </c>
      <c r="O8352" s="21" t="n">
        <v>0</v>
      </c>
      <c r="P8352" s="21" t="n">
        <v>0</v>
      </c>
      <c r="Q8352" s="21" t="n">
        <v>0</v>
      </c>
      <c r="R8352" s="21" t="n">
        <v>0</v>
      </c>
      <c r="S8352" s="21" t="n">
        <v>0</v>
      </c>
      <c r="T8352" s="21" t="n">
        <v>0</v>
      </c>
      <c r="U8352" s="21" t="n">
        <v>0</v>
      </c>
      <c r="V8352" s="21" t="n">
        <v>0</v>
      </c>
      <c r="W8352" s="21" t="n">
        <v>0</v>
      </c>
      <c r="X8352" s="21" t="n">
        <v>0</v>
      </c>
      <c r="Y8352" s="21" t="n">
        <v>0</v>
      </c>
      <c r="Z8352" s="19" t="n"/>
    </row>
    <row r="8353">
      <c r="D8353" s="21" t="n">
        <v>0</v>
      </c>
      <c r="E8353" s="21" t="n">
        <v>0</v>
      </c>
      <c r="F8353" s="21">
        <f>-$B$7050</f>
        <v/>
      </c>
      <c r="G8353" s="21">
        <f>-$B$7051</f>
        <v/>
      </c>
      <c r="H8353" s="21">
        <f>2*$B$7050+$D$8339</f>
        <v/>
      </c>
      <c r="I8353" s="21">
        <f>0</f>
        <v/>
      </c>
      <c r="J8353" s="21">
        <f>-$B$7050</f>
        <v/>
      </c>
      <c r="K8353" s="21">
        <f>$B$7051</f>
        <v/>
      </c>
      <c r="L8353" s="21" t="n">
        <v>0</v>
      </c>
      <c r="M8353" s="21" t="n">
        <v>0</v>
      </c>
      <c r="N8353" s="21" t="n">
        <v>0</v>
      </c>
      <c r="O8353" s="21" t="n">
        <v>0</v>
      </c>
      <c r="P8353" s="21" t="n">
        <v>0</v>
      </c>
      <c r="Q8353" s="21" t="n">
        <v>0</v>
      </c>
      <c r="R8353" s="21" t="n">
        <v>0</v>
      </c>
      <c r="S8353" s="21" t="n">
        <v>0</v>
      </c>
      <c r="T8353" s="21" t="n">
        <v>0</v>
      </c>
      <c r="U8353" s="21" t="n">
        <v>0</v>
      </c>
      <c r="V8353" s="21" t="n">
        <v>0</v>
      </c>
      <c r="W8353" s="21" t="n">
        <v>0</v>
      </c>
      <c r="X8353" s="21" t="n">
        <v>0</v>
      </c>
      <c r="Y8353" s="21" t="n">
        <v>0</v>
      </c>
      <c r="Z8353" s="19" t="n"/>
    </row>
    <row r="8354">
      <c r="D8354" s="21" t="n">
        <v>0</v>
      </c>
      <c r="E8354" s="21" t="n">
        <v>0</v>
      </c>
      <c r="F8354" s="21">
        <f>$B$7051</f>
        <v/>
      </c>
      <c r="G8354" s="21">
        <f>$B$7053</f>
        <v/>
      </c>
      <c r="H8354" s="21">
        <f>0</f>
        <v/>
      </c>
      <c r="I8354" s="21">
        <f>2*$B$7052</f>
        <v/>
      </c>
      <c r="J8354" s="21">
        <f>-$B$7051</f>
        <v/>
      </c>
      <c r="K8354" s="21">
        <f>$B$7053</f>
        <v/>
      </c>
      <c r="L8354" s="21" t="n">
        <v>0</v>
      </c>
      <c r="M8354" s="21" t="n">
        <v>0</v>
      </c>
      <c r="N8354" s="21" t="n">
        <v>0</v>
      </c>
      <c r="O8354" s="21" t="n">
        <v>0</v>
      </c>
      <c r="P8354" s="21" t="n">
        <v>0</v>
      </c>
      <c r="Q8354" s="21" t="n">
        <v>0</v>
      </c>
      <c r="R8354" s="21" t="n">
        <v>0</v>
      </c>
      <c r="S8354" s="21" t="n">
        <v>0</v>
      </c>
      <c r="T8354" s="21" t="n">
        <v>0</v>
      </c>
      <c r="U8354" s="21" t="n">
        <v>0</v>
      </c>
      <c r="V8354" s="21" t="n">
        <v>0</v>
      </c>
      <c r="W8354" s="21" t="n">
        <v>0</v>
      </c>
      <c r="X8354" s="21" t="n">
        <v>0</v>
      </c>
      <c r="Y8354" s="21" t="n">
        <v>0</v>
      </c>
      <c r="Z8354" s="19" t="n"/>
    </row>
    <row r="8355">
      <c r="D8355" s="21" t="n">
        <v>0</v>
      </c>
      <c r="E8355" s="21" t="n">
        <v>0</v>
      </c>
      <c r="F8355" s="21" t="n">
        <v>0</v>
      </c>
      <c r="G8355" s="21" t="n">
        <v>0</v>
      </c>
      <c r="H8355" s="21">
        <f>-$B$7050</f>
        <v/>
      </c>
      <c r="I8355" s="21">
        <f>-$B$7051</f>
        <v/>
      </c>
      <c r="J8355" s="21">
        <f>2*$B$7050+$D$8340</f>
        <v/>
      </c>
      <c r="K8355" s="21">
        <f>0</f>
        <v/>
      </c>
      <c r="L8355" s="21">
        <f>-$B$7050</f>
        <v/>
      </c>
      <c r="M8355" s="21">
        <f>$B$7051</f>
        <v/>
      </c>
      <c r="N8355" s="21" t="n">
        <v>0</v>
      </c>
      <c r="O8355" s="21" t="n">
        <v>0</v>
      </c>
      <c r="P8355" s="21" t="n">
        <v>0</v>
      </c>
      <c r="Q8355" s="21" t="n">
        <v>0</v>
      </c>
      <c r="R8355" s="21" t="n">
        <v>0</v>
      </c>
      <c r="S8355" s="21" t="n">
        <v>0</v>
      </c>
      <c r="T8355" s="21" t="n">
        <v>0</v>
      </c>
      <c r="U8355" s="21" t="n">
        <v>0</v>
      </c>
      <c r="V8355" s="21" t="n">
        <v>0</v>
      </c>
      <c r="W8355" s="21" t="n">
        <v>0</v>
      </c>
      <c r="X8355" s="21" t="n">
        <v>0</v>
      </c>
      <c r="Y8355" s="21" t="n">
        <v>0</v>
      </c>
      <c r="Z8355" s="19" t="n"/>
    </row>
    <row r="8356">
      <c r="D8356" s="21" t="n">
        <v>0</v>
      </c>
      <c r="E8356" s="21" t="n">
        <v>0</v>
      </c>
      <c r="F8356" s="21" t="n">
        <v>0</v>
      </c>
      <c r="G8356" s="21" t="n">
        <v>0</v>
      </c>
      <c r="H8356" s="21">
        <f>$B$7051</f>
        <v/>
      </c>
      <c r="I8356" s="21">
        <f>$B$7053</f>
        <v/>
      </c>
      <c r="J8356" s="21">
        <f>0</f>
        <v/>
      </c>
      <c r="K8356" s="21">
        <f>2*$B$7052</f>
        <v/>
      </c>
      <c r="L8356" s="21">
        <f>-$B$7051</f>
        <v/>
      </c>
      <c r="M8356" s="21">
        <f>$B$7053</f>
        <v/>
      </c>
      <c r="N8356" s="21" t="n">
        <v>0</v>
      </c>
      <c r="O8356" s="21" t="n">
        <v>0</v>
      </c>
      <c r="P8356" s="21" t="n">
        <v>0</v>
      </c>
      <c r="Q8356" s="21" t="n">
        <v>0</v>
      </c>
      <c r="R8356" s="21" t="n">
        <v>0</v>
      </c>
      <c r="S8356" s="21" t="n">
        <v>0</v>
      </c>
      <c r="T8356" s="21" t="n">
        <v>0</v>
      </c>
      <c r="U8356" s="21" t="n">
        <v>0</v>
      </c>
      <c r="V8356" s="21" t="n">
        <v>0</v>
      </c>
      <c r="W8356" s="21" t="n">
        <v>0</v>
      </c>
      <c r="X8356" s="21" t="n">
        <v>0</v>
      </c>
      <c r="Y8356" s="21" t="n">
        <v>0</v>
      </c>
      <c r="Z8356" s="19" t="n"/>
    </row>
    <row r="8357">
      <c r="D8357" s="21" t="n">
        <v>0</v>
      </c>
      <c r="E8357" s="21" t="n">
        <v>0</v>
      </c>
      <c r="F8357" s="21" t="n">
        <v>0</v>
      </c>
      <c r="G8357" s="21" t="n">
        <v>0</v>
      </c>
      <c r="H8357" s="21" t="n">
        <v>0</v>
      </c>
      <c r="I8357" s="21" t="n">
        <v>0</v>
      </c>
      <c r="J8357" s="21">
        <f>-$B$7050</f>
        <v/>
      </c>
      <c r="K8357" s="21">
        <f>-$B$7051</f>
        <v/>
      </c>
      <c r="L8357" s="21">
        <f>2*$B$7050+$D$8341</f>
        <v/>
      </c>
      <c r="M8357" s="21">
        <f>0</f>
        <v/>
      </c>
      <c r="N8357" s="21">
        <f>-$B$7050</f>
        <v/>
      </c>
      <c r="O8357" s="21">
        <f>$B$7051</f>
        <v/>
      </c>
      <c r="P8357" s="21" t="n">
        <v>0</v>
      </c>
      <c r="Q8357" s="21" t="n">
        <v>0</v>
      </c>
      <c r="R8357" s="21" t="n">
        <v>0</v>
      </c>
      <c r="S8357" s="21" t="n">
        <v>0</v>
      </c>
      <c r="T8357" s="21" t="n">
        <v>0</v>
      </c>
      <c r="U8357" s="21" t="n">
        <v>0</v>
      </c>
      <c r="V8357" s="21" t="n">
        <v>0</v>
      </c>
      <c r="W8357" s="21" t="n">
        <v>0</v>
      </c>
      <c r="X8357" s="21" t="n">
        <v>0</v>
      </c>
      <c r="Y8357" s="21" t="n">
        <v>0</v>
      </c>
      <c r="Z8357" s="19" t="n"/>
    </row>
    <row r="8358">
      <c r="D8358" s="21" t="n">
        <v>0</v>
      </c>
      <c r="E8358" s="21" t="n">
        <v>0</v>
      </c>
      <c r="F8358" s="21" t="n">
        <v>0</v>
      </c>
      <c r="G8358" s="21" t="n">
        <v>0</v>
      </c>
      <c r="H8358" s="21" t="n">
        <v>0</v>
      </c>
      <c r="I8358" s="21" t="n">
        <v>0</v>
      </c>
      <c r="J8358" s="21">
        <f>$B$7051</f>
        <v/>
      </c>
      <c r="K8358" s="21">
        <f>$B$7053</f>
        <v/>
      </c>
      <c r="L8358" s="21">
        <f>0</f>
        <v/>
      </c>
      <c r="M8358" s="21">
        <f>2*$B$7052</f>
        <v/>
      </c>
      <c r="N8358" s="21">
        <f>-$B$7051</f>
        <v/>
      </c>
      <c r="O8358" s="21">
        <f>$B$7053</f>
        <v/>
      </c>
      <c r="P8358" s="21" t="n">
        <v>0</v>
      </c>
      <c r="Q8358" s="21" t="n">
        <v>0</v>
      </c>
      <c r="R8358" s="21" t="n">
        <v>0</v>
      </c>
      <c r="S8358" s="21" t="n">
        <v>0</v>
      </c>
      <c r="T8358" s="21" t="n">
        <v>0</v>
      </c>
      <c r="U8358" s="21" t="n">
        <v>0</v>
      </c>
      <c r="V8358" s="21" t="n">
        <v>0</v>
      </c>
      <c r="W8358" s="21" t="n">
        <v>0</v>
      </c>
      <c r="X8358" s="21" t="n">
        <v>0</v>
      </c>
      <c r="Y8358" s="21" t="n">
        <v>0</v>
      </c>
      <c r="Z8358" s="19" t="n"/>
    </row>
    <row r="8359">
      <c r="D8359" s="21" t="n">
        <v>0</v>
      </c>
      <c r="E8359" s="21" t="n">
        <v>0</v>
      </c>
      <c r="F8359" s="21" t="n">
        <v>0</v>
      </c>
      <c r="G8359" s="21" t="n">
        <v>0</v>
      </c>
      <c r="H8359" s="21" t="n">
        <v>0</v>
      </c>
      <c r="I8359" s="21" t="n">
        <v>0</v>
      </c>
      <c r="J8359" s="21" t="n">
        <v>0</v>
      </c>
      <c r="K8359" s="21" t="n">
        <v>0</v>
      </c>
      <c r="L8359" s="21">
        <f>-$B$7050</f>
        <v/>
      </c>
      <c r="M8359" s="21">
        <f>-$B$7051</f>
        <v/>
      </c>
      <c r="N8359" s="21">
        <f>2*$B$7050+$D$8342</f>
        <v/>
      </c>
      <c r="O8359" s="21">
        <f>0</f>
        <v/>
      </c>
      <c r="P8359" s="21">
        <f>-$B$7050</f>
        <v/>
      </c>
      <c r="Q8359" s="21">
        <f>$B$7051</f>
        <v/>
      </c>
      <c r="R8359" s="21" t="n">
        <v>0</v>
      </c>
      <c r="S8359" s="21" t="n">
        <v>0</v>
      </c>
      <c r="T8359" s="21" t="n">
        <v>0</v>
      </c>
      <c r="U8359" s="21" t="n">
        <v>0</v>
      </c>
      <c r="V8359" s="21" t="n">
        <v>0</v>
      </c>
      <c r="W8359" s="21" t="n">
        <v>0</v>
      </c>
      <c r="X8359" s="21" t="n">
        <v>0</v>
      </c>
      <c r="Y8359" s="21" t="n">
        <v>0</v>
      </c>
      <c r="Z8359" s="19" t="n"/>
    </row>
    <row r="8360">
      <c r="D8360" s="21" t="n">
        <v>0</v>
      </c>
      <c r="E8360" s="21" t="n">
        <v>0</v>
      </c>
      <c r="F8360" s="21" t="n">
        <v>0</v>
      </c>
      <c r="G8360" s="21" t="n">
        <v>0</v>
      </c>
      <c r="H8360" s="21" t="n">
        <v>0</v>
      </c>
      <c r="I8360" s="21" t="n">
        <v>0</v>
      </c>
      <c r="J8360" s="21" t="n">
        <v>0</v>
      </c>
      <c r="K8360" s="21" t="n">
        <v>0</v>
      </c>
      <c r="L8360" s="21">
        <f>$B$7051</f>
        <v/>
      </c>
      <c r="M8360" s="21">
        <f>$B$7053</f>
        <v/>
      </c>
      <c r="N8360" s="21">
        <f>0</f>
        <v/>
      </c>
      <c r="O8360" s="21">
        <f>2*$B$7052</f>
        <v/>
      </c>
      <c r="P8360" s="21">
        <f>-$B$7051</f>
        <v/>
      </c>
      <c r="Q8360" s="21">
        <f>$B$7053</f>
        <v/>
      </c>
      <c r="R8360" s="21" t="n">
        <v>0</v>
      </c>
      <c r="S8360" s="21" t="n">
        <v>0</v>
      </c>
      <c r="T8360" s="21" t="n">
        <v>0</v>
      </c>
      <c r="U8360" s="21" t="n">
        <v>0</v>
      </c>
      <c r="V8360" s="21" t="n">
        <v>0</v>
      </c>
      <c r="W8360" s="21" t="n">
        <v>0</v>
      </c>
      <c r="X8360" s="21" t="n">
        <v>0</v>
      </c>
      <c r="Y8360" s="21" t="n">
        <v>0</v>
      </c>
      <c r="Z8360" s="19" t="n"/>
    </row>
    <row r="8361">
      <c r="D8361" s="21" t="n">
        <v>0</v>
      </c>
      <c r="E8361" s="21" t="n">
        <v>0</v>
      </c>
      <c r="F8361" s="21" t="n">
        <v>0</v>
      </c>
      <c r="G8361" s="21" t="n">
        <v>0</v>
      </c>
      <c r="H8361" s="21" t="n">
        <v>0</v>
      </c>
      <c r="I8361" s="21" t="n">
        <v>0</v>
      </c>
      <c r="J8361" s="21" t="n">
        <v>0</v>
      </c>
      <c r="K8361" s="21" t="n">
        <v>0</v>
      </c>
      <c r="L8361" s="21" t="n">
        <v>0</v>
      </c>
      <c r="M8361" s="21" t="n">
        <v>0</v>
      </c>
      <c r="N8361" s="21">
        <f>-$B$7050</f>
        <v/>
      </c>
      <c r="O8361" s="21">
        <f>-$B$7051</f>
        <v/>
      </c>
      <c r="P8361" s="21">
        <f>2*$B$7050+$D$8343</f>
        <v/>
      </c>
      <c r="Q8361" s="21">
        <f>0</f>
        <v/>
      </c>
      <c r="R8361" s="21">
        <f>-$B$7050</f>
        <v/>
      </c>
      <c r="S8361" s="21">
        <f>$B$7051</f>
        <v/>
      </c>
      <c r="T8361" s="21" t="n">
        <v>0</v>
      </c>
      <c r="U8361" s="21" t="n">
        <v>0</v>
      </c>
      <c r="V8361" s="21" t="n">
        <v>0</v>
      </c>
      <c r="W8361" s="21" t="n">
        <v>0</v>
      </c>
      <c r="X8361" s="21" t="n">
        <v>0</v>
      </c>
      <c r="Y8361" s="21" t="n">
        <v>0</v>
      </c>
      <c r="Z8361" s="19" t="n"/>
    </row>
    <row r="8362">
      <c r="D8362" s="21" t="n">
        <v>0</v>
      </c>
      <c r="E8362" s="21" t="n">
        <v>0</v>
      </c>
      <c r="F8362" s="21" t="n">
        <v>0</v>
      </c>
      <c r="G8362" s="21" t="n">
        <v>0</v>
      </c>
      <c r="H8362" s="21" t="n">
        <v>0</v>
      </c>
      <c r="I8362" s="21" t="n">
        <v>0</v>
      </c>
      <c r="J8362" s="21" t="n">
        <v>0</v>
      </c>
      <c r="K8362" s="21" t="n">
        <v>0</v>
      </c>
      <c r="L8362" s="21" t="n">
        <v>0</v>
      </c>
      <c r="M8362" s="21" t="n">
        <v>0</v>
      </c>
      <c r="N8362" s="21">
        <f>$B$7051</f>
        <v/>
      </c>
      <c r="O8362" s="21">
        <f>$B$7053</f>
        <v/>
      </c>
      <c r="P8362" s="21">
        <f>0</f>
        <v/>
      </c>
      <c r="Q8362" s="21">
        <f>2*$B$7052</f>
        <v/>
      </c>
      <c r="R8362" s="21">
        <f>-$B$7051</f>
        <v/>
      </c>
      <c r="S8362" s="21">
        <f>$B$7053</f>
        <v/>
      </c>
      <c r="T8362" s="21" t="n">
        <v>0</v>
      </c>
      <c r="U8362" s="21" t="n">
        <v>0</v>
      </c>
      <c r="V8362" s="21" t="n">
        <v>0</v>
      </c>
      <c r="W8362" s="21" t="n">
        <v>0</v>
      </c>
      <c r="X8362" s="21" t="n">
        <v>0</v>
      </c>
      <c r="Y8362" s="21" t="n">
        <v>0</v>
      </c>
      <c r="Z8362" s="19" t="n"/>
    </row>
    <row r="8363">
      <c r="D8363" s="21" t="n">
        <v>0</v>
      </c>
      <c r="E8363" s="21" t="n">
        <v>0</v>
      </c>
      <c r="F8363" s="21" t="n">
        <v>0</v>
      </c>
      <c r="G8363" s="21" t="n">
        <v>0</v>
      </c>
      <c r="H8363" s="21" t="n">
        <v>0</v>
      </c>
      <c r="I8363" s="21" t="n">
        <v>0</v>
      </c>
      <c r="J8363" s="21" t="n">
        <v>0</v>
      </c>
      <c r="K8363" s="21" t="n">
        <v>0</v>
      </c>
      <c r="L8363" s="21" t="n">
        <v>0</v>
      </c>
      <c r="M8363" s="21" t="n">
        <v>0</v>
      </c>
      <c r="N8363" s="21" t="n">
        <v>0</v>
      </c>
      <c r="O8363" s="21" t="n">
        <v>0</v>
      </c>
      <c r="P8363" s="21">
        <f>-$B$7050</f>
        <v/>
      </c>
      <c r="Q8363" s="21">
        <f>-$B$7051</f>
        <v/>
      </c>
      <c r="R8363" s="21">
        <f>2*$B$7050+$D$8344</f>
        <v/>
      </c>
      <c r="S8363" s="21">
        <f>0</f>
        <v/>
      </c>
      <c r="T8363" s="21">
        <f>-$B$7050</f>
        <v/>
      </c>
      <c r="U8363" s="21">
        <f>$B$7051</f>
        <v/>
      </c>
      <c r="V8363" s="21" t="n">
        <v>0</v>
      </c>
      <c r="W8363" s="21" t="n">
        <v>0</v>
      </c>
      <c r="X8363" s="21" t="n">
        <v>0</v>
      </c>
      <c r="Y8363" s="21" t="n">
        <v>0</v>
      </c>
      <c r="Z8363" s="19" t="n"/>
    </row>
    <row r="8364">
      <c r="D8364" s="21" t="n">
        <v>0</v>
      </c>
      <c r="E8364" s="21" t="n">
        <v>0</v>
      </c>
      <c r="F8364" s="21" t="n">
        <v>0</v>
      </c>
      <c r="G8364" s="21" t="n">
        <v>0</v>
      </c>
      <c r="H8364" s="21" t="n">
        <v>0</v>
      </c>
      <c r="I8364" s="21" t="n">
        <v>0</v>
      </c>
      <c r="J8364" s="21" t="n">
        <v>0</v>
      </c>
      <c r="K8364" s="21" t="n">
        <v>0</v>
      </c>
      <c r="L8364" s="21" t="n">
        <v>0</v>
      </c>
      <c r="M8364" s="21" t="n">
        <v>0</v>
      </c>
      <c r="N8364" s="21" t="n">
        <v>0</v>
      </c>
      <c r="O8364" s="21" t="n">
        <v>0</v>
      </c>
      <c r="P8364" s="21">
        <f>$B$7051</f>
        <v/>
      </c>
      <c r="Q8364" s="21">
        <f>$B$7053</f>
        <v/>
      </c>
      <c r="R8364" s="21">
        <f>0</f>
        <v/>
      </c>
      <c r="S8364" s="21">
        <f>2*$B$7052</f>
        <v/>
      </c>
      <c r="T8364" s="21">
        <f>-$B$7051</f>
        <v/>
      </c>
      <c r="U8364" s="21">
        <f>$B$7053</f>
        <v/>
      </c>
      <c r="V8364" s="21" t="n">
        <v>0</v>
      </c>
      <c r="W8364" s="21" t="n">
        <v>0</v>
      </c>
      <c r="X8364" s="21" t="n">
        <v>0</v>
      </c>
      <c r="Y8364" s="21" t="n">
        <v>0</v>
      </c>
      <c r="Z8364" s="19" t="n"/>
    </row>
    <row r="8365">
      <c r="D8365" s="21" t="n">
        <v>0</v>
      </c>
      <c r="E8365" s="21" t="n">
        <v>0</v>
      </c>
      <c r="F8365" s="21" t="n">
        <v>0</v>
      </c>
      <c r="G8365" s="21" t="n">
        <v>0</v>
      </c>
      <c r="H8365" s="21" t="n">
        <v>0</v>
      </c>
      <c r="I8365" s="21" t="n">
        <v>0</v>
      </c>
      <c r="J8365" s="21" t="n">
        <v>0</v>
      </c>
      <c r="K8365" s="21" t="n">
        <v>0</v>
      </c>
      <c r="L8365" s="21" t="n">
        <v>0</v>
      </c>
      <c r="M8365" s="21" t="n">
        <v>0</v>
      </c>
      <c r="N8365" s="21" t="n">
        <v>0</v>
      </c>
      <c r="O8365" s="21" t="n">
        <v>0</v>
      </c>
      <c r="P8365" s="21" t="n">
        <v>0</v>
      </c>
      <c r="Q8365" s="21" t="n">
        <v>0</v>
      </c>
      <c r="R8365" s="21">
        <f>-$B$7050</f>
        <v/>
      </c>
      <c r="S8365" s="21">
        <f>-$B$7051</f>
        <v/>
      </c>
      <c r="T8365" s="21">
        <f>2*$B$7050+$D$8345</f>
        <v/>
      </c>
      <c r="U8365" s="21">
        <f>0</f>
        <v/>
      </c>
      <c r="V8365" s="21">
        <f>-$B$7050</f>
        <v/>
      </c>
      <c r="W8365" s="21">
        <f>$B$7051</f>
        <v/>
      </c>
      <c r="X8365" s="21" t="n">
        <v>0</v>
      </c>
      <c r="Y8365" s="21" t="n">
        <v>0</v>
      </c>
      <c r="Z8365" s="19" t="n"/>
    </row>
    <row r="8366">
      <c r="D8366" s="21" t="n">
        <v>0</v>
      </c>
      <c r="E8366" s="21" t="n">
        <v>0</v>
      </c>
      <c r="F8366" s="21" t="n">
        <v>0</v>
      </c>
      <c r="G8366" s="21" t="n">
        <v>0</v>
      </c>
      <c r="H8366" s="21" t="n">
        <v>0</v>
      </c>
      <c r="I8366" s="21" t="n">
        <v>0</v>
      </c>
      <c r="J8366" s="21" t="n">
        <v>0</v>
      </c>
      <c r="K8366" s="21" t="n">
        <v>0</v>
      </c>
      <c r="L8366" s="21" t="n">
        <v>0</v>
      </c>
      <c r="M8366" s="21" t="n">
        <v>0</v>
      </c>
      <c r="N8366" s="21" t="n">
        <v>0</v>
      </c>
      <c r="O8366" s="21" t="n">
        <v>0</v>
      </c>
      <c r="P8366" s="21" t="n">
        <v>0</v>
      </c>
      <c r="Q8366" s="21" t="n">
        <v>0</v>
      </c>
      <c r="R8366" s="21">
        <f>$B$7051</f>
        <v/>
      </c>
      <c r="S8366" s="21">
        <f>$B$7053</f>
        <v/>
      </c>
      <c r="T8366" s="21">
        <f>0</f>
        <v/>
      </c>
      <c r="U8366" s="21">
        <f>2*$B$7052</f>
        <v/>
      </c>
      <c r="V8366" s="21">
        <f>-$B$7051</f>
        <v/>
      </c>
      <c r="W8366" s="21">
        <f>$B$7053</f>
        <v/>
      </c>
      <c r="X8366" s="21" t="n">
        <v>0</v>
      </c>
      <c r="Y8366" s="21" t="n">
        <v>0</v>
      </c>
      <c r="Z8366" s="19" t="n"/>
    </row>
    <row r="8367">
      <c r="D8367" s="21" t="n">
        <v>0</v>
      </c>
      <c r="E8367" s="21" t="n">
        <v>0</v>
      </c>
      <c r="F8367" s="21" t="n">
        <v>0</v>
      </c>
      <c r="G8367" s="21" t="n">
        <v>0</v>
      </c>
      <c r="H8367" s="21" t="n">
        <v>0</v>
      </c>
      <c r="I8367" s="21" t="n">
        <v>0</v>
      </c>
      <c r="J8367" s="21" t="n">
        <v>0</v>
      </c>
      <c r="K8367" s="21" t="n">
        <v>0</v>
      </c>
      <c r="L8367" s="21" t="n">
        <v>0</v>
      </c>
      <c r="M8367" s="21" t="n">
        <v>0</v>
      </c>
      <c r="N8367" s="21" t="n">
        <v>0</v>
      </c>
      <c r="O8367" s="21" t="n">
        <v>0</v>
      </c>
      <c r="P8367" s="21" t="n">
        <v>0</v>
      </c>
      <c r="Q8367" s="21" t="n">
        <v>0</v>
      </c>
      <c r="R8367" s="21" t="n">
        <v>0</v>
      </c>
      <c r="S8367" s="21" t="n">
        <v>0</v>
      </c>
      <c r="T8367" s="21">
        <f>-$B$7050</f>
        <v/>
      </c>
      <c r="U8367" s="21">
        <f>-$B$7051</f>
        <v/>
      </c>
      <c r="V8367" s="21">
        <f>2*$B$7050+$D$8346</f>
        <v/>
      </c>
      <c r="W8367" s="21">
        <f>0</f>
        <v/>
      </c>
      <c r="X8367" s="21">
        <f>-$B$7050</f>
        <v/>
      </c>
      <c r="Y8367" s="21">
        <f>$B$7051</f>
        <v/>
      </c>
      <c r="Z8367" s="19" t="n"/>
    </row>
    <row r="8368">
      <c r="D8368" s="21" t="n">
        <v>0</v>
      </c>
      <c r="E8368" s="21" t="n">
        <v>0</v>
      </c>
      <c r="F8368" s="21" t="n">
        <v>0</v>
      </c>
      <c r="G8368" s="21" t="n">
        <v>0</v>
      </c>
      <c r="H8368" s="21" t="n">
        <v>0</v>
      </c>
      <c r="I8368" s="21" t="n">
        <v>0</v>
      </c>
      <c r="J8368" s="21" t="n">
        <v>0</v>
      </c>
      <c r="K8368" s="21" t="n">
        <v>0</v>
      </c>
      <c r="L8368" s="21" t="n">
        <v>0</v>
      </c>
      <c r="M8368" s="21" t="n">
        <v>0</v>
      </c>
      <c r="N8368" s="21" t="n">
        <v>0</v>
      </c>
      <c r="O8368" s="21" t="n">
        <v>0</v>
      </c>
      <c r="P8368" s="21" t="n">
        <v>0</v>
      </c>
      <c r="Q8368" s="21" t="n">
        <v>0</v>
      </c>
      <c r="R8368" s="21" t="n">
        <v>0</v>
      </c>
      <c r="S8368" s="21" t="n">
        <v>0</v>
      </c>
      <c r="T8368" s="21">
        <f>$B$7051</f>
        <v/>
      </c>
      <c r="U8368" s="21">
        <f>$B$7053</f>
        <v/>
      </c>
      <c r="V8368" s="21">
        <f>0</f>
        <v/>
      </c>
      <c r="W8368" s="21">
        <f>2*$B$7052</f>
        <v/>
      </c>
      <c r="X8368" s="21">
        <f>-$B$7051</f>
        <v/>
      </c>
      <c r="Y8368" s="21">
        <f>$B$7053</f>
        <v/>
      </c>
      <c r="Z8368" s="19" t="n"/>
    </row>
    <row r="8369">
      <c r="D8369" s="21" t="n">
        <v>0</v>
      </c>
      <c r="E8369" s="21" t="n">
        <v>0</v>
      </c>
      <c r="F8369" s="21" t="n">
        <v>0</v>
      </c>
      <c r="G8369" s="21" t="n">
        <v>0</v>
      </c>
      <c r="H8369" s="21" t="n">
        <v>0</v>
      </c>
      <c r="I8369" s="21" t="n">
        <v>0</v>
      </c>
      <c r="J8369" s="21" t="n">
        <v>0</v>
      </c>
      <c r="K8369" s="21" t="n">
        <v>0</v>
      </c>
      <c r="L8369" s="21" t="n">
        <v>0</v>
      </c>
      <c r="M8369" s="21" t="n">
        <v>0</v>
      </c>
      <c r="N8369" s="21" t="n">
        <v>0</v>
      </c>
      <c r="O8369" s="21" t="n">
        <v>0</v>
      </c>
      <c r="P8369" s="21" t="n">
        <v>0</v>
      </c>
      <c r="Q8369" s="21" t="n">
        <v>0</v>
      </c>
      <c r="R8369" s="21" t="n">
        <v>0</v>
      </c>
      <c r="S8369" s="21" t="n">
        <v>0</v>
      </c>
      <c r="T8369" s="21" t="n">
        <v>0</v>
      </c>
      <c r="U8369" s="21" t="n">
        <v>0</v>
      </c>
      <c r="V8369" s="21">
        <f>-$B$7050</f>
        <v/>
      </c>
      <c r="W8369" s="21">
        <f>-$B$7051</f>
        <v/>
      </c>
      <c r="X8369" s="21">
        <f>$B$7050+$D$8347</f>
        <v/>
      </c>
      <c r="Y8369" s="21">
        <f>-$B$7051</f>
        <v/>
      </c>
      <c r="Z8369" s="19" t="n"/>
    </row>
    <row r="8370">
      <c r="D8370" s="21" t="n">
        <v>0</v>
      </c>
      <c r="E8370" s="21" t="n">
        <v>0</v>
      </c>
      <c r="F8370" s="21" t="n">
        <v>0</v>
      </c>
      <c r="G8370" s="21" t="n">
        <v>0</v>
      </c>
      <c r="H8370" s="21" t="n">
        <v>0</v>
      </c>
      <c r="I8370" s="21" t="n">
        <v>0</v>
      </c>
      <c r="J8370" s="21" t="n">
        <v>0</v>
      </c>
      <c r="K8370" s="21" t="n">
        <v>0</v>
      </c>
      <c r="L8370" s="21" t="n">
        <v>0</v>
      </c>
      <c r="M8370" s="21" t="n">
        <v>0</v>
      </c>
      <c r="N8370" s="21" t="n">
        <v>0</v>
      </c>
      <c r="O8370" s="21" t="n">
        <v>0</v>
      </c>
      <c r="P8370" s="21" t="n">
        <v>0</v>
      </c>
      <c r="Q8370" s="21" t="n">
        <v>0</v>
      </c>
      <c r="R8370" s="21" t="n">
        <v>0</v>
      </c>
      <c r="S8370" s="21" t="n">
        <v>0</v>
      </c>
      <c r="T8370" s="21" t="n">
        <v>0</v>
      </c>
      <c r="U8370" s="21" t="n">
        <v>0</v>
      </c>
      <c r="V8370" s="21">
        <f>$B$7051</f>
        <v/>
      </c>
      <c r="W8370" s="21">
        <f>$B$7053</f>
        <v/>
      </c>
      <c r="X8370" s="21">
        <f>-$B$7051</f>
        <v/>
      </c>
      <c r="Y8370" s="21">
        <f>$B$7052</f>
        <v/>
      </c>
      <c r="Z8370" s="19" t="n"/>
    </row>
    <row r="8372">
      <c r="A8372" s="8" t="inlineStr">
        <is>
          <t>gen 36</t>
        </is>
      </c>
    </row>
    <row r="8373">
      <c r="D8373" s="19">
        <f>IF(ABS(IF(ABS($E$8337)&gt;0.000000001,$E$8337,0.000000001))=0,0,IF($E$7065&lt;=$B$7059,0,IF(ABS(IF(ABS($E$8337)&gt;0.000000001,$E$8337,0.000000001))&gt;=8*$B$7061,$H$7065,0.5*$H$7065*(ABS(IF(ABS($E$8337)&gt;0.000000001,$E$8337,0.000000001))/$B$7061)^(1/3)))/ABS(IF(ABS($E$8337)&gt;0.000000001,$E$8337,0.000000001))*$I$7065)</f>
        <v/>
      </c>
      <c r="E8373" s="19">
        <f>0.5*$E$8337+0.5*$Z$8385</f>
        <v/>
      </c>
      <c r="F8373" s="19">
        <f>$Z$8386</f>
        <v/>
      </c>
    </row>
    <row r="8374">
      <c r="D8374" s="19">
        <f>IF(ABS(IF(ABS($E$8338)&gt;0.000000001,$E$8338,0.000000001))=0,0,IF($E$7066&lt;=$B$7059,0,IF(ABS(IF(ABS($E$8338)&gt;0.000000001,$E$8338,0.000000001))&gt;=8*$B$7061,$H$7066,0.5*$H$7066*(ABS(IF(ABS($E$8338)&gt;0.000000001,$E$8338,0.000000001))/$B$7061)^(1/3)))/ABS(IF(ABS($E$8338)&gt;0.000000001,$E$8338,0.000000001))*$I$7066)</f>
        <v/>
      </c>
      <c r="E8374" s="19">
        <f>0.5*$E$8338+0.5*$Z$8387</f>
        <v/>
      </c>
      <c r="F8374" s="19">
        <f>$Z$8388</f>
        <v/>
      </c>
    </row>
    <row r="8375">
      <c r="D8375" s="19">
        <f>IF(ABS(IF(ABS($E$8339)&gt;0.000000001,$E$8339,0.000000001))=0,0,IF($E$7067&lt;=$B$7059,0,IF(ABS(IF(ABS($E$8339)&gt;0.000000001,$E$8339,0.000000001))&gt;=8*$B$7061,$H$7067,0.5*$H$7067*(ABS(IF(ABS($E$8339)&gt;0.000000001,$E$8339,0.000000001))/$B$7061)^(1/3)))/ABS(IF(ABS($E$8339)&gt;0.000000001,$E$8339,0.000000001))*$I$7067)</f>
        <v/>
      </c>
      <c r="E8375" s="19">
        <f>0.5*$E$8339+0.5*$Z$8389</f>
        <v/>
      </c>
      <c r="F8375" s="19">
        <f>$Z$8390</f>
        <v/>
      </c>
    </row>
    <row r="8376">
      <c r="D8376" s="19">
        <f>IF(ABS(IF(ABS($E$8340)&gt;0.000000001,$E$8340,0.000000001))=0,0,IF($E$7068&lt;=$B$7059,0,IF(ABS(IF(ABS($E$8340)&gt;0.000000001,$E$8340,0.000000001))&gt;=8*$B$7061,$H$7068,0.5*$H$7068*(ABS(IF(ABS($E$8340)&gt;0.000000001,$E$8340,0.000000001))/$B$7061)^(1/3)))/ABS(IF(ABS($E$8340)&gt;0.000000001,$E$8340,0.000000001))*$I$7068)</f>
        <v/>
      </c>
      <c r="E8376" s="19">
        <f>0.5*$E$8340+0.5*$Z$8391</f>
        <v/>
      </c>
      <c r="F8376" s="19">
        <f>$Z$8392</f>
        <v/>
      </c>
    </row>
    <row r="8377">
      <c r="D8377" s="19">
        <f>IF(ABS(IF(ABS($E$8341)&gt;0.000000001,$E$8341,0.000000001))=0,0,IF($E$7069&lt;=$B$7059,0,IF(ABS(IF(ABS($E$8341)&gt;0.000000001,$E$8341,0.000000001))&gt;=8*$B$7061,$H$7069,0.5*$H$7069*(ABS(IF(ABS($E$8341)&gt;0.000000001,$E$8341,0.000000001))/$B$7061)^(1/3)))/ABS(IF(ABS($E$8341)&gt;0.000000001,$E$8341,0.000000001))*$I$7069)</f>
        <v/>
      </c>
      <c r="E8377" s="19">
        <f>0.5*$E$8341+0.5*$Z$8393</f>
        <v/>
      </c>
      <c r="F8377" s="19">
        <f>$Z$8394</f>
        <v/>
      </c>
    </row>
    <row r="8378">
      <c r="D8378" s="19">
        <f>IF(ABS(IF(ABS($E$8342)&gt;0.000000001,$E$8342,0.000000001))=0,0,IF($E$7070&lt;=$B$7059,0,IF(ABS(IF(ABS($E$8342)&gt;0.000000001,$E$8342,0.000000001))&gt;=8*$B$7061,$H$7070,0.5*$H$7070*(ABS(IF(ABS($E$8342)&gt;0.000000001,$E$8342,0.000000001))/$B$7061)^(1/3)))/ABS(IF(ABS($E$8342)&gt;0.000000001,$E$8342,0.000000001))*$I$7070)</f>
        <v/>
      </c>
      <c r="E8378" s="19">
        <f>0.5*$E$8342+0.5*$Z$8395</f>
        <v/>
      </c>
      <c r="F8378" s="19">
        <f>$Z$8396</f>
        <v/>
      </c>
    </row>
    <row r="8379">
      <c r="D8379" s="19">
        <f>IF(ABS(IF(ABS($E$8343)&gt;0.000000001,$E$8343,0.000000001))=0,0,IF($E$7071&lt;=$B$7059,0,IF(ABS(IF(ABS($E$8343)&gt;0.000000001,$E$8343,0.000000001))&gt;=8*$B$7061,$H$7071,0.5*$H$7071*(ABS(IF(ABS($E$8343)&gt;0.000000001,$E$8343,0.000000001))/$B$7061)^(1/3)))/ABS(IF(ABS($E$8343)&gt;0.000000001,$E$8343,0.000000001))*$I$7071)</f>
        <v/>
      </c>
      <c r="E8379" s="19">
        <f>0.5*$E$8343+0.5*$Z$8397</f>
        <v/>
      </c>
      <c r="F8379" s="19">
        <f>$Z$8398</f>
        <v/>
      </c>
    </row>
    <row r="8380">
      <c r="D8380" s="19">
        <f>IF(ABS(IF(ABS($E$8344)&gt;0.000000001,$E$8344,0.000000001))=0,0,IF($E$7072&lt;=$B$7059,0,IF(ABS(IF(ABS($E$8344)&gt;0.000000001,$E$8344,0.000000001))&gt;=8*$B$7061,$H$7072,0.5*$H$7072*(ABS(IF(ABS($E$8344)&gt;0.000000001,$E$8344,0.000000001))/$B$7061)^(1/3)))/ABS(IF(ABS($E$8344)&gt;0.000000001,$E$8344,0.000000001))*$I$7072)</f>
        <v/>
      </c>
      <c r="E8380" s="19">
        <f>0.5*$E$8344+0.5*$Z$8399</f>
        <v/>
      </c>
      <c r="F8380" s="19">
        <f>$Z$8400</f>
        <v/>
      </c>
    </row>
    <row r="8381">
      <c r="D8381" s="19">
        <f>IF(ABS(IF(ABS($E$8345)&gt;0.000000001,$E$8345,0.000000001))=0,0,IF($E$7073&lt;=$B$7059,0,IF(ABS(IF(ABS($E$8345)&gt;0.000000001,$E$8345,0.000000001))&gt;=8*$B$7061,$H$7073,0.5*$H$7073*(ABS(IF(ABS($E$8345)&gt;0.000000001,$E$8345,0.000000001))/$B$7061)^(1/3)))/ABS(IF(ABS($E$8345)&gt;0.000000001,$E$8345,0.000000001))*$I$7073)</f>
        <v/>
      </c>
      <c r="E8381" s="19">
        <f>0.5*$E$8345+0.5*$Z$8401</f>
        <v/>
      </c>
      <c r="F8381" s="19">
        <f>$Z$8402</f>
        <v/>
      </c>
    </row>
    <row r="8382">
      <c r="D8382" s="19">
        <f>IF(ABS(IF(ABS($E$8346)&gt;0.000000001,$E$8346,0.000000001))=0,0,IF($E$7074&lt;=$B$7059,0,IF(ABS(IF(ABS($E$8346)&gt;0.000000001,$E$8346,0.000000001))&gt;=8*$B$7061,$H$7074,0.5*$H$7074*(ABS(IF(ABS($E$8346)&gt;0.000000001,$E$8346,0.000000001))/$B$7061)^(1/3)))/ABS(IF(ABS($E$8346)&gt;0.000000001,$E$8346,0.000000001))*$I$7074)</f>
        <v/>
      </c>
      <c r="E8382" s="19">
        <f>0.5*$E$8346+0.5*$Z$8403</f>
        <v/>
      </c>
      <c r="F8382" s="19">
        <f>$Z$8404</f>
        <v/>
      </c>
    </row>
    <row r="8383">
      <c r="D8383" s="19">
        <f>IF(ABS(IF(ABS($E$8347)&gt;0.000000001,$E$8347,0.000000001))=0,0,IF($E$7075&lt;=$B$7059,0,IF(ABS(IF(ABS($E$8347)&gt;0.000000001,$E$8347,0.000000001))&gt;=8*$B$7061,$H$7075,0.5*$H$7075*(ABS(IF(ABS($E$8347)&gt;0.000000001,$E$8347,0.000000001))/$B$7061)^(1/3)))/ABS(IF(ABS($E$8347)&gt;0.000000001,$E$8347,0.000000001))*$I$7075)</f>
        <v/>
      </c>
      <c r="E8383" s="19">
        <f>0.5*$E$8347+0.5*$Z$8405</f>
        <v/>
      </c>
      <c r="F8383" s="19">
        <f>$Z$8406</f>
        <v/>
      </c>
    </row>
    <row r="8385">
      <c r="D8385" s="21">
        <f>$B$7050+$D$8373</f>
        <v/>
      </c>
      <c r="E8385" s="21">
        <f>$B$7051</f>
        <v/>
      </c>
      <c r="F8385" s="21">
        <f>-$B$7050</f>
        <v/>
      </c>
      <c r="G8385" s="21">
        <f>$B$7051</f>
        <v/>
      </c>
      <c r="H8385" s="21" t="n">
        <v>0</v>
      </c>
      <c r="I8385" s="21" t="n">
        <v>0</v>
      </c>
      <c r="J8385" s="21" t="n">
        <v>0</v>
      </c>
      <c r="K8385" s="21" t="n">
        <v>0</v>
      </c>
      <c r="L8385" s="21" t="n">
        <v>0</v>
      </c>
      <c r="M8385" s="21" t="n">
        <v>0</v>
      </c>
      <c r="N8385" s="21" t="n">
        <v>0</v>
      </c>
      <c r="O8385" s="21" t="n">
        <v>0</v>
      </c>
      <c r="P8385" s="21" t="n">
        <v>0</v>
      </c>
      <c r="Q8385" s="21" t="n">
        <v>0</v>
      </c>
      <c r="R8385" s="21" t="n">
        <v>0</v>
      </c>
      <c r="S8385" s="21" t="n">
        <v>0</v>
      </c>
      <c r="T8385" s="21" t="n">
        <v>0</v>
      </c>
      <c r="U8385" s="21" t="n">
        <v>0</v>
      </c>
      <c r="V8385" s="21" t="n">
        <v>0</v>
      </c>
      <c r="W8385" s="21" t="n">
        <v>0</v>
      </c>
      <c r="X8385" s="21" t="n">
        <v>0</v>
      </c>
      <c r="Y8385" s="21" t="n">
        <v>0</v>
      </c>
      <c r="Z8385" s="19">
        <f t="array" ref="Z8385:Z8406">MMULT(MINVERSE($D$8385:$Y$8406),$D$7077:$D$7098)</f>
        <v/>
      </c>
    </row>
    <row r="8386">
      <c r="D8386" s="21">
        <f>$B$7051</f>
        <v/>
      </c>
      <c r="E8386" s="21">
        <f>$B$7052</f>
        <v/>
      </c>
      <c r="F8386" s="21">
        <f>-$B$7051</f>
        <v/>
      </c>
      <c r="G8386" s="21">
        <f>$B$7053</f>
        <v/>
      </c>
      <c r="H8386" s="21" t="n">
        <v>0</v>
      </c>
      <c r="I8386" s="21" t="n">
        <v>0</v>
      </c>
      <c r="J8386" s="21" t="n">
        <v>0</v>
      </c>
      <c r="K8386" s="21" t="n">
        <v>0</v>
      </c>
      <c r="L8386" s="21" t="n">
        <v>0</v>
      </c>
      <c r="M8386" s="21" t="n">
        <v>0</v>
      </c>
      <c r="N8386" s="21" t="n">
        <v>0</v>
      </c>
      <c r="O8386" s="21" t="n">
        <v>0</v>
      </c>
      <c r="P8386" s="21" t="n">
        <v>0</v>
      </c>
      <c r="Q8386" s="21" t="n">
        <v>0</v>
      </c>
      <c r="R8386" s="21" t="n">
        <v>0</v>
      </c>
      <c r="S8386" s="21" t="n">
        <v>0</v>
      </c>
      <c r="T8386" s="21" t="n">
        <v>0</v>
      </c>
      <c r="U8386" s="21" t="n">
        <v>0</v>
      </c>
      <c r="V8386" s="21" t="n">
        <v>0</v>
      </c>
      <c r="W8386" s="21" t="n">
        <v>0</v>
      </c>
      <c r="X8386" s="21" t="n">
        <v>0</v>
      </c>
      <c r="Y8386" s="21" t="n">
        <v>0</v>
      </c>
      <c r="Z8386" s="19" t="n"/>
    </row>
    <row r="8387">
      <c r="D8387" s="21">
        <f>-$B$7050</f>
        <v/>
      </c>
      <c r="E8387" s="21">
        <f>-$B$7051</f>
        <v/>
      </c>
      <c r="F8387" s="21">
        <f>2*$B$7050+$D$8374</f>
        <v/>
      </c>
      <c r="G8387" s="21">
        <f>0</f>
        <v/>
      </c>
      <c r="H8387" s="21">
        <f>-$B$7050</f>
        <v/>
      </c>
      <c r="I8387" s="21">
        <f>$B$7051</f>
        <v/>
      </c>
      <c r="J8387" s="21" t="n">
        <v>0</v>
      </c>
      <c r="K8387" s="21" t="n">
        <v>0</v>
      </c>
      <c r="L8387" s="21" t="n">
        <v>0</v>
      </c>
      <c r="M8387" s="21" t="n">
        <v>0</v>
      </c>
      <c r="N8387" s="21" t="n">
        <v>0</v>
      </c>
      <c r="O8387" s="21" t="n">
        <v>0</v>
      </c>
      <c r="P8387" s="21" t="n">
        <v>0</v>
      </c>
      <c r="Q8387" s="21" t="n">
        <v>0</v>
      </c>
      <c r="R8387" s="21" t="n">
        <v>0</v>
      </c>
      <c r="S8387" s="21" t="n">
        <v>0</v>
      </c>
      <c r="T8387" s="21" t="n">
        <v>0</v>
      </c>
      <c r="U8387" s="21" t="n">
        <v>0</v>
      </c>
      <c r="V8387" s="21" t="n">
        <v>0</v>
      </c>
      <c r="W8387" s="21" t="n">
        <v>0</v>
      </c>
      <c r="X8387" s="21" t="n">
        <v>0</v>
      </c>
      <c r="Y8387" s="21" t="n">
        <v>0</v>
      </c>
      <c r="Z8387" s="19" t="n"/>
    </row>
    <row r="8388">
      <c r="D8388" s="21">
        <f>$B$7051</f>
        <v/>
      </c>
      <c r="E8388" s="21">
        <f>$B$7053</f>
        <v/>
      </c>
      <c r="F8388" s="21">
        <f>0</f>
        <v/>
      </c>
      <c r="G8388" s="21">
        <f>2*$B$7052</f>
        <v/>
      </c>
      <c r="H8388" s="21">
        <f>-$B$7051</f>
        <v/>
      </c>
      <c r="I8388" s="21">
        <f>$B$7053</f>
        <v/>
      </c>
      <c r="J8388" s="21" t="n">
        <v>0</v>
      </c>
      <c r="K8388" s="21" t="n">
        <v>0</v>
      </c>
      <c r="L8388" s="21" t="n">
        <v>0</v>
      </c>
      <c r="M8388" s="21" t="n">
        <v>0</v>
      </c>
      <c r="N8388" s="21" t="n">
        <v>0</v>
      </c>
      <c r="O8388" s="21" t="n">
        <v>0</v>
      </c>
      <c r="P8388" s="21" t="n">
        <v>0</v>
      </c>
      <c r="Q8388" s="21" t="n">
        <v>0</v>
      </c>
      <c r="R8388" s="21" t="n">
        <v>0</v>
      </c>
      <c r="S8388" s="21" t="n">
        <v>0</v>
      </c>
      <c r="T8388" s="21" t="n">
        <v>0</v>
      </c>
      <c r="U8388" s="21" t="n">
        <v>0</v>
      </c>
      <c r="V8388" s="21" t="n">
        <v>0</v>
      </c>
      <c r="W8388" s="21" t="n">
        <v>0</v>
      </c>
      <c r="X8388" s="21" t="n">
        <v>0</v>
      </c>
      <c r="Y8388" s="21" t="n">
        <v>0</v>
      </c>
      <c r="Z8388" s="19" t="n"/>
    </row>
    <row r="8389">
      <c r="D8389" s="21" t="n">
        <v>0</v>
      </c>
      <c r="E8389" s="21" t="n">
        <v>0</v>
      </c>
      <c r="F8389" s="21">
        <f>-$B$7050</f>
        <v/>
      </c>
      <c r="G8389" s="21">
        <f>-$B$7051</f>
        <v/>
      </c>
      <c r="H8389" s="21">
        <f>2*$B$7050+$D$8375</f>
        <v/>
      </c>
      <c r="I8389" s="21">
        <f>0</f>
        <v/>
      </c>
      <c r="J8389" s="21">
        <f>-$B$7050</f>
        <v/>
      </c>
      <c r="K8389" s="21">
        <f>$B$7051</f>
        <v/>
      </c>
      <c r="L8389" s="21" t="n">
        <v>0</v>
      </c>
      <c r="M8389" s="21" t="n">
        <v>0</v>
      </c>
      <c r="N8389" s="21" t="n">
        <v>0</v>
      </c>
      <c r="O8389" s="21" t="n">
        <v>0</v>
      </c>
      <c r="P8389" s="21" t="n">
        <v>0</v>
      </c>
      <c r="Q8389" s="21" t="n">
        <v>0</v>
      </c>
      <c r="R8389" s="21" t="n">
        <v>0</v>
      </c>
      <c r="S8389" s="21" t="n">
        <v>0</v>
      </c>
      <c r="T8389" s="21" t="n">
        <v>0</v>
      </c>
      <c r="U8389" s="21" t="n">
        <v>0</v>
      </c>
      <c r="V8389" s="21" t="n">
        <v>0</v>
      </c>
      <c r="W8389" s="21" t="n">
        <v>0</v>
      </c>
      <c r="X8389" s="21" t="n">
        <v>0</v>
      </c>
      <c r="Y8389" s="21" t="n">
        <v>0</v>
      </c>
      <c r="Z8389" s="19" t="n"/>
    </row>
    <row r="8390">
      <c r="D8390" s="21" t="n">
        <v>0</v>
      </c>
      <c r="E8390" s="21" t="n">
        <v>0</v>
      </c>
      <c r="F8390" s="21">
        <f>$B$7051</f>
        <v/>
      </c>
      <c r="G8390" s="21">
        <f>$B$7053</f>
        <v/>
      </c>
      <c r="H8390" s="21">
        <f>0</f>
        <v/>
      </c>
      <c r="I8390" s="21">
        <f>2*$B$7052</f>
        <v/>
      </c>
      <c r="J8390" s="21">
        <f>-$B$7051</f>
        <v/>
      </c>
      <c r="K8390" s="21">
        <f>$B$7053</f>
        <v/>
      </c>
      <c r="L8390" s="21" t="n">
        <v>0</v>
      </c>
      <c r="M8390" s="21" t="n">
        <v>0</v>
      </c>
      <c r="N8390" s="21" t="n">
        <v>0</v>
      </c>
      <c r="O8390" s="21" t="n">
        <v>0</v>
      </c>
      <c r="P8390" s="21" t="n">
        <v>0</v>
      </c>
      <c r="Q8390" s="21" t="n">
        <v>0</v>
      </c>
      <c r="R8390" s="21" t="n">
        <v>0</v>
      </c>
      <c r="S8390" s="21" t="n">
        <v>0</v>
      </c>
      <c r="T8390" s="21" t="n">
        <v>0</v>
      </c>
      <c r="U8390" s="21" t="n">
        <v>0</v>
      </c>
      <c r="V8390" s="21" t="n">
        <v>0</v>
      </c>
      <c r="W8390" s="21" t="n">
        <v>0</v>
      </c>
      <c r="X8390" s="21" t="n">
        <v>0</v>
      </c>
      <c r="Y8390" s="21" t="n">
        <v>0</v>
      </c>
      <c r="Z8390" s="19" t="n"/>
    </row>
    <row r="8391">
      <c r="D8391" s="21" t="n">
        <v>0</v>
      </c>
      <c r="E8391" s="21" t="n">
        <v>0</v>
      </c>
      <c r="F8391" s="21" t="n">
        <v>0</v>
      </c>
      <c r="G8391" s="21" t="n">
        <v>0</v>
      </c>
      <c r="H8391" s="21">
        <f>-$B$7050</f>
        <v/>
      </c>
      <c r="I8391" s="21">
        <f>-$B$7051</f>
        <v/>
      </c>
      <c r="J8391" s="21">
        <f>2*$B$7050+$D$8376</f>
        <v/>
      </c>
      <c r="K8391" s="21">
        <f>0</f>
        <v/>
      </c>
      <c r="L8391" s="21">
        <f>-$B$7050</f>
        <v/>
      </c>
      <c r="M8391" s="21">
        <f>$B$7051</f>
        <v/>
      </c>
      <c r="N8391" s="21" t="n">
        <v>0</v>
      </c>
      <c r="O8391" s="21" t="n">
        <v>0</v>
      </c>
      <c r="P8391" s="21" t="n">
        <v>0</v>
      </c>
      <c r="Q8391" s="21" t="n">
        <v>0</v>
      </c>
      <c r="R8391" s="21" t="n">
        <v>0</v>
      </c>
      <c r="S8391" s="21" t="n">
        <v>0</v>
      </c>
      <c r="T8391" s="21" t="n">
        <v>0</v>
      </c>
      <c r="U8391" s="21" t="n">
        <v>0</v>
      </c>
      <c r="V8391" s="21" t="n">
        <v>0</v>
      </c>
      <c r="W8391" s="21" t="n">
        <v>0</v>
      </c>
      <c r="X8391" s="21" t="n">
        <v>0</v>
      </c>
      <c r="Y8391" s="21" t="n">
        <v>0</v>
      </c>
      <c r="Z8391" s="19" t="n"/>
    </row>
    <row r="8392">
      <c r="D8392" s="21" t="n">
        <v>0</v>
      </c>
      <c r="E8392" s="21" t="n">
        <v>0</v>
      </c>
      <c r="F8392" s="21" t="n">
        <v>0</v>
      </c>
      <c r="G8392" s="21" t="n">
        <v>0</v>
      </c>
      <c r="H8392" s="21">
        <f>$B$7051</f>
        <v/>
      </c>
      <c r="I8392" s="21">
        <f>$B$7053</f>
        <v/>
      </c>
      <c r="J8392" s="21">
        <f>0</f>
        <v/>
      </c>
      <c r="K8392" s="21">
        <f>2*$B$7052</f>
        <v/>
      </c>
      <c r="L8392" s="21">
        <f>-$B$7051</f>
        <v/>
      </c>
      <c r="M8392" s="21">
        <f>$B$7053</f>
        <v/>
      </c>
      <c r="N8392" s="21" t="n">
        <v>0</v>
      </c>
      <c r="O8392" s="21" t="n">
        <v>0</v>
      </c>
      <c r="P8392" s="21" t="n">
        <v>0</v>
      </c>
      <c r="Q8392" s="21" t="n">
        <v>0</v>
      </c>
      <c r="R8392" s="21" t="n">
        <v>0</v>
      </c>
      <c r="S8392" s="21" t="n">
        <v>0</v>
      </c>
      <c r="T8392" s="21" t="n">
        <v>0</v>
      </c>
      <c r="U8392" s="21" t="n">
        <v>0</v>
      </c>
      <c r="V8392" s="21" t="n">
        <v>0</v>
      </c>
      <c r="W8392" s="21" t="n">
        <v>0</v>
      </c>
      <c r="X8392" s="21" t="n">
        <v>0</v>
      </c>
      <c r="Y8392" s="21" t="n">
        <v>0</v>
      </c>
      <c r="Z8392" s="19" t="n"/>
    </row>
    <row r="8393">
      <c r="D8393" s="21" t="n">
        <v>0</v>
      </c>
      <c r="E8393" s="21" t="n">
        <v>0</v>
      </c>
      <c r="F8393" s="21" t="n">
        <v>0</v>
      </c>
      <c r="G8393" s="21" t="n">
        <v>0</v>
      </c>
      <c r="H8393" s="21" t="n">
        <v>0</v>
      </c>
      <c r="I8393" s="21" t="n">
        <v>0</v>
      </c>
      <c r="J8393" s="21">
        <f>-$B$7050</f>
        <v/>
      </c>
      <c r="K8393" s="21">
        <f>-$B$7051</f>
        <v/>
      </c>
      <c r="L8393" s="21">
        <f>2*$B$7050+$D$8377</f>
        <v/>
      </c>
      <c r="M8393" s="21">
        <f>0</f>
        <v/>
      </c>
      <c r="N8393" s="21">
        <f>-$B$7050</f>
        <v/>
      </c>
      <c r="O8393" s="21">
        <f>$B$7051</f>
        <v/>
      </c>
      <c r="P8393" s="21" t="n">
        <v>0</v>
      </c>
      <c r="Q8393" s="21" t="n">
        <v>0</v>
      </c>
      <c r="R8393" s="21" t="n">
        <v>0</v>
      </c>
      <c r="S8393" s="21" t="n">
        <v>0</v>
      </c>
      <c r="T8393" s="21" t="n">
        <v>0</v>
      </c>
      <c r="U8393" s="21" t="n">
        <v>0</v>
      </c>
      <c r="V8393" s="21" t="n">
        <v>0</v>
      </c>
      <c r="W8393" s="21" t="n">
        <v>0</v>
      </c>
      <c r="X8393" s="21" t="n">
        <v>0</v>
      </c>
      <c r="Y8393" s="21" t="n">
        <v>0</v>
      </c>
      <c r="Z8393" s="19" t="n"/>
    </row>
    <row r="8394">
      <c r="D8394" s="21" t="n">
        <v>0</v>
      </c>
      <c r="E8394" s="21" t="n">
        <v>0</v>
      </c>
      <c r="F8394" s="21" t="n">
        <v>0</v>
      </c>
      <c r="G8394" s="21" t="n">
        <v>0</v>
      </c>
      <c r="H8394" s="21" t="n">
        <v>0</v>
      </c>
      <c r="I8394" s="21" t="n">
        <v>0</v>
      </c>
      <c r="J8394" s="21">
        <f>$B$7051</f>
        <v/>
      </c>
      <c r="K8394" s="21">
        <f>$B$7053</f>
        <v/>
      </c>
      <c r="L8394" s="21">
        <f>0</f>
        <v/>
      </c>
      <c r="M8394" s="21">
        <f>2*$B$7052</f>
        <v/>
      </c>
      <c r="N8394" s="21">
        <f>-$B$7051</f>
        <v/>
      </c>
      <c r="O8394" s="21">
        <f>$B$7053</f>
        <v/>
      </c>
      <c r="P8394" s="21" t="n">
        <v>0</v>
      </c>
      <c r="Q8394" s="21" t="n">
        <v>0</v>
      </c>
      <c r="R8394" s="21" t="n">
        <v>0</v>
      </c>
      <c r="S8394" s="21" t="n">
        <v>0</v>
      </c>
      <c r="T8394" s="21" t="n">
        <v>0</v>
      </c>
      <c r="U8394" s="21" t="n">
        <v>0</v>
      </c>
      <c r="V8394" s="21" t="n">
        <v>0</v>
      </c>
      <c r="W8394" s="21" t="n">
        <v>0</v>
      </c>
      <c r="X8394" s="21" t="n">
        <v>0</v>
      </c>
      <c r="Y8394" s="21" t="n">
        <v>0</v>
      </c>
      <c r="Z8394" s="19" t="n"/>
    </row>
    <row r="8395">
      <c r="D8395" s="21" t="n">
        <v>0</v>
      </c>
      <c r="E8395" s="21" t="n">
        <v>0</v>
      </c>
      <c r="F8395" s="21" t="n">
        <v>0</v>
      </c>
      <c r="G8395" s="21" t="n">
        <v>0</v>
      </c>
      <c r="H8395" s="21" t="n">
        <v>0</v>
      </c>
      <c r="I8395" s="21" t="n">
        <v>0</v>
      </c>
      <c r="J8395" s="21" t="n">
        <v>0</v>
      </c>
      <c r="K8395" s="21" t="n">
        <v>0</v>
      </c>
      <c r="L8395" s="21">
        <f>-$B$7050</f>
        <v/>
      </c>
      <c r="M8395" s="21">
        <f>-$B$7051</f>
        <v/>
      </c>
      <c r="N8395" s="21">
        <f>2*$B$7050+$D$8378</f>
        <v/>
      </c>
      <c r="O8395" s="21">
        <f>0</f>
        <v/>
      </c>
      <c r="P8395" s="21">
        <f>-$B$7050</f>
        <v/>
      </c>
      <c r="Q8395" s="21">
        <f>$B$7051</f>
        <v/>
      </c>
      <c r="R8395" s="21" t="n">
        <v>0</v>
      </c>
      <c r="S8395" s="21" t="n">
        <v>0</v>
      </c>
      <c r="T8395" s="21" t="n">
        <v>0</v>
      </c>
      <c r="U8395" s="21" t="n">
        <v>0</v>
      </c>
      <c r="V8395" s="21" t="n">
        <v>0</v>
      </c>
      <c r="W8395" s="21" t="n">
        <v>0</v>
      </c>
      <c r="X8395" s="21" t="n">
        <v>0</v>
      </c>
      <c r="Y8395" s="21" t="n">
        <v>0</v>
      </c>
      <c r="Z8395" s="19" t="n"/>
    </row>
    <row r="8396">
      <c r="D8396" s="21" t="n">
        <v>0</v>
      </c>
      <c r="E8396" s="21" t="n">
        <v>0</v>
      </c>
      <c r="F8396" s="21" t="n">
        <v>0</v>
      </c>
      <c r="G8396" s="21" t="n">
        <v>0</v>
      </c>
      <c r="H8396" s="21" t="n">
        <v>0</v>
      </c>
      <c r="I8396" s="21" t="n">
        <v>0</v>
      </c>
      <c r="J8396" s="21" t="n">
        <v>0</v>
      </c>
      <c r="K8396" s="21" t="n">
        <v>0</v>
      </c>
      <c r="L8396" s="21">
        <f>$B$7051</f>
        <v/>
      </c>
      <c r="M8396" s="21">
        <f>$B$7053</f>
        <v/>
      </c>
      <c r="N8396" s="21">
        <f>0</f>
        <v/>
      </c>
      <c r="O8396" s="21">
        <f>2*$B$7052</f>
        <v/>
      </c>
      <c r="P8396" s="21">
        <f>-$B$7051</f>
        <v/>
      </c>
      <c r="Q8396" s="21">
        <f>$B$7053</f>
        <v/>
      </c>
      <c r="R8396" s="21" t="n">
        <v>0</v>
      </c>
      <c r="S8396" s="21" t="n">
        <v>0</v>
      </c>
      <c r="T8396" s="21" t="n">
        <v>0</v>
      </c>
      <c r="U8396" s="21" t="n">
        <v>0</v>
      </c>
      <c r="V8396" s="21" t="n">
        <v>0</v>
      </c>
      <c r="W8396" s="21" t="n">
        <v>0</v>
      </c>
      <c r="X8396" s="21" t="n">
        <v>0</v>
      </c>
      <c r="Y8396" s="21" t="n">
        <v>0</v>
      </c>
      <c r="Z8396" s="19" t="n"/>
    </row>
    <row r="8397">
      <c r="D8397" s="21" t="n">
        <v>0</v>
      </c>
      <c r="E8397" s="21" t="n">
        <v>0</v>
      </c>
      <c r="F8397" s="21" t="n">
        <v>0</v>
      </c>
      <c r="G8397" s="21" t="n">
        <v>0</v>
      </c>
      <c r="H8397" s="21" t="n">
        <v>0</v>
      </c>
      <c r="I8397" s="21" t="n">
        <v>0</v>
      </c>
      <c r="J8397" s="21" t="n">
        <v>0</v>
      </c>
      <c r="K8397" s="21" t="n">
        <v>0</v>
      </c>
      <c r="L8397" s="21" t="n">
        <v>0</v>
      </c>
      <c r="M8397" s="21" t="n">
        <v>0</v>
      </c>
      <c r="N8397" s="21">
        <f>-$B$7050</f>
        <v/>
      </c>
      <c r="O8397" s="21">
        <f>-$B$7051</f>
        <v/>
      </c>
      <c r="P8397" s="21">
        <f>2*$B$7050+$D$8379</f>
        <v/>
      </c>
      <c r="Q8397" s="21">
        <f>0</f>
        <v/>
      </c>
      <c r="R8397" s="21">
        <f>-$B$7050</f>
        <v/>
      </c>
      <c r="S8397" s="21">
        <f>$B$7051</f>
        <v/>
      </c>
      <c r="T8397" s="21" t="n">
        <v>0</v>
      </c>
      <c r="U8397" s="21" t="n">
        <v>0</v>
      </c>
      <c r="V8397" s="21" t="n">
        <v>0</v>
      </c>
      <c r="W8397" s="21" t="n">
        <v>0</v>
      </c>
      <c r="X8397" s="21" t="n">
        <v>0</v>
      </c>
      <c r="Y8397" s="21" t="n">
        <v>0</v>
      </c>
      <c r="Z8397" s="19" t="n"/>
    </row>
    <row r="8398">
      <c r="D8398" s="21" t="n">
        <v>0</v>
      </c>
      <c r="E8398" s="21" t="n">
        <v>0</v>
      </c>
      <c r="F8398" s="21" t="n">
        <v>0</v>
      </c>
      <c r="G8398" s="21" t="n">
        <v>0</v>
      </c>
      <c r="H8398" s="21" t="n">
        <v>0</v>
      </c>
      <c r="I8398" s="21" t="n">
        <v>0</v>
      </c>
      <c r="J8398" s="21" t="n">
        <v>0</v>
      </c>
      <c r="K8398" s="21" t="n">
        <v>0</v>
      </c>
      <c r="L8398" s="21" t="n">
        <v>0</v>
      </c>
      <c r="M8398" s="21" t="n">
        <v>0</v>
      </c>
      <c r="N8398" s="21">
        <f>$B$7051</f>
        <v/>
      </c>
      <c r="O8398" s="21">
        <f>$B$7053</f>
        <v/>
      </c>
      <c r="P8398" s="21">
        <f>0</f>
        <v/>
      </c>
      <c r="Q8398" s="21">
        <f>2*$B$7052</f>
        <v/>
      </c>
      <c r="R8398" s="21">
        <f>-$B$7051</f>
        <v/>
      </c>
      <c r="S8398" s="21">
        <f>$B$7053</f>
        <v/>
      </c>
      <c r="T8398" s="21" t="n">
        <v>0</v>
      </c>
      <c r="U8398" s="21" t="n">
        <v>0</v>
      </c>
      <c r="V8398" s="21" t="n">
        <v>0</v>
      </c>
      <c r="W8398" s="21" t="n">
        <v>0</v>
      </c>
      <c r="X8398" s="21" t="n">
        <v>0</v>
      </c>
      <c r="Y8398" s="21" t="n">
        <v>0</v>
      </c>
      <c r="Z8398" s="19" t="n"/>
    </row>
    <row r="8399">
      <c r="D8399" s="21" t="n">
        <v>0</v>
      </c>
      <c r="E8399" s="21" t="n">
        <v>0</v>
      </c>
      <c r="F8399" s="21" t="n">
        <v>0</v>
      </c>
      <c r="G8399" s="21" t="n">
        <v>0</v>
      </c>
      <c r="H8399" s="21" t="n">
        <v>0</v>
      </c>
      <c r="I8399" s="21" t="n">
        <v>0</v>
      </c>
      <c r="J8399" s="21" t="n">
        <v>0</v>
      </c>
      <c r="K8399" s="21" t="n">
        <v>0</v>
      </c>
      <c r="L8399" s="21" t="n">
        <v>0</v>
      </c>
      <c r="M8399" s="21" t="n">
        <v>0</v>
      </c>
      <c r="N8399" s="21" t="n">
        <v>0</v>
      </c>
      <c r="O8399" s="21" t="n">
        <v>0</v>
      </c>
      <c r="P8399" s="21">
        <f>-$B$7050</f>
        <v/>
      </c>
      <c r="Q8399" s="21">
        <f>-$B$7051</f>
        <v/>
      </c>
      <c r="R8399" s="21">
        <f>2*$B$7050+$D$8380</f>
        <v/>
      </c>
      <c r="S8399" s="21">
        <f>0</f>
        <v/>
      </c>
      <c r="T8399" s="21">
        <f>-$B$7050</f>
        <v/>
      </c>
      <c r="U8399" s="21">
        <f>$B$7051</f>
        <v/>
      </c>
      <c r="V8399" s="21" t="n">
        <v>0</v>
      </c>
      <c r="W8399" s="21" t="n">
        <v>0</v>
      </c>
      <c r="X8399" s="21" t="n">
        <v>0</v>
      </c>
      <c r="Y8399" s="21" t="n">
        <v>0</v>
      </c>
      <c r="Z8399" s="19" t="n"/>
    </row>
    <row r="8400">
      <c r="D8400" s="21" t="n">
        <v>0</v>
      </c>
      <c r="E8400" s="21" t="n">
        <v>0</v>
      </c>
      <c r="F8400" s="21" t="n">
        <v>0</v>
      </c>
      <c r="G8400" s="21" t="n">
        <v>0</v>
      </c>
      <c r="H8400" s="21" t="n">
        <v>0</v>
      </c>
      <c r="I8400" s="21" t="n">
        <v>0</v>
      </c>
      <c r="J8400" s="21" t="n">
        <v>0</v>
      </c>
      <c r="K8400" s="21" t="n">
        <v>0</v>
      </c>
      <c r="L8400" s="21" t="n">
        <v>0</v>
      </c>
      <c r="M8400" s="21" t="n">
        <v>0</v>
      </c>
      <c r="N8400" s="21" t="n">
        <v>0</v>
      </c>
      <c r="O8400" s="21" t="n">
        <v>0</v>
      </c>
      <c r="P8400" s="21">
        <f>$B$7051</f>
        <v/>
      </c>
      <c r="Q8400" s="21">
        <f>$B$7053</f>
        <v/>
      </c>
      <c r="R8400" s="21">
        <f>0</f>
        <v/>
      </c>
      <c r="S8400" s="21">
        <f>2*$B$7052</f>
        <v/>
      </c>
      <c r="T8400" s="21">
        <f>-$B$7051</f>
        <v/>
      </c>
      <c r="U8400" s="21">
        <f>$B$7053</f>
        <v/>
      </c>
      <c r="V8400" s="21" t="n">
        <v>0</v>
      </c>
      <c r="W8400" s="21" t="n">
        <v>0</v>
      </c>
      <c r="X8400" s="21" t="n">
        <v>0</v>
      </c>
      <c r="Y8400" s="21" t="n">
        <v>0</v>
      </c>
      <c r="Z8400" s="19" t="n"/>
    </row>
    <row r="8401">
      <c r="D8401" s="21" t="n">
        <v>0</v>
      </c>
      <c r="E8401" s="21" t="n">
        <v>0</v>
      </c>
      <c r="F8401" s="21" t="n">
        <v>0</v>
      </c>
      <c r="G8401" s="21" t="n">
        <v>0</v>
      </c>
      <c r="H8401" s="21" t="n">
        <v>0</v>
      </c>
      <c r="I8401" s="21" t="n">
        <v>0</v>
      </c>
      <c r="J8401" s="21" t="n">
        <v>0</v>
      </c>
      <c r="K8401" s="21" t="n">
        <v>0</v>
      </c>
      <c r="L8401" s="21" t="n">
        <v>0</v>
      </c>
      <c r="M8401" s="21" t="n">
        <v>0</v>
      </c>
      <c r="N8401" s="21" t="n">
        <v>0</v>
      </c>
      <c r="O8401" s="21" t="n">
        <v>0</v>
      </c>
      <c r="P8401" s="21" t="n">
        <v>0</v>
      </c>
      <c r="Q8401" s="21" t="n">
        <v>0</v>
      </c>
      <c r="R8401" s="21">
        <f>-$B$7050</f>
        <v/>
      </c>
      <c r="S8401" s="21">
        <f>-$B$7051</f>
        <v/>
      </c>
      <c r="T8401" s="21">
        <f>2*$B$7050+$D$8381</f>
        <v/>
      </c>
      <c r="U8401" s="21">
        <f>0</f>
        <v/>
      </c>
      <c r="V8401" s="21">
        <f>-$B$7050</f>
        <v/>
      </c>
      <c r="W8401" s="21">
        <f>$B$7051</f>
        <v/>
      </c>
      <c r="X8401" s="21" t="n">
        <v>0</v>
      </c>
      <c r="Y8401" s="21" t="n">
        <v>0</v>
      </c>
      <c r="Z8401" s="19" t="n"/>
    </row>
    <row r="8402">
      <c r="D8402" s="21" t="n">
        <v>0</v>
      </c>
      <c r="E8402" s="21" t="n">
        <v>0</v>
      </c>
      <c r="F8402" s="21" t="n">
        <v>0</v>
      </c>
      <c r="G8402" s="21" t="n">
        <v>0</v>
      </c>
      <c r="H8402" s="21" t="n">
        <v>0</v>
      </c>
      <c r="I8402" s="21" t="n">
        <v>0</v>
      </c>
      <c r="J8402" s="21" t="n">
        <v>0</v>
      </c>
      <c r="K8402" s="21" t="n">
        <v>0</v>
      </c>
      <c r="L8402" s="21" t="n">
        <v>0</v>
      </c>
      <c r="M8402" s="21" t="n">
        <v>0</v>
      </c>
      <c r="N8402" s="21" t="n">
        <v>0</v>
      </c>
      <c r="O8402" s="21" t="n">
        <v>0</v>
      </c>
      <c r="P8402" s="21" t="n">
        <v>0</v>
      </c>
      <c r="Q8402" s="21" t="n">
        <v>0</v>
      </c>
      <c r="R8402" s="21">
        <f>$B$7051</f>
        <v/>
      </c>
      <c r="S8402" s="21">
        <f>$B$7053</f>
        <v/>
      </c>
      <c r="T8402" s="21">
        <f>0</f>
        <v/>
      </c>
      <c r="U8402" s="21">
        <f>2*$B$7052</f>
        <v/>
      </c>
      <c r="V8402" s="21">
        <f>-$B$7051</f>
        <v/>
      </c>
      <c r="W8402" s="21">
        <f>$B$7053</f>
        <v/>
      </c>
      <c r="X8402" s="21" t="n">
        <v>0</v>
      </c>
      <c r="Y8402" s="21" t="n">
        <v>0</v>
      </c>
      <c r="Z8402" s="19" t="n"/>
    </row>
    <row r="8403">
      <c r="D8403" s="21" t="n">
        <v>0</v>
      </c>
      <c r="E8403" s="21" t="n">
        <v>0</v>
      </c>
      <c r="F8403" s="21" t="n">
        <v>0</v>
      </c>
      <c r="G8403" s="21" t="n">
        <v>0</v>
      </c>
      <c r="H8403" s="21" t="n">
        <v>0</v>
      </c>
      <c r="I8403" s="21" t="n">
        <v>0</v>
      </c>
      <c r="J8403" s="21" t="n">
        <v>0</v>
      </c>
      <c r="K8403" s="21" t="n">
        <v>0</v>
      </c>
      <c r="L8403" s="21" t="n">
        <v>0</v>
      </c>
      <c r="M8403" s="21" t="n">
        <v>0</v>
      </c>
      <c r="N8403" s="21" t="n">
        <v>0</v>
      </c>
      <c r="O8403" s="21" t="n">
        <v>0</v>
      </c>
      <c r="P8403" s="21" t="n">
        <v>0</v>
      </c>
      <c r="Q8403" s="21" t="n">
        <v>0</v>
      </c>
      <c r="R8403" s="21" t="n">
        <v>0</v>
      </c>
      <c r="S8403" s="21" t="n">
        <v>0</v>
      </c>
      <c r="T8403" s="21">
        <f>-$B$7050</f>
        <v/>
      </c>
      <c r="U8403" s="21">
        <f>-$B$7051</f>
        <v/>
      </c>
      <c r="V8403" s="21">
        <f>2*$B$7050+$D$8382</f>
        <v/>
      </c>
      <c r="W8403" s="21">
        <f>0</f>
        <v/>
      </c>
      <c r="X8403" s="21">
        <f>-$B$7050</f>
        <v/>
      </c>
      <c r="Y8403" s="21">
        <f>$B$7051</f>
        <v/>
      </c>
      <c r="Z8403" s="19" t="n"/>
    </row>
    <row r="8404">
      <c r="D8404" s="21" t="n">
        <v>0</v>
      </c>
      <c r="E8404" s="21" t="n">
        <v>0</v>
      </c>
      <c r="F8404" s="21" t="n">
        <v>0</v>
      </c>
      <c r="G8404" s="21" t="n">
        <v>0</v>
      </c>
      <c r="H8404" s="21" t="n">
        <v>0</v>
      </c>
      <c r="I8404" s="21" t="n">
        <v>0</v>
      </c>
      <c r="J8404" s="21" t="n">
        <v>0</v>
      </c>
      <c r="K8404" s="21" t="n">
        <v>0</v>
      </c>
      <c r="L8404" s="21" t="n">
        <v>0</v>
      </c>
      <c r="M8404" s="21" t="n">
        <v>0</v>
      </c>
      <c r="N8404" s="21" t="n">
        <v>0</v>
      </c>
      <c r="O8404" s="21" t="n">
        <v>0</v>
      </c>
      <c r="P8404" s="21" t="n">
        <v>0</v>
      </c>
      <c r="Q8404" s="21" t="n">
        <v>0</v>
      </c>
      <c r="R8404" s="21" t="n">
        <v>0</v>
      </c>
      <c r="S8404" s="21" t="n">
        <v>0</v>
      </c>
      <c r="T8404" s="21">
        <f>$B$7051</f>
        <v/>
      </c>
      <c r="U8404" s="21">
        <f>$B$7053</f>
        <v/>
      </c>
      <c r="V8404" s="21">
        <f>0</f>
        <v/>
      </c>
      <c r="W8404" s="21">
        <f>2*$B$7052</f>
        <v/>
      </c>
      <c r="X8404" s="21">
        <f>-$B$7051</f>
        <v/>
      </c>
      <c r="Y8404" s="21">
        <f>$B$7053</f>
        <v/>
      </c>
      <c r="Z8404" s="19" t="n"/>
    </row>
    <row r="8405">
      <c r="D8405" s="21" t="n">
        <v>0</v>
      </c>
      <c r="E8405" s="21" t="n">
        <v>0</v>
      </c>
      <c r="F8405" s="21" t="n">
        <v>0</v>
      </c>
      <c r="G8405" s="21" t="n">
        <v>0</v>
      </c>
      <c r="H8405" s="21" t="n">
        <v>0</v>
      </c>
      <c r="I8405" s="21" t="n">
        <v>0</v>
      </c>
      <c r="J8405" s="21" t="n">
        <v>0</v>
      </c>
      <c r="K8405" s="21" t="n">
        <v>0</v>
      </c>
      <c r="L8405" s="21" t="n">
        <v>0</v>
      </c>
      <c r="M8405" s="21" t="n">
        <v>0</v>
      </c>
      <c r="N8405" s="21" t="n">
        <v>0</v>
      </c>
      <c r="O8405" s="21" t="n">
        <v>0</v>
      </c>
      <c r="P8405" s="21" t="n">
        <v>0</v>
      </c>
      <c r="Q8405" s="21" t="n">
        <v>0</v>
      </c>
      <c r="R8405" s="21" t="n">
        <v>0</v>
      </c>
      <c r="S8405" s="21" t="n">
        <v>0</v>
      </c>
      <c r="T8405" s="21" t="n">
        <v>0</v>
      </c>
      <c r="U8405" s="21" t="n">
        <v>0</v>
      </c>
      <c r="V8405" s="21">
        <f>-$B$7050</f>
        <v/>
      </c>
      <c r="W8405" s="21">
        <f>-$B$7051</f>
        <v/>
      </c>
      <c r="X8405" s="21">
        <f>$B$7050+$D$8383</f>
        <v/>
      </c>
      <c r="Y8405" s="21">
        <f>-$B$7051</f>
        <v/>
      </c>
      <c r="Z8405" s="19" t="n"/>
    </row>
    <row r="8406">
      <c r="D8406" s="21" t="n">
        <v>0</v>
      </c>
      <c r="E8406" s="21" t="n">
        <v>0</v>
      </c>
      <c r="F8406" s="21" t="n">
        <v>0</v>
      </c>
      <c r="G8406" s="21" t="n">
        <v>0</v>
      </c>
      <c r="H8406" s="21" t="n">
        <v>0</v>
      </c>
      <c r="I8406" s="21" t="n">
        <v>0</v>
      </c>
      <c r="J8406" s="21" t="n">
        <v>0</v>
      </c>
      <c r="K8406" s="21" t="n">
        <v>0</v>
      </c>
      <c r="L8406" s="21" t="n">
        <v>0</v>
      </c>
      <c r="M8406" s="21" t="n">
        <v>0</v>
      </c>
      <c r="N8406" s="21" t="n">
        <v>0</v>
      </c>
      <c r="O8406" s="21" t="n">
        <v>0</v>
      </c>
      <c r="P8406" s="21" t="n">
        <v>0</v>
      </c>
      <c r="Q8406" s="21" t="n">
        <v>0</v>
      </c>
      <c r="R8406" s="21" t="n">
        <v>0</v>
      </c>
      <c r="S8406" s="21" t="n">
        <v>0</v>
      </c>
      <c r="T8406" s="21" t="n">
        <v>0</v>
      </c>
      <c r="U8406" s="21" t="n">
        <v>0</v>
      </c>
      <c r="V8406" s="21">
        <f>$B$7051</f>
        <v/>
      </c>
      <c r="W8406" s="21">
        <f>$B$7053</f>
        <v/>
      </c>
      <c r="X8406" s="21">
        <f>-$B$7051</f>
        <v/>
      </c>
      <c r="Y8406" s="21">
        <f>$B$7052</f>
        <v/>
      </c>
      <c r="Z8406" s="19" t="n"/>
    </row>
    <row r="8408">
      <c r="A8408" s="8" t="inlineStr">
        <is>
          <t>gen 37</t>
        </is>
      </c>
    </row>
    <row r="8409">
      <c r="D8409" s="19">
        <f>IF(ABS(IF(ABS($E$8373)&gt;0.000000001,$E$8373,0.000000001))=0,0,IF($E$7065&lt;=$B$7059,0,IF(ABS(IF(ABS($E$8373)&gt;0.000000001,$E$8373,0.000000001))&gt;=8*$B$7061,$H$7065,0.5*$H$7065*(ABS(IF(ABS($E$8373)&gt;0.000000001,$E$8373,0.000000001))/$B$7061)^(1/3)))/ABS(IF(ABS($E$8373)&gt;0.000000001,$E$8373,0.000000001))*$I$7065)</f>
        <v/>
      </c>
      <c r="E8409" s="19">
        <f>0.5*$E$8373+0.5*$Z$8421</f>
        <v/>
      </c>
      <c r="F8409" s="19">
        <f>$Z$8422</f>
        <v/>
      </c>
    </row>
    <row r="8410">
      <c r="D8410" s="19">
        <f>IF(ABS(IF(ABS($E$8374)&gt;0.000000001,$E$8374,0.000000001))=0,0,IF($E$7066&lt;=$B$7059,0,IF(ABS(IF(ABS($E$8374)&gt;0.000000001,$E$8374,0.000000001))&gt;=8*$B$7061,$H$7066,0.5*$H$7066*(ABS(IF(ABS($E$8374)&gt;0.000000001,$E$8374,0.000000001))/$B$7061)^(1/3)))/ABS(IF(ABS($E$8374)&gt;0.000000001,$E$8374,0.000000001))*$I$7066)</f>
        <v/>
      </c>
      <c r="E8410" s="19">
        <f>0.5*$E$8374+0.5*$Z$8423</f>
        <v/>
      </c>
      <c r="F8410" s="19">
        <f>$Z$8424</f>
        <v/>
      </c>
    </row>
    <row r="8411">
      <c r="D8411" s="19">
        <f>IF(ABS(IF(ABS($E$8375)&gt;0.000000001,$E$8375,0.000000001))=0,0,IF($E$7067&lt;=$B$7059,0,IF(ABS(IF(ABS($E$8375)&gt;0.000000001,$E$8375,0.000000001))&gt;=8*$B$7061,$H$7067,0.5*$H$7067*(ABS(IF(ABS($E$8375)&gt;0.000000001,$E$8375,0.000000001))/$B$7061)^(1/3)))/ABS(IF(ABS($E$8375)&gt;0.000000001,$E$8375,0.000000001))*$I$7067)</f>
        <v/>
      </c>
      <c r="E8411" s="19">
        <f>0.5*$E$8375+0.5*$Z$8425</f>
        <v/>
      </c>
      <c r="F8411" s="19">
        <f>$Z$8426</f>
        <v/>
      </c>
    </row>
    <row r="8412">
      <c r="D8412" s="19">
        <f>IF(ABS(IF(ABS($E$8376)&gt;0.000000001,$E$8376,0.000000001))=0,0,IF($E$7068&lt;=$B$7059,0,IF(ABS(IF(ABS($E$8376)&gt;0.000000001,$E$8376,0.000000001))&gt;=8*$B$7061,$H$7068,0.5*$H$7068*(ABS(IF(ABS($E$8376)&gt;0.000000001,$E$8376,0.000000001))/$B$7061)^(1/3)))/ABS(IF(ABS($E$8376)&gt;0.000000001,$E$8376,0.000000001))*$I$7068)</f>
        <v/>
      </c>
      <c r="E8412" s="19">
        <f>0.5*$E$8376+0.5*$Z$8427</f>
        <v/>
      </c>
      <c r="F8412" s="19">
        <f>$Z$8428</f>
        <v/>
      </c>
    </row>
    <row r="8413">
      <c r="D8413" s="19">
        <f>IF(ABS(IF(ABS($E$8377)&gt;0.000000001,$E$8377,0.000000001))=0,0,IF($E$7069&lt;=$B$7059,0,IF(ABS(IF(ABS($E$8377)&gt;0.000000001,$E$8377,0.000000001))&gt;=8*$B$7061,$H$7069,0.5*$H$7069*(ABS(IF(ABS($E$8377)&gt;0.000000001,$E$8377,0.000000001))/$B$7061)^(1/3)))/ABS(IF(ABS($E$8377)&gt;0.000000001,$E$8377,0.000000001))*$I$7069)</f>
        <v/>
      </c>
      <c r="E8413" s="19">
        <f>0.5*$E$8377+0.5*$Z$8429</f>
        <v/>
      </c>
      <c r="F8413" s="19">
        <f>$Z$8430</f>
        <v/>
      </c>
    </row>
    <row r="8414">
      <c r="D8414" s="19">
        <f>IF(ABS(IF(ABS($E$8378)&gt;0.000000001,$E$8378,0.000000001))=0,0,IF($E$7070&lt;=$B$7059,0,IF(ABS(IF(ABS($E$8378)&gt;0.000000001,$E$8378,0.000000001))&gt;=8*$B$7061,$H$7070,0.5*$H$7070*(ABS(IF(ABS($E$8378)&gt;0.000000001,$E$8378,0.000000001))/$B$7061)^(1/3)))/ABS(IF(ABS($E$8378)&gt;0.000000001,$E$8378,0.000000001))*$I$7070)</f>
        <v/>
      </c>
      <c r="E8414" s="19">
        <f>0.5*$E$8378+0.5*$Z$8431</f>
        <v/>
      </c>
      <c r="F8414" s="19">
        <f>$Z$8432</f>
        <v/>
      </c>
    </row>
    <row r="8415">
      <c r="D8415" s="19">
        <f>IF(ABS(IF(ABS($E$8379)&gt;0.000000001,$E$8379,0.000000001))=0,0,IF($E$7071&lt;=$B$7059,0,IF(ABS(IF(ABS($E$8379)&gt;0.000000001,$E$8379,0.000000001))&gt;=8*$B$7061,$H$7071,0.5*$H$7071*(ABS(IF(ABS($E$8379)&gt;0.000000001,$E$8379,0.000000001))/$B$7061)^(1/3)))/ABS(IF(ABS($E$8379)&gt;0.000000001,$E$8379,0.000000001))*$I$7071)</f>
        <v/>
      </c>
      <c r="E8415" s="19">
        <f>0.5*$E$8379+0.5*$Z$8433</f>
        <v/>
      </c>
      <c r="F8415" s="19">
        <f>$Z$8434</f>
        <v/>
      </c>
    </row>
    <row r="8416">
      <c r="D8416" s="19">
        <f>IF(ABS(IF(ABS($E$8380)&gt;0.000000001,$E$8380,0.000000001))=0,0,IF($E$7072&lt;=$B$7059,0,IF(ABS(IF(ABS($E$8380)&gt;0.000000001,$E$8380,0.000000001))&gt;=8*$B$7061,$H$7072,0.5*$H$7072*(ABS(IF(ABS($E$8380)&gt;0.000000001,$E$8380,0.000000001))/$B$7061)^(1/3)))/ABS(IF(ABS($E$8380)&gt;0.000000001,$E$8380,0.000000001))*$I$7072)</f>
        <v/>
      </c>
      <c r="E8416" s="19">
        <f>0.5*$E$8380+0.5*$Z$8435</f>
        <v/>
      </c>
      <c r="F8416" s="19">
        <f>$Z$8436</f>
        <v/>
      </c>
    </row>
    <row r="8417">
      <c r="D8417" s="19">
        <f>IF(ABS(IF(ABS($E$8381)&gt;0.000000001,$E$8381,0.000000001))=0,0,IF($E$7073&lt;=$B$7059,0,IF(ABS(IF(ABS($E$8381)&gt;0.000000001,$E$8381,0.000000001))&gt;=8*$B$7061,$H$7073,0.5*$H$7073*(ABS(IF(ABS($E$8381)&gt;0.000000001,$E$8381,0.000000001))/$B$7061)^(1/3)))/ABS(IF(ABS($E$8381)&gt;0.000000001,$E$8381,0.000000001))*$I$7073)</f>
        <v/>
      </c>
      <c r="E8417" s="19">
        <f>0.5*$E$8381+0.5*$Z$8437</f>
        <v/>
      </c>
      <c r="F8417" s="19">
        <f>$Z$8438</f>
        <v/>
      </c>
    </row>
    <row r="8418">
      <c r="D8418" s="19">
        <f>IF(ABS(IF(ABS($E$8382)&gt;0.000000001,$E$8382,0.000000001))=0,0,IF($E$7074&lt;=$B$7059,0,IF(ABS(IF(ABS($E$8382)&gt;0.000000001,$E$8382,0.000000001))&gt;=8*$B$7061,$H$7074,0.5*$H$7074*(ABS(IF(ABS($E$8382)&gt;0.000000001,$E$8382,0.000000001))/$B$7061)^(1/3)))/ABS(IF(ABS($E$8382)&gt;0.000000001,$E$8382,0.000000001))*$I$7074)</f>
        <v/>
      </c>
      <c r="E8418" s="19">
        <f>0.5*$E$8382+0.5*$Z$8439</f>
        <v/>
      </c>
      <c r="F8418" s="19">
        <f>$Z$8440</f>
        <v/>
      </c>
    </row>
    <row r="8419">
      <c r="D8419" s="19">
        <f>IF(ABS(IF(ABS($E$8383)&gt;0.000000001,$E$8383,0.000000001))=0,0,IF($E$7075&lt;=$B$7059,0,IF(ABS(IF(ABS($E$8383)&gt;0.000000001,$E$8383,0.000000001))&gt;=8*$B$7061,$H$7075,0.5*$H$7075*(ABS(IF(ABS($E$8383)&gt;0.000000001,$E$8383,0.000000001))/$B$7061)^(1/3)))/ABS(IF(ABS($E$8383)&gt;0.000000001,$E$8383,0.000000001))*$I$7075)</f>
        <v/>
      </c>
      <c r="E8419" s="19">
        <f>0.5*$E$8383+0.5*$Z$8441</f>
        <v/>
      </c>
      <c r="F8419" s="19">
        <f>$Z$8442</f>
        <v/>
      </c>
    </row>
    <row r="8421">
      <c r="D8421" s="21">
        <f>$B$7050+$D$8409</f>
        <v/>
      </c>
      <c r="E8421" s="21">
        <f>$B$7051</f>
        <v/>
      </c>
      <c r="F8421" s="21">
        <f>-$B$7050</f>
        <v/>
      </c>
      <c r="G8421" s="21">
        <f>$B$7051</f>
        <v/>
      </c>
      <c r="H8421" s="21" t="n">
        <v>0</v>
      </c>
      <c r="I8421" s="21" t="n">
        <v>0</v>
      </c>
      <c r="J8421" s="21" t="n">
        <v>0</v>
      </c>
      <c r="K8421" s="21" t="n">
        <v>0</v>
      </c>
      <c r="L8421" s="21" t="n">
        <v>0</v>
      </c>
      <c r="M8421" s="21" t="n">
        <v>0</v>
      </c>
      <c r="N8421" s="21" t="n">
        <v>0</v>
      </c>
      <c r="O8421" s="21" t="n">
        <v>0</v>
      </c>
      <c r="P8421" s="21" t="n">
        <v>0</v>
      </c>
      <c r="Q8421" s="21" t="n">
        <v>0</v>
      </c>
      <c r="R8421" s="21" t="n">
        <v>0</v>
      </c>
      <c r="S8421" s="21" t="n">
        <v>0</v>
      </c>
      <c r="T8421" s="21" t="n">
        <v>0</v>
      </c>
      <c r="U8421" s="21" t="n">
        <v>0</v>
      </c>
      <c r="V8421" s="21" t="n">
        <v>0</v>
      </c>
      <c r="W8421" s="21" t="n">
        <v>0</v>
      </c>
      <c r="X8421" s="21" t="n">
        <v>0</v>
      </c>
      <c r="Y8421" s="21" t="n">
        <v>0</v>
      </c>
      <c r="Z8421" s="19">
        <f t="array" ref="Z8421:Z8442">MMULT(MINVERSE($D$8421:$Y$8442),$D$7077:$D$7098)</f>
        <v/>
      </c>
    </row>
    <row r="8422">
      <c r="D8422" s="21">
        <f>$B$7051</f>
        <v/>
      </c>
      <c r="E8422" s="21">
        <f>$B$7052</f>
        <v/>
      </c>
      <c r="F8422" s="21">
        <f>-$B$7051</f>
        <v/>
      </c>
      <c r="G8422" s="21">
        <f>$B$7053</f>
        <v/>
      </c>
      <c r="H8422" s="21" t="n">
        <v>0</v>
      </c>
      <c r="I8422" s="21" t="n">
        <v>0</v>
      </c>
      <c r="J8422" s="21" t="n">
        <v>0</v>
      </c>
      <c r="K8422" s="21" t="n">
        <v>0</v>
      </c>
      <c r="L8422" s="21" t="n">
        <v>0</v>
      </c>
      <c r="M8422" s="21" t="n">
        <v>0</v>
      </c>
      <c r="N8422" s="21" t="n">
        <v>0</v>
      </c>
      <c r="O8422" s="21" t="n">
        <v>0</v>
      </c>
      <c r="P8422" s="21" t="n">
        <v>0</v>
      </c>
      <c r="Q8422" s="21" t="n">
        <v>0</v>
      </c>
      <c r="R8422" s="21" t="n">
        <v>0</v>
      </c>
      <c r="S8422" s="21" t="n">
        <v>0</v>
      </c>
      <c r="T8422" s="21" t="n">
        <v>0</v>
      </c>
      <c r="U8422" s="21" t="n">
        <v>0</v>
      </c>
      <c r="V8422" s="21" t="n">
        <v>0</v>
      </c>
      <c r="W8422" s="21" t="n">
        <v>0</v>
      </c>
      <c r="X8422" s="21" t="n">
        <v>0</v>
      </c>
      <c r="Y8422" s="21" t="n">
        <v>0</v>
      </c>
      <c r="Z8422" s="19" t="n"/>
    </row>
    <row r="8423">
      <c r="D8423" s="21">
        <f>-$B$7050</f>
        <v/>
      </c>
      <c r="E8423" s="21">
        <f>-$B$7051</f>
        <v/>
      </c>
      <c r="F8423" s="21">
        <f>2*$B$7050+$D$8410</f>
        <v/>
      </c>
      <c r="G8423" s="21">
        <f>0</f>
        <v/>
      </c>
      <c r="H8423" s="21">
        <f>-$B$7050</f>
        <v/>
      </c>
      <c r="I8423" s="21">
        <f>$B$7051</f>
        <v/>
      </c>
      <c r="J8423" s="21" t="n">
        <v>0</v>
      </c>
      <c r="K8423" s="21" t="n">
        <v>0</v>
      </c>
      <c r="L8423" s="21" t="n">
        <v>0</v>
      </c>
      <c r="M8423" s="21" t="n">
        <v>0</v>
      </c>
      <c r="N8423" s="21" t="n">
        <v>0</v>
      </c>
      <c r="O8423" s="21" t="n">
        <v>0</v>
      </c>
      <c r="P8423" s="21" t="n">
        <v>0</v>
      </c>
      <c r="Q8423" s="21" t="n">
        <v>0</v>
      </c>
      <c r="R8423" s="21" t="n">
        <v>0</v>
      </c>
      <c r="S8423" s="21" t="n">
        <v>0</v>
      </c>
      <c r="T8423" s="21" t="n">
        <v>0</v>
      </c>
      <c r="U8423" s="21" t="n">
        <v>0</v>
      </c>
      <c r="V8423" s="21" t="n">
        <v>0</v>
      </c>
      <c r="W8423" s="21" t="n">
        <v>0</v>
      </c>
      <c r="X8423" s="21" t="n">
        <v>0</v>
      </c>
      <c r="Y8423" s="21" t="n">
        <v>0</v>
      </c>
      <c r="Z8423" s="19" t="n"/>
    </row>
    <row r="8424">
      <c r="D8424" s="21">
        <f>$B$7051</f>
        <v/>
      </c>
      <c r="E8424" s="21">
        <f>$B$7053</f>
        <v/>
      </c>
      <c r="F8424" s="21">
        <f>0</f>
        <v/>
      </c>
      <c r="G8424" s="21">
        <f>2*$B$7052</f>
        <v/>
      </c>
      <c r="H8424" s="21">
        <f>-$B$7051</f>
        <v/>
      </c>
      <c r="I8424" s="21">
        <f>$B$7053</f>
        <v/>
      </c>
      <c r="J8424" s="21" t="n">
        <v>0</v>
      </c>
      <c r="K8424" s="21" t="n">
        <v>0</v>
      </c>
      <c r="L8424" s="21" t="n">
        <v>0</v>
      </c>
      <c r="M8424" s="21" t="n">
        <v>0</v>
      </c>
      <c r="N8424" s="21" t="n">
        <v>0</v>
      </c>
      <c r="O8424" s="21" t="n">
        <v>0</v>
      </c>
      <c r="P8424" s="21" t="n">
        <v>0</v>
      </c>
      <c r="Q8424" s="21" t="n">
        <v>0</v>
      </c>
      <c r="R8424" s="21" t="n">
        <v>0</v>
      </c>
      <c r="S8424" s="21" t="n">
        <v>0</v>
      </c>
      <c r="T8424" s="21" t="n">
        <v>0</v>
      </c>
      <c r="U8424" s="21" t="n">
        <v>0</v>
      </c>
      <c r="V8424" s="21" t="n">
        <v>0</v>
      </c>
      <c r="W8424" s="21" t="n">
        <v>0</v>
      </c>
      <c r="X8424" s="21" t="n">
        <v>0</v>
      </c>
      <c r="Y8424" s="21" t="n">
        <v>0</v>
      </c>
      <c r="Z8424" s="19" t="n"/>
    </row>
    <row r="8425">
      <c r="D8425" s="21" t="n">
        <v>0</v>
      </c>
      <c r="E8425" s="21" t="n">
        <v>0</v>
      </c>
      <c r="F8425" s="21">
        <f>-$B$7050</f>
        <v/>
      </c>
      <c r="G8425" s="21">
        <f>-$B$7051</f>
        <v/>
      </c>
      <c r="H8425" s="21">
        <f>2*$B$7050+$D$8411</f>
        <v/>
      </c>
      <c r="I8425" s="21">
        <f>0</f>
        <v/>
      </c>
      <c r="J8425" s="21">
        <f>-$B$7050</f>
        <v/>
      </c>
      <c r="K8425" s="21">
        <f>$B$7051</f>
        <v/>
      </c>
      <c r="L8425" s="21" t="n">
        <v>0</v>
      </c>
      <c r="M8425" s="21" t="n">
        <v>0</v>
      </c>
      <c r="N8425" s="21" t="n">
        <v>0</v>
      </c>
      <c r="O8425" s="21" t="n">
        <v>0</v>
      </c>
      <c r="P8425" s="21" t="n">
        <v>0</v>
      </c>
      <c r="Q8425" s="21" t="n">
        <v>0</v>
      </c>
      <c r="R8425" s="21" t="n">
        <v>0</v>
      </c>
      <c r="S8425" s="21" t="n">
        <v>0</v>
      </c>
      <c r="T8425" s="21" t="n">
        <v>0</v>
      </c>
      <c r="U8425" s="21" t="n">
        <v>0</v>
      </c>
      <c r="V8425" s="21" t="n">
        <v>0</v>
      </c>
      <c r="W8425" s="21" t="n">
        <v>0</v>
      </c>
      <c r="X8425" s="21" t="n">
        <v>0</v>
      </c>
      <c r="Y8425" s="21" t="n">
        <v>0</v>
      </c>
      <c r="Z8425" s="19" t="n"/>
    </row>
    <row r="8426">
      <c r="D8426" s="21" t="n">
        <v>0</v>
      </c>
      <c r="E8426" s="21" t="n">
        <v>0</v>
      </c>
      <c r="F8426" s="21">
        <f>$B$7051</f>
        <v/>
      </c>
      <c r="G8426" s="21">
        <f>$B$7053</f>
        <v/>
      </c>
      <c r="H8426" s="21">
        <f>0</f>
        <v/>
      </c>
      <c r="I8426" s="21">
        <f>2*$B$7052</f>
        <v/>
      </c>
      <c r="J8426" s="21">
        <f>-$B$7051</f>
        <v/>
      </c>
      <c r="K8426" s="21">
        <f>$B$7053</f>
        <v/>
      </c>
      <c r="L8426" s="21" t="n">
        <v>0</v>
      </c>
      <c r="M8426" s="21" t="n">
        <v>0</v>
      </c>
      <c r="N8426" s="21" t="n">
        <v>0</v>
      </c>
      <c r="O8426" s="21" t="n">
        <v>0</v>
      </c>
      <c r="P8426" s="21" t="n">
        <v>0</v>
      </c>
      <c r="Q8426" s="21" t="n">
        <v>0</v>
      </c>
      <c r="R8426" s="21" t="n">
        <v>0</v>
      </c>
      <c r="S8426" s="21" t="n">
        <v>0</v>
      </c>
      <c r="T8426" s="21" t="n">
        <v>0</v>
      </c>
      <c r="U8426" s="21" t="n">
        <v>0</v>
      </c>
      <c r="V8426" s="21" t="n">
        <v>0</v>
      </c>
      <c r="W8426" s="21" t="n">
        <v>0</v>
      </c>
      <c r="X8426" s="21" t="n">
        <v>0</v>
      </c>
      <c r="Y8426" s="21" t="n">
        <v>0</v>
      </c>
      <c r="Z8426" s="19" t="n"/>
    </row>
    <row r="8427">
      <c r="D8427" s="21" t="n">
        <v>0</v>
      </c>
      <c r="E8427" s="21" t="n">
        <v>0</v>
      </c>
      <c r="F8427" s="21" t="n">
        <v>0</v>
      </c>
      <c r="G8427" s="21" t="n">
        <v>0</v>
      </c>
      <c r="H8427" s="21">
        <f>-$B$7050</f>
        <v/>
      </c>
      <c r="I8427" s="21">
        <f>-$B$7051</f>
        <v/>
      </c>
      <c r="J8427" s="21">
        <f>2*$B$7050+$D$8412</f>
        <v/>
      </c>
      <c r="K8427" s="21">
        <f>0</f>
        <v/>
      </c>
      <c r="L8427" s="21">
        <f>-$B$7050</f>
        <v/>
      </c>
      <c r="M8427" s="21">
        <f>$B$7051</f>
        <v/>
      </c>
      <c r="N8427" s="21" t="n">
        <v>0</v>
      </c>
      <c r="O8427" s="21" t="n">
        <v>0</v>
      </c>
      <c r="P8427" s="21" t="n">
        <v>0</v>
      </c>
      <c r="Q8427" s="21" t="n">
        <v>0</v>
      </c>
      <c r="R8427" s="21" t="n">
        <v>0</v>
      </c>
      <c r="S8427" s="21" t="n">
        <v>0</v>
      </c>
      <c r="T8427" s="21" t="n">
        <v>0</v>
      </c>
      <c r="U8427" s="21" t="n">
        <v>0</v>
      </c>
      <c r="V8427" s="21" t="n">
        <v>0</v>
      </c>
      <c r="W8427" s="21" t="n">
        <v>0</v>
      </c>
      <c r="X8427" s="21" t="n">
        <v>0</v>
      </c>
      <c r="Y8427" s="21" t="n">
        <v>0</v>
      </c>
      <c r="Z8427" s="19" t="n"/>
    </row>
    <row r="8428">
      <c r="D8428" s="21" t="n">
        <v>0</v>
      </c>
      <c r="E8428" s="21" t="n">
        <v>0</v>
      </c>
      <c r="F8428" s="21" t="n">
        <v>0</v>
      </c>
      <c r="G8428" s="21" t="n">
        <v>0</v>
      </c>
      <c r="H8428" s="21">
        <f>$B$7051</f>
        <v/>
      </c>
      <c r="I8428" s="21">
        <f>$B$7053</f>
        <v/>
      </c>
      <c r="J8428" s="21">
        <f>0</f>
        <v/>
      </c>
      <c r="K8428" s="21">
        <f>2*$B$7052</f>
        <v/>
      </c>
      <c r="L8428" s="21">
        <f>-$B$7051</f>
        <v/>
      </c>
      <c r="M8428" s="21">
        <f>$B$7053</f>
        <v/>
      </c>
      <c r="N8428" s="21" t="n">
        <v>0</v>
      </c>
      <c r="O8428" s="21" t="n">
        <v>0</v>
      </c>
      <c r="P8428" s="21" t="n">
        <v>0</v>
      </c>
      <c r="Q8428" s="21" t="n">
        <v>0</v>
      </c>
      <c r="R8428" s="21" t="n">
        <v>0</v>
      </c>
      <c r="S8428" s="21" t="n">
        <v>0</v>
      </c>
      <c r="T8428" s="21" t="n">
        <v>0</v>
      </c>
      <c r="U8428" s="21" t="n">
        <v>0</v>
      </c>
      <c r="V8428" s="21" t="n">
        <v>0</v>
      </c>
      <c r="W8428" s="21" t="n">
        <v>0</v>
      </c>
      <c r="X8428" s="21" t="n">
        <v>0</v>
      </c>
      <c r="Y8428" s="21" t="n">
        <v>0</v>
      </c>
      <c r="Z8428" s="19" t="n"/>
    </row>
    <row r="8429">
      <c r="D8429" s="21" t="n">
        <v>0</v>
      </c>
      <c r="E8429" s="21" t="n">
        <v>0</v>
      </c>
      <c r="F8429" s="21" t="n">
        <v>0</v>
      </c>
      <c r="G8429" s="21" t="n">
        <v>0</v>
      </c>
      <c r="H8429" s="21" t="n">
        <v>0</v>
      </c>
      <c r="I8429" s="21" t="n">
        <v>0</v>
      </c>
      <c r="J8429" s="21">
        <f>-$B$7050</f>
        <v/>
      </c>
      <c r="K8429" s="21">
        <f>-$B$7051</f>
        <v/>
      </c>
      <c r="L8429" s="21">
        <f>2*$B$7050+$D$8413</f>
        <v/>
      </c>
      <c r="M8429" s="21">
        <f>0</f>
        <v/>
      </c>
      <c r="N8429" s="21">
        <f>-$B$7050</f>
        <v/>
      </c>
      <c r="O8429" s="21">
        <f>$B$7051</f>
        <v/>
      </c>
      <c r="P8429" s="21" t="n">
        <v>0</v>
      </c>
      <c r="Q8429" s="21" t="n">
        <v>0</v>
      </c>
      <c r="R8429" s="21" t="n">
        <v>0</v>
      </c>
      <c r="S8429" s="21" t="n">
        <v>0</v>
      </c>
      <c r="T8429" s="21" t="n">
        <v>0</v>
      </c>
      <c r="U8429" s="21" t="n">
        <v>0</v>
      </c>
      <c r="V8429" s="21" t="n">
        <v>0</v>
      </c>
      <c r="W8429" s="21" t="n">
        <v>0</v>
      </c>
      <c r="X8429" s="21" t="n">
        <v>0</v>
      </c>
      <c r="Y8429" s="21" t="n">
        <v>0</v>
      </c>
      <c r="Z8429" s="19" t="n"/>
    </row>
    <row r="8430">
      <c r="D8430" s="21" t="n">
        <v>0</v>
      </c>
      <c r="E8430" s="21" t="n">
        <v>0</v>
      </c>
      <c r="F8430" s="21" t="n">
        <v>0</v>
      </c>
      <c r="G8430" s="21" t="n">
        <v>0</v>
      </c>
      <c r="H8430" s="21" t="n">
        <v>0</v>
      </c>
      <c r="I8430" s="21" t="n">
        <v>0</v>
      </c>
      <c r="J8430" s="21">
        <f>$B$7051</f>
        <v/>
      </c>
      <c r="K8430" s="21">
        <f>$B$7053</f>
        <v/>
      </c>
      <c r="L8430" s="21">
        <f>0</f>
        <v/>
      </c>
      <c r="M8430" s="21">
        <f>2*$B$7052</f>
        <v/>
      </c>
      <c r="N8430" s="21">
        <f>-$B$7051</f>
        <v/>
      </c>
      <c r="O8430" s="21">
        <f>$B$7053</f>
        <v/>
      </c>
      <c r="P8430" s="21" t="n">
        <v>0</v>
      </c>
      <c r="Q8430" s="21" t="n">
        <v>0</v>
      </c>
      <c r="R8430" s="21" t="n">
        <v>0</v>
      </c>
      <c r="S8430" s="21" t="n">
        <v>0</v>
      </c>
      <c r="T8430" s="21" t="n">
        <v>0</v>
      </c>
      <c r="U8430" s="21" t="n">
        <v>0</v>
      </c>
      <c r="V8430" s="21" t="n">
        <v>0</v>
      </c>
      <c r="W8430" s="21" t="n">
        <v>0</v>
      </c>
      <c r="X8430" s="21" t="n">
        <v>0</v>
      </c>
      <c r="Y8430" s="21" t="n">
        <v>0</v>
      </c>
      <c r="Z8430" s="19" t="n"/>
    </row>
    <row r="8431">
      <c r="D8431" s="21" t="n">
        <v>0</v>
      </c>
      <c r="E8431" s="21" t="n">
        <v>0</v>
      </c>
      <c r="F8431" s="21" t="n">
        <v>0</v>
      </c>
      <c r="G8431" s="21" t="n">
        <v>0</v>
      </c>
      <c r="H8431" s="21" t="n">
        <v>0</v>
      </c>
      <c r="I8431" s="21" t="n">
        <v>0</v>
      </c>
      <c r="J8431" s="21" t="n">
        <v>0</v>
      </c>
      <c r="K8431" s="21" t="n">
        <v>0</v>
      </c>
      <c r="L8431" s="21">
        <f>-$B$7050</f>
        <v/>
      </c>
      <c r="M8431" s="21">
        <f>-$B$7051</f>
        <v/>
      </c>
      <c r="N8431" s="21">
        <f>2*$B$7050+$D$8414</f>
        <v/>
      </c>
      <c r="O8431" s="21">
        <f>0</f>
        <v/>
      </c>
      <c r="P8431" s="21">
        <f>-$B$7050</f>
        <v/>
      </c>
      <c r="Q8431" s="21">
        <f>$B$7051</f>
        <v/>
      </c>
      <c r="R8431" s="21" t="n">
        <v>0</v>
      </c>
      <c r="S8431" s="21" t="n">
        <v>0</v>
      </c>
      <c r="T8431" s="21" t="n">
        <v>0</v>
      </c>
      <c r="U8431" s="21" t="n">
        <v>0</v>
      </c>
      <c r="V8431" s="21" t="n">
        <v>0</v>
      </c>
      <c r="W8431" s="21" t="n">
        <v>0</v>
      </c>
      <c r="X8431" s="21" t="n">
        <v>0</v>
      </c>
      <c r="Y8431" s="21" t="n">
        <v>0</v>
      </c>
      <c r="Z8431" s="19" t="n"/>
    </row>
    <row r="8432">
      <c r="D8432" s="21" t="n">
        <v>0</v>
      </c>
      <c r="E8432" s="21" t="n">
        <v>0</v>
      </c>
      <c r="F8432" s="21" t="n">
        <v>0</v>
      </c>
      <c r="G8432" s="21" t="n">
        <v>0</v>
      </c>
      <c r="H8432" s="21" t="n">
        <v>0</v>
      </c>
      <c r="I8432" s="21" t="n">
        <v>0</v>
      </c>
      <c r="J8432" s="21" t="n">
        <v>0</v>
      </c>
      <c r="K8432" s="21" t="n">
        <v>0</v>
      </c>
      <c r="L8432" s="21">
        <f>$B$7051</f>
        <v/>
      </c>
      <c r="M8432" s="21">
        <f>$B$7053</f>
        <v/>
      </c>
      <c r="N8432" s="21">
        <f>0</f>
        <v/>
      </c>
      <c r="O8432" s="21">
        <f>2*$B$7052</f>
        <v/>
      </c>
      <c r="P8432" s="21">
        <f>-$B$7051</f>
        <v/>
      </c>
      <c r="Q8432" s="21">
        <f>$B$7053</f>
        <v/>
      </c>
      <c r="R8432" s="21" t="n">
        <v>0</v>
      </c>
      <c r="S8432" s="21" t="n">
        <v>0</v>
      </c>
      <c r="T8432" s="21" t="n">
        <v>0</v>
      </c>
      <c r="U8432" s="21" t="n">
        <v>0</v>
      </c>
      <c r="V8432" s="21" t="n">
        <v>0</v>
      </c>
      <c r="W8432" s="21" t="n">
        <v>0</v>
      </c>
      <c r="X8432" s="21" t="n">
        <v>0</v>
      </c>
      <c r="Y8432" s="21" t="n">
        <v>0</v>
      </c>
      <c r="Z8432" s="19" t="n"/>
    </row>
    <row r="8433">
      <c r="D8433" s="21" t="n">
        <v>0</v>
      </c>
      <c r="E8433" s="21" t="n">
        <v>0</v>
      </c>
      <c r="F8433" s="21" t="n">
        <v>0</v>
      </c>
      <c r="G8433" s="21" t="n">
        <v>0</v>
      </c>
      <c r="H8433" s="21" t="n">
        <v>0</v>
      </c>
      <c r="I8433" s="21" t="n">
        <v>0</v>
      </c>
      <c r="J8433" s="21" t="n">
        <v>0</v>
      </c>
      <c r="K8433" s="21" t="n">
        <v>0</v>
      </c>
      <c r="L8433" s="21" t="n">
        <v>0</v>
      </c>
      <c r="M8433" s="21" t="n">
        <v>0</v>
      </c>
      <c r="N8433" s="21">
        <f>-$B$7050</f>
        <v/>
      </c>
      <c r="O8433" s="21">
        <f>-$B$7051</f>
        <v/>
      </c>
      <c r="P8433" s="21">
        <f>2*$B$7050+$D$8415</f>
        <v/>
      </c>
      <c r="Q8433" s="21">
        <f>0</f>
        <v/>
      </c>
      <c r="R8433" s="21">
        <f>-$B$7050</f>
        <v/>
      </c>
      <c r="S8433" s="21">
        <f>$B$7051</f>
        <v/>
      </c>
      <c r="T8433" s="21" t="n">
        <v>0</v>
      </c>
      <c r="U8433" s="21" t="n">
        <v>0</v>
      </c>
      <c r="V8433" s="21" t="n">
        <v>0</v>
      </c>
      <c r="W8433" s="21" t="n">
        <v>0</v>
      </c>
      <c r="X8433" s="21" t="n">
        <v>0</v>
      </c>
      <c r="Y8433" s="21" t="n">
        <v>0</v>
      </c>
      <c r="Z8433" s="19" t="n"/>
    </row>
    <row r="8434">
      <c r="D8434" s="21" t="n">
        <v>0</v>
      </c>
      <c r="E8434" s="21" t="n">
        <v>0</v>
      </c>
      <c r="F8434" s="21" t="n">
        <v>0</v>
      </c>
      <c r="G8434" s="21" t="n">
        <v>0</v>
      </c>
      <c r="H8434" s="21" t="n">
        <v>0</v>
      </c>
      <c r="I8434" s="21" t="n">
        <v>0</v>
      </c>
      <c r="J8434" s="21" t="n">
        <v>0</v>
      </c>
      <c r="K8434" s="21" t="n">
        <v>0</v>
      </c>
      <c r="L8434" s="21" t="n">
        <v>0</v>
      </c>
      <c r="M8434" s="21" t="n">
        <v>0</v>
      </c>
      <c r="N8434" s="21">
        <f>$B$7051</f>
        <v/>
      </c>
      <c r="O8434" s="21">
        <f>$B$7053</f>
        <v/>
      </c>
      <c r="P8434" s="21">
        <f>0</f>
        <v/>
      </c>
      <c r="Q8434" s="21">
        <f>2*$B$7052</f>
        <v/>
      </c>
      <c r="R8434" s="21">
        <f>-$B$7051</f>
        <v/>
      </c>
      <c r="S8434" s="21">
        <f>$B$7053</f>
        <v/>
      </c>
      <c r="T8434" s="21" t="n">
        <v>0</v>
      </c>
      <c r="U8434" s="21" t="n">
        <v>0</v>
      </c>
      <c r="V8434" s="21" t="n">
        <v>0</v>
      </c>
      <c r="W8434" s="21" t="n">
        <v>0</v>
      </c>
      <c r="X8434" s="21" t="n">
        <v>0</v>
      </c>
      <c r="Y8434" s="21" t="n">
        <v>0</v>
      </c>
      <c r="Z8434" s="19" t="n"/>
    </row>
    <row r="8435">
      <c r="D8435" s="21" t="n">
        <v>0</v>
      </c>
      <c r="E8435" s="21" t="n">
        <v>0</v>
      </c>
      <c r="F8435" s="21" t="n">
        <v>0</v>
      </c>
      <c r="G8435" s="21" t="n">
        <v>0</v>
      </c>
      <c r="H8435" s="21" t="n">
        <v>0</v>
      </c>
      <c r="I8435" s="21" t="n">
        <v>0</v>
      </c>
      <c r="J8435" s="21" t="n">
        <v>0</v>
      </c>
      <c r="K8435" s="21" t="n">
        <v>0</v>
      </c>
      <c r="L8435" s="21" t="n">
        <v>0</v>
      </c>
      <c r="M8435" s="21" t="n">
        <v>0</v>
      </c>
      <c r="N8435" s="21" t="n">
        <v>0</v>
      </c>
      <c r="O8435" s="21" t="n">
        <v>0</v>
      </c>
      <c r="P8435" s="21">
        <f>-$B$7050</f>
        <v/>
      </c>
      <c r="Q8435" s="21">
        <f>-$B$7051</f>
        <v/>
      </c>
      <c r="R8435" s="21">
        <f>2*$B$7050+$D$8416</f>
        <v/>
      </c>
      <c r="S8435" s="21">
        <f>0</f>
        <v/>
      </c>
      <c r="T8435" s="21">
        <f>-$B$7050</f>
        <v/>
      </c>
      <c r="U8435" s="21">
        <f>$B$7051</f>
        <v/>
      </c>
      <c r="V8435" s="21" t="n">
        <v>0</v>
      </c>
      <c r="W8435" s="21" t="n">
        <v>0</v>
      </c>
      <c r="X8435" s="21" t="n">
        <v>0</v>
      </c>
      <c r="Y8435" s="21" t="n">
        <v>0</v>
      </c>
      <c r="Z8435" s="19" t="n"/>
    </row>
    <row r="8436">
      <c r="D8436" s="21" t="n">
        <v>0</v>
      </c>
      <c r="E8436" s="21" t="n">
        <v>0</v>
      </c>
      <c r="F8436" s="21" t="n">
        <v>0</v>
      </c>
      <c r="G8436" s="21" t="n">
        <v>0</v>
      </c>
      <c r="H8436" s="21" t="n">
        <v>0</v>
      </c>
      <c r="I8436" s="21" t="n">
        <v>0</v>
      </c>
      <c r="J8436" s="21" t="n">
        <v>0</v>
      </c>
      <c r="K8436" s="21" t="n">
        <v>0</v>
      </c>
      <c r="L8436" s="21" t="n">
        <v>0</v>
      </c>
      <c r="M8436" s="21" t="n">
        <v>0</v>
      </c>
      <c r="N8436" s="21" t="n">
        <v>0</v>
      </c>
      <c r="O8436" s="21" t="n">
        <v>0</v>
      </c>
      <c r="P8436" s="21">
        <f>$B$7051</f>
        <v/>
      </c>
      <c r="Q8436" s="21">
        <f>$B$7053</f>
        <v/>
      </c>
      <c r="R8436" s="21">
        <f>0</f>
        <v/>
      </c>
      <c r="S8436" s="21">
        <f>2*$B$7052</f>
        <v/>
      </c>
      <c r="T8436" s="21">
        <f>-$B$7051</f>
        <v/>
      </c>
      <c r="U8436" s="21">
        <f>$B$7053</f>
        <v/>
      </c>
      <c r="V8436" s="21" t="n">
        <v>0</v>
      </c>
      <c r="W8436" s="21" t="n">
        <v>0</v>
      </c>
      <c r="X8436" s="21" t="n">
        <v>0</v>
      </c>
      <c r="Y8436" s="21" t="n">
        <v>0</v>
      </c>
      <c r="Z8436" s="19" t="n"/>
    </row>
    <row r="8437">
      <c r="D8437" s="21" t="n">
        <v>0</v>
      </c>
      <c r="E8437" s="21" t="n">
        <v>0</v>
      </c>
      <c r="F8437" s="21" t="n">
        <v>0</v>
      </c>
      <c r="G8437" s="21" t="n">
        <v>0</v>
      </c>
      <c r="H8437" s="21" t="n">
        <v>0</v>
      </c>
      <c r="I8437" s="21" t="n">
        <v>0</v>
      </c>
      <c r="J8437" s="21" t="n">
        <v>0</v>
      </c>
      <c r="K8437" s="21" t="n">
        <v>0</v>
      </c>
      <c r="L8437" s="21" t="n">
        <v>0</v>
      </c>
      <c r="M8437" s="21" t="n">
        <v>0</v>
      </c>
      <c r="N8437" s="21" t="n">
        <v>0</v>
      </c>
      <c r="O8437" s="21" t="n">
        <v>0</v>
      </c>
      <c r="P8437" s="21" t="n">
        <v>0</v>
      </c>
      <c r="Q8437" s="21" t="n">
        <v>0</v>
      </c>
      <c r="R8437" s="21">
        <f>-$B$7050</f>
        <v/>
      </c>
      <c r="S8437" s="21">
        <f>-$B$7051</f>
        <v/>
      </c>
      <c r="T8437" s="21">
        <f>2*$B$7050+$D$8417</f>
        <v/>
      </c>
      <c r="U8437" s="21">
        <f>0</f>
        <v/>
      </c>
      <c r="V8437" s="21">
        <f>-$B$7050</f>
        <v/>
      </c>
      <c r="W8437" s="21">
        <f>$B$7051</f>
        <v/>
      </c>
      <c r="X8437" s="21" t="n">
        <v>0</v>
      </c>
      <c r="Y8437" s="21" t="n">
        <v>0</v>
      </c>
      <c r="Z8437" s="19" t="n"/>
    </row>
    <row r="8438">
      <c r="D8438" s="21" t="n">
        <v>0</v>
      </c>
      <c r="E8438" s="21" t="n">
        <v>0</v>
      </c>
      <c r="F8438" s="21" t="n">
        <v>0</v>
      </c>
      <c r="G8438" s="21" t="n">
        <v>0</v>
      </c>
      <c r="H8438" s="21" t="n">
        <v>0</v>
      </c>
      <c r="I8438" s="21" t="n">
        <v>0</v>
      </c>
      <c r="J8438" s="21" t="n">
        <v>0</v>
      </c>
      <c r="K8438" s="21" t="n">
        <v>0</v>
      </c>
      <c r="L8438" s="21" t="n">
        <v>0</v>
      </c>
      <c r="M8438" s="21" t="n">
        <v>0</v>
      </c>
      <c r="N8438" s="21" t="n">
        <v>0</v>
      </c>
      <c r="O8438" s="21" t="n">
        <v>0</v>
      </c>
      <c r="P8438" s="21" t="n">
        <v>0</v>
      </c>
      <c r="Q8438" s="21" t="n">
        <v>0</v>
      </c>
      <c r="R8438" s="21">
        <f>$B$7051</f>
        <v/>
      </c>
      <c r="S8438" s="21">
        <f>$B$7053</f>
        <v/>
      </c>
      <c r="T8438" s="21">
        <f>0</f>
        <v/>
      </c>
      <c r="U8438" s="21">
        <f>2*$B$7052</f>
        <v/>
      </c>
      <c r="V8438" s="21">
        <f>-$B$7051</f>
        <v/>
      </c>
      <c r="W8438" s="21">
        <f>$B$7053</f>
        <v/>
      </c>
      <c r="X8438" s="21" t="n">
        <v>0</v>
      </c>
      <c r="Y8438" s="21" t="n">
        <v>0</v>
      </c>
      <c r="Z8438" s="19" t="n"/>
    </row>
    <row r="8439">
      <c r="D8439" s="21" t="n">
        <v>0</v>
      </c>
      <c r="E8439" s="21" t="n">
        <v>0</v>
      </c>
      <c r="F8439" s="21" t="n">
        <v>0</v>
      </c>
      <c r="G8439" s="21" t="n">
        <v>0</v>
      </c>
      <c r="H8439" s="21" t="n">
        <v>0</v>
      </c>
      <c r="I8439" s="21" t="n">
        <v>0</v>
      </c>
      <c r="J8439" s="21" t="n">
        <v>0</v>
      </c>
      <c r="K8439" s="21" t="n">
        <v>0</v>
      </c>
      <c r="L8439" s="21" t="n">
        <v>0</v>
      </c>
      <c r="M8439" s="21" t="n">
        <v>0</v>
      </c>
      <c r="N8439" s="21" t="n">
        <v>0</v>
      </c>
      <c r="O8439" s="21" t="n">
        <v>0</v>
      </c>
      <c r="P8439" s="21" t="n">
        <v>0</v>
      </c>
      <c r="Q8439" s="21" t="n">
        <v>0</v>
      </c>
      <c r="R8439" s="21" t="n">
        <v>0</v>
      </c>
      <c r="S8439" s="21" t="n">
        <v>0</v>
      </c>
      <c r="T8439" s="21">
        <f>-$B$7050</f>
        <v/>
      </c>
      <c r="U8439" s="21">
        <f>-$B$7051</f>
        <v/>
      </c>
      <c r="V8439" s="21">
        <f>2*$B$7050+$D$8418</f>
        <v/>
      </c>
      <c r="W8439" s="21">
        <f>0</f>
        <v/>
      </c>
      <c r="X8439" s="21">
        <f>-$B$7050</f>
        <v/>
      </c>
      <c r="Y8439" s="21">
        <f>$B$7051</f>
        <v/>
      </c>
      <c r="Z8439" s="19" t="n"/>
    </row>
    <row r="8440">
      <c r="D8440" s="21" t="n">
        <v>0</v>
      </c>
      <c r="E8440" s="21" t="n">
        <v>0</v>
      </c>
      <c r="F8440" s="21" t="n">
        <v>0</v>
      </c>
      <c r="G8440" s="21" t="n">
        <v>0</v>
      </c>
      <c r="H8440" s="21" t="n">
        <v>0</v>
      </c>
      <c r="I8440" s="21" t="n">
        <v>0</v>
      </c>
      <c r="J8440" s="21" t="n">
        <v>0</v>
      </c>
      <c r="K8440" s="21" t="n">
        <v>0</v>
      </c>
      <c r="L8440" s="21" t="n">
        <v>0</v>
      </c>
      <c r="M8440" s="21" t="n">
        <v>0</v>
      </c>
      <c r="N8440" s="21" t="n">
        <v>0</v>
      </c>
      <c r="O8440" s="21" t="n">
        <v>0</v>
      </c>
      <c r="P8440" s="21" t="n">
        <v>0</v>
      </c>
      <c r="Q8440" s="21" t="n">
        <v>0</v>
      </c>
      <c r="R8440" s="21" t="n">
        <v>0</v>
      </c>
      <c r="S8440" s="21" t="n">
        <v>0</v>
      </c>
      <c r="T8440" s="21">
        <f>$B$7051</f>
        <v/>
      </c>
      <c r="U8440" s="21">
        <f>$B$7053</f>
        <v/>
      </c>
      <c r="V8440" s="21">
        <f>0</f>
        <v/>
      </c>
      <c r="W8440" s="21">
        <f>2*$B$7052</f>
        <v/>
      </c>
      <c r="X8440" s="21">
        <f>-$B$7051</f>
        <v/>
      </c>
      <c r="Y8440" s="21">
        <f>$B$7053</f>
        <v/>
      </c>
      <c r="Z8440" s="19" t="n"/>
    </row>
    <row r="8441">
      <c r="D8441" s="21" t="n">
        <v>0</v>
      </c>
      <c r="E8441" s="21" t="n">
        <v>0</v>
      </c>
      <c r="F8441" s="21" t="n">
        <v>0</v>
      </c>
      <c r="G8441" s="21" t="n">
        <v>0</v>
      </c>
      <c r="H8441" s="21" t="n">
        <v>0</v>
      </c>
      <c r="I8441" s="21" t="n">
        <v>0</v>
      </c>
      <c r="J8441" s="21" t="n">
        <v>0</v>
      </c>
      <c r="K8441" s="21" t="n">
        <v>0</v>
      </c>
      <c r="L8441" s="21" t="n">
        <v>0</v>
      </c>
      <c r="M8441" s="21" t="n">
        <v>0</v>
      </c>
      <c r="N8441" s="21" t="n">
        <v>0</v>
      </c>
      <c r="O8441" s="21" t="n">
        <v>0</v>
      </c>
      <c r="P8441" s="21" t="n">
        <v>0</v>
      </c>
      <c r="Q8441" s="21" t="n">
        <v>0</v>
      </c>
      <c r="R8441" s="21" t="n">
        <v>0</v>
      </c>
      <c r="S8441" s="21" t="n">
        <v>0</v>
      </c>
      <c r="T8441" s="21" t="n">
        <v>0</v>
      </c>
      <c r="U8441" s="21" t="n">
        <v>0</v>
      </c>
      <c r="V8441" s="21">
        <f>-$B$7050</f>
        <v/>
      </c>
      <c r="W8441" s="21">
        <f>-$B$7051</f>
        <v/>
      </c>
      <c r="X8441" s="21">
        <f>$B$7050+$D$8419</f>
        <v/>
      </c>
      <c r="Y8441" s="21">
        <f>-$B$7051</f>
        <v/>
      </c>
      <c r="Z8441" s="19" t="n"/>
    </row>
    <row r="8442">
      <c r="D8442" s="21" t="n">
        <v>0</v>
      </c>
      <c r="E8442" s="21" t="n">
        <v>0</v>
      </c>
      <c r="F8442" s="21" t="n">
        <v>0</v>
      </c>
      <c r="G8442" s="21" t="n">
        <v>0</v>
      </c>
      <c r="H8442" s="21" t="n">
        <v>0</v>
      </c>
      <c r="I8442" s="21" t="n">
        <v>0</v>
      </c>
      <c r="J8442" s="21" t="n">
        <v>0</v>
      </c>
      <c r="K8442" s="21" t="n">
        <v>0</v>
      </c>
      <c r="L8442" s="21" t="n">
        <v>0</v>
      </c>
      <c r="M8442" s="21" t="n">
        <v>0</v>
      </c>
      <c r="N8442" s="21" t="n">
        <v>0</v>
      </c>
      <c r="O8442" s="21" t="n">
        <v>0</v>
      </c>
      <c r="P8442" s="21" t="n">
        <v>0</v>
      </c>
      <c r="Q8442" s="21" t="n">
        <v>0</v>
      </c>
      <c r="R8442" s="21" t="n">
        <v>0</v>
      </c>
      <c r="S8442" s="21" t="n">
        <v>0</v>
      </c>
      <c r="T8442" s="21" t="n">
        <v>0</v>
      </c>
      <c r="U8442" s="21" t="n">
        <v>0</v>
      </c>
      <c r="V8442" s="21">
        <f>$B$7051</f>
        <v/>
      </c>
      <c r="W8442" s="21">
        <f>$B$7053</f>
        <v/>
      </c>
      <c r="X8442" s="21">
        <f>-$B$7051</f>
        <v/>
      </c>
      <c r="Y8442" s="21">
        <f>$B$7052</f>
        <v/>
      </c>
      <c r="Z8442" s="19" t="n"/>
    </row>
    <row r="8444">
      <c r="A8444" s="8" t="inlineStr">
        <is>
          <t>gen 38</t>
        </is>
      </c>
    </row>
    <row r="8445">
      <c r="D8445" s="19">
        <f>IF(ABS(IF(ABS($E$8409)&gt;0.000000001,$E$8409,0.000000001))=0,0,IF($E$7065&lt;=$B$7059,0,IF(ABS(IF(ABS($E$8409)&gt;0.000000001,$E$8409,0.000000001))&gt;=8*$B$7061,$H$7065,0.5*$H$7065*(ABS(IF(ABS($E$8409)&gt;0.000000001,$E$8409,0.000000001))/$B$7061)^(1/3)))/ABS(IF(ABS($E$8409)&gt;0.000000001,$E$8409,0.000000001))*$I$7065)</f>
        <v/>
      </c>
      <c r="E8445" s="19">
        <f>0.5*$E$8409+0.5*$Z$8457</f>
        <v/>
      </c>
      <c r="F8445" s="19">
        <f>$Z$8458</f>
        <v/>
      </c>
    </row>
    <row r="8446">
      <c r="D8446" s="19">
        <f>IF(ABS(IF(ABS($E$8410)&gt;0.000000001,$E$8410,0.000000001))=0,0,IF($E$7066&lt;=$B$7059,0,IF(ABS(IF(ABS($E$8410)&gt;0.000000001,$E$8410,0.000000001))&gt;=8*$B$7061,$H$7066,0.5*$H$7066*(ABS(IF(ABS($E$8410)&gt;0.000000001,$E$8410,0.000000001))/$B$7061)^(1/3)))/ABS(IF(ABS($E$8410)&gt;0.000000001,$E$8410,0.000000001))*$I$7066)</f>
        <v/>
      </c>
      <c r="E8446" s="19">
        <f>0.5*$E$8410+0.5*$Z$8459</f>
        <v/>
      </c>
      <c r="F8446" s="19">
        <f>$Z$8460</f>
        <v/>
      </c>
    </row>
    <row r="8447">
      <c r="D8447" s="19">
        <f>IF(ABS(IF(ABS($E$8411)&gt;0.000000001,$E$8411,0.000000001))=0,0,IF($E$7067&lt;=$B$7059,0,IF(ABS(IF(ABS($E$8411)&gt;0.000000001,$E$8411,0.000000001))&gt;=8*$B$7061,$H$7067,0.5*$H$7067*(ABS(IF(ABS($E$8411)&gt;0.000000001,$E$8411,0.000000001))/$B$7061)^(1/3)))/ABS(IF(ABS($E$8411)&gt;0.000000001,$E$8411,0.000000001))*$I$7067)</f>
        <v/>
      </c>
      <c r="E8447" s="19">
        <f>0.5*$E$8411+0.5*$Z$8461</f>
        <v/>
      </c>
      <c r="F8447" s="19">
        <f>$Z$8462</f>
        <v/>
      </c>
    </row>
    <row r="8448">
      <c r="D8448" s="19">
        <f>IF(ABS(IF(ABS($E$8412)&gt;0.000000001,$E$8412,0.000000001))=0,0,IF($E$7068&lt;=$B$7059,0,IF(ABS(IF(ABS($E$8412)&gt;0.000000001,$E$8412,0.000000001))&gt;=8*$B$7061,$H$7068,0.5*$H$7068*(ABS(IF(ABS($E$8412)&gt;0.000000001,$E$8412,0.000000001))/$B$7061)^(1/3)))/ABS(IF(ABS($E$8412)&gt;0.000000001,$E$8412,0.000000001))*$I$7068)</f>
        <v/>
      </c>
      <c r="E8448" s="19">
        <f>0.5*$E$8412+0.5*$Z$8463</f>
        <v/>
      </c>
      <c r="F8448" s="19">
        <f>$Z$8464</f>
        <v/>
      </c>
    </row>
    <row r="8449">
      <c r="D8449" s="19">
        <f>IF(ABS(IF(ABS($E$8413)&gt;0.000000001,$E$8413,0.000000001))=0,0,IF($E$7069&lt;=$B$7059,0,IF(ABS(IF(ABS($E$8413)&gt;0.000000001,$E$8413,0.000000001))&gt;=8*$B$7061,$H$7069,0.5*$H$7069*(ABS(IF(ABS($E$8413)&gt;0.000000001,$E$8413,0.000000001))/$B$7061)^(1/3)))/ABS(IF(ABS($E$8413)&gt;0.000000001,$E$8413,0.000000001))*$I$7069)</f>
        <v/>
      </c>
      <c r="E8449" s="19">
        <f>0.5*$E$8413+0.5*$Z$8465</f>
        <v/>
      </c>
      <c r="F8449" s="19">
        <f>$Z$8466</f>
        <v/>
      </c>
    </row>
    <row r="8450">
      <c r="D8450" s="19">
        <f>IF(ABS(IF(ABS($E$8414)&gt;0.000000001,$E$8414,0.000000001))=0,0,IF($E$7070&lt;=$B$7059,0,IF(ABS(IF(ABS($E$8414)&gt;0.000000001,$E$8414,0.000000001))&gt;=8*$B$7061,$H$7070,0.5*$H$7070*(ABS(IF(ABS($E$8414)&gt;0.000000001,$E$8414,0.000000001))/$B$7061)^(1/3)))/ABS(IF(ABS($E$8414)&gt;0.000000001,$E$8414,0.000000001))*$I$7070)</f>
        <v/>
      </c>
      <c r="E8450" s="19">
        <f>0.5*$E$8414+0.5*$Z$8467</f>
        <v/>
      </c>
      <c r="F8450" s="19">
        <f>$Z$8468</f>
        <v/>
      </c>
    </row>
    <row r="8451">
      <c r="D8451" s="19">
        <f>IF(ABS(IF(ABS($E$8415)&gt;0.000000001,$E$8415,0.000000001))=0,0,IF($E$7071&lt;=$B$7059,0,IF(ABS(IF(ABS($E$8415)&gt;0.000000001,$E$8415,0.000000001))&gt;=8*$B$7061,$H$7071,0.5*$H$7071*(ABS(IF(ABS($E$8415)&gt;0.000000001,$E$8415,0.000000001))/$B$7061)^(1/3)))/ABS(IF(ABS($E$8415)&gt;0.000000001,$E$8415,0.000000001))*$I$7071)</f>
        <v/>
      </c>
      <c r="E8451" s="19">
        <f>0.5*$E$8415+0.5*$Z$8469</f>
        <v/>
      </c>
      <c r="F8451" s="19">
        <f>$Z$8470</f>
        <v/>
      </c>
    </row>
    <row r="8452">
      <c r="D8452" s="19">
        <f>IF(ABS(IF(ABS($E$8416)&gt;0.000000001,$E$8416,0.000000001))=0,0,IF($E$7072&lt;=$B$7059,0,IF(ABS(IF(ABS($E$8416)&gt;0.000000001,$E$8416,0.000000001))&gt;=8*$B$7061,$H$7072,0.5*$H$7072*(ABS(IF(ABS($E$8416)&gt;0.000000001,$E$8416,0.000000001))/$B$7061)^(1/3)))/ABS(IF(ABS($E$8416)&gt;0.000000001,$E$8416,0.000000001))*$I$7072)</f>
        <v/>
      </c>
      <c r="E8452" s="19">
        <f>0.5*$E$8416+0.5*$Z$8471</f>
        <v/>
      </c>
      <c r="F8452" s="19">
        <f>$Z$8472</f>
        <v/>
      </c>
    </row>
    <row r="8453">
      <c r="D8453" s="19">
        <f>IF(ABS(IF(ABS($E$8417)&gt;0.000000001,$E$8417,0.000000001))=0,0,IF($E$7073&lt;=$B$7059,0,IF(ABS(IF(ABS($E$8417)&gt;0.000000001,$E$8417,0.000000001))&gt;=8*$B$7061,$H$7073,0.5*$H$7073*(ABS(IF(ABS($E$8417)&gt;0.000000001,$E$8417,0.000000001))/$B$7061)^(1/3)))/ABS(IF(ABS($E$8417)&gt;0.000000001,$E$8417,0.000000001))*$I$7073)</f>
        <v/>
      </c>
      <c r="E8453" s="19">
        <f>0.5*$E$8417+0.5*$Z$8473</f>
        <v/>
      </c>
      <c r="F8453" s="19">
        <f>$Z$8474</f>
        <v/>
      </c>
    </row>
    <row r="8454">
      <c r="D8454" s="19">
        <f>IF(ABS(IF(ABS($E$8418)&gt;0.000000001,$E$8418,0.000000001))=0,0,IF($E$7074&lt;=$B$7059,0,IF(ABS(IF(ABS($E$8418)&gt;0.000000001,$E$8418,0.000000001))&gt;=8*$B$7061,$H$7074,0.5*$H$7074*(ABS(IF(ABS($E$8418)&gt;0.000000001,$E$8418,0.000000001))/$B$7061)^(1/3)))/ABS(IF(ABS($E$8418)&gt;0.000000001,$E$8418,0.000000001))*$I$7074)</f>
        <v/>
      </c>
      <c r="E8454" s="19">
        <f>0.5*$E$8418+0.5*$Z$8475</f>
        <v/>
      </c>
      <c r="F8454" s="19">
        <f>$Z$8476</f>
        <v/>
      </c>
    </row>
    <row r="8455">
      <c r="D8455" s="19">
        <f>IF(ABS(IF(ABS($E$8419)&gt;0.000000001,$E$8419,0.000000001))=0,0,IF($E$7075&lt;=$B$7059,0,IF(ABS(IF(ABS($E$8419)&gt;0.000000001,$E$8419,0.000000001))&gt;=8*$B$7061,$H$7075,0.5*$H$7075*(ABS(IF(ABS($E$8419)&gt;0.000000001,$E$8419,0.000000001))/$B$7061)^(1/3)))/ABS(IF(ABS($E$8419)&gt;0.000000001,$E$8419,0.000000001))*$I$7075)</f>
        <v/>
      </c>
      <c r="E8455" s="19">
        <f>0.5*$E$8419+0.5*$Z$8477</f>
        <v/>
      </c>
      <c r="F8455" s="19">
        <f>$Z$8478</f>
        <v/>
      </c>
    </row>
    <row r="8457">
      <c r="D8457" s="21">
        <f>$B$7050+$D$8445</f>
        <v/>
      </c>
      <c r="E8457" s="21">
        <f>$B$7051</f>
        <v/>
      </c>
      <c r="F8457" s="21">
        <f>-$B$7050</f>
        <v/>
      </c>
      <c r="G8457" s="21">
        <f>$B$7051</f>
        <v/>
      </c>
      <c r="H8457" s="21" t="n">
        <v>0</v>
      </c>
      <c r="I8457" s="21" t="n">
        <v>0</v>
      </c>
      <c r="J8457" s="21" t="n">
        <v>0</v>
      </c>
      <c r="K8457" s="21" t="n">
        <v>0</v>
      </c>
      <c r="L8457" s="21" t="n">
        <v>0</v>
      </c>
      <c r="M8457" s="21" t="n">
        <v>0</v>
      </c>
      <c r="N8457" s="21" t="n">
        <v>0</v>
      </c>
      <c r="O8457" s="21" t="n">
        <v>0</v>
      </c>
      <c r="P8457" s="21" t="n">
        <v>0</v>
      </c>
      <c r="Q8457" s="21" t="n">
        <v>0</v>
      </c>
      <c r="R8457" s="21" t="n">
        <v>0</v>
      </c>
      <c r="S8457" s="21" t="n">
        <v>0</v>
      </c>
      <c r="T8457" s="21" t="n">
        <v>0</v>
      </c>
      <c r="U8457" s="21" t="n">
        <v>0</v>
      </c>
      <c r="V8457" s="21" t="n">
        <v>0</v>
      </c>
      <c r="W8457" s="21" t="n">
        <v>0</v>
      </c>
      <c r="X8457" s="21" t="n">
        <v>0</v>
      </c>
      <c r="Y8457" s="21" t="n">
        <v>0</v>
      </c>
      <c r="Z8457" s="19">
        <f t="array" ref="Z8457:Z8478">MMULT(MINVERSE($D$8457:$Y$8478),$D$7077:$D$7098)</f>
        <v/>
      </c>
    </row>
    <row r="8458">
      <c r="D8458" s="21">
        <f>$B$7051</f>
        <v/>
      </c>
      <c r="E8458" s="21">
        <f>$B$7052</f>
        <v/>
      </c>
      <c r="F8458" s="21">
        <f>-$B$7051</f>
        <v/>
      </c>
      <c r="G8458" s="21">
        <f>$B$7053</f>
        <v/>
      </c>
      <c r="H8458" s="21" t="n">
        <v>0</v>
      </c>
      <c r="I8458" s="21" t="n">
        <v>0</v>
      </c>
      <c r="J8458" s="21" t="n">
        <v>0</v>
      </c>
      <c r="K8458" s="21" t="n">
        <v>0</v>
      </c>
      <c r="L8458" s="21" t="n">
        <v>0</v>
      </c>
      <c r="M8458" s="21" t="n">
        <v>0</v>
      </c>
      <c r="N8458" s="21" t="n">
        <v>0</v>
      </c>
      <c r="O8458" s="21" t="n">
        <v>0</v>
      </c>
      <c r="P8458" s="21" t="n">
        <v>0</v>
      </c>
      <c r="Q8458" s="21" t="n">
        <v>0</v>
      </c>
      <c r="R8458" s="21" t="n">
        <v>0</v>
      </c>
      <c r="S8458" s="21" t="n">
        <v>0</v>
      </c>
      <c r="T8458" s="21" t="n">
        <v>0</v>
      </c>
      <c r="U8458" s="21" t="n">
        <v>0</v>
      </c>
      <c r="V8458" s="21" t="n">
        <v>0</v>
      </c>
      <c r="W8458" s="21" t="n">
        <v>0</v>
      </c>
      <c r="X8458" s="21" t="n">
        <v>0</v>
      </c>
      <c r="Y8458" s="21" t="n">
        <v>0</v>
      </c>
      <c r="Z8458" s="19" t="n"/>
    </row>
    <row r="8459">
      <c r="D8459" s="21">
        <f>-$B$7050</f>
        <v/>
      </c>
      <c r="E8459" s="21">
        <f>-$B$7051</f>
        <v/>
      </c>
      <c r="F8459" s="21">
        <f>2*$B$7050+$D$8446</f>
        <v/>
      </c>
      <c r="G8459" s="21">
        <f>0</f>
        <v/>
      </c>
      <c r="H8459" s="21">
        <f>-$B$7050</f>
        <v/>
      </c>
      <c r="I8459" s="21">
        <f>$B$7051</f>
        <v/>
      </c>
      <c r="J8459" s="21" t="n">
        <v>0</v>
      </c>
      <c r="K8459" s="21" t="n">
        <v>0</v>
      </c>
      <c r="L8459" s="21" t="n">
        <v>0</v>
      </c>
      <c r="M8459" s="21" t="n">
        <v>0</v>
      </c>
      <c r="N8459" s="21" t="n">
        <v>0</v>
      </c>
      <c r="O8459" s="21" t="n">
        <v>0</v>
      </c>
      <c r="P8459" s="21" t="n">
        <v>0</v>
      </c>
      <c r="Q8459" s="21" t="n">
        <v>0</v>
      </c>
      <c r="R8459" s="21" t="n">
        <v>0</v>
      </c>
      <c r="S8459" s="21" t="n">
        <v>0</v>
      </c>
      <c r="T8459" s="21" t="n">
        <v>0</v>
      </c>
      <c r="U8459" s="21" t="n">
        <v>0</v>
      </c>
      <c r="V8459" s="21" t="n">
        <v>0</v>
      </c>
      <c r="W8459" s="21" t="n">
        <v>0</v>
      </c>
      <c r="X8459" s="21" t="n">
        <v>0</v>
      </c>
      <c r="Y8459" s="21" t="n">
        <v>0</v>
      </c>
      <c r="Z8459" s="19" t="n"/>
    </row>
    <row r="8460">
      <c r="D8460" s="21">
        <f>$B$7051</f>
        <v/>
      </c>
      <c r="E8460" s="21">
        <f>$B$7053</f>
        <v/>
      </c>
      <c r="F8460" s="21">
        <f>0</f>
        <v/>
      </c>
      <c r="G8460" s="21">
        <f>2*$B$7052</f>
        <v/>
      </c>
      <c r="H8460" s="21">
        <f>-$B$7051</f>
        <v/>
      </c>
      <c r="I8460" s="21">
        <f>$B$7053</f>
        <v/>
      </c>
      <c r="J8460" s="21" t="n">
        <v>0</v>
      </c>
      <c r="K8460" s="21" t="n">
        <v>0</v>
      </c>
      <c r="L8460" s="21" t="n">
        <v>0</v>
      </c>
      <c r="M8460" s="21" t="n">
        <v>0</v>
      </c>
      <c r="N8460" s="21" t="n">
        <v>0</v>
      </c>
      <c r="O8460" s="21" t="n">
        <v>0</v>
      </c>
      <c r="P8460" s="21" t="n">
        <v>0</v>
      </c>
      <c r="Q8460" s="21" t="n">
        <v>0</v>
      </c>
      <c r="R8460" s="21" t="n">
        <v>0</v>
      </c>
      <c r="S8460" s="21" t="n">
        <v>0</v>
      </c>
      <c r="T8460" s="21" t="n">
        <v>0</v>
      </c>
      <c r="U8460" s="21" t="n">
        <v>0</v>
      </c>
      <c r="V8460" s="21" t="n">
        <v>0</v>
      </c>
      <c r="W8460" s="21" t="n">
        <v>0</v>
      </c>
      <c r="X8460" s="21" t="n">
        <v>0</v>
      </c>
      <c r="Y8460" s="21" t="n">
        <v>0</v>
      </c>
      <c r="Z8460" s="19" t="n"/>
    </row>
    <row r="8461">
      <c r="D8461" s="21" t="n">
        <v>0</v>
      </c>
      <c r="E8461" s="21" t="n">
        <v>0</v>
      </c>
      <c r="F8461" s="21">
        <f>-$B$7050</f>
        <v/>
      </c>
      <c r="G8461" s="21">
        <f>-$B$7051</f>
        <v/>
      </c>
      <c r="H8461" s="21">
        <f>2*$B$7050+$D$8447</f>
        <v/>
      </c>
      <c r="I8461" s="21">
        <f>0</f>
        <v/>
      </c>
      <c r="J8461" s="21">
        <f>-$B$7050</f>
        <v/>
      </c>
      <c r="K8461" s="21">
        <f>$B$7051</f>
        <v/>
      </c>
      <c r="L8461" s="21" t="n">
        <v>0</v>
      </c>
      <c r="M8461" s="21" t="n">
        <v>0</v>
      </c>
      <c r="N8461" s="21" t="n">
        <v>0</v>
      </c>
      <c r="O8461" s="21" t="n">
        <v>0</v>
      </c>
      <c r="P8461" s="21" t="n">
        <v>0</v>
      </c>
      <c r="Q8461" s="21" t="n">
        <v>0</v>
      </c>
      <c r="R8461" s="21" t="n">
        <v>0</v>
      </c>
      <c r="S8461" s="21" t="n">
        <v>0</v>
      </c>
      <c r="T8461" s="21" t="n">
        <v>0</v>
      </c>
      <c r="U8461" s="21" t="n">
        <v>0</v>
      </c>
      <c r="V8461" s="21" t="n">
        <v>0</v>
      </c>
      <c r="W8461" s="21" t="n">
        <v>0</v>
      </c>
      <c r="X8461" s="21" t="n">
        <v>0</v>
      </c>
      <c r="Y8461" s="21" t="n">
        <v>0</v>
      </c>
      <c r="Z8461" s="19" t="n"/>
    </row>
    <row r="8462">
      <c r="D8462" s="21" t="n">
        <v>0</v>
      </c>
      <c r="E8462" s="21" t="n">
        <v>0</v>
      </c>
      <c r="F8462" s="21">
        <f>$B$7051</f>
        <v/>
      </c>
      <c r="G8462" s="21">
        <f>$B$7053</f>
        <v/>
      </c>
      <c r="H8462" s="21">
        <f>0</f>
        <v/>
      </c>
      <c r="I8462" s="21">
        <f>2*$B$7052</f>
        <v/>
      </c>
      <c r="J8462" s="21">
        <f>-$B$7051</f>
        <v/>
      </c>
      <c r="K8462" s="21">
        <f>$B$7053</f>
        <v/>
      </c>
      <c r="L8462" s="21" t="n">
        <v>0</v>
      </c>
      <c r="M8462" s="21" t="n">
        <v>0</v>
      </c>
      <c r="N8462" s="21" t="n">
        <v>0</v>
      </c>
      <c r="O8462" s="21" t="n">
        <v>0</v>
      </c>
      <c r="P8462" s="21" t="n">
        <v>0</v>
      </c>
      <c r="Q8462" s="21" t="n">
        <v>0</v>
      </c>
      <c r="R8462" s="21" t="n">
        <v>0</v>
      </c>
      <c r="S8462" s="21" t="n">
        <v>0</v>
      </c>
      <c r="T8462" s="21" t="n">
        <v>0</v>
      </c>
      <c r="U8462" s="21" t="n">
        <v>0</v>
      </c>
      <c r="V8462" s="21" t="n">
        <v>0</v>
      </c>
      <c r="W8462" s="21" t="n">
        <v>0</v>
      </c>
      <c r="X8462" s="21" t="n">
        <v>0</v>
      </c>
      <c r="Y8462" s="21" t="n">
        <v>0</v>
      </c>
      <c r="Z8462" s="19" t="n"/>
    </row>
    <row r="8463">
      <c r="D8463" s="21" t="n">
        <v>0</v>
      </c>
      <c r="E8463" s="21" t="n">
        <v>0</v>
      </c>
      <c r="F8463" s="21" t="n">
        <v>0</v>
      </c>
      <c r="G8463" s="21" t="n">
        <v>0</v>
      </c>
      <c r="H8463" s="21">
        <f>-$B$7050</f>
        <v/>
      </c>
      <c r="I8463" s="21">
        <f>-$B$7051</f>
        <v/>
      </c>
      <c r="J8463" s="21">
        <f>2*$B$7050+$D$8448</f>
        <v/>
      </c>
      <c r="K8463" s="21">
        <f>0</f>
        <v/>
      </c>
      <c r="L8463" s="21">
        <f>-$B$7050</f>
        <v/>
      </c>
      <c r="M8463" s="21">
        <f>$B$7051</f>
        <v/>
      </c>
      <c r="N8463" s="21" t="n">
        <v>0</v>
      </c>
      <c r="O8463" s="21" t="n">
        <v>0</v>
      </c>
      <c r="P8463" s="21" t="n">
        <v>0</v>
      </c>
      <c r="Q8463" s="21" t="n">
        <v>0</v>
      </c>
      <c r="R8463" s="21" t="n">
        <v>0</v>
      </c>
      <c r="S8463" s="21" t="n">
        <v>0</v>
      </c>
      <c r="T8463" s="21" t="n">
        <v>0</v>
      </c>
      <c r="U8463" s="21" t="n">
        <v>0</v>
      </c>
      <c r="V8463" s="21" t="n">
        <v>0</v>
      </c>
      <c r="W8463" s="21" t="n">
        <v>0</v>
      </c>
      <c r="X8463" s="21" t="n">
        <v>0</v>
      </c>
      <c r="Y8463" s="21" t="n">
        <v>0</v>
      </c>
      <c r="Z8463" s="19" t="n"/>
    </row>
    <row r="8464">
      <c r="D8464" s="21" t="n">
        <v>0</v>
      </c>
      <c r="E8464" s="21" t="n">
        <v>0</v>
      </c>
      <c r="F8464" s="21" t="n">
        <v>0</v>
      </c>
      <c r="G8464" s="21" t="n">
        <v>0</v>
      </c>
      <c r="H8464" s="21">
        <f>$B$7051</f>
        <v/>
      </c>
      <c r="I8464" s="21">
        <f>$B$7053</f>
        <v/>
      </c>
      <c r="J8464" s="21">
        <f>0</f>
        <v/>
      </c>
      <c r="K8464" s="21">
        <f>2*$B$7052</f>
        <v/>
      </c>
      <c r="L8464" s="21">
        <f>-$B$7051</f>
        <v/>
      </c>
      <c r="M8464" s="21">
        <f>$B$7053</f>
        <v/>
      </c>
      <c r="N8464" s="21" t="n">
        <v>0</v>
      </c>
      <c r="O8464" s="21" t="n">
        <v>0</v>
      </c>
      <c r="P8464" s="21" t="n">
        <v>0</v>
      </c>
      <c r="Q8464" s="21" t="n">
        <v>0</v>
      </c>
      <c r="R8464" s="21" t="n">
        <v>0</v>
      </c>
      <c r="S8464" s="21" t="n">
        <v>0</v>
      </c>
      <c r="T8464" s="21" t="n">
        <v>0</v>
      </c>
      <c r="U8464" s="21" t="n">
        <v>0</v>
      </c>
      <c r="V8464" s="21" t="n">
        <v>0</v>
      </c>
      <c r="W8464" s="21" t="n">
        <v>0</v>
      </c>
      <c r="X8464" s="21" t="n">
        <v>0</v>
      </c>
      <c r="Y8464" s="21" t="n">
        <v>0</v>
      </c>
      <c r="Z8464" s="19" t="n"/>
    </row>
    <row r="8465">
      <c r="D8465" s="21" t="n">
        <v>0</v>
      </c>
      <c r="E8465" s="21" t="n">
        <v>0</v>
      </c>
      <c r="F8465" s="21" t="n">
        <v>0</v>
      </c>
      <c r="G8465" s="21" t="n">
        <v>0</v>
      </c>
      <c r="H8465" s="21" t="n">
        <v>0</v>
      </c>
      <c r="I8465" s="21" t="n">
        <v>0</v>
      </c>
      <c r="J8465" s="21">
        <f>-$B$7050</f>
        <v/>
      </c>
      <c r="K8465" s="21">
        <f>-$B$7051</f>
        <v/>
      </c>
      <c r="L8465" s="21">
        <f>2*$B$7050+$D$8449</f>
        <v/>
      </c>
      <c r="M8465" s="21">
        <f>0</f>
        <v/>
      </c>
      <c r="N8465" s="21">
        <f>-$B$7050</f>
        <v/>
      </c>
      <c r="O8465" s="21">
        <f>$B$7051</f>
        <v/>
      </c>
      <c r="P8465" s="21" t="n">
        <v>0</v>
      </c>
      <c r="Q8465" s="21" t="n">
        <v>0</v>
      </c>
      <c r="R8465" s="21" t="n">
        <v>0</v>
      </c>
      <c r="S8465" s="21" t="n">
        <v>0</v>
      </c>
      <c r="T8465" s="21" t="n">
        <v>0</v>
      </c>
      <c r="U8465" s="21" t="n">
        <v>0</v>
      </c>
      <c r="V8465" s="21" t="n">
        <v>0</v>
      </c>
      <c r="W8465" s="21" t="n">
        <v>0</v>
      </c>
      <c r="X8465" s="21" t="n">
        <v>0</v>
      </c>
      <c r="Y8465" s="21" t="n">
        <v>0</v>
      </c>
      <c r="Z8465" s="19" t="n"/>
    </row>
    <row r="8466">
      <c r="D8466" s="21" t="n">
        <v>0</v>
      </c>
      <c r="E8466" s="21" t="n">
        <v>0</v>
      </c>
      <c r="F8466" s="21" t="n">
        <v>0</v>
      </c>
      <c r="G8466" s="21" t="n">
        <v>0</v>
      </c>
      <c r="H8466" s="21" t="n">
        <v>0</v>
      </c>
      <c r="I8466" s="21" t="n">
        <v>0</v>
      </c>
      <c r="J8466" s="21">
        <f>$B$7051</f>
        <v/>
      </c>
      <c r="K8466" s="21">
        <f>$B$7053</f>
        <v/>
      </c>
      <c r="L8466" s="21">
        <f>0</f>
        <v/>
      </c>
      <c r="M8466" s="21">
        <f>2*$B$7052</f>
        <v/>
      </c>
      <c r="N8466" s="21">
        <f>-$B$7051</f>
        <v/>
      </c>
      <c r="O8466" s="21">
        <f>$B$7053</f>
        <v/>
      </c>
      <c r="P8466" s="21" t="n">
        <v>0</v>
      </c>
      <c r="Q8466" s="21" t="n">
        <v>0</v>
      </c>
      <c r="R8466" s="21" t="n">
        <v>0</v>
      </c>
      <c r="S8466" s="21" t="n">
        <v>0</v>
      </c>
      <c r="T8466" s="21" t="n">
        <v>0</v>
      </c>
      <c r="U8466" s="21" t="n">
        <v>0</v>
      </c>
      <c r="V8466" s="21" t="n">
        <v>0</v>
      </c>
      <c r="W8466" s="21" t="n">
        <v>0</v>
      </c>
      <c r="X8466" s="21" t="n">
        <v>0</v>
      </c>
      <c r="Y8466" s="21" t="n">
        <v>0</v>
      </c>
      <c r="Z8466" s="19" t="n"/>
    </row>
    <row r="8467">
      <c r="D8467" s="21" t="n">
        <v>0</v>
      </c>
      <c r="E8467" s="21" t="n">
        <v>0</v>
      </c>
      <c r="F8467" s="21" t="n">
        <v>0</v>
      </c>
      <c r="G8467" s="21" t="n">
        <v>0</v>
      </c>
      <c r="H8467" s="21" t="n">
        <v>0</v>
      </c>
      <c r="I8467" s="21" t="n">
        <v>0</v>
      </c>
      <c r="J8467" s="21" t="n">
        <v>0</v>
      </c>
      <c r="K8467" s="21" t="n">
        <v>0</v>
      </c>
      <c r="L8467" s="21">
        <f>-$B$7050</f>
        <v/>
      </c>
      <c r="M8467" s="21">
        <f>-$B$7051</f>
        <v/>
      </c>
      <c r="N8467" s="21">
        <f>2*$B$7050+$D$8450</f>
        <v/>
      </c>
      <c r="O8467" s="21">
        <f>0</f>
        <v/>
      </c>
      <c r="P8467" s="21">
        <f>-$B$7050</f>
        <v/>
      </c>
      <c r="Q8467" s="21">
        <f>$B$7051</f>
        <v/>
      </c>
      <c r="R8467" s="21" t="n">
        <v>0</v>
      </c>
      <c r="S8467" s="21" t="n">
        <v>0</v>
      </c>
      <c r="T8467" s="21" t="n">
        <v>0</v>
      </c>
      <c r="U8467" s="21" t="n">
        <v>0</v>
      </c>
      <c r="V8467" s="21" t="n">
        <v>0</v>
      </c>
      <c r="W8467" s="21" t="n">
        <v>0</v>
      </c>
      <c r="X8467" s="21" t="n">
        <v>0</v>
      </c>
      <c r="Y8467" s="21" t="n">
        <v>0</v>
      </c>
      <c r="Z8467" s="19" t="n"/>
    </row>
    <row r="8468">
      <c r="D8468" s="21" t="n">
        <v>0</v>
      </c>
      <c r="E8468" s="21" t="n">
        <v>0</v>
      </c>
      <c r="F8468" s="21" t="n">
        <v>0</v>
      </c>
      <c r="G8468" s="21" t="n">
        <v>0</v>
      </c>
      <c r="H8468" s="21" t="n">
        <v>0</v>
      </c>
      <c r="I8468" s="21" t="n">
        <v>0</v>
      </c>
      <c r="J8468" s="21" t="n">
        <v>0</v>
      </c>
      <c r="K8468" s="21" t="n">
        <v>0</v>
      </c>
      <c r="L8468" s="21">
        <f>$B$7051</f>
        <v/>
      </c>
      <c r="M8468" s="21">
        <f>$B$7053</f>
        <v/>
      </c>
      <c r="N8468" s="21">
        <f>0</f>
        <v/>
      </c>
      <c r="O8468" s="21">
        <f>2*$B$7052</f>
        <v/>
      </c>
      <c r="P8468" s="21">
        <f>-$B$7051</f>
        <v/>
      </c>
      <c r="Q8468" s="21">
        <f>$B$7053</f>
        <v/>
      </c>
      <c r="R8468" s="21" t="n">
        <v>0</v>
      </c>
      <c r="S8468" s="21" t="n">
        <v>0</v>
      </c>
      <c r="T8468" s="21" t="n">
        <v>0</v>
      </c>
      <c r="U8468" s="21" t="n">
        <v>0</v>
      </c>
      <c r="V8468" s="21" t="n">
        <v>0</v>
      </c>
      <c r="W8468" s="21" t="n">
        <v>0</v>
      </c>
      <c r="X8468" s="21" t="n">
        <v>0</v>
      </c>
      <c r="Y8468" s="21" t="n">
        <v>0</v>
      </c>
      <c r="Z8468" s="19" t="n"/>
    </row>
    <row r="8469">
      <c r="D8469" s="21" t="n">
        <v>0</v>
      </c>
      <c r="E8469" s="21" t="n">
        <v>0</v>
      </c>
      <c r="F8469" s="21" t="n">
        <v>0</v>
      </c>
      <c r="G8469" s="21" t="n">
        <v>0</v>
      </c>
      <c r="H8469" s="21" t="n">
        <v>0</v>
      </c>
      <c r="I8469" s="21" t="n">
        <v>0</v>
      </c>
      <c r="J8469" s="21" t="n">
        <v>0</v>
      </c>
      <c r="K8469" s="21" t="n">
        <v>0</v>
      </c>
      <c r="L8469" s="21" t="n">
        <v>0</v>
      </c>
      <c r="M8469" s="21" t="n">
        <v>0</v>
      </c>
      <c r="N8469" s="21">
        <f>-$B$7050</f>
        <v/>
      </c>
      <c r="O8469" s="21">
        <f>-$B$7051</f>
        <v/>
      </c>
      <c r="P8469" s="21">
        <f>2*$B$7050+$D$8451</f>
        <v/>
      </c>
      <c r="Q8469" s="21">
        <f>0</f>
        <v/>
      </c>
      <c r="R8469" s="21">
        <f>-$B$7050</f>
        <v/>
      </c>
      <c r="S8469" s="21">
        <f>$B$7051</f>
        <v/>
      </c>
      <c r="T8469" s="21" t="n">
        <v>0</v>
      </c>
      <c r="U8469" s="21" t="n">
        <v>0</v>
      </c>
      <c r="V8469" s="21" t="n">
        <v>0</v>
      </c>
      <c r="W8469" s="21" t="n">
        <v>0</v>
      </c>
      <c r="X8469" s="21" t="n">
        <v>0</v>
      </c>
      <c r="Y8469" s="21" t="n">
        <v>0</v>
      </c>
      <c r="Z8469" s="19" t="n"/>
    </row>
    <row r="8470">
      <c r="D8470" s="21" t="n">
        <v>0</v>
      </c>
      <c r="E8470" s="21" t="n">
        <v>0</v>
      </c>
      <c r="F8470" s="21" t="n">
        <v>0</v>
      </c>
      <c r="G8470" s="21" t="n">
        <v>0</v>
      </c>
      <c r="H8470" s="21" t="n">
        <v>0</v>
      </c>
      <c r="I8470" s="21" t="n">
        <v>0</v>
      </c>
      <c r="J8470" s="21" t="n">
        <v>0</v>
      </c>
      <c r="K8470" s="21" t="n">
        <v>0</v>
      </c>
      <c r="L8470" s="21" t="n">
        <v>0</v>
      </c>
      <c r="M8470" s="21" t="n">
        <v>0</v>
      </c>
      <c r="N8470" s="21">
        <f>$B$7051</f>
        <v/>
      </c>
      <c r="O8470" s="21">
        <f>$B$7053</f>
        <v/>
      </c>
      <c r="P8470" s="21">
        <f>0</f>
        <v/>
      </c>
      <c r="Q8470" s="21">
        <f>2*$B$7052</f>
        <v/>
      </c>
      <c r="R8470" s="21">
        <f>-$B$7051</f>
        <v/>
      </c>
      <c r="S8470" s="21">
        <f>$B$7053</f>
        <v/>
      </c>
      <c r="T8470" s="21" t="n">
        <v>0</v>
      </c>
      <c r="U8470" s="21" t="n">
        <v>0</v>
      </c>
      <c r="V8470" s="21" t="n">
        <v>0</v>
      </c>
      <c r="W8470" s="21" t="n">
        <v>0</v>
      </c>
      <c r="X8470" s="21" t="n">
        <v>0</v>
      </c>
      <c r="Y8470" s="21" t="n">
        <v>0</v>
      </c>
      <c r="Z8470" s="19" t="n"/>
    </row>
    <row r="8471">
      <c r="D8471" s="21" t="n">
        <v>0</v>
      </c>
      <c r="E8471" s="21" t="n">
        <v>0</v>
      </c>
      <c r="F8471" s="21" t="n">
        <v>0</v>
      </c>
      <c r="G8471" s="21" t="n">
        <v>0</v>
      </c>
      <c r="H8471" s="21" t="n">
        <v>0</v>
      </c>
      <c r="I8471" s="21" t="n">
        <v>0</v>
      </c>
      <c r="J8471" s="21" t="n">
        <v>0</v>
      </c>
      <c r="K8471" s="21" t="n">
        <v>0</v>
      </c>
      <c r="L8471" s="21" t="n">
        <v>0</v>
      </c>
      <c r="M8471" s="21" t="n">
        <v>0</v>
      </c>
      <c r="N8471" s="21" t="n">
        <v>0</v>
      </c>
      <c r="O8471" s="21" t="n">
        <v>0</v>
      </c>
      <c r="P8471" s="21">
        <f>-$B$7050</f>
        <v/>
      </c>
      <c r="Q8471" s="21">
        <f>-$B$7051</f>
        <v/>
      </c>
      <c r="R8471" s="21">
        <f>2*$B$7050+$D$8452</f>
        <v/>
      </c>
      <c r="S8471" s="21">
        <f>0</f>
        <v/>
      </c>
      <c r="T8471" s="21">
        <f>-$B$7050</f>
        <v/>
      </c>
      <c r="U8471" s="21">
        <f>$B$7051</f>
        <v/>
      </c>
      <c r="V8471" s="21" t="n">
        <v>0</v>
      </c>
      <c r="W8471" s="21" t="n">
        <v>0</v>
      </c>
      <c r="X8471" s="21" t="n">
        <v>0</v>
      </c>
      <c r="Y8471" s="21" t="n">
        <v>0</v>
      </c>
      <c r="Z8471" s="19" t="n"/>
    </row>
    <row r="8472">
      <c r="D8472" s="21" t="n">
        <v>0</v>
      </c>
      <c r="E8472" s="21" t="n">
        <v>0</v>
      </c>
      <c r="F8472" s="21" t="n">
        <v>0</v>
      </c>
      <c r="G8472" s="21" t="n">
        <v>0</v>
      </c>
      <c r="H8472" s="21" t="n">
        <v>0</v>
      </c>
      <c r="I8472" s="21" t="n">
        <v>0</v>
      </c>
      <c r="J8472" s="21" t="n">
        <v>0</v>
      </c>
      <c r="K8472" s="21" t="n">
        <v>0</v>
      </c>
      <c r="L8472" s="21" t="n">
        <v>0</v>
      </c>
      <c r="M8472" s="21" t="n">
        <v>0</v>
      </c>
      <c r="N8472" s="21" t="n">
        <v>0</v>
      </c>
      <c r="O8472" s="21" t="n">
        <v>0</v>
      </c>
      <c r="P8472" s="21">
        <f>$B$7051</f>
        <v/>
      </c>
      <c r="Q8472" s="21">
        <f>$B$7053</f>
        <v/>
      </c>
      <c r="R8472" s="21">
        <f>0</f>
        <v/>
      </c>
      <c r="S8472" s="21">
        <f>2*$B$7052</f>
        <v/>
      </c>
      <c r="T8472" s="21">
        <f>-$B$7051</f>
        <v/>
      </c>
      <c r="U8472" s="21">
        <f>$B$7053</f>
        <v/>
      </c>
      <c r="V8472" s="21" t="n">
        <v>0</v>
      </c>
      <c r="W8472" s="21" t="n">
        <v>0</v>
      </c>
      <c r="X8472" s="21" t="n">
        <v>0</v>
      </c>
      <c r="Y8472" s="21" t="n">
        <v>0</v>
      </c>
      <c r="Z8472" s="19" t="n"/>
    </row>
    <row r="8473">
      <c r="D8473" s="21" t="n">
        <v>0</v>
      </c>
      <c r="E8473" s="21" t="n">
        <v>0</v>
      </c>
      <c r="F8473" s="21" t="n">
        <v>0</v>
      </c>
      <c r="G8473" s="21" t="n">
        <v>0</v>
      </c>
      <c r="H8473" s="21" t="n">
        <v>0</v>
      </c>
      <c r="I8473" s="21" t="n">
        <v>0</v>
      </c>
      <c r="J8473" s="21" t="n">
        <v>0</v>
      </c>
      <c r="K8473" s="21" t="n">
        <v>0</v>
      </c>
      <c r="L8473" s="21" t="n">
        <v>0</v>
      </c>
      <c r="M8473" s="21" t="n">
        <v>0</v>
      </c>
      <c r="N8473" s="21" t="n">
        <v>0</v>
      </c>
      <c r="O8473" s="21" t="n">
        <v>0</v>
      </c>
      <c r="P8473" s="21" t="n">
        <v>0</v>
      </c>
      <c r="Q8473" s="21" t="n">
        <v>0</v>
      </c>
      <c r="R8473" s="21">
        <f>-$B$7050</f>
        <v/>
      </c>
      <c r="S8473" s="21">
        <f>-$B$7051</f>
        <v/>
      </c>
      <c r="T8473" s="21">
        <f>2*$B$7050+$D$8453</f>
        <v/>
      </c>
      <c r="U8473" s="21">
        <f>0</f>
        <v/>
      </c>
      <c r="V8473" s="21">
        <f>-$B$7050</f>
        <v/>
      </c>
      <c r="W8473" s="21">
        <f>$B$7051</f>
        <v/>
      </c>
      <c r="X8473" s="21" t="n">
        <v>0</v>
      </c>
      <c r="Y8473" s="21" t="n">
        <v>0</v>
      </c>
      <c r="Z8473" s="19" t="n"/>
    </row>
    <row r="8474">
      <c r="D8474" s="21" t="n">
        <v>0</v>
      </c>
      <c r="E8474" s="21" t="n">
        <v>0</v>
      </c>
      <c r="F8474" s="21" t="n">
        <v>0</v>
      </c>
      <c r="G8474" s="21" t="n">
        <v>0</v>
      </c>
      <c r="H8474" s="21" t="n">
        <v>0</v>
      </c>
      <c r="I8474" s="21" t="n">
        <v>0</v>
      </c>
      <c r="J8474" s="21" t="n">
        <v>0</v>
      </c>
      <c r="K8474" s="21" t="n">
        <v>0</v>
      </c>
      <c r="L8474" s="21" t="n">
        <v>0</v>
      </c>
      <c r="M8474" s="21" t="n">
        <v>0</v>
      </c>
      <c r="N8474" s="21" t="n">
        <v>0</v>
      </c>
      <c r="O8474" s="21" t="n">
        <v>0</v>
      </c>
      <c r="P8474" s="21" t="n">
        <v>0</v>
      </c>
      <c r="Q8474" s="21" t="n">
        <v>0</v>
      </c>
      <c r="R8474" s="21">
        <f>$B$7051</f>
        <v/>
      </c>
      <c r="S8474" s="21">
        <f>$B$7053</f>
        <v/>
      </c>
      <c r="T8474" s="21">
        <f>0</f>
        <v/>
      </c>
      <c r="U8474" s="21">
        <f>2*$B$7052</f>
        <v/>
      </c>
      <c r="V8474" s="21">
        <f>-$B$7051</f>
        <v/>
      </c>
      <c r="W8474" s="21">
        <f>$B$7053</f>
        <v/>
      </c>
      <c r="X8474" s="21" t="n">
        <v>0</v>
      </c>
      <c r="Y8474" s="21" t="n">
        <v>0</v>
      </c>
      <c r="Z8474" s="19" t="n"/>
    </row>
    <row r="8475">
      <c r="D8475" s="21" t="n">
        <v>0</v>
      </c>
      <c r="E8475" s="21" t="n">
        <v>0</v>
      </c>
      <c r="F8475" s="21" t="n">
        <v>0</v>
      </c>
      <c r="G8475" s="21" t="n">
        <v>0</v>
      </c>
      <c r="H8475" s="21" t="n">
        <v>0</v>
      </c>
      <c r="I8475" s="21" t="n">
        <v>0</v>
      </c>
      <c r="J8475" s="21" t="n">
        <v>0</v>
      </c>
      <c r="K8475" s="21" t="n">
        <v>0</v>
      </c>
      <c r="L8475" s="21" t="n">
        <v>0</v>
      </c>
      <c r="M8475" s="21" t="n">
        <v>0</v>
      </c>
      <c r="N8475" s="21" t="n">
        <v>0</v>
      </c>
      <c r="O8475" s="21" t="n">
        <v>0</v>
      </c>
      <c r="P8475" s="21" t="n">
        <v>0</v>
      </c>
      <c r="Q8475" s="21" t="n">
        <v>0</v>
      </c>
      <c r="R8475" s="21" t="n">
        <v>0</v>
      </c>
      <c r="S8475" s="21" t="n">
        <v>0</v>
      </c>
      <c r="T8475" s="21">
        <f>-$B$7050</f>
        <v/>
      </c>
      <c r="U8475" s="21">
        <f>-$B$7051</f>
        <v/>
      </c>
      <c r="V8475" s="21">
        <f>2*$B$7050+$D$8454</f>
        <v/>
      </c>
      <c r="W8475" s="21">
        <f>0</f>
        <v/>
      </c>
      <c r="X8475" s="21">
        <f>-$B$7050</f>
        <v/>
      </c>
      <c r="Y8475" s="21">
        <f>$B$7051</f>
        <v/>
      </c>
      <c r="Z8475" s="19" t="n"/>
    </row>
    <row r="8476">
      <c r="D8476" s="21" t="n">
        <v>0</v>
      </c>
      <c r="E8476" s="21" t="n">
        <v>0</v>
      </c>
      <c r="F8476" s="21" t="n">
        <v>0</v>
      </c>
      <c r="G8476" s="21" t="n">
        <v>0</v>
      </c>
      <c r="H8476" s="21" t="n">
        <v>0</v>
      </c>
      <c r="I8476" s="21" t="n">
        <v>0</v>
      </c>
      <c r="J8476" s="21" t="n">
        <v>0</v>
      </c>
      <c r="K8476" s="21" t="n">
        <v>0</v>
      </c>
      <c r="L8476" s="21" t="n">
        <v>0</v>
      </c>
      <c r="M8476" s="21" t="n">
        <v>0</v>
      </c>
      <c r="N8476" s="21" t="n">
        <v>0</v>
      </c>
      <c r="O8476" s="21" t="n">
        <v>0</v>
      </c>
      <c r="P8476" s="21" t="n">
        <v>0</v>
      </c>
      <c r="Q8476" s="21" t="n">
        <v>0</v>
      </c>
      <c r="R8476" s="21" t="n">
        <v>0</v>
      </c>
      <c r="S8476" s="21" t="n">
        <v>0</v>
      </c>
      <c r="T8476" s="21">
        <f>$B$7051</f>
        <v/>
      </c>
      <c r="U8476" s="21">
        <f>$B$7053</f>
        <v/>
      </c>
      <c r="V8476" s="21">
        <f>0</f>
        <v/>
      </c>
      <c r="W8476" s="21">
        <f>2*$B$7052</f>
        <v/>
      </c>
      <c r="X8476" s="21">
        <f>-$B$7051</f>
        <v/>
      </c>
      <c r="Y8476" s="21">
        <f>$B$7053</f>
        <v/>
      </c>
      <c r="Z8476" s="19" t="n"/>
    </row>
    <row r="8477">
      <c r="D8477" s="21" t="n">
        <v>0</v>
      </c>
      <c r="E8477" s="21" t="n">
        <v>0</v>
      </c>
      <c r="F8477" s="21" t="n">
        <v>0</v>
      </c>
      <c r="G8477" s="21" t="n">
        <v>0</v>
      </c>
      <c r="H8477" s="21" t="n">
        <v>0</v>
      </c>
      <c r="I8477" s="21" t="n">
        <v>0</v>
      </c>
      <c r="J8477" s="21" t="n">
        <v>0</v>
      </c>
      <c r="K8477" s="21" t="n">
        <v>0</v>
      </c>
      <c r="L8477" s="21" t="n">
        <v>0</v>
      </c>
      <c r="M8477" s="21" t="n">
        <v>0</v>
      </c>
      <c r="N8477" s="21" t="n">
        <v>0</v>
      </c>
      <c r="O8477" s="21" t="n">
        <v>0</v>
      </c>
      <c r="P8477" s="21" t="n">
        <v>0</v>
      </c>
      <c r="Q8477" s="21" t="n">
        <v>0</v>
      </c>
      <c r="R8477" s="21" t="n">
        <v>0</v>
      </c>
      <c r="S8477" s="21" t="n">
        <v>0</v>
      </c>
      <c r="T8477" s="21" t="n">
        <v>0</v>
      </c>
      <c r="U8477" s="21" t="n">
        <v>0</v>
      </c>
      <c r="V8477" s="21">
        <f>-$B$7050</f>
        <v/>
      </c>
      <c r="W8477" s="21">
        <f>-$B$7051</f>
        <v/>
      </c>
      <c r="X8477" s="21">
        <f>$B$7050+$D$8455</f>
        <v/>
      </c>
      <c r="Y8477" s="21">
        <f>-$B$7051</f>
        <v/>
      </c>
      <c r="Z8477" s="19" t="n"/>
    </row>
    <row r="8478">
      <c r="D8478" s="21" t="n">
        <v>0</v>
      </c>
      <c r="E8478" s="21" t="n">
        <v>0</v>
      </c>
      <c r="F8478" s="21" t="n">
        <v>0</v>
      </c>
      <c r="G8478" s="21" t="n">
        <v>0</v>
      </c>
      <c r="H8478" s="21" t="n">
        <v>0</v>
      </c>
      <c r="I8478" s="21" t="n">
        <v>0</v>
      </c>
      <c r="J8478" s="21" t="n">
        <v>0</v>
      </c>
      <c r="K8478" s="21" t="n">
        <v>0</v>
      </c>
      <c r="L8478" s="21" t="n">
        <v>0</v>
      </c>
      <c r="M8478" s="21" t="n">
        <v>0</v>
      </c>
      <c r="N8478" s="21" t="n">
        <v>0</v>
      </c>
      <c r="O8478" s="21" t="n">
        <v>0</v>
      </c>
      <c r="P8478" s="21" t="n">
        <v>0</v>
      </c>
      <c r="Q8478" s="21" t="n">
        <v>0</v>
      </c>
      <c r="R8478" s="21" t="n">
        <v>0</v>
      </c>
      <c r="S8478" s="21" t="n">
        <v>0</v>
      </c>
      <c r="T8478" s="21" t="n">
        <v>0</v>
      </c>
      <c r="U8478" s="21" t="n">
        <v>0</v>
      </c>
      <c r="V8478" s="21">
        <f>$B$7051</f>
        <v/>
      </c>
      <c r="W8478" s="21">
        <f>$B$7053</f>
        <v/>
      </c>
      <c r="X8478" s="21">
        <f>-$B$7051</f>
        <v/>
      </c>
      <c r="Y8478" s="21">
        <f>$B$7052</f>
        <v/>
      </c>
      <c r="Z8478" s="19" t="n"/>
    </row>
    <row r="8480">
      <c r="A8480" s="8" t="inlineStr">
        <is>
          <t>gen 39</t>
        </is>
      </c>
    </row>
    <row r="8481">
      <c r="D8481" s="19">
        <f>IF(ABS(IF(ABS($E$8445)&gt;0.000000001,$E$8445,0.000000001))=0,0,IF($E$7065&lt;=$B$7059,0,IF(ABS(IF(ABS($E$8445)&gt;0.000000001,$E$8445,0.000000001))&gt;=8*$B$7061,$H$7065,0.5*$H$7065*(ABS(IF(ABS($E$8445)&gt;0.000000001,$E$8445,0.000000001))/$B$7061)^(1/3)))/ABS(IF(ABS($E$8445)&gt;0.000000001,$E$8445,0.000000001))*$I$7065)</f>
        <v/>
      </c>
      <c r="E8481" s="19">
        <f>0.5*$E$8445+0.5*$Z$8493</f>
        <v/>
      </c>
      <c r="F8481" s="19">
        <f>$Z$8494</f>
        <v/>
      </c>
    </row>
    <row r="8482">
      <c r="D8482" s="19">
        <f>IF(ABS(IF(ABS($E$8446)&gt;0.000000001,$E$8446,0.000000001))=0,0,IF($E$7066&lt;=$B$7059,0,IF(ABS(IF(ABS($E$8446)&gt;0.000000001,$E$8446,0.000000001))&gt;=8*$B$7061,$H$7066,0.5*$H$7066*(ABS(IF(ABS($E$8446)&gt;0.000000001,$E$8446,0.000000001))/$B$7061)^(1/3)))/ABS(IF(ABS($E$8446)&gt;0.000000001,$E$8446,0.000000001))*$I$7066)</f>
        <v/>
      </c>
      <c r="E8482" s="19">
        <f>0.5*$E$8446+0.5*$Z$8495</f>
        <v/>
      </c>
      <c r="F8482" s="19">
        <f>$Z$8496</f>
        <v/>
      </c>
    </row>
    <row r="8483">
      <c r="D8483" s="19">
        <f>IF(ABS(IF(ABS($E$8447)&gt;0.000000001,$E$8447,0.000000001))=0,0,IF($E$7067&lt;=$B$7059,0,IF(ABS(IF(ABS($E$8447)&gt;0.000000001,$E$8447,0.000000001))&gt;=8*$B$7061,$H$7067,0.5*$H$7067*(ABS(IF(ABS($E$8447)&gt;0.000000001,$E$8447,0.000000001))/$B$7061)^(1/3)))/ABS(IF(ABS($E$8447)&gt;0.000000001,$E$8447,0.000000001))*$I$7067)</f>
        <v/>
      </c>
      <c r="E8483" s="19">
        <f>0.5*$E$8447+0.5*$Z$8497</f>
        <v/>
      </c>
      <c r="F8483" s="19">
        <f>$Z$8498</f>
        <v/>
      </c>
    </row>
    <row r="8484">
      <c r="D8484" s="19">
        <f>IF(ABS(IF(ABS($E$8448)&gt;0.000000001,$E$8448,0.000000001))=0,0,IF($E$7068&lt;=$B$7059,0,IF(ABS(IF(ABS($E$8448)&gt;0.000000001,$E$8448,0.000000001))&gt;=8*$B$7061,$H$7068,0.5*$H$7068*(ABS(IF(ABS($E$8448)&gt;0.000000001,$E$8448,0.000000001))/$B$7061)^(1/3)))/ABS(IF(ABS($E$8448)&gt;0.000000001,$E$8448,0.000000001))*$I$7068)</f>
        <v/>
      </c>
      <c r="E8484" s="19">
        <f>0.5*$E$8448+0.5*$Z$8499</f>
        <v/>
      </c>
      <c r="F8484" s="19">
        <f>$Z$8500</f>
        <v/>
      </c>
    </row>
    <row r="8485">
      <c r="D8485" s="19">
        <f>IF(ABS(IF(ABS($E$8449)&gt;0.000000001,$E$8449,0.000000001))=0,0,IF($E$7069&lt;=$B$7059,0,IF(ABS(IF(ABS($E$8449)&gt;0.000000001,$E$8449,0.000000001))&gt;=8*$B$7061,$H$7069,0.5*$H$7069*(ABS(IF(ABS($E$8449)&gt;0.000000001,$E$8449,0.000000001))/$B$7061)^(1/3)))/ABS(IF(ABS($E$8449)&gt;0.000000001,$E$8449,0.000000001))*$I$7069)</f>
        <v/>
      </c>
      <c r="E8485" s="19">
        <f>0.5*$E$8449+0.5*$Z$8501</f>
        <v/>
      </c>
      <c r="F8485" s="19">
        <f>$Z$8502</f>
        <v/>
      </c>
    </row>
    <row r="8486">
      <c r="D8486" s="19">
        <f>IF(ABS(IF(ABS($E$8450)&gt;0.000000001,$E$8450,0.000000001))=0,0,IF($E$7070&lt;=$B$7059,0,IF(ABS(IF(ABS($E$8450)&gt;0.000000001,$E$8450,0.000000001))&gt;=8*$B$7061,$H$7070,0.5*$H$7070*(ABS(IF(ABS($E$8450)&gt;0.000000001,$E$8450,0.000000001))/$B$7061)^(1/3)))/ABS(IF(ABS($E$8450)&gt;0.000000001,$E$8450,0.000000001))*$I$7070)</f>
        <v/>
      </c>
      <c r="E8486" s="19">
        <f>0.5*$E$8450+0.5*$Z$8503</f>
        <v/>
      </c>
      <c r="F8486" s="19">
        <f>$Z$8504</f>
        <v/>
      </c>
    </row>
    <row r="8487">
      <c r="D8487" s="19">
        <f>IF(ABS(IF(ABS($E$8451)&gt;0.000000001,$E$8451,0.000000001))=0,0,IF($E$7071&lt;=$B$7059,0,IF(ABS(IF(ABS($E$8451)&gt;0.000000001,$E$8451,0.000000001))&gt;=8*$B$7061,$H$7071,0.5*$H$7071*(ABS(IF(ABS($E$8451)&gt;0.000000001,$E$8451,0.000000001))/$B$7061)^(1/3)))/ABS(IF(ABS($E$8451)&gt;0.000000001,$E$8451,0.000000001))*$I$7071)</f>
        <v/>
      </c>
      <c r="E8487" s="19">
        <f>0.5*$E$8451+0.5*$Z$8505</f>
        <v/>
      </c>
      <c r="F8487" s="19">
        <f>$Z$8506</f>
        <v/>
      </c>
    </row>
    <row r="8488">
      <c r="D8488" s="19">
        <f>IF(ABS(IF(ABS($E$8452)&gt;0.000000001,$E$8452,0.000000001))=0,0,IF($E$7072&lt;=$B$7059,0,IF(ABS(IF(ABS($E$8452)&gt;0.000000001,$E$8452,0.000000001))&gt;=8*$B$7061,$H$7072,0.5*$H$7072*(ABS(IF(ABS($E$8452)&gt;0.000000001,$E$8452,0.000000001))/$B$7061)^(1/3)))/ABS(IF(ABS($E$8452)&gt;0.000000001,$E$8452,0.000000001))*$I$7072)</f>
        <v/>
      </c>
      <c r="E8488" s="19">
        <f>0.5*$E$8452+0.5*$Z$8507</f>
        <v/>
      </c>
      <c r="F8488" s="19">
        <f>$Z$8508</f>
        <v/>
      </c>
    </row>
    <row r="8489">
      <c r="D8489" s="19">
        <f>IF(ABS(IF(ABS($E$8453)&gt;0.000000001,$E$8453,0.000000001))=0,0,IF($E$7073&lt;=$B$7059,0,IF(ABS(IF(ABS($E$8453)&gt;0.000000001,$E$8453,0.000000001))&gt;=8*$B$7061,$H$7073,0.5*$H$7073*(ABS(IF(ABS($E$8453)&gt;0.000000001,$E$8453,0.000000001))/$B$7061)^(1/3)))/ABS(IF(ABS($E$8453)&gt;0.000000001,$E$8453,0.000000001))*$I$7073)</f>
        <v/>
      </c>
      <c r="E8489" s="19">
        <f>0.5*$E$8453+0.5*$Z$8509</f>
        <v/>
      </c>
      <c r="F8489" s="19">
        <f>$Z$8510</f>
        <v/>
      </c>
    </row>
    <row r="8490">
      <c r="D8490" s="19">
        <f>IF(ABS(IF(ABS($E$8454)&gt;0.000000001,$E$8454,0.000000001))=0,0,IF($E$7074&lt;=$B$7059,0,IF(ABS(IF(ABS($E$8454)&gt;0.000000001,$E$8454,0.000000001))&gt;=8*$B$7061,$H$7074,0.5*$H$7074*(ABS(IF(ABS($E$8454)&gt;0.000000001,$E$8454,0.000000001))/$B$7061)^(1/3)))/ABS(IF(ABS($E$8454)&gt;0.000000001,$E$8454,0.000000001))*$I$7074)</f>
        <v/>
      </c>
      <c r="E8490" s="19">
        <f>0.5*$E$8454+0.5*$Z$8511</f>
        <v/>
      </c>
      <c r="F8490" s="19">
        <f>$Z$8512</f>
        <v/>
      </c>
    </row>
    <row r="8491">
      <c r="D8491" s="19">
        <f>IF(ABS(IF(ABS($E$8455)&gt;0.000000001,$E$8455,0.000000001))=0,0,IF($E$7075&lt;=$B$7059,0,IF(ABS(IF(ABS($E$8455)&gt;0.000000001,$E$8455,0.000000001))&gt;=8*$B$7061,$H$7075,0.5*$H$7075*(ABS(IF(ABS($E$8455)&gt;0.000000001,$E$8455,0.000000001))/$B$7061)^(1/3)))/ABS(IF(ABS($E$8455)&gt;0.000000001,$E$8455,0.000000001))*$I$7075)</f>
        <v/>
      </c>
      <c r="E8491" s="19">
        <f>0.5*$E$8455+0.5*$Z$8513</f>
        <v/>
      </c>
      <c r="F8491" s="19">
        <f>$Z$8514</f>
        <v/>
      </c>
    </row>
    <row r="8493">
      <c r="D8493" s="21">
        <f>$B$7050+$D$8481</f>
        <v/>
      </c>
      <c r="E8493" s="21">
        <f>$B$7051</f>
        <v/>
      </c>
      <c r="F8493" s="21">
        <f>-$B$7050</f>
        <v/>
      </c>
      <c r="G8493" s="21">
        <f>$B$7051</f>
        <v/>
      </c>
      <c r="H8493" s="21" t="n">
        <v>0</v>
      </c>
      <c r="I8493" s="21" t="n">
        <v>0</v>
      </c>
      <c r="J8493" s="21" t="n">
        <v>0</v>
      </c>
      <c r="K8493" s="21" t="n">
        <v>0</v>
      </c>
      <c r="L8493" s="21" t="n">
        <v>0</v>
      </c>
      <c r="M8493" s="21" t="n">
        <v>0</v>
      </c>
      <c r="N8493" s="21" t="n">
        <v>0</v>
      </c>
      <c r="O8493" s="21" t="n">
        <v>0</v>
      </c>
      <c r="P8493" s="21" t="n">
        <v>0</v>
      </c>
      <c r="Q8493" s="21" t="n">
        <v>0</v>
      </c>
      <c r="R8493" s="21" t="n">
        <v>0</v>
      </c>
      <c r="S8493" s="21" t="n">
        <v>0</v>
      </c>
      <c r="T8493" s="21" t="n">
        <v>0</v>
      </c>
      <c r="U8493" s="21" t="n">
        <v>0</v>
      </c>
      <c r="V8493" s="21" t="n">
        <v>0</v>
      </c>
      <c r="W8493" s="21" t="n">
        <v>0</v>
      </c>
      <c r="X8493" s="21" t="n">
        <v>0</v>
      </c>
      <c r="Y8493" s="21" t="n">
        <v>0</v>
      </c>
      <c r="Z8493" s="19">
        <f t="array" ref="Z8493:Z8514">MMULT(MINVERSE($D$8493:$Y$8514),$D$7077:$D$7098)</f>
        <v/>
      </c>
    </row>
    <row r="8494">
      <c r="D8494" s="21">
        <f>$B$7051</f>
        <v/>
      </c>
      <c r="E8494" s="21">
        <f>$B$7052</f>
        <v/>
      </c>
      <c r="F8494" s="21">
        <f>-$B$7051</f>
        <v/>
      </c>
      <c r="G8494" s="21">
        <f>$B$7053</f>
        <v/>
      </c>
      <c r="H8494" s="21" t="n">
        <v>0</v>
      </c>
      <c r="I8494" s="21" t="n">
        <v>0</v>
      </c>
      <c r="J8494" s="21" t="n">
        <v>0</v>
      </c>
      <c r="K8494" s="21" t="n">
        <v>0</v>
      </c>
      <c r="L8494" s="21" t="n">
        <v>0</v>
      </c>
      <c r="M8494" s="21" t="n">
        <v>0</v>
      </c>
      <c r="N8494" s="21" t="n">
        <v>0</v>
      </c>
      <c r="O8494" s="21" t="n">
        <v>0</v>
      </c>
      <c r="P8494" s="21" t="n">
        <v>0</v>
      </c>
      <c r="Q8494" s="21" t="n">
        <v>0</v>
      </c>
      <c r="R8494" s="21" t="n">
        <v>0</v>
      </c>
      <c r="S8494" s="21" t="n">
        <v>0</v>
      </c>
      <c r="T8494" s="21" t="n">
        <v>0</v>
      </c>
      <c r="U8494" s="21" t="n">
        <v>0</v>
      </c>
      <c r="V8494" s="21" t="n">
        <v>0</v>
      </c>
      <c r="W8494" s="21" t="n">
        <v>0</v>
      </c>
      <c r="X8494" s="21" t="n">
        <v>0</v>
      </c>
      <c r="Y8494" s="21" t="n">
        <v>0</v>
      </c>
      <c r="Z8494" s="19" t="n"/>
    </row>
    <row r="8495">
      <c r="D8495" s="21">
        <f>-$B$7050</f>
        <v/>
      </c>
      <c r="E8495" s="21">
        <f>-$B$7051</f>
        <v/>
      </c>
      <c r="F8495" s="21">
        <f>2*$B$7050+$D$8482</f>
        <v/>
      </c>
      <c r="G8495" s="21">
        <f>0</f>
        <v/>
      </c>
      <c r="H8495" s="21">
        <f>-$B$7050</f>
        <v/>
      </c>
      <c r="I8495" s="21">
        <f>$B$7051</f>
        <v/>
      </c>
      <c r="J8495" s="21" t="n">
        <v>0</v>
      </c>
      <c r="K8495" s="21" t="n">
        <v>0</v>
      </c>
      <c r="L8495" s="21" t="n">
        <v>0</v>
      </c>
      <c r="M8495" s="21" t="n">
        <v>0</v>
      </c>
      <c r="N8495" s="21" t="n">
        <v>0</v>
      </c>
      <c r="O8495" s="21" t="n">
        <v>0</v>
      </c>
      <c r="P8495" s="21" t="n">
        <v>0</v>
      </c>
      <c r="Q8495" s="21" t="n">
        <v>0</v>
      </c>
      <c r="R8495" s="21" t="n">
        <v>0</v>
      </c>
      <c r="S8495" s="21" t="n">
        <v>0</v>
      </c>
      <c r="T8495" s="21" t="n">
        <v>0</v>
      </c>
      <c r="U8495" s="21" t="n">
        <v>0</v>
      </c>
      <c r="V8495" s="21" t="n">
        <v>0</v>
      </c>
      <c r="W8495" s="21" t="n">
        <v>0</v>
      </c>
      <c r="X8495" s="21" t="n">
        <v>0</v>
      </c>
      <c r="Y8495" s="21" t="n">
        <v>0</v>
      </c>
      <c r="Z8495" s="19" t="n"/>
    </row>
    <row r="8496">
      <c r="D8496" s="21">
        <f>$B$7051</f>
        <v/>
      </c>
      <c r="E8496" s="21">
        <f>$B$7053</f>
        <v/>
      </c>
      <c r="F8496" s="21">
        <f>0</f>
        <v/>
      </c>
      <c r="G8496" s="21">
        <f>2*$B$7052</f>
        <v/>
      </c>
      <c r="H8496" s="21">
        <f>-$B$7051</f>
        <v/>
      </c>
      <c r="I8496" s="21">
        <f>$B$7053</f>
        <v/>
      </c>
      <c r="J8496" s="21" t="n">
        <v>0</v>
      </c>
      <c r="K8496" s="21" t="n">
        <v>0</v>
      </c>
      <c r="L8496" s="21" t="n">
        <v>0</v>
      </c>
      <c r="M8496" s="21" t="n">
        <v>0</v>
      </c>
      <c r="N8496" s="21" t="n">
        <v>0</v>
      </c>
      <c r="O8496" s="21" t="n">
        <v>0</v>
      </c>
      <c r="P8496" s="21" t="n">
        <v>0</v>
      </c>
      <c r="Q8496" s="21" t="n">
        <v>0</v>
      </c>
      <c r="R8496" s="21" t="n">
        <v>0</v>
      </c>
      <c r="S8496" s="21" t="n">
        <v>0</v>
      </c>
      <c r="T8496" s="21" t="n">
        <v>0</v>
      </c>
      <c r="U8496" s="21" t="n">
        <v>0</v>
      </c>
      <c r="V8496" s="21" t="n">
        <v>0</v>
      </c>
      <c r="W8496" s="21" t="n">
        <v>0</v>
      </c>
      <c r="X8496" s="21" t="n">
        <v>0</v>
      </c>
      <c r="Y8496" s="21" t="n">
        <v>0</v>
      </c>
      <c r="Z8496" s="19" t="n"/>
    </row>
    <row r="8497">
      <c r="D8497" s="21" t="n">
        <v>0</v>
      </c>
      <c r="E8497" s="21" t="n">
        <v>0</v>
      </c>
      <c r="F8497" s="21">
        <f>-$B$7050</f>
        <v/>
      </c>
      <c r="G8497" s="21">
        <f>-$B$7051</f>
        <v/>
      </c>
      <c r="H8497" s="21">
        <f>2*$B$7050+$D$8483</f>
        <v/>
      </c>
      <c r="I8497" s="21">
        <f>0</f>
        <v/>
      </c>
      <c r="J8497" s="21">
        <f>-$B$7050</f>
        <v/>
      </c>
      <c r="K8497" s="21">
        <f>$B$7051</f>
        <v/>
      </c>
      <c r="L8497" s="21" t="n">
        <v>0</v>
      </c>
      <c r="M8497" s="21" t="n">
        <v>0</v>
      </c>
      <c r="N8497" s="21" t="n">
        <v>0</v>
      </c>
      <c r="O8497" s="21" t="n">
        <v>0</v>
      </c>
      <c r="P8497" s="21" t="n">
        <v>0</v>
      </c>
      <c r="Q8497" s="21" t="n">
        <v>0</v>
      </c>
      <c r="R8497" s="21" t="n">
        <v>0</v>
      </c>
      <c r="S8497" s="21" t="n">
        <v>0</v>
      </c>
      <c r="T8497" s="21" t="n">
        <v>0</v>
      </c>
      <c r="U8497" s="21" t="n">
        <v>0</v>
      </c>
      <c r="V8497" s="21" t="n">
        <v>0</v>
      </c>
      <c r="W8497" s="21" t="n">
        <v>0</v>
      </c>
      <c r="X8497" s="21" t="n">
        <v>0</v>
      </c>
      <c r="Y8497" s="21" t="n">
        <v>0</v>
      </c>
      <c r="Z8497" s="19" t="n"/>
    </row>
    <row r="8498">
      <c r="D8498" s="21" t="n">
        <v>0</v>
      </c>
      <c r="E8498" s="21" t="n">
        <v>0</v>
      </c>
      <c r="F8498" s="21">
        <f>$B$7051</f>
        <v/>
      </c>
      <c r="G8498" s="21">
        <f>$B$7053</f>
        <v/>
      </c>
      <c r="H8498" s="21">
        <f>0</f>
        <v/>
      </c>
      <c r="I8498" s="21">
        <f>2*$B$7052</f>
        <v/>
      </c>
      <c r="J8498" s="21">
        <f>-$B$7051</f>
        <v/>
      </c>
      <c r="K8498" s="21">
        <f>$B$7053</f>
        <v/>
      </c>
      <c r="L8498" s="21" t="n">
        <v>0</v>
      </c>
      <c r="M8498" s="21" t="n">
        <v>0</v>
      </c>
      <c r="N8498" s="21" t="n">
        <v>0</v>
      </c>
      <c r="O8498" s="21" t="n">
        <v>0</v>
      </c>
      <c r="P8498" s="21" t="n">
        <v>0</v>
      </c>
      <c r="Q8498" s="21" t="n">
        <v>0</v>
      </c>
      <c r="R8498" s="21" t="n">
        <v>0</v>
      </c>
      <c r="S8498" s="21" t="n">
        <v>0</v>
      </c>
      <c r="T8498" s="21" t="n">
        <v>0</v>
      </c>
      <c r="U8498" s="21" t="n">
        <v>0</v>
      </c>
      <c r="V8498" s="21" t="n">
        <v>0</v>
      </c>
      <c r="W8498" s="21" t="n">
        <v>0</v>
      </c>
      <c r="X8498" s="21" t="n">
        <v>0</v>
      </c>
      <c r="Y8498" s="21" t="n">
        <v>0</v>
      </c>
      <c r="Z8498" s="19" t="n"/>
    </row>
    <row r="8499">
      <c r="D8499" s="21" t="n">
        <v>0</v>
      </c>
      <c r="E8499" s="21" t="n">
        <v>0</v>
      </c>
      <c r="F8499" s="21" t="n">
        <v>0</v>
      </c>
      <c r="G8499" s="21" t="n">
        <v>0</v>
      </c>
      <c r="H8499" s="21">
        <f>-$B$7050</f>
        <v/>
      </c>
      <c r="I8499" s="21">
        <f>-$B$7051</f>
        <v/>
      </c>
      <c r="J8499" s="21">
        <f>2*$B$7050+$D$8484</f>
        <v/>
      </c>
      <c r="K8499" s="21">
        <f>0</f>
        <v/>
      </c>
      <c r="L8499" s="21">
        <f>-$B$7050</f>
        <v/>
      </c>
      <c r="M8499" s="21">
        <f>$B$7051</f>
        <v/>
      </c>
      <c r="N8499" s="21" t="n">
        <v>0</v>
      </c>
      <c r="O8499" s="21" t="n">
        <v>0</v>
      </c>
      <c r="P8499" s="21" t="n">
        <v>0</v>
      </c>
      <c r="Q8499" s="21" t="n">
        <v>0</v>
      </c>
      <c r="R8499" s="21" t="n">
        <v>0</v>
      </c>
      <c r="S8499" s="21" t="n">
        <v>0</v>
      </c>
      <c r="T8499" s="21" t="n">
        <v>0</v>
      </c>
      <c r="U8499" s="21" t="n">
        <v>0</v>
      </c>
      <c r="V8499" s="21" t="n">
        <v>0</v>
      </c>
      <c r="W8499" s="21" t="n">
        <v>0</v>
      </c>
      <c r="X8499" s="21" t="n">
        <v>0</v>
      </c>
      <c r="Y8499" s="21" t="n">
        <v>0</v>
      </c>
      <c r="Z8499" s="19" t="n"/>
    </row>
    <row r="8500">
      <c r="D8500" s="21" t="n">
        <v>0</v>
      </c>
      <c r="E8500" s="21" t="n">
        <v>0</v>
      </c>
      <c r="F8500" s="21" t="n">
        <v>0</v>
      </c>
      <c r="G8500" s="21" t="n">
        <v>0</v>
      </c>
      <c r="H8500" s="21">
        <f>$B$7051</f>
        <v/>
      </c>
      <c r="I8500" s="21">
        <f>$B$7053</f>
        <v/>
      </c>
      <c r="J8500" s="21">
        <f>0</f>
        <v/>
      </c>
      <c r="K8500" s="21">
        <f>2*$B$7052</f>
        <v/>
      </c>
      <c r="L8500" s="21">
        <f>-$B$7051</f>
        <v/>
      </c>
      <c r="M8500" s="21">
        <f>$B$7053</f>
        <v/>
      </c>
      <c r="N8500" s="21" t="n">
        <v>0</v>
      </c>
      <c r="O8500" s="21" t="n">
        <v>0</v>
      </c>
      <c r="P8500" s="21" t="n">
        <v>0</v>
      </c>
      <c r="Q8500" s="21" t="n">
        <v>0</v>
      </c>
      <c r="R8500" s="21" t="n">
        <v>0</v>
      </c>
      <c r="S8500" s="21" t="n">
        <v>0</v>
      </c>
      <c r="T8500" s="21" t="n">
        <v>0</v>
      </c>
      <c r="U8500" s="21" t="n">
        <v>0</v>
      </c>
      <c r="V8500" s="21" t="n">
        <v>0</v>
      </c>
      <c r="W8500" s="21" t="n">
        <v>0</v>
      </c>
      <c r="X8500" s="21" t="n">
        <v>0</v>
      </c>
      <c r="Y8500" s="21" t="n">
        <v>0</v>
      </c>
      <c r="Z8500" s="19" t="n"/>
    </row>
    <row r="8501">
      <c r="D8501" s="21" t="n">
        <v>0</v>
      </c>
      <c r="E8501" s="21" t="n">
        <v>0</v>
      </c>
      <c r="F8501" s="21" t="n">
        <v>0</v>
      </c>
      <c r="G8501" s="21" t="n">
        <v>0</v>
      </c>
      <c r="H8501" s="21" t="n">
        <v>0</v>
      </c>
      <c r="I8501" s="21" t="n">
        <v>0</v>
      </c>
      <c r="J8501" s="21">
        <f>-$B$7050</f>
        <v/>
      </c>
      <c r="K8501" s="21">
        <f>-$B$7051</f>
        <v/>
      </c>
      <c r="L8501" s="21">
        <f>2*$B$7050+$D$8485</f>
        <v/>
      </c>
      <c r="M8501" s="21">
        <f>0</f>
        <v/>
      </c>
      <c r="N8501" s="21">
        <f>-$B$7050</f>
        <v/>
      </c>
      <c r="O8501" s="21">
        <f>$B$7051</f>
        <v/>
      </c>
      <c r="P8501" s="21" t="n">
        <v>0</v>
      </c>
      <c r="Q8501" s="21" t="n">
        <v>0</v>
      </c>
      <c r="R8501" s="21" t="n">
        <v>0</v>
      </c>
      <c r="S8501" s="21" t="n">
        <v>0</v>
      </c>
      <c r="T8501" s="21" t="n">
        <v>0</v>
      </c>
      <c r="U8501" s="21" t="n">
        <v>0</v>
      </c>
      <c r="V8501" s="21" t="n">
        <v>0</v>
      </c>
      <c r="W8501" s="21" t="n">
        <v>0</v>
      </c>
      <c r="X8501" s="21" t="n">
        <v>0</v>
      </c>
      <c r="Y8501" s="21" t="n">
        <v>0</v>
      </c>
      <c r="Z8501" s="19" t="n"/>
    </row>
    <row r="8502">
      <c r="D8502" s="21" t="n">
        <v>0</v>
      </c>
      <c r="E8502" s="21" t="n">
        <v>0</v>
      </c>
      <c r="F8502" s="21" t="n">
        <v>0</v>
      </c>
      <c r="G8502" s="21" t="n">
        <v>0</v>
      </c>
      <c r="H8502" s="21" t="n">
        <v>0</v>
      </c>
      <c r="I8502" s="21" t="n">
        <v>0</v>
      </c>
      <c r="J8502" s="21">
        <f>$B$7051</f>
        <v/>
      </c>
      <c r="K8502" s="21">
        <f>$B$7053</f>
        <v/>
      </c>
      <c r="L8502" s="21">
        <f>0</f>
        <v/>
      </c>
      <c r="M8502" s="21">
        <f>2*$B$7052</f>
        <v/>
      </c>
      <c r="N8502" s="21">
        <f>-$B$7051</f>
        <v/>
      </c>
      <c r="O8502" s="21">
        <f>$B$7053</f>
        <v/>
      </c>
      <c r="P8502" s="21" t="n">
        <v>0</v>
      </c>
      <c r="Q8502" s="21" t="n">
        <v>0</v>
      </c>
      <c r="R8502" s="21" t="n">
        <v>0</v>
      </c>
      <c r="S8502" s="21" t="n">
        <v>0</v>
      </c>
      <c r="T8502" s="21" t="n">
        <v>0</v>
      </c>
      <c r="U8502" s="21" t="n">
        <v>0</v>
      </c>
      <c r="V8502" s="21" t="n">
        <v>0</v>
      </c>
      <c r="W8502" s="21" t="n">
        <v>0</v>
      </c>
      <c r="X8502" s="21" t="n">
        <v>0</v>
      </c>
      <c r="Y8502" s="21" t="n">
        <v>0</v>
      </c>
      <c r="Z8502" s="19" t="n"/>
    </row>
    <row r="8503">
      <c r="D8503" s="21" t="n">
        <v>0</v>
      </c>
      <c r="E8503" s="21" t="n">
        <v>0</v>
      </c>
      <c r="F8503" s="21" t="n">
        <v>0</v>
      </c>
      <c r="G8503" s="21" t="n">
        <v>0</v>
      </c>
      <c r="H8503" s="21" t="n">
        <v>0</v>
      </c>
      <c r="I8503" s="21" t="n">
        <v>0</v>
      </c>
      <c r="J8503" s="21" t="n">
        <v>0</v>
      </c>
      <c r="K8503" s="21" t="n">
        <v>0</v>
      </c>
      <c r="L8503" s="21">
        <f>-$B$7050</f>
        <v/>
      </c>
      <c r="M8503" s="21">
        <f>-$B$7051</f>
        <v/>
      </c>
      <c r="N8503" s="21">
        <f>2*$B$7050+$D$8486</f>
        <v/>
      </c>
      <c r="O8503" s="21">
        <f>0</f>
        <v/>
      </c>
      <c r="P8503" s="21">
        <f>-$B$7050</f>
        <v/>
      </c>
      <c r="Q8503" s="21">
        <f>$B$7051</f>
        <v/>
      </c>
      <c r="R8503" s="21" t="n">
        <v>0</v>
      </c>
      <c r="S8503" s="21" t="n">
        <v>0</v>
      </c>
      <c r="T8503" s="21" t="n">
        <v>0</v>
      </c>
      <c r="U8503" s="21" t="n">
        <v>0</v>
      </c>
      <c r="V8503" s="21" t="n">
        <v>0</v>
      </c>
      <c r="W8503" s="21" t="n">
        <v>0</v>
      </c>
      <c r="X8503" s="21" t="n">
        <v>0</v>
      </c>
      <c r="Y8503" s="21" t="n">
        <v>0</v>
      </c>
      <c r="Z8503" s="19" t="n"/>
    </row>
    <row r="8504">
      <c r="D8504" s="21" t="n">
        <v>0</v>
      </c>
      <c r="E8504" s="21" t="n">
        <v>0</v>
      </c>
      <c r="F8504" s="21" t="n">
        <v>0</v>
      </c>
      <c r="G8504" s="21" t="n">
        <v>0</v>
      </c>
      <c r="H8504" s="21" t="n">
        <v>0</v>
      </c>
      <c r="I8504" s="21" t="n">
        <v>0</v>
      </c>
      <c r="J8504" s="21" t="n">
        <v>0</v>
      </c>
      <c r="K8504" s="21" t="n">
        <v>0</v>
      </c>
      <c r="L8504" s="21">
        <f>$B$7051</f>
        <v/>
      </c>
      <c r="M8504" s="21">
        <f>$B$7053</f>
        <v/>
      </c>
      <c r="N8504" s="21">
        <f>0</f>
        <v/>
      </c>
      <c r="O8504" s="21">
        <f>2*$B$7052</f>
        <v/>
      </c>
      <c r="P8504" s="21">
        <f>-$B$7051</f>
        <v/>
      </c>
      <c r="Q8504" s="21">
        <f>$B$7053</f>
        <v/>
      </c>
      <c r="R8504" s="21" t="n">
        <v>0</v>
      </c>
      <c r="S8504" s="21" t="n">
        <v>0</v>
      </c>
      <c r="T8504" s="21" t="n">
        <v>0</v>
      </c>
      <c r="U8504" s="21" t="n">
        <v>0</v>
      </c>
      <c r="V8504" s="21" t="n">
        <v>0</v>
      </c>
      <c r="W8504" s="21" t="n">
        <v>0</v>
      </c>
      <c r="X8504" s="21" t="n">
        <v>0</v>
      </c>
      <c r="Y8504" s="21" t="n">
        <v>0</v>
      </c>
      <c r="Z8504" s="19" t="n"/>
    </row>
    <row r="8505">
      <c r="D8505" s="21" t="n">
        <v>0</v>
      </c>
      <c r="E8505" s="21" t="n">
        <v>0</v>
      </c>
      <c r="F8505" s="21" t="n">
        <v>0</v>
      </c>
      <c r="G8505" s="21" t="n">
        <v>0</v>
      </c>
      <c r="H8505" s="21" t="n">
        <v>0</v>
      </c>
      <c r="I8505" s="21" t="n">
        <v>0</v>
      </c>
      <c r="J8505" s="21" t="n">
        <v>0</v>
      </c>
      <c r="K8505" s="21" t="n">
        <v>0</v>
      </c>
      <c r="L8505" s="21" t="n">
        <v>0</v>
      </c>
      <c r="M8505" s="21" t="n">
        <v>0</v>
      </c>
      <c r="N8505" s="21">
        <f>-$B$7050</f>
        <v/>
      </c>
      <c r="O8505" s="21">
        <f>-$B$7051</f>
        <v/>
      </c>
      <c r="P8505" s="21">
        <f>2*$B$7050+$D$8487</f>
        <v/>
      </c>
      <c r="Q8505" s="21">
        <f>0</f>
        <v/>
      </c>
      <c r="R8505" s="21">
        <f>-$B$7050</f>
        <v/>
      </c>
      <c r="S8505" s="21">
        <f>$B$7051</f>
        <v/>
      </c>
      <c r="T8505" s="21" t="n">
        <v>0</v>
      </c>
      <c r="U8505" s="21" t="n">
        <v>0</v>
      </c>
      <c r="V8505" s="21" t="n">
        <v>0</v>
      </c>
      <c r="W8505" s="21" t="n">
        <v>0</v>
      </c>
      <c r="X8505" s="21" t="n">
        <v>0</v>
      </c>
      <c r="Y8505" s="21" t="n">
        <v>0</v>
      </c>
      <c r="Z8505" s="19" t="n"/>
    </row>
    <row r="8506">
      <c r="D8506" s="21" t="n">
        <v>0</v>
      </c>
      <c r="E8506" s="21" t="n">
        <v>0</v>
      </c>
      <c r="F8506" s="21" t="n">
        <v>0</v>
      </c>
      <c r="G8506" s="21" t="n">
        <v>0</v>
      </c>
      <c r="H8506" s="21" t="n">
        <v>0</v>
      </c>
      <c r="I8506" s="21" t="n">
        <v>0</v>
      </c>
      <c r="J8506" s="21" t="n">
        <v>0</v>
      </c>
      <c r="K8506" s="21" t="n">
        <v>0</v>
      </c>
      <c r="L8506" s="21" t="n">
        <v>0</v>
      </c>
      <c r="M8506" s="21" t="n">
        <v>0</v>
      </c>
      <c r="N8506" s="21">
        <f>$B$7051</f>
        <v/>
      </c>
      <c r="O8506" s="21">
        <f>$B$7053</f>
        <v/>
      </c>
      <c r="P8506" s="21">
        <f>0</f>
        <v/>
      </c>
      <c r="Q8506" s="21">
        <f>2*$B$7052</f>
        <v/>
      </c>
      <c r="R8506" s="21">
        <f>-$B$7051</f>
        <v/>
      </c>
      <c r="S8506" s="21">
        <f>$B$7053</f>
        <v/>
      </c>
      <c r="T8506" s="21" t="n">
        <v>0</v>
      </c>
      <c r="U8506" s="21" t="n">
        <v>0</v>
      </c>
      <c r="V8506" s="21" t="n">
        <v>0</v>
      </c>
      <c r="W8506" s="21" t="n">
        <v>0</v>
      </c>
      <c r="X8506" s="21" t="n">
        <v>0</v>
      </c>
      <c r="Y8506" s="21" t="n">
        <v>0</v>
      </c>
      <c r="Z8506" s="19" t="n"/>
    </row>
    <row r="8507">
      <c r="D8507" s="21" t="n">
        <v>0</v>
      </c>
      <c r="E8507" s="21" t="n">
        <v>0</v>
      </c>
      <c r="F8507" s="21" t="n">
        <v>0</v>
      </c>
      <c r="G8507" s="21" t="n">
        <v>0</v>
      </c>
      <c r="H8507" s="21" t="n">
        <v>0</v>
      </c>
      <c r="I8507" s="21" t="n">
        <v>0</v>
      </c>
      <c r="J8507" s="21" t="n">
        <v>0</v>
      </c>
      <c r="K8507" s="21" t="n">
        <v>0</v>
      </c>
      <c r="L8507" s="21" t="n">
        <v>0</v>
      </c>
      <c r="M8507" s="21" t="n">
        <v>0</v>
      </c>
      <c r="N8507" s="21" t="n">
        <v>0</v>
      </c>
      <c r="O8507" s="21" t="n">
        <v>0</v>
      </c>
      <c r="P8507" s="21">
        <f>-$B$7050</f>
        <v/>
      </c>
      <c r="Q8507" s="21">
        <f>-$B$7051</f>
        <v/>
      </c>
      <c r="R8507" s="21">
        <f>2*$B$7050+$D$8488</f>
        <v/>
      </c>
      <c r="S8507" s="21">
        <f>0</f>
        <v/>
      </c>
      <c r="T8507" s="21">
        <f>-$B$7050</f>
        <v/>
      </c>
      <c r="U8507" s="21">
        <f>$B$7051</f>
        <v/>
      </c>
      <c r="V8507" s="21" t="n">
        <v>0</v>
      </c>
      <c r="W8507" s="21" t="n">
        <v>0</v>
      </c>
      <c r="X8507" s="21" t="n">
        <v>0</v>
      </c>
      <c r="Y8507" s="21" t="n">
        <v>0</v>
      </c>
      <c r="Z8507" s="19" t="n"/>
    </row>
    <row r="8508">
      <c r="D8508" s="21" t="n">
        <v>0</v>
      </c>
      <c r="E8508" s="21" t="n">
        <v>0</v>
      </c>
      <c r="F8508" s="21" t="n">
        <v>0</v>
      </c>
      <c r="G8508" s="21" t="n">
        <v>0</v>
      </c>
      <c r="H8508" s="21" t="n">
        <v>0</v>
      </c>
      <c r="I8508" s="21" t="n">
        <v>0</v>
      </c>
      <c r="J8508" s="21" t="n">
        <v>0</v>
      </c>
      <c r="K8508" s="21" t="n">
        <v>0</v>
      </c>
      <c r="L8508" s="21" t="n">
        <v>0</v>
      </c>
      <c r="M8508" s="21" t="n">
        <v>0</v>
      </c>
      <c r="N8508" s="21" t="n">
        <v>0</v>
      </c>
      <c r="O8508" s="21" t="n">
        <v>0</v>
      </c>
      <c r="P8508" s="21">
        <f>$B$7051</f>
        <v/>
      </c>
      <c r="Q8508" s="21">
        <f>$B$7053</f>
        <v/>
      </c>
      <c r="R8508" s="21">
        <f>0</f>
        <v/>
      </c>
      <c r="S8508" s="21">
        <f>2*$B$7052</f>
        <v/>
      </c>
      <c r="T8508" s="21">
        <f>-$B$7051</f>
        <v/>
      </c>
      <c r="U8508" s="21">
        <f>$B$7053</f>
        <v/>
      </c>
      <c r="V8508" s="21" t="n">
        <v>0</v>
      </c>
      <c r="W8508" s="21" t="n">
        <v>0</v>
      </c>
      <c r="X8508" s="21" t="n">
        <v>0</v>
      </c>
      <c r="Y8508" s="21" t="n">
        <v>0</v>
      </c>
      <c r="Z8508" s="19" t="n"/>
    </row>
    <row r="8509">
      <c r="D8509" s="21" t="n">
        <v>0</v>
      </c>
      <c r="E8509" s="21" t="n">
        <v>0</v>
      </c>
      <c r="F8509" s="21" t="n">
        <v>0</v>
      </c>
      <c r="G8509" s="21" t="n">
        <v>0</v>
      </c>
      <c r="H8509" s="21" t="n">
        <v>0</v>
      </c>
      <c r="I8509" s="21" t="n">
        <v>0</v>
      </c>
      <c r="J8509" s="21" t="n">
        <v>0</v>
      </c>
      <c r="K8509" s="21" t="n">
        <v>0</v>
      </c>
      <c r="L8509" s="21" t="n">
        <v>0</v>
      </c>
      <c r="M8509" s="21" t="n">
        <v>0</v>
      </c>
      <c r="N8509" s="21" t="n">
        <v>0</v>
      </c>
      <c r="O8509" s="21" t="n">
        <v>0</v>
      </c>
      <c r="P8509" s="21" t="n">
        <v>0</v>
      </c>
      <c r="Q8509" s="21" t="n">
        <v>0</v>
      </c>
      <c r="R8509" s="21">
        <f>-$B$7050</f>
        <v/>
      </c>
      <c r="S8509" s="21">
        <f>-$B$7051</f>
        <v/>
      </c>
      <c r="T8509" s="21">
        <f>2*$B$7050+$D$8489</f>
        <v/>
      </c>
      <c r="U8509" s="21">
        <f>0</f>
        <v/>
      </c>
      <c r="V8509" s="21">
        <f>-$B$7050</f>
        <v/>
      </c>
      <c r="W8509" s="21">
        <f>$B$7051</f>
        <v/>
      </c>
      <c r="X8509" s="21" t="n">
        <v>0</v>
      </c>
      <c r="Y8509" s="21" t="n">
        <v>0</v>
      </c>
      <c r="Z8509" s="19" t="n"/>
    </row>
    <row r="8510">
      <c r="D8510" s="21" t="n">
        <v>0</v>
      </c>
      <c r="E8510" s="21" t="n">
        <v>0</v>
      </c>
      <c r="F8510" s="21" t="n">
        <v>0</v>
      </c>
      <c r="G8510" s="21" t="n">
        <v>0</v>
      </c>
      <c r="H8510" s="21" t="n">
        <v>0</v>
      </c>
      <c r="I8510" s="21" t="n">
        <v>0</v>
      </c>
      <c r="J8510" s="21" t="n">
        <v>0</v>
      </c>
      <c r="K8510" s="21" t="n">
        <v>0</v>
      </c>
      <c r="L8510" s="21" t="n">
        <v>0</v>
      </c>
      <c r="M8510" s="21" t="n">
        <v>0</v>
      </c>
      <c r="N8510" s="21" t="n">
        <v>0</v>
      </c>
      <c r="O8510" s="21" t="n">
        <v>0</v>
      </c>
      <c r="P8510" s="21" t="n">
        <v>0</v>
      </c>
      <c r="Q8510" s="21" t="n">
        <v>0</v>
      </c>
      <c r="R8510" s="21">
        <f>$B$7051</f>
        <v/>
      </c>
      <c r="S8510" s="21">
        <f>$B$7053</f>
        <v/>
      </c>
      <c r="T8510" s="21">
        <f>0</f>
        <v/>
      </c>
      <c r="U8510" s="21">
        <f>2*$B$7052</f>
        <v/>
      </c>
      <c r="V8510" s="21">
        <f>-$B$7051</f>
        <v/>
      </c>
      <c r="W8510" s="21">
        <f>$B$7053</f>
        <v/>
      </c>
      <c r="X8510" s="21" t="n">
        <v>0</v>
      </c>
      <c r="Y8510" s="21" t="n">
        <v>0</v>
      </c>
      <c r="Z8510" s="19" t="n"/>
    </row>
    <row r="8511">
      <c r="D8511" s="21" t="n">
        <v>0</v>
      </c>
      <c r="E8511" s="21" t="n">
        <v>0</v>
      </c>
      <c r="F8511" s="21" t="n">
        <v>0</v>
      </c>
      <c r="G8511" s="21" t="n">
        <v>0</v>
      </c>
      <c r="H8511" s="21" t="n">
        <v>0</v>
      </c>
      <c r="I8511" s="21" t="n">
        <v>0</v>
      </c>
      <c r="J8511" s="21" t="n">
        <v>0</v>
      </c>
      <c r="K8511" s="21" t="n">
        <v>0</v>
      </c>
      <c r="L8511" s="21" t="n">
        <v>0</v>
      </c>
      <c r="M8511" s="21" t="n">
        <v>0</v>
      </c>
      <c r="N8511" s="21" t="n">
        <v>0</v>
      </c>
      <c r="O8511" s="21" t="n">
        <v>0</v>
      </c>
      <c r="P8511" s="21" t="n">
        <v>0</v>
      </c>
      <c r="Q8511" s="21" t="n">
        <v>0</v>
      </c>
      <c r="R8511" s="21" t="n">
        <v>0</v>
      </c>
      <c r="S8511" s="21" t="n">
        <v>0</v>
      </c>
      <c r="T8511" s="21">
        <f>-$B$7050</f>
        <v/>
      </c>
      <c r="U8511" s="21">
        <f>-$B$7051</f>
        <v/>
      </c>
      <c r="V8511" s="21">
        <f>2*$B$7050+$D$8490</f>
        <v/>
      </c>
      <c r="W8511" s="21">
        <f>0</f>
        <v/>
      </c>
      <c r="X8511" s="21">
        <f>-$B$7050</f>
        <v/>
      </c>
      <c r="Y8511" s="21">
        <f>$B$7051</f>
        <v/>
      </c>
      <c r="Z8511" s="19" t="n"/>
    </row>
    <row r="8512">
      <c r="D8512" s="21" t="n">
        <v>0</v>
      </c>
      <c r="E8512" s="21" t="n">
        <v>0</v>
      </c>
      <c r="F8512" s="21" t="n">
        <v>0</v>
      </c>
      <c r="G8512" s="21" t="n">
        <v>0</v>
      </c>
      <c r="H8512" s="21" t="n">
        <v>0</v>
      </c>
      <c r="I8512" s="21" t="n">
        <v>0</v>
      </c>
      <c r="J8512" s="21" t="n">
        <v>0</v>
      </c>
      <c r="K8512" s="21" t="n">
        <v>0</v>
      </c>
      <c r="L8512" s="21" t="n">
        <v>0</v>
      </c>
      <c r="M8512" s="21" t="n">
        <v>0</v>
      </c>
      <c r="N8512" s="21" t="n">
        <v>0</v>
      </c>
      <c r="O8512" s="21" t="n">
        <v>0</v>
      </c>
      <c r="P8512" s="21" t="n">
        <v>0</v>
      </c>
      <c r="Q8512" s="21" t="n">
        <v>0</v>
      </c>
      <c r="R8512" s="21" t="n">
        <v>0</v>
      </c>
      <c r="S8512" s="21" t="n">
        <v>0</v>
      </c>
      <c r="T8512" s="21">
        <f>$B$7051</f>
        <v/>
      </c>
      <c r="U8512" s="21">
        <f>$B$7053</f>
        <v/>
      </c>
      <c r="V8512" s="21">
        <f>0</f>
        <v/>
      </c>
      <c r="W8512" s="21">
        <f>2*$B$7052</f>
        <v/>
      </c>
      <c r="X8512" s="21">
        <f>-$B$7051</f>
        <v/>
      </c>
      <c r="Y8512" s="21">
        <f>$B$7053</f>
        <v/>
      </c>
      <c r="Z8512" s="19" t="n"/>
    </row>
    <row r="8513">
      <c r="D8513" s="21" t="n">
        <v>0</v>
      </c>
      <c r="E8513" s="21" t="n">
        <v>0</v>
      </c>
      <c r="F8513" s="21" t="n">
        <v>0</v>
      </c>
      <c r="G8513" s="21" t="n">
        <v>0</v>
      </c>
      <c r="H8513" s="21" t="n">
        <v>0</v>
      </c>
      <c r="I8513" s="21" t="n">
        <v>0</v>
      </c>
      <c r="J8513" s="21" t="n">
        <v>0</v>
      </c>
      <c r="K8513" s="21" t="n">
        <v>0</v>
      </c>
      <c r="L8513" s="21" t="n">
        <v>0</v>
      </c>
      <c r="M8513" s="21" t="n">
        <v>0</v>
      </c>
      <c r="N8513" s="21" t="n">
        <v>0</v>
      </c>
      <c r="O8513" s="21" t="n">
        <v>0</v>
      </c>
      <c r="P8513" s="21" t="n">
        <v>0</v>
      </c>
      <c r="Q8513" s="21" t="n">
        <v>0</v>
      </c>
      <c r="R8513" s="21" t="n">
        <v>0</v>
      </c>
      <c r="S8513" s="21" t="n">
        <v>0</v>
      </c>
      <c r="T8513" s="21" t="n">
        <v>0</v>
      </c>
      <c r="U8513" s="21" t="n">
        <v>0</v>
      </c>
      <c r="V8513" s="21">
        <f>-$B$7050</f>
        <v/>
      </c>
      <c r="W8513" s="21">
        <f>-$B$7051</f>
        <v/>
      </c>
      <c r="X8513" s="21">
        <f>$B$7050+$D$8491</f>
        <v/>
      </c>
      <c r="Y8513" s="21">
        <f>-$B$7051</f>
        <v/>
      </c>
      <c r="Z8513" s="19" t="n"/>
    </row>
    <row r="8514">
      <c r="D8514" s="21" t="n">
        <v>0</v>
      </c>
      <c r="E8514" s="21" t="n">
        <v>0</v>
      </c>
      <c r="F8514" s="21" t="n">
        <v>0</v>
      </c>
      <c r="G8514" s="21" t="n">
        <v>0</v>
      </c>
      <c r="H8514" s="21" t="n">
        <v>0</v>
      </c>
      <c r="I8514" s="21" t="n">
        <v>0</v>
      </c>
      <c r="J8514" s="21" t="n">
        <v>0</v>
      </c>
      <c r="K8514" s="21" t="n">
        <v>0</v>
      </c>
      <c r="L8514" s="21" t="n">
        <v>0</v>
      </c>
      <c r="M8514" s="21" t="n">
        <v>0</v>
      </c>
      <c r="N8514" s="21" t="n">
        <v>0</v>
      </c>
      <c r="O8514" s="21" t="n">
        <v>0</v>
      </c>
      <c r="P8514" s="21" t="n">
        <v>0</v>
      </c>
      <c r="Q8514" s="21" t="n">
        <v>0</v>
      </c>
      <c r="R8514" s="21" t="n">
        <v>0</v>
      </c>
      <c r="S8514" s="21" t="n">
        <v>0</v>
      </c>
      <c r="T8514" s="21" t="n">
        <v>0</v>
      </c>
      <c r="U8514" s="21" t="n">
        <v>0</v>
      </c>
      <c r="V8514" s="21">
        <f>$B$7051</f>
        <v/>
      </c>
      <c r="W8514" s="21">
        <f>$B$7053</f>
        <v/>
      </c>
      <c r="X8514" s="21">
        <f>-$B$7051</f>
        <v/>
      </c>
      <c r="Y8514" s="21">
        <f>$B$7052</f>
        <v/>
      </c>
      <c r="Z8514" s="19" t="n"/>
    </row>
    <row r="8516">
      <c r="A8516" s="8" t="inlineStr">
        <is>
          <t>gen 40</t>
        </is>
      </c>
    </row>
    <row r="8517">
      <c r="D8517" s="19">
        <f>IF(ABS(IF(ABS($E$8481)&gt;0.000000001,$E$8481,0.000000001))=0,0,IF($E$7065&lt;=$B$7059,0,IF(ABS(IF(ABS($E$8481)&gt;0.000000001,$E$8481,0.000000001))&gt;=8*$B$7061,$H$7065,0.5*$H$7065*(ABS(IF(ABS($E$8481)&gt;0.000000001,$E$8481,0.000000001))/$B$7061)^(1/3)))/ABS(IF(ABS($E$8481)&gt;0.000000001,$E$8481,0.000000001))*$I$7065)</f>
        <v/>
      </c>
      <c r="E8517" s="19">
        <f>0.5*$E$8481+0.5*$Z$8529</f>
        <v/>
      </c>
      <c r="F8517" s="19">
        <f>$Z$8530</f>
        <v/>
      </c>
    </row>
    <row r="8518">
      <c r="D8518" s="19">
        <f>IF(ABS(IF(ABS($E$8482)&gt;0.000000001,$E$8482,0.000000001))=0,0,IF($E$7066&lt;=$B$7059,0,IF(ABS(IF(ABS($E$8482)&gt;0.000000001,$E$8482,0.000000001))&gt;=8*$B$7061,$H$7066,0.5*$H$7066*(ABS(IF(ABS($E$8482)&gt;0.000000001,$E$8482,0.000000001))/$B$7061)^(1/3)))/ABS(IF(ABS($E$8482)&gt;0.000000001,$E$8482,0.000000001))*$I$7066)</f>
        <v/>
      </c>
      <c r="E8518" s="19">
        <f>0.5*$E$8482+0.5*$Z$8531</f>
        <v/>
      </c>
      <c r="F8518" s="19">
        <f>$Z$8532</f>
        <v/>
      </c>
    </row>
    <row r="8519">
      <c r="D8519" s="19">
        <f>IF(ABS(IF(ABS($E$8483)&gt;0.000000001,$E$8483,0.000000001))=0,0,IF($E$7067&lt;=$B$7059,0,IF(ABS(IF(ABS($E$8483)&gt;0.000000001,$E$8483,0.000000001))&gt;=8*$B$7061,$H$7067,0.5*$H$7067*(ABS(IF(ABS($E$8483)&gt;0.000000001,$E$8483,0.000000001))/$B$7061)^(1/3)))/ABS(IF(ABS($E$8483)&gt;0.000000001,$E$8483,0.000000001))*$I$7067)</f>
        <v/>
      </c>
      <c r="E8519" s="19">
        <f>0.5*$E$8483+0.5*$Z$8533</f>
        <v/>
      </c>
      <c r="F8519" s="19">
        <f>$Z$8534</f>
        <v/>
      </c>
    </row>
    <row r="8520">
      <c r="D8520" s="19">
        <f>IF(ABS(IF(ABS($E$8484)&gt;0.000000001,$E$8484,0.000000001))=0,0,IF($E$7068&lt;=$B$7059,0,IF(ABS(IF(ABS($E$8484)&gt;0.000000001,$E$8484,0.000000001))&gt;=8*$B$7061,$H$7068,0.5*$H$7068*(ABS(IF(ABS($E$8484)&gt;0.000000001,$E$8484,0.000000001))/$B$7061)^(1/3)))/ABS(IF(ABS($E$8484)&gt;0.000000001,$E$8484,0.000000001))*$I$7068)</f>
        <v/>
      </c>
      <c r="E8520" s="19">
        <f>0.5*$E$8484+0.5*$Z$8535</f>
        <v/>
      </c>
      <c r="F8520" s="19">
        <f>$Z$8536</f>
        <v/>
      </c>
    </row>
    <row r="8521">
      <c r="D8521" s="19">
        <f>IF(ABS(IF(ABS($E$8485)&gt;0.000000001,$E$8485,0.000000001))=0,0,IF($E$7069&lt;=$B$7059,0,IF(ABS(IF(ABS($E$8485)&gt;0.000000001,$E$8485,0.000000001))&gt;=8*$B$7061,$H$7069,0.5*$H$7069*(ABS(IF(ABS($E$8485)&gt;0.000000001,$E$8485,0.000000001))/$B$7061)^(1/3)))/ABS(IF(ABS($E$8485)&gt;0.000000001,$E$8485,0.000000001))*$I$7069)</f>
        <v/>
      </c>
      <c r="E8521" s="19">
        <f>0.5*$E$8485+0.5*$Z$8537</f>
        <v/>
      </c>
      <c r="F8521" s="19">
        <f>$Z$8538</f>
        <v/>
      </c>
    </row>
    <row r="8522">
      <c r="D8522" s="19">
        <f>IF(ABS(IF(ABS($E$8486)&gt;0.000000001,$E$8486,0.000000001))=0,0,IF($E$7070&lt;=$B$7059,0,IF(ABS(IF(ABS($E$8486)&gt;0.000000001,$E$8486,0.000000001))&gt;=8*$B$7061,$H$7070,0.5*$H$7070*(ABS(IF(ABS($E$8486)&gt;0.000000001,$E$8486,0.000000001))/$B$7061)^(1/3)))/ABS(IF(ABS($E$8486)&gt;0.000000001,$E$8486,0.000000001))*$I$7070)</f>
        <v/>
      </c>
      <c r="E8522" s="19">
        <f>0.5*$E$8486+0.5*$Z$8539</f>
        <v/>
      </c>
      <c r="F8522" s="19">
        <f>$Z$8540</f>
        <v/>
      </c>
    </row>
    <row r="8523">
      <c r="D8523" s="19">
        <f>IF(ABS(IF(ABS($E$8487)&gt;0.000000001,$E$8487,0.000000001))=0,0,IF($E$7071&lt;=$B$7059,0,IF(ABS(IF(ABS($E$8487)&gt;0.000000001,$E$8487,0.000000001))&gt;=8*$B$7061,$H$7071,0.5*$H$7071*(ABS(IF(ABS($E$8487)&gt;0.000000001,$E$8487,0.000000001))/$B$7061)^(1/3)))/ABS(IF(ABS($E$8487)&gt;0.000000001,$E$8487,0.000000001))*$I$7071)</f>
        <v/>
      </c>
      <c r="E8523" s="19">
        <f>0.5*$E$8487+0.5*$Z$8541</f>
        <v/>
      </c>
      <c r="F8523" s="19">
        <f>$Z$8542</f>
        <v/>
      </c>
    </row>
    <row r="8524">
      <c r="D8524" s="19">
        <f>IF(ABS(IF(ABS($E$8488)&gt;0.000000001,$E$8488,0.000000001))=0,0,IF($E$7072&lt;=$B$7059,0,IF(ABS(IF(ABS($E$8488)&gt;0.000000001,$E$8488,0.000000001))&gt;=8*$B$7061,$H$7072,0.5*$H$7072*(ABS(IF(ABS($E$8488)&gt;0.000000001,$E$8488,0.000000001))/$B$7061)^(1/3)))/ABS(IF(ABS($E$8488)&gt;0.000000001,$E$8488,0.000000001))*$I$7072)</f>
        <v/>
      </c>
      <c r="E8524" s="19">
        <f>0.5*$E$8488+0.5*$Z$8543</f>
        <v/>
      </c>
      <c r="F8524" s="19">
        <f>$Z$8544</f>
        <v/>
      </c>
    </row>
    <row r="8525">
      <c r="D8525" s="19">
        <f>IF(ABS(IF(ABS($E$8489)&gt;0.000000001,$E$8489,0.000000001))=0,0,IF($E$7073&lt;=$B$7059,0,IF(ABS(IF(ABS($E$8489)&gt;0.000000001,$E$8489,0.000000001))&gt;=8*$B$7061,$H$7073,0.5*$H$7073*(ABS(IF(ABS($E$8489)&gt;0.000000001,$E$8489,0.000000001))/$B$7061)^(1/3)))/ABS(IF(ABS($E$8489)&gt;0.000000001,$E$8489,0.000000001))*$I$7073)</f>
        <v/>
      </c>
      <c r="E8525" s="19">
        <f>0.5*$E$8489+0.5*$Z$8545</f>
        <v/>
      </c>
      <c r="F8525" s="19">
        <f>$Z$8546</f>
        <v/>
      </c>
    </row>
    <row r="8526">
      <c r="D8526" s="19">
        <f>IF(ABS(IF(ABS($E$8490)&gt;0.000000001,$E$8490,0.000000001))=0,0,IF($E$7074&lt;=$B$7059,0,IF(ABS(IF(ABS($E$8490)&gt;0.000000001,$E$8490,0.000000001))&gt;=8*$B$7061,$H$7074,0.5*$H$7074*(ABS(IF(ABS($E$8490)&gt;0.000000001,$E$8490,0.000000001))/$B$7061)^(1/3)))/ABS(IF(ABS($E$8490)&gt;0.000000001,$E$8490,0.000000001))*$I$7074)</f>
        <v/>
      </c>
      <c r="E8526" s="19">
        <f>0.5*$E$8490+0.5*$Z$8547</f>
        <v/>
      </c>
      <c r="F8526" s="19">
        <f>$Z$8548</f>
        <v/>
      </c>
    </row>
    <row r="8527">
      <c r="D8527" s="19">
        <f>IF(ABS(IF(ABS($E$8491)&gt;0.000000001,$E$8491,0.000000001))=0,0,IF($E$7075&lt;=$B$7059,0,IF(ABS(IF(ABS($E$8491)&gt;0.000000001,$E$8491,0.000000001))&gt;=8*$B$7061,$H$7075,0.5*$H$7075*(ABS(IF(ABS($E$8491)&gt;0.000000001,$E$8491,0.000000001))/$B$7061)^(1/3)))/ABS(IF(ABS($E$8491)&gt;0.000000001,$E$8491,0.000000001))*$I$7075)</f>
        <v/>
      </c>
      <c r="E8527" s="19">
        <f>0.5*$E$8491+0.5*$Z$8549</f>
        <v/>
      </c>
      <c r="F8527" s="19">
        <f>$Z$8550</f>
        <v/>
      </c>
    </row>
    <row r="8529">
      <c r="D8529" s="21">
        <f>$B$7050+$D$8517</f>
        <v/>
      </c>
      <c r="E8529" s="21">
        <f>$B$7051</f>
        <v/>
      </c>
      <c r="F8529" s="21">
        <f>-$B$7050</f>
        <v/>
      </c>
      <c r="G8529" s="21">
        <f>$B$7051</f>
        <v/>
      </c>
      <c r="H8529" s="21" t="n">
        <v>0</v>
      </c>
      <c r="I8529" s="21" t="n">
        <v>0</v>
      </c>
      <c r="J8529" s="21" t="n">
        <v>0</v>
      </c>
      <c r="K8529" s="21" t="n">
        <v>0</v>
      </c>
      <c r="L8529" s="21" t="n">
        <v>0</v>
      </c>
      <c r="M8529" s="21" t="n">
        <v>0</v>
      </c>
      <c r="N8529" s="21" t="n">
        <v>0</v>
      </c>
      <c r="O8529" s="21" t="n">
        <v>0</v>
      </c>
      <c r="P8529" s="21" t="n">
        <v>0</v>
      </c>
      <c r="Q8529" s="21" t="n">
        <v>0</v>
      </c>
      <c r="R8529" s="21" t="n">
        <v>0</v>
      </c>
      <c r="S8529" s="21" t="n">
        <v>0</v>
      </c>
      <c r="T8529" s="21" t="n">
        <v>0</v>
      </c>
      <c r="U8529" s="21" t="n">
        <v>0</v>
      </c>
      <c r="V8529" s="21" t="n">
        <v>0</v>
      </c>
      <c r="W8529" s="21" t="n">
        <v>0</v>
      </c>
      <c r="X8529" s="21" t="n">
        <v>0</v>
      </c>
      <c r="Y8529" s="21" t="n">
        <v>0</v>
      </c>
      <c r="Z8529" s="19">
        <f t="array" ref="Z8529:Z8550">MMULT(MINVERSE($D$8529:$Y$8550),$D$7077:$D$7098)</f>
        <v/>
      </c>
    </row>
    <row r="8530">
      <c r="D8530" s="21">
        <f>$B$7051</f>
        <v/>
      </c>
      <c r="E8530" s="21">
        <f>$B$7052</f>
        <v/>
      </c>
      <c r="F8530" s="21">
        <f>-$B$7051</f>
        <v/>
      </c>
      <c r="G8530" s="21">
        <f>$B$7053</f>
        <v/>
      </c>
      <c r="H8530" s="21" t="n">
        <v>0</v>
      </c>
      <c r="I8530" s="21" t="n">
        <v>0</v>
      </c>
      <c r="J8530" s="21" t="n">
        <v>0</v>
      </c>
      <c r="K8530" s="21" t="n">
        <v>0</v>
      </c>
      <c r="L8530" s="21" t="n">
        <v>0</v>
      </c>
      <c r="M8530" s="21" t="n">
        <v>0</v>
      </c>
      <c r="N8530" s="21" t="n">
        <v>0</v>
      </c>
      <c r="O8530" s="21" t="n">
        <v>0</v>
      </c>
      <c r="P8530" s="21" t="n">
        <v>0</v>
      </c>
      <c r="Q8530" s="21" t="n">
        <v>0</v>
      </c>
      <c r="R8530" s="21" t="n">
        <v>0</v>
      </c>
      <c r="S8530" s="21" t="n">
        <v>0</v>
      </c>
      <c r="T8530" s="21" t="n">
        <v>0</v>
      </c>
      <c r="U8530" s="21" t="n">
        <v>0</v>
      </c>
      <c r="V8530" s="21" t="n">
        <v>0</v>
      </c>
      <c r="W8530" s="21" t="n">
        <v>0</v>
      </c>
      <c r="X8530" s="21" t="n">
        <v>0</v>
      </c>
      <c r="Y8530" s="21" t="n">
        <v>0</v>
      </c>
      <c r="Z8530" s="19" t="n"/>
    </row>
    <row r="8531">
      <c r="D8531" s="21">
        <f>-$B$7050</f>
        <v/>
      </c>
      <c r="E8531" s="21">
        <f>-$B$7051</f>
        <v/>
      </c>
      <c r="F8531" s="21">
        <f>2*$B$7050+$D$8518</f>
        <v/>
      </c>
      <c r="G8531" s="21">
        <f>0</f>
        <v/>
      </c>
      <c r="H8531" s="21">
        <f>-$B$7050</f>
        <v/>
      </c>
      <c r="I8531" s="21">
        <f>$B$7051</f>
        <v/>
      </c>
      <c r="J8531" s="21" t="n">
        <v>0</v>
      </c>
      <c r="K8531" s="21" t="n">
        <v>0</v>
      </c>
      <c r="L8531" s="21" t="n">
        <v>0</v>
      </c>
      <c r="M8531" s="21" t="n">
        <v>0</v>
      </c>
      <c r="N8531" s="21" t="n">
        <v>0</v>
      </c>
      <c r="O8531" s="21" t="n">
        <v>0</v>
      </c>
      <c r="P8531" s="21" t="n">
        <v>0</v>
      </c>
      <c r="Q8531" s="21" t="n">
        <v>0</v>
      </c>
      <c r="R8531" s="21" t="n">
        <v>0</v>
      </c>
      <c r="S8531" s="21" t="n">
        <v>0</v>
      </c>
      <c r="T8531" s="21" t="n">
        <v>0</v>
      </c>
      <c r="U8531" s="21" t="n">
        <v>0</v>
      </c>
      <c r="V8531" s="21" t="n">
        <v>0</v>
      </c>
      <c r="W8531" s="21" t="n">
        <v>0</v>
      </c>
      <c r="X8531" s="21" t="n">
        <v>0</v>
      </c>
      <c r="Y8531" s="21" t="n">
        <v>0</v>
      </c>
      <c r="Z8531" s="19" t="n"/>
    </row>
    <row r="8532">
      <c r="D8532" s="21">
        <f>$B$7051</f>
        <v/>
      </c>
      <c r="E8532" s="21">
        <f>$B$7053</f>
        <v/>
      </c>
      <c r="F8532" s="21">
        <f>0</f>
        <v/>
      </c>
      <c r="G8532" s="21">
        <f>2*$B$7052</f>
        <v/>
      </c>
      <c r="H8532" s="21">
        <f>-$B$7051</f>
        <v/>
      </c>
      <c r="I8532" s="21">
        <f>$B$7053</f>
        <v/>
      </c>
      <c r="J8532" s="21" t="n">
        <v>0</v>
      </c>
      <c r="K8532" s="21" t="n">
        <v>0</v>
      </c>
      <c r="L8532" s="21" t="n">
        <v>0</v>
      </c>
      <c r="M8532" s="21" t="n">
        <v>0</v>
      </c>
      <c r="N8532" s="21" t="n">
        <v>0</v>
      </c>
      <c r="O8532" s="21" t="n">
        <v>0</v>
      </c>
      <c r="P8532" s="21" t="n">
        <v>0</v>
      </c>
      <c r="Q8532" s="21" t="n">
        <v>0</v>
      </c>
      <c r="R8532" s="21" t="n">
        <v>0</v>
      </c>
      <c r="S8532" s="21" t="n">
        <v>0</v>
      </c>
      <c r="T8532" s="21" t="n">
        <v>0</v>
      </c>
      <c r="U8532" s="21" t="n">
        <v>0</v>
      </c>
      <c r="V8532" s="21" t="n">
        <v>0</v>
      </c>
      <c r="W8532" s="21" t="n">
        <v>0</v>
      </c>
      <c r="X8532" s="21" t="n">
        <v>0</v>
      </c>
      <c r="Y8532" s="21" t="n">
        <v>0</v>
      </c>
      <c r="Z8532" s="19" t="n"/>
    </row>
    <row r="8533">
      <c r="D8533" s="21" t="n">
        <v>0</v>
      </c>
      <c r="E8533" s="21" t="n">
        <v>0</v>
      </c>
      <c r="F8533" s="21">
        <f>-$B$7050</f>
        <v/>
      </c>
      <c r="G8533" s="21">
        <f>-$B$7051</f>
        <v/>
      </c>
      <c r="H8533" s="21">
        <f>2*$B$7050+$D$8519</f>
        <v/>
      </c>
      <c r="I8533" s="21">
        <f>0</f>
        <v/>
      </c>
      <c r="J8533" s="21">
        <f>-$B$7050</f>
        <v/>
      </c>
      <c r="K8533" s="21">
        <f>$B$7051</f>
        <v/>
      </c>
      <c r="L8533" s="21" t="n">
        <v>0</v>
      </c>
      <c r="M8533" s="21" t="n">
        <v>0</v>
      </c>
      <c r="N8533" s="21" t="n">
        <v>0</v>
      </c>
      <c r="O8533" s="21" t="n">
        <v>0</v>
      </c>
      <c r="P8533" s="21" t="n">
        <v>0</v>
      </c>
      <c r="Q8533" s="21" t="n">
        <v>0</v>
      </c>
      <c r="R8533" s="21" t="n">
        <v>0</v>
      </c>
      <c r="S8533" s="21" t="n">
        <v>0</v>
      </c>
      <c r="T8533" s="21" t="n">
        <v>0</v>
      </c>
      <c r="U8533" s="21" t="n">
        <v>0</v>
      </c>
      <c r="V8533" s="21" t="n">
        <v>0</v>
      </c>
      <c r="W8533" s="21" t="n">
        <v>0</v>
      </c>
      <c r="X8533" s="21" t="n">
        <v>0</v>
      </c>
      <c r="Y8533" s="21" t="n">
        <v>0</v>
      </c>
      <c r="Z8533" s="19" t="n"/>
    </row>
    <row r="8534">
      <c r="D8534" s="21" t="n">
        <v>0</v>
      </c>
      <c r="E8534" s="21" t="n">
        <v>0</v>
      </c>
      <c r="F8534" s="21">
        <f>$B$7051</f>
        <v/>
      </c>
      <c r="G8534" s="21">
        <f>$B$7053</f>
        <v/>
      </c>
      <c r="H8534" s="21">
        <f>0</f>
        <v/>
      </c>
      <c r="I8534" s="21">
        <f>2*$B$7052</f>
        <v/>
      </c>
      <c r="J8534" s="21">
        <f>-$B$7051</f>
        <v/>
      </c>
      <c r="K8534" s="21">
        <f>$B$7053</f>
        <v/>
      </c>
      <c r="L8534" s="21" t="n">
        <v>0</v>
      </c>
      <c r="M8534" s="21" t="n">
        <v>0</v>
      </c>
      <c r="N8534" s="21" t="n">
        <v>0</v>
      </c>
      <c r="O8534" s="21" t="n">
        <v>0</v>
      </c>
      <c r="P8534" s="21" t="n">
        <v>0</v>
      </c>
      <c r="Q8534" s="21" t="n">
        <v>0</v>
      </c>
      <c r="R8534" s="21" t="n">
        <v>0</v>
      </c>
      <c r="S8534" s="21" t="n">
        <v>0</v>
      </c>
      <c r="T8534" s="21" t="n">
        <v>0</v>
      </c>
      <c r="U8534" s="21" t="n">
        <v>0</v>
      </c>
      <c r="V8534" s="21" t="n">
        <v>0</v>
      </c>
      <c r="W8534" s="21" t="n">
        <v>0</v>
      </c>
      <c r="X8534" s="21" t="n">
        <v>0</v>
      </c>
      <c r="Y8534" s="21" t="n">
        <v>0</v>
      </c>
      <c r="Z8534" s="19" t="n"/>
    </row>
    <row r="8535">
      <c r="D8535" s="21" t="n">
        <v>0</v>
      </c>
      <c r="E8535" s="21" t="n">
        <v>0</v>
      </c>
      <c r="F8535" s="21" t="n">
        <v>0</v>
      </c>
      <c r="G8535" s="21" t="n">
        <v>0</v>
      </c>
      <c r="H8535" s="21">
        <f>-$B$7050</f>
        <v/>
      </c>
      <c r="I8535" s="21">
        <f>-$B$7051</f>
        <v/>
      </c>
      <c r="J8535" s="21">
        <f>2*$B$7050+$D$8520</f>
        <v/>
      </c>
      <c r="K8535" s="21">
        <f>0</f>
        <v/>
      </c>
      <c r="L8535" s="21">
        <f>-$B$7050</f>
        <v/>
      </c>
      <c r="M8535" s="21">
        <f>$B$7051</f>
        <v/>
      </c>
      <c r="N8535" s="21" t="n">
        <v>0</v>
      </c>
      <c r="O8535" s="21" t="n">
        <v>0</v>
      </c>
      <c r="P8535" s="21" t="n">
        <v>0</v>
      </c>
      <c r="Q8535" s="21" t="n">
        <v>0</v>
      </c>
      <c r="R8535" s="21" t="n">
        <v>0</v>
      </c>
      <c r="S8535" s="21" t="n">
        <v>0</v>
      </c>
      <c r="T8535" s="21" t="n">
        <v>0</v>
      </c>
      <c r="U8535" s="21" t="n">
        <v>0</v>
      </c>
      <c r="V8535" s="21" t="n">
        <v>0</v>
      </c>
      <c r="W8535" s="21" t="n">
        <v>0</v>
      </c>
      <c r="X8535" s="21" t="n">
        <v>0</v>
      </c>
      <c r="Y8535" s="21" t="n">
        <v>0</v>
      </c>
      <c r="Z8535" s="19" t="n"/>
    </row>
    <row r="8536">
      <c r="D8536" s="21" t="n">
        <v>0</v>
      </c>
      <c r="E8536" s="21" t="n">
        <v>0</v>
      </c>
      <c r="F8536" s="21" t="n">
        <v>0</v>
      </c>
      <c r="G8536" s="21" t="n">
        <v>0</v>
      </c>
      <c r="H8536" s="21">
        <f>$B$7051</f>
        <v/>
      </c>
      <c r="I8536" s="21">
        <f>$B$7053</f>
        <v/>
      </c>
      <c r="J8536" s="21">
        <f>0</f>
        <v/>
      </c>
      <c r="K8536" s="21">
        <f>2*$B$7052</f>
        <v/>
      </c>
      <c r="L8536" s="21">
        <f>-$B$7051</f>
        <v/>
      </c>
      <c r="M8536" s="21">
        <f>$B$7053</f>
        <v/>
      </c>
      <c r="N8536" s="21" t="n">
        <v>0</v>
      </c>
      <c r="O8536" s="21" t="n">
        <v>0</v>
      </c>
      <c r="P8536" s="21" t="n">
        <v>0</v>
      </c>
      <c r="Q8536" s="21" t="n">
        <v>0</v>
      </c>
      <c r="R8536" s="21" t="n">
        <v>0</v>
      </c>
      <c r="S8536" s="21" t="n">
        <v>0</v>
      </c>
      <c r="T8536" s="21" t="n">
        <v>0</v>
      </c>
      <c r="U8536" s="21" t="n">
        <v>0</v>
      </c>
      <c r="V8536" s="21" t="n">
        <v>0</v>
      </c>
      <c r="W8536" s="21" t="n">
        <v>0</v>
      </c>
      <c r="X8536" s="21" t="n">
        <v>0</v>
      </c>
      <c r="Y8536" s="21" t="n">
        <v>0</v>
      </c>
      <c r="Z8536" s="19" t="n"/>
    </row>
    <row r="8537">
      <c r="D8537" s="21" t="n">
        <v>0</v>
      </c>
      <c r="E8537" s="21" t="n">
        <v>0</v>
      </c>
      <c r="F8537" s="21" t="n">
        <v>0</v>
      </c>
      <c r="G8537" s="21" t="n">
        <v>0</v>
      </c>
      <c r="H8537" s="21" t="n">
        <v>0</v>
      </c>
      <c r="I8537" s="21" t="n">
        <v>0</v>
      </c>
      <c r="J8537" s="21">
        <f>-$B$7050</f>
        <v/>
      </c>
      <c r="K8537" s="21">
        <f>-$B$7051</f>
        <v/>
      </c>
      <c r="L8537" s="21">
        <f>2*$B$7050+$D$8521</f>
        <v/>
      </c>
      <c r="M8537" s="21">
        <f>0</f>
        <v/>
      </c>
      <c r="N8537" s="21">
        <f>-$B$7050</f>
        <v/>
      </c>
      <c r="O8537" s="21">
        <f>$B$7051</f>
        <v/>
      </c>
      <c r="P8537" s="21" t="n">
        <v>0</v>
      </c>
      <c r="Q8537" s="21" t="n">
        <v>0</v>
      </c>
      <c r="R8537" s="21" t="n">
        <v>0</v>
      </c>
      <c r="S8537" s="21" t="n">
        <v>0</v>
      </c>
      <c r="T8537" s="21" t="n">
        <v>0</v>
      </c>
      <c r="U8537" s="21" t="n">
        <v>0</v>
      </c>
      <c r="V8537" s="21" t="n">
        <v>0</v>
      </c>
      <c r="W8537" s="21" t="n">
        <v>0</v>
      </c>
      <c r="X8537" s="21" t="n">
        <v>0</v>
      </c>
      <c r="Y8537" s="21" t="n">
        <v>0</v>
      </c>
      <c r="Z8537" s="19" t="n"/>
    </row>
    <row r="8538">
      <c r="D8538" s="21" t="n">
        <v>0</v>
      </c>
      <c r="E8538" s="21" t="n">
        <v>0</v>
      </c>
      <c r="F8538" s="21" t="n">
        <v>0</v>
      </c>
      <c r="G8538" s="21" t="n">
        <v>0</v>
      </c>
      <c r="H8538" s="21" t="n">
        <v>0</v>
      </c>
      <c r="I8538" s="21" t="n">
        <v>0</v>
      </c>
      <c r="J8538" s="21">
        <f>$B$7051</f>
        <v/>
      </c>
      <c r="K8538" s="21">
        <f>$B$7053</f>
        <v/>
      </c>
      <c r="L8538" s="21">
        <f>0</f>
        <v/>
      </c>
      <c r="M8538" s="21">
        <f>2*$B$7052</f>
        <v/>
      </c>
      <c r="N8538" s="21">
        <f>-$B$7051</f>
        <v/>
      </c>
      <c r="O8538" s="21">
        <f>$B$7053</f>
        <v/>
      </c>
      <c r="P8538" s="21" t="n">
        <v>0</v>
      </c>
      <c r="Q8538" s="21" t="n">
        <v>0</v>
      </c>
      <c r="R8538" s="21" t="n">
        <v>0</v>
      </c>
      <c r="S8538" s="21" t="n">
        <v>0</v>
      </c>
      <c r="T8538" s="21" t="n">
        <v>0</v>
      </c>
      <c r="U8538" s="21" t="n">
        <v>0</v>
      </c>
      <c r="V8538" s="21" t="n">
        <v>0</v>
      </c>
      <c r="W8538" s="21" t="n">
        <v>0</v>
      </c>
      <c r="X8538" s="21" t="n">
        <v>0</v>
      </c>
      <c r="Y8538" s="21" t="n">
        <v>0</v>
      </c>
      <c r="Z8538" s="19" t="n"/>
    </row>
    <row r="8539">
      <c r="D8539" s="21" t="n">
        <v>0</v>
      </c>
      <c r="E8539" s="21" t="n">
        <v>0</v>
      </c>
      <c r="F8539" s="21" t="n">
        <v>0</v>
      </c>
      <c r="G8539" s="21" t="n">
        <v>0</v>
      </c>
      <c r="H8539" s="21" t="n">
        <v>0</v>
      </c>
      <c r="I8539" s="21" t="n">
        <v>0</v>
      </c>
      <c r="J8539" s="21" t="n">
        <v>0</v>
      </c>
      <c r="K8539" s="21" t="n">
        <v>0</v>
      </c>
      <c r="L8539" s="21">
        <f>-$B$7050</f>
        <v/>
      </c>
      <c r="M8539" s="21">
        <f>-$B$7051</f>
        <v/>
      </c>
      <c r="N8539" s="21">
        <f>2*$B$7050+$D$8522</f>
        <v/>
      </c>
      <c r="O8539" s="21">
        <f>0</f>
        <v/>
      </c>
      <c r="P8539" s="21">
        <f>-$B$7050</f>
        <v/>
      </c>
      <c r="Q8539" s="21">
        <f>$B$7051</f>
        <v/>
      </c>
      <c r="R8539" s="21" t="n">
        <v>0</v>
      </c>
      <c r="S8539" s="21" t="n">
        <v>0</v>
      </c>
      <c r="T8539" s="21" t="n">
        <v>0</v>
      </c>
      <c r="U8539" s="21" t="n">
        <v>0</v>
      </c>
      <c r="V8539" s="21" t="n">
        <v>0</v>
      </c>
      <c r="W8539" s="21" t="n">
        <v>0</v>
      </c>
      <c r="X8539" s="21" t="n">
        <v>0</v>
      </c>
      <c r="Y8539" s="21" t="n">
        <v>0</v>
      </c>
      <c r="Z8539" s="19" t="n"/>
    </row>
    <row r="8540">
      <c r="D8540" s="21" t="n">
        <v>0</v>
      </c>
      <c r="E8540" s="21" t="n">
        <v>0</v>
      </c>
      <c r="F8540" s="21" t="n">
        <v>0</v>
      </c>
      <c r="G8540" s="21" t="n">
        <v>0</v>
      </c>
      <c r="H8540" s="21" t="n">
        <v>0</v>
      </c>
      <c r="I8540" s="21" t="n">
        <v>0</v>
      </c>
      <c r="J8540" s="21" t="n">
        <v>0</v>
      </c>
      <c r="K8540" s="21" t="n">
        <v>0</v>
      </c>
      <c r="L8540" s="21">
        <f>$B$7051</f>
        <v/>
      </c>
      <c r="M8540" s="21">
        <f>$B$7053</f>
        <v/>
      </c>
      <c r="N8540" s="21">
        <f>0</f>
        <v/>
      </c>
      <c r="O8540" s="21">
        <f>2*$B$7052</f>
        <v/>
      </c>
      <c r="P8540" s="21">
        <f>-$B$7051</f>
        <v/>
      </c>
      <c r="Q8540" s="21">
        <f>$B$7053</f>
        <v/>
      </c>
      <c r="R8540" s="21" t="n">
        <v>0</v>
      </c>
      <c r="S8540" s="21" t="n">
        <v>0</v>
      </c>
      <c r="T8540" s="21" t="n">
        <v>0</v>
      </c>
      <c r="U8540" s="21" t="n">
        <v>0</v>
      </c>
      <c r="V8540" s="21" t="n">
        <v>0</v>
      </c>
      <c r="W8540" s="21" t="n">
        <v>0</v>
      </c>
      <c r="X8540" s="21" t="n">
        <v>0</v>
      </c>
      <c r="Y8540" s="21" t="n">
        <v>0</v>
      </c>
      <c r="Z8540" s="19" t="n"/>
    </row>
    <row r="8541">
      <c r="D8541" s="21" t="n">
        <v>0</v>
      </c>
      <c r="E8541" s="21" t="n">
        <v>0</v>
      </c>
      <c r="F8541" s="21" t="n">
        <v>0</v>
      </c>
      <c r="G8541" s="21" t="n">
        <v>0</v>
      </c>
      <c r="H8541" s="21" t="n">
        <v>0</v>
      </c>
      <c r="I8541" s="21" t="n">
        <v>0</v>
      </c>
      <c r="J8541" s="21" t="n">
        <v>0</v>
      </c>
      <c r="K8541" s="21" t="n">
        <v>0</v>
      </c>
      <c r="L8541" s="21" t="n">
        <v>0</v>
      </c>
      <c r="M8541" s="21" t="n">
        <v>0</v>
      </c>
      <c r="N8541" s="21">
        <f>-$B$7050</f>
        <v/>
      </c>
      <c r="O8541" s="21">
        <f>-$B$7051</f>
        <v/>
      </c>
      <c r="P8541" s="21">
        <f>2*$B$7050+$D$8523</f>
        <v/>
      </c>
      <c r="Q8541" s="21">
        <f>0</f>
        <v/>
      </c>
      <c r="R8541" s="21">
        <f>-$B$7050</f>
        <v/>
      </c>
      <c r="S8541" s="21">
        <f>$B$7051</f>
        <v/>
      </c>
      <c r="T8541" s="21" t="n">
        <v>0</v>
      </c>
      <c r="U8541" s="21" t="n">
        <v>0</v>
      </c>
      <c r="V8541" s="21" t="n">
        <v>0</v>
      </c>
      <c r="W8541" s="21" t="n">
        <v>0</v>
      </c>
      <c r="X8541" s="21" t="n">
        <v>0</v>
      </c>
      <c r="Y8541" s="21" t="n">
        <v>0</v>
      </c>
      <c r="Z8541" s="19" t="n"/>
    </row>
    <row r="8542">
      <c r="D8542" s="21" t="n">
        <v>0</v>
      </c>
      <c r="E8542" s="21" t="n">
        <v>0</v>
      </c>
      <c r="F8542" s="21" t="n">
        <v>0</v>
      </c>
      <c r="G8542" s="21" t="n">
        <v>0</v>
      </c>
      <c r="H8542" s="21" t="n">
        <v>0</v>
      </c>
      <c r="I8542" s="21" t="n">
        <v>0</v>
      </c>
      <c r="J8542" s="21" t="n">
        <v>0</v>
      </c>
      <c r="K8542" s="21" t="n">
        <v>0</v>
      </c>
      <c r="L8542" s="21" t="n">
        <v>0</v>
      </c>
      <c r="M8542" s="21" t="n">
        <v>0</v>
      </c>
      <c r="N8542" s="21">
        <f>$B$7051</f>
        <v/>
      </c>
      <c r="O8542" s="21">
        <f>$B$7053</f>
        <v/>
      </c>
      <c r="P8542" s="21">
        <f>0</f>
        <v/>
      </c>
      <c r="Q8542" s="21">
        <f>2*$B$7052</f>
        <v/>
      </c>
      <c r="R8542" s="21">
        <f>-$B$7051</f>
        <v/>
      </c>
      <c r="S8542" s="21">
        <f>$B$7053</f>
        <v/>
      </c>
      <c r="T8542" s="21" t="n">
        <v>0</v>
      </c>
      <c r="U8542" s="21" t="n">
        <v>0</v>
      </c>
      <c r="V8542" s="21" t="n">
        <v>0</v>
      </c>
      <c r="W8542" s="21" t="n">
        <v>0</v>
      </c>
      <c r="X8542" s="21" t="n">
        <v>0</v>
      </c>
      <c r="Y8542" s="21" t="n">
        <v>0</v>
      </c>
      <c r="Z8542" s="19" t="n"/>
    </row>
    <row r="8543">
      <c r="D8543" s="21" t="n">
        <v>0</v>
      </c>
      <c r="E8543" s="21" t="n">
        <v>0</v>
      </c>
      <c r="F8543" s="21" t="n">
        <v>0</v>
      </c>
      <c r="G8543" s="21" t="n">
        <v>0</v>
      </c>
      <c r="H8543" s="21" t="n">
        <v>0</v>
      </c>
      <c r="I8543" s="21" t="n">
        <v>0</v>
      </c>
      <c r="J8543" s="21" t="n">
        <v>0</v>
      </c>
      <c r="K8543" s="21" t="n">
        <v>0</v>
      </c>
      <c r="L8543" s="21" t="n">
        <v>0</v>
      </c>
      <c r="M8543" s="21" t="n">
        <v>0</v>
      </c>
      <c r="N8543" s="21" t="n">
        <v>0</v>
      </c>
      <c r="O8543" s="21" t="n">
        <v>0</v>
      </c>
      <c r="P8543" s="21">
        <f>-$B$7050</f>
        <v/>
      </c>
      <c r="Q8543" s="21">
        <f>-$B$7051</f>
        <v/>
      </c>
      <c r="R8543" s="21">
        <f>2*$B$7050+$D$8524</f>
        <v/>
      </c>
      <c r="S8543" s="21">
        <f>0</f>
        <v/>
      </c>
      <c r="T8543" s="21">
        <f>-$B$7050</f>
        <v/>
      </c>
      <c r="U8543" s="21">
        <f>$B$7051</f>
        <v/>
      </c>
      <c r="V8543" s="21" t="n">
        <v>0</v>
      </c>
      <c r="W8543" s="21" t="n">
        <v>0</v>
      </c>
      <c r="X8543" s="21" t="n">
        <v>0</v>
      </c>
      <c r="Y8543" s="21" t="n">
        <v>0</v>
      </c>
      <c r="Z8543" s="19" t="n"/>
    </row>
    <row r="8544">
      <c r="D8544" s="21" t="n">
        <v>0</v>
      </c>
      <c r="E8544" s="21" t="n">
        <v>0</v>
      </c>
      <c r="F8544" s="21" t="n">
        <v>0</v>
      </c>
      <c r="G8544" s="21" t="n">
        <v>0</v>
      </c>
      <c r="H8544" s="21" t="n">
        <v>0</v>
      </c>
      <c r="I8544" s="21" t="n">
        <v>0</v>
      </c>
      <c r="J8544" s="21" t="n">
        <v>0</v>
      </c>
      <c r="K8544" s="21" t="n">
        <v>0</v>
      </c>
      <c r="L8544" s="21" t="n">
        <v>0</v>
      </c>
      <c r="M8544" s="21" t="n">
        <v>0</v>
      </c>
      <c r="N8544" s="21" t="n">
        <v>0</v>
      </c>
      <c r="O8544" s="21" t="n">
        <v>0</v>
      </c>
      <c r="P8544" s="21">
        <f>$B$7051</f>
        <v/>
      </c>
      <c r="Q8544" s="21">
        <f>$B$7053</f>
        <v/>
      </c>
      <c r="R8544" s="21">
        <f>0</f>
        <v/>
      </c>
      <c r="S8544" s="21">
        <f>2*$B$7052</f>
        <v/>
      </c>
      <c r="T8544" s="21">
        <f>-$B$7051</f>
        <v/>
      </c>
      <c r="U8544" s="21">
        <f>$B$7053</f>
        <v/>
      </c>
      <c r="V8544" s="21" t="n">
        <v>0</v>
      </c>
      <c r="W8544" s="21" t="n">
        <v>0</v>
      </c>
      <c r="X8544" s="21" t="n">
        <v>0</v>
      </c>
      <c r="Y8544" s="21" t="n">
        <v>0</v>
      </c>
      <c r="Z8544" s="19" t="n"/>
    </row>
    <row r="8545">
      <c r="D8545" s="21" t="n">
        <v>0</v>
      </c>
      <c r="E8545" s="21" t="n">
        <v>0</v>
      </c>
      <c r="F8545" s="21" t="n">
        <v>0</v>
      </c>
      <c r="G8545" s="21" t="n">
        <v>0</v>
      </c>
      <c r="H8545" s="21" t="n">
        <v>0</v>
      </c>
      <c r="I8545" s="21" t="n">
        <v>0</v>
      </c>
      <c r="J8545" s="21" t="n">
        <v>0</v>
      </c>
      <c r="K8545" s="21" t="n">
        <v>0</v>
      </c>
      <c r="L8545" s="21" t="n">
        <v>0</v>
      </c>
      <c r="M8545" s="21" t="n">
        <v>0</v>
      </c>
      <c r="N8545" s="21" t="n">
        <v>0</v>
      </c>
      <c r="O8545" s="21" t="n">
        <v>0</v>
      </c>
      <c r="P8545" s="21" t="n">
        <v>0</v>
      </c>
      <c r="Q8545" s="21" t="n">
        <v>0</v>
      </c>
      <c r="R8545" s="21">
        <f>-$B$7050</f>
        <v/>
      </c>
      <c r="S8545" s="21">
        <f>-$B$7051</f>
        <v/>
      </c>
      <c r="T8545" s="21">
        <f>2*$B$7050+$D$8525</f>
        <v/>
      </c>
      <c r="U8545" s="21">
        <f>0</f>
        <v/>
      </c>
      <c r="V8545" s="21">
        <f>-$B$7050</f>
        <v/>
      </c>
      <c r="W8545" s="21">
        <f>$B$7051</f>
        <v/>
      </c>
      <c r="X8545" s="21" t="n">
        <v>0</v>
      </c>
      <c r="Y8545" s="21" t="n">
        <v>0</v>
      </c>
      <c r="Z8545" s="19" t="n"/>
    </row>
    <row r="8546">
      <c r="D8546" s="21" t="n">
        <v>0</v>
      </c>
      <c r="E8546" s="21" t="n">
        <v>0</v>
      </c>
      <c r="F8546" s="21" t="n">
        <v>0</v>
      </c>
      <c r="G8546" s="21" t="n">
        <v>0</v>
      </c>
      <c r="H8546" s="21" t="n">
        <v>0</v>
      </c>
      <c r="I8546" s="21" t="n">
        <v>0</v>
      </c>
      <c r="J8546" s="21" t="n">
        <v>0</v>
      </c>
      <c r="K8546" s="21" t="n">
        <v>0</v>
      </c>
      <c r="L8546" s="21" t="n">
        <v>0</v>
      </c>
      <c r="M8546" s="21" t="n">
        <v>0</v>
      </c>
      <c r="N8546" s="21" t="n">
        <v>0</v>
      </c>
      <c r="O8546" s="21" t="n">
        <v>0</v>
      </c>
      <c r="P8546" s="21" t="n">
        <v>0</v>
      </c>
      <c r="Q8546" s="21" t="n">
        <v>0</v>
      </c>
      <c r="R8546" s="21">
        <f>$B$7051</f>
        <v/>
      </c>
      <c r="S8546" s="21">
        <f>$B$7053</f>
        <v/>
      </c>
      <c r="T8546" s="21">
        <f>0</f>
        <v/>
      </c>
      <c r="U8546" s="21">
        <f>2*$B$7052</f>
        <v/>
      </c>
      <c r="V8546" s="21">
        <f>-$B$7051</f>
        <v/>
      </c>
      <c r="W8546" s="21">
        <f>$B$7053</f>
        <v/>
      </c>
      <c r="X8546" s="21" t="n">
        <v>0</v>
      </c>
      <c r="Y8546" s="21" t="n">
        <v>0</v>
      </c>
      <c r="Z8546" s="19" t="n"/>
    </row>
    <row r="8547">
      <c r="D8547" s="21" t="n">
        <v>0</v>
      </c>
      <c r="E8547" s="21" t="n">
        <v>0</v>
      </c>
      <c r="F8547" s="21" t="n">
        <v>0</v>
      </c>
      <c r="G8547" s="21" t="n">
        <v>0</v>
      </c>
      <c r="H8547" s="21" t="n">
        <v>0</v>
      </c>
      <c r="I8547" s="21" t="n">
        <v>0</v>
      </c>
      <c r="J8547" s="21" t="n">
        <v>0</v>
      </c>
      <c r="K8547" s="21" t="n">
        <v>0</v>
      </c>
      <c r="L8547" s="21" t="n">
        <v>0</v>
      </c>
      <c r="M8547" s="21" t="n">
        <v>0</v>
      </c>
      <c r="N8547" s="21" t="n">
        <v>0</v>
      </c>
      <c r="O8547" s="21" t="n">
        <v>0</v>
      </c>
      <c r="P8547" s="21" t="n">
        <v>0</v>
      </c>
      <c r="Q8547" s="21" t="n">
        <v>0</v>
      </c>
      <c r="R8547" s="21" t="n">
        <v>0</v>
      </c>
      <c r="S8547" s="21" t="n">
        <v>0</v>
      </c>
      <c r="T8547" s="21">
        <f>-$B$7050</f>
        <v/>
      </c>
      <c r="U8547" s="21">
        <f>-$B$7051</f>
        <v/>
      </c>
      <c r="V8547" s="21">
        <f>2*$B$7050+$D$8526</f>
        <v/>
      </c>
      <c r="W8547" s="21">
        <f>0</f>
        <v/>
      </c>
      <c r="X8547" s="21">
        <f>-$B$7050</f>
        <v/>
      </c>
      <c r="Y8547" s="21">
        <f>$B$7051</f>
        <v/>
      </c>
      <c r="Z8547" s="19" t="n"/>
    </row>
    <row r="8548">
      <c r="D8548" s="21" t="n">
        <v>0</v>
      </c>
      <c r="E8548" s="21" t="n">
        <v>0</v>
      </c>
      <c r="F8548" s="21" t="n">
        <v>0</v>
      </c>
      <c r="G8548" s="21" t="n">
        <v>0</v>
      </c>
      <c r="H8548" s="21" t="n">
        <v>0</v>
      </c>
      <c r="I8548" s="21" t="n">
        <v>0</v>
      </c>
      <c r="J8548" s="21" t="n">
        <v>0</v>
      </c>
      <c r="K8548" s="21" t="n">
        <v>0</v>
      </c>
      <c r="L8548" s="21" t="n">
        <v>0</v>
      </c>
      <c r="M8548" s="21" t="n">
        <v>0</v>
      </c>
      <c r="N8548" s="21" t="n">
        <v>0</v>
      </c>
      <c r="O8548" s="21" t="n">
        <v>0</v>
      </c>
      <c r="P8548" s="21" t="n">
        <v>0</v>
      </c>
      <c r="Q8548" s="21" t="n">
        <v>0</v>
      </c>
      <c r="R8548" s="21" t="n">
        <v>0</v>
      </c>
      <c r="S8548" s="21" t="n">
        <v>0</v>
      </c>
      <c r="T8548" s="21">
        <f>$B$7051</f>
        <v/>
      </c>
      <c r="U8548" s="21">
        <f>$B$7053</f>
        <v/>
      </c>
      <c r="V8548" s="21">
        <f>0</f>
        <v/>
      </c>
      <c r="W8548" s="21">
        <f>2*$B$7052</f>
        <v/>
      </c>
      <c r="X8548" s="21">
        <f>-$B$7051</f>
        <v/>
      </c>
      <c r="Y8548" s="21">
        <f>$B$7053</f>
        <v/>
      </c>
      <c r="Z8548" s="19" t="n"/>
    </row>
    <row r="8549">
      <c r="D8549" s="21" t="n">
        <v>0</v>
      </c>
      <c r="E8549" s="21" t="n">
        <v>0</v>
      </c>
      <c r="F8549" s="21" t="n">
        <v>0</v>
      </c>
      <c r="G8549" s="21" t="n">
        <v>0</v>
      </c>
      <c r="H8549" s="21" t="n">
        <v>0</v>
      </c>
      <c r="I8549" s="21" t="n">
        <v>0</v>
      </c>
      <c r="J8549" s="21" t="n">
        <v>0</v>
      </c>
      <c r="K8549" s="21" t="n">
        <v>0</v>
      </c>
      <c r="L8549" s="21" t="n">
        <v>0</v>
      </c>
      <c r="M8549" s="21" t="n">
        <v>0</v>
      </c>
      <c r="N8549" s="21" t="n">
        <v>0</v>
      </c>
      <c r="O8549" s="21" t="n">
        <v>0</v>
      </c>
      <c r="P8549" s="21" t="n">
        <v>0</v>
      </c>
      <c r="Q8549" s="21" t="n">
        <v>0</v>
      </c>
      <c r="R8549" s="21" t="n">
        <v>0</v>
      </c>
      <c r="S8549" s="21" t="n">
        <v>0</v>
      </c>
      <c r="T8549" s="21" t="n">
        <v>0</v>
      </c>
      <c r="U8549" s="21" t="n">
        <v>0</v>
      </c>
      <c r="V8549" s="21">
        <f>-$B$7050</f>
        <v/>
      </c>
      <c r="W8549" s="21">
        <f>-$B$7051</f>
        <v/>
      </c>
      <c r="X8549" s="21">
        <f>$B$7050+$D$8527</f>
        <v/>
      </c>
      <c r="Y8549" s="21">
        <f>-$B$7051</f>
        <v/>
      </c>
      <c r="Z8549" s="19" t="n"/>
    </row>
    <row r="8550">
      <c r="D8550" s="21" t="n">
        <v>0</v>
      </c>
      <c r="E8550" s="21" t="n">
        <v>0</v>
      </c>
      <c r="F8550" s="21" t="n">
        <v>0</v>
      </c>
      <c r="G8550" s="21" t="n">
        <v>0</v>
      </c>
      <c r="H8550" s="21" t="n">
        <v>0</v>
      </c>
      <c r="I8550" s="21" t="n">
        <v>0</v>
      </c>
      <c r="J8550" s="21" t="n">
        <v>0</v>
      </c>
      <c r="K8550" s="21" t="n">
        <v>0</v>
      </c>
      <c r="L8550" s="21" t="n">
        <v>0</v>
      </c>
      <c r="M8550" s="21" t="n">
        <v>0</v>
      </c>
      <c r="N8550" s="21" t="n">
        <v>0</v>
      </c>
      <c r="O8550" s="21" t="n">
        <v>0</v>
      </c>
      <c r="P8550" s="21" t="n">
        <v>0</v>
      </c>
      <c r="Q8550" s="21" t="n">
        <v>0</v>
      </c>
      <c r="R8550" s="21" t="n">
        <v>0</v>
      </c>
      <c r="S8550" s="21" t="n">
        <v>0</v>
      </c>
      <c r="T8550" s="21" t="n">
        <v>0</v>
      </c>
      <c r="U8550" s="21" t="n">
        <v>0</v>
      </c>
      <c r="V8550" s="21">
        <f>$B$7051</f>
        <v/>
      </c>
      <c r="W8550" s="21">
        <f>$B$7053</f>
        <v/>
      </c>
      <c r="X8550" s="21">
        <f>-$B$7051</f>
        <v/>
      </c>
      <c r="Y8550" s="21">
        <f>$B$7052</f>
        <v/>
      </c>
      <c r="Z8550" s="19" t="n"/>
    </row>
    <row r="8552">
      <c r="A8552" s="8" t="inlineStr">
        <is>
          <t>gen 41</t>
        </is>
      </c>
    </row>
    <row r="8553">
      <c r="D8553" s="19">
        <f>IF(ABS(IF(ABS($E$8517)&gt;0.000000001,$E$8517,0.000000001))=0,0,IF($E$7065&lt;=$B$7059,0,IF(ABS(IF(ABS($E$8517)&gt;0.000000001,$E$8517,0.000000001))&gt;=8*$B$7061,$H$7065,0.5*$H$7065*(ABS(IF(ABS($E$8517)&gt;0.000000001,$E$8517,0.000000001))/$B$7061)^(1/3)))/ABS(IF(ABS($E$8517)&gt;0.000000001,$E$8517,0.000000001))*$I$7065)</f>
        <v/>
      </c>
      <c r="E8553" s="19">
        <f>0.5*$E$8517+0.5*$Z$8565</f>
        <v/>
      </c>
      <c r="F8553" s="19">
        <f>$Z$8566</f>
        <v/>
      </c>
    </row>
    <row r="8554">
      <c r="D8554" s="19">
        <f>IF(ABS(IF(ABS($E$8518)&gt;0.000000001,$E$8518,0.000000001))=0,0,IF($E$7066&lt;=$B$7059,0,IF(ABS(IF(ABS($E$8518)&gt;0.000000001,$E$8518,0.000000001))&gt;=8*$B$7061,$H$7066,0.5*$H$7066*(ABS(IF(ABS($E$8518)&gt;0.000000001,$E$8518,0.000000001))/$B$7061)^(1/3)))/ABS(IF(ABS($E$8518)&gt;0.000000001,$E$8518,0.000000001))*$I$7066)</f>
        <v/>
      </c>
      <c r="E8554" s="19">
        <f>0.5*$E$8518+0.5*$Z$8567</f>
        <v/>
      </c>
      <c r="F8554" s="19">
        <f>$Z$8568</f>
        <v/>
      </c>
    </row>
    <row r="8555">
      <c r="D8555" s="19">
        <f>IF(ABS(IF(ABS($E$8519)&gt;0.000000001,$E$8519,0.000000001))=0,0,IF($E$7067&lt;=$B$7059,0,IF(ABS(IF(ABS($E$8519)&gt;0.000000001,$E$8519,0.000000001))&gt;=8*$B$7061,$H$7067,0.5*$H$7067*(ABS(IF(ABS($E$8519)&gt;0.000000001,$E$8519,0.000000001))/$B$7061)^(1/3)))/ABS(IF(ABS($E$8519)&gt;0.000000001,$E$8519,0.000000001))*$I$7067)</f>
        <v/>
      </c>
      <c r="E8555" s="19">
        <f>0.5*$E$8519+0.5*$Z$8569</f>
        <v/>
      </c>
      <c r="F8555" s="19">
        <f>$Z$8570</f>
        <v/>
      </c>
    </row>
    <row r="8556">
      <c r="D8556" s="19">
        <f>IF(ABS(IF(ABS($E$8520)&gt;0.000000001,$E$8520,0.000000001))=0,0,IF($E$7068&lt;=$B$7059,0,IF(ABS(IF(ABS($E$8520)&gt;0.000000001,$E$8520,0.000000001))&gt;=8*$B$7061,$H$7068,0.5*$H$7068*(ABS(IF(ABS($E$8520)&gt;0.000000001,$E$8520,0.000000001))/$B$7061)^(1/3)))/ABS(IF(ABS($E$8520)&gt;0.000000001,$E$8520,0.000000001))*$I$7068)</f>
        <v/>
      </c>
      <c r="E8556" s="19">
        <f>0.5*$E$8520+0.5*$Z$8571</f>
        <v/>
      </c>
      <c r="F8556" s="19">
        <f>$Z$8572</f>
        <v/>
      </c>
    </row>
    <row r="8557">
      <c r="D8557" s="19">
        <f>IF(ABS(IF(ABS($E$8521)&gt;0.000000001,$E$8521,0.000000001))=0,0,IF($E$7069&lt;=$B$7059,0,IF(ABS(IF(ABS($E$8521)&gt;0.000000001,$E$8521,0.000000001))&gt;=8*$B$7061,$H$7069,0.5*$H$7069*(ABS(IF(ABS($E$8521)&gt;0.000000001,$E$8521,0.000000001))/$B$7061)^(1/3)))/ABS(IF(ABS($E$8521)&gt;0.000000001,$E$8521,0.000000001))*$I$7069)</f>
        <v/>
      </c>
      <c r="E8557" s="19">
        <f>0.5*$E$8521+0.5*$Z$8573</f>
        <v/>
      </c>
      <c r="F8557" s="19">
        <f>$Z$8574</f>
        <v/>
      </c>
    </row>
    <row r="8558">
      <c r="D8558" s="19">
        <f>IF(ABS(IF(ABS($E$8522)&gt;0.000000001,$E$8522,0.000000001))=0,0,IF($E$7070&lt;=$B$7059,0,IF(ABS(IF(ABS($E$8522)&gt;0.000000001,$E$8522,0.000000001))&gt;=8*$B$7061,$H$7070,0.5*$H$7070*(ABS(IF(ABS($E$8522)&gt;0.000000001,$E$8522,0.000000001))/$B$7061)^(1/3)))/ABS(IF(ABS($E$8522)&gt;0.000000001,$E$8522,0.000000001))*$I$7070)</f>
        <v/>
      </c>
      <c r="E8558" s="19">
        <f>0.5*$E$8522+0.5*$Z$8575</f>
        <v/>
      </c>
      <c r="F8558" s="19">
        <f>$Z$8576</f>
        <v/>
      </c>
    </row>
    <row r="8559">
      <c r="D8559" s="19">
        <f>IF(ABS(IF(ABS($E$8523)&gt;0.000000001,$E$8523,0.000000001))=0,0,IF($E$7071&lt;=$B$7059,0,IF(ABS(IF(ABS($E$8523)&gt;0.000000001,$E$8523,0.000000001))&gt;=8*$B$7061,$H$7071,0.5*$H$7071*(ABS(IF(ABS($E$8523)&gt;0.000000001,$E$8523,0.000000001))/$B$7061)^(1/3)))/ABS(IF(ABS($E$8523)&gt;0.000000001,$E$8523,0.000000001))*$I$7071)</f>
        <v/>
      </c>
      <c r="E8559" s="19">
        <f>0.5*$E$8523+0.5*$Z$8577</f>
        <v/>
      </c>
      <c r="F8559" s="19">
        <f>$Z$8578</f>
        <v/>
      </c>
    </row>
    <row r="8560">
      <c r="D8560" s="19">
        <f>IF(ABS(IF(ABS($E$8524)&gt;0.000000001,$E$8524,0.000000001))=0,0,IF($E$7072&lt;=$B$7059,0,IF(ABS(IF(ABS($E$8524)&gt;0.000000001,$E$8524,0.000000001))&gt;=8*$B$7061,$H$7072,0.5*$H$7072*(ABS(IF(ABS($E$8524)&gt;0.000000001,$E$8524,0.000000001))/$B$7061)^(1/3)))/ABS(IF(ABS($E$8524)&gt;0.000000001,$E$8524,0.000000001))*$I$7072)</f>
        <v/>
      </c>
      <c r="E8560" s="19">
        <f>0.5*$E$8524+0.5*$Z$8579</f>
        <v/>
      </c>
      <c r="F8560" s="19">
        <f>$Z$8580</f>
        <v/>
      </c>
    </row>
    <row r="8561">
      <c r="D8561" s="19">
        <f>IF(ABS(IF(ABS($E$8525)&gt;0.000000001,$E$8525,0.000000001))=0,0,IF($E$7073&lt;=$B$7059,0,IF(ABS(IF(ABS($E$8525)&gt;0.000000001,$E$8525,0.000000001))&gt;=8*$B$7061,$H$7073,0.5*$H$7073*(ABS(IF(ABS($E$8525)&gt;0.000000001,$E$8525,0.000000001))/$B$7061)^(1/3)))/ABS(IF(ABS($E$8525)&gt;0.000000001,$E$8525,0.000000001))*$I$7073)</f>
        <v/>
      </c>
      <c r="E8561" s="19">
        <f>0.5*$E$8525+0.5*$Z$8581</f>
        <v/>
      </c>
      <c r="F8561" s="19">
        <f>$Z$8582</f>
        <v/>
      </c>
    </row>
    <row r="8562">
      <c r="D8562" s="19">
        <f>IF(ABS(IF(ABS($E$8526)&gt;0.000000001,$E$8526,0.000000001))=0,0,IF($E$7074&lt;=$B$7059,0,IF(ABS(IF(ABS($E$8526)&gt;0.000000001,$E$8526,0.000000001))&gt;=8*$B$7061,$H$7074,0.5*$H$7074*(ABS(IF(ABS($E$8526)&gt;0.000000001,$E$8526,0.000000001))/$B$7061)^(1/3)))/ABS(IF(ABS($E$8526)&gt;0.000000001,$E$8526,0.000000001))*$I$7074)</f>
        <v/>
      </c>
      <c r="E8562" s="19">
        <f>0.5*$E$8526+0.5*$Z$8583</f>
        <v/>
      </c>
      <c r="F8562" s="19">
        <f>$Z$8584</f>
        <v/>
      </c>
    </row>
    <row r="8563">
      <c r="D8563" s="19">
        <f>IF(ABS(IF(ABS($E$8527)&gt;0.000000001,$E$8527,0.000000001))=0,0,IF($E$7075&lt;=$B$7059,0,IF(ABS(IF(ABS($E$8527)&gt;0.000000001,$E$8527,0.000000001))&gt;=8*$B$7061,$H$7075,0.5*$H$7075*(ABS(IF(ABS($E$8527)&gt;0.000000001,$E$8527,0.000000001))/$B$7061)^(1/3)))/ABS(IF(ABS($E$8527)&gt;0.000000001,$E$8527,0.000000001))*$I$7075)</f>
        <v/>
      </c>
      <c r="E8563" s="19">
        <f>0.5*$E$8527+0.5*$Z$8585</f>
        <v/>
      </c>
      <c r="F8563" s="19">
        <f>$Z$8586</f>
        <v/>
      </c>
    </row>
    <row r="8565">
      <c r="D8565" s="21">
        <f>$B$7050+$D$8553</f>
        <v/>
      </c>
      <c r="E8565" s="21">
        <f>$B$7051</f>
        <v/>
      </c>
      <c r="F8565" s="21">
        <f>-$B$7050</f>
        <v/>
      </c>
      <c r="G8565" s="21">
        <f>$B$7051</f>
        <v/>
      </c>
      <c r="H8565" s="21" t="n">
        <v>0</v>
      </c>
      <c r="I8565" s="21" t="n">
        <v>0</v>
      </c>
      <c r="J8565" s="21" t="n">
        <v>0</v>
      </c>
      <c r="K8565" s="21" t="n">
        <v>0</v>
      </c>
      <c r="L8565" s="21" t="n">
        <v>0</v>
      </c>
      <c r="M8565" s="21" t="n">
        <v>0</v>
      </c>
      <c r="N8565" s="21" t="n">
        <v>0</v>
      </c>
      <c r="O8565" s="21" t="n">
        <v>0</v>
      </c>
      <c r="P8565" s="21" t="n">
        <v>0</v>
      </c>
      <c r="Q8565" s="21" t="n">
        <v>0</v>
      </c>
      <c r="R8565" s="21" t="n">
        <v>0</v>
      </c>
      <c r="S8565" s="21" t="n">
        <v>0</v>
      </c>
      <c r="T8565" s="21" t="n">
        <v>0</v>
      </c>
      <c r="U8565" s="21" t="n">
        <v>0</v>
      </c>
      <c r="V8565" s="21" t="n">
        <v>0</v>
      </c>
      <c r="W8565" s="21" t="n">
        <v>0</v>
      </c>
      <c r="X8565" s="21" t="n">
        <v>0</v>
      </c>
      <c r="Y8565" s="21" t="n">
        <v>0</v>
      </c>
      <c r="Z8565" s="19">
        <f t="array" ref="Z8565:Z8586">MMULT(MINVERSE($D$8565:$Y$8586),$D$7077:$D$7098)</f>
        <v/>
      </c>
    </row>
    <row r="8566">
      <c r="D8566" s="21">
        <f>$B$7051</f>
        <v/>
      </c>
      <c r="E8566" s="21">
        <f>$B$7052</f>
        <v/>
      </c>
      <c r="F8566" s="21">
        <f>-$B$7051</f>
        <v/>
      </c>
      <c r="G8566" s="21">
        <f>$B$7053</f>
        <v/>
      </c>
      <c r="H8566" s="21" t="n">
        <v>0</v>
      </c>
      <c r="I8566" s="21" t="n">
        <v>0</v>
      </c>
      <c r="J8566" s="21" t="n">
        <v>0</v>
      </c>
      <c r="K8566" s="21" t="n">
        <v>0</v>
      </c>
      <c r="L8566" s="21" t="n">
        <v>0</v>
      </c>
      <c r="M8566" s="21" t="n">
        <v>0</v>
      </c>
      <c r="N8566" s="21" t="n">
        <v>0</v>
      </c>
      <c r="O8566" s="21" t="n">
        <v>0</v>
      </c>
      <c r="P8566" s="21" t="n">
        <v>0</v>
      </c>
      <c r="Q8566" s="21" t="n">
        <v>0</v>
      </c>
      <c r="R8566" s="21" t="n">
        <v>0</v>
      </c>
      <c r="S8566" s="21" t="n">
        <v>0</v>
      </c>
      <c r="T8566" s="21" t="n">
        <v>0</v>
      </c>
      <c r="U8566" s="21" t="n">
        <v>0</v>
      </c>
      <c r="V8566" s="21" t="n">
        <v>0</v>
      </c>
      <c r="W8566" s="21" t="n">
        <v>0</v>
      </c>
      <c r="X8566" s="21" t="n">
        <v>0</v>
      </c>
      <c r="Y8566" s="21" t="n">
        <v>0</v>
      </c>
      <c r="Z8566" s="19" t="n"/>
    </row>
    <row r="8567">
      <c r="D8567" s="21">
        <f>-$B$7050</f>
        <v/>
      </c>
      <c r="E8567" s="21">
        <f>-$B$7051</f>
        <v/>
      </c>
      <c r="F8567" s="21">
        <f>2*$B$7050+$D$8554</f>
        <v/>
      </c>
      <c r="G8567" s="21">
        <f>0</f>
        <v/>
      </c>
      <c r="H8567" s="21">
        <f>-$B$7050</f>
        <v/>
      </c>
      <c r="I8567" s="21">
        <f>$B$7051</f>
        <v/>
      </c>
      <c r="J8567" s="21" t="n">
        <v>0</v>
      </c>
      <c r="K8567" s="21" t="n">
        <v>0</v>
      </c>
      <c r="L8567" s="21" t="n">
        <v>0</v>
      </c>
      <c r="M8567" s="21" t="n">
        <v>0</v>
      </c>
      <c r="N8567" s="21" t="n">
        <v>0</v>
      </c>
      <c r="O8567" s="21" t="n">
        <v>0</v>
      </c>
      <c r="P8567" s="21" t="n">
        <v>0</v>
      </c>
      <c r="Q8567" s="21" t="n">
        <v>0</v>
      </c>
      <c r="R8567" s="21" t="n">
        <v>0</v>
      </c>
      <c r="S8567" s="21" t="n">
        <v>0</v>
      </c>
      <c r="T8567" s="21" t="n">
        <v>0</v>
      </c>
      <c r="U8567" s="21" t="n">
        <v>0</v>
      </c>
      <c r="V8567" s="21" t="n">
        <v>0</v>
      </c>
      <c r="W8567" s="21" t="n">
        <v>0</v>
      </c>
      <c r="X8567" s="21" t="n">
        <v>0</v>
      </c>
      <c r="Y8567" s="21" t="n">
        <v>0</v>
      </c>
      <c r="Z8567" s="19" t="n"/>
    </row>
    <row r="8568">
      <c r="D8568" s="21">
        <f>$B$7051</f>
        <v/>
      </c>
      <c r="E8568" s="21">
        <f>$B$7053</f>
        <v/>
      </c>
      <c r="F8568" s="21">
        <f>0</f>
        <v/>
      </c>
      <c r="G8568" s="21">
        <f>2*$B$7052</f>
        <v/>
      </c>
      <c r="H8568" s="21">
        <f>-$B$7051</f>
        <v/>
      </c>
      <c r="I8568" s="21">
        <f>$B$7053</f>
        <v/>
      </c>
      <c r="J8568" s="21" t="n">
        <v>0</v>
      </c>
      <c r="K8568" s="21" t="n">
        <v>0</v>
      </c>
      <c r="L8568" s="21" t="n">
        <v>0</v>
      </c>
      <c r="M8568" s="21" t="n">
        <v>0</v>
      </c>
      <c r="N8568" s="21" t="n">
        <v>0</v>
      </c>
      <c r="O8568" s="21" t="n">
        <v>0</v>
      </c>
      <c r="P8568" s="21" t="n">
        <v>0</v>
      </c>
      <c r="Q8568" s="21" t="n">
        <v>0</v>
      </c>
      <c r="R8568" s="21" t="n">
        <v>0</v>
      </c>
      <c r="S8568" s="21" t="n">
        <v>0</v>
      </c>
      <c r="T8568" s="21" t="n">
        <v>0</v>
      </c>
      <c r="U8568" s="21" t="n">
        <v>0</v>
      </c>
      <c r="V8568" s="21" t="n">
        <v>0</v>
      </c>
      <c r="W8568" s="21" t="n">
        <v>0</v>
      </c>
      <c r="X8568" s="21" t="n">
        <v>0</v>
      </c>
      <c r="Y8568" s="21" t="n">
        <v>0</v>
      </c>
      <c r="Z8568" s="19" t="n"/>
    </row>
    <row r="8569">
      <c r="D8569" s="21" t="n">
        <v>0</v>
      </c>
      <c r="E8569" s="21" t="n">
        <v>0</v>
      </c>
      <c r="F8569" s="21">
        <f>-$B$7050</f>
        <v/>
      </c>
      <c r="G8569" s="21">
        <f>-$B$7051</f>
        <v/>
      </c>
      <c r="H8569" s="21">
        <f>2*$B$7050+$D$8555</f>
        <v/>
      </c>
      <c r="I8569" s="21">
        <f>0</f>
        <v/>
      </c>
      <c r="J8569" s="21">
        <f>-$B$7050</f>
        <v/>
      </c>
      <c r="K8569" s="21">
        <f>$B$7051</f>
        <v/>
      </c>
      <c r="L8569" s="21" t="n">
        <v>0</v>
      </c>
      <c r="M8569" s="21" t="n">
        <v>0</v>
      </c>
      <c r="N8569" s="21" t="n">
        <v>0</v>
      </c>
      <c r="O8569" s="21" t="n">
        <v>0</v>
      </c>
      <c r="P8569" s="21" t="n">
        <v>0</v>
      </c>
      <c r="Q8569" s="21" t="n">
        <v>0</v>
      </c>
      <c r="R8569" s="21" t="n">
        <v>0</v>
      </c>
      <c r="S8569" s="21" t="n">
        <v>0</v>
      </c>
      <c r="T8569" s="21" t="n">
        <v>0</v>
      </c>
      <c r="U8569" s="21" t="n">
        <v>0</v>
      </c>
      <c r="V8569" s="21" t="n">
        <v>0</v>
      </c>
      <c r="W8569" s="21" t="n">
        <v>0</v>
      </c>
      <c r="X8569" s="21" t="n">
        <v>0</v>
      </c>
      <c r="Y8569" s="21" t="n">
        <v>0</v>
      </c>
      <c r="Z8569" s="19" t="n"/>
    </row>
    <row r="8570">
      <c r="D8570" s="21" t="n">
        <v>0</v>
      </c>
      <c r="E8570" s="21" t="n">
        <v>0</v>
      </c>
      <c r="F8570" s="21">
        <f>$B$7051</f>
        <v/>
      </c>
      <c r="G8570" s="21">
        <f>$B$7053</f>
        <v/>
      </c>
      <c r="H8570" s="21">
        <f>0</f>
        <v/>
      </c>
      <c r="I8570" s="21">
        <f>2*$B$7052</f>
        <v/>
      </c>
      <c r="J8570" s="21">
        <f>-$B$7051</f>
        <v/>
      </c>
      <c r="K8570" s="21">
        <f>$B$7053</f>
        <v/>
      </c>
      <c r="L8570" s="21" t="n">
        <v>0</v>
      </c>
      <c r="M8570" s="21" t="n">
        <v>0</v>
      </c>
      <c r="N8570" s="21" t="n">
        <v>0</v>
      </c>
      <c r="O8570" s="21" t="n">
        <v>0</v>
      </c>
      <c r="P8570" s="21" t="n">
        <v>0</v>
      </c>
      <c r="Q8570" s="21" t="n">
        <v>0</v>
      </c>
      <c r="R8570" s="21" t="n">
        <v>0</v>
      </c>
      <c r="S8570" s="21" t="n">
        <v>0</v>
      </c>
      <c r="T8570" s="21" t="n">
        <v>0</v>
      </c>
      <c r="U8570" s="21" t="n">
        <v>0</v>
      </c>
      <c r="V8570" s="21" t="n">
        <v>0</v>
      </c>
      <c r="W8570" s="21" t="n">
        <v>0</v>
      </c>
      <c r="X8570" s="21" t="n">
        <v>0</v>
      </c>
      <c r="Y8570" s="21" t="n">
        <v>0</v>
      </c>
      <c r="Z8570" s="19" t="n"/>
    </row>
    <row r="8571">
      <c r="D8571" s="21" t="n">
        <v>0</v>
      </c>
      <c r="E8571" s="21" t="n">
        <v>0</v>
      </c>
      <c r="F8571" s="21" t="n">
        <v>0</v>
      </c>
      <c r="G8571" s="21" t="n">
        <v>0</v>
      </c>
      <c r="H8571" s="21">
        <f>-$B$7050</f>
        <v/>
      </c>
      <c r="I8571" s="21">
        <f>-$B$7051</f>
        <v/>
      </c>
      <c r="J8571" s="21">
        <f>2*$B$7050+$D$8556</f>
        <v/>
      </c>
      <c r="K8571" s="21">
        <f>0</f>
        <v/>
      </c>
      <c r="L8571" s="21">
        <f>-$B$7050</f>
        <v/>
      </c>
      <c r="M8571" s="21">
        <f>$B$7051</f>
        <v/>
      </c>
      <c r="N8571" s="21" t="n">
        <v>0</v>
      </c>
      <c r="O8571" s="21" t="n">
        <v>0</v>
      </c>
      <c r="P8571" s="21" t="n">
        <v>0</v>
      </c>
      <c r="Q8571" s="21" t="n">
        <v>0</v>
      </c>
      <c r="R8571" s="21" t="n">
        <v>0</v>
      </c>
      <c r="S8571" s="21" t="n">
        <v>0</v>
      </c>
      <c r="T8571" s="21" t="n">
        <v>0</v>
      </c>
      <c r="U8571" s="21" t="n">
        <v>0</v>
      </c>
      <c r="V8571" s="21" t="n">
        <v>0</v>
      </c>
      <c r="W8571" s="21" t="n">
        <v>0</v>
      </c>
      <c r="X8571" s="21" t="n">
        <v>0</v>
      </c>
      <c r="Y8571" s="21" t="n">
        <v>0</v>
      </c>
      <c r="Z8571" s="19" t="n"/>
    </row>
    <row r="8572">
      <c r="D8572" s="21" t="n">
        <v>0</v>
      </c>
      <c r="E8572" s="21" t="n">
        <v>0</v>
      </c>
      <c r="F8572" s="21" t="n">
        <v>0</v>
      </c>
      <c r="G8572" s="21" t="n">
        <v>0</v>
      </c>
      <c r="H8572" s="21">
        <f>$B$7051</f>
        <v/>
      </c>
      <c r="I8572" s="21">
        <f>$B$7053</f>
        <v/>
      </c>
      <c r="J8572" s="21">
        <f>0</f>
        <v/>
      </c>
      <c r="K8572" s="21">
        <f>2*$B$7052</f>
        <v/>
      </c>
      <c r="L8572" s="21">
        <f>-$B$7051</f>
        <v/>
      </c>
      <c r="M8572" s="21">
        <f>$B$7053</f>
        <v/>
      </c>
      <c r="N8572" s="21" t="n">
        <v>0</v>
      </c>
      <c r="O8572" s="21" t="n">
        <v>0</v>
      </c>
      <c r="P8572" s="21" t="n">
        <v>0</v>
      </c>
      <c r="Q8572" s="21" t="n">
        <v>0</v>
      </c>
      <c r="R8572" s="21" t="n">
        <v>0</v>
      </c>
      <c r="S8572" s="21" t="n">
        <v>0</v>
      </c>
      <c r="T8572" s="21" t="n">
        <v>0</v>
      </c>
      <c r="U8572" s="21" t="n">
        <v>0</v>
      </c>
      <c r="V8572" s="21" t="n">
        <v>0</v>
      </c>
      <c r="W8572" s="21" t="n">
        <v>0</v>
      </c>
      <c r="X8572" s="21" t="n">
        <v>0</v>
      </c>
      <c r="Y8572" s="21" t="n">
        <v>0</v>
      </c>
      <c r="Z8572" s="19" t="n"/>
    </row>
    <row r="8573">
      <c r="D8573" s="21" t="n">
        <v>0</v>
      </c>
      <c r="E8573" s="21" t="n">
        <v>0</v>
      </c>
      <c r="F8573" s="21" t="n">
        <v>0</v>
      </c>
      <c r="G8573" s="21" t="n">
        <v>0</v>
      </c>
      <c r="H8573" s="21" t="n">
        <v>0</v>
      </c>
      <c r="I8573" s="21" t="n">
        <v>0</v>
      </c>
      <c r="J8573" s="21">
        <f>-$B$7050</f>
        <v/>
      </c>
      <c r="K8573" s="21">
        <f>-$B$7051</f>
        <v/>
      </c>
      <c r="L8573" s="21">
        <f>2*$B$7050+$D$8557</f>
        <v/>
      </c>
      <c r="M8573" s="21">
        <f>0</f>
        <v/>
      </c>
      <c r="N8573" s="21">
        <f>-$B$7050</f>
        <v/>
      </c>
      <c r="O8573" s="21">
        <f>$B$7051</f>
        <v/>
      </c>
      <c r="P8573" s="21" t="n">
        <v>0</v>
      </c>
      <c r="Q8573" s="21" t="n">
        <v>0</v>
      </c>
      <c r="R8573" s="21" t="n">
        <v>0</v>
      </c>
      <c r="S8573" s="21" t="n">
        <v>0</v>
      </c>
      <c r="T8573" s="21" t="n">
        <v>0</v>
      </c>
      <c r="U8573" s="21" t="n">
        <v>0</v>
      </c>
      <c r="V8573" s="21" t="n">
        <v>0</v>
      </c>
      <c r="W8573" s="21" t="n">
        <v>0</v>
      </c>
      <c r="X8573" s="21" t="n">
        <v>0</v>
      </c>
      <c r="Y8573" s="21" t="n">
        <v>0</v>
      </c>
      <c r="Z8573" s="19" t="n"/>
    </row>
    <row r="8574">
      <c r="D8574" s="21" t="n">
        <v>0</v>
      </c>
      <c r="E8574" s="21" t="n">
        <v>0</v>
      </c>
      <c r="F8574" s="21" t="n">
        <v>0</v>
      </c>
      <c r="G8574" s="21" t="n">
        <v>0</v>
      </c>
      <c r="H8574" s="21" t="n">
        <v>0</v>
      </c>
      <c r="I8574" s="21" t="n">
        <v>0</v>
      </c>
      <c r="J8574" s="21">
        <f>$B$7051</f>
        <v/>
      </c>
      <c r="K8574" s="21">
        <f>$B$7053</f>
        <v/>
      </c>
      <c r="L8574" s="21">
        <f>0</f>
        <v/>
      </c>
      <c r="M8574" s="21">
        <f>2*$B$7052</f>
        <v/>
      </c>
      <c r="N8574" s="21">
        <f>-$B$7051</f>
        <v/>
      </c>
      <c r="O8574" s="21">
        <f>$B$7053</f>
        <v/>
      </c>
      <c r="P8574" s="21" t="n">
        <v>0</v>
      </c>
      <c r="Q8574" s="21" t="n">
        <v>0</v>
      </c>
      <c r="R8574" s="21" t="n">
        <v>0</v>
      </c>
      <c r="S8574" s="21" t="n">
        <v>0</v>
      </c>
      <c r="T8574" s="21" t="n">
        <v>0</v>
      </c>
      <c r="U8574" s="21" t="n">
        <v>0</v>
      </c>
      <c r="V8574" s="21" t="n">
        <v>0</v>
      </c>
      <c r="W8574" s="21" t="n">
        <v>0</v>
      </c>
      <c r="X8574" s="21" t="n">
        <v>0</v>
      </c>
      <c r="Y8574" s="21" t="n">
        <v>0</v>
      </c>
      <c r="Z8574" s="19" t="n"/>
    </row>
    <row r="8575">
      <c r="D8575" s="21" t="n">
        <v>0</v>
      </c>
      <c r="E8575" s="21" t="n">
        <v>0</v>
      </c>
      <c r="F8575" s="21" t="n">
        <v>0</v>
      </c>
      <c r="G8575" s="21" t="n">
        <v>0</v>
      </c>
      <c r="H8575" s="21" t="n">
        <v>0</v>
      </c>
      <c r="I8575" s="21" t="n">
        <v>0</v>
      </c>
      <c r="J8575" s="21" t="n">
        <v>0</v>
      </c>
      <c r="K8575" s="21" t="n">
        <v>0</v>
      </c>
      <c r="L8575" s="21">
        <f>-$B$7050</f>
        <v/>
      </c>
      <c r="M8575" s="21">
        <f>-$B$7051</f>
        <v/>
      </c>
      <c r="N8575" s="21">
        <f>2*$B$7050+$D$8558</f>
        <v/>
      </c>
      <c r="O8575" s="21">
        <f>0</f>
        <v/>
      </c>
      <c r="P8575" s="21">
        <f>-$B$7050</f>
        <v/>
      </c>
      <c r="Q8575" s="21">
        <f>$B$7051</f>
        <v/>
      </c>
      <c r="R8575" s="21" t="n">
        <v>0</v>
      </c>
      <c r="S8575" s="21" t="n">
        <v>0</v>
      </c>
      <c r="T8575" s="21" t="n">
        <v>0</v>
      </c>
      <c r="U8575" s="21" t="n">
        <v>0</v>
      </c>
      <c r="V8575" s="21" t="n">
        <v>0</v>
      </c>
      <c r="W8575" s="21" t="n">
        <v>0</v>
      </c>
      <c r="X8575" s="21" t="n">
        <v>0</v>
      </c>
      <c r="Y8575" s="21" t="n">
        <v>0</v>
      </c>
      <c r="Z8575" s="19" t="n"/>
    </row>
    <row r="8576">
      <c r="D8576" s="21" t="n">
        <v>0</v>
      </c>
      <c r="E8576" s="21" t="n">
        <v>0</v>
      </c>
      <c r="F8576" s="21" t="n">
        <v>0</v>
      </c>
      <c r="G8576" s="21" t="n">
        <v>0</v>
      </c>
      <c r="H8576" s="21" t="n">
        <v>0</v>
      </c>
      <c r="I8576" s="21" t="n">
        <v>0</v>
      </c>
      <c r="J8576" s="21" t="n">
        <v>0</v>
      </c>
      <c r="K8576" s="21" t="n">
        <v>0</v>
      </c>
      <c r="L8576" s="21">
        <f>$B$7051</f>
        <v/>
      </c>
      <c r="M8576" s="21">
        <f>$B$7053</f>
        <v/>
      </c>
      <c r="N8576" s="21">
        <f>0</f>
        <v/>
      </c>
      <c r="O8576" s="21">
        <f>2*$B$7052</f>
        <v/>
      </c>
      <c r="P8576" s="21">
        <f>-$B$7051</f>
        <v/>
      </c>
      <c r="Q8576" s="21">
        <f>$B$7053</f>
        <v/>
      </c>
      <c r="R8576" s="21" t="n">
        <v>0</v>
      </c>
      <c r="S8576" s="21" t="n">
        <v>0</v>
      </c>
      <c r="T8576" s="21" t="n">
        <v>0</v>
      </c>
      <c r="U8576" s="21" t="n">
        <v>0</v>
      </c>
      <c r="V8576" s="21" t="n">
        <v>0</v>
      </c>
      <c r="W8576" s="21" t="n">
        <v>0</v>
      </c>
      <c r="X8576" s="21" t="n">
        <v>0</v>
      </c>
      <c r="Y8576" s="21" t="n">
        <v>0</v>
      </c>
      <c r="Z8576" s="19" t="n"/>
    </row>
    <row r="8577">
      <c r="D8577" s="21" t="n">
        <v>0</v>
      </c>
      <c r="E8577" s="21" t="n">
        <v>0</v>
      </c>
      <c r="F8577" s="21" t="n">
        <v>0</v>
      </c>
      <c r="G8577" s="21" t="n">
        <v>0</v>
      </c>
      <c r="H8577" s="21" t="n">
        <v>0</v>
      </c>
      <c r="I8577" s="21" t="n">
        <v>0</v>
      </c>
      <c r="J8577" s="21" t="n">
        <v>0</v>
      </c>
      <c r="K8577" s="21" t="n">
        <v>0</v>
      </c>
      <c r="L8577" s="21" t="n">
        <v>0</v>
      </c>
      <c r="M8577" s="21" t="n">
        <v>0</v>
      </c>
      <c r="N8577" s="21">
        <f>-$B$7050</f>
        <v/>
      </c>
      <c r="O8577" s="21">
        <f>-$B$7051</f>
        <v/>
      </c>
      <c r="P8577" s="21">
        <f>2*$B$7050+$D$8559</f>
        <v/>
      </c>
      <c r="Q8577" s="21">
        <f>0</f>
        <v/>
      </c>
      <c r="R8577" s="21">
        <f>-$B$7050</f>
        <v/>
      </c>
      <c r="S8577" s="21">
        <f>$B$7051</f>
        <v/>
      </c>
      <c r="T8577" s="21" t="n">
        <v>0</v>
      </c>
      <c r="U8577" s="21" t="n">
        <v>0</v>
      </c>
      <c r="V8577" s="21" t="n">
        <v>0</v>
      </c>
      <c r="W8577" s="21" t="n">
        <v>0</v>
      </c>
      <c r="X8577" s="21" t="n">
        <v>0</v>
      </c>
      <c r="Y8577" s="21" t="n">
        <v>0</v>
      </c>
      <c r="Z8577" s="19" t="n"/>
    </row>
    <row r="8578">
      <c r="D8578" s="21" t="n">
        <v>0</v>
      </c>
      <c r="E8578" s="21" t="n">
        <v>0</v>
      </c>
      <c r="F8578" s="21" t="n">
        <v>0</v>
      </c>
      <c r="G8578" s="21" t="n">
        <v>0</v>
      </c>
      <c r="H8578" s="21" t="n">
        <v>0</v>
      </c>
      <c r="I8578" s="21" t="n">
        <v>0</v>
      </c>
      <c r="J8578" s="21" t="n">
        <v>0</v>
      </c>
      <c r="K8578" s="21" t="n">
        <v>0</v>
      </c>
      <c r="L8578" s="21" t="n">
        <v>0</v>
      </c>
      <c r="M8578" s="21" t="n">
        <v>0</v>
      </c>
      <c r="N8578" s="21">
        <f>$B$7051</f>
        <v/>
      </c>
      <c r="O8578" s="21">
        <f>$B$7053</f>
        <v/>
      </c>
      <c r="P8578" s="21">
        <f>0</f>
        <v/>
      </c>
      <c r="Q8578" s="21">
        <f>2*$B$7052</f>
        <v/>
      </c>
      <c r="R8578" s="21">
        <f>-$B$7051</f>
        <v/>
      </c>
      <c r="S8578" s="21">
        <f>$B$7053</f>
        <v/>
      </c>
      <c r="T8578" s="21" t="n">
        <v>0</v>
      </c>
      <c r="U8578" s="21" t="n">
        <v>0</v>
      </c>
      <c r="V8578" s="21" t="n">
        <v>0</v>
      </c>
      <c r="W8578" s="21" t="n">
        <v>0</v>
      </c>
      <c r="X8578" s="21" t="n">
        <v>0</v>
      </c>
      <c r="Y8578" s="21" t="n">
        <v>0</v>
      </c>
      <c r="Z8578" s="19" t="n"/>
    </row>
    <row r="8579">
      <c r="D8579" s="21" t="n">
        <v>0</v>
      </c>
      <c r="E8579" s="21" t="n">
        <v>0</v>
      </c>
      <c r="F8579" s="21" t="n">
        <v>0</v>
      </c>
      <c r="G8579" s="21" t="n">
        <v>0</v>
      </c>
      <c r="H8579" s="21" t="n">
        <v>0</v>
      </c>
      <c r="I8579" s="21" t="n">
        <v>0</v>
      </c>
      <c r="J8579" s="21" t="n">
        <v>0</v>
      </c>
      <c r="K8579" s="21" t="n">
        <v>0</v>
      </c>
      <c r="L8579" s="21" t="n">
        <v>0</v>
      </c>
      <c r="M8579" s="21" t="n">
        <v>0</v>
      </c>
      <c r="N8579" s="21" t="n">
        <v>0</v>
      </c>
      <c r="O8579" s="21" t="n">
        <v>0</v>
      </c>
      <c r="P8579" s="21">
        <f>-$B$7050</f>
        <v/>
      </c>
      <c r="Q8579" s="21">
        <f>-$B$7051</f>
        <v/>
      </c>
      <c r="R8579" s="21">
        <f>2*$B$7050+$D$8560</f>
        <v/>
      </c>
      <c r="S8579" s="21">
        <f>0</f>
        <v/>
      </c>
      <c r="T8579" s="21">
        <f>-$B$7050</f>
        <v/>
      </c>
      <c r="U8579" s="21">
        <f>$B$7051</f>
        <v/>
      </c>
      <c r="V8579" s="21" t="n">
        <v>0</v>
      </c>
      <c r="W8579" s="21" t="n">
        <v>0</v>
      </c>
      <c r="X8579" s="21" t="n">
        <v>0</v>
      </c>
      <c r="Y8579" s="21" t="n">
        <v>0</v>
      </c>
      <c r="Z8579" s="19" t="n"/>
    </row>
    <row r="8580">
      <c r="D8580" s="21" t="n">
        <v>0</v>
      </c>
      <c r="E8580" s="21" t="n">
        <v>0</v>
      </c>
      <c r="F8580" s="21" t="n">
        <v>0</v>
      </c>
      <c r="G8580" s="21" t="n">
        <v>0</v>
      </c>
      <c r="H8580" s="21" t="n">
        <v>0</v>
      </c>
      <c r="I8580" s="21" t="n">
        <v>0</v>
      </c>
      <c r="J8580" s="21" t="n">
        <v>0</v>
      </c>
      <c r="K8580" s="21" t="n">
        <v>0</v>
      </c>
      <c r="L8580" s="21" t="n">
        <v>0</v>
      </c>
      <c r="M8580" s="21" t="n">
        <v>0</v>
      </c>
      <c r="N8580" s="21" t="n">
        <v>0</v>
      </c>
      <c r="O8580" s="21" t="n">
        <v>0</v>
      </c>
      <c r="P8580" s="21">
        <f>$B$7051</f>
        <v/>
      </c>
      <c r="Q8580" s="21">
        <f>$B$7053</f>
        <v/>
      </c>
      <c r="R8580" s="21">
        <f>0</f>
        <v/>
      </c>
      <c r="S8580" s="21">
        <f>2*$B$7052</f>
        <v/>
      </c>
      <c r="T8580" s="21">
        <f>-$B$7051</f>
        <v/>
      </c>
      <c r="U8580" s="21">
        <f>$B$7053</f>
        <v/>
      </c>
      <c r="V8580" s="21" t="n">
        <v>0</v>
      </c>
      <c r="W8580" s="21" t="n">
        <v>0</v>
      </c>
      <c r="X8580" s="21" t="n">
        <v>0</v>
      </c>
      <c r="Y8580" s="21" t="n">
        <v>0</v>
      </c>
      <c r="Z8580" s="19" t="n"/>
    </row>
    <row r="8581">
      <c r="D8581" s="21" t="n">
        <v>0</v>
      </c>
      <c r="E8581" s="21" t="n">
        <v>0</v>
      </c>
      <c r="F8581" s="21" t="n">
        <v>0</v>
      </c>
      <c r="G8581" s="21" t="n">
        <v>0</v>
      </c>
      <c r="H8581" s="21" t="n">
        <v>0</v>
      </c>
      <c r="I8581" s="21" t="n">
        <v>0</v>
      </c>
      <c r="J8581" s="21" t="n">
        <v>0</v>
      </c>
      <c r="K8581" s="21" t="n">
        <v>0</v>
      </c>
      <c r="L8581" s="21" t="n">
        <v>0</v>
      </c>
      <c r="M8581" s="21" t="n">
        <v>0</v>
      </c>
      <c r="N8581" s="21" t="n">
        <v>0</v>
      </c>
      <c r="O8581" s="21" t="n">
        <v>0</v>
      </c>
      <c r="P8581" s="21" t="n">
        <v>0</v>
      </c>
      <c r="Q8581" s="21" t="n">
        <v>0</v>
      </c>
      <c r="R8581" s="21">
        <f>-$B$7050</f>
        <v/>
      </c>
      <c r="S8581" s="21">
        <f>-$B$7051</f>
        <v/>
      </c>
      <c r="T8581" s="21">
        <f>2*$B$7050+$D$8561</f>
        <v/>
      </c>
      <c r="U8581" s="21">
        <f>0</f>
        <v/>
      </c>
      <c r="V8581" s="21">
        <f>-$B$7050</f>
        <v/>
      </c>
      <c r="W8581" s="21">
        <f>$B$7051</f>
        <v/>
      </c>
      <c r="X8581" s="21" t="n">
        <v>0</v>
      </c>
      <c r="Y8581" s="21" t="n">
        <v>0</v>
      </c>
      <c r="Z8581" s="19" t="n"/>
    </row>
    <row r="8582">
      <c r="D8582" s="21" t="n">
        <v>0</v>
      </c>
      <c r="E8582" s="21" t="n">
        <v>0</v>
      </c>
      <c r="F8582" s="21" t="n">
        <v>0</v>
      </c>
      <c r="G8582" s="21" t="n">
        <v>0</v>
      </c>
      <c r="H8582" s="21" t="n">
        <v>0</v>
      </c>
      <c r="I8582" s="21" t="n">
        <v>0</v>
      </c>
      <c r="J8582" s="21" t="n">
        <v>0</v>
      </c>
      <c r="K8582" s="21" t="n">
        <v>0</v>
      </c>
      <c r="L8582" s="21" t="n">
        <v>0</v>
      </c>
      <c r="M8582" s="21" t="n">
        <v>0</v>
      </c>
      <c r="N8582" s="21" t="n">
        <v>0</v>
      </c>
      <c r="O8582" s="21" t="n">
        <v>0</v>
      </c>
      <c r="P8582" s="21" t="n">
        <v>0</v>
      </c>
      <c r="Q8582" s="21" t="n">
        <v>0</v>
      </c>
      <c r="R8582" s="21">
        <f>$B$7051</f>
        <v/>
      </c>
      <c r="S8582" s="21">
        <f>$B$7053</f>
        <v/>
      </c>
      <c r="T8582" s="21">
        <f>0</f>
        <v/>
      </c>
      <c r="U8582" s="21">
        <f>2*$B$7052</f>
        <v/>
      </c>
      <c r="V8582" s="21">
        <f>-$B$7051</f>
        <v/>
      </c>
      <c r="W8582" s="21">
        <f>$B$7053</f>
        <v/>
      </c>
      <c r="X8582" s="21" t="n">
        <v>0</v>
      </c>
      <c r="Y8582" s="21" t="n">
        <v>0</v>
      </c>
      <c r="Z8582" s="19" t="n"/>
    </row>
    <row r="8583">
      <c r="D8583" s="21" t="n">
        <v>0</v>
      </c>
      <c r="E8583" s="21" t="n">
        <v>0</v>
      </c>
      <c r="F8583" s="21" t="n">
        <v>0</v>
      </c>
      <c r="G8583" s="21" t="n">
        <v>0</v>
      </c>
      <c r="H8583" s="21" t="n">
        <v>0</v>
      </c>
      <c r="I8583" s="21" t="n">
        <v>0</v>
      </c>
      <c r="J8583" s="21" t="n">
        <v>0</v>
      </c>
      <c r="K8583" s="21" t="n">
        <v>0</v>
      </c>
      <c r="L8583" s="21" t="n">
        <v>0</v>
      </c>
      <c r="M8583" s="21" t="n">
        <v>0</v>
      </c>
      <c r="N8583" s="21" t="n">
        <v>0</v>
      </c>
      <c r="O8583" s="21" t="n">
        <v>0</v>
      </c>
      <c r="P8583" s="21" t="n">
        <v>0</v>
      </c>
      <c r="Q8583" s="21" t="n">
        <v>0</v>
      </c>
      <c r="R8583" s="21" t="n">
        <v>0</v>
      </c>
      <c r="S8583" s="21" t="n">
        <v>0</v>
      </c>
      <c r="T8583" s="21">
        <f>-$B$7050</f>
        <v/>
      </c>
      <c r="U8583" s="21">
        <f>-$B$7051</f>
        <v/>
      </c>
      <c r="V8583" s="21">
        <f>2*$B$7050+$D$8562</f>
        <v/>
      </c>
      <c r="W8583" s="21">
        <f>0</f>
        <v/>
      </c>
      <c r="X8583" s="21">
        <f>-$B$7050</f>
        <v/>
      </c>
      <c r="Y8583" s="21">
        <f>$B$7051</f>
        <v/>
      </c>
      <c r="Z8583" s="19" t="n"/>
    </row>
    <row r="8584">
      <c r="D8584" s="21" t="n">
        <v>0</v>
      </c>
      <c r="E8584" s="21" t="n">
        <v>0</v>
      </c>
      <c r="F8584" s="21" t="n">
        <v>0</v>
      </c>
      <c r="G8584" s="21" t="n">
        <v>0</v>
      </c>
      <c r="H8584" s="21" t="n">
        <v>0</v>
      </c>
      <c r="I8584" s="21" t="n">
        <v>0</v>
      </c>
      <c r="J8584" s="21" t="n">
        <v>0</v>
      </c>
      <c r="K8584" s="21" t="n">
        <v>0</v>
      </c>
      <c r="L8584" s="21" t="n">
        <v>0</v>
      </c>
      <c r="M8584" s="21" t="n">
        <v>0</v>
      </c>
      <c r="N8584" s="21" t="n">
        <v>0</v>
      </c>
      <c r="O8584" s="21" t="n">
        <v>0</v>
      </c>
      <c r="P8584" s="21" t="n">
        <v>0</v>
      </c>
      <c r="Q8584" s="21" t="n">
        <v>0</v>
      </c>
      <c r="R8584" s="21" t="n">
        <v>0</v>
      </c>
      <c r="S8584" s="21" t="n">
        <v>0</v>
      </c>
      <c r="T8584" s="21">
        <f>$B$7051</f>
        <v/>
      </c>
      <c r="U8584" s="21">
        <f>$B$7053</f>
        <v/>
      </c>
      <c r="V8584" s="21">
        <f>0</f>
        <v/>
      </c>
      <c r="W8584" s="21">
        <f>2*$B$7052</f>
        <v/>
      </c>
      <c r="X8584" s="21">
        <f>-$B$7051</f>
        <v/>
      </c>
      <c r="Y8584" s="21">
        <f>$B$7053</f>
        <v/>
      </c>
      <c r="Z8584" s="19" t="n"/>
    </row>
    <row r="8585">
      <c r="D8585" s="21" t="n">
        <v>0</v>
      </c>
      <c r="E8585" s="21" t="n">
        <v>0</v>
      </c>
      <c r="F8585" s="21" t="n">
        <v>0</v>
      </c>
      <c r="G8585" s="21" t="n">
        <v>0</v>
      </c>
      <c r="H8585" s="21" t="n">
        <v>0</v>
      </c>
      <c r="I8585" s="21" t="n">
        <v>0</v>
      </c>
      <c r="J8585" s="21" t="n">
        <v>0</v>
      </c>
      <c r="K8585" s="21" t="n">
        <v>0</v>
      </c>
      <c r="L8585" s="21" t="n">
        <v>0</v>
      </c>
      <c r="M8585" s="21" t="n">
        <v>0</v>
      </c>
      <c r="N8585" s="21" t="n">
        <v>0</v>
      </c>
      <c r="O8585" s="21" t="n">
        <v>0</v>
      </c>
      <c r="P8585" s="21" t="n">
        <v>0</v>
      </c>
      <c r="Q8585" s="21" t="n">
        <v>0</v>
      </c>
      <c r="R8585" s="21" t="n">
        <v>0</v>
      </c>
      <c r="S8585" s="21" t="n">
        <v>0</v>
      </c>
      <c r="T8585" s="21" t="n">
        <v>0</v>
      </c>
      <c r="U8585" s="21" t="n">
        <v>0</v>
      </c>
      <c r="V8585" s="21">
        <f>-$B$7050</f>
        <v/>
      </c>
      <c r="W8585" s="21">
        <f>-$B$7051</f>
        <v/>
      </c>
      <c r="X8585" s="21">
        <f>$B$7050+$D$8563</f>
        <v/>
      </c>
      <c r="Y8585" s="21">
        <f>-$B$7051</f>
        <v/>
      </c>
      <c r="Z8585" s="19" t="n"/>
    </row>
    <row r="8586">
      <c r="D8586" s="21" t="n">
        <v>0</v>
      </c>
      <c r="E8586" s="21" t="n">
        <v>0</v>
      </c>
      <c r="F8586" s="21" t="n">
        <v>0</v>
      </c>
      <c r="G8586" s="21" t="n">
        <v>0</v>
      </c>
      <c r="H8586" s="21" t="n">
        <v>0</v>
      </c>
      <c r="I8586" s="21" t="n">
        <v>0</v>
      </c>
      <c r="J8586" s="21" t="n">
        <v>0</v>
      </c>
      <c r="K8586" s="21" t="n">
        <v>0</v>
      </c>
      <c r="L8586" s="21" t="n">
        <v>0</v>
      </c>
      <c r="M8586" s="21" t="n">
        <v>0</v>
      </c>
      <c r="N8586" s="21" t="n">
        <v>0</v>
      </c>
      <c r="O8586" s="21" t="n">
        <v>0</v>
      </c>
      <c r="P8586" s="21" t="n">
        <v>0</v>
      </c>
      <c r="Q8586" s="21" t="n">
        <v>0</v>
      </c>
      <c r="R8586" s="21" t="n">
        <v>0</v>
      </c>
      <c r="S8586" s="21" t="n">
        <v>0</v>
      </c>
      <c r="T8586" s="21" t="n">
        <v>0</v>
      </c>
      <c r="U8586" s="21" t="n">
        <v>0</v>
      </c>
      <c r="V8586" s="21">
        <f>$B$7051</f>
        <v/>
      </c>
      <c r="W8586" s="21">
        <f>$B$7053</f>
        <v/>
      </c>
      <c r="X8586" s="21">
        <f>-$B$7051</f>
        <v/>
      </c>
      <c r="Y8586" s="21">
        <f>$B$7052</f>
        <v/>
      </c>
      <c r="Z8586" s="19" t="n"/>
    </row>
    <row r="8588">
      <c r="A8588" s="8" t="inlineStr">
        <is>
          <t>gen 42</t>
        </is>
      </c>
    </row>
    <row r="8589">
      <c r="D8589" s="19">
        <f>IF(ABS(IF(ABS($E$8553)&gt;0.000000001,$E$8553,0.000000001))=0,0,IF($E$7065&lt;=$B$7059,0,IF(ABS(IF(ABS($E$8553)&gt;0.000000001,$E$8553,0.000000001))&gt;=8*$B$7061,$H$7065,0.5*$H$7065*(ABS(IF(ABS($E$8553)&gt;0.000000001,$E$8553,0.000000001))/$B$7061)^(1/3)))/ABS(IF(ABS($E$8553)&gt;0.000000001,$E$8553,0.000000001))*$I$7065)</f>
        <v/>
      </c>
      <c r="E8589" s="19">
        <f>0.5*$E$8553+0.5*$Z$8601</f>
        <v/>
      </c>
      <c r="F8589" s="19">
        <f>$Z$8602</f>
        <v/>
      </c>
    </row>
    <row r="8590">
      <c r="D8590" s="19">
        <f>IF(ABS(IF(ABS($E$8554)&gt;0.000000001,$E$8554,0.000000001))=0,0,IF($E$7066&lt;=$B$7059,0,IF(ABS(IF(ABS($E$8554)&gt;0.000000001,$E$8554,0.000000001))&gt;=8*$B$7061,$H$7066,0.5*$H$7066*(ABS(IF(ABS($E$8554)&gt;0.000000001,$E$8554,0.000000001))/$B$7061)^(1/3)))/ABS(IF(ABS($E$8554)&gt;0.000000001,$E$8554,0.000000001))*$I$7066)</f>
        <v/>
      </c>
      <c r="E8590" s="19">
        <f>0.5*$E$8554+0.5*$Z$8603</f>
        <v/>
      </c>
      <c r="F8590" s="19">
        <f>$Z$8604</f>
        <v/>
      </c>
    </row>
    <row r="8591">
      <c r="D8591" s="19">
        <f>IF(ABS(IF(ABS($E$8555)&gt;0.000000001,$E$8555,0.000000001))=0,0,IF($E$7067&lt;=$B$7059,0,IF(ABS(IF(ABS($E$8555)&gt;0.000000001,$E$8555,0.000000001))&gt;=8*$B$7061,$H$7067,0.5*$H$7067*(ABS(IF(ABS($E$8555)&gt;0.000000001,$E$8555,0.000000001))/$B$7061)^(1/3)))/ABS(IF(ABS($E$8555)&gt;0.000000001,$E$8555,0.000000001))*$I$7067)</f>
        <v/>
      </c>
      <c r="E8591" s="19">
        <f>0.5*$E$8555+0.5*$Z$8605</f>
        <v/>
      </c>
      <c r="F8591" s="19">
        <f>$Z$8606</f>
        <v/>
      </c>
    </row>
    <row r="8592">
      <c r="D8592" s="19">
        <f>IF(ABS(IF(ABS($E$8556)&gt;0.000000001,$E$8556,0.000000001))=0,0,IF($E$7068&lt;=$B$7059,0,IF(ABS(IF(ABS($E$8556)&gt;0.000000001,$E$8556,0.000000001))&gt;=8*$B$7061,$H$7068,0.5*$H$7068*(ABS(IF(ABS($E$8556)&gt;0.000000001,$E$8556,0.000000001))/$B$7061)^(1/3)))/ABS(IF(ABS($E$8556)&gt;0.000000001,$E$8556,0.000000001))*$I$7068)</f>
        <v/>
      </c>
      <c r="E8592" s="19">
        <f>0.5*$E$8556+0.5*$Z$8607</f>
        <v/>
      </c>
      <c r="F8592" s="19">
        <f>$Z$8608</f>
        <v/>
      </c>
    </row>
    <row r="8593">
      <c r="D8593" s="19">
        <f>IF(ABS(IF(ABS($E$8557)&gt;0.000000001,$E$8557,0.000000001))=0,0,IF($E$7069&lt;=$B$7059,0,IF(ABS(IF(ABS($E$8557)&gt;0.000000001,$E$8557,0.000000001))&gt;=8*$B$7061,$H$7069,0.5*$H$7069*(ABS(IF(ABS($E$8557)&gt;0.000000001,$E$8557,0.000000001))/$B$7061)^(1/3)))/ABS(IF(ABS($E$8557)&gt;0.000000001,$E$8557,0.000000001))*$I$7069)</f>
        <v/>
      </c>
      <c r="E8593" s="19">
        <f>0.5*$E$8557+0.5*$Z$8609</f>
        <v/>
      </c>
      <c r="F8593" s="19">
        <f>$Z$8610</f>
        <v/>
      </c>
    </row>
    <row r="8594">
      <c r="D8594" s="19">
        <f>IF(ABS(IF(ABS($E$8558)&gt;0.000000001,$E$8558,0.000000001))=0,0,IF($E$7070&lt;=$B$7059,0,IF(ABS(IF(ABS($E$8558)&gt;0.000000001,$E$8558,0.000000001))&gt;=8*$B$7061,$H$7070,0.5*$H$7070*(ABS(IF(ABS($E$8558)&gt;0.000000001,$E$8558,0.000000001))/$B$7061)^(1/3)))/ABS(IF(ABS($E$8558)&gt;0.000000001,$E$8558,0.000000001))*$I$7070)</f>
        <v/>
      </c>
      <c r="E8594" s="19">
        <f>0.5*$E$8558+0.5*$Z$8611</f>
        <v/>
      </c>
      <c r="F8594" s="19">
        <f>$Z$8612</f>
        <v/>
      </c>
    </row>
    <row r="8595">
      <c r="D8595" s="19">
        <f>IF(ABS(IF(ABS($E$8559)&gt;0.000000001,$E$8559,0.000000001))=0,0,IF($E$7071&lt;=$B$7059,0,IF(ABS(IF(ABS($E$8559)&gt;0.000000001,$E$8559,0.000000001))&gt;=8*$B$7061,$H$7071,0.5*$H$7071*(ABS(IF(ABS($E$8559)&gt;0.000000001,$E$8559,0.000000001))/$B$7061)^(1/3)))/ABS(IF(ABS($E$8559)&gt;0.000000001,$E$8559,0.000000001))*$I$7071)</f>
        <v/>
      </c>
      <c r="E8595" s="19">
        <f>0.5*$E$8559+0.5*$Z$8613</f>
        <v/>
      </c>
      <c r="F8595" s="19">
        <f>$Z$8614</f>
        <v/>
      </c>
    </row>
    <row r="8596">
      <c r="D8596" s="19">
        <f>IF(ABS(IF(ABS($E$8560)&gt;0.000000001,$E$8560,0.000000001))=0,0,IF($E$7072&lt;=$B$7059,0,IF(ABS(IF(ABS($E$8560)&gt;0.000000001,$E$8560,0.000000001))&gt;=8*$B$7061,$H$7072,0.5*$H$7072*(ABS(IF(ABS($E$8560)&gt;0.000000001,$E$8560,0.000000001))/$B$7061)^(1/3)))/ABS(IF(ABS($E$8560)&gt;0.000000001,$E$8560,0.000000001))*$I$7072)</f>
        <v/>
      </c>
      <c r="E8596" s="19">
        <f>0.5*$E$8560+0.5*$Z$8615</f>
        <v/>
      </c>
      <c r="F8596" s="19">
        <f>$Z$8616</f>
        <v/>
      </c>
    </row>
    <row r="8597">
      <c r="D8597" s="19">
        <f>IF(ABS(IF(ABS($E$8561)&gt;0.000000001,$E$8561,0.000000001))=0,0,IF($E$7073&lt;=$B$7059,0,IF(ABS(IF(ABS($E$8561)&gt;0.000000001,$E$8561,0.000000001))&gt;=8*$B$7061,$H$7073,0.5*$H$7073*(ABS(IF(ABS($E$8561)&gt;0.000000001,$E$8561,0.000000001))/$B$7061)^(1/3)))/ABS(IF(ABS($E$8561)&gt;0.000000001,$E$8561,0.000000001))*$I$7073)</f>
        <v/>
      </c>
      <c r="E8597" s="19">
        <f>0.5*$E$8561+0.5*$Z$8617</f>
        <v/>
      </c>
      <c r="F8597" s="19">
        <f>$Z$8618</f>
        <v/>
      </c>
    </row>
    <row r="8598">
      <c r="D8598" s="19">
        <f>IF(ABS(IF(ABS($E$8562)&gt;0.000000001,$E$8562,0.000000001))=0,0,IF($E$7074&lt;=$B$7059,0,IF(ABS(IF(ABS($E$8562)&gt;0.000000001,$E$8562,0.000000001))&gt;=8*$B$7061,$H$7074,0.5*$H$7074*(ABS(IF(ABS($E$8562)&gt;0.000000001,$E$8562,0.000000001))/$B$7061)^(1/3)))/ABS(IF(ABS($E$8562)&gt;0.000000001,$E$8562,0.000000001))*$I$7074)</f>
        <v/>
      </c>
      <c r="E8598" s="19">
        <f>0.5*$E$8562+0.5*$Z$8619</f>
        <v/>
      </c>
      <c r="F8598" s="19">
        <f>$Z$8620</f>
        <v/>
      </c>
    </row>
    <row r="8599">
      <c r="D8599" s="19">
        <f>IF(ABS(IF(ABS($E$8563)&gt;0.000000001,$E$8563,0.000000001))=0,0,IF($E$7075&lt;=$B$7059,0,IF(ABS(IF(ABS($E$8563)&gt;0.000000001,$E$8563,0.000000001))&gt;=8*$B$7061,$H$7075,0.5*$H$7075*(ABS(IF(ABS($E$8563)&gt;0.000000001,$E$8563,0.000000001))/$B$7061)^(1/3)))/ABS(IF(ABS($E$8563)&gt;0.000000001,$E$8563,0.000000001))*$I$7075)</f>
        <v/>
      </c>
      <c r="E8599" s="19">
        <f>0.5*$E$8563+0.5*$Z$8621</f>
        <v/>
      </c>
      <c r="F8599" s="19">
        <f>$Z$8622</f>
        <v/>
      </c>
    </row>
    <row r="8601">
      <c r="D8601" s="21">
        <f>$B$7050+$D$8589</f>
        <v/>
      </c>
      <c r="E8601" s="21">
        <f>$B$7051</f>
        <v/>
      </c>
      <c r="F8601" s="21">
        <f>-$B$7050</f>
        <v/>
      </c>
      <c r="G8601" s="21">
        <f>$B$7051</f>
        <v/>
      </c>
      <c r="H8601" s="21" t="n">
        <v>0</v>
      </c>
      <c r="I8601" s="21" t="n">
        <v>0</v>
      </c>
      <c r="J8601" s="21" t="n">
        <v>0</v>
      </c>
      <c r="K8601" s="21" t="n">
        <v>0</v>
      </c>
      <c r="L8601" s="21" t="n">
        <v>0</v>
      </c>
      <c r="M8601" s="21" t="n">
        <v>0</v>
      </c>
      <c r="N8601" s="21" t="n">
        <v>0</v>
      </c>
      <c r="O8601" s="21" t="n">
        <v>0</v>
      </c>
      <c r="P8601" s="21" t="n">
        <v>0</v>
      </c>
      <c r="Q8601" s="21" t="n">
        <v>0</v>
      </c>
      <c r="R8601" s="21" t="n">
        <v>0</v>
      </c>
      <c r="S8601" s="21" t="n">
        <v>0</v>
      </c>
      <c r="T8601" s="21" t="n">
        <v>0</v>
      </c>
      <c r="U8601" s="21" t="n">
        <v>0</v>
      </c>
      <c r="V8601" s="21" t="n">
        <v>0</v>
      </c>
      <c r="W8601" s="21" t="n">
        <v>0</v>
      </c>
      <c r="X8601" s="21" t="n">
        <v>0</v>
      </c>
      <c r="Y8601" s="21" t="n">
        <v>0</v>
      </c>
      <c r="Z8601" s="19">
        <f t="array" ref="Z8601:Z8622">MMULT(MINVERSE($D$8601:$Y$8622),$D$7077:$D$7098)</f>
        <v/>
      </c>
    </row>
    <row r="8602">
      <c r="D8602" s="21">
        <f>$B$7051</f>
        <v/>
      </c>
      <c r="E8602" s="21">
        <f>$B$7052</f>
        <v/>
      </c>
      <c r="F8602" s="21">
        <f>-$B$7051</f>
        <v/>
      </c>
      <c r="G8602" s="21">
        <f>$B$7053</f>
        <v/>
      </c>
      <c r="H8602" s="21" t="n">
        <v>0</v>
      </c>
      <c r="I8602" s="21" t="n">
        <v>0</v>
      </c>
      <c r="J8602" s="21" t="n">
        <v>0</v>
      </c>
      <c r="K8602" s="21" t="n">
        <v>0</v>
      </c>
      <c r="L8602" s="21" t="n">
        <v>0</v>
      </c>
      <c r="M8602" s="21" t="n">
        <v>0</v>
      </c>
      <c r="N8602" s="21" t="n">
        <v>0</v>
      </c>
      <c r="O8602" s="21" t="n">
        <v>0</v>
      </c>
      <c r="P8602" s="21" t="n">
        <v>0</v>
      </c>
      <c r="Q8602" s="21" t="n">
        <v>0</v>
      </c>
      <c r="R8602" s="21" t="n">
        <v>0</v>
      </c>
      <c r="S8602" s="21" t="n">
        <v>0</v>
      </c>
      <c r="T8602" s="21" t="n">
        <v>0</v>
      </c>
      <c r="U8602" s="21" t="n">
        <v>0</v>
      </c>
      <c r="V8602" s="21" t="n">
        <v>0</v>
      </c>
      <c r="W8602" s="21" t="n">
        <v>0</v>
      </c>
      <c r="X8602" s="21" t="n">
        <v>0</v>
      </c>
      <c r="Y8602" s="21" t="n">
        <v>0</v>
      </c>
      <c r="Z8602" s="19" t="n"/>
    </row>
    <row r="8603">
      <c r="D8603" s="21">
        <f>-$B$7050</f>
        <v/>
      </c>
      <c r="E8603" s="21">
        <f>-$B$7051</f>
        <v/>
      </c>
      <c r="F8603" s="21">
        <f>2*$B$7050+$D$8590</f>
        <v/>
      </c>
      <c r="G8603" s="21">
        <f>0</f>
        <v/>
      </c>
      <c r="H8603" s="21">
        <f>-$B$7050</f>
        <v/>
      </c>
      <c r="I8603" s="21">
        <f>$B$7051</f>
        <v/>
      </c>
      <c r="J8603" s="21" t="n">
        <v>0</v>
      </c>
      <c r="K8603" s="21" t="n">
        <v>0</v>
      </c>
      <c r="L8603" s="21" t="n">
        <v>0</v>
      </c>
      <c r="M8603" s="21" t="n">
        <v>0</v>
      </c>
      <c r="N8603" s="21" t="n">
        <v>0</v>
      </c>
      <c r="O8603" s="21" t="n">
        <v>0</v>
      </c>
      <c r="P8603" s="21" t="n">
        <v>0</v>
      </c>
      <c r="Q8603" s="21" t="n">
        <v>0</v>
      </c>
      <c r="R8603" s="21" t="n">
        <v>0</v>
      </c>
      <c r="S8603" s="21" t="n">
        <v>0</v>
      </c>
      <c r="T8603" s="21" t="n">
        <v>0</v>
      </c>
      <c r="U8603" s="21" t="n">
        <v>0</v>
      </c>
      <c r="V8603" s="21" t="n">
        <v>0</v>
      </c>
      <c r="W8603" s="21" t="n">
        <v>0</v>
      </c>
      <c r="X8603" s="21" t="n">
        <v>0</v>
      </c>
      <c r="Y8603" s="21" t="n">
        <v>0</v>
      </c>
      <c r="Z8603" s="19" t="n"/>
    </row>
    <row r="8604">
      <c r="D8604" s="21">
        <f>$B$7051</f>
        <v/>
      </c>
      <c r="E8604" s="21">
        <f>$B$7053</f>
        <v/>
      </c>
      <c r="F8604" s="21">
        <f>0</f>
        <v/>
      </c>
      <c r="G8604" s="21">
        <f>2*$B$7052</f>
        <v/>
      </c>
      <c r="H8604" s="21">
        <f>-$B$7051</f>
        <v/>
      </c>
      <c r="I8604" s="21">
        <f>$B$7053</f>
        <v/>
      </c>
      <c r="J8604" s="21" t="n">
        <v>0</v>
      </c>
      <c r="K8604" s="21" t="n">
        <v>0</v>
      </c>
      <c r="L8604" s="21" t="n">
        <v>0</v>
      </c>
      <c r="M8604" s="21" t="n">
        <v>0</v>
      </c>
      <c r="N8604" s="21" t="n">
        <v>0</v>
      </c>
      <c r="O8604" s="21" t="n">
        <v>0</v>
      </c>
      <c r="P8604" s="21" t="n">
        <v>0</v>
      </c>
      <c r="Q8604" s="21" t="n">
        <v>0</v>
      </c>
      <c r="R8604" s="21" t="n">
        <v>0</v>
      </c>
      <c r="S8604" s="21" t="n">
        <v>0</v>
      </c>
      <c r="T8604" s="21" t="n">
        <v>0</v>
      </c>
      <c r="U8604" s="21" t="n">
        <v>0</v>
      </c>
      <c r="V8604" s="21" t="n">
        <v>0</v>
      </c>
      <c r="W8604" s="21" t="n">
        <v>0</v>
      </c>
      <c r="X8604" s="21" t="n">
        <v>0</v>
      </c>
      <c r="Y8604" s="21" t="n">
        <v>0</v>
      </c>
      <c r="Z8604" s="19" t="n"/>
    </row>
    <row r="8605">
      <c r="D8605" s="21" t="n">
        <v>0</v>
      </c>
      <c r="E8605" s="21" t="n">
        <v>0</v>
      </c>
      <c r="F8605" s="21">
        <f>-$B$7050</f>
        <v/>
      </c>
      <c r="G8605" s="21">
        <f>-$B$7051</f>
        <v/>
      </c>
      <c r="H8605" s="21">
        <f>2*$B$7050+$D$8591</f>
        <v/>
      </c>
      <c r="I8605" s="21">
        <f>0</f>
        <v/>
      </c>
      <c r="J8605" s="21">
        <f>-$B$7050</f>
        <v/>
      </c>
      <c r="K8605" s="21">
        <f>$B$7051</f>
        <v/>
      </c>
      <c r="L8605" s="21" t="n">
        <v>0</v>
      </c>
      <c r="M8605" s="21" t="n">
        <v>0</v>
      </c>
      <c r="N8605" s="21" t="n">
        <v>0</v>
      </c>
      <c r="O8605" s="21" t="n">
        <v>0</v>
      </c>
      <c r="P8605" s="21" t="n">
        <v>0</v>
      </c>
      <c r="Q8605" s="21" t="n">
        <v>0</v>
      </c>
      <c r="R8605" s="21" t="n">
        <v>0</v>
      </c>
      <c r="S8605" s="21" t="n">
        <v>0</v>
      </c>
      <c r="T8605" s="21" t="n">
        <v>0</v>
      </c>
      <c r="U8605" s="21" t="n">
        <v>0</v>
      </c>
      <c r="V8605" s="21" t="n">
        <v>0</v>
      </c>
      <c r="W8605" s="21" t="n">
        <v>0</v>
      </c>
      <c r="X8605" s="21" t="n">
        <v>0</v>
      </c>
      <c r="Y8605" s="21" t="n">
        <v>0</v>
      </c>
      <c r="Z8605" s="19" t="n"/>
    </row>
    <row r="8606">
      <c r="D8606" s="21" t="n">
        <v>0</v>
      </c>
      <c r="E8606" s="21" t="n">
        <v>0</v>
      </c>
      <c r="F8606" s="21">
        <f>$B$7051</f>
        <v/>
      </c>
      <c r="G8606" s="21">
        <f>$B$7053</f>
        <v/>
      </c>
      <c r="H8606" s="21">
        <f>0</f>
        <v/>
      </c>
      <c r="I8606" s="21">
        <f>2*$B$7052</f>
        <v/>
      </c>
      <c r="J8606" s="21">
        <f>-$B$7051</f>
        <v/>
      </c>
      <c r="K8606" s="21">
        <f>$B$7053</f>
        <v/>
      </c>
      <c r="L8606" s="21" t="n">
        <v>0</v>
      </c>
      <c r="M8606" s="21" t="n">
        <v>0</v>
      </c>
      <c r="N8606" s="21" t="n">
        <v>0</v>
      </c>
      <c r="O8606" s="21" t="n">
        <v>0</v>
      </c>
      <c r="P8606" s="21" t="n">
        <v>0</v>
      </c>
      <c r="Q8606" s="21" t="n">
        <v>0</v>
      </c>
      <c r="R8606" s="21" t="n">
        <v>0</v>
      </c>
      <c r="S8606" s="21" t="n">
        <v>0</v>
      </c>
      <c r="T8606" s="21" t="n">
        <v>0</v>
      </c>
      <c r="U8606" s="21" t="n">
        <v>0</v>
      </c>
      <c r="V8606" s="21" t="n">
        <v>0</v>
      </c>
      <c r="W8606" s="21" t="n">
        <v>0</v>
      </c>
      <c r="X8606" s="21" t="n">
        <v>0</v>
      </c>
      <c r="Y8606" s="21" t="n">
        <v>0</v>
      </c>
      <c r="Z8606" s="19" t="n"/>
    </row>
    <row r="8607">
      <c r="D8607" s="21" t="n">
        <v>0</v>
      </c>
      <c r="E8607" s="21" t="n">
        <v>0</v>
      </c>
      <c r="F8607" s="21" t="n">
        <v>0</v>
      </c>
      <c r="G8607" s="21" t="n">
        <v>0</v>
      </c>
      <c r="H8607" s="21">
        <f>-$B$7050</f>
        <v/>
      </c>
      <c r="I8607" s="21">
        <f>-$B$7051</f>
        <v/>
      </c>
      <c r="J8607" s="21">
        <f>2*$B$7050+$D$8592</f>
        <v/>
      </c>
      <c r="K8607" s="21">
        <f>0</f>
        <v/>
      </c>
      <c r="L8607" s="21">
        <f>-$B$7050</f>
        <v/>
      </c>
      <c r="M8607" s="21">
        <f>$B$7051</f>
        <v/>
      </c>
      <c r="N8607" s="21" t="n">
        <v>0</v>
      </c>
      <c r="O8607" s="21" t="n">
        <v>0</v>
      </c>
      <c r="P8607" s="21" t="n">
        <v>0</v>
      </c>
      <c r="Q8607" s="21" t="n">
        <v>0</v>
      </c>
      <c r="R8607" s="21" t="n">
        <v>0</v>
      </c>
      <c r="S8607" s="21" t="n">
        <v>0</v>
      </c>
      <c r="T8607" s="21" t="n">
        <v>0</v>
      </c>
      <c r="U8607" s="21" t="n">
        <v>0</v>
      </c>
      <c r="V8607" s="21" t="n">
        <v>0</v>
      </c>
      <c r="W8607" s="21" t="n">
        <v>0</v>
      </c>
      <c r="X8607" s="21" t="n">
        <v>0</v>
      </c>
      <c r="Y8607" s="21" t="n">
        <v>0</v>
      </c>
      <c r="Z8607" s="19" t="n"/>
    </row>
    <row r="8608">
      <c r="D8608" s="21" t="n">
        <v>0</v>
      </c>
      <c r="E8608" s="21" t="n">
        <v>0</v>
      </c>
      <c r="F8608" s="21" t="n">
        <v>0</v>
      </c>
      <c r="G8608" s="21" t="n">
        <v>0</v>
      </c>
      <c r="H8608" s="21">
        <f>$B$7051</f>
        <v/>
      </c>
      <c r="I8608" s="21">
        <f>$B$7053</f>
        <v/>
      </c>
      <c r="J8608" s="21">
        <f>0</f>
        <v/>
      </c>
      <c r="K8608" s="21">
        <f>2*$B$7052</f>
        <v/>
      </c>
      <c r="L8608" s="21">
        <f>-$B$7051</f>
        <v/>
      </c>
      <c r="M8608" s="21">
        <f>$B$7053</f>
        <v/>
      </c>
      <c r="N8608" s="21" t="n">
        <v>0</v>
      </c>
      <c r="O8608" s="21" t="n">
        <v>0</v>
      </c>
      <c r="P8608" s="21" t="n">
        <v>0</v>
      </c>
      <c r="Q8608" s="21" t="n">
        <v>0</v>
      </c>
      <c r="R8608" s="21" t="n">
        <v>0</v>
      </c>
      <c r="S8608" s="21" t="n">
        <v>0</v>
      </c>
      <c r="T8608" s="21" t="n">
        <v>0</v>
      </c>
      <c r="U8608" s="21" t="n">
        <v>0</v>
      </c>
      <c r="V8608" s="21" t="n">
        <v>0</v>
      </c>
      <c r="W8608" s="21" t="n">
        <v>0</v>
      </c>
      <c r="X8608" s="21" t="n">
        <v>0</v>
      </c>
      <c r="Y8608" s="21" t="n">
        <v>0</v>
      </c>
      <c r="Z8608" s="19" t="n"/>
    </row>
    <row r="8609">
      <c r="D8609" s="21" t="n">
        <v>0</v>
      </c>
      <c r="E8609" s="21" t="n">
        <v>0</v>
      </c>
      <c r="F8609" s="21" t="n">
        <v>0</v>
      </c>
      <c r="G8609" s="21" t="n">
        <v>0</v>
      </c>
      <c r="H8609" s="21" t="n">
        <v>0</v>
      </c>
      <c r="I8609" s="21" t="n">
        <v>0</v>
      </c>
      <c r="J8609" s="21">
        <f>-$B$7050</f>
        <v/>
      </c>
      <c r="K8609" s="21">
        <f>-$B$7051</f>
        <v/>
      </c>
      <c r="L8609" s="21">
        <f>2*$B$7050+$D$8593</f>
        <v/>
      </c>
      <c r="M8609" s="21">
        <f>0</f>
        <v/>
      </c>
      <c r="N8609" s="21">
        <f>-$B$7050</f>
        <v/>
      </c>
      <c r="O8609" s="21">
        <f>$B$7051</f>
        <v/>
      </c>
      <c r="P8609" s="21" t="n">
        <v>0</v>
      </c>
      <c r="Q8609" s="21" t="n">
        <v>0</v>
      </c>
      <c r="R8609" s="21" t="n">
        <v>0</v>
      </c>
      <c r="S8609" s="21" t="n">
        <v>0</v>
      </c>
      <c r="T8609" s="21" t="n">
        <v>0</v>
      </c>
      <c r="U8609" s="21" t="n">
        <v>0</v>
      </c>
      <c r="V8609" s="21" t="n">
        <v>0</v>
      </c>
      <c r="W8609" s="21" t="n">
        <v>0</v>
      </c>
      <c r="X8609" s="21" t="n">
        <v>0</v>
      </c>
      <c r="Y8609" s="21" t="n">
        <v>0</v>
      </c>
      <c r="Z8609" s="19" t="n"/>
    </row>
    <row r="8610">
      <c r="D8610" s="21" t="n">
        <v>0</v>
      </c>
      <c r="E8610" s="21" t="n">
        <v>0</v>
      </c>
      <c r="F8610" s="21" t="n">
        <v>0</v>
      </c>
      <c r="G8610" s="21" t="n">
        <v>0</v>
      </c>
      <c r="H8610" s="21" t="n">
        <v>0</v>
      </c>
      <c r="I8610" s="21" t="n">
        <v>0</v>
      </c>
      <c r="J8610" s="21">
        <f>$B$7051</f>
        <v/>
      </c>
      <c r="K8610" s="21">
        <f>$B$7053</f>
        <v/>
      </c>
      <c r="L8610" s="21">
        <f>0</f>
        <v/>
      </c>
      <c r="M8610" s="21">
        <f>2*$B$7052</f>
        <v/>
      </c>
      <c r="N8610" s="21">
        <f>-$B$7051</f>
        <v/>
      </c>
      <c r="O8610" s="21">
        <f>$B$7053</f>
        <v/>
      </c>
      <c r="P8610" s="21" t="n">
        <v>0</v>
      </c>
      <c r="Q8610" s="21" t="n">
        <v>0</v>
      </c>
      <c r="R8610" s="21" t="n">
        <v>0</v>
      </c>
      <c r="S8610" s="21" t="n">
        <v>0</v>
      </c>
      <c r="T8610" s="21" t="n">
        <v>0</v>
      </c>
      <c r="U8610" s="21" t="n">
        <v>0</v>
      </c>
      <c r="V8610" s="21" t="n">
        <v>0</v>
      </c>
      <c r="W8610" s="21" t="n">
        <v>0</v>
      </c>
      <c r="X8610" s="21" t="n">
        <v>0</v>
      </c>
      <c r="Y8610" s="21" t="n">
        <v>0</v>
      </c>
      <c r="Z8610" s="19" t="n"/>
    </row>
    <row r="8611">
      <c r="D8611" s="21" t="n">
        <v>0</v>
      </c>
      <c r="E8611" s="21" t="n">
        <v>0</v>
      </c>
      <c r="F8611" s="21" t="n">
        <v>0</v>
      </c>
      <c r="G8611" s="21" t="n">
        <v>0</v>
      </c>
      <c r="H8611" s="21" t="n">
        <v>0</v>
      </c>
      <c r="I8611" s="21" t="n">
        <v>0</v>
      </c>
      <c r="J8611" s="21" t="n">
        <v>0</v>
      </c>
      <c r="K8611" s="21" t="n">
        <v>0</v>
      </c>
      <c r="L8611" s="21">
        <f>-$B$7050</f>
        <v/>
      </c>
      <c r="M8611" s="21">
        <f>-$B$7051</f>
        <v/>
      </c>
      <c r="N8611" s="21">
        <f>2*$B$7050+$D$8594</f>
        <v/>
      </c>
      <c r="O8611" s="21">
        <f>0</f>
        <v/>
      </c>
      <c r="P8611" s="21">
        <f>-$B$7050</f>
        <v/>
      </c>
      <c r="Q8611" s="21">
        <f>$B$7051</f>
        <v/>
      </c>
      <c r="R8611" s="21" t="n">
        <v>0</v>
      </c>
      <c r="S8611" s="21" t="n">
        <v>0</v>
      </c>
      <c r="T8611" s="21" t="n">
        <v>0</v>
      </c>
      <c r="U8611" s="21" t="n">
        <v>0</v>
      </c>
      <c r="V8611" s="21" t="n">
        <v>0</v>
      </c>
      <c r="W8611" s="21" t="n">
        <v>0</v>
      </c>
      <c r="X8611" s="21" t="n">
        <v>0</v>
      </c>
      <c r="Y8611" s="21" t="n">
        <v>0</v>
      </c>
      <c r="Z8611" s="19" t="n"/>
    </row>
    <row r="8612">
      <c r="D8612" s="21" t="n">
        <v>0</v>
      </c>
      <c r="E8612" s="21" t="n">
        <v>0</v>
      </c>
      <c r="F8612" s="21" t="n">
        <v>0</v>
      </c>
      <c r="G8612" s="21" t="n">
        <v>0</v>
      </c>
      <c r="H8612" s="21" t="n">
        <v>0</v>
      </c>
      <c r="I8612" s="21" t="n">
        <v>0</v>
      </c>
      <c r="J8612" s="21" t="n">
        <v>0</v>
      </c>
      <c r="K8612" s="21" t="n">
        <v>0</v>
      </c>
      <c r="L8612" s="21">
        <f>$B$7051</f>
        <v/>
      </c>
      <c r="M8612" s="21">
        <f>$B$7053</f>
        <v/>
      </c>
      <c r="N8612" s="21">
        <f>0</f>
        <v/>
      </c>
      <c r="O8612" s="21">
        <f>2*$B$7052</f>
        <v/>
      </c>
      <c r="P8612" s="21">
        <f>-$B$7051</f>
        <v/>
      </c>
      <c r="Q8612" s="21">
        <f>$B$7053</f>
        <v/>
      </c>
      <c r="R8612" s="21" t="n">
        <v>0</v>
      </c>
      <c r="S8612" s="21" t="n">
        <v>0</v>
      </c>
      <c r="T8612" s="21" t="n">
        <v>0</v>
      </c>
      <c r="U8612" s="21" t="n">
        <v>0</v>
      </c>
      <c r="V8612" s="21" t="n">
        <v>0</v>
      </c>
      <c r="W8612" s="21" t="n">
        <v>0</v>
      </c>
      <c r="X8612" s="21" t="n">
        <v>0</v>
      </c>
      <c r="Y8612" s="21" t="n">
        <v>0</v>
      </c>
      <c r="Z8612" s="19" t="n"/>
    </row>
    <row r="8613">
      <c r="D8613" s="21" t="n">
        <v>0</v>
      </c>
      <c r="E8613" s="21" t="n">
        <v>0</v>
      </c>
      <c r="F8613" s="21" t="n">
        <v>0</v>
      </c>
      <c r="G8613" s="21" t="n">
        <v>0</v>
      </c>
      <c r="H8613" s="21" t="n">
        <v>0</v>
      </c>
      <c r="I8613" s="21" t="n">
        <v>0</v>
      </c>
      <c r="J8613" s="21" t="n">
        <v>0</v>
      </c>
      <c r="K8613" s="21" t="n">
        <v>0</v>
      </c>
      <c r="L8613" s="21" t="n">
        <v>0</v>
      </c>
      <c r="M8613" s="21" t="n">
        <v>0</v>
      </c>
      <c r="N8613" s="21">
        <f>-$B$7050</f>
        <v/>
      </c>
      <c r="O8613" s="21">
        <f>-$B$7051</f>
        <v/>
      </c>
      <c r="P8613" s="21">
        <f>2*$B$7050+$D$8595</f>
        <v/>
      </c>
      <c r="Q8613" s="21">
        <f>0</f>
        <v/>
      </c>
      <c r="R8613" s="21">
        <f>-$B$7050</f>
        <v/>
      </c>
      <c r="S8613" s="21">
        <f>$B$7051</f>
        <v/>
      </c>
      <c r="T8613" s="21" t="n">
        <v>0</v>
      </c>
      <c r="U8613" s="21" t="n">
        <v>0</v>
      </c>
      <c r="V8613" s="21" t="n">
        <v>0</v>
      </c>
      <c r="W8613" s="21" t="n">
        <v>0</v>
      </c>
      <c r="X8613" s="21" t="n">
        <v>0</v>
      </c>
      <c r="Y8613" s="21" t="n">
        <v>0</v>
      </c>
      <c r="Z8613" s="19" t="n"/>
    </row>
    <row r="8614">
      <c r="D8614" s="21" t="n">
        <v>0</v>
      </c>
      <c r="E8614" s="21" t="n">
        <v>0</v>
      </c>
      <c r="F8614" s="21" t="n">
        <v>0</v>
      </c>
      <c r="G8614" s="21" t="n">
        <v>0</v>
      </c>
      <c r="H8614" s="21" t="n">
        <v>0</v>
      </c>
      <c r="I8614" s="21" t="n">
        <v>0</v>
      </c>
      <c r="J8614" s="21" t="n">
        <v>0</v>
      </c>
      <c r="K8614" s="21" t="n">
        <v>0</v>
      </c>
      <c r="L8614" s="21" t="n">
        <v>0</v>
      </c>
      <c r="M8614" s="21" t="n">
        <v>0</v>
      </c>
      <c r="N8614" s="21">
        <f>$B$7051</f>
        <v/>
      </c>
      <c r="O8614" s="21">
        <f>$B$7053</f>
        <v/>
      </c>
      <c r="P8614" s="21">
        <f>0</f>
        <v/>
      </c>
      <c r="Q8614" s="21">
        <f>2*$B$7052</f>
        <v/>
      </c>
      <c r="R8614" s="21">
        <f>-$B$7051</f>
        <v/>
      </c>
      <c r="S8614" s="21">
        <f>$B$7053</f>
        <v/>
      </c>
      <c r="T8614" s="21" t="n">
        <v>0</v>
      </c>
      <c r="U8614" s="21" t="n">
        <v>0</v>
      </c>
      <c r="V8614" s="21" t="n">
        <v>0</v>
      </c>
      <c r="W8614" s="21" t="n">
        <v>0</v>
      </c>
      <c r="X8614" s="21" t="n">
        <v>0</v>
      </c>
      <c r="Y8614" s="21" t="n">
        <v>0</v>
      </c>
      <c r="Z8614" s="19" t="n"/>
    </row>
    <row r="8615">
      <c r="D8615" s="21" t="n">
        <v>0</v>
      </c>
      <c r="E8615" s="21" t="n">
        <v>0</v>
      </c>
      <c r="F8615" s="21" t="n">
        <v>0</v>
      </c>
      <c r="G8615" s="21" t="n">
        <v>0</v>
      </c>
      <c r="H8615" s="21" t="n">
        <v>0</v>
      </c>
      <c r="I8615" s="21" t="n">
        <v>0</v>
      </c>
      <c r="J8615" s="21" t="n">
        <v>0</v>
      </c>
      <c r="K8615" s="21" t="n">
        <v>0</v>
      </c>
      <c r="L8615" s="21" t="n">
        <v>0</v>
      </c>
      <c r="M8615" s="21" t="n">
        <v>0</v>
      </c>
      <c r="N8615" s="21" t="n">
        <v>0</v>
      </c>
      <c r="O8615" s="21" t="n">
        <v>0</v>
      </c>
      <c r="P8615" s="21">
        <f>-$B$7050</f>
        <v/>
      </c>
      <c r="Q8615" s="21">
        <f>-$B$7051</f>
        <v/>
      </c>
      <c r="R8615" s="21">
        <f>2*$B$7050+$D$8596</f>
        <v/>
      </c>
      <c r="S8615" s="21">
        <f>0</f>
        <v/>
      </c>
      <c r="T8615" s="21">
        <f>-$B$7050</f>
        <v/>
      </c>
      <c r="U8615" s="21">
        <f>$B$7051</f>
        <v/>
      </c>
      <c r="V8615" s="21" t="n">
        <v>0</v>
      </c>
      <c r="W8615" s="21" t="n">
        <v>0</v>
      </c>
      <c r="X8615" s="21" t="n">
        <v>0</v>
      </c>
      <c r="Y8615" s="21" t="n">
        <v>0</v>
      </c>
      <c r="Z8615" s="19" t="n"/>
    </row>
    <row r="8616">
      <c r="D8616" s="21" t="n">
        <v>0</v>
      </c>
      <c r="E8616" s="21" t="n">
        <v>0</v>
      </c>
      <c r="F8616" s="21" t="n">
        <v>0</v>
      </c>
      <c r="G8616" s="21" t="n">
        <v>0</v>
      </c>
      <c r="H8616" s="21" t="n">
        <v>0</v>
      </c>
      <c r="I8616" s="21" t="n">
        <v>0</v>
      </c>
      <c r="J8616" s="21" t="n">
        <v>0</v>
      </c>
      <c r="K8616" s="21" t="n">
        <v>0</v>
      </c>
      <c r="L8616" s="21" t="n">
        <v>0</v>
      </c>
      <c r="M8616" s="21" t="n">
        <v>0</v>
      </c>
      <c r="N8616" s="21" t="n">
        <v>0</v>
      </c>
      <c r="O8616" s="21" t="n">
        <v>0</v>
      </c>
      <c r="P8616" s="21">
        <f>$B$7051</f>
        <v/>
      </c>
      <c r="Q8616" s="21">
        <f>$B$7053</f>
        <v/>
      </c>
      <c r="R8616" s="21">
        <f>0</f>
        <v/>
      </c>
      <c r="S8616" s="21">
        <f>2*$B$7052</f>
        <v/>
      </c>
      <c r="T8616" s="21">
        <f>-$B$7051</f>
        <v/>
      </c>
      <c r="U8616" s="21">
        <f>$B$7053</f>
        <v/>
      </c>
      <c r="V8616" s="21" t="n">
        <v>0</v>
      </c>
      <c r="W8616" s="21" t="n">
        <v>0</v>
      </c>
      <c r="X8616" s="21" t="n">
        <v>0</v>
      </c>
      <c r="Y8616" s="21" t="n">
        <v>0</v>
      </c>
      <c r="Z8616" s="19" t="n"/>
    </row>
    <row r="8617">
      <c r="D8617" s="21" t="n">
        <v>0</v>
      </c>
      <c r="E8617" s="21" t="n">
        <v>0</v>
      </c>
      <c r="F8617" s="21" t="n">
        <v>0</v>
      </c>
      <c r="G8617" s="21" t="n">
        <v>0</v>
      </c>
      <c r="H8617" s="21" t="n">
        <v>0</v>
      </c>
      <c r="I8617" s="21" t="n">
        <v>0</v>
      </c>
      <c r="J8617" s="21" t="n">
        <v>0</v>
      </c>
      <c r="K8617" s="21" t="n">
        <v>0</v>
      </c>
      <c r="L8617" s="21" t="n">
        <v>0</v>
      </c>
      <c r="M8617" s="21" t="n">
        <v>0</v>
      </c>
      <c r="N8617" s="21" t="n">
        <v>0</v>
      </c>
      <c r="O8617" s="21" t="n">
        <v>0</v>
      </c>
      <c r="P8617" s="21" t="n">
        <v>0</v>
      </c>
      <c r="Q8617" s="21" t="n">
        <v>0</v>
      </c>
      <c r="R8617" s="21">
        <f>-$B$7050</f>
        <v/>
      </c>
      <c r="S8617" s="21">
        <f>-$B$7051</f>
        <v/>
      </c>
      <c r="T8617" s="21">
        <f>2*$B$7050+$D$8597</f>
        <v/>
      </c>
      <c r="U8617" s="21">
        <f>0</f>
        <v/>
      </c>
      <c r="V8617" s="21">
        <f>-$B$7050</f>
        <v/>
      </c>
      <c r="W8617" s="21">
        <f>$B$7051</f>
        <v/>
      </c>
      <c r="X8617" s="21" t="n">
        <v>0</v>
      </c>
      <c r="Y8617" s="21" t="n">
        <v>0</v>
      </c>
      <c r="Z8617" s="19" t="n"/>
    </row>
    <row r="8618">
      <c r="D8618" s="21" t="n">
        <v>0</v>
      </c>
      <c r="E8618" s="21" t="n">
        <v>0</v>
      </c>
      <c r="F8618" s="21" t="n">
        <v>0</v>
      </c>
      <c r="G8618" s="21" t="n">
        <v>0</v>
      </c>
      <c r="H8618" s="21" t="n">
        <v>0</v>
      </c>
      <c r="I8618" s="21" t="n">
        <v>0</v>
      </c>
      <c r="J8618" s="21" t="n">
        <v>0</v>
      </c>
      <c r="K8618" s="21" t="n">
        <v>0</v>
      </c>
      <c r="L8618" s="21" t="n">
        <v>0</v>
      </c>
      <c r="M8618" s="21" t="n">
        <v>0</v>
      </c>
      <c r="N8618" s="21" t="n">
        <v>0</v>
      </c>
      <c r="O8618" s="21" t="n">
        <v>0</v>
      </c>
      <c r="P8618" s="21" t="n">
        <v>0</v>
      </c>
      <c r="Q8618" s="21" t="n">
        <v>0</v>
      </c>
      <c r="R8618" s="21">
        <f>$B$7051</f>
        <v/>
      </c>
      <c r="S8618" s="21">
        <f>$B$7053</f>
        <v/>
      </c>
      <c r="T8618" s="21">
        <f>0</f>
        <v/>
      </c>
      <c r="U8618" s="21">
        <f>2*$B$7052</f>
        <v/>
      </c>
      <c r="V8618" s="21">
        <f>-$B$7051</f>
        <v/>
      </c>
      <c r="W8618" s="21">
        <f>$B$7053</f>
        <v/>
      </c>
      <c r="X8618" s="21" t="n">
        <v>0</v>
      </c>
      <c r="Y8618" s="21" t="n">
        <v>0</v>
      </c>
      <c r="Z8618" s="19" t="n"/>
    </row>
    <row r="8619">
      <c r="D8619" s="21" t="n">
        <v>0</v>
      </c>
      <c r="E8619" s="21" t="n">
        <v>0</v>
      </c>
      <c r="F8619" s="21" t="n">
        <v>0</v>
      </c>
      <c r="G8619" s="21" t="n">
        <v>0</v>
      </c>
      <c r="H8619" s="21" t="n">
        <v>0</v>
      </c>
      <c r="I8619" s="21" t="n">
        <v>0</v>
      </c>
      <c r="J8619" s="21" t="n">
        <v>0</v>
      </c>
      <c r="K8619" s="21" t="n">
        <v>0</v>
      </c>
      <c r="L8619" s="21" t="n">
        <v>0</v>
      </c>
      <c r="M8619" s="21" t="n">
        <v>0</v>
      </c>
      <c r="N8619" s="21" t="n">
        <v>0</v>
      </c>
      <c r="O8619" s="21" t="n">
        <v>0</v>
      </c>
      <c r="P8619" s="21" t="n">
        <v>0</v>
      </c>
      <c r="Q8619" s="21" t="n">
        <v>0</v>
      </c>
      <c r="R8619" s="21" t="n">
        <v>0</v>
      </c>
      <c r="S8619" s="21" t="n">
        <v>0</v>
      </c>
      <c r="T8619" s="21">
        <f>-$B$7050</f>
        <v/>
      </c>
      <c r="U8619" s="21">
        <f>-$B$7051</f>
        <v/>
      </c>
      <c r="V8619" s="21">
        <f>2*$B$7050+$D$8598</f>
        <v/>
      </c>
      <c r="W8619" s="21">
        <f>0</f>
        <v/>
      </c>
      <c r="X8619" s="21">
        <f>-$B$7050</f>
        <v/>
      </c>
      <c r="Y8619" s="21">
        <f>$B$7051</f>
        <v/>
      </c>
      <c r="Z8619" s="19" t="n"/>
    </row>
    <row r="8620">
      <c r="D8620" s="21" t="n">
        <v>0</v>
      </c>
      <c r="E8620" s="21" t="n">
        <v>0</v>
      </c>
      <c r="F8620" s="21" t="n">
        <v>0</v>
      </c>
      <c r="G8620" s="21" t="n">
        <v>0</v>
      </c>
      <c r="H8620" s="21" t="n">
        <v>0</v>
      </c>
      <c r="I8620" s="21" t="n">
        <v>0</v>
      </c>
      <c r="J8620" s="21" t="n">
        <v>0</v>
      </c>
      <c r="K8620" s="21" t="n">
        <v>0</v>
      </c>
      <c r="L8620" s="21" t="n">
        <v>0</v>
      </c>
      <c r="M8620" s="21" t="n">
        <v>0</v>
      </c>
      <c r="N8620" s="21" t="n">
        <v>0</v>
      </c>
      <c r="O8620" s="21" t="n">
        <v>0</v>
      </c>
      <c r="P8620" s="21" t="n">
        <v>0</v>
      </c>
      <c r="Q8620" s="21" t="n">
        <v>0</v>
      </c>
      <c r="R8620" s="21" t="n">
        <v>0</v>
      </c>
      <c r="S8620" s="21" t="n">
        <v>0</v>
      </c>
      <c r="T8620" s="21">
        <f>$B$7051</f>
        <v/>
      </c>
      <c r="U8620" s="21">
        <f>$B$7053</f>
        <v/>
      </c>
      <c r="V8620" s="21">
        <f>0</f>
        <v/>
      </c>
      <c r="W8620" s="21">
        <f>2*$B$7052</f>
        <v/>
      </c>
      <c r="X8620" s="21">
        <f>-$B$7051</f>
        <v/>
      </c>
      <c r="Y8620" s="21">
        <f>$B$7053</f>
        <v/>
      </c>
      <c r="Z8620" s="19" t="n"/>
    </row>
    <row r="8621">
      <c r="D8621" s="21" t="n">
        <v>0</v>
      </c>
      <c r="E8621" s="21" t="n">
        <v>0</v>
      </c>
      <c r="F8621" s="21" t="n">
        <v>0</v>
      </c>
      <c r="G8621" s="21" t="n">
        <v>0</v>
      </c>
      <c r="H8621" s="21" t="n">
        <v>0</v>
      </c>
      <c r="I8621" s="21" t="n">
        <v>0</v>
      </c>
      <c r="J8621" s="21" t="n">
        <v>0</v>
      </c>
      <c r="K8621" s="21" t="n">
        <v>0</v>
      </c>
      <c r="L8621" s="21" t="n">
        <v>0</v>
      </c>
      <c r="M8621" s="21" t="n">
        <v>0</v>
      </c>
      <c r="N8621" s="21" t="n">
        <v>0</v>
      </c>
      <c r="O8621" s="21" t="n">
        <v>0</v>
      </c>
      <c r="P8621" s="21" t="n">
        <v>0</v>
      </c>
      <c r="Q8621" s="21" t="n">
        <v>0</v>
      </c>
      <c r="R8621" s="21" t="n">
        <v>0</v>
      </c>
      <c r="S8621" s="21" t="n">
        <v>0</v>
      </c>
      <c r="T8621" s="21" t="n">
        <v>0</v>
      </c>
      <c r="U8621" s="21" t="n">
        <v>0</v>
      </c>
      <c r="V8621" s="21">
        <f>-$B$7050</f>
        <v/>
      </c>
      <c r="W8621" s="21">
        <f>-$B$7051</f>
        <v/>
      </c>
      <c r="X8621" s="21">
        <f>$B$7050+$D$8599</f>
        <v/>
      </c>
      <c r="Y8621" s="21">
        <f>-$B$7051</f>
        <v/>
      </c>
      <c r="Z8621" s="19" t="n"/>
    </row>
    <row r="8622">
      <c r="D8622" s="21" t="n">
        <v>0</v>
      </c>
      <c r="E8622" s="21" t="n">
        <v>0</v>
      </c>
      <c r="F8622" s="21" t="n">
        <v>0</v>
      </c>
      <c r="G8622" s="21" t="n">
        <v>0</v>
      </c>
      <c r="H8622" s="21" t="n">
        <v>0</v>
      </c>
      <c r="I8622" s="21" t="n">
        <v>0</v>
      </c>
      <c r="J8622" s="21" t="n">
        <v>0</v>
      </c>
      <c r="K8622" s="21" t="n">
        <v>0</v>
      </c>
      <c r="L8622" s="21" t="n">
        <v>0</v>
      </c>
      <c r="M8622" s="21" t="n">
        <v>0</v>
      </c>
      <c r="N8622" s="21" t="n">
        <v>0</v>
      </c>
      <c r="O8622" s="21" t="n">
        <v>0</v>
      </c>
      <c r="P8622" s="21" t="n">
        <v>0</v>
      </c>
      <c r="Q8622" s="21" t="n">
        <v>0</v>
      </c>
      <c r="R8622" s="21" t="n">
        <v>0</v>
      </c>
      <c r="S8622" s="21" t="n">
        <v>0</v>
      </c>
      <c r="T8622" s="21" t="n">
        <v>0</v>
      </c>
      <c r="U8622" s="21" t="n">
        <v>0</v>
      </c>
      <c r="V8622" s="21">
        <f>$B$7051</f>
        <v/>
      </c>
      <c r="W8622" s="21">
        <f>$B$7053</f>
        <v/>
      </c>
      <c r="X8622" s="21">
        <f>-$B$7051</f>
        <v/>
      </c>
      <c r="Y8622" s="21">
        <f>$B$7052</f>
        <v/>
      </c>
      <c r="Z8622" s="19" t="n"/>
    </row>
    <row r="8624">
      <c r="A8624" s="8" t="inlineStr">
        <is>
          <t>gen 43</t>
        </is>
      </c>
    </row>
    <row r="8625">
      <c r="D8625" s="19">
        <f>IF(ABS(IF(ABS($E$8589)&gt;0.000000001,$E$8589,0.000000001))=0,0,IF($E$7065&lt;=$B$7059,0,IF(ABS(IF(ABS($E$8589)&gt;0.000000001,$E$8589,0.000000001))&gt;=8*$B$7061,$H$7065,0.5*$H$7065*(ABS(IF(ABS($E$8589)&gt;0.000000001,$E$8589,0.000000001))/$B$7061)^(1/3)))/ABS(IF(ABS($E$8589)&gt;0.000000001,$E$8589,0.000000001))*$I$7065)</f>
        <v/>
      </c>
      <c r="E8625" s="19">
        <f>0.5*$E$8589+0.5*$Z$8637</f>
        <v/>
      </c>
      <c r="F8625" s="19">
        <f>$Z$8638</f>
        <v/>
      </c>
    </row>
    <row r="8626">
      <c r="D8626" s="19">
        <f>IF(ABS(IF(ABS($E$8590)&gt;0.000000001,$E$8590,0.000000001))=0,0,IF($E$7066&lt;=$B$7059,0,IF(ABS(IF(ABS($E$8590)&gt;0.000000001,$E$8590,0.000000001))&gt;=8*$B$7061,$H$7066,0.5*$H$7066*(ABS(IF(ABS($E$8590)&gt;0.000000001,$E$8590,0.000000001))/$B$7061)^(1/3)))/ABS(IF(ABS($E$8590)&gt;0.000000001,$E$8590,0.000000001))*$I$7066)</f>
        <v/>
      </c>
      <c r="E8626" s="19">
        <f>0.5*$E$8590+0.5*$Z$8639</f>
        <v/>
      </c>
      <c r="F8626" s="19">
        <f>$Z$8640</f>
        <v/>
      </c>
    </row>
    <row r="8627">
      <c r="D8627" s="19">
        <f>IF(ABS(IF(ABS($E$8591)&gt;0.000000001,$E$8591,0.000000001))=0,0,IF($E$7067&lt;=$B$7059,0,IF(ABS(IF(ABS($E$8591)&gt;0.000000001,$E$8591,0.000000001))&gt;=8*$B$7061,$H$7067,0.5*$H$7067*(ABS(IF(ABS($E$8591)&gt;0.000000001,$E$8591,0.000000001))/$B$7061)^(1/3)))/ABS(IF(ABS($E$8591)&gt;0.000000001,$E$8591,0.000000001))*$I$7067)</f>
        <v/>
      </c>
      <c r="E8627" s="19">
        <f>0.5*$E$8591+0.5*$Z$8641</f>
        <v/>
      </c>
      <c r="F8627" s="19">
        <f>$Z$8642</f>
        <v/>
      </c>
    </row>
    <row r="8628">
      <c r="D8628" s="19">
        <f>IF(ABS(IF(ABS($E$8592)&gt;0.000000001,$E$8592,0.000000001))=0,0,IF($E$7068&lt;=$B$7059,0,IF(ABS(IF(ABS($E$8592)&gt;0.000000001,$E$8592,0.000000001))&gt;=8*$B$7061,$H$7068,0.5*$H$7068*(ABS(IF(ABS($E$8592)&gt;0.000000001,$E$8592,0.000000001))/$B$7061)^(1/3)))/ABS(IF(ABS($E$8592)&gt;0.000000001,$E$8592,0.000000001))*$I$7068)</f>
        <v/>
      </c>
      <c r="E8628" s="19">
        <f>0.5*$E$8592+0.5*$Z$8643</f>
        <v/>
      </c>
      <c r="F8628" s="19">
        <f>$Z$8644</f>
        <v/>
      </c>
    </row>
    <row r="8629">
      <c r="D8629" s="19">
        <f>IF(ABS(IF(ABS($E$8593)&gt;0.000000001,$E$8593,0.000000001))=0,0,IF($E$7069&lt;=$B$7059,0,IF(ABS(IF(ABS($E$8593)&gt;0.000000001,$E$8593,0.000000001))&gt;=8*$B$7061,$H$7069,0.5*$H$7069*(ABS(IF(ABS($E$8593)&gt;0.000000001,$E$8593,0.000000001))/$B$7061)^(1/3)))/ABS(IF(ABS($E$8593)&gt;0.000000001,$E$8593,0.000000001))*$I$7069)</f>
        <v/>
      </c>
      <c r="E8629" s="19">
        <f>0.5*$E$8593+0.5*$Z$8645</f>
        <v/>
      </c>
      <c r="F8629" s="19">
        <f>$Z$8646</f>
        <v/>
      </c>
    </row>
    <row r="8630">
      <c r="D8630" s="19">
        <f>IF(ABS(IF(ABS($E$8594)&gt;0.000000001,$E$8594,0.000000001))=0,0,IF($E$7070&lt;=$B$7059,0,IF(ABS(IF(ABS($E$8594)&gt;0.000000001,$E$8594,0.000000001))&gt;=8*$B$7061,$H$7070,0.5*$H$7070*(ABS(IF(ABS($E$8594)&gt;0.000000001,$E$8594,0.000000001))/$B$7061)^(1/3)))/ABS(IF(ABS($E$8594)&gt;0.000000001,$E$8594,0.000000001))*$I$7070)</f>
        <v/>
      </c>
      <c r="E8630" s="19">
        <f>0.5*$E$8594+0.5*$Z$8647</f>
        <v/>
      </c>
      <c r="F8630" s="19">
        <f>$Z$8648</f>
        <v/>
      </c>
    </row>
    <row r="8631">
      <c r="D8631" s="19">
        <f>IF(ABS(IF(ABS($E$8595)&gt;0.000000001,$E$8595,0.000000001))=0,0,IF($E$7071&lt;=$B$7059,0,IF(ABS(IF(ABS($E$8595)&gt;0.000000001,$E$8595,0.000000001))&gt;=8*$B$7061,$H$7071,0.5*$H$7071*(ABS(IF(ABS($E$8595)&gt;0.000000001,$E$8595,0.000000001))/$B$7061)^(1/3)))/ABS(IF(ABS($E$8595)&gt;0.000000001,$E$8595,0.000000001))*$I$7071)</f>
        <v/>
      </c>
      <c r="E8631" s="19">
        <f>0.5*$E$8595+0.5*$Z$8649</f>
        <v/>
      </c>
      <c r="F8631" s="19">
        <f>$Z$8650</f>
        <v/>
      </c>
    </row>
    <row r="8632">
      <c r="D8632" s="19">
        <f>IF(ABS(IF(ABS($E$8596)&gt;0.000000001,$E$8596,0.000000001))=0,0,IF($E$7072&lt;=$B$7059,0,IF(ABS(IF(ABS($E$8596)&gt;0.000000001,$E$8596,0.000000001))&gt;=8*$B$7061,$H$7072,0.5*$H$7072*(ABS(IF(ABS($E$8596)&gt;0.000000001,$E$8596,0.000000001))/$B$7061)^(1/3)))/ABS(IF(ABS($E$8596)&gt;0.000000001,$E$8596,0.000000001))*$I$7072)</f>
        <v/>
      </c>
      <c r="E8632" s="19">
        <f>0.5*$E$8596+0.5*$Z$8651</f>
        <v/>
      </c>
      <c r="F8632" s="19">
        <f>$Z$8652</f>
        <v/>
      </c>
    </row>
    <row r="8633">
      <c r="D8633" s="19">
        <f>IF(ABS(IF(ABS($E$8597)&gt;0.000000001,$E$8597,0.000000001))=0,0,IF($E$7073&lt;=$B$7059,0,IF(ABS(IF(ABS($E$8597)&gt;0.000000001,$E$8597,0.000000001))&gt;=8*$B$7061,$H$7073,0.5*$H$7073*(ABS(IF(ABS($E$8597)&gt;0.000000001,$E$8597,0.000000001))/$B$7061)^(1/3)))/ABS(IF(ABS($E$8597)&gt;0.000000001,$E$8597,0.000000001))*$I$7073)</f>
        <v/>
      </c>
      <c r="E8633" s="19">
        <f>0.5*$E$8597+0.5*$Z$8653</f>
        <v/>
      </c>
      <c r="F8633" s="19">
        <f>$Z$8654</f>
        <v/>
      </c>
    </row>
    <row r="8634">
      <c r="D8634" s="19">
        <f>IF(ABS(IF(ABS($E$8598)&gt;0.000000001,$E$8598,0.000000001))=0,0,IF($E$7074&lt;=$B$7059,0,IF(ABS(IF(ABS($E$8598)&gt;0.000000001,$E$8598,0.000000001))&gt;=8*$B$7061,$H$7074,0.5*$H$7074*(ABS(IF(ABS($E$8598)&gt;0.000000001,$E$8598,0.000000001))/$B$7061)^(1/3)))/ABS(IF(ABS($E$8598)&gt;0.000000001,$E$8598,0.000000001))*$I$7074)</f>
        <v/>
      </c>
      <c r="E8634" s="19">
        <f>0.5*$E$8598+0.5*$Z$8655</f>
        <v/>
      </c>
      <c r="F8634" s="19">
        <f>$Z$8656</f>
        <v/>
      </c>
    </row>
    <row r="8635">
      <c r="D8635" s="19">
        <f>IF(ABS(IF(ABS($E$8599)&gt;0.000000001,$E$8599,0.000000001))=0,0,IF($E$7075&lt;=$B$7059,0,IF(ABS(IF(ABS($E$8599)&gt;0.000000001,$E$8599,0.000000001))&gt;=8*$B$7061,$H$7075,0.5*$H$7075*(ABS(IF(ABS($E$8599)&gt;0.000000001,$E$8599,0.000000001))/$B$7061)^(1/3)))/ABS(IF(ABS($E$8599)&gt;0.000000001,$E$8599,0.000000001))*$I$7075)</f>
        <v/>
      </c>
      <c r="E8635" s="19">
        <f>0.5*$E$8599+0.5*$Z$8657</f>
        <v/>
      </c>
      <c r="F8635" s="19">
        <f>$Z$8658</f>
        <v/>
      </c>
    </row>
    <row r="8637">
      <c r="D8637" s="21">
        <f>$B$7050+$D$8625</f>
        <v/>
      </c>
      <c r="E8637" s="21">
        <f>$B$7051</f>
        <v/>
      </c>
      <c r="F8637" s="21">
        <f>-$B$7050</f>
        <v/>
      </c>
      <c r="G8637" s="21">
        <f>$B$7051</f>
        <v/>
      </c>
      <c r="H8637" s="21" t="n">
        <v>0</v>
      </c>
      <c r="I8637" s="21" t="n">
        <v>0</v>
      </c>
      <c r="J8637" s="21" t="n">
        <v>0</v>
      </c>
      <c r="K8637" s="21" t="n">
        <v>0</v>
      </c>
      <c r="L8637" s="21" t="n">
        <v>0</v>
      </c>
      <c r="M8637" s="21" t="n">
        <v>0</v>
      </c>
      <c r="N8637" s="21" t="n">
        <v>0</v>
      </c>
      <c r="O8637" s="21" t="n">
        <v>0</v>
      </c>
      <c r="P8637" s="21" t="n">
        <v>0</v>
      </c>
      <c r="Q8637" s="21" t="n">
        <v>0</v>
      </c>
      <c r="R8637" s="21" t="n">
        <v>0</v>
      </c>
      <c r="S8637" s="21" t="n">
        <v>0</v>
      </c>
      <c r="T8637" s="21" t="n">
        <v>0</v>
      </c>
      <c r="U8637" s="21" t="n">
        <v>0</v>
      </c>
      <c r="V8637" s="21" t="n">
        <v>0</v>
      </c>
      <c r="W8637" s="21" t="n">
        <v>0</v>
      </c>
      <c r="X8637" s="21" t="n">
        <v>0</v>
      </c>
      <c r="Y8637" s="21" t="n">
        <v>0</v>
      </c>
      <c r="Z8637" s="19">
        <f t="array" ref="Z8637:Z8658">MMULT(MINVERSE($D$8637:$Y$8658),$D$7077:$D$7098)</f>
        <v/>
      </c>
    </row>
    <row r="8638">
      <c r="D8638" s="21">
        <f>$B$7051</f>
        <v/>
      </c>
      <c r="E8638" s="21">
        <f>$B$7052</f>
        <v/>
      </c>
      <c r="F8638" s="21">
        <f>-$B$7051</f>
        <v/>
      </c>
      <c r="G8638" s="21">
        <f>$B$7053</f>
        <v/>
      </c>
      <c r="H8638" s="21" t="n">
        <v>0</v>
      </c>
      <c r="I8638" s="21" t="n">
        <v>0</v>
      </c>
      <c r="J8638" s="21" t="n">
        <v>0</v>
      </c>
      <c r="K8638" s="21" t="n">
        <v>0</v>
      </c>
      <c r="L8638" s="21" t="n">
        <v>0</v>
      </c>
      <c r="M8638" s="21" t="n">
        <v>0</v>
      </c>
      <c r="N8638" s="21" t="n">
        <v>0</v>
      </c>
      <c r="O8638" s="21" t="n">
        <v>0</v>
      </c>
      <c r="P8638" s="21" t="n">
        <v>0</v>
      </c>
      <c r="Q8638" s="21" t="n">
        <v>0</v>
      </c>
      <c r="R8638" s="21" t="n">
        <v>0</v>
      </c>
      <c r="S8638" s="21" t="n">
        <v>0</v>
      </c>
      <c r="T8638" s="21" t="n">
        <v>0</v>
      </c>
      <c r="U8638" s="21" t="n">
        <v>0</v>
      </c>
      <c r="V8638" s="21" t="n">
        <v>0</v>
      </c>
      <c r="W8638" s="21" t="n">
        <v>0</v>
      </c>
      <c r="X8638" s="21" t="n">
        <v>0</v>
      </c>
      <c r="Y8638" s="21" t="n">
        <v>0</v>
      </c>
      <c r="Z8638" s="19" t="n"/>
    </row>
    <row r="8639">
      <c r="D8639" s="21">
        <f>-$B$7050</f>
        <v/>
      </c>
      <c r="E8639" s="21">
        <f>-$B$7051</f>
        <v/>
      </c>
      <c r="F8639" s="21">
        <f>2*$B$7050+$D$8626</f>
        <v/>
      </c>
      <c r="G8639" s="21">
        <f>0</f>
        <v/>
      </c>
      <c r="H8639" s="21">
        <f>-$B$7050</f>
        <v/>
      </c>
      <c r="I8639" s="21">
        <f>$B$7051</f>
        <v/>
      </c>
      <c r="J8639" s="21" t="n">
        <v>0</v>
      </c>
      <c r="K8639" s="21" t="n">
        <v>0</v>
      </c>
      <c r="L8639" s="21" t="n">
        <v>0</v>
      </c>
      <c r="M8639" s="21" t="n">
        <v>0</v>
      </c>
      <c r="N8639" s="21" t="n">
        <v>0</v>
      </c>
      <c r="O8639" s="21" t="n">
        <v>0</v>
      </c>
      <c r="P8639" s="21" t="n">
        <v>0</v>
      </c>
      <c r="Q8639" s="21" t="n">
        <v>0</v>
      </c>
      <c r="R8639" s="21" t="n">
        <v>0</v>
      </c>
      <c r="S8639" s="21" t="n">
        <v>0</v>
      </c>
      <c r="T8639" s="21" t="n">
        <v>0</v>
      </c>
      <c r="U8639" s="21" t="n">
        <v>0</v>
      </c>
      <c r="V8639" s="21" t="n">
        <v>0</v>
      </c>
      <c r="W8639" s="21" t="n">
        <v>0</v>
      </c>
      <c r="X8639" s="21" t="n">
        <v>0</v>
      </c>
      <c r="Y8639" s="21" t="n">
        <v>0</v>
      </c>
      <c r="Z8639" s="19" t="n"/>
    </row>
    <row r="8640">
      <c r="D8640" s="21">
        <f>$B$7051</f>
        <v/>
      </c>
      <c r="E8640" s="21">
        <f>$B$7053</f>
        <v/>
      </c>
      <c r="F8640" s="21">
        <f>0</f>
        <v/>
      </c>
      <c r="G8640" s="21">
        <f>2*$B$7052</f>
        <v/>
      </c>
      <c r="H8640" s="21">
        <f>-$B$7051</f>
        <v/>
      </c>
      <c r="I8640" s="21">
        <f>$B$7053</f>
        <v/>
      </c>
      <c r="J8640" s="21" t="n">
        <v>0</v>
      </c>
      <c r="K8640" s="21" t="n">
        <v>0</v>
      </c>
      <c r="L8640" s="21" t="n">
        <v>0</v>
      </c>
      <c r="M8640" s="21" t="n">
        <v>0</v>
      </c>
      <c r="N8640" s="21" t="n">
        <v>0</v>
      </c>
      <c r="O8640" s="21" t="n">
        <v>0</v>
      </c>
      <c r="P8640" s="21" t="n">
        <v>0</v>
      </c>
      <c r="Q8640" s="21" t="n">
        <v>0</v>
      </c>
      <c r="R8640" s="21" t="n">
        <v>0</v>
      </c>
      <c r="S8640" s="21" t="n">
        <v>0</v>
      </c>
      <c r="T8640" s="21" t="n">
        <v>0</v>
      </c>
      <c r="U8640" s="21" t="n">
        <v>0</v>
      </c>
      <c r="V8640" s="21" t="n">
        <v>0</v>
      </c>
      <c r="W8640" s="21" t="n">
        <v>0</v>
      </c>
      <c r="X8640" s="21" t="n">
        <v>0</v>
      </c>
      <c r="Y8640" s="21" t="n">
        <v>0</v>
      </c>
      <c r="Z8640" s="19" t="n"/>
    </row>
    <row r="8641">
      <c r="D8641" s="21" t="n">
        <v>0</v>
      </c>
      <c r="E8641" s="21" t="n">
        <v>0</v>
      </c>
      <c r="F8641" s="21">
        <f>-$B$7050</f>
        <v/>
      </c>
      <c r="G8641" s="21">
        <f>-$B$7051</f>
        <v/>
      </c>
      <c r="H8641" s="21">
        <f>2*$B$7050+$D$8627</f>
        <v/>
      </c>
      <c r="I8641" s="21">
        <f>0</f>
        <v/>
      </c>
      <c r="J8641" s="21">
        <f>-$B$7050</f>
        <v/>
      </c>
      <c r="K8641" s="21">
        <f>$B$7051</f>
        <v/>
      </c>
      <c r="L8641" s="21" t="n">
        <v>0</v>
      </c>
      <c r="M8641" s="21" t="n">
        <v>0</v>
      </c>
      <c r="N8641" s="21" t="n">
        <v>0</v>
      </c>
      <c r="O8641" s="21" t="n">
        <v>0</v>
      </c>
      <c r="P8641" s="21" t="n">
        <v>0</v>
      </c>
      <c r="Q8641" s="21" t="n">
        <v>0</v>
      </c>
      <c r="R8641" s="21" t="n">
        <v>0</v>
      </c>
      <c r="S8641" s="21" t="n">
        <v>0</v>
      </c>
      <c r="T8641" s="21" t="n">
        <v>0</v>
      </c>
      <c r="U8641" s="21" t="n">
        <v>0</v>
      </c>
      <c r="V8641" s="21" t="n">
        <v>0</v>
      </c>
      <c r="W8641" s="21" t="n">
        <v>0</v>
      </c>
      <c r="X8641" s="21" t="n">
        <v>0</v>
      </c>
      <c r="Y8641" s="21" t="n">
        <v>0</v>
      </c>
      <c r="Z8641" s="19" t="n"/>
    </row>
    <row r="8642">
      <c r="D8642" s="21" t="n">
        <v>0</v>
      </c>
      <c r="E8642" s="21" t="n">
        <v>0</v>
      </c>
      <c r="F8642" s="21">
        <f>$B$7051</f>
        <v/>
      </c>
      <c r="G8642" s="21">
        <f>$B$7053</f>
        <v/>
      </c>
      <c r="H8642" s="21">
        <f>0</f>
        <v/>
      </c>
      <c r="I8642" s="21">
        <f>2*$B$7052</f>
        <v/>
      </c>
      <c r="J8642" s="21">
        <f>-$B$7051</f>
        <v/>
      </c>
      <c r="K8642" s="21">
        <f>$B$7053</f>
        <v/>
      </c>
      <c r="L8642" s="21" t="n">
        <v>0</v>
      </c>
      <c r="M8642" s="21" t="n">
        <v>0</v>
      </c>
      <c r="N8642" s="21" t="n">
        <v>0</v>
      </c>
      <c r="O8642" s="21" t="n">
        <v>0</v>
      </c>
      <c r="P8642" s="21" t="n">
        <v>0</v>
      </c>
      <c r="Q8642" s="21" t="n">
        <v>0</v>
      </c>
      <c r="R8642" s="21" t="n">
        <v>0</v>
      </c>
      <c r="S8642" s="21" t="n">
        <v>0</v>
      </c>
      <c r="T8642" s="21" t="n">
        <v>0</v>
      </c>
      <c r="U8642" s="21" t="n">
        <v>0</v>
      </c>
      <c r="V8642" s="21" t="n">
        <v>0</v>
      </c>
      <c r="W8642" s="21" t="n">
        <v>0</v>
      </c>
      <c r="X8642" s="21" t="n">
        <v>0</v>
      </c>
      <c r="Y8642" s="21" t="n">
        <v>0</v>
      </c>
      <c r="Z8642" s="19" t="n"/>
    </row>
    <row r="8643">
      <c r="D8643" s="21" t="n">
        <v>0</v>
      </c>
      <c r="E8643" s="21" t="n">
        <v>0</v>
      </c>
      <c r="F8643" s="21" t="n">
        <v>0</v>
      </c>
      <c r="G8643" s="21" t="n">
        <v>0</v>
      </c>
      <c r="H8643" s="21">
        <f>-$B$7050</f>
        <v/>
      </c>
      <c r="I8643" s="21">
        <f>-$B$7051</f>
        <v/>
      </c>
      <c r="J8643" s="21">
        <f>2*$B$7050+$D$8628</f>
        <v/>
      </c>
      <c r="K8643" s="21">
        <f>0</f>
        <v/>
      </c>
      <c r="L8643" s="21">
        <f>-$B$7050</f>
        <v/>
      </c>
      <c r="M8643" s="21">
        <f>$B$7051</f>
        <v/>
      </c>
      <c r="N8643" s="21" t="n">
        <v>0</v>
      </c>
      <c r="O8643" s="21" t="n">
        <v>0</v>
      </c>
      <c r="P8643" s="21" t="n">
        <v>0</v>
      </c>
      <c r="Q8643" s="21" t="n">
        <v>0</v>
      </c>
      <c r="R8643" s="21" t="n">
        <v>0</v>
      </c>
      <c r="S8643" s="21" t="n">
        <v>0</v>
      </c>
      <c r="T8643" s="21" t="n">
        <v>0</v>
      </c>
      <c r="U8643" s="21" t="n">
        <v>0</v>
      </c>
      <c r="V8643" s="21" t="n">
        <v>0</v>
      </c>
      <c r="W8643" s="21" t="n">
        <v>0</v>
      </c>
      <c r="X8643" s="21" t="n">
        <v>0</v>
      </c>
      <c r="Y8643" s="21" t="n">
        <v>0</v>
      </c>
      <c r="Z8643" s="19" t="n"/>
    </row>
    <row r="8644">
      <c r="D8644" s="21" t="n">
        <v>0</v>
      </c>
      <c r="E8644" s="21" t="n">
        <v>0</v>
      </c>
      <c r="F8644" s="21" t="n">
        <v>0</v>
      </c>
      <c r="G8644" s="21" t="n">
        <v>0</v>
      </c>
      <c r="H8644" s="21">
        <f>$B$7051</f>
        <v/>
      </c>
      <c r="I8644" s="21">
        <f>$B$7053</f>
        <v/>
      </c>
      <c r="J8644" s="21">
        <f>0</f>
        <v/>
      </c>
      <c r="K8644" s="21">
        <f>2*$B$7052</f>
        <v/>
      </c>
      <c r="L8644" s="21">
        <f>-$B$7051</f>
        <v/>
      </c>
      <c r="M8644" s="21">
        <f>$B$7053</f>
        <v/>
      </c>
      <c r="N8644" s="21" t="n">
        <v>0</v>
      </c>
      <c r="O8644" s="21" t="n">
        <v>0</v>
      </c>
      <c r="P8644" s="21" t="n">
        <v>0</v>
      </c>
      <c r="Q8644" s="21" t="n">
        <v>0</v>
      </c>
      <c r="R8644" s="21" t="n">
        <v>0</v>
      </c>
      <c r="S8644" s="21" t="n">
        <v>0</v>
      </c>
      <c r="T8644" s="21" t="n">
        <v>0</v>
      </c>
      <c r="U8644" s="21" t="n">
        <v>0</v>
      </c>
      <c r="V8644" s="21" t="n">
        <v>0</v>
      </c>
      <c r="W8644" s="21" t="n">
        <v>0</v>
      </c>
      <c r="X8644" s="21" t="n">
        <v>0</v>
      </c>
      <c r="Y8644" s="21" t="n">
        <v>0</v>
      </c>
      <c r="Z8644" s="19" t="n"/>
    </row>
    <row r="8645">
      <c r="D8645" s="21" t="n">
        <v>0</v>
      </c>
      <c r="E8645" s="21" t="n">
        <v>0</v>
      </c>
      <c r="F8645" s="21" t="n">
        <v>0</v>
      </c>
      <c r="G8645" s="21" t="n">
        <v>0</v>
      </c>
      <c r="H8645" s="21" t="n">
        <v>0</v>
      </c>
      <c r="I8645" s="21" t="n">
        <v>0</v>
      </c>
      <c r="J8645" s="21">
        <f>-$B$7050</f>
        <v/>
      </c>
      <c r="K8645" s="21">
        <f>-$B$7051</f>
        <v/>
      </c>
      <c r="L8645" s="21">
        <f>2*$B$7050+$D$8629</f>
        <v/>
      </c>
      <c r="M8645" s="21">
        <f>0</f>
        <v/>
      </c>
      <c r="N8645" s="21">
        <f>-$B$7050</f>
        <v/>
      </c>
      <c r="O8645" s="21">
        <f>$B$7051</f>
        <v/>
      </c>
      <c r="P8645" s="21" t="n">
        <v>0</v>
      </c>
      <c r="Q8645" s="21" t="n">
        <v>0</v>
      </c>
      <c r="R8645" s="21" t="n">
        <v>0</v>
      </c>
      <c r="S8645" s="21" t="n">
        <v>0</v>
      </c>
      <c r="T8645" s="21" t="n">
        <v>0</v>
      </c>
      <c r="U8645" s="21" t="n">
        <v>0</v>
      </c>
      <c r="V8645" s="21" t="n">
        <v>0</v>
      </c>
      <c r="W8645" s="21" t="n">
        <v>0</v>
      </c>
      <c r="X8645" s="21" t="n">
        <v>0</v>
      </c>
      <c r="Y8645" s="21" t="n">
        <v>0</v>
      </c>
      <c r="Z8645" s="19" t="n"/>
    </row>
    <row r="8646">
      <c r="D8646" s="21" t="n">
        <v>0</v>
      </c>
      <c r="E8646" s="21" t="n">
        <v>0</v>
      </c>
      <c r="F8646" s="21" t="n">
        <v>0</v>
      </c>
      <c r="G8646" s="21" t="n">
        <v>0</v>
      </c>
      <c r="H8646" s="21" t="n">
        <v>0</v>
      </c>
      <c r="I8646" s="21" t="n">
        <v>0</v>
      </c>
      <c r="J8646" s="21">
        <f>$B$7051</f>
        <v/>
      </c>
      <c r="K8646" s="21">
        <f>$B$7053</f>
        <v/>
      </c>
      <c r="L8646" s="21">
        <f>0</f>
        <v/>
      </c>
      <c r="M8646" s="21">
        <f>2*$B$7052</f>
        <v/>
      </c>
      <c r="N8646" s="21">
        <f>-$B$7051</f>
        <v/>
      </c>
      <c r="O8646" s="21">
        <f>$B$7053</f>
        <v/>
      </c>
      <c r="P8646" s="21" t="n">
        <v>0</v>
      </c>
      <c r="Q8646" s="21" t="n">
        <v>0</v>
      </c>
      <c r="R8646" s="21" t="n">
        <v>0</v>
      </c>
      <c r="S8646" s="21" t="n">
        <v>0</v>
      </c>
      <c r="T8646" s="21" t="n">
        <v>0</v>
      </c>
      <c r="U8646" s="21" t="n">
        <v>0</v>
      </c>
      <c r="V8646" s="21" t="n">
        <v>0</v>
      </c>
      <c r="W8646" s="21" t="n">
        <v>0</v>
      </c>
      <c r="X8646" s="21" t="n">
        <v>0</v>
      </c>
      <c r="Y8646" s="21" t="n">
        <v>0</v>
      </c>
      <c r="Z8646" s="19" t="n"/>
    </row>
    <row r="8647">
      <c r="D8647" s="21" t="n">
        <v>0</v>
      </c>
      <c r="E8647" s="21" t="n">
        <v>0</v>
      </c>
      <c r="F8647" s="21" t="n">
        <v>0</v>
      </c>
      <c r="G8647" s="21" t="n">
        <v>0</v>
      </c>
      <c r="H8647" s="21" t="n">
        <v>0</v>
      </c>
      <c r="I8647" s="21" t="n">
        <v>0</v>
      </c>
      <c r="J8647" s="21" t="n">
        <v>0</v>
      </c>
      <c r="K8647" s="21" t="n">
        <v>0</v>
      </c>
      <c r="L8647" s="21">
        <f>-$B$7050</f>
        <v/>
      </c>
      <c r="M8647" s="21">
        <f>-$B$7051</f>
        <v/>
      </c>
      <c r="N8647" s="21">
        <f>2*$B$7050+$D$8630</f>
        <v/>
      </c>
      <c r="O8647" s="21">
        <f>0</f>
        <v/>
      </c>
      <c r="P8647" s="21">
        <f>-$B$7050</f>
        <v/>
      </c>
      <c r="Q8647" s="21">
        <f>$B$7051</f>
        <v/>
      </c>
      <c r="R8647" s="21" t="n">
        <v>0</v>
      </c>
      <c r="S8647" s="21" t="n">
        <v>0</v>
      </c>
      <c r="T8647" s="21" t="n">
        <v>0</v>
      </c>
      <c r="U8647" s="21" t="n">
        <v>0</v>
      </c>
      <c r="V8647" s="21" t="n">
        <v>0</v>
      </c>
      <c r="W8647" s="21" t="n">
        <v>0</v>
      </c>
      <c r="X8647" s="21" t="n">
        <v>0</v>
      </c>
      <c r="Y8647" s="21" t="n">
        <v>0</v>
      </c>
      <c r="Z8647" s="19" t="n"/>
    </row>
    <row r="8648">
      <c r="D8648" s="21" t="n">
        <v>0</v>
      </c>
      <c r="E8648" s="21" t="n">
        <v>0</v>
      </c>
      <c r="F8648" s="21" t="n">
        <v>0</v>
      </c>
      <c r="G8648" s="21" t="n">
        <v>0</v>
      </c>
      <c r="H8648" s="21" t="n">
        <v>0</v>
      </c>
      <c r="I8648" s="21" t="n">
        <v>0</v>
      </c>
      <c r="J8648" s="21" t="n">
        <v>0</v>
      </c>
      <c r="K8648" s="21" t="n">
        <v>0</v>
      </c>
      <c r="L8648" s="21">
        <f>$B$7051</f>
        <v/>
      </c>
      <c r="M8648" s="21">
        <f>$B$7053</f>
        <v/>
      </c>
      <c r="N8648" s="21">
        <f>0</f>
        <v/>
      </c>
      <c r="O8648" s="21">
        <f>2*$B$7052</f>
        <v/>
      </c>
      <c r="P8648" s="21">
        <f>-$B$7051</f>
        <v/>
      </c>
      <c r="Q8648" s="21">
        <f>$B$7053</f>
        <v/>
      </c>
      <c r="R8648" s="21" t="n">
        <v>0</v>
      </c>
      <c r="S8648" s="21" t="n">
        <v>0</v>
      </c>
      <c r="T8648" s="21" t="n">
        <v>0</v>
      </c>
      <c r="U8648" s="21" t="n">
        <v>0</v>
      </c>
      <c r="V8648" s="21" t="n">
        <v>0</v>
      </c>
      <c r="W8648" s="21" t="n">
        <v>0</v>
      </c>
      <c r="X8648" s="21" t="n">
        <v>0</v>
      </c>
      <c r="Y8648" s="21" t="n">
        <v>0</v>
      </c>
      <c r="Z8648" s="19" t="n"/>
    </row>
    <row r="8649">
      <c r="D8649" s="21" t="n">
        <v>0</v>
      </c>
      <c r="E8649" s="21" t="n">
        <v>0</v>
      </c>
      <c r="F8649" s="21" t="n">
        <v>0</v>
      </c>
      <c r="G8649" s="21" t="n">
        <v>0</v>
      </c>
      <c r="H8649" s="21" t="n">
        <v>0</v>
      </c>
      <c r="I8649" s="21" t="n">
        <v>0</v>
      </c>
      <c r="J8649" s="21" t="n">
        <v>0</v>
      </c>
      <c r="K8649" s="21" t="n">
        <v>0</v>
      </c>
      <c r="L8649" s="21" t="n">
        <v>0</v>
      </c>
      <c r="M8649" s="21" t="n">
        <v>0</v>
      </c>
      <c r="N8649" s="21">
        <f>-$B$7050</f>
        <v/>
      </c>
      <c r="O8649" s="21">
        <f>-$B$7051</f>
        <v/>
      </c>
      <c r="P8649" s="21">
        <f>2*$B$7050+$D$8631</f>
        <v/>
      </c>
      <c r="Q8649" s="21">
        <f>0</f>
        <v/>
      </c>
      <c r="R8649" s="21">
        <f>-$B$7050</f>
        <v/>
      </c>
      <c r="S8649" s="21">
        <f>$B$7051</f>
        <v/>
      </c>
      <c r="T8649" s="21" t="n">
        <v>0</v>
      </c>
      <c r="U8649" s="21" t="n">
        <v>0</v>
      </c>
      <c r="V8649" s="21" t="n">
        <v>0</v>
      </c>
      <c r="W8649" s="21" t="n">
        <v>0</v>
      </c>
      <c r="X8649" s="21" t="n">
        <v>0</v>
      </c>
      <c r="Y8649" s="21" t="n">
        <v>0</v>
      </c>
      <c r="Z8649" s="19" t="n"/>
    </row>
    <row r="8650">
      <c r="D8650" s="21" t="n">
        <v>0</v>
      </c>
      <c r="E8650" s="21" t="n">
        <v>0</v>
      </c>
      <c r="F8650" s="21" t="n">
        <v>0</v>
      </c>
      <c r="G8650" s="21" t="n">
        <v>0</v>
      </c>
      <c r="H8650" s="21" t="n">
        <v>0</v>
      </c>
      <c r="I8650" s="21" t="n">
        <v>0</v>
      </c>
      <c r="J8650" s="21" t="n">
        <v>0</v>
      </c>
      <c r="K8650" s="21" t="n">
        <v>0</v>
      </c>
      <c r="L8650" s="21" t="n">
        <v>0</v>
      </c>
      <c r="M8650" s="21" t="n">
        <v>0</v>
      </c>
      <c r="N8650" s="21">
        <f>$B$7051</f>
        <v/>
      </c>
      <c r="O8650" s="21">
        <f>$B$7053</f>
        <v/>
      </c>
      <c r="P8650" s="21">
        <f>0</f>
        <v/>
      </c>
      <c r="Q8650" s="21">
        <f>2*$B$7052</f>
        <v/>
      </c>
      <c r="R8650" s="21">
        <f>-$B$7051</f>
        <v/>
      </c>
      <c r="S8650" s="21">
        <f>$B$7053</f>
        <v/>
      </c>
      <c r="T8650" s="21" t="n">
        <v>0</v>
      </c>
      <c r="U8650" s="21" t="n">
        <v>0</v>
      </c>
      <c r="V8650" s="21" t="n">
        <v>0</v>
      </c>
      <c r="W8650" s="21" t="n">
        <v>0</v>
      </c>
      <c r="X8650" s="21" t="n">
        <v>0</v>
      </c>
      <c r="Y8650" s="21" t="n">
        <v>0</v>
      </c>
      <c r="Z8650" s="19" t="n"/>
    </row>
    <row r="8651">
      <c r="D8651" s="21" t="n">
        <v>0</v>
      </c>
      <c r="E8651" s="21" t="n">
        <v>0</v>
      </c>
      <c r="F8651" s="21" t="n">
        <v>0</v>
      </c>
      <c r="G8651" s="21" t="n">
        <v>0</v>
      </c>
      <c r="H8651" s="21" t="n">
        <v>0</v>
      </c>
      <c r="I8651" s="21" t="n">
        <v>0</v>
      </c>
      <c r="J8651" s="21" t="n">
        <v>0</v>
      </c>
      <c r="K8651" s="21" t="n">
        <v>0</v>
      </c>
      <c r="L8651" s="21" t="n">
        <v>0</v>
      </c>
      <c r="M8651" s="21" t="n">
        <v>0</v>
      </c>
      <c r="N8651" s="21" t="n">
        <v>0</v>
      </c>
      <c r="O8651" s="21" t="n">
        <v>0</v>
      </c>
      <c r="P8651" s="21">
        <f>-$B$7050</f>
        <v/>
      </c>
      <c r="Q8651" s="21">
        <f>-$B$7051</f>
        <v/>
      </c>
      <c r="R8651" s="21">
        <f>2*$B$7050+$D$8632</f>
        <v/>
      </c>
      <c r="S8651" s="21">
        <f>0</f>
        <v/>
      </c>
      <c r="T8651" s="21">
        <f>-$B$7050</f>
        <v/>
      </c>
      <c r="U8651" s="21">
        <f>$B$7051</f>
        <v/>
      </c>
      <c r="V8651" s="21" t="n">
        <v>0</v>
      </c>
      <c r="W8651" s="21" t="n">
        <v>0</v>
      </c>
      <c r="X8651" s="21" t="n">
        <v>0</v>
      </c>
      <c r="Y8651" s="21" t="n">
        <v>0</v>
      </c>
      <c r="Z8651" s="19" t="n"/>
    </row>
    <row r="8652">
      <c r="D8652" s="21" t="n">
        <v>0</v>
      </c>
      <c r="E8652" s="21" t="n">
        <v>0</v>
      </c>
      <c r="F8652" s="21" t="n">
        <v>0</v>
      </c>
      <c r="G8652" s="21" t="n">
        <v>0</v>
      </c>
      <c r="H8652" s="21" t="n">
        <v>0</v>
      </c>
      <c r="I8652" s="21" t="n">
        <v>0</v>
      </c>
      <c r="J8652" s="21" t="n">
        <v>0</v>
      </c>
      <c r="K8652" s="21" t="n">
        <v>0</v>
      </c>
      <c r="L8652" s="21" t="n">
        <v>0</v>
      </c>
      <c r="M8652" s="21" t="n">
        <v>0</v>
      </c>
      <c r="N8652" s="21" t="n">
        <v>0</v>
      </c>
      <c r="O8652" s="21" t="n">
        <v>0</v>
      </c>
      <c r="P8652" s="21">
        <f>$B$7051</f>
        <v/>
      </c>
      <c r="Q8652" s="21">
        <f>$B$7053</f>
        <v/>
      </c>
      <c r="R8652" s="21">
        <f>0</f>
        <v/>
      </c>
      <c r="S8652" s="21">
        <f>2*$B$7052</f>
        <v/>
      </c>
      <c r="T8652" s="21">
        <f>-$B$7051</f>
        <v/>
      </c>
      <c r="U8652" s="21">
        <f>$B$7053</f>
        <v/>
      </c>
      <c r="V8652" s="21" t="n">
        <v>0</v>
      </c>
      <c r="W8652" s="21" t="n">
        <v>0</v>
      </c>
      <c r="X8652" s="21" t="n">
        <v>0</v>
      </c>
      <c r="Y8652" s="21" t="n">
        <v>0</v>
      </c>
      <c r="Z8652" s="19" t="n"/>
    </row>
    <row r="8653">
      <c r="D8653" s="21" t="n">
        <v>0</v>
      </c>
      <c r="E8653" s="21" t="n">
        <v>0</v>
      </c>
      <c r="F8653" s="21" t="n">
        <v>0</v>
      </c>
      <c r="G8653" s="21" t="n">
        <v>0</v>
      </c>
      <c r="H8653" s="21" t="n">
        <v>0</v>
      </c>
      <c r="I8653" s="21" t="n">
        <v>0</v>
      </c>
      <c r="J8653" s="21" t="n">
        <v>0</v>
      </c>
      <c r="K8653" s="21" t="n">
        <v>0</v>
      </c>
      <c r="L8653" s="21" t="n">
        <v>0</v>
      </c>
      <c r="M8653" s="21" t="n">
        <v>0</v>
      </c>
      <c r="N8653" s="21" t="n">
        <v>0</v>
      </c>
      <c r="O8653" s="21" t="n">
        <v>0</v>
      </c>
      <c r="P8653" s="21" t="n">
        <v>0</v>
      </c>
      <c r="Q8653" s="21" t="n">
        <v>0</v>
      </c>
      <c r="R8653" s="21">
        <f>-$B$7050</f>
        <v/>
      </c>
      <c r="S8653" s="21">
        <f>-$B$7051</f>
        <v/>
      </c>
      <c r="T8653" s="21">
        <f>2*$B$7050+$D$8633</f>
        <v/>
      </c>
      <c r="U8653" s="21">
        <f>0</f>
        <v/>
      </c>
      <c r="V8653" s="21">
        <f>-$B$7050</f>
        <v/>
      </c>
      <c r="W8653" s="21">
        <f>$B$7051</f>
        <v/>
      </c>
      <c r="X8653" s="21" t="n">
        <v>0</v>
      </c>
      <c r="Y8653" s="21" t="n">
        <v>0</v>
      </c>
      <c r="Z8653" s="19" t="n"/>
    </row>
    <row r="8654">
      <c r="D8654" s="21" t="n">
        <v>0</v>
      </c>
      <c r="E8654" s="21" t="n">
        <v>0</v>
      </c>
      <c r="F8654" s="21" t="n">
        <v>0</v>
      </c>
      <c r="G8654" s="21" t="n">
        <v>0</v>
      </c>
      <c r="H8654" s="21" t="n">
        <v>0</v>
      </c>
      <c r="I8654" s="21" t="n">
        <v>0</v>
      </c>
      <c r="J8654" s="21" t="n">
        <v>0</v>
      </c>
      <c r="K8654" s="21" t="n">
        <v>0</v>
      </c>
      <c r="L8654" s="21" t="n">
        <v>0</v>
      </c>
      <c r="M8654" s="21" t="n">
        <v>0</v>
      </c>
      <c r="N8654" s="21" t="n">
        <v>0</v>
      </c>
      <c r="O8654" s="21" t="n">
        <v>0</v>
      </c>
      <c r="P8654" s="21" t="n">
        <v>0</v>
      </c>
      <c r="Q8654" s="21" t="n">
        <v>0</v>
      </c>
      <c r="R8654" s="21">
        <f>$B$7051</f>
        <v/>
      </c>
      <c r="S8654" s="21">
        <f>$B$7053</f>
        <v/>
      </c>
      <c r="T8654" s="21">
        <f>0</f>
        <v/>
      </c>
      <c r="U8654" s="21">
        <f>2*$B$7052</f>
        <v/>
      </c>
      <c r="V8654" s="21">
        <f>-$B$7051</f>
        <v/>
      </c>
      <c r="W8654" s="21">
        <f>$B$7053</f>
        <v/>
      </c>
      <c r="X8654" s="21" t="n">
        <v>0</v>
      </c>
      <c r="Y8654" s="21" t="n">
        <v>0</v>
      </c>
      <c r="Z8654" s="19" t="n"/>
    </row>
    <row r="8655">
      <c r="D8655" s="21" t="n">
        <v>0</v>
      </c>
      <c r="E8655" s="21" t="n">
        <v>0</v>
      </c>
      <c r="F8655" s="21" t="n">
        <v>0</v>
      </c>
      <c r="G8655" s="21" t="n">
        <v>0</v>
      </c>
      <c r="H8655" s="21" t="n">
        <v>0</v>
      </c>
      <c r="I8655" s="21" t="n">
        <v>0</v>
      </c>
      <c r="J8655" s="21" t="n">
        <v>0</v>
      </c>
      <c r="K8655" s="21" t="n">
        <v>0</v>
      </c>
      <c r="L8655" s="21" t="n">
        <v>0</v>
      </c>
      <c r="M8655" s="21" t="n">
        <v>0</v>
      </c>
      <c r="N8655" s="21" t="n">
        <v>0</v>
      </c>
      <c r="O8655" s="21" t="n">
        <v>0</v>
      </c>
      <c r="P8655" s="21" t="n">
        <v>0</v>
      </c>
      <c r="Q8655" s="21" t="n">
        <v>0</v>
      </c>
      <c r="R8655" s="21" t="n">
        <v>0</v>
      </c>
      <c r="S8655" s="21" t="n">
        <v>0</v>
      </c>
      <c r="T8655" s="21">
        <f>-$B$7050</f>
        <v/>
      </c>
      <c r="U8655" s="21">
        <f>-$B$7051</f>
        <v/>
      </c>
      <c r="V8655" s="21">
        <f>2*$B$7050+$D$8634</f>
        <v/>
      </c>
      <c r="W8655" s="21">
        <f>0</f>
        <v/>
      </c>
      <c r="X8655" s="21">
        <f>-$B$7050</f>
        <v/>
      </c>
      <c r="Y8655" s="21">
        <f>$B$7051</f>
        <v/>
      </c>
      <c r="Z8655" s="19" t="n"/>
    </row>
    <row r="8656">
      <c r="D8656" s="21" t="n">
        <v>0</v>
      </c>
      <c r="E8656" s="21" t="n">
        <v>0</v>
      </c>
      <c r="F8656" s="21" t="n">
        <v>0</v>
      </c>
      <c r="G8656" s="21" t="n">
        <v>0</v>
      </c>
      <c r="H8656" s="21" t="n">
        <v>0</v>
      </c>
      <c r="I8656" s="21" t="n">
        <v>0</v>
      </c>
      <c r="J8656" s="21" t="n">
        <v>0</v>
      </c>
      <c r="K8656" s="21" t="n">
        <v>0</v>
      </c>
      <c r="L8656" s="21" t="n">
        <v>0</v>
      </c>
      <c r="M8656" s="21" t="n">
        <v>0</v>
      </c>
      <c r="N8656" s="21" t="n">
        <v>0</v>
      </c>
      <c r="O8656" s="21" t="n">
        <v>0</v>
      </c>
      <c r="P8656" s="21" t="n">
        <v>0</v>
      </c>
      <c r="Q8656" s="21" t="n">
        <v>0</v>
      </c>
      <c r="R8656" s="21" t="n">
        <v>0</v>
      </c>
      <c r="S8656" s="21" t="n">
        <v>0</v>
      </c>
      <c r="T8656" s="21">
        <f>$B$7051</f>
        <v/>
      </c>
      <c r="U8656" s="21">
        <f>$B$7053</f>
        <v/>
      </c>
      <c r="V8656" s="21">
        <f>0</f>
        <v/>
      </c>
      <c r="W8656" s="21">
        <f>2*$B$7052</f>
        <v/>
      </c>
      <c r="X8656" s="21">
        <f>-$B$7051</f>
        <v/>
      </c>
      <c r="Y8656" s="21">
        <f>$B$7053</f>
        <v/>
      </c>
      <c r="Z8656" s="19" t="n"/>
    </row>
    <row r="8657">
      <c r="D8657" s="21" t="n">
        <v>0</v>
      </c>
      <c r="E8657" s="21" t="n">
        <v>0</v>
      </c>
      <c r="F8657" s="21" t="n">
        <v>0</v>
      </c>
      <c r="G8657" s="21" t="n">
        <v>0</v>
      </c>
      <c r="H8657" s="21" t="n">
        <v>0</v>
      </c>
      <c r="I8657" s="21" t="n">
        <v>0</v>
      </c>
      <c r="J8657" s="21" t="n">
        <v>0</v>
      </c>
      <c r="K8657" s="21" t="n">
        <v>0</v>
      </c>
      <c r="L8657" s="21" t="n">
        <v>0</v>
      </c>
      <c r="M8657" s="21" t="n">
        <v>0</v>
      </c>
      <c r="N8657" s="21" t="n">
        <v>0</v>
      </c>
      <c r="O8657" s="21" t="n">
        <v>0</v>
      </c>
      <c r="P8657" s="21" t="n">
        <v>0</v>
      </c>
      <c r="Q8657" s="21" t="n">
        <v>0</v>
      </c>
      <c r="R8657" s="21" t="n">
        <v>0</v>
      </c>
      <c r="S8657" s="21" t="n">
        <v>0</v>
      </c>
      <c r="T8657" s="21" t="n">
        <v>0</v>
      </c>
      <c r="U8657" s="21" t="n">
        <v>0</v>
      </c>
      <c r="V8657" s="21">
        <f>-$B$7050</f>
        <v/>
      </c>
      <c r="W8657" s="21">
        <f>-$B$7051</f>
        <v/>
      </c>
      <c r="X8657" s="21">
        <f>$B$7050+$D$8635</f>
        <v/>
      </c>
      <c r="Y8657" s="21">
        <f>-$B$7051</f>
        <v/>
      </c>
      <c r="Z8657" s="19" t="n"/>
    </row>
    <row r="8658">
      <c r="D8658" s="21" t="n">
        <v>0</v>
      </c>
      <c r="E8658" s="21" t="n">
        <v>0</v>
      </c>
      <c r="F8658" s="21" t="n">
        <v>0</v>
      </c>
      <c r="G8658" s="21" t="n">
        <v>0</v>
      </c>
      <c r="H8658" s="21" t="n">
        <v>0</v>
      </c>
      <c r="I8658" s="21" t="n">
        <v>0</v>
      </c>
      <c r="J8658" s="21" t="n">
        <v>0</v>
      </c>
      <c r="K8658" s="21" t="n">
        <v>0</v>
      </c>
      <c r="L8658" s="21" t="n">
        <v>0</v>
      </c>
      <c r="M8658" s="21" t="n">
        <v>0</v>
      </c>
      <c r="N8658" s="21" t="n">
        <v>0</v>
      </c>
      <c r="O8658" s="21" t="n">
        <v>0</v>
      </c>
      <c r="P8658" s="21" t="n">
        <v>0</v>
      </c>
      <c r="Q8658" s="21" t="n">
        <v>0</v>
      </c>
      <c r="R8658" s="21" t="n">
        <v>0</v>
      </c>
      <c r="S8658" s="21" t="n">
        <v>0</v>
      </c>
      <c r="T8658" s="21" t="n">
        <v>0</v>
      </c>
      <c r="U8658" s="21" t="n">
        <v>0</v>
      </c>
      <c r="V8658" s="21">
        <f>$B$7051</f>
        <v/>
      </c>
      <c r="W8658" s="21">
        <f>$B$7053</f>
        <v/>
      </c>
      <c r="X8658" s="21">
        <f>-$B$7051</f>
        <v/>
      </c>
      <c r="Y8658" s="21">
        <f>$B$7052</f>
        <v/>
      </c>
      <c r="Z8658" s="19" t="n"/>
    </row>
    <row r="8660">
      <c r="A8660" s="8" t="inlineStr">
        <is>
          <t>gen 44</t>
        </is>
      </c>
    </row>
    <row r="8661">
      <c r="D8661" s="19">
        <f>IF(ABS(IF(ABS($E$8625)&gt;0.000000001,$E$8625,0.000000001))=0,0,IF($E$7065&lt;=$B$7059,0,IF(ABS(IF(ABS($E$8625)&gt;0.000000001,$E$8625,0.000000001))&gt;=8*$B$7061,$H$7065,0.5*$H$7065*(ABS(IF(ABS($E$8625)&gt;0.000000001,$E$8625,0.000000001))/$B$7061)^(1/3)))/ABS(IF(ABS($E$8625)&gt;0.000000001,$E$8625,0.000000001))*$I$7065)</f>
        <v/>
      </c>
      <c r="E8661" s="19">
        <f>0.5*$E$8625+0.5*$Z$8673</f>
        <v/>
      </c>
      <c r="F8661" s="19">
        <f>$Z$8674</f>
        <v/>
      </c>
    </row>
    <row r="8662">
      <c r="D8662" s="19">
        <f>IF(ABS(IF(ABS($E$8626)&gt;0.000000001,$E$8626,0.000000001))=0,0,IF($E$7066&lt;=$B$7059,0,IF(ABS(IF(ABS($E$8626)&gt;0.000000001,$E$8626,0.000000001))&gt;=8*$B$7061,$H$7066,0.5*$H$7066*(ABS(IF(ABS($E$8626)&gt;0.000000001,$E$8626,0.000000001))/$B$7061)^(1/3)))/ABS(IF(ABS($E$8626)&gt;0.000000001,$E$8626,0.000000001))*$I$7066)</f>
        <v/>
      </c>
      <c r="E8662" s="19">
        <f>0.5*$E$8626+0.5*$Z$8675</f>
        <v/>
      </c>
      <c r="F8662" s="19">
        <f>$Z$8676</f>
        <v/>
      </c>
    </row>
    <row r="8663">
      <c r="D8663" s="19">
        <f>IF(ABS(IF(ABS($E$8627)&gt;0.000000001,$E$8627,0.000000001))=0,0,IF($E$7067&lt;=$B$7059,0,IF(ABS(IF(ABS($E$8627)&gt;0.000000001,$E$8627,0.000000001))&gt;=8*$B$7061,$H$7067,0.5*$H$7067*(ABS(IF(ABS($E$8627)&gt;0.000000001,$E$8627,0.000000001))/$B$7061)^(1/3)))/ABS(IF(ABS($E$8627)&gt;0.000000001,$E$8627,0.000000001))*$I$7067)</f>
        <v/>
      </c>
      <c r="E8663" s="19">
        <f>0.5*$E$8627+0.5*$Z$8677</f>
        <v/>
      </c>
      <c r="F8663" s="19">
        <f>$Z$8678</f>
        <v/>
      </c>
    </row>
    <row r="8664">
      <c r="D8664" s="19">
        <f>IF(ABS(IF(ABS($E$8628)&gt;0.000000001,$E$8628,0.000000001))=0,0,IF($E$7068&lt;=$B$7059,0,IF(ABS(IF(ABS($E$8628)&gt;0.000000001,$E$8628,0.000000001))&gt;=8*$B$7061,$H$7068,0.5*$H$7068*(ABS(IF(ABS($E$8628)&gt;0.000000001,$E$8628,0.000000001))/$B$7061)^(1/3)))/ABS(IF(ABS($E$8628)&gt;0.000000001,$E$8628,0.000000001))*$I$7068)</f>
        <v/>
      </c>
      <c r="E8664" s="19">
        <f>0.5*$E$8628+0.5*$Z$8679</f>
        <v/>
      </c>
      <c r="F8664" s="19">
        <f>$Z$8680</f>
        <v/>
      </c>
    </row>
    <row r="8665">
      <c r="D8665" s="19">
        <f>IF(ABS(IF(ABS($E$8629)&gt;0.000000001,$E$8629,0.000000001))=0,0,IF($E$7069&lt;=$B$7059,0,IF(ABS(IF(ABS($E$8629)&gt;0.000000001,$E$8629,0.000000001))&gt;=8*$B$7061,$H$7069,0.5*$H$7069*(ABS(IF(ABS($E$8629)&gt;0.000000001,$E$8629,0.000000001))/$B$7061)^(1/3)))/ABS(IF(ABS($E$8629)&gt;0.000000001,$E$8629,0.000000001))*$I$7069)</f>
        <v/>
      </c>
      <c r="E8665" s="19">
        <f>0.5*$E$8629+0.5*$Z$8681</f>
        <v/>
      </c>
      <c r="F8665" s="19">
        <f>$Z$8682</f>
        <v/>
      </c>
    </row>
    <row r="8666">
      <c r="D8666" s="19">
        <f>IF(ABS(IF(ABS($E$8630)&gt;0.000000001,$E$8630,0.000000001))=0,0,IF($E$7070&lt;=$B$7059,0,IF(ABS(IF(ABS($E$8630)&gt;0.000000001,$E$8630,0.000000001))&gt;=8*$B$7061,$H$7070,0.5*$H$7070*(ABS(IF(ABS($E$8630)&gt;0.000000001,$E$8630,0.000000001))/$B$7061)^(1/3)))/ABS(IF(ABS($E$8630)&gt;0.000000001,$E$8630,0.000000001))*$I$7070)</f>
        <v/>
      </c>
      <c r="E8666" s="19">
        <f>0.5*$E$8630+0.5*$Z$8683</f>
        <v/>
      </c>
      <c r="F8666" s="19">
        <f>$Z$8684</f>
        <v/>
      </c>
    </row>
    <row r="8667">
      <c r="D8667" s="19">
        <f>IF(ABS(IF(ABS($E$8631)&gt;0.000000001,$E$8631,0.000000001))=0,0,IF($E$7071&lt;=$B$7059,0,IF(ABS(IF(ABS($E$8631)&gt;0.000000001,$E$8631,0.000000001))&gt;=8*$B$7061,$H$7071,0.5*$H$7071*(ABS(IF(ABS($E$8631)&gt;0.000000001,$E$8631,0.000000001))/$B$7061)^(1/3)))/ABS(IF(ABS($E$8631)&gt;0.000000001,$E$8631,0.000000001))*$I$7071)</f>
        <v/>
      </c>
      <c r="E8667" s="19">
        <f>0.5*$E$8631+0.5*$Z$8685</f>
        <v/>
      </c>
      <c r="F8667" s="19">
        <f>$Z$8686</f>
        <v/>
      </c>
    </row>
    <row r="8668">
      <c r="D8668" s="19">
        <f>IF(ABS(IF(ABS($E$8632)&gt;0.000000001,$E$8632,0.000000001))=0,0,IF($E$7072&lt;=$B$7059,0,IF(ABS(IF(ABS($E$8632)&gt;0.000000001,$E$8632,0.000000001))&gt;=8*$B$7061,$H$7072,0.5*$H$7072*(ABS(IF(ABS($E$8632)&gt;0.000000001,$E$8632,0.000000001))/$B$7061)^(1/3)))/ABS(IF(ABS($E$8632)&gt;0.000000001,$E$8632,0.000000001))*$I$7072)</f>
        <v/>
      </c>
      <c r="E8668" s="19">
        <f>0.5*$E$8632+0.5*$Z$8687</f>
        <v/>
      </c>
      <c r="F8668" s="19">
        <f>$Z$8688</f>
        <v/>
      </c>
    </row>
    <row r="8669">
      <c r="D8669" s="19">
        <f>IF(ABS(IF(ABS($E$8633)&gt;0.000000001,$E$8633,0.000000001))=0,0,IF($E$7073&lt;=$B$7059,0,IF(ABS(IF(ABS($E$8633)&gt;0.000000001,$E$8633,0.000000001))&gt;=8*$B$7061,$H$7073,0.5*$H$7073*(ABS(IF(ABS($E$8633)&gt;0.000000001,$E$8633,0.000000001))/$B$7061)^(1/3)))/ABS(IF(ABS($E$8633)&gt;0.000000001,$E$8633,0.000000001))*$I$7073)</f>
        <v/>
      </c>
      <c r="E8669" s="19">
        <f>0.5*$E$8633+0.5*$Z$8689</f>
        <v/>
      </c>
      <c r="F8669" s="19">
        <f>$Z$8690</f>
        <v/>
      </c>
    </row>
    <row r="8670">
      <c r="D8670" s="19">
        <f>IF(ABS(IF(ABS($E$8634)&gt;0.000000001,$E$8634,0.000000001))=0,0,IF($E$7074&lt;=$B$7059,0,IF(ABS(IF(ABS($E$8634)&gt;0.000000001,$E$8634,0.000000001))&gt;=8*$B$7061,$H$7074,0.5*$H$7074*(ABS(IF(ABS($E$8634)&gt;0.000000001,$E$8634,0.000000001))/$B$7061)^(1/3)))/ABS(IF(ABS($E$8634)&gt;0.000000001,$E$8634,0.000000001))*$I$7074)</f>
        <v/>
      </c>
      <c r="E8670" s="19">
        <f>0.5*$E$8634+0.5*$Z$8691</f>
        <v/>
      </c>
      <c r="F8670" s="19">
        <f>$Z$8692</f>
        <v/>
      </c>
    </row>
    <row r="8671">
      <c r="D8671" s="19">
        <f>IF(ABS(IF(ABS($E$8635)&gt;0.000000001,$E$8635,0.000000001))=0,0,IF($E$7075&lt;=$B$7059,0,IF(ABS(IF(ABS($E$8635)&gt;0.000000001,$E$8635,0.000000001))&gt;=8*$B$7061,$H$7075,0.5*$H$7075*(ABS(IF(ABS($E$8635)&gt;0.000000001,$E$8635,0.000000001))/$B$7061)^(1/3)))/ABS(IF(ABS($E$8635)&gt;0.000000001,$E$8635,0.000000001))*$I$7075)</f>
        <v/>
      </c>
      <c r="E8671" s="19">
        <f>0.5*$E$8635+0.5*$Z$8693</f>
        <v/>
      </c>
      <c r="F8671" s="19">
        <f>$Z$8694</f>
        <v/>
      </c>
    </row>
    <row r="8673">
      <c r="D8673" s="21">
        <f>$B$7050+$D$8661</f>
        <v/>
      </c>
      <c r="E8673" s="21">
        <f>$B$7051</f>
        <v/>
      </c>
      <c r="F8673" s="21">
        <f>-$B$7050</f>
        <v/>
      </c>
      <c r="G8673" s="21">
        <f>$B$7051</f>
        <v/>
      </c>
      <c r="H8673" s="21" t="n">
        <v>0</v>
      </c>
      <c r="I8673" s="21" t="n">
        <v>0</v>
      </c>
      <c r="J8673" s="21" t="n">
        <v>0</v>
      </c>
      <c r="K8673" s="21" t="n">
        <v>0</v>
      </c>
      <c r="L8673" s="21" t="n">
        <v>0</v>
      </c>
      <c r="M8673" s="21" t="n">
        <v>0</v>
      </c>
      <c r="N8673" s="21" t="n">
        <v>0</v>
      </c>
      <c r="O8673" s="21" t="n">
        <v>0</v>
      </c>
      <c r="P8673" s="21" t="n">
        <v>0</v>
      </c>
      <c r="Q8673" s="21" t="n">
        <v>0</v>
      </c>
      <c r="R8673" s="21" t="n">
        <v>0</v>
      </c>
      <c r="S8673" s="21" t="n">
        <v>0</v>
      </c>
      <c r="T8673" s="21" t="n">
        <v>0</v>
      </c>
      <c r="U8673" s="21" t="n">
        <v>0</v>
      </c>
      <c r="V8673" s="21" t="n">
        <v>0</v>
      </c>
      <c r="W8673" s="21" t="n">
        <v>0</v>
      </c>
      <c r="X8673" s="21" t="n">
        <v>0</v>
      </c>
      <c r="Y8673" s="21" t="n">
        <v>0</v>
      </c>
      <c r="Z8673" s="19">
        <f t="array" ref="Z8673:Z8694">MMULT(MINVERSE($D$8673:$Y$8694),$D$7077:$D$7098)</f>
        <v/>
      </c>
    </row>
    <row r="8674">
      <c r="D8674" s="21">
        <f>$B$7051</f>
        <v/>
      </c>
      <c r="E8674" s="21">
        <f>$B$7052</f>
        <v/>
      </c>
      <c r="F8674" s="21">
        <f>-$B$7051</f>
        <v/>
      </c>
      <c r="G8674" s="21">
        <f>$B$7053</f>
        <v/>
      </c>
      <c r="H8674" s="21" t="n">
        <v>0</v>
      </c>
      <c r="I8674" s="21" t="n">
        <v>0</v>
      </c>
      <c r="J8674" s="21" t="n">
        <v>0</v>
      </c>
      <c r="K8674" s="21" t="n">
        <v>0</v>
      </c>
      <c r="L8674" s="21" t="n">
        <v>0</v>
      </c>
      <c r="M8674" s="21" t="n">
        <v>0</v>
      </c>
      <c r="N8674" s="21" t="n">
        <v>0</v>
      </c>
      <c r="O8674" s="21" t="n">
        <v>0</v>
      </c>
      <c r="P8674" s="21" t="n">
        <v>0</v>
      </c>
      <c r="Q8674" s="21" t="n">
        <v>0</v>
      </c>
      <c r="R8674" s="21" t="n">
        <v>0</v>
      </c>
      <c r="S8674" s="21" t="n">
        <v>0</v>
      </c>
      <c r="T8674" s="21" t="n">
        <v>0</v>
      </c>
      <c r="U8674" s="21" t="n">
        <v>0</v>
      </c>
      <c r="V8674" s="21" t="n">
        <v>0</v>
      </c>
      <c r="W8674" s="21" t="n">
        <v>0</v>
      </c>
      <c r="X8674" s="21" t="n">
        <v>0</v>
      </c>
      <c r="Y8674" s="21" t="n">
        <v>0</v>
      </c>
      <c r="Z8674" s="19" t="n"/>
    </row>
    <row r="8675">
      <c r="D8675" s="21">
        <f>-$B$7050</f>
        <v/>
      </c>
      <c r="E8675" s="21">
        <f>-$B$7051</f>
        <v/>
      </c>
      <c r="F8675" s="21">
        <f>2*$B$7050+$D$8662</f>
        <v/>
      </c>
      <c r="G8675" s="21">
        <f>0</f>
        <v/>
      </c>
      <c r="H8675" s="21">
        <f>-$B$7050</f>
        <v/>
      </c>
      <c r="I8675" s="21">
        <f>$B$7051</f>
        <v/>
      </c>
      <c r="J8675" s="21" t="n">
        <v>0</v>
      </c>
      <c r="K8675" s="21" t="n">
        <v>0</v>
      </c>
      <c r="L8675" s="21" t="n">
        <v>0</v>
      </c>
      <c r="M8675" s="21" t="n">
        <v>0</v>
      </c>
      <c r="N8675" s="21" t="n">
        <v>0</v>
      </c>
      <c r="O8675" s="21" t="n">
        <v>0</v>
      </c>
      <c r="P8675" s="21" t="n">
        <v>0</v>
      </c>
      <c r="Q8675" s="21" t="n">
        <v>0</v>
      </c>
      <c r="R8675" s="21" t="n">
        <v>0</v>
      </c>
      <c r="S8675" s="21" t="n">
        <v>0</v>
      </c>
      <c r="T8675" s="21" t="n">
        <v>0</v>
      </c>
      <c r="U8675" s="21" t="n">
        <v>0</v>
      </c>
      <c r="V8675" s="21" t="n">
        <v>0</v>
      </c>
      <c r="W8675" s="21" t="n">
        <v>0</v>
      </c>
      <c r="X8675" s="21" t="n">
        <v>0</v>
      </c>
      <c r="Y8675" s="21" t="n">
        <v>0</v>
      </c>
      <c r="Z8675" s="19" t="n"/>
    </row>
    <row r="8676">
      <c r="D8676" s="21">
        <f>$B$7051</f>
        <v/>
      </c>
      <c r="E8676" s="21">
        <f>$B$7053</f>
        <v/>
      </c>
      <c r="F8676" s="21">
        <f>0</f>
        <v/>
      </c>
      <c r="G8676" s="21">
        <f>2*$B$7052</f>
        <v/>
      </c>
      <c r="H8676" s="21">
        <f>-$B$7051</f>
        <v/>
      </c>
      <c r="I8676" s="21">
        <f>$B$7053</f>
        <v/>
      </c>
      <c r="J8676" s="21" t="n">
        <v>0</v>
      </c>
      <c r="K8676" s="21" t="n">
        <v>0</v>
      </c>
      <c r="L8676" s="21" t="n">
        <v>0</v>
      </c>
      <c r="M8676" s="21" t="n">
        <v>0</v>
      </c>
      <c r="N8676" s="21" t="n">
        <v>0</v>
      </c>
      <c r="O8676" s="21" t="n">
        <v>0</v>
      </c>
      <c r="P8676" s="21" t="n">
        <v>0</v>
      </c>
      <c r="Q8676" s="21" t="n">
        <v>0</v>
      </c>
      <c r="R8676" s="21" t="n">
        <v>0</v>
      </c>
      <c r="S8676" s="21" t="n">
        <v>0</v>
      </c>
      <c r="T8676" s="21" t="n">
        <v>0</v>
      </c>
      <c r="U8676" s="21" t="n">
        <v>0</v>
      </c>
      <c r="V8676" s="21" t="n">
        <v>0</v>
      </c>
      <c r="W8676" s="21" t="n">
        <v>0</v>
      </c>
      <c r="X8676" s="21" t="n">
        <v>0</v>
      </c>
      <c r="Y8676" s="21" t="n">
        <v>0</v>
      </c>
      <c r="Z8676" s="19" t="n"/>
    </row>
    <row r="8677">
      <c r="D8677" s="21" t="n">
        <v>0</v>
      </c>
      <c r="E8677" s="21" t="n">
        <v>0</v>
      </c>
      <c r="F8677" s="21">
        <f>-$B$7050</f>
        <v/>
      </c>
      <c r="G8677" s="21">
        <f>-$B$7051</f>
        <v/>
      </c>
      <c r="H8677" s="21">
        <f>2*$B$7050+$D$8663</f>
        <v/>
      </c>
      <c r="I8677" s="21">
        <f>0</f>
        <v/>
      </c>
      <c r="J8677" s="21">
        <f>-$B$7050</f>
        <v/>
      </c>
      <c r="K8677" s="21">
        <f>$B$7051</f>
        <v/>
      </c>
      <c r="L8677" s="21" t="n">
        <v>0</v>
      </c>
      <c r="M8677" s="21" t="n">
        <v>0</v>
      </c>
      <c r="N8677" s="21" t="n">
        <v>0</v>
      </c>
      <c r="O8677" s="21" t="n">
        <v>0</v>
      </c>
      <c r="P8677" s="21" t="n">
        <v>0</v>
      </c>
      <c r="Q8677" s="21" t="n">
        <v>0</v>
      </c>
      <c r="R8677" s="21" t="n">
        <v>0</v>
      </c>
      <c r="S8677" s="21" t="n">
        <v>0</v>
      </c>
      <c r="T8677" s="21" t="n">
        <v>0</v>
      </c>
      <c r="U8677" s="21" t="n">
        <v>0</v>
      </c>
      <c r="V8677" s="21" t="n">
        <v>0</v>
      </c>
      <c r="W8677" s="21" t="n">
        <v>0</v>
      </c>
      <c r="X8677" s="21" t="n">
        <v>0</v>
      </c>
      <c r="Y8677" s="21" t="n">
        <v>0</v>
      </c>
      <c r="Z8677" s="19" t="n"/>
    </row>
    <row r="8678">
      <c r="D8678" s="21" t="n">
        <v>0</v>
      </c>
      <c r="E8678" s="21" t="n">
        <v>0</v>
      </c>
      <c r="F8678" s="21">
        <f>$B$7051</f>
        <v/>
      </c>
      <c r="G8678" s="21">
        <f>$B$7053</f>
        <v/>
      </c>
      <c r="H8678" s="21">
        <f>0</f>
        <v/>
      </c>
      <c r="I8678" s="21">
        <f>2*$B$7052</f>
        <v/>
      </c>
      <c r="J8678" s="21">
        <f>-$B$7051</f>
        <v/>
      </c>
      <c r="K8678" s="21">
        <f>$B$7053</f>
        <v/>
      </c>
      <c r="L8678" s="21" t="n">
        <v>0</v>
      </c>
      <c r="M8678" s="21" t="n">
        <v>0</v>
      </c>
      <c r="N8678" s="21" t="n">
        <v>0</v>
      </c>
      <c r="O8678" s="21" t="n">
        <v>0</v>
      </c>
      <c r="P8678" s="21" t="n">
        <v>0</v>
      </c>
      <c r="Q8678" s="21" t="n">
        <v>0</v>
      </c>
      <c r="R8678" s="21" t="n">
        <v>0</v>
      </c>
      <c r="S8678" s="21" t="n">
        <v>0</v>
      </c>
      <c r="T8678" s="21" t="n">
        <v>0</v>
      </c>
      <c r="U8678" s="21" t="n">
        <v>0</v>
      </c>
      <c r="V8678" s="21" t="n">
        <v>0</v>
      </c>
      <c r="W8678" s="21" t="n">
        <v>0</v>
      </c>
      <c r="X8678" s="21" t="n">
        <v>0</v>
      </c>
      <c r="Y8678" s="21" t="n">
        <v>0</v>
      </c>
      <c r="Z8678" s="19" t="n"/>
    </row>
    <row r="8679">
      <c r="D8679" s="21" t="n">
        <v>0</v>
      </c>
      <c r="E8679" s="21" t="n">
        <v>0</v>
      </c>
      <c r="F8679" s="21" t="n">
        <v>0</v>
      </c>
      <c r="G8679" s="21" t="n">
        <v>0</v>
      </c>
      <c r="H8679" s="21">
        <f>-$B$7050</f>
        <v/>
      </c>
      <c r="I8679" s="21">
        <f>-$B$7051</f>
        <v/>
      </c>
      <c r="J8679" s="21">
        <f>2*$B$7050+$D$8664</f>
        <v/>
      </c>
      <c r="K8679" s="21">
        <f>0</f>
        <v/>
      </c>
      <c r="L8679" s="21">
        <f>-$B$7050</f>
        <v/>
      </c>
      <c r="M8679" s="21">
        <f>$B$7051</f>
        <v/>
      </c>
      <c r="N8679" s="21" t="n">
        <v>0</v>
      </c>
      <c r="O8679" s="21" t="n">
        <v>0</v>
      </c>
      <c r="P8679" s="21" t="n">
        <v>0</v>
      </c>
      <c r="Q8679" s="21" t="n">
        <v>0</v>
      </c>
      <c r="R8679" s="21" t="n">
        <v>0</v>
      </c>
      <c r="S8679" s="21" t="n">
        <v>0</v>
      </c>
      <c r="T8679" s="21" t="n">
        <v>0</v>
      </c>
      <c r="U8679" s="21" t="n">
        <v>0</v>
      </c>
      <c r="V8679" s="21" t="n">
        <v>0</v>
      </c>
      <c r="W8679" s="21" t="n">
        <v>0</v>
      </c>
      <c r="X8679" s="21" t="n">
        <v>0</v>
      </c>
      <c r="Y8679" s="21" t="n">
        <v>0</v>
      </c>
      <c r="Z8679" s="19" t="n"/>
    </row>
    <row r="8680">
      <c r="D8680" s="21" t="n">
        <v>0</v>
      </c>
      <c r="E8680" s="21" t="n">
        <v>0</v>
      </c>
      <c r="F8680" s="21" t="n">
        <v>0</v>
      </c>
      <c r="G8680" s="21" t="n">
        <v>0</v>
      </c>
      <c r="H8680" s="21">
        <f>$B$7051</f>
        <v/>
      </c>
      <c r="I8680" s="21">
        <f>$B$7053</f>
        <v/>
      </c>
      <c r="J8680" s="21">
        <f>0</f>
        <v/>
      </c>
      <c r="K8680" s="21">
        <f>2*$B$7052</f>
        <v/>
      </c>
      <c r="L8680" s="21">
        <f>-$B$7051</f>
        <v/>
      </c>
      <c r="M8680" s="21">
        <f>$B$7053</f>
        <v/>
      </c>
      <c r="N8680" s="21" t="n">
        <v>0</v>
      </c>
      <c r="O8680" s="21" t="n">
        <v>0</v>
      </c>
      <c r="P8680" s="21" t="n">
        <v>0</v>
      </c>
      <c r="Q8680" s="21" t="n">
        <v>0</v>
      </c>
      <c r="R8680" s="21" t="n">
        <v>0</v>
      </c>
      <c r="S8680" s="21" t="n">
        <v>0</v>
      </c>
      <c r="T8680" s="21" t="n">
        <v>0</v>
      </c>
      <c r="U8680" s="21" t="n">
        <v>0</v>
      </c>
      <c r="V8680" s="21" t="n">
        <v>0</v>
      </c>
      <c r="W8680" s="21" t="n">
        <v>0</v>
      </c>
      <c r="X8680" s="21" t="n">
        <v>0</v>
      </c>
      <c r="Y8680" s="21" t="n">
        <v>0</v>
      </c>
      <c r="Z8680" s="19" t="n"/>
    </row>
    <row r="8681">
      <c r="D8681" s="21" t="n">
        <v>0</v>
      </c>
      <c r="E8681" s="21" t="n">
        <v>0</v>
      </c>
      <c r="F8681" s="21" t="n">
        <v>0</v>
      </c>
      <c r="G8681" s="21" t="n">
        <v>0</v>
      </c>
      <c r="H8681" s="21" t="n">
        <v>0</v>
      </c>
      <c r="I8681" s="21" t="n">
        <v>0</v>
      </c>
      <c r="J8681" s="21">
        <f>-$B$7050</f>
        <v/>
      </c>
      <c r="K8681" s="21">
        <f>-$B$7051</f>
        <v/>
      </c>
      <c r="L8681" s="21">
        <f>2*$B$7050+$D$8665</f>
        <v/>
      </c>
      <c r="M8681" s="21">
        <f>0</f>
        <v/>
      </c>
      <c r="N8681" s="21">
        <f>-$B$7050</f>
        <v/>
      </c>
      <c r="O8681" s="21">
        <f>$B$7051</f>
        <v/>
      </c>
      <c r="P8681" s="21" t="n">
        <v>0</v>
      </c>
      <c r="Q8681" s="21" t="n">
        <v>0</v>
      </c>
      <c r="R8681" s="21" t="n">
        <v>0</v>
      </c>
      <c r="S8681" s="21" t="n">
        <v>0</v>
      </c>
      <c r="T8681" s="21" t="n">
        <v>0</v>
      </c>
      <c r="U8681" s="21" t="n">
        <v>0</v>
      </c>
      <c r="V8681" s="21" t="n">
        <v>0</v>
      </c>
      <c r="W8681" s="21" t="n">
        <v>0</v>
      </c>
      <c r="X8681" s="21" t="n">
        <v>0</v>
      </c>
      <c r="Y8681" s="21" t="n">
        <v>0</v>
      </c>
      <c r="Z8681" s="19" t="n"/>
    </row>
    <row r="8682">
      <c r="D8682" s="21" t="n">
        <v>0</v>
      </c>
      <c r="E8682" s="21" t="n">
        <v>0</v>
      </c>
      <c r="F8682" s="21" t="n">
        <v>0</v>
      </c>
      <c r="G8682" s="21" t="n">
        <v>0</v>
      </c>
      <c r="H8682" s="21" t="n">
        <v>0</v>
      </c>
      <c r="I8682" s="21" t="n">
        <v>0</v>
      </c>
      <c r="J8682" s="21">
        <f>$B$7051</f>
        <v/>
      </c>
      <c r="K8682" s="21">
        <f>$B$7053</f>
        <v/>
      </c>
      <c r="L8682" s="21">
        <f>0</f>
        <v/>
      </c>
      <c r="M8682" s="21">
        <f>2*$B$7052</f>
        <v/>
      </c>
      <c r="N8682" s="21">
        <f>-$B$7051</f>
        <v/>
      </c>
      <c r="O8682" s="21">
        <f>$B$7053</f>
        <v/>
      </c>
      <c r="P8682" s="21" t="n">
        <v>0</v>
      </c>
      <c r="Q8682" s="21" t="n">
        <v>0</v>
      </c>
      <c r="R8682" s="21" t="n">
        <v>0</v>
      </c>
      <c r="S8682" s="21" t="n">
        <v>0</v>
      </c>
      <c r="T8682" s="21" t="n">
        <v>0</v>
      </c>
      <c r="U8682" s="21" t="n">
        <v>0</v>
      </c>
      <c r="V8682" s="21" t="n">
        <v>0</v>
      </c>
      <c r="W8682" s="21" t="n">
        <v>0</v>
      </c>
      <c r="X8682" s="21" t="n">
        <v>0</v>
      </c>
      <c r="Y8682" s="21" t="n">
        <v>0</v>
      </c>
      <c r="Z8682" s="19" t="n"/>
    </row>
    <row r="8683">
      <c r="D8683" s="21" t="n">
        <v>0</v>
      </c>
      <c r="E8683" s="21" t="n">
        <v>0</v>
      </c>
      <c r="F8683" s="21" t="n">
        <v>0</v>
      </c>
      <c r="G8683" s="21" t="n">
        <v>0</v>
      </c>
      <c r="H8683" s="21" t="n">
        <v>0</v>
      </c>
      <c r="I8683" s="21" t="n">
        <v>0</v>
      </c>
      <c r="J8683" s="21" t="n">
        <v>0</v>
      </c>
      <c r="K8683" s="21" t="n">
        <v>0</v>
      </c>
      <c r="L8683" s="21">
        <f>-$B$7050</f>
        <v/>
      </c>
      <c r="M8683" s="21">
        <f>-$B$7051</f>
        <v/>
      </c>
      <c r="N8683" s="21">
        <f>2*$B$7050+$D$8666</f>
        <v/>
      </c>
      <c r="O8683" s="21">
        <f>0</f>
        <v/>
      </c>
      <c r="P8683" s="21">
        <f>-$B$7050</f>
        <v/>
      </c>
      <c r="Q8683" s="21">
        <f>$B$7051</f>
        <v/>
      </c>
      <c r="R8683" s="21" t="n">
        <v>0</v>
      </c>
      <c r="S8683" s="21" t="n">
        <v>0</v>
      </c>
      <c r="T8683" s="21" t="n">
        <v>0</v>
      </c>
      <c r="U8683" s="21" t="n">
        <v>0</v>
      </c>
      <c r="V8683" s="21" t="n">
        <v>0</v>
      </c>
      <c r="W8683" s="21" t="n">
        <v>0</v>
      </c>
      <c r="X8683" s="21" t="n">
        <v>0</v>
      </c>
      <c r="Y8683" s="21" t="n">
        <v>0</v>
      </c>
      <c r="Z8683" s="19" t="n"/>
    </row>
    <row r="8684">
      <c r="D8684" s="21" t="n">
        <v>0</v>
      </c>
      <c r="E8684" s="21" t="n">
        <v>0</v>
      </c>
      <c r="F8684" s="21" t="n">
        <v>0</v>
      </c>
      <c r="G8684" s="21" t="n">
        <v>0</v>
      </c>
      <c r="H8684" s="21" t="n">
        <v>0</v>
      </c>
      <c r="I8684" s="21" t="n">
        <v>0</v>
      </c>
      <c r="J8684" s="21" t="n">
        <v>0</v>
      </c>
      <c r="K8684" s="21" t="n">
        <v>0</v>
      </c>
      <c r="L8684" s="21">
        <f>$B$7051</f>
        <v/>
      </c>
      <c r="M8684" s="21">
        <f>$B$7053</f>
        <v/>
      </c>
      <c r="N8684" s="21">
        <f>0</f>
        <v/>
      </c>
      <c r="O8684" s="21">
        <f>2*$B$7052</f>
        <v/>
      </c>
      <c r="P8684" s="21">
        <f>-$B$7051</f>
        <v/>
      </c>
      <c r="Q8684" s="21">
        <f>$B$7053</f>
        <v/>
      </c>
      <c r="R8684" s="21" t="n">
        <v>0</v>
      </c>
      <c r="S8684" s="21" t="n">
        <v>0</v>
      </c>
      <c r="T8684" s="21" t="n">
        <v>0</v>
      </c>
      <c r="U8684" s="21" t="n">
        <v>0</v>
      </c>
      <c r="V8684" s="21" t="n">
        <v>0</v>
      </c>
      <c r="W8684" s="21" t="n">
        <v>0</v>
      </c>
      <c r="X8684" s="21" t="n">
        <v>0</v>
      </c>
      <c r="Y8684" s="21" t="n">
        <v>0</v>
      </c>
      <c r="Z8684" s="19" t="n"/>
    </row>
    <row r="8685">
      <c r="D8685" s="21" t="n">
        <v>0</v>
      </c>
      <c r="E8685" s="21" t="n">
        <v>0</v>
      </c>
      <c r="F8685" s="21" t="n">
        <v>0</v>
      </c>
      <c r="G8685" s="21" t="n">
        <v>0</v>
      </c>
      <c r="H8685" s="21" t="n">
        <v>0</v>
      </c>
      <c r="I8685" s="21" t="n">
        <v>0</v>
      </c>
      <c r="J8685" s="21" t="n">
        <v>0</v>
      </c>
      <c r="K8685" s="21" t="n">
        <v>0</v>
      </c>
      <c r="L8685" s="21" t="n">
        <v>0</v>
      </c>
      <c r="M8685" s="21" t="n">
        <v>0</v>
      </c>
      <c r="N8685" s="21">
        <f>-$B$7050</f>
        <v/>
      </c>
      <c r="O8685" s="21">
        <f>-$B$7051</f>
        <v/>
      </c>
      <c r="P8685" s="21">
        <f>2*$B$7050+$D$8667</f>
        <v/>
      </c>
      <c r="Q8685" s="21">
        <f>0</f>
        <v/>
      </c>
      <c r="R8685" s="21">
        <f>-$B$7050</f>
        <v/>
      </c>
      <c r="S8685" s="21">
        <f>$B$7051</f>
        <v/>
      </c>
      <c r="T8685" s="21" t="n">
        <v>0</v>
      </c>
      <c r="U8685" s="21" t="n">
        <v>0</v>
      </c>
      <c r="V8685" s="21" t="n">
        <v>0</v>
      </c>
      <c r="W8685" s="21" t="n">
        <v>0</v>
      </c>
      <c r="X8685" s="21" t="n">
        <v>0</v>
      </c>
      <c r="Y8685" s="21" t="n">
        <v>0</v>
      </c>
      <c r="Z8685" s="19" t="n"/>
    </row>
    <row r="8686">
      <c r="D8686" s="21" t="n">
        <v>0</v>
      </c>
      <c r="E8686" s="21" t="n">
        <v>0</v>
      </c>
      <c r="F8686" s="21" t="n">
        <v>0</v>
      </c>
      <c r="G8686" s="21" t="n">
        <v>0</v>
      </c>
      <c r="H8686" s="21" t="n">
        <v>0</v>
      </c>
      <c r="I8686" s="21" t="n">
        <v>0</v>
      </c>
      <c r="J8686" s="21" t="n">
        <v>0</v>
      </c>
      <c r="K8686" s="21" t="n">
        <v>0</v>
      </c>
      <c r="L8686" s="21" t="n">
        <v>0</v>
      </c>
      <c r="M8686" s="21" t="n">
        <v>0</v>
      </c>
      <c r="N8686" s="21">
        <f>$B$7051</f>
        <v/>
      </c>
      <c r="O8686" s="21">
        <f>$B$7053</f>
        <v/>
      </c>
      <c r="P8686" s="21">
        <f>0</f>
        <v/>
      </c>
      <c r="Q8686" s="21">
        <f>2*$B$7052</f>
        <v/>
      </c>
      <c r="R8686" s="21">
        <f>-$B$7051</f>
        <v/>
      </c>
      <c r="S8686" s="21">
        <f>$B$7053</f>
        <v/>
      </c>
      <c r="T8686" s="21" t="n">
        <v>0</v>
      </c>
      <c r="U8686" s="21" t="n">
        <v>0</v>
      </c>
      <c r="V8686" s="21" t="n">
        <v>0</v>
      </c>
      <c r="W8686" s="21" t="n">
        <v>0</v>
      </c>
      <c r="X8686" s="21" t="n">
        <v>0</v>
      </c>
      <c r="Y8686" s="21" t="n">
        <v>0</v>
      </c>
      <c r="Z8686" s="19" t="n"/>
    </row>
    <row r="8687">
      <c r="D8687" s="21" t="n">
        <v>0</v>
      </c>
      <c r="E8687" s="21" t="n">
        <v>0</v>
      </c>
      <c r="F8687" s="21" t="n">
        <v>0</v>
      </c>
      <c r="G8687" s="21" t="n">
        <v>0</v>
      </c>
      <c r="H8687" s="21" t="n">
        <v>0</v>
      </c>
      <c r="I8687" s="21" t="n">
        <v>0</v>
      </c>
      <c r="J8687" s="21" t="n">
        <v>0</v>
      </c>
      <c r="K8687" s="21" t="n">
        <v>0</v>
      </c>
      <c r="L8687" s="21" t="n">
        <v>0</v>
      </c>
      <c r="M8687" s="21" t="n">
        <v>0</v>
      </c>
      <c r="N8687" s="21" t="n">
        <v>0</v>
      </c>
      <c r="O8687" s="21" t="n">
        <v>0</v>
      </c>
      <c r="P8687" s="21">
        <f>-$B$7050</f>
        <v/>
      </c>
      <c r="Q8687" s="21">
        <f>-$B$7051</f>
        <v/>
      </c>
      <c r="R8687" s="21">
        <f>2*$B$7050+$D$8668</f>
        <v/>
      </c>
      <c r="S8687" s="21">
        <f>0</f>
        <v/>
      </c>
      <c r="T8687" s="21">
        <f>-$B$7050</f>
        <v/>
      </c>
      <c r="U8687" s="21">
        <f>$B$7051</f>
        <v/>
      </c>
      <c r="V8687" s="21" t="n">
        <v>0</v>
      </c>
      <c r="W8687" s="21" t="n">
        <v>0</v>
      </c>
      <c r="X8687" s="21" t="n">
        <v>0</v>
      </c>
      <c r="Y8687" s="21" t="n">
        <v>0</v>
      </c>
      <c r="Z8687" s="19" t="n"/>
    </row>
    <row r="8688">
      <c r="D8688" s="21" t="n">
        <v>0</v>
      </c>
      <c r="E8688" s="21" t="n">
        <v>0</v>
      </c>
      <c r="F8688" s="21" t="n">
        <v>0</v>
      </c>
      <c r="G8688" s="21" t="n">
        <v>0</v>
      </c>
      <c r="H8688" s="21" t="n">
        <v>0</v>
      </c>
      <c r="I8688" s="21" t="n">
        <v>0</v>
      </c>
      <c r="J8688" s="21" t="n">
        <v>0</v>
      </c>
      <c r="K8688" s="21" t="n">
        <v>0</v>
      </c>
      <c r="L8688" s="21" t="n">
        <v>0</v>
      </c>
      <c r="M8688" s="21" t="n">
        <v>0</v>
      </c>
      <c r="N8688" s="21" t="n">
        <v>0</v>
      </c>
      <c r="O8688" s="21" t="n">
        <v>0</v>
      </c>
      <c r="P8688" s="21">
        <f>$B$7051</f>
        <v/>
      </c>
      <c r="Q8688" s="21">
        <f>$B$7053</f>
        <v/>
      </c>
      <c r="R8688" s="21">
        <f>0</f>
        <v/>
      </c>
      <c r="S8688" s="21">
        <f>2*$B$7052</f>
        <v/>
      </c>
      <c r="T8688" s="21">
        <f>-$B$7051</f>
        <v/>
      </c>
      <c r="U8688" s="21">
        <f>$B$7053</f>
        <v/>
      </c>
      <c r="V8688" s="21" t="n">
        <v>0</v>
      </c>
      <c r="W8688" s="21" t="n">
        <v>0</v>
      </c>
      <c r="X8688" s="21" t="n">
        <v>0</v>
      </c>
      <c r="Y8688" s="21" t="n">
        <v>0</v>
      </c>
      <c r="Z8688" s="19" t="n"/>
    </row>
    <row r="8689">
      <c r="D8689" s="21" t="n">
        <v>0</v>
      </c>
      <c r="E8689" s="21" t="n">
        <v>0</v>
      </c>
      <c r="F8689" s="21" t="n">
        <v>0</v>
      </c>
      <c r="G8689" s="21" t="n">
        <v>0</v>
      </c>
      <c r="H8689" s="21" t="n">
        <v>0</v>
      </c>
      <c r="I8689" s="21" t="n">
        <v>0</v>
      </c>
      <c r="J8689" s="21" t="n">
        <v>0</v>
      </c>
      <c r="K8689" s="21" t="n">
        <v>0</v>
      </c>
      <c r="L8689" s="21" t="n">
        <v>0</v>
      </c>
      <c r="M8689" s="21" t="n">
        <v>0</v>
      </c>
      <c r="N8689" s="21" t="n">
        <v>0</v>
      </c>
      <c r="O8689" s="21" t="n">
        <v>0</v>
      </c>
      <c r="P8689" s="21" t="n">
        <v>0</v>
      </c>
      <c r="Q8689" s="21" t="n">
        <v>0</v>
      </c>
      <c r="R8689" s="21">
        <f>-$B$7050</f>
        <v/>
      </c>
      <c r="S8689" s="21">
        <f>-$B$7051</f>
        <v/>
      </c>
      <c r="T8689" s="21">
        <f>2*$B$7050+$D$8669</f>
        <v/>
      </c>
      <c r="U8689" s="21">
        <f>0</f>
        <v/>
      </c>
      <c r="V8689" s="21">
        <f>-$B$7050</f>
        <v/>
      </c>
      <c r="W8689" s="21">
        <f>$B$7051</f>
        <v/>
      </c>
      <c r="X8689" s="21" t="n">
        <v>0</v>
      </c>
      <c r="Y8689" s="21" t="n">
        <v>0</v>
      </c>
      <c r="Z8689" s="19" t="n"/>
    </row>
    <row r="8690">
      <c r="D8690" s="21" t="n">
        <v>0</v>
      </c>
      <c r="E8690" s="21" t="n">
        <v>0</v>
      </c>
      <c r="F8690" s="21" t="n">
        <v>0</v>
      </c>
      <c r="G8690" s="21" t="n">
        <v>0</v>
      </c>
      <c r="H8690" s="21" t="n">
        <v>0</v>
      </c>
      <c r="I8690" s="21" t="n">
        <v>0</v>
      </c>
      <c r="J8690" s="21" t="n">
        <v>0</v>
      </c>
      <c r="K8690" s="21" t="n">
        <v>0</v>
      </c>
      <c r="L8690" s="21" t="n">
        <v>0</v>
      </c>
      <c r="M8690" s="21" t="n">
        <v>0</v>
      </c>
      <c r="N8690" s="21" t="n">
        <v>0</v>
      </c>
      <c r="O8690" s="21" t="n">
        <v>0</v>
      </c>
      <c r="P8690" s="21" t="n">
        <v>0</v>
      </c>
      <c r="Q8690" s="21" t="n">
        <v>0</v>
      </c>
      <c r="R8690" s="21">
        <f>$B$7051</f>
        <v/>
      </c>
      <c r="S8690" s="21">
        <f>$B$7053</f>
        <v/>
      </c>
      <c r="T8690" s="21">
        <f>0</f>
        <v/>
      </c>
      <c r="U8690" s="21">
        <f>2*$B$7052</f>
        <v/>
      </c>
      <c r="V8690" s="21">
        <f>-$B$7051</f>
        <v/>
      </c>
      <c r="W8690" s="21">
        <f>$B$7053</f>
        <v/>
      </c>
      <c r="X8690" s="21" t="n">
        <v>0</v>
      </c>
      <c r="Y8690" s="21" t="n">
        <v>0</v>
      </c>
      <c r="Z8690" s="19" t="n"/>
    </row>
    <row r="8691">
      <c r="D8691" s="21" t="n">
        <v>0</v>
      </c>
      <c r="E8691" s="21" t="n">
        <v>0</v>
      </c>
      <c r="F8691" s="21" t="n">
        <v>0</v>
      </c>
      <c r="G8691" s="21" t="n">
        <v>0</v>
      </c>
      <c r="H8691" s="21" t="n">
        <v>0</v>
      </c>
      <c r="I8691" s="21" t="n">
        <v>0</v>
      </c>
      <c r="J8691" s="21" t="n">
        <v>0</v>
      </c>
      <c r="K8691" s="21" t="n">
        <v>0</v>
      </c>
      <c r="L8691" s="21" t="n">
        <v>0</v>
      </c>
      <c r="M8691" s="21" t="n">
        <v>0</v>
      </c>
      <c r="N8691" s="21" t="n">
        <v>0</v>
      </c>
      <c r="O8691" s="21" t="n">
        <v>0</v>
      </c>
      <c r="P8691" s="21" t="n">
        <v>0</v>
      </c>
      <c r="Q8691" s="21" t="n">
        <v>0</v>
      </c>
      <c r="R8691" s="21" t="n">
        <v>0</v>
      </c>
      <c r="S8691" s="21" t="n">
        <v>0</v>
      </c>
      <c r="T8691" s="21">
        <f>-$B$7050</f>
        <v/>
      </c>
      <c r="U8691" s="21">
        <f>-$B$7051</f>
        <v/>
      </c>
      <c r="V8691" s="21">
        <f>2*$B$7050+$D$8670</f>
        <v/>
      </c>
      <c r="W8691" s="21">
        <f>0</f>
        <v/>
      </c>
      <c r="X8691" s="21">
        <f>-$B$7050</f>
        <v/>
      </c>
      <c r="Y8691" s="21">
        <f>$B$7051</f>
        <v/>
      </c>
      <c r="Z8691" s="19" t="n"/>
    </row>
    <row r="8692">
      <c r="D8692" s="21" t="n">
        <v>0</v>
      </c>
      <c r="E8692" s="21" t="n">
        <v>0</v>
      </c>
      <c r="F8692" s="21" t="n">
        <v>0</v>
      </c>
      <c r="G8692" s="21" t="n">
        <v>0</v>
      </c>
      <c r="H8692" s="21" t="n">
        <v>0</v>
      </c>
      <c r="I8692" s="21" t="n">
        <v>0</v>
      </c>
      <c r="J8692" s="21" t="n">
        <v>0</v>
      </c>
      <c r="K8692" s="21" t="n">
        <v>0</v>
      </c>
      <c r="L8692" s="21" t="n">
        <v>0</v>
      </c>
      <c r="M8692" s="21" t="n">
        <v>0</v>
      </c>
      <c r="N8692" s="21" t="n">
        <v>0</v>
      </c>
      <c r="O8692" s="21" t="n">
        <v>0</v>
      </c>
      <c r="P8692" s="21" t="n">
        <v>0</v>
      </c>
      <c r="Q8692" s="21" t="n">
        <v>0</v>
      </c>
      <c r="R8692" s="21" t="n">
        <v>0</v>
      </c>
      <c r="S8692" s="21" t="n">
        <v>0</v>
      </c>
      <c r="T8692" s="21">
        <f>$B$7051</f>
        <v/>
      </c>
      <c r="U8692" s="21">
        <f>$B$7053</f>
        <v/>
      </c>
      <c r="V8692" s="21">
        <f>0</f>
        <v/>
      </c>
      <c r="W8692" s="21">
        <f>2*$B$7052</f>
        <v/>
      </c>
      <c r="X8692" s="21">
        <f>-$B$7051</f>
        <v/>
      </c>
      <c r="Y8692" s="21">
        <f>$B$7053</f>
        <v/>
      </c>
      <c r="Z8692" s="19" t="n"/>
    </row>
    <row r="8693">
      <c r="D8693" s="21" t="n">
        <v>0</v>
      </c>
      <c r="E8693" s="21" t="n">
        <v>0</v>
      </c>
      <c r="F8693" s="21" t="n">
        <v>0</v>
      </c>
      <c r="G8693" s="21" t="n">
        <v>0</v>
      </c>
      <c r="H8693" s="21" t="n">
        <v>0</v>
      </c>
      <c r="I8693" s="21" t="n">
        <v>0</v>
      </c>
      <c r="J8693" s="21" t="n">
        <v>0</v>
      </c>
      <c r="K8693" s="21" t="n">
        <v>0</v>
      </c>
      <c r="L8693" s="21" t="n">
        <v>0</v>
      </c>
      <c r="M8693" s="21" t="n">
        <v>0</v>
      </c>
      <c r="N8693" s="21" t="n">
        <v>0</v>
      </c>
      <c r="O8693" s="21" t="n">
        <v>0</v>
      </c>
      <c r="P8693" s="21" t="n">
        <v>0</v>
      </c>
      <c r="Q8693" s="21" t="n">
        <v>0</v>
      </c>
      <c r="R8693" s="21" t="n">
        <v>0</v>
      </c>
      <c r="S8693" s="21" t="n">
        <v>0</v>
      </c>
      <c r="T8693" s="21" t="n">
        <v>0</v>
      </c>
      <c r="U8693" s="21" t="n">
        <v>0</v>
      </c>
      <c r="V8693" s="21">
        <f>-$B$7050</f>
        <v/>
      </c>
      <c r="W8693" s="21">
        <f>-$B$7051</f>
        <v/>
      </c>
      <c r="X8693" s="21">
        <f>$B$7050+$D$8671</f>
        <v/>
      </c>
      <c r="Y8693" s="21">
        <f>-$B$7051</f>
        <v/>
      </c>
      <c r="Z8693" s="19" t="n"/>
    </row>
    <row r="8694">
      <c r="D8694" s="21" t="n">
        <v>0</v>
      </c>
      <c r="E8694" s="21" t="n">
        <v>0</v>
      </c>
      <c r="F8694" s="21" t="n">
        <v>0</v>
      </c>
      <c r="G8694" s="21" t="n">
        <v>0</v>
      </c>
      <c r="H8694" s="21" t="n">
        <v>0</v>
      </c>
      <c r="I8694" s="21" t="n">
        <v>0</v>
      </c>
      <c r="J8694" s="21" t="n">
        <v>0</v>
      </c>
      <c r="K8694" s="21" t="n">
        <v>0</v>
      </c>
      <c r="L8694" s="21" t="n">
        <v>0</v>
      </c>
      <c r="M8694" s="21" t="n">
        <v>0</v>
      </c>
      <c r="N8694" s="21" t="n">
        <v>0</v>
      </c>
      <c r="O8694" s="21" t="n">
        <v>0</v>
      </c>
      <c r="P8694" s="21" t="n">
        <v>0</v>
      </c>
      <c r="Q8694" s="21" t="n">
        <v>0</v>
      </c>
      <c r="R8694" s="21" t="n">
        <v>0</v>
      </c>
      <c r="S8694" s="21" t="n">
        <v>0</v>
      </c>
      <c r="T8694" s="21" t="n">
        <v>0</v>
      </c>
      <c r="U8694" s="21" t="n">
        <v>0</v>
      </c>
      <c r="V8694" s="21">
        <f>$B$7051</f>
        <v/>
      </c>
      <c r="W8694" s="21">
        <f>$B$7053</f>
        <v/>
      </c>
      <c r="X8694" s="21">
        <f>-$B$7051</f>
        <v/>
      </c>
      <c r="Y8694" s="21">
        <f>$B$7052</f>
        <v/>
      </c>
      <c r="Z8694" s="19" t="n"/>
    </row>
    <row r="8696">
      <c r="A8696" s="8" t="inlineStr">
        <is>
          <t>gen 45</t>
        </is>
      </c>
    </row>
    <row r="8697">
      <c r="D8697" s="19">
        <f>IF(ABS(IF(ABS($E$8661)&gt;0.000000001,$E$8661,0.000000001))=0,0,IF($E$7065&lt;=$B$7059,0,IF(ABS(IF(ABS($E$8661)&gt;0.000000001,$E$8661,0.000000001))&gt;=8*$B$7061,$H$7065,0.5*$H$7065*(ABS(IF(ABS($E$8661)&gt;0.000000001,$E$8661,0.000000001))/$B$7061)^(1/3)))/ABS(IF(ABS($E$8661)&gt;0.000000001,$E$8661,0.000000001))*$I$7065)</f>
        <v/>
      </c>
      <c r="E8697" s="19">
        <f>0.5*$E$8661+0.5*$Z$8709</f>
        <v/>
      </c>
      <c r="F8697" s="19">
        <f>$Z$8710</f>
        <v/>
      </c>
    </row>
    <row r="8698">
      <c r="D8698" s="19">
        <f>IF(ABS(IF(ABS($E$8662)&gt;0.000000001,$E$8662,0.000000001))=0,0,IF($E$7066&lt;=$B$7059,0,IF(ABS(IF(ABS($E$8662)&gt;0.000000001,$E$8662,0.000000001))&gt;=8*$B$7061,$H$7066,0.5*$H$7066*(ABS(IF(ABS($E$8662)&gt;0.000000001,$E$8662,0.000000001))/$B$7061)^(1/3)))/ABS(IF(ABS($E$8662)&gt;0.000000001,$E$8662,0.000000001))*$I$7066)</f>
        <v/>
      </c>
      <c r="E8698" s="19">
        <f>0.5*$E$8662+0.5*$Z$8711</f>
        <v/>
      </c>
      <c r="F8698" s="19">
        <f>$Z$8712</f>
        <v/>
      </c>
    </row>
    <row r="8699">
      <c r="D8699" s="19">
        <f>IF(ABS(IF(ABS($E$8663)&gt;0.000000001,$E$8663,0.000000001))=0,0,IF($E$7067&lt;=$B$7059,0,IF(ABS(IF(ABS($E$8663)&gt;0.000000001,$E$8663,0.000000001))&gt;=8*$B$7061,$H$7067,0.5*$H$7067*(ABS(IF(ABS($E$8663)&gt;0.000000001,$E$8663,0.000000001))/$B$7061)^(1/3)))/ABS(IF(ABS($E$8663)&gt;0.000000001,$E$8663,0.000000001))*$I$7067)</f>
        <v/>
      </c>
      <c r="E8699" s="19">
        <f>0.5*$E$8663+0.5*$Z$8713</f>
        <v/>
      </c>
      <c r="F8699" s="19">
        <f>$Z$8714</f>
        <v/>
      </c>
    </row>
    <row r="8700">
      <c r="D8700" s="19">
        <f>IF(ABS(IF(ABS($E$8664)&gt;0.000000001,$E$8664,0.000000001))=0,0,IF($E$7068&lt;=$B$7059,0,IF(ABS(IF(ABS($E$8664)&gt;0.000000001,$E$8664,0.000000001))&gt;=8*$B$7061,$H$7068,0.5*$H$7068*(ABS(IF(ABS($E$8664)&gt;0.000000001,$E$8664,0.000000001))/$B$7061)^(1/3)))/ABS(IF(ABS($E$8664)&gt;0.000000001,$E$8664,0.000000001))*$I$7068)</f>
        <v/>
      </c>
      <c r="E8700" s="19">
        <f>0.5*$E$8664+0.5*$Z$8715</f>
        <v/>
      </c>
      <c r="F8700" s="19">
        <f>$Z$8716</f>
        <v/>
      </c>
    </row>
    <row r="8701">
      <c r="D8701" s="19">
        <f>IF(ABS(IF(ABS($E$8665)&gt;0.000000001,$E$8665,0.000000001))=0,0,IF($E$7069&lt;=$B$7059,0,IF(ABS(IF(ABS($E$8665)&gt;0.000000001,$E$8665,0.000000001))&gt;=8*$B$7061,$H$7069,0.5*$H$7069*(ABS(IF(ABS($E$8665)&gt;0.000000001,$E$8665,0.000000001))/$B$7061)^(1/3)))/ABS(IF(ABS($E$8665)&gt;0.000000001,$E$8665,0.000000001))*$I$7069)</f>
        <v/>
      </c>
      <c r="E8701" s="19">
        <f>0.5*$E$8665+0.5*$Z$8717</f>
        <v/>
      </c>
      <c r="F8701" s="19">
        <f>$Z$8718</f>
        <v/>
      </c>
    </row>
    <row r="8702">
      <c r="D8702" s="19">
        <f>IF(ABS(IF(ABS($E$8666)&gt;0.000000001,$E$8666,0.000000001))=0,0,IF($E$7070&lt;=$B$7059,0,IF(ABS(IF(ABS($E$8666)&gt;0.000000001,$E$8666,0.000000001))&gt;=8*$B$7061,$H$7070,0.5*$H$7070*(ABS(IF(ABS($E$8666)&gt;0.000000001,$E$8666,0.000000001))/$B$7061)^(1/3)))/ABS(IF(ABS($E$8666)&gt;0.000000001,$E$8666,0.000000001))*$I$7070)</f>
        <v/>
      </c>
      <c r="E8702" s="19">
        <f>0.5*$E$8666+0.5*$Z$8719</f>
        <v/>
      </c>
      <c r="F8702" s="19">
        <f>$Z$8720</f>
        <v/>
      </c>
    </row>
    <row r="8703">
      <c r="D8703" s="19">
        <f>IF(ABS(IF(ABS($E$8667)&gt;0.000000001,$E$8667,0.000000001))=0,0,IF($E$7071&lt;=$B$7059,0,IF(ABS(IF(ABS($E$8667)&gt;0.000000001,$E$8667,0.000000001))&gt;=8*$B$7061,$H$7071,0.5*$H$7071*(ABS(IF(ABS($E$8667)&gt;0.000000001,$E$8667,0.000000001))/$B$7061)^(1/3)))/ABS(IF(ABS($E$8667)&gt;0.000000001,$E$8667,0.000000001))*$I$7071)</f>
        <v/>
      </c>
      <c r="E8703" s="19">
        <f>0.5*$E$8667+0.5*$Z$8721</f>
        <v/>
      </c>
      <c r="F8703" s="19">
        <f>$Z$8722</f>
        <v/>
      </c>
    </row>
    <row r="8704">
      <c r="D8704" s="19">
        <f>IF(ABS(IF(ABS($E$8668)&gt;0.000000001,$E$8668,0.000000001))=0,0,IF($E$7072&lt;=$B$7059,0,IF(ABS(IF(ABS($E$8668)&gt;0.000000001,$E$8668,0.000000001))&gt;=8*$B$7061,$H$7072,0.5*$H$7072*(ABS(IF(ABS($E$8668)&gt;0.000000001,$E$8668,0.000000001))/$B$7061)^(1/3)))/ABS(IF(ABS($E$8668)&gt;0.000000001,$E$8668,0.000000001))*$I$7072)</f>
        <v/>
      </c>
      <c r="E8704" s="19">
        <f>0.5*$E$8668+0.5*$Z$8723</f>
        <v/>
      </c>
      <c r="F8704" s="19">
        <f>$Z$8724</f>
        <v/>
      </c>
    </row>
    <row r="8705">
      <c r="D8705" s="19">
        <f>IF(ABS(IF(ABS($E$8669)&gt;0.000000001,$E$8669,0.000000001))=0,0,IF($E$7073&lt;=$B$7059,0,IF(ABS(IF(ABS($E$8669)&gt;0.000000001,$E$8669,0.000000001))&gt;=8*$B$7061,$H$7073,0.5*$H$7073*(ABS(IF(ABS($E$8669)&gt;0.000000001,$E$8669,0.000000001))/$B$7061)^(1/3)))/ABS(IF(ABS($E$8669)&gt;0.000000001,$E$8669,0.000000001))*$I$7073)</f>
        <v/>
      </c>
      <c r="E8705" s="19">
        <f>0.5*$E$8669+0.5*$Z$8725</f>
        <v/>
      </c>
      <c r="F8705" s="19">
        <f>$Z$8726</f>
        <v/>
      </c>
    </row>
    <row r="8706">
      <c r="D8706" s="19">
        <f>IF(ABS(IF(ABS($E$8670)&gt;0.000000001,$E$8670,0.000000001))=0,0,IF($E$7074&lt;=$B$7059,0,IF(ABS(IF(ABS($E$8670)&gt;0.000000001,$E$8670,0.000000001))&gt;=8*$B$7061,$H$7074,0.5*$H$7074*(ABS(IF(ABS($E$8670)&gt;0.000000001,$E$8670,0.000000001))/$B$7061)^(1/3)))/ABS(IF(ABS($E$8670)&gt;0.000000001,$E$8670,0.000000001))*$I$7074)</f>
        <v/>
      </c>
      <c r="E8706" s="19">
        <f>0.5*$E$8670+0.5*$Z$8727</f>
        <v/>
      </c>
      <c r="F8706" s="19">
        <f>$Z$8728</f>
        <v/>
      </c>
    </row>
    <row r="8707">
      <c r="D8707" s="19">
        <f>IF(ABS(IF(ABS($E$8671)&gt;0.000000001,$E$8671,0.000000001))=0,0,IF($E$7075&lt;=$B$7059,0,IF(ABS(IF(ABS($E$8671)&gt;0.000000001,$E$8671,0.000000001))&gt;=8*$B$7061,$H$7075,0.5*$H$7075*(ABS(IF(ABS($E$8671)&gt;0.000000001,$E$8671,0.000000001))/$B$7061)^(1/3)))/ABS(IF(ABS($E$8671)&gt;0.000000001,$E$8671,0.000000001))*$I$7075)</f>
        <v/>
      </c>
      <c r="E8707" s="19">
        <f>0.5*$E$8671+0.5*$Z$8729</f>
        <v/>
      </c>
      <c r="F8707" s="19">
        <f>$Z$8730</f>
        <v/>
      </c>
    </row>
    <row r="8709">
      <c r="D8709" s="21">
        <f>$B$7050+$D$8697</f>
        <v/>
      </c>
      <c r="E8709" s="21">
        <f>$B$7051</f>
        <v/>
      </c>
      <c r="F8709" s="21">
        <f>-$B$7050</f>
        <v/>
      </c>
      <c r="G8709" s="21">
        <f>$B$7051</f>
        <v/>
      </c>
      <c r="H8709" s="21" t="n">
        <v>0</v>
      </c>
      <c r="I8709" s="21" t="n">
        <v>0</v>
      </c>
      <c r="J8709" s="21" t="n">
        <v>0</v>
      </c>
      <c r="K8709" s="21" t="n">
        <v>0</v>
      </c>
      <c r="L8709" s="21" t="n">
        <v>0</v>
      </c>
      <c r="M8709" s="21" t="n">
        <v>0</v>
      </c>
      <c r="N8709" s="21" t="n">
        <v>0</v>
      </c>
      <c r="O8709" s="21" t="n">
        <v>0</v>
      </c>
      <c r="P8709" s="21" t="n">
        <v>0</v>
      </c>
      <c r="Q8709" s="21" t="n">
        <v>0</v>
      </c>
      <c r="R8709" s="21" t="n">
        <v>0</v>
      </c>
      <c r="S8709" s="21" t="n">
        <v>0</v>
      </c>
      <c r="T8709" s="21" t="n">
        <v>0</v>
      </c>
      <c r="U8709" s="21" t="n">
        <v>0</v>
      </c>
      <c r="V8709" s="21" t="n">
        <v>0</v>
      </c>
      <c r="W8709" s="21" t="n">
        <v>0</v>
      </c>
      <c r="X8709" s="21" t="n">
        <v>0</v>
      </c>
      <c r="Y8709" s="21" t="n">
        <v>0</v>
      </c>
      <c r="Z8709" s="19">
        <f t="array" ref="Z8709:Z8730">MMULT(MINVERSE($D$8709:$Y$8730),$D$7077:$D$7098)</f>
        <v/>
      </c>
    </row>
    <row r="8710">
      <c r="D8710" s="21">
        <f>$B$7051</f>
        <v/>
      </c>
      <c r="E8710" s="21">
        <f>$B$7052</f>
        <v/>
      </c>
      <c r="F8710" s="21">
        <f>-$B$7051</f>
        <v/>
      </c>
      <c r="G8710" s="21">
        <f>$B$7053</f>
        <v/>
      </c>
      <c r="H8710" s="21" t="n">
        <v>0</v>
      </c>
      <c r="I8710" s="21" t="n">
        <v>0</v>
      </c>
      <c r="J8710" s="21" t="n">
        <v>0</v>
      </c>
      <c r="K8710" s="21" t="n">
        <v>0</v>
      </c>
      <c r="L8710" s="21" t="n">
        <v>0</v>
      </c>
      <c r="M8710" s="21" t="n">
        <v>0</v>
      </c>
      <c r="N8710" s="21" t="n">
        <v>0</v>
      </c>
      <c r="O8710" s="21" t="n">
        <v>0</v>
      </c>
      <c r="P8710" s="21" t="n">
        <v>0</v>
      </c>
      <c r="Q8710" s="21" t="n">
        <v>0</v>
      </c>
      <c r="R8710" s="21" t="n">
        <v>0</v>
      </c>
      <c r="S8710" s="21" t="n">
        <v>0</v>
      </c>
      <c r="T8710" s="21" t="n">
        <v>0</v>
      </c>
      <c r="U8710" s="21" t="n">
        <v>0</v>
      </c>
      <c r="V8710" s="21" t="n">
        <v>0</v>
      </c>
      <c r="W8710" s="21" t="n">
        <v>0</v>
      </c>
      <c r="X8710" s="21" t="n">
        <v>0</v>
      </c>
      <c r="Y8710" s="21" t="n">
        <v>0</v>
      </c>
      <c r="Z8710" s="19" t="n"/>
    </row>
    <row r="8711">
      <c r="D8711" s="21">
        <f>-$B$7050</f>
        <v/>
      </c>
      <c r="E8711" s="21">
        <f>-$B$7051</f>
        <v/>
      </c>
      <c r="F8711" s="21">
        <f>2*$B$7050+$D$8698</f>
        <v/>
      </c>
      <c r="G8711" s="21">
        <f>0</f>
        <v/>
      </c>
      <c r="H8711" s="21">
        <f>-$B$7050</f>
        <v/>
      </c>
      <c r="I8711" s="21">
        <f>$B$7051</f>
        <v/>
      </c>
      <c r="J8711" s="21" t="n">
        <v>0</v>
      </c>
      <c r="K8711" s="21" t="n">
        <v>0</v>
      </c>
      <c r="L8711" s="21" t="n">
        <v>0</v>
      </c>
      <c r="M8711" s="21" t="n">
        <v>0</v>
      </c>
      <c r="N8711" s="21" t="n">
        <v>0</v>
      </c>
      <c r="O8711" s="21" t="n">
        <v>0</v>
      </c>
      <c r="P8711" s="21" t="n">
        <v>0</v>
      </c>
      <c r="Q8711" s="21" t="n">
        <v>0</v>
      </c>
      <c r="R8711" s="21" t="n">
        <v>0</v>
      </c>
      <c r="S8711" s="21" t="n">
        <v>0</v>
      </c>
      <c r="T8711" s="21" t="n">
        <v>0</v>
      </c>
      <c r="U8711" s="21" t="n">
        <v>0</v>
      </c>
      <c r="V8711" s="21" t="n">
        <v>0</v>
      </c>
      <c r="W8711" s="21" t="n">
        <v>0</v>
      </c>
      <c r="X8711" s="21" t="n">
        <v>0</v>
      </c>
      <c r="Y8711" s="21" t="n">
        <v>0</v>
      </c>
      <c r="Z8711" s="19" t="n"/>
    </row>
    <row r="8712">
      <c r="D8712" s="21">
        <f>$B$7051</f>
        <v/>
      </c>
      <c r="E8712" s="21">
        <f>$B$7053</f>
        <v/>
      </c>
      <c r="F8712" s="21">
        <f>0</f>
        <v/>
      </c>
      <c r="G8712" s="21">
        <f>2*$B$7052</f>
        <v/>
      </c>
      <c r="H8712" s="21">
        <f>-$B$7051</f>
        <v/>
      </c>
      <c r="I8712" s="21">
        <f>$B$7053</f>
        <v/>
      </c>
      <c r="J8712" s="21" t="n">
        <v>0</v>
      </c>
      <c r="K8712" s="21" t="n">
        <v>0</v>
      </c>
      <c r="L8712" s="21" t="n">
        <v>0</v>
      </c>
      <c r="M8712" s="21" t="n">
        <v>0</v>
      </c>
      <c r="N8712" s="21" t="n">
        <v>0</v>
      </c>
      <c r="O8712" s="21" t="n">
        <v>0</v>
      </c>
      <c r="P8712" s="21" t="n">
        <v>0</v>
      </c>
      <c r="Q8712" s="21" t="n">
        <v>0</v>
      </c>
      <c r="R8712" s="21" t="n">
        <v>0</v>
      </c>
      <c r="S8712" s="21" t="n">
        <v>0</v>
      </c>
      <c r="T8712" s="21" t="n">
        <v>0</v>
      </c>
      <c r="U8712" s="21" t="n">
        <v>0</v>
      </c>
      <c r="V8712" s="21" t="n">
        <v>0</v>
      </c>
      <c r="W8712" s="21" t="n">
        <v>0</v>
      </c>
      <c r="X8712" s="21" t="n">
        <v>0</v>
      </c>
      <c r="Y8712" s="21" t="n">
        <v>0</v>
      </c>
      <c r="Z8712" s="19" t="n"/>
    </row>
    <row r="8713">
      <c r="D8713" s="21" t="n">
        <v>0</v>
      </c>
      <c r="E8713" s="21" t="n">
        <v>0</v>
      </c>
      <c r="F8713" s="21">
        <f>-$B$7050</f>
        <v/>
      </c>
      <c r="G8713" s="21">
        <f>-$B$7051</f>
        <v/>
      </c>
      <c r="H8713" s="21">
        <f>2*$B$7050+$D$8699</f>
        <v/>
      </c>
      <c r="I8713" s="21">
        <f>0</f>
        <v/>
      </c>
      <c r="J8713" s="21">
        <f>-$B$7050</f>
        <v/>
      </c>
      <c r="K8713" s="21">
        <f>$B$7051</f>
        <v/>
      </c>
      <c r="L8713" s="21" t="n">
        <v>0</v>
      </c>
      <c r="M8713" s="21" t="n">
        <v>0</v>
      </c>
      <c r="N8713" s="21" t="n">
        <v>0</v>
      </c>
      <c r="O8713" s="21" t="n">
        <v>0</v>
      </c>
      <c r="P8713" s="21" t="n">
        <v>0</v>
      </c>
      <c r="Q8713" s="21" t="n">
        <v>0</v>
      </c>
      <c r="R8713" s="21" t="n">
        <v>0</v>
      </c>
      <c r="S8713" s="21" t="n">
        <v>0</v>
      </c>
      <c r="T8713" s="21" t="n">
        <v>0</v>
      </c>
      <c r="U8713" s="21" t="n">
        <v>0</v>
      </c>
      <c r="V8713" s="21" t="n">
        <v>0</v>
      </c>
      <c r="W8713" s="21" t="n">
        <v>0</v>
      </c>
      <c r="X8713" s="21" t="n">
        <v>0</v>
      </c>
      <c r="Y8713" s="21" t="n">
        <v>0</v>
      </c>
      <c r="Z8713" s="19" t="n"/>
    </row>
    <row r="8714">
      <c r="D8714" s="21" t="n">
        <v>0</v>
      </c>
      <c r="E8714" s="21" t="n">
        <v>0</v>
      </c>
      <c r="F8714" s="21">
        <f>$B$7051</f>
        <v/>
      </c>
      <c r="G8714" s="21">
        <f>$B$7053</f>
        <v/>
      </c>
      <c r="H8714" s="21">
        <f>0</f>
        <v/>
      </c>
      <c r="I8714" s="21">
        <f>2*$B$7052</f>
        <v/>
      </c>
      <c r="J8714" s="21">
        <f>-$B$7051</f>
        <v/>
      </c>
      <c r="K8714" s="21">
        <f>$B$7053</f>
        <v/>
      </c>
      <c r="L8714" s="21" t="n">
        <v>0</v>
      </c>
      <c r="M8714" s="21" t="n">
        <v>0</v>
      </c>
      <c r="N8714" s="21" t="n">
        <v>0</v>
      </c>
      <c r="O8714" s="21" t="n">
        <v>0</v>
      </c>
      <c r="P8714" s="21" t="n">
        <v>0</v>
      </c>
      <c r="Q8714" s="21" t="n">
        <v>0</v>
      </c>
      <c r="R8714" s="21" t="n">
        <v>0</v>
      </c>
      <c r="S8714" s="21" t="n">
        <v>0</v>
      </c>
      <c r="T8714" s="21" t="n">
        <v>0</v>
      </c>
      <c r="U8714" s="21" t="n">
        <v>0</v>
      </c>
      <c r="V8714" s="21" t="n">
        <v>0</v>
      </c>
      <c r="W8714" s="21" t="n">
        <v>0</v>
      </c>
      <c r="X8714" s="21" t="n">
        <v>0</v>
      </c>
      <c r="Y8714" s="21" t="n">
        <v>0</v>
      </c>
      <c r="Z8714" s="19" t="n"/>
    </row>
    <row r="8715">
      <c r="D8715" s="21" t="n">
        <v>0</v>
      </c>
      <c r="E8715" s="21" t="n">
        <v>0</v>
      </c>
      <c r="F8715" s="21" t="n">
        <v>0</v>
      </c>
      <c r="G8715" s="21" t="n">
        <v>0</v>
      </c>
      <c r="H8715" s="21">
        <f>-$B$7050</f>
        <v/>
      </c>
      <c r="I8715" s="21">
        <f>-$B$7051</f>
        <v/>
      </c>
      <c r="J8715" s="21">
        <f>2*$B$7050+$D$8700</f>
        <v/>
      </c>
      <c r="K8715" s="21">
        <f>0</f>
        <v/>
      </c>
      <c r="L8715" s="21">
        <f>-$B$7050</f>
        <v/>
      </c>
      <c r="M8715" s="21">
        <f>$B$7051</f>
        <v/>
      </c>
      <c r="N8715" s="21" t="n">
        <v>0</v>
      </c>
      <c r="O8715" s="21" t="n">
        <v>0</v>
      </c>
      <c r="P8715" s="21" t="n">
        <v>0</v>
      </c>
      <c r="Q8715" s="21" t="n">
        <v>0</v>
      </c>
      <c r="R8715" s="21" t="n">
        <v>0</v>
      </c>
      <c r="S8715" s="21" t="n">
        <v>0</v>
      </c>
      <c r="T8715" s="21" t="n">
        <v>0</v>
      </c>
      <c r="U8715" s="21" t="n">
        <v>0</v>
      </c>
      <c r="V8715" s="21" t="n">
        <v>0</v>
      </c>
      <c r="W8715" s="21" t="n">
        <v>0</v>
      </c>
      <c r="X8715" s="21" t="n">
        <v>0</v>
      </c>
      <c r="Y8715" s="21" t="n">
        <v>0</v>
      </c>
      <c r="Z8715" s="19" t="n"/>
    </row>
    <row r="8716">
      <c r="D8716" s="21" t="n">
        <v>0</v>
      </c>
      <c r="E8716" s="21" t="n">
        <v>0</v>
      </c>
      <c r="F8716" s="21" t="n">
        <v>0</v>
      </c>
      <c r="G8716" s="21" t="n">
        <v>0</v>
      </c>
      <c r="H8716" s="21">
        <f>$B$7051</f>
        <v/>
      </c>
      <c r="I8716" s="21">
        <f>$B$7053</f>
        <v/>
      </c>
      <c r="J8716" s="21">
        <f>0</f>
        <v/>
      </c>
      <c r="K8716" s="21">
        <f>2*$B$7052</f>
        <v/>
      </c>
      <c r="L8716" s="21">
        <f>-$B$7051</f>
        <v/>
      </c>
      <c r="M8716" s="21">
        <f>$B$7053</f>
        <v/>
      </c>
      <c r="N8716" s="21" t="n">
        <v>0</v>
      </c>
      <c r="O8716" s="21" t="n">
        <v>0</v>
      </c>
      <c r="P8716" s="21" t="n">
        <v>0</v>
      </c>
      <c r="Q8716" s="21" t="n">
        <v>0</v>
      </c>
      <c r="R8716" s="21" t="n">
        <v>0</v>
      </c>
      <c r="S8716" s="21" t="n">
        <v>0</v>
      </c>
      <c r="T8716" s="21" t="n">
        <v>0</v>
      </c>
      <c r="U8716" s="21" t="n">
        <v>0</v>
      </c>
      <c r="V8716" s="21" t="n">
        <v>0</v>
      </c>
      <c r="W8716" s="21" t="n">
        <v>0</v>
      </c>
      <c r="X8716" s="21" t="n">
        <v>0</v>
      </c>
      <c r="Y8716" s="21" t="n">
        <v>0</v>
      </c>
      <c r="Z8716" s="19" t="n"/>
    </row>
    <row r="8717">
      <c r="D8717" s="21" t="n">
        <v>0</v>
      </c>
      <c r="E8717" s="21" t="n">
        <v>0</v>
      </c>
      <c r="F8717" s="21" t="n">
        <v>0</v>
      </c>
      <c r="G8717" s="21" t="n">
        <v>0</v>
      </c>
      <c r="H8717" s="21" t="n">
        <v>0</v>
      </c>
      <c r="I8717" s="21" t="n">
        <v>0</v>
      </c>
      <c r="J8717" s="21">
        <f>-$B$7050</f>
        <v/>
      </c>
      <c r="K8717" s="21">
        <f>-$B$7051</f>
        <v/>
      </c>
      <c r="L8717" s="21">
        <f>2*$B$7050+$D$8701</f>
        <v/>
      </c>
      <c r="M8717" s="21">
        <f>0</f>
        <v/>
      </c>
      <c r="N8717" s="21">
        <f>-$B$7050</f>
        <v/>
      </c>
      <c r="O8717" s="21">
        <f>$B$7051</f>
        <v/>
      </c>
      <c r="P8717" s="21" t="n">
        <v>0</v>
      </c>
      <c r="Q8717" s="21" t="n">
        <v>0</v>
      </c>
      <c r="R8717" s="21" t="n">
        <v>0</v>
      </c>
      <c r="S8717" s="21" t="n">
        <v>0</v>
      </c>
      <c r="T8717" s="21" t="n">
        <v>0</v>
      </c>
      <c r="U8717" s="21" t="n">
        <v>0</v>
      </c>
      <c r="V8717" s="21" t="n">
        <v>0</v>
      </c>
      <c r="W8717" s="21" t="n">
        <v>0</v>
      </c>
      <c r="X8717" s="21" t="n">
        <v>0</v>
      </c>
      <c r="Y8717" s="21" t="n">
        <v>0</v>
      </c>
      <c r="Z8717" s="19" t="n"/>
    </row>
    <row r="8718">
      <c r="D8718" s="21" t="n">
        <v>0</v>
      </c>
      <c r="E8718" s="21" t="n">
        <v>0</v>
      </c>
      <c r="F8718" s="21" t="n">
        <v>0</v>
      </c>
      <c r="G8718" s="21" t="n">
        <v>0</v>
      </c>
      <c r="H8718" s="21" t="n">
        <v>0</v>
      </c>
      <c r="I8718" s="21" t="n">
        <v>0</v>
      </c>
      <c r="J8718" s="21">
        <f>$B$7051</f>
        <v/>
      </c>
      <c r="K8718" s="21">
        <f>$B$7053</f>
        <v/>
      </c>
      <c r="L8718" s="21">
        <f>0</f>
        <v/>
      </c>
      <c r="M8718" s="21">
        <f>2*$B$7052</f>
        <v/>
      </c>
      <c r="N8718" s="21">
        <f>-$B$7051</f>
        <v/>
      </c>
      <c r="O8718" s="21">
        <f>$B$7053</f>
        <v/>
      </c>
      <c r="P8718" s="21" t="n">
        <v>0</v>
      </c>
      <c r="Q8718" s="21" t="n">
        <v>0</v>
      </c>
      <c r="R8718" s="21" t="n">
        <v>0</v>
      </c>
      <c r="S8718" s="21" t="n">
        <v>0</v>
      </c>
      <c r="T8718" s="21" t="n">
        <v>0</v>
      </c>
      <c r="U8718" s="21" t="n">
        <v>0</v>
      </c>
      <c r="V8718" s="21" t="n">
        <v>0</v>
      </c>
      <c r="W8718" s="21" t="n">
        <v>0</v>
      </c>
      <c r="X8718" s="21" t="n">
        <v>0</v>
      </c>
      <c r="Y8718" s="21" t="n">
        <v>0</v>
      </c>
      <c r="Z8718" s="19" t="n"/>
    </row>
    <row r="8719">
      <c r="D8719" s="21" t="n">
        <v>0</v>
      </c>
      <c r="E8719" s="21" t="n">
        <v>0</v>
      </c>
      <c r="F8719" s="21" t="n">
        <v>0</v>
      </c>
      <c r="G8719" s="21" t="n">
        <v>0</v>
      </c>
      <c r="H8719" s="21" t="n">
        <v>0</v>
      </c>
      <c r="I8719" s="21" t="n">
        <v>0</v>
      </c>
      <c r="J8719" s="21" t="n">
        <v>0</v>
      </c>
      <c r="K8719" s="21" t="n">
        <v>0</v>
      </c>
      <c r="L8719" s="21">
        <f>-$B$7050</f>
        <v/>
      </c>
      <c r="M8719" s="21">
        <f>-$B$7051</f>
        <v/>
      </c>
      <c r="N8719" s="21">
        <f>2*$B$7050+$D$8702</f>
        <v/>
      </c>
      <c r="O8719" s="21">
        <f>0</f>
        <v/>
      </c>
      <c r="P8719" s="21">
        <f>-$B$7050</f>
        <v/>
      </c>
      <c r="Q8719" s="21">
        <f>$B$7051</f>
        <v/>
      </c>
      <c r="R8719" s="21" t="n">
        <v>0</v>
      </c>
      <c r="S8719" s="21" t="n">
        <v>0</v>
      </c>
      <c r="T8719" s="21" t="n">
        <v>0</v>
      </c>
      <c r="U8719" s="21" t="n">
        <v>0</v>
      </c>
      <c r="V8719" s="21" t="n">
        <v>0</v>
      </c>
      <c r="W8719" s="21" t="n">
        <v>0</v>
      </c>
      <c r="X8719" s="21" t="n">
        <v>0</v>
      </c>
      <c r="Y8719" s="21" t="n">
        <v>0</v>
      </c>
      <c r="Z8719" s="19" t="n"/>
    </row>
    <row r="8720">
      <c r="D8720" s="21" t="n">
        <v>0</v>
      </c>
      <c r="E8720" s="21" t="n">
        <v>0</v>
      </c>
      <c r="F8720" s="21" t="n">
        <v>0</v>
      </c>
      <c r="G8720" s="21" t="n">
        <v>0</v>
      </c>
      <c r="H8720" s="21" t="n">
        <v>0</v>
      </c>
      <c r="I8720" s="21" t="n">
        <v>0</v>
      </c>
      <c r="J8720" s="21" t="n">
        <v>0</v>
      </c>
      <c r="K8720" s="21" t="n">
        <v>0</v>
      </c>
      <c r="L8720" s="21">
        <f>$B$7051</f>
        <v/>
      </c>
      <c r="M8720" s="21">
        <f>$B$7053</f>
        <v/>
      </c>
      <c r="N8720" s="21">
        <f>0</f>
        <v/>
      </c>
      <c r="O8720" s="21">
        <f>2*$B$7052</f>
        <v/>
      </c>
      <c r="P8720" s="21">
        <f>-$B$7051</f>
        <v/>
      </c>
      <c r="Q8720" s="21">
        <f>$B$7053</f>
        <v/>
      </c>
      <c r="R8720" s="21" t="n">
        <v>0</v>
      </c>
      <c r="S8720" s="21" t="n">
        <v>0</v>
      </c>
      <c r="T8720" s="21" t="n">
        <v>0</v>
      </c>
      <c r="U8720" s="21" t="n">
        <v>0</v>
      </c>
      <c r="V8720" s="21" t="n">
        <v>0</v>
      </c>
      <c r="W8720" s="21" t="n">
        <v>0</v>
      </c>
      <c r="X8720" s="21" t="n">
        <v>0</v>
      </c>
      <c r="Y8720" s="21" t="n">
        <v>0</v>
      </c>
      <c r="Z8720" s="19" t="n"/>
    </row>
    <row r="8721">
      <c r="D8721" s="21" t="n">
        <v>0</v>
      </c>
      <c r="E8721" s="21" t="n">
        <v>0</v>
      </c>
      <c r="F8721" s="21" t="n">
        <v>0</v>
      </c>
      <c r="G8721" s="21" t="n">
        <v>0</v>
      </c>
      <c r="H8721" s="21" t="n">
        <v>0</v>
      </c>
      <c r="I8721" s="21" t="n">
        <v>0</v>
      </c>
      <c r="J8721" s="21" t="n">
        <v>0</v>
      </c>
      <c r="K8721" s="21" t="n">
        <v>0</v>
      </c>
      <c r="L8721" s="21" t="n">
        <v>0</v>
      </c>
      <c r="M8721" s="21" t="n">
        <v>0</v>
      </c>
      <c r="N8721" s="21">
        <f>-$B$7050</f>
        <v/>
      </c>
      <c r="O8721" s="21">
        <f>-$B$7051</f>
        <v/>
      </c>
      <c r="P8721" s="21">
        <f>2*$B$7050+$D$8703</f>
        <v/>
      </c>
      <c r="Q8721" s="21">
        <f>0</f>
        <v/>
      </c>
      <c r="R8721" s="21">
        <f>-$B$7050</f>
        <v/>
      </c>
      <c r="S8721" s="21">
        <f>$B$7051</f>
        <v/>
      </c>
      <c r="T8721" s="21" t="n">
        <v>0</v>
      </c>
      <c r="U8721" s="21" t="n">
        <v>0</v>
      </c>
      <c r="V8721" s="21" t="n">
        <v>0</v>
      </c>
      <c r="W8721" s="21" t="n">
        <v>0</v>
      </c>
      <c r="X8721" s="21" t="n">
        <v>0</v>
      </c>
      <c r="Y8721" s="21" t="n">
        <v>0</v>
      </c>
      <c r="Z8721" s="19" t="n"/>
    </row>
    <row r="8722">
      <c r="D8722" s="21" t="n">
        <v>0</v>
      </c>
      <c r="E8722" s="21" t="n">
        <v>0</v>
      </c>
      <c r="F8722" s="21" t="n">
        <v>0</v>
      </c>
      <c r="G8722" s="21" t="n">
        <v>0</v>
      </c>
      <c r="H8722" s="21" t="n">
        <v>0</v>
      </c>
      <c r="I8722" s="21" t="n">
        <v>0</v>
      </c>
      <c r="J8722" s="21" t="n">
        <v>0</v>
      </c>
      <c r="K8722" s="21" t="n">
        <v>0</v>
      </c>
      <c r="L8722" s="21" t="n">
        <v>0</v>
      </c>
      <c r="M8722" s="21" t="n">
        <v>0</v>
      </c>
      <c r="N8722" s="21">
        <f>$B$7051</f>
        <v/>
      </c>
      <c r="O8722" s="21">
        <f>$B$7053</f>
        <v/>
      </c>
      <c r="P8722" s="21">
        <f>0</f>
        <v/>
      </c>
      <c r="Q8722" s="21">
        <f>2*$B$7052</f>
        <v/>
      </c>
      <c r="R8722" s="21">
        <f>-$B$7051</f>
        <v/>
      </c>
      <c r="S8722" s="21">
        <f>$B$7053</f>
        <v/>
      </c>
      <c r="T8722" s="21" t="n">
        <v>0</v>
      </c>
      <c r="U8722" s="21" t="n">
        <v>0</v>
      </c>
      <c r="V8722" s="21" t="n">
        <v>0</v>
      </c>
      <c r="W8722" s="21" t="n">
        <v>0</v>
      </c>
      <c r="X8722" s="21" t="n">
        <v>0</v>
      </c>
      <c r="Y8722" s="21" t="n">
        <v>0</v>
      </c>
      <c r="Z8722" s="19" t="n"/>
    </row>
    <row r="8723">
      <c r="D8723" s="21" t="n">
        <v>0</v>
      </c>
      <c r="E8723" s="21" t="n">
        <v>0</v>
      </c>
      <c r="F8723" s="21" t="n">
        <v>0</v>
      </c>
      <c r="G8723" s="21" t="n">
        <v>0</v>
      </c>
      <c r="H8723" s="21" t="n">
        <v>0</v>
      </c>
      <c r="I8723" s="21" t="n">
        <v>0</v>
      </c>
      <c r="J8723" s="21" t="n">
        <v>0</v>
      </c>
      <c r="K8723" s="21" t="n">
        <v>0</v>
      </c>
      <c r="L8723" s="21" t="n">
        <v>0</v>
      </c>
      <c r="M8723" s="21" t="n">
        <v>0</v>
      </c>
      <c r="N8723" s="21" t="n">
        <v>0</v>
      </c>
      <c r="O8723" s="21" t="n">
        <v>0</v>
      </c>
      <c r="P8723" s="21">
        <f>-$B$7050</f>
        <v/>
      </c>
      <c r="Q8723" s="21">
        <f>-$B$7051</f>
        <v/>
      </c>
      <c r="R8723" s="21">
        <f>2*$B$7050+$D$8704</f>
        <v/>
      </c>
      <c r="S8723" s="21">
        <f>0</f>
        <v/>
      </c>
      <c r="T8723" s="21">
        <f>-$B$7050</f>
        <v/>
      </c>
      <c r="U8723" s="21">
        <f>$B$7051</f>
        <v/>
      </c>
      <c r="V8723" s="21" t="n">
        <v>0</v>
      </c>
      <c r="W8723" s="21" t="n">
        <v>0</v>
      </c>
      <c r="X8723" s="21" t="n">
        <v>0</v>
      </c>
      <c r="Y8723" s="21" t="n">
        <v>0</v>
      </c>
      <c r="Z8723" s="19" t="n"/>
    </row>
    <row r="8724">
      <c r="D8724" s="21" t="n">
        <v>0</v>
      </c>
      <c r="E8724" s="21" t="n">
        <v>0</v>
      </c>
      <c r="F8724" s="21" t="n">
        <v>0</v>
      </c>
      <c r="G8724" s="21" t="n">
        <v>0</v>
      </c>
      <c r="H8724" s="21" t="n">
        <v>0</v>
      </c>
      <c r="I8724" s="21" t="n">
        <v>0</v>
      </c>
      <c r="J8724" s="21" t="n">
        <v>0</v>
      </c>
      <c r="K8724" s="21" t="n">
        <v>0</v>
      </c>
      <c r="L8724" s="21" t="n">
        <v>0</v>
      </c>
      <c r="M8724" s="21" t="n">
        <v>0</v>
      </c>
      <c r="N8724" s="21" t="n">
        <v>0</v>
      </c>
      <c r="O8724" s="21" t="n">
        <v>0</v>
      </c>
      <c r="P8724" s="21">
        <f>$B$7051</f>
        <v/>
      </c>
      <c r="Q8724" s="21">
        <f>$B$7053</f>
        <v/>
      </c>
      <c r="R8724" s="21">
        <f>0</f>
        <v/>
      </c>
      <c r="S8724" s="21">
        <f>2*$B$7052</f>
        <v/>
      </c>
      <c r="T8724" s="21">
        <f>-$B$7051</f>
        <v/>
      </c>
      <c r="U8724" s="21">
        <f>$B$7053</f>
        <v/>
      </c>
      <c r="V8724" s="21" t="n">
        <v>0</v>
      </c>
      <c r="W8724" s="21" t="n">
        <v>0</v>
      </c>
      <c r="X8724" s="21" t="n">
        <v>0</v>
      </c>
      <c r="Y8724" s="21" t="n">
        <v>0</v>
      </c>
      <c r="Z8724" s="19" t="n"/>
    </row>
    <row r="8725">
      <c r="D8725" s="21" t="n">
        <v>0</v>
      </c>
      <c r="E8725" s="21" t="n">
        <v>0</v>
      </c>
      <c r="F8725" s="21" t="n">
        <v>0</v>
      </c>
      <c r="G8725" s="21" t="n">
        <v>0</v>
      </c>
      <c r="H8725" s="21" t="n">
        <v>0</v>
      </c>
      <c r="I8725" s="21" t="n">
        <v>0</v>
      </c>
      <c r="J8725" s="21" t="n">
        <v>0</v>
      </c>
      <c r="K8725" s="21" t="n">
        <v>0</v>
      </c>
      <c r="L8725" s="21" t="n">
        <v>0</v>
      </c>
      <c r="M8725" s="21" t="n">
        <v>0</v>
      </c>
      <c r="N8725" s="21" t="n">
        <v>0</v>
      </c>
      <c r="O8725" s="21" t="n">
        <v>0</v>
      </c>
      <c r="P8725" s="21" t="n">
        <v>0</v>
      </c>
      <c r="Q8725" s="21" t="n">
        <v>0</v>
      </c>
      <c r="R8725" s="21">
        <f>-$B$7050</f>
        <v/>
      </c>
      <c r="S8725" s="21">
        <f>-$B$7051</f>
        <v/>
      </c>
      <c r="T8725" s="21">
        <f>2*$B$7050+$D$8705</f>
        <v/>
      </c>
      <c r="U8725" s="21">
        <f>0</f>
        <v/>
      </c>
      <c r="V8725" s="21">
        <f>-$B$7050</f>
        <v/>
      </c>
      <c r="W8725" s="21">
        <f>$B$7051</f>
        <v/>
      </c>
      <c r="X8725" s="21" t="n">
        <v>0</v>
      </c>
      <c r="Y8725" s="21" t="n">
        <v>0</v>
      </c>
      <c r="Z8725" s="19" t="n"/>
    </row>
    <row r="8726">
      <c r="D8726" s="21" t="n">
        <v>0</v>
      </c>
      <c r="E8726" s="21" t="n">
        <v>0</v>
      </c>
      <c r="F8726" s="21" t="n">
        <v>0</v>
      </c>
      <c r="G8726" s="21" t="n">
        <v>0</v>
      </c>
      <c r="H8726" s="21" t="n">
        <v>0</v>
      </c>
      <c r="I8726" s="21" t="n">
        <v>0</v>
      </c>
      <c r="J8726" s="21" t="n">
        <v>0</v>
      </c>
      <c r="K8726" s="21" t="n">
        <v>0</v>
      </c>
      <c r="L8726" s="21" t="n">
        <v>0</v>
      </c>
      <c r="M8726" s="21" t="n">
        <v>0</v>
      </c>
      <c r="N8726" s="21" t="n">
        <v>0</v>
      </c>
      <c r="O8726" s="21" t="n">
        <v>0</v>
      </c>
      <c r="P8726" s="21" t="n">
        <v>0</v>
      </c>
      <c r="Q8726" s="21" t="n">
        <v>0</v>
      </c>
      <c r="R8726" s="21">
        <f>$B$7051</f>
        <v/>
      </c>
      <c r="S8726" s="21">
        <f>$B$7053</f>
        <v/>
      </c>
      <c r="T8726" s="21">
        <f>0</f>
        <v/>
      </c>
      <c r="U8726" s="21">
        <f>2*$B$7052</f>
        <v/>
      </c>
      <c r="V8726" s="21">
        <f>-$B$7051</f>
        <v/>
      </c>
      <c r="W8726" s="21">
        <f>$B$7053</f>
        <v/>
      </c>
      <c r="X8726" s="21" t="n">
        <v>0</v>
      </c>
      <c r="Y8726" s="21" t="n">
        <v>0</v>
      </c>
      <c r="Z8726" s="19" t="n"/>
    </row>
    <row r="8727">
      <c r="D8727" s="21" t="n">
        <v>0</v>
      </c>
      <c r="E8727" s="21" t="n">
        <v>0</v>
      </c>
      <c r="F8727" s="21" t="n">
        <v>0</v>
      </c>
      <c r="G8727" s="21" t="n">
        <v>0</v>
      </c>
      <c r="H8727" s="21" t="n">
        <v>0</v>
      </c>
      <c r="I8727" s="21" t="n">
        <v>0</v>
      </c>
      <c r="J8727" s="21" t="n">
        <v>0</v>
      </c>
      <c r="K8727" s="21" t="n">
        <v>0</v>
      </c>
      <c r="L8727" s="21" t="n">
        <v>0</v>
      </c>
      <c r="M8727" s="21" t="n">
        <v>0</v>
      </c>
      <c r="N8727" s="21" t="n">
        <v>0</v>
      </c>
      <c r="O8727" s="21" t="n">
        <v>0</v>
      </c>
      <c r="P8727" s="21" t="n">
        <v>0</v>
      </c>
      <c r="Q8727" s="21" t="n">
        <v>0</v>
      </c>
      <c r="R8727" s="21" t="n">
        <v>0</v>
      </c>
      <c r="S8727" s="21" t="n">
        <v>0</v>
      </c>
      <c r="T8727" s="21">
        <f>-$B$7050</f>
        <v/>
      </c>
      <c r="U8727" s="21">
        <f>-$B$7051</f>
        <v/>
      </c>
      <c r="V8727" s="21">
        <f>2*$B$7050+$D$8706</f>
        <v/>
      </c>
      <c r="W8727" s="21">
        <f>0</f>
        <v/>
      </c>
      <c r="X8727" s="21">
        <f>-$B$7050</f>
        <v/>
      </c>
      <c r="Y8727" s="21">
        <f>$B$7051</f>
        <v/>
      </c>
      <c r="Z8727" s="19" t="n"/>
    </row>
    <row r="8728">
      <c r="D8728" s="21" t="n">
        <v>0</v>
      </c>
      <c r="E8728" s="21" t="n">
        <v>0</v>
      </c>
      <c r="F8728" s="21" t="n">
        <v>0</v>
      </c>
      <c r="G8728" s="21" t="n">
        <v>0</v>
      </c>
      <c r="H8728" s="21" t="n">
        <v>0</v>
      </c>
      <c r="I8728" s="21" t="n">
        <v>0</v>
      </c>
      <c r="J8728" s="21" t="n">
        <v>0</v>
      </c>
      <c r="K8728" s="21" t="n">
        <v>0</v>
      </c>
      <c r="L8728" s="21" t="n">
        <v>0</v>
      </c>
      <c r="M8728" s="21" t="n">
        <v>0</v>
      </c>
      <c r="N8728" s="21" t="n">
        <v>0</v>
      </c>
      <c r="O8728" s="21" t="n">
        <v>0</v>
      </c>
      <c r="P8728" s="21" t="n">
        <v>0</v>
      </c>
      <c r="Q8728" s="21" t="n">
        <v>0</v>
      </c>
      <c r="R8728" s="21" t="n">
        <v>0</v>
      </c>
      <c r="S8728" s="21" t="n">
        <v>0</v>
      </c>
      <c r="T8728" s="21">
        <f>$B$7051</f>
        <v/>
      </c>
      <c r="U8728" s="21">
        <f>$B$7053</f>
        <v/>
      </c>
      <c r="V8728" s="21">
        <f>0</f>
        <v/>
      </c>
      <c r="W8728" s="21">
        <f>2*$B$7052</f>
        <v/>
      </c>
      <c r="X8728" s="21">
        <f>-$B$7051</f>
        <v/>
      </c>
      <c r="Y8728" s="21">
        <f>$B$7053</f>
        <v/>
      </c>
      <c r="Z8728" s="19" t="n"/>
    </row>
    <row r="8729">
      <c r="D8729" s="21" t="n">
        <v>0</v>
      </c>
      <c r="E8729" s="21" t="n">
        <v>0</v>
      </c>
      <c r="F8729" s="21" t="n">
        <v>0</v>
      </c>
      <c r="G8729" s="21" t="n">
        <v>0</v>
      </c>
      <c r="H8729" s="21" t="n">
        <v>0</v>
      </c>
      <c r="I8729" s="21" t="n">
        <v>0</v>
      </c>
      <c r="J8729" s="21" t="n">
        <v>0</v>
      </c>
      <c r="K8729" s="21" t="n">
        <v>0</v>
      </c>
      <c r="L8729" s="21" t="n">
        <v>0</v>
      </c>
      <c r="M8729" s="21" t="n">
        <v>0</v>
      </c>
      <c r="N8729" s="21" t="n">
        <v>0</v>
      </c>
      <c r="O8729" s="21" t="n">
        <v>0</v>
      </c>
      <c r="P8729" s="21" t="n">
        <v>0</v>
      </c>
      <c r="Q8729" s="21" t="n">
        <v>0</v>
      </c>
      <c r="R8729" s="21" t="n">
        <v>0</v>
      </c>
      <c r="S8729" s="21" t="n">
        <v>0</v>
      </c>
      <c r="T8729" s="21" t="n">
        <v>0</v>
      </c>
      <c r="U8729" s="21" t="n">
        <v>0</v>
      </c>
      <c r="V8729" s="21">
        <f>-$B$7050</f>
        <v/>
      </c>
      <c r="W8729" s="21">
        <f>-$B$7051</f>
        <v/>
      </c>
      <c r="X8729" s="21">
        <f>$B$7050+$D$8707</f>
        <v/>
      </c>
      <c r="Y8729" s="21">
        <f>-$B$7051</f>
        <v/>
      </c>
      <c r="Z8729" s="19" t="n"/>
    </row>
    <row r="8730">
      <c r="D8730" s="21" t="n">
        <v>0</v>
      </c>
      <c r="E8730" s="21" t="n">
        <v>0</v>
      </c>
      <c r="F8730" s="21" t="n">
        <v>0</v>
      </c>
      <c r="G8730" s="21" t="n">
        <v>0</v>
      </c>
      <c r="H8730" s="21" t="n">
        <v>0</v>
      </c>
      <c r="I8730" s="21" t="n">
        <v>0</v>
      </c>
      <c r="J8730" s="21" t="n">
        <v>0</v>
      </c>
      <c r="K8730" s="21" t="n">
        <v>0</v>
      </c>
      <c r="L8730" s="21" t="n">
        <v>0</v>
      </c>
      <c r="M8730" s="21" t="n">
        <v>0</v>
      </c>
      <c r="N8730" s="21" t="n">
        <v>0</v>
      </c>
      <c r="O8730" s="21" t="n">
        <v>0</v>
      </c>
      <c r="P8730" s="21" t="n">
        <v>0</v>
      </c>
      <c r="Q8730" s="21" t="n">
        <v>0</v>
      </c>
      <c r="R8730" s="21" t="n">
        <v>0</v>
      </c>
      <c r="S8730" s="21" t="n">
        <v>0</v>
      </c>
      <c r="T8730" s="21" t="n">
        <v>0</v>
      </c>
      <c r="U8730" s="21" t="n">
        <v>0</v>
      </c>
      <c r="V8730" s="21">
        <f>$B$7051</f>
        <v/>
      </c>
      <c r="W8730" s="21">
        <f>$B$7053</f>
        <v/>
      </c>
      <c r="X8730" s="21">
        <f>-$B$7051</f>
        <v/>
      </c>
      <c r="Y8730" s="21">
        <f>$B$7052</f>
        <v/>
      </c>
      <c r="Z8730" s="19" t="n"/>
    </row>
    <row r="8733">
      <c r="D8733" s="18" t="inlineStr">
        <is>
          <t>e</t>
        </is>
      </c>
      <c r="E8733" s="18" t="inlineStr">
        <is>
          <t>y_e</t>
        </is>
      </c>
      <c r="F8733" s="18" t="inlineStr">
        <is>
          <t>theta_e</t>
        </is>
      </c>
      <c r="G8733" s="18" t="inlineStr">
        <is>
          <t>y_e+1</t>
        </is>
      </c>
      <c r="H8733" s="18" t="inlineStr">
        <is>
          <t>theta_e+1</t>
        </is>
      </c>
      <c r="I8733" s="18" t="inlineStr">
        <is>
          <t>fe1</t>
        </is>
      </c>
      <c r="J8733" s="18" t="inlineStr">
        <is>
          <t>fe3</t>
        </is>
      </c>
      <c r="K8733" s="18" t="inlineStr">
        <is>
          <t>M (kN*m)</t>
        </is>
      </c>
    </row>
    <row r="8734">
      <c r="D8734" t="n">
        <v>0</v>
      </c>
      <c r="E8734" s="19">
        <f>$E$8697</f>
        <v/>
      </c>
      <c r="F8734" s="19">
        <f>$F$8697</f>
        <v/>
      </c>
      <c r="G8734" s="19">
        <f>$E$8698</f>
        <v/>
      </c>
      <c r="H8734" s="19">
        <f>$F$8698</f>
        <v/>
      </c>
      <c r="I8734" s="19">
        <f>$B$7051*$E$8734+$B$7052*$F$8734-$B$7051*$G$8734+$B$7053*$H$8734</f>
        <v/>
      </c>
      <c r="J8734" s="19">
        <f>$B$7051*$E$8734+$B$7053*$F$8734-$B$7051*$G$8734+$B$7052*$H$8734</f>
        <v/>
      </c>
      <c r="K8734" s="21">
        <f>-$I$8734</f>
        <v/>
      </c>
    </row>
    <row r="8735">
      <c r="D8735" t="n">
        <v>1</v>
      </c>
      <c r="E8735" s="19">
        <f>$E$8698</f>
        <v/>
      </c>
      <c r="F8735" s="19">
        <f>$F$8698</f>
        <v/>
      </c>
      <c r="G8735" s="19">
        <f>$E$8699</f>
        <v/>
      </c>
      <c r="H8735" s="19">
        <f>$F$8699</f>
        <v/>
      </c>
      <c r="I8735" s="19">
        <f>$B$7051*$E$8735+$B$7052*$F$8735-$B$7051*$G$8735+$B$7053*$H$8735</f>
        <v/>
      </c>
      <c r="J8735" s="19">
        <f>$B$7051*$E$8735+$B$7053*$F$8735-$B$7051*$G$8735+$B$7052*$H$8735</f>
        <v/>
      </c>
      <c r="K8735" s="21">
        <f>($J$8734-$I$8735)/2</f>
        <v/>
      </c>
    </row>
    <row r="8736">
      <c r="D8736" t="n">
        <v>2</v>
      </c>
      <c r="E8736" s="19">
        <f>$E$8699</f>
        <v/>
      </c>
      <c r="F8736" s="19">
        <f>$F$8699</f>
        <v/>
      </c>
      <c r="G8736" s="19">
        <f>$E$8700</f>
        <v/>
      </c>
      <c r="H8736" s="19">
        <f>$F$8700</f>
        <v/>
      </c>
      <c r="I8736" s="19">
        <f>$B$7051*$E$8736+$B$7052*$F$8736-$B$7051*$G$8736+$B$7053*$H$8736</f>
        <v/>
      </c>
      <c r="J8736" s="19">
        <f>$B$7051*$E$8736+$B$7053*$F$8736-$B$7051*$G$8736+$B$7052*$H$8736</f>
        <v/>
      </c>
      <c r="K8736" s="21">
        <f>($J$8735-$I$8736)/2</f>
        <v/>
      </c>
    </row>
    <row r="8737">
      <c r="D8737" t="n">
        <v>3</v>
      </c>
      <c r="E8737" s="19">
        <f>$E$8700</f>
        <v/>
      </c>
      <c r="F8737" s="19">
        <f>$F$8700</f>
        <v/>
      </c>
      <c r="G8737" s="19">
        <f>$E$8701</f>
        <v/>
      </c>
      <c r="H8737" s="19">
        <f>$F$8701</f>
        <v/>
      </c>
      <c r="I8737" s="19">
        <f>$B$7051*$E$8737+$B$7052*$F$8737-$B$7051*$G$8737+$B$7053*$H$8737</f>
        <v/>
      </c>
      <c r="J8737" s="19">
        <f>$B$7051*$E$8737+$B$7053*$F$8737-$B$7051*$G$8737+$B$7052*$H$8737</f>
        <v/>
      </c>
      <c r="K8737" s="21">
        <f>($J$8736-$I$8737)/2</f>
        <v/>
      </c>
    </row>
    <row r="8738">
      <c r="D8738" t="n">
        <v>4</v>
      </c>
      <c r="E8738" s="19">
        <f>$E$8701</f>
        <v/>
      </c>
      <c r="F8738" s="19">
        <f>$F$8701</f>
        <v/>
      </c>
      <c r="G8738" s="19">
        <f>$E$8702</f>
        <v/>
      </c>
      <c r="H8738" s="19">
        <f>$F$8702</f>
        <v/>
      </c>
      <c r="I8738" s="19">
        <f>$B$7051*$E$8738+$B$7052*$F$8738-$B$7051*$G$8738+$B$7053*$H$8738</f>
        <v/>
      </c>
      <c r="J8738" s="19">
        <f>$B$7051*$E$8738+$B$7053*$F$8738-$B$7051*$G$8738+$B$7052*$H$8738</f>
        <v/>
      </c>
      <c r="K8738" s="21">
        <f>($J$8737-$I$8738)/2</f>
        <v/>
      </c>
    </row>
    <row r="8739">
      <c r="D8739" t="n">
        <v>5</v>
      </c>
      <c r="E8739" s="19">
        <f>$E$8702</f>
        <v/>
      </c>
      <c r="F8739" s="19">
        <f>$F$8702</f>
        <v/>
      </c>
      <c r="G8739" s="19">
        <f>$E$8703</f>
        <v/>
      </c>
      <c r="H8739" s="19">
        <f>$F$8703</f>
        <v/>
      </c>
      <c r="I8739" s="19">
        <f>$B$7051*$E$8739+$B$7052*$F$8739-$B$7051*$G$8739+$B$7053*$H$8739</f>
        <v/>
      </c>
      <c r="J8739" s="19">
        <f>$B$7051*$E$8739+$B$7053*$F$8739-$B$7051*$G$8739+$B$7052*$H$8739</f>
        <v/>
      </c>
      <c r="K8739" s="21">
        <f>($J$8738-$I$8739)/2</f>
        <v/>
      </c>
    </row>
    <row r="8740">
      <c r="D8740" t="n">
        <v>6</v>
      </c>
      <c r="E8740" s="19">
        <f>$E$8703</f>
        <v/>
      </c>
      <c r="F8740" s="19">
        <f>$F$8703</f>
        <v/>
      </c>
      <c r="G8740" s="19">
        <f>$E$8704</f>
        <v/>
      </c>
      <c r="H8740" s="19">
        <f>$F$8704</f>
        <v/>
      </c>
      <c r="I8740" s="19">
        <f>$B$7051*$E$8740+$B$7052*$F$8740-$B$7051*$G$8740+$B$7053*$H$8740</f>
        <v/>
      </c>
      <c r="J8740" s="19">
        <f>$B$7051*$E$8740+$B$7053*$F$8740-$B$7051*$G$8740+$B$7052*$H$8740</f>
        <v/>
      </c>
      <c r="K8740" s="21">
        <f>($J$8739-$I$8740)/2</f>
        <v/>
      </c>
    </row>
    <row r="8741">
      <c r="D8741" t="n">
        <v>7</v>
      </c>
      <c r="E8741" s="19">
        <f>$E$8704</f>
        <v/>
      </c>
      <c r="F8741" s="19">
        <f>$F$8704</f>
        <v/>
      </c>
      <c r="G8741" s="19">
        <f>$E$8705</f>
        <v/>
      </c>
      <c r="H8741" s="19">
        <f>$F$8705</f>
        <v/>
      </c>
      <c r="I8741" s="19">
        <f>$B$7051*$E$8741+$B$7052*$F$8741-$B$7051*$G$8741+$B$7053*$H$8741</f>
        <v/>
      </c>
      <c r="J8741" s="19">
        <f>$B$7051*$E$8741+$B$7053*$F$8741-$B$7051*$G$8741+$B$7052*$H$8741</f>
        <v/>
      </c>
      <c r="K8741" s="21">
        <f>($J$8740-$I$8741)/2</f>
        <v/>
      </c>
    </row>
    <row r="8742">
      <c r="D8742" t="n">
        <v>8</v>
      </c>
      <c r="E8742" s="19">
        <f>$E$8705</f>
        <v/>
      </c>
      <c r="F8742" s="19">
        <f>$F$8705</f>
        <v/>
      </c>
      <c r="G8742" s="19">
        <f>$E$8706</f>
        <v/>
      </c>
      <c r="H8742" s="19">
        <f>$F$8706</f>
        <v/>
      </c>
      <c r="I8742" s="19">
        <f>$B$7051*$E$8742+$B$7052*$F$8742-$B$7051*$G$8742+$B$7053*$H$8742</f>
        <v/>
      </c>
      <c r="J8742" s="19">
        <f>$B$7051*$E$8742+$B$7053*$F$8742-$B$7051*$G$8742+$B$7052*$H$8742</f>
        <v/>
      </c>
      <c r="K8742" s="21">
        <f>($J$8741-$I$8742)/2</f>
        <v/>
      </c>
    </row>
    <row r="8743">
      <c r="D8743" t="n">
        <v>9</v>
      </c>
      <c r="E8743" s="19">
        <f>$E$8706</f>
        <v/>
      </c>
      <c r="F8743" s="19">
        <f>$F$8706</f>
        <v/>
      </c>
      <c r="G8743" s="19">
        <f>$E$8707</f>
        <v/>
      </c>
      <c r="H8743" s="19">
        <f>$F$8707</f>
        <v/>
      </c>
      <c r="I8743" s="19">
        <f>$B$7051*$E$8743+$B$7052*$F$8743-$B$7051*$G$8743+$B$7053*$H$8743</f>
        <v/>
      </c>
      <c r="J8743" s="19">
        <f>$B$7051*$E$8743+$B$7053*$F$8743-$B$7051*$G$8743+$B$7052*$H$8743</f>
        <v/>
      </c>
      <c r="K8743" s="21">
        <f>($J$8742-$I$8743)/2</f>
        <v/>
      </c>
    </row>
    <row r="8744">
      <c r="K8744" s="21">
        <f>$J$8743</f>
        <v/>
      </c>
    </row>
    <row r="8746">
      <c r="A8746" s="12" t="inlineStr">
        <is>
          <t>y_gl (mm)</t>
        </is>
      </c>
      <c r="B8746" s="22">
        <f>$E$8697*1000</f>
        <v/>
      </c>
    </row>
    <row r="8747">
      <c r="A8747" s="12" t="inlineStr">
        <is>
          <t>theta_gl (deg)</t>
        </is>
      </c>
      <c r="B8747" s="23">
        <f>DEGREES($F$8697)</f>
        <v/>
      </c>
    </row>
    <row r="8748">
      <c r="A8748" s="12" t="inlineStr">
        <is>
          <t>M_max (kN*m)</t>
        </is>
      </c>
      <c r="B8748" s="22">
        <f t="array" ref="B8748">MAX(ABS($K$8734:$K$8744))</f>
        <v/>
      </c>
    </row>
    <row r="8751">
      <c r="A8751" s="2" t="inlineStr">
        <is>
          <t>PUSHOVER lambda = 9 (n=10 elements, 45 unrolled iterations)</t>
        </is>
      </c>
    </row>
    <row r="8753">
      <c r="A8753" s="6" t="inlineStr">
        <is>
          <t>V (kN)</t>
        </is>
      </c>
      <c r="B8753" s="20">
        <f>9*'1-Loads'!$D$38</f>
        <v/>
      </c>
      <c r="C8753" s="8" t="inlineStr">
        <is>
          <t>kN</t>
        </is>
      </c>
    </row>
    <row r="8754">
      <c r="A8754" s="6" t="inlineStr">
        <is>
          <t>M (kN*m)</t>
        </is>
      </c>
      <c r="B8754" s="20">
        <f>-9*'1-Loads'!$D$39</f>
        <v/>
      </c>
      <c r="C8754" s="8" t="inlineStr">
        <is>
          <t>kN*m</t>
        </is>
      </c>
    </row>
    <row r="8755">
      <c r="A8755" s="6" t="inlineStr">
        <is>
          <t>D_shaft</t>
        </is>
      </c>
      <c r="B8755" s="20">
        <f>'3-Sizing'!$D$10</f>
        <v/>
      </c>
      <c r="C8755" s="8" t="inlineStr">
        <is>
          <t>m</t>
        </is>
      </c>
    </row>
    <row r="8756">
      <c r="A8756" s="6" t="inlineStr">
        <is>
          <t>t (corroded)</t>
        </is>
      </c>
      <c r="B8756" s="20">
        <f>'7-Corrosion'!$D$19/1000</f>
        <v/>
      </c>
      <c r="C8756" s="8" t="inlineStr">
        <is>
          <t>m</t>
        </is>
      </c>
    </row>
    <row r="8757">
      <c r="A8757" s="6" t="inlineStr">
        <is>
          <t>E, steel</t>
        </is>
      </c>
      <c r="B8757" s="20">
        <f>200000000</f>
        <v/>
      </c>
      <c r="C8757" s="8" t="inlineStr">
        <is>
          <t>kPa</t>
        </is>
      </c>
    </row>
    <row r="8758">
      <c r="A8758" s="6" t="inlineStr">
        <is>
          <t>I (pipe)</t>
        </is>
      </c>
      <c r="B8758" s="20">
        <f>PI()/64*($B$8755^4-($B$8755-2*$B$8756)^4)</f>
        <v/>
      </c>
      <c r="C8758" s="8" t="inlineStr">
        <is>
          <t>m^4</t>
        </is>
      </c>
    </row>
    <row r="8759">
      <c r="A8759" s="6" t="inlineStr">
        <is>
          <t>EI</t>
        </is>
      </c>
      <c r="B8759" s="20">
        <f>$B$8757*$B$8758</f>
        <v/>
      </c>
      <c r="C8759" s="8" t="inlineStr">
        <is>
          <t>kN*m^2</t>
        </is>
      </c>
    </row>
    <row r="8760">
      <c r="A8760" s="6" t="inlineStr">
        <is>
          <t>L, embedded length</t>
        </is>
      </c>
      <c r="B8760" s="20">
        <f>'3-Sizing'!$D$25</f>
        <v/>
      </c>
      <c r="C8760" s="8" t="inlineStr">
        <is>
          <t>m</t>
        </is>
      </c>
    </row>
    <row r="8761">
      <c r="A8761" s="6" t="inlineStr">
        <is>
          <t>n_elements</t>
        </is>
      </c>
      <c r="B8761" s="20" t="n">
        <v>10</v>
      </c>
      <c r="C8761" s="8" t="inlineStr">
        <is>
          <t>-</t>
        </is>
      </c>
    </row>
    <row r="8762">
      <c r="A8762" s="6" t="inlineStr">
        <is>
          <t>h = L/n</t>
        </is>
      </c>
      <c r="B8762" s="20">
        <f>$B$8760/$B$8761</f>
        <v/>
      </c>
      <c r="C8762" s="8" t="inlineStr">
        <is>
          <t>m</t>
        </is>
      </c>
    </row>
    <row r="8763">
      <c r="A8763" s="6" t="inlineStr">
        <is>
          <t>a = 12EI/h^3</t>
        </is>
      </c>
      <c r="B8763" s="20">
        <f>12*$B$8759/$B$8762^3</f>
        <v/>
      </c>
    </row>
    <row r="8764">
      <c r="A8764" s="6" t="inlineStr">
        <is>
          <t>b = 6EI/h^2</t>
        </is>
      </c>
      <c r="B8764" s="20">
        <f>6*$B$8759/$B$8762^2</f>
        <v/>
      </c>
    </row>
    <row r="8765">
      <c r="A8765" s="6" t="inlineStr">
        <is>
          <t>c = 4EI/h</t>
        </is>
      </c>
      <c r="B8765" s="20">
        <f>4*$B$8759/$B$8762</f>
        <v/>
      </c>
    </row>
    <row r="8766">
      <c r="A8766" s="6" t="inlineStr">
        <is>
          <t>d = 2EI/h</t>
        </is>
      </c>
      <c r="B8766" s="20">
        <f>2*$B$8759/$B$8762</f>
        <v/>
      </c>
    </row>
    <row r="8767">
      <c r="A8767" s="6" t="inlineStr">
        <is>
          <t>Su</t>
        </is>
      </c>
      <c r="B8767" s="20">
        <f>'2-Geotech'!$D$15</f>
        <v/>
      </c>
      <c r="C8767" s="8" t="inlineStr">
        <is>
          <t>kPa</t>
        </is>
      </c>
    </row>
    <row r="8768">
      <c r="A8768" s="6" t="inlineStr">
        <is>
          <t>gamma</t>
        </is>
      </c>
      <c r="B8768" s="20">
        <f>'2-Geotech'!$D$20</f>
        <v/>
      </c>
      <c r="C8768" s="8" t="inlineStr">
        <is>
          <t>kN/m3</t>
        </is>
      </c>
    </row>
    <row r="8769">
      <c r="A8769" s="6" t="inlineStr">
        <is>
          <t>gamma_sub</t>
        </is>
      </c>
      <c r="B8769" s="20">
        <f>'2-Geotech'!$D$22</f>
        <v/>
      </c>
      <c r="C8769" s="8" t="inlineStr">
        <is>
          <t>kN/m3</t>
        </is>
      </c>
    </row>
    <row r="8770">
      <c r="A8770" s="6" t="inlineStr">
        <is>
          <t>GWT depth</t>
        </is>
      </c>
      <c r="B8770" s="20">
        <f>'2-Geotech'!$D$23</f>
        <v/>
      </c>
      <c r="C8770" s="8" t="inlineStr">
        <is>
          <t>m</t>
        </is>
      </c>
    </row>
    <row r="8771">
      <c r="A8771" s="6" t="inlineStr">
        <is>
          <t>eps50</t>
        </is>
      </c>
      <c r="B8771" s="20">
        <f>'2-Geotech'!$D$18</f>
        <v/>
      </c>
      <c r="C8771" s="8" t="inlineStr">
        <is>
          <t>-</t>
        </is>
      </c>
    </row>
    <row r="8772">
      <c r="A8772" s="6" t="inlineStr">
        <is>
          <t>frost depth</t>
        </is>
      </c>
      <c r="B8772" s="20">
        <f>'2-Geotech'!$D$24</f>
        <v/>
      </c>
      <c r="C8772" s="8" t="inlineStr">
        <is>
          <t>m</t>
        </is>
      </c>
    </row>
    <row r="8773">
      <c r="A8773" s="6" t="inlineStr">
        <is>
          <t>J (Matlock)</t>
        </is>
      </c>
      <c r="B8773" s="20" t="n">
        <v>0.5</v>
      </c>
      <c r="C8773" s="8" t="inlineStr">
        <is>
          <t>-</t>
        </is>
      </c>
    </row>
    <row r="8774">
      <c r="A8774" s="6" t="inlineStr">
        <is>
          <t>y50 = 2.5*eps50*D</t>
        </is>
      </c>
      <c r="B8774" s="20">
        <f>2.5*$B$8771*$B$8755</f>
        <v/>
      </c>
      <c r="C8774" s="8" t="inlineStr">
        <is>
          <t>m</t>
        </is>
      </c>
    </row>
    <row r="8775">
      <c r="A8775" s="6" t="inlineStr">
        <is>
          <t>n_generations (unrolled iterations)</t>
        </is>
      </c>
      <c r="B8775" s="20" t="n">
        <v>45</v>
      </c>
      <c r="C8775" s="8" t="inlineStr">
        <is>
          <t>-</t>
        </is>
      </c>
    </row>
    <row r="8777">
      <c r="D8777" s="18" t="inlineStr">
        <is>
          <t>i</t>
        </is>
      </c>
      <c r="E8777" s="18" t="inlineStr">
        <is>
          <t>z (m)</t>
        </is>
      </c>
      <c r="F8777" s="18" t="inlineStr">
        <is>
          <t>sigma_v (kPa)</t>
        </is>
      </c>
      <c r="G8777" s="18" t="inlineStr">
        <is>
          <t>Np</t>
        </is>
      </c>
      <c r="H8777" s="18" t="inlineStr">
        <is>
          <t>pu (kN/m)</t>
        </is>
      </c>
      <c r="I8777" s="18" t="inlineStr">
        <is>
          <t>trib (m)</t>
        </is>
      </c>
    </row>
    <row r="8778">
      <c r="D8778" t="n">
        <v>0</v>
      </c>
      <c r="E8778" s="19">
        <f>$D$8778*$B$8762</f>
        <v/>
      </c>
      <c r="F8778" s="19">
        <f>IF($E$8778&lt;=$B$8770,$B$8768*$E$8778,$B$8768*$B$8770+$B$8769*($E$8778-$B$8770))</f>
        <v/>
      </c>
      <c r="G8778" s="19">
        <f>MIN(3+$F$8778/$B$8767+$B$8773*$E$8778/$B$8755,9)</f>
        <v/>
      </c>
      <c r="H8778" s="19">
        <f>$G$8778*$B$8767*$B$8755</f>
        <v/>
      </c>
      <c r="I8778" s="19">
        <f>IF(OR($D$8778=0,$D$8778=$B$8761),$B$8762/2,$B$8762)</f>
        <v/>
      </c>
    </row>
    <row r="8779">
      <c r="D8779" t="n">
        <v>1</v>
      </c>
      <c r="E8779" s="19">
        <f>$D$8779*$B$8762</f>
        <v/>
      </c>
      <c r="F8779" s="19">
        <f>IF($E$8779&lt;=$B$8770,$B$8768*$E$8779,$B$8768*$B$8770+$B$8769*($E$8779-$B$8770))</f>
        <v/>
      </c>
      <c r="G8779" s="19">
        <f>MIN(3+$F$8779/$B$8767+$B$8773*$E$8779/$B$8755,9)</f>
        <v/>
      </c>
      <c r="H8779" s="19">
        <f>$G$8779*$B$8767*$B$8755</f>
        <v/>
      </c>
      <c r="I8779" s="19">
        <f>IF(OR($D$8779=0,$D$8779=$B$8761),$B$8762/2,$B$8762)</f>
        <v/>
      </c>
    </row>
    <row r="8780">
      <c r="D8780" t="n">
        <v>2</v>
      </c>
      <c r="E8780" s="19">
        <f>$D$8780*$B$8762</f>
        <v/>
      </c>
      <c r="F8780" s="19">
        <f>IF($E$8780&lt;=$B$8770,$B$8768*$E$8780,$B$8768*$B$8770+$B$8769*($E$8780-$B$8770))</f>
        <v/>
      </c>
      <c r="G8780" s="19">
        <f>MIN(3+$F$8780/$B$8767+$B$8773*$E$8780/$B$8755,9)</f>
        <v/>
      </c>
      <c r="H8780" s="19">
        <f>$G$8780*$B$8767*$B$8755</f>
        <v/>
      </c>
      <c r="I8780" s="19">
        <f>IF(OR($D$8780=0,$D$8780=$B$8761),$B$8762/2,$B$8762)</f>
        <v/>
      </c>
    </row>
    <row r="8781">
      <c r="D8781" t="n">
        <v>3</v>
      </c>
      <c r="E8781" s="19">
        <f>$D$8781*$B$8762</f>
        <v/>
      </c>
      <c r="F8781" s="19">
        <f>IF($E$8781&lt;=$B$8770,$B$8768*$E$8781,$B$8768*$B$8770+$B$8769*($E$8781-$B$8770))</f>
        <v/>
      </c>
      <c r="G8781" s="19">
        <f>MIN(3+$F$8781/$B$8767+$B$8773*$E$8781/$B$8755,9)</f>
        <v/>
      </c>
      <c r="H8781" s="19">
        <f>$G$8781*$B$8767*$B$8755</f>
        <v/>
      </c>
      <c r="I8781" s="19">
        <f>IF(OR($D$8781=0,$D$8781=$B$8761),$B$8762/2,$B$8762)</f>
        <v/>
      </c>
    </row>
    <row r="8782">
      <c r="D8782" t="n">
        <v>4</v>
      </c>
      <c r="E8782" s="19">
        <f>$D$8782*$B$8762</f>
        <v/>
      </c>
      <c r="F8782" s="19">
        <f>IF($E$8782&lt;=$B$8770,$B$8768*$E$8782,$B$8768*$B$8770+$B$8769*($E$8782-$B$8770))</f>
        <v/>
      </c>
      <c r="G8782" s="19">
        <f>MIN(3+$F$8782/$B$8767+$B$8773*$E$8782/$B$8755,9)</f>
        <v/>
      </c>
      <c r="H8782" s="19">
        <f>$G$8782*$B$8767*$B$8755</f>
        <v/>
      </c>
      <c r="I8782" s="19">
        <f>IF(OR($D$8782=0,$D$8782=$B$8761),$B$8762/2,$B$8762)</f>
        <v/>
      </c>
    </row>
    <row r="8783">
      <c r="D8783" t="n">
        <v>5</v>
      </c>
      <c r="E8783" s="19">
        <f>$D$8783*$B$8762</f>
        <v/>
      </c>
      <c r="F8783" s="19">
        <f>IF($E$8783&lt;=$B$8770,$B$8768*$E$8783,$B$8768*$B$8770+$B$8769*($E$8783-$B$8770))</f>
        <v/>
      </c>
      <c r="G8783" s="19">
        <f>MIN(3+$F$8783/$B$8767+$B$8773*$E$8783/$B$8755,9)</f>
        <v/>
      </c>
      <c r="H8783" s="19">
        <f>$G$8783*$B$8767*$B$8755</f>
        <v/>
      </c>
      <c r="I8783" s="19">
        <f>IF(OR($D$8783=0,$D$8783=$B$8761),$B$8762/2,$B$8762)</f>
        <v/>
      </c>
    </row>
    <row r="8784">
      <c r="D8784" t="n">
        <v>6</v>
      </c>
      <c r="E8784" s="19">
        <f>$D$8784*$B$8762</f>
        <v/>
      </c>
      <c r="F8784" s="19">
        <f>IF($E$8784&lt;=$B$8770,$B$8768*$E$8784,$B$8768*$B$8770+$B$8769*($E$8784-$B$8770))</f>
        <v/>
      </c>
      <c r="G8784" s="19">
        <f>MIN(3+$F$8784/$B$8767+$B$8773*$E$8784/$B$8755,9)</f>
        <v/>
      </c>
      <c r="H8784" s="19">
        <f>$G$8784*$B$8767*$B$8755</f>
        <v/>
      </c>
      <c r="I8784" s="19">
        <f>IF(OR($D$8784=0,$D$8784=$B$8761),$B$8762/2,$B$8762)</f>
        <v/>
      </c>
    </row>
    <row r="8785">
      <c r="D8785" t="n">
        <v>7</v>
      </c>
      <c r="E8785" s="19">
        <f>$D$8785*$B$8762</f>
        <v/>
      </c>
      <c r="F8785" s="19">
        <f>IF($E$8785&lt;=$B$8770,$B$8768*$E$8785,$B$8768*$B$8770+$B$8769*($E$8785-$B$8770))</f>
        <v/>
      </c>
      <c r="G8785" s="19">
        <f>MIN(3+$F$8785/$B$8767+$B$8773*$E$8785/$B$8755,9)</f>
        <v/>
      </c>
      <c r="H8785" s="19">
        <f>$G$8785*$B$8767*$B$8755</f>
        <v/>
      </c>
      <c r="I8785" s="19">
        <f>IF(OR($D$8785=0,$D$8785=$B$8761),$B$8762/2,$B$8762)</f>
        <v/>
      </c>
    </row>
    <row r="8786">
      <c r="D8786" t="n">
        <v>8</v>
      </c>
      <c r="E8786" s="19">
        <f>$D$8786*$B$8762</f>
        <v/>
      </c>
      <c r="F8786" s="19">
        <f>IF($E$8786&lt;=$B$8770,$B$8768*$E$8786,$B$8768*$B$8770+$B$8769*($E$8786-$B$8770))</f>
        <v/>
      </c>
      <c r="G8786" s="19">
        <f>MIN(3+$F$8786/$B$8767+$B$8773*$E$8786/$B$8755,9)</f>
        <v/>
      </c>
      <c r="H8786" s="19">
        <f>$G$8786*$B$8767*$B$8755</f>
        <v/>
      </c>
      <c r="I8786" s="19">
        <f>IF(OR($D$8786=0,$D$8786=$B$8761),$B$8762/2,$B$8762)</f>
        <v/>
      </c>
    </row>
    <row r="8787">
      <c r="D8787" t="n">
        <v>9</v>
      </c>
      <c r="E8787" s="19">
        <f>$D$8787*$B$8762</f>
        <v/>
      </c>
      <c r="F8787" s="19">
        <f>IF($E$8787&lt;=$B$8770,$B$8768*$E$8787,$B$8768*$B$8770+$B$8769*($E$8787-$B$8770))</f>
        <v/>
      </c>
      <c r="G8787" s="19">
        <f>MIN(3+$F$8787/$B$8767+$B$8773*$E$8787/$B$8755,9)</f>
        <v/>
      </c>
      <c r="H8787" s="19">
        <f>$G$8787*$B$8767*$B$8755</f>
        <v/>
      </c>
      <c r="I8787" s="19">
        <f>IF(OR($D$8787=0,$D$8787=$B$8761),$B$8762/2,$B$8762)</f>
        <v/>
      </c>
    </row>
    <row r="8788">
      <c r="D8788" t="n">
        <v>10</v>
      </c>
      <c r="E8788" s="19">
        <f>$D$8788*$B$8762</f>
        <v/>
      </c>
      <c r="F8788" s="19">
        <f>IF($E$8788&lt;=$B$8770,$B$8768*$E$8788,$B$8768*$B$8770+$B$8769*($E$8788-$B$8770))</f>
        <v/>
      </c>
      <c r="G8788" s="19">
        <f>MIN(3+$F$8788/$B$8767+$B$8773*$E$8788/$B$8755,9)</f>
        <v/>
      </c>
      <c r="H8788" s="19">
        <f>$G$8788*$B$8767*$B$8755</f>
        <v/>
      </c>
      <c r="I8788" s="19">
        <f>IF(OR($D$8788=0,$D$8788=$B$8761),$B$8762/2,$B$8762)</f>
        <v/>
      </c>
    </row>
    <row r="8790">
      <c r="D8790" s="21">
        <f>$B$8753</f>
        <v/>
      </c>
    </row>
    <row r="8791">
      <c r="D8791" s="21">
        <f>$B$8754</f>
        <v/>
      </c>
    </row>
    <row r="8792">
      <c r="D8792" s="21" t="n">
        <v>0</v>
      </c>
    </row>
    <row r="8793">
      <c r="D8793" s="21" t="n">
        <v>0</v>
      </c>
    </row>
    <row r="8794">
      <c r="D8794" s="21" t="n">
        <v>0</v>
      </c>
    </row>
    <row r="8795">
      <c r="D8795" s="21" t="n">
        <v>0</v>
      </c>
    </row>
    <row r="8796">
      <c r="D8796" s="21" t="n">
        <v>0</v>
      </c>
    </row>
    <row r="8797">
      <c r="D8797" s="21" t="n">
        <v>0</v>
      </c>
    </row>
    <row r="8798">
      <c r="D8798" s="21" t="n">
        <v>0</v>
      </c>
    </row>
    <row r="8799">
      <c r="D8799" s="21" t="n">
        <v>0</v>
      </c>
    </row>
    <row r="8800">
      <c r="D8800" s="21" t="n">
        <v>0</v>
      </c>
    </row>
    <row r="8801">
      <c r="D8801" s="21" t="n">
        <v>0</v>
      </c>
    </row>
    <row r="8802">
      <c r="D8802" s="21" t="n">
        <v>0</v>
      </c>
    </row>
    <row r="8803">
      <c r="D8803" s="21" t="n">
        <v>0</v>
      </c>
    </row>
    <row r="8804">
      <c r="D8804" s="21" t="n">
        <v>0</v>
      </c>
    </row>
    <row r="8805">
      <c r="D8805" s="21" t="n">
        <v>0</v>
      </c>
    </row>
    <row r="8806">
      <c r="D8806" s="21" t="n">
        <v>0</v>
      </c>
    </row>
    <row r="8807">
      <c r="D8807" s="21" t="n">
        <v>0</v>
      </c>
    </row>
    <row r="8808">
      <c r="D8808" s="21" t="n">
        <v>0</v>
      </c>
    </row>
    <row r="8809">
      <c r="D8809" s="21" t="n">
        <v>0</v>
      </c>
    </row>
    <row r="8810">
      <c r="D8810" s="21" t="n">
        <v>0</v>
      </c>
    </row>
    <row r="8811">
      <c r="D8811" s="21" t="n">
        <v>0</v>
      </c>
    </row>
    <row r="8813">
      <c r="A8813" s="8" t="inlineStr">
        <is>
          <t>y seed (gen 0)</t>
        </is>
      </c>
    </row>
    <row r="8814">
      <c r="E8814" s="19" t="n">
        <v>1e-05</v>
      </c>
    </row>
    <row r="8815">
      <c r="E8815" s="19" t="n">
        <v>1e-05</v>
      </c>
    </row>
    <row r="8816">
      <c r="E8816" s="19" t="n">
        <v>1e-05</v>
      </c>
    </row>
    <row r="8817">
      <c r="E8817" s="19" t="n">
        <v>1e-05</v>
      </c>
    </row>
    <row r="8818">
      <c r="E8818" s="19" t="n">
        <v>1e-05</v>
      </c>
    </row>
    <row r="8819">
      <c r="E8819" s="19" t="n">
        <v>1e-05</v>
      </c>
    </row>
    <row r="8820">
      <c r="E8820" s="19" t="n">
        <v>1e-05</v>
      </c>
    </row>
    <row r="8821">
      <c r="E8821" s="19" t="n">
        <v>1e-05</v>
      </c>
    </row>
    <row r="8822">
      <c r="E8822" s="19" t="n">
        <v>1e-05</v>
      </c>
    </row>
    <row r="8823">
      <c r="E8823" s="19" t="n">
        <v>1e-05</v>
      </c>
    </row>
    <row r="8824">
      <c r="E8824" s="19" t="n">
        <v>1e-05</v>
      </c>
    </row>
    <row r="8825">
      <c r="A8825" s="8" t="inlineStr">
        <is>
          <t>gen 1</t>
        </is>
      </c>
    </row>
    <row r="8826">
      <c r="D8826" s="19">
        <f>IF(ABS(IF(ABS($E$8814)&gt;0.000000001,$E$8814,0.000000001))=0,0,IF($E$8778&lt;=$B$8772,0,IF(ABS(IF(ABS($E$8814)&gt;0.000000001,$E$8814,0.000000001))&gt;=8*$B$8774,$H$8778,0.5*$H$8778*(ABS(IF(ABS($E$8814)&gt;0.000000001,$E$8814,0.000000001))/$B$8774)^(1/3)))/ABS(IF(ABS($E$8814)&gt;0.000000001,$E$8814,0.000000001))*$I$8778)</f>
        <v/>
      </c>
      <c r="E8826" s="19">
        <f>0.5*$E$8814+0.5*$Z$8838</f>
        <v/>
      </c>
      <c r="F8826" s="19">
        <f>$Z$8839</f>
        <v/>
      </c>
    </row>
    <row r="8827">
      <c r="D8827" s="19">
        <f>IF(ABS(IF(ABS($E$8815)&gt;0.000000001,$E$8815,0.000000001))=0,0,IF($E$8779&lt;=$B$8772,0,IF(ABS(IF(ABS($E$8815)&gt;0.000000001,$E$8815,0.000000001))&gt;=8*$B$8774,$H$8779,0.5*$H$8779*(ABS(IF(ABS($E$8815)&gt;0.000000001,$E$8815,0.000000001))/$B$8774)^(1/3)))/ABS(IF(ABS($E$8815)&gt;0.000000001,$E$8815,0.000000001))*$I$8779)</f>
        <v/>
      </c>
      <c r="E8827" s="19">
        <f>0.5*$E$8815+0.5*$Z$8840</f>
        <v/>
      </c>
      <c r="F8827" s="19">
        <f>$Z$8841</f>
        <v/>
      </c>
    </row>
    <row r="8828">
      <c r="D8828" s="19">
        <f>IF(ABS(IF(ABS($E$8816)&gt;0.000000001,$E$8816,0.000000001))=0,0,IF($E$8780&lt;=$B$8772,0,IF(ABS(IF(ABS($E$8816)&gt;0.000000001,$E$8816,0.000000001))&gt;=8*$B$8774,$H$8780,0.5*$H$8780*(ABS(IF(ABS($E$8816)&gt;0.000000001,$E$8816,0.000000001))/$B$8774)^(1/3)))/ABS(IF(ABS($E$8816)&gt;0.000000001,$E$8816,0.000000001))*$I$8780)</f>
        <v/>
      </c>
      <c r="E8828" s="19">
        <f>0.5*$E$8816+0.5*$Z$8842</f>
        <v/>
      </c>
      <c r="F8828" s="19">
        <f>$Z$8843</f>
        <v/>
      </c>
    </row>
    <row r="8829">
      <c r="D8829" s="19">
        <f>IF(ABS(IF(ABS($E$8817)&gt;0.000000001,$E$8817,0.000000001))=0,0,IF($E$8781&lt;=$B$8772,0,IF(ABS(IF(ABS($E$8817)&gt;0.000000001,$E$8817,0.000000001))&gt;=8*$B$8774,$H$8781,0.5*$H$8781*(ABS(IF(ABS($E$8817)&gt;0.000000001,$E$8817,0.000000001))/$B$8774)^(1/3)))/ABS(IF(ABS($E$8817)&gt;0.000000001,$E$8817,0.000000001))*$I$8781)</f>
        <v/>
      </c>
      <c r="E8829" s="19">
        <f>0.5*$E$8817+0.5*$Z$8844</f>
        <v/>
      </c>
      <c r="F8829" s="19">
        <f>$Z$8845</f>
        <v/>
      </c>
    </row>
    <row r="8830">
      <c r="D8830" s="19">
        <f>IF(ABS(IF(ABS($E$8818)&gt;0.000000001,$E$8818,0.000000001))=0,0,IF($E$8782&lt;=$B$8772,0,IF(ABS(IF(ABS($E$8818)&gt;0.000000001,$E$8818,0.000000001))&gt;=8*$B$8774,$H$8782,0.5*$H$8782*(ABS(IF(ABS($E$8818)&gt;0.000000001,$E$8818,0.000000001))/$B$8774)^(1/3)))/ABS(IF(ABS($E$8818)&gt;0.000000001,$E$8818,0.000000001))*$I$8782)</f>
        <v/>
      </c>
      <c r="E8830" s="19">
        <f>0.5*$E$8818+0.5*$Z$8846</f>
        <v/>
      </c>
      <c r="F8830" s="19">
        <f>$Z$8847</f>
        <v/>
      </c>
    </row>
    <row r="8831">
      <c r="D8831" s="19">
        <f>IF(ABS(IF(ABS($E$8819)&gt;0.000000001,$E$8819,0.000000001))=0,0,IF($E$8783&lt;=$B$8772,0,IF(ABS(IF(ABS($E$8819)&gt;0.000000001,$E$8819,0.000000001))&gt;=8*$B$8774,$H$8783,0.5*$H$8783*(ABS(IF(ABS($E$8819)&gt;0.000000001,$E$8819,0.000000001))/$B$8774)^(1/3)))/ABS(IF(ABS($E$8819)&gt;0.000000001,$E$8819,0.000000001))*$I$8783)</f>
        <v/>
      </c>
      <c r="E8831" s="19">
        <f>0.5*$E$8819+0.5*$Z$8848</f>
        <v/>
      </c>
      <c r="F8831" s="19">
        <f>$Z$8849</f>
        <v/>
      </c>
    </row>
    <row r="8832">
      <c r="D8832" s="19">
        <f>IF(ABS(IF(ABS($E$8820)&gt;0.000000001,$E$8820,0.000000001))=0,0,IF($E$8784&lt;=$B$8772,0,IF(ABS(IF(ABS($E$8820)&gt;0.000000001,$E$8820,0.000000001))&gt;=8*$B$8774,$H$8784,0.5*$H$8784*(ABS(IF(ABS($E$8820)&gt;0.000000001,$E$8820,0.000000001))/$B$8774)^(1/3)))/ABS(IF(ABS($E$8820)&gt;0.000000001,$E$8820,0.000000001))*$I$8784)</f>
        <v/>
      </c>
      <c r="E8832" s="19">
        <f>0.5*$E$8820+0.5*$Z$8850</f>
        <v/>
      </c>
      <c r="F8832" s="19">
        <f>$Z$8851</f>
        <v/>
      </c>
    </row>
    <row r="8833">
      <c r="D8833" s="19">
        <f>IF(ABS(IF(ABS($E$8821)&gt;0.000000001,$E$8821,0.000000001))=0,0,IF($E$8785&lt;=$B$8772,0,IF(ABS(IF(ABS($E$8821)&gt;0.000000001,$E$8821,0.000000001))&gt;=8*$B$8774,$H$8785,0.5*$H$8785*(ABS(IF(ABS($E$8821)&gt;0.000000001,$E$8821,0.000000001))/$B$8774)^(1/3)))/ABS(IF(ABS($E$8821)&gt;0.000000001,$E$8821,0.000000001))*$I$8785)</f>
        <v/>
      </c>
      <c r="E8833" s="19">
        <f>0.5*$E$8821+0.5*$Z$8852</f>
        <v/>
      </c>
      <c r="F8833" s="19">
        <f>$Z$8853</f>
        <v/>
      </c>
    </row>
    <row r="8834">
      <c r="D8834" s="19">
        <f>IF(ABS(IF(ABS($E$8822)&gt;0.000000001,$E$8822,0.000000001))=0,0,IF($E$8786&lt;=$B$8772,0,IF(ABS(IF(ABS($E$8822)&gt;0.000000001,$E$8822,0.000000001))&gt;=8*$B$8774,$H$8786,0.5*$H$8786*(ABS(IF(ABS($E$8822)&gt;0.000000001,$E$8822,0.000000001))/$B$8774)^(1/3)))/ABS(IF(ABS($E$8822)&gt;0.000000001,$E$8822,0.000000001))*$I$8786)</f>
        <v/>
      </c>
      <c r="E8834" s="19">
        <f>0.5*$E$8822+0.5*$Z$8854</f>
        <v/>
      </c>
      <c r="F8834" s="19">
        <f>$Z$8855</f>
        <v/>
      </c>
    </row>
    <row r="8835">
      <c r="D8835" s="19">
        <f>IF(ABS(IF(ABS($E$8823)&gt;0.000000001,$E$8823,0.000000001))=0,0,IF($E$8787&lt;=$B$8772,0,IF(ABS(IF(ABS($E$8823)&gt;0.000000001,$E$8823,0.000000001))&gt;=8*$B$8774,$H$8787,0.5*$H$8787*(ABS(IF(ABS($E$8823)&gt;0.000000001,$E$8823,0.000000001))/$B$8774)^(1/3)))/ABS(IF(ABS($E$8823)&gt;0.000000001,$E$8823,0.000000001))*$I$8787)</f>
        <v/>
      </c>
      <c r="E8835" s="19">
        <f>0.5*$E$8823+0.5*$Z$8856</f>
        <v/>
      </c>
      <c r="F8835" s="19">
        <f>$Z$8857</f>
        <v/>
      </c>
    </row>
    <row r="8836">
      <c r="D8836" s="19">
        <f>IF(ABS(IF(ABS($E$8824)&gt;0.000000001,$E$8824,0.000000001))=0,0,IF($E$8788&lt;=$B$8772,0,IF(ABS(IF(ABS($E$8824)&gt;0.000000001,$E$8824,0.000000001))&gt;=8*$B$8774,$H$8788,0.5*$H$8788*(ABS(IF(ABS($E$8824)&gt;0.000000001,$E$8824,0.000000001))/$B$8774)^(1/3)))/ABS(IF(ABS($E$8824)&gt;0.000000001,$E$8824,0.000000001))*$I$8788)</f>
        <v/>
      </c>
      <c r="E8836" s="19">
        <f>0.5*$E$8824+0.5*$Z$8858</f>
        <v/>
      </c>
      <c r="F8836" s="19">
        <f>$Z$8859</f>
        <v/>
      </c>
    </row>
    <row r="8838">
      <c r="D8838" s="21">
        <f>$B$8763+$D$8826</f>
        <v/>
      </c>
      <c r="E8838" s="21">
        <f>$B$8764</f>
        <v/>
      </c>
      <c r="F8838" s="21">
        <f>-$B$8763</f>
        <v/>
      </c>
      <c r="G8838" s="21">
        <f>$B$8764</f>
        <v/>
      </c>
      <c r="H8838" s="21" t="n">
        <v>0</v>
      </c>
      <c r="I8838" s="21" t="n">
        <v>0</v>
      </c>
      <c r="J8838" s="21" t="n">
        <v>0</v>
      </c>
      <c r="K8838" s="21" t="n">
        <v>0</v>
      </c>
      <c r="L8838" s="21" t="n">
        <v>0</v>
      </c>
      <c r="M8838" s="21" t="n">
        <v>0</v>
      </c>
      <c r="N8838" s="21" t="n">
        <v>0</v>
      </c>
      <c r="O8838" s="21" t="n">
        <v>0</v>
      </c>
      <c r="P8838" s="21" t="n">
        <v>0</v>
      </c>
      <c r="Q8838" s="21" t="n">
        <v>0</v>
      </c>
      <c r="R8838" s="21" t="n">
        <v>0</v>
      </c>
      <c r="S8838" s="21" t="n">
        <v>0</v>
      </c>
      <c r="T8838" s="21" t="n">
        <v>0</v>
      </c>
      <c r="U8838" s="21" t="n">
        <v>0</v>
      </c>
      <c r="V8838" s="21" t="n">
        <v>0</v>
      </c>
      <c r="W8838" s="21" t="n">
        <v>0</v>
      </c>
      <c r="X8838" s="21" t="n">
        <v>0</v>
      </c>
      <c r="Y8838" s="21" t="n">
        <v>0</v>
      </c>
      <c r="Z8838" s="19">
        <f t="array" ref="Z8838:Z8859">MMULT(MINVERSE($D$8838:$Y$8859),$D$8790:$D$8811)</f>
        <v/>
      </c>
    </row>
    <row r="8839">
      <c r="D8839" s="21">
        <f>$B$8764</f>
        <v/>
      </c>
      <c r="E8839" s="21">
        <f>$B$8765</f>
        <v/>
      </c>
      <c r="F8839" s="21">
        <f>-$B$8764</f>
        <v/>
      </c>
      <c r="G8839" s="21">
        <f>$B$8766</f>
        <v/>
      </c>
      <c r="H8839" s="21" t="n">
        <v>0</v>
      </c>
      <c r="I8839" s="21" t="n">
        <v>0</v>
      </c>
      <c r="J8839" s="21" t="n">
        <v>0</v>
      </c>
      <c r="K8839" s="21" t="n">
        <v>0</v>
      </c>
      <c r="L8839" s="21" t="n">
        <v>0</v>
      </c>
      <c r="M8839" s="21" t="n">
        <v>0</v>
      </c>
      <c r="N8839" s="21" t="n">
        <v>0</v>
      </c>
      <c r="O8839" s="21" t="n">
        <v>0</v>
      </c>
      <c r="P8839" s="21" t="n">
        <v>0</v>
      </c>
      <c r="Q8839" s="21" t="n">
        <v>0</v>
      </c>
      <c r="R8839" s="21" t="n">
        <v>0</v>
      </c>
      <c r="S8839" s="21" t="n">
        <v>0</v>
      </c>
      <c r="T8839" s="21" t="n">
        <v>0</v>
      </c>
      <c r="U8839" s="21" t="n">
        <v>0</v>
      </c>
      <c r="V8839" s="21" t="n">
        <v>0</v>
      </c>
      <c r="W8839" s="21" t="n">
        <v>0</v>
      </c>
      <c r="X8839" s="21" t="n">
        <v>0</v>
      </c>
      <c r="Y8839" s="21" t="n">
        <v>0</v>
      </c>
      <c r="Z8839" s="19" t="n"/>
    </row>
    <row r="8840">
      <c r="D8840" s="21">
        <f>-$B$8763</f>
        <v/>
      </c>
      <c r="E8840" s="21">
        <f>-$B$8764</f>
        <v/>
      </c>
      <c r="F8840" s="21">
        <f>2*$B$8763+$D$8827</f>
        <v/>
      </c>
      <c r="G8840" s="21">
        <f>0</f>
        <v/>
      </c>
      <c r="H8840" s="21">
        <f>-$B$8763</f>
        <v/>
      </c>
      <c r="I8840" s="21">
        <f>$B$8764</f>
        <v/>
      </c>
      <c r="J8840" s="21" t="n">
        <v>0</v>
      </c>
      <c r="K8840" s="21" t="n">
        <v>0</v>
      </c>
      <c r="L8840" s="21" t="n">
        <v>0</v>
      </c>
      <c r="M8840" s="21" t="n">
        <v>0</v>
      </c>
      <c r="N8840" s="21" t="n">
        <v>0</v>
      </c>
      <c r="O8840" s="21" t="n">
        <v>0</v>
      </c>
      <c r="P8840" s="21" t="n">
        <v>0</v>
      </c>
      <c r="Q8840" s="21" t="n">
        <v>0</v>
      </c>
      <c r="R8840" s="21" t="n">
        <v>0</v>
      </c>
      <c r="S8840" s="21" t="n">
        <v>0</v>
      </c>
      <c r="T8840" s="21" t="n">
        <v>0</v>
      </c>
      <c r="U8840" s="21" t="n">
        <v>0</v>
      </c>
      <c r="V8840" s="21" t="n">
        <v>0</v>
      </c>
      <c r="W8840" s="21" t="n">
        <v>0</v>
      </c>
      <c r="X8840" s="21" t="n">
        <v>0</v>
      </c>
      <c r="Y8840" s="21" t="n">
        <v>0</v>
      </c>
      <c r="Z8840" s="19" t="n"/>
    </row>
    <row r="8841">
      <c r="D8841" s="21">
        <f>$B$8764</f>
        <v/>
      </c>
      <c r="E8841" s="21">
        <f>$B$8766</f>
        <v/>
      </c>
      <c r="F8841" s="21">
        <f>0</f>
        <v/>
      </c>
      <c r="G8841" s="21">
        <f>2*$B$8765</f>
        <v/>
      </c>
      <c r="H8841" s="21">
        <f>-$B$8764</f>
        <v/>
      </c>
      <c r="I8841" s="21">
        <f>$B$8766</f>
        <v/>
      </c>
      <c r="J8841" s="21" t="n">
        <v>0</v>
      </c>
      <c r="K8841" s="21" t="n">
        <v>0</v>
      </c>
      <c r="L8841" s="21" t="n">
        <v>0</v>
      </c>
      <c r="M8841" s="21" t="n">
        <v>0</v>
      </c>
      <c r="N8841" s="21" t="n">
        <v>0</v>
      </c>
      <c r="O8841" s="21" t="n">
        <v>0</v>
      </c>
      <c r="P8841" s="21" t="n">
        <v>0</v>
      </c>
      <c r="Q8841" s="21" t="n">
        <v>0</v>
      </c>
      <c r="R8841" s="21" t="n">
        <v>0</v>
      </c>
      <c r="S8841" s="21" t="n">
        <v>0</v>
      </c>
      <c r="T8841" s="21" t="n">
        <v>0</v>
      </c>
      <c r="U8841" s="21" t="n">
        <v>0</v>
      </c>
      <c r="V8841" s="21" t="n">
        <v>0</v>
      </c>
      <c r="W8841" s="21" t="n">
        <v>0</v>
      </c>
      <c r="X8841" s="21" t="n">
        <v>0</v>
      </c>
      <c r="Y8841" s="21" t="n">
        <v>0</v>
      </c>
      <c r="Z8841" s="19" t="n"/>
    </row>
    <row r="8842">
      <c r="D8842" s="21" t="n">
        <v>0</v>
      </c>
      <c r="E8842" s="21" t="n">
        <v>0</v>
      </c>
      <c r="F8842" s="21">
        <f>-$B$8763</f>
        <v/>
      </c>
      <c r="G8842" s="21">
        <f>-$B$8764</f>
        <v/>
      </c>
      <c r="H8842" s="21">
        <f>2*$B$8763+$D$8828</f>
        <v/>
      </c>
      <c r="I8842" s="21">
        <f>0</f>
        <v/>
      </c>
      <c r="J8842" s="21">
        <f>-$B$8763</f>
        <v/>
      </c>
      <c r="K8842" s="21">
        <f>$B$8764</f>
        <v/>
      </c>
      <c r="L8842" s="21" t="n">
        <v>0</v>
      </c>
      <c r="M8842" s="21" t="n">
        <v>0</v>
      </c>
      <c r="N8842" s="21" t="n">
        <v>0</v>
      </c>
      <c r="O8842" s="21" t="n">
        <v>0</v>
      </c>
      <c r="P8842" s="21" t="n">
        <v>0</v>
      </c>
      <c r="Q8842" s="21" t="n">
        <v>0</v>
      </c>
      <c r="R8842" s="21" t="n">
        <v>0</v>
      </c>
      <c r="S8842" s="21" t="n">
        <v>0</v>
      </c>
      <c r="T8842" s="21" t="n">
        <v>0</v>
      </c>
      <c r="U8842" s="21" t="n">
        <v>0</v>
      </c>
      <c r="V8842" s="21" t="n">
        <v>0</v>
      </c>
      <c r="W8842" s="21" t="n">
        <v>0</v>
      </c>
      <c r="X8842" s="21" t="n">
        <v>0</v>
      </c>
      <c r="Y8842" s="21" t="n">
        <v>0</v>
      </c>
      <c r="Z8842" s="19" t="n"/>
    </row>
    <row r="8843">
      <c r="D8843" s="21" t="n">
        <v>0</v>
      </c>
      <c r="E8843" s="21" t="n">
        <v>0</v>
      </c>
      <c r="F8843" s="21">
        <f>$B$8764</f>
        <v/>
      </c>
      <c r="G8843" s="21">
        <f>$B$8766</f>
        <v/>
      </c>
      <c r="H8843" s="21">
        <f>0</f>
        <v/>
      </c>
      <c r="I8843" s="21">
        <f>2*$B$8765</f>
        <v/>
      </c>
      <c r="J8843" s="21">
        <f>-$B$8764</f>
        <v/>
      </c>
      <c r="K8843" s="21">
        <f>$B$8766</f>
        <v/>
      </c>
      <c r="L8843" s="21" t="n">
        <v>0</v>
      </c>
      <c r="M8843" s="21" t="n">
        <v>0</v>
      </c>
      <c r="N8843" s="21" t="n">
        <v>0</v>
      </c>
      <c r="O8843" s="21" t="n">
        <v>0</v>
      </c>
      <c r="P8843" s="21" t="n">
        <v>0</v>
      </c>
      <c r="Q8843" s="21" t="n">
        <v>0</v>
      </c>
      <c r="R8843" s="21" t="n">
        <v>0</v>
      </c>
      <c r="S8843" s="21" t="n">
        <v>0</v>
      </c>
      <c r="T8843" s="21" t="n">
        <v>0</v>
      </c>
      <c r="U8843" s="21" t="n">
        <v>0</v>
      </c>
      <c r="V8843" s="21" t="n">
        <v>0</v>
      </c>
      <c r="W8843" s="21" t="n">
        <v>0</v>
      </c>
      <c r="X8843" s="21" t="n">
        <v>0</v>
      </c>
      <c r="Y8843" s="21" t="n">
        <v>0</v>
      </c>
      <c r="Z8843" s="19" t="n"/>
    </row>
    <row r="8844">
      <c r="D8844" s="21" t="n">
        <v>0</v>
      </c>
      <c r="E8844" s="21" t="n">
        <v>0</v>
      </c>
      <c r="F8844" s="21" t="n">
        <v>0</v>
      </c>
      <c r="G8844" s="21" t="n">
        <v>0</v>
      </c>
      <c r="H8844" s="21">
        <f>-$B$8763</f>
        <v/>
      </c>
      <c r="I8844" s="21">
        <f>-$B$8764</f>
        <v/>
      </c>
      <c r="J8844" s="21">
        <f>2*$B$8763+$D$8829</f>
        <v/>
      </c>
      <c r="K8844" s="21">
        <f>0</f>
        <v/>
      </c>
      <c r="L8844" s="21">
        <f>-$B$8763</f>
        <v/>
      </c>
      <c r="M8844" s="21">
        <f>$B$8764</f>
        <v/>
      </c>
      <c r="N8844" s="21" t="n">
        <v>0</v>
      </c>
      <c r="O8844" s="21" t="n">
        <v>0</v>
      </c>
      <c r="P8844" s="21" t="n">
        <v>0</v>
      </c>
      <c r="Q8844" s="21" t="n">
        <v>0</v>
      </c>
      <c r="R8844" s="21" t="n">
        <v>0</v>
      </c>
      <c r="S8844" s="21" t="n">
        <v>0</v>
      </c>
      <c r="T8844" s="21" t="n">
        <v>0</v>
      </c>
      <c r="U8844" s="21" t="n">
        <v>0</v>
      </c>
      <c r="V8844" s="21" t="n">
        <v>0</v>
      </c>
      <c r="W8844" s="21" t="n">
        <v>0</v>
      </c>
      <c r="X8844" s="21" t="n">
        <v>0</v>
      </c>
      <c r="Y8844" s="21" t="n">
        <v>0</v>
      </c>
      <c r="Z8844" s="19" t="n"/>
    </row>
    <row r="8845">
      <c r="D8845" s="21" t="n">
        <v>0</v>
      </c>
      <c r="E8845" s="21" t="n">
        <v>0</v>
      </c>
      <c r="F8845" s="21" t="n">
        <v>0</v>
      </c>
      <c r="G8845" s="21" t="n">
        <v>0</v>
      </c>
      <c r="H8845" s="21">
        <f>$B$8764</f>
        <v/>
      </c>
      <c r="I8845" s="21">
        <f>$B$8766</f>
        <v/>
      </c>
      <c r="J8845" s="21">
        <f>0</f>
        <v/>
      </c>
      <c r="K8845" s="21">
        <f>2*$B$8765</f>
        <v/>
      </c>
      <c r="L8845" s="21">
        <f>-$B$8764</f>
        <v/>
      </c>
      <c r="M8845" s="21">
        <f>$B$8766</f>
        <v/>
      </c>
      <c r="N8845" s="21" t="n">
        <v>0</v>
      </c>
      <c r="O8845" s="21" t="n">
        <v>0</v>
      </c>
      <c r="P8845" s="21" t="n">
        <v>0</v>
      </c>
      <c r="Q8845" s="21" t="n">
        <v>0</v>
      </c>
      <c r="R8845" s="21" t="n">
        <v>0</v>
      </c>
      <c r="S8845" s="21" t="n">
        <v>0</v>
      </c>
      <c r="T8845" s="21" t="n">
        <v>0</v>
      </c>
      <c r="U8845" s="21" t="n">
        <v>0</v>
      </c>
      <c r="V8845" s="21" t="n">
        <v>0</v>
      </c>
      <c r="W8845" s="21" t="n">
        <v>0</v>
      </c>
      <c r="X8845" s="21" t="n">
        <v>0</v>
      </c>
      <c r="Y8845" s="21" t="n">
        <v>0</v>
      </c>
      <c r="Z8845" s="19" t="n"/>
    </row>
    <row r="8846">
      <c r="D8846" s="21" t="n">
        <v>0</v>
      </c>
      <c r="E8846" s="21" t="n">
        <v>0</v>
      </c>
      <c r="F8846" s="21" t="n">
        <v>0</v>
      </c>
      <c r="G8846" s="21" t="n">
        <v>0</v>
      </c>
      <c r="H8846" s="21" t="n">
        <v>0</v>
      </c>
      <c r="I8846" s="21" t="n">
        <v>0</v>
      </c>
      <c r="J8846" s="21">
        <f>-$B$8763</f>
        <v/>
      </c>
      <c r="K8846" s="21">
        <f>-$B$8764</f>
        <v/>
      </c>
      <c r="L8846" s="21">
        <f>2*$B$8763+$D$8830</f>
        <v/>
      </c>
      <c r="M8846" s="21">
        <f>0</f>
        <v/>
      </c>
      <c r="N8846" s="21">
        <f>-$B$8763</f>
        <v/>
      </c>
      <c r="O8846" s="21">
        <f>$B$8764</f>
        <v/>
      </c>
      <c r="P8846" s="21" t="n">
        <v>0</v>
      </c>
      <c r="Q8846" s="21" t="n">
        <v>0</v>
      </c>
      <c r="R8846" s="21" t="n">
        <v>0</v>
      </c>
      <c r="S8846" s="21" t="n">
        <v>0</v>
      </c>
      <c r="T8846" s="21" t="n">
        <v>0</v>
      </c>
      <c r="U8846" s="21" t="n">
        <v>0</v>
      </c>
      <c r="V8846" s="21" t="n">
        <v>0</v>
      </c>
      <c r="W8846" s="21" t="n">
        <v>0</v>
      </c>
      <c r="X8846" s="21" t="n">
        <v>0</v>
      </c>
      <c r="Y8846" s="21" t="n">
        <v>0</v>
      </c>
      <c r="Z8846" s="19" t="n"/>
    </row>
    <row r="8847">
      <c r="D8847" s="21" t="n">
        <v>0</v>
      </c>
      <c r="E8847" s="21" t="n">
        <v>0</v>
      </c>
      <c r="F8847" s="21" t="n">
        <v>0</v>
      </c>
      <c r="G8847" s="21" t="n">
        <v>0</v>
      </c>
      <c r="H8847" s="21" t="n">
        <v>0</v>
      </c>
      <c r="I8847" s="21" t="n">
        <v>0</v>
      </c>
      <c r="J8847" s="21">
        <f>$B$8764</f>
        <v/>
      </c>
      <c r="K8847" s="21">
        <f>$B$8766</f>
        <v/>
      </c>
      <c r="L8847" s="21">
        <f>0</f>
        <v/>
      </c>
      <c r="M8847" s="21">
        <f>2*$B$8765</f>
        <v/>
      </c>
      <c r="N8847" s="21">
        <f>-$B$8764</f>
        <v/>
      </c>
      <c r="O8847" s="21">
        <f>$B$8766</f>
        <v/>
      </c>
      <c r="P8847" s="21" t="n">
        <v>0</v>
      </c>
      <c r="Q8847" s="21" t="n">
        <v>0</v>
      </c>
      <c r="R8847" s="21" t="n">
        <v>0</v>
      </c>
      <c r="S8847" s="21" t="n">
        <v>0</v>
      </c>
      <c r="T8847" s="21" t="n">
        <v>0</v>
      </c>
      <c r="U8847" s="21" t="n">
        <v>0</v>
      </c>
      <c r="V8847" s="21" t="n">
        <v>0</v>
      </c>
      <c r="W8847" s="21" t="n">
        <v>0</v>
      </c>
      <c r="X8847" s="21" t="n">
        <v>0</v>
      </c>
      <c r="Y8847" s="21" t="n">
        <v>0</v>
      </c>
      <c r="Z8847" s="19" t="n"/>
    </row>
    <row r="8848">
      <c r="D8848" s="21" t="n">
        <v>0</v>
      </c>
      <c r="E8848" s="21" t="n">
        <v>0</v>
      </c>
      <c r="F8848" s="21" t="n">
        <v>0</v>
      </c>
      <c r="G8848" s="21" t="n">
        <v>0</v>
      </c>
      <c r="H8848" s="21" t="n">
        <v>0</v>
      </c>
      <c r="I8848" s="21" t="n">
        <v>0</v>
      </c>
      <c r="J8848" s="21" t="n">
        <v>0</v>
      </c>
      <c r="K8848" s="21" t="n">
        <v>0</v>
      </c>
      <c r="L8848" s="21">
        <f>-$B$8763</f>
        <v/>
      </c>
      <c r="M8848" s="21">
        <f>-$B$8764</f>
        <v/>
      </c>
      <c r="N8848" s="21">
        <f>2*$B$8763+$D$8831</f>
        <v/>
      </c>
      <c r="O8848" s="21">
        <f>0</f>
        <v/>
      </c>
      <c r="P8848" s="21">
        <f>-$B$8763</f>
        <v/>
      </c>
      <c r="Q8848" s="21">
        <f>$B$8764</f>
        <v/>
      </c>
      <c r="R8848" s="21" t="n">
        <v>0</v>
      </c>
      <c r="S8848" s="21" t="n">
        <v>0</v>
      </c>
      <c r="T8848" s="21" t="n">
        <v>0</v>
      </c>
      <c r="U8848" s="21" t="n">
        <v>0</v>
      </c>
      <c r="V8848" s="21" t="n">
        <v>0</v>
      </c>
      <c r="W8848" s="21" t="n">
        <v>0</v>
      </c>
      <c r="X8848" s="21" t="n">
        <v>0</v>
      </c>
      <c r="Y8848" s="21" t="n">
        <v>0</v>
      </c>
      <c r="Z8848" s="19" t="n"/>
    </row>
    <row r="8849">
      <c r="D8849" s="21" t="n">
        <v>0</v>
      </c>
      <c r="E8849" s="21" t="n">
        <v>0</v>
      </c>
      <c r="F8849" s="21" t="n">
        <v>0</v>
      </c>
      <c r="G8849" s="21" t="n">
        <v>0</v>
      </c>
      <c r="H8849" s="21" t="n">
        <v>0</v>
      </c>
      <c r="I8849" s="21" t="n">
        <v>0</v>
      </c>
      <c r="J8849" s="21" t="n">
        <v>0</v>
      </c>
      <c r="K8849" s="21" t="n">
        <v>0</v>
      </c>
      <c r="L8849" s="21">
        <f>$B$8764</f>
        <v/>
      </c>
      <c r="M8849" s="21">
        <f>$B$8766</f>
        <v/>
      </c>
      <c r="N8849" s="21">
        <f>0</f>
        <v/>
      </c>
      <c r="O8849" s="21">
        <f>2*$B$8765</f>
        <v/>
      </c>
      <c r="P8849" s="21">
        <f>-$B$8764</f>
        <v/>
      </c>
      <c r="Q8849" s="21">
        <f>$B$8766</f>
        <v/>
      </c>
      <c r="R8849" s="21" t="n">
        <v>0</v>
      </c>
      <c r="S8849" s="21" t="n">
        <v>0</v>
      </c>
      <c r="T8849" s="21" t="n">
        <v>0</v>
      </c>
      <c r="U8849" s="21" t="n">
        <v>0</v>
      </c>
      <c r="V8849" s="21" t="n">
        <v>0</v>
      </c>
      <c r="W8849" s="21" t="n">
        <v>0</v>
      </c>
      <c r="X8849" s="21" t="n">
        <v>0</v>
      </c>
      <c r="Y8849" s="21" t="n">
        <v>0</v>
      </c>
      <c r="Z8849" s="19" t="n"/>
    </row>
    <row r="8850">
      <c r="D8850" s="21" t="n">
        <v>0</v>
      </c>
      <c r="E8850" s="21" t="n">
        <v>0</v>
      </c>
      <c r="F8850" s="21" t="n">
        <v>0</v>
      </c>
      <c r="G8850" s="21" t="n">
        <v>0</v>
      </c>
      <c r="H8850" s="21" t="n">
        <v>0</v>
      </c>
      <c r="I8850" s="21" t="n">
        <v>0</v>
      </c>
      <c r="J8850" s="21" t="n">
        <v>0</v>
      </c>
      <c r="K8850" s="21" t="n">
        <v>0</v>
      </c>
      <c r="L8850" s="21" t="n">
        <v>0</v>
      </c>
      <c r="M8850" s="21" t="n">
        <v>0</v>
      </c>
      <c r="N8850" s="21">
        <f>-$B$8763</f>
        <v/>
      </c>
      <c r="O8850" s="21">
        <f>-$B$8764</f>
        <v/>
      </c>
      <c r="P8850" s="21">
        <f>2*$B$8763+$D$8832</f>
        <v/>
      </c>
      <c r="Q8850" s="21">
        <f>0</f>
        <v/>
      </c>
      <c r="R8850" s="21">
        <f>-$B$8763</f>
        <v/>
      </c>
      <c r="S8850" s="21">
        <f>$B$8764</f>
        <v/>
      </c>
      <c r="T8850" s="21" t="n">
        <v>0</v>
      </c>
      <c r="U8850" s="21" t="n">
        <v>0</v>
      </c>
      <c r="V8850" s="21" t="n">
        <v>0</v>
      </c>
      <c r="W8850" s="21" t="n">
        <v>0</v>
      </c>
      <c r="X8850" s="21" t="n">
        <v>0</v>
      </c>
      <c r="Y8850" s="21" t="n">
        <v>0</v>
      </c>
      <c r="Z8850" s="19" t="n"/>
    </row>
    <row r="8851">
      <c r="D8851" s="21" t="n">
        <v>0</v>
      </c>
      <c r="E8851" s="21" t="n">
        <v>0</v>
      </c>
      <c r="F8851" s="21" t="n">
        <v>0</v>
      </c>
      <c r="G8851" s="21" t="n">
        <v>0</v>
      </c>
      <c r="H8851" s="21" t="n">
        <v>0</v>
      </c>
      <c r="I8851" s="21" t="n">
        <v>0</v>
      </c>
      <c r="J8851" s="21" t="n">
        <v>0</v>
      </c>
      <c r="K8851" s="21" t="n">
        <v>0</v>
      </c>
      <c r="L8851" s="21" t="n">
        <v>0</v>
      </c>
      <c r="M8851" s="21" t="n">
        <v>0</v>
      </c>
      <c r="N8851" s="21">
        <f>$B$8764</f>
        <v/>
      </c>
      <c r="O8851" s="21">
        <f>$B$8766</f>
        <v/>
      </c>
      <c r="P8851" s="21">
        <f>0</f>
        <v/>
      </c>
      <c r="Q8851" s="21">
        <f>2*$B$8765</f>
        <v/>
      </c>
      <c r="R8851" s="21">
        <f>-$B$8764</f>
        <v/>
      </c>
      <c r="S8851" s="21">
        <f>$B$8766</f>
        <v/>
      </c>
      <c r="T8851" s="21" t="n">
        <v>0</v>
      </c>
      <c r="U8851" s="21" t="n">
        <v>0</v>
      </c>
      <c r="V8851" s="21" t="n">
        <v>0</v>
      </c>
      <c r="W8851" s="21" t="n">
        <v>0</v>
      </c>
      <c r="X8851" s="21" t="n">
        <v>0</v>
      </c>
      <c r="Y8851" s="21" t="n">
        <v>0</v>
      </c>
      <c r="Z8851" s="19" t="n"/>
    </row>
    <row r="8852">
      <c r="D8852" s="21" t="n">
        <v>0</v>
      </c>
      <c r="E8852" s="21" t="n">
        <v>0</v>
      </c>
      <c r="F8852" s="21" t="n">
        <v>0</v>
      </c>
      <c r="G8852" s="21" t="n">
        <v>0</v>
      </c>
      <c r="H8852" s="21" t="n">
        <v>0</v>
      </c>
      <c r="I8852" s="21" t="n">
        <v>0</v>
      </c>
      <c r="J8852" s="21" t="n">
        <v>0</v>
      </c>
      <c r="K8852" s="21" t="n">
        <v>0</v>
      </c>
      <c r="L8852" s="21" t="n">
        <v>0</v>
      </c>
      <c r="M8852" s="21" t="n">
        <v>0</v>
      </c>
      <c r="N8852" s="21" t="n">
        <v>0</v>
      </c>
      <c r="O8852" s="21" t="n">
        <v>0</v>
      </c>
      <c r="P8852" s="21">
        <f>-$B$8763</f>
        <v/>
      </c>
      <c r="Q8852" s="21">
        <f>-$B$8764</f>
        <v/>
      </c>
      <c r="R8852" s="21">
        <f>2*$B$8763+$D$8833</f>
        <v/>
      </c>
      <c r="S8852" s="21">
        <f>0</f>
        <v/>
      </c>
      <c r="T8852" s="21">
        <f>-$B$8763</f>
        <v/>
      </c>
      <c r="U8852" s="21">
        <f>$B$8764</f>
        <v/>
      </c>
      <c r="V8852" s="21" t="n">
        <v>0</v>
      </c>
      <c r="W8852" s="21" t="n">
        <v>0</v>
      </c>
      <c r="X8852" s="21" t="n">
        <v>0</v>
      </c>
      <c r="Y8852" s="21" t="n">
        <v>0</v>
      </c>
      <c r="Z8852" s="19" t="n"/>
    </row>
    <row r="8853">
      <c r="D8853" s="21" t="n">
        <v>0</v>
      </c>
      <c r="E8853" s="21" t="n">
        <v>0</v>
      </c>
      <c r="F8853" s="21" t="n">
        <v>0</v>
      </c>
      <c r="G8853" s="21" t="n">
        <v>0</v>
      </c>
      <c r="H8853" s="21" t="n">
        <v>0</v>
      </c>
      <c r="I8853" s="21" t="n">
        <v>0</v>
      </c>
      <c r="J8853" s="21" t="n">
        <v>0</v>
      </c>
      <c r="K8853" s="21" t="n">
        <v>0</v>
      </c>
      <c r="L8853" s="21" t="n">
        <v>0</v>
      </c>
      <c r="M8853" s="21" t="n">
        <v>0</v>
      </c>
      <c r="N8853" s="21" t="n">
        <v>0</v>
      </c>
      <c r="O8853" s="21" t="n">
        <v>0</v>
      </c>
      <c r="P8853" s="21">
        <f>$B$8764</f>
        <v/>
      </c>
      <c r="Q8853" s="21">
        <f>$B$8766</f>
        <v/>
      </c>
      <c r="R8853" s="21">
        <f>0</f>
        <v/>
      </c>
      <c r="S8853" s="21">
        <f>2*$B$8765</f>
        <v/>
      </c>
      <c r="T8853" s="21">
        <f>-$B$8764</f>
        <v/>
      </c>
      <c r="U8853" s="21">
        <f>$B$8766</f>
        <v/>
      </c>
      <c r="V8853" s="21" t="n">
        <v>0</v>
      </c>
      <c r="W8853" s="21" t="n">
        <v>0</v>
      </c>
      <c r="X8853" s="21" t="n">
        <v>0</v>
      </c>
      <c r="Y8853" s="21" t="n">
        <v>0</v>
      </c>
      <c r="Z8853" s="19" t="n"/>
    </row>
    <row r="8854">
      <c r="D8854" s="21" t="n">
        <v>0</v>
      </c>
      <c r="E8854" s="21" t="n">
        <v>0</v>
      </c>
      <c r="F8854" s="21" t="n">
        <v>0</v>
      </c>
      <c r="G8854" s="21" t="n">
        <v>0</v>
      </c>
      <c r="H8854" s="21" t="n">
        <v>0</v>
      </c>
      <c r="I8854" s="21" t="n">
        <v>0</v>
      </c>
      <c r="J8854" s="21" t="n">
        <v>0</v>
      </c>
      <c r="K8854" s="21" t="n">
        <v>0</v>
      </c>
      <c r="L8854" s="21" t="n">
        <v>0</v>
      </c>
      <c r="M8854" s="21" t="n">
        <v>0</v>
      </c>
      <c r="N8854" s="21" t="n">
        <v>0</v>
      </c>
      <c r="O8854" s="21" t="n">
        <v>0</v>
      </c>
      <c r="P8854" s="21" t="n">
        <v>0</v>
      </c>
      <c r="Q8854" s="21" t="n">
        <v>0</v>
      </c>
      <c r="R8854" s="21">
        <f>-$B$8763</f>
        <v/>
      </c>
      <c r="S8854" s="21">
        <f>-$B$8764</f>
        <v/>
      </c>
      <c r="T8854" s="21">
        <f>2*$B$8763+$D$8834</f>
        <v/>
      </c>
      <c r="U8854" s="21">
        <f>0</f>
        <v/>
      </c>
      <c r="V8854" s="21">
        <f>-$B$8763</f>
        <v/>
      </c>
      <c r="W8854" s="21">
        <f>$B$8764</f>
        <v/>
      </c>
      <c r="X8854" s="21" t="n">
        <v>0</v>
      </c>
      <c r="Y8854" s="21" t="n">
        <v>0</v>
      </c>
      <c r="Z8854" s="19" t="n"/>
    </row>
    <row r="8855">
      <c r="D8855" s="21" t="n">
        <v>0</v>
      </c>
      <c r="E8855" s="21" t="n">
        <v>0</v>
      </c>
      <c r="F8855" s="21" t="n">
        <v>0</v>
      </c>
      <c r="G8855" s="21" t="n">
        <v>0</v>
      </c>
      <c r="H8855" s="21" t="n">
        <v>0</v>
      </c>
      <c r="I8855" s="21" t="n">
        <v>0</v>
      </c>
      <c r="J8855" s="21" t="n">
        <v>0</v>
      </c>
      <c r="K8855" s="21" t="n">
        <v>0</v>
      </c>
      <c r="L8855" s="21" t="n">
        <v>0</v>
      </c>
      <c r="M8855" s="21" t="n">
        <v>0</v>
      </c>
      <c r="N8855" s="21" t="n">
        <v>0</v>
      </c>
      <c r="O8855" s="21" t="n">
        <v>0</v>
      </c>
      <c r="P8855" s="21" t="n">
        <v>0</v>
      </c>
      <c r="Q8855" s="21" t="n">
        <v>0</v>
      </c>
      <c r="R8855" s="21">
        <f>$B$8764</f>
        <v/>
      </c>
      <c r="S8855" s="21">
        <f>$B$8766</f>
        <v/>
      </c>
      <c r="T8855" s="21">
        <f>0</f>
        <v/>
      </c>
      <c r="U8855" s="21">
        <f>2*$B$8765</f>
        <v/>
      </c>
      <c r="V8855" s="21">
        <f>-$B$8764</f>
        <v/>
      </c>
      <c r="W8855" s="21">
        <f>$B$8766</f>
        <v/>
      </c>
      <c r="X8855" s="21" t="n">
        <v>0</v>
      </c>
      <c r="Y8855" s="21" t="n">
        <v>0</v>
      </c>
      <c r="Z8855" s="19" t="n"/>
    </row>
    <row r="8856">
      <c r="D8856" s="21" t="n">
        <v>0</v>
      </c>
      <c r="E8856" s="21" t="n">
        <v>0</v>
      </c>
      <c r="F8856" s="21" t="n">
        <v>0</v>
      </c>
      <c r="G8856" s="21" t="n">
        <v>0</v>
      </c>
      <c r="H8856" s="21" t="n">
        <v>0</v>
      </c>
      <c r="I8856" s="21" t="n">
        <v>0</v>
      </c>
      <c r="J8856" s="21" t="n">
        <v>0</v>
      </c>
      <c r="K8856" s="21" t="n">
        <v>0</v>
      </c>
      <c r="L8856" s="21" t="n">
        <v>0</v>
      </c>
      <c r="M8856" s="21" t="n">
        <v>0</v>
      </c>
      <c r="N8856" s="21" t="n">
        <v>0</v>
      </c>
      <c r="O8856" s="21" t="n">
        <v>0</v>
      </c>
      <c r="P8856" s="21" t="n">
        <v>0</v>
      </c>
      <c r="Q8856" s="21" t="n">
        <v>0</v>
      </c>
      <c r="R8856" s="21" t="n">
        <v>0</v>
      </c>
      <c r="S8856" s="21" t="n">
        <v>0</v>
      </c>
      <c r="T8856" s="21">
        <f>-$B$8763</f>
        <v/>
      </c>
      <c r="U8856" s="21">
        <f>-$B$8764</f>
        <v/>
      </c>
      <c r="V8856" s="21">
        <f>2*$B$8763+$D$8835</f>
        <v/>
      </c>
      <c r="W8856" s="21">
        <f>0</f>
        <v/>
      </c>
      <c r="X8856" s="21">
        <f>-$B$8763</f>
        <v/>
      </c>
      <c r="Y8856" s="21">
        <f>$B$8764</f>
        <v/>
      </c>
      <c r="Z8856" s="19" t="n"/>
    </row>
    <row r="8857">
      <c r="D8857" s="21" t="n">
        <v>0</v>
      </c>
      <c r="E8857" s="21" t="n">
        <v>0</v>
      </c>
      <c r="F8857" s="21" t="n">
        <v>0</v>
      </c>
      <c r="G8857" s="21" t="n">
        <v>0</v>
      </c>
      <c r="H8857" s="21" t="n">
        <v>0</v>
      </c>
      <c r="I8857" s="21" t="n">
        <v>0</v>
      </c>
      <c r="J8857" s="21" t="n">
        <v>0</v>
      </c>
      <c r="K8857" s="21" t="n">
        <v>0</v>
      </c>
      <c r="L8857" s="21" t="n">
        <v>0</v>
      </c>
      <c r="M8857" s="21" t="n">
        <v>0</v>
      </c>
      <c r="N8857" s="21" t="n">
        <v>0</v>
      </c>
      <c r="O8857" s="21" t="n">
        <v>0</v>
      </c>
      <c r="P8857" s="21" t="n">
        <v>0</v>
      </c>
      <c r="Q8857" s="21" t="n">
        <v>0</v>
      </c>
      <c r="R8857" s="21" t="n">
        <v>0</v>
      </c>
      <c r="S8857" s="21" t="n">
        <v>0</v>
      </c>
      <c r="T8857" s="21">
        <f>$B$8764</f>
        <v/>
      </c>
      <c r="U8857" s="21">
        <f>$B$8766</f>
        <v/>
      </c>
      <c r="V8857" s="21">
        <f>0</f>
        <v/>
      </c>
      <c r="W8857" s="21">
        <f>2*$B$8765</f>
        <v/>
      </c>
      <c r="X8857" s="21">
        <f>-$B$8764</f>
        <v/>
      </c>
      <c r="Y8857" s="21">
        <f>$B$8766</f>
        <v/>
      </c>
      <c r="Z8857" s="19" t="n"/>
    </row>
    <row r="8858">
      <c r="D8858" s="21" t="n">
        <v>0</v>
      </c>
      <c r="E8858" s="21" t="n">
        <v>0</v>
      </c>
      <c r="F8858" s="21" t="n">
        <v>0</v>
      </c>
      <c r="G8858" s="21" t="n">
        <v>0</v>
      </c>
      <c r="H8858" s="21" t="n">
        <v>0</v>
      </c>
      <c r="I8858" s="21" t="n">
        <v>0</v>
      </c>
      <c r="J8858" s="21" t="n">
        <v>0</v>
      </c>
      <c r="K8858" s="21" t="n">
        <v>0</v>
      </c>
      <c r="L8858" s="21" t="n">
        <v>0</v>
      </c>
      <c r="M8858" s="21" t="n">
        <v>0</v>
      </c>
      <c r="N8858" s="21" t="n">
        <v>0</v>
      </c>
      <c r="O8858" s="21" t="n">
        <v>0</v>
      </c>
      <c r="P8858" s="21" t="n">
        <v>0</v>
      </c>
      <c r="Q8858" s="21" t="n">
        <v>0</v>
      </c>
      <c r="R8858" s="21" t="n">
        <v>0</v>
      </c>
      <c r="S8858" s="21" t="n">
        <v>0</v>
      </c>
      <c r="T8858" s="21" t="n">
        <v>0</v>
      </c>
      <c r="U8858" s="21" t="n">
        <v>0</v>
      </c>
      <c r="V8858" s="21">
        <f>-$B$8763</f>
        <v/>
      </c>
      <c r="W8858" s="21">
        <f>-$B$8764</f>
        <v/>
      </c>
      <c r="X8858" s="21">
        <f>$B$8763+$D$8836</f>
        <v/>
      </c>
      <c r="Y8858" s="21">
        <f>-$B$8764</f>
        <v/>
      </c>
      <c r="Z8858" s="19" t="n"/>
    </row>
    <row r="8859">
      <c r="D8859" s="21" t="n">
        <v>0</v>
      </c>
      <c r="E8859" s="21" t="n">
        <v>0</v>
      </c>
      <c r="F8859" s="21" t="n">
        <v>0</v>
      </c>
      <c r="G8859" s="21" t="n">
        <v>0</v>
      </c>
      <c r="H8859" s="21" t="n">
        <v>0</v>
      </c>
      <c r="I8859" s="21" t="n">
        <v>0</v>
      </c>
      <c r="J8859" s="21" t="n">
        <v>0</v>
      </c>
      <c r="K8859" s="21" t="n">
        <v>0</v>
      </c>
      <c r="L8859" s="21" t="n">
        <v>0</v>
      </c>
      <c r="M8859" s="21" t="n">
        <v>0</v>
      </c>
      <c r="N8859" s="21" t="n">
        <v>0</v>
      </c>
      <c r="O8859" s="21" t="n">
        <v>0</v>
      </c>
      <c r="P8859" s="21" t="n">
        <v>0</v>
      </c>
      <c r="Q8859" s="21" t="n">
        <v>0</v>
      </c>
      <c r="R8859" s="21" t="n">
        <v>0</v>
      </c>
      <c r="S8859" s="21" t="n">
        <v>0</v>
      </c>
      <c r="T8859" s="21" t="n">
        <v>0</v>
      </c>
      <c r="U8859" s="21" t="n">
        <v>0</v>
      </c>
      <c r="V8859" s="21">
        <f>$B$8764</f>
        <v/>
      </c>
      <c r="W8859" s="21">
        <f>$B$8766</f>
        <v/>
      </c>
      <c r="X8859" s="21">
        <f>-$B$8764</f>
        <v/>
      </c>
      <c r="Y8859" s="21">
        <f>$B$8765</f>
        <v/>
      </c>
      <c r="Z8859" s="19" t="n"/>
    </row>
    <row r="8861">
      <c r="A8861" s="8" t="inlineStr">
        <is>
          <t>gen 2</t>
        </is>
      </c>
    </row>
    <row r="8862">
      <c r="D8862" s="19">
        <f>IF(ABS(IF(ABS($E$8826)&gt;0.000000001,$E$8826,0.000000001))=0,0,IF($E$8778&lt;=$B$8772,0,IF(ABS(IF(ABS($E$8826)&gt;0.000000001,$E$8826,0.000000001))&gt;=8*$B$8774,$H$8778,0.5*$H$8778*(ABS(IF(ABS($E$8826)&gt;0.000000001,$E$8826,0.000000001))/$B$8774)^(1/3)))/ABS(IF(ABS($E$8826)&gt;0.000000001,$E$8826,0.000000001))*$I$8778)</f>
        <v/>
      </c>
      <c r="E8862" s="19">
        <f>0.5*$E$8826+0.5*$Z$8874</f>
        <v/>
      </c>
      <c r="F8862" s="19">
        <f>$Z$8875</f>
        <v/>
      </c>
    </row>
    <row r="8863">
      <c r="D8863" s="19">
        <f>IF(ABS(IF(ABS($E$8827)&gt;0.000000001,$E$8827,0.000000001))=0,0,IF($E$8779&lt;=$B$8772,0,IF(ABS(IF(ABS($E$8827)&gt;0.000000001,$E$8827,0.000000001))&gt;=8*$B$8774,$H$8779,0.5*$H$8779*(ABS(IF(ABS($E$8827)&gt;0.000000001,$E$8827,0.000000001))/$B$8774)^(1/3)))/ABS(IF(ABS($E$8827)&gt;0.000000001,$E$8827,0.000000001))*$I$8779)</f>
        <v/>
      </c>
      <c r="E8863" s="19">
        <f>0.5*$E$8827+0.5*$Z$8876</f>
        <v/>
      </c>
      <c r="F8863" s="19">
        <f>$Z$8877</f>
        <v/>
      </c>
    </row>
    <row r="8864">
      <c r="D8864" s="19">
        <f>IF(ABS(IF(ABS($E$8828)&gt;0.000000001,$E$8828,0.000000001))=0,0,IF($E$8780&lt;=$B$8772,0,IF(ABS(IF(ABS($E$8828)&gt;0.000000001,$E$8828,0.000000001))&gt;=8*$B$8774,$H$8780,0.5*$H$8780*(ABS(IF(ABS($E$8828)&gt;0.000000001,$E$8828,0.000000001))/$B$8774)^(1/3)))/ABS(IF(ABS($E$8828)&gt;0.000000001,$E$8828,0.000000001))*$I$8780)</f>
        <v/>
      </c>
      <c r="E8864" s="19">
        <f>0.5*$E$8828+0.5*$Z$8878</f>
        <v/>
      </c>
      <c r="F8864" s="19">
        <f>$Z$8879</f>
        <v/>
      </c>
    </row>
    <row r="8865">
      <c r="D8865" s="19">
        <f>IF(ABS(IF(ABS($E$8829)&gt;0.000000001,$E$8829,0.000000001))=0,0,IF($E$8781&lt;=$B$8772,0,IF(ABS(IF(ABS($E$8829)&gt;0.000000001,$E$8829,0.000000001))&gt;=8*$B$8774,$H$8781,0.5*$H$8781*(ABS(IF(ABS($E$8829)&gt;0.000000001,$E$8829,0.000000001))/$B$8774)^(1/3)))/ABS(IF(ABS($E$8829)&gt;0.000000001,$E$8829,0.000000001))*$I$8781)</f>
        <v/>
      </c>
      <c r="E8865" s="19">
        <f>0.5*$E$8829+0.5*$Z$8880</f>
        <v/>
      </c>
      <c r="F8865" s="19">
        <f>$Z$8881</f>
        <v/>
      </c>
    </row>
    <row r="8866">
      <c r="D8866" s="19">
        <f>IF(ABS(IF(ABS($E$8830)&gt;0.000000001,$E$8830,0.000000001))=0,0,IF($E$8782&lt;=$B$8772,0,IF(ABS(IF(ABS($E$8830)&gt;0.000000001,$E$8830,0.000000001))&gt;=8*$B$8774,$H$8782,0.5*$H$8782*(ABS(IF(ABS($E$8830)&gt;0.000000001,$E$8830,0.000000001))/$B$8774)^(1/3)))/ABS(IF(ABS($E$8830)&gt;0.000000001,$E$8830,0.000000001))*$I$8782)</f>
        <v/>
      </c>
      <c r="E8866" s="19">
        <f>0.5*$E$8830+0.5*$Z$8882</f>
        <v/>
      </c>
      <c r="F8866" s="19">
        <f>$Z$8883</f>
        <v/>
      </c>
    </row>
    <row r="8867">
      <c r="D8867" s="19">
        <f>IF(ABS(IF(ABS($E$8831)&gt;0.000000001,$E$8831,0.000000001))=0,0,IF($E$8783&lt;=$B$8772,0,IF(ABS(IF(ABS($E$8831)&gt;0.000000001,$E$8831,0.000000001))&gt;=8*$B$8774,$H$8783,0.5*$H$8783*(ABS(IF(ABS($E$8831)&gt;0.000000001,$E$8831,0.000000001))/$B$8774)^(1/3)))/ABS(IF(ABS($E$8831)&gt;0.000000001,$E$8831,0.000000001))*$I$8783)</f>
        <v/>
      </c>
      <c r="E8867" s="19">
        <f>0.5*$E$8831+0.5*$Z$8884</f>
        <v/>
      </c>
      <c r="F8867" s="19">
        <f>$Z$8885</f>
        <v/>
      </c>
    </row>
    <row r="8868">
      <c r="D8868" s="19">
        <f>IF(ABS(IF(ABS($E$8832)&gt;0.000000001,$E$8832,0.000000001))=0,0,IF($E$8784&lt;=$B$8772,0,IF(ABS(IF(ABS($E$8832)&gt;0.000000001,$E$8832,0.000000001))&gt;=8*$B$8774,$H$8784,0.5*$H$8784*(ABS(IF(ABS($E$8832)&gt;0.000000001,$E$8832,0.000000001))/$B$8774)^(1/3)))/ABS(IF(ABS($E$8832)&gt;0.000000001,$E$8832,0.000000001))*$I$8784)</f>
        <v/>
      </c>
      <c r="E8868" s="19">
        <f>0.5*$E$8832+0.5*$Z$8886</f>
        <v/>
      </c>
      <c r="F8868" s="19">
        <f>$Z$8887</f>
        <v/>
      </c>
    </row>
    <row r="8869">
      <c r="D8869" s="19">
        <f>IF(ABS(IF(ABS($E$8833)&gt;0.000000001,$E$8833,0.000000001))=0,0,IF($E$8785&lt;=$B$8772,0,IF(ABS(IF(ABS($E$8833)&gt;0.000000001,$E$8833,0.000000001))&gt;=8*$B$8774,$H$8785,0.5*$H$8785*(ABS(IF(ABS($E$8833)&gt;0.000000001,$E$8833,0.000000001))/$B$8774)^(1/3)))/ABS(IF(ABS($E$8833)&gt;0.000000001,$E$8833,0.000000001))*$I$8785)</f>
        <v/>
      </c>
      <c r="E8869" s="19">
        <f>0.5*$E$8833+0.5*$Z$8888</f>
        <v/>
      </c>
      <c r="F8869" s="19">
        <f>$Z$8889</f>
        <v/>
      </c>
    </row>
    <row r="8870">
      <c r="D8870" s="19">
        <f>IF(ABS(IF(ABS($E$8834)&gt;0.000000001,$E$8834,0.000000001))=0,0,IF($E$8786&lt;=$B$8772,0,IF(ABS(IF(ABS($E$8834)&gt;0.000000001,$E$8834,0.000000001))&gt;=8*$B$8774,$H$8786,0.5*$H$8786*(ABS(IF(ABS($E$8834)&gt;0.000000001,$E$8834,0.000000001))/$B$8774)^(1/3)))/ABS(IF(ABS($E$8834)&gt;0.000000001,$E$8834,0.000000001))*$I$8786)</f>
        <v/>
      </c>
      <c r="E8870" s="19">
        <f>0.5*$E$8834+0.5*$Z$8890</f>
        <v/>
      </c>
      <c r="F8870" s="19">
        <f>$Z$8891</f>
        <v/>
      </c>
    </row>
    <row r="8871">
      <c r="D8871" s="19">
        <f>IF(ABS(IF(ABS($E$8835)&gt;0.000000001,$E$8835,0.000000001))=0,0,IF($E$8787&lt;=$B$8772,0,IF(ABS(IF(ABS($E$8835)&gt;0.000000001,$E$8835,0.000000001))&gt;=8*$B$8774,$H$8787,0.5*$H$8787*(ABS(IF(ABS($E$8835)&gt;0.000000001,$E$8835,0.000000001))/$B$8774)^(1/3)))/ABS(IF(ABS($E$8835)&gt;0.000000001,$E$8835,0.000000001))*$I$8787)</f>
        <v/>
      </c>
      <c r="E8871" s="19">
        <f>0.5*$E$8835+0.5*$Z$8892</f>
        <v/>
      </c>
      <c r="F8871" s="19">
        <f>$Z$8893</f>
        <v/>
      </c>
    </row>
    <row r="8872">
      <c r="D8872" s="19">
        <f>IF(ABS(IF(ABS($E$8836)&gt;0.000000001,$E$8836,0.000000001))=0,0,IF($E$8788&lt;=$B$8772,0,IF(ABS(IF(ABS($E$8836)&gt;0.000000001,$E$8836,0.000000001))&gt;=8*$B$8774,$H$8788,0.5*$H$8788*(ABS(IF(ABS($E$8836)&gt;0.000000001,$E$8836,0.000000001))/$B$8774)^(1/3)))/ABS(IF(ABS($E$8836)&gt;0.000000001,$E$8836,0.000000001))*$I$8788)</f>
        <v/>
      </c>
      <c r="E8872" s="19">
        <f>0.5*$E$8836+0.5*$Z$8894</f>
        <v/>
      </c>
      <c r="F8872" s="19">
        <f>$Z$8895</f>
        <v/>
      </c>
    </row>
    <row r="8874">
      <c r="D8874" s="21">
        <f>$B$8763+$D$8862</f>
        <v/>
      </c>
      <c r="E8874" s="21">
        <f>$B$8764</f>
        <v/>
      </c>
      <c r="F8874" s="21">
        <f>-$B$8763</f>
        <v/>
      </c>
      <c r="G8874" s="21">
        <f>$B$8764</f>
        <v/>
      </c>
      <c r="H8874" s="21" t="n">
        <v>0</v>
      </c>
      <c r="I8874" s="21" t="n">
        <v>0</v>
      </c>
      <c r="J8874" s="21" t="n">
        <v>0</v>
      </c>
      <c r="K8874" s="21" t="n">
        <v>0</v>
      </c>
      <c r="L8874" s="21" t="n">
        <v>0</v>
      </c>
      <c r="M8874" s="21" t="n">
        <v>0</v>
      </c>
      <c r="N8874" s="21" t="n">
        <v>0</v>
      </c>
      <c r="O8874" s="21" t="n">
        <v>0</v>
      </c>
      <c r="P8874" s="21" t="n">
        <v>0</v>
      </c>
      <c r="Q8874" s="21" t="n">
        <v>0</v>
      </c>
      <c r="R8874" s="21" t="n">
        <v>0</v>
      </c>
      <c r="S8874" s="21" t="n">
        <v>0</v>
      </c>
      <c r="T8874" s="21" t="n">
        <v>0</v>
      </c>
      <c r="U8874" s="21" t="n">
        <v>0</v>
      </c>
      <c r="V8874" s="21" t="n">
        <v>0</v>
      </c>
      <c r="W8874" s="21" t="n">
        <v>0</v>
      </c>
      <c r="X8874" s="21" t="n">
        <v>0</v>
      </c>
      <c r="Y8874" s="21" t="n">
        <v>0</v>
      </c>
      <c r="Z8874" s="19">
        <f t="array" ref="Z8874:Z8895">MMULT(MINVERSE($D$8874:$Y$8895),$D$8790:$D$8811)</f>
        <v/>
      </c>
    </row>
    <row r="8875">
      <c r="D8875" s="21">
        <f>$B$8764</f>
        <v/>
      </c>
      <c r="E8875" s="21">
        <f>$B$8765</f>
        <v/>
      </c>
      <c r="F8875" s="21">
        <f>-$B$8764</f>
        <v/>
      </c>
      <c r="G8875" s="21">
        <f>$B$8766</f>
        <v/>
      </c>
      <c r="H8875" s="21" t="n">
        <v>0</v>
      </c>
      <c r="I8875" s="21" t="n">
        <v>0</v>
      </c>
      <c r="J8875" s="21" t="n">
        <v>0</v>
      </c>
      <c r="K8875" s="21" t="n">
        <v>0</v>
      </c>
      <c r="L8875" s="21" t="n">
        <v>0</v>
      </c>
      <c r="M8875" s="21" t="n">
        <v>0</v>
      </c>
      <c r="N8875" s="21" t="n">
        <v>0</v>
      </c>
      <c r="O8875" s="21" t="n">
        <v>0</v>
      </c>
      <c r="P8875" s="21" t="n">
        <v>0</v>
      </c>
      <c r="Q8875" s="21" t="n">
        <v>0</v>
      </c>
      <c r="R8875" s="21" t="n">
        <v>0</v>
      </c>
      <c r="S8875" s="21" t="n">
        <v>0</v>
      </c>
      <c r="T8875" s="21" t="n">
        <v>0</v>
      </c>
      <c r="U8875" s="21" t="n">
        <v>0</v>
      </c>
      <c r="V8875" s="21" t="n">
        <v>0</v>
      </c>
      <c r="W8875" s="21" t="n">
        <v>0</v>
      </c>
      <c r="X8875" s="21" t="n">
        <v>0</v>
      </c>
      <c r="Y8875" s="21" t="n">
        <v>0</v>
      </c>
      <c r="Z8875" s="19" t="n"/>
    </row>
    <row r="8876">
      <c r="D8876" s="21">
        <f>-$B$8763</f>
        <v/>
      </c>
      <c r="E8876" s="21">
        <f>-$B$8764</f>
        <v/>
      </c>
      <c r="F8876" s="21">
        <f>2*$B$8763+$D$8863</f>
        <v/>
      </c>
      <c r="G8876" s="21">
        <f>0</f>
        <v/>
      </c>
      <c r="H8876" s="21">
        <f>-$B$8763</f>
        <v/>
      </c>
      <c r="I8876" s="21">
        <f>$B$8764</f>
        <v/>
      </c>
      <c r="J8876" s="21" t="n">
        <v>0</v>
      </c>
      <c r="K8876" s="21" t="n">
        <v>0</v>
      </c>
      <c r="L8876" s="21" t="n">
        <v>0</v>
      </c>
      <c r="M8876" s="21" t="n">
        <v>0</v>
      </c>
      <c r="N8876" s="21" t="n">
        <v>0</v>
      </c>
      <c r="O8876" s="21" t="n">
        <v>0</v>
      </c>
      <c r="P8876" s="21" t="n">
        <v>0</v>
      </c>
      <c r="Q8876" s="21" t="n">
        <v>0</v>
      </c>
      <c r="R8876" s="21" t="n">
        <v>0</v>
      </c>
      <c r="S8876" s="21" t="n">
        <v>0</v>
      </c>
      <c r="T8876" s="21" t="n">
        <v>0</v>
      </c>
      <c r="U8876" s="21" t="n">
        <v>0</v>
      </c>
      <c r="V8876" s="21" t="n">
        <v>0</v>
      </c>
      <c r="W8876" s="21" t="n">
        <v>0</v>
      </c>
      <c r="X8876" s="21" t="n">
        <v>0</v>
      </c>
      <c r="Y8876" s="21" t="n">
        <v>0</v>
      </c>
      <c r="Z8876" s="19" t="n"/>
    </row>
    <row r="8877">
      <c r="D8877" s="21">
        <f>$B$8764</f>
        <v/>
      </c>
      <c r="E8877" s="21">
        <f>$B$8766</f>
        <v/>
      </c>
      <c r="F8877" s="21">
        <f>0</f>
        <v/>
      </c>
      <c r="G8877" s="21">
        <f>2*$B$8765</f>
        <v/>
      </c>
      <c r="H8877" s="21">
        <f>-$B$8764</f>
        <v/>
      </c>
      <c r="I8877" s="21">
        <f>$B$8766</f>
        <v/>
      </c>
      <c r="J8877" s="21" t="n">
        <v>0</v>
      </c>
      <c r="K8877" s="21" t="n">
        <v>0</v>
      </c>
      <c r="L8877" s="21" t="n">
        <v>0</v>
      </c>
      <c r="M8877" s="21" t="n">
        <v>0</v>
      </c>
      <c r="N8877" s="21" t="n">
        <v>0</v>
      </c>
      <c r="O8877" s="21" t="n">
        <v>0</v>
      </c>
      <c r="P8877" s="21" t="n">
        <v>0</v>
      </c>
      <c r="Q8877" s="21" t="n">
        <v>0</v>
      </c>
      <c r="R8877" s="21" t="n">
        <v>0</v>
      </c>
      <c r="S8877" s="21" t="n">
        <v>0</v>
      </c>
      <c r="T8877" s="21" t="n">
        <v>0</v>
      </c>
      <c r="U8877" s="21" t="n">
        <v>0</v>
      </c>
      <c r="V8877" s="21" t="n">
        <v>0</v>
      </c>
      <c r="W8877" s="21" t="n">
        <v>0</v>
      </c>
      <c r="X8877" s="21" t="n">
        <v>0</v>
      </c>
      <c r="Y8877" s="21" t="n">
        <v>0</v>
      </c>
      <c r="Z8877" s="19" t="n"/>
    </row>
    <row r="8878">
      <c r="D8878" s="21" t="n">
        <v>0</v>
      </c>
      <c r="E8878" s="21" t="n">
        <v>0</v>
      </c>
      <c r="F8878" s="21">
        <f>-$B$8763</f>
        <v/>
      </c>
      <c r="G8878" s="21">
        <f>-$B$8764</f>
        <v/>
      </c>
      <c r="H8878" s="21">
        <f>2*$B$8763+$D$8864</f>
        <v/>
      </c>
      <c r="I8878" s="21">
        <f>0</f>
        <v/>
      </c>
      <c r="J8878" s="21">
        <f>-$B$8763</f>
        <v/>
      </c>
      <c r="K8878" s="21">
        <f>$B$8764</f>
        <v/>
      </c>
      <c r="L8878" s="21" t="n">
        <v>0</v>
      </c>
      <c r="M8878" s="21" t="n">
        <v>0</v>
      </c>
      <c r="N8878" s="21" t="n">
        <v>0</v>
      </c>
      <c r="O8878" s="21" t="n">
        <v>0</v>
      </c>
      <c r="P8878" s="21" t="n">
        <v>0</v>
      </c>
      <c r="Q8878" s="21" t="n">
        <v>0</v>
      </c>
      <c r="R8878" s="21" t="n">
        <v>0</v>
      </c>
      <c r="S8878" s="21" t="n">
        <v>0</v>
      </c>
      <c r="T8878" s="21" t="n">
        <v>0</v>
      </c>
      <c r="U8878" s="21" t="n">
        <v>0</v>
      </c>
      <c r="V8878" s="21" t="n">
        <v>0</v>
      </c>
      <c r="W8878" s="21" t="n">
        <v>0</v>
      </c>
      <c r="X8878" s="21" t="n">
        <v>0</v>
      </c>
      <c r="Y8878" s="21" t="n">
        <v>0</v>
      </c>
      <c r="Z8878" s="19" t="n"/>
    </row>
    <row r="8879">
      <c r="D8879" s="21" t="n">
        <v>0</v>
      </c>
      <c r="E8879" s="21" t="n">
        <v>0</v>
      </c>
      <c r="F8879" s="21">
        <f>$B$8764</f>
        <v/>
      </c>
      <c r="G8879" s="21">
        <f>$B$8766</f>
        <v/>
      </c>
      <c r="H8879" s="21">
        <f>0</f>
        <v/>
      </c>
      <c r="I8879" s="21">
        <f>2*$B$8765</f>
        <v/>
      </c>
      <c r="J8879" s="21">
        <f>-$B$8764</f>
        <v/>
      </c>
      <c r="K8879" s="21">
        <f>$B$8766</f>
        <v/>
      </c>
      <c r="L8879" s="21" t="n">
        <v>0</v>
      </c>
      <c r="M8879" s="21" t="n">
        <v>0</v>
      </c>
      <c r="N8879" s="21" t="n">
        <v>0</v>
      </c>
      <c r="O8879" s="21" t="n">
        <v>0</v>
      </c>
      <c r="P8879" s="21" t="n">
        <v>0</v>
      </c>
      <c r="Q8879" s="21" t="n">
        <v>0</v>
      </c>
      <c r="R8879" s="21" t="n">
        <v>0</v>
      </c>
      <c r="S8879" s="21" t="n">
        <v>0</v>
      </c>
      <c r="T8879" s="21" t="n">
        <v>0</v>
      </c>
      <c r="U8879" s="21" t="n">
        <v>0</v>
      </c>
      <c r="V8879" s="21" t="n">
        <v>0</v>
      </c>
      <c r="W8879" s="21" t="n">
        <v>0</v>
      </c>
      <c r="X8879" s="21" t="n">
        <v>0</v>
      </c>
      <c r="Y8879" s="21" t="n">
        <v>0</v>
      </c>
      <c r="Z8879" s="19" t="n"/>
    </row>
    <row r="8880">
      <c r="D8880" s="21" t="n">
        <v>0</v>
      </c>
      <c r="E8880" s="21" t="n">
        <v>0</v>
      </c>
      <c r="F8880" s="21" t="n">
        <v>0</v>
      </c>
      <c r="G8880" s="21" t="n">
        <v>0</v>
      </c>
      <c r="H8880" s="21">
        <f>-$B$8763</f>
        <v/>
      </c>
      <c r="I8880" s="21">
        <f>-$B$8764</f>
        <v/>
      </c>
      <c r="J8880" s="21">
        <f>2*$B$8763+$D$8865</f>
        <v/>
      </c>
      <c r="K8880" s="21">
        <f>0</f>
        <v/>
      </c>
      <c r="L8880" s="21">
        <f>-$B$8763</f>
        <v/>
      </c>
      <c r="M8880" s="21">
        <f>$B$8764</f>
        <v/>
      </c>
      <c r="N8880" s="21" t="n">
        <v>0</v>
      </c>
      <c r="O8880" s="21" t="n">
        <v>0</v>
      </c>
      <c r="P8880" s="21" t="n">
        <v>0</v>
      </c>
      <c r="Q8880" s="21" t="n">
        <v>0</v>
      </c>
      <c r="R8880" s="21" t="n">
        <v>0</v>
      </c>
      <c r="S8880" s="21" t="n">
        <v>0</v>
      </c>
      <c r="T8880" s="21" t="n">
        <v>0</v>
      </c>
      <c r="U8880" s="21" t="n">
        <v>0</v>
      </c>
      <c r="V8880" s="21" t="n">
        <v>0</v>
      </c>
      <c r="W8880" s="21" t="n">
        <v>0</v>
      </c>
      <c r="X8880" s="21" t="n">
        <v>0</v>
      </c>
      <c r="Y8880" s="21" t="n">
        <v>0</v>
      </c>
      <c r="Z8880" s="19" t="n"/>
    </row>
    <row r="8881">
      <c r="D8881" s="21" t="n">
        <v>0</v>
      </c>
      <c r="E8881" s="21" t="n">
        <v>0</v>
      </c>
      <c r="F8881" s="21" t="n">
        <v>0</v>
      </c>
      <c r="G8881" s="21" t="n">
        <v>0</v>
      </c>
      <c r="H8881" s="21">
        <f>$B$8764</f>
        <v/>
      </c>
      <c r="I8881" s="21">
        <f>$B$8766</f>
        <v/>
      </c>
      <c r="J8881" s="21">
        <f>0</f>
        <v/>
      </c>
      <c r="K8881" s="21">
        <f>2*$B$8765</f>
        <v/>
      </c>
      <c r="L8881" s="21">
        <f>-$B$8764</f>
        <v/>
      </c>
      <c r="M8881" s="21">
        <f>$B$8766</f>
        <v/>
      </c>
      <c r="N8881" s="21" t="n">
        <v>0</v>
      </c>
      <c r="O8881" s="21" t="n">
        <v>0</v>
      </c>
      <c r="P8881" s="21" t="n">
        <v>0</v>
      </c>
      <c r="Q8881" s="21" t="n">
        <v>0</v>
      </c>
      <c r="R8881" s="21" t="n">
        <v>0</v>
      </c>
      <c r="S8881" s="21" t="n">
        <v>0</v>
      </c>
      <c r="T8881" s="21" t="n">
        <v>0</v>
      </c>
      <c r="U8881" s="21" t="n">
        <v>0</v>
      </c>
      <c r="V8881" s="21" t="n">
        <v>0</v>
      </c>
      <c r="W8881" s="21" t="n">
        <v>0</v>
      </c>
      <c r="X8881" s="21" t="n">
        <v>0</v>
      </c>
      <c r="Y8881" s="21" t="n">
        <v>0</v>
      </c>
      <c r="Z8881" s="19" t="n"/>
    </row>
    <row r="8882">
      <c r="D8882" s="21" t="n">
        <v>0</v>
      </c>
      <c r="E8882" s="21" t="n">
        <v>0</v>
      </c>
      <c r="F8882" s="21" t="n">
        <v>0</v>
      </c>
      <c r="G8882" s="21" t="n">
        <v>0</v>
      </c>
      <c r="H8882" s="21" t="n">
        <v>0</v>
      </c>
      <c r="I8882" s="21" t="n">
        <v>0</v>
      </c>
      <c r="J8882" s="21">
        <f>-$B$8763</f>
        <v/>
      </c>
      <c r="K8882" s="21">
        <f>-$B$8764</f>
        <v/>
      </c>
      <c r="L8882" s="21">
        <f>2*$B$8763+$D$8866</f>
        <v/>
      </c>
      <c r="M8882" s="21">
        <f>0</f>
        <v/>
      </c>
      <c r="N8882" s="21">
        <f>-$B$8763</f>
        <v/>
      </c>
      <c r="O8882" s="21">
        <f>$B$8764</f>
        <v/>
      </c>
      <c r="P8882" s="21" t="n">
        <v>0</v>
      </c>
      <c r="Q8882" s="21" t="n">
        <v>0</v>
      </c>
      <c r="R8882" s="21" t="n">
        <v>0</v>
      </c>
      <c r="S8882" s="21" t="n">
        <v>0</v>
      </c>
      <c r="T8882" s="21" t="n">
        <v>0</v>
      </c>
      <c r="U8882" s="21" t="n">
        <v>0</v>
      </c>
      <c r="V8882" s="21" t="n">
        <v>0</v>
      </c>
      <c r="W8882" s="21" t="n">
        <v>0</v>
      </c>
      <c r="X8882" s="21" t="n">
        <v>0</v>
      </c>
      <c r="Y8882" s="21" t="n">
        <v>0</v>
      </c>
      <c r="Z8882" s="19" t="n"/>
    </row>
    <row r="8883">
      <c r="D8883" s="21" t="n">
        <v>0</v>
      </c>
      <c r="E8883" s="21" t="n">
        <v>0</v>
      </c>
      <c r="F8883" s="21" t="n">
        <v>0</v>
      </c>
      <c r="G8883" s="21" t="n">
        <v>0</v>
      </c>
      <c r="H8883" s="21" t="n">
        <v>0</v>
      </c>
      <c r="I8883" s="21" t="n">
        <v>0</v>
      </c>
      <c r="J8883" s="21">
        <f>$B$8764</f>
        <v/>
      </c>
      <c r="K8883" s="21">
        <f>$B$8766</f>
        <v/>
      </c>
      <c r="L8883" s="21">
        <f>0</f>
        <v/>
      </c>
      <c r="M8883" s="21">
        <f>2*$B$8765</f>
        <v/>
      </c>
      <c r="N8883" s="21">
        <f>-$B$8764</f>
        <v/>
      </c>
      <c r="O8883" s="21">
        <f>$B$8766</f>
        <v/>
      </c>
      <c r="P8883" s="21" t="n">
        <v>0</v>
      </c>
      <c r="Q8883" s="21" t="n">
        <v>0</v>
      </c>
      <c r="R8883" s="21" t="n">
        <v>0</v>
      </c>
      <c r="S8883" s="21" t="n">
        <v>0</v>
      </c>
      <c r="T8883" s="21" t="n">
        <v>0</v>
      </c>
      <c r="U8883" s="21" t="n">
        <v>0</v>
      </c>
      <c r="V8883" s="21" t="n">
        <v>0</v>
      </c>
      <c r="W8883" s="21" t="n">
        <v>0</v>
      </c>
      <c r="X8883" s="21" t="n">
        <v>0</v>
      </c>
      <c r="Y8883" s="21" t="n">
        <v>0</v>
      </c>
      <c r="Z8883" s="19" t="n"/>
    </row>
    <row r="8884">
      <c r="D8884" s="21" t="n">
        <v>0</v>
      </c>
      <c r="E8884" s="21" t="n">
        <v>0</v>
      </c>
      <c r="F8884" s="21" t="n">
        <v>0</v>
      </c>
      <c r="G8884" s="21" t="n">
        <v>0</v>
      </c>
      <c r="H8884" s="21" t="n">
        <v>0</v>
      </c>
      <c r="I8884" s="21" t="n">
        <v>0</v>
      </c>
      <c r="J8884" s="21" t="n">
        <v>0</v>
      </c>
      <c r="K8884" s="21" t="n">
        <v>0</v>
      </c>
      <c r="L8884" s="21">
        <f>-$B$8763</f>
        <v/>
      </c>
      <c r="M8884" s="21">
        <f>-$B$8764</f>
        <v/>
      </c>
      <c r="N8884" s="21">
        <f>2*$B$8763+$D$8867</f>
        <v/>
      </c>
      <c r="O8884" s="21">
        <f>0</f>
        <v/>
      </c>
      <c r="P8884" s="21">
        <f>-$B$8763</f>
        <v/>
      </c>
      <c r="Q8884" s="21">
        <f>$B$8764</f>
        <v/>
      </c>
      <c r="R8884" s="21" t="n">
        <v>0</v>
      </c>
      <c r="S8884" s="21" t="n">
        <v>0</v>
      </c>
      <c r="T8884" s="21" t="n">
        <v>0</v>
      </c>
      <c r="U8884" s="21" t="n">
        <v>0</v>
      </c>
      <c r="V8884" s="21" t="n">
        <v>0</v>
      </c>
      <c r="W8884" s="21" t="n">
        <v>0</v>
      </c>
      <c r="X8884" s="21" t="n">
        <v>0</v>
      </c>
      <c r="Y8884" s="21" t="n">
        <v>0</v>
      </c>
      <c r="Z8884" s="19" t="n"/>
    </row>
    <row r="8885">
      <c r="D8885" s="21" t="n">
        <v>0</v>
      </c>
      <c r="E8885" s="21" t="n">
        <v>0</v>
      </c>
      <c r="F8885" s="21" t="n">
        <v>0</v>
      </c>
      <c r="G8885" s="21" t="n">
        <v>0</v>
      </c>
      <c r="H8885" s="21" t="n">
        <v>0</v>
      </c>
      <c r="I8885" s="21" t="n">
        <v>0</v>
      </c>
      <c r="J8885" s="21" t="n">
        <v>0</v>
      </c>
      <c r="K8885" s="21" t="n">
        <v>0</v>
      </c>
      <c r="L8885" s="21">
        <f>$B$8764</f>
        <v/>
      </c>
      <c r="M8885" s="21">
        <f>$B$8766</f>
        <v/>
      </c>
      <c r="N8885" s="21">
        <f>0</f>
        <v/>
      </c>
      <c r="O8885" s="21">
        <f>2*$B$8765</f>
        <v/>
      </c>
      <c r="P8885" s="21">
        <f>-$B$8764</f>
        <v/>
      </c>
      <c r="Q8885" s="21">
        <f>$B$8766</f>
        <v/>
      </c>
      <c r="R8885" s="21" t="n">
        <v>0</v>
      </c>
      <c r="S8885" s="21" t="n">
        <v>0</v>
      </c>
      <c r="T8885" s="21" t="n">
        <v>0</v>
      </c>
      <c r="U8885" s="21" t="n">
        <v>0</v>
      </c>
      <c r="V8885" s="21" t="n">
        <v>0</v>
      </c>
      <c r="W8885" s="21" t="n">
        <v>0</v>
      </c>
      <c r="X8885" s="21" t="n">
        <v>0</v>
      </c>
      <c r="Y8885" s="21" t="n">
        <v>0</v>
      </c>
      <c r="Z8885" s="19" t="n"/>
    </row>
    <row r="8886">
      <c r="D8886" s="21" t="n">
        <v>0</v>
      </c>
      <c r="E8886" s="21" t="n">
        <v>0</v>
      </c>
      <c r="F8886" s="21" t="n">
        <v>0</v>
      </c>
      <c r="G8886" s="21" t="n">
        <v>0</v>
      </c>
      <c r="H8886" s="21" t="n">
        <v>0</v>
      </c>
      <c r="I8886" s="21" t="n">
        <v>0</v>
      </c>
      <c r="J8886" s="21" t="n">
        <v>0</v>
      </c>
      <c r="K8886" s="21" t="n">
        <v>0</v>
      </c>
      <c r="L8886" s="21" t="n">
        <v>0</v>
      </c>
      <c r="M8886" s="21" t="n">
        <v>0</v>
      </c>
      <c r="N8886" s="21">
        <f>-$B$8763</f>
        <v/>
      </c>
      <c r="O8886" s="21">
        <f>-$B$8764</f>
        <v/>
      </c>
      <c r="P8886" s="21">
        <f>2*$B$8763+$D$8868</f>
        <v/>
      </c>
      <c r="Q8886" s="21">
        <f>0</f>
        <v/>
      </c>
      <c r="R8886" s="21">
        <f>-$B$8763</f>
        <v/>
      </c>
      <c r="S8886" s="21">
        <f>$B$8764</f>
        <v/>
      </c>
      <c r="T8886" s="21" t="n">
        <v>0</v>
      </c>
      <c r="U8886" s="21" t="n">
        <v>0</v>
      </c>
      <c r="V8886" s="21" t="n">
        <v>0</v>
      </c>
      <c r="W8886" s="21" t="n">
        <v>0</v>
      </c>
      <c r="X8886" s="21" t="n">
        <v>0</v>
      </c>
      <c r="Y8886" s="21" t="n">
        <v>0</v>
      </c>
      <c r="Z8886" s="19" t="n"/>
    </row>
    <row r="8887">
      <c r="D8887" s="21" t="n">
        <v>0</v>
      </c>
      <c r="E8887" s="21" t="n">
        <v>0</v>
      </c>
      <c r="F8887" s="21" t="n">
        <v>0</v>
      </c>
      <c r="G8887" s="21" t="n">
        <v>0</v>
      </c>
      <c r="H8887" s="21" t="n">
        <v>0</v>
      </c>
      <c r="I8887" s="21" t="n">
        <v>0</v>
      </c>
      <c r="J8887" s="21" t="n">
        <v>0</v>
      </c>
      <c r="K8887" s="21" t="n">
        <v>0</v>
      </c>
      <c r="L8887" s="21" t="n">
        <v>0</v>
      </c>
      <c r="M8887" s="21" t="n">
        <v>0</v>
      </c>
      <c r="N8887" s="21">
        <f>$B$8764</f>
        <v/>
      </c>
      <c r="O8887" s="21">
        <f>$B$8766</f>
        <v/>
      </c>
      <c r="P8887" s="21">
        <f>0</f>
        <v/>
      </c>
      <c r="Q8887" s="21">
        <f>2*$B$8765</f>
        <v/>
      </c>
      <c r="R8887" s="21">
        <f>-$B$8764</f>
        <v/>
      </c>
      <c r="S8887" s="21">
        <f>$B$8766</f>
        <v/>
      </c>
      <c r="T8887" s="21" t="n">
        <v>0</v>
      </c>
      <c r="U8887" s="21" t="n">
        <v>0</v>
      </c>
      <c r="V8887" s="21" t="n">
        <v>0</v>
      </c>
      <c r="W8887" s="21" t="n">
        <v>0</v>
      </c>
      <c r="X8887" s="21" t="n">
        <v>0</v>
      </c>
      <c r="Y8887" s="21" t="n">
        <v>0</v>
      </c>
      <c r="Z8887" s="19" t="n"/>
    </row>
    <row r="8888">
      <c r="D8888" s="21" t="n">
        <v>0</v>
      </c>
      <c r="E8888" s="21" t="n">
        <v>0</v>
      </c>
      <c r="F8888" s="21" t="n">
        <v>0</v>
      </c>
      <c r="G8888" s="21" t="n">
        <v>0</v>
      </c>
      <c r="H8888" s="21" t="n">
        <v>0</v>
      </c>
      <c r="I8888" s="21" t="n">
        <v>0</v>
      </c>
      <c r="J8888" s="21" t="n">
        <v>0</v>
      </c>
      <c r="K8888" s="21" t="n">
        <v>0</v>
      </c>
      <c r="L8888" s="21" t="n">
        <v>0</v>
      </c>
      <c r="M8888" s="21" t="n">
        <v>0</v>
      </c>
      <c r="N8888" s="21" t="n">
        <v>0</v>
      </c>
      <c r="O8888" s="21" t="n">
        <v>0</v>
      </c>
      <c r="P8888" s="21">
        <f>-$B$8763</f>
        <v/>
      </c>
      <c r="Q8888" s="21">
        <f>-$B$8764</f>
        <v/>
      </c>
      <c r="R8888" s="21">
        <f>2*$B$8763+$D$8869</f>
        <v/>
      </c>
      <c r="S8888" s="21">
        <f>0</f>
        <v/>
      </c>
      <c r="T8888" s="21">
        <f>-$B$8763</f>
        <v/>
      </c>
      <c r="U8888" s="21">
        <f>$B$8764</f>
        <v/>
      </c>
      <c r="V8888" s="21" t="n">
        <v>0</v>
      </c>
      <c r="W8888" s="21" t="n">
        <v>0</v>
      </c>
      <c r="X8888" s="21" t="n">
        <v>0</v>
      </c>
      <c r="Y8888" s="21" t="n">
        <v>0</v>
      </c>
      <c r="Z8888" s="19" t="n"/>
    </row>
    <row r="8889">
      <c r="D8889" s="21" t="n">
        <v>0</v>
      </c>
      <c r="E8889" s="21" t="n">
        <v>0</v>
      </c>
      <c r="F8889" s="21" t="n">
        <v>0</v>
      </c>
      <c r="G8889" s="21" t="n">
        <v>0</v>
      </c>
      <c r="H8889" s="21" t="n">
        <v>0</v>
      </c>
      <c r="I8889" s="21" t="n">
        <v>0</v>
      </c>
      <c r="J8889" s="21" t="n">
        <v>0</v>
      </c>
      <c r="K8889" s="21" t="n">
        <v>0</v>
      </c>
      <c r="L8889" s="21" t="n">
        <v>0</v>
      </c>
      <c r="M8889" s="21" t="n">
        <v>0</v>
      </c>
      <c r="N8889" s="21" t="n">
        <v>0</v>
      </c>
      <c r="O8889" s="21" t="n">
        <v>0</v>
      </c>
      <c r="P8889" s="21">
        <f>$B$8764</f>
        <v/>
      </c>
      <c r="Q8889" s="21">
        <f>$B$8766</f>
        <v/>
      </c>
      <c r="R8889" s="21">
        <f>0</f>
        <v/>
      </c>
      <c r="S8889" s="21">
        <f>2*$B$8765</f>
        <v/>
      </c>
      <c r="T8889" s="21">
        <f>-$B$8764</f>
        <v/>
      </c>
      <c r="U8889" s="21">
        <f>$B$8766</f>
        <v/>
      </c>
      <c r="V8889" s="21" t="n">
        <v>0</v>
      </c>
      <c r="W8889" s="21" t="n">
        <v>0</v>
      </c>
      <c r="X8889" s="21" t="n">
        <v>0</v>
      </c>
      <c r="Y8889" s="21" t="n">
        <v>0</v>
      </c>
      <c r="Z8889" s="19" t="n"/>
    </row>
    <row r="8890">
      <c r="D8890" s="21" t="n">
        <v>0</v>
      </c>
      <c r="E8890" s="21" t="n">
        <v>0</v>
      </c>
      <c r="F8890" s="21" t="n">
        <v>0</v>
      </c>
      <c r="G8890" s="21" t="n">
        <v>0</v>
      </c>
      <c r="H8890" s="21" t="n">
        <v>0</v>
      </c>
      <c r="I8890" s="21" t="n">
        <v>0</v>
      </c>
      <c r="J8890" s="21" t="n">
        <v>0</v>
      </c>
      <c r="K8890" s="21" t="n">
        <v>0</v>
      </c>
      <c r="L8890" s="21" t="n">
        <v>0</v>
      </c>
      <c r="M8890" s="21" t="n">
        <v>0</v>
      </c>
      <c r="N8890" s="21" t="n">
        <v>0</v>
      </c>
      <c r="O8890" s="21" t="n">
        <v>0</v>
      </c>
      <c r="P8890" s="21" t="n">
        <v>0</v>
      </c>
      <c r="Q8890" s="21" t="n">
        <v>0</v>
      </c>
      <c r="R8890" s="21">
        <f>-$B$8763</f>
        <v/>
      </c>
      <c r="S8890" s="21">
        <f>-$B$8764</f>
        <v/>
      </c>
      <c r="T8890" s="21">
        <f>2*$B$8763+$D$8870</f>
        <v/>
      </c>
      <c r="U8890" s="21">
        <f>0</f>
        <v/>
      </c>
      <c r="V8890" s="21">
        <f>-$B$8763</f>
        <v/>
      </c>
      <c r="W8890" s="21">
        <f>$B$8764</f>
        <v/>
      </c>
      <c r="X8890" s="21" t="n">
        <v>0</v>
      </c>
      <c r="Y8890" s="21" t="n">
        <v>0</v>
      </c>
      <c r="Z8890" s="19" t="n"/>
    </row>
    <row r="8891">
      <c r="D8891" s="21" t="n">
        <v>0</v>
      </c>
      <c r="E8891" s="21" t="n">
        <v>0</v>
      </c>
      <c r="F8891" s="21" t="n">
        <v>0</v>
      </c>
      <c r="G8891" s="21" t="n">
        <v>0</v>
      </c>
      <c r="H8891" s="21" t="n">
        <v>0</v>
      </c>
      <c r="I8891" s="21" t="n">
        <v>0</v>
      </c>
      <c r="J8891" s="21" t="n">
        <v>0</v>
      </c>
      <c r="K8891" s="21" t="n">
        <v>0</v>
      </c>
      <c r="L8891" s="21" t="n">
        <v>0</v>
      </c>
      <c r="M8891" s="21" t="n">
        <v>0</v>
      </c>
      <c r="N8891" s="21" t="n">
        <v>0</v>
      </c>
      <c r="O8891" s="21" t="n">
        <v>0</v>
      </c>
      <c r="P8891" s="21" t="n">
        <v>0</v>
      </c>
      <c r="Q8891" s="21" t="n">
        <v>0</v>
      </c>
      <c r="R8891" s="21">
        <f>$B$8764</f>
        <v/>
      </c>
      <c r="S8891" s="21">
        <f>$B$8766</f>
        <v/>
      </c>
      <c r="T8891" s="21">
        <f>0</f>
        <v/>
      </c>
      <c r="U8891" s="21">
        <f>2*$B$8765</f>
        <v/>
      </c>
      <c r="V8891" s="21">
        <f>-$B$8764</f>
        <v/>
      </c>
      <c r="W8891" s="21">
        <f>$B$8766</f>
        <v/>
      </c>
      <c r="X8891" s="21" t="n">
        <v>0</v>
      </c>
      <c r="Y8891" s="21" t="n">
        <v>0</v>
      </c>
      <c r="Z8891" s="19" t="n"/>
    </row>
    <row r="8892">
      <c r="D8892" s="21" t="n">
        <v>0</v>
      </c>
      <c r="E8892" s="21" t="n">
        <v>0</v>
      </c>
      <c r="F8892" s="21" t="n">
        <v>0</v>
      </c>
      <c r="G8892" s="21" t="n">
        <v>0</v>
      </c>
      <c r="H8892" s="21" t="n">
        <v>0</v>
      </c>
      <c r="I8892" s="21" t="n">
        <v>0</v>
      </c>
      <c r="J8892" s="21" t="n">
        <v>0</v>
      </c>
      <c r="K8892" s="21" t="n">
        <v>0</v>
      </c>
      <c r="L8892" s="21" t="n">
        <v>0</v>
      </c>
      <c r="M8892" s="21" t="n">
        <v>0</v>
      </c>
      <c r="N8892" s="21" t="n">
        <v>0</v>
      </c>
      <c r="O8892" s="21" t="n">
        <v>0</v>
      </c>
      <c r="P8892" s="21" t="n">
        <v>0</v>
      </c>
      <c r="Q8892" s="21" t="n">
        <v>0</v>
      </c>
      <c r="R8892" s="21" t="n">
        <v>0</v>
      </c>
      <c r="S8892" s="21" t="n">
        <v>0</v>
      </c>
      <c r="T8892" s="21">
        <f>-$B$8763</f>
        <v/>
      </c>
      <c r="U8892" s="21">
        <f>-$B$8764</f>
        <v/>
      </c>
      <c r="V8892" s="21">
        <f>2*$B$8763+$D$8871</f>
        <v/>
      </c>
      <c r="W8892" s="21">
        <f>0</f>
        <v/>
      </c>
      <c r="X8892" s="21">
        <f>-$B$8763</f>
        <v/>
      </c>
      <c r="Y8892" s="21">
        <f>$B$8764</f>
        <v/>
      </c>
      <c r="Z8892" s="19" t="n"/>
    </row>
    <row r="8893">
      <c r="D8893" s="21" t="n">
        <v>0</v>
      </c>
      <c r="E8893" s="21" t="n">
        <v>0</v>
      </c>
      <c r="F8893" s="21" t="n">
        <v>0</v>
      </c>
      <c r="G8893" s="21" t="n">
        <v>0</v>
      </c>
      <c r="H8893" s="21" t="n">
        <v>0</v>
      </c>
      <c r="I8893" s="21" t="n">
        <v>0</v>
      </c>
      <c r="J8893" s="21" t="n">
        <v>0</v>
      </c>
      <c r="K8893" s="21" t="n">
        <v>0</v>
      </c>
      <c r="L8893" s="21" t="n">
        <v>0</v>
      </c>
      <c r="M8893" s="21" t="n">
        <v>0</v>
      </c>
      <c r="N8893" s="21" t="n">
        <v>0</v>
      </c>
      <c r="O8893" s="21" t="n">
        <v>0</v>
      </c>
      <c r="P8893" s="21" t="n">
        <v>0</v>
      </c>
      <c r="Q8893" s="21" t="n">
        <v>0</v>
      </c>
      <c r="R8893" s="21" t="n">
        <v>0</v>
      </c>
      <c r="S8893" s="21" t="n">
        <v>0</v>
      </c>
      <c r="T8893" s="21">
        <f>$B$8764</f>
        <v/>
      </c>
      <c r="U8893" s="21">
        <f>$B$8766</f>
        <v/>
      </c>
      <c r="V8893" s="21">
        <f>0</f>
        <v/>
      </c>
      <c r="W8893" s="21">
        <f>2*$B$8765</f>
        <v/>
      </c>
      <c r="X8893" s="21">
        <f>-$B$8764</f>
        <v/>
      </c>
      <c r="Y8893" s="21">
        <f>$B$8766</f>
        <v/>
      </c>
      <c r="Z8893" s="19" t="n"/>
    </row>
    <row r="8894">
      <c r="D8894" s="21" t="n">
        <v>0</v>
      </c>
      <c r="E8894" s="21" t="n">
        <v>0</v>
      </c>
      <c r="F8894" s="21" t="n">
        <v>0</v>
      </c>
      <c r="G8894" s="21" t="n">
        <v>0</v>
      </c>
      <c r="H8894" s="21" t="n">
        <v>0</v>
      </c>
      <c r="I8894" s="21" t="n">
        <v>0</v>
      </c>
      <c r="J8894" s="21" t="n">
        <v>0</v>
      </c>
      <c r="K8894" s="21" t="n">
        <v>0</v>
      </c>
      <c r="L8894" s="21" t="n">
        <v>0</v>
      </c>
      <c r="M8894" s="21" t="n">
        <v>0</v>
      </c>
      <c r="N8894" s="21" t="n">
        <v>0</v>
      </c>
      <c r="O8894" s="21" t="n">
        <v>0</v>
      </c>
      <c r="P8894" s="21" t="n">
        <v>0</v>
      </c>
      <c r="Q8894" s="21" t="n">
        <v>0</v>
      </c>
      <c r="R8894" s="21" t="n">
        <v>0</v>
      </c>
      <c r="S8894" s="21" t="n">
        <v>0</v>
      </c>
      <c r="T8894" s="21" t="n">
        <v>0</v>
      </c>
      <c r="U8894" s="21" t="n">
        <v>0</v>
      </c>
      <c r="V8894" s="21">
        <f>-$B$8763</f>
        <v/>
      </c>
      <c r="W8894" s="21">
        <f>-$B$8764</f>
        <v/>
      </c>
      <c r="X8894" s="21">
        <f>$B$8763+$D$8872</f>
        <v/>
      </c>
      <c r="Y8894" s="21">
        <f>-$B$8764</f>
        <v/>
      </c>
      <c r="Z8894" s="19" t="n"/>
    </row>
    <row r="8895">
      <c r="D8895" s="21" t="n">
        <v>0</v>
      </c>
      <c r="E8895" s="21" t="n">
        <v>0</v>
      </c>
      <c r="F8895" s="21" t="n">
        <v>0</v>
      </c>
      <c r="G8895" s="21" t="n">
        <v>0</v>
      </c>
      <c r="H8895" s="21" t="n">
        <v>0</v>
      </c>
      <c r="I8895" s="21" t="n">
        <v>0</v>
      </c>
      <c r="J8895" s="21" t="n">
        <v>0</v>
      </c>
      <c r="K8895" s="21" t="n">
        <v>0</v>
      </c>
      <c r="L8895" s="21" t="n">
        <v>0</v>
      </c>
      <c r="M8895" s="21" t="n">
        <v>0</v>
      </c>
      <c r="N8895" s="21" t="n">
        <v>0</v>
      </c>
      <c r="O8895" s="21" t="n">
        <v>0</v>
      </c>
      <c r="P8895" s="21" t="n">
        <v>0</v>
      </c>
      <c r="Q8895" s="21" t="n">
        <v>0</v>
      </c>
      <c r="R8895" s="21" t="n">
        <v>0</v>
      </c>
      <c r="S8895" s="21" t="n">
        <v>0</v>
      </c>
      <c r="T8895" s="21" t="n">
        <v>0</v>
      </c>
      <c r="U8895" s="21" t="n">
        <v>0</v>
      </c>
      <c r="V8895" s="21">
        <f>$B$8764</f>
        <v/>
      </c>
      <c r="W8895" s="21">
        <f>$B$8766</f>
        <v/>
      </c>
      <c r="X8895" s="21">
        <f>-$B$8764</f>
        <v/>
      </c>
      <c r="Y8895" s="21">
        <f>$B$8765</f>
        <v/>
      </c>
      <c r="Z8895" s="19" t="n"/>
    </row>
    <row r="8897">
      <c r="A8897" s="8" t="inlineStr">
        <is>
          <t>gen 3</t>
        </is>
      </c>
    </row>
    <row r="8898">
      <c r="D8898" s="19">
        <f>IF(ABS(IF(ABS($E$8862)&gt;0.000000001,$E$8862,0.000000001))=0,0,IF($E$8778&lt;=$B$8772,0,IF(ABS(IF(ABS($E$8862)&gt;0.000000001,$E$8862,0.000000001))&gt;=8*$B$8774,$H$8778,0.5*$H$8778*(ABS(IF(ABS($E$8862)&gt;0.000000001,$E$8862,0.000000001))/$B$8774)^(1/3)))/ABS(IF(ABS($E$8862)&gt;0.000000001,$E$8862,0.000000001))*$I$8778)</f>
        <v/>
      </c>
      <c r="E8898" s="19">
        <f>0.5*$E$8862+0.5*$Z$8910</f>
        <v/>
      </c>
      <c r="F8898" s="19">
        <f>$Z$8911</f>
        <v/>
      </c>
    </row>
    <row r="8899">
      <c r="D8899" s="19">
        <f>IF(ABS(IF(ABS($E$8863)&gt;0.000000001,$E$8863,0.000000001))=0,0,IF($E$8779&lt;=$B$8772,0,IF(ABS(IF(ABS($E$8863)&gt;0.000000001,$E$8863,0.000000001))&gt;=8*$B$8774,$H$8779,0.5*$H$8779*(ABS(IF(ABS($E$8863)&gt;0.000000001,$E$8863,0.000000001))/$B$8774)^(1/3)))/ABS(IF(ABS($E$8863)&gt;0.000000001,$E$8863,0.000000001))*$I$8779)</f>
        <v/>
      </c>
      <c r="E8899" s="19">
        <f>0.5*$E$8863+0.5*$Z$8912</f>
        <v/>
      </c>
      <c r="F8899" s="19">
        <f>$Z$8913</f>
        <v/>
      </c>
    </row>
    <row r="8900">
      <c r="D8900" s="19">
        <f>IF(ABS(IF(ABS($E$8864)&gt;0.000000001,$E$8864,0.000000001))=0,0,IF($E$8780&lt;=$B$8772,0,IF(ABS(IF(ABS($E$8864)&gt;0.000000001,$E$8864,0.000000001))&gt;=8*$B$8774,$H$8780,0.5*$H$8780*(ABS(IF(ABS($E$8864)&gt;0.000000001,$E$8864,0.000000001))/$B$8774)^(1/3)))/ABS(IF(ABS($E$8864)&gt;0.000000001,$E$8864,0.000000001))*$I$8780)</f>
        <v/>
      </c>
      <c r="E8900" s="19">
        <f>0.5*$E$8864+0.5*$Z$8914</f>
        <v/>
      </c>
      <c r="F8900" s="19">
        <f>$Z$8915</f>
        <v/>
      </c>
    </row>
    <row r="8901">
      <c r="D8901" s="19">
        <f>IF(ABS(IF(ABS($E$8865)&gt;0.000000001,$E$8865,0.000000001))=0,0,IF($E$8781&lt;=$B$8772,0,IF(ABS(IF(ABS($E$8865)&gt;0.000000001,$E$8865,0.000000001))&gt;=8*$B$8774,$H$8781,0.5*$H$8781*(ABS(IF(ABS($E$8865)&gt;0.000000001,$E$8865,0.000000001))/$B$8774)^(1/3)))/ABS(IF(ABS($E$8865)&gt;0.000000001,$E$8865,0.000000001))*$I$8781)</f>
        <v/>
      </c>
      <c r="E8901" s="19">
        <f>0.5*$E$8865+0.5*$Z$8916</f>
        <v/>
      </c>
      <c r="F8901" s="19">
        <f>$Z$8917</f>
        <v/>
      </c>
    </row>
    <row r="8902">
      <c r="D8902" s="19">
        <f>IF(ABS(IF(ABS($E$8866)&gt;0.000000001,$E$8866,0.000000001))=0,0,IF($E$8782&lt;=$B$8772,0,IF(ABS(IF(ABS($E$8866)&gt;0.000000001,$E$8866,0.000000001))&gt;=8*$B$8774,$H$8782,0.5*$H$8782*(ABS(IF(ABS($E$8866)&gt;0.000000001,$E$8866,0.000000001))/$B$8774)^(1/3)))/ABS(IF(ABS($E$8866)&gt;0.000000001,$E$8866,0.000000001))*$I$8782)</f>
        <v/>
      </c>
      <c r="E8902" s="19">
        <f>0.5*$E$8866+0.5*$Z$8918</f>
        <v/>
      </c>
      <c r="F8902" s="19">
        <f>$Z$8919</f>
        <v/>
      </c>
    </row>
    <row r="8903">
      <c r="D8903" s="19">
        <f>IF(ABS(IF(ABS($E$8867)&gt;0.000000001,$E$8867,0.000000001))=0,0,IF($E$8783&lt;=$B$8772,0,IF(ABS(IF(ABS($E$8867)&gt;0.000000001,$E$8867,0.000000001))&gt;=8*$B$8774,$H$8783,0.5*$H$8783*(ABS(IF(ABS($E$8867)&gt;0.000000001,$E$8867,0.000000001))/$B$8774)^(1/3)))/ABS(IF(ABS($E$8867)&gt;0.000000001,$E$8867,0.000000001))*$I$8783)</f>
        <v/>
      </c>
      <c r="E8903" s="19">
        <f>0.5*$E$8867+0.5*$Z$8920</f>
        <v/>
      </c>
      <c r="F8903" s="19">
        <f>$Z$8921</f>
        <v/>
      </c>
    </row>
    <row r="8904">
      <c r="D8904" s="19">
        <f>IF(ABS(IF(ABS($E$8868)&gt;0.000000001,$E$8868,0.000000001))=0,0,IF($E$8784&lt;=$B$8772,0,IF(ABS(IF(ABS($E$8868)&gt;0.000000001,$E$8868,0.000000001))&gt;=8*$B$8774,$H$8784,0.5*$H$8784*(ABS(IF(ABS($E$8868)&gt;0.000000001,$E$8868,0.000000001))/$B$8774)^(1/3)))/ABS(IF(ABS($E$8868)&gt;0.000000001,$E$8868,0.000000001))*$I$8784)</f>
        <v/>
      </c>
      <c r="E8904" s="19">
        <f>0.5*$E$8868+0.5*$Z$8922</f>
        <v/>
      </c>
      <c r="F8904" s="19">
        <f>$Z$8923</f>
        <v/>
      </c>
    </row>
    <row r="8905">
      <c r="D8905" s="19">
        <f>IF(ABS(IF(ABS($E$8869)&gt;0.000000001,$E$8869,0.000000001))=0,0,IF($E$8785&lt;=$B$8772,0,IF(ABS(IF(ABS($E$8869)&gt;0.000000001,$E$8869,0.000000001))&gt;=8*$B$8774,$H$8785,0.5*$H$8785*(ABS(IF(ABS($E$8869)&gt;0.000000001,$E$8869,0.000000001))/$B$8774)^(1/3)))/ABS(IF(ABS($E$8869)&gt;0.000000001,$E$8869,0.000000001))*$I$8785)</f>
        <v/>
      </c>
      <c r="E8905" s="19">
        <f>0.5*$E$8869+0.5*$Z$8924</f>
        <v/>
      </c>
      <c r="F8905" s="19">
        <f>$Z$8925</f>
        <v/>
      </c>
    </row>
    <row r="8906">
      <c r="D8906" s="19">
        <f>IF(ABS(IF(ABS($E$8870)&gt;0.000000001,$E$8870,0.000000001))=0,0,IF($E$8786&lt;=$B$8772,0,IF(ABS(IF(ABS($E$8870)&gt;0.000000001,$E$8870,0.000000001))&gt;=8*$B$8774,$H$8786,0.5*$H$8786*(ABS(IF(ABS($E$8870)&gt;0.000000001,$E$8870,0.000000001))/$B$8774)^(1/3)))/ABS(IF(ABS($E$8870)&gt;0.000000001,$E$8870,0.000000001))*$I$8786)</f>
        <v/>
      </c>
      <c r="E8906" s="19">
        <f>0.5*$E$8870+0.5*$Z$8926</f>
        <v/>
      </c>
      <c r="F8906" s="19">
        <f>$Z$8927</f>
        <v/>
      </c>
    </row>
    <row r="8907">
      <c r="D8907" s="19">
        <f>IF(ABS(IF(ABS($E$8871)&gt;0.000000001,$E$8871,0.000000001))=0,0,IF($E$8787&lt;=$B$8772,0,IF(ABS(IF(ABS($E$8871)&gt;0.000000001,$E$8871,0.000000001))&gt;=8*$B$8774,$H$8787,0.5*$H$8787*(ABS(IF(ABS($E$8871)&gt;0.000000001,$E$8871,0.000000001))/$B$8774)^(1/3)))/ABS(IF(ABS($E$8871)&gt;0.000000001,$E$8871,0.000000001))*$I$8787)</f>
        <v/>
      </c>
      <c r="E8907" s="19">
        <f>0.5*$E$8871+0.5*$Z$8928</f>
        <v/>
      </c>
      <c r="F8907" s="19">
        <f>$Z$8929</f>
        <v/>
      </c>
    </row>
    <row r="8908">
      <c r="D8908" s="19">
        <f>IF(ABS(IF(ABS($E$8872)&gt;0.000000001,$E$8872,0.000000001))=0,0,IF($E$8788&lt;=$B$8772,0,IF(ABS(IF(ABS($E$8872)&gt;0.000000001,$E$8872,0.000000001))&gt;=8*$B$8774,$H$8788,0.5*$H$8788*(ABS(IF(ABS($E$8872)&gt;0.000000001,$E$8872,0.000000001))/$B$8774)^(1/3)))/ABS(IF(ABS($E$8872)&gt;0.000000001,$E$8872,0.000000001))*$I$8788)</f>
        <v/>
      </c>
      <c r="E8908" s="19">
        <f>0.5*$E$8872+0.5*$Z$8930</f>
        <v/>
      </c>
      <c r="F8908" s="19">
        <f>$Z$8931</f>
        <v/>
      </c>
    </row>
    <row r="8910">
      <c r="D8910" s="21">
        <f>$B$8763+$D$8898</f>
        <v/>
      </c>
      <c r="E8910" s="21">
        <f>$B$8764</f>
        <v/>
      </c>
      <c r="F8910" s="21">
        <f>-$B$8763</f>
        <v/>
      </c>
      <c r="G8910" s="21">
        <f>$B$8764</f>
        <v/>
      </c>
      <c r="H8910" s="21" t="n">
        <v>0</v>
      </c>
      <c r="I8910" s="21" t="n">
        <v>0</v>
      </c>
      <c r="J8910" s="21" t="n">
        <v>0</v>
      </c>
      <c r="K8910" s="21" t="n">
        <v>0</v>
      </c>
      <c r="L8910" s="21" t="n">
        <v>0</v>
      </c>
      <c r="M8910" s="21" t="n">
        <v>0</v>
      </c>
      <c r="N8910" s="21" t="n">
        <v>0</v>
      </c>
      <c r="O8910" s="21" t="n">
        <v>0</v>
      </c>
      <c r="P8910" s="21" t="n">
        <v>0</v>
      </c>
      <c r="Q8910" s="21" t="n">
        <v>0</v>
      </c>
      <c r="R8910" s="21" t="n">
        <v>0</v>
      </c>
      <c r="S8910" s="21" t="n">
        <v>0</v>
      </c>
      <c r="T8910" s="21" t="n">
        <v>0</v>
      </c>
      <c r="U8910" s="21" t="n">
        <v>0</v>
      </c>
      <c r="V8910" s="21" t="n">
        <v>0</v>
      </c>
      <c r="W8910" s="21" t="n">
        <v>0</v>
      </c>
      <c r="X8910" s="21" t="n">
        <v>0</v>
      </c>
      <c r="Y8910" s="21" t="n">
        <v>0</v>
      </c>
      <c r="Z8910" s="19">
        <f t="array" ref="Z8910:Z8931">MMULT(MINVERSE($D$8910:$Y$8931),$D$8790:$D$8811)</f>
        <v/>
      </c>
    </row>
    <row r="8911">
      <c r="D8911" s="21">
        <f>$B$8764</f>
        <v/>
      </c>
      <c r="E8911" s="21">
        <f>$B$8765</f>
        <v/>
      </c>
      <c r="F8911" s="21">
        <f>-$B$8764</f>
        <v/>
      </c>
      <c r="G8911" s="21">
        <f>$B$8766</f>
        <v/>
      </c>
      <c r="H8911" s="21" t="n">
        <v>0</v>
      </c>
      <c r="I8911" s="21" t="n">
        <v>0</v>
      </c>
      <c r="J8911" s="21" t="n">
        <v>0</v>
      </c>
      <c r="K8911" s="21" t="n">
        <v>0</v>
      </c>
      <c r="L8911" s="21" t="n">
        <v>0</v>
      </c>
      <c r="M8911" s="21" t="n">
        <v>0</v>
      </c>
      <c r="N8911" s="21" t="n">
        <v>0</v>
      </c>
      <c r="O8911" s="21" t="n">
        <v>0</v>
      </c>
      <c r="P8911" s="21" t="n">
        <v>0</v>
      </c>
      <c r="Q8911" s="21" t="n">
        <v>0</v>
      </c>
      <c r="R8911" s="21" t="n">
        <v>0</v>
      </c>
      <c r="S8911" s="21" t="n">
        <v>0</v>
      </c>
      <c r="T8911" s="21" t="n">
        <v>0</v>
      </c>
      <c r="U8911" s="21" t="n">
        <v>0</v>
      </c>
      <c r="V8911" s="21" t="n">
        <v>0</v>
      </c>
      <c r="W8911" s="21" t="n">
        <v>0</v>
      </c>
      <c r="X8911" s="21" t="n">
        <v>0</v>
      </c>
      <c r="Y8911" s="21" t="n">
        <v>0</v>
      </c>
      <c r="Z8911" s="19" t="n"/>
    </row>
    <row r="8912">
      <c r="D8912" s="21">
        <f>-$B$8763</f>
        <v/>
      </c>
      <c r="E8912" s="21">
        <f>-$B$8764</f>
        <v/>
      </c>
      <c r="F8912" s="21">
        <f>2*$B$8763+$D$8899</f>
        <v/>
      </c>
      <c r="G8912" s="21">
        <f>0</f>
        <v/>
      </c>
      <c r="H8912" s="21">
        <f>-$B$8763</f>
        <v/>
      </c>
      <c r="I8912" s="21">
        <f>$B$8764</f>
        <v/>
      </c>
      <c r="J8912" s="21" t="n">
        <v>0</v>
      </c>
      <c r="K8912" s="21" t="n">
        <v>0</v>
      </c>
      <c r="L8912" s="21" t="n">
        <v>0</v>
      </c>
      <c r="M8912" s="21" t="n">
        <v>0</v>
      </c>
      <c r="N8912" s="21" t="n">
        <v>0</v>
      </c>
      <c r="O8912" s="21" t="n">
        <v>0</v>
      </c>
      <c r="P8912" s="21" t="n">
        <v>0</v>
      </c>
      <c r="Q8912" s="21" t="n">
        <v>0</v>
      </c>
      <c r="R8912" s="21" t="n">
        <v>0</v>
      </c>
      <c r="S8912" s="21" t="n">
        <v>0</v>
      </c>
      <c r="T8912" s="21" t="n">
        <v>0</v>
      </c>
      <c r="U8912" s="21" t="n">
        <v>0</v>
      </c>
      <c r="V8912" s="21" t="n">
        <v>0</v>
      </c>
      <c r="W8912" s="21" t="n">
        <v>0</v>
      </c>
      <c r="X8912" s="21" t="n">
        <v>0</v>
      </c>
      <c r="Y8912" s="21" t="n">
        <v>0</v>
      </c>
      <c r="Z8912" s="19" t="n"/>
    </row>
    <row r="8913">
      <c r="D8913" s="21">
        <f>$B$8764</f>
        <v/>
      </c>
      <c r="E8913" s="21">
        <f>$B$8766</f>
        <v/>
      </c>
      <c r="F8913" s="21">
        <f>0</f>
        <v/>
      </c>
      <c r="G8913" s="21">
        <f>2*$B$8765</f>
        <v/>
      </c>
      <c r="H8913" s="21">
        <f>-$B$8764</f>
        <v/>
      </c>
      <c r="I8913" s="21">
        <f>$B$8766</f>
        <v/>
      </c>
      <c r="J8913" s="21" t="n">
        <v>0</v>
      </c>
      <c r="K8913" s="21" t="n">
        <v>0</v>
      </c>
      <c r="L8913" s="21" t="n">
        <v>0</v>
      </c>
      <c r="M8913" s="21" t="n">
        <v>0</v>
      </c>
      <c r="N8913" s="21" t="n">
        <v>0</v>
      </c>
      <c r="O8913" s="21" t="n">
        <v>0</v>
      </c>
      <c r="P8913" s="21" t="n">
        <v>0</v>
      </c>
      <c r="Q8913" s="21" t="n">
        <v>0</v>
      </c>
      <c r="R8913" s="21" t="n">
        <v>0</v>
      </c>
      <c r="S8913" s="21" t="n">
        <v>0</v>
      </c>
      <c r="T8913" s="21" t="n">
        <v>0</v>
      </c>
      <c r="U8913" s="21" t="n">
        <v>0</v>
      </c>
      <c r="V8913" s="21" t="n">
        <v>0</v>
      </c>
      <c r="W8913" s="21" t="n">
        <v>0</v>
      </c>
      <c r="X8913" s="21" t="n">
        <v>0</v>
      </c>
      <c r="Y8913" s="21" t="n">
        <v>0</v>
      </c>
      <c r="Z8913" s="19" t="n"/>
    </row>
    <row r="8914">
      <c r="D8914" s="21" t="n">
        <v>0</v>
      </c>
      <c r="E8914" s="21" t="n">
        <v>0</v>
      </c>
      <c r="F8914" s="21">
        <f>-$B$8763</f>
        <v/>
      </c>
      <c r="G8914" s="21">
        <f>-$B$8764</f>
        <v/>
      </c>
      <c r="H8914" s="21">
        <f>2*$B$8763+$D$8900</f>
        <v/>
      </c>
      <c r="I8914" s="21">
        <f>0</f>
        <v/>
      </c>
      <c r="J8914" s="21">
        <f>-$B$8763</f>
        <v/>
      </c>
      <c r="K8914" s="21">
        <f>$B$8764</f>
        <v/>
      </c>
      <c r="L8914" s="21" t="n">
        <v>0</v>
      </c>
      <c r="M8914" s="21" t="n">
        <v>0</v>
      </c>
      <c r="N8914" s="21" t="n">
        <v>0</v>
      </c>
      <c r="O8914" s="21" t="n">
        <v>0</v>
      </c>
      <c r="P8914" s="21" t="n">
        <v>0</v>
      </c>
      <c r="Q8914" s="21" t="n">
        <v>0</v>
      </c>
      <c r="R8914" s="21" t="n">
        <v>0</v>
      </c>
      <c r="S8914" s="21" t="n">
        <v>0</v>
      </c>
      <c r="T8914" s="21" t="n">
        <v>0</v>
      </c>
      <c r="U8914" s="21" t="n">
        <v>0</v>
      </c>
      <c r="V8914" s="21" t="n">
        <v>0</v>
      </c>
      <c r="W8914" s="21" t="n">
        <v>0</v>
      </c>
      <c r="X8914" s="21" t="n">
        <v>0</v>
      </c>
      <c r="Y8914" s="21" t="n">
        <v>0</v>
      </c>
      <c r="Z8914" s="19" t="n"/>
    </row>
    <row r="8915">
      <c r="D8915" s="21" t="n">
        <v>0</v>
      </c>
      <c r="E8915" s="21" t="n">
        <v>0</v>
      </c>
      <c r="F8915" s="21">
        <f>$B$8764</f>
        <v/>
      </c>
      <c r="G8915" s="21">
        <f>$B$8766</f>
        <v/>
      </c>
      <c r="H8915" s="21">
        <f>0</f>
        <v/>
      </c>
      <c r="I8915" s="21">
        <f>2*$B$8765</f>
        <v/>
      </c>
      <c r="J8915" s="21">
        <f>-$B$8764</f>
        <v/>
      </c>
      <c r="K8915" s="21">
        <f>$B$8766</f>
        <v/>
      </c>
      <c r="L8915" s="21" t="n">
        <v>0</v>
      </c>
      <c r="M8915" s="21" t="n">
        <v>0</v>
      </c>
      <c r="N8915" s="21" t="n">
        <v>0</v>
      </c>
      <c r="O8915" s="21" t="n">
        <v>0</v>
      </c>
      <c r="P8915" s="21" t="n">
        <v>0</v>
      </c>
      <c r="Q8915" s="21" t="n">
        <v>0</v>
      </c>
      <c r="R8915" s="21" t="n">
        <v>0</v>
      </c>
      <c r="S8915" s="21" t="n">
        <v>0</v>
      </c>
      <c r="T8915" s="21" t="n">
        <v>0</v>
      </c>
      <c r="U8915" s="21" t="n">
        <v>0</v>
      </c>
      <c r="V8915" s="21" t="n">
        <v>0</v>
      </c>
      <c r="W8915" s="21" t="n">
        <v>0</v>
      </c>
      <c r="X8915" s="21" t="n">
        <v>0</v>
      </c>
      <c r="Y8915" s="21" t="n">
        <v>0</v>
      </c>
      <c r="Z8915" s="19" t="n"/>
    </row>
    <row r="8916">
      <c r="D8916" s="21" t="n">
        <v>0</v>
      </c>
      <c r="E8916" s="21" t="n">
        <v>0</v>
      </c>
      <c r="F8916" s="21" t="n">
        <v>0</v>
      </c>
      <c r="G8916" s="21" t="n">
        <v>0</v>
      </c>
      <c r="H8916" s="21">
        <f>-$B$8763</f>
        <v/>
      </c>
      <c r="I8916" s="21">
        <f>-$B$8764</f>
        <v/>
      </c>
      <c r="J8916" s="21">
        <f>2*$B$8763+$D$8901</f>
        <v/>
      </c>
      <c r="K8916" s="21">
        <f>0</f>
        <v/>
      </c>
      <c r="L8916" s="21">
        <f>-$B$8763</f>
        <v/>
      </c>
      <c r="M8916" s="21">
        <f>$B$8764</f>
        <v/>
      </c>
      <c r="N8916" s="21" t="n">
        <v>0</v>
      </c>
      <c r="O8916" s="21" t="n">
        <v>0</v>
      </c>
      <c r="P8916" s="21" t="n">
        <v>0</v>
      </c>
      <c r="Q8916" s="21" t="n">
        <v>0</v>
      </c>
      <c r="R8916" s="21" t="n">
        <v>0</v>
      </c>
      <c r="S8916" s="21" t="n">
        <v>0</v>
      </c>
      <c r="T8916" s="21" t="n">
        <v>0</v>
      </c>
      <c r="U8916" s="21" t="n">
        <v>0</v>
      </c>
      <c r="V8916" s="21" t="n">
        <v>0</v>
      </c>
      <c r="W8916" s="21" t="n">
        <v>0</v>
      </c>
      <c r="X8916" s="21" t="n">
        <v>0</v>
      </c>
      <c r="Y8916" s="21" t="n">
        <v>0</v>
      </c>
      <c r="Z8916" s="19" t="n"/>
    </row>
    <row r="8917">
      <c r="D8917" s="21" t="n">
        <v>0</v>
      </c>
      <c r="E8917" s="21" t="n">
        <v>0</v>
      </c>
      <c r="F8917" s="21" t="n">
        <v>0</v>
      </c>
      <c r="G8917" s="21" t="n">
        <v>0</v>
      </c>
      <c r="H8917" s="21">
        <f>$B$8764</f>
        <v/>
      </c>
      <c r="I8917" s="21">
        <f>$B$8766</f>
        <v/>
      </c>
      <c r="J8917" s="21">
        <f>0</f>
        <v/>
      </c>
      <c r="K8917" s="21">
        <f>2*$B$8765</f>
        <v/>
      </c>
      <c r="L8917" s="21">
        <f>-$B$8764</f>
        <v/>
      </c>
      <c r="M8917" s="21">
        <f>$B$8766</f>
        <v/>
      </c>
      <c r="N8917" s="21" t="n">
        <v>0</v>
      </c>
      <c r="O8917" s="21" t="n">
        <v>0</v>
      </c>
      <c r="P8917" s="21" t="n">
        <v>0</v>
      </c>
      <c r="Q8917" s="21" t="n">
        <v>0</v>
      </c>
      <c r="R8917" s="21" t="n">
        <v>0</v>
      </c>
      <c r="S8917" s="21" t="n">
        <v>0</v>
      </c>
      <c r="T8917" s="21" t="n">
        <v>0</v>
      </c>
      <c r="U8917" s="21" t="n">
        <v>0</v>
      </c>
      <c r="V8917" s="21" t="n">
        <v>0</v>
      </c>
      <c r="W8917" s="21" t="n">
        <v>0</v>
      </c>
      <c r="X8917" s="21" t="n">
        <v>0</v>
      </c>
      <c r="Y8917" s="21" t="n">
        <v>0</v>
      </c>
      <c r="Z8917" s="19" t="n"/>
    </row>
    <row r="8918">
      <c r="D8918" s="21" t="n">
        <v>0</v>
      </c>
      <c r="E8918" s="21" t="n">
        <v>0</v>
      </c>
      <c r="F8918" s="21" t="n">
        <v>0</v>
      </c>
      <c r="G8918" s="21" t="n">
        <v>0</v>
      </c>
      <c r="H8918" s="21" t="n">
        <v>0</v>
      </c>
      <c r="I8918" s="21" t="n">
        <v>0</v>
      </c>
      <c r="J8918" s="21">
        <f>-$B$8763</f>
        <v/>
      </c>
      <c r="K8918" s="21">
        <f>-$B$8764</f>
        <v/>
      </c>
      <c r="L8918" s="21">
        <f>2*$B$8763+$D$8902</f>
        <v/>
      </c>
      <c r="M8918" s="21">
        <f>0</f>
        <v/>
      </c>
      <c r="N8918" s="21">
        <f>-$B$8763</f>
        <v/>
      </c>
      <c r="O8918" s="21">
        <f>$B$8764</f>
        <v/>
      </c>
      <c r="P8918" s="21" t="n">
        <v>0</v>
      </c>
      <c r="Q8918" s="21" t="n">
        <v>0</v>
      </c>
      <c r="R8918" s="21" t="n">
        <v>0</v>
      </c>
      <c r="S8918" s="21" t="n">
        <v>0</v>
      </c>
      <c r="T8918" s="21" t="n">
        <v>0</v>
      </c>
      <c r="U8918" s="21" t="n">
        <v>0</v>
      </c>
      <c r="V8918" s="21" t="n">
        <v>0</v>
      </c>
      <c r="W8918" s="21" t="n">
        <v>0</v>
      </c>
      <c r="X8918" s="21" t="n">
        <v>0</v>
      </c>
      <c r="Y8918" s="21" t="n">
        <v>0</v>
      </c>
      <c r="Z8918" s="19" t="n"/>
    </row>
    <row r="8919">
      <c r="D8919" s="21" t="n">
        <v>0</v>
      </c>
      <c r="E8919" s="21" t="n">
        <v>0</v>
      </c>
      <c r="F8919" s="21" t="n">
        <v>0</v>
      </c>
      <c r="G8919" s="21" t="n">
        <v>0</v>
      </c>
      <c r="H8919" s="21" t="n">
        <v>0</v>
      </c>
      <c r="I8919" s="21" t="n">
        <v>0</v>
      </c>
      <c r="J8919" s="21">
        <f>$B$8764</f>
        <v/>
      </c>
      <c r="K8919" s="21">
        <f>$B$8766</f>
        <v/>
      </c>
      <c r="L8919" s="21">
        <f>0</f>
        <v/>
      </c>
      <c r="M8919" s="21">
        <f>2*$B$8765</f>
        <v/>
      </c>
      <c r="N8919" s="21">
        <f>-$B$8764</f>
        <v/>
      </c>
      <c r="O8919" s="21">
        <f>$B$8766</f>
        <v/>
      </c>
      <c r="P8919" s="21" t="n">
        <v>0</v>
      </c>
      <c r="Q8919" s="21" t="n">
        <v>0</v>
      </c>
      <c r="R8919" s="21" t="n">
        <v>0</v>
      </c>
      <c r="S8919" s="21" t="n">
        <v>0</v>
      </c>
      <c r="T8919" s="21" t="n">
        <v>0</v>
      </c>
      <c r="U8919" s="21" t="n">
        <v>0</v>
      </c>
      <c r="V8919" s="21" t="n">
        <v>0</v>
      </c>
      <c r="W8919" s="21" t="n">
        <v>0</v>
      </c>
      <c r="X8919" s="21" t="n">
        <v>0</v>
      </c>
      <c r="Y8919" s="21" t="n">
        <v>0</v>
      </c>
      <c r="Z8919" s="19" t="n"/>
    </row>
    <row r="8920">
      <c r="D8920" s="21" t="n">
        <v>0</v>
      </c>
      <c r="E8920" s="21" t="n">
        <v>0</v>
      </c>
      <c r="F8920" s="21" t="n">
        <v>0</v>
      </c>
      <c r="G8920" s="21" t="n">
        <v>0</v>
      </c>
      <c r="H8920" s="21" t="n">
        <v>0</v>
      </c>
      <c r="I8920" s="21" t="n">
        <v>0</v>
      </c>
      <c r="J8920" s="21" t="n">
        <v>0</v>
      </c>
      <c r="K8920" s="21" t="n">
        <v>0</v>
      </c>
      <c r="L8920" s="21">
        <f>-$B$8763</f>
        <v/>
      </c>
      <c r="M8920" s="21">
        <f>-$B$8764</f>
        <v/>
      </c>
      <c r="N8920" s="21">
        <f>2*$B$8763+$D$8903</f>
        <v/>
      </c>
      <c r="O8920" s="21">
        <f>0</f>
        <v/>
      </c>
      <c r="P8920" s="21">
        <f>-$B$8763</f>
        <v/>
      </c>
      <c r="Q8920" s="21">
        <f>$B$8764</f>
        <v/>
      </c>
      <c r="R8920" s="21" t="n">
        <v>0</v>
      </c>
      <c r="S8920" s="21" t="n">
        <v>0</v>
      </c>
      <c r="T8920" s="21" t="n">
        <v>0</v>
      </c>
      <c r="U8920" s="21" t="n">
        <v>0</v>
      </c>
      <c r="V8920" s="21" t="n">
        <v>0</v>
      </c>
      <c r="W8920" s="21" t="n">
        <v>0</v>
      </c>
      <c r="X8920" s="21" t="n">
        <v>0</v>
      </c>
      <c r="Y8920" s="21" t="n">
        <v>0</v>
      </c>
      <c r="Z8920" s="19" t="n"/>
    </row>
    <row r="8921">
      <c r="D8921" s="21" t="n">
        <v>0</v>
      </c>
      <c r="E8921" s="21" t="n">
        <v>0</v>
      </c>
      <c r="F8921" s="21" t="n">
        <v>0</v>
      </c>
      <c r="G8921" s="21" t="n">
        <v>0</v>
      </c>
      <c r="H8921" s="21" t="n">
        <v>0</v>
      </c>
      <c r="I8921" s="21" t="n">
        <v>0</v>
      </c>
      <c r="J8921" s="21" t="n">
        <v>0</v>
      </c>
      <c r="K8921" s="21" t="n">
        <v>0</v>
      </c>
      <c r="L8921" s="21">
        <f>$B$8764</f>
        <v/>
      </c>
      <c r="M8921" s="21">
        <f>$B$8766</f>
        <v/>
      </c>
      <c r="N8921" s="21">
        <f>0</f>
        <v/>
      </c>
      <c r="O8921" s="21">
        <f>2*$B$8765</f>
        <v/>
      </c>
      <c r="P8921" s="21">
        <f>-$B$8764</f>
        <v/>
      </c>
      <c r="Q8921" s="21">
        <f>$B$8766</f>
        <v/>
      </c>
      <c r="R8921" s="21" t="n">
        <v>0</v>
      </c>
      <c r="S8921" s="21" t="n">
        <v>0</v>
      </c>
      <c r="T8921" s="21" t="n">
        <v>0</v>
      </c>
      <c r="U8921" s="21" t="n">
        <v>0</v>
      </c>
      <c r="V8921" s="21" t="n">
        <v>0</v>
      </c>
      <c r="W8921" s="21" t="n">
        <v>0</v>
      </c>
      <c r="X8921" s="21" t="n">
        <v>0</v>
      </c>
      <c r="Y8921" s="21" t="n">
        <v>0</v>
      </c>
      <c r="Z8921" s="19" t="n"/>
    </row>
    <row r="8922">
      <c r="D8922" s="21" t="n">
        <v>0</v>
      </c>
      <c r="E8922" s="21" t="n">
        <v>0</v>
      </c>
      <c r="F8922" s="21" t="n">
        <v>0</v>
      </c>
      <c r="G8922" s="21" t="n">
        <v>0</v>
      </c>
      <c r="H8922" s="21" t="n">
        <v>0</v>
      </c>
      <c r="I8922" s="21" t="n">
        <v>0</v>
      </c>
      <c r="J8922" s="21" t="n">
        <v>0</v>
      </c>
      <c r="K8922" s="21" t="n">
        <v>0</v>
      </c>
      <c r="L8922" s="21" t="n">
        <v>0</v>
      </c>
      <c r="M8922" s="21" t="n">
        <v>0</v>
      </c>
      <c r="N8922" s="21">
        <f>-$B$8763</f>
        <v/>
      </c>
      <c r="O8922" s="21">
        <f>-$B$8764</f>
        <v/>
      </c>
      <c r="P8922" s="21">
        <f>2*$B$8763+$D$8904</f>
        <v/>
      </c>
      <c r="Q8922" s="21">
        <f>0</f>
        <v/>
      </c>
      <c r="R8922" s="21">
        <f>-$B$8763</f>
        <v/>
      </c>
      <c r="S8922" s="21">
        <f>$B$8764</f>
        <v/>
      </c>
      <c r="T8922" s="21" t="n">
        <v>0</v>
      </c>
      <c r="U8922" s="21" t="n">
        <v>0</v>
      </c>
      <c r="V8922" s="21" t="n">
        <v>0</v>
      </c>
      <c r="W8922" s="21" t="n">
        <v>0</v>
      </c>
      <c r="X8922" s="21" t="n">
        <v>0</v>
      </c>
      <c r="Y8922" s="21" t="n">
        <v>0</v>
      </c>
      <c r="Z8922" s="19" t="n"/>
    </row>
    <row r="8923">
      <c r="D8923" s="21" t="n">
        <v>0</v>
      </c>
      <c r="E8923" s="21" t="n">
        <v>0</v>
      </c>
      <c r="F8923" s="21" t="n">
        <v>0</v>
      </c>
      <c r="G8923" s="21" t="n">
        <v>0</v>
      </c>
      <c r="H8923" s="21" t="n">
        <v>0</v>
      </c>
      <c r="I8923" s="21" t="n">
        <v>0</v>
      </c>
      <c r="J8923" s="21" t="n">
        <v>0</v>
      </c>
      <c r="K8923" s="21" t="n">
        <v>0</v>
      </c>
      <c r="L8923" s="21" t="n">
        <v>0</v>
      </c>
      <c r="M8923" s="21" t="n">
        <v>0</v>
      </c>
      <c r="N8923" s="21">
        <f>$B$8764</f>
        <v/>
      </c>
      <c r="O8923" s="21">
        <f>$B$8766</f>
        <v/>
      </c>
      <c r="P8923" s="21">
        <f>0</f>
        <v/>
      </c>
      <c r="Q8923" s="21">
        <f>2*$B$8765</f>
        <v/>
      </c>
      <c r="R8923" s="21">
        <f>-$B$8764</f>
        <v/>
      </c>
      <c r="S8923" s="21">
        <f>$B$8766</f>
        <v/>
      </c>
      <c r="T8923" s="21" t="n">
        <v>0</v>
      </c>
      <c r="U8923" s="21" t="n">
        <v>0</v>
      </c>
      <c r="V8923" s="21" t="n">
        <v>0</v>
      </c>
      <c r="W8923" s="21" t="n">
        <v>0</v>
      </c>
      <c r="X8923" s="21" t="n">
        <v>0</v>
      </c>
      <c r="Y8923" s="21" t="n">
        <v>0</v>
      </c>
      <c r="Z8923" s="19" t="n"/>
    </row>
    <row r="8924">
      <c r="D8924" s="21" t="n">
        <v>0</v>
      </c>
      <c r="E8924" s="21" t="n">
        <v>0</v>
      </c>
      <c r="F8924" s="21" t="n">
        <v>0</v>
      </c>
      <c r="G8924" s="21" t="n">
        <v>0</v>
      </c>
      <c r="H8924" s="21" t="n">
        <v>0</v>
      </c>
      <c r="I8924" s="21" t="n">
        <v>0</v>
      </c>
      <c r="J8924" s="21" t="n">
        <v>0</v>
      </c>
      <c r="K8924" s="21" t="n">
        <v>0</v>
      </c>
      <c r="L8924" s="21" t="n">
        <v>0</v>
      </c>
      <c r="M8924" s="21" t="n">
        <v>0</v>
      </c>
      <c r="N8924" s="21" t="n">
        <v>0</v>
      </c>
      <c r="O8924" s="21" t="n">
        <v>0</v>
      </c>
      <c r="P8924" s="21">
        <f>-$B$8763</f>
        <v/>
      </c>
      <c r="Q8924" s="21">
        <f>-$B$8764</f>
        <v/>
      </c>
      <c r="R8924" s="21">
        <f>2*$B$8763+$D$8905</f>
        <v/>
      </c>
      <c r="S8924" s="21">
        <f>0</f>
        <v/>
      </c>
      <c r="T8924" s="21">
        <f>-$B$8763</f>
        <v/>
      </c>
      <c r="U8924" s="21">
        <f>$B$8764</f>
        <v/>
      </c>
      <c r="V8924" s="21" t="n">
        <v>0</v>
      </c>
      <c r="W8924" s="21" t="n">
        <v>0</v>
      </c>
      <c r="X8924" s="21" t="n">
        <v>0</v>
      </c>
      <c r="Y8924" s="21" t="n">
        <v>0</v>
      </c>
      <c r="Z8924" s="19" t="n"/>
    </row>
    <row r="8925">
      <c r="D8925" s="21" t="n">
        <v>0</v>
      </c>
      <c r="E8925" s="21" t="n">
        <v>0</v>
      </c>
      <c r="F8925" s="21" t="n">
        <v>0</v>
      </c>
      <c r="G8925" s="21" t="n">
        <v>0</v>
      </c>
      <c r="H8925" s="21" t="n">
        <v>0</v>
      </c>
      <c r="I8925" s="21" t="n">
        <v>0</v>
      </c>
      <c r="J8925" s="21" t="n">
        <v>0</v>
      </c>
      <c r="K8925" s="21" t="n">
        <v>0</v>
      </c>
      <c r="L8925" s="21" t="n">
        <v>0</v>
      </c>
      <c r="M8925" s="21" t="n">
        <v>0</v>
      </c>
      <c r="N8925" s="21" t="n">
        <v>0</v>
      </c>
      <c r="O8925" s="21" t="n">
        <v>0</v>
      </c>
      <c r="P8925" s="21">
        <f>$B$8764</f>
        <v/>
      </c>
      <c r="Q8925" s="21">
        <f>$B$8766</f>
        <v/>
      </c>
      <c r="R8925" s="21">
        <f>0</f>
        <v/>
      </c>
      <c r="S8925" s="21">
        <f>2*$B$8765</f>
        <v/>
      </c>
      <c r="T8925" s="21">
        <f>-$B$8764</f>
        <v/>
      </c>
      <c r="U8925" s="21">
        <f>$B$8766</f>
        <v/>
      </c>
      <c r="V8925" s="21" t="n">
        <v>0</v>
      </c>
      <c r="W8925" s="21" t="n">
        <v>0</v>
      </c>
      <c r="X8925" s="21" t="n">
        <v>0</v>
      </c>
      <c r="Y8925" s="21" t="n">
        <v>0</v>
      </c>
      <c r="Z8925" s="19" t="n"/>
    </row>
    <row r="8926">
      <c r="D8926" s="21" t="n">
        <v>0</v>
      </c>
      <c r="E8926" s="21" t="n">
        <v>0</v>
      </c>
      <c r="F8926" s="21" t="n">
        <v>0</v>
      </c>
      <c r="G8926" s="21" t="n">
        <v>0</v>
      </c>
      <c r="H8926" s="21" t="n">
        <v>0</v>
      </c>
      <c r="I8926" s="21" t="n">
        <v>0</v>
      </c>
      <c r="J8926" s="21" t="n">
        <v>0</v>
      </c>
      <c r="K8926" s="21" t="n">
        <v>0</v>
      </c>
      <c r="L8926" s="21" t="n">
        <v>0</v>
      </c>
      <c r="M8926" s="21" t="n">
        <v>0</v>
      </c>
      <c r="N8926" s="21" t="n">
        <v>0</v>
      </c>
      <c r="O8926" s="21" t="n">
        <v>0</v>
      </c>
      <c r="P8926" s="21" t="n">
        <v>0</v>
      </c>
      <c r="Q8926" s="21" t="n">
        <v>0</v>
      </c>
      <c r="R8926" s="21">
        <f>-$B$8763</f>
        <v/>
      </c>
      <c r="S8926" s="21">
        <f>-$B$8764</f>
        <v/>
      </c>
      <c r="T8926" s="21">
        <f>2*$B$8763+$D$8906</f>
        <v/>
      </c>
      <c r="U8926" s="21">
        <f>0</f>
        <v/>
      </c>
      <c r="V8926" s="21">
        <f>-$B$8763</f>
        <v/>
      </c>
      <c r="W8926" s="21">
        <f>$B$8764</f>
        <v/>
      </c>
      <c r="X8926" s="21" t="n">
        <v>0</v>
      </c>
      <c r="Y8926" s="21" t="n">
        <v>0</v>
      </c>
      <c r="Z8926" s="19" t="n"/>
    </row>
    <row r="8927">
      <c r="D8927" s="21" t="n">
        <v>0</v>
      </c>
      <c r="E8927" s="21" t="n">
        <v>0</v>
      </c>
      <c r="F8927" s="21" t="n">
        <v>0</v>
      </c>
      <c r="G8927" s="21" t="n">
        <v>0</v>
      </c>
      <c r="H8927" s="21" t="n">
        <v>0</v>
      </c>
      <c r="I8927" s="21" t="n">
        <v>0</v>
      </c>
      <c r="J8927" s="21" t="n">
        <v>0</v>
      </c>
      <c r="K8927" s="21" t="n">
        <v>0</v>
      </c>
      <c r="L8927" s="21" t="n">
        <v>0</v>
      </c>
      <c r="M8927" s="21" t="n">
        <v>0</v>
      </c>
      <c r="N8927" s="21" t="n">
        <v>0</v>
      </c>
      <c r="O8927" s="21" t="n">
        <v>0</v>
      </c>
      <c r="P8927" s="21" t="n">
        <v>0</v>
      </c>
      <c r="Q8927" s="21" t="n">
        <v>0</v>
      </c>
      <c r="R8927" s="21">
        <f>$B$8764</f>
        <v/>
      </c>
      <c r="S8927" s="21">
        <f>$B$8766</f>
        <v/>
      </c>
      <c r="T8927" s="21">
        <f>0</f>
        <v/>
      </c>
      <c r="U8927" s="21">
        <f>2*$B$8765</f>
        <v/>
      </c>
      <c r="V8927" s="21">
        <f>-$B$8764</f>
        <v/>
      </c>
      <c r="W8927" s="21">
        <f>$B$8766</f>
        <v/>
      </c>
      <c r="X8927" s="21" t="n">
        <v>0</v>
      </c>
      <c r="Y8927" s="21" t="n">
        <v>0</v>
      </c>
      <c r="Z8927" s="19" t="n"/>
    </row>
    <row r="8928">
      <c r="D8928" s="21" t="n">
        <v>0</v>
      </c>
      <c r="E8928" s="21" t="n">
        <v>0</v>
      </c>
      <c r="F8928" s="21" t="n">
        <v>0</v>
      </c>
      <c r="G8928" s="21" t="n">
        <v>0</v>
      </c>
      <c r="H8928" s="21" t="n">
        <v>0</v>
      </c>
      <c r="I8928" s="21" t="n">
        <v>0</v>
      </c>
      <c r="J8928" s="21" t="n">
        <v>0</v>
      </c>
      <c r="K8928" s="21" t="n">
        <v>0</v>
      </c>
      <c r="L8928" s="21" t="n">
        <v>0</v>
      </c>
      <c r="M8928" s="21" t="n">
        <v>0</v>
      </c>
      <c r="N8928" s="21" t="n">
        <v>0</v>
      </c>
      <c r="O8928" s="21" t="n">
        <v>0</v>
      </c>
      <c r="P8928" s="21" t="n">
        <v>0</v>
      </c>
      <c r="Q8928" s="21" t="n">
        <v>0</v>
      </c>
      <c r="R8928" s="21" t="n">
        <v>0</v>
      </c>
      <c r="S8928" s="21" t="n">
        <v>0</v>
      </c>
      <c r="T8928" s="21">
        <f>-$B$8763</f>
        <v/>
      </c>
      <c r="U8928" s="21">
        <f>-$B$8764</f>
        <v/>
      </c>
      <c r="V8928" s="21">
        <f>2*$B$8763+$D$8907</f>
        <v/>
      </c>
      <c r="W8928" s="21">
        <f>0</f>
        <v/>
      </c>
      <c r="X8928" s="21">
        <f>-$B$8763</f>
        <v/>
      </c>
      <c r="Y8928" s="21">
        <f>$B$8764</f>
        <v/>
      </c>
      <c r="Z8928" s="19" t="n"/>
    </row>
    <row r="8929">
      <c r="D8929" s="21" t="n">
        <v>0</v>
      </c>
      <c r="E8929" s="21" t="n">
        <v>0</v>
      </c>
      <c r="F8929" s="21" t="n">
        <v>0</v>
      </c>
      <c r="G8929" s="21" t="n">
        <v>0</v>
      </c>
      <c r="H8929" s="21" t="n">
        <v>0</v>
      </c>
      <c r="I8929" s="21" t="n">
        <v>0</v>
      </c>
      <c r="J8929" s="21" t="n">
        <v>0</v>
      </c>
      <c r="K8929" s="21" t="n">
        <v>0</v>
      </c>
      <c r="L8929" s="21" t="n">
        <v>0</v>
      </c>
      <c r="M8929" s="21" t="n">
        <v>0</v>
      </c>
      <c r="N8929" s="21" t="n">
        <v>0</v>
      </c>
      <c r="O8929" s="21" t="n">
        <v>0</v>
      </c>
      <c r="P8929" s="21" t="n">
        <v>0</v>
      </c>
      <c r="Q8929" s="21" t="n">
        <v>0</v>
      </c>
      <c r="R8929" s="21" t="n">
        <v>0</v>
      </c>
      <c r="S8929" s="21" t="n">
        <v>0</v>
      </c>
      <c r="T8929" s="21">
        <f>$B$8764</f>
        <v/>
      </c>
      <c r="U8929" s="21">
        <f>$B$8766</f>
        <v/>
      </c>
      <c r="V8929" s="21">
        <f>0</f>
        <v/>
      </c>
      <c r="W8929" s="21">
        <f>2*$B$8765</f>
        <v/>
      </c>
      <c r="X8929" s="21">
        <f>-$B$8764</f>
        <v/>
      </c>
      <c r="Y8929" s="21">
        <f>$B$8766</f>
        <v/>
      </c>
      <c r="Z8929" s="19" t="n"/>
    </row>
    <row r="8930">
      <c r="D8930" s="21" t="n">
        <v>0</v>
      </c>
      <c r="E8930" s="21" t="n">
        <v>0</v>
      </c>
      <c r="F8930" s="21" t="n">
        <v>0</v>
      </c>
      <c r="G8930" s="21" t="n">
        <v>0</v>
      </c>
      <c r="H8930" s="21" t="n">
        <v>0</v>
      </c>
      <c r="I8930" s="21" t="n">
        <v>0</v>
      </c>
      <c r="J8930" s="21" t="n">
        <v>0</v>
      </c>
      <c r="K8930" s="21" t="n">
        <v>0</v>
      </c>
      <c r="L8930" s="21" t="n">
        <v>0</v>
      </c>
      <c r="M8930" s="21" t="n">
        <v>0</v>
      </c>
      <c r="N8930" s="21" t="n">
        <v>0</v>
      </c>
      <c r="O8930" s="21" t="n">
        <v>0</v>
      </c>
      <c r="P8930" s="21" t="n">
        <v>0</v>
      </c>
      <c r="Q8930" s="21" t="n">
        <v>0</v>
      </c>
      <c r="R8930" s="21" t="n">
        <v>0</v>
      </c>
      <c r="S8930" s="21" t="n">
        <v>0</v>
      </c>
      <c r="T8930" s="21" t="n">
        <v>0</v>
      </c>
      <c r="U8930" s="21" t="n">
        <v>0</v>
      </c>
      <c r="V8930" s="21">
        <f>-$B$8763</f>
        <v/>
      </c>
      <c r="W8930" s="21">
        <f>-$B$8764</f>
        <v/>
      </c>
      <c r="X8930" s="21">
        <f>$B$8763+$D$8908</f>
        <v/>
      </c>
      <c r="Y8930" s="21">
        <f>-$B$8764</f>
        <v/>
      </c>
      <c r="Z8930" s="19" t="n"/>
    </row>
    <row r="8931">
      <c r="D8931" s="21" t="n">
        <v>0</v>
      </c>
      <c r="E8931" s="21" t="n">
        <v>0</v>
      </c>
      <c r="F8931" s="21" t="n">
        <v>0</v>
      </c>
      <c r="G8931" s="21" t="n">
        <v>0</v>
      </c>
      <c r="H8931" s="21" t="n">
        <v>0</v>
      </c>
      <c r="I8931" s="21" t="n">
        <v>0</v>
      </c>
      <c r="J8931" s="21" t="n">
        <v>0</v>
      </c>
      <c r="K8931" s="21" t="n">
        <v>0</v>
      </c>
      <c r="L8931" s="21" t="n">
        <v>0</v>
      </c>
      <c r="M8931" s="21" t="n">
        <v>0</v>
      </c>
      <c r="N8931" s="21" t="n">
        <v>0</v>
      </c>
      <c r="O8931" s="21" t="n">
        <v>0</v>
      </c>
      <c r="P8931" s="21" t="n">
        <v>0</v>
      </c>
      <c r="Q8931" s="21" t="n">
        <v>0</v>
      </c>
      <c r="R8931" s="21" t="n">
        <v>0</v>
      </c>
      <c r="S8931" s="21" t="n">
        <v>0</v>
      </c>
      <c r="T8931" s="21" t="n">
        <v>0</v>
      </c>
      <c r="U8931" s="21" t="n">
        <v>0</v>
      </c>
      <c r="V8931" s="21">
        <f>$B$8764</f>
        <v/>
      </c>
      <c r="W8931" s="21">
        <f>$B$8766</f>
        <v/>
      </c>
      <c r="X8931" s="21">
        <f>-$B$8764</f>
        <v/>
      </c>
      <c r="Y8931" s="21">
        <f>$B$8765</f>
        <v/>
      </c>
      <c r="Z8931" s="19" t="n"/>
    </row>
    <row r="8933">
      <c r="A8933" s="8" t="inlineStr">
        <is>
          <t>gen 4</t>
        </is>
      </c>
    </row>
    <row r="8934">
      <c r="D8934" s="19">
        <f>IF(ABS(IF(ABS($E$8898)&gt;0.000000001,$E$8898,0.000000001))=0,0,IF($E$8778&lt;=$B$8772,0,IF(ABS(IF(ABS($E$8898)&gt;0.000000001,$E$8898,0.000000001))&gt;=8*$B$8774,$H$8778,0.5*$H$8778*(ABS(IF(ABS($E$8898)&gt;0.000000001,$E$8898,0.000000001))/$B$8774)^(1/3)))/ABS(IF(ABS($E$8898)&gt;0.000000001,$E$8898,0.000000001))*$I$8778)</f>
        <v/>
      </c>
      <c r="E8934" s="19">
        <f>0.5*$E$8898+0.5*$Z$8946</f>
        <v/>
      </c>
      <c r="F8934" s="19">
        <f>$Z$8947</f>
        <v/>
      </c>
    </row>
    <row r="8935">
      <c r="D8935" s="19">
        <f>IF(ABS(IF(ABS($E$8899)&gt;0.000000001,$E$8899,0.000000001))=0,0,IF($E$8779&lt;=$B$8772,0,IF(ABS(IF(ABS($E$8899)&gt;0.000000001,$E$8899,0.000000001))&gt;=8*$B$8774,$H$8779,0.5*$H$8779*(ABS(IF(ABS($E$8899)&gt;0.000000001,$E$8899,0.000000001))/$B$8774)^(1/3)))/ABS(IF(ABS($E$8899)&gt;0.000000001,$E$8899,0.000000001))*$I$8779)</f>
        <v/>
      </c>
      <c r="E8935" s="19">
        <f>0.5*$E$8899+0.5*$Z$8948</f>
        <v/>
      </c>
      <c r="F8935" s="19">
        <f>$Z$8949</f>
        <v/>
      </c>
    </row>
    <row r="8936">
      <c r="D8936" s="19">
        <f>IF(ABS(IF(ABS($E$8900)&gt;0.000000001,$E$8900,0.000000001))=0,0,IF($E$8780&lt;=$B$8772,0,IF(ABS(IF(ABS($E$8900)&gt;0.000000001,$E$8900,0.000000001))&gt;=8*$B$8774,$H$8780,0.5*$H$8780*(ABS(IF(ABS($E$8900)&gt;0.000000001,$E$8900,0.000000001))/$B$8774)^(1/3)))/ABS(IF(ABS($E$8900)&gt;0.000000001,$E$8900,0.000000001))*$I$8780)</f>
        <v/>
      </c>
      <c r="E8936" s="19">
        <f>0.5*$E$8900+0.5*$Z$8950</f>
        <v/>
      </c>
      <c r="F8936" s="19">
        <f>$Z$8951</f>
        <v/>
      </c>
    </row>
    <row r="8937">
      <c r="D8937" s="19">
        <f>IF(ABS(IF(ABS($E$8901)&gt;0.000000001,$E$8901,0.000000001))=0,0,IF($E$8781&lt;=$B$8772,0,IF(ABS(IF(ABS($E$8901)&gt;0.000000001,$E$8901,0.000000001))&gt;=8*$B$8774,$H$8781,0.5*$H$8781*(ABS(IF(ABS($E$8901)&gt;0.000000001,$E$8901,0.000000001))/$B$8774)^(1/3)))/ABS(IF(ABS($E$8901)&gt;0.000000001,$E$8901,0.000000001))*$I$8781)</f>
        <v/>
      </c>
      <c r="E8937" s="19">
        <f>0.5*$E$8901+0.5*$Z$8952</f>
        <v/>
      </c>
      <c r="F8937" s="19">
        <f>$Z$8953</f>
        <v/>
      </c>
    </row>
    <row r="8938">
      <c r="D8938" s="19">
        <f>IF(ABS(IF(ABS($E$8902)&gt;0.000000001,$E$8902,0.000000001))=0,0,IF($E$8782&lt;=$B$8772,0,IF(ABS(IF(ABS($E$8902)&gt;0.000000001,$E$8902,0.000000001))&gt;=8*$B$8774,$H$8782,0.5*$H$8782*(ABS(IF(ABS($E$8902)&gt;0.000000001,$E$8902,0.000000001))/$B$8774)^(1/3)))/ABS(IF(ABS($E$8902)&gt;0.000000001,$E$8902,0.000000001))*$I$8782)</f>
        <v/>
      </c>
      <c r="E8938" s="19">
        <f>0.5*$E$8902+0.5*$Z$8954</f>
        <v/>
      </c>
      <c r="F8938" s="19">
        <f>$Z$8955</f>
        <v/>
      </c>
    </row>
    <row r="8939">
      <c r="D8939" s="19">
        <f>IF(ABS(IF(ABS($E$8903)&gt;0.000000001,$E$8903,0.000000001))=0,0,IF($E$8783&lt;=$B$8772,0,IF(ABS(IF(ABS($E$8903)&gt;0.000000001,$E$8903,0.000000001))&gt;=8*$B$8774,$H$8783,0.5*$H$8783*(ABS(IF(ABS($E$8903)&gt;0.000000001,$E$8903,0.000000001))/$B$8774)^(1/3)))/ABS(IF(ABS($E$8903)&gt;0.000000001,$E$8903,0.000000001))*$I$8783)</f>
        <v/>
      </c>
      <c r="E8939" s="19">
        <f>0.5*$E$8903+0.5*$Z$8956</f>
        <v/>
      </c>
      <c r="F8939" s="19">
        <f>$Z$8957</f>
        <v/>
      </c>
    </row>
    <row r="8940">
      <c r="D8940" s="19">
        <f>IF(ABS(IF(ABS($E$8904)&gt;0.000000001,$E$8904,0.000000001))=0,0,IF($E$8784&lt;=$B$8772,0,IF(ABS(IF(ABS($E$8904)&gt;0.000000001,$E$8904,0.000000001))&gt;=8*$B$8774,$H$8784,0.5*$H$8784*(ABS(IF(ABS($E$8904)&gt;0.000000001,$E$8904,0.000000001))/$B$8774)^(1/3)))/ABS(IF(ABS($E$8904)&gt;0.000000001,$E$8904,0.000000001))*$I$8784)</f>
        <v/>
      </c>
      <c r="E8940" s="19">
        <f>0.5*$E$8904+0.5*$Z$8958</f>
        <v/>
      </c>
      <c r="F8940" s="19">
        <f>$Z$8959</f>
        <v/>
      </c>
    </row>
    <row r="8941">
      <c r="D8941" s="19">
        <f>IF(ABS(IF(ABS($E$8905)&gt;0.000000001,$E$8905,0.000000001))=0,0,IF($E$8785&lt;=$B$8772,0,IF(ABS(IF(ABS($E$8905)&gt;0.000000001,$E$8905,0.000000001))&gt;=8*$B$8774,$H$8785,0.5*$H$8785*(ABS(IF(ABS($E$8905)&gt;0.000000001,$E$8905,0.000000001))/$B$8774)^(1/3)))/ABS(IF(ABS($E$8905)&gt;0.000000001,$E$8905,0.000000001))*$I$8785)</f>
        <v/>
      </c>
      <c r="E8941" s="19">
        <f>0.5*$E$8905+0.5*$Z$8960</f>
        <v/>
      </c>
      <c r="F8941" s="19">
        <f>$Z$8961</f>
        <v/>
      </c>
    </row>
    <row r="8942">
      <c r="D8942" s="19">
        <f>IF(ABS(IF(ABS($E$8906)&gt;0.000000001,$E$8906,0.000000001))=0,0,IF($E$8786&lt;=$B$8772,0,IF(ABS(IF(ABS($E$8906)&gt;0.000000001,$E$8906,0.000000001))&gt;=8*$B$8774,$H$8786,0.5*$H$8786*(ABS(IF(ABS($E$8906)&gt;0.000000001,$E$8906,0.000000001))/$B$8774)^(1/3)))/ABS(IF(ABS($E$8906)&gt;0.000000001,$E$8906,0.000000001))*$I$8786)</f>
        <v/>
      </c>
      <c r="E8942" s="19">
        <f>0.5*$E$8906+0.5*$Z$8962</f>
        <v/>
      </c>
      <c r="F8942" s="19">
        <f>$Z$8963</f>
        <v/>
      </c>
    </row>
    <row r="8943">
      <c r="D8943" s="19">
        <f>IF(ABS(IF(ABS($E$8907)&gt;0.000000001,$E$8907,0.000000001))=0,0,IF($E$8787&lt;=$B$8772,0,IF(ABS(IF(ABS($E$8907)&gt;0.000000001,$E$8907,0.000000001))&gt;=8*$B$8774,$H$8787,0.5*$H$8787*(ABS(IF(ABS($E$8907)&gt;0.000000001,$E$8907,0.000000001))/$B$8774)^(1/3)))/ABS(IF(ABS($E$8907)&gt;0.000000001,$E$8907,0.000000001))*$I$8787)</f>
        <v/>
      </c>
      <c r="E8943" s="19">
        <f>0.5*$E$8907+0.5*$Z$8964</f>
        <v/>
      </c>
      <c r="F8943" s="19">
        <f>$Z$8965</f>
        <v/>
      </c>
    </row>
    <row r="8944">
      <c r="D8944" s="19">
        <f>IF(ABS(IF(ABS($E$8908)&gt;0.000000001,$E$8908,0.000000001))=0,0,IF($E$8788&lt;=$B$8772,0,IF(ABS(IF(ABS($E$8908)&gt;0.000000001,$E$8908,0.000000001))&gt;=8*$B$8774,$H$8788,0.5*$H$8788*(ABS(IF(ABS($E$8908)&gt;0.000000001,$E$8908,0.000000001))/$B$8774)^(1/3)))/ABS(IF(ABS($E$8908)&gt;0.000000001,$E$8908,0.000000001))*$I$8788)</f>
        <v/>
      </c>
      <c r="E8944" s="19">
        <f>0.5*$E$8908+0.5*$Z$8966</f>
        <v/>
      </c>
      <c r="F8944" s="19">
        <f>$Z$8967</f>
        <v/>
      </c>
    </row>
    <row r="8946">
      <c r="D8946" s="21">
        <f>$B$8763+$D$8934</f>
        <v/>
      </c>
      <c r="E8946" s="21">
        <f>$B$8764</f>
        <v/>
      </c>
      <c r="F8946" s="21">
        <f>-$B$8763</f>
        <v/>
      </c>
      <c r="G8946" s="21">
        <f>$B$8764</f>
        <v/>
      </c>
      <c r="H8946" s="21" t="n">
        <v>0</v>
      </c>
      <c r="I8946" s="21" t="n">
        <v>0</v>
      </c>
      <c r="J8946" s="21" t="n">
        <v>0</v>
      </c>
      <c r="K8946" s="21" t="n">
        <v>0</v>
      </c>
      <c r="L8946" s="21" t="n">
        <v>0</v>
      </c>
      <c r="M8946" s="21" t="n">
        <v>0</v>
      </c>
      <c r="N8946" s="21" t="n">
        <v>0</v>
      </c>
      <c r="O8946" s="21" t="n">
        <v>0</v>
      </c>
      <c r="P8946" s="21" t="n">
        <v>0</v>
      </c>
      <c r="Q8946" s="21" t="n">
        <v>0</v>
      </c>
      <c r="R8946" s="21" t="n">
        <v>0</v>
      </c>
      <c r="S8946" s="21" t="n">
        <v>0</v>
      </c>
      <c r="T8946" s="21" t="n">
        <v>0</v>
      </c>
      <c r="U8946" s="21" t="n">
        <v>0</v>
      </c>
      <c r="V8946" s="21" t="n">
        <v>0</v>
      </c>
      <c r="W8946" s="21" t="n">
        <v>0</v>
      </c>
      <c r="X8946" s="21" t="n">
        <v>0</v>
      </c>
      <c r="Y8946" s="21" t="n">
        <v>0</v>
      </c>
      <c r="Z8946" s="19">
        <f t="array" ref="Z8946:Z8967">MMULT(MINVERSE($D$8946:$Y$8967),$D$8790:$D$8811)</f>
        <v/>
      </c>
    </row>
    <row r="8947">
      <c r="D8947" s="21">
        <f>$B$8764</f>
        <v/>
      </c>
      <c r="E8947" s="21">
        <f>$B$8765</f>
        <v/>
      </c>
      <c r="F8947" s="21">
        <f>-$B$8764</f>
        <v/>
      </c>
      <c r="G8947" s="21">
        <f>$B$8766</f>
        <v/>
      </c>
      <c r="H8947" s="21" t="n">
        <v>0</v>
      </c>
      <c r="I8947" s="21" t="n">
        <v>0</v>
      </c>
      <c r="J8947" s="21" t="n">
        <v>0</v>
      </c>
      <c r="K8947" s="21" t="n">
        <v>0</v>
      </c>
      <c r="L8947" s="21" t="n">
        <v>0</v>
      </c>
      <c r="M8947" s="21" t="n">
        <v>0</v>
      </c>
      <c r="N8947" s="21" t="n">
        <v>0</v>
      </c>
      <c r="O8947" s="21" t="n">
        <v>0</v>
      </c>
      <c r="P8947" s="21" t="n">
        <v>0</v>
      </c>
      <c r="Q8947" s="21" t="n">
        <v>0</v>
      </c>
      <c r="R8947" s="21" t="n">
        <v>0</v>
      </c>
      <c r="S8947" s="21" t="n">
        <v>0</v>
      </c>
      <c r="T8947" s="21" t="n">
        <v>0</v>
      </c>
      <c r="U8947" s="21" t="n">
        <v>0</v>
      </c>
      <c r="V8947" s="21" t="n">
        <v>0</v>
      </c>
      <c r="W8947" s="21" t="n">
        <v>0</v>
      </c>
      <c r="X8947" s="21" t="n">
        <v>0</v>
      </c>
      <c r="Y8947" s="21" t="n">
        <v>0</v>
      </c>
      <c r="Z8947" s="19" t="n"/>
    </row>
    <row r="8948">
      <c r="D8948" s="21">
        <f>-$B$8763</f>
        <v/>
      </c>
      <c r="E8948" s="21">
        <f>-$B$8764</f>
        <v/>
      </c>
      <c r="F8948" s="21">
        <f>2*$B$8763+$D$8935</f>
        <v/>
      </c>
      <c r="G8948" s="21">
        <f>0</f>
        <v/>
      </c>
      <c r="H8948" s="21">
        <f>-$B$8763</f>
        <v/>
      </c>
      <c r="I8948" s="21">
        <f>$B$8764</f>
        <v/>
      </c>
      <c r="J8948" s="21" t="n">
        <v>0</v>
      </c>
      <c r="K8948" s="21" t="n">
        <v>0</v>
      </c>
      <c r="L8948" s="21" t="n">
        <v>0</v>
      </c>
      <c r="M8948" s="21" t="n">
        <v>0</v>
      </c>
      <c r="N8948" s="21" t="n">
        <v>0</v>
      </c>
      <c r="O8948" s="21" t="n">
        <v>0</v>
      </c>
      <c r="P8948" s="21" t="n">
        <v>0</v>
      </c>
      <c r="Q8948" s="21" t="n">
        <v>0</v>
      </c>
      <c r="R8948" s="21" t="n">
        <v>0</v>
      </c>
      <c r="S8948" s="21" t="n">
        <v>0</v>
      </c>
      <c r="T8948" s="21" t="n">
        <v>0</v>
      </c>
      <c r="U8948" s="21" t="n">
        <v>0</v>
      </c>
      <c r="V8948" s="21" t="n">
        <v>0</v>
      </c>
      <c r="W8948" s="21" t="n">
        <v>0</v>
      </c>
      <c r="X8948" s="21" t="n">
        <v>0</v>
      </c>
      <c r="Y8948" s="21" t="n">
        <v>0</v>
      </c>
      <c r="Z8948" s="19" t="n"/>
    </row>
    <row r="8949">
      <c r="D8949" s="21">
        <f>$B$8764</f>
        <v/>
      </c>
      <c r="E8949" s="21">
        <f>$B$8766</f>
        <v/>
      </c>
      <c r="F8949" s="21">
        <f>0</f>
        <v/>
      </c>
      <c r="G8949" s="21">
        <f>2*$B$8765</f>
        <v/>
      </c>
      <c r="H8949" s="21">
        <f>-$B$8764</f>
        <v/>
      </c>
      <c r="I8949" s="21">
        <f>$B$8766</f>
        <v/>
      </c>
      <c r="J8949" s="21" t="n">
        <v>0</v>
      </c>
      <c r="K8949" s="21" t="n">
        <v>0</v>
      </c>
      <c r="L8949" s="21" t="n">
        <v>0</v>
      </c>
      <c r="M8949" s="21" t="n">
        <v>0</v>
      </c>
      <c r="N8949" s="21" t="n">
        <v>0</v>
      </c>
      <c r="O8949" s="21" t="n">
        <v>0</v>
      </c>
      <c r="P8949" s="21" t="n">
        <v>0</v>
      </c>
      <c r="Q8949" s="21" t="n">
        <v>0</v>
      </c>
      <c r="R8949" s="21" t="n">
        <v>0</v>
      </c>
      <c r="S8949" s="21" t="n">
        <v>0</v>
      </c>
      <c r="T8949" s="21" t="n">
        <v>0</v>
      </c>
      <c r="U8949" s="21" t="n">
        <v>0</v>
      </c>
      <c r="V8949" s="21" t="n">
        <v>0</v>
      </c>
      <c r="W8949" s="21" t="n">
        <v>0</v>
      </c>
      <c r="X8949" s="21" t="n">
        <v>0</v>
      </c>
      <c r="Y8949" s="21" t="n">
        <v>0</v>
      </c>
      <c r="Z8949" s="19" t="n"/>
    </row>
    <row r="8950">
      <c r="D8950" s="21" t="n">
        <v>0</v>
      </c>
      <c r="E8950" s="21" t="n">
        <v>0</v>
      </c>
      <c r="F8950" s="21">
        <f>-$B$8763</f>
        <v/>
      </c>
      <c r="G8950" s="21">
        <f>-$B$8764</f>
        <v/>
      </c>
      <c r="H8950" s="21">
        <f>2*$B$8763+$D$8936</f>
        <v/>
      </c>
      <c r="I8950" s="21">
        <f>0</f>
        <v/>
      </c>
      <c r="J8950" s="21">
        <f>-$B$8763</f>
        <v/>
      </c>
      <c r="K8950" s="21">
        <f>$B$8764</f>
        <v/>
      </c>
      <c r="L8950" s="21" t="n">
        <v>0</v>
      </c>
      <c r="M8950" s="21" t="n">
        <v>0</v>
      </c>
      <c r="N8950" s="21" t="n">
        <v>0</v>
      </c>
      <c r="O8950" s="21" t="n">
        <v>0</v>
      </c>
      <c r="P8950" s="21" t="n">
        <v>0</v>
      </c>
      <c r="Q8950" s="21" t="n">
        <v>0</v>
      </c>
      <c r="R8950" s="21" t="n">
        <v>0</v>
      </c>
      <c r="S8950" s="21" t="n">
        <v>0</v>
      </c>
      <c r="T8950" s="21" t="n">
        <v>0</v>
      </c>
      <c r="U8950" s="21" t="n">
        <v>0</v>
      </c>
      <c r="V8950" s="21" t="n">
        <v>0</v>
      </c>
      <c r="W8950" s="21" t="n">
        <v>0</v>
      </c>
      <c r="X8950" s="21" t="n">
        <v>0</v>
      </c>
      <c r="Y8950" s="21" t="n">
        <v>0</v>
      </c>
      <c r="Z8950" s="19" t="n"/>
    </row>
    <row r="8951">
      <c r="D8951" s="21" t="n">
        <v>0</v>
      </c>
      <c r="E8951" s="21" t="n">
        <v>0</v>
      </c>
      <c r="F8951" s="21">
        <f>$B$8764</f>
        <v/>
      </c>
      <c r="G8951" s="21">
        <f>$B$8766</f>
        <v/>
      </c>
      <c r="H8951" s="21">
        <f>0</f>
        <v/>
      </c>
      <c r="I8951" s="21">
        <f>2*$B$8765</f>
        <v/>
      </c>
      <c r="J8951" s="21">
        <f>-$B$8764</f>
        <v/>
      </c>
      <c r="K8951" s="21">
        <f>$B$8766</f>
        <v/>
      </c>
      <c r="L8951" s="21" t="n">
        <v>0</v>
      </c>
      <c r="M8951" s="21" t="n">
        <v>0</v>
      </c>
      <c r="N8951" s="21" t="n">
        <v>0</v>
      </c>
      <c r="O8951" s="21" t="n">
        <v>0</v>
      </c>
      <c r="P8951" s="21" t="n">
        <v>0</v>
      </c>
      <c r="Q8951" s="21" t="n">
        <v>0</v>
      </c>
      <c r="R8951" s="21" t="n">
        <v>0</v>
      </c>
      <c r="S8951" s="21" t="n">
        <v>0</v>
      </c>
      <c r="T8951" s="21" t="n">
        <v>0</v>
      </c>
      <c r="U8951" s="21" t="n">
        <v>0</v>
      </c>
      <c r="V8951" s="21" t="n">
        <v>0</v>
      </c>
      <c r="W8951" s="21" t="n">
        <v>0</v>
      </c>
      <c r="X8951" s="21" t="n">
        <v>0</v>
      </c>
      <c r="Y8951" s="21" t="n">
        <v>0</v>
      </c>
      <c r="Z8951" s="19" t="n"/>
    </row>
    <row r="8952">
      <c r="D8952" s="21" t="n">
        <v>0</v>
      </c>
      <c r="E8952" s="21" t="n">
        <v>0</v>
      </c>
      <c r="F8952" s="21" t="n">
        <v>0</v>
      </c>
      <c r="G8952" s="21" t="n">
        <v>0</v>
      </c>
      <c r="H8952" s="21">
        <f>-$B$8763</f>
        <v/>
      </c>
      <c r="I8952" s="21">
        <f>-$B$8764</f>
        <v/>
      </c>
      <c r="J8952" s="21">
        <f>2*$B$8763+$D$8937</f>
        <v/>
      </c>
      <c r="K8952" s="21">
        <f>0</f>
        <v/>
      </c>
      <c r="L8952" s="21">
        <f>-$B$8763</f>
        <v/>
      </c>
      <c r="M8952" s="21">
        <f>$B$8764</f>
        <v/>
      </c>
      <c r="N8952" s="21" t="n">
        <v>0</v>
      </c>
      <c r="O8952" s="21" t="n">
        <v>0</v>
      </c>
      <c r="P8952" s="21" t="n">
        <v>0</v>
      </c>
      <c r="Q8952" s="21" t="n">
        <v>0</v>
      </c>
      <c r="R8952" s="21" t="n">
        <v>0</v>
      </c>
      <c r="S8952" s="21" t="n">
        <v>0</v>
      </c>
      <c r="T8952" s="21" t="n">
        <v>0</v>
      </c>
      <c r="U8952" s="21" t="n">
        <v>0</v>
      </c>
      <c r="V8952" s="21" t="n">
        <v>0</v>
      </c>
      <c r="W8952" s="21" t="n">
        <v>0</v>
      </c>
      <c r="X8952" s="21" t="n">
        <v>0</v>
      </c>
      <c r="Y8952" s="21" t="n">
        <v>0</v>
      </c>
      <c r="Z8952" s="19" t="n"/>
    </row>
    <row r="8953">
      <c r="D8953" s="21" t="n">
        <v>0</v>
      </c>
      <c r="E8953" s="21" t="n">
        <v>0</v>
      </c>
      <c r="F8953" s="21" t="n">
        <v>0</v>
      </c>
      <c r="G8953" s="21" t="n">
        <v>0</v>
      </c>
      <c r="H8953" s="21">
        <f>$B$8764</f>
        <v/>
      </c>
      <c r="I8953" s="21">
        <f>$B$8766</f>
        <v/>
      </c>
      <c r="J8953" s="21">
        <f>0</f>
        <v/>
      </c>
      <c r="K8953" s="21">
        <f>2*$B$8765</f>
        <v/>
      </c>
      <c r="L8953" s="21">
        <f>-$B$8764</f>
        <v/>
      </c>
      <c r="M8953" s="21">
        <f>$B$8766</f>
        <v/>
      </c>
      <c r="N8953" s="21" t="n">
        <v>0</v>
      </c>
      <c r="O8953" s="21" t="n">
        <v>0</v>
      </c>
      <c r="P8953" s="21" t="n">
        <v>0</v>
      </c>
      <c r="Q8953" s="21" t="n">
        <v>0</v>
      </c>
      <c r="R8953" s="21" t="n">
        <v>0</v>
      </c>
      <c r="S8953" s="21" t="n">
        <v>0</v>
      </c>
      <c r="T8953" s="21" t="n">
        <v>0</v>
      </c>
      <c r="U8953" s="21" t="n">
        <v>0</v>
      </c>
      <c r="V8953" s="21" t="n">
        <v>0</v>
      </c>
      <c r="W8953" s="21" t="n">
        <v>0</v>
      </c>
      <c r="X8953" s="21" t="n">
        <v>0</v>
      </c>
      <c r="Y8953" s="21" t="n">
        <v>0</v>
      </c>
      <c r="Z8953" s="19" t="n"/>
    </row>
    <row r="8954">
      <c r="D8954" s="21" t="n">
        <v>0</v>
      </c>
      <c r="E8954" s="21" t="n">
        <v>0</v>
      </c>
      <c r="F8954" s="21" t="n">
        <v>0</v>
      </c>
      <c r="G8954" s="21" t="n">
        <v>0</v>
      </c>
      <c r="H8954" s="21" t="n">
        <v>0</v>
      </c>
      <c r="I8954" s="21" t="n">
        <v>0</v>
      </c>
      <c r="J8954" s="21">
        <f>-$B$8763</f>
        <v/>
      </c>
      <c r="K8954" s="21">
        <f>-$B$8764</f>
        <v/>
      </c>
      <c r="L8954" s="21">
        <f>2*$B$8763+$D$8938</f>
        <v/>
      </c>
      <c r="M8954" s="21">
        <f>0</f>
        <v/>
      </c>
      <c r="N8954" s="21">
        <f>-$B$8763</f>
        <v/>
      </c>
      <c r="O8954" s="21">
        <f>$B$8764</f>
        <v/>
      </c>
      <c r="P8954" s="21" t="n">
        <v>0</v>
      </c>
      <c r="Q8954" s="21" t="n">
        <v>0</v>
      </c>
      <c r="R8954" s="21" t="n">
        <v>0</v>
      </c>
      <c r="S8954" s="21" t="n">
        <v>0</v>
      </c>
      <c r="T8954" s="21" t="n">
        <v>0</v>
      </c>
      <c r="U8954" s="21" t="n">
        <v>0</v>
      </c>
      <c r="V8954" s="21" t="n">
        <v>0</v>
      </c>
      <c r="W8954" s="21" t="n">
        <v>0</v>
      </c>
      <c r="X8954" s="21" t="n">
        <v>0</v>
      </c>
      <c r="Y8954" s="21" t="n">
        <v>0</v>
      </c>
      <c r="Z8954" s="19" t="n"/>
    </row>
    <row r="8955">
      <c r="D8955" s="21" t="n">
        <v>0</v>
      </c>
      <c r="E8955" s="21" t="n">
        <v>0</v>
      </c>
      <c r="F8955" s="21" t="n">
        <v>0</v>
      </c>
      <c r="G8955" s="21" t="n">
        <v>0</v>
      </c>
      <c r="H8955" s="21" t="n">
        <v>0</v>
      </c>
      <c r="I8955" s="21" t="n">
        <v>0</v>
      </c>
      <c r="J8955" s="21">
        <f>$B$8764</f>
        <v/>
      </c>
      <c r="K8955" s="21">
        <f>$B$8766</f>
        <v/>
      </c>
      <c r="L8955" s="21">
        <f>0</f>
        <v/>
      </c>
      <c r="M8955" s="21">
        <f>2*$B$8765</f>
        <v/>
      </c>
      <c r="N8955" s="21">
        <f>-$B$8764</f>
        <v/>
      </c>
      <c r="O8955" s="21">
        <f>$B$8766</f>
        <v/>
      </c>
      <c r="P8955" s="21" t="n">
        <v>0</v>
      </c>
      <c r="Q8955" s="21" t="n">
        <v>0</v>
      </c>
      <c r="R8955" s="21" t="n">
        <v>0</v>
      </c>
      <c r="S8955" s="21" t="n">
        <v>0</v>
      </c>
      <c r="T8955" s="21" t="n">
        <v>0</v>
      </c>
      <c r="U8955" s="21" t="n">
        <v>0</v>
      </c>
      <c r="V8955" s="21" t="n">
        <v>0</v>
      </c>
      <c r="W8955" s="21" t="n">
        <v>0</v>
      </c>
      <c r="X8955" s="21" t="n">
        <v>0</v>
      </c>
      <c r="Y8955" s="21" t="n">
        <v>0</v>
      </c>
      <c r="Z8955" s="19" t="n"/>
    </row>
    <row r="8956">
      <c r="D8956" s="21" t="n">
        <v>0</v>
      </c>
      <c r="E8956" s="21" t="n">
        <v>0</v>
      </c>
      <c r="F8956" s="21" t="n">
        <v>0</v>
      </c>
      <c r="G8956" s="21" t="n">
        <v>0</v>
      </c>
      <c r="H8956" s="21" t="n">
        <v>0</v>
      </c>
      <c r="I8956" s="21" t="n">
        <v>0</v>
      </c>
      <c r="J8956" s="21" t="n">
        <v>0</v>
      </c>
      <c r="K8956" s="21" t="n">
        <v>0</v>
      </c>
      <c r="L8956" s="21">
        <f>-$B$8763</f>
        <v/>
      </c>
      <c r="M8956" s="21">
        <f>-$B$8764</f>
        <v/>
      </c>
      <c r="N8956" s="21">
        <f>2*$B$8763+$D$8939</f>
        <v/>
      </c>
      <c r="O8956" s="21">
        <f>0</f>
        <v/>
      </c>
      <c r="P8956" s="21">
        <f>-$B$8763</f>
        <v/>
      </c>
      <c r="Q8956" s="21">
        <f>$B$8764</f>
        <v/>
      </c>
      <c r="R8956" s="21" t="n">
        <v>0</v>
      </c>
      <c r="S8956" s="21" t="n">
        <v>0</v>
      </c>
      <c r="T8956" s="21" t="n">
        <v>0</v>
      </c>
      <c r="U8956" s="21" t="n">
        <v>0</v>
      </c>
      <c r="V8956" s="21" t="n">
        <v>0</v>
      </c>
      <c r="W8956" s="21" t="n">
        <v>0</v>
      </c>
      <c r="X8956" s="21" t="n">
        <v>0</v>
      </c>
      <c r="Y8956" s="21" t="n">
        <v>0</v>
      </c>
      <c r="Z8956" s="19" t="n"/>
    </row>
    <row r="8957">
      <c r="D8957" s="21" t="n">
        <v>0</v>
      </c>
      <c r="E8957" s="21" t="n">
        <v>0</v>
      </c>
      <c r="F8957" s="21" t="n">
        <v>0</v>
      </c>
      <c r="G8957" s="21" t="n">
        <v>0</v>
      </c>
      <c r="H8957" s="21" t="n">
        <v>0</v>
      </c>
      <c r="I8957" s="21" t="n">
        <v>0</v>
      </c>
      <c r="J8957" s="21" t="n">
        <v>0</v>
      </c>
      <c r="K8957" s="21" t="n">
        <v>0</v>
      </c>
      <c r="L8957" s="21">
        <f>$B$8764</f>
        <v/>
      </c>
      <c r="M8957" s="21">
        <f>$B$8766</f>
        <v/>
      </c>
      <c r="N8957" s="21">
        <f>0</f>
        <v/>
      </c>
      <c r="O8957" s="21">
        <f>2*$B$8765</f>
        <v/>
      </c>
      <c r="P8957" s="21">
        <f>-$B$8764</f>
        <v/>
      </c>
      <c r="Q8957" s="21">
        <f>$B$8766</f>
        <v/>
      </c>
      <c r="R8957" s="21" t="n">
        <v>0</v>
      </c>
      <c r="S8957" s="21" t="n">
        <v>0</v>
      </c>
      <c r="T8957" s="21" t="n">
        <v>0</v>
      </c>
      <c r="U8957" s="21" t="n">
        <v>0</v>
      </c>
      <c r="V8957" s="21" t="n">
        <v>0</v>
      </c>
      <c r="W8957" s="21" t="n">
        <v>0</v>
      </c>
      <c r="X8957" s="21" t="n">
        <v>0</v>
      </c>
      <c r="Y8957" s="21" t="n">
        <v>0</v>
      </c>
      <c r="Z8957" s="19" t="n"/>
    </row>
    <row r="8958">
      <c r="D8958" s="21" t="n">
        <v>0</v>
      </c>
      <c r="E8958" s="21" t="n">
        <v>0</v>
      </c>
      <c r="F8958" s="21" t="n">
        <v>0</v>
      </c>
      <c r="G8958" s="21" t="n">
        <v>0</v>
      </c>
      <c r="H8958" s="21" t="n">
        <v>0</v>
      </c>
      <c r="I8958" s="21" t="n">
        <v>0</v>
      </c>
      <c r="J8958" s="21" t="n">
        <v>0</v>
      </c>
      <c r="K8958" s="21" t="n">
        <v>0</v>
      </c>
      <c r="L8958" s="21" t="n">
        <v>0</v>
      </c>
      <c r="M8958" s="21" t="n">
        <v>0</v>
      </c>
      <c r="N8958" s="21">
        <f>-$B$8763</f>
        <v/>
      </c>
      <c r="O8958" s="21">
        <f>-$B$8764</f>
        <v/>
      </c>
      <c r="P8958" s="21">
        <f>2*$B$8763+$D$8940</f>
        <v/>
      </c>
      <c r="Q8958" s="21">
        <f>0</f>
        <v/>
      </c>
      <c r="R8958" s="21">
        <f>-$B$8763</f>
        <v/>
      </c>
      <c r="S8958" s="21">
        <f>$B$8764</f>
        <v/>
      </c>
      <c r="T8958" s="21" t="n">
        <v>0</v>
      </c>
      <c r="U8958" s="21" t="n">
        <v>0</v>
      </c>
      <c r="V8958" s="21" t="n">
        <v>0</v>
      </c>
      <c r="W8958" s="21" t="n">
        <v>0</v>
      </c>
      <c r="X8958" s="21" t="n">
        <v>0</v>
      </c>
      <c r="Y8958" s="21" t="n">
        <v>0</v>
      </c>
      <c r="Z8958" s="19" t="n"/>
    </row>
    <row r="8959">
      <c r="D8959" s="21" t="n">
        <v>0</v>
      </c>
      <c r="E8959" s="21" t="n">
        <v>0</v>
      </c>
      <c r="F8959" s="21" t="n">
        <v>0</v>
      </c>
      <c r="G8959" s="21" t="n">
        <v>0</v>
      </c>
      <c r="H8959" s="21" t="n">
        <v>0</v>
      </c>
      <c r="I8959" s="21" t="n">
        <v>0</v>
      </c>
      <c r="J8959" s="21" t="n">
        <v>0</v>
      </c>
      <c r="K8959" s="21" t="n">
        <v>0</v>
      </c>
      <c r="L8959" s="21" t="n">
        <v>0</v>
      </c>
      <c r="M8959" s="21" t="n">
        <v>0</v>
      </c>
      <c r="N8959" s="21">
        <f>$B$8764</f>
        <v/>
      </c>
      <c r="O8959" s="21">
        <f>$B$8766</f>
        <v/>
      </c>
      <c r="P8959" s="21">
        <f>0</f>
        <v/>
      </c>
      <c r="Q8959" s="21">
        <f>2*$B$8765</f>
        <v/>
      </c>
      <c r="R8959" s="21">
        <f>-$B$8764</f>
        <v/>
      </c>
      <c r="S8959" s="21">
        <f>$B$8766</f>
        <v/>
      </c>
      <c r="T8959" s="21" t="n">
        <v>0</v>
      </c>
      <c r="U8959" s="21" t="n">
        <v>0</v>
      </c>
      <c r="V8959" s="21" t="n">
        <v>0</v>
      </c>
      <c r="W8959" s="21" t="n">
        <v>0</v>
      </c>
      <c r="X8959" s="21" t="n">
        <v>0</v>
      </c>
      <c r="Y8959" s="21" t="n">
        <v>0</v>
      </c>
      <c r="Z8959" s="19" t="n"/>
    </row>
    <row r="8960">
      <c r="D8960" s="21" t="n">
        <v>0</v>
      </c>
      <c r="E8960" s="21" t="n">
        <v>0</v>
      </c>
      <c r="F8960" s="21" t="n">
        <v>0</v>
      </c>
      <c r="G8960" s="21" t="n">
        <v>0</v>
      </c>
      <c r="H8960" s="21" t="n">
        <v>0</v>
      </c>
      <c r="I8960" s="21" t="n">
        <v>0</v>
      </c>
      <c r="J8960" s="21" t="n">
        <v>0</v>
      </c>
      <c r="K8960" s="21" t="n">
        <v>0</v>
      </c>
      <c r="L8960" s="21" t="n">
        <v>0</v>
      </c>
      <c r="M8960" s="21" t="n">
        <v>0</v>
      </c>
      <c r="N8960" s="21" t="n">
        <v>0</v>
      </c>
      <c r="O8960" s="21" t="n">
        <v>0</v>
      </c>
      <c r="P8960" s="21">
        <f>-$B$8763</f>
        <v/>
      </c>
      <c r="Q8960" s="21">
        <f>-$B$8764</f>
        <v/>
      </c>
      <c r="R8960" s="21">
        <f>2*$B$8763+$D$8941</f>
        <v/>
      </c>
      <c r="S8960" s="21">
        <f>0</f>
        <v/>
      </c>
      <c r="T8960" s="21">
        <f>-$B$8763</f>
        <v/>
      </c>
      <c r="U8960" s="21">
        <f>$B$8764</f>
        <v/>
      </c>
      <c r="V8960" s="21" t="n">
        <v>0</v>
      </c>
      <c r="W8960" s="21" t="n">
        <v>0</v>
      </c>
      <c r="X8960" s="21" t="n">
        <v>0</v>
      </c>
      <c r="Y8960" s="21" t="n">
        <v>0</v>
      </c>
      <c r="Z8960" s="19" t="n"/>
    </row>
    <row r="8961">
      <c r="D8961" s="21" t="n">
        <v>0</v>
      </c>
      <c r="E8961" s="21" t="n">
        <v>0</v>
      </c>
      <c r="F8961" s="21" t="n">
        <v>0</v>
      </c>
      <c r="G8961" s="21" t="n">
        <v>0</v>
      </c>
      <c r="H8961" s="21" t="n">
        <v>0</v>
      </c>
      <c r="I8961" s="21" t="n">
        <v>0</v>
      </c>
      <c r="J8961" s="21" t="n">
        <v>0</v>
      </c>
      <c r="K8961" s="21" t="n">
        <v>0</v>
      </c>
      <c r="L8961" s="21" t="n">
        <v>0</v>
      </c>
      <c r="M8961" s="21" t="n">
        <v>0</v>
      </c>
      <c r="N8961" s="21" t="n">
        <v>0</v>
      </c>
      <c r="O8961" s="21" t="n">
        <v>0</v>
      </c>
      <c r="P8961" s="21">
        <f>$B$8764</f>
        <v/>
      </c>
      <c r="Q8961" s="21">
        <f>$B$8766</f>
        <v/>
      </c>
      <c r="R8961" s="21">
        <f>0</f>
        <v/>
      </c>
      <c r="S8961" s="21">
        <f>2*$B$8765</f>
        <v/>
      </c>
      <c r="T8961" s="21">
        <f>-$B$8764</f>
        <v/>
      </c>
      <c r="U8961" s="21">
        <f>$B$8766</f>
        <v/>
      </c>
      <c r="V8961" s="21" t="n">
        <v>0</v>
      </c>
      <c r="W8961" s="21" t="n">
        <v>0</v>
      </c>
      <c r="X8961" s="21" t="n">
        <v>0</v>
      </c>
      <c r="Y8961" s="21" t="n">
        <v>0</v>
      </c>
      <c r="Z8961" s="19" t="n"/>
    </row>
    <row r="8962">
      <c r="D8962" s="21" t="n">
        <v>0</v>
      </c>
      <c r="E8962" s="21" t="n">
        <v>0</v>
      </c>
      <c r="F8962" s="21" t="n">
        <v>0</v>
      </c>
      <c r="G8962" s="21" t="n">
        <v>0</v>
      </c>
      <c r="H8962" s="21" t="n">
        <v>0</v>
      </c>
      <c r="I8962" s="21" t="n">
        <v>0</v>
      </c>
      <c r="J8962" s="21" t="n">
        <v>0</v>
      </c>
      <c r="K8962" s="21" t="n">
        <v>0</v>
      </c>
      <c r="L8962" s="21" t="n">
        <v>0</v>
      </c>
      <c r="M8962" s="21" t="n">
        <v>0</v>
      </c>
      <c r="N8962" s="21" t="n">
        <v>0</v>
      </c>
      <c r="O8962" s="21" t="n">
        <v>0</v>
      </c>
      <c r="P8962" s="21" t="n">
        <v>0</v>
      </c>
      <c r="Q8962" s="21" t="n">
        <v>0</v>
      </c>
      <c r="R8962" s="21">
        <f>-$B$8763</f>
        <v/>
      </c>
      <c r="S8962" s="21">
        <f>-$B$8764</f>
        <v/>
      </c>
      <c r="T8962" s="21">
        <f>2*$B$8763+$D$8942</f>
        <v/>
      </c>
      <c r="U8962" s="21">
        <f>0</f>
        <v/>
      </c>
      <c r="V8962" s="21">
        <f>-$B$8763</f>
        <v/>
      </c>
      <c r="W8962" s="21">
        <f>$B$8764</f>
        <v/>
      </c>
      <c r="X8962" s="21" t="n">
        <v>0</v>
      </c>
      <c r="Y8962" s="21" t="n">
        <v>0</v>
      </c>
      <c r="Z8962" s="19" t="n"/>
    </row>
    <row r="8963">
      <c r="D8963" s="21" t="n">
        <v>0</v>
      </c>
      <c r="E8963" s="21" t="n">
        <v>0</v>
      </c>
      <c r="F8963" s="21" t="n">
        <v>0</v>
      </c>
      <c r="G8963" s="21" t="n">
        <v>0</v>
      </c>
      <c r="H8963" s="21" t="n">
        <v>0</v>
      </c>
      <c r="I8963" s="21" t="n">
        <v>0</v>
      </c>
      <c r="J8963" s="21" t="n">
        <v>0</v>
      </c>
      <c r="K8963" s="21" t="n">
        <v>0</v>
      </c>
      <c r="L8963" s="21" t="n">
        <v>0</v>
      </c>
      <c r="M8963" s="21" t="n">
        <v>0</v>
      </c>
      <c r="N8963" s="21" t="n">
        <v>0</v>
      </c>
      <c r="O8963" s="21" t="n">
        <v>0</v>
      </c>
      <c r="P8963" s="21" t="n">
        <v>0</v>
      </c>
      <c r="Q8963" s="21" t="n">
        <v>0</v>
      </c>
      <c r="R8963" s="21">
        <f>$B$8764</f>
        <v/>
      </c>
      <c r="S8963" s="21">
        <f>$B$8766</f>
        <v/>
      </c>
      <c r="T8963" s="21">
        <f>0</f>
        <v/>
      </c>
      <c r="U8963" s="21">
        <f>2*$B$8765</f>
        <v/>
      </c>
      <c r="V8963" s="21">
        <f>-$B$8764</f>
        <v/>
      </c>
      <c r="W8963" s="21">
        <f>$B$8766</f>
        <v/>
      </c>
      <c r="X8963" s="21" t="n">
        <v>0</v>
      </c>
      <c r="Y8963" s="21" t="n">
        <v>0</v>
      </c>
      <c r="Z8963" s="19" t="n"/>
    </row>
    <row r="8964">
      <c r="D8964" s="21" t="n">
        <v>0</v>
      </c>
      <c r="E8964" s="21" t="n">
        <v>0</v>
      </c>
      <c r="F8964" s="21" t="n">
        <v>0</v>
      </c>
      <c r="G8964" s="21" t="n">
        <v>0</v>
      </c>
      <c r="H8964" s="21" t="n">
        <v>0</v>
      </c>
      <c r="I8964" s="21" t="n">
        <v>0</v>
      </c>
      <c r="J8964" s="21" t="n">
        <v>0</v>
      </c>
      <c r="K8964" s="21" t="n">
        <v>0</v>
      </c>
      <c r="L8964" s="21" t="n">
        <v>0</v>
      </c>
      <c r="M8964" s="21" t="n">
        <v>0</v>
      </c>
      <c r="N8964" s="21" t="n">
        <v>0</v>
      </c>
      <c r="O8964" s="21" t="n">
        <v>0</v>
      </c>
      <c r="P8964" s="21" t="n">
        <v>0</v>
      </c>
      <c r="Q8964" s="21" t="n">
        <v>0</v>
      </c>
      <c r="R8964" s="21" t="n">
        <v>0</v>
      </c>
      <c r="S8964" s="21" t="n">
        <v>0</v>
      </c>
      <c r="T8964" s="21">
        <f>-$B$8763</f>
        <v/>
      </c>
      <c r="U8964" s="21">
        <f>-$B$8764</f>
        <v/>
      </c>
      <c r="V8964" s="21">
        <f>2*$B$8763+$D$8943</f>
        <v/>
      </c>
      <c r="W8964" s="21">
        <f>0</f>
        <v/>
      </c>
      <c r="X8964" s="21">
        <f>-$B$8763</f>
        <v/>
      </c>
      <c r="Y8964" s="21">
        <f>$B$8764</f>
        <v/>
      </c>
      <c r="Z8964" s="19" t="n"/>
    </row>
    <row r="8965">
      <c r="D8965" s="21" t="n">
        <v>0</v>
      </c>
      <c r="E8965" s="21" t="n">
        <v>0</v>
      </c>
      <c r="F8965" s="21" t="n">
        <v>0</v>
      </c>
      <c r="G8965" s="21" t="n">
        <v>0</v>
      </c>
      <c r="H8965" s="21" t="n">
        <v>0</v>
      </c>
      <c r="I8965" s="21" t="n">
        <v>0</v>
      </c>
      <c r="J8965" s="21" t="n">
        <v>0</v>
      </c>
      <c r="K8965" s="21" t="n">
        <v>0</v>
      </c>
      <c r="L8965" s="21" t="n">
        <v>0</v>
      </c>
      <c r="M8965" s="21" t="n">
        <v>0</v>
      </c>
      <c r="N8965" s="21" t="n">
        <v>0</v>
      </c>
      <c r="O8965" s="21" t="n">
        <v>0</v>
      </c>
      <c r="P8965" s="21" t="n">
        <v>0</v>
      </c>
      <c r="Q8965" s="21" t="n">
        <v>0</v>
      </c>
      <c r="R8965" s="21" t="n">
        <v>0</v>
      </c>
      <c r="S8965" s="21" t="n">
        <v>0</v>
      </c>
      <c r="T8965" s="21">
        <f>$B$8764</f>
        <v/>
      </c>
      <c r="U8965" s="21">
        <f>$B$8766</f>
        <v/>
      </c>
      <c r="V8965" s="21">
        <f>0</f>
        <v/>
      </c>
      <c r="W8965" s="21">
        <f>2*$B$8765</f>
        <v/>
      </c>
      <c r="X8965" s="21">
        <f>-$B$8764</f>
        <v/>
      </c>
      <c r="Y8965" s="21">
        <f>$B$8766</f>
        <v/>
      </c>
      <c r="Z8965" s="19" t="n"/>
    </row>
    <row r="8966">
      <c r="D8966" s="21" t="n">
        <v>0</v>
      </c>
      <c r="E8966" s="21" t="n">
        <v>0</v>
      </c>
      <c r="F8966" s="21" t="n">
        <v>0</v>
      </c>
      <c r="G8966" s="21" t="n">
        <v>0</v>
      </c>
      <c r="H8966" s="21" t="n">
        <v>0</v>
      </c>
      <c r="I8966" s="21" t="n">
        <v>0</v>
      </c>
      <c r="J8966" s="21" t="n">
        <v>0</v>
      </c>
      <c r="K8966" s="21" t="n">
        <v>0</v>
      </c>
      <c r="L8966" s="21" t="n">
        <v>0</v>
      </c>
      <c r="M8966" s="21" t="n">
        <v>0</v>
      </c>
      <c r="N8966" s="21" t="n">
        <v>0</v>
      </c>
      <c r="O8966" s="21" t="n">
        <v>0</v>
      </c>
      <c r="P8966" s="21" t="n">
        <v>0</v>
      </c>
      <c r="Q8966" s="21" t="n">
        <v>0</v>
      </c>
      <c r="R8966" s="21" t="n">
        <v>0</v>
      </c>
      <c r="S8966" s="21" t="n">
        <v>0</v>
      </c>
      <c r="T8966" s="21" t="n">
        <v>0</v>
      </c>
      <c r="U8966" s="21" t="n">
        <v>0</v>
      </c>
      <c r="V8966" s="21">
        <f>-$B$8763</f>
        <v/>
      </c>
      <c r="W8966" s="21">
        <f>-$B$8764</f>
        <v/>
      </c>
      <c r="X8966" s="21">
        <f>$B$8763+$D$8944</f>
        <v/>
      </c>
      <c r="Y8966" s="21">
        <f>-$B$8764</f>
        <v/>
      </c>
      <c r="Z8966" s="19" t="n"/>
    </row>
    <row r="8967">
      <c r="D8967" s="21" t="n">
        <v>0</v>
      </c>
      <c r="E8967" s="21" t="n">
        <v>0</v>
      </c>
      <c r="F8967" s="21" t="n">
        <v>0</v>
      </c>
      <c r="G8967" s="21" t="n">
        <v>0</v>
      </c>
      <c r="H8967" s="21" t="n">
        <v>0</v>
      </c>
      <c r="I8967" s="21" t="n">
        <v>0</v>
      </c>
      <c r="J8967" s="21" t="n">
        <v>0</v>
      </c>
      <c r="K8967" s="21" t="n">
        <v>0</v>
      </c>
      <c r="L8967" s="21" t="n">
        <v>0</v>
      </c>
      <c r="M8967" s="21" t="n">
        <v>0</v>
      </c>
      <c r="N8967" s="21" t="n">
        <v>0</v>
      </c>
      <c r="O8967" s="21" t="n">
        <v>0</v>
      </c>
      <c r="P8967" s="21" t="n">
        <v>0</v>
      </c>
      <c r="Q8967" s="21" t="n">
        <v>0</v>
      </c>
      <c r="R8967" s="21" t="n">
        <v>0</v>
      </c>
      <c r="S8967" s="21" t="n">
        <v>0</v>
      </c>
      <c r="T8967" s="21" t="n">
        <v>0</v>
      </c>
      <c r="U8967" s="21" t="n">
        <v>0</v>
      </c>
      <c r="V8967" s="21">
        <f>$B$8764</f>
        <v/>
      </c>
      <c r="W8967" s="21">
        <f>$B$8766</f>
        <v/>
      </c>
      <c r="X8967" s="21">
        <f>-$B$8764</f>
        <v/>
      </c>
      <c r="Y8967" s="21">
        <f>$B$8765</f>
        <v/>
      </c>
      <c r="Z8967" s="19" t="n"/>
    </row>
    <row r="8969">
      <c r="A8969" s="8" t="inlineStr">
        <is>
          <t>gen 5</t>
        </is>
      </c>
    </row>
    <row r="8970">
      <c r="D8970" s="19">
        <f>IF(ABS(IF(ABS($E$8934)&gt;0.000000001,$E$8934,0.000000001))=0,0,IF($E$8778&lt;=$B$8772,0,IF(ABS(IF(ABS($E$8934)&gt;0.000000001,$E$8934,0.000000001))&gt;=8*$B$8774,$H$8778,0.5*$H$8778*(ABS(IF(ABS($E$8934)&gt;0.000000001,$E$8934,0.000000001))/$B$8774)^(1/3)))/ABS(IF(ABS($E$8934)&gt;0.000000001,$E$8934,0.000000001))*$I$8778)</f>
        <v/>
      </c>
      <c r="E8970" s="19">
        <f>0.5*$E$8934+0.5*$Z$8982</f>
        <v/>
      </c>
      <c r="F8970" s="19">
        <f>$Z$8983</f>
        <v/>
      </c>
    </row>
    <row r="8971">
      <c r="D8971" s="19">
        <f>IF(ABS(IF(ABS($E$8935)&gt;0.000000001,$E$8935,0.000000001))=0,0,IF($E$8779&lt;=$B$8772,0,IF(ABS(IF(ABS($E$8935)&gt;0.000000001,$E$8935,0.000000001))&gt;=8*$B$8774,$H$8779,0.5*$H$8779*(ABS(IF(ABS($E$8935)&gt;0.000000001,$E$8935,0.000000001))/$B$8774)^(1/3)))/ABS(IF(ABS($E$8935)&gt;0.000000001,$E$8935,0.000000001))*$I$8779)</f>
        <v/>
      </c>
      <c r="E8971" s="19">
        <f>0.5*$E$8935+0.5*$Z$8984</f>
        <v/>
      </c>
      <c r="F8971" s="19">
        <f>$Z$8985</f>
        <v/>
      </c>
    </row>
    <row r="8972">
      <c r="D8972" s="19">
        <f>IF(ABS(IF(ABS($E$8936)&gt;0.000000001,$E$8936,0.000000001))=0,0,IF($E$8780&lt;=$B$8772,0,IF(ABS(IF(ABS($E$8936)&gt;0.000000001,$E$8936,0.000000001))&gt;=8*$B$8774,$H$8780,0.5*$H$8780*(ABS(IF(ABS($E$8936)&gt;0.000000001,$E$8936,0.000000001))/$B$8774)^(1/3)))/ABS(IF(ABS($E$8936)&gt;0.000000001,$E$8936,0.000000001))*$I$8780)</f>
        <v/>
      </c>
      <c r="E8972" s="19">
        <f>0.5*$E$8936+0.5*$Z$8986</f>
        <v/>
      </c>
      <c r="F8972" s="19">
        <f>$Z$8987</f>
        <v/>
      </c>
    </row>
    <row r="8973">
      <c r="D8973" s="19">
        <f>IF(ABS(IF(ABS($E$8937)&gt;0.000000001,$E$8937,0.000000001))=0,0,IF($E$8781&lt;=$B$8772,0,IF(ABS(IF(ABS($E$8937)&gt;0.000000001,$E$8937,0.000000001))&gt;=8*$B$8774,$H$8781,0.5*$H$8781*(ABS(IF(ABS($E$8937)&gt;0.000000001,$E$8937,0.000000001))/$B$8774)^(1/3)))/ABS(IF(ABS($E$8937)&gt;0.000000001,$E$8937,0.000000001))*$I$8781)</f>
        <v/>
      </c>
      <c r="E8973" s="19">
        <f>0.5*$E$8937+0.5*$Z$8988</f>
        <v/>
      </c>
      <c r="F8973" s="19">
        <f>$Z$8989</f>
        <v/>
      </c>
    </row>
    <row r="8974">
      <c r="D8974" s="19">
        <f>IF(ABS(IF(ABS($E$8938)&gt;0.000000001,$E$8938,0.000000001))=0,0,IF($E$8782&lt;=$B$8772,0,IF(ABS(IF(ABS($E$8938)&gt;0.000000001,$E$8938,0.000000001))&gt;=8*$B$8774,$H$8782,0.5*$H$8782*(ABS(IF(ABS($E$8938)&gt;0.000000001,$E$8938,0.000000001))/$B$8774)^(1/3)))/ABS(IF(ABS($E$8938)&gt;0.000000001,$E$8938,0.000000001))*$I$8782)</f>
        <v/>
      </c>
      <c r="E8974" s="19">
        <f>0.5*$E$8938+0.5*$Z$8990</f>
        <v/>
      </c>
      <c r="F8974" s="19">
        <f>$Z$8991</f>
        <v/>
      </c>
    </row>
    <row r="8975">
      <c r="D8975" s="19">
        <f>IF(ABS(IF(ABS($E$8939)&gt;0.000000001,$E$8939,0.000000001))=0,0,IF($E$8783&lt;=$B$8772,0,IF(ABS(IF(ABS($E$8939)&gt;0.000000001,$E$8939,0.000000001))&gt;=8*$B$8774,$H$8783,0.5*$H$8783*(ABS(IF(ABS($E$8939)&gt;0.000000001,$E$8939,0.000000001))/$B$8774)^(1/3)))/ABS(IF(ABS($E$8939)&gt;0.000000001,$E$8939,0.000000001))*$I$8783)</f>
        <v/>
      </c>
      <c r="E8975" s="19">
        <f>0.5*$E$8939+0.5*$Z$8992</f>
        <v/>
      </c>
      <c r="F8975" s="19">
        <f>$Z$8993</f>
        <v/>
      </c>
    </row>
    <row r="8976">
      <c r="D8976" s="19">
        <f>IF(ABS(IF(ABS($E$8940)&gt;0.000000001,$E$8940,0.000000001))=0,0,IF($E$8784&lt;=$B$8772,0,IF(ABS(IF(ABS($E$8940)&gt;0.000000001,$E$8940,0.000000001))&gt;=8*$B$8774,$H$8784,0.5*$H$8784*(ABS(IF(ABS($E$8940)&gt;0.000000001,$E$8940,0.000000001))/$B$8774)^(1/3)))/ABS(IF(ABS($E$8940)&gt;0.000000001,$E$8940,0.000000001))*$I$8784)</f>
        <v/>
      </c>
      <c r="E8976" s="19">
        <f>0.5*$E$8940+0.5*$Z$8994</f>
        <v/>
      </c>
      <c r="F8976" s="19">
        <f>$Z$8995</f>
        <v/>
      </c>
    </row>
    <row r="8977">
      <c r="D8977" s="19">
        <f>IF(ABS(IF(ABS($E$8941)&gt;0.000000001,$E$8941,0.000000001))=0,0,IF($E$8785&lt;=$B$8772,0,IF(ABS(IF(ABS($E$8941)&gt;0.000000001,$E$8941,0.000000001))&gt;=8*$B$8774,$H$8785,0.5*$H$8785*(ABS(IF(ABS($E$8941)&gt;0.000000001,$E$8941,0.000000001))/$B$8774)^(1/3)))/ABS(IF(ABS($E$8941)&gt;0.000000001,$E$8941,0.000000001))*$I$8785)</f>
        <v/>
      </c>
      <c r="E8977" s="19">
        <f>0.5*$E$8941+0.5*$Z$8996</f>
        <v/>
      </c>
      <c r="F8977" s="19">
        <f>$Z$8997</f>
        <v/>
      </c>
    </row>
    <row r="8978">
      <c r="D8978" s="19">
        <f>IF(ABS(IF(ABS($E$8942)&gt;0.000000001,$E$8942,0.000000001))=0,0,IF($E$8786&lt;=$B$8772,0,IF(ABS(IF(ABS($E$8942)&gt;0.000000001,$E$8942,0.000000001))&gt;=8*$B$8774,$H$8786,0.5*$H$8786*(ABS(IF(ABS($E$8942)&gt;0.000000001,$E$8942,0.000000001))/$B$8774)^(1/3)))/ABS(IF(ABS($E$8942)&gt;0.000000001,$E$8942,0.000000001))*$I$8786)</f>
        <v/>
      </c>
      <c r="E8978" s="19">
        <f>0.5*$E$8942+0.5*$Z$8998</f>
        <v/>
      </c>
      <c r="F8978" s="19">
        <f>$Z$8999</f>
        <v/>
      </c>
    </row>
    <row r="8979">
      <c r="D8979" s="19">
        <f>IF(ABS(IF(ABS($E$8943)&gt;0.000000001,$E$8943,0.000000001))=0,0,IF($E$8787&lt;=$B$8772,0,IF(ABS(IF(ABS($E$8943)&gt;0.000000001,$E$8943,0.000000001))&gt;=8*$B$8774,$H$8787,0.5*$H$8787*(ABS(IF(ABS($E$8943)&gt;0.000000001,$E$8943,0.000000001))/$B$8774)^(1/3)))/ABS(IF(ABS($E$8943)&gt;0.000000001,$E$8943,0.000000001))*$I$8787)</f>
        <v/>
      </c>
      <c r="E8979" s="19">
        <f>0.5*$E$8943+0.5*$Z$9000</f>
        <v/>
      </c>
      <c r="F8979" s="19">
        <f>$Z$9001</f>
        <v/>
      </c>
    </row>
    <row r="8980">
      <c r="D8980" s="19">
        <f>IF(ABS(IF(ABS($E$8944)&gt;0.000000001,$E$8944,0.000000001))=0,0,IF($E$8788&lt;=$B$8772,0,IF(ABS(IF(ABS($E$8944)&gt;0.000000001,$E$8944,0.000000001))&gt;=8*$B$8774,$H$8788,0.5*$H$8788*(ABS(IF(ABS($E$8944)&gt;0.000000001,$E$8944,0.000000001))/$B$8774)^(1/3)))/ABS(IF(ABS($E$8944)&gt;0.000000001,$E$8944,0.000000001))*$I$8788)</f>
        <v/>
      </c>
      <c r="E8980" s="19">
        <f>0.5*$E$8944+0.5*$Z$9002</f>
        <v/>
      </c>
      <c r="F8980" s="19">
        <f>$Z$9003</f>
        <v/>
      </c>
    </row>
    <row r="8982">
      <c r="D8982" s="21">
        <f>$B$8763+$D$8970</f>
        <v/>
      </c>
      <c r="E8982" s="21">
        <f>$B$8764</f>
        <v/>
      </c>
      <c r="F8982" s="21">
        <f>-$B$8763</f>
        <v/>
      </c>
      <c r="G8982" s="21">
        <f>$B$8764</f>
        <v/>
      </c>
      <c r="H8982" s="21" t="n">
        <v>0</v>
      </c>
      <c r="I8982" s="21" t="n">
        <v>0</v>
      </c>
      <c r="J8982" s="21" t="n">
        <v>0</v>
      </c>
      <c r="K8982" s="21" t="n">
        <v>0</v>
      </c>
      <c r="L8982" s="21" t="n">
        <v>0</v>
      </c>
      <c r="M8982" s="21" t="n">
        <v>0</v>
      </c>
      <c r="N8982" s="21" t="n">
        <v>0</v>
      </c>
      <c r="O8982" s="21" t="n">
        <v>0</v>
      </c>
      <c r="P8982" s="21" t="n">
        <v>0</v>
      </c>
      <c r="Q8982" s="21" t="n">
        <v>0</v>
      </c>
      <c r="R8982" s="21" t="n">
        <v>0</v>
      </c>
      <c r="S8982" s="21" t="n">
        <v>0</v>
      </c>
      <c r="T8982" s="21" t="n">
        <v>0</v>
      </c>
      <c r="U8982" s="21" t="n">
        <v>0</v>
      </c>
      <c r="V8982" s="21" t="n">
        <v>0</v>
      </c>
      <c r="W8982" s="21" t="n">
        <v>0</v>
      </c>
      <c r="X8982" s="21" t="n">
        <v>0</v>
      </c>
      <c r="Y8982" s="21" t="n">
        <v>0</v>
      </c>
      <c r="Z8982" s="19">
        <f t="array" ref="Z8982:Z9003">MMULT(MINVERSE($D$8982:$Y$9003),$D$8790:$D$8811)</f>
        <v/>
      </c>
    </row>
    <row r="8983">
      <c r="D8983" s="21">
        <f>$B$8764</f>
        <v/>
      </c>
      <c r="E8983" s="21">
        <f>$B$8765</f>
        <v/>
      </c>
      <c r="F8983" s="21">
        <f>-$B$8764</f>
        <v/>
      </c>
      <c r="G8983" s="21">
        <f>$B$8766</f>
        <v/>
      </c>
      <c r="H8983" s="21" t="n">
        <v>0</v>
      </c>
      <c r="I8983" s="21" t="n">
        <v>0</v>
      </c>
      <c r="J8983" s="21" t="n">
        <v>0</v>
      </c>
      <c r="K8983" s="21" t="n">
        <v>0</v>
      </c>
      <c r="L8983" s="21" t="n">
        <v>0</v>
      </c>
      <c r="M8983" s="21" t="n">
        <v>0</v>
      </c>
      <c r="N8983" s="21" t="n">
        <v>0</v>
      </c>
      <c r="O8983" s="21" t="n">
        <v>0</v>
      </c>
      <c r="P8983" s="21" t="n">
        <v>0</v>
      </c>
      <c r="Q8983" s="21" t="n">
        <v>0</v>
      </c>
      <c r="R8983" s="21" t="n">
        <v>0</v>
      </c>
      <c r="S8983" s="21" t="n">
        <v>0</v>
      </c>
      <c r="T8983" s="21" t="n">
        <v>0</v>
      </c>
      <c r="U8983" s="21" t="n">
        <v>0</v>
      </c>
      <c r="V8983" s="21" t="n">
        <v>0</v>
      </c>
      <c r="W8983" s="21" t="n">
        <v>0</v>
      </c>
      <c r="X8983" s="21" t="n">
        <v>0</v>
      </c>
      <c r="Y8983" s="21" t="n">
        <v>0</v>
      </c>
      <c r="Z8983" s="19" t="n"/>
    </row>
    <row r="8984">
      <c r="D8984" s="21">
        <f>-$B$8763</f>
        <v/>
      </c>
      <c r="E8984" s="21">
        <f>-$B$8764</f>
        <v/>
      </c>
      <c r="F8984" s="21">
        <f>2*$B$8763+$D$8971</f>
        <v/>
      </c>
      <c r="G8984" s="21">
        <f>0</f>
        <v/>
      </c>
      <c r="H8984" s="21">
        <f>-$B$8763</f>
        <v/>
      </c>
      <c r="I8984" s="21">
        <f>$B$8764</f>
        <v/>
      </c>
      <c r="J8984" s="21" t="n">
        <v>0</v>
      </c>
      <c r="K8984" s="21" t="n">
        <v>0</v>
      </c>
      <c r="L8984" s="21" t="n">
        <v>0</v>
      </c>
      <c r="M8984" s="21" t="n">
        <v>0</v>
      </c>
      <c r="N8984" s="21" t="n">
        <v>0</v>
      </c>
      <c r="O8984" s="21" t="n">
        <v>0</v>
      </c>
      <c r="P8984" s="21" t="n">
        <v>0</v>
      </c>
      <c r="Q8984" s="21" t="n">
        <v>0</v>
      </c>
      <c r="R8984" s="21" t="n">
        <v>0</v>
      </c>
      <c r="S8984" s="21" t="n">
        <v>0</v>
      </c>
      <c r="T8984" s="21" t="n">
        <v>0</v>
      </c>
      <c r="U8984" s="21" t="n">
        <v>0</v>
      </c>
      <c r="V8984" s="21" t="n">
        <v>0</v>
      </c>
      <c r="W8984" s="21" t="n">
        <v>0</v>
      </c>
      <c r="X8984" s="21" t="n">
        <v>0</v>
      </c>
      <c r="Y8984" s="21" t="n">
        <v>0</v>
      </c>
      <c r="Z8984" s="19" t="n"/>
    </row>
    <row r="8985">
      <c r="D8985" s="21">
        <f>$B$8764</f>
        <v/>
      </c>
      <c r="E8985" s="21">
        <f>$B$8766</f>
        <v/>
      </c>
      <c r="F8985" s="21">
        <f>0</f>
        <v/>
      </c>
      <c r="G8985" s="21">
        <f>2*$B$8765</f>
        <v/>
      </c>
      <c r="H8985" s="21">
        <f>-$B$8764</f>
        <v/>
      </c>
      <c r="I8985" s="21">
        <f>$B$8766</f>
        <v/>
      </c>
      <c r="J8985" s="21" t="n">
        <v>0</v>
      </c>
      <c r="K8985" s="21" t="n">
        <v>0</v>
      </c>
      <c r="L8985" s="21" t="n">
        <v>0</v>
      </c>
      <c r="M8985" s="21" t="n">
        <v>0</v>
      </c>
      <c r="N8985" s="21" t="n">
        <v>0</v>
      </c>
      <c r="O8985" s="21" t="n">
        <v>0</v>
      </c>
      <c r="P8985" s="21" t="n">
        <v>0</v>
      </c>
      <c r="Q8985" s="21" t="n">
        <v>0</v>
      </c>
      <c r="R8985" s="21" t="n">
        <v>0</v>
      </c>
      <c r="S8985" s="21" t="n">
        <v>0</v>
      </c>
      <c r="T8985" s="21" t="n">
        <v>0</v>
      </c>
      <c r="U8985" s="21" t="n">
        <v>0</v>
      </c>
      <c r="V8985" s="21" t="n">
        <v>0</v>
      </c>
      <c r="W8985" s="21" t="n">
        <v>0</v>
      </c>
      <c r="X8985" s="21" t="n">
        <v>0</v>
      </c>
      <c r="Y8985" s="21" t="n">
        <v>0</v>
      </c>
      <c r="Z8985" s="19" t="n"/>
    </row>
    <row r="8986">
      <c r="D8986" s="21" t="n">
        <v>0</v>
      </c>
      <c r="E8986" s="21" t="n">
        <v>0</v>
      </c>
      <c r="F8986" s="21">
        <f>-$B$8763</f>
        <v/>
      </c>
      <c r="G8986" s="21">
        <f>-$B$8764</f>
        <v/>
      </c>
      <c r="H8986" s="21">
        <f>2*$B$8763+$D$8972</f>
        <v/>
      </c>
      <c r="I8986" s="21">
        <f>0</f>
        <v/>
      </c>
      <c r="J8986" s="21">
        <f>-$B$8763</f>
        <v/>
      </c>
      <c r="K8986" s="21">
        <f>$B$8764</f>
        <v/>
      </c>
      <c r="L8986" s="21" t="n">
        <v>0</v>
      </c>
      <c r="M8986" s="21" t="n">
        <v>0</v>
      </c>
      <c r="N8986" s="21" t="n">
        <v>0</v>
      </c>
      <c r="O8986" s="21" t="n">
        <v>0</v>
      </c>
      <c r="P8986" s="21" t="n">
        <v>0</v>
      </c>
      <c r="Q8986" s="21" t="n">
        <v>0</v>
      </c>
      <c r="R8986" s="21" t="n">
        <v>0</v>
      </c>
      <c r="S8986" s="21" t="n">
        <v>0</v>
      </c>
      <c r="T8986" s="21" t="n">
        <v>0</v>
      </c>
      <c r="U8986" s="21" t="n">
        <v>0</v>
      </c>
      <c r="V8986" s="21" t="n">
        <v>0</v>
      </c>
      <c r="W8986" s="21" t="n">
        <v>0</v>
      </c>
      <c r="X8986" s="21" t="n">
        <v>0</v>
      </c>
      <c r="Y8986" s="21" t="n">
        <v>0</v>
      </c>
      <c r="Z8986" s="19" t="n"/>
    </row>
    <row r="8987">
      <c r="D8987" s="21" t="n">
        <v>0</v>
      </c>
      <c r="E8987" s="21" t="n">
        <v>0</v>
      </c>
      <c r="F8987" s="21">
        <f>$B$8764</f>
        <v/>
      </c>
      <c r="G8987" s="21">
        <f>$B$8766</f>
        <v/>
      </c>
      <c r="H8987" s="21">
        <f>0</f>
        <v/>
      </c>
      <c r="I8987" s="21">
        <f>2*$B$8765</f>
        <v/>
      </c>
      <c r="J8987" s="21">
        <f>-$B$8764</f>
        <v/>
      </c>
      <c r="K8987" s="21">
        <f>$B$8766</f>
        <v/>
      </c>
      <c r="L8987" s="21" t="n">
        <v>0</v>
      </c>
      <c r="M8987" s="21" t="n">
        <v>0</v>
      </c>
      <c r="N8987" s="21" t="n">
        <v>0</v>
      </c>
      <c r="O8987" s="21" t="n">
        <v>0</v>
      </c>
      <c r="P8987" s="21" t="n">
        <v>0</v>
      </c>
      <c r="Q8987" s="21" t="n">
        <v>0</v>
      </c>
      <c r="R8987" s="21" t="n">
        <v>0</v>
      </c>
      <c r="S8987" s="21" t="n">
        <v>0</v>
      </c>
      <c r="T8987" s="21" t="n">
        <v>0</v>
      </c>
      <c r="U8987" s="21" t="n">
        <v>0</v>
      </c>
      <c r="V8987" s="21" t="n">
        <v>0</v>
      </c>
      <c r="W8987" s="21" t="n">
        <v>0</v>
      </c>
      <c r="X8987" s="21" t="n">
        <v>0</v>
      </c>
      <c r="Y8987" s="21" t="n">
        <v>0</v>
      </c>
      <c r="Z8987" s="19" t="n"/>
    </row>
    <row r="8988">
      <c r="D8988" s="21" t="n">
        <v>0</v>
      </c>
      <c r="E8988" s="21" t="n">
        <v>0</v>
      </c>
      <c r="F8988" s="21" t="n">
        <v>0</v>
      </c>
      <c r="G8988" s="21" t="n">
        <v>0</v>
      </c>
      <c r="H8988" s="21">
        <f>-$B$8763</f>
        <v/>
      </c>
      <c r="I8988" s="21">
        <f>-$B$8764</f>
        <v/>
      </c>
      <c r="J8988" s="21">
        <f>2*$B$8763+$D$8973</f>
        <v/>
      </c>
      <c r="K8988" s="21">
        <f>0</f>
        <v/>
      </c>
      <c r="L8988" s="21">
        <f>-$B$8763</f>
        <v/>
      </c>
      <c r="M8988" s="21">
        <f>$B$8764</f>
        <v/>
      </c>
      <c r="N8988" s="21" t="n">
        <v>0</v>
      </c>
      <c r="O8988" s="21" t="n">
        <v>0</v>
      </c>
      <c r="P8988" s="21" t="n">
        <v>0</v>
      </c>
      <c r="Q8988" s="21" t="n">
        <v>0</v>
      </c>
      <c r="R8988" s="21" t="n">
        <v>0</v>
      </c>
      <c r="S8988" s="21" t="n">
        <v>0</v>
      </c>
      <c r="T8988" s="21" t="n">
        <v>0</v>
      </c>
      <c r="U8988" s="21" t="n">
        <v>0</v>
      </c>
      <c r="V8988" s="21" t="n">
        <v>0</v>
      </c>
      <c r="W8988" s="21" t="n">
        <v>0</v>
      </c>
      <c r="X8988" s="21" t="n">
        <v>0</v>
      </c>
      <c r="Y8988" s="21" t="n">
        <v>0</v>
      </c>
      <c r="Z8988" s="19" t="n"/>
    </row>
    <row r="8989">
      <c r="D8989" s="21" t="n">
        <v>0</v>
      </c>
      <c r="E8989" s="21" t="n">
        <v>0</v>
      </c>
      <c r="F8989" s="21" t="n">
        <v>0</v>
      </c>
      <c r="G8989" s="21" t="n">
        <v>0</v>
      </c>
      <c r="H8989" s="21">
        <f>$B$8764</f>
        <v/>
      </c>
      <c r="I8989" s="21">
        <f>$B$8766</f>
        <v/>
      </c>
      <c r="J8989" s="21">
        <f>0</f>
        <v/>
      </c>
      <c r="K8989" s="21">
        <f>2*$B$8765</f>
        <v/>
      </c>
      <c r="L8989" s="21">
        <f>-$B$8764</f>
        <v/>
      </c>
      <c r="M8989" s="21">
        <f>$B$8766</f>
        <v/>
      </c>
      <c r="N8989" s="21" t="n">
        <v>0</v>
      </c>
      <c r="O8989" s="21" t="n">
        <v>0</v>
      </c>
      <c r="P8989" s="21" t="n">
        <v>0</v>
      </c>
      <c r="Q8989" s="21" t="n">
        <v>0</v>
      </c>
      <c r="R8989" s="21" t="n">
        <v>0</v>
      </c>
      <c r="S8989" s="21" t="n">
        <v>0</v>
      </c>
      <c r="T8989" s="21" t="n">
        <v>0</v>
      </c>
      <c r="U8989" s="21" t="n">
        <v>0</v>
      </c>
      <c r="V8989" s="21" t="n">
        <v>0</v>
      </c>
      <c r="W8989" s="21" t="n">
        <v>0</v>
      </c>
      <c r="X8989" s="21" t="n">
        <v>0</v>
      </c>
      <c r="Y8989" s="21" t="n">
        <v>0</v>
      </c>
      <c r="Z8989" s="19" t="n"/>
    </row>
    <row r="8990">
      <c r="D8990" s="21" t="n">
        <v>0</v>
      </c>
      <c r="E8990" s="21" t="n">
        <v>0</v>
      </c>
      <c r="F8990" s="21" t="n">
        <v>0</v>
      </c>
      <c r="G8990" s="21" t="n">
        <v>0</v>
      </c>
      <c r="H8990" s="21" t="n">
        <v>0</v>
      </c>
      <c r="I8990" s="21" t="n">
        <v>0</v>
      </c>
      <c r="J8990" s="21">
        <f>-$B$8763</f>
        <v/>
      </c>
      <c r="K8990" s="21">
        <f>-$B$8764</f>
        <v/>
      </c>
      <c r="L8990" s="21">
        <f>2*$B$8763+$D$8974</f>
        <v/>
      </c>
      <c r="M8990" s="21">
        <f>0</f>
        <v/>
      </c>
      <c r="N8990" s="21">
        <f>-$B$8763</f>
        <v/>
      </c>
      <c r="O8990" s="21">
        <f>$B$8764</f>
        <v/>
      </c>
      <c r="P8990" s="21" t="n">
        <v>0</v>
      </c>
      <c r="Q8990" s="21" t="n">
        <v>0</v>
      </c>
      <c r="R8990" s="21" t="n">
        <v>0</v>
      </c>
      <c r="S8990" s="21" t="n">
        <v>0</v>
      </c>
      <c r="T8990" s="21" t="n">
        <v>0</v>
      </c>
      <c r="U8990" s="21" t="n">
        <v>0</v>
      </c>
      <c r="V8990" s="21" t="n">
        <v>0</v>
      </c>
      <c r="W8990" s="21" t="n">
        <v>0</v>
      </c>
      <c r="X8990" s="21" t="n">
        <v>0</v>
      </c>
      <c r="Y8990" s="21" t="n">
        <v>0</v>
      </c>
      <c r="Z8990" s="19" t="n"/>
    </row>
    <row r="8991">
      <c r="D8991" s="21" t="n">
        <v>0</v>
      </c>
      <c r="E8991" s="21" t="n">
        <v>0</v>
      </c>
      <c r="F8991" s="21" t="n">
        <v>0</v>
      </c>
      <c r="G8991" s="21" t="n">
        <v>0</v>
      </c>
      <c r="H8991" s="21" t="n">
        <v>0</v>
      </c>
      <c r="I8991" s="21" t="n">
        <v>0</v>
      </c>
      <c r="J8991" s="21">
        <f>$B$8764</f>
        <v/>
      </c>
      <c r="K8991" s="21">
        <f>$B$8766</f>
        <v/>
      </c>
      <c r="L8991" s="21">
        <f>0</f>
        <v/>
      </c>
      <c r="M8991" s="21">
        <f>2*$B$8765</f>
        <v/>
      </c>
      <c r="N8991" s="21">
        <f>-$B$8764</f>
        <v/>
      </c>
      <c r="O8991" s="21">
        <f>$B$8766</f>
        <v/>
      </c>
      <c r="P8991" s="21" t="n">
        <v>0</v>
      </c>
      <c r="Q8991" s="21" t="n">
        <v>0</v>
      </c>
      <c r="R8991" s="21" t="n">
        <v>0</v>
      </c>
      <c r="S8991" s="21" t="n">
        <v>0</v>
      </c>
      <c r="T8991" s="21" t="n">
        <v>0</v>
      </c>
      <c r="U8991" s="21" t="n">
        <v>0</v>
      </c>
      <c r="V8991" s="21" t="n">
        <v>0</v>
      </c>
      <c r="W8991" s="21" t="n">
        <v>0</v>
      </c>
      <c r="X8991" s="21" t="n">
        <v>0</v>
      </c>
      <c r="Y8991" s="21" t="n">
        <v>0</v>
      </c>
      <c r="Z8991" s="19" t="n"/>
    </row>
    <row r="8992">
      <c r="D8992" s="21" t="n">
        <v>0</v>
      </c>
      <c r="E8992" s="21" t="n">
        <v>0</v>
      </c>
      <c r="F8992" s="21" t="n">
        <v>0</v>
      </c>
      <c r="G8992" s="21" t="n">
        <v>0</v>
      </c>
      <c r="H8992" s="21" t="n">
        <v>0</v>
      </c>
      <c r="I8992" s="21" t="n">
        <v>0</v>
      </c>
      <c r="J8992" s="21" t="n">
        <v>0</v>
      </c>
      <c r="K8992" s="21" t="n">
        <v>0</v>
      </c>
      <c r="L8992" s="21">
        <f>-$B$8763</f>
        <v/>
      </c>
      <c r="M8992" s="21">
        <f>-$B$8764</f>
        <v/>
      </c>
      <c r="N8992" s="21">
        <f>2*$B$8763+$D$8975</f>
        <v/>
      </c>
      <c r="O8992" s="21">
        <f>0</f>
        <v/>
      </c>
      <c r="P8992" s="21">
        <f>-$B$8763</f>
        <v/>
      </c>
      <c r="Q8992" s="21">
        <f>$B$8764</f>
        <v/>
      </c>
      <c r="R8992" s="21" t="n">
        <v>0</v>
      </c>
      <c r="S8992" s="21" t="n">
        <v>0</v>
      </c>
      <c r="T8992" s="21" t="n">
        <v>0</v>
      </c>
      <c r="U8992" s="21" t="n">
        <v>0</v>
      </c>
      <c r="V8992" s="21" t="n">
        <v>0</v>
      </c>
      <c r="W8992" s="21" t="n">
        <v>0</v>
      </c>
      <c r="X8992" s="21" t="n">
        <v>0</v>
      </c>
      <c r="Y8992" s="21" t="n">
        <v>0</v>
      </c>
      <c r="Z8992" s="19" t="n"/>
    </row>
    <row r="8993">
      <c r="D8993" s="21" t="n">
        <v>0</v>
      </c>
      <c r="E8993" s="21" t="n">
        <v>0</v>
      </c>
      <c r="F8993" s="21" t="n">
        <v>0</v>
      </c>
      <c r="G8993" s="21" t="n">
        <v>0</v>
      </c>
      <c r="H8993" s="21" t="n">
        <v>0</v>
      </c>
      <c r="I8993" s="21" t="n">
        <v>0</v>
      </c>
      <c r="J8993" s="21" t="n">
        <v>0</v>
      </c>
      <c r="K8993" s="21" t="n">
        <v>0</v>
      </c>
      <c r="L8993" s="21">
        <f>$B$8764</f>
        <v/>
      </c>
      <c r="M8993" s="21">
        <f>$B$8766</f>
        <v/>
      </c>
      <c r="N8993" s="21">
        <f>0</f>
        <v/>
      </c>
      <c r="O8993" s="21">
        <f>2*$B$8765</f>
        <v/>
      </c>
      <c r="P8993" s="21">
        <f>-$B$8764</f>
        <v/>
      </c>
      <c r="Q8993" s="21">
        <f>$B$8766</f>
        <v/>
      </c>
      <c r="R8993" s="21" t="n">
        <v>0</v>
      </c>
      <c r="S8993" s="21" t="n">
        <v>0</v>
      </c>
      <c r="T8993" s="21" t="n">
        <v>0</v>
      </c>
      <c r="U8993" s="21" t="n">
        <v>0</v>
      </c>
      <c r="V8993" s="21" t="n">
        <v>0</v>
      </c>
      <c r="W8993" s="21" t="n">
        <v>0</v>
      </c>
      <c r="X8993" s="21" t="n">
        <v>0</v>
      </c>
      <c r="Y8993" s="21" t="n">
        <v>0</v>
      </c>
      <c r="Z8993" s="19" t="n"/>
    </row>
    <row r="8994">
      <c r="D8994" s="21" t="n">
        <v>0</v>
      </c>
      <c r="E8994" s="21" t="n">
        <v>0</v>
      </c>
      <c r="F8994" s="21" t="n">
        <v>0</v>
      </c>
      <c r="G8994" s="21" t="n">
        <v>0</v>
      </c>
      <c r="H8994" s="21" t="n">
        <v>0</v>
      </c>
      <c r="I8994" s="21" t="n">
        <v>0</v>
      </c>
      <c r="J8994" s="21" t="n">
        <v>0</v>
      </c>
      <c r="K8994" s="21" t="n">
        <v>0</v>
      </c>
      <c r="L8994" s="21" t="n">
        <v>0</v>
      </c>
      <c r="M8994" s="21" t="n">
        <v>0</v>
      </c>
      <c r="N8994" s="21">
        <f>-$B$8763</f>
        <v/>
      </c>
      <c r="O8994" s="21">
        <f>-$B$8764</f>
        <v/>
      </c>
      <c r="P8994" s="21">
        <f>2*$B$8763+$D$8976</f>
        <v/>
      </c>
      <c r="Q8994" s="21">
        <f>0</f>
        <v/>
      </c>
      <c r="R8994" s="21">
        <f>-$B$8763</f>
        <v/>
      </c>
      <c r="S8994" s="21">
        <f>$B$8764</f>
        <v/>
      </c>
      <c r="T8994" s="21" t="n">
        <v>0</v>
      </c>
      <c r="U8994" s="21" t="n">
        <v>0</v>
      </c>
      <c r="V8994" s="21" t="n">
        <v>0</v>
      </c>
      <c r="W8994" s="21" t="n">
        <v>0</v>
      </c>
      <c r="X8994" s="21" t="n">
        <v>0</v>
      </c>
      <c r="Y8994" s="21" t="n">
        <v>0</v>
      </c>
      <c r="Z8994" s="19" t="n"/>
    </row>
    <row r="8995">
      <c r="D8995" s="21" t="n">
        <v>0</v>
      </c>
      <c r="E8995" s="21" t="n">
        <v>0</v>
      </c>
      <c r="F8995" s="21" t="n">
        <v>0</v>
      </c>
      <c r="G8995" s="21" t="n">
        <v>0</v>
      </c>
      <c r="H8995" s="21" t="n">
        <v>0</v>
      </c>
      <c r="I8995" s="21" t="n">
        <v>0</v>
      </c>
      <c r="J8995" s="21" t="n">
        <v>0</v>
      </c>
      <c r="K8995" s="21" t="n">
        <v>0</v>
      </c>
      <c r="L8995" s="21" t="n">
        <v>0</v>
      </c>
      <c r="M8995" s="21" t="n">
        <v>0</v>
      </c>
      <c r="N8995" s="21">
        <f>$B$8764</f>
        <v/>
      </c>
      <c r="O8995" s="21">
        <f>$B$8766</f>
        <v/>
      </c>
      <c r="P8995" s="21">
        <f>0</f>
        <v/>
      </c>
      <c r="Q8995" s="21">
        <f>2*$B$8765</f>
        <v/>
      </c>
      <c r="R8995" s="21">
        <f>-$B$8764</f>
        <v/>
      </c>
      <c r="S8995" s="21">
        <f>$B$8766</f>
        <v/>
      </c>
      <c r="T8995" s="21" t="n">
        <v>0</v>
      </c>
      <c r="U8995" s="21" t="n">
        <v>0</v>
      </c>
      <c r="V8995" s="21" t="n">
        <v>0</v>
      </c>
      <c r="W8995" s="21" t="n">
        <v>0</v>
      </c>
      <c r="X8995" s="21" t="n">
        <v>0</v>
      </c>
      <c r="Y8995" s="21" t="n">
        <v>0</v>
      </c>
      <c r="Z8995" s="19" t="n"/>
    </row>
    <row r="8996">
      <c r="D8996" s="21" t="n">
        <v>0</v>
      </c>
      <c r="E8996" s="21" t="n">
        <v>0</v>
      </c>
      <c r="F8996" s="21" t="n">
        <v>0</v>
      </c>
      <c r="G8996" s="21" t="n">
        <v>0</v>
      </c>
      <c r="H8996" s="21" t="n">
        <v>0</v>
      </c>
      <c r="I8996" s="21" t="n">
        <v>0</v>
      </c>
      <c r="J8996" s="21" t="n">
        <v>0</v>
      </c>
      <c r="K8996" s="21" t="n">
        <v>0</v>
      </c>
      <c r="L8996" s="21" t="n">
        <v>0</v>
      </c>
      <c r="M8996" s="21" t="n">
        <v>0</v>
      </c>
      <c r="N8996" s="21" t="n">
        <v>0</v>
      </c>
      <c r="O8996" s="21" t="n">
        <v>0</v>
      </c>
      <c r="P8996" s="21">
        <f>-$B$8763</f>
        <v/>
      </c>
      <c r="Q8996" s="21">
        <f>-$B$8764</f>
        <v/>
      </c>
      <c r="R8996" s="21">
        <f>2*$B$8763+$D$8977</f>
        <v/>
      </c>
      <c r="S8996" s="21">
        <f>0</f>
        <v/>
      </c>
      <c r="T8996" s="21">
        <f>-$B$8763</f>
        <v/>
      </c>
      <c r="U8996" s="21">
        <f>$B$8764</f>
        <v/>
      </c>
      <c r="V8996" s="21" t="n">
        <v>0</v>
      </c>
      <c r="W8996" s="21" t="n">
        <v>0</v>
      </c>
      <c r="X8996" s="21" t="n">
        <v>0</v>
      </c>
      <c r="Y8996" s="21" t="n">
        <v>0</v>
      </c>
      <c r="Z8996" s="19" t="n"/>
    </row>
    <row r="8997">
      <c r="D8997" s="21" t="n">
        <v>0</v>
      </c>
      <c r="E8997" s="21" t="n">
        <v>0</v>
      </c>
      <c r="F8997" s="21" t="n">
        <v>0</v>
      </c>
      <c r="G8997" s="21" t="n">
        <v>0</v>
      </c>
      <c r="H8997" s="21" t="n">
        <v>0</v>
      </c>
      <c r="I8997" s="21" t="n">
        <v>0</v>
      </c>
      <c r="J8997" s="21" t="n">
        <v>0</v>
      </c>
      <c r="K8997" s="21" t="n">
        <v>0</v>
      </c>
      <c r="L8997" s="21" t="n">
        <v>0</v>
      </c>
      <c r="M8997" s="21" t="n">
        <v>0</v>
      </c>
      <c r="N8997" s="21" t="n">
        <v>0</v>
      </c>
      <c r="O8997" s="21" t="n">
        <v>0</v>
      </c>
      <c r="P8997" s="21">
        <f>$B$8764</f>
        <v/>
      </c>
      <c r="Q8997" s="21">
        <f>$B$8766</f>
        <v/>
      </c>
      <c r="R8997" s="21">
        <f>0</f>
        <v/>
      </c>
      <c r="S8997" s="21">
        <f>2*$B$8765</f>
        <v/>
      </c>
      <c r="T8997" s="21">
        <f>-$B$8764</f>
        <v/>
      </c>
      <c r="U8997" s="21">
        <f>$B$8766</f>
        <v/>
      </c>
      <c r="V8997" s="21" t="n">
        <v>0</v>
      </c>
      <c r="W8997" s="21" t="n">
        <v>0</v>
      </c>
      <c r="X8997" s="21" t="n">
        <v>0</v>
      </c>
      <c r="Y8997" s="21" t="n">
        <v>0</v>
      </c>
      <c r="Z8997" s="19" t="n"/>
    </row>
    <row r="8998">
      <c r="D8998" s="21" t="n">
        <v>0</v>
      </c>
      <c r="E8998" s="21" t="n">
        <v>0</v>
      </c>
      <c r="F8998" s="21" t="n">
        <v>0</v>
      </c>
      <c r="G8998" s="21" t="n">
        <v>0</v>
      </c>
      <c r="H8998" s="21" t="n">
        <v>0</v>
      </c>
      <c r="I8998" s="21" t="n">
        <v>0</v>
      </c>
      <c r="J8998" s="21" t="n">
        <v>0</v>
      </c>
      <c r="K8998" s="21" t="n">
        <v>0</v>
      </c>
      <c r="L8998" s="21" t="n">
        <v>0</v>
      </c>
      <c r="M8998" s="21" t="n">
        <v>0</v>
      </c>
      <c r="N8998" s="21" t="n">
        <v>0</v>
      </c>
      <c r="O8998" s="21" t="n">
        <v>0</v>
      </c>
      <c r="P8998" s="21" t="n">
        <v>0</v>
      </c>
      <c r="Q8998" s="21" t="n">
        <v>0</v>
      </c>
      <c r="R8998" s="21">
        <f>-$B$8763</f>
        <v/>
      </c>
      <c r="S8998" s="21">
        <f>-$B$8764</f>
        <v/>
      </c>
      <c r="T8998" s="21">
        <f>2*$B$8763+$D$8978</f>
        <v/>
      </c>
      <c r="U8998" s="21">
        <f>0</f>
        <v/>
      </c>
      <c r="V8998" s="21">
        <f>-$B$8763</f>
        <v/>
      </c>
      <c r="W8998" s="21">
        <f>$B$8764</f>
        <v/>
      </c>
      <c r="X8998" s="21" t="n">
        <v>0</v>
      </c>
      <c r="Y8998" s="21" t="n">
        <v>0</v>
      </c>
      <c r="Z8998" s="19" t="n"/>
    </row>
    <row r="8999">
      <c r="D8999" s="21" t="n">
        <v>0</v>
      </c>
      <c r="E8999" s="21" t="n">
        <v>0</v>
      </c>
      <c r="F8999" s="21" t="n">
        <v>0</v>
      </c>
      <c r="G8999" s="21" t="n">
        <v>0</v>
      </c>
      <c r="H8999" s="21" t="n">
        <v>0</v>
      </c>
      <c r="I8999" s="21" t="n">
        <v>0</v>
      </c>
      <c r="J8999" s="21" t="n">
        <v>0</v>
      </c>
      <c r="K8999" s="21" t="n">
        <v>0</v>
      </c>
      <c r="L8999" s="21" t="n">
        <v>0</v>
      </c>
      <c r="M8999" s="21" t="n">
        <v>0</v>
      </c>
      <c r="N8999" s="21" t="n">
        <v>0</v>
      </c>
      <c r="O8999" s="21" t="n">
        <v>0</v>
      </c>
      <c r="P8999" s="21" t="n">
        <v>0</v>
      </c>
      <c r="Q8999" s="21" t="n">
        <v>0</v>
      </c>
      <c r="R8999" s="21">
        <f>$B$8764</f>
        <v/>
      </c>
      <c r="S8999" s="21">
        <f>$B$8766</f>
        <v/>
      </c>
      <c r="T8999" s="21">
        <f>0</f>
        <v/>
      </c>
      <c r="U8999" s="21">
        <f>2*$B$8765</f>
        <v/>
      </c>
      <c r="V8999" s="21">
        <f>-$B$8764</f>
        <v/>
      </c>
      <c r="W8999" s="21">
        <f>$B$8766</f>
        <v/>
      </c>
      <c r="X8999" s="21" t="n">
        <v>0</v>
      </c>
      <c r="Y8999" s="21" t="n">
        <v>0</v>
      </c>
      <c r="Z8999" s="19" t="n"/>
    </row>
    <row r="9000">
      <c r="D9000" s="21" t="n">
        <v>0</v>
      </c>
      <c r="E9000" s="21" t="n">
        <v>0</v>
      </c>
      <c r="F9000" s="21" t="n">
        <v>0</v>
      </c>
      <c r="G9000" s="21" t="n">
        <v>0</v>
      </c>
      <c r="H9000" s="21" t="n">
        <v>0</v>
      </c>
      <c r="I9000" s="21" t="n">
        <v>0</v>
      </c>
      <c r="J9000" s="21" t="n">
        <v>0</v>
      </c>
      <c r="K9000" s="21" t="n">
        <v>0</v>
      </c>
      <c r="L9000" s="21" t="n">
        <v>0</v>
      </c>
      <c r="M9000" s="21" t="n">
        <v>0</v>
      </c>
      <c r="N9000" s="21" t="n">
        <v>0</v>
      </c>
      <c r="O9000" s="21" t="n">
        <v>0</v>
      </c>
      <c r="P9000" s="21" t="n">
        <v>0</v>
      </c>
      <c r="Q9000" s="21" t="n">
        <v>0</v>
      </c>
      <c r="R9000" s="21" t="n">
        <v>0</v>
      </c>
      <c r="S9000" s="21" t="n">
        <v>0</v>
      </c>
      <c r="T9000" s="21">
        <f>-$B$8763</f>
        <v/>
      </c>
      <c r="U9000" s="21">
        <f>-$B$8764</f>
        <v/>
      </c>
      <c r="V9000" s="21">
        <f>2*$B$8763+$D$8979</f>
        <v/>
      </c>
      <c r="W9000" s="21">
        <f>0</f>
        <v/>
      </c>
      <c r="X9000" s="21">
        <f>-$B$8763</f>
        <v/>
      </c>
      <c r="Y9000" s="21">
        <f>$B$8764</f>
        <v/>
      </c>
      <c r="Z9000" s="19" t="n"/>
    </row>
    <row r="9001">
      <c r="D9001" s="21" t="n">
        <v>0</v>
      </c>
      <c r="E9001" s="21" t="n">
        <v>0</v>
      </c>
      <c r="F9001" s="21" t="n">
        <v>0</v>
      </c>
      <c r="G9001" s="21" t="n">
        <v>0</v>
      </c>
      <c r="H9001" s="21" t="n">
        <v>0</v>
      </c>
      <c r="I9001" s="21" t="n">
        <v>0</v>
      </c>
      <c r="J9001" s="21" t="n">
        <v>0</v>
      </c>
      <c r="K9001" s="21" t="n">
        <v>0</v>
      </c>
      <c r="L9001" s="21" t="n">
        <v>0</v>
      </c>
      <c r="M9001" s="21" t="n">
        <v>0</v>
      </c>
      <c r="N9001" s="21" t="n">
        <v>0</v>
      </c>
      <c r="O9001" s="21" t="n">
        <v>0</v>
      </c>
      <c r="P9001" s="21" t="n">
        <v>0</v>
      </c>
      <c r="Q9001" s="21" t="n">
        <v>0</v>
      </c>
      <c r="R9001" s="21" t="n">
        <v>0</v>
      </c>
      <c r="S9001" s="21" t="n">
        <v>0</v>
      </c>
      <c r="T9001" s="21">
        <f>$B$8764</f>
        <v/>
      </c>
      <c r="U9001" s="21">
        <f>$B$8766</f>
        <v/>
      </c>
      <c r="V9001" s="21">
        <f>0</f>
        <v/>
      </c>
      <c r="W9001" s="21">
        <f>2*$B$8765</f>
        <v/>
      </c>
      <c r="X9001" s="21">
        <f>-$B$8764</f>
        <v/>
      </c>
      <c r="Y9001" s="21">
        <f>$B$8766</f>
        <v/>
      </c>
      <c r="Z9001" s="19" t="n"/>
    </row>
    <row r="9002">
      <c r="D9002" s="21" t="n">
        <v>0</v>
      </c>
      <c r="E9002" s="21" t="n">
        <v>0</v>
      </c>
      <c r="F9002" s="21" t="n">
        <v>0</v>
      </c>
      <c r="G9002" s="21" t="n">
        <v>0</v>
      </c>
      <c r="H9002" s="21" t="n">
        <v>0</v>
      </c>
      <c r="I9002" s="21" t="n">
        <v>0</v>
      </c>
      <c r="J9002" s="21" t="n">
        <v>0</v>
      </c>
      <c r="K9002" s="21" t="n">
        <v>0</v>
      </c>
      <c r="L9002" s="21" t="n">
        <v>0</v>
      </c>
      <c r="M9002" s="21" t="n">
        <v>0</v>
      </c>
      <c r="N9002" s="21" t="n">
        <v>0</v>
      </c>
      <c r="O9002" s="21" t="n">
        <v>0</v>
      </c>
      <c r="P9002" s="21" t="n">
        <v>0</v>
      </c>
      <c r="Q9002" s="21" t="n">
        <v>0</v>
      </c>
      <c r="R9002" s="21" t="n">
        <v>0</v>
      </c>
      <c r="S9002" s="21" t="n">
        <v>0</v>
      </c>
      <c r="T9002" s="21" t="n">
        <v>0</v>
      </c>
      <c r="U9002" s="21" t="n">
        <v>0</v>
      </c>
      <c r="V9002" s="21">
        <f>-$B$8763</f>
        <v/>
      </c>
      <c r="W9002" s="21">
        <f>-$B$8764</f>
        <v/>
      </c>
      <c r="X9002" s="21">
        <f>$B$8763+$D$8980</f>
        <v/>
      </c>
      <c r="Y9002" s="21">
        <f>-$B$8764</f>
        <v/>
      </c>
      <c r="Z9002" s="19" t="n"/>
    </row>
    <row r="9003">
      <c r="D9003" s="21" t="n">
        <v>0</v>
      </c>
      <c r="E9003" s="21" t="n">
        <v>0</v>
      </c>
      <c r="F9003" s="21" t="n">
        <v>0</v>
      </c>
      <c r="G9003" s="21" t="n">
        <v>0</v>
      </c>
      <c r="H9003" s="21" t="n">
        <v>0</v>
      </c>
      <c r="I9003" s="21" t="n">
        <v>0</v>
      </c>
      <c r="J9003" s="21" t="n">
        <v>0</v>
      </c>
      <c r="K9003" s="21" t="n">
        <v>0</v>
      </c>
      <c r="L9003" s="21" t="n">
        <v>0</v>
      </c>
      <c r="M9003" s="21" t="n">
        <v>0</v>
      </c>
      <c r="N9003" s="21" t="n">
        <v>0</v>
      </c>
      <c r="O9003" s="21" t="n">
        <v>0</v>
      </c>
      <c r="P9003" s="21" t="n">
        <v>0</v>
      </c>
      <c r="Q9003" s="21" t="n">
        <v>0</v>
      </c>
      <c r="R9003" s="21" t="n">
        <v>0</v>
      </c>
      <c r="S9003" s="21" t="n">
        <v>0</v>
      </c>
      <c r="T9003" s="21" t="n">
        <v>0</v>
      </c>
      <c r="U9003" s="21" t="n">
        <v>0</v>
      </c>
      <c r="V9003" s="21">
        <f>$B$8764</f>
        <v/>
      </c>
      <c r="W9003" s="21">
        <f>$B$8766</f>
        <v/>
      </c>
      <c r="X9003" s="21">
        <f>-$B$8764</f>
        <v/>
      </c>
      <c r="Y9003" s="21">
        <f>$B$8765</f>
        <v/>
      </c>
      <c r="Z9003" s="19" t="n"/>
    </row>
    <row r="9005">
      <c r="A9005" s="8" t="inlineStr">
        <is>
          <t>gen 6</t>
        </is>
      </c>
    </row>
    <row r="9006">
      <c r="D9006" s="19">
        <f>IF(ABS(IF(ABS($E$8970)&gt;0.000000001,$E$8970,0.000000001))=0,0,IF($E$8778&lt;=$B$8772,0,IF(ABS(IF(ABS($E$8970)&gt;0.000000001,$E$8970,0.000000001))&gt;=8*$B$8774,$H$8778,0.5*$H$8778*(ABS(IF(ABS($E$8970)&gt;0.000000001,$E$8970,0.000000001))/$B$8774)^(1/3)))/ABS(IF(ABS($E$8970)&gt;0.000000001,$E$8970,0.000000001))*$I$8778)</f>
        <v/>
      </c>
      <c r="E9006" s="19">
        <f>0.5*$E$8970+0.5*$Z$9018</f>
        <v/>
      </c>
      <c r="F9006" s="19">
        <f>$Z$9019</f>
        <v/>
      </c>
    </row>
    <row r="9007">
      <c r="D9007" s="19">
        <f>IF(ABS(IF(ABS($E$8971)&gt;0.000000001,$E$8971,0.000000001))=0,0,IF($E$8779&lt;=$B$8772,0,IF(ABS(IF(ABS($E$8971)&gt;0.000000001,$E$8971,0.000000001))&gt;=8*$B$8774,$H$8779,0.5*$H$8779*(ABS(IF(ABS($E$8971)&gt;0.000000001,$E$8971,0.000000001))/$B$8774)^(1/3)))/ABS(IF(ABS($E$8971)&gt;0.000000001,$E$8971,0.000000001))*$I$8779)</f>
        <v/>
      </c>
      <c r="E9007" s="19">
        <f>0.5*$E$8971+0.5*$Z$9020</f>
        <v/>
      </c>
      <c r="F9007" s="19">
        <f>$Z$9021</f>
        <v/>
      </c>
    </row>
    <row r="9008">
      <c r="D9008" s="19">
        <f>IF(ABS(IF(ABS($E$8972)&gt;0.000000001,$E$8972,0.000000001))=0,0,IF($E$8780&lt;=$B$8772,0,IF(ABS(IF(ABS($E$8972)&gt;0.000000001,$E$8972,0.000000001))&gt;=8*$B$8774,$H$8780,0.5*$H$8780*(ABS(IF(ABS($E$8972)&gt;0.000000001,$E$8972,0.000000001))/$B$8774)^(1/3)))/ABS(IF(ABS($E$8972)&gt;0.000000001,$E$8972,0.000000001))*$I$8780)</f>
        <v/>
      </c>
      <c r="E9008" s="19">
        <f>0.5*$E$8972+0.5*$Z$9022</f>
        <v/>
      </c>
      <c r="F9008" s="19">
        <f>$Z$9023</f>
        <v/>
      </c>
    </row>
    <row r="9009">
      <c r="D9009" s="19">
        <f>IF(ABS(IF(ABS($E$8973)&gt;0.000000001,$E$8973,0.000000001))=0,0,IF($E$8781&lt;=$B$8772,0,IF(ABS(IF(ABS($E$8973)&gt;0.000000001,$E$8973,0.000000001))&gt;=8*$B$8774,$H$8781,0.5*$H$8781*(ABS(IF(ABS($E$8973)&gt;0.000000001,$E$8973,0.000000001))/$B$8774)^(1/3)))/ABS(IF(ABS($E$8973)&gt;0.000000001,$E$8973,0.000000001))*$I$8781)</f>
        <v/>
      </c>
      <c r="E9009" s="19">
        <f>0.5*$E$8973+0.5*$Z$9024</f>
        <v/>
      </c>
      <c r="F9009" s="19">
        <f>$Z$9025</f>
        <v/>
      </c>
    </row>
    <row r="9010">
      <c r="D9010" s="19">
        <f>IF(ABS(IF(ABS($E$8974)&gt;0.000000001,$E$8974,0.000000001))=0,0,IF($E$8782&lt;=$B$8772,0,IF(ABS(IF(ABS($E$8974)&gt;0.000000001,$E$8974,0.000000001))&gt;=8*$B$8774,$H$8782,0.5*$H$8782*(ABS(IF(ABS($E$8974)&gt;0.000000001,$E$8974,0.000000001))/$B$8774)^(1/3)))/ABS(IF(ABS($E$8974)&gt;0.000000001,$E$8974,0.000000001))*$I$8782)</f>
        <v/>
      </c>
      <c r="E9010" s="19">
        <f>0.5*$E$8974+0.5*$Z$9026</f>
        <v/>
      </c>
      <c r="F9010" s="19">
        <f>$Z$9027</f>
        <v/>
      </c>
    </row>
    <row r="9011">
      <c r="D9011" s="19">
        <f>IF(ABS(IF(ABS($E$8975)&gt;0.000000001,$E$8975,0.000000001))=0,0,IF($E$8783&lt;=$B$8772,0,IF(ABS(IF(ABS($E$8975)&gt;0.000000001,$E$8975,0.000000001))&gt;=8*$B$8774,$H$8783,0.5*$H$8783*(ABS(IF(ABS($E$8975)&gt;0.000000001,$E$8975,0.000000001))/$B$8774)^(1/3)))/ABS(IF(ABS($E$8975)&gt;0.000000001,$E$8975,0.000000001))*$I$8783)</f>
        <v/>
      </c>
      <c r="E9011" s="19">
        <f>0.5*$E$8975+0.5*$Z$9028</f>
        <v/>
      </c>
      <c r="F9011" s="19">
        <f>$Z$9029</f>
        <v/>
      </c>
    </row>
    <row r="9012">
      <c r="D9012" s="19">
        <f>IF(ABS(IF(ABS($E$8976)&gt;0.000000001,$E$8976,0.000000001))=0,0,IF($E$8784&lt;=$B$8772,0,IF(ABS(IF(ABS($E$8976)&gt;0.000000001,$E$8976,0.000000001))&gt;=8*$B$8774,$H$8784,0.5*$H$8784*(ABS(IF(ABS($E$8976)&gt;0.000000001,$E$8976,0.000000001))/$B$8774)^(1/3)))/ABS(IF(ABS($E$8976)&gt;0.000000001,$E$8976,0.000000001))*$I$8784)</f>
        <v/>
      </c>
      <c r="E9012" s="19">
        <f>0.5*$E$8976+0.5*$Z$9030</f>
        <v/>
      </c>
      <c r="F9012" s="19">
        <f>$Z$9031</f>
        <v/>
      </c>
    </row>
    <row r="9013">
      <c r="D9013" s="19">
        <f>IF(ABS(IF(ABS($E$8977)&gt;0.000000001,$E$8977,0.000000001))=0,0,IF($E$8785&lt;=$B$8772,0,IF(ABS(IF(ABS($E$8977)&gt;0.000000001,$E$8977,0.000000001))&gt;=8*$B$8774,$H$8785,0.5*$H$8785*(ABS(IF(ABS($E$8977)&gt;0.000000001,$E$8977,0.000000001))/$B$8774)^(1/3)))/ABS(IF(ABS($E$8977)&gt;0.000000001,$E$8977,0.000000001))*$I$8785)</f>
        <v/>
      </c>
      <c r="E9013" s="19">
        <f>0.5*$E$8977+0.5*$Z$9032</f>
        <v/>
      </c>
      <c r="F9013" s="19">
        <f>$Z$9033</f>
        <v/>
      </c>
    </row>
    <row r="9014">
      <c r="D9014" s="19">
        <f>IF(ABS(IF(ABS($E$8978)&gt;0.000000001,$E$8978,0.000000001))=0,0,IF($E$8786&lt;=$B$8772,0,IF(ABS(IF(ABS($E$8978)&gt;0.000000001,$E$8978,0.000000001))&gt;=8*$B$8774,$H$8786,0.5*$H$8786*(ABS(IF(ABS($E$8978)&gt;0.000000001,$E$8978,0.000000001))/$B$8774)^(1/3)))/ABS(IF(ABS($E$8978)&gt;0.000000001,$E$8978,0.000000001))*$I$8786)</f>
        <v/>
      </c>
      <c r="E9014" s="19">
        <f>0.5*$E$8978+0.5*$Z$9034</f>
        <v/>
      </c>
      <c r="F9014" s="19">
        <f>$Z$9035</f>
        <v/>
      </c>
    </row>
    <row r="9015">
      <c r="D9015" s="19">
        <f>IF(ABS(IF(ABS($E$8979)&gt;0.000000001,$E$8979,0.000000001))=0,0,IF($E$8787&lt;=$B$8772,0,IF(ABS(IF(ABS($E$8979)&gt;0.000000001,$E$8979,0.000000001))&gt;=8*$B$8774,$H$8787,0.5*$H$8787*(ABS(IF(ABS($E$8979)&gt;0.000000001,$E$8979,0.000000001))/$B$8774)^(1/3)))/ABS(IF(ABS($E$8979)&gt;0.000000001,$E$8979,0.000000001))*$I$8787)</f>
        <v/>
      </c>
      <c r="E9015" s="19">
        <f>0.5*$E$8979+0.5*$Z$9036</f>
        <v/>
      </c>
      <c r="F9015" s="19">
        <f>$Z$9037</f>
        <v/>
      </c>
    </row>
    <row r="9016">
      <c r="D9016" s="19">
        <f>IF(ABS(IF(ABS($E$8980)&gt;0.000000001,$E$8980,0.000000001))=0,0,IF($E$8788&lt;=$B$8772,0,IF(ABS(IF(ABS($E$8980)&gt;0.000000001,$E$8980,0.000000001))&gt;=8*$B$8774,$H$8788,0.5*$H$8788*(ABS(IF(ABS($E$8980)&gt;0.000000001,$E$8980,0.000000001))/$B$8774)^(1/3)))/ABS(IF(ABS($E$8980)&gt;0.000000001,$E$8980,0.000000001))*$I$8788)</f>
        <v/>
      </c>
      <c r="E9016" s="19">
        <f>0.5*$E$8980+0.5*$Z$9038</f>
        <v/>
      </c>
      <c r="F9016" s="19">
        <f>$Z$9039</f>
        <v/>
      </c>
    </row>
    <row r="9018">
      <c r="D9018" s="21">
        <f>$B$8763+$D$9006</f>
        <v/>
      </c>
      <c r="E9018" s="21">
        <f>$B$8764</f>
        <v/>
      </c>
      <c r="F9018" s="21">
        <f>-$B$8763</f>
        <v/>
      </c>
      <c r="G9018" s="21">
        <f>$B$8764</f>
        <v/>
      </c>
      <c r="H9018" s="21" t="n">
        <v>0</v>
      </c>
      <c r="I9018" s="21" t="n">
        <v>0</v>
      </c>
      <c r="J9018" s="21" t="n">
        <v>0</v>
      </c>
      <c r="K9018" s="21" t="n">
        <v>0</v>
      </c>
      <c r="L9018" s="21" t="n">
        <v>0</v>
      </c>
      <c r="M9018" s="21" t="n">
        <v>0</v>
      </c>
      <c r="N9018" s="21" t="n">
        <v>0</v>
      </c>
      <c r="O9018" s="21" t="n">
        <v>0</v>
      </c>
      <c r="P9018" s="21" t="n">
        <v>0</v>
      </c>
      <c r="Q9018" s="21" t="n">
        <v>0</v>
      </c>
      <c r="R9018" s="21" t="n">
        <v>0</v>
      </c>
      <c r="S9018" s="21" t="n">
        <v>0</v>
      </c>
      <c r="T9018" s="21" t="n">
        <v>0</v>
      </c>
      <c r="U9018" s="21" t="n">
        <v>0</v>
      </c>
      <c r="V9018" s="21" t="n">
        <v>0</v>
      </c>
      <c r="W9018" s="21" t="n">
        <v>0</v>
      </c>
      <c r="X9018" s="21" t="n">
        <v>0</v>
      </c>
      <c r="Y9018" s="21" t="n">
        <v>0</v>
      </c>
      <c r="Z9018" s="19">
        <f t="array" ref="Z9018:Z9039">MMULT(MINVERSE($D$9018:$Y$9039),$D$8790:$D$8811)</f>
        <v/>
      </c>
    </row>
    <row r="9019">
      <c r="D9019" s="21">
        <f>$B$8764</f>
        <v/>
      </c>
      <c r="E9019" s="21">
        <f>$B$8765</f>
        <v/>
      </c>
      <c r="F9019" s="21">
        <f>-$B$8764</f>
        <v/>
      </c>
      <c r="G9019" s="21">
        <f>$B$8766</f>
        <v/>
      </c>
      <c r="H9019" s="21" t="n">
        <v>0</v>
      </c>
      <c r="I9019" s="21" t="n">
        <v>0</v>
      </c>
      <c r="J9019" s="21" t="n">
        <v>0</v>
      </c>
      <c r="K9019" s="21" t="n">
        <v>0</v>
      </c>
      <c r="L9019" s="21" t="n">
        <v>0</v>
      </c>
      <c r="M9019" s="21" t="n">
        <v>0</v>
      </c>
      <c r="N9019" s="21" t="n">
        <v>0</v>
      </c>
      <c r="O9019" s="21" t="n">
        <v>0</v>
      </c>
      <c r="P9019" s="21" t="n">
        <v>0</v>
      </c>
      <c r="Q9019" s="21" t="n">
        <v>0</v>
      </c>
      <c r="R9019" s="21" t="n">
        <v>0</v>
      </c>
      <c r="S9019" s="21" t="n">
        <v>0</v>
      </c>
      <c r="T9019" s="21" t="n">
        <v>0</v>
      </c>
      <c r="U9019" s="21" t="n">
        <v>0</v>
      </c>
      <c r="V9019" s="21" t="n">
        <v>0</v>
      </c>
      <c r="W9019" s="21" t="n">
        <v>0</v>
      </c>
      <c r="X9019" s="21" t="n">
        <v>0</v>
      </c>
      <c r="Y9019" s="21" t="n">
        <v>0</v>
      </c>
      <c r="Z9019" s="19" t="n"/>
    </row>
    <row r="9020">
      <c r="D9020" s="21">
        <f>-$B$8763</f>
        <v/>
      </c>
      <c r="E9020" s="21">
        <f>-$B$8764</f>
        <v/>
      </c>
      <c r="F9020" s="21">
        <f>2*$B$8763+$D$9007</f>
        <v/>
      </c>
      <c r="G9020" s="21">
        <f>0</f>
        <v/>
      </c>
      <c r="H9020" s="21">
        <f>-$B$8763</f>
        <v/>
      </c>
      <c r="I9020" s="21">
        <f>$B$8764</f>
        <v/>
      </c>
      <c r="J9020" s="21" t="n">
        <v>0</v>
      </c>
      <c r="K9020" s="21" t="n">
        <v>0</v>
      </c>
      <c r="L9020" s="21" t="n">
        <v>0</v>
      </c>
      <c r="M9020" s="21" t="n">
        <v>0</v>
      </c>
      <c r="N9020" s="21" t="n">
        <v>0</v>
      </c>
      <c r="O9020" s="21" t="n">
        <v>0</v>
      </c>
      <c r="P9020" s="21" t="n">
        <v>0</v>
      </c>
      <c r="Q9020" s="21" t="n">
        <v>0</v>
      </c>
      <c r="R9020" s="21" t="n">
        <v>0</v>
      </c>
      <c r="S9020" s="21" t="n">
        <v>0</v>
      </c>
      <c r="T9020" s="21" t="n">
        <v>0</v>
      </c>
      <c r="U9020" s="21" t="n">
        <v>0</v>
      </c>
      <c r="V9020" s="21" t="n">
        <v>0</v>
      </c>
      <c r="W9020" s="21" t="n">
        <v>0</v>
      </c>
      <c r="X9020" s="21" t="n">
        <v>0</v>
      </c>
      <c r="Y9020" s="21" t="n">
        <v>0</v>
      </c>
      <c r="Z9020" s="19" t="n"/>
    </row>
    <row r="9021">
      <c r="D9021" s="21">
        <f>$B$8764</f>
        <v/>
      </c>
      <c r="E9021" s="21">
        <f>$B$8766</f>
        <v/>
      </c>
      <c r="F9021" s="21">
        <f>0</f>
        <v/>
      </c>
      <c r="G9021" s="21">
        <f>2*$B$8765</f>
        <v/>
      </c>
      <c r="H9021" s="21">
        <f>-$B$8764</f>
        <v/>
      </c>
      <c r="I9021" s="21">
        <f>$B$8766</f>
        <v/>
      </c>
      <c r="J9021" s="21" t="n">
        <v>0</v>
      </c>
      <c r="K9021" s="21" t="n">
        <v>0</v>
      </c>
      <c r="L9021" s="21" t="n">
        <v>0</v>
      </c>
      <c r="M9021" s="21" t="n">
        <v>0</v>
      </c>
      <c r="N9021" s="21" t="n">
        <v>0</v>
      </c>
      <c r="O9021" s="21" t="n">
        <v>0</v>
      </c>
      <c r="P9021" s="21" t="n">
        <v>0</v>
      </c>
      <c r="Q9021" s="21" t="n">
        <v>0</v>
      </c>
      <c r="R9021" s="21" t="n">
        <v>0</v>
      </c>
      <c r="S9021" s="21" t="n">
        <v>0</v>
      </c>
      <c r="T9021" s="21" t="n">
        <v>0</v>
      </c>
      <c r="U9021" s="21" t="n">
        <v>0</v>
      </c>
      <c r="V9021" s="21" t="n">
        <v>0</v>
      </c>
      <c r="W9021" s="21" t="n">
        <v>0</v>
      </c>
      <c r="X9021" s="21" t="n">
        <v>0</v>
      </c>
      <c r="Y9021" s="21" t="n">
        <v>0</v>
      </c>
      <c r="Z9021" s="19" t="n"/>
    </row>
    <row r="9022">
      <c r="D9022" s="21" t="n">
        <v>0</v>
      </c>
      <c r="E9022" s="21" t="n">
        <v>0</v>
      </c>
      <c r="F9022" s="21">
        <f>-$B$8763</f>
        <v/>
      </c>
      <c r="G9022" s="21">
        <f>-$B$8764</f>
        <v/>
      </c>
      <c r="H9022" s="21">
        <f>2*$B$8763+$D$9008</f>
        <v/>
      </c>
      <c r="I9022" s="21">
        <f>0</f>
        <v/>
      </c>
      <c r="J9022" s="21">
        <f>-$B$8763</f>
        <v/>
      </c>
      <c r="K9022" s="21">
        <f>$B$8764</f>
        <v/>
      </c>
      <c r="L9022" s="21" t="n">
        <v>0</v>
      </c>
      <c r="M9022" s="21" t="n">
        <v>0</v>
      </c>
      <c r="N9022" s="21" t="n">
        <v>0</v>
      </c>
      <c r="O9022" s="21" t="n">
        <v>0</v>
      </c>
      <c r="P9022" s="21" t="n">
        <v>0</v>
      </c>
      <c r="Q9022" s="21" t="n">
        <v>0</v>
      </c>
      <c r="R9022" s="21" t="n">
        <v>0</v>
      </c>
      <c r="S9022" s="21" t="n">
        <v>0</v>
      </c>
      <c r="T9022" s="21" t="n">
        <v>0</v>
      </c>
      <c r="U9022" s="21" t="n">
        <v>0</v>
      </c>
      <c r="V9022" s="21" t="n">
        <v>0</v>
      </c>
      <c r="W9022" s="21" t="n">
        <v>0</v>
      </c>
      <c r="X9022" s="21" t="n">
        <v>0</v>
      </c>
      <c r="Y9022" s="21" t="n">
        <v>0</v>
      </c>
      <c r="Z9022" s="19" t="n"/>
    </row>
    <row r="9023">
      <c r="D9023" s="21" t="n">
        <v>0</v>
      </c>
      <c r="E9023" s="21" t="n">
        <v>0</v>
      </c>
      <c r="F9023" s="21">
        <f>$B$8764</f>
        <v/>
      </c>
      <c r="G9023" s="21">
        <f>$B$8766</f>
        <v/>
      </c>
      <c r="H9023" s="21">
        <f>0</f>
        <v/>
      </c>
      <c r="I9023" s="21">
        <f>2*$B$8765</f>
        <v/>
      </c>
      <c r="J9023" s="21">
        <f>-$B$8764</f>
        <v/>
      </c>
      <c r="K9023" s="21">
        <f>$B$8766</f>
        <v/>
      </c>
      <c r="L9023" s="21" t="n">
        <v>0</v>
      </c>
      <c r="M9023" s="21" t="n">
        <v>0</v>
      </c>
      <c r="N9023" s="21" t="n">
        <v>0</v>
      </c>
      <c r="O9023" s="21" t="n">
        <v>0</v>
      </c>
      <c r="P9023" s="21" t="n">
        <v>0</v>
      </c>
      <c r="Q9023" s="21" t="n">
        <v>0</v>
      </c>
      <c r="R9023" s="21" t="n">
        <v>0</v>
      </c>
      <c r="S9023" s="21" t="n">
        <v>0</v>
      </c>
      <c r="T9023" s="21" t="n">
        <v>0</v>
      </c>
      <c r="U9023" s="21" t="n">
        <v>0</v>
      </c>
      <c r="V9023" s="21" t="n">
        <v>0</v>
      </c>
      <c r="W9023" s="21" t="n">
        <v>0</v>
      </c>
      <c r="X9023" s="21" t="n">
        <v>0</v>
      </c>
      <c r="Y9023" s="21" t="n">
        <v>0</v>
      </c>
      <c r="Z9023" s="19" t="n"/>
    </row>
    <row r="9024">
      <c r="D9024" s="21" t="n">
        <v>0</v>
      </c>
      <c r="E9024" s="21" t="n">
        <v>0</v>
      </c>
      <c r="F9024" s="21" t="n">
        <v>0</v>
      </c>
      <c r="G9024" s="21" t="n">
        <v>0</v>
      </c>
      <c r="H9024" s="21">
        <f>-$B$8763</f>
        <v/>
      </c>
      <c r="I9024" s="21">
        <f>-$B$8764</f>
        <v/>
      </c>
      <c r="J9024" s="21">
        <f>2*$B$8763+$D$9009</f>
        <v/>
      </c>
      <c r="K9024" s="21">
        <f>0</f>
        <v/>
      </c>
      <c r="L9024" s="21">
        <f>-$B$8763</f>
        <v/>
      </c>
      <c r="M9024" s="21">
        <f>$B$8764</f>
        <v/>
      </c>
      <c r="N9024" s="21" t="n">
        <v>0</v>
      </c>
      <c r="O9024" s="21" t="n">
        <v>0</v>
      </c>
      <c r="P9024" s="21" t="n">
        <v>0</v>
      </c>
      <c r="Q9024" s="21" t="n">
        <v>0</v>
      </c>
      <c r="R9024" s="21" t="n">
        <v>0</v>
      </c>
      <c r="S9024" s="21" t="n">
        <v>0</v>
      </c>
      <c r="T9024" s="21" t="n">
        <v>0</v>
      </c>
      <c r="U9024" s="21" t="n">
        <v>0</v>
      </c>
      <c r="V9024" s="21" t="n">
        <v>0</v>
      </c>
      <c r="W9024" s="21" t="n">
        <v>0</v>
      </c>
      <c r="X9024" s="21" t="n">
        <v>0</v>
      </c>
      <c r="Y9024" s="21" t="n">
        <v>0</v>
      </c>
      <c r="Z9024" s="19" t="n"/>
    </row>
    <row r="9025">
      <c r="D9025" s="21" t="n">
        <v>0</v>
      </c>
      <c r="E9025" s="21" t="n">
        <v>0</v>
      </c>
      <c r="F9025" s="21" t="n">
        <v>0</v>
      </c>
      <c r="G9025" s="21" t="n">
        <v>0</v>
      </c>
      <c r="H9025" s="21">
        <f>$B$8764</f>
        <v/>
      </c>
      <c r="I9025" s="21">
        <f>$B$8766</f>
        <v/>
      </c>
      <c r="J9025" s="21">
        <f>0</f>
        <v/>
      </c>
      <c r="K9025" s="21">
        <f>2*$B$8765</f>
        <v/>
      </c>
      <c r="L9025" s="21">
        <f>-$B$8764</f>
        <v/>
      </c>
      <c r="M9025" s="21">
        <f>$B$8766</f>
        <v/>
      </c>
      <c r="N9025" s="21" t="n">
        <v>0</v>
      </c>
      <c r="O9025" s="21" t="n">
        <v>0</v>
      </c>
      <c r="P9025" s="21" t="n">
        <v>0</v>
      </c>
      <c r="Q9025" s="21" t="n">
        <v>0</v>
      </c>
      <c r="R9025" s="21" t="n">
        <v>0</v>
      </c>
      <c r="S9025" s="21" t="n">
        <v>0</v>
      </c>
      <c r="T9025" s="21" t="n">
        <v>0</v>
      </c>
      <c r="U9025" s="21" t="n">
        <v>0</v>
      </c>
      <c r="V9025" s="21" t="n">
        <v>0</v>
      </c>
      <c r="W9025" s="21" t="n">
        <v>0</v>
      </c>
      <c r="X9025" s="21" t="n">
        <v>0</v>
      </c>
      <c r="Y9025" s="21" t="n">
        <v>0</v>
      </c>
      <c r="Z9025" s="19" t="n"/>
    </row>
    <row r="9026">
      <c r="D9026" s="21" t="n">
        <v>0</v>
      </c>
      <c r="E9026" s="21" t="n">
        <v>0</v>
      </c>
      <c r="F9026" s="21" t="n">
        <v>0</v>
      </c>
      <c r="G9026" s="21" t="n">
        <v>0</v>
      </c>
      <c r="H9026" s="21" t="n">
        <v>0</v>
      </c>
      <c r="I9026" s="21" t="n">
        <v>0</v>
      </c>
      <c r="J9026" s="21">
        <f>-$B$8763</f>
        <v/>
      </c>
      <c r="K9026" s="21">
        <f>-$B$8764</f>
        <v/>
      </c>
      <c r="L9026" s="21">
        <f>2*$B$8763+$D$9010</f>
        <v/>
      </c>
      <c r="M9026" s="21">
        <f>0</f>
        <v/>
      </c>
      <c r="N9026" s="21">
        <f>-$B$8763</f>
        <v/>
      </c>
      <c r="O9026" s="21">
        <f>$B$8764</f>
        <v/>
      </c>
      <c r="P9026" s="21" t="n">
        <v>0</v>
      </c>
      <c r="Q9026" s="21" t="n">
        <v>0</v>
      </c>
      <c r="R9026" s="21" t="n">
        <v>0</v>
      </c>
      <c r="S9026" s="21" t="n">
        <v>0</v>
      </c>
      <c r="T9026" s="21" t="n">
        <v>0</v>
      </c>
      <c r="U9026" s="21" t="n">
        <v>0</v>
      </c>
      <c r="V9026" s="21" t="n">
        <v>0</v>
      </c>
      <c r="W9026" s="21" t="n">
        <v>0</v>
      </c>
      <c r="X9026" s="21" t="n">
        <v>0</v>
      </c>
      <c r="Y9026" s="21" t="n">
        <v>0</v>
      </c>
      <c r="Z9026" s="19" t="n"/>
    </row>
    <row r="9027">
      <c r="D9027" s="21" t="n">
        <v>0</v>
      </c>
      <c r="E9027" s="21" t="n">
        <v>0</v>
      </c>
      <c r="F9027" s="21" t="n">
        <v>0</v>
      </c>
      <c r="G9027" s="21" t="n">
        <v>0</v>
      </c>
      <c r="H9027" s="21" t="n">
        <v>0</v>
      </c>
      <c r="I9027" s="21" t="n">
        <v>0</v>
      </c>
      <c r="J9027" s="21">
        <f>$B$8764</f>
        <v/>
      </c>
      <c r="K9027" s="21">
        <f>$B$8766</f>
        <v/>
      </c>
      <c r="L9027" s="21">
        <f>0</f>
        <v/>
      </c>
      <c r="M9027" s="21">
        <f>2*$B$8765</f>
        <v/>
      </c>
      <c r="N9027" s="21">
        <f>-$B$8764</f>
        <v/>
      </c>
      <c r="O9027" s="21">
        <f>$B$8766</f>
        <v/>
      </c>
      <c r="P9027" s="21" t="n">
        <v>0</v>
      </c>
      <c r="Q9027" s="21" t="n">
        <v>0</v>
      </c>
      <c r="R9027" s="21" t="n">
        <v>0</v>
      </c>
      <c r="S9027" s="21" t="n">
        <v>0</v>
      </c>
      <c r="T9027" s="21" t="n">
        <v>0</v>
      </c>
      <c r="U9027" s="21" t="n">
        <v>0</v>
      </c>
      <c r="V9027" s="21" t="n">
        <v>0</v>
      </c>
      <c r="W9027" s="21" t="n">
        <v>0</v>
      </c>
      <c r="X9027" s="21" t="n">
        <v>0</v>
      </c>
      <c r="Y9027" s="21" t="n">
        <v>0</v>
      </c>
      <c r="Z9027" s="19" t="n"/>
    </row>
    <row r="9028">
      <c r="D9028" s="21" t="n">
        <v>0</v>
      </c>
      <c r="E9028" s="21" t="n">
        <v>0</v>
      </c>
      <c r="F9028" s="21" t="n">
        <v>0</v>
      </c>
      <c r="G9028" s="21" t="n">
        <v>0</v>
      </c>
      <c r="H9028" s="21" t="n">
        <v>0</v>
      </c>
      <c r="I9028" s="21" t="n">
        <v>0</v>
      </c>
      <c r="J9028" s="21" t="n">
        <v>0</v>
      </c>
      <c r="K9028" s="21" t="n">
        <v>0</v>
      </c>
      <c r="L9028" s="21">
        <f>-$B$8763</f>
        <v/>
      </c>
      <c r="M9028" s="21">
        <f>-$B$8764</f>
        <v/>
      </c>
      <c r="N9028" s="21">
        <f>2*$B$8763+$D$9011</f>
        <v/>
      </c>
      <c r="O9028" s="21">
        <f>0</f>
        <v/>
      </c>
      <c r="P9028" s="21">
        <f>-$B$8763</f>
        <v/>
      </c>
      <c r="Q9028" s="21">
        <f>$B$8764</f>
        <v/>
      </c>
      <c r="R9028" s="21" t="n">
        <v>0</v>
      </c>
      <c r="S9028" s="21" t="n">
        <v>0</v>
      </c>
      <c r="T9028" s="21" t="n">
        <v>0</v>
      </c>
      <c r="U9028" s="21" t="n">
        <v>0</v>
      </c>
      <c r="V9028" s="21" t="n">
        <v>0</v>
      </c>
      <c r="W9028" s="21" t="n">
        <v>0</v>
      </c>
      <c r="X9028" s="21" t="n">
        <v>0</v>
      </c>
      <c r="Y9028" s="21" t="n">
        <v>0</v>
      </c>
      <c r="Z9028" s="19" t="n"/>
    </row>
    <row r="9029">
      <c r="D9029" s="21" t="n">
        <v>0</v>
      </c>
      <c r="E9029" s="21" t="n">
        <v>0</v>
      </c>
      <c r="F9029" s="21" t="n">
        <v>0</v>
      </c>
      <c r="G9029" s="21" t="n">
        <v>0</v>
      </c>
      <c r="H9029" s="21" t="n">
        <v>0</v>
      </c>
      <c r="I9029" s="21" t="n">
        <v>0</v>
      </c>
      <c r="J9029" s="21" t="n">
        <v>0</v>
      </c>
      <c r="K9029" s="21" t="n">
        <v>0</v>
      </c>
      <c r="L9029" s="21">
        <f>$B$8764</f>
        <v/>
      </c>
      <c r="M9029" s="21">
        <f>$B$8766</f>
        <v/>
      </c>
      <c r="N9029" s="21">
        <f>0</f>
        <v/>
      </c>
      <c r="O9029" s="21">
        <f>2*$B$8765</f>
        <v/>
      </c>
      <c r="P9029" s="21">
        <f>-$B$8764</f>
        <v/>
      </c>
      <c r="Q9029" s="21">
        <f>$B$8766</f>
        <v/>
      </c>
      <c r="R9029" s="21" t="n">
        <v>0</v>
      </c>
      <c r="S9029" s="21" t="n">
        <v>0</v>
      </c>
      <c r="T9029" s="21" t="n">
        <v>0</v>
      </c>
      <c r="U9029" s="21" t="n">
        <v>0</v>
      </c>
      <c r="V9029" s="21" t="n">
        <v>0</v>
      </c>
      <c r="W9029" s="21" t="n">
        <v>0</v>
      </c>
      <c r="X9029" s="21" t="n">
        <v>0</v>
      </c>
      <c r="Y9029" s="21" t="n">
        <v>0</v>
      </c>
      <c r="Z9029" s="19" t="n"/>
    </row>
    <row r="9030">
      <c r="D9030" s="21" t="n">
        <v>0</v>
      </c>
      <c r="E9030" s="21" t="n">
        <v>0</v>
      </c>
      <c r="F9030" s="21" t="n">
        <v>0</v>
      </c>
      <c r="G9030" s="21" t="n">
        <v>0</v>
      </c>
      <c r="H9030" s="21" t="n">
        <v>0</v>
      </c>
      <c r="I9030" s="21" t="n">
        <v>0</v>
      </c>
      <c r="J9030" s="21" t="n">
        <v>0</v>
      </c>
      <c r="K9030" s="21" t="n">
        <v>0</v>
      </c>
      <c r="L9030" s="21" t="n">
        <v>0</v>
      </c>
      <c r="M9030" s="21" t="n">
        <v>0</v>
      </c>
      <c r="N9030" s="21">
        <f>-$B$8763</f>
        <v/>
      </c>
      <c r="O9030" s="21">
        <f>-$B$8764</f>
        <v/>
      </c>
      <c r="P9030" s="21">
        <f>2*$B$8763+$D$9012</f>
        <v/>
      </c>
      <c r="Q9030" s="21">
        <f>0</f>
        <v/>
      </c>
      <c r="R9030" s="21">
        <f>-$B$8763</f>
        <v/>
      </c>
      <c r="S9030" s="21">
        <f>$B$8764</f>
        <v/>
      </c>
      <c r="T9030" s="21" t="n">
        <v>0</v>
      </c>
      <c r="U9030" s="21" t="n">
        <v>0</v>
      </c>
      <c r="V9030" s="21" t="n">
        <v>0</v>
      </c>
      <c r="W9030" s="21" t="n">
        <v>0</v>
      </c>
      <c r="X9030" s="21" t="n">
        <v>0</v>
      </c>
      <c r="Y9030" s="21" t="n">
        <v>0</v>
      </c>
      <c r="Z9030" s="19" t="n"/>
    </row>
    <row r="9031">
      <c r="D9031" s="21" t="n">
        <v>0</v>
      </c>
      <c r="E9031" s="21" t="n">
        <v>0</v>
      </c>
      <c r="F9031" s="21" t="n">
        <v>0</v>
      </c>
      <c r="G9031" s="21" t="n">
        <v>0</v>
      </c>
      <c r="H9031" s="21" t="n">
        <v>0</v>
      </c>
      <c r="I9031" s="21" t="n">
        <v>0</v>
      </c>
      <c r="J9031" s="21" t="n">
        <v>0</v>
      </c>
      <c r="K9031" s="21" t="n">
        <v>0</v>
      </c>
      <c r="L9031" s="21" t="n">
        <v>0</v>
      </c>
      <c r="M9031" s="21" t="n">
        <v>0</v>
      </c>
      <c r="N9031" s="21">
        <f>$B$8764</f>
        <v/>
      </c>
      <c r="O9031" s="21">
        <f>$B$8766</f>
        <v/>
      </c>
      <c r="P9031" s="21">
        <f>0</f>
        <v/>
      </c>
      <c r="Q9031" s="21">
        <f>2*$B$8765</f>
        <v/>
      </c>
      <c r="R9031" s="21">
        <f>-$B$8764</f>
        <v/>
      </c>
      <c r="S9031" s="21">
        <f>$B$8766</f>
        <v/>
      </c>
      <c r="T9031" s="21" t="n">
        <v>0</v>
      </c>
      <c r="U9031" s="21" t="n">
        <v>0</v>
      </c>
      <c r="V9031" s="21" t="n">
        <v>0</v>
      </c>
      <c r="W9031" s="21" t="n">
        <v>0</v>
      </c>
      <c r="X9031" s="21" t="n">
        <v>0</v>
      </c>
      <c r="Y9031" s="21" t="n">
        <v>0</v>
      </c>
      <c r="Z9031" s="19" t="n"/>
    </row>
    <row r="9032">
      <c r="D9032" s="21" t="n">
        <v>0</v>
      </c>
      <c r="E9032" s="21" t="n">
        <v>0</v>
      </c>
      <c r="F9032" s="21" t="n">
        <v>0</v>
      </c>
      <c r="G9032" s="21" t="n">
        <v>0</v>
      </c>
      <c r="H9032" s="21" t="n">
        <v>0</v>
      </c>
      <c r="I9032" s="21" t="n">
        <v>0</v>
      </c>
      <c r="J9032" s="21" t="n">
        <v>0</v>
      </c>
      <c r="K9032" s="21" t="n">
        <v>0</v>
      </c>
      <c r="L9032" s="21" t="n">
        <v>0</v>
      </c>
      <c r="M9032" s="21" t="n">
        <v>0</v>
      </c>
      <c r="N9032" s="21" t="n">
        <v>0</v>
      </c>
      <c r="O9032" s="21" t="n">
        <v>0</v>
      </c>
      <c r="P9032" s="21">
        <f>-$B$8763</f>
        <v/>
      </c>
      <c r="Q9032" s="21">
        <f>-$B$8764</f>
        <v/>
      </c>
      <c r="R9032" s="21">
        <f>2*$B$8763+$D$9013</f>
        <v/>
      </c>
      <c r="S9032" s="21">
        <f>0</f>
        <v/>
      </c>
      <c r="T9032" s="21">
        <f>-$B$8763</f>
        <v/>
      </c>
      <c r="U9032" s="21">
        <f>$B$8764</f>
        <v/>
      </c>
      <c r="V9032" s="21" t="n">
        <v>0</v>
      </c>
      <c r="W9032" s="21" t="n">
        <v>0</v>
      </c>
      <c r="X9032" s="21" t="n">
        <v>0</v>
      </c>
      <c r="Y9032" s="21" t="n">
        <v>0</v>
      </c>
      <c r="Z9032" s="19" t="n"/>
    </row>
    <row r="9033">
      <c r="D9033" s="21" t="n">
        <v>0</v>
      </c>
      <c r="E9033" s="21" t="n">
        <v>0</v>
      </c>
      <c r="F9033" s="21" t="n">
        <v>0</v>
      </c>
      <c r="G9033" s="21" t="n">
        <v>0</v>
      </c>
      <c r="H9033" s="21" t="n">
        <v>0</v>
      </c>
      <c r="I9033" s="21" t="n">
        <v>0</v>
      </c>
      <c r="J9033" s="21" t="n">
        <v>0</v>
      </c>
      <c r="K9033" s="21" t="n">
        <v>0</v>
      </c>
      <c r="L9033" s="21" t="n">
        <v>0</v>
      </c>
      <c r="M9033" s="21" t="n">
        <v>0</v>
      </c>
      <c r="N9033" s="21" t="n">
        <v>0</v>
      </c>
      <c r="O9033" s="21" t="n">
        <v>0</v>
      </c>
      <c r="P9033" s="21">
        <f>$B$8764</f>
        <v/>
      </c>
      <c r="Q9033" s="21">
        <f>$B$8766</f>
        <v/>
      </c>
      <c r="R9033" s="21">
        <f>0</f>
        <v/>
      </c>
      <c r="S9033" s="21">
        <f>2*$B$8765</f>
        <v/>
      </c>
      <c r="T9033" s="21">
        <f>-$B$8764</f>
        <v/>
      </c>
      <c r="U9033" s="21">
        <f>$B$8766</f>
        <v/>
      </c>
      <c r="V9033" s="21" t="n">
        <v>0</v>
      </c>
      <c r="W9033" s="21" t="n">
        <v>0</v>
      </c>
      <c r="X9033" s="21" t="n">
        <v>0</v>
      </c>
      <c r="Y9033" s="21" t="n">
        <v>0</v>
      </c>
      <c r="Z9033" s="19" t="n"/>
    </row>
    <row r="9034">
      <c r="D9034" s="21" t="n">
        <v>0</v>
      </c>
      <c r="E9034" s="21" t="n">
        <v>0</v>
      </c>
      <c r="F9034" s="21" t="n">
        <v>0</v>
      </c>
      <c r="G9034" s="21" t="n">
        <v>0</v>
      </c>
      <c r="H9034" s="21" t="n">
        <v>0</v>
      </c>
      <c r="I9034" s="21" t="n">
        <v>0</v>
      </c>
      <c r="J9034" s="21" t="n">
        <v>0</v>
      </c>
      <c r="K9034" s="21" t="n">
        <v>0</v>
      </c>
      <c r="L9034" s="21" t="n">
        <v>0</v>
      </c>
      <c r="M9034" s="21" t="n">
        <v>0</v>
      </c>
      <c r="N9034" s="21" t="n">
        <v>0</v>
      </c>
      <c r="O9034" s="21" t="n">
        <v>0</v>
      </c>
      <c r="P9034" s="21" t="n">
        <v>0</v>
      </c>
      <c r="Q9034" s="21" t="n">
        <v>0</v>
      </c>
      <c r="R9034" s="21">
        <f>-$B$8763</f>
        <v/>
      </c>
      <c r="S9034" s="21">
        <f>-$B$8764</f>
        <v/>
      </c>
      <c r="T9034" s="21">
        <f>2*$B$8763+$D$9014</f>
        <v/>
      </c>
      <c r="U9034" s="21">
        <f>0</f>
        <v/>
      </c>
      <c r="V9034" s="21">
        <f>-$B$8763</f>
        <v/>
      </c>
      <c r="W9034" s="21">
        <f>$B$8764</f>
        <v/>
      </c>
      <c r="X9034" s="21" t="n">
        <v>0</v>
      </c>
      <c r="Y9034" s="21" t="n">
        <v>0</v>
      </c>
      <c r="Z9034" s="19" t="n"/>
    </row>
    <row r="9035">
      <c r="D9035" s="21" t="n">
        <v>0</v>
      </c>
      <c r="E9035" s="21" t="n">
        <v>0</v>
      </c>
      <c r="F9035" s="21" t="n">
        <v>0</v>
      </c>
      <c r="G9035" s="21" t="n">
        <v>0</v>
      </c>
      <c r="H9035" s="21" t="n">
        <v>0</v>
      </c>
      <c r="I9035" s="21" t="n">
        <v>0</v>
      </c>
      <c r="J9035" s="21" t="n">
        <v>0</v>
      </c>
      <c r="K9035" s="21" t="n">
        <v>0</v>
      </c>
      <c r="L9035" s="21" t="n">
        <v>0</v>
      </c>
      <c r="M9035" s="21" t="n">
        <v>0</v>
      </c>
      <c r="N9035" s="21" t="n">
        <v>0</v>
      </c>
      <c r="O9035" s="21" t="n">
        <v>0</v>
      </c>
      <c r="P9035" s="21" t="n">
        <v>0</v>
      </c>
      <c r="Q9035" s="21" t="n">
        <v>0</v>
      </c>
      <c r="R9035" s="21">
        <f>$B$8764</f>
        <v/>
      </c>
      <c r="S9035" s="21">
        <f>$B$8766</f>
        <v/>
      </c>
      <c r="T9035" s="21">
        <f>0</f>
        <v/>
      </c>
      <c r="U9035" s="21">
        <f>2*$B$8765</f>
        <v/>
      </c>
      <c r="V9035" s="21">
        <f>-$B$8764</f>
        <v/>
      </c>
      <c r="W9035" s="21">
        <f>$B$8766</f>
        <v/>
      </c>
      <c r="X9035" s="21" t="n">
        <v>0</v>
      </c>
      <c r="Y9035" s="21" t="n">
        <v>0</v>
      </c>
      <c r="Z9035" s="19" t="n"/>
    </row>
    <row r="9036">
      <c r="D9036" s="21" t="n">
        <v>0</v>
      </c>
      <c r="E9036" s="21" t="n">
        <v>0</v>
      </c>
      <c r="F9036" s="21" t="n">
        <v>0</v>
      </c>
      <c r="G9036" s="21" t="n">
        <v>0</v>
      </c>
      <c r="H9036" s="21" t="n">
        <v>0</v>
      </c>
      <c r="I9036" s="21" t="n">
        <v>0</v>
      </c>
      <c r="J9036" s="21" t="n">
        <v>0</v>
      </c>
      <c r="K9036" s="21" t="n">
        <v>0</v>
      </c>
      <c r="L9036" s="21" t="n">
        <v>0</v>
      </c>
      <c r="M9036" s="21" t="n">
        <v>0</v>
      </c>
      <c r="N9036" s="21" t="n">
        <v>0</v>
      </c>
      <c r="O9036" s="21" t="n">
        <v>0</v>
      </c>
      <c r="P9036" s="21" t="n">
        <v>0</v>
      </c>
      <c r="Q9036" s="21" t="n">
        <v>0</v>
      </c>
      <c r="R9036" s="21" t="n">
        <v>0</v>
      </c>
      <c r="S9036" s="21" t="n">
        <v>0</v>
      </c>
      <c r="T9036" s="21">
        <f>-$B$8763</f>
        <v/>
      </c>
      <c r="U9036" s="21">
        <f>-$B$8764</f>
        <v/>
      </c>
      <c r="V9036" s="21">
        <f>2*$B$8763+$D$9015</f>
        <v/>
      </c>
      <c r="W9036" s="21">
        <f>0</f>
        <v/>
      </c>
      <c r="X9036" s="21">
        <f>-$B$8763</f>
        <v/>
      </c>
      <c r="Y9036" s="21">
        <f>$B$8764</f>
        <v/>
      </c>
      <c r="Z9036" s="19" t="n"/>
    </row>
    <row r="9037">
      <c r="D9037" s="21" t="n">
        <v>0</v>
      </c>
      <c r="E9037" s="21" t="n">
        <v>0</v>
      </c>
      <c r="F9037" s="21" t="n">
        <v>0</v>
      </c>
      <c r="G9037" s="21" t="n">
        <v>0</v>
      </c>
      <c r="H9037" s="21" t="n">
        <v>0</v>
      </c>
      <c r="I9037" s="21" t="n">
        <v>0</v>
      </c>
      <c r="J9037" s="21" t="n">
        <v>0</v>
      </c>
      <c r="K9037" s="21" t="n">
        <v>0</v>
      </c>
      <c r="L9037" s="21" t="n">
        <v>0</v>
      </c>
      <c r="M9037" s="21" t="n">
        <v>0</v>
      </c>
      <c r="N9037" s="21" t="n">
        <v>0</v>
      </c>
      <c r="O9037" s="21" t="n">
        <v>0</v>
      </c>
      <c r="P9037" s="21" t="n">
        <v>0</v>
      </c>
      <c r="Q9037" s="21" t="n">
        <v>0</v>
      </c>
      <c r="R9037" s="21" t="n">
        <v>0</v>
      </c>
      <c r="S9037" s="21" t="n">
        <v>0</v>
      </c>
      <c r="T9037" s="21">
        <f>$B$8764</f>
        <v/>
      </c>
      <c r="U9037" s="21">
        <f>$B$8766</f>
        <v/>
      </c>
      <c r="V9037" s="21">
        <f>0</f>
        <v/>
      </c>
      <c r="W9037" s="21">
        <f>2*$B$8765</f>
        <v/>
      </c>
      <c r="X9037" s="21">
        <f>-$B$8764</f>
        <v/>
      </c>
      <c r="Y9037" s="21">
        <f>$B$8766</f>
        <v/>
      </c>
      <c r="Z9037" s="19" t="n"/>
    </row>
    <row r="9038">
      <c r="D9038" s="21" t="n">
        <v>0</v>
      </c>
      <c r="E9038" s="21" t="n">
        <v>0</v>
      </c>
      <c r="F9038" s="21" t="n">
        <v>0</v>
      </c>
      <c r="G9038" s="21" t="n">
        <v>0</v>
      </c>
      <c r="H9038" s="21" t="n">
        <v>0</v>
      </c>
      <c r="I9038" s="21" t="n">
        <v>0</v>
      </c>
      <c r="J9038" s="21" t="n">
        <v>0</v>
      </c>
      <c r="K9038" s="21" t="n">
        <v>0</v>
      </c>
      <c r="L9038" s="21" t="n">
        <v>0</v>
      </c>
      <c r="M9038" s="21" t="n">
        <v>0</v>
      </c>
      <c r="N9038" s="21" t="n">
        <v>0</v>
      </c>
      <c r="O9038" s="21" t="n">
        <v>0</v>
      </c>
      <c r="P9038" s="21" t="n">
        <v>0</v>
      </c>
      <c r="Q9038" s="21" t="n">
        <v>0</v>
      </c>
      <c r="R9038" s="21" t="n">
        <v>0</v>
      </c>
      <c r="S9038" s="21" t="n">
        <v>0</v>
      </c>
      <c r="T9038" s="21" t="n">
        <v>0</v>
      </c>
      <c r="U9038" s="21" t="n">
        <v>0</v>
      </c>
      <c r="V9038" s="21">
        <f>-$B$8763</f>
        <v/>
      </c>
      <c r="W9038" s="21">
        <f>-$B$8764</f>
        <v/>
      </c>
      <c r="X9038" s="21">
        <f>$B$8763+$D$9016</f>
        <v/>
      </c>
      <c r="Y9038" s="21">
        <f>-$B$8764</f>
        <v/>
      </c>
      <c r="Z9038" s="19" t="n"/>
    </row>
    <row r="9039">
      <c r="D9039" s="21" t="n">
        <v>0</v>
      </c>
      <c r="E9039" s="21" t="n">
        <v>0</v>
      </c>
      <c r="F9039" s="21" t="n">
        <v>0</v>
      </c>
      <c r="G9039" s="21" t="n">
        <v>0</v>
      </c>
      <c r="H9039" s="21" t="n">
        <v>0</v>
      </c>
      <c r="I9039" s="21" t="n">
        <v>0</v>
      </c>
      <c r="J9039" s="21" t="n">
        <v>0</v>
      </c>
      <c r="K9039" s="21" t="n">
        <v>0</v>
      </c>
      <c r="L9039" s="21" t="n">
        <v>0</v>
      </c>
      <c r="M9039" s="21" t="n">
        <v>0</v>
      </c>
      <c r="N9039" s="21" t="n">
        <v>0</v>
      </c>
      <c r="O9039" s="21" t="n">
        <v>0</v>
      </c>
      <c r="P9039" s="21" t="n">
        <v>0</v>
      </c>
      <c r="Q9039" s="21" t="n">
        <v>0</v>
      </c>
      <c r="R9039" s="21" t="n">
        <v>0</v>
      </c>
      <c r="S9039" s="21" t="n">
        <v>0</v>
      </c>
      <c r="T9039" s="21" t="n">
        <v>0</v>
      </c>
      <c r="U9039" s="21" t="n">
        <v>0</v>
      </c>
      <c r="V9039" s="21">
        <f>$B$8764</f>
        <v/>
      </c>
      <c r="W9039" s="21">
        <f>$B$8766</f>
        <v/>
      </c>
      <c r="X9039" s="21">
        <f>-$B$8764</f>
        <v/>
      </c>
      <c r="Y9039" s="21">
        <f>$B$8765</f>
        <v/>
      </c>
      <c r="Z9039" s="19" t="n"/>
    </row>
    <row r="9041">
      <c r="A9041" s="8" t="inlineStr">
        <is>
          <t>gen 7</t>
        </is>
      </c>
    </row>
    <row r="9042">
      <c r="D9042" s="19">
        <f>IF(ABS(IF(ABS($E$9006)&gt;0.000000001,$E$9006,0.000000001))=0,0,IF($E$8778&lt;=$B$8772,0,IF(ABS(IF(ABS($E$9006)&gt;0.000000001,$E$9006,0.000000001))&gt;=8*$B$8774,$H$8778,0.5*$H$8778*(ABS(IF(ABS($E$9006)&gt;0.000000001,$E$9006,0.000000001))/$B$8774)^(1/3)))/ABS(IF(ABS($E$9006)&gt;0.000000001,$E$9006,0.000000001))*$I$8778)</f>
        <v/>
      </c>
      <c r="E9042" s="19">
        <f>0.5*$E$9006+0.5*$Z$9054</f>
        <v/>
      </c>
      <c r="F9042" s="19">
        <f>$Z$9055</f>
        <v/>
      </c>
    </row>
    <row r="9043">
      <c r="D9043" s="19">
        <f>IF(ABS(IF(ABS($E$9007)&gt;0.000000001,$E$9007,0.000000001))=0,0,IF($E$8779&lt;=$B$8772,0,IF(ABS(IF(ABS($E$9007)&gt;0.000000001,$E$9007,0.000000001))&gt;=8*$B$8774,$H$8779,0.5*$H$8779*(ABS(IF(ABS($E$9007)&gt;0.000000001,$E$9007,0.000000001))/$B$8774)^(1/3)))/ABS(IF(ABS($E$9007)&gt;0.000000001,$E$9007,0.000000001))*$I$8779)</f>
        <v/>
      </c>
      <c r="E9043" s="19">
        <f>0.5*$E$9007+0.5*$Z$9056</f>
        <v/>
      </c>
      <c r="F9043" s="19">
        <f>$Z$9057</f>
        <v/>
      </c>
    </row>
    <row r="9044">
      <c r="D9044" s="19">
        <f>IF(ABS(IF(ABS($E$9008)&gt;0.000000001,$E$9008,0.000000001))=0,0,IF($E$8780&lt;=$B$8772,0,IF(ABS(IF(ABS($E$9008)&gt;0.000000001,$E$9008,0.000000001))&gt;=8*$B$8774,$H$8780,0.5*$H$8780*(ABS(IF(ABS($E$9008)&gt;0.000000001,$E$9008,0.000000001))/$B$8774)^(1/3)))/ABS(IF(ABS($E$9008)&gt;0.000000001,$E$9008,0.000000001))*$I$8780)</f>
        <v/>
      </c>
      <c r="E9044" s="19">
        <f>0.5*$E$9008+0.5*$Z$9058</f>
        <v/>
      </c>
      <c r="F9044" s="19">
        <f>$Z$9059</f>
        <v/>
      </c>
    </row>
    <row r="9045">
      <c r="D9045" s="19">
        <f>IF(ABS(IF(ABS($E$9009)&gt;0.000000001,$E$9009,0.000000001))=0,0,IF($E$8781&lt;=$B$8772,0,IF(ABS(IF(ABS($E$9009)&gt;0.000000001,$E$9009,0.000000001))&gt;=8*$B$8774,$H$8781,0.5*$H$8781*(ABS(IF(ABS($E$9009)&gt;0.000000001,$E$9009,0.000000001))/$B$8774)^(1/3)))/ABS(IF(ABS($E$9009)&gt;0.000000001,$E$9009,0.000000001))*$I$8781)</f>
        <v/>
      </c>
      <c r="E9045" s="19">
        <f>0.5*$E$9009+0.5*$Z$9060</f>
        <v/>
      </c>
      <c r="F9045" s="19">
        <f>$Z$9061</f>
        <v/>
      </c>
    </row>
    <row r="9046">
      <c r="D9046" s="19">
        <f>IF(ABS(IF(ABS($E$9010)&gt;0.000000001,$E$9010,0.000000001))=0,0,IF($E$8782&lt;=$B$8772,0,IF(ABS(IF(ABS($E$9010)&gt;0.000000001,$E$9010,0.000000001))&gt;=8*$B$8774,$H$8782,0.5*$H$8782*(ABS(IF(ABS($E$9010)&gt;0.000000001,$E$9010,0.000000001))/$B$8774)^(1/3)))/ABS(IF(ABS($E$9010)&gt;0.000000001,$E$9010,0.000000001))*$I$8782)</f>
        <v/>
      </c>
      <c r="E9046" s="19">
        <f>0.5*$E$9010+0.5*$Z$9062</f>
        <v/>
      </c>
      <c r="F9046" s="19">
        <f>$Z$9063</f>
        <v/>
      </c>
    </row>
    <row r="9047">
      <c r="D9047" s="19">
        <f>IF(ABS(IF(ABS($E$9011)&gt;0.000000001,$E$9011,0.000000001))=0,0,IF($E$8783&lt;=$B$8772,0,IF(ABS(IF(ABS($E$9011)&gt;0.000000001,$E$9011,0.000000001))&gt;=8*$B$8774,$H$8783,0.5*$H$8783*(ABS(IF(ABS($E$9011)&gt;0.000000001,$E$9011,0.000000001))/$B$8774)^(1/3)))/ABS(IF(ABS($E$9011)&gt;0.000000001,$E$9011,0.000000001))*$I$8783)</f>
        <v/>
      </c>
      <c r="E9047" s="19">
        <f>0.5*$E$9011+0.5*$Z$9064</f>
        <v/>
      </c>
      <c r="F9047" s="19">
        <f>$Z$9065</f>
        <v/>
      </c>
    </row>
    <row r="9048">
      <c r="D9048" s="19">
        <f>IF(ABS(IF(ABS($E$9012)&gt;0.000000001,$E$9012,0.000000001))=0,0,IF($E$8784&lt;=$B$8772,0,IF(ABS(IF(ABS($E$9012)&gt;0.000000001,$E$9012,0.000000001))&gt;=8*$B$8774,$H$8784,0.5*$H$8784*(ABS(IF(ABS($E$9012)&gt;0.000000001,$E$9012,0.000000001))/$B$8774)^(1/3)))/ABS(IF(ABS($E$9012)&gt;0.000000001,$E$9012,0.000000001))*$I$8784)</f>
        <v/>
      </c>
      <c r="E9048" s="19">
        <f>0.5*$E$9012+0.5*$Z$9066</f>
        <v/>
      </c>
      <c r="F9048" s="19">
        <f>$Z$9067</f>
        <v/>
      </c>
    </row>
    <row r="9049">
      <c r="D9049" s="19">
        <f>IF(ABS(IF(ABS($E$9013)&gt;0.000000001,$E$9013,0.000000001))=0,0,IF($E$8785&lt;=$B$8772,0,IF(ABS(IF(ABS($E$9013)&gt;0.000000001,$E$9013,0.000000001))&gt;=8*$B$8774,$H$8785,0.5*$H$8785*(ABS(IF(ABS($E$9013)&gt;0.000000001,$E$9013,0.000000001))/$B$8774)^(1/3)))/ABS(IF(ABS($E$9013)&gt;0.000000001,$E$9013,0.000000001))*$I$8785)</f>
        <v/>
      </c>
      <c r="E9049" s="19">
        <f>0.5*$E$9013+0.5*$Z$9068</f>
        <v/>
      </c>
      <c r="F9049" s="19">
        <f>$Z$9069</f>
        <v/>
      </c>
    </row>
    <row r="9050">
      <c r="D9050" s="19">
        <f>IF(ABS(IF(ABS($E$9014)&gt;0.000000001,$E$9014,0.000000001))=0,0,IF($E$8786&lt;=$B$8772,0,IF(ABS(IF(ABS($E$9014)&gt;0.000000001,$E$9014,0.000000001))&gt;=8*$B$8774,$H$8786,0.5*$H$8786*(ABS(IF(ABS($E$9014)&gt;0.000000001,$E$9014,0.000000001))/$B$8774)^(1/3)))/ABS(IF(ABS($E$9014)&gt;0.000000001,$E$9014,0.000000001))*$I$8786)</f>
        <v/>
      </c>
      <c r="E9050" s="19">
        <f>0.5*$E$9014+0.5*$Z$9070</f>
        <v/>
      </c>
      <c r="F9050" s="19">
        <f>$Z$9071</f>
        <v/>
      </c>
    </row>
    <row r="9051">
      <c r="D9051" s="19">
        <f>IF(ABS(IF(ABS($E$9015)&gt;0.000000001,$E$9015,0.000000001))=0,0,IF($E$8787&lt;=$B$8772,0,IF(ABS(IF(ABS($E$9015)&gt;0.000000001,$E$9015,0.000000001))&gt;=8*$B$8774,$H$8787,0.5*$H$8787*(ABS(IF(ABS($E$9015)&gt;0.000000001,$E$9015,0.000000001))/$B$8774)^(1/3)))/ABS(IF(ABS($E$9015)&gt;0.000000001,$E$9015,0.000000001))*$I$8787)</f>
        <v/>
      </c>
      <c r="E9051" s="19">
        <f>0.5*$E$9015+0.5*$Z$9072</f>
        <v/>
      </c>
      <c r="F9051" s="19">
        <f>$Z$9073</f>
        <v/>
      </c>
    </row>
    <row r="9052">
      <c r="D9052" s="19">
        <f>IF(ABS(IF(ABS($E$9016)&gt;0.000000001,$E$9016,0.000000001))=0,0,IF($E$8788&lt;=$B$8772,0,IF(ABS(IF(ABS($E$9016)&gt;0.000000001,$E$9016,0.000000001))&gt;=8*$B$8774,$H$8788,0.5*$H$8788*(ABS(IF(ABS($E$9016)&gt;0.000000001,$E$9016,0.000000001))/$B$8774)^(1/3)))/ABS(IF(ABS($E$9016)&gt;0.000000001,$E$9016,0.000000001))*$I$8788)</f>
        <v/>
      </c>
      <c r="E9052" s="19">
        <f>0.5*$E$9016+0.5*$Z$9074</f>
        <v/>
      </c>
      <c r="F9052" s="19">
        <f>$Z$9075</f>
        <v/>
      </c>
    </row>
    <row r="9054">
      <c r="D9054" s="21">
        <f>$B$8763+$D$9042</f>
        <v/>
      </c>
      <c r="E9054" s="21">
        <f>$B$8764</f>
        <v/>
      </c>
      <c r="F9054" s="21">
        <f>-$B$8763</f>
        <v/>
      </c>
      <c r="G9054" s="21">
        <f>$B$8764</f>
        <v/>
      </c>
      <c r="H9054" s="21" t="n">
        <v>0</v>
      </c>
      <c r="I9054" s="21" t="n">
        <v>0</v>
      </c>
      <c r="J9054" s="21" t="n">
        <v>0</v>
      </c>
      <c r="K9054" s="21" t="n">
        <v>0</v>
      </c>
      <c r="L9054" s="21" t="n">
        <v>0</v>
      </c>
      <c r="M9054" s="21" t="n">
        <v>0</v>
      </c>
      <c r="N9054" s="21" t="n">
        <v>0</v>
      </c>
      <c r="O9054" s="21" t="n">
        <v>0</v>
      </c>
      <c r="P9054" s="21" t="n">
        <v>0</v>
      </c>
      <c r="Q9054" s="21" t="n">
        <v>0</v>
      </c>
      <c r="R9054" s="21" t="n">
        <v>0</v>
      </c>
      <c r="S9054" s="21" t="n">
        <v>0</v>
      </c>
      <c r="T9054" s="21" t="n">
        <v>0</v>
      </c>
      <c r="U9054" s="21" t="n">
        <v>0</v>
      </c>
      <c r="V9054" s="21" t="n">
        <v>0</v>
      </c>
      <c r="W9054" s="21" t="n">
        <v>0</v>
      </c>
      <c r="X9054" s="21" t="n">
        <v>0</v>
      </c>
      <c r="Y9054" s="21" t="n">
        <v>0</v>
      </c>
      <c r="Z9054" s="19">
        <f t="array" ref="Z9054:Z9075">MMULT(MINVERSE($D$9054:$Y$9075),$D$8790:$D$8811)</f>
        <v/>
      </c>
    </row>
    <row r="9055">
      <c r="D9055" s="21">
        <f>$B$8764</f>
        <v/>
      </c>
      <c r="E9055" s="21">
        <f>$B$8765</f>
        <v/>
      </c>
      <c r="F9055" s="21">
        <f>-$B$8764</f>
        <v/>
      </c>
      <c r="G9055" s="21">
        <f>$B$8766</f>
        <v/>
      </c>
      <c r="H9055" s="21" t="n">
        <v>0</v>
      </c>
      <c r="I9055" s="21" t="n">
        <v>0</v>
      </c>
      <c r="J9055" s="21" t="n">
        <v>0</v>
      </c>
      <c r="K9055" s="21" t="n">
        <v>0</v>
      </c>
      <c r="L9055" s="21" t="n">
        <v>0</v>
      </c>
      <c r="M9055" s="21" t="n">
        <v>0</v>
      </c>
      <c r="N9055" s="21" t="n">
        <v>0</v>
      </c>
      <c r="O9055" s="21" t="n">
        <v>0</v>
      </c>
      <c r="P9055" s="21" t="n">
        <v>0</v>
      </c>
      <c r="Q9055" s="21" t="n">
        <v>0</v>
      </c>
      <c r="R9055" s="21" t="n">
        <v>0</v>
      </c>
      <c r="S9055" s="21" t="n">
        <v>0</v>
      </c>
      <c r="T9055" s="21" t="n">
        <v>0</v>
      </c>
      <c r="U9055" s="21" t="n">
        <v>0</v>
      </c>
      <c r="V9055" s="21" t="n">
        <v>0</v>
      </c>
      <c r="W9055" s="21" t="n">
        <v>0</v>
      </c>
      <c r="X9055" s="21" t="n">
        <v>0</v>
      </c>
      <c r="Y9055" s="21" t="n">
        <v>0</v>
      </c>
      <c r="Z9055" s="19" t="n"/>
    </row>
    <row r="9056">
      <c r="D9056" s="21">
        <f>-$B$8763</f>
        <v/>
      </c>
      <c r="E9056" s="21">
        <f>-$B$8764</f>
        <v/>
      </c>
      <c r="F9056" s="21">
        <f>2*$B$8763+$D$9043</f>
        <v/>
      </c>
      <c r="G9056" s="21">
        <f>0</f>
        <v/>
      </c>
      <c r="H9056" s="21">
        <f>-$B$8763</f>
        <v/>
      </c>
      <c r="I9056" s="21">
        <f>$B$8764</f>
        <v/>
      </c>
      <c r="J9056" s="21" t="n">
        <v>0</v>
      </c>
      <c r="K9056" s="21" t="n">
        <v>0</v>
      </c>
      <c r="L9056" s="21" t="n">
        <v>0</v>
      </c>
      <c r="M9056" s="21" t="n">
        <v>0</v>
      </c>
      <c r="N9056" s="21" t="n">
        <v>0</v>
      </c>
      <c r="O9056" s="21" t="n">
        <v>0</v>
      </c>
      <c r="P9056" s="21" t="n">
        <v>0</v>
      </c>
      <c r="Q9056" s="21" t="n">
        <v>0</v>
      </c>
      <c r="R9056" s="21" t="n">
        <v>0</v>
      </c>
      <c r="S9056" s="21" t="n">
        <v>0</v>
      </c>
      <c r="T9056" s="21" t="n">
        <v>0</v>
      </c>
      <c r="U9056" s="21" t="n">
        <v>0</v>
      </c>
      <c r="V9056" s="21" t="n">
        <v>0</v>
      </c>
      <c r="W9056" s="21" t="n">
        <v>0</v>
      </c>
      <c r="X9056" s="21" t="n">
        <v>0</v>
      </c>
      <c r="Y9056" s="21" t="n">
        <v>0</v>
      </c>
      <c r="Z9056" s="19" t="n"/>
    </row>
    <row r="9057">
      <c r="D9057" s="21">
        <f>$B$8764</f>
        <v/>
      </c>
      <c r="E9057" s="21">
        <f>$B$8766</f>
        <v/>
      </c>
      <c r="F9057" s="21">
        <f>0</f>
        <v/>
      </c>
      <c r="G9057" s="21">
        <f>2*$B$8765</f>
        <v/>
      </c>
      <c r="H9057" s="21">
        <f>-$B$8764</f>
        <v/>
      </c>
      <c r="I9057" s="21">
        <f>$B$8766</f>
        <v/>
      </c>
      <c r="J9057" s="21" t="n">
        <v>0</v>
      </c>
      <c r="K9057" s="21" t="n">
        <v>0</v>
      </c>
      <c r="L9057" s="21" t="n">
        <v>0</v>
      </c>
      <c r="M9057" s="21" t="n">
        <v>0</v>
      </c>
      <c r="N9057" s="21" t="n">
        <v>0</v>
      </c>
      <c r="O9057" s="21" t="n">
        <v>0</v>
      </c>
      <c r="P9057" s="21" t="n">
        <v>0</v>
      </c>
      <c r="Q9057" s="21" t="n">
        <v>0</v>
      </c>
      <c r="R9057" s="21" t="n">
        <v>0</v>
      </c>
      <c r="S9057" s="21" t="n">
        <v>0</v>
      </c>
      <c r="T9057" s="21" t="n">
        <v>0</v>
      </c>
      <c r="U9057" s="21" t="n">
        <v>0</v>
      </c>
      <c r="V9057" s="21" t="n">
        <v>0</v>
      </c>
      <c r="W9057" s="21" t="n">
        <v>0</v>
      </c>
      <c r="X9057" s="21" t="n">
        <v>0</v>
      </c>
      <c r="Y9057" s="21" t="n">
        <v>0</v>
      </c>
      <c r="Z9057" s="19" t="n"/>
    </row>
    <row r="9058">
      <c r="D9058" s="21" t="n">
        <v>0</v>
      </c>
      <c r="E9058" s="21" t="n">
        <v>0</v>
      </c>
      <c r="F9058" s="21">
        <f>-$B$8763</f>
        <v/>
      </c>
      <c r="G9058" s="21">
        <f>-$B$8764</f>
        <v/>
      </c>
      <c r="H9058" s="21">
        <f>2*$B$8763+$D$9044</f>
        <v/>
      </c>
      <c r="I9058" s="21">
        <f>0</f>
        <v/>
      </c>
      <c r="J9058" s="21">
        <f>-$B$8763</f>
        <v/>
      </c>
      <c r="K9058" s="21">
        <f>$B$8764</f>
        <v/>
      </c>
      <c r="L9058" s="21" t="n">
        <v>0</v>
      </c>
      <c r="M9058" s="21" t="n">
        <v>0</v>
      </c>
      <c r="N9058" s="21" t="n">
        <v>0</v>
      </c>
      <c r="O9058" s="21" t="n">
        <v>0</v>
      </c>
      <c r="P9058" s="21" t="n">
        <v>0</v>
      </c>
      <c r="Q9058" s="21" t="n">
        <v>0</v>
      </c>
      <c r="R9058" s="21" t="n">
        <v>0</v>
      </c>
      <c r="S9058" s="21" t="n">
        <v>0</v>
      </c>
      <c r="T9058" s="21" t="n">
        <v>0</v>
      </c>
      <c r="U9058" s="21" t="n">
        <v>0</v>
      </c>
      <c r="V9058" s="21" t="n">
        <v>0</v>
      </c>
      <c r="W9058" s="21" t="n">
        <v>0</v>
      </c>
      <c r="X9058" s="21" t="n">
        <v>0</v>
      </c>
      <c r="Y9058" s="21" t="n">
        <v>0</v>
      </c>
      <c r="Z9058" s="19" t="n"/>
    </row>
    <row r="9059">
      <c r="D9059" s="21" t="n">
        <v>0</v>
      </c>
      <c r="E9059" s="21" t="n">
        <v>0</v>
      </c>
      <c r="F9059" s="21">
        <f>$B$8764</f>
        <v/>
      </c>
      <c r="G9059" s="21">
        <f>$B$8766</f>
        <v/>
      </c>
      <c r="H9059" s="21">
        <f>0</f>
        <v/>
      </c>
      <c r="I9059" s="21">
        <f>2*$B$8765</f>
        <v/>
      </c>
      <c r="J9059" s="21">
        <f>-$B$8764</f>
        <v/>
      </c>
      <c r="K9059" s="21">
        <f>$B$8766</f>
        <v/>
      </c>
      <c r="L9059" s="21" t="n">
        <v>0</v>
      </c>
      <c r="M9059" s="21" t="n">
        <v>0</v>
      </c>
      <c r="N9059" s="21" t="n">
        <v>0</v>
      </c>
      <c r="O9059" s="21" t="n">
        <v>0</v>
      </c>
      <c r="P9059" s="21" t="n">
        <v>0</v>
      </c>
      <c r="Q9059" s="21" t="n">
        <v>0</v>
      </c>
      <c r="R9059" s="21" t="n">
        <v>0</v>
      </c>
      <c r="S9059" s="21" t="n">
        <v>0</v>
      </c>
      <c r="T9059" s="21" t="n">
        <v>0</v>
      </c>
      <c r="U9059" s="21" t="n">
        <v>0</v>
      </c>
      <c r="V9059" s="21" t="n">
        <v>0</v>
      </c>
      <c r="W9059" s="21" t="n">
        <v>0</v>
      </c>
      <c r="X9059" s="21" t="n">
        <v>0</v>
      </c>
      <c r="Y9059" s="21" t="n">
        <v>0</v>
      </c>
      <c r="Z9059" s="19" t="n"/>
    </row>
    <row r="9060">
      <c r="D9060" s="21" t="n">
        <v>0</v>
      </c>
      <c r="E9060" s="21" t="n">
        <v>0</v>
      </c>
      <c r="F9060" s="21" t="n">
        <v>0</v>
      </c>
      <c r="G9060" s="21" t="n">
        <v>0</v>
      </c>
      <c r="H9060" s="21">
        <f>-$B$8763</f>
        <v/>
      </c>
      <c r="I9060" s="21">
        <f>-$B$8764</f>
        <v/>
      </c>
      <c r="J9060" s="21">
        <f>2*$B$8763+$D$9045</f>
        <v/>
      </c>
      <c r="K9060" s="21">
        <f>0</f>
        <v/>
      </c>
      <c r="L9060" s="21">
        <f>-$B$8763</f>
        <v/>
      </c>
      <c r="M9060" s="21">
        <f>$B$8764</f>
        <v/>
      </c>
      <c r="N9060" s="21" t="n">
        <v>0</v>
      </c>
      <c r="O9060" s="21" t="n">
        <v>0</v>
      </c>
      <c r="P9060" s="21" t="n">
        <v>0</v>
      </c>
      <c r="Q9060" s="21" t="n">
        <v>0</v>
      </c>
      <c r="R9060" s="21" t="n">
        <v>0</v>
      </c>
      <c r="S9060" s="21" t="n">
        <v>0</v>
      </c>
      <c r="T9060" s="21" t="n">
        <v>0</v>
      </c>
      <c r="U9060" s="21" t="n">
        <v>0</v>
      </c>
      <c r="V9060" s="21" t="n">
        <v>0</v>
      </c>
      <c r="W9060" s="21" t="n">
        <v>0</v>
      </c>
      <c r="X9060" s="21" t="n">
        <v>0</v>
      </c>
      <c r="Y9060" s="21" t="n">
        <v>0</v>
      </c>
      <c r="Z9060" s="19" t="n"/>
    </row>
    <row r="9061">
      <c r="D9061" s="21" t="n">
        <v>0</v>
      </c>
      <c r="E9061" s="21" t="n">
        <v>0</v>
      </c>
      <c r="F9061" s="21" t="n">
        <v>0</v>
      </c>
      <c r="G9061" s="21" t="n">
        <v>0</v>
      </c>
      <c r="H9061" s="21">
        <f>$B$8764</f>
        <v/>
      </c>
      <c r="I9061" s="21">
        <f>$B$8766</f>
        <v/>
      </c>
      <c r="J9061" s="21">
        <f>0</f>
        <v/>
      </c>
      <c r="K9061" s="21">
        <f>2*$B$8765</f>
        <v/>
      </c>
      <c r="L9061" s="21">
        <f>-$B$8764</f>
        <v/>
      </c>
      <c r="M9061" s="21">
        <f>$B$8766</f>
        <v/>
      </c>
      <c r="N9061" s="21" t="n">
        <v>0</v>
      </c>
      <c r="O9061" s="21" t="n">
        <v>0</v>
      </c>
      <c r="P9061" s="21" t="n">
        <v>0</v>
      </c>
      <c r="Q9061" s="21" t="n">
        <v>0</v>
      </c>
      <c r="R9061" s="21" t="n">
        <v>0</v>
      </c>
      <c r="S9061" s="21" t="n">
        <v>0</v>
      </c>
      <c r="T9061" s="21" t="n">
        <v>0</v>
      </c>
      <c r="U9061" s="21" t="n">
        <v>0</v>
      </c>
      <c r="V9061" s="21" t="n">
        <v>0</v>
      </c>
      <c r="W9061" s="21" t="n">
        <v>0</v>
      </c>
      <c r="X9061" s="21" t="n">
        <v>0</v>
      </c>
      <c r="Y9061" s="21" t="n">
        <v>0</v>
      </c>
      <c r="Z9061" s="19" t="n"/>
    </row>
    <row r="9062">
      <c r="D9062" s="21" t="n">
        <v>0</v>
      </c>
      <c r="E9062" s="21" t="n">
        <v>0</v>
      </c>
      <c r="F9062" s="21" t="n">
        <v>0</v>
      </c>
      <c r="G9062" s="21" t="n">
        <v>0</v>
      </c>
      <c r="H9062" s="21" t="n">
        <v>0</v>
      </c>
      <c r="I9062" s="21" t="n">
        <v>0</v>
      </c>
      <c r="J9062" s="21">
        <f>-$B$8763</f>
        <v/>
      </c>
      <c r="K9062" s="21">
        <f>-$B$8764</f>
        <v/>
      </c>
      <c r="L9062" s="21">
        <f>2*$B$8763+$D$9046</f>
        <v/>
      </c>
      <c r="M9062" s="21">
        <f>0</f>
        <v/>
      </c>
      <c r="N9062" s="21">
        <f>-$B$8763</f>
        <v/>
      </c>
      <c r="O9062" s="21">
        <f>$B$8764</f>
        <v/>
      </c>
      <c r="P9062" s="21" t="n">
        <v>0</v>
      </c>
      <c r="Q9062" s="21" t="n">
        <v>0</v>
      </c>
      <c r="R9062" s="21" t="n">
        <v>0</v>
      </c>
      <c r="S9062" s="21" t="n">
        <v>0</v>
      </c>
      <c r="T9062" s="21" t="n">
        <v>0</v>
      </c>
      <c r="U9062" s="21" t="n">
        <v>0</v>
      </c>
      <c r="V9062" s="21" t="n">
        <v>0</v>
      </c>
      <c r="W9062" s="21" t="n">
        <v>0</v>
      </c>
      <c r="X9062" s="21" t="n">
        <v>0</v>
      </c>
      <c r="Y9062" s="21" t="n">
        <v>0</v>
      </c>
      <c r="Z9062" s="19" t="n"/>
    </row>
    <row r="9063">
      <c r="D9063" s="21" t="n">
        <v>0</v>
      </c>
      <c r="E9063" s="21" t="n">
        <v>0</v>
      </c>
      <c r="F9063" s="21" t="n">
        <v>0</v>
      </c>
      <c r="G9063" s="21" t="n">
        <v>0</v>
      </c>
      <c r="H9063" s="21" t="n">
        <v>0</v>
      </c>
      <c r="I9063" s="21" t="n">
        <v>0</v>
      </c>
      <c r="J9063" s="21">
        <f>$B$8764</f>
        <v/>
      </c>
      <c r="K9063" s="21">
        <f>$B$8766</f>
        <v/>
      </c>
      <c r="L9063" s="21">
        <f>0</f>
        <v/>
      </c>
      <c r="M9063" s="21">
        <f>2*$B$8765</f>
        <v/>
      </c>
      <c r="N9063" s="21">
        <f>-$B$8764</f>
        <v/>
      </c>
      <c r="O9063" s="21">
        <f>$B$8766</f>
        <v/>
      </c>
      <c r="P9063" s="21" t="n">
        <v>0</v>
      </c>
      <c r="Q9063" s="21" t="n">
        <v>0</v>
      </c>
      <c r="R9063" s="21" t="n">
        <v>0</v>
      </c>
      <c r="S9063" s="21" t="n">
        <v>0</v>
      </c>
      <c r="T9063" s="21" t="n">
        <v>0</v>
      </c>
      <c r="U9063" s="21" t="n">
        <v>0</v>
      </c>
      <c r="V9063" s="21" t="n">
        <v>0</v>
      </c>
      <c r="W9063" s="21" t="n">
        <v>0</v>
      </c>
      <c r="X9063" s="21" t="n">
        <v>0</v>
      </c>
      <c r="Y9063" s="21" t="n">
        <v>0</v>
      </c>
      <c r="Z9063" s="19" t="n"/>
    </row>
    <row r="9064">
      <c r="D9064" s="21" t="n">
        <v>0</v>
      </c>
      <c r="E9064" s="21" t="n">
        <v>0</v>
      </c>
      <c r="F9064" s="21" t="n">
        <v>0</v>
      </c>
      <c r="G9064" s="21" t="n">
        <v>0</v>
      </c>
      <c r="H9064" s="21" t="n">
        <v>0</v>
      </c>
      <c r="I9064" s="21" t="n">
        <v>0</v>
      </c>
      <c r="J9064" s="21" t="n">
        <v>0</v>
      </c>
      <c r="K9064" s="21" t="n">
        <v>0</v>
      </c>
      <c r="L9064" s="21">
        <f>-$B$8763</f>
        <v/>
      </c>
      <c r="M9064" s="21">
        <f>-$B$8764</f>
        <v/>
      </c>
      <c r="N9064" s="21">
        <f>2*$B$8763+$D$9047</f>
        <v/>
      </c>
      <c r="O9064" s="21">
        <f>0</f>
        <v/>
      </c>
      <c r="P9064" s="21">
        <f>-$B$8763</f>
        <v/>
      </c>
      <c r="Q9064" s="21">
        <f>$B$8764</f>
        <v/>
      </c>
      <c r="R9064" s="21" t="n">
        <v>0</v>
      </c>
      <c r="S9064" s="21" t="n">
        <v>0</v>
      </c>
      <c r="T9064" s="21" t="n">
        <v>0</v>
      </c>
      <c r="U9064" s="21" t="n">
        <v>0</v>
      </c>
      <c r="V9064" s="21" t="n">
        <v>0</v>
      </c>
      <c r="W9064" s="21" t="n">
        <v>0</v>
      </c>
      <c r="X9064" s="21" t="n">
        <v>0</v>
      </c>
      <c r="Y9064" s="21" t="n">
        <v>0</v>
      </c>
      <c r="Z9064" s="19" t="n"/>
    </row>
    <row r="9065">
      <c r="D9065" s="21" t="n">
        <v>0</v>
      </c>
      <c r="E9065" s="21" t="n">
        <v>0</v>
      </c>
      <c r="F9065" s="21" t="n">
        <v>0</v>
      </c>
      <c r="G9065" s="21" t="n">
        <v>0</v>
      </c>
      <c r="H9065" s="21" t="n">
        <v>0</v>
      </c>
      <c r="I9065" s="21" t="n">
        <v>0</v>
      </c>
      <c r="J9065" s="21" t="n">
        <v>0</v>
      </c>
      <c r="K9065" s="21" t="n">
        <v>0</v>
      </c>
      <c r="L9065" s="21">
        <f>$B$8764</f>
        <v/>
      </c>
      <c r="M9065" s="21">
        <f>$B$8766</f>
        <v/>
      </c>
      <c r="N9065" s="21">
        <f>0</f>
        <v/>
      </c>
      <c r="O9065" s="21">
        <f>2*$B$8765</f>
        <v/>
      </c>
      <c r="P9065" s="21">
        <f>-$B$8764</f>
        <v/>
      </c>
      <c r="Q9065" s="21">
        <f>$B$8766</f>
        <v/>
      </c>
      <c r="R9065" s="21" t="n">
        <v>0</v>
      </c>
      <c r="S9065" s="21" t="n">
        <v>0</v>
      </c>
      <c r="T9065" s="21" t="n">
        <v>0</v>
      </c>
      <c r="U9065" s="21" t="n">
        <v>0</v>
      </c>
      <c r="V9065" s="21" t="n">
        <v>0</v>
      </c>
      <c r="W9065" s="21" t="n">
        <v>0</v>
      </c>
      <c r="X9065" s="21" t="n">
        <v>0</v>
      </c>
      <c r="Y9065" s="21" t="n">
        <v>0</v>
      </c>
      <c r="Z9065" s="19" t="n"/>
    </row>
    <row r="9066">
      <c r="D9066" s="21" t="n">
        <v>0</v>
      </c>
      <c r="E9066" s="21" t="n">
        <v>0</v>
      </c>
      <c r="F9066" s="21" t="n">
        <v>0</v>
      </c>
      <c r="G9066" s="21" t="n">
        <v>0</v>
      </c>
      <c r="H9066" s="21" t="n">
        <v>0</v>
      </c>
      <c r="I9066" s="21" t="n">
        <v>0</v>
      </c>
      <c r="J9066" s="21" t="n">
        <v>0</v>
      </c>
      <c r="K9066" s="21" t="n">
        <v>0</v>
      </c>
      <c r="L9066" s="21" t="n">
        <v>0</v>
      </c>
      <c r="M9066" s="21" t="n">
        <v>0</v>
      </c>
      <c r="N9066" s="21">
        <f>-$B$8763</f>
        <v/>
      </c>
      <c r="O9066" s="21">
        <f>-$B$8764</f>
        <v/>
      </c>
      <c r="P9066" s="21">
        <f>2*$B$8763+$D$9048</f>
        <v/>
      </c>
      <c r="Q9066" s="21">
        <f>0</f>
        <v/>
      </c>
      <c r="R9066" s="21">
        <f>-$B$8763</f>
        <v/>
      </c>
      <c r="S9066" s="21">
        <f>$B$8764</f>
        <v/>
      </c>
      <c r="T9066" s="21" t="n">
        <v>0</v>
      </c>
      <c r="U9066" s="21" t="n">
        <v>0</v>
      </c>
      <c r="V9066" s="21" t="n">
        <v>0</v>
      </c>
      <c r="W9066" s="21" t="n">
        <v>0</v>
      </c>
      <c r="X9066" s="21" t="n">
        <v>0</v>
      </c>
      <c r="Y9066" s="21" t="n">
        <v>0</v>
      </c>
      <c r="Z9066" s="19" t="n"/>
    </row>
    <row r="9067">
      <c r="D9067" s="21" t="n">
        <v>0</v>
      </c>
      <c r="E9067" s="21" t="n">
        <v>0</v>
      </c>
      <c r="F9067" s="21" t="n">
        <v>0</v>
      </c>
      <c r="G9067" s="21" t="n">
        <v>0</v>
      </c>
      <c r="H9067" s="21" t="n">
        <v>0</v>
      </c>
      <c r="I9067" s="21" t="n">
        <v>0</v>
      </c>
      <c r="J9067" s="21" t="n">
        <v>0</v>
      </c>
      <c r="K9067" s="21" t="n">
        <v>0</v>
      </c>
      <c r="L9067" s="21" t="n">
        <v>0</v>
      </c>
      <c r="M9067" s="21" t="n">
        <v>0</v>
      </c>
      <c r="N9067" s="21">
        <f>$B$8764</f>
        <v/>
      </c>
      <c r="O9067" s="21">
        <f>$B$8766</f>
        <v/>
      </c>
      <c r="P9067" s="21">
        <f>0</f>
        <v/>
      </c>
      <c r="Q9067" s="21">
        <f>2*$B$8765</f>
        <v/>
      </c>
      <c r="R9067" s="21">
        <f>-$B$8764</f>
        <v/>
      </c>
      <c r="S9067" s="21">
        <f>$B$8766</f>
        <v/>
      </c>
      <c r="T9067" s="21" t="n">
        <v>0</v>
      </c>
      <c r="U9067" s="21" t="n">
        <v>0</v>
      </c>
      <c r="V9067" s="21" t="n">
        <v>0</v>
      </c>
      <c r="W9067" s="21" t="n">
        <v>0</v>
      </c>
      <c r="X9067" s="21" t="n">
        <v>0</v>
      </c>
      <c r="Y9067" s="21" t="n">
        <v>0</v>
      </c>
      <c r="Z9067" s="19" t="n"/>
    </row>
    <row r="9068">
      <c r="D9068" s="21" t="n">
        <v>0</v>
      </c>
      <c r="E9068" s="21" t="n">
        <v>0</v>
      </c>
      <c r="F9068" s="21" t="n">
        <v>0</v>
      </c>
      <c r="G9068" s="21" t="n">
        <v>0</v>
      </c>
      <c r="H9068" s="21" t="n">
        <v>0</v>
      </c>
      <c r="I9068" s="21" t="n">
        <v>0</v>
      </c>
      <c r="J9068" s="21" t="n">
        <v>0</v>
      </c>
      <c r="K9068" s="21" t="n">
        <v>0</v>
      </c>
      <c r="L9068" s="21" t="n">
        <v>0</v>
      </c>
      <c r="M9068" s="21" t="n">
        <v>0</v>
      </c>
      <c r="N9068" s="21" t="n">
        <v>0</v>
      </c>
      <c r="O9068" s="21" t="n">
        <v>0</v>
      </c>
      <c r="P9068" s="21">
        <f>-$B$8763</f>
        <v/>
      </c>
      <c r="Q9068" s="21">
        <f>-$B$8764</f>
        <v/>
      </c>
      <c r="R9068" s="21">
        <f>2*$B$8763+$D$9049</f>
        <v/>
      </c>
      <c r="S9068" s="21">
        <f>0</f>
        <v/>
      </c>
      <c r="T9068" s="21">
        <f>-$B$8763</f>
        <v/>
      </c>
      <c r="U9068" s="21">
        <f>$B$8764</f>
        <v/>
      </c>
      <c r="V9068" s="21" t="n">
        <v>0</v>
      </c>
      <c r="W9068" s="21" t="n">
        <v>0</v>
      </c>
      <c r="X9068" s="21" t="n">
        <v>0</v>
      </c>
      <c r="Y9068" s="21" t="n">
        <v>0</v>
      </c>
      <c r="Z9068" s="19" t="n"/>
    </row>
    <row r="9069">
      <c r="D9069" s="21" t="n">
        <v>0</v>
      </c>
      <c r="E9069" s="21" t="n">
        <v>0</v>
      </c>
      <c r="F9069" s="21" t="n">
        <v>0</v>
      </c>
      <c r="G9069" s="21" t="n">
        <v>0</v>
      </c>
      <c r="H9069" s="21" t="n">
        <v>0</v>
      </c>
      <c r="I9069" s="21" t="n">
        <v>0</v>
      </c>
      <c r="J9069" s="21" t="n">
        <v>0</v>
      </c>
      <c r="K9069" s="21" t="n">
        <v>0</v>
      </c>
      <c r="L9069" s="21" t="n">
        <v>0</v>
      </c>
      <c r="M9069" s="21" t="n">
        <v>0</v>
      </c>
      <c r="N9069" s="21" t="n">
        <v>0</v>
      </c>
      <c r="O9069" s="21" t="n">
        <v>0</v>
      </c>
      <c r="P9069" s="21">
        <f>$B$8764</f>
        <v/>
      </c>
      <c r="Q9069" s="21">
        <f>$B$8766</f>
        <v/>
      </c>
      <c r="R9069" s="21">
        <f>0</f>
        <v/>
      </c>
      <c r="S9069" s="21">
        <f>2*$B$8765</f>
        <v/>
      </c>
      <c r="T9069" s="21">
        <f>-$B$8764</f>
        <v/>
      </c>
      <c r="U9069" s="21">
        <f>$B$8766</f>
        <v/>
      </c>
      <c r="V9069" s="21" t="n">
        <v>0</v>
      </c>
      <c r="W9069" s="21" t="n">
        <v>0</v>
      </c>
      <c r="X9069" s="21" t="n">
        <v>0</v>
      </c>
      <c r="Y9069" s="21" t="n">
        <v>0</v>
      </c>
      <c r="Z9069" s="19" t="n"/>
    </row>
    <row r="9070">
      <c r="D9070" s="21" t="n">
        <v>0</v>
      </c>
      <c r="E9070" s="21" t="n">
        <v>0</v>
      </c>
      <c r="F9070" s="21" t="n">
        <v>0</v>
      </c>
      <c r="G9070" s="21" t="n">
        <v>0</v>
      </c>
      <c r="H9070" s="21" t="n">
        <v>0</v>
      </c>
      <c r="I9070" s="21" t="n">
        <v>0</v>
      </c>
      <c r="J9070" s="21" t="n">
        <v>0</v>
      </c>
      <c r="K9070" s="21" t="n">
        <v>0</v>
      </c>
      <c r="L9070" s="21" t="n">
        <v>0</v>
      </c>
      <c r="M9070" s="21" t="n">
        <v>0</v>
      </c>
      <c r="N9070" s="21" t="n">
        <v>0</v>
      </c>
      <c r="O9070" s="21" t="n">
        <v>0</v>
      </c>
      <c r="P9070" s="21" t="n">
        <v>0</v>
      </c>
      <c r="Q9070" s="21" t="n">
        <v>0</v>
      </c>
      <c r="R9070" s="21">
        <f>-$B$8763</f>
        <v/>
      </c>
      <c r="S9070" s="21">
        <f>-$B$8764</f>
        <v/>
      </c>
      <c r="T9070" s="21">
        <f>2*$B$8763+$D$9050</f>
        <v/>
      </c>
      <c r="U9070" s="21">
        <f>0</f>
        <v/>
      </c>
      <c r="V9070" s="21">
        <f>-$B$8763</f>
        <v/>
      </c>
      <c r="W9070" s="21">
        <f>$B$8764</f>
        <v/>
      </c>
      <c r="X9070" s="21" t="n">
        <v>0</v>
      </c>
      <c r="Y9070" s="21" t="n">
        <v>0</v>
      </c>
      <c r="Z9070" s="19" t="n"/>
    </row>
    <row r="9071">
      <c r="D9071" s="21" t="n">
        <v>0</v>
      </c>
      <c r="E9071" s="21" t="n">
        <v>0</v>
      </c>
      <c r="F9071" s="21" t="n">
        <v>0</v>
      </c>
      <c r="G9071" s="21" t="n">
        <v>0</v>
      </c>
      <c r="H9071" s="21" t="n">
        <v>0</v>
      </c>
      <c r="I9071" s="21" t="n">
        <v>0</v>
      </c>
      <c r="J9071" s="21" t="n">
        <v>0</v>
      </c>
      <c r="K9071" s="21" t="n">
        <v>0</v>
      </c>
      <c r="L9071" s="21" t="n">
        <v>0</v>
      </c>
      <c r="M9071" s="21" t="n">
        <v>0</v>
      </c>
      <c r="N9071" s="21" t="n">
        <v>0</v>
      </c>
      <c r="O9071" s="21" t="n">
        <v>0</v>
      </c>
      <c r="P9071" s="21" t="n">
        <v>0</v>
      </c>
      <c r="Q9071" s="21" t="n">
        <v>0</v>
      </c>
      <c r="R9071" s="21">
        <f>$B$8764</f>
        <v/>
      </c>
      <c r="S9071" s="21">
        <f>$B$8766</f>
        <v/>
      </c>
      <c r="T9071" s="21">
        <f>0</f>
        <v/>
      </c>
      <c r="U9071" s="21">
        <f>2*$B$8765</f>
        <v/>
      </c>
      <c r="V9071" s="21">
        <f>-$B$8764</f>
        <v/>
      </c>
      <c r="W9071" s="21">
        <f>$B$8766</f>
        <v/>
      </c>
      <c r="X9071" s="21" t="n">
        <v>0</v>
      </c>
      <c r="Y9071" s="21" t="n">
        <v>0</v>
      </c>
      <c r="Z9071" s="19" t="n"/>
    </row>
    <row r="9072">
      <c r="D9072" s="21" t="n">
        <v>0</v>
      </c>
      <c r="E9072" s="21" t="n">
        <v>0</v>
      </c>
      <c r="F9072" s="21" t="n">
        <v>0</v>
      </c>
      <c r="G9072" s="21" t="n">
        <v>0</v>
      </c>
      <c r="H9072" s="21" t="n">
        <v>0</v>
      </c>
      <c r="I9072" s="21" t="n">
        <v>0</v>
      </c>
      <c r="J9072" s="21" t="n">
        <v>0</v>
      </c>
      <c r="K9072" s="21" t="n">
        <v>0</v>
      </c>
      <c r="L9072" s="21" t="n">
        <v>0</v>
      </c>
      <c r="M9072" s="21" t="n">
        <v>0</v>
      </c>
      <c r="N9072" s="21" t="n">
        <v>0</v>
      </c>
      <c r="O9072" s="21" t="n">
        <v>0</v>
      </c>
      <c r="P9072" s="21" t="n">
        <v>0</v>
      </c>
      <c r="Q9072" s="21" t="n">
        <v>0</v>
      </c>
      <c r="R9072" s="21" t="n">
        <v>0</v>
      </c>
      <c r="S9072" s="21" t="n">
        <v>0</v>
      </c>
      <c r="T9072" s="21">
        <f>-$B$8763</f>
        <v/>
      </c>
      <c r="U9072" s="21">
        <f>-$B$8764</f>
        <v/>
      </c>
      <c r="V9072" s="21">
        <f>2*$B$8763+$D$9051</f>
        <v/>
      </c>
      <c r="W9072" s="21">
        <f>0</f>
        <v/>
      </c>
      <c r="X9072" s="21">
        <f>-$B$8763</f>
        <v/>
      </c>
      <c r="Y9072" s="21">
        <f>$B$8764</f>
        <v/>
      </c>
      <c r="Z9072" s="19" t="n"/>
    </row>
    <row r="9073">
      <c r="D9073" s="21" t="n">
        <v>0</v>
      </c>
      <c r="E9073" s="21" t="n">
        <v>0</v>
      </c>
      <c r="F9073" s="21" t="n">
        <v>0</v>
      </c>
      <c r="G9073" s="21" t="n">
        <v>0</v>
      </c>
      <c r="H9073" s="21" t="n">
        <v>0</v>
      </c>
      <c r="I9073" s="21" t="n">
        <v>0</v>
      </c>
      <c r="J9073" s="21" t="n">
        <v>0</v>
      </c>
      <c r="K9073" s="21" t="n">
        <v>0</v>
      </c>
      <c r="L9073" s="21" t="n">
        <v>0</v>
      </c>
      <c r="M9073" s="21" t="n">
        <v>0</v>
      </c>
      <c r="N9073" s="21" t="n">
        <v>0</v>
      </c>
      <c r="O9073" s="21" t="n">
        <v>0</v>
      </c>
      <c r="P9073" s="21" t="n">
        <v>0</v>
      </c>
      <c r="Q9073" s="21" t="n">
        <v>0</v>
      </c>
      <c r="R9073" s="21" t="n">
        <v>0</v>
      </c>
      <c r="S9073" s="21" t="n">
        <v>0</v>
      </c>
      <c r="T9073" s="21">
        <f>$B$8764</f>
        <v/>
      </c>
      <c r="U9073" s="21">
        <f>$B$8766</f>
        <v/>
      </c>
      <c r="V9073" s="21">
        <f>0</f>
        <v/>
      </c>
      <c r="W9073" s="21">
        <f>2*$B$8765</f>
        <v/>
      </c>
      <c r="X9073" s="21">
        <f>-$B$8764</f>
        <v/>
      </c>
      <c r="Y9073" s="21">
        <f>$B$8766</f>
        <v/>
      </c>
      <c r="Z9073" s="19" t="n"/>
    </row>
    <row r="9074">
      <c r="D9074" s="21" t="n">
        <v>0</v>
      </c>
      <c r="E9074" s="21" t="n">
        <v>0</v>
      </c>
      <c r="F9074" s="21" t="n">
        <v>0</v>
      </c>
      <c r="G9074" s="21" t="n">
        <v>0</v>
      </c>
      <c r="H9074" s="21" t="n">
        <v>0</v>
      </c>
      <c r="I9074" s="21" t="n">
        <v>0</v>
      </c>
      <c r="J9074" s="21" t="n">
        <v>0</v>
      </c>
      <c r="K9074" s="21" t="n">
        <v>0</v>
      </c>
      <c r="L9074" s="21" t="n">
        <v>0</v>
      </c>
      <c r="M9074" s="21" t="n">
        <v>0</v>
      </c>
      <c r="N9074" s="21" t="n">
        <v>0</v>
      </c>
      <c r="O9074" s="21" t="n">
        <v>0</v>
      </c>
      <c r="P9074" s="21" t="n">
        <v>0</v>
      </c>
      <c r="Q9074" s="21" t="n">
        <v>0</v>
      </c>
      <c r="R9074" s="21" t="n">
        <v>0</v>
      </c>
      <c r="S9074" s="21" t="n">
        <v>0</v>
      </c>
      <c r="T9074" s="21" t="n">
        <v>0</v>
      </c>
      <c r="U9074" s="21" t="n">
        <v>0</v>
      </c>
      <c r="V9074" s="21">
        <f>-$B$8763</f>
        <v/>
      </c>
      <c r="W9074" s="21">
        <f>-$B$8764</f>
        <v/>
      </c>
      <c r="X9074" s="21">
        <f>$B$8763+$D$9052</f>
        <v/>
      </c>
      <c r="Y9074" s="21">
        <f>-$B$8764</f>
        <v/>
      </c>
      <c r="Z9074" s="19" t="n"/>
    </row>
    <row r="9075">
      <c r="D9075" s="21" t="n">
        <v>0</v>
      </c>
      <c r="E9075" s="21" t="n">
        <v>0</v>
      </c>
      <c r="F9075" s="21" t="n">
        <v>0</v>
      </c>
      <c r="G9075" s="21" t="n">
        <v>0</v>
      </c>
      <c r="H9075" s="21" t="n">
        <v>0</v>
      </c>
      <c r="I9075" s="21" t="n">
        <v>0</v>
      </c>
      <c r="J9075" s="21" t="n">
        <v>0</v>
      </c>
      <c r="K9075" s="21" t="n">
        <v>0</v>
      </c>
      <c r="L9075" s="21" t="n">
        <v>0</v>
      </c>
      <c r="M9075" s="21" t="n">
        <v>0</v>
      </c>
      <c r="N9075" s="21" t="n">
        <v>0</v>
      </c>
      <c r="O9075" s="21" t="n">
        <v>0</v>
      </c>
      <c r="P9075" s="21" t="n">
        <v>0</v>
      </c>
      <c r="Q9075" s="21" t="n">
        <v>0</v>
      </c>
      <c r="R9075" s="21" t="n">
        <v>0</v>
      </c>
      <c r="S9075" s="21" t="n">
        <v>0</v>
      </c>
      <c r="T9075" s="21" t="n">
        <v>0</v>
      </c>
      <c r="U9075" s="21" t="n">
        <v>0</v>
      </c>
      <c r="V9075" s="21">
        <f>$B$8764</f>
        <v/>
      </c>
      <c r="W9075" s="21">
        <f>$B$8766</f>
        <v/>
      </c>
      <c r="X9075" s="21">
        <f>-$B$8764</f>
        <v/>
      </c>
      <c r="Y9075" s="21">
        <f>$B$8765</f>
        <v/>
      </c>
      <c r="Z9075" s="19" t="n"/>
    </row>
    <row r="9077">
      <c r="A9077" s="8" t="inlineStr">
        <is>
          <t>gen 8</t>
        </is>
      </c>
    </row>
    <row r="9078">
      <c r="D9078" s="19">
        <f>IF(ABS(IF(ABS($E$9042)&gt;0.000000001,$E$9042,0.000000001))=0,0,IF($E$8778&lt;=$B$8772,0,IF(ABS(IF(ABS($E$9042)&gt;0.000000001,$E$9042,0.000000001))&gt;=8*$B$8774,$H$8778,0.5*$H$8778*(ABS(IF(ABS($E$9042)&gt;0.000000001,$E$9042,0.000000001))/$B$8774)^(1/3)))/ABS(IF(ABS($E$9042)&gt;0.000000001,$E$9042,0.000000001))*$I$8778)</f>
        <v/>
      </c>
      <c r="E9078" s="19">
        <f>0.5*$E$9042+0.5*$Z$9090</f>
        <v/>
      </c>
      <c r="F9078" s="19">
        <f>$Z$9091</f>
        <v/>
      </c>
    </row>
    <row r="9079">
      <c r="D9079" s="19">
        <f>IF(ABS(IF(ABS($E$9043)&gt;0.000000001,$E$9043,0.000000001))=0,0,IF($E$8779&lt;=$B$8772,0,IF(ABS(IF(ABS($E$9043)&gt;0.000000001,$E$9043,0.000000001))&gt;=8*$B$8774,$H$8779,0.5*$H$8779*(ABS(IF(ABS($E$9043)&gt;0.000000001,$E$9043,0.000000001))/$B$8774)^(1/3)))/ABS(IF(ABS($E$9043)&gt;0.000000001,$E$9043,0.000000001))*$I$8779)</f>
        <v/>
      </c>
      <c r="E9079" s="19">
        <f>0.5*$E$9043+0.5*$Z$9092</f>
        <v/>
      </c>
      <c r="F9079" s="19">
        <f>$Z$9093</f>
        <v/>
      </c>
    </row>
    <row r="9080">
      <c r="D9080" s="19">
        <f>IF(ABS(IF(ABS($E$9044)&gt;0.000000001,$E$9044,0.000000001))=0,0,IF($E$8780&lt;=$B$8772,0,IF(ABS(IF(ABS($E$9044)&gt;0.000000001,$E$9044,0.000000001))&gt;=8*$B$8774,$H$8780,0.5*$H$8780*(ABS(IF(ABS($E$9044)&gt;0.000000001,$E$9044,0.000000001))/$B$8774)^(1/3)))/ABS(IF(ABS($E$9044)&gt;0.000000001,$E$9044,0.000000001))*$I$8780)</f>
        <v/>
      </c>
      <c r="E9080" s="19">
        <f>0.5*$E$9044+0.5*$Z$9094</f>
        <v/>
      </c>
      <c r="F9080" s="19">
        <f>$Z$9095</f>
        <v/>
      </c>
    </row>
    <row r="9081">
      <c r="D9081" s="19">
        <f>IF(ABS(IF(ABS($E$9045)&gt;0.000000001,$E$9045,0.000000001))=0,0,IF($E$8781&lt;=$B$8772,0,IF(ABS(IF(ABS($E$9045)&gt;0.000000001,$E$9045,0.000000001))&gt;=8*$B$8774,$H$8781,0.5*$H$8781*(ABS(IF(ABS($E$9045)&gt;0.000000001,$E$9045,0.000000001))/$B$8774)^(1/3)))/ABS(IF(ABS($E$9045)&gt;0.000000001,$E$9045,0.000000001))*$I$8781)</f>
        <v/>
      </c>
      <c r="E9081" s="19">
        <f>0.5*$E$9045+0.5*$Z$9096</f>
        <v/>
      </c>
      <c r="F9081" s="19">
        <f>$Z$9097</f>
        <v/>
      </c>
    </row>
    <row r="9082">
      <c r="D9082" s="19">
        <f>IF(ABS(IF(ABS($E$9046)&gt;0.000000001,$E$9046,0.000000001))=0,0,IF($E$8782&lt;=$B$8772,0,IF(ABS(IF(ABS($E$9046)&gt;0.000000001,$E$9046,0.000000001))&gt;=8*$B$8774,$H$8782,0.5*$H$8782*(ABS(IF(ABS($E$9046)&gt;0.000000001,$E$9046,0.000000001))/$B$8774)^(1/3)))/ABS(IF(ABS($E$9046)&gt;0.000000001,$E$9046,0.000000001))*$I$8782)</f>
        <v/>
      </c>
      <c r="E9082" s="19">
        <f>0.5*$E$9046+0.5*$Z$9098</f>
        <v/>
      </c>
      <c r="F9082" s="19">
        <f>$Z$9099</f>
        <v/>
      </c>
    </row>
    <row r="9083">
      <c r="D9083" s="19">
        <f>IF(ABS(IF(ABS($E$9047)&gt;0.000000001,$E$9047,0.000000001))=0,0,IF($E$8783&lt;=$B$8772,0,IF(ABS(IF(ABS($E$9047)&gt;0.000000001,$E$9047,0.000000001))&gt;=8*$B$8774,$H$8783,0.5*$H$8783*(ABS(IF(ABS($E$9047)&gt;0.000000001,$E$9047,0.000000001))/$B$8774)^(1/3)))/ABS(IF(ABS($E$9047)&gt;0.000000001,$E$9047,0.000000001))*$I$8783)</f>
        <v/>
      </c>
      <c r="E9083" s="19">
        <f>0.5*$E$9047+0.5*$Z$9100</f>
        <v/>
      </c>
      <c r="F9083" s="19">
        <f>$Z$9101</f>
        <v/>
      </c>
    </row>
    <row r="9084">
      <c r="D9084" s="19">
        <f>IF(ABS(IF(ABS($E$9048)&gt;0.000000001,$E$9048,0.000000001))=0,0,IF($E$8784&lt;=$B$8772,0,IF(ABS(IF(ABS($E$9048)&gt;0.000000001,$E$9048,0.000000001))&gt;=8*$B$8774,$H$8784,0.5*$H$8784*(ABS(IF(ABS($E$9048)&gt;0.000000001,$E$9048,0.000000001))/$B$8774)^(1/3)))/ABS(IF(ABS($E$9048)&gt;0.000000001,$E$9048,0.000000001))*$I$8784)</f>
        <v/>
      </c>
      <c r="E9084" s="19">
        <f>0.5*$E$9048+0.5*$Z$9102</f>
        <v/>
      </c>
      <c r="F9084" s="19">
        <f>$Z$9103</f>
        <v/>
      </c>
    </row>
    <row r="9085">
      <c r="D9085" s="19">
        <f>IF(ABS(IF(ABS($E$9049)&gt;0.000000001,$E$9049,0.000000001))=0,0,IF($E$8785&lt;=$B$8772,0,IF(ABS(IF(ABS($E$9049)&gt;0.000000001,$E$9049,0.000000001))&gt;=8*$B$8774,$H$8785,0.5*$H$8785*(ABS(IF(ABS($E$9049)&gt;0.000000001,$E$9049,0.000000001))/$B$8774)^(1/3)))/ABS(IF(ABS($E$9049)&gt;0.000000001,$E$9049,0.000000001))*$I$8785)</f>
        <v/>
      </c>
      <c r="E9085" s="19">
        <f>0.5*$E$9049+0.5*$Z$9104</f>
        <v/>
      </c>
      <c r="F9085" s="19">
        <f>$Z$9105</f>
        <v/>
      </c>
    </row>
    <row r="9086">
      <c r="D9086" s="19">
        <f>IF(ABS(IF(ABS($E$9050)&gt;0.000000001,$E$9050,0.000000001))=0,0,IF($E$8786&lt;=$B$8772,0,IF(ABS(IF(ABS($E$9050)&gt;0.000000001,$E$9050,0.000000001))&gt;=8*$B$8774,$H$8786,0.5*$H$8786*(ABS(IF(ABS($E$9050)&gt;0.000000001,$E$9050,0.000000001))/$B$8774)^(1/3)))/ABS(IF(ABS($E$9050)&gt;0.000000001,$E$9050,0.000000001))*$I$8786)</f>
        <v/>
      </c>
      <c r="E9086" s="19">
        <f>0.5*$E$9050+0.5*$Z$9106</f>
        <v/>
      </c>
      <c r="F9086" s="19">
        <f>$Z$9107</f>
        <v/>
      </c>
    </row>
    <row r="9087">
      <c r="D9087" s="19">
        <f>IF(ABS(IF(ABS($E$9051)&gt;0.000000001,$E$9051,0.000000001))=0,0,IF($E$8787&lt;=$B$8772,0,IF(ABS(IF(ABS($E$9051)&gt;0.000000001,$E$9051,0.000000001))&gt;=8*$B$8774,$H$8787,0.5*$H$8787*(ABS(IF(ABS($E$9051)&gt;0.000000001,$E$9051,0.000000001))/$B$8774)^(1/3)))/ABS(IF(ABS($E$9051)&gt;0.000000001,$E$9051,0.000000001))*$I$8787)</f>
        <v/>
      </c>
      <c r="E9087" s="19">
        <f>0.5*$E$9051+0.5*$Z$9108</f>
        <v/>
      </c>
      <c r="F9087" s="19">
        <f>$Z$9109</f>
        <v/>
      </c>
    </row>
    <row r="9088">
      <c r="D9088" s="19">
        <f>IF(ABS(IF(ABS($E$9052)&gt;0.000000001,$E$9052,0.000000001))=0,0,IF($E$8788&lt;=$B$8772,0,IF(ABS(IF(ABS($E$9052)&gt;0.000000001,$E$9052,0.000000001))&gt;=8*$B$8774,$H$8788,0.5*$H$8788*(ABS(IF(ABS($E$9052)&gt;0.000000001,$E$9052,0.000000001))/$B$8774)^(1/3)))/ABS(IF(ABS($E$9052)&gt;0.000000001,$E$9052,0.000000001))*$I$8788)</f>
        <v/>
      </c>
      <c r="E9088" s="19">
        <f>0.5*$E$9052+0.5*$Z$9110</f>
        <v/>
      </c>
      <c r="F9088" s="19">
        <f>$Z$9111</f>
        <v/>
      </c>
    </row>
    <row r="9090">
      <c r="D9090" s="21">
        <f>$B$8763+$D$9078</f>
        <v/>
      </c>
      <c r="E9090" s="21">
        <f>$B$8764</f>
        <v/>
      </c>
      <c r="F9090" s="21">
        <f>-$B$8763</f>
        <v/>
      </c>
      <c r="G9090" s="21">
        <f>$B$8764</f>
        <v/>
      </c>
      <c r="H9090" s="21" t="n">
        <v>0</v>
      </c>
      <c r="I9090" s="21" t="n">
        <v>0</v>
      </c>
      <c r="J9090" s="21" t="n">
        <v>0</v>
      </c>
      <c r="K9090" s="21" t="n">
        <v>0</v>
      </c>
      <c r="L9090" s="21" t="n">
        <v>0</v>
      </c>
      <c r="M9090" s="21" t="n">
        <v>0</v>
      </c>
      <c r="N9090" s="21" t="n">
        <v>0</v>
      </c>
      <c r="O9090" s="21" t="n">
        <v>0</v>
      </c>
      <c r="P9090" s="21" t="n">
        <v>0</v>
      </c>
      <c r="Q9090" s="21" t="n">
        <v>0</v>
      </c>
      <c r="R9090" s="21" t="n">
        <v>0</v>
      </c>
      <c r="S9090" s="21" t="n">
        <v>0</v>
      </c>
      <c r="T9090" s="21" t="n">
        <v>0</v>
      </c>
      <c r="U9090" s="21" t="n">
        <v>0</v>
      </c>
      <c r="V9090" s="21" t="n">
        <v>0</v>
      </c>
      <c r="W9090" s="21" t="n">
        <v>0</v>
      </c>
      <c r="X9090" s="21" t="n">
        <v>0</v>
      </c>
      <c r="Y9090" s="21" t="n">
        <v>0</v>
      </c>
      <c r="Z9090" s="19">
        <f t="array" ref="Z9090:Z9111">MMULT(MINVERSE($D$9090:$Y$9111),$D$8790:$D$8811)</f>
        <v/>
      </c>
    </row>
    <row r="9091">
      <c r="D9091" s="21">
        <f>$B$8764</f>
        <v/>
      </c>
      <c r="E9091" s="21">
        <f>$B$8765</f>
        <v/>
      </c>
      <c r="F9091" s="21">
        <f>-$B$8764</f>
        <v/>
      </c>
      <c r="G9091" s="21">
        <f>$B$8766</f>
        <v/>
      </c>
      <c r="H9091" s="21" t="n">
        <v>0</v>
      </c>
      <c r="I9091" s="21" t="n">
        <v>0</v>
      </c>
      <c r="J9091" s="21" t="n">
        <v>0</v>
      </c>
      <c r="K9091" s="21" t="n">
        <v>0</v>
      </c>
      <c r="L9091" s="21" t="n">
        <v>0</v>
      </c>
      <c r="M9091" s="21" t="n">
        <v>0</v>
      </c>
      <c r="N9091" s="21" t="n">
        <v>0</v>
      </c>
      <c r="O9091" s="21" t="n">
        <v>0</v>
      </c>
      <c r="P9091" s="21" t="n">
        <v>0</v>
      </c>
      <c r="Q9091" s="21" t="n">
        <v>0</v>
      </c>
      <c r="R9091" s="21" t="n">
        <v>0</v>
      </c>
      <c r="S9091" s="21" t="n">
        <v>0</v>
      </c>
      <c r="T9091" s="21" t="n">
        <v>0</v>
      </c>
      <c r="U9091" s="21" t="n">
        <v>0</v>
      </c>
      <c r="V9091" s="21" t="n">
        <v>0</v>
      </c>
      <c r="W9091" s="21" t="n">
        <v>0</v>
      </c>
      <c r="X9091" s="21" t="n">
        <v>0</v>
      </c>
      <c r="Y9091" s="21" t="n">
        <v>0</v>
      </c>
      <c r="Z9091" s="19" t="n"/>
    </row>
    <row r="9092">
      <c r="D9092" s="21">
        <f>-$B$8763</f>
        <v/>
      </c>
      <c r="E9092" s="21">
        <f>-$B$8764</f>
        <v/>
      </c>
      <c r="F9092" s="21">
        <f>2*$B$8763+$D$9079</f>
        <v/>
      </c>
      <c r="G9092" s="21">
        <f>0</f>
        <v/>
      </c>
      <c r="H9092" s="21">
        <f>-$B$8763</f>
        <v/>
      </c>
      <c r="I9092" s="21">
        <f>$B$8764</f>
        <v/>
      </c>
      <c r="J9092" s="21" t="n">
        <v>0</v>
      </c>
      <c r="K9092" s="21" t="n">
        <v>0</v>
      </c>
      <c r="L9092" s="21" t="n">
        <v>0</v>
      </c>
      <c r="M9092" s="21" t="n">
        <v>0</v>
      </c>
      <c r="N9092" s="21" t="n">
        <v>0</v>
      </c>
      <c r="O9092" s="21" t="n">
        <v>0</v>
      </c>
      <c r="P9092" s="21" t="n">
        <v>0</v>
      </c>
      <c r="Q9092" s="21" t="n">
        <v>0</v>
      </c>
      <c r="R9092" s="21" t="n">
        <v>0</v>
      </c>
      <c r="S9092" s="21" t="n">
        <v>0</v>
      </c>
      <c r="T9092" s="21" t="n">
        <v>0</v>
      </c>
      <c r="U9092" s="21" t="n">
        <v>0</v>
      </c>
      <c r="V9092" s="21" t="n">
        <v>0</v>
      </c>
      <c r="W9092" s="21" t="n">
        <v>0</v>
      </c>
      <c r="X9092" s="21" t="n">
        <v>0</v>
      </c>
      <c r="Y9092" s="21" t="n">
        <v>0</v>
      </c>
      <c r="Z9092" s="19" t="n"/>
    </row>
    <row r="9093">
      <c r="D9093" s="21">
        <f>$B$8764</f>
        <v/>
      </c>
      <c r="E9093" s="21">
        <f>$B$8766</f>
        <v/>
      </c>
      <c r="F9093" s="21">
        <f>0</f>
        <v/>
      </c>
      <c r="G9093" s="21">
        <f>2*$B$8765</f>
        <v/>
      </c>
      <c r="H9093" s="21">
        <f>-$B$8764</f>
        <v/>
      </c>
      <c r="I9093" s="21">
        <f>$B$8766</f>
        <v/>
      </c>
      <c r="J9093" s="21" t="n">
        <v>0</v>
      </c>
      <c r="K9093" s="21" t="n">
        <v>0</v>
      </c>
      <c r="L9093" s="21" t="n">
        <v>0</v>
      </c>
      <c r="M9093" s="21" t="n">
        <v>0</v>
      </c>
      <c r="N9093" s="21" t="n">
        <v>0</v>
      </c>
      <c r="O9093" s="21" t="n">
        <v>0</v>
      </c>
      <c r="P9093" s="21" t="n">
        <v>0</v>
      </c>
      <c r="Q9093" s="21" t="n">
        <v>0</v>
      </c>
      <c r="R9093" s="21" t="n">
        <v>0</v>
      </c>
      <c r="S9093" s="21" t="n">
        <v>0</v>
      </c>
      <c r="T9093" s="21" t="n">
        <v>0</v>
      </c>
      <c r="U9093" s="21" t="n">
        <v>0</v>
      </c>
      <c r="V9093" s="21" t="n">
        <v>0</v>
      </c>
      <c r="W9093" s="21" t="n">
        <v>0</v>
      </c>
      <c r="X9093" s="21" t="n">
        <v>0</v>
      </c>
      <c r="Y9093" s="21" t="n">
        <v>0</v>
      </c>
      <c r="Z9093" s="19" t="n"/>
    </row>
    <row r="9094">
      <c r="D9094" s="21" t="n">
        <v>0</v>
      </c>
      <c r="E9094" s="21" t="n">
        <v>0</v>
      </c>
      <c r="F9094" s="21">
        <f>-$B$8763</f>
        <v/>
      </c>
      <c r="G9094" s="21">
        <f>-$B$8764</f>
        <v/>
      </c>
      <c r="H9094" s="21">
        <f>2*$B$8763+$D$9080</f>
        <v/>
      </c>
      <c r="I9094" s="21">
        <f>0</f>
        <v/>
      </c>
      <c r="J9094" s="21">
        <f>-$B$8763</f>
        <v/>
      </c>
      <c r="K9094" s="21">
        <f>$B$8764</f>
        <v/>
      </c>
      <c r="L9094" s="21" t="n">
        <v>0</v>
      </c>
      <c r="M9094" s="21" t="n">
        <v>0</v>
      </c>
      <c r="N9094" s="21" t="n">
        <v>0</v>
      </c>
      <c r="O9094" s="21" t="n">
        <v>0</v>
      </c>
      <c r="P9094" s="21" t="n">
        <v>0</v>
      </c>
      <c r="Q9094" s="21" t="n">
        <v>0</v>
      </c>
      <c r="R9094" s="21" t="n">
        <v>0</v>
      </c>
      <c r="S9094" s="21" t="n">
        <v>0</v>
      </c>
      <c r="T9094" s="21" t="n">
        <v>0</v>
      </c>
      <c r="U9094" s="21" t="n">
        <v>0</v>
      </c>
      <c r="V9094" s="21" t="n">
        <v>0</v>
      </c>
      <c r="W9094" s="21" t="n">
        <v>0</v>
      </c>
      <c r="X9094" s="21" t="n">
        <v>0</v>
      </c>
      <c r="Y9094" s="21" t="n">
        <v>0</v>
      </c>
      <c r="Z9094" s="19" t="n"/>
    </row>
    <row r="9095">
      <c r="D9095" s="21" t="n">
        <v>0</v>
      </c>
      <c r="E9095" s="21" t="n">
        <v>0</v>
      </c>
      <c r="F9095" s="21">
        <f>$B$8764</f>
        <v/>
      </c>
      <c r="G9095" s="21">
        <f>$B$8766</f>
        <v/>
      </c>
      <c r="H9095" s="21">
        <f>0</f>
        <v/>
      </c>
      <c r="I9095" s="21">
        <f>2*$B$8765</f>
        <v/>
      </c>
      <c r="J9095" s="21">
        <f>-$B$8764</f>
        <v/>
      </c>
      <c r="K9095" s="21">
        <f>$B$8766</f>
        <v/>
      </c>
      <c r="L9095" s="21" t="n">
        <v>0</v>
      </c>
      <c r="M9095" s="21" t="n">
        <v>0</v>
      </c>
      <c r="N9095" s="21" t="n">
        <v>0</v>
      </c>
      <c r="O9095" s="21" t="n">
        <v>0</v>
      </c>
      <c r="P9095" s="21" t="n">
        <v>0</v>
      </c>
      <c r="Q9095" s="21" t="n">
        <v>0</v>
      </c>
      <c r="R9095" s="21" t="n">
        <v>0</v>
      </c>
      <c r="S9095" s="21" t="n">
        <v>0</v>
      </c>
      <c r="T9095" s="21" t="n">
        <v>0</v>
      </c>
      <c r="U9095" s="21" t="n">
        <v>0</v>
      </c>
      <c r="V9095" s="21" t="n">
        <v>0</v>
      </c>
      <c r="W9095" s="21" t="n">
        <v>0</v>
      </c>
      <c r="X9095" s="21" t="n">
        <v>0</v>
      </c>
      <c r="Y9095" s="21" t="n">
        <v>0</v>
      </c>
      <c r="Z9095" s="19" t="n"/>
    </row>
    <row r="9096">
      <c r="D9096" s="21" t="n">
        <v>0</v>
      </c>
      <c r="E9096" s="21" t="n">
        <v>0</v>
      </c>
      <c r="F9096" s="21" t="n">
        <v>0</v>
      </c>
      <c r="G9096" s="21" t="n">
        <v>0</v>
      </c>
      <c r="H9096" s="21">
        <f>-$B$8763</f>
        <v/>
      </c>
      <c r="I9096" s="21">
        <f>-$B$8764</f>
        <v/>
      </c>
      <c r="J9096" s="21">
        <f>2*$B$8763+$D$9081</f>
        <v/>
      </c>
      <c r="K9096" s="21">
        <f>0</f>
        <v/>
      </c>
      <c r="L9096" s="21">
        <f>-$B$8763</f>
        <v/>
      </c>
      <c r="M9096" s="21">
        <f>$B$8764</f>
        <v/>
      </c>
      <c r="N9096" s="21" t="n">
        <v>0</v>
      </c>
      <c r="O9096" s="21" t="n">
        <v>0</v>
      </c>
      <c r="P9096" s="21" t="n">
        <v>0</v>
      </c>
      <c r="Q9096" s="21" t="n">
        <v>0</v>
      </c>
      <c r="R9096" s="21" t="n">
        <v>0</v>
      </c>
      <c r="S9096" s="21" t="n">
        <v>0</v>
      </c>
      <c r="T9096" s="21" t="n">
        <v>0</v>
      </c>
      <c r="U9096" s="21" t="n">
        <v>0</v>
      </c>
      <c r="V9096" s="21" t="n">
        <v>0</v>
      </c>
      <c r="W9096" s="21" t="n">
        <v>0</v>
      </c>
      <c r="X9096" s="21" t="n">
        <v>0</v>
      </c>
      <c r="Y9096" s="21" t="n">
        <v>0</v>
      </c>
      <c r="Z9096" s="19" t="n"/>
    </row>
    <row r="9097">
      <c r="D9097" s="21" t="n">
        <v>0</v>
      </c>
      <c r="E9097" s="21" t="n">
        <v>0</v>
      </c>
      <c r="F9097" s="21" t="n">
        <v>0</v>
      </c>
      <c r="G9097" s="21" t="n">
        <v>0</v>
      </c>
      <c r="H9097" s="21">
        <f>$B$8764</f>
        <v/>
      </c>
      <c r="I9097" s="21">
        <f>$B$8766</f>
        <v/>
      </c>
      <c r="J9097" s="21">
        <f>0</f>
        <v/>
      </c>
      <c r="K9097" s="21">
        <f>2*$B$8765</f>
        <v/>
      </c>
      <c r="L9097" s="21">
        <f>-$B$8764</f>
        <v/>
      </c>
      <c r="M9097" s="21">
        <f>$B$8766</f>
        <v/>
      </c>
      <c r="N9097" s="21" t="n">
        <v>0</v>
      </c>
      <c r="O9097" s="21" t="n">
        <v>0</v>
      </c>
      <c r="P9097" s="21" t="n">
        <v>0</v>
      </c>
      <c r="Q9097" s="21" t="n">
        <v>0</v>
      </c>
      <c r="R9097" s="21" t="n">
        <v>0</v>
      </c>
      <c r="S9097" s="21" t="n">
        <v>0</v>
      </c>
      <c r="T9097" s="21" t="n">
        <v>0</v>
      </c>
      <c r="U9097" s="21" t="n">
        <v>0</v>
      </c>
      <c r="V9097" s="21" t="n">
        <v>0</v>
      </c>
      <c r="W9097" s="21" t="n">
        <v>0</v>
      </c>
      <c r="X9097" s="21" t="n">
        <v>0</v>
      </c>
      <c r="Y9097" s="21" t="n">
        <v>0</v>
      </c>
      <c r="Z9097" s="19" t="n"/>
    </row>
    <row r="9098">
      <c r="D9098" s="21" t="n">
        <v>0</v>
      </c>
      <c r="E9098" s="21" t="n">
        <v>0</v>
      </c>
      <c r="F9098" s="21" t="n">
        <v>0</v>
      </c>
      <c r="G9098" s="21" t="n">
        <v>0</v>
      </c>
      <c r="H9098" s="21" t="n">
        <v>0</v>
      </c>
      <c r="I9098" s="21" t="n">
        <v>0</v>
      </c>
      <c r="J9098" s="21">
        <f>-$B$8763</f>
        <v/>
      </c>
      <c r="K9098" s="21">
        <f>-$B$8764</f>
        <v/>
      </c>
      <c r="L9098" s="21">
        <f>2*$B$8763+$D$9082</f>
        <v/>
      </c>
      <c r="M9098" s="21">
        <f>0</f>
        <v/>
      </c>
      <c r="N9098" s="21">
        <f>-$B$8763</f>
        <v/>
      </c>
      <c r="O9098" s="21">
        <f>$B$8764</f>
        <v/>
      </c>
      <c r="P9098" s="21" t="n">
        <v>0</v>
      </c>
      <c r="Q9098" s="21" t="n">
        <v>0</v>
      </c>
      <c r="R9098" s="21" t="n">
        <v>0</v>
      </c>
      <c r="S9098" s="21" t="n">
        <v>0</v>
      </c>
      <c r="T9098" s="21" t="n">
        <v>0</v>
      </c>
      <c r="U9098" s="21" t="n">
        <v>0</v>
      </c>
      <c r="V9098" s="21" t="n">
        <v>0</v>
      </c>
      <c r="W9098" s="21" t="n">
        <v>0</v>
      </c>
      <c r="X9098" s="21" t="n">
        <v>0</v>
      </c>
      <c r="Y9098" s="21" t="n">
        <v>0</v>
      </c>
      <c r="Z9098" s="19" t="n"/>
    </row>
    <row r="9099">
      <c r="D9099" s="21" t="n">
        <v>0</v>
      </c>
      <c r="E9099" s="21" t="n">
        <v>0</v>
      </c>
      <c r="F9099" s="21" t="n">
        <v>0</v>
      </c>
      <c r="G9099" s="21" t="n">
        <v>0</v>
      </c>
      <c r="H9099" s="21" t="n">
        <v>0</v>
      </c>
      <c r="I9099" s="21" t="n">
        <v>0</v>
      </c>
      <c r="J9099" s="21">
        <f>$B$8764</f>
        <v/>
      </c>
      <c r="K9099" s="21">
        <f>$B$8766</f>
        <v/>
      </c>
      <c r="L9099" s="21">
        <f>0</f>
        <v/>
      </c>
      <c r="M9099" s="21">
        <f>2*$B$8765</f>
        <v/>
      </c>
      <c r="N9099" s="21">
        <f>-$B$8764</f>
        <v/>
      </c>
      <c r="O9099" s="21">
        <f>$B$8766</f>
        <v/>
      </c>
      <c r="P9099" s="21" t="n">
        <v>0</v>
      </c>
      <c r="Q9099" s="21" t="n">
        <v>0</v>
      </c>
      <c r="R9099" s="21" t="n">
        <v>0</v>
      </c>
      <c r="S9099" s="21" t="n">
        <v>0</v>
      </c>
      <c r="T9099" s="21" t="n">
        <v>0</v>
      </c>
      <c r="U9099" s="21" t="n">
        <v>0</v>
      </c>
      <c r="V9099" s="21" t="n">
        <v>0</v>
      </c>
      <c r="W9099" s="21" t="n">
        <v>0</v>
      </c>
      <c r="X9099" s="21" t="n">
        <v>0</v>
      </c>
      <c r="Y9099" s="21" t="n">
        <v>0</v>
      </c>
      <c r="Z9099" s="19" t="n"/>
    </row>
    <row r="9100">
      <c r="D9100" s="21" t="n">
        <v>0</v>
      </c>
      <c r="E9100" s="21" t="n">
        <v>0</v>
      </c>
      <c r="F9100" s="21" t="n">
        <v>0</v>
      </c>
      <c r="G9100" s="21" t="n">
        <v>0</v>
      </c>
      <c r="H9100" s="21" t="n">
        <v>0</v>
      </c>
      <c r="I9100" s="21" t="n">
        <v>0</v>
      </c>
      <c r="J9100" s="21" t="n">
        <v>0</v>
      </c>
      <c r="K9100" s="21" t="n">
        <v>0</v>
      </c>
      <c r="L9100" s="21">
        <f>-$B$8763</f>
        <v/>
      </c>
      <c r="M9100" s="21">
        <f>-$B$8764</f>
        <v/>
      </c>
      <c r="N9100" s="21">
        <f>2*$B$8763+$D$9083</f>
        <v/>
      </c>
      <c r="O9100" s="21">
        <f>0</f>
        <v/>
      </c>
      <c r="P9100" s="21">
        <f>-$B$8763</f>
        <v/>
      </c>
      <c r="Q9100" s="21">
        <f>$B$8764</f>
        <v/>
      </c>
      <c r="R9100" s="21" t="n">
        <v>0</v>
      </c>
      <c r="S9100" s="21" t="n">
        <v>0</v>
      </c>
      <c r="T9100" s="21" t="n">
        <v>0</v>
      </c>
      <c r="U9100" s="21" t="n">
        <v>0</v>
      </c>
      <c r="V9100" s="21" t="n">
        <v>0</v>
      </c>
      <c r="W9100" s="21" t="n">
        <v>0</v>
      </c>
      <c r="X9100" s="21" t="n">
        <v>0</v>
      </c>
      <c r="Y9100" s="21" t="n">
        <v>0</v>
      </c>
      <c r="Z9100" s="19" t="n"/>
    </row>
    <row r="9101">
      <c r="D9101" s="21" t="n">
        <v>0</v>
      </c>
      <c r="E9101" s="21" t="n">
        <v>0</v>
      </c>
      <c r="F9101" s="21" t="n">
        <v>0</v>
      </c>
      <c r="G9101" s="21" t="n">
        <v>0</v>
      </c>
      <c r="H9101" s="21" t="n">
        <v>0</v>
      </c>
      <c r="I9101" s="21" t="n">
        <v>0</v>
      </c>
      <c r="J9101" s="21" t="n">
        <v>0</v>
      </c>
      <c r="K9101" s="21" t="n">
        <v>0</v>
      </c>
      <c r="L9101" s="21">
        <f>$B$8764</f>
        <v/>
      </c>
      <c r="M9101" s="21">
        <f>$B$8766</f>
        <v/>
      </c>
      <c r="N9101" s="21">
        <f>0</f>
        <v/>
      </c>
      <c r="O9101" s="21">
        <f>2*$B$8765</f>
        <v/>
      </c>
      <c r="P9101" s="21">
        <f>-$B$8764</f>
        <v/>
      </c>
      <c r="Q9101" s="21">
        <f>$B$8766</f>
        <v/>
      </c>
      <c r="R9101" s="21" t="n">
        <v>0</v>
      </c>
      <c r="S9101" s="21" t="n">
        <v>0</v>
      </c>
      <c r="T9101" s="21" t="n">
        <v>0</v>
      </c>
      <c r="U9101" s="21" t="n">
        <v>0</v>
      </c>
      <c r="V9101" s="21" t="n">
        <v>0</v>
      </c>
      <c r="W9101" s="21" t="n">
        <v>0</v>
      </c>
      <c r="X9101" s="21" t="n">
        <v>0</v>
      </c>
      <c r="Y9101" s="21" t="n">
        <v>0</v>
      </c>
      <c r="Z9101" s="19" t="n"/>
    </row>
    <row r="9102">
      <c r="D9102" s="21" t="n">
        <v>0</v>
      </c>
      <c r="E9102" s="21" t="n">
        <v>0</v>
      </c>
      <c r="F9102" s="21" t="n">
        <v>0</v>
      </c>
      <c r="G9102" s="21" t="n">
        <v>0</v>
      </c>
      <c r="H9102" s="21" t="n">
        <v>0</v>
      </c>
      <c r="I9102" s="21" t="n">
        <v>0</v>
      </c>
      <c r="J9102" s="21" t="n">
        <v>0</v>
      </c>
      <c r="K9102" s="21" t="n">
        <v>0</v>
      </c>
      <c r="L9102" s="21" t="n">
        <v>0</v>
      </c>
      <c r="M9102" s="21" t="n">
        <v>0</v>
      </c>
      <c r="N9102" s="21">
        <f>-$B$8763</f>
        <v/>
      </c>
      <c r="O9102" s="21">
        <f>-$B$8764</f>
        <v/>
      </c>
      <c r="P9102" s="21">
        <f>2*$B$8763+$D$9084</f>
        <v/>
      </c>
      <c r="Q9102" s="21">
        <f>0</f>
        <v/>
      </c>
      <c r="R9102" s="21">
        <f>-$B$8763</f>
        <v/>
      </c>
      <c r="S9102" s="21">
        <f>$B$8764</f>
        <v/>
      </c>
      <c r="T9102" s="21" t="n">
        <v>0</v>
      </c>
      <c r="U9102" s="21" t="n">
        <v>0</v>
      </c>
      <c r="V9102" s="21" t="n">
        <v>0</v>
      </c>
      <c r="W9102" s="21" t="n">
        <v>0</v>
      </c>
      <c r="X9102" s="21" t="n">
        <v>0</v>
      </c>
      <c r="Y9102" s="21" t="n">
        <v>0</v>
      </c>
      <c r="Z9102" s="19" t="n"/>
    </row>
    <row r="9103">
      <c r="D9103" s="21" t="n">
        <v>0</v>
      </c>
      <c r="E9103" s="21" t="n">
        <v>0</v>
      </c>
      <c r="F9103" s="21" t="n">
        <v>0</v>
      </c>
      <c r="G9103" s="21" t="n">
        <v>0</v>
      </c>
      <c r="H9103" s="21" t="n">
        <v>0</v>
      </c>
      <c r="I9103" s="21" t="n">
        <v>0</v>
      </c>
      <c r="J9103" s="21" t="n">
        <v>0</v>
      </c>
      <c r="K9103" s="21" t="n">
        <v>0</v>
      </c>
      <c r="L9103" s="21" t="n">
        <v>0</v>
      </c>
      <c r="M9103" s="21" t="n">
        <v>0</v>
      </c>
      <c r="N9103" s="21">
        <f>$B$8764</f>
        <v/>
      </c>
      <c r="O9103" s="21">
        <f>$B$8766</f>
        <v/>
      </c>
      <c r="P9103" s="21">
        <f>0</f>
        <v/>
      </c>
      <c r="Q9103" s="21">
        <f>2*$B$8765</f>
        <v/>
      </c>
      <c r="R9103" s="21">
        <f>-$B$8764</f>
        <v/>
      </c>
      <c r="S9103" s="21">
        <f>$B$8766</f>
        <v/>
      </c>
      <c r="T9103" s="21" t="n">
        <v>0</v>
      </c>
      <c r="U9103" s="21" t="n">
        <v>0</v>
      </c>
      <c r="V9103" s="21" t="n">
        <v>0</v>
      </c>
      <c r="W9103" s="21" t="n">
        <v>0</v>
      </c>
      <c r="X9103" s="21" t="n">
        <v>0</v>
      </c>
      <c r="Y9103" s="21" t="n">
        <v>0</v>
      </c>
      <c r="Z9103" s="19" t="n"/>
    </row>
    <row r="9104">
      <c r="D9104" s="21" t="n">
        <v>0</v>
      </c>
      <c r="E9104" s="21" t="n">
        <v>0</v>
      </c>
      <c r="F9104" s="21" t="n">
        <v>0</v>
      </c>
      <c r="G9104" s="21" t="n">
        <v>0</v>
      </c>
      <c r="H9104" s="21" t="n">
        <v>0</v>
      </c>
      <c r="I9104" s="21" t="n">
        <v>0</v>
      </c>
      <c r="J9104" s="21" t="n">
        <v>0</v>
      </c>
      <c r="K9104" s="21" t="n">
        <v>0</v>
      </c>
      <c r="L9104" s="21" t="n">
        <v>0</v>
      </c>
      <c r="M9104" s="21" t="n">
        <v>0</v>
      </c>
      <c r="N9104" s="21" t="n">
        <v>0</v>
      </c>
      <c r="O9104" s="21" t="n">
        <v>0</v>
      </c>
      <c r="P9104" s="21">
        <f>-$B$8763</f>
        <v/>
      </c>
      <c r="Q9104" s="21">
        <f>-$B$8764</f>
        <v/>
      </c>
      <c r="R9104" s="21">
        <f>2*$B$8763+$D$9085</f>
        <v/>
      </c>
      <c r="S9104" s="21">
        <f>0</f>
        <v/>
      </c>
      <c r="T9104" s="21">
        <f>-$B$8763</f>
        <v/>
      </c>
      <c r="U9104" s="21">
        <f>$B$8764</f>
        <v/>
      </c>
      <c r="V9104" s="21" t="n">
        <v>0</v>
      </c>
      <c r="W9104" s="21" t="n">
        <v>0</v>
      </c>
      <c r="X9104" s="21" t="n">
        <v>0</v>
      </c>
      <c r="Y9104" s="21" t="n">
        <v>0</v>
      </c>
      <c r="Z9104" s="19" t="n"/>
    </row>
    <row r="9105">
      <c r="D9105" s="21" t="n">
        <v>0</v>
      </c>
      <c r="E9105" s="21" t="n">
        <v>0</v>
      </c>
      <c r="F9105" s="21" t="n">
        <v>0</v>
      </c>
      <c r="G9105" s="21" t="n">
        <v>0</v>
      </c>
      <c r="H9105" s="21" t="n">
        <v>0</v>
      </c>
      <c r="I9105" s="21" t="n">
        <v>0</v>
      </c>
      <c r="J9105" s="21" t="n">
        <v>0</v>
      </c>
      <c r="K9105" s="21" t="n">
        <v>0</v>
      </c>
      <c r="L9105" s="21" t="n">
        <v>0</v>
      </c>
      <c r="M9105" s="21" t="n">
        <v>0</v>
      </c>
      <c r="N9105" s="21" t="n">
        <v>0</v>
      </c>
      <c r="O9105" s="21" t="n">
        <v>0</v>
      </c>
      <c r="P9105" s="21">
        <f>$B$8764</f>
        <v/>
      </c>
      <c r="Q9105" s="21">
        <f>$B$8766</f>
        <v/>
      </c>
      <c r="R9105" s="21">
        <f>0</f>
        <v/>
      </c>
      <c r="S9105" s="21">
        <f>2*$B$8765</f>
        <v/>
      </c>
      <c r="T9105" s="21">
        <f>-$B$8764</f>
        <v/>
      </c>
      <c r="U9105" s="21">
        <f>$B$8766</f>
        <v/>
      </c>
      <c r="V9105" s="21" t="n">
        <v>0</v>
      </c>
      <c r="W9105" s="21" t="n">
        <v>0</v>
      </c>
      <c r="X9105" s="21" t="n">
        <v>0</v>
      </c>
      <c r="Y9105" s="21" t="n">
        <v>0</v>
      </c>
      <c r="Z9105" s="19" t="n"/>
    </row>
    <row r="9106">
      <c r="D9106" s="21" t="n">
        <v>0</v>
      </c>
      <c r="E9106" s="21" t="n">
        <v>0</v>
      </c>
      <c r="F9106" s="21" t="n">
        <v>0</v>
      </c>
      <c r="G9106" s="21" t="n">
        <v>0</v>
      </c>
      <c r="H9106" s="21" t="n">
        <v>0</v>
      </c>
      <c r="I9106" s="21" t="n">
        <v>0</v>
      </c>
      <c r="J9106" s="21" t="n">
        <v>0</v>
      </c>
      <c r="K9106" s="21" t="n">
        <v>0</v>
      </c>
      <c r="L9106" s="21" t="n">
        <v>0</v>
      </c>
      <c r="M9106" s="21" t="n">
        <v>0</v>
      </c>
      <c r="N9106" s="21" t="n">
        <v>0</v>
      </c>
      <c r="O9106" s="21" t="n">
        <v>0</v>
      </c>
      <c r="P9106" s="21" t="n">
        <v>0</v>
      </c>
      <c r="Q9106" s="21" t="n">
        <v>0</v>
      </c>
      <c r="R9106" s="21">
        <f>-$B$8763</f>
        <v/>
      </c>
      <c r="S9106" s="21">
        <f>-$B$8764</f>
        <v/>
      </c>
      <c r="T9106" s="21">
        <f>2*$B$8763+$D$9086</f>
        <v/>
      </c>
      <c r="U9106" s="21">
        <f>0</f>
        <v/>
      </c>
      <c r="V9106" s="21">
        <f>-$B$8763</f>
        <v/>
      </c>
      <c r="W9106" s="21">
        <f>$B$8764</f>
        <v/>
      </c>
      <c r="X9106" s="21" t="n">
        <v>0</v>
      </c>
      <c r="Y9106" s="21" t="n">
        <v>0</v>
      </c>
      <c r="Z9106" s="19" t="n"/>
    </row>
    <row r="9107">
      <c r="D9107" s="21" t="n">
        <v>0</v>
      </c>
      <c r="E9107" s="21" t="n">
        <v>0</v>
      </c>
      <c r="F9107" s="21" t="n">
        <v>0</v>
      </c>
      <c r="G9107" s="21" t="n">
        <v>0</v>
      </c>
      <c r="H9107" s="21" t="n">
        <v>0</v>
      </c>
      <c r="I9107" s="21" t="n">
        <v>0</v>
      </c>
      <c r="J9107" s="21" t="n">
        <v>0</v>
      </c>
      <c r="K9107" s="21" t="n">
        <v>0</v>
      </c>
      <c r="L9107" s="21" t="n">
        <v>0</v>
      </c>
      <c r="M9107" s="21" t="n">
        <v>0</v>
      </c>
      <c r="N9107" s="21" t="n">
        <v>0</v>
      </c>
      <c r="O9107" s="21" t="n">
        <v>0</v>
      </c>
      <c r="P9107" s="21" t="n">
        <v>0</v>
      </c>
      <c r="Q9107" s="21" t="n">
        <v>0</v>
      </c>
      <c r="R9107" s="21">
        <f>$B$8764</f>
        <v/>
      </c>
      <c r="S9107" s="21">
        <f>$B$8766</f>
        <v/>
      </c>
      <c r="T9107" s="21">
        <f>0</f>
        <v/>
      </c>
      <c r="U9107" s="21">
        <f>2*$B$8765</f>
        <v/>
      </c>
      <c r="V9107" s="21">
        <f>-$B$8764</f>
        <v/>
      </c>
      <c r="W9107" s="21">
        <f>$B$8766</f>
        <v/>
      </c>
      <c r="X9107" s="21" t="n">
        <v>0</v>
      </c>
      <c r="Y9107" s="21" t="n">
        <v>0</v>
      </c>
      <c r="Z9107" s="19" t="n"/>
    </row>
    <row r="9108">
      <c r="D9108" s="21" t="n">
        <v>0</v>
      </c>
      <c r="E9108" s="21" t="n">
        <v>0</v>
      </c>
      <c r="F9108" s="21" t="n">
        <v>0</v>
      </c>
      <c r="G9108" s="21" t="n">
        <v>0</v>
      </c>
      <c r="H9108" s="21" t="n">
        <v>0</v>
      </c>
      <c r="I9108" s="21" t="n">
        <v>0</v>
      </c>
      <c r="J9108" s="21" t="n">
        <v>0</v>
      </c>
      <c r="K9108" s="21" t="n">
        <v>0</v>
      </c>
      <c r="L9108" s="21" t="n">
        <v>0</v>
      </c>
      <c r="M9108" s="21" t="n">
        <v>0</v>
      </c>
      <c r="N9108" s="21" t="n">
        <v>0</v>
      </c>
      <c r="O9108" s="21" t="n">
        <v>0</v>
      </c>
      <c r="P9108" s="21" t="n">
        <v>0</v>
      </c>
      <c r="Q9108" s="21" t="n">
        <v>0</v>
      </c>
      <c r="R9108" s="21" t="n">
        <v>0</v>
      </c>
      <c r="S9108" s="21" t="n">
        <v>0</v>
      </c>
      <c r="T9108" s="21">
        <f>-$B$8763</f>
        <v/>
      </c>
      <c r="U9108" s="21">
        <f>-$B$8764</f>
        <v/>
      </c>
      <c r="V9108" s="21">
        <f>2*$B$8763+$D$9087</f>
        <v/>
      </c>
      <c r="W9108" s="21">
        <f>0</f>
        <v/>
      </c>
      <c r="X9108" s="21">
        <f>-$B$8763</f>
        <v/>
      </c>
      <c r="Y9108" s="21">
        <f>$B$8764</f>
        <v/>
      </c>
      <c r="Z9108" s="19" t="n"/>
    </row>
    <row r="9109">
      <c r="D9109" s="21" t="n">
        <v>0</v>
      </c>
      <c r="E9109" s="21" t="n">
        <v>0</v>
      </c>
      <c r="F9109" s="21" t="n">
        <v>0</v>
      </c>
      <c r="G9109" s="21" t="n">
        <v>0</v>
      </c>
      <c r="H9109" s="21" t="n">
        <v>0</v>
      </c>
      <c r="I9109" s="21" t="n">
        <v>0</v>
      </c>
      <c r="J9109" s="21" t="n">
        <v>0</v>
      </c>
      <c r="K9109" s="21" t="n">
        <v>0</v>
      </c>
      <c r="L9109" s="21" t="n">
        <v>0</v>
      </c>
      <c r="M9109" s="21" t="n">
        <v>0</v>
      </c>
      <c r="N9109" s="21" t="n">
        <v>0</v>
      </c>
      <c r="O9109" s="21" t="n">
        <v>0</v>
      </c>
      <c r="P9109" s="21" t="n">
        <v>0</v>
      </c>
      <c r="Q9109" s="21" t="n">
        <v>0</v>
      </c>
      <c r="R9109" s="21" t="n">
        <v>0</v>
      </c>
      <c r="S9109" s="21" t="n">
        <v>0</v>
      </c>
      <c r="T9109" s="21">
        <f>$B$8764</f>
        <v/>
      </c>
      <c r="U9109" s="21">
        <f>$B$8766</f>
        <v/>
      </c>
      <c r="V9109" s="21">
        <f>0</f>
        <v/>
      </c>
      <c r="W9109" s="21">
        <f>2*$B$8765</f>
        <v/>
      </c>
      <c r="X9109" s="21">
        <f>-$B$8764</f>
        <v/>
      </c>
      <c r="Y9109" s="21">
        <f>$B$8766</f>
        <v/>
      </c>
      <c r="Z9109" s="19" t="n"/>
    </row>
    <row r="9110">
      <c r="D9110" s="21" t="n">
        <v>0</v>
      </c>
      <c r="E9110" s="21" t="n">
        <v>0</v>
      </c>
      <c r="F9110" s="21" t="n">
        <v>0</v>
      </c>
      <c r="G9110" s="21" t="n">
        <v>0</v>
      </c>
      <c r="H9110" s="21" t="n">
        <v>0</v>
      </c>
      <c r="I9110" s="21" t="n">
        <v>0</v>
      </c>
      <c r="J9110" s="21" t="n">
        <v>0</v>
      </c>
      <c r="K9110" s="21" t="n">
        <v>0</v>
      </c>
      <c r="L9110" s="21" t="n">
        <v>0</v>
      </c>
      <c r="M9110" s="21" t="n">
        <v>0</v>
      </c>
      <c r="N9110" s="21" t="n">
        <v>0</v>
      </c>
      <c r="O9110" s="21" t="n">
        <v>0</v>
      </c>
      <c r="P9110" s="21" t="n">
        <v>0</v>
      </c>
      <c r="Q9110" s="21" t="n">
        <v>0</v>
      </c>
      <c r="R9110" s="21" t="n">
        <v>0</v>
      </c>
      <c r="S9110" s="21" t="n">
        <v>0</v>
      </c>
      <c r="T9110" s="21" t="n">
        <v>0</v>
      </c>
      <c r="U9110" s="21" t="n">
        <v>0</v>
      </c>
      <c r="V9110" s="21">
        <f>-$B$8763</f>
        <v/>
      </c>
      <c r="W9110" s="21">
        <f>-$B$8764</f>
        <v/>
      </c>
      <c r="X9110" s="21">
        <f>$B$8763+$D$9088</f>
        <v/>
      </c>
      <c r="Y9110" s="21">
        <f>-$B$8764</f>
        <v/>
      </c>
      <c r="Z9110" s="19" t="n"/>
    </row>
    <row r="9111">
      <c r="D9111" s="21" t="n">
        <v>0</v>
      </c>
      <c r="E9111" s="21" t="n">
        <v>0</v>
      </c>
      <c r="F9111" s="21" t="n">
        <v>0</v>
      </c>
      <c r="G9111" s="21" t="n">
        <v>0</v>
      </c>
      <c r="H9111" s="21" t="n">
        <v>0</v>
      </c>
      <c r="I9111" s="21" t="n">
        <v>0</v>
      </c>
      <c r="J9111" s="21" t="n">
        <v>0</v>
      </c>
      <c r="K9111" s="21" t="n">
        <v>0</v>
      </c>
      <c r="L9111" s="21" t="n">
        <v>0</v>
      </c>
      <c r="M9111" s="21" t="n">
        <v>0</v>
      </c>
      <c r="N9111" s="21" t="n">
        <v>0</v>
      </c>
      <c r="O9111" s="21" t="n">
        <v>0</v>
      </c>
      <c r="P9111" s="21" t="n">
        <v>0</v>
      </c>
      <c r="Q9111" s="21" t="n">
        <v>0</v>
      </c>
      <c r="R9111" s="21" t="n">
        <v>0</v>
      </c>
      <c r="S9111" s="21" t="n">
        <v>0</v>
      </c>
      <c r="T9111" s="21" t="n">
        <v>0</v>
      </c>
      <c r="U9111" s="21" t="n">
        <v>0</v>
      </c>
      <c r="V9111" s="21">
        <f>$B$8764</f>
        <v/>
      </c>
      <c r="W9111" s="21">
        <f>$B$8766</f>
        <v/>
      </c>
      <c r="X9111" s="21">
        <f>-$B$8764</f>
        <v/>
      </c>
      <c r="Y9111" s="21">
        <f>$B$8765</f>
        <v/>
      </c>
      <c r="Z9111" s="19" t="n"/>
    </row>
    <row r="9113">
      <c r="A9113" s="8" t="inlineStr">
        <is>
          <t>gen 9</t>
        </is>
      </c>
    </row>
    <row r="9114">
      <c r="D9114" s="19">
        <f>IF(ABS(IF(ABS($E$9078)&gt;0.000000001,$E$9078,0.000000001))=0,0,IF($E$8778&lt;=$B$8772,0,IF(ABS(IF(ABS($E$9078)&gt;0.000000001,$E$9078,0.000000001))&gt;=8*$B$8774,$H$8778,0.5*$H$8778*(ABS(IF(ABS($E$9078)&gt;0.000000001,$E$9078,0.000000001))/$B$8774)^(1/3)))/ABS(IF(ABS($E$9078)&gt;0.000000001,$E$9078,0.000000001))*$I$8778)</f>
        <v/>
      </c>
      <c r="E9114" s="19">
        <f>0.5*$E$9078+0.5*$Z$9126</f>
        <v/>
      </c>
      <c r="F9114" s="19">
        <f>$Z$9127</f>
        <v/>
      </c>
    </row>
    <row r="9115">
      <c r="D9115" s="19">
        <f>IF(ABS(IF(ABS($E$9079)&gt;0.000000001,$E$9079,0.000000001))=0,0,IF($E$8779&lt;=$B$8772,0,IF(ABS(IF(ABS($E$9079)&gt;0.000000001,$E$9079,0.000000001))&gt;=8*$B$8774,$H$8779,0.5*$H$8779*(ABS(IF(ABS($E$9079)&gt;0.000000001,$E$9079,0.000000001))/$B$8774)^(1/3)))/ABS(IF(ABS($E$9079)&gt;0.000000001,$E$9079,0.000000001))*$I$8779)</f>
        <v/>
      </c>
      <c r="E9115" s="19">
        <f>0.5*$E$9079+0.5*$Z$9128</f>
        <v/>
      </c>
      <c r="F9115" s="19">
        <f>$Z$9129</f>
        <v/>
      </c>
    </row>
    <row r="9116">
      <c r="D9116" s="19">
        <f>IF(ABS(IF(ABS($E$9080)&gt;0.000000001,$E$9080,0.000000001))=0,0,IF($E$8780&lt;=$B$8772,0,IF(ABS(IF(ABS($E$9080)&gt;0.000000001,$E$9080,0.000000001))&gt;=8*$B$8774,$H$8780,0.5*$H$8780*(ABS(IF(ABS($E$9080)&gt;0.000000001,$E$9080,0.000000001))/$B$8774)^(1/3)))/ABS(IF(ABS($E$9080)&gt;0.000000001,$E$9080,0.000000001))*$I$8780)</f>
        <v/>
      </c>
      <c r="E9116" s="19">
        <f>0.5*$E$9080+0.5*$Z$9130</f>
        <v/>
      </c>
      <c r="F9116" s="19">
        <f>$Z$9131</f>
        <v/>
      </c>
    </row>
    <row r="9117">
      <c r="D9117" s="19">
        <f>IF(ABS(IF(ABS($E$9081)&gt;0.000000001,$E$9081,0.000000001))=0,0,IF($E$8781&lt;=$B$8772,0,IF(ABS(IF(ABS($E$9081)&gt;0.000000001,$E$9081,0.000000001))&gt;=8*$B$8774,$H$8781,0.5*$H$8781*(ABS(IF(ABS($E$9081)&gt;0.000000001,$E$9081,0.000000001))/$B$8774)^(1/3)))/ABS(IF(ABS($E$9081)&gt;0.000000001,$E$9081,0.000000001))*$I$8781)</f>
        <v/>
      </c>
      <c r="E9117" s="19">
        <f>0.5*$E$9081+0.5*$Z$9132</f>
        <v/>
      </c>
      <c r="F9117" s="19">
        <f>$Z$9133</f>
        <v/>
      </c>
    </row>
    <row r="9118">
      <c r="D9118" s="19">
        <f>IF(ABS(IF(ABS($E$9082)&gt;0.000000001,$E$9082,0.000000001))=0,0,IF($E$8782&lt;=$B$8772,0,IF(ABS(IF(ABS($E$9082)&gt;0.000000001,$E$9082,0.000000001))&gt;=8*$B$8774,$H$8782,0.5*$H$8782*(ABS(IF(ABS($E$9082)&gt;0.000000001,$E$9082,0.000000001))/$B$8774)^(1/3)))/ABS(IF(ABS($E$9082)&gt;0.000000001,$E$9082,0.000000001))*$I$8782)</f>
        <v/>
      </c>
      <c r="E9118" s="19">
        <f>0.5*$E$9082+0.5*$Z$9134</f>
        <v/>
      </c>
      <c r="F9118" s="19">
        <f>$Z$9135</f>
        <v/>
      </c>
    </row>
    <row r="9119">
      <c r="D9119" s="19">
        <f>IF(ABS(IF(ABS($E$9083)&gt;0.000000001,$E$9083,0.000000001))=0,0,IF($E$8783&lt;=$B$8772,0,IF(ABS(IF(ABS($E$9083)&gt;0.000000001,$E$9083,0.000000001))&gt;=8*$B$8774,$H$8783,0.5*$H$8783*(ABS(IF(ABS($E$9083)&gt;0.000000001,$E$9083,0.000000001))/$B$8774)^(1/3)))/ABS(IF(ABS($E$9083)&gt;0.000000001,$E$9083,0.000000001))*$I$8783)</f>
        <v/>
      </c>
      <c r="E9119" s="19">
        <f>0.5*$E$9083+0.5*$Z$9136</f>
        <v/>
      </c>
      <c r="F9119" s="19">
        <f>$Z$9137</f>
        <v/>
      </c>
    </row>
    <row r="9120">
      <c r="D9120" s="19">
        <f>IF(ABS(IF(ABS($E$9084)&gt;0.000000001,$E$9084,0.000000001))=0,0,IF($E$8784&lt;=$B$8772,0,IF(ABS(IF(ABS($E$9084)&gt;0.000000001,$E$9084,0.000000001))&gt;=8*$B$8774,$H$8784,0.5*$H$8784*(ABS(IF(ABS($E$9084)&gt;0.000000001,$E$9084,0.000000001))/$B$8774)^(1/3)))/ABS(IF(ABS($E$9084)&gt;0.000000001,$E$9084,0.000000001))*$I$8784)</f>
        <v/>
      </c>
      <c r="E9120" s="19">
        <f>0.5*$E$9084+0.5*$Z$9138</f>
        <v/>
      </c>
      <c r="F9120" s="19">
        <f>$Z$9139</f>
        <v/>
      </c>
    </row>
    <row r="9121">
      <c r="D9121" s="19">
        <f>IF(ABS(IF(ABS($E$9085)&gt;0.000000001,$E$9085,0.000000001))=0,0,IF($E$8785&lt;=$B$8772,0,IF(ABS(IF(ABS($E$9085)&gt;0.000000001,$E$9085,0.000000001))&gt;=8*$B$8774,$H$8785,0.5*$H$8785*(ABS(IF(ABS($E$9085)&gt;0.000000001,$E$9085,0.000000001))/$B$8774)^(1/3)))/ABS(IF(ABS($E$9085)&gt;0.000000001,$E$9085,0.000000001))*$I$8785)</f>
        <v/>
      </c>
      <c r="E9121" s="19">
        <f>0.5*$E$9085+0.5*$Z$9140</f>
        <v/>
      </c>
      <c r="F9121" s="19">
        <f>$Z$9141</f>
        <v/>
      </c>
    </row>
    <row r="9122">
      <c r="D9122" s="19">
        <f>IF(ABS(IF(ABS($E$9086)&gt;0.000000001,$E$9086,0.000000001))=0,0,IF($E$8786&lt;=$B$8772,0,IF(ABS(IF(ABS($E$9086)&gt;0.000000001,$E$9086,0.000000001))&gt;=8*$B$8774,$H$8786,0.5*$H$8786*(ABS(IF(ABS($E$9086)&gt;0.000000001,$E$9086,0.000000001))/$B$8774)^(1/3)))/ABS(IF(ABS($E$9086)&gt;0.000000001,$E$9086,0.000000001))*$I$8786)</f>
        <v/>
      </c>
      <c r="E9122" s="19">
        <f>0.5*$E$9086+0.5*$Z$9142</f>
        <v/>
      </c>
      <c r="F9122" s="19">
        <f>$Z$9143</f>
        <v/>
      </c>
    </row>
    <row r="9123">
      <c r="D9123" s="19">
        <f>IF(ABS(IF(ABS($E$9087)&gt;0.000000001,$E$9087,0.000000001))=0,0,IF($E$8787&lt;=$B$8772,0,IF(ABS(IF(ABS($E$9087)&gt;0.000000001,$E$9087,0.000000001))&gt;=8*$B$8774,$H$8787,0.5*$H$8787*(ABS(IF(ABS($E$9087)&gt;0.000000001,$E$9087,0.000000001))/$B$8774)^(1/3)))/ABS(IF(ABS($E$9087)&gt;0.000000001,$E$9087,0.000000001))*$I$8787)</f>
        <v/>
      </c>
      <c r="E9123" s="19">
        <f>0.5*$E$9087+0.5*$Z$9144</f>
        <v/>
      </c>
      <c r="F9123" s="19">
        <f>$Z$9145</f>
        <v/>
      </c>
    </row>
    <row r="9124">
      <c r="D9124" s="19">
        <f>IF(ABS(IF(ABS($E$9088)&gt;0.000000001,$E$9088,0.000000001))=0,0,IF($E$8788&lt;=$B$8772,0,IF(ABS(IF(ABS($E$9088)&gt;0.000000001,$E$9088,0.000000001))&gt;=8*$B$8774,$H$8788,0.5*$H$8788*(ABS(IF(ABS($E$9088)&gt;0.000000001,$E$9088,0.000000001))/$B$8774)^(1/3)))/ABS(IF(ABS($E$9088)&gt;0.000000001,$E$9088,0.000000001))*$I$8788)</f>
        <v/>
      </c>
      <c r="E9124" s="19">
        <f>0.5*$E$9088+0.5*$Z$9146</f>
        <v/>
      </c>
      <c r="F9124" s="19">
        <f>$Z$9147</f>
        <v/>
      </c>
    </row>
    <row r="9126">
      <c r="D9126" s="21">
        <f>$B$8763+$D$9114</f>
        <v/>
      </c>
      <c r="E9126" s="21">
        <f>$B$8764</f>
        <v/>
      </c>
      <c r="F9126" s="21">
        <f>-$B$8763</f>
        <v/>
      </c>
      <c r="G9126" s="21">
        <f>$B$8764</f>
        <v/>
      </c>
      <c r="H9126" s="21" t="n">
        <v>0</v>
      </c>
      <c r="I9126" s="21" t="n">
        <v>0</v>
      </c>
      <c r="J9126" s="21" t="n">
        <v>0</v>
      </c>
      <c r="K9126" s="21" t="n">
        <v>0</v>
      </c>
      <c r="L9126" s="21" t="n">
        <v>0</v>
      </c>
      <c r="M9126" s="21" t="n">
        <v>0</v>
      </c>
      <c r="N9126" s="21" t="n">
        <v>0</v>
      </c>
      <c r="O9126" s="21" t="n">
        <v>0</v>
      </c>
      <c r="P9126" s="21" t="n">
        <v>0</v>
      </c>
      <c r="Q9126" s="21" t="n">
        <v>0</v>
      </c>
      <c r="R9126" s="21" t="n">
        <v>0</v>
      </c>
      <c r="S9126" s="21" t="n">
        <v>0</v>
      </c>
      <c r="T9126" s="21" t="n">
        <v>0</v>
      </c>
      <c r="U9126" s="21" t="n">
        <v>0</v>
      </c>
      <c r="V9126" s="21" t="n">
        <v>0</v>
      </c>
      <c r="W9126" s="21" t="n">
        <v>0</v>
      </c>
      <c r="X9126" s="21" t="n">
        <v>0</v>
      </c>
      <c r="Y9126" s="21" t="n">
        <v>0</v>
      </c>
      <c r="Z9126" s="19">
        <f t="array" ref="Z9126:Z9147">MMULT(MINVERSE($D$9126:$Y$9147),$D$8790:$D$8811)</f>
        <v/>
      </c>
    </row>
    <row r="9127">
      <c r="D9127" s="21">
        <f>$B$8764</f>
        <v/>
      </c>
      <c r="E9127" s="21">
        <f>$B$8765</f>
        <v/>
      </c>
      <c r="F9127" s="21">
        <f>-$B$8764</f>
        <v/>
      </c>
      <c r="G9127" s="21">
        <f>$B$8766</f>
        <v/>
      </c>
      <c r="H9127" s="21" t="n">
        <v>0</v>
      </c>
      <c r="I9127" s="21" t="n">
        <v>0</v>
      </c>
      <c r="J9127" s="21" t="n">
        <v>0</v>
      </c>
      <c r="K9127" s="21" t="n">
        <v>0</v>
      </c>
      <c r="L9127" s="21" t="n">
        <v>0</v>
      </c>
      <c r="M9127" s="21" t="n">
        <v>0</v>
      </c>
      <c r="N9127" s="21" t="n">
        <v>0</v>
      </c>
      <c r="O9127" s="21" t="n">
        <v>0</v>
      </c>
      <c r="P9127" s="21" t="n">
        <v>0</v>
      </c>
      <c r="Q9127" s="21" t="n">
        <v>0</v>
      </c>
      <c r="R9127" s="21" t="n">
        <v>0</v>
      </c>
      <c r="S9127" s="21" t="n">
        <v>0</v>
      </c>
      <c r="T9127" s="21" t="n">
        <v>0</v>
      </c>
      <c r="U9127" s="21" t="n">
        <v>0</v>
      </c>
      <c r="V9127" s="21" t="n">
        <v>0</v>
      </c>
      <c r="W9127" s="21" t="n">
        <v>0</v>
      </c>
      <c r="X9127" s="21" t="n">
        <v>0</v>
      </c>
      <c r="Y9127" s="21" t="n">
        <v>0</v>
      </c>
      <c r="Z9127" s="19" t="n"/>
    </row>
    <row r="9128">
      <c r="D9128" s="21">
        <f>-$B$8763</f>
        <v/>
      </c>
      <c r="E9128" s="21">
        <f>-$B$8764</f>
        <v/>
      </c>
      <c r="F9128" s="21">
        <f>2*$B$8763+$D$9115</f>
        <v/>
      </c>
      <c r="G9128" s="21">
        <f>0</f>
        <v/>
      </c>
      <c r="H9128" s="21">
        <f>-$B$8763</f>
        <v/>
      </c>
      <c r="I9128" s="21">
        <f>$B$8764</f>
        <v/>
      </c>
      <c r="J9128" s="21" t="n">
        <v>0</v>
      </c>
      <c r="K9128" s="21" t="n">
        <v>0</v>
      </c>
      <c r="L9128" s="21" t="n">
        <v>0</v>
      </c>
      <c r="M9128" s="21" t="n">
        <v>0</v>
      </c>
      <c r="N9128" s="21" t="n">
        <v>0</v>
      </c>
      <c r="O9128" s="21" t="n">
        <v>0</v>
      </c>
      <c r="P9128" s="21" t="n">
        <v>0</v>
      </c>
      <c r="Q9128" s="21" t="n">
        <v>0</v>
      </c>
      <c r="R9128" s="21" t="n">
        <v>0</v>
      </c>
      <c r="S9128" s="21" t="n">
        <v>0</v>
      </c>
      <c r="T9128" s="21" t="n">
        <v>0</v>
      </c>
      <c r="U9128" s="21" t="n">
        <v>0</v>
      </c>
      <c r="V9128" s="21" t="n">
        <v>0</v>
      </c>
      <c r="W9128" s="21" t="n">
        <v>0</v>
      </c>
      <c r="X9128" s="21" t="n">
        <v>0</v>
      </c>
      <c r="Y9128" s="21" t="n">
        <v>0</v>
      </c>
      <c r="Z9128" s="19" t="n"/>
    </row>
    <row r="9129">
      <c r="D9129" s="21">
        <f>$B$8764</f>
        <v/>
      </c>
      <c r="E9129" s="21">
        <f>$B$8766</f>
        <v/>
      </c>
      <c r="F9129" s="21">
        <f>0</f>
        <v/>
      </c>
      <c r="G9129" s="21">
        <f>2*$B$8765</f>
        <v/>
      </c>
      <c r="H9129" s="21">
        <f>-$B$8764</f>
        <v/>
      </c>
      <c r="I9129" s="21">
        <f>$B$8766</f>
        <v/>
      </c>
      <c r="J9129" s="21" t="n">
        <v>0</v>
      </c>
      <c r="K9129" s="21" t="n">
        <v>0</v>
      </c>
      <c r="L9129" s="21" t="n">
        <v>0</v>
      </c>
      <c r="M9129" s="21" t="n">
        <v>0</v>
      </c>
      <c r="N9129" s="21" t="n">
        <v>0</v>
      </c>
      <c r="O9129" s="21" t="n">
        <v>0</v>
      </c>
      <c r="P9129" s="21" t="n">
        <v>0</v>
      </c>
      <c r="Q9129" s="21" t="n">
        <v>0</v>
      </c>
      <c r="R9129" s="21" t="n">
        <v>0</v>
      </c>
      <c r="S9129" s="21" t="n">
        <v>0</v>
      </c>
      <c r="T9129" s="21" t="n">
        <v>0</v>
      </c>
      <c r="U9129" s="21" t="n">
        <v>0</v>
      </c>
      <c r="V9129" s="21" t="n">
        <v>0</v>
      </c>
      <c r="W9129" s="21" t="n">
        <v>0</v>
      </c>
      <c r="X9129" s="21" t="n">
        <v>0</v>
      </c>
      <c r="Y9129" s="21" t="n">
        <v>0</v>
      </c>
      <c r="Z9129" s="19" t="n"/>
    </row>
    <row r="9130">
      <c r="D9130" s="21" t="n">
        <v>0</v>
      </c>
      <c r="E9130" s="21" t="n">
        <v>0</v>
      </c>
      <c r="F9130" s="21">
        <f>-$B$8763</f>
        <v/>
      </c>
      <c r="G9130" s="21">
        <f>-$B$8764</f>
        <v/>
      </c>
      <c r="H9130" s="21">
        <f>2*$B$8763+$D$9116</f>
        <v/>
      </c>
      <c r="I9130" s="21">
        <f>0</f>
        <v/>
      </c>
      <c r="J9130" s="21">
        <f>-$B$8763</f>
        <v/>
      </c>
      <c r="K9130" s="21">
        <f>$B$8764</f>
        <v/>
      </c>
      <c r="L9130" s="21" t="n">
        <v>0</v>
      </c>
      <c r="M9130" s="21" t="n">
        <v>0</v>
      </c>
      <c r="N9130" s="21" t="n">
        <v>0</v>
      </c>
      <c r="O9130" s="21" t="n">
        <v>0</v>
      </c>
      <c r="P9130" s="21" t="n">
        <v>0</v>
      </c>
      <c r="Q9130" s="21" t="n">
        <v>0</v>
      </c>
      <c r="R9130" s="21" t="n">
        <v>0</v>
      </c>
      <c r="S9130" s="21" t="n">
        <v>0</v>
      </c>
      <c r="T9130" s="21" t="n">
        <v>0</v>
      </c>
      <c r="U9130" s="21" t="n">
        <v>0</v>
      </c>
      <c r="V9130" s="21" t="n">
        <v>0</v>
      </c>
      <c r="W9130" s="21" t="n">
        <v>0</v>
      </c>
      <c r="X9130" s="21" t="n">
        <v>0</v>
      </c>
      <c r="Y9130" s="21" t="n">
        <v>0</v>
      </c>
      <c r="Z9130" s="19" t="n"/>
    </row>
    <row r="9131">
      <c r="D9131" s="21" t="n">
        <v>0</v>
      </c>
      <c r="E9131" s="21" t="n">
        <v>0</v>
      </c>
      <c r="F9131" s="21">
        <f>$B$8764</f>
        <v/>
      </c>
      <c r="G9131" s="21">
        <f>$B$8766</f>
        <v/>
      </c>
      <c r="H9131" s="21">
        <f>0</f>
        <v/>
      </c>
      <c r="I9131" s="21">
        <f>2*$B$8765</f>
        <v/>
      </c>
      <c r="J9131" s="21">
        <f>-$B$8764</f>
        <v/>
      </c>
      <c r="K9131" s="21">
        <f>$B$8766</f>
        <v/>
      </c>
      <c r="L9131" s="21" t="n">
        <v>0</v>
      </c>
      <c r="M9131" s="21" t="n">
        <v>0</v>
      </c>
      <c r="N9131" s="21" t="n">
        <v>0</v>
      </c>
      <c r="O9131" s="21" t="n">
        <v>0</v>
      </c>
      <c r="P9131" s="21" t="n">
        <v>0</v>
      </c>
      <c r="Q9131" s="21" t="n">
        <v>0</v>
      </c>
      <c r="R9131" s="21" t="n">
        <v>0</v>
      </c>
      <c r="S9131" s="21" t="n">
        <v>0</v>
      </c>
      <c r="T9131" s="21" t="n">
        <v>0</v>
      </c>
      <c r="U9131" s="21" t="n">
        <v>0</v>
      </c>
      <c r="V9131" s="21" t="n">
        <v>0</v>
      </c>
      <c r="W9131" s="21" t="n">
        <v>0</v>
      </c>
      <c r="X9131" s="21" t="n">
        <v>0</v>
      </c>
      <c r="Y9131" s="21" t="n">
        <v>0</v>
      </c>
      <c r="Z9131" s="19" t="n"/>
    </row>
    <row r="9132">
      <c r="D9132" s="21" t="n">
        <v>0</v>
      </c>
      <c r="E9132" s="21" t="n">
        <v>0</v>
      </c>
      <c r="F9132" s="21" t="n">
        <v>0</v>
      </c>
      <c r="G9132" s="21" t="n">
        <v>0</v>
      </c>
      <c r="H9132" s="21">
        <f>-$B$8763</f>
        <v/>
      </c>
      <c r="I9132" s="21">
        <f>-$B$8764</f>
        <v/>
      </c>
      <c r="J9132" s="21">
        <f>2*$B$8763+$D$9117</f>
        <v/>
      </c>
      <c r="K9132" s="21">
        <f>0</f>
        <v/>
      </c>
      <c r="L9132" s="21">
        <f>-$B$8763</f>
        <v/>
      </c>
      <c r="M9132" s="21">
        <f>$B$8764</f>
        <v/>
      </c>
      <c r="N9132" s="21" t="n">
        <v>0</v>
      </c>
      <c r="O9132" s="21" t="n">
        <v>0</v>
      </c>
      <c r="P9132" s="21" t="n">
        <v>0</v>
      </c>
      <c r="Q9132" s="21" t="n">
        <v>0</v>
      </c>
      <c r="R9132" s="21" t="n">
        <v>0</v>
      </c>
      <c r="S9132" s="21" t="n">
        <v>0</v>
      </c>
      <c r="T9132" s="21" t="n">
        <v>0</v>
      </c>
      <c r="U9132" s="21" t="n">
        <v>0</v>
      </c>
      <c r="V9132" s="21" t="n">
        <v>0</v>
      </c>
      <c r="W9132" s="21" t="n">
        <v>0</v>
      </c>
      <c r="X9132" s="21" t="n">
        <v>0</v>
      </c>
      <c r="Y9132" s="21" t="n">
        <v>0</v>
      </c>
      <c r="Z9132" s="19" t="n"/>
    </row>
    <row r="9133">
      <c r="D9133" s="21" t="n">
        <v>0</v>
      </c>
      <c r="E9133" s="21" t="n">
        <v>0</v>
      </c>
      <c r="F9133" s="21" t="n">
        <v>0</v>
      </c>
      <c r="G9133" s="21" t="n">
        <v>0</v>
      </c>
      <c r="H9133" s="21">
        <f>$B$8764</f>
        <v/>
      </c>
      <c r="I9133" s="21">
        <f>$B$8766</f>
        <v/>
      </c>
      <c r="J9133" s="21">
        <f>0</f>
        <v/>
      </c>
      <c r="K9133" s="21">
        <f>2*$B$8765</f>
        <v/>
      </c>
      <c r="L9133" s="21">
        <f>-$B$8764</f>
        <v/>
      </c>
      <c r="M9133" s="21">
        <f>$B$8766</f>
        <v/>
      </c>
      <c r="N9133" s="21" t="n">
        <v>0</v>
      </c>
      <c r="O9133" s="21" t="n">
        <v>0</v>
      </c>
      <c r="P9133" s="21" t="n">
        <v>0</v>
      </c>
      <c r="Q9133" s="21" t="n">
        <v>0</v>
      </c>
      <c r="R9133" s="21" t="n">
        <v>0</v>
      </c>
      <c r="S9133" s="21" t="n">
        <v>0</v>
      </c>
      <c r="T9133" s="21" t="n">
        <v>0</v>
      </c>
      <c r="U9133" s="21" t="n">
        <v>0</v>
      </c>
      <c r="V9133" s="21" t="n">
        <v>0</v>
      </c>
      <c r="W9133" s="21" t="n">
        <v>0</v>
      </c>
      <c r="X9133" s="21" t="n">
        <v>0</v>
      </c>
      <c r="Y9133" s="21" t="n">
        <v>0</v>
      </c>
      <c r="Z9133" s="19" t="n"/>
    </row>
    <row r="9134">
      <c r="D9134" s="21" t="n">
        <v>0</v>
      </c>
      <c r="E9134" s="21" t="n">
        <v>0</v>
      </c>
      <c r="F9134" s="21" t="n">
        <v>0</v>
      </c>
      <c r="G9134" s="21" t="n">
        <v>0</v>
      </c>
      <c r="H9134" s="21" t="n">
        <v>0</v>
      </c>
      <c r="I9134" s="21" t="n">
        <v>0</v>
      </c>
      <c r="J9134" s="21">
        <f>-$B$8763</f>
        <v/>
      </c>
      <c r="K9134" s="21">
        <f>-$B$8764</f>
        <v/>
      </c>
      <c r="L9134" s="21">
        <f>2*$B$8763+$D$9118</f>
        <v/>
      </c>
      <c r="M9134" s="21">
        <f>0</f>
        <v/>
      </c>
      <c r="N9134" s="21">
        <f>-$B$8763</f>
        <v/>
      </c>
      <c r="O9134" s="21">
        <f>$B$8764</f>
        <v/>
      </c>
      <c r="P9134" s="21" t="n">
        <v>0</v>
      </c>
      <c r="Q9134" s="21" t="n">
        <v>0</v>
      </c>
      <c r="R9134" s="21" t="n">
        <v>0</v>
      </c>
      <c r="S9134" s="21" t="n">
        <v>0</v>
      </c>
      <c r="T9134" s="21" t="n">
        <v>0</v>
      </c>
      <c r="U9134" s="21" t="n">
        <v>0</v>
      </c>
      <c r="V9134" s="21" t="n">
        <v>0</v>
      </c>
      <c r="W9134" s="21" t="n">
        <v>0</v>
      </c>
      <c r="X9134" s="21" t="n">
        <v>0</v>
      </c>
      <c r="Y9134" s="21" t="n">
        <v>0</v>
      </c>
      <c r="Z9134" s="19" t="n"/>
    </row>
    <row r="9135">
      <c r="D9135" s="21" t="n">
        <v>0</v>
      </c>
      <c r="E9135" s="21" t="n">
        <v>0</v>
      </c>
      <c r="F9135" s="21" t="n">
        <v>0</v>
      </c>
      <c r="G9135" s="21" t="n">
        <v>0</v>
      </c>
      <c r="H9135" s="21" t="n">
        <v>0</v>
      </c>
      <c r="I9135" s="21" t="n">
        <v>0</v>
      </c>
      <c r="J9135" s="21">
        <f>$B$8764</f>
        <v/>
      </c>
      <c r="K9135" s="21">
        <f>$B$8766</f>
        <v/>
      </c>
      <c r="L9135" s="21">
        <f>0</f>
        <v/>
      </c>
      <c r="M9135" s="21">
        <f>2*$B$8765</f>
        <v/>
      </c>
      <c r="N9135" s="21">
        <f>-$B$8764</f>
        <v/>
      </c>
      <c r="O9135" s="21">
        <f>$B$8766</f>
        <v/>
      </c>
      <c r="P9135" s="21" t="n">
        <v>0</v>
      </c>
      <c r="Q9135" s="21" t="n">
        <v>0</v>
      </c>
      <c r="R9135" s="21" t="n">
        <v>0</v>
      </c>
      <c r="S9135" s="21" t="n">
        <v>0</v>
      </c>
      <c r="T9135" s="21" t="n">
        <v>0</v>
      </c>
      <c r="U9135" s="21" t="n">
        <v>0</v>
      </c>
      <c r="V9135" s="21" t="n">
        <v>0</v>
      </c>
      <c r="W9135" s="21" t="n">
        <v>0</v>
      </c>
      <c r="X9135" s="21" t="n">
        <v>0</v>
      </c>
      <c r="Y9135" s="21" t="n">
        <v>0</v>
      </c>
      <c r="Z9135" s="19" t="n"/>
    </row>
    <row r="9136">
      <c r="D9136" s="21" t="n">
        <v>0</v>
      </c>
      <c r="E9136" s="21" t="n">
        <v>0</v>
      </c>
      <c r="F9136" s="21" t="n">
        <v>0</v>
      </c>
      <c r="G9136" s="21" t="n">
        <v>0</v>
      </c>
      <c r="H9136" s="21" t="n">
        <v>0</v>
      </c>
      <c r="I9136" s="21" t="n">
        <v>0</v>
      </c>
      <c r="J9136" s="21" t="n">
        <v>0</v>
      </c>
      <c r="K9136" s="21" t="n">
        <v>0</v>
      </c>
      <c r="L9136" s="21">
        <f>-$B$8763</f>
        <v/>
      </c>
      <c r="M9136" s="21">
        <f>-$B$8764</f>
        <v/>
      </c>
      <c r="N9136" s="21">
        <f>2*$B$8763+$D$9119</f>
        <v/>
      </c>
      <c r="O9136" s="21">
        <f>0</f>
        <v/>
      </c>
      <c r="P9136" s="21">
        <f>-$B$8763</f>
        <v/>
      </c>
      <c r="Q9136" s="21">
        <f>$B$8764</f>
        <v/>
      </c>
      <c r="R9136" s="21" t="n">
        <v>0</v>
      </c>
      <c r="S9136" s="21" t="n">
        <v>0</v>
      </c>
      <c r="T9136" s="21" t="n">
        <v>0</v>
      </c>
      <c r="U9136" s="21" t="n">
        <v>0</v>
      </c>
      <c r="V9136" s="21" t="n">
        <v>0</v>
      </c>
      <c r="W9136" s="21" t="n">
        <v>0</v>
      </c>
      <c r="X9136" s="21" t="n">
        <v>0</v>
      </c>
      <c r="Y9136" s="21" t="n">
        <v>0</v>
      </c>
      <c r="Z9136" s="19" t="n"/>
    </row>
    <row r="9137">
      <c r="D9137" s="21" t="n">
        <v>0</v>
      </c>
      <c r="E9137" s="21" t="n">
        <v>0</v>
      </c>
      <c r="F9137" s="21" t="n">
        <v>0</v>
      </c>
      <c r="G9137" s="21" t="n">
        <v>0</v>
      </c>
      <c r="H9137" s="21" t="n">
        <v>0</v>
      </c>
      <c r="I9137" s="21" t="n">
        <v>0</v>
      </c>
      <c r="J9137" s="21" t="n">
        <v>0</v>
      </c>
      <c r="K9137" s="21" t="n">
        <v>0</v>
      </c>
      <c r="L9137" s="21">
        <f>$B$8764</f>
        <v/>
      </c>
      <c r="M9137" s="21">
        <f>$B$8766</f>
        <v/>
      </c>
      <c r="N9137" s="21">
        <f>0</f>
        <v/>
      </c>
      <c r="O9137" s="21">
        <f>2*$B$8765</f>
        <v/>
      </c>
      <c r="P9137" s="21">
        <f>-$B$8764</f>
        <v/>
      </c>
      <c r="Q9137" s="21">
        <f>$B$8766</f>
        <v/>
      </c>
      <c r="R9137" s="21" t="n">
        <v>0</v>
      </c>
      <c r="S9137" s="21" t="n">
        <v>0</v>
      </c>
      <c r="T9137" s="21" t="n">
        <v>0</v>
      </c>
      <c r="U9137" s="21" t="n">
        <v>0</v>
      </c>
      <c r="V9137" s="21" t="n">
        <v>0</v>
      </c>
      <c r="W9137" s="21" t="n">
        <v>0</v>
      </c>
      <c r="X9137" s="21" t="n">
        <v>0</v>
      </c>
      <c r="Y9137" s="21" t="n">
        <v>0</v>
      </c>
      <c r="Z9137" s="19" t="n"/>
    </row>
    <row r="9138">
      <c r="D9138" s="21" t="n">
        <v>0</v>
      </c>
      <c r="E9138" s="21" t="n">
        <v>0</v>
      </c>
      <c r="F9138" s="21" t="n">
        <v>0</v>
      </c>
      <c r="G9138" s="21" t="n">
        <v>0</v>
      </c>
      <c r="H9138" s="21" t="n">
        <v>0</v>
      </c>
      <c r="I9138" s="21" t="n">
        <v>0</v>
      </c>
      <c r="J9138" s="21" t="n">
        <v>0</v>
      </c>
      <c r="K9138" s="21" t="n">
        <v>0</v>
      </c>
      <c r="L9138" s="21" t="n">
        <v>0</v>
      </c>
      <c r="M9138" s="21" t="n">
        <v>0</v>
      </c>
      <c r="N9138" s="21">
        <f>-$B$8763</f>
        <v/>
      </c>
      <c r="O9138" s="21">
        <f>-$B$8764</f>
        <v/>
      </c>
      <c r="P9138" s="21">
        <f>2*$B$8763+$D$9120</f>
        <v/>
      </c>
      <c r="Q9138" s="21">
        <f>0</f>
        <v/>
      </c>
      <c r="R9138" s="21">
        <f>-$B$8763</f>
        <v/>
      </c>
      <c r="S9138" s="21">
        <f>$B$8764</f>
        <v/>
      </c>
      <c r="T9138" s="21" t="n">
        <v>0</v>
      </c>
      <c r="U9138" s="21" t="n">
        <v>0</v>
      </c>
      <c r="V9138" s="21" t="n">
        <v>0</v>
      </c>
      <c r="W9138" s="21" t="n">
        <v>0</v>
      </c>
      <c r="X9138" s="21" t="n">
        <v>0</v>
      </c>
      <c r="Y9138" s="21" t="n">
        <v>0</v>
      </c>
      <c r="Z9138" s="19" t="n"/>
    </row>
    <row r="9139">
      <c r="D9139" s="21" t="n">
        <v>0</v>
      </c>
      <c r="E9139" s="21" t="n">
        <v>0</v>
      </c>
      <c r="F9139" s="21" t="n">
        <v>0</v>
      </c>
      <c r="G9139" s="21" t="n">
        <v>0</v>
      </c>
      <c r="H9139" s="21" t="n">
        <v>0</v>
      </c>
      <c r="I9139" s="21" t="n">
        <v>0</v>
      </c>
      <c r="J9139" s="21" t="n">
        <v>0</v>
      </c>
      <c r="K9139" s="21" t="n">
        <v>0</v>
      </c>
      <c r="L9139" s="21" t="n">
        <v>0</v>
      </c>
      <c r="M9139" s="21" t="n">
        <v>0</v>
      </c>
      <c r="N9139" s="21">
        <f>$B$8764</f>
        <v/>
      </c>
      <c r="O9139" s="21">
        <f>$B$8766</f>
        <v/>
      </c>
      <c r="P9139" s="21">
        <f>0</f>
        <v/>
      </c>
      <c r="Q9139" s="21">
        <f>2*$B$8765</f>
        <v/>
      </c>
      <c r="R9139" s="21">
        <f>-$B$8764</f>
        <v/>
      </c>
      <c r="S9139" s="21">
        <f>$B$8766</f>
        <v/>
      </c>
      <c r="T9139" s="21" t="n">
        <v>0</v>
      </c>
      <c r="U9139" s="21" t="n">
        <v>0</v>
      </c>
      <c r="V9139" s="21" t="n">
        <v>0</v>
      </c>
      <c r="W9139" s="21" t="n">
        <v>0</v>
      </c>
      <c r="X9139" s="21" t="n">
        <v>0</v>
      </c>
      <c r="Y9139" s="21" t="n">
        <v>0</v>
      </c>
      <c r="Z9139" s="19" t="n"/>
    </row>
    <row r="9140">
      <c r="D9140" s="21" t="n">
        <v>0</v>
      </c>
      <c r="E9140" s="21" t="n">
        <v>0</v>
      </c>
      <c r="F9140" s="21" t="n">
        <v>0</v>
      </c>
      <c r="G9140" s="21" t="n">
        <v>0</v>
      </c>
      <c r="H9140" s="21" t="n">
        <v>0</v>
      </c>
      <c r="I9140" s="21" t="n">
        <v>0</v>
      </c>
      <c r="J9140" s="21" t="n">
        <v>0</v>
      </c>
      <c r="K9140" s="21" t="n">
        <v>0</v>
      </c>
      <c r="L9140" s="21" t="n">
        <v>0</v>
      </c>
      <c r="M9140" s="21" t="n">
        <v>0</v>
      </c>
      <c r="N9140" s="21" t="n">
        <v>0</v>
      </c>
      <c r="O9140" s="21" t="n">
        <v>0</v>
      </c>
      <c r="P9140" s="21">
        <f>-$B$8763</f>
        <v/>
      </c>
      <c r="Q9140" s="21">
        <f>-$B$8764</f>
        <v/>
      </c>
      <c r="R9140" s="21">
        <f>2*$B$8763+$D$9121</f>
        <v/>
      </c>
      <c r="S9140" s="21">
        <f>0</f>
        <v/>
      </c>
      <c r="T9140" s="21">
        <f>-$B$8763</f>
        <v/>
      </c>
      <c r="U9140" s="21">
        <f>$B$8764</f>
        <v/>
      </c>
      <c r="V9140" s="21" t="n">
        <v>0</v>
      </c>
      <c r="W9140" s="21" t="n">
        <v>0</v>
      </c>
      <c r="X9140" s="21" t="n">
        <v>0</v>
      </c>
      <c r="Y9140" s="21" t="n">
        <v>0</v>
      </c>
      <c r="Z9140" s="19" t="n"/>
    </row>
    <row r="9141">
      <c r="D9141" s="21" t="n">
        <v>0</v>
      </c>
      <c r="E9141" s="21" t="n">
        <v>0</v>
      </c>
      <c r="F9141" s="21" t="n">
        <v>0</v>
      </c>
      <c r="G9141" s="21" t="n">
        <v>0</v>
      </c>
      <c r="H9141" s="21" t="n">
        <v>0</v>
      </c>
      <c r="I9141" s="21" t="n">
        <v>0</v>
      </c>
      <c r="J9141" s="21" t="n">
        <v>0</v>
      </c>
      <c r="K9141" s="21" t="n">
        <v>0</v>
      </c>
      <c r="L9141" s="21" t="n">
        <v>0</v>
      </c>
      <c r="M9141" s="21" t="n">
        <v>0</v>
      </c>
      <c r="N9141" s="21" t="n">
        <v>0</v>
      </c>
      <c r="O9141" s="21" t="n">
        <v>0</v>
      </c>
      <c r="P9141" s="21">
        <f>$B$8764</f>
        <v/>
      </c>
      <c r="Q9141" s="21">
        <f>$B$8766</f>
        <v/>
      </c>
      <c r="R9141" s="21">
        <f>0</f>
        <v/>
      </c>
      <c r="S9141" s="21">
        <f>2*$B$8765</f>
        <v/>
      </c>
      <c r="T9141" s="21">
        <f>-$B$8764</f>
        <v/>
      </c>
      <c r="U9141" s="21">
        <f>$B$8766</f>
        <v/>
      </c>
      <c r="V9141" s="21" t="n">
        <v>0</v>
      </c>
      <c r="W9141" s="21" t="n">
        <v>0</v>
      </c>
      <c r="X9141" s="21" t="n">
        <v>0</v>
      </c>
      <c r="Y9141" s="21" t="n">
        <v>0</v>
      </c>
      <c r="Z9141" s="19" t="n"/>
    </row>
    <row r="9142">
      <c r="D9142" s="21" t="n">
        <v>0</v>
      </c>
      <c r="E9142" s="21" t="n">
        <v>0</v>
      </c>
      <c r="F9142" s="21" t="n">
        <v>0</v>
      </c>
      <c r="G9142" s="21" t="n">
        <v>0</v>
      </c>
      <c r="H9142" s="21" t="n">
        <v>0</v>
      </c>
      <c r="I9142" s="21" t="n">
        <v>0</v>
      </c>
      <c r="J9142" s="21" t="n">
        <v>0</v>
      </c>
      <c r="K9142" s="21" t="n">
        <v>0</v>
      </c>
      <c r="L9142" s="21" t="n">
        <v>0</v>
      </c>
      <c r="M9142" s="21" t="n">
        <v>0</v>
      </c>
      <c r="N9142" s="21" t="n">
        <v>0</v>
      </c>
      <c r="O9142" s="21" t="n">
        <v>0</v>
      </c>
      <c r="P9142" s="21" t="n">
        <v>0</v>
      </c>
      <c r="Q9142" s="21" t="n">
        <v>0</v>
      </c>
      <c r="R9142" s="21">
        <f>-$B$8763</f>
        <v/>
      </c>
      <c r="S9142" s="21">
        <f>-$B$8764</f>
        <v/>
      </c>
      <c r="T9142" s="21">
        <f>2*$B$8763+$D$9122</f>
        <v/>
      </c>
      <c r="U9142" s="21">
        <f>0</f>
        <v/>
      </c>
      <c r="V9142" s="21">
        <f>-$B$8763</f>
        <v/>
      </c>
      <c r="W9142" s="21">
        <f>$B$8764</f>
        <v/>
      </c>
      <c r="X9142" s="21" t="n">
        <v>0</v>
      </c>
      <c r="Y9142" s="21" t="n">
        <v>0</v>
      </c>
      <c r="Z9142" s="19" t="n"/>
    </row>
    <row r="9143">
      <c r="D9143" s="21" t="n">
        <v>0</v>
      </c>
      <c r="E9143" s="21" t="n">
        <v>0</v>
      </c>
      <c r="F9143" s="21" t="n">
        <v>0</v>
      </c>
      <c r="G9143" s="21" t="n">
        <v>0</v>
      </c>
      <c r="H9143" s="21" t="n">
        <v>0</v>
      </c>
      <c r="I9143" s="21" t="n">
        <v>0</v>
      </c>
      <c r="J9143" s="21" t="n">
        <v>0</v>
      </c>
      <c r="K9143" s="21" t="n">
        <v>0</v>
      </c>
      <c r="L9143" s="21" t="n">
        <v>0</v>
      </c>
      <c r="M9143" s="21" t="n">
        <v>0</v>
      </c>
      <c r="N9143" s="21" t="n">
        <v>0</v>
      </c>
      <c r="O9143" s="21" t="n">
        <v>0</v>
      </c>
      <c r="P9143" s="21" t="n">
        <v>0</v>
      </c>
      <c r="Q9143" s="21" t="n">
        <v>0</v>
      </c>
      <c r="R9143" s="21">
        <f>$B$8764</f>
        <v/>
      </c>
      <c r="S9143" s="21">
        <f>$B$8766</f>
        <v/>
      </c>
      <c r="T9143" s="21">
        <f>0</f>
        <v/>
      </c>
      <c r="U9143" s="21">
        <f>2*$B$8765</f>
        <v/>
      </c>
      <c r="V9143" s="21">
        <f>-$B$8764</f>
        <v/>
      </c>
      <c r="W9143" s="21">
        <f>$B$8766</f>
        <v/>
      </c>
      <c r="X9143" s="21" t="n">
        <v>0</v>
      </c>
      <c r="Y9143" s="21" t="n">
        <v>0</v>
      </c>
      <c r="Z9143" s="19" t="n"/>
    </row>
    <row r="9144">
      <c r="D9144" s="21" t="n">
        <v>0</v>
      </c>
      <c r="E9144" s="21" t="n">
        <v>0</v>
      </c>
      <c r="F9144" s="21" t="n">
        <v>0</v>
      </c>
      <c r="G9144" s="21" t="n">
        <v>0</v>
      </c>
      <c r="H9144" s="21" t="n">
        <v>0</v>
      </c>
      <c r="I9144" s="21" t="n">
        <v>0</v>
      </c>
      <c r="J9144" s="21" t="n">
        <v>0</v>
      </c>
      <c r="K9144" s="21" t="n">
        <v>0</v>
      </c>
      <c r="L9144" s="21" t="n">
        <v>0</v>
      </c>
      <c r="M9144" s="21" t="n">
        <v>0</v>
      </c>
      <c r="N9144" s="21" t="n">
        <v>0</v>
      </c>
      <c r="O9144" s="21" t="n">
        <v>0</v>
      </c>
      <c r="P9144" s="21" t="n">
        <v>0</v>
      </c>
      <c r="Q9144" s="21" t="n">
        <v>0</v>
      </c>
      <c r="R9144" s="21" t="n">
        <v>0</v>
      </c>
      <c r="S9144" s="21" t="n">
        <v>0</v>
      </c>
      <c r="T9144" s="21">
        <f>-$B$8763</f>
        <v/>
      </c>
      <c r="U9144" s="21">
        <f>-$B$8764</f>
        <v/>
      </c>
      <c r="V9144" s="21">
        <f>2*$B$8763+$D$9123</f>
        <v/>
      </c>
      <c r="W9144" s="21">
        <f>0</f>
        <v/>
      </c>
      <c r="X9144" s="21">
        <f>-$B$8763</f>
        <v/>
      </c>
      <c r="Y9144" s="21">
        <f>$B$8764</f>
        <v/>
      </c>
      <c r="Z9144" s="19" t="n"/>
    </row>
    <row r="9145">
      <c r="D9145" s="21" t="n">
        <v>0</v>
      </c>
      <c r="E9145" s="21" t="n">
        <v>0</v>
      </c>
      <c r="F9145" s="21" t="n">
        <v>0</v>
      </c>
      <c r="G9145" s="21" t="n">
        <v>0</v>
      </c>
      <c r="H9145" s="21" t="n">
        <v>0</v>
      </c>
      <c r="I9145" s="21" t="n">
        <v>0</v>
      </c>
      <c r="J9145" s="21" t="n">
        <v>0</v>
      </c>
      <c r="K9145" s="21" t="n">
        <v>0</v>
      </c>
      <c r="L9145" s="21" t="n">
        <v>0</v>
      </c>
      <c r="M9145" s="21" t="n">
        <v>0</v>
      </c>
      <c r="N9145" s="21" t="n">
        <v>0</v>
      </c>
      <c r="O9145" s="21" t="n">
        <v>0</v>
      </c>
      <c r="P9145" s="21" t="n">
        <v>0</v>
      </c>
      <c r="Q9145" s="21" t="n">
        <v>0</v>
      </c>
      <c r="R9145" s="21" t="n">
        <v>0</v>
      </c>
      <c r="S9145" s="21" t="n">
        <v>0</v>
      </c>
      <c r="T9145" s="21">
        <f>$B$8764</f>
        <v/>
      </c>
      <c r="U9145" s="21">
        <f>$B$8766</f>
        <v/>
      </c>
      <c r="V9145" s="21">
        <f>0</f>
        <v/>
      </c>
      <c r="W9145" s="21">
        <f>2*$B$8765</f>
        <v/>
      </c>
      <c r="X9145" s="21">
        <f>-$B$8764</f>
        <v/>
      </c>
      <c r="Y9145" s="21">
        <f>$B$8766</f>
        <v/>
      </c>
      <c r="Z9145" s="19" t="n"/>
    </row>
    <row r="9146">
      <c r="D9146" s="21" t="n">
        <v>0</v>
      </c>
      <c r="E9146" s="21" t="n">
        <v>0</v>
      </c>
      <c r="F9146" s="21" t="n">
        <v>0</v>
      </c>
      <c r="G9146" s="21" t="n">
        <v>0</v>
      </c>
      <c r="H9146" s="21" t="n">
        <v>0</v>
      </c>
      <c r="I9146" s="21" t="n">
        <v>0</v>
      </c>
      <c r="J9146" s="21" t="n">
        <v>0</v>
      </c>
      <c r="K9146" s="21" t="n">
        <v>0</v>
      </c>
      <c r="L9146" s="21" t="n">
        <v>0</v>
      </c>
      <c r="M9146" s="21" t="n">
        <v>0</v>
      </c>
      <c r="N9146" s="21" t="n">
        <v>0</v>
      </c>
      <c r="O9146" s="21" t="n">
        <v>0</v>
      </c>
      <c r="P9146" s="21" t="n">
        <v>0</v>
      </c>
      <c r="Q9146" s="21" t="n">
        <v>0</v>
      </c>
      <c r="R9146" s="21" t="n">
        <v>0</v>
      </c>
      <c r="S9146" s="21" t="n">
        <v>0</v>
      </c>
      <c r="T9146" s="21" t="n">
        <v>0</v>
      </c>
      <c r="U9146" s="21" t="n">
        <v>0</v>
      </c>
      <c r="V9146" s="21">
        <f>-$B$8763</f>
        <v/>
      </c>
      <c r="W9146" s="21">
        <f>-$B$8764</f>
        <v/>
      </c>
      <c r="X9146" s="21">
        <f>$B$8763+$D$9124</f>
        <v/>
      </c>
      <c r="Y9146" s="21">
        <f>-$B$8764</f>
        <v/>
      </c>
      <c r="Z9146" s="19" t="n"/>
    </row>
    <row r="9147">
      <c r="D9147" s="21" t="n">
        <v>0</v>
      </c>
      <c r="E9147" s="21" t="n">
        <v>0</v>
      </c>
      <c r="F9147" s="21" t="n">
        <v>0</v>
      </c>
      <c r="G9147" s="21" t="n">
        <v>0</v>
      </c>
      <c r="H9147" s="21" t="n">
        <v>0</v>
      </c>
      <c r="I9147" s="21" t="n">
        <v>0</v>
      </c>
      <c r="J9147" s="21" t="n">
        <v>0</v>
      </c>
      <c r="K9147" s="21" t="n">
        <v>0</v>
      </c>
      <c r="L9147" s="21" t="n">
        <v>0</v>
      </c>
      <c r="M9147" s="21" t="n">
        <v>0</v>
      </c>
      <c r="N9147" s="21" t="n">
        <v>0</v>
      </c>
      <c r="O9147" s="21" t="n">
        <v>0</v>
      </c>
      <c r="P9147" s="21" t="n">
        <v>0</v>
      </c>
      <c r="Q9147" s="21" t="n">
        <v>0</v>
      </c>
      <c r="R9147" s="21" t="n">
        <v>0</v>
      </c>
      <c r="S9147" s="21" t="n">
        <v>0</v>
      </c>
      <c r="T9147" s="21" t="n">
        <v>0</v>
      </c>
      <c r="U9147" s="21" t="n">
        <v>0</v>
      </c>
      <c r="V9147" s="21">
        <f>$B$8764</f>
        <v/>
      </c>
      <c r="W9147" s="21">
        <f>$B$8766</f>
        <v/>
      </c>
      <c r="X9147" s="21">
        <f>-$B$8764</f>
        <v/>
      </c>
      <c r="Y9147" s="21">
        <f>$B$8765</f>
        <v/>
      </c>
      <c r="Z9147" s="19" t="n"/>
    </row>
    <row r="9149">
      <c r="A9149" s="8" t="inlineStr">
        <is>
          <t>gen 10</t>
        </is>
      </c>
    </row>
    <row r="9150">
      <c r="D9150" s="19">
        <f>IF(ABS(IF(ABS($E$9114)&gt;0.000000001,$E$9114,0.000000001))=0,0,IF($E$8778&lt;=$B$8772,0,IF(ABS(IF(ABS($E$9114)&gt;0.000000001,$E$9114,0.000000001))&gt;=8*$B$8774,$H$8778,0.5*$H$8778*(ABS(IF(ABS($E$9114)&gt;0.000000001,$E$9114,0.000000001))/$B$8774)^(1/3)))/ABS(IF(ABS($E$9114)&gt;0.000000001,$E$9114,0.000000001))*$I$8778)</f>
        <v/>
      </c>
      <c r="E9150" s="19">
        <f>0.5*$E$9114+0.5*$Z$9162</f>
        <v/>
      </c>
      <c r="F9150" s="19">
        <f>$Z$9163</f>
        <v/>
      </c>
    </row>
    <row r="9151">
      <c r="D9151" s="19">
        <f>IF(ABS(IF(ABS($E$9115)&gt;0.000000001,$E$9115,0.000000001))=0,0,IF($E$8779&lt;=$B$8772,0,IF(ABS(IF(ABS($E$9115)&gt;0.000000001,$E$9115,0.000000001))&gt;=8*$B$8774,$H$8779,0.5*$H$8779*(ABS(IF(ABS($E$9115)&gt;0.000000001,$E$9115,0.000000001))/$B$8774)^(1/3)))/ABS(IF(ABS($E$9115)&gt;0.000000001,$E$9115,0.000000001))*$I$8779)</f>
        <v/>
      </c>
      <c r="E9151" s="19">
        <f>0.5*$E$9115+0.5*$Z$9164</f>
        <v/>
      </c>
      <c r="F9151" s="19">
        <f>$Z$9165</f>
        <v/>
      </c>
    </row>
    <row r="9152">
      <c r="D9152" s="19">
        <f>IF(ABS(IF(ABS($E$9116)&gt;0.000000001,$E$9116,0.000000001))=0,0,IF($E$8780&lt;=$B$8772,0,IF(ABS(IF(ABS($E$9116)&gt;0.000000001,$E$9116,0.000000001))&gt;=8*$B$8774,$H$8780,0.5*$H$8780*(ABS(IF(ABS($E$9116)&gt;0.000000001,$E$9116,0.000000001))/$B$8774)^(1/3)))/ABS(IF(ABS($E$9116)&gt;0.000000001,$E$9116,0.000000001))*$I$8780)</f>
        <v/>
      </c>
      <c r="E9152" s="19">
        <f>0.5*$E$9116+0.5*$Z$9166</f>
        <v/>
      </c>
      <c r="F9152" s="19">
        <f>$Z$9167</f>
        <v/>
      </c>
    </row>
    <row r="9153">
      <c r="D9153" s="19">
        <f>IF(ABS(IF(ABS($E$9117)&gt;0.000000001,$E$9117,0.000000001))=0,0,IF($E$8781&lt;=$B$8772,0,IF(ABS(IF(ABS($E$9117)&gt;0.000000001,$E$9117,0.000000001))&gt;=8*$B$8774,$H$8781,0.5*$H$8781*(ABS(IF(ABS($E$9117)&gt;0.000000001,$E$9117,0.000000001))/$B$8774)^(1/3)))/ABS(IF(ABS($E$9117)&gt;0.000000001,$E$9117,0.000000001))*$I$8781)</f>
        <v/>
      </c>
      <c r="E9153" s="19">
        <f>0.5*$E$9117+0.5*$Z$9168</f>
        <v/>
      </c>
      <c r="F9153" s="19">
        <f>$Z$9169</f>
        <v/>
      </c>
    </row>
    <row r="9154">
      <c r="D9154" s="19">
        <f>IF(ABS(IF(ABS($E$9118)&gt;0.000000001,$E$9118,0.000000001))=0,0,IF($E$8782&lt;=$B$8772,0,IF(ABS(IF(ABS($E$9118)&gt;0.000000001,$E$9118,0.000000001))&gt;=8*$B$8774,$H$8782,0.5*$H$8782*(ABS(IF(ABS($E$9118)&gt;0.000000001,$E$9118,0.000000001))/$B$8774)^(1/3)))/ABS(IF(ABS($E$9118)&gt;0.000000001,$E$9118,0.000000001))*$I$8782)</f>
        <v/>
      </c>
      <c r="E9154" s="19">
        <f>0.5*$E$9118+0.5*$Z$9170</f>
        <v/>
      </c>
      <c r="F9154" s="19">
        <f>$Z$9171</f>
        <v/>
      </c>
    </row>
    <row r="9155">
      <c r="D9155" s="19">
        <f>IF(ABS(IF(ABS($E$9119)&gt;0.000000001,$E$9119,0.000000001))=0,0,IF($E$8783&lt;=$B$8772,0,IF(ABS(IF(ABS($E$9119)&gt;0.000000001,$E$9119,0.000000001))&gt;=8*$B$8774,$H$8783,0.5*$H$8783*(ABS(IF(ABS($E$9119)&gt;0.000000001,$E$9119,0.000000001))/$B$8774)^(1/3)))/ABS(IF(ABS($E$9119)&gt;0.000000001,$E$9119,0.000000001))*$I$8783)</f>
        <v/>
      </c>
      <c r="E9155" s="19">
        <f>0.5*$E$9119+0.5*$Z$9172</f>
        <v/>
      </c>
      <c r="F9155" s="19">
        <f>$Z$9173</f>
        <v/>
      </c>
    </row>
    <row r="9156">
      <c r="D9156" s="19">
        <f>IF(ABS(IF(ABS($E$9120)&gt;0.000000001,$E$9120,0.000000001))=0,0,IF($E$8784&lt;=$B$8772,0,IF(ABS(IF(ABS($E$9120)&gt;0.000000001,$E$9120,0.000000001))&gt;=8*$B$8774,$H$8784,0.5*$H$8784*(ABS(IF(ABS($E$9120)&gt;0.000000001,$E$9120,0.000000001))/$B$8774)^(1/3)))/ABS(IF(ABS($E$9120)&gt;0.000000001,$E$9120,0.000000001))*$I$8784)</f>
        <v/>
      </c>
      <c r="E9156" s="19">
        <f>0.5*$E$9120+0.5*$Z$9174</f>
        <v/>
      </c>
      <c r="F9156" s="19">
        <f>$Z$9175</f>
        <v/>
      </c>
    </row>
    <row r="9157">
      <c r="D9157" s="19">
        <f>IF(ABS(IF(ABS($E$9121)&gt;0.000000001,$E$9121,0.000000001))=0,0,IF($E$8785&lt;=$B$8772,0,IF(ABS(IF(ABS($E$9121)&gt;0.000000001,$E$9121,0.000000001))&gt;=8*$B$8774,$H$8785,0.5*$H$8785*(ABS(IF(ABS($E$9121)&gt;0.000000001,$E$9121,0.000000001))/$B$8774)^(1/3)))/ABS(IF(ABS($E$9121)&gt;0.000000001,$E$9121,0.000000001))*$I$8785)</f>
        <v/>
      </c>
      <c r="E9157" s="19">
        <f>0.5*$E$9121+0.5*$Z$9176</f>
        <v/>
      </c>
      <c r="F9157" s="19">
        <f>$Z$9177</f>
        <v/>
      </c>
    </row>
    <row r="9158">
      <c r="D9158" s="19">
        <f>IF(ABS(IF(ABS($E$9122)&gt;0.000000001,$E$9122,0.000000001))=0,0,IF($E$8786&lt;=$B$8772,0,IF(ABS(IF(ABS($E$9122)&gt;0.000000001,$E$9122,0.000000001))&gt;=8*$B$8774,$H$8786,0.5*$H$8786*(ABS(IF(ABS($E$9122)&gt;0.000000001,$E$9122,0.000000001))/$B$8774)^(1/3)))/ABS(IF(ABS($E$9122)&gt;0.000000001,$E$9122,0.000000001))*$I$8786)</f>
        <v/>
      </c>
      <c r="E9158" s="19">
        <f>0.5*$E$9122+0.5*$Z$9178</f>
        <v/>
      </c>
      <c r="F9158" s="19">
        <f>$Z$9179</f>
        <v/>
      </c>
    </row>
    <row r="9159">
      <c r="D9159" s="19">
        <f>IF(ABS(IF(ABS($E$9123)&gt;0.000000001,$E$9123,0.000000001))=0,0,IF($E$8787&lt;=$B$8772,0,IF(ABS(IF(ABS($E$9123)&gt;0.000000001,$E$9123,0.000000001))&gt;=8*$B$8774,$H$8787,0.5*$H$8787*(ABS(IF(ABS($E$9123)&gt;0.000000001,$E$9123,0.000000001))/$B$8774)^(1/3)))/ABS(IF(ABS($E$9123)&gt;0.000000001,$E$9123,0.000000001))*$I$8787)</f>
        <v/>
      </c>
      <c r="E9159" s="19">
        <f>0.5*$E$9123+0.5*$Z$9180</f>
        <v/>
      </c>
      <c r="F9159" s="19">
        <f>$Z$9181</f>
        <v/>
      </c>
    </row>
    <row r="9160">
      <c r="D9160" s="19">
        <f>IF(ABS(IF(ABS($E$9124)&gt;0.000000001,$E$9124,0.000000001))=0,0,IF($E$8788&lt;=$B$8772,0,IF(ABS(IF(ABS($E$9124)&gt;0.000000001,$E$9124,0.000000001))&gt;=8*$B$8774,$H$8788,0.5*$H$8788*(ABS(IF(ABS($E$9124)&gt;0.000000001,$E$9124,0.000000001))/$B$8774)^(1/3)))/ABS(IF(ABS($E$9124)&gt;0.000000001,$E$9124,0.000000001))*$I$8788)</f>
        <v/>
      </c>
      <c r="E9160" s="19">
        <f>0.5*$E$9124+0.5*$Z$9182</f>
        <v/>
      </c>
      <c r="F9160" s="19">
        <f>$Z$9183</f>
        <v/>
      </c>
    </row>
    <row r="9162">
      <c r="D9162" s="21">
        <f>$B$8763+$D$9150</f>
        <v/>
      </c>
      <c r="E9162" s="21">
        <f>$B$8764</f>
        <v/>
      </c>
      <c r="F9162" s="21">
        <f>-$B$8763</f>
        <v/>
      </c>
      <c r="G9162" s="21">
        <f>$B$8764</f>
        <v/>
      </c>
      <c r="H9162" s="21" t="n">
        <v>0</v>
      </c>
      <c r="I9162" s="21" t="n">
        <v>0</v>
      </c>
      <c r="J9162" s="21" t="n">
        <v>0</v>
      </c>
      <c r="K9162" s="21" t="n">
        <v>0</v>
      </c>
      <c r="L9162" s="21" t="n">
        <v>0</v>
      </c>
      <c r="M9162" s="21" t="n">
        <v>0</v>
      </c>
      <c r="N9162" s="21" t="n">
        <v>0</v>
      </c>
      <c r="O9162" s="21" t="n">
        <v>0</v>
      </c>
      <c r="P9162" s="21" t="n">
        <v>0</v>
      </c>
      <c r="Q9162" s="21" t="n">
        <v>0</v>
      </c>
      <c r="R9162" s="21" t="n">
        <v>0</v>
      </c>
      <c r="S9162" s="21" t="n">
        <v>0</v>
      </c>
      <c r="T9162" s="21" t="n">
        <v>0</v>
      </c>
      <c r="U9162" s="21" t="n">
        <v>0</v>
      </c>
      <c r="V9162" s="21" t="n">
        <v>0</v>
      </c>
      <c r="W9162" s="21" t="n">
        <v>0</v>
      </c>
      <c r="X9162" s="21" t="n">
        <v>0</v>
      </c>
      <c r="Y9162" s="21" t="n">
        <v>0</v>
      </c>
      <c r="Z9162" s="19">
        <f t="array" ref="Z9162:Z9183">MMULT(MINVERSE($D$9162:$Y$9183),$D$8790:$D$8811)</f>
        <v/>
      </c>
    </row>
    <row r="9163">
      <c r="D9163" s="21">
        <f>$B$8764</f>
        <v/>
      </c>
      <c r="E9163" s="21">
        <f>$B$8765</f>
        <v/>
      </c>
      <c r="F9163" s="21">
        <f>-$B$8764</f>
        <v/>
      </c>
      <c r="G9163" s="21">
        <f>$B$8766</f>
        <v/>
      </c>
      <c r="H9163" s="21" t="n">
        <v>0</v>
      </c>
      <c r="I9163" s="21" t="n">
        <v>0</v>
      </c>
      <c r="J9163" s="21" t="n">
        <v>0</v>
      </c>
      <c r="K9163" s="21" t="n">
        <v>0</v>
      </c>
      <c r="L9163" s="21" t="n">
        <v>0</v>
      </c>
      <c r="M9163" s="21" t="n">
        <v>0</v>
      </c>
      <c r="N9163" s="21" t="n">
        <v>0</v>
      </c>
      <c r="O9163" s="21" t="n">
        <v>0</v>
      </c>
      <c r="P9163" s="21" t="n">
        <v>0</v>
      </c>
      <c r="Q9163" s="21" t="n">
        <v>0</v>
      </c>
      <c r="R9163" s="21" t="n">
        <v>0</v>
      </c>
      <c r="S9163" s="21" t="n">
        <v>0</v>
      </c>
      <c r="T9163" s="21" t="n">
        <v>0</v>
      </c>
      <c r="U9163" s="21" t="n">
        <v>0</v>
      </c>
      <c r="V9163" s="21" t="n">
        <v>0</v>
      </c>
      <c r="W9163" s="21" t="n">
        <v>0</v>
      </c>
      <c r="X9163" s="21" t="n">
        <v>0</v>
      </c>
      <c r="Y9163" s="21" t="n">
        <v>0</v>
      </c>
      <c r="Z9163" s="19" t="n"/>
    </row>
    <row r="9164">
      <c r="D9164" s="21">
        <f>-$B$8763</f>
        <v/>
      </c>
      <c r="E9164" s="21">
        <f>-$B$8764</f>
        <v/>
      </c>
      <c r="F9164" s="21">
        <f>2*$B$8763+$D$9151</f>
        <v/>
      </c>
      <c r="G9164" s="21">
        <f>0</f>
        <v/>
      </c>
      <c r="H9164" s="21">
        <f>-$B$8763</f>
        <v/>
      </c>
      <c r="I9164" s="21">
        <f>$B$8764</f>
        <v/>
      </c>
      <c r="J9164" s="21" t="n">
        <v>0</v>
      </c>
      <c r="K9164" s="21" t="n">
        <v>0</v>
      </c>
      <c r="L9164" s="21" t="n">
        <v>0</v>
      </c>
      <c r="M9164" s="21" t="n">
        <v>0</v>
      </c>
      <c r="N9164" s="21" t="n">
        <v>0</v>
      </c>
      <c r="O9164" s="21" t="n">
        <v>0</v>
      </c>
      <c r="P9164" s="21" t="n">
        <v>0</v>
      </c>
      <c r="Q9164" s="21" t="n">
        <v>0</v>
      </c>
      <c r="R9164" s="21" t="n">
        <v>0</v>
      </c>
      <c r="S9164" s="21" t="n">
        <v>0</v>
      </c>
      <c r="T9164" s="21" t="n">
        <v>0</v>
      </c>
      <c r="U9164" s="21" t="n">
        <v>0</v>
      </c>
      <c r="V9164" s="21" t="n">
        <v>0</v>
      </c>
      <c r="W9164" s="21" t="n">
        <v>0</v>
      </c>
      <c r="X9164" s="21" t="n">
        <v>0</v>
      </c>
      <c r="Y9164" s="21" t="n">
        <v>0</v>
      </c>
      <c r="Z9164" s="19" t="n"/>
    </row>
    <row r="9165">
      <c r="D9165" s="21">
        <f>$B$8764</f>
        <v/>
      </c>
      <c r="E9165" s="21">
        <f>$B$8766</f>
        <v/>
      </c>
      <c r="F9165" s="21">
        <f>0</f>
        <v/>
      </c>
      <c r="G9165" s="21">
        <f>2*$B$8765</f>
        <v/>
      </c>
      <c r="H9165" s="21">
        <f>-$B$8764</f>
        <v/>
      </c>
      <c r="I9165" s="21">
        <f>$B$8766</f>
        <v/>
      </c>
      <c r="J9165" s="21" t="n">
        <v>0</v>
      </c>
      <c r="K9165" s="21" t="n">
        <v>0</v>
      </c>
      <c r="L9165" s="21" t="n">
        <v>0</v>
      </c>
      <c r="M9165" s="21" t="n">
        <v>0</v>
      </c>
      <c r="N9165" s="21" t="n">
        <v>0</v>
      </c>
      <c r="O9165" s="21" t="n">
        <v>0</v>
      </c>
      <c r="P9165" s="21" t="n">
        <v>0</v>
      </c>
      <c r="Q9165" s="21" t="n">
        <v>0</v>
      </c>
      <c r="R9165" s="21" t="n">
        <v>0</v>
      </c>
      <c r="S9165" s="21" t="n">
        <v>0</v>
      </c>
      <c r="T9165" s="21" t="n">
        <v>0</v>
      </c>
      <c r="U9165" s="21" t="n">
        <v>0</v>
      </c>
      <c r="V9165" s="21" t="n">
        <v>0</v>
      </c>
      <c r="W9165" s="21" t="n">
        <v>0</v>
      </c>
      <c r="X9165" s="21" t="n">
        <v>0</v>
      </c>
      <c r="Y9165" s="21" t="n">
        <v>0</v>
      </c>
      <c r="Z9165" s="19" t="n"/>
    </row>
    <row r="9166">
      <c r="D9166" s="21" t="n">
        <v>0</v>
      </c>
      <c r="E9166" s="21" t="n">
        <v>0</v>
      </c>
      <c r="F9166" s="21">
        <f>-$B$8763</f>
        <v/>
      </c>
      <c r="G9166" s="21">
        <f>-$B$8764</f>
        <v/>
      </c>
      <c r="H9166" s="21">
        <f>2*$B$8763+$D$9152</f>
        <v/>
      </c>
      <c r="I9166" s="21">
        <f>0</f>
        <v/>
      </c>
      <c r="J9166" s="21">
        <f>-$B$8763</f>
        <v/>
      </c>
      <c r="K9166" s="21">
        <f>$B$8764</f>
        <v/>
      </c>
      <c r="L9166" s="21" t="n">
        <v>0</v>
      </c>
      <c r="M9166" s="21" t="n">
        <v>0</v>
      </c>
      <c r="N9166" s="21" t="n">
        <v>0</v>
      </c>
      <c r="O9166" s="21" t="n">
        <v>0</v>
      </c>
      <c r="P9166" s="21" t="n">
        <v>0</v>
      </c>
      <c r="Q9166" s="21" t="n">
        <v>0</v>
      </c>
      <c r="R9166" s="21" t="n">
        <v>0</v>
      </c>
      <c r="S9166" s="21" t="n">
        <v>0</v>
      </c>
      <c r="T9166" s="21" t="n">
        <v>0</v>
      </c>
      <c r="U9166" s="21" t="n">
        <v>0</v>
      </c>
      <c r="V9166" s="21" t="n">
        <v>0</v>
      </c>
      <c r="W9166" s="21" t="n">
        <v>0</v>
      </c>
      <c r="X9166" s="21" t="n">
        <v>0</v>
      </c>
      <c r="Y9166" s="21" t="n">
        <v>0</v>
      </c>
      <c r="Z9166" s="19" t="n"/>
    </row>
    <row r="9167">
      <c r="D9167" s="21" t="n">
        <v>0</v>
      </c>
      <c r="E9167" s="21" t="n">
        <v>0</v>
      </c>
      <c r="F9167" s="21">
        <f>$B$8764</f>
        <v/>
      </c>
      <c r="G9167" s="21">
        <f>$B$8766</f>
        <v/>
      </c>
      <c r="H9167" s="21">
        <f>0</f>
        <v/>
      </c>
      <c r="I9167" s="21">
        <f>2*$B$8765</f>
        <v/>
      </c>
      <c r="J9167" s="21">
        <f>-$B$8764</f>
        <v/>
      </c>
      <c r="K9167" s="21">
        <f>$B$8766</f>
        <v/>
      </c>
      <c r="L9167" s="21" t="n">
        <v>0</v>
      </c>
      <c r="M9167" s="21" t="n">
        <v>0</v>
      </c>
      <c r="N9167" s="21" t="n">
        <v>0</v>
      </c>
      <c r="O9167" s="21" t="n">
        <v>0</v>
      </c>
      <c r="P9167" s="21" t="n">
        <v>0</v>
      </c>
      <c r="Q9167" s="21" t="n">
        <v>0</v>
      </c>
      <c r="R9167" s="21" t="n">
        <v>0</v>
      </c>
      <c r="S9167" s="21" t="n">
        <v>0</v>
      </c>
      <c r="T9167" s="21" t="n">
        <v>0</v>
      </c>
      <c r="U9167" s="21" t="n">
        <v>0</v>
      </c>
      <c r="V9167" s="21" t="n">
        <v>0</v>
      </c>
      <c r="W9167" s="21" t="n">
        <v>0</v>
      </c>
      <c r="X9167" s="21" t="n">
        <v>0</v>
      </c>
      <c r="Y9167" s="21" t="n">
        <v>0</v>
      </c>
      <c r="Z9167" s="19" t="n"/>
    </row>
    <row r="9168">
      <c r="D9168" s="21" t="n">
        <v>0</v>
      </c>
      <c r="E9168" s="21" t="n">
        <v>0</v>
      </c>
      <c r="F9168" s="21" t="n">
        <v>0</v>
      </c>
      <c r="G9168" s="21" t="n">
        <v>0</v>
      </c>
      <c r="H9168" s="21">
        <f>-$B$8763</f>
        <v/>
      </c>
      <c r="I9168" s="21">
        <f>-$B$8764</f>
        <v/>
      </c>
      <c r="J9168" s="21">
        <f>2*$B$8763+$D$9153</f>
        <v/>
      </c>
      <c r="K9168" s="21">
        <f>0</f>
        <v/>
      </c>
      <c r="L9168" s="21">
        <f>-$B$8763</f>
        <v/>
      </c>
      <c r="M9168" s="21">
        <f>$B$8764</f>
        <v/>
      </c>
      <c r="N9168" s="21" t="n">
        <v>0</v>
      </c>
      <c r="O9168" s="21" t="n">
        <v>0</v>
      </c>
      <c r="P9168" s="21" t="n">
        <v>0</v>
      </c>
      <c r="Q9168" s="21" t="n">
        <v>0</v>
      </c>
      <c r="R9168" s="21" t="n">
        <v>0</v>
      </c>
      <c r="S9168" s="21" t="n">
        <v>0</v>
      </c>
      <c r="T9168" s="21" t="n">
        <v>0</v>
      </c>
      <c r="U9168" s="21" t="n">
        <v>0</v>
      </c>
      <c r="V9168" s="21" t="n">
        <v>0</v>
      </c>
      <c r="W9168" s="21" t="n">
        <v>0</v>
      </c>
      <c r="X9168" s="21" t="n">
        <v>0</v>
      </c>
      <c r="Y9168" s="21" t="n">
        <v>0</v>
      </c>
      <c r="Z9168" s="19" t="n"/>
    </row>
    <row r="9169">
      <c r="D9169" s="21" t="n">
        <v>0</v>
      </c>
      <c r="E9169" s="21" t="n">
        <v>0</v>
      </c>
      <c r="F9169" s="21" t="n">
        <v>0</v>
      </c>
      <c r="G9169" s="21" t="n">
        <v>0</v>
      </c>
      <c r="H9169" s="21">
        <f>$B$8764</f>
        <v/>
      </c>
      <c r="I9169" s="21">
        <f>$B$8766</f>
        <v/>
      </c>
      <c r="J9169" s="21">
        <f>0</f>
        <v/>
      </c>
      <c r="K9169" s="21">
        <f>2*$B$8765</f>
        <v/>
      </c>
      <c r="L9169" s="21">
        <f>-$B$8764</f>
        <v/>
      </c>
      <c r="M9169" s="21">
        <f>$B$8766</f>
        <v/>
      </c>
      <c r="N9169" s="21" t="n">
        <v>0</v>
      </c>
      <c r="O9169" s="21" t="n">
        <v>0</v>
      </c>
      <c r="P9169" s="21" t="n">
        <v>0</v>
      </c>
      <c r="Q9169" s="21" t="n">
        <v>0</v>
      </c>
      <c r="R9169" s="21" t="n">
        <v>0</v>
      </c>
      <c r="S9169" s="21" t="n">
        <v>0</v>
      </c>
      <c r="T9169" s="21" t="n">
        <v>0</v>
      </c>
      <c r="U9169" s="21" t="n">
        <v>0</v>
      </c>
      <c r="V9169" s="21" t="n">
        <v>0</v>
      </c>
      <c r="W9169" s="21" t="n">
        <v>0</v>
      </c>
      <c r="X9169" s="21" t="n">
        <v>0</v>
      </c>
      <c r="Y9169" s="21" t="n">
        <v>0</v>
      </c>
      <c r="Z9169" s="19" t="n"/>
    </row>
    <row r="9170">
      <c r="D9170" s="21" t="n">
        <v>0</v>
      </c>
      <c r="E9170" s="21" t="n">
        <v>0</v>
      </c>
      <c r="F9170" s="21" t="n">
        <v>0</v>
      </c>
      <c r="G9170" s="21" t="n">
        <v>0</v>
      </c>
      <c r="H9170" s="21" t="n">
        <v>0</v>
      </c>
      <c r="I9170" s="21" t="n">
        <v>0</v>
      </c>
      <c r="J9170" s="21">
        <f>-$B$8763</f>
        <v/>
      </c>
      <c r="K9170" s="21">
        <f>-$B$8764</f>
        <v/>
      </c>
      <c r="L9170" s="21">
        <f>2*$B$8763+$D$9154</f>
        <v/>
      </c>
      <c r="M9170" s="21">
        <f>0</f>
        <v/>
      </c>
      <c r="N9170" s="21">
        <f>-$B$8763</f>
        <v/>
      </c>
      <c r="O9170" s="21">
        <f>$B$8764</f>
        <v/>
      </c>
      <c r="P9170" s="21" t="n">
        <v>0</v>
      </c>
      <c r="Q9170" s="21" t="n">
        <v>0</v>
      </c>
      <c r="R9170" s="21" t="n">
        <v>0</v>
      </c>
      <c r="S9170" s="21" t="n">
        <v>0</v>
      </c>
      <c r="T9170" s="21" t="n">
        <v>0</v>
      </c>
      <c r="U9170" s="21" t="n">
        <v>0</v>
      </c>
      <c r="V9170" s="21" t="n">
        <v>0</v>
      </c>
      <c r="W9170" s="21" t="n">
        <v>0</v>
      </c>
      <c r="X9170" s="21" t="n">
        <v>0</v>
      </c>
      <c r="Y9170" s="21" t="n">
        <v>0</v>
      </c>
      <c r="Z9170" s="19" t="n"/>
    </row>
    <row r="9171">
      <c r="D9171" s="21" t="n">
        <v>0</v>
      </c>
      <c r="E9171" s="21" t="n">
        <v>0</v>
      </c>
      <c r="F9171" s="21" t="n">
        <v>0</v>
      </c>
      <c r="G9171" s="21" t="n">
        <v>0</v>
      </c>
      <c r="H9171" s="21" t="n">
        <v>0</v>
      </c>
      <c r="I9171" s="21" t="n">
        <v>0</v>
      </c>
      <c r="J9171" s="21">
        <f>$B$8764</f>
        <v/>
      </c>
      <c r="K9171" s="21">
        <f>$B$8766</f>
        <v/>
      </c>
      <c r="L9171" s="21">
        <f>0</f>
        <v/>
      </c>
      <c r="M9171" s="21">
        <f>2*$B$8765</f>
        <v/>
      </c>
      <c r="N9171" s="21">
        <f>-$B$8764</f>
        <v/>
      </c>
      <c r="O9171" s="21">
        <f>$B$8766</f>
        <v/>
      </c>
      <c r="P9171" s="21" t="n">
        <v>0</v>
      </c>
      <c r="Q9171" s="21" t="n">
        <v>0</v>
      </c>
      <c r="R9171" s="21" t="n">
        <v>0</v>
      </c>
      <c r="S9171" s="21" t="n">
        <v>0</v>
      </c>
      <c r="T9171" s="21" t="n">
        <v>0</v>
      </c>
      <c r="U9171" s="21" t="n">
        <v>0</v>
      </c>
      <c r="V9171" s="21" t="n">
        <v>0</v>
      </c>
      <c r="W9171" s="21" t="n">
        <v>0</v>
      </c>
      <c r="X9171" s="21" t="n">
        <v>0</v>
      </c>
      <c r="Y9171" s="21" t="n">
        <v>0</v>
      </c>
      <c r="Z9171" s="19" t="n"/>
    </row>
    <row r="9172">
      <c r="D9172" s="21" t="n">
        <v>0</v>
      </c>
      <c r="E9172" s="21" t="n">
        <v>0</v>
      </c>
      <c r="F9172" s="21" t="n">
        <v>0</v>
      </c>
      <c r="G9172" s="21" t="n">
        <v>0</v>
      </c>
      <c r="H9172" s="21" t="n">
        <v>0</v>
      </c>
      <c r="I9172" s="21" t="n">
        <v>0</v>
      </c>
      <c r="J9172" s="21" t="n">
        <v>0</v>
      </c>
      <c r="K9172" s="21" t="n">
        <v>0</v>
      </c>
      <c r="L9172" s="21">
        <f>-$B$8763</f>
        <v/>
      </c>
      <c r="M9172" s="21">
        <f>-$B$8764</f>
        <v/>
      </c>
      <c r="N9172" s="21">
        <f>2*$B$8763+$D$9155</f>
        <v/>
      </c>
      <c r="O9172" s="21">
        <f>0</f>
        <v/>
      </c>
      <c r="P9172" s="21">
        <f>-$B$8763</f>
        <v/>
      </c>
      <c r="Q9172" s="21">
        <f>$B$8764</f>
        <v/>
      </c>
      <c r="R9172" s="21" t="n">
        <v>0</v>
      </c>
      <c r="S9172" s="21" t="n">
        <v>0</v>
      </c>
      <c r="T9172" s="21" t="n">
        <v>0</v>
      </c>
      <c r="U9172" s="21" t="n">
        <v>0</v>
      </c>
      <c r="V9172" s="21" t="n">
        <v>0</v>
      </c>
      <c r="W9172" s="21" t="n">
        <v>0</v>
      </c>
      <c r="X9172" s="21" t="n">
        <v>0</v>
      </c>
      <c r="Y9172" s="21" t="n">
        <v>0</v>
      </c>
      <c r="Z9172" s="19" t="n"/>
    </row>
    <row r="9173">
      <c r="D9173" s="21" t="n">
        <v>0</v>
      </c>
      <c r="E9173" s="21" t="n">
        <v>0</v>
      </c>
      <c r="F9173" s="21" t="n">
        <v>0</v>
      </c>
      <c r="G9173" s="21" t="n">
        <v>0</v>
      </c>
      <c r="H9173" s="21" t="n">
        <v>0</v>
      </c>
      <c r="I9173" s="21" t="n">
        <v>0</v>
      </c>
      <c r="J9173" s="21" t="n">
        <v>0</v>
      </c>
      <c r="K9173" s="21" t="n">
        <v>0</v>
      </c>
      <c r="L9173" s="21">
        <f>$B$8764</f>
        <v/>
      </c>
      <c r="M9173" s="21">
        <f>$B$8766</f>
        <v/>
      </c>
      <c r="N9173" s="21">
        <f>0</f>
        <v/>
      </c>
      <c r="O9173" s="21">
        <f>2*$B$8765</f>
        <v/>
      </c>
      <c r="P9173" s="21">
        <f>-$B$8764</f>
        <v/>
      </c>
      <c r="Q9173" s="21">
        <f>$B$8766</f>
        <v/>
      </c>
      <c r="R9173" s="21" t="n">
        <v>0</v>
      </c>
      <c r="S9173" s="21" t="n">
        <v>0</v>
      </c>
      <c r="T9173" s="21" t="n">
        <v>0</v>
      </c>
      <c r="U9173" s="21" t="n">
        <v>0</v>
      </c>
      <c r="V9173" s="21" t="n">
        <v>0</v>
      </c>
      <c r="W9173" s="21" t="n">
        <v>0</v>
      </c>
      <c r="X9173" s="21" t="n">
        <v>0</v>
      </c>
      <c r="Y9173" s="21" t="n">
        <v>0</v>
      </c>
      <c r="Z9173" s="19" t="n"/>
    </row>
    <row r="9174">
      <c r="D9174" s="21" t="n">
        <v>0</v>
      </c>
      <c r="E9174" s="21" t="n">
        <v>0</v>
      </c>
      <c r="F9174" s="21" t="n">
        <v>0</v>
      </c>
      <c r="G9174" s="21" t="n">
        <v>0</v>
      </c>
      <c r="H9174" s="21" t="n">
        <v>0</v>
      </c>
      <c r="I9174" s="21" t="n">
        <v>0</v>
      </c>
      <c r="J9174" s="21" t="n">
        <v>0</v>
      </c>
      <c r="K9174" s="21" t="n">
        <v>0</v>
      </c>
      <c r="L9174" s="21" t="n">
        <v>0</v>
      </c>
      <c r="M9174" s="21" t="n">
        <v>0</v>
      </c>
      <c r="N9174" s="21">
        <f>-$B$8763</f>
        <v/>
      </c>
      <c r="O9174" s="21">
        <f>-$B$8764</f>
        <v/>
      </c>
      <c r="P9174" s="21">
        <f>2*$B$8763+$D$9156</f>
        <v/>
      </c>
      <c r="Q9174" s="21">
        <f>0</f>
        <v/>
      </c>
      <c r="R9174" s="21">
        <f>-$B$8763</f>
        <v/>
      </c>
      <c r="S9174" s="21">
        <f>$B$8764</f>
        <v/>
      </c>
      <c r="T9174" s="21" t="n">
        <v>0</v>
      </c>
      <c r="U9174" s="21" t="n">
        <v>0</v>
      </c>
      <c r="V9174" s="21" t="n">
        <v>0</v>
      </c>
      <c r="W9174" s="21" t="n">
        <v>0</v>
      </c>
      <c r="X9174" s="21" t="n">
        <v>0</v>
      </c>
      <c r="Y9174" s="21" t="n">
        <v>0</v>
      </c>
      <c r="Z9174" s="19" t="n"/>
    </row>
    <row r="9175">
      <c r="D9175" s="21" t="n">
        <v>0</v>
      </c>
      <c r="E9175" s="21" t="n">
        <v>0</v>
      </c>
      <c r="F9175" s="21" t="n">
        <v>0</v>
      </c>
      <c r="G9175" s="21" t="n">
        <v>0</v>
      </c>
      <c r="H9175" s="21" t="n">
        <v>0</v>
      </c>
      <c r="I9175" s="21" t="n">
        <v>0</v>
      </c>
      <c r="J9175" s="21" t="n">
        <v>0</v>
      </c>
      <c r="K9175" s="21" t="n">
        <v>0</v>
      </c>
      <c r="L9175" s="21" t="n">
        <v>0</v>
      </c>
      <c r="M9175" s="21" t="n">
        <v>0</v>
      </c>
      <c r="N9175" s="21">
        <f>$B$8764</f>
        <v/>
      </c>
      <c r="O9175" s="21">
        <f>$B$8766</f>
        <v/>
      </c>
      <c r="P9175" s="21">
        <f>0</f>
        <v/>
      </c>
      <c r="Q9175" s="21">
        <f>2*$B$8765</f>
        <v/>
      </c>
      <c r="R9175" s="21">
        <f>-$B$8764</f>
        <v/>
      </c>
      <c r="S9175" s="21">
        <f>$B$8766</f>
        <v/>
      </c>
      <c r="T9175" s="21" t="n">
        <v>0</v>
      </c>
      <c r="U9175" s="21" t="n">
        <v>0</v>
      </c>
      <c r="V9175" s="21" t="n">
        <v>0</v>
      </c>
      <c r="W9175" s="21" t="n">
        <v>0</v>
      </c>
      <c r="X9175" s="21" t="n">
        <v>0</v>
      </c>
      <c r="Y9175" s="21" t="n">
        <v>0</v>
      </c>
      <c r="Z9175" s="19" t="n"/>
    </row>
    <row r="9176">
      <c r="D9176" s="21" t="n">
        <v>0</v>
      </c>
      <c r="E9176" s="21" t="n">
        <v>0</v>
      </c>
      <c r="F9176" s="21" t="n">
        <v>0</v>
      </c>
      <c r="G9176" s="21" t="n">
        <v>0</v>
      </c>
      <c r="H9176" s="21" t="n">
        <v>0</v>
      </c>
      <c r="I9176" s="21" t="n">
        <v>0</v>
      </c>
      <c r="J9176" s="21" t="n">
        <v>0</v>
      </c>
      <c r="K9176" s="21" t="n">
        <v>0</v>
      </c>
      <c r="L9176" s="21" t="n">
        <v>0</v>
      </c>
      <c r="M9176" s="21" t="n">
        <v>0</v>
      </c>
      <c r="N9176" s="21" t="n">
        <v>0</v>
      </c>
      <c r="O9176" s="21" t="n">
        <v>0</v>
      </c>
      <c r="P9176" s="21">
        <f>-$B$8763</f>
        <v/>
      </c>
      <c r="Q9176" s="21">
        <f>-$B$8764</f>
        <v/>
      </c>
      <c r="R9176" s="21">
        <f>2*$B$8763+$D$9157</f>
        <v/>
      </c>
      <c r="S9176" s="21">
        <f>0</f>
        <v/>
      </c>
      <c r="T9176" s="21">
        <f>-$B$8763</f>
        <v/>
      </c>
      <c r="U9176" s="21">
        <f>$B$8764</f>
        <v/>
      </c>
      <c r="V9176" s="21" t="n">
        <v>0</v>
      </c>
      <c r="W9176" s="21" t="n">
        <v>0</v>
      </c>
      <c r="X9176" s="21" t="n">
        <v>0</v>
      </c>
      <c r="Y9176" s="21" t="n">
        <v>0</v>
      </c>
      <c r="Z9176" s="19" t="n"/>
    </row>
    <row r="9177">
      <c r="D9177" s="21" t="n">
        <v>0</v>
      </c>
      <c r="E9177" s="21" t="n">
        <v>0</v>
      </c>
      <c r="F9177" s="21" t="n">
        <v>0</v>
      </c>
      <c r="G9177" s="21" t="n">
        <v>0</v>
      </c>
      <c r="H9177" s="21" t="n">
        <v>0</v>
      </c>
      <c r="I9177" s="21" t="n">
        <v>0</v>
      </c>
      <c r="J9177" s="21" t="n">
        <v>0</v>
      </c>
      <c r="K9177" s="21" t="n">
        <v>0</v>
      </c>
      <c r="L9177" s="21" t="n">
        <v>0</v>
      </c>
      <c r="M9177" s="21" t="n">
        <v>0</v>
      </c>
      <c r="N9177" s="21" t="n">
        <v>0</v>
      </c>
      <c r="O9177" s="21" t="n">
        <v>0</v>
      </c>
      <c r="P9177" s="21">
        <f>$B$8764</f>
        <v/>
      </c>
      <c r="Q9177" s="21">
        <f>$B$8766</f>
        <v/>
      </c>
      <c r="R9177" s="21">
        <f>0</f>
        <v/>
      </c>
      <c r="S9177" s="21">
        <f>2*$B$8765</f>
        <v/>
      </c>
      <c r="T9177" s="21">
        <f>-$B$8764</f>
        <v/>
      </c>
      <c r="U9177" s="21">
        <f>$B$8766</f>
        <v/>
      </c>
      <c r="V9177" s="21" t="n">
        <v>0</v>
      </c>
      <c r="W9177" s="21" t="n">
        <v>0</v>
      </c>
      <c r="X9177" s="21" t="n">
        <v>0</v>
      </c>
      <c r="Y9177" s="21" t="n">
        <v>0</v>
      </c>
      <c r="Z9177" s="19" t="n"/>
    </row>
    <row r="9178">
      <c r="D9178" s="21" t="n">
        <v>0</v>
      </c>
      <c r="E9178" s="21" t="n">
        <v>0</v>
      </c>
      <c r="F9178" s="21" t="n">
        <v>0</v>
      </c>
      <c r="G9178" s="21" t="n">
        <v>0</v>
      </c>
      <c r="H9178" s="21" t="n">
        <v>0</v>
      </c>
      <c r="I9178" s="21" t="n">
        <v>0</v>
      </c>
      <c r="J9178" s="21" t="n">
        <v>0</v>
      </c>
      <c r="K9178" s="21" t="n">
        <v>0</v>
      </c>
      <c r="L9178" s="21" t="n">
        <v>0</v>
      </c>
      <c r="M9178" s="21" t="n">
        <v>0</v>
      </c>
      <c r="N9178" s="21" t="n">
        <v>0</v>
      </c>
      <c r="O9178" s="21" t="n">
        <v>0</v>
      </c>
      <c r="P9178" s="21" t="n">
        <v>0</v>
      </c>
      <c r="Q9178" s="21" t="n">
        <v>0</v>
      </c>
      <c r="R9178" s="21">
        <f>-$B$8763</f>
        <v/>
      </c>
      <c r="S9178" s="21">
        <f>-$B$8764</f>
        <v/>
      </c>
      <c r="T9178" s="21">
        <f>2*$B$8763+$D$9158</f>
        <v/>
      </c>
      <c r="U9178" s="21">
        <f>0</f>
        <v/>
      </c>
      <c r="V9178" s="21">
        <f>-$B$8763</f>
        <v/>
      </c>
      <c r="W9178" s="21">
        <f>$B$8764</f>
        <v/>
      </c>
      <c r="X9178" s="21" t="n">
        <v>0</v>
      </c>
      <c r="Y9178" s="21" t="n">
        <v>0</v>
      </c>
      <c r="Z9178" s="19" t="n"/>
    </row>
    <row r="9179">
      <c r="D9179" s="21" t="n">
        <v>0</v>
      </c>
      <c r="E9179" s="21" t="n">
        <v>0</v>
      </c>
      <c r="F9179" s="21" t="n">
        <v>0</v>
      </c>
      <c r="G9179" s="21" t="n">
        <v>0</v>
      </c>
      <c r="H9179" s="21" t="n">
        <v>0</v>
      </c>
      <c r="I9179" s="21" t="n">
        <v>0</v>
      </c>
      <c r="J9179" s="21" t="n">
        <v>0</v>
      </c>
      <c r="K9179" s="21" t="n">
        <v>0</v>
      </c>
      <c r="L9179" s="21" t="n">
        <v>0</v>
      </c>
      <c r="M9179" s="21" t="n">
        <v>0</v>
      </c>
      <c r="N9179" s="21" t="n">
        <v>0</v>
      </c>
      <c r="O9179" s="21" t="n">
        <v>0</v>
      </c>
      <c r="P9179" s="21" t="n">
        <v>0</v>
      </c>
      <c r="Q9179" s="21" t="n">
        <v>0</v>
      </c>
      <c r="R9179" s="21">
        <f>$B$8764</f>
        <v/>
      </c>
      <c r="S9179" s="21">
        <f>$B$8766</f>
        <v/>
      </c>
      <c r="T9179" s="21">
        <f>0</f>
        <v/>
      </c>
      <c r="U9179" s="21">
        <f>2*$B$8765</f>
        <v/>
      </c>
      <c r="V9179" s="21">
        <f>-$B$8764</f>
        <v/>
      </c>
      <c r="W9179" s="21">
        <f>$B$8766</f>
        <v/>
      </c>
      <c r="X9179" s="21" t="n">
        <v>0</v>
      </c>
      <c r="Y9179" s="21" t="n">
        <v>0</v>
      </c>
      <c r="Z9179" s="19" t="n"/>
    </row>
    <row r="9180">
      <c r="D9180" s="21" t="n">
        <v>0</v>
      </c>
      <c r="E9180" s="21" t="n">
        <v>0</v>
      </c>
      <c r="F9180" s="21" t="n">
        <v>0</v>
      </c>
      <c r="G9180" s="21" t="n">
        <v>0</v>
      </c>
      <c r="H9180" s="21" t="n">
        <v>0</v>
      </c>
      <c r="I9180" s="21" t="n">
        <v>0</v>
      </c>
      <c r="J9180" s="21" t="n">
        <v>0</v>
      </c>
      <c r="K9180" s="21" t="n">
        <v>0</v>
      </c>
      <c r="L9180" s="21" t="n">
        <v>0</v>
      </c>
      <c r="M9180" s="21" t="n">
        <v>0</v>
      </c>
      <c r="N9180" s="21" t="n">
        <v>0</v>
      </c>
      <c r="O9180" s="21" t="n">
        <v>0</v>
      </c>
      <c r="P9180" s="21" t="n">
        <v>0</v>
      </c>
      <c r="Q9180" s="21" t="n">
        <v>0</v>
      </c>
      <c r="R9180" s="21" t="n">
        <v>0</v>
      </c>
      <c r="S9180" s="21" t="n">
        <v>0</v>
      </c>
      <c r="T9180" s="21">
        <f>-$B$8763</f>
        <v/>
      </c>
      <c r="U9180" s="21">
        <f>-$B$8764</f>
        <v/>
      </c>
      <c r="V9180" s="21">
        <f>2*$B$8763+$D$9159</f>
        <v/>
      </c>
      <c r="W9180" s="21">
        <f>0</f>
        <v/>
      </c>
      <c r="X9180" s="21">
        <f>-$B$8763</f>
        <v/>
      </c>
      <c r="Y9180" s="21">
        <f>$B$8764</f>
        <v/>
      </c>
      <c r="Z9180" s="19" t="n"/>
    </row>
    <row r="9181">
      <c r="D9181" s="21" t="n">
        <v>0</v>
      </c>
      <c r="E9181" s="21" t="n">
        <v>0</v>
      </c>
      <c r="F9181" s="21" t="n">
        <v>0</v>
      </c>
      <c r="G9181" s="21" t="n">
        <v>0</v>
      </c>
      <c r="H9181" s="21" t="n">
        <v>0</v>
      </c>
      <c r="I9181" s="21" t="n">
        <v>0</v>
      </c>
      <c r="J9181" s="21" t="n">
        <v>0</v>
      </c>
      <c r="K9181" s="21" t="n">
        <v>0</v>
      </c>
      <c r="L9181" s="21" t="n">
        <v>0</v>
      </c>
      <c r="M9181" s="21" t="n">
        <v>0</v>
      </c>
      <c r="N9181" s="21" t="n">
        <v>0</v>
      </c>
      <c r="O9181" s="21" t="n">
        <v>0</v>
      </c>
      <c r="P9181" s="21" t="n">
        <v>0</v>
      </c>
      <c r="Q9181" s="21" t="n">
        <v>0</v>
      </c>
      <c r="R9181" s="21" t="n">
        <v>0</v>
      </c>
      <c r="S9181" s="21" t="n">
        <v>0</v>
      </c>
      <c r="T9181" s="21">
        <f>$B$8764</f>
        <v/>
      </c>
      <c r="U9181" s="21">
        <f>$B$8766</f>
        <v/>
      </c>
      <c r="V9181" s="21">
        <f>0</f>
        <v/>
      </c>
      <c r="W9181" s="21">
        <f>2*$B$8765</f>
        <v/>
      </c>
      <c r="X9181" s="21">
        <f>-$B$8764</f>
        <v/>
      </c>
      <c r="Y9181" s="21">
        <f>$B$8766</f>
        <v/>
      </c>
      <c r="Z9181" s="19" t="n"/>
    </row>
    <row r="9182">
      <c r="D9182" s="21" t="n">
        <v>0</v>
      </c>
      <c r="E9182" s="21" t="n">
        <v>0</v>
      </c>
      <c r="F9182" s="21" t="n">
        <v>0</v>
      </c>
      <c r="G9182" s="21" t="n">
        <v>0</v>
      </c>
      <c r="H9182" s="21" t="n">
        <v>0</v>
      </c>
      <c r="I9182" s="21" t="n">
        <v>0</v>
      </c>
      <c r="J9182" s="21" t="n">
        <v>0</v>
      </c>
      <c r="K9182" s="21" t="n">
        <v>0</v>
      </c>
      <c r="L9182" s="21" t="n">
        <v>0</v>
      </c>
      <c r="M9182" s="21" t="n">
        <v>0</v>
      </c>
      <c r="N9182" s="21" t="n">
        <v>0</v>
      </c>
      <c r="O9182" s="21" t="n">
        <v>0</v>
      </c>
      <c r="P9182" s="21" t="n">
        <v>0</v>
      </c>
      <c r="Q9182" s="21" t="n">
        <v>0</v>
      </c>
      <c r="R9182" s="21" t="n">
        <v>0</v>
      </c>
      <c r="S9182" s="21" t="n">
        <v>0</v>
      </c>
      <c r="T9182" s="21" t="n">
        <v>0</v>
      </c>
      <c r="U9182" s="21" t="n">
        <v>0</v>
      </c>
      <c r="V9182" s="21">
        <f>-$B$8763</f>
        <v/>
      </c>
      <c r="W9182" s="21">
        <f>-$B$8764</f>
        <v/>
      </c>
      <c r="X9182" s="21">
        <f>$B$8763+$D$9160</f>
        <v/>
      </c>
      <c r="Y9182" s="21">
        <f>-$B$8764</f>
        <v/>
      </c>
      <c r="Z9182" s="19" t="n"/>
    </row>
    <row r="9183">
      <c r="D9183" s="21" t="n">
        <v>0</v>
      </c>
      <c r="E9183" s="21" t="n">
        <v>0</v>
      </c>
      <c r="F9183" s="21" t="n">
        <v>0</v>
      </c>
      <c r="G9183" s="21" t="n">
        <v>0</v>
      </c>
      <c r="H9183" s="21" t="n">
        <v>0</v>
      </c>
      <c r="I9183" s="21" t="n">
        <v>0</v>
      </c>
      <c r="J9183" s="21" t="n">
        <v>0</v>
      </c>
      <c r="K9183" s="21" t="n">
        <v>0</v>
      </c>
      <c r="L9183" s="21" t="n">
        <v>0</v>
      </c>
      <c r="M9183" s="21" t="n">
        <v>0</v>
      </c>
      <c r="N9183" s="21" t="n">
        <v>0</v>
      </c>
      <c r="O9183" s="21" t="n">
        <v>0</v>
      </c>
      <c r="P9183" s="21" t="n">
        <v>0</v>
      </c>
      <c r="Q9183" s="21" t="n">
        <v>0</v>
      </c>
      <c r="R9183" s="21" t="n">
        <v>0</v>
      </c>
      <c r="S9183" s="21" t="n">
        <v>0</v>
      </c>
      <c r="T9183" s="21" t="n">
        <v>0</v>
      </c>
      <c r="U9183" s="21" t="n">
        <v>0</v>
      </c>
      <c r="V9183" s="21">
        <f>$B$8764</f>
        <v/>
      </c>
      <c r="W9183" s="21">
        <f>$B$8766</f>
        <v/>
      </c>
      <c r="X9183" s="21">
        <f>-$B$8764</f>
        <v/>
      </c>
      <c r="Y9183" s="21">
        <f>$B$8765</f>
        <v/>
      </c>
      <c r="Z9183" s="19" t="n"/>
    </row>
    <row r="9185">
      <c r="A9185" s="8" t="inlineStr">
        <is>
          <t>gen 11</t>
        </is>
      </c>
    </row>
    <row r="9186">
      <c r="D9186" s="19">
        <f>IF(ABS(IF(ABS($E$9150)&gt;0.000000001,$E$9150,0.000000001))=0,0,IF($E$8778&lt;=$B$8772,0,IF(ABS(IF(ABS($E$9150)&gt;0.000000001,$E$9150,0.000000001))&gt;=8*$B$8774,$H$8778,0.5*$H$8778*(ABS(IF(ABS($E$9150)&gt;0.000000001,$E$9150,0.000000001))/$B$8774)^(1/3)))/ABS(IF(ABS($E$9150)&gt;0.000000001,$E$9150,0.000000001))*$I$8778)</f>
        <v/>
      </c>
      <c r="E9186" s="19">
        <f>0.5*$E$9150+0.5*$Z$9198</f>
        <v/>
      </c>
      <c r="F9186" s="19">
        <f>$Z$9199</f>
        <v/>
      </c>
    </row>
    <row r="9187">
      <c r="D9187" s="19">
        <f>IF(ABS(IF(ABS($E$9151)&gt;0.000000001,$E$9151,0.000000001))=0,0,IF($E$8779&lt;=$B$8772,0,IF(ABS(IF(ABS($E$9151)&gt;0.000000001,$E$9151,0.000000001))&gt;=8*$B$8774,$H$8779,0.5*$H$8779*(ABS(IF(ABS($E$9151)&gt;0.000000001,$E$9151,0.000000001))/$B$8774)^(1/3)))/ABS(IF(ABS($E$9151)&gt;0.000000001,$E$9151,0.000000001))*$I$8779)</f>
        <v/>
      </c>
      <c r="E9187" s="19">
        <f>0.5*$E$9151+0.5*$Z$9200</f>
        <v/>
      </c>
      <c r="F9187" s="19">
        <f>$Z$9201</f>
        <v/>
      </c>
    </row>
    <row r="9188">
      <c r="D9188" s="19">
        <f>IF(ABS(IF(ABS($E$9152)&gt;0.000000001,$E$9152,0.000000001))=0,0,IF($E$8780&lt;=$B$8772,0,IF(ABS(IF(ABS($E$9152)&gt;0.000000001,$E$9152,0.000000001))&gt;=8*$B$8774,$H$8780,0.5*$H$8780*(ABS(IF(ABS($E$9152)&gt;0.000000001,$E$9152,0.000000001))/$B$8774)^(1/3)))/ABS(IF(ABS($E$9152)&gt;0.000000001,$E$9152,0.000000001))*$I$8780)</f>
        <v/>
      </c>
      <c r="E9188" s="19">
        <f>0.5*$E$9152+0.5*$Z$9202</f>
        <v/>
      </c>
      <c r="F9188" s="19">
        <f>$Z$9203</f>
        <v/>
      </c>
    </row>
    <row r="9189">
      <c r="D9189" s="19">
        <f>IF(ABS(IF(ABS($E$9153)&gt;0.000000001,$E$9153,0.000000001))=0,0,IF($E$8781&lt;=$B$8772,0,IF(ABS(IF(ABS($E$9153)&gt;0.000000001,$E$9153,0.000000001))&gt;=8*$B$8774,$H$8781,0.5*$H$8781*(ABS(IF(ABS($E$9153)&gt;0.000000001,$E$9153,0.000000001))/$B$8774)^(1/3)))/ABS(IF(ABS($E$9153)&gt;0.000000001,$E$9153,0.000000001))*$I$8781)</f>
        <v/>
      </c>
      <c r="E9189" s="19">
        <f>0.5*$E$9153+0.5*$Z$9204</f>
        <v/>
      </c>
      <c r="F9189" s="19">
        <f>$Z$9205</f>
        <v/>
      </c>
    </row>
    <row r="9190">
      <c r="D9190" s="19">
        <f>IF(ABS(IF(ABS($E$9154)&gt;0.000000001,$E$9154,0.000000001))=0,0,IF($E$8782&lt;=$B$8772,0,IF(ABS(IF(ABS($E$9154)&gt;0.000000001,$E$9154,0.000000001))&gt;=8*$B$8774,$H$8782,0.5*$H$8782*(ABS(IF(ABS($E$9154)&gt;0.000000001,$E$9154,0.000000001))/$B$8774)^(1/3)))/ABS(IF(ABS($E$9154)&gt;0.000000001,$E$9154,0.000000001))*$I$8782)</f>
        <v/>
      </c>
      <c r="E9190" s="19">
        <f>0.5*$E$9154+0.5*$Z$9206</f>
        <v/>
      </c>
      <c r="F9190" s="19">
        <f>$Z$9207</f>
        <v/>
      </c>
    </row>
    <row r="9191">
      <c r="D9191" s="19">
        <f>IF(ABS(IF(ABS($E$9155)&gt;0.000000001,$E$9155,0.000000001))=0,0,IF($E$8783&lt;=$B$8772,0,IF(ABS(IF(ABS($E$9155)&gt;0.000000001,$E$9155,0.000000001))&gt;=8*$B$8774,$H$8783,0.5*$H$8783*(ABS(IF(ABS($E$9155)&gt;0.000000001,$E$9155,0.000000001))/$B$8774)^(1/3)))/ABS(IF(ABS($E$9155)&gt;0.000000001,$E$9155,0.000000001))*$I$8783)</f>
        <v/>
      </c>
      <c r="E9191" s="19">
        <f>0.5*$E$9155+0.5*$Z$9208</f>
        <v/>
      </c>
      <c r="F9191" s="19">
        <f>$Z$9209</f>
        <v/>
      </c>
    </row>
    <row r="9192">
      <c r="D9192" s="19">
        <f>IF(ABS(IF(ABS($E$9156)&gt;0.000000001,$E$9156,0.000000001))=0,0,IF($E$8784&lt;=$B$8772,0,IF(ABS(IF(ABS($E$9156)&gt;0.000000001,$E$9156,0.000000001))&gt;=8*$B$8774,$H$8784,0.5*$H$8784*(ABS(IF(ABS($E$9156)&gt;0.000000001,$E$9156,0.000000001))/$B$8774)^(1/3)))/ABS(IF(ABS($E$9156)&gt;0.000000001,$E$9156,0.000000001))*$I$8784)</f>
        <v/>
      </c>
      <c r="E9192" s="19">
        <f>0.5*$E$9156+0.5*$Z$9210</f>
        <v/>
      </c>
      <c r="F9192" s="19">
        <f>$Z$9211</f>
        <v/>
      </c>
    </row>
    <row r="9193">
      <c r="D9193" s="19">
        <f>IF(ABS(IF(ABS($E$9157)&gt;0.000000001,$E$9157,0.000000001))=0,0,IF($E$8785&lt;=$B$8772,0,IF(ABS(IF(ABS($E$9157)&gt;0.000000001,$E$9157,0.000000001))&gt;=8*$B$8774,$H$8785,0.5*$H$8785*(ABS(IF(ABS($E$9157)&gt;0.000000001,$E$9157,0.000000001))/$B$8774)^(1/3)))/ABS(IF(ABS($E$9157)&gt;0.000000001,$E$9157,0.000000001))*$I$8785)</f>
        <v/>
      </c>
      <c r="E9193" s="19">
        <f>0.5*$E$9157+0.5*$Z$9212</f>
        <v/>
      </c>
      <c r="F9193" s="19">
        <f>$Z$9213</f>
        <v/>
      </c>
    </row>
    <row r="9194">
      <c r="D9194" s="19">
        <f>IF(ABS(IF(ABS($E$9158)&gt;0.000000001,$E$9158,0.000000001))=0,0,IF($E$8786&lt;=$B$8772,0,IF(ABS(IF(ABS($E$9158)&gt;0.000000001,$E$9158,0.000000001))&gt;=8*$B$8774,$H$8786,0.5*$H$8786*(ABS(IF(ABS($E$9158)&gt;0.000000001,$E$9158,0.000000001))/$B$8774)^(1/3)))/ABS(IF(ABS($E$9158)&gt;0.000000001,$E$9158,0.000000001))*$I$8786)</f>
        <v/>
      </c>
      <c r="E9194" s="19">
        <f>0.5*$E$9158+0.5*$Z$9214</f>
        <v/>
      </c>
      <c r="F9194" s="19">
        <f>$Z$9215</f>
        <v/>
      </c>
    </row>
    <row r="9195">
      <c r="D9195" s="19">
        <f>IF(ABS(IF(ABS($E$9159)&gt;0.000000001,$E$9159,0.000000001))=0,0,IF($E$8787&lt;=$B$8772,0,IF(ABS(IF(ABS($E$9159)&gt;0.000000001,$E$9159,0.000000001))&gt;=8*$B$8774,$H$8787,0.5*$H$8787*(ABS(IF(ABS($E$9159)&gt;0.000000001,$E$9159,0.000000001))/$B$8774)^(1/3)))/ABS(IF(ABS($E$9159)&gt;0.000000001,$E$9159,0.000000001))*$I$8787)</f>
        <v/>
      </c>
      <c r="E9195" s="19">
        <f>0.5*$E$9159+0.5*$Z$9216</f>
        <v/>
      </c>
      <c r="F9195" s="19">
        <f>$Z$9217</f>
        <v/>
      </c>
    </row>
    <row r="9196">
      <c r="D9196" s="19">
        <f>IF(ABS(IF(ABS($E$9160)&gt;0.000000001,$E$9160,0.000000001))=0,0,IF($E$8788&lt;=$B$8772,0,IF(ABS(IF(ABS($E$9160)&gt;0.000000001,$E$9160,0.000000001))&gt;=8*$B$8774,$H$8788,0.5*$H$8788*(ABS(IF(ABS($E$9160)&gt;0.000000001,$E$9160,0.000000001))/$B$8774)^(1/3)))/ABS(IF(ABS($E$9160)&gt;0.000000001,$E$9160,0.000000001))*$I$8788)</f>
        <v/>
      </c>
      <c r="E9196" s="19">
        <f>0.5*$E$9160+0.5*$Z$9218</f>
        <v/>
      </c>
      <c r="F9196" s="19">
        <f>$Z$9219</f>
        <v/>
      </c>
    </row>
    <row r="9198">
      <c r="D9198" s="21">
        <f>$B$8763+$D$9186</f>
        <v/>
      </c>
      <c r="E9198" s="21">
        <f>$B$8764</f>
        <v/>
      </c>
      <c r="F9198" s="21">
        <f>-$B$8763</f>
        <v/>
      </c>
      <c r="G9198" s="21">
        <f>$B$8764</f>
        <v/>
      </c>
      <c r="H9198" s="21" t="n">
        <v>0</v>
      </c>
      <c r="I9198" s="21" t="n">
        <v>0</v>
      </c>
      <c r="J9198" s="21" t="n">
        <v>0</v>
      </c>
      <c r="K9198" s="21" t="n">
        <v>0</v>
      </c>
      <c r="L9198" s="21" t="n">
        <v>0</v>
      </c>
      <c r="M9198" s="21" t="n">
        <v>0</v>
      </c>
      <c r="N9198" s="21" t="n">
        <v>0</v>
      </c>
      <c r="O9198" s="21" t="n">
        <v>0</v>
      </c>
      <c r="P9198" s="21" t="n">
        <v>0</v>
      </c>
      <c r="Q9198" s="21" t="n">
        <v>0</v>
      </c>
      <c r="R9198" s="21" t="n">
        <v>0</v>
      </c>
      <c r="S9198" s="21" t="n">
        <v>0</v>
      </c>
      <c r="T9198" s="21" t="n">
        <v>0</v>
      </c>
      <c r="U9198" s="21" t="n">
        <v>0</v>
      </c>
      <c r="V9198" s="21" t="n">
        <v>0</v>
      </c>
      <c r="W9198" s="21" t="n">
        <v>0</v>
      </c>
      <c r="X9198" s="21" t="n">
        <v>0</v>
      </c>
      <c r="Y9198" s="21" t="n">
        <v>0</v>
      </c>
      <c r="Z9198" s="19">
        <f t="array" ref="Z9198:Z9219">MMULT(MINVERSE($D$9198:$Y$9219),$D$8790:$D$8811)</f>
        <v/>
      </c>
    </row>
    <row r="9199">
      <c r="D9199" s="21">
        <f>$B$8764</f>
        <v/>
      </c>
      <c r="E9199" s="21">
        <f>$B$8765</f>
        <v/>
      </c>
      <c r="F9199" s="21">
        <f>-$B$8764</f>
        <v/>
      </c>
      <c r="G9199" s="21">
        <f>$B$8766</f>
        <v/>
      </c>
      <c r="H9199" s="21" t="n">
        <v>0</v>
      </c>
      <c r="I9199" s="21" t="n">
        <v>0</v>
      </c>
      <c r="J9199" s="21" t="n">
        <v>0</v>
      </c>
      <c r="K9199" s="21" t="n">
        <v>0</v>
      </c>
      <c r="L9199" s="21" t="n">
        <v>0</v>
      </c>
      <c r="M9199" s="21" t="n">
        <v>0</v>
      </c>
      <c r="N9199" s="21" t="n">
        <v>0</v>
      </c>
      <c r="O9199" s="21" t="n">
        <v>0</v>
      </c>
      <c r="P9199" s="21" t="n">
        <v>0</v>
      </c>
      <c r="Q9199" s="21" t="n">
        <v>0</v>
      </c>
      <c r="R9199" s="21" t="n">
        <v>0</v>
      </c>
      <c r="S9199" s="21" t="n">
        <v>0</v>
      </c>
      <c r="T9199" s="21" t="n">
        <v>0</v>
      </c>
      <c r="U9199" s="21" t="n">
        <v>0</v>
      </c>
      <c r="V9199" s="21" t="n">
        <v>0</v>
      </c>
      <c r="W9199" s="21" t="n">
        <v>0</v>
      </c>
      <c r="X9199" s="21" t="n">
        <v>0</v>
      </c>
      <c r="Y9199" s="21" t="n">
        <v>0</v>
      </c>
      <c r="Z9199" s="19" t="n"/>
    </row>
    <row r="9200">
      <c r="D9200" s="21">
        <f>-$B$8763</f>
        <v/>
      </c>
      <c r="E9200" s="21">
        <f>-$B$8764</f>
        <v/>
      </c>
      <c r="F9200" s="21">
        <f>2*$B$8763+$D$9187</f>
        <v/>
      </c>
      <c r="G9200" s="21">
        <f>0</f>
        <v/>
      </c>
      <c r="H9200" s="21">
        <f>-$B$8763</f>
        <v/>
      </c>
      <c r="I9200" s="21">
        <f>$B$8764</f>
        <v/>
      </c>
      <c r="J9200" s="21" t="n">
        <v>0</v>
      </c>
      <c r="K9200" s="21" t="n">
        <v>0</v>
      </c>
      <c r="L9200" s="21" t="n">
        <v>0</v>
      </c>
      <c r="M9200" s="21" t="n">
        <v>0</v>
      </c>
      <c r="N9200" s="21" t="n">
        <v>0</v>
      </c>
      <c r="O9200" s="21" t="n">
        <v>0</v>
      </c>
      <c r="P9200" s="21" t="n">
        <v>0</v>
      </c>
      <c r="Q9200" s="21" t="n">
        <v>0</v>
      </c>
      <c r="R9200" s="21" t="n">
        <v>0</v>
      </c>
      <c r="S9200" s="21" t="n">
        <v>0</v>
      </c>
      <c r="T9200" s="21" t="n">
        <v>0</v>
      </c>
      <c r="U9200" s="21" t="n">
        <v>0</v>
      </c>
      <c r="V9200" s="21" t="n">
        <v>0</v>
      </c>
      <c r="W9200" s="21" t="n">
        <v>0</v>
      </c>
      <c r="X9200" s="21" t="n">
        <v>0</v>
      </c>
      <c r="Y9200" s="21" t="n">
        <v>0</v>
      </c>
      <c r="Z9200" s="19" t="n"/>
    </row>
    <row r="9201">
      <c r="D9201" s="21">
        <f>$B$8764</f>
        <v/>
      </c>
      <c r="E9201" s="21">
        <f>$B$8766</f>
        <v/>
      </c>
      <c r="F9201" s="21">
        <f>0</f>
        <v/>
      </c>
      <c r="G9201" s="21">
        <f>2*$B$8765</f>
        <v/>
      </c>
      <c r="H9201" s="21">
        <f>-$B$8764</f>
        <v/>
      </c>
      <c r="I9201" s="21">
        <f>$B$8766</f>
        <v/>
      </c>
      <c r="J9201" s="21" t="n">
        <v>0</v>
      </c>
      <c r="K9201" s="21" t="n">
        <v>0</v>
      </c>
      <c r="L9201" s="21" t="n">
        <v>0</v>
      </c>
      <c r="M9201" s="21" t="n">
        <v>0</v>
      </c>
      <c r="N9201" s="21" t="n">
        <v>0</v>
      </c>
      <c r="O9201" s="21" t="n">
        <v>0</v>
      </c>
      <c r="P9201" s="21" t="n">
        <v>0</v>
      </c>
      <c r="Q9201" s="21" t="n">
        <v>0</v>
      </c>
      <c r="R9201" s="21" t="n">
        <v>0</v>
      </c>
      <c r="S9201" s="21" t="n">
        <v>0</v>
      </c>
      <c r="T9201" s="21" t="n">
        <v>0</v>
      </c>
      <c r="U9201" s="21" t="n">
        <v>0</v>
      </c>
      <c r="V9201" s="21" t="n">
        <v>0</v>
      </c>
      <c r="W9201" s="21" t="n">
        <v>0</v>
      </c>
      <c r="X9201" s="21" t="n">
        <v>0</v>
      </c>
      <c r="Y9201" s="21" t="n">
        <v>0</v>
      </c>
      <c r="Z9201" s="19" t="n"/>
    </row>
    <row r="9202">
      <c r="D9202" s="21" t="n">
        <v>0</v>
      </c>
      <c r="E9202" s="21" t="n">
        <v>0</v>
      </c>
      <c r="F9202" s="21">
        <f>-$B$8763</f>
        <v/>
      </c>
      <c r="G9202" s="21">
        <f>-$B$8764</f>
        <v/>
      </c>
      <c r="H9202" s="21">
        <f>2*$B$8763+$D$9188</f>
        <v/>
      </c>
      <c r="I9202" s="21">
        <f>0</f>
        <v/>
      </c>
      <c r="J9202" s="21">
        <f>-$B$8763</f>
        <v/>
      </c>
      <c r="K9202" s="21">
        <f>$B$8764</f>
        <v/>
      </c>
      <c r="L9202" s="21" t="n">
        <v>0</v>
      </c>
      <c r="M9202" s="21" t="n">
        <v>0</v>
      </c>
      <c r="N9202" s="21" t="n">
        <v>0</v>
      </c>
      <c r="O9202" s="21" t="n">
        <v>0</v>
      </c>
      <c r="P9202" s="21" t="n">
        <v>0</v>
      </c>
      <c r="Q9202" s="21" t="n">
        <v>0</v>
      </c>
      <c r="R9202" s="21" t="n">
        <v>0</v>
      </c>
      <c r="S9202" s="21" t="n">
        <v>0</v>
      </c>
      <c r="T9202" s="21" t="n">
        <v>0</v>
      </c>
      <c r="U9202" s="21" t="n">
        <v>0</v>
      </c>
      <c r="V9202" s="21" t="n">
        <v>0</v>
      </c>
      <c r="W9202" s="21" t="n">
        <v>0</v>
      </c>
      <c r="X9202" s="21" t="n">
        <v>0</v>
      </c>
      <c r="Y9202" s="21" t="n">
        <v>0</v>
      </c>
      <c r="Z9202" s="19" t="n"/>
    </row>
    <row r="9203">
      <c r="D9203" s="21" t="n">
        <v>0</v>
      </c>
      <c r="E9203" s="21" t="n">
        <v>0</v>
      </c>
      <c r="F9203" s="21">
        <f>$B$8764</f>
        <v/>
      </c>
      <c r="G9203" s="21">
        <f>$B$8766</f>
        <v/>
      </c>
      <c r="H9203" s="21">
        <f>0</f>
        <v/>
      </c>
      <c r="I9203" s="21">
        <f>2*$B$8765</f>
        <v/>
      </c>
      <c r="J9203" s="21">
        <f>-$B$8764</f>
        <v/>
      </c>
      <c r="K9203" s="21">
        <f>$B$8766</f>
        <v/>
      </c>
      <c r="L9203" s="21" t="n">
        <v>0</v>
      </c>
      <c r="M9203" s="21" t="n">
        <v>0</v>
      </c>
      <c r="N9203" s="21" t="n">
        <v>0</v>
      </c>
      <c r="O9203" s="21" t="n">
        <v>0</v>
      </c>
      <c r="P9203" s="21" t="n">
        <v>0</v>
      </c>
      <c r="Q9203" s="21" t="n">
        <v>0</v>
      </c>
      <c r="R9203" s="21" t="n">
        <v>0</v>
      </c>
      <c r="S9203" s="21" t="n">
        <v>0</v>
      </c>
      <c r="T9203" s="21" t="n">
        <v>0</v>
      </c>
      <c r="U9203" s="21" t="n">
        <v>0</v>
      </c>
      <c r="V9203" s="21" t="n">
        <v>0</v>
      </c>
      <c r="W9203" s="21" t="n">
        <v>0</v>
      </c>
      <c r="X9203" s="21" t="n">
        <v>0</v>
      </c>
      <c r="Y9203" s="21" t="n">
        <v>0</v>
      </c>
      <c r="Z9203" s="19" t="n"/>
    </row>
    <row r="9204">
      <c r="D9204" s="21" t="n">
        <v>0</v>
      </c>
      <c r="E9204" s="21" t="n">
        <v>0</v>
      </c>
      <c r="F9204" s="21" t="n">
        <v>0</v>
      </c>
      <c r="G9204" s="21" t="n">
        <v>0</v>
      </c>
      <c r="H9204" s="21">
        <f>-$B$8763</f>
        <v/>
      </c>
      <c r="I9204" s="21">
        <f>-$B$8764</f>
        <v/>
      </c>
      <c r="J9204" s="21">
        <f>2*$B$8763+$D$9189</f>
        <v/>
      </c>
      <c r="K9204" s="21">
        <f>0</f>
        <v/>
      </c>
      <c r="L9204" s="21">
        <f>-$B$8763</f>
        <v/>
      </c>
      <c r="M9204" s="21">
        <f>$B$8764</f>
        <v/>
      </c>
      <c r="N9204" s="21" t="n">
        <v>0</v>
      </c>
      <c r="O9204" s="21" t="n">
        <v>0</v>
      </c>
      <c r="P9204" s="21" t="n">
        <v>0</v>
      </c>
      <c r="Q9204" s="21" t="n">
        <v>0</v>
      </c>
      <c r="R9204" s="21" t="n">
        <v>0</v>
      </c>
      <c r="S9204" s="21" t="n">
        <v>0</v>
      </c>
      <c r="T9204" s="21" t="n">
        <v>0</v>
      </c>
      <c r="U9204" s="21" t="n">
        <v>0</v>
      </c>
      <c r="V9204" s="21" t="n">
        <v>0</v>
      </c>
      <c r="W9204" s="21" t="n">
        <v>0</v>
      </c>
      <c r="X9204" s="21" t="n">
        <v>0</v>
      </c>
      <c r="Y9204" s="21" t="n">
        <v>0</v>
      </c>
      <c r="Z9204" s="19" t="n"/>
    </row>
    <row r="9205">
      <c r="D9205" s="21" t="n">
        <v>0</v>
      </c>
      <c r="E9205" s="21" t="n">
        <v>0</v>
      </c>
      <c r="F9205" s="21" t="n">
        <v>0</v>
      </c>
      <c r="G9205" s="21" t="n">
        <v>0</v>
      </c>
      <c r="H9205" s="21">
        <f>$B$8764</f>
        <v/>
      </c>
      <c r="I9205" s="21">
        <f>$B$8766</f>
        <v/>
      </c>
      <c r="J9205" s="21">
        <f>0</f>
        <v/>
      </c>
      <c r="K9205" s="21">
        <f>2*$B$8765</f>
        <v/>
      </c>
      <c r="L9205" s="21">
        <f>-$B$8764</f>
        <v/>
      </c>
      <c r="M9205" s="21">
        <f>$B$8766</f>
        <v/>
      </c>
      <c r="N9205" s="21" t="n">
        <v>0</v>
      </c>
      <c r="O9205" s="21" t="n">
        <v>0</v>
      </c>
      <c r="P9205" s="21" t="n">
        <v>0</v>
      </c>
      <c r="Q9205" s="21" t="n">
        <v>0</v>
      </c>
      <c r="R9205" s="21" t="n">
        <v>0</v>
      </c>
      <c r="S9205" s="21" t="n">
        <v>0</v>
      </c>
      <c r="T9205" s="21" t="n">
        <v>0</v>
      </c>
      <c r="U9205" s="21" t="n">
        <v>0</v>
      </c>
      <c r="V9205" s="21" t="n">
        <v>0</v>
      </c>
      <c r="W9205" s="21" t="n">
        <v>0</v>
      </c>
      <c r="X9205" s="21" t="n">
        <v>0</v>
      </c>
      <c r="Y9205" s="21" t="n">
        <v>0</v>
      </c>
      <c r="Z9205" s="19" t="n"/>
    </row>
    <row r="9206">
      <c r="D9206" s="21" t="n">
        <v>0</v>
      </c>
      <c r="E9206" s="21" t="n">
        <v>0</v>
      </c>
      <c r="F9206" s="21" t="n">
        <v>0</v>
      </c>
      <c r="G9206" s="21" t="n">
        <v>0</v>
      </c>
      <c r="H9206" s="21" t="n">
        <v>0</v>
      </c>
      <c r="I9206" s="21" t="n">
        <v>0</v>
      </c>
      <c r="J9206" s="21">
        <f>-$B$8763</f>
        <v/>
      </c>
      <c r="K9206" s="21">
        <f>-$B$8764</f>
        <v/>
      </c>
      <c r="L9206" s="21">
        <f>2*$B$8763+$D$9190</f>
        <v/>
      </c>
      <c r="M9206" s="21">
        <f>0</f>
        <v/>
      </c>
      <c r="N9206" s="21">
        <f>-$B$8763</f>
        <v/>
      </c>
      <c r="O9206" s="21">
        <f>$B$8764</f>
        <v/>
      </c>
      <c r="P9206" s="21" t="n">
        <v>0</v>
      </c>
      <c r="Q9206" s="21" t="n">
        <v>0</v>
      </c>
      <c r="R9206" s="21" t="n">
        <v>0</v>
      </c>
      <c r="S9206" s="21" t="n">
        <v>0</v>
      </c>
      <c r="T9206" s="21" t="n">
        <v>0</v>
      </c>
      <c r="U9206" s="21" t="n">
        <v>0</v>
      </c>
      <c r="V9206" s="21" t="n">
        <v>0</v>
      </c>
      <c r="W9206" s="21" t="n">
        <v>0</v>
      </c>
      <c r="X9206" s="21" t="n">
        <v>0</v>
      </c>
      <c r="Y9206" s="21" t="n">
        <v>0</v>
      </c>
      <c r="Z9206" s="19" t="n"/>
    </row>
    <row r="9207">
      <c r="D9207" s="21" t="n">
        <v>0</v>
      </c>
      <c r="E9207" s="21" t="n">
        <v>0</v>
      </c>
      <c r="F9207" s="21" t="n">
        <v>0</v>
      </c>
      <c r="G9207" s="21" t="n">
        <v>0</v>
      </c>
      <c r="H9207" s="21" t="n">
        <v>0</v>
      </c>
      <c r="I9207" s="21" t="n">
        <v>0</v>
      </c>
      <c r="J9207" s="21">
        <f>$B$8764</f>
        <v/>
      </c>
      <c r="K9207" s="21">
        <f>$B$8766</f>
        <v/>
      </c>
      <c r="L9207" s="21">
        <f>0</f>
        <v/>
      </c>
      <c r="M9207" s="21">
        <f>2*$B$8765</f>
        <v/>
      </c>
      <c r="N9207" s="21">
        <f>-$B$8764</f>
        <v/>
      </c>
      <c r="O9207" s="21">
        <f>$B$8766</f>
        <v/>
      </c>
      <c r="P9207" s="21" t="n">
        <v>0</v>
      </c>
      <c r="Q9207" s="21" t="n">
        <v>0</v>
      </c>
      <c r="R9207" s="21" t="n">
        <v>0</v>
      </c>
      <c r="S9207" s="21" t="n">
        <v>0</v>
      </c>
      <c r="T9207" s="21" t="n">
        <v>0</v>
      </c>
      <c r="U9207" s="21" t="n">
        <v>0</v>
      </c>
      <c r="V9207" s="21" t="n">
        <v>0</v>
      </c>
      <c r="W9207" s="21" t="n">
        <v>0</v>
      </c>
      <c r="X9207" s="21" t="n">
        <v>0</v>
      </c>
      <c r="Y9207" s="21" t="n">
        <v>0</v>
      </c>
      <c r="Z9207" s="19" t="n"/>
    </row>
    <row r="9208">
      <c r="D9208" s="21" t="n">
        <v>0</v>
      </c>
      <c r="E9208" s="21" t="n">
        <v>0</v>
      </c>
      <c r="F9208" s="21" t="n">
        <v>0</v>
      </c>
      <c r="G9208" s="21" t="n">
        <v>0</v>
      </c>
      <c r="H9208" s="21" t="n">
        <v>0</v>
      </c>
      <c r="I9208" s="21" t="n">
        <v>0</v>
      </c>
      <c r="J9208" s="21" t="n">
        <v>0</v>
      </c>
      <c r="K9208" s="21" t="n">
        <v>0</v>
      </c>
      <c r="L9208" s="21">
        <f>-$B$8763</f>
        <v/>
      </c>
      <c r="M9208" s="21">
        <f>-$B$8764</f>
        <v/>
      </c>
      <c r="N9208" s="21">
        <f>2*$B$8763+$D$9191</f>
        <v/>
      </c>
      <c r="O9208" s="21">
        <f>0</f>
        <v/>
      </c>
      <c r="P9208" s="21">
        <f>-$B$8763</f>
        <v/>
      </c>
      <c r="Q9208" s="21">
        <f>$B$8764</f>
        <v/>
      </c>
      <c r="R9208" s="21" t="n">
        <v>0</v>
      </c>
      <c r="S9208" s="21" t="n">
        <v>0</v>
      </c>
      <c r="T9208" s="21" t="n">
        <v>0</v>
      </c>
      <c r="U9208" s="21" t="n">
        <v>0</v>
      </c>
      <c r="V9208" s="21" t="n">
        <v>0</v>
      </c>
      <c r="W9208" s="21" t="n">
        <v>0</v>
      </c>
      <c r="X9208" s="21" t="n">
        <v>0</v>
      </c>
      <c r="Y9208" s="21" t="n">
        <v>0</v>
      </c>
      <c r="Z9208" s="19" t="n"/>
    </row>
    <row r="9209">
      <c r="D9209" s="21" t="n">
        <v>0</v>
      </c>
      <c r="E9209" s="21" t="n">
        <v>0</v>
      </c>
      <c r="F9209" s="21" t="n">
        <v>0</v>
      </c>
      <c r="G9209" s="21" t="n">
        <v>0</v>
      </c>
      <c r="H9209" s="21" t="n">
        <v>0</v>
      </c>
      <c r="I9209" s="21" t="n">
        <v>0</v>
      </c>
      <c r="J9209" s="21" t="n">
        <v>0</v>
      </c>
      <c r="K9209" s="21" t="n">
        <v>0</v>
      </c>
      <c r="L9209" s="21">
        <f>$B$8764</f>
        <v/>
      </c>
      <c r="M9209" s="21">
        <f>$B$8766</f>
        <v/>
      </c>
      <c r="N9209" s="21">
        <f>0</f>
        <v/>
      </c>
      <c r="O9209" s="21">
        <f>2*$B$8765</f>
        <v/>
      </c>
      <c r="P9209" s="21">
        <f>-$B$8764</f>
        <v/>
      </c>
      <c r="Q9209" s="21">
        <f>$B$8766</f>
        <v/>
      </c>
      <c r="R9209" s="21" t="n">
        <v>0</v>
      </c>
      <c r="S9209" s="21" t="n">
        <v>0</v>
      </c>
      <c r="T9209" s="21" t="n">
        <v>0</v>
      </c>
      <c r="U9209" s="21" t="n">
        <v>0</v>
      </c>
      <c r="V9209" s="21" t="n">
        <v>0</v>
      </c>
      <c r="W9209" s="21" t="n">
        <v>0</v>
      </c>
      <c r="X9209" s="21" t="n">
        <v>0</v>
      </c>
      <c r="Y9209" s="21" t="n">
        <v>0</v>
      </c>
      <c r="Z9209" s="19" t="n"/>
    </row>
    <row r="9210">
      <c r="D9210" s="21" t="n">
        <v>0</v>
      </c>
      <c r="E9210" s="21" t="n">
        <v>0</v>
      </c>
      <c r="F9210" s="21" t="n">
        <v>0</v>
      </c>
      <c r="G9210" s="21" t="n">
        <v>0</v>
      </c>
      <c r="H9210" s="21" t="n">
        <v>0</v>
      </c>
      <c r="I9210" s="21" t="n">
        <v>0</v>
      </c>
      <c r="J9210" s="21" t="n">
        <v>0</v>
      </c>
      <c r="K9210" s="21" t="n">
        <v>0</v>
      </c>
      <c r="L9210" s="21" t="n">
        <v>0</v>
      </c>
      <c r="M9210" s="21" t="n">
        <v>0</v>
      </c>
      <c r="N9210" s="21">
        <f>-$B$8763</f>
        <v/>
      </c>
      <c r="O9210" s="21">
        <f>-$B$8764</f>
        <v/>
      </c>
      <c r="P9210" s="21">
        <f>2*$B$8763+$D$9192</f>
        <v/>
      </c>
      <c r="Q9210" s="21">
        <f>0</f>
        <v/>
      </c>
      <c r="R9210" s="21">
        <f>-$B$8763</f>
        <v/>
      </c>
      <c r="S9210" s="21">
        <f>$B$8764</f>
        <v/>
      </c>
      <c r="T9210" s="21" t="n">
        <v>0</v>
      </c>
      <c r="U9210" s="21" t="n">
        <v>0</v>
      </c>
      <c r="V9210" s="21" t="n">
        <v>0</v>
      </c>
      <c r="W9210" s="21" t="n">
        <v>0</v>
      </c>
      <c r="X9210" s="21" t="n">
        <v>0</v>
      </c>
      <c r="Y9210" s="21" t="n">
        <v>0</v>
      </c>
      <c r="Z9210" s="19" t="n"/>
    </row>
    <row r="9211">
      <c r="D9211" s="21" t="n">
        <v>0</v>
      </c>
      <c r="E9211" s="21" t="n">
        <v>0</v>
      </c>
      <c r="F9211" s="21" t="n">
        <v>0</v>
      </c>
      <c r="G9211" s="21" t="n">
        <v>0</v>
      </c>
      <c r="H9211" s="21" t="n">
        <v>0</v>
      </c>
      <c r="I9211" s="21" t="n">
        <v>0</v>
      </c>
      <c r="J9211" s="21" t="n">
        <v>0</v>
      </c>
      <c r="K9211" s="21" t="n">
        <v>0</v>
      </c>
      <c r="L9211" s="21" t="n">
        <v>0</v>
      </c>
      <c r="M9211" s="21" t="n">
        <v>0</v>
      </c>
      <c r="N9211" s="21">
        <f>$B$8764</f>
        <v/>
      </c>
      <c r="O9211" s="21">
        <f>$B$8766</f>
        <v/>
      </c>
      <c r="P9211" s="21">
        <f>0</f>
        <v/>
      </c>
      <c r="Q9211" s="21">
        <f>2*$B$8765</f>
        <v/>
      </c>
      <c r="R9211" s="21">
        <f>-$B$8764</f>
        <v/>
      </c>
      <c r="S9211" s="21">
        <f>$B$8766</f>
        <v/>
      </c>
      <c r="T9211" s="21" t="n">
        <v>0</v>
      </c>
      <c r="U9211" s="21" t="n">
        <v>0</v>
      </c>
      <c r="V9211" s="21" t="n">
        <v>0</v>
      </c>
      <c r="W9211" s="21" t="n">
        <v>0</v>
      </c>
      <c r="X9211" s="21" t="n">
        <v>0</v>
      </c>
      <c r="Y9211" s="21" t="n">
        <v>0</v>
      </c>
      <c r="Z9211" s="19" t="n"/>
    </row>
    <row r="9212">
      <c r="D9212" s="21" t="n">
        <v>0</v>
      </c>
      <c r="E9212" s="21" t="n">
        <v>0</v>
      </c>
      <c r="F9212" s="21" t="n">
        <v>0</v>
      </c>
      <c r="G9212" s="21" t="n">
        <v>0</v>
      </c>
      <c r="H9212" s="21" t="n">
        <v>0</v>
      </c>
      <c r="I9212" s="21" t="n">
        <v>0</v>
      </c>
      <c r="J9212" s="21" t="n">
        <v>0</v>
      </c>
      <c r="K9212" s="21" t="n">
        <v>0</v>
      </c>
      <c r="L9212" s="21" t="n">
        <v>0</v>
      </c>
      <c r="M9212" s="21" t="n">
        <v>0</v>
      </c>
      <c r="N9212" s="21" t="n">
        <v>0</v>
      </c>
      <c r="O9212" s="21" t="n">
        <v>0</v>
      </c>
      <c r="P9212" s="21">
        <f>-$B$8763</f>
        <v/>
      </c>
      <c r="Q9212" s="21">
        <f>-$B$8764</f>
        <v/>
      </c>
      <c r="R9212" s="21">
        <f>2*$B$8763+$D$9193</f>
        <v/>
      </c>
      <c r="S9212" s="21">
        <f>0</f>
        <v/>
      </c>
      <c r="T9212" s="21">
        <f>-$B$8763</f>
        <v/>
      </c>
      <c r="U9212" s="21">
        <f>$B$8764</f>
        <v/>
      </c>
      <c r="V9212" s="21" t="n">
        <v>0</v>
      </c>
      <c r="W9212" s="21" t="n">
        <v>0</v>
      </c>
      <c r="X9212" s="21" t="n">
        <v>0</v>
      </c>
      <c r="Y9212" s="21" t="n">
        <v>0</v>
      </c>
      <c r="Z9212" s="19" t="n"/>
    </row>
    <row r="9213">
      <c r="D9213" s="21" t="n">
        <v>0</v>
      </c>
      <c r="E9213" s="21" t="n">
        <v>0</v>
      </c>
      <c r="F9213" s="21" t="n">
        <v>0</v>
      </c>
      <c r="G9213" s="21" t="n">
        <v>0</v>
      </c>
      <c r="H9213" s="21" t="n">
        <v>0</v>
      </c>
      <c r="I9213" s="21" t="n">
        <v>0</v>
      </c>
      <c r="J9213" s="21" t="n">
        <v>0</v>
      </c>
      <c r="K9213" s="21" t="n">
        <v>0</v>
      </c>
      <c r="L9213" s="21" t="n">
        <v>0</v>
      </c>
      <c r="M9213" s="21" t="n">
        <v>0</v>
      </c>
      <c r="N9213" s="21" t="n">
        <v>0</v>
      </c>
      <c r="O9213" s="21" t="n">
        <v>0</v>
      </c>
      <c r="P9213" s="21">
        <f>$B$8764</f>
        <v/>
      </c>
      <c r="Q9213" s="21">
        <f>$B$8766</f>
        <v/>
      </c>
      <c r="R9213" s="21">
        <f>0</f>
        <v/>
      </c>
      <c r="S9213" s="21">
        <f>2*$B$8765</f>
        <v/>
      </c>
      <c r="T9213" s="21">
        <f>-$B$8764</f>
        <v/>
      </c>
      <c r="U9213" s="21">
        <f>$B$8766</f>
        <v/>
      </c>
      <c r="V9213" s="21" t="n">
        <v>0</v>
      </c>
      <c r="W9213" s="21" t="n">
        <v>0</v>
      </c>
      <c r="X9213" s="21" t="n">
        <v>0</v>
      </c>
      <c r="Y9213" s="21" t="n">
        <v>0</v>
      </c>
      <c r="Z9213" s="19" t="n"/>
    </row>
    <row r="9214">
      <c r="D9214" s="21" t="n">
        <v>0</v>
      </c>
      <c r="E9214" s="21" t="n">
        <v>0</v>
      </c>
      <c r="F9214" s="21" t="n">
        <v>0</v>
      </c>
      <c r="G9214" s="21" t="n">
        <v>0</v>
      </c>
      <c r="H9214" s="21" t="n">
        <v>0</v>
      </c>
      <c r="I9214" s="21" t="n">
        <v>0</v>
      </c>
      <c r="J9214" s="21" t="n">
        <v>0</v>
      </c>
      <c r="K9214" s="21" t="n">
        <v>0</v>
      </c>
      <c r="L9214" s="21" t="n">
        <v>0</v>
      </c>
      <c r="M9214" s="21" t="n">
        <v>0</v>
      </c>
      <c r="N9214" s="21" t="n">
        <v>0</v>
      </c>
      <c r="O9214" s="21" t="n">
        <v>0</v>
      </c>
      <c r="P9214" s="21" t="n">
        <v>0</v>
      </c>
      <c r="Q9214" s="21" t="n">
        <v>0</v>
      </c>
      <c r="R9214" s="21">
        <f>-$B$8763</f>
        <v/>
      </c>
      <c r="S9214" s="21">
        <f>-$B$8764</f>
        <v/>
      </c>
      <c r="T9214" s="21">
        <f>2*$B$8763+$D$9194</f>
        <v/>
      </c>
      <c r="U9214" s="21">
        <f>0</f>
        <v/>
      </c>
      <c r="V9214" s="21">
        <f>-$B$8763</f>
        <v/>
      </c>
      <c r="W9214" s="21">
        <f>$B$8764</f>
        <v/>
      </c>
      <c r="X9214" s="21" t="n">
        <v>0</v>
      </c>
      <c r="Y9214" s="21" t="n">
        <v>0</v>
      </c>
      <c r="Z9214" s="19" t="n"/>
    </row>
    <row r="9215">
      <c r="D9215" s="21" t="n">
        <v>0</v>
      </c>
      <c r="E9215" s="21" t="n">
        <v>0</v>
      </c>
      <c r="F9215" s="21" t="n">
        <v>0</v>
      </c>
      <c r="G9215" s="21" t="n">
        <v>0</v>
      </c>
      <c r="H9215" s="21" t="n">
        <v>0</v>
      </c>
      <c r="I9215" s="21" t="n">
        <v>0</v>
      </c>
      <c r="J9215" s="21" t="n">
        <v>0</v>
      </c>
      <c r="K9215" s="21" t="n">
        <v>0</v>
      </c>
      <c r="L9215" s="21" t="n">
        <v>0</v>
      </c>
      <c r="M9215" s="21" t="n">
        <v>0</v>
      </c>
      <c r="N9215" s="21" t="n">
        <v>0</v>
      </c>
      <c r="O9215" s="21" t="n">
        <v>0</v>
      </c>
      <c r="P9215" s="21" t="n">
        <v>0</v>
      </c>
      <c r="Q9215" s="21" t="n">
        <v>0</v>
      </c>
      <c r="R9215" s="21">
        <f>$B$8764</f>
        <v/>
      </c>
      <c r="S9215" s="21">
        <f>$B$8766</f>
        <v/>
      </c>
      <c r="T9215" s="21">
        <f>0</f>
        <v/>
      </c>
      <c r="U9215" s="21">
        <f>2*$B$8765</f>
        <v/>
      </c>
      <c r="V9215" s="21">
        <f>-$B$8764</f>
        <v/>
      </c>
      <c r="W9215" s="21">
        <f>$B$8766</f>
        <v/>
      </c>
      <c r="X9215" s="21" t="n">
        <v>0</v>
      </c>
      <c r="Y9215" s="21" t="n">
        <v>0</v>
      </c>
      <c r="Z9215" s="19" t="n"/>
    </row>
    <row r="9216">
      <c r="D9216" s="21" t="n">
        <v>0</v>
      </c>
      <c r="E9216" s="21" t="n">
        <v>0</v>
      </c>
      <c r="F9216" s="21" t="n">
        <v>0</v>
      </c>
      <c r="G9216" s="21" t="n">
        <v>0</v>
      </c>
      <c r="H9216" s="21" t="n">
        <v>0</v>
      </c>
      <c r="I9216" s="21" t="n">
        <v>0</v>
      </c>
      <c r="J9216" s="21" t="n">
        <v>0</v>
      </c>
      <c r="K9216" s="21" t="n">
        <v>0</v>
      </c>
      <c r="L9216" s="21" t="n">
        <v>0</v>
      </c>
      <c r="M9216" s="21" t="n">
        <v>0</v>
      </c>
      <c r="N9216" s="21" t="n">
        <v>0</v>
      </c>
      <c r="O9216" s="21" t="n">
        <v>0</v>
      </c>
      <c r="P9216" s="21" t="n">
        <v>0</v>
      </c>
      <c r="Q9216" s="21" t="n">
        <v>0</v>
      </c>
      <c r="R9216" s="21" t="n">
        <v>0</v>
      </c>
      <c r="S9216" s="21" t="n">
        <v>0</v>
      </c>
      <c r="T9216" s="21">
        <f>-$B$8763</f>
        <v/>
      </c>
      <c r="U9216" s="21">
        <f>-$B$8764</f>
        <v/>
      </c>
      <c r="V9216" s="21">
        <f>2*$B$8763+$D$9195</f>
        <v/>
      </c>
      <c r="W9216" s="21">
        <f>0</f>
        <v/>
      </c>
      <c r="X9216" s="21">
        <f>-$B$8763</f>
        <v/>
      </c>
      <c r="Y9216" s="21">
        <f>$B$8764</f>
        <v/>
      </c>
      <c r="Z9216" s="19" t="n"/>
    </row>
    <row r="9217">
      <c r="D9217" s="21" t="n">
        <v>0</v>
      </c>
      <c r="E9217" s="21" t="n">
        <v>0</v>
      </c>
      <c r="F9217" s="21" t="n">
        <v>0</v>
      </c>
      <c r="G9217" s="21" t="n">
        <v>0</v>
      </c>
      <c r="H9217" s="21" t="n">
        <v>0</v>
      </c>
      <c r="I9217" s="21" t="n">
        <v>0</v>
      </c>
      <c r="J9217" s="21" t="n">
        <v>0</v>
      </c>
      <c r="K9217" s="21" t="n">
        <v>0</v>
      </c>
      <c r="L9217" s="21" t="n">
        <v>0</v>
      </c>
      <c r="M9217" s="21" t="n">
        <v>0</v>
      </c>
      <c r="N9217" s="21" t="n">
        <v>0</v>
      </c>
      <c r="O9217" s="21" t="n">
        <v>0</v>
      </c>
      <c r="P9217" s="21" t="n">
        <v>0</v>
      </c>
      <c r="Q9217" s="21" t="n">
        <v>0</v>
      </c>
      <c r="R9217" s="21" t="n">
        <v>0</v>
      </c>
      <c r="S9217" s="21" t="n">
        <v>0</v>
      </c>
      <c r="T9217" s="21">
        <f>$B$8764</f>
        <v/>
      </c>
      <c r="U9217" s="21">
        <f>$B$8766</f>
        <v/>
      </c>
      <c r="V9217" s="21">
        <f>0</f>
        <v/>
      </c>
      <c r="W9217" s="21">
        <f>2*$B$8765</f>
        <v/>
      </c>
      <c r="X9217" s="21">
        <f>-$B$8764</f>
        <v/>
      </c>
      <c r="Y9217" s="21">
        <f>$B$8766</f>
        <v/>
      </c>
      <c r="Z9217" s="19" t="n"/>
    </row>
    <row r="9218">
      <c r="D9218" s="21" t="n">
        <v>0</v>
      </c>
      <c r="E9218" s="21" t="n">
        <v>0</v>
      </c>
      <c r="F9218" s="21" t="n">
        <v>0</v>
      </c>
      <c r="G9218" s="21" t="n">
        <v>0</v>
      </c>
      <c r="H9218" s="21" t="n">
        <v>0</v>
      </c>
      <c r="I9218" s="21" t="n">
        <v>0</v>
      </c>
      <c r="J9218" s="21" t="n">
        <v>0</v>
      </c>
      <c r="K9218" s="21" t="n">
        <v>0</v>
      </c>
      <c r="L9218" s="21" t="n">
        <v>0</v>
      </c>
      <c r="M9218" s="21" t="n">
        <v>0</v>
      </c>
      <c r="N9218" s="21" t="n">
        <v>0</v>
      </c>
      <c r="O9218" s="21" t="n">
        <v>0</v>
      </c>
      <c r="P9218" s="21" t="n">
        <v>0</v>
      </c>
      <c r="Q9218" s="21" t="n">
        <v>0</v>
      </c>
      <c r="R9218" s="21" t="n">
        <v>0</v>
      </c>
      <c r="S9218" s="21" t="n">
        <v>0</v>
      </c>
      <c r="T9218" s="21" t="n">
        <v>0</v>
      </c>
      <c r="U9218" s="21" t="n">
        <v>0</v>
      </c>
      <c r="V9218" s="21">
        <f>-$B$8763</f>
        <v/>
      </c>
      <c r="W9218" s="21">
        <f>-$B$8764</f>
        <v/>
      </c>
      <c r="X9218" s="21">
        <f>$B$8763+$D$9196</f>
        <v/>
      </c>
      <c r="Y9218" s="21">
        <f>-$B$8764</f>
        <v/>
      </c>
      <c r="Z9218" s="19" t="n"/>
    </row>
    <row r="9219">
      <c r="D9219" s="21" t="n">
        <v>0</v>
      </c>
      <c r="E9219" s="21" t="n">
        <v>0</v>
      </c>
      <c r="F9219" s="21" t="n">
        <v>0</v>
      </c>
      <c r="G9219" s="21" t="n">
        <v>0</v>
      </c>
      <c r="H9219" s="21" t="n">
        <v>0</v>
      </c>
      <c r="I9219" s="21" t="n">
        <v>0</v>
      </c>
      <c r="J9219" s="21" t="n">
        <v>0</v>
      </c>
      <c r="K9219" s="21" t="n">
        <v>0</v>
      </c>
      <c r="L9219" s="21" t="n">
        <v>0</v>
      </c>
      <c r="M9219" s="21" t="n">
        <v>0</v>
      </c>
      <c r="N9219" s="21" t="n">
        <v>0</v>
      </c>
      <c r="O9219" s="21" t="n">
        <v>0</v>
      </c>
      <c r="P9219" s="21" t="n">
        <v>0</v>
      </c>
      <c r="Q9219" s="21" t="n">
        <v>0</v>
      </c>
      <c r="R9219" s="21" t="n">
        <v>0</v>
      </c>
      <c r="S9219" s="21" t="n">
        <v>0</v>
      </c>
      <c r="T9219" s="21" t="n">
        <v>0</v>
      </c>
      <c r="U9219" s="21" t="n">
        <v>0</v>
      </c>
      <c r="V9219" s="21">
        <f>$B$8764</f>
        <v/>
      </c>
      <c r="W9219" s="21">
        <f>$B$8766</f>
        <v/>
      </c>
      <c r="X9219" s="21">
        <f>-$B$8764</f>
        <v/>
      </c>
      <c r="Y9219" s="21">
        <f>$B$8765</f>
        <v/>
      </c>
      <c r="Z9219" s="19" t="n"/>
    </row>
    <row r="9221">
      <c r="A9221" s="8" t="inlineStr">
        <is>
          <t>gen 12</t>
        </is>
      </c>
    </row>
    <row r="9222">
      <c r="D9222" s="19">
        <f>IF(ABS(IF(ABS($E$9186)&gt;0.000000001,$E$9186,0.000000001))=0,0,IF($E$8778&lt;=$B$8772,0,IF(ABS(IF(ABS($E$9186)&gt;0.000000001,$E$9186,0.000000001))&gt;=8*$B$8774,$H$8778,0.5*$H$8778*(ABS(IF(ABS($E$9186)&gt;0.000000001,$E$9186,0.000000001))/$B$8774)^(1/3)))/ABS(IF(ABS($E$9186)&gt;0.000000001,$E$9186,0.000000001))*$I$8778)</f>
        <v/>
      </c>
      <c r="E9222" s="19">
        <f>0.5*$E$9186+0.5*$Z$9234</f>
        <v/>
      </c>
      <c r="F9222" s="19">
        <f>$Z$9235</f>
        <v/>
      </c>
    </row>
    <row r="9223">
      <c r="D9223" s="19">
        <f>IF(ABS(IF(ABS($E$9187)&gt;0.000000001,$E$9187,0.000000001))=0,0,IF($E$8779&lt;=$B$8772,0,IF(ABS(IF(ABS($E$9187)&gt;0.000000001,$E$9187,0.000000001))&gt;=8*$B$8774,$H$8779,0.5*$H$8779*(ABS(IF(ABS($E$9187)&gt;0.000000001,$E$9187,0.000000001))/$B$8774)^(1/3)))/ABS(IF(ABS($E$9187)&gt;0.000000001,$E$9187,0.000000001))*$I$8779)</f>
        <v/>
      </c>
      <c r="E9223" s="19">
        <f>0.5*$E$9187+0.5*$Z$9236</f>
        <v/>
      </c>
      <c r="F9223" s="19">
        <f>$Z$9237</f>
        <v/>
      </c>
    </row>
    <row r="9224">
      <c r="D9224" s="19">
        <f>IF(ABS(IF(ABS($E$9188)&gt;0.000000001,$E$9188,0.000000001))=0,0,IF($E$8780&lt;=$B$8772,0,IF(ABS(IF(ABS($E$9188)&gt;0.000000001,$E$9188,0.000000001))&gt;=8*$B$8774,$H$8780,0.5*$H$8780*(ABS(IF(ABS($E$9188)&gt;0.000000001,$E$9188,0.000000001))/$B$8774)^(1/3)))/ABS(IF(ABS($E$9188)&gt;0.000000001,$E$9188,0.000000001))*$I$8780)</f>
        <v/>
      </c>
      <c r="E9224" s="19">
        <f>0.5*$E$9188+0.5*$Z$9238</f>
        <v/>
      </c>
      <c r="F9224" s="19">
        <f>$Z$9239</f>
        <v/>
      </c>
    </row>
    <row r="9225">
      <c r="D9225" s="19">
        <f>IF(ABS(IF(ABS($E$9189)&gt;0.000000001,$E$9189,0.000000001))=0,0,IF($E$8781&lt;=$B$8772,0,IF(ABS(IF(ABS($E$9189)&gt;0.000000001,$E$9189,0.000000001))&gt;=8*$B$8774,$H$8781,0.5*$H$8781*(ABS(IF(ABS($E$9189)&gt;0.000000001,$E$9189,0.000000001))/$B$8774)^(1/3)))/ABS(IF(ABS($E$9189)&gt;0.000000001,$E$9189,0.000000001))*$I$8781)</f>
        <v/>
      </c>
      <c r="E9225" s="19">
        <f>0.5*$E$9189+0.5*$Z$9240</f>
        <v/>
      </c>
      <c r="F9225" s="19">
        <f>$Z$9241</f>
        <v/>
      </c>
    </row>
    <row r="9226">
      <c r="D9226" s="19">
        <f>IF(ABS(IF(ABS($E$9190)&gt;0.000000001,$E$9190,0.000000001))=0,0,IF($E$8782&lt;=$B$8772,0,IF(ABS(IF(ABS($E$9190)&gt;0.000000001,$E$9190,0.000000001))&gt;=8*$B$8774,$H$8782,0.5*$H$8782*(ABS(IF(ABS($E$9190)&gt;0.000000001,$E$9190,0.000000001))/$B$8774)^(1/3)))/ABS(IF(ABS($E$9190)&gt;0.000000001,$E$9190,0.000000001))*$I$8782)</f>
        <v/>
      </c>
      <c r="E9226" s="19">
        <f>0.5*$E$9190+0.5*$Z$9242</f>
        <v/>
      </c>
      <c r="F9226" s="19">
        <f>$Z$9243</f>
        <v/>
      </c>
    </row>
    <row r="9227">
      <c r="D9227" s="19">
        <f>IF(ABS(IF(ABS($E$9191)&gt;0.000000001,$E$9191,0.000000001))=0,0,IF($E$8783&lt;=$B$8772,0,IF(ABS(IF(ABS($E$9191)&gt;0.000000001,$E$9191,0.000000001))&gt;=8*$B$8774,$H$8783,0.5*$H$8783*(ABS(IF(ABS($E$9191)&gt;0.000000001,$E$9191,0.000000001))/$B$8774)^(1/3)))/ABS(IF(ABS($E$9191)&gt;0.000000001,$E$9191,0.000000001))*$I$8783)</f>
        <v/>
      </c>
      <c r="E9227" s="19">
        <f>0.5*$E$9191+0.5*$Z$9244</f>
        <v/>
      </c>
      <c r="F9227" s="19">
        <f>$Z$9245</f>
        <v/>
      </c>
    </row>
    <row r="9228">
      <c r="D9228" s="19">
        <f>IF(ABS(IF(ABS($E$9192)&gt;0.000000001,$E$9192,0.000000001))=0,0,IF($E$8784&lt;=$B$8772,0,IF(ABS(IF(ABS($E$9192)&gt;0.000000001,$E$9192,0.000000001))&gt;=8*$B$8774,$H$8784,0.5*$H$8784*(ABS(IF(ABS($E$9192)&gt;0.000000001,$E$9192,0.000000001))/$B$8774)^(1/3)))/ABS(IF(ABS($E$9192)&gt;0.000000001,$E$9192,0.000000001))*$I$8784)</f>
        <v/>
      </c>
      <c r="E9228" s="19">
        <f>0.5*$E$9192+0.5*$Z$9246</f>
        <v/>
      </c>
      <c r="F9228" s="19">
        <f>$Z$9247</f>
        <v/>
      </c>
    </row>
    <row r="9229">
      <c r="D9229" s="19">
        <f>IF(ABS(IF(ABS($E$9193)&gt;0.000000001,$E$9193,0.000000001))=0,0,IF($E$8785&lt;=$B$8772,0,IF(ABS(IF(ABS($E$9193)&gt;0.000000001,$E$9193,0.000000001))&gt;=8*$B$8774,$H$8785,0.5*$H$8785*(ABS(IF(ABS($E$9193)&gt;0.000000001,$E$9193,0.000000001))/$B$8774)^(1/3)))/ABS(IF(ABS($E$9193)&gt;0.000000001,$E$9193,0.000000001))*$I$8785)</f>
        <v/>
      </c>
      <c r="E9229" s="19">
        <f>0.5*$E$9193+0.5*$Z$9248</f>
        <v/>
      </c>
      <c r="F9229" s="19">
        <f>$Z$9249</f>
        <v/>
      </c>
    </row>
    <row r="9230">
      <c r="D9230" s="19">
        <f>IF(ABS(IF(ABS($E$9194)&gt;0.000000001,$E$9194,0.000000001))=0,0,IF($E$8786&lt;=$B$8772,0,IF(ABS(IF(ABS($E$9194)&gt;0.000000001,$E$9194,0.000000001))&gt;=8*$B$8774,$H$8786,0.5*$H$8786*(ABS(IF(ABS($E$9194)&gt;0.000000001,$E$9194,0.000000001))/$B$8774)^(1/3)))/ABS(IF(ABS($E$9194)&gt;0.000000001,$E$9194,0.000000001))*$I$8786)</f>
        <v/>
      </c>
      <c r="E9230" s="19">
        <f>0.5*$E$9194+0.5*$Z$9250</f>
        <v/>
      </c>
      <c r="F9230" s="19">
        <f>$Z$9251</f>
        <v/>
      </c>
    </row>
    <row r="9231">
      <c r="D9231" s="19">
        <f>IF(ABS(IF(ABS($E$9195)&gt;0.000000001,$E$9195,0.000000001))=0,0,IF($E$8787&lt;=$B$8772,0,IF(ABS(IF(ABS($E$9195)&gt;0.000000001,$E$9195,0.000000001))&gt;=8*$B$8774,$H$8787,0.5*$H$8787*(ABS(IF(ABS($E$9195)&gt;0.000000001,$E$9195,0.000000001))/$B$8774)^(1/3)))/ABS(IF(ABS($E$9195)&gt;0.000000001,$E$9195,0.000000001))*$I$8787)</f>
        <v/>
      </c>
      <c r="E9231" s="19">
        <f>0.5*$E$9195+0.5*$Z$9252</f>
        <v/>
      </c>
      <c r="F9231" s="19">
        <f>$Z$9253</f>
        <v/>
      </c>
    </row>
    <row r="9232">
      <c r="D9232" s="19">
        <f>IF(ABS(IF(ABS($E$9196)&gt;0.000000001,$E$9196,0.000000001))=0,0,IF($E$8788&lt;=$B$8772,0,IF(ABS(IF(ABS($E$9196)&gt;0.000000001,$E$9196,0.000000001))&gt;=8*$B$8774,$H$8788,0.5*$H$8788*(ABS(IF(ABS($E$9196)&gt;0.000000001,$E$9196,0.000000001))/$B$8774)^(1/3)))/ABS(IF(ABS($E$9196)&gt;0.000000001,$E$9196,0.000000001))*$I$8788)</f>
        <v/>
      </c>
      <c r="E9232" s="19">
        <f>0.5*$E$9196+0.5*$Z$9254</f>
        <v/>
      </c>
      <c r="F9232" s="19">
        <f>$Z$9255</f>
        <v/>
      </c>
    </row>
    <row r="9234">
      <c r="D9234" s="21">
        <f>$B$8763+$D$9222</f>
        <v/>
      </c>
      <c r="E9234" s="21">
        <f>$B$8764</f>
        <v/>
      </c>
      <c r="F9234" s="21">
        <f>-$B$8763</f>
        <v/>
      </c>
      <c r="G9234" s="21">
        <f>$B$8764</f>
        <v/>
      </c>
      <c r="H9234" s="21" t="n">
        <v>0</v>
      </c>
      <c r="I9234" s="21" t="n">
        <v>0</v>
      </c>
      <c r="J9234" s="21" t="n">
        <v>0</v>
      </c>
      <c r="K9234" s="21" t="n">
        <v>0</v>
      </c>
      <c r="L9234" s="21" t="n">
        <v>0</v>
      </c>
      <c r="M9234" s="21" t="n">
        <v>0</v>
      </c>
      <c r="N9234" s="21" t="n">
        <v>0</v>
      </c>
      <c r="O9234" s="21" t="n">
        <v>0</v>
      </c>
      <c r="P9234" s="21" t="n">
        <v>0</v>
      </c>
      <c r="Q9234" s="21" t="n">
        <v>0</v>
      </c>
      <c r="R9234" s="21" t="n">
        <v>0</v>
      </c>
      <c r="S9234" s="21" t="n">
        <v>0</v>
      </c>
      <c r="T9234" s="21" t="n">
        <v>0</v>
      </c>
      <c r="U9234" s="21" t="n">
        <v>0</v>
      </c>
      <c r="V9234" s="21" t="n">
        <v>0</v>
      </c>
      <c r="W9234" s="21" t="n">
        <v>0</v>
      </c>
      <c r="X9234" s="21" t="n">
        <v>0</v>
      </c>
      <c r="Y9234" s="21" t="n">
        <v>0</v>
      </c>
      <c r="Z9234" s="19">
        <f t="array" ref="Z9234:Z9255">MMULT(MINVERSE($D$9234:$Y$9255),$D$8790:$D$8811)</f>
        <v/>
      </c>
    </row>
    <row r="9235">
      <c r="D9235" s="21">
        <f>$B$8764</f>
        <v/>
      </c>
      <c r="E9235" s="21">
        <f>$B$8765</f>
        <v/>
      </c>
      <c r="F9235" s="21">
        <f>-$B$8764</f>
        <v/>
      </c>
      <c r="G9235" s="21">
        <f>$B$8766</f>
        <v/>
      </c>
      <c r="H9235" s="21" t="n">
        <v>0</v>
      </c>
      <c r="I9235" s="21" t="n">
        <v>0</v>
      </c>
      <c r="J9235" s="21" t="n">
        <v>0</v>
      </c>
      <c r="K9235" s="21" t="n">
        <v>0</v>
      </c>
      <c r="L9235" s="21" t="n">
        <v>0</v>
      </c>
      <c r="M9235" s="21" t="n">
        <v>0</v>
      </c>
      <c r="N9235" s="21" t="n">
        <v>0</v>
      </c>
      <c r="O9235" s="21" t="n">
        <v>0</v>
      </c>
      <c r="P9235" s="21" t="n">
        <v>0</v>
      </c>
      <c r="Q9235" s="21" t="n">
        <v>0</v>
      </c>
      <c r="R9235" s="21" t="n">
        <v>0</v>
      </c>
      <c r="S9235" s="21" t="n">
        <v>0</v>
      </c>
      <c r="T9235" s="21" t="n">
        <v>0</v>
      </c>
      <c r="U9235" s="21" t="n">
        <v>0</v>
      </c>
      <c r="V9235" s="21" t="n">
        <v>0</v>
      </c>
      <c r="W9235" s="21" t="n">
        <v>0</v>
      </c>
      <c r="X9235" s="21" t="n">
        <v>0</v>
      </c>
      <c r="Y9235" s="21" t="n">
        <v>0</v>
      </c>
      <c r="Z9235" s="19" t="n"/>
    </row>
    <row r="9236">
      <c r="D9236" s="21">
        <f>-$B$8763</f>
        <v/>
      </c>
      <c r="E9236" s="21">
        <f>-$B$8764</f>
        <v/>
      </c>
      <c r="F9236" s="21">
        <f>2*$B$8763+$D$9223</f>
        <v/>
      </c>
      <c r="G9236" s="21">
        <f>0</f>
        <v/>
      </c>
      <c r="H9236" s="21">
        <f>-$B$8763</f>
        <v/>
      </c>
      <c r="I9236" s="21">
        <f>$B$8764</f>
        <v/>
      </c>
      <c r="J9236" s="21" t="n">
        <v>0</v>
      </c>
      <c r="K9236" s="21" t="n">
        <v>0</v>
      </c>
      <c r="L9236" s="21" t="n">
        <v>0</v>
      </c>
      <c r="M9236" s="21" t="n">
        <v>0</v>
      </c>
      <c r="N9236" s="21" t="n">
        <v>0</v>
      </c>
      <c r="O9236" s="21" t="n">
        <v>0</v>
      </c>
      <c r="P9236" s="21" t="n">
        <v>0</v>
      </c>
      <c r="Q9236" s="21" t="n">
        <v>0</v>
      </c>
      <c r="R9236" s="21" t="n">
        <v>0</v>
      </c>
      <c r="S9236" s="21" t="n">
        <v>0</v>
      </c>
      <c r="T9236" s="21" t="n">
        <v>0</v>
      </c>
      <c r="U9236" s="21" t="n">
        <v>0</v>
      </c>
      <c r="V9236" s="21" t="n">
        <v>0</v>
      </c>
      <c r="W9236" s="21" t="n">
        <v>0</v>
      </c>
      <c r="X9236" s="21" t="n">
        <v>0</v>
      </c>
      <c r="Y9236" s="21" t="n">
        <v>0</v>
      </c>
      <c r="Z9236" s="19" t="n"/>
    </row>
    <row r="9237">
      <c r="D9237" s="21">
        <f>$B$8764</f>
        <v/>
      </c>
      <c r="E9237" s="21">
        <f>$B$8766</f>
        <v/>
      </c>
      <c r="F9237" s="21">
        <f>0</f>
        <v/>
      </c>
      <c r="G9237" s="21">
        <f>2*$B$8765</f>
        <v/>
      </c>
      <c r="H9237" s="21">
        <f>-$B$8764</f>
        <v/>
      </c>
      <c r="I9237" s="21">
        <f>$B$8766</f>
        <v/>
      </c>
      <c r="J9237" s="21" t="n">
        <v>0</v>
      </c>
      <c r="K9237" s="21" t="n">
        <v>0</v>
      </c>
      <c r="L9237" s="21" t="n">
        <v>0</v>
      </c>
      <c r="M9237" s="21" t="n">
        <v>0</v>
      </c>
      <c r="N9237" s="21" t="n">
        <v>0</v>
      </c>
      <c r="O9237" s="21" t="n">
        <v>0</v>
      </c>
      <c r="P9237" s="21" t="n">
        <v>0</v>
      </c>
      <c r="Q9237" s="21" t="n">
        <v>0</v>
      </c>
      <c r="R9237" s="21" t="n">
        <v>0</v>
      </c>
      <c r="S9237" s="21" t="n">
        <v>0</v>
      </c>
      <c r="T9237" s="21" t="n">
        <v>0</v>
      </c>
      <c r="U9237" s="21" t="n">
        <v>0</v>
      </c>
      <c r="V9237" s="21" t="n">
        <v>0</v>
      </c>
      <c r="W9237" s="21" t="n">
        <v>0</v>
      </c>
      <c r="X9237" s="21" t="n">
        <v>0</v>
      </c>
      <c r="Y9237" s="21" t="n">
        <v>0</v>
      </c>
      <c r="Z9237" s="19" t="n"/>
    </row>
    <row r="9238">
      <c r="D9238" s="21" t="n">
        <v>0</v>
      </c>
      <c r="E9238" s="21" t="n">
        <v>0</v>
      </c>
      <c r="F9238" s="21">
        <f>-$B$8763</f>
        <v/>
      </c>
      <c r="G9238" s="21">
        <f>-$B$8764</f>
        <v/>
      </c>
      <c r="H9238" s="21">
        <f>2*$B$8763+$D$9224</f>
        <v/>
      </c>
      <c r="I9238" s="21">
        <f>0</f>
        <v/>
      </c>
      <c r="J9238" s="21">
        <f>-$B$8763</f>
        <v/>
      </c>
      <c r="K9238" s="21">
        <f>$B$8764</f>
        <v/>
      </c>
      <c r="L9238" s="21" t="n">
        <v>0</v>
      </c>
      <c r="M9238" s="21" t="n">
        <v>0</v>
      </c>
      <c r="N9238" s="21" t="n">
        <v>0</v>
      </c>
      <c r="O9238" s="21" t="n">
        <v>0</v>
      </c>
      <c r="P9238" s="21" t="n">
        <v>0</v>
      </c>
      <c r="Q9238" s="21" t="n">
        <v>0</v>
      </c>
      <c r="R9238" s="21" t="n">
        <v>0</v>
      </c>
      <c r="S9238" s="21" t="n">
        <v>0</v>
      </c>
      <c r="T9238" s="21" t="n">
        <v>0</v>
      </c>
      <c r="U9238" s="21" t="n">
        <v>0</v>
      </c>
      <c r="V9238" s="21" t="n">
        <v>0</v>
      </c>
      <c r="W9238" s="21" t="n">
        <v>0</v>
      </c>
      <c r="X9238" s="21" t="n">
        <v>0</v>
      </c>
      <c r="Y9238" s="21" t="n">
        <v>0</v>
      </c>
      <c r="Z9238" s="19" t="n"/>
    </row>
    <row r="9239">
      <c r="D9239" s="21" t="n">
        <v>0</v>
      </c>
      <c r="E9239" s="21" t="n">
        <v>0</v>
      </c>
      <c r="F9239" s="21">
        <f>$B$8764</f>
        <v/>
      </c>
      <c r="G9239" s="21">
        <f>$B$8766</f>
        <v/>
      </c>
      <c r="H9239" s="21">
        <f>0</f>
        <v/>
      </c>
      <c r="I9239" s="21">
        <f>2*$B$8765</f>
        <v/>
      </c>
      <c r="J9239" s="21">
        <f>-$B$8764</f>
        <v/>
      </c>
      <c r="K9239" s="21">
        <f>$B$8766</f>
        <v/>
      </c>
      <c r="L9239" s="21" t="n">
        <v>0</v>
      </c>
      <c r="M9239" s="21" t="n">
        <v>0</v>
      </c>
      <c r="N9239" s="21" t="n">
        <v>0</v>
      </c>
      <c r="O9239" s="21" t="n">
        <v>0</v>
      </c>
      <c r="P9239" s="21" t="n">
        <v>0</v>
      </c>
      <c r="Q9239" s="21" t="n">
        <v>0</v>
      </c>
      <c r="R9239" s="21" t="n">
        <v>0</v>
      </c>
      <c r="S9239" s="21" t="n">
        <v>0</v>
      </c>
      <c r="T9239" s="21" t="n">
        <v>0</v>
      </c>
      <c r="U9239" s="21" t="n">
        <v>0</v>
      </c>
      <c r="V9239" s="21" t="n">
        <v>0</v>
      </c>
      <c r="W9239" s="21" t="n">
        <v>0</v>
      </c>
      <c r="X9239" s="21" t="n">
        <v>0</v>
      </c>
      <c r="Y9239" s="21" t="n">
        <v>0</v>
      </c>
      <c r="Z9239" s="19" t="n"/>
    </row>
    <row r="9240">
      <c r="D9240" s="21" t="n">
        <v>0</v>
      </c>
      <c r="E9240" s="21" t="n">
        <v>0</v>
      </c>
      <c r="F9240" s="21" t="n">
        <v>0</v>
      </c>
      <c r="G9240" s="21" t="n">
        <v>0</v>
      </c>
      <c r="H9240" s="21">
        <f>-$B$8763</f>
        <v/>
      </c>
      <c r="I9240" s="21">
        <f>-$B$8764</f>
        <v/>
      </c>
      <c r="J9240" s="21">
        <f>2*$B$8763+$D$9225</f>
        <v/>
      </c>
      <c r="K9240" s="21">
        <f>0</f>
        <v/>
      </c>
      <c r="L9240" s="21">
        <f>-$B$8763</f>
        <v/>
      </c>
      <c r="M9240" s="21">
        <f>$B$8764</f>
        <v/>
      </c>
      <c r="N9240" s="21" t="n">
        <v>0</v>
      </c>
      <c r="O9240" s="21" t="n">
        <v>0</v>
      </c>
      <c r="P9240" s="21" t="n">
        <v>0</v>
      </c>
      <c r="Q9240" s="21" t="n">
        <v>0</v>
      </c>
      <c r="R9240" s="21" t="n">
        <v>0</v>
      </c>
      <c r="S9240" s="21" t="n">
        <v>0</v>
      </c>
      <c r="T9240" s="21" t="n">
        <v>0</v>
      </c>
      <c r="U9240" s="21" t="n">
        <v>0</v>
      </c>
      <c r="V9240" s="21" t="n">
        <v>0</v>
      </c>
      <c r="W9240" s="21" t="n">
        <v>0</v>
      </c>
      <c r="X9240" s="21" t="n">
        <v>0</v>
      </c>
      <c r="Y9240" s="21" t="n">
        <v>0</v>
      </c>
      <c r="Z9240" s="19" t="n"/>
    </row>
    <row r="9241">
      <c r="D9241" s="21" t="n">
        <v>0</v>
      </c>
      <c r="E9241" s="21" t="n">
        <v>0</v>
      </c>
      <c r="F9241" s="21" t="n">
        <v>0</v>
      </c>
      <c r="G9241" s="21" t="n">
        <v>0</v>
      </c>
      <c r="H9241" s="21">
        <f>$B$8764</f>
        <v/>
      </c>
      <c r="I9241" s="21">
        <f>$B$8766</f>
        <v/>
      </c>
      <c r="J9241" s="21">
        <f>0</f>
        <v/>
      </c>
      <c r="K9241" s="21">
        <f>2*$B$8765</f>
        <v/>
      </c>
      <c r="L9241" s="21">
        <f>-$B$8764</f>
        <v/>
      </c>
      <c r="M9241" s="21">
        <f>$B$8766</f>
        <v/>
      </c>
      <c r="N9241" s="21" t="n">
        <v>0</v>
      </c>
      <c r="O9241" s="21" t="n">
        <v>0</v>
      </c>
      <c r="P9241" s="21" t="n">
        <v>0</v>
      </c>
      <c r="Q9241" s="21" t="n">
        <v>0</v>
      </c>
      <c r="R9241" s="21" t="n">
        <v>0</v>
      </c>
      <c r="S9241" s="21" t="n">
        <v>0</v>
      </c>
      <c r="T9241" s="21" t="n">
        <v>0</v>
      </c>
      <c r="U9241" s="21" t="n">
        <v>0</v>
      </c>
      <c r="V9241" s="21" t="n">
        <v>0</v>
      </c>
      <c r="W9241" s="21" t="n">
        <v>0</v>
      </c>
      <c r="X9241" s="21" t="n">
        <v>0</v>
      </c>
      <c r="Y9241" s="21" t="n">
        <v>0</v>
      </c>
      <c r="Z9241" s="19" t="n"/>
    </row>
    <row r="9242">
      <c r="D9242" s="21" t="n">
        <v>0</v>
      </c>
      <c r="E9242" s="21" t="n">
        <v>0</v>
      </c>
      <c r="F9242" s="21" t="n">
        <v>0</v>
      </c>
      <c r="G9242" s="21" t="n">
        <v>0</v>
      </c>
      <c r="H9242" s="21" t="n">
        <v>0</v>
      </c>
      <c r="I9242" s="21" t="n">
        <v>0</v>
      </c>
      <c r="J9242" s="21">
        <f>-$B$8763</f>
        <v/>
      </c>
      <c r="K9242" s="21">
        <f>-$B$8764</f>
        <v/>
      </c>
      <c r="L9242" s="21">
        <f>2*$B$8763+$D$9226</f>
        <v/>
      </c>
      <c r="M9242" s="21">
        <f>0</f>
        <v/>
      </c>
      <c r="N9242" s="21">
        <f>-$B$8763</f>
        <v/>
      </c>
      <c r="O9242" s="21">
        <f>$B$8764</f>
        <v/>
      </c>
      <c r="P9242" s="21" t="n">
        <v>0</v>
      </c>
      <c r="Q9242" s="21" t="n">
        <v>0</v>
      </c>
      <c r="R9242" s="21" t="n">
        <v>0</v>
      </c>
      <c r="S9242" s="21" t="n">
        <v>0</v>
      </c>
      <c r="T9242" s="21" t="n">
        <v>0</v>
      </c>
      <c r="U9242" s="21" t="n">
        <v>0</v>
      </c>
      <c r="V9242" s="21" t="n">
        <v>0</v>
      </c>
      <c r="W9242" s="21" t="n">
        <v>0</v>
      </c>
      <c r="X9242" s="21" t="n">
        <v>0</v>
      </c>
      <c r="Y9242" s="21" t="n">
        <v>0</v>
      </c>
      <c r="Z9242" s="19" t="n"/>
    </row>
    <row r="9243">
      <c r="D9243" s="21" t="n">
        <v>0</v>
      </c>
      <c r="E9243" s="21" t="n">
        <v>0</v>
      </c>
      <c r="F9243" s="21" t="n">
        <v>0</v>
      </c>
      <c r="G9243" s="21" t="n">
        <v>0</v>
      </c>
      <c r="H9243" s="21" t="n">
        <v>0</v>
      </c>
      <c r="I9243" s="21" t="n">
        <v>0</v>
      </c>
      <c r="J9243" s="21">
        <f>$B$8764</f>
        <v/>
      </c>
      <c r="K9243" s="21">
        <f>$B$8766</f>
        <v/>
      </c>
      <c r="L9243" s="21">
        <f>0</f>
        <v/>
      </c>
      <c r="M9243" s="21">
        <f>2*$B$8765</f>
        <v/>
      </c>
      <c r="N9243" s="21">
        <f>-$B$8764</f>
        <v/>
      </c>
      <c r="O9243" s="21">
        <f>$B$8766</f>
        <v/>
      </c>
      <c r="P9243" s="21" t="n">
        <v>0</v>
      </c>
      <c r="Q9243" s="21" t="n">
        <v>0</v>
      </c>
      <c r="R9243" s="21" t="n">
        <v>0</v>
      </c>
      <c r="S9243" s="21" t="n">
        <v>0</v>
      </c>
      <c r="T9243" s="21" t="n">
        <v>0</v>
      </c>
      <c r="U9243" s="21" t="n">
        <v>0</v>
      </c>
      <c r="V9243" s="21" t="n">
        <v>0</v>
      </c>
      <c r="W9243" s="21" t="n">
        <v>0</v>
      </c>
      <c r="X9243" s="21" t="n">
        <v>0</v>
      </c>
      <c r="Y9243" s="21" t="n">
        <v>0</v>
      </c>
      <c r="Z9243" s="19" t="n"/>
    </row>
    <row r="9244">
      <c r="D9244" s="21" t="n">
        <v>0</v>
      </c>
      <c r="E9244" s="21" t="n">
        <v>0</v>
      </c>
      <c r="F9244" s="21" t="n">
        <v>0</v>
      </c>
      <c r="G9244" s="21" t="n">
        <v>0</v>
      </c>
      <c r="H9244" s="21" t="n">
        <v>0</v>
      </c>
      <c r="I9244" s="21" t="n">
        <v>0</v>
      </c>
      <c r="J9244" s="21" t="n">
        <v>0</v>
      </c>
      <c r="K9244" s="21" t="n">
        <v>0</v>
      </c>
      <c r="L9244" s="21">
        <f>-$B$8763</f>
        <v/>
      </c>
      <c r="M9244" s="21">
        <f>-$B$8764</f>
        <v/>
      </c>
      <c r="N9244" s="21">
        <f>2*$B$8763+$D$9227</f>
        <v/>
      </c>
      <c r="O9244" s="21">
        <f>0</f>
        <v/>
      </c>
      <c r="P9244" s="21">
        <f>-$B$8763</f>
        <v/>
      </c>
      <c r="Q9244" s="21">
        <f>$B$8764</f>
        <v/>
      </c>
      <c r="R9244" s="21" t="n">
        <v>0</v>
      </c>
      <c r="S9244" s="21" t="n">
        <v>0</v>
      </c>
      <c r="T9244" s="21" t="n">
        <v>0</v>
      </c>
      <c r="U9244" s="21" t="n">
        <v>0</v>
      </c>
      <c r="V9244" s="21" t="n">
        <v>0</v>
      </c>
      <c r="W9244" s="21" t="n">
        <v>0</v>
      </c>
      <c r="X9244" s="21" t="n">
        <v>0</v>
      </c>
      <c r="Y9244" s="21" t="n">
        <v>0</v>
      </c>
      <c r="Z9244" s="19" t="n"/>
    </row>
    <row r="9245">
      <c r="D9245" s="21" t="n">
        <v>0</v>
      </c>
      <c r="E9245" s="21" t="n">
        <v>0</v>
      </c>
      <c r="F9245" s="21" t="n">
        <v>0</v>
      </c>
      <c r="G9245" s="21" t="n">
        <v>0</v>
      </c>
      <c r="H9245" s="21" t="n">
        <v>0</v>
      </c>
      <c r="I9245" s="21" t="n">
        <v>0</v>
      </c>
      <c r="J9245" s="21" t="n">
        <v>0</v>
      </c>
      <c r="K9245" s="21" t="n">
        <v>0</v>
      </c>
      <c r="L9245" s="21">
        <f>$B$8764</f>
        <v/>
      </c>
      <c r="M9245" s="21">
        <f>$B$8766</f>
        <v/>
      </c>
      <c r="N9245" s="21">
        <f>0</f>
        <v/>
      </c>
      <c r="O9245" s="21">
        <f>2*$B$8765</f>
        <v/>
      </c>
      <c r="P9245" s="21">
        <f>-$B$8764</f>
        <v/>
      </c>
      <c r="Q9245" s="21">
        <f>$B$8766</f>
        <v/>
      </c>
      <c r="R9245" s="21" t="n">
        <v>0</v>
      </c>
      <c r="S9245" s="21" t="n">
        <v>0</v>
      </c>
      <c r="T9245" s="21" t="n">
        <v>0</v>
      </c>
      <c r="U9245" s="21" t="n">
        <v>0</v>
      </c>
      <c r="V9245" s="21" t="n">
        <v>0</v>
      </c>
      <c r="W9245" s="21" t="n">
        <v>0</v>
      </c>
      <c r="X9245" s="21" t="n">
        <v>0</v>
      </c>
      <c r="Y9245" s="21" t="n">
        <v>0</v>
      </c>
      <c r="Z9245" s="19" t="n"/>
    </row>
    <row r="9246">
      <c r="D9246" s="21" t="n">
        <v>0</v>
      </c>
      <c r="E9246" s="21" t="n">
        <v>0</v>
      </c>
      <c r="F9246" s="21" t="n">
        <v>0</v>
      </c>
      <c r="G9246" s="21" t="n">
        <v>0</v>
      </c>
      <c r="H9246" s="21" t="n">
        <v>0</v>
      </c>
      <c r="I9246" s="21" t="n">
        <v>0</v>
      </c>
      <c r="J9246" s="21" t="n">
        <v>0</v>
      </c>
      <c r="K9246" s="21" t="n">
        <v>0</v>
      </c>
      <c r="L9246" s="21" t="n">
        <v>0</v>
      </c>
      <c r="M9246" s="21" t="n">
        <v>0</v>
      </c>
      <c r="N9246" s="21">
        <f>-$B$8763</f>
        <v/>
      </c>
      <c r="O9246" s="21">
        <f>-$B$8764</f>
        <v/>
      </c>
      <c r="P9246" s="21">
        <f>2*$B$8763+$D$9228</f>
        <v/>
      </c>
      <c r="Q9246" s="21">
        <f>0</f>
        <v/>
      </c>
      <c r="R9246" s="21">
        <f>-$B$8763</f>
        <v/>
      </c>
      <c r="S9246" s="21">
        <f>$B$8764</f>
        <v/>
      </c>
      <c r="T9246" s="21" t="n">
        <v>0</v>
      </c>
      <c r="U9246" s="21" t="n">
        <v>0</v>
      </c>
      <c r="V9246" s="21" t="n">
        <v>0</v>
      </c>
      <c r="W9246" s="21" t="n">
        <v>0</v>
      </c>
      <c r="X9246" s="21" t="n">
        <v>0</v>
      </c>
      <c r="Y9246" s="21" t="n">
        <v>0</v>
      </c>
      <c r="Z9246" s="19" t="n"/>
    </row>
    <row r="9247">
      <c r="D9247" s="21" t="n">
        <v>0</v>
      </c>
      <c r="E9247" s="21" t="n">
        <v>0</v>
      </c>
      <c r="F9247" s="21" t="n">
        <v>0</v>
      </c>
      <c r="G9247" s="21" t="n">
        <v>0</v>
      </c>
      <c r="H9247" s="21" t="n">
        <v>0</v>
      </c>
      <c r="I9247" s="21" t="n">
        <v>0</v>
      </c>
      <c r="J9247" s="21" t="n">
        <v>0</v>
      </c>
      <c r="K9247" s="21" t="n">
        <v>0</v>
      </c>
      <c r="L9247" s="21" t="n">
        <v>0</v>
      </c>
      <c r="M9247" s="21" t="n">
        <v>0</v>
      </c>
      <c r="N9247" s="21">
        <f>$B$8764</f>
        <v/>
      </c>
      <c r="O9247" s="21">
        <f>$B$8766</f>
        <v/>
      </c>
      <c r="P9247" s="21">
        <f>0</f>
        <v/>
      </c>
      <c r="Q9247" s="21">
        <f>2*$B$8765</f>
        <v/>
      </c>
      <c r="R9247" s="21">
        <f>-$B$8764</f>
        <v/>
      </c>
      <c r="S9247" s="21">
        <f>$B$8766</f>
        <v/>
      </c>
      <c r="T9247" s="21" t="n">
        <v>0</v>
      </c>
      <c r="U9247" s="21" t="n">
        <v>0</v>
      </c>
      <c r="V9247" s="21" t="n">
        <v>0</v>
      </c>
      <c r="W9247" s="21" t="n">
        <v>0</v>
      </c>
      <c r="X9247" s="21" t="n">
        <v>0</v>
      </c>
      <c r="Y9247" s="21" t="n">
        <v>0</v>
      </c>
      <c r="Z9247" s="19" t="n"/>
    </row>
    <row r="9248">
      <c r="D9248" s="21" t="n">
        <v>0</v>
      </c>
      <c r="E9248" s="21" t="n">
        <v>0</v>
      </c>
      <c r="F9248" s="21" t="n">
        <v>0</v>
      </c>
      <c r="G9248" s="21" t="n">
        <v>0</v>
      </c>
      <c r="H9248" s="21" t="n">
        <v>0</v>
      </c>
      <c r="I9248" s="21" t="n">
        <v>0</v>
      </c>
      <c r="J9248" s="21" t="n">
        <v>0</v>
      </c>
      <c r="K9248" s="21" t="n">
        <v>0</v>
      </c>
      <c r="L9248" s="21" t="n">
        <v>0</v>
      </c>
      <c r="M9248" s="21" t="n">
        <v>0</v>
      </c>
      <c r="N9248" s="21" t="n">
        <v>0</v>
      </c>
      <c r="O9248" s="21" t="n">
        <v>0</v>
      </c>
      <c r="P9248" s="21">
        <f>-$B$8763</f>
        <v/>
      </c>
      <c r="Q9248" s="21">
        <f>-$B$8764</f>
        <v/>
      </c>
      <c r="R9248" s="21">
        <f>2*$B$8763+$D$9229</f>
        <v/>
      </c>
      <c r="S9248" s="21">
        <f>0</f>
        <v/>
      </c>
      <c r="T9248" s="21">
        <f>-$B$8763</f>
        <v/>
      </c>
      <c r="U9248" s="21">
        <f>$B$8764</f>
        <v/>
      </c>
      <c r="V9248" s="21" t="n">
        <v>0</v>
      </c>
      <c r="W9248" s="21" t="n">
        <v>0</v>
      </c>
      <c r="X9248" s="21" t="n">
        <v>0</v>
      </c>
      <c r="Y9248" s="21" t="n">
        <v>0</v>
      </c>
      <c r="Z9248" s="19" t="n"/>
    </row>
    <row r="9249">
      <c r="D9249" s="21" t="n">
        <v>0</v>
      </c>
      <c r="E9249" s="21" t="n">
        <v>0</v>
      </c>
      <c r="F9249" s="21" t="n">
        <v>0</v>
      </c>
      <c r="G9249" s="21" t="n">
        <v>0</v>
      </c>
      <c r="H9249" s="21" t="n">
        <v>0</v>
      </c>
      <c r="I9249" s="21" t="n">
        <v>0</v>
      </c>
      <c r="J9249" s="21" t="n">
        <v>0</v>
      </c>
      <c r="K9249" s="21" t="n">
        <v>0</v>
      </c>
      <c r="L9249" s="21" t="n">
        <v>0</v>
      </c>
      <c r="M9249" s="21" t="n">
        <v>0</v>
      </c>
      <c r="N9249" s="21" t="n">
        <v>0</v>
      </c>
      <c r="O9249" s="21" t="n">
        <v>0</v>
      </c>
      <c r="P9249" s="21">
        <f>$B$8764</f>
        <v/>
      </c>
      <c r="Q9249" s="21">
        <f>$B$8766</f>
        <v/>
      </c>
      <c r="R9249" s="21">
        <f>0</f>
        <v/>
      </c>
      <c r="S9249" s="21">
        <f>2*$B$8765</f>
        <v/>
      </c>
      <c r="T9249" s="21">
        <f>-$B$8764</f>
        <v/>
      </c>
      <c r="U9249" s="21">
        <f>$B$8766</f>
        <v/>
      </c>
      <c r="V9249" s="21" t="n">
        <v>0</v>
      </c>
      <c r="W9249" s="21" t="n">
        <v>0</v>
      </c>
      <c r="X9249" s="21" t="n">
        <v>0</v>
      </c>
      <c r="Y9249" s="21" t="n">
        <v>0</v>
      </c>
      <c r="Z9249" s="19" t="n"/>
    </row>
    <row r="9250">
      <c r="D9250" s="21" t="n">
        <v>0</v>
      </c>
      <c r="E9250" s="21" t="n">
        <v>0</v>
      </c>
      <c r="F9250" s="21" t="n">
        <v>0</v>
      </c>
      <c r="G9250" s="21" t="n">
        <v>0</v>
      </c>
      <c r="H9250" s="21" t="n">
        <v>0</v>
      </c>
      <c r="I9250" s="21" t="n">
        <v>0</v>
      </c>
      <c r="J9250" s="21" t="n">
        <v>0</v>
      </c>
      <c r="K9250" s="21" t="n">
        <v>0</v>
      </c>
      <c r="L9250" s="21" t="n">
        <v>0</v>
      </c>
      <c r="M9250" s="21" t="n">
        <v>0</v>
      </c>
      <c r="N9250" s="21" t="n">
        <v>0</v>
      </c>
      <c r="O9250" s="21" t="n">
        <v>0</v>
      </c>
      <c r="P9250" s="21" t="n">
        <v>0</v>
      </c>
      <c r="Q9250" s="21" t="n">
        <v>0</v>
      </c>
      <c r="R9250" s="21">
        <f>-$B$8763</f>
        <v/>
      </c>
      <c r="S9250" s="21">
        <f>-$B$8764</f>
        <v/>
      </c>
      <c r="T9250" s="21">
        <f>2*$B$8763+$D$9230</f>
        <v/>
      </c>
      <c r="U9250" s="21">
        <f>0</f>
        <v/>
      </c>
      <c r="V9250" s="21">
        <f>-$B$8763</f>
        <v/>
      </c>
      <c r="W9250" s="21">
        <f>$B$8764</f>
        <v/>
      </c>
      <c r="X9250" s="21" t="n">
        <v>0</v>
      </c>
      <c r="Y9250" s="21" t="n">
        <v>0</v>
      </c>
      <c r="Z9250" s="19" t="n"/>
    </row>
    <row r="9251">
      <c r="D9251" s="21" t="n">
        <v>0</v>
      </c>
      <c r="E9251" s="21" t="n">
        <v>0</v>
      </c>
      <c r="F9251" s="21" t="n">
        <v>0</v>
      </c>
      <c r="G9251" s="21" t="n">
        <v>0</v>
      </c>
      <c r="H9251" s="21" t="n">
        <v>0</v>
      </c>
      <c r="I9251" s="21" t="n">
        <v>0</v>
      </c>
      <c r="J9251" s="21" t="n">
        <v>0</v>
      </c>
      <c r="K9251" s="21" t="n">
        <v>0</v>
      </c>
      <c r="L9251" s="21" t="n">
        <v>0</v>
      </c>
      <c r="M9251" s="21" t="n">
        <v>0</v>
      </c>
      <c r="N9251" s="21" t="n">
        <v>0</v>
      </c>
      <c r="O9251" s="21" t="n">
        <v>0</v>
      </c>
      <c r="P9251" s="21" t="n">
        <v>0</v>
      </c>
      <c r="Q9251" s="21" t="n">
        <v>0</v>
      </c>
      <c r="R9251" s="21">
        <f>$B$8764</f>
        <v/>
      </c>
      <c r="S9251" s="21">
        <f>$B$8766</f>
        <v/>
      </c>
      <c r="T9251" s="21">
        <f>0</f>
        <v/>
      </c>
      <c r="U9251" s="21">
        <f>2*$B$8765</f>
        <v/>
      </c>
      <c r="V9251" s="21">
        <f>-$B$8764</f>
        <v/>
      </c>
      <c r="W9251" s="21">
        <f>$B$8766</f>
        <v/>
      </c>
      <c r="X9251" s="21" t="n">
        <v>0</v>
      </c>
      <c r="Y9251" s="21" t="n">
        <v>0</v>
      </c>
      <c r="Z9251" s="19" t="n"/>
    </row>
    <row r="9252">
      <c r="D9252" s="21" t="n">
        <v>0</v>
      </c>
      <c r="E9252" s="21" t="n">
        <v>0</v>
      </c>
      <c r="F9252" s="21" t="n">
        <v>0</v>
      </c>
      <c r="G9252" s="21" t="n">
        <v>0</v>
      </c>
      <c r="H9252" s="21" t="n">
        <v>0</v>
      </c>
      <c r="I9252" s="21" t="n">
        <v>0</v>
      </c>
      <c r="J9252" s="21" t="n">
        <v>0</v>
      </c>
      <c r="K9252" s="21" t="n">
        <v>0</v>
      </c>
      <c r="L9252" s="21" t="n">
        <v>0</v>
      </c>
      <c r="M9252" s="21" t="n">
        <v>0</v>
      </c>
      <c r="N9252" s="21" t="n">
        <v>0</v>
      </c>
      <c r="O9252" s="21" t="n">
        <v>0</v>
      </c>
      <c r="P9252" s="21" t="n">
        <v>0</v>
      </c>
      <c r="Q9252" s="21" t="n">
        <v>0</v>
      </c>
      <c r="R9252" s="21" t="n">
        <v>0</v>
      </c>
      <c r="S9252" s="21" t="n">
        <v>0</v>
      </c>
      <c r="T9252" s="21">
        <f>-$B$8763</f>
        <v/>
      </c>
      <c r="U9252" s="21">
        <f>-$B$8764</f>
        <v/>
      </c>
      <c r="V9252" s="21">
        <f>2*$B$8763+$D$9231</f>
        <v/>
      </c>
      <c r="W9252" s="21">
        <f>0</f>
        <v/>
      </c>
      <c r="X9252" s="21">
        <f>-$B$8763</f>
        <v/>
      </c>
      <c r="Y9252" s="21">
        <f>$B$8764</f>
        <v/>
      </c>
      <c r="Z9252" s="19" t="n"/>
    </row>
    <row r="9253">
      <c r="D9253" s="21" t="n">
        <v>0</v>
      </c>
      <c r="E9253" s="21" t="n">
        <v>0</v>
      </c>
      <c r="F9253" s="21" t="n">
        <v>0</v>
      </c>
      <c r="G9253" s="21" t="n">
        <v>0</v>
      </c>
      <c r="H9253" s="21" t="n">
        <v>0</v>
      </c>
      <c r="I9253" s="21" t="n">
        <v>0</v>
      </c>
      <c r="J9253" s="21" t="n">
        <v>0</v>
      </c>
      <c r="K9253" s="21" t="n">
        <v>0</v>
      </c>
      <c r="L9253" s="21" t="n">
        <v>0</v>
      </c>
      <c r="M9253" s="21" t="n">
        <v>0</v>
      </c>
      <c r="N9253" s="21" t="n">
        <v>0</v>
      </c>
      <c r="O9253" s="21" t="n">
        <v>0</v>
      </c>
      <c r="P9253" s="21" t="n">
        <v>0</v>
      </c>
      <c r="Q9253" s="21" t="n">
        <v>0</v>
      </c>
      <c r="R9253" s="21" t="n">
        <v>0</v>
      </c>
      <c r="S9253" s="21" t="n">
        <v>0</v>
      </c>
      <c r="T9253" s="21">
        <f>$B$8764</f>
        <v/>
      </c>
      <c r="U9253" s="21">
        <f>$B$8766</f>
        <v/>
      </c>
      <c r="V9253" s="21">
        <f>0</f>
        <v/>
      </c>
      <c r="W9253" s="21">
        <f>2*$B$8765</f>
        <v/>
      </c>
      <c r="X9253" s="21">
        <f>-$B$8764</f>
        <v/>
      </c>
      <c r="Y9253" s="21">
        <f>$B$8766</f>
        <v/>
      </c>
      <c r="Z9253" s="19" t="n"/>
    </row>
    <row r="9254">
      <c r="D9254" s="21" t="n">
        <v>0</v>
      </c>
      <c r="E9254" s="21" t="n">
        <v>0</v>
      </c>
      <c r="F9254" s="21" t="n">
        <v>0</v>
      </c>
      <c r="G9254" s="21" t="n">
        <v>0</v>
      </c>
      <c r="H9254" s="21" t="n">
        <v>0</v>
      </c>
      <c r="I9254" s="21" t="n">
        <v>0</v>
      </c>
      <c r="J9254" s="21" t="n">
        <v>0</v>
      </c>
      <c r="K9254" s="21" t="n">
        <v>0</v>
      </c>
      <c r="L9254" s="21" t="n">
        <v>0</v>
      </c>
      <c r="M9254" s="21" t="n">
        <v>0</v>
      </c>
      <c r="N9254" s="21" t="n">
        <v>0</v>
      </c>
      <c r="O9254" s="21" t="n">
        <v>0</v>
      </c>
      <c r="P9254" s="21" t="n">
        <v>0</v>
      </c>
      <c r="Q9254" s="21" t="n">
        <v>0</v>
      </c>
      <c r="R9254" s="21" t="n">
        <v>0</v>
      </c>
      <c r="S9254" s="21" t="n">
        <v>0</v>
      </c>
      <c r="T9254" s="21" t="n">
        <v>0</v>
      </c>
      <c r="U9254" s="21" t="n">
        <v>0</v>
      </c>
      <c r="V9254" s="21">
        <f>-$B$8763</f>
        <v/>
      </c>
      <c r="W9254" s="21">
        <f>-$B$8764</f>
        <v/>
      </c>
      <c r="X9254" s="21">
        <f>$B$8763+$D$9232</f>
        <v/>
      </c>
      <c r="Y9254" s="21">
        <f>-$B$8764</f>
        <v/>
      </c>
      <c r="Z9254" s="19" t="n"/>
    </row>
    <row r="9255">
      <c r="D9255" s="21" t="n">
        <v>0</v>
      </c>
      <c r="E9255" s="21" t="n">
        <v>0</v>
      </c>
      <c r="F9255" s="21" t="n">
        <v>0</v>
      </c>
      <c r="G9255" s="21" t="n">
        <v>0</v>
      </c>
      <c r="H9255" s="21" t="n">
        <v>0</v>
      </c>
      <c r="I9255" s="21" t="n">
        <v>0</v>
      </c>
      <c r="J9255" s="21" t="n">
        <v>0</v>
      </c>
      <c r="K9255" s="21" t="n">
        <v>0</v>
      </c>
      <c r="L9255" s="21" t="n">
        <v>0</v>
      </c>
      <c r="M9255" s="21" t="n">
        <v>0</v>
      </c>
      <c r="N9255" s="21" t="n">
        <v>0</v>
      </c>
      <c r="O9255" s="21" t="n">
        <v>0</v>
      </c>
      <c r="P9255" s="21" t="n">
        <v>0</v>
      </c>
      <c r="Q9255" s="21" t="n">
        <v>0</v>
      </c>
      <c r="R9255" s="21" t="n">
        <v>0</v>
      </c>
      <c r="S9255" s="21" t="n">
        <v>0</v>
      </c>
      <c r="T9255" s="21" t="n">
        <v>0</v>
      </c>
      <c r="U9255" s="21" t="n">
        <v>0</v>
      </c>
      <c r="V9255" s="21">
        <f>$B$8764</f>
        <v/>
      </c>
      <c r="W9255" s="21">
        <f>$B$8766</f>
        <v/>
      </c>
      <c r="X9255" s="21">
        <f>-$B$8764</f>
        <v/>
      </c>
      <c r="Y9255" s="21">
        <f>$B$8765</f>
        <v/>
      </c>
      <c r="Z9255" s="19" t="n"/>
    </row>
    <row r="9257">
      <c r="A9257" s="8" t="inlineStr">
        <is>
          <t>gen 13</t>
        </is>
      </c>
    </row>
    <row r="9258">
      <c r="D9258" s="19">
        <f>IF(ABS(IF(ABS($E$9222)&gt;0.000000001,$E$9222,0.000000001))=0,0,IF($E$8778&lt;=$B$8772,0,IF(ABS(IF(ABS($E$9222)&gt;0.000000001,$E$9222,0.000000001))&gt;=8*$B$8774,$H$8778,0.5*$H$8778*(ABS(IF(ABS($E$9222)&gt;0.000000001,$E$9222,0.000000001))/$B$8774)^(1/3)))/ABS(IF(ABS($E$9222)&gt;0.000000001,$E$9222,0.000000001))*$I$8778)</f>
        <v/>
      </c>
      <c r="E9258" s="19">
        <f>0.5*$E$9222+0.5*$Z$9270</f>
        <v/>
      </c>
      <c r="F9258" s="19">
        <f>$Z$9271</f>
        <v/>
      </c>
    </row>
    <row r="9259">
      <c r="D9259" s="19">
        <f>IF(ABS(IF(ABS($E$9223)&gt;0.000000001,$E$9223,0.000000001))=0,0,IF($E$8779&lt;=$B$8772,0,IF(ABS(IF(ABS($E$9223)&gt;0.000000001,$E$9223,0.000000001))&gt;=8*$B$8774,$H$8779,0.5*$H$8779*(ABS(IF(ABS($E$9223)&gt;0.000000001,$E$9223,0.000000001))/$B$8774)^(1/3)))/ABS(IF(ABS($E$9223)&gt;0.000000001,$E$9223,0.000000001))*$I$8779)</f>
        <v/>
      </c>
      <c r="E9259" s="19">
        <f>0.5*$E$9223+0.5*$Z$9272</f>
        <v/>
      </c>
      <c r="F9259" s="19">
        <f>$Z$9273</f>
        <v/>
      </c>
    </row>
    <row r="9260">
      <c r="D9260" s="19">
        <f>IF(ABS(IF(ABS($E$9224)&gt;0.000000001,$E$9224,0.000000001))=0,0,IF($E$8780&lt;=$B$8772,0,IF(ABS(IF(ABS($E$9224)&gt;0.000000001,$E$9224,0.000000001))&gt;=8*$B$8774,$H$8780,0.5*$H$8780*(ABS(IF(ABS($E$9224)&gt;0.000000001,$E$9224,0.000000001))/$B$8774)^(1/3)))/ABS(IF(ABS($E$9224)&gt;0.000000001,$E$9224,0.000000001))*$I$8780)</f>
        <v/>
      </c>
      <c r="E9260" s="19">
        <f>0.5*$E$9224+0.5*$Z$9274</f>
        <v/>
      </c>
      <c r="F9260" s="19">
        <f>$Z$9275</f>
        <v/>
      </c>
    </row>
    <row r="9261">
      <c r="D9261" s="19">
        <f>IF(ABS(IF(ABS($E$9225)&gt;0.000000001,$E$9225,0.000000001))=0,0,IF($E$8781&lt;=$B$8772,0,IF(ABS(IF(ABS($E$9225)&gt;0.000000001,$E$9225,0.000000001))&gt;=8*$B$8774,$H$8781,0.5*$H$8781*(ABS(IF(ABS($E$9225)&gt;0.000000001,$E$9225,0.000000001))/$B$8774)^(1/3)))/ABS(IF(ABS($E$9225)&gt;0.000000001,$E$9225,0.000000001))*$I$8781)</f>
        <v/>
      </c>
      <c r="E9261" s="19">
        <f>0.5*$E$9225+0.5*$Z$9276</f>
        <v/>
      </c>
      <c r="F9261" s="19">
        <f>$Z$9277</f>
        <v/>
      </c>
    </row>
    <row r="9262">
      <c r="D9262" s="19">
        <f>IF(ABS(IF(ABS($E$9226)&gt;0.000000001,$E$9226,0.000000001))=0,0,IF($E$8782&lt;=$B$8772,0,IF(ABS(IF(ABS($E$9226)&gt;0.000000001,$E$9226,0.000000001))&gt;=8*$B$8774,$H$8782,0.5*$H$8782*(ABS(IF(ABS($E$9226)&gt;0.000000001,$E$9226,0.000000001))/$B$8774)^(1/3)))/ABS(IF(ABS($E$9226)&gt;0.000000001,$E$9226,0.000000001))*$I$8782)</f>
        <v/>
      </c>
      <c r="E9262" s="19">
        <f>0.5*$E$9226+0.5*$Z$9278</f>
        <v/>
      </c>
      <c r="F9262" s="19">
        <f>$Z$9279</f>
        <v/>
      </c>
    </row>
    <row r="9263">
      <c r="D9263" s="19">
        <f>IF(ABS(IF(ABS($E$9227)&gt;0.000000001,$E$9227,0.000000001))=0,0,IF($E$8783&lt;=$B$8772,0,IF(ABS(IF(ABS($E$9227)&gt;0.000000001,$E$9227,0.000000001))&gt;=8*$B$8774,$H$8783,0.5*$H$8783*(ABS(IF(ABS($E$9227)&gt;0.000000001,$E$9227,0.000000001))/$B$8774)^(1/3)))/ABS(IF(ABS($E$9227)&gt;0.000000001,$E$9227,0.000000001))*$I$8783)</f>
        <v/>
      </c>
      <c r="E9263" s="19">
        <f>0.5*$E$9227+0.5*$Z$9280</f>
        <v/>
      </c>
      <c r="F9263" s="19">
        <f>$Z$9281</f>
        <v/>
      </c>
    </row>
    <row r="9264">
      <c r="D9264" s="19">
        <f>IF(ABS(IF(ABS($E$9228)&gt;0.000000001,$E$9228,0.000000001))=0,0,IF($E$8784&lt;=$B$8772,0,IF(ABS(IF(ABS($E$9228)&gt;0.000000001,$E$9228,0.000000001))&gt;=8*$B$8774,$H$8784,0.5*$H$8784*(ABS(IF(ABS($E$9228)&gt;0.000000001,$E$9228,0.000000001))/$B$8774)^(1/3)))/ABS(IF(ABS($E$9228)&gt;0.000000001,$E$9228,0.000000001))*$I$8784)</f>
        <v/>
      </c>
      <c r="E9264" s="19">
        <f>0.5*$E$9228+0.5*$Z$9282</f>
        <v/>
      </c>
      <c r="F9264" s="19">
        <f>$Z$9283</f>
        <v/>
      </c>
    </row>
    <row r="9265">
      <c r="D9265" s="19">
        <f>IF(ABS(IF(ABS($E$9229)&gt;0.000000001,$E$9229,0.000000001))=0,0,IF($E$8785&lt;=$B$8772,0,IF(ABS(IF(ABS($E$9229)&gt;0.000000001,$E$9229,0.000000001))&gt;=8*$B$8774,$H$8785,0.5*$H$8785*(ABS(IF(ABS($E$9229)&gt;0.000000001,$E$9229,0.000000001))/$B$8774)^(1/3)))/ABS(IF(ABS($E$9229)&gt;0.000000001,$E$9229,0.000000001))*$I$8785)</f>
        <v/>
      </c>
      <c r="E9265" s="19">
        <f>0.5*$E$9229+0.5*$Z$9284</f>
        <v/>
      </c>
      <c r="F9265" s="19">
        <f>$Z$9285</f>
        <v/>
      </c>
    </row>
    <row r="9266">
      <c r="D9266" s="19">
        <f>IF(ABS(IF(ABS($E$9230)&gt;0.000000001,$E$9230,0.000000001))=0,0,IF($E$8786&lt;=$B$8772,0,IF(ABS(IF(ABS($E$9230)&gt;0.000000001,$E$9230,0.000000001))&gt;=8*$B$8774,$H$8786,0.5*$H$8786*(ABS(IF(ABS($E$9230)&gt;0.000000001,$E$9230,0.000000001))/$B$8774)^(1/3)))/ABS(IF(ABS($E$9230)&gt;0.000000001,$E$9230,0.000000001))*$I$8786)</f>
        <v/>
      </c>
      <c r="E9266" s="19">
        <f>0.5*$E$9230+0.5*$Z$9286</f>
        <v/>
      </c>
      <c r="F9266" s="19">
        <f>$Z$9287</f>
        <v/>
      </c>
    </row>
    <row r="9267">
      <c r="D9267" s="19">
        <f>IF(ABS(IF(ABS($E$9231)&gt;0.000000001,$E$9231,0.000000001))=0,0,IF($E$8787&lt;=$B$8772,0,IF(ABS(IF(ABS($E$9231)&gt;0.000000001,$E$9231,0.000000001))&gt;=8*$B$8774,$H$8787,0.5*$H$8787*(ABS(IF(ABS($E$9231)&gt;0.000000001,$E$9231,0.000000001))/$B$8774)^(1/3)))/ABS(IF(ABS($E$9231)&gt;0.000000001,$E$9231,0.000000001))*$I$8787)</f>
        <v/>
      </c>
      <c r="E9267" s="19">
        <f>0.5*$E$9231+0.5*$Z$9288</f>
        <v/>
      </c>
      <c r="F9267" s="19">
        <f>$Z$9289</f>
        <v/>
      </c>
    </row>
    <row r="9268">
      <c r="D9268" s="19">
        <f>IF(ABS(IF(ABS($E$9232)&gt;0.000000001,$E$9232,0.000000001))=0,0,IF($E$8788&lt;=$B$8772,0,IF(ABS(IF(ABS($E$9232)&gt;0.000000001,$E$9232,0.000000001))&gt;=8*$B$8774,$H$8788,0.5*$H$8788*(ABS(IF(ABS($E$9232)&gt;0.000000001,$E$9232,0.000000001))/$B$8774)^(1/3)))/ABS(IF(ABS($E$9232)&gt;0.000000001,$E$9232,0.000000001))*$I$8788)</f>
        <v/>
      </c>
      <c r="E9268" s="19">
        <f>0.5*$E$9232+0.5*$Z$9290</f>
        <v/>
      </c>
      <c r="F9268" s="19">
        <f>$Z$9291</f>
        <v/>
      </c>
    </row>
    <row r="9270">
      <c r="D9270" s="21">
        <f>$B$8763+$D$9258</f>
        <v/>
      </c>
      <c r="E9270" s="21">
        <f>$B$8764</f>
        <v/>
      </c>
      <c r="F9270" s="21">
        <f>-$B$8763</f>
        <v/>
      </c>
      <c r="G9270" s="21">
        <f>$B$8764</f>
        <v/>
      </c>
      <c r="H9270" s="21" t="n">
        <v>0</v>
      </c>
      <c r="I9270" s="21" t="n">
        <v>0</v>
      </c>
      <c r="J9270" s="21" t="n">
        <v>0</v>
      </c>
      <c r="K9270" s="21" t="n">
        <v>0</v>
      </c>
      <c r="L9270" s="21" t="n">
        <v>0</v>
      </c>
      <c r="M9270" s="21" t="n">
        <v>0</v>
      </c>
      <c r="N9270" s="21" t="n">
        <v>0</v>
      </c>
      <c r="O9270" s="21" t="n">
        <v>0</v>
      </c>
      <c r="P9270" s="21" t="n">
        <v>0</v>
      </c>
      <c r="Q9270" s="21" t="n">
        <v>0</v>
      </c>
      <c r="R9270" s="21" t="n">
        <v>0</v>
      </c>
      <c r="S9270" s="21" t="n">
        <v>0</v>
      </c>
      <c r="T9270" s="21" t="n">
        <v>0</v>
      </c>
      <c r="U9270" s="21" t="n">
        <v>0</v>
      </c>
      <c r="V9270" s="21" t="n">
        <v>0</v>
      </c>
      <c r="W9270" s="21" t="n">
        <v>0</v>
      </c>
      <c r="X9270" s="21" t="n">
        <v>0</v>
      </c>
      <c r="Y9270" s="21" t="n">
        <v>0</v>
      </c>
      <c r="Z9270" s="19">
        <f t="array" ref="Z9270:Z9291">MMULT(MINVERSE($D$9270:$Y$9291),$D$8790:$D$8811)</f>
        <v/>
      </c>
    </row>
    <row r="9271">
      <c r="D9271" s="21">
        <f>$B$8764</f>
        <v/>
      </c>
      <c r="E9271" s="21">
        <f>$B$8765</f>
        <v/>
      </c>
      <c r="F9271" s="21">
        <f>-$B$8764</f>
        <v/>
      </c>
      <c r="G9271" s="21">
        <f>$B$8766</f>
        <v/>
      </c>
      <c r="H9271" s="21" t="n">
        <v>0</v>
      </c>
      <c r="I9271" s="21" t="n">
        <v>0</v>
      </c>
      <c r="J9271" s="21" t="n">
        <v>0</v>
      </c>
      <c r="K9271" s="21" t="n">
        <v>0</v>
      </c>
      <c r="L9271" s="21" t="n">
        <v>0</v>
      </c>
      <c r="M9271" s="21" t="n">
        <v>0</v>
      </c>
      <c r="N9271" s="21" t="n">
        <v>0</v>
      </c>
      <c r="O9271" s="21" t="n">
        <v>0</v>
      </c>
      <c r="P9271" s="21" t="n">
        <v>0</v>
      </c>
      <c r="Q9271" s="21" t="n">
        <v>0</v>
      </c>
      <c r="R9271" s="21" t="n">
        <v>0</v>
      </c>
      <c r="S9271" s="21" t="n">
        <v>0</v>
      </c>
      <c r="T9271" s="21" t="n">
        <v>0</v>
      </c>
      <c r="U9271" s="21" t="n">
        <v>0</v>
      </c>
      <c r="V9271" s="21" t="n">
        <v>0</v>
      </c>
      <c r="W9271" s="21" t="n">
        <v>0</v>
      </c>
      <c r="X9271" s="21" t="n">
        <v>0</v>
      </c>
      <c r="Y9271" s="21" t="n">
        <v>0</v>
      </c>
      <c r="Z9271" s="19" t="n"/>
    </row>
    <row r="9272">
      <c r="D9272" s="21">
        <f>-$B$8763</f>
        <v/>
      </c>
      <c r="E9272" s="21">
        <f>-$B$8764</f>
        <v/>
      </c>
      <c r="F9272" s="21">
        <f>2*$B$8763+$D$9259</f>
        <v/>
      </c>
      <c r="G9272" s="21">
        <f>0</f>
        <v/>
      </c>
      <c r="H9272" s="21">
        <f>-$B$8763</f>
        <v/>
      </c>
      <c r="I9272" s="21">
        <f>$B$8764</f>
        <v/>
      </c>
      <c r="J9272" s="21" t="n">
        <v>0</v>
      </c>
      <c r="K9272" s="21" t="n">
        <v>0</v>
      </c>
      <c r="L9272" s="21" t="n">
        <v>0</v>
      </c>
      <c r="M9272" s="21" t="n">
        <v>0</v>
      </c>
      <c r="N9272" s="21" t="n">
        <v>0</v>
      </c>
      <c r="O9272" s="21" t="n">
        <v>0</v>
      </c>
      <c r="P9272" s="21" t="n">
        <v>0</v>
      </c>
      <c r="Q9272" s="21" t="n">
        <v>0</v>
      </c>
      <c r="R9272" s="21" t="n">
        <v>0</v>
      </c>
      <c r="S9272" s="21" t="n">
        <v>0</v>
      </c>
      <c r="T9272" s="21" t="n">
        <v>0</v>
      </c>
      <c r="U9272" s="21" t="n">
        <v>0</v>
      </c>
      <c r="V9272" s="21" t="n">
        <v>0</v>
      </c>
      <c r="W9272" s="21" t="n">
        <v>0</v>
      </c>
      <c r="X9272" s="21" t="n">
        <v>0</v>
      </c>
      <c r="Y9272" s="21" t="n">
        <v>0</v>
      </c>
      <c r="Z9272" s="19" t="n"/>
    </row>
    <row r="9273">
      <c r="D9273" s="21">
        <f>$B$8764</f>
        <v/>
      </c>
      <c r="E9273" s="21">
        <f>$B$8766</f>
        <v/>
      </c>
      <c r="F9273" s="21">
        <f>0</f>
        <v/>
      </c>
      <c r="G9273" s="21">
        <f>2*$B$8765</f>
        <v/>
      </c>
      <c r="H9273" s="21">
        <f>-$B$8764</f>
        <v/>
      </c>
      <c r="I9273" s="21">
        <f>$B$8766</f>
        <v/>
      </c>
      <c r="J9273" s="21" t="n">
        <v>0</v>
      </c>
      <c r="K9273" s="21" t="n">
        <v>0</v>
      </c>
      <c r="L9273" s="21" t="n">
        <v>0</v>
      </c>
      <c r="M9273" s="21" t="n">
        <v>0</v>
      </c>
      <c r="N9273" s="21" t="n">
        <v>0</v>
      </c>
      <c r="O9273" s="21" t="n">
        <v>0</v>
      </c>
      <c r="P9273" s="21" t="n">
        <v>0</v>
      </c>
      <c r="Q9273" s="21" t="n">
        <v>0</v>
      </c>
      <c r="R9273" s="21" t="n">
        <v>0</v>
      </c>
      <c r="S9273" s="21" t="n">
        <v>0</v>
      </c>
      <c r="T9273" s="21" t="n">
        <v>0</v>
      </c>
      <c r="U9273" s="21" t="n">
        <v>0</v>
      </c>
      <c r="V9273" s="21" t="n">
        <v>0</v>
      </c>
      <c r="W9273" s="21" t="n">
        <v>0</v>
      </c>
      <c r="X9273" s="21" t="n">
        <v>0</v>
      </c>
      <c r="Y9273" s="21" t="n">
        <v>0</v>
      </c>
      <c r="Z9273" s="19" t="n"/>
    </row>
    <row r="9274">
      <c r="D9274" s="21" t="n">
        <v>0</v>
      </c>
      <c r="E9274" s="21" t="n">
        <v>0</v>
      </c>
      <c r="F9274" s="21">
        <f>-$B$8763</f>
        <v/>
      </c>
      <c r="G9274" s="21">
        <f>-$B$8764</f>
        <v/>
      </c>
      <c r="H9274" s="21">
        <f>2*$B$8763+$D$9260</f>
        <v/>
      </c>
      <c r="I9274" s="21">
        <f>0</f>
        <v/>
      </c>
      <c r="J9274" s="21">
        <f>-$B$8763</f>
        <v/>
      </c>
      <c r="K9274" s="21">
        <f>$B$8764</f>
        <v/>
      </c>
      <c r="L9274" s="21" t="n">
        <v>0</v>
      </c>
      <c r="M9274" s="21" t="n">
        <v>0</v>
      </c>
      <c r="N9274" s="21" t="n">
        <v>0</v>
      </c>
      <c r="O9274" s="21" t="n">
        <v>0</v>
      </c>
      <c r="P9274" s="21" t="n">
        <v>0</v>
      </c>
      <c r="Q9274" s="21" t="n">
        <v>0</v>
      </c>
      <c r="R9274" s="21" t="n">
        <v>0</v>
      </c>
      <c r="S9274" s="21" t="n">
        <v>0</v>
      </c>
      <c r="T9274" s="21" t="n">
        <v>0</v>
      </c>
      <c r="U9274" s="21" t="n">
        <v>0</v>
      </c>
      <c r="V9274" s="21" t="n">
        <v>0</v>
      </c>
      <c r="W9274" s="21" t="n">
        <v>0</v>
      </c>
      <c r="X9274" s="21" t="n">
        <v>0</v>
      </c>
      <c r="Y9274" s="21" t="n">
        <v>0</v>
      </c>
      <c r="Z9274" s="19" t="n"/>
    </row>
    <row r="9275">
      <c r="D9275" s="21" t="n">
        <v>0</v>
      </c>
      <c r="E9275" s="21" t="n">
        <v>0</v>
      </c>
      <c r="F9275" s="21">
        <f>$B$8764</f>
        <v/>
      </c>
      <c r="G9275" s="21">
        <f>$B$8766</f>
        <v/>
      </c>
      <c r="H9275" s="21">
        <f>0</f>
        <v/>
      </c>
      <c r="I9275" s="21">
        <f>2*$B$8765</f>
        <v/>
      </c>
      <c r="J9275" s="21">
        <f>-$B$8764</f>
        <v/>
      </c>
      <c r="K9275" s="21">
        <f>$B$8766</f>
        <v/>
      </c>
      <c r="L9275" s="21" t="n">
        <v>0</v>
      </c>
      <c r="M9275" s="21" t="n">
        <v>0</v>
      </c>
      <c r="N9275" s="21" t="n">
        <v>0</v>
      </c>
      <c r="O9275" s="21" t="n">
        <v>0</v>
      </c>
      <c r="P9275" s="21" t="n">
        <v>0</v>
      </c>
      <c r="Q9275" s="21" t="n">
        <v>0</v>
      </c>
      <c r="R9275" s="21" t="n">
        <v>0</v>
      </c>
      <c r="S9275" s="21" t="n">
        <v>0</v>
      </c>
      <c r="T9275" s="21" t="n">
        <v>0</v>
      </c>
      <c r="U9275" s="21" t="n">
        <v>0</v>
      </c>
      <c r="V9275" s="21" t="n">
        <v>0</v>
      </c>
      <c r="W9275" s="21" t="n">
        <v>0</v>
      </c>
      <c r="X9275" s="21" t="n">
        <v>0</v>
      </c>
      <c r="Y9275" s="21" t="n">
        <v>0</v>
      </c>
      <c r="Z9275" s="19" t="n"/>
    </row>
    <row r="9276">
      <c r="D9276" s="21" t="n">
        <v>0</v>
      </c>
      <c r="E9276" s="21" t="n">
        <v>0</v>
      </c>
      <c r="F9276" s="21" t="n">
        <v>0</v>
      </c>
      <c r="G9276" s="21" t="n">
        <v>0</v>
      </c>
      <c r="H9276" s="21">
        <f>-$B$8763</f>
        <v/>
      </c>
      <c r="I9276" s="21">
        <f>-$B$8764</f>
        <v/>
      </c>
      <c r="J9276" s="21">
        <f>2*$B$8763+$D$9261</f>
        <v/>
      </c>
      <c r="K9276" s="21">
        <f>0</f>
        <v/>
      </c>
      <c r="L9276" s="21">
        <f>-$B$8763</f>
        <v/>
      </c>
      <c r="M9276" s="21">
        <f>$B$8764</f>
        <v/>
      </c>
      <c r="N9276" s="21" t="n">
        <v>0</v>
      </c>
      <c r="O9276" s="21" t="n">
        <v>0</v>
      </c>
      <c r="P9276" s="21" t="n">
        <v>0</v>
      </c>
      <c r="Q9276" s="21" t="n">
        <v>0</v>
      </c>
      <c r="R9276" s="21" t="n">
        <v>0</v>
      </c>
      <c r="S9276" s="21" t="n">
        <v>0</v>
      </c>
      <c r="T9276" s="21" t="n">
        <v>0</v>
      </c>
      <c r="U9276" s="21" t="n">
        <v>0</v>
      </c>
      <c r="V9276" s="21" t="n">
        <v>0</v>
      </c>
      <c r="W9276" s="21" t="n">
        <v>0</v>
      </c>
      <c r="X9276" s="21" t="n">
        <v>0</v>
      </c>
      <c r="Y9276" s="21" t="n">
        <v>0</v>
      </c>
      <c r="Z9276" s="19" t="n"/>
    </row>
    <row r="9277">
      <c r="D9277" s="21" t="n">
        <v>0</v>
      </c>
      <c r="E9277" s="21" t="n">
        <v>0</v>
      </c>
      <c r="F9277" s="21" t="n">
        <v>0</v>
      </c>
      <c r="G9277" s="21" t="n">
        <v>0</v>
      </c>
      <c r="H9277" s="21">
        <f>$B$8764</f>
        <v/>
      </c>
      <c r="I9277" s="21">
        <f>$B$8766</f>
        <v/>
      </c>
      <c r="J9277" s="21">
        <f>0</f>
        <v/>
      </c>
      <c r="K9277" s="21">
        <f>2*$B$8765</f>
        <v/>
      </c>
      <c r="L9277" s="21">
        <f>-$B$8764</f>
        <v/>
      </c>
      <c r="M9277" s="21">
        <f>$B$8766</f>
        <v/>
      </c>
      <c r="N9277" s="21" t="n">
        <v>0</v>
      </c>
      <c r="O9277" s="21" t="n">
        <v>0</v>
      </c>
      <c r="P9277" s="21" t="n">
        <v>0</v>
      </c>
      <c r="Q9277" s="21" t="n">
        <v>0</v>
      </c>
      <c r="R9277" s="21" t="n">
        <v>0</v>
      </c>
      <c r="S9277" s="21" t="n">
        <v>0</v>
      </c>
      <c r="T9277" s="21" t="n">
        <v>0</v>
      </c>
      <c r="U9277" s="21" t="n">
        <v>0</v>
      </c>
      <c r="V9277" s="21" t="n">
        <v>0</v>
      </c>
      <c r="W9277" s="21" t="n">
        <v>0</v>
      </c>
      <c r="X9277" s="21" t="n">
        <v>0</v>
      </c>
      <c r="Y9277" s="21" t="n">
        <v>0</v>
      </c>
      <c r="Z9277" s="19" t="n"/>
    </row>
    <row r="9278">
      <c r="D9278" s="21" t="n">
        <v>0</v>
      </c>
      <c r="E9278" s="21" t="n">
        <v>0</v>
      </c>
      <c r="F9278" s="21" t="n">
        <v>0</v>
      </c>
      <c r="G9278" s="21" t="n">
        <v>0</v>
      </c>
      <c r="H9278" s="21" t="n">
        <v>0</v>
      </c>
      <c r="I9278" s="21" t="n">
        <v>0</v>
      </c>
      <c r="J9278" s="21">
        <f>-$B$8763</f>
        <v/>
      </c>
      <c r="K9278" s="21">
        <f>-$B$8764</f>
        <v/>
      </c>
      <c r="L9278" s="21">
        <f>2*$B$8763+$D$9262</f>
        <v/>
      </c>
      <c r="M9278" s="21">
        <f>0</f>
        <v/>
      </c>
      <c r="N9278" s="21">
        <f>-$B$8763</f>
        <v/>
      </c>
      <c r="O9278" s="21">
        <f>$B$8764</f>
        <v/>
      </c>
      <c r="P9278" s="21" t="n">
        <v>0</v>
      </c>
      <c r="Q9278" s="21" t="n">
        <v>0</v>
      </c>
      <c r="R9278" s="21" t="n">
        <v>0</v>
      </c>
      <c r="S9278" s="21" t="n">
        <v>0</v>
      </c>
      <c r="T9278" s="21" t="n">
        <v>0</v>
      </c>
      <c r="U9278" s="21" t="n">
        <v>0</v>
      </c>
      <c r="V9278" s="21" t="n">
        <v>0</v>
      </c>
      <c r="W9278" s="21" t="n">
        <v>0</v>
      </c>
      <c r="X9278" s="21" t="n">
        <v>0</v>
      </c>
      <c r="Y9278" s="21" t="n">
        <v>0</v>
      </c>
      <c r="Z9278" s="19" t="n"/>
    </row>
    <row r="9279">
      <c r="D9279" s="21" t="n">
        <v>0</v>
      </c>
      <c r="E9279" s="21" t="n">
        <v>0</v>
      </c>
      <c r="F9279" s="21" t="n">
        <v>0</v>
      </c>
      <c r="G9279" s="21" t="n">
        <v>0</v>
      </c>
      <c r="H9279" s="21" t="n">
        <v>0</v>
      </c>
      <c r="I9279" s="21" t="n">
        <v>0</v>
      </c>
      <c r="J9279" s="21">
        <f>$B$8764</f>
        <v/>
      </c>
      <c r="K9279" s="21">
        <f>$B$8766</f>
        <v/>
      </c>
      <c r="L9279" s="21">
        <f>0</f>
        <v/>
      </c>
      <c r="M9279" s="21">
        <f>2*$B$8765</f>
        <v/>
      </c>
      <c r="N9279" s="21">
        <f>-$B$8764</f>
        <v/>
      </c>
      <c r="O9279" s="21">
        <f>$B$8766</f>
        <v/>
      </c>
      <c r="P9279" s="21" t="n">
        <v>0</v>
      </c>
      <c r="Q9279" s="21" t="n">
        <v>0</v>
      </c>
      <c r="R9279" s="21" t="n">
        <v>0</v>
      </c>
      <c r="S9279" s="21" t="n">
        <v>0</v>
      </c>
      <c r="T9279" s="21" t="n">
        <v>0</v>
      </c>
      <c r="U9279" s="21" t="n">
        <v>0</v>
      </c>
      <c r="V9279" s="21" t="n">
        <v>0</v>
      </c>
      <c r="W9279" s="21" t="n">
        <v>0</v>
      </c>
      <c r="X9279" s="21" t="n">
        <v>0</v>
      </c>
      <c r="Y9279" s="21" t="n">
        <v>0</v>
      </c>
      <c r="Z9279" s="19" t="n"/>
    </row>
    <row r="9280">
      <c r="D9280" s="21" t="n">
        <v>0</v>
      </c>
      <c r="E9280" s="21" t="n">
        <v>0</v>
      </c>
      <c r="F9280" s="21" t="n">
        <v>0</v>
      </c>
      <c r="G9280" s="21" t="n">
        <v>0</v>
      </c>
      <c r="H9280" s="21" t="n">
        <v>0</v>
      </c>
      <c r="I9280" s="21" t="n">
        <v>0</v>
      </c>
      <c r="J9280" s="21" t="n">
        <v>0</v>
      </c>
      <c r="K9280" s="21" t="n">
        <v>0</v>
      </c>
      <c r="L9280" s="21">
        <f>-$B$8763</f>
        <v/>
      </c>
      <c r="M9280" s="21">
        <f>-$B$8764</f>
        <v/>
      </c>
      <c r="N9280" s="21">
        <f>2*$B$8763+$D$9263</f>
        <v/>
      </c>
      <c r="O9280" s="21">
        <f>0</f>
        <v/>
      </c>
      <c r="P9280" s="21">
        <f>-$B$8763</f>
        <v/>
      </c>
      <c r="Q9280" s="21">
        <f>$B$8764</f>
        <v/>
      </c>
      <c r="R9280" s="21" t="n">
        <v>0</v>
      </c>
      <c r="S9280" s="21" t="n">
        <v>0</v>
      </c>
      <c r="T9280" s="21" t="n">
        <v>0</v>
      </c>
      <c r="U9280" s="21" t="n">
        <v>0</v>
      </c>
      <c r="V9280" s="21" t="n">
        <v>0</v>
      </c>
      <c r="W9280" s="21" t="n">
        <v>0</v>
      </c>
      <c r="X9280" s="21" t="n">
        <v>0</v>
      </c>
      <c r="Y9280" s="21" t="n">
        <v>0</v>
      </c>
      <c r="Z9280" s="19" t="n"/>
    </row>
    <row r="9281">
      <c r="D9281" s="21" t="n">
        <v>0</v>
      </c>
      <c r="E9281" s="21" t="n">
        <v>0</v>
      </c>
      <c r="F9281" s="21" t="n">
        <v>0</v>
      </c>
      <c r="G9281" s="21" t="n">
        <v>0</v>
      </c>
      <c r="H9281" s="21" t="n">
        <v>0</v>
      </c>
      <c r="I9281" s="21" t="n">
        <v>0</v>
      </c>
      <c r="J9281" s="21" t="n">
        <v>0</v>
      </c>
      <c r="K9281" s="21" t="n">
        <v>0</v>
      </c>
      <c r="L9281" s="21">
        <f>$B$8764</f>
        <v/>
      </c>
      <c r="M9281" s="21">
        <f>$B$8766</f>
        <v/>
      </c>
      <c r="N9281" s="21">
        <f>0</f>
        <v/>
      </c>
      <c r="O9281" s="21">
        <f>2*$B$8765</f>
        <v/>
      </c>
      <c r="P9281" s="21">
        <f>-$B$8764</f>
        <v/>
      </c>
      <c r="Q9281" s="21">
        <f>$B$8766</f>
        <v/>
      </c>
      <c r="R9281" s="21" t="n">
        <v>0</v>
      </c>
      <c r="S9281" s="21" t="n">
        <v>0</v>
      </c>
      <c r="T9281" s="21" t="n">
        <v>0</v>
      </c>
      <c r="U9281" s="21" t="n">
        <v>0</v>
      </c>
      <c r="V9281" s="21" t="n">
        <v>0</v>
      </c>
      <c r="W9281" s="21" t="n">
        <v>0</v>
      </c>
      <c r="X9281" s="21" t="n">
        <v>0</v>
      </c>
      <c r="Y9281" s="21" t="n">
        <v>0</v>
      </c>
      <c r="Z9281" s="19" t="n"/>
    </row>
    <row r="9282">
      <c r="D9282" s="21" t="n">
        <v>0</v>
      </c>
      <c r="E9282" s="21" t="n">
        <v>0</v>
      </c>
      <c r="F9282" s="21" t="n">
        <v>0</v>
      </c>
      <c r="G9282" s="21" t="n">
        <v>0</v>
      </c>
      <c r="H9282" s="21" t="n">
        <v>0</v>
      </c>
      <c r="I9282" s="21" t="n">
        <v>0</v>
      </c>
      <c r="J9282" s="21" t="n">
        <v>0</v>
      </c>
      <c r="K9282" s="21" t="n">
        <v>0</v>
      </c>
      <c r="L9282" s="21" t="n">
        <v>0</v>
      </c>
      <c r="M9282" s="21" t="n">
        <v>0</v>
      </c>
      <c r="N9282" s="21">
        <f>-$B$8763</f>
        <v/>
      </c>
      <c r="O9282" s="21">
        <f>-$B$8764</f>
        <v/>
      </c>
      <c r="P9282" s="21">
        <f>2*$B$8763+$D$9264</f>
        <v/>
      </c>
      <c r="Q9282" s="21">
        <f>0</f>
        <v/>
      </c>
      <c r="R9282" s="21">
        <f>-$B$8763</f>
        <v/>
      </c>
      <c r="S9282" s="21">
        <f>$B$8764</f>
        <v/>
      </c>
      <c r="T9282" s="21" t="n">
        <v>0</v>
      </c>
      <c r="U9282" s="21" t="n">
        <v>0</v>
      </c>
      <c r="V9282" s="21" t="n">
        <v>0</v>
      </c>
      <c r="W9282" s="21" t="n">
        <v>0</v>
      </c>
      <c r="X9282" s="21" t="n">
        <v>0</v>
      </c>
      <c r="Y9282" s="21" t="n">
        <v>0</v>
      </c>
      <c r="Z9282" s="19" t="n"/>
    </row>
    <row r="9283">
      <c r="D9283" s="21" t="n">
        <v>0</v>
      </c>
      <c r="E9283" s="21" t="n">
        <v>0</v>
      </c>
      <c r="F9283" s="21" t="n">
        <v>0</v>
      </c>
      <c r="G9283" s="21" t="n">
        <v>0</v>
      </c>
      <c r="H9283" s="21" t="n">
        <v>0</v>
      </c>
      <c r="I9283" s="21" t="n">
        <v>0</v>
      </c>
      <c r="J9283" s="21" t="n">
        <v>0</v>
      </c>
      <c r="K9283" s="21" t="n">
        <v>0</v>
      </c>
      <c r="L9283" s="21" t="n">
        <v>0</v>
      </c>
      <c r="M9283" s="21" t="n">
        <v>0</v>
      </c>
      <c r="N9283" s="21">
        <f>$B$8764</f>
        <v/>
      </c>
      <c r="O9283" s="21">
        <f>$B$8766</f>
        <v/>
      </c>
      <c r="P9283" s="21">
        <f>0</f>
        <v/>
      </c>
      <c r="Q9283" s="21">
        <f>2*$B$8765</f>
        <v/>
      </c>
      <c r="R9283" s="21">
        <f>-$B$8764</f>
        <v/>
      </c>
      <c r="S9283" s="21">
        <f>$B$8766</f>
        <v/>
      </c>
      <c r="T9283" s="21" t="n">
        <v>0</v>
      </c>
      <c r="U9283" s="21" t="n">
        <v>0</v>
      </c>
      <c r="V9283" s="21" t="n">
        <v>0</v>
      </c>
      <c r="W9283" s="21" t="n">
        <v>0</v>
      </c>
      <c r="X9283" s="21" t="n">
        <v>0</v>
      </c>
      <c r="Y9283" s="21" t="n">
        <v>0</v>
      </c>
      <c r="Z9283" s="19" t="n"/>
    </row>
    <row r="9284">
      <c r="D9284" s="21" t="n">
        <v>0</v>
      </c>
      <c r="E9284" s="21" t="n">
        <v>0</v>
      </c>
      <c r="F9284" s="21" t="n">
        <v>0</v>
      </c>
      <c r="G9284" s="21" t="n">
        <v>0</v>
      </c>
      <c r="H9284" s="21" t="n">
        <v>0</v>
      </c>
      <c r="I9284" s="21" t="n">
        <v>0</v>
      </c>
      <c r="J9284" s="21" t="n">
        <v>0</v>
      </c>
      <c r="K9284" s="21" t="n">
        <v>0</v>
      </c>
      <c r="L9284" s="21" t="n">
        <v>0</v>
      </c>
      <c r="M9284" s="21" t="n">
        <v>0</v>
      </c>
      <c r="N9284" s="21" t="n">
        <v>0</v>
      </c>
      <c r="O9284" s="21" t="n">
        <v>0</v>
      </c>
      <c r="P9284" s="21">
        <f>-$B$8763</f>
        <v/>
      </c>
      <c r="Q9284" s="21">
        <f>-$B$8764</f>
        <v/>
      </c>
      <c r="R9284" s="21">
        <f>2*$B$8763+$D$9265</f>
        <v/>
      </c>
      <c r="S9284" s="21">
        <f>0</f>
        <v/>
      </c>
      <c r="T9284" s="21">
        <f>-$B$8763</f>
        <v/>
      </c>
      <c r="U9284" s="21">
        <f>$B$8764</f>
        <v/>
      </c>
      <c r="V9284" s="21" t="n">
        <v>0</v>
      </c>
      <c r="W9284" s="21" t="n">
        <v>0</v>
      </c>
      <c r="X9284" s="21" t="n">
        <v>0</v>
      </c>
      <c r="Y9284" s="21" t="n">
        <v>0</v>
      </c>
      <c r="Z9284" s="19" t="n"/>
    </row>
    <row r="9285">
      <c r="D9285" s="21" t="n">
        <v>0</v>
      </c>
      <c r="E9285" s="21" t="n">
        <v>0</v>
      </c>
      <c r="F9285" s="21" t="n">
        <v>0</v>
      </c>
      <c r="G9285" s="21" t="n">
        <v>0</v>
      </c>
      <c r="H9285" s="21" t="n">
        <v>0</v>
      </c>
      <c r="I9285" s="21" t="n">
        <v>0</v>
      </c>
      <c r="J9285" s="21" t="n">
        <v>0</v>
      </c>
      <c r="K9285" s="21" t="n">
        <v>0</v>
      </c>
      <c r="L9285" s="21" t="n">
        <v>0</v>
      </c>
      <c r="M9285" s="21" t="n">
        <v>0</v>
      </c>
      <c r="N9285" s="21" t="n">
        <v>0</v>
      </c>
      <c r="O9285" s="21" t="n">
        <v>0</v>
      </c>
      <c r="P9285" s="21">
        <f>$B$8764</f>
        <v/>
      </c>
      <c r="Q9285" s="21">
        <f>$B$8766</f>
        <v/>
      </c>
      <c r="R9285" s="21">
        <f>0</f>
        <v/>
      </c>
      <c r="S9285" s="21">
        <f>2*$B$8765</f>
        <v/>
      </c>
      <c r="T9285" s="21">
        <f>-$B$8764</f>
        <v/>
      </c>
      <c r="U9285" s="21">
        <f>$B$8766</f>
        <v/>
      </c>
      <c r="V9285" s="21" t="n">
        <v>0</v>
      </c>
      <c r="W9285" s="21" t="n">
        <v>0</v>
      </c>
      <c r="X9285" s="21" t="n">
        <v>0</v>
      </c>
      <c r="Y9285" s="21" t="n">
        <v>0</v>
      </c>
      <c r="Z9285" s="19" t="n"/>
    </row>
    <row r="9286">
      <c r="D9286" s="21" t="n">
        <v>0</v>
      </c>
      <c r="E9286" s="21" t="n">
        <v>0</v>
      </c>
      <c r="F9286" s="21" t="n">
        <v>0</v>
      </c>
      <c r="G9286" s="21" t="n">
        <v>0</v>
      </c>
      <c r="H9286" s="21" t="n">
        <v>0</v>
      </c>
      <c r="I9286" s="21" t="n">
        <v>0</v>
      </c>
      <c r="J9286" s="21" t="n">
        <v>0</v>
      </c>
      <c r="K9286" s="21" t="n">
        <v>0</v>
      </c>
      <c r="L9286" s="21" t="n">
        <v>0</v>
      </c>
      <c r="M9286" s="21" t="n">
        <v>0</v>
      </c>
      <c r="N9286" s="21" t="n">
        <v>0</v>
      </c>
      <c r="O9286" s="21" t="n">
        <v>0</v>
      </c>
      <c r="P9286" s="21" t="n">
        <v>0</v>
      </c>
      <c r="Q9286" s="21" t="n">
        <v>0</v>
      </c>
      <c r="R9286" s="21">
        <f>-$B$8763</f>
        <v/>
      </c>
      <c r="S9286" s="21">
        <f>-$B$8764</f>
        <v/>
      </c>
      <c r="T9286" s="21">
        <f>2*$B$8763+$D$9266</f>
        <v/>
      </c>
      <c r="U9286" s="21">
        <f>0</f>
        <v/>
      </c>
      <c r="V9286" s="21">
        <f>-$B$8763</f>
        <v/>
      </c>
      <c r="W9286" s="21">
        <f>$B$8764</f>
        <v/>
      </c>
      <c r="X9286" s="21" t="n">
        <v>0</v>
      </c>
      <c r="Y9286" s="21" t="n">
        <v>0</v>
      </c>
      <c r="Z9286" s="19" t="n"/>
    </row>
    <row r="9287">
      <c r="D9287" s="21" t="n">
        <v>0</v>
      </c>
      <c r="E9287" s="21" t="n">
        <v>0</v>
      </c>
      <c r="F9287" s="21" t="n">
        <v>0</v>
      </c>
      <c r="G9287" s="21" t="n">
        <v>0</v>
      </c>
      <c r="H9287" s="21" t="n">
        <v>0</v>
      </c>
      <c r="I9287" s="21" t="n">
        <v>0</v>
      </c>
      <c r="J9287" s="21" t="n">
        <v>0</v>
      </c>
      <c r="K9287" s="21" t="n">
        <v>0</v>
      </c>
      <c r="L9287" s="21" t="n">
        <v>0</v>
      </c>
      <c r="M9287" s="21" t="n">
        <v>0</v>
      </c>
      <c r="N9287" s="21" t="n">
        <v>0</v>
      </c>
      <c r="O9287" s="21" t="n">
        <v>0</v>
      </c>
      <c r="P9287" s="21" t="n">
        <v>0</v>
      </c>
      <c r="Q9287" s="21" t="n">
        <v>0</v>
      </c>
      <c r="R9287" s="21">
        <f>$B$8764</f>
        <v/>
      </c>
      <c r="S9287" s="21">
        <f>$B$8766</f>
        <v/>
      </c>
      <c r="T9287" s="21">
        <f>0</f>
        <v/>
      </c>
      <c r="U9287" s="21">
        <f>2*$B$8765</f>
        <v/>
      </c>
      <c r="V9287" s="21">
        <f>-$B$8764</f>
        <v/>
      </c>
      <c r="W9287" s="21">
        <f>$B$8766</f>
        <v/>
      </c>
      <c r="X9287" s="21" t="n">
        <v>0</v>
      </c>
      <c r="Y9287" s="21" t="n">
        <v>0</v>
      </c>
      <c r="Z9287" s="19" t="n"/>
    </row>
    <row r="9288">
      <c r="D9288" s="21" t="n">
        <v>0</v>
      </c>
      <c r="E9288" s="21" t="n">
        <v>0</v>
      </c>
      <c r="F9288" s="21" t="n">
        <v>0</v>
      </c>
      <c r="G9288" s="21" t="n">
        <v>0</v>
      </c>
      <c r="H9288" s="21" t="n">
        <v>0</v>
      </c>
      <c r="I9288" s="21" t="n">
        <v>0</v>
      </c>
      <c r="J9288" s="21" t="n">
        <v>0</v>
      </c>
      <c r="K9288" s="21" t="n">
        <v>0</v>
      </c>
      <c r="L9288" s="21" t="n">
        <v>0</v>
      </c>
      <c r="M9288" s="21" t="n">
        <v>0</v>
      </c>
      <c r="N9288" s="21" t="n">
        <v>0</v>
      </c>
      <c r="O9288" s="21" t="n">
        <v>0</v>
      </c>
      <c r="P9288" s="21" t="n">
        <v>0</v>
      </c>
      <c r="Q9288" s="21" t="n">
        <v>0</v>
      </c>
      <c r="R9288" s="21" t="n">
        <v>0</v>
      </c>
      <c r="S9288" s="21" t="n">
        <v>0</v>
      </c>
      <c r="T9288" s="21">
        <f>-$B$8763</f>
        <v/>
      </c>
      <c r="U9288" s="21">
        <f>-$B$8764</f>
        <v/>
      </c>
      <c r="V9288" s="21">
        <f>2*$B$8763+$D$9267</f>
        <v/>
      </c>
      <c r="W9288" s="21">
        <f>0</f>
        <v/>
      </c>
      <c r="X9288" s="21">
        <f>-$B$8763</f>
        <v/>
      </c>
      <c r="Y9288" s="21">
        <f>$B$8764</f>
        <v/>
      </c>
      <c r="Z9288" s="19" t="n"/>
    </row>
    <row r="9289">
      <c r="D9289" s="21" t="n">
        <v>0</v>
      </c>
      <c r="E9289" s="21" t="n">
        <v>0</v>
      </c>
      <c r="F9289" s="21" t="n">
        <v>0</v>
      </c>
      <c r="G9289" s="21" t="n">
        <v>0</v>
      </c>
      <c r="H9289" s="21" t="n">
        <v>0</v>
      </c>
      <c r="I9289" s="21" t="n">
        <v>0</v>
      </c>
      <c r="J9289" s="21" t="n">
        <v>0</v>
      </c>
      <c r="K9289" s="21" t="n">
        <v>0</v>
      </c>
      <c r="L9289" s="21" t="n">
        <v>0</v>
      </c>
      <c r="M9289" s="21" t="n">
        <v>0</v>
      </c>
      <c r="N9289" s="21" t="n">
        <v>0</v>
      </c>
      <c r="O9289" s="21" t="n">
        <v>0</v>
      </c>
      <c r="P9289" s="21" t="n">
        <v>0</v>
      </c>
      <c r="Q9289" s="21" t="n">
        <v>0</v>
      </c>
      <c r="R9289" s="21" t="n">
        <v>0</v>
      </c>
      <c r="S9289" s="21" t="n">
        <v>0</v>
      </c>
      <c r="T9289" s="21">
        <f>$B$8764</f>
        <v/>
      </c>
      <c r="U9289" s="21">
        <f>$B$8766</f>
        <v/>
      </c>
      <c r="V9289" s="21">
        <f>0</f>
        <v/>
      </c>
      <c r="W9289" s="21">
        <f>2*$B$8765</f>
        <v/>
      </c>
      <c r="X9289" s="21">
        <f>-$B$8764</f>
        <v/>
      </c>
      <c r="Y9289" s="21">
        <f>$B$8766</f>
        <v/>
      </c>
      <c r="Z9289" s="19" t="n"/>
    </row>
    <row r="9290">
      <c r="D9290" s="21" t="n">
        <v>0</v>
      </c>
      <c r="E9290" s="21" t="n">
        <v>0</v>
      </c>
      <c r="F9290" s="21" t="n">
        <v>0</v>
      </c>
      <c r="G9290" s="21" t="n">
        <v>0</v>
      </c>
      <c r="H9290" s="21" t="n">
        <v>0</v>
      </c>
      <c r="I9290" s="21" t="n">
        <v>0</v>
      </c>
      <c r="J9290" s="21" t="n">
        <v>0</v>
      </c>
      <c r="K9290" s="21" t="n">
        <v>0</v>
      </c>
      <c r="L9290" s="21" t="n">
        <v>0</v>
      </c>
      <c r="M9290" s="21" t="n">
        <v>0</v>
      </c>
      <c r="N9290" s="21" t="n">
        <v>0</v>
      </c>
      <c r="O9290" s="21" t="n">
        <v>0</v>
      </c>
      <c r="P9290" s="21" t="n">
        <v>0</v>
      </c>
      <c r="Q9290" s="21" t="n">
        <v>0</v>
      </c>
      <c r="R9290" s="21" t="n">
        <v>0</v>
      </c>
      <c r="S9290" s="21" t="n">
        <v>0</v>
      </c>
      <c r="T9290" s="21" t="n">
        <v>0</v>
      </c>
      <c r="U9290" s="21" t="n">
        <v>0</v>
      </c>
      <c r="V9290" s="21">
        <f>-$B$8763</f>
        <v/>
      </c>
      <c r="W9290" s="21">
        <f>-$B$8764</f>
        <v/>
      </c>
      <c r="X9290" s="21">
        <f>$B$8763+$D$9268</f>
        <v/>
      </c>
      <c r="Y9290" s="21">
        <f>-$B$8764</f>
        <v/>
      </c>
      <c r="Z9290" s="19" t="n"/>
    </row>
    <row r="9291">
      <c r="D9291" s="21" t="n">
        <v>0</v>
      </c>
      <c r="E9291" s="21" t="n">
        <v>0</v>
      </c>
      <c r="F9291" s="21" t="n">
        <v>0</v>
      </c>
      <c r="G9291" s="21" t="n">
        <v>0</v>
      </c>
      <c r="H9291" s="21" t="n">
        <v>0</v>
      </c>
      <c r="I9291" s="21" t="n">
        <v>0</v>
      </c>
      <c r="J9291" s="21" t="n">
        <v>0</v>
      </c>
      <c r="K9291" s="21" t="n">
        <v>0</v>
      </c>
      <c r="L9291" s="21" t="n">
        <v>0</v>
      </c>
      <c r="M9291" s="21" t="n">
        <v>0</v>
      </c>
      <c r="N9291" s="21" t="n">
        <v>0</v>
      </c>
      <c r="O9291" s="21" t="n">
        <v>0</v>
      </c>
      <c r="P9291" s="21" t="n">
        <v>0</v>
      </c>
      <c r="Q9291" s="21" t="n">
        <v>0</v>
      </c>
      <c r="R9291" s="21" t="n">
        <v>0</v>
      </c>
      <c r="S9291" s="21" t="n">
        <v>0</v>
      </c>
      <c r="T9291" s="21" t="n">
        <v>0</v>
      </c>
      <c r="U9291" s="21" t="n">
        <v>0</v>
      </c>
      <c r="V9291" s="21">
        <f>$B$8764</f>
        <v/>
      </c>
      <c r="W9291" s="21">
        <f>$B$8766</f>
        <v/>
      </c>
      <c r="X9291" s="21">
        <f>-$B$8764</f>
        <v/>
      </c>
      <c r="Y9291" s="21">
        <f>$B$8765</f>
        <v/>
      </c>
      <c r="Z9291" s="19" t="n"/>
    </row>
    <row r="9293">
      <c r="A9293" s="8" t="inlineStr">
        <is>
          <t>gen 14</t>
        </is>
      </c>
    </row>
    <row r="9294">
      <c r="D9294" s="19">
        <f>IF(ABS(IF(ABS($E$9258)&gt;0.000000001,$E$9258,0.000000001))=0,0,IF($E$8778&lt;=$B$8772,0,IF(ABS(IF(ABS($E$9258)&gt;0.000000001,$E$9258,0.000000001))&gt;=8*$B$8774,$H$8778,0.5*$H$8778*(ABS(IF(ABS($E$9258)&gt;0.000000001,$E$9258,0.000000001))/$B$8774)^(1/3)))/ABS(IF(ABS($E$9258)&gt;0.000000001,$E$9258,0.000000001))*$I$8778)</f>
        <v/>
      </c>
      <c r="E9294" s="19">
        <f>0.5*$E$9258+0.5*$Z$9306</f>
        <v/>
      </c>
      <c r="F9294" s="19">
        <f>$Z$9307</f>
        <v/>
      </c>
    </row>
    <row r="9295">
      <c r="D9295" s="19">
        <f>IF(ABS(IF(ABS($E$9259)&gt;0.000000001,$E$9259,0.000000001))=0,0,IF($E$8779&lt;=$B$8772,0,IF(ABS(IF(ABS($E$9259)&gt;0.000000001,$E$9259,0.000000001))&gt;=8*$B$8774,$H$8779,0.5*$H$8779*(ABS(IF(ABS($E$9259)&gt;0.000000001,$E$9259,0.000000001))/$B$8774)^(1/3)))/ABS(IF(ABS($E$9259)&gt;0.000000001,$E$9259,0.000000001))*$I$8779)</f>
        <v/>
      </c>
      <c r="E9295" s="19">
        <f>0.5*$E$9259+0.5*$Z$9308</f>
        <v/>
      </c>
      <c r="F9295" s="19">
        <f>$Z$9309</f>
        <v/>
      </c>
    </row>
    <row r="9296">
      <c r="D9296" s="19">
        <f>IF(ABS(IF(ABS($E$9260)&gt;0.000000001,$E$9260,0.000000001))=0,0,IF($E$8780&lt;=$B$8772,0,IF(ABS(IF(ABS($E$9260)&gt;0.000000001,$E$9260,0.000000001))&gt;=8*$B$8774,$H$8780,0.5*$H$8780*(ABS(IF(ABS($E$9260)&gt;0.000000001,$E$9260,0.000000001))/$B$8774)^(1/3)))/ABS(IF(ABS($E$9260)&gt;0.000000001,$E$9260,0.000000001))*$I$8780)</f>
        <v/>
      </c>
      <c r="E9296" s="19">
        <f>0.5*$E$9260+0.5*$Z$9310</f>
        <v/>
      </c>
      <c r="F9296" s="19">
        <f>$Z$9311</f>
        <v/>
      </c>
    </row>
    <row r="9297">
      <c r="D9297" s="19">
        <f>IF(ABS(IF(ABS($E$9261)&gt;0.000000001,$E$9261,0.000000001))=0,0,IF($E$8781&lt;=$B$8772,0,IF(ABS(IF(ABS($E$9261)&gt;0.000000001,$E$9261,0.000000001))&gt;=8*$B$8774,$H$8781,0.5*$H$8781*(ABS(IF(ABS($E$9261)&gt;0.000000001,$E$9261,0.000000001))/$B$8774)^(1/3)))/ABS(IF(ABS($E$9261)&gt;0.000000001,$E$9261,0.000000001))*$I$8781)</f>
        <v/>
      </c>
      <c r="E9297" s="19">
        <f>0.5*$E$9261+0.5*$Z$9312</f>
        <v/>
      </c>
      <c r="F9297" s="19">
        <f>$Z$9313</f>
        <v/>
      </c>
    </row>
    <row r="9298">
      <c r="D9298" s="19">
        <f>IF(ABS(IF(ABS($E$9262)&gt;0.000000001,$E$9262,0.000000001))=0,0,IF($E$8782&lt;=$B$8772,0,IF(ABS(IF(ABS($E$9262)&gt;0.000000001,$E$9262,0.000000001))&gt;=8*$B$8774,$H$8782,0.5*$H$8782*(ABS(IF(ABS($E$9262)&gt;0.000000001,$E$9262,0.000000001))/$B$8774)^(1/3)))/ABS(IF(ABS($E$9262)&gt;0.000000001,$E$9262,0.000000001))*$I$8782)</f>
        <v/>
      </c>
      <c r="E9298" s="19">
        <f>0.5*$E$9262+0.5*$Z$9314</f>
        <v/>
      </c>
      <c r="F9298" s="19">
        <f>$Z$9315</f>
        <v/>
      </c>
    </row>
    <row r="9299">
      <c r="D9299" s="19">
        <f>IF(ABS(IF(ABS($E$9263)&gt;0.000000001,$E$9263,0.000000001))=0,0,IF($E$8783&lt;=$B$8772,0,IF(ABS(IF(ABS($E$9263)&gt;0.000000001,$E$9263,0.000000001))&gt;=8*$B$8774,$H$8783,0.5*$H$8783*(ABS(IF(ABS($E$9263)&gt;0.000000001,$E$9263,0.000000001))/$B$8774)^(1/3)))/ABS(IF(ABS($E$9263)&gt;0.000000001,$E$9263,0.000000001))*$I$8783)</f>
        <v/>
      </c>
      <c r="E9299" s="19">
        <f>0.5*$E$9263+0.5*$Z$9316</f>
        <v/>
      </c>
      <c r="F9299" s="19">
        <f>$Z$9317</f>
        <v/>
      </c>
    </row>
    <row r="9300">
      <c r="D9300" s="19">
        <f>IF(ABS(IF(ABS($E$9264)&gt;0.000000001,$E$9264,0.000000001))=0,0,IF($E$8784&lt;=$B$8772,0,IF(ABS(IF(ABS($E$9264)&gt;0.000000001,$E$9264,0.000000001))&gt;=8*$B$8774,$H$8784,0.5*$H$8784*(ABS(IF(ABS($E$9264)&gt;0.000000001,$E$9264,0.000000001))/$B$8774)^(1/3)))/ABS(IF(ABS($E$9264)&gt;0.000000001,$E$9264,0.000000001))*$I$8784)</f>
        <v/>
      </c>
      <c r="E9300" s="19">
        <f>0.5*$E$9264+0.5*$Z$9318</f>
        <v/>
      </c>
      <c r="F9300" s="19">
        <f>$Z$9319</f>
        <v/>
      </c>
    </row>
    <row r="9301">
      <c r="D9301" s="19">
        <f>IF(ABS(IF(ABS($E$9265)&gt;0.000000001,$E$9265,0.000000001))=0,0,IF($E$8785&lt;=$B$8772,0,IF(ABS(IF(ABS($E$9265)&gt;0.000000001,$E$9265,0.000000001))&gt;=8*$B$8774,$H$8785,0.5*$H$8785*(ABS(IF(ABS($E$9265)&gt;0.000000001,$E$9265,0.000000001))/$B$8774)^(1/3)))/ABS(IF(ABS($E$9265)&gt;0.000000001,$E$9265,0.000000001))*$I$8785)</f>
        <v/>
      </c>
      <c r="E9301" s="19">
        <f>0.5*$E$9265+0.5*$Z$9320</f>
        <v/>
      </c>
      <c r="F9301" s="19">
        <f>$Z$9321</f>
        <v/>
      </c>
    </row>
    <row r="9302">
      <c r="D9302" s="19">
        <f>IF(ABS(IF(ABS($E$9266)&gt;0.000000001,$E$9266,0.000000001))=0,0,IF($E$8786&lt;=$B$8772,0,IF(ABS(IF(ABS($E$9266)&gt;0.000000001,$E$9266,0.000000001))&gt;=8*$B$8774,$H$8786,0.5*$H$8786*(ABS(IF(ABS($E$9266)&gt;0.000000001,$E$9266,0.000000001))/$B$8774)^(1/3)))/ABS(IF(ABS($E$9266)&gt;0.000000001,$E$9266,0.000000001))*$I$8786)</f>
        <v/>
      </c>
      <c r="E9302" s="19">
        <f>0.5*$E$9266+0.5*$Z$9322</f>
        <v/>
      </c>
      <c r="F9302" s="19">
        <f>$Z$9323</f>
        <v/>
      </c>
    </row>
    <row r="9303">
      <c r="D9303" s="19">
        <f>IF(ABS(IF(ABS($E$9267)&gt;0.000000001,$E$9267,0.000000001))=0,0,IF($E$8787&lt;=$B$8772,0,IF(ABS(IF(ABS($E$9267)&gt;0.000000001,$E$9267,0.000000001))&gt;=8*$B$8774,$H$8787,0.5*$H$8787*(ABS(IF(ABS($E$9267)&gt;0.000000001,$E$9267,0.000000001))/$B$8774)^(1/3)))/ABS(IF(ABS($E$9267)&gt;0.000000001,$E$9267,0.000000001))*$I$8787)</f>
        <v/>
      </c>
      <c r="E9303" s="19">
        <f>0.5*$E$9267+0.5*$Z$9324</f>
        <v/>
      </c>
      <c r="F9303" s="19">
        <f>$Z$9325</f>
        <v/>
      </c>
    </row>
    <row r="9304">
      <c r="D9304" s="19">
        <f>IF(ABS(IF(ABS($E$9268)&gt;0.000000001,$E$9268,0.000000001))=0,0,IF($E$8788&lt;=$B$8772,0,IF(ABS(IF(ABS($E$9268)&gt;0.000000001,$E$9268,0.000000001))&gt;=8*$B$8774,$H$8788,0.5*$H$8788*(ABS(IF(ABS($E$9268)&gt;0.000000001,$E$9268,0.000000001))/$B$8774)^(1/3)))/ABS(IF(ABS($E$9268)&gt;0.000000001,$E$9268,0.000000001))*$I$8788)</f>
        <v/>
      </c>
      <c r="E9304" s="19">
        <f>0.5*$E$9268+0.5*$Z$9326</f>
        <v/>
      </c>
      <c r="F9304" s="19">
        <f>$Z$9327</f>
        <v/>
      </c>
    </row>
    <row r="9306">
      <c r="D9306" s="21">
        <f>$B$8763+$D$9294</f>
        <v/>
      </c>
      <c r="E9306" s="21">
        <f>$B$8764</f>
        <v/>
      </c>
      <c r="F9306" s="21">
        <f>-$B$8763</f>
        <v/>
      </c>
      <c r="G9306" s="21">
        <f>$B$8764</f>
        <v/>
      </c>
      <c r="H9306" s="21" t="n">
        <v>0</v>
      </c>
      <c r="I9306" s="21" t="n">
        <v>0</v>
      </c>
      <c r="J9306" s="21" t="n">
        <v>0</v>
      </c>
      <c r="K9306" s="21" t="n">
        <v>0</v>
      </c>
      <c r="L9306" s="21" t="n">
        <v>0</v>
      </c>
      <c r="M9306" s="21" t="n">
        <v>0</v>
      </c>
      <c r="N9306" s="21" t="n">
        <v>0</v>
      </c>
      <c r="O9306" s="21" t="n">
        <v>0</v>
      </c>
      <c r="P9306" s="21" t="n">
        <v>0</v>
      </c>
      <c r="Q9306" s="21" t="n">
        <v>0</v>
      </c>
      <c r="R9306" s="21" t="n">
        <v>0</v>
      </c>
      <c r="S9306" s="21" t="n">
        <v>0</v>
      </c>
      <c r="T9306" s="21" t="n">
        <v>0</v>
      </c>
      <c r="U9306" s="21" t="n">
        <v>0</v>
      </c>
      <c r="V9306" s="21" t="n">
        <v>0</v>
      </c>
      <c r="W9306" s="21" t="n">
        <v>0</v>
      </c>
      <c r="X9306" s="21" t="n">
        <v>0</v>
      </c>
      <c r="Y9306" s="21" t="n">
        <v>0</v>
      </c>
      <c r="Z9306" s="19">
        <f t="array" ref="Z9306:Z9327">MMULT(MINVERSE($D$9306:$Y$9327),$D$8790:$D$8811)</f>
        <v/>
      </c>
    </row>
    <row r="9307">
      <c r="D9307" s="21">
        <f>$B$8764</f>
        <v/>
      </c>
      <c r="E9307" s="21">
        <f>$B$8765</f>
        <v/>
      </c>
      <c r="F9307" s="21">
        <f>-$B$8764</f>
        <v/>
      </c>
      <c r="G9307" s="21">
        <f>$B$8766</f>
        <v/>
      </c>
      <c r="H9307" s="21" t="n">
        <v>0</v>
      </c>
      <c r="I9307" s="21" t="n">
        <v>0</v>
      </c>
      <c r="J9307" s="21" t="n">
        <v>0</v>
      </c>
      <c r="K9307" s="21" t="n">
        <v>0</v>
      </c>
      <c r="L9307" s="21" t="n">
        <v>0</v>
      </c>
      <c r="M9307" s="21" t="n">
        <v>0</v>
      </c>
      <c r="N9307" s="21" t="n">
        <v>0</v>
      </c>
      <c r="O9307" s="21" t="n">
        <v>0</v>
      </c>
      <c r="P9307" s="21" t="n">
        <v>0</v>
      </c>
      <c r="Q9307" s="21" t="n">
        <v>0</v>
      </c>
      <c r="R9307" s="21" t="n">
        <v>0</v>
      </c>
      <c r="S9307" s="21" t="n">
        <v>0</v>
      </c>
      <c r="T9307" s="21" t="n">
        <v>0</v>
      </c>
      <c r="U9307" s="21" t="n">
        <v>0</v>
      </c>
      <c r="V9307" s="21" t="n">
        <v>0</v>
      </c>
      <c r="W9307" s="21" t="n">
        <v>0</v>
      </c>
      <c r="X9307" s="21" t="n">
        <v>0</v>
      </c>
      <c r="Y9307" s="21" t="n">
        <v>0</v>
      </c>
      <c r="Z9307" s="19" t="n"/>
    </row>
    <row r="9308">
      <c r="D9308" s="21">
        <f>-$B$8763</f>
        <v/>
      </c>
      <c r="E9308" s="21">
        <f>-$B$8764</f>
        <v/>
      </c>
      <c r="F9308" s="21">
        <f>2*$B$8763+$D$9295</f>
        <v/>
      </c>
      <c r="G9308" s="21">
        <f>0</f>
        <v/>
      </c>
      <c r="H9308" s="21">
        <f>-$B$8763</f>
        <v/>
      </c>
      <c r="I9308" s="21">
        <f>$B$8764</f>
        <v/>
      </c>
      <c r="J9308" s="21" t="n">
        <v>0</v>
      </c>
      <c r="K9308" s="21" t="n">
        <v>0</v>
      </c>
      <c r="L9308" s="21" t="n">
        <v>0</v>
      </c>
      <c r="M9308" s="21" t="n">
        <v>0</v>
      </c>
      <c r="N9308" s="21" t="n">
        <v>0</v>
      </c>
      <c r="O9308" s="21" t="n">
        <v>0</v>
      </c>
      <c r="P9308" s="21" t="n">
        <v>0</v>
      </c>
      <c r="Q9308" s="21" t="n">
        <v>0</v>
      </c>
      <c r="R9308" s="21" t="n">
        <v>0</v>
      </c>
      <c r="S9308" s="21" t="n">
        <v>0</v>
      </c>
      <c r="T9308" s="21" t="n">
        <v>0</v>
      </c>
      <c r="U9308" s="21" t="n">
        <v>0</v>
      </c>
      <c r="V9308" s="21" t="n">
        <v>0</v>
      </c>
      <c r="W9308" s="21" t="n">
        <v>0</v>
      </c>
      <c r="X9308" s="21" t="n">
        <v>0</v>
      </c>
      <c r="Y9308" s="21" t="n">
        <v>0</v>
      </c>
      <c r="Z9308" s="19" t="n"/>
    </row>
    <row r="9309">
      <c r="D9309" s="21">
        <f>$B$8764</f>
        <v/>
      </c>
      <c r="E9309" s="21">
        <f>$B$8766</f>
        <v/>
      </c>
      <c r="F9309" s="21">
        <f>0</f>
        <v/>
      </c>
      <c r="G9309" s="21">
        <f>2*$B$8765</f>
        <v/>
      </c>
      <c r="H9309" s="21">
        <f>-$B$8764</f>
        <v/>
      </c>
      <c r="I9309" s="21">
        <f>$B$8766</f>
        <v/>
      </c>
      <c r="J9309" s="21" t="n">
        <v>0</v>
      </c>
      <c r="K9309" s="21" t="n">
        <v>0</v>
      </c>
      <c r="L9309" s="21" t="n">
        <v>0</v>
      </c>
      <c r="M9309" s="21" t="n">
        <v>0</v>
      </c>
      <c r="N9309" s="21" t="n">
        <v>0</v>
      </c>
      <c r="O9309" s="21" t="n">
        <v>0</v>
      </c>
      <c r="P9309" s="21" t="n">
        <v>0</v>
      </c>
      <c r="Q9309" s="21" t="n">
        <v>0</v>
      </c>
      <c r="R9309" s="21" t="n">
        <v>0</v>
      </c>
      <c r="S9309" s="21" t="n">
        <v>0</v>
      </c>
      <c r="T9309" s="21" t="n">
        <v>0</v>
      </c>
      <c r="U9309" s="21" t="n">
        <v>0</v>
      </c>
      <c r="V9309" s="21" t="n">
        <v>0</v>
      </c>
      <c r="W9309" s="21" t="n">
        <v>0</v>
      </c>
      <c r="X9309" s="21" t="n">
        <v>0</v>
      </c>
      <c r="Y9309" s="21" t="n">
        <v>0</v>
      </c>
      <c r="Z9309" s="19" t="n"/>
    </row>
    <row r="9310">
      <c r="D9310" s="21" t="n">
        <v>0</v>
      </c>
      <c r="E9310" s="21" t="n">
        <v>0</v>
      </c>
      <c r="F9310" s="21">
        <f>-$B$8763</f>
        <v/>
      </c>
      <c r="G9310" s="21">
        <f>-$B$8764</f>
        <v/>
      </c>
      <c r="H9310" s="21">
        <f>2*$B$8763+$D$9296</f>
        <v/>
      </c>
      <c r="I9310" s="21">
        <f>0</f>
        <v/>
      </c>
      <c r="J9310" s="21">
        <f>-$B$8763</f>
        <v/>
      </c>
      <c r="K9310" s="21">
        <f>$B$8764</f>
        <v/>
      </c>
      <c r="L9310" s="21" t="n">
        <v>0</v>
      </c>
      <c r="M9310" s="21" t="n">
        <v>0</v>
      </c>
      <c r="N9310" s="21" t="n">
        <v>0</v>
      </c>
      <c r="O9310" s="21" t="n">
        <v>0</v>
      </c>
      <c r="P9310" s="21" t="n">
        <v>0</v>
      </c>
      <c r="Q9310" s="21" t="n">
        <v>0</v>
      </c>
      <c r="R9310" s="21" t="n">
        <v>0</v>
      </c>
      <c r="S9310" s="21" t="n">
        <v>0</v>
      </c>
      <c r="T9310" s="21" t="n">
        <v>0</v>
      </c>
      <c r="U9310" s="21" t="n">
        <v>0</v>
      </c>
      <c r="V9310" s="21" t="n">
        <v>0</v>
      </c>
      <c r="W9310" s="21" t="n">
        <v>0</v>
      </c>
      <c r="X9310" s="21" t="n">
        <v>0</v>
      </c>
      <c r="Y9310" s="21" t="n">
        <v>0</v>
      </c>
      <c r="Z9310" s="19" t="n"/>
    </row>
    <row r="9311">
      <c r="D9311" s="21" t="n">
        <v>0</v>
      </c>
      <c r="E9311" s="21" t="n">
        <v>0</v>
      </c>
      <c r="F9311" s="21">
        <f>$B$8764</f>
        <v/>
      </c>
      <c r="G9311" s="21">
        <f>$B$8766</f>
        <v/>
      </c>
      <c r="H9311" s="21">
        <f>0</f>
        <v/>
      </c>
      <c r="I9311" s="21">
        <f>2*$B$8765</f>
        <v/>
      </c>
      <c r="J9311" s="21">
        <f>-$B$8764</f>
        <v/>
      </c>
      <c r="K9311" s="21">
        <f>$B$8766</f>
        <v/>
      </c>
      <c r="L9311" s="21" t="n">
        <v>0</v>
      </c>
      <c r="M9311" s="21" t="n">
        <v>0</v>
      </c>
      <c r="N9311" s="21" t="n">
        <v>0</v>
      </c>
      <c r="O9311" s="21" t="n">
        <v>0</v>
      </c>
      <c r="P9311" s="21" t="n">
        <v>0</v>
      </c>
      <c r="Q9311" s="21" t="n">
        <v>0</v>
      </c>
      <c r="R9311" s="21" t="n">
        <v>0</v>
      </c>
      <c r="S9311" s="21" t="n">
        <v>0</v>
      </c>
      <c r="T9311" s="21" t="n">
        <v>0</v>
      </c>
      <c r="U9311" s="21" t="n">
        <v>0</v>
      </c>
      <c r="V9311" s="21" t="n">
        <v>0</v>
      </c>
      <c r="W9311" s="21" t="n">
        <v>0</v>
      </c>
      <c r="X9311" s="21" t="n">
        <v>0</v>
      </c>
      <c r="Y9311" s="21" t="n">
        <v>0</v>
      </c>
      <c r="Z9311" s="19" t="n"/>
    </row>
    <row r="9312">
      <c r="D9312" s="21" t="n">
        <v>0</v>
      </c>
      <c r="E9312" s="21" t="n">
        <v>0</v>
      </c>
      <c r="F9312" s="21" t="n">
        <v>0</v>
      </c>
      <c r="G9312" s="21" t="n">
        <v>0</v>
      </c>
      <c r="H9312" s="21">
        <f>-$B$8763</f>
        <v/>
      </c>
      <c r="I9312" s="21">
        <f>-$B$8764</f>
        <v/>
      </c>
      <c r="J9312" s="21">
        <f>2*$B$8763+$D$9297</f>
        <v/>
      </c>
      <c r="K9312" s="21">
        <f>0</f>
        <v/>
      </c>
      <c r="L9312" s="21">
        <f>-$B$8763</f>
        <v/>
      </c>
      <c r="M9312" s="21">
        <f>$B$8764</f>
        <v/>
      </c>
      <c r="N9312" s="21" t="n">
        <v>0</v>
      </c>
      <c r="O9312" s="21" t="n">
        <v>0</v>
      </c>
      <c r="P9312" s="21" t="n">
        <v>0</v>
      </c>
      <c r="Q9312" s="21" t="n">
        <v>0</v>
      </c>
      <c r="R9312" s="21" t="n">
        <v>0</v>
      </c>
      <c r="S9312" s="21" t="n">
        <v>0</v>
      </c>
      <c r="T9312" s="21" t="n">
        <v>0</v>
      </c>
      <c r="U9312" s="21" t="n">
        <v>0</v>
      </c>
      <c r="V9312" s="21" t="n">
        <v>0</v>
      </c>
      <c r="W9312" s="21" t="n">
        <v>0</v>
      </c>
      <c r="X9312" s="21" t="n">
        <v>0</v>
      </c>
      <c r="Y9312" s="21" t="n">
        <v>0</v>
      </c>
      <c r="Z9312" s="19" t="n"/>
    </row>
    <row r="9313">
      <c r="D9313" s="21" t="n">
        <v>0</v>
      </c>
      <c r="E9313" s="21" t="n">
        <v>0</v>
      </c>
      <c r="F9313" s="21" t="n">
        <v>0</v>
      </c>
      <c r="G9313" s="21" t="n">
        <v>0</v>
      </c>
      <c r="H9313" s="21">
        <f>$B$8764</f>
        <v/>
      </c>
      <c r="I9313" s="21">
        <f>$B$8766</f>
        <v/>
      </c>
      <c r="J9313" s="21">
        <f>0</f>
        <v/>
      </c>
      <c r="K9313" s="21">
        <f>2*$B$8765</f>
        <v/>
      </c>
      <c r="L9313" s="21">
        <f>-$B$8764</f>
        <v/>
      </c>
      <c r="M9313" s="21">
        <f>$B$8766</f>
        <v/>
      </c>
      <c r="N9313" s="21" t="n">
        <v>0</v>
      </c>
      <c r="O9313" s="21" t="n">
        <v>0</v>
      </c>
      <c r="P9313" s="21" t="n">
        <v>0</v>
      </c>
      <c r="Q9313" s="21" t="n">
        <v>0</v>
      </c>
      <c r="R9313" s="21" t="n">
        <v>0</v>
      </c>
      <c r="S9313" s="21" t="n">
        <v>0</v>
      </c>
      <c r="T9313" s="21" t="n">
        <v>0</v>
      </c>
      <c r="U9313" s="21" t="n">
        <v>0</v>
      </c>
      <c r="V9313" s="21" t="n">
        <v>0</v>
      </c>
      <c r="W9313" s="21" t="n">
        <v>0</v>
      </c>
      <c r="X9313" s="21" t="n">
        <v>0</v>
      </c>
      <c r="Y9313" s="21" t="n">
        <v>0</v>
      </c>
      <c r="Z9313" s="19" t="n"/>
    </row>
    <row r="9314">
      <c r="D9314" s="21" t="n">
        <v>0</v>
      </c>
      <c r="E9314" s="21" t="n">
        <v>0</v>
      </c>
      <c r="F9314" s="21" t="n">
        <v>0</v>
      </c>
      <c r="G9314" s="21" t="n">
        <v>0</v>
      </c>
      <c r="H9314" s="21" t="n">
        <v>0</v>
      </c>
      <c r="I9314" s="21" t="n">
        <v>0</v>
      </c>
      <c r="J9314" s="21">
        <f>-$B$8763</f>
        <v/>
      </c>
      <c r="K9314" s="21">
        <f>-$B$8764</f>
        <v/>
      </c>
      <c r="L9314" s="21">
        <f>2*$B$8763+$D$9298</f>
        <v/>
      </c>
      <c r="M9314" s="21">
        <f>0</f>
        <v/>
      </c>
      <c r="N9314" s="21">
        <f>-$B$8763</f>
        <v/>
      </c>
      <c r="O9314" s="21">
        <f>$B$8764</f>
        <v/>
      </c>
      <c r="P9314" s="21" t="n">
        <v>0</v>
      </c>
      <c r="Q9314" s="21" t="n">
        <v>0</v>
      </c>
      <c r="R9314" s="21" t="n">
        <v>0</v>
      </c>
      <c r="S9314" s="21" t="n">
        <v>0</v>
      </c>
      <c r="T9314" s="21" t="n">
        <v>0</v>
      </c>
      <c r="U9314" s="21" t="n">
        <v>0</v>
      </c>
      <c r="V9314" s="21" t="n">
        <v>0</v>
      </c>
      <c r="W9314" s="21" t="n">
        <v>0</v>
      </c>
      <c r="X9314" s="21" t="n">
        <v>0</v>
      </c>
      <c r="Y9314" s="21" t="n">
        <v>0</v>
      </c>
      <c r="Z9314" s="19" t="n"/>
    </row>
    <row r="9315">
      <c r="D9315" s="21" t="n">
        <v>0</v>
      </c>
      <c r="E9315" s="21" t="n">
        <v>0</v>
      </c>
      <c r="F9315" s="21" t="n">
        <v>0</v>
      </c>
      <c r="G9315" s="21" t="n">
        <v>0</v>
      </c>
      <c r="H9315" s="21" t="n">
        <v>0</v>
      </c>
      <c r="I9315" s="21" t="n">
        <v>0</v>
      </c>
      <c r="J9315" s="21">
        <f>$B$8764</f>
        <v/>
      </c>
      <c r="K9315" s="21">
        <f>$B$8766</f>
        <v/>
      </c>
      <c r="L9315" s="21">
        <f>0</f>
        <v/>
      </c>
      <c r="M9315" s="21">
        <f>2*$B$8765</f>
        <v/>
      </c>
      <c r="N9315" s="21">
        <f>-$B$8764</f>
        <v/>
      </c>
      <c r="O9315" s="21">
        <f>$B$8766</f>
        <v/>
      </c>
      <c r="P9315" s="21" t="n">
        <v>0</v>
      </c>
      <c r="Q9315" s="21" t="n">
        <v>0</v>
      </c>
      <c r="R9315" s="21" t="n">
        <v>0</v>
      </c>
      <c r="S9315" s="21" t="n">
        <v>0</v>
      </c>
      <c r="T9315" s="21" t="n">
        <v>0</v>
      </c>
      <c r="U9315" s="21" t="n">
        <v>0</v>
      </c>
      <c r="V9315" s="21" t="n">
        <v>0</v>
      </c>
      <c r="W9315" s="21" t="n">
        <v>0</v>
      </c>
      <c r="X9315" s="21" t="n">
        <v>0</v>
      </c>
      <c r="Y9315" s="21" t="n">
        <v>0</v>
      </c>
      <c r="Z9315" s="19" t="n"/>
    </row>
    <row r="9316">
      <c r="D9316" s="21" t="n">
        <v>0</v>
      </c>
      <c r="E9316" s="21" t="n">
        <v>0</v>
      </c>
      <c r="F9316" s="21" t="n">
        <v>0</v>
      </c>
      <c r="G9316" s="21" t="n">
        <v>0</v>
      </c>
      <c r="H9316" s="21" t="n">
        <v>0</v>
      </c>
      <c r="I9316" s="21" t="n">
        <v>0</v>
      </c>
      <c r="J9316" s="21" t="n">
        <v>0</v>
      </c>
      <c r="K9316" s="21" t="n">
        <v>0</v>
      </c>
      <c r="L9316" s="21">
        <f>-$B$8763</f>
        <v/>
      </c>
      <c r="M9316" s="21">
        <f>-$B$8764</f>
        <v/>
      </c>
      <c r="N9316" s="21">
        <f>2*$B$8763+$D$9299</f>
        <v/>
      </c>
      <c r="O9316" s="21">
        <f>0</f>
        <v/>
      </c>
      <c r="P9316" s="21">
        <f>-$B$8763</f>
        <v/>
      </c>
      <c r="Q9316" s="21">
        <f>$B$8764</f>
        <v/>
      </c>
      <c r="R9316" s="21" t="n">
        <v>0</v>
      </c>
      <c r="S9316" s="21" t="n">
        <v>0</v>
      </c>
      <c r="T9316" s="21" t="n">
        <v>0</v>
      </c>
      <c r="U9316" s="21" t="n">
        <v>0</v>
      </c>
      <c r="V9316" s="21" t="n">
        <v>0</v>
      </c>
      <c r="W9316" s="21" t="n">
        <v>0</v>
      </c>
      <c r="X9316" s="21" t="n">
        <v>0</v>
      </c>
      <c r="Y9316" s="21" t="n">
        <v>0</v>
      </c>
      <c r="Z9316" s="19" t="n"/>
    </row>
    <row r="9317">
      <c r="D9317" s="21" t="n">
        <v>0</v>
      </c>
      <c r="E9317" s="21" t="n">
        <v>0</v>
      </c>
      <c r="F9317" s="21" t="n">
        <v>0</v>
      </c>
      <c r="G9317" s="21" t="n">
        <v>0</v>
      </c>
      <c r="H9317" s="21" t="n">
        <v>0</v>
      </c>
      <c r="I9317" s="21" t="n">
        <v>0</v>
      </c>
      <c r="J9317" s="21" t="n">
        <v>0</v>
      </c>
      <c r="K9317" s="21" t="n">
        <v>0</v>
      </c>
      <c r="L9317" s="21">
        <f>$B$8764</f>
        <v/>
      </c>
      <c r="M9317" s="21">
        <f>$B$8766</f>
        <v/>
      </c>
      <c r="N9317" s="21">
        <f>0</f>
        <v/>
      </c>
      <c r="O9317" s="21">
        <f>2*$B$8765</f>
        <v/>
      </c>
      <c r="P9317" s="21">
        <f>-$B$8764</f>
        <v/>
      </c>
      <c r="Q9317" s="21">
        <f>$B$8766</f>
        <v/>
      </c>
      <c r="R9317" s="21" t="n">
        <v>0</v>
      </c>
      <c r="S9317" s="21" t="n">
        <v>0</v>
      </c>
      <c r="T9317" s="21" t="n">
        <v>0</v>
      </c>
      <c r="U9317" s="21" t="n">
        <v>0</v>
      </c>
      <c r="V9317" s="21" t="n">
        <v>0</v>
      </c>
      <c r="W9317" s="21" t="n">
        <v>0</v>
      </c>
      <c r="X9317" s="21" t="n">
        <v>0</v>
      </c>
      <c r="Y9317" s="21" t="n">
        <v>0</v>
      </c>
      <c r="Z9317" s="19" t="n"/>
    </row>
    <row r="9318">
      <c r="D9318" s="21" t="n">
        <v>0</v>
      </c>
      <c r="E9318" s="21" t="n">
        <v>0</v>
      </c>
      <c r="F9318" s="21" t="n">
        <v>0</v>
      </c>
      <c r="G9318" s="21" t="n">
        <v>0</v>
      </c>
      <c r="H9318" s="21" t="n">
        <v>0</v>
      </c>
      <c r="I9318" s="21" t="n">
        <v>0</v>
      </c>
      <c r="J9318" s="21" t="n">
        <v>0</v>
      </c>
      <c r="K9318" s="21" t="n">
        <v>0</v>
      </c>
      <c r="L9318" s="21" t="n">
        <v>0</v>
      </c>
      <c r="M9318" s="21" t="n">
        <v>0</v>
      </c>
      <c r="N9318" s="21">
        <f>-$B$8763</f>
        <v/>
      </c>
      <c r="O9318" s="21">
        <f>-$B$8764</f>
        <v/>
      </c>
      <c r="P9318" s="21">
        <f>2*$B$8763+$D$9300</f>
        <v/>
      </c>
      <c r="Q9318" s="21">
        <f>0</f>
        <v/>
      </c>
      <c r="R9318" s="21">
        <f>-$B$8763</f>
        <v/>
      </c>
      <c r="S9318" s="21">
        <f>$B$8764</f>
        <v/>
      </c>
      <c r="T9318" s="21" t="n">
        <v>0</v>
      </c>
      <c r="U9318" s="21" t="n">
        <v>0</v>
      </c>
      <c r="V9318" s="21" t="n">
        <v>0</v>
      </c>
      <c r="W9318" s="21" t="n">
        <v>0</v>
      </c>
      <c r="X9318" s="21" t="n">
        <v>0</v>
      </c>
      <c r="Y9318" s="21" t="n">
        <v>0</v>
      </c>
      <c r="Z9318" s="19" t="n"/>
    </row>
    <row r="9319">
      <c r="D9319" s="21" t="n">
        <v>0</v>
      </c>
      <c r="E9319" s="21" t="n">
        <v>0</v>
      </c>
      <c r="F9319" s="21" t="n">
        <v>0</v>
      </c>
      <c r="G9319" s="21" t="n">
        <v>0</v>
      </c>
      <c r="H9319" s="21" t="n">
        <v>0</v>
      </c>
      <c r="I9319" s="21" t="n">
        <v>0</v>
      </c>
      <c r="J9319" s="21" t="n">
        <v>0</v>
      </c>
      <c r="K9319" s="21" t="n">
        <v>0</v>
      </c>
      <c r="L9319" s="21" t="n">
        <v>0</v>
      </c>
      <c r="M9319" s="21" t="n">
        <v>0</v>
      </c>
      <c r="N9319" s="21">
        <f>$B$8764</f>
        <v/>
      </c>
      <c r="O9319" s="21">
        <f>$B$8766</f>
        <v/>
      </c>
      <c r="P9319" s="21">
        <f>0</f>
        <v/>
      </c>
      <c r="Q9319" s="21">
        <f>2*$B$8765</f>
        <v/>
      </c>
      <c r="R9319" s="21">
        <f>-$B$8764</f>
        <v/>
      </c>
      <c r="S9319" s="21">
        <f>$B$8766</f>
        <v/>
      </c>
      <c r="T9319" s="21" t="n">
        <v>0</v>
      </c>
      <c r="U9319" s="21" t="n">
        <v>0</v>
      </c>
      <c r="V9319" s="21" t="n">
        <v>0</v>
      </c>
      <c r="W9319" s="21" t="n">
        <v>0</v>
      </c>
      <c r="X9319" s="21" t="n">
        <v>0</v>
      </c>
      <c r="Y9319" s="21" t="n">
        <v>0</v>
      </c>
      <c r="Z9319" s="19" t="n"/>
    </row>
    <row r="9320">
      <c r="D9320" s="21" t="n">
        <v>0</v>
      </c>
      <c r="E9320" s="21" t="n">
        <v>0</v>
      </c>
      <c r="F9320" s="21" t="n">
        <v>0</v>
      </c>
      <c r="G9320" s="21" t="n">
        <v>0</v>
      </c>
      <c r="H9320" s="21" t="n">
        <v>0</v>
      </c>
      <c r="I9320" s="21" t="n">
        <v>0</v>
      </c>
      <c r="J9320" s="21" t="n">
        <v>0</v>
      </c>
      <c r="K9320" s="21" t="n">
        <v>0</v>
      </c>
      <c r="L9320" s="21" t="n">
        <v>0</v>
      </c>
      <c r="M9320" s="21" t="n">
        <v>0</v>
      </c>
      <c r="N9320" s="21" t="n">
        <v>0</v>
      </c>
      <c r="O9320" s="21" t="n">
        <v>0</v>
      </c>
      <c r="P9320" s="21">
        <f>-$B$8763</f>
        <v/>
      </c>
      <c r="Q9320" s="21">
        <f>-$B$8764</f>
        <v/>
      </c>
      <c r="R9320" s="21">
        <f>2*$B$8763+$D$9301</f>
        <v/>
      </c>
      <c r="S9320" s="21">
        <f>0</f>
        <v/>
      </c>
      <c r="T9320" s="21">
        <f>-$B$8763</f>
        <v/>
      </c>
      <c r="U9320" s="21">
        <f>$B$8764</f>
        <v/>
      </c>
      <c r="V9320" s="21" t="n">
        <v>0</v>
      </c>
      <c r="W9320" s="21" t="n">
        <v>0</v>
      </c>
      <c r="X9320" s="21" t="n">
        <v>0</v>
      </c>
      <c r="Y9320" s="21" t="n">
        <v>0</v>
      </c>
      <c r="Z9320" s="19" t="n"/>
    </row>
    <row r="9321">
      <c r="D9321" s="21" t="n">
        <v>0</v>
      </c>
      <c r="E9321" s="21" t="n">
        <v>0</v>
      </c>
      <c r="F9321" s="21" t="n">
        <v>0</v>
      </c>
      <c r="G9321" s="21" t="n">
        <v>0</v>
      </c>
      <c r="H9321" s="21" t="n">
        <v>0</v>
      </c>
      <c r="I9321" s="21" t="n">
        <v>0</v>
      </c>
      <c r="J9321" s="21" t="n">
        <v>0</v>
      </c>
      <c r="K9321" s="21" t="n">
        <v>0</v>
      </c>
      <c r="L9321" s="21" t="n">
        <v>0</v>
      </c>
      <c r="M9321" s="21" t="n">
        <v>0</v>
      </c>
      <c r="N9321" s="21" t="n">
        <v>0</v>
      </c>
      <c r="O9321" s="21" t="n">
        <v>0</v>
      </c>
      <c r="P9321" s="21">
        <f>$B$8764</f>
        <v/>
      </c>
      <c r="Q9321" s="21">
        <f>$B$8766</f>
        <v/>
      </c>
      <c r="R9321" s="21">
        <f>0</f>
        <v/>
      </c>
      <c r="S9321" s="21">
        <f>2*$B$8765</f>
        <v/>
      </c>
      <c r="T9321" s="21">
        <f>-$B$8764</f>
        <v/>
      </c>
      <c r="U9321" s="21">
        <f>$B$8766</f>
        <v/>
      </c>
      <c r="V9321" s="21" t="n">
        <v>0</v>
      </c>
      <c r="W9321" s="21" t="n">
        <v>0</v>
      </c>
      <c r="X9321" s="21" t="n">
        <v>0</v>
      </c>
      <c r="Y9321" s="21" t="n">
        <v>0</v>
      </c>
      <c r="Z9321" s="19" t="n"/>
    </row>
    <row r="9322">
      <c r="D9322" s="21" t="n">
        <v>0</v>
      </c>
      <c r="E9322" s="21" t="n">
        <v>0</v>
      </c>
      <c r="F9322" s="21" t="n">
        <v>0</v>
      </c>
      <c r="G9322" s="21" t="n">
        <v>0</v>
      </c>
      <c r="H9322" s="21" t="n">
        <v>0</v>
      </c>
      <c r="I9322" s="21" t="n">
        <v>0</v>
      </c>
      <c r="J9322" s="21" t="n">
        <v>0</v>
      </c>
      <c r="K9322" s="21" t="n">
        <v>0</v>
      </c>
      <c r="L9322" s="21" t="n">
        <v>0</v>
      </c>
      <c r="M9322" s="21" t="n">
        <v>0</v>
      </c>
      <c r="N9322" s="21" t="n">
        <v>0</v>
      </c>
      <c r="O9322" s="21" t="n">
        <v>0</v>
      </c>
      <c r="P9322" s="21" t="n">
        <v>0</v>
      </c>
      <c r="Q9322" s="21" t="n">
        <v>0</v>
      </c>
      <c r="R9322" s="21">
        <f>-$B$8763</f>
        <v/>
      </c>
      <c r="S9322" s="21">
        <f>-$B$8764</f>
        <v/>
      </c>
      <c r="T9322" s="21">
        <f>2*$B$8763+$D$9302</f>
        <v/>
      </c>
      <c r="U9322" s="21">
        <f>0</f>
        <v/>
      </c>
      <c r="V9322" s="21">
        <f>-$B$8763</f>
        <v/>
      </c>
      <c r="W9322" s="21">
        <f>$B$8764</f>
        <v/>
      </c>
      <c r="X9322" s="21" t="n">
        <v>0</v>
      </c>
      <c r="Y9322" s="21" t="n">
        <v>0</v>
      </c>
      <c r="Z9322" s="19" t="n"/>
    </row>
    <row r="9323">
      <c r="D9323" s="21" t="n">
        <v>0</v>
      </c>
      <c r="E9323" s="21" t="n">
        <v>0</v>
      </c>
      <c r="F9323" s="21" t="n">
        <v>0</v>
      </c>
      <c r="G9323" s="21" t="n">
        <v>0</v>
      </c>
      <c r="H9323" s="21" t="n">
        <v>0</v>
      </c>
      <c r="I9323" s="21" t="n">
        <v>0</v>
      </c>
      <c r="J9323" s="21" t="n">
        <v>0</v>
      </c>
      <c r="K9323" s="21" t="n">
        <v>0</v>
      </c>
      <c r="L9323" s="21" t="n">
        <v>0</v>
      </c>
      <c r="M9323" s="21" t="n">
        <v>0</v>
      </c>
      <c r="N9323" s="21" t="n">
        <v>0</v>
      </c>
      <c r="O9323" s="21" t="n">
        <v>0</v>
      </c>
      <c r="P9323" s="21" t="n">
        <v>0</v>
      </c>
      <c r="Q9323" s="21" t="n">
        <v>0</v>
      </c>
      <c r="R9323" s="21">
        <f>$B$8764</f>
        <v/>
      </c>
      <c r="S9323" s="21">
        <f>$B$8766</f>
        <v/>
      </c>
      <c r="T9323" s="21">
        <f>0</f>
        <v/>
      </c>
      <c r="U9323" s="21">
        <f>2*$B$8765</f>
        <v/>
      </c>
      <c r="V9323" s="21">
        <f>-$B$8764</f>
        <v/>
      </c>
      <c r="W9323" s="21">
        <f>$B$8766</f>
        <v/>
      </c>
      <c r="X9323" s="21" t="n">
        <v>0</v>
      </c>
      <c r="Y9323" s="21" t="n">
        <v>0</v>
      </c>
      <c r="Z9323" s="19" t="n"/>
    </row>
    <row r="9324">
      <c r="D9324" s="21" t="n">
        <v>0</v>
      </c>
      <c r="E9324" s="21" t="n">
        <v>0</v>
      </c>
      <c r="F9324" s="21" t="n">
        <v>0</v>
      </c>
      <c r="G9324" s="21" t="n">
        <v>0</v>
      </c>
      <c r="H9324" s="21" t="n">
        <v>0</v>
      </c>
      <c r="I9324" s="21" t="n">
        <v>0</v>
      </c>
      <c r="J9324" s="21" t="n">
        <v>0</v>
      </c>
      <c r="K9324" s="21" t="n">
        <v>0</v>
      </c>
      <c r="L9324" s="21" t="n">
        <v>0</v>
      </c>
      <c r="M9324" s="21" t="n">
        <v>0</v>
      </c>
      <c r="N9324" s="21" t="n">
        <v>0</v>
      </c>
      <c r="O9324" s="21" t="n">
        <v>0</v>
      </c>
      <c r="P9324" s="21" t="n">
        <v>0</v>
      </c>
      <c r="Q9324" s="21" t="n">
        <v>0</v>
      </c>
      <c r="R9324" s="21" t="n">
        <v>0</v>
      </c>
      <c r="S9324" s="21" t="n">
        <v>0</v>
      </c>
      <c r="T9324" s="21">
        <f>-$B$8763</f>
        <v/>
      </c>
      <c r="U9324" s="21">
        <f>-$B$8764</f>
        <v/>
      </c>
      <c r="V9324" s="21">
        <f>2*$B$8763+$D$9303</f>
        <v/>
      </c>
      <c r="W9324" s="21">
        <f>0</f>
        <v/>
      </c>
      <c r="X9324" s="21">
        <f>-$B$8763</f>
        <v/>
      </c>
      <c r="Y9324" s="21">
        <f>$B$8764</f>
        <v/>
      </c>
      <c r="Z9324" s="19" t="n"/>
    </row>
    <row r="9325">
      <c r="D9325" s="21" t="n">
        <v>0</v>
      </c>
      <c r="E9325" s="21" t="n">
        <v>0</v>
      </c>
      <c r="F9325" s="21" t="n">
        <v>0</v>
      </c>
      <c r="G9325" s="21" t="n">
        <v>0</v>
      </c>
      <c r="H9325" s="21" t="n">
        <v>0</v>
      </c>
      <c r="I9325" s="21" t="n">
        <v>0</v>
      </c>
      <c r="J9325" s="21" t="n">
        <v>0</v>
      </c>
      <c r="K9325" s="21" t="n">
        <v>0</v>
      </c>
      <c r="L9325" s="21" t="n">
        <v>0</v>
      </c>
      <c r="M9325" s="21" t="n">
        <v>0</v>
      </c>
      <c r="N9325" s="21" t="n">
        <v>0</v>
      </c>
      <c r="O9325" s="21" t="n">
        <v>0</v>
      </c>
      <c r="P9325" s="21" t="n">
        <v>0</v>
      </c>
      <c r="Q9325" s="21" t="n">
        <v>0</v>
      </c>
      <c r="R9325" s="21" t="n">
        <v>0</v>
      </c>
      <c r="S9325" s="21" t="n">
        <v>0</v>
      </c>
      <c r="T9325" s="21">
        <f>$B$8764</f>
        <v/>
      </c>
      <c r="U9325" s="21">
        <f>$B$8766</f>
        <v/>
      </c>
      <c r="V9325" s="21">
        <f>0</f>
        <v/>
      </c>
      <c r="W9325" s="21">
        <f>2*$B$8765</f>
        <v/>
      </c>
      <c r="X9325" s="21">
        <f>-$B$8764</f>
        <v/>
      </c>
      <c r="Y9325" s="21">
        <f>$B$8766</f>
        <v/>
      </c>
      <c r="Z9325" s="19" t="n"/>
    </row>
    <row r="9326">
      <c r="D9326" s="21" t="n">
        <v>0</v>
      </c>
      <c r="E9326" s="21" t="n">
        <v>0</v>
      </c>
      <c r="F9326" s="21" t="n">
        <v>0</v>
      </c>
      <c r="G9326" s="21" t="n">
        <v>0</v>
      </c>
      <c r="H9326" s="21" t="n">
        <v>0</v>
      </c>
      <c r="I9326" s="21" t="n">
        <v>0</v>
      </c>
      <c r="J9326" s="21" t="n">
        <v>0</v>
      </c>
      <c r="K9326" s="21" t="n">
        <v>0</v>
      </c>
      <c r="L9326" s="21" t="n">
        <v>0</v>
      </c>
      <c r="M9326" s="21" t="n">
        <v>0</v>
      </c>
      <c r="N9326" s="21" t="n">
        <v>0</v>
      </c>
      <c r="O9326" s="21" t="n">
        <v>0</v>
      </c>
      <c r="P9326" s="21" t="n">
        <v>0</v>
      </c>
      <c r="Q9326" s="21" t="n">
        <v>0</v>
      </c>
      <c r="R9326" s="21" t="n">
        <v>0</v>
      </c>
      <c r="S9326" s="21" t="n">
        <v>0</v>
      </c>
      <c r="T9326" s="21" t="n">
        <v>0</v>
      </c>
      <c r="U9326" s="21" t="n">
        <v>0</v>
      </c>
      <c r="V9326" s="21">
        <f>-$B$8763</f>
        <v/>
      </c>
      <c r="W9326" s="21">
        <f>-$B$8764</f>
        <v/>
      </c>
      <c r="X9326" s="21">
        <f>$B$8763+$D$9304</f>
        <v/>
      </c>
      <c r="Y9326" s="21">
        <f>-$B$8764</f>
        <v/>
      </c>
      <c r="Z9326" s="19" t="n"/>
    </row>
    <row r="9327">
      <c r="D9327" s="21" t="n">
        <v>0</v>
      </c>
      <c r="E9327" s="21" t="n">
        <v>0</v>
      </c>
      <c r="F9327" s="21" t="n">
        <v>0</v>
      </c>
      <c r="G9327" s="21" t="n">
        <v>0</v>
      </c>
      <c r="H9327" s="21" t="n">
        <v>0</v>
      </c>
      <c r="I9327" s="21" t="n">
        <v>0</v>
      </c>
      <c r="J9327" s="21" t="n">
        <v>0</v>
      </c>
      <c r="K9327" s="21" t="n">
        <v>0</v>
      </c>
      <c r="L9327" s="21" t="n">
        <v>0</v>
      </c>
      <c r="M9327" s="21" t="n">
        <v>0</v>
      </c>
      <c r="N9327" s="21" t="n">
        <v>0</v>
      </c>
      <c r="O9327" s="21" t="n">
        <v>0</v>
      </c>
      <c r="P9327" s="21" t="n">
        <v>0</v>
      </c>
      <c r="Q9327" s="21" t="n">
        <v>0</v>
      </c>
      <c r="R9327" s="21" t="n">
        <v>0</v>
      </c>
      <c r="S9327" s="21" t="n">
        <v>0</v>
      </c>
      <c r="T9327" s="21" t="n">
        <v>0</v>
      </c>
      <c r="U9327" s="21" t="n">
        <v>0</v>
      </c>
      <c r="V9327" s="21">
        <f>$B$8764</f>
        <v/>
      </c>
      <c r="W9327" s="21">
        <f>$B$8766</f>
        <v/>
      </c>
      <c r="X9327" s="21">
        <f>-$B$8764</f>
        <v/>
      </c>
      <c r="Y9327" s="21">
        <f>$B$8765</f>
        <v/>
      </c>
      <c r="Z9327" s="19" t="n"/>
    </row>
    <row r="9329">
      <c r="A9329" s="8" t="inlineStr">
        <is>
          <t>gen 15</t>
        </is>
      </c>
    </row>
    <row r="9330">
      <c r="D9330" s="19">
        <f>IF(ABS(IF(ABS($E$9294)&gt;0.000000001,$E$9294,0.000000001))=0,0,IF($E$8778&lt;=$B$8772,0,IF(ABS(IF(ABS($E$9294)&gt;0.000000001,$E$9294,0.000000001))&gt;=8*$B$8774,$H$8778,0.5*$H$8778*(ABS(IF(ABS($E$9294)&gt;0.000000001,$E$9294,0.000000001))/$B$8774)^(1/3)))/ABS(IF(ABS($E$9294)&gt;0.000000001,$E$9294,0.000000001))*$I$8778)</f>
        <v/>
      </c>
      <c r="E9330" s="19">
        <f>0.5*$E$9294+0.5*$Z$9342</f>
        <v/>
      </c>
      <c r="F9330" s="19">
        <f>$Z$9343</f>
        <v/>
      </c>
    </row>
    <row r="9331">
      <c r="D9331" s="19">
        <f>IF(ABS(IF(ABS($E$9295)&gt;0.000000001,$E$9295,0.000000001))=0,0,IF($E$8779&lt;=$B$8772,0,IF(ABS(IF(ABS($E$9295)&gt;0.000000001,$E$9295,0.000000001))&gt;=8*$B$8774,$H$8779,0.5*$H$8779*(ABS(IF(ABS($E$9295)&gt;0.000000001,$E$9295,0.000000001))/$B$8774)^(1/3)))/ABS(IF(ABS($E$9295)&gt;0.000000001,$E$9295,0.000000001))*$I$8779)</f>
        <v/>
      </c>
      <c r="E9331" s="19">
        <f>0.5*$E$9295+0.5*$Z$9344</f>
        <v/>
      </c>
      <c r="F9331" s="19">
        <f>$Z$9345</f>
        <v/>
      </c>
    </row>
    <row r="9332">
      <c r="D9332" s="19">
        <f>IF(ABS(IF(ABS($E$9296)&gt;0.000000001,$E$9296,0.000000001))=0,0,IF($E$8780&lt;=$B$8772,0,IF(ABS(IF(ABS($E$9296)&gt;0.000000001,$E$9296,0.000000001))&gt;=8*$B$8774,$H$8780,0.5*$H$8780*(ABS(IF(ABS($E$9296)&gt;0.000000001,$E$9296,0.000000001))/$B$8774)^(1/3)))/ABS(IF(ABS($E$9296)&gt;0.000000001,$E$9296,0.000000001))*$I$8780)</f>
        <v/>
      </c>
      <c r="E9332" s="19">
        <f>0.5*$E$9296+0.5*$Z$9346</f>
        <v/>
      </c>
      <c r="F9332" s="19">
        <f>$Z$9347</f>
        <v/>
      </c>
    </row>
    <row r="9333">
      <c r="D9333" s="19">
        <f>IF(ABS(IF(ABS($E$9297)&gt;0.000000001,$E$9297,0.000000001))=0,0,IF($E$8781&lt;=$B$8772,0,IF(ABS(IF(ABS($E$9297)&gt;0.000000001,$E$9297,0.000000001))&gt;=8*$B$8774,$H$8781,0.5*$H$8781*(ABS(IF(ABS($E$9297)&gt;0.000000001,$E$9297,0.000000001))/$B$8774)^(1/3)))/ABS(IF(ABS($E$9297)&gt;0.000000001,$E$9297,0.000000001))*$I$8781)</f>
        <v/>
      </c>
      <c r="E9333" s="19">
        <f>0.5*$E$9297+0.5*$Z$9348</f>
        <v/>
      </c>
      <c r="F9333" s="19">
        <f>$Z$9349</f>
        <v/>
      </c>
    </row>
    <row r="9334">
      <c r="D9334" s="19">
        <f>IF(ABS(IF(ABS($E$9298)&gt;0.000000001,$E$9298,0.000000001))=0,0,IF($E$8782&lt;=$B$8772,0,IF(ABS(IF(ABS($E$9298)&gt;0.000000001,$E$9298,0.000000001))&gt;=8*$B$8774,$H$8782,0.5*$H$8782*(ABS(IF(ABS($E$9298)&gt;0.000000001,$E$9298,0.000000001))/$B$8774)^(1/3)))/ABS(IF(ABS($E$9298)&gt;0.000000001,$E$9298,0.000000001))*$I$8782)</f>
        <v/>
      </c>
      <c r="E9334" s="19">
        <f>0.5*$E$9298+0.5*$Z$9350</f>
        <v/>
      </c>
      <c r="F9334" s="19">
        <f>$Z$9351</f>
        <v/>
      </c>
    </row>
    <row r="9335">
      <c r="D9335" s="19">
        <f>IF(ABS(IF(ABS($E$9299)&gt;0.000000001,$E$9299,0.000000001))=0,0,IF($E$8783&lt;=$B$8772,0,IF(ABS(IF(ABS($E$9299)&gt;0.000000001,$E$9299,0.000000001))&gt;=8*$B$8774,$H$8783,0.5*$H$8783*(ABS(IF(ABS($E$9299)&gt;0.000000001,$E$9299,0.000000001))/$B$8774)^(1/3)))/ABS(IF(ABS($E$9299)&gt;0.000000001,$E$9299,0.000000001))*$I$8783)</f>
        <v/>
      </c>
      <c r="E9335" s="19">
        <f>0.5*$E$9299+0.5*$Z$9352</f>
        <v/>
      </c>
      <c r="F9335" s="19">
        <f>$Z$9353</f>
        <v/>
      </c>
    </row>
    <row r="9336">
      <c r="D9336" s="19">
        <f>IF(ABS(IF(ABS($E$9300)&gt;0.000000001,$E$9300,0.000000001))=0,0,IF($E$8784&lt;=$B$8772,0,IF(ABS(IF(ABS($E$9300)&gt;0.000000001,$E$9300,0.000000001))&gt;=8*$B$8774,$H$8784,0.5*$H$8784*(ABS(IF(ABS($E$9300)&gt;0.000000001,$E$9300,0.000000001))/$B$8774)^(1/3)))/ABS(IF(ABS($E$9300)&gt;0.000000001,$E$9300,0.000000001))*$I$8784)</f>
        <v/>
      </c>
      <c r="E9336" s="19">
        <f>0.5*$E$9300+0.5*$Z$9354</f>
        <v/>
      </c>
      <c r="F9336" s="19">
        <f>$Z$9355</f>
        <v/>
      </c>
    </row>
    <row r="9337">
      <c r="D9337" s="19">
        <f>IF(ABS(IF(ABS($E$9301)&gt;0.000000001,$E$9301,0.000000001))=0,0,IF($E$8785&lt;=$B$8772,0,IF(ABS(IF(ABS($E$9301)&gt;0.000000001,$E$9301,0.000000001))&gt;=8*$B$8774,$H$8785,0.5*$H$8785*(ABS(IF(ABS($E$9301)&gt;0.000000001,$E$9301,0.000000001))/$B$8774)^(1/3)))/ABS(IF(ABS($E$9301)&gt;0.000000001,$E$9301,0.000000001))*$I$8785)</f>
        <v/>
      </c>
      <c r="E9337" s="19">
        <f>0.5*$E$9301+0.5*$Z$9356</f>
        <v/>
      </c>
      <c r="F9337" s="19">
        <f>$Z$9357</f>
        <v/>
      </c>
    </row>
    <row r="9338">
      <c r="D9338" s="19">
        <f>IF(ABS(IF(ABS($E$9302)&gt;0.000000001,$E$9302,0.000000001))=0,0,IF($E$8786&lt;=$B$8772,0,IF(ABS(IF(ABS($E$9302)&gt;0.000000001,$E$9302,0.000000001))&gt;=8*$B$8774,$H$8786,0.5*$H$8786*(ABS(IF(ABS($E$9302)&gt;0.000000001,$E$9302,0.000000001))/$B$8774)^(1/3)))/ABS(IF(ABS($E$9302)&gt;0.000000001,$E$9302,0.000000001))*$I$8786)</f>
        <v/>
      </c>
      <c r="E9338" s="19">
        <f>0.5*$E$9302+0.5*$Z$9358</f>
        <v/>
      </c>
      <c r="F9338" s="19">
        <f>$Z$9359</f>
        <v/>
      </c>
    </row>
    <row r="9339">
      <c r="D9339" s="19">
        <f>IF(ABS(IF(ABS($E$9303)&gt;0.000000001,$E$9303,0.000000001))=0,0,IF($E$8787&lt;=$B$8772,0,IF(ABS(IF(ABS($E$9303)&gt;0.000000001,$E$9303,0.000000001))&gt;=8*$B$8774,$H$8787,0.5*$H$8787*(ABS(IF(ABS($E$9303)&gt;0.000000001,$E$9303,0.000000001))/$B$8774)^(1/3)))/ABS(IF(ABS($E$9303)&gt;0.000000001,$E$9303,0.000000001))*$I$8787)</f>
        <v/>
      </c>
      <c r="E9339" s="19">
        <f>0.5*$E$9303+0.5*$Z$9360</f>
        <v/>
      </c>
      <c r="F9339" s="19">
        <f>$Z$9361</f>
        <v/>
      </c>
    </row>
    <row r="9340">
      <c r="D9340" s="19">
        <f>IF(ABS(IF(ABS($E$9304)&gt;0.000000001,$E$9304,0.000000001))=0,0,IF($E$8788&lt;=$B$8772,0,IF(ABS(IF(ABS($E$9304)&gt;0.000000001,$E$9304,0.000000001))&gt;=8*$B$8774,$H$8788,0.5*$H$8788*(ABS(IF(ABS($E$9304)&gt;0.000000001,$E$9304,0.000000001))/$B$8774)^(1/3)))/ABS(IF(ABS($E$9304)&gt;0.000000001,$E$9304,0.000000001))*$I$8788)</f>
        <v/>
      </c>
      <c r="E9340" s="19">
        <f>0.5*$E$9304+0.5*$Z$9362</f>
        <v/>
      </c>
      <c r="F9340" s="19">
        <f>$Z$9363</f>
        <v/>
      </c>
    </row>
    <row r="9342">
      <c r="D9342" s="21">
        <f>$B$8763+$D$9330</f>
        <v/>
      </c>
      <c r="E9342" s="21">
        <f>$B$8764</f>
        <v/>
      </c>
      <c r="F9342" s="21">
        <f>-$B$8763</f>
        <v/>
      </c>
      <c r="G9342" s="21">
        <f>$B$8764</f>
        <v/>
      </c>
      <c r="H9342" s="21" t="n">
        <v>0</v>
      </c>
      <c r="I9342" s="21" t="n">
        <v>0</v>
      </c>
      <c r="J9342" s="21" t="n">
        <v>0</v>
      </c>
      <c r="K9342" s="21" t="n">
        <v>0</v>
      </c>
      <c r="L9342" s="21" t="n">
        <v>0</v>
      </c>
      <c r="M9342" s="21" t="n">
        <v>0</v>
      </c>
      <c r="N9342" s="21" t="n">
        <v>0</v>
      </c>
      <c r="O9342" s="21" t="n">
        <v>0</v>
      </c>
      <c r="P9342" s="21" t="n">
        <v>0</v>
      </c>
      <c r="Q9342" s="21" t="n">
        <v>0</v>
      </c>
      <c r="R9342" s="21" t="n">
        <v>0</v>
      </c>
      <c r="S9342" s="21" t="n">
        <v>0</v>
      </c>
      <c r="T9342" s="21" t="n">
        <v>0</v>
      </c>
      <c r="U9342" s="21" t="n">
        <v>0</v>
      </c>
      <c r="V9342" s="21" t="n">
        <v>0</v>
      </c>
      <c r="W9342" s="21" t="n">
        <v>0</v>
      </c>
      <c r="X9342" s="21" t="n">
        <v>0</v>
      </c>
      <c r="Y9342" s="21" t="n">
        <v>0</v>
      </c>
      <c r="Z9342" s="19">
        <f t="array" ref="Z9342:Z9363">MMULT(MINVERSE($D$9342:$Y$9363),$D$8790:$D$8811)</f>
        <v/>
      </c>
    </row>
    <row r="9343">
      <c r="D9343" s="21">
        <f>$B$8764</f>
        <v/>
      </c>
      <c r="E9343" s="21">
        <f>$B$8765</f>
        <v/>
      </c>
      <c r="F9343" s="21">
        <f>-$B$8764</f>
        <v/>
      </c>
      <c r="G9343" s="21">
        <f>$B$8766</f>
        <v/>
      </c>
      <c r="H9343" s="21" t="n">
        <v>0</v>
      </c>
      <c r="I9343" s="21" t="n">
        <v>0</v>
      </c>
      <c r="J9343" s="21" t="n">
        <v>0</v>
      </c>
      <c r="K9343" s="21" t="n">
        <v>0</v>
      </c>
      <c r="L9343" s="21" t="n">
        <v>0</v>
      </c>
      <c r="M9343" s="21" t="n">
        <v>0</v>
      </c>
      <c r="N9343" s="21" t="n">
        <v>0</v>
      </c>
      <c r="O9343" s="21" t="n">
        <v>0</v>
      </c>
      <c r="P9343" s="21" t="n">
        <v>0</v>
      </c>
      <c r="Q9343" s="21" t="n">
        <v>0</v>
      </c>
      <c r="R9343" s="21" t="n">
        <v>0</v>
      </c>
      <c r="S9343" s="21" t="n">
        <v>0</v>
      </c>
      <c r="T9343" s="21" t="n">
        <v>0</v>
      </c>
      <c r="U9343" s="21" t="n">
        <v>0</v>
      </c>
      <c r="V9343" s="21" t="n">
        <v>0</v>
      </c>
      <c r="W9343" s="21" t="n">
        <v>0</v>
      </c>
      <c r="X9343" s="21" t="n">
        <v>0</v>
      </c>
      <c r="Y9343" s="21" t="n">
        <v>0</v>
      </c>
      <c r="Z9343" s="19" t="n"/>
    </row>
    <row r="9344">
      <c r="D9344" s="21">
        <f>-$B$8763</f>
        <v/>
      </c>
      <c r="E9344" s="21">
        <f>-$B$8764</f>
        <v/>
      </c>
      <c r="F9344" s="21">
        <f>2*$B$8763+$D$9331</f>
        <v/>
      </c>
      <c r="G9344" s="21">
        <f>0</f>
        <v/>
      </c>
      <c r="H9344" s="21">
        <f>-$B$8763</f>
        <v/>
      </c>
      <c r="I9344" s="21">
        <f>$B$8764</f>
        <v/>
      </c>
      <c r="J9344" s="21" t="n">
        <v>0</v>
      </c>
      <c r="K9344" s="21" t="n">
        <v>0</v>
      </c>
      <c r="L9344" s="21" t="n">
        <v>0</v>
      </c>
      <c r="M9344" s="21" t="n">
        <v>0</v>
      </c>
      <c r="N9344" s="21" t="n">
        <v>0</v>
      </c>
      <c r="O9344" s="21" t="n">
        <v>0</v>
      </c>
      <c r="P9344" s="21" t="n">
        <v>0</v>
      </c>
      <c r="Q9344" s="21" t="n">
        <v>0</v>
      </c>
      <c r="R9344" s="21" t="n">
        <v>0</v>
      </c>
      <c r="S9344" s="21" t="n">
        <v>0</v>
      </c>
      <c r="T9344" s="21" t="n">
        <v>0</v>
      </c>
      <c r="U9344" s="21" t="n">
        <v>0</v>
      </c>
      <c r="V9344" s="21" t="n">
        <v>0</v>
      </c>
      <c r="W9344" s="21" t="n">
        <v>0</v>
      </c>
      <c r="X9344" s="21" t="n">
        <v>0</v>
      </c>
      <c r="Y9344" s="21" t="n">
        <v>0</v>
      </c>
      <c r="Z9344" s="19" t="n"/>
    </row>
    <row r="9345">
      <c r="D9345" s="21">
        <f>$B$8764</f>
        <v/>
      </c>
      <c r="E9345" s="21">
        <f>$B$8766</f>
        <v/>
      </c>
      <c r="F9345" s="21">
        <f>0</f>
        <v/>
      </c>
      <c r="G9345" s="21">
        <f>2*$B$8765</f>
        <v/>
      </c>
      <c r="H9345" s="21">
        <f>-$B$8764</f>
        <v/>
      </c>
      <c r="I9345" s="21">
        <f>$B$8766</f>
        <v/>
      </c>
      <c r="J9345" s="21" t="n">
        <v>0</v>
      </c>
      <c r="K9345" s="21" t="n">
        <v>0</v>
      </c>
      <c r="L9345" s="21" t="n">
        <v>0</v>
      </c>
      <c r="M9345" s="21" t="n">
        <v>0</v>
      </c>
      <c r="N9345" s="21" t="n">
        <v>0</v>
      </c>
      <c r="O9345" s="21" t="n">
        <v>0</v>
      </c>
      <c r="P9345" s="21" t="n">
        <v>0</v>
      </c>
      <c r="Q9345" s="21" t="n">
        <v>0</v>
      </c>
      <c r="R9345" s="21" t="n">
        <v>0</v>
      </c>
      <c r="S9345" s="21" t="n">
        <v>0</v>
      </c>
      <c r="T9345" s="21" t="n">
        <v>0</v>
      </c>
      <c r="U9345" s="21" t="n">
        <v>0</v>
      </c>
      <c r="V9345" s="21" t="n">
        <v>0</v>
      </c>
      <c r="W9345" s="21" t="n">
        <v>0</v>
      </c>
      <c r="X9345" s="21" t="n">
        <v>0</v>
      </c>
      <c r="Y9345" s="21" t="n">
        <v>0</v>
      </c>
      <c r="Z9345" s="19" t="n"/>
    </row>
    <row r="9346">
      <c r="D9346" s="21" t="n">
        <v>0</v>
      </c>
      <c r="E9346" s="21" t="n">
        <v>0</v>
      </c>
      <c r="F9346" s="21">
        <f>-$B$8763</f>
        <v/>
      </c>
      <c r="G9346" s="21">
        <f>-$B$8764</f>
        <v/>
      </c>
      <c r="H9346" s="21">
        <f>2*$B$8763+$D$9332</f>
        <v/>
      </c>
      <c r="I9346" s="21">
        <f>0</f>
        <v/>
      </c>
      <c r="J9346" s="21">
        <f>-$B$8763</f>
        <v/>
      </c>
      <c r="K9346" s="21">
        <f>$B$8764</f>
        <v/>
      </c>
      <c r="L9346" s="21" t="n">
        <v>0</v>
      </c>
      <c r="M9346" s="21" t="n">
        <v>0</v>
      </c>
      <c r="N9346" s="21" t="n">
        <v>0</v>
      </c>
      <c r="O9346" s="21" t="n">
        <v>0</v>
      </c>
      <c r="P9346" s="21" t="n">
        <v>0</v>
      </c>
      <c r="Q9346" s="21" t="n">
        <v>0</v>
      </c>
      <c r="R9346" s="21" t="n">
        <v>0</v>
      </c>
      <c r="S9346" s="21" t="n">
        <v>0</v>
      </c>
      <c r="T9346" s="21" t="n">
        <v>0</v>
      </c>
      <c r="U9346" s="21" t="n">
        <v>0</v>
      </c>
      <c r="V9346" s="21" t="n">
        <v>0</v>
      </c>
      <c r="W9346" s="21" t="n">
        <v>0</v>
      </c>
      <c r="X9346" s="21" t="n">
        <v>0</v>
      </c>
      <c r="Y9346" s="21" t="n">
        <v>0</v>
      </c>
      <c r="Z9346" s="19" t="n"/>
    </row>
    <row r="9347">
      <c r="D9347" s="21" t="n">
        <v>0</v>
      </c>
      <c r="E9347" s="21" t="n">
        <v>0</v>
      </c>
      <c r="F9347" s="21">
        <f>$B$8764</f>
        <v/>
      </c>
      <c r="G9347" s="21">
        <f>$B$8766</f>
        <v/>
      </c>
      <c r="H9347" s="21">
        <f>0</f>
        <v/>
      </c>
      <c r="I9347" s="21">
        <f>2*$B$8765</f>
        <v/>
      </c>
      <c r="J9347" s="21">
        <f>-$B$8764</f>
        <v/>
      </c>
      <c r="K9347" s="21">
        <f>$B$8766</f>
        <v/>
      </c>
      <c r="L9347" s="21" t="n">
        <v>0</v>
      </c>
      <c r="M9347" s="21" t="n">
        <v>0</v>
      </c>
      <c r="N9347" s="21" t="n">
        <v>0</v>
      </c>
      <c r="O9347" s="21" t="n">
        <v>0</v>
      </c>
      <c r="P9347" s="21" t="n">
        <v>0</v>
      </c>
      <c r="Q9347" s="21" t="n">
        <v>0</v>
      </c>
      <c r="R9347" s="21" t="n">
        <v>0</v>
      </c>
      <c r="S9347" s="21" t="n">
        <v>0</v>
      </c>
      <c r="T9347" s="21" t="n">
        <v>0</v>
      </c>
      <c r="U9347" s="21" t="n">
        <v>0</v>
      </c>
      <c r="V9347" s="21" t="n">
        <v>0</v>
      </c>
      <c r="W9347" s="21" t="n">
        <v>0</v>
      </c>
      <c r="X9347" s="21" t="n">
        <v>0</v>
      </c>
      <c r="Y9347" s="21" t="n">
        <v>0</v>
      </c>
      <c r="Z9347" s="19" t="n"/>
    </row>
    <row r="9348">
      <c r="D9348" s="21" t="n">
        <v>0</v>
      </c>
      <c r="E9348" s="21" t="n">
        <v>0</v>
      </c>
      <c r="F9348" s="21" t="n">
        <v>0</v>
      </c>
      <c r="G9348" s="21" t="n">
        <v>0</v>
      </c>
      <c r="H9348" s="21">
        <f>-$B$8763</f>
        <v/>
      </c>
      <c r="I9348" s="21">
        <f>-$B$8764</f>
        <v/>
      </c>
      <c r="J9348" s="21">
        <f>2*$B$8763+$D$9333</f>
        <v/>
      </c>
      <c r="K9348" s="21">
        <f>0</f>
        <v/>
      </c>
      <c r="L9348" s="21">
        <f>-$B$8763</f>
        <v/>
      </c>
      <c r="M9348" s="21">
        <f>$B$8764</f>
        <v/>
      </c>
      <c r="N9348" s="21" t="n">
        <v>0</v>
      </c>
      <c r="O9348" s="21" t="n">
        <v>0</v>
      </c>
      <c r="P9348" s="21" t="n">
        <v>0</v>
      </c>
      <c r="Q9348" s="21" t="n">
        <v>0</v>
      </c>
      <c r="R9348" s="21" t="n">
        <v>0</v>
      </c>
      <c r="S9348" s="21" t="n">
        <v>0</v>
      </c>
      <c r="T9348" s="21" t="n">
        <v>0</v>
      </c>
      <c r="U9348" s="21" t="n">
        <v>0</v>
      </c>
      <c r="V9348" s="21" t="n">
        <v>0</v>
      </c>
      <c r="W9348" s="21" t="n">
        <v>0</v>
      </c>
      <c r="X9348" s="21" t="n">
        <v>0</v>
      </c>
      <c r="Y9348" s="21" t="n">
        <v>0</v>
      </c>
      <c r="Z9348" s="19" t="n"/>
    </row>
    <row r="9349">
      <c r="D9349" s="21" t="n">
        <v>0</v>
      </c>
      <c r="E9349" s="21" t="n">
        <v>0</v>
      </c>
      <c r="F9349" s="21" t="n">
        <v>0</v>
      </c>
      <c r="G9349" s="21" t="n">
        <v>0</v>
      </c>
      <c r="H9349" s="21">
        <f>$B$8764</f>
        <v/>
      </c>
      <c r="I9349" s="21">
        <f>$B$8766</f>
        <v/>
      </c>
      <c r="J9349" s="21">
        <f>0</f>
        <v/>
      </c>
      <c r="K9349" s="21">
        <f>2*$B$8765</f>
        <v/>
      </c>
      <c r="L9349" s="21">
        <f>-$B$8764</f>
        <v/>
      </c>
      <c r="M9349" s="21">
        <f>$B$8766</f>
        <v/>
      </c>
      <c r="N9349" s="21" t="n">
        <v>0</v>
      </c>
      <c r="O9349" s="21" t="n">
        <v>0</v>
      </c>
      <c r="P9349" s="21" t="n">
        <v>0</v>
      </c>
      <c r="Q9349" s="21" t="n">
        <v>0</v>
      </c>
      <c r="R9349" s="21" t="n">
        <v>0</v>
      </c>
      <c r="S9349" s="21" t="n">
        <v>0</v>
      </c>
      <c r="T9349" s="21" t="n">
        <v>0</v>
      </c>
      <c r="U9349" s="21" t="n">
        <v>0</v>
      </c>
      <c r="V9349" s="21" t="n">
        <v>0</v>
      </c>
      <c r="W9349" s="21" t="n">
        <v>0</v>
      </c>
      <c r="X9349" s="21" t="n">
        <v>0</v>
      </c>
      <c r="Y9349" s="21" t="n">
        <v>0</v>
      </c>
      <c r="Z9349" s="19" t="n"/>
    </row>
    <row r="9350">
      <c r="D9350" s="21" t="n">
        <v>0</v>
      </c>
      <c r="E9350" s="21" t="n">
        <v>0</v>
      </c>
      <c r="F9350" s="21" t="n">
        <v>0</v>
      </c>
      <c r="G9350" s="21" t="n">
        <v>0</v>
      </c>
      <c r="H9350" s="21" t="n">
        <v>0</v>
      </c>
      <c r="I9350" s="21" t="n">
        <v>0</v>
      </c>
      <c r="J9350" s="21">
        <f>-$B$8763</f>
        <v/>
      </c>
      <c r="K9350" s="21">
        <f>-$B$8764</f>
        <v/>
      </c>
      <c r="L9350" s="21">
        <f>2*$B$8763+$D$9334</f>
        <v/>
      </c>
      <c r="M9350" s="21">
        <f>0</f>
        <v/>
      </c>
      <c r="N9350" s="21">
        <f>-$B$8763</f>
        <v/>
      </c>
      <c r="O9350" s="21">
        <f>$B$8764</f>
        <v/>
      </c>
      <c r="P9350" s="21" t="n">
        <v>0</v>
      </c>
      <c r="Q9350" s="21" t="n">
        <v>0</v>
      </c>
      <c r="R9350" s="21" t="n">
        <v>0</v>
      </c>
      <c r="S9350" s="21" t="n">
        <v>0</v>
      </c>
      <c r="T9350" s="21" t="n">
        <v>0</v>
      </c>
      <c r="U9350" s="21" t="n">
        <v>0</v>
      </c>
      <c r="V9350" s="21" t="n">
        <v>0</v>
      </c>
      <c r="W9350" s="21" t="n">
        <v>0</v>
      </c>
      <c r="X9350" s="21" t="n">
        <v>0</v>
      </c>
      <c r="Y9350" s="21" t="n">
        <v>0</v>
      </c>
      <c r="Z9350" s="19" t="n"/>
    </row>
    <row r="9351">
      <c r="D9351" s="21" t="n">
        <v>0</v>
      </c>
      <c r="E9351" s="21" t="n">
        <v>0</v>
      </c>
      <c r="F9351" s="21" t="n">
        <v>0</v>
      </c>
      <c r="G9351" s="21" t="n">
        <v>0</v>
      </c>
      <c r="H9351" s="21" t="n">
        <v>0</v>
      </c>
      <c r="I9351" s="21" t="n">
        <v>0</v>
      </c>
      <c r="J9351" s="21">
        <f>$B$8764</f>
        <v/>
      </c>
      <c r="K9351" s="21">
        <f>$B$8766</f>
        <v/>
      </c>
      <c r="L9351" s="21">
        <f>0</f>
        <v/>
      </c>
      <c r="M9351" s="21">
        <f>2*$B$8765</f>
        <v/>
      </c>
      <c r="N9351" s="21">
        <f>-$B$8764</f>
        <v/>
      </c>
      <c r="O9351" s="21">
        <f>$B$8766</f>
        <v/>
      </c>
      <c r="P9351" s="21" t="n">
        <v>0</v>
      </c>
      <c r="Q9351" s="21" t="n">
        <v>0</v>
      </c>
      <c r="R9351" s="21" t="n">
        <v>0</v>
      </c>
      <c r="S9351" s="21" t="n">
        <v>0</v>
      </c>
      <c r="T9351" s="21" t="n">
        <v>0</v>
      </c>
      <c r="U9351" s="21" t="n">
        <v>0</v>
      </c>
      <c r="V9351" s="21" t="n">
        <v>0</v>
      </c>
      <c r="W9351" s="21" t="n">
        <v>0</v>
      </c>
      <c r="X9351" s="21" t="n">
        <v>0</v>
      </c>
      <c r="Y9351" s="21" t="n">
        <v>0</v>
      </c>
      <c r="Z9351" s="19" t="n"/>
    </row>
    <row r="9352">
      <c r="D9352" s="21" t="n">
        <v>0</v>
      </c>
      <c r="E9352" s="21" t="n">
        <v>0</v>
      </c>
      <c r="F9352" s="21" t="n">
        <v>0</v>
      </c>
      <c r="G9352" s="21" t="n">
        <v>0</v>
      </c>
      <c r="H9352" s="21" t="n">
        <v>0</v>
      </c>
      <c r="I9352" s="21" t="n">
        <v>0</v>
      </c>
      <c r="J9352" s="21" t="n">
        <v>0</v>
      </c>
      <c r="K9352" s="21" t="n">
        <v>0</v>
      </c>
      <c r="L9352" s="21">
        <f>-$B$8763</f>
        <v/>
      </c>
      <c r="M9352" s="21">
        <f>-$B$8764</f>
        <v/>
      </c>
      <c r="N9352" s="21">
        <f>2*$B$8763+$D$9335</f>
        <v/>
      </c>
      <c r="O9352" s="21">
        <f>0</f>
        <v/>
      </c>
      <c r="P9352" s="21">
        <f>-$B$8763</f>
        <v/>
      </c>
      <c r="Q9352" s="21">
        <f>$B$8764</f>
        <v/>
      </c>
      <c r="R9352" s="21" t="n">
        <v>0</v>
      </c>
      <c r="S9352" s="21" t="n">
        <v>0</v>
      </c>
      <c r="T9352" s="21" t="n">
        <v>0</v>
      </c>
      <c r="U9352" s="21" t="n">
        <v>0</v>
      </c>
      <c r="V9352" s="21" t="n">
        <v>0</v>
      </c>
      <c r="W9352" s="21" t="n">
        <v>0</v>
      </c>
      <c r="X9352" s="21" t="n">
        <v>0</v>
      </c>
      <c r="Y9352" s="21" t="n">
        <v>0</v>
      </c>
      <c r="Z9352" s="19" t="n"/>
    </row>
    <row r="9353">
      <c r="D9353" s="21" t="n">
        <v>0</v>
      </c>
      <c r="E9353" s="21" t="n">
        <v>0</v>
      </c>
      <c r="F9353" s="21" t="n">
        <v>0</v>
      </c>
      <c r="G9353" s="21" t="n">
        <v>0</v>
      </c>
      <c r="H9353" s="21" t="n">
        <v>0</v>
      </c>
      <c r="I9353" s="21" t="n">
        <v>0</v>
      </c>
      <c r="J9353" s="21" t="n">
        <v>0</v>
      </c>
      <c r="K9353" s="21" t="n">
        <v>0</v>
      </c>
      <c r="L9353" s="21">
        <f>$B$8764</f>
        <v/>
      </c>
      <c r="M9353" s="21">
        <f>$B$8766</f>
        <v/>
      </c>
      <c r="N9353" s="21">
        <f>0</f>
        <v/>
      </c>
      <c r="O9353" s="21">
        <f>2*$B$8765</f>
        <v/>
      </c>
      <c r="P9353" s="21">
        <f>-$B$8764</f>
        <v/>
      </c>
      <c r="Q9353" s="21">
        <f>$B$8766</f>
        <v/>
      </c>
      <c r="R9353" s="21" t="n">
        <v>0</v>
      </c>
      <c r="S9353" s="21" t="n">
        <v>0</v>
      </c>
      <c r="T9353" s="21" t="n">
        <v>0</v>
      </c>
      <c r="U9353" s="21" t="n">
        <v>0</v>
      </c>
      <c r="V9353" s="21" t="n">
        <v>0</v>
      </c>
      <c r="W9353" s="21" t="n">
        <v>0</v>
      </c>
      <c r="X9353" s="21" t="n">
        <v>0</v>
      </c>
      <c r="Y9353" s="21" t="n">
        <v>0</v>
      </c>
      <c r="Z9353" s="19" t="n"/>
    </row>
    <row r="9354">
      <c r="D9354" s="21" t="n">
        <v>0</v>
      </c>
      <c r="E9354" s="21" t="n">
        <v>0</v>
      </c>
      <c r="F9354" s="21" t="n">
        <v>0</v>
      </c>
      <c r="G9354" s="21" t="n">
        <v>0</v>
      </c>
      <c r="H9354" s="21" t="n">
        <v>0</v>
      </c>
      <c r="I9354" s="21" t="n">
        <v>0</v>
      </c>
      <c r="J9354" s="21" t="n">
        <v>0</v>
      </c>
      <c r="K9354" s="21" t="n">
        <v>0</v>
      </c>
      <c r="L9354" s="21" t="n">
        <v>0</v>
      </c>
      <c r="M9354" s="21" t="n">
        <v>0</v>
      </c>
      <c r="N9354" s="21">
        <f>-$B$8763</f>
        <v/>
      </c>
      <c r="O9354" s="21">
        <f>-$B$8764</f>
        <v/>
      </c>
      <c r="P9354" s="21">
        <f>2*$B$8763+$D$9336</f>
        <v/>
      </c>
      <c r="Q9354" s="21">
        <f>0</f>
        <v/>
      </c>
      <c r="R9354" s="21">
        <f>-$B$8763</f>
        <v/>
      </c>
      <c r="S9354" s="21">
        <f>$B$8764</f>
        <v/>
      </c>
      <c r="T9354" s="21" t="n">
        <v>0</v>
      </c>
      <c r="U9354" s="21" t="n">
        <v>0</v>
      </c>
      <c r="V9354" s="21" t="n">
        <v>0</v>
      </c>
      <c r="W9354" s="21" t="n">
        <v>0</v>
      </c>
      <c r="X9354" s="21" t="n">
        <v>0</v>
      </c>
      <c r="Y9354" s="21" t="n">
        <v>0</v>
      </c>
      <c r="Z9354" s="19" t="n"/>
    </row>
    <row r="9355">
      <c r="D9355" s="21" t="n">
        <v>0</v>
      </c>
      <c r="E9355" s="21" t="n">
        <v>0</v>
      </c>
      <c r="F9355" s="21" t="n">
        <v>0</v>
      </c>
      <c r="G9355" s="21" t="n">
        <v>0</v>
      </c>
      <c r="H9355" s="21" t="n">
        <v>0</v>
      </c>
      <c r="I9355" s="21" t="n">
        <v>0</v>
      </c>
      <c r="J9355" s="21" t="n">
        <v>0</v>
      </c>
      <c r="K9355" s="21" t="n">
        <v>0</v>
      </c>
      <c r="L9355" s="21" t="n">
        <v>0</v>
      </c>
      <c r="M9355" s="21" t="n">
        <v>0</v>
      </c>
      <c r="N9355" s="21">
        <f>$B$8764</f>
        <v/>
      </c>
      <c r="O9355" s="21">
        <f>$B$8766</f>
        <v/>
      </c>
      <c r="P9355" s="21">
        <f>0</f>
        <v/>
      </c>
      <c r="Q9355" s="21">
        <f>2*$B$8765</f>
        <v/>
      </c>
      <c r="R9355" s="21">
        <f>-$B$8764</f>
        <v/>
      </c>
      <c r="S9355" s="21">
        <f>$B$8766</f>
        <v/>
      </c>
      <c r="T9355" s="21" t="n">
        <v>0</v>
      </c>
      <c r="U9355" s="21" t="n">
        <v>0</v>
      </c>
      <c r="V9355" s="21" t="n">
        <v>0</v>
      </c>
      <c r="W9355" s="21" t="n">
        <v>0</v>
      </c>
      <c r="X9355" s="21" t="n">
        <v>0</v>
      </c>
      <c r="Y9355" s="21" t="n">
        <v>0</v>
      </c>
      <c r="Z9355" s="19" t="n"/>
    </row>
    <row r="9356">
      <c r="D9356" s="21" t="n">
        <v>0</v>
      </c>
      <c r="E9356" s="21" t="n">
        <v>0</v>
      </c>
      <c r="F9356" s="21" t="n">
        <v>0</v>
      </c>
      <c r="G9356" s="21" t="n">
        <v>0</v>
      </c>
      <c r="H9356" s="21" t="n">
        <v>0</v>
      </c>
      <c r="I9356" s="21" t="n">
        <v>0</v>
      </c>
      <c r="J9356" s="21" t="n">
        <v>0</v>
      </c>
      <c r="K9356" s="21" t="n">
        <v>0</v>
      </c>
      <c r="L9356" s="21" t="n">
        <v>0</v>
      </c>
      <c r="M9356" s="21" t="n">
        <v>0</v>
      </c>
      <c r="N9356" s="21" t="n">
        <v>0</v>
      </c>
      <c r="O9356" s="21" t="n">
        <v>0</v>
      </c>
      <c r="P9356" s="21">
        <f>-$B$8763</f>
        <v/>
      </c>
      <c r="Q9356" s="21">
        <f>-$B$8764</f>
        <v/>
      </c>
      <c r="R9356" s="21">
        <f>2*$B$8763+$D$9337</f>
        <v/>
      </c>
      <c r="S9356" s="21">
        <f>0</f>
        <v/>
      </c>
      <c r="T9356" s="21">
        <f>-$B$8763</f>
        <v/>
      </c>
      <c r="U9356" s="21">
        <f>$B$8764</f>
        <v/>
      </c>
      <c r="V9356" s="21" t="n">
        <v>0</v>
      </c>
      <c r="W9356" s="21" t="n">
        <v>0</v>
      </c>
      <c r="X9356" s="21" t="n">
        <v>0</v>
      </c>
      <c r="Y9356" s="21" t="n">
        <v>0</v>
      </c>
      <c r="Z9356" s="19" t="n"/>
    </row>
    <row r="9357">
      <c r="D9357" s="21" t="n">
        <v>0</v>
      </c>
      <c r="E9357" s="21" t="n">
        <v>0</v>
      </c>
      <c r="F9357" s="21" t="n">
        <v>0</v>
      </c>
      <c r="G9357" s="21" t="n">
        <v>0</v>
      </c>
      <c r="H9357" s="21" t="n">
        <v>0</v>
      </c>
      <c r="I9357" s="21" t="n">
        <v>0</v>
      </c>
      <c r="J9357" s="21" t="n">
        <v>0</v>
      </c>
      <c r="K9357" s="21" t="n">
        <v>0</v>
      </c>
      <c r="L9357" s="21" t="n">
        <v>0</v>
      </c>
      <c r="M9357" s="21" t="n">
        <v>0</v>
      </c>
      <c r="N9357" s="21" t="n">
        <v>0</v>
      </c>
      <c r="O9357" s="21" t="n">
        <v>0</v>
      </c>
      <c r="P9357" s="21">
        <f>$B$8764</f>
        <v/>
      </c>
      <c r="Q9357" s="21">
        <f>$B$8766</f>
        <v/>
      </c>
      <c r="R9357" s="21">
        <f>0</f>
        <v/>
      </c>
      <c r="S9357" s="21">
        <f>2*$B$8765</f>
        <v/>
      </c>
      <c r="T9357" s="21">
        <f>-$B$8764</f>
        <v/>
      </c>
      <c r="U9357" s="21">
        <f>$B$8766</f>
        <v/>
      </c>
      <c r="V9357" s="21" t="n">
        <v>0</v>
      </c>
      <c r="W9357" s="21" t="n">
        <v>0</v>
      </c>
      <c r="X9357" s="21" t="n">
        <v>0</v>
      </c>
      <c r="Y9357" s="21" t="n">
        <v>0</v>
      </c>
      <c r="Z9357" s="19" t="n"/>
    </row>
    <row r="9358">
      <c r="D9358" s="21" t="n">
        <v>0</v>
      </c>
      <c r="E9358" s="21" t="n">
        <v>0</v>
      </c>
      <c r="F9358" s="21" t="n">
        <v>0</v>
      </c>
      <c r="G9358" s="21" t="n">
        <v>0</v>
      </c>
      <c r="H9358" s="21" t="n">
        <v>0</v>
      </c>
      <c r="I9358" s="21" t="n">
        <v>0</v>
      </c>
      <c r="J9358" s="21" t="n">
        <v>0</v>
      </c>
      <c r="K9358" s="21" t="n">
        <v>0</v>
      </c>
      <c r="L9358" s="21" t="n">
        <v>0</v>
      </c>
      <c r="M9358" s="21" t="n">
        <v>0</v>
      </c>
      <c r="N9358" s="21" t="n">
        <v>0</v>
      </c>
      <c r="O9358" s="21" t="n">
        <v>0</v>
      </c>
      <c r="P9358" s="21" t="n">
        <v>0</v>
      </c>
      <c r="Q9358" s="21" t="n">
        <v>0</v>
      </c>
      <c r="R9358" s="21">
        <f>-$B$8763</f>
        <v/>
      </c>
      <c r="S9358" s="21">
        <f>-$B$8764</f>
        <v/>
      </c>
      <c r="T9358" s="21">
        <f>2*$B$8763+$D$9338</f>
        <v/>
      </c>
      <c r="U9358" s="21">
        <f>0</f>
        <v/>
      </c>
      <c r="V9358" s="21">
        <f>-$B$8763</f>
        <v/>
      </c>
      <c r="W9358" s="21">
        <f>$B$8764</f>
        <v/>
      </c>
      <c r="X9358" s="21" t="n">
        <v>0</v>
      </c>
      <c r="Y9358" s="21" t="n">
        <v>0</v>
      </c>
      <c r="Z9358" s="19" t="n"/>
    </row>
    <row r="9359">
      <c r="D9359" s="21" t="n">
        <v>0</v>
      </c>
      <c r="E9359" s="21" t="n">
        <v>0</v>
      </c>
      <c r="F9359" s="21" t="n">
        <v>0</v>
      </c>
      <c r="G9359" s="21" t="n">
        <v>0</v>
      </c>
      <c r="H9359" s="21" t="n">
        <v>0</v>
      </c>
      <c r="I9359" s="21" t="n">
        <v>0</v>
      </c>
      <c r="J9359" s="21" t="n">
        <v>0</v>
      </c>
      <c r="K9359" s="21" t="n">
        <v>0</v>
      </c>
      <c r="L9359" s="21" t="n">
        <v>0</v>
      </c>
      <c r="M9359" s="21" t="n">
        <v>0</v>
      </c>
      <c r="N9359" s="21" t="n">
        <v>0</v>
      </c>
      <c r="O9359" s="21" t="n">
        <v>0</v>
      </c>
      <c r="P9359" s="21" t="n">
        <v>0</v>
      </c>
      <c r="Q9359" s="21" t="n">
        <v>0</v>
      </c>
      <c r="R9359" s="21">
        <f>$B$8764</f>
        <v/>
      </c>
      <c r="S9359" s="21">
        <f>$B$8766</f>
        <v/>
      </c>
      <c r="T9359" s="21">
        <f>0</f>
        <v/>
      </c>
      <c r="U9359" s="21">
        <f>2*$B$8765</f>
        <v/>
      </c>
      <c r="V9359" s="21">
        <f>-$B$8764</f>
        <v/>
      </c>
      <c r="W9359" s="21">
        <f>$B$8766</f>
        <v/>
      </c>
      <c r="X9359" s="21" t="n">
        <v>0</v>
      </c>
      <c r="Y9359" s="21" t="n">
        <v>0</v>
      </c>
      <c r="Z9359" s="19" t="n"/>
    </row>
    <row r="9360">
      <c r="D9360" s="21" t="n">
        <v>0</v>
      </c>
      <c r="E9360" s="21" t="n">
        <v>0</v>
      </c>
      <c r="F9360" s="21" t="n">
        <v>0</v>
      </c>
      <c r="G9360" s="21" t="n">
        <v>0</v>
      </c>
      <c r="H9360" s="21" t="n">
        <v>0</v>
      </c>
      <c r="I9360" s="21" t="n">
        <v>0</v>
      </c>
      <c r="J9360" s="21" t="n">
        <v>0</v>
      </c>
      <c r="K9360" s="21" t="n">
        <v>0</v>
      </c>
      <c r="L9360" s="21" t="n">
        <v>0</v>
      </c>
      <c r="M9360" s="21" t="n">
        <v>0</v>
      </c>
      <c r="N9360" s="21" t="n">
        <v>0</v>
      </c>
      <c r="O9360" s="21" t="n">
        <v>0</v>
      </c>
      <c r="P9360" s="21" t="n">
        <v>0</v>
      </c>
      <c r="Q9360" s="21" t="n">
        <v>0</v>
      </c>
      <c r="R9360" s="21" t="n">
        <v>0</v>
      </c>
      <c r="S9360" s="21" t="n">
        <v>0</v>
      </c>
      <c r="T9360" s="21">
        <f>-$B$8763</f>
        <v/>
      </c>
      <c r="U9360" s="21">
        <f>-$B$8764</f>
        <v/>
      </c>
      <c r="V9360" s="21">
        <f>2*$B$8763+$D$9339</f>
        <v/>
      </c>
      <c r="W9360" s="21">
        <f>0</f>
        <v/>
      </c>
      <c r="X9360" s="21">
        <f>-$B$8763</f>
        <v/>
      </c>
      <c r="Y9360" s="21">
        <f>$B$8764</f>
        <v/>
      </c>
      <c r="Z9360" s="19" t="n"/>
    </row>
    <row r="9361">
      <c r="D9361" s="21" t="n">
        <v>0</v>
      </c>
      <c r="E9361" s="21" t="n">
        <v>0</v>
      </c>
      <c r="F9361" s="21" t="n">
        <v>0</v>
      </c>
      <c r="G9361" s="21" t="n">
        <v>0</v>
      </c>
      <c r="H9361" s="21" t="n">
        <v>0</v>
      </c>
      <c r="I9361" s="21" t="n">
        <v>0</v>
      </c>
      <c r="J9361" s="21" t="n">
        <v>0</v>
      </c>
      <c r="K9361" s="21" t="n">
        <v>0</v>
      </c>
      <c r="L9361" s="21" t="n">
        <v>0</v>
      </c>
      <c r="M9361" s="21" t="n">
        <v>0</v>
      </c>
      <c r="N9361" s="21" t="n">
        <v>0</v>
      </c>
      <c r="O9361" s="21" t="n">
        <v>0</v>
      </c>
      <c r="P9361" s="21" t="n">
        <v>0</v>
      </c>
      <c r="Q9361" s="21" t="n">
        <v>0</v>
      </c>
      <c r="R9361" s="21" t="n">
        <v>0</v>
      </c>
      <c r="S9361" s="21" t="n">
        <v>0</v>
      </c>
      <c r="T9361" s="21">
        <f>$B$8764</f>
        <v/>
      </c>
      <c r="U9361" s="21">
        <f>$B$8766</f>
        <v/>
      </c>
      <c r="V9361" s="21">
        <f>0</f>
        <v/>
      </c>
      <c r="W9361" s="21">
        <f>2*$B$8765</f>
        <v/>
      </c>
      <c r="X9361" s="21">
        <f>-$B$8764</f>
        <v/>
      </c>
      <c r="Y9361" s="21">
        <f>$B$8766</f>
        <v/>
      </c>
      <c r="Z9361" s="19" t="n"/>
    </row>
    <row r="9362">
      <c r="D9362" s="21" t="n">
        <v>0</v>
      </c>
      <c r="E9362" s="21" t="n">
        <v>0</v>
      </c>
      <c r="F9362" s="21" t="n">
        <v>0</v>
      </c>
      <c r="G9362" s="21" t="n">
        <v>0</v>
      </c>
      <c r="H9362" s="21" t="n">
        <v>0</v>
      </c>
      <c r="I9362" s="21" t="n">
        <v>0</v>
      </c>
      <c r="J9362" s="21" t="n">
        <v>0</v>
      </c>
      <c r="K9362" s="21" t="n">
        <v>0</v>
      </c>
      <c r="L9362" s="21" t="n">
        <v>0</v>
      </c>
      <c r="M9362" s="21" t="n">
        <v>0</v>
      </c>
      <c r="N9362" s="21" t="n">
        <v>0</v>
      </c>
      <c r="O9362" s="21" t="n">
        <v>0</v>
      </c>
      <c r="P9362" s="21" t="n">
        <v>0</v>
      </c>
      <c r="Q9362" s="21" t="n">
        <v>0</v>
      </c>
      <c r="R9362" s="21" t="n">
        <v>0</v>
      </c>
      <c r="S9362" s="21" t="n">
        <v>0</v>
      </c>
      <c r="T9362" s="21" t="n">
        <v>0</v>
      </c>
      <c r="U9362" s="21" t="n">
        <v>0</v>
      </c>
      <c r="V9362" s="21">
        <f>-$B$8763</f>
        <v/>
      </c>
      <c r="W9362" s="21">
        <f>-$B$8764</f>
        <v/>
      </c>
      <c r="X9362" s="21">
        <f>$B$8763+$D$9340</f>
        <v/>
      </c>
      <c r="Y9362" s="21">
        <f>-$B$8764</f>
        <v/>
      </c>
      <c r="Z9362" s="19" t="n"/>
    </row>
    <row r="9363">
      <c r="D9363" s="21" t="n">
        <v>0</v>
      </c>
      <c r="E9363" s="21" t="n">
        <v>0</v>
      </c>
      <c r="F9363" s="21" t="n">
        <v>0</v>
      </c>
      <c r="G9363" s="21" t="n">
        <v>0</v>
      </c>
      <c r="H9363" s="21" t="n">
        <v>0</v>
      </c>
      <c r="I9363" s="21" t="n">
        <v>0</v>
      </c>
      <c r="J9363" s="21" t="n">
        <v>0</v>
      </c>
      <c r="K9363" s="21" t="n">
        <v>0</v>
      </c>
      <c r="L9363" s="21" t="n">
        <v>0</v>
      </c>
      <c r="M9363" s="21" t="n">
        <v>0</v>
      </c>
      <c r="N9363" s="21" t="n">
        <v>0</v>
      </c>
      <c r="O9363" s="21" t="n">
        <v>0</v>
      </c>
      <c r="P9363" s="21" t="n">
        <v>0</v>
      </c>
      <c r="Q9363" s="21" t="n">
        <v>0</v>
      </c>
      <c r="R9363" s="21" t="n">
        <v>0</v>
      </c>
      <c r="S9363" s="21" t="n">
        <v>0</v>
      </c>
      <c r="T9363" s="21" t="n">
        <v>0</v>
      </c>
      <c r="U9363" s="21" t="n">
        <v>0</v>
      </c>
      <c r="V9363" s="21">
        <f>$B$8764</f>
        <v/>
      </c>
      <c r="W9363" s="21">
        <f>$B$8766</f>
        <v/>
      </c>
      <c r="X9363" s="21">
        <f>-$B$8764</f>
        <v/>
      </c>
      <c r="Y9363" s="21">
        <f>$B$8765</f>
        <v/>
      </c>
      <c r="Z9363" s="19" t="n"/>
    </row>
    <row r="9365">
      <c r="A9365" s="8" t="inlineStr">
        <is>
          <t>gen 16</t>
        </is>
      </c>
    </row>
    <row r="9366">
      <c r="D9366" s="19">
        <f>IF(ABS(IF(ABS($E$9330)&gt;0.000000001,$E$9330,0.000000001))=0,0,IF($E$8778&lt;=$B$8772,0,IF(ABS(IF(ABS($E$9330)&gt;0.000000001,$E$9330,0.000000001))&gt;=8*$B$8774,$H$8778,0.5*$H$8778*(ABS(IF(ABS($E$9330)&gt;0.000000001,$E$9330,0.000000001))/$B$8774)^(1/3)))/ABS(IF(ABS($E$9330)&gt;0.000000001,$E$9330,0.000000001))*$I$8778)</f>
        <v/>
      </c>
      <c r="E9366" s="19">
        <f>0.5*$E$9330+0.5*$Z$9378</f>
        <v/>
      </c>
      <c r="F9366" s="19">
        <f>$Z$9379</f>
        <v/>
      </c>
    </row>
    <row r="9367">
      <c r="D9367" s="19">
        <f>IF(ABS(IF(ABS($E$9331)&gt;0.000000001,$E$9331,0.000000001))=0,0,IF($E$8779&lt;=$B$8772,0,IF(ABS(IF(ABS($E$9331)&gt;0.000000001,$E$9331,0.000000001))&gt;=8*$B$8774,$H$8779,0.5*$H$8779*(ABS(IF(ABS($E$9331)&gt;0.000000001,$E$9331,0.000000001))/$B$8774)^(1/3)))/ABS(IF(ABS($E$9331)&gt;0.000000001,$E$9331,0.000000001))*$I$8779)</f>
        <v/>
      </c>
      <c r="E9367" s="19">
        <f>0.5*$E$9331+0.5*$Z$9380</f>
        <v/>
      </c>
      <c r="F9367" s="19">
        <f>$Z$9381</f>
        <v/>
      </c>
    </row>
    <row r="9368">
      <c r="D9368" s="19">
        <f>IF(ABS(IF(ABS($E$9332)&gt;0.000000001,$E$9332,0.000000001))=0,0,IF($E$8780&lt;=$B$8772,0,IF(ABS(IF(ABS($E$9332)&gt;0.000000001,$E$9332,0.000000001))&gt;=8*$B$8774,$H$8780,0.5*$H$8780*(ABS(IF(ABS($E$9332)&gt;0.000000001,$E$9332,0.000000001))/$B$8774)^(1/3)))/ABS(IF(ABS($E$9332)&gt;0.000000001,$E$9332,0.000000001))*$I$8780)</f>
        <v/>
      </c>
      <c r="E9368" s="19">
        <f>0.5*$E$9332+0.5*$Z$9382</f>
        <v/>
      </c>
      <c r="F9368" s="19">
        <f>$Z$9383</f>
        <v/>
      </c>
    </row>
    <row r="9369">
      <c r="D9369" s="19">
        <f>IF(ABS(IF(ABS($E$9333)&gt;0.000000001,$E$9333,0.000000001))=0,0,IF($E$8781&lt;=$B$8772,0,IF(ABS(IF(ABS($E$9333)&gt;0.000000001,$E$9333,0.000000001))&gt;=8*$B$8774,$H$8781,0.5*$H$8781*(ABS(IF(ABS($E$9333)&gt;0.000000001,$E$9333,0.000000001))/$B$8774)^(1/3)))/ABS(IF(ABS($E$9333)&gt;0.000000001,$E$9333,0.000000001))*$I$8781)</f>
        <v/>
      </c>
      <c r="E9369" s="19">
        <f>0.5*$E$9333+0.5*$Z$9384</f>
        <v/>
      </c>
      <c r="F9369" s="19">
        <f>$Z$9385</f>
        <v/>
      </c>
    </row>
    <row r="9370">
      <c r="D9370" s="19">
        <f>IF(ABS(IF(ABS($E$9334)&gt;0.000000001,$E$9334,0.000000001))=0,0,IF($E$8782&lt;=$B$8772,0,IF(ABS(IF(ABS($E$9334)&gt;0.000000001,$E$9334,0.000000001))&gt;=8*$B$8774,$H$8782,0.5*$H$8782*(ABS(IF(ABS($E$9334)&gt;0.000000001,$E$9334,0.000000001))/$B$8774)^(1/3)))/ABS(IF(ABS($E$9334)&gt;0.000000001,$E$9334,0.000000001))*$I$8782)</f>
        <v/>
      </c>
      <c r="E9370" s="19">
        <f>0.5*$E$9334+0.5*$Z$9386</f>
        <v/>
      </c>
      <c r="F9370" s="19">
        <f>$Z$9387</f>
        <v/>
      </c>
    </row>
    <row r="9371">
      <c r="D9371" s="19">
        <f>IF(ABS(IF(ABS($E$9335)&gt;0.000000001,$E$9335,0.000000001))=0,0,IF($E$8783&lt;=$B$8772,0,IF(ABS(IF(ABS($E$9335)&gt;0.000000001,$E$9335,0.000000001))&gt;=8*$B$8774,$H$8783,0.5*$H$8783*(ABS(IF(ABS($E$9335)&gt;0.000000001,$E$9335,0.000000001))/$B$8774)^(1/3)))/ABS(IF(ABS($E$9335)&gt;0.000000001,$E$9335,0.000000001))*$I$8783)</f>
        <v/>
      </c>
      <c r="E9371" s="19">
        <f>0.5*$E$9335+0.5*$Z$9388</f>
        <v/>
      </c>
      <c r="F9371" s="19">
        <f>$Z$9389</f>
        <v/>
      </c>
    </row>
    <row r="9372">
      <c r="D9372" s="19">
        <f>IF(ABS(IF(ABS($E$9336)&gt;0.000000001,$E$9336,0.000000001))=0,0,IF($E$8784&lt;=$B$8772,0,IF(ABS(IF(ABS($E$9336)&gt;0.000000001,$E$9336,0.000000001))&gt;=8*$B$8774,$H$8784,0.5*$H$8784*(ABS(IF(ABS($E$9336)&gt;0.000000001,$E$9336,0.000000001))/$B$8774)^(1/3)))/ABS(IF(ABS($E$9336)&gt;0.000000001,$E$9336,0.000000001))*$I$8784)</f>
        <v/>
      </c>
      <c r="E9372" s="19">
        <f>0.5*$E$9336+0.5*$Z$9390</f>
        <v/>
      </c>
      <c r="F9372" s="19">
        <f>$Z$9391</f>
        <v/>
      </c>
    </row>
    <row r="9373">
      <c r="D9373" s="19">
        <f>IF(ABS(IF(ABS($E$9337)&gt;0.000000001,$E$9337,0.000000001))=0,0,IF($E$8785&lt;=$B$8772,0,IF(ABS(IF(ABS($E$9337)&gt;0.000000001,$E$9337,0.000000001))&gt;=8*$B$8774,$H$8785,0.5*$H$8785*(ABS(IF(ABS($E$9337)&gt;0.000000001,$E$9337,0.000000001))/$B$8774)^(1/3)))/ABS(IF(ABS($E$9337)&gt;0.000000001,$E$9337,0.000000001))*$I$8785)</f>
        <v/>
      </c>
      <c r="E9373" s="19">
        <f>0.5*$E$9337+0.5*$Z$9392</f>
        <v/>
      </c>
      <c r="F9373" s="19">
        <f>$Z$9393</f>
        <v/>
      </c>
    </row>
    <row r="9374">
      <c r="D9374" s="19">
        <f>IF(ABS(IF(ABS($E$9338)&gt;0.000000001,$E$9338,0.000000001))=0,0,IF($E$8786&lt;=$B$8772,0,IF(ABS(IF(ABS($E$9338)&gt;0.000000001,$E$9338,0.000000001))&gt;=8*$B$8774,$H$8786,0.5*$H$8786*(ABS(IF(ABS($E$9338)&gt;0.000000001,$E$9338,0.000000001))/$B$8774)^(1/3)))/ABS(IF(ABS($E$9338)&gt;0.000000001,$E$9338,0.000000001))*$I$8786)</f>
        <v/>
      </c>
      <c r="E9374" s="19">
        <f>0.5*$E$9338+0.5*$Z$9394</f>
        <v/>
      </c>
      <c r="F9374" s="19">
        <f>$Z$9395</f>
        <v/>
      </c>
    </row>
    <row r="9375">
      <c r="D9375" s="19">
        <f>IF(ABS(IF(ABS($E$9339)&gt;0.000000001,$E$9339,0.000000001))=0,0,IF($E$8787&lt;=$B$8772,0,IF(ABS(IF(ABS($E$9339)&gt;0.000000001,$E$9339,0.000000001))&gt;=8*$B$8774,$H$8787,0.5*$H$8787*(ABS(IF(ABS($E$9339)&gt;0.000000001,$E$9339,0.000000001))/$B$8774)^(1/3)))/ABS(IF(ABS($E$9339)&gt;0.000000001,$E$9339,0.000000001))*$I$8787)</f>
        <v/>
      </c>
      <c r="E9375" s="19">
        <f>0.5*$E$9339+0.5*$Z$9396</f>
        <v/>
      </c>
      <c r="F9375" s="19">
        <f>$Z$9397</f>
        <v/>
      </c>
    </row>
    <row r="9376">
      <c r="D9376" s="19">
        <f>IF(ABS(IF(ABS($E$9340)&gt;0.000000001,$E$9340,0.000000001))=0,0,IF($E$8788&lt;=$B$8772,0,IF(ABS(IF(ABS($E$9340)&gt;0.000000001,$E$9340,0.000000001))&gt;=8*$B$8774,$H$8788,0.5*$H$8788*(ABS(IF(ABS($E$9340)&gt;0.000000001,$E$9340,0.000000001))/$B$8774)^(1/3)))/ABS(IF(ABS($E$9340)&gt;0.000000001,$E$9340,0.000000001))*$I$8788)</f>
        <v/>
      </c>
      <c r="E9376" s="19">
        <f>0.5*$E$9340+0.5*$Z$9398</f>
        <v/>
      </c>
      <c r="F9376" s="19">
        <f>$Z$9399</f>
        <v/>
      </c>
    </row>
    <row r="9378">
      <c r="D9378" s="21">
        <f>$B$8763+$D$9366</f>
        <v/>
      </c>
      <c r="E9378" s="21">
        <f>$B$8764</f>
        <v/>
      </c>
      <c r="F9378" s="21">
        <f>-$B$8763</f>
        <v/>
      </c>
      <c r="G9378" s="21">
        <f>$B$8764</f>
        <v/>
      </c>
      <c r="H9378" s="21" t="n">
        <v>0</v>
      </c>
      <c r="I9378" s="21" t="n">
        <v>0</v>
      </c>
      <c r="J9378" s="21" t="n">
        <v>0</v>
      </c>
      <c r="K9378" s="21" t="n">
        <v>0</v>
      </c>
      <c r="L9378" s="21" t="n">
        <v>0</v>
      </c>
      <c r="M9378" s="21" t="n">
        <v>0</v>
      </c>
      <c r="N9378" s="21" t="n">
        <v>0</v>
      </c>
      <c r="O9378" s="21" t="n">
        <v>0</v>
      </c>
      <c r="P9378" s="21" t="n">
        <v>0</v>
      </c>
      <c r="Q9378" s="21" t="n">
        <v>0</v>
      </c>
      <c r="R9378" s="21" t="n">
        <v>0</v>
      </c>
      <c r="S9378" s="21" t="n">
        <v>0</v>
      </c>
      <c r="T9378" s="21" t="n">
        <v>0</v>
      </c>
      <c r="U9378" s="21" t="n">
        <v>0</v>
      </c>
      <c r="V9378" s="21" t="n">
        <v>0</v>
      </c>
      <c r="W9378" s="21" t="n">
        <v>0</v>
      </c>
      <c r="X9378" s="21" t="n">
        <v>0</v>
      </c>
      <c r="Y9378" s="21" t="n">
        <v>0</v>
      </c>
      <c r="Z9378" s="19">
        <f t="array" ref="Z9378:Z9399">MMULT(MINVERSE($D$9378:$Y$9399),$D$8790:$D$8811)</f>
        <v/>
      </c>
    </row>
    <row r="9379">
      <c r="D9379" s="21">
        <f>$B$8764</f>
        <v/>
      </c>
      <c r="E9379" s="21">
        <f>$B$8765</f>
        <v/>
      </c>
      <c r="F9379" s="21">
        <f>-$B$8764</f>
        <v/>
      </c>
      <c r="G9379" s="21">
        <f>$B$8766</f>
        <v/>
      </c>
      <c r="H9379" s="21" t="n">
        <v>0</v>
      </c>
      <c r="I9379" s="21" t="n">
        <v>0</v>
      </c>
      <c r="J9379" s="21" t="n">
        <v>0</v>
      </c>
      <c r="K9379" s="21" t="n">
        <v>0</v>
      </c>
      <c r="L9379" s="21" t="n">
        <v>0</v>
      </c>
      <c r="M9379" s="21" t="n">
        <v>0</v>
      </c>
      <c r="N9379" s="21" t="n">
        <v>0</v>
      </c>
      <c r="O9379" s="21" t="n">
        <v>0</v>
      </c>
      <c r="P9379" s="21" t="n">
        <v>0</v>
      </c>
      <c r="Q9379" s="21" t="n">
        <v>0</v>
      </c>
      <c r="R9379" s="21" t="n">
        <v>0</v>
      </c>
      <c r="S9379" s="21" t="n">
        <v>0</v>
      </c>
      <c r="T9379" s="21" t="n">
        <v>0</v>
      </c>
      <c r="U9379" s="21" t="n">
        <v>0</v>
      </c>
      <c r="V9379" s="21" t="n">
        <v>0</v>
      </c>
      <c r="W9379" s="21" t="n">
        <v>0</v>
      </c>
      <c r="X9379" s="21" t="n">
        <v>0</v>
      </c>
      <c r="Y9379" s="21" t="n">
        <v>0</v>
      </c>
      <c r="Z9379" s="19" t="n"/>
    </row>
    <row r="9380">
      <c r="D9380" s="21">
        <f>-$B$8763</f>
        <v/>
      </c>
      <c r="E9380" s="21">
        <f>-$B$8764</f>
        <v/>
      </c>
      <c r="F9380" s="21">
        <f>2*$B$8763+$D$9367</f>
        <v/>
      </c>
      <c r="G9380" s="21">
        <f>0</f>
        <v/>
      </c>
      <c r="H9380" s="21">
        <f>-$B$8763</f>
        <v/>
      </c>
      <c r="I9380" s="21">
        <f>$B$8764</f>
        <v/>
      </c>
      <c r="J9380" s="21" t="n">
        <v>0</v>
      </c>
      <c r="K9380" s="21" t="n">
        <v>0</v>
      </c>
      <c r="L9380" s="21" t="n">
        <v>0</v>
      </c>
      <c r="M9380" s="21" t="n">
        <v>0</v>
      </c>
      <c r="N9380" s="21" t="n">
        <v>0</v>
      </c>
      <c r="O9380" s="21" t="n">
        <v>0</v>
      </c>
      <c r="P9380" s="21" t="n">
        <v>0</v>
      </c>
      <c r="Q9380" s="21" t="n">
        <v>0</v>
      </c>
      <c r="R9380" s="21" t="n">
        <v>0</v>
      </c>
      <c r="S9380" s="21" t="n">
        <v>0</v>
      </c>
      <c r="T9380" s="21" t="n">
        <v>0</v>
      </c>
      <c r="U9380" s="21" t="n">
        <v>0</v>
      </c>
      <c r="V9380" s="21" t="n">
        <v>0</v>
      </c>
      <c r="W9380" s="21" t="n">
        <v>0</v>
      </c>
      <c r="X9380" s="21" t="n">
        <v>0</v>
      </c>
      <c r="Y9380" s="21" t="n">
        <v>0</v>
      </c>
      <c r="Z9380" s="19" t="n"/>
    </row>
    <row r="9381">
      <c r="D9381" s="21">
        <f>$B$8764</f>
        <v/>
      </c>
      <c r="E9381" s="21">
        <f>$B$8766</f>
        <v/>
      </c>
      <c r="F9381" s="21">
        <f>0</f>
        <v/>
      </c>
      <c r="G9381" s="21">
        <f>2*$B$8765</f>
        <v/>
      </c>
      <c r="H9381" s="21">
        <f>-$B$8764</f>
        <v/>
      </c>
      <c r="I9381" s="21">
        <f>$B$8766</f>
        <v/>
      </c>
      <c r="J9381" s="21" t="n">
        <v>0</v>
      </c>
      <c r="K9381" s="21" t="n">
        <v>0</v>
      </c>
      <c r="L9381" s="21" t="n">
        <v>0</v>
      </c>
      <c r="M9381" s="21" t="n">
        <v>0</v>
      </c>
      <c r="N9381" s="21" t="n">
        <v>0</v>
      </c>
      <c r="O9381" s="21" t="n">
        <v>0</v>
      </c>
      <c r="P9381" s="21" t="n">
        <v>0</v>
      </c>
      <c r="Q9381" s="21" t="n">
        <v>0</v>
      </c>
      <c r="R9381" s="21" t="n">
        <v>0</v>
      </c>
      <c r="S9381" s="21" t="n">
        <v>0</v>
      </c>
      <c r="T9381" s="21" t="n">
        <v>0</v>
      </c>
      <c r="U9381" s="21" t="n">
        <v>0</v>
      </c>
      <c r="V9381" s="21" t="n">
        <v>0</v>
      </c>
      <c r="W9381" s="21" t="n">
        <v>0</v>
      </c>
      <c r="X9381" s="21" t="n">
        <v>0</v>
      </c>
      <c r="Y9381" s="21" t="n">
        <v>0</v>
      </c>
      <c r="Z9381" s="19" t="n"/>
    </row>
    <row r="9382">
      <c r="D9382" s="21" t="n">
        <v>0</v>
      </c>
      <c r="E9382" s="21" t="n">
        <v>0</v>
      </c>
      <c r="F9382" s="21">
        <f>-$B$8763</f>
        <v/>
      </c>
      <c r="G9382" s="21">
        <f>-$B$8764</f>
        <v/>
      </c>
      <c r="H9382" s="21">
        <f>2*$B$8763+$D$9368</f>
        <v/>
      </c>
      <c r="I9382" s="21">
        <f>0</f>
        <v/>
      </c>
      <c r="J9382" s="21">
        <f>-$B$8763</f>
        <v/>
      </c>
      <c r="K9382" s="21">
        <f>$B$8764</f>
        <v/>
      </c>
      <c r="L9382" s="21" t="n">
        <v>0</v>
      </c>
      <c r="M9382" s="21" t="n">
        <v>0</v>
      </c>
      <c r="N9382" s="21" t="n">
        <v>0</v>
      </c>
      <c r="O9382" s="21" t="n">
        <v>0</v>
      </c>
      <c r="P9382" s="21" t="n">
        <v>0</v>
      </c>
      <c r="Q9382" s="21" t="n">
        <v>0</v>
      </c>
      <c r="R9382" s="21" t="n">
        <v>0</v>
      </c>
      <c r="S9382" s="21" t="n">
        <v>0</v>
      </c>
      <c r="T9382" s="21" t="n">
        <v>0</v>
      </c>
      <c r="U9382" s="21" t="n">
        <v>0</v>
      </c>
      <c r="V9382" s="21" t="n">
        <v>0</v>
      </c>
      <c r="W9382" s="21" t="n">
        <v>0</v>
      </c>
      <c r="X9382" s="21" t="n">
        <v>0</v>
      </c>
      <c r="Y9382" s="21" t="n">
        <v>0</v>
      </c>
      <c r="Z9382" s="19" t="n"/>
    </row>
    <row r="9383">
      <c r="D9383" s="21" t="n">
        <v>0</v>
      </c>
      <c r="E9383" s="21" t="n">
        <v>0</v>
      </c>
      <c r="F9383" s="21">
        <f>$B$8764</f>
        <v/>
      </c>
      <c r="G9383" s="21">
        <f>$B$8766</f>
        <v/>
      </c>
      <c r="H9383" s="21">
        <f>0</f>
        <v/>
      </c>
      <c r="I9383" s="21">
        <f>2*$B$8765</f>
        <v/>
      </c>
      <c r="J9383" s="21">
        <f>-$B$8764</f>
        <v/>
      </c>
      <c r="K9383" s="21">
        <f>$B$8766</f>
        <v/>
      </c>
      <c r="L9383" s="21" t="n">
        <v>0</v>
      </c>
      <c r="M9383" s="21" t="n">
        <v>0</v>
      </c>
      <c r="N9383" s="21" t="n">
        <v>0</v>
      </c>
      <c r="O9383" s="21" t="n">
        <v>0</v>
      </c>
      <c r="P9383" s="21" t="n">
        <v>0</v>
      </c>
      <c r="Q9383" s="21" t="n">
        <v>0</v>
      </c>
      <c r="R9383" s="21" t="n">
        <v>0</v>
      </c>
      <c r="S9383" s="21" t="n">
        <v>0</v>
      </c>
      <c r="T9383" s="21" t="n">
        <v>0</v>
      </c>
      <c r="U9383" s="21" t="n">
        <v>0</v>
      </c>
      <c r="V9383" s="21" t="n">
        <v>0</v>
      </c>
      <c r="W9383" s="21" t="n">
        <v>0</v>
      </c>
      <c r="X9383" s="21" t="n">
        <v>0</v>
      </c>
      <c r="Y9383" s="21" t="n">
        <v>0</v>
      </c>
      <c r="Z9383" s="19" t="n"/>
    </row>
    <row r="9384">
      <c r="D9384" s="21" t="n">
        <v>0</v>
      </c>
      <c r="E9384" s="21" t="n">
        <v>0</v>
      </c>
      <c r="F9384" s="21" t="n">
        <v>0</v>
      </c>
      <c r="G9384" s="21" t="n">
        <v>0</v>
      </c>
      <c r="H9384" s="21">
        <f>-$B$8763</f>
        <v/>
      </c>
      <c r="I9384" s="21">
        <f>-$B$8764</f>
        <v/>
      </c>
      <c r="J9384" s="21">
        <f>2*$B$8763+$D$9369</f>
        <v/>
      </c>
      <c r="K9384" s="21">
        <f>0</f>
        <v/>
      </c>
      <c r="L9384" s="21">
        <f>-$B$8763</f>
        <v/>
      </c>
      <c r="M9384" s="21">
        <f>$B$8764</f>
        <v/>
      </c>
      <c r="N9384" s="21" t="n">
        <v>0</v>
      </c>
      <c r="O9384" s="21" t="n">
        <v>0</v>
      </c>
      <c r="P9384" s="21" t="n">
        <v>0</v>
      </c>
      <c r="Q9384" s="21" t="n">
        <v>0</v>
      </c>
      <c r="R9384" s="21" t="n">
        <v>0</v>
      </c>
      <c r="S9384" s="21" t="n">
        <v>0</v>
      </c>
      <c r="T9384" s="21" t="n">
        <v>0</v>
      </c>
      <c r="U9384" s="21" t="n">
        <v>0</v>
      </c>
      <c r="V9384" s="21" t="n">
        <v>0</v>
      </c>
      <c r="W9384" s="21" t="n">
        <v>0</v>
      </c>
      <c r="X9384" s="21" t="n">
        <v>0</v>
      </c>
      <c r="Y9384" s="21" t="n">
        <v>0</v>
      </c>
      <c r="Z9384" s="19" t="n"/>
    </row>
    <row r="9385">
      <c r="D9385" s="21" t="n">
        <v>0</v>
      </c>
      <c r="E9385" s="21" t="n">
        <v>0</v>
      </c>
      <c r="F9385" s="21" t="n">
        <v>0</v>
      </c>
      <c r="G9385" s="21" t="n">
        <v>0</v>
      </c>
      <c r="H9385" s="21">
        <f>$B$8764</f>
        <v/>
      </c>
      <c r="I9385" s="21">
        <f>$B$8766</f>
        <v/>
      </c>
      <c r="J9385" s="21">
        <f>0</f>
        <v/>
      </c>
      <c r="K9385" s="21">
        <f>2*$B$8765</f>
        <v/>
      </c>
      <c r="L9385" s="21">
        <f>-$B$8764</f>
        <v/>
      </c>
      <c r="M9385" s="21">
        <f>$B$8766</f>
        <v/>
      </c>
      <c r="N9385" s="21" t="n">
        <v>0</v>
      </c>
      <c r="O9385" s="21" t="n">
        <v>0</v>
      </c>
      <c r="P9385" s="21" t="n">
        <v>0</v>
      </c>
      <c r="Q9385" s="21" t="n">
        <v>0</v>
      </c>
      <c r="R9385" s="21" t="n">
        <v>0</v>
      </c>
      <c r="S9385" s="21" t="n">
        <v>0</v>
      </c>
      <c r="T9385" s="21" t="n">
        <v>0</v>
      </c>
      <c r="U9385" s="21" t="n">
        <v>0</v>
      </c>
      <c r="V9385" s="21" t="n">
        <v>0</v>
      </c>
      <c r="W9385" s="21" t="n">
        <v>0</v>
      </c>
      <c r="X9385" s="21" t="n">
        <v>0</v>
      </c>
      <c r="Y9385" s="21" t="n">
        <v>0</v>
      </c>
      <c r="Z9385" s="19" t="n"/>
    </row>
    <row r="9386">
      <c r="D9386" s="21" t="n">
        <v>0</v>
      </c>
      <c r="E9386" s="21" t="n">
        <v>0</v>
      </c>
      <c r="F9386" s="21" t="n">
        <v>0</v>
      </c>
      <c r="G9386" s="21" t="n">
        <v>0</v>
      </c>
      <c r="H9386" s="21" t="n">
        <v>0</v>
      </c>
      <c r="I9386" s="21" t="n">
        <v>0</v>
      </c>
      <c r="J9386" s="21">
        <f>-$B$8763</f>
        <v/>
      </c>
      <c r="K9386" s="21">
        <f>-$B$8764</f>
        <v/>
      </c>
      <c r="L9386" s="21">
        <f>2*$B$8763+$D$9370</f>
        <v/>
      </c>
      <c r="M9386" s="21">
        <f>0</f>
        <v/>
      </c>
      <c r="N9386" s="21">
        <f>-$B$8763</f>
        <v/>
      </c>
      <c r="O9386" s="21">
        <f>$B$8764</f>
        <v/>
      </c>
      <c r="P9386" s="21" t="n">
        <v>0</v>
      </c>
      <c r="Q9386" s="21" t="n">
        <v>0</v>
      </c>
      <c r="R9386" s="21" t="n">
        <v>0</v>
      </c>
      <c r="S9386" s="21" t="n">
        <v>0</v>
      </c>
      <c r="T9386" s="21" t="n">
        <v>0</v>
      </c>
      <c r="U9386" s="21" t="n">
        <v>0</v>
      </c>
      <c r="V9386" s="21" t="n">
        <v>0</v>
      </c>
      <c r="W9386" s="21" t="n">
        <v>0</v>
      </c>
      <c r="X9386" s="21" t="n">
        <v>0</v>
      </c>
      <c r="Y9386" s="21" t="n">
        <v>0</v>
      </c>
      <c r="Z9386" s="19" t="n"/>
    </row>
    <row r="9387">
      <c r="D9387" s="21" t="n">
        <v>0</v>
      </c>
      <c r="E9387" s="21" t="n">
        <v>0</v>
      </c>
      <c r="F9387" s="21" t="n">
        <v>0</v>
      </c>
      <c r="G9387" s="21" t="n">
        <v>0</v>
      </c>
      <c r="H9387" s="21" t="n">
        <v>0</v>
      </c>
      <c r="I9387" s="21" t="n">
        <v>0</v>
      </c>
      <c r="J9387" s="21">
        <f>$B$8764</f>
        <v/>
      </c>
      <c r="K9387" s="21">
        <f>$B$8766</f>
        <v/>
      </c>
      <c r="L9387" s="21">
        <f>0</f>
        <v/>
      </c>
      <c r="M9387" s="21">
        <f>2*$B$8765</f>
        <v/>
      </c>
      <c r="N9387" s="21">
        <f>-$B$8764</f>
        <v/>
      </c>
      <c r="O9387" s="21">
        <f>$B$8766</f>
        <v/>
      </c>
      <c r="P9387" s="21" t="n">
        <v>0</v>
      </c>
      <c r="Q9387" s="21" t="n">
        <v>0</v>
      </c>
      <c r="R9387" s="21" t="n">
        <v>0</v>
      </c>
      <c r="S9387" s="21" t="n">
        <v>0</v>
      </c>
      <c r="T9387" s="21" t="n">
        <v>0</v>
      </c>
      <c r="U9387" s="21" t="n">
        <v>0</v>
      </c>
      <c r="V9387" s="21" t="n">
        <v>0</v>
      </c>
      <c r="W9387" s="21" t="n">
        <v>0</v>
      </c>
      <c r="X9387" s="21" t="n">
        <v>0</v>
      </c>
      <c r="Y9387" s="21" t="n">
        <v>0</v>
      </c>
      <c r="Z9387" s="19" t="n"/>
    </row>
    <row r="9388">
      <c r="D9388" s="21" t="n">
        <v>0</v>
      </c>
      <c r="E9388" s="21" t="n">
        <v>0</v>
      </c>
      <c r="F9388" s="21" t="n">
        <v>0</v>
      </c>
      <c r="G9388" s="21" t="n">
        <v>0</v>
      </c>
      <c r="H9388" s="21" t="n">
        <v>0</v>
      </c>
      <c r="I9388" s="21" t="n">
        <v>0</v>
      </c>
      <c r="J9388" s="21" t="n">
        <v>0</v>
      </c>
      <c r="K9388" s="21" t="n">
        <v>0</v>
      </c>
      <c r="L9388" s="21">
        <f>-$B$8763</f>
        <v/>
      </c>
      <c r="M9388" s="21">
        <f>-$B$8764</f>
        <v/>
      </c>
      <c r="N9388" s="21">
        <f>2*$B$8763+$D$9371</f>
        <v/>
      </c>
      <c r="O9388" s="21">
        <f>0</f>
        <v/>
      </c>
      <c r="P9388" s="21">
        <f>-$B$8763</f>
        <v/>
      </c>
      <c r="Q9388" s="21">
        <f>$B$8764</f>
        <v/>
      </c>
      <c r="R9388" s="21" t="n">
        <v>0</v>
      </c>
      <c r="S9388" s="21" t="n">
        <v>0</v>
      </c>
      <c r="T9388" s="21" t="n">
        <v>0</v>
      </c>
      <c r="U9388" s="21" t="n">
        <v>0</v>
      </c>
      <c r="V9388" s="21" t="n">
        <v>0</v>
      </c>
      <c r="W9388" s="21" t="n">
        <v>0</v>
      </c>
      <c r="X9388" s="21" t="n">
        <v>0</v>
      </c>
      <c r="Y9388" s="21" t="n">
        <v>0</v>
      </c>
      <c r="Z9388" s="19" t="n"/>
    </row>
    <row r="9389">
      <c r="D9389" s="21" t="n">
        <v>0</v>
      </c>
      <c r="E9389" s="21" t="n">
        <v>0</v>
      </c>
      <c r="F9389" s="21" t="n">
        <v>0</v>
      </c>
      <c r="G9389" s="21" t="n">
        <v>0</v>
      </c>
      <c r="H9389" s="21" t="n">
        <v>0</v>
      </c>
      <c r="I9389" s="21" t="n">
        <v>0</v>
      </c>
      <c r="J9389" s="21" t="n">
        <v>0</v>
      </c>
      <c r="K9389" s="21" t="n">
        <v>0</v>
      </c>
      <c r="L9389" s="21">
        <f>$B$8764</f>
        <v/>
      </c>
      <c r="M9389" s="21">
        <f>$B$8766</f>
        <v/>
      </c>
      <c r="N9389" s="21">
        <f>0</f>
        <v/>
      </c>
      <c r="O9389" s="21">
        <f>2*$B$8765</f>
        <v/>
      </c>
      <c r="P9389" s="21">
        <f>-$B$8764</f>
        <v/>
      </c>
      <c r="Q9389" s="21">
        <f>$B$8766</f>
        <v/>
      </c>
      <c r="R9389" s="21" t="n">
        <v>0</v>
      </c>
      <c r="S9389" s="21" t="n">
        <v>0</v>
      </c>
      <c r="T9389" s="21" t="n">
        <v>0</v>
      </c>
      <c r="U9389" s="21" t="n">
        <v>0</v>
      </c>
      <c r="V9389" s="21" t="n">
        <v>0</v>
      </c>
      <c r="W9389" s="21" t="n">
        <v>0</v>
      </c>
      <c r="X9389" s="21" t="n">
        <v>0</v>
      </c>
      <c r="Y9389" s="21" t="n">
        <v>0</v>
      </c>
      <c r="Z9389" s="19" t="n"/>
    </row>
    <row r="9390">
      <c r="D9390" s="21" t="n">
        <v>0</v>
      </c>
      <c r="E9390" s="21" t="n">
        <v>0</v>
      </c>
      <c r="F9390" s="21" t="n">
        <v>0</v>
      </c>
      <c r="G9390" s="21" t="n">
        <v>0</v>
      </c>
      <c r="H9390" s="21" t="n">
        <v>0</v>
      </c>
      <c r="I9390" s="21" t="n">
        <v>0</v>
      </c>
      <c r="J9390" s="21" t="n">
        <v>0</v>
      </c>
      <c r="K9390" s="21" t="n">
        <v>0</v>
      </c>
      <c r="L9390" s="21" t="n">
        <v>0</v>
      </c>
      <c r="M9390" s="21" t="n">
        <v>0</v>
      </c>
      <c r="N9390" s="21">
        <f>-$B$8763</f>
        <v/>
      </c>
      <c r="O9390" s="21">
        <f>-$B$8764</f>
        <v/>
      </c>
      <c r="P9390" s="21">
        <f>2*$B$8763+$D$9372</f>
        <v/>
      </c>
      <c r="Q9390" s="21">
        <f>0</f>
        <v/>
      </c>
      <c r="R9390" s="21">
        <f>-$B$8763</f>
        <v/>
      </c>
      <c r="S9390" s="21">
        <f>$B$8764</f>
        <v/>
      </c>
      <c r="T9390" s="21" t="n">
        <v>0</v>
      </c>
      <c r="U9390" s="21" t="n">
        <v>0</v>
      </c>
      <c r="V9390" s="21" t="n">
        <v>0</v>
      </c>
      <c r="W9390" s="21" t="n">
        <v>0</v>
      </c>
      <c r="X9390" s="21" t="n">
        <v>0</v>
      </c>
      <c r="Y9390" s="21" t="n">
        <v>0</v>
      </c>
      <c r="Z9390" s="19" t="n"/>
    </row>
    <row r="9391">
      <c r="D9391" s="21" t="n">
        <v>0</v>
      </c>
      <c r="E9391" s="21" t="n">
        <v>0</v>
      </c>
      <c r="F9391" s="21" t="n">
        <v>0</v>
      </c>
      <c r="G9391" s="21" t="n">
        <v>0</v>
      </c>
      <c r="H9391" s="21" t="n">
        <v>0</v>
      </c>
      <c r="I9391" s="21" t="n">
        <v>0</v>
      </c>
      <c r="J9391" s="21" t="n">
        <v>0</v>
      </c>
      <c r="K9391" s="21" t="n">
        <v>0</v>
      </c>
      <c r="L9391" s="21" t="n">
        <v>0</v>
      </c>
      <c r="M9391" s="21" t="n">
        <v>0</v>
      </c>
      <c r="N9391" s="21">
        <f>$B$8764</f>
        <v/>
      </c>
      <c r="O9391" s="21">
        <f>$B$8766</f>
        <v/>
      </c>
      <c r="P9391" s="21">
        <f>0</f>
        <v/>
      </c>
      <c r="Q9391" s="21">
        <f>2*$B$8765</f>
        <v/>
      </c>
      <c r="R9391" s="21">
        <f>-$B$8764</f>
        <v/>
      </c>
      <c r="S9391" s="21">
        <f>$B$8766</f>
        <v/>
      </c>
      <c r="T9391" s="21" t="n">
        <v>0</v>
      </c>
      <c r="U9391" s="21" t="n">
        <v>0</v>
      </c>
      <c r="V9391" s="21" t="n">
        <v>0</v>
      </c>
      <c r="W9391" s="21" t="n">
        <v>0</v>
      </c>
      <c r="X9391" s="21" t="n">
        <v>0</v>
      </c>
      <c r="Y9391" s="21" t="n">
        <v>0</v>
      </c>
      <c r="Z9391" s="19" t="n"/>
    </row>
    <row r="9392">
      <c r="D9392" s="21" t="n">
        <v>0</v>
      </c>
      <c r="E9392" s="21" t="n">
        <v>0</v>
      </c>
      <c r="F9392" s="21" t="n">
        <v>0</v>
      </c>
      <c r="G9392" s="21" t="n">
        <v>0</v>
      </c>
      <c r="H9392" s="21" t="n">
        <v>0</v>
      </c>
      <c r="I9392" s="21" t="n">
        <v>0</v>
      </c>
      <c r="J9392" s="21" t="n">
        <v>0</v>
      </c>
      <c r="K9392" s="21" t="n">
        <v>0</v>
      </c>
      <c r="L9392" s="21" t="n">
        <v>0</v>
      </c>
      <c r="M9392" s="21" t="n">
        <v>0</v>
      </c>
      <c r="N9392" s="21" t="n">
        <v>0</v>
      </c>
      <c r="O9392" s="21" t="n">
        <v>0</v>
      </c>
      <c r="P9392" s="21">
        <f>-$B$8763</f>
        <v/>
      </c>
      <c r="Q9392" s="21">
        <f>-$B$8764</f>
        <v/>
      </c>
      <c r="R9392" s="21">
        <f>2*$B$8763+$D$9373</f>
        <v/>
      </c>
      <c r="S9392" s="21">
        <f>0</f>
        <v/>
      </c>
      <c r="T9392" s="21">
        <f>-$B$8763</f>
        <v/>
      </c>
      <c r="U9392" s="21">
        <f>$B$8764</f>
        <v/>
      </c>
      <c r="V9392" s="21" t="n">
        <v>0</v>
      </c>
      <c r="W9392" s="21" t="n">
        <v>0</v>
      </c>
      <c r="X9392" s="21" t="n">
        <v>0</v>
      </c>
      <c r="Y9392" s="21" t="n">
        <v>0</v>
      </c>
      <c r="Z9392" s="19" t="n"/>
    </row>
    <row r="9393">
      <c r="D9393" s="21" t="n">
        <v>0</v>
      </c>
      <c r="E9393" s="21" t="n">
        <v>0</v>
      </c>
      <c r="F9393" s="21" t="n">
        <v>0</v>
      </c>
      <c r="G9393" s="21" t="n">
        <v>0</v>
      </c>
      <c r="H9393" s="21" t="n">
        <v>0</v>
      </c>
      <c r="I9393" s="21" t="n">
        <v>0</v>
      </c>
      <c r="J9393" s="21" t="n">
        <v>0</v>
      </c>
      <c r="K9393" s="21" t="n">
        <v>0</v>
      </c>
      <c r="L9393" s="21" t="n">
        <v>0</v>
      </c>
      <c r="M9393" s="21" t="n">
        <v>0</v>
      </c>
      <c r="N9393" s="21" t="n">
        <v>0</v>
      </c>
      <c r="O9393" s="21" t="n">
        <v>0</v>
      </c>
      <c r="P9393" s="21">
        <f>$B$8764</f>
        <v/>
      </c>
      <c r="Q9393" s="21">
        <f>$B$8766</f>
        <v/>
      </c>
      <c r="R9393" s="21">
        <f>0</f>
        <v/>
      </c>
      <c r="S9393" s="21">
        <f>2*$B$8765</f>
        <v/>
      </c>
      <c r="T9393" s="21">
        <f>-$B$8764</f>
        <v/>
      </c>
      <c r="U9393" s="21">
        <f>$B$8766</f>
        <v/>
      </c>
      <c r="V9393" s="21" t="n">
        <v>0</v>
      </c>
      <c r="W9393" s="21" t="n">
        <v>0</v>
      </c>
      <c r="X9393" s="21" t="n">
        <v>0</v>
      </c>
      <c r="Y9393" s="21" t="n">
        <v>0</v>
      </c>
      <c r="Z9393" s="19" t="n"/>
    </row>
    <row r="9394">
      <c r="D9394" s="21" t="n">
        <v>0</v>
      </c>
      <c r="E9394" s="21" t="n">
        <v>0</v>
      </c>
      <c r="F9394" s="21" t="n">
        <v>0</v>
      </c>
      <c r="G9394" s="21" t="n">
        <v>0</v>
      </c>
      <c r="H9394" s="21" t="n">
        <v>0</v>
      </c>
      <c r="I9394" s="21" t="n">
        <v>0</v>
      </c>
      <c r="J9394" s="21" t="n">
        <v>0</v>
      </c>
      <c r="K9394" s="21" t="n">
        <v>0</v>
      </c>
      <c r="L9394" s="21" t="n">
        <v>0</v>
      </c>
      <c r="M9394" s="21" t="n">
        <v>0</v>
      </c>
      <c r="N9394" s="21" t="n">
        <v>0</v>
      </c>
      <c r="O9394" s="21" t="n">
        <v>0</v>
      </c>
      <c r="P9394" s="21" t="n">
        <v>0</v>
      </c>
      <c r="Q9394" s="21" t="n">
        <v>0</v>
      </c>
      <c r="R9394" s="21">
        <f>-$B$8763</f>
        <v/>
      </c>
      <c r="S9394" s="21">
        <f>-$B$8764</f>
        <v/>
      </c>
      <c r="T9394" s="21">
        <f>2*$B$8763+$D$9374</f>
        <v/>
      </c>
      <c r="U9394" s="21">
        <f>0</f>
        <v/>
      </c>
      <c r="V9394" s="21">
        <f>-$B$8763</f>
        <v/>
      </c>
      <c r="W9394" s="21">
        <f>$B$8764</f>
        <v/>
      </c>
      <c r="X9394" s="21" t="n">
        <v>0</v>
      </c>
      <c r="Y9394" s="21" t="n">
        <v>0</v>
      </c>
      <c r="Z9394" s="19" t="n"/>
    </row>
    <row r="9395">
      <c r="D9395" s="21" t="n">
        <v>0</v>
      </c>
      <c r="E9395" s="21" t="n">
        <v>0</v>
      </c>
      <c r="F9395" s="21" t="n">
        <v>0</v>
      </c>
      <c r="G9395" s="21" t="n">
        <v>0</v>
      </c>
      <c r="H9395" s="21" t="n">
        <v>0</v>
      </c>
      <c r="I9395" s="21" t="n">
        <v>0</v>
      </c>
      <c r="J9395" s="21" t="n">
        <v>0</v>
      </c>
      <c r="K9395" s="21" t="n">
        <v>0</v>
      </c>
      <c r="L9395" s="21" t="n">
        <v>0</v>
      </c>
      <c r="M9395" s="21" t="n">
        <v>0</v>
      </c>
      <c r="N9395" s="21" t="n">
        <v>0</v>
      </c>
      <c r="O9395" s="21" t="n">
        <v>0</v>
      </c>
      <c r="P9395" s="21" t="n">
        <v>0</v>
      </c>
      <c r="Q9395" s="21" t="n">
        <v>0</v>
      </c>
      <c r="R9395" s="21">
        <f>$B$8764</f>
        <v/>
      </c>
      <c r="S9395" s="21">
        <f>$B$8766</f>
        <v/>
      </c>
      <c r="T9395" s="21">
        <f>0</f>
        <v/>
      </c>
      <c r="U9395" s="21">
        <f>2*$B$8765</f>
        <v/>
      </c>
      <c r="V9395" s="21">
        <f>-$B$8764</f>
        <v/>
      </c>
      <c r="W9395" s="21">
        <f>$B$8766</f>
        <v/>
      </c>
      <c r="X9395" s="21" t="n">
        <v>0</v>
      </c>
      <c r="Y9395" s="21" t="n">
        <v>0</v>
      </c>
      <c r="Z9395" s="19" t="n"/>
    </row>
    <row r="9396">
      <c r="D9396" s="21" t="n">
        <v>0</v>
      </c>
      <c r="E9396" s="21" t="n">
        <v>0</v>
      </c>
      <c r="F9396" s="21" t="n">
        <v>0</v>
      </c>
      <c r="G9396" s="21" t="n">
        <v>0</v>
      </c>
      <c r="H9396" s="21" t="n">
        <v>0</v>
      </c>
      <c r="I9396" s="21" t="n">
        <v>0</v>
      </c>
      <c r="J9396" s="21" t="n">
        <v>0</v>
      </c>
      <c r="K9396" s="21" t="n">
        <v>0</v>
      </c>
      <c r="L9396" s="21" t="n">
        <v>0</v>
      </c>
      <c r="M9396" s="21" t="n">
        <v>0</v>
      </c>
      <c r="N9396" s="21" t="n">
        <v>0</v>
      </c>
      <c r="O9396" s="21" t="n">
        <v>0</v>
      </c>
      <c r="P9396" s="21" t="n">
        <v>0</v>
      </c>
      <c r="Q9396" s="21" t="n">
        <v>0</v>
      </c>
      <c r="R9396" s="21" t="n">
        <v>0</v>
      </c>
      <c r="S9396" s="21" t="n">
        <v>0</v>
      </c>
      <c r="T9396" s="21">
        <f>-$B$8763</f>
        <v/>
      </c>
      <c r="U9396" s="21">
        <f>-$B$8764</f>
        <v/>
      </c>
      <c r="V9396" s="21">
        <f>2*$B$8763+$D$9375</f>
        <v/>
      </c>
      <c r="W9396" s="21">
        <f>0</f>
        <v/>
      </c>
      <c r="X9396" s="21">
        <f>-$B$8763</f>
        <v/>
      </c>
      <c r="Y9396" s="21">
        <f>$B$8764</f>
        <v/>
      </c>
      <c r="Z9396" s="19" t="n"/>
    </row>
    <row r="9397">
      <c r="D9397" s="21" t="n">
        <v>0</v>
      </c>
      <c r="E9397" s="21" t="n">
        <v>0</v>
      </c>
      <c r="F9397" s="21" t="n">
        <v>0</v>
      </c>
      <c r="G9397" s="21" t="n">
        <v>0</v>
      </c>
      <c r="H9397" s="21" t="n">
        <v>0</v>
      </c>
      <c r="I9397" s="21" t="n">
        <v>0</v>
      </c>
      <c r="J9397" s="21" t="n">
        <v>0</v>
      </c>
      <c r="K9397" s="21" t="n">
        <v>0</v>
      </c>
      <c r="L9397" s="21" t="n">
        <v>0</v>
      </c>
      <c r="M9397" s="21" t="n">
        <v>0</v>
      </c>
      <c r="N9397" s="21" t="n">
        <v>0</v>
      </c>
      <c r="O9397" s="21" t="n">
        <v>0</v>
      </c>
      <c r="P9397" s="21" t="n">
        <v>0</v>
      </c>
      <c r="Q9397" s="21" t="n">
        <v>0</v>
      </c>
      <c r="R9397" s="21" t="n">
        <v>0</v>
      </c>
      <c r="S9397" s="21" t="n">
        <v>0</v>
      </c>
      <c r="T9397" s="21">
        <f>$B$8764</f>
        <v/>
      </c>
      <c r="U9397" s="21">
        <f>$B$8766</f>
        <v/>
      </c>
      <c r="V9397" s="21">
        <f>0</f>
        <v/>
      </c>
      <c r="W9397" s="21">
        <f>2*$B$8765</f>
        <v/>
      </c>
      <c r="X9397" s="21">
        <f>-$B$8764</f>
        <v/>
      </c>
      <c r="Y9397" s="21">
        <f>$B$8766</f>
        <v/>
      </c>
      <c r="Z9397" s="19" t="n"/>
    </row>
    <row r="9398">
      <c r="D9398" s="21" t="n">
        <v>0</v>
      </c>
      <c r="E9398" s="21" t="n">
        <v>0</v>
      </c>
      <c r="F9398" s="21" t="n">
        <v>0</v>
      </c>
      <c r="G9398" s="21" t="n">
        <v>0</v>
      </c>
      <c r="H9398" s="21" t="n">
        <v>0</v>
      </c>
      <c r="I9398" s="21" t="n">
        <v>0</v>
      </c>
      <c r="J9398" s="21" t="n">
        <v>0</v>
      </c>
      <c r="K9398" s="21" t="n">
        <v>0</v>
      </c>
      <c r="L9398" s="21" t="n">
        <v>0</v>
      </c>
      <c r="M9398" s="21" t="n">
        <v>0</v>
      </c>
      <c r="N9398" s="21" t="n">
        <v>0</v>
      </c>
      <c r="O9398" s="21" t="n">
        <v>0</v>
      </c>
      <c r="P9398" s="21" t="n">
        <v>0</v>
      </c>
      <c r="Q9398" s="21" t="n">
        <v>0</v>
      </c>
      <c r="R9398" s="21" t="n">
        <v>0</v>
      </c>
      <c r="S9398" s="21" t="n">
        <v>0</v>
      </c>
      <c r="T9398" s="21" t="n">
        <v>0</v>
      </c>
      <c r="U9398" s="21" t="n">
        <v>0</v>
      </c>
      <c r="V9398" s="21">
        <f>-$B$8763</f>
        <v/>
      </c>
      <c r="W9398" s="21">
        <f>-$B$8764</f>
        <v/>
      </c>
      <c r="X9398" s="21">
        <f>$B$8763+$D$9376</f>
        <v/>
      </c>
      <c r="Y9398" s="21">
        <f>-$B$8764</f>
        <v/>
      </c>
      <c r="Z9398" s="19" t="n"/>
    </row>
    <row r="9399">
      <c r="D9399" s="21" t="n">
        <v>0</v>
      </c>
      <c r="E9399" s="21" t="n">
        <v>0</v>
      </c>
      <c r="F9399" s="21" t="n">
        <v>0</v>
      </c>
      <c r="G9399" s="21" t="n">
        <v>0</v>
      </c>
      <c r="H9399" s="21" t="n">
        <v>0</v>
      </c>
      <c r="I9399" s="21" t="n">
        <v>0</v>
      </c>
      <c r="J9399" s="21" t="n">
        <v>0</v>
      </c>
      <c r="K9399" s="21" t="n">
        <v>0</v>
      </c>
      <c r="L9399" s="21" t="n">
        <v>0</v>
      </c>
      <c r="M9399" s="21" t="n">
        <v>0</v>
      </c>
      <c r="N9399" s="21" t="n">
        <v>0</v>
      </c>
      <c r="O9399" s="21" t="n">
        <v>0</v>
      </c>
      <c r="P9399" s="21" t="n">
        <v>0</v>
      </c>
      <c r="Q9399" s="21" t="n">
        <v>0</v>
      </c>
      <c r="R9399" s="21" t="n">
        <v>0</v>
      </c>
      <c r="S9399" s="21" t="n">
        <v>0</v>
      </c>
      <c r="T9399" s="21" t="n">
        <v>0</v>
      </c>
      <c r="U9399" s="21" t="n">
        <v>0</v>
      </c>
      <c r="V9399" s="21">
        <f>$B$8764</f>
        <v/>
      </c>
      <c r="W9399" s="21">
        <f>$B$8766</f>
        <v/>
      </c>
      <c r="X9399" s="21">
        <f>-$B$8764</f>
        <v/>
      </c>
      <c r="Y9399" s="21">
        <f>$B$8765</f>
        <v/>
      </c>
      <c r="Z9399" s="19" t="n"/>
    </row>
    <row r="9401">
      <c r="A9401" s="8" t="inlineStr">
        <is>
          <t>gen 17</t>
        </is>
      </c>
    </row>
    <row r="9402">
      <c r="D9402" s="19">
        <f>IF(ABS(IF(ABS($E$9366)&gt;0.000000001,$E$9366,0.000000001))=0,0,IF($E$8778&lt;=$B$8772,0,IF(ABS(IF(ABS($E$9366)&gt;0.000000001,$E$9366,0.000000001))&gt;=8*$B$8774,$H$8778,0.5*$H$8778*(ABS(IF(ABS($E$9366)&gt;0.000000001,$E$9366,0.000000001))/$B$8774)^(1/3)))/ABS(IF(ABS($E$9366)&gt;0.000000001,$E$9366,0.000000001))*$I$8778)</f>
        <v/>
      </c>
      <c r="E9402" s="19">
        <f>0.5*$E$9366+0.5*$Z$9414</f>
        <v/>
      </c>
      <c r="F9402" s="19">
        <f>$Z$9415</f>
        <v/>
      </c>
    </row>
    <row r="9403">
      <c r="D9403" s="19">
        <f>IF(ABS(IF(ABS($E$9367)&gt;0.000000001,$E$9367,0.000000001))=0,0,IF($E$8779&lt;=$B$8772,0,IF(ABS(IF(ABS($E$9367)&gt;0.000000001,$E$9367,0.000000001))&gt;=8*$B$8774,$H$8779,0.5*$H$8779*(ABS(IF(ABS($E$9367)&gt;0.000000001,$E$9367,0.000000001))/$B$8774)^(1/3)))/ABS(IF(ABS($E$9367)&gt;0.000000001,$E$9367,0.000000001))*$I$8779)</f>
        <v/>
      </c>
      <c r="E9403" s="19">
        <f>0.5*$E$9367+0.5*$Z$9416</f>
        <v/>
      </c>
      <c r="F9403" s="19">
        <f>$Z$9417</f>
        <v/>
      </c>
    </row>
    <row r="9404">
      <c r="D9404" s="19">
        <f>IF(ABS(IF(ABS($E$9368)&gt;0.000000001,$E$9368,0.000000001))=0,0,IF($E$8780&lt;=$B$8772,0,IF(ABS(IF(ABS($E$9368)&gt;0.000000001,$E$9368,0.000000001))&gt;=8*$B$8774,$H$8780,0.5*$H$8780*(ABS(IF(ABS($E$9368)&gt;0.000000001,$E$9368,0.000000001))/$B$8774)^(1/3)))/ABS(IF(ABS($E$9368)&gt;0.000000001,$E$9368,0.000000001))*$I$8780)</f>
        <v/>
      </c>
      <c r="E9404" s="19">
        <f>0.5*$E$9368+0.5*$Z$9418</f>
        <v/>
      </c>
      <c r="F9404" s="19">
        <f>$Z$9419</f>
        <v/>
      </c>
    </row>
    <row r="9405">
      <c r="D9405" s="19">
        <f>IF(ABS(IF(ABS($E$9369)&gt;0.000000001,$E$9369,0.000000001))=0,0,IF($E$8781&lt;=$B$8772,0,IF(ABS(IF(ABS($E$9369)&gt;0.000000001,$E$9369,0.000000001))&gt;=8*$B$8774,$H$8781,0.5*$H$8781*(ABS(IF(ABS($E$9369)&gt;0.000000001,$E$9369,0.000000001))/$B$8774)^(1/3)))/ABS(IF(ABS($E$9369)&gt;0.000000001,$E$9369,0.000000001))*$I$8781)</f>
        <v/>
      </c>
      <c r="E9405" s="19">
        <f>0.5*$E$9369+0.5*$Z$9420</f>
        <v/>
      </c>
      <c r="F9405" s="19">
        <f>$Z$9421</f>
        <v/>
      </c>
    </row>
    <row r="9406">
      <c r="D9406" s="19">
        <f>IF(ABS(IF(ABS($E$9370)&gt;0.000000001,$E$9370,0.000000001))=0,0,IF($E$8782&lt;=$B$8772,0,IF(ABS(IF(ABS($E$9370)&gt;0.000000001,$E$9370,0.000000001))&gt;=8*$B$8774,$H$8782,0.5*$H$8782*(ABS(IF(ABS($E$9370)&gt;0.000000001,$E$9370,0.000000001))/$B$8774)^(1/3)))/ABS(IF(ABS($E$9370)&gt;0.000000001,$E$9370,0.000000001))*$I$8782)</f>
        <v/>
      </c>
      <c r="E9406" s="19">
        <f>0.5*$E$9370+0.5*$Z$9422</f>
        <v/>
      </c>
      <c r="F9406" s="19">
        <f>$Z$9423</f>
        <v/>
      </c>
    </row>
    <row r="9407">
      <c r="D9407" s="19">
        <f>IF(ABS(IF(ABS($E$9371)&gt;0.000000001,$E$9371,0.000000001))=0,0,IF($E$8783&lt;=$B$8772,0,IF(ABS(IF(ABS($E$9371)&gt;0.000000001,$E$9371,0.000000001))&gt;=8*$B$8774,$H$8783,0.5*$H$8783*(ABS(IF(ABS($E$9371)&gt;0.000000001,$E$9371,0.000000001))/$B$8774)^(1/3)))/ABS(IF(ABS($E$9371)&gt;0.000000001,$E$9371,0.000000001))*$I$8783)</f>
        <v/>
      </c>
      <c r="E9407" s="19">
        <f>0.5*$E$9371+0.5*$Z$9424</f>
        <v/>
      </c>
      <c r="F9407" s="19">
        <f>$Z$9425</f>
        <v/>
      </c>
    </row>
    <row r="9408">
      <c r="D9408" s="19">
        <f>IF(ABS(IF(ABS($E$9372)&gt;0.000000001,$E$9372,0.000000001))=0,0,IF($E$8784&lt;=$B$8772,0,IF(ABS(IF(ABS($E$9372)&gt;0.000000001,$E$9372,0.000000001))&gt;=8*$B$8774,$H$8784,0.5*$H$8784*(ABS(IF(ABS($E$9372)&gt;0.000000001,$E$9372,0.000000001))/$B$8774)^(1/3)))/ABS(IF(ABS($E$9372)&gt;0.000000001,$E$9372,0.000000001))*$I$8784)</f>
        <v/>
      </c>
      <c r="E9408" s="19">
        <f>0.5*$E$9372+0.5*$Z$9426</f>
        <v/>
      </c>
      <c r="F9408" s="19">
        <f>$Z$9427</f>
        <v/>
      </c>
    </row>
    <row r="9409">
      <c r="D9409" s="19">
        <f>IF(ABS(IF(ABS($E$9373)&gt;0.000000001,$E$9373,0.000000001))=0,0,IF($E$8785&lt;=$B$8772,0,IF(ABS(IF(ABS($E$9373)&gt;0.000000001,$E$9373,0.000000001))&gt;=8*$B$8774,$H$8785,0.5*$H$8785*(ABS(IF(ABS($E$9373)&gt;0.000000001,$E$9373,0.000000001))/$B$8774)^(1/3)))/ABS(IF(ABS($E$9373)&gt;0.000000001,$E$9373,0.000000001))*$I$8785)</f>
        <v/>
      </c>
      <c r="E9409" s="19">
        <f>0.5*$E$9373+0.5*$Z$9428</f>
        <v/>
      </c>
      <c r="F9409" s="19">
        <f>$Z$9429</f>
        <v/>
      </c>
    </row>
    <row r="9410">
      <c r="D9410" s="19">
        <f>IF(ABS(IF(ABS($E$9374)&gt;0.000000001,$E$9374,0.000000001))=0,0,IF($E$8786&lt;=$B$8772,0,IF(ABS(IF(ABS($E$9374)&gt;0.000000001,$E$9374,0.000000001))&gt;=8*$B$8774,$H$8786,0.5*$H$8786*(ABS(IF(ABS($E$9374)&gt;0.000000001,$E$9374,0.000000001))/$B$8774)^(1/3)))/ABS(IF(ABS($E$9374)&gt;0.000000001,$E$9374,0.000000001))*$I$8786)</f>
        <v/>
      </c>
      <c r="E9410" s="19">
        <f>0.5*$E$9374+0.5*$Z$9430</f>
        <v/>
      </c>
      <c r="F9410" s="19">
        <f>$Z$9431</f>
        <v/>
      </c>
    </row>
    <row r="9411">
      <c r="D9411" s="19">
        <f>IF(ABS(IF(ABS($E$9375)&gt;0.000000001,$E$9375,0.000000001))=0,0,IF($E$8787&lt;=$B$8772,0,IF(ABS(IF(ABS($E$9375)&gt;0.000000001,$E$9375,0.000000001))&gt;=8*$B$8774,$H$8787,0.5*$H$8787*(ABS(IF(ABS($E$9375)&gt;0.000000001,$E$9375,0.000000001))/$B$8774)^(1/3)))/ABS(IF(ABS($E$9375)&gt;0.000000001,$E$9375,0.000000001))*$I$8787)</f>
        <v/>
      </c>
      <c r="E9411" s="19">
        <f>0.5*$E$9375+0.5*$Z$9432</f>
        <v/>
      </c>
      <c r="F9411" s="19">
        <f>$Z$9433</f>
        <v/>
      </c>
    </row>
    <row r="9412">
      <c r="D9412" s="19">
        <f>IF(ABS(IF(ABS($E$9376)&gt;0.000000001,$E$9376,0.000000001))=0,0,IF($E$8788&lt;=$B$8772,0,IF(ABS(IF(ABS($E$9376)&gt;0.000000001,$E$9376,0.000000001))&gt;=8*$B$8774,$H$8788,0.5*$H$8788*(ABS(IF(ABS($E$9376)&gt;0.000000001,$E$9376,0.000000001))/$B$8774)^(1/3)))/ABS(IF(ABS($E$9376)&gt;0.000000001,$E$9376,0.000000001))*$I$8788)</f>
        <v/>
      </c>
      <c r="E9412" s="19">
        <f>0.5*$E$9376+0.5*$Z$9434</f>
        <v/>
      </c>
      <c r="F9412" s="19">
        <f>$Z$9435</f>
        <v/>
      </c>
    </row>
    <row r="9414">
      <c r="D9414" s="21">
        <f>$B$8763+$D$9402</f>
        <v/>
      </c>
      <c r="E9414" s="21">
        <f>$B$8764</f>
        <v/>
      </c>
      <c r="F9414" s="21">
        <f>-$B$8763</f>
        <v/>
      </c>
      <c r="G9414" s="21">
        <f>$B$8764</f>
        <v/>
      </c>
      <c r="H9414" s="21" t="n">
        <v>0</v>
      </c>
      <c r="I9414" s="21" t="n">
        <v>0</v>
      </c>
      <c r="J9414" s="21" t="n">
        <v>0</v>
      </c>
      <c r="K9414" s="21" t="n">
        <v>0</v>
      </c>
      <c r="L9414" s="21" t="n">
        <v>0</v>
      </c>
      <c r="M9414" s="21" t="n">
        <v>0</v>
      </c>
      <c r="N9414" s="21" t="n">
        <v>0</v>
      </c>
      <c r="O9414" s="21" t="n">
        <v>0</v>
      </c>
      <c r="P9414" s="21" t="n">
        <v>0</v>
      </c>
      <c r="Q9414" s="21" t="n">
        <v>0</v>
      </c>
      <c r="R9414" s="21" t="n">
        <v>0</v>
      </c>
      <c r="S9414" s="21" t="n">
        <v>0</v>
      </c>
      <c r="T9414" s="21" t="n">
        <v>0</v>
      </c>
      <c r="U9414" s="21" t="n">
        <v>0</v>
      </c>
      <c r="V9414" s="21" t="n">
        <v>0</v>
      </c>
      <c r="W9414" s="21" t="n">
        <v>0</v>
      </c>
      <c r="X9414" s="21" t="n">
        <v>0</v>
      </c>
      <c r="Y9414" s="21" t="n">
        <v>0</v>
      </c>
      <c r="Z9414" s="19">
        <f t="array" ref="Z9414:Z9435">MMULT(MINVERSE($D$9414:$Y$9435),$D$8790:$D$8811)</f>
        <v/>
      </c>
    </row>
    <row r="9415">
      <c r="D9415" s="21">
        <f>$B$8764</f>
        <v/>
      </c>
      <c r="E9415" s="21">
        <f>$B$8765</f>
        <v/>
      </c>
      <c r="F9415" s="21">
        <f>-$B$8764</f>
        <v/>
      </c>
      <c r="G9415" s="21">
        <f>$B$8766</f>
        <v/>
      </c>
      <c r="H9415" s="21" t="n">
        <v>0</v>
      </c>
      <c r="I9415" s="21" t="n">
        <v>0</v>
      </c>
      <c r="J9415" s="21" t="n">
        <v>0</v>
      </c>
      <c r="K9415" s="21" t="n">
        <v>0</v>
      </c>
      <c r="L9415" s="21" t="n">
        <v>0</v>
      </c>
      <c r="M9415" s="21" t="n">
        <v>0</v>
      </c>
      <c r="N9415" s="21" t="n">
        <v>0</v>
      </c>
      <c r="O9415" s="21" t="n">
        <v>0</v>
      </c>
      <c r="P9415" s="21" t="n">
        <v>0</v>
      </c>
      <c r="Q9415" s="21" t="n">
        <v>0</v>
      </c>
      <c r="R9415" s="21" t="n">
        <v>0</v>
      </c>
      <c r="S9415" s="21" t="n">
        <v>0</v>
      </c>
      <c r="T9415" s="21" t="n">
        <v>0</v>
      </c>
      <c r="U9415" s="21" t="n">
        <v>0</v>
      </c>
      <c r="V9415" s="21" t="n">
        <v>0</v>
      </c>
      <c r="W9415" s="21" t="n">
        <v>0</v>
      </c>
      <c r="X9415" s="21" t="n">
        <v>0</v>
      </c>
      <c r="Y9415" s="21" t="n">
        <v>0</v>
      </c>
      <c r="Z9415" s="19" t="n"/>
    </row>
    <row r="9416">
      <c r="D9416" s="21">
        <f>-$B$8763</f>
        <v/>
      </c>
      <c r="E9416" s="21">
        <f>-$B$8764</f>
        <v/>
      </c>
      <c r="F9416" s="21">
        <f>2*$B$8763+$D$9403</f>
        <v/>
      </c>
      <c r="G9416" s="21">
        <f>0</f>
        <v/>
      </c>
      <c r="H9416" s="21">
        <f>-$B$8763</f>
        <v/>
      </c>
      <c r="I9416" s="21">
        <f>$B$8764</f>
        <v/>
      </c>
      <c r="J9416" s="21" t="n">
        <v>0</v>
      </c>
      <c r="K9416" s="21" t="n">
        <v>0</v>
      </c>
      <c r="L9416" s="21" t="n">
        <v>0</v>
      </c>
      <c r="M9416" s="21" t="n">
        <v>0</v>
      </c>
      <c r="N9416" s="21" t="n">
        <v>0</v>
      </c>
      <c r="O9416" s="21" t="n">
        <v>0</v>
      </c>
      <c r="P9416" s="21" t="n">
        <v>0</v>
      </c>
      <c r="Q9416" s="21" t="n">
        <v>0</v>
      </c>
      <c r="R9416" s="21" t="n">
        <v>0</v>
      </c>
      <c r="S9416" s="21" t="n">
        <v>0</v>
      </c>
      <c r="T9416" s="21" t="n">
        <v>0</v>
      </c>
      <c r="U9416" s="21" t="n">
        <v>0</v>
      </c>
      <c r="V9416" s="21" t="n">
        <v>0</v>
      </c>
      <c r="W9416" s="21" t="n">
        <v>0</v>
      </c>
      <c r="X9416" s="21" t="n">
        <v>0</v>
      </c>
      <c r="Y9416" s="21" t="n">
        <v>0</v>
      </c>
      <c r="Z9416" s="19" t="n"/>
    </row>
    <row r="9417">
      <c r="D9417" s="21">
        <f>$B$8764</f>
        <v/>
      </c>
      <c r="E9417" s="21">
        <f>$B$8766</f>
        <v/>
      </c>
      <c r="F9417" s="21">
        <f>0</f>
        <v/>
      </c>
      <c r="G9417" s="21">
        <f>2*$B$8765</f>
        <v/>
      </c>
      <c r="H9417" s="21">
        <f>-$B$8764</f>
        <v/>
      </c>
      <c r="I9417" s="21">
        <f>$B$8766</f>
        <v/>
      </c>
      <c r="J9417" s="21" t="n">
        <v>0</v>
      </c>
      <c r="K9417" s="21" t="n">
        <v>0</v>
      </c>
      <c r="L9417" s="21" t="n">
        <v>0</v>
      </c>
      <c r="M9417" s="21" t="n">
        <v>0</v>
      </c>
      <c r="N9417" s="21" t="n">
        <v>0</v>
      </c>
      <c r="O9417" s="21" t="n">
        <v>0</v>
      </c>
      <c r="P9417" s="21" t="n">
        <v>0</v>
      </c>
      <c r="Q9417" s="21" t="n">
        <v>0</v>
      </c>
      <c r="R9417" s="21" t="n">
        <v>0</v>
      </c>
      <c r="S9417" s="21" t="n">
        <v>0</v>
      </c>
      <c r="T9417" s="21" t="n">
        <v>0</v>
      </c>
      <c r="U9417" s="21" t="n">
        <v>0</v>
      </c>
      <c r="V9417" s="21" t="n">
        <v>0</v>
      </c>
      <c r="W9417" s="21" t="n">
        <v>0</v>
      </c>
      <c r="X9417" s="21" t="n">
        <v>0</v>
      </c>
      <c r="Y9417" s="21" t="n">
        <v>0</v>
      </c>
      <c r="Z9417" s="19" t="n"/>
    </row>
    <row r="9418">
      <c r="D9418" s="21" t="n">
        <v>0</v>
      </c>
      <c r="E9418" s="21" t="n">
        <v>0</v>
      </c>
      <c r="F9418" s="21">
        <f>-$B$8763</f>
        <v/>
      </c>
      <c r="G9418" s="21">
        <f>-$B$8764</f>
        <v/>
      </c>
      <c r="H9418" s="21">
        <f>2*$B$8763+$D$9404</f>
        <v/>
      </c>
      <c r="I9418" s="21">
        <f>0</f>
        <v/>
      </c>
      <c r="J9418" s="21">
        <f>-$B$8763</f>
        <v/>
      </c>
      <c r="K9418" s="21">
        <f>$B$8764</f>
        <v/>
      </c>
      <c r="L9418" s="21" t="n">
        <v>0</v>
      </c>
      <c r="M9418" s="21" t="n">
        <v>0</v>
      </c>
      <c r="N9418" s="21" t="n">
        <v>0</v>
      </c>
      <c r="O9418" s="21" t="n">
        <v>0</v>
      </c>
      <c r="P9418" s="21" t="n">
        <v>0</v>
      </c>
      <c r="Q9418" s="21" t="n">
        <v>0</v>
      </c>
      <c r="R9418" s="21" t="n">
        <v>0</v>
      </c>
      <c r="S9418" s="21" t="n">
        <v>0</v>
      </c>
      <c r="T9418" s="21" t="n">
        <v>0</v>
      </c>
      <c r="U9418" s="21" t="n">
        <v>0</v>
      </c>
      <c r="V9418" s="21" t="n">
        <v>0</v>
      </c>
      <c r="W9418" s="21" t="n">
        <v>0</v>
      </c>
      <c r="X9418" s="21" t="n">
        <v>0</v>
      </c>
      <c r="Y9418" s="21" t="n">
        <v>0</v>
      </c>
      <c r="Z9418" s="19" t="n"/>
    </row>
    <row r="9419">
      <c r="D9419" s="21" t="n">
        <v>0</v>
      </c>
      <c r="E9419" s="21" t="n">
        <v>0</v>
      </c>
      <c r="F9419" s="21">
        <f>$B$8764</f>
        <v/>
      </c>
      <c r="G9419" s="21">
        <f>$B$8766</f>
        <v/>
      </c>
      <c r="H9419" s="21">
        <f>0</f>
        <v/>
      </c>
      <c r="I9419" s="21">
        <f>2*$B$8765</f>
        <v/>
      </c>
      <c r="J9419" s="21">
        <f>-$B$8764</f>
        <v/>
      </c>
      <c r="K9419" s="21">
        <f>$B$8766</f>
        <v/>
      </c>
      <c r="L9419" s="21" t="n">
        <v>0</v>
      </c>
      <c r="M9419" s="21" t="n">
        <v>0</v>
      </c>
      <c r="N9419" s="21" t="n">
        <v>0</v>
      </c>
      <c r="O9419" s="21" t="n">
        <v>0</v>
      </c>
      <c r="P9419" s="21" t="n">
        <v>0</v>
      </c>
      <c r="Q9419" s="21" t="n">
        <v>0</v>
      </c>
      <c r="R9419" s="21" t="n">
        <v>0</v>
      </c>
      <c r="S9419" s="21" t="n">
        <v>0</v>
      </c>
      <c r="T9419" s="21" t="n">
        <v>0</v>
      </c>
      <c r="U9419" s="21" t="n">
        <v>0</v>
      </c>
      <c r="V9419" s="21" t="n">
        <v>0</v>
      </c>
      <c r="W9419" s="21" t="n">
        <v>0</v>
      </c>
      <c r="X9419" s="21" t="n">
        <v>0</v>
      </c>
      <c r="Y9419" s="21" t="n">
        <v>0</v>
      </c>
      <c r="Z9419" s="19" t="n"/>
    </row>
    <row r="9420">
      <c r="D9420" s="21" t="n">
        <v>0</v>
      </c>
      <c r="E9420" s="21" t="n">
        <v>0</v>
      </c>
      <c r="F9420" s="21" t="n">
        <v>0</v>
      </c>
      <c r="G9420" s="21" t="n">
        <v>0</v>
      </c>
      <c r="H9420" s="21">
        <f>-$B$8763</f>
        <v/>
      </c>
      <c r="I9420" s="21">
        <f>-$B$8764</f>
        <v/>
      </c>
      <c r="J9420" s="21">
        <f>2*$B$8763+$D$9405</f>
        <v/>
      </c>
      <c r="K9420" s="21">
        <f>0</f>
        <v/>
      </c>
      <c r="L9420" s="21">
        <f>-$B$8763</f>
        <v/>
      </c>
      <c r="M9420" s="21">
        <f>$B$8764</f>
        <v/>
      </c>
      <c r="N9420" s="21" t="n">
        <v>0</v>
      </c>
      <c r="O9420" s="21" t="n">
        <v>0</v>
      </c>
      <c r="P9420" s="21" t="n">
        <v>0</v>
      </c>
      <c r="Q9420" s="21" t="n">
        <v>0</v>
      </c>
      <c r="R9420" s="21" t="n">
        <v>0</v>
      </c>
      <c r="S9420" s="21" t="n">
        <v>0</v>
      </c>
      <c r="T9420" s="21" t="n">
        <v>0</v>
      </c>
      <c r="U9420" s="21" t="n">
        <v>0</v>
      </c>
      <c r="V9420" s="21" t="n">
        <v>0</v>
      </c>
      <c r="W9420" s="21" t="n">
        <v>0</v>
      </c>
      <c r="X9420" s="21" t="n">
        <v>0</v>
      </c>
      <c r="Y9420" s="21" t="n">
        <v>0</v>
      </c>
      <c r="Z9420" s="19" t="n"/>
    </row>
    <row r="9421">
      <c r="D9421" s="21" t="n">
        <v>0</v>
      </c>
      <c r="E9421" s="21" t="n">
        <v>0</v>
      </c>
      <c r="F9421" s="21" t="n">
        <v>0</v>
      </c>
      <c r="G9421" s="21" t="n">
        <v>0</v>
      </c>
      <c r="H9421" s="21">
        <f>$B$8764</f>
        <v/>
      </c>
      <c r="I9421" s="21">
        <f>$B$8766</f>
        <v/>
      </c>
      <c r="J9421" s="21">
        <f>0</f>
        <v/>
      </c>
      <c r="K9421" s="21">
        <f>2*$B$8765</f>
        <v/>
      </c>
      <c r="L9421" s="21">
        <f>-$B$8764</f>
        <v/>
      </c>
      <c r="M9421" s="21">
        <f>$B$8766</f>
        <v/>
      </c>
      <c r="N9421" s="21" t="n">
        <v>0</v>
      </c>
      <c r="O9421" s="21" t="n">
        <v>0</v>
      </c>
      <c r="P9421" s="21" t="n">
        <v>0</v>
      </c>
      <c r="Q9421" s="21" t="n">
        <v>0</v>
      </c>
      <c r="R9421" s="21" t="n">
        <v>0</v>
      </c>
      <c r="S9421" s="21" t="n">
        <v>0</v>
      </c>
      <c r="T9421" s="21" t="n">
        <v>0</v>
      </c>
      <c r="U9421" s="21" t="n">
        <v>0</v>
      </c>
      <c r="V9421" s="21" t="n">
        <v>0</v>
      </c>
      <c r="W9421" s="21" t="n">
        <v>0</v>
      </c>
      <c r="X9421" s="21" t="n">
        <v>0</v>
      </c>
      <c r="Y9421" s="21" t="n">
        <v>0</v>
      </c>
      <c r="Z9421" s="19" t="n"/>
    </row>
    <row r="9422">
      <c r="D9422" s="21" t="n">
        <v>0</v>
      </c>
      <c r="E9422" s="21" t="n">
        <v>0</v>
      </c>
      <c r="F9422" s="21" t="n">
        <v>0</v>
      </c>
      <c r="G9422" s="21" t="n">
        <v>0</v>
      </c>
      <c r="H9422" s="21" t="n">
        <v>0</v>
      </c>
      <c r="I9422" s="21" t="n">
        <v>0</v>
      </c>
      <c r="J9422" s="21">
        <f>-$B$8763</f>
        <v/>
      </c>
      <c r="K9422" s="21">
        <f>-$B$8764</f>
        <v/>
      </c>
      <c r="L9422" s="21">
        <f>2*$B$8763+$D$9406</f>
        <v/>
      </c>
      <c r="M9422" s="21">
        <f>0</f>
        <v/>
      </c>
      <c r="N9422" s="21">
        <f>-$B$8763</f>
        <v/>
      </c>
      <c r="O9422" s="21">
        <f>$B$8764</f>
        <v/>
      </c>
      <c r="P9422" s="21" t="n">
        <v>0</v>
      </c>
      <c r="Q9422" s="21" t="n">
        <v>0</v>
      </c>
      <c r="R9422" s="21" t="n">
        <v>0</v>
      </c>
      <c r="S9422" s="21" t="n">
        <v>0</v>
      </c>
      <c r="T9422" s="21" t="n">
        <v>0</v>
      </c>
      <c r="U9422" s="21" t="n">
        <v>0</v>
      </c>
      <c r="V9422" s="21" t="n">
        <v>0</v>
      </c>
      <c r="W9422" s="21" t="n">
        <v>0</v>
      </c>
      <c r="X9422" s="21" t="n">
        <v>0</v>
      </c>
      <c r="Y9422" s="21" t="n">
        <v>0</v>
      </c>
      <c r="Z9422" s="19" t="n"/>
    </row>
    <row r="9423">
      <c r="D9423" s="21" t="n">
        <v>0</v>
      </c>
      <c r="E9423" s="21" t="n">
        <v>0</v>
      </c>
      <c r="F9423" s="21" t="n">
        <v>0</v>
      </c>
      <c r="G9423" s="21" t="n">
        <v>0</v>
      </c>
      <c r="H9423" s="21" t="n">
        <v>0</v>
      </c>
      <c r="I9423" s="21" t="n">
        <v>0</v>
      </c>
      <c r="J9423" s="21">
        <f>$B$8764</f>
        <v/>
      </c>
      <c r="K9423" s="21">
        <f>$B$8766</f>
        <v/>
      </c>
      <c r="L9423" s="21">
        <f>0</f>
        <v/>
      </c>
      <c r="M9423" s="21">
        <f>2*$B$8765</f>
        <v/>
      </c>
      <c r="N9423" s="21">
        <f>-$B$8764</f>
        <v/>
      </c>
      <c r="O9423" s="21">
        <f>$B$8766</f>
        <v/>
      </c>
      <c r="P9423" s="21" t="n">
        <v>0</v>
      </c>
      <c r="Q9423" s="21" t="n">
        <v>0</v>
      </c>
      <c r="R9423" s="21" t="n">
        <v>0</v>
      </c>
      <c r="S9423" s="21" t="n">
        <v>0</v>
      </c>
      <c r="T9423" s="21" t="n">
        <v>0</v>
      </c>
      <c r="U9423" s="21" t="n">
        <v>0</v>
      </c>
      <c r="V9423" s="21" t="n">
        <v>0</v>
      </c>
      <c r="W9423" s="21" t="n">
        <v>0</v>
      </c>
      <c r="X9423" s="21" t="n">
        <v>0</v>
      </c>
      <c r="Y9423" s="21" t="n">
        <v>0</v>
      </c>
      <c r="Z9423" s="19" t="n"/>
    </row>
    <row r="9424">
      <c r="D9424" s="21" t="n">
        <v>0</v>
      </c>
      <c r="E9424" s="21" t="n">
        <v>0</v>
      </c>
      <c r="F9424" s="21" t="n">
        <v>0</v>
      </c>
      <c r="G9424" s="21" t="n">
        <v>0</v>
      </c>
      <c r="H9424" s="21" t="n">
        <v>0</v>
      </c>
      <c r="I9424" s="21" t="n">
        <v>0</v>
      </c>
      <c r="J9424" s="21" t="n">
        <v>0</v>
      </c>
      <c r="K9424" s="21" t="n">
        <v>0</v>
      </c>
      <c r="L9424" s="21">
        <f>-$B$8763</f>
        <v/>
      </c>
      <c r="M9424" s="21">
        <f>-$B$8764</f>
        <v/>
      </c>
      <c r="N9424" s="21">
        <f>2*$B$8763+$D$9407</f>
        <v/>
      </c>
      <c r="O9424" s="21">
        <f>0</f>
        <v/>
      </c>
      <c r="P9424" s="21">
        <f>-$B$8763</f>
        <v/>
      </c>
      <c r="Q9424" s="21">
        <f>$B$8764</f>
        <v/>
      </c>
      <c r="R9424" s="21" t="n">
        <v>0</v>
      </c>
      <c r="S9424" s="21" t="n">
        <v>0</v>
      </c>
      <c r="T9424" s="21" t="n">
        <v>0</v>
      </c>
      <c r="U9424" s="21" t="n">
        <v>0</v>
      </c>
      <c r="V9424" s="21" t="n">
        <v>0</v>
      </c>
      <c r="W9424" s="21" t="n">
        <v>0</v>
      </c>
      <c r="X9424" s="21" t="n">
        <v>0</v>
      </c>
      <c r="Y9424" s="21" t="n">
        <v>0</v>
      </c>
      <c r="Z9424" s="19" t="n"/>
    </row>
    <row r="9425">
      <c r="D9425" s="21" t="n">
        <v>0</v>
      </c>
      <c r="E9425" s="21" t="n">
        <v>0</v>
      </c>
      <c r="F9425" s="21" t="n">
        <v>0</v>
      </c>
      <c r="G9425" s="21" t="n">
        <v>0</v>
      </c>
      <c r="H9425" s="21" t="n">
        <v>0</v>
      </c>
      <c r="I9425" s="21" t="n">
        <v>0</v>
      </c>
      <c r="J9425" s="21" t="n">
        <v>0</v>
      </c>
      <c r="K9425" s="21" t="n">
        <v>0</v>
      </c>
      <c r="L9425" s="21">
        <f>$B$8764</f>
        <v/>
      </c>
      <c r="M9425" s="21">
        <f>$B$8766</f>
        <v/>
      </c>
      <c r="N9425" s="21">
        <f>0</f>
        <v/>
      </c>
      <c r="O9425" s="21">
        <f>2*$B$8765</f>
        <v/>
      </c>
      <c r="P9425" s="21">
        <f>-$B$8764</f>
        <v/>
      </c>
      <c r="Q9425" s="21">
        <f>$B$8766</f>
        <v/>
      </c>
      <c r="R9425" s="21" t="n">
        <v>0</v>
      </c>
      <c r="S9425" s="21" t="n">
        <v>0</v>
      </c>
      <c r="T9425" s="21" t="n">
        <v>0</v>
      </c>
      <c r="U9425" s="21" t="n">
        <v>0</v>
      </c>
      <c r="V9425" s="21" t="n">
        <v>0</v>
      </c>
      <c r="W9425" s="21" t="n">
        <v>0</v>
      </c>
      <c r="X9425" s="21" t="n">
        <v>0</v>
      </c>
      <c r="Y9425" s="21" t="n">
        <v>0</v>
      </c>
      <c r="Z9425" s="19" t="n"/>
    </row>
    <row r="9426">
      <c r="D9426" s="21" t="n">
        <v>0</v>
      </c>
      <c r="E9426" s="21" t="n">
        <v>0</v>
      </c>
      <c r="F9426" s="21" t="n">
        <v>0</v>
      </c>
      <c r="G9426" s="21" t="n">
        <v>0</v>
      </c>
      <c r="H9426" s="21" t="n">
        <v>0</v>
      </c>
      <c r="I9426" s="21" t="n">
        <v>0</v>
      </c>
      <c r="J9426" s="21" t="n">
        <v>0</v>
      </c>
      <c r="K9426" s="21" t="n">
        <v>0</v>
      </c>
      <c r="L9426" s="21" t="n">
        <v>0</v>
      </c>
      <c r="M9426" s="21" t="n">
        <v>0</v>
      </c>
      <c r="N9426" s="21">
        <f>-$B$8763</f>
        <v/>
      </c>
      <c r="O9426" s="21">
        <f>-$B$8764</f>
        <v/>
      </c>
      <c r="P9426" s="21">
        <f>2*$B$8763+$D$9408</f>
        <v/>
      </c>
      <c r="Q9426" s="21">
        <f>0</f>
        <v/>
      </c>
      <c r="R9426" s="21">
        <f>-$B$8763</f>
        <v/>
      </c>
      <c r="S9426" s="21">
        <f>$B$8764</f>
        <v/>
      </c>
      <c r="T9426" s="21" t="n">
        <v>0</v>
      </c>
      <c r="U9426" s="21" t="n">
        <v>0</v>
      </c>
      <c r="V9426" s="21" t="n">
        <v>0</v>
      </c>
      <c r="W9426" s="21" t="n">
        <v>0</v>
      </c>
      <c r="X9426" s="21" t="n">
        <v>0</v>
      </c>
      <c r="Y9426" s="21" t="n">
        <v>0</v>
      </c>
      <c r="Z9426" s="19" t="n"/>
    </row>
    <row r="9427">
      <c r="D9427" s="21" t="n">
        <v>0</v>
      </c>
      <c r="E9427" s="21" t="n">
        <v>0</v>
      </c>
      <c r="F9427" s="21" t="n">
        <v>0</v>
      </c>
      <c r="G9427" s="21" t="n">
        <v>0</v>
      </c>
      <c r="H9427" s="21" t="n">
        <v>0</v>
      </c>
      <c r="I9427" s="21" t="n">
        <v>0</v>
      </c>
      <c r="J9427" s="21" t="n">
        <v>0</v>
      </c>
      <c r="K9427" s="21" t="n">
        <v>0</v>
      </c>
      <c r="L9427" s="21" t="n">
        <v>0</v>
      </c>
      <c r="M9427" s="21" t="n">
        <v>0</v>
      </c>
      <c r="N9427" s="21">
        <f>$B$8764</f>
        <v/>
      </c>
      <c r="O9427" s="21">
        <f>$B$8766</f>
        <v/>
      </c>
      <c r="P9427" s="21">
        <f>0</f>
        <v/>
      </c>
      <c r="Q9427" s="21">
        <f>2*$B$8765</f>
        <v/>
      </c>
      <c r="R9427" s="21">
        <f>-$B$8764</f>
        <v/>
      </c>
      <c r="S9427" s="21">
        <f>$B$8766</f>
        <v/>
      </c>
      <c r="T9427" s="21" t="n">
        <v>0</v>
      </c>
      <c r="U9427" s="21" t="n">
        <v>0</v>
      </c>
      <c r="V9427" s="21" t="n">
        <v>0</v>
      </c>
      <c r="W9427" s="21" t="n">
        <v>0</v>
      </c>
      <c r="X9427" s="21" t="n">
        <v>0</v>
      </c>
      <c r="Y9427" s="21" t="n">
        <v>0</v>
      </c>
      <c r="Z9427" s="19" t="n"/>
    </row>
    <row r="9428">
      <c r="D9428" s="21" t="n">
        <v>0</v>
      </c>
      <c r="E9428" s="21" t="n">
        <v>0</v>
      </c>
      <c r="F9428" s="21" t="n">
        <v>0</v>
      </c>
      <c r="G9428" s="21" t="n">
        <v>0</v>
      </c>
      <c r="H9428" s="21" t="n">
        <v>0</v>
      </c>
      <c r="I9428" s="21" t="n">
        <v>0</v>
      </c>
      <c r="J9428" s="21" t="n">
        <v>0</v>
      </c>
      <c r="K9428" s="21" t="n">
        <v>0</v>
      </c>
      <c r="L9428" s="21" t="n">
        <v>0</v>
      </c>
      <c r="M9428" s="21" t="n">
        <v>0</v>
      </c>
      <c r="N9428" s="21" t="n">
        <v>0</v>
      </c>
      <c r="O9428" s="21" t="n">
        <v>0</v>
      </c>
      <c r="P9428" s="21">
        <f>-$B$8763</f>
        <v/>
      </c>
      <c r="Q9428" s="21">
        <f>-$B$8764</f>
        <v/>
      </c>
      <c r="R9428" s="21">
        <f>2*$B$8763+$D$9409</f>
        <v/>
      </c>
      <c r="S9428" s="21">
        <f>0</f>
        <v/>
      </c>
      <c r="T9428" s="21">
        <f>-$B$8763</f>
        <v/>
      </c>
      <c r="U9428" s="21">
        <f>$B$8764</f>
        <v/>
      </c>
      <c r="V9428" s="21" t="n">
        <v>0</v>
      </c>
      <c r="W9428" s="21" t="n">
        <v>0</v>
      </c>
      <c r="X9428" s="21" t="n">
        <v>0</v>
      </c>
      <c r="Y9428" s="21" t="n">
        <v>0</v>
      </c>
      <c r="Z9428" s="19" t="n"/>
    </row>
    <row r="9429">
      <c r="D9429" s="21" t="n">
        <v>0</v>
      </c>
      <c r="E9429" s="21" t="n">
        <v>0</v>
      </c>
      <c r="F9429" s="21" t="n">
        <v>0</v>
      </c>
      <c r="G9429" s="21" t="n">
        <v>0</v>
      </c>
      <c r="H9429" s="21" t="n">
        <v>0</v>
      </c>
      <c r="I9429" s="21" t="n">
        <v>0</v>
      </c>
      <c r="J9429" s="21" t="n">
        <v>0</v>
      </c>
      <c r="K9429" s="21" t="n">
        <v>0</v>
      </c>
      <c r="L9429" s="21" t="n">
        <v>0</v>
      </c>
      <c r="M9429" s="21" t="n">
        <v>0</v>
      </c>
      <c r="N9429" s="21" t="n">
        <v>0</v>
      </c>
      <c r="O9429" s="21" t="n">
        <v>0</v>
      </c>
      <c r="P9429" s="21">
        <f>$B$8764</f>
        <v/>
      </c>
      <c r="Q9429" s="21">
        <f>$B$8766</f>
        <v/>
      </c>
      <c r="R9429" s="21">
        <f>0</f>
        <v/>
      </c>
      <c r="S9429" s="21">
        <f>2*$B$8765</f>
        <v/>
      </c>
      <c r="T9429" s="21">
        <f>-$B$8764</f>
        <v/>
      </c>
      <c r="U9429" s="21">
        <f>$B$8766</f>
        <v/>
      </c>
      <c r="V9429" s="21" t="n">
        <v>0</v>
      </c>
      <c r="W9429" s="21" t="n">
        <v>0</v>
      </c>
      <c r="X9429" s="21" t="n">
        <v>0</v>
      </c>
      <c r="Y9429" s="21" t="n">
        <v>0</v>
      </c>
      <c r="Z9429" s="19" t="n"/>
    </row>
    <row r="9430">
      <c r="D9430" s="21" t="n">
        <v>0</v>
      </c>
      <c r="E9430" s="21" t="n">
        <v>0</v>
      </c>
      <c r="F9430" s="21" t="n">
        <v>0</v>
      </c>
      <c r="G9430" s="21" t="n">
        <v>0</v>
      </c>
      <c r="H9430" s="21" t="n">
        <v>0</v>
      </c>
      <c r="I9430" s="21" t="n">
        <v>0</v>
      </c>
      <c r="J9430" s="21" t="n">
        <v>0</v>
      </c>
      <c r="K9430" s="21" t="n">
        <v>0</v>
      </c>
      <c r="L9430" s="21" t="n">
        <v>0</v>
      </c>
      <c r="M9430" s="21" t="n">
        <v>0</v>
      </c>
      <c r="N9430" s="21" t="n">
        <v>0</v>
      </c>
      <c r="O9430" s="21" t="n">
        <v>0</v>
      </c>
      <c r="P9430" s="21" t="n">
        <v>0</v>
      </c>
      <c r="Q9430" s="21" t="n">
        <v>0</v>
      </c>
      <c r="R9430" s="21">
        <f>-$B$8763</f>
        <v/>
      </c>
      <c r="S9430" s="21">
        <f>-$B$8764</f>
        <v/>
      </c>
      <c r="T9430" s="21">
        <f>2*$B$8763+$D$9410</f>
        <v/>
      </c>
      <c r="U9430" s="21">
        <f>0</f>
        <v/>
      </c>
      <c r="V9430" s="21">
        <f>-$B$8763</f>
        <v/>
      </c>
      <c r="W9430" s="21">
        <f>$B$8764</f>
        <v/>
      </c>
      <c r="X9430" s="21" t="n">
        <v>0</v>
      </c>
      <c r="Y9430" s="21" t="n">
        <v>0</v>
      </c>
      <c r="Z9430" s="19" t="n"/>
    </row>
    <row r="9431">
      <c r="D9431" s="21" t="n">
        <v>0</v>
      </c>
      <c r="E9431" s="21" t="n">
        <v>0</v>
      </c>
      <c r="F9431" s="21" t="n">
        <v>0</v>
      </c>
      <c r="G9431" s="21" t="n">
        <v>0</v>
      </c>
      <c r="H9431" s="21" t="n">
        <v>0</v>
      </c>
      <c r="I9431" s="21" t="n">
        <v>0</v>
      </c>
      <c r="J9431" s="21" t="n">
        <v>0</v>
      </c>
      <c r="K9431" s="21" t="n">
        <v>0</v>
      </c>
      <c r="L9431" s="21" t="n">
        <v>0</v>
      </c>
      <c r="M9431" s="21" t="n">
        <v>0</v>
      </c>
      <c r="N9431" s="21" t="n">
        <v>0</v>
      </c>
      <c r="O9431" s="21" t="n">
        <v>0</v>
      </c>
      <c r="P9431" s="21" t="n">
        <v>0</v>
      </c>
      <c r="Q9431" s="21" t="n">
        <v>0</v>
      </c>
      <c r="R9431" s="21">
        <f>$B$8764</f>
        <v/>
      </c>
      <c r="S9431" s="21">
        <f>$B$8766</f>
        <v/>
      </c>
      <c r="T9431" s="21">
        <f>0</f>
        <v/>
      </c>
      <c r="U9431" s="21">
        <f>2*$B$8765</f>
        <v/>
      </c>
      <c r="V9431" s="21">
        <f>-$B$8764</f>
        <v/>
      </c>
      <c r="W9431" s="21">
        <f>$B$8766</f>
        <v/>
      </c>
      <c r="X9431" s="21" t="n">
        <v>0</v>
      </c>
      <c r="Y9431" s="21" t="n">
        <v>0</v>
      </c>
      <c r="Z9431" s="19" t="n"/>
    </row>
    <row r="9432">
      <c r="D9432" s="21" t="n">
        <v>0</v>
      </c>
      <c r="E9432" s="21" t="n">
        <v>0</v>
      </c>
      <c r="F9432" s="21" t="n">
        <v>0</v>
      </c>
      <c r="G9432" s="21" t="n">
        <v>0</v>
      </c>
      <c r="H9432" s="21" t="n">
        <v>0</v>
      </c>
      <c r="I9432" s="21" t="n">
        <v>0</v>
      </c>
      <c r="J9432" s="21" t="n">
        <v>0</v>
      </c>
      <c r="K9432" s="21" t="n">
        <v>0</v>
      </c>
      <c r="L9432" s="21" t="n">
        <v>0</v>
      </c>
      <c r="M9432" s="21" t="n">
        <v>0</v>
      </c>
      <c r="N9432" s="21" t="n">
        <v>0</v>
      </c>
      <c r="O9432" s="21" t="n">
        <v>0</v>
      </c>
      <c r="P9432" s="21" t="n">
        <v>0</v>
      </c>
      <c r="Q9432" s="21" t="n">
        <v>0</v>
      </c>
      <c r="R9432" s="21" t="n">
        <v>0</v>
      </c>
      <c r="S9432" s="21" t="n">
        <v>0</v>
      </c>
      <c r="T9432" s="21">
        <f>-$B$8763</f>
        <v/>
      </c>
      <c r="U9432" s="21">
        <f>-$B$8764</f>
        <v/>
      </c>
      <c r="V9432" s="21">
        <f>2*$B$8763+$D$9411</f>
        <v/>
      </c>
      <c r="W9432" s="21">
        <f>0</f>
        <v/>
      </c>
      <c r="X9432" s="21">
        <f>-$B$8763</f>
        <v/>
      </c>
      <c r="Y9432" s="21">
        <f>$B$8764</f>
        <v/>
      </c>
      <c r="Z9432" s="19" t="n"/>
    </row>
    <row r="9433">
      <c r="D9433" s="21" t="n">
        <v>0</v>
      </c>
      <c r="E9433" s="21" t="n">
        <v>0</v>
      </c>
      <c r="F9433" s="21" t="n">
        <v>0</v>
      </c>
      <c r="G9433" s="21" t="n">
        <v>0</v>
      </c>
      <c r="H9433" s="21" t="n">
        <v>0</v>
      </c>
      <c r="I9433" s="21" t="n">
        <v>0</v>
      </c>
      <c r="J9433" s="21" t="n">
        <v>0</v>
      </c>
      <c r="K9433" s="21" t="n">
        <v>0</v>
      </c>
      <c r="L9433" s="21" t="n">
        <v>0</v>
      </c>
      <c r="M9433" s="21" t="n">
        <v>0</v>
      </c>
      <c r="N9433" s="21" t="n">
        <v>0</v>
      </c>
      <c r="O9433" s="21" t="n">
        <v>0</v>
      </c>
      <c r="P9433" s="21" t="n">
        <v>0</v>
      </c>
      <c r="Q9433" s="21" t="n">
        <v>0</v>
      </c>
      <c r="R9433" s="21" t="n">
        <v>0</v>
      </c>
      <c r="S9433" s="21" t="n">
        <v>0</v>
      </c>
      <c r="T9433" s="21">
        <f>$B$8764</f>
        <v/>
      </c>
      <c r="U9433" s="21">
        <f>$B$8766</f>
        <v/>
      </c>
      <c r="V9433" s="21">
        <f>0</f>
        <v/>
      </c>
      <c r="W9433" s="21">
        <f>2*$B$8765</f>
        <v/>
      </c>
      <c r="X9433" s="21">
        <f>-$B$8764</f>
        <v/>
      </c>
      <c r="Y9433" s="21">
        <f>$B$8766</f>
        <v/>
      </c>
      <c r="Z9433" s="19" t="n"/>
    </row>
    <row r="9434">
      <c r="D9434" s="21" t="n">
        <v>0</v>
      </c>
      <c r="E9434" s="21" t="n">
        <v>0</v>
      </c>
      <c r="F9434" s="21" t="n">
        <v>0</v>
      </c>
      <c r="G9434" s="21" t="n">
        <v>0</v>
      </c>
      <c r="H9434" s="21" t="n">
        <v>0</v>
      </c>
      <c r="I9434" s="21" t="n">
        <v>0</v>
      </c>
      <c r="J9434" s="21" t="n">
        <v>0</v>
      </c>
      <c r="K9434" s="21" t="n">
        <v>0</v>
      </c>
      <c r="L9434" s="21" t="n">
        <v>0</v>
      </c>
      <c r="M9434" s="21" t="n">
        <v>0</v>
      </c>
      <c r="N9434" s="21" t="n">
        <v>0</v>
      </c>
      <c r="O9434" s="21" t="n">
        <v>0</v>
      </c>
      <c r="P9434" s="21" t="n">
        <v>0</v>
      </c>
      <c r="Q9434" s="21" t="n">
        <v>0</v>
      </c>
      <c r="R9434" s="21" t="n">
        <v>0</v>
      </c>
      <c r="S9434" s="21" t="n">
        <v>0</v>
      </c>
      <c r="T9434" s="21" t="n">
        <v>0</v>
      </c>
      <c r="U9434" s="21" t="n">
        <v>0</v>
      </c>
      <c r="V9434" s="21">
        <f>-$B$8763</f>
        <v/>
      </c>
      <c r="W9434" s="21">
        <f>-$B$8764</f>
        <v/>
      </c>
      <c r="X9434" s="21">
        <f>$B$8763+$D$9412</f>
        <v/>
      </c>
      <c r="Y9434" s="21">
        <f>-$B$8764</f>
        <v/>
      </c>
      <c r="Z9434" s="19" t="n"/>
    </row>
    <row r="9435">
      <c r="D9435" s="21" t="n">
        <v>0</v>
      </c>
      <c r="E9435" s="21" t="n">
        <v>0</v>
      </c>
      <c r="F9435" s="21" t="n">
        <v>0</v>
      </c>
      <c r="G9435" s="21" t="n">
        <v>0</v>
      </c>
      <c r="H9435" s="21" t="n">
        <v>0</v>
      </c>
      <c r="I9435" s="21" t="n">
        <v>0</v>
      </c>
      <c r="J9435" s="21" t="n">
        <v>0</v>
      </c>
      <c r="K9435" s="21" t="n">
        <v>0</v>
      </c>
      <c r="L9435" s="21" t="n">
        <v>0</v>
      </c>
      <c r="M9435" s="21" t="n">
        <v>0</v>
      </c>
      <c r="N9435" s="21" t="n">
        <v>0</v>
      </c>
      <c r="O9435" s="21" t="n">
        <v>0</v>
      </c>
      <c r="P9435" s="21" t="n">
        <v>0</v>
      </c>
      <c r="Q9435" s="21" t="n">
        <v>0</v>
      </c>
      <c r="R9435" s="21" t="n">
        <v>0</v>
      </c>
      <c r="S9435" s="21" t="n">
        <v>0</v>
      </c>
      <c r="T9435" s="21" t="n">
        <v>0</v>
      </c>
      <c r="U9435" s="21" t="n">
        <v>0</v>
      </c>
      <c r="V9435" s="21">
        <f>$B$8764</f>
        <v/>
      </c>
      <c r="W9435" s="21">
        <f>$B$8766</f>
        <v/>
      </c>
      <c r="X9435" s="21">
        <f>-$B$8764</f>
        <v/>
      </c>
      <c r="Y9435" s="21">
        <f>$B$8765</f>
        <v/>
      </c>
      <c r="Z9435" s="19" t="n"/>
    </row>
    <row r="9437">
      <c r="A9437" s="8" t="inlineStr">
        <is>
          <t>gen 18</t>
        </is>
      </c>
    </row>
    <row r="9438">
      <c r="D9438" s="19">
        <f>IF(ABS(IF(ABS($E$9402)&gt;0.000000001,$E$9402,0.000000001))=0,0,IF($E$8778&lt;=$B$8772,0,IF(ABS(IF(ABS($E$9402)&gt;0.000000001,$E$9402,0.000000001))&gt;=8*$B$8774,$H$8778,0.5*$H$8778*(ABS(IF(ABS($E$9402)&gt;0.000000001,$E$9402,0.000000001))/$B$8774)^(1/3)))/ABS(IF(ABS($E$9402)&gt;0.000000001,$E$9402,0.000000001))*$I$8778)</f>
        <v/>
      </c>
      <c r="E9438" s="19">
        <f>0.5*$E$9402+0.5*$Z$9450</f>
        <v/>
      </c>
      <c r="F9438" s="19">
        <f>$Z$9451</f>
        <v/>
      </c>
    </row>
    <row r="9439">
      <c r="D9439" s="19">
        <f>IF(ABS(IF(ABS($E$9403)&gt;0.000000001,$E$9403,0.000000001))=0,0,IF($E$8779&lt;=$B$8772,0,IF(ABS(IF(ABS($E$9403)&gt;0.000000001,$E$9403,0.000000001))&gt;=8*$B$8774,$H$8779,0.5*$H$8779*(ABS(IF(ABS($E$9403)&gt;0.000000001,$E$9403,0.000000001))/$B$8774)^(1/3)))/ABS(IF(ABS($E$9403)&gt;0.000000001,$E$9403,0.000000001))*$I$8779)</f>
        <v/>
      </c>
      <c r="E9439" s="19">
        <f>0.5*$E$9403+0.5*$Z$9452</f>
        <v/>
      </c>
      <c r="F9439" s="19">
        <f>$Z$9453</f>
        <v/>
      </c>
    </row>
    <row r="9440">
      <c r="D9440" s="19">
        <f>IF(ABS(IF(ABS($E$9404)&gt;0.000000001,$E$9404,0.000000001))=0,0,IF($E$8780&lt;=$B$8772,0,IF(ABS(IF(ABS($E$9404)&gt;0.000000001,$E$9404,0.000000001))&gt;=8*$B$8774,$H$8780,0.5*$H$8780*(ABS(IF(ABS($E$9404)&gt;0.000000001,$E$9404,0.000000001))/$B$8774)^(1/3)))/ABS(IF(ABS($E$9404)&gt;0.000000001,$E$9404,0.000000001))*$I$8780)</f>
        <v/>
      </c>
      <c r="E9440" s="19">
        <f>0.5*$E$9404+0.5*$Z$9454</f>
        <v/>
      </c>
      <c r="F9440" s="19">
        <f>$Z$9455</f>
        <v/>
      </c>
    </row>
    <row r="9441">
      <c r="D9441" s="19">
        <f>IF(ABS(IF(ABS($E$9405)&gt;0.000000001,$E$9405,0.000000001))=0,0,IF($E$8781&lt;=$B$8772,0,IF(ABS(IF(ABS($E$9405)&gt;0.000000001,$E$9405,0.000000001))&gt;=8*$B$8774,$H$8781,0.5*$H$8781*(ABS(IF(ABS($E$9405)&gt;0.000000001,$E$9405,0.000000001))/$B$8774)^(1/3)))/ABS(IF(ABS($E$9405)&gt;0.000000001,$E$9405,0.000000001))*$I$8781)</f>
        <v/>
      </c>
      <c r="E9441" s="19">
        <f>0.5*$E$9405+0.5*$Z$9456</f>
        <v/>
      </c>
      <c r="F9441" s="19">
        <f>$Z$9457</f>
        <v/>
      </c>
    </row>
    <row r="9442">
      <c r="D9442" s="19">
        <f>IF(ABS(IF(ABS($E$9406)&gt;0.000000001,$E$9406,0.000000001))=0,0,IF($E$8782&lt;=$B$8772,0,IF(ABS(IF(ABS($E$9406)&gt;0.000000001,$E$9406,0.000000001))&gt;=8*$B$8774,$H$8782,0.5*$H$8782*(ABS(IF(ABS($E$9406)&gt;0.000000001,$E$9406,0.000000001))/$B$8774)^(1/3)))/ABS(IF(ABS($E$9406)&gt;0.000000001,$E$9406,0.000000001))*$I$8782)</f>
        <v/>
      </c>
      <c r="E9442" s="19">
        <f>0.5*$E$9406+0.5*$Z$9458</f>
        <v/>
      </c>
      <c r="F9442" s="19">
        <f>$Z$9459</f>
        <v/>
      </c>
    </row>
    <row r="9443">
      <c r="D9443" s="19">
        <f>IF(ABS(IF(ABS($E$9407)&gt;0.000000001,$E$9407,0.000000001))=0,0,IF($E$8783&lt;=$B$8772,0,IF(ABS(IF(ABS($E$9407)&gt;0.000000001,$E$9407,0.000000001))&gt;=8*$B$8774,$H$8783,0.5*$H$8783*(ABS(IF(ABS($E$9407)&gt;0.000000001,$E$9407,0.000000001))/$B$8774)^(1/3)))/ABS(IF(ABS($E$9407)&gt;0.000000001,$E$9407,0.000000001))*$I$8783)</f>
        <v/>
      </c>
      <c r="E9443" s="19">
        <f>0.5*$E$9407+0.5*$Z$9460</f>
        <v/>
      </c>
      <c r="F9443" s="19">
        <f>$Z$9461</f>
        <v/>
      </c>
    </row>
    <row r="9444">
      <c r="D9444" s="19">
        <f>IF(ABS(IF(ABS($E$9408)&gt;0.000000001,$E$9408,0.000000001))=0,0,IF($E$8784&lt;=$B$8772,0,IF(ABS(IF(ABS($E$9408)&gt;0.000000001,$E$9408,0.000000001))&gt;=8*$B$8774,$H$8784,0.5*$H$8784*(ABS(IF(ABS($E$9408)&gt;0.000000001,$E$9408,0.000000001))/$B$8774)^(1/3)))/ABS(IF(ABS($E$9408)&gt;0.000000001,$E$9408,0.000000001))*$I$8784)</f>
        <v/>
      </c>
      <c r="E9444" s="19">
        <f>0.5*$E$9408+0.5*$Z$9462</f>
        <v/>
      </c>
      <c r="F9444" s="19">
        <f>$Z$9463</f>
        <v/>
      </c>
    </row>
    <row r="9445">
      <c r="D9445" s="19">
        <f>IF(ABS(IF(ABS($E$9409)&gt;0.000000001,$E$9409,0.000000001))=0,0,IF($E$8785&lt;=$B$8772,0,IF(ABS(IF(ABS($E$9409)&gt;0.000000001,$E$9409,0.000000001))&gt;=8*$B$8774,$H$8785,0.5*$H$8785*(ABS(IF(ABS($E$9409)&gt;0.000000001,$E$9409,0.000000001))/$B$8774)^(1/3)))/ABS(IF(ABS($E$9409)&gt;0.000000001,$E$9409,0.000000001))*$I$8785)</f>
        <v/>
      </c>
      <c r="E9445" s="19">
        <f>0.5*$E$9409+0.5*$Z$9464</f>
        <v/>
      </c>
      <c r="F9445" s="19">
        <f>$Z$9465</f>
        <v/>
      </c>
    </row>
    <row r="9446">
      <c r="D9446" s="19">
        <f>IF(ABS(IF(ABS($E$9410)&gt;0.000000001,$E$9410,0.000000001))=0,0,IF($E$8786&lt;=$B$8772,0,IF(ABS(IF(ABS($E$9410)&gt;0.000000001,$E$9410,0.000000001))&gt;=8*$B$8774,$H$8786,0.5*$H$8786*(ABS(IF(ABS($E$9410)&gt;0.000000001,$E$9410,0.000000001))/$B$8774)^(1/3)))/ABS(IF(ABS($E$9410)&gt;0.000000001,$E$9410,0.000000001))*$I$8786)</f>
        <v/>
      </c>
      <c r="E9446" s="19">
        <f>0.5*$E$9410+0.5*$Z$9466</f>
        <v/>
      </c>
      <c r="F9446" s="19">
        <f>$Z$9467</f>
        <v/>
      </c>
    </row>
    <row r="9447">
      <c r="D9447" s="19">
        <f>IF(ABS(IF(ABS($E$9411)&gt;0.000000001,$E$9411,0.000000001))=0,0,IF($E$8787&lt;=$B$8772,0,IF(ABS(IF(ABS($E$9411)&gt;0.000000001,$E$9411,0.000000001))&gt;=8*$B$8774,$H$8787,0.5*$H$8787*(ABS(IF(ABS($E$9411)&gt;0.000000001,$E$9411,0.000000001))/$B$8774)^(1/3)))/ABS(IF(ABS($E$9411)&gt;0.000000001,$E$9411,0.000000001))*$I$8787)</f>
        <v/>
      </c>
      <c r="E9447" s="19">
        <f>0.5*$E$9411+0.5*$Z$9468</f>
        <v/>
      </c>
      <c r="F9447" s="19">
        <f>$Z$9469</f>
        <v/>
      </c>
    </row>
    <row r="9448">
      <c r="D9448" s="19">
        <f>IF(ABS(IF(ABS($E$9412)&gt;0.000000001,$E$9412,0.000000001))=0,0,IF($E$8788&lt;=$B$8772,0,IF(ABS(IF(ABS($E$9412)&gt;0.000000001,$E$9412,0.000000001))&gt;=8*$B$8774,$H$8788,0.5*$H$8788*(ABS(IF(ABS($E$9412)&gt;0.000000001,$E$9412,0.000000001))/$B$8774)^(1/3)))/ABS(IF(ABS($E$9412)&gt;0.000000001,$E$9412,0.000000001))*$I$8788)</f>
        <v/>
      </c>
      <c r="E9448" s="19">
        <f>0.5*$E$9412+0.5*$Z$9470</f>
        <v/>
      </c>
      <c r="F9448" s="19">
        <f>$Z$9471</f>
        <v/>
      </c>
    </row>
    <row r="9450">
      <c r="D9450" s="21">
        <f>$B$8763+$D$9438</f>
        <v/>
      </c>
      <c r="E9450" s="21">
        <f>$B$8764</f>
        <v/>
      </c>
      <c r="F9450" s="21">
        <f>-$B$8763</f>
        <v/>
      </c>
      <c r="G9450" s="21">
        <f>$B$8764</f>
        <v/>
      </c>
      <c r="H9450" s="21" t="n">
        <v>0</v>
      </c>
      <c r="I9450" s="21" t="n">
        <v>0</v>
      </c>
      <c r="J9450" s="21" t="n">
        <v>0</v>
      </c>
      <c r="K9450" s="21" t="n">
        <v>0</v>
      </c>
      <c r="L9450" s="21" t="n">
        <v>0</v>
      </c>
      <c r="M9450" s="21" t="n">
        <v>0</v>
      </c>
      <c r="N9450" s="21" t="n">
        <v>0</v>
      </c>
      <c r="O9450" s="21" t="n">
        <v>0</v>
      </c>
      <c r="P9450" s="21" t="n">
        <v>0</v>
      </c>
      <c r="Q9450" s="21" t="n">
        <v>0</v>
      </c>
      <c r="R9450" s="21" t="n">
        <v>0</v>
      </c>
      <c r="S9450" s="21" t="n">
        <v>0</v>
      </c>
      <c r="T9450" s="21" t="n">
        <v>0</v>
      </c>
      <c r="U9450" s="21" t="n">
        <v>0</v>
      </c>
      <c r="V9450" s="21" t="n">
        <v>0</v>
      </c>
      <c r="W9450" s="21" t="n">
        <v>0</v>
      </c>
      <c r="X9450" s="21" t="n">
        <v>0</v>
      </c>
      <c r="Y9450" s="21" t="n">
        <v>0</v>
      </c>
      <c r="Z9450" s="19">
        <f t="array" ref="Z9450:Z9471">MMULT(MINVERSE($D$9450:$Y$9471),$D$8790:$D$8811)</f>
        <v/>
      </c>
    </row>
    <row r="9451">
      <c r="D9451" s="21">
        <f>$B$8764</f>
        <v/>
      </c>
      <c r="E9451" s="21">
        <f>$B$8765</f>
        <v/>
      </c>
      <c r="F9451" s="21">
        <f>-$B$8764</f>
        <v/>
      </c>
      <c r="G9451" s="21">
        <f>$B$8766</f>
        <v/>
      </c>
      <c r="H9451" s="21" t="n">
        <v>0</v>
      </c>
      <c r="I9451" s="21" t="n">
        <v>0</v>
      </c>
      <c r="J9451" s="21" t="n">
        <v>0</v>
      </c>
      <c r="K9451" s="21" t="n">
        <v>0</v>
      </c>
      <c r="L9451" s="21" t="n">
        <v>0</v>
      </c>
      <c r="M9451" s="21" t="n">
        <v>0</v>
      </c>
      <c r="N9451" s="21" t="n">
        <v>0</v>
      </c>
      <c r="O9451" s="21" t="n">
        <v>0</v>
      </c>
      <c r="P9451" s="21" t="n">
        <v>0</v>
      </c>
      <c r="Q9451" s="21" t="n">
        <v>0</v>
      </c>
      <c r="R9451" s="21" t="n">
        <v>0</v>
      </c>
      <c r="S9451" s="21" t="n">
        <v>0</v>
      </c>
      <c r="T9451" s="21" t="n">
        <v>0</v>
      </c>
      <c r="U9451" s="21" t="n">
        <v>0</v>
      </c>
      <c r="V9451" s="21" t="n">
        <v>0</v>
      </c>
      <c r="W9451" s="21" t="n">
        <v>0</v>
      </c>
      <c r="X9451" s="21" t="n">
        <v>0</v>
      </c>
      <c r="Y9451" s="21" t="n">
        <v>0</v>
      </c>
      <c r="Z9451" s="19" t="n"/>
    </row>
    <row r="9452">
      <c r="D9452" s="21">
        <f>-$B$8763</f>
        <v/>
      </c>
      <c r="E9452" s="21">
        <f>-$B$8764</f>
        <v/>
      </c>
      <c r="F9452" s="21">
        <f>2*$B$8763+$D$9439</f>
        <v/>
      </c>
      <c r="G9452" s="21">
        <f>0</f>
        <v/>
      </c>
      <c r="H9452" s="21">
        <f>-$B$8763</f>
        <v/>
      </c>
      <c r="I9452" s="21">
        <f>$B$8764</f>
        <v/>
      </c>
      <c r="J9452" s="21" t="n">
        <v>0</v>
      </c>
      <c r="K9452" s="21" t="n">
        <v>0</v>
      </c>
      <c r="L9452" s="21" t="n">
        <v>0</v>
      </c>
      <c r="M9452" s="21" t="n">
        <v>0</v>
      </c>
      <c r="N9452" s="21" t="n">
        <v>0</v>
      </c>
      <c r="O9452" s="21" t="n">
        <v>0</v>
      </c>
      <c r="P9452" s="21" t="n">
        <v>0</v>
      </c>
      <c r="Q9452" s="21" t="n">
        <v>0</v>
      </c>
      <c r="R9452" s="21" t="n">
        <v>0</v>
      </c>
      <c r="S9452" s="21" t="n">
        <v>0</v>
      </c>
      <c r="T9452" s="21" t="n">
        <v>0</v>
      </c>
      <c r="U9452" s="21" t="n">
        <v>0</v>
      </c>
      <c r="V9452" s="21" t="n">
        <v>0</v>
      </c>
      <c r="W9452" s="21" t="n">
        <v>0</v>
      </c>
      <c r="X9452" s="21" t="n">
        <v>0</v>
      </c>
      <c r="Y9452" s="21" t="n">
        <v>0</v>
      </c>
      <c r="Z9452" s="19" t="n"/>
    </row>
    <row r="9453">
      <c r="D9453" s="21">
        <f>$B$8764</f>
        <v/>
      </c>
      <c r="E9453" s="21">
        <f>$B$8766</f>
        <v/>
      </c>
      <c r="F9453" s="21">
        <f>0</f>
        <v/>
      </c>
      <c r="G9453" s="21">
        <f>2*$B$8765</f>
        <v/>
      </c>
      <c r="H9453" s="21">
        <f>-$B$8764</f>
        <v/>
      </c>
      <c r="I9453" s="21">
        <f>$B$8766</f>
        <v/>
      </c>
      <c r="J9453" s="21" t="n">
        <v>0</v>
      </c>
      <c r="K9453" s="21" t="n">
        <v>0</v>
      </c>
      <c r="L9453" s="21" t="n">
        <v>0</v>
      </c>
      <c r="M9453" s="21" t="n">
        <v>0</v>
      </c>
      <c r="N9453" s="21" t="n">
        <v>0</v>
      </c>
      <c r="O9453" s="21" t="n">
        <v>0</v>
      </c>
      <c r="P9453" s="21" t="n">
        <v>0</v>
      </c>
      <c r="Q9453" s="21" t="n">
        <v>0</v>
      </c>
      <c r="R9453" s="21" t="n">
        <v>0</v>
      </c>
      <c r="S9453" s="21" t="n">
        <v>0</v>
      </c>
      <c r="T9453" s="21" t="n">
        <v>0</v>
      </c>
      <c r="U9453" s="21" t="n">
        <v>0</v>
      </c>
      <c r="V9453" s="21" t="n">
        <v>0</v>
      </c>
      <c r="W9453" s="21" t="n">
        <v>0</v>
      </c>
      <c r="X9453" s="21" t="n">
        <v>0</v>
      </c>
      <c r="Y9453" s="21" t="n">
        <v>0</v>
      </c>
      <c r="Z9453" s="19" t="n"/>
    </row>
    <row r="9454">
      <c r="D9454" s="21" t="n">
        <v>0</v>
      </c>
      <c r="E9454" s="21" t="n">
        <v>0</v>
      </c>
      <c r="F9454" s="21">
        <f>-$B$8763</f>
        <v/>
      </c>
      <c r="G9454" s="21">
        <f>-$B$8764</f>
        <v/>
      </c>
      <c r="H9454" s="21">
        <f>2*$B$8763+$D$9440</f>
        <v/>
      </c>
      <c r="I9454" s="21">
        <f>0</f>
        <v/>
      </c>
      <c r="J9454" s="21">
        <f>-$B$8763</f>
        <v/>
      </c>
      <c r="K9454" s="21">
        <f>$B$8764</f>
        <v/>
      </c>
      <c r="L9454" s="21" t="n">
        <v>0</v>
      </c>
      <c r="M9454" s="21" t="n">
        <v>0</v>
      </c>
      <c r="N9454" s="21" t="n">
        <v>0</v>
      </c>
      <c r="O9454" s="21" t="n">
        <v>0</v>
      </c>
      <c r="P9454" s="21" t="n">
        <v>0</v>
      </c>
      <c r="Q9454" s="21" t="n">
        <v>0</v>
      </c>
      <c r="R9454" s="21" t="n">
        <v>0</v>
      </c>
      <c r="S9454" s="21" t="n">
        <v>0</v>
      </c>
      <c r="T9454" s="21" t="n">
        <v>0</v>
      </c>
      <c r="U9454" s="21" t="n">
        <v>0</v>
      </c>
      <c r="V9454" s="21" t="n">
        <v>0</v>
      </c>
      <c r="W9454" s="21" t="n">
        <v>0</v>
      </c>
      <c r="X9454" s="21" t="n">
        <v>0</v>
      </c>
      <c r="Y9454" s="21" t="n">
        <v>0</v>
      </c>
      <c r="Z9454" s="19" t="n"/>
    </row>
    <row r="9455">
      <c r="D9455" s="21" t="n">
        <v>0</v>
      </c>
      <c r="E9455" s="21" t="n">
        <v>0</v>
      </c>
      <c r="F9455" s="21">
        <f>$B$8764</f>
        <v/>
      </c>
      <c r="G9455" s="21">
        <f>$B$8766</f>
        <v/>
      </c>
      <c r="H9455" s="21">
        <f>0</f>
        <v/>
      </c>
      <c r="I9455" s="21">
        <f>2*$B$8765</f>
        <v/>
      </c>
      <c r="J9455" s="21">
        <f>-$B$8764</f>
        <v/>
      </c>
      <c r="K9455" s="21">
        <f>$B$8766</f>
        <v/>
      </c>
      <c r="L9455" s="21" t="n">
        <v>0</v>
      </c>
      <c r="M9455" s="21" t="n">
        <v>0</v>
      </c>
      <c r="N9455" s="21" t="n">
        <v>0</v>
      </c>
      <c r="O9455" s="21" t="n">
        <v>0</v>
      </c>
      <c r="P9455" s="21" t="n">
        <v>0</v>
      </c>
      <c r="Q9455" s="21" t="n">
        <v>0</v>
      </c>
      <c r="R9455" s="21" t="n">
        <v>0</v>
      </c>
      <c r="S9455" s="21" t="n">
        <v>0</v>
      </c>
      <c r="T9455" s="21" t="n">
        <v>0</v>
      </c>
      <c r="U9455" s="21" t="n">
        <v>0</v>
      </c>
      <c r="V9455" s="21" t="n">
        <v>0</v>
      </c>
      <c r="W9455" s="21" t="n">
        <v>0</v>
      </c>
      <c r="X9455" s="21" t="n">
        <v>0</v>
      </c>
      <c r="Y9455" s="21" t="n">
        <v>0</v>
      </c>
      <c r="Z9455" s="19" t="n"/>
    </row>
    <row r="9456">
      <c r="D9456" s="21" t="n">
        <v>0</v>
      </c>
      <c r="E9456" s="21" t="n">
        <v>0</v>
      </c>
      <c r="F9456" s="21" t="n">
        <v>0</v>
      </c>
      <c r="G9456" s="21" t="n">
        <v>0</v>
      </c>
      <c r="H9456" s="21">
        <f>-$B$8763</f>
        <v/>
      </c>
      <c r="I9456" s="21">
        <f>-$B$8764</f>
        <v/>
      </c>
      <c r="J9456" s="21">
        <f>2*$B$8763+$D$9441</f>
        <v/>
      </c>
      <c r="K9456" s="21">
        <f>0</f>
        <v/>
      </c>
      <c r="L9456" s="21">
        <f>-$B$8763</f>
        <v/>
      </c>
      <c r="M9456" s="21">
        <f>$B$8764</f>
        <v/>
      </c>
      <c r="N9456" s="21" t="n">
        <v>0</v>
      </c>
      <c r="O9456" s="21" t="n">
        <v>0</v>
      </c>
      <c r="P9456" s="21" t="n">
        <v>0</v>
      </c>
      <c r="Q9456" s="21" t="n">
        <v>0</v>
      </c>
      <c r="R9456" s="21" t="n">
        <v>0</v>
      </c>
      <c r="S9456" s="21" t="n">
        <v>0</v>
      </c>
      <c r="T9456" s="21" t="n">
        <v>0</v>
      </c>
      <c r="U9456" s="21" t="n">
        <v>0</v>
      </c>
      <c r="V9456" s="21" t="n">
        <v>0</v>
      </c>
      <c r="W9456" s="21" t="n">
        <v>0</v>
      </c>
      <c r="X9456" s="21" t="n">
        <v>0</v>
      </c>
      <c r="Y9456" s="21" t="n">
        <v>0</v>
      </c>
      <c r="Z9456" s="19" t="n"/>
    </row>
    <row r="9457">
      <c r="D9457" s="21" t="n">
        <v>0</v>
      </c>
      <c r="E9457" s="21" t="n">
        <v>0</v>
      </c>
      <c r="F9457" s="21" t="n">
        <v>0</v>
      </c>
      <c r="G9457" s="21" t="n">
        <v>0</v>
      </c>
      <c r="H9457" s="21">
        <f>$B$8764</f>
        <v/>
      </c>
      <c r="I9457" s="21">
        <f>$B$8766</f>
        <v/>
      </c>
      <c r="J9457" s="21">
        <f>0</f>
        <v/>
      </c>
      <c r="K9457" s="21">
        <f>2*$B$8765</f>
        <v/>
      </c>
      <c r="L9457" s="21">
        <f>-$B$8764</f>
        <v/>
      </c>
      <c r="M9457" s="21">
        <f>$B$8766</f>
        <v/>
      </c>
      <c r="N9457" s="21" t="n">
        <v>0</v>
      </c>
      <c r="O9457" s="21" t="n">
        <v>0</v>
      </c>
      <c r="P9457" s="21" t="n">
        <v>0</v>
      </c>
      <c r="Q9457" s="21" t="n">
        <v>0</v>
      </c>
      <c r="R9457" s="21" t="n">
        <v>0</v>
      </c>
      <c r="S9457" s="21" t="n">
        <v>0</v>
      </c>
      <c r="T9457" s="21" t="n">
        <v>0</v>
      </c>
      <c r="U9457" s="21" t="n">
        <v>0</v>
      </c>
      <c r="V9457" s="21" t="n">
        <v>0</v>
      </c>
      <c r="W9457" s="21" t="n">
        <v>0</v>
      </c>
      <c r="X9457" s="21" t="n">
        <v>0</v>
      </c>
      <c r="Y9457" s="21" t="n">
        <v>0</v>
      </c>
      <c r="Z9457" s="19" t="n"/>
    </row>
    <row r="9458">
      <c r="D9458" s="21" t="n">
        <v>0</v>
      </c>
      <c r="E9458" s="21" t="n">
        <v>0</v>
      </c>
      <c r="F9458" s="21" t="n">
        <v>0</v>
      </c>
      <c r="G9458" s="21" t="n">
        <v>0</v>
      </c>
      <c r="H9458" s="21" t="n">
        <v>0</v>
      </c>
      <c r="I9458" s="21" t="n">
        <v>0</v>
      </c>
      <c r="J9458" s="21">
        <f>-$B$8763</f>
        <v/>
      </c>
      <c r="K9458" s="21">
        <f>-$B$8764</f>
        <v/>
      </c>
      <c r="L9458" s="21">
        <f>2*$B$8763+$D$9442</f>
        <v/>
      </c>
      <c r="M9458" s="21">
        <f>0</f>
        <v/>
      </c>
      <c r="N9458" s="21">
        <f>-$B$8763</f>
        <v/>
      </c>
      <c r="O9458" s="21">
        <f>$B$8764</f>
        <v/>
      </c>
      <c r="P9458" s="21" t="n">
        <v>0</v>
      </c>
      <c r="Q9458" s="21" t="n">
        <v>0</v>
      </c>
      <c r="R9458" s="21" t="n">
        <v>0</v>
      </c>
      <c r="S9458" s="21" t="n">
        <v>0</v>
      </c>
      <c r="T9458" s="21" t="n">
        <v>0</v>
      </c>
      <c r="U9458" s="21" t="n">
        <v>0</v>
      </c>
      <c r="V9458" s="21" t="n">
        <v>0</v>
      </c>
      <c r="W9458" s="21" t="n">
        <v>0</v>
      </c>
      <c r="X9458" s="21" t="n">
        <v>0</v>
      </c>
      <c r="Y9458" s="21" t="n">
        <v>0</v>
      </c>
      <c r="Z9458" s="19" t="n"/>
    </row>
    <row r="9459">
      <c r="D9459" s="21" t="n">
        <v>0</v>
      </c>
      <c r="E9459" s="21" t="n">
        <v>0</v>
      </c>
      <c r="F9459" s="21" t="n">
        <v>0</v>
      </c>
      <c r="G9459" s="21" t="n">
        <v>0</v>
      </c>
      <c r="H9459" s="21" t="n">
        <v>0</v>
      </c>
      <c r="I9459" s="21" t="n">
        <v>0</v>
      </c>
      <c r="J9459" s="21">
        <f>$B$8764</f>
        <v/>
      </c>
      <c r="K9459" s="21">
        <f>$B$8766</f>
        <v/>
      </c>
      <c r="L9459" s="21">
        <f>0</f>
        <v/>
      </c>
      <c r="M9459" s="21">
        <f>2*$B$8765</f>
        <v/>
      </c>
      <c r="N9459" s="21">
        <f>-$B$8764</f>
        <v/>
      </c>
      <c r="O9459" s="21">
        <f>$B$8766</f>
        <v/>
      </c>
      <c r="P9459" s="21" t="n">
        <v>0</v>
      </c>
      <c r="Q9459" s="21" t="n">
        <v>0</v>
      </c>
      <c r="R9459" s="21" t="n">
        <v>0</v>
      </c>
      <c r="S9459" s="21" t="n">
        <v>0</v>
      </c>
      <c r="T9459" s="21" t="n">
        <v>0</v>
      </c>
      <c r="U9459" s="21" t="n">
        <v>0</v>
      </c>
      <c r="V9459" s="21" t="n">
        <v>0</v>
      </c>
      <c r="W9459" s="21" t="n">
        <v>0</v>
      </c>
      <c r="X9459" s="21" t="n">
        <v>0</v>
      </c>
      <c r="Y9459" s="21" t="n">
        <v>0</v>
      </c>
      <c r="Z9459" s="19" t="n"/>
    </row>
    <row r="9460">
      <c r="D9460" s="21" t="n">
        <v>0</v>
      </c>
      <c r="E9460" s="21" t="n">
        <v>0</v>
      </c>
      <c r="F9460" s="21" t="n">
        <v>0</v>
      </c>
      <c r="G9460" s="21" t="n">
        <v>0</v>
      </c>
      <c r="H9460" s="21" t="n">
        <v>0</v>
      </c>
      <c r="I9460" s="21" t="n">
        <v>0</v>
      </c>
      <c r="J9460" s="21" t="n">
        <v>0</v>
      </c>
      <c r="K9460" s="21" t="n">
        <v>0</v>
      </c>
      <c r="L9460" s="21">
        <f>-$B$8763</f>
        <v/>
      </c>
      <c r="M9460" s="21">
        <f>-$B$8764</f>
        <v/>
      </c>
      <c r="N9460" s="21">
        <f>2*$B$8763+$D$9443</f>
        <v/>
      </c>
      <c r="O9460" s="21">
        <f>0</f>
        <v/>
      </c>
      <c r="P9460" s="21">
        <f>-$B$8763</f>
        <v/>
      </c>
      <c r="Q9460" s="21">
        <f>$B$8764</f>
        <v/>
      </c>
      <c r="R9460" s="21" t="n">
        <v>0</v>
      </c>
      <c r="S9460" s="21" t="n">
        <v>0</v>
      </c>
      <c r="T9460" s="21" t="n">
        <v>0</v>
      </c>
      <c r="U9460" s="21" t="n">
        <v>0</v>
      </c>
      <c r="V9460" s="21" t="n">
        <v>0</v>
      </c>
      <c r="W9460" s="21" t="n">
        <v>0</v>
      </c>
      <c r="X9460" s="21" t="n">
        <v>0</v>
      </c>
      <c r="Y9460" s="21" t="n">
        <v>0</v>
      </c>
      <c r="Z9460" s="19" t="n"/>
    </row>
    <row r="9461">
      <c r="D9461" s="21" t="n">
        <v>0</v>
      </c>
      <c r="E9461" s="21" t="n">
        <v>0</v>
      </c>
      <c r="F9461" s="21" t="n">
        <v>0</v>
      </c>
      <c r="G9461" s="21" t="n">
        <v>0</v>
      </c>
      <c r="H9461" s="21" t="n">
        <v>0</v>
      </c>
      <c r="I9461" s="21" t="n">
        <v>0</v>
      </c>
      <c r="J9461" s="21" t="n">
        <v>0</v>
      </c>
      <c r="K9461" s="21" t="n">
        <v>0</v>
      </c>
      <c r="L9461" s="21">
        <f>$B$8764</f>
        <v/>
      </c>
      <c r="M9461" s="21">
        <f>$B$8766</f>
        <v/>
      </c>
      <c r="N9461" s="21">
        <f>0</f>
        <v/>
      </c>
      <c r="O9461" s="21">
        <f>2*$B$8765</f>
        <v/>
      </c>
      <c r="P9461" s="21">
        <f>-$B$8764</f>
        <v/>
      </c>
      <c r="Q9461" s="21">
        <f>$B$8766</f>
        <v/>
      </c>
      <c r="R9461" s="21" t="n">
        <v>0</v>
      </c>
      <c r="S9461" s="21" t="n">
        <v>0</v>
      </c>
      <c r="T9461" s="21" t="n">
        <v>0</v>
      </c>
      <c r="U9461" s="21" t="n">
        <v>0</v>
      </c>
      <c r="V9461" s="21" t="n">
        <v>0</v>
      </c>
      <c r="W9461" s="21" t="n">
        <v>0</v>
      </c>
      <c r="X9461" s="21" t="n">
        <v>0</v>
      </c>
      <c r="Y9461" s="21" t="n">
        <v>0</v>
      </c>
      <c r="Z9461" s="19" t="n"/>
    </row>
    <row r="9462">
      <c r="D9462" s="21" t="n">
        <v>0</v>
      </c>
      <c r="E9462" s="21" t="n">
        <v>0</v>
      </c>
      <c r="F9462" s="21" t="n">
        <v>0</v>
      </c>
      <c r="G9462" s="21" t="n">
        <v>0</v>
      </c>
      <c r="H9462" s="21" t="n">
        <v>0</v>
      </c>
      <c r="I9462" s="21" t="n">
        <v>0</v>
      </c>
      <c r="J9462" s="21" t="n">
        <v>0</v>
      </c>
      <c r="K9462" s="21" t="n">
        <v>0</v>
      </c>
      <c r="L9462" s="21" t="n">
        <v>0</v>
      </c>
      <c r="M9462" s="21" t="n">
        <v>0</v>
      </c>
      <c r="N9462" s="21">
        <f>-$B$8763</f>
        <v/>
      </c>
      <c r="O9462" s="21">
        <f>-$B$8764</f>
        <v/>
      </c>
      <c r="P9462" s="21">
        <f>2*$B$8763+$D$9444</f>
        <v/>
      </c>
      <c r="Q9462" s="21">
        <f>0</f>
        <v/>
      </c>
      <c r="R9462" s="21">
        <f>-$B$8763</f>
        <v/>
      </c>
      <c r="S9462" s="21">
        <f>$B$8764</f>
        <v/>
      </c>
      <c r="T9462" s="21" t="n">
        <v>0</v>
      </c>
      <c r="U9462" s="21" t="n">
        <v>0</v>
      </c>
      <c r="V9462" s="21" t="n">
        <v>0</v>
      </c>
      <c r="W9462" s="21" t="n">
        <v>0</v>
      </c>
      <c r="X9462" s="21" t="n">
        <v>0</v>
      </c>
      <c r="Y9462" s="21" t="n">
        <v>0</v>
      </c>
      <c r="Z9462" s="19" t="n"/>
    </row>
    <row r="9463">
      <c r="D9463" s="21" t="n">
        <v>0</v>
      </c>
      <c r="E9463" s="21" t="n">
        <v>0</v>
      </c>
      <c r="F9463" s="21" t="n">
        <v>0</v>
      </c>
      <c r="G9463" s="21" t="n">
        <v>0</v>
      </c>
      <c r="H9463" s="21" t="n">
        <v>0</v>
      </c>
      <c r="I9463" s="21" t="n">
        <v>0</v>
      </c>
      <c r="J9463" s="21" t="n">
        <v>0</v>
      </c>
      <c r="K9463" s="21" t="n">
        <v>0</v>
      </c>
      <c r="L9463" s="21" t="n">
        <v>0</v>
      </c>
      <c r="M9463" s="21" t="n">
        <v>0</v>
      </c>
      <c r="N9463" s="21">
        <f>$B$8764</f>
        <v/>
      </c>
      <c r="O9463" s="21">
        <f>$B$8766</f>
        <v/>
      </c>
      <c r="P9463" s="21">
        <f>0</f>
        <v/>
      </c>
      <c r="Q9463" s="21">
        <f>2*$B$8765</f>
        <v/>
      </c>
      <c r="R9463" s="21">
        <f>-$B$8764</f>
        <v/>
      </c>
      <c r="S9463" s="21">
        <f>$B$8766</f>
        <v/>
      </c>
      <c r="T9463" s="21" t="n">
        <v>0</v>
      </c>
      <c r="U9463" s="21" t="n">
        <v>0</v>
      </c>
      <c r="V9463" s="21" t="n">
        <v>0</v>
      </c>
      <c r="W9463" s="21" t="n">
        <v>0</v>
      </c>
      <c r="X9463" s="21" t="n">
        <v>0</v>
      </c>
      <c r="Y9463" s="21" t="n">
        <v>0</v>
      </c>
      <c r="Z9463" s="19" t="n"/>
    </row>
    <row r="9464">
      <c r="D9464" s="21" t="n">
        <v>0</v>
      </c>
      <c r="E9464" s="21" t="n">
        <v>0</v>
      </c>
      <c r="F9464" s="21" t="n">
        <v>0</v>
      </c>
      <c r="G9464" s="21" t="n">
        <v>0</v>
      </c>
      <c r="H9464" s="21" t="n">
        <v>0</v>
      </c>
      <c r="I9464" s="21" t="n">
        <v>0</v>
      </c>
      <c r="J9464" s="21" t="n">
        <v>0</v>
      </c>
      <c r="K9464" s="21" t="n">
        <v>0</v>
      </c>
      <c r="L9464" s="21" t="n">
        <v>0</v>
      </c>
      <c r="M9464" s="21" t="n">
        <v>0</v>
      </c>
      <c r="N9464" s="21" t="n">
        <v>0</v>
      </c>
      <c r="O9464" s="21" t="n">
        <v>0</v>
      </c>
      <c r="P9464" s="21">
        <f>-$B$8763</f>
        <v/>
      </c>
      <c r="Q9464" s="21">
        <f>-$B$8764</f>
        <v/>
      </c>
      <c r="R9464" s="21">
        <f>2*$B$8763+$D$9445</f>
        <v/>
      </c>
      <c r="S9464" s="21">
        <f>0</f>
        <v/>
      </c>
      <c r="T9464" s="21">
        <f>-$B$8763</f>
        <v/>
      </c>
      <c r="U9464" s="21">
        <f>$B$8764</f>
        <v/>
      </c>
      <c r="V9464" s="21" t="n">
        <v>0</v>
      </c>
      <c r="W9464" s="21" t="n">
        <v>0</v>
      </c>
      <c r="X9464" s="21" t="n">
        <v>0</v>
      </c>
      <c r="Y9464" s="21" t="n">
        <v>0</v>
      </c>
      <c r="Z9464" s="19" t="n"/>
    </row>
    <row r="9465">
      <c r="D9465" s="21" t="n">
        <v>0</v>
      </c>
      <c r="E9465" s="21" t="n">
        <v>0</v>
      </c>
      <c r="F9465" s="21" t="n">
        <v>0</v>
      </c>
      <c r="G9465" s="21" t="n">
        <v>0</v>
      </c>
      <c r="H9465" s="21" t="n">
        <v>0</v>
      </c>
      <c r="I9465" s="21" t="n">
        <v>0</v>
      </c>
      <c r="J9465" s="21" t="n">
        <v>0</v>
      </c>
      <c r="K9465" s="21" t="n">
        <v>0</v>
      </c>
      <c r="L9465" s="21" t="n">
        <v>0</v>
      </c>
      <c r="M9465" s="21" t="n">
        <v>0</v>
      </c>
      <c r="N9465" s="21" t="n">
        <v>0</v>
      </c>
      <c r="O9465" s="21" t="n">
        <v>0</v>
      </c>
      <c r="P9465" s="21">
        <f>$B$8764</f>
        <v/>
      </c>
      <c r="Q9465" s="21">
        <f>$B$8766</f>
        <v/>
      </c>
      <c r="R9465" s="21">
        <f>0</f>
        <v/>
      </c>
      <c r="S9465" s="21">
        <f>2*$B$8765</f>
        <v/>
      </c>
      <c r="T9465" s="21">
        <f>-$B$8764</f>
        <v/>
      </c>
      <c r="U9465" s="21">
        <f>$B$8766</f>
        <v/>
      </c>
      <c r="V9465" s="21" t="n">
        <v>0</v>
      </c>
      <c r="W9465" s="21" t="n">
        <v>0</v>
      </c>
      <c r="X9465" s="21" t="n">
        <v>0</v>
      </c>
      <c r="Y9465" s="21" t="n">
        <v>0</v>
      </c>
      <c r="Z9465" s="19" t="n"/>
    </row>
    <row r="9466">
      <c r="D9466" s="21" t="n">
        <v>0</v>
      </c>
      <c r="E9466" s="21" t="n">
        <v>0</v>
      </c>
      <c r="F9466" s="21" t="n">
        <v>0</v>
      </c>
      <c r="G9466" s="21" t="n">
        <v>0</v>
      </c>
      <c r="H9466" s="21" t="n">
        <v>0</v>
      </c>
      <c r="I9466" s="21" t="n">
        <v>0</v>
      </c>
      <c r="J9466" s="21" t="n">
        <v>0</v>
      </c>
      <c r="K9466" s="21" t="n">
        <v>0</v>
      </c>
      <c r="L9466" s="21" t="n">
        <v>0</v>
      </c>
      <c r="M9466" s="21" t="n">
        <v>0</v>
      </c>
      <c r="N9466" s="21" t="n">
        <v>0</v>
      </c>
      <c r="O9466" s="21" t="n">
        <v>0</v>
      </c>
      <c r="P9466" s="21" t="n">
        <v>0</v>
      </c>
      <c r="Q9466" s="21" t="n">
        <v>0</v>
      </c>
      <c r="R9466" s="21">
        <f>-$B$8763</f>
        <v/>
      </c>
      <c r="S9466" s="21">
        <f>-$B$8764</f>
        <v/>
      </c>
      <c r="T9466" s="21">
        <f>2*$B$8763+$D$9446</f>
        <v/>
      </c>
      <c r="U9466" s="21">
        <f>0</f>
        <v/>
      </c>
      <c r="V9466" s="21">
        <f>-$B$8763</f>
        <v/>
      </c>
      <c r="W9466" s="21">
        <f>$B$8764</f>
        <v/>
      </c>
      <c r="X9466" s="21" t="n">
        <v>0</v>
      </c>
      <c r="Y9466" s="21" t="n">
        <v>0</v>
      </c>
      <c r="Z9466" s="19" t="n"/>
    </row>
    <row r="9467">
      <c r="D9467" s="21" t="n">
        <v>0</v>
      </c>
      <c r="E9467" s="21" t="n">
        <v>0</v>
      </c>
      <c r="F9467" s="21" t="n">
        <v>0</v>
      </c>
      <c r="G9467" s="21" t="n">
        <v>0</v>
      </c>
      <c r="H9467" s="21" t="n">
        <v>0</v>
      </c>
      <c r="I9467" s="21" t="n">
        <v>0</v>
      </c>
      <c r="J9467" s="21" t="n">
        <v>0</v>
      </c>
      <c r="K9467" s="21" t="n">
        <v>0</v>
      </c>
      <c r="L9467" s="21" t="n">
        <v>0</v>
      </c>
      <c r="M9467" s="21" t="n">
        <v>0</v>
      </c>
      <c r="N9467" s="21" t="n">
        <v>0</v>
      </c>
      <c r="O9467" s="21" t="n">
        <v>0</v>
      </c>
      <c r="P9467" s="21" t="n">
        <v>0</v>
      </c>
      <c r="Q9467" s="21" t="n">
        <v>0</v>
      </c>
      <c r="R9467" s="21">
        <f>$B$8764</f>
        <v/>
      </c>
      <c r="S9467" s="21">
        <f>$B$8766</f>
        <v/>
      </c>
      <c r="T9467" s="21">
        <f>0</f>
        <v/>
      </c>
      <c r="U9467" s="21">
        <f>2*$B$8765</f>
        <v/>
      </c>
      <c r="V9467" s="21">
        <f>-$B$8764</f>
        <v/>
      </c>
      <c r="W9467" s="21">
        <f>$B$8766</f>
        <v/>
      </c>
      <c r="X9467" s="21" t="n">
        <v>0</v>
      </c>
      <c r="Y9467" s="21" t="n">
        <v>0</v>
      </c>
      <c r="Z9467" s="19" t="n"/>
    </row>
    <row r="9468">
      <c r="D9468" s="21" t="n">
        <v>0</v>
      </c>
      <c r="E9468" s="21" t="n">
        <v>0</v>
      </c>
      <c r="F9468" s="21" t="n">
        <v>0</v>
      </c>
      <c r="G9468" s="21" t="n">
        <v>0</v>
      </c>
      <c r="H9468" s="21" t="n">
        <v>0</v>
      </c>
      <c r="I9468" s="21" t="n">
        <v>0</v>
      </c>
      <c r="J9468" s="21" t="n">
        <v>0</v>
      </c>
      <c r="K9468" s="21" t="n">
        <v>0</v>
      </c>
      <c r="L9468" s="21" t="n">
        <v>0</v>
      </c>
      <c r="M9468" s="21" t="n">
        <v>0</v>
      </c>
      <c r="N9468" s="21" t="n">
        <v>0</v>
      </c>
      <c r="O9468" s="21" t="n">
        <v>0</v>
      </c>
      <c r="P9468" s="21" t="n">
        <v>0</v>
      </c>
      <c r="Q9468" s="21" t="n">
        <v>0</v>
      </c>
      <c r="R9468" s="21" t="n">
        <v>0</v>
      </c>
      <c r="S9468" s="21" t="n">
        <v>0</v>
      </c>
      <c r="T9468" s="21">
        <f>-$B$8763</f>
        <v/>
      </c>
      <c r="U9468" s="21">
        <f>-$B$8764</f>
        <v/>
      </c>
      <c r="V9468" s="21">
        <f>2*$B$8763+$D$9447</f>
        <v/>
      </c>
      <c r="W9468" s="21">
        <f>0</f>
        <v/>
      </c>
      <c r="X9468" s="21">
        <f>-$B$8763</f>
        <v/>
      </c>
      <c r="Y9468" s="21">
        <f>$B$8764</f>
        <v/>
      </c>
      <c r="Z9468" s="19" t="n"/>
    </row>
    <row r="9469">
      <c r="D9469" s="21" t="n">
        <v>0</v>
      </c>
      <c r="E9469" s="21" t="n">
        <v>0</v>
      </c>
      <c r="F9469" s="21" t="n">
        <v>0</v>
      </c>
      <c r="G9469" s="21" t="n">
        <v>0</v>
      </c>
      <c r="H9469" s="21" t="n">
        <v>0</v>
      </c>
      <c r="I9469" s="21" t="n">
        <v>0</v>
      </c>
      <c r="J9469" s="21" t="n">
        <v>0</v>
      </c>
      <c r="K9469" s="21" t="n">
        <v>0</v>
      </c>
      <c r="L9469" s="21" t="n">
        <v>0</v>
      </c>
      <c r="M9469" s="21" t="n">
        <v>0</v>
      </c>
      <c r="N9469" s="21" t="n">
        <v>0</v>
      </c>
      <c r="O9469" s="21" t="n">
        <v>0</v>
      </c>
      <c r="P9469" s="21" t="n">
        <v>0</v>
      </c>
      <c r="Q9469" s="21" t="n">
        <v>0</v>
      </c>
      <c r="R9469" s="21" t="n">
        <v>0</v>
      </c>
      <c r="S9469" s="21" t="n">
        <v>0</v>
      </c>
      <c r="T9469" s="21">
        <f>$B$8764</f>
        <v/>
      </c>
      <c r="U9469" s="21">
        <f>$B$8766</f>
        <v/>
      </c>
      <c r="V9469" s="21">
        <f>0</f>
        <v/>
      </c>
      <c r="W9469" s="21">
        <f>2*$B$8765</f>
        <v/>
      </c>
      <c r="X9469" s="21">
        <f>-$B$8764</f>
        <v/>
      </c>
      <c r="Y9469" s="21">
        <f>$B$8766</f>
        <v/>
      </c>
      <c r="Z9469" s="19" t="n"/>
    </row>
    <row r="9470">
      <c r="D9470" s="21" t="n">
        <v>0</v>
      </c>
      <c r="E9470" s="21" t="n">
        <v>0</v>
      </c>
      <c r="F9470" s="21" t="n">
        <v>0</v>
      </c>
      <c r="G9470" s="21" t="n">
        <v>0</v>
      </c>
      <c r="H9470" s="21" t="n">
        <v>0</v>
      </c>
      <c r="I9470" s="21" t="n">
        <v>0</v>
      </c>
      <c r="J9470" s="21" t="n">
        <v>0</v>
      </c>
      <c r="K9470" s="21" t="n">
        <v>0</v>
      </c>
      <c r="L9470" s="21" t="n">
        <v>0</v>
      </c>
      <c r="M9470" s="21" t="n">
        <v>0</v>
      </c>
      <c r="N9470" s="21" t="n">
        <v>0</v>
      </c>
      <c r="O9470" s="21" t="n">
        <v>0</v>
      </c>
      <c r="P9470" s="21" t="n">
        <v>0</v>
      </c>
      <c r="Q9470" s="21" t="n">
        <v>0</v>
      </c>
      <c r="R9470" s="21" t="n">
        <v>0</v>
      </c>
      <c r="S9470" s="21" t="n">
        <v>0</v>
      </c>
      <c r="T9470" s="21" t="n">
        <v>0</v>
      </c>
      <c r="U9470" s="21" t="n">
        <v>0</v>
      </c>
      <c r="V9470" s="21">
        <f>-$B$8763</f>
        <v/>
      </c>
      <c r="W9470" s="21">
        <f>-$B$8764</f>
        <v/>
      </c>
      <c r="X9470" s="21">
        <f>$B$8763+$D$9448</f>
        <v/>
      </c>
      <c r="Y9470" s="21">
        <f>-$B$8764</f>
        <v/>
      </c>
      <c r="Z9470" s="19" t="n"/>
    </row>
    <row r="9471">
      <c r="D9471" s="21" t="n">
        <v>0</v>
      </c>
      <c r="E9471" s="21" t="n">
        <v>0</v>
      </c>
      <c r="F9471" s="21" t="n">
        <v>0</v>
      </c>
      <c r="G9471" s="21" t="n">
        <v>0</v>
      </c>
      <c r="H9471" s="21" t="n">
        <v>0</v>
      </c>
      <c r="I9471" s="21" t="n">
        <v>0</v>
      </c>
      <c r="J9471" s="21" t="n">
        <v>0</v>
      </c>
      <c r="K9471" s="21" t="n">
        <v>0</v>
      </c>
      <c r="L9471" s="21" t="n">
        <v>0</v>
      </c>
      <c r="M9471" s="21" t="n">
        <v>0</v>
      </c>
      <c r="N9471" s="21" t="n">
        <v>0</v>
      </c>
      <c r="O9471" s="21" t="n">
        <v>0</v>
      </c>
      <c r="P9471" s="21" t="n">
        <v>0</v>
      </c>
      <c r="Q9471" s="21" t="n">
        <v>0</v>
      </c>
      <c r="R9471" s="21" t="n">
        <v>0</v>
      </c>
      <c r="S9471" s="21" t="n">
        <v>0</v>
      </c>
      <c r="T9471" s="21" t="n">
        <v>0</v>
      </c>
      <c r="U9471" s="21" t="n">
        <v>0</v>
      </c>
      <c r="V9471" s="21">
        <f>$B$8764</f>
        <v/>
      </c>
      <c r="W9471" s="21">
        <f>$B$8766</f>
        <v/>
      </c>
      <c r="X9471" s="21">
        <f>-$B$8764</f>
        <v/>
      </c>
      <c r="Y9471" s="21">
        <f>$B$8765</f>
        <v/>
      </c>
      <c r="Z9471" s="19" t="n"/>
    </row>
    <row r="9473">
      <c r="A9473" s="8" t="inlineStr">
        <is>
          <t>gen 19</t>
        </is>
      </c>
    </row>
    <row r="9474">
      <c r="D9474" s="19">
        <f>IF(ABS(IF(ABS($E$9438)&gt;0.000000001,$E$9438,0.000000001))=0,0,IF($E$8778&lt;=$B$8772,0,IF(ABS(IF(ABS($E$9438)&gt;0.000000001,$E$9438,0.000000001))&gt;=8*$B$8774,$H$8778,0.5*$H$8778*(ABS(IF(ABS($E$9438)&gt;0.000000001,$E$9438,0.000000001))/$B$8774)^(1/3)))/ABS(IF(ABS($E$9438)&gt;0.000000001,$E$9438,0.000000001))*$I$8778)</f>
        <v/>
      </c>
      <c r="E9474" s="19">
        <f>0.5*$E$9438+0.5*$Z$9486</f>
        <v/>
      </c>
      <c r="F9474" s="19">
        <f>$Z$9487</f>
        <v/>
      </c>
    </row>
    <row r="9475">
      <c r="D9475" s="19">
        <f>IF(ABS(IF(ABS($E$9439)&gt;0.000000001,$E$9439,0.000000001))=0,0,IF($E$8779&lt;=$B$8772,0,IF(ABS(IF(ABS($E$9439)&gt;0.000000001,$E$9439,0.000000001))&gt;=8*$B$8774,$H$8779,0.5*$H$8779*(ABS(IF(ABS($E$9439)&gt;0.000000001,$E$9439,0.000000001))/$B$8774)^(1/3)))/ABS(IF(ABS($E$9439)&gt;0.000000001,$E$9439,0.000000001))*$I$8779)</f>
        <v/>
      </c>
      <c r="E9475" s="19">
        <f>0.5*$E$9439+0.5*$Z$9488</f>
        <v/>
      </c>
      <c r="F9475" s="19">
        <f>$Z$9489</f>
        <v/>
      </c>
    </row>
    <row r="9476">
      <c r="D9476" s="19">
        <f>IF(ABS(IF(ABS($E$9440)&gt;0.000000001,$E$9440,0.000000001))=0,0,IF($E$8780&lt;=$B$8772,0,IF(ABS(IF(ABS($E$9440)&gt;0.000000001,$E$9440,0.000000001))&gt;=8*$B$8774,$H$8780,0.5*$H$8780*(ABS(IF(ABS($E$9440)&gt;0.000000001,$E$9440,0.000000001))/$B$8774)^(1/3)))/ABS(IF(ABS($E$9440)&gt;0.000000001,$E$9440,0.000000001))*$I$8780)</f>
        <v/>
      </c>
      <c r="E9476" s="19">
        <f>0.5*$E$9440+0.5*$Z$9490</f>
        <v/>
      </c>
      <c r="F9476" s="19">
        <f>$Z$9491</f>
        <v/>
      </c>
    </row>
    <row r="9477">
      <c r="D9477" s="19">
        <f>IF(ABS(IF(ABS($E$9441)&gt;0.000000001,$E$9441,0.000000001))=0,0,IF($E$8781&lt;=$B$8772,0,IF(ABS(IF(ABS($E$9441)&gt;0.000000001,$E$9441,0.000000001))&gt;=8*$B$8774,$H$8781,0.5*$H$8781*(ABS(IF(ABS($E$9441)&gt;0.000000001,$E$9441,0.000000001))/$B$8774)^(1/3)))/ABS(IF(ABS($E$9441)&gt;0.000000001,$E$9441,0.000000001))*$I$8781)</f>
        <v/>
      </c>
      <c r="E9477" s="19">
        <f>0.5*$E$9441+0.5*$Z$9492</f>
        <v/>
      </c>
      <c r="F9477" s="19">
        <f>$Z$9493</f>
        <v/>
      </c>
    </row>
    <row r="9478">
      <c r="D9478" s="19">
        <f>IF(ABS(IF(ABS($E$9442)&gt;0.000000001,$E$9442,0.000000001))=0,0,IF($E$8782&lt;=$B$8772,0,IF(ABS(IF(ABS($E$9442)&gt;0.000000001,$E$9442,0.000000001))&gt;=8*$B$8774,$H$8782,0.5*$H$8782*(ABS(IF(ABS($E$9442)&gt;0.000000001,$E$9442,0.000000001))/$B$8774)^(1/3)))/ABS(IF(ABS($E$9442)&gt;0.000000001,$E$9442,0.000000001))*$I$8782)</f>
        <v/>
      </c>
      <c r="E9478" s="19">
        <f>0.5*$E$9442+0.5*$Z$9494</f>
        <v/>
      </c>
      <c r="F9478" s="19">
        <f>$Z$9495</f>
        <v/>
      </c>
    </row>
    <row r="9479">
      <c r="D9479" s="19">
        <f>IF(ABS(IF(ABS($E$9443)&gt;0.000000001,$E$9443,0.000000001))=0,0,IF($E$8783&lt;=$B$8772,0,IF(ABS(IF(ABS($E$9443)&gt;0.000000001,$E$9443,0.000000001))&gt;=8*$B$8774,$H$8783,0.5*$H$8783*(ABS(IF(ABS($E$9443)&gt;0.000000001,$E$9443,0.000000001))/$B$8774)^(1/3)))/ABS(IF(ABS($E$9443)&gt;0.000000001,$E$9443,0.000000001))*$I$8783)</f>
        <v/>
      </c>
      <c r="E9479" s="19">
        <f>0.5*$E$9443+0.5*$Z$9496</f>
        <v/>
      </c>
      <c r="F9479" s="19">
        <f>$Z$9497</f>
        <v/>
      </c>
    </row>
    <row r="9480">
      <c r="D9480" s="19">
        <f>IF(ABS(IF(ABS($E$9444)&gt;0.000000001,$E$9444,0.000000001))=0,0,IF($E$8784&lt;=$B$8772,0,IF(ABS(IF(ABS($E$9444)&gt;0.000000001,$E$9444,0.000000001))&gt;=8*$B$8774,$H$8784,0.5*$H$8784*(ABS(IF(ABS($E$9444)&gt;0.000000001,$E$9444,0.000000001))/$B$8774)^(1/3)))/ABS(IF(ABS($E$9444)&gt;0.000000001,$E$9444,0.000000001))*$I$8784)</f>
        <v/>
      </c>
      <c r="E9480" s="19">
        <f>0.5*$E$9444+0.5*$Z$9498</f>
        <v/>
      </c>
      <c r="F9480" s="19">
        <f>$Z$9499</f>
        <v/>
      </c>
    </row>
    <row r="9481">
      <c r="D9481" s="19">
        <f>IF(ABS(IF(ABS($E$9445)&gt;0.000000001,$E$9445,0.000000001))=0,0,IF($E$8785&lt;=$B$8772,0,IF(ABS(IF(ABS($E$9445)&gt;0.000000001,$E$9445,0.000000001))&gt;=8*$B$8774,$H$8785,0.5*$H$8785*(ABS(IF(ABS($E$9445)&gt;0.000000001,$E$9445,0.000000001))/$B$8774)^(1/3)))/ABS(IF(ABS($E$9445)&gt;0.000000001,$E$9445,0.000000001))*$I$8785)</f>
        <v/>
      </c>
      <c r="E9481" s="19">
        <f>0.5*$E$9445+0.5*$Z$9500</f>
        <v/>
      </c>
      <c r="F9481" s="19">
        <f>$Z$9501</f>
        <v/>
      </c>
    </row>
    <row r="9482">
      <c r="D9482" s="19">
        <f>IF(ABS(IF(ABS($E$9446)&gt;0.000000001,$E$9446,0.000000001))=0,0,IF($E$8786&lt;=$B$8772,0,IF(ABS(IF(ABS($E$9446)&gt;0.000000001,$E$9446,0.000000001))&gt;=8*$B$8774,$H$8786,0.5*$H$8786*(ABS(IF(ABS($E$9446)&gt;0.000000001,$E$9446,0.000000001))/$B$8774)^(1/3)))/ABS(IF(ABS($E$9446)&gt;0.000000001,$E$9446,0.000000001))*$I$8786)</f>
        <v/>
      </c>
      <c r="E9482" s="19">
        <f>0.5*$E$9446+0.5*$Z$9502</f>
        <v/>
      </c>
      <c r="F9482" s="19">
        <f>$Z$9503</f>
        <v/>
      </c>
    </row>
    <row r="9483">
      <c r="D9483" s="19">
        <f>IF(ABS(IF(ABS($E$9447)&gt;0.000000001,$E$9447,0.000000001))=0,0,IF($E$8787&lt;=$B$8772,0,IF(ABS(IF(ABS($E$9447)&gt;0.000000001,$E$9447,0.000000001))&gt;=8*$B$8774,$H$8787,0.5*$H$8787*(ABS(IF(ABS($E$9447)&gt;0.000000001,$E$9447,0.000000001))/$B$8774)^(1/3)))/ABS(IF(ABS($E$9447)&gt;0.000000001,$E$9447,0.000000001))*$I$8787)</f>
        <v/>
      </c>
      <c r="E9483" s="19">
        <f>0.5*$E$9447+0.5*$Z$9504</f>
        <v/>
      </c>
      <c r="F9483" s="19">
        <f>$Z$9505</f>
        <v/>
      </c>
    </row>
    <row r="9484">
      <c r="D9484" s="19">
        <f>IF(ABS(IF(ABS($E$9448)&gt;0.000000001,$E$9448,0.000000001))=0,0,IF($E$8788&lt;=$B$8772,0,IF(ABS(IF(ABS($E$9448)&gt;0.000000001,$E$9448,0.000000001))&gt;=8*$B$8774,$H$8788,0.5*$H$8788*(ABS(IF(ABS($E$9448)&gt;0.000000001,$E$9448,0.000000001))/$B$8774)^(1/3)))/ABS(IF(ABS($E$9448)&gt;0.000000001,$E$9448,0.000000001))*$I$8788)</f>
        <v/>
      </c>
      <c r="E9484" s="19">
        <f>0.5*$E$9448+0.5*$Z$9506</f>
        <v/>
      </c>
      <c r="F9484" s="19">
        <f>$Z$9507</f>
        <v/>
      </c>
    </row>
    <row r="9486">
      <c r="D9486" s="21">
        <f>$B$8763+$D$9474</f>
        <v/>
      </c>
      <c r="E9486" s="21">
        <f>$B$8764</f>
        <v/>
      </c>
      <c r="F9486" s="21">
        <f>-$B$8763</f>
        <v/>
      </c>
      <c r="G9486" s="21">
        <f>$B$8764</f>
        <v/>
      </c>
      <c r="H9486" s="21" t="n">
        <v>0</v>
      </c>
      <c r="I9486" s="21" t="n">
        <v>0</v>
      </c>
      <c r="J9486" s="21" t="n">
        <v>0</v>
      </c>
      <c r="K9486" s="21" t="n">
        <v>0</v>
      </c>
      <c r="L9486" s="21" t="n">
        <v>0</v>
      </c>
      <c r="M9486" s="21" t="n">
        <v>0</v>
      </c>
      <c r="N9486" s="21" t="n">
        <v>0</v>
      </c>
      <c r="O9486" s="21" t="n">
        <v>0</v>
      </c>
      <c r="P9486" s="21" t="n">
        <v>0</v>
      </c>
      <c r="Q9486" s="21" t="n">
        <v>0</v>
      </c>
      <c r="R9486" s="21" t="n">
        <v>0</v>
      </c>
      <c r="S9486" s="21" t="n">
        <v>0</v>
      </c>
      <c r="T9486" s="21" t="n">
        <v>0</v>
      </c>
      <c r="U9486" s="21" t="n">
        <v>0</v>
      </c>
      <c r="V9486" s="21" t="n">
        <v>0</v>
      </c>
      <c r="W9486" s="21" t="n">
        <v>0</v>
      </c>
      <c r="X9486" s="21" t="n">
        <v>0</v>
      </c>
      <c r="Y9486" s="21" t="n">
        <v>0</v>
      </c>
      <c r="Z9486" s="19">
        <f t="array" ref="Z9486:Z9507">MMULT(MINVERSE($D$9486:$Y$9507),$D$8790:$D$8811)</f>
        <v/>
      </c>
    </row>
    <row r="9487">
      <c r="D9487" s="21">
        <f>$B$8764</f>
        <v/>
      </c>
      <c r="E9487" s="21">
        <f>$B$8765</f>
        <v/>
      </c>
      <c r="F9487" s="21">
        <f>-$B$8764</f>
        <v/>
      </c>
      <c r="G9487" s="21">
        <f>$B$8766</f>
        <v/>
      </c>
      <c r="H9487" s="21" t="n">
        <v>0</v>
      </c>
      <c r="I9487" s="21" t="n">
        <v>0</v>
      </c>
      <c r="J9487" s="21" t="n">
        <v>0</v>
      </c>
      <c r="K9487" s="21" t="n">
        <v>0</v>
      </c>
      <c r="L9487" s="21" t="n">
        <v>0</v>
      </c>
      <c r="M9487" s="21" t="n">
        <v>0</v>
      </c>
      <c r="N9487" s="21" t="n">
        <v>0</v>
      </c>
      <c r="O9487" s="21" t="n">
        <v>0</v>
      </c>
      <c r="P9487" s="21" t="n">
        <v>0</v>
      </c>
      <c r="Q9487" s="21" t="n">
        <v>0</v>
      </c>
      <c r="R9487" s="21" t="n">
        <v>0</v>
      </c>
      <c r="S9487" s="21" t="n">
        <v>0</v>
      </c>
      <c r="T9487" s="21" t="n">
        <v>0</v>
      </c>
      <c r="U9487" s="21" t="n">
        <v>0</v>
      </c>
      <c r="V9487" s="21" t="n">
        <v>0</v>
      </c>
      <c r="W9487" s="21" t="n">
        <v>0</v>
      </c>
      <c r="X9487" s="21" t="n">
        <v>0</v>
      </c>
      <c r="Y9487" s="21" t="n">
        <v>0</v>
      </c>
      <c r="Z9487" s="19" t="n"/>
    </row>
    <row r="9488">
      <c r="D9488" s="21">
        <f>-$B$8763</f>
        <v/>
      </c>
      <c r="E9488" s="21">
        <f>-$B$8764</f>
        <v/>
      </c>
      <c r="F9488" s="21">
        <f>2*$B$8763+$D$9475</f>
        <v/>
      </c>
      <c r="G9488" s="21">
        <f>0</f>
        <v/>
      </c>
      <c r="H9488" s="21">
        <f>-$B$8763</f>
        <v/>
      </c>
      <c r="I9488" s="21">
        <f>$B$8764</f>
        <v/>
      </c>
      <c r="J9488" s="21" t="n">
        <v>0</v>
      </c>
      <c r="K9488" s="21" t="n">
        <v>0</v>
      </c>
      <c r="L9488" s="21" t="n">
        <v>0</v>
      </c>
      <c r="M9488" s="21" t="n">
        <v>0</v>
      </c>
      <c r="N9488" s="21" t="n">
        <v>0</v>
      </c>
      <c r="O9488" s="21" t="n">
        <v>0</v>
      </c>
      <c r="P9488" s="21" t="n">
        <v>0</v>
      </c>
      <c r="Q9488" s="21" t="n">
        <v>0</v>
      </c>
      <c r="R9488" s="21" t="n">
        <v>0</v>
      </c>
      <c r="S9488" s="21" t="n">
        <v>0</v>
      </c>
      <c r="T9488" s="21" t="n">
        <v>0</v>
      </c>
      <c r="U9488" s="21" t="n">
        <v>0</v>
      </c>
      <c r="V9488" s="21" t="n">
        <v>0</v>
      </c>
      <c r="W9488" s="21" t="n">
        <v>0</v>
      </c>
      <c r="X9488" s="21" t="n">
        <v>0</v>
      </c>
      <c r="Y9488" s="21" t="n">
        <v>0</v>
      </c>
      <c r="Z9488" s="19" t="n"/>
    </row>
    <row r="9489">
      <c r="D9489" s="21">
        <f>$B$8764</f>
        <v/>
      </c>
      <c r="E9489" s="21">
        <f>$B$8766</f>
        <v/>
      </c>
      <c r="F9489" s="21">
        <f>0</f>
        <v/>
      </c>
      <c r="G9489" s="21">
        <f>2*$B$8765</f>
        <v/>
      </c>
      <c r="H9489" s="21">
        <f>-$B$8764</f>
        <v/>
      </c>
      <c r="I9489" s="21">
        <f>$B$8766</f>
        <v/>
      </c>
      <c r="J9489" s="21" t="n">
        <v>0</v>
      </c>
      <c r="K9489" s="21" t="n">
        <v>0</v>
      </c>
      <c r="L9489" s="21" t="n">
        <v>0</v>
      </c>
      <c r="M9489" s="21" t="n">
        <v>0</v>
      </c>
      <c r="N9489" s="21" t="n">
        <v>0</v>
      </c>
      <c r="O9489" s="21" t="n">
        <v>0</v>
      </c>
      <c r="P9489" s="21" t="n">
        <v>0</v>
      </c>
      <c r="Q9489" s="21" t="n">
        <v>0</v>
      </c>
      <c r="R9489" s="21" t="n">
        <v>0</v>
      </c>
      <c r="S9489" s="21" t="n">
        <v>0</v>
      </c>
      <c r="T9489" s="21" t="n">
        <v>0</v>
      </c>
      <c r="U9489" s="21" t="n">
        <v>0</v>
      </c>
      <c r="V9489" s="21" t="n">
        <v>0</v>
      </c>
      <c r="W9489" s="21" t="n">
        <v>0</v>
      </c>
      <c r="X9489" s="21" t="n">
        <v>0</v>
      </c>
      <c r="Y9489" s="21" t="n">
        <v>0</v>
      </c>
      <c r="Z9489" s="19" t="n"/>
    </row>
    <row r="9490">
      <c r="D9490" s="21" t="n">
        <v>0</v>
      </c>
      <c r="E9490" s="21" t="n">
        <v>0</v>
      </c>
      <c r="F9490" s="21">
        <f>-$B$8763</f>
        <v/>
      </c>
      <c r="G9490" s="21">
        <f>-$B$8764</f>
        <v/>
      </c>
      <c r="H9490" s="21">
        <f>2*$B$8763+$D$9476</f>
        <v/>
      </c>
      <c r="I9490" s="21">
        <f>0</f>
        <v/>
      </c>
      <c r="J9490" s="21">
        <f>-$B$8763</f>
        <v/>
      </c>
      <c r="K9490" s="21">
        <f>$B$8764</f>
        <v/>
      </c>
      <c r="L9490" s="21" t="n">
        <v>0</v>
      </c>
      <c r="M9490" s="21" t="n">
        <v>0</v>
      </c>
      <c r="N9490" s="21" t="n">
        <v>0</v>
      </c>
      <c r="O9490" s="21" t="n">
        <v>0</v>
      </c>
      <c r="P9490" s="21" t="n">
        <v>0</v>
      </c>
      <c r="Q9490" s="21" t="n">
        <v>0</v>
      </c>
      <c r="R9490" s="21" t="n">
        <v>0</v>
      </c>
      <c r="S9490" s="21" t="n">
        <v>0</v>
      </c>
      <c r="T9490" s="21" t="n">
        <v>0</v>
      </c>
      <c r="U9490" s="21" t="n">
        <v>0</v>
      </c>
      <c r="V9490" s="21" t="n">
        <v>0</v>
      </c>
      <c r="W9490" s="21" t="n">
        <v>0</v>
      </c>
      <c r="X9490" s="21" t="n">
        <v>0</v>
      </c>
      <c r="Y9490" s="21" t="n">
        <v>0</v>
      </c>
      <c r="Z9490" s="19" t="n"/>
    </row>
    <row r="9491">
      <c r="D9491" s="21" t="n">
        <v>0</v>
      </c>
      <c r="E9491" s="21" t="n">
        <v>0</v>
      </c>
      <c r="F9491" s="21">
        <f>$B$8764</f>
        <v/>
      </c>
      <c r="G9491" s="21">
        <f>$B$8766</f>
        <v/>
      </c>
      <c r="H9491" s="21">
        <f>0</f>
        <v/>
      </c>
      <c r="I9491" s="21">
        <f>2*$B$8765</f>
        <v/>
      </c>
      <c r="J9491" s="21">
        <f>-$B$8764</f>
        <v/>
      </c>
      <c r="K9491" s="21">
        <f>$B$8766</f>
        <v/>
      </c>
      <c r="L9491" s="21" t="n">
        <v>0</v>
      </c>
      <c r="M9491" s="21" t="n">
        <v>0</v>
      </c>
      <c r="N9491" s="21" t="n">
        <v>0</v>
      </c>
      <c r="O9491" s="21" t="n">
        <v>0</v>
      </c>
      <c r="P9491" s="21" t="n">
        <v>0</v>
      </c>
      <c r="Q9491" s="21" t="n">
        <v>0</v>
      </c>
      <c r="R9491" s="21" t="n">
        <v>0</v>
      </c>
      <c r="S9491" s="21" t="n">
        <v>0</v>
      </c>
      <c r="T9491" s="21" t="n">
        <v>0</v>
      </c>
      <c r="U9491" s="21" t="n">
        <v>0</v>
      </c>
      <c r="V9491" s="21" t="n">
        <v>0</v>
      </c>
      <c r="W9491" s="21" t="n">
        <v>0</v>
      </c>
      <c r="X9491" s="21" t="n">
        <v>0</v>
      </c>
      <c r="Y9491" s="21" t="n">
        <v>0</v>
      </c>
      <c r="Z9491" s="19" t="n"/>
    </row>
    <row r="9492">
      <c r="D9492" s="21" t="n">
        <v>0</v>
      </c>
      <c r="E9492" s="21" t="n">
        <v>0</v>
      </c>
      <c r="F9492" s="21" t="n">
        <v>0</v>
      </c>
      <c r="G9492" s="21" t="n">
        <v>0</v>
      </c>
      <c r="H9492" s="21">
        <f>-$B$8763</f>
        <v/>
      </c>
      <c r="I9492" s="21">
        <f>-$B$8764</f>
        <v/>
      </c>
      <c r="J9492" s="21">
        <f>2*$B$8763+$D$9477</f>
        <v/>
      </c>
      <c r="K9492" s="21">
        <f>0</f>
        <v/>
      </c>
      <c r="L9492" s="21">
        <f>-$B$8763</f>
        <v/>
      </c>
      <c r="M9492" s="21">
        <f>$B$8764</f>
        <v/>
      </c>
      <c r="N9492" s="21" t="n">
        <v>0</v>
      </c>
      <c r="O9492" s="21" t="n">
        <v>0</v>
      </c>
      <c r="P9492" s="21" t="n">
        <v>0</v>
      </c>
      <c r="Q9492" s="21" t="n">
        <v>0</v>
      </c>
      <c r="R9492" s="21" t="n">
        <v>0</v>
      </c>
      <c r="S9492" s="21" t="n">
        <v>0</v>
      </c>
      <c r="T9492" s="21" t="n">
        <v>0</v>
      </c>
      <c r="U9492" s="21" t="n">
        <v>0</v>
      </c>
      <c r="V9492" s="21" t="n">
        <v>0</v>
      </c>
      <c r="W9492" s="21" t="n">
        <v>0</v>
      </c>
      <c r="X9492" s="21" t="n">
        <v>0</v>
      </c>
      <c r="Y9492" s="21" t="n">
        <v>0</v>
      </c>
      <c r="Z9492" s="19" t="n"/>
    </row>
    <row r="9493">
      <c r="D9493" s="21" t="n">
        <v>0</v>
      </c>
      <c r="E9493" s="21" t="n">
        <v>0</v>
      </c>
      <c r="F9493" s="21" t="n">
        <v>0</v>
      </c>
      <c r="G9493" s="21" t="n">
        <v>0</v>
      </c>
      <c r="H9493" s="21">
        <f>$B$8764</f>
        <v/>
      </c>
      <c r="I9493" s="21">
        <f>$B$8766</f>
        <v/>
      </c>
      <c r="J9493" s="21">
        <f>0</f>
        <v/>
      </c>
      <c r="K9493" s="21">
        <f>2*$B$8765</f>
        <v/>
      </c>
      <c r="L9493" s="21">
        <f>-$B$8764</f>
        <v/>
      </c>
      <c r="M9493" s="21">
        <f>$B$8766</f>
        <v/>
      </c>
      <c r="N9493" s="21" t="n">
        <v>0</v>
      </c>
      <c r="O9493" s="21" t="n">
        <v>0</v>
      </c>
      <c r="P9493" s="21" t="n">
        <v>0</v>
      </c>
      <c r="Q9493" s="21" t="n">
        <v>0</v>
      </c>
      <c r="R9493" s="21" t="n">
        <v>0</v>
      </c>
      <c r="S9493" s="21" t="n">
        <v>0</v>
      </c>
      <c r="T9493" s="21" t="n">
        <v>0</v>
      </c>
      <c r="U9493" s="21" t="n">
        <v>0</v>
      </c>
      <c r="V9493" s="21" t="n">
        <v>0</v>
      </c>
      <c r="W9493" s="21" t="n">
        <v>0</v>
      </c>
      <c r="X9493" s="21" t="n">
        <v>0</v>
      </c>
      <c r="Y9493" s="21" t="n">
        <v>0</v>
      </c>
      <c r="Z9493" s="19" t="n"/>
    </row>
    <row r="9494">
      <c r="D9494" s="21" t="n">
        <v>0</v>
      </c>
      <c r="E9494" s="21" t="n">
        <v>0</v>
      </c>
      <c r="F9494" s="21" t="n">
        <v>0</v>
      </c>
      <c r="G9494" s="21" t="n">
        <v>0</v>
      </c>
      <c r="H9494" s="21" t="n">
        <v>0</v>
      </c>
      <c r="I9494" s="21" t="n">
        <v>0</v>
      </c>
      <c r="J9494" s="21">
        <f>-$B$8763</f>
        <v/>
      </c>
      <c r="K9494" s="21">
        <f>-$B$8764</f>
        <v/>
      </c>
      <c r="L9494" s="21">
        <f>2*$B$8763+$D$9478</f>
        <v/>
      </c>
      <c r="M9494" s="21">
        <f>0</f>
        <v/>
      </c>
      <c r="N9494" s="21">
        <f>-$B$8763</f>
        <v/>
      </c>
      <c r="O9494" s="21">
        <f>$B$8764</f>
        <v/>
      </c>
      <c r="P9494" s="21" t="n">
        <v>0</v>
      </c>
      <c r="Q9494" s="21" t="n">
        <v>0</v>
      </c>
      <c r="R9494" s="21" t="n">
        <v>0</v>
      </c>
      <c r="S9494" s="21" t="n">
        <v>0</v>
      </c>
      <c r="T9494" s="21" t="n">
        <v>0</v>
      </c>
      <c r="U9494" s="21" t="n">
        <v>0</v>
      </c>
      <c r="V9494" s="21" t="n">
        <v>0</v>
      </c>
      <c r="W9494" s="21" t="n">
        <v>0</v>
      </c>
      <c r="X9494" s="21" t="n">
        <v>0</v>
      </c>
      <c r="Y9494" s="21" t="n">
        <v>0</v>
      </c>
      <c r="Z9494" s="19" t="n"/>
    </row>
    <row r="9495">
      <c r="D9495" s="21" t="n">
        <v>0</v>
      </c>
      <c r="E9495" s="21" t="n">
        <v>0</v>
      </c>
      <c r="F9495" s="21" t="n">
        <v>0</v>
      </c>
      <c r="G9495" s="21" t="n">
        <v>0</v>
      </c>
      <c r="H9495" s="21" t="n">
        <v>0</v>
      </c>
      <c r="I9495" s="21" t="n">
        <v>0</v>
      </c>
      <c r="J9495" s="21">
        <f>$B$8764</f>
        <v/>
      </c>
      <c r="K9495" s="21">
        <f>$B$8766</f>
        <v/>
      </c>
      <c r="L9495" s="21">
        <f>0</f>
        <v/>
      </c>
      <c r="M9495" s="21">
        <f>2*$B$8765</f>
        <v/>
      </c>
      <c r="N9495" s="21">
        <f>-$B$8764</f>
        <v/>
      </c>
      <c r="O9495" s="21">
        <f>$B$8766</f>
        <v/>
      </c>
      <c r="P9495" s="21" t="n">
        <v>0</v>
      </c>
      <c r="Q9495" s="21" t="n">
        <v>0</v>
      </c>
      <c r="R9495" s="21" t="n">
        <v>0</v>
      </c>
      <c r="S9495" s="21" t="n">
        <v>0</v>
      </c>
      <c r="T9495" s="21" t="n">
        <v>0</v>
      </c>
      <c r="U9495" s="21" t="n">
        <v>0</v>
      </c>
      <c r="V9495" s="21" t="n">
        <v>0</v>
      </c>
      <c r="W9495" s="21" t="n">
        <v>0</v>
      </c>
      <c r="X9495" s="21" t="n">
        <v>0</v>
      </c>
      <c r="Y9495" s="21" t="n">
        <v>0</v>
      </c>
      <c r="Z9495" s="19" t="n"/>
    </row>
    <row r="9496">
      <c r="D9496" s="21" t="n">
        <v>0</v>
      </c>
      <c r="E9496" s="21" t="n">
        <v>0</v>
      </c>
      <c r="F9496" s="21" t="n">
        <v>0</v>
      </c>
      <c r="G9496" s="21" t="n">
        <v>0</v>
      </c>
      <c r="H9496" s="21" t="n">
        <v>0</v>
      </c>
      <c r="I9496" s="21" t="n">
        <v>0</v>
      </c>
      <c r="J9496" s="21" t="n">
        <v>0</v>
      </c>
      <c r="K9496" s="21" t="n">
        <v>0</v>
      </c>
      <c r="L9496" s="21">
        <f>-$B$8763</f>
        <v/>
      </c>
      <c r="M9496" s="21">
        <f>-$B$8764</f>
        <v/>
      </c>
      <c r="N9496" s="21">
        <f>2*$B$8763+$D$9479</f>
        <v/>
      </c>
      <c r="O9496" s="21">
        <f>0</f>
        <v/>
      </c>
      <c r="P9496" s="21">
        <f>-$B$8763</f>
        <v/>
      </c>
      <c r="Q9496" s="21">
        <f>$B$8764</f>
        <v/>
      </c>
      <c r="R9496" s="21" t="n">
        <v>0</v>
      </c>
      <c r="S9496" s="21" t="n">
        <v>0</v>
      </c>
      <c r="T9496" s="21" t="n">
        <v>0</v>
      </c>
      <c r="U9496" s="21" t="n">
        <v>0</v>
      </c>
      <c r="V9496" s="21" t="n">
        <v>0</v>
      </c>
      <c r="W9496" s="21" t="n">
        <v>0</v>
      </c>
      <c r="X9496" s="21" t="n">
        <v>0</v>
      </c>
      <c r="Y9496" s="21" t="n">
        <v>0</v>
      </c>
      <c r="Z9496" s="19" t="n"/>
    </row>
    <row r="9497">
      <c r="D9497" s="21" t="n">
        <v>0</v>
      </c>
      <c r="E9497" s="21" t="n">
        <v>0</v>
      </c>
      <c r="F9497" s="21" t="n">
        <v>0</v>
      </c>
      <c r="G9497" s="21" t="n">
        <v>0</v>
      </c>
      <c r="H9497" s="21" t="n">
        <v>0</v>
      </c>
      <c r="I9497" s="21" t="n">
        <v>0</v>
      </c>
      <c r="J9497" s="21" t="n">
        <v>0</v>
      </c>
      <c r="K9497" s="21" t="n">
        <v>0</v>
      </c>
      <c r="L9497" s="21">
        <f>$B$8764</f>
        <v/>
      </c>
      <c r="M9497" s="21">
        <f>$B$8766</f>
        <v/>
      </c>
      <c r="N9497" s="21">
        <f>0</f>
        <v/>
      </c>
      <c r="O9497" s="21">
        <f>2*$B$8765</f>
        <v/>
      </c>
      <c r="P9497" s="21">
        <f>-$B$8764</f>
        <v/>
      </c>
      <c r="Q9497" s="21">
        <f>$B$8766</f>
        <v/>
      </c>
      <c r="R9497" s="21" t="n">
        <v>0</v>
      </c>
      <c r="S9497" s="21" t="n">
        <v>0</v>
      </c>
      <c r="T9497" s="21" t="n">
        <v>0</v>
      </c>
      <c r="U9497" s="21" t="n">
        <v>0</v>
      </c>
      <c r="V9497" s="21" t="n">
        <v>0</v>
      </c>
      <c r="W9497" s="21" t="n">
        <v>0</v>
      </c>
      <c r="X9497" s="21" t="n">
        <v>0</v>
      </c>
      <c r="Y9497" s="21" t="n">
        <v>0</v>
      </c>
      <c r="Z9497" s="19" t="n"/>
    </row>
    <row r="9498">
      <c r="D9498" s="21" t="n">
        <v>0</v>
      </c>
      <c r="E9498" s="21" t="n">
        <v>0</v>
      </c>
      <c r="F9498" s="21" t="n">
        <v>0</v>
      </c>
      <c r="G9498" s="21" t="n">
        <v>0</v>
      </c>
      <c r="H9498" s="21" t="n">
        <v>0</v>
      </c>
      <c r="I9498" s="21" t="n">
        <v>0</v>
      </c>
      <c r="J9498" s="21" t="n">
        <v>0</v>
      </c>
      <c r="K9498" s="21" t="n">
        <v>0</v>
      </c>
      <c r="L9498" s="21" t="n">
        <v>0</v>
      </c>
      <c r="M9498" s="21" t="n">
        <v>0</v>
      </c>
      <c r="N9498" s="21">
        <f>-$B$8763</f>
        <v/>
      </c>
      <c r="O9498" s="21">
        <f>-$B$8764</f>
        <v/>
      </c>
      <c r="P9498" s="21">
        <f>2*$B$8763+$D$9480</f>
        <v/>
      </c>
      <c r="Q9498" s="21">
        <f>0</f>
        <v/>
      </c>
      <c r="R9498" s="21">
        <f>-$B$8763</f>
        <v/>
      </c>
      <c r="S9498" s="21">
        <f>$B$8764</f>
        <v/>
      </c>
      <c r="T9498" s="21" t="n">
        <v>0</v>
      </c>
      <c r="U9498" s="21" t="n">
        <v>0</v>
      </c>
      <c r="V9498" s="21" t="n">
        <v>0</v>
      </c>
      <c r="W9498" s="21" t="n">
        <v>0</v>
      </c>
      <c r="X9498" s="21" t="n">
        <v>0</v>
      </c>
      <c r="Y9498" s="21" t="n">
        <v>0</v>
      </c>
      <c r="Z9498" s="19" t="n"/>
    </row>
    <row r="9499">
      <c r="D9499" s="21" t="n">
        <v>0</v>
      </c>
      <c r="E9499" s="21" t="n">
        <v>0</v>
      </c>
      <c r="F9499" s="21" t="n">
        <v>0</v>
      </c>
      <c r="G9499" s="21" t="n">
        <v>0</v>
      </c>
      <c r="H9499" s="21" t="n">
        <v>0</v>
      </c>
      <c r="I9499" s="21" t="n">
        <v>0</v>
      </c>
      <c r="J9499" s="21" t="n">
        <v>0</v>
      </c>
      <c r="K9499" s="21" t="n">
        <v>0</v>
      </c>
      <c r="L9499" s="21" t="n">
        <v>0</v>
      </c>
      <c r="M9499" s="21" t="n">
        <v>0</v>
      </c>
      <c r="N9499" s="21">
        <f>$B$8764</f>
        <v/>
      </c>
      <c r="O9499" s="21">
        <f>$B$8766</f>
        <v/>
      </c>
      <c r="P9499" s="21">
        <f>0</f>
        <v/>
      </c>
      <c r="Q9499" s="21">
        <f>2*$B$8765</f>
        <v/>
      </c>
      <c r="R9499" s="21">
        <f>-$B$8764</f>
        <v/>
      </c>
      <c r="S9499" s="21">
        <f>$B$8766</f>
        <v/>
      </c>
      <c r="T9499" s="21" t="n">
        <v>0</v>
      </c>
      <c r="U9499" s="21" t="n">
        <v>0</v>
      </c>
      <c r="V9499" s="21" t="n">
        <v>0</v>
      </c>
      <c r="W9499" s="21" t="n">
        <v>0</v>
      </c>
      <c r="X9499" s="21" t="n">
        <v>0</v>
      </c>
      <c r="Y9499" s="21" t="n">
        <v>0</v>
      </c>
      <c r="Z9499" s="19" t="n"/>
    </row>
    <row r="9500">
      <c r="D9500" s="21" t="n">
        <v>0</v>
      </c>
      <c r="E9500" s="21" t="n">
        <v>0</v>
      </c>
      <c r="F9500" s="21" t="n">
        <v>0</v>
      </c>
      <c r="G9500" s="21" t="n">
        <v>0</v>
      </c>
      <c r="H9500" s="21" t="n">
        <v>0</v>
      </c>
      <c r="I9500" s="21" t="n">
        <v>0</v>
      </c>
      <c r="J9500" s="21" t="n">
        <v>0</v>
      </c>
      <c r="K9500" s="21" t="n">
        <v>0</v>
      </c>
      <c r="L9500" s="21" t="n">
        <v>0</v>
      </c>
      <c r="M9500" s="21" t="n">
        <v>0</v>
      </c>
      <c r="N9500" s="21" t="n">
        <v>0</v>
      </c>
      <c r="O9500" s="21" t="n">
        <v>0</v>
      </c>
      <c r="P9500" s="21">
        <f>-$B$8763</f>
        <v/>
      </c>
      <c r="Q9500" s="21">
        <f>-$B$8764</f>
        <v/>
      </c>
      <c r="R9500" s="21">
        <f>2*$B$8763+$D$9481</f>
        <v/>
      </c>
      <c r="S9500" s="21">
        <f>0</f>
        <v/>
      </c>
      <c r="T9500" s="21">
        <f>-$B$8763</f>
        <v/>
      </c>
      <c r="U9500" s="21">
        <f>$B$8764</f>
        <v/>
      </c>
      <c r="V9500" s="21" t="n">
        <v>0</v>
      </c>
      <c r="W9500" s="21" t="n">
        <v>0</v>
      </c>
      <c r="X9500" s="21" t="n">
        <v>0</v>
      </c>
      <c r="Y9500" s="21" t="n">
        <v>0</v>
      </c>
      <c r="Z9500" s="19" t="n"/>
    </row>
    <row r="9501">
      <c r="D9501" s="21" t="n">
        <v>0</v>
      </c>
      <c r="E9501" s="21" t="n">
        <v>0</v>
      </c>
      <c r="F9501" s="21" t="n">
        <v>0</v>
      </c>
      <c r="G9501" s="21" t="n">
        <v>0</v>
      </c>
      <c r="H9501" s="21" t="n">
        <v>0</v>
      </c>
      <c r="I9501" s="21" t="n">
        <v>0</v>
      </c>
      <c r="J9501" s="21" t="n">
        <v>0</v>
      </c>
      <c r="K9501" s="21" t="n">
        <v>0</v>
      </c>
      <c r="L9501" s="21" t="n">
        <v>0</v>
      </c>
      <c r="M9501" s="21" t="n">
        <v>0</v>
      </c>
      <c r="N9501" s="21" t="n">
        <v>0</v>
      </c>
      <c r="O9501" s="21" t="n">
        <v>0</v>
      </c>
      <c r="P9501" s="21">
        <f>$B$8764</f>
        <v/>
      </c>
      <c r="Q9501" s="21">
        <f>$B$8766</f>
        <v/>
      </c>
      <c r="R9501" s="21">
        <f>0</f>
        <v/>
      </c>
      <c r="S9501" s="21">
        <f>2*$B$8765</f>
        <v/>
      </c>
      <c r="T9501" s="21">
        <f>-$B$8764</f>
        <v/>
      </c>
      <c r="U9501" s="21">
        <f>$B$8766</f>
        <v/>
      </c>
      <c r="V9501" s="21" t="n">
        <v>0</v>
      </c>
      <c r="W9501" s="21" t="n">
        <v>0</v>
      </c>
      <c r="X9501" s="21" t="n">
        <v>0</v>
      </c>
      <c r="Y9501" s="21" t="n">
        <v>0</v>
      </c>
      <c r="Z9501" s="19" t="n"/>
    </row>
    <row r="9502">
      <c r="D9502" s="21" t="n">
        <v>0</v>
      </c>
      <c r="E9502" s="21" t="n">
        <v>0</v>
      </c>
      <c r="F9502" s="21" t="n">
        <v>0</v>
      </c>
      <c r="G9502" s="21" t="n">
        <v>0</v>
      </c>
      <c r="H9502" s="21" t="n">
        <v>0</v>
      </c>
      <c r="I9502" s="21" t="n">
        <v>0</v>
      </c>
      <c r="J9502" s="21" t="n">
        <v>0</v>
      </c>
      <c r="K9502" s="21" t="n">
        <v>0</v>
      </c>
      <c r="L9502" s="21" t="n">
        <v>0</v>
      </c>
      <c r="M9502" s="21" t="n">
        <v>0</v>
      </c>
      <c r="N9502" s="21" t="n">
        <v>0</v>
      </c>
      <c r="O9502" s="21" t="n">
        <v>0</v>
      </c>
      <c r="P9502" s="21" t="n">
        <v>0</v>
      </c>
      <c r="Q9502" s="21" t="n">
        <v>0</v>
      </c>
      <c r="R9502" s="21">
        <f>-$B$8763</f>
        <v/>
      </c>
      <c r="S9502" s="21">
        <f>-$B$8764</f>
        <v/>
      </c>
      <c r="T9502" s="21">
        <f>2*$B$8763+$D$9482</f>
        <v/>
      </c>
      <c r="U9502" s="21">
        <f>0</f>
        <v/>
      </c>
      <c r="V9502" s="21">
        <f>-$B$8763</f>
        <v/>
      </c>
      <c r="W9502" s="21">
        <f>$B$8764</f>
        <v/>
      </c>
      <c r="X9502" s="21" t="n">
        <v>0</v>
      </c>
      <c r="Y9502" s="21" t="n">
        <v>0</v>
      </c>
      <c r="Z9502" s="19" t="n"/>
    </row>
    <row r="9503">
      <c r="D9503" s="21" t="n">
        <v>0</v>
      </c>
      <c r="E9503" s="21" t="n">
        <v>0</v>
      </c>
      <c r="F9503" s="21" t="n">
        <v>0</v>
      </c>
      <c r="G9503" s="21" t="n">
        <v>0</v>
      </c>
      <c r="H9503" s="21" t="n">
        <v>0</v>
      </c>
      <c r="I9503" s="21" t="n">
        <v>0</v>
      </c>
      <c r="J9503" s="21" t="n">
        <v>0</v>
      </c>
      <c r="K9503" s="21" t="n">
        <v>0</v>
      </c>
      <c r="L9503" s="21" t="n">
        <v>0</v>
      </c>
      <c r="M9503" s="21" t="n">
        <v>0</v>
      </c>
      <c r="N9503" s="21" t="n">
        <v>0</v>
      </c>
      <c r="O9503" s="21" t="n">
        <v>0</v>
      </c>
      <c r="P9503" s="21" t="n">
        <v>0</v>
      </c>
      <c r="Q9503" s="21" t="n">
        <v>0</v>
      </c>
      <c r="R9503" s="21">
        <f>$B$8764</f>
        <v/>
      </c>
      <c r="S9503" s="21">
        <f>$B$8766</f>
        <v/>
      </c>
      <c r="T9503" s="21">
        <f>0</f>
        <v/>
      </c>
      <c r="U9503" s="21">
        <f>2*$B$8765</f>
        <v/>
      </c>
      <c r="V9503" s="21">
        <f>-$B$8764</f>
        <v/>
      </c>
      <c r="W9503" s="21">
        <f>$B$8766</f>
        <v/>
      </c>
      <c r="X9503" s="21" t="n">
        <v>0</v>
      </c>
      <c r="Y9503" s="21" t="n">
        <v>0</v>
      </c>
      <c r="Z9503" s="19" t="n"/>
    </row>
    <row r="9504">
      <c r="D9504" s="21" t="n">
        <v>0</v>
      </c>
      <c r="E9504" s="21" t="n">
        <v>0</v>
      </c>
      <c r="F9504" s="21" t="n">
        <v>0</v>
      </c>
      <c r="G9504" s="21" t="n">
        <v>0</v>
      </c>
      <c r="H9504" s="21" t="n">
        <v>0</v>
      </c>
      <c r="I9504" s="21" t="n">
        <v>0</v>
      </c>
      <c r="J9504" s="21" t="n">
        <v>0</v>
      </c>
      <c r="K9504" s="21" t="n">
        <v>0</v>
      </c>
      <c r="L9504" s="21" t="n">
        <v>0</v>
      </c>
      <c r="M9504" s="21" t="n">
        <v>0</v>
      </c>
      <c r="N9504" s="21" t="n">
        <v>0</v>
      </c>
      <c r="O9504" s="21" t="n">
        <v>0</v>
      </c>
      <c r="P9504" s="21" t="n">
        <v>0</v>
      </c>
      <c r="Q9504" s="21" t="n">
        <v>0</v>
      </c>
      <c r="R9504" s="21" t="n">
        <v>0</v>
      </c>
      <c r="S9504" s="21" t="n">
        <v>0</v>
      </c>
      <c r="T9504" s="21">
        <f>-$B$8763</f>
        <v/>
      </c>
      <c r="U9504" s="21">
        <f>-$B$8764</f>
        <v/>
      </c>
      <c r="V9504" s="21">
        <f>2*$B$8763+$D$9483</f>
        <v/>
      </c>
      <c r="W9504" s="21">
        <f>0</f>
        <v/>
      </c>
      <c r="X9504" s="21">
        <f>-$B$8763</f>
        <v/>
      </c>
      <c r="Y9504" s="21">
        <f>$B$8764</f>
        <v/>
      </c>
      <c r="Z9504" s="19" t="n"/>
    </row>
    <row r="9505">
      <c r="D9505" s="21" t="n">
        <v>0</v>
      </c>
      <c r="E9505" s="21" t="n">
        <v>0</v>
      </c>
      <c r="F9505" s="21" t="n">
        <v>0</v>
      </c>
      <c r="G9505" s="21" t="n">
        <v>0</v>
      </c>
      <c r="H9505" s="21" t="n">
        <v>0</v>
      </c>
      <c r="I9505" s="21" t="n">
        <v>0</v>
      </c>
      <c r="J9505" s="21" t="n">
        <v>0</v>
      </c>
      <c r="K9505" s="21" t="n">
        <v>0</v>
      </c>
      <c r="L9505" s="21" t="n">
        <v>0</v>
      </c>
      <c r="M9505" s="21" t="n">
        <v>0</v>
      </c>
      <c r="N9505" s="21" t="n">
        <v>0</v>
      </c>
      <c r="O9505" s="21" t="n">
        <v>0</v>
      </c>
      <c r="P9505" s="21" t="n">
        <v>0</v>
      </c>
      <c r="Q9505" s="21" t="n">
        <v>0</v>
      </c>
      <c r="R9505" s="21" t="n">
        <v>0</v>
      </c>
      <c r="S9505" s="21" t="n">
        <v>0</v>
      </c>
      <c r="T9505" s="21">
        <f>$B$8764</f>
        <v/>
      </c>
      <c r="U9505" s="21">
        <f>$B$8766</f>
        <v/>
      </c>
      <c r="V9505" s="21">
        <f>0</f>
        <v/>
      </c>
      <c r="W9505" s="21">
        <f>2*$B$8765</f>
        <v/>
      </c>
      <c r="X9505" s="21">
        <f>-$B$8764</f>
        <v/>
      </c>
      <c r="Y9505" s="21">
        <f>$B$8766</f>
        <v/>
      </c>
      <c r="Z9505" s="19" t="n"/>
    </row>
    <row r="9506">
      <c r="D9506" s="21" t="n">
        <v>0</v>
      </c>
      <c r="E9506" s="21" t="n">
        <v>0</v>
      </c>
      <c r="F9506" s="21" t="n">
        <v>0</v>
      </c>
      <c r="G9506" s="21" t="n">
        <v>0</v>
      </c>
      <c r="H9506" s="21" t="n">
        <v>0</v>
      </c>
      <c r="I9506" s="21" t="n">
        <v>0</v>
      </c>
      <c r="J9506" s="21" t="n">
        <v>0</v>
      </c>
      <c r="K9506" s="21" t="n">
        <v>0</v>
      </c>
      <c r="L9506" s="21" t="n">
        <v>0</v>
      </c>
      <c r="M9506" s="21" t="n">
        <v>0</v>
      </c>
      <c r="N9506" s="21" t="n">
        <v>0</v>
      </c>
      <c r="O9506" s="21" t="n">
        <v>0</v>
      </c>
      <c r="P9506" s="21" t="n">
        <v>0</v>
      </c>
      <c r="Q9506" s="21" t="n">
        <v>0</v>
      </c>
      <c r="R9506" s="21" t="n">
        <v>0</v>
      </c>
      <c r="S9506" s="21" t="n">
        <v>0</v>
      </c>
      <c r="T9506" s="21" t="n">
        <v>0</v>
      </c>
      <c r="U9506" s="21" t="n">
        <v>0</v>
      </c>
      <c r="V9506" s="21">
        <f>-$B$8763</f>
        <v/>
      </c>
      <c r="W9506" s="21">
        <f>-$B$8764</f>
        <v/>
      </c>
      <c r="X9506" s="21">
        <f>$B$8763+$D$9484</f>
        <v/>
      </c>
      <c r="Y9506" s="21">
        <f>-$B$8764</f>
        <v/>
      </c>
      <c r="Z9506" s="19" t="n"/>
    </row>
    <row r="9507">
      <c r="D9507" s="21" t="n">
        <v>0</v>
      </c>
      <c r="E9507" s="21" t="n">
        <v>0</v>
      </c>
      <c r="F9507" s="21" t="n">
        <v>0</v>
      </c>
      <c r="G9507" s="21" t="n">
        <v>0</v>
      </c>
      <c r="H9507" s="21" t="n">
        <v>0</v>
      </c>
      <c r="I9507" s="21" t="n">
        <v>0</v>
      </c>
      <c r="J9507" s="21" t="n">
        <v>0</v>
      </c>
      <c r="K9507" s="21" t="n">
        <v>0</v>
      </c>
      <c r="L9507" s="21" t="n">
        <v>0</v>
      </c>
      <c r="M9507" s="21" t="n">
        <v>0</v>
      </c>
      <c r="N9507" s="21" t="n">
        <v>0</v>
      </c>
      <c r="O9507" s="21" t="n">
        <v>0</v>
      </c>
      <c r="P9507" s="21" t="n">
        <v>0</v>
      </c>
      <c r="Q9507" s="21" t="n">
        <v>0</v>
      </c>
      <c r="R9507" s="21" t="n">
        <v>0</v>
      </c>
      <c r="S9507" s="21" t="n">
        <v>0</v>
      </c>
      <c r="T9507" s="21" t="n">
        <v>0</v>
      </c>
      <c r="U9507" s="21" t="n">
        <v>0</v>
      </c>
      <c r="V9507" s="21">
        <f>$B$8764</f>
        <v/>
      </c>
      <c r="W9507" s="21">
        <f>$B$8766</f>
        <v/>
      </c>
      <c r="X9507" s="21">
        <f>-$B$8764</f>
        <v/>
      </c>
      <c r="Y9507" s="21">
        <f>$B$8765</f>
        <v/>
      </c>
      <c r="Z9507" s="19" t="n"/>
    </row>
    <row r="9509">
      <c r="A9509" s="8" t="inlineStr">
        <is>
          <t>gen 20</t>
        </is>
      </c>
    </row>
    <row r="9510">
      <c r="D9510" s="19">
        <f>IF(ABS(IF(ABS($E$9474)&gt;0.000000001,$E$9474,0.000000001))=0,0,IF($E$8778&lt;=$B$8772,0,IF(ABS(IF(ABS($E$9474)&gt;0.000000001,$E$9474,0.000000001))&gt;=8*$B$8774,$H$8778,0.5*$H$8778*(ABS(IF(ABS($E$9474)&gt;0.000000001,$E$9474,0.000000001))/$B$8774)^(1/3)))/ABS(IF(ABS($E$9474)&gt;0.000000001,$E$9474,0.000000001))*$I$8778)</f>
        <v/>
      </c>
      <c r="E9510" s="19">
        <f>0.5*$E$9474+0.5*$Z$9522</f>
        <v/>
      </c>
      <c r="F9510" s="19">
        <f>$Z$9523</f>
        <v/>
      </c>
    </row>
    <row r="9511">
      <c r="D9511" s="19">
        <f>IF(ABS(IF(ABS($E$9475)&gt;0.000000001,$E$9475,0.000000001))=0,0,IF($E$8779&lt;=$B$8772,0,IF(ABS(IF(ABS($E$9475)&gt;0.000000001,$E$9475,0.000000001))&gt;=8*$B$8774,$H$8779,0.5*$H$8779*(ABS(IF(ABS($E$9475)&gt;0.000000001,$E$9475,0.000000001))/$B$8774)^(1/3)))/ABS(IF(ABS($E$9475)&gt;0.000000001,$E$9475,0.000000001))*$I$8779)</f>
        <v/>
      </c>
      <c r="E9511" s="19">
        <f>0.5*$E$9475+0.5*$Z$9524</f>
        <v/>
      </c>
      <c r="F9511" s="19">
        <f>$Z$9525</f>
        <v/>
      </c>
    </row>
    <row r="9512">
      <c r="D9512" s="19">
        <f>IF(ABS(IF(ABS($E$9476)&gt;0.000000001,$E$9476,0.000000001))=0,0,IF($E$8780&lt;=$B$8772,0,IF(ABS(IF(ABS($E$9476)&gt;0.000000001,$E$9476,0.000000001))&gt;=8*$B$8774,$H$8780,0.5*$H$8780*(ABS(IF(ABS($E$9476)&gt;0.000000001,$E$9476,0.000000001))/$B$8774)^(1/3)))/ABS(IF(ABS($E$9476)&gt;0.000000001,$E$9476,0.000000001))*$I$8780)</f>
        <v/>
      </c>
      <c r="E9512" s="19">
        <f>0.5*$E$9476+0.5*$Z$9526</f>
        <v/>
      </c>
      <c r="F9512" s="19">
        <f>$Z$9527</f>
        <v/>
      </c>
    </row>
    <row r="9513">
      <c r="D9513" s="19">
        <f>IF(ABS(IF(ABS($E$9477)&gt;0.000000001,$E$9477,0.000000001))=0,0,IF($E$8781&lt;=$B$8772,0,IF(ABS(IF(ABS($E$9477)&gt;0.000000001,$E$9477,0.000000001))&gt;=8*$B$8774,$H$8781,0.5*$H$8781*(ABS(IF(ABS($E$9477)&gt;0.000000001,$E$9477,0.000000001))/$B$8774)^(1/3)))/ABS(IF(ABS($E$9477)&gt;0.000000001,$E$9477,0.000000001))*$I$8781)</f>
        <v/>
      </c>
      <c r="E9513" s="19">
        <f>0.5*$E$9477+0.5*$Z$9528</f>
        <v/>
      </c>
      <c r="F9513" s="19">
        <f>$Z$9529</f>
        <v/>
      </c>
    </row>
    <row r="9514">
      <c r="D9514" s="19">
        <f>IF(ABS(IF(ABS($E$9478)&gt;0.000000001,$E$9478,0.000000001))=0,0,IF($E$8782&lt;=$B$8772,0,IF(ABS(IF(ABS($E$9478)&gt;0.000000001,$E$9478,0.000000001))&gt;=8*$B$8774,$H$8782,0.5*$H$8782*(ABS(IF(ABS($E$9478)&gt;0.000000001,$E$9478,0.000000001))/$B$8774)^(1/3)))/ABS(IF(ABS($E$9478)&gt;0.000000001,$E$9478,0.000000001))*$I$8782)</f>
        <v/>
      </c>
      <c r="E9514" s="19">
        <f>0.5*$E$9478+0.5*$Z$9530</f>
        <v/>
      </c>
      <c r="F9514" s="19">
        <f>$Z$9531</f>
        <v/>
      </c>
    </row>
    <row r="9515">
      <c r="D9515" s="19">
        <f>IF(ABS(IF(ABS($E$9479)&gt;0.000000001,$E$9479,0.000000001))=0,0,IF($E$8783&lt;=$B$8772,0,IF(ABS(IF(ABS($E$9479)&gt;0.000000001,$E$9479,0.000000001))&gt;=8*$B$8774,$H$8783,0.5*$H$8783*(ABS(IF(ABS($E$9479)&gt;0.000000001,$E$9479,0.000000001))/$B$8774)^(1/3)))/ABS(IF(ABS($E$9479)&gt;0.000000001,$E$9479,0.000000001))*$I$8783)</f>
        <v/>
      </c>
      <c r="E9515" s="19">
        <f>0.5*$E$9479+0.5*$Z$9532</f>
        <v/>
      </c>
      <c r="F9515" s="19">
        <f>$Z$9533</f>
        <v/>
      </c>
    </row>
    <row r="9516">
      <c r="D9516" s="19">
        <f>IF(ABS(IF(ABS($E$9480)&gt;0.000000001,$E$9480,0.000000001))=0,0,IF($E$8784&lt;=$B$8772,0,IF(ABS(IF(ABS($E$9480)&gt;0.000000001,$E$9480,0.000000001))&gt;=8*$B$8774,$H$8784,0.5*$H$8784*(ABS(IF(ABS($E$9480)&gt;0.000000001,$E$9480,0.000000001))/$B$8774)^(1/3)))/ABS(IF(ABS($E$9480)&gt;0.000000001,$E$9480,0.000000001))*$I$8784)</f>
        <v/>
      </c>
      <c r="E9516" s="19">
        <f>0.5*$E$9480+0.5*$Z$9534</f>
        <v/>
      </c>
      <c r="F9516" s="19">
        <f>$Z$9535</f>
        <v/>
      </c>
    </row>
    <row r="9517">
      <c r="D9517" s="19">
        <f>IF(ABS(IF(ABS($E$9481)&gt;0.000000001,$E$9481,0.000000001))=0,0,IF($E$8785&lt;=$B$8772,0,IF(ABS(IF(ABS($E$9481)&gt;0.000000001,$E$9481,0.000000001))&gt;=8*$B$8774,$H$8785,0.5*$H$8785*(ABS(IF(ABS($E$9481)&gt;0.000000001,$E$9481,0.000000001))/$B$8774)^(1/3)))/ABS(IF(ABS($E$9481)&gt;0.000000001,$E$9481,0.000000001))*$I$8785)</f>
        <v/>
      </c>
      <c r="E9517" s="19">
        <f>0.5*$E$9481+0.5*$Z$9536</f>
        <v/>
      </c>
      <c r="F9517" s="19">
        <f>$Z$9537</f>
        <v/>
      </c>
    </row>
    <row r="9518">
      <c r="D9518" s="19">
        <f>IF(ABS(IF(ABS($E$9482)&gt;0.000000001,$E$9482,0.000000001))=0,0,IF($E$8786&lt;=$B$8772,0,IF(ABS(IF(ABS($E$9482)&gt;0.000000001,$E$9482,0.000000001))&gt;=8*$B$8774,$H$8786,0.5*$H$8786*(ABS(IF(ABS($E$9482)&gt;0.000000001,$E$9482,0.000000001))/$B$8774)^(1/3)))/ABS(IF(ABS($E$9482)&gt;0.000000001,$E$9482,0.000000001))*$I$8786)</f>
        <v/>
      </c>
      <c r="E9518" s="19">
        <f>0.5*$E$9482+0.5*$Z$9538</f>
        <v/>
      </c>
      <c r="F9518" s="19">
        <f>$Z$9539</f>
        <v/>
      </c>
    </row>
    <row r="9519">
      <c r="D9519" s="19">
        <f>IF(ABS(IF(ABS($E$9483)&gt;0.000000001,$E$9483,0.000000001))=0,0,IF($E$8787&lt;=$B$8772,0,IF(ABS(IF(ABS($E$9483)&gt;0.000000001,$E$9483,0.000000001))&gt;=8*$B$8774,$H$8787,0.5*$H$8787*(ABS(IF(ABS($E$9483)&gt;0.000000001,$E$9483,0.000000001))/$B$8774)^(1/3)))/ABS(IF(ABS($E$9483)&gt;0.000000001,$E$9483,0.000000001))*$I$8787)</f>
        <v/>
      </c>
      <c r="E9519" s="19">
        <f>0.5*$E$9483+0.5*$Z$9540</f>
        <v/>
      </c>
      <c r="F9519" s="19">
        <f>$Z$9541</f>
        <v/>
      </c>
    </row>
    <row r="9520">
      <c r="D9520" s="19">
        <f>IF(ABS(IF(ABS($E$9484)&gt;0.000000001,$E$9484,0.000000001))=0,0,IF($E$8788&lt;=$B$8772,0,IF(ABS(IF(ABS($E$9484)&gt;0.000000001,$E$9484,0.000000001))&gt;=8*$B$8774,$H$8788,0.5*$H$8788*(ABS(IF(ABS($E$9484)&gt;0.000000001,$E$9484,0.000000001))/$B$8774)^(1/3)))/ABS(IF(ABS($E$9484)&gt;0.000000001,$E$9484,0.000000001))*$I$8788)</f>
        <v/>
      </c>
      <c r="E9520" s="19">
        <f>0.5*$E$9484+0.5*$Z$9542</f>
        <v/>
      </c>
      <c r="F9520" s="19">
        <f>$Z$9543</f>
        <v/>
      </c>
    </row>
    <row r="9522">
      <c r="D9522" s="21">
        <f>$B$8763+$D$9510</f>
        <v/>
      </c>
      <c r="E9522" s="21">
        <f>$B$8764</f>
        <v/>
      </c>
      <c r="F9522" s="21">
        <f>-$B$8763</f>
        <v/>
      </c>
      <c r="G9522" s="21">
        <f>$B$8764</f>
        <v/>
      </c>
      <c r="H9522" s="21" t="n">
        <v>0</v>
      </c>
      <c r="I9522" s="21" t="n">
        <v>0</v>
      </c>
      <c r="J9522" s="21" t="n">
        <v>0</v>
      </c>
      <c r="K9522" s="21" t="n">
        <v>0</v>
      </c>
      <c r="L9522" s="21" t="n">
        <v>0</v>
      </c>
      <c r="M9522" s="21" t="n">
        <v>0</v>
      </c>
      <c r="N9522" s="21" t="n">
        <v>0</v>
      </c>
      <c r="O9522" s="21" t="n">
        <v>0</v>
      </c>
      <c r="P9522" s="21" t="n">
        <v>0</v>
      </c>
      <c r="Q9522" s="21" t="n">
        <v>0</v>
      </c>
      <c r="R9522" s="21" t="n">
        <v>0</v>
      </c>
      <c r="S9522" s="21" t="n">
        <v>0</v>
      </c>
      <c r="T9522" s="21" t="n">
        <v>0</v>
      </c>
      <c r="U9522" s="21" t="n">
        <v>0</v>
      </c>
      <c r="V9522" s="21" t="n">
        <v>0</v>
      </c>
      <c r="W9522" s="21" t="n">
        <v>0</v>
      </c>
      <c r="X9522" s="21" t="n">
        <v>0</v>
      </c>
      <c r="Y9522" s="21" t="n">
        <v>0</v>
      </c>
      <c r="Z9522" s="19">
        <f t="array" ref="Z9522:Z9543">MMULT(MINVERSE($D$9522:$Y$9543),$D$8790:$D$8811)</f>
        <v/>
      </c>
    </row>
    <row r="9523">
      <c r="D9523" s="21">
        <f>$B$8764</f>
        <v/>
      </c>
      <c r="E9523" s="21">
        <f>$B$8765</f>
        <v/>
      </c>
      <c r="F9523" s="21">
        <f>-$B$8764</f>
        <v/>
      </c>
      <c r="G9523" s="21">
        <f>$B$8766</f>
        <v/>
      </c>
      <c r="H9523" s="21" t="n">
        <v>0</v>
      </c>
      <c r="I9523" s="21" t="n">
        <v>0</v>
      </c>
      <c r="J9523" s="21" t="n">
        <v>0</v>
      </c>
      <c r="K9523" s="21" t="n">
        <v>0</v>
      </c>
      <c r="L9523" s="21" t="n">
        <v>0</v>
      </c>
      <c r="M9523" s="21" t="n">
        <v>0</v>
      </c>
      <c r="N9523" s="21" t="n">
        <v>0</v>
      </c>
      <c r="O9523" s="21" t="n">
        <v>0</v>
      </c>
      <c r="P9523" s="21" t="n">
        <v>0</v>
      </c>
      <c r="Q9523" s="21" t="n">
        <v>0</v>
      </c>
      <c r="R9523" s="21" t="n">
        <v>0</v>
      </c>
      <c r="S9523" s="21" t="n">
        <v>0</v>
      </c>
      <c r="T9523" s="21" t="n">
        <v>0</v>
      </c>
      <c r="U9523" s="21" t="n">
        <v>0</v>
      </c>
      <c r="V9523" s="21" t="n">
        <v>0</v>
      </c>
      <c r="W9523" s="21" t="n">
        <v>0</v>
      </c>
      <c r="X9523" s="21" t="n">
        <v>0</v>
      </c>
      <c r="Y9523" s="21" t="n">
        <v>0</v>
      </c>
      <c r="Z9523" s="19" t="n"/>
    </row>
    <row r="9524">
      <c r="D9524" s="21">
        <f>-$B$8763</f>
        <v/>
      </c>
      <c r="E9524" s="21">
        <f>-$B$8764</f>
        <v/>
      </c>
      <c r="F9524" s="21">
        <f>2*$B$8763+$D$9511</f>
        <v/>
      </c>
      <c r="G9524" s="21">
        <f>0</f>
        <v/>
      </c>
      <c r="H9524" s="21">
        <f>-$B$8763</f>
        <v/>
      </c>
      <c r="I9524" s="21">
        <f>$B$8764</f>
        <v/>
      </c>
      <c r="J9524" s="21" t="n">
        <v>0</v>
      </c>
      <c r="K9524" s="21" t="n">
        <v>0</v>
      </c>
      <c r="L9524" s="21" t="n">
        <v>0</v>
      </c>
      <c r="M9524" s="21" t="n">
        <v>0</v>
      </c>
      <c r="N9524" s="21" t="n">
        <v>0</v>
      </c>
      <c r="O9524" s="21" t="n">
        <v>0</v>
      </c>
      <c r="P9524" s="21" t="n">
        <v>0</v>
      </c>
      <c r="Q9524" s="21" t="n">
        <v>0</v>
      </c>
      <c r="R9524" s="21" t="n">
        <v>0</v>
      </c>
      <c r="S9524" s="21" t="n">
        <v>0</v>
      </c>
      <c r="T9524" s="21" t="n">
        <v>0</v>
      </c>
      <c r="U9524" s="21" t="n">
        <v>0</v>
      </c>
      <c r="V9524" s="21" t="n">
        <v>0</v>
      </c>
      <c r="W9524" s="21" t="n">
        <v>0</v>
      </c>
      <c r="X9524" s="21" t="n">
        <v>0</v>
      </c>
      <c r="Y9524" s="21" t="n">
        <v>0</v>
      </c>
      <c r="Z9524" s="19" t="n"/>
    </row>
    <row r="9525">
      <c r="D9525" s="21">
        <f>$B$8764</f>
        <v/>
      </c>
      <c r="E9525" s="21">
        <f>$B$8766</f>
        <v/>
      </c>
      <c r="F9525" s="21">
        <f>0</f>
        <v/>
      </c>
      <c r="G9525" s="21">
        <f>2*$B$8765</f>
        <v/>
      </c>
      <c r="H9525" s="21">
        <f>-$B$8764</f>
        <v/>
      </c>
      <c r="I9525" s="21">
        <f>$B$8766</f>
        <v/>
      </c>
      <c r="J9525" s="21" t="n">
        <v>0</v>
      </c>
      <c r="K9525" s="21" t="n">
        <v>0</v>
      </c>
      <c r="L9525" s="21" t="n">
        <v>0</v>
      </c>
      <c r="M9525" s="21" t="n">
        <v>0</v>
      </c>
      <c r="N9525" s="21" t="n">
        <v>0</v>
      </c>
      <c r="O9525" s="21" t="n">
        <v>0</v>
      </c>
      <c r="P9525" s="21" t="n">
        <v>0</v>
      </c>
      <c r="Q9525" s="21" t="n">
        <v>0</v>
      </c>
      <c r="R9525" s="21" t="n">
        <v>0</v>
      </c>
      <c r="S9525" s="21" t="n">
        <v>0</v>
      </c>
      <c r="T9525" s="21" t="n">
        <v>0</v>
      </c>
      <c r="U9525" s="21" t="n">
        <v>0</v>
      </c>
      <c r="V9525" s="21" t="n">
        <v>0</v>
      </c>
      <c r="W9525" s="21" t="n">
        <v>0</v>
      </c>
      <c r="X9525" s="21" t="n">
        <v>0</v>
      </c>
      <c r="Y9525" s="21" t="n">
        <v>0</v>
      </c>
      <c r="Z9525" s="19" t="n"/>
    </row>
    <row r="9526">
      <c r="D9526" s="21" t="n">
        <v>0</v>
      </c>
      <c r="E9526" s="21" t="n">
        <v>0</v>
      </c>
      <c r="F9526" s="21">
        <f>-$B$8763</f>
        <v/>
      </c>
      <c r="G9526" s="21">
        <f>-$B$8764</f>
        <v/>
      </c>
      <c r="H9526" s="21">
        <f>2*$B$8763+$D$9512</f>
        <v/>
      </c>
      <c r="I9526" s="21">
        <f>0</f>
        <v/>
      </c>
      <c r="J9526" s="21">
        <f>-$B$8763</f>
        <v/>
      </c>
      <c r="K9526" s="21">
        <f>$B$8764</f>
        <v/>
      </c>
      <c r="L9526" s="21" t="n">
        <v>0</v>
      </c>
      <c r="M9526" s="21" t="n">
        <v>0</v>
      </c>
      <c r="N9526" s="21" t="n">
        <v>0</v>
      </c>
      <c r="O9526" s="21" t="n">
        <v>0</v>
      </c>
      <c r="P9526" s="21" t="n">
        <v>0</v>
      </c>
      <c r="Q9526" s="21" t="n">
        <v>0</v>
      </c>
      <c r="R9526" s="21" t="n">
        <v>0</v>
      </c>
      <c r="S9526" s="21" t="n">
        <v>0</v>
      </c>
      <c r="T9526" s="21" t="n">
        <v>0</v>
      </c>
      <c r="U9526" s="21" t="n">
        <v>0</v>
      </c>
      <c r="V9526" s="21" t="n">
        <v>0</v>
      </c>
      <c r="W9526" s="21" t="n">
        <v>0</v>
      </c>
      <c r="X9526" s="21" t="n">
        <v>0</v>
      </c>
      <c r="Y9526" s="21" t="n">
        <v>0</v>
      </c>
      <c r="Z9526" s="19" t="n"/>
    </row>
    <row r="9527">
      <c r="D9527" s="21" t="n">
        <v>0</v>
      </c>
      <c r="E9527" s="21" t="n">
        <v>0</v>
      </c>
      <c r="F9527" s="21">
        <f>$B$8764</f>
        <v/>
      </c>
      <c r="G9527" s="21">
        <f>$B$8766</f>
        <v/>
      </c>
      <c r="H9527" s="21">
        <f>0</f>
        <v/>
      </c>
      <c r="I9527" s="21">
        <f>2*$B$8765</f>
        <v/>
      </c>
      <c r="J9527" s="21">
        <f>-$B$8764</f>
        <v/>
      </c>
      <c r="K9527" s="21">
        <f>$B$8766</f>
        <v/>
      </c>
      <c r="L9527" s="21" t="n">
        <v>0</v>
      </c>
      <c r="M9527" s="21" t="n">
        <v>0</v>
      </c>
      <c r="N9527" s="21" t="n">
        <v>0</v>
      </c>
      <c r="O9527" s="21" t="n">
        <v>0</v>
      </c>
      <c r="P9527" s="21" t="n">
        <v>0</v>
      </c>
      <c r="Q9527" s="21" t="n">
        <v>0</v>
      </c>
      <c r="R9527" s="21" t="n">
        <v>0</v>
      </c>
      <c r="S9527" s="21" t="n">
        <v>0</v>
      </c>
      <c r="T9527" s="21" t="n">
        <v>0</v>
      </c>
      <c r="U9527" s="21" t="n">
        <v>0</v>
      </c>
      <c r="V9527" s="21" t="n">
        <v>0</v>
      </c>
      <c r="W9527" s="21" t="n">
        <v>0</v>
      </c>
      <c r="X9527" s="21" t="n">
        <v>0</v>
      </c>
      <c r="Y9527" s="21" t="n">
        <v>0</v>
      </c>
      <c r="Z9527" s="19" t="n"/>
    </row>
    <row r="9528">
      <c r="D9528" s="21" t="n">
        <v>0</v>
      </c>
      <c r="E9528" s="21" t="n">
        <v>0</v>
      </c>
      <c r="F9528" s="21" t="n">
        <v>0</v>
      </c>
      <c r="G9528" s="21" t="n">
        <v>0</v>
      </c>
      <c r="H9528" s="21">
        <f>-$B$8763</f>
        <v/>
      </c>
      <c r="I9528" s="21">
        <f>-$B$8764</f>
        <v/>
      </c>
      <c r="J9528" s="21">
        <f>2*$B$8763+$D$9513</f>
        <v/>
      </c>
      <c r="K9528" s="21">
        <f>0</f>
        <v/>
      </c>
      <c r="L9528" s="21">
        <f>-$B$8763</f>
        <v/>
      </c>
      <c r="M9528" s="21">
        <f>$B$8764</f>
        <v/>
      </c>
      <c r="N9528" s="21" t="n">
        <v>0</v>
      </c>
      <c r="O9528" s="21" t="n">
        <v>0</v>
      </c>
      <c r="P9528" s="21" t="n">
        <v>0</v>
      </c>
      <c r="Q9528" s="21" t="n">
        <v>0</v>
      </c>
      <c r="R9528" s="21" t="n">
        <v>0</v>
      </c>
      <c r="S9528" s="21" t="n">
        <v>0</v>
      </c>
      <c r="T9528" s="21" t="n">
        <v>0</v>
      </c>
      <c r="U9528" s="21" t="n">
        <v>0</v>
      </c>
      <c r="V9528" s="21" t="n">
        <v>0</v>
      </c>
      <c r="W9528" s="21" t="n">
        <v>0</v>
      </c>
      <c r="X9528" s="21" t="n">
        <v>0</v>
      </c>
      <c r="Y9528" s="21" t="n">
        <v>0</v>
      </c>
      <c r="Z9528" s="19" t="n"/>
    </row>
    <row r="9529">
      <c r="D9529" s="21" t="n">
        <v>0</v>
      </c>
      <c r="E9529" s="21" t="n">
        <v>0</v>
      </c>
      <c r="F9529" s="21" t="n">
        <v>0</v>
      </c>
      <c r="G9529" s="21" t="n">
        <v>0</v>
      </c>
      <c r="H9529" s="21">
        <f>$B$8764</f>
        <v/>
      </c>
      <c r="I9529" s="21">
        <f>$B$8766</f>
        <v/>
      </c>
      <c r="J9529" s="21">
        <f>0</f>
        <v/>
      </c>
      <c r="K9529" s="21">
        <f>2*$B$8765</f>
        <v/>
      </c>
      <c r="L9529" s="21">
        <f>-$B$8764</f>
        <v/>
      </c>
      <c r="M9529" s="21">
        <f>$B$8766</f>
        <v/>
      </c>
      <c r="N9529" s="21" t="n">
        <v>0</v>
      </c>
      <c r="O9529" s="21" t="n">
        <v>0</v>
      </c>
      <c r="P9529" s="21" t="n">
        <v>0</v>
      </c>
      <c r="Q9529" s="21" t="n">
        <v>0</v>
      </c>
      <c r="R9529" s="21" t="n">
        <v>0</v>
      </c>
      <c r="S9529" s="21" t="n">
        <v>0</v>
      </c>
      <c r="T9529" s="21" t="n">
        <v>0</v>
      </c>
      <c r="U9529" s="21" t="n">
        <v>0</v>
      </c>
      <c r="V9529" s="21" t="n">
        <v>0</v>
      </c>
      <c r="W9529" s="21" t="n">
        <v>0</v>
      </c>
      <c r="X9529" s="21" t="n">
        <v>0</v>
      </c>
      <c r="Y9529" s="21" t="n">
        <v>0</v>
      </c>
      <c r="Z9529" s="19" t="n"/>
    </row>
    <row r="9530">
      <c r="D9530" s="21" t="n">
        <v>0</v>
      </c>
      <c r="E9530" s="21" t="n">
        <v>0</v>
      </c>
      <c r="F9530" s="21" t="n">
        <v>0</v>
      </c>
      <c r="G9530" s="21" t="n">
        <v>0</v>
      </c>
      <c r="H9530" s="21" t="n">
        <v>0</v>
      </c>
      <c r="I9530" s="21" t="n">
        <v>0</v>
      </c>
      <c r="J9530" s="21">
        <f>-$B$8763</f>
        <v/>
      </c>
      <c r="K9530" s="21">
        <f>-$B$8764</f>
        <v/>
      </c>
      <c r="L9530" s="21">
        <f>2*$B$8763+$D$9514</f>
        <v/>
      </c>
      <c r="M9530" s="21">
        <f>0</f>
        <v/>
      </c>
      <c r="N9530" s="21">
        <f>-$B$8763</f>
        <v/>
      </c>
      <c r="O9530" s="21">
        <f>$B$8764</f>
        <v/>
      </c>
      <c r="P9530" s="21" t="n">
        <v>0</v>
      </c>
      <c r="Q9530" s="21" t="n">
        <v>0</v>
      </c>
      <c r="R9530" s="21" t="n">
        <v>0</v>
      </c>
      <c r="S9530" s="21" t="n">
        <v>0</v>
      </c>
      <c r="T9530" s="21" t="n">
        <v>0</v>
      </c>
      <c r="U9530" s="21" t="n">
        <v>0</v>
      </c>
      <c r="V9530" s="21" t="n">
        <v>0</v>
      </c>
      <c r="W9530" s="21" t="n">
        <v>0</v>
      </c>
      <c r="X9530" s="21" t="n">
        <v>0</v>
      </c>
      <c r="Y9530" s="21" t="n">
        <v>0</v>
      </c>
      <c r="Z9530" s="19" t="n"/>
    </row>
    <row r="9531">
      <c r="D9531" s="21" t="n">
        <v>0</v>
      </c>
      <c r="E9531" s="21" t="n">
        <v>0</v>
      </c>
      <c r="F9531" s="21" t="n">
        <v>0</v>
      </c>
      <c r="G9531" s="21" t="n">
        <v>0</v>
      </c>
      <c r="H9531" s="21" t="n">
        <v>0</v>
      </c>
      <c r="I9531" s="21" t="n">
        <v>0</v>
      </c>
      <c r="J9531" s="21">
        <f>$B$8764</f>
        <v/>
      </c>
      <c r="K9531" s="21">
        <f>$B$8766</f>
        <v/>
      </c>
      <c r="L9531" s="21">
        <f>0</f>
        <v/>
      </c>
      <c r="M9531" s="21">
        <f>2*$B$8765</f>
        <v/>
      </c>
      <c r="N9531" s="21">
        <f>-$B$8764</f>
        <v/>
      </c>
      <c r="O9531" s="21">
        <f>$B$8766</f>
        <v/>
      </c>
      <c r="P9531" s="21" t="n">
        <v>0</v>
      </c>
      <c r="Q9531" s="21" t="n">
        <v>0</v>
      </c>
      <c r="R9531" s="21" t="n">
        <v>0</v>
      </c>
      <c r="S9531" s="21" t="n">
        <v>0</v>
      </c>
      <c r="T9531" s="21" t="n">
        <v>0</v>
      </c>
      <c r="U9531" s="21" t="n">
        <v>0</v>
      </c>
      <c r="V9531" s="21" t="n">
        <v>0</v>
      </c>
      <c r="W9531" s="21" t="n">
        <v>0</v>
      </c>
      <c r="X9531" s="21" t="n">
        <v>0</v>
      </c>
      <c r="Y9531" s="21" t="n">
        <v>0</v>
      </c>
      <c r="Z9531" s="19" t="n"/>
    </row>
    <row r="9532">
      <c r="D9532" s="21" t="n">
        <v>0</v>
      </c>
      <c r="E9532" s="21" t="n">
        <v>0</v>
      </c>
      <c r="F9532" s="21" t="n">
        <v>0</v>
      </c>
      <c r="G9532" s="21" t="n">
        <v>0</v>
      </c>
      <c r="H9532" s="21" t="n">
        <v>0</v>
      </c>
      <c r="I9532" s="21" t="n">
        <v>0</v>
      </c>
      <c r="J9532" s="21" t="n">
        <v>0</v>
      </c>
      <c r="K9532" s="21" t="n">
        <v>0</v>
      </c>
      <c r="L9532" s="21">
        <f>-$B$8763</f>
        <v/>
      </c>
      <c r="M9532" s="21">
        <f>-$B$8764</f>
        <v/>
      </c>
      <c r="N9532" s="21">
        <f>2*$B$8763+$D$9515</f>
        <v/>
      </c>
      <c r="O9532" s="21">
        <f>0</f>
        <v/>
      </c>
      <c r="P9532" s="21">
        <f>-$B$8763</f>
        <v/>
      </c>
      <c r="Q9532" s="21">
        <f>$B$8764</f>
        <v/>
      </c>
      <c r="R9532" s="21" t="n">
        <v>0</v>
      </c>
      <c r="S9532" s="21" t="n">
        <v>0</v>
      </c>
      <c r="T9532" s="21" t="n">
        <v>0</v>
      </c>
      <c r="U9532" s="21" t="n">
        <v>0</v>
      </c>
      <c r="V9532" s="21" t="n">
        <v>0</v>
      </c>
      <c r="W9532" s="21" t="n">
        <v>0</v>
      </c>
      <c r="X9532" s="21" t="n">
        <v>0</v>
      </c>
      <c r="Y9532" s="21" t="n">
        <v>0</v>
      </c>
      <c r="Z9532" s="19" t="n"/>
    </row>
    <row r="9533">
      <c r="D9533" s="21" t="n">
        <v>0</v>
      </c>
      <c r="E9533" s="21" t="n">
        <v>0</v>
      </c>
      <c r="F9533" s="21" t="n">
        <v>0</v>
      </c>
      <c r="G9533" s="21" t="n">
        <v>0</v>
      </c>
      <c r="H9533" s="21" t="n">
        <v>0</v>
      </c>
      <c r="I9533" s="21" t="n">
        <v>0</v>
      </c>
      <c r="J9533" s="21" t="n">
        <v>0</v>
      </c>
      <c r="K9533" s="21" t="n">
        <v>0</v>
      </c>
      <c r="L9533" s="21">
        <f>$B$8764</f>
        <v/>
      </c>
      <c r="M9533" s="21">
        <f>$B$8766</f>
        <v/>
      </c>
      <c r="N9533" s="21">
        <f>0</f>
        <v/>
      </c>
      <c r="O9533" s="21">
        <f>2*$B$8765</f>
        <v/>
      </c>
      <c r="P9533" s="21">
        <f>-$B$8764</f>
        <v/>
      </c>
      <c r="Q9533" s="21">
        <f>$B$8766</f>
        <v/>
      </c>
      <c r="R9533" s="21" t="n">
        <v>0</v>
      </c>
      <c r="S9533" s="21" t="n">
        <v>0</v>
      </c>
      <c r="T9533" s="21" t="n">
        <v>0</v>
      </c>
      <c r="U9533" s="21" t="n">
        <v>0</v>
      </c>
      <c r="V9533" s="21" t="n">
        <v>0</v>
      </c>
      <c r="W9533" s="21" t="n">
        <v>0</v>
      </c>
      <c r="X9533" s="21" t="n">
        <v>0</v>
      </c>
      <c r="Y9533" s="21" t="n">
        <v>0</v>
      </c>
      <c r="Z9533" s="19" t="n"/>
    </row>
    <row r="9534">
      <c r="D9534" s="21" t="n">
        <v>0</v>
      </c>
      <c r="E9534" s="21" t="n">
        <v>0</v>
      </c>
      <c r="F9534" s="21" t="n">
        <v>0</v>
      </c>
      <c r="G9534" s="21" t="n">
        <v>0</v>
      </c>
      <c r="H9534" s="21" t="n">
        <v>0</v>
      </c>
      <c r="I9534" s="21" t="n">
        <v>0</v>
      </c>
      <c r="J9534" s="21" t="n">
        <v>0</v>
      </c>
      <c r="K9534" s="21" t="n">
        <v>0</v>
      </c>
      <c r="L9534" s="21" t="n">
        <v>0</v>
      </c>
      <c r="M9534" s="21" t="n">
        <v>0</v>
      </c>
      <c r="N9534" s="21">
        <f>-$B$8763</f>
        <v/>
      </c>
      <c r="O9534" s="21">
        <f>-$B$8764</f>
        <v/>
      </c>
      <c r="P9534" s="21">
        <f>2*$B$8763+$D$9516</f>
        <v/>
      </c>
      <c r="Q9534" s="21">
        <f>0</f>
        <v/>
      </c>
      <c r="R9534" s="21">
        <f>-$B$8763</f>
        <v/>
      </c>
      <c r="S9534" s="21">
        <f>$B$8764</f>
        <v/>
      </c>
      <c r="T9534" s="21" t="n">
        <v>0</v>
      </c>
      <c r="U9534" s="21" t="n">
        <v>0</v>
      </c>
      <c r="V9534" s="21" t="n">
        <v>0</v>
      </c>
      <c r="W9534" s="21" t="n">
        <v>0</v>
      </c>
      <c r="X9534" s="21" t="n">
        <v>0</v>
      </c>
      <c r="Y9534" s="21" t="n">
        <v>0</v>
      </c>
      <c r="Z9534" s="19" t="n"/>
    </row>
    <row r="9535">
      <c r="D9535" s="21" t="n">
        <v>0</v>
      </c>
      <c r="E9535" s="21" t="n">
        <v>0</v>
      </c>
      <c r="F9535" s="21" t="n">
        <v>0</v>
      </c>
      <c r="G9535" s="21" t="n">
        <v>0</v>
      </c>
      <c r="H9535" s="21" t="n">
        <v>0</v>
      </c>
      <c r="I9535" s="21" t="n">
        <v>0</v>
      </c>
      <c r="J9535" s="21" t="n">
        <v>0</v>
      </c>
      <c r="K9535" s="21" t="n">
        <v>0</v>
      </c>
      <c r="L9535" s="21" t="n">
        <v>0</v>
      </c>
      <c r="M9535" s="21" t="n">
        <v>0</v>
      </c>
      <c r="N9535" s="21">
        <f>$B$8764</f>
        <v/>
      </c>
      <c r="O9535" s="21">
        <f>$B$8766</f>
        <v/>
      </c>
      <c r="P9535" s="21">
        <f>0</f>
        <v/>
      </c>
      <c r="Q9535" s="21">
        <f>2*$B$8765</f>
        <v/>
      </c>
      <c r="R9535" s="21">
        <f>-$B$8764</f>
        <v/>
      </c>
      <c r="S9535" s="21">
        <f>$B$8766</f>
        <v/>
      </c>
      <c r="T9535" s="21" t="n">
        <v>0</v>
      </c>
      <c r="U9535" s="21" t="n">
        <v>0</v>
      </c>
      <c r="V9535" s="21" t="n">
        <v>0</v>
      </c>
      <c r="W9535" s="21" t="n">
        <v>0</v>
      </c>
      <c r="X9535" s="21" t="n">
        <v>0</v>
      </c>
      <c r="Y9535" s="21" t="n">
        <v>0</v>
      </c>
      <c r="Z9535" s="19" t="n"/>
    </row>
    <row r="9536">
      <c r="D9536" s="21" t="n">
        <v>0</v>
      </c>
      <c r="E9536" s="21" t="n">
        <v>0</v>
      </c>
      <c r="F9536" s="21" t="n">
        <v>0</v>
      </c>
      <c r="G9536" s="21" t="n">
        <v>0</v>
      </c>
      <c r="H9536" s="21" t="n">
        <v>0</v>
      </c>
      <c r="I9536" s="21" t="n">
        <v>0</v>
      </c>
      <c r="J9536" s="21" t="n">
        <v>0</v>
      </c>
      <c r="K9536" s="21" t="n">
        <v>0</v>
      </c>
      <c r="L9536" s="21" t="n">
        <v>0</v>
      </c>
      <c r="M9536" s="21" t="n">
        <v>0</v>
      </c>
      <c r="N9536" s="21" t="n">
        <v>0</v>
      </c>
      <c r="O9536" s="21" t="n">
        <v>0</v>
      </c>
      <c r="P9536" s="21">
        <f>-$B$8763</f>
        <v/>
      </c>
      <c r="Q9536" s="21">
        <f>-$B$8764</f>
        <v/>
      </c>
      <c r="R9536" s="21">
        <f>2*$B$8763+$D$9517</f>
        <v/>
      </c>
      <c r="S9536" s="21">
        <f>0</f>
        <v/>
      </c>
      <c r="T9536" s="21">
        <f>-$B$8763</f>
        <v/>
      </c>
      <c r="U9536" s="21">
        <f>$B$8764</f>
        <v/>
      </c>
      <c r="V9536" s="21" t="n">
        <v>0</v>
      </c>
      <c r="W9536" s="21" t="n">
        <v>0</v>
      </c>
      <c r="X9536" s="21" t="n">
        <v>0</v>
      </c>
      <c r="Y9536" s="21" t="n">
        <v>0</v>
      </c>
      <c r="Z9536" s="19" t="n"/>
    </row>
    <row r="9537">
      <c r="D9537" s="21" t="n">
        <v>0</v>
      </c>
      <c r="E9537" s="21" t="n">
        <v>0</v>
      </c>
      <c r="F9537" s="21" t="n">
        <v>0</v>
      </c>
      <c r="G9537" s="21" t="n">
        <v>0</v>
      </c>
      <c r="H9537" s="21" t="n">
        <v>0</v>
      </c>
      <c r="I9537" s="21" t="n">
        <v>0</v>
      </c>
      <c r="J9537" s="21" t="n">
        <v>0</v>
      </c>
      <c r="K9537" s="21" t="n">
        <v>0</v>
      </c>
      <c r="L9537" s="21" t="n">
        <v>0</v>
      </c>
      <c r="M9537" s="21" t="n">
        <v>0</v>
      </c>
      <c r="N9537" s="21" t="n">
        <v>0</v>
      </c>
      <c r="O9537" s="21" t="n">
        <v>0</v>
      </c>
      <c r="P9537" s="21">
        <f>$B$8764</f>
        <v/>
      </c>
      <c r="Q9537" s="21">
        <f>$B$8766</f>
        <v/>
      </c>
      <c r="R9537" s="21">
        <f>0</f>
        <v/>
      </c>
      <c r="S9537" s="21">
        <f>2*$B$8765</f>
        <v/>
      </c>
      <c r="T9537" s="21">
        <f>-$B$8764</f>
        <v/>
      </c>
      <c r="U9537" s="21">
        <f>$B$8766</f>
        <v/>
      </c>
      <c r="V9537" s="21" t="n">
        <v>0</v>
      </c>
      <c r="W9537" s="21" t="n">
        <v>0</v>
      </c>
      <c r="X9537" s="21" t="n">
        <v>0</v>
      </c>
      <c r="Y9537" s="21" t="n">
        <v>0</v>
      </c>
      <c r="Z9537" s="19" t="n"/>
    </row>
    <row r="9538">
      <c r="D9538" s="21" t="n">
        <v>0</v>
      </c>
      <c r="E9538" s="21" t="n">
        <v>0</v>
      </c>
      <c r="F9538" s="21" t="n">
        <v>0</v>
      </c>
      <c r="G9538" s="21" t="n">
        <v>0</v>
      </c>
      <c r="H9538" s="21" t="n">
        <v>0</v>
      </c>
      <c r="I9538" s="21" t="n">
        <v>0</v>
      </c>
      <c r="J9538" s="21" t="n">
        <v>0</v>
      </c>
      <c r="K9538" s="21" t="n">
        <v>0</v>
      </c>
      <c r="L9538" s="21" t="n">
        <v>0</v>
      </c>
      <c r="M9538" s="21" t="n">
        <v>0</v>
      </c>
      <c r="N9538" s="21" t="n">
        <v>0</v>
      </c>
      <c r="O9538" s="21" t="n">
        <v>0</v>
      </c>
      <c r="P9538" s="21" t="n">
        <v>0</v>
      </c>
      <c r="Q9538" s="21" t="n">
        <v>0</v>
      </c>
      <c r="R9538" s="21">
        <f>-$B$8763</f>
        <v/>
      </c>
      <c r="S9538" s="21">
        <f>-$B$8764</f>
        <v/>
      </c>
      <c r="T9538" s="21">
        <f>2*$B$8763+$D$9518</f>
        <v/>
      </c>
      <c r="U9538" s="21">
        <f>0</f>
        <v/>
      </c>
      <c r="V9538" s="21">
        <f>-$B$8763</f>
        <v/>
      </c>
      <c r="W9538" s="21">
        <f>$B$8764</f>
        <v/>
      </c>
      <c r="X9538" s="21" t="n">
        <v>0</v>
      </c>
      <c r="Y9538" s="21" t="n">
        <v>0</v>
      </c>
      <c r="Z9538" s="19" t="n"/>
    </row>
    <row r="9539">
      <c r="D9539" s="21" t="n">
        <v>0</v>
      </c>
      <c r="E9539" s="21" t="n">
        <v>0</v>
      </c>
      <c r="F9539" s="21" t="n">
        <v>0</v>
      </c>
      <c r="G9539" s="21" t="n">
        <v>0</v>
      </c>
      <c r="H9539" s="21" t="n">
        <v>0</v>
      </c>
      <c r="I9539" s="21" t="n">
        <v>0</v>
      </c>
      <c r="J9539" s="21" t="n">
        <v>0</v>
      </c>
      <c r="K9539" s="21" t="n">
        <v>0</v>
      </c>
      <c r="L9539" s="21" t="n">
        <v>0</v>
      </c>
      <c r="M9539" s="21" t="n">
        <v>0</v>
      </c>
      <c r="N9539" s="21" t="n">
        <v>0</v>
      </c>
      <c r="O9539" s="21" t="n">
        <v>0</v>
      </c>
      <c r="P9539" s="21" t="n">
        <v>0</v>
      </c>
      <c r="Q9539" s="21" t="n">
        <v>0</v>
      </c>
      <c r="R9539" s="21">
        <f>$B$8764</f>
        <v/>
      </c>
      <c r="S9539" s="21">
        <f>$B$8766</f>
        <v/>
      </c>
      <c r="T9539" s="21">
        <f>0</f>
        <v/>
      </c>
      <c r="U9539" s="21">
        <f>2*$B$8765</f>
        <v/>
      </c>
      <c r="V9539" s="21">
        <f>-$B$8764</f>
        <v/>
      </c>
      <c r="W9539" s="21">
        <f>$B$8766</f>
        <v/>
      </c>
      <c r="X9539" s="21" t="n">
        <v>0</v>
      </c>
      <c r="Y9539" s="21" t="n">
        <v>0</v>
      </c>
      <c r="Z9539" s="19" t="n"/>
    </row>
    <row r="9540">
      <c r="D9540" s="21" t="n">
        <v>0</v>
      </c>
      <c r="E9540" s="21" t="n">
        <v>0</v>
      </c>
      <c r="F9540" s="21" t="n">
        <v>0</v>
      </c>
      <c r="G9540" s="21" t="n">
        <v>0</v>
      </c>
      <c r="H9540" s="21" t="n">
        <v>0</v>
      </c>
      <c r="I9540" s="21" t="n">
        <v>0</v>
      </c>
      <c r="J9540" s="21" t="n">
        <v>0</v>
      </c>
      <c r="K9540" s="21" t="n">
        <v>0</v>
      </c>
      <c r="L9540" s="21" t="n">
        <v>0</v>
      </c>
      <c r="M9540" s="21" t="n">
        <v>0</v>
      </c>
      <c r="N9540" s="21" t="n">
        <v>0</v>
      </c>
      <c r="O9540" s="21" t="n">
        <v>0</v>
      </c>
      <c r="P9540" s="21" t="n">
        <v>0</v>
      </c>
      <c r="Q9540" s="21" t="n">
        <v>0</v>
      </c>
      <c r="R9540" s="21" t="n">
        <v>0</v>
      </c>
      <c r="S9540" s="21" t="n">
        <v>0</v>
      </c>
      <c r="T9540" s="21">
        <f>-$B$8763</f>
        <v/>
      </c>
      <c r="U9540" s="21">
        <f>-$B$8764</f>
        <v/>
      </c>
      <c r="V9540" s="21">
        <f>2*$B$8763+$D$9519</f>
        <v/>
      </c>
      <c r="W9540" s="21">
        <f>0</f>
        <v/>
      </c>
      <c r="X9540" s="21">
        <f>-$B$8763</f>
        <v/>
      </c>
      <c r="Y9540" s="21">
        <f>$B$8764</f>
        <v/>
      </c>
      <c r="Z9540" s="19" t="n"/>
    </row>
    <row r="9541">
      <c r="D9541" s="21" t="n">
        <v>0</v>
      </c>
      <c r="E9541" s="21" t="n">
        <v>0</v>
      </c>
      <c r="F9541" s="21" t="n">
        <v>0</v>
      </c>
      <c r="G9541" s="21" t="n">
        <v>0</v>
      </c>
      <c r="H9541" s="21" t="n">
        <v>0</v>
      </c>
      <c r="I9541" s="21" t="n">
        <v>0</v>
      </c>
      <c r="J9541" s="21" t="n">
        <v>0</v>
      </c>
      <c r="K9541" s="21" t="n">
        <v>0</v>
      </c>
      <c r="L9541" s="21" t="n">
        <v>0</v>
      </c>
      <c r="M9541" s="21" t="n">
        <v>0</v>
      </c>
      <c r="N9541" s="21" t="n">
        <v>0</v>
      </c>
      <c r="O9541" s="21" t="n">
        <v>0</v>
      </c>
      <c r="P9541" s="21" t="n">
        <v>0</v>
      </c>
      <c r="Q9541" s="21" t="n">
        <v>0</v>
      </c>
      <c r="R9541" s="21" t="n">
        <v>0</v>
      </c>
      <c r="S9541" s="21" t="n">
        <v>0</v>
      </c>
      <c r="T9541" s="21">
        <f>$B$8764</f>
        <v/>
      </c>
      <c r="U9541" s="21">
        <f>$B$8766</f>
        <v/>
      </c>
      <c r="V9541" s="21">
        <f>0</f>
        <v/>
      </c>
      <c r="W9541" s="21">
        <f>2*$B$8765</f>
        <v/>
      </c>
      <c r="X9541" s="21">
        <f>-$B$8764</f>
        <v/>
      </c>
      <c r="Y9541" s="21">
        <f>$B$8766</f>
        <v/>
      </c>
      <c r="Z9541" s="19" t="n"/>
    </row>
    <row r="9542">
      <c r="D9542" s="21" t="n">
        <v>0</v>
      </c>
      <c r="E9542" s="21" t="n">
        <v>0</v>
      </c>
      <c r="F9542" s="21" t="n">
        <v>0</v>
      </c>
      <c r="G9542" s="21" t="n">
        <v>0</v>
      </c>
      <c r="H9542" s="21" t="n">
        <v>0</v>
      </c>
      <c r="I9542" s="21" t="n">
        <v>0</v>
      </c>
      <c r="J9542" s="21" t="n">
        <v>0</v>
      </c>
      <c r="K9542" s="21" t="n">
        <v>0</v>
      </c>
      <c r="L9542" s="21" t="n">
        <v>0</v>
      </c>
      <c r="M9542" s="21" t="n">
        <v>0</v>
      </c>
      <c r="N9542" s="21" t="n">
        <v>0</v>
      </c>
      <c r="O9542" s="21" t="n">
        <v>0</v>
      </c>
      <c r="P9542" s="21" t="n">
        <v>0</v>
      </c>
      <c r="Q9542" s="21" t="n">
        <v>0</v>
      </c>
      <c r="R9542" s="21" t="n">
        <v>0</v>
      </c>
      <c r="S9542" s="21" t="n">
        <v>0</v>
      </c>
      <c r="T9542" s="21" t="n">
        <v>0</v>
      </c>
      <c r="U9542" s="21" t="n">
        <v>0</v>
      </c>
      <c r="V9542" s="21">
        <f>-$B$8763</f>
        <v/>
      </c>
      <c r="W9542" s="21">
        <f>-$B$8764</f>
        <v/>
      </c>
      <c r="X9542" s="21">
        <f>$B$8763+$D$9520</f>
        <v/>
      </c>
      <c r="Y9542" s="21">
        <f>-$B$8764</f>
        <v/>
      </c>
      <c r="Z9542" s="19" t="n"/>
    </row>
    <row r="9543">
      <c r="D9543" s="21" t="n">
        <v>0</v>
      </c>
      <c r="E9543" s="21" t="n">
        <v>0</v>
      </c>
      <c r="F9543" s="21" t="n">
        <v>0</v>
      </c>
      <c r="G9543" s="21" t="n">
        <v>0</v>
      </c>
      <c r="H9543" s="21" t="n">
        <v>0</v>
      </c>
      <c r="I9543" s="21" t="n">
        <v>0</v>
      </c>
      <c r="J9543" s="21" t="n">
        <v>0</v>
      </c>
      <c r="K9543" s="21" t="n">
        <v>0</v>
      </c>
      <c r="L9543" s="21" t="n">
        <v>0</v>
      </c>
      <c r="M9543" s="21" t="n">
        <v>0</v>
      </c>
      <c r="N9543" s="21" t="n">
        <v>0</v>
      </c>
      <c r="O9543" s="21" t="n">
        <v>0</v>
      </c>
      <c r="P9543" s="21" t="n">
        <v>0</v>
      </c>
      <c r="Q9543" s="21" t="n">
        <v>0</v>
      </c>
      <c r="R9543" s="21" t="n">
        <v>0</v>
      </c>
      <c r="S9543" s="21" t="n">
        <v>0</v>
      </c>
      <c r="T9543" s="21" t="n">
        <v>0</v>
      </c>
      <c r="U9543" s="21" t="n">
        <v>0</v>
      </c>
      <c r="V9543" s="21">
        <f>$B$8764</f>
        <v/>
      </c>
      <c r="W9543" s="21">
        <f>$B$8766</f>
        <v/>
      </c>
      <c r="X9543" s="21">
        <f>-$B$8764</f>
        <v/>
      </c>
      <c r="Y9543" s="21">
        <f>$B$8765</f>
        <v/>
      </c>
      <c r="Z9543" s="19" t="n"/>
    </row>
    <row r="9545">
      <c r="A9545" s="8" t="inlineStr">
        <is>
          <t>gen 21</t>
        </is>
      </c>
    </row>
    <row r="9546">
      <c r="D9546" s="19">
        <f>IF(ABS(IF(ABS($E$9510)&gt;0.000000001,$E$9510,0.000000001))=0,0,IF($E$8778&lt;=$B$8772,0,IF(ABS(IF(ABS($E$9510)&gt;0.000000001,$E$9510,0.000000001))&gt;=8*$B$8774,$H$8778,0.5*$H$8778*(ABS(IF(ABS($E$9510)&gt;0.000000001,$E$9510,0.000000001))/$B$8774)^(1/3)))/ABS(IF(ABS($E$9510)&gt;0.000000001,$E$9510,0.000000001))*$I$8778)</f>
        <v/>
      </c>
      <c r="E9546" s="19">
        <f>0.5*$E$9510+0.5*$Z$9558</f>
        <v/>
      </c>
      <c r="F9546" s="19">
        <f>$Z$9559</f>
        <v/>
      </c>
    </row>
    <row r="9547">
      <c r="D9547" s="19">
        <f>IF(ABS(IF(ABS($E$9511)&gt;0.000000001,$E$9511,0.000000001))=0,0,IF($E$8779&lt;=$B$8772,0,IF(ABS(IF(ABS($E$9511)&gt;0.000000001,$E$9511,0.000000001))&gt;=8*$B$8774,$H$8779,0.5*$H$8779*(ABS(IF(ABS($E$9511)&gt;0.000000001,$E$9511,0.000000001))/$B$8774)^(1/3)))/ABS(IF(ABS($E$9511)&gt;0.000000001,$E$9511,0.000000001))*$I$8779)</f>
        <v/>
      </c>
      <c r="E9547" s="19">
        <f>0.5*$E$9511+0.5*$Z$9560</f>
        <v/>
      </c>
      <c r="F9547" s="19">
        <f>$Z$9561</f>
        <v/>
      </c>
    </row>
    <row r="9548">
      <c r="D9548" s="19">
        <f>IF(ABS(IF(ABS($E$9512)&gt;0.000000001,$E$9512,0.000000001))=0,0,IF($E$8780&lt;=$B$8772,0,IF(ABS(IF(ABS($E$9512)&gt;0.000000001,$E$9512,0.000000001))&gt;=8*$B$8774,$H$8780,0.5*$H$8780*(ABS(IF(ABS($E$9512)&gt;0.000000001,$E$9512,0.000000001))/$B$8774)^(1/3)))/ABS(IF(ABS($E$9512)&gt;0.000000001,$E$9512,0.000000001))*$I$8780)</f>
        <v/>
      </c>
      <c r="E9548" s="19">
        <f>0.5*$E$9512+0.5*$Z$9562</f>
        <v/>
      </c>
      <c r="F9548" s="19">
        <f>$Z$9563</f>
        <v/>
      </c>
    </row>
    <row r="9549">
      <c r="D9549" s="19">
        <f>IF(ABS(IF(ABS($E$9513)&gt;0.000000001,$E$9513,0.000000001))=0,0,IF($E$8781&lt;=$B$8772,0,IF(ABS(IF(ABS($E$9513)&gt;0.000000001,$E$9513,0.000000001))&gt;=8*$B$8774,$H$8781,0.5*$H$8781*(ABS(IF(ABS($E$9513)&gt;0.000000001,$E$9513,0.000000001))/$B$8774)^(1/3)))/ABS(IF(ABS($E$9513)&gt;0.000000001,$E$9513,0.000000001))*$I$8781)</f>
        <v/>
      </c>
      <c r="E9549" s="19">
        <f>0.5*$E$9513+0.5*$Z$9564</f>
        <v/>
      </c>
      <c r="F9549" s="19">
        <f>$Z$9565</f>
        <v/>
      </c>
    </row>
    <row r="9550">
      <c r="D9550" s="19">
        <f>IF(ABS(IF(ABS($E$9514)&gt;0.000000001,$E$9514,0.000000001))=0,0,IF($E$8782&lt;=$B$8772,0,IF(ABS(IF(ABS($E$9514)&gt;0.000000001,$E$9514,0.000000001))&gt;=8*$B$8774,$H$8782,0.5*$H$8782*(ABS(IF(ABS($E$9514)&gt;0.000000001,$E$9514,0.000000001))/$B$8774)^(1/3)))/ABS(IF(ABS($E$9514)&gt;0.000000001,$E$9514,0.000000001))*$I$8782)</f>
        <v/>
      </c>
      <c r="E9550" s="19">
        <f>0.5*$E$9514+0.5*$Z$9566</f>
        <v/>
      </c>
      <c r="F9550" s="19">
        <f>$Z$9567</f>
        <v/>
      </c>
    </row>
    <row r="9551">
      <c r="D9551" s="19">
        <f>IF(ABS(IF(ABS($E$9515)&gt;0.000000001,$E$9515,0.000000001))=0,0,IF($E$8783&lt;=$B$8772,0,IF(ABS(IF(ABS($E$9515)&gt;0.000000001,$E$9515,0.000000001))&gt;=8*$B$8774,$H$8783,0.5*$H$8783*(ABS(IF(ABS($E$9515)&gt;0.000000001,$E$9515,0.000000001))/$B$8774)^(1/3)))/ABS(IF(ABS($E$9515)&gt;0.000000001,$E$9515,0.000000001))*$I$8783)</f>
        <v/>
      </c>
      <c r="E9551" s="19">
        <f>0.5*$E$9515+0.5*$Z$9568</f>
        <v/>
      </c>
      <c r="F9551" s="19">
        <f>$Z$9569</f>
        <v/>
      </c>
    </row>
    <row r="9552">
      <c r="D9552" s="19">
        <f>IF(ABS(IF(ABS($E$9516)&gt;0.000000001,$E$9516,0.000000001))=0,0,IF($E$8784&lt;=$B$8772,0,IF(ABS(IF(ABS($E$9516)&gt;0.000000001,$E$9516,0.000000001))&gt;=8*$B$8774,$H$8784,0.5*$H$8784*(ABS(IF(ABS($E$9516)&gt;0.000000001,$E$9516,0.000000001))/$B$8774)^(1/3)))/ABS(IF(ABS($E$9516)&gt;0.000000001,$E$9516,0.000000001))*$I$8784)</f>
        <v/>
      </c>
      <c r="E9552" s="19">
        <f>0.5*$E$9516+0.5*$Z$9570</f>
        <v/>
      </c>
      <c r="F9552" s="19">
        <f>$Z$9571</f>
        <v/>
      </c>
    </row>
    <row r="9553">
      <c r="D9553" s="19">
        <f>IF(ABS(IF(ABS($E$9517)&gt;0.000000001,$E$9517,0.000000001))=0,0,IF($E$8785&lt;=$B$8772,0,IF(ABS(IF(ABS($E$9517)&gt;0.000000001,$E$9517,0.000000001))&gt;=8*$B$8774,$H$8785,0.5*$H$8785*(ABS(IF(ABS($E$9517)&gt;0.000000001,$E$9517,0.000000001))/$B$8774)^(1/3)))/ABS(IF(ABS($E$9517)&gt;0.000000001,$E$9517,0.000000001))*$I$8785)</f>
        <v/>
      </c>
      <c r="E9553" s="19">
        <f>0.5*$E$9517+0.5*$Z$9572</f>
        <v/>
      </c>
      <c r="F9553" s="19">
        <f>$Z$9573</f>
        <v/>
      </c>
    </row>
    <row r="9554">
      <c r="D9554" s="19">
        <f>IF(ABS(IF(ABS($E$9518)&gt;0.000000001,$E$9518,0.000000001))=0,0,IF($E$8786&lt;=$B$8772,0,IF(ABS(IF(ABS($E$9518)&gt;0.000000001,$E$9518,0.000000001))&gt;=8*$B$8774,$H$8786,0.5*$H$8786*(ABS(IF(ABS($E$9518)&gt;0.000000001,$E$9518,0.000000001))/$B$8774)^(1/3)))/ABS(IF(ABS($E$9518)&gt;0.000000001,$E$9518,0.000000001))*$I$8786)</f>
        <v/>
      </c>
      <c r="E9554" s="19">
        <f>0.5*$E$9518+0.5*$Z$9574</f>
        <v/>
      </c>
      <c r="F9554" s="19">
        <f>$Z$9575</f>
        <v/>
      </c>
    </row>
    <row r="9555">
      <c r="D9555" s="19">
        <f>IF(ABS(IF(ABS($E$9519)&gt;0.000000001,$E$9519,0.000000001))=0,0,IF($E$8787&lt;=$B$8772,0,IF(ABS(IF(ABS($E$9519)&gt;0.000000001,$E$9519,0.000000001))&gt;=8*$B$8774,$H$8787,0.5*$H$8787*(ABS(IF(ABS($E$9519)&gt;0.000000001,$E$9519,0.000000001))/$B$8774)^(1/3)))/ABS(IF(ABS($E$9519)&gt;0.000000001,$E$9519,0.000000001))*$I$8787)</f>
        <v/>
      </c>
      <c r="E9555" s="19">
        <f>0.5*$E$9519+0.5*$Z$9576</f>
        <v/>
      </c>
      <c r="F9555" s="19">
        <f>$Z$9577</f>
        <v/>
      </c>
    </row>
    <row r="9556">
      <c r="D9556" s="19">
        <f>IF(ABS(IF(ABS($E$9520)&gt;0.000000001,$E$9520,0.000000001))=0,0,IF($E$8788&lt;=$B$8772,0,IF(ABS(IF(ABS($E$9520)&gt;0.000000001,$E$9520,0.000000001))&gt;=8*$B$8774,$H$8788,0.5*$H$8788*(ABS(IF(ABS($E$9520)&gt;0.000000001,$E$9520,0.000000001))/$B$8774)^(1/3)))/ABS(IF(ABS($E$9520)&gt;0.000000001,$E$9520,0.000000001))*$I$8788)</f>
        <v/>
      </c>
      <c r="E9556" s="19">
        <f>0.5*$E$9520+0.5*$Z$9578</f>
        <v/>
      </c>
      <c r="F9556" s="19">
        <f>$Z$9579</f>
        <v/>
      </c>
    </row>
    <row r="9558">
      <c r="D9558" s="21">
        <f>$B$8763+$D$9546</f>
        <v/>
      </c>
      <c r="E9558" s="21">
        <f>$B$8764</f>
        <v/>
      </c>
      <c r="F9558" s="21">
        <f>-$B$8763</f>
        <v/>
      </c>
      <c r="G9558" s="21">
        <f>$B$8764</f>
        <v/>
      </c>
      <c r="H9558" s="21" t="n">
        <v>0</v>
      </c>
      <c r="I9558" s="21" t="n">
        <v>0</v>
      </c>
      <c r="J9558" s="21" t="n">
        <v>0</v>
      </c>
      <c r="K9558" s="21" t="n">
        <v>0</v>
      </c>
      <c r="L9558" s="21" t="n">
        <v>0</v>
      </c>
      <c r="M9558" s="21" t="n">
        <v>0</v>
      </c>
      <c r="N9558" s="21" t="n">
        <v>0</v>
      </c>
      <c r="O9558" s="21" t="n">
        <v>0</v>
      </c>
      <c r="P9558" s="21" t="n">
        <v>0</v>
      </c>
      <c r="Q9558" s="21" t="n">
        <v>0</v>
      </c>
      <c r="R9558" s="21" t="n">
        <v>0</v>
      </c>
      <c r="S9558" s="21" t="n">
        <v>0</v>
      </c>
      <c r="T9558" s="21" t="n">
        <v>0</v>
      </c>
      <c r="U9558" s="21" t="n">
        <v>0</v>
      </c>
      <c r="V9558" s="21" t="n">
        <v>0</v>
      </c>
      <c r="W9558" s="21" t="n">
        <v>0</v>
      </c>
      <c r="X9558" s="21" t="n">
        <v>0</v>
      </c>
      <c r="Y9558" s="21" t="n">
        <v>0</v>
      </c>
      <c r="Z9558" s="19">
        <f t="array" ref="Z9558:Z9579">MMULT(MINVERSE($D$9558:$Y$9579),$D$8790:$D$8811)</f>
        <v/>
      </c>
    </row>
    <row r="9559">
      <c r="D9559" s="21">
        <f>$B$8764</f>
        <v/>
      </c>
      <c r="E9559" s="21">
        <f>$B$8765</f>
        <v/>
      </c>
      <c r="F9559" s="21">
        <f>-$B$8764</f>
        <v/>
      </c>
      <c r="G9559" s="21">
        <f>$B$8766</f>
        <v/>
      </c>
      <c r="H9559" s="21" t="n">
        <v>0</v>
      </c>
      <c r="I9559" s="21" t="n">
        <v>0</v>
      </c>
      <c r="J9559" s="21" t="n">
        <v>0</v>
      </c>
      <c r="K9559" s="21" t="n">
        <v>0</v>
      </c>
      <c r="L9559" s="21" t="n">
        <v>0</v>
      </c>
      <c r="M9559" s="21" t="n">
        <v>0</v>
      </c>
      <c r="N9559" s="21" t="n">
        <v>0</v>
      </c>
      <c r="O9559" s="21" t="n">
        <v>0</v>
      </c>
      <c r="P9559" s="21" t="n">
        <v>0</v>
      </c>
      <c r="Q9559" s="21" t="n">
        <v>0</v>
      </c>
      <c r="R9559" s="21" t="n">
        <v>0</v>
      </c>
      <c r="S9559" s="21" t="n">
        <v>0</v>
      </c>
      <c r="T9559" s="21" t="n">
        <v>0</v>
      </c>
      <c r="U9559" s="21" t="n">
        <v>0</v>
      </c>
      <c r="V9559" s="21" t="n">
        <v>0</v>
      </c>
      <c r="W9559" s="21" t="n">
        <v>0</v>
      </c>
      <c r="X9559" s="21" t="n">
        <v>0</v>
      </c>
      <c r="Y9559" s="21" t="n">
        <v>0</v>
      </c>
      <c r="Z9559" s="19" t="n"/>
    </row>
    <row r="9560">
      <c r="D9560" s="21">
        <f>-$B$8763</f>
        <v/>
      </c>
      <c r="E9560" s="21">
        <f>-$B$8764</f>
        <v/>
      </c>
      <c r="F9560" s="21">
        <f>2*$B$8763+$D$9547</f>
        <v/>
      </c>
      <c r="G9560" s="21">
        <f>0</f>
        <v/>
      </c>
      <c r="H9560" s="21">
        <f>-$B$8763</f>
        <v/>
      </c>
      <c r="I9560" s="21">
        <f>$B$8764</f>
        <v/>
      </c>
      <c r="J9560" s="21" t="n">
        <v>0</v>
      </c>
      <c r="K9560" s="21" t="n">
        <v>0</v>
      </c>
      <c r="L9560" s="21" t="n">
        <v>0</v>
      </c>
      <c r="M9560" s="21" t="n">
        <v>0</v>
      </c>
      <c r="N9560" s="21" t="n">
        <v>0</v>
      </c>
      <c r="O9560" s="21" t="n">
        <v>0</v>
      </c>
      <c r="P9560" s="21" t="n">
        <v>0</v>
      </c>
      <c r="Q9560" s="21" t="n">
        <v>0</v>
      </c>
      <c r="R9560" s="21" t="n">
        <v>0</v>
      </c>
      <c r="S9560" s="21" t="n">
        <v>0</v>
      </c>
      <c r="T9560" s="21" t="n">
        <v>0</v>
      </c>
      <c r="U9560" s="21" t="n">
        <v>0</v>
      </c>
      <c r="V9560" s="21" t="n">
        <v>0</v>
      </c>
      <c r="W9560" s="21" t="n">
        <v>0</v>
      </c>
      <c r="X9560" s="21" t="n">
        <v>0</v>
      </c>
      <c r="Y9560" s="21" t="n">
        <v>0</v>
      </c>
      <c r="Z9560" s="19" t="n"/>
    </row>
    <row r="9561">
      <c r="D9561" s="21">
        <f>$B$8764</f>
        <v/>
      </c>
      <c r="E9561" s="21">
        <f>$B$8766</f>
        <v/>
      </c>
      <c r="F9561" s="21">
        <f>0</f>
        <v/>
      </c>
      <c r="G9561" s="21">
        <f>2*$B$8765</f>
        <v/>
      </c>
      <c r="H9561" s="21">
        <f>-$B$8764</f>
        <v/>
      </c>
      <c r="I9561" s="21">
        <f>$B$8766</f>
        <v/>
      </c>
      <c r="J9561" s="21" t="n">
        <v>0</v>
      </c>
      <c r="K9561" s="21" t="n">
        <v>0</v>
      </c>
      <c r="L9561" s="21" t="n">
        <v>0</v>
      </c>
      <c r="M9561" s="21" t="n">
        <v>0</v>
      </c>
      <c r="N9561" s="21" t="n">
        <v>0</v>
      </c>
      <c r="O9561" s="21" t="n">
        <v>0</v>
      </c>
      <c r="P9561" s="21" t="n">
        <v>0</v>
      </c>
      <c r="Q9561" s="21" t="n">
        <v>0</v>
      </c>
      <c r="R9561" s="21" t="n">
        <v>0</v>
      </c>
      <c r="S9561" s="21" t="n">
        <v>0</v>
      </c>
      <c r="T9561" s="21" t="n">
        <v>0</v>
      </c>
      <c r="U9561" s="21" t="n">
        <v>0</v>
      </c>
      <c r="V9561" s="21" t="n">
        <v>0</v>
      </c>
      <c r="W9561" s="21" t="n">
        <v>0</v>
      </c>
      <c r="X9561" s="21" t="n">
        <v>0</v>
      </c>
      <c r="Y9561" s="21" t="n">
        <v>0</v>
      </c>
      <c r="Z9561" s="19" t="n"/>
    </row>
    <row r="9562">
      <c r="D9562" s="21" t="n">
        <v>0</v>
      </c>
      <c r="E9562" s="21" t="n">
        <v>0</v>
      </c>
      <c r="F9562" s="21">
        <f>-$B$8763</f>
        <v/>
      </c>
      <c r="G9562" s="21">
        <f>-$B$8764</f>
        <v/>
      </c>
      <c r="H9562" s="21">
        <f>2*$B$8763+$D$9548</f>
        <v/>
      </c>
      <c r="I9562" s="21">
        <f>0</f>
        <v/>
      </c>
      <c r="J9562" s="21">
        <f>-$B$8763</f>
        <v/>
      </c>
      <c r="K9562" s="21">
        <f>$B$8764</f>
        <v/>
      </c>
      <c r="L9562" s="21" t="n">
        <v>0</v>
      </c>
      <c r="M9562" s="21" t="n">
        <v>0</v>
      </c>
      <c r="N9562" s="21" t="n">
        <v>0</v>
      </c>
      <c r="O9562" s="21" t="n">
        <v>0</v>
      </c>
      <c r="P9562" s="21" t="n">
        <v>0</v>
      </c>
      <c r="Q9562" s="21" t="n">
        <v>0</v>
      </c>
      <c r="R9562" s="21" t="n">
        <v>0</v>
      </c>
      <c r="S9562" s="21" t="n">
        <v>0</v>
      </c>
      <c r="T9562" s="21" t="n">
        <v>0</v>
      </c>
      <c r="U9562" s="21" t="n">
        <v>0</v>
      </c>
      <c r="V9562" s="21" t="n">
        <v>0</v>
      </c>
      <c r="W9562" s="21" t="n">
        <v>0</v>
      </c>
      <c r="X9562" s="21" t="n">
        <v>0</v>
      </c>
      <c r="Y9562" s="21" t="n">
        <v>0</v>
      </c>
      <c r="Z9562" s="19" t="n"/>
    </row>
    <row r="9563">
      <c r="D9563" s="21" t="n">
        <v>0</v>
      </c>
      <c r="E9563" s="21" t="n">
        <v>0</v>
      </c>
      <c r="F9563" s="21">
        <f>$B$8764</f>
        <v/>
      </c>
      <c r="G9563" s="21">
        <f>$B$8766</f>
        <v/>
      </c>
      <c r="H9563" s="21">
        <f>0</f>
        <v/>
      </c>
      <c r="I9563" s="21">
        <f>2*$B$8765</f>
        <v/>
      </c>
      <c r="J9563" s="21">
        <f>-$B$8764</f>
        <v/>
      </c>
      <c r="K9563" s="21">
        <f>$B$8766</f>
        <v/>
      </c>
      <c r="L9563" s="21" t="n">
        <v>0</v>
      </c>
      <c r="M9563" s="21" t="n">
        <v>0</v>
      </c>
      <c r="N9563" s="21" t="n">
        <v>0</v>
      </c>
      <c r="O9563" s="21" t="n">
        <v>0</v>
      </c>
      <c r="P9563" s="21" t="n">
        <v>0</v>
      </c>
      <c r="Q9563" s="21" t="n">
        <v>0</v>
      </c>
      <c r="R9563" s="21" t="n">
        <v>0</v>
      </c>
      <c r="S9563" s="21" t="n">
        <v>0</v>
      </c>
      <c r="T9563" s="21" t="n">
        <v>0</v>
      </c>
      <c r="U9563" s="21" t="n">
        <v>0</v>
      </c>
      <c r="V9563" s="21" t="n">
        <v>0</v>
      </c>
      <c r="W9563" s="21" t="n">
        <v>0</v>
      </c>
      <c r="X9563" s="21" t="n">
        <v>0</v>
      </c>
      <c r="Y9563" s="21" t="n">
        <v>0</v>
      </c>
      <c r="Z9563" s="19" t="n"/>
    </row>
    <row r="9564">
      <c r="D9564" s="21" t="n">
        <v>0</v>
      </c>
      <c r="E9564" s="21" t="n">
        <v>0</v>
      </c>
      <c r="F9564" s="21" t="n">
        <v>0</v>
      </c>
      <c r="G9564" s="21" t="n">
        <v>0</v>
      </c>
      <c r="H9564" s="21">
        <f>-$B$8763</f>
        <v/>
      </c>
      <c r="I9564" s="21">
        <f>-$B$8764</f>
        <v/>
      </c>
      <c r="J9564" s="21">
        <f>2*$B$8763+$D$9549</f>
        <v/>
      </c>
      <c r="K9564" s="21">
        <f>0</f>
        <v/>
      </c>
      <c r="L9564" s="21">
        <f>-$B$8763</f>
        <v/>
      </c>
      <c r="M9564" s="21">
        <f>$B$8764</f>
        <v/>
      </c>
      <c r="N9564" s="21" t="n">
        <v>0</v>
      </c>
      <c r="O9564" s="21" t="n">
        <v>0</v>
      </c>
      <c r="P9564" s="21" t="n">
        <v>0</v>
      </c>
      <c r="Q9564" s="21" t="n">
        <v>0</v>
      </c>
      <c r="R9564" s="21" t="n">
        <v>0</v>
      </c>
      <c r="S9564" s="21" t="n">
        <v>0</v>
      </c>
      <c r="T9564" s="21" t="n">
        <v>0</v>
      </c>
      <c r="U9564" s="21" t="n">
        <v>0</v>
      </c>
      <c r="V9564" s="21" t="n">
        <v>0</v>
      </c>
      <c r="W9564" s="21" t="n">
        <v>0</v>
      </c>
      <c r="X9564" s="21" t="n">
        <v>0</v>
      </c>
      <c r="Y9564" s="21" t="n">
        <v>0</v>
      </c>
      <c r="Z9564" s="19" t="n"/>
    </row>
    <row r="9565">
      <c r="D9565" s="21" t="n">
        <v>0</v>
      </c>
      <c r="E9565" s="21" t="n">
        <v>0</v>
      </c>
      <c r="F9565" s="21" t="n">
        <v>0</v>
      </c>
      <c r="G9565" s="21" t="n">
        <v>0</v>
      </c>
      <c r="H9565" s="21">
        <f>$B$8764</f>
        <v/>
      </c>
      <c r="I9565" s="21">
        <f>$B$8766</f>
        <v/>
      </c>
      <c r="J9565" s="21">
        <f>0</f>
        <v/>
      </c>
      <c r="K9565" s="21">
        <f>2*$B$8765</f>
        <v/>
      </c>
      <c r="L9565" s="21">
        <f>-$B$8764</f>
        <v/>
      </c>
      <c r="M9565" s="21">
        <f>$B$8766</f>
        <v/>
      </c>
      <c r="N9565" s="21" t="n">
        <v>0</v>
      </c>
      <c r="O9565" s="21" t="n">
        <v>0</v>
      </c>
      <c r="P9565" s="21" t="n">
        <v>0</v>
      </c>
      <c r="Q9565" s="21" t="n">
        <v>0</v>
      </c>
      <c r="R9565" s="21" t="n">
        <v>0</v>
      </c>
      <c r="S9565" s="21" t="n">
        <v>0</v>
      </c>
      <c r="T9565" s="21" t="n">
        <v>0</v>
      </c>
      <c r="U9565" s="21" t="n">
        <v>0</v>
      </c>
      <c r="V9565" s="21" t="n">
        <v>0</v>
      </c>
      <c r="W9565" s="21" t="n">
        <v>0</v>
      </c>
      <c r="X9565" s="21" t="n">
        <v>0</v>
      </c>
      <c r="Y9565" s="21" t="n">
        <v>0</v>
      </c>
      <c r="Z9565" s="19" t="n"/>
    </row>
    <row r="9566">
      <c r="D9566" s="21" t="n">
        <v>0</v>
      </c>
      <c r="E9566" s="21" t="n">
        <v>0</v>
      </c>
      <c r="F9566" s="21" t="n">
        <v>0</v>
      </c>
      <c r="G9566" s="21" t="n">
        <v>0</v>
      </c>
      <c r="H9566" s="21" t="n">
        <v>0</v>
      </c>
      <c r="I9566" s="21" t="n">
        <v>0</v>
      </c>
      <c r="J9566" s="21">
        <f>-$B$8763</f>
        <v/>
      </c>
      <c r="K9566" s="21">
        <f>-$B$8764</f>
        <v/>
      </c>
      <c r="L9566" s="21">
        <f>2*$B$8763+$D$9550</f>
        <v/>
      </c>
      <c r="M9566" s="21">
        <f>0</f>
        <v/>
      </c>
      <c r="N9566" s="21">
        <f>-$B$8763</f>
        <v/>
      </c>
      <c r="O9566" s="21">
        <f>$B$8764</f>
        <v/>
      </c>
      <c r="P9566" s="21" t="n">
        <v>0</v>
      </c>
      <c r="Q9566" s="21" t="n">
        <v>0</v>
      </c>
      <c r="R9566" s="21" t="n">
        <v>0</v>
      </c>
      <c r="S9566" s="21" t="n">
        <v>0</v>
      </c>
      <c r="T9566" s="21" t="n">
        <v>0</v>
      </c>
      <c r="U9566" s="21" t="n">
        <v>0</v>
      </c>
      <c r="V9566" s="21" t="n">
        <v>0</v>
      </c>
      <c r="W9566" s="21" t="n">
        <v>0</v>
      </c>
      <c r="X9566" s="21" t="n">
        <v>0</v>
      </c>
      <c r="Y9566" s="21" t="n">
        <v>0</v>
      </c>
      <c r="Z9566" s="19" t="n"/>
    </row>
    <row r="9567">
      <c r="D9567" s="21" t="n">
        <v>0</v>
      </c>
      <c r="E9567" s="21" t="n">
        <v>0</v>
      </c>
      <c r="F9567" s="21" t="n">
        <v>0</v>
      </c>
      <c r="G9567" s="21" t="n">
        <v>0</v>
      </c>
      <c r="H9567" s="21" t="n">
        <v>0</v>
      </c>
      <c r="I9567" s="21" t="n">
        <v>0</v>
      </c>
      <c r="J9567" s="21">
        <f>$B$8764</f>
        <v/>
      </c>
      <c r="K9567" s="21">
        <f>$B$8766</f>
        <v/>
      </c>
      <c r="L9567" s="21">
        <f>0</f>
        <v/>
      </c>
      <c r="M9567" s="21">
        <f>2*$B$8765</f>
        <v/>
      </c>
      <c r="N9567" s="21">
        <f>-$B$8764</f>
        <v/>
      </c>
      <c r="O9567" s="21">
        <f>$B$8766</f>
        <v/>
      </c>
      <c r="P9567" s="21" t="n">
        <v>0</v>
      </c>
      <c r="Q9567" s="21" t="n">
        <v>0</v>
      </c>
      <c r="R9567" s="21" t="n">
        <v>0</v>
      </c>
      <c r="S9567" s="21" t="n">
        <v>0</v>
      </c>
      <c r="T9567" s="21" t="n">
        <v>0</v>
      </c>
      <c r="U9567" s="21" t="n">
        <v>0</v>
      </c>
      <c r="V9567" s="21" t="n">
        <v>0</v>
      </c>
      <c r="W9567" s="21" t="n">
        <v>0</v>
      </c>
      <c r="X9567" s="21" t="n">
        <v>0</v>
      </c>
      <c r="Y9567" s="21" t="n">
        <v>0</v>
      </c>
      <c r="Z9567" s="19" t="n"/>
    </row>
    <row r="9568">
      <c r="D9568" s="21" t="n">
        <v>0</v>
      </c>
      <c r="E9568" s="21" t="n">
        <v>0</v>
      </c>
      <c r="F9568" s="21" t="n">
        <v>0</v>
      </c>
      <c r="G9568" s="21" t="n">
        <v>0</v>
      </c>
      <c r="H9568" s="21" t="n">
        <v>0</v>
      </c>
      <c r="I9568" s="21" t="n">
        <v>0</v>
      </c>
      <c r="J9568" s="21" t="n">
        <v>0</v>
      </c>
      <c r="K9568" s="21" t="n">
        <v>0</v>
      </c>
      <c r="L9568" s="21">
        <f>-$B$8763</f>
        <v/>
      </c>
      <c r="M9568" s="21">
        <f>-$B$8764</f>
        <v/>
      </c>
      <c r="N9568" s="21">
        <f>2*$B$8763+$D$9551</f>
        <v/>
      </c>
      <c r="O9568" s="21">
        <f>0</f>
        <v/>
      </c>
      <c r="P9568" s="21">
        <f>-$B$8763</f>
        <v/>
      </c>
      <c r="Q9568" s="21">
        <f>$B$8764</f>
        <v/>
      </c>
      <c r="R9568" s="21" t="n">
        <v>0</v>
      </c>
      <c r="S9568" s="21" t="n">
        <v>0</v>
      </c>
      <c r="T9568" s="21" t="n">
        <v>0</v>
      </c>
      <c r="U9568" s="21" t="n">
        <v>0</v>
      </c>
      <c r="V9568" s="21" t="n">
        <v>0</v>
      </c>
      <c r="W9568" s="21" t="n">
        <v>0</v>
      </c>
      <c r="X9568" s="21" t="n">
        <v>0</v>
      </c>
      <c r="Y9568" s="21" t="n">
        <v>0</v>
      </c>
      <c r="Z9568" s="19" t="n"/>
    </row>
    <row r="9569">
      <c r="D9569" s="21" t="n">
        <v>0</v>
      </c>
      <c r="E9569" s="21" t="n">
        <v>0</v>
      </c>
      <c r="F9569" s="21" t="n">
        <v>0</v>
      </c>
      <c r="G9569" s="21" t="n">
        <v>0</v>
      </c>
      <c r="H9569" s="21" t="n">
        <v>0</v>
      </c>
      <c r="I9569" s="21" t="n">
        <v>0</v>
      </c>
      <c r="J9569" s="21" t="n">
        <v>0</v>
      </c>
      <c r="K9569" s="21" t="n">
        <v>0</v>
      </c>
      <c r="L9569" s="21">
        <f>$B$8764</f>
        <v/>
      </c>
      <c r="M9569" s="21">
        <f>$B$8766</f>
        <v/>
      </c>
      <c r="N9569" s="21">
        <f>0</f>
        <v/>
      </c>
      <c r="O9569" s="21">
        <f>2*$B$8765</f>
        <v/>
      </c>
      <c r="P9569" s="21">
        <f>-$B$8764</f>
        <v/>
      </c>
      <c r="Q9569" s="21">
        <f>$B$8766</f>
        <v/>
      </c>
      <c r="R9569" s="21" t="n">
        <v>0</v>
      </c>
      <c r="S9569" s="21" t="n">
        <v>0</v>
      </c>
      <c r="T9569" s="21" t="n">
        <v>0</v>
      </c>
      <c r="U9569" s="21" t="n">
        <v>0</v>
      </c>
      <c r="V9569" s="21" t="n">
        <v>0</v>
      </c>
      <c r="W9569" s="21" t="n">
        <v>0</v>
      </c>
      <c r="X9569" s="21" t="n">
        <v>0</v>
      </c>
      <c r="Y9569" s="21" t="n">
        <v>0</v>
      </c>
      <c r="Z9569" s="19" t="n"/>
    </row>
    <row r="9570">
      <c r="D9570" s="21" t="n">
        <v>0</v>
      </c>
      <c r="E9570" s="21" t="n">
        <v>0</v>
      </c>
      <c r="F9570" s="21" t="n">
        <v>0</v>
      </c>
      <c r="G9570" s="21" t="n">
        <v>0</v>
      </c>
      <c r="H9570" s="21" t="n">
        <v>0</v>
      </c>
      <c r="I9570" s="21" t="n">
        <v>0</v>
      </c>
      <c r="J9570" s="21" t="n">
        <v>0</v>
      </c>
      <c r="K9570" s="21" t="n">
        <v>0</v>
      </c>
      <c r="L9570" s="21" t="n">
        <v>0</v>
      </c>
      <c r="M9570" s="21" t="n">
        <v>0</v>
      </c>
      <c r="N9570" s="21">
        <f>-$B$8763</f>
        <v/>
      </c>
      <c r="O9570" s="21">
        <f>-$B$8764</f>
        <v/>
      </c>
      <c r="P9570" s="21">
        <f>2*$B$8763+$D$9552</f>
        <v/>
      </c>
      <c r="Q9570" s="21">
        <f>0</f>
        <v/>
      </c>
      <c r="R9570" s="21">
        <f>-$B$8763</f>
        <v/>
      </c>
      <c r="S9570" s="21">
        <f>$B$8764</f>
        <v/>
      </c>
      <c r="T9570" s="21" t="n">
        <v>0</v>
      </c>
      <c r="U9570" s="21" t="n">
        <v>0</v>
      </c>
      <c r="V9570" s="21" t="n">
        <v>0</v>
      </c>
      <c r="W9570" s="21" t="n">
        <v>0</v>
      </c>
      <c r="X9570" s="21" t="n">
        <v>0</v>
      </c>
      <c r="Y9570" s="21" t="n">
        <v>0</v>
      </c>
      <c r="Z9570" s="19" t="n"/>
    </row>
    <row r="9571">
      <c r="D9571" s="21" t="n">
        <v>0</v>
      </c>
      <c r="E9571" s="21" t="n">
        <v>0</v>
      </c>
      <c r="F9571" s="21" t="n">
        <v>0</v>
      </c>
      <c r="G9571" s="21" t="n">
        <v>0</v>
      </c>
      <c r="H9571" s="21" t="n">
        <v>0</v>
      </c>
      <c r="I9571" s="21" t="n">
        <v>0</v>
      </c>
      <c r="J9571" s="21" t="n">
        <v>0</v>
      </c>
      <c r="K9571" s="21" t="n">
        <v>0</v>
      </c>
      <c r="L9571" s="21" t="n">
        <v>0</v>
      </c>
      <c r="M9571" s="21" t="n">
        <v>0</v>
      </c>
      <c r="N9571" s="21">
        <f>$B$8764</f>
        <v/>
      </c>
      <c r="O9571" s="21">
        <f>$B$8766</f>
        <v/>
      </c>
      <c r="P9571" s="21">
        <f>0</f>
        <v/>
      </c>
      <c r="Q9571" s="21">
        <f>2*$B$8765</f>
        <v/>
      </c>
      <c r="R9571" s="21">
        <f>-$B$8764</f>
        <v/>
      </c>
      <c r="S9571" s="21">
        <f>$B$8766</f>
        <v/>
      </c>
      <c r="T9571" s="21" t="n">
        <v>0</v>
      </c>
      <c r="U9571" s="21" t="n">
        <v>0</v>
      </c>
      <c r="V9571" s="21" t="n">
        <v>0</v>
      </c>
      <c r="W9571" s="21" t="n">
        <v>0</v>
      </c>
      <c r="X9571" s="21" t="n">
        <v>0</v>
      </c>
      <c r="Y9571" s="21" t="n">
        <v>0</v>
      </c>
      <c r="Z9571" s="19" t="n"/>
    </row>
    <row r="9572">
      <c r="D9572" s="21" t="n">
        <v>0</v>
      </c>
      <c r="E9572" s="21" t="n">
        <v>0</v>
      </c>
      <c r="F9572" s="21" t="n">
        <v>0</v>
      </c>
      <c r="G9572" s="21" t="n">
        <v>0</v>
      </c>
      <c r="H9572" s="21" t="n">
        <v>0</v>
      </c>
      <c r="I9572" s="21" t="n">
        <v>0</v>
      </c>
      <c r="J9572" s="21" t="n">
        <v>0</v>
      </c>
      <c r="K9572" s="21" t="n">
        <v>0</v>
      </c>
      <c r="L9572" s="21" t="n">
        <v>0</v>
      </c>
      <c r="M9572" s="21" t="n">
        <v>0</v>
      </c>
      <c r="N9572" s="21" t="n">
        <v>0</v>
      </c>
      <c r="O9572" s="21" t="n">
        <v>0</v>
      </c>
      <c r="P9572" s="21">
        <f>-$B$8763</f>
        <v/>
      </c>
      <c r="Q9572" s="21">
        <f>-$B$8764</f>
        <v/>
      </c>
      <c r="R9572" s="21">
        <f>2*$B$8763+$D$9553</f>
        <v/>
      </c>
      <c r="S9572" s="21">
        <f>0</f>
        <v/>
      </c>
      <c r="T9572" s="21">
        <f>-$B$8763</f>
        <v/>
      </c>
      <c r="U9572" s="21">
        <f>$B$8764</f>
        <v/>
      </c>
      <c r="V9572" s="21" t="n">
        <v>0</v>
      </c>
      <c r="W9572" s="21" t="n">
        <v>0</v>
      </c>
      <c r="X9572" s="21" t="n">
        <v>0</v>
      </c>
      <c r="Y9572" s="21" t="n">
        <v>0</v>
      </c>
      <c r="Z9572" s="19" t="n"/>
    </row>
    <row r="9573">
      <c r="D9573" s="21" t="n">
        <v>0</v>
      </c>
      <c r="E9573" s="21" t="n">
        <v>0</v>
      </c>
      <c r="F9573" s="21" t="n">
        <v>0</v>
      </c>
      <c r="G9573" s="21" t="n">
        <v>0</v>
      </c>
      <c r="H9573" s="21" t="n">
        <v>0</v>
      </c>
      <c r="I9573" s="21" t="n">
        <v>0</v>
      </c>
      <c r="J9573" s="21" t="n">
        <v>0</v>
      </c>
      <c r="K9573" s="21" t="n">
        <v>0</v>
      </c>
      <c r="L9573" s="21" t="n">
        <v>0</v>
      </c>
      <c r="M9573" s="21" t="n">
        <v>0</v>
      </c>
      <c r="N9573" s="21" t="n">
        <v>0</v>
      </c>
      <c r="O9573" s="21" t="n">
        <v>0</v>
      </c>
      <c r="P9573" s="21">
        <f>$B$8764</f>
        <v/>
      </c>
      <c r="Q9573" s="21">
        <f>$B$8766</f>
        <v/>
      </c>
      <c r="R9573" s="21">
        <f>0</f>
        <v/>
      </c>
      <c r="S9573" s="21">
        <f>2*$B$8765</f>
        <v/>
      </c>
      <c r="T9573" s="21">
        <f>-$B$8764</f>
        <v/>
      </c>
      <c r="U9573" s="21">
        <f>$B$8766</f>
        <v/>
      </c>
      <c r="V9573" s="21" t="n">
        <v>0</v>
      </c>
      <c r="W9573" s="21" t="n">
        <v>0</v>
      </c>
      <c r="X9573" s="21" t="n">
        <v>0</v>
      </c>
      <c r="Y9573" s="21" t="n">
        <v>0</v>
      </c>
      <c r="Z9573" s="19" t="n"/>
    </row>
    <row r="9574">
      <c r="D9574" s="21" t="n">
        <v>0</v>
      </c>
      <c r="E9574" s="21" t="n">
        <v>0</v>
      </c>
      <c r="F9574" s="21" t="n">
        <v>0</v>
      </c>
      <c r="G9574" s="21" t="n">
        <v>0</v>
      </c>
      <c r="H9574" s="21" t="n">
        <v>0</v>
      </c>
      <c r="I9574" s="21" t="n">
        <v>0</v>
      </c>
      <c r="J9574" s="21" t="n">
        <v>0</v>
      </c>
      <c r="K9574" s="21" t="n">
        <v>0</v>
      </c>
      <c r="L9574" s="21" t="n">
        <v>0</v>
      </c>
      <c r="M9574" s="21" t="n">
        <v>0</v>
      </c>
      <c r="N9574" s="21" t="n">
        <v>0</v>
      </c>
      <c r="O9574" s="21" t="n">
        <v>0</v>
      </c>
      <c r="P9574" s="21" t="n">
        <v>0</v>
      </c>
      <c r="Q9574" s="21" t="n">
        <v>0</v>
      </c>
      <c r="R9574" s="21">
        <f>-$B$8763</f>
        <v/>
      </c>
      <c r="S9574" s="21">
        <f>-$B$8764</f>
        <v/>
      </c>
      <c r="T9574" s="21">
        <f>2*$B$8763+$D$9554</f>
        <v/>
      </c>
      <c r="U9574" s="21">
        <f>0</f>
        <v/>
      </c>
      <c r="V9574" s="21">
        <f>-$B$8763</f>
        <v/>
      </c>
      <c r="W9574" s="21">
        <f>$B$8764</f>
        <v/>
      </c>
      <c r="X9574" s="21" t="n">
        <v>0</v>
      </c>
      <c r="Y9574" s="21" t="n">
        <v>0</v>
      </c>
      <c r="Z9574" s="19" t="n"/>
    </row>
    <row r="9575">
      <c r="D9575" s="21" t="n">
        <v>0</v>
      </c>
      <c r="E9575" s="21" t="n">
        <v>0</v>
      </c>
      <c r="F9575" s="21" t="n">
        <v>0</v>
      </c>
      <c r="G9575" s="21" t="n">
        <v>0</v>
      </c>
      <c r="H9575" s="21" t="n">
        <v>0</v>
      </c>
      <c r="I9575" s="21" t="n">
        <v>0</v>
      </c>
      <c r="J9575" s="21" t="n">
        <v>0</v>
      </c>
      <c r="K9575" s="21" t="n">
        <v>0</v>
      </c>
      <c r="L9575" s="21" t="n">
        <v>0</v>
      </c>
      <c r="M9575" s="21" t="n">
        <v>0</v>
      </c>
      <c r="N9575" s="21" t="n">
        <v>0</v>
      </c>
      <c r="O9575" s="21" t="n">
        <v>0</v>
      </c>
      <c r="P9575" s="21" t="n">
        <v>0</v>
      </c>
      <c r="Q9575" s="21" t="n">
        <v>0</v>
      </c>
      <c r="R9575" s="21">
        <f>$B$8764</f>
        <v/>
      </c>
      <c r="S9575" s="21">
        <f>$B$8766</f>
        <v/>
      </c>
      <c r="T9575" s="21">
        <f>0</f>
        <v/>
      </c>
      <c r="U9575" s="21">
        <f>2*$B$8765</f>
        <v/>
      </c>
      <c r="V9575" s="21">
        <f>-$B$8764</f>
        <v/>
      </c>
      <c r="W9575" s="21">
        <f>$B$8766</f>
        <v/>
      </c>
      <c r="X9575" s="21" t="n">
        <v>0</v>
      </c>
      <c r="Y9575" s="21" t="n">
        <v>0</v>
      </c>
      <c r="Z9575" s="19" t="n"/>
    </row>
    <row r="9576">
      <c r="D9576" s="21" t="n">
        <v>0</v>
      </c>
      <c r="E9576" s="21" t="n">
        <v>0</v>
      </c>
      <c r="F9576" s="21" t="n">
        <v>0</v>
      </c>
      <c r="G9576" s="21" t="n">
        <v>0</v>
      </c>
      <c r="H9576" s="21" t="n">
        <v>0</v>
      </c>
      <c r="I9576" s="21" t="n">
        <v>0</v>
      </c>
      <c r="J9576" s="21" t="n">
        <v>0</v>
      </c>
      <c r="K9576" s="21" t="n">
        <v>0</v>
      </c>
      <c r="L9576" s="21" t="n">
        <v>0</v>
      </c>
      <c r="M9576" s="21" t="n">
        <v>0</v>
      </c>
      <c r="N9576" s="21" t="n">
        <v>0</v>
      </c>
      <c r="O9576" s="21" t="n">
        <v>0</v>
      </c>
      <c r="P9576" s="21" t="n">
        <v>0</v>
      </c>
      <c r="Q9576" s="21" t="n">
        <v>0</v>
      </c>
      <c r="R9576" s="21" t="n">
        <v>0</v>
      </c>
      <c r="S9576" s="21" t="n">
        <v>0</v>
      </c>
      <c r="T9576" s="21">
        <f>-$B$8763</f>
        <v/>
      </c>
      <c r="U9576" s="21">
        <f>-$B$8764</f>
        <v/>
      </c>
      <c r="V9576" s="21">
        <f>2*$B$8763+$D$9555</f>
        <v/>
      </c>
      <c r="W9576" s="21">
        <f>0</f>
        <v/>
      </c>
      <c r="X9576" s="21">
        <f>-$B$8763</f>
        <v/>
      </c>
      <c r="Y9576" s="21">
        <f>$B$8764</f>
        <v/>
      </c>
      <c r="Z9576" s="19" t="n"/>
    </row>
    <row r="9577">
      <c r="D9577" s="21" t="n">
        <v>0</v>
      </c>
      <c r="E9577" s="21" t="n">
        <v>0</v>
      </c>
      <c r="F9577" s="21" t="n">
        <v>0</v>
      </c>
      <c r="G9577" s="21" t="n">
        <v>0</v>
      </c>
      <c r="H9577" s="21" t="n">
        <v>0</v>
      </c>
      <c r="I9577" s="21" t="n">
        <v>0</v>
      </c>
      <c r="J9577" s="21" t="n">
        <v>0</v>
      </c>
      <c r="K9577" s="21" t="n">
        <v>0</v>
      </c>
      <c r="L9577" s="21" t="n">
        <v>0</v>
      </c>
      <c r="M9577" s="21" t="n">
        <v>0</v>
      </c>
      <c r="N9577" s="21" t="n">
        <v>0</v>
      </c>
      <c r="O9577" s="21" t="n">
        <v>0</v>
      </c>
      <c r="P9577" s="21" t="n">
        <v>0</v>
      </c>
      <c r="Q9577" s="21" t="n">
        <v>0</v>
      </c>
      <c r="R9577" s="21" t="n">
        <v>0</v>
      </c>
      <c r="S9577" s="21" t="n">
        <v>0</v>
      </c>
      <c r="T9577" s="21">
        <f>$B$8764</f>
        <v/>
      </c>
      <c r="U9577" s="21">
        <f>$B$8766</f>
        <v/>
      </c>
      <c r="V9577" s="21">
        <f>0</f>
        <v/>
      </c>
      <c r="W9577" s="21">
        <f>2*$B$8765</f>
        <v/>
      </c>
      <c r="X9577" s="21">
        <f>-$B$8764</f>
        <v/>
      </c>
      <c r="Y9577" s="21">
        <f>$B$8766</f>
        <v/>
      </c>
      <c r="Z9577" s="19" t="n"/>
    </row>
    <row r="9578">
      <c r="D9578" s="21" t="n">
        <v>0</v>
      </c>
      <c r="E9578" s="21" t="n">
        <v>0</v>
      </c>
      <c r="F9578" s="21" t="n">
        <v>0</v>
      </c>
      <c r="G9578" s="21" t="n">
        <v>0</v>
      </c>
      <c r="H9578" s="21" t="n">
        <v>0</v>
      </c>
      <c r="I9578" s="21" t="n">
        <v>0</v>
      </c>
      <c r="J9578" s="21" t="n">
        <v>0</v>
      </c>
      <c r="K9578" s="21" t="n">
        <v>0</v>
      </c>
      <c r="L9578" s="21" t="n">
        <v>0</v>
      </c>
      <c r="M9578" s="21" t="n">
        <v>0</v>
      </c>
      <c r="N9578" s="21" t="n">
        <v>0</v>
      </c>
      <c r="O9578" s="21" t="n">
        <v>0</v>
      </c>
      <c r="P9578" s="21" t="n">
        <v>0</v>
      </c>
      <c r="Q9578" s="21" t="n">
        <v>0</v>
      </c>
      <c r="R9578" s="21" t="n">
        <v>0</v>
      </c>
      <c r="S9578" s="21" t="n">
        <v>0</v>
      </c>
      <c r="T9578" s="21" t="n">
        <v>0</v>
      </c>
      <c r="U9578" s="21" t="n">
        <v>0</v>
      </c>
      <c r="V9578" s="21">
        <f>-$B$8763</f>
        <v/>
      </c>
      <c r="W9578" s="21">
        <f>-$B$8764</f>
        <v/>
      </c>
      <c r="X9578" s="21">
        <f>$B$8763+$D$9556</f>
        <v/>
      </c>
      <c r="Y9578" s="21">
        <f>-$B$8764</f>
        <v/>
      </c>
      <c r="Z9578" s="19" t="n"/>
    </row>
    <row r="9579">
      <c r="D9579" s="21" t="n">
        <v>0</v>
      </c>
      <c r="E9579" s="21" t="n">
        <v>0</v>
      </c>
      <c r="F9579" s="21" t="n">
        <v>0</v>
      </c>
      <c r="G9579" s="21" t="n">
        <v>0</v>
      </c>
      <c r="H9579" s="21" t="n">
        <v>0</v>
      </c>
      <c r="I9579" s="21" t="n">
        <v>0</v>
      </c>
      <c r="J9579" s="21" t="n">
        <v>0</v>
      </c>
      <c r="K9579" s="21" t="n">
        <v>0</v>
      </c>
      <c r="L9579" s="21" t="n">
        <v>0</v>
      </c>
      <c r="M9579" s="21" t="n">
        <v>0</v>
      </c>
      <c r="N9579" s="21" t="n">
        <v>0</v>
      </c>
      <c r="O9579" s="21" t="n">
        <v>0</v>
      </c>
      <c r="P9579" s="21" t="n">
        <v>0</v>
      </c>
      <c r="Q9579" s="21" t="n">
        <v>0</v>
      </c>
      <c r="R9579" s="21" t="n">
        <v>0</v>
      </c>
      <c r="S9579" s="21" t="n">
        <v>0</v>
      </c>
      <c r="T9579" s="21" t="n">
        <v>0</v>
      </c>
      <c r="U9579" s="21" t="n">
        <v>0</v>
      </c>
      <c r="V9579" s="21">
        <f>$B$8764</f>
        <v/>
      </c>
      <c r="W9579" s="21">
        <f>$B$8766</f>
        <v/>
      </c>
      <c r="X9579" s="21">
        <f>-$B$8764</f>
        <v/>
      </c>
      <c r="Y9579" s="21">
        <f>$B$8765</f>
        <v/>
      </c>
      <c r="Z9579" s="19" t="n"/>
    </row>
    <row r="9581">
      <c r="A9581" s="8" t="inlineStr">
        <is>
          <t>gen 22</t>
        </is>
      </c>
    </row>
    <row r="9582">
      <c r="D9582" s="19">
        <f>IF(ABS(IF(ABS($E$9546)&gt;0.000000001,$E$9546,0.000000001))=0,0,IF($E$8778&lt;=$B$8772,0,IF(ABS(IF(ABS($E$9546)&gt;0.000000001,$E$9546,0.000000001))&gt;=8*$B$8774,$H$8778,0.5*$H$8778*(ABS(IF(ABS($E$9546)&gt;0.000000001,$E$9546,0.000000001))/$B$8774)^(1/3)))/ABS(IF(ABS($E$9546)&gt;0.000000001,$E$9546,0.000000001))*$I$8778)</f>
        <v/>
      </c>
      <c r="E9582" s="19">
        <f>0.5*$E$9546+0.5*$Z$9594</f>
        <v/>
      </c>
      <c r="F9582" s="19">
        <f>$Z$9595</f>
        <v/>
      </c>
    </row>
    <row r="9583">
      <c r="D9583" s="19">
        <f>IF(ABS(IF(ABS($E$9547)&gt;0.000000001,$E$9547,0.000000001))=0,0,IF($E$8779&lt;=$B$8772,0,IF(ABS(IF(ABS($E$9547)&gt;0.000000001,$E$9547,0.000000001))&gt;=8*$B$8774,$H$8779,0.5*$H$8779*(ABS(IF(ABS($E$9547)&gt;0.000000001,$E$9547,0.000000001))/$B$8774)^(1/3)))/ABS(IF(ABS($E$9547)&gt;0.000000001,$E$9547,0.000000001))*$I$8779)</f>
        <v/>
      </c>
      <c r="E9583" s="19">
        <f>0.5*$E$9547+0.5*$Z$9596</f>
        <v/>
      </c>
      <c r="F9583" s="19">
        <f>$Z$9597</f>
        <v/>
      </c>
    </row>
    <row r="9584">
      <c r="D9584" s="19">
        <f>IF(ABS(IF(ABS($E$9548)&gt;0.000000001,$E$9548,0.000000001))=0,0,IF($E$8780&lt;=$B$8772,0,IF(ABS(IF(ABS($E$9548)&gt;0.000000001,$E$9548,0.000000001))&gt;=8*$B$8774,$H$8780,0.5*$H$8780*(ABS(IF(ABS($E$9548)&gt;0.000000001,$E$9548,0.000000001))/$B$8774)^(1/3)))/ABS(IF(ABS($E$9548)&gt;0.000000001,$E$9548,0.000000001))*$I$8780)</f>
        <v/>
      </c>
      <c r="E9584" s="19">
        <f>0.5*$E$9548+0.5*$Z$9598</f>
        <v/>
      </c>
      <c r="F9584" s="19">
        <f>$Z$9599</f>
        <v/>
      </c>
    </row>
    <row r="9585">
      <c r="D9585" s="19">
        <f>IF(ABS(IF(ABS($E$9549)&gt;0.000000001,$E$9549,0.000000001))=0,0,IF($E$8781&lt;=$B$8772,0,IF(ABS(IF(ABS($E$9549)&gt;0.000000001,$E$9549,0.000000001))&gt;=8*$B$8774,$H$8781,0.5*$H$8781*(ABS(IF(ABS($E$9549)&gt;0.000000001,$E$9549,0.000000001))/$B$8774)^(1/3)))/ABS(IF(ABS($E$9549)&gt;0.000000001,$E$9549,0.000000001))*$I$8781)</f>
        <v/>
      </c>
      <c r="E9585" s="19">
        <f>0.5*$E$9549+0.5*$Z$9600</f>
        <v/>
      </c>
      <c r="F9585" s="19">
        <f>$Z$9601</f>
        <v/>
      </c>
    </row>
    <row r="9586">
      <c r="D9586" s="19">
        <f>IF(ABS(IF(ABS($E$9550)&gt;0.000000001,$E$9550,0.000000001))=0,0,IF($E$8782&lt;=$B$8772,0,IF(ABS(IF(ABS($E$9550)&gt;0.000000001,$E$9550,0.000000001))&gt;=8*$B$8774,$H$8782,0.5*$H$8782*(ABS(IF(ABS($E$9550)&gt;0.000000001,$E$9550,0.000000001))/$B$8774)^(1/3)))/ABS(IF(ABS($E$9550)&gt;0.000000001,$E$9550,0.000000001))*$I$8782)</f>
        <v/>
      </c>
      <c r="E9586" s="19">
        <f>0.5*$E$9550+0.5*$Z$9602</f>
        <v/>
      </c>
      <c r="F9586" s="19">
        <f>$Z$9603</f>
        <v/>
      </c>
    </row>
    <row r="9587">
      <c r="D9587" s="19">
        <f>IF(ABS(IF(ABS($E$9551)&gt;0.000000001,$E$9551,0.000000001))=0,0,IF($E$8783&lt;=$B$8772,0,IF(ABS(IF(ABS($E$9551)&gt;0.000000001,$E$9551,0.000000001))&gt;=8*$B$8774,$H$8783,0.5*$H$8783*(ABS(IF(ABS($E$9551)&gt;0.000000001,$E$9551,0.000000001))/$B$8774)^(1/3)))/ABS(IF(ABS($E$9551)&gt;0.000000001,$E$9551,0.000000001))*$I$8783)</f>
        <v/>
      </c>
      <c r="E9587" s="19">
        <f>0.5*$E$9551+0.5*$Z$9604</f>
        <v/>
      </c>
      <c r="F9587" s="19">
        <f>$Z$9605</f>
        <v/>
      </c>
    </row>
    <row r="9588">
      <c r="D9588" s="19">
        <f>IF(ABS(IF(ABS($E$9552)&gt;0.000000001,$E$9552,0.000000001))=0,0,IF($E$8784&lt;=$B$8772,0,IF(ABS(IF(ABS($E$9552)&gt;0.000000001,$E$9552,0.000000001))&gt;=8*$B$8774,$H$8784,0.5*$H$8784*(ABS(IF(ABS($E$9552)&gt;0.000000001,$E$9552,0.000000001))/$B$8774)^(1/3)))/ABS(IF(ABS($E$9552)&gt;0.000000001,$E$9552,0.000000001))*$I$8784)</f>
        <v/>
      </c>
      <c r="E9588" s="19">
        <f>0.5*$E$9552+0.5*$Z$9606</f>
        <v/>
      </c>
      <c r="F9588" s="19">
        <f>$Z$9607</f>
        <v/>
      </c>
    </row>
    <row r="9589">
      <c r="D9589" s="19">
        <f>IF(ABS(IF(ABS($E$9553)&gt;0.000000001,$E$9553,0.000000001))=0,0,IF($E$8785&lt;=$B$8772,0,IF(ABS(IF(ABS($E$9553)&gt;0.000000001,$E$9553,0.000000001))&gt;=8*$B$8774,$H$8785,0.5*$H$8785*(ABS(IF(ABS($E$9553)&gt;0.000000001,$E$9553,0.000000001))/$B$8774)^(1/3)))/ABS(IF(ABS($E$9553)&gt;0.000000001,$E$9553,0.000000001))*$I$8785)</f>
        <v/>
      </c>
      <c r="E9589" s="19">
        <f>0.5*$E$9553+0.5*$Z$9608</f>
        <v/>
      </c>
      <c r="F9589" s="19">
        <f>$Z$9609</f>
        <v/>
      </c>
    </row>
    <row r="9590">
      <c r="D9590" s="19">
        <f>IF(ABS(IF(ABS($E$9554)&gt;0.000000001,$E$9554,0.000000001))=0,0,IF($E$8786&lt;=$B$8772,0,IF(ABS(IF(ABS($E$9554)&gt;0.000000001,$E$9554,0.000000001))&gt;=8*$B$8774,$H$8786,0.5*$H$8786*(ABS(IF(ABS($E$9554)&gt;0.000000001,$E$9554,0.000000001))/$B$8774)^(1/3)))/ABS(IF(ABS($E$9554)&gt;0.000000001,$E$9554,0.000000001))*$I$8786)</f>
        <v/>
      </c>
      <c r="E9590" s="19">
        <f>0.5*$E$9554+0.5*$Z$9610</f>
        <v/>
      </c>
      <c r="F9590" s="19">
        <f>$Z$9611</f>
        <v/>
      </c>
    </row>
    <row r="9591">
      <c r="D9591" s="19">
        <f>IF(ABS(IF(ABS($E$9555)&gt;0.000000001,$E$9555,0.000000001))=0,0,IF($E$8787&lt;=$B$8772,0,IF(ABS(IF(ABS($E$9555)&gt;0.000000001,$E$9555,0.000000001))&gt;=8*$B$8774,$H$8787,0.5*$H$8787*(ABS(IF(ABS($E$9555)&gt;0.000000001,$E$9555,0.000000001))/$B$8774)^(1/3)))/ABS(IF(ABS($E$9555)&gt;0.000000001,$E$9555,0.000000001))*$I$8787)</f>
        <v/>
      </c>
      <c r="E9591" s="19">
        <f>0.5*$E$9555+0.5*$Z$9612</f>
        <v/>
      </c>
      <c r="F9591" s="19">
        <f>$Z$9613</f>
        <v/>
      </c>
    </row>
    <row r="9592">
      <c r="D9592" s="19">
        <f>IF(ABS(IF(ABS($E$9556)&gt;0.000000001,$E$9556,0.000000001))=0,0,IF($E$8788&lt;=$B$8772,0,IF(ABS(IF(ABS($E$9556)&gt;0.000000001,$E$9556,0.000000001))&gt;=8*$B$8774,$H$8788,0.5*$H$8788*(ABS(IF(ABS($E$9556)&gt;0.000000001,$E$9556,0.000000001))/$B$8774)^(1/3)))/ABS(IF(ABS($E$9556)&gt;0.000000001,$E$9556,0.000000001))*$I$8788)</f>
        <v/>
      </c>
      <c r="E9592" s="19">
        <f>0.5*$E$9556+0.5*$Z$9614</f>
        <v/>
      </c>
      <c r="F9592" s="19">
        <f>$Z$9615</f>
        <v/>
      </c>
    </row>
    <row r="9594">
      <c r="D9594" s="21">
        <f>$B$8763+$D$9582</f>
        <v/>
      </c>
      <c r="E9594" s="21">
        <f>$B$8764</f>
        <v/>
      </c>
      <c r="F9594" s="21">
        <f>-$B$8763</f>
        <v/>
      </c>
      <c r="G9594" s="21">
        <f>$B$8764</f>
        <v/>
      </c>
      <c r="H9594" s="21" t="n">
        <v>0</v>
      </c>
      <c r="I9594" s="21" t="n">
        <v>0</v>
      </c>
      <c r="J9594" s="21" t="n">
        <v>0</v>
      </c>
      <c r="K9594" s="21" t="n">
        <v>0</v>
      </c>
      <c r="L9594" s="21" t="n">
        <v>0</v>
      </c>
      <c r="M9594" s="21" t="n">
        <v>0</v>
      </c>
      <c r="N9594" s="21" t="n">
        <v>0</v>
      </c>
      <c r="O9594" s="21" t="n">
        <v>0</v>
      </c>
      <c r="P9594" s="21" t="n">
        <v>0</v>
      </c>
      <c r="Q9594" s="21" t="n">
        <v>0</v>
      </c>
      <c r="R9594" s="21" t="n">
        <v>0</v>
      </c>
      <c r="S9594" s="21" t="n">
        <v>0</v>
      </c>
      <c r="T9594" s="21" t="n">
        <v>0</v>
      </c>
      <c r="U9594" s="21" t="n">
        <v>0</v>
      </c>
      <c r="V9594" s="21" t="n">
        <v>0</v>
      </c>
      <c r="W9594" s="21" t="n">
        <v>0</v>
      </c>
      <c r="X9594" s="21" t="n">
        <v>0</v>
      </c>
      <c r="Y9594" s="21" t="n">
        <v>0</v>
      </c>
      <c r="Z9594" s="19">
        <f t="array" ref="Z9594:Z9615">MMULT(MINVERSE($D$9594:$Y$9615),$D$8790:$D$8811)</f>
        <v/>
      </c>
    </row>
    <row r="9595">
      <c r="D9595" s="21">
        <f>$B$8764</f>
        <v/>
      </c>
      <c r="E9595" s="21">
        <f>$B$8765</f>
        <v/>
      </c>
      <c r="F9595" s="21">
        <f>-$B$8764</f>
        <v/>
      </c>
      <c r="G9595" s="21">
        <f>$B$8766</f>
        <v/>
      </c>
      <c r="H9595" s="21" t="n">
        <v>0</v>
      </c>
      <c r="I9595" s="21" t="n">
        <v>0</v>
      </c>
      <c r="J9595" s="21" t="n">
        <v>0</v>
      </c>
      <c r="K9595" s="21" t="n">
        <v>0</v>
      </c>
      <c r="L9595" s="21" t="n">
        <v>0</v>
      </c>
      <c r="M9595" s="21" t="n">
        <v>0</v>
      </c>
      <c r="N9595" s="21" t="n">
        <v>0</v>
      </c>
      <c r="O9595" s="21" t="n">
        <v>0</v>
      </c>
      <c r="P9595" s="21" t="n">
        <v>0</v>
      </c>
      <c r="Q9595" s="21" t="n">
        <v>0</v>
      </c>
      <c r="R9595" s="21" t="n">
        <v>0</v>
      </c>
      <c r="S9595" s="21" t="n">
        <v>0</v>
      </c>
      <c r="T9595" s="21" t="n">
        <v>0</v>
      </c>
      <c r="U9595" s="21" t="n">
        <v>0</v>
      </c>
      <c r="V9595" s="21" t="n">
        <v>0</v>
      </c>
      <c r="W9595" s="21" t="n">
        <v>0</v>
      </c>
      <c r="X9595" s="21" t="n">
        <v>0</v>
      </c>
      <c r="Y9595" s="21" t="n">
        <v>0</v>
      </c>
      <c r="Z9595" s="19" t="n"/>
    </row>
    <row r="9596">
      <c r="D9596" s="21">
        <f>-$B$8763</f>
        <v/>
      </c>
      <c r="E9596" s="21">
        <f>-$B$8764</f>
        <v/>
      </c>
      <c r="F9596" s="21">
        <f>2*$B$8763+$D$9583</f>
        <v/>
      </c>
      <c r="G9596" s="21">
        <f>0</f>
        <v/>
      </c>
      <c r="H9596" s="21">
        <f>-$B$8763</f>
        <v/>
      </c>
      <c r="I9596" s="21">
        <f>$B$8764</f>
        <v/>
      </c>
      <c r="J9596" s="21" t="n">
        <v>0</v>
      </c>
      <c r="K9596" s="21" t="n">
        <v>0</v>
      </c>
      <c r="L9596" s="21" t="n">
        <v>0</v>
      </c>
      <c r="M9596" s="21" t="n">
        <v>0</v>
      </c>
      <c r="N9596" s="21" t="n">
        <v>0</v>
      </c>
      <c r="O9596" s="21" t="n">
        <v>0</v>
      </c>
      <c r="P9596" s="21" t="n">
        <v>0</v>
      </c>
      <c r="Q9596" s="21" t="n">
        <v>0</v>
      </c>
      <c r="R9596" s="21" t="n">
        <v>0</v>
      </c>
      <c r="S9596" s="21" t="n">
        <v>0</v>
      </c>
      <c r="T9596" s="21" t="n">
        <v>0</v>
      </c>
      <c r="U9596" s="21" t="n">
        <v>0</v>
      </c>
      <c r="V9596" s="21" t="n">
        <v>0</v>
      </c>
      <c r="W9596" s="21" t="n">
        <v>0</v>
      </c>
      <c r="X9596" s="21" t="n">
        <v>0</v>
      </c>
      <c r="Y9596" s="21" t="n">
        <v>0</v>
      </c>
      <c r="Z9596" s="19" t="n"/>
    </row>
    <row r="9597">
      <c r="D9597" s="21">
        <f>$B$8764</f>
        <v/>
      </c>
      <c r="E9597" s="21">
        <f>$B$8766</f>
        <v/>
      </c>
      <c r="F9597" s="21">
        <f>0</f>
        <v/>
      </c>
      <c r="G9597" s="21">
        <f>2*$B$8765</f>
        <v/>
      </c>
      <c r="H9597" s="21">
        <f>-$B$8764</f>
        <v/>
      </c>
      <c r="I9597" s="21">
        <f>$B$8766</f>
        <v/>
      </c>
      <c r="J9597" s="21" t="n">
        <v>0</v>
      </c>
      <c r="K9597" s="21" t="n">
        <v>0</v>
      </c>
      <c r="L9597" s="21" t="n">
        <v>0</v>
      </c>
      <c r="M9597" s="21" t="n">
        <v>0</v>
      </c>
      <c r="N9597" s="21" t="n">
        <v>0</v>
      </c>
      <c r="O9597" s="21" t="n">
        <v>0</v>
      </c>
      <c r="P9597" s="21" t="n">
        <v>0</v>
      </c>
      <c r="Q9597" s="21" t="n">
        <v>0</v>
      </c>
      <c r="R9597" s="21" t="n">
        <v>0</v>
      </c>
      <c r="S9597" s="21" t="n">
        <v>0</v>
      </c>
      <c r="T9597" s="21" t="n">
        <v>0</v>
      </c>
      <c r="U9597" s="21" t="n">
        <v>0</v>
      </c>
      <c r="V9597" s="21" t="n">
        <v>0</v>
      </c>
      <c r="W9597" s="21" t="n">
        <v>0</v>
      </c>
      <c r="X9597" s="21" t="n">
        <v>0</v>
      </c>
      <c r="Y9597" s="21" t="n">
        <v>0</v>
      </c>
      <c r="Z9597" s="19" t="n"/>
    </row>
    <row r="9598">
      <c r="D9598" s="21" t="n">
        <v>0</v>
      </c>
      <c r="E9598" s="21" t="n">
        <v>0</v>
      </c>
      <c r="F9598" s="21">
        <f>-$B$8763</f>
        <v/>
      </c>
      <c r="G9598" s="21">
        <f>-$B$8764</f>
        <v/>
      </c>
      <c r="H9598" s="21">
        <f>2*$B$8763+$D$9584</f>
        <v/>
      </c>
      <c r="I9598" s="21">
        <f>0</f>
        <v/>
      </c>
      <c r="J9598" s="21">
        <f>-$B$8763</f>
        <v/>
      </c>
      <c r="K9598" s="21">
        <f>$B$8764</f>
        <v/>
      </c>
      <c r="L9598" s="21" t="n">
        <v>0</v>
      </c>
      <c r="M9598" s="21" t="n">
        <v>0</v>
      </c>
      <c r="N9598" s="21" t="n">
        <v>0</v>
      </c>
      <c r="O9598" s="21" t="n">
        <v>0</v>
      </c>
      <c r="P9598" s="21" t="n">
        <v>0</v>
      </c>
      <c r="Q9598" s="21" t="n">
        <v>0</v>
      </c>
      <c r="R9598" s="21" t="n">
        <v>0</v>
      </c>
      <c r="S9598" s="21" t="n">
        <v>0</v>
      </c>
      <c r="T9598" s="21" t="n">
        <v>0</v>
      </c>
      <c r="U9598" s="21" t="n">
        <v>0</v>
      </c>
      <c r="V9598" s="21" t="n">
        <v>0</v>
      </c>
      <c r="W9598" s="21" t="n">
        <v>0</v>
      </c>
      <c r="X9598" s="21" t="n">
        <v>0</v>
      </c>
      <c r="Y9598" s="21" t="n">
        <v>0</v>
      </c>
      <c r="Z9598" s="19" t="n"/>
    </row>
    <row r="9599">
      <c r="D9599" s="21" t="n">
        <v>0</v>
      </c>
      <c r="E9599" s="21" t="n">
        <v>0</v>
      </c>
      <c r="F9599" s="21">
        <f>$B$8764</f>
        <v/>
      </c>
      <c r="G9599" s="21">
        <f>$B$8766</f>
        <v/>
      </c>
      <c r="H9599" s="21">
        <f>0</f>
        <v/>
      </c>
      <c r="I9599" s="21">
        <f>2*$B$8765</f>
        <v/>
      </c>
      <c r="J9599" s="21">
        <f>-$B$8764</f>
        <v/>
      </c>
      <c r="K9599" s="21">
        <f>$B$8766</f>
        <v/>
      </c>
      <c r="L9599" s="21" t="n">
        <v>0</v>
      </c>
      <c r="M9599" s="21" t="n">
        <v>0</v>
      </c>
      <c r="N9599" s="21" t="n">
        <v>0</v>
      </c>
      <c r="O9599" s="21" t="n">
        <v>0</v>
      </c>
      <c r="P9599" s="21" t="n">
        <v>0</v>
      </c>
      <c r="Q9599" s="21" t="n">
        <v>0</v>
      </c>
      <c r="R9599" s="21" t="n">
        <v>0</v>
      </c>
      <c r="S9599" s="21" t="n">
        <v>0</v>
      </c>
      <c r="T9599" s="21" t="n">
        <v>0</v>
      </c>
      <c r="U9599" s="21" t="n">
        <v>0</v>
      </c>
      <c r="V9599" s="21" t="n">
        <v>0</v>
      </c>
      <c r="W9599" s="21" t="n">
        <v>0</v>
      </c>
      <c r="X9599" s="21" t="n">
        <v>0</v>
      </c>
      <c r="Y9599" s="21" t="n">
        <v>0</v>
      </c>
      <c r="Z9599" s="19" t="n"/>
    </row>
    <row r="9600">
      <c r="D9600" s="21" t="n">
        <v>0</v>
      </c>
      <c r="E9600" s="21" t="n">
        <v>0</v>
      </c>
      <c r="F9600" s="21" t="n">
        <v>0</v>
      </c>
      <c r="G9600" s="21" t="n">
        <v>0</v>
      </c>
      <c r="H9600" s="21">
        <f>-$B$8763</f>
        <v/>
      </c>
      <c r="I9600" s="21">
        <f>-$B$8764</f>
        <v/>
      </c>
      <c r="J9600" s="21">
        <f>2*$B$8763+$D$9585</f>
        <v/>
      </c>
      <c r="K9600" s="21">
        <f>0</f>
        <v/>
      </c>
      <c r="L9600" s="21">
        <f>-$B$8763</f>
        <v/>
      </c>
      <c r="M9600" s="21">
        <f>$B$8764</f>
        <v/>
      </c>
      <c r="N9600" s="21" t="n">
        <v>0</v>
      </c>
      <c r="O9600" s="21" t="n">
        <v>0</v>
      </c>
      <c r="P9600" s="21" t="n">
        <v>0</v>
      </c>
      <c r="Q9600" s="21" t="n">
        <v>0</v>
      </c>
      <c r="R9600" s="21" t="n">
        <v>0</v>
      </c>
      <c r="S9600" s="21" t="n">
        <v>0</v>
      </c>
      <c r="T9600" s="21" t="n">
        <v>0</v>
      </c>
      <c r="U9600" s="21" t="n">
        <v>0</v>
      </c>
      <c r="V9600" s="21" t="n">
        <v>0</v>
      </c>
      <c r="W9600" s="21" t="n">
        <v>0</v>
      </c>
      <c r="X9600" s="21" t="n">
        <v>0</v>
      </c>
      <c r="Y9600" s="21" t="n">
        <v>0</v>
      </c>
      <c r="Z9600" s="19" t="n"/>
    </row>
    <row r="9601">
      <c r="D9601" s="21" t="n">
        <v>0</v>
      </c>
      <c r="E9601" s="21" t="n">
        <v>0</v>
      </c>
      <c r="F9601" s="21" t="n">
        <v>0</v>
      </c>
      <c r="G9601" s="21" t="n">
        <v>0</v>
      </c>
      <c r="H9601" s="21">
        <f>$B$8764</f>
        <v/>
      </c>
      <c r="I9601" s="21">
        <f>$B$8766</f>
        <v/>
      </c>
      <c r="J9601" s="21">
        <f>0</f>
        <v/>
      </c>
      <c r="K9601" s="21">
        <f>2*$B$8765</f>
        <v/>
      </c>
      <c r="L9601" s="21">
        <f>-$B$8764</f>
        <v/>
      </c>
      <c r="M9601" s="21">
        <f>$B$8766</f>
        <v/>
      </c>
      <c r="N9601" s="21" t="n">
        <v>0</v>
      </c>
      <c r="O9601" s="21" t="n">
        <v>0</v>
      </c>
      <c r="P9601" s="21" t="n">
        <v>0</v>
      </c>
      <c r="Q9601" s="21" t="n">
        <v>0</v>
      </c>
      <c r="R9601" s="21" t="n">
        <v>0</v>
      </c>
      <c r="S9601" s="21" t="n">
        <v>0</v>
      </c>
      <c r="T9601" s="21" t="n">
        <v>0</v>
      </c>
      <c r="U9601" s="21" t="n">
        <v>0</v>
      </c>
      <c r="V9601" s="21" t="n">
        <v>0</v>
      </c>
      <c r="W9601" s="21" t="n">
        <v>0</v>
      </c>
      <c r="X9601" s="21" t="n">
        <v>0</v>
      </c>
      <c r="Y9601" s="21" t="n">
        <v>0</v>
      </c>
      <c r="Z9601" s="19" t="n"/>
    </row>
    <row r="9602">
      <c r="D9602" s="21" t="n">
        <v>0</v>
      </c>
      <c r="E9602" s="21" t="n">
        <v>0</v>
      </c>
      <c r="F9602" s="21" t="n">
        <v>0</v>
      </c>
      <c r="G9602" s="21" t="n">
        <v>0</v>
      </c>
      <c r="H9602" s="21" t="n">
        <v>0</v>
      </c>
      <c r="I9602" s="21" t="n">
        <v>0</v>
      </c>
      <c r="J9602" s="21">
        <f>-$B$8763</f>
        <v/>
      </c>
      <c r="K9602" s="21">
        <f>-$B$8764</f>
        <v/>
      </c>
      <c r="L9602" s="21">
        <f>2*$B$8763+$D$9586</f>
        <v/>
      </c>
      <c r="M9602" s="21">
        <f>0</f>
        <v/>
      </c>
      <c r="N9602" s="21">
        <f>-$B$8763</f>
        <v/>
      </c>
      <c r="O9602" s="21">
        <f>$B$8764</f>
        <v/>
      </c>
      <c r="P9602" s="21" t="n">
        <v>0</v>
      </c>
      <c r="Q9602" s="21" t="n">
        <v>0</v>
      </c>
      <c r="R9602" s="21" t="n">
        <v>0</v>
      </c>
      <c r="S9602" s="21" t="n">
        <v>0</v>
      </c>
      <c r="T9602" s="21" t="n">
        <v>0</v>
      </c>
      <c r="U9602" s="21" t="n">
        <v>0</v>
      </c>
      <c r="V9602" s="21" t="n">
        <v>0</v>
      </c>
      <c r="W9602" s="21" t="n">
        <v>0</v>
      </c>
      <c r="X9602" s="21" t="n">
        <v>0</v>
      </c>
      <c r="Y9602" s="21" t="n">
        <v>0</v>
      </c>
      <c r="Z9602" s="19" t="n"/>
    </row>
    <row r="9603">
      <c r="D9603" s="21" t="n">
        <v>0</v>
      </c>
      <c r="E9603" s="21" t="n">
        <v>0</v>
      </c>
      <c r="F9603" s="21" t="n">
        <v>0</v>
      </c>
      <c r="G9603" s="21" t="n">
        <v>0</v>
      </c>
      <c r="H9603" s="21" t="n">
        <v>0</v>
      </c>
      <c r="I9603" s="21" t="n">
        <v>0</v>
      </c>
      <c r="J9603" s="21">
        <f>$B$8764</f>
        <v/>
      </c>
      <c r="K9603" s="21">
        <f>$B$8766</f>
        <v/>
      </c>
      <c r="L9603" s="21">
        <f>0</f>
        <v/>
      </c>
      <c r="M9603" s="21">
        <f>2*$B$8765</f>
        <v/>
      </c>
      <c r="N9603" s="21">
        <f>-$B$8764</f>
        <v/>
      </c>
      <c r="O9603" s="21">
        <f>$B$8766</f>
        <v/>
      </c>
      <c r="P9603" s="21" t="n">
        <v>0</v>
      </c>
      <c r="Q9603" s="21" t="n">
        <v>0</v>
      </c>
      <c r="R9603" s="21" t="n">
        <v>0</v>
      </c>
      <c r="S9603" s="21" t="n">
        <v>0</v>
      </c>
      <c r="T9603" s="21" t="n">
        <v>0</v>
      </c>
      <c r="U9603" s="21" t="n">
        <v>0</v>
      </c>
      <c r="V9603" s="21" t="n">
        <v>0</v>
      </c>
      <c r="W9603" s="21" t="n">
        <v>0</v>
      </c>
      <c r="X9603" s="21" t="n">
        <v>0</v>
      </c>
      <c r="Y9603" s="21" t="n">
        <v>0</v>
      </c>
      <c r="Z9603" s="19" t="n"/>
    </row>
    <row r="9604">
      <c r="D9604" s="21" t="n">
        <v>0</v>
      </c>
      <c r="E9604" s="21" t="n">
        <v>0</v>
      </c>
      <c r="F9604" s="21" t="n">
        <v>0</v>
      </c>
      <c r="G9604" s="21" t="n">
        <v>0</v>
      </c>
      <c r="H9604" s="21" t="n">
        <v>0</v>
      </c>
      <c r="I9604" s="21" t="n">
        <v>0</v>
      </c>
      <c r="J9604" s="21" t="n">
        <v>0</v>
      </c>
      <c r="K9604" s="21" t="n">
        <v>0</v>
      </c>
      <c r="L9604" s="21">
        <f>-$B$8763</f>
        <v/>
      </c>
      <c r="M9604" s="21">
        <f>-$B$8764</f>
        <v/>
      </c>
      <c r="N9604" s="21">
        <f>2*$B$8763+$D$9587</f>
        <v/>
      </c>
      <c r="O9604" s="21">
        <f>0</f>
        <v/>
      </c>
      <c r="P9604" s="21">
        <f>-$B$8763</f>
        <v/>
      </c>
      <c r="Q9604" s="21">
        <f>$B$8764</f>
        <v/>
      </c>
      <c r="R9604" s="21" t="n">
        <v>0</v>
      </c>
      <c r="S9604" s="21" t="n">
        <v>0</v>
      </c>
      <c r="T9604" s="21" t="n">
        <v>0</v>
      </c>
      <c r="U9604" s="21" t="n">
        <v>0</v>
      </c>
      <c r="V9604" s="21" t="n">
        <v>0</v>
      </c>
      <c r="W9604" s="21" t="n">
        <v>0</v>
      </c>
      <c r="X9604" s="21" t="n">
        <v>0</v>
      </c>
      <c r="Y9604" s="21" t="n">
        <v>0</v>
      </c>
      <c r="Z9604" s="19" t="n"/>
    </row>
    <row r="9605">
      <c r="D9605" s="21" t="n">
        <v>0</v>
      </c>
      <c r="E9605" s="21" t="n">
        <v>0</v>
      </c>
      <c r="F9605" s="21" t="n">
        <v>0</v>
      </c>
      <c r="G9605" s="21" t="n">
        <v>0</v>
      </c>
      <c r="H9605" s="21" t="n">
        <v>0</v>
      </c>
      <c r="I9605" s="21" t="n">
        <v>0</v>
      </c>
      <c r="J9605" s="21" t="n">
        <v>0</v>
      </c>
      <c r="K9605" s="21" t="n">
        <v>0</v>
      </c>
      <c r="L9605" s="21">
        <f>$B$8764</f>
        <v/>
      </c>
      <c r="M9605" s="21">
        <f>$B$8766</f>
        <v/>
      </c>
      <c r="N9605" s="21">
        <f>0</f>
        <v/>
      </c>
      <c r="O9605" s="21">
        <f>2*$B$8765</f>
        <v/>
      </c>
      <c r="P9605" s="21">
        <f>-$B$8764</f>
        <v/>
      </c>
      <c r="Q9605" s="21">
        <f>$B$8766</f>
        <v/>
      </c>
      <c r="R9605" s="21" t="n">
        <v>0</v>
      </c>
      <c r="S9605" s="21" t="n">
        <v>0</v>
      </c>
      <c r="T9605" s="21" t="n">
        <v>0</v>
      </c>
      <c r="U9605" s="21" t="n">
        <v>0</v>
      </c>
      <c r="V9605" s="21" t="n">
        <v>0</v>
      </c>
      <c r="W9605" s="21" t="n">
        <v>0</v>
      </c>
      <c r="X9605" s="21" t="n">
        <v>0</v>
      </c>
      <c r="Y9605" s="21" t="n">
        <v>0</v>
      </c>
      <c r="Z9605" s="19" t="n"/>
    </row>
    <row r="9606">
      <c r="D9606" s="21" t="n">
        <v>0</v>
      </c>
      <c r="E9606" s="21" t="n">
        <v>0</v>
      </c>
      <c r="F9606" s="21" t="n">
        <v>0</v>
      </c>
      <c r="G9606" s="21" t="n">
        <v>0</v>
      </c>
      <c r="H9606" s="21" t="n">
        <v>0</v>
      </c>
      <c r="I9606" s="21" t="n">
        <v>0</v>
      </c>
      <c r="J9606" s="21" t="n">
        <v>0</v>
      </c>
      <c r="K9606" s="21" t="n">
        <v>0</v>
      </c>
      <c r="L9606" s="21" t="n">
        <v>0</v>
      </c>
      <c r="M9606" s="21" t="n">
        <v>0</v>
      </c>
      <c r="N9606" s="21">
        <f>-$B$8763</f>
        <v/>
      </c>
      <c r="O9606" s="21">
        <f>-$B$8764</f>
        <v/>
      </c>
      <c r="P9606" s="21">
        <f>2*$B$8763+$D$9588</f>
        <v/>
      </c>
      <c r="Q9606" s="21">
        <f>0</f>
        <v/>
      </c>
      <c r="R9606" s="21">
        <f>-$B$8763</f>
        <v/>
      </c>
      <c r="S9606" s="21">
        <f>$B$8764</f>
        <v/>
      </c>
      <c r="T9606" s="21" t="n">
        <v>0</v>
      </c>
      <c r="U9606" s="21" t="n">
        <v>0</v>
      </c>
      <c r="V9606" s="21" t="n">
        <v>0</v>
      </c>
      <c r="W9606" s="21" t="n">
        <v>0</v>
      </c>
      <c r="X9606" s="21" t="n">
        <v>0</v>
      </c>
      <c r="Y9606" s="21" t="n">
        <v>0</v>
      </c>
      <c r="Z9606" s="19" t="n"/>
    </row>
    <row r="9607">
      <c r="D9607" s="21" t="n">
        <v>0</v>
      </c>
      <c r="E9607" s="21" t="n">
        <v>0</v>
      </c>
      <c r="F9607" s="21" t="n">
        <v>0</v>
      </c>
      <c r="G9607" s="21" t="n">
        <v>0</v>
      </c>
      <c r="H9607" s="21" t="n">
        <v>0</v>
      </c>
      <c r="I9607" s="21" t="n">
        <v>0</v>
      </c>
      <c r="J9607" s="21" t="n">
        <v>0</v>
      </c>
      <c r="K9607" s="21" t="n">
        <v>0</v>
      </c>
      <c r="L9607" s="21" t="n">
        <v>0</v>
      </c>
      <c r="M9607" s="21" t="n">
        <v>0</v>
      </c>
      <c r="N9607" s="21">
        <f>$B$8764</f>
        <v/>
      </c>
      <c r="O9607" s="21">
        <f>$B$8766</f>
        <v/>
      </c>
      <c r="P9607" s="21">
        <f>0</f>
        <v/>
      </c>
      <c r="Q9607" s="21">
        <f>2*$B$8765</f>
        <v/>
      </c>
      <c r="R9607" s="21">
        <f>-$B$8764</f>
        <v/>
      </c>
      <c r="S9607" s="21">
        <f>$B$8766</f>
        <v/>
      </c>
      <c r="T9607" s="21" t="n">
        <v>0</v>
      </c>
      <c r="U9607" s="21" t="n">
        <v>0</v>
      </c>
      <c r="V9607" s="21" t="n">
        <v>0</v>
      </c>
      <c r="W9607" s="21" t="n">
        <v>0</v>
      </c>
      <c r="X9607" s="21" t="n">
        <v>0</v>
      </c>
      <c r="Y9607" s="21" t="n">
        <v>0</v>
      </c>
      <c r="Z9607" s="19" t="n"/>
    </row>
    <row r="9608">
      <c r="D9608" s="21" t="n">
        <v>0</v>
      </c>
      <c r="E9608" s="21" t="n">
        <v>0</v>
      </c>
      <c r="F9608" s="21" t="n">
        <v>0</v>
      </c>
      <c r="G9608" s="21" t="n">
        <v>0</v>
      </c>
      <c r="H9608" s="21" t="n">
        <v>0</v>
      </c>
      <c r="I9608" s="21" t="n">
        <v>0</v>
      </c>
      <c r="J9608" s="21" t="n">
        <v>0</v>
      </c>
      <c r="K9608" s="21" t="n">
        <v>0</v>
      </c>
      <c r="L9608" s="21" t="n">
        <v>0</v>
      </c>
      <c r="M9608" s="21" t="n">
        <v>0</v>
      </c>
      <c r="N9608" s="21" t="n">
        <v>0</v>
      </c>
      <c r="O9608" s="21" t="n">
        <v>0</v>
      </c>
      <c r="P9608" s="21">
        <f>-$B$8763</f>
        <v/>
      </c>
      <c r="Q9608" s="21">
        <f>-$B$8764</f>
        <v/>
      </c>
      <c r="R9608" s="21">
        <f>2*$B$8763+$D$9589</f>
        <v/>
      </c>
      <c r="S9608" s="21">
        <f>0</f>
        <v/>
      </c>
      <c r="T9608" s="21">
        <f>-$B$8763</f>
        <v/>
      </c>
      <c r="U9608" s="21">
        <f>$B$8764</f>
        <v/>
      </c>
      <c r="V9608" s="21" t="n">
        <v>0</v>
      </c>
      <c r="W9608" s="21" t="n">
        <v>0</v>
      </c>
      <c r="X9608" s="21" t="n">
        <v>0</v>
      </c>
      <c r="Y9608" s="21" t="n">
        <v>0</v>
      </c>
      <c r="Z9608" s="19" t="n"/>
    </row>
    <row r="9609">
      <c r="D9609" s="21" t="n">
        <v>0</v>
      </c>
      <c r="E9609" s="21" t="n">
        <v>0</v>
      </c>
      <c r="F9609" s="21" t="n">
        <v>0</v>
      </c>
      <c r="G9609" s="21" t="n">
        <v>0</v>
      </c>
      <c r="H9609" s="21" t="n">
        <v>0</v>
      </c>
      <c r="I9609" s="21" t="n">
        <v>0</v>
      </c>
      <c r="J9609" s="21" t="n">
        <v>0</v>
      </c>
      <c r="K9609" s="21" t="n">
        <v>0</v>
      </c>
      <c r="L9609" s="21" t="n">
        <v>0</v>
      </c>
      <c r="M9609" s="21" t="n">
        <v>0</v>
      </c>
      <c r="N9609" s="21" t="n">
        <v>0</v>
      </c>
      <c r="O9609" s="21" t="n">
        <v>0</v>
      </c>
      <c r="P9609" s="21">
        <f>$B$8764</f>
        <v/>
      </c>
      <c r="Q9609" s="21">
        <f>$B$8766</f>
        <v/>
      </c>
      <c r="R9609" s="21">
        <f>0</f>
        <v/>
      </c>
      <c r="S9609" s="21">
        <f>2*$B$8765</f>
        <v/>
      </c>
      <c r="T9609" s="21">
        <f>-$B$8764</f>
        <v/>
      </c>
      <c r="U9609" s="21">
        <f>$B$8766</f>
        <v/>
      </c>
      <c r="V9609" s="21" t="n">
        <v>0</v>
      </c>
      <c r="W9609" s="21" t="n">
        <v>0</v>
      </c>
      <c r="X9609" s="21" t="n">
        <v>0</v>
      </c>
      <c r="Y9609" s="21" t="n">
        <v>0</v>
      </c>
      <c r="Z9609" s="19" t="n"/>
    </row>
    <row r="9610">
      <c r="D9610" s="21" t="n">
        <v>0</v>
      </c>
      <c r="E9610" s="21" t="n">
        <v>0</v>
      </c>
      <c r="F9610" s="21" t="n">
        <v>0</v>
      </c>
      <c r="G9610" s="21" t="n">
        <v>0</v>
      </c>
      <c r="H9610" s="21" t="n">
        <v>0</v>
      </c>
      <c r="I9610" s="21" t="n">
        <v>0</v>
      </c>
      <c r="J9610" s="21" t="n">
        <v>0</v>
      </c>
      <c r="K9610" s="21" t="n">
        <v>0</v>
      </c>
      <c r="L9610" s="21" t="n">
        <v>0</v>
      </c>
      <c r="M9610" s="21" t="n">
        <v>0</v>
      </c>
      <c r="N9610" s="21" t="n">
        <v>0</v>
      </c>
      <c r="O9610" s="21" t="n">
        <v>0</v>
      </c>
      <c r="P9610" s="21" t="n">
        <v>0</v>
      </c>
      <c r="Q9610" s="21" t="n">
        <v>0</v>
      </c>
      <c r="R9610" s="21">
        <f>-$B$8763</f>
        <v/>
      </c>
      <c r="S9610" s="21">
        <f>-$B$8764</f>
        <v/>
      </c>
      <c r="T9610" s="21">
        <f>2*$B$8763+$D$9590</f>
        <v/>
      </c>
      <c r="U9610" s="21">
        <f>0</f>
        <v/>
      </c>
      <c r="V9610" s="21">
        <f>-$B$8763</f>
        <v/>
      </c>
      <c r="W9610" s="21">
        <f>$B$8764</f>
        <v/>
      </c>
      <c r="X9610" s="21" t="n">
        <v>0</v>
      </c>
      <c r="Y9610" s="21" t="n">
        <v>0</v>
      </c>
      <c r="Z9610" s="19" t="n"/>
    </row>
    <row r="9611">
      <c r="D9611" s="21" t="n">
        <v>0</v>
      </c>
      <c r="E9611" s="21" t="n">
        <v>0</v>
      </c>
      <c r="F9611" s="21" t="n">
        <v>0</v>
      </c>
      <c r="G9611" s="21" t="n">
        <v>0</v>
      </c>
      <c r="H9611" s="21" t="n">
        <v>0</v>
      </c>
      <c r="I9611" s="21" t="n">
        <v>0</v>
      </c>
      <c r="J9611" s="21" t="n">
        <v>0</v>
      </c>
      <c r="K9611" s="21" t="n">
        <v>0</v>
      </c>
      <c r="L9611" s="21" t="n">
        <v>0</v>
      </c>
      <c r="M9611" s="21" t="n">
        <v>0</v>
      </c>
      <c r="N9611" s="21" t="n">
        <v>0</v>
      </c>
      <c r="O9611" s="21" t="n">
        <v>0</v>
      </c>
      <c r="P9611" s="21" t="n">
        <v>0</v>
      </c>
      <c r="Q9611" s="21" t="n">
        <v>0</v>
      </c>
      <c r="R9611" s="21">
        <f>$B$8764</f>
        <v/>
      </c>
      <c r="S9611" s="21">
        <f>$B$8766</f>
        <v/>
      </c>
      <c r="T9611" s="21">
        <f>0</f>
        <v/>
      </c>
      <c r="U9611" s="21">
        <f>2*$B$8765</f>
        <v/>
      </c>
      <c r="V9611" s="21">
        <f>-$B$8764</f>
        <v/>
      </c>
      <c r="W9611" s="21">
        <f>$B$8766</f>
        <v/>
      </c>
      <c r="X9611" s="21" t="n">
        <v>0</v>
      </c>
      <c r="Y9611" s="21" t="n">
        <v>0</v>
      </c>
      <c r="Z9611" s="19" t="n"/>
    </row>
    <row r="9612">
      <c r="D9612" s="21" t="n">
        <v>0</v>
      </c>
      <c r="E9612" s="21" t="n">
        <v>0</v>
      </c>
      <c r="F9612" s="21" t="n">
        <v>0</v>
      </c>
      <c r="G9612" s="21" t="n">
        <v>0</v>
      </c>
      <c r="H9612" s="21" t="n">
        <v>0</v>
      </c>
      <c r="I9612" s="21" t="n">
        <v>0</v>
      </c>
      <c r="J9612" s="21" t="n">
        <v>0</v>
      </c>
      <c r="K9612" s="21" t="n">
        <v>0</v>
      </c>
      <c r="L9612" s="21" t="n">
        <v>0</v>
      </c>
      <c r="M9612" s="21" t="n">
        <v>0</v>
      </c>
      <c r="N9612" s="21" t="n">
        <v>0</v>
      </c>
      <c r="O9612" s="21" t="n">
        <v>0</v>
      </c>
      <c r="P9612" s="21" t="n">
        <v>0</v>
      </c>
      <c r="Q9612" s="21" t="n">
        <v>0</v>
      </c>
      <c r="R9612" s="21" t="n">
        <v>0</v>
      </c>
      <c r="S9612" s="21" t="n">
        <v>0</v>
      </c>
      <c r="T9612" s="21">
        <f>-$B$8763</f>
        <v/>
      </c>
      <c r="U9612" s="21">
        <f>-$B$8764</f>
        <v/>
      </c>
      <c r="V9612" s="21">
        <f>2*$B$8763+$D$9591</f>
        <v/>
      </c>
      <c r="W9612" s="21">
        <f>0</f>
        <v/>
      </c>
      <c r="X9612" s="21">
        <f>-$B$8763</f>
        <v/>
      </c>
      <c r="Y9612" s="21">
        <f>$B$8764</f>
        <v/>
      </c>
      <c r="Z9612" s="19" t="n"/>
    </row>
    <row r="9613">
      <c r="D9613" s="21" t="n">
        <v>0</v>
      </c>
      <c r="E9613" s="21" t="n">
        <v>0</v>
      </c>
      <c r="F9613" s="21" t="n">
        <v>0</v>
      </c>
      <c r="G9613" s="21" t="n">
        <v>0</v>
      </c>
      <c r="H9613" s="21" t="n">
        <v>0</v>
      </c>
      <c r="I9613" s="21" t="n">
        <v>0</v>
      </c>
      <c r="J9613" s="21" t="n">
        <v>0</v>
      </c>
      <c r="K9613" s="21" t="n">
        <v>0</v>
      </c>
      <c r="L9613" s="21" t="n">
        <v>0</v>
      </c>
      <c r="M9613" s="21" t="n">
        <v>0</v>
      </c>
      <c r="N9613" s="21" t="n">
        <v>0</v>
      </c>
      <c r="O9613" s="21" t="n">
        <v>0</v>
      </c>
      <c r="P9613" s="21" t="n">
        <v>0</v>
      </c>
      <c r="Q9613" s="21" t="n">
        <v>0</v>
      </c>
      <c r="R9613" s="21" t="n">
        <v>0</v>
      </c>
      <c r="S9613" s="21" t="n">
        <v>0</v>
      </c>
      <c r="T9613" s="21">
        <f>$B$8764</f>
        <v/>
      </c>
      <c r="U9613" s="21">
        <f>$B$8766</f>
        <v/>
      </c>
      <c r="V9613" s="21">
        <f>0</f>
        <v/>
      </c>
      <c r="W9613" s="21">
        <f>2*$B$8765</f>
        <v/>
      </c>
      <c r="X9613" s="21">
        <f>-$B$8764</f>
        <v/>
      </c>
      <c r="Y9613" s="21">
        <f>$B$8766</f>
        <v/>
      </c>
      <c r="Z9613" s="19" t="n"/>
    </row>
    <row r="9614">
      <c r="D9614" s="21" t="n">
        <v>0</v>
      </c>
      <c r="E9614" s="21" t="n">
        <v>0</v>
      </c>
      <c r="F9614" s="21" t="n">
        <v>0</v>
      </c>
      <c r="G9614" s="21" t="n">
        <v>0</v>
      </c>
      <c r="H9614" s="21" t="n">
        <v>0</v>
      </c>
      <c r="I9614" s="21" t="n">
        <v>0</v>
      </c>
      <c r="J9614" s="21" t="n">
        <v>0</v>
      </c>
      <c r="K9614" s="21" t="n">
        <v>0</v>
      </c>
      <c r="L9614" s="21" t="n">
        <v>0</v>
      </c>
      <c r="M9614" s="21" t="n">
        <v>0</v>
      </c>
      <c r="N9614" s="21" t="n">
        <v>0</v>
      </c>
      <c r="O9614" s="21" t="n">
        <v>0</v>
      </c>
      <c r="P9614" s="21" t="n">
        <v>0</v>
      </c>
      <c r="Q9614" s="21" t="n">
        <v>0</v>
      </c>
      <c r="R9614" s="21" t="n">
        <v>0</v>
      </c>
      <c r="S9614" s="21" t="n">
        <v>0</v>
      </c>
      <c r="T9614" s="21" t="n">
        <v>0</v>
      </c>
      <c r="U9614" s="21" t="n">
        <v>0</v>
      </c>
      <c r="V9614" s="21">
        <f>-$B$8763</f>
        <v/>
      </c>
      <c r="W9614" s="21">
        <f>-$B$8764</f>
        <v/>
      </c>
      <c r="X9614" s="21">
        <f>$B$8763+$D$9592</f>
        <v/>
      </c>
      <c r="Y9614" s="21">
        <f>-$B$8764</f>
        <v/>
      </c>
      <c r="Z9614" s="19" t="n"/>
    </row>
    <row r="9615">
      <c r="D9615" s="21" t="n">
        <v>0</v>
      </c>
      <c r="E9615" s="21" t="n">
        <v>0</v>
      </c>
      <c r="F9615" s="21" t="n">
        <v>0</v>
      </c>
      <c r="G9615" s="21" t="n">
        <v>0</v>
      </c>
      <c r="H9615" s="21" t="n">
        <v>0</v>
      </c>
      <c r="I9615" s="21" t="n">
        <v>0</v>
      </c>
      <c r="J9615" s="21" t="n">
        <v>0</v>
      </c>
      <c r="K9615" s="21" t="n">
        <v>0</v>
      </c>
      <c r="L9615" s="21" t="n">
        <v>0</v>
      </c>
      <c r="M9615" s="21" t="n">
        <v>0</v>
      </c>
      <c r="N9615" s="21" t="n">
        <v>0</v>
      </c>
      <c r="O9615" s="21" t="n">
        <v>0</v>
      </c>
      <c r="P9615" s="21" t="n">
        <v>0</v>
      </c>
      <c r="Q9615" s="21" t="n">
        <v>0</v>
      </c>
      <c r="R9615" s="21" t="n">
        <v>0</v>
      </c>
      <c r="S9615" s="21" t="n">
        <v>0</v>
      </c>
      <c r="T9615" s="21" t="n">
        <v>0</v>
      </c>
      <c r="U9615" s="21" t="n">
        <v>0</v>
      </c>
      <c r="V9615" s="21">
        <f>$B$8764</f>
        <v/>
      </c>
      <c r="W9615" s="21">
        <f>$B$8766</f>
        <v/>
      </c>
      <c r="X9615" s="21">
        <f>-$B$8764</f>
        <v/>
      </c>
      <c r="Y9615" s="21">
        <f>$B$8765</f>
        <v/>
      </c>
      <c r="Z9615" s="19" t="n"/>
    </row>
    <row r="9617">
      <c r="A9617" s="8" t="inlineStr">
        <is>
          <t>gen 23</t>
        </is>
      </c>
    </row>
    <row r="9618">
      <c r="D9618" s="19">
        <f>IF(ABS(IF(ABS($E$9582)&gt;0.000000001,$E$9582,0.000000001))=0,0,IF($E$8778&lt;=$B$8772,0,IF(ABS(IF(ABS($E$9582)&gt;0.000000001,$E$9582,0.000000001))&gt;=8*$B$8774,$H$8778,0.5*$H$8778*(ABS(IF(ABS($E$9582)&gt;0.000000001,$E$9582,0.000000001))/$B$8774)^(1/3)))/ABS(IF(ABS($E$9582)&gt;0.000000001,$E$9582,0.000000001))*$I$8778)</f>
        <v/>
      </c>
      <c r="E9618" s="19">
        <f>0.5*$E$9582+0.5*$Z$9630</f>
        <v/>
      </c>
      <c r="F9618" s="19">
        <f>$Z$9631</f>
        <v/>
      </c>
    </row>
    <row r="9619">
      <c r="D9619" s="19">
        <f>IF(ABS(IF(ABS($E$9583)&gt;0.000000001,$E$9583,0.000000001))=0,0,IF($E$8779&lt;=$B$8772,0,IF(ABS(IF(ABS($E$9583)&gt;0.000000001,$E$9583,0.000000001))&gt;=8*$B$8774,$H$8779,0.5*$H$8779*(ABS(IF(ABS($E$9583)&gt;0.000000001,$E$9583,0.000000001))/$B$8774)^(1/3)))/ABS(IF(ABS($E$9583)&gt;0.000000001,$E$9583,0.000000001))*$I$8779)</f>
        <v/>
      </c>
      <c r="E9619" s="19">
        <f>0.5*$E$9583+0.5*$Z$9632</f>
        <v/>
      </c>
      <c r="F9619" s="19">
        <f>$Z$9633</f>
        <v/>
      </c>
    </row>
    <row r="9620">
      <c r="D9620" s="19">
        <f>IF(ABS(IF(ABS($E$9584)&gt;0.000000001,$E$9584,0.000000001))=0,0,IF($E$8780&lt;=$B$8772,0,IF(ABS(IF(ABS($E$9584)&gt;0.000000001,$E$9584,0.000000001))&gt;=8*$B$8774,$H$8780,0.5*$H$8780*(ABS(IF(ABS($E$9584)&gt;0.000000001,$E$9584,0.000000001))/$B$8774)^(1/3)))/ABS(IF(ABS($E$9584)&gt;0.000000001,$E$9584,0.000000001))*$I$8780)</f>
        <v/>
      </c>
      <c r="E9620" s="19">
        <f>0.5*$E$9584+0.5*$Z$9634</f>
        <v/>
      </c>
      <c r="F9620" s="19">
        <f>$Z$9635</f>
        <v/>
      </c>
    </row>
    <row r="9621">
      <c r="D9621" s="19">
        <f>IF(ABS(IF(ABS($E$9585)&gt;0.000000001,$E$9585,0.000000001))=0,0,IF($E$8781&lt;=$B$8772,0,IF(ABS(IF(ABS($E$9585)&gt;0.000000001,$E$9585,0.000000001))&gt;=8*$B$8774,$H$8781,0.5*$H$8781*(ABS(IF(ABS($E$9585)&gt;0.000000001,$E$9585,0.000000001))/$B$8774)^(1/3)))/ABS(IF(ABS($E$9585)&gt;0.000000001,$E$9585,0.000000001))*$I$8781)</f>
        <v/>
      </c>
      <c r="E9621" s="19">
        <f>0.5*$E$9585+0.5*$Z$9636</f>
        <v/>
      </c>
      <c r="F9621" s="19">
        <f>$Z$9637</f>
        <v/>
      </c>
    </row>
    <row r="9622">
      <c r="D9622" s="19">
        <f>IF(ABS(IF(ABS($E$9586)&gt;0.000000001,$E$9586,0.000000001))=0,0,IF($E$8782&lt;=$B$8772,0,IF(ABS(IF(ABS($E$9586)&gt;0.000000001,$E$9586,0.000000001))&gt;=8*$B$8774,$H$8782,0.5*$H$8782*(ABS(IF(ABS($E$9586)&gt;0.000000001,$E$9586,0.000000001))/$B$8774)^(1/3)))/ABS(IF(ABS($E$9586)&gt;0.000000001,$E$9586,0.000000001))*$I$8782)</f>
        <v/>
      </c>
      <c r="E9622" s="19">
        <f>0.5*$E$9586+0.5*$Z$9638</f>
        <v/>
      </c>
      <c r="F9622" s="19">
        <f>$Z$9639</f>
        <v/>
      </c>
    </row>
    <row r="9623">
      <c r="D9623" s="19">
        <f>IF(ABS(IF(ABS($E$9587)&gt;0.000000001,$E$9587,0.000000001))=0,0,IF($E$8783&lt;=$B$8772,0,IF(ABS(IF(ABS($E$9587)&gt;0.000000001,$E$9587,0.000000001))&gt;=8*$B$8774,$H$8783,0.5*$H$8783*(ABS(IF(ABS($E$9587)&gt;0.000000001,$E$9587,0.000000001))/$B$8774)^(1/3)))/ABS(IF(ABS($E$9587)&gt;0.000000001,$E$9587,0.000000001))*$I$8783)</f>
        <v/>
      </c>
      <c r="E9623" s="19">
        <f>0.5*$E$9587+0.5*$Z$9640</f>
        <v/>
      </c>
      <c r="F9623" s="19">
        <f>$Z$9641</f>
        <v/>
      </c>
    </row>
    <row r="9624">
      <c r="D9624" s="19">
        <f>IF(ABS(IF(ABS($E$9588)&gt;0.000000001,$E$9588,0.000000001))=0,0,IF($E$8784&lt;=$B$8772,0,IF(ABS(IF(ABS($E$9588)&gt;0.000000001,$E$9588,0.000000001))&gt;=8*$B$8774,$H$8784,0.5*$H$8784*(ABS(IF(ABS($E$9588)&gt;0.000000001,$E$9588,0.000000001))/$B$8774)^(1/3)))/ABS(IF(ABS($E$9588)&gt;0.000000001,$E$9588,0.000000001))*$I$8784)</f>
        <v/>
      </c>
      <c r="E9624" s="19">
        <f>0.5*$E$9588+0.5*$Z$9642</f>
        <v/>
      </c>
      <c r="F9624" s="19">
        <f>$Z$9643</f>
        <v/>
      </c>
    </row>
    <row r="9625">
      <c r="D9625" s="19">
        <f>IF(ABS(IF(ABS($E$9589)&gt;0.000000001,$E$9589,0.000000001))=0,0,IF($E$8785&lt;=$B$8772,0,IF(ABS(IF(ABS($E$9589)&gt;0.000000001,$E$9589,0.000000001))&gt;=8*$B$8774,$H$8785,0.5*$H$8785*(ABS(IF(ABS($E$9589)&gt;0.000000001,$E$9589,0.000000001))/$B$8774)^(1/3)))/ABS(IF(ABS($E$9589)&gt;0.000000001,$E$9589,0.000000001))*$I$8785)</f>
        <v/>
      </c>
      <c r="E9625" s="19">
        <f>0.5*$E$9589+0.5*$Z$9644</f>
        <v/>
      </c>
      <c r="F9625" s="19">
        <f>$Z$9645</f>
        <v/>
      </c>
    </row>
    <row r="9626">
      <c r="D9626" s="19">
        <f>IF(ABS(IF(ABS($E$9590)&gt;0.000000001,$E$9590,0.000000001))=0,0,IF($E$8786&lt;=$B$8772,0,IF(ABS(IF(ABS($E$9590)&gt;0.000000001,$E$9590,0.000000001))&gt;=8*$B$8774,$H$8786,0.5*$H$8786*(ABS(IF(ABS($E$9590)&gt;0.000000001,$E$9590,0.000000001))/$B$8774)^(1/3)))/ABS(IF(ABS($E$9590)&gt;0.000000001,$E$9590,0.000000001))*$I$8786)</f>
        <v/>
      </c>
      <c r="E9626" s="19">
        <f>0.5*$E$9590+0.5*$Z$9646</f>
        <v/>
      </c>
      <c r="F9626" s="19">
        <f>$Z$9647</f>
        <v/>
      </c>
    </row>
    <row r="9627">
      <c r="D9627" s="19">
        <f>IF(ABS(IF(ABS($E$9591)&gt;0.000000001,$E$9591,0.000000001))=0,0,IF($E$8787&lt;=$B$8772,0,IF(ABS(IF(ABS($E$9591)&gt;0.000000001,$E$9591,0.000000001))&gt;=8*$B$8774,$H$8787,0.5*$H$8787*(ABS(IF(ABS($E$9591)&gt;0.000000001,$E$9591,0.000000001))/$B$8774)^(1/3)))/ABS(IF(ABS($E$9591)&gt;0.000000001,$E$9591,0.000000001))*$I$8787)</f>
        <v/>
      </c>
      <c r="E9627" s="19">
        <f>0.5*$E$9591+0.5*$Z$9648</f>
        <v/>
      </c>
      <c r="F9627" s="19">
        <f>$Z$9649</f>
        <v/>
      </c>
    </row>
    <row r="9628">
      <c r="D9628" s="19">
        <f>IF(ABS(IF(ABS($E$9592)&gt;0.000000001,$E$9592,0.000000001))=0,0,IF($E$8788&lt;=$B$8772,0,IF(ABS(IF(ABS($E$9592)&gt;0.000000001,$E$9592,0.000000001))&gt;=8*$B$8774,$H$8788,0.5*$H$8788*(ABS(IF(ABS($E$9592)&gt;0.000000001,$E$9592,0.000000001))/$B$8774)^(1/3)))/ABS(IF(ABS($E$9592)&gt;0.000000001,$E$9592,0.000000001))*$I$8788)</f>
        <v/>
      </c>
      <c r="E9628" s="19">
        <f>0.5*$E$9592+0.5*$Z$9650</f>
        <v/>
      </c>
      <c r="F9628" s="19">
        <f>$Z$9651</f>
        <v/>
      </c>
    </row>
    <row r="9630">
      <c r="D9630" s="21">
        <f>$B$8763+$D$9618</f>
        <v/>
      </c>
      <c r="E9630" s="21">
        <f>$B$8764</f>
        <v/>
      </c>
      <c r="F9630" s="21">
        <f>-$B$8763</f>
        <v/>
      </c>
      <c r="G9630" s="21">
        <f>$B$8764</f>
        <v/>
      </c>
      <c r="H9630" s="21" t="n">
        <v>0</v>
      </c>
      <c r="I9630" s="21" t="n">
        <v>0</v>
      </c>
      <c r="J9630" s="21" t="n">
        <v>0</v>
      </c>
      <c r="K9630" s="21" t="n">
        <v>0</v>
      </c>
      <c r="L9630" s="21" t="n">
        <v>0</v>
      </c>
      <c r="M9630" s="21" t="n">
        <v>0</v>
      </c>
      <c r="N9630" s="21" t="n">
        <v>0</v>
      </c>
      <c r="O9630" s="21" t="n">
        <v>0</v>
      </c>
      <c r="P9630" s="21" t="n">
        <v>0</v>
      </c>
      <c r="Q9630" s="21" t="n">
        <v>0</v>
      </c>
      <c r="R9630" s="21" t="n">
        <v>0</v>
      </c>
      <c r="S9630" s="21" t="n">
        <v>0</v>
      </c>
      <c r="T9630" s="21" t="n">
        <v>0</v>
      </c>
      <c r="U9630" s="21" t="n">
        <v>0</v>
      </c>
      <c r="V9630" s="21" t="n">
        <v>0</v>
      </c>
      <c r="W9630" s="21" t="n">
        <v>0</v>
      </c>
      <c r="X9630" s="21" t="n">
        <v>0</v>
      </c>
      <c r="Y9630" s="21" t="n">
        <v>0</v>
      </c>
      <c r="Z9630" s="19">
        <f t="array" ref="Z9630:Z9651">MMULT(MINVERSE($D$9630:$Y$9651),$D$8790:$D$8811)</f>
        <v/>
      </c>
    </row>
    <row r="9631">
      <c r="D9631" s="21">
        <f>$B$8764</f>
        <v/>
      </c>
      <c r="E9631" s="21">
        <f>$B$8765</f>
        <v/>
      </c>
      <c r="F9631" s="21">
        <f>-$B$8764</f>
        <v/>
      </c>
      <c r="G9631" s="21">
        <f>$B$8766</f>
        <v/>
      </c>
      <c r="H9631" s="21" t="n">
        <v>0</v>
      </c>
      <c r="I9631" s="21" t="n">
        <v>0</v>
      </c>
      <c r="J9631" s="21" t="n">
        <v>0</v>
      </c>
      <c r="K9631" s="21" t="n">
        <v>0</v>
      </c>
      <c r="L9631" s="21" t="n">
        <v>0</v>
      </c>
      <c r="M9631" s="21" t="n">
        <v>0</v>
      </c>
      <c r="N9631" s="21" t="n">
        <v>0</v>
      </c>
      <c r="O9631" s="21" t="n">
        <v>0</v>
      </c>
      <c r="P9631" s="21" t="n">
        <v>0</v>
      </c>
      <c r="Q9631" s="21" t="n">
        <v>0</v>
      </c>
      <c r="R9631" s="21" t="n">
        <v>0</v>
      </c>
      <c r="S9631" s="21" t="n">
        <v>0</v>
      </c>
      <c r="T9631" s="21" t="n">
        <v>0</v>
      </c>
      <c r="U9631" s="21" t="n">
        <v>0</v>
      </c>
      <c r="V9631" s="21" t="n">
        <v>0</v>
      </c>
      <c r="W9631" s="21" t="n">
        <v>0</v>
      </c>
      <c r="X9631" s="21" t="n">
        <v>0</v>
      </c>
      <c r="Y9631" s="21" t="n">
        <v>0</v>
      </c>
      <c r="Z9631" s="19" t="n"/>
    </row>
    <row r="9632">
      <c r="D9632" s="21">
        <f>-$B$8763</f>
        <v/>
      </c>
      <c r="E9632" s="21">
        <f>-$B$8764</f>
        <v/>
      </c>
      <c r="F9632" s="21">
        <f>2*$B$8763+$D$9619</f>
        <v/>
      </c>
      <c r="G9632" s="21">
        <f>0</f>
        <v/>
      </c>
      <c r="H9632" s="21">
        <f>-$B$8763</f>
        <v/>
      </c>
      <c r="I9632" s="21">
        <f>$B$8764</f>
        <v/>
      </c>
      <c r="J9632" s="21" t="n">
        <v>0</v>
      </c>
      <c r="K9632" s="21" t="n">
        <v>0</v>
      </c>
      <c r="L9632" s="21" t="n">
        <v>0</v>
      </c>
      <c r="M9632" s="21" t="n">
        <v>0</v>
      </c>
      <c r="N9632" s="21" t="n">
        <v>0</v>
      </c>
      <c r="O9632" s="21" t="n">
        <v>0</v>
      </c>
      <c r="P9632" s="21" t="n">
        <v>0</v>
      </c>
      <c r="Q9632" s="21" t="n">
        <v>0</v>
      </c>
      <c r="R9632" s="21" t="n">
        <v>0</v>
      </c>
      <c r="S9632" s="21" t="n">
        <v>0</v>
      </c>
      <c r="T9632" s="21" t="n">
        <v>0</v>
      </c>
      <c r="U9632" s="21" t="n">
        <v>0</v>
      </c>
      <c r="V9632" s="21" t="n">
        <v>0</v>
      </c>
      <c r="W9632" s="21" t="n">
        <v>0</v>
      </c>
      <c r="X9632" s="21" t="n">
        <v>0</v>
      </c>
      <c r="Y9632" s="21" t="n">
        <v>0</v>
      </c>
      <c r="Z9632" s="19" t="n"/>
    </row>
    <row r="9633">
      <c r="D9633" s="21">
        <f>$B$8764</f>
        <v/>
      </c>
      <c r="E9633" s="21">
        <f>$B$8766</f>
        <v/>
      </c>
      <c r="F9633" s="21">
        <f>0</f>
        <v/>
      </c>
      <c r="G9633" s="21">
        <f>2*$B$8765</f>
        <v/>
      </c>
      <c r="H9633" s="21">
        <f>-$B$8764</f>
        <v/>
      </c>
      <c r="I9633" s="21">
        <f>$B$8766</f>
        <v/>
      </c>
      <c r="J9633" s="21" t="n">
        <v>0</v>
      </c>
      <c r="K9633" s="21" t="n">
        <v>0</v>
      </c>
      <c r="L9633" s="21" t="n">
        <v>0</v>
      </c>
      <c r="M9633" s="21" t="n">
        <v>0</v>
      </c>
      <c r="N9633" s="21" t="n">
        <v>0</v>
      </c>
      <c r="O9633" s="21" t="n">
        <v>0</v>
      </c>
      <c r="P9633" s="21" t="n">
        <v>0</v>
      </c>
      <c r="Q9633" s="21" t="n">
        <v>0</v>
      </c>
      <c r="R9633" s="21" t="n">
        <v>0</v>
      </c>
      <c r="S9633" s="21" t="n">
        <v>0</v>
      </c>
      <c r="T9633" s="21" t="n">
        <v>0</v>
      </c>
      <c r="U9633" s="21" t="n">
        <v>0</v>
      </c>
      <c r="V9633" s="21" t="n">
        <v>0</v>
      </c>
      <c r="W9633" s="21" t="n">
        <v>0</v>
      </c>
      <c r="X9633" s="21" t="n">
        <v>0</v>
      </c>
      <c r="Y9633" s="21" t="n">
        <v>0</v>
      </c>
      <c r="Z9633" s="19" t="n"/>
    </row>
    <row r="9634">
      <c r="D9634" s="21" t="n">
        <v>0</v>
      </c>
      <c r="E9634" s="21" t="n">
        <v>0</v>
      </c>
      <c r="F9634" s="21">
        <f>-$B$8763</f>
        <v/>
      </c>
      <c r="G9634" s="21">
        <f>-$B$8764</f>
        <v/>
      </c>
      <c r="H9634" s="21">
        <f>2*$B$8763+$D$9620</f>
        <v/>
      </c>
      <c r="I9634" s="21">
        <f>0</f>
        <v/>
      </c>
      <c r="J9634" s="21">
        <f>-$B$8763</f>
        <v/>
      </c>
      <c r="K9634" s="21">
        <f>$B$8764</f>
        <v/>
      </c>
      <c r="L9634" s="21" t="n">
        <v>0</v>
      </c>
      <c r="M9634" s="21" t="n">
        <v>0</v>
      </c>
      <c r="N9634" s="21" t="n">
        <v>0</v>
      </c>
      <c r="O9634" s="21" t="n">
        <v>0</v>
      </c>
      <c r="P9634" s="21" t="n">
        <v>0</v>
      </c>
      <c r="Q9634" s="21" t="n">
        <v>0</v>
      </c>
      <c r="R9634" s="21" t="n">
        <v>0</v>
      </c>
      <c r="S9634" s="21" t="n">
        <v>0</v>
      </c>
      <c r="T9634" s="21" t="n">
        <v>0</v>
      </c>
      <c r="U9634" s="21" t="n">
        <v>0</v>
      </c>
      <c r="V9634" s="21" t="n">
        <v>0</v>
      </c>
      <c r="W9634" s="21" t="n">
        <v>0</v>
      </c>
      <c r="X9634" s="21" t="n">
        <v>0</v>
      </c>
      <c r="Y9634" s="21" t="n">
        <v>0</v>
      </c>
      <c r="Z9634" s="19" t="n"/>
    </row>
    <row r="9635">
      <c r="D9635" s="21" t="n">
        <v>0</v>
      </c>
      <c r="E9635" s="21" t="n">
        <v>0</v>
      </c>
      <c r="F9635" s="21">
        <f>$B$8764</f>
        <v/>
      </c>
      <c r="G9635" s="21">
        <f>$B$8766</f>
        <v/>
      </c>
      <c r="H9635" s="21">
        <f>0</f>
        <v/>
      </c>
      <c r="I9635" s="21">
        <f>2*$B$8765</f>
        <v/>
      </c>
      <c r="J9635" s="21">
        <f>-$B$8764</f>
        <v/>
      </c>
      <c r="K9635" s="21">
        <f>$B$8766</f>
        <v/>
      </c>
      <c r="L9635" s="21" t="n">
        <v>0</v>
      </c>
      <c r="M9635" s="21" t="n">
        <v>0</v>
      </c>
      <c r="N9635" s="21" t="n">
        <v>0</v>
      </c>
      <c r="O9635" s="21" t="n">
        <v>0</v>
      </c>
      <c r="P9635" s="21" t="n">
        <v>0</v>
      </c>
      <c r="Q9635" s="21" t="n">
        <v>0</v>
      </c>
      <c r="R9635" s="21" t="n">
        <v>0</v>
      </c>
      <c r="S9635" s="21" t="n">
        <v>0</v>
      </c>
      <c r="T9635" s="21" t="n">
        <v>0</v>
      </c>
      <c r="U9635" s="21" t="n">
        <v>0</v>
      </c>
      <c r="V9635" s="21" t="n">
        <v>0</v>
      </c>
      <c r="W9635" s="21" t="n">
        <v>0</v>
      </c>
      <c r="X9635" s="21" t="n">
        <v>0</v>
      </c>
      <c r="Y9635" s="21" t="n">
        <v>0</v>
      </c>
      <c r="Z9635" s="19" t="n"/>
    </row>
    <row r="9636">
      <c r="D9636" s="21" t="n">
        <v>0</v>
      </c>
      <c r="E9636" s="21" t="n">
        <v>0</v>
      </c>
      <c r="F9636" s="21" t="n">
        <v>0</v>
      </c>
      <c r="G9636" s="21" t="n">
        <v>0</v>
      </c>
      <c r="H9636" s="21">
        <f>-$B$8763</f>
        <v/>
      </c>
      <c r="I9636" s="21">
        <f>-$B$8764</f>
        <v/>
      </c>
      <c r="J9636" s="21">
        <f>2*$B$8763+$D$9621</f>
        <v/>
      </c>
      <c r="K9636" s="21">
        <f>0</f>
        <v/>
      </c>
      <c r="L9636" s="21">
        <f>-$B$8763</f>
        <v/>
      </c>
      <c r="M9636" s="21">
        <f>$B$8764</f>
        <v/>
      </c>
      <c r="N9636" s="21" t="n">
        <v>0</v>
      </c>
      <c r="O9636" s="21" t="n">
        <v>0</v>
      </c>
      <c r="P9636" s="21" t="n">
        <v>0</v>
      </c>
      <c r="Q9636" s="21" t="n">
        <v>0</v>
      </c>
      <c r="R9636" s="21" t="n">
        <v>0</v>
      </c>
      <c r="S9636" s="21" t="n">
        <v>0</v>
      </c>
      <c r="T9636" s="21" t="n">
        <v>0</v>
      </c>
      <c r="U9636" s="21" t="n">
        <v>0</v>
      </c>
      <c r="V9636" s="21" t="n">
        <v>0</v>
      </c>
      <c r="W9636" s="21" t="n">
        <v>0</v>
      </c>
      <c r="X9636" s="21" t="n">
        <v>0</v>
      </c>
      <c r="Y9636" s="21" t="n">
        <v>0</v>
      </c>
      <c r="Z9636" s="19" t="n"/>
    </row>
    <row r="9637">
      <c r="D9637" s="21" t="n">
        <v>0</v>
      </c>
      <c r="E9637" s="21" t="n">
        <v>0</v>
      </c>
      <c r="F9637" s="21" t="n">
        <v>0</v>
      </c>
      <c r="G9637" s="21" t="n">
        <v>0</v>
      </c>
      <c r="H9637" s="21">
        <f>$B$8764</f>
        <v/>
      </c>
      <c r="I9637" s="21">
        <f>$B$8766</f>
        <v/>
      </c>
      <c r="J9637" s="21">
        <f>0</f>
        <v/>
      </c>
      <c r="K9637" s="21">
        <f>2*$B$8765</f>
        <v/>
      </c>
      <c r="L9637" s="21">
        <f>-$B$8764</f>
        <v/>
      </c>
      <c r="M9637" s="21">
        <f>$B$8766</f>
        <v/>
      </c>
      <c r="N9637" s="21" t="n">
        <v>0</v>
      </c>
      <c r="O9637" s="21" t="n">
        <v>0</v>
      </c>
      <c r="P9637" s="21" t="n">
        <v>0</v>
      </c>
      <c r="Q9637" s="21" t="n">
        <v>0</v>
      </c>
      <c r="R9637" s="21" t="n">
        <v>0</v>
      </c>
      <c r="S9637" s="21" t="n">
        <v>0</v>
      </c>
      <c r="T9637" s="21" t="n">
        <v>0</v>
      </c>
      <c r="U9637" s="21" t="n">
        <v>0</v>
      </c>
      <c r="V9637" s="21" t="n">
        <v>0</v>
      </c>
      <c r="W9637" s="21" t="n">
        <v>0</v>
      </c>
      <c r="X9637" s="21" t="n">
        <v>0</v>
      </c>
      <c r="Y9637" s="21" t="n">
        <v>0</v>
      </c>
      <c r="Z9637" s="19" t="n"/>
    </row>
    <row r="9638">
      <c r="D9638" s="21" t="n">
        <v>0</v>
      </c>
      <c r="E9638" s="21" t="n">
        <v>0</v>
      </c>
      <c r="F9638" s="21" t="n">
        <v>0</v>
      </c>
      <c r="G9638" s="21" t="n">
        <v>0</v>
      </c>
      <c r="H9638" s="21" t="n">
        <v>0</v>
      </c>
      <c r="I9638" s="21" t="n">
        <v>0</v>
      </c>
      <c r="J9638" s="21">
        <f>-$B$8763</f>
        <v/>
      </c>
      <c r="K9638" s="21">
        <f>-$B$8764</f>
        <v/>
      </c>
      <c r="L9638" s="21">
        <f>2*$B$8763+$D$9622</f>
        <v/>
      </c>
      <c r="M9638" s="21">
        <f>0</f>
        <v/>
      </c>
      <c r="N9638" s="21">
        <f>-$B$8763</f>
        <v/>
      </c>
      <c r="O9638" s="21">
        <f>$B$8764</f>
        <v/>
      </c>
      <c r="P9638" s="21" t="n">
        <v>0</v>
      </c>
      <c r="Q9638" s="21" t="n">
        <v>0</v>
      </c>
      <c r="R9638" s="21" t="n">
        <v>0</v>
      </c>
      <c r="S9638" s="21" t="n">
        <v>0</v>
      </c>
      <c r="T9638" s="21" t="n">
        <v>0</v>
      </c>
      <c r="U9638" s="21" t="n">
        <v>0</v>
      </c>
      <c r="V9638" s="21" t="n">
        <v>0</v>
      </c>
      <c r="W9638" s="21" t="n">
        <v>0</v>
      </c>
      <c r="X9638" s="21" t="n">
        <v>0</v>
      </c>
      <c r="Y9638" s="21" t="n">
        <v>0</v>
      </c>
      <c r="Z9638" s="19" t="n"/>
    </row>
    <row r="9639">
      <c r="D9639" s="21" t="n">
        <v>0</v>
      </c>
      <c r="E9639" s="21" t="n">
        <v>0</v>
      </c>
      <c r="F9639" s="21" t="n">
        <v>0</v>
      </c>
      <c r="G9639" s="21" t="n">
        <v>0</v>
      </c>
      <c r="H9639" s="21" t="n">
        <v>0</v>
      </c>
      <c r="I9639" s="21" t="n">
        <v>0</v>
      </c>
      <c r="J9639" s="21">
        <f>$B$8764</f>
        <v/>
      </c>
      <c r="K9639" s="21">
        <f>$B$8766</f>
        <v/>
      </c>
      <c r="L9639" s="21">
        <f>0</f>
        <v/>
      </c>
      <c r="M9639" s="21">
        <f>2*$B$8765</f>
        <v/>
      </c>
      <c r="N9639" s="21">
        <f>-$B$8764</f>
        <v/>
      </c>
      <c r="O9639" s="21">
        <f>$B$8766</f>
        <v/>
      </c>
      <c r="P9639" s="21" t="n">
        <v>0</v>
      </c>
      <c r="Q9639" s="21" t="n">
        <v>0</v>
      </c>
      <c r="R9639" s="21" t="n">
        <v>0</v>
      </c>
      <c r="S9639" s="21" t="n">
        <v>0</v>
      </c>
      <c r="T9639" s="21" t="n">
        <v>0</v>
      </c>
      <c r="U9639" s="21" t="n">
        <v>0</v>
      </c>
      <c r="V9639" s="21" t="n">
        <v>0</v>
      </c>
      <c r="W9639" s="21" t="n">
        <v>0</v>
      </c>
      <c r="X9639" s="21" t="n">
        <v>0</v>
      </c>
      <c r="Y9639" s="21" t="n">
        <v>0</v>
      </c>
      <c r="Z9639" s="19" t="n"/>
    </row>
    <row r="9640">
      <c r="D9640" s="21" t="n">
        <v>0</v>
      </c>
      <c r="E9640" s="21" t="n">
        <v>0</v>
      </c>
      <c r="F9640" s="21" t="n">
        <v>0</v>
      </c>
      <c r="G9640" s="21" t="n">
        <v>0</v>
      </c>
      <c r="H9640" s="21" t="n">
        <v>0</v>
      </c>
      <c r="I9640" s="21" t="n">
        <v>0</v>
      </c>
      <c r="J9640" s="21" t="n">
        <v>0</v>
      </c>
      <c r="K9640" s="21" t="n">
        <v>0</v>
      </c>
      <c r="L9640" s="21">
        <f>-$B$8763</f>
        <v/>
      </c>
      <c r="M9640" s="21">
        <f>-$B$8764</f>
        <v/>
      </c>
      <c r="N9640" s="21">
        <f>2*$B$8763+$D$9623</f>
        <v/>
      </c>
      <c r="O9640" s="21">
        <f>0</f>
        <v/>
      </c>
      <c r="P9640" s="21">
        <f>-$B$8763</f>
        <v/>
      </c>
      <c r="Q9640" s="21">
        <f>$B$8764</f>
        <v/>
      </c>
      <c r="R9640" s="21" t="n">
        <v>0</v>
      </c>
      <c r="S9640" s="21" t="n">
        <v>0</v>
      </c>
      <c r="T9640" s="21" t="n">
        <v>0</v>
      </c>
      <c r="U9640" s="21" t="n">
        <v>0</v>
      </c>
      <c r="V9640" s="21" t="n">
        <v>0</v>
      </c>
      <c r="W9640" s="21" t="n">
        <v>0</v>
      </c>
      <c r="X9640" s="21" t="n">
        <v>0</v>
      </c>
      <c r="Y9640" s="21" t="n">
        <v>0</v>
      </c>
      <c r="Z9640" s="19" t="n"/>
    </row>
    <row r="9641">
      <c r="D9641" s="21" t="n">
        <v>0</v>
      </c>
      <c r="E9641" s="21" t="n">
        <v>0</v>
      </c>
      <c r="F9641" s="21" t="n">
        <v>0</v>
      </c>
      <c r="G9641" s="21" t="n">
        <v>0</v>
      </c>
      <c r="H9641" s="21" t="n">
        <v>0</v>
      </c>
      <c r="I9641" s="21" t="n">
        <v>0</v>
      </c>
      <c r="J9641" s="21" t="n">
        <v>0</v>
      </c>
      <c r="K9641" s="21" t="n">
        <v>0</v>
      </c>
      <c r="L9641" s="21">
        <f>$B$8764</f>
        <v/>
      </c>
      <c r="M9641" s="21">
        <f>$B$8766</f>
        <v/>
      </c>
      <c r="N9641" s="21">
        <f>0</f>
        <v/>
      </c>
      <c r="O9641" s="21">
        <f>2*$B$8765</f>
        <v/>
      </c>
      <c r="P9641" s="21">
        <f>-$B$8764</f>
        <v/>
      </c>
      <c r="Q9641" s="21">
        <f>$B$8766</f>
        <v/>
      </c>
      <c r="R9641" s="21" t="n">
        <v>0</v>
      </c>
      <c r="S9641" s="21" t="n">
        <v>0</v>
      </c>
      <c r="T9641" s="21" t="n">
        <v>0</v>
      </c>
      <c r="U9641" s="21" t="n">
        <v>0</v>
      </c>
      <c r="V9641" s="21" t="n">
        <v>0</v>
      </c>
      <c r="W9641" s="21" t="n">
        <v>0</v>
      </c>
      <c r="X9641" s="21" t="n">
        <v>0</v>
      </c>
      <c r="Y9641" s="21" t="n">
        <v>0</v>
      </c>
      <c r="Z9641" s="19" t="n"/>
    </row>
    <row r="9642">
      <c r="D9642" s="21" t="n">
        <v>0</v>
      </c>
      <c r="E9642" s="21" t="n">
        <v>0</v>
      </c>
      <c r="F9642" s="21" t="n">
        <v>0</v>
      </c>
      <c r="G9642" s="21" t="n">
        <v>0</v>
      </c>
      <c r="H9642" s="21" t="n">
        <v>0</v>
      </c>
      <c r="I9642" s="21" t="n">
        <v>0</v>
      </c>
      <c r="J9642" s="21" t="n">
        <v>0</v>
      </c>
      <c r="K9642" s="21" t="n">
        <v>0</v>
      </c>
      <c r="L9642" s="21" t="n">
        <v>0</v>
      </c>
      <c r="M9642" s="21" t="n">
        <v>0</v>
      </c>
      <c r="N9642" s="21">
        <f>-$B$8763</f>
        <v/>
      </c>
      <c r="O9642" s="21">
        <f>-$B$8764</f>
        <v/>
      </c>
      <c r="P9642" s="21">
        <f>2*$B$8763+$D$9624</f>
        <v/>
      </c>
      <c r="Q9642" s="21">
        <f>0</f>
        <v/>
      </c>
      <c r="R9642" s="21">
        <f>-$B$8763</f>
        <v/>
      </c>
      <c r="S9642" s="21">
        <f>$B$8764</f>
        <v/>
      </c>
      <c r="T9642" s="21" t="n">
        <v>0</v>
      </c>
      <c r="U9642" s="21" t="n">
        <v>0</v>
      </c>
      <c r="V9642" s="21" t="n">
        <v>0</v>
      </c>
      <c r="W9642" s="21" t="n">
        <v>0</v>
      </c>
      <c r="X9642" s="21" t="n">
        <v>0</v>
      </c>
      <c r="Y9642" s="21" t="n">
        <v>0</v>
      </c>
      <c r="Z9642" s="19" t="n"/>
    </row>
    <row r="9643">
      <c r="D9643" s="21" t="n">
        <v>0</v>
      </c>
      <c r="E9643" s="21" t="n">
        <v>0</v>
      </c>
      <c r="F9643" s="21" t="n">
        <v>0</v>
      </c>
      <c r="G9643" s="21" t="n">
        <v>0</v>
      </c>
      <c r="H9643" s="21" t="n">
        <v>0</v>
      </c>
      <c r="I9643" s="21" t="n">
        <v>0</v>
      </c>
      <c r="J9643" s="21" t="n">
        <v>0</v>
      </c>
      <c r="K9643" s="21" t="n">
        <v>0</v>
      </c>
      <c r="L9643" s="21" t="n">
        <v>0</v>
      </c>
      <c r="M9643" s="21" t="n">
        <v>0</v>
      </c>
      <c r="N9643" s="21">
        <f>$B$8764</f>
        <v/>
      </c>
      <c r="O9643" s="21">
        <f>$B$8766</f>
        <v/>
      </c>
      <c r="P9643" s="21">
        <f>0</f>
        <v/>
      </c>
      <c r="Q9643" s="21">
        <f>2*$B$8765</f>
        <v/>
      </c>
      <c r="R9643" s="21">
        <f>-$B$8764</f>
        <v/>
      </c>
      <c r="S9643" s="21">
        <f>$B$8766</f>
        <v/>
      </c>
      <c r="T9643" s="21" t="n">
        <v>0</v>
      </c>
      <c r="U9643" s="21" t="n">
        <v>0</v>
      </c>
      <c r="V9643" s="21" t="n">
        <v>0</v>
      </c>
      <c r="W9643" s="21" t="n">
        <v>0</v>
      </c>
      <c r="X9643" s="21" t="n">
        <v>0</v>
      </c>
      <c r="Y9643" s="21" t="n">
        <v>0</v>
      </c>
      <c r="Z9643" s="19" t="n"/>
    </row>
    <row r="9644">
      <c r="D9644" s="21" t="n">
        <v>0</v>
      </c>
      <c r="E9644" s="21" t="n">
        <v>0</v>
      </c>
      <c r="F9644" s="21" t="n">
        <v>0</v>
      </c>
      <c r="G9644" s="21" t="n">
        <v>0</v>
      </c>
      <c r="H9644" s="21" t="n">
        <v>0</v>
      </c>
      <c r="I9644" s="21" t="n">
        <v>0</v>
      </c>
      <c r="J9644" s="21" t="n">
        <v>0</v>
      </c>
      <c r="K9644" s="21" t="n">
        <v>0</v>
      </c>
      <c r="L9644" s="21" t="n">
        <v>0</v>
      </c>
      <c r="M9644" s="21" t="n">
        <v>0</v>
      </c>
      <c r="N9644" s="21" t="n">
        <v>0</v>
      </c>
      <c r="O9644" s="21" t="n">
        <v>0</v>
      </c>
      <c r="P9644" s="21">
        <f>-$B$8763</f>
        <v/>
      </c>
      <c r="Q9644" s="21">
        <f>-$B$8764</f>
        <v/>
      </c>
      <c r="R9644" s="21">
        <f>2*$B$8763+$D$9625</f>
        <v/>
      </c>
      <c r="S9644" s="21">
        <f>0</f>
        <v/>
      </c>
      <c r="T9644" s="21">
        <f>-$B$8763</f>
        <v/>
      </c>
      <c r="U9644" s="21">
        <f>$B$8764</f>
        <v/>
      </c>
      <c r="V9644" s="21" t="n">
        <v>0</v>
      </c>
      <c r="W9644" s="21" t="n">
        <v>0</v>
      </c>
      <c r="X9644" s="21" t="n">
        <v>0</v>
      </c>
      <c r="Y9644" s="21" t="n">
        <v>0</v>
      </c>
      <c r="Z9644" s="19" t="n"/>
    </row>
    <row r="9645">
      <c r="D9645" s="21" t="n">
        <v>0</v>
      </c>
      <c r="E9645" s="21" t="n">
        <v>0</v>
      </c>
      <c r="F9645" s="21" t="n">
        <v>0</v>
      </c>
      <c r="G9645" s="21" t="n">
        <v>0</v>
      </c>
      <c r="H9645" s="21" t="n">
        <v>0</v>
      </c>
      <c r="I9645" s="21" t="n">
        <v>0</v>
      </c>
      <c r="J9645" s="21" t="n">
        <v>0</v>
      </c>
      <c r="K9645" s="21" t="n">
        <v>0</v>
      </c>
      <c r="L9645" s="21" t="n">
        <v>0</v>
      </c>
      <c r="M9645" s="21" t="n">
        <v>0</v>
      </c>
      <c r="N9645" s="21" t="n">
        <v>0</v>
      </c>
      <c r="O9645" s="21" t="n">
        <v>0</v>
      </c>
      <c r="P9645" s="21">
        <f>$B$8764</f>
        <v/>
      </c>
      <c r="Q9645" s="21">
        <f>$B$8766</f>
        <v/>
      </c>
      <c r="R9645" s="21">
        <f>0</f>
        <v/>
      </c>
      <c r="S9645" s="21">
        <f>2*$B$8765</f>
        <v/>
      </c>
      <c r="T9645" s="21">
        <f>-$B$8764</f>
        <v/>
      </c>
      <c r="U9645" s="21">
        <f>$B$8766</f>
        <v/>
      </c>
      <c r="V9645" s="21" t="n">
        <v>0</v>
      </c>
      <c r="W9645" s="21" t="n">
        <v>0</v>
      </c>
      <c r="X9645" s="21" t="n">
        <v>0</v>
      </c>
      <c r="Y9645" s="21" t="n">
        <v>0</v>
      </c>
      <c r="Z9645" s="19" t="n"/>
    </row>
    <row r="9646">
      <c r="D9646" s="21" t="n">
        <v>0</v>
      </c>
      <c r="E9646" s="21" t="n">
        <v>0</v>
      </c>
      <c r="F9646" s="21" t="n">
        <v>0</v>
      </c>
      <c r="G9646" s="21" t="n">
        <v>0</v>
      </c>
      <c r="H9646" s="21" t="n">
        <v>0</v>
      </c>
      <c r="I9646" s="21" t="n">
        <v>0</v>
      </c>
      <c r="J9646" s="21" t="n">
        <v>0</v>
      </c>
      <c r="K9646" s="21" t="n">
        <v>0</v>
      </c>
      <c r="L9646" s="21" t="n">
        <v>0</v>
      </c>
      <c r="M9646" s="21" t="n">
        <v>0</v>
      </c>
      <c r="N9646" s="21" t="n">
        <v>0</v>
      </c>
      <c r="O9646" s="21" t="n">
        <v>0</v>
      </c>
      <c r="P9646" s="21" t="n">
        <v>0</v>
      </c>
      <c r="Q9646" s="21" t="n">
        <v>0</v>
      </c>
      <c r="R9646" s="21">
        <f>-$B$8763</f>
        <v/>
      </c>
      <c r="S9646" s="21">
        <f>-$B$8764</f>
        <v/>
      </c>
      <c r="T9646" s="21">
        <f>2*$B$8763+$D$9626</f>
        <v/>
      </c>
      <c r="U9646" s="21">
        <f>0</f>
        <v/>
      </c>
      <c r="V9646" s="21">
        <f>-$B$8763</f>
        <v/>
      </c>
      <c r="W9646" s="21">
        <f>$B$8764</f>
        <v/>
      </c>
      <c r="X9646" s="21" t="n">
        <v>0</v>
      </c>
      <c r="Y9646" s="21" t="n">
        <v>0</v>
      </c>
      <c r="Z9646" s="19" t="n"/>
    </row>
    <row r="9647">
      <c r="D9647" s="21" t="n">
        <v>0</v>
      </c>
      <c r="E9647" s="21" t="n">
        <v>0</v>
      </c>
      <c r="F9647" s="21" t="n">
        <v>0</v>
      </c>
      <c r="G9647" s="21" t="n">
        <v>0</v>
      </c>
      <c r="H9647" s="21" t="n">
        <v>0</v>
      </c>
      <c r="I9647" s="21" t="n">
        <v>0</v>
      </c>
      <c r="J9647" s="21" t="n">
        <v>0</v>
      </c>
      <c r="K9647" s="21" t="n">
        <v>0</v>
      </c>
      <c r="L9647" s="21" t="n">
        <v>0</v>
      </c>
      <c r="M9647" s="21" t="n">
        <v>0</v>
      </c>
      <c r="N9647" s="21" t="n">
        <v>0</v>
      </c>
      <c r="O9647" s="21" t="n">
        <v>0</v>
      </c>
      <c r="P9647" s="21" t="n">
        <v>0</v>
      </c>
      <c r="Q9647" s="21" t="n">
        <v>0</v>
      </c>
      <c r="R9647" s="21">
        <f>$B$8764</f>
        <v/>
      </c>
      <c r="S9647" s="21">
        <f>$B$8766</f>
        <v/>
      </c>
      <c r="T9647" s="21">
        <f>0</f>
        <v/>
      </c>
      <c r="U9647" s="21">
        <f>2*$B$8765</f>
        <v/>
      </c>
      <c r="V9647" s="21">
        <f>-$B$8764</f>
        <v/>
      </c>
      <c r="W9647" s="21">
        <f>$B$8766</f>
        <v/>
      </c>
      <c r="X9647" s="21" t="n">
        <v>0</v>
      </c>
      <c r="Y9647" s="21" t="n">
        <v>0</v>
      </c>
      <c r="Z9647" s="19" t="n"/>
    </row>
    <row r="9648">
      <c r="D9648" s="21" t="n">
        <v>0</v>
      </c>
      <c r="E9648" s="21" t="n">
        <v>0</v>
      </c>
      <c r="F9648" s="21" t="n">
        <v>0</v>
      </c>
      <c r="G9648" s="21" t="n">
        <v>0</v>
      </c>
      <c r="H9648" s="21" t="n">
        <v>0</v>
      </c>
      <c r="I9648" s="21" t="n">
        <v>0</v>
      </c>
      <c r="J9648" s="21" t="n">
        <v>0</v>
      </c>
      <c r="K9648" s="21" t="n">
        <v>0</v>
      </c>
      <c r="L9648" s="21" t="n">
        <v>0</v>
      </c>
      <c r="M9648" s="21" t="n">
        <v>0</v>
      </c>
      <c r="N9648" s="21" t="n">
        <v>0</v>
      </c>
      <c r="O9648" s="21" t="n">
        <v>0</v>
      </c>
      <c r="P9648" s="21" t="n">
        <v>0</v>
      </c>
      <c r="Q9648" s="21" t="n">
        <v>0</v>
      </c>
      <c r="R9648" s="21" t="n">
        <v>0</v>
      </c>
      <c r="S9648" s="21" t="n">
        <v>0</v>
      </c>
      <c r="T9648" s="21">
        <f>-$B$8763</f>
        <v/>
      </c>
      <c r="U9648" s="21">
        <f>-$B$8764</f>
        <v/>
      </c>
      <c r="V9648" s="21">
        <f>2*$B$8763+$D$9627</f>
        <v/>
      </c>
      <c r="W9648" s="21">
        <f>0</f>
        <v/>
      </c>
      <c r="X9648" s="21">
        <f>-$B$8763</f>
        <v/>
      </c>
      <c r="Y9648" s="21">
        <f>$B$8764</f>
        <v/>
      </c>
      <c r="Z9648" s="19" t="n"/>
    </row>
    <row r="9649">
      <c r="D9649" s="21" t="n">
        <v>0</v>
      </c>
      <c r="E9649" s="21" t="n">
        <v>0</v>
      </c>
      <c r="F9649" s="21" t="n">
        <v>0</v>
      </c>
      <c r="G9649" s="21" t="n">
        <v>0</v>
      </c>
      <c r="H9649" s="21" t="n">
        <v>0</v>
      </c>
      <c r="I9649" s="21" t="n">
        <v>0</v>
      </c>
      <c r="J9649" s="21" t="n">
        <v>0</v>
      </c>
      <c r="K9649" s="21" t="n">
        <v>0</v>
      </c>
      <c r="L9649" s="21" t="n">
        <v>0</v>
      </c>
      <c r="M9649" s="21" t="n">
        <v>0</v>
      </c>
      <c r="N9649" s="21" t="n">
        <v>0</v>
      </c>
      <c r="O9649" s="21" t="n">
        <v>0</v>
      </c>
      <c r="P9649" s="21" t="n">
        <v>0</v>
      </c>
      <c r="Q9649" s="21" t="n">
        <v>0</v>
      </c>
      <c r="R9649" s="21" t="n">
        <v>0</v>
      </c>
      <c r="S9649" s="21" t="n">
        <v>0</v>
      </c>
      <c r="T9649" s="21">
        <f>$B$8764</f>
        <v/>
      </c>
      <c r="U9649" s="21">
        <f>$B$8766</f>
        <v/>
      </c>
      <c r="V9649" s="21">
        <f>0</f>
        <v/>
      </c>
      <c r="W9649" s="21">
        <f>2*$B$8765</f>
        <v/>
      </c>
      <c r="X9649" s="21">
        <f>-$B$8764</f>
        <v/>
      </c>
      <c r="Y9649" s="21">
        <f>$B$8766</f>
        <v/>
      </c>
      <c r="Z9649" s="19" t="n"/>
    </row>
    <row r="9650">
      <c r="D9650" s="21" t="n">
        <v>0</v>
      </c>
      <c r="E9650" s="21" t="n">
        <v>0</v>
      </c>
      <c r="F9650" s="21" t="n">
        <v>0</v>
      </c>
      <c r="G9650" s="21" t="n">
        <v>0</v>
      </c>
      <c r="H9650" s="21" t="n">
        <v>0</v>
      </c>
      <c r="I9650" s="21" t="n">
        <v>0</v>
      </c>
      <c r="J9650" s="21" t="n">
        <v>0</v>
      </c>
      <c r="K9650" s="21" t="n">
        <v>0</v>
      </c>
      <c r="L9650" s="21" t="n">
        <v>0</v>
      </c>
      <c r="M9650" s="21" t="n">
        <v>0</v>
      </c>
      <c r="N9650" s="21" t="n">
        <v>0</v>
      </c>
      <c r="O9650" s="21" t="n">
        <v>0</v>
      </c>
      <c r="P9650" s="21" t="n">
        <v>0</v>
      </c>
      <c r="Q9650" s="21" t="n">
        <v>0</v>
      </c>
      <c r="R9650" s="21" t="n">
        <v>0</v>
      </c>
      <c r="S9650" s="21" t="n">
        <v>0</v>
      </c>
      <c r="T9650" s="21" t="n">
        <v>0</v>
      </c>
      <c r="U9650" s="21" t="n">
        <v>0</v>
      </c>
      <c r="V9650" s="21">
        <f>-$B$8763</f>
        <v/>
      </c>
      <c r="W9650" s="21">
        <f>-$B$8764</f>
        <v/>
      </c>
      <c r="X9650" s="21">
        <f>$B$8763+$D$9628</f>
        <v/>
      </c>
      <c r="Y9650" s="21">
        <f>-$B$8764</f>
        <v/>
      </c>
      <c r="Z9650" s="19" t="n"/>
    </row>
    <row r="9651">
      <c r="D9651" s="21" t="n">
        <v>0</v>
      </c>
      <c r="E9651" s="21" t="n">
        <v>0</v>
      </c>
      <c r="F9651" s="21" t="n">
        <v>0</v>
      </c>
      <c r="G9651" s="21" t="n">
        <v>0</v>
      </c>
      <c r="H9651" s="21" t="n">
        <v>0</v>
      </c>
      <c r="I9651" s="21" t="n">
        <v>0</v>
      </c>
      <c r="J9651" s="21" t="n">
        <v>0</v>
      </c>
      <c r="K9651" s="21" t="n">
        <v>0</v>
      </c>
      <c r="L9651" s="21" t="n">
        <v>0</v>
      </c>
      <c r="M9651" s="21" t="n">
        <v>0</v>
      </c>
      <c r="N9651" s="21" t="n">
        <v>0</v>
      </c>
      <c r="O9651" s="21" t="n">
        <v>0</v>
      </c>
      <c r="P9651" s="21" t="n">
        <v>0</v>
      </c>
      <c r="Q9651" s="21" t="n">
        <v>0</v>
      </c>
      <c r="R9651" s="21" t="n">
        <v>0</v>
      </c>
      <c r="S9651" s="21" t="n">
        <v>0</v>
      </c>
      <c r="T9651" s="21" t="n">
        <v>0</v>
      </c>
      <c r="U9651" s="21" t="n">
        <v>0</v>
      </c>
      <c r="V9651" s="21">
        <f>$B$8764</f>
        <v/>
      </c>
      <c r="W9651" s="21">
        <f>$B$8766</f>
        <v/>
      </c>
      <c r="X9651" s="21">
        <f>-$B$8764</f>
        <v/>
      </c>
      <c r="Y9651" s="21">
        <f>$B$8765</f>
        <v/>
      </c>
      <c r="Z9651" s="19" t="n"/>
    </row>
    <row r="9653">
      <c r="A9653" s="8" t="inlineStr">
        <is>
          <t>gen 24</t>
        </is>
      </c>
    </row>
    <row r="9654">
      <c r="D9654" s="19">
        <f>IF(ABS(IF(ABS($E$9618)&gt;0.000000001,$E$9618,0.000000001))=0,0,IF($E$8778&lt;=$B$8772,0,IF(ABS(IF(ABS($E$9618)&gt;0.000000001,$E$9618,0.000000001))&gt;=8*$B$8774,$H$8778,0.5*$H$8778*(ABS(IF(ABS($E$9618)&gt;0.000000001,$E$9618,0.000000001))/$B$8774)^(1/3)))/ABS(IF(ABS($E$9618)&gt;0.000000001,$E$9618,0.000000001))*$I$8778)</f>
        <v/>
      </c>
      <c r="E9654" s="19">
        <f>0.5*$E$9618+0.5*$Z$9666</f>
        <v/>
      </c>
      <c r="F9654" s="19">
        <f>$Z$9667</f>
        <v/>
      </c>
    </row>
    <row r="9655">
      <c r="D9655" s="19">
        <f>IF(ABS(IF(ABS($E$9619)&gt;0.000000001,$E$9619,0.000000001))=0,0,IF($E$8779&lt;=$B$8772,0,IF(ABS(IF(ABS($E$9619)&gt;0.000000001,$E$9619,0.000000001))&gt;=8*$B$8774,$H$8779,0.5*$H$8779*(ABS(IF(ABS($E$9619)&gt;0.000000001,$E$9619,0.000000001))/$B$8774)^(1/3)))/ABS(IF(ABS($E$9619)&gt;0.000000001,$E$9619,0.000000001))*$I$8779)</f>
        <v/>
      </c>
      <c r="E9655" s="19">
        <f>0.5*$E$9619+0.5*$Z$9668</f>
        <v/>
      </c>
      <c r="F9655" s="19">
        <f>$Z$9669</f>
        <v/>
      </c>
    </row>
    <row r="9656">
      <c r="D9656" s="19">
        <f>IF(ABS(IF(ABS($E$9620)&gt;0.000000001,$E$9620,0.000000001))=0,0,IF($E$8780&lt;=$B$8772,0,IF(ABS(IF(ABS($E$9620)&gt;0.000000001,$E$9620,0.000000001))&gt;=8*$B$8774,$H$8780,0.5*$H$8780*(ABS(IF(ABS($E$9620)&gt;0.000000001,$E$9620,0.000000001))/$B$8774)^(1/3)))/ABS(IF(ABS($E$9620)&gt;0.000000001,$E$9620,0.000000001))*$I$8780)</f>
        <v/>
      </c>
      <c r="E9656" s="19">
        <f>0.5*$E$9620+0.5*$Z$9670</f>
        <v/>
      </c>
      <c r="F9656" s="19">
        <f>$Z$9671</f>
        <v/>
      </c>
    </row>
    <row r="9657">
      <c r="D9657" s="19">
        <f>IF(ABS(IF(ABS($E$9621)&gt;0.000000001,$E$9621,0.000000001))=0,0,IF($E$8781&lt;=$B$8772,0,IF(ABS(IF(ABS($E$9621)&gt;0.000000001,$E$9621,0.000000001))&gt;=8*$B$8774,$H$8781,0.5*$H$8781*(ABS(IF(ABS($E$9621)&gt;0.000000001,$E$9621,0.000000001))/$B$8774)^(1/3)))/ABS(IF(ABS($E$9621)&gt;0.000000001,$E$9621,0.000000001))*$I$8781)</f>
        <v/>
      </c>
      <c r="E9657" s="19">
        <f>0.5*$E$9621+0.5*$Z$9672</f>
        <v/>
      </c>
      <c r="F9657" s="19">
        <f>$Z$9673</f>
        <v/>
      </c>
    </row>
    <row r="9658">
      <c r="D9658" s="19">
        <f>IF(ABS(IF(ABS($E$9622)&gt;0.000000001,$E$9622,0.000000001))=0,0,IF($E$8782&lt;=$B$8772,0,IF(ABS(IF(ABS($E$9622)&gt;0.000000001,$E$9622,0.000000001))&gt;=8*$B$8774,$H$8782,0.5*$H$8782*(ABS(IF(ABS($E$9622)&gt;0.000000001,$E$9622,0.000000001))/$B$8774)^(1/3)))/ABS(IF(ABS($E$9622)&gt;0.000000001,$E$9622,0.000000001))*$I$8782)</f>
        <v/>
      </c>
      <c r="E9658" s="19">
        <f>0.5*$E$9622+0.5*$Z$9674</f>
        <v/>
      </c>
      <c r="F9658" s="19">
        <f>$Z$9675</f>
        <v/>
      </c>
    </row>
    <row r="9659">
      <c r="D9659" s="19">
        <f>IF(ABS(IF(ABS($E$9623)&gt;0.000000001,$E$9623,0.000000001))=0,0,IF($E$8783&lt;=$B$8772,0,IF(ABS(IF(ABS($E$9623)&gt;0.000000001,$E$9623,0.000000001))&gt;=8*$B$8774,$H$8783,0.5*$H$8783*(ABS(IF(ABS($E$9623)&gt;0.000000001,$E$9623,0.000000001))/$B$8774)^(1/3)))/ABS(IF(ABS($E$9623)&gt;0.000000001,$E$9623,0.000000001))*$I$8783)</f>
        <v/>
      </c>
      <c r="E9659" s="19">
        <f>0.5*$E$9623+0.5*$Z$9676</f>
        <v/>
      </c>
      <c r="F9659" s="19">
        <f>$Z$9677</f>
        <v/>
      </c>
    </row>
    <row r="9660">
      <c r="D9660" s="19">
        <f>IF(ABS(IF(ABS($E$9624)&gt;0.000000001,$E$9624,0.000000001))=0,0,IF($E$8784&lt;=$B$8772,0,IF(ABS(IF(ABS($E$9624)&gt;0.000000001,$E$9624,0.000000001))&gt;=8*$B$8774,$H$8784,0.5*$H$8784*(ABS(IF(ABS($E$9624)&gt;0.000000001,$E$9624,0.000000001))/$B$8774)^(1/3)))/ABS(IF(ABS($E$9624)&gt;0.000000001,$E$9624,0.000000001))*$I$8784)</f>
        <v/>
      </c>
      <c r="E9660" s="19">
        <f>0.5*$E$9624+0.5*$Z$9678</f>
        <v/>
      </c>
      <c r="F9660" s="19">
        <f>$Z$9679</f>
        <v/>
      </c>
    </row>
    <row r="9661">
      <c r="D9661" s="19">
        <f>IF(ABS(IF(ABS($E$9625)&gt;0.000000001,$E$9625,0.000000001))=0,0,IF($E$8785&lt;=$B$8772,0,IF(ABS(IF(ABS($E$9625)&gt;0.000000001,$E$9625,0.000000001))&gt;=8*$B$8774,$H$8785,0.5*$H$8785*(ABS(IF(ABS($E$9625)&gt;0.000000001,$E$9625,0.000000001))/$B$8774)^(1/3)))/ABS(IF(ABS($E$9625)&gt;0.000000001,$E$9625,0.000000001))*$I$8785)</f>
        <v/>
      </c>
      <c r="E9661" s="19">
        <f>0.5*$E$9625+0.5*$Z$9680</f>
        <v/>
      </c>
      <c r="F9661" s="19">
        <f>$Z$9681</f>
        <v/>
      </c>
    </row>
    <row r="9662">
      <c r="D9662" s="19">
        <f>IF(ABS(IF(ABS($E$9626)&gt;0.000000001,$E$9626,0.000000001))=0,0,IF($E$8786&lt;=$B$8772,0,IF(ABS(IF(ABS($E$9626)&gt;0.000000001,$E$9626,0.000000001))&gt;=8*$B$8774,$H$8786,0.5*$H$8786*(ABS(IF(ABS($E$9626)&gt;0.000000001,$E$9626,0.000000001))/$B$8774)^(1/3)))/ABS(IF(ABS($E$9626)&gt;0.000000001,$E$9626,0.000000001))*$I$8786)</f>
        <v/>
      </c>
      <c r="E9662" s="19">
        <f>0.5*$E$9626+0.5*$Z$9682</f>
        <v/>
      </c>
      <c r="F9662" s="19">
        <f>$Z$9683</f>
        <v/>
      </c>
    </row>
    <row r="9663">
      <c r="D9663" s="19">
        <f>IF(ABS(IF(ABS($E$9627)&gt;0.000000001,$E$9627,0.000000001))=0,0,IF($E$8787&lt;=$B$8772,0,IF(ABS(IF(ABS($E$9627)&gt;0.000000001,$E$9627,0.000000001))&gt;=8*$B$8774,$H$8787,0.5*$H$8787*(ABS(IF(ABS($E$9627)&gt;0.000000001,$E$9627,0.000000001))/$B$8774)^(1/3)))/ABS(IF(ABS($E$9627)&gt;0.000000001,$E$9627,0.000000001))*$I$8787)</f>
        <v/>
      </c>
      <c r="E9663" s="19">
        <f>0.5*$E$9627+0.5*$Z$9684</f>
        <v/>
      </c>
      <c r="F9663" s="19">
        <f>$Z$9685</f>
        <v/>
      </c>
    </row>
    <row r="9664">
      <c r="D9664" s="19">
        <f>IF(ABS(IF(ABS($E$9628)&gt;0.000000001,$E$9628,0.000000001))=0,0,IF($E$8788&lt;=$B$8772,0,IF(ABS(IF(ABS($E$9628)&gt;0.000000001,$E$9628,0.000000001))&gt;=8*$B$8774,$H$8788,0.5*$H$8788*(ABS(IF(ABS($E$9628)&gt;0.000000001,$E$9628,0.000000001))/$B$8774)^(1/3)))/ABS(IF(ABS($E$9628)&gt;0.000000001,$E$9628,0.000000001))*$I$8788)</f>
        <v/>
      </c>
      <c r="E9664" s="19">
        <f>0.5*$E$9628+0.5*$Z$9686</f>
        <v/>
      </c>
      <c r="F9664" s="19">
        <f>$Z$9687</f>
        <v/>
      </c>
    </row>
    <row r="9666">
      <c r="D9666" s="21">
        <f>$B$8763+$D$9654</f>
        <v/>
      </c>
      <c r="E9666" s="21">
        <f>$B$8764</f>
        <v/>
      </c>
      <c r="F9666" s="21">
        <f>-$B$8763</f>
        <v/>
      </c>
      <c r="G9666" s="21">
        <f>$B$8764</f>
        <v/>
      </c>
      <c r="H9666" s="21" t="n">
        <v>0</v>
      </c>
      <c r="I9666" s="21" t="n">
        <v>0</v>
      </c>
      <c r="J9666" s="21" t="n">
        <v>0</v>
      </c>
      <c r="K9666" s="21" t="n">
        <v>0</v>
      </c>
      <c r="L9666" s="21" t="n">
        <v>0</v>
      </c>
      <c r="M9666" s="21" t="n">
        <v>0</v>
      </c>
      <c r="N9666" s="21" t="n">
        <v>0</v>
      </c>
      <c r="O9666" s="21" t="n">
        <v>0</v>
      </c>
      <c r="P9666" s="21" t="n">
        <v>0</v>
      </c>
      <c r="Q9666" s="21" t="n">
        <v>0</v>
      </c>
      <c r="R9666" s="21" t="n">
        <v>0</v>
      </c>
      <c r="S9666" s="21" t="n">
        <v>0</v>
      </c>
      <c r="T9666" s="21" t="n">
        <v>0</v>
      </c>
      <c r="U9666" s="21" t="n">
        <v>0</v>
      </c>
      <c r="V9666" s="21" t="n">
        <v>0</v>
      </c>
      <c r="W9666" s="21" t="n">
        <v>0</v>
      </c>
      <c r="X9666" s="21" t="n">
        <v>0</v>
      </c>
      <c r="Y9666" s="21" t="n">
        <v>0</v>
      </c>
      <c r="Z9666" s="19">
        <f t="array" ref="Z9666:Z9687">MMULT(MINVERSE($D$9666:$Y$9687),$D$8790:$D$8811)</f>
        <v/>
      </c>
    </row>
    <row r="9667">
      <c r="D9667" s="21">
        <f>$B$8764</f>
        <v/>
      </c>
      <c r="E9667" s="21">
        <f>$B$8765</f>
        <v/>
      </c>
      <c r="F9667" s="21">
        <f>-$B$8764</f>
        <v/>
      </c>
      <c r="G9667" s="21">
        <f>$B$8766</f>
        <v/>
      </c>
      <c r="H9667" s="21" t="n">
        <v>0</v>
      </c>
      <c r="I9667" s="21" t="n">
        <v>0</v>
      </c>
      <c r="J9667" s="21" t="n">
        <v>0</v>
      </c>
      <c r="K9667" s="21" t="n">
        <v>0</v>
      </c>
      <c r="L9667" s="21" t="n">
        <v>0</v>
      </c>
      <c r="M9667" s="21" t="n">
        <v>0</v>
      </c>
      <c r="N9667" s="21" t="n">
        <v>0</v>
      </c>
      <c r="O9667" s="21" t="n">
        <v>0</v>
      </c>
      <c r="P9667" s="21" t="n">
        <v>0</v>
      </c>
      <c r="Q9667" s="21" t="n">
        <v>0</v>
      </c>
      <c r="R9667" s="21" t="n">
        <v>0</v>
      </c>
      <c r="S9667" s="21" t="n">
        <v>0</v>
      </c>
      <c r="T9667" s="21" t="n">
        <v>0</v>
      </c>
      <c r="U9667" s="21" t="n">
        <v>0</v>
      </c>
      <c r="V9667" s="21" t="n">
        <v>0</v>
      </c>
      <c r="W9667" s="21" t="n">
        <v>0</v>
      </c>
      <c r="X9667" s="21" t="n">
        <v>0</v>
      </c>
      <c r="Y9667" s="21" t="n">
        <v>0</v>
      </c>
      <c r="Z9667" s="19" t="n"/>
    </row>
    <row r="9668">
      <c r="D9668" s="21">
        <f>-$B$8763</f>
        <v/>
      </c>
      <c r="E9668" s="21">
        <f>-$B$8764</f>
        <v/>
      </c>
      <c r="F9668" s="21">
        <f>2*$B$8763+$D$9655</f>
        <v/>
      </c>
      <c r="G9668" s="21">
        <f>0</f>
        <v/>
      </c>
      <c r="H9668" s="21">
        <f>-$B$8763</f>
        <v/>
      </c>
      <c r="I9668" s="21">
        <f>$B$8764</f>
        <v/>
      </c>
      <c r="J9668" s="21" t="n">
        <v>0</v>
      </c>
      <c r="K9668" s="21" t="n">
        <v>0</v>
      </c>
      <c r="L9668" s="21" t="n">
        <v>0</v>
      </c>
      <c r="M9668" s="21" t="n">
        <v>0</v>
      </c>
      <c r="N9668" s="21" t="n">
        <v>0</v>
      </c>
      <c r="O9668" s="21" t="n">
        <v>0</v>
      </c>
      <c r="P9668" s="21" t="n">
        <v>0</v>
      </c>
      <c r="Q9668" s="21" t="n">
        <v>0</v>
      </c>
      <c r="R9668" s="21" t="n">
        <v>0</v>
      </c>
      <c r="S9668" s="21" t="n">
        <v>0</v>
      </c>
      <c r="T9668" s="21" t="n">
        <v>0</v>
      </c>
      <c r="U9668" s="21" t="n">
        <v>0</v>
      </c>
      <c r="V9668" s="21" t="n">
        <v>0</v>
      </c>
      <c r="W9668" s="21" t="n">
        <v>0</v>
      </c>
      <c r="X9668" s="21" t="n">
        <v>0</v>
      </c>
      <c r="Y9668" s="21" t="n">
        <v>0</v>
      </c>
      <c r="Z9668" s="19" t="n"/>
    </row>
    <row r="9669">
      <c r="D9669" s="21">
        <f>$B$8764</f>
        <v/>
      </c>
      <c r="E9669" s="21">
        <f>$B$8766</f>
        <v/>
      </c>
      <c r="F9669" s="21">
        <f>0</f>
        <v/>
      </c>
      <c r="G9669" s="21">
        <f>2*$B$8765</f>
        <v/>
      </c>
      <c r="H9669" s="21">
        <f>-$B$8764</f>
        <v/>
      </c>
      <c r="I9669" s="21">
        <f>$B$8766</f>
        <v/>
      </c>
      <c r="J9669" s="21" t="n">
        <v>0</v>
      </c>
      <c r="K9669" s="21" t="n">
        <v>0</v>
      </c>
      <c r="L9669" s="21" t="n">
        <v>0</v>
      </c>
      <c r="M9669" s="21" t="n">
        <v>0</v>
      </c>
      <c r="N9669" s="21" t="n">
        <v>0</v>
      </c>
      <c r="O9669" s="21" t="n">
        <v>0</v>
      </c>
      <c r="P9669" s="21" t="n">
        <v>0</v>
      </c>
      <c r="Q9669" s="21" t="n">
        <v>0</v>
      </c>
      <c r="R9669" s="21" t="n">
        <v>0</v>
      </c>
      <c r="S9669" s="21" t="n">
        <v>0</v>
      </c>
      <c r="T9669" s="21" t="n">
        <v>0</v>
      </c>
      <c r="U9669" s="21" t="n">
        <v>0</v>
      </c>
      <c r="V9669" s="21" t="n">
        <v>0</v>
      </c>
      <c r="W9669" s="21" t="n">
        <v>0</v>
      </c>
      <c r="X9669" s="21" t="n">
        <v>0</v>
      </c>
      <c r="Y9669" s="21" t="n">
        <v>0</v>
      </c>
      <c r="Z9669" s="19" t="n"/>
    </row>
    <row r="9670">
      <c r="D9670" s="21" t="n">
        <v>0</v>
      </c>
      <c r="E9670" s="21" t="n">
        <v>0</v>
      </c>
      <c r="F9670" s="21">
        <f>-$B$8763</f>
        <v/>
      </c>
      <c r="G9670" s="21">
        <f>-$B$8764</f>
        <v/>
      </c>
      <c r="H9670" s="21">
        <f>2*$B$8763+$D$9656</f>
        <v/>
      </c>
      <c r="I9670" s="21">
        <f>0</f>
        <v/>
      </c>
      <c r="J9670" s="21">
        <f>-$B$8763</f>
        <v/>
      </c>
      <c r="K9670" s="21">
        <f>$B$8764</f>
        <v/>
      </c>
      <c r="L9670" s="21" t="n">
        <v>0</v>
      </c>
      <c r="M9670" s="21" t="n">
        <v>0</v>
      </c>
      <c r="N9670" s="21" t="n">
        <v>0</v>
      </c>
      <c r="O9670" s="21" t="n">
        <v>0</v>
      </c>
      <c r="P9670" s="21" t="n">
        <v>0</v>
      </c>
      <c r="Q9670" s="21" t="n">
        <v>0</v>
      </c>
      <c r="R9670" s="21" t="n">
        <v>0</v>
      </c>
      <c r="S9670" s="21" t="n">
        <v>0</v>
      </c>
      <c r="T9670" s="21" t="n">
        <v>0</v>
      </c>
      <c r="U9670" s="21" t="n">
        <v>0</v>
      </c>
      <c r="V9670" s="21" t="n">
        <v>0</v>
      </c>
      <c r="W9670" s="21" t="n">
        <v>0</v>
      </c>
      <c r="X9670" s="21" t="n">
        <v>0</v>
      </c>
      <c r="Y9670" s="21" t="n">
        <v>0</v>
      </c>
      <c r="Z9670" s="19" t="n"/>
    </row>
    <row r="9671">
      <c r="D9671" s="21" t="n">
        <v>0</v>
      </c>
      <c r="E9671" s="21" t="n">
        <v>0</v>
      </c>
      <c r="F9671" s="21">
        <f>$B$8764</f>
        <v/>
      </c>
      <c r="G9671" s="21">
        <f>$B$8766</f>
        <v/>
      </c>
      <c r="H9671" s="21">
        <f>0</f>
        <v/>
      </c>
      <c r="I9671" s="21">
        <f>2*$B$8765</f>
        <v/>
      </c>
      <c r="J9671" s="21">
        <f>-$B$8764</f>
        <v/>
      </c>
      <c r="K9671" s="21">
        <f>$B$8766</f>
        <v/>
      </c>
      <c r="L9671" s="21" t="n">
        <v>0</v>
      </c>
      <c r="M9671" s="21" t="n">
        <v>0</v>
      </c>
      <c r="N9671" s="21" t="n">
        <v>0</v>
      </c>
      <c r="O9671" s="21" t="n">
        <v>0</v>
      </c>
      <c r="P9671" s="21" t="n">
        <v>0</v>
      </c>
      <c r="Q9671" s="21" t="n">
        <v>0</v>
      </c>
      <c r="R9671" s="21" t="n">
        <v>0</v>
      </c>
      <c r="S9671" s="21" t="n">
        <v>0</v>
      </c>
      <c r="T9671" s="21" t="n">
        <v>0</v>
      </c>
      <c r="U9671" s="21" t="n">
        <v>0</v>
      </c>
      <c r="V9671" s="21" t="n">
        <v>0</v>
      </c>
      <c r="W9671" s="21" t="n">
        <v>0</v>
      </c>
      <c r="X9671" s="21" t="n">
        <v>0</v>
      </c>
      <c r="Y9671" s="21" t="n">
        <v>0</v>
      </c>
      <c r="Z9671" s="19" t="n"/>
    </row>
    <row r="9672">
      <c r="D9672" s="21" t="n">
        <v>0</v>
      </c>
      <c r="E9672" s="21" t="n">
        <v>0</v>
      </c>
      <c r="F9672" s="21" t="n">
        <v>0</v>
      </c>
      <c r="G9672" s="21" t="n">
        <v>0</v>
      </c>
      <c r="H9672" s="21">
        <f>-$B$8763</f>
        <v/>
      </c>
      <c r="I9672" s="21">
        <f>-$B$8764</f>
        <v/>
      </c>
      <c r="J9672" s="21">
        <f>2*$B$8763+$D$9657</f>
        <v/>
      </c>
      <c r="K9672" s="21">
        <f>0</f>
        <v/>
      </c>
      <c r="L9672" s="21">
        <f>-$B$8763</f>
        <v/>
      </c>
      <c r="M9672" s="21">
        <f>$B$8764</f>
        <v/>
      </c>
      <c r="N9672" s="21" t="n">
        <v>0</v>
      </c>
      <c r="O9672" s="21" t="n">
        <v>0</v>
      </c>
      <c r="P9672" s="21" t="n">
        <v>0</v>
      </c>
      <c r="Q9672" s="21" t="n">
        <v>0</v>
      </c>
      <c r="R9672" s="21" t="n">
        <v>0</v>
      </c>
      <c r="S9672" s="21" t="n">
        <v>0</v>
      </c>
      <c r="T9672" s="21" t="n">
        <v>0</v>
      </c>
      <c r="U9672" s="21" t="n">
        <v>0</v>
      </c>
      <c r="V9672" s="21" t="n">
        <v>0</v>
      </c>
      <c r="W9672" s="21" t="n">
        <v>0</v>
      </c>
      <c r="X9672" s="21" t="n">
        <v>0</v>
      </c>
      <c r="Y9672" s="21" t="n">
        <v>0</v>
      </c>
      <c r="Z9672" s="19" t="n"/>
    </row>
    <row r="9673">
      <c r="D9673" s="21" t="n">
        <v>0</v>
      </c>
      <c r="E9673" s="21" t="n">
        <v>0</v>
      </c>
      <c r="F9673" s="21" t="n">
        <v>0</v>
      </c>
      <c r="G9673" s="21" t="n">
        <v>0</v>
      </c>
      <c r="H9673" s="21">
        <f>$B$8764</f>
        <v/>
      </c>
      <c r="I9673" s="21">
        <f>$B$8766</f>
        <v/>
      </c>
      <c r="J9673" s="21">
        <f>0</f>
        <v/>
      </c>
      <c r="K9673" s="21">
        <f>2*$B$8765</f>
        <v/>
      </c>
      <c r="L9673" s="21">
        <f>-$B$8764</f>
        <v/>
      </c>
      <c r="M9673" s="21">
        <f>$B$8766</f>
        <v/>
      </c>
      <c r="N9673" s="21" t="n">
        <v>0</v>
      </c>
      <c r="O9673" s="21" t="n">
        <v>0</v>
      </c>
      <c r="P9673" s="21" t="n">
        <v>0</v>
      </c>
      <c r="Q9673" s="21" t="n">
        <v>0</v>
      </c>
      <c r="R9673" s="21" t="n">
        <v>0</v>
      </c>
      <c r="S9673" s="21" t="n">
        <v>0</v>
      </c>
      <c r="T9673" s="21" t="n">
        <v>0</v>
      </c>
      <c r="U9673" s="21" t="n">
        <v>0</v>
      </c>
      <c r="V9673" s="21" t="n">
        <v>0</v>
      </c>
      <c r="W9673" s="21" t="n">
        <v>0</v>
      </c>
      <c r="X9673" s="21" t="n">
        <v>0</v>
      </c>
      <c r="Y9673" s="21" t="n">
        <v>0</v>
      </c>
      <c r="Z9673" s="19" t="n"/>
    </row>
    <row r="9674">
      <c r="D9674" s="21" t="n">
        <v>0</v>
      </c>
      <c r="E9674" s="21" t="n">
        <v>0</v>
      </c>
      <c r="F9674" s="21" t="n">
        <v>0</v>
      </c>
      <c r="G9674" s="21" t="n">
        <v>0</v>
      </c>
      <c r="H9674" s="21" t="n">
        <v>0</v>
      </c>
      <c r="I9674" s="21" t="n">
        <v>0</v>
      </c>
      <c r="J9674" s="21">
        <f>-$B$8763</f>
        <v/>
      </c>
      <c r="K9674" s="21">
        <f>-$B$8764</f>
        <v/>
      </c>
      <c r="L9674" s="21">
        <f>2*$B$8763+$D$9658</f>
        <v/>
      </c>
      <c r="M9674" s="21">
        <f>0</f>
        <v/>
      </c>
      <c r="N9674" s="21">
        <f>-$B$8763</f>
        <v/>
      </c>
      <c r="O9674" s="21">
        <f>$B$8764</f>
        <v/>
      </c>
      <c r="P9674" s="21" t="n">
        <v>0</v>
      </c>
      <c r="Q9674" s="21" t="n">
        <v>0</v>
      </c>
      <c r="R9674" s="21" t="n">
        <v>0</v>
      </c>
      <c r="S9674" s="21" t="n">
        <v>0</v>
      </c>
      <c r="T9674" s="21" t="n">
        <v>0</v>
      </c>
      <c r="U9674" s="21" t="n">
        <v>0</v>
      </c>
      <c r="V9674" s="21" t="n">
        <v>0</v>
      </c>
      <c r="W9674" s="21" t="n">
        <v>0</v>
      </c>
      <c r="X9674" s="21" t="n">
        <v>0</v>
      </c>
      <c r="Y9674" s="21" t="n">
        <v>0</v>
      </c>
      <c r="Z9674" s="19" t="n"/>
    </row>
    <row r="9675">
      <c r="D9675" s="21" t="n">
        <v>0</v>
      </c>
      <c r="E9675" s="21" t="n">
        <v>0</v>
      </c>
      <c r="F9675" s="21" t="n">
        <v>0</v>
      </c>
      <c r="G9675" s="21" t="n">
        <v>0</v>
      </c>
      <c r="H9675" s="21" t="n">
        <v>0</v>
      </c>
      <c r="I9675" s="21" t="n">
        <v>0</v>
      </c>
      <c r="J9675" s="21">
        <f>$B$8764</f>
        <v/>
      </c>
      <c r="K9675" s="21">
        <f>$B$8766</f>
        <v/>
      </c>
      <c r="L9675" s="21">
        <f>0</f>
        <v/>
      </c>
      <c r="M9675" s="21">
        <f>2*$B$8765</f>
        <v/>
      </c>
      <c r="N9675" s="21">
        <f>-$B$8764</f>
        <v/>
      </c>
      <c r="O9675" s="21">
        <f>$B$8766</f>
        <v/>
      </c>
      <c r="P9675" s="21" t="n">
        <v>0</v>
      </c>
      <c r="Q9675" s="21" t="n">
        <v>0</v>
      </c>
      <c r="R9675" s="21" t="n">
        <v>0</v>
      </c>
      <c r="S9675" s="21" t="n">
        <v>0</v>
      </c>
      <c r="T9675" s="21" t="n">
        <v>0</v>
      </c>
      <c r="U9675" s="21" t="n">
        <v>0</v>
      </c>
      <c r="V9675" s="21" t="n">
        <v>0</v>
      </c>
      <c r="W9675" s="21" t="n">
        <v>0</v>
      </c>
      <c r="X9675" s="21" t="n">
        <v>0</v>
      </c>
      <c r="Y9675" s="21" t="n">
        <v>0</v>
      </c>
      <c r="Z9675" s="19" t="n"/>
    </row>
    <row r="9676">
      <c r="D9676" s="21" t="n">
        <v>0</v>
      </c>
      <c r="E9676" s="21" t="n">
        <v>0</v>
      </c>
      <c r="F9676" s="21" t="n">
        <v>0</v>
      </c>
      <c r="G9676" s="21" t="n">
        <v>0</v>
      </c>
      <c r="H9676" s="21" t="n">
        <v>0</v>
      </c>
      <c r="I9676" s="21" t="n">
        <v>0</v>
      </c>
      <c r="J9676" s="21" t="n">
        <v>0</v>
      </c>
      <c r="K9676" s="21" t="n">
        <v>0</v>
      </c>
      <c r="L9676" s="21">
        <f>-$B$8763</f>
        <v/>
      </c>
      <c r="M9676" s="21">
        <f>-$B$8764</f>
        <v/>
      </c>
      <c r="N9676" s="21">
        <f>2*$B$8763+$D$9659</f>
        <v/>
      </c>
      <c r="O9676" s="21">
        <f>0</f>
        <v/>
      </c>
      <c r="P9676" s="21">
        <f>-$B$8763</f>
        <v/>
      </c>
      <c r="Q9676" s="21">
        <f>$B$8764</f>
        <v/>
      </c>
      <c r="R9676" s="21" t="n">
        <v>0</v>
      </c>
      <c r="S9676" s="21" t="n">
        <v>0</v>
      </c>
      <c r="T9676" s="21" t="n">
        <v>0</v>
      </c>
      <c r="U9676" s="21" t="n">
        <v>0</v>
      </c>
      <c r="V9676" s="21" t="n">
        <v>0</v>
      </c>
      <c r="W9676" s="21" t="n">
        <v>0</v>
      </c>
      <c r="X9676" s="21" t="n">
        <v>0</v>
      </c>
      <c r="Y9676" s="21" t="n">
        <v>0</v>
      </c>
      <c r="Z9676" s="19" t="n"/>
    </row>
    <row r="9677">
      <c r="D9677" s="21" t="n">
        <v>0</v>
      </c>
      <c r="E9677" s="21" t="n">
        <v>0</v>
      </c>
      <c r="F9677" s="21" t="n">
        <v>0</v>
      </c>
      <c r="G9677" s="21" t="n">
        <v>0</v>
      </c>
      <c r="H9677" s="21" t="n">
        <v>0</v>
      </c>
      <c r="I9677" s="21" t="n">
        <v>0</v>
      </c>
      <c r="J9677" s="21" t="n">
        <v>0</v>
      </c>
      <c r="K9677" s="21" t="n">
        <v>0</v>
      </c>
      <c r="L9677" s="21">
        <f>$B$8764</f>
        <v/>
      </c>
      <c r="M9677" s="21">
        <f>$B$8766</f>
        <v/>
      </c>
      <c r="N9677" s="21">
        <f>0</f>
        <v/>
      </c>
      <c r="O9677" s="21">
        <f>2*$B$8765</f>
        <v/>
      </c>
      <c r="P9677" s="21">
        <f>-$B$8764</f>
        <v/>
      </c>
      <c r="Q9677" s="21">
        <f>$B$8766</f>
        <v/>
      </c>
      <c r="R9677" s="21" t="n">
        <v>0</v>
      </c>
      <c r="S9677" s="21" t="n">
        <v>0</v>
      </c>
      <c r="T9677" s="21" t="n">
        <v>0</v>
      </c>
      <c r="U9677" s="21" t="n">
        <v>0</v>
      </c>
      <c r="V9677" s="21" t="n">
        <v>0</v>
      </c>
      <c r="W9677" s="21" t="n">
        <v>0</v>
      </c>
      <c r="X9677" s="21" t="n">
        <v>0</v>
      </c>
      <c r="Y9677" s="21" t="n">
        <v>0</v>
      </c>
      <c r="Z9677" s="19" t="n"/>
    </row>
    <row r="9678">
      <c r="D9678" s="21" t="n">
        <v>0</v>
      </c>
      <c r="E9678" s="21" t="n">
        <v>0</v>
      </c>
      <c r="F9678" s="21" t="n">
        <v>0</v>
      </c>
      <c r="G9678" s="21" t="n">
        <v>0</v>
      </c>
      <c r="H9678" s="21" t="n">
        <v>0</v>
      </c>
      <c r="I9678" s="21" t="n">
        <v>0</v>
      </c>
      <c r="J9678" s="21" t="n">
        <v>0</v>
      </c>
      <c r="K9678" s="21" t="n">
        <v>0</v>
      </c>
      <c r="L9678" s="21" t="n">
        <v>0</v>
      </c>
      <c r="M9678" s="21" t="n">
        <v>0</v>
      </c>
      <c r="N9678" s="21">
        <f>-$B$8763</f>
        <v/>
      </c>
      <c r="O9678" s="21">
        <f>-$B$8764</f>
        <v/>
      </c>
      <c r="P9678" s="21">
        <f>2*$B$8763+$D$9660</f>
        <v/>
      </c>
      <c r="Q9678" s="21">
        <f>0</f>
        <v/>
      </c>
      <c r="R9678" s="21">
        <f>-$B$8763</f>
        <v/>
      </c>
      <c r="S9678" s="21">
        <f>$B$8764</f>
        <v/>
      </c>
      <c r="T9678" s="21" t="n">
        <v>0</v>
      </c>
      <c r="U9678" s="21" t="n">
        <v>0</v>
      </c>
      <c r="V9678" s="21" t="n">
        <v>0</v>
      </c>
      <c r="W9678" s="21" t="n">
        <v>0</v>
      </c>
      <c r="X9678" s="21" t="n">
        <v>0</v>
      </c>
      <c r="Y9678" s="21" t="n">
        <v>0</v>
      </c>
      <c r="Z9678" s="19" t="n"/>
    </row>
    <row r="9679">
      <c r="D9679" s="21" t="n">
        <v>0</v>
      </c>
      <c r="E9679" s="21" t="n">
        <v>0</v>
      </c>
      <c r="F9679" s="21" t="n">
        <v>0</v>
      </c>
      <c r="G9679" s="21" t="n">
        <v>0</v>
      </c>
      <c r="H9679" s="21" t="n">
        <v>0</v>
      </c>
      <c r="I9679" s="21" t="n">
        <v>0</v>
      </c>
      <c r="J9679" s="21" t="n">
        <v>0</v>
      </c>
      <c r="K9679" s="21" t="n">
        <v>0</v>
      </c>
      <c r="L9679" s="21" t="n">
        <v>0</v>
      </c>
      <c r="M9679" s="21" t="n">
        <v>0</v>
      </c>
      <c r="N9679" s="21">
        <f>$B$8764</f>
        <v/>
      </c>
      <c r="O9679" s="21">
        <f>$B$8766</f>
        <v/>
      </c>
      <c r="P9679" s="21">
        <f>0</f>
        <v/>
      </c>
      <c r="Q9679" s="21">
        <f>2*$B$8765</f>
        <v/>
      </c>
      <c r="R9679" s="21">
        <f>-$B$8764</f>
        <v/>
      </c>
      <c r="S9679" s="21">
        <f>$B$8766</f>
        <v/>
      </c>
      <c r="T9679" s="21" t="n">
        <v>0</v>
      </c>
      <c r="U9679" s="21" t="n">
        <v>0</v>
      </c>
      <c r="V9679" s="21" t="n">
        <v>0</v>
      </c>
      <c r="W9679" s="21" t="n">
        <v>0</v>
      </c>
      <c r="X9679" s="21" t="n">
        <v>0</v>
      </c>
      <c r="Y9679" s="21" t="n">
        <v>0</v>
      </c>
      <c r="Z9679" s="19" t="n"/>
    </row>
    <row r="9680">
      <c r="D9680" s="21" t="n">
        <v>0</v>
      </c>
      <c r="E9680" s="21" t="n">
        <v>0</v>
      </c>
      <c r="F9680" s="21" t="n">
        <v>0</v>
      </c>
      <c r="G9680" s="21" t="n">
        <v>0</v>
      </c>
      <c r="H9680" s="21" t="n">
        <v>0</v>
      </c>
      <c r="I9680" s="21" t="n">
        <v>0</v>
      </c>
      <c r="J9680" s="21" t="n">
        <v>0</v>
      </c>
      <c r="K9680" s="21" t="n">
        <v>0</v>
      </c>
      <c r="L9680" s="21" t="n">
        <v>0</v>
      </c>
      <c r="M9680" s="21" t="n">
        <v>0</v>
      </c>
      <c r="N9680" s="21" t="n">
        <v>0</v>
      </c>
      <c r="O9680" s="21" t="n">
        <v>0</v>
      </c>
      <c r="P9680" s="21">
        <f>-$B$8763</f>
        <v/>
      </c>
      <c r="Q9680" s="21">
        <f>-$B$8764</f>
        <v/>
      </c>
      <c r="R9680" s="21">
        <f>2*$B$8763+$D$9661</f>
        <v/>
      </c>
      <c r="S9680" s="21">
        <f>0</f>
        <v/>
      </c>
      <c r="T9680" s="21">
        <f>-$B$8763</f>
        <v/>
      </c>
      <c r="U9680" s="21">
        <f>$B$8764</f>
        <v/>
      </c>
      <c r="V9680" s="21" t="n">
        <v>0</v>
      </c>
      <c r="W9680" s="21" t="n">
        <v>0</v>
      </c>
      <c r="X9680" s="21" t="n">
        <v>0</v>
      </c>
      <c r="Y9680" s="21" t="n">
        <v>0</v>
      </c>
      <c r="Z9680" s="19" t="n"/>
    </row>
    <row r="9681">
      <c r="D9681" s="21" t="n">
        <v>0</v>
      </c>
      <c r="E9681" s="21" t="n">
        <v>0</v>
      </c>
      <c r="F9681" s="21" t="n">
        <v>0</v>
      </c>
      <c r="G9681" s="21" t="n">
        <v>0</v>
      </c>
      <c r="H9681" s="21" t="n">
        <v>0</v>
      </c>
      <c r="I9681" s="21" t="n">
        <v>0</v>
      </c>
      <c r="J9681" s="21" t="n">
        <v>0</v>
      </c>
      <c r="K9681" s="21" t="n">
        <v>0</v>
      </c>
      <c r="L9681" s="21" t="n">
        <v>0</v>
      </c>
      <c r="M9681" s="21" t="n">
        <v>0</v>
      </c>
      <c r="N9681" s="21" t="n">
        <v>0</v>
      </c>
      <c r="O9681" s="21" t="n">
        <v>0</v>
      </c>
      <c r="P9681" s="21">
        <f>$B$8764</f>
        <v/>
      </c>
      <c r="Q9681" s="21">
        <f>$B$8766</f>
        <v/>
      </c>
      <c r="R9681" s="21">
        <f>0</f>
        <v/>
      </c>
      <c r="S9681" s="21">
        <f>2*$B$8765</f>
        <v/>
      </c>
      <c r="T9681" s="21">
        <f>-$B$8764</f>
        <v/>
      </c>
      <c r="U9681" s="21">
        <f>$B$8766</f>
        <v/>
      </c>
      <c r="V9681" s="21" t="n">
        <v>0</v>
      </c>
      <c r="W9681" s="21" t="n">
        <v>0</v>
      </c>
      <c r="X9681" s="21" t="n">
        <v>0</v>
      </c>
      <c r="Y9681" s="21" t="n">
        <v>0</v>
      </c>
      <c r="Z9681" s="19" t="n"/>
    </row>
    <row r="9682">
      <c r="D9682" s="21" t="n">
        <v>0</v>
      </c>
      <c r="E9682" s="21" t="n">
        <v>0</v>
      </c>
      <c r="F9682" s="21" t="n">
        <v>0</v>
      </c>
      <c r="G9682" s="21" t="n">
        <v>0</v>
      </c>
      <c r="H9682" s="21" t="n">
        <v>0</v>
      </c>
      <c r="I9682" s="21" t="n">
        <v>0</v>
      </c>
      <c r="J9682" s="21" t="n">
        <v>0</v>
      </c>
      <c r="K9682" s="21" t="n">
        <v>0</v>
      </c>
      <c r="L9682" s="21" t="n">
        <v>0</v>
      </c>
      <c r="M9682" s="21" t="n">
        <v>0</v>
      </c>
      <c r="N9682" s="21" t="n">
        <v>0</v>
      </c>
      <c r="O9682" s="21" t="n">
        <v>0</v>
      </c>
      <c r="P9682" s="21" t="n">
        <v>0</v>
      </c>
      <c r="Q9682" s="21" t="n">
        <v>0</v>
      </c>
      <c r="R9682" s="21">
        <f>-$B$8763</f>
        <v/>
      </c>
      <c r="S9682" s="21">
        <f>-$B$8764</f>
        <v/>
      </c>
      <c r="T9682" s="21">
        <f>2*$B$8763+$D$9662</f>
        <v/>
      </c>
      <c r="U9682" s="21">
        <f>0</f>
        <v/>
      </c>
      <c r="V9682" s="21">
        <f>-$B$8763</f>
        <v/>
      </c>
      <c r="W9682" s="21">
        <f>$B$8764</f>
        <v/>
      </c>
      <c r="X9682" s="21" t="n">
        <v>0</v>
      </c>
      <c r="Y9682" s="21" t="n">
        <v>0</v>
      </c>
      <c r="Z9682" s="19" t="n"/>
    </row>
    <row r="9683">
      <c r="D9683" s="21" t="n">
        <v>0</v>
      </c>
      <c r="E9683" s="21" t="n">
        <v>0</v>
      </c>
      <c r="F9683" s="21" t="n">
        <v>0</v>
      </c>
      <c r="G9683" s="21" t="n">
        <v>0</v>
      </c>
      <c r="H9683" s="21" t="n">
        <v>0</v>
      </c>
      <c r="I9683" s="21" t="n">
        <v>0</v>
      </c>
      <c r="J9683" s="21" t="n">
        <v>0</v>
      </c>
      <c r="K9683" s="21" t="n">
        <v>0</v>
      </c>
      <c r="L9683" s="21" t="n">
        <v>0</v>
      </c>
      <c r="M9683" s="21" t="n">
        <v>0</v>
      </c>
      <c r="N9683" s="21" t="n">
        <v>0</v>
      </c>
      <c r="O9683" s="21" t="n">
        <v>0</v>
      </c>
      <c r="P9683" s="21" t="n">
        <v>0</v>
      </c>
      <c r="Q9683" s="21" t="n">
        <v>0</v>
      </c>
      <c r="R9683" s="21">
        <f>$B$8764</f>
        <v/>
      </c>
      <c r="S9683" s="21">
        <f>$B$8766</f>
        <v/>
      </c>
      <c r="T9683" s="21">
        <f>0</f>
        <v/>
      </c>
      <c r="U9683" s="21">
        <f>2*$B$8765</f>
        <v/>
      </c>
      <c r="V9683" s="21">
        <f>-$B$8764</f>
        <v/>
      </c>
      <c r="W9683" s="21">
        <f>$B$8766</f>
        <v/>
      </c>
      <c r="X9683" s="21" t="n">
        <v>0</v>
      </c>
      <c r="Y9683" s="21" t="n">
        <v>0</v>
      </c>
      <c r="Z9683" s="19" t="n"/>
    </row>
    <row r="9684">
      <c r="D9684" s="21" t="n">
        <v>0</v>
      </c>
      <c r="E9684" s="21" t="n">
        <v>0</v>
      </c>
      <c r="F9684" s="21" t="n">
        <v>0</v>
      </c>
      <c r="G9684" s="21" t="n">
        <v>0</v>
      </c>
      <c r="H9684" s="21" t="n">
        <v>0</v>
      </c>
      <c r="I9684" s="21" t="n">
        <v>0</v>
      </c>
      <c r="J9684" s="21" t="n">
        <v>0</v>
      </c>
      <c r="K9684" s="21" t="n">
        <v>0</v>
      </c>
      <c r="L9684" s="21" t="n">
        <v>0</v>
      </c>
      <c r="M9684" s="21" t="n">
        <v>0</v>
      </c>
      <c r="N9684" s="21" t="n">
        <v>0</v>
      </c>
      <c r="O9684" s="21" t="n">
        <v>0</v>
      </c>
      <c r="P9684" s="21" t="n">
        <v>0</v>
      </c>
      <c r="Q9684" s="21" t="n">
        <v>0</v>
      </c>
      <c r="R9684" s="21" t="n">
        <v>0</v>
      </c>
      <c r="S9684" s="21" t="n">
        <v>0</v>
      </c>
      <c r="T9684" s="21">
        <f>-$B$8763</f>
        <v/>
      </c>
      <c r="U9684" s="21">
        <f>-$B$8764</f>
        <v/>
      </c>
      <c r="V9684" s="21">
        <f>2*$B$8763+$D$9663</f>
        <v/>
      </c>
      <c r="W9684" s="21">
        <f>0</f>
        <v/>
      </c>
      <c r="X9684" s="21">
        <f>-$B$8763</f>
        <v/>
      </c>
      <c r="Y9684" s="21">
        <f>$B$8764</f>
        <v/>
      </c>
      <c r="Z9684" s="19" t="n"/>
    </row>
    <row r="9685">
      <c r="D9685" s="21" t="n">
        <v>0</v>
      </c>
      <c r="E9685" s="21" t="n">
        <v>0</v>
      </c>
      <c r="F9685" s="21" t="n">
        <v>0</v>
      </c>
      <c r="G9685" s="21" t="n">
        <v>0</v>
      </c>
      <c r="H9685" s="21" t="n">
        <v>0</v>
      </c>
      <c r="I9685" s="21" t="n">
        <v>0</v>
      </c>
      <c r="J9685" s="21" t="n">
        <v>0</v>
      </c>
      <c r="K9685" s="21" t="n">
        <v>0</v>
      </c>
      <c r="L9685" s="21" t="n">
        <v>0</v>
      </c>
      <c r="M9685" s="21" t="n">
        <v>0</v>
      </c>
      <c r="N9685" s="21" t="n">
        <v>0</v>
      </c>
      <c r="O9685" s="21" t="n">
        <v>0</v>
      </c>
      <c r="P9685" s="21" t="n">
        <v>0</v>
      </c>
      <c r="Q9685" s="21" t="n">
        <v>0</v>
      </c>
      <c r="R9685" s="21" t="n">
        <v>0</v>
      </c>
      <c r="S9685" s="21" t="n">
        <v>0</v>
      </c>
      <c r="T9685" s="21">
        <f>$B$8764</f>
        <v/>
      </c>
      <c r="U9685" s="21">
        <f>$B$8766</f>
        <v/>
      </c>
      <c r="V9685" s="21">
        <f>0</f>
        <v/>
      </c>
      <c r="W9685" s="21">
        <f>2*$B$8765</f>
        <v/>
      </c>
      <c r="X9685" s="21">
        <f>-$B$8764</f>
        <v/>
      </c>
      <c r="Y9685" s="21">
        <f>$B$8766</f>
        <v/>
      </c>
      <c r="Z9685" s="19" t="n"/>
    </row>
    <row r="9686">
      <c r="D9686" s="21" t="n">
        <v>0</v>
      </c>
      <c r="E9686" s="21" t="n">
        <v>0</v>
      </c>
      <c r="F9686" s="21" t="n">
        <v>0</v>
      </c>
      <c r="G9686" s="21" t="n">
        <v>0</v>
      </c>
      <c r="H9686" s="21" t="n">
        <v>0</v>
      </c>
      <c r="I9686" s="21" t="n">
        <v>0</v>
      </c>
      <c r="J9686" s="21" t="n">
        <v>0</v>
      </c>
      <c r="K9686" s="21" t="n">
        <v>0</v>
      </c>
      <c r="L9686" s="21" t="n">
        <v>0</v>
      </c>
      <c r="M9686" s="21" t="n">
        <v>0</v>
      </c>
      <c r="N9686" s="21" t="n">
        <v>0</v>
      </c>
      <c r="O9686" s="21" t="n">
        <v>0</v>
      </c>
      <c r="P9686" s="21" t="n">
        <v>0</v>
      </c>
      <c r="Q9686" s="21" t="n">
        <v>0</v>
      </c>
      <c r="R9686" s="21" t="n">
        <v>0</v>
      </c>
      <c r="S9686" s="21" t="n">
        <v>0</v>
      </c>
      <c r="T9686" s="21" t="n">
        <v>0</v>
      </c>
      <c r="U9686" s="21" t="n">
        <v>0</v>
      </c>
      <c r="V9686" s="21">
        <f>-$B$8763</f>
        <v/>
      </c>
      <c r="W9686" s="21">
        <f>-$B$8764</f>
        <v/>
      </c>
      <c r="X9686" s="21">
        <f>$B$8763+$D$9664</f>
        <v/>
      </c>
      <c r="Y9686" s="21">
        <f>-$B$8764</f>
        <v/>
      </c>
      <c r="Z9686" s="19" t="n"/>
    </row>
    <row r="9687">
      <c r="D9687" s="21" t="n">
        <v>0</v>
      </c>
      <c r="E9687" s="21" t="n">
        <v>0</v>
      </c>
      <c r="F9687" s="21" t="n">
        <v>0</v>
      </c>
      <c r="G9687" s="21" t="n">
        <v>0</v>
      </c>
      <c r="H9687" s="21" t="n">
        <v>0</v>
      </c>
      <c r="I9687" s="21" t="n">
        <v>0</v>
      </c>
      <c r="J9687" s="21" t="n">
        <v>0</v>
      </c>
      <c r="K9687" s="21" t="n">
        <v>0</v>
      </c>
      <c r="L9687" s="21" t="n">
        <v>0</v>
      </c>
      <c r="M9687" s="21" t="n">
        <v>0</v>
      </c>
      <c r="N9687" s="21" t="n">
        <v>0</v>
      </c>
      <c r="O9687" s="21" t="n">
        <v>0</v>
      </c>
      <c r="P9687" s="21" t="n">
        <v>0</v>
      </c>
      <c r="Q9687" s="21" t="n">
        <v>0</v>
      </c>
      <c r="R9687" s="21" t="n">
        <v>0</v>
      </c>
      <c r="S9687" s="21" t="n">
        <v>0</v>
      </c>
      <c r="T9687" s="21" t="n">
        <v>0</v>
      </c>
      <c r="U9687" s="21" t="n">
        <v>0</v>
      </c>
      <c r="V9687" s="21">
        <f>$B$8764</f>
        <v/>
      </c>
      <c r="W9687" s="21">
        <f>$B$8766</f>
        <v/>
      </c>
      <c r="X9687" s="21">
        <f>-$B$8764</f>
        <v/>
      </c>
      <c r="Y9687" s="21">
        <f>$B$8765</f>
        <v/>
      </c>
      <c r="Z9687" s="19" t="n"/>
    </row>
    <row r="9689">
      <c r="A9689" s="8" t="inlineStr">
        <is>
          <t>gen 25</t>
        </is>
      </c>
    </row>
    <row r="9690">
      <c r="D9690" s="19">
        <f>IF(ABS(IF(ABS($E$9654)&gt;0.000000001,$E$9654,0.000000001))=0,0,IF($E$8778&lt;=$B$8772,0,IF(ABS(IF(ABS($E$9654)&gt;0.000000001,$E$9654,0.000000001))&gt;=8*$B$8774,$H$8778,0.5*$H$8778*(ABS(IF(ABS($E$9654)&gt;0.000000001,$E$9654,0.000000001))/$B$8774)^(1/3)))/ABS(IF(ABS($E$9654)&gt;0.000000001,$E$9654,0.000000001))*$I$8778)</f>
        <v/>
      </c>
      <c r="E9690" s="19">
        <f>0.5*$E$9654+0.5*$Z$9702</f>
        <v/>
      </c>
      <c r="F9690" s="19">
        <f>$Z$9703</f>
        <v/>
      </c>
    </row>
    <row r="9691">
      <c r="D9691" s="19">
        <f>IF(ABS(IF(ABS($E$9655)&gt;0.000000001,$E$9655,0.000000001))=0,0,IF($E$8779&lt;=$B$8772,0,IF(ABS(IF(ABS($E$9655)&gt;0.000000001,$E$9655,0.000000001))&gt;=8*$B$8774,$H$8779,0.5*$H$8779*(ABS(IF(ABS($E$9655)&gt;0.000000001,$E$9655,0.000000001))/$B$8774)^(1/3)))/ABS(IF(ABS($E$9655)&gt;0.000000001,$E$9655,0.000000001))*$I$8779)</f>
        <v/>
      </c>
      <c r="E9691" s="19">
        <f>0.5*$E$9655+0.5*$Z$9704</f>
        <v/>
      </c>
      <c r="F9691" s="19">
        <f>$Z$9705</f>
        <v/>
      </c>
    </row>
    <row r="9692">
      <c r="D9692" s="19">
        <f>IF(ABS(IF(ABS($E$9656)&gt;0.000000001,$E$9656,0.000000001))=0,0,IF($E$8780&lt;=$B$8772,0,IF(ABS(IF(ABS($E$9656)&gt;0.000000001,$E$9656,0.000000001))&gt;=8*$B$8774,$H$8780,0.5*$H$8780*(ABS(IF(ABS($E$9656)&gt;0.000000001,$E$9656,0.000000001))/$B$8774)^(1/3)))/ABS(IF(ABS($E$9656)&gt;0.000000001,$E$9656,0.000000001))*$I$8780)</f>
        <v/>
      </c>
      <c r="E9692" s="19">
        <f>0.5*$E$9656+0.5*$Z$9706</f>
        <v/>
      </c>
      <c r="F9692" s="19">
        <f>$Z$9707</f>
        <v/>
      </c>
    </row>
    <row r="9693">
      <c r="D9693" s="19">
        <f>IF(ABS(IF(ABS($E$9657)&gt;0.000000001,$E$9657,0.000000001))=0,0,IF($E$8781&lt;=$B$8772,0,IF(ABS(IF(ABS($E$9657)&gt;0.000000001,$E$9657,0.000000001))&gt;=8*$B$8774,$H$8781,0.5*$H$8781*(ABS(IF(ABS($E$9657)&gt;0.000000001,$E$9657,0.000000001))/$B$8774)^(1/3)))/ABS(IF(ABS($E$9657)&gt;0.000000001,$E$9657,0.000000001))*$I$8781)</f>
        <v/>
      </c>
      <c r="E9693" s="19">
        <f>0.5*$E$9657+0.5*$Z$9708</f>
        <v/>
      </c>
      <c r="F9693" s="19">
        <f>$Z$9709</f>
        <v/>
      </c>
    </row>
    <row r="9694">
      <c r="D9694" s="19">
        <f>IF(ABS(IF(ABS($E$9658)&gt;0.000000001,$E$9658,0.000000001))=0,0,IF($E$8782&lt;=$B$8772,0,IF(ABS(IF(ABS($E$9658)&gt;0.000000001,$E$9658,0.000000001))&gt;=8*$B$8774,$H$8782,0.5*$H$8782*(ABS(IF(ABS($E$9658)&gt;0.000000001,$E$9658,0.000000001))/$B$8774)^(1/3)))/ABS(IF(ABS($E$9658)&gt;0.000000001,$E$9658,0.000000001))*$I$8782)</f>
        <v/>
      </c>
      <c r="E9694" s="19">
        <f>0.5*$E$9658+0.5*$Z$9710</f>
        <v/>
      </c>
      <c r="F9694" s="19">
        <f>$Z$9711</f>
        <v/>
      </c>
    </row>
    <row r="9695">
      <c r="D9695" s="19">
        <f>IF(ABS(IF(ABS($E$9659)&gt;0.000000001,$E$9659,0.000000001))=0,0,IF($E$8783&lt;=$B$8772,0,IF(ABS(IF(ABS($E$9659)&gt;0.000000001,$E$9659,0.000000001))&gt;=8*$B$8774,$H$8783,0.5*$H$8783*(ABS(IF(ABS($E$9659)&gt;0.000000001,$E$9659,0.000000001))/$B$8774)^(1/3)))/ABS(IF(ABS($E$9659)&gt;0.000000001,$E$9659,0.000000001))*$I$8783)</f>
        <v/>
      </c>
      <c r="E9695" s="19">
        <f>0.5*$E$9659+0.5*$Z$9712</f>
        <v/>
      </c>
      <c r="F9695" s="19">
        <f>$Z$9713</f>
        <v/>
      </c>
    </row>
    <row r="9696">
      <c r="D9696" s="19">
        <f>IF(ABS(IF(ABS($E$9660)&gt;0.000000001,$E$9660,0.000000001))=0,0,IF($E$8784&lt;=$B$8772,0,IF(ABS(IF(ABS($E$9660)&gt;0.000000001,$E$9660,0.000000001))&gt;=8*$B$8774,$H$8784,0.5*$H$8784*(ABS(IF(ABS($E$9660)&gt;0.000000001,$E$9660,0.000000001))/$B$8774)^(1/3)))/ABS(IF(ABS($E$9660)&gt;0.000000001,$E$9660,0.000000001))*$I$8784)</f>
        <v/>
      </c>
      <c r="E9696" s="19">
        <f>0.5*$E$9660+0.5*$Z$9714</f>
        <v/>
      </c>
      <c r="F9696" s="19">
        <f>$Z$9715</f>
        <v/>
      </c>
    </row>
    <row r="9697">
      <c r="D9697" s="19">
        <f>IF(ABS(IF(ABS($E$9661)&gt;0.000000001,$E$9661,0.000000001))=0,0,IF($E$8785&lt;=$B$8772,0,IF(ABS(IF(ABS($E$9661)&gt;0.000000001,$E$9661,0.000000001))&gt;=8*$B$8774,$H$8785,0.5*$H$8785*(ABS(IF(ABS($E$9661)&gt;0.000000001,$E$9661,0.000000001))/$B$8774)^(1/3)))/ABS(IF(ABS($E$9661)&gt;0.000000001,$E$9661,0.000000001))*$I$8785)</f>
        <v/>
      </c>
      <c r="E9697" s="19">
        <f>0.5*$E$9661+0.5*$Z$9716</f>
        <v/>
      </c>
      <c r="F9697" s="19">
        <f>$Z$9717</f>
        <v/>
      </c>
    </row>
    <row r="9698">
      <c r="D9698" s="19">
        <f>IF(ABS(IF(ABS($E$9662)&gt;0.000000001,$E$9662,0.000000001))=0,0,IF($E$8786&lt;=$B$8772,0,IF(ABS(IF(ABS($E$9662)&gt;0.000000001,$E$9662,0.000000001))&gt;=8*$B$8774,$H$8786,0.5*$H$8786*(ABS(IF(ABS($E$9662)&gt;0.000000001,$E$9662,0.000000001))/$B$8774)^(1/3)))/ABS(IF(ABS($E$9662)&gt;0.000000001,$E$9662,0.000000001))*$I$8786)</f>
        <v/>
      </c>
      <c r="E9698" s="19">
        <f>0.5*$E$9662+0.5*$Z$9718</f>
        <v/>
      </c>
      <c r="F9698" s="19">
        <f>$Z$9719</f>
        <v/>
      </c>
    </row>
    <row r="9699">
      <c r="D9699" s="19">
        <f>IF(ABS(IF(ABS($E$9663)&gt;0.000000001,$E$9663,0.000000001))=0,0,IF($E$8787&lt;=$B$8772,0,IF(ABS(IF(ABS($E$9663)&gt;0.000000001,$E$9663,0.000000001))&gt;=8*$B$8774,$H$8787,0.5*$H$8787*(ABS(IF(ABS($E$9663)&gt;0.000000001,$E$9663,0.000000001))/$B$8774)^(1/3)))/ABS(IF(ABS($E$9663)&gt;0.000000001,$E$9663,0.000000001))*$I$8787)</f>
        <v/>
      </c>
      <c r="E9699" s="19">
        <f>0.5*$E$9663+0.5*$Z$9720</f>
        <v/>
      </c>
      <c r="F9699" s="19">
        <f>$Z$9721</f>
        <v/>
      </c>
    </row>
    <row r="9700">
      <c r="D9700" s="19">
        <f>IF(ABS(IF(ABS($E$9664)&gt;0.000000001,$E$9664,0.000000001))=0,0,IF($E$8788&lt;=$B$8772,0,IF(ABS(IF(ABS($E$9664)&gt;0.000000001,$E$9664,0.000000001))&gt;=8*$B$8774,$H$8788,0.5*$H$8788*(ABS(IF(ABS($E$9664)&gt;0.000000001,$E$9664,0.000000001))/$B$8774)^(1/3)))/ABS(IF(ABS($E$9664)&gt;0.000000001,$E$9664,0.000000001))*$I$8788)</f>
        <v/>
      </c>
      <c r="E9700" s="19">
        <f>0.5*$E$9664+0.5*$Z$9722</f>
        <v/>
      </c>
      <c r="F9700" s="19">
        <f>$Z$9723</f>
        <v/>
      </c>
    </row>
    <row r="9702">
      <c r="D9702" s="21">
        <f>$B$8763+$D$9690</f>
        <v/>
      </c>
      <c r="E9702" s="21">
        <f>$B$8764</f>
        <v/>
      </c>
      <c r="F9702" s="21">
        <f>-$B$8763</f>
        <v/>
      </c>
      <c r="G9702" s="21">
        <f>$B$8764</f>
        <v/>
      </c>
      <c r="H9702" s="21" t="n">
        <v>0</v>
      </c>
      <c r="I9702" s="21" t="n">
        <v>0</v>
      </c>
      <c r="J9702" s="21" t="n">
        <v>0</v>
      </c>
      <c r="K9702" s="21" t="n">
        <v>0</v>
      </c>
      <c r="L9702" s="21" t="n">
        <v>0</v>
      </c>
      <c r="M9702" s="21" t="n">
        <v>0</v>
      </c>
      <c r="N9702" s="21" t="n">
        <v>0</v>
      </c>
      <c r="O9702" s="21" t="n">
        <v>0</v>
      </c>
      <c r="P9702" s="21" t="n">
        <v>0</v>
      </c>
      <c r="Q9702" s="21" t="n">
        <v>0</v>
      </c>
      <c r="R9702" s="21" t="n">
        <v>0</v>
      </c>
      <c r="S9702" s="21" t="n">
        <v>0</v>
      </c>
      <c r="T9702" s="21" t="n">
        <v>0</v>
      </c>
      <c r="U9702" s="21" t="n">
        <v>0</v>
      </c>
      <c r="V9702" s="21" t="n">
        <v>0</v>
      </c>
      <c r="W9702" s="21" t="n">
        <v>0</v>
      </c>
      <c r="X9702" s="21" t="n">
        <v>0</v>
      </c>
      <c r="Y9702" s="21" t="n">
        <v>0</v>
      </c>
      <c r="Z9702" s="19">
        <f t="array" ref="Z9702:Z9723">MMULT(MINVERSE($D$9702:$Y$9723),$D$8790:$D$8811)</f>
        <v/>
      </c>
    </row>
    <row r="9703">
      <c r="D9703" s="21">
        <f>$B$8764</f>
        <v/>
      </c>
      <c r="E9703" s="21">
        <f>$B$8765</f>
        <v/>
      </c>
      <c r="F9703" s="21">
        <f>-$B$8764</f>
        <v/>
      </c>
      <c r="G9703" s="21">
        <f>$B$8766</f>
        <v/>
      </c>
      <c r="H9703" s="21" t="n">
        <v>0</v>
      </c>
      <c r="I9703" s="21" t="n">
        <v>0</v>
      </c>
      <c r="J9703" s="21" t="n">
        <v>0</v>
      </c>
      <c r="K9703" s="21" t="n">
        <v>0</v>
      </c>
      <c r="L9703" s="21" t="n">
        <v>0</v>
      </c>
      <c r="M9703" s="21" t="n">
        <v>0</v>
      </c>
      <c r="N9703" s="21" t="n">
        <v>0</v>
      </c>
      <c r="O9703" s="21" t="n">
        <v>0</v>
      </c>
      <c r="P9703" s="21" t="n">
        <v>0</v>
      </c>
      <c r="Q9703" s="21" t="n">
        <v>0</v>
      </c>
      <c r="R9703" s="21" t="n">
        <v>0</v>
      </c>
      <c r="S9703" s="21" t="n">
        <v>0</v>
      </c>
      <c r="T9703" s="21" t="n">
        <v>0</v>
      </c>
      <c r="U9703" s="21" t="n">
        <v>0</v>
      </c>
      <c r="V9703" s="21" t="n">
        <v>0</v>
      </c>
      <c r="W9703" s="21" t="n">
        <v>0</v>
      </c>
      <c r="X9703" s="21" t="n">
        <v>0</v>
      </c>
      <c r="Y9703" s="21" t="n">
        <v>0</v>
      </c>
      <c r="Z9703" s="19" t="n"/>
    </row>
    <row r="9704">
      <c r="D9704" s="21">
        <f>-$B$8763</f>
        <v/>
      </c>
      <c r="E9704" s="21">
        <f>-$B$8764</f>
        <v/>
      </c>
      <c r="F9704" s="21">
        <f>2*$B$8763+$D$9691</f>
        <v/>
      </c>
      <c r="G9704" s="21">
        <f>0</f>
        <v/>
      </c>
      <c r="H9704" s="21">
        <f>-$B$8763</f>
        <v/>
      </c>
      <c r="I9704" s="21">
        <f>$B$8764</f>
        <v/>
      </c>
      <c r="J9704" s="21" t="n">
        <v>0</v>
      </c>
      <c r="K9704" s="21" t="n">
        <v>0</v>
      </c>
      <c r="L9704" s="21" t="n">
        <v>0</v>
      </c>
      <c r="M9704" s="21" t="n">
        <v>0</v>
      </c>
      <c r="N9704" s="21" t="n">
        <v>0</v>
      </c>
      <c r="O9704" s="21" t="n">
        <v>0</v>
      </c>
      <c r="P9704" s="21" t="n">
        <v>0</v>
      </c>
      <c r="Q9704" s="21" t="n">
        <v>0</v>
      </c>
      <c r="R9704" s="21" t="n">
        <v>0</v>
      </c>
      <c r="S9704" s="21" t="n">
        <v>0</v>
      </c>
      <c r="T9704" s="21" t="n">
        <v>0</v>
      </c>
      <c r="U9704" s="21" t="n">
        <v>0</v>
      </c>
      <c r="V9704" s="21" t="n">
        <v>0</v>
      </c>
      <c r="W9704" s="21" t="n">
        <v>0</v>
      </c>
      <c r="X9704" s="21" t="n">
        <v>0</v>
      </c>
      <c r="Y9704" s="21" t="n">
        <v>0</v>
      </c>
      <c r="Z9704" s="19" t="n"/>
    </row>
    <row r="9705">
      <c r="D9705" s="21">
        <f>$B$8764</f>
        <v/>
      </c>
      <c r="E9705" s="21">
        <f>$B$8766</f>
        <v/>
      </c>
      <c r="F9705" s="21">
        <f>0</f>
        <v/>
      </c>
      <c r="G9705" s="21">
        <f>2*$B$8765</f>
        <v/>
      </c>
      <c r="H9705" s="21">
        <f>-$B$8764</f>
        <v/>
      </c>
      <c r="I9705" s="21">
        <f>$B$8766</f>
        <v/>
      </c>
      <c r="J9705" s="21" t="n">
        <v>0</v>
      </c>
      <c r="K9705" s="21" t="n">
        <v>0</v>
      </c>
      <c r="L9705" s="21" t="n">
        <v>0</v>
      </c>
      <c r="M9705" s="21" t="n">
        <v>0</v>
      </c>
      <c r="N9705" s="21" t="n">
        <v>0</v>
      </c>
      <c r="O9705" s="21" t="n">
        <v>0</v>
      </c>
      <c r="P9705" s="21" t="n">
        <v>0</v>
      </c>
      <c r="Q9705" s="21" t="n">
        <v>0</v>
      </c>
      <c r="R9705" s="21" t="n">
        <v>0</v>
      </c>
      <c r="S9705" s="21" t="n">
        <v>0</v>
      </c>
      <c r="T9705" s="21" t="n">
        <v>0</v>
      </c>
      <c r="U9705" s="21" t="n">
        <v>0</v>
      </c>
      <c r="V9705" s="21" t="n">
        <v>0</v>
      </c>
      <c r="W9705" s="21" t="n">
        <v>0</v>
      </c>
      <c r="X9705" s="21" t="n">
        <v>0</v>
      </c>
      <c r="Y9705" s="21" t="n">
        <v>0</v>
      </c>
      <c r="Z9705" s="19" t="n"/>
    </row>
    <row r="9706">
      <c r="D9706" s="21" t="n">
        <v>0</v>
      </c>
      <c r="E9706" s="21" t="n">
        <v>0</v>
      </c>
      <c r="F9706" s="21">
        <f>-$B$8763</f>
        <v/>
      </c>
      <c r="G9706" s="21">
        <f>-$B$8764</f>
        <v/>
      </c>
      <c r="H9706" s="21">
        <f>2*$B$8763+$D$9692</f>
        <v/>
      </c>
      <c r="I9706" s="21">
        <f>0</f>
        <v/>
      </c>
      <c r="J9706" s="21">
        <f>-$B$8763</f>
        <v/>
      </c>
      <c r="K9706" s="21">
        <f>$B$8764</f>
        <v/>
      </c>
      <c r="L9706" s="21" t="n">
        <v>0</v>
      </c>
      <c r="M9706" s="21" t="n">
        <v>0</v>
      </c>
      <c r="N9706" s="21" t="n">
        <v>0</v>
      </c>
      <c r="O9706" s="21" t="n">
        <v>0</v>
      </c>
      <c r="P9706" s="21" t="n">
        <v>0</v>
      </c>
      <c r="Q9706" s="21" t="n">
        <v>0</v>
      </c>
      <c r="R9706" s="21" t="n">
        <v>0</v>
      </c>
      <c r="S9706" s="21" t="n">
        <v>0</v>
      </c>
      <c r="T9706" s="21" t="n">
        <v>0</v>
      </c>
      <c r="U9706" s="21" t="n">
        <v>0</v>
      </c>
      <c r="V9706" s="21" t="n">
        <v>0</v>
      </c>
      <c r="W9706" s="21" t="n">
        <v>0</v>
      </c>
      <c r="X9706" s="21" t="n">
        <v>0</v>
      </c>
      <c r="Y9706" s="21" t="n">
        <v>0</v>
      </c>
      <c r="Z9706" s="19" t="n"/>
    </row>
    <row r="9707">
      <c r="D9707" s="21" t="n">
        <v>0</v>
      </c>
      <c r="E9707" s="21" t="n">
        <v>0</v>
      </c>
      <c r="F9707" s="21">
        <f>$B$8764</f>
        <v/>
      </c>
      <c r="G9707" s="21">
        <f>$B$8766</f>
        <v/>
      </c>
      <c r="H9707" s="21">
        <f>0</f>
        <v/>
      </c>
      <c r="I9707" s="21">
        <f>2*$B$8765</f>
        <v/>
      </c>
      <c r="J9707" s="21">
        <f>-$B$8764</f>
        <v/>
      </c>
      <c r="K9707" s="21">
        <f>$B$8766</f>
        <v/>
      </c>
      <c r="L9707" s="21" t="n">
        <v>0</v>
      </c>
      <c r="M9707" s="21" t="n">
        <v>0</v>
      </c>
      <c r="N9707" s="21" t="n">
        <v>0</v>
      </c>
      <c r="O9707" s="21" t="n">
        <v>0</v>
      </c>
      <c r="P9707" s="21" t="n">
        <v>0</v>
      </c>
      <c r="Q9707" s="21" t="n">
        <v>0</v>
      </c>
      <c r="R9707" s="21" t="n">
        <v>0</v>
      </c>
      <c r="S9707" s="21" t="n">
        <v>0</v>
      </c>
      <c r="T9707" s="21" t="n">
        <v>0</v>
      </c>
      <c r="U9707" s="21" t="n">
        <v>0</v>
      </c>
      <c r="V9707" s="21" t="n">
        <v>0</v>
      </c>
      <c r="W9707" s="21" t="n">
        <v>0</v>
      </c>
      <c r="X9707" s="21" t="n">
        <v>0</v>
      </c>
      <c r="Y9707" s="21" t="n">
        <v>0</v>
      </c>
      <c r="Z9707" s="19" t="n"/>
    </row>
    <row r="9708">
      <c r="D9708" s="21" t="n">
        <v>0</v>
      </c>
      <c r="E9708" s="21" t="n">
        <v>0</v>
      </c>
      <c r="F9708" s="21" t="n">
        <v>0</v>
      </c>
      <c r="G9708" s="21" t="n">
        <v>0</v>
      </c>
      <c r="H9708" s="21">
        <f>-$B$8763</f>
        <v/>
      </c>
      <c r="I9708" s="21">
        <f>-$B$8764</f>
        <v/>
      </c>
      <c r="J9708" s="21">
        <f>2*$B$8763+$D$9693</f>
        <v/>
      </c>
      <c r="K9708" s="21">
        <f>0</f>
        <v/>
      </c>
      <c r="L9708" s="21">
        <f>-$B$8763</f>
        <v/>
      </c>
      <c r="M9708" s="21">
        <f>$B$8764</f>
        <v/>
      </c>
      <c r="N9708" s="21" t="n">
        <v>0</v>
      </c>
      <c r="O9708" s="21" t="n">
        <v>0</v>
      </c>
      <c r="P9708" s="21" t="n">
        <v>0</v>
      </c>
      <c r="Q9708" s="21" t="n">
        <v>0</v>
      </c>
      <c r="R9708" s="21" t="n">
        <v>0</v>
      </c>
      <c r="S9708" s="21" t="n">
        <v>0</v>
      </c>
      <c r="T9708" s="21" t="n">
        <v>0</v>
      </c>
      <c r="U9708" s="21" t="n">
        <v>0</v>
      </c>
      <c r="V9708" s="21" t="n">
        <v>0</v>
      </c>
      <c r="W9708" s="21" t="n">
        <v>0</v>
      </c>
      <c r="X9708" s="21" t="n">
        <v>0</v>
      </c>
      <c r="Y9708" s="21" t="n">
        <v>0</v>
      </c>
      <c r="Z9708" s="19" t="n"/>
    </row>
    <row r="9709">
      <c r="D9709" s="21" t="n">
        <v>0</v>
      </c>
      <c r="E9709" s="21" t="n">
        <v>0</v>
      </c>
      <c r="F9709" s="21" t="n">
        <v>0</v>
      </c>
      <c r="G9709" s="21" t="n">
        <v>0</v>
      </c>
      <c r="H9709" s="21">
        <f>$B$8764</f>
        <v/>
      </c>
      <c r="I9709" s="21">
        <f>$B$8766</f>
        <v/>
      </c>
      <c r="J9709" s="21">
        <f>0</f>
        <v/>
      </c>
      <c r="K9709" s="21">
        <f>2*$B$8765</f>
        <v/>
      </c>
      <c r="L9709" s="21">
        <f>-$B$8764</f>
        <v/>
      </c>
      <c r="M9709" s="21">
        <f>$B$8766</f>
        <v/>
      </c>
      <c r="N9709" s="21" t="n">
        <v>0</v>
      </c>
      <c r="O9709" s="21" t="n">
        <v>0</v>
      </c>
      <c r="P9709" s="21" t="n">
        <v>0</v>
      </c>
      <c r="Q9709" s="21" t="n">
        <v>0</v>
      </c>
      <c r="R9709" s="21" t="n">
        <v>0</v>
      </c>
      <c r="S9709" s="21" t="n">
        <v>0</v>
      </c>
      <c r="T9709" s="21" t="n">
        <v>0</v>
      </c>
      <c r="U9709" s="21" t="n">
        <v>0</v>
      </c>
      <c r="V9709" s="21" t="n">
        <v>0</v>
      </c>
      <c r="W9709" s="21" t="n">
        <v>0</v>
      </c>
      <c r="X9709" s="21" t="n">
        <v>0</v>
      </c>
      <c r="Y9709" s="21" t="n">
        <v>0</v>
      </c>
      <c r="Z9709" s="19" t="n"/>
    </row>
    <row r="9710">
      <c r="D9710" s="21" t="n">
        <v>0</v>
      </c>
      <c r="E9710" s="21" t="n">
        <v>0</v>
      </c>
      <c r="F9710" s="21" t="n">
        <v>0</v>
      </c>
      <c r="G9710" s="21" t="n">
        <v>0</v>
      </c>
      <c r="H9710" s="21" t="n">
        <v>0</v>
      </c>
      <c r="I9710" s="21" t="n">
        <v>0</v>
      </c>
      <c r="J9710" s="21">
        <f>-$B$8763</f>
        <v/>
      </c>
      <c r="K9710" s="21">
        <f>-$B$8764</f>
        <v/>
      </c>
      <c r="L9710" s="21">
        <f>2*$B$8763+$D$9694</f>
        <v/>
      </c>
      <c r="M9710" s="21">
        <f>0</f>
        <v/>
      </c>
      <c r="N9710" s="21">
        <f>-$B$8763</f>
        <v/>
      </c>
      <c r="O9710" s="21">
        <f>$B$8764</f>
        <v/>
      </c>
      <c r="P9710" s="21" t="n">
        <v>0</v>
      </c>
      <c r="Q9710" s="21" t="n">
        <v>0</v>
      </c>
      <c r="R9710" s="21" t="n">
        <v>0</v>
      </c>
      <c r="S9710" s="21" t="n">
        <v>0</v>
      </c>
      <c r="T9710" s="21" t="n">
        <v>0</v>
      </c>
      <c r="U9710" s="21" t="n">
        <v>0</v>
      </c>
      <c r="V9710" s="21" t="n">
        <v>0</v>
      </c>
      <c r="W9710" s="21" t="n">
        <v>0</v>
      </c>
      <c r="X9710" s="21" t="n">
        <v>0</v>
      </c>
      <c r="Y9710" s="21" t="n">
        <v>0</v>
      </c>
      <c r="Z9710" s="19" t="n"/>
    </row>
    <row r="9711">
      <c r="D9711" s="21" t="n">
        <v>0</v>
      </c>
      <c r="E9711" s="21" t="n">
        <v>0</v>
      </c>
      <c r="F9711" s="21" t="n">
        <v>0</v>
      </c>
      <c r="G9711" s="21" t="n">
        <v>0</v>
      </c>
      <c r="H9711" s="21" t="n">
        <v>0</v>
      </c>
      <c r="I9711" s="21" t="n">
        <v>0</v>
      </c>
      <c r="J9711" s="21">
        <f>$B$8764</f>
        <v/>
      </c>
      <c r="K9711" s="21">
        <f>$B$8766</f>
        <v/>
      </c>
      <c r="L9711" s="21">
        <f>0</f>
        <v/>
      </c>
      <c r="M9711" s="21">
        <f>2*$B$8765</f>
        <v/>
      </c>
      <c r="N9711" s="21">
        <f>-$B$8764</f>
        <v/>
      </c>
      <c r="O9711" s="21">
        <f>$B$8766</f>
        <v/>
      </c>
      <c r="P9711" s="21" t="n">
        <v>0</v>
      </c>
      <c r="Q9711" s="21" t="n">
        <v>0</v>
      </c>
      <c r="R9711" s="21" t="n">
        <v>0</v>
      </c>
      <c r="S9711" s="21" t="n">
        <v>0</v>
      </c>
      <c r="T9711" s="21" t="n">
        <v>0</v>
      </c>
      <c r="U9711" s="21" t="n">
        <v>0</v>
      </c>
      <c r="V9711" s="21" t="n">
        <v>0</v>
      </c>
      <c r="W9711" s="21" t="n">
        <v>0</v>
      </c>
      <c r="X9711" s="21" t="n">
        <v>0</v>
      </c>
      <c r="Y9711" s="21" t="n">
        <v>0</v>
      </c>
      <c r="Z9711" s="19" t="n"/>
    </row>
    <row r="9712">
      <c r="D9712" s="21" t="n">
        <v>0</v>
      </c>
      <c r="E9712" s="21" t="n">
        <v>0</v>
      </c>
      <c r="F9712" s="21" t="n">
        <v>0</v>
      </c>
      <c r="G9712" s="21" t="n">
        <v>0</v>
      </c>
      <c r="H9712" s="21" t="n">
        <v>0</v>
      </c>
      <c r="I9712" s="21" t="n">
        <v>0</v>
      </c>
      <c r="J9712" s="21" t="n">
        <v>0</v>
      </c>
      <c r="K9712" s="21" t="n">
        <v>0</v>
      </c>
      <c r="L9712" s="21">
        <f>-$B$8763</f>
        <v/>
      </c>
      <c r="M9712" s="21">
        <f>-$B$8764</f>
        <v/>
      </c>
      <c r="N9712" s="21">
        <f>2*$B$8763+$D$9695</f>
        <v/>
      </c>
      <c r="O9712" s="21">
        <f>0</f>
        <v/>
      </c>
      <c r="P9712" s="21">
        <f>-$B$8763</f>
        <v/>
      </c>
      <c r="Q9712" s="21">
        <f>$B$8764</f>
        <v/>
      </c>
      <c r="R9712" s="21" t="n">
        <v>0</v>
      </c>
      <c r="S9712" s="21" t="n">
        <v>0</v>
      </c>
      <c r="T9712" s="21" t="n">
        <v>0</v>
      </c>
      <c r="U9712" s="21" t="n">
        <v>0</v>
      </c>
      <c r="V9712" s="21" t="n">
        <v>0</v>
      </c>
      <c r="W9712" s="21" t="n">
        <v>0</v>
      </c>
      <c r="X9712" s="21" t="n">
        <v>0</v>
      </c>
      <c r="Y9712" s="21" t="n">
        <v>0</v>
      </c>
      <c r="Z9712" s="19" t="n"/>
    </row>
    <row r="9713">
      <c r="D9713" s="21" t="n">
        <v>0</v>
      </c>
      <c r="E9713" s="21" t="n">
        <v>0</v>
      </c>
      <c r="F9713" s="21" t="n">
        <v>0</v>
      </c>
      <c r="G9713" s="21" t="n">
        <v>0</v>
      </c>
      <c r="H9713" s="21" t="n">
        <v>0</v>
      </c>
      <c r="I9713" s="21" t="n">
        <v>0</v>
      </c>
      <c r="J9713" s="21" t="n">
        <v>0</v>
      </c>
      <c r="K9713" s="21" t="n">
        <v>0</v>
      </c>
      <c r="L9713" s="21">
        <f>$B$8764</f>
        <v/>
      </c>
      <c r="M9713" s="21">
        <f>$B$8766</f>
        <v/>
      </c>
      <c r="N9713" s="21">
        <f>0</f>
        <v/>
      </c>
      <c r="O9713" s="21">
        <f>2*$B$8765</f>
        <v/>
      </c>
      <c r="P9713" s="21">
        <f>-$B$8764</f>
        <v/>
      </c>
      <c r="Q9713" s="21">
        <f>$B$8766</f>
        <v/>
      </c>
      <c r="R9713" s="21" t="n">
        <v>0</v>
      </c>
      <c r="S9713" s="21" t="n">
        <v>0</v>
      </c>
      <c r="T9713" s="21" t="n">
        <v>0</v>
      </c>
      <c r="U9713" s="21" t="n">
        <v>0</v>
      </c>
      <c r="V9713" s="21" t="n">
        <v>0</v>
      </c>
      <c r="W9713" s="21" t="n">
        <v>0</v>
      </c>
      <c r="X9713" s="21" t="n">
        <v>0</v>
      </c>
      <c r="Y9713" s="21" t="n">
        <v>0</v>
      </c>
      <c r="Z9713" s="19" t="n"/>
    </row>
    <row r="9714">
      <c r="D9714" s="21" t="n">
        <v>0</v>
      </c>
      <c r="E9714" s="21" t="n">
        <v>0</v>
      </c>
      <c r="F9714" s="21" t="n">
        <v>0</v>
      </c>
      <c r="G9714" s="21" t="n">
        <v>0</v>
      </c>
      <c r="H9714" s="21" t="n">
        <v>0</v>
      </c>
      <c r="I9714" s="21" t="n">
        <v>0</v>
      </c>
      <c r="J9714" s="21" t="n">
        <v>0</v>
      </c>
      <c r="K9714" s="21" t="n">
        <v>0</v>
      </c>
      <c r="L9714" s="21" t="n">
        <v>0</v>
      </c>
      <c r="M9714" s="21" t="n">
        <v>0</v>
      </c>
      <c r="N9714" s="21">
        <f>-$B$8763</f>
        <v/>
      </c>
      <c r="O9714" s="21">
        <f>-$B$8764</f>
        <v/>
      </c>
      <c r="P9714" s="21">
        <f>2*$B$8763+$D$9696</f>
        <v/>
      </c>
      <c r="Q9714" s="21">
        <f>0</f>
        <v/>
      </c>
      <c r="R9714" s="21">
        <f>-$B$8763</f>
        <v/>
      </c>
      <c r="S9714" s="21">
        <f>$B$8764</f>
        <v/>
      </c>
      <c r="T9714" s="21" t="n">
        <v>0</v>
      </c>
      <c r="U9714" s="21" t="n">
        <v>0</v>
      </c>
      <c r="V9714" s="21" t="n">
        <v>0</v>
      </c>
      <c r="W9714" s="21" t="n">
        <v>0</v>
      </c>
      <c r="X9714" s="21" t="n">
        <v>0</v>
      </c>
      <c r="Y9714" s="21" t="n">
        <v>0</v>
      </c>
      <c r="Z9714" s="19" t="n"/>
    </row>
    <row r="9715">
      <c r="D9715" s="21" t="n">
        <v>0</v>
      </c>
      <c r="E9715" s="21" t="n">
        <v>0</v>
      </c>
      <c r="F9715" s="21" t="n">
        <v>0</v>
      </c>
      <c r="G9715" s="21" t="n">
        <v>0</v>
      </c>
      <c r="H9715" s="21" t="n">
        <v>0</v>
      </c>
      <c r="I9715" s="21" t="n">
        <v>0</v>
      </c>
      <c r="J9715" s="21" t="n">
        <v>0</v>
      </c>
      <c r="K9715" s="21" t="n">
        <v>0</v>
      </c>
      <c r="L9715" s="21" t="n">
        <v>0</v>
      </c>
      <c r="M9715" s="21" t="n">
        <v>0</v>
      </c>
      <c r="N9715" s="21">
        <f>$B$8764</f>
        <v/>
      </c>
      <c r="O9715" s="21">
        <f>$B$8766</f>
        <v/>
      </c>
      <c r="P9715" s="21">
        <f>0</f>
        <v/>
      </c>
      <c r="Q9715" s="21">
        <f>2*$B$8765</f>
        <v/>
      </c>
      <c r="R9715" s="21">
        <f>-$B$8764</f>
        <v/>
      </c>
      <c r="S9715" s="21">
        <f>$B$8766</f>
        <v/>
      </c>
      <c r="T9715" s="21" t="n">
        <v>0</v>
      </c>
      <c r="U9715" s="21" t="n">
        <v>0</v>
      </c>
      <c r="V9715" s="21" t="n">
        <v>0</v>
      </c>
      <c r="W9715" s="21" t="n">
        <v>0</v>
      </c>
      <c r="X9715" s="21" t="n">
        <v>0</v>
      </c>
      <c r="Y9715" s="21" t="n">
        <v>0</v>
      </c>
      <c r="Z9715" s="19" t="n"/>
    </row>
    <row r="9716">
      <c r="D9716" s="21" t="n">
        <v>0</v>
      </c>
      <c r="E9716" s="21" t="n">
        <v>0</v>
      </c>
      <c r="F9716" s="21" t="n">
        <v>0</v>
      </c>
      <c r="G9716" s="21" t="n">
        <v>0</v>
      </c>
      <c r="H9716" s="21" t="n">
        <v>0</v>
      </c>
      <c r="I9716" s="21" t="n">
        <v>0</v>
      </c>
      <c r="J9716" s="21" t="n">
        <v>0</v>
      </c>
      <c r="K9716" s="21" t="n">
        <v>0</v>
      </c>
      <c r="L9716" s="21" t="n">
        <v>0</v>
      </c>
      <c r="M9716" s="21" t="n">
        <v>0</v>
      </c>
      <c r="N9716" s="21" t="n">
        <v>0</v>
      </c>
      <c r="O9716" s="21" t="n">
        <v>0</v>
      </c>
      <c r="P9716" s="21">
        <f>-$B$8763</f>
        <v/>
      </c>
      <c r="Q9716" s="21">
        <f>-$B$8764</f>
        <v/>
      </c>
      <c r="R9716" s="21">
        <f>2*$B$8763+$D$9697</f>
        <v/>
      </c>
      <c r="S9716" s="21">
        <f>0</f>
        <v/>
      </c>
      <c r="T9716" s="21">
        <f>-$B$8763</f>
        <v/>
      </c>
      <c r="U9716" s="21">
        <f>$B$8764</f>
        <v/>
      </c>
      <c r="V9716" s="21" t="n">
        <v>0</v>
      </c>
      <c r="W9716" s="21" t="n">
        <v>0</v>
      </c>
      <c r="X9716" s="21" t="n">
        <v>0</v>
      </c>
      <c r="Y9716" s="21" t="n">
        <v>0</v>
      </c>
      <c r="Z9716" s="19" t="n"/>
    </row>
    <row r="9717">
      <c r="D9717" s="21" t="n">
        <v>0</v>
      </c>
      <c r="E9717" s="21" t="n">
        <v>0</v>
      </c>
      <c r="F9717" s="21" t="n">
        <v>0</v>
      </c>
      <c r="G9717" s="21" t="n">
        <v>0</v>
      </c>
      <c r="H9717" s="21" t="n">
        <v>0</v>
      </c>
      <c r="I9717" s="21" t="n">
        <v>0</v>
      </c>
      <c r="J9717" s="21" t="n">
        <v>0</v>
      </c>
      <c r="K9717" s="21" t="n">
        <v>0</v>
      </c>
      <c r="L9717" s="21" t="n">
        <v>0</v>
      </c>
      <c r="M9717" s="21" t="n">
        <v>0</v>
      </c>
      <c r="N9717" s="21" t="n">
        <v>0</v>
      </c>
      <c r="O9717" s="21" t="n">
        <v>0</v>
      </c>
      <c r="P9717" s="21">
        <f>$B$8764</f>
        <v/>
      </c>
      <c r="Q9717" s="21">
        <f>$B$8766</f>
        <v/>
      </c>
      <c r="R9717" s="21">
        <f>0</f>
        <v/>
      </c>
      <c r="S9717" s="21">
        <f>2*$B$8765</f>
        <v/>
      </c>
      <c r="T9717" s="21">
        <f>-$B$8764</f>
        <v/>
      </c>
      <c r="U9717" s="21">
        <f>$B$8766</f>
        <v/>
      </c>
      <c r="V9717" s="21" t="n">
        <v>0</v>
      </c>
      <c r="W9717" s="21" t="n">
        <v>0</v>
      </c>
      <c r="X9717" s="21" t="n">
        <v>0</v>
      </c>
      <c r="Y9717" s="21" t="n">
        <v>0</v>
      </c>
      <c r="Z9717" s="19" t="n"/>
    </row>
    <row r="9718">
      <c r="D9718" s="21" t="n">
        <v>0</v>
      </c>
      <c r="E9718" s="21" t="n">
        <v>0</v>
      </c>
      <c r="F9718" s="21" t="n">
        <v>0</v>
      </c>
      <c r="G9718" s="21" t="n">
        <v>0</v>
      </c>
      <c r="H9718" s="21" t="n">
        <v>0</v>
      </c>
      <c r="I9718" s="21" t="n">
        <v>0</v>
      </c>
      <c r="J9718" s="21" t="n">
        <v>0</v>
      </c>
      <c r="K9718" s="21" t="n">
        <v>0</v>
      </c>
      <c r="L9718" s="21" t="n">
        <v>0</v>
      </c>
      <c r="M9718" s="21" t="n">
        <v>0</v>
      </c>
      <c r="N9718" s="21" t="n">
        <v>0</v>
      </c>
      <c r="O9718" s="21" t="n">
        <v>0</v>
      </c>
      <c r="P9718" s="21" t="n">
        <v>0</v>
      </c>
      <c r="Q9718" s="21" t="n">
        <v>0</v>
      </c>
      <c r="R9718" s="21">
        <f>-$B$8763</f>
        <v/>
      </c>
      <c r="S9718" s="21">
        <f>-$B$8764</f>
        <v/>
      </c>
      <c r="T9718" s="21">
        <f>2*$B$8763+$D$9698</f>
        <v/>
      </c>
      <c r="U9718" s="21">
        <f>0</f>
        <v/>
      </c>
      <c r="V9718" s="21">
        <f>-$B$8763</f>
        <v/>
      </c>
      <c r="W9718" s="21">
        <f>$B$8764</f>
        <v/>
      </c>
      <c r="X9718" s="21" t="n">
        <v>0</v>
      </c>
      <c r="Y9718" s="21" t="n">
        <v>0</v>
      </c>
      <c r="Z9718" s="19" t="n"/>
    </row>
    <row r="9719">
      <c r="D9719" s="21" t="n">
        <v>0</v>
      </c>
      <c r="E9719" s="21" t="n">
        <v>0</v>
      </c>
      <c r="F9719" s="21" t="n">
        <v>0</v>
      </c>
      <c r="G9719" s="21" t="n">
        <v>0</v>
      </c>
      <c r="H9719" s="21" t="n">
        <v>0</v>
      </c>
      <c r="I9719" s="21" t="n">
        <v>0</v>
      </c>
      <c r="J9719" s="21" t="n">
        <v>0</v>
      </c>
      <c r="K9719" s="21" t="n">
        <v>0</v>
      </c>
      <c r="L9719" s="21" t="n">
        <v>0</v>
      </c>
      <c r="M9719" s="21" t="n">
        <v>0</v>
      </c>
      <c r="N9719" s="21" t="n">
        <v>0</v>
      </c>
      <c r="O9719" s="21" t="n">
        <v>0</v>
      </c>
      <c r="P9719" s="21" t="n">
        <v>0</v>
      </c>
      <c r="Q9719" s="21" t="n">
        <v>0</v>
      </c>
      <c r="R9719" s="21">
        <f>$B$8764</f>
        <v/>
      </c>
      <c r="S9719" s="21">
        <f>$B$8766</f>
        <v/>
      </c>
      <c r="T9719" s="21">
        <f>0</f>
        <v/>
      </c>
      <c r="U9719" s="21">
        <f>2*$B$8765</f>
        <v/>
      </c>
      <c r="V9719" s="21">
        <f>-$B$8764</f>
        <v/>
      </c>
      <c r="W9719" s="21">
        <f>$B$8766</f>
        <v/>
      </c>
      <c r="X9719" s="21" t="n">
        <v>0</v>
      </c>
      <c r="Y9719" s="21" t="n">
        <v>0</v>
      </c>
      <c r="Z9719" s="19" t="n"/>
    </row>
    <row r="9720">
      <c r="D9720" s="21" t="n">
        <v>0</v>
      </c>
      <c r="E9720" s="21" t="n">
        <v>0</v>
      </c>
      <c r="F9720" s="21" t="n">
        <v>0</v>
      </c>
      <c r="G9720" s="21" t="n">
        <v>0</v>
      </c>
      <c r="H9720" s="21" t="n">
        <v>0</v>
      </c>
      <c r="I9720" s="21" t="n">
        <v>0</v>
      </c>
      <c r="J9720" s="21" t="n">
        <v>0</v>
      </c>
      <c r="K9720" s="21" t="n">
        <v>0</v>
      </c>
      <c r="L9720" s="21" t="n">
        <v>0</v>
      </c>
      <c r="M9720" s="21" t="n">
        <v>0</v>
      </c>
      <c r="N9720" s="21" t="n">
        <v>0</v>
      </c>
      <c r="O9720" s="21" t="n">
        <v>0</v>
      </c>
      <c r="P9720" s="21" t="n">
        <v>0</v>
      </c>
      <c r="Q9720" s="21" t="n">
        <v>0</v>
      </c>
      <c r="R9720" s="21" t="n">
        <v>0</v>
      </c>
      <c r="S9720" s="21" t="n">
        <v>0</v>
      </c>
      <c r="T9720" s="21">
        <f>-$B$8763</f>
        <v/>
      </c>
      <c r="U9720" s="21">
        <f>-$B$8764</f>
        <v/>
      </c>
      <c r="V9720" s="21">
        <f>2*$B$8763+$D$9699</f>
        <v/>
      </c>
      <c r="W9720" s="21">
        <f>0</f>
        <v/>
      </c>
      <c r="X9720" s="21">
        <f>-$B$8763</f>
        <v/>
      </c>
      <c r="Y9720" s="21">
        <f>$B$8764</f>
        <v/>
      </c>
      <c r="Z9720" s="19" t="n"/>
    </row>
    <row r="9721">
      <c r="D9721" s="21" t="n">
        <v>0</v>
      </c>
      <c r="E9721" s="21" t="n">
        <v>0</v>
      </c>
      <c r="F9721" s="21" t="n">
        <v>0</v>
      </c>
      <c r="G9721" s="21" t="n">
        <v>0</v>
      </c>
      <c r="H9721" s="21" t="n">
        <v>0</v>
      </c>
      <c r="I9721" s="21" t="n">
        <v>0</v>
      </c>
      <c r="J9721" s="21" t="n">
        <v>0</v>
      </c>
      <c r="K9721" s="21" t="n">
        <v>0</v>
      </c>
      <c r="L9721" s="21" t="n">
        <v>0</v>
      </c>
      <c r="M9721" s="21" t="n">
        <v>0</v>
      </c>
      <c r="N9721" s="21" t="n">
        <v>0</v>
      </c>
      <c r="O9721" s="21" t="n">
        <v>0</v>
      </c>
      <c r="P9721" s="21" t="n">
        <v>0</v>
      </c>
      <c r="Q9721" s="21" t="n">
        <v>0</v>
      </c>
      <c r="R9721" s="21" t="n">
        <v>0</v>
      </c>
      <c r="S9721" s="21" t="n">
        <v>0</v>
      </c>
      <c r="T9721" s="21">
        <f>$B$8764</f>
        <v/>
      </c>
      <c r="U9721" s="21">
        <f>$B$8766</f>
        <v/>
      </c>
      <c r="V9721" s="21">
        <f>0</f>
        <v/>
      </c>
      <c r="W9721" s="21">
        <f>2*$B$8765</f>
        <v/>
      </c>
      <c r="X9721" s="21">
        <f>-$B$8764</f>
        <v/>
      </c>
      <c r="Y9721" s="21">
        <f>$B$8766</f>
        <v/>
      </c>
      <c r="Z9721" s="19" t="n"/>
    </row>
    <row r="9722">
      <c r="D9722" s="21" t="n">
        <v>0</v>
      </c>
      <c r="E9722" s="21" t="n">
        <v>0</v>
      </c>
      <c r="F9722" s="21" t="n">
        <v>0</v>
      </c>
      <c r="G9722" s="21" t="n">
        <v>0</v>
      </c>
      <c r="H9722" s="21" t="n">
        <v>0</v>
      </c>
      <c r="I9722" s="21" t="n">
        <v>0</v>
      </c>
      <c r="J9722" s="21" t="n">
        <v>0</v>
      </c>
      <c r="K9722" s="21" t="n">
        <v>0</v>
      </c>
      <c r="L9722" s="21" t="n">
        <v>0</v>
      </c>
      <c r="M9722" s="21" t="n">
        <v>0</v>
      </c>
      <c r="N9722" s="21" t="n">
        <v>0</v>
      </c>
      <c r="O9722" s="21" t="n">
        <v>0</v>
      </c>
      <c r="P9722" s="21" t="n">
        <v>0</v>
      </c>
      <c r="Q9722" s="21" t="n">
        <v>0</v>
      </c>
      <c r="R9722" s="21" t="n">
        <v>0</v>
      </c>
      <c r="S9722" s="21" t="n">
        <v>0</v>
      </c>
      <c r="T9722" s="21" t="n">
        <v>0</v>
      </c>
      <c r="U9722" s="21" t="n">
        <v>0</v>
      </c>
      <c r="V9722" s="21">
        <f>-$B$8763</f>
        <v/>
      </c>
      <c r="W9722" s="21">
        <f>-$B$8764</f>
        <v/>
      </c>
      <c r="X9722" s="21">
        <f>$B$8763+$D$9700</f>
        <v/>
      </c>
      <c r="Y9722" s="21">
        <f>-$B$8764</f>
        <v/>
      </c>
      <c r="Z9722" s="19" t="n"/>
    </row>
    <row r="9723">
      <c r="D9723" s="21" t="n">
        <v>0</v>
      </c>
      <c r="E9723" s="21" t="n">
        <v>0</v>
      </c>
      <c r="F9723" s="21" t="n">
        <v>0</v>
      </c>
      <c r="G9723" s="21" t="n">
        <v>0</v>
      </c>
      <c r="H9723" s="21" t="n">
        <v>0</v>
      </c>
      <c r="I9723" s="21" t="n">
        <v>0</v>
      </c>
      <c r="J9723" s="21" t="n">
        <v>0</v>
      </c>
      <c r="K9723" s="21" t="n">
        <v>0</v>
      </c>
      <c r="L9723" s="21" t="n">
        <v>0</v>
      </c>
      <c r="M9723" s="21" t="n">
        <v>0</v>
      </c>
      <c r="N9723" s="21" t="n">
        <v>0</v>
      </c>
      <c r="O9723" s="21" t="n">
        <v>0</v>
      </c>
      <c r="P9723" s="21" t="n">
        <v>0</v>
      </c>
      <c r="Q9723" s="21" t="n">
        <v>0</v>
      </c>
      <c r="R9723" s="21" t="n">
        <v>0</v>
      </c>
      <c r="S9723" s="21" t="n">
        <v>0</v>
      </c>
      <c r="T9723" s="21" t="n">
        <v>0</v>
      </c>
      <c r="U9723" s="21" t="n">
        <v>0</v>
      </c>
      <c r="V9723" s="21">
        <f>$B$8764</f>
        <v/>
      </c>
      <c r="W9723" s="21">
        <f>$B$8766</f>
        <v/>
      </c>
      <c r="X9723" s="21">
        <f>-$B$8764</f>
        <v/>
      </c>
      <c r="Y9723" s="21">
        <f>$B$8765</f>
        <v/>
      </c>
      <c r="Z9723" s="19" t="n"/>
    </row>
    <row r="9725">
      <c r="A9725" s="8" t="inlineStr">
        <is>
          <t>gen 26</t>
        </is>
      </c>
    </row>
    <row r="9726">
      <c r="D9726" s="19">
        <f>IF(ABS(IF(ABS($E$9690)&gt;0.000000001,$E$9690,0.000000001))=0,0,IF($E$8778&lt;=$B$8772,0,IF(ABS(IF(ABS($E$9690)&gt;0.000000001,$E$9690,0.000000001))&gt;=8*$B$8774,$H$8778,0.5*$H$8778*(ABS(IF(ABS($E$9690)&gt;0.000000001,$E$9690,0.000000001))/$B$8774)^(1/3)))/ABS(IF(ABS($E$9690)&gt;0.000000001,$E$9690,0.000000001))*$I$8778)</f>
        <v/>
      </c>
      <c r="E9726" s="19">
        <f>0.5*$E$9690+0.5*$Z$9738</f>
        <v/>
      </c>
      <c r="F9726" s="19">
        <f>$Z$9739</f>
        <v/>
      </c>
    </row>
    <row r="9727">
      <c r="D9727" s="19">
        <f>IF(ABS(IF(ABS($E$9691)&gt;0.000000001,$E$9691,0.000000001))=0,0,IF($E$8779&lt;=$B$8772,0,IF(ABS(IF(ABS($E$9691)&gt;0.000000001,$E$9691,0.000000001))&gt;=8*$B$8774,$H$8779,0.5*$H$8779*(ABS(IF(ABS($E$9691)&gt;0.000000001,$E$9691,0.000000001))/$B$8774)^(1/3)))/ABS(IF(ABS($E$9691)&gt;0.000000001,$E$9691,0.000000001))*$I$8779)</f>
        <v/>
      </c>
      <c r="E9727" s="19">
        <f>0.5*$E$9691+0.5*$Z$9740</f>
        <v/>
      </c>
      <c r="F9727" s="19">
        <f>$Z$9741</f>
        <v/>
      </c>
    </row>
    <row r="9728">
      <c r="D9728" s="19">
        <f>IF(ABS(IF(ABS($E$9692)&gt;0.000000001,$E$9692,0.000000001))=0,0,IF($E$8780&lt;=$B$8772,0,IF(ABS(IF(ABS($E$9692)&gt;0.000000001,$E$9692,0.000000001))&gt;=8*$B$8774,$H$8780,0.5*$H$8780*(ABS(IF(ABS($E$9692)&gt;0.000000001,$E$9692,0.000000001))/$B$8774)^(1/3)))/ABS(IF(ABS($E$9692)&gt;0.000000001,$E$9692,0.000000001))*$I$8780)</f>
        <v/>
      </c>
      <c r="E9728" s="19">
        <f>0.5*$E$9692+0.5*$Z$9742</f>
        <v/>
      </c>
      <c r="F9728" s="19">
        <f>$Z$9743</f>
        <v/>
      </c>
    </row>
    <row r="9729">
      <c r="D9729" s="19">
        <f>IF(ABS(IF(ABS($E$9693)&gt;0.000000001,$E$9693,0.000000001))=0,0,IF($E$8781&lt;=$B$8772,0,IF(ABS(IF(ABS($E$9693)&gt;0.000000001,$E$9693,0.000000001))&gt;=8*$B$8774,$H$8781,0.5*$H$8781*(ABS(IF(ABS($E$9693)&gt;0.000000001,$E$9693,0.000000001))/$B$8774)^(1/3)))/ABS(IF(ABS($E$9693)&gt;0.000000001,$E$9693,0.000000001))*$I$8781)</f>
        <v/>
      </c>
      <c r="E9729" s="19">
        <f>0.5*$E$9693+0.5*$Z$9744</f>
        <v/>
      </c>
      <c r="F9729" s="19">
        <f>$Z$9745</f>
        <v/>
      </c>
    </row>
    <row r="9730">
      <c r="D9730" s="19">
        <f>IF(ABS(IF(ABS($E$9694)&gt;0.000000001,$E$9694,0.000000001))=0,0,IF($E$8782&lt;=$B$8772,0,IF(ABS(IF(ABS($E$9694)&gt;0.000000001,$E$9694,0.000000001))&gt;=8*$B$8774,$H$8782,0.5*$H$8782*(ABS(IF(ABS($E$9694)&gt;0.000000001,$E$9694,0.000000001))/$B$8774)^(1/3)))/ABS(IF(ABS($E$9694)&gt;0.000000001,$E$9694,0.000000001))*$I$8782)</f>
        <v/>
      </c>
      <c r="E9730" s="19">
        <f>0.5*$E$9694+0.5*$Z$9746</f>
        <v/>
      </c>
      <c r="F9730" s="19">
        <f>$Z$9747</f>
        <v/>
      </c>
    </row>
    <row r="9731">
      <c r="D9731" s="19">
        <f>IF(ABS(IF(ABS($E$9695)&gt;0.000000001,$E$9695,0.000000001))=0,0,IF($E$8783&lt;=$B$8772,0,IF(ABS(IF(ABS($E$9695)&gt;0.000000001,$E$9695,0.000000001))&gt;=8*$B$8774,$H$8783,0.5*$H$8783*(ABS(IF(ABS($E$9695)&gt;0.000000001,$E$9695,0.000000001))/$B$8774)^(1/3)))/ABS(IF(ABS($E$9695)&gt;0.000000001,$E$9695,0.000000001))*$I$8783)</f>
        <v/>
      </c>
      <c r="E9731" s="19">
        <f>0.5*$E$9695+0.5*$Z$9748</f>
        <v/>
      </c>
      <c r="F9731" s="19">
        <f>$Z$9749</f>
        <v/>
      </c>
    </row>
    <row r="9732">
      <c r="D9732" s="19">
        <f>IF(ABS(IF(ABS($E$9696)&gt;0.000000001,$E$9696,0.000000001))=0,0,IF($E$8784&lt;=$B$8772,0,IF(ABS(IF(ABS($E$9696)&gt;0.000000001,$E$9696,0.000000001))&gt;=8*$B$8774,$H$8784,0.5*$H$8784*(ABS(IF(ABS($E$9696)&gt;0.000000001,$E$9696,0.000000001))/$B$8774)^(1/3)))/ABS(IF(ABS($E$9696)&gt;0.000000001,$E$9696,0.000000001))*$I$8784)</f>
        <v/>
      </c>
      <c r="E9732" s="19">
        <f>0.5*$E$9696+0.5*$Z$9750</f>
        <v/>
      </c>
      <c r="F9732" s="19">
        <f>$Z$9751</f>
        <v/>
      </c>
    </row>
    <row r="9733">
      <c r="D9733" s="19">
        <f>IF(ABS(IF(ABS($E$9697)&gt;0.000000001,$E$9697,0.000000001))=0,0,IF($E$8785&lt;=$B$8772,0,IF(ABS(IF(ABS($E$9697)&gt;0.000000001,$E$9697,0.000000001))&gt;=8*$B$8774,$H$8785,0.5*$H$8785*(ABS(IF(ABS($E$9697)&gt;0.000000001,$E$9697,0.000000001))/$B$8774)^(1/3)))/ABS(IF(ABS($E$9697)&gt;0.000000001,$E$9697,0.000000001))*$I$8785)</f>
        <v/>
      </c>
      <c r="E9733" s="19">
        <f>0.5*$E$9697+0.5*$Z$9752</f>
        <v/>
      </c>
      <c r="F9733" s="19">
        <f>$Z$9753</f>
        <v/>
      </c>
    </row>
    <row r="9734">
      <c r="D9734" s="19">
        <f>IF(ABS(IF(ABS($E$9698)&gt;0.000000001,$E$9698,0.000000001))=0,0,IF($E$8786&lt;=$B$8772,0,IF(ABS(IF(ABS($E$9698)&gt;0.000000001,$E$9698,0.000000001))&gt;=8*$B$8774,$H$8786,0.5*$H$8786*(ABS(IF(ABS($E$9698)&gt;0.000000001,$E$9698,0.000000001))/$B$8774)^(1/3)))/ABS(IF(ABS($E$9698)&gt;0.000000001,$E$9698,0.000000001))*$I$8786)</f>
        <v/>
      </c>
      <c r="E9734" s="19">
        <f>0.5*$E$9698+0.5*$Z$9754</f>
        <v/>
      </c>
      <c r="F9734" s="19">
        <f>$Z$9755</f>
        <v/>
      </c>
    </row>
    <row r="9735">
      <c r="D9735" s="19">
        <f>IF(ABS(IF(ABS($E$9699)&gt;0.000000001,$E$9699,0.000000001))=0,0,IF($E$8787&lt;=$B$8772,0,IF(ABS(IF(ABS($E$9699)&gt;0.000000001,$E$9699,0.000000001))&gt;=8*$B$8774,$H$8787,0.5*$H$8787*(ABS(IF(ABS($E$9699)&gt;0.000000001,$E$9699,0.000000001))/$B$8774)^(1/3)))/ABS(IF(ABS($E$9699)&gt;0.000000001,$E$9699,0.000000001))*$I$8787)</f>
        <v/>
      </c>
      <c r="E9735" s="19">
        <f>0.5*$E$9699+0.5*$Z$9756</f>
        <v/>
      </c>
      <c r="F9735" s="19">
        <f>$Z$9757</f>
        <v/>
      </c>
    </row>
    <row r="9736">
      <c r="D9736" s="19">
        <f>IF(ABS(IF(ABS($E$9700)&gt;0.000000001,$E$9700,0.000000001))=0,0,IF($E$8788&lt;=$B$8772,0,IF(ABS(IF(ABS($E$9700)&gt;0.000000001,$E$9700,0.000000001))&gt;=8*$B$8774,$H$8788,0.5*$H$8788*(ABS(IF(ABS($E$9700)&gt;0.000000001,$E$9700,0.000000001))/$B$8774)^(1/3)))/ABS(IF(ABS($E$9700)&gt;0.000000001,$E$9700,0.000000001))*$I$8788)</f>
        <v/>
      </c>
      <c r="E9736" s="19">
        <f>0.5*$E$9700+0.5*$Z$9758</f>
        <v/>
      </c>
      <c r="F9736" s="19">
        <f>$Z$9759</f>
        <v/>
      </c>
    </row>
    <row r="9738">
      <c r="D9738" s="21">
        <f>$B$8763+$D$9726</f>
        <v/>
      </c>
      <c r="E9738" s="21">
        <f>$B$8764</f>
        <v/>
      </c>
      <c r="F9738" s="21">
        <f>-$B$8763</f>
        <v/>
      </c>
      <c r="G9738" s="21">
        <f>$B$8764</f>
        <v/>
      </c>
      <c r="H9738" s="21" t="n">
        <v>0</v>
      </c>
      <c r="I9738" s="21" t="n">
        <v>0</v>
      </c>
      <c r="J9738" s="21" t="n">
        <v>0</v>
      </c>
      <c r="K9738" s="21" t="n">
        <v>0</v>
      </c>
      <c r="L9738" s="21" t="n">
        <v>0</v>
      </c>
      <c r="M9738" s="21" t="n">
        <v>0</v>
      </c>
      <c r="N9738" s="21" t="n">
        <v>0</v>
      </c>
      <c r="O9738" s="21" t="n">
        <v>0</v>
      </c>
      <c r="P9738" s="21" t="n">
        <v>0</v>
      </c>
      <c r="Q9738" s="21" t="n">
        <v>0</v>
      </c>
      <c r="R9738" s="21" t="n">
        <v>0</v>
      </c>
      <c r="S9738" s="21" t="n">
        <v>0</v>
      </c>
      <c r="T9738" s="21" t="n">
        <v>0</v>
      </c>
      <c r="U9738" s="21" t="n">
        <v>0</v>
      </c>
      <c r="V9738" s="21" t="n">
        <v>0</v>
      </c>
      <c r="W9738" s="21" t="n">
        <v>0</v>
      </c>
      <c r="X9738" s="21" t="n">
        <v>0</v>
      </c>
      <c r="Y9738" s="21" t="n">
        <v>0</v>
      </c>
      <c r="Z9738" s="19">
        <f t="array" ref="Z9738:Z9759">MMULT(MINVERSE($D$9738:$Y$9759),$D$8790:$D$8811)</f>
        <v/>
      </c>
    </row>
    <row r="9739">
      <c r="D9739" s="21">
        <f>$B$8764</f>
        <v/>
      </c>
      <c r="E9739" s="21">
        <f>$B$8765</f>
        <v/>
      </c>
      <c r="F9739" s="21">
        <f>-$B$8764</f>
        <v/>
      </c>
      <c r="G9739" s="21">
        <f>$B$8766</f>
        <v/>
      </c>
      <c r="H9739" s="21" t="n">
        <v>0</v>
      </c>
      <c r="I9739" s="21" t="n">
        <v>0</v>
      </c>
      <c r="J9739" s="21" t="n">
        <v>0</v>
      </c>
      <c r="K9739" s="21" t="n">
        <v>0</v>
      </c>
      <c r="L9739" s="21" t="n">
        <v>0</v>
      </c>
      <c r="M9739" s="21" t="n">
        <v>0</v>
      </c>
      <c r="N9739" s="21" t="n">
        <v>0</v>
      </c>
      <c r="O9739" s="21" t="n">
        <v>0</v>
      </c>
      <c r="P9739" s="21" t="n">
        <v>0</v>
      </c>
      <c r="Q9739" s="21" t="n">
        <v>0</v>
      </c>
      <c r="R9739" s="21" t="n">
        <v>0</v>
      </c>
      <c r="S9739" s="21" t="n">
        <v>0</v>
      </c>
      <c r="T9739" s="21" t="n">
        <v>0</v>
      </c>
      <c r="U9739" s="21" t="n">
        <v>0</v>
      </c>
      <c r="V9739" s="21" t="n">
        <v>0</v>
      </c>
      <c r="W9739" s="21" t="n">
        <v>0</v>
      </c>
      <c r="X9739" s="21" t="n">
        <v>0</v>
      </c>
      <c r="Y9739" s="21" t="n">
        <v>0</v>
      </c>
      <c r="Z9739" s="19" t="n"/>
    </row>
    <row r="9740">
      <c r="D9740" s="21">
        <f>-$B$8763</f>
        <v/>
      </c>
      <c r="E9740" s="21">
        <f>-$B$8764</f>
        <v/>
      </c>
      <c r="F9740" s="21">
        <f>2*$B$8763+$D$9727</f>
        <v/>
      </c>
      <c r="G9740" s="21">
        <f>0</f>
        <v/>
      </c>
      <c r="H9740" s="21">
        <f>-$B$8763</f>
        <v/>
      </c>
      <c r="I9740" s="21">
        <f>$B$8764</f>
        <v/>
      </c>
      <c r="J9740" s="21" t="n">
        <v>0</v>
      </c>
      <c r="K9740" s="21" t="n">
        <v>0</v>
      </c>
      <c r="L9740" s="21" t="n">
        <v>0</v>
      </c>
      <c r="M9740" s="21" t="n">
        <v>0</v>
      </c>
      <c r="N9740" s="21" t="n">
        <v>0</v>
      </c>
      <c r="O9740" s="21" t="n">
        <v>0</v>
      </c>
      <c r="P9740" s="21" t="n">
        <v>0</v>
      </c>
      <c r="Q9740" s="21" t="n">
        <v>0</v>
      </c>
      <c r="R9740" s="21" t="n">
        <v>0</v>
      </c>
      <c r="S9740" s="21" t="n">
        <v>0</v>
      </c>
      <c r="T9740" s="21" t="n">
        <v>0</v>
      </c>
      <c r="U9740" s="21" t="n">
        <v>0</v>
      </c>
      <c r="V9740" s="21" t="n">
        <v>0</v>
      </c>
      <c r="W9740" s="21" t="n">
        <v>0</v>
      </c>
      <c r="X9740" s="21" t="n">
        <v>0</v>
      </c>
      <c r="Y9740" s="21" t="n">
        <v>0</v>
      </c>
      <c r="Z9740" s="19" t="n"/>
    </row>
    <row r="9741">
      <c r="D9741" s="21">
        <f>$B$8764</f>
        <v/>
      </c>
      <c r="E9741" s="21">
        <f>$B$8766</f>
        <v/>
      </c>
      <c r="F9741" s="21">
        <f>0</f>
        <v/>
      </c>
      <c r="G9741" s="21">
        <f>2*$B$8765</f>
        <v/>
      </c>
      <c r="H9741" s="21">
        <f>-$B$8764</f>
        <v/>
      </c>
      <c r="I9741" s="21">
        <f>$B$8766</f>
        <v/>
      </c>
      <c r="J9741" s="21" t="n">
        <v>0</v>
      </c>
      <c r="K9741" s="21" t="n">
        <v>0</v>
      </c>
      <c r="L9741" s="21" t="n">
        <v>0</v>
      </c>
      <c r="M9741" s="21" t="n">
        <v>0</v>
      </c>
      <c r="N9741" s="21" t="n">
        <v>0</v>
      </c>
      <c r="O9741" s="21" t="n">
        <v>0</v>
      </c>
      <c r="P9741" s="21" t="n">
        <v>0</v>
      </c>
      <c r="Q9741" s="21" t="n">
        <v>0</v>
      </c>
      <c r="R9741" s="21" t="n">
        <v>0</v>
      </c>
      <c r="S9741" s="21" t="n">
        <v>0</v>
      </c>
      <c r="T9741" s="21" t="n">
        <v>0</v>
      </c>
      <c r="U9741" s="21" t="n">
        <v>0</v>
      </c>
      <c r="V9741" s="21" t="n">
        <v>0</v>
      </c>
      <c r="W9741" s="21" t="n">
        <v>0</v>
      </c>
      <c r="X9741" s="21" t="n">
        <v>0</v>
      </c>
      <c r="Y9741" s="21" t="n">
        <v>0</v>
      </c>
      <c r="Z9741" s="19" t="n"/>
    </row>
    <row r="9742">
      <c r="D9742" s="21" t="n">
        <v>0</v>
      </c>
      <c r="E9742" s="21" t="n">
        <v>0</v>
      </c>
      <c r="F9742" s="21">
        <f>-$B$8763</f>
        <v/>
      </c>
      <c r="G9742" s="21">
        <f>-$B$8764</f>
        <v/>
      </c>
      <c r="H9742" s="21">
        <f>2*$B$8763+$D$9728</f>
        <v/>
      </c>
      <c r="I9742" s="21">
        <f>0</f>
        <v/>
      </c>
      <c r="J9742" s="21">
        <f>-$B$8763</f>
        <v/>
      </c>
      <c r="K9742" s="21">
        <f>$B$8764</f>
        <v/>
      </c>
      <c r="L9742" s="21" t="n">
        <v>0</v>
      </c>
      <c r="M9742" s="21" t="n">
        <v>0</v>
      </c>
      <c r="N9742" s="21" t="n">
        <v>0</v>
      </c>
      <c r="O9742" s="21" t="n">
        <v>0</v>
      </c>
      <c r="P9742" s="21" t="n">
        <v>0</v>
      </c>
      <c r="Q9742" s="21" t="n">
        <v>0</v>
      </c>
      <c r="R9742" s="21" t="n">
        <v>0</v>
      </c>
      <c r="S9742" s="21" t="n">
        <v>0</v>
      </c>
      <c r="T9742" s="21" t="n">
        <v>0</v>
      </c>
      <c r="U9742" s="21" t="n">
        <v>0</v>
      </c>
      <c r="V9742" s="21" t="n">
        <v>0</v>
      </c>
      <c r="W9742" s="21" t="n">
        <v>0</v>
      </c>
      <c r="X9742" s="21" t="n">
        <v>0</v>
      </c>
      <c r="Y9742" s="21" t="n">
        <v>0</v>
      </c>
      <c r="Z9742" s="19" t="n"/>
    </row>
    <row r="9743">
      <c r="D9743" s="21" t="n">
        <v>0</v>
      </c>
      <c r="E9743" s="21" t="n">
        <v>0</v>
      </c>
      <c r="F9743" s="21">
        <f>$B$8764</f>
        <v/>
      </c>
      <c r="G9743" s="21">
        <f>$B$8766</f>
        <v/>
      </c>
      <c r="H9743" s="21">
        <f>0</f>
        <v/>
      </c>
      <c r="I9743" s="21">
        <f>2*$B$8765</f>
        <v/>
      </c>
      <c r="J9743" s="21">
        <f>-$B$8764</f>
        <v/>
      </c>
      <c r="K9743" s="21">
        <f>$B$8766</f>
        <v/>
      </c>
      <c r="L9743" s="21" t="n">
        <v>0</v>
      </c>
      <c r="M9743" s="21" t="n">
        <v>0</v>
      </c>
      <c r="N9743" s="21" t="n">
        <v>0</v>
      </c>
      <c r="O9743" s="21" t="n">
        <v>0</v>
      </c>
      <c r="P9743" s="21" t="n">
        <v>0</v>
      </c>
      <c r="Q9743" s="21" t="n">
        <v>0</v>
      </c>
      <c r="R9743" s="21" t="n">
        <v>0</v>
      </c>
      <c r="S9743" s="21" t="n">
        <v>0</v>
      </c>
      <c r="T9743" s="21" t="n">
        <v>0</v>
      </c>
      <c r="U9743" s="21" t="n">
        <v>0</v>
      </c>
      <c r="V9743" s="21" t="n">
        <v>0</v>
      </c>
      <c r="W9743" s="21" t="n">
        <v>0</v>
      </c>
      <c r="X9743" s="21" t="n">
        <v>0</v>
      </c>
      <c r="Y9743" s="21" t="n">
        <v>0</v>
      </c>
      <c r="Z9743" s="19" t="n"/>
    </row>
    <row r="9744">
      <c r="D9744" s="21" t="n">
        <v>0</v>
      </c>
      <c r="E9744" s="21" t="n">
        <v>0</v>
      </c>
      <c r="F9744" s="21" t="n">
        <v>0</v>
      </c>
      <c r="G9744" s="21" t="n">
        <v>0</v>
      </c>
      <c r="H9744" s="21">
        <f>-$B$8763</f>
        <v/>
      </c>
      <c r="I9744" s="21">
        <f>-$B$8764</f>
        <v/>
      </c>
      <c r="J9744" s="21">
        <f>2*$B$8763+$D$9729</f>
        <v/>
      </c>
      <c r="K9744" s="21">
        <f>0</f>
        <v/>
      </c>
      <c r="L9744" s="21">
        <f>-$B$8763</f>
        <v/>
      </c>
      <c r="M9744" s="21">
        <f>$B$8764</f>
        <v/>
      </c>
      <c r="N9744" s="21" t="n">
        <v>0</v>
      </c>
      <c r="O9744" s="21" t="n">
        <v>0</v>
      </c>
      <c r="P9744" s="21" t="n">
        <v>0</v>
      </c>
      <c r="Q9744" s="21" t="n">
        <v>0</v>
      </c>
      <c r="R9744" s="21" t="n">
        <v>0</v>
      </c>
      <c r="S9744" s="21" t="n">
        <v>0</v>
      </c>
      <c r="T9744" s="21" t="n">
        <v>0</v>
      </c>
      <c r="U9744" s="21" t="n">
        <v>0</v>
      </c>
      <c r="V9744" s="21" t="n">
        <v>0</v>
      </c>
      <c r="W9744" s="21" t="n">
        <v>0</v>
      </c>
      <c r="X9744" s="21" t="n">
        <v>0</v>
      </c>
      <c r="Y9744" s="21" t="n">
        <v>0</v>
      </c>
      <c r="Z9744" s="19" t="n"/>
    </row>
    <row r="9745">
      <c r="D9745" s="21" t="n">
        <v>0</v>
      </c>
      <c r="E9745" s="21" t="n">
        <v>0</v>
      </c>
      <c r="F9745" s="21" t="n">
        <v>0</v>
      </c>
      <c r="G9745" s="21" t="n">
        <v>0</v>
      </c>
      <c r="H9745" s="21">
        <f>$B$8764</f>
        <v/>
      </c>
      <c r="I9745" s="21">
        <f>$B$8766</f>
        <v/>
      </c>
      <c r="J9745" s="21">
        <f>0</f>
        <v/>
      </c>
      <c r="K9745" s="21">
        <f>2*$B$8765</f>
        <v/>
      </c>
      <c r="L9745" s="21">
        <f>-$B$8764</f>
        <v/>
      </c>
      <c r="M9745" s="21">
        <f>$B$8766</f>
        <v/>
      </c>
      <c r="N9745" s="21" t="n">
        <v>0</v>
      </c>
      <c r="O9745" s="21" t="n">
        <v>0</v>
      </c>
      <c r="P9745" s="21" t="n">
        <v>0</v>
      </c>
      <c r="Q9745" s="21" t="n">
        <v>0</v>
      </c>
      <c r="R9745" s="21" t="n">
        <v>0</v>
      </c>
      <c r="S9745" s="21" t="n">
        <v>0</v>
      </c>
      <c r="T9745" s="21" t="n">
        <v>0</v>
      </c>
      <c r="U9745" s="21" t="n">
        <v>0</v>
      </c>
      <c r="V9745" s="21" t="n">
        <v>0</v>
      </c>
      <c r="W9745" s="21" t="n">
        <v>0</v>
      </c>
      <c r="X9745" s="21" t="n">
        <v>0</v>
      </c>
      <c r="Y9745" s="21" t="n">
        <v>0</v>
      </c>
      <c r="Z9745" s="19" t="n"/>
    </row>
    <row r="9746">
      <c r="D9746" s="21" t="n">
        <v>0</v>
      </c>
      <c r="E9746" s="21" t="n">
        <v>0</v>
      </c>
      <c r="F9746" s="21" t="n">
        <v>0</v>
      </c>
      <c r="G9746" s="21" t="n">
        <v>0</v>
      </c>
      <c r="H9746" s="21" t="n">
        <v>0</v>
      </c>
      <c r="I9746" s="21" t="n">
        <v>0</v>
      </c>
      <c r="J9746" s="21">
        <f>-$B$8763</f>
        <v/>
      </c>
      <c r="K9746" s="21">
        <f>-$B$8764</f>
        <v/>
      </c>
      <c r="L9746" s="21">
        <f>2*$B$8763+$D$9730</f>
        <v/>
      </c>
      <c r="M9746" s="21">
        <f>0</f>
        <v/>
      </c>
      <c r="N9746" s="21">
        <f>-$B$8763</f>
        <v/>
      </c>
      <c r="O9746" s="21">
        <f>$B$8764</f>
        <v/>
      </c>
      <c r="P9746" s="21" t="n">
        <v>0</v>
      </c>
      <c r="Q9746" s="21" t="n">
        <v>0</v>
      </c>
      <c r="R9746" s="21" t="n">
        <v>0</v>
      </c>
      <c r="S9746" s="21" t="n">
        <v>0</v>
      </c>
      <c r="T9746" s="21" t="n">
        <v>0</v>
      </c>
      <c r="U9746" s="21" t="n">
        <v>0</v>
      </c>
      <c r="V9746" s="21" t="n">
        <v>0</v>
      </c>
      <c r="W9746" s="21" t="n">
        <v>0</v>
      </c>
      <c r="X9746" s="21" t="n">
        <v>0</v>
      </c>
      <c r="Y9746" s="21" t="n">
        <v>0</v>
      </c>
      <c r="Z9746" s="19" t="n"/>
    </row>
    <row r="9747">
      <c r="D9747" s="21" t="n">
        <v>0</v>
      </c>
      <c r="E9747" s="21" t="n">
        <v>0</v>
      </c>
      <c r="F9747" s="21" t="n">
        <v>0</v>
      </c>
      <c r="G9747" s="21" t="n">
        <v>0</v>
      </c>
      <c r="H9747" s="21" t="n">
        <v>0</v>
      </c>
      <c r="I9747" s="21" t="n">
        <v>0</v>
      </c>
      <c r="J9747" s="21">
        <f>$B$8764</f>
        <v/>
      </c>
      <c r="K9747" s="21">
        <f>$B$8766</f>
        <v/>
      </c>
      <c r="L9747" s="21">
        <f>0</f>
        <v/>
      </c>
      <c r="M9747" s="21">
        <f>2*$B$8765</f>
        <v/>
      </c>
      <c r="N9747" s="21">
        <f>-$B$8764</f>
        <v/>
      </c>
      <c r="O9747" s="21">
        <f>$B$8766</f>
        <v/>
      </c>
      <c r="P9747" s="21" t="n">
        <v>0</v>
      </c>
      <c r="Q9747" s="21" t="n">
        <v>0</v>
      </c>
      <c r="R9747" s="21" t="n">
        <v>0</v>
      </c>
      <c r="S9747" s="21" t="n">
        <v>0</v>
      </c>
      <c r="T9747" s="21" t="n">
        <v>0</v>
      </c>
      <c r="U9747" s="21" t="n">
        <v>0</v>
      </c>
      <c r="V9747" s="21" t="n">
        <v>0</v>
      </c>
      <c r="W9747" s="21" t="n">
        <v>0</v>
      </c>
      <c r="X9747" s="21" t="n">
        <v>0</v>
      </c>
      <c r="Y9747" s="21" t="n">
        <v>0</v>
      </c>
      <c r="Z9747" s="19" t="n"/>
    </row>
    <row r="9748">
      <c r="D9748" s="21" t="n">
        <v>0</v>
      </c>
      <c r="E9748" s="21" t="n">
        <v>0</v>
      </c>
      <c r="F9748" s="21" t="n">
        <v>0</v>
      </c>
      <c r="G9748" s="21" t="n">
        <v>0</v>
      </c>
      <c r="H9748" s="21" t="n">
        <v>0</v>
      </c>
      <c r="I9748" s="21" t="n">
        <v>0</v>
      </c>
      <c r="J9748" s="21" t="n">
        <v>0</v>
      </c>
      <c r="K9748" s="21" t="n">
        <v>0</v>
      </c>
      <c r="L9748" s="21">
        <f>-$B$8763</f>
        <v/>
      </c>
      <c r="M9748" s="21">
        <f>-$B$8764</f>
        <v/>
      </c>
      <c r="N9748" s="21">
        <f>2*$B$8763+$D$9731</f>
        <v/>
      </c>
      <c r="O9748" s="21">
        <f>0</f>
        <v/>
      </c>
      <c r="P9748" s="21">
        <f>-$B$8763</f>
        <v/>
      </c>
      <c r="Q9748" s="21">
        <f>$B$8764</f>
        <v/>
      </c>
      <c r="R9748" s="21" t="n">
        <v>0</v>
      </c>
      <c r="S9748" s="21" t="n">
        <v>0</v>
      </c>
      <c r="T9748" s="21" t="n">
        <v>0</v>
      </c>
      <c r="U9748" s="21" t="n">
        <v>0</v>
      </c>
      <c r="V9748" s="21" t="n">
        <v>0</v>
      </c>
      <c r="W9748" s="21" t="n">
        <v>0</v>
      </c>
      <c r="X9748" s="21" t="n">
        <v>0</v>
      </c>
      <c r="Y9748" s="21" t="n">
        <v>0</v>
      </c>
      <c r="Z9748" s="19" t="n"/>
    </row>
    <row r="9749">
      <c r="D9749" s="21" t="n">
        <v>0</v>
      </c>
      <c r="E9749" s="21" t="n">
        <v>0</v>
      </c>
      <c r="F9749" s="21" t="n">
        <v>0</v>
      </c>
      <c r="G9749" s="21" t="n">
        <v>0</v>
      </c>
      <c r="H9749" s="21" t="n">
        <v>0</v>
      </c>
      <c r="I9749" s="21" t="n">
        <v>0</v>
      </c>
      <c r="J9749" s="21" t="n">
        <v>0</v>
      </c>
      <c r="K9749" s="21" t="n">
        <v>0</v>
      </c>
      <c r="L9749" s="21">
        <f>$B$8764</f>
        <v/>
      </c>
      <c r="M9749" s="21">
        <f>$B$8766</f>
        <v/>
      </c>
      <c r="N9749" s="21">
        <f>0</f>
        <v/>
      </c>
      <c r="O9749" s="21">
        <f>2*$B$8765</f>
        <v/>
      </c>
      <c r="P9749" s="21">
        <f>-$B$8764</f>
        <v/>
      </c>
      <c r="Q9749" s="21">
        <f>$B$8766</f>
        <v/>
      </c>
      <c r="R9749" s="21" t="n">
        <v>0</v>
      </c>
      <c r="S9749" s="21" t="n">
        <v>0</v>
      </c>
      <c r="T9749" s="21" t="n">
        <v>0</v>
      </c>
      <c r="U9749" s="21" t="n">
        <v>0</v>
      </c>
      <c r="V9749" s="21" t="n">
        <v>0</v>
      </c>
      <c r="W9749" s="21" t="n">
        <v>0</v>
      </c>
      <c r="X9749" s="21" t="n">
        <v>0</v>
      </c>
      <c r="Y9749" s="21" t="n">
        <v>0</v>
      </c>
      <c r="Z9749" s="19" t="n"/>
    </row>
    <row r="9750">
      <c r="D9750" s="21" t="n">
        <v>0</v>
      </c>
      <c r="E9750" s="21" t="n">
        <v>0</v>
      </c>
      <c r="F9750" s="21" t="n">
        <v>0</v>
      </c>
      <c r="G9750" s="21" t="n">
        <v>0</v>
      </c>
      <c r="H9750" s="21" t="n">
        <v>0</v>
      </c>
      <c r="I9750" s="21" t="n">
        <v>0</v>
      </c>
      <c r="J9750" s="21" t="n">
        <v>0</v>
      </c>
      <c r="K9750" s="21" t="n">
        <v>0</v>
      </c>
      <c r="L9750" s="21" t="n">
        <v>0</v>
      </c>
      <c r="M9750" s="21" t="n">
        <v>0</v>
      </c>
      <c r="N9750" s="21">
        <f>-$B$8763</f>
        <v/>
      </c>
      <c r="O9750" s="21">
        <f>-$B$8764</f>
        <v/>
      </c>
      <c r="P9750" s="21">
        <f>2*$B$8763+$D$9732</f>
        <v/>
      </c>
      <c r="Q9750" s="21">
        <f>0</f>
        <v/>
      </c>
      <c r="R9750" s="21">
        <f>-$B$8763</f>
        <v/>
      </c>
      <c r="S9750" s="21">
        <f>$B$8764</f>
        <v/>
      </c>
      <c r="T9750" s="21" t="n">
        <v>0</v>
      </c>
      <c r="U9750" s="21" t="n">
        <v>0</v>
      </c>
      <c r="V9750" s="21" t="n">
        <v>0</v>
      </c>
      <c r="W9750" s="21" t="n">
        <v>0</v>
      </c>
      <c r="X9750" s="21" t="n">
        <v>0</v>
      </c>
      <c r="Y9750" s="21" t="n">
        <v>0</v>
      </c>
      <c r="Z9750" s="19" t="n"/>
    </row>
    <row r="9751">
      <c r="D9751" s="21" t="n">
        <v>0</v>
      </c>
      <c r="E9751" s="21" t="n">
        <v>0</v>
      </c>
      <c r="F9751" s="21" t="n">
        <v>0</v>
      </c>
      <c r="G9751" s="21" t="n">
        <v>0</v>
      </c>
      <c r="H9751" s="21" t="n">
        <v>0</v>
      </c>
      <c r="I9751" s="21" t="n">
        <v>0</v>
      </c>
      <c r="J9751" s="21" t="n">
        <v>0</v>
      </c>
      <c r="K9751" s="21" t="n">
        <v>0</v>
      </c>
      <c r="L9751" s="21" t="n">
        <v>0</v>
      </c>
      <c r="M9751" s="21" t="n">
        <v>0</v>
      </c>
      <c r="N9751" s="21">
        <f>$B$8764</f>
        <v/>
      </c>
      <c r="O9751" s="21">
        <f>$B$8766</f>
        <v/>
      </c>
      <c r="P9751" s="21">
        <f>0</f>
        <v/>
      </c>
      <c r="Q9751" s="21">
        <f>2*$B$8765</f>
        <v/>
      </c>
      <c r="R9751" s="21">
        <f>-$B$8764</f>
        <v/>
      </c>
      <c r="S9751" s="21">
        <f>$B$8766</f>
        <v/>
      </c>
      <c r="T9751" s="21" t="n">
        <v>0</v>
      </c>
      <c r="U9751" s="21" t="n">
        <v>0</v>
      </c>
      <c r="V9751" s="21" t="n">
        <v>0</v>
      </c>
      <c r="W9751" s="21" t="n">
        <v>0</v>
      </c>
      <c r="X9751" s="21" t="n">
        <v>0</v>
      </c>
      <c r="Y9751" s="21" t="n">
        <v>0</v>
      </c>
      <c r="Z9751" s="19" t="n"/>
    </row>
    <row r="9752">
      <c r="D9752" s="21" t="n">
        <v>0</v>
      </c>
      <c r="E9752" s="21" t="n">
        <v>0</v>
      </c>
      <c r="F9752" s="21" t="n">
        <v>0</v>
      </c>
      <c r="G9752" s="21" t="n">
        <v>0</v>
      </c>
      <c r="H9752" s="21" t="n">
        <v>0</v>
      </c>
      <c r="I9752" s="21" t="n">
        <v>0</v>
      </c>
      <c r="J9752" s="21" t="n">
        <v>0</v>
      </c>
      <c r="K9752" s="21" t="n">
        <v>0</v>
      </c>
      <c r="L9752" s="21" t="n">
        <v>0</v>
      </c>
      <c r="M9752" s="21" t="n">
        <v>0</v>
      </c>
      <c r="N9752" s="21" t="n">
        <v>0</v>
      </c>
      <c r="O9752" s="21" t="n">
        <v>0</v>
      </c>
      <c r="P9752" s="21">
        <f>-$B$8763</f>
        <v/>
      </c>
      <c r="Q9752" s="21">
        <f>-$B$8764</f>
        <v/>
      </c>
      <c r="R9752" s="21">
        <f>2*$B$8763+$D$9733</f>
        <v/>
      </c>
      <c r="S9752" s="21">
        <f>0</f>
        <v/>
      </c>
      <c r="T9752" s="21">
        <f>-$B$8763</f>
        <v/>
      </c>
      <c r="U9752" s="21">
        <f>$B$8764</f>
        <v/>
      </c>
      <c r="V9752" s="21" t="n">
        <v>0</v>
      </c>
      <c r="W9752" s="21" t="n">
        <v>0</v>
      </c>
      <c r="X9752" s="21" t="n">
        <v>0</v>
      </c>
      <c r="Y9752" s="21" t="n">
        <v>0</v>
      </c>
      <c r="Z9752" s="19" t="n"/>
    </row>
    <row r="9753">
      <c r="D9753" s="21" t="n">
        <v>0</v>
      </c>
      <c r="E9753" s="21" t="n">
        <v>0</v>
      </c>
      <c r="F9753" s="21" t="n">
        <v>0</v>
      </c>
      <c r="G9753" s="21" t="n">
        <v>0</v>
      </c>
      <c r="H9753" s="21" t="n">
        <v>0</v>
      </c>
      <c r="I9753" s="21" t="n">
        <v>0</v>
      </c>
      <c r="J9753" s="21" t="n">
        <v>0</v>
      </c>
      <c r="K9753" s="21" t="n">
        <v>0</v>
      </c>
      <c r="L9753" s="21" t="n">
        <v>0</v>
      </c>
      <c r="M9753" s="21" t="n">
        <v>0</v>
      </c>
      <c r="N9753" s="21" t="n">
        <v>0</v>
      </c>
      <c r="O9753" s="21" t="n">
        <v>0</v>
      </c>
      <c r="P9753" s="21">
        <f>$B$8764</f>
        <v/>
      </c>
      <c r="Q9753" s="21">
        <f>$B$8766</f>
        <v/>
      </c>
      <c r="R9753" s="21">
        <f>0</f>
        <v/>
      </c>
      <c r="S9753" s="21">
        <f>2*$B$8765</f>
        <v/>
      </c>
      <c r="T9753" s="21">
        <f>-$B$8764</f>
        <v/>
      </c>
      <c r="U9753" s="21">
        <f>$B$8766</f>
        <v/>
      </c>
      <c r="V9753" s="21" t="n">
        <v>0</v>
      </c>
      <c r="W9753" s="21" t="n">
        <v>0</v>
      </c>
      <c r="X9753" s="21" t="n">
        <v>0</v>
      </c>
      <c r="Y9753" s="21" t="n">
        <v>0</v>
      </c>
      <c r="Z9753" s="19" t="n"/>
    </row>
    <row r="9754">
      <c r="D9754" s="21" t="n">
        <v>0</v>
      </c>
      <c r="E9754" s="21" t="n">
        <v>0</v>
      </c>
      <c r="F9754" s="21" t="n">
        <v>0</v>
      </c>
      <c r="G9754" s="21" t="n">
        <v>0</v>
      </c>
      <c r="H9754" s="21" t="n">
        <v>0</v>
      </c>
      <c r="I9754" s="21" t="n">
        <v>0</v>
      </c>
      <c r="J9754" s="21" t="n">
        <v>0</v>
      </c>
      <c r="K9754" s="21" t="n">
        <v>0</v>
      </c>
      <c r="L9754" s="21" t="n">
        <v>0</v>
      </c>
      <c r="M9754" s="21" t="n">
        <v>0</v>
      </c>
      <c r="N9754" s="21" t="n">
        <v>0</v>
      </c>
      <c r="O9754" s="21" t="n">
        <v>0</v>
      </c>
      <c r="P9754" s="21" t="n">
        <v>0</v>
      </c>
      <c r="Q9754" s="21" t="n">
        <v>0</v>
      </c>
      <c r="R9754" s="21">
        <f>-$B$8763</f>
        <v/>
      </c>
      <c r="S9754" s="21">
        <f>-$B$8764</f>
        <v/>
      </c>
      <c r="T9754" s="21">
        <f>2*$B$8763+$D$9734</f>
        <v/>
      </c>
      <c r="U9754" s="21">
        <f>0</f>
        <v/>
      </c>
      <c r="V9754" s="21">
        <f>-$B$8763</f>
        <v/>
      </c>
      <c r="W9754" s="21">
        <f>$B$8764</f>
        <v/>
      </c>
      <c r="X9754" s="21" t="n">
        <v>0</v>
      </c>
      <c r="Y9754" s="21" t="n">
        <v>0</v>
      </c>
      <c r="Z9754" s="19" t="n"/>
    </row>
    <row r="9755">
      <c r="D9755" s="21" t="n">
        <v>0</v>
      </c>
      <c r="E9755" s="21" t="n">
        <v>0</v>
      </c>
      <c r="F9755" s="21" t="n">
        <v>0</v>
      </c>
      <c r="G9755" s="21" t="n">
        <v>0</v>
      </c>
      <c r="H9755" s="21" t="n">
        <v>0</v>
      </c>
      <c r="I9755" s="21" t="n">
        <v>0</v>
      </c>
      <c r="J9755" s="21" t="n">
        <v>0</v>
      </c>
      <c r="K9755" s="21" t="n">
        <v>0</v>
      </c>
      <c r="L9755" s="21" t="n">
        <v>0</v>
      </c>
      <c r="M9755" s="21" t="n">
        <v>0</v>
      </c>
      <c r="N9755" s="21" t="n">
        <v>0</v>
      </c>
      <c r="O9755" s="21" t="n">
        <v>0</v>
      </c>
      <c r="P9755" s="21" t="n">
        <v>0</v>
      </c>
      <c r="Q9755" s="21" t="n">
        <v>0</v>
      </c>
      <c r="R9755" s="21">
        <f>$B$8764</f>
        <v/>
      </c>
      <c r="S9755" s="21">
        <f>$B$8766</f>
        <v/>
      </c>
      <c r="T9755" s="21">
        <f>0</f>
        <v/>
      </c>
      <c r="U9755" s="21">
        <f>2*$B$8765</f>
        <v/>
      </c>
      <c r="V9755" s="21">
        <f>-$B$8764</f>
        <v/>
      </c>
      <c r="W9755" s="21">
        <f>$B$8766</f>
        <v/>
      </c>
      <c r="X9755" s="21" t="n">
        <v>0</v>
      </c>
      <c r="Y9755" s="21" t="n">
        <v>0</v>
      </c>
      <c r="Z9755" s="19" t="n"/>
    </row>
    <row r="9756">
      <c r="D9756" s="21" t="n">
        <v>0</v>
      </c>
      <c r="E9756" s="21" t="n">
        <v>0</v>
      </c>
      <c r="F9756" s="21" t="n">
        <v>0</v>
      </c>
      <c r="G9756" s="21" t="n">
        <v>0</v>
      </c>
      <c r="H9756" s="21" t="n">
        <v>0</v>
      </c>
      <c r="I9756" s="21" t="n">
        <v>0</v>
      </c>
      <c r="J9756" s="21" t="n">
        <v>0</v>
      </c>
      <c r="K9756" s="21" t="n">
        <v>0</v>
      </c>
      <c r="L9756" s="21" t="n">
        <v>0</v>
      </c>
      <c r="M9756" s="21" t="n">
        <v>0</v>
      </c>
      <c r="N9756" s="21" t="n">
        <v>0</v>
      </c>
      <c r="O9756" s="21" t="n">
        <v>0</v>
      </c>
      <c r="P9756" s="21" t="n">
        <v>0</v>
      </c>
      <c r="Q9756" s="21" t="n">
        <v>0</v>
      </c>
      <c r="R9756" s="21" t="n">
        <v>0</v>
      </c>
      <c r="S9756" s="21" t="n">
        <v>0</v>
      </c>
      <c r="T9756" s="21">
        <f>-$B$8763</f>
        <v/>
      </c>
      <c r="U9756" s="21">
        <f>-$B$8764</f>
        <v/>
      </c>
      <c r="V9756" s="21">
        <f>2*$B$8763+$D$9735</f>
        <v/>
      </c>
      <c r="W9756" s="21">
        <f>0</f>
        <v/>
      </c>
      <c r="X9756" s="21">
        <f>-$B$8763</f>
        <v/>
      </c>
      <c r="Y9756" s="21">
        <f>$B$8764</f>
        <v/>
      </c>
      <c r="Z9756" s="19" t="n"/>
    </row>
    <row r="9757">
      <c r="D9757" s="21" t="n">
        <v>0</v>
      </c>
      <c r="E9757" s="21" t="n">
        <v>0</v>
      </c>
      <c r="F9757" s="21" t="n">
        <v>0</v>
      </c>
      <c r="G9757" s="21" t="n">
        <v>0</v>
      </c>
      <c r="H9757" s="21" t="n">
        <v>0</v>
      </c>
      <c r="I9757" s="21" t="n">
        <v>0</v>
      </c>
      <c r="J9757" s="21" t="n">
        <v>0</v>
      </c>
      <c r="K9757" s="21" t="n">
        <v>0</v>
      </c>
      <c r="L9757" s="21" t="n">
        <v>0</v>
      </c>
      <c r="M9757" s="21" t="n">
        <v>0</v>
      </c>
      <c r="N9757" s="21" t="n">
        <v>0</v>
      </c>
      <c r="O9757" s="21" t="n">
        <v>0</v>
      </c>
      <c r="P9757" s="21" t="n">
        <v>0</v>
      </c>
      <c r="Q9757" s="21" t="n">
        <v>0</v>
      </c>
      <c r="R9757" s="21" t="n">
        <v>0</v>
      </c>
      <c r="S9757" s="21" t="n">
        <v>0</v>
      </c>
      <c r="T9757" s="21">
        <f>$B$8764</f>
        <v/>
      </c>
      <c r="U9757" s="21">
        <f>$B$8766</f>
        <v/>
      </c>
      <c r="V9757" s="21">
        <f>0</f>
        <v/>
      </c>
      <c r="W9757" s="21">
        <f>2*$B$8765</f>
        <v/>
      </c>
      <c r="X9757" s="21">
        <f>-$B$8764</f>
        <v/>
      </c>
      <c r="Y9757" s="21">
        <f>$B$8766</f>
        <v/>
      </c>
      <c r="Z9757" s="19" t="n"/>
    </row>
    <row r="9758">
      <c r="D9758" s="21" t="n">
        <v>0</v>
      </c>
      <c r="E9758" s="21" t="n">
        <v>0</v>
      </c>
      <c r="F9758" s="21" t="n">
        <v>0</v>
      </c>
      <c r="G9758" s="21" t="n">
        <v>0</v>
      </c>
      <c r="H9758" s="21" t="n">
        <v>0</v>
      </c>
      <c r="I9758" s="21" t="n">
        <v>0</v>
      </c>
      <c r="J9758" s="21" t="n">
        <v>0</v>
      </c>
      <c r="K9758" s="21" t="n">
        <v>0</v>
      </c>
      <c r="L9758" s="21" t="n">
        <v>0</v>
      </c>
      <c r="M9758" s="21" t="n">
        <v>0</v>
      </c>
      <c r="N9758" s="21" t="n">
        <v>0</v>
      </c>
      <c r="O9758" s="21" t="n">
        <v>0</v>
      </c>
      <c r="P9758" s="21" t="n">
        <v>0</v>
      </c>
      <c r="Q9758" s="21" t="n">
        <v>0</v>
      </c>
      <c r="R9758" s="21" t="n">
        <v>0</v>
      </c>
      <c r="S9758" s="21" t="n">
        <v>0</v>
      </c>
      <c r="T9758" s="21" t="n">
        <v>0</v>
      </c>
      <c r="U9758" s="21" t="n">
        <v>0</v>
      </c>
      <c r="V9758" s="21">
        <f>-$B$8763</f>
        <v/>
      </c>
      <c r="W9758" s="21">
        <f>-$B$8764</f>
        <v/>
      </c>
      <c r="X9758" s="21">
        <f>$B$8763+$D$9736</f>
        <v/>
      </c>
      <c r="Y9758" s="21">
        <f>-$B$8764</f>
        <v/>
      </c>
      <c r="Z9758" s="19" t="n"/>
    </row>
    <row r="9759">
      <c r="D9759" s="21" t="n">
        <v>0</v>
      </c>
      <c r="E9759" s="21" t="n">
        <v>0</v>
      </c>
      <c r="F9759" s="21" t="n">
        <v>0</v>
      </c>
      <c r="G9759" s="21" t="n">
        <v>0</v>
      </c>
      <c r="H9759" s="21" t="n">
        <v>0</v>
      </c>
      <c r="I9759" s="21" t="n">
        <v>0</v>
      </c>
      <c r="J9759" s="21" t="n">
        <v>0</v>
      </c>
      <c r="K9759" s="21" t="n">
        <v>0</v>
      </c>
      <c r="L9759" s="21" t="n">
        <v>0</v>
      </c>
      <c r="M9759" s="21" t="n">
        <v>0</v>
      </c>
      <c r="N9759" s="21" t="n">
        <v>0</v>
      </c>
      <c r="O9759" s="21" t="n">
        <v>0</v>
      </c>
      <c r="P9759" s="21" t="n">
        <v>0</v>
      </c>
      <c r="Q9759" s="21" t="n">
        <v>0</v>
      </c>
      <c r="R9759" s="21" t="n">
        <v>0</v>
      </c>
      <c r="S9759" s="21" t="n">
        <v>0</v>
      </c>
      <c r="T9759" s="21" t="n">
        <v>0</v>
      </c>
      <c r="U9759" s="21" t="n">
        <v>0</v>
      </c>
      <c r="V9759" s="21">
        <f>$B$8764</f>
        <v/>
      </c>
      <c r="W9759" s="21">
        <f>$B$8766</f>
        <v/>
      </c>
      <c r="X9759" s="21">
        <f>-$B$8764</f>
        <v/>
      </c>
      <c r="Y9759" s="21">
        <f>$B$8765</f>
        <v/>
      </c>
      <c r="Z9759" s="19" t="n"/>
    </row>
    <row r="9761">
      <c r="A9761" s="8" t="inlineStr">
        <is>
          <t>gen 27</t>
        </is>
      </c>
    </row>
    <row r="9762">
      <c r="D9762" s="19">
        <f>IF(ABS(IF(ABS($E$9726)&gt;0.000000001,$E$9726,0.000000001))=0,0,IF($E$8778&lt;=$B$8772,0,IF(ABS(IF(ABS($E$9726)&gt;0.000000001,$E$9726,0.000000001))&gt;=8*$B$8774,$H$8778,0.5*$H$8778*(ABS(IF(ABS($E$9726)&gt;0.000000001,$E$9726,0.000000001))/$B$8774)^(1/3)))/ABS(IF(ABS($E$9726)&gt;0.000000001,$E$9726,0.000000001))*$I$8778)</f>
        <v/>
      </c>
      <c r="E9762" s="19">
        <f>0.5*$E$9726+0.5*$Z$9774</f>
        <v/>
      </c>
      <c r="F9762" s="19">
        <f>$Z$9775</f>
        <v/>
      </c>
    </row>
    <row r="9763">
      <c r="D9763" s="19">
        <f>IF(ABS(IF(ABS($E$9727)&gt;0.000000001,$E$9727,0.000000001))=0,0,IF($E$8779&lt;=$B$8772,0,IF(ABS(IF(ABS($E$9727)&gt;0.000000001,$E$9727,0.000000001))&gt;=8*$B$8774,$H$8779,0.5*$H$8779*(ABS(IF(ABS($E$9727)&gt;0.000000001,$E$9727,0.000000001))/$B$8774)^(1/3)))/ABS(IF(ABS($E$9727)&gt;0.000000001,$E$9727,0.000000001))*$I$8779)</f>
        <v/>
      </c>
      <c r="E9763" s="19">
        <f>0.5*$E$9727+0.5*$Z$9776</f>
        <v/>
      </c>
      <c r="F9763" s="19">
        <f>$Z$9777</f>
        <v/>
      </c>
    </row>
    <row r="9764">
      <c r="D9764" s="19">
        <f>IF(ABS(IF(ABS($E$9728)&gt;0.000000001,$E$9728,0.000000001))=0,0,IF($E$8780&lt;=$B$8772,0,IF(ABS(IF(ABS($E$9728)&gt;0.000000001,$E$9728,0.000000001))&gt;=8*$B$8774,$H$8780,0.5*$H$8780*(ABS(IF(ABS($E$9728)&gt;0.000000001,$E$9728,0.000000001))/$B$8774)^(1/3)))/ABS(IF(ABS($E$9728)&gt;0.000000001,$E$9728,0.000000001))*$I$8780)</f>
        <v/>
      </c>
      <c r="E9764" s="19">
        <f>0.5*$E$9728+0.5*$Z$9778</f>
        <v/>
      </c>
      <c r="F9764" s="19">
        <f>$Z$9779</f>
        <v/>
      </c>
    </row>
    <row r="9765">
      <c r="D9765" s="19">
        <f>IF(ABS(IF(ABS($E$9729)&gt;0.000000001,$E$9729,0.000000001))=0,0,IF($E$8781&lt;=$B$8772,0,IF(ABS(IF(ABS($E$9729)&gt;0.000000001,$E$9729,0.000000001))&gt;=8*$B$8774,$H$8781,0.5*$H$8781*(ABS(IF(ABS($E$9729)&gt;0.000000001,$E$9729,0.000000001))/$B$8774)^(1/3)))/ABS(IF(ABS($E$9729)&gt;0.000000001,$E$9729,0.000000001))*$I$8781)</f>
        <v/>
      </c>
      <c r="E9765" s="19">
        <f>0.5*$E$9729+0.5*$Z$9780</f>
        <v/>
      </c>
      <c r="F9765" s="19">
        <f>$Z$9781</f>
        <v/>
      </c>
    </row>
    <row r="9766">
      <c r="D9766" s="19">
        <f>IF(ABS(IF(ABS($E$9730)&gt;0.000000001,$E$9730,0.000000001))=0,0,IF($E$8782&lt;=$B$8772,0,IF(ABS(IF(ABS($E$9730)&gt;0.000000001,$E$9730,0.000000001))&gt;=8*$B$8774,$H$8782,0.5*$H$8782*(ABS(IF(ABS($E$9730)&gt;0.000000001,$E$9730,0.000000001))/$B$8774)^(1/3)))/ABS(IF(ABS($E$9730)&gt;0.000000001,$E$9730,0.000000001))*$I$8782)</f>
        <v/>
      </c>
      <c r="E9766" s="19">
        <f>0.5*$E$9730+0.5*$Z$9782</f>
        <v/>
      </c>
      <c r="F9766" s="19">
        <f>$Z$9783</f>
        <v/>
      </c>
    </row>
    <row r="9767">
      <c r="D9767" s="19">
        <f>IF(ABS(IF(ABS($E$9731)&gt;0.000000001,$E$9731,0.000000001))=0,0,IF($E$8783&lt;=$B$8772,0,IF(ABS(IF(ABS($E$9731)&gt;0.000000001,$E$9731,0.000000001))&gt;=8*$B$8774,$H$8783,0.5*$H$8783*(ABS(IF(ABS($E$9731)&gt;0.000000001,$E$9731,0.000000001))/$B$8774)^(1/3)))/ABS(IF(ABS($E$9731)&gt;0.000000001,$E$9731,0.000000001))*$I$8783)</f>
        <v/>
      </c>
      <c r="E9767" s="19">
        <f>0.5*$E$9731+0.5*$Z$9784</f>
        <v/>
      </c>
      <c r="F9767" s="19">
        <f>$Z$9785</f>
        <v/>
      </c>
    </row>
    <row r="9768">
      <c r="D9768" s="19">
        <f>IF(ABS(IF(ABS($E$9732)&gt;0.000000001,$E$9732,0.000000001))=0,0,IF($E$8784&lt;=$B$8772,0,IF(ABS(IF(ABS($E$9732)&gt;0.000000001,$E$9732,0.000000001))&gt;=8*$B$8774,$H$8784,0.5*$H$8784*(ABS(IF(ABS($E$9732)&gt;0.000000001,$E$9732,0.000000001))/$B$8774)^(1/3)))/ABS(IF(ABS($E$9732)&gt;0.000000001,$E$9732,0.000000001))*$I$8784)</f>
        <v/>
      </c>
      <c r="E9768" s="19">
        <f>0.5*$E$9732+0.5*$Z$9786</f>
        <v/>
      </c>
      <c r="F9768" s="19">
        <f>$Z$9787</f>
        <v/>
      </c>
    </row>
    <row r="9769">
      <c r="D9769" s="19">
        <f>IF(ABS(IF(ABS($E$9733)&gt;0.000000001,$E$9733,0.000000001))=0,0,IF($E$8785&lt;=$B$8772,0,IF(ABS(IF(ABS($E$9733)&gt;0.000000001,$E$9733,0.000000001))&gt;=8*$B$8774,$H$8785,0.5*$H$8785*(ABS(IF(ABS($E$9733)&gt;0.000000001,$E$9733,0.000000001))/$B$8774)^(1/3)))/ABS(IF(ABS($E$9733)&gt;0.000000001,$E$9733,0.000000001))*$I$8785)</f>
        <v/>
      </c>
      <c r="E9769" s="19">
        <f>0.5*$E$9733+0.5*$Z$9788</f>
        <v/>
      </c>
      <c r="F9769" s="19">
        <f>$Z$9789</f>
        <v/>
      </c>
    </row>
    <row r="9770">
      <c r="D9770" s="19">
        <f>IF(ABS(IF(ABS($E$9734)&gt;0.000000001,$E$9734,0.000000001))=0,0,IF($E$8786&lt;=$B$8772,0,IF(ABS(IF(ABS($E$9734)&gt;0.000000001,$E$9734,0.000000001))&gt;=8*$B$8774,$H$8786,0.5*$H$8786*(ABS(IF(ABS($E$9734)&gt;0.000000001,$E$9734,0.000000001))/$B$8774)^(1/3)))/ABS(IF(ABS($E$9734)&gt;0.000000001,$E$9734,0.000000001))*$I$8786)</f>
        <v/>
      </c>
      <c r="E9770" s="19">
        <f>0.5*$E$9734+0.5*$Z$9790</f>
        <v/>
      </c>
      <c r="F9770" s="19">
        <f>$Z$9791</f>
        <v/>
      </c>
    </row>
    <row r="9771">
      <c r="D9771" s="19">
        <f>IF(ABS(IF(ABS($E$9735)&gt;0.000000001,$E$9735,0.000000001))=0,0,IF($E$8787&lt;=$B$8772,0,IF(ABS(IF(ABS($E$9735)&gt;0.000000001,$E$9735,0.000000001))&gt;=8*$B$8774,$H$8787,0.5*$H$8787*(ABS(IF(ABS($E$9735)&gt;0.000000001,$E$9735,0.000000001))/$B$8774)^(1/3)))/ABS(IF(ABS($E$9735)&gt;0.000000001,$E$9735,0.000000001))*$I$8787)</f>
        <v/>
      </c>
      <c r="E9771" s="19">
        <f>0.5*$E$9735+0.5*$Z$9792</f>
        <v/>
      </c>
      <c r="F9771" s="19">
        <f>$Z$9793</f>
        <v/>
      </c>
    </row>
    <row r="9772">
      <c r="D9772" s="19">
        <f>IF(ABS(IF(ABS($E$9736)&gt;0.000000001,$E$9736,0.000000001))=0,0,IF($E$8788&lt;=$B$8772,0,IF(ABS(IF(ABS($E$9736)&gt;0.000000001,$E$9736,0.000000001))&gt;=8*$B$8774,$H$8788,0.5*$H$8788*(ABS(IF(ABS($E$9736)&gt;0.000000001,$E$9736,0.000000001))/$B$8774)^(1/3)))/ABS(IF(ABS($E$9736)&gt;0.000000001,$E$9736,0.000000001))*$I$8788)</f>
        <v/>
      </c>
      <c r="E9772" s="19">
        <f>0.5*$E$9736+0.5*$Z$9794</f>
        <v/>
      </c>
      <c r="F9772" s="19">
        <f>$Z$9795</f>
        <v/>
      </c>
    </row>
    <row r="9774">
      <c r="D9774" s="21">
        <f>$B$8763+$D$9762</f>
        <v/>
      </c>
      <c r="E9774" s="21">
        <f>$B$8764</f>
        <v/>
      </c>
      <c r="F9774" s="21">
        <f>-$B$8763</f>
        <v/>
      </c>
      <c r="G9774" s="21">
        <f>$B$8764</f>
        <v/>
      </c>
      <c r="H9774" s="21" t="n">
        <v>0</v>
      </c>
      <c r="I9774" s="21" t="n">
        <v>0</v>
      </c>
      <c r="J9774" s="21" t="n">
        <v>0</v>
      </c>
      <c r="K9774" s="21" t="n">
        <v>0</v>
      </c>
      <c r="L9774" s="21" t="n">
        <v>0</v>
      </c>
      <c r="M9774" s="21" t="n">
        <v>0</v>
      </c>
      <c r="N9774" s="21" t="n">
        <v>0</v>
      </c>
      <c r="O9774" s="21" t="n">
        <v>0</v>
      </c>
      <c r="P9774" s="21" t="n">
        <v>0</v>
      </c>
      <c r="Q9774" s="21" t="n">
        <v>0</v>
      </c>
      <c r="R9774" s="21" t="n">
        <v>0</v>
      </c>
      <c r="S9774" s="21" t="n">
        <v>0</v>
      </c>
      <c r="T9774" s="21" t="n">
        <v>0</v>
      </c>
      <c r="U9774" s="21" t="n">
        <v>0</v>
      </c>
      <c r="V9774" s="21" t="n">
        <v>0</v>
      </c>
      <c r="W9774" s="21" t="n">
        <v>0</v>
      </c>
      <c r="X9774" s="21" t="n">
        <v>0</v>
      </c>
      <c r="Y9774" s="21" t="n">
        <v>0</v>
      </c>
      <c r="Z9774" s="19">
        <f t="array" ref="Z9774:Z9795">MMULT(MINVERSE($D$9774:$Y$9795),$D$8790:$D$8811)</f>
        <v/>
      </c>
    </row>
    <row r="9775">
      <c r="D9775" s="21">
        <f>$B$8764</f>
        <v/>
      </c>
      <c r="E9775" s="21">
        <f>$B$8765</f>
        <v/>
      </c>
      <c r="F9775" s="21">
        <f>-$B$8764</f>
        <v/>
      </c>
      <c r="G9775" s="21">
        <f>$B$8766</f>
        <v/>
      </c>
      <c r="H9775" s="21" t="n">
        <v>0</v>
      </c>
      <c r="I9775" s="21" t="n">
        <v>0</v>
      </c>
      <c r="J9775" s="21" t="n">
        <v>0</v>
      </c>
      <c r="K9775" s="21" t="n">
        <v>0</v>
      </c>
      <c r="L9775" s="21" t="n">
        <v>0</v>
      </c>
      <c r="M9775" s="21" t="n">
        <v>0</v>
      </c>
      <c r="N9775" s="21" t="n">
        <v>0</v>
      </c>
      <c r="O9775" s="21" t="n">
        <v>0</v>
      </c>
      <c r="P9775" s="21" t="n">
        <v>0</v>
      </c>
      <c r="Q9775" s="21" t="n">
        <v>0</v>
      </c>
      <c r="R9775" s="21" t="n">
        <v>0</v>
      </c>
      <c r="S9775" s="21" t="n">
        <v>0</v>
      </c>
      <c r="T9775" s="21" t="n">
        <v>0</v>
      </c>
      <c r="U9775" s="21" t="n">
        <v>0</v>
      </c>
      <c r="V9775" s="21" t="n">
        <v>0</v>
      </c>
      <c r="W9775" s="21" t="n">
        <v>0</v>
      </c>
      <c r="X9775" s="21" t="n">
        <v>0</v>
      </c>
      <c r="Y9775" s="21" t="n">
        <v>0</v>
      </c>
      <c r="Z9775" s="19" t="n"/>
    </row>
    <row r="9776">
      <c r="D9776" s="21">
        <f>-$B$8763</f>
        <v/>
      </c>
      <c r="E9776" s="21">
        <f>-$B$8764</f>
        <v/>
      </c>
      <c r="F9776" s="21">
        <f>2*$B$8763+$D$9763</f>
        <v/>
      </c>
      <c r="G9776" s="21">
        <f>0</f>
        <v/>
      </c>
      <c r="H9776" s="21">
        <f>-$B$8763</f>
        <v/>
      </c>
      <c r="I9776" s="21">
        <f>$B$8764</f>
        <v/>
      </c>
      <c r="J9776" s="21" t="n">
        <v>0</v>
      </c>
      <c r="K9776" s="21" t="n">
        <v>0</v>
      </c>
      <c r="L9776" s="21" t="n">
        <v>0</v>
      </c>
      <c r="M9776" s="21" t="n">
        <v>0</v>
      </c>
      <c r="N9776" s="21" t="n">
        <v>0</v>
      </c>
      <c r="O9776" s="21" t="n">
        <v>0</v>
      </c>
      <c r="P9776" s="21" t="n">
        <v>0</v>
      </c>
      <c r="Q9776" s="21" t="n">
        <v>0</v>
      </c>
      <c r="R9776" s="21" t="n">
        <v>0</v>
      </c>
      <c r="S9776" s="21" t="n">
        <v>0</v>
      </c>
      <c r="T9776" s="21" t="n">
        <v>0</v>
      </c>
      <c r="U9776" s="21" t="n">
        <v>0</v>
      </c>
      <c r="V9776" s="21" t="n">
        <v>0</v>
      </c>
      <c r="W9776" s="21" t="n">
        <v>0</v>
      </c>
      <c r="X9776" s="21" t="n">
        <v>0</v>
      </c>
      <c r="Y9776" s="21" t="n">
        <v>0</v>
      </c>
      <c r="Z9776" s="19" t="n"/>
    </row>
    <row r="9777">
      <c r="D9777" s="21">
        <f>$B$8764</f>
        <v/>
      </c>
      <c r="E9777" s="21">
        <f>$B$8766</f>
        <v/>
      </c>
      <c r="F9777" s="21">
        <f>0</f>
        <v/>
      </c>
      <c r="G9777" s="21">
        <f>2*$B$8765</f>
        <v/>
      </c>
      <c r="H9777" s="21">
        <f>-$B$8764</f>
        <v/>
      </c>
      <c r="I9777" s="21">
        <f>$B$8766</f>
        <v/>
      </c>
      <c r="J9777" s="21" t="n">
        <v>0</v>
      </c>
      <c r="K9777" s="21" t="n">
        <v>0</v>
      </c>
      <c r="L9777" s="21" t="n">
        <v>0</v>
      </c>
      <c r="M9777" s="21" t="n">
        <v>0</v>
      </c>
      <c r="N9777" s="21" t="n">
        <v>0</v>
      </c>
      <c r="O9777" s="21" t="n">
        <v>0</v>
      </c>
      <c r="P9777" s="21" t="n">
        <v>0</v>
      </c>
      <c r="Q9777" s="21" t="n">
        <v>0</v>
      </c>
      <c r="R9777" s="21" t="n">
        <v>0</v>
      </c>
      <c r="S9777" s="21" t="n">
        <v>0</v>
      </c>
      <c r="T9777" s="21" t="n">
        <v>0</v>
      </c>
      <c r="U9777" s="21" t="n">
        <v>0</v>
      </c>
      <c r="V9777" s="21" t="n">
        <v>0</v>
      </c>
      <c r="W9777" s="21" t="n">
        <v>0</v>
      </c>
      <c r="X9777" s="21" t="n">
        <v>0</v>
      </c>
      <c r="Y9777" s="21" t="n">
        <v>0</v>
      </c>
      <c r="Z9777" s="19" t="n"/>
    </row>
    <row r="9778">
      <c r="D9778" s="21" t="n">
        <v>0</v>
      </c>
      <c r="E9778" s="21" t="n">
        <v>0</v>
      </c>
      <c r="F9778" s="21">
        <f>-$B$8763</f>
        <v/>
      </c>
      <c r="G9778" s="21">
        <f>-$B$8764</f>
        <v/>
      </c>
      <c r="H9778" s="21">
        <f>2*$B$8763+$D$9764</f>
        <v/>
      </c>
      <c r="I9778" s="21">
        <f>0</f>
        <v/>
      </c>
      <c r="J9778" s="21">
        <f>-$B$8763</f>
        <v/>
      </c>
      <c r="K9778" s="21">
        <f>$B$8764</f>
        <v/>
      </c>
      <c r="L9778" s="21" t="n">
        <v>0</v>
      </c>
      <c r="M9778" s="21" t="n">
        <v>0</v>
      </c>
      <c r="N9778" s="21" t="n">
        <v>0</v>
      </c>
      <c r="O9778" s="21" t="n">
        <v>0</v>
      </c>
      <c r="P9778" s="21" t="n">
        <v>0</v>
      </c>
      <c r="Q9778" s="21" t="n">
        <v>0</v>
      </c>
      <c r="R9778" s="21" t="n">
        <v>0</v>
      </c>
      <c r="S9778" s="21" t="n">
        <v>0</v>
      </c>
      <c r="T9778" s="21" t="n">
        <v>0</v>
      </c>
      <c r="U9778" s="21" t="n">
        <v>0</v>
      </c>
      <c r="V9778" s="21" t="n">
        <v>0</v>
      </c>
      <c r="W9778" s="21" t="n">
        <v>0</v>
      </c>
      <c r="X9778" s="21" t="n">
        <v>0</v>
      </c>
      <c r="Y9778" s="21" t="n">
        <v>0</v>
      </c>
      <c r="Z9778" s="19" t="n"/>
    </row>
    <row r="9779">
      <c r="D9779" s="21" t="n">
        <v>0</v>
      </c>
      <c r="E9779" s="21" t="n">
        <v>0</v>
      </c>
      <c r="F9779" s="21">
        <f>$B$8764</f>
        <v/>
      </c>
      <c r="G9779" s="21">
        <f>$B$8766</f>
        <v/>
      </c>
      <c r="H9779" s="21">
        <f>0</f>
        <v/>
      </c>
      <c r="I9779" s="21">
        <f>2*$B$8765</f>
        <v/>
      </c>
      <c r="J9779" s="21">
        <f>-$B$8764</f>
        <v/>
      </c>
      <c r="K9779" s="21">
        <f>$B$8766</f>
        <v/>
      </c>
      <c r="L9779" s="21" t="n">
        <v>0</v>
      </c>
      <c r="M9779" s="21" t="n">
        <v>0</v>
      </c>
      <c r="N9779" s="21" t="n">
        <v>0</v>
      </c>
      <c r="O9779" s="21" t="n">
        <v>0</v>
      </c>
      <c r="P9779" s="21" t="n">
        <v>0</v>
      </c>
      <c r="Q9779" s="21" t="n">
        <v>0</v>
      </c>
      <c r="R9779" s="21" t="n">
        <v>0</v>
      </c>
      <c r="S9779" s="21" t="n">
        <v>0</v>
      </c>
      <c r="T9779" s="21" t="n">
        <v>0</v>
      </c>
      <c r="U9779" s="21" t="n">
        <v>0</v>
      </c>
      <c r="V9779" s="21" t="n">
        <v>0</v>
      </c>
      <c r="W9779" s="21" t="n">
        <v>0</v>
      </c>
      <c r="X9779" s="21" t="n">
        <v>0</v>
      </c>
      <c r="Y9779" s="21" t="n">
        <v>0</v>
      </c>
      <c r="Z9779" s="19" t="n"/>
    </row>
    <row r="9780">
      <c r="D9780" s="21" t="n">
        <v>0</v>
      </c>
      <c r="E9780" s="21" t="n">
        <v>0</v>
      </c>
      <c r="F9780" s="21" t="n">
        <v>0</v>
      </c>
      <c r="G9780" s="21" t="n">
        <v>0</v>
      </c>
      <c r="H9780" s="21">
        <f>-$B$8763</f>
        <v/>
      </c>
      <c r="I9780" s="21">
        <f>-$B$8764</f>
        <v/>
      </c>
      <c r="J9780" s="21">
        <f>2*$B$8763+$D$9765</f>
        <v/>
      </c>
      <c r="K9780" s="21">
        <f>0</f>
        <v/>
      </c>
      <c r="L9780" s="21">
        <f>-$B$8763</f>
        <v/>
      </c>
      <c r="M9780" s="21">
        <f>$B$8764</f>
        <v/>
      </c>
      <c r="N9780" s="21" t="n">
        <v>0</v>
      </c>
      <c r="O9780" s="21" t="n">
        <v>0</v>
      </c>
      <c r="P9780" s="21" t="n">
        <v>0</v>
      </c>
      <c r="Q9780" s="21" t="n">
        <v>0</v>
      </c>
      <c r="R9780" s="21" t="n">
        <v>0</v>
      </c>
      <c r="S9780" s="21" t="n">
        <v>0</v>
      </c>
      <c r="T9780" s="21" t="n">
        <v>0</v>
      </c>
      <c r="U9780" s="21" t="n">
        <v>0</v>
      </c>
      <c r="V9780" s="21" t="n">
        <v>0</v>
      </c>
      <c r="W9780" s="21" t="n">
        <v>0</v>
      </c>
      <c r="X9780" s="21" t="n">
        <v>0</v>
      </c>
      <c r="Y9780" s="21" t="n">
        <v>0</v>
      </c>
      <c r="Z9780" s="19" t="n"/>
    </row>
    <row r="9781">
      <c r="D9781" s="21" t="n">
        <v>0</v>
      </c>
      <c r="E9781" s="21" t="n">
        <v>0</v>
      </c>
      <c r="F9781" s="21" t="n">
        <v>0</v>
      </c>
      <c r="G9781" s="21" t="n">
        <v>0</v>
      </c>
      <c r="H9781" s="21">
        <f>$B$8764</f>
        <v/>
      </c>
      <c r="I9781" s="21">
        <f>$B$8766</f>
        <v/>
      </c>
      <c r="J9781" s="21">
        <f>0</f>
        <v/>
      </c>
      <c r="K9781" s="21">
        <f>2*$B$8765</f>
        <v/>
      </c>
      <c r="L9781" s="21">
        <f>-$B$8764</f>
        <v/>
      </c>
      <c r="M9781" s="21">
        <f>$B$8766</f>
        <v/>
      </c>
      <c r="N9781" s="21" t="n">
        <v>0</v>
      </c>
      <c r="O9781" s="21" t="n">
        <v>0</v>
      </c>
      <c r="P9781" s="21" t="n">
        <v>0</v>
      </c>
      <c r="Q9781" s="21" t="n">
        <v>0</v>
      </c>
      <c r="R9781" s="21" t="n">
        <v>0</v>
      </c>
      <c r="S9781" s="21" t="n">
        <v>0</v>
      </c>
      <c r="T9781" s="21" t="n">
        <v>0</v>
      </c>
      <c r="U9781" s="21" t="n">
        <v>0</v>
      </c>
      <c r="V9781" s="21" t="n">
        <v>0</v>
      </c>
      <c r="W9781" s="21" t="n">
        <v>0</v>
      </c>
      <c r="X9781" s="21" t="n">
        <v>0</v>
      </c>
      <c r="Y9781" s="21" t="n">
        <v>0</v>
      </c>
      <c r="Z9781" s="19" t="n"/>
    </row>
    <row r="9782">
      <c r="D9782" s="21" t="n">
        <v>0</v>
      </c>
      <c r="E9782" s="21" t="n">
        <v>0</v>
      </c>
      <c r="F9782" s="21" t="n">
        <v>0</v>
      </c>
      <c r="G9782" s="21" t="n">
        <v>0</v>
      </c>
      <c r="H9782" s="21" t="n">
        <v>0</v>
      </c>
      <c r="I9782" s="21" t="n">
        <v>0</v>
      </c>
      <c r="J9782" s="21">
        <f>-$B$8763</f>
        <v/>
      </c>
      <c r="K9782" s="21">
        <f>-$B$8764</f>
        <v/>
      </c>
      <c r="L9782" s="21">
        <f>2*$B$8763+$D$9766</f>
        <v/>
      </c>
      <c r="M9782" s="21">
        <f>0</f>
        <v/>
      </c>
      <c r="N9782" s="21">
        <f>-$B$8763</f>
        <v/>
      </c>
      <c r="O9782" s="21">
        <f>$B$8764</f>
        <v/>
      </c>
      <c r="P9782" s="21" t="n">
        <v>0</v>
      </c>
      <c r="Q9782" s="21" t="n">
        <v>0</v>
      </c>
      <c r="R9782" s="21" t="n">
        <v>0</v>
      </c>
      <c r="S9782" s="21" t="n">
        <v>0</v>
      </c>
      <c r="T9782" s="21" t="n">
        <v>0</v>
      </c>
      <c r="U9782" s="21" t="n">
        <v>0</v>
      </c>
      <c r="V9782" s="21" t="n">
        <v>0</v>
      </c>
      <c r="W9782" s="21" t="n">
        <v>0</v>
      </c>
      <c r="X9782" s="21" t="n">
        <v>0</v>
      </c>
      <c r="Y9782" s="21" t="n">
        <v>0</v>
      </c>
      <c r="Z9782" s="19" t="n"/>
    </row>
    <row r="9783">
      <c r="D9783" s="21" t="n">
        <v>0</v>
      </c>
      <c r="E9783" s="21" t="n">
        <v>0</v>
      </c>
      <c r="F9783" s="21" t="n">
        <v>0</v>
      </c>
      <c r="G9783" s="21" t="n">
        <v>0</v>
      </c>
      <c r="H9783" s="21" t="n">
        <v>0</v>
      </c>
      <c r="I9783" s="21" t="n">
        <v>0</v>
      </c>
      <c r="J9783" s="21">
        <f>$B$8764</f>
        <v/>
      </c>
      <c r="K9783" s="21">
        <f>$B$8766</f>
        <v/>
      </c>
      <c r="L9783" s="21">
        <f>0</f>
        <v/>
      </c>
      <c r="M9783" s="21">
        <f>2*$B$8765</f>
        <v/>
      </c>
      <c r="N9783" s="21">
        <f>-$B$8764</f>
        <v/>
      </c>
      <c r="O9783" s="21">
        <f>$B$8766</f>
        <v/>
      </c>
      <c r="P9783" s="21" t="n">
        <v>0</v>
      </c>
      <c r="Q9783" s="21" t="n">
        <v>0</v>
      </c>
      <c r="R9783" s="21" t="n">
        <v>0</v>
      </c>
      <c r="S9783" s="21" t="n">
        <v>0</v>
      </c>
      <c r="T9783" s="21" t="n">
        <v>0</v>
      </c>
      <c r="U9783" s="21" t="n">
        <v>0</v>
      </c>
      <c r="V9783" s="21" t="n">
        <v>0</v>
      </c>
      <c r="W9783" s="21" t="n">
        <v>0</v>
      </c>
      <c r="X9783" s="21" t="n">
        <v>0</v>
      </c>
      <c r="Y9783" s="21" t="n">
        <v>0</v>
      </c>
      <c r="Z9783" s="19" t="n"/>
    </row>
    <row r="9784">
      <c r="D9784" s="21" t="n">
        <v>0</v>
      </c>
      <c r="E9784" s="21" t="n">
        <v>0</v>
      </c>
      <c r="F9784" s="21" t="n">
        <v>0</v>
      </c>
      <c r="G9784" s="21" t="n">
        <v>0</v>
      </c>
      <c r="H9784" s="21" t="n">
        <v>0</v>
      </c>
      <c r="I9784" s="21" t="n">
        <v>0</v>
      </c>
      <c r="J9784" s="21" t="n">
        <v>0</v>
      </c>
      <c r="K9784" s="21" t="n">
        <v>0</v>
      </c>
      <c r="L9784" s="21">
        <f>-$B$8763</f>
        <v/>
      </c>
      <c r="M9784" s="21">
        <f>-$B$8764</f>
        <v/>
      </c>
      <c r="N9784" s="21">
        <f>2*$B$8763+$D$9767</f>
        <v/>
      </c>
      <c r="O9784" s="21">
        <f>0</f>
        <v/>
      </c>
      <c r="P9784" s="21">
        <f>-$B$8763</f>
        <v/>
      </c>
      <c r="Q9784" s="21">
        <f>$B$8764</f>
        <v/>
      </c>
      <c r="R9784" s="21" t="n">
        <v>0</v>
      </c>
      <c r="S9784" s="21" t="n">
        <v>0</v>
      </c>
      <c r="T9784" s="21" t="n">
        <v>0</v>
      </c>
      <c r="U9784" s="21" t="n">
        <v>0</v>
      </c>
      <c r="V9784" s="21" t="n">
        <v>0</v>
      </c>
      <c r="W9784" s="21" t="n">
        <v>0</v>
      </c>
      <c r="X9784" s="21" t="n">
        <v>0</v>
      </c>
      <c r="Y9784" s="21" t="n">
        <v>0</v>
      </c>
      <c r="Z9784" s="19" t="n"/>
    </row>
    <row r="9785">
      <c r="D9785" s="21" t="n">
        <v>0</v>
      </c>
      <c r="E9785" s="21" t="n">
        <v>0</v>
      </c>
      <c r="F9785" s="21" t="n">
        <v>0</v>
      </c>
      <c r="G9785" s="21" t="n">
        <v>0</v>
      </c>
      <c r="H9785" s="21" t="n">
        <v>0</v>
      </c>
      <c r="I9785" s="21" t="n">
        <v>0</v>
      </c>
      <c r="J9785" s="21" t="n">
        <v>0</v>
      </c>
      <c r="K9785" s="21" t="n">
        <v>0</v>
      </c>
      <c r="L9785" s="21">
        <f>$B$8764</f>
        <v/>
      </c>
      <c r="M9785" s="21">
        <f>$B$8766</f>
        <v/>
      </c>
      <c r="N9785" s="21">
        <f>0</f>
        <v/>
      </c>
      <c r="O9785" s="21">
        <f>2*$B$8765</f>
        <v/>
      </c>
      <c r="P9785" s="21">
        <f>-$B$8764</f>
        <v/>
      </c>
      <c r="Q9785" s="21">
        <f>$B$8766</f>
        <v/>
      </c>
      <c r="R9785" s="21" t="n">
        <v>0</v>
      </c>
      <c r="S9785" s="21" t="n">
        <v>0</v>
      </c>
      <c r="T9785" s="21" t="n">
        <v>0</v>
      </c>
      <c r="U9785" s="21" t="n">
        <v>0</v>
      </c>
      <c r="V9785" s="21" t="n">
        <v>0</v>
      </c>
      <c r="W9785" s="21" t="n">
        <v>0</v>
      </c>
      <c r="X9785" s="21" t="n">
        <v>0</v>
      </c>
      <c r="Y9785" s="21" t="n">
        <v>0</v>
      </c>
      <c r="Z9785" s="19" t="n"/>
    </row>
    <row r="9786">
      <c r="D9786" s="21" t="n">
        <v>0</v>
      </c>
      <c r="E9786" s="21" t="n">
        <v>0</v>
      </c>
      <c r="F9786" s="21" t="n">
        <v>0</v>
      </c>
      <c r="G9786" s="21" t="n">
        <v>0</v>
      </c>
      <c r="H9786" s="21" t="n">
        <v>0</v>
      </c>
      <c r="I9786" s="21" t="n">
        <v>0</v>
      </c>
      <c r="J9786" s="21" t="n">
        <v>0</v>
      </c>
      <c r="K9786" s="21" t="n">
        <v>0</v>
      </c>
      <c r="L9786" s="21" t="n">
        <v>0</v>
      </c>
      <c r="M9786" s="21" t="n">
        <v>0</v>
      </c>
      <c r="N9786" s="21">
        <f>-$B$8763</f>
        <v/>
      </c>
      <c r="O9786" s="21">
        <f>-$B$8764</f>
        <v/>
      </c>
      <c r="P9786" s="21">
        <f>2*$B$8763+$D$9768</f>
        <v/>
      </c>
      <c r="Q9786" s="21">
        <f>0</f>
        <v/>
      </c>
      <c r="R9786" s="21">
        <f>-$B$8763</f>
        <v/>
      </c>
      <c r="S9786" s="21">
        <f>$B$8764</f>
        <v/>
      </c>
      <c r="T9786" s="21" t="n">
        <v>0</v>
      </c>
      <c r="U9786" s="21" t="n">
        <v>0</v>
      </c>
      <c r="V9786" s="21" t="n">
        <v>0</v>
      </c>
      <c r="W9786" s="21" t="n">
        <v>0</v>
      </c>
      <c r="X9786" s="21" t="n">
        <v>0</v>
      </c>
      <c r="Y9786" s="21" t="n">
        <v>0</v>
      </c>
      <c r="Z9786" s="19" t="n"/>
    </row>
    <row r="9787">
      <c r="D9787" s="21" t="n">
        <v>0</v>
      </c>
      <c r="E9787" s="21" t="n">
        <v>0</v>
      </c>
      <c r="F9787" s="21" t="n">
        <v>0</v>
      </c>
      <c r="G9787" s="21" t="n">
        <v>0</v>
      </c>
      <c r="H9787" s="21" t="n">
        <v>0</v>
      </c>
      <c r="I9787" s="21" t="n">
        <v>0</v>
      </c>
      <c r="J9787" s="21" t="n">
        <v>0</v>
      </c>
      <c r="K9787" s="21" t="n">
        <v>0</v>
      </c>
      <c r="L9787" s="21" t="n">
        <v>0</v>
      </c>
      <c r="M9787" s="21" t="n">
        <v>0</v>
      </c>
      <c r="N9787" s="21">
        <f>$B$8764</f>
        <v/>
      </c>
      <c r="O9787" s="21">
        <f>$B$8766</f>
        <v/>
      </c>
      <c r="P9787" s="21">
        <f>0</f>
        <v/>
      </c>
      <c r="Q9787" s="21">
        <f>2*$B$8765</f>
        <v/>
      </c>
      <c r="R9787" s="21">
        <f>-$B$8764</f>
        <v/>
      </c>
      <c r="S9787" s="21">
        <f>$B$8766</f>
        <v/>
      </c>
      <c r="T9787" s="21" t="n">
        <v>0</v>
      </c>
      <c r="U9787" s="21" t="n">
        <v>0</v>
      </c>
      <c r="V9787" s="21" t="n">
        <v>0</v>
      </c>
      <c r="W9787" s="21" t="n">
        <v>0</v>
      </c>
      <c r="X9787" s="21" t="n">
        <v>0</v>
      </c>
      <c r="Y9787" s="21" t="n">
        <v>0</v>
      </c>
      <c r="Z9787" s="19" t="n"/>
    </row>
    <row r="9788">
      <c r="D9788" s="21" t="n">
        <v>0</v>
      </c>
      <c r="E9788" s="21" t="n">
        <v>0</v>
      </c>
      <c r="F9788" s="21" t="n">
        <v>0</v>
      </c>
      <c r="G9788" s="21" t="n">
        <v>0</v>
      </c>
      <c r="H9788" s="21" t="n">
        <v>0</v>
      </c>
      <c r="I9788" s="21" t="n">
        <v>0</v>
      </c>
      <c r="J9788" s="21" t="n">
        <v>0</v>
      </c>
      <c r="K9788" s="21" t="n">
        <v>0</v>
      </c>
      <c r="L9788" s="21" t="n">
        <v>0</v>
      </c>
      <c r="M9788" s="21" t="n">
        <v>0</v>
      </c>
      <c r="N9788" s="21" t="n">
        <v>0</v>
      </c>
      <c r="O9788" s="21" t="n">
        <v>0</v>
      </c>
      <c r="P9788" s="21">
        <f>-$B$8763</f>
        <v/>
      </c>
      <c r="Q9788" s="21">
        <f>-$B$8764</f>
        <v/>
      </c>
      <c r="R9788" s="21">
        <f>2*$B$8763+$D$9769</f>
        <v/>
      </c>
      <c r="S9788" s="21">
        <f>0</f>
        <v/>
      </c>
      <c r="T9788" s="21">
        <f>-$B$8763</f>
        <v/>
      </c>
      <c r="U9788" s="21">
        <f>$B$8764</f>
        <v/>
      </c>
      <c r="V9788" s="21" t="n">
        <v>0</v>
      </c>
      <c r="W9788" s="21" t="n">
        <v>0</v>
      </c>
      <c r="X9788" s="21" t="n">
        <v>0</v>
      </c>
      <c r="Y9788" s="21" t="n">
        <v>0</v>
      </c>
      <c r="Z9788" s="19" t="n"/>
    </row>
    <row r="9789">
      <c r="D9789" s="21" t="n">
        <v>0</v>
      </c>
      <c r="E9789" s="21" t="n">
        <v>0</v>
      </c>
      <c r="F9789" s="21" t="n">
        <v>0</v>
      </c>
      <c r="G9789" s="21" t="n">
        <v>0</v>
      </c>
      <c r="H9789" s="21" t="n">
        <v>0</v>
      </c>
      <c r="I9789" s="21" t="n">
        <v>0</v>
      </c>
      <c r="J9789" s="21" t="n">
        <v>0</v>
      </c>
      <c r="K9789" s="21" t="n">
        <v>0</v>
      </c>
      <c r="L9789" s="21" t="n">
        <v>0</v>
      </c>
      <c r="M9789" s="21" t="n">
        <v>0</v>
      </c>
      <c r="N9789" s="21" t="n">
        <v>0</v>
      </c>
      <c r="O9789" s="21" t="n">
        <v>0</v>
      </c>
      <c r="P9789" s="21">
        <f>$B$8764</f>
        <v/>
      </c>
      <c r="Q9789" s="21">
        <f>$B$8766</f>
        <v/>
      </c>
      <c r="R9789" s="21">
        <f>0</f>
        <v/>
      </c>
      <c r="S9789" s="21">
        <f>2*$B$8765</f>
        <v/>
      </c>
      <c r="T9789" s="21">
        <f>-$B$8764</f>
        <v/>
      </c>
      <c r="U9789" s="21">
        <f>$B$8766</f>
        <v/>
      </c>
      <c r="V9789" s="21" t="n">
        <v>0</v>
      </c>
      <c r="W9789" s="21" t="n">
        <v>0</v>
      </c>
      <c r="X9789" s="21" t="n">
        <v>0</v>
      </c>
      <c r="Y9789" s="21" t="n">
        <v>0</v>
      </c>
      <c r="Z9789" s="19" t="n"/>
    </row>
    <row r="9790">
      <c r="D9790" s="21" t="n">
        <v>0</v>
      </c>
      <c r="E9790" s="21" t="n">
        <v>0</v>
      </c>
      <c r="F9790" s="21" t="n">
        <v>0</v>
      </c>
      <c r="G9790" s="21" t="n">
        <v>0</v>
      </c>
      <c r="H9790" s="21" t="n">
        <v>0</v>
      </c>
      <c r="I9790" s="21" t="n">
        <v>0</v>
      </c>
      <c r="J9790" s="21" t="n">
        <v>0</v>
      </c>
      <c r="K9790" s="21" t="n">
        <v>0</v>
      </c>
      <c r="L9790" s="21" t="n">
        <v>0</v>
      </c>
      <c r="M9790" s="21" t="n">
        <v>0</v>
      </c>
      <c r="N9790" s="21" t="n">
        <v>0</v>
      </c>
      <c r="O9790" s="21" t="n">
        <v>0</v>
      </c>
      <c r="P9790" s="21" t="n">
        <v>0</v>
      </c>
      <c r="Q9790" s="21" t="n">
        <v>0</v>
      </c>
      <c r="R9790" s="21">
        <f>-$B$8763</f>
        <v/>
      </c>
      <c r="S9790" s="21">
        <f>-$B$8764</f>
        <v/>
      </c>
      <c r="T9790" s="21">
        <f>2*$B$8763+$D$9770</f>
        <v/>
      </c>
      <c r="U9790" s="21">
        <f>0</f>
        <v/>
      </c>
      <c r="V9790" s="21">
        <f>-$B$8763</f>
        <v/>
      </c>
      <c r="W9790" s="21">
        <f>$B$8764</f>
        <v/>
      </c>
      <c r="X9790" s="21" t="n">
        <v>0</v>
      </c>
      <c r="Y9790" s="21" t="n">
        <v>0</v>
      </c>
      <c r="Z9790" s="19" t="n"/>
    </row>
    <row r="9791">
      <c r="D9791" s="21" t="n">
        <v>0</v>
      </c>
      <c r="E9791" s="21" t="n">
        <v>0</v>
      </c>
      <c r="F9791" s="21" t="n">
        <v>0</v>
      </c>
      <c r="G9791" s="21" t="n">
        <v>0</v>
      </c>
      <c r="H9791" s="21" t="n">
        <v>0</v>
      </c>
      <c r="I9791" s="21" t="n">
        <v>0</v>
      </c>
      <c r="J9791" s="21" t="n">
        <v>0</v>
      </c>
      <c r="K9791" s="21" t="n">
        <v>0</v>
      </c>
      <c r="L9791" s="21" t="n">
        <v>0</v>
      </c>
      <c r="M9791" s="21" t="n">
        <v>0</v>
      </c>
      <c r="N9791" s="21" t="n">
        <v>0</v>
      </c>
      <c r="O9791" s="21" t="n">
        <v>0</v>
      </c>
      <c r="P9791" s="21" t="n">
        <v>0</v>
      </c>
      <c r="Q9791" s="21" t="n">
        <v>0</v>
      </c>
      <c r="R9791" s="21">
        <f>$B$8764</f>
        <v/>
      </c>
      <c r="S9791" s="21">
        <f>$B$8766</f>
        <v/>
      </c>
      <c r="T9791" s="21">
        <f>0</f>
        <v/>
      </c>
      <c r="U9791" s="21">
        <f>2*$B$8765</f>
        <v/>
      </c>
      <c r="V9791" s="21">
        <f>-$B$8764</f>
        <v/>
      </c>
      <c r="W9791" s="21">
        <f>$B$8766</f>
        <v/>
      </c>
      <c r="X9791" s="21" t="n">
        <v>0</v>
      </c>
      <c r="Y9791" s="21" t="n">
        <v>0</v>
      </c>
      <c r="Z9791" s="19" t="n"/>
    </row>
    <row r="9792">
      <c r="D9792" s="21" t="n">
        <v>0</v>
      </c>
      <c r="E9792" s="21" t="n">
        <v>0</v>
      </c>
      <c r="F9792" s="21" t="n">
        <v>0</v>
      </c>
      <c r="G9792" s="21" t="n">
        <v>0</v>
      </c>
      <c r="H9792" s="21" t="n">
        <v>0</v>
      </c>
      <c r="I9792" s="21" t="n">
        <v>0</v>
      </c>
      <c r="J9792" s="21" t="n">
        <v>0</v>
      </c>
      <c r="K9792" s="21" t="n">
        <v>0</v>
      </c>
      <c r="L9792" s="21" t="n">
        <v>0</v>
      </c>
      <c r="M9792" s="21" t="n">
        <v>0</v>
      </c>
      <c r="N9792" s="21" t="n">
        <v>0</v>
      </c>
      <c r="O9792" s="21" t="n">
        <v>0</v>
      </c>
      <c r="P9792" s="21" t="n">
        <v>0</v>
      </c>
      <c r="Q9792" s="21" t="n">
        <v>0</v>
      </c>
      <c r="R9792" s="21" t="n">
        <v>0</v>
      </c>
      <c r="S9792" s="21" t="n">
        <v>0</v>
      </c>
      <c r="T9792" s="21">
        <f>-$B$8763</f>
        <v/>
      </c>
      <c r="U9792" s="21">
        <f>-$B$8764</f>
        <v/>
      </c>
      <c r="V9792" s="21">
        <f>2*$B$8763+$D$9771</f>
        <v/>
      </c>
      <c r="W9792" s="21">
        <f>0</f>
        <v/>
      </c>
      <c r="X9792" s="21">
        <f>-$B$8763</f>
        <v/>
      </c>
      <c r="Y9792" s="21">
        <f>$B$8764</f>
        <v/>
      </c>
      <c r="Z9792" s="19" t="n"/>
    </row>
    <row r="9793">
      <c r="D9793" s="21" t="n">
        <v>0</v>
      </c>
      <c r="E9793" s="21" t="n">
        <v>0</v>
      </c>
      <c r="F9793" s="21" t="n">
        <v>0</v>
      </c>
      <c r="G9793" s="21" t="n">
        <v>0</v>
      </c>
      <c r="H9793" s="21" t="n">
        <v>0</v>
      </c>
      <c r="I9793" s="21" t="n">
        <v>0</v>
      </c>
      <c r="J9793" s="21" t="n">
        <v>0</v>
      </c>
      <c r="K9793" s="21" t="n">
        <v>0</v>
      </c>
      <c r="L9793" s="21" t="n">
        <v>0</v>
      </c>
      <c r="M9793" s="21" t="n">
        <v>0</v>
      </c>
      <c r="N9793" s="21" t="n">
        <v>0</v>
      </c>
      <c r="O9793" s="21" t="n">
        <v>0</v>
      </c>
      <c r="P9793" s="21" t="n">
        <v>0</v>
      </c>
      <c r="Q9793" s="21" t="n">
        <v>0</v>
      </c>
      <c r="R9793" s="21" t="n">
        <v>0</v>
      </c>
      <c r="S9793" s="21" t="n">
        <v>0</v>
      </c>
      <c r="T9793" s="21">
        <f>$B$8764</f>
        <v/>
      </c>
      <c r="U9793" s="21">
        <f>$B$8766</f>
        <v/>
      </c>
      <c r="V9793" s="21">
        <f>0</f>
        <v/>
      </c>
      <c r="W9793" s="21">
        <f>2*$B$8765</f>
        <v/>
      </c>
      <c r="X9793" s="21">
        <f>-$B$8764</f>
        <v/>
      </c>
      <c r="Y9793" s="21">
        <f>$B$8766</f>
        <v/>
      </c>
      <c r="Z9793" s="19" t="n"/>
    </row>
    <row r="9794">
      <c r="D9794" s="21" t="n">
        <v>0</v>
      </c>
      <c r="E9794" s="21" t="n">
        <v>0</v>
      </c>
      <c r="F9794" s="21" t="n">
        <v>0</v>
      </c>
      <c r="G9794" s="21" t="n">
        <v>0</v>
      </c>
      <c r="H9794" s="21" t="n">
        <v>0</v>
      </c>
      <c r="I9794" s="21" t="n">
        <v>0</v>
      </c>
      <c r="J9794" s="21" t="n">
        <v>0</v>
      </c>
      <c r="K9794" s="21" t="n">
        <v>0</v>
      </c>
      <c r="L9794" s="21" t="n">
        <v>0</v>
      </c>
      <c r="M9794" s="21" t="n">
        <v>0</v>
      </c>
      <c r="N9794" s="21" t="n">
        <v>0</v>
      </c>
      <c r="O9794" s="21" t="n">
        <v>0</v>
      </c>
      <c r="P9794" s="21" t="n">
        <v>0</v>
      </c>
      <c r="Q9794" s="21" t="n">
        <v>0</v>
      </c>
      <c r="R9794" s="21" t="n">
        <v>0</v>
      </c>
      <c r="S9794" s="21" t="n">
        <v>0</v>
      </c>
      <c r="T9794" s="21" t="n">
        <v>0</v>
      </c>
      <c r="U9794" s="21" t="n">
        <v>0</v>
      </c>
      <c r="V9794" s="21">
        <f>-$B$8763</f>
        <v/>
      </c>
      <c r="W9794" s="21">
        <f>-$B$8764</f>
        <v/>
      </c>
      <c r="X9794" s="21">
        <f>$B$8763+$D$9772</f>
        <v/>
      </c>
      <c r="Y9794" s="21">
        <f>-$B$8764</f>
        <v/>
      </c>
      <c r="Z9794" s="19" t="n"/>
    </row>
    <row r="9795">
      <c r="D9795" s="21" t="n">
        <v>0</v>
      </c>
      <c r="E9795" s="21" t="n">
        <v>0</v>
      </c>
      <c r="F9795" s="21" t="n">
        <v>0</v>
      </c>
      <c r="G9795" s="21" t="n">
        <v>0</v>
      </c>
      <c r="H9795" s="21" t="n">
        <v>0</v>
      </c>
      <c r="I9795" s="21" t="n">
        <v>0</v>
      </c>
      <c r="J9795" s="21" t="n">
        <v>0</v>
      </c>
      <c r="K9795" s="21" t="n">
        <v>0</v>
      </c>
      <c r="L9795" s="21" t="n">
        <v>0</v>
      </c>
      <c r="M9795" s="21" t="n">
        <v>0</v>
      </c>
      <c r="N9795" s="21" t="n">
        <v>0</v>
      </c>
      <c r="O9795" s="21" t="n">
        <v>0</v>
      </c>
      <c r="P9795" s="21" t="n">
        <v>0</v>
      </c>
      <c r="Q9795" s="21" t="n">
        <v>0</v>
      </c>
      <c r="R9795" s="21" t="n">
        <v>0</v>
      </c>
      <c r="S9795" s="21" t="n">
        <v>0</v>
      </c>
      <c r="T9795" s="21" t="n">
        <v>0</v>
      </c>
      <c r="U9795" s="21" t="n">
        <v>0</v>
      </c>
      <c r="V9795" s="21">
        <f>$B$8764</f>
        <v/>
      </c>
      <c r="W9795" s="21">
        <f>$B$8766</f>
        <v/>
      </c>
      <c r="X9795" s="21">
        <f>-$B$8764</f>
        <v/>
      </c>
      <c r="Y9795" s="21">
        <f>$B$8765</f>
        <v/>
      </c>
      <c r="Z9795" s="19" t="n"/>
    </row>
    <row r="9797">
      <c r="A9797" s="8" t="inlineStr">
        <is>
          <t>gen 28</t>
        </is>
      </c>
    </row>
    <row r="9798">
      <c r="D9798" s="19">
        <f>IF(ABS(IF(ABS($E$9762)&gt;0.000000001,$E$9762,0.000000001))=0,0,IF($E$8778&lt;=$B$8772,0,IF(ABS(IF(ABS($E$9762)&gt;0.000000001,$E$9762,0.000000001))&gt;=8*$B$8774,$H$8778,0.5*$H$8778*(ABS(IF(ABS($E$9762)&gt;0.000000001,$E$9762,0.000000001))/$B$8774)^(1/3)))/ABS(IF(ABS($E$9762)&gt;0.000000001,$E$9762,0.000000001))*$I$8778)</f>
        <v/>
      </c>
      <c r="E9798" s="19">
        <f>0.5*$E$9762+0.5*$Z$9810</f>
        <v/>
      </c>
      <c r="F9798" s="19">
        <f>$Z$9811</f>
        <v/>
      </c>
    </row>
    <row r="9799">
      <c r="D9799" s="19">
        <f>IF(ABS(IF(ABS($E$9763)&gt;0.000000001,$E$9763,0.000000001))=0,0,IF($E$8779&lt;=$B$8772,0,IF(ABS(IF(ABS($E$9763)&gt;0.000000001,$E$9763,0.000000001))&gt;=8*$B$8774,$H$8779,0.5*$H$8779*(ABS(IF(ABS($E$9763)&gt;0.000000001,$E$9763,0.000000001))/$B$8774)^(1/3)))/ABS(IF(ABS($E$9763)&gt;0.000000001,$E$9763,0.000000001))*$I$8779)</f>
        <v/>
      </c>
      <c r="E9799" s="19">
        <f>0.5*$E$9763+0.5*$Z$9812</f>
        <v/>
      </c>
      <c r="F9799" s="19">
        <f>$Z$9813</f>
        <v/>
      </c>
    </row>
    <row r="9800">
      <c r="D9800" s="19">
        <f>IF(ABS(IF(ABS($E$9764)&gt;0.000000001,$E$9764,0.000000001))=0,0,IF($E$8780&lt;=$B$8772,0,IF(ABS(IF(ABS($E$9764)&gt;0.000000001,$E$9764,0.000000001))&gt;=8*$B$8774,$H$8780,0.5*$H$8780*(ABS(IF(ABS($E$9764)&gt;0.000000001,$E$9764,0.000000001))/$B$8774)^(1/3)))/ABS(IF(ABS($E$9764)&gt;0.000000001,$E$9764,0.000000001))*$I$8780)</f>
        <v/>
      </c>
      <c r="E9800" s="19">
        <f>0.5*$E$9764+0.5*$Z$9814</f>
        <v/>
      </c>
      <c r="F9800" s="19">
        <f>$Z$9815</f>
        <v/>
      </c>
    </row>
    <row r="9801">
      <c r="D9801" s="19">
        <f>IF(ABS(IF(ABS($E$9765)&gt;0.000000001,$E$9765,0.000000001))=0,0,IF($E$8781&lt;=$B$8772,0,IF(ABS(IF(ABS($E$9765)&gt;0.000000001,$E$9765,0.000000001))&gt;=8*$B$8774,$H$8781,0.5*$H$8781*(ABS(IF(ABS($E$9765)&gt;0.000000001,$E$9765,0.000000001))/$B$8774)^(1/3)))/ABS(IF(ABS($E$9765)&gt;0.000000001,$E$9765,0.000000001))*$I$8781)</f>
        <v/>
      </c>
      <c r="E9801" s="19">
        <f>0.5*$E$9765+0.5*$Z$9816</f>
        <v/>
      </c>
      <c r="F9801" s="19">
        <f>$Z$9817</f>
        <v/>
      </c>
    </row>
    <row r="9802">
      <c r="D9802" s="19">
        <f>IF(ABS(IF(ABS($E$9766)&gt;0.000000001,$E$9766,0.000000001))=0,0,IF($E$8782&lt;=$B$8772,0,IF(ABS(IF(ABS($E$9766)&gt;0.000000001,$E$9766,0.000000001))&gt;=8*$B$8774,$H$8782,0.5*$H$8782*(ABS(IF(ABS($E$9766)&gt;0.000000001,$E$9766,0.000000001))/$B$8774)^(1/3)))/ABS(IF(ABS($E$9766)&gt;0.000000001,$E$9766,0.000000001))*$I$8782)</f>
        <v/>
      </c>
      <c r="E9802" s="19">
        <f>0.5*$E$9766+0.5*$Z$9818</f>
        <v/>
      </c>
      <c r="F9802" s="19">
        <f>$Z$9819</f>
        <v/>
      </c>
    </row>
    <row r="9803">
      <c r="D9803" s="19">
        <f>IF(ABS(IF(ABS($E$9767)&gt;0.000000001,$E$9767,0.000000001))=0,0,IF($E$8783&lt;=$B$8772,0,IF(ABS(IF(ABS($E$9767)&gt;0.000000001,$E$9767,0.000000001))&gt;=8*$B$8774,$H$8783,0.5*$H$8783*(ABS(IF(ABS($E$9767)&gt;0.000000001,$E$9767,0.000000001))/$B$8774)^(1/3)))/ABS(IF(ABS($E$9767)&gt;0.000000001,$E$9767,0.000000001))*$I$8783)</f>
        <v/>
      </c>
      <c r="E9803" s="19">
        <f>0.5*$E$9767+0.5*$Z$9820</f>
        <v/>
      </c>
      <c r="F9803" s="19">
        <f>$Z$9821</f>
        <v/>
      </c>
    </row>
    <row r="9804">
      <c r="D9804" s="19">
        <f>IF(ABS(IF(ABS($E$9768)&gt;0.000000001,$E$9768,0.000000001))=0,0,IF($E$8784&lt;=$B$8772,0,IF(ABS(IF(ABS($E$9768)&gt;0.000000001,$E$9768,0.000000001))&gt;=8*$B$8774,$H$8784,0.5*$H$8784*(ABS(IF(ABS($E$9768)&gt;0.000000001,$E$9768,0.000000001))/$B$8774)^(1/3)))/ABS(IF(ABS($E$9768)&gt;0.000000001,$E$9768,0.000000001))*$I$8784)</f>
        <v/>
      </c>
      <c r="E9804" s="19">
        <f>0.5*$E$9768+0.5*$Z$9822</f>
        <v/>
      </c>
      <c r="F9804" s="19">
        <f>$Z$9823</f>
        <v/>
      </c>
    </row>
    <row r="9805">
      <c r="D9805" s="19">
        <f>IF(ABS(IF(ABS($E$9769)&gt;0.000000001,$E$9769,0.000000001))=0,0,IF($E$8785&lt;=$B$8772,0,IF(ABS(IF(ABS($E$9769)&gt;0.000000001,$E$9769,0.000000001))&gt;=8*$B$8774,$H$8785,0.5*$H$8785*(ABS(IF(ABS($E$9769)&gt;0.000000001,$E$9769,0.000000001))/$B$8774)^(1/3)))/ABS(IF(ABS($E$9769)&gt;0.000000001,$E$9769,0.000000001))*$I$8785)</f>
        <v/>
      </c>
      <c r="E9805" s="19">
        <f>0.5*$E$9769+0.5*$Z$9824</f>
        <v/>
      </c>
      <c r="F9805" s="19">
        <f>$Z$9825</f>
        <v/>
      </c>
    </row>
    <row r="9806">
      <c r="D9806" s="19">
        <f>IF(ABS(IF(ABS($E$9770)&gt;0.000000001,$E$9770,0.000000001))=0,0,IF($E$8786&lt;=$B$8772,0,IF(ABS(IF(ABS($E$9770)&gt;0.000000001,$E$9770,0.000000001))&gt;=8*$B$8774,$H$8786,0.5*$H$8786*(ABS(IF(ABS($E$9770)&gt;0.000000001,$E$9770,0.000000001))/$B$8774)^(1/3)))/ABS(IF(ABS($E$9770)&gt;0.000000001,$E$9770,0.000000001))*$I$8786)</f>
        <v/>
      </c>
      <c r="E9806" s="19">
        <f>0.5*$E$9770+0.5*$Z$9826</f>
        <v/>
      </c>
      <c r="F9806" s="19">
        <f>$Z$9827</f>
        <v/>
      </c>
    </row>
    <row r="9807">
      <c r="D9807" s="19">
        <f>IF(ABS(IF(ABS($E$9771)&gt;0.000000001,$E$9771,0.000000001))=0,0,IF($E$8787&lt;=$B$8772,0,IF(ABS(IF(ABS($E$9771)&gt;0.000000001,$E$9771,0.000000001))&gt;=8*$B$8774,$H$8787,0.5*$H$8787*(ABS(IF(ABS($E$9771)&gt;0.000000001,$E$9771,0.000000001))/$B$8774)^(1/3)))/ABS(IF(ABS($E$9771)&gt;0.000000001,$E$9771,0.000000001))*$I$8787)</f>
        <v/>
      </c>
      <c r="E9807" s="19">
        <f>0.5*$E$9771+0.5*$Z$9828</f>
        <v/>
      </c>
      <c r="F9807" s="19">
        <f>$Z$9829</f>
        <v/>
      </c>
    </row>
    <row r="9808">
      <c r="D9808" s="19">
        <f>IF(ABS(IF(ABS($E$9772)&gt;0.000000001,$E$9772,0.000000001))=0,0,IF($E$8788&lt;=$B$8772,0,IF(ABS(IF(ABS($E$9772)&gt;0.000000001,$E$9772,0.000000001))&gt;=8*$B$8774,$H$8788,0.5*$H$8788*(ABS(IF(ABS($E$9772)&gt;0.000000001,$E$9772,0.000000001))/$B$8774)^(1/3)))/ABS(IF(ABS($E$9772)&gt;0.000000001,$E$9772,0.000000001))*$I$8788)</f>
        <v/>
      </c>
      <c r="E9808" s="19">
        <f>0.5*$E$9772+0.5*$Z$9830</f>
        <v/>
      </c>
      <c r="F9808" s="19">
        <f>$Z$9831</f>
        <v/>
      </c>
    </row>
    <row r="9810">
      <c r="D9810" s="21">
        <f>$B$8763+$D$9798</f>
        <v/>
      </c>
      <c r="E9810" s="21">
        <f>$B$8764</f>
        <v/>
      </c>
      <c r="F9810" s="21">
        <f>-$B$8763</f>
        <v/>
      </c>
      <c r="G9810" s="21">
        <f>$B$8764</f>
        <v/>
      </c>
      <c r="H9810" s="21" t="n">
        <v>0</v>
      </c>
      <c r="I9810" s="21" t="n">
        <v>0</v>
      </c>
      <c r="J9810" s="21" t="n">
        <v>0</v>
      </c>
      <c r="K9810" s="21" t="n">
        <v>0</v>
      </c>
      <c r="L9810" s="21" t="n">
        <v>0</v>
      </c>
      <c r="M9810" s="21" t="n">
        <v>0</v>
      </c>
      <c r="N9810" s="21" t="n">
        <v>0</v>
      </c>
      <c r="O9810" s="21" t="n">
        <v>0</v>
      </c>
      <c r="P9810" s="21" t="n">
        <v>0</v>
      </c>
      <c r="Q9810" s="21" t="n">
        <v>0</v>
      </c>
      <c r="R9810" s="21" t="n">
        <v>0</v>
      </c>
      <c r="S9810" s="21" t="n">
        <v>0</v>
      </c>
      <c r="T9810" s="21" t="n">
        <v>0</v>
      </c>
      <c r="U9810" s="21" t="n">
        <v>0</v>
      </c>
      <c r="V9810" s="21" t="n">
        <v>0</v>
      </c>
      <c r="W9810" s="21" t="n">
        <v>0</v>
      </c>
      <c r="X9810" s="21" t="n">
        <v>0</v>
      </c>
      <c r="Y9810" s="21" t="n">
        <v>0</v>
      </c>
      <c r="Z9810" s="19">
        <f t="array" ref="Z9810:Z9831">MMULT(MINVERSE($D$9810:$Y$9831),$D$8790:$D$8811)</f>
        <v/>
      </c>
    </row>
    <row r="9811">
      <c r="D9811" s="21">
        <f>$B$8764</f>
        <v/>
      </c>
      <c r="E9811" s="21">
        <f>$B$8765</f>
        <v/>
      </c>
      <c r="F9811" s="21">
        <f>-$B$8764</f>
        <v/>
      </c>
      <c r="G9811" s="21">
        <f>$B$8766</f>
        <v/>
      </c>
      <c r="H9811" s="21" t="n">
        <v>0</v>
      </c>
      <c r="I9811" s="21" t="n">
        <v>0</v>
      </c>
      <c r="J9811" s="21" t="n">
        <v>0</v>
      </c>
      <c r="K9811" s="21" t="n">
        <v>0</v>
      </c>
      <c r="L9811" s="21" t="n">
        <v>0</v>
      </c>
      <c r="M9811" s="21" t="n">
        <v>0</v>
      </c>
      <c r="N9811" s="21" t="n">
        <v>0</v>
      </c>
      <c r="O9811" s="21" t="n">
        <v>0</v>
      </c>
      <c r="P9811" s="21" t="n">
        <v>0</v>
      </c>
      <c r="Q9811" s="21" t="n">
        <v>0</v>
      </c>
      <c r="R9811" s="21" t="n">
        <v>0</v>
      </c>
      <c r="S9811" s="21" t="n">
        <v>0</v>
      </c>
      <c r="T9811" s="21" t="n">
        <v>0</v>
      </c>
      <c r="U9811" s="21" t="n">
        <v>0</v>
      </c>
      <c r="V9811" s="21" t="n">
        <v>0</v>
      </c>
      <c r="W9811" s="21" t="n">
        <v>0</v>
      </c>
      <c r="X9811" s="21" t="n">
        <v>0</v>
      </c>
      <c r="Y9811" s="21" t="n">
        <v>0</v>
      </c>
      <c r="Z9811" s="19" t="n"/>
    </row>
    <row r="9812">
      <c r="D9812" s="21">
        <f>-$B$8763</f>
        <v/>
      </c>
      <c r="E9812" s="21">
        <f>-$B$8764</f>
        <v/>
      </c>
      <c r="F9812" s="21">
        <f>2*$B$8763+$D$9799</f>
        <v/>
      </c>
      <c r="G9812" s="21">
        <f>0</f>
        <v/>
      </c>
      <c r="H9812" s="21">
        <f>-$B$8763</f>
        <v/>
      </c>
      <c r="I9812" s="21">
        <f>$B$8764</f>
        <v/>
      </c>
      <c r="J9812" s="21" t="n">
        <v>0</v>
      </c>
      <c r="K9812" s="21" t="n">
        <v>0</v>
      </c>
      <c r="L9812" s="21" t="n">
        <v>0</v>
      </c>
      <c r="M9812" s="21" t="n">
        <v>0</v>
      </c>
      <c r="N9812" s="21" t="n">
        <v>0</v>
      </c>
      <c r="O9812" s="21" t="n">
        <v>0</v>
      </c>
      <c r="P9812" s="21" t="n">
        <v>0</v>
      </c>
      <c r="Q9812" s="21" t="n">
        <v>0</v>
      </c>
      <c r="R9812" s="21" t="n">
        <v>0</v>
      </c>
      <c r="S9812" s="21" t="n">
        <v>0</v>
      </c>
      <c r="T9812" s="21" t="n">
        <v>0</v>
      </c>
      <c r="U9812" s="21" t="n">
        <v>0</v>
      </c>
      <c r="V9812" s="21" t="n">
        <v>0</v>
      </c>
      <c r="W9812" s="21" t="n">
        <v>0</v>
      </c>
      <c r="X9812" s="21" t="n">
        <v>0</v>
      </c>
      <c r="Y9812" s="21" t="n">
        <v>0</v>
      </c>
      <c r="Z9812" s="19" t="n"/>
    </row>
    <row r="9813">
      <c r="D9813" s="21">
        <f>$B$8764</f>
        <v/>
      </c>
      <c r="E9813" s="21">
        <f>$B$8766</f>
        <v/>
      </c>
      <c r="F9813" s="21">
        <f>0</f>
        <v/>
      </c>
      <c r="G9813" s="21">
        <f>2*$B$8765</f>
        <v/>
      </c>
      <c r="H9813" s="21">
        <f>-$B$8764</f>
        <v/>
      </c>
      <c r="I9813" s="21">
        <f>$B$8766</f>
        <v/>
      </c>
      <c r="J9813" s="21" t="n">
        <v>0</v>
      </c>
      <c r="K9813" s="21" t="n">
        <v>0</v>
      </c>
      <c r="L9813" s="21" t="n">
        <v>0</v>
      </c>
      <c r="M9813" s="21" t="n">
        <v>0</v>
      </c>
      <c r="N9813" s="21" t="n">
        <v>0</v>
      </c>
      <c r="O9813" s="21" t="n">
        <v>0</v>
      </c>
      <c r="P9813" s="21" t="n">
        <v>0</v>
      </c>
      <c r="Q9813" s="21" t="n">
        <v>0</v>
      </c>
      <c r="R9813" s="21" t="n">
        <v>0</v>
      </c>
      <c r="S9813" s="21" t="n">
        <v>0</v>
      </c>
      <c r="T9813" s="21" t="n">
        <v>0</v>
      </c>
      <c r="U9813" s="21" t="n">
        <v>0</v>
      </c>
      <c r="V9813" s="21" t="n">
        <v>0</v>
      </c>
      <c r="W9813" s="21" t="n">
        <v>0</v>
      </c>
      <c r="X9813" s="21" t="n">
        <v>0</v>
      </c>
      <c r="Y9813" s="21" t="n">
        <v>0</v>
      </c>
      <c r="Z9813" s="19" t="n"/>
    </row>
    <row r="9814">
      <c r="D9814" s="21" t="n">
        <v>0</v>
      </c>
      <c r="E9814" s="21" t="n">
        <v>0</v>
      </c>
      <c r="F9814" s="21">
        <f>-$B$8763</f>
        <v/>
      </c>
      <c r="G9814" s="21">
        <f>-$B$8764</f>
        <v/>
      </c>
      <c r="H9814" s="21">
        <f>2*$B$8763+$D$9800</f>
        <v/>
      </c>
      <c r="I9814" s="21">
        <f>0</f>
        <v/>
      </c>
      <c r="J9814" s="21">
        <f>-$B$8763</f>
        <v/>
      </c>
      <c r="K9814" s="21">
        <f>$B$8764</f>
        <v/>
      </c>
      <c r="L9814" s="21" t="n">
        <v>0</v>
      </c>
      <c r="M9814" s="21" t="n">
        <v>0</v>
      </c>
      <c r="N9814" s="21" t="n">
        <v>0</v>
      </c>
      <c r="O9814" s="21" t="n">
        <v>0</v>
      </c>
      <c r="P9814" s="21" t="n">
        <v>0</v>
      </c>
      <c r="Q9814" s="21" t="n">
        <v>0</v>
      </c>
      <c r="R9814" s="21" t="n">
        <v>0</v>
      </c>
      <c r="S9814" s="21" t="n">
        <v>0</v>
      </c>
      <c r="T9814" s="21" t="n">
        <v>0</v>
      </c>
      <c r="U9814" s="21" t="n">
        <v>0</v>
      </c>
      <c r="V9814" s="21" t="n">
        <v>0</v>
      </c>
      <c r="W9814" s="21" t="n">
        <v>0</v>
      </c>
      <c r="X9814" s="21" t="n">
        <v>0</v>
      </c>
      <c r="Y9814" s="21" t="n">
        <v>0</v>
      </c>
      <c r="Z9814" s="19" t="n"/>
    </row>
    <row r="9815">
      <c r="D9815" s="21" t="n">
        <v>0</v>
      </c>
      <c r="E9815" s="21" t="n">
        <v>0</v>
      </c>
      <c r="F9815" s="21">
        <f>$B$8764</f>
        <v/>
      </c>
      <c r="G9815" s="21">
        <f>$B$8766</f>
        <v/>
      </c>
      <c r="H9815" s="21">
        <f>0</f>
        <v/>
      </c>
      <c r="I9815" s="21">
        <f>2*$B$8765</f>
        <v/>
      </c>
      <c r="J9815" s="21">
        <f>-$B$8764</f>
        <v/>
      </c>
      <c r="K9815" s="21">
        <f>$B$8766</f>
        <v/>
      </c>
      <c r="L9815" s="21" t="n">
        <v>0</v>
      </c>
      <c r="M9815" s="21" t="n">
        <v>0</v>
      </c>
      <c r="N9815" s="21" t="n">
        <v>0</v>
      </c>
      <c r="O9815" s="21" t="n">
        <v>0</v>
      </c>
      <c r="P9815" s="21" t="n">
        <v>0</v>
      </c>
      <c r="Q9815" s="21" t="n">
        <v>0</v>
      </c>
      <c r="R9815" s="21" t="n">
        <v>0</v>
      </c>
      <c r="S9815" s="21" t="n">
        <v>0</v>
      </c>
      <c r="T9815" s="21" t="n">
        <v>0</v>
      </c>
      <c r="U9815" s="21" t="n">
        <v>0</v>
      </c>
      <c r="V9815" s="21" t="n">
        <v>0</v>
      </c>
      <c r="W9815" s="21" t="n">
        <v>0</v>
      </c>
      <c r="X9815" s="21" t="n">
        <v>0</v>
      </c>
      <c r="Y9815" s="21" t="n">
        <v>0</v>
      </c>
      <c r="Z9815" s="19" t="n"/>
    </row>
    <row r="9816">
      <c r="D9816" s="21" t="n">
        <v>0</v>
      </c>
      <c r="E9816" s="21" t="n">
        <v>0</v>
      </c>
      <c r="F9816" s="21" t="n">
        <v>0</v>
      </c>
      <c r="G9816" s="21" t="n">
        <v>0</v>
      </c>
      <c r="H9816" s="21">
        <f>-$B$8763</f>
        <v/>
      </c>
      <c r="I9816" s="21">
        <f>-$B$8764</f>
        <v/>
      </c>
      <c r="J9816" s="21">
        <f>2*$B$8763+$D$9801</f>
        <v/>
      </c>
      <c r="K9816" s="21">
        <f>0</f>
        <v/>
      </c>
      <c r="L9816" s="21">
        <f>-$B$8763</f>
        <v/>
      </c>
      <c r="M9816" s="21">
        <f>$B$8764</f>
        <v/>
      </c>
      <c r="N9816" s="21" t="n">
        <v>0</v>
      </c>
      <c r="O9816" s="21" t="n">
        <v>0</v>
      </c>
      <c r="P9816" s="21" t="n">
        <v>0</v>
      </c>
      <c r="Q9816" s="21" t="n">
        <v>0</v>
      </c>
      <c r="R9816" s="21" t="n">
        <v>0</v>
      </c>
      <c r="S9816" s="21" t="n">
        <v>0</v>
      </c>
      <c r="T9816" s="21" t="n">
        <v>0</v>
      </c>
      <c r="U9816" s="21" t="n">
        <v>0</v>
      </c>
      <c r="V9816" s="21" t="n">
        <v>0</v>
      </c>
      <c r="W9816" s="21" t="n">
        <v>0</v>
      </c>
      <c r="X9816" s="21" t="n">
        <v>0</v>
      </c>
      <c r="Y9816" s="21" t="n">
        <v>0</v>
      </c>
      <c r="Z9816" s="19" t="n"/>
    </row>
    <row r="9817">
      <c r="D9817" s="21" t="n">
        <v>0</v>
      </c>
      <c r="E9817" s="21" t="n">
        <v>0</v>
      </c>
      <c r="F9817" s="21" t="n">
        <v>0</v>
      </c>
      <c r="G9817" s="21" t="n">
        <v>0</v>
      </c>
      <c r="H9817" s="21">
        <f>$B$8764</f>
        <v/>
      </c>
      <c r="I9817" s="21">
        <f>$B$8766</f>
        <v/>
      </c>
      <c r="J9817" s="21">
        <f>0</f>
        <v/>
      </c>
      <c r="K9817" s="21">
        <f>2*$B$8765</f>
        <v/>
      </c>
      <c r="L9817" s="21">
        <f>-$B$8764</f>
        <v/>
      </c>
      <c r="M9817" s="21">
        <f>$B$8766</f>
        <v/>
      </c>
      <c r="N9817" s="21" t="n">
        <v>0</v>
      </c>
      <c r="O9817" s="21" t="n">
        <v>0</v>
      </c>
      <c r="P9817" s="21" t="n">
        <v>0</v>
      </c>
      <c r="Q9817" s="21" t="n">
        <v>0</v>
      </c>
      <c r="R9817" s="21" t="n">
        <v>0</v>
      </c>
      <c r="S9817" s="21" t="n">
        <v>0</v>
      </c>
      <c r="T9817" s="21" t="n">
        <v>0</v>
      </c>
      <c r="U9817" s="21" t="n">
        <v>0</v>
      </c>
      <c r="V9817" s="21" t="n">
        <v>0</v>
      </c>
      <c r="W9817" s="21" t="n">
        <v>0</v>
      </c>
      <c r="X9817" s="21" t="n">
        <v>0</v>
      </c>
      <c r="Y9817" s="21" t="n">
        <v>0</v>
      </c>
      <c r="Z9817" s="19" t="n"/>
    </row>
    <row r="9818">
      <c r="D9818" s="21" t="n">
        <v>0</v>
      </c>
      <c r="E9818" s="21" t="n">
        <v>0</v>
      </c>
      <c r="F9818" s="21" t="n">
        <v>0</v>
      </c>
      <c r="G9818" s="21" t="n">
        <v>0</v>
      </c>
      <c r="H9818" s="21" t="n">
        <v>0</v>
      </c>
      <c r="I9818" s="21" t="n">
        <v>0</v>
      </c>
      <c r="J9818" s="21">
        <f>-$B$8763</f>
        <v/>
      </c>
      <c r="K9818" s="21">
        <f>-$B$8764</f>
        <v/>
      </c>
      <c r="L9818" s="21">
        <f>2*$B$8763+$D$9802</f>
        <v/>
      </c>
      <c r="M9818" s="21">
        <f>0</f>
        <v/>
      </c>
      <c r="N9818" s="21">
        <f>-$B$8763</f>
        <v/>
      </c>
      <c r="O9818" s="21">
        <f>$B$8764</f>
        <v/>
      </c>
      <c r="P9818" s="21" t="n">
        <v>0</v>
      </c>
      <c r="Q9818" s="21" t="n">
        <v>0</v>
      </c>
      <c r="R9818" s="21" t="n">
        <v>0</v>
      </c>
      <c r="S9818" s="21" t="n">
        <v>0</v>
      </c>
      <c r="T9818" s="21" t="n">
        <v>0</v>
      </c>
      <c r="U9818" s="21" t="n">
        <v>0</v>
      </c>
      <c r="V9818" s="21" t="n">
        <v>0</v>
      </c>
      <c r="W9818" s="21" t="n">
        <v>0</v>
      </c>
      <c r="X9818" s="21" t="n">
        <v>0</v>
      </c>
      <c r="Y9818" s="21" t="n">
        <v>0</v>
      </c>
      <c r="Z9818" s="19" t="n"/>
    </row>
    <row r="9819">
      <c r="D9819" s="21" t="n">
        <v>0</v>
      </c>
      <c r="E9819" s="21" t="n">
        <v>0</v>
      </c>
      <c r="F9819" s="21" t="n">
        <v>0</v>
      </c>
      <c r="G9819" s="21" t="n">
        <v>0</v>
      </c>
      <c r="H9819" s="21" t="n">
        <v>0</v>
      </c>
      <c r="I9819" s="21" t="n">
        <v>0</v>
      </c>
      <c r="J9819" s="21">
        <f>$B$8764</f>
        <v/>
      </c>
      <c r="K9819" s="21">
        <f>$B$8766</f>
        <v/>
      </c>
      <c r="L9819" s="21">
        <f>0</f>
        <v/>
      </c>
      <c r="M9819" s="21">
        <f>2*$B$8765</f>
        <v/>
      </c>
      <c r="N9819" s="21">
        <f>-$B$8764</f>
        <v/>
      </c>
      <c r="O9819" s="21">
        <f>$B$8766</f>
        <v/>
      </c>
      <c r="P9819" s="21" t="n">
        <v>0</v>
      </c>
      <c r="Q9819" s="21" t="n">
        <v>0</v>
      </c>
      <c r="R9819" s="21" t="n">
        <v>0</v>
      </c>
      <c r="S9819" s="21" t="n">
        <v>0</v>
      </c>
      <c r="T9819" s="21" t="n">
        <v>0</v>
      </c>
      <c r="U9819" s="21" t="n">
        <v>0</v>
      </c>
      <c r="V9819" s="21" t="n">
        <v>0</v>
      </c>
      <c r="W9819" s="21" t="n">
        <v>0</v>
      </c>
      <c r="X9819" s="21" t="n">
        <v>0</v>
      </c>
      <c r="Y9819" s="21" t="n">
        <v>0</v>
      </c>
      <c r="Z9819" s="19" t="n"/>
    </row>
    <row r="9820">
      <c r="D9820" s="21" t="n">
        <v>0</v>
      </c>
      <c r="E9820" s="21" t="n">
        <v>0</v>
      </c>
      <c r="F9820" s="21" t="n">
        <v>0</v>
      </c>
      <c r="G9820" s="21" t="n">
        <v>0</v>
      </c>
      <c r="H9820" s="21" t="n">
        <v>0</v>
      </c>
      <c r="I9820" s="21" t="n">
        <v>0</v>
      </c>
      <c r="J9820" s="21" t="n">
        <v>0</v>
      </c>
      <c r="K9820" s="21" t="n">
        <v>0</v>
      </c>
      <c r="L9820" s="21">
        <f>-$B$8763</f>
        <v/>
      </c>
      <c r="M9820" s="21">
        <f>-$B$8764</f>
        <v/>
      </c>
      <c r="N9820" s="21">
        <f>2*$B$8763+$D$9803</f>
        <v/>
      </c>
      <c r="O9820" s="21">
        <f>0</f>
        <v/>
      </c>
      <c r="P9820" s="21">
        <f>-$B$8763</f>
        <v/>
      </c>
      <c r="Q9820" s="21">
        <f>$B$8764</f>
        <v/>
      </c>
      <c r="R9820" s="21" t="n">
        <v>0</v>
      </c>
      <c r="S9820" s="21" t="n">
        <v>0</v>
      </c>
      <c r="T9820" s="21" t="n">
        <v>0</v>
      </c>
      <c r="U9820" s="21" t="n">
        <v>0</v>
      </c>
      <c r="V9820" s="21" t="n">
        <v>0</v>
      </c>
      <c r="W9820" s="21" t="n">
        <v>0</v>
      </c>
      <c r="X9820" s="21" t="n">
        <v>0</v>
      </c>
      <c r="Y9820" s="21" t="n">
        <v>0</v>
      </c>
      <c r="Z9820" s="19" t="n"/>
    </row>
    <row r="9821">
      <c r="D9821" s="21" t="n">
        <v>0</v>
      </c>
      <c r="E9821" s="21" t="n">
        <v>0</v>
      </c>
      <c r="F9821" s="21" t="n">
        <v>0</v>
      </c>
      <c r="G9821" s="21" t="n">
        <v>0</v>
      </c>
      <c r="H9821" s="21" t="n">
        <v>0</v>
      </c>
      <c r="I9821" s="21" t="n">
        <v>0</v>
      </c>
      <c r="J9821" s="21" t="n">
        <v>0</v>
      </c>
      <c r="K9821" s="21" t="n">
        <v>0</v>
      </c>
      <c r="L9821" s="21">
        <f>$B$8764</f>
        <v/>
      </c>
      <c r="M9821" s="21">
        <f>$B$8766</f>
        <v/>
      </c>
      <c r="N9821" s="21">
        <f>0</f>
        <v/>
      </c>
      <c r="O9821" s="21">
        <f>2*$B$8765</f>
        <v/>
      </c>
      <c r="P9821" s="21">
        <f>-$B$8764</f>
        <v/>
      </c>
      <c r="Q9821" s="21">
        <f>$B$8766</f>
        <v/>
      </c>
      <c r="R9821" s="21" t="n">
        <v>0</v>
      </c>
      <c r="S9821" s="21" t="n">
        <v>0</v>
      </c>
      <c r="T9821" s="21" t="n">
        <v>0</v>
      </c>
      <c r="U9821" s="21" t="n">
        <v>0</v>
      </c>
      <c r="V9821" s="21" t="n">
        <v>0</v>
      </c>
      <c r="W9821" s="21" t="n">
        <v>0</v>
      </c>
      <c r="X9821" s="21" t="n">
        <v>0</v>
      </c>
      <c r="Y9821" s="21" t="n">
        <v>0</v>
      </c>
      <c r="Z9821" s="19" t="n"/>
    </row>
    <row r="9822">
      <c r="D9822" s="21" t="n">
        <v>0</v>
      </c>
      <c r="E9822" s="21" t="n">
        <v>0</v>
      </c>
      <c r="F9822" s="21" t="n">
        <v>0</v>
      </c>
      <c r="G9822" s="21" t="n">
        <v>0</v>
      </c>
      <c r="H9822" s="21" t="n">
        <v>0</v>
      </c>
      <c r="I9822" s="21" t="n">
        <v>0</v>
      </c>
      <c r="J9822" s="21" t="n">
        <v>0</v>
      </c>
      <c r="K9822" s="21" t="n">
        <v>0</v>
      </c>
      <c r="L9822" s="21" t="n">
        <v>0</v>
      </c>
      <c r="M9822" s="21" t="n">
        <v>0</v>
      </c>
      <c r="N9822" s="21">
        <f>-$B$8763</f>
        <v/>
      </c>
      <c r="O9822" s="21">
        <f>-$B$8764</f>
        <v/>
      </c>
      <c r="P9822" s="21">
        <f>2*$B$8763+$D$9804</f>
        <v/>
      </c>
      <c r="Q9822" s="21">
        <f>0</f>
        <v/>
      </c>
      <c r="R9822" s="21">
        <f>-$B$8763</f>
        <v/>
      </c>
      <c r="S9822" s="21">
        <f>$B$8764</f>
        <v/>
      </c>
      <c r="T9822" s="21" t="n">
        <v>0</v>
      </c>
      <c r="U9822" s="21" t="n">
        <v>0</v>
      </c>
      <c r="V9822" s="21" t="n">
        <v>0</v>
      </c>
      <c r="W9822" s="21" t="n">
        <v>0</v>
      </c>
      <c r="X9822" s="21" t="n">
        <v>0</v>
      </c>
      <c r="Y9822" s="21" t="n">
        <v>0</v>
      </c>
      <c r="Z9822" s="19" t="n"/>
    </row>
    <row r="9823">
      <c r="D9823" s="21" t="n">
        <v>0</v>
      </c>
      <c r="E9823" s="21" t="n">
        <v>0</v>
      </c>
      <c r="F9823" s="21" t="n">
        <v>0</v>
      </c>
      <c r="G9823" s="21" t="n">
        <v>0</v>
      </c>
      <c r="H9823" s="21" t="n">
        <v>0</v>
      </c>
      <c r="I9823" s="21" t="n">
        <v>0</v>
      </c>
      <c r="J9823" s="21" t="n">
        <v>0</v>
      </c>
      <c r="K9823" s="21" t="n">
        <v>0</v>
      </c>
      <c r="L9823" s="21" t="n">
        <v>0</v>
      </c>
      <c r="M9823" s="21" t="n">
        <v>0</v>
      </c>
      <c r="N9823" s="21">
        <f>$B$8764</f>
        <v/>
      </c>
      <c r="O9823" s="21">
        <f>$B$8766</f>
        <v/>
      </c>
      <c r="P9823" s="21">
        <f>0</f>
        <v/>
      </c>
      <c r="Q9823" s="21">
        <f>2*$B$8765</f>
        <v/>
      </c>
      <c r="R9823" s="21">
        <f>-$B$8764</f>
        <v/>
      </c>
      <c r="S9823" s="21">
        <f>$B$8766</f>
        <v/>
      </c>
      <c r="T9823" s="21" t="n">
        <v>0</v>
      </c>
      <c r="U9823" s="21" t="n">
        <v>0</v>
      </c>
      <c r="V9823" s="21" t="n">
        <v>0</v>
      </c>
      <c r="W9823" s="21" t="n">
        <v>0</v>
      </c>
      <c r="X9823" s="21" t="n">
        <v>0</v>
      </c>
      <c r="Y9823" s="21" t="n">
        <v>0</v>
      </c>
      <c r="Z9823" s="19" t="n"/>
    </row>
    <row r="9824">
      <c r="D9824" s="21" t="n">
        <v>0</v>
      </c>
      <c r="E9824" s="21" t="n">
        <v>0</v>
      </c>
      <c r="F9824" s="21" t="n">
        <v>0</v>
      </c>
      <c r="G9824" s="21" t="n">
        <v>0</v>
      </c>
      <c r="H9824" s="21" t="n">
        <v>0</v>
      </c>
      <c r="I9824" s="21" t="n">
        <v>0</v>
      </c>
      <c r="J9824" s="21" t="n">
        <v>0</v>
      </c>
      <c r="K9824" s="21" t="n">
        <v>0</v>
      </c>
      <c r="L9824" s="21" t="n">
        <v>0</v>
      </c>
      <c r="M9824" s="21" t="n">
        <v>0</v>
      </c>
      <c r="N9824" s="21" t="n">
        <v>0</v>
      </c>
      <c r="O9824" s="21" t="n">
        <v>0</v>
      </c>
      <c r="P9824" s="21">
        <f>-$B$8763</f>
        <v/>
      </c>
      <c r="Q9824" s="21">
        <f>-$B$8764</f>
        <v/>
      </c>
      <c r="R9824" s="21">
        <f>2*$B$8763+$D$9805</f>
        <v/>
      </c>
      <c r="S9824" s="21">
        <f>0</f>
        <v/>
      </c>
      <c r="T9824" s="21">
        <f>-$B$8763</f>
        <v/>
      </c>
      <c r="U9824" s="21">
        <f>$B$8764</f>
        <v/>
      </c>
      <c r="V9824" s="21" t="n">
        <v>0</v>
      </c>
      <c r="W9824" s="21" t="n">
        <v>0</v>
      </c>
      <c r="X9824" s="21" t="n">
        <v>0</v>
      </c>
      <c r="Y9824" s="21" t="n">
        <v>0</v>
      </c>
      <c r="Z9824" s="19" t="n"/>
    </row>
    <row r="9825">
      <c r="D9825" s="21" t="n">
        <v>0</v>
      </c>
      <c r="E9825" s="21" t="n">
        <v>0</v>
      </c>
      <c r="F9825" s="21" t="n">
        <v>0</v>
      </c>
      <c r="G9825" s="21" t="n">
        <v>0</v>
      </c>
      <c r="H9825" s="21" t="n">
        <v>0</v>
      </c>
      <c r="I9825" s="21" t="n">
        <v>0</v>
      </c>
      <c r="J9825" s="21" t="n">
        <v>0</v>
      </c>
      <c r="K9825" s="21" t="n">
        <v>0</v>
      </c>
      <c r="L9825" s="21" t="n">
        <v>0</v>
      </c>
      <c r="M9825" s="21" t="n">
        <v>0</v>
      </c>
      <c r="N9825" s="21" t="n">
        <v>0</v>
      </c>
      <c r="O9825" s="21" t="n">
        <v>0</v>
      </c>
      <c r="P9825" s="21">
        <f>$B$8764</f>
        <v/>
      </c>
      <c r="Q9825" s="21">
        <f>$B$8766</f>
        <v/>
      </c>
      <c r="R9825" s="21">
        <f>0</f>
        <v/>
      </c>
      <c r="S9825" s="21">
        <f>2*$B$8765</f>
        <v/>
      </c>
      <c r="T9825" s="21">
        <f>-$B$8764</f>
        <v/>
      </c>
      <c r="U9825" s="21">
        <f>$B$8766</f>
        <v/>
      </c>
      <c r="V9825" s="21" t="n">
        <v>0</v>
      </c>
      <c r="W9825" s="21" t="n">
        <v>0</v>
      </c>
      <c r="X9825" s="21" t="n">
        <v>0</v>
      </c>
      <c r="Y9825" s="21" t="n">
        <v>0</v>
      </c>
      <c r="Z9825" s="19" t="n"/>
    </row>
    <row r="9826">
      <c r="D9826" s="21" t="n">
        <v>0</v>
      </c>
      <c r="E9826" s="21" t="n">
        <v>0</v>
      </c>
      <c r="F9826" s="21" t="n">
        <v>0</v>
      </c>
      <c r="G9826" s="21" t="n">
        <v>0</v>
      </c>
      <c r="H9826" s="21" t="n">
        <v>0</v>
      </c>
      <c r="I9826" s="21" t="n">
        <v>0</v>
      </c>
      <c r="J9826" s="21" t="n">
        <v>0</v>
      </c>
      <c r="K9826" s="21" t="n">
        <v>0</v>
      </c>
      <c r="L9826" s="21" t="n">
        <v>0</v>
      </c>
      <c r="M9826" s="21" t="n">
        <v>0</v>
      </c>
      <c r="N9826" s="21" t="n">
        <v>0</v>
      </c>
      <c r="O9826" s="21" t="n">
        <v>0</v>
      </c>
      <c r="P9826" s="21" t="n">
        <v>0</v>
      </c>
      <c r="Q9826" s="21" t="n">
        <v>0</v>
      </c>
      <c r="R9826" s="21">
        <f>-$B$8763</f>
        <v/>
      </c>
      <c r="S9826" s="21">
        <f>-$B$8764</f>
        <v/>
      </c>
      <c r="T9826" s="21">
        <f>2*$B$8763+$D$9806</f>
        <v/>
      </c>
      <c r="U9826" s="21">
        <f>0</f>
        <v/>
      </c>
      <c r="V9826" s="21">
        <f>-$B$8763</f>
        <v/>
      </c>
      <c r="W9826" s="21">
        <f>$B$8764</f>
        <v/>
      </c>
      <c r="X9826" s="21" t="n">
        <v>0</v>
      </c>
      <c r="Y9826" s="21" t="n">
        <v>0</v>
      </c>
      <c r="Z9826" s="19" t="n"/>
    </row>
    <row r="9827">
      <c r="D9827" s="21" t="n">
        <v>0</v>
      </c>
      <c r="E9827" s="21" t="n">
        <v>0</v>
      </c>
      <c r="F9827" s="21" t="n">
        <v>0</v>
      </c>
      <c r="G9827" s="21" t="n">
        <v>0</v>
      </c>
      <c r="H9827" s="21" t="n">
        <v>0</v>
      </c>
      <c r="I9827" s="21" t="n">
        <v>0</v>
      </c>
      <c r="J9827" s="21" t="n">
        <v>0</v>
      </c>
      <c r="K9827" s="21" t="n">
        <v>0</v>
      </c>
      <c r="L9827" s="21" t="n">
        <v>0</v>
      </c>
      <c r="M9827" s="21" t="n">
        <v>0</v>
      </c>
      <c r="N9827" s="21" t="n">
        <v>0</v>
      </c>
      <c r="O9827" s="21" t="n">
        <v>0</v>
      </c>
      <c r="P9827" s="21" t="n">
        <v>0</v>
      </c>
      <c r="Q9827" s="21" t="n">
        <v>0</v>
      </c>
      <c r="R9827" s="21">
        <f>$B$8764</f>
        <v/>
      </c>
      <c r="S9827" s="21">
        <f>$B$8766</f>
        <v/>
      </c>
      <c r="T9827" s="21">
        <f>0</f>
        <v/>
      </c>
      <c r="U9827" s="21">
        <f>2*$B$8765</f>
        <v/>
      </c>
      <c r="V9827" s="21">
        <f>-$B$8764</f>
        <v/>
      </c>
      <c r="W9827" s="21">
        <f>$B$8766</f>
        <v/>
      </c>
      <c r="X9827" s="21" t="n">
        <v>0</v>
      </c>
      <c r="Y9827" s="21" t="n">
        <v>0</v>
      </c>
      <c r="Z9827" s="19" t="n"/>
    </row>
    <row r="9828">
      <c r="D9828" s="21" t="n">
        <v>0</v>
      </c>
      <c r="E9828" s="21" t="n">
        <v>0</v>
      </c>
      <c r="F9828" s="21" t="n">
        <v>0</v>
      </c>
      <c r="G9828" s="21" t="n">
        <v>0</v>
      </c>
      <c r="H9828" s="21" t="n">
        <v>0</v>
      </c>
      <c r="I9828" s="21" t="n">
        <v>0</v>
      </c>
      <c r="J9828" s="21" t="n">
        <v>0</v>
      </c>
      <c r="K9828" s="21" t="n">
        <v>0</v>
      </c>
      <c r="L9828" s="21" t="n">
        <v>0</v>
      </c>
      <c r="M9828" s="21" t="n">
        <v>0</v>
      </c>
      <c r="N9828" s="21" t="n">
        <v>0</v>
      </c>
      <c r="O9828" s="21" t="n">
        <v>0</v>
      </c>
      <c r="P9828" s="21" t="n">
        <v>0</v>
      </c>
      <c r="Q9828" s="21" t="n">
        <v>0</v>
      </c>
      <c r="R9828" s="21" t="n">
        <v>0</v>
      </c>
      <c r="S9828" s="21" t="n">
        <v>0</v>
      </c>
      <c r="T9828" s="21">
        <f>-$B$8763</f>
        <v/>
      </c>
      <c r="U9828" s="21">
        <f>-$B$8764</f>
        <v/>
      </c>
      <c r="V9828" s="21">
        <f>2*$B$8763+$D$9807</f>
        <v/>
      </c>
      <c r="W9828" s="21">
        <f>0</f>
        <v/>
      </c>
      <c r="X9828" s="21">
        <f>-$B$8763</f>
        <v/>
      </c>
      <c r="Y9828" s="21">
        <f>$B$8764</f>
        <v/>
      </c>
      <c r="Z9828" s="19" t="n"/>
    </row>
    <row r="9829">
      <c r="D9829" s="21" t="n">
        <v>0</v>
      </c>
      <c r="E9829" s="21" t="n">
        <v>0</v>
      </c>
      <c r="F9829" s="21" t="n">
        <v>0</v>
      </c>
      <c r="G9829" s="21" t="n">
        <v>0</v>
      </c>
      <c r="H9829" s="21" t="n">
        <v>0</v>
      </c>
      <c r="I9829" s="21" t="n">
        <v>0</v>
      </c>
      <c r="J9829" s="21" t="n">
        <v>0</v>
      </c>
      <c r="K9829" s="21" t="n">
        <v>0</v>
      </c>
      <c r="L9829" s="21" t="n">
        <v>0</v>
      </c>
      <c r="M9829" s="21" t="n">
        <v>0</v>
      </c>
      <c r="N9829" s="21" t="n">
        <v>0</v>
      </c>
      <c r="O9829" s="21" t="n">
        <v>0</v>
      </c>
      <c r="P9829" s="21" t="n">
        <v>0</v>
      </c>
      <c r="Q9829" s="21" t="n">
        <v>0</v>
      </c>
      <c r="R9829" s="21" t="n">
        <v>0</v>
      </c>
      <c r="S9829" s="21" t="n">
        <v>0</v>
      </c>
      <c r="T9829" s="21">
        <f>$B$8764</f>
        <v/>
      </c>
      <c r="U9829" s="21">
        <f>$B$8766</f>
        <v/>
      </c>
      <c r="V9829" s="21">
        <f>0</f>
        <v/>
      </c>
      <c r="W9829" s="21">
        <f>2*$B$8765</f>
        <v/>
      </c>
      <c r="X9829" s="21">
        <f>-$B$8764</f>
        <v/>
      </c>
      <c r="Y9829" s="21">
        <f>$B$8766</f>
        <v/>
      </c>
      <c r="Z9829" s="19" t="n"/>
    </row>
    <row r="9830">
      <c r="D9830" s="21" t="n">
        <v>0</v>
      </c>
      <c r="E9830" s="21" t="n">
        <v>0</v>
      </c>
      <c r="F9830" s="21" t="n">
        <v>0</v>
      </c>
      <c r="G9830" s="21" t="n">
        <v>0</v>
      </c>
      <c r="H9830" s="21" t="n">
        <v>0</v>
      </c>
      <c r="I9830" s="21" t="n">
        <v>0</v>
      </c>
      <c r="J9830" s="21" t="n">
        <v>0</v>
      </c>
      <c r="K9830" s="21" t="n">
        <v>0</v>
      </c>
      <c r="L9830" s="21" t="n">
        <v>0</v>
      </c>
      <c r="M9830" s="21" t="n">
        <v>0</v>
      </c>
      <c r="N9830" s="21" t="n">
        <v>0</v>
      </c>
      <c r="O9830" s="21" t="n">
        <v>0</v>
      </c>
      <c r="P9830" s="21" t="n">
        <v>0</v>
      </c>
      <c r="Q9830" s="21" t="n">
        <v>0</v>
      </c>
      <c r="R9830" s="21" t="n">
        <v>0</v>
      </c>
      <c r="S9830" s="21" t="n">
        <v>0</v>
      </c>
      <c r="T9830" s="21" t="n">
        <v>0</v>
      </c>
      <c r="U9830" s="21" t="n">
        <v>0</v>
      </c>
      <c r="V9830" s="21">
        <f>-$B$8763</f>
        <v/>
      </c>
      <c r="W9830" s="21">
        <f>-$B$8764</f>
        <v/>
      </c>
      <c r="X9830" s="21">
        <f>$B$8763+$D$9808</f>
        <v/>
      </c>
      <c r="Y9830" s="21">
        <f>-$B$8764</f>
        <v/>
      </c>
      <c r="Z9830" s="19" t="n"/>
    </row>
    <row r="9831">
      <c r="D9831" s="21" t="n">
        <v>0</v>
      </c>
      <c r="E9831" s="21" t="n">
        <v>0</v>
      </c>
      <c r="F9831" s="21" t="n">
        <v>0</v>
      </c>
      <c r="G9831" s="21" t="n">
        <v>0</v>
      </c>
      <c r="H9831" s="21" t="n">
        <v>0</v>
      </c>
      <c r="I9831" s="21" t="n">
        <v>0</v>
      </c>
      <c r="J9831" s="21" t="n">
        <v>0</v>
      </c>
      <c r="K9831" s="21" t="n">
        <v>0</v>
      </c>
      <c r="L9831" s="21" t="n">
        <v>0</v>
      </c>
      <c r="M9831" s="21" t="n">
        <v>0</v>
      </c>
      <c r="N9831" s="21" t="n">
        <v>0</v>
      </c>
      <c r="O9831" s="21" t="n">
        <v>0</v>
      </c>
      <c r="P9831" s="21" t="n">
        <v>0</v>
      </c>
      <c r="Q9831" s="21" t="n">
        <v>0</v>
      </c>
      <c r="R9831" s="21" t="n">
        <v>0</v>
      </c>
      <c r="S9831" s="21" t="n">
        <v>0</v>
      </c>
      <c r="T9831" s="21" t="n">
        <v>0</v>
      </c>
      <c r="U9831" s="21" t="n">
        <v>0</v>
      </c>
      <c r="V9831" s="21">
        <f>$B$8764</f>
        <v/>
      </c>
      <c r="W9831" s="21">
        <f>$B$8766</f>
        <v/>
      </c>
      <c r="X9831" s="21">
        <f>-$B$8764</f>
        <v/>
      </c>
      <c r="Y9831" s="21">
        <f>$B$8765</f>
        <v/>
      </c>
      <c r="Z9831" s="19" t="n"/>
    </row>
    <row r="9833">
      <c r="A9833" s="8" t="inlineStr">
        <is>
          <t>gen 29</t>
        </is>
      </c>
    </row>
    <row r="9834">
      <c r="D9834" s="19">
        <f>IF(ABS(IF(ABS($E$9798)&gt;0.000000001,$E$9798,0.000000001))=0,0,IF($E$8778&lt;=$B$8772,0,IF(ABS(IF(ABS($E$9798)&gt;0.000000001,$E$9798,0.000000001))&gt;=8*$B$8774,$H$8778,0.5*$H$8778*(ABS(IF(ABS($E$9798)&gt;0.000000001,$E$9798,0.000000001))/$B$8774)^(1/3)))/ABS(IF(ABS($E$9798)&gt;0.000000001,$E$9798,0.000000001))*$I$8778)</f>
        <v/>
      </c>
      <c r="E9834" s="19">
        <f>0.5*$E$9798+0.5*$Z$9846</f>
        <v/>
      </c>
      <c r="F9834" s="19">
        <f>$Z$9847</f>
        <v/>
      </c>
    </row>
    <row r="9835">
      <c r="D9835" s="19">
        <f>IF(ABS(IF(ABS($E$9799)&gt;0.000000001,$E$9799,0.000000001))=0,0,IF($E$8779&lt;=$B$8772,0,IF(ABS(IF(ABS($E$9799)&gt;0.000000001,$E$9799,0.000000001))&gt;=8*$B$8774,$H$8779,0.5*$H$8779*(ABS(IF(ABS($E$9799)&gt;0.000000001,$E$9799,0.000000001))/$B$8774)^(1/3)))/ABS(IF(ABS($E$9799)&gt;0.000000001,$E$9799,0.000000001))*$I$8779)</f>
        <v/>
      </c>
      <c r="E9835" s="19">
        <f>0.5*$E$9799+0.5*$Z$9848</f>
        <v/>
      </c>
      <c r="F9835" s="19">
        <f>$Z$9849</f>
        <v/>
      </c>
    </row>
    <row r="9836">
      <c r="D9836" s="19">
        <f>IF(ABS(IF(ABS($E$9800)&gt;0.000000001,$E$9800,0.000000001))=0,0,IF($E$8780&lt;=$B$8772,0,IF(ABS(IF(ABS($E$9800)&gt;0.000000001,$E$9800,0.000000001))&gt;=8*$B$8774,$H$8780,0.5*$H$8780*(ABS(IF(ABS($E$9800)&gt;0.000000001,$E$9800,0.000000001))/$B$8774)^(1/3)))/ABS(IF(ABS($E$9800)&gt;0.000000001,$E$9800,0.000000001))*$I$8780)</f>
        <v/>
      </c>
      <c r="E9836" s="19">
        <f>0.5*$E$9800+0.5*$Z$9850</f>
        <v/>
      </c>
      <c r="F9836" s="19">
        <f>$Z$9851</f>
        <v/>
      </c>
    </row>
    <row r="9837">
      <c r="D9837" s="19">
        <f>IF(ABS(IF(ABS($E$9801)&gt;0.000000001,$E$9801,0.000000001))=0,0,IF($E$8781&lt;=$B$8772,0,IF(ABS(IF(ABS($E$9801)&gt;0.000000001,$E$9801,0.000000001))&gt;=8*$B$8774,$H$8781,0.5*$H$8781*(ABS(IF(ABS($E$9801)&gt;0.000000001,$E$9801,0.000000001))/$B$8774)^(1/3)))/ABS(IF(ABS($E$9801)&gt;0.000000001,$E$9801,0.000000001))*$I$8781)</f>
        <v/>
      </c>
      <c r="E9837" s="19">
        <f>0.5*$E$9801+0.5*$Z$9852</f>
        <v/>
      </c>
      <c r="F9837" s="19">
        <f>$Z$9853</f>
        <v/>
      </c>
    </row>
    <row r="9838">
      <c r="D9838" s="19">
        <f>IF(ABS(IF(ABS($E$9802)&gt;0.000000001,$E$9802,0.000000001))=0,0,IF($E$8782&lt;=$B$8772,0,IF(ABS(IF(ABS($E$9802)&gt;0.000000001,$E$9802,0.000000001))&gt;=8*$B$8774,$H$8782,0.5*$H$8782*(ABS(IF(ABS($E$9802)&gt;0.000000001,$E$9802,0.000000001))/$B$8774)^(1/3)))/ABS(IF(ABS($E$9802)&gt;0.000000001,$E$9802,0.000000001))*$I$8782)</f>
        <v/>
      </c>
      <c r="E9838" s="19">
        <f>0.5*$E$9802+0.5*$Z$9854</f>
        <v/>
      </c>
      <c r="F9838" s="19">
        <f>$Z$9855</f>
        <v/>
      </c>
    </row>
    <row r="9839">
      <c r="D9839" s="19">
        <f>IF(ABS(IF(ABS($E$9803)&gt;0.000000001,$E$9803,0.000000001))=0,0,IF($E$8783&lt;=$B$8772,0,IF(ABS(IF(ABS($E$9803)&gt;0.000000001,$E$9803,0.000000001))&gt;=8*$B$8774,$H$8783,0.5*$H$8783*(ABS(IF(ABS($E$9803)&gt;0.000000001,$E$9803,0.000000001))/$B$8774)^(1/3)))/ABS(IF(ABS($E$9803)&gt;0.000000001,$E$9803,0.000000001))*$I$8783)</f>
        <v/>
      </c>
      <c r="E9839" s="19">
        <f>0.5*$E$9803+0.5*$Z$9856</f>
        <v/>
      </c>
      <c r="F9839" s="19">
        <f>$Z$9857</f>
        <v/>
      </c>
    </row>
    <row r="9840">
      <c r="D9840" s="19">
        <f>IF(ABS(IF(ABS($E$9804)&gt;0.000000001,$E$9804,0.000000001))=0,0,IF($E$8784&lt;=$B$8772,0,IF(ABS(IF(ABS($E$9804)&gt;0.000000001,$E$9804,0.000000001))&gt;=8*$B$8774,$H$8784,0.5*$H$8784*(ABS(IF(ABS($E$9804)&gt;0.000000001,$E$9804,0.000000001))/$B$8774)^(1/3)))/ABS(IF(ABS($E$9804)&gt;0.000000001,$E$9804,0.000000001))*$I$8784)</f>
        <v/>
      </c>
      <c r="E9840" s="19">
        <f>0.5*$E$9804+0.5*$Z$9858</f>
        <v/>
      </c>
      <c r="F9840" s="19">
        <f>$Z$9859</f>
        <v/>
      </c>
    </row>
    <row r="9841">
      <c r="D9841" s="19">
        <f>IF(ABS(IF(ABS($E$9805)&gt;0.000000001,$E$9805,0.000000001))=0,0,IF($E$8785&lt;=$B$8772,0,IF(ABS(IF(ABS($E$9805)&gt;0.000000001,$E$9805,0.000000001))&gt;=8*$B$8774,$H$8785,0.5*$H$8785*(ABS(IF(ABS($E$9805)&gt;0.000000001,$E$9805,0.000000001))/$B$8774)^(1/3)))/ABS(IF(ABS($E$9805)&gt;0.000000001,$E$9805,0.000000001))*$I$8785)</f>
        <v/>
      </c>
      <c r="E9841" s="19">
        <f>0.5*$E$9805+0.5*$Z$9860</f>
        <v/>
      </c>
      <c r="F9841" s="19">
        <f>$Z$9861</f>
        <v/>
      </c>
    </row>
    <row r="9842">
      <c r="D9842" s="19">
        <f>IF(ABS(IF(ABS($E$9806)&gt;0.000000001,$E$9806,0.000000001))=0,0,IF($E$8786&lt;=$B$8772,0,IF(ABS(IF(ABS($E$9806)&gt;0.000000001,$E$9806,0.000000001))&gt;=8*$B$8774,$H$8786,0.5*$H$8786*(ABS(IF(ABS($E$9806)&gt;0.000000001,$E$9806,0.000000001))/$B$8774)^(1/3)))/ABS(IF(ABS($E$9806)&gt;0.000000001,$E$9806,0.000000001))*$I$8786)</f>
        <v/>
      </c>
      <c r="E9842" s="19">
        <f>0.5*$E$9806+0.5*$Z$9862</f>
        <v/>
      </c>
      <c r="F9842" s="19">
        <f>$Z$9863</f>
        <v/>
      </c>
    </row>
    <row r="9843">
      <c r="D9843" s="19">
        <f>IF(ABS(IF(ABS($E$9807)&gt;0.000000001,$E$9807,0.000000001))=0,0,IF($E$8787&lt;=$B$8772,0,IF(ABS(IF(ABS($E$9807)&gt;0.000000001,$E$9807,0.000000001))&gt;=8*$B$8774,$H$8787,0.5*$H$8787*(ABS(IF(ABS($E$9807)&gt;0.000000001,$E$9807,0.000000001))/$B$8774)^(1/3)))/ABS(IF(ABS($E$9807)&gt;0.000000001,$E$9807,0.000000001))*$I$8787)</f>
        <v/>
      </c>
      <c r="E9843" s="19">
        <f>0.5*$E$9807+0.5*$Z$9864</f>
        <v/>
      </c>
      <c r="F9843" s="19">
        <f>$Z$9865</f>
        <v/>
      </c>
    </row>
    <row r="9844">
      <c r="D9844" s="19">
        <f>IF(ABS(IF(ABS($E$9808)&gt;0.000000001,$E$9808,0.000000001))=0,0,IF($E$8788&lt;=$B$8772,0,IF(ABS(IF(ABS($E$9808)&gt;0.000000001,$E$9808,0.000000001))&gt;=8*$B$8774,$H$8788,0.5*$H$8788*(ABS(IF(ABS($E$9808)&gt;0.000000001,$E$9808,0.000000001))/$B$8774)^(1/3)))/ABS(IF(ABS($E$9808)&gt;0.000000001,$E$9808,0.000000001))*$I$8788)</f>
        <v/>
      </c>
      <c r="E9844" s="19">
        <f>0.5*$E$9808+0.5*$Z$9866</f>
        <v/>
      </c>
      <c r="F9844" s="19">
        <f>$Z$9867</f>
        <v/>
      </c>
    </row>
    <row r="9846">
      <c r="D9846" s="21">
        <f>$B$8763+$D$9834</f>
        <v/>
      </c>
      <c r="E9846" s="21">
        <f>$B$8764</f>
        <v/>
      </c>
      <c r="F9846" s="21">
        <f>-$B$8763</f>
        <v/>
      </c>
      <c r="G9846" s="21">
        <f>$B$8764</f>
        <v/>
      </c>
      <c r="H9846" s="21" t="n">
        <v>0</v>
      </c>
      <c r="I9846" s="21" t="n">
        <v>0</v>
      </c>
      <c r="J9846" s="21" t="n">
        <v>0</v>
      </c>
      <c r="K9846" s="21" t="n">
        <v>0</v>
      </c>
      <c r="L9846" s="21" t="n">
        <v>0</v>
      </c>
      <c r="M9846" s="21" t="n">
        <v>0</v>
      </c>
      <c r="N9846" s="21" t="n">
        <v>0</v>
      </c>
      <c r="O9846" s="21" t="n">
        <v>0</v>
      </c>
      <c r="P9846" s="21" t="n">
        <v>0</v>
      </c>
      <c r="Q9846" s="21" t="n">
        <v>0</v>
      </c>
      <c r="R9846" s="21" t="n">
        <v>0</v>
      </c>
      <c r="S9846" s="21" t="n">
        <v>0</v>
      </c>
      <c r="T9846" s="21" t="n">
        <v>0</v>
      </c>
      <c r="U9846" s="21" t="n">
        <v>0</v>
      </c>
      <c r="V9846" s="21" t="n">
        <v>0</v>
      </c>
      <c r="W9846" s="21" t="n">
        <v>0</v>
      </c>
      <c r="X9846" s="21" t="n">
        <v>0</v>
      </c>
      <c r="Y9846" s="21" t="n">
        <v>0</v>
      </c>
      <c r="Z9846" s="19">
        <f t="array" ref="Z9846:Z9867">MMULT(MINVERSE($D$9846:$Y$9867),$D$8790:$D$8811)</f>
        <v/>
      </c>
    </row>
    <row r="9847">
      <c r="D9847" s="21">
        <f>$B$8764</f>
        <v/>
      </c>
      <c r="E9847" s="21">
        <f>$B$8765</f>
        <v/>
      </c>
      <c r="F9847" s="21">
        <f>-$B$8764</f>
        <v/>
      </c>
      <c r="G9847" s="21">
        <f>$B$8766</f>
        <v/>
      </c>
      <c r="H9847" s="21" t="n">
        <v>0</v>
      </c>
      <c r="I9847" s="21" t="n">
        <v>0</v>
      </c>
      <c r="J9847" s="21" t="n">
        <v>0</v>
      </c>
      <c r="K9847" s="21" t="n">
        <v>0</v>
      </c>
      <c r="L9847" s="21" t="n">
        <v>0</v>
      </c>
      <c r="M9847" s="21" t="n">
        <v>0</v>
      </c>
      <c r="N9847" s="21" t="n">
        <v>0</v>
      </c>
      <c r="O9847" s="21" t="n">
        <v>0</v>
      </c>
      <c r="P9847" s="21" t="n">
        <v>0</v>
      </c>
      <c r="Q9847" s="21" t="n">
        <v>0</v>
      </c>
      <c r="R9847" s="21" t="n">
        <v>0</v>
      </c>
      <c r="S9847" s="21" t="n">
        <v>0</v>
      </c>
      <c r="T9847" s="21" t="n">
        <v>0</v>
      </c>
      <c r="U9847" s="21" t="n">
        <v>0</v>
      </c>
      <c r="V9847" s="21" t="n">
        <v>0</v>
      </c>
      <c r="W9847" s="21" t="n">
        <v>0</v>
      </c>
      <c r="X9847" s="21" t="n">
        <v>0</v>
      </c>
      <c r="Y9847" s="21" t="n">
        <v>0</v>
      </c>
      <c r="Z9847" s="19" t="n"/>
    </row>
    <row r="9848">
      <c r="D9848" s="21">
        <f>-$B$8763</f>
        <v/>
      </c>
      <c r="E9848" s="21">
        <f>-$B$8764</f>
        <v/>
      </c>
      <c r="F9848" s="21">
        <f>2*$B$8763+$D$9835</f>
        <v/>
      </c>
      <c r="G9848" s="21">
        <f>0</f>
        <v/>
      </c>
      <c r="H9848" s="21">
        <f>-$B$8763</f>
        <v/>
      </c>
      <c r="I9848" s="21">
        <f>$B$8764</f>
        <v/>
      </c>
      <c r="J9848" s="21" t="n">
        <v>0</v>
      </c>
      <c r="K9848" s="21" t="n">
        <v>0</v>
      </c>
      <c r="L9848" s="21" t="n">
        <v>0</v>
      </c>
      <c r="M9848" s="21" t="n">
        <v>0</v>
      </c>
      <c r="N9848" s="21" t="n">
        <v>0</v>
      </c>
      <c r="O9848" s="21" t="n">
        <v>0</v>
      </c>
      <c r="P9848" s="21" t="n">
        <v>0</v>
      </c>
      <c r="Q9848" s="21" t="n">
        <v>0</v>
      </c>
      <c r="R9848" s="21" t="n">
        <v>0</v>
      </c>
      <c r="S9848" s="21" t="n">
        <v>0</v>
      </c>
      <c r="T9848" s="21" t="n">
        <v>0</v>
      </c>
      <c r="U9848" s="21" t="n">
        <v>0</v>
      </c>
      <c r="V9848" s="21" t="n">
        <v>0</v>
      </c>
      <c r="W9848" s="21" t="n">
        <v>0</v>
      </c>
      <c r="X9848" s="21" t="n">
        <v>0</v>
      </c>
      <c r="Y9848" s="21" t="n">
        <v>0</v>
      </c>
      <c r="Z9848" s="19" t="n"/>
    </row>
    <row r="9849">
      <c r="D9849" s="21">
        <f>$B$8764</f>
        <v/>
      </c>
      <c r="E9849" s="21">
        <f>$B$8766</f>
        <v/>
      </c>
      <c r="F9849" s="21">
        <f>0</f>
        <v/>
      </c>
      <c r="G9849" s="21">
        <f>2*$B$8765</f>
        <v/>
      </c>
      <c r="H9849" s="21">
        <f>-$B$8764</f>
        <v/>
      </c>
      <c r="I9849" s="21">
        <f>$B$8766</f>
        <v/>
      </c>
      <c r="J9849" s="21" t="n">
        <v>0</v>
      </c>
      <c r="K9849" s="21" t="n">
        <v>0</v>
      </c>
      <c r="L9849" s="21" t="n">
        <v>0</v>
      </c>
      <c r="M9849" s="21" t="n">
        <v>0</v>
      </c>
      <c r="N9849" s="21" t="n">
        <v>0</v>
      </c>
      <c r="O9849" s="21" t="n">
        <v>0</v>
      </c>
      <c r="P9849" s="21" t="n">
        <v>0</v>
      </c>
      <c r="Q9849" s="21" t="n">
        <v>0</v>
      </c>
      <c r="R9849" s="21" t="n">
        <v>0</v>
      </c>
      <c r="S9849" s="21" t="n">
        <v>0</v>
      </c>
      <c r="T9849" s="21" t="n">
        <v>0</v>
      </c>
      <c r="U9849" s="21" t="n">
        <v>0</v>
      </c>
      <c r="V9849" s="21" t="n">
        <v>0</v>
      </c>
      <c r="W9849" s="21" t="n">
        <v>0</v>
      </c>
      <c r="X9849" s="21" t="n">
        <v>0</v>
      </c>
      <c r="Y9849" s="21" t="n">
        <v>0</v>
      </c>
      <c r="Z9849" s="19" t="n"/>
    </row>
    <row r="9850">
      <c r="D9850" s="21" t="n">
        <v>0</v>
      </c>
      <c r="E9850" s="21" t="n">
        <v>0</v>
      </c>
      <c r="F9850" s="21">
        <f>-$B$8763</f>
        <v/>
      </c>
      <c r="G9850" s="21">
        <f>-$B$8764</f>
        <v/>
      </c>
      <c r="H9850" s="21">
        <f>2*$B$8763+$D$9836</f>
        <v/>
      </c>
      <c r="I9850" s="21">
        <f>0</f>
        <v/>
      </c>
      <c r="J9850" s="21">
        <f>-$B$8763</f>
        <v/>
      </c>
      <c r="K9850" s="21">
        <f>$B$8764</f>
        <v/>
      </c>
      <c r="L9850" s="21" t="n">
        <v>0</v>
      </c>
      <c r="M9850" s="21" t="n">
        <v>0</v>
      </c>
      <c r="N9850" s="21" t="n">
        <v>0</v>
      </c>
      <c r="O9850" s="21" t="n">
        <v>0</v>
      </c>
      <c r="P9850" s="21" t="n">
        <v>0</v>
      </c>
      <c r="Q9850" s="21" t="n">
        <v>0</v>
      </c>
      <c r="R9850" s="21" t="n">
        <v>0</v>
      </c>
      <c r="S9850" s="21" t="n">
        <v>0</v>
      </c>
      <c r="T9850" s="21" t="n">
        <v>0</v>
      </c>
      <c r="U9850" s="21" t="n">
        <v>0</v>
      </c>
      <c r="V9850" s="21" t="n">
        <v>0</v>
      </c>
      <c r="W9850" s="21" t="n">
        <v>0</v>
      </c>
      <c r="X9850" s="21" t="n">
        <v>0</v>
      </c>
      <c r="Y9850" s="21" t="n">
        <v>0</v>
      </c>
      <c r="Z9850" s="19" t="n"/>
    </row>
    <row r="9851">
      <c r="D9851" s="21" t="n">
        <v>0</v>
      </c>
      <c r="E9851" s="21" t="n">
        <v>0</v>
      </c>
      <c r="F9851" s="21">
        <f>$B$8764</f>
        <v/>
      </c>
      <c r="G9851" s="21">
        <f>$B$8766</f>
        <v/>
      </c>
      <c r="H9851" s="21">
        <f>0</f>
        <v/>
      </c>
      <c r="I9851" s="21">
        <f>2*$B$8765</f>
        <v/>
      </c>
      <c r="J9851" s="21">
        <f>-$B$8764</f>
        <v/>
      </c>
      <c r="K9851" s="21">
        <f>$B$8766</f>
        <v/>
      </c>
      <c r="L9851" s="21" t="n">
        <v>0</v>
      </c>
      <c r="M9851" s="21" t="n">
        <v>0</v>
      </c>
      <c r="N9851" s="21" t="n">
        <v>0</v>
      </c>
      <c r="O9851" s="21" t="n">
        <v>0</v>
      </c>
      <c r="P9851" s="21" t="n">
        <v>0</v>
      </c>
      <c r="Q9851" s="21" t="n">
        <v>0</v>
      </c>
      <c r="R9851" s="21" t="n">
        <v>0</v>
      </c>
      <c r="S9851" s="21" t="n">
        <v>0</v>
      </c>
      <c r="T9851" s="21" t="n">
        <v>0</v>
      </c>
      <c r="U9851" s="21" t="n">
        <v>0</v>
      </c>
      <c r="V9851" s="21" t="n">
        <v>0</v>
      </c>
      <c r="W9851" s="21" t="n">
        <v>0</v>
      </c>
      <c r="X9851" s="21" t="n">
        <v>0</v>
      </c>
      <c r="Y9851" s="21" t="n">
        <v>0</v>
      </c>
      <c r="Z9851" s="19" t="n"/>
    </row>
    <row r="9852">
      <c r="D9852" s="21" t="n">
        <v>0</v>
      </c>
      <c r="E9852" s="21" t="n">
        <v>0</v>
      </c>
      <c r="F9852" s="21" t="n">
        <v>0</v>
      </c>
      <c r="G9852" s="21" t="n">
        <v>0</v>
      </c>
      <c r="H9852" s="21">
        <f>-$B$8763</f>
        <v/>
      </c>
      <c r="I9852" s="21">
        <f>-$B$8764</f>
        <v/>
      </c>
      <c r="J9852" s="21">
        <f>2*$B$8763+$D$9837</f>
        <v/>
      </c>
      <c r="K9852" s="21">
        <f>0</f>
        <v/>
      </c>
      <c r="L9852" s="21">
        <f>-$B$8763</f>
        <v/>
      </c>
      <c r="M9852" s="21">
        <f>$B$8764</f>
        <v/>
      </c>
      <c r="N9852" s="21" t="n">
        <v>0</v>
      </c>
      <c r="O9852" s="21" t="n">
        <v>0</v>
      </c>
      <c r="P9852" s="21" t="n">
        <v>0</v>
      </c>
      <c r="Q9852" s="21" t="n">
        <v>0</v>
      </c>
      <c r="R9852" s="21" t="n">
        <v>0</v>
      </c>
      <c r="S9852" s="21" t="n">
        <v>0</v>
      </c>
      <c r="T9852" s="21" t="n">
        <v>0</v>
      </c>
      <c r="U9852" s="21" t="n">
        <v>0</v>
      </c>
      <c r="V9852" s="21" t="n">
        <v>0</v>
      </c>
      <c r="W9852" s="21" t="n">
        <v>0</v>
      </c>
      <c r="X9852" s="21" t="n">
        <v>0</v>
      </c>
      <c r="Y9852" s="21" t="n">
        <v>0</v>
      </c>
      <c r="Z9852" s="19" t="n"/>
    </row>
    <row r="9853">
      <c r="D9853" s="21" t="n">
        <v>0</v>
      </c>
      <c r="E9853" s="21" t="n">
        <v>0</v>
      </c>
      <c r="F9853" s="21" t="n">
        <v>0</v>
      </c>
      <c r="G9853" s="21" t="n">
        <v>0</v>
      </c>
      <c r="H9853" s="21">
        <f>$B$8764</f>
        <v/>
      </c>
      <c r="I9853" s="21">
        <f>$B$8766</f>
        <v/>
      </c>
      <c r="J9853" s="21">
        <f>0</f>
        <v/>
      </c>
      <c r="K9853" s="21">
        <f>2*$B$8765</f>
        <v/>
      </c>
      <c r="L9853" s="21">
        <f>-$B$8764</f>
        <v/>
      </c>
      <c r="M9853" s="21">
        <f>$B$8766</f>
        <v/>
      </c>
      <c r="N9853" s="21" t="n">
        <v>0</v>
      </c>
      <c r="O9853" s="21" t="n">
        <v>0</v>
      </c>
      <c r="P9853" s="21" t="n">
        <v>0</v>
      </c>
      <c r="Q9853" s="21" t="n">
        <v>0</v>
      </c>
      <c r="R9853" s="21" t="n">
        <v>0</v>
      </c>
      <c r="S9853" s="21" t="n">
        <v>0</v>
      </c>
      <c r="T9853" s="21" t="n">
        <v>0</v>
      </c>
      <c r="U9853" s="21" t="n">
        <v>0</v>
      </c>
      <c r="V9853" s="21" t="n">
        <v>0</v>
      </c>
      <c r="W9853" s="21" t="n">
        <v>0</v>
      </c>
      <c r="X9853" s="21" t="n">
        <v>0</v>
      </c>
      <c r="Y9853" s="21" t="n">
        <v>0</v>
      </c>
      <c r="Z9853" s="19" t="n"/>
    </row>
    <row r="9854">
      <c r="D9854" s="21" t="n">
        <v>0</v>
      </c>
      <c r="E9854" s="21" t="n">
        <v>0</v>
      </c>
      <c r="F9854" s="21" t="n">
        <v>0</v>
      </c>
      <c r="G9854" s="21" t="n">
        <v>0</v>
      </c>
      <c r="H9854" s="21" t="n">
        <v>0</v>
      </c>
      <c r="I9854" s="21" t="n">
        <v>0</v>
      </c>
      <c r="J9854" s="21">
        <f>-$B$8763</f>
        <v/>
      </c>
      <c r="K9854" s="21">
        <f>-$B$8764</f>
        <v/>
      </c>
      <c r="L9854" s="21">
        <f>2*$B$8763+$D$9838</f>
        <v/>
      </c>
      <c r="M9854" s="21">
        <f>0</f>
        <v/>
      </c>
      <c r="N9854" s="21">
        <f>-$B$8763</f>
        <v/>
      </c>
      <c r="O9854" s="21">
        <f>$B$8764</f>
        <v/>
      </c>
      <c r="P9854" s="21" t="n">
        <v>0</v>
      </c>
      <c r="Q9854" s="21" t="n">
        <v>0</v>
      </c>
      <c r="R9854" s="21" t="n">
        <v>0</v>
      </c>
      <c r="S9854" s="21" t="n">
        <v>0</v>
      </c>
      <c r="T9854" s="21" t="n">
        <v>0</v>
      </c>
      <c r="U9854" s="21" t="n">
        <v>0</v>
      </c>
      <c r="V9854" s="21" t="n">
        <v>0</v>
      </c>
      <c r="W9854" s="21" t="n">
        <v>0</v>
      </c>
      <c r="X9854" s="21" t="n">
        <v>0</v>
      </c>
      <c r="Y9854" s="21" t="n">
        <v>0</v>
      </c>
      <c r="Z9854" s="19" t="n"/>
    </row>
    <row r="9855">
      <c r="D9855" s="21" t="n">
        <v>0</v>
      </c>
      <c r="E9855" s="21" t="n">
        <v>0</v>
      </c>
      <c r="F9855" s="21" t="n">
        <v>0</v>
      </c>
      <c r="G9855" s="21" t="n">
        <v>0</v>
      </c>
      <c r="H9855" s="21" t="n">
        <v>0</v>
      </c>
      <c r="I9855" s="21" t="n">
        <v>0</v>
      </c>
      <c r="J9855" s="21">
        <f>$B$8764</f>
        <v/>
      </c>
      <c r="K9855" s="21">
        <f>$B$8766</f>
        <v/>
      </c>
      <c r="L9855" s="21">
        <f>0</f>
        <v/>
      </c>
      <c r="M9855" s="21">
        <f>2*$B$8765</f>
        <v/>
      </c>
      <c r="N9855" s="21">
        <f>-$B$8764</f>
        <v/>
      </c>
      <c r="O9855" s="21">
        <f>$B$8766</f>
        <v/>
      </c>
      <c r="P9855" s="21" t="n">
        <v>0</v>
      </c>
      <c r="Q9855" s="21" t="n">
        <v>0</v>
      </c>
      <c r="R9855" s="21" t="n">
        <v>0</v>
      </c>
      <c r="S9855" s="21" t="n">
        <v>0</v>
      </c>
      <c r="T9855" s="21" t="n">
        <v>0</v>
      </c>
      <c r="U9855" s="21" t="n">
        <v>0</v>
      </c>
      <c r="V9855" s="21" t="n">
        <v>0</v>
      </c>
      <c r="W9855" s="21" t="n">
        <v>0</v>
      </c>
      <c r="X9855" s="21" t="n">
        <v>0</v>
      </c>
      <c r="Y9855" s="21" t="n">
        <v>0</v>
      </c>
      <c r="Z9855" s="19" t="n"/>
    </row>
    <row r="9856">
      <c r="D9856" s="21" t="n">
        <v>0</v>
      </c>
      <c r="E9856" s="21" t="n">
        <v>0</v>
      </c>
      <c r="F9856" s="21" t="n">
        <v>0</v>
      </c>
      <c r="G9856" s="21" t="n">
        <v>0</v>
      </c>
      <c r="H9856" s="21" t="n">
        <v>0</v>
      </c>
      <c r="I9856" s="21" t="n">
        <v>0</v>
      </c>
      <c r="J9856" s="21" t="n">
        <v>0</v>
      </c>
      <c r="K9856" s="21" t="n">
        <v>0</v>
      </c>
      <c r="L9856" s="21">
        <f>-$B$8763</f>
        <v/>
      </c>
      <c r="M9856" s="21">
        <f>-$B$8764</f>
        <v/>
      </c>
      <c r="N9856" s="21">
        <f>2*$B$8763+$D$9839</f>
        <v/>
      </c>
      <c r="O9856" s="21">
        <f>0</f>
        <v/>
      </c>
      <c r="P9856" s="21">
        <f>-$B$8763</f>
        <v/>
      </c>
      <c r="Q9856" s="21">
        <f>$B$8764</f>
        <v/>
      </c>
      <c r="R9856" s="21" t="n">
        <v>0</v>
      </c>
      <c r="S9856" s="21" t="n">
        <v>0</v>
      </c>
      <c r="T9856" s="21" t="n">
        <v>0</v>
      </c>
      <c r="U9856" s="21" t="n">
        <v>0</v>
      </c>
      <c r="V9856" s="21" t="n">
        <v>0</v>
      </c>
      <c r="W9856" s="21" t="n">
        <v>0</v>
      </c>
      <c r="X9856" s="21" t="n">
        <v>0</v>
      </c>
      <c r="Y9856" s="21" t="n">
        <v>0</v>
      </c>
      <c r="Z9856" s="19" t="n"/>
    </row>
    <row r="9857">
      <c r="D9857" s="21" t="n">
        <v>0</v>
      </c>
      <c r="E9857" s="21" t="n">
        <v>0</v>
      </c>
      <c r="F9857" s="21" t="n">
        <v>0</v>
      </c>
      <c r="G9857" s="21" t="n">
        <v>0</v>
      </c>
      <c r="H9857" s="21" t="n">
        <v>0</v>
      </c>
      <c r="I9857" s="21" t="n">
        <v>0</v>
      </c>
      <c r="J9857" s="21" t="n">
        <v>0</v>
      </c>
      <c r="K9857" s="21" t="n">
        <v>0</v>
      </c>
      <c r="L9857" s="21">
        <f>$B$8764</f>
        <v/>
      </c>
      <c r="M9857" s="21">
        <f>$B$8766</f>
        <v/>
      </c>
      <c r="N9857" s="21">
        <f>0</f>
        <v/>
      </c>
      <c r="O9857" s="21">
        <f>2*$B$8765</f>
        <v/>
      </c>
      <c r="P9857" s="21">
        <f>-$B$8764</f>
        <v/>
      </c>
      <c r="Q9857" s="21">
        <f>$B$8766</f>
        <v/>
      </c>
      <c r="R9857" s="21" t="n">
        <v>0</v>
      </c>
      <c r="S9857" s="21" t="n">
        <v>0</v>
      </c>
      <c r="T9857" s="21" t="n">
        <v>0</v>
      </c>
      <c r="U9857" s="21" t="n">
        <v>0</v>
      </c>
      <c r="V9857" s="21" t="n">
        <v>0</v>
      </c>
      <c r="W9857" s="21" t="n">
        <v>0</v>
      </c>
      <c r="X9857" s="21" t="n">
        <v>0</v>
      </c>
      <c r="Y9857" s="21" t="n">
        <v>0</v>
      </c>
      <c r="Z9857" s="19" t="n"/>
    </row>
    <row r="9858">
      <c r="D9858" s="21" t="n">
        <v>0</v>
      </c>
      <c r="E9858" s="21" t="n">
        <v>0</v>
      </c>
      <c r="F9858" s="21" t="n">
        <v>0</v>
      </c>
      <c r="G9858" s="21" t="n">
        <v>0</v>
      </c>
      <c r="H9858" s="21" t="n">
        <v>0</v>
      </c>
      <c r="I9858" s="21" t="n">
        <v>0</v>
      </c>
      <c r="J9858" s="21" t="n">
        <v>0</v>
      </c>
      <c r="K9858" s="21" t="n">
        <v>0</v>
      </c>
      <c r="L9858" s="21" t="n">
        <v>0</v>
      </c>
      <c r="M9858" s="21" t="n">
        <v>0</v>
      </c>
      <c r="N9858" s="21">
        <f>-$B$8763</f>
        <v/>
      </c>
      <c r="O9858" s="21">
        <f>-$B$8764</f>
        <v/>
      </c>
      <c r="P9858" s="21">
        <f>2*$B$8763+$D$9840</f>
        <v/>
      </c>
      <c r="Q9858" s="21">
        <f>0</f>
        <v/>
      </c>
      <c r="R9858" s="21">
        <f>-$B$8763</f>
        <v/>
      </c>
      <c r="S9858" s="21">
        <f>$B$8764</f>
        <v/>
      </c>
      <c r="T9858" s="21" t="n">
        <v>0</v>
      </c>
      <c r="U9858" s="21" t="n">
        <v>0</v>
      </c>
      <c r="V9858" s="21" t="n">
        <v>0</v>
      </c>
      <c r="W9858" s="21" t="n">
        <v>0</v>
      </c>
      <c r="X9858" s="21" t="n">
        <v>0</v>
      </c>
      <c r="Y9858" s="21" t="n">
        <v>0</v>
      </c>
      <c r="Z9858" s="19" t="n"/>
    </row>
    <row r="9859">
      <c r="D9859" s="21" t="n">
        <v>0</v>
      </c>
      <c r="E9859" s="21" t="n">
        <v>0</v>
      </c>
      <c r="F9859" s="21" t="n">
        <v>0</v>
      </c>
      <c r="G9859" s="21" t="n">
        <v>0</v>
      </c>
      <c r="H9859" s="21" t="n">
        <v>0</v>
      </c>
      <c r="I9859" s="21" t="n">
        <v>0</v>
      </c>
      <c r="J9859" s="21" t="n">
        <v>0</v>
      </c>
      <c r="K9859" s="21" t="n">
        <v>0</v>
      </c>
      <c r="L9859" s="21" t="n">
        <v>0</v>
      </c>
      <c r="M9859" s="21" t="n">
        <v>0</v>
      </c>
      <c r="N9859" s="21">
        <f>$B$8764</f>
        <v/>
      </c>
      <c r="O9859" s="21">
        <f>$B$8766</f>
        <v/>
      </c>
      <c r="P9859" s="21">
        <f>0</f>
        <v/>
      </c>
      <c r="Q9859" s="21">
        <f>2*$B$8765</f>
        <v/>
      </c>
      <c r="R9859" s="21">
        <f>-$B$8764</f>
        <v/>
      </c>
      <c r="S9859" s="21">
        <f>$B$8766</f>
        <v/>
      </c>
      <c r="T9859" s="21" t="n">
        <v>0</v>
      </c>
      <c r="U9859" s="21" t="n">
        <v>0</v>
      </c>
      <c r="V9859" s="21" t="n">
        <v>0</v>
      </c>
      <c r="W9859" s="21" t="n">
        <v>0</v>
      </c>
      <c r="X9859" s="21" t="n">
        <v>0</v>
      </c>
      <c r="Y9859" s="21" t="n">
        <v>0</v>
      </c>
      <c r="Z9859" s="19" t="n"/>
    </row>
    <row r="9860">
      <c r="D9860" s="21" t="n">
        <v>0</v>
      </c>
      <c r="E9860" s="21" t="n">
        <v>0</v>
      </c>
      <c r="F9860" s="21" t="n">
        <v>0</v>
      </c>
      <c r="G9860" s="21" t="n">
        <v>0</v>
      </c>
      <c r="H9860" s="21" t="n">
        <v>0</v>
      </c>
      <c r="I9860" s="21" t="n">
        <v>0</v>
      </c>
      <c r="J9860" s="21" t="n">
        <v>0</v>
      </c>
      <c r="K9860" s="21" t="n">
        <v>0</v>
      </c>
      <c r="L9860" s="21" t="n">
        <v>0</v>
      </c>
      <c r="M9860" s="21" t="n">
        <v>0</v>
      </c>
      <c r="N9860" s="21" t="n">
        <v>0</v>
      </c>
      <c r="O9860" s="21" t="n">
        <v>0</v>
      </c>
      <c r="P9860" s="21">
        <f>-$B$8763</f>
        <v/>
      </c>
      <c r="Q9860" s="21">
        <f>-$B$8764</f>
        <v/>
      </c>
      <c r="R9860" s="21">
        <f>2*$B$8763+$D$9841</f>
        <v/>
      </c>
      <c r="S9860" s="21">
        <f>0</f>
        <v/>
      </c>
      <c r="T9860" s="21">
        <f>-$B$8763</f>
        <v/>
      </c>
      <c r="U9860" s="21">
        <f>$B$8764</f>
        <v/>
      </c>
      <c r="V9860" s="21" t="n">
        <v>0</v>
      </c>
      <c r="W9860" s="21" t="n">
        <v>0</v>
      </c>
      <c r="X9860" s="21" t="n">
        <v>0</v>
      </c>
      <c r="Y9860" s="21" t="n">
        <v>0</v>
      </c>
      <c r="Z9860" s="19" t="n"/>
    </row>
    <row r="9861">
      <c r="D9861" s="21" t="n">
        <v>0</v>
      </c>
      <c r="E9861" s="21" t="n">
        <v>0</v>
      </c>
      <c r="F9861" s="21" t="n">
        <v>0</v>
      </c>
      <c r="G9861" s="21" t="n">
        <v>0</v>
      </c>
      <c r="H9861" s="21" t="n">
        <v>0</v>
      </c>
      <c r="I9861" s="21" t="n">
        <v>0</v>
      </c>
      <c r="J9861" s="21" t="n">
        <v>0</v>
      </c>
      <c r="K9861" s="21" t="n">
        <v>0</v>
      </c>
      <c r="L9861" s="21" t="n">
        <v>0</v>
      </c>
      <c r="M9861" s="21" t="n">
        <v>0</v>
      </c>
      <c r="N9861" s="21" t="n">
        <v>0</v>
      </c>
      <c r="O9861" s="21" t="n">
        <v>0</v>
      </c>
      <c r="P9861" s="21">
        <f>$B$8764</f>
        <v/>
      </c>
      <c r="Q9861" s="21">
        <f>$B$8766</f>
        <v/>
      </c>
      <c r="R9861" s="21">
        <f>0</f>
        <v/>
      </c>
      <c r="S9861" s="21">
        <f>2*$B$8765</f>
        <v/>
      </c>
      <c r="T9861" s="21">
        <f>-$B$8764</f>
        <v/>
      </c>
      <c r="U9861" s="21">
        <f>$B$8766</f>
        <v/>
      </c>
      <c r="V9861" s="21" t="n">
        <v>0</v>
      </c>
      <c r="W9861" s="21" t="n">
        <v>0</v>
      </c>
      <c r="X9861" s="21" t="n">
        <v>0</v>
      </c>
      <c r="Y9861" s="21" t="n">
        <v>0</v>
      </c>
      <c r="Z9861" s="19" t="n"/>
    </row>
    <row r="9862">
      <c r="D9862" s="21" t="n">
        <v>0</v>
      </c>
      <c r="E9862" s="21" t="n">
        <v>0</v>
      </c>
      <c r="F9862" s="21" t="n">
        <v>0</v>
      </c>
      <c r="G9862" s="21" t="n">
        <v>0</v>
      </c>
      <c r="H9862" s="21" t="n">
        <v>0</v>
      </c>
      <c r="I9862" s="21" t="n">
        <v>0</v>
      </c>
      <c r="J9862" s="21" t="n">
        <v>0</v>
      </c>
      <c r="K9862" s="21" t="n">
        <v>0</v>
      </c>
      <c r="L9862" s="21" t="n">
        <v>0</v>
      </c>
      <c r="M9862" s="21" t="n">
        <v>0</v>
      </c>
      <c r="N9862" s="21" t="n">
        <v>0</v>
      </c>
      <c r="O9862" s="21" t="n">
        <v>0</v>
      </c>
      <c r="P9862" s="21" t="n">
        <v>0</v>
      </c>
      <c r="Q9862" s="21" t="n">
        <v>0</v>
      </c>
      <c r="R9862" s="21">
        <f>-$B$8763</f>
        <v/>
      </c>
      <c r="S9862" s="21">
        <f>-$B$8764</f>
        <v/>
      </c>
      <c r="T9862" s="21">
        <f>2*$B$8763+$D$9842</f>
        <v/>
      </c>
      <c r="U9862" s="21">
        <f>0</f>
        <v/>
      </c>
      <c r="V9862" s="21">
        <f>-$B$8763</f>
        <v/>
      </c>
      <c r="W9862" s="21">
        <f>$B$8764</f>
        <v/>
      </c>
      <c r="X9862" s="21" t="n">
        <v>0</v>
      </c>
      <c r="Y9862" s="21" t="n">
        <v>0</v>
      </c>
      <c r="Z9862" s="19" t="n"/>
    </row>
    <row r="9863">
      <c r="D9863" s="21" t="n">
        <v>0</v>
      </c>
      <c r="E9863" s="21" t="n">
        <v>0</v>
      </c>
      <c r="F9863" s="21" t="n">
        <v>0</v>
      </c>
      <c r="G9863" s="21" t="n">
        <v>0</v>
      </c>
      <c r="H9863" s="21" t="n">
        <v>0</v>
      </c>
      <c r="I9863" s="21" t="n">
        <v>0</v>
      </c>
      <c r="J9863" s="21" t="n">
        <v>0</v>
      </c>
      <c r="K9863" s="21" t="n">
        <v>0</v>
      </c>
      <c r="L9863" s="21" t="n">
        <v>0</v>
      </c>
      <c r="M9863" s="21" t="n">
        <v>0</v>
      </c>
      <c r="N9863" s="21" t="n">
        <v>0</v>
      </c>
      <c r="O9863" s="21" t="n">
        <v>0</v>
      </c>
      <c r="P9863" s="21" t="n">
        <v>0</v>
      </c>
      <c r="Q9863" s="21" t="n">
        <v>0</v>
      </c>
      <c r="R9863" s="21">
        <f>$B$8764</f>
        <v/>
      </c>
      <c r="S9863" s="21">
        <f>$B$8766</f>
        <v/>
      </c>
      <c r="T9863" s="21">
        <f>0</f>
        <v/>
      </c>
      <c r="U9863" s="21">
        <f>2*$B$8765</f>
        <v/>
      </c>
      <c r="V9863" s="21">
        <f>-$B$8764</f>
        <v/>
      </c>
      <c r="W9863" s="21">
        <f>$B$8766</f>
        <v/>
      </c>
      <c r="X9863" s="21" t="n">
        <v>0</v>
      </c>
      <c r="Y9863" s="21" t="n">
        <v>0</v>
      </c>
      <c r="Z9863" s="19" t="n"/>
    </row>
    <row r="9864">
      <c r="D9864" s="21" t="n">
        <v>0</v>
      </c>
      <c r="E9864" s="21" t="n">
        <v>0</v>
      </c>
      <c r="F9864" s="21" t="n">
        <v>0</v>
      </c>
      <c r="G9864" s="21" t="n">
        <v>0</v>
      </c>
      <c r="H9864" s="21" t="n">
        <v>0</v>
      </c>
      <c r="I9864" s="21" t="n">
        <v>0</v>
      </c>
      <c r="J9864" s="21" t="n">
        <v>0</v>
      </c>
      <c r="K9864" s="21" t="n">
        <v>0</v>
      </c>
      <c r="L9864" s="21" t="n">
        <v>0</v>
      </c>
      <c r="M9864" s="21" t="n">
        <v>0</v>
      </c>
      <c r="N9864" s="21" t="n">
        <v>0</v>
      </c>
      <c r="O9864" s="21" t="n">
        <v>0</v>
      </c>
      <c r="P9864" s="21" t="n">
        <v>0</v>
      </c>
      <c r="Q9864" s="21" t="n">
        <v>0</v>
      </c>
      <c r="R9864" s="21" t="n">
        <v>0</v>
      </c>
      <c r="S9864" s="21" t="n">
        <v>0</v>
      </c>
      <c r="T9864" s="21">
        <f>-$B$8763</f>
        <v/>
      </c>
      <c r="U9864" s="21">
        <f>-$B$8764</f>
        <v/>
      </c>
      <c r="V9864" s="21">
        <f>2*$B$8763+$D$9843</f>
        <v/>
      </c>
      <c r="W9864" s="21">
        <f>0</f>
        <v/>
      </c>
      <c r="X9864" s="21">
        <f>-$B$8763</f>
        <v/>
      </c>
      <c r="Y9864" s="21">
        <f>$B$8764</f>
        <v/>
      </c>
      <c r="Z9864" s="19" t="n"/>
    </row>
    <row r="9865">
      <c r="D9865" s="21" t="n">
        <v>0</v>
      </c>
      <c r="E9865" s="21" t="n">
        <v>0</v>
      </c>
      <c r="F9865" s="21" t="n">
        <v>0</v>
      </c>
      <c r="G9865" s="21" t="n">
        <v>0</v>
      </c>
      <c r="H9865" s="21" t="n">
        <v>0</v>
      </c>
      <c r="I9865" s="21" t="n">
        <v>0</v>
      </c>
      <c r="J9865" s="21" t="n">
        <v>0</v>
      </c>
      <c r="K9865" s="21" t="n">
        <v>0</v>
      </c>
      <c r="L9865" s="21" t="n">
        <v>0</v>
      </c>
      <c r="M9865" s="21" t="n">
        <v>0</v>
      </c>
      <c r="N9865" s="21" t="n">
        <v>0</v>
      </c>
      <c r="O9865" s="21" t="n">
        <v>0</v>
      </c>
      <c r="P9865" s="21" t="n">
        <v>0</v>
      </c>
      <c r="Q9865" s="21" t="n">
        <v>0</v>
      </c>
      <c r="R9865" s="21" t="n">
        <v>0</v>
      </c>
      <c r="S9865" s="21" t="n">
        <v>0</v>
      </c>
      <c r="T9865" s="21">
        <f>$B$8764</f>
        <v/>
      </c>
      <c r="U9865" s="21">
        <f>$B$8766</f>
        <v/>
      </c>
      <c r="V9865" s="21">
        <f>0</f>
        <v/>
      </c>
      <c r="W9865" s="21">
        <f>2*$B$8765</f>
        <v/>
      </c>
      <c r="X9865" s="21">
        <f>-$B$8764</f>
        <v/>
      </c>
      <c r="Y9865" s="21">
        <f>$B$8766</f>
        <v/>
      </c>
      <c r="Z9865" s="19" t="n"/>
    </row>
    <row r="9866">
      <c r="D9866" s="21" t="n">
        <v>0</v>
      </c>
      <c r="E9866" s="21" t="n">
        <v>0</v>
      </c>
      <c r="F9866" s="21" t="n">
        <v>0</v>
      </c>
      <c r="G9866" s="21" t="n">
        <v>0</v>
      </c>
      <c r="H9866" s="21" t="n">
        <v>0</v>
      </c>
      <c r="I9866" s="21" t="n">
        <v>0</v>
      </c>
      <c r="J9866" s="21" t="n">
        <v>0</v>
      </c>
      <c r="K9866" s="21" t="n">
        <v>0</v>
      </c>
      <c r="L9866" s="21" t="n">
        <v>0</v>
      </c>
      <c r="M9866" s="21" t="n">
        <v>0</v>
      </c>
      <c r="N9866" s="21" t="n">
        <v>0</v>
      </c>
      <c r="O9866" s="21" t="n">
        <v>0</v>
      </c>
      <c r="P9866" s="21" t="n">
        <v>0</v>
      </c>
      <c r="Q9866" s="21" t="n">
        <v>0</v>
      </c>
      <c r="R9866" s="21" t="n">
        <v>0</v>
      </c>
      <c r="S9866" s="21" t="n">
        <v>0</v>
      </c>
      <c r="T9866" s="21" t="n">
        <v>0</v>
      </c>
      <c r="U9866" s="21" t="n">
        <v>0</v>
      </c>
      <c r="V9866" s="21">
        <f>-$B$8763</f>
        <v/>
      </c>
      <c r="W9866" s="21">
        <f>-$B$8764</f>
        <v/>
      </c>
      <c r="X9866" s="21">
        <f>$B$8763+$D$9844</f>
        <v/>
      </c>
      <c r="Y9866" s="21">
        <f>-$B$8764</f>
        <v/>
      </c>
      <c r="Z9866" s="19" t="n"/>
    </row>
    <row r="9867">
      <c r="D9867" s="21" t="n">
        <v>0</v>
      </c>
      <c r="E9867" s="21" t="n">
        <v>0</v>
      </c>
      <c r="F9867" s="21" t="n">
        <v>0</v>
      </c>
      <c r="G9867" s="21" t="n">
        <v>0</v>
      </c>
      <c r="H9867" s="21" t="n">
        <v>0</v>
      </c>
      <c r="I9867" s="21" t="n">
        <v>0</v>
      </c>
      <c r="J9867" s="21" t="n">
        <v>0</v>
      </c>
      <c r="K9867" s="21" t="n">
        <v>0</v>
      </c>
      <c r="L9867" s="21" t="n">
        <v>0</v>
      </c>
      <c r="M9867" s="21" t="n">
        <v>0</v>
      </c>
      <c r="N9867" s="21" t="n">
        <v>0</v>
      </c>
      <c r="O9867" s="21" t="n">
        <v>0</v>
      </c>
      <c r="P9867" s="21" t="n">
        <v>0</v>
      </c>
      <c r="Q9867" s="21" t="n">
        <v>0</v>
      </c>
      <c r="R9867" s="21" t="n">
        <v>0</v>
      </c>
      <c r="S9867" s="21" t="n">
        <v>0</v>
      </c>
      <c r="T9867" s="21" t="n">
        <v>0</v>
      </c>
      <c r="U9867" s="21" t="n">
        <v>0</v>
      </c>
      <c r="V9867" s="21">
        <f>$B$8764</f>
        <v/>
      </c>
      <c r="W9867" s="21">
        <f>$B$8766</f>
        <v/>
      </c>
      <c r="X9867" s="21">
        <f>-$B$8764</f>
        <v/>
      </c>
      <c r="Y9867" s="21">
        <f>$B$8765</f>
        <v/>
      </c>
      <c r="Z9867" s="19" t="n"/>
    </row>
    <row r="9869">
      <c r="A9869" s="8" t="inlineStr">
        <is>
          <t>gen 30</t>
        </is>
      </c>
    </row>
    <row r="9870">
      <c r="D9870" s="19">
        <f>IF(ABS(IF(ABS($E$9834)&gt;0.000000001,$E$9834,0.000000001))=0,0,IF($E$8778&lt;=$B$8772,0,IF(ABS(IF(ABS($E$9834)&gt;0.000000001,$E$9834,0.000000001))&gt;=8*$B$8774,$H$8778,0.5*$H$8778*(ABS(IF(ABS($E$9834)&gt;0.000000001,$E$9834,0.000000001))/$B$8774)^(1/3)))/ABS(IF(ABS($E$9834)&gt;0.000000001,$E$9834,0.000000001))*$I$8778)</f>
        <v/>
      </c>
      <c r="E9870" s="19">
        <f>0.5*$E$9834+0.5*$Z$9882</f>
        <v/>
      </c>
      <c r="F9870" s="19">
        <f>$Z$9883</f>
        <v/>
      </c>
    </row>
    <row r="9871">
      <c r="D9871" s="19">
        <f>IF(ABS(IF(ABS($E$9835)&gt;0.000000001,$E$9835,0.000000001))=0,0,IF($E$8779&lt;=$B$8772,0,IF(ABS(IF(ABS($E$9835)&gt;0.000000001,$E$9835,0.000000001))&gt;=8*$B$8774,$H$8779,0.5*$H$8779*(ABS(IF(ABS($E$9835)&gt;0.000000001,$E$9835,0.000000001))/$B$8774)^(1/3)))/ABS(IF(ABS($E$9835)&gt;0.000000001,$E$9835,0.000000001))*$I$8779)</f>
        <v/>
      </c>
      <c r="E9871" s="19">
        <f>0.5*$E$9835+0.5*$Z$9884</f>
        <v/>
      </c>
      <c r="F9871" s="19">
        <f>$Z$9885</f>
        <v/>
      </c>
    </row>
    <row r="9872">
      <c r="D9872" s="19">
        <f>IF(ABS(IF(ABS($E$9836)&gt;0.000000001,$E$9836,0.000000001))=0,0,IF($E$8780&lt;=$B$8772,0,IF(ABS(IF(ABS($E$9836)&gt;0.000000001,$E$9836,0.000000001))&gt;=8*$B$8774,$H$8780,0.5*$H$8780*(ABS(IF(ABS($E$9836)&gt;0.000000001,$E$9836,0.000000001))/$B$8774)^(1/3)))/ABS(IF(ABS($E$9836)&gt;0.000000001,$E$9836,0.000000001))*$I$8780)</f>
        <v/>
      </c>
      <c r="E9872" s="19">
        <f>0.5*$E$9836+0.5*$Z$9886</f>
        <v/>
      </c>
      <c r="F9872" s="19">
        <f>$Z$9887</f>
        <v/>
      </c>
    </row>
    <row r="9873">
      <c r="D9873" s="19">
        <f>IF(ABS(IF(ABS($E$9837)&gt;0.000000001,$E$9837,0.000000001))=0,0,IF($E$8781&lt;=$B$8772,0,IF(ABS(IF(ABS($E$9837)&gt;0.000000001,$E$9837,0.000000001))&gt;=8*$B$8774,$H$8781,0.5*$H$8781*(ABS(IF(ABS($E$9837)&gt;0.000000001,$E$9837,0.000000001))/$B$8774)^(1/3)))/ABS(IF(ABS($E$9837)&gt;0.000000001,$E$9837,0.000000001))*$I$8781)</f>
        <v/>
      </c>
      <c r="E9873" s="19">
        <f>0.5*$E$9837+0.5*$Z$9888</f>
        <v/>
      </c>
      <c r="F9873" s="19">
        <f>$Z$9889</f>
        <v/>
      </c>
    </row>
    <row r="9874">
      <c r="D9874" s="19">
        <f>IF(ABS(IF(ABS($E$9838)&gt;0.000000001,$E$9838,0.000000001))=0,0,IF($E$8782&lt;=$B$8772,0,IF(ABS(IF(ABS($E$9838)&gt;0.000000001,$E$9838,0.000000001))&gt;=8*$B$8774,$H$8782,0.5*$H$8782*(ABS(IF(ABS($E$9838)&gt;0.000000001,$E$9838,0.000000001))/$B$8774)^(1/3)))/ABS(IF(ABS($E$9838)&gt;0.000000001,$E$9838,0.000000001))*$I$8782)</f>
        <v/>
      </c>
      <c r="E9874" s="19">
        <f>0.5*$E$9838+0.5*$Z$9890</f>
        <v/>
      </c>
      <c r="F9874" s="19">
        <f>$Z$9891</f>
        <v/>
      </c>
    </row>
    <row r="9875">
      <c r="D9875" s="19">
        <f>IF(ABS(IF(ABS($E$9839)&gt;0.000000001,$E$9839,0.000000001))=0,0,IF($E$8783&lt;=$B$8772,0,IF(ABS(IF(ABS($E$9839)&gt;0.000000001,$E$9839,0.000000001))&gt;=8*$B$8774,$H$8783,0.5*$H$8783*(ABS(IF(ABS($E$9839)&gt;0.000000001,$E$9839,0.000000001))/$B$8774)^(1/3)))/ABS(IF(ABS($E$9839)&gt;0.000000001,$E$9839,0.000000001))*$I$8783)</f>
        <v/>
      </c>
      <c r="E9875" s="19">
        <f>0.5*$E$9839+0.5*$Z$9892</f>
        <v/>
      </c>
      <c r="F9875" s="19">
        <f>$Z$9893</f>
        <v/>
      </c>
    </row>
    <row r="9876">
      <c r="D9876" s="19">
        <f>IF(ABS(IF(ABS($E$9840)&gt;0.000000001,$E$9840,0.000000001))=0,0,IF($E$8784&lt;=$B$8772,0,IF(ABS(IF(ABS($E$9840)&gt;0.000000001,$E$9840,0.000000001))&gt;=8*$B$8774,$H$8784,0.5*$H$8784*(ABS(IF(ABS($E$9840)&gt;0.000000001,$E$9840,0.000000001))/$B$8774)^(1/3)))/ABS(IF(ABS($E$9840)&gt;0.000000001,$E$9840,0.000000001))*$I$8784)</f>
        <v/>
      </c>
      <c r="E9876" s="19">
        <f>0.5*$E$9840+0.5*$Z$9894</f>
        <v/>
      </c>
      <c r="F9876" s="19">
        <f>$Z$9895</f>
        <v/>
      </c>
    </row>
    <row r="9877">
      <c r="D9877" s="19">
        <f>IF(ABS(IF(ABS($E$9841)&gt;0.000000001,$E$9841,0.000000001))=0,0,IF($E$8785&lt;=$B$8772,0,IF(ABS(IF(ABS($E$9841)&gt;0.000000001,$E$9841,0.000000001))&gt;=8*$B$8774,$H$8785,0.5*$H$8785*(ABS(IF(ABS($E$9841)&gt;0.000000001,$E$9841,0.000000001))/$B$8774)^(1/3)))/ABS(IF(ABS($E$9841)&gt;0.000000001,$E$9841,0.000000001))*$I$8785)</f>
        <v/>
      </c>
      <c r="E9877" s="19">
        <f>0.5*$E$9841+0.5*$Z$9896</f>
        <v/>
      </c>
      <c r="F9877" s="19">
        <f>$Z$9897</f>
        <v/>
      </c>
    </row>
    <row r="9878">
      <c r="D9878" s="19">
        <f>IF(ABS(IF(ABS($E$9842)&gt;0.000000001,$E$9842,0.000000001))=0,0,IF($E$8786&lt;=$B$8772,0,IF(ABS(IF(ABS($E$9842)&gt;0.000000001,$E$9842,0.000000001))&gt;=8*$B$8774,$H$8786,0.5*$H$8786*(ABS(IF(ABS($E$9842)&gt;0.000000001,$E$9842,0.000000001))/$B$8774)^(1/3)))/ABS(IF(ABS($E$9842)&gt;0.000000001,$E$9842,0.000000001))*$I$8786)</f>
        <v/>
      </c>
      <c r="E9878" s="19">
        <f>0.5*$E$9842+0.5*$Z$9898</f>
        <v/>
      </c>
      <c r="F9878" s="19">
        <f>$Z$9899</f>
        <v/>
      </c>
    </row>
    <row r="9879">
      <c r="D9879" s="19">
        <f>IF(ABS(IF(ABS($E$9843)&gt;0.000000001,$E$9843,0.000000001))=0,0,IF($E$8787&lt;=$B$8772,0,IF(ABS(IF(ABS($E$9843)&gt;0.000000001,$E$9843,0.000000001))&gt;=8*$B$8774,$H$8787,0.5*$H$8787*(ABS(IF(ABS($E$9843)&gt;0.000000001,$E$9843,0.000000001))/$B$8774)^(1/3)))/ABS(IF(ABS($E$9843)&gt;0.000000001,$E$9843,0.000000001))*$I$8787)</f>
        <v/>
      </c>
      <c r="E9879" s="19">
        <f>0.5*$E$9843+0.5*$Z$9900</f>
        <v/>
      </c>
      <c r="F9879" s="19">
        <f>$Z$9901</f>
        <v/>
      </c>
    </row>
    <row r="9880">
      <c r="D9880" s="19">
        <f>IF(ABS(IF(ABS($E$9844)&gt;0.000000001,$E$9844,0.000000001))=0,0,IF($E$8788&lt;=$B$8772,0,IF(ABS(IF(ABS($E$9844)&gt;0.000000001,$E$9844,0.000000001))&gt;=8*$B$8774,$H$8788,0.5*$H$8788*(ABS(IF(ABS($E$9844)&gt;0.000000001,$E$9844,0.000000001))/$B$8774)^(1/3)))/ABS(IF(ABS($E$9844)&gt;0.000000001,$E$9844,0.000000001))*$I$8788)</f>
        <v/>
      </c>
      <c r="E9880" s="19">
        <f>0.5*$E$9844+0.5*$Z$9902</f>
        <v/>
      </c>
      <c r="F9880" s="19">
        <f>$Z$9903</f>
        <v/>
      </c>
    </row>
    <row r="9882">
      <c r="D9882" s="21">
        <f>$B$8763+$D$9870</f>
        <v/>
      </c>
      <c r="E9882" s="21">
        <f>$B$8764</f>
        <v/>
      </c>
      <c r="F9882" s="21">
        <f>-$B$8763</f>
        <v/>
      </c>
      <c r="G9882" s="21">
        <f>$B$8764</f>
        <v/>
      </c>
      <c r="H9882" s="21" t="n">
        <v>0</v>
      </c>
      <c r="I9882" s="21" t="n">
        <v>0</v>
      </c>
      <c r="J9882" s="21" t="n">
        <v>0</v>
      </c>
      <c r="K9882" s="21" t="n">
        <v>0</v>
      </c>
      <c r="L9882" s="21" t="n">
        <v>0</v>
      </c>
      <c r="M9882" s="21" t="n">
        <v>0</v>
      </c>
      <c r="N9882" s="21" t="n">
        <v>0</v>
      </c>
      <c r="O9882" s="21" t="n">
        <v>0</v>
      </c>
      <c r="P9882" s="21" t="n">
        <v>0</v>
      </c>
      <c r="Q9882" s="21" t="n">
        <v>0</v>
      </c>
      <c r="R9882" s="21" t="n">
        <v>0</v>
      </c>
      <c r="S9882" s="21" t="n">
        <v>0</v>
      </c>
      <c r="T9882" s="21" t="n">
        <v>0</v>
      </c>
      <c r="U9882" s="21" t="n">
        <v>0</v>
      </c>
      <c r="V9882" s="21" t="n">
        <v>0</v>
      </c>
      <c r="W9882" s="21" t="n">
        <v>0</v>
      </c>
      <c r="X9882" s="21" t="n">
        <v>0</v>
      </c>
      <c r="Y9882" s="21" t="n">
        <v>0</v>
      </c>
      <c r="Z9882" s="19">
        <f t="array" ref="Z9882:Z9903">MMULT(MINVERSE($D$9882:$Y$9903),$D$8790:$D$8811)</f>
        <v/>
      </c>
    </row>
    <row r="9883">
      <c r="D9883" s="21">
        <f>$B$8764</f>
        <v/>
      </c>
      <c r="E9883" s="21">
        <f>$B$8765</f>
        <v/>
      </c>
      <c r="F9883" s="21">
        <f>-$B$8764</f>
        <v/>
      </c>
      <c r="G9883" s="21">
        <f>$B$8766</f>
        <v/>
      </c>
      <c r="H9883" s="21" t="n">
        <v>0</v>
      </c>
      <c r="I9883" s="21" t="n">
        <v>0</v>
      </c>
      <c r="J9883" s="21" t="n">
        <v>0</v>
      </c>
      <c r="K9883" s="21" t="n">
        <v>0</v>
      </c>
      <c r="L9883" s="21" t="n">
        <v>0</v>
      </c>
      <c r="M9883" s="21" t="n">
        <v>0</v>
      </c>
      <c r="N9883" s="21" t="n">
        <v>0</v>
      </c>
      <c r="O9883" s="21" t="n">
        <v>0</v>
      </c>
      <c r="P9883" s="21" t="n">
        <v>0</v>
      </c>
      <c r="Q9883" s="21" t="n">
        <v>0</v>
      </c>
      <c r="R9883" s="21" t="n">
        <v>0</v>
      </c>
      <c r="S9883" s="21" t="n">
        <v>0</v>
      </c>
      <c r="T9883" s="21" t="n">
        <v>0</v>
      </c>
      <c r="U9883" s="21" t="n">
        <v>0</v>
      </c>
      <c r="V9883" s="21" t="n">
        <v>0</v>
      </c>
      <c r="W9883" s="21" t="n">
        <v>0</v>
      </c>
      <c r="X9883" s="21" t="n">
        <v>0</v>
      </c>
      <c r="Y9883" s="21" t="n">
        <v>0</v>
      </c>
      <c r="Z9883" s="19" t="n"/>
    </row>
    <row r="9884">
      <c r="D9884" s="21">
        <f>-$B$8763</f>
        <v/>
      </c>
      <c r="E9884" s="21">
        <f>-$B$8764</f>
        <v/>
      </c>
      <c r="F9884" s="21">
        <f>2*$B$8763+$D$9871</f>
        <v/>
      </c>
      <c r="G9884" s="21">
        <f>0</f>
        <v/>
      </c>
      <c r="H9884" s="21">
        <f>-$B$8763</f>
        <v/>
      </c>
      <c r="I9884" s="21">
        <f>$B$8764</f>
        <v/>
      </c>
      <c r="J9884" s="21" t="n">
        <v>0</v>
      </c>
      <c r="K9884" s="21" t="n">
        <v>0</v>
      </c>
      <c r="L9884" s="21" t="n">
        <v>0</v>
      </c>
      <c r="M9884" s="21" t="n">
        <v>0</v>
      </c>
      <c r="N9884" s="21" t="n">
        <v>0</v>
      </c>
      <c r="O9884" s="21" t="n">
        <v>0</v>
      </c>
      <c r="P9884" s="21" t="n">
        <v>0</v>
      </c>
      <c r="Q9884" s="21" t="n">
        <v>0</v>
      </c>
      <c r="R9884" s="21" t="n">
        <v>0</v>
      </c>
      <c r="S9884" s="21" t="n">
        <v>0</v>
      </c>
      <c r="T9884" s="21" t="n">
        <v>0</v>
      </c>
      <c r="U9884" s="21" t="n">
        <v>0</v>
      </c>
      <c r="V9884" s="21" t="n">
        <v>0</v>
      </c>
      <c r="W9884" s="21" t="n">
        <v>0</v>
      </c>
      <c r="X9884" s="21" t="n">
        <v>0</v>
      </c>
      <c r="Y9884" s="21" t="n">
        <v>0</v>
      </c>
      <c r="Z9884" s="19" t="n"/>
    </row>
    <row r="9885">
      <c r="D9885" s="21">
        <f>$B$8764</f>
        <v/>
      </c>
      <c r="E9885" s="21">
        <f>$B$8766</f>
        <v/>
      </c>
      <c r="F9885" s="21">
        <f>0</f>
        <v/>
      </c>
      <c r="G9885" s="21">
        <f>2*$B$8765</f>
        <v/>
      </c>
      <c r="H9885" s="21">
        <f>-$B$8764</f>
        <v/>
      </c>
      <c r="I9885" s="21">
        <f>$B$8766</f>
        <v/>
      </c>
      <c r="J9885" s="21" t="n">
        <v>0</v>
      </c>
      <c r="K9885" s="21" t="n">
        <v>0</v>
      </c>
      <c r="L9885" s="21" t="n">
        <v>0</v>
      </c>
      <c r="M9885" s="21" t="n">
        <v>0</v>
      </c>
      <c r="N9885" s="21" t="n">
        <v>0</v>
      </c>
      <c r="O9885" s="21" t="n">
        <v>0</v>
      </c>
      <c r="P9885" s="21" t="n">
        <v>0</v>
      </c>
      <c r="Q9885" s="21" t="n">
        <v>0</v>
      </c>
      <c r="R9885" s="21" t="n">
        <v>0</v>
      </c>
      <c r="S9885" s="21" t="n">
        <v>0</v>
      </c>
      <c r="T9885" s="21" t="n">
        <v>0</v>
      </c>
      <c r="U9885" s="21" t="n">
        <v>0</v>
      </c>
      <c r="V9885" s="21" t="n">
        <v>0</v>
      </c>
      <c r="W9885" s="21" t="n">
        <v>0</v>
      </c>
      <c r="X9885" s="21" t="n">
        <v>0</v>
      </c>
      <c r="Y9885" s="21" t="n">
        <v>0</v>
      </c>
      <c r="Z9885" s="19" t="n"/>
    </row>
    <row r="9886">
      <c r="D9886" s="21" t="n">
        <v>0</v>
      </c>
      <c r="E9886" s="21" t="n">
        <v>0</v>
      </c>
      <c r="F9886" s="21">
        <f>-$B$8763</f>
        <v/>
      </c>
      <c r="G9886" s="21">
        <f>-$B$8764</f>
        <v/>
      </c>
      <c r="H9886" s="21">
        <f>2*$B$8763+$D$9872</f>
        <v/>
      </c>
      <c r="I9886" s="21">
        <f>0</f>
        <v/>
      </c>
      <c r="J9886" s="21">
        <f>-$B$8763</f>
        <v/>
      </c>
      <c r="K9886" s="21">
        <f>$B$8764</f>
        <v/>
      </c>
      <c r="L9886" s="21" t="n">
        <v>0</v>
      </c>
      <c r="M9886" s="21" t="n">
        <v>0</v>
      </c>
      <c r="N9886" s="21" t="n">
        <v>0</v>
      </c>
      <c r="O9886" s="21" t="n">
        <v>0</v>
      </c>
      <c r="P9886" s="21" t="n">
        <v>0</v>
      </c>
      <c r="Q9886" s="21" t="n">
        <v>0</v>
      </c>
      <c r="R9886" s="21" t="n">
        <v>0</v>
      </c>
      <c r="S9886" s="21" t="n">
        <v>0</v>
      </c>
      <c r="T9886" s="21" t="n">
        <v>0</v>
      </c>
      <c r="U9886" s="21" t="n">
        <v>0</v>
      </c>
      <c r="V9886" s="21" t="n">
        <v>0</v>
      </c>
      <c r="W9886" s="21" t="n">
        <v>0</v>
      </c>
      <c r="X9886" s="21" t="n">
        <v>0</v>
      </c>
      <c r="Y9886" s="21" t="n">
        <v>0</v>
      </c>
      <c r="Z9886" s="19" t="n"/>
    </row>
    <row r="9887">
      <c r="D9887" s="21" t="n">
        <v>0</v>
      </c>
      <c r="E9887" s="21" t="n">
        <v>0</v>
      </c>
      <c r="F9887" s="21">
        <f>$B$8764</f>
        <v/>
      </c>
      <c r="G9887" s="21">
        <f>$B$8766</f>
        <v/>
      </c>
      <c r="H9887" s="21">
        <f>0</f>
        <v/>
      </c>
      <c r="I9887" s="21">
        <f>2*$B$8765</f>
        <v/>
      </c>
      <c r="J9887" s="21">
        <f>-$B$8764</f>
        <v/>
      </c>
      <c r="K9887" s="21">
        <f>$B$8766</f>
        <v/>
      </c>
      <c r="L9887" s="21" t="n">
        <v>0</v>
      </c>
      <c r="M9887" s="21" t="n">
        <v>0</v>
      </c>
      <c r="N9887" s="21" t="n">
        <v>0</v>
      </c>
      <c r="O9887" s="21" t="n">
        <v>0</v>
      </c>
      <c r="P9887" s="21" t="n">
        <v>0</v>
      </c>
      <c r="Q9887" s="21" t="n">
        <v>0</v>
      </c>
      <c r="R9887" s="21" t="n">
        <v>0</v>
      </c>
      <c r="S9887" s="21" t="n">
        <v>0</v>
      </c>
      <c r="T9887" s="21" t="n">
        <v>0</v>
      </c>
      <c r="U9887" s="21" t="n">
        <v>0</v>
      </c>
      <c r="V9887" s="21" t="n">
        <v>0</v>
      </c>
      <c r="W9887" s="21" t="n">
        <v>0</v>
      </c>
      <c r="X9887" s="21" t="n">
        <v>0</v>
      </c>
      <c r="Y9887" s="21" t="n">
        <v>0</v>
      </c>
      <c r="Z9887" s="19" t="n"/>
    </row>
    <row r="9888">
      <c r="D9888" s="21" t="n">
        <v>0</v>
      </c>
      <c r="E9888" s="21" t="n">
        <v>0</v>
      </c>
      <c r="F9888" s="21" t="n">
        <v>0</v>
      </c>
      <c r="G9888" s="21" t="n">
        <v>0</v>
      </c>
      <c r="H9888" s="21">
        <f>-$B$8763</f>
        <v/>
      </c>
      <c r="I9888" s="21">
        <f>-$B$8764</f>
        <v/>
      </c>
      <c r="J9888" s="21">
        <f>2*$B$8763+$D$9873</f>
        <v/>
      </c>
      <c r="K9888" s="21">
        <f>0</f>
        <v/>
      </c>
      <c r="L9888" s="21">
        <f>-$B$8763</f>
        <v/>
      </c>
      <c r="M9888" s="21">
        <f>$B$8764</f>
        <v/>
      </c>
      <c r="N9888" s="21" t="n">
        <v>0</v>
      </c>
      <c r="O9888" s="21" t="n">
        <v>0</v>
      </c>
      <c r="P9888" s="21" t="n">
        <v>0</v>
      </c>
      <c r="Q9888" s="21" t="n">
        <v>0</v>
      </c>
      <c r="R9888" s="21" t="n">
        <v>0</v>
      </c>
      <c r="S9888" s="21" t="n">
        <v>0</v>
      </c>
      <c r="T9888" s="21" t="n">
        <v>0</v>
      </c>
      <c r="U9888" s="21" t="n">
        <v>0</v>
      </c>
      <c r="V9888" s="21" t="n">
        <v>0</v>
      </c>
      <c r="W9888" s="21" t="n">
        <v>0</v>
      </c>
      <c r="X9888" s="21" t="n">
        <v>0</v>
      </c>
      <c r="Y9888" s="21" t="n">
        <v>0</v>
      </c>
      <c r="Z9888" s="19" t="n"/>
    </row>
    <row r="9889">
      <c r="D9889" s="21" t="n">
        <v>0</v>
      </c>
      <c r="E9889" s="21" t="n">
        <v>0</v>
      </c>
      <c r="F9889" s="21" t="n">
        <v>0</v>
      </c>
      <c r="G9889" s="21" t="n">
        <v>0</v>
      </c>
      <c r="H9889" s="21">
        <f>$B$8764</f>
        <v/>
      </c>
      <c r="I9889" s="21">
        <f>$B$8766</f>
        <v/>
      </c>
      <c r="J9889" s="21">
        <f>0</f>
        <v/>
      </c>
      <c r="K9889" s="21">
        <f>2*$B$8765</f>
        <v/>
      </c>
      <c r="L9889" s="21">
        <f>-$B$8764</f>
        <v/>
      </c>
      <c r="M9889" s="21">
        <f>$B$8766</f>
        <v/>
      </c>
      <c r="N9889" s="21" t="n">
        <v>0</v>
      </c>
      <c r="O9889" s="21" t="n">
        <v>0</v>
      </c>
      <c r="P9889" s="21" t="n">
        <v>0</v>
      </c>
      <c r="Q9889" s="21" t="n">
        <v>0</v>
      </c>
      <c r="R9889" s="21" t="n">
        <v>0</v>
      </c>
      <c r="S9889" s="21" t="n">
        <v>0</v>
      </c>
      <c r="T9889" s="21" t="n">
        <v>0</v>
      </c>
      <c r="U9889" s="21" t="n">
        <v>0</v>
      </c>
      <c r="V9889" s="21" t="n">
        <v>0</v>
      </c>
      <c r="W9889" s="21" t="n">
        <v>0</v>
      </c>
      <c r="X9889" s="21" t="n">
        <v>0</v>
      </c>
      <c r="Y9889" s="21" t="n">
        <v>0</v>
      </c>
      <c r="Z9889" s="19" t="n"/>
    </row>
    <row r="9890">
      <c r="D9890" s="21" t="n">
        <v>0</v>
      </c>
      <c r="E9890" s="21" t="n">
        <v>0</v>
      </c>
      <c r="F9890" s="21" t="n">
        <v>0</v>
      </c>
      <c r="G9890" s="21" t="n">
        <v>0</v>
      </c>
      <c r="H9890" s="21" t="n">
        <v>0</v>
      </c>
      <c r="I9890" s="21" t="n">
        <v>0</v>
      </c>
      <c r="J9890" s="21">
        <f>-$B$8763</f>
        <v/>
      </c>
      <c r="K9890" s="21">
        <f>-$B$8764</f>
        <v/>
      </c>
      <c r="L9890" s="21">
        <f>2*$B$8763+$D$9874</f>
        <v/>
      </c>
      <c r="M9890" s="21">
        <f>0</f>
        <v/>
      </c>
      <c r="N9890" s="21">
        <f>-$B$8763</f>
        <v/>
      </c>
      <c r="O9890" s="21">
        <f>$B$8764</f>
        <v/>
      </c>
      <c r="P9890" s="21" t="n">
        <v>0</v>
      </c>
      <c r="Q9890" s="21" t="n">
        <v>0</v>
      </c>
      <c r="R9890" s="21" t="n">
        <v>0</v>
      </c>
      <c r="S9890" s="21" t="n">
        <v>0</v>
      </c>
      <c r="T9890" s="21" t="n">
        <v>0</v>
      </c>
      <c r="U9890" s="21" t="n">
        <v>0</v>
      </c>
      <c r="V9890" s="21" t="n">
        <v>0</v>
      </c>
      <c r="W9890" s="21" t="n">
        <v>0</v>
      </c>
      <c r="X9890" s="21" t="n">
        <v>0</v>
      </c>
      <c r="Y9890" s="21" t="n">
        <v>0</v>
      </c>
      <c r="Z9890" s="19" t="n"/>
    </row>
    <row r="9891">
      <c r="D9891" s="21" t="n">
        <v>0</v>
      </c>
      <c r="E9891" s="21" t="n">
        <v>0</v>
      </c>
      <c r="F9891" s="21" t="n">
        <v>0</v>
      </c>
      <c r="G9891" s="21" t="n">
        <v>0</v>
      </c>
      <c r="H9891" s="21" t="n">
        <v>0</v>
      </c>
      <c r="I9891" s="21" t="n">
        <v>0</v>
      </c>
      <c r="J9891" s="21">
        <f>$B$8764</f>
        <v/>
      </c>
      <c r="K9891" s="21">
        <f>$B$8766</f>
        <v/>
      </c>
      <c r="L9891" s="21">
        <f>0</f>
        <v/>
      </c>
      <c r="M9891" s="21">
        <f>2*$B$8765</f>
        <v/>
      </c>
      <c r="N9891" s="21">
        <f>-$B$8764</f>
        <v/>
      </c>
      <c r="O9891" s="21">
        <f>$B$8766</f>
        <v/>
      </c>
      <c r="P9891" s="21" t="n">
        <v>0</v>
      </c>
      <c r="Q9891" s="21" t="n">
        <v>0</v>
      </c>
      <c r="R9891" s="21" t="n">
        <v>0</v>
      </c>
      <c r="S9891" s="21" t="n">
        <v>0</v>
      </c>
      <c r="T9891" s="21" t="n">
        <v>0</v>
      </c>
      <c r="U9891" s="21" t="n">
        <v>0</v>
      </c>
      <c r="V9891" s="21" t="n">
        <v>0</v>
      </c>
      <c r="W9891" s="21" t="n">
        <v>0</v>
      </c>
      <c r="X9891" s="21" t="n">
        <v>0</v>
      </c>
      <c r="Y9891" s="21" t="n">
        <v>0</v>
      </c>
      <c r="Z9891" s="19" t="n"/>
    </row>
    <row r="9892">
      <c r="D9892" s="21" t="n">
        <v>0</v>
      </c>
      <c r="E9892" s="21" t="n">
        <v>0</v>
      </c>
      <c r="F9892" s="21" t="n">
        <v>0</v>
      </c>
      <c r="G9892" s="21" t="n">
        <v>0</v>
      </c>
      <c r="H9892" s="21" t="n">
        <v>0</v>
      </c>
      <c r="I9892" s="21" t="n">
        <v>0</v>
      </c>
      <c r="J9892" s="21" t="n">
        <v>0</v>
      </c>
      <c r="K9892" s="21" t="n">
        <v>0</v>
      </c>
      <c r="L9892" s="21">
        <f>-$B$8763</f>
        <v/>
      </c>
      <c r="M9892" s="21">
        <f>-$B$8764</f>
        <v/>
      </c>
      <c r="N9892" s="21">
        <f>2*$B$8763+$D$9875</f>
        <v/>
      </c>
      <c r="O9892" s="21">
        <f>0</f>
        <v/>
      </c>
      <c r="P9892" s="21">
        <f>-$B$8763</f>
        <v/>
      </c>
      <c r="Q9892" s="21">
        <f>$B$8764</f>
        <v/>
      </c>
      <c r="R9892" s="21" t="n">
        <v>0</v>
      </c>
      <c r="S9892" s="21" t="n">
        <v>0</v>
      </c>
      <c r="T9892" s="21" t="n">
        <v>0</v>
      </c>
      <c r="U9892" s="21" t="n">
        <v>0</v>
      </c>
      <c r="V9892" s="21" t="n">
        <v>0</v>
      </c>
      <c r="W9892" s="21" t="n">
        <v>0</v>
      </c>
      <c r="X9892" s="21" t="n">
        <v>0</v>
      </c>
      <c r="Y9892" s="21" t="n">
        <v>0</v>
      </c>
      <c r="Z9892" s="19" t="n"/>
    </row>
    <row r="9893">
      <c r="D9893" s="21" t="n">
        <v>0</v>
      </c>
      <c r="E9893" s="21" t="n">
        <v>0</v>
      </c>
      <c r="F9893" s="21" t="n">
        <v>0</v>
      </c>
      <c r="G9893" s="21" t="n">
        <v>0</v>
      </c>
      <c r="H9893" s="21" t="n">
        <v>0</v>
      </c>
      <c r="I9893" s="21" t="n">
        <v>0</v>
      </c>
      <c r="J9893" s="21" t="n">
        <v>0</v>
      </c>
      <c r="K9893" s="21" t="n">
        <v>0</v>
      </c>
      <c r="L9893" s="21">
        <f>$B$8764</f>
        <v/>
      </c>
      <c r="M9893" s="21">
        <f>$B$8766</f>
        <v/>
      </c>
      <c r="N9893" s="21">
        <f>0</f>
        <v/>
      </c>
      <c r="O9893" s="21">
        <f>2*$B$8765</f>
        <v/>
      </c>
      <c r="P9893" s="21">
        <f>-$B$8764</f>
        <v/>
      </c>
      <c r="Q9893" s="21">
        <f>$B$8766</f>
        <v/>
      </c>
      <c r="R9893" s="21" t="n">
        <v>0</v>
      </c>
      <c r="S9893" s="21" t="n">
        <v>0</v>
      </c>
      <c r="T9893" s="21" t="n">
        <v>0</v>
      </c>
      <c r="U9893" s="21" t="n">
        <v>0</v>
      </c>
      <c r="V9893" s="21" t="n">
        <v>0</v>
      </c>
      <c r="W9893" s="21" t="n">
        <v>0</v>
      </c>
      <c r="X9893" s="21" t="n">
        <v>0</v>
      </c>
      <c r="Y9893" s="21" t="n">
        <v>0</v>
      </c>
      <c r="Z9893" s="19" t="n"/>
    </row>
    <row r="9894">
      <c r="D9894" s="21" t="n">
        <v>0</v>
      </c>
      <c r="E9894" s="21" t="n">
        <v>0</v>
      </c>
      <c r="F9894" s="21" t="n">
        <v>0</v>
      </c>
      <c r="G9894" s="21" t="n">
        <v>0</v>
      </c>
      <c r="H9894" s="21" t="n">
        <v>0</v>
      </c>
      <c r="I9894" s="21" t="n">
        <v>0</v>
      </c>
      <c r="J9894" s="21" t="n">
        <v>0</v>
      </c>
      <c r="K9894" s="21" t="n">
        <v>0</v>
      </c>
      <c r="L9894" s="21" t="n">
        <v>0</v>
      </c>
      <c r="M9894" s="21" t="n">
        <v>0</v>
      </c>
      <c r="N9894" s="21">
        <f>-$B$8763</f>
        <v/>
      </c>
      <c r="O9894" s="21">
        <f>-$B$8764</f>
        <v/>
      </c>
      <c r="P9894" s="21">
        <f>2*$B$8763+$D$9876</f>
        <v/>
      </c>
      <c r="Q9894" s="21">
        <f>0</f>
        <v/>
      </c>
      <c r="R9894" s="21">
        <f>-$B$8763</f>
        <v/>
      </c>
      <c r="S9894" s="21">
        <f>$B$8764</f>
        <v/>
      </c>
      <c r="T9894" s="21" t="n">
        <v>0</v>
      </c>
      <c r="U9894" s="21" t="n">
        <v>0</v>
      </c>
      <c r="V9894" s="21" t="n">
        <v>0</v>
      </c>
      <c r="W9894" s="21" t="n">
        <v>0</v>
      </c>
      <c r="X9894" s="21" t="n">
        <v>0</v>
      </c>
      <c r="Y9894" s="21" t="n">
        <v>0</v>
      </c>
      <c r="Z9894" s="19" t="n"/>
    </row>
    <row r="9895">
      <c r="D9895" s="21" t="n">
        <v>0</v>
      </c>
      <c r="E9895" s="21" t="n">
        <v>0</v>
      </c>
      <c r="F9895" s="21" t="n">
        <v>0</v>
      </c>
      <c r="G9895" s="21" t="n">
        <v>0</v>
      </c>
      <c r="H9895" s="21" t="n">
        <v>0</v>
      </c>
      <c r="I9895" s="21" t="n">
        <v>0</v>
      </c>
      <c r="J9895" s="21" t="n">
        <v>0</v>
      </c>
      <c r="K9895" s="21" t="n">
        <v>0</v>
      </c>
      <c r="L9895" s="21" t="n">
        <v>0</v>
      </c>
      <c r="M9895" s="21" t="n">
        <v>0</v>
      </c>
      <c r="N9895" s="21">
        <f>$B$8764</f>
        <v/>
      </c>
      <c r="O9895" s="21">
        <f>$B$8766</f>
        <v/>
      </c>
      <c r="P9895" s="21">
        <f>0</f>
        <v/>
      </c>
      <c r="Q9895" s="21">
        <f>2*$B$8765</f>
        <v/>
      </c>
      <c r="R9895" s="21">
        <f>-$B$8764</f>
        <v/>
      </c>
      <c r="S9895" s="21">
        <f>$B$8766</f>
        <v/>
      </c>
      <c r="T9895" s="21" t="n">
        <v>0</v>
      </c>
      <c r="U9895" s="21" t="n">
        <v>0</v>
      </c>
      <c r="V9895" s="21" t="n">
        <v>0</v>
      </c>
      <c r="W9895" s="21" t="n">
        <v>0</v>
      </c>
      <c r="X9895" s="21" t="n">
        <v>0</v>
      </c>
      <c r="Y9895" s="21" t="n">
        <v>0</v>
      </c>
      <c r="Z9895" s="19" t="n"/>
    </row>
    <row r="9896">
      <c r="D9896" s="21" t="n">
        <v>0</v>
      </c>
      <c r="E9896" s="21" t="n">
        <v>0</v>
      </c>
      <c r="F9896" s="21" t="n">
        <v>0</v>
      </c>
      <c r="G9896" s="21" t="n">
        <v>0</v>
      </c>
      <c r="H9896" s="21" t="n">
        <v>0</v>
      </c>
      <c r="I9896" s="21" t="n">
        <v>0</v>
      </c>
      <c r="J9896" s="21" t="n">
        <v>0</v>
      </c>
      <c r="K9896" s="21" t="n">
        <v>0</v>
      </c>
      <c r="L9896" s="21" t="n">
        <v>0</v>
      </c>
      <c r="M9896" s="21" t="n">
        <v>0</v>
      </c>
      <c r="N9896" s="21" t="n">
        <v>0</v>
      </c>
      <c r="O9896" s="21" t="n">
        <v>0</v>
      </c>
      <c r="P9896" s="21">
        <f>-$B$8763</f>
        <v/>
      </c>
      <c r="Q9896" s="21">
        <f>-$B$8764</f>
        <v/>
      </c>
      <c r="R9896" s="21">
        <f>2*$B$8763+$D$9877</f>
        <v/>
      </c>
      <c r="S9896" s="21">
        <f>0</f>
        <v/>
      </c>
      <c r="T9896" s="21">
        <f>-$B$8763</f>
        <v/>
      </c>
      <c r="U9896" s="21">
        <f>$B$8764</f>
        <v/>
      </c>
      <c r="V9896" s="21" t="n">
        <v>0</v>
      </c>
      <c r="W9896" s="21" t="n">
        <v>0</v>
      </c>
      <c r="X9896" s="21" t="n">
        <v>0</v>
      </c>
      <c r="Y9896" s="21" t="n">
        <v>0</v>
      </c>
      <c r="Z9896" s="19" t="n"/>
    </row>
    <row r="9897">
      <c r="D9897" s="21" t="n">
        <v>0</v>
      </c>
      <c r="E9897" s="21" t="n">
        <v>0</v>
      </c>
      <c r="F9897" s="21" t="n">
        <v>0</v>
      </c>
      <c r="G9897" s="21" t="n">
        <v>0</v>
      </c>
      <c r="H9897" s="21" t="n">
        <v>0</v>
      </c>
      <c r="I9897" s="21" t="n">
        <v>0</v>
      </c>
      <c r="J9897" s="21" t="n">
        <v>0</v>
      </c>
      <c r="K9897" s="21" t="n">
        <v>0</v>
      </c>
      <c r="L9897" s="21" t="n">
        <v>0</v>
      </c>
      <c r="M9897" s="21" t="n">
        <v>0</v>
      </c>
      <c r="N9897" s="21" t="n">
        <v>0</v>
      </c>
      <c r="O9897" s="21" t="n">
        <v>0</v>
      </c>
      <c r="P9897" s="21">
        <f>$B$8764</f>
        <v/>
      </c>
      <c r="Q9897" s="21">
        <f>$B$8766</f>
        <v/>
      </c>
      <c r="R9897" s="21">
        <f>0</f>
        <v/>
      </c>
      <c r="S9897" s="21">
        <f>2*$B$8765</f>
        <v/>
      </c>
      <c r="T9897" s="21">
        <f>-$B$8764</f>
        <v/>
      </c>
      <c r="U9897" s="21">
        <f>$B$8766</f>
        <v/>
      </c>
      <c r="V9897" s="21" t="n">
        <v>0</v>
      </c>
      <c r="W9897" s="21" t="n">
        <v>0</v>
      </c>
      <c r="X9897" s="21" t="n">
        <v>0</v>
      </c>
      <c r="Y9897" s="21" t="n">
        <v>0</v>
      </c>
      <c r="Z9897" s="19" t="n"/>
    </row>
    <row r="9898">
      <c r="D9898" s="21" t="n">
        <v>0</v>
      </c>
      <c r="E9898" s="21" t="n">
        <v>0</v>
      </c>
      <c r="F9898" s="21" t="n">
        <v>0</v>
      </c>
      <c r="G9898" s="21" t="n">
        <v>0</v>
      </c>
      <c r="H9898" s="21" t="n">
        <v>0</v>
      </c>
      <c r="I9898" s="21" t="n">
        <v>0</v>
      </c>
      <c r="J9898" s="21" t="n">
        <v>0</v>
      </c>
      <c r="K9898" s="21" t="n">
        <v>0</v>
      </c>
      <c r="L9898" s="21" t="n">
        <v>0</v>
      </c>
      <c r="M9898" s="21" t="n">
        <v>0</v>
      </c>
      <c r="N9898" s="21" t="n">
        <v>0</v>
      </c>
      <c r="O9898" s="21" t="n">
        <v>0</v>
      </c>
      <c r="P9898" s="21" t="n">
        <v>0</v>
      </c>
      <c r="Q9898" s="21" t="n">
        <v>0</v>
      </c>
      <c r="R9898" s="21">
        <f>-$B$8763</f>
        <v/>
      </c>
      <c r="S9898" s="21">
        <f>-$B$8764</f>
        <v/>
      </c>
      <c r="T9898" s="21">
        <f>2*$B$8763+$D$9878</f>
        <v/>
      </c>
      <c r="U9898" s="21">
        <f>0</f>
        <v/>
      </c>
      <c r="V9898" s="21">
        <f>-$B$8763</f>
        <v/>
      </c>
      <c r="W9898" s="21">
        <f>$B$8764</f>
        <v/>
      </c>
      <c r="X9898" s="21" t="n">
        <v>0</v>
      </c>
      <c r="Y9898" s="21" t="n">
        <v>0</v>
      </c>
      <c r="Z9898" s="19" t="n"/>
    </row>
    <row r="9899">
      <c r="D9899" s="21" t="n">
        <v>0</v>
      </c>
      <c r="E9899" s="21" t="n">
        <v>0</v>
      </c>
      <c r="F9899" s="21" t="n">
        <v>0</v>
      </c>
      <c r="G9899" s="21" t="n">
        <v>0</v>
      </c>
      <c r="H9899" s="21" t="n">
        <v>0</v>
      </c>
      <c r="I9899" s="21" t="n">
        <v>0</v>
      </c>
      <c r="J9899" s="21" t="n">
        <v>0</v>
      </c>
      <c r="K9899" s="21" t="n">
        <v>0</v>
      </c>
      <c r="L9899" s="21" t="n">
        <v>0</v>
      </c>
      <c r="M9899" s="21" t="n">
        <v>0</v>
      </c>
      <c r="N9899" s="21" t="n">
        <v>0</v>
      </c>
      <c r="O9899" s="21" t="n">
        <v>0</v>
      </c>
      <c r="P9899" s="21" t="n">
        <v>0</v>
      </c>
      <c r="Q9899" s="21" t="n">
        <v>0</v>
      </c>
      <c r="R9899" s="21">
        <f>$B$8764</f>
        <v/>
      </c>
      <c r="S9899" s="21">
        <f>$B$8766</f>
        <v/>
      </c>
      <c r="T9899" s="21">
        <f>0</f>
        <v/>
      </c>
      <c r="U9899" s="21">
        <f>2*$B$8765</f>
        <v/>
      </c>
      <c r="V9899" s="21">
        <f>-$B$8764</f>
        <v/>
      </c>
      <c r="W9899" s="21">
        <f>$B$8766</f>
        <v/>
      </c>
      <c r="X9899" s="21" t="n">
        <v>0</v>
      </c>
      <c r="Y9899" s="21" t="n">
        <v>0</v>
      </c>
      <c r="Z9899" s="19" t="n"/>
    </row>
    <row r="9900">
      <c r="D9900" s="21" t="n">
        <v>0</v>
      </c>
      <c r="E9900" s="21" t="n">
        <v>0</v>
      </c>
      <c r="F9900" s="21" t="n">
        <v>0</v>
      </c>
      <c r="G9900" s="21" t="n">
        <v>0</v>
      </c>
      <c r="H9900" s="21" t="n">
        <v>0</v>
      </c>
      <c r="I9900" s="21" t="n">
        <v>0</v>
      </c>
      <c r="J9900" s="21" t="n">
        <v>0</v>
      </c>
      <c r="K9900" s="21" t="n">
        <v>0</v>
      </c>
      <c r="L9900" s="21" t="n">
        <v>0</v>
      </c>
      <c r="M9900" s="21" t="n">
        <v>0</v>
      </c>
      <c r="N9900" s="21" t="n">
        <v>0</v>
      </c>
      <c r="O9900" s="21" t="n">
        <v>0</v>
      </c>
      <c r="P9900" s="21" t="n">
        <v>0</v>
      </c>
      <c r="Q9900" s="21" t="n">
        <v>0</v>
      </c>
      <c r="R9900" s="21" t="n">
        <v>0</v>
      </c>
      <c r="S9900" s="21" t="n">
        <v>0</v>
      </c>
      <c r="T9900" s="21">
        <f>-$B$8763</f>
        <v/>
      </c>
      <c r="U9900" s="21">
        <f>-$B$8764</f>
        <v/>
      </c>
      <c r="V9900" s="21">
        <f>2*$B$8763+$D$9879</f>
        <v/>
      </c>
      <c r="W9900" s="21">
        <f>0</f>
        <v/>
      </c>
      <c r="X9900" s="21">
        <f>-$B$8763</f>
        <v/>
      </c>
      <c r="Y9900" s="21">
        <f>$B$8764</f>
        <v/>
      </c>
      <c r="Z9900" s="19" t="n"/>
    </row>
    <row r="9901">
      <c r="D9901" s="21" t="n">
        <v>0</v>
      </c>
      <c r="E9901" s="21" t="n">
        <v>0</v>
      </c>
      <c r="F9901" s="21" t="n">
        <v>0</v>
      </c>
      <c r="G9901" s="21" t="n">
        <v>0</v>
      </c>
      <c r="H9901" s="21" t="n">
        <v>0</v>
      </c>
      <c r="I9901" s="21" t="n">
        <v>0</v>
      </c>
      <c r="J9901" s="21" t="n">
        <v>0</v>
      </c>
      <c r="K9901" s="21" t="n">
        <v>0</v>
      </c>
      <c r="L9901" s="21" t="n">
        <v>0</v>
      </c>
      <c r="M9901" s="21" t="n">
        <v>0</v>
      </c>
      <c r="N9901" s="21" t="n">
        <v>0</v>
      </c>
      <c r="O9901" s="21" t="n">
        <v>0</v>
      </c>
      <c r="P9901" s="21" t="n">
        <v>0</v>
      </c>
      <c r="Q9901" s="21" t="n">
        <v>0</v>
      </c>
      <c r="R9901" s="21" t="n">
        <v>0</v>
      </c>
      <c r="S9901" s="21" t="n">
        <v>0</v>
      </c>
      <c r="T9901" s="21">
        <f>$B$8764</f>
        <v/>
      </c>
      <c r="U9901" s="21">
        <f>$B$8766</f>
        <v/>
      </c>
      <c r="V9901" s="21">
        <f>0</f>
        <v/>
      </c>
      <c r="W9901" s="21">
        <f>2*$B$8765</f>
        <v/>
      </c>
      <c r="X9901" s="21">
        <f>-$B$8764</f>
        <v/>
      </c>
      <c r="Y9901" s="21">
        <f>$B$8766</f>
        <v/>
      </c>
      <c r="Z9901" s="19" t="n"/>
    </row>
    <row r="9902">
      <c r="D9902" s="21" t="n">
        <v>0</v>
      </c>
      <c r="E9902" s="21" t="n">
        <v>0</v>
      </c>
      <c r="F9902" s="21" t="n">
        <v>0</v>
      </c>
      <c r="G9902" s="21" t="n">
        <v>0</v>
      </c>
      <c r="H9902" s="21" t="n">
        <v>0</v>
      </c>
      <c r="I9902" s="21" t="n">
        <v>0</v>
      </c>
      <c r="J9902" s="21" t="n">
        <v>0</v>
      </c>
      <c r="K9902" s="21" t="n">
        <v>0</v>
      </c>
      <c r="L9902" s="21" t="n">
        <v>0</v>
      </c>
      <c r="M9902" s="21" t="n">
        <v>0</v>
      </c>
      <c r="N9902" s="21" t="n">
        <v>0</v>
      </c>
      <c r="O9902" s="21" t="n">
        <v>0</v>
      </c>
      <c r="P9902" s="21" t="n">
        <v>0</v>
      </c>
      <c r="Q9902" s="21" t="n">
        <v>0</v>
      </c>
      <c r="R9902" s="21" t="n">
        <v>0</v>
      </c>
      <c r="S9902" s="21" t="n">
        <v>0</v>
      </c>
      <c r="T9902" s="21" t="n">
        <v>0</v>
      </c>
      <c r="U9902" s="21" t="n">
        <v>0</v>
      </c>
      <c r="V9902" s="21">
        <f>-$B$8763</f>
        <v/>
      </c>
      <c r="W9902" s="21">
        <f>-$B$8764</f>
        <v/>
      </c>
      <c r="X9902" s="21">
        <f>$B$8763+$D$9880</f>
        <v/>
      </c>
      <c r="Y9902" s="21">
        <f>-$B$8764</f>
        <v/>
      </c>
      <c r="Z9902" s="19" t="n"/>
    </row>
    <row r="9903">
      <c r="D9903" s="21" t="n">
        <v>0</v>
      </c>
      <c r="E9903" s="21" t="n">
        <v>0</v>
      </c>
      <c r="F9903" s="21" t="n">
        <v>0</v>
      </c>
      <c r="G9903" s="21" t="n">
        <v>0</v>
      </c>
      <c r="H9903" s="21" t="n">
        <v>0</v>
      </c>
      <c r="I9903" s="21" t="n">
        <v>0</v>
      </c>
      <c r="J9903" s="21" t="n">
        <v>0</v>
      </c>
      <c r="K9903" s="21" t="n">
        <v>0</v>
      </c>
      <c r="L9903" s="21" t="n">
        <v>0</v>
      </c>
      <c r="M9903" s="21" t="n">
        <v>0</v>
      </c>
      <c r="N9903" s="21" t="n">
        <v>0</v>
      </c>
      <c r="O9903" s="21" t="n">
        <v>0</v>
      </c>
      <c r="P9903" s="21" t="n">
        <v>0</v>
      </c>
      <c r="Q9903" s="21" t="n">
        <v>0</v>
      </c>
      <c r="R9903" s="21" t="n">
        <v>0</v>
      </c>
      <c r="S9903" s="21" t="n">
        <v>0</v>
      </c>
      <c r="T9903" s="21" t="n">
        <v>0</v>
      </c>
      <c r="U9903" s="21" t="n">
        <v>0</v>
      </c>
      <c r="V9903" s="21">
        <f>$B$8764</f>
        <v/>
      </c>
      <c r="W9903" s="21">
        <f>$B$8766</f>
        <v/>
      </c>
      <c r="X9903" s="21">
        <f>-$B$8764</f>
        <v/>
      </c>
      <c r="Y9903" s="21">
        <f>$B$8765</f>
        <v/>
      </c>
      <c r="Z9903" s="19" t="n"/>
    </row>
    <row r="9905">
      <c r="A9905" s="8" t="inlineStr">
        <is>
          <t>gen 31</t>
        </is>
      </c>
    </row>
    <row r="9906">
      <c r="D9906" s="19">
        <f>IF(ABS(IF(ABS($E$9870)&gt;0.000000001,$E$9870,0.000000001))=0,0,IF($E$8778&lt;=$B$8772,0,IF(ABS(IF(ABS($E$9870)&gt;0.000000001,$E$9870,0.000000001))&gt;=8*$B$8774,$H$8778,0.5*$H$8778*(ABS(IF(ABS($E$9870)&gt;0.000000001,$E$9870,0.000000001))/$B$8774)^(1/3)))/ABS(IF(ABS($E$9870)&gt;0.000000001,$E$9870,0.000000001))*$I$8778)</f>
        <v/>
      </c>
      <c r="E9906" s="19">
        <f>0.5*$E$9870+0.5*$Z$9918</f>
        <v/>
      </c>
      <c r="F9906" s="19">
        <f>$Z$9919</f>
        <v/>
      </c>
    </row>
    <row r="9907">
      <c r="D9907" s="19">
        <f>IF(ABS(IF(ABS($E$9871)&gt;0.000000001,$E$9871,0.000000001))=0,0,IF($E$8779&lt;=$B$8772,0,IF(ABS(IF(ABS($E$9871)&gt;0.000000001,$E$9871,0.000000001))&gt;=8*$B$8774,$H$8779,0.5*$H$8779*(ABS(IF(ABS($E$9871)&gt;0.000000001,$E$9871,0.000000001))/$B$8774)^(1/3)))/ABS(IF(ABS($E$9871)&gt;0.000000001,$E$9871,0.000000001))*$I$8779)</f>
        <v/>
      </c>
      <c r="E9907" s="19">
        <f>0.5*$E$9871+0.5*$Z$9920</f>
        <v/>
      </c>
      <c r="F9907" s="19">
        <f>$Z$9921</f>
        <v/>
      </c>
    </row>
    <row r="9908">
      <c r="D9908" s="19">
        <f>IF(ABS(IF(ABS($E$9872)&gt;0.000000001,$E$9872,0.000000001))=0,0,IF($E$8780&lt;=$B$8772,0,IF(ABS(IF(ABS($E$9872)&gt;0.000000001,$E$9872,0.000000001))&gt;=8*$B$8774,$H$8780,0.5*$H$8780*(ABS(IF(ABS($E$9872)&gt;0.000000001,$E$9872,0.000000001))/$B$8774)^(1/3)))/ABS(IF(ABS($E$9872)&gt;0.000000001,$E$9872,0.000000001))*$I$8780)</f>
        <v/>
      </c>
      <c r="E9908" s="19">
        <f>0.5*$E$9872+0.5*$Z$9922</f>
        <v/>
      </c>
      <c r="F9908" s="19">
        <f>$Z$9923</f>
        <v/>
      </c>
    </row>
    <row r="9909">
      <c r="D9909" s="19">
        <f>IF(ABS(IF(ABS($E$9873)&gt;0.000000001,$E$9873,0.000000001))=0,0,IF($E$8781&lt;=$B$8772,0,IF(ABS(IF(ABS($E$9873)&gt;0.000000001,$E$9873,0.000000001))&gt;=8*$B$8774,$H$8781,0.5*$H$8781*(ABS(IF(ABS($E$9873)&gt;0.000000001,$E$9873,0.000000001))/$B$8774)^(1/3)))/ABS(IF(ABS($E$9873)&gt;0.000000001,$E$9873,0.000000001))*$I$8781)</f>
        <v/>
      </c>
      <c r="E9909" s="19">
        <f>0.5*$E$9873+0.5*$Z$9924</f>
        <v/>
      </c>
      <c r="F9909" s="19">
        <f>$Z$9925</f>
        <v/>
      </c>
    </row>
    <row r="9910">
      <c r="D9910" s="19">
        <f>IF(ABS(IF(ABS($E$9874)&gt;0.000000001,$E$9874,0.000000001))=0,0,IF($E$8782&lt;=$B$8772,0,IF(ABS(IF(ABS($E$9874)&gt;0.000000001,$E$9874,0.000000001))&gt;=8*$B$8774,$H$8782,0.5*$H$8782*(ABS(IF(ABS($E$9874)&gt;0.000000001,$E$9874,0.000000001))/$B$8774)^(1/3)))/ABS(IF(ABS($E$9874)&gt;0.000000001,$E$9874,0.000000001))*$I$8782)</f>
        <v/>
      </c>
      <c r="E9910" s="19">
        <f>0.5*$E$9874+0.5*$Z$9926</f>
        <v/>
      </c>
      <c r="F9910" s="19">
        <f>$Z$9927</f>
        <v/>
      </c>
    </row>
    <row r="9911">
      <c r="D9911" s="19">
        <f>IF(ABS(IF(ABS($E$9875)&gt;0.000000001,$E$9875,0.000000001))=0,0,IF($E$8783&lt;=$B$8772,0,IF(ABS(IF(ABS($E$9875)&gt;0.000000001,$E$9875,0.000000001))&gt;=8*$B$8774,$H$8783,0.5*$H$8783*(ABS(IF(ABS($E$9875)&gt;0.000000001,$E$9875,0.000000001))/$B$8774)^(1/3)))/ABS(IF(ABS($E$9875)&gt;0.000000001,$E$9875,0.000000001))*$I$8783)</f>
        <v/>
      </c>
      <c r="E9911" s="19">
        <f>0.5*$E$9875+0.5*$Z$9928</f>
        <v/>
      </c>
      <c r="F9911" s="19">
        <f>$Z$9929</f>
        <v/>
      </c>
    </row>
    <row r="9912">
      <c r="D9912" s="19">
        <f>IF(ABS(IF(ABS($E$9876)&gt;0.000000001,$E$9876,0.000000001))=0,0,IF($E$8784&lt;=$B$8772,0,IF(ABS(IF(ABS($E$9876)&gt;0.000000001,$E$9876,0.000000001))&gt;=8*$B$8774,$H$8784,0.5*$H$8784*(ABS(IF(ABS($E$9876)&gt;0.000000001,$E$9876,0.000000001))/$B$8774)^(1/3)))/ABS(IF(ABS($E$9876)&gt;0.000000001,$E$9876,0.000000001))*$I$8784)</f>
        <v/>
      </c>
      <c r="E9912" s="19">
        <f>0.5*$E$9876+0.5*$Z$9930</f>
        <v/>
      </c>
      <c r="F9912" s="19">
        <f>$Z$9931</f>
        <v/>
      </c>
    </row>
    <row r="9913">
      <c r="D9913" s="19">
        <f>IF(ABS(IF(ABS($E$9877)&gt;0.000000001,$E$9877,0.000000001))=0,0,IF($E$8785&lt;=$B$8772,0,IF(ABS(IF(ABS($E$9877)&gt;0.000000001,$E$9877,0.000000001))&gt;=8*$B$8774,$H$8785,0.5*$H$8785*(ABS(IF(ABS($E$9877)&gt;0.000000001,$E$9877,0.000000001))/$B$8774)^(1/3)))/ABS(IF(ABS($E$9877)&gt;0.000000001,$E$9877,0.000000001))*$I$8785)</f>
        <v/>
      </c>
      <c r="E9913" s="19">
        <f>0.5*$E$9877+0.5*$Z$9932</f>
        <v/>
      </c>
      <c r="F9913" s="19">
        <f>$Z$9933</f>
        <v/>
      </c>
    </row>
    <row r="9914">
      <c r="D9914" s="19">
        <f>IF(ABS(IF(ABS($E$9878)&gt;0.000000001,$E$9878,0.000000001))=0,0,IF($E$8786&lt;=$B$8772,0,IF(ABS(IF(ABS($E$9878)&gt;0.000000001,$E$9878,0.000000001))&gt;=8*$B$8774,$H$8786,0.5*$H$8786*(ABS(IF(ABS($E$9878)&gt;0.000000001,$E$9878,0.000000001))/$B$8774)^(1/3)))/ABS(IF(ABS($E$9878)&gt;0.000000001,$E$9878,0.000000001))*$I$8786)</f>
        <v/>
      </c>
      <c r="E9914" s="19">
        <f>0.5*$E$9878+0.5*$Z$9934</f>
        <v/>
      </c>
      <c r="F9914" s="19">
        <f>$Z$9935</f>
        <v/>
      </c>
    </row>
    <row r="9915">
      <c r="D9915" s="19">
        <f>IF(ABS(IF(ABS($E$9879)&gt;0.000000001,$E$9879,0.000000001))=0,0,IF($E$8787&lt;=$B$8772,0,IF(ABS(IF(ABS($E$9879)&gt;0.000000001,$E$9879,0.000000001))&gt;=8*$B$8774,$H$8787,0.5*$H$8787*(ABS(IF(ABS($E$9879)&gt;0.000000001,$E$9879,0.000000001))/$B$8774)^(1/3)))/ABS(IF(ABS($E$9879)&gt;0.000000001,$E$9879,0.000000001))*$I$8787)</f>
        <v/>
      </c>
      <c r="E9915" s="19">
        <f>0.5*$E$9879+0.5*$Z$9936</f>
        <v/>
      </c>
      <c r="F9915" s="19">
        <f>$Z$9937</f>
        <v/>
      </c>
    </row>
    <row r="9916">
      <c r="D9916" s="19">
        <f>IF(ABS(IF(ABS($E$9880)&gt;0.000000001,$E$9880,0.000000001))=0,0,IF($E$8788&lt;=$B$8772,0,IF(ABS(IF(ABS($E$9880)&gt;0.000000001,$E$9880,0.000000001))&gt;=8*$B$8774,$H$8788,0.5*$H$8788*(ABS(IF(ABS($E$9880)&gt;0.000000001,$E$9880,0.000000001))/$B$8774)^(1/3)))/ABS(IF(ABS($E$9880)&gt;0.000000001,$E$9880,0.000000001))*$I$8788)</f>
        <v/>
      </c>
      <c r="E9916" s="19">
        <f>0.5*$E$9880+0.5*$Z$9938</f>
        <v/>
      </c>
      <c r="F9916" s="19">
        <f>$Z$9939</f>
        <v/>
      </c>
    </row>
    <row r="9918">
      <c r="D9918" s="21">
        <f>$B$8763+$D$9906</f>
        <v/>
      </c>
      <c r="E9918" s="21">
        <f>$B$8764</f>
        <v/>
      </c>
      <c r="F9918" s="21">
        <f>-$B$8763</f>
        <v/>
      </c>
      <c r="G9918" s="21">
        <f>$B$8764</f>
        <v/>
      </c>
      <c r="H9918" s="21" t="n">
        <v>0</v>
      </c>
      <c r="I9918" s="21" t="n">
        <v>0</v>
      </c>
      <c r="J9918" s="21" t="n">
        <v>0</v>
      </c>
      <c r="K9918" s="21" t="n">
        <v>0</v>
      </c>
      <c r="L9918" s="21" t="n">
        <v>0</v>
      </c>
      <c r="M9918" s="21" t="n">
        <v>0</v>
      </c>
      <c r="N9918" s="21" t="n">
        <v>0</v>
      </c>
      <c r="O9918" s="21" t="n">
        <v>0</v>
      </c>
      <c r="P9918" s="21" t="n">
        <v>0</v>
      </c>
      <c r="Q9918" s="21" t="n">
        <v>0</v>
      </c>
      <c r="R9918" s="21" t="n">
        <v>0</v>
      </c>
      <c r="S9918" s="21" t="n">
        <v>0</v>
      </c>
      <c r="T9918" s="21" t="n">
        <v>0</v>
      </c>
      <c r="U9918" s="21" t="n">
        <v>0</v>
      </c>
      <c r="V9918" s="21" t="n">
        <v>0</v>
      </c>
      <c r="W9918" s="21" t="n">
        <v>0</v>
      </c>
      <c r="X9918" s="21" t="n">
        <v>0</v>
      </c>
      <c r="Y9918" s="21" t="n">
        <v>0</v>
      </c>
      <c r="Z9918" s="19">
        <f t="array" ref="Z9918:Z9939">MMULT(MINVERSE($D$9918:$Y$9939),$D$8790:$D$8811)</f>
        <v/>
      </c>
    </row>
    <row r="9919">
      <c r="D9919" s="21">
        <f>$B$8764</f>
        <v/>
      </c>
      <c r="E9919" s="21">
        <f>$B$8765</f>
        <v/>
      </c>
      <c r="F9919" s="21">
        <f>-$B$8764</f>
        <v/>
      </c>
      <c r="G9919" s="21">
        <f>$B$8766</f>
        <v/>
      </c>
      <c r="H9919" s="21" t="n">
        <v>0</v>
      </c>
      <c r="I9919" s="21" t="n">
        <v>0</v>
      </c>
      <c r="J9919" s="21" t="n">
        <v>0</v>
      </c>
      <c r="K9919" s="21" t="n">
        <v>0</v>
      </c>
      <c r="L9919" s="21" t="n">
        <v>0</v>
      </c>
      <c r="M9919" s="21" t="n">
        <v>0</v>
      </c>
      <c r="N9919" s="21" t="n">
        <v>0</v>
      </c>
      <c r="O9919" s="21" t="n">
        <v>0</v>
      </c>
      <c r="P9919" s="21" t="n">
        <v>0</v>
      </c>
      <c r="Q9919" s="21" t="n">
        <v>0</v>
      </c>
      <c r="R9919" s="21" t="n">
        <v>0</v>
      </c>
      <c r="S9919" s="21" t="n">
        <v>0</v>
      </c>
      <c r="T9919" s="21" t="n">
        <v>0</v>
      </c>
      <c r="U9919" s="21" t="n">
        <v>0</v>
      </c>
      <c r="V9919" s="21" t="n">
        <v>0</v>
      </c>
      <c r="W9919" s="21" t="n">
        <v>0</v>
      </c>
      <c r="X9919" s="21" t="n">
        <v>0</v>
      </c>
      <c r="Y9919" s="21" t="n">
        <v>0</v>
      </c>
      <c r="Z9919" s="19" t="n"/>
    </row>
    <row r="9920">
      <c r="D9920" s="21">
        <f>-$B$8763</f>
        <v/>
      </c>
      <c r="E9920" s="21">
        <f>-$B$8764</f>
        <v/>
      </c>
      <c r="F9920" s="21">
        <f>2*$B$8763+$D$9907</f>
        <v/>
      </c>
      <c r="G9920" s="21">
        <f>0</f>
        <v/>
      </c>
      <c r="H9920" s="21">
        <f>-$B$8763</f>
        <v/>
      </c>
      <c r="I9920" s="21">
        <f>$B$8764</f>
        <v/>
      </c>
      <c r="J9920" s="21" t="n">
        <v>0</v>
      </c>
      <c r="K9920" s="21" t="n">
        <v>0</v>
      </c>
      <c r="L9920" s="21" t="n">
        <v>0</v>
      </c>
      <c r="M9920" s="21" t="n">
        <v>0</v>
      </c>
      <c r="N9920" s="21" t="n">
        <v>0</v>
      </c>
      <c r="O9920" s="21" t="n">
        <v>0</v>
      </c>
      <c r="P9920" s="21" t="n">
        <v>0</v>
      </c>
      <c r="Q9920" s="21" t="n">
        <v>0</v>
      </c>
      <c r="R9920" s="21" t="n">
        <v>0</v>
      </c>
      <c r="S9920" s="21" t="n">
        <v>0</v>
      </c>
      <c r="T9920" s="21" t="n">
        <v>0</v>
      </c>
      <c r="U9920" s="21" t="n">
        <v>0</v>
      </c>
      <c r="V9920" s="21" t="n">
        <v>0</v>
      </c>
      <c r="W9920" s="21" t="n">
        <v>0</v>
      </c>
      <c r="X9920" s="21" t="n">
        <v>0</v>
      </c>
      <c r="Y9920" s="21" t="n">
        <v>0</v>
      </c>
      <c r="Z9920" s="19" t="n"/>
    </row>
    <row r="9921">
      <c r="D9921" s="21">
        <f>$B$8764</f>
        <v/>
      </c>
      <c r="E9921" s="21">
        <f>$B$8766</f>
        <v/>
      </c>
      <c r="F9921" s="21">
        <f>0</f>
        <v/>
      </c>
      <c r="G9921" s="21">
        <f>2*$B$8765</f>
        <v/>
      </c>
      <c r="H9921" s="21">
        <f>-$B$8764</f>
        <v/>
      </c>
      <c r="I9921" s="21">
        <f>$B$8766</f>
        <v/>
      </c>
      <c r="J9921" s="21" t="n">
        <v>0</v>
      </c>
      <c r="K9921" s="21" t="n">
        <v>0</v>
      </c>
      <c r="L9921" s="21" t="n">
        <v>0</v>
      </c>
      <c r="M9921" s="21" t="n">
        <v>0</v>
      </c>
      <c r="N9921" s="21" t="n">
        <v>0</v>
      </c>
      <c r="O9921" s="21" t="n">
        <v>0</v>
      </c>
      <c r="P9921" s="21" t="n">
        <v>0</v>
      </c>
      <c r="Q9921" s="21" t="n">
        <v>0</v>
      </c>
      <c r="R9921" s="21" t="n">
        <v>0</v>
      </c>
      <c r="S9921" s="21" t="n">
        <v>0</v>
      </c>
      <c r="T9921" s="21" t="n">
        <v>0</v>
      </c>
      <c r="U9921" s="21" t="n">
        <v>0</v>
      </c>
      <c r="V9921" s="21" t="n">
        <v>0</v>
      </c>
      <c r="W9921" s="21" t="n">
        <v>0</v>
      </c>
      <c r="X9921" s="21" t="n">
        <v>0</v>
      </c>
      <c r="Y9921" s="21" t="n">
        <v>0</v>
      </c>
      <c r="Z9921" s="19" t="n"/>
    </row>
    <row r="9922">
      <c r="D9922" s="21" t="n">
        <v>0</v>
      </c>
      <c r="E9922" s="21" t="n">
        <v>0</v>
      </c>
      <c r="F9922" s="21">
        <f>-$B$8763</f>
        <v/>
      </c>
      <c r="G9922" s="21">
        <f>-$B$8764</f>
        <v/>
      </c>
      <c r="H9922" s="21">
        <f>2*$B$8763+$D$9908</f>
        <v/>
      </c>
      <c r="I9922" s="21">
        <f>0</f>
        <v/>
      </c>
      <c r="J9922" s="21">
        <f>-$B$8763</f>
        <v/>
      </c>
      <c r="K9922" s="21">
        <f>$B$8764</f>
        <v/>
      </c>
      <c r="L9922" s="21" t="n">
        <v>0</v>
      </c>
      <c r="M9922" s="21" t="n">
        <v>0</v>
      </c>
      <c r="N9922" s="21" t="n">
        <v>0</v>
      </c>
      <c r="O9922" s="21" t="n">
        <v>0</v>
      </c>
      <c r="P9922" s="21" t="n">
        <v>0</v>
      </c>
      <c r="Q9922" s="21" t="n">
        <v>0</v>
      </c>
      <c r="R9922" s="21" t="n">
        <v>0</v>
      </c>
      <c r="S9922" s="21" t="n">
        <v>0</v>
      </c>
      <c r="T9922" s="21" t="n">
        <v>0</v>
      </c>
      <c r="U9922" s="21" t="n">
        <v>0</v>
      </c>
      <c r="V9922" s="21" t="n">
        <v>0</v>
      </c>
      <c r="W9922" s="21" t="n">
        <v>0</v>
      </c>
      <c r="X9922" s="21" t="n">
        <v>0</v>
      </c>
      <c r="Y9922" s="21" t="n">
        <v>0</v>
      </c>
      <c r="Z9922" s="19" t="n"/>
    </row>
    <row r="9923">
      <c r="D9923" s="21" t="n">
        <v>0</v>
      </c>
      <c r="E9923" s="21" t="n">
        <v>0</v>
      </c>
      <c r="F9923" s="21">
        <f>$B$8764</f>
        <v/>
      </c>
      <c r="G9923" s="21">
        <f>$B$8766</f>
        <v/>
      </c>
      <c r="H9923" s="21">
        <f>0</f>
        <v/>
      </c>
      <c r="I9923" s="21">
        <f>2*$B$8765</f>
        <v/>
      </c>
      <c r="J9923" s="21">
        <f>-$B$8764</f>
        <v/>
      </c>
      <c r="K9923" s="21">
        <f>$B$8766</f>
        <v/>
      </c>
      <c r="L9923" s="21" t="n">
        <v>0</v>
      </c>
      <c r="M9923" s="21" t="n">
        <v>0</v>
      </c>
      <c r="N9923" s="21" t="n">
        <v>0</v>
      </c>
      <c r="O9923" s="21" t="n">
        <v>0</v>
      </c>
      <c r="P9923" s="21" t="n">
        <v>0</v>
      </c>
      <c r="Q9923" s="21" t="n">
        <v>0</v>
      </c>
      <c r="R9923" s="21" t="n">
        <v>0</v>
      </c>
      <c r="S9923" s="21" t="n">
        <v>0</v>
      </c>
      <c r="T9923" s="21" t="n">
        <v>0</v>
      </c>
      <c r="U9923" s="21" t="n">
        <v>0</v>
      </c>
      <c r="V9923" s="21" t="n">
        <v>0</v>
      </c>
      <c r="W9923" s="21" t="n">
        <v>0</v>
      </c>
      <c r="X9923" s="21" t="n">
        <v>0</v>
      </c>
      <c r="Y9923" s="21" t="n">
        <v>0</v>
      </c>
      <c r="Z9923" s="19" t="n"/>
    </row>
    <row r="9924">
      <c r="D9924" s="21" t="n">
        <v>0</v>
      </c>
      <c r="E9924" s="21" t="n">
        <v>0</v>
      </c>
      <c r="F9924" s="21" t="n">
        <v>0</v>
      </c>
      <c r="G9924" s="21" t="n">
        <v>0</v>
      </c>
      <c r="H9924" s="21">
        <f>-$B$8763</f>
        <v/>
      </c>
      <c r="I9924" s="21">
        <f>-$B$8764</f>
        <v/>
      </c>
      <c r="J9924" s="21">
        <f>2*$B$8763+$D$9909</f>
        <v/>
      </c>
      <c r="K9924" s="21">
        <f>0</f>
        <v/>
      </c>
      <c r="L9924" s="21">
        <f>-$B$8763</f>
        <v/>
      </c>
      <c r="M9924" s="21">
        <f>$B$8764</f>
        <v/>
      </c>
      <c r="N9924" s="21" t="n">
        <v>0</v>
      </c>
      <c r="O9924" s="21" t="n">
        <v>0</v>
      </c>
      <c r="P9924" s="21" t="n">
        <v>0</v>
      </c>
      <c r="Q9924" s="21" t="n">
        <v>0</v>
      </c>
      <c r="R9924" s="21" t="n">
        <v>0</v>
      </c>
      <c r="S9924" s="21" t="n">
        <v>0</v>
      </c>
      <c r="T9924" s="21" t="n">
        <v>0</v>
      </c>
      <c r="U9924" s="21" t="n">
        <v>0</v>
      </c>
      <c r="V9924" s="21" t="n">
        <v>0</v>
      </c>
      <c r="W9924" s="21" t="n">
        <v>0</v>
      </c>
      <c r="X9924" s="21" t="n">
        <v>0</v>
      </c>
      <c r="Y9924" s="21" t="n">
        <v>0</v>
      </c>
      <c r="Z9924" s="19" t="n"/>
    </row>
    <row r="9925">
      <c r="D9925" s="21" t="n">
        <v>0</v>
      </c>
      <c r="E9925" s="21" t="n">
        <v>0</v>
      </c>
      <c r="F9925" s="21" t="n">
        <v>0</v>
      </c>
      <c r="G9925" s="21" t="n">
        <v>0</v>
      </c>
      <c r="H9925" s="21">
        <f>$B$8764</f>
        <v/>
      </c>
      <c r="I9925" s="21">
        <f>$B$8766</f>
        <v/>
      </c>
      <c r="J9925" s="21">
        <f>0</f>
        <v/>
      </c>
      <c r="K9925" s="21">
        <f>2*$B$8765</f>
        <v/>
      </c>
      <c r="L9925" s="21">
        <f>-$B$8764</f>
        <v/>
      </c>
      <c r="M9925" s="21">
        <f>$B$8766</f>
        <v/>
      </c>
      <c r="N9925" s="21" t="n">
        <v>0</v>
      </c>
      <c r="O9925" s="21" t="n">
        <v>0</v>
      </c>
      <c r="P9925" s="21" t="n">
        <v>0</v>
      </c>
      <c r="Q9925" s="21" t="n">
        <v>0</v>
      </c>
      <c r="R9925" s="21" t="n">
        <v>0</v>
      </c>
      <c r="S9925" s="21" t="n">
        <v>0</v>
      </c>
      <c r="T9925" s="21" t="n">
        <v>0</v>
      </c>
      <c r="U9925" s="21" t="n">
        <v>0</v>
      </c>
      <c r="V9925" s="21" t="n">
        <v>0</v>
      </c>
      <c r="W9925" s="21" t="n">
        <v>0</v>
      </c>
      <c r="X9925" s="21" t="n">
        <v>0</v>
      </c>
      <c r="Y9925" s="21" t="n">
        <v>0</v>
      </c>
      <c r="Z9925" s="19" t="n"/>
    </row>
    <row r="9926">
      <c r="D9926" s="21" t="n">
        <v>0</v>
      </c>
      <c r="E9926" s="21" t="n">
        <v>0</v>
      </c>
      <c r="F9926" s="21" t="n">
        <v>0</v>
      </c>
      <c r="G9926" s="21" t="n">
        <v>0</v>
      </c>
      <c r="H9926" s="21" t="n">
        <v>0</v>
      </c>
      <c r="I9926" s="21" t="n">
        <v>0</v>
      </c>
      <c r="J9926" s="21">
        <f>-$B$8763</f>
        <v/>
      </c>
      <c r="K9926" s="21">
        <f>-$B$8764</f>
        <v/>
      </c>
      <c r="L9926" s="21">
        <f>2*$B$8763+$D$9910</f>
        <v/>
      </c>
      <c r="M9926" s="21">
        <f>0</f>
        <v/>
      </c>
      <c r="N9926" s="21">
        <f>-$B$8763</f>
        <v/>
      </c>
      <c r="O9926" s="21">
        <f>$B$8764</f>
        <v/>
      </c>
      <c r="P9926" s="21" t="n">
        <v>0</v>
      </c>
      <c r="Q9926" s="21" t="n">
        <v>0</v>
      </c>
      <c r="R9926" s="21" t="n">
        <v>0</v>
      </c>
      <c r="S9926" s="21" t="n">
        <v>0</v>
      </c>
      <c r="T9926" s="21" t="n">
        <v>0</v>
      </c>
      <c r="U9926" s="21" t="n">
        <v>0</v>
      </c>
      <c r="V9926" s="21" t="n">
        <v>0</v>
      </c>
      <c r="W9926" s="21" t="n">
        <v>0</v>
      </c>
      <c r="X9926" s="21" t="n">
        <v>0</v>
      </c>
      <c r="Y9926" s="21" t="n">
        <v>0</v>
      </c>
      <c r="Z9926" s="19" t="n"/>
    </row>
    <row r="9927">
      <c r="D9927" s="21" t="n">
        <v>0</v>
      </c>
      <c r="E9927" s="21" t="n">
        <v>0</v>
      </c>
      <c r="F9927" s="21" t="n">
        <v>0</v>
      </c>
      <c r="G9927" s="21" t="n">
        <v>0</v>
      </c>
      <c r="H9927" s="21" t="n">
        <v>0</v>
      </c>
      <c r="I9927" s="21" t="n">
        <v>0</v>
      </c>
      <c r="J9927" s="21">
        <f>$B$8764</f>
        <v/>
      </c>
      <c r="K9927" s="21">
        <f>$B$8766</f>
        <v/>
      </c>
      <c r="L9927" s="21">
        <f>0</f>
        <v/>
      </c>
      <c r="M9927" s="21">
        <f>2*$B$8765</f>
        <v/>
      </c>
      <c r="N9927" s="21">
        <f>-$B$8764</f>
        <v/>
      </c>
      <c r="O9927" s="21">
        <f>$B$8766</f>
        <v/>
      </c>
      <c r="P9927" s="21" t="n">
        <v>0</v>
      </c>
      <c r="Q9927" s="21" t="n">
        <v>0</v>
      </c>
      <c r="R9927" s="21" t="n">
        <v>0</v>
      </c>
      <c r="S9927" s="21" t="n">
        <v>0</v>
      </c>
      <c r="T9927" s="21" t="n">
        <v>0</v>
      </c>
      <c r="U9927" s="21" t="n">
        <v>0</v>
      </c>
      <c r="V9927" s="21" t="n">
        <v>0</v>
      </c>
      <c r="W9927" s="21" t="n">
        <v>0</v>
      </c>
      <c r="X9927" s="21" t="n">
        <v>0</v>
      </c>
      <c r="Y9927" s="21" t="n">
        <v>0</v>
      </c>
      <c r="Z9927" s="19" t="n"/>
    </row>
    <row r="9928">
      <c r="D9928" s="21" t="n">
        <v>0</v>
      </c>
      <c r="E9928" s="21" t="n">
        <v>0</v>
      </c>
      <c r="F9928" s="21" t="n">
        <v>0</v>
      </c>
      <c r="G9928" s="21" t="n">
        <v>0</v>
      </c>
      <c r="H9928" s="21" t="n">
        <v>0</v>
      </c>
      <c r="I9928" s="21" t="n">
        <v>0</v>
      </c>
      <c r="J9928" s="21" t="n">
        <v>0</v>
      </c>
      <c r="K9928" s="21" t="n">
        <v>0</v>
      </c>
      <c r="L9928" s="21">
        <f>-$B$8763</f>
        <v/>
      </c>
      <c r="M9928" s="21">
        <f>-$B$8764</f>
        <v/>
      </c>
      <c r="N9928" s="21">
        <f>2*$B$8763+$D$9911</f>
        <v/>
      </c>
      <c r="O9928" s="21">
        <f>0</f>
        <v/>
      </c>
      <c r="P9928" s="21">
        <f>-$B$8763</f>
        <v/>
      </c>
      <c r="Q9928" s="21">
        <f>$B$8764</f>
        <v/>
      </c>
      <c r="R9928" s="21" t="n">
        <v>0</v>
      </c>
      <c r="S9928" s="21" t="n">
        <v>0</v>
      </c>
      <c r="T9928" s="21" t="n">
        <v>0</v>
      </c>
      <c r="U9928" s="21" t="n">
        <v>0</v>
      </c>
      <c r="V9928" s="21" t="n">
        <v>0</v>
      </c>
      <c r="W9928" s="21" t="n">
        <v>0</v>
      </c>
      <c r="X9928" s="21" t="n">
        <v>0</v>
      </c>
      <c r="Y9928" s="21" t="n">
        <v>0</v>
      </c>
      <c r="Z9928" s="19" t="n"/>
    </row>
    <row r="9929">
      <c r="D9929" s="21" t="n">
        <v>0</v>
      </c>
      <c r="E9929" s="21" t="n">
        <v>0</v>
      </c>
      <c r="F9929" s="21" t="n">
        <v>0</v>
      </c>
      <c r="G9929" s="21" t="n">
        <v>0</v>
      </c>
      <c r="H9929" s="21" t="n">
        <v>0</v>
      </c>
      <c r="I9929" s="21" t="n">
        <v>0</v>
      </c>
      <c r="J9929" s="21" t="n">
        <v>0</v>
      </c>
      <c r="K9929" s="21" t="n">
        <v>0</v>
      </c>
      <c r="L9929" s="21">
        <f>$B$8764</f>
        <v/>
      </c>
      <c r="M9929" s="21">
        <f>$B$8766</f>
        <v/>
      </c>
      <c r="N9929" s="21">
        <f>0</f>
        <v/>
      </c>
      <c r="O9929" s="21">
        <f>2*$B$8765</f>
        <v/>
      </c>
      <c r="P9929" s="21">
        <f>-$B$8764</f>
        <v/>
      </c>
      <c r="Q9929" s="21">
        <f>$B$8766</f>
        <v/>
      </c>
      <c r="R9929" s="21" t="n">
        <v>0</v>
      </c>
      <c r="S9929" s="21" t="n">
        <v>0</v>
      </c>
      <c r="T9929" s="21" t="n">
        <v>0</v>
      </c>
      <c r="U9929" s="21" t="n">
        <v>0</v>
      </c>
      <c r="V9929" s="21" t="n">
        <v>0</v>
      </c>
      <c r="W9929" s="21" t="n">
        <v>0</v>
      </c>
      <c r="X9929" s="21" t="n">
        <v>0</v>
      </c>
      <c r="Y9929" s="21" t="n">
        <v>0</v>
      </c>
      <c r="Z9929" s="19" t="n"/>
    </row>
    <row r="9930">
      <c r="D9930" s="21" t="n">
        <v>0</v>
      </c>
      <c r="E9930" s="21" t="n">
        <v>0</v>
      </c>
      <c r="F9930" s="21" t="n">
        <v>0</v>
      </c>
      <c r="G9930" s="21" t="n">
        <v>0</v>
      </c>
      <c r="H9930" s="21" t="n">
        <v>0</v>
      </c>
      <c r="I9930" s="21" t="n">
        <v>0</v>
      </c>
      <c r="J9930" s="21" t="n">
        <v>0</v>
      </c>
      <c r="K9930" s="21" t="n">
        <v>0</v>
      </c>
      <c r="L9930" s="21" t="n">
        <v>0</v>
      </c>
      <c r="M9930" s="21" t="n">
        <v>0</v>
      </c>
      <c r="N9930" s="21">
        <f>-$B$8763</f>
        <v/>
      </c>
      <c r="O9930" s="21">
        <f>-$B$8764</f>
        <v/>
      </c>
      <c r="P9930" s="21">
        <f>2*$B$8763+$D$9912</f>
        <v/>
      </c>
      <c r="Q9930" s="21">
        <f>0</f>
        <v/>
      </c>
      <c r="R9930" s="21">
        <f>-$B$8763</f>
        <v/>
      </c>
      <c r="S9930" s="21">
        <f>$B$8764</f>
        <v/>
      </c>
      <c r="T9930" s="21" t="n">
        <v>0</v>
      </c>
      <c r="U9930" s="21" t="n">
        <v>0</v>
      </c>
      <c r="V9930" s="21" t="n">
        <v>0</v>
      </c>
      <c r="W9930" s="21" t="n">
        <v>0</v>
      </c>
      <c r="X9930" s="21" t="n">
        <v>0</v>
      </c>
      <c r="Y9930" s="21" t="n">
        <v>0</v>
      </c>
      <c r="Z9930" s="19" t="n"/>
    </row>
    <row r="9931">
      <c r="D9931" s="21" t="n">
        <v>0</v>
      </c>
      <c r="E9931" s="21" t="n">
        <v>0</v>
      </c>
      <c r="F9931" s="21" t="n">
        <v>0</v>
      </c>
      <c r="G9931" s="21" t="n">
        <v>0</v>
      </c>
      <c r="H9931" s="21" t="n">
        <v>0</v>
      </c>
      <c r="I9931" s="21" t="n">
        <v>0</v>
      </c>
      <c r="J9931" s="21" t="n">
        <v>0</v>
      </c>
      <c r="K9931" s="21" t="n">
        <v>0</v>
      </c>
      <c r="L9931" s="21" t="n">
        <v>0</v>
      </c>
      <c r="M9931" s="21" t="n">
        <v>0</v>
      </c>
      <c r="N9931" s="21">
        <f>$B$8764</f>
        <v/>
      </c>
      <c r="O9931" s="21">
        <f>$B$8766</f>
        <v/>
      </c>
      <c r="P9931" s="21">
        <f>0</f>
        <v/>
      </c>
      <c r="Q9931" s="21">
        <f>2*$B$8765</f>
        <v/>
      </c>
      <c r="R9931" s="21">
        <f>-$B$8764</f>
        <v/>
      </c>
      <c r="S9931" s="21">
        <f>$B$8766</f>
        <v/>
      </c>
      <c r="T9931" s="21" t="n">
        <v>0</v>
      </c>
      <c r="U9931" s="21" t="n">
        <v>0</v>
      </c>
      <c r="V9931" s="21" t="n">
        <v>0</v>
      </c>
      <c r="W9931" s="21" t="n">
        <v>0</v>
      </c>
      <c r="X9931" s="21" t="n">
        <v>0</v>
      </c>
      <c r="Y9931" s="21" t="n">
        <v>0</v>
      </c>
      <c r="Z9931" s="19" t="n"/>
    </row>
    <row r="9932">
      <c r="D9932" s="21" t="n">
        <v>0</v>
      </c>
      <c r="E9932" s="21" t="n">
        <v>0</v>
      </c>
      <c r="F9932" s="21" t="n">
        <v>0</v>
      </c>
      <c r="G9932" s="21" t="n">
        <v>0</v>
      </c>
      <c r="H9932" s="21" t="n">
        <v>0</v>
      </c>
      <c r="I9932" s="21" t="n">
        <v>0</v>
      </c>
      <c r="J9932" s="21" t="n">
        <v>0</v>
      </c>
      <c r="K9932" s="21" t="n">
        <v>0</v>
      </c>
      <c r="L9932" s="21" t="n">
        <v>0</v>
      </c>
      <c r="M9932" s="21" t="n">
        <v>0</v>
      </c>
      <c r="N9932" s="21" t="n">
        <v>0</v>
      </c>
      <c r="O9932" s="21" t="n">
        <v>0</v>
      </c>
      <c r="P9932" s="21">
        <f>-$B$8763</f>
        <v/>
      </c>
      <c r="Q9932" s="21">
        <f>-$B$8764</f>
        <v/>
      </c>
      <c r="R9932" s="21">
        <f>2*$B$8763+$D$9913</f>
        <v/>
      </c>
      <c r="S9932" s="21">
        <f>0</f>
        <v/>
      </c>
      <c r="T9932" s="21">
        <f>-$B$8763</f>
        <v/>
      </c>
      <c r="U9932" s="21">
        <f>$B$8764</f>
        <v/>
      </c>
      <c r="V9932" s="21" t="n">
        <v>0</v>
      </c>
      <c r="W9932" s="21" t="n">
        <v>0</v>
      </c>
      <c r="X9932" s="21" t="n">
        <v>0</v>
      </c>
      <c r="Y9932" s="21" t="n">
        <v>0</v>
      </c>
      <c r="Z9932" s="19" t="n"/>
    </row>
    <row r="9933">
      <c r="D9933" s="21" t="n">
        <v>0</v>
      </c>
      <c r="E9933" s="21" t="n">
        <v>0</v>
      </c>
      <c r="F9933" s="21" t="n">
        <v>0</v>
      </c>
      <c r="G9933" s="21" t="n">
        <v>0</v>
      </c>
      <c r="H9933" s="21" t="n">
        <v>0</v>
      </c>
      <c r="I9933" s="21" t="n">
        <v>0</v>
      </c>
      <c r="J9933" s="21" t="n">
        <v>0</v>
      </c>
      <c r="K9933" s="21" t="n">
        <v>0</v>
      </c>
      <c r="L9933" s="21" t="n">
        <v>0</v>
      </c>
      <c r="M9933" s="21" t="n">
        <v>0</v>
      </c>
      <c r="N9933" s="21" t="n">
        <v>0</v>
      </c>
      <c r="O9933" s="21" t="n">
        <v>0</v>
      </c>
      <c r="P9933" s="21">
        <f>$B$8764</f>
        <v/>
      </c>
      <c r="Q9933" s="21">
        <f>$B$8766</f>
        <v/>
      </c>
      <c r="R9933" s="21">
        <f>0</f>
        <v/>
      </c>
      <c r="S9933" s="21">
        <f>2*$B$8765</f>
        <v/>
      </c>
      <c r="T9933" s="21">
        <f>-$B$8764</f>
        <v/>
      </c>
      <c r="U9933" s="21">
        <f>$B$8766</f>
        <v/>
      </c>
      <c r="V9933" s="21" t="n">
        <v>0</v>
      </c>
      <c r="W9933" s="21" t="n">
        <v>0</v>
      </c>
      <c r="X9933" s="21" t="n">
        <v>0</v>
      </c>
      <c r="Y9933" s="21" t="n">
        <v>0</v>
      </c>
      <c r="Z9933" s="19" t="n"/>
    </row>
    <row r="9934">
      <c r="D9934" s="21" t="n">
        <v>0</v>
      </c>
      <c r="E9934" s="21" t="n">
        <v>0</v>
      </c>
      <c r="F9934" s="21" t="n">
        <v>0</v>
      </c>
      <c r="G9934" s="21" t="n">
        <v>0</v>
      </c>
      <c r="H9934" s="21" t="n">
        <v>0</v>
      </c>
      <c r="I9934" s="21" t="n">
        <v>0</v>
      </c>
      <c r="J9934" s="21" t="n">
        <v>0</v>
      </c>
      <c r="K9934" s="21" t="n">
        <v>0</v>
      </c>
      <c r="L9934" s="21" t="n">
        <v>0</v>
      </c>
      <c r="M9934" s="21" t="n">
        <v>0</v>
      </c>
      <c r="N9934" s="21" t="n">
        <v>0</v>
      </c>
      <c r="O9934" s="21" t="n">
        <v>0</v>
      </c>
      <c r="P9934" s="21" t="n">
        <v>0</v>
      </c>
      <c r="Q9934" s="21" t="n">
        <v>0</v>
      </c>
      <c r="R9934" s="21">
        <f>-$B$8763</f>
        <v/>
      </c>
      <c r="S9934" s="21">
        <f>-$B$8764</f>
        <v/>
      </c>
      <c r="T9934" s="21">
        <f>2*$B$8763+$D$9914</f>
        <v/>
      </c>
      <c r="U9934" s="21">
        <f>0</f>
        <v/>
      </c>
      <c r="V9934" s="21">
        <f>-$B$8763</f>
        <v/>
      </c>
      <c r="W9934" s="21">
        <f>$B$8764</f>
        <v/>
      </c>
      <c r="X9934" s="21" t="n">
        <v>0</v>
      </c>
      <c r="Y9934" s="21" t="n">
        <v>0</v>
      </c>
      <c r="Z9934" s="19" t="n"/>
    </row>
    <row r="9935">
      <c r="D9935" s="21" t="n">
        <v>0</v>
      </c>
      <c r="E9935" s="21" t="n">
        <v>0</v>
      </c>
      <c r="F9935" s="21" t="n">
        <v>0</v>
      </c>
      <c r="G9935" s="21" t="n">
        <v>0</v>
      </c>
      <c r="H9935" s="21" t="n">
        <v>0</v>
      </c>
      <c r="I9935" s="21" t="n">
        <v>0</v>
      </c>
      <c r="J9935" s="21" t="n">
        <v>0</v>
      </c>
      <c r="K9935" s="21" t="n">
        <v>0</v>
      </c>
      <c r="L9935" s="21" t="n">
        <v>0</v>
      </c>
      <c r="M9935" s="21" t="n">
        <v>0</v>
      </c>
      <c r="N9935" s="21" t="n">
        <v>0</v>
      </c>
      <c r="O9935" s="21" t="n">
        <v>0</v>
      </c>
      <c r="P9935" s="21" t="n">
        <v>0</v>
      </c>
      <c r="Q9935" s="21" t="n">
        <v>0</v>
      </c>
      <c r="R9935" s="21">
        <f>$B$8764</f>
        <v/>
      </c>
      <c r="S9935" s="21">
        <f>$B$8766</f>
        <v/>
      </c>
      <c r="T9935" s="21">
        <f>0</f>
        <v/>
      </c>
      <c r="U9935" s="21">
        <f>2*$B$8765</f>
        <v/>
      </c>
      <c r="V9935" s="21">
        <f>-$B$8764</f>
        <v/>
      </c>
      <c r="W9935" s="21">
        <f>$B$8766</f>
        <v/>
      </c>
      <c r="X9935" s="21" t="n">
        <v>0</v>
      </c>
      <c r="Y9935" s="21" t="n">
        <v>0</v>
      </c>
      <c r="Z9935" s="19" t="n"/>
    </row>
    <row r="9936">
      <c r="D9936" s="21" t="n">
        <v>0</v>
      </c>
      <c r="E9936" s="21" t="n">
        <v>0</v>
      </c>
      <c r="F9936" s="21" t="n">
        <v>0</v>
      </c>
      <c r="G9936" s="21" t="n">
        <v>0</v>
      </c>
      <c r="H9936" s="21" t="n">
        <v>0</v>
      </c>
      <c r="I9936" s="21" t="n">
        <v>0</v>
      </c>
      <c r="J9936" s="21" t="n">
        <v>0</v>
      </c>
      <c r="K9936" s="21" t="n">
        <v>0</v>
      </c>
      <c r="L9936" s="21" t="n">
        <v>0</v>
      </c>
      <c r="M9936" s="21" t="n">
        <v>0</v>
      </c>
      <c r="N9936" s="21" t="n">
        <v>0</v>
      </c>
      <c r="O9936" s="21" t="n">
        <v>0</v>
      </c>
      <c r="P9936" s="21" t="n">
        <v>0</v>
      </c>
      <c r="Q9936" s="21" t="n">
        <v>0</v>
      </c>
      <c r="R9936" s="21" t="n">
        <v>0</v>
      </c>
      <c r="S9936" s="21" t="n">
        <v>0</v>
      </c>
      <c r="T9936" s="21">
        <f>-$B$8763</f>
        <v/>
      </c>
      <c r="U9936" s="21">
        <f>-$B$8764</f>
        <v/>
      </c>
      <c r="V9936" s="21">
        <f>2*$B$8763+$D$9915</f>
        <v/>
      </c>
      <c r="W9936" s="21">
        <f>0</f>
        <v/>
      </c>
      <c r="X9936" s="21">
        <f>-$B$8763</f>
        <v/>
      </c>
      <c r="Y9936" s="21">
        <f>$B$8764</f>
        <v/>
      </c>
      <c r="Z9936" s="19" t="n"/>
    </row>
    <row r="9937">
      <c r="D9937" s="21" t="n">
        <v>0</v>
      </c>
      <c r="E9937" s="21" t="n">
        <v>0</v>
      </c>
      <c r="F9937" s="21" t="n">
        <v>0</v>
      </c>
      <c r="G9937" s="21" t="n">
        <v>0</v>
      </c>
      <c r="H9937" s="21" t="n">
        <v>0</v>
      </c>
      <c r="I9937" s="21" t="n">
        <v>0</v>
      </c>
      <c r="J9937" s="21" t="n">
        <v>0</v>
      </c>
      <c r="K9937" s="21" t="n">
        <v>0</v>
      </c>
      <c r="L9937" s="21" t="n">
        <v>0</v>
      </c>
      <c r="M9937" s="21" t="n">
        <v>0</v>
      </c>
      <c r="N9937" s="21" t="n">
        <v>0</v>
      </c>
      <c r="O9937" s="21" t="n">
        <v>0</v>
      </c>
      <c r="P9937" s="21" t="n">
        <v>0</v>
      </c>
      <c r="Q9937" s="21" t="n">
        <v>0</v>
      </c>
      <c r="R9937" s="21" t="n">
        <v>0</v>
      </c>
      <c r="S9937" s="21" t="n">
        <v>0</v>
      </c>
      <c r="T9937" s="21">
        <f>$B$8764</f>
        <v/>
      </c>
      <c r="U9937" s="21">
        <f>$B$8766</f>
        <v/>
      </c>
      <c r="V9937" s="21">
        <f>0</f>
        <v/>
      </c>
      <c r="W9937" s="21">
        <f>2*$B$8765</f>
        <v/>
      </c>
      <c r="X9937" s="21">
        <f>-$B$8764</f>
        <v/>
      </c>
      <c r="Y9937" s="21">
        <f>$B$8766</f>
        <v/>
      </c>
      <c r="Z9937" s="19" t="n"/>
    </row>
    <row r="9938">
      <c r="D9938" s="21" t="n">
        <v>0</v>
      </c>
      <c r="E9938" s="21" t="n">
        <v>0</v>
      </c>
      <c r="F9938" s="21" t="n">
        <v>0</v>
      </c>
      <c r="G9938" s="21" t="n">
        <v>0</v>
      </c>
      <c r="H9938" s="21" t="n">
        <v>0</v>
      </c>
      <c r="I9938" s="21" t="n">
        <v>0</v>
      </c>
      <c r="J9938" s="21" t="n">
        <v>0</v>
      </c>
      <c r="K9938" s="21" t="n">
        <v>0</v>
      </c>
      <c r="L9938" s="21" t="n">
        <v>0</v>
      </c>
      <c r="M9938" s="21" t="n">
        <v>0</v>
      </c>
      <c r="N9938" s="21" t="n">
        <v>0</v>
      </c>
      <c r="O9938" s="21" t="n">
        <v>0</v>
      </c>
      <c r="P9938" s="21" t="n">
        <v>0</v>
      </c>
      <c r="Q9938" s="21" t="n">
        <v>0</v>
      </c>
      <c r="R9938" s="21" t="n">
        <v>0</v>
      </c>
      <c r="S9938" s="21" t="n">
        <v>0</v>
      </c>
      <c r="T9938" s="21" t="n">
        <v>0</v>
      </c>
      <c r="U9938" s="21" t="n">
        <v>0</v>
      </c>
      <c r="V9938" s="21">
        <f>-$B$8763</f>
        <v/>
      </c>
      <c r="W9938" s="21">
        <f>-$B$8764</f>
        <v/>
      </c>
      <c r="X9938" s="21">
        <f>$B$8763+$D$9916</f>
        <v/>
      </c>
      <c r="Y9938" s="21">
        <f>-$B$8764</f>
        <v/>
      </c>
      <c r="Z9938" s="19" t="n"/>
    </row>
    <row r="9939">
      <c r="D9939" s="21" t="n">
        <v>0</v>
      </c>
      <c r="E9939" s="21" t="n">
        <v>0</v>
      </c>
      <c r="F9939" s="21" t="n">
        <v>0</v>
      </c>
      <c r="G9939" s="21" t="n">
        <v>0</v>
      </c>
      <c r="H9939" s="21" t="n">
        <v>0</v>
      </c>
      <c r="I9939" s="21" t="n">
        <v>0</v>
      </c>
      <c r="J9939" s="21" t="n">
        <v>0</v>
      </c>
      <c r="K9939" s="21" t="n">
        <v>0</v>
      </c>
      <c r="L9939" s="21" t="n">
        <v>0</v>
      </c>
      <c r="M9939" s="21" t="n">
        <v>0</v>
      </c>
      <c r="N9939" s="21" t="n">
        <v>0</v>
      </c>
      <c r="O9939" s="21" t="n">
        <v>0</v>
      </c>
      <c r="P9939" s="21" t="n">
        <v>0</v>
      </c>
      <c r="Q9939" s="21" t="n">
        <v>0</v>
      </c>
      <c r="R9939" s="21" t="n">
        <v>0</v>
      </c>
      <c r="S9939" s="21" t="n">
        <v>0</v>
      </c>
      <c r="T9939" s="21" t="n">
        <v>0</v>
      </c>
      <c r="U9939" s="21" t="n">
        <v>0</v>
      </c>
      <c r="V9939" s="21">
        <f>$B$8764</f>
        <v/>
      </c>
      <c r="W9939" s="21">
        <f>$B$8766</f>
        <v/>
      </c>
      <c r="X9939" s="21">
        <f>-$B$8764</f>
        <v/>
      </c>
      <c r="Y9939" s="21">
        <f>$B$8765</f>
        <v/>
      </c>
      <c r="Z9939" s="19" t="n"/>
    </row>
    <row r="9941">
      <c r="A9941" s="8" t="inlineStr">
        <is>
          <t>gen 32</t>
        </is>
      </c>
    </row>
    <row r="9942">
      <c r="D9942" s="19">
        <f>IF(ABS(IF(ABS($E$9906)&gt;0.000000001,$E$9906,0.000000001))=0,0,IF($E$8778&lt;=$B$8772,0,IF(ABS(IF(ABS($E$9906)&gt;0.000000001,$E$9906,0.000000001))&gt;=8*$B$8774,$H$8778,0.5*$H$8778*(ABS(IF(ABS($E$9906)&gt;0.000000001,$E$9906,0.000000001))/$B$8774)^(1/3)))/ABS(IF(ABS($E$9906)&gt;0.000000001,$E$9906,0.000000001))*$I$8778)</f>
        <v/>
      </c>
      <c r="E9942" s="19">
        <f>0.5*$E$9906+0.5*$Z$9954</f>
        <v/>
      </c>
      <c r="F9942" s="19">
        <f>$Z$9955</f>
        <v/>
      </c>
    </row>
    <row r="9943">
      <c r="D9943" s="19">
        <f>IF(ABS(IF(ABS($E$9907)&gt;0.000000001,$E$9907,0.000000001))=0,0,IF($E$8779&lt;=$B$8772,0,IF(ABS(IF(ABS($E$9907)&gt;0.000000001,$E$9907,0.000000001))&gt;=8*$B$8774,$H$8779,0.5*$H$8779*(ABS(IF(ABS($E$9907)&gt;0.000000001,$E$9907,0.000000001))/$B$8774)^(1/3)))/ABS(IF(ABS($E$9907)&gt;0.000000001,$E$9907,0.000000001))*$I$8779)</f>
        <v/>
      </c>
      <c r="E9943" s="19">
        <f>0.5*$E$9907+0.5*$Z$9956</f>
        <v/>
      </c>
      <c r="F9943" s="19">
        <f>$Z$9957</f>
        <v/>
      </c>
    </row>
    <row r="9944">
      <c r="D9944" s="19">
        <f>IF(ABS(IF(ABS($E$9908)&gt;0.000000001,$E$9908,0.000000001))=0,0,IF($E$8780&lt;=$B$8772,0,IF(ABS(IF(ABS($E$9908)&gt;0.000000001,$E$9908,0.000000001))&gt;=8*$B$8774,$H$8780,0.5*$H$8780*(ABS(IF(ABS($E$9908)&gt;0.000000001,$E$9908,0.000000001))/$B$8774)^(1/3)))/ABS(IF(ABS($E$9908)&gt;0.000000001,$E$9908,0.000000001))*$I$8780)</f>
        <v/>
      </c>
      <c r="E9944" s="19">
        <f>0.5*$E$9908+0.5*$Z$9958</f>
        <v/>
      </c>
      <c r="F9944" s="19">
        <f>$Z$9959</f>
        <v/>
      </c>
    </row>
    <row r="9945">
      <c r="D9945" s="19">
        <f>IF(ABS(IF(ABS($E$9909)&gt;0.000000001,$E$9909,0.000000001))=0,0,IF($E$8781&lt;=$B$8772,0,IF(ABS(IF(ABS($E$9909)&gt;0.000000001,$E$9909,0.000000001))&gt;=8*$B$8774,$H$8781,0.5*$H$8781*(ABS(IF(ABS($E$9909)&gt;0.000000001,$E$9909,0.000000001))/$B$8774)^(1/3)))/ABS(IF(ABS($E$9909)&gt;0.000000001,$E$9909,0.000000001))*$I$8781)</f>
        <v/>
      </c>
      <c r="E9945" s="19">
        <f>0.5*$E$9909+0.5*$Z$9960</f>
        <v/>
      </c>
      <c r="F9945" s="19">
        <f>$Z$9961</f>
        <v/>
      </c>
    </row>
    <row r="9946">
      <c r="D9946" s="19">
        <f>IF(ABS(IF(ABS($E$9910)&gt;0.000000001,$E$9910,0.000000001))=0,0,IF($E$8782&lt;=$B$8772,0,IF(ABS(IF(ABS($E$9910)&gt;0.000000001,$E$9910,0.000000001))&gt;=8*$B$8774,$H$8782,0.5*$H$8782*(ABS(IF(ABS($E$9910)&gt;0.000000001,$E$9910,0.000000001))/$B$8774)^(1/3)))/ABS(IF(ABS($E$9910)&gt;0.000000001,$E$9910,0.000000001))*$I$8782)</f>
        <v/>
      </c>
      <c r="E9946" s="19">
        <f>0.5*$E$9910+0.5*$Z$9962</f>
        <v/>
      </c>
      <c r="F9946" s="19">
        <f>$Z$9963</f>
        <v/>
      </c>
    </row>
    <row r="9947">
      <c r="D9947" s="19">
        <f>IF(ABS(IF(ABS($E$9911)&gt;0.000000001,$E$9911,0.000000001))=0,0,IF($E$8783&lt;=$B$8772,0,IF(ABS(IF(ABS($E$9911)&gt;0.000000001,$E$9911,0.000000001))&gt;=8*$B$8774,$H$8783,0.5*$H$8783*(ABS(IF(ABS($E$9911)&gt;0.000000001,$E$9911,0.000000001))/$B$8774)^(1/3)))/ABS(IF(ABS($E$9911)&gt;0.000000001,$E$9911,0.000000001))*$I$8783)</f>
        <v/>
      </c>
      <c r="E9947" s="19">
        <f>0.5*$E$9911+0.5*$Z$9964</f>
        <v/>
      </c>
      <c r="F9947" s="19">
        <f>$Z$9965</f>
        <v/>
      </c>
    </row>
    <row r="9948">
      <c r="D9948" s="19">
        <f>IF(ABS(IF(ABS($E$9912)&gt;0.000000001,$E$9912,0.000000001))=0,0,IF($E$8784&lt;=$B$8772,0,IF(ABS(IF(ABS($E$9912)&gt;0.000000001,$E$9912,0.000000001))&gt;=8*$B$8774,$H$8784,0.5*$H$8784*(ABS(IF(ABS($E$9912)&gt;0.000000001,$E$9912,0.000000001))/$B$8774)^(1/3)))/ABS(IF(ABS($E$9912)&gt;0.000000001,$E$9912,0.000000001))*$I$8784)</f>
        <v/>
      </c>
      <c r="E9948" s="19">
        <f>0.5*$E$9912+0.5*$Z$9966</f>
        <v/>
      </c>
      <c r="F9948" s="19">
        <f>$Z$9967</f>
        <v/>
      </c>
    </row>
    <row r="9949">
      <c r="D9949" s="19">
        <f>IF(ABS(IF(ABS($E$9913)&gt;0.000000001,$E$9913,0.000000001))=0,0,IF($E$8785&lt;=$B$8772,0,IF(ABS(IF(ABS($E$9913)&gt;0.000000001,$E$9913,0.000000001))&gt;=8*$B$8774,$H$8785,0.5*$H$8785*(ABS(IF(ABS($E$9913)&gt;0.000000001,$E$9913,0.000000001))/$B$8774)^(1/3)))/ABS(IF(ABS($E$9913)&gt;0.000000001,$E$9913,0.000000001))*$I$8785)</f>
        <v/>
      </c>
      <c r="E9949" s="19">
        <f>0.5*$E$9913+0.5*$Z$9968</f>
        <v/>
      </c>
      <c r="F9949" s="19">
        <f>$Z$9969</f>
        <v/>
      </c>
    </row>
    <row r="9950">
      <c r="D9950" s="19">
        <f>IF(ABS(IF(ABS($E$9914)&gt;0.000000001,$E$9914,0.000000001))=0,0,IF($E$8786&lt;=$B$8772,0,IF(ABS(IF(ABS($E$9914)&gt;0.000000001,$E$9914,0.000000001))&gt;=8*$B$8774,$H$8786,0.5*$H$8786*(ABS(IF(ABS($E$9914)&gt;0.000000001,$E$9914,0.000000001))/$B$8774)^(1/3)))/ABS(IF(ABS($E$9914)&gt;0.000000001,$E$9914,0.000000001))*$I$8786)</f>
        <v/>
      </c>
      <c r="E9950" s="19">
        <f>0.5*$E$9914+0.5*$Z$9970</f>
        <v/>
      </c>
      <c r="F9950" s="19">
        <f>$Z$9971</f>
        <v/>
      </c>
    </row>
    <row r="9951">
      <c r="D9951" s="19">
        <f>IF(ABS(IF(ABS($E$9915)&gt;0.000000001,$E$9915,0.000000001))=0,0,IF($E$8787&lt;=$B$8772,0,IF(ABS(IF(ABS($E$9915)&gt;0.000000001,$E$9915,0.000000001))&gt;=8*$B$8774,$H$8787,0.5*$H$8787*(ABS(IF(ABS($E$9915)&gt;0.000000001,$E$9915,0.000000001))/$B$8774)^(1/3)))/ABS(IF(ABS($E$9915)&gt;0.000000001,$E$9915,0.000000001))*$I$8787)</f>
        <v/>
      </c>
      <c r="E9951" s="19">
        <f>0.5*$E$9915+0.5*$Z$9972</f>
        <v/>
      </c>
      <c r="F9951" s="19">
        <f>$Z$9973</f>
        <v/>
      </c>
    </row>
    <row r="9952">
      <c r="D9952" s="19">
        <f>IF(ABS(IF(ABS($E$9916)&gt;0.000000001,$E$9916,0.000000001))=0,0,IF($E$8788&lt;=$B$8772,0,IF(ABS(IF(ABS($E$9916)&gt;0.000000001,$E$9916,0.000000001))&gt;=8*$B$8774,$H$8788,0.5*$H$8788*(ABS(IF(ABS($E$9916)&gt;0.000000001,$E$9916,0.000000001))/$B$8774)^(1/3)))/ABS(IF(ABS($E$9916)&gt;0.000000001,$E$9916,0.000000001))*$I$8788)</f>
        <v/>
      </c>
      <c r="E9952" s="19">
        <f>0.5*$E$9916+0.5*$Z$9974</f>
        <v/>
      </c>
      <c r="F9952" s="19">
        <f>$Z$9975</f>
        <v/>
      </c>
    </row>
    <row r="9954">
      <c r="D9954" s="21">
        <f>$B$8763+$D$9942</f>
        <v/>
      </c>
      <c r="E9954" s="21">
        <f>$B$8764</f>
        <v/>
      </c>
      <c r="F9954" s="21">
        <f>-$B$8763</f>
        <v/>
      </c>
      <c r="G9954" s="21">
        <f>$B$8764</f>
        <v/>
      </c>
      <c r="H9954" s="21" t="n">
        <v>0</v>
      </c>
      <c r="I9954" s="21" t="n">
        <v>0</v>
      </c>
      <c r="J9954" s="21" t="n">
        <v>0</v>
      </c>
      <c r="K9954" s="21" t="n">
        <v>0</v>
      </c>
      <c r="L9954" s="21" t="n">
        <v>0</v>
      </c>
      <c r="M9954" s="21" t="n">
        <v>0</v>
      </c>
      <c r="N9954" s="21" t="n">
        <v>0</v>
      </c>
      <c r="O9954" s="21" t="n">
        <v>0</v>
      </c>
      <c r="P9954" s="21" t="n">
        <v>0</v>
      </c>
      <c r="Q9954" s="21" t="n">
        <v>0</v>
      </c>
      <c r="R9954" s="21" t="n">
        <v>0</v>
      </c>
      <c r="S9954" s="21" t="n">
        <v>0</v>
      </c>
      <c r="T9954" s="21" t="n">
        <v>0</v>
      </c>
      <c r="U9954" s="21" t="n">
        <v>0</v>
      </c>
      <c r="V9954" s="21" t="n">
        <v>0</v>
      </c>
      <c r="W9954" s="21" t="n">
        <v>0</v>
      </c>
      <c r="X9954" s="21" t="n">
        <v>0</v>
      </c>
      <c r="Y9954" s="21" t="n">
        <v>0</v>
      </c>
      <c r="Z9954" s="19">
        <f t="array" ref="Z9954:Z9975">MMULT(MINVERSE($D$9954:$Y$9975),$D$8790:$D$8811)</f>
        <v/>
      </c>
    </row>
    <row r="9955">
      <c r="D9955" s="21">
        <f>$B$8764</f>
        <v/>
      </c>
      <c r="E9955" s="21">
        <f>$B$8765</f>
        <v/>
      </c>
      <c r="F9955" s="21">
        <f>-$B$8764</f>
        <v/>
      </c>
      <c r="G9955" s="21">
        <f>$B$8766</f>
        <v/>
      </c>
      <c r="H9955" s="21" t="n">
        <v>0</v>
      </c>
      <c r="I9955" s="21" t="n">
        <v>0</v>
      </c>
      <c r="J9955" s="21" t="n">
        <v>0</v>
      </c>
      <c r="K9955" s="21" t="n">
        <v>0</v>
      </c>
      <c r="L9955" s="21" t="n">
        <v>0</v>
      </c>
      <c r="M9955" s="21" t="n">
        <v>0</v>
      </c>
      <c r="N9955" s="21" t="n">
        <v>0</v>
      </c>
      <c r="O9955" s="21" t="n">
        <v>0</v>
      </c>
      <c r="P9955" s="21" t="n">
        <v>0</v>
      </c>
      <c r="Q9955" s="21" t="n">
        <v>0</v>
      </c>
      <c r="R9955" s="21" t="n">
        <v>0</v>
      </c>
      <c r="S9955" s="21" t="n">
        <v>0</v>
      </c>
      <c r="T9955" s="21" t="n">
        <v>0</v>
      </c>
      <c r="U9955" s="21" t="n">
        <v>0</v>
      </c>
      <c r="V9955" s="21" t="n">
        <v>0</v>
      </c>
      <c r="W9955" s="21" t="n">
        <v>0</v>
      </c>
      <c r="X9955" s="21" t="n">
        <v>0</v>
      </c>
      <c r="Y9955" s="21" t="n">
        <v>0</v>
      </c>
      <c r="Z9955" s="19" t="n"/>
    </row>
    <row r="9956">
      <c r="D9956" s="21">
        <f>-$B$8763</f>
        <v/>
      </c>
      <c r="E9956" s="21">
        <f>-$B$8764</f>
        <v/>
      </c>
      <c r="F9956" s="21">
        <f>2*$B$8763+$D$9943</f>
        <v/>
      </c>
      <c r="G9956" s="21">
        <f>0</f>
        <v/>
      </c>
      <c r="H9956" s="21">
        <f>-$B$8763</f>
        <v/>
      </c>
      <c r="I9956" s="21">
        <f>$B$8764</f>
        <v/>
      </c>
      <c r="J9956" s="21" t="n">
        <v>0</v>
      </c>
      <c r="K9956" s="21" t="n">
        <v>0</v>
      </c>
      <c r="L9956" s="21" t="n">
        <v>0</v>
      </c>
      <c r="M9956" s="21" t="n">
        <v>0</v>
      </c>
      <c r="N9956" s="21" t="n">
        <v>0</v>
      </c>
      <c r="O9956" s="21" t="n">
        <v>0</v>
      </c>
      <c r="P9956" s="21" t="n">
        <v>0</v>
      </c>
      <c r="Q9956" s="21" t="n">
        <v>0</v>
      </c>
      <c r="R9956" s="21" t="n">
        <v>0</v>
      </c>
      <c r="S9956" s="21" t="n">
        <v>0</v>
      </c>
      <c r="T9956" s="21" t="n">
        <v>0</v>
      </c>
      <c r="U9956" s="21" t="n">
        <v>0</v>
      </c>
      <c r="V9956" s="21" t="n">
        <v>0</v>
      </c>
      <c r="W9956" s="21" t="n">
        <v>0</v>
      </c>
      <c r="X9956" s="21" t="n">
        <v>0</v>
      </c>
      <c r="Y9956" s="21" t="n">
        <v>0</v>
      </c>
      <c r="Z9956" s="19" t="n"/>
    </row>
    <row r="9957">
      <c r="D9957" s="21">
        <f>$B$8764</f>
        <v/>
      </c>
      <c r="E9957" s="21">
        <f>$B$8766</f>
        <v/>
      </c>
      <c r="F9957" s="21">
        <f>0</f>
        <v/>
      </c>
      <c r="G9957" s="21">
        <f>2*$B$8765</f>
        <v/>
      </c>
      <c r="H9957" s="21">
        <f>-$B$8764</f>
        <v/>
      </c>
      <c r="I9957" s="21">
        <f>$B$8766</f>
        <v/>
      </c>
      <c r="J9957" s="21" t="n">
        <v>0</v>
      </c>
      <c r="K9957" s="21" t="n">
        <v>0</v>
      </c>
      <c r="L9957" s="21" t="n">
        <v>0</v>
      </c>
      <c r="M9957" s="21" t="n">
        <v>0</v>
      </c>
      <c r="N9957" s="21" t="n">
        <v>0</v>
      </c>
      <c r="O9957" s="21" t="n">
        <v>0</v>
      </c>
      <c r="P9957" s="21" t="n">
        <v>0</v>
      </c>
      <c r="Q9957" s="21" t="n">
        <v>0</v>
      </c>
      <c r="R9957" s="21" t="n">
        <v>0</v>
      </c>
      <c r="S9957" s="21" t="n">
        <v>0</v>
      </c>
      <c r="T9957" s="21" t="n">
        <v>0</v>
      </c>
      <c r="U9957" s="21" t="n">
        <v>0</v>
      </c>
      <c r="V9957" s="21" t="n">
        <v>0</v>
      </c>
      <c r="W9957" s="21" t="n">
        <v>0</v>
      </c>
      <c r="X9957" s="21" t="n">
        <v>0</v>
      </c>
      <c r="Y9957" s="21" t="n">
        <v>0</v>
      </c>
      <c r="Z9957" s="19" t="n"/>
    </row>
    <row r="9958">
      <c r="D9958" s="21" t="n">
        <v>0</v>
      </c>
      <c r="E9958" s="21" t="n">
        <v>0</v>
      </c>
      <c r="F9958" s="21">
        <f>-$B$8763</f>
        <v/>
      </c>
      <c r="G9958" s="21">
        <f>-$B$8764</f>
        <v/>
      </c>
      <c r="H9958" s="21">
        <f>2*$B$8763+$D$9944</f>
        <v/>
      </c>
      <c r="I9958" s="21">
        <f>0</f>
        <v/>
      </c>
      <c r="J9958" s="21">
        <f>-$B$8763</f>
        <v/>
      </c>
      <c r="K9958" s="21">
        <f>$B$8764</f>
        <v/>
      </c>
      <c r="L9958" s="21" t="n">
        <v>0</v>
      </c>
      <c r="M9958" s="21" t="n">
        <v>0</v>
      </c>
      <c r="N9958" s="21" t="n">
        <v>0</v>
      </c>
      <c r="O9958" s="21" t="n">
        <v>0</v>
      </c>
      <c r="P9958" s="21" t="n">
        <v>0</v>
      </c>
      <c r="Q9958" s="21" t="n">
        <v>0</v>
      </c>
      <c r="R9958" s="21" t="n">
        <v>0</v>
      </c>
      <c r="S9958" s="21" t="n">
        <v>0</v>
      </c>
      <c r="T9958" s="21" t="n">
        <v>0</v>
      </c>
      <c r="U9958" s="21" t="n">
        <v>0</v>
      </c>
      <c r="V9958" s="21" t="n">
        <v>0</v>
      </c>
      <c r="W9958" s="21" t="n">
        <v>0</v>
      </c>
      <c r="X9958" s="21" t="n">
        <v>0</v>
      </c>
      <c r="Y9958" s="21" t="n">
        <v>0</v>
      </c>
      <c r="Z9958" s="19" t="n"/>
    </row>
    <row r="9959">
      <c r="D9959" s="21" t="n">
        <v>0</v>
      </c>
      <c r="E9959" s="21" t="n">
        <v>0</v>
      </c>
      <c r="F9959" s="21">
        <f>$B$8764</f>
        <v/>
      </c>
      <c r="G9959" s="21">
        <f>$B$8766</f>
        <v/>
      </c>
      <c r="H9959" s="21">
        <f>0</f>
        <v/>
      </c>
      <c r="I9959" s="21">
        <f>2*$B$8765</f>
        <v/>
      </c>
      <c r="J9959" s="21">
        <f>-$B$8764</f>
        <v/>
      </c>
      <c r="K9959" s="21">
        <f>$B$8766</f>
        <v/>
      </c>
      <c r="L9959" s="21" t="n">
        <v>0</v>
      </c>
      <c r="M9959" s="21" t="n">
        <v>0</v>
      </c>
      <c r="N9959" s="21" t="n">
        <v>0</v>
      </c>
      <c r="O9959" s="21" t="n">
        <v>0</v>
      </c>
      <c r="P9959" s="21" t="n">
        <v>0</v>
      </c>
      <c r="Q9959" s="21" t="n">
        <v>0</v>
      </c>
      <c r="R9959" s="21" t="n">
        <v>0</v>
      </c>
      <c r="S9959" s="21" t="n">
        <v>0</v>
      </c>
      <c r="T9959" s="21" t="n">
        <v>0</v>
      </c>
      <c r="U9959" s="21" t="n">
        <v>0</v>
      </c>
      <c r="V9959" s="21" t="n">
        <v>0</v>
      </c>
      <c r="W9959" s="21" t="n">
        <v>0</v>
      </c>
      <c r="X9959" s="21" t="n">
        <v>0</v>
      </c>
      <c r="Y9959" s="21" t="n">
        <v>0</v>
      </c>
      <c r="Z9959" s="19" t="n"/>
    </row>
    <row r="9960">
      <c r="D9960" s="21" t="n">
        <v>0</v>
      </c>
      <c r="E9960" s="21" t="n">
        <v>0</v>
      </c>
      <c r="F9960" s="21" t="n">
        <v>0</v>
      </c>
      <c r="G9960" s="21" t="n">
        <v>0</v>
      </c>
      <c r="H9960" s="21">
        <f>-$B$8763</f>
        <v/>
      </c>
      <c r="I9960" s="21">
        <f>-$B$8764</f>
        <v/>
      </c>
      <c r="J9960" s="21">
        <f>2*$B$8763+$D$9945</f>
        <v/>
      </c>
      <c r="K9960" s="21">
        <f>0</f>
        <v/>
      </c>
      <c r="L9960" s="21">
        <f>-$B$8763</f>
        <v/>
      </c>
      <c r="M9960" s="21">
        <f>$B$8764</f>
        <v/>
      </c>
      <c r="N9960" s="21" t="n">
        <v>0</v>
      </c>
      <c r="O9960" s="21" t="n">
        <v>0</v>
      </c>
      <c r="P9960" s="21" t="n">
        <v>0</v>
      </c>
      <c r="Q9960" s="21" t="n">
        <v>0</v>
      </c>
      <c r="R9960" s="21" t="n">
        <v>0</v>
      </c>
      <c r="S9960" s="21" t="n">
        <v>0</v>
      </c>
      <c r="T9960" s="21" t="n">
        <v>0</v>
      </c>
      <c r="U9960" s="21" t="n">
        <v>0</v>
      </c>
      <c r="V9960" s="21" t="n">
        <v>0</v>
      </c>
      <c r="W9960" s="21" t="n">
        <v>0</v>
      </c>
      <c r="X9960" s="21" t="n">
        <v>0</v>
      </c>
      <c r="Y9960" s="21" t="n">
        <v>0</v>
      </c>
      <c r="Z9960" s="19" t="n"/>
    </row>
    <row r="9961">
      <c r="D9961" s="21" t="n">
        <v>0</v>
      </c>
      <c r="E9961" s="21" t="n">
        <v>0</v>
      </c>
      <c r="F9961" s="21" t="n">
        <v>0</v>
      </c>
      <c r="G9961" s="21" t="n">
        <v>0</v>
      </c>
      <c r="H9961" s="21">
        <f>$B$8764</f>
        <v/>
      </c>
      <c r="I9961" s="21">
        <f>$B$8766</f>
        <v/>
      </c>
      <c r="J9961" s="21">
        <f>0</f>
        <v/>
      </c>
      <c r="K9961" s="21">
        <f>2*$B$8765</f>
        <v/>
      </c>
      <c r="L9961" s="21">
        <f>-$B$8764</f>
        <v/>
      </c>
      <c r="M9961" s="21">
        <f>$B$8766</f>
        <v/>
      </c>
      <c r="N9961" s="21" t="n">
        <v>0</v>
      </c>
      <c r="O9961" s="21" t="n">
        <v>0</v>
      </c>
      <c r="P9961" s="21" t="n">
        <v>0</v>
      </c>
      <c r="Q9961" s="21" t="n">
        <v>0</v>
      </c>
      <c r="R9961" s="21" t="n">
        <v>0</v>
      </c>
      <c r="S9961" s="21" t="n">
        <v>0</v>
      </c>
      <c r="T9961" s="21" t="n">
        <v>0</v>
      </c>
      <c r="U9961" s="21" t="n">
        <v>0</v>
      </c>
      <c r="V9961" s="21" t="n">
        <v>0</v>
      </c>
      <c r="W9961" s="21" t="n">
        <v>0</v>
      </c>
      <c r="X9961" s="21" t="n">
        <v>0</v>
      </c>
      <c r="Y9961" s="21" t="n">
        <v>0</v>
      </c>
      <c r="Z9961" s="19" t="n"/>
    </row>
    <row r="9962">
      <c r="D9962" s="21" t="n">
        <v>0</v>
      </c>
      <c r="E9962" s="21" t="n">
        <v>0</v>
      </c>
      <c r="F9962" s="21" t="n">
        <v>0</v>
      </c>
      <c r="G9962" s="21" t="n">
        <v>0</v>
      </c>
      <c r="H9962" s="21" t="n">
        <v>0</v>
      </c>
      <c r="I9962" s="21" t="n">
        <v>0</v>
      </c>
      <c r="J9962" s="21">
        <f>-$B$8763</f>
        <v/>
      </c>
      <c r="K9962" s="21">
        <f>-$B$8764</f>
        <v/>
      </c>
      <c r="L9962" s="21">
        <f>2*$B$8763+$D$9946</f>
        <v/>
      </c>
      <c r="M9962" s="21">
        <f>0</f>
        <v/>
      </c>
      <c r="N9962" s="21">
        <f>-$B$8763</f>
        <v/>
      </c>
      <c r="O9962" s="21">
        <f>$B$8764</f>
        <v/>
      </c>
      <c r="P9962" s="21" t="n">
        <v>0</v>
      </c>
      <c r="Q9962" s="21" t="n">
        <v>0</v>
      </c>
      <c r="R9962" s="21" t="n">
        <v>0</v>
      </c>
      <c r="S9962" s="21" t="n">
        <v>0</v>
      </c>
      <c r="T9962" s="21" t="n">
        <v>0</v>
      </c>
      <c r="U9962" s="21" t="n">
        <v>0</v>
      </c>
      <c r="V9962" s="21" t="n">
        <v>0</v>
      </c>
      <c r="W9962" s="21" t="n">
        <v>0</v>
      </c>
      <c r="X9962" s="21" t="n">
        <v>0</v>
      </c>
      <c r="Y9962" s="21" t="n">
        <v>0</v>
      </c>
      <c r="Z9962" s="19" t="n"/>
    </row>
    <row r="9963">
      <c r="D9963" s="21" t="n">
        <v>0</v>
      </c>
      <c r="E9963" s="21" t="n">
        <v>0</v>
      </c>
      <c r="F9963" s="21" t="n">
        <v>0</v>
      </c>
      <c r="G9963" s="21" t="n">
        <v>0</v>
      </c>
      <c r="H9963" s="21" t="n">
        <v>0</v>
      </c>
      <c r="I9963" s="21" t="n">
        <v>0</v>
      </c>
      <c r="J9963" s="21">
        <f>$B$8764</f>
        <v/>
      </c>
      <c r="K9963" s="21">
        <f>$B$8766</f>
        <v/>
      </c>
      <c r="L9963" s="21">
        <f>0</f>
        <v/>
      </c>
      <c r="M9963" s="21">
        <f>2*$B$8765</f>
        <v/>
      </c>
      <c r="N9963" s="21">
        <f>-$B$8764</f>
        <v/>
      </c>
      <c r="O9963" s="21">
        <f>$B$8766</f>
        <v/>
      </c>
      <c r="P9963" s="21" t="n">
        <v>0</v>
      </c>
      <c r="Q9963" s="21" t="n">
        <v>0</v>
      </c>
      <c r="R9963" s="21" t="n">
        <v>0</v>
      </c>
      <c r="S9963" s="21" t="n">
        <v>0</v>
      </c>
      <c r="T9963" s="21" t="n">
        <v>0</v>
      </c>
      <c r="U9963" s="21" t="n">
        <v>0</v>
      </c>
      <c r="V9963" s="21" t="n">
        <v>0</v>
      </c>
      <c r="W9963" s="21" t="n">
        <v>0</v>
      </c>
      <c r="X9963" s="21" t="n">
        <v>0</v>
      </c>
      <c r="Y9963" s="21" t="n">
        <v>0</v>
      </c>
      <c r="Z9963" s="19" t="n"/>
    </row>
    <row r="9964">
      <c r="D9964" s="21" t="n">
        <v>0</v>
      </c>
      <c r="E9964" s="21" t="n">
        <v>0</v>
      </c>
      <c r="F9964" s="21" t="n">
        <v>0</v>
      </c>
      <c r="G9964" s="21" t="n">
        <v>0</v>
      </c>
      <c r="H9964" s="21" t="n">
        <v>0</v>
      </c>
      <c r="I9964" s="21" t="n">
        <v>0</v>
      </c>
      <c r="J9964" s="21" t="n">
        <v>0</v>
      </c>
      <c r="K9964" s="21" t="n">
        <v>0</v>
      </c>
      <c r="L9964" s="21">
        <f>-$B$8763</f>
        <v/>
      </c>
      <c r="M9964" s="21">
        <f>-$B$8764</f>
        <v/>
      </c>
      <c r="N9964" s="21">
        <f>2*$B$8763+$D$9947</f>
        <v/>
      </c>
      <c r="O9964" s="21">
        <f>0</f>
        <v/>
      </c>
      <c r="P9964" s="21">
        <f>-$B$8763</f>
        <v/>
      </c>
      <c r="Q9964" s="21">
        <f>$B$8764</f>
        <v/>
      </c>
      <c r="R9964" s="21" t="n">
        <v>0</v>
      </c>
      <c r="S9964" s="21" t="n">
        <v>0</v>
      </c>
      <c r="T9964" s="21" t="n">
        <v>0</v>
      </c>
      <c r="U9964" s="21" t="n">
        <v>0</v>
      </c>
      <c r="V9964" s="21" t="n">
        <v>0</v>
      </c>
      <c r="W9964" s="21" t="n">
        <v>0</v>
      </c>
      <c r="X9964" s="21" t="n">
        <v>0</v>
      </c>
      <c r="Y9964" s="21" t="n">
        <v>0</v>
      </c>
      <c r="Z9964" s="19" t="n"/>
    </row>
    <row r="9965">
      <c r="D9965" s="21" t="n">
        <v>0</v>
      </c>
      <c r="E9965" s="21" t="n">
        <v>0</v>
      </c>
      <c r="F9965" s="21" t="n">
        <v>0</v>
      </c>
      <c r="G9965" s="21" t="n">
        <v>0</v>
      </c>
      <c r="H9965" s="21" t="n">
        <v>0</v>
      </c>
      <c r="I9965" s="21" t="n">
        <v>0</v>
      </c>
      <c r="J9965" s="21" t="n">
        <v>0</v>
      </c>
      <c r="K9965" s="21" t="n">
        <v>0</v>
      </c>
      <c r="L9965" s="21">
        <f>$B$8764</f>
        <v/>
      </c>
      <c r="M9965" s="21">
        <f>$B$8766</f>
        <v/>
      </c>
      <c r="N9965" s="21">
        <f>0</f>
        <v/>
      </c>
      <c r="O9965" s="21">
        <f>2*$B$8765</f>
        <v/>
      </c>
      <c r="P9965" s="21">
        <f>-$B$8764</f>
        <v/>
      </c>
      <c r="Q9965" s="21">
        <f>$B$8766</f>
        <v/>
      </c>
      <c r="R9965" s="21" t="n">
        <v>0</v>
      </c>
      <c r="S9965" s="21" t="n">
        <v>0</v>
      </c>
      <c r="T9965" s="21" t="n">
        <v>0</v>
      </c>
      <c r="U9965" s="21" t="n">
        <v>0</v>
      </c>
      <c r="V9965" s="21" t="n">
        <v>0</v>
      </c>
      <c r="W9965" s="21" t="n">
        <v>0</v>
      </c>
      <c r="X9965" s="21" t="n">
        <v>0</v>
      </c>
      <c r="Y9965" s="21" t="n">
        <v>0</v>
      </c>
      <c r="Z9965" s="19" t="n"/>
    </row>
    <row r="9966">
      <c r="D9966" s="21" t="n">
        <v>0</v>
      </c>
      <c r="E9966" s="21" t="n">
        <v>0</v>
      </c>
      <c r="F9966" s="21" t="n">
        <v>0</v>
      </c>
      <c r="G9966" s="21" t="n">
        <v>0</v>
      </c>
      <c r="H9966" s="21" t="n">
        <v>0</v>
      </c>
      <c r="I9966" s="21" t="n">
        <v>0</v>
      </c>
      <c r="J9966" s="21" t="n">
        <v>0</v>
      </c>
      <c r="K9966" s="21" t="n">
        <v>0</v>
      </c>
      <c r="L9966" s="21" t="n">
        <v>0</v>
      </c>
      <c r="M9966" s="21" t="n">
        <v>0</v>
      </c>
      <c r="N9966" s="21">
        <f>-$B$8763</f>
        <v/>
      </c>
      <c r="O9966" s="21">
        <f>-$B$8764</f>
        <v/>
      </c>
      <c r="P9966" s="21">
        <f>2*$B$8763+$D$9948</f>
        <v/>
      </c>
      <c r="Q9966" s="21">
        <f>0</f>
        <v/>
      </c>
      <c r="R9966" s="21">
        <f>-$B$8763</f>
        <v/>
      </c>
      <c r="S9966" s="21">
        <f>$B$8764</f>
        <v/>
      </c>
      <c r="T9966" s="21" t="n">
        <v>0</v>
      </c>
      <c r="U9966" s="21" t="n">
        <v>0</v>
      </c>
      <c r="V9966" s="21" t="n">
        <v>0</v>
      </c>
      <c r="W9966" s="21" t="n">
        <v>0</v>
      </c>
      <c r="X9966" s="21" t="n">
        <v>0</v>
      </c>
      <c r="Y9966" s="21" t="n">
        <v>0</v>
      </c>
      <c r="Z9966" s="19" t="n"/>
    </row>
    <row r="9967">
      <c r="D9967" s="21" t="n">
        <v>0</v>
      </c>
      <c r="E9967" s="21" t="n">
        <v>0</v>
      </c>
      <c r="F9967" s="21" t="n">
        <v>0</v>
      </c>
      <c r="G9967" s="21" t="n">
        <v>0</v>
      </c>
      <c r="H9967" s="21" t="n">
        <v>0</v>
      </c>
      <c r="I9967" s="21" t="n">
        <v>0</v>
      </c>
      <c r="J9967" s="21" t="n">
        <v>0</v>
      </c>
      <c r="K9967" s="21" t="n">
        <v>0</v>
      </c>
      <c r="L9967" s="21" t="n">
        <v>0</v>
      </c>
      <c r="M9967" s="21" t="n">
        <v>0</v>
      </c>
      <c r="N9967" s="21">
        <f>$B$8764</f>
        <v/>
      </c>
      <c r="O9967" s="21">
        <f>$B$8766</f>
        <v/>
      </c>
      <c r="P9967" s="21">
        <f>0</f>
        <v/>
      </c>
      <c r="Q9967" s="21">
        <f>2*$B$8765</f>
        <v/>
      </c>
      <c r="R9967" s="21">
        <f>-$B$8764</f>
        <v/>
      </c>
      <c r="S9967" s="21">
        <f>$B$8766</f>
        <v/>
      </c>
      <c r="T9967" s="21" t="n">
        <v>0</v>
      </c>
      <c r="U9967" s="21" t="n">
        <v>0</v>
      </c>
      <c r="V9967" s="21" t="n">
        <v>0</v>
      </c>
      <c r="W9967" s="21" t="n">
        <v>0</v>
      </c>
      <c r="X9967" s="21" t="n">
        <v>0</v>
      </c>
      <c r="Y9967" s="21" t="n">
        <v>0</v>
      </c>
      <c r="Z9967" s="19" t="n"/>
    </row>
    <row r="9968">
      <c r="D9968" s="21" t="n">
        <v>0</v>
      </c>
      <c r="E9968" s="21" t="n">
        <v>0</v>
      </c>
      <c r="F9968" s="21" t="n">
        <v>0</v>
      </c>
      <c r="G9968" s="21" t="n">
        <v>0</v>
      </c>
      <c r="H9968" s="21" t="n">
        <v>0</v>
      </c>
      <c r="I9968" s="21" t="n">
        <v>0</v>
      </c>
      <c r="J9968" s="21" t="n">
        <v>0</v>
      </c>
      <c r="K9968" s="21" t="n">
        <v>0</v>
      </c>
      <c r="L9968" s="21" t="n">
        <v>0</v>
      </c>
      <c r="M9968" s="21" t="n">
        <v>0</v>
      </c>
      <c r="N9968" s="21" t="n">
        <v>0</v>
      </c>
      <c r="O9968" s="21" t="n">
        <v>0</v>
      </c>
      <c r="P9968" s="21">
        <f>-$B$8763</f>
        <v/>
      </c>
      <c r="Q9968" s="21">
        <f>-$B$8764</f>
        <v/>
      </c>
      <c r="R9968" s="21">
        <f>2*$B$8763+$D$9949</f>
        <v/>
      </c>
      <c r="S9968" s="21">
        <f>0</f>
        <v/>
      </c>
      <c r="T9968" s="21">
        <f>-$B$8763</f>
        <v/>
      </c>
      <c r="U9968" s="21">
        <f>$B$8764</f>
        <v/>
      </c>
      <c r="V9968" s="21" t="n">
        <v>0</v>
      </c>
      <c r="W9968" s="21" t="n">
        <v>0</v>
      </c>
      <c r="X9968" s="21" t="n">
        <v>0</v>
      </c>
      <c r="Y9968" s="21" t="n">
        <v>0</v>
      </c>
      <c r="Z9968" s="19" t="n"/>
    </row>
    <row r="9969">
      <c r="D9969" s="21" t="n">
        <v>0</v>
      </c>
      <c r="E9969" s="21" t="n">
        <v>0</v>
      </c>
      <c r="F9969" s="21" t="n">
        <v>0</v>
      </c>
      <c r="G9969" s="21" t="n">
        <v>0</v>
      </c>
      <c r="H9969" s="21" t="n">
        <v>0</v>
      </c>
      <c r="I9969" s="21" t="n">
        <v>0</v>
      </c>
      <c r="J9969" s="21" t="n">
        <v>0</v>
      </c>
      <c r="K9969" s="21" t="n">
        <v>0</v>
      </c>
      <c r="L9969" s="21" t="n">
        <v>0</v>
      </c>
      <c r="M9969" s="21" t="n">
        <v>0</v>
      </c>
      <c r="N9969" s="21" t="n">
        <v>0</v>
      </c>
      <c r="O9969" s="21" t="n">
        <v>0</v>
      </c>
      <c r="P9969" s="21">
        <f>$B$8764</f>
        <v/>
      </c>
      <c r="Q9969" s="21">
        <f>$B$8766</f>
        <v/>
      </c>
      <c r="R9969" s="21">
        <f>0</f>
        <v/>
      </c>
      <c r="S9969" s="21">
        <f>2*$B$8765</f>
        <v/>
      </c>
      <c r="T9969" s="21">
        <f>-$B$8764</f>
        <v/>
      </c>
      <c r="U9969" s="21">
        <f>$B$8766</f>
        <v/>
      </c>
      <c r="V9969" s="21" t="n">
        <v>0</v>
      </c>
      <c r="W9969" s="21" t="n">
        <v>0</v>
      </c>
      <c r="X9969" s="21" t="n">
        <v>0</v>
      </c>
      <c r="Y9969" s="21" t="n">
        <v>0</v>
      </c>
      <c r="Z9969" s="19" t="n"/>
    </row>
    <row r="9970">
      <c r="D9970" s="21" t="n">
        <v>0</v>
      </c>
      <c r="E9970" s="21" t="n">
        <v>0</v>
      </c>
      <c r="F9970" s="21" t="n">
        <v>0</v>
      </c>
      <c r="G9970" s="21" t="n">
        <v>0</v>
      </c>
      <c r="H9970" s="21" t="n">
        <v>0</v>
      </c>
      <c r="I9970" s="21" t="n">
        <v>0</v>
      </c>
      <c r="J9970" s="21" t="n">
        <v>0</v>
      </c>
      <c r="K9970" s="21" t="n">
        <v>0</v>
      </c>
      <c r="L9970" s="21" t="n">
        <v>0</v>
      </c>
      <c r="M9970" s="21" t="n">
        <v>0</v>
      </c>
      <c r="N9970" s="21" t="n">
        <v>0</v>
      </c>
      <c r="O9970" s="21" t="n">
        <v>0</v>
      </c>
      <c r="P9970" s="21" t="n">
        <v>0</v>
      </c>
      <c r="Q9970" s="21" t="n">
        <v>0</v>
      </c>
      <c r="R9970" s="21">
        <f>-$B$8763</f>
        <v/>
      </c>
      <c r="S9970" s="21">
        <f>-$B$8764</f>
        <v/>
      </c>
      <c r="T9970" s="21">
        <f>2*$B$8763+$D$9950</f>
        <v/>
      </c>
      <c r="U9970" s="21">
        <f>0</f>
        <v/>
      </c>
      <c r="V9970" s="21">
        <f>-$B$8763</f>
        <v/>
      </c>
      <c r="W9970" s="21">
        <f>$B$8764</f>
        <v/>
      </c>
      <c r="X9970" s="21" t="n">
        <v>0</v>
      </c>
      <c r="Y9970" s="21" t="n">
        <v>0</v>
      </c>
      <c r="Z9970" s="19" t="n"/>
    </row>
    <row r="9971">
      <c r="D9971" s="21" t="n">
        <v>0</v>
      </c>
      <c r="E9971" s="21" t="n">
        <v>0</v>
      </c>
      <c r="F9971" s="21" t="n">
        <v>0</v>
      </c>
      <c r="G9971" s="21" t="n">
        <v>0</v>
      </c>
      <c r="H9971" s="21" t="n">
        <v>0</v>
      </c>
      <c r="I9971" s="21" t="n">
        <v>0</v>
      </c>
      <c r="J9971" s="21" t="n">
        <v>0</v>
      </c>
      <c r="K9971" s="21" t="n">
        <v>0</v>
      </c>
      <c r="L9971" s="21" t="n">
        <v>0</v>
      </c>
      <c r="M9971" s="21" t="n">
        <v>0</v>
      </c>
      <c r="N9971" s="21" t="n">
        <v>0</v>
      </c>
      <c r="O9971" s="21" t="n">
        <v>0</v>
      </c>
      <c r="P9971" s="21" t="n">
        <v>0</v>
      </c>
      <c r="Q9971" s="21" t="n">
        <v>0</v>
      </c>
      <c r="R9971" s="21">
        <f>$B$8764</f>
        <v/>
      </c>
      <c r="S9971" s="21">
        <f>$B$8766</f>
        <v/>
      </c>
      <c r="T9971" s="21">
        <f>0</f>
        <v/>
      </c>
      <c r="U9971" s="21">
        <f>2*$B$8765</f>
        <v/>
      </c>
      <c r="V9971" s="21">
        <f>-$B$8764</f>
        <v/>
      </c>
      <c r="W9971" s="21">
        <f>$B$8766</f>
        <v/>
      </c>
      <c r="X9971" s="21" t="n">
        <v>0</v>
      </c>
      <c r="Y9971" s="21" t="n">
        <v>0</v>
      </c>
      <c r="Z9971" s="19" t="n"/>
    </row>
    <row r="9972">
      <c r="D9972" s="21" t="n">
        <v>0</v>
      </c>
      <c r="E9972" s="21" t="n">
        <v>0</v>
      </c>
      <c r="F9972" s="21" t="n">
        <v>0</v>
      </c>
      <c r="G9972" s="21" t="n">
        <v>0</v>
      </c>
      <c r="H9972" s="21" t="n">
        <v>0</v>
      </c>
      <c r="I9972" s="21" t="n">
        <v>0</v>
      </c>
      <c r="J9972" s="21" t="n">
        <v>0</v>
      </c>
      <c r="K9972" s="21" t="n">
        <v>0</v>
      </c>
      <c r="L9972" s="21" t="n">
        <v>0</v>
      </c>
      <c r="M9972" s="21" t="n">
        <v>0</v>
      </c>
      <c r="N9972" s="21" t="n">
        <v>0</v>
      </c>
      <c r="O9972" s="21" t="n">
        <v>0</v>
      </c>
      <c r="P9972" s="21" t="n">
        <v>0</v>
      </c>
      <c r="Q9972" s="21" t="n">
        <v>0</v>
      </c>
      <c r="R9972" s="21" t="n">
        <v>0</v>
      </c>
      <c r="S9972" s="21" t="n">
        <v>0</v>
      </c>
      <c r="T9972" s="21">
        <f>-$B$8763</f>
        <v/>
      </c>
      <c r="U9972" s="21">
        <f>-$B$8764</f>
        <v/>
      </c>
      <c r="V9972" s="21">
        <f>2*$B$8763+$D$9951</f>
        <v/>
      </c>
      <c r="W9972" s="21">
        <f>0</f>
        <v/>
      </c>
      <c r="X9972" s="21">
        <f>-$B$8763</f>
        <v/>
      </c>
      <c r="Y9972" s="21">
        <f>$B$8764</f>
        <v/>
      </c>
      <c r="Z9972" s="19" t="n"/>
    </row>
    <row r="9973">
      <c r="D9973" s="21" t="n">
        <v>0</v>
      </c>
      <c r="E9973" s="21" t="n">
        <v>0</v>
      </c>
      <c r="F9973" s="21" t="n">
        <v>0</v>
      </c>
      <c r="G9973" s="21" t="n">
        <v>0</v>
      </c>
      <c r="H9973" s="21" t="n">
        <v>0</v>
      </c>
      <c r="I9973" s="21" t="n">
        <v>0</v>
      </c>
      <c r="J9973" s="21" t="n">
        <v>0</v>
      </c>
      <c r="K9973" s="21" t="n">
        <v>0</v>
      </c>
      <c r="L9973" s="21" t="n">
        <v>0</v>
      </c>
      <c r="M9973" s="21" t="n">
        <v>0</v>
      </c>
      <c r="N9973" s="21" t="n">
        <v>0</v>
      </c>
      <c r="O9973" s="21" t="n">
        <v>0</v>
      </c>
      <c r="P9973" s="21" t="n">
        <v>0</v>
      </c>
      <c r="Q9973" s="21" t="n">
        <v>0</v>
      </c>
      <c r="R9973" s="21" t="n">
        <v>0</v>
      </c>
      <c r="S9973" s="21" t="n">
        <v>0</v>
      </c>
      <c r="T9973" s="21">
        <f>$B$8764</f>
        <v/>
      </c>
      <c r="U9973" s="21">
        <f>$B$8766</f>
        <v/>
      </c>
      <c r="V9973" s="21">
        <f>0</f>
        <v/>
      </c>
      <c r="W9973" s="21">
        <f>2*$B$8765</f>
        <v/>
      </c>
      <c r="X9973" s="21">
        <f>-$B$8764</f>
        <v/>
      </c>
      <c r="Y9973" s="21">
        <f>$B$8766</f>
        <v/>
      </c>
      <c r="Z9973" s="19" t="n"/>
    </row>
    <row r="9974">
      <c r="D9974" s="21" t="n">
        <v>0</v>
      </c>
      <c r="E9974" s="21" t="n">
        <v>0</v>
      </c>
      <c r="F9974" s="21" t="n">
        <v>0</v>
      </c>
      <c r="G9974" s="21" t="n">
        <v>0</v>
      </c>
      <c r="H9974" s="21" t="n">
        <v>0</v>
      </c>
      <c r="I9974" s="21" t="n">
        <v>0</v>
      </c>
      <c r="J9974" s="21" t="n">
        <v>0</v>
      </c>
      <c r="K9974" s="21" t="n">
        <v>0</v>
      </c>
      <c r="L9974" s="21" t="n">
        <v>0</v>
      </c>
      <c r="M9974" s="21" t="n">
        <v>0</v>
      </c>
      <c r="N9974" s="21" t="n">
        <v>0</v>
      </c>
      <c r="O9974" s="21" t="n">
        <v>0</v>
      </c>
      <c r="P9974" s="21" t="n">
        <v>0</v>
      </c>
      <c r="Q9974" s="21" t="n">
        <v>0</v>
      </c>
      <c r="R9974" s="21" t="n">
        <v>0</v>
      </c>
      <c r="S9974" s="21" t="n">
        <v>0</v>
      </c>
      <c r="T9974" s="21" t="n">
        <v>0</v>
      </c>
      <c r="U9974" s="21" t="n">
        <v>0</v>
      </c>
      <c r="V9974" s="21">
        <f>-$B$8763</f>
        <v/>
      </c>
      <c r="W9974" s="21">
        <f>-$B$8764</f>
        <v/>
      </c>
      <c r="X9974" s="21">
        <f>$B$8763+$D$9952</f>
        <v/>
      </c>
      <c r="Y9974" s="21">
        <f>-$B$8764</f>
        <v/>
      </c>
      <c r="Z9974" s="19" t="n"/>
    </row>
    <row r="9975">
      <c r="D9975" s="21" t="n">
        <v>0</v>
      </c>
      <c r="E9975" s="21" t="n">
        <v>0</v>
      </c>
      <c r="F9975" s="21" t="n">
        <v>0</v>
      </c>
      <c r="G9975" s="21" t="n">
        <v>0</v>
      </c>
      <c r="H9975" s="21" t="n">
        <v>0</v>
      </c>
      <c r="I9975" s="21" t="n">
        <v>0</v>
      </c>
      <c r="J9975" s="21" t="n">
        <v>0</v>
      </c>
      <c r="K9975" s="21" t="n">
        <v>0</v>
      </c>
      <c r="L9975" s="21" t="n">
        <v>0</v>
      </c>
      <c r="M9975" s="21" t="n">
        <v>0</v>
      </c>
      <c r="N9975" s="21" t="n">
        <v>0</v>
      </c>
      <c r="O9975" s="21" t="n">
        <v>0</v>
      </c>
      <c r="P9975" s="21" t="n">
        <v>0</v>
      </c>
      <c r="Q9975" s="21" t="n">
        <v>0</v>
      </c>
      <c r="R9975" s="21" t="n">
        <v>0</v>
      </c>
      <c r="S9975" s="21" t="n">
        <v>0</v>
      </c>
      <c r="T9975" s="21" t="n">
        <v>0</v>
      </c>
      <c r="U9975" s="21" t="n">
        <v>0</v>
      </c>
      <c r="V9975" s="21">
        <f>$B$8764</f>
        <v/>
      </c>
      <c r="W9975" s="21">
        <f>$B$8766</f>
        <v/>
      </c>
      <c r="X9975" s="21">
        <f>-$B$8764</f>
        <v/>
      </c>
      <c r="Y9975" s="21">
        <f>$B$8765</f>
        <v/>
      </c>
      <c r="Z9975" s="19" t="n"/>
    </row>
    <row r="9977">
      <c r="A9977" s="8" t="inlineStr">
        <is>
          <t>gen 33</t>
        </is>
      </c>
    </row>
    <row r="9978">
      <c r="D9978" s="19">
        <f>IF(ABS(IF(ABS($E$9942)&gt;0.000000001,$E$9942,0.000000001))=0,0,IF($E$8778&lt;=$B$8772,0,IF(ABS(IF(ABS($E$9942)&gt;0.000000001,$E$9942,0.000000001))&gt;=8*$B$8774,$H$8778,0.5*$H$8778*(ABS(IF(ABS($E$9942)&gt;0.000000001,$E$9942,0.000000001))/$B$8774)^(1/3)))/ABS(IF(ABS($E$9942)&gt;0.000000001,$E$9942,0.000000001))*$I$8778)</f>
        <v/>
      </c>
      <c r="E9978" s="19">
        <f>0.5*$E$9942+0.5*$Z$9990</f>
        <v/>
      </c>
      <c r="F9978" s="19">
        <f>$Z$9991</f>
        <v/>
      </c>
    </row>
    <row r="9979">
      <c r="D9979" s="19">
        <f>IF(ABS(IF(ABS($E$9943)&gt;0.000000001,$E$9943,0.000000001))=0,0,IF($E$8779&lt;=$B$8772,0,IF(ABS(IF(ABS($E$9943)&gt;0.000000001,$E$9943,0.000000001))&gt;=8*$B$8774,$H$8779,0.5*$H$8779*(ABS(IF(ABS($E$9943)&gt;0.000000001,$E$9943,0.000000001))/$B$8774)^(1/3)))/ABS(IF(ABS($E$9943)&gt;0.000000001,$E$9943,0.000000001))*$I$8779)</f>
        <v/>
      </c>
      <c r="E9979" s="19">
        <f>0.5*$E$9943+0.5*$Z$9992</f>
        <v/>
      </c>
      <c r="F9979" s="19">
        <f>$Z$9993</f>
        <v/>
      </c>
    </row>
    <row r="9980">
      <c r="D9980" s="19">
        <f>IF(ABS(IF(ABS($E$9944)&gt;0.000000001,$E$9944,0.000000001))=0,0,IF($E$8780&lt;=$B$8772,0,IF(ABS(IF(ABS($E$9944)&gt;0.000000001,$E$9944,0.000000001))&gt;=8*$B$8774,$H$8780,0.5*$H$8780*(ABS(IF(ABS($E$9944)&gt;0.000000001,$E$9944,0.000000001))/$B$8774)^(1/3)))/ABS(IF(ABS($E$9944)&gt;0.000000001,$E$9944,0.000000001))*$I$8780)</f>
        <v/>
      </c>
      <c r="E9980" s="19">
        <f>0.5*$E$9944+0.5*$Z$9994</f>
        <v/>
      </c>
      <c r="F9980" s="19">
        <f>$Z$9995</f>
        <v/>
      </c>
    </row>
    <row r="9981">
      <c r="D9981" s="19">
        <f>IF(ABS(IF(ABS($E$9945)&gt;0.000000001,$E$9945,0.000000001))=0,0,IF($E$8781&lt;=$B$8772,0,IF(ABS(IF(ABS($E$9945)&gt;0.000000001,$E$9945,0.000000001))&gt;=8*$B$8774,$H$8781,0.5*$H$8781*(ABS(IF(ABS($E$9945)&gt;0.000000001,$E$9945,0.000000001))/$B$8774)^(1/3)))/ABS(IF(ABS($E$9945)&gt;0.000000001,$E$9945,0.000000001))*$I$8781)</f>
        <v/>
      </c>
      <c r="E9981" s="19">
        <f>0.5*$E$9945+0.5*$Z$9996</f>
        <v/>
      </c>
      <c r="F9981" s="19">
        <f>$Z$9997</f>
        <v/>
      </c>
    </row>
    <row r="9982">
      <c r="D9982" s="19">
        <f>IF(ABS(IF(ABS($E$9946)&gt;0.000000001,$E$9946,0.000000001))=0,0,IF($E$8782&lt;=$B$8772,0,IF(ABS(IF(ABS($E$9946)&gt;0.000000001,$E$9946,0.000000001))&gt;=8*$B$8774,$H$8782,0.5*$H$8782*(ABS(IF(ABS($E$9946)&gt;0.000000001,$E$9946,0.000000001))/$B$8774)^(1/3)))/ABS(IF(ABS($E$9946)&gt;0.000000001,$E$9946,0.000000001))*$I$8782)</f>
        <v/>
      </c>
      <c r="E9982" s="19">
        <f>0.5*$E$9946+0.5*$Z$9998</f>
        <v/>
      </c>
      <c r="F9982" s="19">
        <f>$Z$9999</f>
        <v/>
      </c>
    </row>
    <row r="9983">
      <c r="D9983" s="19">
        <f>IF(ABS(IF(ABS($E$9947)&gt;0.000000001,$E$9947,0.000000001))=0,0,IF($E$8783&lt;=$B$8772,0,IF(ABS(IF(ABS($E$9947)&gt;0.000000001,$E$9947,0.000000001))&gt;=8*$B$8774,$H$8783,0.5*$H$8783*(ABS(IF(ABS($E$9947)&gt;0.000000001,$E$9947,0.000000001))/$B$8774)^(1/3)))/ABS(IF(ABS($E$9947)&gt;0.000000001,$E$9947,0.000000001))*$I$8783)</f>
        <v/>
      </c>
      <c r="E9983" s="19">
        <f>0.5*$E$9947+0.5*$Z$10000</f>
        <v/>
      </c>
      <c r="F9983" s="19">
        <f>$Z$10001</f>
        <v/>
      </c>
    </row>
    <row r="9984">
      <c r="D9984" s="19">
        <f>IF(ABS(IF(ABS($E$9948)&gt;0.000000001,$E$9948,0.000000001))=0,0,IF($E$8784&lt;=$B$8772,0,IF(ABS(IF(ABS($E$9948)&gt;0.000000001,$E$9948,0.000000001))&gt;=8*$B$8774,$H$8784,0.5*$H$8784*(ABS(IF(ABS($E$9948)&gt;0.000000001,$E$9948,0.000000001))/$B$8774)^(1/3)))/ABS(IF(ABS($E$9948)&gt;0.000000001,$E$9948,0.000000001))*$I$8784)</f>
        <v/>
      </c>
      <c r="E9984" s="19">
        <f>0.5*$E$9948+0.5*$Z$10002</f>
        <v/>
      </c>
      <c r="F9984" s="19">
        <f>$Z$10003</f>
        <v/>
      </c>
    </row>
    <row r="9985">
      <c r="D9985" s="19">
        <f>IF(ABS(IF(ABS($E$9949)&gt;0.000000001,$E$9949,0.000000001))=0,0,IF($E$8785&lt;=$B$8772,0,IF(ABS(IF(ABS($E$9949)&gt;0.000000001,$E$9949,0.000000001))&gt;=8*$B$8774,$H$8785,0.5*$H$8785*(ABS(IF(ABS($E$9949)&gt;0.000000001,$E$9949,0.000000001))/$B$8774)^(1/3)))/ABS(IF(ABS($E$9949)&gt;0.000000001,$E$9949,0.000000001))*$I$8785)</f>
        <v/>
      </c>
      <c r="E9985" s="19">
        <f>0.5*$E$9949+0.5*$Z$10004</f>
        <v/>
      </c>
      <c r="F9985" s="19">
        <f>$Z$10005</f>
        <v/>
      </c>
    </row>
    <row r="9986">
      <c r="D9986" s="19">
        <f>IF(ABS(IF(ABS($E$9950)&gt;0.000000001,$E$9950,0.000000001))=0,0,IF($E$8786&lt;=$B$8772,0,IF(ABS(IF(ABS($E$9950)&gt;0.000000001,$E$9950,0.000000001))&gt;=8*$B$8774,$H$8786,0.5*$H$8786*(ABS(IF(ABS($E$9950)&gt;0.000000001,$E$9950,0.000000001))/$B$8774)^(1/3)))/ABS(IF(ABS($E$9950)&gt;0.000000001,$E$9950,0.000000001))*$I$8786)</f>
        <v/>
      </c>
      <c r="E9986" s="19">
        <f>0.5*$E$9950+0.5*$Z$10006</f>
        <v/>
      </c>
      <c r="F9986" s="19">
        <f>$Z$10007</f>
        <v/>
      </c>
    </row>
    <row r="9987">
      <c r="D9987" s="19">
        <f>IF(ABS(IF(ABS($E$9951)&gt;0.000000001,$E$9951,0.000000001))=0,0,IF($E$8787&lt;=$B$8772,0,IF(ABS(IF(ABS($E$9951)&gt;0.000000001,$E$9951,0.000000001))&gt;=8*$B$8774,$H$8787,0.5*$H$8787*(ABS(IF(ABS($E$9951)&gt;0.000000001,$E$9951,0.000000001))/$B$8774)^(1/3)))/ABS(IF(ABS($E$9951)&gt;0.000000001,$E$9951,0.000000001))*$I$8787)</f>
        <v/>
      </c>
      <c r="E9987" s="19">
        <f>0.5*$E$9951+0.5*$Z$10008</f>
        <v/>
      </c>
      <c r="F9987" s="19">
        <f>$Z$10009</f>
        <v/>
      </c>
    </row>
    <row r="9988">
      <c r="D9988" s="19">
        <f>IF(ABS(IF(ABS($E$9952)&gt;0.000000001,$E$9952,0.000000001))=0,0,IF($E$8788&lt;=$B$8772,0,IF(ABS(IF(ABS($E$9952)&gt;0.000000001,$E$9952,0.000000001))&gt;=8*$B$8774,$H$8788,0.5*$H$8788*(ABS(IF(ABS($E$9952)&gt;0.000000001,$E$9952,0.000000001))/$B$8774)^(1/3)))/ABS(IF(ABS($E$9952)&gt;0.000000001,$E$9952,0.000000001))*$I$8788)</f>
        <v/>
      </c>
      <c r="E9988" s="19">
        <f>0.5*$E$9952+0.5*$Z$10010</f>
        <v/>
      </c>
      <c r="F9988" s="19">
        <f>$Z$10011</f>
        <v/>
      </c>
    </row>
    <row r="9990">
      <c r="D9990" s="21">
        <f>$B$8763+$D$9978</f>
        <v/>
      </c>
      <c r="E9990" s="21">
        <f>$B$8764</f>
        <v/>
      </c>
      <c r="F9990" s="21">
        <f>-$B$8763</f>
        <v/>
      </c>
      <c r="G9990" s="21">
        <f>$B$8764</f>
        <v/>
      </c>
      <c r="H9990" s="21" t="n">
        <v>0</v>
      </c>
      <c r="I9990" s="21" t="n">
        <v>0</v>
      </c>
      <c r="J9990" s="21" t="n">
        <v>0</v>
      </c>
      <c r="K9990" s="21" t="n">
        <v>0</v>
      </c>
      <c r="L9990" s="21" t="n">
        <v>0</v>
      </c>
      <c r="M9990" s="21" t="n">
        <v>0</v>
      </c>
      <c r="N9990" s="21" t="n">
        <v>0</v>
      </c>
      <c r="O9990" s="21" t="n">
        <v>0</v>
      </c>
      <c r="P9990" s="21" t="n">
        <v>0</v>
      </c>
      <c r="Q9990" s="21" t="n">
        <v>0</v>
      </c>
      <c r="R9990" s="21" t="n">
        <v>0</v>
      </c>
      <c r="S9990" s="21" t="n">
        <v>0</v>
      </c>
      <c r="T9990" s="21" t="n">
        <v>0</v>
      </c>
      <c r="U9990" s="21" t="n">
        <v>0</v>
      </c>
      <c r="V9990" s="21" t="n">
        <v>0</v>
      </c>
      <c r="W9990" s="21" t="n">
        <v>0</v>
      </c>
      <c r="X9990" s="21" t="n">
        <v>0</v>
      </c>
      <c r="Y9990" s="21" t="n">
        <v>0</v>
      </c>
      <c r="Z9990" s="19">
        <f t="array" ref="Z9990:Z10011">MMULT(MINVERSE($D$9990:$Y$10011),$D$8790:$D$8811)</f>
        <v/>
      </c>
    </row>
    <row r="9991">
      <c r="D9991" s="21">
        <f>$B$8764</f>
        <v/>
      </c>
      <c r="E9991" s="21">
        <f>$B$8765</f>
        <v/>
      </c>
      <c r="F9991" s="21">
        <f>-$B$8764</f>
        <v/>
      </c>
      <c r="G9991" s="21">
        <f>$B$8766</f>
        <v/>
      </c>
      <c r="H9991" s="21" t="n">
        <v>0</v>
      </c>
      <c r="I9991" s="21" t="n">
        <v>0</v>
      </c>
      <c r="J9991" s="21" t="n">
        <v>0</v>
      </c>
      <c r="K9991" s="21" t="n">
        <v>0</v>
      </c>
      <c r="L9991" s="21" t="n">
        <v>0</v>
      </c>
      <c r="M9991" s="21" t="n">
        <v>0</v>
      </c>
      <c r="N9991" s="21" t="n">
        <v>0</v>
      </c>
      <c r="O9991" s="21" t="n">
        <v>0</v>
      </c>
      <c r="P9991" s="21" t="n">
        <v>0</v>
      </c>
      <c r="Q9991" s="21" t="n">
        <v>0</v>
      </c>
      <c r="R9991" s="21" t="n">
        <v>0</v>
      </c>
      <c r="S9991" s="21" t="n">
        <v>0</v>
      </c>
      <c r="T9991" s="21" t="n">
        <v>0</v>
      </c>
      <c r="U9991" s="21" t="n">
        <v>0</v>
      </c>
      <c r="V9991" s="21" t="n">
        <v>0</v>
      </c>
      <c r="W9991" s="21" t="n">
        <v>0</v>
      </c>
      <c r="X9991" s="21" t="n">
        <v>0</v>
      </c>
      <c r="Y9991" s="21" t="n">
        <v>0</v>
      </c>
      <c r="Z9991" s="19" t="n"/>
    </row>
    <row r="9992">
      <c r="D9992" s="21">
        <f>-$B$8763</f>
        <v/>
      </c>
      <c r="E9992" s="21">
        <f>-$B$8764</f>
        <v/>
      </c>
      <c r="F9992" s="21">
        <f>2*$B$8763+$D$9979</f>
        <v/>
      </c>
      <c r="G9992" s="21">
        <f>0</f>
        <v/>
      </c>
      <c r="H9992" s="21">
        <f>-$B$8763</f>
        <v/>
      </c>
      <c r="I9992" s="21">
        <f>$B$8764</f>
        <v/>
      </c>
      <c r="J9992" s="21" t="n">
        <v>0</v>
      </c>
      <c r="K9992" s="21" t="n">
        <v>0</v>
      </c>
      <c r="L9992" s="21" t="n">
        <v>0</v>
      </c>
      <c r="M9992" s="21" t="n">
        <v>0</v>
      </c>
      <c r="N9992" s="21" t="n">
        <v>0</v>
      </c>
      <c r="O9992" s="21" t="n">
        <v>0</v>
      </c>
      <c r="P9992" s="21" t="n">
        <v>0</v>
      </c>
      <c r="Q9992" s="21" t="n">
        <v>0</v>
      </c>
      <c r="R9992" s="21" t="n">
        <v>0</v>
      </c>
      <c r="S9992" s="21" t="n">
        <v>0</v>
      </c>
      <c r="T9992" s="21" t="n">
        <v>0</v>
      </c>
      <c r="U9992" s="21" t="n">
        <v>0</v>
      </c>
      <c r="V9992" s="21" t="n">
        <v>0</v>
      </c>
      <c r="W9992" s="21" t="n">
        <v>0</v>
      </c>
      <c r="X9992" s="21" t="n">
        <v>0</v>
      </c>
      <c r="Y9992" s="21" t="n">
        <v>0</v>
      </c>
      <c r="Z9992" s="19" t="n"/>
    </row>
    <row r="9993">
      <c r="D9993" s="21">
        <f>$B$8764</f>
        <v/>
      </c>
      <c r="E9993" s="21">
        <f>$B$8766</f>
        <v/>
      </c>
      <c r="F9993" s="21">
        <f>0</f>
        <v/>
      </c>
      <c r="G9993" s="21">
        <f>2*$B$8765</f>
        <v/>
      </c>
      <c r="H9993" s="21">
        <f>-$B$8764</f>
        <v/>
      </c>
      <c r="I9993" s="21">
        <f>$B$8766</f>
        <v/>
      </c>
      <c r="J9993" s="21" t="n">
        <v>0</v>
      </c>
      <c r="K9993" s="21" t="n">
        <v>0</v>
      </c>
      <c r="L9993" s="21" t="n">
        <v>0</v>
      </c>
      <c r="M9993" s="21" t="n">
        <v>0</v>
      </c>
      <c r="N9993" s="21" t="n">
        <v>0</v>
      </c>
      <c r="O9993" s="21" t="n">
        <v>0</v>
      </c>
      <c r="P9993" s="21" t="n">
        <v>0</v>
      </c>
      <c r="Q9993" s="21" t="n">
        <v>0</v>
      </c>
      <c r="R9993" s="21" t="n">
        <v>0</v>
      </c>
      <c r="S9993" s="21" t="n">
        <v>0</v>
      </c>
      <c r="T9993" s="21" t="n">
        <v>0</v>
      </c>
      <c r="U9993" s="21" t="n">
        <v>0</v>
      </c>
      <c r="V9993" s="21" t="n">
        <v>0</v>
      </c>
      <c r="W9993" s="21" t="n">
        <v>0</v>
      </c>
      <c r="X9993" s="21" t="n">
        <v>0</v>
      </c>
      <c r="Y9993" s="21" t="n">
        <v>0</v>
      </c>
      <c r="Z9993" s="19" t="n"/>
    </row>
    <row r="9994">
      <c r="D9994" s="21" t="n">
        <v>0</v>
      </c>
      <c r="E9994" s="21" t="n">
        <v>0</v>
      </c>
      <c r="F9994" s="21">
        <f>-$B$8763</f>
        <v/>
      </c>
      <c r="G9994" s="21">
        <f>-$B$8764</f>
        <v/>
      </c>
      <c r="H9994" s="21">
        <f>2*$B$8763+$D$9980</f>
        <v/>
      </c>
      <c r="I9994" s="21">
        <f>0</f>
        <v/>
      </c>
      <c r="J9994" s="21">
        <f>-$B$8763</f>
        <v/>
      </c>
      <c r="K9994" s="21">
        <f>$B$8764</f>
        <v/>
      </c>
      <c r="L9994" s="21" t="n">
        <v>0</v>
      </c>
      <c r="M9994" s="21" t="n">
        <v>0</v>
      </c>
      <c r="N9994" s="21" t="n">
        <v>0</v>
      </c>
      <c r="O9994" s="21" t="n">
        <v>0</v>
      </c>
      <c r="P9994" s="21" t="n">
        <v>0</v>
      </c>
      <c r="Q9994" s="21" t="n">
        <v>0</v>
      </c>
      <c r="R9994" s="21" t="n">
        <v>0</v>
      </c>
      <c r="S9994" s="21" t="n">
        <v>0</v>
      </c>
      <c r="T9994" s="21" t="n">
        <v>0</v>
      </c>
      <c r="U9994" s="21" t="n">
        <v>0</v>
      </c>
      <c r="V9994" s="21" t="n">
        <v>0</v>
      </c>
      <c r="W9994" s="21" t="n">
        <v>0</v>
      </c>
      <c r="X9994" s="21" t="n">
        <v>0</v>
      </c>
      <c r="Y9994" s="21" t="n">
        <v>0</v>
      </c>
      <c r="Z9994" s="19" t="n"/>
    </row>
    <row r="9995">
      <c r="D9995" s="21" t="n">
        <v>0</v>
      </c>
      <c r="E9995" s="21" t="n">
        <v>0</v>
      </c>
      <c r="F9995" s="21">
        <f>$B$8764</f>
        <v/>
      </c>
      <c r="G9995" s="21">
        <f>$B$8766</f>
        <v/>
      </c>
      <c r="H9995" s="21">
        <f>0</f>
        <v/>
      </c>
      <c r="I9995" s="21">
        <f>2*$B$8765</f>
        <v/>
      </c>
      <c r="J9995" s="21">
        <f>-$B$8764</f>
        <v/>
      </c>
      <c r="K9995" s="21">
        <f>$B$8766</f>
        <v/>
      </c>
      <c r="L9995" s="21" t="n">
        <v>0</v>
      </c>
      <c r="M9995" s="21" t="n">
        <v>0</v>
      </c>
      <c r="N9995" s="21" t="n">
        <v>0</v>
      </c>
      <c r="O9995" s="21" t="n">
        <v>0</v>
      </c>
      <c r="P9995" s="21" t="n">
        <v>0</v>
      </c>
      <c r="Q9995" s="21" t="n">
        <v>0</v>
      </c>
      <c r="R9995" s="21" t="n">
        <v>0</v>
      </c>
      <c r="S9995" s="21" t="n">
        <v>0</v>
      </c>
      <c r="T9995" s="21" t="n">
        <v>0</v>
      </c>
      <c r="U9995" s="21" t="n">
        <v>0</v>
      </c>
      <c r="V9995" s="21" t="n">
        <v>0</v>
      </c>
      <c r="W9995" s="21" t="n">
        <v>0</v>
      </c>
      <c r="X9995" s="21" t="n">
        <v>0</v>
      </c>
      <c r="Y9995" s="21" t="n">
        <v>0</v>
      </c>
      <c r="Z9995" s="19" t="n"/>
    </row>
    <row r="9996">
      <c r="D9996" s="21" t="n">
        <v>0</v>
      </c>
      <c r="E9996" s="21" t="n">
        <v>0</v>
      </c>
      <c r="F9996" s="21" t="n">
        <v>0</v>
      </c>
      <c r="G9996" s="21" t="n">
        <v>0</v>
      </c>
      <c r="H9996" s="21">
        <f>-$B$8763</f>
        <v/>
      </c>
      <c r="I9996" s="21">
        <f>-$B$8764</f>
        <v/>
      </c>
      <c r="J9996" s="21">
        <f>2*$B$8763+$D$9981</f>
        <v/>
      </c>
      <c r="K9996" s="21">
        <f>0</f>
        <v/>
      </c>
      <c r="L9996" s="21">
        <f>-$B$8763</f>
        <v/>
      </c>
      <c r="M9996" s="21">
        <f>$B$8764</f>
        <v/>
      </c>
      <c r="N9996" s="21" t="n">
        <v>0</v>
      </c>
      <c r="O9996" s="21" t="n">
        <v>0</v>
      </c>
      <c r="P9996" s="21" t="n">
        <v>0</v>
      </c>
      <c r="Q9996" s="21" t="n">
        <v>0</v>
      </c>
      <c r="R9996" s="21" t="n">
        <v>0</v>
      </c>
      <c r="S9996" s="21" t="n">
        <v>0</v>
      </c>
      <c r="T9996" s="21" t="n">
        <v>0</v>
      </c>
      <c r="U9996" s="21" t="n">
        <v>0</v>
      </c>
      <c r="V9996" s="21" t="n">
        <v>0</v>
      </c>
      <c r="W9996" s="21" t="n">
        <v>0</v>
      </c>
      <c r="X9996" s="21" t="n">
        <v>0</v>
      </c>
      <c r="Y9996" s="21" t="n">
        <v>0</v>
      </c>
      <c r="Z9996" s="19" t="n"/>
    </row>
    <row r="9997">
      <c r="D9997" s="21" t="n">
        <v>0</v>
      </c>
      <c r="E9997" s="21" t="n">
        <v>0</v>
      </c>
      <c r="F9997" s="21" t="n">
        <v>0</v>
      </c>
      <c r="G9997" s="21" t="n">
        <v>0</v>
      </c>
      <c r="H9997" s="21">
        <f>$B$8764</f>
        <v/>
      </c>
      <c r="I9997" s="21">
        <f>$B$8766</f>
        <v/>
      </c>
      <c r="J9997" s="21">
        <f>0</f>
        <v/>
      </c>
      <c r="K9997" s="21">
        <f>2*$B$8765</f>
        <v/>
      </c>
      <c r="L9997" s="21">
        <f>-$B$8764</f>
        <v/>
      </c>
      <c r="M9997" s="21">
        <f>$B$8766</f>
        <v/>
      </c>
      <c r="N9997" s="21" t="n">
        <v>0</v>
      </c>
      <c r="O9997" s="21" t="n">
        <v>0</v>
      </c>
      <c r="P9997" s="21" t="n">
        <v>0</v>
      </c>
      <c r="Q9997" s="21" t="n">
        <v>0</v>
      </c>
      <c r="R9997" s="21" t="n">
        <v>0</v>
      </c>
      <c r="S9997" s="21" t="n">
        <v>0</v>
      </c>
      <c r="T9997" s="21" t="n">
        <v>0</v>
      </c>
      <c r="U9997" s="21" t="n">
        <v>0</v>
      </c>
      <c r="V9997" s="21" t="n">
        <v>0</v>
      </c>
      <c r="W9997" s="21" t="n">
        <v>0</v>
      </c>
      <c r="X9997" s="21" t="n">
        <v>0</v>
      </c>
      <c r="Y9997" s="21" t="n">
        <v>0</v>
      </c>
      <c r="Z9997" s="19" t="n"/>
    </row>
    <row r="9998">
      <c r="D9998" s="21" t="n">
        <v>0</v>
      </c>
      <c r="E9998" s="21" t="n">
        <v>0</v>
      </c>
      <c r="F9998" s="21" t="n">
        <v>0</v>
      </c>
      <c r="G9998" s="21" t="n">
        <v>0</v>
      </c>
      <c r="H9998" s="21" t="n">
        <v>0</v>
      </c>
      <c r="I9998" s="21" t="n">
        <v>0</v>
      </c>
      <c r="J9998" s="21">
        <f>-$B$8763</f>
        <v/>
      </c>
      <c r="K9998" s="21">
        <f>-$B$8764</f>
        <v/>
      </c>
      <c r="L9998" s="21">
        <f>2*$B$8763+$D$9982</f>
        <v/>
      </c>
      <c r="M9998" s="21">
        <f>0</f>
        <v/>
      </c>
      <c r="N9998" s="21">
        <f>-$B$8763</f>
        <v/>
      </c>
      <c r="O9998" s="21">
        <f>$B$8764</f>
        <v/>
      </c>
      <c r="P9998" s="21" t="n">
        <v>0</v>
      </c>
      <c r="Q9998" s="21" t="n">
        <v>0</v>
      </c>
      <c r="R9998" s="21" t="n">
        <v>0</v>
      </c>
      <c r="S9998" s="21" t="n">
        <v>0</v>
      </c>
      <c r="T9998" s="21" t="n">
        <v>0</v>
      </c>
      <c r="U9998" s="21" t="n">
        <v>0</v>
      </c>
      <c r="V9998" s="21" t="n">
        <v>0</v>
      </c>
      <c r="W9998" s="21" t="n">
        <v>0</v>
      </c>
      <c r="X9998" s="21" t="n">
        <v>0</v>
      </c>
      <c r="Y9998" s="21" t="n">
        <v>0</v>
      </c>
      <c r="Z9998" s="19" t="n"/>
    </row>
    <row r="9999">
      <c r="D9999" s="21" t="n">
        <v>0</v>
      </c>
      <c r="E9999" s="21" t="n">
        <v>0</v>
      </c>
      <c r="F9999" s="21" t="n">
        <v>0</v>
      </c>
      <c r="G9999" s="21" t="n">
        <v>0</v>
      </c>
      <c r="H9999" s="21" t="n">
        <v>0</v>
      </c>
      <c r="I9999" s="21" t="n">
        <v>0</v>
      </c>
      <c r="J9999" s="21">
        <f>$B$8764</f>
        <v/>
      </c>
      <c r="K9999" s="21">
        <f>$B$8766</f>
        <v/>
      </c>
      <c r="L9999" s="21">
        <f>0</f>
        <v/>
      </c>
      <c r="M9999" s="21">
        <f>2*$B$8765</f>
        <v/>
      </c>
      <c r="N9999" s="21">
        <f>-$B$8764</f>
        <v/>
      </c>
      <c r="O9999" s="21">
        <f>$B$8766</f>
        <v/>
      </c>
      <c r="P9999" s="21" t="n">
        <v>0</v>
      </c>
      <c r="Q9999" s="21" t="n">
        <v>0</v>
      </c>
      <c r="R9999" s="21" t="n">
        <v>0</v>
      </c>
      <c r="S9999" s="21" t="n">
        <v>0</v>
      </c>
      <c r="T9999" s="21" t="n">
        <v>0</v>
      </c>
      <c r="U9999" s="21" t="n">
        <v>0</v>
      </c>
      <c r="V9999" s="21" t="n">
        <v>0</v>
      </c>
      <c r="W9999" s="21" t="n">
        <v>0</v>
      </c>
      <c r="X9999" s="21" t="n">
        <v>0</v>
      </c>
      <c r="Y9999" s="21" t="n">
        <v>0</v>
      </c>
      <c r="Z9999" s="19" t="n"/>
    </row>
    <row r="10000">
      <c r="D10000" s="21" t="n">
        <v>0</v>
      </c>
      <c r="E10000" s="21" t="n">
        <v>0</v>
      </c>
      <c r="F10000" s="21" t="n">
        <v>0</v>
      </c>
      <c r="G10000" s="21" t="n">
        <v>0</v>
      </c>
      <c r="H10000" s="21" t="n">
        <v>0</v>
      </c>
      <c r="I10000" s="21" t="n">
        <v>0</v>
      </c>
      <c r="J10000" s="21" t="n">
        <v>0</v>
      </c>
      <c r="K10000" s="21" t="n">
        <v>0</v>
      </c>
      <c r="L10000" s="21">
        <f>-$B$8763</f>
        <v/>
      </c>
      <c r="M10000" s="21">
        <f>-$B$8764</f>
        <v/>
      </c>
      <c r="N10000" s="21">
        <f>2*$B$8763+$D$9983</f>
        <v/>
      </c>
      <c r="O10000" s="21">
        <f>0</f>
        <v/>
      </c>
      <c r="P10000" s="21">
        <f>-$B$8763</f>
        <v/>
      </c>
      <c r="Q10000" s="21">
        <f>$B$8764</f>
        <v/>
      </c>
      <c r="R10000" s="21" t="n">
        <v>0</v>
      </c>
      <c r="S10000" s="21" t="n">
        <v>0</v>
      </c>
      <c r="T10000" s="21" t="n">
        <v>0</v>
      </c>
      <c r="U10000" s="21" t="n">
        <v>0</v>
      </c>
      <c r="V10000" s="21" t="n">
        <v>0</v>
      </c>
      <c r="W10000" s="21" t="n">
        <v>0</v>
      </c>
      <c r="X10000" s="21" t="n">
        <v>0</v>
      </c>
      <c r="Y10000" s="21" t="n">
        <v>0</v>
      </c>
      <c r="Z10000" s="19" t="n"/>
    </row>
    <row r="10001">
      <c r="D10001" s="21" t="n">
        <v>0</v>
      </c>
      <c r="E10001" s="21" t="n">
        <v>0</v>
      </c>
      <c r="F10001" s="21" t="n">
        <v>0</v>
      </c>
      <c r="G10001" s="21" t="n">
        <v>0</v>
      </c>
      <c r="H10001" s="21" t="n">
        <v>0</v>
      </c>
      <c r="I10001" s="21" t="n">
        <v>0</v>
      </c>
      <c r="J10001" s="21" t="n">
        <v>0</v>
      </c>
      <c r="K10001" s="21" t="n">
        <v>0</v>
      </c>
      <c r="L10001" s="21">
        <f>$B$8764</f>
        <v/>
      </c>
      <c r="M10001" s="21">
        <f>$B$8766</f>
        <v/>
      </c>
      <c r="N10001" s="21">
        <f>0</f>
        <v/>
      </c>
      <c r="O10001" s="21">
        <f>2*$B$8765</f>
        <v/>
      </c>
      <c r="P10001" s="21">
        <f>-$B$8764</f>
        <v/>
      </c>
      <c r="Q10001" s="21">
        <f>$B$8766</f>
        <v/>
      </c>
      <c r="R10001" s="21" t="n">
        <v>0</v>
      </c>
      <c r="S10001" s="21" t="n">
        <v>0</v>
      </c>
      <c r="T10001" s="21" t="n">
        <v>0</v>
      </c>
      <c r="U10001" s="21" t="n">
        <v>0</v>
      </c>
      <c r="V10001" s="21" t="n">
        <v>0</v>
      </c>
      <c r="W10001" s="21" t="n">
        <v>0</v>
      </c>
      <c r="X10001" s="21" t="n">
        <v>0</v>
      </c>
      <c r="Y10001" s="21" t="n">
        <v>0</v>
      </c>
      <c r="Z10001" s="19" t="n"/>
    </row>
    <row r="10002">
      <c r="D10002" s="21" t="n">
        <v>0</v>
      </c>
      <c r="E10002" s="21" t="n">
        <v>0</v>
      </c>
      <c r="F10002" s="21" t="n">
        <v>0</v>
      </c>
      <c r="G10002" s="21" t="n">
        <v>0</v>
      </c>
      <c r="H10002" s="21" t="n">
        <v>0</v>
      </c>
      <c r="I10002" s="21" t="n">
        <v>0</v>
      </c>
      <c r="J10002" s="21" t="n">
        <v>0</v>
      </c>
      <c r="K10002" s="21" t="n">
        <v>0</v>
      </c>
      <c r="L10002" s="21" t="n">
        <v>0</v>
      </c>
      <c r="M10002" s="21" t="n">
        <v>0</v>
      </c>
      <c r="N10002" s="21">
        <f>-$B$8763</f>
        <v/>
      </c>
      <c r="O10002" s="21">
        <f>-$B$8764</f>
        <v/>
      </c>
      <c r="P10002" s="21">
        <f>2*$B$8763+$D$9984</f>
        <v/>
      </c>
      <c r="Q10002" s="21">
        <f>0</f>
        <v/>
      </c>
      <c r="R10002" s="21">
        <f>-$B$8763</f>
        <v/>
      </c>
      <c r="S10002" s="21">
        <f>$B$8764</f>
        <v/>
      </c>
      <c r="T10002" s="21" t="n">
        <v>0</v>
      </c>
      <c r="U10002" s="21" t="n">
        <v>0</v>
      </c>
      <c r="V10002" s="21" t="n">
        <v>0</v>
      </c>
      <c r="W10002" s="21" t="n">
        <v>0</v>
      </c>
      <c r="X10002" s="21" t="n">
        <v>0</v>
      </c>
      <c r="Y10002" s="21" t="n">
        <v>0</v>
      </c>
      <c r="Z10002" s="19" t="n"/>
    </row>
    <row r="10003">
      <c r="D10003" s="21" t="n">
        <v>0</v>
      </c>
      <c r="E10003" s="21" t="n">
        <v>0</v>
      </c>
      <c r="F10003" s="21" t="n">
        <v>0</v>
      </c>
      <c r="G10003" s="21" t="n">
        <v>0</v>
      </c>
      <c r="H10003" s="21" t="n">
        <v>0</v>
      </c>
      <c r="I10003" s="21" t="n">
        <v>0</v>
      </c>
      <c r="J10003" s="21" t="n">
        <v>0</v>
      </c>
      <c r="K10003" s="21" t="n">
        <v>0</v>
      </c>
      <c r="L10003" s="21" t="n">
        <v>0</v>
      </c>
      <c r="M10003" s="21" t="n">
        <v>0</v>
      </c>
      <c r="N10003" s="21">
        <f>$B$8764</f>
        <v/>
      </c>
      <c r="O10003" s="21">
        <f>$B$8766</f>
        <v/>
      </c>
      <c r="P10003" s="21">
        <f>0</f>
        <v/>
      </c>
      <c r="Q10003" s="21">
        <f>2*$B$8765</f>
        <v/>
      </c>
      <c r="R10003" s="21">
        <f>-$B$8764</f>
        <v/>
      </c>
      <c r="S10003" s="21">
        <f>$B$8766</f>
        <v/>
      </c>
      <c r="T10003" s="21" t="n">
        <v>0</v>
      </c>
      <c r="U10003" s="21" t="n">
        <v>0</v>
      </c>
      <c r="V10003" s="21" t="n">
        <v>0</v>
      </c>
      <c r="W10003" s="21" t="n">
        <v>0</v>
      </c>
      <c r="X10003" s="21" t="n">
        <v>0</v>
      </c>
      <c r="Y10003" s="21" t="n">
        <v>0</v>
      </c>
      <c r="Z10003" s="19" t="n"/>
    </row>
    <row r="10004">
      <c r="D10004" s="21" t="n">
        <v>0</v>
      </c>
      <c r="E10004" s="21" t="n">
        <v>0</v>
      </c>
      <c r="F10004" s="21" t="n">
        <v>0</v>
      </c>
      <c r="G10004" s="21" t="n">
        <v>0</v>
      </c>
      <c r="H10004" s="21" t="n">
        <v>0</v>
      </c>
      <c r="I10004" s="21" t="n">
        <v>0</v>
      </c>
      <c r="J10004" s="21" t="n">
        <v>0</v>
      </c>
      <c r="K10004" s="21" t="n">
        <v>0</v>
      </c>
      <c r="L10004" s="21" t="n">
        <v>0</v>
      </c>
      <c r="M10004" s="21" t="n">
        <v>0</v>
      </c>
      <c r="N10004" s="21" t="n">
        <v>0</v>
      </c>
      <c r="O10004" s="21" t="n">
        <v>0</v>
      </c>
      <c r="P10004" s="21">
        <f>-$B$8763</f>
        <v/>
      </c>
      <c r="Q10004" s="21">
        <f>-$B$8764</f>
        <v/>
      </c>
      <c r="R10004" s="21">
        <f>2*$B$8763+$D$9985</f>
        <v/>
      </c>
      <c r="S10004" s="21">
        <f>0</f>
        <v/>
      </c>
      <c r="T10004" s="21">
        <f>-$B$8763</f>
        <v/>
      </c>
      <c r="U10004" s="21">
        <f>$B$8764</f>
        <v/>
      </c>
      <c r="V10004" s="21" t="n">
        <v>0</v>
      </c>
      <c r="W10004" s="21" t="n">
        <v>0</v>
      </c>
      <c r="X10004" s="21" t="n">
        <v>0</v>
      </c>
      <c r="Y10004" s="21" t="n">
        <v>0</v>
      </c>
      <c r="Z10004" s="19" t="n"/>
    </row>
    <row r="10005">
      <c r="D10005" s="21" t="n">
        <v>0</v>
      </c>
      <c r="E10005" s="21" t="n">
        <v>0</v>
      </c>
      <c r="F10005" s="21" t="n">
        <v>0</v>
      </c>
      <c r="G10005" s="21" t="n">
        <v>0</v>
      </c>
      <c r="H10005" s="21" t="n">
        <v>0</v>
      </c>
      <c r="I10005" s="21" t="n">
        <v>0</v>
      </c>
      <c r="J10005" s="21" t="n">
        <v>0</v>
      </c>
      <c r="K10005" s="21" t="n">
        <v>0</v>
      </c>
      <c r="L10005" s="21" t="n">
        <v>0</v>
      </c>
      <c r="M10005" s="21" t="n">
        <v>0</v>
      </c>
      <c r="N10005" s="21" t="n">
        <v>0</v>
      </c>
      <c r="O10005" s="21" t="n">
        <v>0</v>
      </c>
      <c r="P10005" s="21">
        <f>$B$8764</f>
        <v/>
      </c>
      <c r="Q10005" s="21">
        <f>$B$8766</f>
        <v/>
      </c>
      <c r="R10005" s="21">
        <f>0</f>
        <v/>
      </c>
      <c r="S10005" s="21">
        <f>2*$B$8765</f>
        <v/>
      </c>
      <c r="T10005" s="21">
        <f>-$B$8764</f>
        <v/>
      </c>
      <c r="U10005" s="21">
        <f>$B$8766</f>
        <v/>
      </c>
      <c r="V10005" s="21" t="n">
        <v>0</v>
      </c>
      <c r="W10005" s="21" t="n">
        <v>0</v>
      </c>
      <c r="X10005" s="21" t="n">
        <v>0</v>
      </c>
      <c r="Y10005" s="21" t="n">
        <v>0</v>
      </c>
      <c r="Z10005" s="19" t="n"/>
    </row>
    <row r="10006">
      <c r="D10006" s="21" t="n">
        <v>0</v>
      </c>
      <c r="E10006" s="21" t="n">
        <v>0</v>
      </c>
      <c r="F10006" s="21" t="n">
        <v>0</v>
      </c>
      <c r="G10006" s="21" t="n">
        <v>0</v>
      </c>
      <c r="H10006" s="21" t="n">
        <v>0</v>
      </c>
      <c r="I10006" s="21" t="n">
        <v>0</v>
      </c>
      <c r="J10006" s="21" t="n">
        <v>0</v>
      </c>
      <c r="K10006" s="21" t="n">
        <v>0</v>
      </c>
      <c r="L10006" s="21" t="n">
        <v>0</v>
      </c>
      <c r="M10006" s="21" t="n">
        <v>0</v>
      </c>
      <c r="N10006" s="21" t="n">
        <v>0</v>
      </c>
      <c r="O10006" s="21" t="n">
        <v>0</v>
      </c>
      <c r="P10006" s="21" t="n">
        <v>0</v>
      </c>
      <c r="Q10006" s="21" t="n">
        <v>0</v>
      </c>
      <c r="R10006" s="21">
        <f>-$B$8763</f>
        <v/>
      </c>
      <c r="S10006" s="21">
        <f>-$B$8764</f>
        <v/>
      </c>
      <c r="T10006" s="21">
        <f>2*$B$8763+$D$9986</f>
        <v/>
      </c>
      <c r="U10006" s="21">
        <f>0</f>
        <v/>
      </c>
      <c r="V10006" s="21">
        <f>-$B$8763</f>
        <v/>
      </c>
      <c r="W10006" s="21">
        <f>$B$8764</f>
        <v/>
      </c>
      <c r="X10006" s="21" t="n">
        <v>0</v>
      </c>
      <c r="Y10006" s="21" t="n">
        <v>0</v>
      </c>
      <c r="Z10006" s="19" t="n"/>
    </row>
    <row r="10007">
      <c r="D10007" s="21" t="n">
        <v>0</v>
      </c>
      <c r="E10007" s="21" t="n">
        <v>0</v>
      </c>
      <c r="F10007" s="21" t="n">
        <v>0</v>
      </c>
      <c r="G10007" s="21" t="n">
        <v>0</v>
      </c>
      <c r="H10007" s="21" t="n">
        <v>0</v>
      </c>
      <c r="I10007" s="21" t="n">
        <v>0</v>
      </c>
      <c r="J10007" s="21" t="n">
        <v>0</v>
      </c>
      <c r="K10007" s="21" t="n">
        <v>0</v>
      </c>
      <c r="L10007" s="21" t="n">
        <v>0</v>
      </c>
      <c r="M10007" s="21" t="n">
        <v>0</v>
      </c>
      <c r="N10007" s="21" t="n">
        <v>0</v>
      </c>
      <c r="O10007" s="21" t="n">
        <v>0</v>
      </c>
      <c r="P10007" s="21" t="n">
        <v>0</v>
      </c>
      <c r="Q10007" s="21" t="n">
        <v>0</v>
      </c>
      <c r="R10007" s="21">
        <f>$B$8764</f>
        <v/>
      </c>
      <c r="S10007" s="21">
        <f>$B$8766</f>
        <v/>
      </c>
      <c r="T10007" s="21">
        <f>0</f>
        <v/>
      </c>
      <c r="U10007" s="21">
        <f>2*$B$8765</f>
        <v/>
      </c>
      <c r="V10007" s="21">
        <f>-$B$8764</f>
        <v/>
      </c>
      <c r="W10007" s="21">
        <f>$B$8766</f>
        <v/>
      </c>
      <c r="X10007" s="21" t="n">
        <v>0</v>
      </c>
      <c r="Y10007" s="21" t="n">
        <v>0</v>
      </c>
      <c r="Z10007" s="19" t="n"/>
    </row>
    <row r="10008">
      <c r="D10008" s="21" t="n">
        <v>0</v>
      </c>
      <c r="E10008" s="21" t="n">
        <v>0</v>
      </c>
      <c r="F10008" s="21" t="n">
        <v>0</v>
      </c>
      <c r="G10008" s="21" t="n">
        <v>0</v>
      </c>
      <c r="H10008" s="21" t="n">
        <v>0</v>
      </c>
      <c r="I10008" s="21" t="n">
        <v>0</v>
      </c>
      <c r="J10008" s="21" t="n">
        <v>0</v>
      </c>
      <c r="K10008" s="21" t="n">
        <v>0</v>
      </c>
      <c r="L10008" s="21" t="n">
        <v>0</v>
      </c>
      <c r="M10008" s="21" t="n">
        <v>0</v>
      </c>
      <c r="N10008" s="21" t="n">
        <v>0</v>
      </c>
      <c r="O10008" s="21" t="n">
        <v>0</v>
      </c>
      <c r="P10008" s="21" t="n">
        <v>0</v>
      </c>
      <c r="Q10008" s="21" t="n">
        <v>0</v>
      </c>
      <c r="R10008" s="21" t="n">
        <v>0</v>
      </c>
      <c r="S10008" s="21" t="n">
        <v>0</v>
      </c>
      <c r="T10008" s="21">
        <f>-$B$8763</f>
        <v/>
      </c>
      <c r="U10008" s="21">
        <f>-$B$8764</f>
        <v/>
      </c>
      <c r="V10008" s="21">
        <f>2*$B$8763+$D$9987</f>
        <v/>
      </c>
      <c r="W10008" s="21">
        <f>0</f>
        <v/>
      </c>
      <c r="X10008" s="21">
        <f>-$B$8763</f>
        <v/>
      </c>
      <c r="Y10008" s="21">
        <f>$B$8764</f>
        <v/>
      </c>
      <c r="Z10008" s="19" t="n"/>
    </row>
    <row r="10009">
      <c r="D10009" s="21" t="n">
        <v>0</v>
      </c>
      <c r="E10009" s="21" t="n">
        <v>0</v>
      </c>
      <c r="F10009" s="21" t="n">
        <v>0</v>
      </c>
      <c r="G10009" s="21" t="n">
        <v>0</v>
      </c>
      <c r="H10009" s="21" t="n">
        <v>0</v>
      </c>
      <c r="I10009" s="21" t="n">
        <v>0</v>
      </c>
      <c r="J10009" s="21" t="n">
        <v>0</v>
      </c>
      <c r="K10009" s="21" t="n">
        <v>0</v>
      </c>
      <c r="L10009" s="21" t="n">
        <v>0</v>
      </c>
      <c r="M10009" s="21" t="n">
        <v>0</v>
      </c>
      <c r="N10009" s="21" t="n">
        <v>0</v>
      </c>
      <c r="O10009" s="21" t="n">
        <v>0</v>
      </c>
      <c r="P10009" s="21" t="n">
        <v>0</v>
      </c>
      <c r="Q10009" s="21" t="n">
        <v>0</v>
      </c>
      <c r="R10009" s="21" t="n">
        <v>0</v>
      </c>
      <c r="S10009" s="21" t="n">
        <v>0</v>
      </c>
      <c r="T10009" s="21">
        <f>$B$8764</f>
        <v/>
      </c>
      <c r="U10009" s="21">
        <f>$B$8766</f>
        <v/>
      </c>
      <c r="V10009" s="21">
        <f>0</f>
        <v/>
      </c>
      <c r="W10009" s="21">
        <f>2*$B$8765</f>
        <v/>
      </c>
      <c r="X10009" s="21">
        <f>-$B$8764</f>
        <v/>
      </c>
      <c r="Y10009" s="21">
        <f>$B$8766</f>
        <v/>
      </c>
      <c r="Z10009" s="19" t="n"/>
    </row>
    <row r="10010">
      <c r="D10010" s="21" t="n">
        <v>0</v>
      </c>
      <c r="E10010" s="21" t="n">
        <v>0</v>
      </c>
      <c r="F10010" s="21" t="n">
        <v>0</v>
      </c>
      <c r="G10010" s="21" t="n">
        <v>0</v>
      </c>
      <c r="H10010" s="21" t="n">
        <v>0</v>
      </c>
      <c r="I10010" s="21" t="n">
        <v>0</v>
      </c>
      <c r="J10010" s="21" t="n">
        <v>0</v>
      </c>
      <c r="K10010" s="21" t="n">
        <v>0</v>
      </c>
      <c r="L10010" s="21" t="n">
        <v>0</v>
      </c>
      <c r="M10010" s="21" t="n">
        <v>0</v>
      </c>
      <c r="N10010" s="21" t="n">
        <v>0</v>
      </c>
      <c r="O10010" s="21" t="n">
        <v>0</v>
      </c>
      <c r="P10010" s="21" t="n">
        <v>0</v>
      </c>
      <c r="Q10010" s="21" t="n">
        <v>0</v>
      </c>
      <c r="R10010" s="21" t="n">
        <v>0</v>
      </c>
      <c r="S10010" s="21" t="n">
        <v>0</v>
      </c>
      <c r="T10010" s="21" t="n">
        <v>0</v>
      </c>
      <c r="U10010" s="21" t="n">
        <v>0</v>
      </c>
      <c r="V10010" s="21">
        <f>-$B$8763</f>
        <v/>
      </c>
      <c r="W10010" s="21">
        <f>-$B$8764</f>
        <v/>
      </c>
      <c r="X10010" s="21">
        <f>$B$8763+$D$9988</f>
        <v/>
      </c>
      <c r="Y10010" s="21">
        <f>-$B$8764</f>
        <v/>
      </c>
      <c r="Z10010" s="19" t="n"/>
    </row>
    <row r="10011">
      <c r="D10011" s="21" t="n">
        <v>0</v>
      </c>
      <c r="E10011" s="21" t="n">
        <v>0</v>
      </c>
      <c r="F10011" s="21" t="n">
        <v>0</v>
      </c>
      <c r="G10011" s="21" t="n">
        <v>0</v>
      </c>
      <c r="H10011" s="21" t="n">
        <v>0</v>
      </c>
      <c r="I10011" s="21" t="n">
        <v>0</v>
      </c>
      <c r="J10011" s="21" t="n">
        <v>0</v>
      </c>
      <c r="K10011" s="21" t="n">
        <v>0</v>
      </c>
      <c r="L10011" s="21" t="n">
        <v>0</v>
      </c>
      <c r="M10011" s="21" t="n">
        <v>0</v>
      </c>
      <c r="N10011" s="21" t="n">
        <v>0</v>
      </c>
      <c r="O10011" s="21" t="n">
        <v>0</v>
      </c>
      <c r="P10011" s="21" t="n">
        <v>0</v>
      </c>
      <c r="Q10011" s="21" t="n">
        <v>0</v>
      </c>
      <c r="R10011" s="21" t="n">
        <v>0</v>
      </c>
      <c r="S10011" s="21" t="n">
        <v>0</v>
      </c>
      <c r="T10011" s="21" t="n">
        <v>0</v>
      </c>
      <c r="U10011" s="21" t="n">
        <v>0</v>
      </c>
      <c r="V10011" s="21">
        <f>$B$8764</f>
        <v/>
      </c>
      <c r="W10011" s="21">
        <f>$B$8766</f>
        <v/>
      </c>
      <c r="X10011" s="21">
        <f>-$B$8764</f>
        <v/>
      </c>
      <c r="Y10011" s="21">
        <f>$B$8765</f>
        <v/>
      </c>
      <c r="Z10011" s="19" t="n"/>
    </row>
    <row r="10013">
      <c r="A10013" s="8" t="inlineStr">
        <is>
          <t>gen 34</t>
        </is>
      </c>
    </row>
    <row r="10014">
      <c r="D10014" s="19">
        <f>IF(ABS(IF(ABS($E$9978)&gt;0.000000001,$E$9978,0.000000001))=0,0,IF($E$8778&lt;=$B$8772,0,IF(ABS(IF(ABS($E$9978)&gt;0.000000001,$E$9978,0.000000001))&gt;=8*$B$8774,$H$8778,0.5*$H$8778*(ABS(IF(ABS($E$9978)&gt;0.000000001,$E$9978,0.000000001))/$B$8774)^(1/3)))/ABS(IF(ABS($E$9978)&gt;0.000000001,$E$9978,0.000000001))*$I$8778)</f>
        <v/>
      </c>
      <c r="E10014" s="19">
        <f>0.5*$E$9978+0.5*$Z$10026</f>
        <v/>
      </c>
      <c r="F10014" s="19">
        <f>$Z$10027</f>
        <v/>
      </c>
    </row>
    <row r="10015">
      <c r="D10015" s="19">
        <f>IF(ABS(IF(ABS($E$9979)&gt;0.000000001,$E$9979,0.000000001))=0,0,IF($E$8779&lt;=$B$8772,0,IF(ABS(IF(ABS($E$9979)&gt;0.000000001,$E$9979,0.000000001))&gt;=8*$B$8774,$H$8779,0.5*$H$8779*(ABS(IF(ABS($E$9979)&gt;0.000000001,$E$9979,0.000000001))/$B$8774)^(1/3)))/ABS(IF(ABS($E$9979)&gt;0.000000001,$E$9979,0.000000001))*$I$8779)</f>
        <v/>
      </c>
      <c r="E10015" s="19">
        <f>0.5*$E$9979+0.5*$Z$10028</f>
        <v/>
      </c>
      <c r="F10015" s="19">
        <f>$Z$10029</f>
        <v/>
      </c>
    </row>
    <row r="10016">
      <c r="D10016" s="19">
        <f>IF(ABS(IF(ABS($E$9980)&gt;0.000000001,$E$9980,0.000000001))=0,0,IF($E$8780&lt;=$B$8772,0,IF(ABS(IF(ABS($E$9980)&gt;0.000000001,$E$9980,0.000000001))&gt;=8*$B$8774,$H$8780,0.5*$H$8780*(ABS(IF(ABS($E$9980)&gt;0.000000001,$E$9980,0.000000001))/$B$8774)^(1/3)))/ABS(IF(ABS($E$9980)&gt;0.000000001,$E$9980,0.000000001))*$I$8780)</f>
        <v/>
      </c>
      <c r="E10016" s="19">
        <f>0.5*$E$9980+0.5*$Z$10030</f>
        <v/>
      </c>
      <c r="F10016" s="19">
        <f>$Z$10031</f>
        <v/>
      </c>
    </row>
    <row r="10017">
      <c r="D10017" s="19">
        <f>IF(ABS(IF(ABS($E$9981)&gt;0.000000001,$E$9981,0.000000001))=0,0,IF($E$8781&lt;=$B$8772,0,IF(ABS(IF(ABS($E$9981)&gt;0.000000001,$E$9981,0.000000001))&gt;=8*$B$8774,$H$8781,0.5*$H$8781*(ABS(IF(ABS($E$9981)&gt;0.000000001,$E$9981,0.000000001))/$B$8774)^(1/3)))/ABS(IF(ABS($E$9981)&gt;0.000000001,$E$9981,0.000000001))*$I$8781)</f>
        <v/>
      </c>
      <c r="E10017" s="19">
        <f>0.5*$E$9981+0.5*$Z$10032</f>
        <v/>
      </c>
      <c r="F10017" s="19">
        <f>$Z$10033</f>
        <v/>
      </c>
    </row>
    <row r="10018">
      <c r="D10018" s="19">
        <f>IF(ABS(IF(ABS($E$9982)&gt;0.000000001,$E$9982,0.000000001))=0,0,IF($E$8782&lt;=$B$8772,0,IF(ABS(IF(ABS($E$9982)&gt;0.000000001,$E$9982,0.000000001))&gt;=8*$B$8774,$H$8782,0.5*$H$8782*(ABS(IF(ABS($E$9982)&gt;0.000000001,$E$9982,0.000000001))/$B$8774)^(1/3)))/ABS(IF(ABS($E$9982)&gt;0.000000001,$E$9982,0.000000001))*$I$8782)</f>
        <v/>
      </c>
      <c r="E10018" s="19">
        <f>0.5*$E$9982+0.5*$Z$10034</f>
        <v/>
      </c>
      <c r="F10018" s="19">
        <f>$Z$10035</f>
        <v/>
      </c>
    </row>
    <row r="10019">
      <c r="D10019" s="19">
        <f>IF(ABS(IF(ABS($E$9983)&gt;0.000000001,$E$9983,0.000000001))=0,0,IF($E$8783&lt;=$B$8772,0,IF(ABS(IF(ABS($E$9983)&gt;0.000000001,$E$9983,0.000000001))&gt;=8*$B$8774,$H$8783,0.5*$H$8783*(ABS(IF(ABS($E$9983)&gt;0.000000001,$E$9983,0.000000001))/$B$8774)^(1/3)))/ABS(IF(ABS($E$9983)&gt;0.000000001,$E$9983,0.000000001))*$I$8783)</f>
        <v/>
      </c>
      <c r="E10019" s="19">
        <f>0.5*$E$9983+0.5*$Z$10036</f>
        <v/>
      </c>
      <c r="F10019" s="19">
        <f>$Z$10037</f>
        <v/>
      </c>
    </row>
    <row r="10020">
      <c r="D10020" s="19">
        <f>IF(ABS(IF(ABS($E$9984)&gt;0.000000001,$E$9984,0.000000001))=0,0,IF($E$8784&lt;=$B$8772,0,IF(ABS(IF(ABS($E$9984)&gt;0.000000001,$E$9984,0.000000001))&gt;=8*$B$8774,$H$8784,0.5*$H$8784*(ABS(IF(ABS($E$9984)&gt;0.000000001,$E$9984,0.000000001))/$B$8774)^(1/3)))/ABS(IF(ABS($E$9984)&gt;0.000000001,$E$9984,0.000000001))*$I$8784)</f>
        <v/>
      </c>
      <c r="E10020" s="19">
        <f>0.5*$E$9984+0.5*$Z$10038</f>
        <v/>
      </c>
      <c r="F10020" s="19">
        <f>$Z$10039</f>
        <v/>
      </c>
    </row>
    <row r="10021">
      <c r="D10021" s="19">
        <f>IF(ABS(IF(ABS($E$9985)&gt;0.000000001,$E$9985,0.000000001))=0,0,IF($E$8785&lt;=$B$8772,0,IF(ABS(IF(ABS($E$9985)&gt;0.000000001,$E$9985,0.000000001))&gt;=8*$B$8774,$H$8785,0.5*$H$8785*(ABS(IF(ABS($E$9985)&gt;0.000000001,$E$9985,0.000000001))/$B$8774)^(1/3)))/ABS(IF(ABS($E$9985)&gt;0.000000001,$E$9985,0.000000001))*$I$8785)</f>
        <v/>
      </c>
      <c r="E10021" s="19">
        <f>0.5*$E$9985+0.5*$Z$10040</f>
        <v/>
      </c>
      <c r="F10021" s="19">
        <f>$Z$10041</f>
        <v/>
      </c>
    </row>
    <row r="10022">
      <c r="D10022" s="19">
        <f>IF(ABS(IF(ABS($E$9986)&gt;0.000000001,$E$9986,0.000000001))=0,0,IF($E$8786&lt;=$B$8772,0,IF(ABS(IF(ABS($E$9986)&gt;0.000000001,$E$9986,0.000000001))&gt;=8*$B$8774,$H$8786,0.5*$H$8786*(ABS(IF(ABS($E$9986)&gt;0.000000001,$E$9986,0.000000001))/$B$8774)^(1/3)))/ABS(IF(ABS($E$9986)&gt;0.000000001,$E$9986,0.000000001))*$I$8786)</f>
        <v/>
      </c>
      <c r="E10022" s="19">
        <f>0.5*$E$9986+0.5*$Z$10042</f>
        <v/>
      </c>
      <c r="F10022" s="19">
        <f>$Z$10043</f>
        <v/>
      </c>
    </row>
    <row r="10023">
      <c r="D10023" s="19">
        <f>IF(ABS(IF(ABS($E$9987)&gt;0.000000001,$E$9987,0.000000001))=0,0,IF($E$8787&lt;=$B$8772,0,IF(ABS(IF(ABS($E$9987)&gt;0.000000001,$E$9987,0.000000001))&gt;=8*$B$8774,$H$8787,0.5*$H$8787*(ABS(IF(ABS($E$9987)&gt;0.000000001,$E$9987,0.000000001))/$B$8774)^(1/3)))/ABS(IF(ABS($E$9987)&gt;0.000000001,$E$9987,0.000000001))*$I$8787)</f>
        <v/>
      </c>
      <c r="E10023" s="19">
        <f>0.5*$E$9987+0.5*$Z$10044</f>
        <v/>
      </c>
      <c r="F10023" s="19">
        <f>$Z$10045</f>
        <v/>
      </c>
    </row>
    <row r="10024">
      <c r="D10024" s="19">
        <f>IF(ABS(IF(ABS($E$9988)&gt;0.000000001,$E$9988,0.000000001))=0,0,IF($E$8788&lt;=$B$8772,0,IF(ABS(IF(ABS($E$9988)&gt;0.000000001,$E$9988,0.000000001))&gt;=8*$B$8774,$H$8788,0.5*$H$8788*(ABS(IF(ABS($E$9988)&gt;0.000000001,$E$9988,0.000000001))/$B$8774)^(1/3)))/ABS(IF(ABS($E$9988)&gt;0.000000001,$E$9988,0.000000001))*$I$8788)</f>
        <v/>
      </c>
      <c r="E10024" s="19">
        <f>0.5*$E$9988+0.5*$Z$10046</f>
        <v/>
      </c>
      <c r="F10024" s="19">
        <f>$Z$10047</f>
        <v/>
      </c>
    </row>
    <row r="10026">
      <c r="D10026" s="21">
        <f>$B$8763+$D$10014</f>
        <v/>
      </c>
      <c r="E10026" s="21">
        <f>$B$8764</f>
        <v/>
      </c>
      <c r="F10026" s="21">
        <f>-$B$8763</f>
        <v/>
      </c>
      <c r="G10026" s="21">
        <f>$B$8764</f>
        <v/>
      </c>
      <c r="H10026" s="21" t="n">
        <v>0</v>
      </c>
      <c r="I10026" s="21" t="n">
        <v>0</v>
      </c>
      <c r="J10026" s="21" t="n">
        <v>0</v>
      </c>
      <c r="K10026" s="21" t="n">
        <v>0</v>
      </c>
      <c r="L10026" s="21" t="n">
        <v>0</v>
      </c>
      <c r="M10026" s="21" t="n">
        <v>0</v>
      </c>
      <c r="N10026" s="21" t="n">
        <v>0</v>
      </c>
      <c r="O10026" s="21" t="n">
        <v>0</v>
      </c>
      <c r="P10026" s="21" t="n">
        <v>0</v>
      </c>
      <c r="Q10026" s="21" t="n">
        <v>0</v>
      </c>
      <c r="R10026" s="21" t="n">
        <v>0</v>
      </c>
      <c r="S10026" s="21" t="n">
        <v>0</v>
      </c>
      <c r="T10026" s="21" t="n">
        <v>0</v>
      </c>
      <c r="U10026" s="21" t="n">
        <v>0</v>
      </c>
      <c r="V10026" s="21" t="n">
        <v>0</v>
      </c>
      <c r="W10026" s="21" t="n">
        <v>0</v>
      </c>
      <c r="X10026" s="21" t="n">
        <v>0</v>
      </c>
      <c r="Y10026" s="21" t="n">
        <v>0</v>
      </c>
      <c r="Z10026" s="19">
        <f t="array" ref="Z10026:Z10047">MMULT(MINVERSE($D$10026:$Y$10047),$D$8790:$D$8811)</f>
        <v/>
      </c>
    </row>
    <row r="10027">
      <c r="D10027" s="21">
        <f>$B$8764</f>
        <v/>
      </c>
      <c r="E10027" s="21">
        <f>$B$8765</f>
        <v/>
      </c>
      <c r="F10027" s="21">
        <f>-$B$8764</f>
        <v/>
      </c>
      <c r="G10027" s="21">
        <f>$B$8766</f>
        <v/>
      </c>
      <c r="H10027" s="21" t="n">
        <v>0</v>
      </c>
      <c r="I10027" s="21" t="n">
        <v>0</v>
      </c>
      <c r="J10027" s="21" t="n">
        <v>0</v>
      </c>
      <c r="K10027" s="21" t="n">
        <v>0</v>
      </c>
      <c r="L10027" s="21" t="n">
        <v>0</v>
      </c>
      <c r="M10027" s="21" t="n">
        <v>0</v>
      </c>
      <c r="N10027" s="21" t="n">
        <v>0</v>
      </c>
      <c r="O10027" s="21" t="n">
        <v>0</v>
      </c>
      <c r="P10027" s="21" t="n">
        <v>0</v>
      </c>
      <c r="Q10027" s="21" t="n">
        <v>0</v>
      </c>
      <c r="R10027" s="21" t="n">
        <v>0</v>
      </c>
      <c r="S10027" s="21" t="n">
        <v>0</v>
      </c>
      <c r="T10027" s="21" t="n">
        <v>0</v>
      </c>
      <c r="U10027" s="21" t="n">
        <v>0</v>
      </c>
      <c r="V10027" s="21" t="n">
        <v>0</v>
      </c>
      <c r="W10027" s="21" t="n">
        <v>0</v>
      </c>
      <c r="X10027" s="21" t="n">
        <v>0</v>
      </c>
      <c r="Y10027" s="21" t="n">
        <v>0</v>
      </c>
      <c r="Z10027" s="19" t="n"/>
    </row>
    <row r="10028">
      <c r="D10028" s="21">
        <f>-$B$8763</f>
        <v/>
      </c>
      <c r="E10028" s="21">
        <f>-$B$8764</f>
        <v/>
      </c>
      <c r="F10028" s="21">
        <f>2*$B$8763+$D$10015</f>
        <v/>
      </c>
      <c r="G10028" s="21">
        <f>0</f>
        <v/>
      </c>
      <c r="H10028" s="21">
        <f>-$B$8763</f>
        <v/>
      </c>
      <c r="I10028" s="21">
        <f>$B$8764</f>
        <v/>
      </c>
      <c r="J10028" s="21" t="n">
        <v>0</v>
      </c>
      <c r="K10028" s="21" t="n">
        <v>0</v>
      </c>
      <c r="L10028" s="21" t="n">
        <v>0</v>
      </c>
      <c r="M10028" s="21" t="n">
        <v>0</v>
      </c>
      <c r="N10028" s="21" t="n">
        <v>0</v>
      </c>
      <c r="O10028" s="21" t="n">
        <v>0</v>
      </c>
      <c r="P10028" s="21" t="n">
        <v>0</v>
      </c>
      <c r="Q10028" s="21" t="n">
        <v>0</v>
      </c>
      <c r="R10028" s="21" t="n">
        <v>0</v>
      </c>
      <c r="S10028" s="21" t="n">
        <v>0</v>
      </c>
      <c r="T10028" s="21" t="n">
        <v>0</v>
      </c>
      <c r="U10028" s="21" t="n">
        <v>0</v>
      </c>
      <c r="V10028" s="21" t="n">
        <v>0</v>
      </c>
      <c r="W10028" s="21" t="n">
        <v>0</v>
      </c>
      <c r="X10028" s="21" t="n">
        <v>0</v>
      </c>
      <c r="Y10028" s="21" t="n">
        <v>0</v>
      </c>
      <c r="Z10028" s="19" t="n"/>
    </row>
    <row r="10029">
      <c r="D10029" s="21">
        <f>$B$8764</f>
        <v/>
      </c>
      <c r="E10029" s="21">
        <f>$B$8766</f>
        <v/>
      </c>
      <c r="F10029" s="21">
        <f>0</f>
        <v/>
      </c>
      <c r="G10029" s="21">
        <f>2*$B$8765</f>
        <v/>
      </c>
      <c r="H10029" s="21">
        <f>-$B$8764</f>
        <v/>
      </c>
      <c r="I10029" s="21">
        <f>$B$8766</f>
        <v/>
      </c>
      <c r="J10029" s="21" t="n">
        <v>0</v>
      </c>
      <c r="K10029" s="21" t="n">
        <v>0</v>
      </c>
      <c r="L10029" s="21" t="n">
        <v>0</v>
      </c>
      <c r="M10029" s="21" t="n">
        <v>0</v>
      </c>
      <c r="N10029" s="21" t="n">
        <v>0</v>
      </c>
      <c r="O10029" s="21" t="n">
        <v>0</v>
      </c>
      <c r="P10029" s="21" t="n">
        <v>0</v>
      </c>
      <c r="Q10029" s="21" t="n">
        <v>0</v>
      </c>
      <c r="R10029" s="21" t="n">
        <v>0</v>
      </c>
      <c r="S10029" s="21" t="n">
        <v>0</v>
      </c>
      <c r="T10029" s="21" t="n">
        <v>0</v>
      </c>
      <c r="U10029" s="21" t="n">
        <v>0</v>
      </c>
      <c r="V10029" s="21" t="n">
        <v>0</v>
      </c>
      <c r="W10029" s="21" t="n">
        <v>0</v>
      </c>
      <c r="X10029" s="21" t="n">
        <v>0</v>
      </c>
      <c r="Y10029" s="21" t="n">
        <v>0</v>
      </c>
      <c r="Z10029" s="19" t="n"/>
    </row>
    <row r="10030">
      <c r="D10030" s="21" t="n">
        <v>0</v>
      </c>
      <c r="E10030" s="21" t="n">
        <v>0</v>
      </c>
      <c r="F10030" s="21">
        <f>-$B$8763</f>
        <v/>
      </c>
      <c r="G10030" s="21">
        <f>-$B$8764</f>
        <v/>
      </c>
      <c r="H10030" s="21">
        <f>2*$B$8763+$D$10016</f>
        <v/>
      </c>
      <c r="I10030" s="21">
        <f>0</f>
        <v/>
      </c>
      <c r="J10030" s="21">
        <f>-$B$8763</f>
        <v/>
      </c>
      <c r="K10030" s="21">
        <f>$B$8764</f>
        <v/>
      </c>
      <c r="L10030" s="21" t="n">
        <v>0</v>
      </c>
      <c r="M10030" s="21" t="n">
        <v>0</v>
      </c>
      <c r="N10030" s="21" t="n">
        <v>0</v>
      </c>
      <c r="O10030" s="21" t="n">
        <v>0</v>
      </c>
      <c r="P10030" s="21" t="n">
        <v>0</v>
      </c>
      <c r="Q10030" s="21" t="n">
        <v>0</v>
      </c>
      <c r="R10030" s="21" t="n">
        <v>0</v>
      </c>
      <c r="S10030" s="21" t="n">
        <v>0</v>
      </c>
      <c r="T10030" s="21" t="n">
        <v>0</v>
      </c>
      <c r="U10030" s="21" t="n">
        <v>0</v>
      </c>
      <c r="V10030" s="21" t="n">
        <v>0</v>
      </c>
      <c r="W10030" s="21" t="n">
        <v>0</v>
      </c>
      <c r="X10030" s="21" t="n">
        <v>0</v>
      </c>
      <c r="Y10030" s="21" t="n">
        <v>0</v>
      </c>
      <c r="Z10030" s="19" t="n"/>
    </row>
    <row r="10031">
      <c r="D10031" s="21" t="n">
        <v>0</v>
      </c>
      <c r="E10031" s="21" t="n">
        <v>0</v>
      </c>
      <c r="F10031" s="21">
        <f>$B$8764</f>
        <v/>
      </c>
      <c r="G10031" s="21">
        <f>$B$8766</f>
        <v/>
      </c>
      <c r="H10031" s="21">
        <f>0</f>
        <v/>
      </c>
      <c r="I10031" s="21">
        <f>2*$B$8765</f>
        <v/>
      </c>
      <c r="J10031" s="21">
        <f>-$B$8764</f>
        <v/>
      </c>
      <c r="K10031" s="21">
        <f>$B$8766</f>
        <v/>
      </c>
      <c r="L10031" s="21" t="n">
        <v>0</v>
      </c>
      <c r="M10031" s="21" t="n">
        <v>0</v>
      </c>
      <c r="N10031" s="21" t="n">
        <v>0</v>
      </c>
      <c r="O10031" s="21" t="n">
        <v>0</v>
      </c>
      <c r="P10031" s="21" t="n">
        <v>0</v>
      </c>
      <c r="Q10031" s="21" t="n">
        <v>0</v>
      </c>
      <c r="R10031" s="21" t="n">
        <v>0</v>
      </c>
      <c r="S10031" s="21" t="n">
        <v>0</v>
      </c>
      <c r="T10031" s="21" t="n">
        <v>0</v>
      </c>
      <c r="U10031" s="21" t="n">
        <v>0</v>
      </c>
      <c r="V10031" s="21" t="n">
        <v>0</v>
      </c>
      <c r="W10031" s="21" t="n">
        <v>0</v>
      </c>
      <c r="X10031" s="21" t="n">
        <v>0</v>
      </c>
      <c r="Y10031" s="21" t="n">
        <v>0</v>
      </c>
      <c r="Z10031" s="19" t="n"/>
    </row>
    <row r="10032">
      <c r="D10032" s="21" t="n">
        <v>0</v>
      </c>
      <c r="E10032" s="21" t="n">
        <v>0</v>
      </c>
      <c r="F10032" s="21" t="n">
        <v>0</v>
      </c>
      <c r="G10032" s="21" t="n">
        <v>0</v>
      </c>
      <c r="H10032" s="21">
        <f>-$B$8763</f>
        <v/>
      </c>
      <c r="I10032" s="21">
        <f>-$B$8764</f>
        <v/>
      </c>
      <c r="J10032" s="21">
        <f>2*$B$8763+$D$10017</f>
        <v/>
      </c>
      <c r="K10032" s="21">
        <f>0</f>
        <v/>
      </c>
      <c r="L10032" s="21">
        <f>-$B$8763</f>
        <v/>
      </c>
      <c r="M10032" s="21">
        <f>$B$8764</f>
        <v/>
      </c>
      <c r="N10032" s="21" t="n">
        <v>0</v>
      </c>
      <c r="O10032" s="21" t="n">
        <v>0</v>
      </c>
      <c r="P10032" s="21" t="n">
        <v>0</v>
      </c>
      <c r="Q10032" s="21" t="n">
        <v>0</v>
      </c>
      <c r="R10032" s="21" t="n">
        <v>0</v>
      </c>
      <c r="S10032" s="21" t="n">
        <v>0</v>
      </c>
      <c r="T10032" s="21" t="n">
        <v>0</v>
      </c>
      <c r="U10032" s="21" t="n">
        <v>0</v>
      </c>
      <c r="V10032" s="21" t="n">
        <v>0</v>
      </c>
      <c r="W10032" s="21" t="n">
        <v>0</v>
      </c>
      <c r="X10032" s="21" t="n">
        <v>0</v>
      </c>
      <c r="Y10032" s="21" t="n">
        <v>0</v>
      </c>
      <c r="Z10032" s="19" t="n"/>
    </row>
    <row r="10033">
      <c r="D10033" s="21" t="n">
        <v>0</v>
      </c>
      <c r="E10033" s="21" t="n">
        <v>0</v>
      </c>
      <c r="F10033" s="21" t="n">
        <v>0</v>
      </c>
      <c r="G10033" s="21" t="n">
        <v>0</v>
      </c>
      <c r="H10033" s="21">
        <f>$B$8764</f>
        <v/>
      </c>
      <c r="I10033" s="21">
        <f>$B$8766</f>
        <v/>
      </c>
      <c r="J10033" s="21">
        <f>0</f>
        <v/>
      </c>
      <c r="K10033" s="21">
        <f>2*$B$8765</f>
        <v/>
      </c>
      <c r="L10033" s="21">
        <f>-$B$8764</f>
        <v/>
      </c>
      <c r="M10033" s="21">
        <f>$B$8766</f>
        <v/>
      </c>
      <c r="N10033" s="21" t="n">
        <v>0</v>
      </c>
      <c r="O10033" s="21" t="n">
        <v>0</v>
      </c>
      <c r="P10033" s="21" t="n">
        <v>0</v>
      </c>
      <c r="Q10033" s="21" t="n">
        <v>0</v>
      </c>
      <c r="R10033" s="21" t="n">
        <v>0</v>
      </c>
      <c r="S10033" s="21" t="n">
        <v>0</v>
      </c>
      <c r="T10033" s="21" t="n">
        <v>0</v>
      </c>
      <c r="U10033" s="21" t="n">
        <v>0</v>
      </c>
      <c r="V10033" s="21" t="n">
        <v>0</v>
      </c>
      <c r="W10033" s="21" t="n">
        <v>0</v>
      </c>
      <c r="X10033" s="21" t="n">
        <v>0</v>
      </c>
      <c r="Y10033" s="21" t="n">
        <v>0</v>
      </c>
      <c r="Z10033" s="19" t="n"/>
    </row>
    <row r="10034">
      <c r="D10034" s="21" t="n">
        <v>0</v>
      </c>
      <c r="E10034" s="21" t="n">
        <v>0</v>
      </c>
      <c r="F10034" s="21" t="n">
        <v>0</v>
      </c>
      <c r="G10034" s="21" t="n">
        <v>0</v>
      </c>
      <c r="H10034" s="21" t="n">
        <v>0</v>
      </c>
      <c r="I10034" s="21" t="n">
        <v>0</v>
      </c>
      <c r="J10034" s="21">
        <f>-$B$8763</f>
        <v/>
      </c>
      <c r="K10034" s="21">
        <f>-$B$8764</f>
        <v/>
      </c>
      <c r="L10034" s="21">
        <f>2*$B$8763+$D$10018</f>
        <v/>
      </c>
      <c r="M10034" s="21">
        <f>0</f>
        <v/>
      </c>
      <c r="N10034" s="21">
        <f>-$B$8763</f>
        <v/>
      </c>
      <c r="O10034" s="21">
        <f>$B$8764</f>
        <v/>
      </c>
      <c r="P10034" s="21" t="n">
        <v>0</v>
      </c>
      <c r="Q10034" s="21" t="n">
        <v>0</v>
      </c>
      <c r="R10034" s="21" t="n">
        <v>0</v>
      </c>
      <c r="S10034" s="21" t="n">
        <v>0</v>
      </c>
      <c r="T10034" s="21" t="n">
        <v>0</v>
      </c>
      <c r="U10034" s="21" t="n">
        <v>0</v>
      </c>
      <c r="V10034" s="21" t="n">
        <v>0</v>
      </c>
      <c r="W10034" s="21" t="n">
        <v>0</v>
      </c>
      <c r="X10034" s="21" t="n">
        <v>0</v>
      </c>
      <c r="Y10034" s="21" t="n">
        <v>0</v>
      </c>
      <c r="Z10034" s="19" t="n"/>
    </row>
    <row r="10035">
      <c r="D10035" s="21" t="n">
        <v>0</v>
      </c>
      <c r="E10035" s="21" t="n">
        <v>0</v>
      </c>
      <c r="F10035" s="21" t="n">
        <v>0</v>
      </c>
      <c r="G10035" s="21" t="n">
        <v>0</v>
      </c>
      <c r="H10035" s="21" t="n">
        <v>0</v>
      </c>
      <c r="I10035" s="21" t="n">
        <v>0</v>
      </c>
      <c r="J10035" s="21">
        <f>$B$8764</f>
        <v/>
      </c>
      <c r="K10035" s="21">
        <f>$B$8766</f>
        <v/>
      </c>
      <c r="L10035" s="21">
        <f>0</f>
        <v/>
      </c>
      <c r="M10035" s="21">
        <f>2*$B$8765</f>
        <v/>
      </c>
      <c r="N10035" s="21">
        <f>-$B$8764</f>
        <v/>
      </c>
      <c r="O10035" s="21">
        <f>$B$8766</f>
        <v/>
      </c>
      <c r="P10035" s="21" t="n">
        <v>0</v>
      </c>
      <c r="Q10035" s="21" t="n">
        <v>0</v>
      </c>
      <c r="R10035" s="21" t="n">
        <v>0</v>
      </c>
      <c r="S10035" s="21" t="n">
        <v>0</v>
      </c>
      <c r="T10035" s="21" t="n">
        <v>0</v>
      </c>
      <c r="U10035" s="21" t="n">
        <v>0</v>
      </c>
      <c r="V10035" s="21" t="n">
        <v>0</v>
      </c>
      <c r="W10035" s="21" t="n">
        <v>0</v>
      </c>
      <c r="X10035" s="21" t="n">
        <v>0</v>
      </c>
      <c r="Y10035" s="21" t="n">
        <v>0</v>
      </c>
      <c r="Z10035" s="19" t="n"/>
    </row>
    <row r="10036">
      <c r="D10036" s="21" t="n">
        <v>0</v>
      </c>
      <c r="E10036" s="21" t="n">
        <v>0</v>
      </c>
      <c r="F10036" s="21" t="n">
        <v>0</v>
      </c>
      <c r="G10036" s="21" t="n">
        <v>0</v>
      </c>
      <c r="H10036" s="21" t="n">
        <v>0</v>
      </c>
      <c r="I10036" s="21" t="n">
        <v>0</v>
      </c>
      <c r="J10036" s="21" t="n">
        <v>0</v>
      </c>
      <c r="K10036" s="21" t="n">
        <v>0</v>
      </c>
      <c r="L10036" s="21">
        <f>-$B$8763</f>
        <v/>
      </c>
      <c r="M10036" s="21">
        <f>-$B$8764</f>
        <v/>
      </c>
      <c r="N10036" s="21">
        <f>2*$B$8763+$D$10019</f>
        <v/>
      </c>
      <c r="O10036" s="21">
        <f>0</f>
        <v/>
      </c>
      <c r="P10036" s="21">
        <f>-$B$8763</f>
        <v/>
      </c>
      <c r="Q10036" s="21">
        <f>$B$8764</f>
        <v/>
      </c>
      <c r="R10036" s="21" t="n">
        <v>0</v>
      </c>
      <c r="S10036" s="21" t="n">
        <v>0</v>
      </c>
      <c r="T10036" s="21" t="n">
        <v>0</v>
      </c>
      <c r="U10036" s="21" t="n">
        <v>0</v>
      </c>
      <c r="V10036" s="21" t="n">
        <v>0</v>
      </c>
      <c r="W10036" s="21" t="n">
        <v>0</v>
      </c>
      <c r="X10036" s="21" t="n">
        <v>0</v>
      </c>
      <c r="Y10036" s="21" t="n">
        <v>0</v>
      </c>
      <c r="Z10036" s="19" t="n"/>
    </row>
    <row r="10037">
      <c r="D10037" s="21" t="n">
        <v>0</v>
      </c>
      <c r="E10037" s="21" t="n">
        <v>0</v>
      </c>
      <c r="F10037" s="21" t="n">
        <v>0</v>
      </c>
      <c r="G10037" s="21" t="n">
        <v>0</v>
      </c>
      <c r="H10037" s="21" t="n">
        <v>0</v>
      </c>
      <c r="I10037" s="21" t="n">
        <v>0</v>
      </c>
      <c r="J10037" s="21" t="n">
        <v>0</v>
      </c>
      <c r="K10037" s="21" t="n">
        <v>0</v>
      </c>
      <c r="L10037" s="21">
        <f>$B$8764</f>
        <v/>
      </c>
      <c r="M10037" s="21">
        <f>$B$8766</f>
        <v/>
      </c>
      <c r="N10037" s="21">
        <f>0</f>
        <v/>
      </c>
      <c r="O10037" s="21">
        <f>2*$B$8765</f>
        <v/>
      </c>
      <c r="P10037" s="21">
        <f>-$B$8764</f>
        <v/>
      </c>
      <c r="Q10037" s="21">
        <f>$B$8766</f>
        <v/>
      </c>
      <c r="R10037" s="21" t="n">
        <v>0</v>
      </c>
      <c r="S10037" s="21" t="n">
        <v>0</v>
      </c>
      <c r="T10037" s="21" t="n">
        <v>0</v>
      </c>
      <c r="U10037" s="21" t="n">
        <v>0</v>
      </c>
      <c r="V10037" s="21" t="n">
        <v>0</v>
      </c>
      <c r="W10037" s="21" t="n">
        <v>0</v>
      </c>
      <c r="X10037" s="21" t="n">
        <v>0</v>
      </c>
      <c r="Y10037" s="21" t="n">
        <v>0</v>
      </c>
      <c r="Z10037" s="19" t="n"/>
    </row>
    <row r="10038">
      <c r="D10038" s="21" t="n">
        <v>0</v>
      </c>
      <c r="E10038" s="21" t="n">
        <v>0</v>
      </c>
      <c r="F10038" s="21" t="n">
        <v>0</v>
      </c>
      <c r="G10038" s="21" t="n">
        <v>0</v>
      </c>
      <c r="H10038" s="21" t="n">
        <v>0</v>
      </c>
      <c r="I10038" s="21" t="n">
        <v>0</v>
      </c>
      <c r="J10038" s="21" t="n">
        <v>0</v>
      </c>
      <c r="K10038" s="21" t="n">
        <v>0</v>
      </c>
      <c r="L10038" s="21" t="n">
        <v>0</v>
      </c>
      <c r="M10038" s="21" t="n">
        <v>0</v>
      </c>
      <c r="N10038" s="21">
        <f>-$B$8763</f>
        <v/>
      </c>
      <c r="O10038" s="21">
        <f>-$B$8764</f>
        <v/>
      </c>
      <c r="P10038" s="21">
        <f>2*$B$8763+$D$10020</f>
        <v/>
      </c>
      <c r="Q10038" s="21">
        <f>0</f>
        <v/>
      </c>
      <c r="R10038" s="21">
        <f>-$B$8763</f>
        <v/>
      </c>
      <c r="S10038" s="21">
        <f>$B$8764</f>
        <v/>
      </c>
      <c r="T10038" s="21" t="n">
        <v>0</v>
      </c>
      <c r="U10038" s="21" t="n">
        <v>0</v>
      </c>
      <c r="V10038" s="21" t="n">
        <v>0</v>
      </c>
      <c r="W10038" s="21" t="n">
        <v>0</v>
      </c>
      <c r="X10038" s="21" t="n">
        <v>0</v>
      </c>
      <c r="Y10038" s="21" t="n">
        <v>0</v>
      </c>
      <c r="Z10038" s="19" t="n"/>
    </row>
    <row r="10039">
      <c r="D10039" s="21" t="n">
        <v>0</v>
      </c>
      <c r="E10039" s="21" t="n">
        <v>0</v>
      </c>
      <c r="F10039" s="21" t="n">
        <v>0</v>
      </c>
      <c r="G10039" s="21" t="n">
        <v>0</v>
      </c>
      <c r="H10039" s="21" t="n">
        <v>0</v>
      </c>
      <c r="I10039" s="21" t="n">
        <v>0</v>
      </c>
      <c r="J10039" s="21" t="n">
        <v>0</v>
      </c>
      <c r="K10039" s="21" t="n">
        <v>0</v>
      </c>
      <c r="L10039" s="21" t="n">
        <v>0</v>
      </c>
      <c r="M10039" s="21" t="n">
        <v>0</v>
      </c>
      <c r="N10039" s="21">
        <f>$B$8764</f>
        <v/>
      </c>
      <c r="O10039" s="21">
        <f>$B$8766</f>
        <v/>
      </c>
      <c r="P10039" s="21">
        <f>0</f>
        <v/>
      </c>
      <c r="Q10039" s="21">
        <f>2*$B$8765</f>
        <v/>
      </c>
      <c r="R10039" s="21">
        <f>-$B$8764</f>
        <v/>
      </c>
      <c r="S10039" s="21">
        <f>$B$8766</f>
        <v/>
      </c>
      <c r="T10039" s="21" t="n">
        <v>0</v>
      </c>
      <c r="U10039" s="21" t="n">
        <v>0</v>
      </c>
      <c r="V10039" s="21" t="n">
        <v>0</v>
      </c>
      <c r="W10039" s="21" t="n">
        <v>0</v>
      </c>
      <c r="X10039" s="21" t="n">
        <v>0</v>
      </c>
      <c r="Y10039" s="21" t="n">
        <v>0</v>
      </c>
      <c r="Z10039" s="19" t="n"/>
    </row>
    <row r="10040">
      <c r="D10040" s="21" t="n">
        <v>0</v>
      </c>
      <c r="E10040" s="21" t="n">
        <v>0</v>
      </c>
      <c r="F10040" s="21" t="n">
        <v>0</v>
      </c>
      <c r="G10040" s="21" t="n">
        <v>0</v>
      </c>
      <c r="H10040" s="21" t="n">
        <v>0</v>
      </c>
      <c r="I10040" s="21" t="n">
        <v>0</v>
      </c>
      <c r="J10040" s="21" t="n">
        <v>0</v>
      </c>
      <c r="K10040" s="21" t="n">
        <v>0</v>
      </c>
      <c r="L10040" s="21" t="n">
        <v>0</v>
      </c>
      <c r="M10040" s="21" t="n">
        <v>0</v>
      </c>
      <c r="N10040" s="21" t="n">
        <v>0</v>
      </c>
      <c r="O10040" s="21" t="n">
        <v>0</v>
      </c>
      <c r="P10040" s="21">
        <f>-$B$8763</f>
        <v/>
      </c>
      <c r="Q10040" s="21">
        <f>-$B$8764</f>
        <v/>
      </c>
      <c r="R10040" s="21">
        <f>2*$B$8763+$D$10021</f>
        <v/>
      </c>
      <c r="S10040" s="21">
        <f>0</f>
        <v/>
      </c>
      <c r="T10040" s="21">
        <f>-$B$8763</f>
        <v/>
      </c>
      <c r="U10040" s="21">
        <f>$B$8764</f>
        <v/>
      </c>
      <c r="V10040" s="21" t="n">
        <v>0</v>
      </c>
      <c r="W10040" s="21" t="n">
        <v>0</v>
      </c>
      <c r="X10040" s="21" t="n">
        <v>0</v>
      </c>
      <c r="Y10040" s="21" t="n">
        <v>0</v>
      </c>
      <c r="Z10040" s="19" t="n"/>
    </row>
    <row r="10041">
      <c r="D10041" s="21" t="n">
        <v>0</v>
      </c>
      <c r="E10041" s="21" t="n">
        <v>0</v>
      </c>
      <c r="F10041" s="21" t="n">
        <v>0</v>
      </c>
      <c r="G10041" s="21" t="n">
        <v>0</v>
      </c>
      <c r="H10041" s="21" t="n">
        <v>0</v>
      </c>
      <c r="I10041" s="21" t="n">
        <v>0</v>
      </c>
      <c r="J10041" s="21" t="n">
        <v>0</v>
      </c>
      <c r="K10041" s="21" t="n">
        <v>0</v>
      </c>
      <c r="L10041" s="21" t="n">
        <v>0</v>
      </c>
      <c r="M10041" s="21" t="n">
        <v>0</v>
      </c>
      <c r="N10041" s="21" t="n">
        <v>0</v>
      </c>
      <c r="O10041" s="21" t="n">
        <v>0</v>
      </c>
      <c r="P10041" s="21">
        <f>$B$8764</f>
        <v/>
      </c>
      <c r="Q10041" s="21">
        <f>$B$8766</f>
        <v/>
      </c>
      <c r="R10041" s="21">
        <f>0</f>
        <v/>
      </c>
      <c r="S10041" s="21">
        <f>2*$B$8765</f>
        <v/>
      </c>
      <c r="T10041" s="21">
        <f>-$B$8764</f>
        <v/>
      </c>
      <c r="U10041" s="21">
        <f>$B$8766</f>
        <v/>
      </c>
      <c r="V10041" s="21" t="n">
        <v>0</v>
      </c>
      <c r="W10041" s="21" t="n">
        <v>0</v>
      </c>
      <c r="X10041" s="21" t="n">
        <v>0</v>
      </c>
      <c r="Y10041" s="21" t="n">
        <v>0</v>
      </c>
      <c r="Z10041" s="19" t="n"/>
    </row>
    <row r="10042">
      <c r="D10042" s="21" t="n">
        <v>0</v>
      </c>
      <c r="E10042" s="21" t="n">
        <v>0</v>
      </c>
      <c r="F10042" s="21" t="n">
        <v>0</v>
      </c>
      <c r="G10042" s="21" t="n">
        <v>0</v>
      </c>
      <c r="H10042" s="21" t="n">
        <v>0</v>
      </c>
      <c r="I10042" s="21" t="n">
        <v>0</v>
      </c>
      <c r="J10042" s="21" t="n">
        <v>0</v>
      </c>
      <c r="K10042" s="21" t="n">
        <v>0</v>
      </c>
      <c r="L10042" s="21" t="n">
        <v>0</v>
      </c>
      <c r="M10042" s="21" t="n">
        <v>0</v>
      </c>
      <c r="N10042" s="21" t="n">
        <v>0</v>
      </c>
      <c r="O10042" s="21" t="n">
        <v>0</v>
      </c>
      <c r="P10042" s="21" t="n">
        <v>0</v>
      </c>
      <c r="Q10042" s="21" t="n">
        <v>0</v>
      </c>
      <c r="R10042" s="21">
        <f>-$B$8763</f>
        <v/>
      </c>
      <c r="S10042" s="21">
        <f>-$B$8764</f>
        <v/>
      </c>
      <c r="T10042" s="21">
        <f>2*$B$8763+$D$10022</f>
        <v/>
      </c>
      <c r="U10042" s="21">
        <f>0</f>
        <v/>
      </c>
      <c r="V10042" s="21">
        <f>-$B$8763</f>
        <v/>
      </c>
      <c r="W10042" s="21">
        <f>$B$8764</f>
        <v/>
      </c>
      <c r="X10042" s="21" t="n">
        <v>0</v>
      </c>
      <c r="Y10042" s="21" t="n">
        <v>0</v>
      </c>
      <c r="Z10042" s="19" t="n"/>
    </row>
    <row r="10043">
      <c r="D10043" s="21" t="n">
        <v>0</v>
      </c>
      <c r="E10043" s="21" t="n">
        <v>0</v>
      </c>
      <c r="F10043" s="21" t="n">
        <v>0</v>
      </c>
      <c r="G10043" s="21" t="n">
        <v>0</v>
      </c>
      <c r="H10043" s="21" t="n">
        <v>0</v>
      </c>
      <c r="I10043" s="21" t="n">
        <v>0</v>
      </c>
      <c r="J10043" s="21" t="n">
        <v>0</v>
      </c>
      <c r="K10043" s="21" t="n">
        <v>0</v>
      </c>
      <c r="L10043" s="21" t="n">
        <v>0</v>
      </c>
      <c r="M10043" s="21" t="n">
        <v>0</v>
      </c>
      <c r="N10043" s="21" t="n">
        <v>0</v>
      </c>
      <c r="O10043" s="21" t="n">
        <v>0</v>
      </c>
      <c r="P10043" s="21" t="n">
        <v>0</v>
      </c>
      <c r="Q10043" s="21" t="n">
        <v>0</v>
      </c>
      <c r="R10043" s="21">
        <f>$B$8764</f>
        <v/>
      </c>
      <c r="S10043" s="21">
        <f>$B$8766</f>
        <v/>
      </c>
      <c r="T10043" s="21">
        <f>0</f>
        <v/>
      </c>
      <c r="U10043" s="21">
        <f>2*$B$8765</f>
        <v/>
      </c>
      <c r="V10043" s="21">
        <f>-$B$8764</f>
        <v/>
      </c>
      <c r="W10043" s="21">
        <f>$B$8766</f>
        <v/>
      </c>
      <c r="X10043" s="21" t="n">
        <v>0</v>
      </c>
      <c r="Y10043" s="21" t="n">
        <v>0</v>
      </c>
      <c r="Z10043" s="19" t="n"/>
    </row>
    <row r="10044">
      <c r="D10044" s="21" t="n">
        <v>0</v>
      </c>
      <c r="E10044" s="21" t="n">
        <v>0</v>
      </c>
      <c r="F10044" s="21" t="n">
        <v>0</v>
      </c>
      <c r="G10044" s="21" t="n">
        <v>0</v>
      </c>
      <c r="H10044" s="21" t="n">
        <v>0</v>
      </c>
      <c r="I10044" s="21" t="n">
        <v>0</v>
      </c>
      <c r="J10044" s="21" t="n">
        <v>0</v>
      </c>
      <c r="K10044" s="21" t="n">
        <v>0</v>
      </c>
      <c r="L10044" s="21" t="n">
        <v>0</v>
      </c>
      <c r="M10044" s="21" t="n">
        <v>0</v>
      </c>
      <c r="N10044" s="21" t="n">
        <v>0</v>
      </c>
      <c r="O10044" s="21" t="n">
        <v>0</v>
      </c>
      <c r="P10044" s="21" t="n">
        <v>0</v>
      </c>
      <c r="Q10044" s="21" t="n">
        <v>0</v>
      </c>
      <c r="R10044" s="21" t="n">
        <v>0</v>
      </c>
      <c r="S10044" s="21" t="n">
        <v>0</v>
      </c>
      <c r="T10044" s="21">
        <f>-$B$8763</f>
        <v/>
      </c>
      <c r="U10044" s="21">
        <f>-$B$8764</f>
        <v/>
      </c>
      <c r="V10044" s="21">
        <f>2*$B$8763+$D$10023</f>
        <v/>
      </c>
      <c r="W10044" s="21">
        <f>0</f>
        <v/>
      </c>
      <c r="X10044" s="21">
        <f>-$B$8763</f>
        <v/>
      </c>
      <c r="Y10044" s="21">
        <f>$B$8764</f>
        <v/>
      </c>
      <c r="Z10044" s="19" t="n"/>
    </row>
    <row r="10045">
      <c r="D10045" s="21" t="n">
        <v>0</v>
      </c>
      <c r="E10045" s="21" t="n">
        <v>0</v>
      </c>
      <c r="F10045" s="21" t="n">
        <v>0</v>
      </c>
      <c r="G10045" s="21" t="n">
        <v>0</v>
      </c>
      <c r="H10045" s="21" t="n">
        <v>0</v>
      </c>
      <c r="I10045" s="21" t="n">
        <v>0</v>
      </c>
      <c r="J10045" s="21" t="n">
        <v>0</v>
      </c>
      <c r="K10045" s="21" t="n">
        <v>0</v>
      </c>
      <c r="L10045" s="21" t="n">
        <v>0</v>
      </c>
      <c r="M10045" s="21" t="n">
        <v>0</v>
      </c>
      <c r="N10045" s="21" t="n">
        <v>0</v>
      </c>
      <c r="O10045" s="21" t="n">
        <v>0</v>
      </c>
      <c r="P10045" s="21" t="n">
        <v>0</v>
      </c>
      <c r="Q10045" s="21" t="n">
        <v>0</v>
      </c>
      <c r="R10045" s="21" t="n">
        <v>0</v>
      </c>
      <c r="S10045" s="21" t="n">
        <v>0</v>
      </c>
      <c r="T10045" s="21">
        <f>$B$8764</f>
        <v/>
      </c>
      <c r="U10045" s="21">
        <f>$B$8766</f>
        <v/>
      </c>
      <c r="V10045" s="21">
        <f>0</f>
        <v/>
      </c>
      <c r="W10045" s="21">
        <f>2*$B$8765</f>
        <v/>
      </c>
      <c r="X10045" s="21">
        <f>-$B$8764</f>
        <v/>
      </c>
      <c r="Y10045" s="21">
        <f>$B$8766</f>
        <v/>
      </c>
      <c r="Z10045" s="19" t="n"/>
    </row>
    <row r="10046">
      <c r="D10046" s="21" t="n">
        <v>0</v>
      </c>
      <c r="E10046" s="21" t="n">
        <v>0</v>
      </c>
      <c r="F10046" s="21" t="n">
        <v>0</v>
      </c>
      <c r="G10046" s="21" t="n">
        <v>0</v>
      </c>
      <c r="H10046" s="21" t="n">
        <v>0</v>
      </c>
      <c r="I10046" s="21" t="n">
        <v>0</v>
      </c>
      <c r="J10046" s="21" t="n">
        <v>0</v>
      </c>
      <c r="K10046" s="21" t="n">
        <v>0</v>
      </c>
      <c r="L10046" s="21" t="n">
        <v>0</v>
      </c>
      <c r="M10046" s="21" t="n">
        <v>0</v>
      </c>
      <c r="N10046" s="21" t="n">
        <v>0</v>
      </c>
      <c r="O10046" s="21" t="n">
        <v>0</v>
      </c>
      <c r="P10046" s="21" t="n">
        <v>0</v>
      </c>
      <c r="Q10046" s="21" t="n">
        <v>0</v>
      </c>
      <c r="R10046" s="21" t="n">
        <v>0</v>
      </c>
      <c r="S10046" s="21" t="n">
        <v>0</v>
      </c>
      <c r="T10046" s="21" t="n">
        <v>0</v>
      </c>
      <c r="U10046" s="21" t="n">
        <v>0</v>
      </c>
      <c r="V10046" s="21">
        <f>-$B$8763</f>
        <v/>
      </c>
      <c r="W10046" s="21">
        <f>-$B$8764</f>
        <v/>
      </c>
      <c r="X10046" s="21">
        <f>$B$8763+$D$10024</f>
        <v/>
      </c>
      <c r="Y10046" s="21">
        <f>-$B$8764</f>
        <v/>
      </c>
      <c r="Z10046" s="19" t="n"/>
    </row>
    <row r="10047">
      <c r="D10047" s="21" t="n">
        <v>0</v>
      </c>
      <c r="E10047" s="21" t="n">
        <v>0</v>
      </c>
      <c r="F10047" s="21" t="n">
        <v>0</v>
      </c>
      <c r="G10047" s="21" t="n">
        <v>0</v>
      </c>
      <c r="H10047" s="21" t="n">
        <v>0</v>
      </c>
      <c r="I10047" s="21" t="n">
        <v>0</v>
      </c>
      <c r="J10047" s="21" t="n">
        <v>0</v>
      </c>
      <c r="K10047" s="21" t="n">
        <v>0</v>
      </c>
      <c r="L10047" s="21" t="n">
        <v>0</v>
      </c>
      <c r="M10047" s="21" t="n">
        <v>0</v>
      </c>
      <c r="N10047" s="21" t="n">
        <v>0</v>
      </c>
      <c r="O10047" s="21" t="n">
        <v>0</v>
      </c>
      <c r="P10047" s="21" t="n">
        <v>0</v>
      </c>
      <c r="Q10047" s="21" t="n">
        <v>0</v>
      </c>
      <c r="R10047" s="21" t="n">
        <v>0</v>
      </c>
      <c r="S10047" s="21" t="n">
        <v>0</v>
      </c>
      <c r="T10047" s="21" t="n">
        <v>0</v>
      </c>
      <c r="U10047" s="21" t="n">
        <v>0</v>
      </c>
      <c r="V10047" s="21">
        <f>$B$8764</f>
        <v/>
      </c>
      <c r="W10047" s="21">
        <f>$B$8766</f>
        <v/>
      </c>
      <c r="X10047" s="21">
        <f>-$B$8764</f>
        <v/>
      </c>
      <c r="Y10047" s="21">
        <f>$B$8765</f>
        <v/>
      </c>
      <c r="Z10047" s="19" t="n"/>
    </row>
    <row r="10049">
      <c r="A10049" s="8" t="inlineStr">
        <is>
          <t>gen 35</t>
        </is>
      </c>
    </row>
    <row r="10050">
      <c r="D10050" s="19">
        <f>IF(ABS(IF(ABS($E$10014)&gt;0.000000001,$E$10014,0.000000001))=0,0,IF($E$8778&lt;=$B$8772,0,IF(ABS(IF(ABS($E$10014)&gt;0.000000001,$E$10014,0.000000001))&gt;=8*$B$8774,$H$8778,0.5*$H$8778*(ABS(IF(ABS($E$10014)&gt;0.000000001,$E$10014,0.000000001))/$B$8774)^(1/3)))/ABS(IF(ABS($E$10014)&gt;0.000000001,$E$10014,0.000000001))*$I$8778)</f>
        <v/>
      </c>
      <c r="E10050" s="19">
        <f>0.5*$E$10014+0.5*$Z$10062</f>
        <v/>
      </c>
      <c r="F10050" s="19">
        <f>$Z$10063</f>
        <v/>
      </c>
    </row>
    <row r="10051">
      <c r="D10051" s="19">
        <f>IF(ABS(IF(ABS($E$10015)&gt;0.000000001,$E$10015,0.000000001))=0,0,IF($E$8779&lt;=$B$8772,0,IF(ABS(IF(ABS($E$10015)&gt;0.000000001,$E$10015,0.000000001))&gt;=8*$B$8774,$H$8779,0.5*$H$8779*(ABS(IF(ABS($E$10015)&gt;0.000000001,$E$10015,0.000000001))/$B$8774)^(1/3)))/ABS(IF(ABS($E$10015)&gt;0.000000001,$E$10015,0.000000001))*$I$8779)</f>
        <v/>
      </c>
      <c r="E10051" s="19">
        <f>0.5*$E$10015+0.5*$Z$10064</f>
        <v/>
      </c>
      <c r="F10051" s="19">
        <f>$Z$10065</f>
        <v/>
      </c>
    </row>
    <row r="10052">
      <c r="D10052" s="19">
        <f>IF(ABS(IF(ABS($E$10016)&gt;0.000000001,$E$10016,0.000000001))=0,0,IF($E$8780&lt;=$B$8772,0,IF(ABS(IF(ABS($E$10016)&gt;0.000000001,$E$10016,0.000000001))&gt;=8*$B$8774,$H$8780,0.5*$H$8780*(ABS(IF(ABS($E$10016)&gt;0.000000001,$E$10016,0.000000001))/$B$8774)^(1/3)))/ABS(IF(ABS($E$10016)&gt;0.000000001,$E$10016,0.000000001))*$I$8780)</f>
        <v/>
      </c>
      <c r="E10052" s="19">
        <f>0.5*$E$10016+0.5*$Z$10066</f>
        <v/>
      </c>
      <c r="F10052" s="19">
        <f>$Z$10067</f>
        <v/>
      </c>
    </row>
    <row r="10053">
      <c r="D10053" s="19">
        <f>IF(ABS(IF(ABS($E$10017)&gt;0.000000001,$E$10017,0.000000001))=0,0,IF($E$8781&lt;=$B$8772,0,IF(ABS(IF(ABS($E$10017)&gt;0.000000001,$E$10017,0.000000001))&gt;=8*$B$8774,$H$8781,0.5*$H$8781*(ABS(IF(ABS($E$10017)&gt;0.000000001,$E$10017,0.000000001))/$B$8774)^(1/3)))/ABS(IF(ABS($E$10017)&gt;0.000000001,$E$10017,0.000000001))*$I$8781)</f>
        <v/>
      </c>
      <c r="E10053" s="19">
        <f>0.5*$E$10017+0.5*$Z$10068</f>
        <v/>
      </c>
      <c r="F10053" s="19">
        <f>$Z$10069</f>
        <v/>
      </c>
    </row>
    <row r="10054">
      <c r="D10054" s="19">
        <f>IF(ABS(IF(ABS($E$10018)&gt;0.000000001,$E$10018,0.000000001))=0,0,IF($E$8782&lt;=$B$8772,0,IF(ABS(IF(ABS($E$10018)&gt;0.000000001,$E$10018,0.000000001))&gt;=8*$B$8774,$H$8782,0.5*$H$8782*(ABS(IF(ABS($E$10018)&gt;0.000000001,$E$10018,0.000000001))/$B$8774)^(1/3)))/ABS(IF(ABS($E$10018)&gt;0.000000001,$E$10018,0.000000001))*$I$8782)</f>
        <v/>
      </c>
      <c r="E10054" s="19">
        <f>0.5*$E$10018+0.5*$Z$10070</f>
        <v/>
      </c>
      <c r="F10054" s="19">
        <f>$Z$10071</f>
        <v/>
      </c>
    </row>
    <row r="10055">
      <c r="D10055" s="19">
        <f>IF(ABS(IF(ABS($E$10019)&gt;0.000000001,$E$10019,0.000000001))=0,0,IF($E$8783&lt;=$B$8772,0,IF(ABS(IF(ABS($E$10019)&gt;0.000000001,$E$10019,0.000000001))&gt;=8*$B$8774,$H$8783,0.5*$H$8783*(ABS(IF(ABS($E$10019)&gt;0.000000001,$E$10019,0.000000001))/$B$8774)^(1/3)))/ABS(IF(ABS($E$10019)&gt;0.000000001,$E$10019,0.000000001))*$I$8783)</f>
        <v/>
      </c>
      <c r="E10055" s="19">
        <f>0.5*$E$10019+0.5*$Z$10072</f>
        <v/>
      </c>
      <c r="F10055" s="19">
        <f>$Z$10073</f>
        <v/>
      </c>
    </row>
    <row r="10056">
      <c r="D10056" s="19">
        <f>IF(ABS(IF(ABS($E$10020)&gt;0.000000001,$E$10020,0.000000001))=0,0,IF($E$8784&lt;=$B$8772,0,IF(ABS(IF(ABS($E$10020)&gt;0.000000001,$E$10020,0.000000001))&gt;=8*$B$8774,$H$8784,0.5*$H$8784*(ABS(IF(ABS($E$10020)&gt;0.000000001,$E$10020,0.000000001))/$B$8774)^(1/3)))/ABS(IF(ABS($E$10020)&gt;0.000000001,$E$10020,0.000000001))*$I$8784)</f>
        <v/>
      </c>
      <c r="E10056" s="19">
        <f>0.5*$E$10020+0.5*$Z$10074</f>
        <v/>
      </c>
      <c r="F10056" s="19">
        <f>$Z$10075</f>
        <v/>
      </c>
    </row>
    <row r="10057">
      <c r="D10057" s="19">
        <f>IF(ABS(IF(ABS($E$10021)&gt;0.000000001,$E$10021,0.000000001))=0,0,IF($E$8785&lt;=$B$8772,0,IF(ABS(IF(ABS($E$10021)&gt;0.000000001,$E$10021,0.000000001))&gt;=8*$B$8774,$H$8785,0.5*$H$8785*(ABS(IF(ABS($E$10021)&gt;0.000000001,$E$10021,0.000000001))/$B$8774)^(1/3)))/ABS(IF(ABS($E$10021)&gt;0.000000001,$E$10021,0.000000001))*$I$8785)</f>
        <v/>
      </c>
      <c r="E10057" s="19">
        <f>0.5*$E$10021+0.5*$Z$10076</f>
        <v/>
      </c>
      <c r="F10057" s="19">
        <f>$Z$10077</f>
        <v/>
      </c>
    </row>
    <row r="10058">
      <c r="D10058" s="19">
        <f>IF(ABS(IF(ABS($E$10022)&gt;0.000000001,$E$10022,0.000000001))=0,0,IF($E$8786&lt;=$B$8772,0,IF(ABS(IF(ABS($E$10022)&gt;0.000000001,$E$10022,0.000000001))&gt;=8*$B$8774,$H$8786,0.5*$H$8786*(ABS(IF(ABS($E$10022)&gt;0.000000001,$E$10022,0.000000001))/$B$8774)^(1/3)))/ABS(IF(ABS($E$10022)&gt;0.000000001,$E$10022,0.000000001))*$I$8786)</f>
        <v/>
      </c>
      <c r="E10058" s="19">
        <f>0.5*$E$10022+0.5*$Z$10078</f>
        <v/>
      </c>
      <c r="F10058" s="19">
        <f>$Z$10079</f>
        <v/>
      </c>
    </row>
    <row r="10059">
      <c r="D10059" s="19">
        <f>IF(ABS(IF(ABS($E$10023)&gt;0.000000001,$E$10023,0.000000001))=0,0,IF($E$8787&lt;=$B$8772,0,IF(ABS(IF(ABS($E$10023)&gt;0.000000001,$E$10023,0.000000001))&gt;=8*$B$8774,$H$8787,0.5*$H$8787*(ABS(IF(ABS($E$10023)&gt;0.000000001,$E$10023,0.000000001))/$B$8774)^(1/3)))/ABS(IF(ABS($E$10023)&gt;0.000000001,$E$10023,0.000000001))*$I$8787)</f>
        <v/>
      </c>
      <c r="E10059" s="19">
        <f>0.5*$E$10023+0.5*$Z$10080</f>
        <v/>
      </c>
      <c r="F10059" s="19">
        <f>$Z$10081</f>
        <v/>
      </c>
    </row>
    <row r="10060">
      <c r="D10060" s="19">
        <f>IF(ABS(IF(ABS($E$10024)&gt;0.000000001,$E$10024,0.000000001))=0,0,IF($E$8788&lt;=$B$8772,0,IF(ABS(IF(ABS($E$10024)&gt;0.000000001,$E$10024,0.000000001))&gt;=8*$B$8774,$H$8788,0.5*$H$8788*(ABS(IF(ABS($E$10024)&gt;0.000000001,$E$10024,0.000000001))/$B$8774)^(1/3)))/ABS(IF(ABS($E$10024)&gt;0.000000001,$E$10024,0.000000001))*$I$8788)</f>
        <v/>
      </c>
      <c r="E10060" s="19">
        <f>0.5*$E$10024+0.5*$Z$10082</f>
        <v/>
      </c>
      <c r="F10060" s="19">
        <f>$Z$10083</f>
        <v/>
      </c>
    </row>
    <row r="10062">
      <c r="D10062" s="21">
        <f>$B$8763+$D$10050</f>
        <v/>
      </c>
      <c r="E10062" s="21">
        <f>$B$8764</f>
        <v/>
      </c>
      <c r="F10062" s="21">
        <f>-$B$8763</f>
        <v/>
      </c>
      <c r="G10062" s="21">
        <f>$B$8764</f>
        <v/>
      </c>
      <c r="H10062" s="21" t="n">
        <v>0</v>
      </c>
      <c r="I10062" s="21" t="n">
        <v>0</v>
      </c>
      <c r="J10062" s="21" t="n">
        <v>0</v>
      </c>
      <c r="K10062" s="21" t="n">
        <v>0</v>
      </c>
      <c r="L10062" s="21" t="n">
        <v>0</v>
      </c>
      <c r="M10062" s="21" t="n">
        <v>0</v>
      </c>
      <c r="N10062" s="21" t="n">
        <v>0</v>
      </c>
      <c r="O10062" s="21" t="n">
        <v>0</v>
      </c>
      <c r="P10062" s="21" t="n">
        <v>0</v>
      </c>
      <c r="Q10062" s="21" t="n">
        <v>0</v>
      </c>
      <c r="R10062" s="21" t="n">
        <v>0</v>
      </c>
      <c r="S10062" s="21" t="n">
        <v>0</v>
      </c>
      <c r="T10062" s="21" t="n">
        <v>0</v>
      </c>
      <c r="U10062" s="21" t="n">
        <v>0</v>
      </c>
      <c r="V10062" s="21" t="n">
        <v>0</v>
      </c>
      <c r="W10062" s="21" t="n">
        <v>0</v>
      </c>
      <c r="X10062" s="21" t="n">
        <v>0</v>
      </c>
      <c r="Y10062" s="21" t="n">
        <v>0</v>
      </c>
      <c r="Z10062" s="19">
        <f t="array" ref="Z10062:Z10083">MMULT(MINVERSE($D$10062:$Y$10083),$D$8790:$D$8811)</f>
        <v/>
      </c>
    </row>
    <row r="10063">
      <c r="D10063" s="21">
        <f>$B$8764</f>
        <v/>
      </c>
      <c r="E10063" s="21">
        <f>$B$8765</f>
        <v/>
      </c>
      <c r="F10063" s="21">
        <f>-$B$8764</f>
        <v/>
      </c>
      <c r="G10063" s="21">
        <f>$B$8766</f>
        <v/>
      </c>
      <c r="H10063" s="21" t="n">
        <v>0</v>
      </c>
      <c r="I10063" s="21" t="n">
        <v>0</v>
      </c>
      <c r="J10063" s="21" t="n">
        <v>0</v>
      </c>
      <c r="K10063" s="21" t="n">
        <v>0</v>
      </c>
      <c r="L10063" s="21" t="n">
        <v>0</v>
      </c>
      <c r="M10063" s="21" t="n">
        <v>0</v>
      </c>
      <c r="N10063" s="21" t="n">
        <v>0</v>
      </c>
      <c r="O10063" s="21" t="n">
        <v>0</v>
      </c>
      <c r="P10063" s="21" t="n">
        <v>0</v>
      </c>
      <c r="Q10063" s="21" t="n">
        <v>0</v>
      </c>
      <c r="R10063" s="21" t="n">
        <v>0</v>
      </c>
      <c r="S10063" s="21" t="n">
        <v>0</v>
      </c>
      <c r="T10063" s="21" t="n">
        <v>0</v>
      </c>
      <c r="U10063" s="21" t="n">
        <v>0</v>
      </c>
      <c r="V10063" s="21" t="n">
        <v>0</v>
      </c>
      <c r="W10063" s="21" t="n">
        <v>0</v>
      </c>
      <c r="X10063" s="21" t="n">
        <v>0</v>
      </c>
      <c r="Y10063" s="21" t="n">
        <v>0</v>
      </c>
      <c r="Z10063" s="19" t="n"/>
    </row>
    <row r="10064">
      <c r="D10064" s="21">
        <f>-$B$8763</f>
        <v/>
      </c>
      <c r="E10064" s="21">
        <f>-$B$8764</f>
        <v/>
      </c>
      <c r="F10064" s="21">
        <f>2*$B$8763+$D$10051</f>
        <v/>
      </c>
      <c r="G10064" s="21">
        <f>0</f>
        <v/>
      </c>
      <c r="H10064" s="21">
        <f>-$B$8763</f>
        <v/>
      </c>
      <c r="I10064" s="21">
        <f>$B$8764</f>
        <v/>
      </c>
      <c r="J10064" s="21" t="n">
        <v>0</v>
      </c>
      <c r="K10064" s="21" t="n">
        <v>0</v>
      </c>
      <c r="L10064" s="21" t="n">
        <v>0</v>
      </c>
      <c r="M10064" s="21" t="n">
        <v>0</v>
      </c>
      <c r="N10064" s="21" t="n">
        <v>0</v>
      </c>
      <c r="O10064" s="21" t="n">
        <v>0</v>
      </c>
      <c r="P10064" s="21" t="n">
        <v>0</v>
      </c>
      <c r="Q10064" s="21" t="n">
        <v>0</v>
      </c>
      <c r="R10064" s="21" t="n">
        <v>0</v>
      </c>
      <c r="S10064" s="21" t="n">
        <v>0</v>
      </c>
      <c r="T10064" s="21" t="n">
        <v>0</v>
      </c>
      <c r="U10064" s="21" t="n">
        <v>0</v>
      </c>
      <c r="V10064" s="21" t="n">
        <v>0</v>
      </c>
      <c r="W10064" s="21" t="n">
        <v>0</v>
      </c>
      <c r="X10064" s="21" t="n">
        <v>0</v>
      </c>
      <c r="Y10064" s="21" t="n">
        <v>0</v>
      </c>
      <c r="Z10064" s="19" t="n"/>
    </row>
    <row r="10065">
      <c r="D10065" s="21">
        <f>$B$8764</f>
        <v/>
      </c>
      <c r="E10065" s="21">
        <f>$B$8766</f>
        <v/>
      </c>
      <c r="F10065" s="21">
        <f>0</f>
        <v/>
      </c>
      <c r="G10065" s="21">
        <f>2*$B$8765</f>
        <v/>
      </c>
      <c r="H10065" s="21">
        <f>-$B$8764</f>
        <v/>
      </c>
      <c r="I10065" s="21">
        <f>$B$8766</f>
        <v/>
      </c>
      <c r="J10065" s="21" t="n">
        <v>0</v>
      </c>
      <c r="K10065" s="21" t="n">
        <v>0</v>
      </c>
      <c r="L10065" s="21" t="n">
        <v>0</v>
      </c>
      <c r="M10065" s="21" t="n">
        <v>0</v>
      </c>
      <c r="N10065" s="21" t="n">
        <v>0</v>
      </c>
      <c r="O10065" s="21" t="n">
        <v>0</v>
      </c>
      <c r="P10065" s="21" t="n">
        <v>0</v>
      </c>
      <c r="Q10065" s="21" t="n">
        <v>0</v>
      </c>
      <c r="R10065" s="21" t="n">
        <v>0</v>
      </c>
      <c r="S10065" s="21" t="n">
        <v>0</v>
      </c>
      <c r="T10065" s="21" t="n">
        <v>0</v>
      </c>
      <c r="U10065" s="21" t="n">
        <v>0</v>
      </c>
      <c r="V10065" s="21" t="n">
        <v>0</v>
      </c>
      <c r="W10065" s="21" t="n">
        <v>0</v>
      </c>
      <c r="X10065" s="21" t="n">
        <v>0</v>
      </c>
      <c r="Y10065" s="21" t="n">
        <v>0</v>
      </c>
      <c r="Z10065" s="19" t="n"/>
    </row>
    <row r="10066">
      <c r="D10066" s="21" t="n">
        <v>0</v>
      </c>
      <c r="E10066" s="21" t="n">
        <v>0</v>
      </c>
      <c r="F10066" s="21">
        <f>-$B$8763</f>
        <v/>
      </c>
      <c r="G10066" s="21">
        <f>-$B$8764</f>
        <v/>
      </c>
      <c r="H10066" s="21">
        <f>2*$B$8763+$D$10052</f>
        <v/>
      </c>
      <c r="I10066" s="21">
        <f>0</f>
        <v/>
      </c>
      <c r="J10066" s="21">
        <f>-$B$8763</f>
        <v/>
      </c>
      <c r="K10066" s="21">
        <f>$B$8764</f>
        <v/>
      </c>
      <c r="L10066" s="21" t="n">
        <v>0</v>
      </c>
      <c r="M10066" s="21" t="n">
        <v>0</v>
      </c>
      <c r="N10066" s="21" t="n">
        <v>0</v>
      </c>
      <c r="O10066" s="21" t="n">
        <v>0</v>
      </c>
      <c r="P10066" s="21" t="n">
        <v>0</v>
      </c>
      <c r="Q10066" s="21" t="n">
        <v>0</v>
      </c>
      <c r="R10066" s="21" t="n">
        <v>0</v>
      </c>
      <c r="S10066" s="21" t="n">
        <v>0</v>
      </c>
      <c r="T10066" s="21" t="n">
        <v>0</v>
      </c>
      <c r="U10066" s="21" t="n">
        <v>0</v>
      </c>
      <c r="V10066" s="21" t="n">
        <v>0</v>
      </c>
      <c r="W10066" s="21" t="n">
        <v>0</v>
      </c>
      <c r="X10066" s="21" t="n">
        <v>0</v>
      </c>
      <c r="Y10066" s="21" t="n">
        <v>0</v>
      </c>
      <c r="Z10066" s="19" t="n"/>
    </row>
    <row r="10067">
      <c r="D10067" s="21" t="n">
        <v>0</v>
      </c>
      <c r="E10067" s="21" t="n">
        <v>0</v>
      </c>
      <c r="F10067" s="21">
        <f>$B$8764</f>
        <v/>
      </c>
      <c r="G10067" s="21">
        <f>$B$8766</f>
        <v/>
      </c>
      <c r="H10067" s="21">
        <f>0</f>
        <v/>
      </c>
      <c r="I10067" s="21">
        <f>2*$B$8765</f>
        <v/>
      </c>
      <c r="J10067" s="21">
        <f>-$B$8764</f>
        <v/>
      </c>
      <c r="K10067" s="21">
        <f>$B$8766</f>
        <v/>
      </c>
      <c r="L10067" s="21" t="n">
        <v>0</v>
      </c>
      <c r="M10067" s="21" t="n">
        <v>0</v>
      </c>
      <c r="N10067" s="21" t="n">
        <v>0</v>
      </c>
      <c r="O10067" s="21" t="n">
        <v>0</v>
      </c>
      <c r="P10067" s="21" t="n">
        <v>0</v>
      </c>
      <c r="Q10067" s="21" t="n">
        <v>0</v>
      </c>
      <c r="R10067" s="21" t="n">
        <v>0</v>
      </c>
      <c r="S10067" s="21" t="n">
        <v>0</v>
      </c>
      <c r="T10067" s="21" t="n">
        <v>0</v>
      </c>
      <c r="U10067" s="21" t="n">
        <v>0</v>
      </c>
      <c r="V10067" s="21" t="n">
        <v>0</v>
      </c>
      <c r="W10067" s="21" t="n">
        <v>0</v>
      </c>
      <c r="X10067" s="21" t="n">
        <v>0</v>
      </c>
      <c r="Y10067" s="21" t="n">
        <v>0</v>
      </c>
      <c r="Z10067" s="19" t="n"/>
    </row>
    <row r="10068">
      <c r="D10068" s="21" t="n">
        <v>0</v>
      </c>
      <c r="E10068" s="21" t="n">
        <v>0</v>
      </c>
      <c r="F10068" s="21" t="n">
        <v>0</v>
      </c>
      <c r="G10068" s="21" t="n">
        <v>0</v>
      </c>
      <c r="H10068" s="21">
        <f>-$B$8763</f>
        <v/>
      </c>
      <c r="I10068" s="21">
        <f>-$B$8764</f>
        <v/>
      </c>
      <c r="J10068" s="21">
        <f>2*$B$8763+$D$10053</f>
        <v/>
      </c>
      <c r="K10068" s="21">
        <f>0</f>
        <v/>
      </c>
      <c r="L10068" s="21">
        <f>-$B$8763</f>
        <v/>
      </c>
      <c r="M10068" s="21">
        <f>$B$8764</f>
        <v/>
      </c>
      <c r="N10068" s="21" t="n">
        <v>0</v>
      </c>
      <c r="O10068" s="21" t="n">
        <v>0</v>
      </c>
      <c r="P10068" s="21" t="n">
        <v>0</v>
      </c>
      <c r="Q10068" s="21" t="n">
        <v>0</v>
      </c>
      <c r="R10068" s="21" t="n">
        <v>0</v>
      </c>
      <c r="S10068" s="21" t="n">
        <v>0</v>
      </c>
      <c r="T10068" s="21" t="n">
        <v>0</v>
      </c>
      <c r="U10068" s="21" t="n">
        <v>0</v>
      </c>
      <c r="V10068" s="21" t="n">
        <v>0</v>
      </c>
      <c r="W10068" s="21" t="n">
        <v>0</v>
      </c>
      <c r="X10068" s="21" t="n">
        <v>0</v>
      </c>
      <c r="Y10068" s="21" t="n">
        <v>0</v>
      </c>
      <c r="Z10068" s="19" t="n"/>
    </row>
    <row r="10069">
      <c r="D10069" s="21" t="n">
        <v>0</v>
      </c>
      <c r="E10069" s="21" t="n">
        <v>0</v>
      </c>
      <c r="F10069" s="21" t="n">
        <v>0</v>
      </c>
      <c r="G10069" s="21" t="n">
        <v>0</v>
      </c>
      <c r="H10069" s="21">
        <f>$B$8764</f>
        <v/>
      </c>
      <c r="I10069" s="21">
        <f>$B$8766</f>
        <v/>
      </c>
      <c r="J10069" s="21">
        <f>0</f>
        <v/>
      </c>
      <c r="K10069" s="21">
        <f>2*$B$8765</f>
        <v/>
      </c>
      <c r="L10069" s="21">
        <f>-$B$8764</f>
        <v/>
      </c>
      <c r="M10069" s="21">
        <f>$B$8766</f>
        <v/>
      </c>
      <c r="N10069" s="21" t="n">
        <v>0</v>
      </c>
      <c r="O10069" s="21" t="n">
        <v>0</v>
      </c>
      <c r="P10069" s="21" t="n">
        <v>0</v>
      </c>
      <c r="Q10069" s="21" t="n">
        <v>0</v>
      </c>
      <c r="R10069" s="21" t="n">
        <v>0</v>
      </c>
      <c r="S10069" s="21" t="n">
        <v>0</v>
      </c>
      <c r="T10069" s="21" t="n">
        <v>0</v>
      </c>
      <c r="U10069" s="21" t="n">
        <v>0</v>
      </c>
      <c r="V10069" s="21" t="n">
        <v>0</v>
      </c>
      <c r="W10069" s="21" t="n">
        <v>0</v>
      </c>
      <c r="X10069" s="21" t="n">
        <v>0</v>
      </c>
      <c r="Y10069" s="21" t="n">
        <v>0</v>
      </c>
      <c r="Z10069" s="19" t="n"/>
    </row>
    <row r="10070">
      <c r="D10070" s="21" t="n">
        <v>0</v>
      </c>
      <c r="E10070" s="21" t="n">
        <v>0</v>
      </c>
      <c r="F10070" s="21" t="n">
        <v>0</v>
      </c>
      <c r="G10070" s="21" t="n">
        <v>0</v>
      </c>
      <c r="H10070" s="21" t="n">
        <v>0</v>
      </c>
      <c r="I10070" s="21" t="n">
        <v>0</v>
      </c>
      <c r="J10070" s="21">
        <f>-$B$8763</f>
        <v/>
      </c>
      <c r="K10070" s="21">
        <f>-$B$8764</f>
        <v/>
      </c>
      <c r="L10070" s="21">
        <f>2*$B$8763+$D$10054</f>
        <v/>
      </c>
      <c r="M10070" s="21">
        <f>0</f>
        <v/>
      </c>
      <c r="N10070" s="21">
        <f>-$B$8763</f>
        <v/>
      </c>
      <c r="O10070" s="21">
        <f>$B$8764</f>
        <v/>
      </c>
      <c r="P10070" s="21" t="n">
        <v>0</v>
      </c>
      <c r="Q10070" s="21" t="n">
        <v>0</v>
      </c>
      <c r="R10070" s="21" t="n">
        <v>0</v>
      </c>
      <c r="S10070" s="21" t="n">
        <v>0</v>
      </c>
      <c r="T10070" s="21" t="n">
        <v>0</v>
      </c>
      <c r="U10070" s="21" t="n">
        <v>0</v>
      </c>
      <c r="V10070" s="21" t="n">
        <v>0</v>
      </c>
      <c r="W10070" s="21" t="n">
        <v>0</v>
      </c>
      <c r="X10070" s="21" t="n">
        <v>0</v>
      </c>
      <c r="Y10070" s="21" t="n">
        <v>0</v>
      </c>
      <c r="Z10070" s="19" t="n"/>
    </row>
    <row r="10071">
      <c r="D10071" s="21" t="n">
        <v>0</v>
      </c>
      <c r="E10071" s="21" t="n">
        <v>0</v>
      </c>
      <c r="F10071" s="21" t="n">
        <v>0</v>
      </c>
      <c r="G10071" s="21" t="n">
        <v>0</v>
      </c>
      <c r="H10071" s="21" t="n">
        <v>0</v>
      </c>
      <c r="I10071" s="21" t="n">
        <v>0</v>
      </c>
      <c r="J10071" s="21">
        <f>$B$8764</f>
        <v/>
      </c>
      <c r="K10071" s="21">
        <f>$B$8766</f>
        <v/>
      </c>
      <c r="L10071" s="21">
        <f>0</f>
        <v/>
      </c>
      <c r="M10071" s="21">
        <f>2*$B$8765</f>
        <v/>
      </c>
      <c r="N10071" s="21">
        <f>-$B$8764</f>
        <v/>
      </c>
      <c r="O10071" s="21">
        <f>$B$8766</f>
        <v/>
      </c>
      <c r="P10071" s="21" t="n">
        <v>0</v>
      </c>
      <c r="Q10071" s="21" t="n">
        <v>0</v>
      </c>
      <c r="R10071" s="21" t="n">
        <v>0</v>
      </c>
      <c r="S10071" s="21" t="n">
        <v>0</v>
      </c>
      <c r="T10071" s="21" t="n">
        <v>0</v>
      </c>
      <c r="U10071" s="21" t="n">
        <v>0</v>
      </c>
      <c r="V10071" s="21" t="n">
        <v>0</v>
      </c>
      <c r="W10071" s="21" t="n">
        <v>0</v>
      </c>
      <c r="X10071" s="21" t="n">
        <v>0</v>
      </c>
      <c r="Y10071" s="21" t="n">
        <v>0</v>
      </c>
      <c r="Z10071" s="19" t="n"/>
    </row>
    <row r="10072">
      <c r="D10072" s="21" t="n">
        <v>0</v>
      </c>
      <c r="E10072" s="21" t="n">
        <v>0</v>
      </c>
      <c r="F10072" s="21" t="n">
        <v>0</v>
      </c>
      <c r="G10072" s="21" t="n">
        <v>0</v>
      </c>
      <c r="H10072" s="21" t="n">
        <v>0</v>
      </c>
      <c r="I10072" s="21" t="n">
        <v>0</v>
      </c>
      <c r="J10072" s="21" t="n">
        <v>0</v>
      </c>
      <c r="K10072" s="21" t="n">
        <v>0</v>
      </c>
      <c r="L10072" s="21">
        <f>-$B$8763</f>
        <v/>
      </c>
      <c r="M10072" s="21">
        <f>-$B$8764</f>
        <v/>
      </c>
      <c r="N10072" s="21">
        <f>2*$B$8763+$D$10055</f>
        <v/>
      </c>
      <c r="O10072" s="21">
        <f>0</f>
        <v/>
      </c>
      <c r="P10072" s="21">
        <f>-$B$8763</f>
        <v/>
      </c>
      <c r="Q10072" s="21">
        <f>$B$8764</f>
        <v/>
      </c>
      <c r="R10072" s="21" t="n">
        <v>0</v>
      </c>
      <c r="S10072" s="21" t="n">
        <v>0</v>
      </c>
      <c r="T10072" s="21" t="n">
        <v>0</v>
      </c>
      <c r="U10072" s="21" t="n">
        <v>0</v>
      </c>
      <c r="V10072" s="21" t="n">
        <v>0</v>
      </c>
      <c r="W10072" s="21" t="n">
        <v>0</v>
      </c>
      <c r="X10072" s="21" t="n">
        <v>0</v>
      </c>
      <c r="Y10072" s="21" t="n">
        <v>0</v>
      </c>
      <c r="Z10072" s="19" t="n"/>
    </row>
    <row r="10073">
      <c r="D10073" s="21" t="n">
        <v>0</v>
      </c>
      <c r="E10073" s="21" t="n">
        <v>0</v>
      </c>
      <c r="F10073" s="21" t="n">
        <v>0</v>
      </c>
      <c r="G10073" s="21" t="n">
        <v>0</v>
      </c>
      <c r="H10073" s="21" t="n">
        <v>0</v>
      </c>
      <c r="I10073" s="21" t="n">
        <v>0</v>
      </c>
      <c r="J10073" s="21" t="n">
        <v>0</v>
      </c>
      <c r="K10073" s="21" t="n">
        <v>0</v>
      </c>
      <c r="L10073" s="21">
        <f>$B$8764</f>
        <v/>
      </c>
      <c r="M10073" s="21">
        <f>$B$8766</f>
        <v/>
      </c>
      <c r="N10073" s="21">
        <f>0</f>
        <v/>
      </c>
      <c r="O10073" s="21">
        <f>2*$B$8765</f>
        <v/>
      </c>
      <c r="P10073" s="21">
        <f>-$B$8764</f>
        <v/>
      </c>
      <c r="Q10073" s="21">
        <f>$B$8766</f>
        <v/>
      </c>
      <c r="R10073" s="21" t="n">
        <v>0</v>
      </c>
      <c r="S10073" s="21" t="n">
        <v>0</v>
      </c>
      <c r="T10073" s="21" t="n">
        <v>0</v>
      </c>
      <c r="U10073" s="21" t="n">
        <v>0</v>
      </c>
      <c r="V10073" s="21" t="n">
        <v>0</v>
      </c>
      <c r="W10073" s="21" t="n">
        <v>0</v>
      </c>
      <c r="X10073" s="21" t="n">
        <v>0</v>
      </c>
      <c r="Y10073" s="21" t="n">
        <v>0</v>
      </c>
      <c r="Z10073" s="19" t="n"/>
    </row>
    <row r="10074">
      <c r="D10074" s="21" t="n">
        <v>0</v>
      </c>
      <c r="E10074" s="21" t="n">
        <v>0</v>
      </c>
      <c r="F10074" s="21" t="n">
        <v>0</v>
      </c>
      <c r="G10074" s="21" t="n">
        <v>0</v>
      </c>
      <c r="H10074" s="21" t="n">
        <v>0</v>
      </c>
      <c r="I10074" s="21" t="n">
        <v>0</v>
      </c>
      <c r="J10074" s="21" t="n">
        <v>0</v>
      </c>
      <c r="K10074" s="21" t="n">
        <v>0</v>
      </c>
      <c r="L10074" s="21" t="n">
        <v>0</v>
      </c>
      <c r="M10074" s="21" t="n">
        <v>0</v>
      </c>
      <c r="N10074" s="21">
        <f>-$B$8763</f>
        <v/>
      </c>
      <c r="O10074" s="21">
        <f>-$B$8764</f>
        <v/>
      </c>
      <c r="P10074" s="21">
        <f>2*$B$8763+$D$10056</f>
        <v/>
      </c>
      <c r="Q10074" s="21">
        <f>0</f>
        <v/>
      </c>
      <c r="R10074" s="21">
        <f>-$B$8763</f>
        <v/>
      </c>
      <c r="S10074" s="21">
        <f>$B$8764</f>
        <v/>
      </c>
      <c r="T10074" s="21" t="n">
        <v>0</v>
      </c>
      <c r="U10074" s="21" t="n">
        <v>0</v>
      </c>
      <c r="V10074" s="21" t="n">
        <v>0</v>
      </c>
      <c r="W10074" s="21" t="n">
        <v>0</v>
      </c>
      <c r="X10074" s="21" t="n">
        <v>0</v>
      </c>
      <c r="Y10074" s="21" t="n">
        <v>0</v>
      </c>
      <c r="Z10074" s="19" t="n"/>
    </row>
    <row r="10075">
      <c r="D10075" s="21" t="n">
        <v>0</v>
      </c>
      <c r="E10075" s="21" t="n">
        <v>0</v>
      </c>
      <c r="F10075" s="21" t="n">
        <v>0</v>
      </c>
      <c r="G10075" s="21" t="n">
        <v>0</v>
      </c>
      <c r="H10075" s="21" t="n">
        <v>0</v>
      </c>
      <c r="I10075" s="21" t="n">
        <v>0</v>
      </c>
      <c r="J10075" s="21" t="n">
        <v>0</v>
      </c>
      <c r="K10075" s="21" t="n">
        <v>0</v>
      </c>
      <c r="L10075" s="21" t="n">
        <v>0</v>
      </c>
      <c r="M10075" s="21" t="n">
        <v>0</v>
      </c>
      <c r="N10075" s="21">
        <f>$B$8764</f>
        <v/>
      </c>
      <c r="O10075" s="21">
        <f>$B$8766</f>
        <v/>
      </c>
      <c r="P10075" s="21">
        <f>0</f>
        <v/>
      </c>
      <c r="Q10075" s="21">
        <f>2*$B$8765</f>
        <v/>
      </c>
      <c r="R10075" s="21">
        <f>-$B$8764</f>
        <v/>
      </c>
      <c r="S10075" s="21">
        <f>$B$8766</f>
        <v/>
      </c>
      <c r="T10075" s="21" t="n">
        <v>0</v>
      </c>
      <c r="U10075" s="21" t="n">
        <v>0</v>
      </c>
      <c r="V10075" s="21" t="n">
        <v>0</v>
      </c>
      <c r="W10075" s="21" t="n">
        <v>0</v>
      </c>
      <c r="X10075" s="21" t="n">
        <v>0</v>
      </c>
      <c r="Y10075" s="21" t="n">
        <v>0</v>
      </c>
      <c r="Z10075" s="19" t="n"/>
    </row>
    <row r="10076">
      <c r="D10076" s="21" t="n">
        <v>0</v>
      </c>
      <c r="E10076" s="21" t="n">
        <v>0</v>
      </c>
      <c r="F10076" s="21" t="n">
        <v>0</v>
      </c>
      <c r="G10076" s="21" t="n">
        <v>0</v>
      </c>
      <c r="H10076" s="21" t="n">
        <v>0</v>
      </c>
      <c r="I10076" s="21" t="n">
        <v>0</v>
      </c>
      <c r="J10076" s="21" t="n">
        <v>0</v>
      </c>
      <c r="K10076" s="21" t="n">
        <v>0</v>
      </c>
      <c r="L10076" s="21" t="n">
        <v>0</v>
      </c>
      <c r="M10076" s="21" t="n">
        <v>0</v>
      </c>
      <c r="N10076" s="21" t="n">
        <v>0</v>
      </c>
      <c r="O10076" s="21" t="n">
        <v>0</v>
      </c>
      <c r="P10076" s="21">
        <f>-$B$8763</f>
        <v/>
      </c>
      <c r="Q10076" s="21">
        <f>-$B$8764</f>
        <v/>
      </c>
      <c r="R10076" s="21">
        <f>2*$B$8763+$D$10057</f>
        <v/>
      </c>
      <c r="S10076" s="21">
        <f>0</f>
        <v/>
      </c>
      <c r="T10076" s="21">
        <f>-$B$8763</f>
        <v/>
      </c>
      <c r="U10076" s="21">
        <f>$B$8764</f>
        <v/>
      </c>
      <c r="V10076" s="21" t="n">
        <v>0</v>
      </c>
      <c r="W10076" s="21" t="n">
        <v>0</v>
      </c>
      <c r="X10076" s="21" t="n">
        <v>0</v>
      </c>
      <c r="Y10076" s="21" t="n">
        <v>0</v>
      </c>
      <c r="Z10076" s="19" t="n"/>
    </row>
    <row r="10077">
      <c r="D10077" s="21" t="n">
        <v>0</v>
      </c>
      <c r="E10077" s="21" t="n">
        <v>0</v>
      </c>
      <c r="F10077" s="21" t="n">
        <v>0</v>
      </c>
      <c r="G10077" s="21" t="n">
        <v>0</v>
      </c>
      <c r="H10077" s="21" t="n">
        <v>0</v>
      </c>
      <c r="I10077" s="21" t="n">
        <v>0</v>
      </c>
      <c r="J10077" s="21" t="n">
        <v>0</v>
      </c>
      <c r="K10077" s="21" t="n">
        <v>0</v>
      </c>
      <c r="L10077" s="21" t="n">
        <v>0</v>
      </c>
      <c r="M10077" s="21" t="n">
        <v>0</v>
      </c>
      <c r="N10077" s="21" t="n">
        <v>0</v>
      </c>
      <c r="O10077" s="21" t="n">
        <v>0</v>
      </c>
      <c r="P10077" s="21">
        <f>$B$8764</f>
        <v/>
      </c>
      <c r="Q10077" s="21">
        <f>$B$8766</f>
        <v/>
      </c>
      <c r="R10077" s="21">
        <f>0</f>
        <v/>
      </c>
      <c r="S10077" s="21">
        <f>2*$B$8765</f>
        <v/>
      </c>
      <c r="T10077" s="21">
        <f>-$B$8764</f>
        <v/>
      </c>
      <c r="U10077" s="21">
        <f>$B$8766</f>
        <v/>
      </c>
      <c r="V10077" s="21" t="n">
        <v>0</v>
      </c>
      <c r="W10077" s="21" t="n">
        <v>0</v>
      </c>
      <c r="X10077" s="21" t="n">
        <v>0</v>
      </c>
      <c r="Y10077" s="21" t="n">
        <v>0</v>
      </c>
      <c r="Z10077" s="19" t="n"/>
    </row>
    <row r="10078">
      <c r="D10078" s="21" t="n">
        <v>0</v>
      </c>
      <c r="E10078" s="21" t="n">
        <v>0</v>
      </c>
      <c r="F10078" s="21" t="n">
        <v>0</v>
      </c>
      <c r="G10078" s="21" t="n">
        <v>0</v>
      </c>
      <c r="H10078" s="21" t="n">
        <v>0</v>
      </c>
      <c r="I10078" s="21" t="n">
        <v>0</v>
      </c>
      <c r="J10078" s="21" t="n">
        <v>0</v>
      </c>
      <c r="K10078" s="21" t="n">
        <v>0</v>
      </c>
      <c r="L10078" s="21" t="n">
        <v>0</v>
      </c>
      <c r="M10078" s="21" t="n">
        <v>0</v>
      </c>
      <c r="N10078" s="21" t="n">
        <v>0</v>
      </c>
      <c r="O10078" s="21" t="n">
        <v>0</v>
      </c>
      <c r="P10078" s="21" t="n">
        <v>0</v>
      </c>
      <c r="Q10078" s="21" t="n">
        <v>0</v>
      </c>
      <c r="R10078" s="21">
        <f>-$B$8763</f>
        <v/>
      </c>
      <c r="S10078" s="21">
        <f>-$B$8764</f>
        <v/>
      </c>
      <c r="T10078" s="21">
        <f>2*$B$8763+$D$10058</f>
        <v/>
      </c>
      <c r="U10078" s="21">
        <f>0</f>
        <v/>
      </c>
      <c r="V10078" s="21">
        <f>-$B$8763</f>
        <v/>
      </c>
      <c r="W10078" s="21">
        <f>$B$8764</f>
        <v/>
      </c>
      <c r="X10078" s="21" t="n">
        <v>0</v>
      </c>
      <c r="Y10078" s="21" t="n">
        <v>0</v>
      </c>
      <c r="Z10078" s="19" t="n"/>
    </row>
    <row r="10079">
      <c r="D10079" s="21" t="n">
        <v>0</v>
      </c>
      <c r="E10079" s="21" t="n">
        <v>0</v>
      </c>
      <c r="F10079" s="21" t="n">
        <v>0</v>
      </c>
      <c r="G10079" s="21" t="n">
        <v>0</v>
      </c>
      <c r="H10079" s="21" t="n">
        <v>0</v>
      </c>
      <c r="I10079" s="21" t="n">
        <v>0</v>
      </c>
      <c r="J10079" s="21" t="n">
        <v>0</v>
      </c>
      <c r="K10079" s="21" t="n">
        <v>0</v>
      </c>
      <c r="L10079" s="21" t="n">
        <v>0</v>
      </c>
      <c r="M10079" s="21" t="n">
        <v>0</v>
      </c>
      <c r="N10079" s="21" t="n">
        <v>0</v>
      </c>
      <c r="O10079" s="21" t="n">
        <v>0</v>
      </c>
      <c r="P10079" s="21" t="n">
        <v>0</v>
      </c>
      <c r="Q10079" s="21" t="n">
        <v>0</v>
      </c>
      <c r="R10079" s="21">
        <f>$B$8764</f>
        <v/>
      </c>
      <c r="S10079" s="21">
        <f>$B$8766</f>
        <v/>
      </c>
      <c r="T10079" s="21">
        <f>0</f>
        <v/>
      </c>
      <c r="U10079" s="21">
        <f>2*$B$8765</f>
        <v/>
      </c>
      <c r="V10079" s="21">
        <f>-$B$8764</f>
        <v/>
      </c>
      <c r="W10079" s="21">
        <f>$B$8766</f>
        <v/>
      </c>
      <c r="X10079" s="21" t="n">
        <v>0</v>
      </c>
      <c r="Y10079" s="21" t="n">
        <v>0</v>
      </c>
      <c r="Z10079" s="19" t="n"/>
    </row>
    <row r="10080">
      <c r="D10080" s="21" t="n">
        <v>0</v>
      </c>
      <c r="E10080" s="21" t="n">
        <v>0</v>
      </c>
      <c r="F10080" s="21" t="n">
        <v>0</v>
      </c>
      <c r="G10080" s="21" t="n">
        <v>0</v>
      </c>
      <c r="H10080" s="21" t="n">
        <v>0</v>
      </c>
      <c r="I10080" s="21" t="n">
        <v>0</v>
      </c>
      <c r="J10080" s="21" t="n">
        <v>0</v>
      </c>
      <c r="K10080" s="21" t="n">
        <v>0</v>
      </c>
      <c r="L10080" s="21" t="n">
        <v>0</v>
      </c>
      <c r="M10080" s="21" t="n">
        <v>0</v>
      </c>
      <c r="N10080" s="21" t="n">
        <v>0</v>
      </c>
      <c r="O10080" s="21" t="n">
        <v>0</v>
      </c>
      <c r="P10080" s="21" t="n">
        <v>0</v>
      </c>
      <c r="Q10080" s="21" t="n">
        <v>0</v>
      </c>
      <c r="R10080" s="21" t="n">
        <v>0</v>
      </c>
      <c r="S10080" s="21" t="n">
        <v>0</v>
      </c>
      <c r="T10080" s="21">
        <f>-$B$8763</f>
        <v/>
      </c>
      <c r="U10080" s="21">
        <f>-$B$8764</f>
        <v/>
      </c>
      <c r="V10080" s="21">
        <f>2*$B$8763+$D$10059</f>
        <v/>
      </c>
      <c r="W10080" s="21">
        <f>0</f>
        <v/>
      </c>
      <c r="X10080" s="21">
        <f>-$B$8763</f>
        <v/>
      </c>
      <c r="Y10080" s="21">
        <f>$B$8764</f>
        <v/>
      </c>
      <c r="Z10080" s="19" t="n"/>
    </row>
    <row r="10081">
      <c r="D10081" s="21" t="n">
        <v>0</v>
      </c>
      <c r="E10081" s="21" t="n">
        <v>0</v>
      </c>
      <c r="F10081" s="21" t="n">
        <v>0</v>
      </c>
      <c r="G10081" s="21" t="n">
        <v>0</v>
      </c>
      <c r="H10081" s="21" t="n">
        <v>0</v>
      </c>
      <c r="I10081" s="21" t="n">
        <v>0</v>
      </c>
      <c r="J10081" s="21" t="n">
        <v>0</v>
      </c>
      <c r="K10081" s="21" t="n">
        <v>0</v>
      </c>
      <c r="L10081" s="21" t="n">
        <v>0</v>
      </c>
      <c r="M10081" s="21" t="n">
        <v>0</v>
      </c>
      <c r="N10081" s="21" t="n">
        <v>0</v>
      </c>
      <c r="O10081" s="21" t="n">
        <v>0</v>
      </c>
      <c r="P10081" s="21" t="n">
        <v>0</v>
      </c>
      <c r="Q10081" s="21" t="n">
        <v>0</v>
      </c>
      <c r="R10081" s="21" t="n">
        <v>0</v>
      </c>
      <c r="S10081" s="21" t="n">
        <v>0</v>
      </c>
      <c r="T10081" s="21">
        <f>$B$8764</f>
        <v/>
      </c>
      <c r="U10081" s="21">
        <f>$B$8766</f>
        <v/>
      </c>
      <c r="V10081" s="21">
        <f>0</f>
        <v/>
      </c>
      <c r="W10081" s="21">
        <f>2*$B$8765</f>
        <v/>
      </c>
      <c r="X10081" s="21">
        <f>-$B$8764</f>
        <v/>
      </c>
      <c r="Y10081" s="21">
        <f>$B$8766</f>
        <v/>
      </c>
      <c r="Z10081" s="19" t="n"/>
    </row>
    <row r="10082">
      <c r="D10082" s="21" t="n">
        <v>0</v>
      </c>
      <c r="E10082" s="21" t="n">
        <v>0</v>
      </c>
      <c r="F10082" s="21" t="n">
        <v>0</v>
      </c>
      <c r="G10082" s="21" t="n">
        <v>0</v>
      </c>
      <c r="H10082" s="21" t="n">
        <v>0</v>
      </c>
      <c r="I10082" s="21" t="n">
        <v>0</v>
      </c>
      <c r="J10082" s="21" t="n">
        <v>0</v>
      </c>
      <c r="K10082" s="21" t="n">
        <v>0</v>
      </c>
      <c r="L10082" s="21" t="n">
        <v>0</v>
      </c>
      <c r="M10082" s="21" t="n">
        <v>0</v>
      </c>
      <c r="N10082" s="21" t="n">
        <v>0</v>
      </c>
      <c r="O10082" s="21" t="n">
        <v>0</v>
      </c>
      <c r="P10082" s="21" t="n">
        <v>0</v>
      </c>
      <c r="Q10082" s="21" t="n">
        <v>0</v>
      </c>
      <c r="R10082" s="21" t="n">
        <v>0</v>
      </c>
      <c r="S10082" s="21" t="n">
        <v>0</v>
      </c>
      <c r="T10082" s="21" t="n">
        <v>0</v>
      </c>
      <c r="U10082" s="21" t="n">
        <v>0</v>
      </c>
      <c r="V10082" s="21">
        <f>-$B$8763</f>
        <v/>
      </c>
      <c r="W10082" s="21">
        <f>-$B$8764</f>
        <v/>
      </c>
      <c r="X10082" s="21">
        <f>$B$8763+$D$10060</f>
        <v/>
      </c>
      <c r="Y10082" s="21">
        <f>-$B$8764</f>
        <v/>
      </c>
      <c r="Z10082" s="19" t="n"/>
    </row>
    <row r="10083">
      <c r="D10083" s="21" t="n">
        <v>0</v>
      </c>
      <c r="E10083" s="21" t="n">
        <v>0</v>
      </c>
      <c r="F10083" s="21" t="n">
        <v>0</v>
      </c>
      <c r="G10083" s="21" t="n">
        <v>0</v>
      </c>
      <c r="H10083" s="21" t="n">
        <v>0</v>
      </c>
      <c r="I10083" s="21" t="n">
        <v>0</v>
      </c>
      <c r="J10083" s="21" t="n">
        <v>0</v>
      </c>
      <c r="K10083" s="21" t="n">
        <v>0</v>
      </c>
      <c r="L10083" s="21" t="n">
        <v>0</v>
      </c>
      <c r="M10083" s="21" t="n">
        <v>0</v>
      </c>
      <c r="N10083" s="21" t="n">
        <v>0</v>
      </c>
      <c r="O10083" s="21" t="n">
        <v>0</v>
      </c>
      <c r="P10083" s="21" t="n">
        <v>0</v>
      </c>
      <c r="Q10083" s="21" t="n">
        <v>0</v>
      </c>
      <c r="R10083" s="21" t="n">
        <v>0</v>
      </c>
      <c r="S10083" s="21" t="n">
        <v>0</v>
      </c>
      <c r="T10083" s="21" t="n">
        <v>0</v>
      </c>
      <c r="U10083" s="21" t="n">
        <v>0</v>
      </c>
      <c r="V10083" s="21">
        <f>$B$8764</f>
        <v/>
      </c>
      <c r="W10083" s="21">
        <f>$B$8766</f>
        <v/>
      </c>
      <c r="X10083" s="21">
        <f>-$B$8764</f>
        <v/>
      </c>
      <c r="Y10083" s="21">
        <f>$B$8765</f>
        <v/>
      </c>
      <c r="Z10083" s="19" t="n"/>
    </row>
    <row r="10085">
      <c r="A10085" s="8" t="inlineStr">
        <is>
          <t>gen 36</t>
        </is>
      </c>
    </row>
    <row r="10086">
      <c r="D10086" s="19">
        <f>IF(ABS(IF(ABS($E$10050)&gt;0.000000001,$E$10050,0.000000001))=0,0,IF($E$8778&lt;=$B$8772,0,IF(ABS(IF(ABS($E$10050)&gt;0.000000001,$E$10050,0.000000001))&gt;=8*$B$8774,$H$8778,0.5*$H$8778*(ABS(IF(ABS($E$10050)&gt;0.000000001,$E$10050,0.000000001))/$B$8774)^(1/3)))/ABS(IF(ABS($E$10050)&gt;0.000000001,$E$10050,0.000000001))*$I$8778)</f>
        <v/>
      </c>
      <c r="E10086" s="19">
        <f>0.5*$E$10050+0.5*$Z$10098</f>
        <v/>
      </c>
      <c r="F10086" s="19">
        <f>$Z$10099</f>
        <v/>
      </c>
    </row>
    <row r="10087">
      <c r="D10087" s="19">
        <f>IF(ABS(IF(ABS($E$10051)&gt;0.000000001,$E$10051,0.000000001))=0,0,IF($E$8779&lt;=$B$8772,0,IF(ABS(IF(ABS($E$10051)&gt;0.000000001,$E$10051,0.000000001))&gt;=8*$B$8774,$H$8779,0.5*$H$8779*(ABS(IF(ABS($E$10051)&gt;0.000000001,$E$10051,0.000000001))/$B$8774)^(1/3)))/ABS(IF(ABS($E$10051)&gt;0.000000001,$E$10051,0.000000001))*$I$8779)</f>
        <v/>
      </c>
      <c r="E10087" s="19">
        <f>0.5*$E$10051+0.5*$Z$10100</f>
        <v/>
      </c>
      <c r="F10087" s="19">
        <f>$Z$10101</f>
        <v/>
      </c>
    </row>
    <row r="10088">
      <c r="D10088" s="19">
        <f>IF(ABS(IF(ABS($E$10052)&gt;0.000000001,$E$10052,0.000000001))=0,0,IF($E$8780&lt;=$B$8772,0,IF(ABS(IF(ABS($E$10052)&gt;0.000000001,$E$10052,0.000000001))&gt;=8*$B$8774,$H$8780,0.5*$H$8780*(ABS(IF(ABS($E$10052)&gt;0.000000001,$E$10052,0.000000001))/$B$8774)^(1/3)))/ABS(IF(ABS($E$10052)&gt;0.000000001,$E$10052,0.000000001))*$I$8780)</f>
        <v/>
      </c>
      <c r="E10088" s="19">
        <f>0.5*$E$10052+0.5*$Z$10102</f>
        <v/>
      </c>
      <c r="F10088" s="19">
        <f>$Z$10103</f>
        <v/>
      </c>
    </row>
    <row r="10089">
      <c r="D10089" s="19">
        <f>IF(ABS(IF(ABS($E$10053)&gt;0.000000001,$E$10053,0.000000001))=0,0,IF($E$8781&lt;=$B$8772,0,IF(ABS(IF(ABS($E$10053)&gt;0.000000001,$E$10053,0.000000001))&gt;=8*$B$8774,$H$8781,0.5*$H$8781*(ABS(IF(ABS($E$10053)&gt;0.000000001,$E$10053,0.000000001))/$B$8774)^(1/3)))/ABS(IF(ABS($E$10053)&gt;0.000000001,$E$10053,0.000000001))*$I$8781)</f>
        <v/>
      </c>
      <c r="E10089" s="19">
        <f>0.5*$E$10053+0.5*$Z$10104</f>
        <v/>
      </c>
      <c r="F10089" s="19">
        <f>$Z$10105</f>
        <v/>
      </c>
    </row>
    <row r="10090">
      <c r="D10090" s="19">
        <f>IF(ABS(IF(ABS($E$10054)&gt;0.000000001,$E$10054,0.000000001))=0,0,IF($E$8782&lt;=$B$8772,0,IF(ABS(IF(ABS($E$10054)&gt;0.000000001,$E$10054,0.000000001))&gt;=8*$B$8774,$H$8782,0.5*$H$8782*(ABS(IF(ABS($E$10054)&gt;0.000000001,$E$10054,0.000000001))/$B$8774)^(1/3)))/ABS(IF(ABS($E$10054)&gt;0.000000001,$E$10054,0.000000001))*$I$8782)</f>
        <v/>
      </c>
      <c r="E10090" s="19">
        <f>0.5*$E$10054+0.5*$Z$10106</f>
        <v/>
      </c>
      <c r="F10090" s="19">
        <f>$Z$10107</f>
        <v/>
      </c>
    </row>
    <row r="10091">
      <c r="D10091" s="19">
        <f>IF(ABS(IF(ABS($E$10055)&gt;0.000000001,$E$10055,0.000000001))=0,0,IF($E$8783&lt;=$B$8772,0,IF(ABS(IF(ABS($E$10055)&gt;0.000000001,$E$10055,0.000000001))&gt;=8*$B$8774,$H$8783,0.5*$H$8783*(ABS(IF(ABS($E$10055)&gt;0.000000001,$E$10055,0.000000001))/$B$8774)^(1/3)))/ABS(IF(ABS($E$10055)&gt;0.000000001,$E$10055,0.000000001))*$I$8783)</f>
        <v/>
      </c>
      <c r="E10091" s="19">
        <f>0.5*$E$10055+0.5*$Z$10108</f>
        <v/>
      </c>
      <c r="F10091" s="19">
        <f>$Z$10109</f>
        <v/>
      </c>
    </row>
    <row r="10092">
      <c r="D10092" s="19">
        <f>IF(ABS(IF(ABS($E$10056)&gt;0.000000001,$E$10056,0.000000001))=0,0,IF($E$8784&lt;=$B$8772,0,IF(ABS(IF(ABS($E$10056)&gt;0.000000001,$E$10056,0.000000001))&gt;=8*$B$8774,$H$8784,0.5*$H$8784*(ABS(IF(ABS($E$10056)&gt;0.000000001,$E$10056,0.000000001))/$B$8774)^(1/3)))/ABS(IF(ABS($E$10056)&gt;0.000000001,$E$10056,0.000000001))*$I$8784)</f>
        <v/>
      </c>
      <c r="E10092" s="19">
        <f>0.5*$E$10056+0.5*$Z$10110</f>
        <v/>
      </c>
      <c r="F10092" s="19">
        <f>$Z$10111</f>
        <v/>
      </c>
    </row>
    <row r="10093">
      <c r="D10093" s="19">
        <f>IF(ABS(IF(ABS($E$10057)&gt;0.000000001,$E$10057,0.000000001))=0,0,IF($E$8785&lt;=$B$8772,0,IF(ABS(IF(ABS($E$10057)&gt;0.000000001,$E$10057,0.000000001))&gt;=8*$B$8774,$H$8785,0.5*$H$8785*(ABS(IF(ABS($E$10057)&gt;0.000000001,$E$10057,0.000000001))/$B$8774)^(1/3)))/ABS(IF(ABS($E$10057)&gt;0.000000001,$E$10057,0.000000001))*$I$8785)</f>
        <v/>
      </c>
      <c r="E10093" s="19">
        <f>0.5*$E$10057+0.5*$Z$10112</f>
        <v/>
      </c>
      <c r="F10093" s="19">
        <f>$Z$10113</f>
        <v/>
      </c>
    </row>
    <row r="10094">
      <c r="D10094" s="19">
        <f>IF(ABS(IF(ABS($E$10058)&gt;0.000000001,$E$10058,0.000000001))=0,0,IF($E$8786&lt;=$B$8772,0,IF(ABS(IF(ABS($E$10058)&gt;0.000000001,$E$10058,0.000000001))&gt;=8*$B$8774,$H$8786,0.5*$H$8786*(ABS(IF(ABS($E$10058)&gt;0.000000001,$E$10058,0.000000001))/$B$8774)^(1/3)))/ABS(IF(ABS($E$10058)&gt;0.000000001,$E$10058,0.000000001))*$I$8786)</f>
        <v/>
      </c>
      <c r="E10094" s="19">
        <f>0.5*$E$10058+0.5*$Z$10114</f>
        <v/>
      </c>
      <c r="F10094" s="19">
        <f>$Z$10115</f>
        <v/>
      </c>
    </row>
    <row r="10095">
      <c r="D10095" s="19">
        <f>IF(ABS(IF(ABS($E$10059)&gt;0.000000001,$E$10059,0.000000001))=0,0,IF($E$8787&lt;=$B$8772,0,IF(ABS(IF(ABS($E$10059)&gt;0.000000001,$E$10059,0.000000001))&gt;=8*$B$8774,$H$8787,0.5*$H$8787*(ABS(IF(ABS($E$10059)&gt;0.000000001,$E$10059,0.000000001))/$B$8774)^(1/3)))/ABS(IF(ABS($E$10059)&gt;0.000000001,$E$10059,0.000000001))*$I$8787)</f>
        <v/>
      </c>
      <c r="E10095" s="19">
        <f>0.5*$E$10059+0.5*$Z$10116</f>
        <v/>
      </c>
      <c r="F10095" s="19">
        <f>$Z$10117</f>
        <v/>
      </c>
    </row>
    <row r="10096">
      <c r="D10096" s="19">
        <f>IF(ABS(IF(ABS($E$10060)&gt;0.000000001,$E$10060,0.000000001))=0,0,IF($E$8788&lt;=$B$8772,0,IF(ABS(IF(ABS($E$10060)&gt;0.000000001,$E$10060,0.000000001))&gt;=8*$B$8774,$H$8788,0.5*$H$8788*(ABS(IF(ABS($E$10060)&gt;0.000000001,$E$10060,0.000000001))/$B$8774)^(1/3)))/ABS(IF(ABS($E$10060)&gt;0.000000001,$E$10060,0.000000001))*$I$8788)</f>
        <v/>
      </c>
      <c r="E10096" s="19">
        <f>0.5*$E$10060+0.5*$Z$10118</f>
        <v/>
      </c>
      <c r="F10096" s="19">
        <f>$Z$10119</f>
        <v/>
      </c>
    </row>
    <row r="10098">
      <c r="D10098" s="21">
        <f>$B$8763+$D$10086</f>
        <v/>
      </c>
      <c r="E10098" s="21">
        <f>$B$8764</f>
        <v/>
      </c>
      <c r="F10098" s="21">
        <f>-$B$8763</f>
        <v/>
      </c>
      <c r="G10098" s="21">
        <f>$B$8764</f>
        <v/>
      </c>
      <c r="H10098" s="21" t="n">
        <v>0</v>
      </c>
      <c r="I10098" s="21" t="n">
        <v>0</v>
      </c>
      <c r="J10098" s="21" t="n">
        <v>0</v>
      </c>
      <c r="K10098" s="21" t="n">
        <v>0</v>
      </c>
      <c r="L10098" s="21" t="n">
        <v>0</v>
      </c>
      <c r="M10098" s="21" t="n">
        <v>0</v>
      </c>
      <c r="N10098" s="21" t="n">
        <v>0</v>
      </c>
      <c r="O10098" s="21" t="n">
        <v>0</v>
      </c>
      <c r="P10098" s="21" t="n">
        <v>0</v>
      </c>
      <c r="Q10098" s="21" t="n">
        <v>0</v>
      </c>
      <c r="R10098" s="21" t="n">
        <v>0</v>
      </c>
      <c r="S10098" s="21" t="n">
        <v>0</v>
      </c>
      <c r="T10098" s="21" t="n">
        <v>0</v>
      </c>
      <c r="U10098" s="21" t="n">
        <v>0</v>
      </c>
      <c r="V10098" s="21" t="n">
        <v>0</v>
      </c>
      <c r="W10098" s="21" t="n">
        <v>0</v>
      </c>
      <c r="X10098" s="21" t="n">
        <v>0</v>
      </c>
      <c r="Y10098" s="21" t="n">
        <v>0</v>
      </c>
      <c r="Z10098" s="19">
        <f t="array" ref="Z10098:Z10119">MMULT(MINVERSE($D$10098:$Y$10119),$D$8790:$D$8811)</f>
        <v/>
      </c>
    </row>
    <row r="10099">
      <c r="D10099" s="21">
        <f>$B$8764</f>
        <v/>
      </c>
      <c r="E10099" s="21">
        <f>$B$8765</f>
        <v/>
      </c>
      <c r="F10099" s="21">
        <f>-$B$8764</f>
        <v/>
      </c>
      <c r="G10099" s="21">
        <f>$B$8766</f>
        <v/>
      </c>
      <c r="H10099" s="21" t="n">
        <v>0</v>
      </c>
      <c r="I10099" s="21" t="n">
        <v>0</v>
      </c>
      <c r="J10099" s="21" t="n">
        <v>0</v>
      </c>
      <c r="K10099" s="21" t="n">
        <v>0</v>
      </c>
      <c r="L10099" s="21" t="n">
        <v>0</v>
      </c>
      <c r="M10099" s="21" t="n">
        <v>0</v>
      </c>
      <c r="N10099" s="21" t="n">
        <v>0</v>
      </c>
      <c r="O10099" s="21" t="n">
        <v>0</v>
      </c>
      <c r="P10099" s="21" t="n">
        <v>0</v>
      </c>
      <c r="Q10099" s="21" t="n">
        <v>0</v>
      </c>
      <c r="R10099" s="21" t="n">
        <v>0</v>
      </c>
      <c r="S10099" s="21" t="n">
        <v>0</v>
      </c>
      <c r="T10099" s="21" t="n">
        <v>0</v>
      </c>
      <c r="U10099" s="21" t="n">
        <v>0</v>
      </c>
      <c r="V10099" s="21" t="n">
        <v>0</v>
      </c>
      <c r="W10099" s="21" t="n">
        <v>0</v>
      </c>
      <c r="X10099" s="21" t="n">
        <v>0</v>
      </c>
      <c r="Y10099" s="21" t="n">
        <v>0</v>
      </c>
      <c r="Z10099" s="19" t="n"/>
    </row>
    <row r="10100">
      <c r="D10100" s="21">
        <f>-$B$8763</f>
        <v/>
      </c>
      <c r="E10100" s="21">
        <f>-$B$8764</f>
        <v/>
      </c>
      <c r="F10100" s="21">
        <f>2*$B$8763+$D$10087</f>
        <v/>
      </c>
      <c r="G10100" s="21">
        <f>0</f>
        <v/>
      </c>
      <c r="H10100" s="21">
        <f>-$B$8763</f>
        <v/>
      </c>
      <c r="I10100" s="21">
        <f>$B$8764</f>
        <v/>
      </c>
      <c r="J10100" s="21" t="n">
        <v>0</v>
      </c>
      <c r="K10100" s="21" t="n">
        <v>0</v>
      </c>
      <c r="L10100" s="21" t="n">
        <v>0</v>
      </c>
      <c r="M10100" s="21" t="n">
        <v>0</v>
      </c>
      <c r="N10100" s="21" t="n">
        <v>0</v>
      </c>
      <c r="O10100" s="21" t="n">
        <v>0</v>
      </c>
      <c r="P10100" s="21" t="n">
        <v>0</v>
      </c>
      <c r="Q10100" s="21" t="n">
        <v>0</v>
      </c>
      <c r="R10100" s="21" t="n">
        <v>0</v>
      </c>
      <c r="S10100" s="21" t="n">
        <v>0</v>
      </c>
      <c r="T10100" s="21" t="n">
        <v>0</v>
      </c>
      <c r="U10100" s="21" t="n">
        <v>0</v>
      </c>
      <c r="V10100" s="21" t="n">
        <v>0</v>
      </c>
      <c r="W10100" s="21" t="n">
        <v>0</v>
      </c>
      <c r="X10100" s="21" t="n">
        <v>0</v>
      </c>
      <c r="Y10100" s="21" t="n">
        <v>0</v>
      </c>
      <c r="Z10100" s="19" t="n"/>
    </row>
    <row r="10101">
      <c r="D10101" s="21">
        <f>$B$8764</f>
        <v/>
      </c>
      <c r="E10101" s="21">
        <f>$B$8766</f>
        <v/>
      </c>
      <c r="F10101" s="21">
        <f>0</f>
        <v/>
      </c>
      <c r="G10101" s="21">
        <f>2*$B$8765</f>
        <v/>
      </c>
      <c r="H10101" s="21">
        <f>-$B$8764</f>
        <v/>
      </c>
      <c r="I10101" s="21">
        <f>$B$8766</f>
        <v/>
      </c>
      <c r="J10101" s="21" t="n">
        <v>0</v>
      </c>
      <c r="K10101" s="21" t="n">
        <v>0</v>
      </c>
      <c r="L10101" s="21" t="n">
        <v>0</v>
      </c>
      <c r="M10101" s="21" t="n">
        <v>0</v>
      </c>
      <c r="N10101" s="21" t="n">
        <v>0</v>
      </c>
      <c r="O10101" s="21" t="n">
        <v>0</v>
      </c>
      <c r="P10101" s="21" t="n">
        <v>0</v>
      </c>
      <c r="Q10101" s="21" t="n">
        <v>0</v>
      </c>
      <c r="R10101" s="21" t="n">
        <v>0</v>
      </c>
      <c r="S10101" s="21" t="n">
        <v>0</v>
      </c>
      <c r="T10101" s="21" t="n">
        <v>0</v>
      </c>
      <c r="U10101" s="21" t="n">
        <v>0</v>
      </c>
      <c r="V10101" s="21" t="n">
        <v>0</v>
      </c>
      <c r="W10101" s="21" t="n">
        <v>0</v>
      </c>
      <c r="X10101" s="21" t="n">
        <v>0</v>
      </c>
      <c r="Y10101" s="21" t="n">
        <v>0</v>
      </c>
      <c r="Z10101" s="19" t="n"/>
    </row>
    <row r="10102">
      <c r="D10102" s="21" t="n">
        <v>0</v>
      </c>
      <c r="E10102" s="21" t="n">
        <v>0</v>
      </c>
      <c r="F10102" s="21">
        <f>-$B$8763</f>
        <v/>
      </c>
      <c r="G10102" s="21">
        <f>-$B$8764</f>
        <v/>
      </c>
      <c r="H10102" s="21">
        <f>2*$B$8763+$D$10088</f>
        <v/>
      </c>
      <c r="I10102" s="21">
        <f>0</f>
        <v/>
      </c>
      <c r="J10102" s="21">
        <f>-$B$8763</f>
        <v/>
      </c>
      <c r="K10102" s="21">
        <f>$B$8764</f>
        <v/>
      </c>
      <c r="L10102" s="21" t="n">
        <v>0</v>
      </c>
      <c r="M10102" s="21" t="n">
        <v>0</v>
      </c>
      <c r="N10102" s="21" t="n">
        <v>0</v>
      </c>
      <c r="O10102" s="21" t="n">
        <v>0</v>
      </c>
      <c r="P10102" s="21" t="n">
        <v>0</v>
      </c>
      <c r="Q10102" s="21" t="n">
        <v>0</v>
      </c>
      <c r="R10102" s="21" t="n">
        <v>0</v>
      </c>
      <c r="S10102" s="21" t="n">
        <v>0</v>
      </c>
      <c r="T10102" s="21" t="n">
        <v>0</v>
      </c>
      <c r="U10102" s="21" t="n">
        <v>0</v>
      </c>
      <c r="V10102" s="21" t="n">
        <v>0</v>
      </c>
      <c r="W10102" s="21" t="n">
        <v>0</v>
      </c>
      <c r="X10102" s="21" t="n">
        <v>0</v>
      </c>
      <c r="Y10102" s="21" t="n">
        <v>0</v>
      </c>
      <c r="Z10102" s="19" t="n"/>
    </row>
    <row r="10103">
      <c r="D10103" s="21" t="n">
        <v>0</v>
      </c>
      <c r="E10103" s="21" t="n">
        <v>0</v>
      </c>
      <c r="F10103" s="21">
        <f>$B$8764</f>
        <v/>
      </c>
      <c r="G10103" s="21">
        <f>$B$8766</f>
        <v/>
      </c>
      <c r="H10103" s="21">
        <f>0</f>
        <v/>
      </c>
      <c r="I10103" s="21">
        <f>2*$B$8765</f>
        <v/>
      </c>
      <c r="J10103" s="21">
        <f>-$B$8764</f>
        <v/>
      </c>
      <c r="K10103" s="21">
        <f>$B$8766</f>
        <v/>
      </c>
      <c r="L10103" s="21" t="n">
        <v>0</v>
      </c>
      <c r="M10103" s="21" t="n">
        <v>0</v>
      </c>
      <c r="N10103" s="21" t="n">
        <v>0</v>
      </c>
      <c r="O10103" s="21" t="n">
        <v>0</v>
      </c>
      <c r="P10103" s="21" t="n">
        <v>0</v>
      </c>
      <c r="Q10103" s="21" t="n">
        <v>0</v>
      </c>
      <c r="R10103" s="21" t="n">
        <v>0</v>
      </c>
      <c r="S10103" s="21" t="n">
        <v>0</v>
      </c>
      <c r="T10103" s="21" t="n">
        <v>0</v>
      </c>
      <c r="U10103" s="21" t="n">
        <v>0</v>
      </c>
      <c r="V10103" s="21" t="n">
        <v>0</v>
      </c>
      <c r="W10103" s="21" t="n">
        <v>0</v>
      </c>
      <c r="X10103" s="21" t="n">
        <v>0</v>
      </c>
      <c r="Y10103" s="21" t="n">
        <v>0</v>
      </c>
      <c r="Z10103" s="19" t="n"/>
    </row>
    <row r="10104">
      <c r="D10104" s="21" t="n">
        <v>0</v>
      </c>
      <c r="E10104" s="21" t="n">
        <v>0</v>
      </c>
      <c r="F10104" s="21" t="n">
        <v>0</v>
      </c>
      <c r="G10104" s="21" t="n">
        <v>0</v>
      </c>
      <c r="H10104" s="21">
        <f>-$B$8763</f>
        <v/>
      </c>
      <c r="I10104" s="21">
        <f>-$B$8764</f>
        <v/>
      </c>
      <c r="J10104" s="21">
        <f>2*$B$8763+$D$10089</f>
        <v/>
      </c>
      <c r="K10104" s="21">
        <f>0</f>
        <v/>
      </c>
      <c r="L10104" s="21">
        <f>-$B$8763</f>
        <v/>
      </c>
      <c r="M10104" s="21">
        <f>$B$8764</f>
        <v/>
      </c>
      <c r="N10104" s="21" t="n">
        <v>0</v>
      </c>
      <c r="O10104" s="21" t="n">
        <v>0</v>
      </c>
      <c r="P10104" s="21" t="n">
        <v>0</v>
      </c>
      <c r="Q10104" s="21" t="n">
        <v>0</v>
      </c>
      <c r="R10104" s="21" t="n">
        <v>0</v>
      </c>
      <c r="S10104" s="21" t="n">
        <v>0</v>
      </c>
      <c r="T10104" s="21" t="n">
        <v>0</v>
      </c>
      <c r="U10104" s="21" t="n">
        <v>0</v>
      </c>
      <c r="V10104" s="21" t="n">
        <v>0</v>
      </c>
      <c r="W10104" s="21" t="n">
        <v>0</v>
      </c>
      <c r="X10104" s="21" t="n">
        <v>0</v>
      </c>
      <c r="Y10104" s="21" t="n">
        <v>0</v>
      </c>
      <c r="Z10104" s="19" t="n"/>
    </row>
    <row r="10105">
      <c r="D10105" s="21" t="n">
        <v>0</v>
      </c>
      <c r="E10105" s="21" t="n">
        <v>0</v>
      </c>
      <c r="F10105" s="21" t="n">
        <v>0</v>
      </c>
      <c r="G10105" s="21" t="n">
        <v>0</v>
      </c>
      <c r="H10105" s="21">
        <f>$B$8764</f>
        <v/>
      </c>
      <c r="I10105" s="21">
        <f>$B$8766</f>
        <v/>
      </c>
      <c r="J10105" s="21">
        <f>0</f>
        <v/>
      </c>
      <c r="K10105" s="21">
        <f>2*$B$8765</f>
        <v/>
      </c>
      <c r="L10105" s="21">
        <f>-$B$8764</f>
        <v/>
      </c>
      <c r="M10105" s="21">
        <f>$B$8766</f>
        <v/>
      </c>
      <c r="N10105" s="21" t="n">
        <v>0</v>
      </c>
      <c r="O10105" s="21" t="n">
        <v>0</v>
      </c>
      <c r="P10105" s="21" t="n">
        <v>0</v>
      </c>
      <c r="Q10105" s="21" t="n">
        <v>0</v>
      </c>
      <c r="R10105" s="21" t="n">
        <v>0</v>
      </c>
      <c r="S10105" s="21" t="n">
        <v>0</v>
      </c>
      <c r="T10105" s="21" t="n">
        <v>0</v>
      </c>
      <c r="U10105" s="21" t="n">
        <v>0</v>
      </c>
      <c r="V10105" s="21" t="n">
        <v>0</v>
      </c>
      <c r="W10105" s="21" t="n">
        <v>0</v>
      </c>
      <c r="X10105" s="21" t="n">
        <v>0</v>
      </c>
      <c r="Y10105" s="21" t="n">
        <v>0</v>
      </c>
      <c r="Z10105" s="19" t="n"/>
    </row>
    <row r="10106">
      <c r="D10106" s="21" t="n">
        <v>0</v>
      </c>
      <c r="E10106" s="21" t="n">
        <v>0</v>
      </c>
      <c r="F10106" s="21" t="n">
        <v>0</v>
      </c>
      <c r="G10106" s="21" t="n">
        <v>0</v>
      </c>
      <c r="H10106" s="21" t="n">
        <v>0</v>
      </c>
      <c r="I10106" s="21" t="n">
        <v>0</v>
      </c>
      <c r="J10106" s="21">
        <f>-$B$8763</f>
        <v/>
      </c>
      <c r="K10106" s="21">
        <f>-$B$8764</f>
        <v/>
      </c>
      <c r="L10106" s="21">
        <f>2*$B$8763+$D$10090</f>
        <v/>
      </c>
      <c r="M10106" s="21">
        <f>0</f>
        <v/>
      </c>
      <c r="N10106" s="21">
        <f>-$B$8763</f>
        <v/>
      </c>
      <c r="O10106" s="21">
        <f>$B$8764</f>
        <v/>
      </c>
      <c r="P10106" s="21" t="n">
        <v>0</v>
      </c>
      <c r="Q10106" s="21" t="n">
        <v>0</v>
      </c>
      <c r="R10106" s="21" t="n">
        <v>0</v>
      </c>
      <c r="S10106" s="21" t="n">
        <v>0</v>
      </c>
      <c r="T10106" s="21" t="n">
        <v>0</v>
      </c>
      <c r="U10106" s="21" t="n">
        <v>0</v>
      </c>
      <c r="V10106" s="21" t="n">
        <v>0</v>
      </c>
      <c r="W10106" s="21" t="n">
        <v>0</v>
      </c>
      <c r="X10106" s="21" t="n">
        <v>0</v>
      </c>
      <c r="Y10106" s="21" t="n">
        <v>0</v>
      </c>
      <c r="Z10106" s="19" t="n"/>
    </row>
    <row r="10107">
      <c r="D10107" s="21" t="n">
        <v>0</v>
      </c>
      <c r="E10107" s="21" t="n">
        <v>0</v>
      </c>
      <c r="F10107" s="21" t="n">
        <v>0</v>
      </c>
      <c r="G10107" s="21" t="n">
        <v>0</v>
      </c>
      <c r="H10107" s="21" t="n">
        <v>0</v>
      </c>
      <c r="I10107" s="21" t="n">
        <v>0</v>
      </c>
      <c r="J10107" s="21">
        <f>$B$8764</f>
        <v/>
      </c>
      <c r="K10107" s="21">
        <f>$B$8766</f>
        <v/>
      </c>
      <c r="L10107" s="21">
        <f>0</f>
        <v/>
      </c>
      <c r="M10107" s="21">
        <f>2*$B$8765</f>
        <v/>
      </c>
      <c r="N10107" s="21">
        <f>-$B$8764</f>
        <v/>
      </c>
      <c r="O10107" s="21">
        <f>$B$8766</f>
        <v/>
      </c>
      <c r="P10107" s="21" t="n">
        <v>0</v>
      </c>
      <c r="Q10107" s="21" t="n">
        <v>0</v>
      </c>
      <c r="R10107" s="21" t="n">
        <v>0</v>
      </c>
      <c r="S10107" s="21" t="n">
        <v>0</v>
      </c>
      <c r="T10107" s="21" t="n">
        <v>0</v>
      </c>
      <c r="U10107" s="21" t="n">
        <v>0</v>
      </c>
      <c r="V10107" s="21" t="n">
        <v>0</v>
      </c>
      <c r="W10107" s="21" t="n">
        <v>0</v>
      </c>
      <c r="X10107" s="21" t="n">
        <v>0</v>
      </c>
      <c r="Y10107" s="21" t="n">
        <v>0</v>
      </c>
      <c r="Z10107" s="19" t="n"/>
    </row>
    <row r="10108">
      <c r="D10108" s="21" t="n">
        <v>0</v>
      </c>
      <c r="E10108" s="21" t="n">
        <v>0</v>
      </c>
      <c r="F10108" s="21" t="n">
        <v>0</v>
      </c>
      <c r="G10108" s="21" t="n">
        <v>0</v>
      </c>
      <c r="H10108" s="21" t="n">
        <v>0</v>
      </c>
      <c r="I10108" s="21" t="n">
        <v>0</v>
      </c>
      <c r="J10108" s="21" t="n">
        <v>0</v>
      </c>
      <c r="K10108" s="21" t="n">
        <v>0</v>
      </c>
      <c r="L10108" s="21">
        <f>-$B$8763</f>
        <v/>
      </c>
      <c r="M10108" s="21">
        <f>-$B$8764</f>
        <v/>
      </c>
      <c r="N10108" s="21">
        <f>2*$B$8763+$D$10091</f>
        <v/>
      </c>
      <c r="O10108" s="21">
        <f>0</f>
        <v/>
      </c>
      <c r="P10108" s="21">
        <f>-$B$8763</f>
        <v/>
      </c>
      <c r="Q10108" s="21">
        <f>$B$8764</f>
        <v/>
      </c>
      <c r="R10108" s="21" t="n">
        <v>0</v>
      </c>
      <c r="S10108" s="21" t="n">
        <v>0</v>
      </c>
      <c r="T10108" s="21" t="n">
        <v>0</v>
      </c>
      <c r="U10108" s="21" t="n">
        <v>0</v>
      </c>
      <c r="V10108" s="21" t="n">
        <v>0</v>
      </c>
      <c r="W10108" s="21" t="n">
        <v>0</v>
      </c>
      <c r="X10108" s="21" t="n">
        <v>0</v>
      </c>
      <c r="Y10108" s="21" t="n">
        <v>0</v>
      </c>
      <c r="Z10108" s="19" t="n"/>
    </row>
    <row r="10109">
      <c r="D10109" s="21" t="n">
        <v>0</v>
      </c>
      <c r="E10109" s="21" t="n">
        <v>0</v>
      </c>
      <c r="F10109" s="21" t="n">
        <v>0</v>
      </c>
      <c r="G10109" s="21" t="n">
        <v>0</v>
      </c>
      <c r="H10109" s="21" t="n">
        <v>0</v>
      </c>
      <c r="I10109" s="21" t="n">
        <v>0</v>
      </c>
      <c r="J10109" s="21" t="n">
        <v>0</v>
      </c>
      <c r="K10109" s="21" t="n">
        <v>0</v>
      </c>
      <c r="L10109" s="21">
        <f>$B$8764</f>
        <v/>
      </c>
      <c r="M10109" s="21">
        <f>$B$8766</f>
        <v/>
      </c>
      <c r="N10109" s="21">
        <f>0</f>
        <v/>
      </c>
      <c r="O10109" s="21">
        <f>2*$B$8765</f>
        <v/>
      </c>
      <c r="P10109" s="21">
        <f>-$B$8764</f>
        <v/>
      </c>
      <c r="Q10109" s="21">
        <f>$B$8766</f>
        <v/>
      </c>
      <c r="R10109" s="21" t="n">
        <v>0</v>
      </c>
      <c r="S10109" s="21" t="n">
        <v>0</v>
      </c>
      <c r="T10109" s="21" t="n">
        <v>0</v>
      </c>
      <c r="U10109" s="21" t="n">
        <v>0</v>
      </c>
      <c r="V10109" s="21" t="n">
        <v>0</v>
      </c>
      <c r="W10109" s="21" t="n">
        <v>0</v>
      </c>
      <c r="X10109" s="21" t="n">
        <v>0</v>
      </c>
      <c r="Y10109" s="21" t="n">
        <v>0</v>
      </c>
      <c r="Z10109" s="19" t="n"/>
    </row>
    <row r="10110">
      <c r="D10110" s="21" t="n">
        <v>0</v>
      </c>
      <c r="E10110" s="21" t="n">
        <v>0</v>
      </c>
      <c r="F10110" s="21" t="n">
        <v>0</v>
      </c>
      <c r="G10110" s="21" t="n">
        <v>0</v>
      </c>
      <c r="H10110" s="21" t="n">
        <v>0</v>
      </c>
      <c r="I10110" s="21" t="n">
        <v>0</v>
      </c>
      <c r="J10110" s="21" t="n">
        <v>0</v>
      </c>
      <c r="K10110" s="21" t="n">
        <v>0</v>
      </c>
      <c r="L10110" s="21" t="n">
        <v>0</v>
      </c>
      <c r="M10110" s="21" t="n">
        <v>0</v>
      </c>
      <c r="N10110" s="21">
        <f>-$B$8763</f>
        <v/>
      </c>
      <c r="O10110" s="21">
        <f>-$B$8764</f>
        <v/>
      </c>
      <c r="P10110" s="21">
        <f>2*$B$8763+$D$10092</f>
        <v/>
      </c>
      <c r="Q10110" s="21">
        <f>0</f>
        <v/>
      </c>
      <c r="R10110" s="21">
        <f>-$B$8763</f>
        <v/>
      </c>
      <c r="S10110" s="21">
        <f>$B$8764</f>
        <v/>
      </c>
      <c r="T10110" s="21" t="n">
        <v>0</v>
      </c>
      <c r="U10110" s="21" t="n">
        <v>0</v>
      </c>
      <c r="V10110" s="21" t="n">
        <v>0</v>
      </c>
      <c r="W10110" s="21" t="n">
        <v>0</v>
      </c>
      <c r="X10110" s="21" t="n">
        <v>0</v>
      </c>
      <c r="Y10110" s="21" t="n">
        <v>0</v>
      </c>
      <c r="Z10110" s="19" t="n"/>
    </row>
    <row r="10111">
      <c r="D10111" s="21" t="n">
        <v>0</v>
      </c>
      <c r="E10111" s="21" t="n">
        <v>0</v>
      </c>
      <c r="F10111" s="21" t="n">
        <v>0</v>
      </c>
      <c r="G10111" s="21" t="n">
        <v>0</v>
      </c>
      <c r="H10111" s="21" t="n">
        <v>0</v>
      </c>
      <c r="I10111" s="21" t="n">
        <v>0</v>
      </c>
      <c r="J10111" s="21" t="n">
        <v>0</v>
      </c>
      <c r="K10111" s="21" t="n">
        <v>0</v>
      </c>
      <c r="L10111" s="21" t="n">
        <v>0</v>
      </c>
      <c r="M10111" s="21" t="n">
        <v>0</v>
      </c>
      <c r="N10111" s="21">
        <f>$B$8764</f>
        <v/>
      </c>
      <c r="O10111" s="21">
        <f>$B$8766</f>
        <v/>
      </c>
      <c r="P10111" s="21">
        <f>0</f>
        <v/>
      </c>
      <c r="Q10111" s="21">
        <f>2*$B$8765</f>
        <v/>
      </c>
      <c r="R10111" s="21">
        <f>-$B$8764</f>
        <v/>
      </c>
      <c r="S10111" s="21">
        <f>$B$8766</f>
        <v/>
      </c>
      <c r="T10111" s="21" t="n">
        <v>0</v>
      </c>
      <c r="U10111" s="21" t="n">
        <v>0</v>
      </c>
      <c r="V10111" s="21" t="n">
        <v>0</v>
      </c>
      <c r="W10111" s="21" t="n">
        <v>0</v>
      </c>
      <c r="X10111" s="21" t="n">
        <v>0</v>
      </c>
      <c r="Y10111" s="21" t="n">
        <v>0</v>
      </c>
      <c r="Z10111" s="19" t="n"/>
    </row>
    <row r="10112">
      <c r="D10112" s="21" t="n">
        <v>0</v>
      </c>
      <c r="E10112" s="21" t="n">
        <v>0</v>
      </c>
      <c r="F10112" s="21" t="n">
        <v>0</v>
      </c>
      <c r="G10112" s="21" t="n">
        <v>0</v>
      </c>
      <c r="H10112" s="21" t="n">
        <v>0</v>
      </c>
      <c r="I10112" s="21" t="n">
        <v>0</v>
      </c>
      <c r="J10112" s="21" t="n">
        <v>0</v>
      </c>
      <c r="K10112" s="21" t="n">
        <v>0</v>
      </c>
      <c r="L10112" s="21" t="n">
        <v>0</v>
      </c>
      <c r="M10112" s="21" t="n">
        <v>0</v>
      </c>
      <c r="N10112" s="21" t="n">
        <v>0</v>
      </c>
      <c r="O10112" s="21" t="n">
        <v>0</v>
      </c>
      <c r="P10112" s="21">
        <f>-$B$8763</f>
        <v/>
      </c>
      <c r="Q10112" s="21">
        <f>-$B$8764</f>
        <v/>
      </c>
      <c r="R10112" s="21">
        <f>2*$B$8763+$D$10093</f>
        <v/>
      </c>
      <c r="S10112" s="21">
        <f>0</f>
        <v/>
      </c>
      <c r="T10112" s="21">
        <f>-$B$8763</f>
        <v/>
      </c>
      <c r="U10112" s="21">
        <f>$B$8764</f>
        <v/>
      </c>
      <c r="V10112" s="21" t="n">
        <v>0</v>
      </c>
      <c r="W10112" s="21" t="n">
        <v>0</v>
      </c>
      <c r="X10112" s="21" t="n">
        <v>0</v>
      </c>
      <c r="Y10112" s="21" t="n">
        <v>0</v>
      </c>
      <c r="Z10112" s="19" t="n"/>
    </row>
    <row r="10113">
      <c r="D10113" s="21" t="n">
        <v>0</v>
      </c>
      <c r="E10113" s="21" t="n">
        <v>0</v>
      </c>
      <c r="F10113" s="21" t="n">
        <v>0</v>
      </c>
      <c r="G10113" s="21" t="n">
        <v>0</v>
      </c>
      <c r="H10113" s="21" t="n">
        <v>0</v>
      </c>
      <c r="I10113" s="21" t="n">
        <v>0</v>
      </c>
      <c r="J10113" s="21" t="n">
        <v>0</v>
      </c>
      <c r="K10113" s="21" t="n">
        <v>0</v>
      </c>
      <c r="L10113" s="21" t="n">
        <v>0</v>
      </c>
      <c r="M10113" s="21" t="n">
        <v>0</v>
      </c>
      <c r="N10113" s="21" t="n">
        <v>0</v>
      </c>
      <c r="O10113" s="21" t="n">
        <v>0</v>
      </c>
      <c r="P10113" s="21">
        <f>$B$8764</f>
        <v/>
      </c>
      <c r="Q10113" s="21">
        <f>$B$8766</f>
        <v/>
      </c>
      <c r="R10113" s="21">
        <f>0</f>
        <v/>
      </c>
      <c r="S10113" s="21">
        <f>2*$B$8765</f>
        <v/>
      </c>
      <c r="T10113" s="21">
        <f>-$B$8764</f>
        <v/>
      </c>
      <c r="U10113" s="21">
        <f>$B$8766</f>
        <v/>
      </c>
      <c r="V10113" s="21" t="n">
        <v>0</v>
      </c>
      <c r="W10113" s="21" t="n">
        <v>0</v>
      </c>
      <c r="X10113" s="21" t="n">
        <v>0</v>
      </c>
      <c r="Y10113" s="21" t="n">
        <v>0</v>
      </c>
      <c r="Z10113" s="19" t="n"/>
    </row>
    <row r="10114">
      <c r="D10114" s="21" t="n">
        <v>0</v>
      </c>
      <c r="E10114" s="21" t="n">
        <v>0</v>
      </c>
      <c r="F10114" s="21" t="n">
        <v>0</v>
      </c>
      <c r="G10114" s="21" t="n">
        <v>0</v>
      </c>
      <c r="H10114" s="21" t="n">
        <v>0</v>
      </c>
      <c r="I10114" s="21" t="n">
        <v>0</v>
      </c>
      <c r="J10114" s="21" t="n">
        <v>0</v>
      </c>
      <c r="K10114" s="21" t="n">
        <v>0</v>
      </c>
      <c r="L10114" s="21" t="n">
        <v>0</v>
      </c>
      <c r="M10114" s="21" t="n">
        <v>0</v>
      </c>
      <c r="N10114" s="21" t="n">
        <v>0</v>
      </c>
      <c r="O10114" s="21" t="n">
        <v>0</v>
      </c>
      <c r="P10114" s="21" t="n">
        <v>0</v>
      </c>
      <c r="Q10114" s="21" t="n">
        <v>0</v>
      </c>
      <c r="R10114" s="21">
        <f>-$B$8763</f>
        <v/>
      </c>
      <c r="S10114" s="21">
        <f>-$B$8764</f>
        <v/>
      </c>
      <c r="T10114" s="21">
        <f>2*$B$8763+$D$10094</f>
        <v/>
      </c>
      <c r="U10114" s="21">
        <f>0</f>
        <v/>
      </c>
      <c r="V10114" s="21">
        <f>-$B$8763</f>
        <v/>
      </c>
      <c r="W10114" s="21">
        <f>$B$8764</f>
        <v/>
      </c>
      <c r="X10114" s="21" t="n">
        <v>0</v>
      </c>
      <c r="Y10114" s="21" t="n">
        <v>0</v>
      </c>
      <c r="Z10114" s="19" t="n"/>
    </row>
    <row r="10115">
      <c r="D10115" s="21" t="n">
        <v>0</v>
      </c>
      <c r="E10115" s="21" t="n">
        <v>0</v>
      </c>
      <c r="F10115" s="21" t="n">
        <v>0</v>
      </c>
      <c r="G10115" s="21" t="n">
        <v>0</v>
      </c>
      <c r="H10115" s="21" t="n">
        <v>0</v>
      </c>
      <c r="I10115" s="21" t="n">
        <v>0</v>
      </c>
      <c r="J10115" s="21" t="n">
        <v>0</v>
      </c>
      <c r="K10115" s="21" t="n">
        <v>0</v>
      </c>
      <c r="L10115" s="21" t="n">
        <v>0</v>
      </c>
      <c r="M10115" s="21" t="n">
        <v>0</v>
      </c>
      <c r="N10115" s="21" t="n">
        <v>0</v>
      </c>
      <c r="O10115" s="21" t="n">
        <v>0</v>
      </c>
      <c r="P10115" s="21" t="n">
        <v>0</v>
      </c>
      <c r="Q10115" s="21" t="n">
        <v>0</v>
      </c>
      <c r="R10115" s="21">
        <f>$B$8764</f>
        <v/>
      </c>
      <c r="S10115" s="21">
        <f>$B$8766</f>
        <v/>
      </c>
      <c r="T10115" s="21">
        <f>0</f>
        <v/>
      </c>
      <c r="U10115" s="21">
        <f>2*$B$8765</f>
        <v/>
      </c>
      <c r="V10115" s="21">
        <f>-$B$8764</f>
        <v/>
      </c>
      <c r="W10115" s="21">
        <f>$B$8766</f>
        <v/>
      </c>
      <c r="X10115" s="21" t="n">
        <v>0</v>
      </c>
      <c r="Y10115" s="21" t="n">
        <v>0</v>
      </c>
      <c r="Z10115" s="19" t="n"/>
    </row>
    <row r="10116">
      <c r="D10116" s="21" t="n">
        <v>0</v>
      </c>
      <c r="E10116" s="21" t="n">
        <v>0</v>
      </c>
      <c r="F10116" s="21" t="n">
        <v>0</v>
      </c>
      <c r="G10116" s="21" t="n">
        <v>0</v>
      </c>
      <c r="H10116" s="21" t="n">
        <v>0</v>
      </c>
      <c r="I10116" s="21" t="n">
        <v>0</v>
      </c>
      <c r="J10116" s="21" t="n">
        <v>0</v>
      </c>
      <c r="K10116" s="21" t="n">
        <v>0</v>
      </c>
      <c r="L10116" s="21" t="n">
        <v>0</v>
      </c>
      <c r="M10116" s="21" t="n">
        <v>0</v>
      </c>
      <c r="N10116" s="21" t="n">
        <v>0</v>
      </c>
      <c r="O10116" s="21" t="n">
        <v>0</v>
      </c>
      <c r="P10116" s="21" t="n">
        <v>0</v>
      </c>
      <c r="Q10116" s="21" t="n">
        <v>0</v>
      </c>
      <c r="R10116" s="21" t="n">
        <v>0</v>
      </c>
      <c r="S10116" s="21" t="n">
        <v>0</v>
      </c>
      <c r="T10116" s="21">
        <f>-$B$8763</f>
        <v/>
      </c>
      <c r="U10116" s="21">
        <f>-$B$8764</f>
        <v/>
      </c>
      <c r="V10116" s="21">
        <f>2*$B$8763+$D$10095</f>
        <v/>
      </c>
      <c r="W10116" s="21">
        <f>0</f>
        <v/>
      </c>
      <c r="X10116" s="21">
        <f>-$B$8763</f>
        <v/>
      </c>
      <c r="Y10116" s="21">
        <f>$B$8764</f>
        <v/>
      </c>
      <c r="Z10116" s="19" t="n"/>
    </row>
    <row r="10117">
      <c r="D10117" s="21" t="n">
        <v>0</v>
      </c>
      <c r="E10117" s="21" t="n">
        <v>0</v>
      </c>
      <c r="F10117" s="21" t="n">
        <v>0</v>
      </c>
      <c r="G10117" s="21" t="n">
        <v>0</v>
      </c>
      <c r="H10117" s="21" t="n">
        <v>0</v>
      </c>
      <c r="I10117" s="21" t="n">
        <v>0</v>
      </c>
      <c r="J10117" s="21" t="n">
        <v>0</v>
      </c>
      <c r="K10117" s="21" t="n">
        <v>0</v>
      </c>
      <c r="L10117" s="21" t="n">
        <v>0</v>
      </c>
      <c r="M10117" s="21" t="n">
        <v>0</v>
      </c>
      <c r="N10117" s="21" t="n">
        <v>0</v>
      </c>
      <c r="O10117" s="21" t="n">
        <v>0</v>
      </c>
      <c r="P10117" s="21" t="n">
        <v>0</v>
      </c>
      <c r="Q10117" s="21" t="n">
        <v>0</v>
      </c>
      <c r="R10117" s="21" t="n">
        <v>0</v>
      </c>
      <c r="S10117" s="21" t="n">
        <v>0</v>
      </c>
      <c r="T10117" s="21">
        <f>$B$8764</f>
        <v/>
      </c>
      <c r="U10117" s="21">
        <f>$B$8766</f>
        <v/>
      </c>
      <c r="V10117" s="21">
        <f>0</f>
        <v/>
      </c>
      <c r="W10117" s="21">
        <f>2*$B$8765</f>
        <v/>
      </c>
      <c r="X10117" s="21">
        <f>-$B$8764</f>
        <v/>
      </c>
      <c r="Y10117" s="21">
        <f>$B$8766</f>
        <v/>
      </c>
      <c r="Z10117" s="19" t="n"/>
    </row>
    <row r="10118">
      <c r="D10118" s="21" t="n">
        <v>0</v>
      </c>
      <c r="E10118" s="21" t="n">
        <v>0</v>
      </c>
      <c r="F10118" s="21" t="n">
        <v>0</v>
      </c>
      <c r="G10118" s="21" t="n">
        <v>0</v>
      </c>
      <c r="H10118" s="21" t="n">
        <v>0</v>
      </c>
      <c r="I10118" s="21" t="n">
        <v>0</v>
      </c>
      <c r="J10118" s="21" t="n">
        <v>0</v>
      </c>
      <c r="K10118" s="21" t="n">
        <v>0</v>
      </c>
      <c r="L10118" s="21" t="n">
        <v>0</v>
      </c>
      <c r="M10118" s="21" t="n">
        <v>0</v>
      </c>
      <c r="N10118" s="21" t="n">
        <v>0</v>
      </c>
      <c r="O10118" s="21" t="n">
        <v>0</v>
      </c>
      <c r="P10118" s="21" t="n">
        <v>0</v>
      </c>
      <c r="Q10118" s="21" t="n">
        <v>0</v>
      </c>
      <c r="R10118" s="21" t="n">
        <v>0</v>
      </c>
      <c r="S10118" s="21" t="n">
        <v>0</v>
      </c>
      <c r="T10118" s="21" t="n">
        <v>0</v>
      </c>
      <c r="U10118" s="21" t="n">
        <v>0</v>
      </c>
      <c r="V10118" s="21">
        <f>-$B$8763</f>
        <v/>
      </c>
      <c r="W10118" s="21">
        <f>-$B$8764</f>
        <v/>
      </c>
      <c r="X10118" s="21">
        <f>$B$8763+$D$10096</f>
        <v/>
      </c>
      <c r="Y10118" s="21">
        <f>-$B$8764</f>
        <v/>
      </c>
      <c r="Z10118" s="19" t="n"/>
    </row>
    <row r="10119">
      <c r="D10119" s="21" t="n">
        <v>0</v>
      </c>
      <c r="E10119" s="21" t="n">
        <v>0</v>
      </c>
      <c r="F10119" s="21" t="n">
        <v>0</v>
      </c>
      <c r="G10119" s="21" t="n">
        <v>0</v>
      </c>
      <c r="H10119" s="21" t="n">
        <v>0</v>
      </c>
      <c r="I10119" s="21" t="n">
        <v>0</v>
      </c>
      <c r="J10119" s="21" t="n">
        <v>0</v>
      </c>
      <c r="K10119" s="21" t="n">
        <v>0</v>
      </c>
      <c r="L10119" s="21" t="n">
        <v>0</v>
      </c>
      <c r="M10119" s="21" t="n">
        <v>0</v>
      </c>
      <c r="N10119" s="21" t="n">
        <v>0</v>
      </c>
      <c r="O10119" s="21" t="n">
        <v>0</v>
      </c>
      <c r="P10119" s="21" t="n">
        <v>0</v>
      </c>
      <c r="Q10119" s="21" t="n">
        <v>0</v>
      </c>
      <c r="R10119" s="21" t="n">
        <v>0</v>
      </c>
      <c r="S10119" s="21" t="n">
        <v>0</v>
      </c>
      <c r="T10119" s="21" t="n">
        <v>0</v>
      </c>
      <c r="U10119" s="21" t="n">
        <v>0</v>
      </c>
      <c r="V10119" s="21">
        <f>$B$8764</f>
        <v/>
      </c>
      <c r="W10119" s="21">
        <f>$B$8766</f>
        <v/>
      </c>
      <c r="X10119" s="21">
        <f>-$B$8764</f>
        <v/>
      </c>
      <c r="Y10119" s="21">
        <f>$B$8765</f>
        <v/>
      </c>
      <c r="Z10119" s="19" t="n"/>
    </row>
    <row r="10121">
      <c r="A10121" s="8" t="inlineStr">
        <is>
          <t>gen 37</t>
        </is>
      </c>
    </row>
    <row r="10122">
      <c r="D10122" s="19">
        <f>IF(ABS(IF(ABS($E$10086)&gt;0.000000001,$E$10086,0.000000001))=0,0,IF($E$8778&lt;=$B$8772,0,IF(ABS(IF(ABS($E$10086)&gt;0.000000001,$E$10086,0.000000001))&gt;=8*$B$8774,$H$8778,0.5*$H$8778*(ABS(IF(ABS($E$10086)&gt;0.000000001,$E$10086,0.000000001))/$B$8774)^(1/3)))/ABS(IF(ABS($E$10086)&gt;0.000000001,$E$10086,0.000000001))*$I$8778)</f>
        <v/>
      </c>
      <c r="E10122" s="19">
        <f>0.5*$E$10086+0.5*$Z$10134</f>
        <v/>
      </c>
      <c r="F10122" s="19">
        <f>$Z$10135</f>
        <v/>
      </c>
    </row>
    <row r="10123">
      <c r="D10123" s="19">
        <f>IF(ABS(IF(ABS($E$10087)&gt;0.000000001,$E$10087,0.000000001))=0,0,IF($E$8779&lt;=$B$8772,0,IF(ABS(IF(ABS($E$10087)&gt;0.000000001,$E$10087,0.000000001))&gt;=8*$B$8774,$H$8779,0.5*$H$8779*(ABS(IF(ABS($E$10087)&gt;0.000000001,$E$10087,0.000000001))/$B$8774)^(1/3)))/ABS(IF(ABS($E$10087)&gt;0.000000001,$E$10087,0.000000001))*$I$8779)</f>
        <v/>
      </c>
      <c r="E10123" s="19">
        <f>0.5*$E$10087+0.5*$Z$10136</f>
        <v/>
      </c>
      <c r="F10123" s="19">
        <f>$Z$10137</f>
        <v/>
      </c>
    </row>
    <row r="10124">
      <c r="D10124" s="19">
        <f>IF(ABS(IF(ABS($E$10088)&gt;0.000000001,$E$10088,0.000000001))=0,0,IF($E$8780&lt;=$B$8772,0,IF(ABS(IF(ABS($E$10088)&gt;0.000000001,$E$10088,0.000000001))&gt;=8*$B$8774,$H$8780,0.5*$H$8780*(ABS(IF(ABS($E$10088)&gt;0.000000001,$E$10088,0.000000001))/$B$8774)^(1/3)))/ABS(IF(ABS($E$10088)&gt;0.000000001,$E$10088,0.000000001))*$I$8780)</f>
        <v/>
      </c>
      <c r="E10124" s="19">
        <f>0.5*$E$10088+0.5*$Z$10138</f>
        <v/>
      </c>
      <c r="F10124" s="19">
        <f>$Z$10139</f>
        <v/>
      </c>
    </row>
    <row r="10125">
      <c r="D10125" s="19">
        <f>IF(ABS(IF(ABS($E$10089)&gt;0.000000001,$E$10089,0.000000001))=0,0,IF($E$8781&lt;=$B$8772,0,IF(ABS(IF(ABS($E$10089)&gt;0.000000001,$E$10089,0.000000001))&gt;=8*$B$8774,$H$8781,0.5*$H$8781*(ABS(IF(ABS($E$10089)&gt;0.000000001,$E$10089,0.000000001))/$B$8774)^(1/3)))/ABS(IF(ABS($E$10089)&gt;0.000000001,$E$10089,0.000000001))*$I$8781)</f>
        <v/>
      </c>
      <c r="E10125" s="19">
        <f>0.5*$E$10089+0.5*$Z$10140</f>
        <v/>
      </c>
      <c r="F10125" s="19">
        <f>$Z$10141</f>
        <v/>
      </c>
    </row>
    <row r="10126">
      <c r="D10126" s="19">
        <f>IF(ABS(IF(ABS($E$10090)&gt;0.000000001,$E$10090,0.000000001))=0,0,IF($E$8782&lt;=$B$8772,0,IF(ABS(IF(ABS($E$10090)&gt;0.000000001,$E$10090,0.000000001))&gt;=8*$B$8774,$H$8782,0.5*$H$8782*(ABS(IF(ABS($E$10090)&gt;0.000000001,$E$10090,0.000000001))/$B$8774)^(1/3)))/ABS(IF(ABS($E$10090)&gt;0.000000001,$E$10090,0.000000001))*$I$8782)</f>
        <v/>
      </c>
      <c r="E10126" s="19">
        <f>0.5*$E$10090+0.5*$Z$10142</f>
        <v/>
      </c>
      <c r="F10126" s="19">
        <f>$Z$10143</f>
        <v/>
      </c>
    </row>
    <row r="10127">
      <c r="D10127" s="19">
        <f>IF(ABS(IF(ABS($E$10091)&gt;0.000000001,$E$10091,0.000000001))=0,0,IF($E$8783&lt;=$B$8772,0,IF(ABS(IF(ABS($E$10091)&gt;0.000000001,$E$10091,0.000000001))&gt;=8*$B$8774,$H$8783,0.5*$H$8783*(ABS(IF(ABS($E$10091)&gt;0.000000001,$E$10091,0.000000001))/$B$8774)^(1/3)))/ABS(IF(ABS($E$10091)&gt;0.000000001,$E$10091,0.000000001))*$I$8783)</f>
        <v/>
      </c>
      <c r="E10127" s="19">
        <f>0.5*$E$10091+0.5*$Z$10144</f>
        <v/>
      </c>
      <c r="F10127" s="19">
        <f>$Z$10145</f>
        <v/>
      </c>
    </row>
    <row r="10128">
      <c r="D10128" s="19">
        <f>IF(ABS(IF(ABS($E$10092)&gt;0.000000001,$E$10092,0.000000001))=0,0,IF($E$8784&lt;=$B$8772,0,IF(ABS(IF(ABS($E$10092)&gt;0.000000001,$E$10092,0.000000001))&gt;=8*$B$8774,$H$8784,0.5*$H$8784*(ABS(IF(ABS($E$10092)&gt;0.000000001,$E$10092,0.000000001))/$B$8774)^(1/3)))/ABS(IF(ABS($E$10092)&gt;0.000000001,$E$10092,0.000000001))*$I$8784)</f>
        <v/>
      </c>
      <c r="E10128" s="19">
        <f>0.5*$E$10092+0.5*$Z$10146</f>
        <v/>
      </c>
      <c r="F10128" s="19">
        <f>$Z$10147</f>
        <v/>
      </c>
    </row>
    <row r="10129">
      <c r="D10129" s="19">
        <f>IF(ABS(IF(ABS($E$10093)&gt;0.000000001,$E$10093,0.000000001))=0,0,IF($E$8785&lt;=$B$8772,0,IF(ABS(IF(ABS($E$10093)&gt;0.000000001,$E$10093,0.000000001))&gt;=8*$B$8774,$H$8785,0.5*$H$8785*(ABS(IF(ABS($E$10093)&gt;0.000000001,$E$10093,0.000000001))/$B$8774)^(1/3)))/ABS(IF(ABS($E$10093)&gt;0.000000001,$E$10093,0.000000001))*$I$8785)</f>
        <v/>
      </c>
      <c r="E10129" s="19">
        <f>0.5*$E$10093+0.5*$Z$10148</f>
        <v/>
      </c>
      <c r="F10129" s="19">
        <f>$Z$10149</f>
        <v/>
      </c>
    </row>
    <row r="10130">
      <c r="D10130" s="19">
        <f>IF(ABS(IF(ABS($E$10094)&gt;0.000000001,$E$10094,0.000000001))=0,0,IF($E$8786&lt;=$B$8772,0,IF(ABS(IF(ABS($E$10094)&gt;0.000000001,$E$10094,0.000000001))&gt;=8*$B$8774,$H$8786,0.5*$H$8786*(ABS(IF(ABS($E$10094)&gt;0.000000001,$E$10094,0.000000001))/$B$8774)^(1/3)))/ABS(IF(ABS($E$10094)&gt;0.000000001,$E$10094,0.000000001))*$I$8786)</f>
        <v/>
      </c>
      <c r="E10130" s="19">
        <f>0.5*$E$10094+0.5*$Z$10150</f>
        <v/>
      </c>
      <c r="F10130" s="19">
        <f>$Z$10151</f>
        <v/>
      </c>
    </row>
    <row r="10131">
      <c r="D10131" s="19">
        <f>IF(ABS(IF(ABS($E$10095)&gt;0.000000001,$E$10095,0.000000001))=0,0,IF($E$8787&lt;=$B$8772,0,IF(ABS(IF(ABS($E$10095)&gt;0.000000001,$E$10095,0.000000001))&gt;=8*$B$8774,$H$8787,0.5*$H$8787*(ABS(IF(ABS($E$10095)&gt;0.000000001,$E$10095,0.000000001))/$B$8774)^(1/3)))/ABS(IF(ABS($E$10095)&gt;0.000000001,$E$10095,0.000000001))*$I$8787)</f>
        <v/>
      </c>
      <c r="E10131" s="19">
        <f>0.5*$E$10095+0.5*$Z$10152</f>
        <v/>
      </c>
      <c r="F10131" s="19">
        <f>$Z$10153</f>
        <v/>
      </c>
    </row>
    <row r="10132">
      <c r="D10132" s="19">
        <f>IF(ABS(IF(ABS($E$10096)&gt;0.000000001,$E$10096,0.000000001))=0,0,IF($E$8788&lt;=$B$8772,0,IF(ABS(IF(ABS($E$10096)&gt;0.000000001,$E$10096,0.000000001))&gt;=8*$B$8774,$H$8788,0.5*$H$8788*(ABS(IF(ABS($E$10096)&gt;0.000000001,$E$10096,0.000000001))/$B$8774)^(1/3)))/ABS(IF(ABS($E$10096)&gt;0.000000001,$E$10096,0.000000001))*$I$8788)</f>
        <v/>
      </c>
      <c r="E10132" s="19">
        <f>0.5*$E$10096+0.5*$Z$10154</f>
        <v/>
      </c>
      <c r="F10132" s="19">
        <f>$Z$10155</f>
        <v/>
      </c>
    </row>
    <row r="10134">
      <c r="D10134" s="21">
        <f>$B$8763+$D$10122</f>
        <v/>
      </c>
      <c r="E10134" s="21">
        <f>$B$8764</f>
        <v/>
      </c>
      <c r="F10134" s="21">
        <f>-$B$8763</f>
        <v/>
      </c>
      <c r="G10134" s="21">
        <f>$B$8764</f>
        <v/>
      </c>
      <c r="H10134" s="21" t="n">
        <v>0</v>
      </c>
      <c r="I10134" s="21" t="n">
        <v>0</v>
      </c>
      <c r="J10134" s="21" t="n">
        <v>0</v>
      </c>
      <c r="K10134" s="21" t="n">
        <v>0</v>
      </c>
      <c r="L10134" s="21" t="n">
        <v>0</v>
      </c>
      <c r="M10134" s="21" t="n">
        <v>0</v>
      </c>
      <c r="N10134" s="21" t="n">
        <v>0</v>
      </c>
      <c r="O10134" s="21" t="n">
        <v>0</v>
      </c>
      <c r="P10134" s="21" t="n">
        <v>0</v>
      </c>
      <c r="Q10134" s="21" t="n">
        <v>0</v>
      </c>
      <c r="R10134" s="21" t="n">
        <v>0</v>
      </c>
      <c r="S10134" s="21" t="n">
        <v>0</v>
      </c>
      <c r="T10134" s="21" t="n">
        <v>0</v>
      </c>
      <c r="U10134" s="21" t="n">
        <v>0</v>
      </c>
      <c r="V10134" s="21" t="n">
        <v>0</v>
      </c>
      <c r="W10134" s="21" t="n">
        <v>0</v>
      </c>
      <c r="X10134" s="21" t="n">
        <v>0</v>
      </c>
      <c r="Y10134" s="21" t="n">
        <v>0</v>
      </c>
      <c r="Z10134" s="19">
        <f t="array" ref="Z10134:Z10155">MMULT(MINVERSE($D$10134:$Y$10155),$D$8790:$D$8811)</f>
        <v/>
      </c>
    </row>
    <row r="10135">
      <c r="D10135" s="21">
        <f>$B$8764</f>
        <v/>
      </c>
      <c r="E10135" s="21">
        <f>$B$8765</f>
        <v/>
      </c>
      <c r="F10135" s="21">
        <f>-$B$8764</f>
        <v/>
      </c>
      <c r="G10135" s="21">
        <f>$B$8766</f>
        <v/>
      </c>
      <c r="H10135" s="21" t="n">
        <v>0</v>
      </c>
      <c r="I10135" s="21" t="n">
        <v>0</v>
      </c>
      <c r="J10135" s="21" t="n">
        <v>0</v>
      </c>
      <c r="K10135" s="21" t="n">
        <v>0</v>
      </c>
      <c r="L10135" s="21" t="n">
        <v>0</v>
      </c>
      <c r="M10135" s="21" t="n">
        <v>0</v>
      </c>
      <c r="N10135" s="21" t="n">
        <v>0</v>
      </c>
      <c r="O10135" s="21" t="n">
        <v>0</v>
      </c>
      <c r="P10135" s="21" t="n">
        <v>0</v>
      </c>
      <c r="Q10135" s="21" t="n">
        <v>0</v>
      </c>
      <c r="R10135" s="21" t="n">
        <v>0</v>
      </c>
      <c r="S10135" s="21" t="n">
        <v>0</v>
      </c>
      <c r="T10135" s="21" t="n">
        <v>0</v>
      </c>
      <c r="U10135" s="21" t="n">
        <v>0</v>
      </c>
      <c r="V10135" s="21" t="n">
        <v>0</v>
      </c>
      <c r="W10135" s="21" t="n">
        <v>0</v>
      </c>
      <c r="X10135" s="21" t="n">
        <v>0</v>
      </c>
      <c r="Y10135" s="21" t="n">
        <v>0</v>
      </c>
      <c r="Z10135" s="19" t="n"/>
    </row>
    <row r="10136">
      <c r="D10136" s="21">
        <f>-$B$8763</f>
        <v/>
      </c>
      <c r="E10136" s="21">
        <f>-$B$8764</f>
        <v/>
      </c>
      <c r="F10136" s="21">
        <f>2*$B$8763+$D$10123</f>
        <v/>
      </c>
      <c r="G10136" s="21">
        <f>0</f>
        <v/>
      </c>
      <c r="H10136" s="21">
        <f>-$B$8763</f>
        <v/>
      </c>
      <c r="I10136" s="21">
        <f>$B$8764</f>
        <v/>
      </c>
      <c r="J10136" s="21" t="n">
        <v>0</v>
      </c>
      <c r="K10136" s="21" t="n">
        <v>0</v>
      </c>
      <c r="L10136" s="21" t="n">
        <v>0</v>
      </c>
      <c r="M10136" s="21" t="n">
        <v>0</v>
      </c>
      <c r="N10136" s="21" t="n">
        <v>0</v>
      </c>
      <c r="O10136" s="21" t="n">
        <v>0</v>
      </c>
      <c r="P10136" s="21" t="n">
        <v>0</v>
      </c>
      <c r="Q10136" s="21" t="n">
        <v>0</v>
      </c>
      <c r="R10136" s="21" t="n">
        <v>0</v>
      </c>
      <c r="S10136" s="21" t="n">
        <v>0</v>
      </c>
      <c r="T10136" s="21" t="n">
        <v>0</v>
      </c>
      <c r="U10136" s="21" t="n">
        <v>0</v>
      </c>
      <c r="V10136" s="21" t="n">
        <v>0</v>
      </c>
      <c r="W10136" s="21" t="n">
        <v>0</v>
      </c>
      <c r="X10136" s="21" t="n">
        <v>0</v>
      </c>
      <c r="Y10136" s="21" t="n">
        <v>0</v>
      </c>
      <c r="Z10136" s="19" t="n"/>
    </row>
    <row r="10137">
      <c r="D10137" s="21">
        <f>$B$8764</f>
        <v/>
      </c>
      <c r="E10137" s="21">
        <f>$B$8766</f>
        <v/>
      </c>
      <c r="F10137" s="21">
        <f>0</f>
        <v/>
      </c>
      <c r="G10137" s="21">
        <f>2*$B$8765</f>
        <v/>
      </c>
      <c r="H10137" s="21">
        <f>-$B$8764</f>
        <v/>
      </c>
      <c r="I10137" s="21">
        <f>$B$8766</f>
        <v/>
      </c>
      <c r="J10137" s="21" t="n">
        <v>0</v>
      </c>
      <c r="K10137" s="21" t="n">
        <v>0</v>
      </c>
      <c r="L10137" s="21" t="n">
        <v>0</v>
      </c>
      <c r="M10137" s="21" t="n">
        <v>0</v>
      </c>
      <c r="N10137" s="21" t="n">
        <v>0</v>
      </c>
      <c r="O10137" s="21" t="n">
        <v>0</v>
      </c>
      <c r="P10137" s="21" t="n">
        <v>0</v>
      </c>
      <c r="Q10137" s="21" t="n">
        <v>0</v>
      </c>
      <c r="R10137" s="21" t="n">
        <v>0</v>
      </c>
      <c r="S10137" s="21" t="n">
        <v>0</v>
      </c>
      <c r="T10137" s="21" t="n">
        <v>0</v>
      </c>
      <c r="U10137" s="21" t="n">
        <v>0</v>
      </c>
      <c r="V10137" s="21" t="n">
        <v>0</v>
      </c>
      <c r="W10137" s="21" t="n">
        <v>0</v>
      </c>
      <c r="X10137" s="21" t="n">
        <v>0</v>
      </c>
      <c r="Y10137" s="21" t="n">
        <v>0</v>
      </c>
      <c r="Z10137" s="19" t="n"/>
    </row>
    <row r="10138">
      <c r="D10138" s="21" t="n">
        <v>0</v>
      </c>
      <c r="E10138" s="21" t="n">
        <v>0</v>
      </c>
      <c r="F10138" s="21">
        <f>-$B$8763</f>
        <v/>
      </c>
      <c r="G10138" s="21">
        <f>-$B$8764</f>
        <v/>
      </c>
      <c r="H10138" s="21">
        <f>2*$B$8763+$D$10124</f>
        <v/>
      </c>
      <c r="I10138" s="21">
        <f>0</f>
        <v/>
      </c>
      <c r="J10138" s="21">
        <f>-$B$8763</f>
        <v/>
      </c>
      <c r="K10138" s="21">
        <f>$B$8764</f>
        <v/>
      </c>
      <c r="L10138" s="21" t="n">
        <v>0</v>
      </c>
      <c r="M10138" s="21" t="n">
        <v>0</v>
      </c>
      <c r="N10138" s="21" t="n">
        <v>0</v>
      </c>
      <c r="O10138" s="21" t="n">
        <v>0</v>
      </c>
      <c r="P10138" s="21" t="n">
        <v>0</v>
      </c>
      <c r="Q10138" s="21" t="n">
        <v>0</v>
      </c>
      <c r="R10138" s="21" t="n">
        <v>0</v>
      </c>
      <c r="S10138" s="21" t="n">
        <v>0</v>
      </c>
      <c r="T10138" s="21" t="n">
        <v>0</v>
      </c>
      <c r="U10138" s="21" t="n">
        <v>0</v>
      </c>
      <c r="V10138" s="21" t="n">
        <v>0</v>
      </c>
      <c r="W10138" s="21" t="n">
        <v>0</v>
      </c>
      <c r="X10138" s="21" t="n">
        <v>0</v>
      </c>
      <c r="Y10138" s="21" t="n">
        <v>0</v>
      </c>
      <c r="Z10138" s="19" t="n"/>
    </row>
    <row r="10139">
      <c r="D10139" s="21" t="n">
        <v>0</v>
      </c>
      <c r="E10139" s="21" t="n">
        <v>0</v>
      </c>
      <c r="F10139" s="21">
        <f>$B$8764</f>
        <v/>
      </c>
      <c r="G10139" s="21">
        <f>$B$8766</f>
        <v/>
      </c>
      <c r="H10139" s="21">
        <f>0</f>
        <v/>
      </c>
      <c r="I10139" s="21">
        <f>2*$B$8765</f>
        <v/>
      </c>
      <c r="J10139" s="21">
        <f>-$B$8764</f>
        <v/>
      </c>
      <c r="K10139" s="21">
        <f>$B$8766</f>
        <v/>
      </c>
      <c r="L10139" s="21" t="n">
        <v>0</v>
      </c>
      <c r="M10139" s="21" t="n">
        <v>0</v>
      </c>
      <c r="N10139" s="21" t="n">
        <v>0</v>
      </c>
      <c r="O10139" s="21" t="n">
        <v>0</v>
      </c>
      <c r="P10139" s="21" t="n">
        <v>0</v>
      </c>
      <c r="Q10139" s="21" t="n">
        <v>0</v>
      </c>
      <c r="R10139" s="21" t="n">
        <v>0</v>
      </c>
      <c r="S10139" s="21" t="n">
        <v>0</v>
      </c>
      <c r="T10139" s="21" t="n">
        <v>0</v>
      </c>
      <c r="U10139" s="21" t="n">
        <v>0</v>
      </c>
      <c r="V10139" s="21" t="n">
        <v>0</v>
      </c>
      <c r="W10139" s="21" t="n">
        <v>0</v>
      </c>
      <c r="X10139" s="21" t="n">
        <v>0</v>
      </c>
      <c r="Y10139" s="21" t="n">
        <v>0</v>
      </c>
      <c r="Z10139" s="19" t="n"/>
    </row>
    <row r="10140">
      <c r="D10140" s="21" t="n">
        <v>0</v>
      </c>
      <c r="E10140" s="21" t="n">
        <v>0</v>
      </c>
      <c r="F10140" s="21" t="n">
        <v>0</v>
      </c>
      <c r="G10140" s="21" t="n">
        <v>0</v>
      </c>
      <c r="H10140" s="21">
        <f>-$B$8763</f>
        <v/>
      </c>
      <c r="I10140" s="21">
        <f>-$B$8764</f>
        <v/>
      </c>
      <c r="J10140" s="21">
        <f>2*$B$8763+$D$10125</f>
        <v/>
      </c>
      <c r="K10140" s="21">
        <f>0</f>
        <v/>
      </c>
      <c r="L10140" s="21">
        <f>-$B$8763</f>
        <v/>
      </c>
      <c r="M10140" s="21">
        <f>$B$8764</f>
        <v/>
      </c>
      <c r="N10140" s="21" t="n">
        <v>0</v>
      </c>
      <c r="O10140" s="21" t="n">
        <v>0</v>
      </c>
      <c r="P10140" s="21" t="n">
        <v>0</v>
      </c>
      <c r="Q10140" s="21" t="n">
        <v>0</v>
      </c>
      <c r="R10140" s="21" t="n">
        <v>0</v>
      </c>
      <c r="S10140" s="21" t="n">
        <v>0</v>
      </c>
      <c r="T10140" s="21" t="n">
        <v>0</v>
      </c>
      <c r="U10140" s="21" t="n">
        <v>0</v>
      </c>
      <c r="V10140" s="21" t="n">
        <v>0</v>
      </c>
      <c r="W10140" s="21" t="n">
        <v>0</v>
      </c>
      <c r="X10140" s="21" t="n">
        <v>0</v>
      </c>
      <c r="Y10140" s="21" t="n">
        <v>0</v>
      </c>
      <c r="Z10140" s="19" t="n"/>
    </row>
    <row r="10141">
      <c r="D10141" s="21" t="n">
        <v>0</v>
      </c>
      <c r="E10141" s="21" t="n">
        <v>0</v>
      </c>
      <c r="F10141" s="21" t="n">
        <v>0</v>
      </c>
      <c r="G10141" s="21" t="n">
        <v>0</v>
      </c>
      <c r="H10141" s="21">
        <f>$B$8764</f>
        <v/>
      </c>
      <c r="I10141" s="21">
        <f>$B$8766</f>
        <v/>
      </c>
      <c r="J10141" s="21">
        <f>0</f>
        <v/>
      </c>
      <c r="K10141" s="21">
        <f>2*$B$8765</f>
        <v/>
      </c>
      <c r="L10141" s="21">
        <f>-$B$8764</f>
        <v/>
      </c>
      <c r="M10141" s="21">
        <f>$B$8766</f>
        <v/>
      </c>
      <c r="N10141" s="21" t="n">
        <v>0</v>
      </c>
      <c r="O10141" s="21" t="n">
        <v>0</v>
      </c>
      <c r="P10141" s="21" t="n">
        <v>0</v>
      </c>
      <c r="Q10141" s="21" t="n">
        <v>0</v>
      </c>
      <c r="R10141" s="21" t="n">
        <v>0</v>
      </c>
      <c r="S10141" s="21" t="n">
        <v>0</v>
      </c>
      <c r="T10141" s="21" t="n">
        <v>0</v>
      </c>
      <c r="U10141" s="21" t="n">
        <v>0</v>
      </c>
      <c r="V10141" s="21" t="n">
        <v>0</v>
      </c>
      <c r="W10141" s="21" t="n">
        <v>0</v>
      </c>
      <c r="X10141" s="21" t="n">
        <v>0</v>
      </c>
      <c r="Y10141" s="21" t="n">
        <v>0</v>
      </c>
      <c r="Z10141" s="19" t="n"/>
    </row>
    <row r="10142">
      <c r="D10142" s="21" t="n">
        <v>0</v>
      </c>
      <c r="E10142" s="21" t="n">
        <v>0</v>
      </c>
      <c r="F10142" s="21" t="n">
        <v>0</v>
      </c>
      <c r="G10142" s="21" t="n">
        <v>0</v>
      </c>
      <c r="H10142" s="21" t="n">
        <v>0</v>
      </c>
      <c r="I10142" s="21" t="n">
        <v>0</v>
      </c>
      <c r="J10142" s="21">
        <f>-$B$8763</f>
        <v/>
      </c>
      <c r="K10142" s="21">
        <f>-$B$8764</f>
        <v/>
      </c>
      <c r="L10142" s="21">
        <f>2*$B$8763+$D$10126</f>
        <v/>
      </c>
      <c r="M10142" s="21">
        <f>0</f>
        <v/>
      </c>
      <c r="N10142" s="21">
        <f>-$B$8763</f>
        <v/>
      </c>
      <c r="O10142" s="21">
        <f>$B$8764</f>
        <v/>
      </c>
      <c r="P10142" s="21" t="n">
        <v>0</v>
      </c>
      <c r="Q10142" s="21" t="n">
        <v>0</v>
      </c>
      <c r="R10142" s="21" t="n">
        <v>0</v>
      </c>
      <c r="S10142" s="21" t="n">
        <v>0</v>
      </c>
      <c r="T10142" s="21" t="n">
        <v>0</v>
      </c>
      <c r="U10142" s="21" t="n">
        <v>0</v>
      </c>
      <c r="V10142" s="21" t="n">
        <v>0</v>
      </c>
      <c r="W10142" s="21" t="n">
        <v>0</v>
      </c>
      <c r="X10142" s="21" t="n">
        <v>0</v>
      </c>
      <c r="Y10142" s="21" t="n">
        <v>0</v>
      </c>
      <c r="Z10142" s="19" t="n"/>
    </row>
    <row r="10143">
      <c r="D10143" s="21" t="n">
        <v>0</v>
      </c>
      <c r="E10143" s="21" t="n">
        <v>0</v>
      </c>
      <c r="F10143" s="21" t="n">
        <v>0</v>
      </c>
      <c r="G10143" s="21" t="n">
        <v>0</v>
      </c>
      <c r="H10143" s="21" t="n">
        <v>0</v>
      </c>
      <c r="I10143" s="21" t="n">
        <v>0</v>
      </c>
      <c r="J10143" s="21">
        <f>$B$8764</f>
        <v/>
      </c>
      <c r="K10143" s="21">
        <f>$B$8766</f>
        <v/>
      </c>
      <c r="L10143" s="21">
        <f>0</f>
        <v/>
      </c>
      <c r="M10143" s="21">
        <f>2*$B$8765</f>
        <v/>
      </c>
      <c r="N10143" s="21">
        <f>-$B$8764</f>
        <v/>
      </c>
      <c r="O10143" s="21">
        <f>$B$8766</f>
        <v/>
      </c>
      <c r="P10143" s="21" t="n">
        <v>0</v>
      </c>
      <c r="Q10143" s="21" t="n">
        <v>0</v>
      </c>
      <c r="R10143" s="21" t="n">
        <v>0</v>
      </c>
      <c r="S10143" s="21" t="n">
        <v>0</v>
      </c>
      <c r="T10143" s="21" t="n">
        <v>0</v>
      </c>
      <c r="U10143" s="21" t="n">
        <v>0</v>
      </c>
      <c r="V10143" s="21" t="n">
        <v>0</v>
      </c>
      <c r="W10143" s="21" t="n">
        <v>0</v>
      </c>
      <c r="X10143" s="21" t="n">
        <v>0</v>
      </c>
      <c r="Y10143" s="21" t="n">
        <v>0</v>
      </c>
      <c r="Z10143" s="19" t="n"/>
    </row>
    <row r="10144">
      <c r="D10144" s="21" t="n">
        <v>0</v>
      </c>
      <c r="E10144" s="21" t="n">
        <v>0</v>
      </c>
      <c r="F10144" s="21" t="n">
        <v>0</v>
      </c>
      <c r="G10144" s="21" t="n">
        <v>0</v>
      </c>
      <c r="H10144" s="21" t="n">
        <v>0</v>
      </c>
      <c r="I10144" s="21" t="n">
        <v>0</v>
      </c>
      <c r="J10144" s="21" t="n">
        <v>0</v>
      </c>
      <c r="K10144" s="21" t="n">
        <v>0</v>
      </c>
      <c r="L10144" s="21">
        <f>-$B$8763</f>
        <v/>
      </c>
      <c r="M10144" s="21">
        <f>-$B$8764</f>
        <v/>
      </c>
      <c r="N10144" s="21">
        <f>2*$B$8763+$D$10127</f>
        <v/>
      </c>
      <c r="O10144" s="21">
        <f>0</f>
        <v/>
      </c>
      <c r="P10144" s="21">
        <f>-$B$8763</f>
        <v/>
      </c>
      <c r="Q10144" s="21">
        <f>$B$8764</f>
        <v/>
      </c>
      <c r="R10144" s="21" t="n">
        <v>0</v>
      </c>
      <c r="S10144" s="21" t="n">
        <v>0</v>
      </c>
      <c r="T10144" s="21" t="n">
        <v>0</v>
      </c>
      <c r="U10144" s="21" t="n">
        <v>0</v>
      </c>
      <c r="V10144" s="21" t="n">
        <v>0</v>
      </c>
      <c r="W10144" s="21" t="n">
        <v>0</v>
      </c>
      <c r="X10144" s="21" t="n">
        <v>0</v>
      </c>
      <c r="Y10144" s="21" t="n">
        <v>0</v>
      </c>
      <c r="Z10144" s="19" t="n"/>
    </row>
    <row r="10145">
      <c r="D10145" s="21" t="n">
        <v>0</v>
      </c>
      <c r="E10145" s="21" t="n">
        <v>0</v>
      </c>
      <c r="F10145" s="21" t="n">
        <v>0</v>
      </c>
      <c r="G10145" s="21" t="n">
        <v>0</v>
      </c>
      <c r="H10145" s="21" t="n">
        <v>0</v>
      </c>
      <c r="I10145" s="21" t="n">
        <v>0</v>
      </c>
      <c r="J10145" s="21" t="n">
        <v>0</v>
      </c>
      <c r="K10145" s="21" t="n">
        <v>0</v>
      </c>
      <c r="L10145" s="21">
        <f>$B$8764</f>
        <v/>
      </c>
      <c r="M10145" s="21">
        <f>$B$8766</f>
        <v/>
      </c>
      <c r="N10145" s="21">
        <f>0</f>
        <v/>
      </c>
      <c r="O10145" s="21">
        <f>2*$B$8765</f>
        <v/>
      </c>
      <c r="P10145" s="21">
        <f>-$B$8764</f>
        <v/>
      </c>
      <c r="Q10145" s="21">
        <f>$B$8766</f>
        <v/>
      </c>
      <c r="R10145" s="21" t="n">
        <v>0</v>
      </c>
      <c r="S10145" s="21" t="n">
        <v>0</v>
      </c>
      <c r="T10145" s="21" t="n">
        <v>0</v>
      </c>
      <c r="U10145" s="21" t="n">
        <v>0</v>
      </c>
      <c r="V10145" s="21" t="n">
        <v>0</v>
      </c>
      <c r="W10145" s="21" t="n">
        <v>0</v>
      </c>
      <c r="X10145" s="21" t="n">
        <v>0</v>
      </c>
      <c r="Y10145" s="21" t="n">
        <v>0</v>
      </c>
      <c r="Z10145" s="19" t="n"/>
    </row>
    <row r="10146">
      <c r="D10146" s="21" t="n">
        <v>0</v>
      </c>
      <c r="E10146" s="21" t="n">
        <v>0</v>
      </c>
      <c r="F10146" s="21" t="n">
        <v>0</v>
      </c>
      <c r="G10146" s="21" t="n">
        <v>0</v>
      </c>
      <c r="H10146" s="21" t="n">
        <v>0</v>
      </c>
      <c r="I10146" s="21" t="n">
        <v>0</v>
      </c>
      <c r="J10146" s="21" t="n">
        <v>0</v>
      </c>
      <c r="K10146" s="21" t="n">
        <v>0</v>
      </c>
      <c r="L10146" s="21" t="n">
        <v>0</v>
      </c>
      <c r="M10146" s="21" t="n">
        <v>0</v>
      </c>
      <c r="N10146" s="21">
        <f>-$B$8763</f>
        <v/>
      </c>
      <c r="O10146" s="21">
        <f>-$B$8764</f>
        <v/>
      </c>
      <c r="P10146" s="21">
        <f>2*$B$8763+$D$10128</f>
        <v/>
      </c>
      <c r="Q10146" s="21">
        <f>0</f>
        <v/>
      </c>
      <c r="R10146" s="21">
        <f>-$B$8763</f>
        <v/>
      </c>
      <c r="S10146" s="21">
        <f>$B$8764</f>
        <v/>
      </c>
      <c r="T10146" s="21" t="n">
        <v>0</v>
      </c>
      <c r="U10146" s="21" t="n">
        <v>0</v>
      </c>
      <c r="V10146" s="21" t="n">
        <v>0</v>
      </c>
      <c r="W10146" s="21" t="n">
        <v>0</v>
      </c>
      <c r="X10146" s="21" t="n">
        <v>0</v>
      </c>
      <c r="Y10146" s="21" t="n">
        <v>0</v>
      </c>
      <c r="Z10146" s="19" t="n"/>
    </row>
    <row r="10147">
      <c r="D10147" s="21" t="n">
        <v>0</v>
      </c>
      <c r="E10147" s="21" t="n">
        <v>0</v>
      </c>
      <c r="F10147" s="21" t="n">
        <v>0</v>
      </c>
      <c r="G10147" s="21" t="n">
        <v>0</v>
      </c>
      <c r="H10147" s="21" t="n">
        <v>0</v>
      </c>
      <c r="I10147" s="21" t="n">
        <v>0</v>
      </c>
      <c r="J10147" s="21" t="n">
        <v>0</v>
      </c>
      <c r="K10147" s="21" t="n">
        <v>0</v>
      </c>
      <c r="L10147" s="21" t="n">
        <v>0</v>
      </c>
      <c r="M10147" s="21" t="n">
        <v>0</v>
      </c>
      <c r="N10147" s="21">
        <f>$B$8764</f>
        <v/>
      </c>
      <c r="O10147" s="21">
        <f>$B$8766</f>
        <v/>
      </c>
      <c r="P10147" s="21">
        <f>0</f>
        <v/>
      </c>
      <c r="Q10147" s="21">
        <f>2*$B$8765</f>
        <v/>
      </c>
      <c r="R10147" s="21">
        <f>-$B$8764</f>
        <v/>
      </c>
      <c r="S10147" s="21">
        <f>$B$8766</f>
        <v/>
      </c>
      <c r="T10147" s="21" t="n">
        <v>0</v>
      </c>
      <c r="U10147" s="21" t="n">
        <v>0</v>
      </c>
      <c r="V10147" s="21" t="n">
        <v>0</v>
      </c>
      <c r="W10147" s="21" t="n">
        <v>0</v>
      </c>
      <c r="X10147" s="21" t="n">
        <v>0</v>
      </c>
      <c r="Y10147" s="21" t="n">
        <v>0</v>
      </c>
      <c r="Z10147" s="19" t="n"/>
    </row>
    <row r="10148">
      <c r="D10148" s="21" t="n">
        <v>0</v>
      </c>
      <c r="E10148" s="21" t="n">
        <v>0</v>
      </c>
      <c r="F10148" s="21" t="n">
        <v>0</v>
      </c>
      <c r="G10148" s="21" t="n">
        <v>0</v>
      </c>
      <c r="H10148" s="21" t="n">
        <v>0</v>
      </c>
      <c r="I10148" s="21" t="n">
        <v>0</v>
      </c>
      <c r="J10148" s="21" t="n">
        <v>0</v>
      </c>
      <c r="K10148" s="21" t="n">
        <v>0</v>
      </c>
      <c r="L10148" s="21" t="n">
        <v>0</v>
      </c>
      <c r="M10148" s="21" t="n">
        <v>0</v>
      </c>
      <c r="N10148" s="21" t="n">
        <v>0</v>
      </c>
      <c r="O10148" s="21" t="n">
        <v>0</v>
      </c>
      <c r="P10148" s="21">
        <f>-$B$8763</f>
        <v/>
      </c>
      <c r="Q10148" s="21">
        <f>-$B$8764</f>
        <v/>
      </c>
      <c r="R10148" s="21">
        <f>2*$B$8763+$D$10129</f>
        <v/>
      </c>
      <c r="S10148" s="21">
        <f>0</f>
        <v/>
      </c>
      <c r="T10148" s="21">
        <f>-$B$8763</f>
        <v/>
      </c>
      <c r="U10148" s="21">
        <f>$B$8764</f>
        <v/>
      </c>
      <c r="V10148" s="21" t="n">
        <v>0</v>
      </c>
      <c r="W10148" s="21" t="n">
        <v>0</v>
      </c>
      <c r="X10148" s="21" t="n">
        <v>0</v>
      </c>
      <c r="Y10148" s="21" t="n">
        <v>0</v>
      </c>
      <c r="Z10148" s="19" t="n"/>
    </row>
    <row r="10149">
      <c r="D10149" s="21" t="n">
        <v>0</v>
      </c>
      <c r="E10149" s="21" t="n">
        <v>0</v>
      </c>
      <c r="F10149" s="21" t="n">
        <v>0</v>
      </c>
      <c r="G10149" s="21" t="n">
        <v>0</v>
      </c>
      <c r="H10149" s="21" t="n">
        <v>0</v>
      </c>
      <c r="I10149" s="21" t="n">
        <v>0</v>
      </c>
      <c r="J10149" s="21" t="n">
        <v>0</v>
      </c>
      <c r="K10149" s="21" t="n">
        <v>0</v>
      </c>
      <c r="L10149" s="21" t="n">
        <v>0</v>
      </c>
      <c r="M10149" s="21" t="n">
        <v>0</v>
      </c>
      <c r="N10149" s="21" t="n">
        <v>0</v>
      </c>
      <c r="O10149" s="21" t="n">
        <v>0</v>
      </c>
      <c r="P10149" s="21">
        <f>$B$8764</f>
        <v/>
      </c>
      <c r="Q10149" s="21">
        <f>$B$8766</f>
        <v/>
      </c>
      <c r="R10149" s="21">
        <f>0</f>
        <v/>
      </c>
      <c r="S10149" s="21">
        <f>2*$B$8765</f>
        <v/>
      </c>
      <c r="T10149" s="21">
        <f>-$B$8764</f>
        <v/>
      </c>
      <c r="U10149" s="21">
        <f>$B$8766</f>
        <v/>
      </c>
      <c r="V10149" s="21" t="n">
        <v>0</v>
      </c>
      <c r="W10149" s="21" t="n">
        <v>0</v>
      </c>
      <c r="X10149" s="21" t="n">
        <v>0</v>
      </c>
      <c r="Y10149" s="21" t="n">
        <v>0</v>
      </c>
      <c r="Z10149" s="19" t="n"/>
    </row>
    <row r="10150">
      <c r="D10150" s="21" t="n">
        <v>0</v>
      </c>
      <c r="E10150" s="21" t="n">
        <v>0</v>
      </c>
      <c r="F10150" s="21" t="n">
        <v>0</v>
      </c>
      <c r="G10150" s="21" t="n">
        <v>0</v>
      </c>
      <c r="H10150" s="21" t="n">
        <v>0</v>
      </c>
      <c r="I10150" s="21" t="n">
        <v>0</v>
      </c>
      <c r="J10150" s="21" t="n">
        <v>0</v>
      </c>
      <c r="K10150" s="21" t="n">
        <v>0</v>
      </c>
      <c r="L10150" s="21" t="n">
        <v>0</v>
      </c>
      <c r="M10150" s="21" t="n">
        <v>0</v>
      </c>
      <c r="N10150" s="21" t="n">
        <v>0</v>
      </c>
      <c r="O10150" s="21" t="n">
        <v>0</v>
      </c>
      <c r="P10150" s="21" t="n">
        <v>0</v>
      </c>
      <c r="Q10150" s="21" t="n">
        <v>0</v>
      </c>
      <c r="R10150" s="21">
        <f>-$B$8763</f>
        <v/>
      </c>
      <c r="S10150" s="21">
        <f>-$B$8764</f>
        <v/>
      </c>
      <c r="T10150" s="21">
        <f>2*$B$8763+$D$10130</f>
        <v/>
      </c>
      <c r="U10150" s="21">
        <f>0</f>
        <v/>
      </c>
      <c r="V10150" s="21">
        <f>-$B$8763</f>
        <v/>
      </c>
      <c r="W10150" s="21">
        <f>$B$8764</f>
        <v/>
      </c>
      <c r="X10150" s="21" t="n">
        <v>0</v>
      </c>
      <c r="Y10150" s="21" t="n">
        <v>0</v>
      </c>
      <c r="Z10150" s="19" t="n"/>
    </row>
    <row r="10151">
      <c r="D10151" s="21" t="n">
        <v>0</v>
      </c>
      <c r="E10151" s="21" t="n">
        <v>0</v>
      </c>
      <c r="F10151" s="21" t="n">
        <v>0</v>
      </c>
      <c r="G10151" s="21" t="n">
        <v>0</v>
      </c>
      <c r="H10151" s="21" t="n">
        <v>0</v>
      </c>
      <c r="I10151" s="21" t="n">
        <v>0</v>
      </c>
      <c r="J10151" s="21" t="n">
        <v>0</v>
      </c>
      <c r="K10151" s="21" t="n">
        <v>0</v>
      </c>
      <c r="L10151" s="21" t="n">
        <v>0</v>
      </c>
      <c r="M10151" s="21" t="n">
        <v>0</v>
      </c>
      <c r="N10151" s="21" t="n">
        <v>0</v>
      </c>
      <c r="O10151" s="21" t="n">
        <v>0</v>
      </c>
      <c r="P10151" s="21" t="n">
        <v>0</v>
      </c>
      <c r="Q10151" s="21" t="n">
        <v>0</v>
      </c>
      <c r="R10151" s="21">
        <f>$B$8764</f>
        <v/>
      </c>
      <c r="S10151" s="21">
        <f>$B$8766</f>
        <v/>
      </c>
      <c r="T10151" s="21">
        <f>0</f>
        <v/>
      </c>
      <c r="U10151" s="21">
        <f>2*$B$8765</f>
        <v/>
      </c>
      <c r="V10151" s="21">
        <f>-$B$8764</f>
        <v/>
      </c>
      <c r="W10151" s="21">
        <f>$B$8766</f>
        <v/>
      </c>
      <c r="X10151" s="21" t="n">
        <v>0</v>
      </c>
      <c r="Y10151" s="21" t="n">
        <v>0</v>
      </c>
      <c r="Z10151" s="19" t="n"/>
    </row>
    <row r="10152">
      <c r="D10152" s="21" t="n">
        <v>0</v>
      </c>
      <c r="E10152" s="21" t="n">
        <v>0</v>
      </c>
      <c r="F10152" s="21" t="n">
        <v>0</v>
      </c>
      <c r="G10152" s="21" t="n">
        <v>0</v>
      </c>
      <c r="H10152" s="21" t="n">
        <v>0</v>
      </c>
      <c r="I10152" s="21" t="n">
        <v>0</v>
      </c>
      <c r="J10152" s="21" t="n">
        <v>0</v>
      </c>
      <c r="K10152" s="21" t="n">
        <v>0</v>
      </c>
      <c r="L10152" s="21" t="n">
        <v>0</v>
      </c>
      <c r="M10152" s="21" t="n">
        <v>0</v>
      </c>
      <c r="N10152" s="21" t="n">
        <v>0</v>
      </c>
      <c r="O10152" s="21" t="n">
        <v>0</v>
      </c>
      <c r="P10152" s="21" t="n">
        <v>0</v>
      </c>
      <c r="Q10152" s="21" t="n">
        <v>0</v>
      </c>
      <c r="R10152" s="21" t="n">
        <v>0</v>
      </c>
      <c r="S10152" s="21" t="n">
        <v>0</v>
      </c>
      <c r="T10152" s="21">
        <f>-$B$8763</f>
        <v/>
      </c>
      <c r="U10152" s="21">
        <f>-$B$8764</f>
        <v/>
      </c>
      <c r="V10152" s="21">
        <f>2*$B$8763+$D$10131</f>
        <v/>
      </c>
      <c r="W10152" s="21">
        <f>0</f>
        <v/>
      </c>
      <c r="X10152" s="21">
        <f>-$B$8763</f>
        <v/>
      </c>
      <c r="Y10152" s="21">
        <f>$B$8764</f>
        <v/>
      </c>
      <c r="Z10152" s="19" t="n"/>
    </row>
    <row r="10153">
      <c r="D10153" s="21" t="n">
        <v>0</v>
      </c>
      <c r="E10153" s="21" t="n">
        <v>0</v>
      </c>
      <c r="F10153" s="21" t="n">
        <v>0</v>
      </c>
      <c r="G10153" s="21" t="n">
        <v>0</v>
      </c>
      <c r="H10153" s="21" t="n">
        <v>0</v>
      </c>
      <c r="I10153" s="21" t="n">
        <v>0</v>
      </c>
      <c r="J10153" s="21" t="n">
        <v>0</v>
      </c>
      <c r="K10153" s="21" t="n">
        <v>0</v>
      </c>
      <c r="L10153" s="21" t="n">
        <v>0</v>
      </c>
      <c r="M10153" s="21" t="n">
        <v>0</v>
      </c>
      <c r="N10153" s="21" t="n">
        <v>0</v>
      </c>
      <c r="O10153" s="21" t="n">
        <v>0</v>
      </c>
      <c r="P10153" s="21" t="n">
        <v>0</v>
      </c>
      <c r="Q10153" s="21" t="n">
        <v>0</v>
      </c>
      <c r="R10153" s="21" t="n">
        <v>0</v>
      </c>
      <c r="S10153" s="21" t="n">
        <v>0</v>
      </c>
      <c r="T10153" s="21">
        <f>$B$8764</f>
        <v/>
      </c>
      <c r="U10153" s="21">
        <f>$B$8766</f>
        <v/>
      </c>
      <c r="V10153" s="21">
        <f>0</f>
        <v/>
      </c>
      <c r="W10153" s="21">
        <f>2*$B$8765</f>
        <v/>
      </c>
      <c r="X10153" s="21">
        <f>-$B$8764</f>
        <v/>
      </c>
      <c r="Y10153" s="21">
        <f>$B$8766</f>
        <v/>
      </c>
      <c r="Z10153" s="19" t="n"/>
    </row>
    <row r="10154">
      <c r="D10154" s="21" t="n">
        <v>0</v>
      </c>
      <c r="E10154" s="21" t="n">
        <v>0</v>
      </c>
      <c r="F10154" s="21" t="n">
        <v>0</v>
      </c>
      <c r="G10154" s="21" t="n">
        <v>0</v>
      </c>
      <c r="H10154" s="21" t="n">
        <v>0</v>
      </c>
      <c r="I10154" s="21" t="n">
        <v>0</v>
      </c>
      <c r="J10154" s="21" t="n">
        <v>0</v>
      </c>
      <c r="K10154" s="21" t="n">
        <v>0</v>
      </c>
      <c r="L10154" s="21" t="n">
        <v>0</v>
      </c>
      <c r="M10154" s="21" t="n">
        <v>0</v>
      </c>
      <c r="N10154" s="21" t="n">
        <v>0</v>
      </c>
      <c r="O10154" s="21" t="n">
        <v>0</v>
      </c>
      <c r="P10154" s="21" t="n">
        <v>0</v>
      </c>
      <c r="Q10154" s="21" t="n">
        <v>0</v>
      </c>
      <c r="R10154" s="21" t="n">
        <v>0</v>
      </c>
      <c r="S10154" s="21" t="n">
        <v>0</v>
      </c>
      <c r="T10154" s="21" t="n">
        <v>0</v>
      </c>
      <c r="U10154" s="21" t="n">
        <v>0</v>
      </c>
      <c r="V10154" s="21">
        <f>-$B$8763</f>
        <v/>
      </c>
      <c r="W10154" s="21">
        <f>-$B$8764</f>
        <v/>
      </c>
      <c r="X10154" s="21">
        <f>$B$8763+$D$10132</f>
        <v/>
      </c>
      <c r="Y10154" s="21">
        <f>-$B$8764</f>
        <v/>
      </c>
      <c r="Z10154" s="19" t="n"/>
    </row>
    <row r="10155">
      <c r="D10155" s="21" t="n">
        <v>0</v>
      </c>
      <c r="E10155" s="21" t="n">
        <v>0</v>
      </c>
      <c r="F10155" s="21" t="n">
        <v>0</v>
      </c>
      <c r="G10155" s="21" t="n">
        <v>0</v>
      </c>
      <c r="H10155" s="21" t="n">
        <v>0</v>
      </c>
      <c r="I10155" s="21" t="n">
        <v>0</v>
      </c>
      <c r="J10155" s="21" t="n">
        <v>0</v>
      </c>
      <c r="K10155" s="21" t="n">
        <v>0</v>
      </c>
      <c r="L10155" s="21" t="n">
        <v>0</v>
      </c>
      <c r="M10155" s="21" t="n">
        <v>0</v>
      </c>
      <c r="N10155" s="21" t="n">
        <v>0</v>
      </c>
      <c r="O10155" s="21" t="n">
        <v>0</v>
      </c>
      <c r="P10155" s="21" t="n">
        <v>0</v>
      </c>
      <c r="Q10155" s="21" t="n">
        <v>0</v>
      </c>
      <c r="R10155" s="21" t="n">
        <v>0</v>
      </c>
      <c r="S10155" s="21" t="n">
        <v>0</v>
      </c>
      <c r="T10155" s="21" t="n">
        <v>0</v>
      </c>
      <c r="U10155" s="21" t="n">
        <v>0</v>
      </c>
      <c r="V10155" s="21">
        <f>$B$8764</f>
        <v/>
      </c>
      <c r="W10155" s="21">
        <f>$B$8766</f>
        <v/>
      </c>
      <c r="X10155" s="21">
        <f>-$B$8764</f>
        <v/>
      </c>
      <c r="Y10155" s="21">
        <f>$B$8765</f>
        <v/>
      </c>
      <c r="Z10155" s="19" t="n"/>
    </row>
    <row r="10157">
      <c r="A10157" s="8" t="inlineStr">
        <is>
          <t>gen 38</t>
        </is>
      </c>
    </row>
    <row r="10158">
      <c r="D10158" s="19">
        <f>IF(ABS(IF(ABS($E$10122)&gt;0.000000001,$E$10122,0.000000001))=0,0,IF($E$8778&lt;=$B$8772,0,IF(ABS(IF(ABS($E$10122)&gt;0.000000001,$E$10122,0.000000001))&gt;=8*$B$8774,$H$8778,0.5*$H$8778*(ABS(IF(ABS($E$10122)&gt;0.000000001,$E$10122,0.000000001))/$B$8774)^(1/3)))/ABS(IF(ABS($E$10122)&gt;0.000000001,$E$10122,0.000000001))*$I$8778)</f>
        <v/>
      </c>
      <c r="E10158" s="19">
        <f>0.5*$E$10122+0.5*$Z$10170</f>
        <v/>
      </c>
      <c r="F10158" s="19">
        <f>$Z$10171</f>
        <v/>
      </c>
    </row>
    <row r="10159">
      <c r="D10159" s="19">
        <f>IF(ABS(IF(ABS($E$10123)&gt;0.000000001,$E$10123,0.000000001))=0,0,IF($E$8779&lt;=$B$8772,0,IF(ABS(IF(ABS($E$10123)&gt;0.000000001,$E$10123,0.000000001))&gt;=8*$B$8774,$H$8779,0.5*$H$8779*(ABS(IF(ABS($E$10123)&gt;0.000000001,$E$10123,0.000000001))/$B$8774)^(1/3)))/ABS(IF(ABS($E$10123)&gt;0.000000001,$E$10123,0.000000001))*$I$8779)</f>
        <v/>
      </c>
      <c r="E10159" s="19">
        <f>0.5*$E$10123+0.5*$Z$10172</f>
        <v/>
      </c>
      <c r="F10159" s="19">
        <f>$Z$10173</f>
        <v/>
      </c>
    </row>
    <row r="10160">
      <c r="D10160" s="19">
        <f>IF(ABS(IF(ABS($E$10124)&gt;0.000000001,$E$10124,0.000000001))=0,0,IF($E$8780&lt;=$B$8772,0,IF(ABS(IF(ABS($E$10124)&gt;0.000000001,$E$10124,0.000000001))&gt;=8*$B$8774,$H$8780,0.5*$H$8780*(ABS(IF(ABS($E$10124)&gt;0.000000001,$E$10124,0.000000001))/$B$8774)^(1/3)))/ABS(IF(ABS($E$10124)&gt;0.000000001,$E$10124,0.000000001))*$I$8780)</f>
        <v/>
      </c>
      <c r="E10160" s="19">
        <f>0.5*$E$10124+0.5*$Z$10174</f>
        <v/>
      </c>
      <c r="F10160" s="19">
        <f>$Z$10175</f>
        <v/>
      </c>
    </row>
    <row r="10161">
      <c r="D10161" s="19">
        <f>IF(ABS(IF(ABS($E$10125)&gt;0.000000001,$E$10125,0.000000001))=0,0,IF($E$8781&lt;=$B$8772,0,IF(ABS(IF(ABS($E$10125)&gt;0.000000001,$E$10125,0.000000001))&gt;=8*$B$8774,$H$8781,0.5*$H$8781*(ABS(IF(ABS($E$10125)&gt;0.000000001,$E$10125,0.000000001))/$B$8774)^(1/3)))/ABS(IF(ABS($E$10125)&gt;0.000000001,$E$10125,0.000000001))*$I$8781)</f>
        <v/>
      </c>
      <c r="E10161" s="19">
        <f>0.5*$E$10125+0.5*$Z$10176</f>
        <v/>
      </c>
      <c r="F10161" s="19">
        <f>$Z$10177</f>
        <v/>
      </c>
    </row>
    <row r="10162">
      <c r="D10162" s="19">
        <f>IF(ABS(IF(ABS($E$10126)&gt;0.000000001,$E$10126,0.000000001))=0,0,IF($E$8782&lt;=$B$8772,0,IF(ABS(IF(ABS($E$10126)&gt;0.000000001,$E$10126,0.000000001))&gt;=8*$B$8774,$H$8782,0.5*$H$8782*(ABS(IF(ABS($E$10126)&gt;0.000000001,$E$10126,0.000000001))/$B$8774)^(1/3)))/ABS(IF(ABS($E$10126)&gt;0.000000001,$E$10126,0.000000001))*$I$8782)</f>
        <v/>
      </c>
      <c r="E10162" s="19">
        <f>0.5*$E$10126+0.5*$Z$10178</f>
        <v/>
      </c>
      <c r="F10162" s="19">
        <f>$Z$10179</f>
        <v/>
      </c>
    </row>
    <row r="10163">
      <c r="D10163" s="19">
        <f>IF(ABS(IF(ABS($E$10127)&gt;0.000000001,$E$10127,0.000000001))=0,0,IF($E$8783&lt;=$B$8772,0,IF(ABS(IF(ABS($E$10127)&gt;0.000000001,$E$10127,0.000000001))&gt;=8*$B$8774,$H$8783,0.5*$H$8783*(ABS(IF(ABS($E$10127)&gt;0.000000001,$E$10127,0.000000001))/$B$8774)^(1/3)))/ABS(IF(ABS($E$10127)&gt;0.000000001,$E$10127,0.000000001))*$I$8783)</f>
        <v/>
      </c>
      <c r="E10163" s="19">
        <f>0.5*$E$10127+0.5*$Z$10180</f>
        <v/>
      </c>
      <c r="F10163" s="19">
        <f>$Z$10181</f>
        <v/>
      </c>
    </row>
    <row r="10164">
      <c r="D10164" s="19">
        <f>IF(ABS(IF(ABS($E$10128)&gt;0.000000001,$E$10128,0.000000001))=0,0,IF($E$8784&lt;=$B$8772,0,IF(ABS(IF(ABS($E$10128)&gt;0.000000001,$E$10128,0.000000001))&gt;=8*$B$8774,$H$8784,0.5*$H$8784*(ABS(IF(ABS($E$10128)&gt;0.000000001,$E$10128,0.000000001))/$B$8774)^(1/3)))/ABS(IF(ABS($E$10128)&gt;0.000000001,$E$10128,0.000000001))*$I$8784)</f>
        <v/>
      </c>
      <c r="E10164" s="19">
        <f>0.5*$E$10128+0.5*$Z$10182</f>
        <v/>
      </c>
      <c r="F10164" s="19">
        <f>$Z$10183</f>
        <v/>
      </c>
    </row>
    <row r="10165">
      <c r="D10165" s="19">
        <f>IF(ABS(IF(ABS($E$10129)&gt;0.000000001,$E$10129,0.000000001))=0,0,IF($E$8785&lt;=$B$8772,0,IF(ABS(IF(ABS($E$10129)&gt;0.000000001,$E$10129,0.000000001))&gt;=8*$B$8774,$H$8785,0.5*$H$8785*(ABS(IF(ABS($E$10129)&gt;0.000000001,$E$10129,0.000000001))/$B$8774)^(1/3)))/ABS(IF(ABS($E$10129)&gt;0.000000001,$E$10129,0.000000001))*$I$8785)</f>
        <v/>
      </c>
      <c r="E10165" s="19">
        <f>0.5*$E$10129+0.5*$Z$10184</f>
        <v/>
      </c>
      <c r="F10165" s="19">
        <f>$Z$10185</f>
        <v/>
      </c>
    </row>
    <row r="10166">
      <c r="D10166" s="19">
        <f>IF(ABS(IF(ABS($E$10130)&gt;0.000000001,$E$10130,0.000000001))=0,0,IF($E$8786&lt;=$B$8772,0,IF(ABS(IF(ABS($E$10130)&gt;0.000000001,$E$10130,0.000000001))&gt;=8*$B$8774,$H$8786,0.5*$H$8786*(ABS(IF(ABS($E$10130)&gt;0.000000001,$E$10130,0.000000001))/$B$8774)^(1/3)))/ABS(IF(ABS($E$10130)&gt;0.000000001,$E$10130,0.000000001))*$I$8786)</f>
        <v/>
      </c>
      <c r="E10166" s="19">
        <f>0.5*$E$10130+0.5*$Z$10186</f>
        <v/>
      </c>
      <c r="F10166" s="19">
        <f>$Z$10187</f>
        <v/>
      </c>
    </row>
    <row r="10167">
      <c r="D10167" s="19">
        <f>IF(ABS(IF(ABS($E$10131)&gt;0.000000001,$E$10131,0.000000001))=0,0,IF($E$8787&lt;=$B$8772,0,IF(ABS(IF(ABS($E$10131)&gt;0.000000001,$E$10131,0.000000001))&gt;=8*$B$8774,$H$8787,0.5*$H$8787*(ABS(IF(ABS($E$10131)&gt;0.000000001,$E$10131,0.000000001))/$B$8774)^(1/3)))/ABS(IF(ABS($E$10131)&gt;0.000000001,$E$10131,0.000000001))*$I$8787)</f>
        <v/>
      </c>
      <c r="E10167" s="19">
        <f>0.5*$E$10131+0.5*$Z$10188</f>
        <v/>
      </c>
      <c r="F10167" s="19">
        <f>$Z$10189</f>
        <v/>
      </c>
    </row>
    <row r="10168">
      <c r="D10168" s="19">
        <f>IF(ABS(IF(ABS($E$10132)&gt;0.000000001,$E$10132,0.000000001))=0,0,IF($E$8788&lt;=$B$8772,0,IF(ABS(IF(ABS($E$10132)&gt;0.000000001,$E$10132,0.000000001))&gt;=8*$B$8774,$H$8788,0.5*$H$8788*(ABS(IF(ABS($E$10132)&gt;0.000000001,$E$10132,0.000000001))/$B$8774)^(1/3)))/ABS(IF(ABS($E$10132)&gt;0.000000001,$E$10132,0.000000001))*$I$8788)</f>
        <v/>
      </c>
      <c r="E10168" s="19">
        <f>0.5*$E$10132+0.5*$Z$10190</f>
        <v/>
      </c>
      <c r="F10168" s="19">
        <f>$Z$10191</f>
        <v/>
      </c>
    </row>
    <row r="10170">
      <c r="D10170" s="21">
        <f>$B$8763+$D$10158</f>
        <v/>
      </c>
      <c r="E10170" s="21">
        <f>$B$8764</f>
        <v/>
      </c>
      <c r="F10170" s="21">
        <f>-$B$8763</f>
        <v/>
      </c>
      <c r="G10170" s="21">
        <f>$B$8764</f>
        <v/>
      </c>
      <c r="H10170" s="21" t="n">
        <v>0</v>
      </c>
      <c r="I10170" s="21" t="n">
        <v>0</v>
      </c>
      <c r="J10170" s="21" t="n">
        <v>0</v>
      </c>
      <c r="K10170" s="21" t="n">
        <v>0</v>
      </c>
      <c r="L10170" s="21" t="n">
        <v>0</v>
      </c>
      <c r="M10170" s="21" t="n">
        <v>0</v>
      </c>
      <c r="N10170" s="21" t="n">
        <v>0</v>
      </c>
      <c r="O10170" s="21" t="n">
        <v>0</v>
      </c>
      <c r="P10170" s="21" t="n">
        <v>0</v>
      </c>
      <c r="Q10170" s="21" t="n">
        <v>0</v>
      </c>
      <c r="R10170" s="21" t="n">
        <v>0</v>
      </c>
      <c r="S10170" s="21" t="n">
        <v>0</v>
      </c>
      <c r="T10170" s="21" t="n">
        <v>0</v>
      </c>
      <c r="U10170" s="21" t="n">
        <v>0</v>
      </c>
      <c r="V10170" s="21" t="n">
        <v>0</v>
      </c>
      <c r="W10170" s="21" t="n">
        <v>0</v>
      </c>
      <c r="X10170" s="21" t="n">
        <v>0</v>
      </c>
      <c r="Y10170" s="21" t="n">
        <v>0</v>
      </c>
      <c r="Z10170" s="19">
        <f t="array" ref="Z10170:Z10191">MMULT(MINVERSE($D$10170:$Y$10191),$D$8790:$D$8811)</f>
        <v/>
      </c>
    </row>
    <row r="10171">
      <c r="D10171" s="21">
        <f>$B$8764</f>
        <v/>
      </c>
      <c r="E10171" s="21">
        <f>$B$8765</f>
        <v/>
      </c>
      <c r="F10171" s="21">
        <f>-$B$8764</f>
        <v/>
      </c>
      <c r="G10171" s="21">
        <f>$B$8766</f>
        <v/>
      </c>
      <c r="H10171" s="21" t="n">
        <v>0</v>
      </c>
      <c r="I10171" s="21" t="n">
        <v>0</v>
      </c>
      <c r="J10171" s="21" t="n">
        <v>0</v>
      </c>
      <c r="K10171" s="21" t="n">
        <v>0</v>
      </c>
      <c r="L10171" s="21" t="n">
        <v>0</v>
      </c>
      <c r="M10171" s="21" t="n">
        <v>0</v>
      </c>
      <c r="N10171" s="21" t="n">
        <v>0</v>
      </c>
      <c r="O10171" s="21" t="n">
        <v>0</v>
      </c>
      <c r="P10171" s="21" t="n">
        <v>0</v>
      </c>
      <c r="Q10171" s="21" t="n">
        <v>0</v>
      </c>
      <c r="R10171" s="21" t="n">
        <v>0</v>
      </c>
      <c r="S10171" s="21" t="n">
        <v>0</v>
      </c>
      <c r="T10171" s="21" t="n">
        <v>0</v>
      </c>
      <c r="U10171" s="21" t="n">
        <v>0</v>
      </c>
      <c r="V10171" s="21" t="n">
        <v>0</v>
      </c>
      <c r="W10171" s="21" t="n">
        <v>0</v>
      </c>
      <c r="X10171" s="21" t="n">
        <v>0</v>
      </c>
      <c r="Y10171" s="21" t="n">
        <v>0</v>
      </c>
      <c r="Z10171" s="19" t="n"/>
    </row>
    <row r="10172">
      <c r="D10172" s="21">
        <f>-$B$8763</f>
        <v/>
      </c>
      <c r="E10172" s="21">
        <f>-$B$8764</f>
        <v/>
      </c>
      <c r="F10172" s="21">
        <f>2*$B$8763+$D$10159</f>
        <v/>
      </c>
      <c r="G10172" s="21">
        <f>0</f>
        <v/>
      </c>
      <c r="H10172" s="21">
        <f>-$B$8763</f>
        <v/>
      </c>
      <c r="I10172" s="21">
        <f>$B$8764</f>
        <v/>
      </c>
      <c r="J10172" s="21" t="n">
        <v>0</v>
      </c>
      <c r="K10172" s="21" t="n">
        <v>0</v>
      </c>
      <c r="L10172" s="21" t="n">
        <v>0</v>
      </c>
      <c r="M10172" s="21" t="n">
        <v>0</v>
      </c>
      <c r="N10172" s="21" t="n">
        <v>0</v>
      </c>
      <c r="O10172" s="21" t="n">
        <v>0</v>
      </c>
      <c r="P10172" s="21" t="n">
        <v>0</v>
      </c>
      <c r="Q10172" s="21" t="n">
        <v>0</v>
      </c>
      <c r="R10172" s="21" t="n">
        <v>0</v>
      </c>
      <c r="S10172" s="21" t="n">
        <v>0</v>
      </c>
      <c r="T10172" s="21" t="n">
        <v>0</v>
      </c>
      <c r="U10172" s="21" t="n">
        <v>0</v>
      </c>
      <c r="V10172" s="21" t="n">
        <v>0</v>
      </c>
      <c r="W10172" s="21" t="n">
        <v>0</v>
      </c>
      <c r="X10172" s="21" t="n">
        <v>0</v>
      </c>
      <c r="Y10172" s="21" t="n">
        <v>0</v>
      </c>
      <c r="Z10172" s="19" t="n"/>
    </row>
    <row r="10173">
      <c r="D10173" s="21">
        <f>$B$8764</f>
        <v/>
      </c>
      <c r="E10173" s="21">
        <f>$B$8766</f>
        <v/>
      </c>
      <c r="F10173" s="21">
        <f>0</f>
        <v/>
      </c>
      <c r="G10173" s="21">
        <f>2*$B$8765</f>
        <v/>
      </c>
      <c r="H10173" s="21">
        <f>-$B$8764</f>
        <v/>
      </c>
      <c r="I10173" s="21">
        <f>$B$8766</f>
        <v/>
      </c>
      <c r="J10173" s="21" t="n">
        <v>0</v>
      </c>
      <c r="K10173" s="21" t="n">
        <v>0</v>
      </c>
      <c r="L10173" s="21" t="n">
        <v>0</v>
      </c>
      <c r="M10173" s="21" t="n">
        <v>0</v>
      </c>
      <c r="N10173" s="21" t="n">
        <v>0</v>
      </c>
      <c r="O10173" s="21" t="n">
        <v>0</v>
      </c>
      <c r="P10173" s="21" t="n">
        <v>0</v>
      </c>
      <c r="Q10173" s="21" t="n">
        <v>0</v>
      </c>
      <c r="R10173" s="21" t="n">
        <v>0</v>
      </c>
      <c r="S10173" s="21" t="n">
        <v>0</v>
      </c>
      <c r="T10173" s="21" t="n">
        <v>0</v>
      </c>
      <c r="U10173" s="21" t="n">
        <v>0</v>
      </c>
      <c r="V10173" s="21" t="n">
        <v>0</v>
      </c>
      <c r="W10173" s="21" t="n">
        <v>0</v>
      </c>
      <c r="X10173" s="21" t="n">
        <v>0</v>
      </c>
      <c r="Y10173" s="21" t="n">
        <v>0</v>
      </c>
      <c r="Z10173" s="19" t="n"/>
    </row>
    <row r="10174">
      <c r="D10174" s="21" t="n">
        <v>0</v>
      </c>
      <c r="E10174" s="21" t="n">
        <v>0</v>
      </c>
      <c r="F10174" s="21">
        <f>-$B$8763</f>
        <v/>
      </c>
      <c r="G10174" s="21">
        <f>-$B$8764</f>
        <v/>
      </c>
      <c r="H10174" s="21">
        <f>2*$B$8763+$D$10160</f>
        <v/>
      </c>
      <c r="I10174" s="21">
        <f>0</f>
        <v/>
      </c>
      <c r="J10174" s="21">
        <f>-$B$8763</f>
        <v/>
      </c>
      <c r="K10174" s="21">
        <f>$B$8764</f>
        <v/>
      </c>
      <c r="L10174" s="21" t="n">
        <v>0</v>
      </c>
      <c r="M10174" s="21" t="n">
        <v>0</v>
      </c>
      <c r="N10174" s="21" t="n">
        <v>0</v>
      </c>
      <c r="O10174" s="21" t="n">
        <v>0</v>
      </c>
      <c r="P10174" s="21" t="n">
        <v>0</v>
      </c>
      <c r="Q10174" s="21" t="n">
        <v>0</v>
      </c>
      <c r="R10174" s="21" t="n">
        <v>0</v>
      </c>
      <c r="S10174" s="21" t="n">
        <v>0</v>
      </c>
      <c r="T10174" s="21" t="n">
        <v>0</v>
      </c>
      <c r="U10174" s="21" t="n">
        <v>0</v>
      </c>
      <c r="V10174" s="21" t="n">
        <v>0</v>
      </c>
      <c r="W10174" s="21" t="n">
        <v>0</v>
      </c>
      <c r="X10174" s="21" t="n">
        <v>0</v>
      </c>
      <c r="Y10174" s="21" t="n">
        <v>0</v>
      </c>
      <c r="Z10174" s="19" t="n"/>
    </row>
    <row r="10175">
      <c r="D10175" s="21" t="n">
        <v>0</v>
      </c>
      <c r="E10175" s="21" t="n">
        <v>0</v>
      </c>
      <c r="F10175" s="21">
        <f>$B$8764</f>
        <v/>
      </c>
      <c r="G10175" s="21">
        <f>$B$8766</f>
        <v/>
      </c>
      <c r="H10175" s="21">
        <f>0</f>
        <v/>
      </c>
      <c r="I10175" s="21">
        <f>2*$B$8765</f>
        <v/>
      </c>
      <c r="J10175" s="21">
        <f>-$B$8764</f>
        <v/>
      </c>
      <c r="K10175" s="21">
        <f>$B$8766</f>
        <v/>
      </c>
      <c r="L10175" s="21" t="n">
        <v>0</v>
      </c>
      <c r="M10175" s="21" t="n">
        <v>0</v>
      </c>
      <c r="N10175" s="21" t="n">
        <v>0</v>
      </c>
      <c r="O10175" s="21" t="n">
        <v>0</v>
      </c>
      <c r="P10175" s="21" t="n">
        <v>0</v>
      </c>
      <c r="Q10175" s="21" t="n">
        <v>0</v>
      </c>
      <c r="R10175" s="21" t="n">
        <v>0</v>
      </c>
      <c r="S10175" s="21" t="n">
        <v>0</v>
      </c>
      <c r="T10175" s="21" t="n">
        <v>0</v>
      </c>
      <c r="U10175" s="21" t="n">
        <v>0</v>
      </c>
      <c r="V10175" s="21" t="n">
        <v>0</v>
      </c>
      <c r="W10175" s="21" t="n">
        <v>0</v>
      </c>
      <c r="X10175" s="21" t="n">
        <v>0</v>
      </c>
      <c r="Y10175" s="21" t="n">
        <v>0</v>
      </c>
      <c r="Z10175" s="19" t="n"/>
    </row>
    <row r="10176">
      <c r="D10176" s="21" t="n">
        <v>0</v>
      </c>
      <c r="E10176" s="21" t="n">
        <v>0</v>
      </c>
      <c r="F10176" s="21" t="n">
        <v>0</v>
      </c>
      <c r="G10176" s="21" t="n">
        <v>0</v>
      </c>
      <c r="H10176" s="21">
        <f>-$B$8763</f>
        <v/>
      </c>
      <c r="I10176" s="21">
        <f>-$B$8764</f>
        <v/>
      </c>
      <c r="J10176" s="21">
        <f>2*$B$8763+$D$10161</f>
        <v/>
      </c>
      <c r="K10176" s="21">
        <f>0</f>
        <v/>
      </c>
      <c r="L10176" s="21">
        <f>-$B$8763</f>
        <v/>
      </c>
      <c r="M10176" s="21">
        <f>$B$8764</f>
        <v/>
      </c>
      <c r="N10176" s="21" t="n">
        <v>0</v>
      </c>
      <c r="O10176" s="21" t="n">
        <v>0</v>
      </c>
      <c r="P10176" s="21" t="n">
        <v>0</v>
      </c>
      <c r="Q10176" s="21" t="n">
        <v>0</v>
      </c>
      <c r="R10176" s="21" t="n">
        <v>0</v>
      </c>
      <c r="S10176" s="21" t="n">
        <v>0</v>
      </c>
      <c r="T10176" s="21" t="n">
        <v>0</v>
      </c>
      <c r="U10176" s="21" t="n">
        <v>0</v>
      </c>
      <c r="V10176" s="21" t="n">
        <v>0</v>
      </c>
      <c r="W10176" s="21" t="n">
        <v>0</v>
      </c>
      <c r="X10176" s="21" t="n">
        <v>0</v>
      </c>
      <c r="Y10176" s="21" t="n">
        <v>0</v>
      </c>
      <c r="Z10176" s="19" t="n"/>
    </row>
    <row r="10177">
      <c r="D10177" s="21" t="n">
        <v>0</v>
      </c>
      <c r="E10177" s="21" t="n">
        <v>0</v>
      </c>
      <c r="F10177" s="21" t="n">
        <v>0</v>
      </c>
      <c r="G10177" s="21" t="n">
        <v>0</v>
      </c>
      <c r="H10177" s="21">
        <f>$B$8764</f>
        <v/>
      </c>
      <c r="I10177" s="21">
        <f>$B$8766</f>
        <v/>
      </c>
      <c r="J10177" s="21">
        <f>0</f>
        <v/>
      </c>
      <c r="K10177" s="21">
        <f>2*$B$8765</f>
        <v/>
      </c>
      <c r="L10177" s="21">
        <f>-$B$8764</f>
        <v/>
      </c>
      <c r="M10177" s="21">
        <f>$B$8766</f>
        <v/>
      </c>
      <c r="N10177" s="21" t="n">
        <v>0</v>
      </c>
      <c r="O10177" s="21" t="n">
        <v>0</v>
      </c>
      <c r="P10177" s="21" t="n">
        <v>0</v>
      </c>
      <c r="Q10177" s="21" t="n">
        <v>0</v>
      </c>
      <c r="R10177" s="21" t="n">
        <v>0</v>
      </c>
      <c r="S10177" s="21" t="n">
        <v>0</v>
      </c>
      <c r="T10177" s="21" t="n">
        <v>0</v>
      </c>
      <c r="U10177" s="21" t="n">
        <v>0</v>
      </c>
      <c r="V10177" s="21" t="n">
        <v>0</v>
      </c>
      <c r="W10177" s="21" t="n">
        <v>0</v>
      </c>
      <c r="X10177" s="21" t="n">
        <v>0</v>
      </c>
      <c r="Y10177" s="21" t="n">
        <v>0</v>
      </c>
      <c r="Z10177" s="19" t="n"/>
    </row>
    <row r="10178">
      <c r="D10178" s="21" t="n">
        <v>0</v>
      </c>
      <c r="E10178" s="21" t="n">
        <v>0</v>
      </c>
      <c r="F10178" s="21" t="n">
        <v>0</v>
      </c>
      <c r="G10178" s="21" t="n">
        <v>0</v>
      </c>
      <c r="H10178" s="21" t="n">
        <v>0</v>
      </c>
      <c r="I10178" s="21" t="n">
        <v>0</v>
      </c>
      <c r="J10178" s="21">
        <f>-$B$8763</f>
        <v/>
      </c>
      <c r="K10178" s="21">
        <f>-$B$8764</f>
        <v/>
      </c>
      <c r="L10178" s="21">
        <f>2*$B$8763+$D$10162</f>
        <v/>
      </c>
      <c r="M10178" s="21">
        <f>0</f>
        <v/>
      </c>
      <c r="N10178" s="21">
        <f>-$B$8763</f>
        <v/>
      </c>
      <c r="O10178" s="21">
        <f>$B$8764</f>
        <v/>
      </c>
      <c r="P10178" s="21" t="n">
        <v>0</v>
      </c>
      <c r="Q10178" s="21" t="n">
        <v>0</v>
      </c>
      <c r="R10178" s="21" t="n">
        <v>0</v>
      </c>
      <c r="S10178" s="21" t="n">
        <v>0</v>
      </c>
      <c r="T10178" s="21" t="n">
        <v>0</v>
      </c>
      <c r="U10178" s="21" t="n">
        <v>0</v>
      </c>
      <c r="V10178" s="21" t="n">
        <v>0</v>
      </c>
      <c r="W10178" s="21" t="n">
        <v>0</v>
      </c>
      <c r="X10178" s="21" t="n">
        <v>0</v>
      </c>
      <c r="Y10178" s="21" t="n">
        <v>0</v>
      </c>
      <c r="Z10178" s="19" t="n"/>
    </row>
    <row r="10179">
      <c r="D10179" s="21" t="n">
        <v>0</v>
      </c>
      <c r="E10179" s="21" t="n">
        <v>0</v>
      </c>
      <c r="F10179" s="21" t="n">
        <v>0</v>
      </c>
      <c r="G10179" s="21" t="n">
        <v>0</v>
      </c>
      <c r="H10179" s="21" t="n">
        <v>0</v>
      </c>
      <c r="I10179" s="21" t="n">
        <v>0</v>
      </c>
      <c r="J10179" s="21">
        <f>$B$8764</f>
        <v/>
      </c>
      <c r="K10179" s="21">
        <f>$B$8766</f>
        <v/>
      </c>
      <c r="L10179" s="21">
        <f>0</f>
        <v/>
      </c>
      <c r="M10179" s="21">
        <f>2*$B$8765</f>
        <v/>
      </c>
      <c r="N10179" s="21">
        <f>-$B$8764</f>
        <v/>
      </c>
      <c r="O10179" s="21">
        <f>$B$8766</f>
        <v/>
      </c>
      <c r="P10179" s="21" t="n">
        <v>0</v>
      </c>
      <c r="Q10179" s="21" t="n">
        <v>0</v>
      </c>
      <c r="R10179" s="21" t="n">
        <v>0</v>
      </c>
      <c r="S10179" s="21" t="n">
        <v>0</v>
      </c>
      <c r="T10179" s="21" t="n">
        <v>0</v>
      </c>
      <c r="U10179" s="21" t="n">
        <v>0</v>
      </c>
      <c r="V10179" s="21" t="n">
        <v>0</v>
      </c>
      <c r="W10179" s="21" t="n">
        <v>0</v>
      </c>
      <c r="X10179" s="21" t="n">
        <v>0</v>
      </c>
      <c r="Y10179" s="21" t="n">
        <v>0</v>
      </c>
      <c r="Z10179" s="19" t="n"/>
    </row>
    <row r="10180">
      <c r="D10180" s="21" t="n">
        <v>0</v>
      </c>
      <c r="E10180" s="21" t="n">
        <v>0</v>
      </c>
      <c r="F10180" s="21" t="n">
        <v>0</v>
      </c>
      <c r="G10180" s="21" t="n">
        <v>0</v>
      </c>
      <c r="H10180" s="21" t="n">
        <v>0</v>
      </c>
      <c r="I10180" s="21" t="n">
        <v>0</v>
      </c>
      <c r="J10180" s="21" t="n">
        <v>0</v>
      </c>
      <c r="K10180" s="21" t="n">
        <v>0</v>
      </c>
      <c r="L10180" s="21">
        <f>-$B$8763</f>
        <v/>
      </c>
      <c r="M10180" s="21">
        <f>-$B$8764</f>
        <v/>
      </c>
      <c r="N10180" s="21">
        <f>2*$B$8763+$D$10163</f>
        <v/>
      </c>
      <c r="O10180" s="21">
        <f>0</f>
        <v/>
      </c>
      <c r="P10180" s="21">
        <f>-$B$8763</f>
        <v/>
      </c>
      <c r="Q10180" s="21">
        <f>$B$8764</f>
        <v/>
      </c>
      <c r="R10180" s="21" t="n">
        <v>0</v>
      </c>
      <c r="S10180" s="21" t="n">
        <v>0</v>
      </c>
      <c r="T10180" s="21" t="n">
        <v>0</v>
      </c>
      <c r="U10180" s="21" t="n">
        <v>0</v>
      </c>
      <c r="V10180" s="21" t="n">
        <v>0</v>
      </c>
      <c r="W10180" s="21" t="n">
        <v>0</v>
      </c>
      <c r="X10180" s="21" t="n">
        <v>0</v>
      </c>
      <c r="Y10180" s="21" t="n">
        <v>0</v>
      </c>
      <c r="Z10180" s="19" t="n"/>
    </row>
    <row r="10181">
      <c r="D10181" s="21" t="n">
        <v>0</v>
      </c>
      <c r="E10181" s="21" t="n">
        <v>0</v>
      </c>
      <c r="F10181" s="21" t="n">
        <v>0</v>
      </c>
      <c r="G10181" s="21" t="n">
        <v>0</v>
      </c>
      <c r="H10181" s="21" t="n">
        <v>0</v>
      </c>
      <c r="I10181" s="21" t="n">
        <v>0</v>
      </c>
      <c r="J10181" s="21" t="n">
        <v>0</v>
      </c>
      <c r="K10181" s="21" t="n">
        <v>0</v>
      </c>
      <c r="L10181" s="21">
        <f>$B$8764</f>
        <v/>
      </c>
      <c r="M10181" s="21">
        <f>$B$8766</f>
        <v/>
      </c>
      <c r="N10181" s="21">
        <f>0</f>
        <v/>
      </c>
      <c r="O10181" s="21">
        <f>2*$B$8765</f>
        <v/>
      </c>
      <c r="P10181" s="21">
        <f>-$B$8764</f>
        <v/>
      </c>
      <c r="Q10181" s="21">
        <f>$B$8766</f>
        <v/>
      </c>
      <c r="R10181" s="21" t="n">
        <v>0</v>
      </c>
      <c r="S10181" s="21" t="n">
        <v>0</v>
      </c>
      <c r="T10181" s="21" t="n">
        <v>0</v>
      </c>
      <c r="U10181" s="21" t="n">
        <v>0</v>
      </c>
      <c r="V10181" s="21" t="n">
        <v>0</v>
      </c>
      <c r="W10181" s="21" t="n">
        <v>0</v>
      </c>
      <c r="X10181" s="21" t="n">
        <v>0</v>
      </c>
      <c r="Y10181" s="21" t="n">
        <v>0</v>
      </c>
      <c r="Z10181" s="19" t="n"/>
    </row>
    <row r="10182">
      <c r="D10182" s="21" t="n">
        <v>0</v>
      </c>
      <c r="E10182" s="21" t="n">
        <v>0</v>
      </c>
      <c r="F10182" s="21" t="n">
        <v>0</v>
      </c>
      <c r="G10182" s="21" t="n">
        <v>0</v>
      </c>
      <c r="H10182" s="21" t="n">
        <v>0</v>
      </c>
      <c r="I10182" s="21" t="n">
        <v>0</v>
      </c>
      <c r="J10182" s="21" t="n">
        <v>0</v>
      </c>
      <c r="K10182" s="21" t="n">
        <v>0</v>
      </c>
      <c r="L10182" s="21" t="n">
        <v>0</v>
      </c>
      <c r="M10182" s="21" t="n">
        <v>0</v>
      </c>
      <c r="N10182" s="21">
        <f>-$B$8763</f>
        <v/>
      </c>
      <c r="O10182" s="21">
        <f>-$B$8764</f>
        <v/>
      </c>
      <c r="P10182" s="21">
        <f>2*$B$8763+$D$10164</f>
        <v/>
      </c>
      <c r="Q10182" s="21">
        <f>0</f>
        <v/>
      </c>
      <c r="R10182" s="21">
        <f>-$B$8763</f>
        <v/>
      </c>
      <c r="S10182" s="21">
        <f>$B$8764</f>
        <v/>
      </c>
      <c r="T10182" s="21" t="n">
        <v>0</v>
      </c>
      <c r="U10182" s="21" t="n">
        <v>0</v>
      </c>
      <c r="V10182" s="21" t="n">
        <v>0</v>
      </c>
      <c r="W10182" s="21" t="n">
        <v>0</v>
      </c>
      <c r="X10182" s="21" t="n">
        <v>0</v>
      </c>
      <c r="Y10182" s="21" t="n">
        <v>0</v>
      </c>
      <c r="Z10182" s="19" t="n"/>
    </row>
    <row r="10183">
      <c r="D10183" s="21" t="n">
        <v>0</v>
      </c>
      <c r="E10183" s="21" t="n">
        <v>0</v>
      </c>
      <c r="F10183" s="21" t="n">
        <v>0</v>
      </c>
      <c r="G10183" s="21" t="n">
        <v>0</v>
      </c>
      <c r="H10183" s="21" t="n">
        <v>0</v>
      </c>
      <c r="I10183" s="21" t="n">
        <v>0</v>
      </c>
      <c r="J10183" s="21" t="n">
        <v>0</v>
      </c>
      <c r="K10183" s="21" t="n">
        <v>0</v>
      </c>
      <c r="L10183" s="21" t="n">
        <v>0</v>
      </c>
      <c r="M10183" s="21" t="n">
        <v>0</v>
      </c>
      <c r="N10183" s="21">
        <f>$B$8764</f>
        <v/>
      </c>
      <c r="O10183" s="21">
        <f>$B$8766</f>
        <v/>
      </c>
      <c r="P10183" s="21">
        <f>0</f>
        <v/>
      </c>
      <c r="Q10183" s="21">
        <f>2*$B$8765</f>
        <v/>
      </c>
      <c r="R10183" s="21">
        <f>-$B$8764</f>
        <v/>
      </c>
      <c r="S10183" s="21">
        <f>$B$8766</f>
        <v/>
      </c>
      <c r="T10183" s="21" t="n">
        <v>0</v>
      </c>
      <c r="U10183" s="21" t="n">
        <v>0</v>
      </c>
      <c r="V10183" s="21" t="n">
        <v>0</v>
      </c>
      <c r="W10183" s="21" t="n">
        <v>0</v>
      </c>
      <c r="X10183" s="21" t="n">
        <v>0</v>
      </c>
      <c r="Y10183" s="21" t="n">
        <v>0</v>
      </c>
      <c r="Z10183" s="19" t="n"/>
    </row>
    <row r="10184">
      <c r="D10184" s="21" t="n">
        <v>0</v>
      </c>
      <c r="E10184" s="21" t="n">
        <v>0</v>
      </c>
      <c r="F10184" s="21" t="n">
        <v>0</v>
      </c>
      <c r="G10184" s="21" t="n">
        <v>0</v>
      </c>
      <c r="H10184" s="21" t="n">
        <v>0</v>
      </c>
      <c r="I10184" s="21" t="n">
        <v>0</v>
      </c>
      <c r="J10184" s="21" t="n">
        <v>0</v>
      </c>
      <c r="K10184" s="21" t="n">
        <v>0</v>
      </c>
      <c r="L10184" s="21" t="n">
        <v>0</v>
      </c>
      <c r="M10184" s="21" t="n">
        <v>0</v>
      </c>
      <c r="N10184" s="21" t="n">
        <v>0</v>
      </c>
      <c r="O10184" s="21" t="n">
        <v>0</v>
      </c>
      <c r="P10184" s="21">
        <f>-$B$8763</f>
        <v/>
      </c>
      <c r="Q10184" s="21">
        <f>-$B$8764</f>
        <v/>
      </c>
      <c r="R10184" s="21">
        <f>2*$B$8763+$D$10165</f>
        <v/>
      </c>
      <c r="S10184" s="21">
        <f>0</f>
        <v/>
      </c>
      <c r="T10184" s="21">
        <f>-$B$8763</f>
        <v/>
      </c>
      <c r="U10184" s="21">
        <f>$B$8764</f>
        <v/>
      </c>
      <c r="V10184" s="21" t="n">
        <v>0</v>
      </c>
      <c r="W10184" s="21" t="n">
        <v>0</v>
      </c>
      <c r="X10184" s="21" t="n">
        <v>0</v>
      </c>
      <c r="Y10184" s="21" t="n">
        <v>0</v>
      </c>
      <c r="Z10184" s="19" t="n"/>
    </row>
    <row r="10185">
      <c r="D10185" s="21" t="n">
        <v>0</v>
      </c>
      <c r="E10185" s="21" t="n">
        <v>0</v>
      </c>
      <c r="F10185" s="21" t="n">
        <v>0</v>
      </c>
      <c r="G10185" s="21" t="n">
        <v>0</v>
      </c>
      <c r="H10185" s="21" t="n">
        <v>0</v>
      </c>
      <c r="I10185" s="21" t="n">
        <v>0</v>
      </c>
      <c r="J10185" s="21" t="n">
        <v>0</v>
      </c>
      <c r="K10185" s="21" t="n">
        <v>0</v>
      </c>
      <c r="L10185" s="21" t="n">
        <v>0</v>
      </c>
      <c r="M10185" s="21" t="n">
        <v>0</v>
      </c>
      <c r="N10185" s="21" t="n">
        <v>0</v>
      </c>
      <c r="O10185" s="21" t="n">
        <v>0</v>
      </c>
      <c r="P10185" s="21">
        <f>$B$8764</f>
        <v/>
      </c>
      <c r="Q10185" s="21">
        <f>$B$8766</f>
        <v/>
      </c>
      <c r="R10185" s="21">
        <f>0</f>
        <v/>
      </c>
      <c r="S10185" s="21">
        <f>2*$B$8765</f>
        <v/>
      </c>
      <c r="T10185" s="21">
        <f>-$B$8764</f>
        <v/>
      </c>
      <c r="U10185" s="21">
        <f>$B$8766</f>
        <v/>
      </c>
      <c r="V10185" s="21" t="n">
        <v>0</v>
      </c>
      <c r="W10185" s="21" t="n">
        <v>0</v>
      </c>
      <c r="X10185" s="21" t="n">
        <v>0</v>
      </c>
      <c r="Y10185" s="21" t="n">
        <v>0</v>
      </c>
      <c r="Z10185" s="19" t="n"/>
    </row>
    <row r="10186">
      <c r="D10186" s="21" t="n">
        <v>0</v>
      </c>
      <c r="E10186" s="21" t="n">
        <v>0</v>
      </c>
      <c r="F10186" s="21" t="n">
        <v>0</v>
      </c>
      <c r="G10186" s="21" t="n">
        <v>0</v>
      </c>
      <c r="H10186" s="21" t="n">
        <v>0</v>
      </c>
      <c r="I10186" s="21" t="n">
        <v>0</v>
      </c>
      <c r="J10186" s="21" t="n">
        <v>0</v>
      </c>
      <c r="K10186" s="21" t="n">
        <v>0</v>
      </c>
      <c r="L10186" s="21" t="n">
        <v>0</v>
      </c>
      <c r="M10186" s="21" t="n">
        <v>0</v>
      </c>
      <c r="N10186" s="21" t="n">
        <v>0</v>
      </c>
      <c r="O10186" s="21" t="n">
        <v>0</v>
      </c>
      <c r="P10186" s="21" t="n">
        <v>0</v>
      </c>
      <c r="Q10186" s="21" t="n">
        <v>0</v>
      </c>
      <c r="R10186" s="21">
        <f>-$B$8763</f>
        <v/>
      </c>
      <c r="S10186" s="21">
        <f>-$B$8764</f>
        <v/>
      </c>
      <c r="T10186" s="21">
        <f>2*$B$8763+$D$10166</f>
        <v/>
      </c>
      <c r="U10186" s="21">
        <f>0</f>
        <v/>
      </c>
      <c r="V10186" s="21">
        <f>-$B$8763</f>
        <v/>
      </c>
      <c r="W10186" s="21">
        <f>$B$8764</f>
        <v/>
      </c>
      <c r="X10186" s="21" t="n">
        <v>0</v>
      </c>
      <c r="Y10186" s="21" t="n">
        <v>0</v>
      </c>
      <c r="Z10186" s="19" t="n"/>
    </row>
    <row r="10187">
      <c r="D10187" s="21" t="n">
        <v>0</v>
      </c>
      <c r="E10187" s="21" t="n">
        <v>0</v>
      </c>
      <c r="F10187" s="21" t="n">
        <v>0</v>
      </c>
      <c r="G10187" s="21" t="n">
        <v>0</v>
      </c>
      <c r="H10187" s="21" t="n">
        <v>0</v>
      </c>
      <c r="I10187" s="21" t="n">
        <v>0</v>
      </c>
      <c r="J10187" s="21" t="n">
        <v>0</v>
      </c>
      <c r="K10187" s="21" t="n">
        <v>0</v>
      </c>
      <c r="L10187" s="21" t="n">
        <v>0</v>
      </c>
      <c r="M10187" s="21" t="n">
        <v>0</v>
      </c>
      <c r="N10187" s="21" t="n">
        <v>0</v>
      </c>
      <c r="O10187" s="21" t="n">
        <v>0</v>
      </c>
      <c r="P10187" s="21" t="n">
        <v>0</v>
      </c>
      <c r="Q10187" s="21" t="n">
        <v>0</v>
      </c>
      <c r="R10187" s="21">
        <f>$B$8764</f>
        <v/>
      </c>
      <c r="S10187" s="21">
        <f>$B$8766</f>
        <v/>
      </c>
      <c r="T10187" s="21">
        <f>0</f>
        <v/>
      </c>
      <c r="U10187" s="21">
        <f>2*$B$8765</f>
        <v/>
      </c>
      <c r="V10187" s="21">
        <f>-$B$8764</f>
        <v/>
      </c>
      <c r="W10187" s="21">
        <f>$B$8766</f>
        <v/>
      </c>
      <c r="X10187" s="21" t="n">
        <v>0</v>
      </c>
      <c r="Y10187" s="21" t="n">
        <v>0</v>
      </c>
      <c r="Z10187" s="19" t="n"/>
    </row>
    <row r="10188">
      <c r="D10188" s="21" t="n">
        <v>0</v>
      </c>
      <c r="E10188" s="21" t="n">
        <v>0</v>
      </c>
      <c r="F10188" s="21" t="n">
        <v>0</v>
      </c>
      <c r="G10188" s="21" t="n">
        <v>0</v>
      </c>
      <c r="H10188" s="21" t="n">
        <v>0</v>
      </c>
      <c r="I10188" s="21" t="n">
        <v>0</v>
      </c>
      <c r="J10188" s="21" t="n">
        <v>0</v>
      </c>
      <c r="K10188" s="21" t="n">
        <v>0</v>
      </c>
      <c r="L10188" s="21" t="n">
        <v>0</v>
      </c>
      <c r="M10188" s="21" t="n">
        <v>0</v>
      </c>
      <c r="N10188" s="21" t="n">
        <v>0</v>
      </c>
      <c r="O10188" s="21" t="n">
        <v>0</v>
      </c>
      <c r="P10188" s="21" t="n">
        <v>0</v>
      </c>
      <c r="Q10188" s="21" t="n">
        <v>0</v>
      </c>
      <c r="R10188" s="21" t="n">
        <v>0</v>
      </c>
      <c r="S10188" s="21" t="n">
        <v>0</v>
      </c>
      <c r="T10188" s="21">
        <f>-$B$8763</f>
        <v/>
      </c>
      <c r="U10188" s="21">
        <f>-$B$8764</f>
        <v/>
      </c>
      <c r="V10188" s="21">
        <f>2*$B$8763+$D$10167</f>
        <v/>
      </c>
      <c r="W10188" s="21">
        <f>0</f>
        <v/>
      </c>
      <c r="X10188" s="21">
        <f>-$B$8763</f>
        <v/>
      </c>
      <c r="Y10188" s="21">
        <f>$B$8764</f>
        <v/>
      </c>
      <c r="Z10188" s="19" t="n"/>
    </row>
    <row r="10189">
      <c r="D10189" s="21" t="n">
        <v>0</v>
      </c>
      <c r="E10189" s="21" t="n">
        <v>0</v>
      </c>
      <c r="F10189" s="21" t="n">
        <v>0</v>
      </c>
      <c r="G10189" s="21" t="n">
        <v>0</v>
      </c>
      <c r="H10189" s="21" t="n">
        <v>0</v>
      </c>
      <c r="I10189" s="21" t="n">
        <v>0</v>
      </c>
      <c r="J10189" s="21" t="n">
        <v>0</v>
      </c>
      <c r="K10189" s="21" t="n">
        <v>0</v>
      </c>
      <c r="L10189" s="21" t="n">
        <v>0</v>
      </c>
      <c r="M10189" s="21" t="n">
        <v>0</v>
      </c>
      <c r="N10189" s="21" t="n">
        <v>0</v>
      </c>
      <c r="O10189" s="21" t="n">
        <v>0</v>
      </c>
      <c r="P10189" s="21" t="n">
        <v>0</v>
      </c>
      <c r="Q10189" s="21" t="n">
        <v>0</v>
      </c>
      <c r="R10189" s="21" t="n">
        <v>0</v>
      </c>
      <c r="S10189" s="21" t="n">
        <v>0</v>
      </c>
      <c r="T10189" s="21">
        <f>$B$8764</f>
        <v/>
      </c>
      <c r="U10189" s="21">
        <f>$B$8766</f>
        <v/>
      </c>
      <c r="V10189" s="21">
        <f>0</f>
        <v/>
      </c>
      <c r="W10189" s="21">
        <f>2*$B$8765</f>
        <v/>
      </c>
      <c r="X10189" s="21">
        <f>-$B$8764</f>
        <v/>
      </c>
      <c r="Y10189" s="21">
        <f>$B$8766</f>
        <v/>
      </c>
      <c r="Z10189" s="19" t="n"/>
    </row>
    <row r="10190">
      <c r="D10190" s="21" t="n">
        <v>0</v>
      </c>
      <c r="E10190" s="21" t="n">
        <v>0</v>
      </c>
      <c r="F10190" s="21" t="n">
        <v>0</v>
      </c>
      <c r="G10190" s="21" t="n">
        <v>0</v>
      </c>
      <c r="H10190" s="21" t="n">
        <v>0</v>
      </c>
      <c r="I10190" s="21" t="n">
        <v>0</v>
      </c>
      <c r="J10190" s="21" t="n">
        <v>0</v>
      </c>
      <c r="K10190" s="21" t="n">
        <v>0</v>
      </c>
      <c r="L10190" s="21" t="n">
        <v>0</v>
      </c>
      <c r="M10190" s="21" t="n">
        <v>0</v>
      </c>
      <c r="N10190" s="21" t="n">
        <v>0</v>
      </c>
      <c r="O10190" s="21" t="n">
        <v>0</v>
      </c>
      <c r="P10190" s="21" t="n">
        <v>0</v>
      </c>
      <c r="Q10190" s="21" t="n">
        <v>0</v>
      </c>
      <c r="R10190" s="21" t="n">
        <v>0</v>
      </c>
      <c r="S10190" s="21" t="n">
        <v>0</v>
      </c>
      <c r="T10190" s="21" t="n">
        <v>0</v>
      </c>
      <c r="U10190" s="21" t="n">
        <v>0</v>
      </c>
      <c r="V10190" s="21">
        <f>-$B$8763</f>
        <v/>
      </c>
      <c r="W10190" s="21">
        <f>-$B$8764</f>
        <v/>
      </c>
      <c r="X10190" s="21">
        <f>$B$8763+$D$10168</f>
        <v/>
      </c>
      <c r="Y10190" s="21">
        <f>-$B$8764</f>
        <v/>
      </c>
      <c r="Z10190" s="19" t="n"/>
    </row>
    <row r="10191">
      <c r="D10191" s="21" t="n">
        <v>0</v>
      </c>
      <c r="E10191" s="21" t="n">
        <v>0</v>
      </c>
      <c r="F10191" s="21" t="n">
        <v>0</v>
      </c>
      <c r="G10191" s="21" t="n">
        <v>0</v>
      </c>
      <c r="H10191" s="21" t="n">
        <v>0</v>
      </c>
      <c r="I10191" s="21" t="n">
        <v>0</v>
      </c>
      <c r="J10191" s="21" t="n">
        <v>0</v>
      </c>
      <c r="K10191" s="21" t="n">
        <v>0</v>
      </c>
      <c r="L10191" s="21" t="n">
        <v>0</v>
      </c>
      <c r="M10191" s="21" t="n">
        <v>0</v>
      </c>
      <c r="N10191" s="21" t="n">
        <v>0</v>
      </c>
      <c r="O10191" s="21" t="n">
        <v>0</v>
      </c>
      <c r="P10191" s="21" t="n">
        <v>0</v>
      </c>
      <c r="Q10191" s="21" t="n">
        <v>0</v>
      </c>
      <c r="R10191" s="21" t="n">
        <v>0</v>
      </c>
      <c r="S10191" s="21" t="n">
        <v>0</v>
      </c>
      <c r="T10191" s="21" t="n">
        <v>0</v>
      </c>
      <c r="U10191" s="21" t="n">
        <v>0</v>
      </c>
      <c r="V10191" s="21">
        <f>$B$8764</f>
        <v/>
      </c>
      <c r="W10191" s="21">
        <f>$B$8766</f>
        <v/>
      </c>
      <c r="X10191" s="21">
        <f>-$B$8764</f>
        <v/>
      </c>
      <c r="Y10191" s="21">
        <f>$B$8765</f>
        <v/>
      </c>
      <c r="Z10191" s="19" t="n"/>
    </row>
    <row r="10193">
      <c r="A10193" s="8" t="inlineStr">
        <is>
          <t>gen 39</t>
        </is>
      </c>
    </row>
    <row r="10194">
      <c r="D10194" s="19">
        <f>IF(ABS(IF(ABS($E$10158)&gt;0.000000001,$E$10158,0.000000001))=0,0,IF($E$8778&lt;=$B$8772,0,IF(ABS(IF(ABS($E$10158)&gt;0.000000001,$E$10158,0.000000001))&gt;=8*$B$8774,$H$8778,0.5*$H$8778*(ABS(IF(ABS($E$10158)&gt;0.000000001,$E$10158,0.000000001))/$B$8774)^(1/3)))/ABS(IF(ABS($E$10158)&gt;0.000000001,$E$10158,0.000000001))*$I$8778)</f>
        <v/>
      </c>
      <c r="E10194" s="19">
        <f>0.5*$E$10158+0.5*$Z$10206</f>
        <v/>
      </c>
      <c r="F10194" s="19">
        <f>$Z$10207</f>
        <v/>
      </c>
    </row>
    <row r="10195">
      <c r="D10195" s="19">
        <f>IF(ABS(IF(ABS($E$10159)&gt;0.000000001,$E$10159,0.000000001))=0,0,IF($E$8779&lt;=$B$8772,0,IF(ABS(IF(ABS($E$10159)&gt;0.000000001,$E$10159,0.000000001))&gt;=8*$B$8774,$H$8779,0.5*$H$8779*(ABS(IF(ABS($E$10159)&gt;0.000000001,$E$10159,0.000000001))/$B$8774)^(1/3)))/ABS(IF(ABS($E$10159)&gt;0.000000001,$E$10159,0.000000001))*$I$8779)</f>
        <v/>
      </c>
      <c r="E10195" s="19">
        <f>0.5*$E$10159+0.5*$Z$10208</f>
        <v/>
      </c>
      <c r="F10195" s="19">
        <f>$Z$10209</f>
        <v/>
      </c>
    </row>
    <row r="10196">
      <c r="D10196" s="19">
        <f>IF(ABS(IF(ABS($E$10160)&gt;0.000000001,$E$10160,0.000000001))=0,0,IF($E$8780&lt;=$B$8772,0,IF(ABS(IF(ABS($E$10160)&gt;0.000000001,$E$10160,0.000000001))&gt;=8*$B$8774,$H$8780,0.5*$H$8780*(ABS(IF(ABS($E$10160)&gt;0.000000001,$E$10160,0.000000001))/$B$8774)^(1/3)))/ABS(IF(ABS($E$10160)&gt;0.000000001,$E$10160,0.000000001))*$I$8780)</f>
        <v/>
      </c>
      <c r="E10196" s="19">
        <f>0.5*$E$10160+0.5*$Z$10210</f>
        <v/>
      </c>
      <c r="F10196" s="19">
        <f>$Z$10211</f>
        <v/>
      </c>
    </row>
    <row r="10197">
      <c r="D10197" s="19">
        <f>IF(ABS(IF(ABS($E$10161)&gt;0.000000001,$E$10161,0.000000001))=0,0,IF($E$8781&lt;=$B$8772,0,IF(ABS(IF(ABS($E$10161)&gt;0.000000001,$E$10161,0.000000001))&gt;=8*$B$8774,$H$8781,0.5*$H$8781*(ABS(IF(ABS($E$10161)&gt;0.000000001,$E$10161,0.000000001))/$B$8774)^(1/3)))/ABS(IF(ABS($E$10161)&gt;0.000000001,$E$10161,0.000000001))*$I$8781)</f>
        <v/>
      </c>
      <c r="E10197" s="19">
        <f>0.5*$E$10161+0.5*$Z$10212</f>
        <v/>
      </c>
      <c r="F10197" s="19">
        <f>$Z$10213</f>
        <v/>
      </c>
    </row>
    <row r="10198">
      <c r="D10198" s="19">
        <f>IF(ABS(IF(ABS($E$10162)&gt;0.000000001,$E$10162,0.000000001))=0,0,IF($E$8782&lt;=$B$8772,0,IF(ABS(IF(ABS($E$10162)&gt;0.000000001,$E$10162,0.000000001))&gt;=8*$B$8774,$H$8782,0.5*$H$8782*(ABS(IF(ABS($E$10162)&gt;0.000000001,$E$10162,0.000000001))/$B$8774)^(1/3)))/ABS(IF(ABS($E$10162)&gt;0.000000001,$E$10162,0.000000001))*$I$8782)</f>
        <v/>
      </c>
      <c r="E10198" s="19">
        <f>0.5*$E$10162+0.5*$Z$10214</f>
        <v/>
      </c>
      <c r="F10198" s="19">
        <f>$Z$10215</f>
        <v/>
      </c>
    </row>
    <row r="10199">
      <c r="D10199" s="19">
        <f>IF(ABS(IF(ABS($E$10163)&gt;0.000000001,$E$10163,0.000000001))=0,0,IF($E$8783&lt;=$B$8772,0,IF(ABS(IF(ABS($E$10163)&gt;0.000000001,$E$10163,0.000000001))&gt;=8*$B$8774,$H$8783,0.5*$H$8783*(ABS(IF(ABS($E$10163)&gt;0.000000001,$E$10163,0.000000001))/$B$8774)^(1/3)))/ABS(IF(ABS($E$10163)&gt;0.000000001,$E$10163,0.000000001))*$I$8783)</f>
        <v/>
      </c>
      <c r="E10199" s="19">
        <f>0.5*$E$10163+0.5*$Z$10216</f>
        <v/>
      </c>
      <c r="F10199" s="19">
        <f>$Z$10217</f>
        <v/>
      </c>
    </row>
    <row r="10200">
      <c r="D10200" s="19">
        <f>IF(ABS(IF(ABS($E$10164)&gt;0.000000001,$E$10164,0.000000001))=0,0,IF($E$8784&lt;=$B$8772,0,IF(ABS(IF(ABS($E$10164)&gt;0.000000001,$E$10164,0.000000001))&gt;=8*$B$8774,$H$8784,0.5*$H$8784*(ABS(IF(ABS($E$10164)&gt;0.000000001,$E$10164,0.000000001))/$B$8774)^(1/3)))/ABS(IF(ABS($E$10164)&gt;0.000000001,$E$10164,0.000000001))*$I$8784)</f>
        <v/>
      </c>
      <c r="E10200" s="19">
        <f>0.5*$E$10164+0.5*$Z$10218</f>
        <v/>
      </c>
      <c r="F10200" s="19">
        <f>$Z$10219</f>
        <v/>
      </c>
    </row>
    <row r="10201">
      <c r="D10201" s="19">
        <f>IF(ABS(IF(ABS($E$10165)&gt;0.000000001,$E$10165,0.000000001))=0,0,IF($E$8785&lt;=$B$8772,0,IF(ABS(IF(ABS($E$10165)&gt;0.000000001,$E$10165,0.000000001))&gt;=8*$B$8774,$H$8785,0.5*$H$8785*(ABS(IF(ABS($E$10165)&gt;0.000000001,$E$10165,0.000000001))/$B$8774)^(1/3)))/ABS(IF(ABS($E$10165)&gt;0.000000001,$E$10165,0.000000001))*$I$8785)</f>
        <v/>
      </c>
      <c r="E10201" s="19">
        <f>0.5*$E$10165+0.5*$Z$10220</f>
        <v/>
      </c>
      <c r="F10201" s="19">
        <f>$Z$10221</f>
        <v/>
      </c>
    </row>
    <row r="10202">
      <c r="D10202" s="19">
        <f>IF(ABS(IF(ABS($E$10166)&gt;0.000000001,$E$10166,0.000000001))=0,0,IF($E$8786&lt;=$B$8772,0,IF(ABS(IF(ABS($E$10166)&gt;0.000000001,$E$10166,0.000000001))&gt;=8*$B$8774,$H$8786,0.5*$H$8786*(ABS(IF(ABS($E$10166)&gt;0.000000001,$E$10166,0.000000001))/$B$8774)^(1/3)))/ABS(IF(ABS($E$10166)&gt;0.000000001,$E$10166,0.000000001))*$I$8786)</f>
        <v/>
      </c>
      <c r="E10202" s="19">
        <f>0.5*$E$10166+0.5*$Z$10222</f>
        <v/>
      </c>
      <c r="F10202" s="19">
        <f>$Z$10223</f>
        <v/>
      </c>
    </row>
    <row r="10203">
      <c r="D10203" s="19">
        <f>IF(ABS(IF(ABS($E$10167)&gt;0.000000001,$E$10167,0.000000001))=0,0,IF($E$8787&lt;=$B$8772,0,IF(ABS(IF(ABS($E$10167)&gt;0.000000001,$E$10167,0.000000001))&gt;=8*$B$8774,$H$8787,0.5*$H$8787*(ABS(IF(ABS($E$10167)&gt;0.000000001,$E$10167,0.000000001))/$B$8774)^(1/3)))/ABS(IF(ABS($E$10167)&gt;0.000000001,$E$10167,0.000000001))*$I$8787)</f>
        <v/>
      </c>
      <c r="E10203" s="19">
        <f>0.5*$E$10167+0.5*$Z$10224</f>
        <v/>
      </c>
      <c r="F10203" s="19">
        <f>$Z$10225</f>
        <v/>
      </c>
    </row>
    <row r="10204">
      <c r="D10204" s="19">
        <f>IF(ABS(IF(ABS($E$10168)&gt;0.000000001,$E$10168,0.000000001))=0,0,IF($E$8788&lt;=$B$8772,0,IF(ABS(IF(ABS($E$10168)&gt;0.000000001,$E$10168,0.000000001))&gt;=8*$B$8774,$H$8788,0.5*$H$8788*(ABS(IF(ABS($E$10168)&gt;0.000000001,$E$10168,0.000000001))/$B$8774)^(1/3)))/ABS(IF(ABS($E$10168)&gt;0.000000001,$E$10168,0.000000001))*$I$8788)</f>
        <v/>
      </c>
      <c r="E10204" s="19">
        <f>0.5*$E$10168+0.5*$Z$10226</f>
        <v/>
      </c>
      <c r="F10204" s="19">
        <f>$Z$10227</f>
        <v/>
      </c>
    </row>
    <row r="10206">
      <c r="D10206" s="21">
        <f>$B$8763+$D$10194</f>
        <v/>
      </c>
      <c r="E10206" s="21">
        <f>$B$8764</f>
        <v/>
      </c>
      <c r="F10206" s="21">
        <f>-$B$8763</f>
        <v/>
      </c>
      <c r="G10206" s="21">
        <f>$B$8764</f>
        <v/>
      </c>
      <c r="H10206" s="21" t="n">
        <v>0</v>
      </c>
      <c r="I10206" s="21" t="n">
        <v>0</v>
      </c>
      <c r="J10206" s="21" t="n">
        <v>0</v>
      </c>
      <c r="K10206" s="21" t="n">
        <v>0</v>
      </c>
      <c r="L10206" s="21" t="n">
        <v>0</v>
      </c>
      <c r="M10206" s="21" t="n">
        <v>0</v>
      </c>
      <c r="N10206" s="21" t="n">
        <v>0</v>
      </c>
      <c r="O10206" s="21" t="n">
        <v>0</v>
      </c>
      <c r="P10206" s="21" t="n">
        <v>0</v>
      </c>
      <c r="Q10206" s="21" t="n">
        <v>0</v>
      </c>
      <c r="R10206" s="21" t="n">
        <v>0</v>
      </c>
      <c r="S10206" s="21" t="n">
        <v>0</v>
      </c>
      <c r="T10206" s="21" t="n">
        <v>0</v>
      </c>
      <c r="U10206" s="21" t="n">
        <v>0</v>
      </c>
      <c r="V10206" s="21" t="n">
        <v>0</v>
      </c>
      <c r="W10206" s="21" t="n">
        <v>0</v>
      </c>
      <c r="X10206" s="21" t="n">
        <v>0</v>
      </c>
      <c r="Y10206" s="21" t="n">
        <v>0</v>
      </c>
      <c r="Z10206" s="19">
        <f t="array" ref="Z10206:Z10227">MMULT(MINVERSE($D$10206:$Y$10227),$D$8790:$D$8811)</f>
        <v/>
      </c>
    </row>
    <row r="10207">
      <c r="D10207" s="21">
        <f>$B$8764</f>
        <v/>
      </c>
      <c r="E10207" s="21">
        <f>$B$8765</f>
        <v/>
      </c>
      <c r="F10207" s="21">
        <f>-$B$8764</f>
        <v/>
      </c>
      <c r="G10207" s="21">
        <f>$B$8766</f>
        <v/>
      </c>
      <c r="H10207" s="21" t="n">
        <v>0</v>
      </c>
      <c r="I10207" s="21" t="n">
        <v>0</v>
      </c>
      <c r="J10207" s="21" t="n">
        <v>0</v>
      </c>
      <c r="K10207" s="21" t="n">
        <v>0</v>
      </c>
      <c r="L10207" s="21" t="n">
        <v>0</v>
      </c>
      <c r="M10207" s="21" t="n">
        <v>0</v>
      </c>
      <c r="N10207" s="21" t="n">
        <v>0</v>
      </c>
      <c r="O10207" s="21" t="n">
        <v>0</v>
      </c>
      <c r="P10207" s="21" t="n">
        <v>0</v>
      </c>
      <c r="Q10207" s="21" t="n">
        <v>0</v>
      </c>
      <c r="R10207" s="21" t="n">
        <v>0</v>
      </c>
      <c r="S10207" s="21" t="n">
        <v>0</v>
      </c>
      <c r="T10207" s="21" t="n">
        <v>0</v>
      </c>
      <c r="U10207" s="21" t="n">
        <v>0</v>
      </c>
      <c r="V10207" s="21" t="n">
        <v>0</v>
      </c>
      <c r="W10207" s="21" t="n">
        <v>0</v>
      </c>
      <c r="X10207" s="21" t="n">
        <v>0</v>
      </c>
      <c r="Y10207" s="21" t="n">
        <v>0</v>
      </c>
      <c r="Z10207" s="19" t="n"/>
    </row>
    <row r="10208">
      <c r="D10208" s="21">
        <f>-$B$8763</f>
        <v/>
      </c>
      <c r="E10208" s="21">
        <f>-$B$8764</f>
        <v/>
      </c>
      <c r="F10208" s="21">
        <f>2*$B$8763+$D$10195</f>
        <v/>
      </c>
      <c r="G10208" s="21">
        <f>0</f>
        <v/>
      </c>
      <c r="H10208" s="21">
        <f>-$B$8763</f>
        <v/>
      </c>
      <c r="I10208" s="21">
        <f>$B$8764</f>
        <v/>
      </c>
      <c r="J10208" s="21" t="n">
        <v>0</v>
      </c>
      <c r="K10208" s="21" t="n">
        <v>0</v>
      </c>
      <c r="L10208" s="21" t="n">
        <v>0</v>
      </c>
      <c r="M10208" s="21" t="n">
        <v>0</v>
      </c>
      <c r="N10208" s="21" t="n">
        <v>0</v>
      </c>
      <c r="O10208" s="21" t="n">
        <v>0</v>
      </c>
      <c r="P10208" s="21" t="n">
        <v>0</v>
      </c>
      <c r="Q10208" s="21" t="n">
        <v>0</v>
      </c>
      <c r="R10208" s="21" t="n">
        <v>0</v>
      </c>
      <c r="S10208" s="21" t="n">
        <v>0</v>
      </c>
      <c r="T10208" s="21" t="n">
        <v>0</v>
      </c>
      <c r="U10208" s="21" t="n">
        <v>0</v>
      </c>
      <c r="V10208" s="21" t="n">
        <v>0</v>
      </c>
      <c r="W10208" s="21" t="n">
        <v>0</v>
      </c>
      <c r="X10208" s="21" t="n">
        <v>0</v>
      </c>
      <c r="Y10208" s="21" t="n">
        <v>0</v>
      </c>
      <c r="Z10208" s="19" t="n"/>
    </row>
    <row r="10209">
      <c r="D10209" s="21">
        <f>$B$8764</f>
        <v/>
      </c>
      <c r="E10209" s="21">
        <f>$B$8766</f>
        <v/>
      </c>
      <c r="F10209" s="21">
        <f>0</f>
        <v/>
      </c>
      <c r="G10209" s="21">
        <f>2*$B$8765</f>
        <v/>
      </c>
      <c r="H10209" s="21">
        <f>-$B$8764</f>
        <v/>
      </c>
      <c r="I10209" s="21">
        <f>$B$8766</f>
        <v/>
      </c>
      <c r="J10209" s="21" t="n">
        <v>0</v>
      </c>
      <c r="K10209" s="21" t="n">
        <v>0</v>
      </c>
      <c r="L10209" s="21" t="n">
        <v>0</v>
      </c>
      <c r="M10209" s="21" t="n">
        <v>0</v>
      </c>
      <c r="N10209" s="21" t="n">
        <v>0</v>
      </c>
      <c r="O10209" s="21" t="n">
        <v>0</v>
      </c>
      <c r="P10209" s="21" t="n">
        <v>0</v>
      </c>
      <c r="Q10209" s="21" t="n">
        <v>0</v>
      </c>
      <c r="R10209" s="21" t="n">
        <v>0</v>
      </c>
      <c r="S10209" s="21" t="n">
        <v>0</v>
      </c>
      <c r="T10209" s="21" t="n">
        <v>0</v>
      </c>
      <c r="U10209" s="21" t="n">
        <v>0</v>
      </c>
      <c r="V10209" s="21" t="n">
        <v>0</v>
      </c>
      <c r="W10209" s="21" t="n">
        <v>0</v>
      </c>
      <c r="X10209" s="21" t="n">
        <v>0</v>
      </c>
      <c r="Y10209" s="21" t="n">
        <v>0</v>
      </c>
      <c r="Z10209" s="19" t="n"/>
    </row>
    <row r="10210">
      <c r="D10210" s="21" t="n">
        <v>0</v>
      </c>
      <c r="E10210" s="21" t="n">
        <v>0</v>
      </c>
      <c r="F10210" s="21">
        <f>-$B$8763</f>
        <v/>
      </c>
      <c r="G10210" s="21">
        <f>-$B$8764</f>
        <v/>
      </c>
      <c r="H10210" s="21">
        <f>2*$B$8763+$D$10196</f>
        <v/>
      </c>
      <c r="I10210" s="21">
        <f>0</f>
        <v/>
      </c>
      <c r="J10210" s="21">
        <f>-$B$8763</f>
        <v/>
      </c>
      <c r="K10210" s="21">
        <f>$B$8764</f>
        <v/>
      </c>
      <c r="L10210" s="21" t="n">
        <v>0</v>
      </c>
      <c r="M10210" s="21" t="n">
        <v>0</v>
      </c>
      <c r="N10210" s="21" t="n">
        <v>0</v>
      </c>
      <c r="O10210" s="21" t="n">
        <v>0</v>
      </c>
      <c r="P10210" s="21" t="n">
        <v>0</v>
      </c>
      <c r="Q10210" s="21" t="n">
        <v>0</v>
      </c>
      <c r="R10210" s="21" t="n">
        <v>0</v>
      </c>
      <c r="S10210" s="21" t="n">
        <v>0</v>
      </c>
      <c r="T10210" s="21" t="n">
        <v>0</v>
      </c>
      <c r="U10210" s="21" t="n">
        <v>0</v>
      </c>
      <c r="V10210" s="21" t="n">
        <v>0</v>
      </c>
      <c r="W10210" s="21" t="n">
        <v>0</v>
      </c>
      <c r="X10210" s="21" t="n">
        <v>0</v>
      </c>
      <c r="Y10210" s="21" t="n">
        <v>0</v>
      </c>
      <c r="Z10210" s="19" t="n"/>
    </row>
    <row r="10211">
      <c r="D10211" s="21" t="n">
        <v>0</v>
      </c>
      <c r="E10211" s="21" t="n">
        <v>0</v>
      </c>
      <c r="F10211" s="21">
        <f>$B$8764</f>
        <v/>
      </c>
      <c r="G10211" s="21">
        <f>$B$8766</f>
        <v/>
      </c>
      <c r="H10211" s="21">
        <f>0</f>
        <v/>
      </c>
      <c r="I10211" s="21">
        <f>2*$B$8765</f>
        <v/>
      </c>
      <c r="J10211" s="21">
        <f>-$B$8764</f>
        <v/>
      </c>
      <c r="K10211" s="21">
        <f>$B$8766</f>
        <v/>
      </c>
      <c r="L10211" s="21" t="n">
        <v>0</v>
      </c>
      <c r="M10211" s="21" t="n">
        <v>0</v>
      </c>
      <c r="N10211" s="21" t="n">
        <v>0</v>
      </c>
      <c r="O10211" s="21" t="n">
        <v>0</v>
      </c>
      <c r="P10211" s="21" t="n">
        <v>0</v>
      </c>
      <c r="Q10211" s="21" t="n">
        <v>0</v>
      </c>
      <c r="R10211" s="21" t="n">
        <v>0</v>
      </c>
      <c r="S10211" s="21" t="n">
        <v>0</v>
      </c>
      <c r="T10211" s="21" t="n">
        <v>0</v>
      </c>
      <c r="U10211" s="21" t="n">
        <v>0</v>
      </c>
      <c r="V10211" s="21" t="n">
        <v>0</v>
      </c>
      <c r="W10211" s="21" t="n">
        <v>0</v>
      </c>
      <c r="X10211" s="21" t="n">
        <v>0</v>
      </c>
      <c r="Y10211" s="21" t="n">
        <v>0</v>
      </c>
      <c r="Z10211" s="19" t="n"/>
    </row>
    <row r="10212">
      <c r="D10212" s="21" t="n">
        <v>0</v>
      </c>
      <c r="E10212" s="21" t="n">
        <v>0</v>
      </c>
      <c r="F10212" s="21" t="n">
        <v>0</v>
      </c>
      <c r="G10212" s="21" t="n">
        <v>0</v>
      </c>
      <c r="H10212" s="21">
        <f>-$B$8763</f>
        <v/>
      </c>
      <c r="I10212" s="21">
        <f>-$B$8764</f>
        <v/>
      </c>
      <c r="J10212" s="21">
        <f>2*$B$8763+$D$10197</f>
        <v/>
      </c>
      <c r="K10212" s="21">
        <f>0</f>
        <v/>
      </c>
      <c r="L10212" s="21">
        <f>-$B$8763</f>
        <v/>
      </c>
      <c r="M10212" s="21">
        <f>$B$8764</f>
        <v/>
      </c>
      <c r="N10212" s="21" t="n">
        <v>0</v>
      </c>
      <c r="O10212" s="21" t="n">
        <v>0</v>
      </c>
      <c r="P10212" s="21" t="n">
        <v>0</v>
      </c>
      <c r="Q10212" s="21" t="n">
        <v>0</v>
      </c>
      <c r="R10212" s="21" t="n">
        <v>0</v>
      </c>
      <c r="S10212" s="21" t="n">
        <v>0</v>
      </c>
      <c r="T10212" s="21" t="n">
        <v>0</v>
      </c>
      <c r="U10212" s="21" t="n">
        <v>0</v>
      </c>
      <c r="V10212" s="21" t="n">
        <v>0</v>
      </c>
      <c r="W10212" s="21" t="n">
        <v>0</v>
      </c>
      <c r="X10212" s="21" t="n">
        <v>0</v>
      </c>
      <c r="Y10212" s="21" t="n">
        <v>0</v>
      </c>
      <c r="Z10212" s="19" t="n"/>
    </row>
    <row r="10213">
      <c r="D10213" s="21" t="n">
        <v>0</v>
      </c>
      <c r="E10213" s="21" t="n">
        <v>0</v>
      </c>
      <c r="F10213" s="21" t="n">
        <v>0</v>
      </c>
      <c r="G10213" s="21" t="n">
        <v>0</v>
      </c>
      <c r="H10213" s="21">
        <f>$B$8764</f>
        <v/>
      </c>
      <c r="I10213" s="21">
        <f>$B$8766</f>
        <v/>
      </c>
      <c r="J10213" s="21">
        <f>0</f>
        <v/>
      </c>
      <c r="K10213" s="21">
        <f>2*$B$8765</f>
        <v/>
      </c>
      <c r="L10213" s="21">
        <f>-$B$8764</f>
        <v/>
      </c>
      <c r="M10213" s="21">
        <f>$B$8766</f>
        <v/>
      </c>
      <c r="N10213" s="21" t="n">
        <v>0</v>
      </c>
      <c r="O10213" s="21" t="n">
        <v>0</v>
      </c>
      <c r="P10213" s="21" t="n">
        <v>0</v>
      </c>
      <c r="Q10213" s="21" t="n">
        <v>0</v>
      </c>
      <c r="R10213" s="21" t="n">
        <v>0</v>
      </c>
      <c r="S10213" s="21" t="n">
        <v>0</v>
      </c>
      <c r="T10213" s="21" t="n">
        <v>0</v>
      </c>
      <c r="U10213" s="21" t="n">
        <v>0</v>
      </c>
      <c r="V10213" s="21" t="n">
        <v>0</v>
      </c>
      <c r="W10213" s="21" t="n">
        <v>0</v>
      </c>
      <c r="X10213" s="21" t="n">
        <v>0</v>
      </c>
      <c r="Y10213" s="21" t="n">
        <v>0</v>
      </c>
      <c r="Z10213" s="19" t="n"/>
    </row>
    <row r="10214">
      <c r="D10214" s="21" t="n">
        <v>0</v>
      </c>
      <c r="E10214" s="21" t="n">
        <v>0</v>
      </c>
      <c r="F10214" s="21" t="n">
        <v>0</v>
      </c>
      <c r="G10214" s="21" t="n">
        <v>0</v>
      </c>
      <c r="H10214" s="21" t="n">
        <v>0</v>
      </c>
      <c r="I10214" s="21" t="n">
        <v>0</v>
      </c>
      <c r="J10214" s="21">
        <f>-$B$8763</f>
        <v/>
      </c>
      <c r="K10214" s="21">
        <f>-$B$8764</f>
        <v/>
      </c>
      <c r="L10214" s="21">
        <f>2*$B$8763+$D$10198</f>
        <v/>
      </c>
      <c r="M10214" s="21">
        <f>0</f>
        <v/>
      </c>
      <c r="N10214" s="21">
        <f>-$B$8763</f>
        <v/>
      </c>
      <c r="O10214" s="21">
        <f>$B$8764</f>
        <v/>
      </c>
      <c r="P10214" s="21" t="n">
        <v>0</v>
      </c>
      <c r="Q10214" s="21" t="n">
        <v>0</v>
      </c>
      <c r="R10214" s="21" t="n">
        <v>0</v>
      </c>
      <c r="S10214" s="21" t="n">
        <v>0</v>
      </c>
      <c r="T10214" s="21" t="n">
        <v>0</v>
      </c>
      <c r="U10214" s="21" t="n">
        <v>0</v>
      </c>
      <c r="V10214" s="21" t="n">
        <v>0</v>
      </c>
      <c r="W10214" s="21" t="n">
        <v>0</v>
      </c>
      <c r="X10214" s="21" t="n">
        <v>0</v>
      </c>
      <c r="Y10214" s="21" t="n">
        <v>0</v>
      </c>
      <c r="Z10214" s="19" t="n"/>
    </row>
    <row r="10215">
      <c r="D10215" s="21" t="n">
        <v>0</v>
      </c>
      <c r="E10215" s="21" t="n">
        <v>0</v>
      </c>
      <c r="F10215" s="21" t="n">
        <v>0</v>
      </c>
      <c r="G10215" s="21" t="n">
        <v>0</v>
      </c>
      <c r="H10215" s="21" t="n">
        <v>0</v>
      </c>
      <c r="I10215" s="21" t="n">
        <v>0</v>
      </c>
      <c r="J10215" s="21">
        <f>$B$8764</f>
        <v/>
      </c>
      <c r="K10215" s="21">
        <f>$B$8766</f>
        <v/>
      </c>
      <c r="L10215" s="21">
        <f>0</f>
        <v/>
      </c>
      <c r="M10215" s="21">
        <f>2*$B$8765</f>
        <v/>
      </c>
      <c r="N10215" s="21">
        <f>-$B$8764</f>
        <v/>
      </c>
      <c r="O10215" s="21">
        <f>$B$8766</f>
        <v/>
      </c>
      <c r="P10215" s="21" t="n">
        <v>0</v>
      </c>
      <c r="Q10215" s="21" t="n">
        <v>0</v>
      </c>
      <c r="R10215" s="21" t="n">
        <v>0</v>
      </c>
      <c r="S10215" s="21" t="n">
        <v>0</v>
      </c>
      <c r="T10215" s="21" t="n">
        <v>0</v>
      </c>
      <c r="U10215" s="21" t="n">
        <v>0</v>
      </c>
      <c r="V10215" s="21" t="n">
        <v>0</v>
      </c>
      <c r="W10215" s="21" t="n">
        <v>0</v>
      </c>
      <c r="X10215" s="21" t="n">
        <v>0</v>
      </c>
      <c r="Y10215" s="21" t="n">
        <v>0</v>
      </c>
      <c r="Z10215" s="19" t="n"/>
    </row>
    <row r="10216">
      <c r="D10216" s="21" t="n">
        <v>0</v>
      </c>
      <c r="E10216" s="21" t="n">
        <v>0</v>
      </c>
      <c r="F10216" s="21" t="n">
        <v>0</v>
      </c>
      <c r="G10216" s="21" t="n">
        <v>0</v>
      </c>
      <c r="H10216" s="21" t="n">
        <v>0</v>
      </c>
      <c r="I10216" s="21" t="n">
        <v>0</v>
      </c>
      <c r="J10216" s="21" t="n">
        <v>0</v>
      </c>
      <c r="K10216" s="21" t="n">
        <v>0</v>
      </c>
      <c r="L10216" s="21">
        <f>-$B$8763</f>
        <v/>
      </c>
      <c r="M10216" s="21">
        <f>-$B$8764</f>
        <v/>
      </c>
      <c r="N10216" s="21">
        <f>2*$B$8763+$D$10199</f>
        <v/>
      </c>
      <c r="O10216" s="21">
        <f>0</f>
        <v/>
      </c>
      <c r="P10216" s="21">
        <f>-$B$8763</f>
        <v/>
      </c>
      <c r="Q10216" s="21">
        <f>$B$8764</f>
        <v/>
      </c>
      <c r="R10216" s="21" t="n">
        <v>0</v>
      </c>
      <c r="S10216" s="21" t="n">
        <v>0</v>
      </c>
      <c r="T10216" s="21" t="n">
        <v>0</v>
      </c>
      <c r="U10216" s="21" t="n">
        <v>0</v>
      </c>
      <c r="V10216" s="21" t="n">
        <v>0</v>
      </c>
      <c r="W10216" s="21" t="n">
        <v>0</v>
      </c>
      <c r="X10216" s="21" t="n">
        <v>0</v>
      </c>
      <c r="Y10216" s="21" t="n">
        <v>0</v>
      </c>
      <c r="Z10216" s="19" t="n"/>
    </row>
    <row r="10217">
      <c r="D10217" s="21" t="n">
        <v>0</v>
      </c>
      <c r="E10217" s="21" t="n">
        <v>0</v>
      </c>
      <c r="F10217" s="21" t="n">
        <v>0</v>
      </c>
      <c r="G10217" s="21" t="n">
        <v>0</v>
      </c>
      <c r="H10217" s="21" t="n">
        <v>0</v>
      </c>
      <c r="I10217" s="21" t="n">
        <v>0</v>
      </c>
      <c r="J10217" s="21" t="n">
        <v>0</v>
      </c>
      <c r="K10217" s="21" t="n">
        <v>0</v>
      </c>
      <c r="L10217" s="21">
        <f>$B$8764</f>
        <v/>
      </c>
      <c r="M10217" s="21">
        <f>$B$8766</f>
        <v/>
      </c>
      <c r="N10217" s="21">
        <f>0</f>
        <v/>
      </c>
      <c r="O10217" s="21">
        <f>2*$B$8765</f>
        <v/>
      </c>
      <c r="P10217" s="21">
        <f>-$B$8764</f>
        <v/>
      </c>
      <c r="Q10217" s="21">
        <f>$B$8766</f>
        <v/>
      </c>
      <c r="R10217" s="21" t="n">
        <v>0</v>
      </c>
      <c r="S10217" s="21" t="n">
        <v>0</v>
      </c>
      <c r="T10217" s="21" t="n">
        <v>0</v>
      </c>
      <c r="U10217" s="21" t="n">
        <v>0</v>
      </c>
      <c r="V10217" s="21" t="n">
        <v>0</v>
      </c>
      <c r="W10217" s="21" t="n">
        <v>0</v>
      </c>
      <c r="X10217" s="21" t="n">
        <v>0</v>
      </c>
      <c r="Y10217" s="21" t="n">
        <v>0</v>
      </c>
      <c r="Z10217" s="19" t="n"/>
    </row>
    <row r="10218">
      <c r="D10218" s="21" t="n">
        <v>0</v>
      </c>
      <c r="E10218" s="21" t="n">
        <v>0</v>
      </c>
      <c r="F10218" s="21" t="n">
        <v>0</v>
      </c>
      <c r="G10218" s="21" t="n">
        <v>0</v>
      </c>
      <c r="H10218" s="21" t="n">
        <v>0</v>
      </c>
      <c r="I10218" s="21" t="n">
        <v>0</v>
      </c>
      <c r="J10218" s="21" t="n">
        <v>0</v>
      </c>
      <c r="K10218" s="21" t="n">
        <v>0</v>
      </c>
      <c r="L10218" s="21" t="n">
        <v>0</v>
      </c>
      <c r="M10218" s="21" t="n">
        <v>0</v>
      </c>
      <c r="N10218" s="21">
        <f>-$B$8763</f>
        <v/>
      </c>
      <c r="O10218" s="21">
        <f>-$B$8764</f>
        <v/>
      </c>
      <c r="P10218" s="21">
        <f>2*$B$8763+$D$10200</f>
        <v/>
      </c>
      <c r="Q10218" s="21">
        <f>0</f>
        <v/>
      </c>
      <c r="R10218" s="21">
        <f>-$B$8763</f>
        <v/>
      </c>
      <c r="S10218" s="21">
        <f>$B$8764</f>
        <v/>
      </c>
      <c r="T10218" s="21" t="n">
        <v>0</v>
      </c>
      <c r="U10218" s="21" t="n">
        <v>0</v>
      </c>
      <c r="V10218" s="21" t="n">
        <v>0</v>
      </c>
      <c r="W10218" s="21" t="n">
        <v>0</v>
      </c>
      <c r="X10218" s="21" t="n">
        <v>0</v>
      </c>
      <c r="Y10218" s="21" t="n">
        <v>0</v>
      </c>
      <c r="Z10218" s="19" t="n"/>
    </row>
    <row r="10219">
      <c r="D10219" s="21" t="n">
        <v>0</v>
      </c>
      <c r="E10219" s="21" t="n">
        <v>0</v>
      </c>
      <c r="F10219" s="21" t="n">
        <v>0</v>
      </c>
      <c r="G10219" s="21" t="n">
        <v>0</v>
      </c>
      <c r="H10219" s="21" t="n">
        <v>0</v>
      </c>
      <c r="I10219" s="21" t="n">
        <v>0</v>
      </c>
      <c r="J10219" s="21" t="n">
        <v>0</v>
      </c>
      <c r="K10219" s="21" t="n">
        <v>0</v>
      </c>
      <c r="L10219" s="21" t="n">
        <v>0</v>
      </c>
      <c r="M10219" s="21" t="n">
        <v>0</v>
      </c>
      <c r="N10219" s="21">
        <f>$B$8764</f>
        <v/>
      </c>
      <c r="O10219" s="21">
        <f>$B$8766</f>
        <v/>
      </c>
      <c r="P10219" s="21">
        <f>0</f>
        <v/>
      </c>
      <c r="Q10219" s="21">
        <f>2*$B$8765</f>
        <v/>
      </c>
      <c r="R10219" s="21">
        <f>-$B$8764</f>
        <v/>
      </c>
      <c r="S10219" s="21">
        <f>$B$8766</f>
        <v/>
      </c>
      <c r="T10219" s="21" t="n">
        <v>0</v>
      </c>
      <c r="U10219" s="21" t="n">
        <v>0</v>
      </c>
      <c r="V10219" s="21" t="n">
        <v>0</v>
      </c>
      <c r="W10219" s="21" t="n">
        <v>0</v>
      </c>
      <c r="X10219" s="21" t="n">
        <v>0</v>
      </c>
      <c r="Y10219" s="21" t="n">
        <v>0</v>
      </c>
      <c r="Z10219" s="19" t="n"/>
    </row>
    <row r="10220">
      <c r="D10220" s="21" t="n">
        <v>0</v>
      </c>
      <c r="E10220" s="21" t="n">
        <v>0</v>
      </c>
      <c r="F10220" s="21" t="n">
        <v>0</v>
      </c>
      <c r="G10220" s="21" t="n">
        <v>0</v>
      </c>
      <c r="H10220" s="21" t="n">
        <v>0</v>
      </c>
      <c r="I10220" s="21" t="n">
        <v>0</v>
      </c>
      <c r="J10220" s="21" t="n">
        <v>0</v>
      </c>
      <c r="K10220" s="21" t="n">
        <v>0</v>
      </c>
      <c r="L10220" s="21" t="n">
        <v>0</v>
      </c>
      <c r="M10220" s="21" t="n">
        <v>0</v>
      </c>
      <c r="N10220" s="21" t="n">
        <v>0</v>
      </c>
      <c r="O10220" s="21" t="n">
        <v>0</v>
      </c>
      <c r="P10220" s="21">
        <f>-$B$8763</f>
        <v/>
      </c>
      <c r="Q10220" s="21">
        <f>-$B$8764</f>
        <v/>
      </c>
      <c r="R10220" s="21">
        <f>2*$B$8763+$D$10201</f>
        <v/>
      </c>
      <c r="S10220" s="21">
        <f>0</f>
        <v/>
      </c>
      <c r="T10220" s="21">
        <f>-$B$8763</f>
        <v/>
      </c>
      <c r="U10220" s="21">
        <f>$B$8764</f>
        <v/>
      </c>
      <c r="V10220" s="21" t="n">
        <v>0</v>
      </c>
      <c r="W10220" s="21" t="n">
        <v>0</v>
      </c>
      <c r="X10220" s="21" t="n">
        <v>0</v>
      </c>
      <c r="Y10220" s="21" t="n">
        <v>0</v>
      </c>
      <c r="Z10220" s="19" t="n"/>
    </row>
    <row r="10221">
      <c r="D10221" s="21" t="n">
        <v>0</v>
      </c>
      <c r="E10221" s="21" t="n">
        <v>0</v>
      </c>
      <c r="F10221" s="21" t="n">
        <v>0</v>
      </c>
      <c r="G10221" s="21" t="n">
        <v>0</v>
      </c>
      <c r="H10221" s="21" t="n">
        <v>0</v>
      </c>
      <c r="I10221" s="21" t="n">
        <v>0</v>
      </c>
      <c r="J10221" s="21" t="n">
        <v>0</v>
      </c>
      <c r="K10221" s="21" t="n">
        <v>0</v>
      </c>
      <c r="L10221" s="21" t="n">
        <v>0</v>
      </c>
      <c r="M10221" s="21" t="n">
        <v>0</v>
      </c>
      <c r="N10221" s="21" t="n">
        <v>0</v>
      </c>
      <c r="O10221" s="21" t="n">
        <v>0</v>
      </c>
      <c r="P10221" s="21">
        <f>$B$8764</f>
        <v/>
      </c>
      <c r="Q10221" s="21">
        <f>$B$8766</f>
        <v/>
      </c>
      <c r="R10221" s="21">
        <f>0</f>
        <v/>
      </c>
      <c r="S10221" s="21">
        <f>2*$B$8765</f>
        <v/>
      </c>
      <c r="T10221" s="21">
        <f>-$B$8764</f>
        <v/>
      </c>
      <c r="U10221" s="21">
        <f>$B$8766</f>
        <v/>
      </c>
      <c r="V10221" s="21" t="n">
        <v>0</v>
      </c>
      <c r="W10221" s="21" t="n">
        <v>0</v>
      </c>
      <c r="X10221" s="21" t="n">
        <v>0</v>
      </c>
      <c r="Y10221" s="21" t="n">
        <v>0</v>
      </c>
      <c r="Z10221" s="19" t="n"/>
    </row>
    <row r="10222">
      <c r="D10222" s="21" t="n">
        <v>0</v>
      </c>
      <c r="E10222" s="21" t="n">
        <v>0</v>
      </c>
      <c r="F10222" s="21" t="n">
        <v>0</v>
      </c>
      <c r="G10222" s="21" t="n">
        <v>0</v>
      </c>
      <c r="H10222" s="21" t="n">
        <v>0</v>
      </c>
      <c r="I10222" s="21" t="n">
        <v>0</v>
      </c>
      <c r="J10222" s="21" t="n">
        <v>0</v>
      </c>
      <c r="K10222" s="21" t="n">
        <v>0</v>
      </c>
      <c r="L10222" s="21" t="n">
        <v>0</v>
      </c>
      <c r="M10222" s="21" t="n">
        <v>0</v>
      </c>
      <c r="N10222" s="21" t="n">
        <v>0</v>
      </c>
      <c r="O10222" s="21" t="n">
        <v>0</v>
      </c>
      <c r="P10222" s="21" t="n">
        <v>0</v>
      </c>
      <c r="Q10222" s="21" t="n">
        <v>0</v>
      </c>
      <c r="R10222" s="21">
        <f>-$B$8763</f>
        <v/>
      </c>
      <c r="S10222" s="21">
        <f>-$B$8764</f>
        <v/>
      </c>
      <c r="T10222" s="21">
        <f>2*$B$8763+$D$10202</f>
        <v/>
      </c>
      <c r="U10222" s="21">
        <f>0</f>
        <v/>
      </c>
      <c r="V10222" s="21">
        <f>-$B$8763</f>
        <v/>
      </c>
      <c r="W10222" s="21">
        <f>$B$8764</f>
        <v/>
      </c>
      <c r="X10222" s="21" t="n">
        <v>0</v>
      </c>
      <c r="Y10222" s="21" t="n">
        <v>0</v>
      </c>
      <c r="Z10222" s="19" t="n"/>
    </row>
    <row r="10223">
      <c r="D10223" s="21" t="n">
        <v>0</v>
      </c>
      <c r="E10223" s="21" t="n">
        <v>0</v>
      </c>
      <c r="F10223" s="21" t="n">
        <v>0</v>
      </c>
      <c r="G10223" s="21" t="n">
        <v>0</v>
      </c>
      <c r="H10223" s="21" t="n">
        <v>0</v>
      </c>
      <c r="I10223" s="21" t="n">
        <v>0</v>
      </c>
      <c r="J10223" s="21" t="n">
        <v>0</v>
      </c>
      <c r="K10223" s="21" t="n">
        <v>0</v>
      </c>
      <c r="L10223" s="21" t="n">
        <v>0</v>
      </c>
      <c r="M10223" s="21" t="n">
        <v>0</v>
      </c>
      <c r="N10223" s="21" t="n">
        <v>0</v>
      </c>
      <c r="O10223" s="21" t="n">
        <v>0</v>
      </c>
      <c r="P10223" s="21" t="n">
        <v>0</v>
      </c>
      <c r="Q10223" s="21" t="n">
        <v>0</v>
      </c>
      <c r="R10223" s="21">
        <f>$B$8764</f>
        <v/>
      </c>
      <c r="S10223" s="21">
        <f>$B$8766</f>
        <v/>
      </c>
      <c r="T10223" s="21">
        <f>0</f>
        <v/>
      </c>
      <c r="U10223" s="21">
        <f>2*$B$8765</f>
        <v/>
      </c>
      <c r="V10223" s="21">
        <f>-$B$8764</f>
        <v/>
      </c>
      <c r="W10223" s="21">
        <f>$B$8766</f>
        <v/>
      </c>
      <c r="X10223" s="21" t="n">
        <v>0</v>
      </c>
      <c r="Y10223" s="21" t="n">
        <v>0</v>
      </c>
      <c r="Z10223" s="19" t="n"/>
    </row>
    <row r="10224">
      <c r="D10224" s="21" t="n">
        <v>0</v>
      </c>
      <c r="E10224" s="21" t="n">
        <v>0</v>
      </c>
      <c r="F10224" s="21" t="n">
        <v>0</v>
      </c>
      <c r="G10224" s="21" t="n">
        <v>0</v>
      </c>
      <c r="H10224" s="21" t="n">
        <v>0</v>
      </c>
      <c r="I10224" s="21" t="n">
        <v>0</v>
      </c>
      <c r="J10224" s="21" t="n">
        <v>0</v>
      </c>
      <c r="K10224" s="21" t="n">
        <v>0</v>
      </c>
      <c r="L10224" s="21" t="n">
        <v>0</v>
      </c>
      <c r="M10224" s="21" t="n">
        <v>0</v>
      </c>
      <c r="N10224" s="21" t="n">
        <v>0</v>
      </c>
      <c r="O10224" s="21" t="n">
        <v>0</v>
      </c>
      <c r="P10224" s="21" t="n">
        <v>0</v>
      </c>
      <c r="Q10224" s="21" t="n">
        <v>0</v>
      </c>
      <c r="R10224" s="21" t="n">
        <v>0</v>
      </c>
      <c r="S10224" s="21" t="n">
        <v>0</v>
      </c>
      <c r="T10224" s="21">
        <f>-$B$8763</f>
        <v/>
      </c>
      <c r="U10224" s="21">
        <f>-$B$8764</f>
        <v/>
      </c>
      <c r="V10224" s="21">
        <f>2*$B$8763+$D$10203</f>
        <v/>
      </c>
      <c r="W10224" s="21">
        <f>0</f>
        <v/>
      </c>
      <c r="X10224" s="21">
        <f>-$B$8763</f>
        <v/>
      </c>
      <c r="Y10224" s="21">
        <f>$B$8764</f>
        <v/>
      </c>
      <c r="Z10224" s="19" t="n"/>
    </row>
    <row r="10225">
      <c r="D10225" s="21" t="n">
        <v>0</v>
      </c>
      <c r="E10225" s="21" t="n">
        <v>0</v>
      </c>
      <c r="F10225" s="21" t="n">
        <v>0</v>
      </c>
      <c r="G10225" s="21" t="n">
        <v>0</v>
      </c>
      <c r="H10225" s="21" t="n">
        <v>0</v>
      </c>
      <c r="I10225" s="21" t="n">
        <v>0</v>
      </c>
      <c r="J10225" s="21" t="n">
        <v>0</v>
      </c>
      <c r="K10225" s="21" t="n">
        <v>0</v>
      </c>
      <c r="L10225" s="21" t="n">
        <v>0</v>
      </c>
      <c r="M10225" s="21" t="n">
        <v>0</v>
      </c>
      <c r="N10225" s="21" t="n">
        <v>0</v>
      </c>
      <c r="O10225" s="21" t="n">
        <v>0</v>
      </c>
      <c r="P10225" s="21" t="n">
        <v>0</v>
      </c>
      <c r="Q10225" s="21" t="n">
        <v>0</v>
      </c>
      <c r="R10225" s="21" t="n">
        <v>0</v>
      </c>
      <c r="S10225" s="21" t="n">
        <v>0</v>
      </c>
      <c r="T10225" s="21">
        <f>$B$8764</f>
        <v/>
      </c>
      <c r="U10225" s="21">
        <f>$B$8766</f>
        <v/>
      </c>
      <c r="V10225" s="21">
        <f>0</f>
        <v/>
      </c>
      <c r="W10225" s="21">
        <f>2*$B$8765</f>
        <v/>
      </c>
      <c r="X10225" s="21">
        <f>-$B$8764</f>
        <v/>
      </c>
      <c r="Y10225" s="21">
        <f>$B$8766</f>
        <v/>
      </c>
      <c r="Z10225" s="19" t="n"/>
    </row>
    <row r="10226">
      <c r="D10226" s="21" t="n">
        <v>0</v>
      </c>
      <c r="E10226" s="21" t="n">
        <v>0</v>
      </c>
      <c r="F10226" s="21" t="n">
        <v>0</v>
      </c>
      <c r="G10226" s="21" t="n">
        <v>0</v>
      </c>
      <c r="H10226" s="21" t="n">
        <v>0</v>
      </c>
      <c r="I10226" s="21" t="n">
        <v>0</v>
      </c>
      <c r="J10226" s="21" t="n">
        <v>0</v>
      </c>
      <c r="K10226" s="21" t="n">
        <v>0</v>
      </c>
      <c r="L10226" s="21" t="n">
        <v>0</v>
      </c>
      <c r="M10226" s="21" t="n">
        <v>0</v>
      </c>
      <c r="N10226" s="21" t="n">
        <v>0</v>
      </c>
      <c r="O10226" s="21" t="n">
        <v>0</v>
      </c>
      <c r="P10226" s="21" t="n">
        <v>0</v>
      </c>
      <c r="Q10226" s="21" t="n">
        <v>0</v>
      </c>
      <c r="R10226" s="21" t="n">
        <v>0</v>
      </c>
      <c r="S10226" s="21" t="n">
        <v>0</v>
      </c>
      <c r="T10226" s="21" t="n">
        <v>0</v>
      </c>
      <c r="U10226" s="21" t="n">
        <v>0</v>
      </c>
      <c r="V10226" s="21">
        <f>-$B$8763</f>
        <v/>
      </c>
      <c r="W10226" s="21">
        <f>-$B$8764</f>
        <v/>
      </c>
      <c r="X10226" s="21">
        <f>$B$8763+$D$10204</f>
        <v/>
      </c>
      <c r="Y10226" s="21">
        <f>-$B$8764</f>
        <v/>
      </c>
      <c r="Z10226" s="19" t="n"/>
    </row>
    <row r="10227">
      <c r="D10227" s="21" t="n">
        <v>0</v>
      </c>
      <c r="E10227" s="21" t="n">
        <v>0</v>
      </c>
      <c r="F10227" s="21" t="n">
        <v>0</v>
      </c>
      <c r="G10227" s="21" t="n">
        <v>0</v>
      </c>
      <c r="H10227" s="21" t="n">
        <v>0</v>
      </c>
      <c r="I10227" s="21" t="n">
        <v>0</v>
      </c>
      <c r="J10227" s="21" t="n">
        <v>0</v>
      </c>
      <c r="K10227" s="21" t="n">
        <v>0</v>
      </c>
      <c r="L10227" s="21" t="n">
        <v>0</v>
      </c>
      <c r="M10227" s="21" t="n">
        <v>0</v>
      </c>
      <c r="N10227" s="21" t="n">
        <v>0</v>
      </c>
      <c r="O10227" s="21" t="n">
        <v>0</v>
      </c>
      <c r="P10227" s="21" t="n">
        <v>0</v>
      </c>
      <c r="Q10227" s="21" t="n">
        <v>0</v>
      </c>
      <c r="R10227" s="21" t="n">
        <v>0</v>
      </c>
      <c r="S10227" s="21" t="n">
        <v>0</v>
      </c>
      <c r="T10227" s="21" t="n">
        <v>0</v>
      </c>
      <c r="U10227" s="21" t="n">
        <v>0</v>
      </c>
      <c r="V10227" s="21">
        <f>$B$8764</f>
        <v/>
      </c>
      <c r="W10227" s="21">
        <f>$B$8766</f>
        <v/>
      </c>
      <c r="X10227" s="21">
        <f>-$B$8764</f>
        <v/>
      </c>
      <c r="Y10227" s="21">
        <f>$B$8765</f>
        <v/>
      </c>
      <c r="Z10227" s="19" t="n"/>
    </row>
    <row r="10229">
      <c r="A10229" s="8" t="inlineStr">
        <is>
          <t>gen 40</t>
        </is>
      </c>
    </row>
    <row r="10230">
      <c r="D10230" s="19">
        <f>IF(ABS(IF(ABS($E$10194)&gt;0.000000001,$E$10194,0.000000001))=0,0,IF($E$8778&lt;=$B$8772,0,IF(ABS(IF(ABS($E$10194)&gt;0.000000001,$E$10194,0.000000001))&gt;=8*$B$8774,$H$8778,0.5*$H$8778*(ABS(IF(ABS($E$10194)&gt;0.000000001,$E$10194,0.000000001))/$B$8774)^(1/3)))/ABS(IF(ABS($E$10194)&gt;0.000000001,$E$10194,0.000000001))*$I$8778)</f>
        <v/>
      </c>
      <c r="E10230" s="19">
        <f>0.5*$E$10194+0.5*$Z$10242</f>
        <v/>
      </c>
      <c r="F10230" s="19">
        <f>$Z$10243</f>
        <v/>
      </c>
    </row>
    <row r="10231">
      <c r="D10231" s="19">
        <f>IF(ABS(IF(ABS($E$10195)&gt;0.000000001,$E$10195,0.000000001))=0,0,IF($E$8779&lt;=$B$8772,0,IF(ABS(IF(ABS($E$10195)&gt;0.000000001,$E$10195,0.000000001))&gt;=8*$B$8774,$H$8779,0.5*$H$8779*(ABS(IF(ABS($E$10195)&gt;0.000000001,$E$10195,0.000000001))/$B$8774)^(1/3)))/ABS(IF(ABS($E$10195)&gt;0.000000001,$E$10195,0.000000001))*$I$8779)</f>
        <v/>
      </c>
      <c r="E10231" s="19">
        <f>0.5*$E$10195+0.5*$Z$10244</f>
        <v/>
      </c>
      <c r="F10231" s="19">
        <f>$Z$10245</f>
        <v/>
      </c>
    </row>
    <row r="10232">
      <c r="D10232" s="19">
        <f>IF(ABS(IF(ABS($E$10196)&gt;0.000000001,$E$10196,0.000000001))=0,0,IF($E$8780&lt;=$B$8772,0,IF(ABS(IF(ABS($E$10196)&gt;0.000000001,$E$10196,0.000000001))&gt;=8*$B$8774,$H$8780,0.5*$H$8780*(ABS(IF(ABS($E$10196)&gt;0.000000001,$E$10196,0.000000001))/$B$8774)^(1/3)))/ABS(IF(ABS($E$10196)&gt;0.000000001,$E$10196,0.000000001))*$I$8780)</f>
        <v/>
      </c>
      <c r="E10232" s="19">
        <f>0.5*$E$10196+0.5*$Z$10246</f>
        <v/>
      </c>
      <c r="F10232" s="19">
        <f>$Z$10247</f>
        <v/>
      </c>
    </row>
    <row r="10233">
      <c r="D10233" s="19">
        <f>IF(ABS(IF(ABS($E$10197)&gt;0.000000001,$E$10197,0.000000001))=0,0,IF($E$8781&lt;=$B$8772,0,IF(ABS(IF(ABS($E$10197)&gt;0.000000001,$E$10197,0.000000001))&gt;=8*$B$8774,$H$8781,0.5*$H$8781*(ABS(IF(ABS($E$10197)&gt;0.000000001,$E$10197,0.000000001))/$B$8774)^(1/3)))/ABS(IF(ABS($E$10197)&gt;0.000000001,$E$10197,0.000000001))*$I$8781)</f>
        <v/>
      </c>
      <c r="E10233" s="19">
        <f>0.5*$E$10197+0.5*$Z$10248</f>
        <v/>
      </c>
      <c r="F10233" s="19">
        <f>$Z$10249</f>
        <v/>
      </c>
    </row>
    <row r="10234">
      <c r="D10234" s="19">
        <f>IF(ABS(IF(ABS($E$10198)&gt;0.000000001,$E$10198,0.000000001))=0,0,IF($E$8782&lt;=$B$8772,0,IF(ABS(IF(ABS($E$10198)&gt;0.000000001,$E$10198,0.000000001))&gt;=8*$B$8774,$H$8782,0.5*$H$8782*(ABS(IF(ABS($E$10198)&gt;0.000000001,$E$10198,0.000000001))/$B$8774)^(1/3)))/ABS(IF(ABS($E$10198)&gt;0.000000001,$E$10198,0.000000001))*$I$8782)</f>
        <v/>
      </c>
      <c r="E10234" s="19">
        <f>0.5*$E$10198+0.5*$Z$10250</f>
        <v/>
      </c>
      <c r="F10234" s="19">
        <f>$Z$10251</f>
        <v/>
      </c>
    </row>
    <row r="10235">
      <c r="D10235" s="19">
        <f>IF(ABS(IF(ABS($E$10199)&gt;0.000000001,$E$10199,0.000000001))=0,0,IF($E$8783&lt;=$B$8772,0,IF(ABS(IF(ABS($E$10199)&gt;0.000000001,$E$10199,0.000000001))&gt;=8*$B$8774,$H$8783,0.5*$H$8783*(ABS(IF(ABS($E$10199)&gt;0.000000001,$E$10199,0.000000001))/$B$8774)^(1/3)))/ABS(IF(ABS($E$10199)&gt;0.000000001,$E$10199,0.000000001))*$I$8783)</f>
        <v/>
      </c>
      <c r="E10235" s="19">
        <f>0.5*$E$10199+0.5*$Z$10252</f>
        <v/>
      </c>
      <c r="F10235" s="19">
        <f>$Z$10253</f>
        <v/>
      </c>
    </row>
    <row r="10236">
      <c r="D10236" s="19">
        <f>IF(ABS(IF(ABS($E$10200)&gt;0.000000001,$E$10200,0.000000001))=0,0,IF($E$8784&lt;=$B$8772,0,IF(ABS(IF(ABS($E$10200)&gt;0.000000001,$E$10200,0.000000001))&gt;=8*$B$8774,$H$8784,0.5*$H$8784*(ABS(IF(ABS($E$10200)&gt;0.000000001,$E$10200,0.000000001))/$B$8774)^(1/3)))/ABS(IF(ABS($E$10200)&gt;0.000000001,$E$10200,0.000000001))*$I$8784)</f>
        <v/>
      </c>
      <c r="E10236" s="19">
        <f>0.5*$E$10200+0.5*$Z$10254</f>
        <v/>
      </c>
      <c r="F10236" s="19">
        <f>$Z$10255</f>
        <v/>
      </c>
    </row>
    <row r="10237">
      <c r="D10237" s="19">
        <f>IF(ABS(IF(ABS($E$10201)&gt;0.000000001,$E$10201,0.000000001))=0,0,IF($E$8785&lt;=$B$8772,0,IF(ABS(IF(ABS($E$10201)&gt;0.000000001,$E$10201,0.000000001))&gt;=8*$B$8774,$H$8785,0.5*$H$8785*(ABS(IF(ABS($E$10201)&gt;0.000000001,$E$10201,0.000000001))/$B$8774)^(1/3)))/ABS(IF(ABS($E$10201)&gt;0.000000001,$E$10201,0.000000001))*$I$8785)</f>
        <v/>
      </c>
      <c r="E10237" s="19">
        <f>0.5*$E$10201+0.5*$Z$10256</f>
        <v/>
      </c>
      <c r="F10237" s="19">
        <f>$Z$10257</f>
        <v/>
      </c>
    </row>
    <row r="10238">
      <c r="D10238" s="19">
        <f>IF(ABS(IF(ABS($E$10202)&gt;0.000000001,$E$10202,0.000000001))=0,0,IF($E$8786&lt;=$B$8772,0,IF(ABS(IF(ABS($E$10202)&gt;0.000000001,$E$10202,0.000000001))&gt;=8*$B$8774,$H$8786,0.5*$H$8786*(ABS(IF(ABS($E$10202)&gt;0.000000001,$E$10202,0.000000001))/$B$8774)^(1/3)))/ABS(IF(ABS($E$10202)&gt;0.000000001,$E$10202,0.000000001))*$I$8786)</f>
        <v/>
      </c>
      <c r="E10238" s="19">
        <f>0.5*$E$10202+0.5*$Z$10258</f>
        <v/>
      </c>
      <c r="F10238" s="19">
        <f>$Z$10259</f>
        <v/>
      </c>
    </row>
    <row r="10239">
      <c r="D10239" s="19">
        <f>IF(ABS(IF(ABS($E$10203)&gt;0.000000001,$E$10203,0.000000001))=0,0,IF($E$8787&lt;=$B$8772,0,IF(ABS(IF(ABS($E$10203)&gt;0.000000001,$E$10203,0.000000001))&gt;=8*$B$8774,$H$8787,0.5*$H$8787*(ABS(IF(ABS($E$10203)&gt;0.000000001,$E$10203,0.000000001))/$B$8774)^(1/3)))/ABS(IF(ABS($E$10203)&gt;0.000000001,$E$10203,0.000000001))*$I$8787)</f>
        <v/>
      </c>
      <c r="E10239" s="19">
        <f>0.5*$E$10203+0.5*$Z$10260</f>
        <v/>
      </c>
      <c r="F10239" s="19">
        <f>$Z$10261</f>
        <v/>
      </c>
    </row>
    <row r="10240">
      <c r="D10240" s="19">
        <f>IF(ABS(IF(ABS($E$10204)&gt;0.000000001,$E$10204,0.000000001))=0,0,IF($E$8788&lt;=$B$8772,0,IF(ABS(IF(ABS($E$10204)&gt;0.000000001,$E$10204,0.000000001))&gt;=8*$B$8774,$H$8788,0.5*$H$8788*(ABS(IF(ABS($E$10204)&gt;0.000000001,$E$10204,0.000000001))/$B$8774)^(1/3)))/ABS(IF(ABS($E$10204)&gt;0.000000001,$E$10204,0.000000001))*$I$8788)</f>
        <v/>
      </c>
      <c r="E10240" s="19">
        <f>0.5*$E$10204+0.5*$Z$10262</f>
        <v/>
      </c>
      <c r="F10240" s="19">
        <f>$Z$10263</f>
        <v/>
      </c>
    </row>
    <row r="10242">
      <c r="D10242" s="21">
        <f>$B$8763+$D$10230</f>
        <v/>
      </c>
      <c r="E10242" s="21">
        <f>$B$8764</f>
        <v/>
      </c>
      <c r="F10242" s="21">
        <f>-$B$8763</f>
        <v/>
      </c>
      <c r="G10242" s="21">
        <f>$B$8764</f>
        <v/>
      </c>
      <c r="H10242" s="21" t="n">
        <v>0</v>
      </c>
      <c r="I10242" s="21" t="n">
        <v>0</v>
      </c>
      <c r="J10242" s="21" t="n">
        <v>0</v>
      </c>
      <c r="K10242" s="21" t="n">
        <v>0</v>
      </c>
      <c r="L10242" s="21" t="n">
        <v>0</v>
      </c>
      <c r="M10242" s="21" t="n">
        <v>0</v>
      </c>
      <c r="N10242" s="21" t="n">
        <v>0</v>
      </c>
      <c r="O10242" s="21" t="n">
        <v>0</v>
      </c>
      <c r="P10242" s="21" t="n">
        <v>0</v>
      </c>
      <c r="Q10242" s="21" t="n">
        <v>0</v>
      </c>
      <c r="R10242" s="21" t="n">
        <v>0</v>
      </c>
      <c r="S10242" s="21" t="n">
        <v>0</v>
      </c>
      <c r="T10242" s="21" t="n">
        <v>0</v>
      </c>
      <c r="U10242" s="21" t="n">
        <v>0</v>
      </c>
      <c r="V10242" s="21" t="n">
        <v>0</v>
      </c>
      <c r="W10242" s="21" t="n">
        <v>0</v>
      </c>
      <c r="X10242" s="21" t="n">
        <v>0</v>
      </c>
      <c r="Y10242" s="21" t="n">
        <v>0</v>
      </c>
      <c r="Z10242" s="19">
        <f t="array" ref="Z10242:Z10263">MMULT(MINVERSE($D$10242:$Y$10263),$D$8790:$D$8811)</f>
        <v/>
      </c>
    </row>
    <row r="10243">
      <c r="D10243" s="21">
        <f>$B$8764</f>
        <v/>
      </c>
      <c r="E10243" s="21">
        <f>$B$8765</f>
        <v/>
      </c>
      <c r="F10243" s="21">
        <f>-$B$8764</f>
        <v/>
      </c>
      <c r="G10243" s="21">
        <f>$B$8766</f>
        <v/>
      </c>
      <c r="H10243" s="21" t="n">
        <v>0</v>
      </c>
      <c r="I10243" s="21" t="n">
        <v>0</v>
      </c>
      <c r="J10243" s="21" t="n">
        <v>0</v>
      </c>
      <c r="K10243" s="21" t="n">
        <v>0</v>
      </c>
      <c r="L10243" s="21" t="n">
        <v>0</v>
      </c>
      <c r="M10243" s="21" t="n">
        <v>0</v>
      </c>
      <c r="N10243" s="21" t="n">
        <v>0</v>
      </c>
      <c r="O10243" s="21" t="n">
        <v>0</v>
      </c>
      <c r="P10243" s="21" t="n">
        <v>0</v>
      </c>
      <c r="Q10243" s="21" t="n">
        <v>0</v>
      </c>
      <c r="R10243" s="21" t="n">
        <v>0</v>
      </c>
      <c r="S10243" s="21" t="n">
        <v>0</v>
      </c>
      <c r="T10243" s="21" t="n">
        <v>0</v>
      </c>
      <c r="U10243" s="21" t="n">
        <v>0</v>
      </c>
      <c r="V10243" s="21" t="n">
        <v>0</v>
      </c>
      <c r="W10243" s="21" t="n">
        <v>0</v>
      </c>
      <c r="X10243" s="21" t="n">
        <v>0</v>
      </c>
      <c r="Y10243" s="21" t="n">
        <v>0</v>
      </c>
      <c r="Z10243" s="19" t="n"/>
    </row>
    <row r="10244">
      <c r="D10244" s="21">
        <f>-$B$8763</f>
        <v/>
      </c>
      <c r="E10244" s="21">
        <f>-$B$8764</f>
        <v/>
      </c>
      <c r="F10244" s="21">
        <f>2*$B$8763+$D$10231</f>
        <v/>
      </c>
      <c r="G10244" s="21">
        <f>0</f>
        <v/>
      </c>
      <c r="H10244" s="21">
        <f>-$B$8763</f>
        <v/>
      </c>
      <c r="I10244" s="21">
        <f>$B$8764</f>
        <v/>
      </c>
      <c r="J10244" s="21" t="n">
        <v>0</v>
      </c>
      <c r="K10244" s="21" t="n">
        <v>0</v>
      </c>
      <c r="L10244" s="21" t="n">
        <v>0</v>
      </c>
      <c r="M10244" s="21" t="n">
        <v>0</v>
      </c>
      <c r="N10244" s="21" t="n">
        <v>0</v>
      </c>
      <c r="O10244" s="21" t="n">
        <v>0</v>
      </c>
      <c r="P10244" s="21" t="n">
        <v>0</v>
      </c>
      <c r="Q10244" s="21" t="n">
        <v>0</v>
      </c>
      <c r="R10244" s="21" t="n">
        <v>0</v>
      </c>
      <c r="S10244" s="21" t="n">
        <v>0</v>
      </c>
      <c r="T10244" s="21" t="n">
        <v>0</v>
      </c>
      <c r="U10244" s="21" t="n">
        <v>0</v>
      </c>
      <c r="V10244" s="21" t="n">
        <v>0</v>
      </c>
      <c r="W10244" s="21" t="n">
        <v>0</v>
      </c>
      <c r="X10244" s="21" t="n">
        <v>0</v>
      </c>
      <c r="Y10244" s="21" t="n">
        <v>0</v>
      </c>
      <c r="Z10244" s="19" t="n"/>
    </row>
    <row r="10245">
      <c r="D10245" s="21">
        <f>$B$8764</f>
        <v/>
      </c>
      <c r="E10245" s="21">
        <f>$B$8766</f>
        <v/>
      </c>
      <c r="F10245" s="21">
        <f>0</f>
        <v/>
      </c>
      <c r="G10245" s="21">
        <f>2*$B$8765</f>
        <v/>
      </c>
      <c r="H10245" s="21">
        <f>-$B$8764</f>
        <v/>
      </c>
      <c r="I10245" s="21">
        <f>$B$8766</f>
        <v/>
      </c>
      <c r="J10245" s="21" t="n">
        <v>0</v>
      </c>
      <c r="K10245" s="21" t="n">
        <v>0</v>
      </c>
      <c r="L10245" s="21" t="n">
        <v>0</v>
      </c>
      <c r="M10245" s="21" t="n">
        <v>0</v>
      </c>
      <c r="N10245" s="21" t="n">
        <v>0</v>
      </c>
      <c r="O10245" s="21" t="n">
        <v>0</v>
      </c>
      <c r="P10245" s="21" t="n">
        <v>0</v>
      </c>
      <c r="Q10245" s="21" t="n">
        <v>0</v>
      </c>
      <c r="R10245" s="21" t="n">
        <v>0</v>
      </c>
      <c r="S10245" s="21" t="n">
        <v>0</v>
      </c>
      <c r="T10245" s="21" t="n">
        <v>0</v>
      </c>
      <c r="U10245" s="21" t="n">
        <v>0</v>
      </c>
      <c r="V10245" s="21" t="n">
        <v>0</v>
      </c>
      <c r="W10245" s="21" t="n">
        <v>0</v>
      </c>
      <c r="X10245" s="21" t="n">
        <v>0</v>
      </c>
      <c r="Y10245" s="21" t="n">
        <v>0</v>
      </c>
      <c r="Z10245" s="19" t="n"/>
    </row>
    <row r="10246">
      <c r="D10246" s="21" t="n">
        <v>0</v>
      </c>
      <c r="E10246" s="21" t="n">
        <v>0</v>
      </c>
      <c r="F10246" s="21">
        <f>-$B$8763</f>
        <v/>
      </c>
      <c r="G10246" s="21">
        <f>-$B$8764</f>
        <v/>
      </c>
      <c r="H10246" s="21">
        <f>2*$B$8763+$D$10232</f>
        <v/>
      </c>
      <c r="I10246" s="21">
        <f>0</f>
        <v/>
      </c>
      <c r="J10246" s="21">
        <f>-$B$8763</f>
        <v/>
      </c>
      <c r="K10246" s="21">
        <f>$B$8764</f>
        <v/>
      </c>
      <c r="L10246" s="21" t="n">
        <v>0</v>
      </c>
      <c r="M10246" s="21" t="n">
        <v>0</v>
      </c>
      <c r="N10246" s="21" t="n">
        <v>0</v>
      </c>
      <c r="O10246" s="21" t="n">
        <v>0</v>
      </c>
      <c r="P10246" s="21" t="n">
        <v>0</v>
      </c>
      <c r="Q10246" s="21" t="n">
        <v>0</v>
      </c>
      <c r="R10246" s="21" t="n">
        <v>0</v>
      </c>
      <c r="S10246" s="21" t="n">
        <v>0</v>
      </c>
      <c r="T10246" s="21" t="n">
        <v>0</v>
      </c>
      <c r="U10246" s="21" t="n">
        <v>0</v>
      </c>
      <c r="V10246" s="21" t="n">
        <v>0</v>
      </c>
      <c r="W10246" s="21" t="n">
        <v>0</v>
      </c>
      <c r="X10246" s="21" t="n">
        <v>0</v>
      </c>
      <c r="Y10246" s="21" t="n">
        <v>0</v>
      </c>
      <c r="Z10246" s="19" t="n"/>
    </row>
    <row r="10247">
      <c r="D10247" s="21" t="n">
        <v>0</v>
      </c>
      <c r="E10247" s="21" t="n">
        <v>0</v>
      </c>
      <c r="F10247" s="21">
        <f>$B$8764</f>
        <v/>
      </c>
      <c r="G10247" s="21">
        <f>$B$8766</f>
        <v/>
      </c>
      <c r="H10247" s="21">
        <f>0</f>
        <v/>
      </c>
      <c r="I10247" s="21">
        <f>2*$B$8765</f>
        <v/>
      </c>
      <c r="J10247" s="21">
        <f>-$B$8764</f>
        <v/>
      </c>
      <c r="K10247" s="21">
        <f>$B$8766</f>
        <v/>
      </c>
      <c r="L10247" s="21" t="n">
        <v>0</v>
      </c>
      <c r="M10247" s="21" t="n">
        <v>0</v>
      </c>
      <c r="N10247" s="21" t="n">
        <v>0</v>
      </c>
      <c r="O10247" s="21" t="n">
        <v>0</v>
      </c>
      <c r="P10247" s="21" t="n">
        <v>0</v>
      </c>
      <c r="Q10247" s="21" t="n">
        <v>0</v>
      </c>
      <c r="R10247" s="21" t="n">
        <v>0</v>
      </c>
      <c r="S10247" s="21" t="n">
        <v>0</v>
      </c>
      <c r="T10247" s="21" t="n">
        <v>0</v>
      </c>
      <c r="U10247" s="21" t="n">
        <v>0</v>
      </c>
      <c r="V10247" s="21" t="n">
        <v>0</v>
      </c>
      <c r="W10247" s="21" t="n">
        <v>0</v>
      </c>
      <c r="X10247" s="21" t="n">
        <v>0</v>
      </c>
      <c r="Y10247" s="21" t="n">
        <v>0</v>
      </c>
      <c r="Z10247" s="19" t="n"/>
    </row>
    <row r="10248">
      <c r="D10248" s="21" t="n">
        <v>0</v>
      </c>
      <c r="E10248" s="21" t="n">
        <v>0</v>
      </c>
      <c r="F10248" s="21" t="n">
        <v>0</v>
      </c>
      <c r="G10248" s="21" t="n">
        <v>0</v>
      </c>
      <c r="H10248" s="21">
        <f>-$B$8763</f>
        <v/>
      </c>
      <c r="I10248" s="21">
        <f>-$B$8764</f>
        <v/>
      </c>
      <c r="J10248" s="21">
        <f>2*$B$8763+$D$10233</f>
        <v/>
      </c>
      <c r="K10248" s="21">
        <f>0</f>
        <v/>
      </c>
      <c r="L10248" s="21">
        <f>-$B$8763</f>
        <v/>
      </c>
      <c r="M10248" s="21">
        <f>$B$8764</f>
        <v/>
      </c>
      <c r="N10248" s="21" t="n">
        <v>0</v>
      </c>
      <c r="O10248" s="21" t="n">
        <v>0</v>
      </c>
      <c r="P10248" s="21" t="n">
        <v>0</v>
      </c>
      <c r="Q10248" s="21" t="n">
        <v>0</v>
      </c>
      <c r="R10248" s="21" t="n">
        <v>0</v>
      </c>
      <c r="S10248" s="21" t="n">
        <v>0</v>
      </c>
      <c r="T10248" s="21" t="n">
        <v>0</v>
      </c>
      <c r="U10248" s="21" t="n">
        <v>0</v>
      </c>
      <c r="V10248" s="21" t="n">
        <v>0</v>
      </c>
      <c r="W10248" s="21" t="n">
        <v>0</v>
      </c>
      <c r="X10248" s="21" t="n">
        <v>0</v>
      </c>
      <c r="Y10248" s="21" t="n">
        <v>0</v>
      </c>
      <c r="Z10248" s="19" t="n"/>
    </row>
    <row r="10249">
      <c r="D10249" s="21" t="n">
        <v>0</v>
      </c>
      <c r="E10249" s="21" t="n">
        <v>0</v>
      </c>
      <c r="F10249" s="21" t="n">
        <v>0</v>
      </c>
      <c r="G10249" s="21" t="n">
        <v>0</v>
      </c>
      <c r="H10249" s="21">
        <f>$B$8764</f>
        <v/>
      </c>
      <c r="I10249" s="21">
        <f>$B$8766</f>
        <v/>
      </c>
      <c r="J10249" s="21">
        <f>0</f>
        <v/>
      </c>
      <c r="K10249" s="21">
        <f>2*$B$8765</f>
        <v/>
      </c>
      <c r="L10249" s="21">
        <f>-$B$8764</f>
        <v/>
      </c>
      <c r="M10249" s="21">
        <f>$B$8766</f>
        <v/>
      </c>
      <c r="N10249" s="21" t="n">
        <v>0</v>
      </c>
      <c r="O10249" s="21" t="n">
        <v>0</v>
      </c>
      <c r="P10249" s="21" t="n">
        <v>0</v>
      </c>
      <c r="Q10249" s="21" t="n">
        <v>0</v>
      </c>
      <c r="R10249" s="21" t="n">
        <v>0</v>
      </c>
      <c r="S10249" s="21" t="n">
        <v>0</v>
      </c>
      <c r="T10249" s="21" t="n">
        <v>0</v>
      </c>
      <c r="U10249" s="21" t="n">
        <v>0</v>
      </c>
      <c r="V10249" s="21" t="n">
        <v>0</v>
      </c>
      <c r="W10249" s="21" t="n">
        <v>0</v>
      </c>
      <c r="X10249" s="21" t="n">
        <v>0</v>
      </c>
      <c r="Y10249" s="21" t="n">
        <v>0</v>
      </c>
      <c r="Z10249" s="19" t="n"/>
    </row>
    <row r="10250">
      <c r="D10250" s="21" t="n">
        <v>0</v>
      </c>
      <c r="E10250" s="21" t="n">
        <v>0</v>
      </c>
      <c r="F10250" s="21" t="n">
        <v>0</v>
      </c>
      <c r="G10250" s="21" t="n">
        <v>0</v>
      </c>
      <c r="H10250" s="21" t="n">
        <v>0</v>
      </c>
      <c r="I10250" s="21" t="n">
        <v>0</v>
      </c>
      <c r="J10250" s="21">
        <f>-$B$8763</f>
        <v/>
      </c>
      <c r="K10250" s="21">
        <f>-$B$8764</f>
        <v/>
      </c>
      <c r="L10250" s="21">
        <f>2*$B$8763+$D$10234</f>
        <v/>
      </c>
      <c r="M10250" s="21">
        <f>0</f>
        <v/>
      </c>
      <c r="N10250" s="21">
        <f>-$B$8763</f>
        <v/>
      </c>
      <c r="O10250" s="21">
        <f>$B$8764</f>
        <v/>
      </c>
      <c r="P10250" s="21" t="n">
        <v>0</v>
      </c>
      <c r="Q10250" s="21" t="n">
        <v>0</v>
      </c>
      <c r="R10250" s="21" t="n">
        <v>0</v>
      </c>
      <c r="S10250" s="21" t="n">
        <v>0</v>
      </c>
      <c r="T10250" s="21" t="n">
        <v>0</v>
      </c>
      <c r="U10250" s="21" t="n">
        <v>0</v>
      </c>
      <c r="V10250" s="21" t="n">
        <v>0</v>
      </c>
      <c r="W10250" s="21" t="n">
        <v>0</v>
      </c>
      <c r="X10250" s="21" t="n">
        <v>0</v>
      </c>
      <c r="Y10250" s="21" t="n">
        <v>0</v>
      </c>
      <c r="Z10250" s="19" t="n"/>
    </row>
    <row r="10251">
      <c r="D10251" s="21" t="n">
        <v>0</v>
      </c>
      <c r="E10251" s="21" t="n">
        <v>0</v>
      </c>
      <c r="F10251" s="21" t="n">
        <v>0</v>
      </c>
      <c r="G10251" s="21" t="n">
        <v>0</v>
      </c>
      <c r="H10251" s="21" t="n">
        <v>0</v>
      </c>
      <c r="I10251" s="21" t="n">
        <v>0</v>
      </c>
      <c r="J10251" s="21">
        <f>$B$8764</f>
        <v/>
      </c>
      <c r="K10251" s="21">
        <f>$B$8766</f>
        <v/>
      </c>
      <c r="L10251" s="21">
        <f>0</f>
        <v/>
      </c>
      <c r="M10251" s="21">
        <f>2*$B$8765</f>
        <v/>
      </c>
      <c r="N10251" s="21">
        <f>-$B$8764</f>
        <v/>
      </c>
      <c r="O10251" s="21">
        <f>$B$8766</f>
        <v/>
      </c>
      <c r="P10251" s="21" t="n">
        <v>0</v>
      </c>
      <c r="Q10251" s="21" t="n">
        <v>0</v>
      </c>
      <c r="R10251" s="21" t="n">
        <v>0</v>
      </c>
      <c r="S10251" s="21" t="n">
        <v>0</v>
      </c>
      <c r="T10251" s="21" t="n">
        <v>0</v>
      </c>
      <c r="U10251" s="21" t="n">
        <v>0</v>
      </c>
      <c r="V10251" s="21" t="n">
        <v>0</v>
      </c>
      <c r="W10251" s="21" t="n">
        <v>0</v>
      </c>
      <c r="X10251" s="21" t="n">
        <v>0</v>
      </c>
      <c r="Y10251" s="21" t="n">
        <v>0</v>
      </c>
      <c r="Z10251" s="19" t="n"/>
    </row>
    <row r="10252">
      <c r="D10252" s="21" t="n">
        <v>0</v>
      </c>
      <c r="E10252" s="21" t="n">
        <v>0</v>
      </c>
      <c r="F10252" s="21" t="n">
        <v>0</v>
      </c>
      <c r="G10252" s="21" t="n">
        <v>0</v>
      </c>
      <c r="H10252" s="21" t="n">
        <v>0</v>
      </c>
      <c r="I10252" s="21" t="n">
        <v>0</v>
      </c>
      <c r="J10252" s="21" t="n">
        <v>0</v>
      </c>
      <c r="K10252" s="21" t="n">
        <v>0</v>
      </c>
      <c r="L10252" s="21">
        <f>-$B$8763</f>
        <v/>
      </c>
      <c r="M10252" s="21">
        <f>-$B$8764</f>
        <v/>
      </c>
      <c r="N10252" s="21">
        <f>2*$B$8763+$D$10235</f>
        <v/>
      </c>
      <c r="O10252" s="21">
        <f>0</f>
        <v/>
      </c>
      <c r="P10252" s="21">
        <f>-$B$8763</f>
        <v/>
      </c>
      <c r="Q10252" s="21">
        <f>$B$8764</f>
        <v/>
      </c>
      <c r="R10252" s="21" t="n">
        <v>0</v>
      </c>
      <c r="S10252" s="21" t="n">
        <v>0</v>
      </c>
      <c r="T10252" s="21" t="n">
        <v>0</v>
      </c>
      <c r="U10252" s="21" t="n">
        <v>0</v>
      </c>
      <c r="V10252" s="21" t="n">
        <v>0</v>
      </c>
      <c r="W10252" s="21" t="n">
        <v>0</v>
      </c>
      <c r="X10252" s="21" t="n">
        <v>0</v>
      </c>
      <c r="Y10252" s="21" t="n">
        <v>0</v>
      </c>
      <c r="Z10252" s="19" t="n"/>
    </row>
    <row r="10253">
      <c r="D10253" s="21" t="n">
        <v>0</v>
      </c>
      <c r="E10253" s="21" t="n">
        <v>0</v>
      </c>
      <c r="F10253" s="21" t="n">
        <v>0</v>
      </c>
      <c r="G10253" s="21" t="n">
        <v>0</v>
      </c>
      <c r="H10253" s="21" t="n">
        <v>0</v>
      </c>
      <c r="I10253" s="21" t="n">
        <v>0</v>
      </c>
      <c r="J10253" s="21" t="n">
        <v>0</v>
      </c>
      <c r="K10253" s="21" t="n">
        <v>0</v>
      </c>
      <c r="L10253" s="21">
        <f>$B$8764</f>
        <v/>
      </c>
      <c r="M10253" s="21">
        <f>$B$8766</f>
        <v/>
      </c>
      <c r="N10253" s="21">
        <f>0</f>
        <v/>
      </c>
      <c r="O10253" s="21">
        <f>2*$B$8765</f>
        <v/>
      </c>
      <c r="P10253" s="21">
        <f>-$B$8764</f>
        <v/>
      </c>
      <c r="Q10253" s="21">
        <f>$B$8766</f>
        <v/>
      </c>
      <c r="R10253" s="21" t="n">
        <v>0</v>
      </c>
      <c r="S10253" s="21" t="n">
        <v>0</v>
      </c>
      <c r="T10253" s="21" t="n">
        <v>0</v>
      </c>
      <c r="U10253" s="21" t="n">
        <v>0</v>
      </c>
      <c r="V10253" s="21" t="n">
        <v>0</v>
      </c>
      <c r="W10253" s="21" t="n">
        <v>0</v>
      </c>
      <c r="X10253" s="21" t="n">
        <v>0</v>
      </c>
      <c r="Y10253" s="21" t="n">
        <v>0</v>
      </c>
      <c r="Z10253" s="19" t="n"/>
    </row>
    <row r="10254">
      <c r="D10254" s="21" t="n">
        <v>0</v>
      </c>
      <c r="E10254" s="21" t="n">
        <v>0</v>
      </c>
      <c r="F10254" s="21" t="n">
        <v>0</v>
      </c>
      <c r="G10254" s="21" t="n">
        <v>0</v>
      </c>
      <c r="H10254" s="21" t="n">
        <v>0</v>
      </c>
      <c r="I10254" s="21" t="n">
        <v>0</v>
      </c>
      <c r="J10254" s="21" t="n">
        <v>0</v>
      </c>
      <c r="K10254" s="21" t="n">
        <v>0</v>
      </c>
      <c r="L10254" s="21" t="n">
        <v>0</v>
      </c>
      <c r="M10254" s="21" t="n">
        <v>0</v>
      </c>
      <c r="N10254" s="21">
        <f>-$B$8763</f>
        <v/>
      </c>
      <c r="O10254" s="21">
        <f>-$B$8764</f>
        <v/>
      </c>
      <c r="P10254" s="21">
        <f>2*$B$8763+$D$10236</f>
        <v/>
      </c>
      <c r="Q10254" s="21">
        <f>0</f>
        <v/>
      </c>
      <c r="R10254" s="21">
        <f>-$B$8763</f>
        <v/>
      </c>
      <c r="S10254" s="21">
        <f>$B$8764</f>
        <v/>
      </c>
      <c r="T10254" s="21" t="n">
        <v>0</v>
      </c>
      <c r="U10254" s="21" t="n">
        <v>0</v>
      </c>
      <c r="V10254" s="21" t="n">
        <v>0</v>
      </c>
      <c r="W10254" s="21" t="n">
        <v>0</v>
      </c>
      <c r="X10254" s="21" t="n">
        <v>0</v>
      </c>
      <c r="Y10254" s="21" t="n">
        <v>0</v>
      </c>
      <c r="Z10254" s="19" t="n"/>
    </row>
    <row r="10255">
      <c r="D10255" s="21" t="n">
        <v>0</v>
      </c>
      <c r="E10255" s="21" t="n">
        <v>0</v>
      </c>
      <c r="F10255" s="21" t="n">
        <v>0</v>
      </c>
      <c r="G10255" s="21" t="n">
        <v>0</v>
      </c>
      <c r="H10255" s="21" t="n">
        <v>0</v>
      </c>
      <c r="I10255" s="21" t="n">
        <v>0</v>
      </c>
      <c r="J10255" s="21" t="n">
        <v>0</v>
      </c>
      <c r="K10255" s="21" t="n">
        <v>0</v>
      </c>
      <c r="L10255" s="21" t="n">
        <v>0</v>
      </c>
      <c r="M10255" s="21" t="n">
        <v>0</v>
      </c>
      <c r="N10255" s="21">
        <f>$B$8764</f>
        <v/>
      </c>
      <c r="O10255" s="21">
        <f>$B$8766</f>
        <v/>
      </c>
      <c r="P10255" s="21">
        <f>0</f>
        <v/>
      </c>
      <c r="Q10255" s="21">
        <f>2*$B$8765</f>
        <v/>
      </c>
      <c r="R10255" s="21">
        <f>-$B$8764</f>
        <v/>
      </c>
      <c r="S10255" s="21">
        <f>$B$8766</f>
        <v/>
      </c>
      <c r="T10255" s="21" t="n">
        <v>0</v>
      </c>
      <c r="U10255" s="21" t="n">
        <v>0</v>
      </c>
      <c r="V10255" s="21" t="n">
        <v>0</v>
      </c>
      <c r="W10255" s="21" t="n">
        <v>0</v>
      </c>
      <c r="X10255" s="21" t="n">
        <v>0</v>
      </c>
      <c r="Y10255" s="21" t="n">
        <v>0</v>
      </c>
      <c r="Z10255" s="19" t="n"/>
    </row>
    <row r="10256">
      <c r="D10256" s="21" t="n">
        <v>0</v>
      </c>
      <c r="E10256" s="21" t="n">
        <v>0</v>
      </c>
      <c r="F10256" s="21" t="n">
        <v>0</v>
      </c>
      <c r="G10256" s="21" t="n">
        <v>0</v>
      </c>
      <c r="H10256" s="21" t="n">
        <v>0</v>
      </c>
      <c r="I10256" s="21" t="n">
        <v>0</v>
      </c>
      <c r="J10256" s="21" t="n">
        <v>0</v>
      </c>
      <c r="K10256" s="21" t="n">
        <v>0</v>
      </c>
      <c r="L10256" s="21" t="n">
        <v>0</v>
      </c>
      <c r="M10256" s="21" t="n">
        <v>0</v>
      </c>
      <c r="N10256" s="21" t="n">
        <v>0</v>
      </c>
      <c r="O10256" s="21" t="n">
        <v>0</v>
      </c>
      <c r="P10256" s="21">
        <f>-$B$8763</f>
        <v/>
      </c>
      <c r="Q10256" s="21">
        <f>-$B$8764</f>
        <v/>
      </c>
      <c r="R10256" s="21">
        <f>2*$B$8763+$D$10237</f>
        <v/>
      </c>
      <c r="S10256" s="21">
        <f>0</f>
        <v/>
      </c>
      <c r="T10256" s="21">
        <f>-$B$8763</f>
        <v/>
      </c>
      <c r="U10256" s="21">
        <f>$B$8764</f>
        <v/>
      </c>
      <c r="V10256" s="21" t="n">
        <v>0</v>
      </c>
      <c r="W10256" s="21" t="n">
        <v>0</v>
      </c>
      <c r="X10256" s="21" t="n">
        <v>0</v>
      </c>
      <c r="Y10256" s="21" t="n">
        <v>0</v>
      </c>
      <c r="Z10256" s="19" t="n"/>
    </row>
    <row r="10257">
      <c r="D10257" s="21" t="n">
        <v>0</v>
      </c>
      <c r="E10257" s="21" t="n">
        <v>0</v>
      </c>
      <c r="F10257" s="21" t="n">
        <v>0</v>
      </c>
      <c r="G10257" s="21" t="n">
        <v>0</v>
      </c>
      <c r="H10257" s="21" t="n">
        <v>0</v>
      </c>
      <c r="I10257" s="21" t="n">
        <v>0</v>
      </c>
      <c r="J10257" s="21" t="n">
        <v>0</v>
      </c>
      <c r="K10257" s="21" t="n">
        <v>0</v>
      </c>
      <c r="L10257" s="21" t="n">
        <v>0</v>
      </c>
      <c r="M10257" s="21" t="n">
        <v>0</v>
      </c>
      <c r="N10257" s="21" t="n">
        <v>0</v>
      </c>
      <c r="O10257" s="21" t="n">
        <v>0</v>
      </c>
      <c r="P10257" s="21">
        <f>$B$8764</f>
        <v/>
      </c>
      <c r="Q10257" s="21">
        <f>$B$8766</f>
        <v/>
      </c>
      <c r="R10257" s="21">
        <f>0</f>
        <v/>
      </c>
      <c r="S10257" s="21">
        <f>2*$B$8765</f>
        <v/>
      </c>
      <c r="T10257" s="21">
        <f>-$B$8764</f>
        <v/>
      </c>
      <c r="U10257" s="21">
        <f>$B$8766</f>
        <v/>
      </c>
      <c r="V10257" s="21" t="n">
        <v>0</v>
      </c>
      <c r="W10257" s="21" t="n">
        <v>0</v>
      </c>
      <c r="X10257" s="21" t="n">
        <v>0</v>
      </c>
      <c r="Y10257" s="21" t="n">
        <v>0</v>
      </c>
      <c r="Z10257" s="19" t="n"/>
    </row>
    <row r="10258">
      <c r="D10258" s="21" t="n">
        <v>0</v>
      </c>
      <c r="E10258" s="21" t="n">
        <v>0</v>
      </c>
      <c r="F10258" s="21" t="n">
        <v>0</v>
      </c>
      <c r="G10258" s="21" t="n">
        <v>0</v>
      </c>
      <c r="H10258" s="21" t="n">
        <v>0</v>
      </c>
      <c r="I10258" s="21" t="n">
        <v>0</v>
      </c>
      <c r="J10258" s="21" t="n">
        <v>0</v>
      </c>
      <c r="K10258" s="21" t="n">
        <v>0</v>
      </c>
      <c r="L10258" s="21" t="n">
        <v>0</v>
      </c>
      <c r="M10258" s="21" t="n">
        <v>0</v>
      </c>
      <c r="N10258" s="21" t="n">
        <v>0</v>
      </c>
      <c r="O10258" s="21" t="n">
        <v>0</v>
      </c>
      <c r="P10258" s="21" t="n">
        <v>0</v>
      </c>
      <c r="Q10258" s="21" t="n">
        <v>0</v>
      </c>
      <c r="R10258" s="21">
        <f>-$B$8763</f>
        <v/>
      </c>
      <c r="S10258" s="21">
        <f>-$B$8764</f>
        <v/>
      </c>
      <c r="T10258" s="21">
        <f>2*$B$8763+$D$10238</f>
        <v/>
      </c>
      <c r="U10258" s="21">
        <f>0</f>
        <v/>
      </c>
      <c r="V10258" s="21">
        <f>-$B$8763</f>
        <v/>
      </c>
      <c r="W10258" s="21">
        <f>$B$8764</f>
        <v/>
      </c>
      <c r="X10258" s="21" t="n">
        <v>0</v>
      </c>
      <c r="Y10258" s="21" t="n">
        <v>0</v>
      </c>
      <c r="Z10258" s="19" t="n"/>
    </row>
    <row r="10259">
      <c r="D10259" s="21" t="n">
        <v>0</v>
      </c>
      <c r="E10259" s="21" t="n">
        <v>0</v>
      </c>
      <c r="F10259" s="21" t="n">
        <v>0</v>
      </c>
      <c r="G10259" s="21" t="n">
        <v>0</v>
      </c>
      <c r="H10259" s="21" t="n">
        <v>0</v>
      </c>
      <c r="I10259" s="21" t="n">
        <v>0</v>
      </c>
      <c r="J10259" s="21" t="n">
        <v>0</v>
      </c>
      <c r="K10259" s="21" t="n">
        <v>0</v>
      </c>
      <c r="L10259" s="21" t="n">
        <v>0</v>
      </c>
      <c r="M10259" s="21" t="n">
        <v>0</v>
      </c>
      <c r="N10259" s="21" t="n">
        <v>0</v>
      </c>
      <c r="O10259" s="21" t="n">
        <v>0</v>
      </c>
      <c r="P10259" s="21" t="n">
        <v>0</v>
      </c>
      <c r="Q10259" s="21" t="n">
        <v>0</v>
      </c>
      <c r="R10259" s="21">
        <f>$B$8764</f>
        <v/>
      </c>
      <c r="S10259" s="21">
        <f>$B$8766</f>
        <v/>
      </c>
      <c r="T10259" s="21">
        <f>0</f>
        <v/>
      </c>
      <c r="U10259" s="21">
        <f>2*$B$8765</f>
        <v/>
      </c>
      <c r="V10259" s="21">
        <f>-$B$8764</f>
        <v/>
      </c>
      <c r="W10259" s="21">
        <f>$B$8766</f>
        <v/>
      </c>
      <c r="X10259" s="21" t="n">
        <v>0</v>
      </c>
      <c r="Y10259" s="21" t="n">
        <v>0</v>
      </c>
      <c r="Z10259" s="19" t="n"/>
    </row>
    <row r="10260">
      <c r="D10260" s="21" t="n">
        <v>0</v>
      </c>
      <c r="E10260" s="21" t="n">
        <v>0</v>
      </c>
      <c r="F10260" s="21" t="n">
        <v>0</v>
      </c>
      <c r="G10260" s="21" t="n">
        <v>0</v>
      </c>
      <c r="H10260" s="21" t="n">
        <v>0</v>
      </c>
      <c r="I10260" s="21" t="n">
        <v>0</v>
      </c>
      <c r="J10260" s="21" t="n">
        <v>0</v>
      </c>
      <c r="K10260" s="21" t="n">
        <v>0</v>
      </c>
      <c r="L10260" s="21" t="n">
        <v>0</v>
      </c>
      <c r="M10260" s="21" t="n">
        <v>0</v>
      </c>
      <c r="N10260" s="21" t="n">
        <v>0</v>
      </c>
      <c r="O10260" s="21" t="n">
        <v>0</v>
      </c>
      <c r="P10260" s="21" t="n">
        <v>0</v>
      </c>
      <c r="Q10260" s="21" t="n">
        <v>0</v>
      </c>
      <c r="R10260" s="21" t="n">
        <v>0</v>
      </c>
      <c r="S10260" s="21" t="n">
        <v>0</v>
      </c>
      <c r="T10260" s="21">
        <f>-$B$8763</f>
        <v/>
      </c>
      <c r="U10260" s="21">
        <f>-$B$8764</f>
        <v/>
      </c>
      <c r="V10260" s="21">
        <f>2*$B$8763+$D$10239</f>
        <v/>
      </c>
      <c r="W10260" s="21">
        <f>0</f>
        <v/>
      </c>
      <c r="X10260" s="21">
        <f>-$B$8763</f>
        <v/>
      </c>
      <c r="Y10260" s="21">
        <f>$B$8764</f>
        <v/>
      </c>
      <c r="Z10260" s="19" t="n"/>
    </row>
    <row r="10261">
      <c r="D10261" s="21" t="n">
        <v>0</v>
      </c>
      <c r="E10261" s="21" t="n">
        <v>0</v>
      </c>
      <c r="F10261" s="21" t="n">
        <v>0</v>
      </c>
      <c r="G10261" s="21" t="n">
        <v>0</v>
      </c>
      <c r="H10261" s="21" t="n">
        <v>0</v>
      </c>
      <c r="I10261" s="21" t="n">
        <v>0</v>
      </c>
      <c r="J10261" s="21" t="n">
        <v>0</v>
      </c>
      <c r="K10261" s="21" t="n">
        <v>0</v>
      </c>
      <c r="L10261" s="21" t="n">
        <v>0</v>
      </c>
      <c r="M10261" s="21" t="n">
        <v>0</v>
      </c>
      <c r="N10261" s="21" t="n">
        <v>0</v>
      </c>
      <c r="O10261" s="21" t="n">
        <v>0</v>
      </c>
      <c r="P10261" s="21" t="n">
        <v>0</v>
      </c>
      <c r="Q10261" s="21" t="n">
        <v>0</v>
      </c>
      <c r="R10261" s="21" t="n">
        <v>0</v>
      </c>
      <c r="S10261" s="21" t="n">
        <v>0</v>
      </c>
      <c r="T10261" s="21">
        <f>$B$8764</f>
        <v/>
      </c>
      <c r="U10261" s="21">
        <f>$B$8766</f>
        <v/>
      </c>
      <c r="V10261" s="21">
        <f>0</f>
        <v/>
      </c>
      <c r="W10261" s="21">
        <f>2*$B$8765</f>
        <v/>
      </c>
      <c r="X10261" s="21">
        <f>-$B$8764</f>
        <v/>
      </c>
      <c r="Y10261" s="21">
        <f>$B$8766</f>
        <v/>
      </c>
      <c r="Z10261" s="19" t="n"/>
    </row>
    <row r="10262">
      <c r="D10262" s="21" t="n">
        <v>0</v>
      </c>
      <c r="E10262" s="21" t="n">
        <v>0</v>
      </c>
      <c r="F10262" s="21" t="n">
        <v>0</v>
      </c>
      <c r="G10262" s="21" t="n">
        <v>0</v>
      </c>
      <c r="H10262" s="21" t="n">
        <v>0</v>
      </c>
      <c r="I10262" s="21" t="n">
        <v>0</v>
      </c>
      <c r="J10262" s="21" t="n">
        <v>0</v>
      </c>
      <c r="K10262" s="21" t="n">
        <v>0</v>
      </c>
      <c r="L10262" s="21" t="n">
        <v>0</v>
      </c>
      <c r="M10262" s="21" t="n">
        <v>0</v>
      </c>
      <c r="N10262" s="21" t="n">
        <v>0</v>
      </c>
      <c r="O10262" s="21" t="n">
        <v>0</v>
      </c>
      <c r="P10262" s="21" t="n">
        <v>0</v>
      </c>
      <c r="Q10262" s="21" t="n">
        <v>0</v>
      </c>
      <c r="R10262" s="21" t="n">
        <v>0</v>
      </c>
      <c r="S10262" s="21" t="n">
        <v>0</v>
      </c>
      <c r="T10262" s="21" t="n">
        <v>0</v>
      </c>
      <c r="U10262" s="21" t="n">
        <v>0</v>
      </c>
      <c r="V10262" s="21">
        <f>-$B$8763</f>
        <v/>
      </c>
      <c r="W10262" s="21">
        <f>-$B$8764</f>
        <v/>
      </c>
      <c r="X10262" s="21">
        <f>$B$8763+$D$10240</f>
        <v/>
      </c>
      <c r="Y10262" s="21">
        <f>-$B$8764</f>
        <v/>
      </c>
      <c r="Z10262" s="19" t="n"/>
    </row>
    <row r="10263">
      <c r="D10263" s="21" t="n">
        <v>0</v>
      </c>
      <c r="E10263" s="21" t="n">
        <v>0</v>
      </c>
      <c r="F10263" s="21" t="n">
        <v>0</v>
      </c>
      <c r="G10263" s="21" t="n">
        <v>0</v>
      </c>
      <c r="H10263" s="21" t="n">
        <v>0</v>
      </c>
      <c r="I10263" s="21" t="n">
        <v>0</v>
      </c>
      <c r="J10263" s="21" t="n">
        <v>0</v>
      </c>
      <c r="K10263" s="21" t="n">
        <v>0</v>
      </c>
      <c r="L10263" s="21" t="n">
        <v>0</v>
      </c>
      <c r="M10263" s="21" t="n">
        <v>0</v>
      </c>
      <c r="N10263" s="21" t="n">
        <v>0</v>
      </c>
      <c r="O10263" s="21" t="n">
        <v>0</v>
      </c>
      <c r="P10263" s="21" t="n">
        <v>0</v>
      </c>
      <c r="Q10263" s="21" t="n">
        <v>0</v>
      </c>
      <c r="R10263" s="21" t="n">
        <v>0</v>
      </c>
      <c r="S10263" s="21" t="n">
        <v>0</v>
      </c>
      <c r="T10263" s="21" t="n">
        <v>0</v>
      </c>
      <c r="U10263" s="21" t="n">
        <v>0</v>
      </c>
      <c r="V10263" s="21">
        <f>$B$8764</f>
        <v/>
      </c>
      <c r="W10263" s="21">
        <f>$B$8766</f>
        <v/>
      </c>
      <c r="X10263" s="21">
        <f>-$B$8764</f>
        <v/>
      </c>
      <c r="Y10263" s="21">
        <f>$B$8765</f>
        <v/>
      </c>
      <c r="Z10263" s="19" t="n"/>
    </row>
    <row r="10265">
      <c r="A10265" s="8" t="inlineStr">
        <is>
          <t>gen 41</t>
        </is>
      </c>
    </row>
    <row r="10266">
      <c r="D10266" s="19">
        <f>IF(ABS(IF(ABS($E$10230)&gt;0.000000001,$E$10230,0.000000001))=0,0,IF($E$8778&lt;=$B$8772,0,IF(ABS(IF(ABS($E$10230)&gt;0.000000001,$E$10230,0.000000001))&gt;=8*$B$8774,$H$8778,0.5*$H$8778*(ABS(IF(ABS($E$10230)&gt;0.000000001,$E$10230,0.000000001))/$B$8774)^(1/3)))/ABS(IF(ABS($E$10230)&gt;0.000000001,$E$10230,0.000000001))*$I$8778)</f>
        <v/>
      </c>
      <c r="E10266" s="19">
        <f>0.5*$E$10230+0.5*$Z$10278</f>
        <v/>
      </c>
      <c r="F10266" s="19">
        <f>$Z$10279</f>
        <v/>
      </c>
    </row>
    <row r="10267">
      <c r="D10267" s="19">
        <f>IF(ABS(IF(ABS($E$10231)&gt;0.000000001,$E$10231,0.000000001))=0,0,IF($E$8779&lt;=$B$8772,0,IF(ABS(IF(ABS($E$10231)&gt;0.000000001,$E$10231,0.000000001))&gt;=8*$B$8774,$H$8779,0.5*$H$8779*(ABS(IF(ABS($E$10231)&gt;0.000000001,$E$10231,0.000000001))/$B$8774)^(1/3)))/ABS(IF(ABS($E$10231)&gt;0.000000001,$E$10231,0.000000001))*$I$8779)</f>
        <v/>
      </c>
      <c r="E10267" s="19">
        <f>0.5*$E$10231+0.5*$Z$10280</f>
        <v/>
      </c>
      <c r="F10267" s="19">
        <f>$Z$10281</f>
        <v/>
      </c>
    </row>
    <row r="10268">
      <c r="D10268" s="19">
        <f>IF(ABS(IF(ABS($E$10232)&gt;0.000000001,$E$10232,0.000000001))=0,0,IF($E$8780&lt;=$B$8772,0,IF(ABS(IF(ABS($E$10232)&gt;0.000000001,$E$10232,0.000000001))&gt;=8*$B$8774,$H$8780,0.5*$H$8780*(ABS(IF(ABS($E$10232)&gt;0.000000001,$E$10232,0.000000001))/$B$8774)^(1/3)))/ABS(IF(ABS($E$10232)&gt;0.000000001,$E$10232,0.000000001))*$I$8780)</f>
        <v/>
      </c>
      <c r="E10268" s="19">
        <f>0.5*$E$10232+0.5*$Z$10282</f>
        <v/>
      </c>
      <c r="F10268" s="19">
        <f>$Z$10283</f>
        <v/>
      </c>
    </row>
    <row r="10269">
      <c r="D10269" s="19">
        <f>IF(ABS(IF(ABS($E$10233)&gt;0.000000001,$E$10233,0.000000001))=0,0,IF($E$8781&lt;=$B$8772,0,IF(ABS(IF(ABS($E$10233)&gt;0.000000001,$E$10233,0.000000001))&gt;=8*$B$8774,$H$8781,0.5*$H$8781*(ABS(IF(ABS($E$10233)&gt;0.000000001,$E$10233,0.000000001))/$B$8774)^(1/3)))/ABS(IF(ABS($E$10233)&gt;0.000000001,$E$10233,0.000000001))*$I$8781)</f>
        <v/>
      </c>
      <c r="E10269" s="19">
        <f>0.5*$E$10233+0.5*$Z$10284</f>
        <v/>
      </c>
      <c r="F10269" s="19">
        <f>$Z$10285</f>
        <v/>
      </c>
    </row>
    <row r="10270">
      <c r="D10270" s="19">
        <f>IF(ABS(IF(ABS($E$10234)&gt;0.000000001,$E$10234,0.000000001))=0,0,IF($E$8782&lt;=$B$8772,0,IF(ABS(IF(ABS($E$10234)&gt;0.000000001,$E$10234,0.000000001))&gt;=8*$B$8774,$H$8782,0.5*$H$8782*(ABS(IF(ABS($E$10234)&gt;0.000000001,$E$10234,0.000000001))/$B$8774)^(1/3)))/ABS(IF(ABS($E$10234)&gt;0.000000001,$E$10234,0.000000001))*$I$8782)</f>
        <v/>
      </c>
      <c r="E10270" s="19">
        <f>0.5*$E$10234+0.5*$Z$10286</f>
        <v/>
      </c>
      <c r="F10270" s="19">
        <f>$Z$10287</f>
        <v/>
      </c>
    </row>
    <row r="10271">
      <c r="D10271" s="19">
        <f>IF(ABS(IF(ABS($E$10235)&gt;0.000000001,$E$10235,0.000000001))=0,0,IF($E$8783&lt;=$B$8772,0,IF(ABS(IF(ABS($E$10235)&gt;0.000000001,$E$10235,0.000000001))&gt;=8*$B$8774,$H$8783,0.5*$H$8783*(ABS(IF(ABS($E$10235)&gt;0.000000001,$E$10235,0.000000001))/$B$8774)^(1/3)))/ABS(IF(ABS($E$10235)&gt;0.000000001,$E$10235,0.000000001))*$I$8783)</f>
        <v/>
      </c>
      <c r="E10271" s="19">
        <f>0.5*$E$10235+0.5*$Z$10288</f>
        <v/>
      </c>
      <c r="F10271" s="19">
        <f>$Z$10289</f>
        <v/>
      </c>
    </row>
    <row r="10272">
      <c r="D10272" s="19">
        <f>IF(ABS(IF(ABS($E$10236)&gt;0.000000001,$E$10236,0.000000001))=0,0,IF($E$8784&lt;=$B$8772,0,IF(ABS(IF(ABS($E$10236)&gt;0.000000001,$E$10236,0.000000001))&gt;=8*$B$8774,$H$8784,0.5*$H$8784*(ABS(IF(ABS($E$10236)&gt;0.000000001,$E$10236,0.000000001))/$B$8774)^(1/3)))/ABS(IF(ABS($E$10236)&gt;0.000000001,$E$10236,0.000000001))*$I$8784)</f>
        <v/>
      </c>
      <c r="E10272" s="19">
        <f>0.5*$E$10236+0.5*$Z$10290</f>
        <v/>
      </c>
      <c r="F10272" s="19">
        <f>$Z$10291</f>
        <v/>
      </c>
    </row>
    <row r="10273">
      <c r="D10273" s="19">
        <f>IF(ABS(IF(ABS($E$10237)&gt;0.000000001,$E$10237,0.000000001))=0,0,IF($E$8785&lt;=$B$8772,0,IF(ABS(IF(ABS($E$10237)&gt;0.000000001,$E$10237,0.000000001))&gt;=8*$B$8774,$H$8785,0.5*$H$8785*(ABS(IF(ABS($E$10237)&gt;0.000000001,$E$10237,0.000000001))/$B$8774)^(1/3)))/ABS(IF(ABS($E$10237)&gt;0.000000001,$E$10237,0.000000001))*$I$8785)</f>
        <v/>
      </c>
      <c r="E10273" s="19">
        <f>0.5*$E$10237+0.5*$Z$10292</f>
        <v/>
      </c>
      <c r="F10273" s="19">
        <f>$Z$10293</f>
        <v/>
      </c>
    </row>
    <row r="10274">
      <c r="D10274" s="19">
        <f>IF(ABS(IF(ABS($E$10238)&gt;0.000000001,$E$10238,0.000000001))=0,0,IF($E$8786&lt;=$B$8772,0,IF(ABS(IF(ABS($E$10238)&gt;0.000000001,$E$10238,0.000000001))&gt;=8*$B$8774,$H$8786,0.5*$H$8786*(ABS(IF(ABS($E$10238)&gt;0.000000001,$E$10238,0.000000001))/$B$8774)^(1/3)))/ABS(IF(ABS($E$10238)&gt;0.000000001,$E$10238,0.000000001))*$I$8786)</f>
        <v/>
      </c>
      <c r="E10274" s="19">
        <f>0.5*$E$10238+0.5*$Z$10294</f>
        <v/>
      </c>
      <c r="F10274" s="19">
        <f>$Z$10295</f>
        <v/>
      </c>
    </row>
    <row r="10275">
      <c r="D10275" s="19">
        <f>IF(ABS(IF(ABS($E$10239)&gt;0.000000001,$E$10239,0.000000001))=0,0,IF($E$8787&lt;=$B$8772,0,IF(ABS(IF(ABS($E$10239)&gt;0.000000001,$E$10239,0.000000001))&gt;=8*$B$8774,$H$8787,0.5*$H$8787*(ABS(IF(ABS($E$10239)&gt;0.000000001,$E$10239,0.000000001))/$B$8774)^(1/3)))/ABS(IF(ABS($E$10239)&gt;0.000000001,$E$10239,0.000000001))*$I$8787)</f>
        <v/>
      </c>
      <c r="E10275" s="19">
        <f>0.5*$E$10239+0.5*$Z$10296</f>
        <v/>
      </c>
      <c r="F10275" s="19">
        <f>$Z$10297</f>
        <v/>
      </c>
    </row>
    <row r="10276">
      <c r="D10276" s="19">
        <f>IF(ABS(IF(ABS($E$10240)&gt;0.000000001,$E$10240,0.000000001))=0,0,IF($E$8788&lt;=$B$8772,0,IF(ABS(IF(ABS($E$10240)&gt;0.000000001,$E$10240,0.000000001))&gt;=8*$B$8774,$H$8788,0.5*$H$8788*(ABS(IF(ABS($E$10240)&gt;0.000000001,$E$10240,0.000000001))/$B$8774)^(1/3)))/ABS(IF(ABS($E$10240)&gt;0.000000001,$E$10240,0.000000001))*$I$8788)</f>
        <v/>
      </c>
      <c r="E10276" s="19">
        <f>0.5*$E$10240+0.5*$Z$10298</f>
        <v/>
      </c>
      <c r="F10276" s="19">
        <f>$Z$10299</f>
        <v/>
      </c>
    </row>
    <row r="10278">
      <c r="D10278" s="21">
        <f>$B$8763+$D$10266</f>
        <v/>
      </c>
      <c r="E10278" s="21">
        <f>$B$8764</f>
        <v/>
      </c>
      <c r="F10278" s="21">
        <f>-$B$8763</f>
        <v/>
      </c>
      <c r="G10278" s="21">
        <f>$B$8764</f>
        <v/>
      </c>
      <c r="H10278" s="21" t="n">
        <v>0</v>
      </c>
      <c r="I10278" s="21" t="n">
        <v>0</v>
      </c>
      <c r="J10278" s="21" t="n">
        <v>0</v>
      </c>
      <c r="K10278" s="21" t="n">
        <v>0</v>
      </c>
      <c r="L10278" s="21" t="n">
        <v>0</v>
      </c>
      <c r="M10278" s="21" t="n">
        <v>0</v>
      </c>
      <c r="N10278" s="21" t="n">
        <v>0</v>
      </c>
      <c r="O10278" s="21" t="n">
        <v>0</v>
      </c>
      <c r="P10278" s="21" t="n">
        <v>0</v>
      </c>
      <c r="Q10278" s="21" t="n">
        <v>0</v>
      </c>
      <c r="R10278" s="21" t="n">
        <v>0</v>
      </c>
      <c r="S10278" s="21" t="n">
        <v>0</v>
      </c>
      <c r="T10278" s="21" t="n">
        <v>0</v>
      </c>
      <c r="U10278" s="21" t="n">
        <v>0</v>
      </c>
      <c r="V10278" s="21" t="n">
        <v>0</v>
      </c>
      <c r="W10278" s="21" t="n">
        <v>0</v>
      </c>
      <c r="X10278" s="21" t="n">
        <v>0</v>
      </c>
      <c r="Y10278" s="21" t="n">
        <v>0</v>
      </c>
      <c r="Z10278" s="19">
        <f t="array" ref="Z10278:Z10299">MMULT(MINVERSE($D$10278:$Y$10299),$D$8790:$D$8811)</f>
        <v/>
      </c>
    </row>
    <row r="10279">
      <c r="D10279" s="21">
        <f>$B$8764</f>
        <v/>
      </c>
      <c r="E10279" s="21">
        <f>$B$8765</f>
        <v/>
      </c>
      <c r="F10279" s="21">
        <f>-$B$8764</f>
        <v/>
      </c>
      <c r="G10279" s="21">
        <f>$B$8766</f>
        <v/>
      </c>
      <c r="H10279" s="21" t="n">
        <v>0</v>
      </c>
      <c r="I10279" s="21" t="n">
        <v>0</v>
      </c>
      <c r="J10279" s="21" t="n">
        <v>0</v>
      </c>
      <c r="K10279" s="21" t="n">
        <v>0</v>
      </c>
      <c r="L10279" s="21" t="n">
        <v>0</v>
      </c>
      <c r="M10279" s="21" t="n">
        <v>0</v>
      </c>
      <c r="N10279" s="21" t="n">
        <v>0</v>
      </c>
      <c r="O10279" s="21" t="n">
        <v>0</v>
      </c>
      <c r="P10279" s="21" t="n">
        <v>0</v>
      </c>
      <c r="Q10279" s="21" t="n">
        <v>0</v>
      </c>
      <c r="R10279" s="21" t="n">
        <v>0</v>
      </c>
      <c r="S10279" s="21" t="n">
        <v>0</v>
      </c>
      <c r="T10279" s="21" t="n">
        <v>0</v>
      </c>
      <c r="U10279" s="21" t="n">
        <v>0</v>
      </c>
      <c r="V10279" s="21" t="n">
        <v>0</v>
      </c>
      <c r="W10279" s="21" t="n">
        <v>0</v>
      </c>
      <c r="X10279" s="21" t="n">
        <v>0</v>
      </c>
      <c r="Y10279" s="21" t="n">
        <v>0</v>
      </c>
      <c r="Z10279" s="19" t="n"/>
    </row>
    <row r="10280">
      <c r="D10280" s="21">
        <f>-$B$8763</f>
        <v/>
      </c>
      <c r="E10280" s="21">
        <f>-$B$8764</f>
        <v/>
      </c>
      <c r="F10280" s="21">
        <f>2*$B$8763+$D$10267</f>
        <v/>
      </c>
      <c r="G10280" s="21">
        <f>0</f>
        <v/>
      </c>
      <c r="H10280" s="21">
        <f>-$B$8763</f>
        <v/>
      </c>
      <c r="I10280" s="21">
        <f>$B$8764</f>
        <v/>
      </c>
      <c r="J10280" s="21" t="n">
        <v>0</v>
      </c>
      <c r="K10280" s="21" t="n">
        <v>0</v>
      </c>
      <c r="L10280" s="21" t="n">
        <v>0</v>
      </c>
      <c r="M10280" s="21" t="n">
        <v>0</v>
      </c>
      <c r="N10280" s="21" t="n">
        <v>0</v>
      </c>
      <c r="O10280" s="21" t="n">
        <v>0</v>
      </c>
      <c r="P10280" s="21" t="n">
        <v>0</v>
      </c>
      <c r="Q10280" s="21" t="n">
        <v>0</v>
      </c>
      <c r="R10280" s="21" t="n">
        <v>0</v>
      </c>
      <c r="S10280" s="21" t="n">
        <v>0</v>
      </c>
      <c r="T10280" s="21" t="n">
        <v>0</v>
      </c>
      <c r="U10280" s="21" t="n">
        <v>0</v>
      </c>
      <c r="V10280" s="21" t="n">
        <v>0</v>
      </c>
      <c r="W10280" s="21" t="n">
        <v>0</v>
      </c>
      <c r="X10280" s="21" t="n">
        <v>0</v>
      </c>
      <c r="Y10280" s="21" t="n">
        <v>0</v>
      </c>
      <c r="Z10280" s="19" t="n"/>
    </row>
    <row r="10281">
      <c r="D10281" s="21">
        <f>$B$8764</f>
        <v/>
      </c>
      <c r="E10281" s="21">
        <f>$B$8766</f>
        <v/>
      </c>
      <c r="F10281" s="21">
        <f>0</f>
        <v/>
      </c>
      <c r="G10281" s="21">
        <f>2*$B$8765</f>
        <v/>
      </c>
      <c r="H10281" s="21">
        <f>-$B$8764</f>
        <v/>
      </c>
      <c r="I10281" s="21">
        <f>$B$8766</f>
        <v/>
      </c>
      <c r="J10281" s="21" t="n">
        <v>0</v>
      </c>
      <c r="K10281" s="21" t="n">
        <v>0</v>
      </c>
      <c r="L10281" s="21" t="n">
        <v>0</v>
      </c>
      <c r="M10281" s="21" t="n">
        <v>0</v>
      </c>
      <c r="N10281" s="21" t="n">
        <v>0</v>
      </c>
      <c r="O10281" s="21" t="n">
        <v>0</v>
      </c>
      <c r="P10281" s="21" t="n">
        <v>0</v>
      </c>
      <c r="Q10281" s="21" t="n">
        <v>0</v>
      </c>
      <c r="R10281" s="21" t="n">
        <v>0</v>
      </c>
      <c r="S10281" s="21" t="n">
        <v>0</v>
      </c>
      <c r="T10281" s="21" t="n">
        <v>0</v>
      </c>
      <c r="U10281" s="21" t="n">
        <v>0</v>
      </c>
      <c r="V10281" s="21" t="n">
        <v>0</v>
      </c>
      <c r="W10281" s="21" t="n">
        <v>0</v>
      </c>
      <c r="X10281" s="21" t="n">
        <v>0</v>
      </c>
      <c r="Y10281" s="21" t="n">
        <v>0</v>
      </c>
      <c r="Z10281" s="19" t="n"/>
    </row>
    <row r="10282">
      <c r="D10282" s="21" t="n">
        <v>0</v>
      </c>
      <c r="E10282" s="21" t="n">
        <v>0</v>
      </c>
      <c r="F10282" s="21">
        <f>-$B$8763</f>
        <v/>
      </c>
      <c r="G10282" s="21">
        <f>-$B$8764</f>
        <v/>
      </c>
      <c r="H10282" s="21">
        <f>2*$B$8763+$D$10268</f>
        <v/>
      </c>
      <c r="I10282" s="21">
        <f>0</f>
        <v/>
      </c>
      <c r="J10282" s="21">
        <f>-$B$8763</f>
        <v/>
      </c>
      <c r="K10282" s="21">
        <f>$B$8764</f>
        <v/>
      </c>
      <c r="L10282" s="21" t="n">
        <v>0</v>
      </c>
      <c r="M10282" s="21" t="n">
        <v>0</v>
      </c>
      <c r="N10282" s="21" t="n">
        <v>0</v>
      </c>
      <c r="O10282" s="21" t="n">
        <v>0</v>
      </c>
      <c r="P10282" s="21" t="n">
        <v>0</v>
      </c>
      <c r="Q10282" s="21" t="n">
        <v>0</v>
      </c>
      <c r="R10282" s="21" t="n">
        <v>0</v>
      </c>
      <c r="S10282" s="21" t="n">
        <v>0</v>
      </c>
      <c r="T10282" s="21" t="n">
        <v>0</v>
      </c>
      <c r="U10282" s="21" t="n">
        <v>0</v>
      </c>
      <c r="V10282" s="21" t="n">
        <v>0</v>
      </c>
      <c r="W10282" s="21" t="n">
        <v>0</v>
      </c>
      <c r="X10282" s="21" t="n">
        <v>0</v>
      </c>
      <c r="Y10282" s="21" t="n">
        <v>0</v>
      </c>
      <c r="Z10282" s="19" t="n"/>
    </row>
    <row r="10283">
      <c r="D10283" s="21" t="n">
        <v>0</v>
      </c>
      <c r="E10283" s="21" t="n">
        <v>0</v>
      </c>
      <c r="F10283" s="21">
        <f>$B$8764</f>
        <v/>
      </c>
      <c r="G10283" s="21">
        <f>$B$8766</f>
        <v/>
      </c>
      <c r="H10283" s="21">
        <f>0</f>
        <v/>
      </c>
      <c r="I10283" s="21">
        <f>2*$B$8765</f>
        <v/>
      </c>
      <c r="J10283" s="21">
        <f>-$B$8764</f>
        <v/>
      </c>
      <c r="K10283" s="21">
        <f>$B$8766</f>
        <v/>
      </c>
      <c r="L10283" s="21" t="n">
        <v>0</v>
      </c>
      <c r="M10283" s="21" t="n">
        <v>0</v>
      </c>
      <c r="N10283" s="21" t="n">
        <v>0</v>
      </c>
      <c r="O10283" s="21" t="n">
        <v>0</v>
      </c>
      <c r="P10283" s="21" t="n">
        <v>0</v>
      </c>
      <c r="Q10283" s="21" t="n">
        <v>0</v>
      </c>
      <c r="R10283" s="21" t="n">
        <v>0</v>
      </c>
      <c r="S10283" s="21" t="n">
        <v>0</v>
      </c>
      <c r="T10283" s="21" t="n">
        <v>0</v>
      </c>
      <c r="U10283" s="21" t="n">
        <v>0</v>
      </c>
      <c r="V10283" s="21" t="n">
        <v>0</v>
      </c>
      <c r="W10283" s="21" t="n">
        <v>0</v>
      </c>
      <c r="X10283" s="21" t="n">
        <v>0</v>
      </c>
      <c r="Y10283" s="21" t="n">
        <v>0</v>
      </c>
      <c r="Z10283" s="19" t="n"/>
    </row>
    <row r="10284">
      <c r="D10284" s="21" t="n">
        <v>0</v>
      </c>
      <c r="E10284" s="21" t="n">
        <v>0</v>
      </c>
      <c r="F10284" s="21" t="n">
        <v>0</v>
      </c>
      <c r="G10284" s="21" t="n">
        <v>0</v>
      </c>
      <c r="H10284" s="21">
        <f>-$B$8763</f>
        <v/>
      </c>
      <c r="I10284" s="21">
        <f>-$B$8764</f>
        <v/>
      </c>
      <c r="J10284" s="21">
        <f>2*$B$8763+$D$10269</f>
        <v/>
      </c>
      <c r="K10284" s="21">
        <f>0</f>
        <v/>
      </c>
      <c r="L10284" s="21">
        <f>-$B$8763</f>
        <v/>
      </c>
      <c r="M10284" s="21">
        <f>$B$8764</f>
        <v/>
      </c>
      <c r="N10284" s="21" t="n">
        <v>0</v>
      </c>
      <c r="O10284" s="21" t="n">
        <v>0</v>
      </c>
      <c r="P10284" s="21" t="n">
        <v>0</v>
      </c>
      <c r="Q10284" s="21" t="n">
        <v>0</v>
      </c>
      <c r="R10284" s="21" t="n">
        <v>0</v>
      </c>
      <c r="S10284" s="21" t="n">
        <v>0</v>
      </c>
      <c r="T10284" s="21" t="n">
        <v>0</v>
      </c>
      <c r="U10284" s="21" t="n">
        <v>0</v>
      </c>
      <c r="V10284" s="21" t="n">
        <v>0</v>
      </c>
      <c r="W10284" s="21" t="n">
        <v>0</v>
      </c>
      <c r="X10284" s="21" t="n">
        <v>0</v>
      </c>
      <c r="Y10284" s="21" t="n">
        <v>0</v>
      </c>
      <c r="Z10284" s="19" t="n"/>
    </row>
    <row r="10285">
      <c r="D10285" s="21" t="n">
        <v>0</v>
      </c>
      <c r="E10285" s="21" t="n">
        <v>0</v>
      </c>
      <c r="F10285" s="21" t="n">
        <v>0</v>
      </c>
      <c r="G10285" s="21" t="n">
        <v>0</v>
      </c>
      <c r="H10285" s="21">
        <f>$B$8764</f>
        <v/>
      </c>
      <c r="I10285" s="21">
        <f>$B$8766</f>
        <v/>
      </c>
      <c r="J10285" s="21">
        <f>0</f>
        <v/>
      </c>
      <c r="K10285" s="21">
        <f>2*$B$8765</f>
        <v/>
      </c>
      <c r="L10285" s="21">
        <f>-$B$8764</f>
        <v/>
      </c>
      <c r="M10285" s="21">
        <f>$B$8766</f>
        <v/>
      </c>
      <c r="N10285" s="21" t="n">
        <v>0</v>
      </c>
      <c r="O10285" s="21" t="n">
        <v>0</v>
      </c>
      <c r="P10285" s="21" t="n">
        <v>0</v>
      </c>
      <c r="Q10285" s="21" t="n">
        <v>0</v>
      </c>
      <c r="R10285" s="21" t="n">
        <v>0</v>
      </c>
      <c r="S10285" s="21" t="n">
        <v>0</v>
      </c>
      <c r="T10285" s="21" t="n">
        <v>0</v>
      </c>
      <c r="U10285" s="21" t="n">
        <v>0</v>
      </c>
      <c r="V10285" s="21" t="n">
        <v>0</v>
      </c>
      <c r="W10285" s="21" t="n">
        <v>0</v>
      </c>
      <c r="X10285" s="21" t="n">
        <v>0</v>
      </c>
      <c r="Y10285" s="21" t="n">
        <v>0</v>
      </c>
      <c r="Z10285" s="19" t="n"/>
    </row>
    <row r="10286">
      <c r="D10286" s="21" t="n">
        <v>0</v>
      </c>
      <c r="E10286" s="21" t="n">
        <v>0</v>
      </c>
      <c r="F10286" s="21" t="n">
        <v>0</v>
      </c>
      <c r="G10286" s="21" t="n">
        <v>0</v>
      </c>
      <c r="H10286" s="21" t="n">
        <v>0</v>
      </c>
      <c r="I10286" s="21" t="n">
        <v>0</v>
      </c>
      <c r="J10286" s="21">
        <f>-$B$8763</f>
        <v/>
      </c>
      <c r="K10286" s="21">
        <f>-$B$8764</f>
        <v/>
      </c>
      <c r="L10286" s="21">
        <f>2*$B$8763+$D$10270</f>
        <v/>
      </c>
      <c r="M10286" s="21">
        <f>0</f>
        <v/>
      </c>
      <c r="N10286" s="21">
        <f>-$B$8763</f>
        <v/>
      </c>
      <c r="O10286" s="21">
        <f>$B$8764</f>
        <v/>
      </c>
      <c r="P10286" s="21" t="n">
        <v>0</v>
      </c>
      <c r="Q10286" s="21" t="n">
        <v>0</v>
      </c>
      <c r="R10286" s="21" t="n">
        <v>0</v>
      </c>
      <c r="S10286" s="21" t="n">
        <v>0</v>
      </c>
      <c r="T10286" s="21" t="n">
        <v>0</v>
      </c>
      <c r="U10286" s="21" t="n">
        <v>0</v>
      </c>
      <c r="V10286" s="21" t="n">
        <v>0</v>
      </c>
      <c r="W10286" s="21" t="n">
        <v>0</v>
      </c>
      <c r="X10286" s="21" t="n">
        <v>0</v>
      </c>
      <c r="Y10286" s="21" t="n">
        <v>0</v>
      </c>
      <c r="Z10286" s="19" t="n"/>
    </row>
    <row r="10287">
      <c r="D10287" s="21" t="n">
        <v>0</v>
      </c>
      <c r="E10287" s="21" t="n">
        <v>0</v>
      </c>
      <c r="F10287" s="21" t="n">
        <v>0</v>
      </c>
      <c r="G10287" s="21" t="n">
        <v>0</v>
      </c>
      <c r="H10287" s="21" t="n">
        <v>0</v>
      </c>
      <c r="I10287" s="21" t="n">
        <v>0</v>
      </c>
      <c r="J10287" s="21">
        <f>$B$8764</f>
        <v/>
      </c>
      <c r="K10287" s="21">
        <f>$B$8766</f>
        <v/>
      </c>
      <c r="L10287" s="21">
        <f>0</f>
        <v/>
      </c>
      <c r="M10287" s="21">
        <f>2*$B$8765</f>
        <v/>
      </c>
      <c r="N10287" s="21">
        <f>-$B$8764</f>
        <v/>
      </c>
      <c r="O10287" s="21">
        <f>$B$8766</f>
        <v/>
      </c>
      <c r="P10287" s="21" t="n">
        <v>0</v>
      </c>
      <c r="Q10287" s="21" t="n">
        <v>0</v>
      </c>
      <c r="R10287" s="21" t="n">
        <v>0</v>
      </c>
      <c r="S10287" s="21" t="n">
        <v>0</v>
      </c>
      <c r="T10287" s="21" t="n">
        <v>0</v>
      </c>
      <c r="U10287" s="21" t="n">
        <v>0</v>
      </c>
      <c r="V10287" s="21" t="n">
        <v>0</v>
      </c>
      <c r="W10287" s="21" t="n">
        <v>0</v>
      </c>
      <c r="X10287" s="21" t="n">
        <v>0</v>
      </c>
      <c r="Y10287" s="21" t="n">
        <v>0</v>
      </c>
      <c r="Z10287" s="19" t="n"/>
    </row>
    <row r="10288">
      <c r="D10288" s="21" t="n">
        <v>0</v>
      </c>
      <c r="E10288" s="21" t="n">
        <v>0</v>
      </c>
      <c r="F10288" s="21" t="n">
        <v>0</v>
      </c>
      <c r="G10288" s="21" t="n">
        <v>0</v>
      </c>
      <c r="H10288" s="21" t="n">
        <v>0</v>
      </c>
      <c r="I10288" s="21" t="n">
        <v>0</v>
      </c>
      <c r="J10288" s="21" t="n">
        <v>0</v>
      </c>
      <c r="K10288" s="21" t="n">
        <v>0</v>
      </c>
      <c r="L10288" s="21">
        <f>-$B$8763</f>
        <v/>
      </c>
      <c r="M10288" s="21">
        <f>-$B$8764</f>
        <v/>
      </c>
      <c r="N10288" s="21">
        <f>2*$B$8763+$D$10271</f>
        <v/>
      </c>
      <c r="O10288" s="21">
        <f>0</f>
        <v/>
      </c>
      <c r="P10288" s="21">
        <f>-$B$8763</f>
        <v/>
      </c>
      <c r="Q10288" s="21">
        <f>$B$8764</f>
        <v/>
      </c>
      <c r="R10288" s="21" t="n">
        <v>0</v>
      </c>
      <c r="S10288" s="21" t="n">
        <v>0</v>
      </c>
      <c r="T10288" s="21" t="n">
        <v>0</v>
      </c>
      <c r="U10288" s="21" t="n">
        <v>0</v>
      </c>
      <c r="V10288" s="21" t="n">
        <v>0</v>
      </c>
      <c r="W10288" s="21" t="n">
        <v>0</v>
      </c>
      <c r="X10288" s="21" t="n">
        <v>0</v>
      </c>
      <c r="Y10288" s="21" t="n">
        <v>0</v>
      </c>
      <c r="Z10288" s="19" t="n"/>
    </row>
    <row r="10289">
      <c r="D10289" s="21" t="n">
        <v>0</v>
      </c>
      <c r="E10289" s="21" t="n">
        <v>0</v>
      </c>
      <c r="F10289" s="21" t="n">
        <v>0</v>
      </c>
      <c r="G10289" s="21" t="n">
        <v>0</v>
      </c>
      <c r="H10289" s="21" t="n">
        <v>0</v>
      </c>
      <c r="I10289" s="21" t="n">
        <v>0</v>
      </c>
      <c r="J10289" s="21" t="n">
        <v>0</v>
      </c>
      <c r="K10289" s="21" t="n">
        <v>0</v>
      </c>
      <c r="L10289" s="21">
        <f>$B$8764</f>
        <v/>
      </c>
      <c r="M10289" s="21">
        <f>$B$8766</f>
        <v/>
      </c>
      <c r="N10289" s="21">
        <f>0</f>
        <v/>
      </c>
      <c r="O10289" s="21">
        <f>2*$B$8765</f>
        <v/>
      </c>
      <c r="P10289" s="21">
        <f>-$B$8764</f>
        <v/>
      </c>
      <c r="Q10289" s="21">
        <f>$B$8766</f>
        <v/>
      </c>
      <c r="R10289" s="21" t="n">
        <v>0</v>
      </c>
      <c r="S10289" s="21" t="n">
        <v>0</v>
      </c>
      <c r="T10289" s="21" t="n">
        <v>0</v>
      </c>
      <c r="U10289" s="21" t="n">
        <v>0</v>
      </c>
      <c r="V10289" s="21" t="n">
        <v>0</v>
      </c>
      <c r="W10289" s="21" t="n">
        <v>0</v>
      </c>
      <c r="X10289" s="21" t="n">
        <v>0</v>
      </c>
      <c r="Y10289" s="21" t="n">
        <v>0</v>
      </c>
      <c r="Z10289" s="19" t="n"/>
    </row>
    <row r="10290">
      <c r="D10290" s="21" t="n">
        <v>0</v>
      </c>
      <c r="E10290" s="21" t="n">
        <v>0</v>
      </c>
      <c r="F10290" s="21" t="n">
        <v>0</v>
      </c>
      <c r="G10290" s="21" t="n">
        <v>0</v>
      </c>
      <c r="H10290" s="21" t="n">
        <v>0</v>
      </c>
      <c r="I10290" s="21" t="n">
        <v>0</v>
      </c>
      <c r="J10290" s="21" t="n">
        <v>0</v>
      </c>
      <c r="K10290" s="21" t="n">
        <v>0</v>
      </c>
      <c r="L10290" s="21" t="n">
        <v>0</v>
      </c>
      <c r="M10290" s="21" t="n">
        <v>0</v>
      </c>
      <c r="N10290" s="21">
        <f>-$B$8763</f>
        <v/>
      </c>
      <c r="O10290" s="21">
        <f>-$B$8764</f>
        <v/>
      </c>
      <c r="P10290" s="21">
        <f>2*$B$8763+$D$10272</f>
        <v/>
      </c>
      <c r="Q10290" s="21">
        <f>0</f>
        <v/>
      </c>
      <c r="R10290" s="21">
        <f>-$B$8763</f>
        <v/>
      </c>
      <c r="S10290" s="21">
        <f>$B$8764</f>
        <v/>
      </c>
      <c r="T10290" s="21" t="n">
        <v>0</v>
      </c>
      <c r="U10290" s="21" t="n">
        <v>0</v>
      </c>
      <c r="V10290" s="21" t="n">
        <v>0</v>
      </c>
      <c r="W10290" s="21" t="n">
        <v>0</v>
      </c>
      <c r="X10290" s="21" t="n">
        <v>0</v>
      </c>
      <c r="Y10290" s="21" t="n">
        <v>0</v>
      </c>
      <c r="Z10290" s="19" t="n"/>
    </row>
    <row r="10291">
      <c r="D10291" s="21" t="n">
        <v>0</v>
      </c>
      <c r="E10291" s="21" t="n">
        <v>0</v>
      </c>
      <c r="F10291" s="21" t="n">
        <v>0</v>
      </c>
      <c r="G10291" s="21" t="n">
        <v>0</v>
      </c>
      <c r="H10291" s="21" t="n">
        <v>0</v>
      </c>
      <c r="I10291" s="21" t="n">
        <v>0</v>
      </c>
      <c r="J10291" s="21" t="n">
        <v>0</v>
      </c>
      <c r="K10291" s="21" t="n">
        <v>0</v>
      </c>
      <c r="L10291" s="21" t="n">
        <v>0</v>
      </c>
      <c r="M10291" s="21" t="n">
        <v>0</v>
      </c>
      <c r="N10291" s="21">
        <f>$B$8764</f>
        <v/>
      </c>
      <c r="O10291" s="21">
        <f>$B$8766</f>
        <v/>
      </c>
      <c r="P10291" s="21">
        <f>0</f>
        <v/>
      </c>
      <c r="Q10291" s="21">
        <f>2*$B$8765</f>
        <v/>
      </c>
      <c r="R10291" s="21">
        <f>-$B$8764</f>
        <v/>
      </c>
      <c r="S10291" s="21">
        <f>$B$8766</f>
        <v/>
      </c>
      <c r="T10291" s="21" t="n">
        <v>0</v>
      </c>
      <c r="U10291" s="21" t="n">
        <v>0</v>
      </c>
      <c r="V10291" s="21" t="n">
        <v>0</v>
      </c>
      <c r="W10291" s="21" t="n">
        <v>0</v>
      </c>
      <c r="X10291" s="21" t="n">
        <v>0</v>
      </c>
      <c r="Y10291" s="21" t="n">
        <v>0</v>
      </c>
      <c r="Z10291" s="19" t="n"/>
    </row>
    <row r="10292">
      <c r="D10292" s="21" t="n">
        <v>0</v>
      </c>
      <c r="E10292" s="21" t="n">
        <v>0</v>
      </c>
      <c r="F10292" s="21" t="n">
        <v>0</v>
      </c>
      <c r="G10292" s="21" t="n">
        <v>0</v>
      </c>
      <c r="H10292" s="21" t="n">
        <v>0</v>
      </c>
      <c r="I10292" s="21" t="n">
        <v>0</v>
      </c>
      <c r="J10292" s="21" t="n">
        <v>0</v>
      </c>
      <c r="K10292" s="21" t="n">
        <v>0</v>
      </c>
      <c r="L10292" s="21" t="n">
        <v>0</v>
      </c>
      <c r="M10292" s="21" t="n">
        <v>0</v>
      </c>
      <c r="N10292" s="21" t="n">
        <v>0</v>
      </c>
      <c r="O10292" s="21" t="n">
        <v>0</v>
      </c>
      <c r="P10292" s="21">
        <f>-$B$8763</f>
        <v/>
      </c>
      <c r="Q10292" s="21">
        <f>-$B$8764</f>
        <v/>
      </c>
      <c r="R10292" s="21">
        <f>2*$B$8763+$D$10273</f>
        <v/>
      </c>
      <c r="S10292" s="21">
        <f>0</f>
        <v/>
      </c>
      <c r="T10292" s="21">
        <f>-$B$8763</f>
        <v/>
      </c>
      <c r="U10292" s="21">
        <f>$B$8764</f>
        <v/>
      </c>
      <c r="V10292" s="21" t="n">
        <v>0</v>
      </c>
      <c r="W10292" s="21" t="n">
        <v>0</v>
      </c>
      <c r="X10292" s="21" t="n">
        <v>0</v>
      </c>
      <c r="Y10292" s="21" t="n">
        <v>0</v>
      </c>
      <c r="Z10292" s="19" t="n"/>
    </row>
    <row r="10293">
      <c r="D10293" s="21" t="n">
        <v>0</v>
      </c>
      <c r="E10293" s="21" t="n">
        <v>0</v>
      </c>
      <c r="F10293" s="21" t="n">
        <v>0</v>
      </c>
      <c r="G10293" s="21" t="n">
        <v>0</v>
      </c>
      <c r="H10293" s="21" t="n">
        <v>0</v>
      </c>
      <c r="I10293" s="21" t="n">
        <v>0</v>
      </c>
      <c r="J10293" s="21" t="n">
        <v>0</v>
      </c>
      <c r="K10293" s="21" t="n">
        <v>0</v>
      </c>
      <c r="L10293" s="21" t="n">
        <v>0</v>
      </c>
      <c r="M10293" s="21" t="n">
        <v>0</v>
      </c>
      <c r="N10293" s="21" t="n">
        <v>0</v>
      </c>
      <c r="O10293" s="21" t="n">
        <v>0</v>
      </c>
      <c r="P10293" s="21">
        <f>$B$8764</f>
        <v/>
      </c>
      <c r="Q10293" s="21">
        <f>$B$8766</f>
        <v/>
      </c>
      <c r="R10293" s="21">
        <f>0</f>
        <v/>
      </c>
      <c r="S10293" s="21">
        <f>2*$B$8765</f>
        <v/>
      </c>
      <c r="T10293" s="21">
        <f>-$B$8764</f>
        <v/>
      </c>
      <c r="U10293" s="21">
        <f>$B$8766</f>
        <v/>
      </c>
      <c r="V10293" s="21" t="n">
        <v>0</v>
      </c>
      <c r="W10293" s="21" t="n">
        <v>0</v>
      </c>
      <c r="X10293" s="21" t="n">
        <v>0</v>
      </c>
      <c r="Y10293" s="21" t="n">
        <v>0</v>
      </c>
      <c r="Z10293" s="19" t="n"/>
    </row>
    <row r="10294">
      <c r="D10294" s="21" t="n">
        <v>0</v>
      </c>
      <c r="E10294" s="21" t="n">
        <v>0</v>
      </c>
      <c r="F10294" s="21" t="n">
        <v>0</v>
      </c>
      <c r="G10294" s="21" t="n">
        <v>0</v>
      </c>
      <c r="H10294" s="21" t="n">
        <v>0</v>
      </c>
      <c r="I10294" s="21" t="n">
        <v>0</v>
      </c>
      <c r="J10294" s="21" t="n">
        <v>0</v>
      </c>
      <c r="K10294" s="21" t="n">
        <v>0</v>
      </c>
      <c r="L10294" s="21" t="n">
        <v>0</v>
      </c>
      <c r="M10294" s="21" t="n">
        <v>0</v>
      </c>
      <c r="N10294" s="21" t="n">
        <v>0</v>
      </c>
      <c r="O10294" s="21" t="n">
        <v>0</v>
      </c>
      <c r="P10294" s="21" t="n">
        <v>0</v>
      </c>
      <c r="Q10294" s="21" t="n">
        <v>0</v>
      </c>
      <c r="R10294" s="21">
        <f>-$B$8763</f>
        <v/>
      </c>
      <c r="S10294" s="21">
        <f>-$B$8764</f>
        <v/>
      </c>
      <c r="T10294" s="21">
        <f>2*$B$8763+$D$10274</f>
        <v/>
      </c>
      <c r="U10294" s="21">
        <f>0</f>
        <v/>
      </c>
      <c r="V10294" s="21">
        <f>-$B$8763</f>
        <v/>
      </c>
      <c r="W10294" s="21">
        <f>$B$8764</f>
        <v/>
      </c>
      <c r="X10294" s="21" t="n">
        <v>0</v>
      </c>
      <c r="Y10294" s="21" t="n">
        <v>0</v>
      </c>
      <c r="Z10294" s="19" t="n"/>
    </row>
    <row r="10295">
      <c r="D10295" s="21" t="n">
        <v>0</v>
      </c>
      <c r="E10295" s="21" t="n">
        <v>0</v>
      </c>
      <c r="F10295" s="21" t="n">
        <v>0</v>
      </c>
      <c r="G10295" s="21" t="n">
        <v>0</v>
      </c>
      <c r="H10295" s="21" t="n">
        <v>0</v>
      </c>
      <c r="I10295" s="21" t="n">
        <v>0</v>
      </c>
      <c r="J10295" s="21" t="n">
        <v>0</v>
      </c>
      <c r="K10295" s="21" t="n">
        <v>0</v>
      </c>
      <c r="L10295" s="21" t="n">
        <v>0</v>
      </c>
      <c r="M10295" s="21" t="n">
        <v>0</v>
      </c>
      <c r="N10295" s="21" t="n">
        <v>0</v>
      </c>
      <c r="O10295" s="21" t="n">
        <v>0</v>
      </c>
      <c r="P10295" s="21" t="n">
        <v>0</v>
      </c>
      <c r="Q10295" s="21" t="n">
        <v>0</v>
      </c>
      <c r="R10295" s="21">
        <f>$B$8764</f>
        <v/>
      </c>
      <c r="S10295" s="21">
        <f>$B$8766</f>
        <v/>
      </c>
      <c r="T10295" s="21">
        <f>0</f>
        <v/>
      </c>
      <c r="U10295" s="21">
        <f>2*$B$8765</f>
        <v/>
      </c>
      <c r="V10295" s="21">
        <f>-$B$8764</f>
        <v/>
      </c>
      <c r="W10295" s="21">
        <f>$B$8766</f>
        <v/>
      </c>
      <c r="X10295" s="21" t="n">
        <v>0</v>
      </c>
      <c r="Y10295" s="21" t="n">
        <v>0</v>
      </c>
      <c r="Z10295" s="19" t="n"/>
    </row>
    <row r="10296">
      <c r="D10296" s="21" t="n">
        <v>0</v>
      </c>
      <c r="E10296" s="21" t="n">
        <v>0</v>
      </c>
      <c r="F10296" s="21" t="n">
        <v>0</v>
      </c>
      <c r="G10296" s="21" t="n">
        <v>0</v>
      </c>
      <c r="H10296" s="21" t="n">
        <v>0</v>
      </c>
      <c r="I10296" s="21" t="n">
        <v>0</v>
      </c>
      <c r="J10296" s="21" t="n">
        <v>0</v>
      </c>
      <c r="K10296" s="21" t="n">
        <v>0</v>
      </c>
      <c r="L10296" s="21" t="n">
        <v>0</v>
      </c>
      <c r="M10296" s="21" t="n">
        <v>0</v>
      </c>
      <c r="N10296" s="21" t="n">
        <v>0</v>
      </c>
      <c r="O10296" s="21" t="n">
        <v>0</v>
      </c>
      <c r="P10296" s="21" t="n">
        <v>0</v>
      </c>
      <c r="Q10296" s="21" t="n">
        <v>0</v>
      </c>
      <c r="R10296" s="21" t="n">
        <v>0</v>
      </c>
      <c r="S10296" s="21" t="n">
        <v>0</v>
      </c>
      <c r="T10296" s="21">
        <f>-$B$8763</f>
        <v/>
      </c>
      <c r="U10296" s="21">
        <f>-$B$8764</f>
        <v/>
      </c>
      <c r="V10296" s="21">
        <f>2*$B$8763+$D$10275</f>
        <v/>
      </c>
      <c r="W10296" s="21">
        <f>0</f>
        <v/>
      </c>
      <c r="X10296" s="21">
        <f>-$B$8763</f>
        <v/>
      </c>
      <c r="Y10296" s="21">
        <f>$B$8764</f>
        <v/>
      </c>
      <c r="Z10296" s="19" t="n"/>
    </row>
    <row r="10297">
      <c r="D10297" s="21" t="n">
        <v>0</v>
      </c>
      <c r="E10297" s="21" t="n">
        <v>0</v>
      </c>
      <c r="F10297" s="21" t="n">
        <v>0</v>
      </c>
      <c r="G10297" s="21" t="n">
        <v>0</v>
      </c>
      <c r="H10297" s="21" t="n">
        <v>0</v>
      </c>
      <c r="I10297" s="21" t="n">
        <v>0</v>
      </c>
      <c r="J10297" s="21" t="n">
        <v>0</v>
      </c>
      <c r="K10297" s="21" t="n">
        <v>0</v>
      </c>
      <c r="L10297" s="21" t="n">
        <v>0</v>
      </c>
      <c r="M10297" s="21" t="n">
        <v>0</v>
      </c>
      <c r="N10297" s="21" t="n">
        <v>0</v>
      </c>
      <c r="O10297" s="21" t="n">
        <v>0</v>
      </c>
      <c r="P10297" s="21" t="n">
        <v>0</v>
      </c>
      <c r="Q10297" s="21" t="n">
        <v>0</v>
      </c>
      <c r="R10297" s="21" t="n">
        <v>0</v>
      </c>
      <c r="S10297" s="21" t="n">
        <v>0</v>
      </c>
      <c r="T10297" s="21">
        <f>$B$8764</f>
        <v/>
      </c>
      <c r="U10297" s="21">
        <f>$B$8766</f>
        <v/>
      </c>
      <c r="V10297" s="21">
        <f>0</f>
        <v/>
      </c>
      <c r="W10297" s="21">
        <f>2*$B$8765</f>
        <v/>
      </c>
      <c r="X10297" s="21">
        <f>-$B$8764</f>
        <v/>
      </c>
      <c r="Y10297" s="21">
        <f>$B$8766</f>
        <v/>
      </c>
      <c r="Z10297" s="19" t="n"/>
    </row>
    <row r="10298">
      <c r="D10298" s="21" t="n">
        <v>0</v>
      </c>
      <c r="E10298" s="21" t="n">
        <v>0</v>
      </c>
      <c r="F10298" s="21" t="n">
        <v>0</v>
      </c>
      <c r="G10298" s="21" t="n">
        <v>0</v>
      </c>
      <c r="H10298" s="21" t="n">
        <v>0</v>
      </c>
      <c r="I10298" s="21" t="n">
        <v>0</v>
      </c>
      <c r="J10298" s="21" t="n">
        <v>0</v>
      </c>
      <c r="K10298" s="21" t="n">
        <v>0</v>
      </c>
      <c r="L10298" s="21" t="n">
        <v>0</v>
      </c>
      <c r="M10298" s="21" t="n">
        <v>0</v>
      </c>
      <c r="N10298" s="21" t="n">
        <v>0</v>
      </c>
      <c r="O10298" s="21" t="n">
        <v>0</v>
      </c>
      <c r="P10298" s="21" t="n">
        <v>0</v>
      </c>
      <c r="Q10298" s="21" t="n">
        <v>0</v>
      </c>
      <c r="R10298" s="21" t="n">
        <v>0</v>
      </c>
      <c r="S10298" s="21" t="n">
        <v>0</v>
      </c>
      <c r="T10298" s="21" t="n">
        <v>0</v>
      </c>
      <c r="U10298" s="21" t="n">
        <v>0</v>
      </c>
      <c r="V10298" s="21">
        <f>-$B$8763</f>
        <v/>
      </c>
      <c r="W10298" s="21">
        <f>-$B$8764</f>
        <v/>
      </c>
      <c r="X10298" s="21">
        <f>$B$8763+$D$10276</f>
        <v/>
      </c>
      <c r="Y10298" s="21">
        <f>-$B$8764</f>
        <v/>
      </c>
      <c r="Z10298" s="19" t="n"/>
    </row>
    <row r="10299">
      <c r="D10299" s="21" t="n">
        <v>0</v>
      </c>
      <c r="E10299" s="21" t="n">
        <v>0</v>
      </c>
      <c r="F10299" s="21" t="n">
        <v>0</v>
      </c>
      <c r="G10299" s="21" t="n">
        <v>0</v>
      </c>
      <c r="H10299" s="21" t="n">
        <v>0</v>
      </c>
      <c r="I10299" s="21" t="n">
        <v>0</v>
      </c>
      <c r="J10299" s="21" t="n">
        <v>0</v>
      </c>
      <c r="K10299" s="21" t="n">
        <v>0</v>
      </c>
      <c r="L10299" s="21" t="n">
        <v>0</v>
      </c>
      <c r="M10299" s="21" t="n">
        <v>0</v>
      </c>
      <c r="N10299" s="21" t="n">
        <v>0</v>
      </c>
      <c r="O10299" s="21" t="n">
        <v>0</v>
      </c>
      <c r="P10299" s="21" t="n">
        <v>0</v>
      </c>
      <c r="Q10299" s="21" t="n">
        <v>0</v>
      </c>
      <c r="R10299" s="21" t="n">
        <v>0</v>
      </c>
      <c r="S10299" s="21" t="n">
        <v>0</v>
      </c>
      <c r="T10299" s="21" t="n">
        <v>0</v>
      </c>
      <c r="U10299" s="21" t="n">
        <v>0</v>
      </c>
      <c r="V10299" s="21">
        <f>$B$8764</f>
        <v/>
      </c>
      <c r="W10299" s="21">
        <f>$B$8766</f>
        <v/>
      </c>
      <c r="X10299" s="21">
        <f>-$B$8764</f>
        <v/>
      </c>
      <c r="Y10299" s="21">
        <f>$B$8765</f>
        <v/>
      </c>
      <c r="Z10299" s="19" t="n"/>
    </row>
    <row r="10301">
      <c r="A10301" s="8" t="inlineStr">
        <is>
          <t>gen 42</t>
        </is>
      </c>
    </row>
    <row r="10302">
      <c r="D10302" s="19">
        <f>IF(ABS(IF(ABS($E$10266)&gt;0.000000001,$E$10266,0.000000001))=0,0,IF($E$8778&lt;=$B$8772,0,IF(ABS(IF(ABS($E$10266)&gt;0.000000001,$E$10266,0.000000001))&gt;=8*$B$8774,$H$8778,0.5*$H$8778*(ABS(IF(ABS($E$10266)&gt;0.000000001,$E$10266,0.000000001))/$B$8774)^(1/3)))/ABS(IF(ABS($E$10266)&gt;0.000000001,$E$10266,0.000000001))*$I$8778)</f>
        <v/>
      </c>
      <c r="E10302" s="19">
        <f>0.5*$E$10266+0.5*$Z$10314</f>
        <v/>
      </c>
      <c r="F10302" s="19">
        <f>$Z$10315</f>
        <v/>
      </c>
    </row>
    <row r="10303">
      <c r="D10303" s="19">
        <f>IF(ABS(IF(ABS($E$10267)&gt;0.000000001,$E$10267,0.000000001))=0,0,IF($E$8779&lt;=$B$8772,0,IF(ABS(IF(ABS($E$10267)&gt;0.000000001,$E$10267,0.000000001))&gt;=8*$B$8774,$H$8779,0.5*$H$8779*(ABS(IF(ABS($E$10267)&gt;0.000000001,$E$10267,0.000000001))/$B$8774)^(1/3)))/ABS(IF(ABS($E$10267)&gt;0.000000001,$E$10267,0.000000001))*$I$8779)</f>
        <v/>
      </c>
      <c r="E10303" s="19">
        <f>0.5*$E$10267+0.5*$Z$10316</f>
        <v/>
      </c>
      <c r="F10303" s="19">
        <f>$Z$10317</f>
        <v/>
      </c>
    </row>
    <row r="10304">
      <c r="D10304" s="19">
        <f>IF(ABS(IF(ABS($E$10268)&gt;0.000000001,$E$10268,0.000000001))=0,0,IF($E$8780&lt;=$B$8772,0,IF(ABS(IF(ABS($E$10268)&gt;0.000000001,$E$10268,0.000000001))&gt;=8*$B$8774,$H$8780,0.5*$H$8780*(ABS(IF(ABS($E$10268)&gt;0.000000001,$E$10268,0.000000001))/$B$8774)^(1/3)))/ABS(IF(ABS($E$10268)&gt;0.000000001,$E$10268,0.000000001))*$I$8780)</f>
        <v/>
      </c>
      <c r="E10304" s="19">
        <f>0.5*$E$10268+0.5*$Z$10318</f>
        <v/>
      </c>
      <c r="F10304" s="19">
        <f>$Z$10319</f>
        <v/>
      </c>
    </row>
    <row r="10305">
      <c r="D10305" s="19">
        <f>IF(ABS(IF(ABS($E$10269)&gt;0.000000001,$E$10269,0.000000001))=0,0,IF($E$8781&lt;=$B$8772,0,IF(ABS(IF(ABS($E$10269)&gt;0.000000001,$E$10269,0.000000001))&gt;=8*$B$8774,$H$8781,0.5*$H$8781*(ABS(IF(ABS($E$10269)&gt;0.000000001,$E$10269,0.000000001))/$B$8774)^(1/3)))/ABS(IF(ABS($E$10269)&gt;0.000000001,$E$10269,0.000000001))*$I$8781)</f>
        <v/>
      </c>
      <c r="E10305" s="19">
        <f>0.5*$E$10269+0.5*$Z$10320</f>
        <v/>
      </c>
      <c r="F10305" s="19">
        <f>$Z$10321</f>
        <v/>
      </c>
    </row>
    <row r="10306">
      <c r="D10306" s="19">
        <f>IF(ABS(IF(ABS($E$10270)&gt;0.000000001,$E$10270,0.000000001))=0,0,IF($E$8782&lt;=$B$8772,0,IF(ABS(IF(ABS($E$10270)&gt;0.000000001,$E$10270,0.000000001))&gt;=8*$B$8774,$H$8782,0.5*$H$8782*(ABS(IF(ABS($E$10270)&gt;0.000000001,$E$10270,0.000000001))/$B$8774)^(1/3)))/ABS(IF(ABS($E$10270)&gt;0.000000001,$E$10270,0.000000001))*$I$8782)</f>
        <v/>
      </c>
      <c r="E10306" s="19">
        <f>0.5*$E$10270+0.5*$Z$10322</f>
        <v/>
      </c>
      <c r="F10306" s="19">
        <f>$Z$10323</f>
        <v/>
      </c>
    </row>
    <row r="10307">
      <c r="D10307" s="19">
        <f>IF(ABS(IF(ABS($E$10271)&gt;0.000000001,$E$10271,0.000000001))=0,0,IF($E$8783&lt;=$B$8772,0,IF(ABS(IF(ABS($E$10271)&gt;0.000000001,$E$10271,0.000000001))&gt;=8*$B$8774,$H$8783,0.5*$H$8783*(ABS(IF(ABS($E$10271)&gt;0.000000001,$E$10271,0.000000001))/$B$8774)^(1/3)))/ABS(IF(ABS($E$10271)&gt;0.000000001,$E$10271,0.000000001))*$I$8783)</f>
        <v/>
      </c>
      <c r="E10307" s="19">
        <f>0.5*$E$10271+0.5*$Z$10324</f>
        <v/>
      </c>
      <c r="F10307" s="19">
        <f>$Z$10325</f>
        <v/>
      </c>
    </row>
    <row r="10308">
      <c r="D10308" s="19">
        <f>IF(ABS(IF(ABS($E$10272)&gt;0.000000001,$E$10272,0.000000001))=0,0,IF($E$8784&lt;=$B$8772,0,IF(ABS(IF(ABS($E$10272)&gt;0.000000001,$E$10272,0.000000001))&gt;=8*$B$8774,$H$8784,0.5*$H$8784*(ABS(IF(ABS($E$10272)&gt;0.000000001,$E$10272,0.000000001))/$B$8774)^(1/3)))/ABS(IF(ABS($E$10272)&gt;0.000000001,$E$10272,0.000000001))*$I$8784)</f>
        <v/>
      </c>
      <c r="E10308" s="19">
        <f>0.5*$E$10272+0.5*$Z$10326</f>
        <v/>
      </c>
      <c r="F10308" s="19">
        <f>$Z$10327</f>
        <v/>
      </c>
    </row>
    <row r="10309">
      <c r="D10309" s="19">
        <f>IF(ABS(IF(ABS($E$10273)&gt;0.000000001,$E$10273,0.000000001))=0,0,IF($E$8785&lt;=$B$8772,0,IF(ABS(IF(ABS($E$10273)&gt;0.000000001,$E$10273,0.000000001))&gt;=8*$B$8774,$H$8785,0.5*$H$8785*(ABS(IF(ABS($E$10273)&gt;0.000000001,$E$10273,0.000000001))/$B$8774)^(1/3)))/ABS(IF(ABS($E$10273)&gt;0.000000001,$E$10273,0.000000001))*$I$8785)</f>
        <v/>
      </c>
      <c r="E10309" s="19">
        <f>0.5*$E$10273+0.5*$Z$10328</f>
        <v/>
      </c>
      <c r="F10309" s="19">
        <f>$Z$10329</f>
        <v/>
      </c>
    </row>
    <row r="10310">
      <c r="D10310" s="19">
        <f>IF(ABS(IF(ABS($E$10274)&gt;0.000000001,$E$10274,0.000000001))=0,0,IF($E$8786&lt;=$B$8772,0,IF(ABS(IF(ABS($E$10274)&gt;0.000000001,$E$10274,0.000000001))&gt;=8*$B$8774,$H$8786,0.5*$H$8786*(ABS(IF(ABS($E$10274)&gt;0.000000001,$E$10274,0.000000001))/$B$8774)^(1/3)))/ABS(IF(ABS($E$10274)&gt;0.000000001,$E$10274,0.000000001))*$I$8786)</f>
        <v/>
      </c>
      <c r="E10310" s="19">
        <f>0.5*$E$10274+0.5*$Z$10330</f>
        <v/>
      </c>
      <c r="F10310" s="19">
        <f>$Z$10331</f>
        <v/>
      </c>
    </row>
    <row r="10311">
      <c r="D10311" s="19">
        <f>IF(ABS(IF(ABS($E$10275)&gt;0.000000001,$E$10275,0.000000001))=0,0,IF($E$8787&lt;=$B$8772,0,IF(ABS(IF(ABS($E$10275)&gt;0.000000001,$E$10275,0.000000001))&gt;=8*$B$8774,$H$8787,0.5*$H$8787*(ABS(IF(ABS($E$10275)&gt;0.000000001,$E$10275,0.000000001))/$B$8774)^(1/3)))/ABS(IF(ABS($E$10275)&gt;0.000000001,$E$10275,0.000000001))*$I$8787)</f>
        <v/>
      </c>
      <c r="E10311" s="19">
        <f>0.5*$E$10275+0.5*$Z$10332</f>
        <v/>
      </c>
      <c r="F10311" s="19">
        <f>$Z$10333</f>
        <v/>
      </c>
    </row>
    <row r="10312">
      <c r="D10312" s="19">
        <f>IF(ABS(IF(ABS($E$10276)&gt;0.000000001,$E$10276,0.000000001))=0,0,IF($E$8788&lt;=$B$8772,0,IF(ABS(IF(ABS($E$10276)&gt;0.000000001,$E$10276,0.000000001))&gt;=8*$B$8774,$H$8788,0.5*$H$8788*(ABS(IF(ABS($E$10276)&gt;0.000000001,$E$10276,0.000000001))/$B$8774)^(1/3)))/ABS(IF(ABS($E$10276)&gt;0.000000001,$E$10276,0.000000001))*$I$8788)</f>
        <v/>
      </c>
      <c r="E10312" s="19">
        <f>0.5*$E$10276+0.5*$Z$10334</f>
        <v/>
      </c>
      <c r="F10312" s="19">
        <f>$Z$10335</f>
        <v/>
      </c>
    </row>
    <row r="10314">
      <c r="D10314" s="21">
        <f>$B$8763+$D$10302</f>
        <v/>
      </c>
      <c r="E10314" s="21">
        <f>$B$8764</f>
        <v/>
      </c>
      <c r="F10314" s="21">
        <f>-$B$8763</f>
        <v/>
      </c>
      <c r="G10314" s="21">
        <f>$B$8764</f>
        <v/>
      </c>
      <c r="H10314" s="21" t="n">
        <v>0</v>
      </c>
      <c r="I10314" s="21" t="n">
        <v>0</v>
      </c>
      <c r="J10314" s="21" t="n">
        <v>0</v>
      </c>
      <c r="K10314" s="21" t="n">
        <v>0</v>
      </c>
      <c r="L10314" s="21" t="n">
        <v>0</v>
      </c>
      <c r="M10314" s="21" t="n">
        <v>0</v>
      </c>
      <c r="N10314" s="21" t="n">
        <v>0</v>
      </c>
      <c r="O10314" s="21" t="n">
        <v>0</v>
      </c>
      <c r="P10314" s="21" t="n">
        <v>0</v>
      </c>
      <c r="Q10314" s="21" t="n">
        <v>0</v>
      </c>
      <c r="R10314" s="21" t="n">
        <v>0</v>
      </c>
      <c r="S10314" s="21" t="n">
        <v>0</v>
      </c>
      <c r="T10314" s="21" t="n">
        <v>0</v>
      </c>
      <c r="U10314" s="21" t="n">
        <v>0</v>
      </c>
      <c r="V10314" s="21" t="n">
        <v>0</v>
      </c>
      <c r="W10314" s="21" t="n">
        <v>0</v>
      </c>
      <c r="X10314" s="21" t="n">
        <v>0</v>
      </c>
      <c r="Y10314" s="21" t="n">
        <v>0</v>
      </c>
      <c r="Z10314" s="19">
        <f t="array" ref="Z10314:Z10335">MMULT(MINVERSE($D$10314:$Y$10335),$D$8790:$D$8811)</f>
        <v/>
      </c>
    </row>
    <row r="10315">
      <c r="D10315" s="21">
        <f>$B$8764</f>
        <v/>
      </c>
      <c r="E10315" s="21">
        <f>$B$8765</f>
        <v/>
      </c>
      <c r="F10315" s="21">
        <f>-$B$8764</f>
        <v/>
      </c>
      <c r="G10315" s="21">
        <f>$B$8766</f>
        <v/>
      </c>
      <c r="H10315" s="21" t="n">
        <v>0</v>
      </c>
      <c r="I10315" s="21" t="n">
        <v>0</v>
      </c>
      <c r="J10315" s="21" t="n">
        <v>0</v>
      </c>
      <c r="K10315" s="21" t="n">
        <v>0</v>
      </c>
      <c r="L10315" s="21" t="n">
        <v>0</v>
      </c>
      <c r="M10315" s="21" t="n">
        <v>0</v>
      </c>
      <c r="N10315" s="21" t="n">
        <v>0</v>
      </c>
      <c r="O10315" s="21" t="n">
        <v>0</v>
      </c>
      <c r="P10315" s="21" t="n">
        <v>0</v>
      </c>
      <c r="Q10315" s="21" t="n">
        <v>0</v>
      </c>
      <c r="R10315" s="21" t="n">
        <v>0</v>
      </c>
      <c r="S10315" s="21" t="n">
        <v>0</v>
      </c>
      <c r="T10315" s="21" t="n">
        <v>0</v>
      </c>
      <c r="U10315" s="21" t="n">
        <v>0</v>
      </c>
      <c r="V10315" s="21" t="n">
        <v>0</v>
      </c>
      <c r="W10315" s="21" t="n">
        <v>0</v>
      </c>
      <c r="X10315" s="21" t="n">
        <v>0</v>
      </c>
      <c r="Y10315" s="21" t="n">
        <v>0</v>
      </c>
      <c r="Z10315" s="19" t="n"/>
    </row>
    <row r="10316">
      <c r="D10316" s="21">
        <f>-$B$8763</f>
        <v/>
      </c>
      <c r="E10316" s="21">
        <f>-$B$8764</f>
        <v/>
      </c>
      <c r="F10316" s="21">
        <f>2*$B$8763+$D$10303</f>
        <v/>
      </c>
      <c r="G10316" s="21">
        <f>0</f>
        <v/>
      </c>
      <c r="H10316" s="21">
        <f>-$B$8763</f>
        <v/>
      </c>
      <c r="I10316" s="21">
        <f>$B$8764</f>
        <v/>
      </c>
      <c r="J10316" s="21" t="n">
        <v>0</v>
      </c>
      <c r="K10316" s="21" t="n">
        <v>0</v>
      </c>
      <c r="L10316" s="21" t="n">
        <v>0</v>
      </c>
      <c r="M10316" s="21" t="n">
        <v>0</v>
      </c>
      <c r="N10316" s="21" t="n">
        <v>0</v>
      </c>
      <c r="O10316" s="21" t="n">
        <v>0</v>
      </c>
      <c r="P10316" s="21" t="n">
        <v>0</v>
      </c>
      <c r="Q10316" s="21" t="n">
        <v>0</v>
      </c>
      <c r="R10316" s="21" t="n">
        <v>0</v>
      </c>
      <c r="S10316" s="21" t="n">
        <v>0</v>
      </c>
      <c r="T10316" s="21" t="n">
        <v>0</v>
      </c>
      <c r="U10316" s="21" t="n">
        <v>0</v>
      </c>
      <c r="V10316" s="21" t="n">
        <v>0</v>
      </c>
      <c r="W10316" s="21" t="n">
        <v>0</v>
      </c>
      <c r="X10316" s="21" t="n">
        <v>0</v>
      </c>
      <c r="Y10316" s="21" t="n">
        <v>0</v>
      </c>
      <c r="Z10316" s="19" t="n"/>
    </row>
    <row r="10317">
      <c r="D10317" s="21">
        <f>$B$8764</f>
        <v/>
      </c>
      <c r="E10317" s="21">
        <f>$B$8766</f>
        <v/>
      </c>
      <c r="F10317" s="21">
        <f>0</f>
        <v/>
      </c>
      <c r="G10317" s="21">
        <f>2*$B$8765</f>
        <v/>
      </c>
      <c r="H10317" s="21">
        <f>-$B$8764</f>
        <v/>
      </c>
      <c r="I10317" s="21">
        <f>$B$8766</f>
        <v/>
      </c>
      <c r="J10317" s="21" t="n">
        <v>0</v>
      </c>
      <c r="K10317" s="21" t="n">
        <v>0</v>
      </c>
      <c r="L10317" s="21" t="n">
        <v>0</v>
      </c>
      <c r="M10317" s="21" t="n">
        <v>0</v>
      </c>
      <c r="N10317" s="21" t="n">
        <v>0</v>
      </c>
      <c r="O10317" s="21" t="n">
        <v>0</v>
      </c>
      <c r="P10317" s="21" t="n">
        <v>0</v>
      </c>
      <c r="Q10317" s="21" t="n">
        <v>0</v>
      </c>
      <c r="R10317" s="21" t="n">
        <v>0</v>
      </c>
      <c r="S10317" s="21" t="n">
        <v>0</v>
      </c>
      <c r="T10317" s="21" t="n">
        <v>0</v>
      </c>
      <c r="U10317" s="21" t="n">
        <v>0</v>
      </c>
      <c r="V10317" s="21" t="n">
        <v>0</v>
      </c>
      <c r="W10317" s="21" t="n">
        <v>0</v>
      </c>
      <c r="X10317" s="21" t="n">
        <v>0</v>
      </c>
      <c r="Y10317" s="21" t="n">
        <v>0</v>
      </c>
      <c r="Z10317" s="19" t="n"/>
    </row>
    <row r="10318">
      <c r="D10318" s="21" t="n">
        <v>0</v>
      </c>
      <c r="E10318" s="21" t="n">
        <v>0</v>
      </c>
      <c r="F10318" s="21">
        <f>-$B$8763</f>
        <v/>
      </c>
      <c r="G10318" s="21">
        <f>-$B$8764</f>
        <v/>
      </c>
      <c r="H10318" s="21">
        <f>2*$B$8763+$D$10304</f>
        <v/>
      </c>
      <c r="I10318" s="21">
        <f>0</f>
        <v/>
      </c>
      <c r="J10318" s="21">
        <f>-$B$8763</f>
        <v/>
      </c>
      <c r="K10318" s="21">
        <f>$B$8764</f>
        <v/>
      </c>
      <c r="L10318" s="21" t="n">
        <v>0</v>
      </c>
      <c r="M10318" s="21" t="n">
        <v>0</v>
      </c>
      <c r="N10318" s="21" t="n">
        <v>0</v>
      </c>
      <c r="O10318" s="21" t="n">
        <v>0</v>
      </c>
      <c r="P10318" s="21" t="n">
        <v>0</v>
      </c>
      <c r="Q10318" s="21" t="n">
        <v>0</v>
      </c>
      <c r="R10318" s="21" t="n">
        <v>0</v>
      </c>
      <c r="S10318" s="21" t="n">
        <v>0</v>
      </c>
      <c r="T10318" s="21" t="n">
        <v>0</v>
      </c>
      <c r="U10318" s="21" t="n">
        <v>0</v>
      </c>
      <c r="V10318" s="21" t="n">
        <v>0</v>
      </c>
      <c r="W10318" s="21" t="n">
        <v>0</v>
      </c>
      <c r="X10318" s="21" t="n">
        <v>0</v>
      </c>
      <c r="Y10318" s="21" t="n">
        <v>0</v>
      </c>
      <c r="Z10318" s="19" t="n"/>
    </row>
    <row r="10319">
      <c r="D10319" s="21" t="n">
        <v>0</v>
      </c>
      <c r="E10319" s="21" t="n">
        <v>0</v>
      </c>
      <c r="F10319" s="21">
        <f>$B$8764</f>
        <v/>
      </c>
      <c r="G10319" s="21">
        <f>$B$8766</f>
        <v/>
      </c>
      <c r="H10319" s="21">
        <f>0</f>
        <v/>
      </c>
      <c r="I10319" s="21">
        <f>2*$B$8765</f>
        <v/>
      </c>
      <c r="J10319" s="21">
        <f>-$B$8764</f>
        <v/>
      </c>
      <c r="K10319" s="21">
        <f>$B$8766</f>
        <v/>
      </c>
      <c r="L10319" s="21" t="n">
        <v>0</v>
      </c>
      <c r="M10319" s="21" t="n">
        <v>0</v>
      </c>
      <c r="N10319" s="21" t="n">
        <v>0</v>
      </c>
      <c r="O10319" s="21" t="n">
        <v>0</v>
      </c>
      <c r="P10319" s="21" t="n">
        <v>0</v>
      </c>
      <c r="Q10319" s="21" t="n">
        <v>0</v>
      </c>
      <c r="R10319" s="21" t="n">
        <v>0</v>
      </c>
      <c r="S10319" s="21" t="n">
        <v>0</v>
      </c>
      <c r="T10319" s="21" t="n">
        <v>0</v>
      </c>
      <c r="U10319" s="21" t="n">
        <v>0</v>
      </c>
      <c r="V10319" s="21" t="n">
        <v>0</v>
      </c>
      <c r="W10319" s="21" t="n">
        <v>0</v>
      </c>
      <c r="X10319" s="21" t="n">
        <v>0</v>
      </c>
      <c r="Y10319" s="21" t="n">
        <v>0</v>
      </c>
      <c r="Z10319" s="19" t="n"/>
    </row>
    <row r="10320">
      <c r="D10320" s="21" t="n">
        <v>0</v>
      </c>
      <c r="E10320" s="21" t="n">
        <v>0</v>
      </c>
      <c r="F10320" s="21" t="n">
        <v>0</v>
      </c>
      <c r="G10320" s="21" t="n">
        <v>0</v>
      </c>
      <c r="H10320" s="21">
        <f>-$B$8763</f>
        <v/>
      </c>
      <c r="I10320" s="21">
        <f>-$B$8764</f>
        <v/>
      </c>
      <c r="J10320" s="21">
        <f>2*$B$8763+$D$10305</f>
        <v/>
      </c>
      <c r="K10320" s="21">
        <f>0</f>
        <v/>
      </c>
      <c r="L10320" s="21">
        <f>-$B$8763</f>
        <v/>
      </c>
      <c r="M10320" s="21">
        <f>$B$8764</f>
        <v/>
      </c>
      <c r="N10320" s="21" t="n">
        <v>0</v>
      </c>
      <c r="O10320" s="21" t="n">
        <v>0</v>
      </c>
      <c r="P10320" s="21" t="n">
        <v>0</v>
      </c>
      <c r="Q10320" s="21" t="n">
        <v>0</v>
      </c>
      <c r="R10320" s="21" t="n">
        <v>0</v>
      </c>
      <c r="S10320" s="21" t="n">
        <v>0</v>
      </c>
      <c r="T10320" s="21" t="n">
        <v>0</v>
      </c>
      <c r="U10320" s="21" t="n">
        <v>0</v>
      </c>
      <c r="V10320" s="21" t="n">
        <v>0</v>
      </c>
      <c r="W10320" s="21" t="n">
        <v>0</v>
      </c>
      <c r="X10320" s="21" t="n">
        <v>0</v>
      </c>
      <c r="Y10320" s="21" t="n">
        <v>0</v>
      </c>
      <c r="Z10320" s="19" t="n"/>
    </row>
    <row r="10321">
      <c r="D10321" s="21" t="n">
        <v>0</v>
      </c>
      <c r="E10321" s="21" t="n">
        <v>0</v>
      </c>
      <c r="F10321" s="21" t="n">
        <v>0</v>
      </c>
      <c r="G10321" s="21" t="n">
        <v>0</v>
      </c>
      <c r="H10321" s="21">
        <f>$B$8764</f>
        <v/>
      </c>
      <c r="I10321" s="21">
        <f>$B$8766</f>
        <v/>
      </c>
      <c r="J10321" s="21">
        <f>0</f>
        <v/>
      </c>
      <c r="K10321" s="21">
        <f>2*$B$8765</f>
        <v/>
      </c>
      <c r="L10321" s="21">
        <f>-$B$8764</f>
        <v/>
      </c>
      <c r="M10321" s="21">
        <f>$B$8766</f>
        <v/>
      </c>
      <c r="N10321" s="21" t="n">
        <v>0</v>
      </c>
      <c r="O10321" s="21" t="n">
        <v>0</v>
      </c>
      <c r="P10321" s="21" t="n">
        <v>0</v>
      </c>
      <c r="Q10321" s="21" t="n">
        <v>0</v>
      </c>
      <c r="R10321" s="21" t="n">
        <v>0</v>
      </c>
      <c r="S10321" s="21" t="n">
        <v>0</v>
      </c>
      <c r="T10321" s="21" t="n">
        <v>0</v>
      </c>
      <c r="U10321" s="21" t="n">
        <v>0</v>
      </c>
      <c r="V10321" s="21" t="n">
        <v>0</v>
      </c>
      <c r="W10321" s="21" t="n">
        <v>0</v>
      </c>
      <c r="X10321" s="21" t="n">
        <v>0</v>
      </c>
      <c r="Y10321" s="21" t="n">
        <v>0</v>
      </c>
      <c r="Z10321" s="19" t="n"/>
    </row>
    <row r="10322">
      <c r="D10322" s="21" t="n">
        <v>0</v>
      </c>
      <c r="E10322" s="21" t="n">
        <v>0</v>
      </c>
      <c r="F10322" s="21" t="n">
        <v>0</v>
      </c>
      <c r="G10322" s="21" t="n">
        <v>0</v>
      </c>
      <c r="H10322" s="21" t="n">
        <v>0</v>
      </c>
      <c r="I10322" s="21" t="n">
        <v>0</v>
      </c>
      <c r="J10322" s="21">
        <f>-$B$8763</f>
        <v/>
      </c>
      <c r="K10322" s="21">
        <f>-$B$8764</f>
        <v/>
      </c>
      <c r="L10322" s="21">
        <f>2*$B$8763+$D$10306</f>
        <v/>
      </c>
      <c r="M10322" s="21">
        <f>0</f>
        <v/>
      </c>
      <c r="N10322" s="21">
        <f>-$B$8763</f>
        <v/>
      </c>
      <c r="O10322" s="21">
        <f>$B$8764</f>
        <v/>
      </c>
      <c r="P10322" s="21" t="n">
        <v>0</v>
      </c>
      <c r="Q10322" s="21" t="n">
        <v>0</v>
      </c>
      <c r="R10322" s="21" t="n">
        <v>0</v>
      </c>
      <c r="S10322" s="21" t="n">
        <v>0</v>
      </c>
      <c r="T10322" s="21" t="n">
        <v>0</v>
      </c>
      <c r="U10322" s="21" t="n">
        <v>0</v>
      </c>
      <c r="V10322" s="21" t="n">
        <v>0</v>
      </c>
      <c r="W10322" s="21" t="n">
        <v>0</v>
      </c>
      <c r="X10322" s="21" t="n">
        <v>0</v>
      </c>
      <c r="Y10322" s="21" t="n">
        <v>0</v>
      </c>
      <c r="Z10322" s="19" t="n"/>
    </row>
    <row r="10323">
      <c r="D10323" s="21" t="n">
        <v>0</v>
      </c>
      <c r="E10323" s="21" t="n">
        <v>0</v>
      </c>
      <c r="F10323" s="21" t="n">
        <v>0</v>
      </c>
      <c r="G10323" s="21" t="n">
        <v>0</v>
      </c>
      <c r="H10323" s="21" t="n">
        <v>0</v>
      </c>
      <c r="I10323" s="21" t="n">
        <v>0</v>
      </c>
      <c r="J10323" s="21">
        <f>$B$8764</f>
        <v/>
      </c>
      <c r="K10323" s="21">
        <f>$B$8766</f>
        <v/>
      </c>
      <c r="L10323" s="21">
        <f>0</f>
        <v/>
      </c>
      <c r="M10323" s="21">
        <f>2*$B$8765</f>
        <v/>
      </c>
      <c r="N10323" s="21">
        <f>-$B$8764</f>
        <v/>
      </c>
      <c r="O10323" s="21">
        <f>$B$8766</f>
        <v/>
      </c>
      <c r="P10323" s="21" t="n">
        <v>0</v>
      </c>
      <c r="Q10323" s="21" t="n">
        <v>0</v>
      </c>
      <c r="R10323" s="21" t="n">
        <v>0</v>
      </c>
      <c r="S10323" s="21" t="n">
        <v>0</v>
      </c>
      <c r="T10323" s="21" t="n">
        <v>0</v>
      </c>
      <c r="U10323" s="21" t="n">
        <v>0</v>
      </c>
      <c r="V10323" s="21" t="n">
        <v>0</v>
      </c>
      <c r="W10323" s="21" t="n">
        <v>0</v>
      </c>
      <c r="X10323" s="21" t="n">
        <v>0</v>
      </c>
      <c r="Y10323" s="21" t="n">
        <v>0</v>
      </c>
      <c r="Z10323" s="19" t="n"/>
    </row>
    <row r="10324">
      <c r="D10324" s="21" t="n">
        <v>0</v>
      </c>
      <c r="E10324" s="21" t="n">
        <v>0</v>
      </c>
      <c r="F10324" s="21" t="n">
        <v>0</v>
      </c>
      <c r="G10324" s="21" t="n">
        <v>0</v>
      </c>
      <c r="H10324" s="21" t="n">
        <v>0</v>
      </c>
      <c r="I10324" s="21" t="n">
        <v>0</v>
      </c>
      <c r="J10324" s="21" t="n">
        <v>0</v>
      </c>
      <c r="K10324" s="21" t="n">
        <v>0</v>
      </c>
      <c r="L10324" s="21">
        <f>-$B$8763</f>
        <v/>
      </c>
      <c r="M10324" s="21">
        <f>-$B$8764</f>
        <v/>
      </c>
      <c r="N10324" s="21">
        <f>2*$B$8763+$D$10307</f>
        <v/>
      </c>
      <c r="O10324" s="21">
        <f>0</f>
        <v/>
      </c>
      <c r="P10324" s="21">
        <f>-$B$8763</f>
        <v/>
      </c>
      <c r="Q10324" s="21">
        <f>$B$8764</f>
        <v/>
      </c>
      <c r="R10324" s="21" t="n">
        <v>0</v>
      </c>
      <c r="S10324" s="21" t="n">
        <v>0</v>
      </c>
      <c r="T10324" s="21" t="n">
        <v>0</v>
      </c>
      <c r="U10324" s="21" t="n">
        <v>0</v>
      </c>
      <c r="V10324" s="21" t="n">
        <v>0</v>
      </c>
      <c r="W10324" s="21" t="n">
        <v>0</v>
      </c>
      <c r="X10324" s="21" t="n">
        <v>0</v>
      </c>
      <c r="Y10324" s="21" t="n">
        <v>0</v>
      </c>
      <c r="Z10324" s="19" t="n"/>
    </row>
    <row r="10325">
      <c r="D10325" s="21" t="n">
        <v>0</v>
      </c>
      <c r="E10325" s="21" t="n">
        <v>0</v>
      </c>
      <c r="F10325" s="21" t="n">
        <v>0</v>
      </c>
      <c r="G10325" s="21" t="n">
        <v>0</v>
      </c>
      <c r="H10325" s="21" t="n">
        <v>0</v>
      </c>
      <c r="I10325" s="21" t="n">
        <v>0</v>
      </c>
      <c r="J10325" s="21" t="n">
        <v>0</v>
      </c>
      <c r="K10325" s="21" t="n">
        <v>0</v>
      </c>
      <c r="L10325" s="21">
        <f>$B$8764</f>
        <v/>
      </c>
      <c r="M10325" s="21">
        <f>$B$8766</f>
        <v/>
      </c>
      <c r="N10325" s="21">
        <f>0</f>
        <v/>
      </c>
      <c r="O10325" s="21">
        <f>2*$B$8765</f>
        <v/>
      </c>
      <c r="P10325" s="21">
        <f>-$B$8764</f>
        <v/>
      </c>
      <c r="Q10325" s="21">
        <f>$B$8766</f>
        <v/>
      </c>
      <c r="R10325" s="21" t="n">
        <v>0</v>
      </c>
      <c r="S10325" s="21" t="n">
        <v>0</v>
      </c>
      <c r="T10325" s="21" t="n">
        <v>0</v>
      </c>
      <c r="U10325" s="21" t="n">
        <v>0</v>
      </c>
      <c r="V10325" s="21" t="n">
        <v>0</v>
      </c>
      <c r="W10325" s="21" t="n">
        <v>0</v>
      </c>
      <c r="X10325" s="21" t="n">
        <v>0</v>
      </c>
      <c r="Y10325" s="21" t="n">
        <v>0</v>
      </c>
      <c r="Z10325" s="19" t="n"/>
    </row>
    <row r="10326">
      <c r="D10326" s="21" t="n">
        <v>0</v>
      </c>
      <c r="E10326" s="21" t="n">
        <v>0</v>
      </c>
      <c r="F10326" s="21" t="n">
        <v>0</v>
      </c>
      <c r="G10326" s="21" t="n">
        <v>0</v>
      </c>
      <c r="H10326" s="21" t="n">
        <v>0</v>
      </c>
      <c r="I10326" s="21" t="n">
        <v>0</v>
      </c>
      <c r="J10326" s="21" t="n">
        <v>0</v>
      </c>
      <c r="K10326" s="21" t="n">
        <v>0</v>
      </c>
      <c r="L10326" s="21" t="n">
        <v>0</v>
      </c>
      <c r="M10326" s="21" t="n">
        <v>0</v>
      </c>
      <c r="N10326" s="21">
        <f>-$B$8763</f>
        <v/>
      </c>
      <c r="O10326" s="21">
        <f>-$B$8764</f>
        <v/>
      </c>
      <c r="P10326" s="21">
        <f>2*$B$8763+$D$10308</f>
        <v/>
      </c>
      <c r="Q10326" s="21">
        <f>0</f>
        <v/>
      </c>
      <c r="R10326" s="21">
        <f>-$B$8763</f>
        <v/>
      </c>
      <c r="S10326" s="21">
        <f>$B$8764</f>
        <v/>
      </c>
      <c r="T10326" s="21" t="n">
        <v>0</v>
      </c>
      <c r="U10326" s="21" t="n">
        <v>0</v>
      </c>
      <c r="V10326" s="21" t="n">
        <v>0</v>
      </c>
      <c r="W10326" s="21" t="n">
        <v>0</v>
      </c>
      <c r="X10326" s="21" t="n">
        <v>0</v>
      </c>
      <c r="Y10326" s="21" t="n">
        <v>0</v>
      </c>
      <c r="Z10326" s="19" t="n"/>
    </row>
    <row r="10327">
      <c r="D10327" s="21" t="n">
        <v>0</v>
      </c>
      <c r="E10327" s="21" t="n">
        <v>0</v>
      </c>
      <c r="F10327" s="21" t="n">
        <v>0</v>
      </c>
      <c r="G10327" s="21" t="n">
        <v>0</v>
      </c>
      <c r="H10327" s="21" t="n">
        <v>0</v>
      </c>
      <c r="I10327" s="21" t="n">
        <v>0</v>
      </c>
      <c r="J10327" s="21" t="n">
        <v>0</v>
      </c>
      <c r="K10327" s="21" t="n">
        <v>0</v>
      </c>
      <c r="L10327" s="21" t="n">
        <v>0</v>
      </c>
      <c r="M10327" s="21" t="n">
        <v>0</v>
      </c>
      <c r="N10327" s="21">
        <f>$B$8764</f>
        <v/>
      </c>
      <c r="O10327" s="21">
        <f>$B$8766</f>
        <v/>
      </c>
      <c r="P10327" s="21">
        <f>0</f>
        <v/>
      </c>
      <c r="Q10327" s="21">
        <f>2*$B$8765</f>
        <v/>
      </c>
      <c r="R10327" s="21">
        <f>-$B$8764</f>
        <v/>
      </c>
      <c r="S10327" s="21">
        <f>$B$8766</f>
        <v/>
      </c>
      <c r="T10327" s="21" t="n">
        <v>0</v>
      </c>
      <c r="U10327" s="21" t="n">
        <v>0</v>
      </c>
      <c r="V10327" s="21" t="n">
        <v>0</v>
      </c>
      <c r="W10327" s="21" t="n">
        <v>0</v>
      </c>
      <c r="X10327" s="21" t="n">
        <v>0</v>
      </c>
      <c r="Y10327" s="21" t="n">
        <v>0</v>
      </c>
      <c r="Z10327" s="19" t="n"/>
    </row>
    <row r="10328">
      <c r="D10328" s="21" t="n">
        <v>0</v>
      </c>
      <c r="E10328" s="21" t="n">
        <v>0</v>
      </c>
      <c r="F10328" s="21" t="n">
        <v>0</v>
      </c>
      <c r="G10328" s="21" t="n">
        <v>0</v>
      </c>
      <c r="H10328" s="21" t="n">
        <v>0</v>
      </c>
      <c r="I10328" s="21" t="n">
        <v>0</v>
      </c>
      <c r="J10328" s="21" t="n">
        <v>0</v>
      </c>
      <c r="K10328" s="21" t="n">
        <v>0</v>
      </c>
      <c r="L10328" s="21" t="n">
        <v>0</v>
      </c>
      <c r="M10328" s="21" t="n">
        <v>0</v>
      </c>
      <c r="N10328" s="21" t="n">
        <v>0</v>
      </c>
      <c r="O10328" s="21" t="n">
        <v>0</v>
      </c>
      <c r="P10328" s="21">
        <f>-$B$8763</f>
        <v/>
      </c>
      <c r="Q10328" s="21">
        <f>-$B$8764</f>
        <v/>
      </c>
      <c r="R10328" s="21">
        <f>2*$B$8763+$D$10309</f>
        <v/>
      </c>
      <c r="S10328" s="21">
        <f>0</f>
        <v/>
      </c>
      <c r="T10328" s="21">
        <f>-$B$8763</f>
        <v/>
      </c>
      <c r="U10328" s="21">
        <f>$B$8764</f>
        <v/>
      </c>
      <c r="V10328" s="21" t="n">
        <v>0</v>
      </c>
      <c r="W10328" s="21" t="n">
        <v>0</v>
      </c>
      <c r="X10328" s="21" t="n">
        <v>0</v>
      </c>
      <c r="Y10328" s="21" t="n">
        <v>0</v>
      </c>
      <c r="Z10328" s="19" t="n"/>
    </row>
    <row r="10329">
      <c r="D10329" s="21" t="n">
        <v>0</v>
      </c>
      <c r="E10329" s="21" t="n">
        <v>0</v>
      </c>
      <c r="F10329" s="21" t="n">
        <v>0</v>
      </c>
      <c r="G10329" s="21" t="n">
        <v>0</v>
      </c>
      <c r="H10329" s="21" t="n">
        <v>0</v>
      </c>
      <c r="I10329" s="21" t="n">
        <v>0</v>
      </c>
      <c r="J10329" s="21" t="n">
        <v>0</v>
      </c>
      <c r="K10329" s="21" t="n">
        <v>0</v>
      </c>
      <c r="L10329" s="21" t="n">
        <v>0</v>
      </c>
      <c r="M10329" s="21" t="n">
        <v>0</v>
      </c>
      <c r="N10329" s="21" t="n">
        <v>0</v>
      </c>
      <c r="O10329" s="21" t="n">
        <v>0</v>
      </c>
      <c r="P10329" s="21">
        <f>$B$8764</f>
        <v/>
      </c>
      <c r="Q10329" s="21">
        <f>$B$8766</f>
        <v/>
      </c>
      <c r="R10329" s="21">
        <f>0</f>
        <v/>
      </c>
      <c r="S10329" s="21">
        <f>2*$B$8765</f>
        <v/>
      </c>
      <c r="T10329" s="21">
        <f>-$B$8764</f>
        <v/>
      </c>
      <c r="U10329" s="21">
        <f>$B$8766</f>
        <v/>
      </c>
      <c r="V10329" s="21" t="n">
        <v>0</v>
      </c>
      <c r="W10329" s="21" t="n">
        <v>0</v>
      </c>
      <c r="X10329" s="21" t="n">
        <v>0</v>
      </c>
      <c r="Y10329" s="21" t="n">
        <v>0</v>
      </c>
      <c r="Z10329" s="19" t="n"/>
    </row>
    <row r="10330">
      <c r="D10330" s="21" t="n">
        <v>0</v>
      </c>
      <c r="E10330" s="21" t="n">
        <v>0</v>
      </c>
      <c r="F10330" s="21" t="n">
        <v>0</v>
      </c>
      <c r="G10330" s="21" t="n">
        <v>0</v>
      </c>
      <c r="H10330" s="21" t="n">
        <v>0</v>
      </c>
      <c r="I10330" s="21" t="n">
        <v>0</v>
      </c>
      <c r="J10330" s="21" t="n">
        <v>0</v>
      </c>
      <c r="K10330" s="21" t="n">
        <v>0</v>
      </c>
      <c r="L10330" s="21" t="n">
        <v>0</v>
      </c>
      <c r="M10330" s="21" t="n">
        <v>0</v>
      </c>
      <c r="N10330" s="21" t="n">
        <v>0</v>
      </c>
      <c r="O10330" s="21" t="n">
        <v>0</v>
      </c>
      <c r="P10330" s="21" t="n">
        <v>0</v>
      </c>
      <c r="Q10330" s="21" t="n">
        <v>0</v>
      </c>
      <c r="R10330" s="21">
        <f>-$B$8763</f>
        <v/>
      </c>
      <c r="S10330" s="21">
        <f>-$B$8764</f>
        <v/>
      </c>
      <c r="T10330" s="21">
        <f>2*$B$8763+$D$10310</f>
        <v/>
      </c>
      <c r="U10330" s="21">
        <f>0</f>
        <v/>
      </c>
      <c r="V10330" s="21">
        <f>-$B$8763</f>
        <v/>
      </c>
      <c r="W10330" s="21">
        <f>$B$8764</f>
        <v/>
      </c>
      <c r="X10330" s="21" t="n">
        <v>0</v>
      </c>
      <c r="Y10330" s="21" t="n">
        <v>0</v>
      </c>
      <c r="Z10330" s="19" t="n"/>
    </row>
    <row r="10331">
      <c r="D10331" s="21" t="n">
        <v>0</v>
      </c>
      <c r="E10331" s="21" t="n">
        <v>0</v>
      </c>
      <c r="F10331" s="21" t="n">
        <v>0</v>
      </c>
      <c r="G10331" s="21" t="n">
        <v>0</v>
      </c>
      <c r="H10331" s="21" t="n">
        <v>0</v>
      </c>
      <c r="I10331" s="21" t="n">
        <v>0</v>
      </c>
      <c r="J10331" s="21" t="n">
        <v>0</v>
      </c>
      <c r="K10331" s="21" t="n">
        <v>0</v>
      </c>
      <c r="L10331" s="21" t="n">
        <v>0</v>
      </c>
      <c r="M10331" s="21" t="n">
        <v>0</v>
      </c>
      <c r="N10331" s="21" t="n">
        <v>0</v>
      </c>
      <c r="O10331" s="21" t="n">
        <v>0</v>
      </c>
      <c r="P10331" s="21" t="n">
        <v>0</v>
      </c>
      <c r="Q10331" s="21" t="n">
        <v>0</v>
      </c>
      <c r="R10331" s="21">
        <f>$B$8764</f>
        <v/>
      </c>
      <c r="S10331" s="21">
        <f>$B$8766</f>
        <v/>
      </c>
      <c r="T10331" s="21">
        <f>0</f>
        <v/>
      </c>
      <c r="U10331" s="21">
        <f>2*$B$8765</f>
        <v/>
      </c>
      <c r="V10331" s="21">
        <f>-$B$8764</f>
        <v/>
      </c>
      <c r="W10331" s="21">
        <f>$B$8766</f>
        <v/>
      </c>
      <c r="X10331" s="21" t="n">
        <v>0</v>
      </c>
      <c r="Y10331" s="21" t="n">
        <v>0</v>
      </c>
      <c r="Z10331" s="19" t="n"/>
    </row>
    <row r="10332">
      <c r="D10332" s="21" t="n">
        <v>0</v>
      </c>
      <c r="E10332" s="21" t="n">
        <v>0</v>
      </c>
      <c r="F10332" s="21" t="n">
        <v>0</v>
      </c>
      <c r="G10332" s="21" t="n">
        <v>0</v>
      </c>
      <c r="H10332" s="21" t="n">
        <v>0</v>
      </c>
      <c r="I10332" s="21" t="n">
        <v>0</v>
      </c>
      <c r="J10332" s="21" t="n">
        <v>0</v>
      </c>
      <c r="K10332" s="21" t="n">
        <v>0</v>
      </c>
      <c r="L10332" s="21" t="n">
        <v>0</v>
      </c>
      <c r="M10332" s="21" t="n">
        <v>0</v>
      </c>
      <c r="N10332" s="21" t="n">
        <v>0</v>
      </c>
      <c r="O10332" s="21" t="n">
        <v>0</v>
      </c>
      <c r="P10332" s="21" t="n">
        <v>0</v>
      </c>
      <c r="Q10332" s="21" t="n">
        <v>0</v>
      </c>
      <c r="R10332" s="21" t="n">
        <v>0</v>
      </c>
      <c r="S10332" s="21" t="n">
        <v>0</v>
      </c>
      <c r="T10332" s="21">
        <f>-$B$8763</f>
        <v/>
      </c>
      <c r="U10332" s="21">
        <f>-$B$8764</f>
        <v/>
      </c>
      <c r="V10332" s="21">
        <f>2*$B$8763+$D$10311</f>
        <v/>
      </c>
      <c r="W10332" s="21">
        <f>0</f>
        <v/>
      </c>
      <c r="X10332" s="21">
        <f>-$B$8763</f>
        <v/>
      </c>
      <c r="Y10332" s="21">
        <f>$B$8764</f>
        <v/>
      </c>
      <c r="Z10332" s="19" t="n"/>
    </row>
    <row r="10333">
      <c r="D10333" s="21" t="n">
        <v>0</v>
      </c>
      <c r="E10333" s="21" t="n">
        <v>0</v>
      </c>
      <c r="F10333" s="21" t="n">
        <v>0</v>
      </c>
      <c r="G10333" s="21" t="n">
        <v>0</v>
      </c>
      <c r="H10333" s="21" t="n">
        <v>0</v>
      </c>
      <c r="I10333" s="21" t="n">
        <v>0</v>
      </c>
      <c r="J10333" s="21" t="n">
        <v>0</v>
      </c>
      <c r="K10333" s="21" t="n">
        <v>0</v>
      </c>
      <c r="L10333" s="21" t="n">
        <v>0</v>
      </c>
      <c r="M10333" s="21" t="n">
        <v>0</v>
      </c>
      <c r="N10333" s="21" t="n">
        <v>0</v>
      </c>
      <c r="O10333" s="21" t="n">
        <v>0</v>
      </c>
      <c r="P10333" s="21" t="n">
        <v>0</v>
      </c>
      <c r="Q10333" s="21" t="n">
        <v>0</v>
      </c>
      <c r="R10333" s="21" t="n">
        <v>0</v>
      </c>
      <c r="S10333" s="21" t="n">
        <v>0</v>
      </c>
      <c r="T10333" s="21">
        <f>$B$8764</f>
        <v/>
      </c>
      <c r="U10333" s="21">
        <f>$B$8766</f>
        <v/>
      </c>
      <c r="V10333" s="21">
        <f>0</f>
        <v/>
      </c>
      <c r="W10333" s="21">
        <f>2*$B$8765</f>
        <v/>
      </c>
      <c r="X10333" s="21">
        <f>-$B$8764</f>
        <v/>
      </c>
      <c r="Y10333" s="21">
        <f>$B$8766</f>
        <v/>
      </c>
      <c r="Z10333" s="19" t="n"/>
    </row>
    <row r="10334">
      <c r="D10334" s="21" t="n">
        <v>0</v>
      </c>
      <c r="E10334" s="21" t="n">
        <v>0</v>
      </c>
      <c r="F10334" s="21" t="n">
        <v>0</v>
      </c>
      <c r="G10334" s="21" t="n">
        <v>0</v>
      </c>
      <c r="H10334" s="21" t="n">
        <v>0</v>
      </c>
      <c r="I10334" s="21" t="n">
        <v>0</v>
      </c>
      <c r="J10334" s="21" t="n">
        <v>0</v>
      </c>
      <c r="K10334" s="21" t="n">
        <v>0</v>
      </c>
      <c r="L10334" s="21" t="n">
        <v>0</v>
      </c>
      <c r="M10334" s="21" t="n">
        <v>0</v>
      </c>
      <c r="N10334" s="21" t="n">
        <v>0</v>
      </c>
      <c r="O10334" s="21" t="n">
        <v>0</v>
      </c>
      <c r="P10334" s="21" t="n">
        <v>0</v>
      </c>
      <c r="Q10334" s="21" t="n">
        <v>0</v>
      </c>
      <c r="R10334" s="21" t="n">
        <v>0</v>
      </c>
      <c r="S10334" s="21" t="n">
        <v>0</v>
      </c>
      <c r="T10334" s="21" t="n">
        <v>0</v>
      </c>
      <c r="U10334" s="21" t="n">
        <v>0</v>
      </c>
      <c r="V10334" s="21">
        <f>-$B$8763</f>
        <v/>
      </c>
      <c r="W10334" s="21">
        <f>-$B$8764</f>
        <v/>
      </c>
      <c r="X10334" s="21">
        <f>$B$8763+$D$10312</f>
        <v/>
      </c>
      <c r="Y10334" s="21">
        <f>-$B$8764</f>
        <v/>
      </c>
      <c r="Z10334" s="19" t="n"/>
    </row>
    <row r="10335">
      <c r="D10335" s="21" t="n">
        <v>0</v>
      </c>
      <c r="E10335" s="21" t="n">
        <v>0</v>
      </c>
      <c r="F10335" s="21" t="n">
        <v>0</v>
      </c>
      <c r="G10335" s="21" t="n">
        <v>0</v>
      </c>
      <c r="H10335" s="21" t="n">
        <v>0</v>
      </c>
      <c r="I10335" s="21" t="n">
        <v>0</v>
      </c>
      <c r="J10335" s="21" t="n">
        <v>0</v>
      </c>
      <c r="K10335" s="21" t="n">
        <v>0</v>
      </c>
      <c r="L10335" s="21" t="n">
        <v>0</v>
      </c>
      <c r="M10335" s="21" t="n">
        <v>0</v>
      </c>
      <c r="N10335" s="21" t="n">
        <v>0</v>
      </c>
      <c r="O10335" s="21" t="n">
        <v>0</v>
      </c>
      <c r="P10335" s="21" t="n">
        <v>0</v>
      </c>
      <c r="Q10335" s="21" t="n">
        <v>0</v>
      </c>
      <c r="R10335" s="21" t="n">
        <v>0</v>
      </c>
      <c r="S10335" s="21" t="n">
        <v>0</v>
      </c>
      <c r="T10335" s="21" t="n">
        <v>0</v>
      </c>
      <c r="U10335" s="21" t="n">
        <v>0</v>
      </c>
      <c r="V10335" s="21">
        <f>$B$8764</f>
        <v/>
      </c>
      <c r="W10335" s="21">
        <f>$B$8766</f>
        <v/>
      </c>
      <c r="X10335" s="21">
        <f>-$B$8764</f>
        <v/>
      </c>
      <c r="Y10335" s="21">
        <f>$B$8765</f>
        <v/>
      </c>
      <c r="Z10335" s="19" t="n"/>
    </row>
    <row r="10337">
      <c r="A10337" s="8" t="inlineStr">
        <is>
          <t>gen 43</t>
        </is>
      </c>
    </row>
    <row r="10338">
      <c r="D10338" s="19">
        <f>IF(ABS(IF(ABS($E$10302)&gt;0.000000001,$E$10302,0.000000001))=0,0,IF($E$8778&lt;=$B$8772,0,IF(ABS(IF(ABS($E$10302)&gt;0.000000001,$E$10302,0.000000001))&gt;=8*$B$8774,$H$8778,0.5*$H$8778*(ABS(IF(ABS($E$10302)&gt;0.000000001,$E$10302,0.000000001))/$B$8774)^(1/3)))/ABS(IF(ABS($E$10302)&gt;0.000000001,$E$10302,0.000000001))*$I$8778)</f>
        <v/>
      </c>
      <c r="E10338" s="19">
        <f>0.5*$E$10302+0.5*$Z$10350</f>
        <v/>
      </c>
      <c r="F10338" s="19">
        <f>$Z$10351</f>
        <v/>
      </c>
    </row>
    <row r="10339">
      <c r="D10339" s="19">
        <f>IF(ABS(IF(ABS($E$10303)&gt;0.000000001,$E$10303,0.000000001))=0,0,IF($E$8779&lt;=$B$8772,0,IF(ABS(IF(ABS($E$10303)&gt;0.000000001,$E$10303,0.000000001))&gt;=8*$B$8774,$H$8779,0.5*$H$8779*(ABS(IF(ABS($E$10303)&gt;0.000000001,$E$10303,0.000000001))/$B$8774)^(1/3)))/ABS(IF(ABS($E$10303)&gt;0.000000001,$E$10303,0.000000001))*$I$8779)</f>
        <v/>
      </c>
      <c r="E10339" s="19">
        <f>0.5*$E$10303+0.5*$Z$10352</f>
        <v/>
      </c>
      <c r="F10339" s="19">
        <f>$Z$10353</f>
        <v/>
      </c>
    </row>
    <row r="10340">
      <c r="D10340" s="19">
        <f>IF(ABS(IF(ABS($E$10304)&gt;0.000000001,$E$10304,0.000000001))=0,0,IF($E$8780&lt;=$B$8772,0,IF(ABS(IF(ABS($E$10304)&gt;0.000000001,$E$10304,0.000000001))&gt;=8*$B$8774,$H$8780,0.5*$H$8780*(ABS(IF(ABS($E$10304)&gt;0.000000001,$E$10304,0.000000001))/$B$8774)^(1/3)))/ABS(IF(ABS($E$10304)&gt;0.000000001,$E$10304,0.000000001))*$I$8780)</f>
        <v/>
      </c>
      <c r="E10340" s="19">
        <f>0.5*$E$10304+0.5*$Z$10354</f>
        <v/>
      </c>
      <c r="F10340" s="19">
        <f>$Z$10355</f>
        <v/>
      </c>
    </row>
    <row r="10341">
      <c r="D10341" s="19">
        <f>IF(ABS(IF(ABS($E$10305)&gt;0.000000001,$E$10305,0.000000001))=0,0,IF($E$8781&lt;=$B$8772,0,IF(ABS(IF(ABS($E$10305)&gt;0.000000001,$E$10305,0.000000001))&gt;=8*$B$8774,$H$8781,0.5*$H$8781*(ABS(IF(ABS($E$10305)&gt;0.000000001,$E$10305,0.000000001))/$B$8774)^(1/3)))/ABS(IF(ABS($E$10305)&gt;0.000000001,$E$10305,0.000000001))*$I$8781)</f>
        <v/>
      </c>
      <c r="E10341" s="19">
        <f>0.5*$E$10305+0.5*$Z$10356</f>
        <v/>
      </c>
      <c r="F10341" s="19">
        <f>$Z$10357</f>
        <v/>
      </c>
    </row>
    <row r="10342">
      <c r="D10342" s="19">
        <f>IF(ABS(IF(ABS($E$10306)&gt;0.000000001,$E$10306,0.000000001))=0,0,IF($E$8782&lt;=$B$8772,0,IF(ABS(IF(ABS($E$10306)&gt;0.000000001,$E$10306,0.000000001))&gt;=8*$B$8774,$H$8782,0.5*$H$8782*(ABS(IF(ABS($E$10306)&gt;0.000000001,$E$10306,0.000000001))/$B$8774)^(1/3)))/ABS(IF(ABS($E$10306)&gt;0.000000001,$E$10306,0.000000001))*$I$8782)</f>
        <v/>
      </c>
      <c r="E10342" s="19">
        <f>0.5*$E$10306+0.5*$Z$10358</f>
        <v/>
      </c>
      <c r="F10342" s="19">
        <f>$Z$10359</f>
        <v/>
      </c>
    </row>
    <row r="10343">
      <c r="D10343" s="19">
        <f>IF(ABS(IF(ABS($E$10307)&gt;0.000000001,$E$10307,0.000000001))=0,0,IF($E$8783&lt;=$B$8772,0,IF(ABS(IF(ABS($E$10307)&gt;0.000000001,$E$10307,0.000000001))&gt;=8*$B$8774,$H$8783,0.5*$H$8783*(ABS(IF(ABS($E$10307)&gt;0.000000001,$E$10307,0.000000001))/$B$8774)^(1/3)))/ABS(IF(ABS($E$10307)&gt;0.000000001,$E$10307,0.000000001))*$I$8783)</f>
        <v/>
      </c>
      <c r="E10343" s="19">
        <f>0.5*$E$10307+0.5*$Z$10360</f>
        <v/>
      </c>
      <c r="F10343" s="19">
        <f>$Z$10361</f>
        <v/>
      </c>
    </row>
    <row r="10344">
      <c r="D10344" s="19">
        <f>IF(ABS(IF(ABS($E$10308)&gt;0.000000001,$E$10308,0.000000001))=0,0,IF($E$8784&lt;=$B$8772,0,IF(ABS(IF(ABS($E$10308)&gt;0.000000001,$E$10308,0.000000001))&gt;=8*$B$8774,$H$8784,0.5*$H$8784*(ABS(IF(ABS($E$10308)&gt;0.000000001,$E$10308,0.000000001))/$B$8774)^(1/3)))/ABS(IF(ABS($E$10308)&gt;0.000000001,$E$10308,0.000000001))*$I$8784)</f>
        <v/>
      </c>
      <c r="E10344" s="19">
        <f>0.5*$E$10308+0.5*$Z$10362</f>
        <v/>
      </c>
      <c r="F10344" s="19">
        <f>$Z$10363</f>
        <v/>
      </c>
    </row>
    <row r="10345">
      <c r="D10345" s="19">
        <f>IF(ABS(IF(ABS($E$10309)&gt;0.000000001,$E$10309,0.000000001))=0,0,IF($E$8785&lt;=$B$8772,0,IF(ABS(IF(ABS($E$10309)&gt;0.000000001,$E$10309,0.000000001))&gt;=8*$B$8774,$H$8785,0.5*$H$8785*(ABS(IF(ABS($E$10309)&gt;0.000000001,$E$10309,0.000000001))/$B$8774)^(1/3)))/ABS(IF(ABS($E$10309)&gt;0.000000001,$E$10309,0.000000001))*$I$8785)</f>
        <v/>
      </c>
      <c r="E10345" s="19">
        <f>0.5*$E$10309+0.5*$Z$10364</f>
        <v/>
      </c>
      <c r="F10345" s="19">
        <f>$Z$10365</f>
        <v/>
      </c>
    </row>
    <row r="10346">
      <c r="D10346" s="19">
        <f>IF(ABS(IF(ABS($E$10310)&gt;0.000000001,$E$10310,0.000000001))=0,0,IF($E$8786&lt;=$B$8772,0,IF(ABS(IF(ABS($E$10310)&gt;0.000000001,$E$10310,0.000000001))&gt;=8*$B$8774,$H$8786,0.5*$H$8786*(ABS(IF(ABS($E$10310)&gt;0.000000001,$E$10310,0.000000001))/$B$8774)^(1/3)))/ABS(IF(ABS($E$10310)&gt;0.000000001,$E$10310,0.000000001))*$I$8786)</f>
        <v/>
      </c>
      <c r="E10346" s="19">
        <f>0.5*$E$10310+0.5*$Z$10366</f>
        <v/>
      </c>
      <c r="F10346" s="19">
        <f>$Z$10367</f>
        <v/>
      </c>
    </row>
    <row r="10347">
      <c r="D10347" s="19">
        <f>IF(ABS(IF(ABS($E$10311)&gt;0.000000001,$E$10311,0.000000001))=0,0,IF($E$8787&lt;=$B$8772,0,IF(ABS(IF(ABS($E$10311)&gt;0.000000001,$E$10311,0.000000001))&gt;=8*$B$8774,$H$8787,0.5*$H$8787*(ABS(IF(ABS($E$10311)&gt;0.000000001,$E$10311,0.000000001))/$B$8774)^(1/3)))/ABS(IF(ABS($E$10311)&gt;0.000000001,$E$10311,0.000000001))*$I$8787)</f>
        <v/>
      </c>
      <c r="E10347" s="19">
        <f>0.5*$E$10311+0.5*$Z$10368</f>
        <v/>
      </c>
      <c r="F10347" s="19">
        <f>$Z$10369</f>
        <v/>
      </c>
    </row>
    <row r="10348">
      <c r="D10348" s="19">
        <f>IF(ABS(IF(ABS($E$10312)&gt;0.000000001,$E$10312,0.000000001))=0,0,IF($E$8788&lt;=$B$8772,0,IF(ABS(IF(ABS($E$10312)&gt;0.000000001,$E$10312,0.000000001))&gt;=8*$B$8774,$H$8788,0.5*$H$8788*(ABS(IF(ABS($E$10312)&gt;0.000000001,$E$10312,0.000000001))/$B$8774)^(1/3)))/ABS(IF(ABS($E$10312)&gt;0.000000001,$E$10312,0.000000001))*$I$8788)</f>
        <v/>
      </c>
      <c r="E10348" s="19">
        <f>0.5*$E$10312+0.5*$Z$10370</f>
        <v/>
      </c>
      <c r="F10348" s="19">
        <f>$Z$10371</f>
        <v/>
      </c>
    </row>
    <row r="10350">
      <c r="D10350" s="21">
        <f>$B$8763+$D$10338</f>
        <v/>
      </c>
      <c r="E10350" s="21">
        <f>$B$8764</f>
        <v/>
      </c>
      <c r="F10350" s="21">
        <f>-$B$8763</f>
        <v/>
      </c>
      <c r="G10350" s="21">
        <f>$B$8764</f>
        <v/>
      </c>
      <c r="H10350" s="21" t="n">
        <v>0</v>
      </c>
      <c r="I10350" s="21" t="n">
        <v>0</v>
      </c>
      <c r="J10350" s="21" t="n">
        <v>0</v>
      </c>
      <c r="K10350" s="21" t="n">
        <v>0</v>
      </c>
      <c r="L10350" s="21" t="n">
        <v>0</v>
      </c>
      <c r="M10350" s="21" t="n">
        <v>0</v>
      </c>
      <c r="N10350" s="21" t="n">
        <v>0</v>
      </c>
      <c r="O10350" s="21" t="n">
        <v>0</v>
      </c>
      <c r="P10350" s="21" t="n">
        <v>0</v>
      </c>
      <c r="Q10350" s="21" t="n">
        <v>0</v>
      </c>
      <c r="R10350" s="21" t="n">
        <v>0</v>
      </c>
      <c r="S10350" s="21" t="n">
        <v>0</v>
      </c>
      <c r="T10350" s="21" t="n">
        <v>0</v>
      </c>
      <c r="U10350" s="21" t="n">
        <v>0</v>
      </c>
      <c r="V10350" s="21" t="n">
        <v>0</v>
      </c>
      <c r="W10350" s="21" t="n">
        <v>0</v>
      </c>
      <c r="X10350" s="21" t="n">
        <v>0</v>
      </c>
      <c r="Y10350" s="21" t="n">
        <v>0</v>
      </c>
      <c r="Z10350" s="19">
        <f t="array" ref="Z10350:Z10371">MMULT(MINVERSE($D$10350:$Y$10371),$D$8790:$D$8811)</f>
        <v/>
      </c>
    </row>
    <row r="10351">
      <c r="D10351" s="21">
        <f>$B$8764</f>
        <v/>
      </c>
      <c r="E10351" s="21">
        <f>$B$8765</f>
        <v/>
      </c>
      <c r="F10351" s="21">
        <f>-$B$8764</f>
        <v/>
      </c>
      <c r="G10351" s="21">
        <f>$B$8766</f>
        <v/>
      </c>
      <c r="H10351" s="21" t="n">
        <v>0</v>
      </c>
      <c r="I10351" s="21" t="n">
        <v>0</v>
      </c>
      <c r="J10351" s="21" t="n">
        <v>0</v>
      </c>
      <c r="K10351" s="21" t="n">
        <v>0</v>
      </c>
      <c r="L10351" s="21" t="n">
        <v>0</v>
      </c>
      <c r="M10351" s="21" t="n">
        <v>0</v>
      </c>
      <c r="N10351" s="21" t="n">
        <v>0</v>
      </c>
      <c r="O10351" s="21" t="n">
        <v>0</v>
      </c>
      <c r="P10351" s="21" t="n">
        <v>0</v>
      </c>
      <c r="Q10351" s="21" t="n">
        <v>0</v>
      </c>
      <c r="R10351" s="21" t="n">
        <v>0</v>
      </c>
      <c r="S10351" s="21" t="n">
        <v>0</v>
      </c>
      <c r="T10351" s="21" t="n">
        <v>0</v>
      </c>
      <c r="U10351" s="21" t="n">
        <v>0</v>
      </c>
      <c r="V10351" s="21" t="n">
        <v>0</v>
      </c>
      <c r="W10351" s="21" t="n">
        <v>0</v>
      </c>
      <c r="X10351" s="21" t="n">
        <v>0</v>
      </c>
      <c r="Y10351" s="21" t="n">
        <v>0</v>
      </c>
      <c r="Z10351" s="19" t="n"/>
    </row>
    <row r="10352">
      <c r="D10352" s="21">
        <f>-$B$8763</f>
        <v/>
      </c>
      <c r="E10352" s="21">
        <f>-$B$8764</f>
        <v/>
      </c>
      <c r="F10352" s="21">
        <f>2*$B$8763+$D$10339</f>
        <v/>
      </c>
      <c r="G10352" s="21">
        <f>0</f>
        <v/>
      </c>
      <c r="H10352" s="21">
        <f>-$B$8763</f>
        <v/>
      </c>
      <c r="I10352" s="21">
        <f>$B$8764</f>
        <v/>
      </c>
      <c r="J10352" s="21" t="n">
        <v>0</v>
      </c>
      <c r="K10352" s="21" t="n">
        <v>0</v>
      </c>
      <c r="L10352" s="21" t="n">
        <v>0</v>
      </c>
      <c r="M10352" s="21" t="n">
        <v>0</v>
      </c>
      <c r="N10352" s="21" t="n">
        <v>0</v>
      </c>
      <c r="O10352" s="21" t="n">
        <v>0</v>
      </c>
      <c r="P10352" s="21" t="n">
        <v>0</v>
      </c>
      <c r="Q10352" s="21" t="n">
        <v>0</v>
      </c>
      <c r="R10352" s="21" t="n">
        <v>0</v>
      </c>
      <c r="S10352" s="21" t="n">
        <v>0</v>
      </c>
      <c r="T10352" s="21" t="n">
        <v>0</v>
      </c>
      <c r="U10352" s="21" t="n">
        <v>0</v>
      </c>
      <c r="V10352" s="21" t="n">
        <v>0</v>
      </c>
      <c r="W10352" s="21" t="n">
        <v>0</v>
      </c>
      <c r="X10352" s="21" t="n">
        <v>0</v>
      </c>
      <c r="Y10352" s="21" t="n">
        <v>0</v>
      </c>
      <c r="Z10352" s="19" t="n"/>
    </row>
    <row r="10353">
      <c r="D10353" s="21">
        <f>$B$8764</f>
        <v/>
      </c>
      <c r="E10353" s="21">
        <f>$B$8766</f>
        <v/>
      </c>
      <c r="F10353" s="21">
        <f>0</f>
        <v/>
      </c>
      <c r="G10353" s="21">
        <f>2*$B$8765</f>
        <v/>
      </c>
      <c r="H10353" s="21">
        <f>-$B$8764</f>
        <v/>
      </c>
      <c r="I10353" s="21">
        <f>$B$8766</f>
        <v/>
      </c>
      <c r="J10353" s="21" t="n">
        <v>0</v>
      </c>
      <c r="K10353" s="21" t="n">
        <v>0</v>
      </c>
      <c r="L10353" s="21" t="n">
        <v>0</v>
      </c>
      <c r="M10353" s="21" t="n">
        <v>0</v>
      </c>
      <c r="N10353" s="21" t="n">
        <v>0</v>
      </c>
      <c r="O10353" s="21" t="n">
        <v>0</v>
      </c>
      <c r="P10353" s="21" t="n">
        <v>0</v>
      </c>
      <c r="Q10353" s="21" t="n">
        <v>0</v>
      </c>
      <c r="R10353" s="21" t="n">
        <v>0</v>
      </c>
      <c r="S10353" s="21" t="n">
        <v>0</v>
      </c>
      <c r="T10353" s="21" t="n">
        <v>0</v>
      </c>
      <c r="U10353" s="21" t="n">
        <v>0</v>
      </c>
      <c r="V10353" s="21" t="n">
        <v>0</v>
      </c>
      <c r="W10353" s="21" t="n">
        <v>0</v>
      </c>
      <c r="X10353" s="21" t="n">
        <v>0</v>
      </c>
      <c r="Y10353" s="21" t="n">
        <v>0</v>
      </c>
      <c r="Z10353" s="19" t="n"/>
    </row>
    <row r="10354">
      <c r="D10354" s="21" t="n">
        <v>0</v>
      </c>
      <c r="E10354" s="21" t="n">
        <v>0</v>
      </c>
      <c r="F10354" s="21">
        <f>-$B$8763</f>
        <v/>
      </c>
      <c r="G10354" s="21">
        <f>-$B$8764</f>
        <v/>
      </c>
      <c r="H10354" s="21">
        <f>2*$B$8763+$D$10340</f>
        <v/>
      </c>
      <c r="I10354" s="21">
        <f>0</f>
        <v/>
      </c>
      <c r="J10354" s="21">
        <f>-$B$8763</f>
        <v/>
      </c>
      <c r="K10354" s="21">
        <f>$B$8764</f>
        <v/>
      </c>
      <c r="L10354" s="21" t="n">
        <v>0</v>
      </c>
      <c r="M10354" s="21" t="n">
        <v>0</v>
      </c>
      <c r="N10354" s="21" t="n">
        <v>0</v>
      </c>
      <c r="O10354" s="21" t="n">
        <v>0</v>
      </c>
      <c r="P10354" s="21" t="n">
        <v>0</v>
      </c>
      <c r="Q10354" s="21" t="n">
        <v>0</v>
      </c>
      <c r="R10354" s="21" t="n">
        <v>0</v>
      </c>
      <c r="S10354" s="21" t="n">
        <v>0</v>
      </c>
      <c r="T10354" s="21" t="n">
        <v>0</v>
      </c>
      <c r="U10354" s="21" t="n">
        <v>0</v>
      </c>
      <c r="V10354" s="21" t="n">
        <v>0</v>
      </c>
      <c r="W10354" s="21" t="n">
        <v>0</v>
      </c>
      <c r="X10354" s="21" t="n">
        <v>0</v>
      </c>
      <c r="Y10354" s="21" t="n">
        <v>0</v>
      </c>
      <c r="Z10354" s="19" t="n"/>
    </row>
    <row r="10355">
      <c r="D10355" s="21" t="n">
        <v>0</v>
      </c>
      <c r="E10355" s="21" t="n">
        <v>0</v>
      </c>
      <c r="F10355" s="21">
        <f>$B$8764</f>
        <v/>
      </c>
      <c r="G10355" s="21">
        <f>$B$8766</f>
        <v/>
      </c>
      <c r="H10355" s="21">
        <f>0</f>
        <v/>
      </c>
      <c r="I10355" s="21">
        <f>2*$B$8765</f>
        <v/>
      </c>
      <c r="J10355" s="21">
        <f>-$B$8764</f>
        <v/>
      </c>
      <c r="K10355" s="21">
        <f>$B$8766</f>
        <v/>
      </c>
      <c r="L10355" s="21" t="n">
        <v>0</v>
      </c>
      <c r="M10355" s="21" t="n">
        <v>0</v>
      </c>
      <c r="N10355" s="21" t="n">
        <v>0</v>
      </c>
      <c r="O10355" s="21" t="n">
        <v>0</v>
      </c>
      <c r="P10355" s="21" t="n">
        <v>0</v>
      </c>
      <c r="Q10355" s="21" t="n">
        <v>0</v>
      </c>
      <c r="R10355" s="21" t="n">
        <v>0</v>
      </c>
      <c r="S10355" s="21" t="n">
        <v>0</v>
      </c>
      <c r="T10355" s="21" t="n">
        <v>0</v>
      </c>
      <c r="U10355" s="21" t="n">
        <v>0</v>
      </c>
      <c r="V10355" s="21" t="n">
        <v>0</v>
      </c>
      <c r="W10355" s="21" t="n">
        <v>0</v>
      </c>
      <c r="X10355" s="21" t="n">
        <v>0</v>
      </c>
      <c r="Y10355" s="21" t="n">
        <v>0</v>
      </c>
      <c r="Z10355" s="19" t="n"/>
    </row>
    <row r="10356">
      <c r="D10356" s="21" t="n">
        <v>0</v>
      </c>
      <c r="E10356" s="21" t="n">
        <v>0</v>
      </c>
      <c r="F10356" s="21" t="n">
        <v>0</v>
      </c>
      <c r="G10356" s="21" t="n">
        <v>0</v>
      </c>
      <c r="H10356" s="21">
        <f>-$B$8763</f>
        <v/>
      </c>
      <c r="I10356" s="21">
        <f>-$B$8764</f>
        <v/>
      </c>
      <c r="J10356" s="21">
        <f>2*$B$8763+$D$10341</f>
        <v/>
      </c>
      <c r="K10356" s="21">
        <f>0</f>
        <v/>
      </c>
      <c r="L10356" s="21">
        <f>-$B$8763</f>
        <v/>
      </c>
      <c r="M10356" s="21">
        <f>$B$8764</f>
        <v/>
      </c>
      <c r="N10356" s="21" t="n">
        <v>0</v>
      </c>
      <c r="O10356" s="21" t="n">
        <v>0</v>
      </c>
      <c r="P10356" s="21" t="n">
        <v>0</v>
      </c>
      <c r="Q10356" s="21" t="n">
        <v>0</v>
      </c>
      <c r="R10356" s="21" t="n">
        <v>0</v>
      </c>
      <c r="S10356" s="21" t="n">
        <v>0</v>
      </c>
      <c r="T10356" s="21" t="n">
        <v>0</v>
      </c>
      <c r="U10356" s="21" t="n">
        <v>0</v>
      </c>
      <c r="V10356" s="21" t="n">
        <v>0</v>
      </c>
      <c r="W10356" s="21" t="n">
        <v>0</v>
      </c>
      <c r="X10356" s="21" t="n">
        <v>0</v>
      </c>
      <c r="Y10356" s="21" t="n">
        <v>0</v>
      </c>
      <c r="Z10356" s="19" t="n"/>
    </row>
    <row r="10357">
      <c r="D10357" s="21" t="n">
        <v>0</v>
      </c>
      <c r="E10357" s="21" t="n">
        <v>0</v>
      </c>
      <c r="F10357" s="21" t="n">
        <v>0</v>
      </c>
      <c r="G10357" s="21" t="n">
        <v>0</v>
      </c>
      <c r="H10357" s="21">
        <f>$B$8764</f>
        <v/>
      </c>
      <c r="I10357" s="21">
        <f>$B$8766</f>
        <v/>
      </c>
      <c r="J10357" s="21">
        <f>0</f>
        <v/>
      </c>
      <c r="K10357" s="21">
        <f>2*$B$8765</f>
        <v/>
      </c>
      <c r="L10357" s="21">
        <f>-$B$8764</f>
        <v/>
      </c>
      <c r="M10357" s="21">
        <f>$B$8766</f>
        <v/>
      </c>
      <c r="N10357" s="21" t="n">
        <v>0</v>
      </c>
      <c r="O10357" s="21" t="n">
        <v>0</v>
      </c>
      <c r="P10357" s="21" t="n">
        <v>0</v>
      </c>
      <c r="Q10357" s="21" t="n">
        <v>0</v>
      </c>
      <c r="R10357" s="21" t="n">
        <v>0</v>
      </c>
      <c r="S10357" s="21" t="n">
        <v>0</v>
      </c>
      <c r="T10357" s="21" t="n">
        <v>0</v>
      </c>
      <c r="U10357" s="21" t="n">
        <v>0</v>
      </c>
      <c r="V10357" s="21" t="n">
        <v>0</v>
      </c>
      <c r="W10357" s="21" t="n">
        <v>0</v>
      </c>
      <c r="X10357" s="21" t="n">
        <v>0</v>
      </c>
      <c r="Y10357" s="21" t="n">
        <v>0</v>
      </c>
      <c r="Z10357" s="19" t="n"/>
    </row>
    <row r="10358">
      <c r="D10358" s="21" t="n">
        <v>0</v>
      </c>
      <c r="E10358" s="21" t="n">
        <v>0</v>
      </c>
      <c r="F10358" s="21" t="n">
        <v>0</v>
      </c>
      <c r="G10358" s="21" t="n">
        <v>0</v>
      </c>
      <c r="H10358" s="21" t="n">
        <v>0</v>
      </c>
      <c r="I10358" s="21" t="n">
        <v>0</v>
      </c>
      <c r="J10358" s="21">
        <f>-$B$8763</f>
        <v/>
      </c>
      <c r="K10358" s="21">
        <f>-$B$8764</f>
        <v/>
      </c>
      <c r="L10358" s="21">
        <f>2*$B$8763+$D$10342</f>
        <v/>
      </c>
      <c r="M10358" s="21">
        <f>0</f>
        <v/>
      </c>
      <c r="N10358" s="21">
        <f>-$B$8763</f>
        <v/>
      </c>
      <c r="O10358" s="21">
        <f>$B$8764</f>
        <v/>
      </c>
      <c r="P10358" s="21" t="n">
        <v>0</v>
      </c>
      <c r="Q10358" s="21" t="n">
        <v>0</v>
      </c>
      <c r="R10358" s="21" t="n">
        <v>0</v>
      </c>
      <c r="S10358" s="21" t="n">
        <v>0</v>
      </c>
      <c r="T10358" s="21" t="n">
        <v>0</v>
      </c>
      <c r="U10358" s="21" t="n">
        <v>0</v>
      </c>
      <c r="V10358" s="21" t="n">
        <v>0</v>
      </c>
      <c r="W10358" s="21" t="n">
        <v>0</v>
      </c>
      <c r="X10358" s="21" t="n">
        <v>0</v>
      </c>
      <c r="Y10358" s="21" t="n">
        <v>0</v>
      </c>
      <c r="Z10358" s="19" t="n"/>
    </row>
    <row r="10359">
      <c r="D10359" s="21" t="n">
        <v>0</v>
      </c>
      <c r="E10359" s="21" t="n">
        <v>0</v>
      </c>
      <c r="F10359" s="21" t="n">
        <v>0</v>
      </c>
      <c r="G10359" s="21" t="n">
        <v>0</v>
      </c>
      <c r="H10359" s="21" t="n">
        <v>0</v>
      </c>
      <c r="I10359" s="21" t="n">
        <v>0</v>
      </c>
      <c r="J10359" s="21">
        <f>$B$8764</f>
        <v/>
      </c>
      <c r="K10359" s="21">
        <f>$B$8766</f>
        <v/>
      </c>
      <c r="L10359" s="21">
        <f>0</f>
        <v/>
      </c>
      <c r="M10359" s="21">
        <f>2*$B$8765</f>
        <v/>
      </c>
      <c r="N10359" s="21">
        <f>-$B$8764</f>
        <v/>
      </c>
      <c r="O10359" s="21">
        <f>$B$8766</f>
        <v/>
      </c>
      <c r="P10359" s="21" t="n">
        <v>0</v>
      </c>
      <c r="Q10359" s="21" t="n">
        <v>0</v>
      </c>
      <c r="R10359" s="21" t="n">
        <v>0</v>
      </c>
      <c r="S10359" s="21" t="n">
        <v>0</v>
      </c>
      <c r="T10359" s="21" t="n">
        <v>0</v>
      </c>
      <c r="U10359" s="21" t="n">
        <v>0</v>
      </c>
      <c r="V10359" s="21" t="n">
        <v>0</v>
      </c>
      <c r="W10359" s="21" t="n">
        <v>0</v>
      </c>
      <c r="X10359" s="21" t="n">
        <v>0</v>
      </c>
      <c r="Y10359" s="21" t="n">
        <v>0</v>
      </c>
      <c r="Z10359" s="19" t="n"/>
    </row>
    <row r="10360">
      <c r="D10360" s="21" t="n">
        <v>0</v>
      </c>
      <c r="E10360" s="21" t="n">
        <v>0</v>
      </c>
      <c r="F10360" s="21" t="n">
        <v>0</v>
      </c>
      <c r="G10360" s="21" t="n">
        <v>0</v>
      </c>
      <c r="H10360" s="21" t="n">
        <v>0</v>
      </c>
      <c r="I10360" s="21" t="n">
        <v>0</v>
      </c>
      <c r="J10360" s="21" t="n">
        <v>0</v>
      </c>
      <c r="K10360" s="21" t="n">
        <v>0</v>
      </c>
      <c r="L10360" s="21">
        <f>-$B$8763</f>
        <v/>
      </c>
      <c r="M10360" s="21">
        <f>-$B$8764</f>
        <v/>
      </c>
      <c r="N10360" s="21">
        <f>2*$B$8763+$D$10343</f>
        <v/>
      </c>
      <c r="O10360" s="21">
        <f>0</f>
        <v/>
      </c>
      <c r="P10360" s="21">
        <f>-$B$8763</f>
        <v/>
      </c>
      <c r="Q10360" s="21">
        <f>$B$8764</f>
        <v/>
      </c>
      <c r="R10360" s="21" t="n">
        <v>0</v>
      </c>
      <c r="S10360" s="21" t="n">
        <v>0</v>
      </c>
      <c r="T10360" s="21" t="n">
        <v>0</v>
      </c>
      <c r="U10360" s="21" t="n">
        <v>0</v>
      </c>
      <c r="V10360" s="21" t="n">
        <v>0</v>
      </c>
      <c r="W10360" s="21" t="n">
        <v>0</v>
      </c>
      <c r="X10360" s="21" t="n">
        <v>0</v>
      </c>
      <c r="Y10360" s="21" t="n">
        <v>0</v>
      </c>
      <c r="Z10360" s="19" t="n"/>
    </row>
    <row r="10361">
      <c r="D10361" s="21" t="n">
        <v>0</v>
      </c>
      <c r="E10361" s="21" t="n">
        <v>0</v>
      </c>
      <c r="F10361" s="21" t="n">
        <v>0</v>
      </c>
      <c r="G10361" s="21" t="n">
        <v>0</v>
      </c>
      <c r="H10361" s="21" t="n">
        <v>0</v>
      </c>
      <c r="I10361" s="21" t="n">
        <v>0</v>
      </c>
      <c r="J10361" s="21" t="n">
        <v>0</v>
      </c>
      <c r="K10361" s="21" t="n">
        <v>0</v>
      </c>
      <c r="L10361" s="21">
        <f>$B$8764</f>
        <v/>
      </c>
      <c r="M10361" s="21">
        <f>$B$8766</f>
        <v/>
      </c>
      <c r="N10361" s="21">
        <f>0</f>
        <v/>
      </c>
      <c r="O10361" s="21">
        <f>2*$B$8765</f>
        <v/>
      </c>
      <c r="P10361" s="21">
        <f>-$B$8764</f>
        <v/>
      </c>
      <c r="Q10361" s="21">
        <f>$B$8766</f>
        <v/>
      </c>
      <c r="R10361" s="21" t="n">
        <v>0</v>
      </c>
      <c r="S10361" s="21" t="n">
        <v>0</v>
      </c>
      <c r="T10361" s="21" t="n">
        <v>0</v>
      </c>
      <c r="U10361" s="21" t="n">
        <v>0</v>
      </c>
      <c r="V10361" s="21" t="n">
        <v>0</v>
      </c>
      <c r="W10361" s="21" t="n">
        <v>0</v>
      </c>
      <c r="X10361" s="21" t="n">
        <v>0</v>
      </c>
      <c r="Y10361" s="21" t="n">
        <v>0</v>
      </c>
      <c r="Z10361" s="19" t="n"/>
    </row>
    <row r="10362">
      <c r="D10362" s="21" t="n">
        <v>0</v>
      </c>
      <c r="E10362" s="21" t="n">
        <v>0</v>
      </c>
      <c r="F10362" s="21" t="n">
        <v>0</v>
      </c>
      <c r="G10362" s="21" t="n">
        <v>0</v>
      </c>
      <c r="H10362" s="21" t="n">
        <v>0</v>
      </c>
      <c r="I10362" s="21" t="n">
        <v>0</v>
      </c>
      <c r="J10362" s="21" t="n">
        <v>0</v>
      </c>
      <c r="K10362" s="21" t="n">
        <v>0</v>
      </c>
      <c r="L10362" s="21" t="n">
        <v>0</v>
      </c>
      <c r="M10362" s="21" t="n">
        <v>0</v>
      </c>
      <c r="N10362" s="21">
        <f>-$B$8763</f>
        <v/>
      </c>
      <c r="O10362" s="21">
        <f>-$B$8764</f>
        <v/>
      </c>
      <c r="P10362" s="21">
        <f>2*$B$8763+$D$10344</f>
        <v/>
      </c>
      <c r="Q10362" s="21">
        <f>0</f>
        <v/>
      </c>
      <c r="R10362" s="21">
        <f>-$B$8763</f>
        <v/>
      </c>
      <c r="S10362" s="21">
        <f>$B$8764</f>
        <v/>
      </c>
      <c r="T10362" s="21" t="n">
        <v>0</v>
      </c>
      <c r="U10362" s="21" t="n">
        <v>0</v>
      </c>
      <c r="V10362" s="21" t="n">
        <v>0</v>
      </c>
      <c r="W10362" s="21" t="n">
        <v>0</v>
      </c>
      <c r="X10362" s="21" t="n">
        <v>0</v>
      </c>
      <c r="Y10362" s="21" t="n">
        <v>0</v>
      </c>
      <c r="Z10362" s="19" t="n"/>
    </row>
    <row r="10363">
      <c r="D10363" s="21" t="n">
        <v>0</v>
      </c>
      <c r="E10363" s="21" t="n">
        <v>0</v>
      </c>
      <c r="F10363" s="21" t="n">
        <v>0</v>
      </c>
      <c r="G10363" s="21" t="n">
        <v>0</v>
      </c>
      <c r="H10363" s="21" t="n">
        <v>0</v>
      </c>
      <c r="I10363" s="21" t="n">
        <v>0</v>
      </c>
      <c r="J10363" s="21" t="n">
        <v>0</v>
      </c>
      <c r="K10363" s="21" t="n">
        <v>0</v>
      </c>
      <c r="L10363" s="21" t="n">
        <v>0</v>
      </c>
      <c r="M10363" s="21" t="n">
        <v>0</v>
      </c>
      <c r="N10363" s="21">
        <f>$B$8764</f>
        <v/>
      </c>
      <c r="O10363" s="21">
        <f>$B$8766</f>
        <v/>
      </c>
      <c r="P10363" s="21">
        <f>0</f>
        <v/>
      </c>
      <c r="Q10363" s="21">
        <f>2*$B$8765</f>
        <v/>
      </c>
      <c r="R10363" s="21">
        <f>-$B$8764</f>
        <v/>
      </c>
      <c r="S10363" s="21">
        <f>$B$8766</f>
        <v/>
      </c>
      <c r="T10363" s="21" t="n">
        <v>0</v>
      </c>
      <c r="U10363" s="21" t="n">
        <v>0</v>
      </c>
      <c r="V10363" s="21" t="n">
        <v>0</v>
      </c>
      <c r="W10363" s="21" t="n">
        <v>0</v>
      </c>
      <c r="X10363" s="21" t="n">
        <v>0</v>
      </c>
      <c r="Y10363" s="21" t="n">
        <v>0</v>
      </c>
      <c r="Z10363" s="19" t="n"/>
    </row>
    <row r="10364">
      <c r="D10364" s="21" t="n">
        <v>0</v>
      </c>
      <c r="E10364" s="21" t="n">
        <v>0</v>
      </c>
      <c r="F10364" s="21" t="n">
        <v>0</v>
      </c>
      <c r="G10364" s="21" t="n">
        <v>0</v>
      </c>
      <c r="H10364" s="21" t="n">
        <v>0</v>
      </c>
      <c r="I10364" s="21" t="n">
        <v>0</v>
      </c>
      <c r="J10364" s="21" t="n">
        <v>0</v>
      </c>
      <c r="K10364" s="21" t="n">
        <v>0</v>
      </c>
      <c r="L10364" s="21" t="n">
        <v>0</v>
      </c>
      <c r="M10364" s="21" t="n">
        <v>0</v>
      </c>
      <c r="N10364" s="21" t="n">
        <v>0</v>
      </c>
      <c r="O10364" s="21" t="n">
        <v>0</v>
      </c>
      <c r="P10364" s="21">
        <f>-$B$8763</f>
        <v/>
      </c>
      <c r="Q10364" s="21">
        <f>-$B$8764</f>
        <v/>
      </c>
      <c r="R10364" s="21">
        <f>2*$B$8763+$D$10345</f>
        <v/>
      </c>
      <c r="S10364" s="21">
        <f>0</f>
        <v/>
      </c>
      <c r="T10364" s="21">
        <f>-$B$8763</f>
        <v/>
      </c>
      <c r="U10364" s="21">
        <f>$B$8764</f>
        <v/>
      </c>
      <c r="V10364" s="21" t="n">
        <v>0</v>
      </c>
      <c r="W10364" s="21" t="n">
        <v>0</v>
      </c>
      <c r="X10364" s="21" t="n">
        <v>0</v>
      </c>
      <c r="Y10364" s="21" t="n">
        <v>0</v>
      </c>
      <c r="Z10364" s="19" t="n"/>
    </row>
    <row r="10365">
      <c r="D10365" s="21" t="n">
        <v>0</v>
      </c>
      <c r="E10365" s="21" t="n">
        <v>0</v>
      </c>
      <c r="F10365" s="21" t="n">
        <v>0</v>
      </c>
      <c r="G10365" s="21" t="n">
        <v>0</v>
      </c>
      <c r="H10365" s="21" t="n">
        <v>0</v>
      </c>
      <c r="I10365" s="21" t="n">
        <v>0</v>
      </c>
      <c r="J10365" s="21" t="n">
        <v>0</v>
      </c>
      <c r="K10365" s="21" t="n">
        <v>0</v>
      </c>
      <c r="L10365" s="21" t="n">
        <v>0</v>
      </c>
      <c r="M10365" s="21" t="n">
        <v>0</v>
      </c>
      <c r="N10365" s="21" t="n">
        <v>0</v>
      </c>
      <c r="O10365" s="21" t="n">
        <v>0</v>
      </c>
      <c r="P10365" s="21">
        <f>$B$8764</f>
        <v/>
      </c>
      <c r="Q10365" s="21">
        <f>$B$8766</f>
        <v/>
      </c>
      <c r="R10365" s="21">
        <f>0</f>
        <v/>
      </c>
      <c r="S10365" s="21">
        <f>2*$B$8765</f>
        <v/>
      </c>
      <c r="T10365" s="21">
        <f>-$B$8764</f>
        <v/>
      </c>
      <c r="U10365" s="21">
        <f>$B$8766</f>
        <v/>
      </c>
      <c r="V10365" s="21" t="n">
        <v>0</v>
      </c>
      <c r="W10365" s="21" t="n">
        <v>0</v>
      </c>
      <c r="X10365" s="21" t="n">
        <v>0</v>
      </c>
      <c r="Y10365" s="21" t="n">
        <v>0</v>
      </c>
      <c r="Z10365" s="19" t="n"/>
    </row>
    <row r="10366">
      <c r="D10366" s="21" t="n">
        <v>0</v>
      </c>
      <c r="E10366" s="21" t="n">
        <v>0</v>
      </c>
      <c r="F10366" s="21" t="n">
        <v>0</v>
      </c>
      <c r="G10366" s="21" t="n">
        <v>0</v>
      </c>
      <c r="H10366" s="21" t="n">
        <v>0</v>
      </c>
      <c r="I10366" s="21" t="n">
        <v>0</v>
      </c>
      <c r="J10366" s="21" t="n">
        <v>0</v>
      </c>
      <c r="K10366" s="21" t="n">
        <v>0</v>
      </c>
      <c r="L10366" s="21" t="n">
        <v>0</v>
      </c>
      <c r="M10366" s="21" t="n">
        <v>0</v>
      </c>
      <c r="N10366" s="21" t="n">
        <v>0</v>
      </c>
      <c r="O10366" s="21" t="n">
        <v>0</v>
      </c>
      <c r="P10366" s="21" t="n">
        <v>0</v>
      </c>
      <c r="Q10366" s="21" t="n">
        <v>0</v>
      </c>
      <c r="R10366" s="21">
        <f>-$B$8763</f>
        <v/>
      </c>
      <c r="S10366" s="21">
        <f>-$B$8764</f>
        <v/>
      </c>
      <c r="T10366" s="21">
        <f>2*$B$8763+$D$10346</f>
        <v/>
      </c>
      <c r="U10366" s="21">
        <f>0</f>
        <v/>
      </c>
      <c r="V10366" s="21">
        <f>-$B$8763</f>
        <v/>
      </c>
      <c r="W10366" s="21">
        <f>$B$8764</f>
        <v/>
      </c>
      <c r="X10366" s="21" t="n">
        <v>0</v>
      </c>
      <c r="Y10366" s="21" t="n">
        <v>0</v>
      </c>
      <c r="Z10366" s="19" t="n"/>
    </row>
    <row r="10367">
      <c r="D10367" s="21" t="n">
        <v>0</v>
      </c>
      <c r="E10367" s="21" t="n">
        <v>0</v>
      </c>
      <c r="F10367" s="21" t="n">
        <v>0</v>
      </c>
      <c r="G10367" s="21" t="n">
        <v>0</v>
      </c>
      <c r="H10367" s="21" t="n">
        <v>0</v>
      </c>
      <c r="I10367" s="21" t="n">
        <v>0</v>
      </c>
      <c r="J10367" s="21" t="n">
        <v>0</v>
      </c>
      <c r="K10367" s="21" t="n">
        <v>0</v>
      </c>
      <c r="L10367" s="21" t="n">
        <v>0</v>
      </c>
      <c r="M10367" s="21" t="n">
        <v>0</v>
      </c>
      <c r="N10367" s="21" t="n">
        <v>0</v>
      </c>
      <c r="O10367" s="21" t="n">
        <v>0</v>
      </c>
      <c r="P10367" s="21" t="n">
        <v>0</v>
      </c>
      <c r="Q10367" s="21" t="n">
        <v>0</v>
      </c>
      <c r="R10367" s="21">
        <f>$B$8764</f>
        <v/>
      </c>
      <c r="S10367" s="21">
        <f>$B$8766</f>
        <v/>
      </c>
      <c r="T10367" s="21">
        <f>0</f>
        <v/>
      </c>
      <c r="U10367" s="21">
        <f>2*$B$8765</f>
        <v/>
      </c>
      <c r="V10367" s="21">
        <f>-$B$8764</f>
        <v/>
      </c>
      <c r="W10367" s="21">
        <f>$B$8766</f>
        <v/>
      </c>
      <c r="X10367" s="21" t="n">
        <v>0</v>
      </c>
      <c r="Y10367" s="21" t="n">
        <v>0</v>
      </c>
      <c r="Z10367" s="19" t="n"/>
    </row>
    <row r="10368">
      <c r="D10368" s="21" t="n">
        <v>0</v>
      </c>
      <c r="E10368" s="21" t="n">
        <v>0</v>
      </c>
      <c r="F10368" s="21" t="n">
        <v>0</v>
      </c>
      <c r="G10368" s="21" t="n">
        <v>0</v>
      </c>
      <c r="H10368" s="21" t="n">
        <v>0</v>
      </c>
      <c r="I10368" s="21" t="n">
        <v>0</v>
      </c>
      <c r="J10368" s="21" t="n">
        <v>0</v>
      </c>
      <c r="K10368" s="21" t="n">
        <v>0</v>
      </c>
      <c r="L10368" s="21" t="n">
        <v>0</v>
      </c>
      <c r="M10368" s="21" t="n">
        <v>0</v>
      </c>
      <c r="N10368" s="21" t="n">
        <v>0</v>
      </c>
      <c r="O10368" s="21" t="n">
        <v>0</v>
      </c>
      <c r="P10368" s="21" t="n">
        <v>0</v>
      </c>
      <c r="Q10368" s="21" t="n">
        <v>0</v>
      </c>
      <c r="R10368" s="21" t="n">
        <v>0</v>
      </c>
      <c r="S10368" s="21" t="n">
        <v>0</v>
      </c>
      <c r="T10368" s="21">
        <f>-$B$8763</f>
        <v/>
      </c>
      <c r="U10368" s="21">
        <f>-$B$8764</f>
        <v/>
      </c>
      <c r="V10368" s="21">
        <f>2*$B$8763+$D$10347</f>
        <v/>
      </c>
      <c r="W10368" s="21">
        <f>0</f>
        <v/>
      </c>
      <c r="X10368" s="21">
        <f>-$B$8763</f>
        <v/>
      </c>
      <c r="Y10368" s="21">
        <f>$B$8764</f>
        <v/>
      </c>
      <c r="Z10368" s="19" t="n"/>
    </row>
    <row r="10369">
      <c r="D10369" s="21" t="n">
        <v>0</v>
      </c>
      <c r="E10369" s="21" t="n">
        <v>0</v>
      </c>
      <c r="F10369" s="21" t="n">
        <v>0</v>
      </c>
      <c r="G10369" s="21" t="n">
        <v>0</v>
      </c>
      <c r="H10369" s="21" t="n">
        <v>0</v>
      </c>
      <c r="I10369" s="21" t="n">
        <v>0</v>
      </c>
      <c r="J10369" s="21" t="n">
        <v>0</v>
      </c>
      <c r="K10369" s="21" t="n">
        <v>0</v>
      </c>
      <c r="L10369" s="21" t="n">
        <v>0</v>
      </c>
      <c r="M10369" s="21" t="n">
        <v>0</v>
      </c>
      <c r="N10369" s="21" t="n">
        <v>0</v>
      </c>
      <c r="O10369" s="21" t="n">
        <v>0</v>
      </c>
      <c r="P10369" s="21" t="n">
        <v>0</v>
      </c>
      <c r="Q10369" s="21" t="n">
        <v>0</v>
      </c>
      <c r="R10369" s="21" t="n">
        <v>0</v>
      </c>
      <c r="S10369" s="21" t="n">
        <v>0</v>
      </c>
      <c r="T10369" s="21">
        <f>$B$8764</f>
        <v/>
      </c>
      <c r="U10369" s="21">
        <f>$B$8766</f>
        <v/>
      </c>
      <c r="V10369" s="21">
        <f>0</f>
        <v/>
      </c>
      <c r="W10369" s="21">
        <f>2*$B$8765</f>
        <v/>
      </c>
      <c r="X10369" s="21">
        <f>-$B$8764</f>
        <v/>
      </c>
      <c r="Y10369" s="21">
        <f>$B$8766</f>
        <v/>
      </c>
      <c r="Z10369" s="19" t="n"/>
    </row>
    <row r="10370">
      <c r="D10370" s="21" t="n">
        <v>0</v>
      </c>
      <c r="E10370" s="21" t="n">
        <v>0</v>
      </c>
      <c r="F10370" s="21" t="n">
        <v>0</v>
      </c>
      <c r="G10370" s="21" t="n">
        <v>0</v>
      </c>
      <c r="H10370" s="21" t="n">
        <v>0</v>
      </c>
      <c r="I10370" s="21" t="n">
        <v>0</v>
      </c>
      <c r="J10370" s="21" t="n">
        <v>0</v>
      </c>
      <c r="K10370" s="21" t="n">
        <v>0</v>
      </c>
      <c r="L10370" s="21" t="n">
        <v>0</v>
      </c>
      <c r="M10370" s="21" t="n">
        <v>0</v>
      </c>
      <c r="N10370" s="21" t="n">
        <v>0</v>
      </c>
      <c r="O10370" s="21" t="n">
        <v>0</v>
      </c>
      <c r="P10370" s="21" t="n">
        <v>0</v>
      </c>
      <c r="Q10370" s="21" t="n">
        <v>0</v>
      </c>
      <c r="R10370" s="21" t="n">
        <v>0</v>
      </c>
      <c r="S10370" s="21" t="n">
        <v>0</v>
      </c>
      <c r="T10370" s="21" t="n">
        <v>0</v>
      </c>
      <c r="U10370" s="21" t="n">
        <v>0</v>
      </c>
      <c r="V10370" s="21">
        <f>-$B$8763</f>
        <v/>
      </c>
      <c r="W10370" s="21">
        <f>-$B$8764</f>
        <v/>
      </c>
      <c r="X10370" s="21">
        <f>$B$8763+$D$10348</f>
        <v/>
      </c>
      <c r="Y10370" s="21">
        <f>-$B$8764</f>
        <v/>
      </c>
      <c r="Z10370" s="19" t="n"/>
    </row>
    <row r="10371">
      <c r="D10371" s="21" t="n">
        <v>0</v>
      </c>
      <c r="E10371" s="21" t="n">
        <v>0</v>
      </c>
      <c r="F10371" s="21" t="n">
        <v>0</v>
      </c>
      <c r="G10371" s="21" t="n">
        <v>0</v>
      </c>
      <c r="H10371" s="21" t="n">
        <v>0</v>
      </c>
      <c r="I10371" s="21" t="n">
        <v>0</v>
      </c>
      <c r="J10371" s="21" t="n">
        <v>0</v>
      </c>
      <c r="K10371" s="21" t="n">
        <v>0</v>
      </c>
      <c r="L10371" s="21" t="n">
        <v>0</v>
      </c>
      <c r="M10371" s="21" t="n">
        <v>0</v>
      </c>
      <c r="N10371" s="21" t="n">
        <v>0</v>
      </c>
      <c r="O10371" s="21" t="n">
        <v>0</v>
      </c>
      <c r="P10371" s="21" t="n">
        <v>0</v>
      </c>
      <c r="Q10371" s="21" t="n">
        <v>0</v>
      </c>
      <c r="R10371" s="21" t="n">
        <v>0</v>
      </c>
      <c r="S10371" s="21" t="n">
        <v>0</v>
      </c>
      <c r="T10371" s="21" t="n">
        <v>0</v>
      </c>
      <c r="U10371" s="21" t="n">
        <v>0</v>
      </c>
      <c r="V10371" s="21">
        <f>$B$8764</f>
        <v/>
      </c>
      <c r="W10371" s="21">
        <f>$B$8766</f>
        <v/>
      </c>
      <c r="X10371" s="21">
        <f>-$B$8764</f>
        <v/>
      </c>
      <c r="Y10371" s="21">
        <f>$B$8765</f>
        <v/>
      </c>
      <c r="Z10371" s="19" t="n"/>
    </row>
    <row r="10373">
      <c r="A10373" s="8" t="inlineStr">
        <is>
          <t>gen 44</t>
        </is>
      </c>
    </row>
    <row r="10374">
      <c r="D10374" s="19">
        <f>IF(ABS(IF(ABS($E$10338)&gt;0.000000001,$E$10338,0.000000001))=0,0,IF($E$8778&lt;=$B$8772,0,IF(ABS(IF(ABS($E$10338)&gt;0.000000001,$E$10338,0.000000001))&gt;=8*$B$8774,$H$8778,0.5*$H$8778*(ABS(IF(ABS($E$10338)&gt;0.000000001,$E$10338,0.000000001))/$B$8774)^(1/3)))/ABS(IF(ABS($E$10338)&gt;0.000000001,$E$10338,0.000000001))*$I$8778)</f>
        <v/>
      </c>
      <c r="E10374" s="19">
        <f>0.5*$E$10338+0.5*$Z$10386</f>
        <v/>
      </c>
      <c r="F10374" s="19">
        <f>$Z$10387</f>
        <v/>
      </c>
    </row>
    <row r="10375">
      <c r="D10375" s="19">
        <f>IF(ABS(IF(ABS($E$10339)&gt;0.000000001,$E$10339,0.000000001))=0,0,IF($E$8779&lt;=$B$8772,0,IF(ABS(IF(ABS($E$10339)&gt;0.000000001,$E$10339,0.000000001))&gt;=8*$B$8774,$H$8779,0.5*$H$8779*(ABS(IF(ABS($E$10339)&gt;0.000000001,$E$10339,0.000000001))/$B$8774)^(1/3)))/ABS(IF(ABS($E$10339)&gt;0.000000001,$E$10339,0.000000001))*$I$8779)</f>
        <v/>
      </c>
      <c r="E10375" s="19">
        <f>0.5*$E$10339+0.5*$Z$10388</f>
        <v/>
      </c>
      <c r="F10375" s="19">
        <f>$Z$10389</f>
        <v/>
      </c>
    </row>
    <row r="10376">
      <c r="D10376" s="19">
        <f>IF(ABS(IF(ABS($E$10340)&gt;0.000000001,$E$10340,0.000000001))=0,0,IF($E$8780&lt;=$B$8772,0,IF(ABS(IF(ABS($E$10340)&gt;0.000000001,$E$10340,0.000000001))&gt;=8*$B$8774,$H$8780,0.5*$H$8780*(ABS(IF(ABS($E$10340)&gt;0.000000001,$E$10340,0.000000001))/$B$8774)^(1/3)))/ABS(IF(ABS($E$10340)&gt;0.000000001,$E$10340,0.000000001))*$I$8780)</f>
        <v/>
      </c>
      <c r="E10376" s="19">
        <f>0.5*$E$10340+0.5*$Z$10390</f>
        <v/>
      </c>
      <c r="F10376" s="19">
        <f>$Z$10391</f>
        <v/>
      </c>
    </row>
    <row r="10377">
      <c r="D10377" s="19">
        <f>IF(ABS(IF(ABS($E$10341)&gt;0.000000001,$E$10341,0.000000001))=0,0,IF($E$8781&lt;=$B$8772,0,IF(ABS(IF(ABS($E$10341)&gt;0.000000001,$E$10341,0.000000001))&gt;=8*$B$8774,$H$8781,0.5*$H$8781*(ABS(IF(ABS($E$10341)&gt;0.000000001,$E$10341,0.000000001))/$B$8774)^(1/3)))/ABS(IF(ABS($E$10341)&gt;0.000000001,$E$10341,0.000000001))*$I$8781)</f>
        <v/>
      </c>
      <c r="E10377" s="19">
        <f>0.5*$E$10341+0.5*$Z$10392</f>
        <v/>
      </c>
      <c r="F10377" s="19">
        <f>$Z$10393</f>
        <v/>
      </c>
    </row>
    <row r="10378">
      <c r="D10378" s="19">
        <f>IF(ABS(IF(ABS($E$10342)&gt;0.000000001,$E$10342,0.000000001))=0,0,IF($E$8782&lt;=$B$8772,0,IF(ABS(IF(ABS($E$10342)&gt;0.000000001,$E$10342,0.000000001))&gt;=8*$B$8774,$H$8782,0.5*$H$8782*(ABS(IF(ABS($E$10342)&gt;0.000000001,$E$10342,0.000000001))/$B$8774)^(1/3)))/ABS(IF(ABS($E$10342)&gt;0.000000001,$E$10342,0.000000001))*$I$8782)</f>
        <v/>
      </c>
      <c r="E10378" s="19">
        <f>0.5*$E$10342+0.5*$Z$10394</f>
        <v/>
      </c>
      <c r="F10378" s="19">
        <f>$Z$10395</f>
        <v/>
      </c>
    </row>
    <row r="10379">
      <c r="D10379" s="19">
        <f>IF(ABS(IF(ABS($E$10343)&gt;0.000000001,$E$10343,0.000000001))=0,0,IF($E$8783&lt;=$B$8772,0,IF(ABS(IF(ABS($E$10343)&gt;0.000000001,$E$10343,0.000000001))&gt;=8*$B$8774,$H$8783,0.5*$H$8783*(ABS(IF(ABS($E$10343)&gt;0.000000001,$E$10343,0.000000001))/$B$8774)^(1/3)))/ABS(IF(ABS($E$10343)&gt;0.000000001,$E$10343,0.000000001))*$I$8783)</f>
        <v/>
      </c>
      <c r="E10379" s="19">
        <f>0.5*$E$10343+0.5*$Z$10396</f>
        <v/>
      </c>
      <c r="F10379" s="19">
        <f>$Z$10397</f>
        <v/>
      </c>
    </row>
    <row r="10380">
      <c r="D10380" s="19">
        <f>IF(ABS(IF(ABS($E$10344)&gt;0.000000001,$E$10344,0.000000001))=0,0,IF($E$8784&lt;=$B$8772,0,IF(ABS(IF(ABS($E$10344)&gt;0.000000001,$E$10344,0.000000001))&gt;=8*$B$8774,$H$8784,0.5*$H$8784*(ABS(IF(ABS($E$10344)&gt;0.000000001,$E$10344,0.000000001))/$B$8774)^(1/3)))/ABS(IF(ABS($E$10344)&gt;0.000000001,$E$10344,0.000000001))*$I$8784)</f>
        <v/>
      </c>
      <c r="E10380" s="19">
        <f>0.5*$E$10344+0.5*$Z$10398</f>
        <v/>
      </c>
      <c r="F10380" s="19">
        <f>$Z$10399</f>
        <v/>
      </c>
    </row>
    <row r="10381">
      <c r="D10381" s="19">
        <f>IF(ABS(IF(ABS($E$10345)&gt;0.000000001,$E$10345,0.000000001))=0,0,IF($E$8785&lt;=$B$8772,0,IF(ABS(IF(ABS($E$10345)&gt;0.000000001,$E$10345,0.000000001))&gt;=8*$B$8774,$H$8785,0.5*$H$8785*(ABS(IF(ABS($E$10345)&gt;0.000000001,$E$10345,0.000000001))/$B$8774)^(1/3)))/ABS(IF(ABS($E$10345)&gt;0.000000001,$E$10345,0.000000001))*$I$8785)</f>
        <v/>
      </c>
      <c r="E10381" s="19">
        <f>0.5*$E$10345+0.5*$Z$10400</f>
        <v/>
      </c>
      <c r="F10381" s="19">
        <f>$Z$10401</f>
        <v/>
      </c>
    </row>
    <row r="10382">
      <c r="D10382" s="19">
        <f>IF(ABS(IF(ABS($E$10346)&gt;0.000000001,$E$10346,0.000000001))=0,0,IF($E$8786&lt;=$B$8772,0,IF(ABS(IF(ABS($E$10346)&gt;0.000000001,$E$10346,0.000000001))&gt;=8*$B$8774,$H$8786,0.5*$H$8786*(ABS(IF(ABS($E$10346)&gt;0.000000001,$E$10346,0.000000001))/$B$8774)^(1/3)))/ABS(IF(ABS($E$10346)&gt;0.000000001,$E$10346,0.000000001))*$I$8786)</f>
        <v/>
      </c>
      <c r="E10382" s="19">
        <f>0.5*$E$10346+0.5*$Z$10402</f>
        <v/>
      </c>
      <c r="F10382" s="19">
        <f>$Z$10403</f>
        <v/>
      </c>
    </row>
    <row r="10383">
      <c r="D10383" s="19">
        <f>IF(ABS(IF(ABS($E$10347)&gt;0.000000001,$E$10347,0.000000001))=0,0,IF($E$8787&lt;=$B$8772,0,IF(ABS(IF(ABS($E$10347)&gt;0.000000001,$E$10347,0.000000001))&gt;=8*$B$8774,$H$8787,0.5*$H$8787*(ABS(IF(ABS($E$10347)&gt;0.000000001,$E$10347,0.000000001))/$B$8774)^(1/3)))/ABS(IF(ABS($E$10347)&gt;0.000000001,$E$10347,0.000000001))*$I$8787)</f>
        <v/>
      </c>
      <c r="E10383" s="19">
        <f>0.5*$E$10347+0.5*$Z$10404</f>
        <v/>
      </c>
      <c r="F10383" s="19">
        <f>$Z$10405</f>
        <v/>
      </c>
    </row>
    <row r="10384">
      <c r="D10384" s="19">
        <f>IF(ABS(IF(ABS($E$10348)&gt;0.000000001,$E$10348,0.000000001))=0,0,IF($E$8788&lt;=$B$8772,0,IF(ABS(IF(ABS($E$10348)&gt;0.000000001,$E$10348,0.000000001))&gt;=8*$B$8774,$H$8788,0.5*$H$8788*(ABS(IF(ABS($E$10348)&gt;0.000000001,$E$10348,0.000000001))/$B$8774)^(1/3)))/ABS(IF(ABS($E$10348)&gt;0.000000001,$E$10348,0.000000001))*$I$8788)</f>
        <v/>
      </c>
      <c r="E10384" s="19">
        <f>0.5*$E$10348+0.5*$Z$10406</f>
        <v/>
      </c>
      <c r="F10384" s="19">
        <f>$Z$10407</f>
        <v/>
      </c>
    </row>
    <row r="10386">
      <c r="D10386" s="21">
        <f>$B$8763+$D$10374</f>
        <v/>
      </c>
      <c r="E10386" s="21">
        <f>$B$8764</f>
        <v/>
      </c>
      <c r="F10386" s="21">
        <f>-$B$8763</f>
        <v/>
      </c>
      <c r="G10386" s="21">
        <f>$B$8764</f>
        <v/>
      </c>
      <c r="H10386" s="21" t="n">
        <v>0</v>
      </c>
      <c r="I10386" s="21" t="n">
        <v>0</v>
      </c>
      <c r="J10386" s="21" t="n">
        <v>0</v>
      </c>
      <c r="K10386" s="21" t="n">
        <v>0</v>
      </c>
      <c r="L10386" s="21" t="n">
        <v>0</v>
      </c>
      <c r="M10386" s="21" t="n">
        <v>0</v>
      </c>
      <c r="N10386" s="21" t="n">
        <v>0</v>
      </c>
      <c r="O10386" s="21" t="n">
        <v>0</v>
      </c>
      <c r="P10386" s="21" t="n">
        <v>0</v>
      </c>
      <c r="Q10386" s="21" t="n">
        <v>0</v>
      </c>
      <c r="R10386" s="21" t="n">
        <v>0</v>
      </c>
      <c r="S10386" s="21" t="n">
        <v>0</v>
      </c>
      <c r="T10386" s="21" t="n">
        <v>0</v>
      </c>
      <c r="U10386" s="21" t="n">
        <v>0</v>
      </c>
      <c r="V10386" s="21" t="n">
        <v>0</v>
      </c>
      <c r="W10386" s="21" t="n">
        <v>0</v>
      </c>
      <c r="X10386" s="21" t="n">
        <v>0</v>
      </c>
      <c r="Y10386" s="21" t="n">
        <v>0</v>
      </c>
      <c r="Z10386" s="19">
        <f t="array" ref="Z10386:Z10407">MMULT(MINVERSE($D$10386:$Y$10407),$D$8790:$D$8811)</f>
        <v/>
      </c>
    </row>
    <row r="10387">
      <c r="D10387" s="21">
        <f>$B$8764</f>
        <v/>
      </c>
      <c r="E10387" s="21">
        <f>$B$8765</f>
        <v/>
      </c>
      <c r="F10387" s="21">
        <f>-$B$8764</f>
        <v/>
      </c>
      <c r="G10387" s="21">
        <f>$B$8766</f>
        <v/>
      </c>
      <c r="H10387" s="21" t="n">
        <v>0</v>
      </c>
      <c r="I10387" s="21" t="n">
        <v>0</v>
      </c>
      <c r="J10387" s="21" t="n">
        <v>0</v>
      </c>
      <c r="K10387" s="21" t="n">
        <v>0</v>
      </c>
      <c r="L10387" s="21" t="n">
        <v>0</v>
      </c>
      <c r="M10387" s="21" t="n">
        <v>0</v>
      </c>
      <c r="N10387" s="21" t="n">
        <v>0</v>
      </c>
      <c r="O10387" s="21" t="n">
        <v>0</v>
      </c>
      <c r="P10387" s="21" t="n">
        <v>0</v>
      </c>
      <c r="Q10387" s="21" t="n">
        <v>0</v>
      </c>
      <c r="R10387" s="21" t="n">
        <v>0</v>
      </c>
      <c r="S10387" s="21" t="n">
        <v>0</v>
      </c>
      <c r="T10387" s="21" t="n">
        <v>0</v>
      </c>
      <c r="U10387" s="21" t="n">
        <v>0</v>
      </c>
      <c r="V10387" s="21" t="n">
        <v>0</v>
      </c>
      <c r="W10387" s="21" t="n">
        <v>0</v>
      </c>
      <c r="X10387" s="21" t="n">
        <v>0</v>
      </c>
      <c r="Y10387" s="21" t="n">
        <v>0</v>
      </c>
      <c r="Z10387" s="19" t="n"/>
    </row>
    <row r="10388">
      <c r="D10388" s="21">
        <f>-$B$8763</f>
        <v/>
      </c>
      <c r="E10388" s="21">
        <f>-$B$8764</f>
        <v/>
      </c>
      <c r="F10388" s="21">
        <f>2*$B$8763+$D$10375</f>
        <v/>
      </c>
      <c r="G10388" s="21">
        <f>0</f>
        <v/>
      </c>
      <c r="H10388" s="21">
        <f>-$B$8763</f>
        <v/>
      </c>
      <c r="I10388" s="21">
        <f>$B$8764</f>
        <v/>
      </c>
      <c r="J10388" s="21" t="n">
        <v>0</v>
      </c>
      <c r="K10388" s="21" t="n">
        <v>0</v>
      </c>
      <c r="L10388" s="21" t="n">
        <v>0</v>
      </c>
      <c r="M10388" s="21" t="n">
        <v>0</v>
      </c>
      <c r="N10388" s="21" t="n">
        <v>0</v>
      </c>
      <c r="O10388" s="21" t="n">
        <v>0</v>
      </c>
      <c r="P10388" s="21" t="n">
        <v>0</v>
      </c>
      <c r="Q10388" s="21" t="n">
        <v>0</v>
      </c>
      <c r="R10388" s="21" t="n">
        <v>0</v>
      </c>
      <c r="S10388" s="21" t="n">
        <v>0</v>
      </c>
      <c r="T10388" s="21" t="n">
        <v>0</v>
      </c>
      <c r="U10388" s="21" t="n">
        <v>0</v>
      </c>
      <c r="V10388" s="21" t="n">
        <v>0</v>
      </c>
      <c r="W10388" s="21" t="n">
        <v>0</v>
      </c>
      <c r="X10388" s="21" t="n">
        <v>0</v>
      </c>
      <c r="Y10388" s="21" t="n">
        <v>0</v>
      </c>
      <c r="Z10388" s="19" t="n"/>
    </row>
    <row r="10389">
      <c r="D10389" s="21">
        <f>$B$8764</f>
        <v/>
      </c>
      <c r="E10389" s="21">
        <f>$B$8766</f>
        <v/>
      </c>
      <c r="F10389" s="21">
        <f>0</f>
        <v/>
      </c>
      <c r="G10389" s="21">
        <f>2*$B$8765</f>
        <v/>
      </c>
      <c r="H10389" s="21">
        <f>-$B$8764</f>
        <v/>
      </c>
      <c r="I10389" s="21">
        <f>$B$8766</f>
        <v/>
      </c>
      <c r="J10389" s="21" t="n">
        <v>0</v>
      </c>
      <c r="K10389" s="21" t="n">
        <v>0</v>
      </c>
      <c r="L10389" s="21" t="n">
        <v>0</v>
      </c>
      <c r="M10389" s="21" t="n">
        <v>0</v>
      </c>
      <c r="N10389" s="21" t="n">
        <v>0</v>
      </c>
      <c r="O10389" s="21" t="n">
        <v>0</v>
      </c>
      <c r="P10389" s="21" t="n">
        <v>0</v>
      </c>
      <c r="Q10389" s="21" t="n">
        <v>0</v>
      </c>
      <c r="R10389" s="21" t="n">
        <v>0</v>
      </c>
      <c r="S10389" s="21" t="n">
        <v>0</v>
      </c>
      <c r="T10389" s="21" t="n">
        <v>0</v>
      </c>
      <c r="U10389" s="21" t="n">
        <v>0</v>
      </c>
      <c r="V10389" s="21" t="n">
        <v>0</v>
      </c>
      <c r="W10389" s="21" t="n">
        <v>0</v>
      </c>
      <c r="X10389" s="21" t="n">
        <v>0</v>
      </c>
      <c r="Y10389" s="21" t="n">
        <v>0</v>
      </c>
      <c r="Z10389" s="19" t="n"/>
    </row>
    <row r="10390">
      <c r="D10390" s="21" t="n">
        <v>0</v>
      </c>
      <c r="E10390" s="21" t="n">
        <v>0</v>
      </c>
      <c r="F10390" s="21">
        <f>-$B$8763</f>
        <v/>
      </c>
      <c r="G10390" s="21">
        <f>-$B$8764</f>
        <v/>
      </c>
      <c r="H10390" s="21">
        <f>2*$B$8763+$D$10376</f>
        <v/>
      </c>
      <c r="I10390" s="21">
        <f>0</f>
        <v/>
      </c>
      <c r="J10390" s="21">
        <f>-$B$8763</f>
        <v/>
      </c>
      <c r="K10390" s="21">
        <f>$B$8764</f>
        <v/>
      </c>
      <c r="L10390" s="21" t="n">
        <v>0</v>
      </c>
      <c r="M10390" s="21" t="n">
        <v>0</v>
      </c>
      <c r="N10390" s="21" t="n">
        <v>0</v>
      </c>
      <c r="O10390" s="21" t="n">
        <v>0</v>
      </c>
      <c r="P10390" s="21" t="n">
        <v>0</v>
      </c>
      <c r="Q10390" s="21" t="n">
        <v>0</v>
      </c>
      <c r="R10390" s="21" t="n">
        <v>0</v>
      </c>
      <c r="S10390" s="21" t="n">
        <v>0</v>
      </c>
      <c r="T10390" s="21" t="n">
        <v>0</v>
      </c>
      <c r="U10390" s="21" t="n">
        <v>0</v>
      </c>
      <c r="V10390" s="21" t="n">
        <v>0</v>
      </c>
      <c r="W10390" s="21" t="n">
        <v>0</v>
      </c>
      <c r="X10390" s="21" t="n">
        <v>0</v>
      </c>
      <c r="Y10390" s="21" t="n">
        <v>0</v>
      </c>
      <c r="Z10390" s="19" t="n"/>
    </row>
    <row r="10391">
      <c r="D10391" s="21" t="n">
        <v>0</v>
      </c>
      <c r="E10391" s="21" t="n">
        <v>0</v>
      </c>
      <c r="F10391" s="21">
        <f>$B$8764</f>
        <v/>
      </c>
      <c r="G10391" s="21">
        <f>$B$8766</f>
        <v/>
      </c>
      <c r="H10391" s="21">
        <f>0</f>
        <v/>
      </c>
      <c r="I10391" s="21">
        <f>2*$B$8765</f>
        <v/>
      </c>
      <c r="J10391" s="21">
        <f>-$B$8764</f>
        <v/>
      </c>
      <c r="K10391" s="21">
        <f>$B$8766</f>
        <v/>
      </c>
      <c r="L10391" s="21" t="n">
        <v>0</v>
      </c>
      <c r="M10391" s="21" t="n">
        <v>0</v>
      </c>
      <c r="N10391" s="21" t="n">
        <v>0</v>
      </c>
      <c r="O10391" s="21" t="n">
        <v>0</v>
      </c>
      <c r="P10391" s="21" t="n">
        <v>0</v>
      </c>
      <c r="Q10391" s="21" t="n">
        <v>0</v>
      </c>
      <c r="R10391" s="21" t="n">
        <v>0</v>
      </c>
      <c r="S10391" s="21" t="n">
        <v>0</v>
      </c>
      <c r="T10391" s="21" t="n">
        <v>0</v>
      </c>
      <c r="U10391" s="21" t="n">
        <v>0</v>
      </c>
      <c r="V10391" s="21" t="n">
        <v>0</v>
      </c>
      <c r="W10391" s="21" t="n">
        <v>0</v>
      </c>
      <c r="X10391" s="21" t="n">
        <v>0</v>
      </c>
      <c r="Y10391" s="21" t="n">
        <v>0</v>
      </c>
      <c r="Z10391" s="19" t="n"/>
    </row>
    <row r="10392">
      <c r="D10392" s="21" t="n">
        <v>0</v>
      </c>
      <c r="E10392" s="21" t="n">
        <v>0</v>
      </c>
      <c r="F10392" s="21" t="n">
        <v>0</v>
      </c>
      <c r="G10392" s="21" t="n">
        <v>0</v>
      </c>
      <c r="H10392" s="21">
        <f>-$B$8763</f>
        <v/>
      </c>
      <c r="I10392" s="21">
        <f>-$B$8764</f>
        <v/>
      </c>
      <c r="J10392" s="21">
        <f>2*$B$8763+$D$10377</f>
        <v/>
      </c>
      <c r="K10392" s="21">
        <f>0</f>
        <v/>
      </c>
      <c r="L10392" s="21">
        <f>-$B$8763</f>
        <v/>
      </c>
      <c r="M10392" s="21">
        <f>$B$8764</f>
        <v/>
      </c>
      <c r="N10392" s="21" t="n">
        <v>0</v>
      </c>
      <c r="O10392" s="21" t="n">
        <v>0</v>
      </c>
      <c r="P10392" s="21" t="n">
        <v>0</v>
      </c>
      <c r="Q10392" s="21" t="n">
        <v>0</v>
      </c>
      <c r="R10392" s="21" t="n">
        <v>0</v>
      </c>
      <c r="S10392" s="21" t="n">
        <v>0</v>
      </c>
      <c r="T10392" s="21" t="n">
        <v>0</v>
      </c>
      <c r="U10392" s="21" t="n">
        <v>0</v>
      </c>
      <c r="V10392" s="21" t="n">
        <v>0</v>
      </c>
      <c r="W10392" s="21" t="n">
        <v>0</v>
      </c>
      <c r="X10392" s="21" t="n">
        <v>0</v>
      </c>
      <c r="Y10392" s="21" t="n">
        <v>0</v>
      </c>
      <c r="Z10392" s="19" t="n"/>
    </row>
    <row r="10393">
      <c r="D10393" s="21" t="n">
        <v>0</v>
      </c>
      <c r="E10393" s="21" t="n">
        <v>0</v>
      </c>
      <c r="F10393" s="21" t="n">
        <v>0</v>
      </c>
      <c r="G10393" s="21" t="n">
        <v>0</v>
      </c>
      <c r="H10393" s="21">
        <f>$B$8764</f>
        <v/>
      </c>
      <c r="I10393" s="21">
        <f>$B$8766</f>
        <v/>
      </c>
      <c r="J10393" s="21">
        <f>0</f>
        <v/>
      </c>
      <c r="K10393" s="21">
        <f>2*$B$8765</f>
        <v/>
      </c>
      <c r="L10393" s="21">
        <f>-$B$8764</f>
        <v/>
      </c>
      <c r="M10393" s="21">
        <f>$B$8766</f>
        <v/>
      </c>
      <c r="N10393" s="21" t="n">
        <v>0</v>
      </c>
      <c r="O10393" s="21" t="n">
        <v>0</v>
      </c>
      <c r="P10393" s="21" t="n">
        <v>0</v>
      </c>
      <c r="Q10393" s="21" t="n">
        <v>0</v>
      </c>
      <c r="R10393" s="21" t="n">
        <v>0</v>
      </c>
      <c r="S10393" s="21" t="n">
        <v>0</v>
      </c>
      <c r="T10393" s="21" t="n">
        <v>0</v>
      </c>
      <c r="U10393" s="21" t="n">
        <v>0</v>
      </c>
      <c r="V10393" s="21" t="n">
        <v>0</v>
      </c>
      <c r="W10393" s="21" t="n">
        <v>0</v>
      </c>
      <c r="X10393" s="21" t="n">
        <v>0</v>
      </c>
      <c r="Y10393" s="21" t="n">
        <v>0</v>
      </c>
      <c r="Z10393" s="19" t="n"/>
    </row>
    <row r="10394">
      <c r="D10394" s="21" t="n">
        <v>0</v>
      </c>
      <c r="E10394" s="21" t="n">
        <v>0</v>
      </c>
      <c r="F10394" s="21" t="n">
        <v>0</v>
      </c>
      <c r="G10394" s="21" t="n">
        <v>0</v>
      </c>
      <c r="H10394" s="21" t="n">
        <v>0</v>
      </c>
      <c r="I10394" s="21" t="n">
        <v>0</v>
      </c>
      <c r="J10394" s="21">
        <f>-$B$8763</f>
        <v/>
      </c>
      <c r="K10394" s="21">
        <f>-$B$8764</f>
        <v/>
      </c>
      <c r="L10394" s="21">
        <f>2*$B$8763+$D$10378</f>
        <v/>
      </c>
      <c r="M10394" s="21">
        <f>0</f>
        <v/>
      </c>
      <c r="N10394" s="21">
        <f>-$B$8763</f>
        <v/>
      </c>
      <c r="O10394" s="21">
        <f>$B$8764</f>
        <v/>
      </c>
      <c r="P10394" s="21" t="n">
        <v>0</v>
      </c>
      <c r="Q10394" s="21" t="n">
        <v>0</v>
      </c>
      <c r="R10394" s="21" t="n">
        <v>0</v>
      </c>
      <c r="S10394" s="21" t="n">
        <v>0</v>
      </c>
      <c r="T10394" s="21" t="n">
        <v>0</v>
      </c>
      <c r="U10394" s="21" t="n">
        <v>0</v>
      </c>
      <c r="V10394" s="21" t="n">
        <v>0</v>
      </c>
      <c r="W10394" s="21" t="n">
        <v>0</v>
      </c>
      <c r="X10394" s="21" t="n">
        <v>0</v>
      </c>
      <c r="Y10394" s="21" t="n">
        <v>0</v>
      </c>
      <c r="Z10394" s="19" t="n"/>
    </row>
    <row r="10395">
      <c r="D10395" s="21" t="n">
        <v>0</v>
      </c>
      <c r="E10395" s="21" t="n">
        <v>0</v>
      </c>
      <c r="F10395" s="21" t="n">
        <v>0</v>
      </c>
      <c r="G10395" s="21" t="n">
        <v>0</v>
      </c>
      <c r="H10395" s="21" t="n">
        <v>0</v>
      </c>
      <c r="I10395" s="21" t="n">
        <v>0</v>
      </c>
      <c r="J10395" s="21">
        <f>$B$8764</f>
        <v/>
      </c>
      <c r="K10395" s="21">
        <f>$B$8766</f>
        <v/>
      </c>
      <c r="L10395" s="21">
        <f>0</f>
        <v/>
      </c>
      <c r="M10395" s="21">
        <f>2*$B$8765</f>
        <v/>
      </c>
      <c r="N10395" s="21">
        <f>-$B$8764</f>
        <v/>
      </c>
      <c r="O10395" s="21">
        <f>$B$8766</f>
        <v/>
      </c>
      <c r="P10395" s="21" t="n">
        <v>0</v>
      </c>
      <c r="Q10395" s="21" t="n">
        <v>0</v>
      </c>
      <c r="R10395" s="21" t="n">
        <v>0</v>
      </c>
      <c r="S10395" s="21" t="n">
        <v>0</v>
      </c>
      <c r="T10395" s="21" t="n">
        <v>0</v>
      </c>
      <c r="U10395" s="21" t="n">
        <v>0</v>
      </c>
      <c r="V10395" s="21" t="n">
        <v>0</v>
      </c>
      <c r="W10395" s="21" t="n">
        <v>0</v>
      </c>
      <c r="X10395" s="21" t="n">
        <v>0</v>
      </c>
      <c r="Y10395" s="21" t="n">
        <v>0</v>
      </c>
      <c r="Z10395" s="19" t="n"/>
    </row>
    <row r="10396">
      <c r="D10396" s="21" t="n">
        <v>0</v>
      </c>
      <c r="E10396" s="21" t="n">
        <v>0</v>
      </c>
      <c r="F10396" s="21" t="n">
        <v>0</v>
      </c>
      <c r="G10396" s="21" t="n">
        <v>0</v>
      </c>
      <c r="H10396" s="21" t="n">
        <v>0</v>
      </c>
      <c r="I10396" s="21" t="n">
        <v>0</v>
      </c>
      <c r="J10396" s="21" t="n">
        <v>0</v>
      </c>
      <c r="K10396" s="21" t="n">
        <v>0</v>
      </c>
      <c r="L10396" s="21">
        <f>-$B$8763</f>
        <v/>
      </c>
      <c r="M10396" s="21">
        <f>-$B$8764</f>
        <v/>
      </c>
      <c r="N10396" s="21">
        <f>2*$B$8763+$D$10379</f>
        <v/>
      </c>
      <c r="O10396" s="21">
        <f>0</f>
        <v/>
      </c>
      <c r="P10396" s="21">
        <f>-$B$8763</f>
        <v/>
      </c>
      <c r="Q10396" s="21">
        <f>$B$8764</f>
        <v/>
      </c>
      <c r="R10396" s="21" t="n">
        <v>0</v>
      </c>
      <c r="S10396" s="21" t="n">
        <v>0</v>
      </c>
      <c r="T10396" s="21" t="n">
        <v>0</v>
      </c>
      <c r="U10396" s="21" t="n">
        <v>0</v>
      </c>
      <c r="V10396" s="21" t="n">
        <v>0</v>
      </c>
      <c r="W10396" s="21" t="n">
        <v>0</v>
      </c>
      <c r="X10396" s="21" t="n">
        <v>0</v>
      </c>
      <c r="Y10396" s="21" t="n">
        <v>0</v>
      </c>
      <c r="Z10396" s="19" t="n"/>
    </row>
    <row r="10397">
      <c r="D10397" s="21" t="n">
        <v>0</v>
      </c>
      <c r="E10397" s="21" t="n">
        <v>0</v>
      </c>
      <c r="F10397" s="21" t="n">
        <v>0</v>
      </c>
      <c r="G10397" s="21" t="n">
        <v>0</v>
      </c>
      <c r="H10397" s="21" t="n">
        <v>0</v>
      </c>
      <c r="I10397" s="21" t="n">
        <v>0</v>
      </c>
      <c r="J10397" s="21" t="n">
        <v>0</v>
      </c>
      <c r="K10397" s="21" t="n">
        <v>0</v>
      </c>
      <c r="L10397" s="21">
        <f>$B$8764</f>
        <v/>
      </c>
      <c r="M10397" s="21">
        <f>$B$8766</f>
        <v/>
      </c>
      <c r="N10397" s="21">
        <f>0</f>
        <v/>
      </c>
      <c r="O10397" s="21">
        <f>2*$B$8765</f>
        <v/>
      </c>
      <c r="P10397" s="21">
        <f>-$B$8764</f>
        <v/>
      </c>
      <c r="Q10397" s="21">
        <f>$B$8766</f>
        <v/>
      </c>
      <c r="R10397" s="21" t="n">
        <v>0</v>
      </c>
      <c r="S10397" s="21" t="n">
        <v>0</v>
      </c>
      <c r="T10397" s="21" t="n">
        <v>0</v>
      </c>
      <c r="U10397" s="21" t="n">
        <v>0</v>
      </c>
      <c r="V10397" s="21" t="n">
        <v>0</v>
      </c>
      <c r="W10397" s="21" t="n">
        <v>0</v>
      </c>
      <c r="X10397" s="21" t="n">
        <v>0</v>
      </c>
      <c r="Y10397" s="21" t="n">
        <v>0</v>
      </c>
      <c r="Z10397" s="19" t="n"/>
    </row>
    <row r="10398">
      <c r="D10398" s="21" t="n">
        <v>0</v>
      </c>
      <c r="E10398" s="21" t="n">
        <v>0</v>
      </c>
      <c r="F10398" s="21" t="n">
        <v>0</v>
      </c>
      <c r="G10398" s="21" t="n">
        <v>0</v>
      </c>
      <c r="H10398" s="21" t="n">
        <v>0</v>
      </c>
      <c r="I10398" s="21" t="n">
        <v>0</v>
      </c>
      <c r="J10398" s="21" t="n">
        <v>0</v>
      </c>
      <c r="K10398" s="21" t="n">
        <v>0</v>
      </c>
      <c r="L10398" s="21" t="n">
        <v>0</v>
      </c>
      <c r="M10398" s="21" t="n">
        <v>0</v>
      </c>
      <c r="N10398" s="21">
        <f>-$B$8763</f>
        <v/>
      </c>
      <c r="O10398" s="21">
        <f>-$B$8764</f>
        <v/>
      </c>
      <c r="P10398" s="21">
        <f>2*$B$8763+$D$10380</f>
        <v/>
      </c>
      <c r="Q10398" s="21">
        <f>0</f>
        <v/>
      </c>
      <c r="R10398" s="21">
        <f>-$B$8763</f>
        <v/>
      </c>
      <c r="S10398" s="21">
        <f>$B$8764</f>
        <v/>
      </c>
      <c r="T10398" s="21" t="n">
        <v>0</v>
      </c>
      <c r="U10398" s="21" t="n">
        <v>0</v>
      </c>
      <c r="V10398" s="21" t="n">
        <v>0</v>
      </c>
      <c r="W10398" s="21" t="n">
        <v>0</v>
      </c>
      <c r="X10398" s="21" t="n">
        <v>0</v>
      </c>
      <c r="Y10398" s="21" t="n">
        <v>0</v>
      </c>
      <c r="Z10398" s="19" t="n"/>
    </row>
    <row r="10399">
      <c r="D10399" s="21" t="n">
        <v>0</v>
      </c>
      <c r="E10399" s="21" t="n">
        <v>0</v>
      </c>
      <c r="F10399" s="21" t="n">
        <v>0</v>
      </c>
      <c r="G10399" s="21" t="n">
        <v>0</v>
      </c>
      <c r="H10399" s="21" t="n">
        <v>0</v>
      </c>
      <c r="I10399" s="21" t="n">
        <v>0</v>
      </c>
      <c r="J10399" s="21" t="n">
        <v>0</v>
      </c>
      <c r="K10399" s="21" t="n">
        <v>0</v>
      </c>
      <c r="L10399" s="21" t="n">
        <v>0</v>
      </c>
      <c r="M10399" s="21" t="n">
        <v>0</v>
      </c>
      <c r="N10399" s="21">
        <f>$B$8764</f>
        <v/>
      </c>
      <c r="O10399" s="21">
        <f>$B$8766</f>
        <v/>
      </c>
      <c r="P10399" s="21">
        <f>0</f>
        <v/>
      </c>
      <c r="Q10399" s="21">
        <f>2*$B$8765</f>
        <v/>
      </c>
      <c r="R10399" s="21">
        <f>-$B$8764</f>
        <v/>
      </c>
      <c r="S10399" s="21">
        <f>$B$8766</f>
        <v/>
      </c>
      <c r="T10399" s="21" t="n">
        <v>0</v>
      </c>
      <c r="U10399" s="21" t="n">
        <v>0</v>
      </c>
      <c r="V10399" s="21" t="n">
        <v>0</v>
      </c>
      <c r="W10399" s="21" t="n">
        <v>0</v>
      </c>
      <c r="X10399" s="21" t="n">
        <v>0</v>
      </c>
      <c r="Y10399" s="21" t="n">
        <v>0</v>
      </c>
      <c r="Z10399" s="19" t="n"/>
    </row>
    <row r="10400">
      <c r="D10400" s="21" t="n">
        <v>0</v>
      </c>
      <c r="E10400" s="21" t="n">
        <v>0</v>
      </c>
      <c r="F10400" s="21" t="n">
        <v>0</v>
      </c>
      <c r="G10400" s="21" t="n">
        <v>0</v>
      </c>
      <c r="H10400" s="21" t="n">
        <v>0</v>
      </c>
      <c r="I10400" s="21" t="n">
        <v>0</v>
      </c>
      <c r="J10400" s="21" t="n">
        <v>0</v>
      </c>
      <c r="K10400" s="21" t="n">
        <v>0</v>
      </c>
      <c r="L10400" s="21" t="n">
        <v>0</v>
      </c>
      <c r="M10400" s="21" t="n">
        <v>0</v>
      </c>
      <c r="N10400" s="21" t="n">
        <v>0</v>
      </c>
      <c r="O10400" s="21" t="n">
        <v>0</v>
      </c>
      <c r="P10400" s="21">
        <f>-$B$8763</f>
        <v/>
      </c>
      <c r="Q10400" s="21">
        <f>-$B$8764</f>
        <v/>
      </c>
      <c r="R10400" s="21">
        <f>2*$B$8763+$D$10381</f>
        <v/>
      </c>
      <c r="S10400" s="21">
        <f>0</f>
        <v/>
      </c>
      <c r="T10400" s="21">
        <f>-$B$8763</f>
        <v/>
      </c>
      <c r="U10400" s="21">
        <f>$B$8764</f>
        <v/>
      </c>
      <c r="V10400" s="21" t="n">
        <v>0</v>
      </c>
      <c r="W10400" s="21" t="n">
        <v>0</v>
      </c>
      <c r="X10400" s="21" t="n">
        <v>0</v>
      </c>
      <c r="Y10400" s="21" t="n">
        <v>0</v>
      </c>
      <c r="Z10400" s="19" t="n"/>
    </row>
    <row r="10401">
      <c r="D10401" s="21" t="n">
        <v>0</v>
      </c>
      <c r="E10401" s="21" t="n">
        <v>0</v>
      </c>
      <c r="F10401" s="21" t="n">
        <v>0</v>
      </c>
      <c r="G10401" s="21" t="n">
        <v>0</v>
      </c>
      <c r="H10401" s="21" t="n">
        <v>0</v>
      </c>
      <c r="I10401" s="21" t="n">
        <v>0</v>
      </c>
      <c r="J10401" s="21" t="n">
        <v>0</v>
      </c>
      <c r="K10401" s="21" t="n">
        <v>0</v>
      </c>
      <c r="L10401" s="21" t="n">
        <v>0</v>
      </c>
      <c r="M10401" s="21" t="n">
        <v>0</v>
      </c>
      <c r="N10401" s="21" t="n">
        <v>0</v>
      </c>
      <c r="O10401" s="21" t="n">
        <v>0</v>
      </c>
      <c r="P10401" s="21">
        <f>$B$8764</f>
        <v/>
      </c>
      <c r="Q10401" s="21">
        <f>$B$8766</f>
        <v/>
      </c>
      <c r="R10401" s="21">
        <f>0</f>
        <v/>
      </c>
      <c r="S10401" s="21">
        <f>2*$B$8765</f>
        <v/>
      </c>
      <c r="T10401" s="21">
        <f>-$B$8764</f>
        <v/>
      </c>
      <c r="U10401" s="21">
        <f>$B$8766</f>
        <v/>
      </c>
      <c r="V10401" s="21" t="n">
        <v>0</v>
      </c>
      <c r="W10401" s="21" t="n">
        <v>0</v>
      </c>
      <c r="X10401" s="21" t="n">
        <v>0</v>
      </c>
      <c r="Y10401" s="21" t="n">
        <v>0</v>
      </c>
      <c r="Z10401" s="19" t="n"/>
    </row>
    <row r="10402">
      <c r="D10402" s="21" t="n">
        <v>0</v>
      </c>
      <c r="E10402" s="21" t="n">
        <v>0</v>
      </c>
      <c r="F10402" s="21" t="n">
        <v>0</v>
      </c>
      <c r="G10402" s="21" t="n">
        <v>0</v>
      </c>
      <c r="H10402" s="21" t="n">
        <v>0</v>
      </c>
      <c r="I10402" s="21" t="n">
        <v>0</v>
      </c>
      <c r="J10402" s="21" t="n">
        <v>0</v>
      </c>
      <c r="K10402" s="21" t="n">
        <v>0</v>
      </c>
      <c r="L10402" s="21" t="n">
        <v>0</v>
      </c>
      <c r="M10402" s="21" t="n">
        <v>0</v>
      </c>
      <c r="N10402" s="21" t="n">
        <v>0</v>
      </c>
      <c r="O10402" s="21" t="n">
        <v>0</v>
      </c>
      <c r="P10402" s="21" t="n">
        <v>0</v>
      </c>
      <c r="Q10402" s="21" t="n">
        <v>0</v>
      </c>
      <c r="R10402" s="21">
        <f>-$B$8763</f>
        <v/>
      </c>
      <c r="S10402" s="21">
        <f>-$B$8764</f>
        <v/>
      </c>
      <c r="T10402" s="21">
        <f>2*$B$8763+$D$10382</f>
        <v/>
      </c>
      <c r="U10402" s="21">
        <f>0</f>
        <v/>
      </c>
      <c r="V10402" s="21">
        <f>-$B$8763</f>
        <v/>
      </c>
      <c r="W10402" s="21">
        <f>$B$8764</f>
        <v/>
      </c>
      <c r="X10402" s="21" t="n">
        <v>0</v>
      </c>
      <c r="Y10402" s="21" t="n">
        <v>0</v>
      </c>
      <c r="Z10402" s="19" t="n"/>
    </row>
    <row r="10403">
      <c r="D10403" s="21" t="n">
        <v>0</v>
      </c>
      <c r="E10403" s="21" t="n">
        <v>0</v>
      </c>
      <c r="F10403" s="21" t="n">
        <v>0</v>
      </c>
      <c r="G10403" s="21" t="n">
        <v>0</v>
      </c>
      <c r="H10403" s="21" t="n">
        <v>0</v>
      </c>
      <c r="I10403" s="21" t="n">
        <v>0</v>
      </c>
      <c r="J10403" s="21" t="n">
        <v>0</v>
      </c>
      <c r="K10403" s="21" t="n">
        <v>0</v>
      </c>
      <c r="L10403" s="21" t="n">
        <v>0</v>
      </c>
      <c r="M10403" s="21" t="n">
        <v>0</v>
      </c>
      <c r="N10403" s="21" t="n">
        <v>0</v>
      </c>
      <c r="O10403" s="21" t="n">
        <v>0</v>
      </c>
      <c r="P10403" s="21" t="n">
        <v>0</v>
      </c>
      <c r="Q10403" s="21" t="n">
        <v>0</v>
      </c>
      <c r="R10403" s="21">
        <f>$B$8764</f>
        <v/>
      </c>
      <c r="S10403" s="21">
        <f>$B$8766</f>
        <v/>
      </c>
      <c r="T10403" s="21">
        <f>0</f>
        <v/>
      </c>
      <c r="U10403" s="21">
        <f>2*$B$8765</f>
        <v/>
      </c>
      <c r="V10403" s="21">
        <f>-$B$8764</f>
        <v/>
      </c>
      <c r="W10403" s="21">
        <f>$B$8766</f>
        <v/>
      </c>
      <c r="X10403" s="21" t="n">
        <v>0</v>
      </c>
      <c r="Y10403" s="21" t="n">
        <v>0</v>
      </c>
      <c r="Z10403" s="19" t="n"/>
    </row>
    <row r="10404">
      <c r="D10404" s="21" t="n">
        <v>0</v>
      </c>
      <c r="E10404" s="21" t="n">
        <v>0</v>
      </c>
      <c r="F10404" s="21" t="n">
        <v>0</v>
      </c>
      <c r="G10404" s="21" t="n">
        <v>0</v>
      </c>
      <c r="H10404" s="21" t="n">
        <v>0</v>
      </c>
      <c r="I10404" s="21" t="n">
        <v>0</v>
      </c>
      <c r="J10404" s="21" t="n">
        <v>0</v>
      </c>
      <c r="K10404" s="21" t="n">
        <v>0</v>
      </c>
      <c r="L10404" s="21" t="n">
        <v>0</v>
      </c>
      <c r="M10404" s="21" t="n">
        <v>0</v>
      </c>
      <c r="N10404" s="21" t="n">
        <v>0</v>
      </c>
      <c r="O10404" s="21" t="n">
        <v>0</v>
      </c>
      <c r="P10404" s="21" t="n">
        <v>0</v>
      </c>
      <c r="Q10404" s="21" t="n">
        <v>0</v>
      </c>
      <c r="R10404" s="21" t="n">
        <v>0</v>
      </c>
      <c r="S10404" s="21" t="n">
        <v>0</v>
      </c>
      <c r="T10404" s="21">
        <f>-$B$8763</f>
        <v/>
      </c>
      <c r="U10404" s="21">
        <f>-$B$8764</f>
        <v/>
      </c>
      <c r="V10404" s="21">
        <f>2*$B$8763+$D$10383</f>
        <v/>
      </c>
      <c r="W10404" s="21">
        <f>0</f>
        <v/>
      </c>
      <c r="X10404" s="21">
        <f>-$B$8763</f>
        <v/>
      </c>
      <c r="Y10404" s="21">
        <f>$B$8764</f>
        <v/>
      </c>
      <c r="Z10404" s="19" t="n"/>
    </row>
    <row r="10405">
      <c r="D10405" s="21" t="n">
        <v>0</v>
      </c>
      <c r="E10405" s="21" t="n">
        <v>0</v>
      </c>
      <c r="F10405" s="21" t="n">
        <v>0</v>
      </c>
      <c r="G10405" s="21" t="n">
        <v>0</v>
      </c>
      <c r="H10405" s="21" t="n">
        <v>0</v>
      </c>
      <c r="I10405" s="21" t="n">
        <v>0</v>
      </c>
      <c r="J10405" s="21" t="n">
        <v>0</v>
      </c>
      <c r="K10405" s="21" t="n">
        <v>0</v>
      </c>
      <c r="L10405" s="21" t="n">
        <v>0</v>
      </c>
      <c r="M10405" s="21" t="n">
        <v>0</v>
      </c>
      <c r="N10405" s="21" t="n">
        <v>0</v>
      </c>
      <c r="O10405" s="21" t="n">
        <v>0</v>
      </c>
      <c r="P10405" s="21" t="n">
        <v>0</v>
      </c>
      <c r="Q10405" s="21" t="n">
        <v>0</v>
      </c>
      <c r="R10405" s="21" t="n">
        <v>0</v>
      </c>
      <c r="S10405" s="21" t="n">
        <v>0</v>
      </c>
      <c r="T10405" s="21">
        <f>$B$8764</f>
        <v/>
      </c>
      <c r="U10405" s="21">
        <f>$B$8766</f>
        <v/>
      </c>
      <c r="V10405" s="21">
        <f>0</f>
        <v/>
      </c>
      <c r="W10405" s="21">
        <f>2*$B$8765</f>
        <v/>
      </c>
      <c r="X10405" s="21">
        <f>-$B$8764</f>
        <v/>
      </c>
      <c r="Y10405" s="21">
        <f>$B$8766</f>
        <v/>
      </c>
      <c r="Z10405" s="19" t="n"/>
    </row>
    <row r="10406">
      <c r="D10406" s="21" t="n">
        <v>0</v>
      </c>
      <c r="E10406" s="21" t="n">
        <v>0</v>
      </c>
      <c r="F10406" s="21" t="n">
        <v>0</v>
      </c>
      <c r="G10406" s="21" t="n">
        <v>0</v>
      </c>
      <c r="H10406" s="21" t="n">
        <v>0</v>
      </c>
      <c r="I10406" s="21" t="n">
        <v>0</v>
      </c>
      <c r="J10406" s="21" t="n">
        <v>0</v>
      </c>
      <c r="K10406" s="21" t="n">
        <v>0</v>
      </c>
      <c r="L10406" s="21" t="n">
        <v>0</v>
      </c>
      <c r="M10406" s="21" t="n">
        <v>0</v>
      </c>
      <c r="N10406" s="21" t="n">
        <v>0</v>
      </c>
      <c r="O10406" s="21" t="n">
        <v>0</v>
      </c>
      <c r="P10406" s="21" t="n">
        <v>0</v>
      </c>
      <c r="Q10406" s="21" t="n">
        <v>0</v>
      </c>
      <c r="R10406" s="21" t="n">
        <v>0</v>
      </c>
      <c r="S10406" s="21" t="n">
        <v>0</v>
      </c>
      <c r="T10406" s="21" t="n">
        <v>0</v>
      </c>
      <c r="U10406" s="21" t="n">
        <v>0</v>
      </c>
      <c r="V10406" s="21">
        <f>-$B$8763</f>
        <v/>
      </c>
      <c r="W10406" s="21">
        <f>-$B$8764</f>
        <v/>
      </c>
      <c r="X10406" s="21">
        <f>$B$8763+$D$10384</f>
        <v/>
      </c>
      <c r="Y10406" s="21">
        <f>-$B$8764</f>
        <v/>
      </c>
      <c r="Z10406" s="19" t="n"/>
    </row>
    <row r="10407">
      <c r="D10407" s="21" t="n">
        <v>0</v>
      </c>
      <c r="E10407" s="21" t="n">
        <v>0</v>
      </c>
      <c r="F10407" s="21" t="n">
        <v>0</v>
      </c>
      <c r="G10407" s="21" t="n">
        <v>0</v>
      </c>
      <c r="H10407" s="21" t="n">
        <v>0</v>
      </c>
      <c r="I10407" s="21" t="n">
        <v>0</v>
      </c>
      <c r="J10407" s="21" t="n">
        <v>0</v>
      </c>
      <c r="K10407" s="21" t="n">
        <v>0</v>
      </c>
      <c r="L10407" s="21" t="n">
        <v>0</v>
      </c>
      <c r="M10407" s="21" t="n">
        <v>0</v>
      </c>
      <c r="N10407" s="21" t="n">
        <v>0</v>
      </c>
      <c r="O10407" s="21" t="n">
        <v>0</v>
      </c>
      <c r="P10407" s="21" t="n">
        <v>0</v>
      </c>
      <c r="Q10407" s="21" t="n">
        <v>0</v>
      </c>
      <c r="R10407" s="21" t="n">
        <v>0</v>
      </c>
      <c r="S10407" s="21" t="n">
        <v>0</v>
      </c>
      <c r="T10407" s="21" t="n">
        <v>0</v>
      </c>
      <c r="U10407" s="21" t="n">
        <v>0</v>
      </c>
      <c r="V10407" s="21">
        <f>$B$8764</f>
        <v/>
      </c>
      <c r="W10407" s="21">
        <f>$B$8766</f>
        <v/>
      </c>
      <c r="X10407" s="21">
        <f>-$B$8764</f>
        <v/>
      </c>
      <c r="Y10407" s="21">
        <f>$B$8765</f>
        <v/>
      </c>
      <c r="Z10407" s="19" t="n"/>
    </row>
    <row r="10409">
      <c r="A10409" s="8" t="inlineStr">
        <is>
          <t>gen 45</t>
        </is>
      </c>
    </row>
    <row r="10410">
      <c r="D10410" s="19">
        <f>IF(ABS(IF(ABS($E$10374)&gt;0.000000001,$E$10374,0.000000001))=0,0,IF($E$8778&lt;=$B$8772,0,IF(ABS(IF(ABS($E$10374)&gt;0.000000001,$E$10374,0.000000001))&gt;=8*$B$8774,$H$8778,0.5*$H$8778*(ABS(IF(ABS($E$10374)&gt;0.000000001,$E$10374,0.000000001))/$B$8774)^(1/3)))/ABS(IF(ABS($E$10374)&gt;0.000000001,$E$10374,0.000000001))*$I$8778)</f>
        <v/>
      </c>
      <c r="E10410" s="19">
        <f>0.5*$E$10374+0.5*$Z$10422</f>
        <v/>
      </c>
      <c r="F10410" s="19">
        <f>$Z$10423</f>
        <v/>
      </c>
    </row>
    <row r="10411">
      <c r="D10411" s="19">
        <f>IF(ABS(IF(ABS($E$10375)&gt;0.000000001,$E$10375,0.000000001))=0,0,IF($E$8779&lt;=$B$8772,0,IF(ABS(IF(ABS($E$10375)&gt;0.000000001,$E$10375,0.000000001))&gt;=8*$B$8774,$H$8779,0.5*$H$8779*(ABS(IF(ABS($E$10375)&gt;0.000000001,$E$10375,0.000000001))/$B$8774)^(1/3)))/ABS(IF(ABS($E$10375)&gt;0.000000001,$E$10375,0.000000001))*$I$8779)</f>
        <v/>
      </c>
      <c r="E10411" s="19">
        <f>0.5*$E$10375+0.5*$Z$10424</f>
        <v/>
      </c>
      <c r="F10411" s="19">
        <f>$Z$10425</f>
        <v/>
      </c>
    </row>
    <row r="10412">
      <c r="D10412" s="19">
        <f>IF(ABS(IF(ABS($E$10376)&gt;0.000000001,$E$10376,0.000000001))=0,0,IF($E$8780&lt;=$B$8772,0,IF(ABS(IF(ABS($E$10376)&gt;0.000000001,$E$10376,0.000000001))&gt;=8*$B$8774,$H$8780,0.5*$H$8780*(ABS(IF(ABS($E$10376)&gt;0.000000001,$E$10376,0.000000001))/$B$8774)^(1/3)))/ABS(IF(ABS($E$10376)&gt;0.000000001,$E$10376,0.000000001))*$I$8780)</f>
        <v/>
      </c>
      <c r="E10412" s="19">
        <f>0.5*$E$10376+0.5*$Z$10426</f>
        <v/>
      </c>
      <c r="F10412" s="19">
        <f>$Z$10427</f>
        <v/>
      </c>
    </row>
    <row r="10413">
      <c r="D10413" s="19">
        <f>IF(ABS(IF(ABS($E$10377)&gt;0.000000001,$E$10377,0.000000001))=0,0,IF($E$8781&lt;=$B$8772,0,IF(ABS(IF(ABS($E$10377)&gt;0.000000001,$E$10377,0.000000001))&gt;=8*$B$8774,$H$8781,0.5*$H$8781*(ABS(IF(ABS($E$10377)&gt;0.000000001,$E$10377,0.000000001))/$B$8774)^(1/3)))/ABS(IF(ABS($E$10377)&gt;0.000000001,$E$10377,0.000000001))*$I$8781)</f>
        <v/>
      </c>
      <c r="E10413" s="19">
        <f>0.5*$E$10377+0.5*$Z$10428</f>
        <v/>
      </c>
      <c r="F10413" s="19">
        <f>$Z$10429</f>
        <v/>
      </c>
    </row>
    <row r="10414">
      <c r="D10414" s="19">
        <f>IF(ABS(IF(ABS($E$10378)&gt;0.000000001,$E$10378,0.000000001))=0,0,IF($E$8782&lt;=$B$8772,0,IF(ABS(IF(ABS($E$10378)&gt;0.000000001,$E$10378,0.000000001))&gt;=8*$B$8774,$H$8782,0.5*$H$8782*(ABS(IF(ABS($E$10378)&gt;0.000000001,$E$10378,0.000000001))/$B$8774)^(1/3)))/ABS(IF(ABS($E$10378)&gt;0.000000001,$E$10378,0.000000001))*$I$8782)</f>
        <v/>
      </c>
      <c r="E10414" s="19">
        <f>0.5*$E$10378+0.5*$Z$10430</f>
        <v/>
      </c>
      <c r="F10414" s="19">
        <f>$Z$10431</f>
        <v/>
      </c>
    </row>
    <row r="10415">
      <c r="D10415" s="19">
        <f>IF(ABS(IF(ABS($E$10379)&gt;0.000000001,$E$10379,0.000000001))=0,0,IF($E$8783&lt;=$B$8772,0,IF(ABS(IF(ABS($E$10379)&gt;0.000000001,$E$10379,0.000000001))&gt;=8*$B$8774,$H$8783,0.5*$H$8783*(ABS(IF(ABS($E$10379)&gt;0.000000001,$E$10379,0.000000001))/$B$8774)^(1/3)))/ABS(IF(ABS($E$10379)&gt;0.000000001,$E$10379,0.000000001))*$I$8783)</f>
        <v/>
      </c>
      <c r="E10415" s="19">
        <f>0.5*$E$10379+0.5*$Z$10432</f>
        <v/>
      </c>
      <c r="F10415" s="19">
        <f>$Z$10433</f>
        <v/>
      </c>
    </row>
    <row r="10416">
      <c r="D10416" s="19">
        <f>IF(ABS(IF(ABS($E$10380)&gt;0.000000001,$E$10380,0.000000001))=0,0,IF($E$8784&lt;=$B$8772,0,IF(ABS(IF(ABS($E$10380)&gt;0.000000001,$E$10380,0.000000001))&gt;=8*$B$8774,$H$8784,0.5*$H$8784*(ABS(IF(ABS($E$10380)&gt;0.000000001,$E$10380,0.000000001))/$B$8774)^(1/3)))/ABS(IF(ABS($E$10380)&gt;0.000000001,$E$10380,0.000000001))*$I$8784)</f>
        <v/>
      </c>
      <c r="E10416" s="19">
        <f>0.5*$E$10380+0.5*$Z$10434</f>
        <v/>
      </c>
      <c r="F10416" s="19">
        <f>$Z$10435</f>
        <v/>
      </c>
    </row>
    <row r="10417">
      <c r="D10417" s="19">
        <f>IF(ABS(IF(ABS($E$10381)&gt;0.000000001,$E$10381,0.000000001))=0,0,IF($E$8785&lt;=$B$8772,0,IF(ABS(IF(ABS($E$10381)&gt;0.000000001,$E$10381,0.000000001))&gt;=8*$B$8774,$H$8785,0.5*$H$8785*(ABS(IF(ABS($E$10381)&gt;0.000000001,$E$10381,0.000000001))/$B$8774)^(1/3)))/ABS(IF(ABS($E$10381)&gt;0.000000001,$E$10381,0.000000001))*$I$8785)</f>
        <v/>
      </c>
      <c r="E10417" s="19">
        <f>0.5*$E$10381+0.5*$Z$10436</f>
        <v/>
      </c>
      <c r="F10417" s="19">
        <f>$Z$10437</f>
        <v/>
      </c>
    </row>
    <row r="10418">
      <c r="D10418" s="19">
        <f>IF(ABS(IF(ABS($E$10382)&gt;0.000000001,$E$10382,0.000000001))=0,0,IF($E$8786&lt;=$B$8772,0,IF(ABS(IF(ABS($E$10382)&gt;0.000000001,$E$10382,0.000000001))&gt;=8*$B$8774,$H$8786,0.5*$H$8786*(ABS(IF(ABS($E$10382)&gt;0.000000001,$E$10382,0.000000001))/$B$8774)^(1/3)))/ABS(IF(ABS($E$10382)&gt;0.000000001,$E$10382,0.000000001))*$I$8786)</f>
        <v/>
      </c>
      <c r="E10418" s="19">
        <f>0.5*$E$10382+0.5*$Z$10438</f>
        <v/>
      </c>
      <c r="F10418" s="19">
        <f>$Z$10439</f>
        <v/>
      </c>
    </row>
    <row r="10419">
      <c r="D10419" s="19">
        <f>IF(ABS(IF(ABS($E$10383)&gt;0.000000001,$E$10383,0.000000001))=0,0,IF($E$8787&lt;=$B$8772,0,IF(ABS(IF(ABS($E$10383)&gt;0.000000001,$E$10383,0.000000001))&gt;=8*$B$8774,$H$8787,0.5*$H$8787*(ABS(IF(ABS($E$10383)&gt;0.000000001,$E$10383,0.000000001))/$B$8774)^(1/3)))/ABS(IF(ABS($E$10383)&gt;0.000000001,$E$10383,0.000000001))*$I$8787)</f>
        <v/>
      </c>
      <c r="E10419" s="19">
        <f>0.5*$E$10383+0.5*$Z$10440</f>
        <v/>
      </c>
      <c r="F10419" s="19">
        <f>$Z$10441</f>
        <v/>
      </c>
    </row>
    <row r="10420">
      <c r="D10420" s="19">
        <f>IF(ABS(IF(ABS($E$10384)&gt;0.000000001,$E$10384,0.000000001))=0,0,IF($E$8788&lt;=$B$8772,0,IF(ABS(IF(ABS($E$10384)&gt;0.000000001,$E$10384,0.000000001))&gt;=8*$B$8774,$H$8788,0.5*$H$8788*(ABS(IF(ABS($E$10384)&gt;0.000000001,$E$10384,0.000000001))/$B$8774)^(1/3)))/ABS(IF(ABS($E$10384)&gt;0.000000001,$E$10384,0.000000001))*$I$8788)</f>
        <v/>
      </c>
      <c r="E10420" s="19">
        <f>0.5*$E$10384+0.5*$Z$10442</f>
        <v/>
      </c>
      <c r="F10420" s="19">
        <f>$Z$10443</f>
        <v/>
      </c>
    </row>
    <row r="10422">
      <c r="D10422" s="21">
        <f>$B$8763+$D$10410</f>
        <v/>
      </c>
      <c r="E10422" s="21">
        <f>$B$8764</f>
        <v/>
      </c>
      <c r="F10422" s="21">
        <f>-$B$8763</f>
        <v/>
      </c>
      <c r="G10422" s="21">
        <f>$B$8764</f>
        <v/>
      </c>
      <c r="H10422" s="21" t="n">
        <v>0</v>
      </c>
      <c r="I10422" s="21" t="n">
        <v>0</v>
      </c>
      <c r="J10422" s="21" t="n">
        <v>0</v>
      </c>
      <c r="K10422" s="21" t="n">
        <v>0</v>
      </c>
      <c r="L10422" s="21" t="n">
        <v>0</v>
      </c>
      <c r="M10422" s="21" t="n">
        <v>0</v>
      </c>
      <c r="N10422" s="21" t="n">
        <v>0</v>
      </c>
      <c r="O10422" s="21" t="n">
        <v>0</v>
      </c>
      <c r="P10422" s="21" t="n">
        <v>0</v>
      </c>
      <c r="Q10422" s="21" t="n">
        <v>0</v>
      </c>
      <c r="R10422" s="21" t="n">
        <v>0</v>
      </c>
      <c r="S10422" s="21" t="n">
        <v>0</v>
      </c>
      <c r="T10422" s="21" t="n">
        <v>0</v>
      </c>
      <c r="U10422" s="21" t="n">
        <v>0</v>
      </c>
      <c r="V10422" s="21" t="n">
        <v>0</v>
      </c>
      <c r="W10422" s="21" t="n">
        <v>0</v>
      </c>
      <c r="X10422" s="21" t="n">
        <v>0</v>
      </c>
      <c r="Y10422" s="21" t="n">
        <v>0</v>
      </c>
      <c r="Z10422" s="19">
        <f t="array" ref="Z10422:Z10443">MMULT(MINVERSE($D$10422:$Y$10443),$D$8790:$D$8811)</f>
        <v/>
      </c>
    </row>
    <row r="10423">
      <c r="D10423" s="21">
        <f>$B$8764</f>
        <v/>
      </c>
      <c r="E10423" s="21">
        <f>$B$8765</f>
        <v/>
      </c>
      <c r="F10423" s="21">
        <f>-$B$8764</f>
        <v/>
      </c>
      <c r="G10423" s="21">
        <f>$B$8766</f>
        <v/>
      </c>
      <c r="H10423" s="21" t="n">
        <v>0</v>
      </c>
      <c r="I10423" s="21" t="n">
        <v>0</v>
      </c>
      <c r="J10423" s="21" t="n">
        <v>0</v>
      </c>
      <c r="K10423" s="21" t="n">
        <v>0</v>
      </c>
      <c r="L10423" s="21" t="n">
        <v>0</v>
      </c>
      <c r="M10423" s="21" t="n">
        <v>0</v>
      </c>
      <c r="N10423" s="21" t="n">
        <v>0</v>
      </c>
      <c r="O10423" s="21" t="n">
        <v>0</v>
      </c>
      <c r="P10423" s="21" t="n">
        <v>0</v>
      </c>
      <c r="Q10423" s="21" t="n">
        <v>0</v>
      </c>
      <c r="R10423" s="21" t="n">
        <v>0</v>
      </c>
      <c r="S10423" s="21" t="n">
        <v>0</v>
      </c>
      <c r="T10423" s="21" t="n">
        <v>0</v>
      </c>
      <c r="U10423" s="21" t="n">
        <v>0</v>
      </c>
      <c r="V10423" s="21" t="n">
        <v>0</v>
      </c>
      <c r="W10423" s="21" t="n">
        <v>0</v>
      </c>
      <c r="X10423" s="21" t="n">
        <v>0</v>
      </c>
      <c r="Y10423" s="21" t="n">
        <v>0</v>
      </c>
      <c r="Z10423" s="19" t="n"/>
    </row>
    <row r="10424">
      <c r="D10424" s="21">
        <f>-$B$8763</f>
        <v/>
      </c>
      <c r="E10424" s="21">
        <f>-$B$8764</f>
        <v/>
      </c>
      <c r="F10424" s="21">
        <f>2*$B$8763+$D$10411</f>
        <v/>
      </c>
      <c r="G10424" s="21">
        <f>0</f>
        <v/>
      </c>
      <c r="H10424" s="21">
        <f>-$B$8763</f>
        <v/>
      </c>
      <c r="I10424" s="21">
        <f>$B$8764</f>
        <v/>
      </c>
      <c r="J10424" s="21" t="n">
        <v>0</v>
      </c>
      <c r="K10424" s="21" t="n">
        <v>0</v>
      </c>
      <c r="L10424" s="21" t="n">
        <v>0</v>
      </c>
      <c r="M10424" s="21" t="n">
        <v>0</v>
      </c>
      <c r="N10424" s="21" t="n">
        <v>0</v>
      </c>
      <c r="O10424" s="21" t="n">
        <v>0</v>
      </c>
      <c r="P10424" s="21" t="n">
        <v>0</v>
      </c>
      <c r="Q10424" s="21" t="n">
        <v>0</v>
      </c>
      <c r="R10424" s="21" t="n">
        <v>0</v>
      </c>
      <c r="S10424" s="21" t="n">
        <v>0</v>
      </c>
      <c r="T10424" s="21" t="n">
        <v>0</v>
      </c>
      <c r="U10424" s="21" t="n">
        <v>0</v>
      </c>
      <c r="V10424" s="21" t="n">
        <v>0</v>
      </c>
      <c r="W10424" s="21" t="n">
        <v>0</v>
      </c>
      <c r="X10424" s="21" t="n">
        <v>0</v>
      </c>
      <c r="Y10424" s="21" t="n">
        <v>0</v>
      </c>
      <c r="Z10424" s="19" t="n"/>
    </row>
    <row r="10425">
      <c r="D10425" s="21">
        <f>$B$8764</f>
        <v/>
      </c>
      <c r="E10425" s="21">
        <f>$B$8766</f>
        <v/>
      </c>
      <c r="F10425" s="21">
        <f>0</f>
        <v/>
      </c>
      <c r="G10425" s="21">
        <f>2*$B$8765</f>
        <v/>
      </c>
      <c r="H10425" s="21">
        <f>-$B$8764</f>
        <v/>
      </c>
      <c r="I10425" s="21">
        <f>$B$8766</f>
        <v/>
      </c>
      <c r="J10425" s="21" t="n">
        <v>0</v>
      </c>
      <c r="K10425" s="21" t="n">
        <v>0</v>
      </c>
      <c r="L10425" s="21" t="n">
        <v>0</v>
      </c>
      <c r="M10425" s="21" t="n">
        <v>0</v>
      </c>
      <c r="N10425" s="21" t="n">
        <v>0</v>
      </c>
      <c r="O10425" s="21" t="n">
        <v>0</v>
      </c>
      <c r="P10425" s="21" t="n">
        <v>0</v>
      </c>
      <c r="Q10425" s="21" t="n">
        <v>0</v>
      </c>
      <c r="R10425" s="21" t="n">
        <v>0</v>
      </c>
      <c r="S10425" s="21" t="n">
        <v>0</v>
      </c>
      <c r="T10425" s="21" t="n">
        <v>0</v>
      </c>
      <c r="U10425" s="21" t="n">
        <v>0</v>
      </c>
      <c r="V10425" s="21" t="n">
        <v>0</v>
      </c>
      <c r="W10425" s="21" t="n">
        <v>0</v>
      </c>
      <c r="X10425" s="21" t="n">
        <v>0</v>
      </c>
      <c r="Y10425" s="21" t="n">
        <v>0</v>
      </c>
      <c r="Z10425" s="19" t="n"/>
    </row>
    <row r="10426">
      <c r="D10426" s="21" t="n">
        <v>0</v>
      </c>
      <c r="E10426" s="21" t="n">
        <v>0</v>
      </c>
      <c r="F10426" s="21">
        <f>-$B$8763</f>
        <v/>
      </c>
      <c r="G10426" s="21">
        <f>-$B$8764</f>
        <v/>
      </c>
      <c r="H10426" s="21">
        <f>2*$B$8763+$D$10412</f>
        <v/>
      </c>
      <c r="I10426" s="21">
        <f>0</f>
        <v/>
      </c>
      <c r="J10426" s="21">
        <f>-$B$8763</f>
        <v/>
      </c>
      <c r="K10426" s="21">
        <f>$B$8764</f>
        <v/>
      </c>
      <c r="L10426" s="21" t="n">
        <v>0</v>
      </c>
      <c r="M10426" s="21" t="n">
        <v>0</v>
      </c>
      <c r="N10426" s="21" t="n">
        <v>0</v>
      </c>
      <c r="O10426" s="21" t="n">
        <v>0</v>
      </c>
      <c r="P10426" s="21" t="n">
        <v>0</v>
      </c>
      <c r="Q10426" s="21" t="n">
        <v>0</v>
      </c>
      <c r="R10426" s="21" t="n">
        <v>0</v>
      </c>
      <c r="S10426" s="21" t="n">
        <v>0</v>
      </c>
      <c r="T10426" s="21" t="n">
        <v>0</v>
      </c>
      <c r="U10426" s="21" t="n">
        <v>0</v>
      </c>
      <c r="V10426" s="21" t="n">
        <v>0</v>
      </c>
      <c r="W10426" s="21" t="n">
        <v>0</v>
      </c>
      <c r="X10426" s="21" t="n">
        <v>0</v>
      </c>
      <c r="Y10426" s="21" t="n">
        <v>0</v>
      </c>
      <c r="Z10426" s="19" t="n"/>
    </row>
    <row r="10427">
      <c r="D10427" s="21" t="n">
        <v>0</v>
      </c>
      <c r="E10427" s="21" t="n">
        <v>0</v>
      </c>
      <c r="F10427" s="21">
        <f>$B$8764</f>
        <v/>
      </c>
      <c r="G10427" s="21">
        <f>$B$8766</f>
        <v/>
      </c>
      <c r="H10427" s="21">
        <f>0</f>
        <v/>
      </c>
      <c r="I10427" s="21">
        <f>2*$B$8765</f>
        <v/>
      </c>
      <c r="J10427" s="21">
        <f>-$B$8764</f>
        <v/>
      </c>
      <c r="K10427" s="21">
        <f>$B$8766</f>
        <v/>
      </c>
      <c r="L10427" s="21" t="n">
        <v>0</v>
      </c>
      <c r="M10427" s="21" t="n">
        <v>0</v>
      </c>
      <c r="N10427" s="21" t="n">
        <v>0</v>
      </c>
      <c r="O10427" s="21" t="n">
        <v>0</v>
      </c>
      <c r="P10427" s="21" t="n">
        <v>0</v>
      </c>
      <c r="Q10427" s="21" t="n">
        <v>0</v>
      </c>
      <c r="R10427" s="21" t="n">
        <v>0</v>
      </c>
      <c r="S10427" s="21" t="n">
        <v>0</v>
      </c>
      <c r="T10427" s="21" t="n">
        <v>0</v>
      </c>
      <c r="U10427" s="21" t="n">
        <v>0</v>
      </c>
      <c r="V10427" s="21" t="n">
        <v>0</v>
      </c>
      <c r="W10427" s="21" t="n">
        <v>0</v>
      </c>
      <c r="X10427" s="21" t="n">
        <v>0</v>
      </c>
      <c r="Y10427" s="21" t="n">
        <v>0</v>
      </c>
      <c r="Z10427" s="19" t="n"/>
    </row>
    <row r="10428">
      <c r="D10428" s="21" t="n">
        <v>0</v>
      </c>
      <c r="E10428" s="21" t="n">
        <v>0</v>
      </c>
      <c r="F10428" s="21" t="n">
        <v>0</v>
      </c>
      <c r="G10428" s="21" t="n">
        <v>0</v>
      </c>
      <c r="H10428" s="21">
        <f>-$B$8763</f>
        <v/>
      </c>
      <c r="I10428" s="21">
        <f>-$B$8764</f>
        <v/>
      </c>
      <c r="J10428" s="21">
        <f>2*$B$8763+$D$10413</f>
        <v/>
      </c>
      <c r="K10428" s="21">
        <f>0</f>
        <v/>
      </c>
      <c r="L10428" s="21">
        <f>-$B$8763</f>
        <v/>
      </c>
      <c r="M10428" s="21">
        <f>$B$8764</f>
        <v/>
      </c>
      <c r="N10428" s="21" t="n">
        <v>0</v>
      </c>
      <c r="O10428" s="21" t="n">
        <v>0</v>
      </c>
      <c r="P10428" s="21" t="n">
        <v>0</v>
      </c>
      <c r="Q10428" s="21" t="n">
        <v>0</v>
      </c>
      <c r="R10428" s="21" t="n">
        <v>0</v>
      </c>
      <c r="S10428" s="21" t="n">
        <v>0</v>
      </c>
      <c r="T10428" s="21" t="n">
        <v>0</v>
      </c>
      <c r="U10428" s="21" t="n">
        <v>0</v>
      </c>
      <c r="V10428" s="21" t="n">
        <v>0</v>
      </c>
      <c r="W10428" s="21" t="n">
        <v>0</v>
      </c>
      <c r="X10428" s="21" t="n">
        <v>0</v>
      </c>
      <c r="Y10428" s="21" t="n">
        <v>0</v>
      </c>
      <c r="Z10428" s="19" t="n"/>
    </row>
    <row r="10429">
      <c r="D10429" s="21" t="n">
        <v>0</v>
      </c>
      <c r="E10429" s="21" t="n">
        <v>0</v>
      </c>
      <c r="F10429" s="21" t="n">
        <v>0</v>
      </c>
      <c r="G10429" s="21" t="n">
        <v>0</v>
      </c>
      <c r="H10429" s="21">
        <f>$B$8764</f>
        <v/>
      </c>
      <c r="I10429" s="21">
        <f>$B$8766</f>
        <v/>
      </c>
      <c r="J10429" s="21">
        <f>0</f>
        <v/>
      </c>
      <c r="K10429" s="21">
        <f>2*$B$8765</f>
        <v/>
      </c>
      <c r="L10429" s="21">
        <f>-$B$8764</f>
        <v/>
      </c>
      <c r="M10429" s="21">
        <f>$B$8766</f>
        <v/>
      </c>
      <c r="N10429" s="21" t="n">
        <v>0</v>
      </c>
      <c r="O10429" s="21" t="n">
        <v>0</v>
      </c>
      <c r="P10429" s="21" t="n">
        <v>0</v>
      </c>
      <c r="Q10429" s="21" t="n">
        <v>0</v>
      </c>
      <c r="R10429" s="21" t="n">
        <v>0</v>
      </c>
      <c r="S10429" s="21" t="n">
        <v>0</v>
      </c>
      <c r="T10429" s="21" t="n">
        <v>0</v>
      </c>
      <c r="U10429" s="21" t="n">
        <v>0</v>
      </c>
      <c r="V10429" s="21" t="n">
        <v>0</v>
      </c>
      <c r="W10429" s="21" t="n">
        <v>0</v>
      </c>
      <c r="X10429" s="21" t="n">
        <v>0</v>
      </c>
      <c r="Y10429" s="21" t="n">
        <v>0</v>
      </c>
      <c r="Z10429" s="19" t="n"/>
    </row>
    <row r="10430">
      <c r="D10430" s="21" t="n">
        <v>0</v>
      </c>
      <c r="E10430" s="21" t="n">
        <v>0</v>
      </c>
      <c r="F10430" s="21" t="n">
        <v>0</v>
      </c>
      <c r="G10430" s="21" t="n">
        <v>0</v>
      </c>
      <c r="H10430" s="21" t="n">
        <v>0</v>
      </c>
      <c r="I10430" s="21" t="n">
        <v>0</v>
      </c>
      <c r="J10430" s="21">
        <f>-$B$8763</f>
        <v/>
      </c>
      <c r="K10430" s="21">
        <f>-$B$8764</f>
        <v/>
      </c>
      <c r="L10430" s="21">
        <f>2*$B$8763+$D$10414</f>
        <v/>
      </c>
      <c r="M10430" s="21">
        <f>0</f>
        <v/>
      </c>
      <c r="N10430" s="21">
        <f>-$B$8763</f>
        <v/>
      </c>
      <c r="O10430" s="21">
        <f>$B$8764</f>
        <v/>
      </c>
      <c r="P10430" s="21" t="n">
        <v>0</v>
      </c>
      <c r="Q10430" s="21" t="n">
        <v>0</v>
      </c>
      <c r="R10430" s="21" t="n">
        <v>0</v>
      </c>
      <c r="S10430" s="21" t="n">
        <v>0</v>
      </c>
      <c r="T10430" s="21" t="n">
        <v>0</v>
      </c>
      <c r="U10430" s="21" t="n">
        <v>0</v>
      </c>
      <c r="V10430" s="21" t="n">
        <v>0</v>
      </c>
      <c r="W10430" s="21" t="n">
        <v>0</v>
      </c>
      <c r="X10430" s="21" t="n">
        <v>0</v>
      </c>
      <c r="Y10430" s="21" t="n">
        <v>0</v>
      </c>
      <c r="Z10430" s="19" t="n"/>
    </row>
    <row r="10431">
      <c r="D10431" s="21" t="n">
        <v>0</v>
      </c>
      <c r="E10431" s="21" t="n">
        <v>0</v>
      </c>
      <c r="F10431" s="21" t="n">
        <v>0</v>
      </c>
      <c r="G10431" s="21" t="n">
        <v>0</v>
      </c>
      <c r="H10431" s="21" t="n">
        <v>0</v>
      </c>
      <c r="I10431" s="21" t="n">
        <v>0</v>
      </c>
      <c r="J10431" s="21">
        <f>$B$8764</f>
        <v/>
      </c>
      <c r="K10431" s="21">
        <f>$B$8766</f>
        <v/>
      </c>
      <c r="L10431" s="21">
        <f>0</f>
        <v/>
      </c>
      <c r="M10431" s="21">
        <f>2*$B$8765</f>
        <v/>
      </c>
      <c r="N10431" s="21">
        <f>-$B$8764</f>
        <v/>
      </c>
      <c r="O10431" s="21">
        <f>$B$8766</f>
        <v/>
      </c>
      <c r="P10431" s="21" t="n">
        <v>0</v>
      </c>
      <c r="Q10431" s="21" t="n">
        <v>0</v>
      </c>
      <c r="R10431" s="21" t="n">
        <v>0</v>
      </c>
      <c r="S10431" s="21" t="n">
        <v>0</v>
      </c>
      <c r="T10431" s="21" t="n">
        <v>0</v>
      </c>
      <c r="U10431" s="21" t="n">
        <v>0</v>
      </c>
      <c r="V10431" s="21" t="n">
        <v>0</v>
      </c>
      <c r="W10431" s="21" t="n">
        <v>0</v>
      </c>
      <c r="X10431" s="21" t="n">
        <v>0</v>
      </c>
      <c r="Y10431" s="21" t="n">
        <v>0</v>
      </c>
      <c r="Z10431" s="19" t="n"/>
    </row>
    <row r="10432">
      <c r="D10432" s="21" t="n">
        <v>0</v>
      </c>
      <c r="E10432" s="21" t="n">
        <v>0</v>
      </c>
      <c r="F10432" s="21" t="n">
        <v>0</v>
      </c>
      <c r="G10432" s="21" t="n">
        <v>0</v>
      </c>
      <c r="H10432" s="21" t="n">
        <v>0</v>
      </c>
      <c r="I10432" s="21" t="n">
        <v>0</v>
      </c>
      <c r="J10432" s="21" t="n">
        <v>0</v>
      </c>
      <c r="K10432" s="21" t="n">
        <v>0</v>
      </c>
      <c r="L10432" s="21">
        <f>-$B$8763</f>
        <v/>
      </c>
      <c r="M10432" s="21">
        <f>-$B$8764</f>
        <v/>
      </c>
      <c r="N10432" s="21">
        <f>2*$B$8763+$D$10415</f>
        <v/>
      </c>
      <c r="O10432" s="21">
        <f>0</f>
        <v/>
      </c>
      <c r="P10432" s="21">
        <f>-$B$8763</f>
        <v/>
      </c>
      <c r="Q10432" s="21">
        <f>$B$8764</f>
        <v/>
      </c>
      <c r="R10432" s="21" t="n">
        <v>0</v>
      </c>
      <c r="S10432" s="21" t="n">
        <v>0</v>
      </c>
      <c r="T10432" s="21" t="n">
        <v>0</v>
      </c>
      <c r="U10432" s="21" t="n">
        <v>0</v>
      </c>
      <c r="V10432" s="21" t="n">
        <v>0</v>
      </c>
      <c r="W10432" s="21" t="n">
        <v>0</v>
      </c>
      <c r="X10432" s="21" t="n">
        <v>0</v>
      </c>
      <c r="Y10432" s="21" t="n">
        <v>0</v>
      </c>
      <c r="Z10432" s="19" t="n"/>
    </row>
    <row r="10433">
      <c r="D10433" s="21" t="n">
        <v>0</v>
      </c>
      <c r="E10433" s="21" t="n">
        <v>0</v>
      </c>
      <c r="F10433" s="21" t="n">
        <v>0</v>
      </c>
      <c r="G10433" s="21" t="n">
        <v>0</v>
      </c>
      <c r="H10433" s="21" t="n">
        <v>0</v>
      </c>
      <c r="I10433" s="21" t="n">
        <v>0</v>
      </c>
      <c r="J10433" s="21" t="n">
        <v>0</v>
      </c>
      <c r="K10433" s="21" t="n">
        <v>0</v>
      </c>
      <c r="L10433" s="21">
        <f>$B$8764</f>
        <v/>
      </c>
      <c r="M10433" s="21">
        <f>$B$8766</f>
        <v/>
      </c>
      <c r="N10433" s="21">
        <f>0</f>
        <v/>
      </c>
      <c r="O10433" s="21">
        <f>2*$B$8765</f>
        <v/>
      </c>
      <c r="P10433" s="21">
        <f>-$B$8764</f>
        <v/>
      </c>
      <c r="Q10433" s="21">
        <f>$B$8766</f>
        <v/>
      </c>
      <c r="R10433" s="21" t="n">
        <v>0</v>
      </c>
      <c r="S10433" s="21" t="n">
        <v>0</v>
      </c>
      <c r="T10433" s="21" t="n">
        <v>0</v>
      </c>
      <c r="U10433" s="21" t="n">
        <v>0</v>
      </c>
      <c r="V10433" s="21" t="n">
        <v>0</v>
      </c>
      <c r="W10433" s="21" t="n">
        <v>0</v>
      </c>
      <c r="X10433" s="21" t="n">
        <v>0</v>
      </c>
      <c r="Y10433" s="21" t="n">
        <v>0</v>
      </c>
      <c r="Z10433" s="19" t="n"/>
    </row>
    <row r="10434">
      <c r="D10434" s="21" t="n">
        <v>0</v>
      </c>
      <c r="E10434" s="21" t="n">
        <v>0</v>
      </c>
      <c r="F10434" s="21" t="n">
        <v>0</v>
      </c>
      <c r="G10434" s="21" t="n">
        <v>0</v>
      </c>
      <c r="H10434" s="21" t="n">
        <v>0</v>
      </c>
      <c r="I10434" s="21" t="n">
        <v>0</v>
      </c>
      <c r="J10434" s="21" t="n">
        <v>0</v>
      </c>
      <c r="K10434" s="21" t="n">
        <v>0</v>
      </c>
      <c r="L10434" s="21" t="n">
        <v>0</v>
      </c>
      <c r="M10434" s="21" t="n">
        <v>0</v>
      </c>
      <c r="N10434" s="21">
        <f>-$B$8763</f>
        <v/>
      </c>
      <c r="O10434" s="21">
        <f>-$B$8764</f>
        <v/>
      </c>
      <c r="P10434" s="21">
        <f>2*$B$8763+$D$10416</f>
        <v/>
      </c>
      <c r="Q10434" s="21">
        <f>0</f>
        <v/>
      </c>
      <c r="R10434" s="21">
        <f>-$B$8763</f>
        <v/>
      </c>
      <c r="S10434" s="21">
        <f>$B$8764</f>
        <v/>
      </c>
      <c r="T10434" s="21" t="n">
        <v>0</v>
      </c>
      <c r="U10434" s="21" t="n">
        <v>0</v>
      </c>
      <c r="V10434" s="21" t="n">
        <v>0</v>
      </c>
      <c r="W10434" s="21" t="n">
        <v>0</v>
      </c>
      <c r="X10434" s="21" t="n">
        <v>0</v>
      </c>
      <c r="Y10434" s="21" t="n">
        <v>0</v>
      </c>
      <c r="Z10434" s="19" t="n"/>
    </row>
    <row r="10435">
      <c r="D10435" s="21" t="n">
        <v>0</v>
      </c>
      <c r="E10435" s="21" t="n">
        <v>0</v>
      </c>
      <c r="F10435" s="21" t="n">
        <v>0</v>
      </c>
      <c r="G10435" s="21" t="n">
        <v>0</v>
      </c>
      <c r="H10435" s="21" t="n">
        <v>0</v>
      </c>
      <c r="I10435" s="21" t="n">
        <v>0</v>
      </c>
      <c r="J10435" s="21" t="n">
        <v>0</v>
      </c>
      <c r="K10435" s="21" t="n">
        <v>0</v>
      </c>
      <c r="L10435" s="21" t="n">
        <v>0</v>
      </c>
      <c r="M10435" s="21" t="n">
        <v>0</v>
      </c>
      <c r="N10435" s="21">
        <f>$B$8764</f>
        <v/>
      </c>
      <c r="O10435" s="21">
        <f>$B$8766</f>
        <v/>
      </c>
      <c r="P10435" s="21">
        <f>0</f>
        <v/>
      </c>
      <c r="Q10435" s="21">
        <f>2*$B$8765</f>
        <v/>
      </c>
      <c r="R10435" s="21">
        <f>-$B$8764</f>
        <v/>
      </c>
      <c r="S10435" s="21">
        <f>$B$8766</f>
        <v/>
      </c>
      <c r="T10435" s="21" t="n">
        <v>0</v>
      </c>
      <c r="U10435" s="21" t="n">
        <v>0</v>
      </c>
      <c r="V10435" s="21" t="n">
        <v>0</v>
      </c>
      <c r="W10435" s="21" t="n">
        <v>0</v>
      </c>
      <c r="X10435" s="21" t="n">
        <v>0</v>
      </c>
      <c r="Y10435" s="21" t="n">
        <v>0</v>
      </c>
      <c r="Z10435" s="19" t="n"/>
    </row>
    <row r="10436">
      <c r="D10436" s="21" t="n">
        <v>0</v>
      </c>
      <c r="E10436" s="21" t="n">
        <v>0</v>
      </c>
      <c r="F10436" s="21" t="n">
        <v>0</v>
      </c>
      <c r="G10436" s="21" t="n">
        <v>0</v>
      </c>
      <c r="H10436" s="21" t="n">
        <v>0</v>
      </c>
      <c r="I10436" s="21" t="n">
        <v>0</v>
      </c>
      <c r="J10436" s="21" t="n">
        <v>0</v>
      </c>
      <c r="K10436" s="21" t="n">
        <v>0</v>
      </c>
      <c r="L10436" s="21" t="n">
        <v>0</v>
      </c>
      <c r="M10436" s="21" t="n">
        <v>0</v>
      </c>
      <c r="N10436" s="21" t="n">
        <v>0</v>
      </c>
      <c r="O10436" s="21" t="n">
        <v>0</v>
      </c>
      <c r="P10436" s="21">
        <f>-$B$8763</f>
        <v/>
      </c>
      <c r="Q10436" s="21">
        <f>-$B$8764</f>
        <v/>
      </c>
      <c r="R10436" s="21">
        <f>2*$B$8763+$D$10417</f>
        <v/>
      </c>
      <c r="S10436" s="21">
        <f>0</f>
        <v/>
      </c>
      <c r="T10436" s="21">
        <f>-$B$8763</f>
        <v/>
      </c>
      <c r="U10436" s="21">
        <f>$B$8764</f>
        <v/>
      </c>
      <c r="V10436" s="21" t="n">
        <v>0</v>
      </c>
      <c r="W10436" s="21" t="n">
        <v>0</v>
      </c>
      <c r="X10436" s="21" t="n">
        <v>0</v>
      </c>
      <c r="Y10436" s="21" t="n">
        <v>0</v>
      </c>
      <c r="Z10436" s="19" t="n"/>
    </row>
    <row r="10437">
      <c r="D10437" s="21" t="n">
        <v>0</v>
      </c>
      <c r="E10437" s="21" t="n">
        <v>0</v>
      </c>
      <c r="F10437" s="21" t="n">
        <v>0</v>
      </c>
      <c r="G10437" s="21" t="n">
        <v>0</v>
      </c>
      <c r="H10437" s="21" t="n">
        <v>0</v>
      </c>
      <c r="I10437" s="21" t="n">
        <v>0</v>
      </c>
      <c r="J10437" s="21" t="n">
        <v>0</v>
      </c>
      <c r="K10437" s="21" t="n">
        <v>0</v>
      </c>
      <c r="L10437" s="21" t="n">
        <v>0</v>
      </c>
      <c r="M10437" s="21" t="n">
        <v>0</v>
      </c>
      <c r="N10437" s="21" t="n">
        <v>0</v>
      </c>
      <c r="O10437" s="21" t="n">
        <v>0</v>
      </c>
      <c r="P10437" s="21">
        <f>$B$8764</f>
        <v/>
      </c>
      <c r="Q10437" s="21">
        <f>$B$8766</f>
        <v/>
      </c>
      <c r="R10437" s="21">
        <f>0</f>
        <v/>
      </c>
      <c r="S10437" s="21">
        <f>2*$B$8765</f>
        <v/>
      </c>
      <c r="T10437" s="21">
        <f>-$B$8764</f>
        <v/>
      </c>
      <c r="U10437" s="21">
        <f>$B$8766</f>
        <v/>
      </c>
      <c r="V10437" s="21" t="n">
        <v>0</v>
      </c>
      <c r="W10437" s="21" t="n">
        <v>0</v>
      </c>
      <c r="X10437" s="21" t="n">
        <v>0</v>
      </c>
      <c r="Y10437" s="21" t="n">
        <v>0</v>
      </c>
      <c r="Z10437" s="19" t="n"/>
    </row>
    <row r="10438">
      <c r="D10438" s="21" t="n">
        <v>0</v>
      </c>
      <c r="E10438" s="21" t="n">
        <v>0</v>
      </c>
      <c r="F10438" s="21" t="n">
        <v>0</v>
      </c>
      <c r="G10438" s="21" t="n">
        <v>0</v>
      </c>
      <c r="H10438" s="21" t="n">
        <v>0</v>
      </c>
      <c r="I10438" s="21" t="n">
        <v>0</v>
      </c>
      <c r="J10438" s="21" t="n">
        <v>0</v>
      </c>
      <c r="K10438" s="21" t="n">
        <v>0</v>
      </c>
      <c r="L10438" s="21" t="n">
        <v>0</v>
      </c>
      <c r="M10438" s="21" t="n">
        <v>0</v>
      </c>
      <c r="N10438" s="21" t="n">
        <v>0</v>
      </c>
      <c r="O10438" s="21" t="n">
        <v>0</v>
      </c>
      <c r="P10438" s="21" t="n">
        <v>0</v>
      </c>
      <c r="Q10438" s="21" t="n">
        <v>0</v>
      </c>
      <c r="R10438" s="21">
        <f>-$B$8763</f>
        <v/>
      </c>
      <c r="S10438" s="21">
        <f>-$B$8764</f>
        <v/>
      </c>
      <c r="T10438" s="21">
        <f>2*$B$8763+$D$10418</f>
        <v/>
      </c>
      <c r="U10438" s="21">
        <f>0</f>
        <v/>
      </c>
      <c r="V10438" s="21">
        <f>-$B$8763</f>
        <v/>
      </c>
      <c r="W10438" s="21">
        <f>$B$8764</f>
        <v/>
      </c>
      <c r="X10438" s="21" t="n">
        <v>0</v>
      </c>
      <c r="Y10438" s="21" t="n">
        <v>0</v>
      </c>
      <c r="Z10438" s="19" t="n"/>
    </row>
    <row r="10439">
      <c r="D10439" s="21" t="n">
        <v>0</v>
      </c>
      <c r="E10439" s="21" t="n">
        <v>0</v>
      </c>
      <c r="F10439" s="21" t="n">
        <v>0</v>
      </c>
      <c r="G10439" s="21" t="n">
        <v>0</v>
      </c>
      <c r="H10439" s="21" t="n">
        <v>0</v>
      </c>
      <c r="I10439" s="21" t="n">
        <v>0</v>
      </c>
      <c r="J10439" s="21" t="n">
        <v>0</v>
      </c>
      <c r="K10439" s="21" t="n">
        <v>0</v>
      </c>
      <c r="L10439" s="21" t="n">
        <v>0</v>
      </c>
      <c r="M10439" s="21" t="n">
        <v>0</v>
      </c>
      <c r="N10439" s="21" t="n">
        <v>0</v>
      </c>
      <c r="O10439" s="21" t="n">
        <v>0</v>
      </c>
      <c r="P10439" s="21" t="n">
        <v>0</v>
      </c>
      <c r="Q10439" s="21" t="n">
        <v>0</v>
      </c>
      <c r="R10439" s="21">
        <f>$B$8764</f>
        <v/>
      </c>
      <c r="S10439" s="21">
        <f>$B$8766</f>
        <v/>
      </c>
      <c r="T10439" s="21">
        <f>0</f>
        <v/>
      </c>
      <c r="U10439" s="21">
        <f>2*$B$8765</f>
        <v/>
      </c>
      <c r="V10439" s="21">
        <f>-$B$8764</f>
        <v/>
      </c>
      <c r="W10439" s="21">
        <f>$B$8766</f>
        <v/>
      </c>
      <c r="X10439" s="21" t="n">
        <v>0</v>
      </c>
      <c r="Y10439" s="21" t="n">
        <v>0</v>
      </c>
      <c r="Z10439" s="19" t="n"/>
    </row>
    <row r="10440">
      <c r="D10440" s="21" t="n">
        <v>0</v>
      </c>
      <c r="E10440" s="21" t="n">
        <v>0</v>
      </c>
      <c r="F10440" s="21" t="n">
        <v>0</v>
      </c>
      <c r="G10440" s="21" t="n">
        <v>0</v>
      </c>
      <c r="H10440" s="21" t="n">
        <v>0</v>
      </c>
      <c r="I10440" s="21" t="n">
        <v>0</v>
      </c>
      <c r="J10440" s="21" t="n">
        <v>0</v>
      </c>
      <c r="K10440" s="21" t="n">
        <v>0</v>
      </c>
      <c r="L10440" s="21" t="n">
        <v>0</v>
      </c>
      <c r="M10440" s="21" t="n">
        <v>0</v>
      </c>
      <c r="N10440" s="21" t="n">
        <v>0</v>
      </c>
      <c r="O10440" s="21" t="n">
        <v>0</v>
      </c>
      <c r="P10440" s="21" t="n">
        <v>0</v>
      </c>
      <c r="Q10440" s="21" t="n">
        <v>0</v>
      </c>
      <c r="R10440" s="21" t="n">
        <v>0</v>
      </c>
      <c r="S10440" s="21" t="n">
        <v>0</v>
      </c>
      <c r="T10440" s="21">
        <f>-$B$8763</f>
        <v/>
      </c>
      <c r="U10440" s="21">
        <f>-$B$8764</f>
        <v/>
      </c>
      <c r="V10440" s="21">
        <f>2*$B$8763+$D$10419</f>
        <v/>
      </c>
      <c r="W10440" s="21">
        <f>0</f>
        <v/>
      </c>
      <c r="X10440" s="21">
        <f>-$B$8763</f>
        <v/>
      </c>
      <c r="Y10440" s="21">
        <f>$B$8764</f>
        <v/>
      </c>
      <c r="Z10440" s="19" t="n"/>
    </row>
    <row r="10441">
      <c r="D10441" s="21" t="n">
        <v>0</v>
      </c>
      <c r="E10441" s="21" t="n">
        <v>0</v>
      </c>
      <c r="F10441" s="21" t="n">
        <v>0</v>
      </c>
      <c r="G10441" s="21" t="n">
        <v>0</v>
      </c>
      <c r="H10441" s="21" t="n">
        <v>0</v>
      </c>
      <c r="I10441" s="21" t="n">
        <v>0</v>
      </c>
      <c r="J10441" s="21" t="n">
        <v>0</v>
      </c>
      <c r="K10441" s="21" t="n">
        <v>0</v>
      </c>
      <c r="L10441" s="21" t="n">
        <v>0</v>
      </c>
      <c r="M10441" s="21" t="n">
        <v>0</v>
      </c>
      <c r="N10441" s="21" t="n">
        <v>0</v>
      </c>
      <c r="O10441" s="21" t="n">
        <v>0</v>
      </c>
      <c r="P10441" s="21" t="n">
        <v>0</v>
      </c>
      <c r="Q10441" s="21" t="n">
        <v>0</v>
      </c>
      <c r="R10441" s="21" t="n">
        <v>0</v>
      </c>
      <c r="S10441" s="21" t="n">
        <v>0</v>
      </c>
      <c r="T10441" s="21">
        <f>$B$8764</f>
        <v/>
      </c>
      <c r="U10441" s="21">
        <f>$B$8766</f>
        <v/>
      </c>
      <c r="V10441" s="21">
        <f>0</f>
        <v/>
      </c>
      <c r="W10441" s="21">
        <f>2*$B$8765</f>
        <v/>
      </c>
      <c r="X10441" s="21">
        <f>-$B$8764</f>
        <v/>
      </c>
      <c r="Y10441" s="21">
        <f>$B$8766</f>
        <v/>
      </c>
      <c r="Z10441" s="19" t="n"/>
    </row>
    <row r="10442">
      <c r="D10442" s="21" t="n">
        <v>0</v>
      </c>
      <c r="E10442" s="21" t="n">
        <v>0</v>
      </c>
      <c r="F10442" s="21" t="n">
        <v>0</v>
      </c>
      <c r="G10442" s="21" t="n">
        <v>0</v>
      </c>
      <c r="H10442" s="21" t="n">
        <v>0</v>
      </c>
      <c r="I10442" s="21" t="n">
        <v>0</v>
      </c>
      <c r="J10442" s="21" t="n">
        <v>0</v>
      </c>
      <c r="K10442" s="21" t="n">
        <v>0</v>
      </c>
      <c r="L10442" s="21" t="n">
        <v>0</v>
      </c>
      <c r="M10442" s="21" t="n">
        <v>0</v>
      </c>
      <c r="N10442" s="21" t="n">
        <v>0</v>
      </c>
      <c r="O10442" s="21" t="n">
        <v>0</v>
      </c>
      <c r="P10442" s="21" t="n">
        <v>0</v>
      </c>
      <c r="Q10442" s="21" t="n">
        <v>0</v>
      </c>
      <c r="R10442" s="21" t="n">
        <v>0</v>
      </c>
      <c r="S10442" s="21" t="n">
        <v>0</v>
      </c>
      <c r="T10442" s="21" t="n">
        <v>0</v>
      </c>
      <c r="U10442" s="21" t="n">
        <v>0</v>
      </c>
      <c r="V10442" s="21">
        <f>-$B$8763</f>
        <v/>
      </c>
      <c r="W10442" s="21">
        <f>-$B$8764</f>
        <v/>
      </c>
      <c r="X10442" s="21">
        <f>$B$8763+$D$10420</f>
        <v/>
      </c>
      <c r="Y10442" s="21">
        <f>-$B$8764</f>
        <v/>
      </c>
      <c r="Z10442" s="19" t="n"/>
    </row>
    <row r="10443">
      <c r="D10443" s="21" t="n">
        <v>0</v>
      </c>
      <c r="E10443" s="21" t="n">
        <v>0</v>
      </c>
      <c r="F10443" s="21" t="n">
        <v>0</v>
      </c>
      <c r="G10443" s="21" t="n">
        <v>0</v>
      </c>
      <c r="H10443" s="21" t="n">
        <v>0</v>
      </c>
      <c r="I10443" s="21" t="n">
        <v>0</v>
      </c>
      <c r="J10443" s="21" t="n">
        <v>0</v>
      </c>
      <c r="K10443" s="21" t="n">
        <v>0</v>
      </c>
      <c r="L10443" s="21" t="n">
        <v>0</v>
      </c>
      <c r="M10443" s="21" t="n">
        <v>0</v>
      </c>
      <c r="N10443" s="21" t="n">
        <v>0</v>
      </c>
      <c r="O10443" s="21" t="n">
        <v>0</v>
      </c>
      <c r="P10443" s="21" t="n">
        <v>0</v>
      </c>
      <c r="Q10443" s="21" t="n">
        <v>0</v>
      </c>
      <c r="R10443" s="21" t="n">
        <v>0</v>
      </c>
      <c r="S10443" s="21" t="n">
        <v>0</v>
      </c>
      <c r="T10443" s="21" t="n">
        <v>0</v>
      </c>
      <c r="U10443" s="21" t="n">
        <v>0</v>
      </c>
      <c r="V10443" s="21">
        <f>$B$8764</f>
        <v/>
      </c>
      <c r="W10443" s="21">
        <f>$B$8766</f>
        <v/>
      </c>
      <c r="X10443" s="21">
        <f>-$B$8764</f>
        <v/>
      </c>
      <c r="Y10443" s="21">
        <f>$B$8765</f>
        <v/>
      </c>
      <c r="Z10443" s="19" t="n"/>
    </row>
    <row r="10446">
      <c r="D10446" s="18" t="inlineStr">
        <is>
          <t>e</t>
        </is>
      </c>
      <c r="E10446" s="18" t="inlineStr">
        <is>
          <t>y_e</t>
        </is>
      </c>
      <c r="F10446" s="18" t="inlineStr">
        <is>
          <t>theta_e</t>
        </is>
      </c>
      <c r="G10446" s="18" t="inlineStr">
        <is>
          <t>y_e+1</t>
        </is>
      </c>
      <c r="H10446" s="18" t="inlineStr">
        <is>
          <t>theta_e+1</t>
        </is>
      </c>
      <c r="I10446" s="18" t="inlineStr">
        <is>
          <t>fe1</t>
        </is>
      </c>
      <c r="J10446" s="18" t="inlineStr">
        <is>
          <t>fe3</t>
        </is>
      </c>
      <c r="K10446" s="18" t="inlineStr">
        <is>
          <t>M (kN*m)</t>
        </is>
      </c>
    </row>
    <row r="10447">
      <c r="D10447" t="n">
        <v>0</v>
      </c>
      <c r="E10447" s="19">
        <f>$E$10410</f>
        <v/>
      </c>
      <c r="F10447" s="19">
        <f>$F$10410</f>
        <v/>
      </c>
      <c r="G10447" s="19">
        <f>$E$10411</f>
        <v/>
      </c>
      <c r="H10447" s="19">
        <f>$F$10411</f>
        <v/>
      </c>
      <c r="I10447" s="19">
        <f>$B$8764*$E$10447+$B$8765*$F$10447-$B$8764*$G$10447+$B$8766*$H$10447</f>
        <v/>
      </c>
      <c r="J10447" s="19">
        <f>$B$8764*$E$10447+$B$8766*$F$10447-$B$8764*$G$10447+$B$8765*$H$10447</f>
        <v/>
      </c>
      <c r="K10447" s="21">
        <f>-$I$10447</f>
        <v/>
      </c>
    </row>
    <row r="10448">
      <c r="D10448" t="n">
        <v>1</v>
      </c>
      <c r="E10448" s="19">
        <f>$E$10411</f>
        <v/>
      </c>
      <c r="F10448" s="19">
        <f>$F$10411</f>
        <v/>
      </c>
      <c r="G10448" s="19">
        <f>$E$10412</f>
        <v/>
      </c>
      <c r="H10448" s="19">
        <f>$F$10412</f>
        <v/>
      </c>
      <c r="I10448" s="19">
        <f>$B$8764*$E$10448+$B$8765*$F$10448-$B$8764*$G$10448+$B$8766*$H$10448</f>
        <v/>
      </c>
      <c r="J10448" s="19">
        <f>$B$8764*$E$10448+$B$8766*$F$10448-$B$8764*$G$10448+$B$8765*$H$10448</f>
        <v/>
      </c>
      <c r="K10448" s="21">
        <f>($J$10447-$I$10448)/2</f>
        <v/>
      </c>
    </row>
    <row r="10449">
      <c r="D10449" t="n">
        <v>2</v>
      </c>
      <c r="E10449" s="19">
        <f>$E$10412</f>
        <v/>
      </c>
      <c r="F10449" s="19">
        <f>$F$10412</f>
        <v/>
      </c>
      <c r="G10449" s="19">
        <f>$E$10413</f>
        <v/>
      </c>
      <c r="H10449" s="19">
        <f>$F$10413</f>
        <v/>
      </c>
      <c r="I10449" s="19">
        <f>$B$8764*$E$10449+$B$8765*$F$10449-$B$8764*$G$10449+$B$8766*$H$10449</f>
        <v/>
      </c>
      <c r="J10449" s="19">
        <f>$B$8764*$E$10449+$B$8766*$F$10449-$B$8764*$G$10449+$B$8765*$H$10449</f>
        <v/>
      </c>
      <c r="K10449" s="21">
        <f>($J$10448-$I$10449)/2</f>
        <v/>
      </c>
    </row>
    <row r="10450">
      <c r="D10450" t="n">
        <v>3</v>
      </c>
      <c r="E10450" s="19">
        <f>$E$10413</f>
        <v/>
      </c>
      <c r="F10450" s="19">
        <f>$F$10413</f>
        <v/>
      </c>
      <c r="G10450" s="19">
        <f>$E$10414</f>
        <v/>
      </c>
      <c r="H10450" s="19">
        <f>$F$10414</f>
        <v/>
      </c>
      <c r="I10450" s="19">
        <f>$B$8764*$E$10450+$B$8765*$F$10450-$B$8764*$G$10450+$B$8766*$H$10450</f>
        <v/>
      </c>
      <c r="J10450" s="19">
        <f>$B$8764*$E$10450+$B$8766*$F$10450-$B$8764*$G$10450+$B$8765*$H$10450</f>
        <v/>
      </c>
      <c r="K10450" s="21">
        <f>($J$10449-$I$10450)/2</f>
        <v/>
      </c>
    </row>
    <row r="10451">
      <c r="D10451" t="n">
        <v>4</v>
      </c>
      <c r="E10451" s="19">
        <f>$E$10414</f>
        <v/>
      </c>
      <c r="F10451" s="19">
        <f>$F$10414</f>
        <v/>
      </c>
      <c r="G10451" s="19">
        <f>$E$10415</f>
        <v/>
      </c>
      <c r="H10451" s="19">
        <f>$F$10415</f>
        <v/>
      </c>
      <c r="I10451" s="19">
        <f>$B$8764*$E$10451+$B$8765*$F$10451-$B$8764*$G$10451+$B$8766*$H$10451</f>
        <v/>
      </c>
      <c r="J10451" s="19">
        <f>$B$8764*$E$10451+$B$8766*$F$10451-$B$8764*$G$10451+$B$8765*$H$10451</f>
        <v/>
      </c>
      <c r="K10451" s="21">
        <f>($J$10450-$I$10451)/2</f>
        <v/>
      </c>
    </row>
    <row r="10452">
      <c r="D10452" t="n">
        <v>5</v>
      </c>
      <c r="E10452" s="19">
        <f>$E$10415</f>
        <v/>
      </c>
      <c r="F10452" s="19">
        <f>$F$10415</f>
        <v/>
      </c>
      <c r="G10452" s="19">
        <f>$E$10416</f>
        <v/>
      </c>
      <c r="H10452" s="19">
        <f>$F$10416</f>
        <v/>
      </c>
      <c r="I10452" s="19">
        <f>$B$8764*$E$10452+$B$8765*$F$10452-$B$8764*$G$10452+$B$8766*$H$10452</f>
        <v/>
      </c>
      <c r="J10452" s="19">
        <f>$B$8764*$E$10452+$B$8766*$F$10452-$B$8764*$G$10452+$B$8765*$H$10452</f>
        <v/>
      </c>
      <c r="K10452" s="21">
        <f>($J$10451-$I$10452)/2</f>
        <v/>
      </c>
    </row>
    <row r="10453">
      <c r="D10453" t="n">
        <v>6</v>
      </c>
      <c r="E10453" s="19">
        <f>$E$10416</f>
        <v/>
      </c>
      <c r="F10453" s="19">
        <f>$F$10416</f>
        <v/>
      </c>
      <c r="G10453" s="19">
        <f>$E$10417</f>
        <v/>
      </c>
      <c r="H10453" s="19">
        <f>$F$10417</f>
        <v/>
      </c>
      <c r="I10453" s="19">
        <f>$B$8764*$E$10453+$B$8765*$F$10453-$B$8764*$G$10453+$B$8766*$H$10453</f>
        <v/>
      </c>
      <c r="J10453" s="19">
        <f>$B$8764*$E$10453+$B$8766*$F$10453-$B$8764*$G$10453+$B$8765*$H$10453</f>
        <v/>
      </c>
      <c r="K10453" s="21">
        <f>($J$10452-$I$10453)/2</f>
        <v/>
      </c>
    </row>
    <row r="10454">
      <c r="D10454" t="n">
        <v>7</v>
      </c>
      <c r="E10454" s="19">
        <f>$E$10417</f>
        <v/>
      </c>
      <c r="F10454" s="19">
        <f>$F$10417</f>
        <v/>
      </c>
      <c r="G10454" s="19">
        <f>$E$10418</f>
        <v/>
      </c>
      <c r="H10454" s="19">
        <f>$F$10418</f>
        <v/>
      </c>
      <c r="I10454" s="19">
        <f>$B$8764*$E$10454+$B$8765*$F$10454-$B$8764*$G$10454+$B$8766*$H$10454</f>
        <v/>
      </c>
      <c r="J10454" s="19">
        <f>$B$8764*$E$10454+$B$8766*$F$10454-$B$8764*$G$10454+$B$8765*$H$10454</f>
        <v/>
      </c>
      <c r="K10454" s="21">
        <f>($J$10453-$I$10454)/2</f>
        <v/>
      </c>
    </row>
    <row r="10455">
      <c r="D10455" t="n">
        <v>8</v>
      </c>
      <c r="E10455" s="19">
        <f>$E$10418</f>
        <v/>
      </c>
      <c r="F10455" s="19">
        <f>$F$10418</f>
        <v/>
      </c>
      <c r="G10455" s="19">
        <f>$E$10419</f>
        <v/>
      </c>
      <c r="H10455" s="19">
        <f>$F$10419</f>
        <v/>
      </c>
      <c r="I10455" s="19">
        <f>$B$8764*$E$10455+$B$8765*$F$10455-$B$8764*$G$10455+$B$8766*$H$10455</f>
        <v/>
      </c>
      <c r="J10455" s="19">
        <f>$B$8764*$E$10455+$B$8766*$F$10455-$B$8764*$G$10455+$B$8765*$H$10455</f>
        <v/>
      </c>
      <c r="K10455" s="21">
        <f>($J$10454-$I$10455)/2</f>
        <v/>
      </c>
    </row>
    <row r="10456">
      <c r="D10456" t="n">
        <v>9</v>
      </c>
      <c r="E10456" s="19">
        <f>$E$10419</f>
        <v/>
      </c>
      <c r="F10456" s="19">
        <f>$F$10419</f>
        <v/>
      </c>
      <c r="G10456" s="19">
        <f>$E$10420</f>
        <v/>
      </c>
      <c r="H10456" s="19">
        <f>$F$10420</f>
        <v/>
      </c>
      <c r="I10456" s="19">
        <f>$B$8764*$E$10456+$B$8765*$F$10456-$B$8764*$G$10456+$B$8766*$H$10456</f>
        <v/>
      </c>
      <c r="J10456" s="19">
        <f>$B$8764*$E$10456+$B$8766*$F$10456-$B$8764*$G$10456+$B$8765*$H$10456</f>
        <v/>
      </c>
      <c r="K10456" s="21">
        <f>($J$10455-$I$10456)/2</f>
        <v/>
      </c>
    </row>
    <row r="10457">
      <c r="K10457" s="21">
        <f>$J$10456</f>
        <v/>
      </c>
    </row>
    <row r="10459">
      <c r="A10459" s="12" t="inlineStr">
        <is>
          <t>y_gl (mm)</t>
        </is>
      </c>
      <c r="B10459" s="22">
        <f>$E$10410*1000</f>
        <v/>
      </c>
    </row>
    <row r="10460">
      <c r="A10460" s="12" t="inlineStr">
        <is>
          <t>theta_gl (deg)</t>
        </is>
      </c>
      <c r="B10460" s="23">
        <f>DEGREES($F$10410)</f>
        <v/>
      </c>
    </row>
    <row r="10461">
      <c r="A10461" s="12" t="inlineStr">
        <is>
          <t>M_max (kN*m)</t>
        </is>
      </c>
      <c r="B10461" s="22">
        <f t="array" ref="B10461">MAX(ABS($K$10447:$K$10457))</f>
        <v/>
      </c>
    </row>
    <row r="10464">
      <c r="A10464" s="2" t="inlineStr">
        <is>
          <t>PUSHOVER lambda = 10 (n=10 elements, 45 unrolled iterations)</t>
        </is>
      </c>
    </row>
    <row r="10466">
      <c r="A10466" s="6" t="inlineStr">
        <is>
          <t>V (kN)</t>
        </is>
      </c>
      <c r="B10466" s="20">
        <f>10*'1-Loads'!$D$38</f>
        <v/>
      </c>
      <c r="C10466" s="8" t="inlineStr">
        <is>
          <t>kN</t>
        </is>
      </c>
    </row>
    <row r="10467">
      <c r="A10467" s="6" t="inlineStr">
        <is>
          <t>M (kN*m)</t>
        </is>
      </c>
      <c r="B10467" s="20">
        <f>-10*'1-Loads'!$D$39</f>
        <v/>
      </c>
      <c r="C10467" s="8" t="inlineStr">
        <is>
          <t>kN*m</t>
        </is>
      </c>
    </row>
    <row r="10468">
      <c r="A10468" s="6" t="inlineStr">
        <is>
          <t>D_shaft</t>
        </is>
      </c>
      <c r="B10468" s="20">
        <f>'3-Sizing'!$D$10</f>
        <v/>
      </c>
      <c r="C10468" s="8" t="inlineStr">
        <is>
          <t>m</t>
        </is>
      </c>
    </row>
    <row r="10469">
      <c r="A10469" s="6" t="inlineStr">
        <is>
          <t>t (corroded)</t>
        </is>
      </c>
      <c r="B10469" s="20">
        <f>'7-Corrosion'!$D$19/1000</f>
        <v/>
      </c>
      <c r="C10469" s="8" t="inlineStr">
        <is>
          <t>m</t>
        </is>
      </c>
    </row>
    <row r="10470">
      <c r="A10470" s="6" t="inlineStr">
        <is>
          <t>E, steel</t>
        </is>
      </c>
      <c r="B10470" s="20">
        <f>200000000</f>
        <v/>
      </c>
      <c r="C10470" s="8" t="inlineStr">
        <is>
          <t>kPa</t>
        </is>
      </c>
    </row>
    <row r="10471">
      <c r="A10471" s="6" t="inlineStr">
        <is>
          <t>I (pipe)</t>
        </is>
      </c>
      <c r="B10471" s="20">
        <f>PI()/64*($B$10468^4-($B$10468-2*$B$10469)^4)</f>
        <v/>
      </c>
      <c r="C10471" s="8" t="inlineStr">
        <is>
          <t>m^4</t>
        </is>
      </c>
    </row>
    <row r="10472">
      <c r="A10472" s="6" t="inlineStr">
        <is>
          <t>EI</t>
        </is>
      </c>
      <c r="B10472" s="20">
        <f>$B$10470*$B$10471</f>
        <v/>
      </c>
      <c r="C10472" s="8" t="inlineStr">
        <is>
          <t>kN*m^2</t>
        </is>
      </c>
    </row>
    <row r="10473">
      <c r="A10473" s="6" t="inlineStr">
        <is>
          <t>L, embedded length</t>
        </is>
      </c>
      <c r="B10473" s="20">
        <f>'3-Sizing'!$D$25</f>
        <v/>
      </c>
      <c r="C10473" s="8" t="inlineStr">
        <is>
          <t>m</t>
        </is>
      </c>
    </row>
    <row r="10474">
      <c r="A10474" s="6" t="inlineStr">
        <is>
          <t>n_elements</t>
        </is>
      </c>
      <c r="B10474" s="20" t="n">
        <v>10</v>
      </c>
      <c r="C10474" s="8" t="inlineStr">
        <is>
          <t>-</t>
        </is>
      </c>
    </row>
    <row r="10475">
      <c r="A10475" s="6" t="inlineStr">
        <is>
          <t>h = L/n</t>
        </is>
      </c>
      <c r="B10475" s="20">
        <f>$B$10473/$B$10474</f>
        <v/>
      </c>
      <c r="C10475" s="8" t="inlineStr">
        <is>
          <t>m</t>
        </is>
      </c>
    </row>
    <row r="10476">
      <c r="A10476" s="6" t="inlineStr">
        <is>
          <t>a = 12EI/h^3</t>
        </is>
      </c>
      <c r="B10476" s="20">
        <f>12*$B$10472/$B$10475^3</f>
        <v/>
      </c>
    </row>
    <row r="10477">
      <c r="A10477" s="6" t="inlineStr">
        <is>
          <t>b = 6EI/h^2</t>
        </is>
      </c>
      <c r="B10477" s="20">
        <f>6*$B$10472/$B$10475^2</f>
        <v/>
      </c>
    </row>
    <row r="10478">
      <c r="A10478" s="6" t="inlineStr">
        <is>
          <t>c = 4EI/h</t>
        </is>
      </c>
      <c r="B10478" s="20">
        <f>4*$B$10472/$B$10475</f>
        <v/>
      </c>
    </row>
    <row r="10479">
      <c r="A10479" s="6" t="inlineStr">
        <is>
          <t>d = 2EI/h</t>
        </is>
      </c>
      <c r="B10479" s="20">
        <f>2*$B$10472/$B$10475</f>
        <v/>
      </c>
    </row>
    <row r="10480">
      <c r="A10480" s="6" t="inlineStr">
        <is>
          <t>Su</t>
        </is>
      </c>
      <c r="B10480" s="20">
        <f>'2-Geotech'!$D$15</f>
        <v/>
      </c>
      <c r="C10480" s="8" t="inlineStr">
        <is>
          <t>kPa</t>
        </is>
      </c>
    </row>
    <row r="10481">
      <c r="A10481" s="6" t="inlineStr">
        <is>
          <t>gamma</t>
        </is>
      </c>
      <c r="B10481" s="20">
        <f>'2-Geotech'!$D$20</f>
        <v/>
      </c>
      <c r="C10481" s="8" t="inlineStr">
        <is>
          <t>kN/m3</t>
        </is>
      </c>
    </row>
    <row r="10482">
      <c r="A10482" s="6" t="inlineStr">
        <is>
          <t>gamma_sub</t>
        </is>
      </c>
      <c r="B10482" s="20">
        <f>'2-Geotech'!$D$22</f>
        <v/>
      </c>
      <c r="C10482" s="8" t="inlineStr">
        <is>
          <t>kN/m3</t>
        </is>
      </c>
    </row>
    <row r="10483">
      <c r="A10483" s="6" t="inlineStr">
        <is>
          <t>GWT depth</t>
        </is>
      </c>
      <c r="B10483" s="20">
        <f>'2-Geotech'!$D$23</f>
        <v/>
      </c>
      <c r="C10483" s="8" t="inlineStr">
        <is>
          <t>m</t>
        </is>
      </c>
    </row>
    <row r="10484">
      <c r="A10484" s="6" t="inlineStr">
        <is>
          <t>eps50</t>
        </is>
      </c>
      <c r="B10484" s="20">
        <f>'2-Geotech'!$D$18</f>
        <v/>
      </c>
      <c r="C10484" s="8" t="inlineStr">
        <is>
          <t>-</t>
        </is>
      </c>
    </row>
    <row r="10485">
      <c r="A10485" s="6" t="inlineStr">
        <is>
          <t>frost depth</t>
        </is>
      </c>
      <c r="B10485" s="20">
        <f>'2-Geotech'!$D$24</f>
        <v/>
      </c>
      <c r="C10485" s="8" t="inlineStr">
        <is>
          <t>m</t>
        </is>
      </c>
    </row>
    <row r="10486">
      <c r="A10486" s="6" t="inlineStr">
        <is>
          <t>J (Matlock)</t>
        </is>
      </c>
      <c r="B10486" s="20" t="n">
        <v>0.5</v>
      </c>
      <c r="C10486" s="8" t="inlineStr">
        <is>
          <t>-</t>
        </is>
      </c>
    </row>
    <row r="10487">
      <c r="A10487" s="6" t="inlineStr">
        <is>
          <t>y50 = 2.5*eps50*D</t>
        </is>
      </c>
      <c r="B10487" s="20">
        <f>2.5*$B$10484*$B$10468</f>
        <v/>
      </c>
      <c r="C10487" s="8" t="inlineStr">
        <is>
          <t>m</t>
        </is>
      </c>
    </row>
    <row r="10488">
      <c r="A10488" s="6" t="inlineStr">
        <is>
          <t>n_generations (unrolled iterations)</t>
        </is>
      </c>
      <c r="B10488" s="20" t="n">
        <v>45</v>
      </c>
      <c r="C10488" s="8" t="inlineStr">
        <is>
          <t>-</t>
        </is>
      </c>
    </row>
    <row r="10490">
      <c r="D10490" s="18" t="inlineStr">
        <is>
          <t>i</t>
        </is>
      </c>
      <c r="E10490" s="18" t="inlineStr">
        <is>
          <t>z (m)</t>
        </is>
      </c>
      <c r="F10490" s="18" t="inlineStr">
        <is>
          <t>sigma_v (kPa)</t>
        </is>
      </c>
      <c r="G10490" s="18" t="inlineStr">
        <is>
          <t>Np</t>
        </is>
      </c>
      <c r="H10490" s="18" t="inlineStr">
        <is>
          <t>pu (kN/m)</t>
        </is>
      </c>
      <c r="I10490" s="18" t="inlineStr">
        <is>
          <t>trib (m)</t>
        </is>
      </c>
    </row>
    <row r="10491">
      <c r="D10491" t="n">
        <v>0</v>
      </c>
      <c r="E10491" s="19">
        <f>$D$10491*$B$10475</f>
        <v/>
      </c>
      <c r="F10491" s="19">
        <f>IF($E$10491&lt;=$B$10483,$B$10481*$E$10491,$B$10481*$B$10483+$B$10482*($E$10491-$B$10483))</f>
        <v/>
      </c>
      <c r="G10491" s="19">
        <f>MIN(3+$F$10491/$B$10480+$B$10486*$E$10491/$B$10468,9)</f>
        <v/>
      </c>
      <c r="H10491" s="19">
        <f>$G$10491*$B$10480*$B$10468</f>
        <v/>
      </c>
      <c r="I10491" s="19">
        <f>IF(OR($D$10491=0,$D$10491=$B$10474),$B$10475/2,$B$10475)</f>
        <v/>
      </c>
    </row>
    <row r="10492">
      <c r="D10492" t="n">
        <v>1</v>
      </c>
      <c r="E10492" s="19">
        <f>$D$10492*$B$10475</f>
        <v/>
      </c>
      <c r="F10492" s="19">
        <f>IF($E$10492&lt;=$B$10483,$B$10481*$E$10492,$B$10481*$B$10483+$B$10482*($E$10492-$B$10483))</f>
        <v/>
      </c>
      <c r="G10492" s="19">
        <f>MIN(3+$F$10492/$B$10480+$B$10486*$E$10492/$B$10468,9)</f>
        <v/>
      </c>
      <c r="H10492" s="19">
        <f>$G$10492*$B$10480*$B$10468</f>
        <v/>
      </c>
      <c r="I10492" s="19">
        <f>IF(OR($D$10492=0,$D$10492=$B$10474),$B$10475/2,$B$10475)</f>
        <v/>
      </c>
    </row>
    <row r="10493">
      <c r="D10493" t="n">
        <v>2</v>
      </c>
      <c r="E10493" s="19">
        <f>$D$10493*$B$10475</f>
        <v/>
      </c>
      <c r="F10493" s="19">
        <f>IF($E$10493&lt;=$B$10483,$B$10481*$E$10493,$B$10481*$B$10483+$B$10482*($E$10493-$B$10483))</f>
        <v/>
      </c>
      <c r="G10493" s="19">
        <f>MIN(3+$F$10493/$B$10480+$B$10486*$E$10493/$B$10468,9)</f>
        <v/>
      </c>
      <c r="H10493" s="19">
        <f>$G$10493*$B$10480*$B$10468</f>
        <v/>
      </c>
      <c r="I10493" s="19">
        <f>IF(OR($D$10493=0,$D$10493=$B$10474),$B$10475/2,$B$10475)</f>
        <v/>
      </c>
    </row>
    <row r="10494">
      <c r="D10494" t="n">
        <v>3</v>
      </c>
      <c r="E10494" s="19">
        <f>$D$10494*$B$10475</f>
        <v/>
      </c>
      <c r="F10494" s="19">
        <f>IF($E$10494&lt;=$B$10483,$B$10481*$E$10494,$B$10481*$B$10483+$B$10482*($E$10494-$B$10483))</f>
        <v/>
      </c>
      <c r="G10494" s="19">
        <f>MIN(3+$F$10494/$B$10480+$B$10486*$E$10494/$B$10468,9)</f>
        <v/>
      </c>
      <c r="H10494" s="19">
        <f>$G$10494*$B$10480*$B$10468</f>
        <v/>
      </c>
      <c r="I10494" s="19">
        <f>IF(OR($D$10494=0,$D$10494=$B$10474),$B$10475/2,$B$10475)</f>
        <v/>
      </c>
    </row>
    <row r="10495">
      <c r="D10495" t="n">
        <v>4</v>
      </c>
      <c r="E10495" s="19">
        <f>$D$10495*$B$10475</f>
        <v/>
      </c>
      <c r="F10495" s="19">
        <f>IF($E$10495&lt;=$B$10483,$B$10481*$E$10495,$B$10481*$B$10483+$B$10482*($E$10495-$B$10483))</f>
        <v/>
      </c>
      <c r="G10495" s="19">
        <f>MIN(3+$F$10495/$B$10480+$B$10486*$E$10495/$B$10468,9)</f>
        <v/>
      </c>
      <c r="H10495" s="19">
        <f>$G$10495*$B$10480*$B$10468</f>
        <v/>
      </c>
      <c r="I10495" s="19">
        <f>IF(OR($D$10495=0,$D$10495=$B$10474),$B$10475/2,$B$10475)</f>
        <v/>
      </c>
    </row>
    <row r="10496">
      <c r="D10496" t="n">
        <v>5</v>
      </c>
      <c r="E10496" s="19">
        <f>$D$10496*$B$10475</f>
        <v/>
      </c>
      <c r="F10496" s="19">
        <f>IF($E$10496&lt;=$B$10483,$B$10481*$E$10496,$B$10481*$B$10483+$B$10482*($E$10496-$B$10483))</f>
        <v/>
      </c>
      <c r="G10496" s="19">
        <f>MIN(3+$F$10496/$B$10480+$B$10486*$E$10496/$B$10468,9)</f>
        <v/>
      </c>
      <c r="H10496" s="19">
        <f>$G$10496*$B$10480*$B$10468</f>
        <v/>
      </c>
      <c r="I10496" s="19">
        <f>IF(OR($D$10496=0,$D$10496=$B$10474),$B$10475/2,$B$10475)</f>
        <v/>
      </c>
    </row>
    <row r="10497">
      <c r="D10497" t="n">
        <v>6</v>
      </c>
      <c r="E10497" s="19">
        <f>$D$10497*$B$10475</f>
        <v/>
      </c>
      <c r="F10497" s="19">
        <f>IF($E$10497&lt;=$B$10483,$B$10481*$E$10497,$B$10481*$B$10483+$B$10482*($E$10497-$B$10483))</f>
        <v/>
      </c>
      <c r="G10497" s="19">
        <f>MIN(3+$F$10497/$B$10480+$B$10486*$E$10497/$B$10468,9)</f>
        <v/>
      </c>
      <c r="H10497" s="19">
        <f>$G$10497*$B$10480*$B$10468</f>
        <v/>
      </c>
      <c r="I10497" s="19">
        <f>IF(OR($D$10497=0,$D$10497=$B$10474),$B$10475/2,$B$10475)</f>
        <v/>
      </c>
    </row>
    <row r="10498">
      <c r="D10498" t="n">
        <v>7</v>
      </c>
      <c r="E10498" s="19">
        <f>$D$10498*$B$10475</f>
        <v/>
      </c>
      <c r="F10498" s="19">
        <f>IF($E$10498&lt;=$B$10483,$B$10481*$E$10498,$B$10481*$B$10483+$B$10482*($E$10498-$B$10483))</f>
        <v/>
      </c>
      <c r="G10498" s="19">
        <f>MIN(3+$F$10498/$B$10480+$B$10486*$E$10498/$B$10468,9)</f>
        <v/>
      </c>
      <c r="H10498" s="19">
        <f>$G$10498*$B$10480*$B$10468</f>
        <v/>
      </c>
      <c r="I10498" s="19">
        <f>IF(OR($D$10498=0,$D$10498=$B$10474),$B$10475/2,$B$10475)</f>
        <v/>
      </c>
    </row>
    <row r="10499">
      <c r="D10499" t="n">
        <v>8</v>
      </c>
      <c r="E10499" s="19">
        <f>$D$10499*$B$10475</f>
        <v/>
      </c>
      <c r="F10499" s="19">
        <f>IF($E$10499&lt;=$B$10483,$B$10481*$E$10499,$B$10481*$B$10483+$B$10482*($E$10499-$B$10483))</f>
        <v/>
      </c>
      <c r="G10499" s="19">
        <f>MIN(3+$F$10499/$B$10480+$B$10486*$E$10499/$B$10468,9)</f>
        <v/>
      </c>
      <c r="H10499" s="19">
        <f>$G$10499*$B$10480*$B$10468</f>
        <v/>
      </c>
      <c r="I10499" s="19">
        <f>IF(OR($D$10499=0,$D$10499=$B$10474),$B$10475/2,$B$10475)</f>
        <v/>
      </c>
    </row>
    <row r="10500">
      <c r="D10500" t="n">
        <v>9</v>
      </c>
      <c r="E10500" s="19">
        <f>$D$10500*$B$10475</f>
        <v/>
      </c>
      <c r="F10500" s="19">
        <f>IF($E$10500&lt;=$B$10483,$B$10481*$E$10500,$B$10481*$B$10483+$B$10482*($E$10500-$B$10483))</f>
        <v/>
      </c>
      <c r="G10500" s="19">
        <f>MIN(3+$F$10500/$B$10480+$B$10486*$E$10500/$B$10468,9)</f>
        <v/>
      </c>
      <c r="H10500" s="19">
        <f>$G$10500*$B$10480*$B$10468</f>
        <v/>
      </c>
      <c r="I10500" s="19">
        <f>IF(OR($D$10500=0,$D$10500=$B$10474),$B$10475/2,$B$10475)</f>
        <v/>
      </c>
    </row>
    <row r="10501">
      <c r="D10501" t="n">
        <v>10</v>
      </c>
      <c r="E10501" s="19">
        <f>$D$10501*$B$10475</f>
        <v/>
      </c>
      <c r="F10501" s="19">
        <f>IF($E$10501&lt;=$B$10483,$B$10481*$E$10501,$B$10481*$B$10483+$B$10482*($E$10501-$B$10483))</f>
        <v/>
      </c>
      <c r="G10501" s="19">
        <f>MIN(3+$F$10501/$B$10480+$B$10486*$E$10501/$B$10468,9)</f>
        <v/>
      </c>
      <c r="H10501" s="19">
        <f>$G$10501*$B$10480*$B$10468</f>
        <v/>
      </c>
      <c r="I10501" s="19">
        <f>IF(OR($D$10501=0,$D$10501=$B$10474),$B$10475/2,$B$10475)</f>
        <v/>
      </c>
    </row>
    <row r="10503">
      <c r="D10503" s="21">
        <f>$B$10466</f>
        <v/>
      </c>
    </row>
    <row r="10504">
      <c r="D10504" s="21">
        <f>$B$10467</f>
        <v/>
      </c>
    </row>
    <row r="10505">
      <c r="D10505" s="21" t="n">
        <v>0</v>
      </c>
    </row>
    <row r="10506">
      <c r="D10506" s="21" t="n">
        <v>0</v>
      </c>
    </row>
    <row r="10507">
      <c r="D10507" s="21" t="n">
        <v>0</v>
      </c>
    </row>
    <row r="10508">
      <c r="D10508" s="21" t="n">
        <v>0</v>
      </c>
    </row>
    <row r="10509">
      <c r="D10509" s="21" t="n">
        <v>0</v>
      </c>
    </row>
    <row r="10510">
      <c r="D10510" s="21" t="n">
        <v>0</v>
      </c>
    </row>
    <row r="10511">
      <c r="D10511" s="21" t="n">
        <v>0</v>
      </c>
    </row>
    <row r="10512">
      <c r="D10512" s="21" t="n">
        <v>0</v>
      </c>
    </row>
    <row r="10513">
      <c r="D10513" s="21" t="n">
        <v>0</v>
      </c>
    </row>
    <row r="10514">
      <c r="D10514" s="21" t="n">
        <v>0</v>
      </c>
    </row>
    <row r="10515">
      <c r="D10515" s="21" t="n">
        <v>0</v>
      </c>
    </row>
    <row r="10516">
      <c r="D10516" s="21" t="n">
        <v>0</v>
      </c>
    </row>
    <row r="10517">
      <c r="D10517" s="21" t="n">
        <v>0</v>
      </c>
    </row>
    <row r="10518">
      <c r="D10518" s="21" t="n">
        <v>0</v>
      </c>
    </row>
    <row r="10519">
      <c r="D10519" s="21" t="n">
        <v>0</v>
      </c>
    </row>
    <row r="10520">
      <c r="D10520" s="21" t="n">
        <v>0</v>
      </c>
    </row>
    <row r="10521">
      <c r="D10521" s="21" t="n">
        <v>0</v>
      </c>
    </row>
    <row r="10522">
      <c r="D10522" s="21" t="n">
        <v>0</v>
      </c>
    </row>
    <row r="10523">
      <c r="D10523" s="21" t="n">
        <v>0</v>
      </c>
    </row>
    <row r="10524">
      <c r="D10524" s="21" t="n">
        <v>0</v>
      </c>
    </row>
    <row r="10526">
      <c r="A10526" s="8" t="inlineStr">
        <is>
          <t>y seed (gen 0)</t>
        </is>
      </c>
    </row>
    <row r="10527">
      <c r="E10527" s="19" t="n">
        <v>1e-05</v>
      </c>
    </row>
    <row r="10528">
      <c r="E10528" s="19" t="n">
        <v>1e-05</v>
      </c>
    </row>
    <row r="10529">
      <c r="E10529" s="19" t="n">
        <v>1e-05</v>
      </c>
    </row>
    <row r="10530">
      <c r="E10530" s="19" t="n">
        <v>1e-05</v>
      </c>
    </row>
    <row r="10531">
      <c r="E10531" s="19" t="n">
        <v>1e-05</v>
      </c>
    </row>
    <row r="10532">
      <c r="E10532" s="19" t="n">
        <v>1e-05</v>
      </c>
    </row>
    <row r="10533">
      <c r="E10533" s="19" t="n">
        <v>1e-05</v>
      </c>
    </row>
    <row r="10534">
      <c r="E10534" s="19" t="n">
        <v>1e-05</v>
      </c>
    </row>
    <row r="10535">
      <c r="E10535" s="19" t="n">
        <v>1e-05</v>
      </c>
    </row>
    <row r="10536">
      <c r="E10536" s="19" t="n">
        <v>1e-05</v>
      </c>
    </row>
    <row r="10537">
      <c r="E10537" s="19" t="n">
        <v>1e-05</v>
      </c>
    </row>
    <row r="10538">
      <c r="A10538" s="8" t="inlineStr">
        <is>
          <t>gen 1</t>
        </is>
      </c>
    </row>
    <row r="10539">
      <c r="D10539" s="19">
        <f>IF(ABS(IF(ABS($E$10527)&gt;0.000000001,$E$10527,0.000000001))=0,0,IF($E$10491&lt;=$B$10485,0,IF(ABS(IF(ABS($E$10527)&gt;0.000000001,$E$10527,0.000000001))&gt;=8*$B$10487,$H$10491,0.5*$H$10491*(ABS(IF(ABS($E$10527)&gt;0.000000001,$E$10527,0.000000001))/$B$10487)^(1/3)))/ABS(IF(ABS($E$10527)&gt;0.000000001,$E$10527,0.000000001))*$I$10491)</f>
        <v/>
      </c>
      <c r="E10539" s="19">
        <f>0.5*$E$10527+0.5*$Z$10551</f>
        <v/>
      </c>
      <c r="F10539" s="19">
        <f>$Z$10552</f>
        <v/>
      </c>
    </row>
    <row r="10540">
      <c r="D10540" s="19">
        <f>IF(ABS(IF(ABS($E$10528)&gt;0.000000001,$E$10528,0.000000001))=0,0,IF($E$10492&lt;=$B$10485,0,IF(ABS(IF(ABS($E$10528)&gt;0.000000001,$E$10528,0.000000001))&gt;=8*$B$10487,$H$10492,0.5*$H$10492*(ABS(IF(ABS($E$10528)&gt;0.000000001,$E$10528,0.000000001))/$B$10487)^(1/3)))/ABS(IF(ABS($E$10528)&gt;0.000000001,$E$10528,0.000000001))*$I$10492)</f>
        <v/>
      </c>
      <c r="E10540" s="19">
        <f>0.5*$E$10528+0.5*$Z$10553</f>
        <v/>
      </c>
      <c r="F10540" s="19">
        <f>$Z$10554</f>
        <v/>
      </c>
    </row>
    <row r="10541">
      <c r="D10541" s="19">
        <f>IF(ABS(IF(ABS($E$10529)&gt;0.000000001,$E$10529,0.000000001))=0,0,IF($E$10493&lt;=$B$10485,0,IF(ABS(IF(ABS($E$10529)&gt;0.000000001,$E$10529,0.000000001))&gt;=8*$B$10487,$H$10493,0.5*$H$10493*(ABS(IF(ABS($E$10529)&gt;0.000000001,$E$10529,0.000000001))/$B$10487)^(1/3)))/ABS(IF(ABS($E$10529)&gt;0.000000001,$E$10529,0.000000001))*$I$10493)</f>
        <v/>
      </c>
      <c r="E10541" s="19">
        <f>0.5*$E$10529+0.5*$Z$10555</f>
        <v/>
      </c>
      <c r="F10541" s="19">
        <f>$Z$10556</f>
        <v/>
      </c>
    </row>
    <row r="10542">
      <c r="D10542" s="19">
        <f>IF(ABS(IF(ABS($E$10530)&gt;0.000000001,$E$10530,0.000000001))=0,0,IF($E$10494&lt;=$B$10485,0,IF(ABS(IF(ABS($E$10530)&gt;0.000000001,$E$10530,0.000000001))&gt;=8*$B$10487,$H$10494,0.5*$H$10494*(ABS(IF(ABS($E$10530)&gt;0.000000001,$E$10530,0.000000001))/$B$10487)^(1/3)))/ABS(IF(ABS($E$10530)&gt;0.000000001,$E$10530,0.000000001))*$I$10494)</f>
        <v/>
      </c>
      <c r="E10542" s="19">
        <f>0.5*$E$10530+0.5*$Z$10557</f>
        <v/>
      </c>
      <c r="F10542" s="19">
        <f>$Z$10558</f>
        <v/>
      </c>
    </row>
    <row r="10543">
      <c r="D10543" s="19">
        <f>IF(ABS(IF(ABS($E$10531)&gt;0.000000001,$E$10531,0.000000001))=0,0,IF($E$10495&lt;=$B$10485,0,IF(ABS(IF(ABS($E$10531)&gt;0.000000001,$E$10531,0.000000001))&gt;=8*$B$10487,$H$10495,0.5*$H$10495*(ABS(IF(ABS($E$10531)&gt;0.000000001,$E$10531,0.000000001))/$B$10487)^(1/3)))/ABS(IF(ABS($E$10531)&gt;0.000000001,$E$10531,0.000000001))*$I$10495)</f>
        <v/>
      </c>
      <c r="E10543" s="19">
        <f>0.5*$E$10531+0.5*$Z$10559</f>
        <v/>
      </c>
      <c r="F10543" s="19">
        <f>$Z$10560</f>
        <v/>
      </c>
    </row>
    <row r="10544">
      <c r="D10544" s="19">
        <f>IF(ABS(IF(ABS($E$10532)&gt;0.000000001,$E$10532,0.000000001))=0,0,IF($E$10496&lt;=$B$10485,0,IF(ABS(IF(ABS($E$10532)&gt;0.000000001,$E$10532,0.000000001))&gt;=8*$B$10487,$H$10496,0.5*$H$10496*(ABS(IF(ABS($E$10532)&gt;0.000000001,$E$10532,0.000000001))/$B$10487)^(1/3)))/ABS(IF(ABS($E$10532)&gt;0.000000001,$E$10532,0.000000001))*$I$10496)</f>
        <v/>
      </c>
      <c r="E10544" s="19">
        <f>0.5*$E$10532+0.5*$Z$10561</f>
        <v/>
      </c>
      <c r="F10544" s="19">
        <f>$Z$10562</f>
        <v/>
      </c>
    </row>
    <row r="10545">
      <c r="D10545" s="19">
        <f>IF(ABS(IF(ABS($E$10533)&gt;0.000000001,$E$10533,0.000000001))=0,0,IF($E$10497&lt;=$B$10485,0,IF(ABS(IF(ABS($E$10533)&gt;0.000000001,$E$10533,0.000000001))&gt;=8*$B$10487,$H$10497,0.5*$H$10497*(ABS(IF(ABS($E$10533)&gt;0.000000001,$E$10533,0.000000001))/$B$10487)^(1/3)))/ABS(IF(ABS($E$10533)&gt;0.000000001,$E$10533,0.000000001))*$I$10497)</f>
        <v/>
      </c>
      <c r="E10545" s="19">
        <f>0.5*$E$10533+0.5*$Z$10563</f>
        <v/>
      </c>
      <c r="F10545" s="19">
        <f>$Z$10564</f>
        <v/>
      </c>
    </row>
    <row r="10546">
      <c r="D10546" s="19">
        <f>IF(ABS(IF(ABS($E$10534)&gt;0.000000001,$E$10534,0.000000001))=0,0,IF($E$10498&lt;=$B$10485,0,IF(ABS(IF(ABS($E$10534)&gt;0.000000001,$E$10534,0.000000001))&gt;=8*$B$10487,$H$10498,0.5*$H$10498*(ABS(IF(ABS($E$10534)&gt;0.000000001,$E$10534,0.000000001))/$B$10487)^(1/3)))/ABS(IF(ABS($E$10534)&gt;0.000000001,$E$10534,0.000000001))*$I$10498)</f>
        <v/>
      </c>
      <c r="E10546" s="19">
        <f>0.5*$E$10534+0.5*$Z$10565</f>
        <v/>
      </c>
      <c r="F10546" s="19">
        <f>$Z$10566</f>
        <v/>
      </c>
    </row>
    <row r="10547">
      <c r="D10547" s="19">
        <f>IF(ABS(IF(ABS($E$10535)&gt;0.000000001,$E$10535,0.000000001))=0,0,IF($E$10499&lt;=$B$10485,0,IF(ABS(IF(ABS($E$10535)&gt;0.000000001,$E$10535,0.000000001))&gt;=8*$B$10487,$H$10499,0.5*$H$10499*(ABS(IF(ABS($E$10535)&gt;0.000000001,$E$10535,0.000000001))/$B$10487)^(1/3)))/ABS(IF(ABS($E$10535)&gt;0.000000001,$E$10535,0.000000001))*$I$10499)</f>
        <v/>
      </c>
      <c r="E10547" s="19">
        <f>0.5*$E$10535+0.5*$Z$10567</f>
        <v/>
      </c>
      <c r="F10547" s="19">
        <f>$Z$10568</f>
        <v/>
      </c>
    </row>
    <row r="10548">
      <c r="D10548" s="19">
        <f>IF(ABS(IF(ABS($E$10536)&gt;0.000000001,$E$10536,0.000000001))=0,0,IF($E$10500&lt;=$B$10485,0,IF(ABS(IF(ABS($E$10536)&gt;0.000000001,$E$10536,0.000000001))&gt;=8*$B$10487,$H$10500,0.5*$H$10500*(ABS(IF(ABS($E$10536)&gt;0.000000001,$E$10536,0.000000001))/$B$10487)^(1/3)))/ABS(IF(ABS($E$10536)&gt;0.000000001,$E$10536,0.000000001))*$I$10500)</f>
        <v/>
      </c>
      <c r="E10548" s="19">
        <f>0.5*$E$10536+0.5*$Z$10569</f>
        <v/>
      </c>
      <c r="F10548" s="19">
        <f>$Z$10570</f>
        <v/>
      </c>
    </row>
    <row r="10549">
      <c r="D10549" s="19">
        <f>IF(ABS(IF(ABS($E$10537)&gt;0.000000001,$E$10537,0.000000001))=0,0,IF($E$10501&lt;=$B$10485,0,IF(ABS(IF(ABS($E$10537)&gt;0.000000001,$E$10537,0.000000001))&gt;=8*$B$10487,$H$10501,0.5*$H$10501*(ABS(IF(ABS($E$10537)&gt;0.000000001,$E$10537,0.000000001))/$B$10487)^(1/3)))/ABS(IF(ABS($E$10537)&gt;0.000000001,$E$10537,0.000000001))*$I$10501)</f>
        <v/>
      </c>
      <c r="E10549" s="19">
        <f>0.5*$E$10537+0.5*$Z$10571</f>
        <v/>
      </c>
      <c r="F10549" s="19">
        <f>$Z$10572</f>
        <v/>
      </c>
    </row>
    <row r="10551">
      <c r="D10551" s="21">
        <f>$B$10476+$D$10539</f>
        <v/>
      </c>
      <c r="E10551" s="21">
        <f>$B$10477</f>
        <v/>
      </c>
      <c r="F10551" s="21">
        <f>-$B$10476</f>
        <v/>
      </c>
      <c r="G10551" s="21">
        <f>$B$10477</f>
        <v/>
      </c>
      <c r="H10551" s="21" t="n">
        <v>0</v>
      </c>
      <c r="I10551" s="21" t="n">
        <v>0</v>
      </c>
      <c r="J10551" s="21" t="n">
        <v>0</v>
      </c>
      <c r="K10551" s="21" t="n">
        <v>0</v>
      </c>
      <c r="L10551" s="21" t="n">
        <v>0</v>
      </c>
      <c r="M10551" s="21" t="n">
        <v>0</v>
      </c>
      <c r="N10551" s="21" t="n">
        <v>0</v>
      </c>
      <c r="O10551" s="21" t="n">
        <v>0</v>
      </c>
      <c r="P10551" s="21" t="n">
        <v>0</v>
      </c>
      <c r="Q10551" s="21" t="n">
        <v>0</v>
      </c>
      <c r="R10551" s="21" t="n">
        <v>0</v>
      </c>
      <c r="S10551" s="21" t="n">
        <v>0</v>
      </c>
      <c r="T10551" s="21" t="n">
        <v>0</v>
      </c>
      <c r="U10551" s="21" t="n">
        <v>0</v>
      </c>
      <c r="V10551" s="21" t="n">
        <v>0</v>
      </c>
      <c r="W10551" s="21" t="n">
        <v>0</v>
      </c>
      <c r="X10551" s="21" t="n">
        <v>0</v>
      </c>
      <c r="Y10551" s="21" t="n">
        <v>0</v>
      </c>
      <c r="Z10551" s="19">
        <f t="array" ref="Z10551:Z10572">MMULT(MINVERSE($D$10551:$Y$10572),$D$10503:$D$10524)</f>
        <v/>
      </c>
    </row>
    <row r="10552">
      <c r="D10552" s="21">
        <f>$B$10477</f>
        <v/>
      </c>
      <c r="E10552" s="21">
        <f>$B$10478</f>
        <v/>
      </c>
      <c r="F10552" s="21">
        <f>-$B$10477</f>
        <v/>
      </c>
      <c r="G10552" s="21">
        <f>$B$10479</f>
        <v/>
      </c>
      <c r="H10552" s="21" t="n">
        <v>0</v>
      </c>
      <c r="I10552" s="21" t="n">
        <v>0</v>
      </c>
      <c r="J10552" s="21" t="n">
        <v>0</v>
      </c>
      <c r="K10552" s="21" t="n">
        <v>0</v>
      </c>
      <c r="L10552" s="21" t="n">
        <v>0</v>
      </c>
      <c r="M10552" s="21" t="n">
        <v>0</v>
      </c>
      <c r="N10552" s="21" t="n">
        <v>0</v>
      </c>
      <c r="O10552" s="21" t="n">
        <v>0</v>
      </c>
      <c r="P10552" s="21" t="n">
        <v>0</v>
      </c>
      <c r="Q10552" s="21" t="n">
        <v>0</v>
      </c>
      <c r="R10552" s="21" t="n">
        <v>0</v>
      </c>
      <c r="S10552" s="21" t="n">
        <v>0</v>
      </c>
      <c r="T10552" s="21" t="n">
        <v>0</v>
      </c>
      <c r="U10552" s="21" t="n">
        <v>0</v>
      </c>
      <c r="V10552" s="21" t="n">
        <v>0</v>
      </c>
      <c r="W10552" s="21" t="n">
        <v>0</v>
      </c>
      <c r="X10552" s="21" t="n">
        <v>0</v>
      </c>
      <c r="Y10552" s="21" t="n">
        <v>0</v>
      </c>
      <c r="Z10552" s="19" t="n"/>
    </row>
    <row r="10553">
      <c r="D10553" s="21">
        <f>-$B$10476</f>
        <v/>
      </c>
      <c r="E10553" s="21">
        <f>-$B$10477</f>
        <v/>
      </c>
      <c r="F10553" s="21">
        <f>2*$B$10476+$D$10540</f>
        <v/>
      </c>
      <c r="G10553" s="21">
        <f>0</f>
        <v/>
      </c>
      <c r="H10553" s="21">
        <f>-$B$10476</f>
        <v/>
      </c>
      <c r="I10553" s="21">
        <f>$B$10477</f>
        <v/>
      </c>
      <c r="J10553" s="21" t="n">
        <v>0</v>
      </c>
      <c r="K10553" s="21" t="n">
        <v>0</v>
      </c>
      <c r="L10553" s="21" t="n">
        <v>0</v>
      </c>
      <c r="M10553" s="21" t="n">
        <v>0</v>
      </c>
      <c r="N10553" s="21" t="n">
        <v>0</v>
      </c>
      <c r="O10553" s="21" t="n">
        <v>0</v>
      </c>
      <c r="P10553" s="21" t="n">
        <v>0</v>
      </c>
      <c r="Q10553" s="21" t="n">
        <v>0</v>
      </c>
      <c r="R10553" s="21" t="n">
        <v>0</v>
      </c>
      <c r="S10553" s="21" t="n">
        <v>0</v>
      </c>
      <c r="T10553" s="21" t="n">
        <v>0</v>
      </c>
      <c r="U10553" s="21" t="n">
        <v>0</v>
      </c>
      <c r="V10553" s="21" t="n">
        <v>0</v>
      </c>
      <c r="W10553" s="21" t="n">
        <v>0</v>
      </c>
      <c r="X10553" s="21" t="n">
        <v>0</v>
      </c>
      <c r="Y10553" s="21" t="n">
        <v>0</v>
      </c>
      <c r="Z10553" s="19" t="n"/>
    </row>
    <row r="10554">
      <c r="D10554" s="21">
        <f>$B$10477</f>
        <v/>
      </c>
      <c r="E10554" s="21">
        <f>$B$10479</f>
        <v/>
      </c>
      <c r="F10554" s="21">
        <f>0</f>
        <v/>
      </c>
      <c r="G10554" s="21">
        <f>2*$B$10478</f>
        <v/>
      </c>
      <c r="H10554" s="21">
        <f>-$B$10477</f>
        <v/>
      </c>
      <c r="I10554" s="21">
        <f>$B$10479</f>
        <v/>
      </c>
      <c r="J10554" s="21" t="n">
        <v>0</v>
      </c>
      <c r="K10554" s="21" t="n">
        <v>0</v>
      </c>
      <c r="L10554" s="21" t="n">
        <v>0</v>
      </c>
      <c r="M10554" s="21" t="n">
        <v>0</v>
      </c>
      <c r="N10554" s="21" t="n">
        <v>0</v>
      </c>
      <c r="O10554" s="21" t="n">
        <v>0</v>
      </c>
      <c r="P10554" s="21" t="n">
        <v>0</v>
      </c>
      <c r="Q10554" s="21" t="n">
        <v>0</v>
      </c>
      <c r="R10554" s="21" t="n">
        <v>0</v>
      </c>
      <c r="S10554" s="21" t="n">
        <v>0</v>
      </c>
      <c r="T10554" s="21" t="n">
        <v>0</v>
      </c>
      <c r="U10554" s="21" t="n">
        <v>0</v>
      </c>
      <c r="V10554" s="21" t="n">
        <v>0</v>
      </c>
      <c r="W10554" s="21" t="n">
        <v>0</v>
      </c>
      <c r="X10554" s="21" t="n">
        <v>0</v>
      </c>
      <c r="Y10554" s="21" t="n">
        <v>0</v>
      </c>
      <c r="Z10554" s="19" t="n"/>
    </row>
    <row r="10555">
      <c r="D10555" s="21" t="n">
        <v>0</v>
      </c>
      <c r="E10555" s="21" t="n">
        <v>0</v>
      </c>
      <c r="F10555" s="21">
        <f>-$B$10476</f>
        <v/>
      </c>
      <c r="G10555" s="21">
        <f>-$B$10477</f>
        <v/>
      </c>
      <c r="H10555" s="21">
        <f>2*$B$10476+$D$10541</f>
        <v/>
      </c>
      <c r="I10555" s="21">
        <f>0</f>
        <v/>
      </c>
      <c r="J10555" s="21">
        <f>-$B$10476</f>
        <v/>
      </c>
      <c r="K10555" s="21">
        <f>$B$10477</f>
        <v/>
      </c>
      <c r="L10555" s="21" t="n">
        <v>0</v>
      </c>
      <c r="M10555" s="21" t="n">
        <v>0</v>
      </c>
      <c r="N10555" s="21" t="n">
        <v>0</v>
      </c>
      <c r="O10555" s="21" t="n">
        <v>0</v>
      </c>
      <c r="P10555" s="21" t="n">
        <v>0</v>
      </c>
      <c r="Q10555" s="21" t="n">
        <v>0</v>
      </c>
      <c r="R10555" s="21" t="n">
        <v>0</v>
      </c>
      <c r="S10555" s="21" t="n">
        <v>0</v>
      </c>
      <c r="T10555" s="21" t="n">
        <v>0</v>
      </c>
      <c r="U10555" s="21" t="n">
        <v>0</v>
      </c>
      <c r="V10555" s="21" t="n">
        <v>0</v>
      </c>
      <c r="W10555" s="21" t="n">
        <v>0</v>
      </c>
      <c r="X10555" s="21" t="n">
        <v>0</v>
      </c>
      <c r="Y10555" s="21" t="n">
        <v>0</v>
      </c>
      <c r="Z10555" s="19" t="n"/>
    </row>
    <row r="10556">
      <c r="D10556" s="21" t="n">
        <v>0</v>
      </c>
      <c r="E10556" s="21" t="n">
        <v>0</v>
      </c>
      <c r="F10556" s="21">
        <f>$B$10477</f>
        <v/>
      </c>
      <c r="G10556" s="21">
        <f>$B$10479</f>
        <v/>
      </c>
      <c r="H10556" s="21">
        <f>0</f>
        <v/>
      </c>
      <c r="I10556" s="21">
        <f>2*$B$10478</f>
        <v/>
      </c>
      <c r="J10556" s="21">
        <f>-$B$10477</f>
        <v/>
      </c>
      <c r="K10556" s="21">
        <f>$B$10479</f>
        <v/>
      </c>
      <c r="L10556" s="21" t="n">
        <v>0</v>
      </c>
      <c r="M10556" s="21" t="n">
        <v>0</v>
      </c>
      <c r="N10556" s="21" t="n">
        <v>0</v>
      </c>
      <c r="O10556" s="21" t="n">
        <v>0</v>
      </c>
      <c r="P10556" s="21" t="n">
        <v>0</v>
      </c>
      <c r="Q10556" s="21" t="n">
        <v>0</v>
      </c>
      <c r="R10556" s="21" t="n">
        <v>0</v>
      </c>
      <c r="S10556" s="21" t="n">
        <v>0</v>
      </c>
      <c r="T10556" s="21" t="n">
        <v>0</v>
      </c>
      <c r="U10556" s="21" t="n">
        <v>0</v>
      </c>
      <c r="V10556" s="21" t="n">
        <v>0</v>
      </c>
      <c r="W10556" s="21" t="n">
        <v>0</v>
      </c>
      <c r="X10556" s="21" t="n">
        <v>0</v>
      </c>
      <c r="Y10556" s="21" t="n">
        <v>0</v>
      </c>
      <c r="Z10556" s="19" t="n"/>
    </row>
    <row r="10557">
      <c r="D10557" s="21" t="n">
        <v>0</v>
      </c>
      <c r="E10557" s="21" t="n">
        <v>0</v>
      </c>
      <c r="F10557" s="21" t="n">
        <v>0</v>
      </c>
      <c r="G10557" s="21" t="n">
        <v>0</v>
      </c>
      <c r="H10557" s="21">
        <f>-$B$10476</f>
        <v/>
      </c>
      <c r="I10557" s="21">
        <f>-$B$10477</f>
        <v/>
      </c>
      <c r="J10557" s="21">
        <f>2*$B$10476+$D$10542</f>
        <v/>
      </c>
      <c r="K10557" s="21">
        <f>0</f>
        <v/>
      </c>
      <c r="L10557" s="21">
        <f>-$B$10476</f>
        <v/>
      </c>
      <c r="M10557" s="21">
        <f>$B$10477</f>
        <v/>
      </c>
      <c r="N10557" s="21" t="n">
        <v>0</v>
      </c>
      <c r="O10557" s="21" t="n">
        <v>0</v>
      </c>
      <c r="P10557" s="21" t="n">
        <v>0</v>
      </c>
      <c r="Q10557" s="21" t="n">
        <v>0</v>
      </c>
      <c r="R10557" s="21" t="n">
        <v>0</v>
      </c>
      <c r="S10557" s="21" t="n">
        <v>0</v>
      </c>
      <c r="T10557" s="21" t="n">
        <v>0</v>
      </c>
      <c r="U10557" s="21" t="n">
        <v>0</v>
      </c>
      <c r="V10557" s="21" t="n">
        <v>0</v>
      </c>
      <c r="W10557" s="21" t="n">
        <v>0</v>
      </c>
      <c r="X10557" s="21" t="n">
        <v>0</v>
      </c>
      <c r="Y10557" s="21" t="n">
        <v>0</v>
      </c>
      <c r="Z10557" s="19" t="n"/>
    </row>
    <row r="10558">
      <c r="D10558" s="21" t="n">
        <v>0</v>
      </c>
      <c r="E10558" s="21" t="n">
        <v>0</v>
      </c>
      <c r="F10558" s="21" t="n">
        <v>0</v>
      </c>
      <c r="G10558" s="21" t="n">
        <v>0</v>
      </c>
      <c r="H10558" s="21">
        <f>$B$10477</f>
        <v/>
      </c>
      <c r="I10558" s="21">
        <f>$B$10479</f>
        <v/>
      </c>
      <c r="J10558" s="21">
        <f>0</f>
        <v/>
      </c>
      <c r="K10558" s="21">
        <f>2*$B$10478</f>
        <v/>
      </c>
      <c r="L10558" s="21">
        <f>-$B$10477</f>
        <v/>
      </c>
      <c r="M10558" s="21">
        <f>$B$10479</f>
        <v/>
      </c>
      <c r="N10558" s="21" t="n">
        <v>0</v>
      </c>
      <c r="O10558" s="21" t="n">
        <v>0</v>
      </c>
      <c r="P10558" s="21" t="n">
        <v>0</v>
      </c>
      <c r="Q10558" s="21" t="n">
        <v>0</v>
      </c>
      <c r="R10558" s="21" t="n">
        <v>0</v>
      </c>
      <c r="S10558" s="21" t="n">
        <v>0</v>
      </c>
      <c r="T10558" s="21" t="n">
        <v>0</v>
      </c>
      <c r="U10558" s="21" t="n">
        <v>0</v>
      </c>
      <c r="V10558" s="21" t="n">
        <v>0</v>
      </c>
      <c r="W10558" s="21" t="n">
        <v>0</v>
      </c>
      <c r="X10558" s="21" t="n">
        <v>0</v>
      </c>
      <c r="Y10558" s="21" t="n">
        <v>0</v>
      </c>
      <c r="Z10558" s="19" t="n"/>
    </row>
    <row r="10559">
      <c r="D10559" s="21" t="n">
        <v>0</v>
      </c>
      <c r="E10559" s="21" t="n">
        <v>0</v>
      </c>
      <c r="F10559" s="21" t="n">
        <v>0</v>
      </c>
      <c r="G10559" s="21" t="n">
        <v>0</v>
      </c>
      <c r="H10559" s="21" t="n">
        <v>0</v>
      </c>
      <c r="I10559" s="21" t="n">
        <v>0</v>
      </c>
      <c r="J10559" s="21">
        <f>-$B$10476</f>
        <v/>
      </c>
      <c r="K10559" s="21">
        <f>-$B$10477</f>
        <v/>
      </c>
      <c r="L10559" s="21">
        <f>2*$B$10476+$D$10543</f>
        <v/>
      </c>
      <c r="M10559" s="21">
        <f>0</f>
        <v/>
      </c>
      <c r="N10559" s="21">
        <f>-$B$10476</f>
        <v/>
      </c>
      <c r="O10559" s="21">
        <f>$B$10477</f>
        <v/>
      </c>
      <c r="P10559" s="21" t="n">
        <v>0</v>
      </c>
      <c r="Q10559" s="21" t="n">
        <v>0</v>
      </c>
      <c r="R10559" s="21" t="n">
        <v>0</v>
      </c>
      <c r="S10559" s="21" t="n">
        <v>0</v>
      </c>
      <c r="T10559" s="21" t="n">
        <v>0</v>
      </c>
      <c r="U10559" s="21" t="n">
        <v>0</v>
      </c>
      <c r="V10559" s="21" t="n">
        <v>0</v>
      </c>
      <c r="W10559" s="21" t="n">
        <v>0</v>
      </c>
      <c r="X10559" s="21" t="n">
        <v>0</v>
      </c>
      <c r="Y10559" s="21" t="n">
        <v>0</v>
      </c>
      <c r="Z10559" s="19" t="n"/>
    </row>
    <row r="10560">
      <c r="D10560" s="21" t="n">
        <v>0</v>
      </c>
      <c r="E10560" s="21" t="n">
        <v>0</v>
      </c>
      <c r="F10560" s="21" t="n">
        <v>0</v>
      </c>
      <c r="G10560" s="21" t="n">
        <v>0</v>
      </c>
      <c r="H10560" s="21" t="n">
        <v>0</v>
      </c>
      <c r="I10560" s="21" t="n">
        <v>0</v>
      </c>
      <c r="J10560" s="21">
        <f>$B$10477</f>
        <v/>
      </c>
      <c r="K10560" s="21">
        <f>$B$10479</f>
        <v/>
      </c>
      <c r="L10560" s="21">
        <f>0</f>
        <v/>
      </c>
      <c r="M10560" s="21">
        <f>2*$B$10478</f>
        <v/>
      </c>
      <c r="N10560" s="21">
        <f>-$B$10477</f>
        <v/>
      </c>
      <c r="O10560" s="21">
        <f>$B$10479</f>
        <v/>
      </c>
      <c r="P10560" s="21" t="n">
        <v>0</v>
      </c>
      <c r="Q10560" s="21" t="n">
        <v>0</v>
      </c>
      <c r="R10560" s="21" t="n">
        <v>0</v>
      </c>
      <c r="S10560" s="21" t="n">
        <v>0</v>
      </c>
      <c r="T10560" s="21" t="n">
        <v>0</v>
      </c>
      <c r="U10560" s="21" t="n">
        <v>0</v>
      </c>
      <c r="V10560" s="21" t="n">
        <v>0</v>
      </c>
      <c r="W10560" s="21" t="n">
        <v>0</v>
      </c>
      <c r="X10560" s="21" t="n">
        <v>0</v>
      </c>
      <c r="Y10560" s="21" t="n">
        <v>0</v>
      </c>
      <c r="Z10560" s="19" t="n"/>
    </row>
    <row r="10561">
      <c r="D10561" s="21" t="n">
        <v>0</v>
      </c>
      <c r="E10561" s="21" t="n">
        <v>0</v>
      </c>
      <c r="F10561" s="21" t="n">
        <v>0</v>
      </c>
      <c r="G10561" s="21" t="n">
        <v>0</v>
      </c>
      <c r="H10561" s="21" t="n">
        <v>0</v>
      </c>
      <c r="I10561" s="21" t="n">
        <v>0</v>
      </c>
      <c r="J10561" s="21" t="n">
        <v>0</v>
      </c>
      <c r="K10561" s="21" t="n">
        <v>0</v>
      </c>
      <c r="L10561" s="21">
        <f>-$B$10476</f>
        <v/>
      </c>
      <c r="M10561" s="21">
        <f>-$B$10477</f>
        <v/>
      </c>
      <c r="N10561" s="21">
        <f>2*$B$10476+$D$10544</f>
        <v/>
      </c>
      <c r="O10561" s="21">
        <f>0</f>
        <v/>
      </c>
      <c r="P10561" s="21">
        <f>-$B$10476</f>
        <v/>
      </c>
      <c r="Q10561" s="21">
        <f>$B$10477</f>
        <v/>
      </c>
      <c r="R10561" s="21" t="n">
        <v>0</v>
      </c>
      <c r="S10561" s="21" t="n">
        <v>0</v>
      </c>
      <c r="T10561" s="21" t="n">
        <v>0</v>
      </c>
      <c r="U10561" s="21" t="n">
        <v>0</v>
      </c>
      <c r="V10561" s="21" t="n">
        <v>0</v>
      </c>
      <c r="W10561" s="21" t="n">
        <v>0</v>
      </c>
      <c r="X10561" s="21" t="n">
        <v>0</v>
      </c>
      <c r="Y10561" s="21" t="n">
        <v>0</v>
      </c>
      <c r="Z10561" s="19" t="n"/>
    </row>
    <row r="10562">
      <c r="D10562" s="21" t="n">
        <v>0</v>
      </c>
      <c r="E10562" s="21" t="n">
        <v>0</v>
      </c>
      <c r="F10562" s="21" t="n">
        <v>0</v>
      </c>
      <c r="G10562" s="21" t="n">
        <v>0</v>
      </c>
      <c r="H10562" s="21" t="n">
        <v>0</v>
      </c>
      <c r="I10562" s="21" t="n">
        <v>0</v>
      </c>
      <c r="J10562" s="21" t="n">
        <v>0</v>
      </c>
      <c r="K10562" s="21" t="n">
        <v>0</v>
      </c>
      <c r="L10562" s="21">
        <f>$B$10477</f>
        <v/>
      </c>
      <c r="M10562" s="21">
        <f>$B$10479</f>
        <v/>
      </c>
      <c r="N10562" s="21">
        <f>0</f>
        <v/>
      </c>
      <c r="O10562" s="21">
        <f>2*$B$10478</f>
        <v/>
      </c>
      <c r="P10562" s="21">
        <f>-$B$10477</f>
        <v/>
      </c>
      <c r="Q10562" s="21">
        <f>$B$10479</f>
        <v/>
      </c>
      <c r="R10562" s="21" t="n">
        <v>0</v>
      </c>
      <c r="S10562" s="21" t="n">
        <v>0</v>
      </c>
      <c r="T10562" s="21" t="n">
        <v>0</v>
      </c>
      <c r="U10562" s="21" t="n">
        <v>0</v>
      </c>
      <c r="V10562" s="21" t="n">
        <v>0</v>
      </c>
      <c r="W10562" s="21" t="n">
        <v>0</v>
      </c>
      <c r="X10562" s="21" t="n">
        <v>0</v>
      </c>
      <c r="Y10562" s="21" t="n">
        <v>0</v>
      </c>
      <c r="Z10562" s="19" t="n"/>
    </row>
    <row r="10563">
      <c r="D10563" s="21" t="n">
        <v>0</v>
      </c>
      <c r="E10563" s="21" t="n">
        <v>0</v>
      </c>
      <c r="F10563" s="21" t="n">
        <v>0</v>
      </c>
      <c r="G10563" s="21" t="n">
        <v>0</v>
      </c>
      <c r="H10563" s="21" t="n">
        <v>0</v>
      </c>
      <c r="I10563" s="21" t="n">
        <v>0</v>
      </c>
      <c r="J10563" s="21" t="n">
        <v>0</v>
      </c>
      <c r="K10563" s="21" t="n">
        <v>0</v>
      </c>
      <c r="L10563" s="21" t="n">
        <v>0</v>
      </c>
      <c r="M10563" s="21" t="n">
        <v>0</v>
      </c>
      <c r="N10563" s="21">
        <f>-$B$10476</f>
        <v/>
      </c>
      <c r="O10563" s="21">
        <f>-$B$10477</f>
        <v/>
      </c>
      <c r="P10563" s="21">
        <f>2*$B$10476+$D$10545</f>
        <v/>
      </c>
      <c r="Q10563" s="21">
        <f>0</f>
        <v/>
      </c>
      <c r="R10563" s="21">
        <f>-$B$10476</f>
        <v/>
      </c>
      <c r="S10563" s="21">
        <f>$B$10477</f>
        <v/>
      </c>
      <c r="T10563" s="21" t="n">
        <v>0</v>
      </c>
      <c r="U10563" s="21" t="n">
        <v>0</v>
      </c>
      <c r="V10563" s="21" t="n">
        <v>0</v>
      </c>
      <c r="W10563" s="21" t="n">
        <v>0</v>
      </c>
      <c r="X10563" s="21" t="n">
        <v>0</v>
      </c>
      <c r="Y10563" s="21" t="n">
        <v>0</v>
      </c>
      <c r="Z10563" s="19" t="n"/>
    </row>
    <row r="10564">
      <c r="D10564" s="21" t="n">
        <v>0</v>
      </c>
      <c r="E10564" s="21" t="n">
        <v>0</v>
      </c>
      <c r="F10564" s="21" t="n">
        <v>0</v>
      </c>
      <c r="G10564" s="21" t="n">
        <v>0</v>
      </c>
      <c r="H10564" s="21" t="n">
        <v>0</v>
      </c>
      <c r="I10564" s="21" t="n">
        <v>0</v>
      </c>
      <c r="J10564" s="21" t="n">
        <v>0</v>
      </c>
      <c r="K10564" s="21" t="n">
        <v>0</v>
      </c>
      <c r="L10564" s="21" t="n">
        <v>0</v>
      </c>
      <c r="M10564" s="21" t="n">
        <v>0</v>
      </c>
      <c r="N10564" s="21">
        <f>$B$10477</f>
        <v/>
      </c>
      <c r="O10564" s="21">
        <f>$B$10479</f>
        <v/>
      </c>
      <c r="P10564" s="21">
        <f>0</f>
        <v/>
      </c>
      <c r="Q10564" s="21">
        <f>2*$B$10478</f>
        <v/>
      </c>
      <c r="R10564" s="21">
        <f>-$B$10477</f>
        <v/>
      </c>
      <c r="S10564" s="21">
        <f>$B$10479</f>
        <v/>
      </c>
      <c r="T10564" s="21" t="n">
        <v>0</v>
      </c>
      <c r="U10564" s="21" t="n">
        <v>0</v>
      </c>
      <c r="V10564" s="21" t="n">
        <v>0</v>
      </c>
      <c r="W10564" s="21" t="n">
        <v>0</v>
      </c>
      <c r="X10564" s="21" t="n">
        <v>0</v>
      </c>
      <c r="Y10564" s="21" t="n">
        <v>0</v>
      </c>
      <c r="Z10564" s="19" t="n"/>
    </row>
    <row r="10565">
      <c r="D10565" s="21" t="n">
        <v>0</v>
      </c>
      <c r="E10565" s="21" t="n">
        <v>0</v>
      </c>
      <c r="F10565" s="21" t="n">
        <v>0</v>
      </c>
      <c r="G10565" s="21" t="n">
        <v>0</v>
      </c>
      <c r="H10565" s="21" t="n">
        <v>0</v>
      </c>
      <c r="I10565" s="21" t="n">
        <v>0</v>
      </c>
      <c r="J10565" s="21" t="n">
        <v>0</v>
      </c>
      <c r="K10565" s="21" t="n">
        <v>0</v>
      </c>
      <c r="L10565" s="21" t="n">
        <v>0</v>
      </c>
      <c r="M10565" s="21" t="n">
        <v>0</v>
      </c>
      <c r="N10565" s="21" t="n">
        <v>0</v>
      </c>
      <c r="O10565" s="21" t="n">
        <v>0</v>
      </c>
      <c r="P10565" s="21">
        <f>-$B$10476</f>
        <v/>
      </c>
      <c r="Q10565" s="21">
        <f>-$B$10477</f>
        <v/>
      </c>
      <c r="R10565" s="21">
        <f>2*$B$10476+$D$10546</f>
        <v/>
      </c>
      <c r="S10565" s="21">
        <f>0</f>
        <v/>
      </c>
      <c r="T10565" s="21">
        <f>-$B$10476</f>
        <v/>
      </c>
      <c r="U10565" s="21">
        <f>$B$10477</f>
        <v/>
      </c>
      <c r="V10565" s="21" t="n">
        <v>0</v>
      </c>
      <c r="W10565" s="21" t="n">
        <v>0</v>
      </c>
      <c r="X10565" s="21" t="n">
        <v>0</v>
      </c>
      <c r="Y10565" s="21" t="n">
        <v>0</v>
      </c>
      <c r="Z10565" s="19" t="n"/>
    </row>
    <row r="10566">
      <c r="D10566" s="21" t="n">
        <v>0</v>
      </c>
      <c r="E10566" s="21" t="n">
        <v>0</v>
      </c>
      <c r="F10566" s="21" t="n">
        <v>0</v>
      </c>
      <c r="G10566" s="21" t="n">
        <v>0</v>
      </c>
      <c r="H10566" s="21" t="n">
        <v>0</v>
      </c>
      <c r="I10566" s="21" t="n">
        <v>0</v>
      </c>
      <c r="J10566" s="21" t="n">
        <v>0</v>
      </c>
      <c r="K10566" s="21" t="n">
        <v>0</v>
      </c>
      <c r="L10566" s="21" t="n">
        <v>0</v>
      </c>
      <c r="M10566" s="21" t="n">
        <v>0</v>
      </c>
      <c r="N10566" s="21" t="n">
        <v>0</v>
      </c>
      <c r="O10566" s="21" t="n">
        <v>0</v>
      </c>
      <c r="P10566" s="21">
        <f>$B$10477</f>
        <v/>
      </c>
      <c r="Q10566" s="21">
        <f>$B$10479</f>
        <v/>
      </c>
      <c r="R10566" s="21">
        <f>0</f>
        <v/>
      </c>
      <c r="S10566" s="21">
        <f>2*$B$10478</f>
        <v/>
      </c>
      <c r="T10566" s="21">
        <f>-$B$10477</f>
        <v/>
      </c>
      <c r="U10566" s="21">
        <f>$B$10479</f>
        <v/>
      </c>
      <c r="V10566" s="21" t="n">
        <v>0</v>
      </c>
      <c r="W10566" s="21" t="n">
        <v>0</v>
      </c>
      <c r="X10566" s="21" t="n">
        <v>0</v>
      </c>
      <c r="Y10566" s="21" t="n">
        <v>0</v>
      </c>
      <c r="Z10566" s="19" t="n"/>
    </row>
    <row r="10567">
      <c r="D10567" s="21" t="n">
        <v>0</v>
      </c>
      <c r="E10567" s="21" t="n">
        <v>0</v>
      </c>
      <c r="F10567" s="21" t="n">
        <v>0</v>
      </c>
      <c r="G10567" s="21" t="n">
        <v>0</v>
      </c>
      <c r="H10567" s="21" t="n">
        <v>0</v>
      </c>
      <c r="I10567" s="21" t="n">
        <v>0</v>
      </c>
      <c r="J10567" s="21" t="n">
        <v>0</v>
      </c>
      <c r="K10567" s="21" t="n">
        <v>0</v>
      </c>
      <c r="L10567" s="21" t="n">
        <v>0</v>
      </c>
      <c r="M10567" s="21" t="n">
        <v>0</v>
      </c>
      <c r="N10567" s="21" t="n">
        <v>0</v>
      </c>
      <c r="O10567" s="21" t="n">
        <v>0</v>
      </c>
      <c r="P10567" s="21" t="n">
        <v>0</v>
      </c>
      <c r="Q10567" s="21" t="n">
        <v>0</v>
      </c>
      <c r="R10567" s="21">
        <f>-$B$10476</f>
        <v/>
      </c>
      <c r="S10567" s="21">
        <f>-$B$10477</f>
        <v/>
      </c>
      <c r="T10567" s="21">
        <f>2*$B$10476+$D$10547</f>
        <v/>
      </c>
      <c r="U10567" s="21">
        <f>0</f>
        <v/>
      </c>
      <c r="V10567" s="21">
        <f>-$B$10476</f>
        <v/>
      </c>
      <c r="W10567" s="21">
        <f>$B$10477</f>
        <v/>
      </c>
      <c r="X10567" s="21" t="n">
        <v>0</v>
      </c>
      <c r="Y10567" s="21" t="n">
        <v>0</v>
      </c>
      <c r="Z10567" s="19" t="n"/>
    </row>
    <row r="10568">
      <c r="D10568" s="21" t="n">
        <v>0</v>
      </c>
      <c r="E10568" s="21" t="n">
        <v>0</v>
      </c>
      <c r="F10568" s="21" t="n">
        <v>0</v>
      </c>
      <c r="G10568" s="21" t="n">
        <v>0</v>
      </c>
      <c r="H10568" s="21" t="n">
        <v>0</v>
      </c>
      <c r="I10568" s="21" t="n">
        <v>0</v>
      </c>
      <c r="J10568" s="21" t="n">
        <v>0</v>
      </c>
      <c r="K10568" s="21" t="n">
        <v>0</v>
      </c>
      <c r="L10568" s="21" t="n">
        <v>0</v>
      </c>
      <c r="M10568" s="21" t="n">
        <v>0</v>
      </c>
      <c r="N10568" s="21" t="n">
        <v>0</v>
      </c>
      <c r="O10568" s="21" t="n">
        <v>0</v>
      </c>
      <c r="P10568" s="21" t="n">
        <v>0</v>
      </c>
      <c r="Q10568" s="21" t="n">
        <v>0</v>
      </c>
      <c r="R10568" s="21">
        <f>$B$10477</f>
        <v/>
      </c>
      <c r="S10568" s="21">
        <f>$B$10479</f>
        <v/>
      </c>
      <c r="T10568" s="21">
        <f>0</f>
        <v/>
      </c>
      <c r="U10568" s="21">
        <f>2*$B$10478</f>
        <v/>
      </c>
      <c r="V10568" s="21">
        <f>-$B$10477</f>
        <v/>
      </c>
      <c r="W10568" s="21">
        <f>$B$10479</f>
        <v/>
      </c>
      <c r="X10568" s="21" t="n">
        <v>0</v>
      </c>
      <c r="Y10568" s="21" t="n">
        <v>0</v>
      </c>
      <c r="Z10568" s="19" t="n"/>
    </row>
    <row r="10569">
      <c r="D10569" s="21" t="n">
        <v>0</v>
      </c>
      <c r="E10569" s="21" t="n">
        <v>0</v>
      </c>
      <c r="F10569" s="21" t="n">
        <v>0</v>
      </c>
      <c r="G10569" s="21" t="n">
        <v>0</v>
      </c>
      <c r="H10569" s="21" t="n">
        <v>0</v>
      </c>
      <c r="I10569" s="21" t="n">
        <v>0</v>
      </c>
      <c r="J10569" s="21" t="n">
        <v>0</v>
      </c>
      <c r="K10569" s="21" t="n">
        <v>0</v>
      </c>
      <c r="L10569" s="21" t="n">
        <v>0</v>
      </c>
      <c r="M10569" s="21" t="n">
        <v>0</v>
      </c>
      <c r="N10569" s="21" t="n">
        <v>0</v>
      </c>
      <c r="O10569" s="21" t="n">
        <v>0</v>
      </c>
      <c r="P10569" s="21" t="n">
        <v>0</v>
      </c>
      <c r="Q10569" s="21" t="n">
        <v>0</v>
      </c>
      <c r="R10569" s="21" t="n">
        <v>0</v>
      </c>
      <c r="S10569" s="21" t="n">
        <v>0</v>
      </c>
      <c r="T10569" s="21">
        <f>-$B$10476</f>
        <v/>
      </c>
      <c r="U10569" s="21">
        <f>-$B$10477</f>
        <v/>
      </c>
      <c r="V10569" s="21">
        <f>2*$B$10476+$D$10548</f>
        <v/>
      </c>
      <c r="W10569" s="21">
        <f>0</f>
        <v/>
      </c>
      <c r="X10569" s="21">
        <f>-$B$10476</f>
        <v/>
      </c>
      <c r="Y10569" s="21">
        <f>$B$10477</f>
        <v/>
      </c>
      <c r="Z10569" s="19" t="n"/>
    </row>
    <row r="10570">
      <c r="D10570" s="21" t="n">
        <v>0</v>
      </c>
      <c r="E10570" s="21" t="n">
        <v>0</v>
      </c>
      <c r="F10570" s="21" t="n">
        <v>0</v>
      </c>
      <c r="G10570" s="21" t="n">
        <v>0</v>
      </c>
      <c r="H10570" s="21" t="n">
        <v>0</v>
      </c>
      <c r="I10570" s="21" t="n">
        <v>0</v>
      </c>
      <c r="J10570" s="21" t="n">
        <v>0</v>
      </c>
      <c r="K10570" s="21" t="n">
        <v>0</v>
      </c>
      <c r="L10570" s="21" t="n">
        <v>0</v>
      </c>
      <c r="M10570" s="21" t="n">
        <v>0</v>
      </c>
      <c r="N10570" s="21" t="n">
        <v>0</v>
      </c>
      <c r="O10570" s="21" t="n">
        <v>0</v>
      </c>
      <c r="P10570" s="21" t="n">
        <v>0</v>
      </c>
      <c r="Q10570" s="21" t="n">
        <v>0</v>
      </c>
      <c r="R10570" s="21" t="n">
        <v>0</v>
      </c>
      <c r="S10570" s="21" t="n">
        <v>0</v>
      </c>
      <c r="T10570" s="21">
        <f>$B$10477</f>
        <v/>
      </c>
      <c r="U10570" s="21">
        <f>$B$10479</f>
        <v/>
      </c>
      <c r="V10570" s="21">
        <f>0</f>
        <v/>
      </c>
      <c r="W10570" s="21">
        <f>2*$B$10478</f>
        <v/>
      </c>
      <c r="X10570" s="21">
        <f>-$B$10477</f>
        <v/>
      </c>
      <c r="Y10570" s="21">
        <f>$B$10479</f>
        <v/>
      </c>
      <c r="Z10570" s="19" t="n"/>
    </row>
    <row r="10571">
      <c r="D10571" s="21" t="n">
        <v>0</v>
      </c>
      <c r="E10571" s="21" t="n">
        <v>0</v>
      </c>
      <c r="F10571" s="21" t="n">
        <v>0</v>
      </c>
      <c r="G10571" s="21" t="n">
        <v>0</v>
      </c>
      <c r="H10571" s="21" t="n">
        <v>0</v>
      </c>
      <c r="I10571" s="21" t="n">
        <v>0</v>
      </c>
      <c r="J10571" s="21" t="n">
        <v>0</v>
      </c>
      <c r="K10571" s="21" t="n">
        <v>0</v>
      </c>
      <c r="L10571" s="21" t="n">
        <v>0</v>
      </c>
      <c r="M10571" s="21" t="n">
        <v>0</v>
      </c>
      <c r="N10571" s="21" t="n">
        <v>0</v>
      </c>
      <c r="O10571" s="21" t="n">
        <v>0</v>
      </c>
      <c r="P10571" s="21" t="n">
        <v>0</v>
      </c>
      <c r="Q10571" s="21" t="n">
        <v>0</v>
      </c>
      <c r="R10571" s="21" t="n">
        <v>0</v>
      </c>
      <c r="S10571" s="21" t="n">
        <v>0</v>
      </c>
      <c r="T10571" s="21" t="n">
        <v>0</v>
      </c>
      <c r="U10571" s="21" t="n">
        <v>0</v>
      </c>
      <c r="V10571" s="21">
        <f>-$B$10476</f>
        <v/>
      </c>
      <c r="W10571" s="21">
        <f>-$B$10477</f>
        <v/>
      </c>
      <c r="X10571" s="21">
        <f>$B$10476+$D$10549</f>
        <v/>
      </c>
      <c r="Y10571" s="21">
        <f>-$B$10477</f>
        <v/>
      </c>
      <c r="Z10571" s="19" t="n"/>
    </row>
    <row r="10572">
      <c r="D10572" s="21" t="n">
        <v>0</v>
      </c>
      <c r="E10572" s="21" t="n">
        <v>0</v>
      </c>
      <c r="F10572" s="21" t="n">
        <v>0</v>
      </c>
      <c r="G10572" s="21" t="n">
        <v>0</v>
      </c>
      <c r="H10572" s="21" t="n">
        <v>0</v>
      </c>
      <c r="I10572" s="21" t="n">
        <v>0</v>
      </c>
      <c r="J10572" s="21" t="n">
        <v>0</v>
      </c>
      <c r="K10572" s="21" t="n">
        <v>0</v>
      </c>
      <c r="L10572" s="21" t="n">
        <v>0</v>
      </c>
      <c r="M10572" s="21" t="n">
        <v>0</v>
      </c>
      <c r="N10572" s="21" t="n">
        <v>0</v>
      </c>
      <c r="O10572" s="21" t="n">
        <v>0</v>
      </c>
      <c r="P10572" s="21" t="n">
        <v>0</v>
      </c>
      <c r="Q10572" s="21" t="n">
        <v>0</v>
      </c>
      <c r="R10572" s="21" t="n">
        <v>0</v>
      </c>
      <c r="S10572" s="21" t="n">
        <v>0</v>
      </c>
      <c r="T10572" s="21" t="n">
        <v>0</v>
      </c>
      <c r="U10572" s="21" t="n">
        <v>0</v>
      </c>
      <c r="V10572" s="21">
        <f>$B$10477</f>
        <v/>
      </c>
      <c r="W10572" s="21">
        <f>$B$10479</f>
        <v/>
      </c>
      <c r="X10572" s="21">
        <f>-$B$10477</f>
        <v/>
      </c>
      <c r="Y10572" s="21">
        <f>$B$10478</f>
        <v/>
      </c>
      <c r="Z10572" s="19" t="n"/>
    </row>
    <row r="10574">
      <c r="A10574" s="8" t="inlineStr">
        <is>
          <t>gen 2</t>
        </is>
      </c>
    </row>
    <row r="10575">
      <c r="D10575" s="19">
        <f>IF(ABS(IF(ABS($E$10539)&gt;0.000000001,$E$10539,0.000000001))=0,0,IF($E$10491&lt;=$B$10485,0,IF(ABS(IF(ABS($E$10539)&gt;0.000000001,$E$10539,0.000000001))&gt;=8*$B$10487,$H$10491,0.5*$H$10491*(ABS(IF(ABS($E$10539)&gt;0.000000001,$E$10539,0.000000001))/$B$10487)^(1/3)))/ABS(IF(ABS($E$10539)&gt;0.000000001,$E$10539,0.000000001))*$I$10491)</f>
        <v/>
      </c>
      <c r="E10575" s="19">
        <f>0.5*$E$10539+0.5*$Z$10587</f>
        <v/>
      </c>
      <c r="F10575" s="19">
        <f>$Z$10588</f>
        <v/>
      </c>
    </row>
    <row r="10576">
      <c r="D10576" s="19">
        <f>IF(ABS(IF(ABS($E$10540)&gt;0.000000001,$E$10540,0.000000001))=0,0,IF($E$10492&lt;=$B$10485,0,IF(ABS(IF(ABS($E$10540)&gt;0.000000001,$E$10540,0.000000001))&gt;=8*$B$10487,$H$10492,0.5*$H$10492*(ABS(IF(ABS($E$10540)&gt;0.000000001,$E$10540,0.000000001))/$B$10487)^(1/3)))/ABS(IF(ABS($E$10540)&gt;0.000000001,$E$10540,0.000000001))*$I$10492)</f>
        <v/>
      </c>
      <c r="E10576" s="19">
        <f>0.5*$E$10540+0.5*$Z$10589</f>
        <v/>
      </c>
      <c r="F10576" s="19">
        <f>$Z$10590</f>
        <v/>
      </c>
    </row>
    <row r="10577">
      <c r="D10577" s="19">
        <f>IF(ABS(IF(ABS($E$10541)&gt;0.000000001,$E$10541,0.000000001))=0,0,IF($E$10493&lt;=$B$10485,0,IF(ABS(IF(ABS($E$10541)&gt;0.000000001,$E$10541,0.000000001))&gt;=8*$B$10487,$H$10493,0.5*$H$10493*(ABS(IF(ABS($E$10541)&gt;0.000000001,$E$10541,0.000000001))/$B$10487)^(1/3)))/ABS(IF(ABS($E$10541)&gt;0.000000001,$E$10541,0.000000001))*$I$10493)</f>
        <v/>
      </c>
      <c r="E10577" s="19">
        <f>0.5*$E$10541+0.5*$Z$10591</f>
        <v/>
      </c>
      <c r="F10577" s="19">
        <f>$Z$10592</f>
        <v/>
      </c>
    </row>
    <row r="10578">
      <c r="D10578" s="19">
        <f>IF(ABS(IF(ABS($E$10542)&gt;0.000000001,$E$10542,0.000000001))=0,0,IF($E$10494&lt;=$B$10485,0,IF(ABS(IF(ABS($E$10542)&gt;0.000000001,$E$10542,0.000000001))&gt;=8*$B$10487,$H$10494,0.5*$H$10494*(ABS(IF(ABS($E$10542)&gt;0.000000001,$E$10542,0.000000001))/$B$10487)^(1/3)))/ABS(IF(ABS($E$10542)&gt;0.000000001,$E$10542,0.000000001))*$I$10494)</f>
        <v/>
      </c>
      <c r="E10578" s="19">
        <f>0.5*$E$10542+0.5*$Z$10593</f>
        <v/>
      </c>
      <c r="F10578" s="19">
        <f>$Z$10594</f>
        <v/>
      </c>
    </row>
    <row r="10579">
      <c r="D10579" s="19">
        <f>IF(ABS(IF(ABS($E$10543)&gt;0.000000001,$E$10543,0.000000001))=0,0,IF($E$10495&lt;=$B$10485,0,IF(ABS(IF(ABS($E$10543)&gt;0.000000001,$E$10543,0.000000001))&gt;=8*$B$10487,$H$10495,0.5*$H$10495*(ABS(IF(ABS($E$10543)&gt;0.000000001,$E$10543,0.000000001))/$B$10487)^(1/3)))/ABS(IF(ABS($E$10543)&gt;0.000000001,$E$10543,0.000000001))*$I$10495)</f>
        <v/>
      </c>
      <c r="E10579" s="19">
        <f>0.5*$E$10543+0.5*$Z$10595</f>
        <v/>
      </c>
      <c r="F10579" s="19">
        <f>$Z$10596</f>
        <v/>
      </c>
    </row>
    <row r="10580">
      <c r="D10580" s="19">
        <f>IF(ABS(IF(ABS($E$10544)&gt;0.000000001,$E$10544,0.000000001))=0,0,IF($E$10496&lt;=$B$10485,0,IF(ABS(IF(ABS($E$10544)&gt;0.000000001,$E$10544,0.000000001))&gt;=8*$B$10487,$H$10496,0.5*$H$10496*(ABS(IF(ABS($E$10544)&gt;0.000000001,$E$10544,0.000000001))/$B$10487)^(1/3)))/ABS(IF(ABS($E$10544)&gt;0.000000001,$E$10544,0.000000001))*$I$10496)</f>
        <v/>
      </c>
      <c r="E10580" s="19">
        <f>0.5*$E$10544+0.5*$Z$10597</f>
        <v/>
      </c>
      <c r="F10580" s="19">
        <f>$Z$10598</f>
        <v/>
      </c>
    </row>
    <row r="10581">
      <c r="D10581" s="19">
        <f>IF(ABS(IF(ABS($E$10545)&gt;0.000000001,$E$10545,0.000000001))=0,0,IF($E$10497&lt;=$B$10485,0,IF(ABS(IF(ABS($E$10545)&gt;0.000000001,$E$10545,0.000000001))&gt;=8*$B$10487,$H$10497,0.5*$H$10497*(ABS(IF(ABS($E$10545)&gt;0.000000001,$E$10545,0.000000001))/$B$10487)^(1/3)))/ABS(IF(ABS($E$10545)&gt;0.000000001,$E$10545,0.000000001))*$I$10497)</f>
        <v/>
      </c>
      <c r="E10581" s="19">
        <f>0.5*$E$10545+0.5*$Z$10599</f>
        <v/>
      </c>
      <c r="F10581" s="19">
        <f>$Z$10600</f>
        <v/>
      </c>
    </row>
    <row r="10582">
      <c r="D10582" s="19">
        <f>IF(ABS(IF(ABS($E$10546)&gt;0.000000001,$E$10546,0.000000001))=0,0,IF($E$10498&lt;=$B$10485,0,IF(ABS(IF(ABS($E$10546)&gt;0.000000001,$E$10546,0.000000001))&gt;=8*$B$10487,$H$10498,0.5*$H$10498*(ABS(IF(ABS($E$10546)&gt;0.000000001,$E$10546,0.000000001))/$B$10487)^(1/3)))/ABS(IF(ABS($E$10546)&gt;0.000000001,$E$10546,0.000000001))*$I$10498)</f>
        <v/>
      </c>
      <c r="E10582" s="19">
        <f>0.5*$E$10546+0.5*$Z$10601</f>
        <v/>
      </c>
      <c r="F10582" s="19">
        <f>$Z$10602</f>
        <v/>
      </c>
    </row>
    <row r="10583">
      <c r="D10583" s="19">
        <f>IF(ABS(IF(ABS($E$10547)&gt;0.000000001,$E$10547,0.000000001))=0,0,IF($E$10499&lt;=$B$10485,0,IF(ABS(IF(ABS($E$10547)&gt;0.000000001,$E$10547,0.000000001))&gt;=8*$B$10487,$H$10499,0.5*$H$10499*(ABS(IF(ABS($E$10547)&gt;0.000000001,$E$10547,0.000000001))/$B$10487)^(1/3)))/ABS(IF(ABS($E$10547)&gt;0.000000001,$E$10547,0.000000001))*$I$10499)</f>
        <v/>
      </c>
      <c r="E10583" s="19">
        <f>0.5*$E$10547+0.5*$Z$10603</f>
        <v/>
      </c>
      <c r="F10583" s="19">
        <f>$Z$10604</f>
        <v/>
      </c>
    </row>
    <row r="10584">
      <c r="D10584" s="19">
        <f>IF(ABS(IF(ABS($E$10548)&gt;0.000000001,$E$10548,0.000000001))=0,0,IF($E$10500&lt;=$B$10485,0,IF(ABS(IF(ABS($E$10548)&gt;0.000000001,$E$10548,0.000000001))&gt;=8*$B$10487,$H$10500,0.5*$H$10500*(ABS(IF(ABS($E$10548)&gt;0.000000001,$E$10548,0.000000001))/$B$10487)^(1/3)))/ABS(IF(ABS($E$10548)&gt;0.000000001,$E$10548,0.000000001))*$I$10500)</f>
        <v/>
      </c>
      <c r="E10584" s="19">
        <f>0.5*$E$10548+0.5*$Z$10605</f>
        <v/>
      </c>
      <c r="F10584" s="19">
        <f>$Z$10606</f>
        <v/>
      </c>
    </row>
    <row r="10585">
      <c r="D10585" s="19">
        <f>IF(ABS(IF(ABS($E$10549)&gt;0.000000001,$E$10549,0.000000001))=0,0,IF($E$10501&lt;=$B$10485,0,IF(ABS(IF(ABS($E$10549)&gt;0.000000001,$E$10549,0.000000001))&gt;=8*$B$10487,$H$10501,0.5*$H$10501*(ABS(IF(ABS($E$10549)&gt;0.000000001,$E$10549,0.000000001))/$B$10487)^(1/3)))/ABS(IF(ABS($E$10549)&gt;0.000000001,$E$10549,0.000000001))*$I$10501)</f>
        <v/>
      </c>
      <c r="E10585" s="19">
        <f>0.5*$E$10549+0.5*$Z$10607</f>
        <v/>
      </c>
      <c r="F10585" s="19">
        <f>$Z$10608</f>
        <v/>
      </c>
    </row>
    <row r="10587">
      <c r="D10587" s="21">
        <f>$B$10476+$D$10575</f>
        <v/>
      </c>
      <c r="E10587" s="21">
        <f>$B$10477</f>
        <v/>
      </c>
      <c r="F10587" s="21">
        <f>-$B$10476</f>
        <v/>
      </c>
      <c r="G10587" s="21">
        <f>$B$10477</f>
        <v/>
      </c>
      <c r="H10587" s="21" t="n">
        <v>0</v>
      </c>
      <c r="I10587" s="21" t="n">
        <v>0</v>
      </c>
      <c r="J10587" s="21" t="n">
        <v>0</v>
      </c>
      <c r="K10587" s="21" t="n">
        <v>0</v>
      </c>
      <c r="L10587" s="21" t="n">
        <v>0</v>
      </c>
      <c r="M10587" s="21" t="n">
        <v>0</v>
      </c>
      <c r="N10587" s="21" t="n">
        <v>0</v>
      </c>
      <c r="O10587" s="21" t="n">
        <v>0</v>
      </c>
      <c r="P10587" s="21" t="n">
        <v>0</v>
      </c>
      <c r="Q10587" s="21" t="n">
        <v>0</v>
      </c>
      <c r="R10587" s="21" t="n">
        <v>0</v>
      </c>
      <c r="S10587" s="21" t="n">
        <v>0</v>
      </c>
      <c r="T10587" s="21" t="n">
        <v>0</v>
      </c>
      <c r="U10587" s="21" t="n">
        <v>0</v>
      </c>
      <c r="V10587" s="21" t="n">
        <v>0</v>
      </c>
      <c r="W10587" s="21" t="n">
        <v>0</v>
      </c>
      <c r="X10587" s="21" t="n">
        <v>0</v>
      </c>
      <c r="Y10587" s="21" t="n">
        <v>0</v>
      </c>
      <c r="Z10587" s="19">
        <f t="array" ref="Z10587:Z10608">MMULT(MINVERSE($D$10587:$Y$10608),$D$10503:$D$10524)</f>
        <v/>
      </c>
    </row>
    <row r="10588">
      <c r="D10588" s="21">
        <f>$B$10477</f>
        <v/>
      </c>
      <c r="E10588" s="21">
        <f>$B$10478</f>
        <v/>
      </c>
      <c r="F10588" s="21">
        <f>-$B$10477</f>
        <v/>
      </c>
      <c r="G10588" s="21">
        <f>$B$10479</f>
        <v/>
      </c>
      <c r="H10588" s="21" t="n">
        <v>0</v>
      </c>
      <c r="I10588" s="21" t="n">
        <v>0</v>
      </c>
      <c r="J10588" s="21" t="n">
        <v>0</v>
      </c>
      <c r="K10588" s="21" t="n">
        <v>0</v>
      </c>
      <c r="L10588" s="21" t="n">
        <v>0</v>
      </c>
      <c r="M10588" s="21" t="n">
        <v>0</v>
      </c>
      <c r="N10588" s="21" t="n">
        <v>0</v>
      </c>
      <c r="O10588" s="21" t="n">
        <v>0</v>
      </c>
      <c r="P10588" s="21" t="n">
        <v>0</v>
      </c>
      <c r="Q10588" s="21" t="n">
        <v>0</v>
      </c>
      <c r="R10588" s="21" t="n">
        <v>0</v>
      </c>
      <c r="S10588" s="21" t="n">
        <v>0</v>
      </c>
      <c r="T10588" s="21" t="n">
        <v>0</v>
      </c>
      <c r="U10588" s="21" t="n">
        <v>0</v>
      </c>
      <c r="V10588" s="21" t="n">
        <v>0</v>
      </c>
      <c r="W10588" s="21" t="n">
        <v>0</v>
      </c>
      <c r="X10588" s="21" t="n">
        <v>0</v>
      </c>
      <c r="Y10588" s="21" t="n">
        <v>0</v>
      </c>
      <c r="Z10588" s="19" t="n"/>
    </row>
    <row r="10589">
      <c r="D10589" s="21">
        <f>-$B$10476</f>
        <v/>
      </c>
      <c r="E10589" s="21">
        <f>-$B$10477</f>
        <v/>
      </c>
      <c r="F10589" s="21">
        <f>2*$B$10476+$D$10576</f>
        <v/>
      </c>
      <c r="G10589" s="21">
        <f>0</f>
        <v/>
      </c>
      <c r="H10589" s="21">
        <f>-$B$10476</f>
        <v/>
      </c>
      <c r="I10589" s="21">
        <f>$B$10477</f>
        <v/>
      </c>
      <c r="J10589" s="21" t="n">
        <v>0</v>
      </c>
      <c r="K10589" s="21" t="n">
        <v>0</v>
      </c>
      <c r="L10589" s="21" t="n">
        <v>0</v>
      </c>
      <c r="M10589" s="21" t="n">
        <v>0</v>
      </c>
      <c r="N10589" s="21" t="n">
        <v>0</v>
      </c>
      <c r="O10589" s="21" t="n">
        <v>0</v>
      </c>
      <c r="P10589" s="21" t="n">
        <v>0</v>
      </c>
      <c r="Q10589" s="21" t="n">
        <v>0</v>
      </c>
      <c r="R10589" s="21" t="n">
        <v>0</v>
      </c>
      <c r="S10589" s="21" t="n">
        <v>0</v>
      </c>
      <c r="T10589" s="21" t="n">
        <v>0</v>
      </c>
      <c r="U10589" s="21" t="n">
        <v>0</v>
      </c>
      <c r="V10589" s="21" t="n">
        <v>0</v>
      </c>
      <c r="W10589" s="21" t="n">
        <v>0</v>
      </c>
      <c r="X10589" s="21" t="n">
        <v>0</v>
      </c>
      <c r="Y10589" s="21" t="n">
        <v>0</v>
      </c>
      <c r="Z10589" s="19" t="n"/>
    </row>
    <row r="10590">
      <c r="D10590" s="21">
        <f>$B$10477</f>
        <v/>
      </c>
      <c r="E10590" s="21">
        <f>$B$10479</f>
        <v/>
      </c>
      <c r="F10590" s="21">
        <f>0</f>
        <v/>
      </c>
      <c r="G10590" s="21">
        <f>2*$B$10478</f>
        <v/>
      </c>
      <c r="H10590" s="21">
        <f>-$B$10477</f>
        <v/>
      </c>
      <c r="I10590" s="21">
        <f>$B$10479</f>
        <v/>
      </c>
      <c r="J10590" s="21" t="n">
        <v>0</v>
      </c>
      <c r="K10590" s="21" t="n">
        <v>0</v>
      </c>
      <c r="L10590" s="21" t="n">
        <v>0</v>
      </c>
      <c r="M10590" s="21" t="n">
        <v>0</v>
      </c>
      <c r="N10590" s="21" t="n">
        <v>0</v>
      </c>
      <c r="O10590" s="21" t="n">
        <v>0</v>
      </c>
      <c r="P10590" s="21" t="n">
        <v>0</v>
      </c>
      <c r="Q10590" s="21" t="n">
        <v>0</v>
      </c>
      <c r="R10590" s="21" t="n">
        <v>0</v>
      </c>
      <c r="S10590" s="21" t="n">
        <v>0</v>
      </c>
      <c r="T10590" s="21" t="n">
        <v>0</v>
      </c>
      <c r="U10590" s="21" t="n">
        <v>0</v>
      </c>
      <c r="V10590" s="21" t="n">
        <v>0</v>
      </c>
      <c r="W10590" s="21" t="n">
        <v>0</v>
      </c>
      <c r="X10590" s="21" t="n">
        <v>0</v>
      </c>
      <c r="Y10590" s="21" t="n">
        <v>0</v>
      </c>
      <c r="Z10590" s="19" t="n"/>
    </row>
    <row r="10591">
      <c r="D10591" s="21" t="n">
        <v>0</v>
      </c>
      <c r="E10591" s="21" t="n">
        <v>0</v>
      </c>
      <c r="F10591" s="21">
        <f>-$B$10476</f>
        <v/>
      </c>
      <c r="G10591" s="21">
        <f>-$B$10477</f>
        <v/>
      </c>
      <c r="H10591" s="21">
        <f>2*$B$10476+$D$10577</f>
        <v/>
      </c>
      <c r="I10591" s="21">
        <f>0</f>
        <v/>
      </c>
      <c r="J10591" s="21">
        <f>-$B$10476</f>
        <v/>
      </c>
      <c r="K10591" s="21">
        <f>$B$10477</f>
        <v/>
      </c>
      <c r="L10591" s="21" t="n">
        <v>0</v>
      </c>
      <c r="M10591" s="21" t="n">
        <v>0</v>
      </c>
      <c r="N10591" s="21" t="n">
        <v>0</v>
      </c>
      <c r="O10591" s="21" t="n">
        <v>0</v>
      </c>
      <c r="P10591" s="21" t="n">
        <v>0</v>
      </c>
      <c r="Q10591" s="21" t="n">
        <v>0</v>
      </c>
      <c r="R10591" s="21" t="n">
        <v>0</v>
      </c>
      <c r="S10591" s="21" t="n">
        <v>0</v>
      </c>
      <c r="T10591" s="21" t="n">
        <v>0</v>
      </c>
      <c r="U10591" s="21" t="n">
        <v>0</v>
      </c>
      <c r="V10591" s="21" t="n">
        <v>0</v>
      </c>
      <c r="W10591" s="21" t="n">
        <v>0</v>
      </c>
      <c r="X10591" s="21" t="n">
        <v>0</v>
      </c>
      <c r="Y10591" s="21" t="n">
        <v>0</v>
      </c>
      <c r="Z10591" s="19" t="n"/>
    </row>
    <row r="10592">
      <c r="D10592" s="21" t="n">
        <v>0</v>
      </c>
      <c r="E10592" s="21" t="n">
        <v>0</v>
      </c>
      <c r="F10592" s="21">
        <f>$B$10477</f>
        <v/>
      </c>
      <c r="G10592" s="21">
        <f>$B$10479</f>
        <v/>
      </c>
      <c r="H10592" s="21">
        <f>0</f>
        <v/>
      </c>
      <c r="I10592" s="21">
        <f>2*$B$10478</f>
        <v/>
      </c>
      <c r="J10592" s="21">
        <f>-$B$10477</f>
        <v/>
      </c>
      <c r="K10592" s="21">
        <f>$B$10479</f>
        <v/>
      </c>
      <c r="L10592" s="21" t="n">
        <v>0</v>
      </c>
      <c r="M10592" s="21" t="n">
        <v>0</v>
      </c>
      <c r="N10592" s="21" t="n">
        <v>0</v>
      </c>
      <c r="O10592" s="21" t="n">
        <v>0</v>
      </c>
      <c r="P10592" s="21" t="n">
        <v>0</v>
      </c>
      <c r="Q10592" s="21" t="n">
        <v>0</v>
      </c>
      <c r="R10592" s="21" t="n">
        <v>0</v>
      </c>
      <c r="S10592" s="21" t="n">
        <v>0</v>
      </c>
      <c r="T10592" s="21" t="n">
        <v>0</v>
      </c>
      <c r="U10592" s="21" t="n">
        <v>0</v>
      </c>
      <c r="V10592" s="21" t="n">
        <v>0</v>
      </c>
      <c r="W10592" s="21" t="n">
        <v>0</v>
      </c>
      <c r="X10592" s="21" t="n">
        <v>0</v>
      </c>
      <c r="Y10592" s="21" t="n">
        <v>0</v>
      </c>
      <c r="Z10592" s="19" t="n"/>
    </row>
    <row r="10593">
      <c r="D10593" s="21" t="n">
        <v>0</v>
      </c>
      <c r="E10593" s="21" t="n">
        <v>0</v>
      </c>
      <c r="F10593" s="21" t="n">
        <v>0</v>
      </c>
      <c r="G10593" s="21" t="n">
        <v>0</v>
      </c>
      <c r="H10593" s="21">
        <f>-$B$10476</f>
        <v/>
      </c>
      <c r="I10593" s="21">
        <f>-$B$10477</f>
        <v/>
      </c>
      <c r="J10593" s="21">
        <f>2*$B$10476+$D$10578</f>
        <v/>
      </c>
      <c r="K10593" s="21">
        <f>0</f>
        <v/>
      </c>
      <c r="L10593" s="21">
        <f>-$B$10476</f>
        <v/>
      </c>
      <c r="M10593" s="21">
        <f>$B$10477</f>
        <v/>
      </c>
      <c r="N10593" s="21" t="n">
        <v>0</v>
      </c>
      <c r="O10593" s="21" t="n">
        <v>0</v>
      </c>
      <c r="P10593" s="21" t="n">
        <v>0</v>
      </c>
      <c r="Q10593" s="21" t="n">
        <v>0</v>
      </c>
      <c r="R10593" s="21" t="n">
        <v>0</v>
      </c>
      <c r="S10593" s="21" t="n">
        <v>0</v>
      </c>
      <c r="T10593" s="21" t="n">
        <v>0</v>
      </c>
      <c r="U10593" s="21" t="n">
        <v>0</v>
      </c>
      <c r="V10593" s="21" t="n">
        <v>0</v>
      </c>
      <c r="W10593" s="21" t="n">
        <v>0</v>
      </c>
      <c r="X10593" s="21" t="n">
        <v>0</v>
      </c>
      <c r="Y10593" s="21" t="n">
        <v>0</v>
      </c>
      <c r="Z10593" s="19" t="n"/>
    </row>
    <row r="10594">
      <c r="D10594" s="21" t="n">
        <v>0</v>
      </c>
      <c r="E10594" s="21" t="n">
        <v>0</v>
      </c>
      <c r="F10594" s="21" t="n">
        <v>0</v>
      </c>
      <c r="G10594" s="21" t="n">
        <v>0</v>
      </c>
      <c r="H10594" s="21">
        <f>$B$10477</f>
        <v/>
      </c>
      <c r="I10594" s="21">
        <f>$B$10479</f>
        <v/>
      </c>
      <c r="J10594" s="21">
        <f>0</f>
        <v/>
      </c>
      <c r="K10594" s="21">
        <f>2*$B$10478</f>
        <v/>
      </c>
      <c r="L10594" s="21">
        <f>-$B$10477</f>
        <v/>
      </c>
      <c r="M10594" s="21">
        <f>$B$10479</f>
        <v/>
      </c>
      <c r="N10594" s="21" t="n">
        <v>0</v>
      </c>
      <c r="O10594" s="21" t="n">
        <v>0</v>
      </c>
      <c r="P10594" s="21" t="n">
        <v>0</v>
      </c>
      <c r="Q10594" s="21" t="n">
        <v>0</v>
      </c>
      <c r="R10594" s="21" t="n">
        <v>0</v>
      </c>
      <c r="S10594" s="21" t="n">
        <v>0</v>
      </c>
      <c r="T10594" s="21" t="n">
        <v>0</v>
      </c>
      <c r="U10594" s="21" t="n">
        <v>0</v>
      </c>
      <c r="V10594" s="21" t="n">
        <v>0</v>
      </c>
      <c r="W10594" s="21" t="n">
        <v>0</v>
      </c>
      <c r="X10594" s="21" t="n">
        <v>0</v>
      </c>
      <c r="Y10594" s="21" t="n">
        <v>0</v>
      </c>
      <c r="Z10594" s="19" t="n"/>
    </row>
    <row r="10595">
      <c r="D10595" s="21" t="n">
        <v>0</v>
      </c>
      <c r="E10595" s="21" t="n">
        <v>0</v>
      </c>
      <c r="F10595" s="21" t="n">
        <v>0</v>
      </c>
      <c r="G10595" s="21" t="n">
        <v>0</v>
      </c>
      <c r="H10595" s="21" t="n">
        <v>0</v>
      </c>
      <c r="I10595" s="21" t="n">
        <v>0</v>
      </c>
      <c r="J10595" s="21">
        <f>-$B$10476</f>
        <v/>
      </c>
      <c r="K10595" s="21">
        <f>-$B$10477</f>
        <v/>
      </c>
      <c r="L10595" s="21">
        <f>2*$B$10476+$D$10579</f>
        <v/>
      </c>
      <c r="M10595" s="21">
        <f>0</f>
        <v/>
      </c>
      <c r="N10595" s="21">
        <f>-$B$10476</f>
        <v/>
      </c>
      <c r="O10595" s="21">
        <f>$B$10477</f>
        <v/>
      </c>
      <c r="P10595" s="21" t="n">
        <v>0</v>
      </c>
      <c r="Q10595" s="21" t="n">
        <v>0</v>
      </c>
      <c r="R10595" s="21" t="n">
        <v>0</v>
      </c>
      <c r="S10595" s="21" t="n">
        <v>0</v>
      </c>
      <c r="T10595" s="21" t="n">
        <v>0</v>
      </c>
      <c r="U10595" s="21" t="n">
        <v>0</v>
      </c>
      <c r="V10595" s="21" t="n">
        <v>0</v>
      </c>
      <c r="W10595" s="21" t="n">
        <v>0</v>
      </c>
      <c r="X10595" s="21" t="n">
        <v>0</v>
      </c>
      <c r="Y10595" s="21" t="n">
        <v>0</v>
      </c>
      <c r="Z10595" s="19" t="n"/>
    </row>
    <row r="10596">
      <c r="D10596" s="21" t="n">
        <v>0</v>
      </c>
      <c r="E10596" s="21" t="n">
        <v>0</v>
      </c>
      <c r="F10596" s="21" t="n">
        <v>0</v>
      </c>
      <c r="G10596" s="21" t="n">
        <v>0</v>
      </c>
      <c r="H10596" s="21" t="n">
        <v>0</v>
      </c>
      <c r="I10596" s="21" t="n">
        <v>0</v>
      </c>
      <c r="J10596" s="21">
        <f>$B$10477</f>
        <v/>
      </c>
      <c r="K10596" s="21">
        <f>$B$10479</f>
        <v/>
      </c>
      <c r="L10596" s="21">
        <f>0</f>
        <v/>
      </c>
      <c r="M10596" s="21">
        <f>2*$B$10478</f>
        <v/>
      </c>
      <c r="N10596" s="21">
        <f>-$B$10477</f>
        <v/>
      </c>
      <c r="O10596" s="21">
        <f>$B$10479</f>
        <v/>
      </c>
      <c r="P10596" s="21" t="n">
        <v>0</v>
      </c>
      <c r="Q10596" s="21" t="n">
        <v>0</v>
      </c>
      <c r="R10596" s="21" t="n">
        <v>0</v>
      </c>
      <c r="S10596" s="21" t="n">
        <v>0</v>
      </c>
      <c r="T10596" s="21" t="n">
        <v>0</v>
      </c>
      <c r="U10596" s="21" t="n">
        <v>0</v>
      </c>
      <c r="V10596" s="21" t="n">
        <v>0</v>
      </c>
      <c r="W10596" s="21" t="n">
        <v>0</v>
      </c>
      <c r="X10596" s="21" t="n">
        <v>0</v>
      </c>
      <c r="Y10596" s="21" t="n">
        <v>0</v>
      </c>
      <c r="Z10596" s="19" t="n"/>
    </row>
    <row r="10597">
      <c r="D10597" s="21" t="n">
        <v>0</v>
      </c>
      <c r="E10597" s="21" t="n">
        <v>0</v>
      </c>
      <c r="F10597" s="21" t="n">
        <v>0</v>
      </c>
      <c r="G10597" s="21" t="n">
        <v>0</v>
      </c>
      <c r="H10597" s="21" t="n">
        <v>0</v>
      </c>
      <c r="I10597" s="21" t="n">
        <v>0</v>
      </c>
      <c r="J10597" s="21" t="n">
        <v>0</v>
      </c>
      <c r="K10597" s="21" t="n">
        <v>0</v>
      </c>
      <c r="L10597" s="21">
        <f>-$B$10476</f>
        <v/>
      </c>
      <c r="M10597" s="21">
        <f>-$B$10477</f>
        <v/>
      </c>
      <c r="N10597" s="21">
        <f>2*$B$10476+$D$10580</f>
        <v/>
      </c>
      <c r="O10597" s="21">
        <f>0</f>
        <v/>
      </c>
      <c r="P10597" s="21">
        <f>-$B$10476</f>
        <v/>
      </c>
      <c r="Q10597" s="21">
        <f>$B$10477</f>
        <v/>
      </c>
      <c r="R10597" s="21" t="n">
        <v>0</v>
      </c>
      <c r="S10597" s="21" t="n">
        <v>0</v>
      </c>
      <c r="T10597" s="21" t="n">
        <v>0</v>
      </c>
      <c r="U10597" s="21" t="n">
        <v>0</v>
      </c>
      <c r="V10597" s="21" t="n">
        <v>0</v>
      </c>
      <c r="W10597" s="21" t="n">
        <v>0</v>
      </c>
      <c r="X10597" s="21" t="n">
        <v>0</v>
      </c>
      <c r="Y10597" s="21" t="n">
        <v>0</v>
      </c>
      <c r="Z10597" s="19" t="n"/>
    </row>
    <row r="10598">
      <c r="D10598" s="21" t="n">
        <v>0</v>
      </c>
      <c r="E10598" s="21" t="n">
        <v>0</v>
      </c>
      <c r="F10598" s="21" t="n">
        <v>0</v>
      </c>
      <c r="G10598" s="21" t="n">
        <v>0</v>
      </c>
      <c r="H10598" s="21" t="n">
        <v>0</v>
      </c>
      <c r="I10598" s="21" t="n">
        <v>0</v>
      </c>
      <c r="J10598" s="21" t="n">
        <v>0</v>
      </c>
      <c r="K10598" s="21" t="n">
        <v>0</v>
      </c>
      <c r="L10598" s="21">
        <f>$B$10477</f>
        <v/>
      </c>
      <c r="M10598" s="21">
        <f>$B$10479</f>
        <v/>
      </c>
      <c r="N10598" s="21">
        <f>0</f>
        <v/>
      </c>
      <c r="O10598" s="21">
        <f>2*$B$10478</f>
        <v/>
      </c>
      <c r="P10598" s="21">
        <f>-$B$10477</f>
        <v/>
      </c>
      <c r="Q10598" s="21">
        <f>$B$10479</f>
        <v/>
      </c>
      <c r="R10598" s="21" t="n">
        <v>0</v>
      </c>
      <c r="S10598" s="21" t="n">
        <v>0</v>
      </c>
      <c r="T10598" s="21" t="n">
        <v>0</v>
      </c>
      <c r="U10598" s="21" t="n">
        <v>0</v>
      </c>
      <c r="V10598" s="21" t="n">
        <v>0</v>
      </c>
      <c r="W10598" s="21" t="n">
        <v>0</v>
      </c>
      <c r="X10598" s="21" t="n">
        <v>0</v>
      </c>
      <c r="Y10598" s="21" t="n">
        <v>0</v>
      </c>
      <c r="Z10598" s="19" t="n"/>
    </row>
    <row r="10599">
      <c r="D10599" s="21" t="n">
        <v>0</v>
      </c>
      <c r="E10599" s="21" t="n">
        <v>0</v>
      </c>
      <c r="F10599" s="21" t="n">
        <v>0</v>
      </c>
      <c r="G10599" s="21" t="n">
        <v>0</v>
      </c>
      <c r="H10599" s="21" t="n">
        <v>0</v>
      </c>
      <c r="I10599" s="21" t="n">
        <v>0</v>
      </c>
      <c r="J10599" s="21" t="n">
        <v>0</v>
      </c>
      <c r="K10599" s="21" t="n">
        <v>0</v>
      </c>
      <c r="L10599" s="21" t="n">
        <v>0</v>
      </c>
      <c r="M10599" s="21" t="n">
        <v>0</v>
      </c>
      <c r="N10599" s="21">
        <f>-$B$10476</f>
        <v/>
      </c>
      <c r="O10599" s="21">
        <f>-$B$10477</f>
        <v/>
      </c>
      <c r="P10599" s="21">
        <f>2*$B$10476+$D$10581</f>
        <v/>
      </c>
      <c r="Q10599" s="21">
        <f>0</f>
        <v/>
      </c>
      <c r="R10599" s="21">
        <f>-$B$10476</f>
        <v/>
      </c>
      <c r="S10599" s="21">
        <f>$B$10477</f>
        <v/>
      </c>
      <c r="T10599" s="21" t="n">
        <v>0</v>
      </c>
      <c r="U10599" s="21" t="n">
        <v>0</v>
      </c>
      <c r="V10599" s="21" t="n">
        <v>0</v>
      </c>
      <c r="W10599" s="21" t="n">
        <v>0</v>
      </c>
      <c r="X10599" s="21" t="n">
        <v>0</v>
      </c>
      <c r="Y10599" s="21" t="n">
        <v>0</v>
      </c>
      <c r="Z10599" s="19" t="n"/>
    </row>
    <row r="10600">
      <c r="D10600" s="21" t="n">
        <v>0</v>
      </c>
      <c r="E10600" s="21" t="n">
        <v>0</v>
      </c>
      <c r="F10600" s="21" t="n">
        <v>0</v>
      </c>
      <c r="G10600" s="21" t="n">
        <v>0</v>
      </c>
      <c r="H10600" s="21" t="n">
        <v>0</v>
      </c>
      <c r="I10600" s="21" t="n">
        <v>0</v>
      </c>
      <c r="J10600" s="21" t="n">
        <v>0</v>
      </c>
      <c r="K10600" s="21" t="n">
        <v>0</v>
      </c>
      <c r="L10600" s="21" t="n">
        <v>0</v>
      </c>
      <c r="M10600" s="21" t="n">
        <v>0</v>
      </c>
      <c r="N10600" s="21">
        <f>$B$10477</f>
        <v/>
      </c>
      <c r="O10600" s="21">
        <f>$B$10479</f>
        <v/>
      </c>
      <c r="P10600" s="21">
        <f>0</f>
        <v/>
      </c>
      <c r="Q10600" s="21">
        <f>2*$B$10478</f>
        <v/>
      </c>
      <c r="R10600" s="21">
        <f>-$B$10477</f>
        <v/>
      </c>
      <c r="S10600" s="21">
        <f>$B$10479</f>
        <v/>
      </c>
      <c r="T10600" s="21" t="n">
        <v>0</v>
      </c>
      <c r="U10600" s="21" t="n">
        <v>0</v>
      </c>
      <c r="V10600" s="21" t="n">
        <v>0</v>
      </c>
      <c r="W10600" s="21" t="n">
        <v>0</v>
      </c>
      <c r="X10600" s="21" t="n">
        <v>0</v>
      </c>
      <c r="Y10600" s="21" t="n">
        <v>0</v>
      </c>
      <c r="Z10600" s="19" t="n"/>
    </row>
    <row r="10601">
      <c r="D10601" s="21" t="n">
        <v>0</v>
      </c>
      <c r="E10601" s="21" t="n">
        <v>0</v>
      </c>
      <c r="F10601" s="21" t="n">
        <v>0</v>
      </c>
      <c r="G10601" s="21" t="n">
        <v>0</v>
      </c>
      <c r="H10601" s="21" t="n">
        <v>0</v>
      </c>
      <c r="I10601" s="21" t="n">
        <v>0</v>
      </c>
      <c r="J10601" s="21" t="n">
        <v>0</v>
      </c>
      <c r="K10601" s="21" t="n">
        <v>0</v>
      </c>
      <c r="L10601" s="21" t="n">
        <v>0</v>
      </c>
      <c r="M10601" s="21" t="n">
        <v>0</v>
      </c>
      <c r="N10601" s="21" t="n">
        <v>0</v>
      </c>
      <c r="O10601" s="21" t="n">
        <v>0</v>
      </c>
      <c r="P10601" s="21">
        <f>-$B$10476</f>
        <v/>
      </c>
      <c r="Q10601" s="21">
        <f>-$B$10477</f>
        <v/>
      </c>
      <c r="R10601" s="21">
        <f>2*$B$10476+$D$10582</f>
        <v/>
      </c>
      <c r="S10601" s="21">
        <f>0</f>
        <v/>
      </c>
      <c r="T10601" s="21">
        <f>-$B$10476</f>
        <v/>
      </c>
      <c r="U10601" s="21">
        <f>$B$10477</f>
        <v/>
      </c>
      <c r="V10601" s="21" t="n">
        <v>0</v>
      </c>
      <c r="W10601" s="21" t="n">
        <v>0</v>
      </c>
      <c r="X10601" s="21" t="n">
        <v>0</v>
      </c>
      <c r="Y10601" s="21" t="n">
        <v>0</v>
      </c>
      <c r="Z10601" s="19" t="n"/>
    </row>
    <row r="10602">
      <c r="D10602" s="21" t="n">
        <v>0</v>
      </c>
      <c r="E10602" s="21" t="n">
        <v>0</v>
      </c>
      <c r="F10602" s="21" t="n">
        <v>0</v>
      </c>
      <c r="G10602" s="21" t="n">
        <v>0</v>
      </c>
      <c r="H10602" s="21" t="n">
        <v>0</v>
      </c>
      <c r="I10602" s="21" t="n">
        <v>0</v>
      </c>
      <c r="J10602" s="21" t="n">
        <v>0</v>
      </c>
      <c r="K10602" s="21" t="n">
        <v>0</v>
      </c>
      <c r="L10602" s="21" t="n">
        <v>0</v>
      </c>
      <c r="M10602" s="21" t="n">
        <v>0</v>
      </c>
      <c r="N10602" s="21" t="n">
        <v>0</v>
      </c>
      <c r="O10602" s="21" t="n">
        <v>0</v>
      </c>
      <c r="P10602" s="21">
        <f>$B$10477</f>
        <v/>
      </c>
      <c r="Q10602" s="21">
        <f>$B$10479</f>
        <v/>
      </c>
      <c r="R10602" s="21">
        <f>0</f>
        <v/>
      </c>
      <c r="S10602" s="21">
        <f>2*$B$10478</f>
        <v/>
      </c>
      <c r="T10602" s="21">
        <f>-$B$10477</f>
        <v/>
      </c>
      <c r="U10602" s="21">
        <f>$B$10479</f>
        <v/>
      </c>
      <c r="V10602" s="21" t="n">
        <v>0</v>
      </c>
      <c r="W10602" s="21" t="n">
        <v>0</v>
      </c>
      <c r="X10602" s="21" t="n">
        <v>0</v>
      </c>
      <c r="Y10602" s="21" t="n">
        <v>0</v>
      </c>
      <c r="Z10602" s="19" t="n"/>
    </row>
    <row r="10603">
      <c r="D10603" s="21" t="n">
        <v>0</v>
      </c>
      <c r="E10603" s="21" t="n">
        <v>0</v>
      </c>
      <c r="F10603" s="21" t="n">
        <v>0</v>
      </c>
      <c r="G10603" s="21" t="n">
        <v>0</v>
      </c>
      <c r="H10603" s="21" t="n">
        <v>0</v>
      </c>
      <c r="I10603" s="21" t="n">
        <v>0</v>
      </c>
      <c r="J10603" s="21" t="n">
        <v>0</v>
      </c>
      <c r="K10603" s="21" t="n">
        <v>0</v>
      </c>
      <c r="L10603" s="21" t="n">
        <v>0</v>
      </c>
      <c r="M10603" s="21" t="n">
        <v>0</v>
      </c>
      <c r="N10603" s="21" t="n">
        <v>0</v>
      </c>
      <c r="O10603" s="21" t="n">
        <v>0</v>
      </c>
      <c r="P10603" s="21" t="n">
        <v>0</v>
      </c>
      <c r="Q10603" s="21" t="n">
        <v>0</v>
      </c>
      <c r="R10603" s="21">
        <f>-$B$10476</f>
        <v/>
      </c>
      <c r="S10603" s="21">
        <f>-$B$10477</f>
        <v/>
      </c>
      <c r="T10603" s="21">
        <f>2*$B$10476+$D$10583</f>
        <v/>
      </c>
      <c r="U10603" s="21">
        <f>0</f>
        <v/>
      </c>
      <c r="V10603" s="21">
        <f>-$B$10476</f>
        <v/>
      </c>
      <c r="W10603" s="21">
        <f>$B$10477</f>
        <v/>
      </c>
      <c r="X10603" s="21" t="n">
        <v>0</v>
      </c>
      <c r="Y10603" s="21" t="n">
        <v>0</v>
      </c>
      <c r="Z10603" s="19" t="n"/>
    </row>
    <row r="10604">
      <c r="D10604" s="21" t="n">
        <v>0</v>
      </c>
      <c r="E10604" s="21" t="n">
        <v>0</v>
      </c>
      <c r="F10604" s="21" t="n">
        <v>0</v>
      </c>
      <c r="G10604" s="21" t="n">
        <v>0</v>
      </c>
      <c r="H10604" s="21" t="n">
        <v>0</v>
      </c>
      <c r="I10604" s="21" t="n">
        <v>0</v>
      </c>
      <c r="J10604" s="21" t="n">
        <v>0</v>
      </c>
      <c r="K10604" s="21" t="n">
        <v>0</v>
      </c>
      <c r="L10604" s="21" t="n">
        <v>0</v>
      </c>
      <c r="M10604" s="21" t="n">
        <v>0</v>
      </c>
      <c r="N10604" s="21" t="n">
        <v>0</v>
      </c>
      <c r="O10604" s="21" t="n">
        <v>0</v>
      </c>
      <c r="P10604" s="21" t="n">
        <v>0</v>
      </c>
      <c r="Q10604" s="21" t="n">
        <v>0</v>
      </c>
      <c r="R10604" s="21">
        <f>$B$10477</f>
        <v/>
      </c>
      <c r="S10604" s="21">
        <f>$B$10479</f>
        <v/>
      </c>
      <c r="T10604" s="21">
        <f>0</f>
        <v/>
      </c>
      <c r="U10604" s="21">
        <f>2*$B$10478</f>
        <v/>
      </c>
      <c r="V10604" s="21">
        <f>-$B$10477</f>
        <v/>
      </c>
      <c r="W10604" s="21">
        <f>$B$10479</f>
        <v/>
      </c>
      <c r="X10604" s="21" t="n">
        <v>0</v>
      </c>
      <c r="Y10604" s="21" t="n">
        <v>0</v>
      </c>
      <c r="Z10604" s="19" t="n"/>
    </row>
    <row r="10605">
      <c r="D10605" s="21" t="n">
        <v>0</v>
      </c>
      <c r="E10605" s="21" t="n">
        <v>0</v>
      </c>
      <c r="F10605" s="21" t="n">
        <v>0</v>
      </c>
      <c r="G10605" s="21" t="n">
        <v>0</v>
      </c>
      <c r="H10605" s="21" t="n">
        <v>0</v>
      </c>
      <c r="I10605" s="21" t="n">
        <v>0</v>
      </c>
      <c r="J10605" s="21" t="n">
        <v>0</v>
      </c>
      <c r="K10605" s="21" t="n">
        <v>0</v>
      </c>
      <c r="L10605" s="21" t="n">
        <v>0</v>
      </c>
      <c r="M10605" s="21" t="n">
        <v>0</v>
      </c>
      <c r="N10605" s="21" t="n">
        <v>0</v>
      </c>
      <c r="O10605" s="21" t="n">
        <v>0</v>
      </c>
      <c r="P10605" s="21" t="n">
        <v>0</v>
      </c>
      <c r="Q10605" s="21" t="n">
        <v>0</v>
      </c>
      <c r="R10605" s="21" t="n">
        <v>0</v>
      </c>
      <c r="S10605" s="21" t="n">
        <v>0</v>
      </c>
      <c r="T10605" s="21">
        <f>-$B$10476</f>
        <v/>
      </c>
      <c r="U10605" s="21">
        <f>-$B$10477</f>
        <v/>
      </c>
      <c r="V10605" s="21">
        <f>2*$B$10476+$D$10584</f>
        <v/>
      </c>
      <c r="W10605" s="21">
        <f>0</f>
        <v/>
      </c>
      <c r="X10605" s="21">
        <f>-$B$10476</f>
        <v/>
      </c>
      <c r="Y10605" s="21">
        <f>$B$10477</f>
        <v/>
      </c>
      <c r="Z10605" s="19" t="n"/>
    </row>
    <row r="10606">
      <c r="D10606" s="21" t="n">
        <v>0</v>
      </c>
      <c r="E10606" s="21" t="n">
        <v>0</v>
      </c>
      <c r="F10606" s="21" t="n">
        <v>0</v>
      </c>
      <c r="G10606" s="21" t="n">
        <v>0</v>
      </c>
      <c r="H10606" s="21" t="n">
        <v>0</v>
      </c>
      <c r="I10606" s="21" t="n">
        <v>0</v>
      </c>
      <c r="J10606" s="21" t="n">
        <v>0</v>
      </c>
      <c r="K10606" s="21" t="n">
        <v>0</v>
      </c>
      <c r="L10606" s="21" t="n">
        <v>0</v>
      </c>
      <c r="M10606" s="21" t="n">
        <v>0</v>
      </c>
      <c r="N10606" s="21" t="n">
        <v>0</v>
      </c>
      <c r="O10606" s="21" t="n">
        <v>0</v>
      </c>
      <c r="P10606" s="21" t="n">
        <v>0</v>
      </c>
      <c r="Q10606" s="21" t="n">
        <v>0</v>
      </c>
      <c r="R10606" s="21" t="n">
        <v>0</v>
      </c>
      <c r="S10606" s="21" t="n">
        <v>0</v>
      </c>
      <c r="T10606" s="21">
        <f>$B$10477</f>
        <v/>
      </c>
      <c r="U10606" s="21">
        <f>$B$10479</f>
        <v/>
      </c>
      <c r="V10606" s="21">
        <f>0</f>
        <v/>
      </c>
      <c r="W10606" s="21">
        <f>2*$B$10478</f>
        <v/>
      </c>
      <c r="X10606" s="21">
        <f>-$B$10477</f>
        <v/>
      </c>
      <c r="Y10606" s="21">
        <f>$B$10479</f>
        <v/>
      </c>
      <c r="Z10606" s="19" t="n"/>
    </row>
    <row r="10607">
      <c r="D10607" s="21" t="n">
        <v>0</v>
      </c>
      <c r="E10607" s="21" t="n">
        <v>0</v>
      </c>
      <c r="F10607" s="21" t="n">
        <v>0</v>
      </c>
      <c r="G10607" s="21" t="n">
        <v>0</v>
      </c>
      <c r="H10607" s="21" t="n">
        <v>0</v>
      </c>
      <c r="I10607" s="21" t="n">
        <v>0</v>
      </c>
      <c r="J10607" s="21" t="n">
        <v>0</v>
      </c>
      <c r="K10607" s="21" t="n">
        <v>0</v>
      </c>
      <c r="L10607" s="21" t="n">
        <v>0</v>
      </c>
      <c r="M10607" s="21" t="n">
        <v>0</v>
      </c>
      <c r="N10607" s="21" t="n">
        <v>0</v>
      </c>
      <c r="O10607" s="21" t="n">
        <v>0</v>
      </c>
      <c r="P10607" s="21" t="n">
        <v>0</v>
      </c>
      <c r="Q10607" s="21" t="n">
        <v>0</v>
      </c>
      <c r="R10607" s="21" t="n">
        <v>0</v>
      </c>
      <c r="S10607" s="21" t="n">
        <v>0</v>
      </c>
      <c r="T10607" s="21" t="n">
        <v>0</v>
      </c>
      <c r="U10607" s="21" t="n">
        <v>0</v>
      </c>
      <c r="V10607" s="21">
        <f>-$B$10476</f>
        <v/>
      </c>
      <c r="W10607" s="21">
        <f>-$B$10477</f>
        <v/>
      </c>
      <c r="X10607" s="21">
        <f>$B$10476+$D$10585</f>
        <v/>
      </c>
      <c r="Y10607" s="21">
        <f>-$B$10477</f>
        <v/>
      </c>
      <c r="Z10607" s="19" t="n"/>
    </row>
    <row r="10608">
      <c r="D10608" s="21" t="n">
        <v>0</v>
      </c>
      <c r="E10608" s="21" t="n">
        <v>0</v>
      </c>
      <c r="F10608" s="21" t="n">
        <v>0</v>
      </c>
      <c r="G10608" s="21" t="n">
        <v>0</v>
      </c>
      <c r="H10608" s="21" t="n">
        <v>0</v>
      </c>
      <c r="I10608" s="21" t="n">
        <v>0</v>
      </c>
      <c r="J10608" s="21" t="n">
        <v>0</v>
      </c>
      <c r="K10608" s="21" t="n">
        <v>0</v>
      </c>
      <c r="L10608" s="21" t="n">
        <v>0</v>
      </c>
      <c r="M10608" s="21" t="n">
        <v>0</v>
      </c>
      <c r="N10608" s="21" t="n">
        <v>0</v>
      </c>
      <c r="O10608" s="21" t="n">
        <v>0</v>
      </c>
      <c r="P10608" s="21" t="n">
        <v>0</v>
      </c>
      <c r="Q10608" s="21" t="n">
        <v>0</v>
      </c>
      <c r="R10608" s="21" t="n">
        <v>0</v>
      </c>
      <c r="S10608" s="21" t="n">
        <v>0</v>
      </c>
      <c r="T10608" s="21" t="n">
        <v>0</v>
      </c>
      <c r="U10608" s="21" t="n">
        <v>0</v>
      </c>
      <c r="V10608" s="21">
        <f>$B$10477</f>
        <v/>
      </c>
      <c r="W10608" s="21">
        <f>$B$10479</f>
        <v/>
      </c>
      <c r="X10608" s="21">
        <f>-$B$10477</f>
        <v/>
      </c>
      <c r="Y10608" s="21">
        <f>$B$10478</f>
        <v/>
      </c>
      <c r="Z10608" s="19" t="n"/>
    </row>
    <row r="10610">
      <c r="A10610" s="8" t="inlineStr">
        <is>
          <t>gen 3</t>
        </is>
      </c>
    </row>
    <row r="10611">
      <c r="D10611" s="19">
        <f>IF(ABS(IF(ABS($E$10575)&gt;0.000000001,$E$10575,0.000000001))=0,0,IF($E$10491&lt;=$B$10485,0,IF(ABS(IF(ABS($E$10575)&gt;0.000000001,$E$10575,0.000000001))&gt;=8*$B$10487,$H$10491,0.5*$H$10491*(ABS(IF(ABS($E$10575)&gt;0.000000001,$E$10575,0.000000001))/$B$10487)^(1/3)))/ABS(IF(ABS($E$10575)&gt;0.000000001,$E$10575,0.000000001))*$I$10491)</f>
        <v/>
      </c>
      <c r="E10611" s="19">
        <f>0.5*$E$10575+0.5*$Z$10623</f>
        <v/>
      </c>
      <c r="F10611" s="19">
        <f>$Z$10624</f>
        <v/>
      </c>
    </row>
    <row r="10612">
      <c r="D10612" s="19">
        <f>IF(ABS(IF(ABS($E$10576)&gt;0.000000001,$E$10576,0.000000001))=0,0,IF($E$10492&lt;=$B$10485,0,IF(ABS(IF(ABS($E$10576)&gt;0.000000001,$E$10576,0.000000001))&gt;=8*$B$10487,$H$10492,0.5*$H$10492*(ABS(IF(ABS($E$10576)&gt;0.000000001,$E$10576,0.000000001))/$B$10487)^(1/3)))/ABS(IF(ABS($E$10576)&gt;0.000000001,$E$10576,0.000000001))*$I$10492)</f>
        <v/>
      </c>
      <c r="E10612" s="19">
        <f>0.5*$E$10576+0.5*$Z$10625</f>
        <v/>
      </c>
      <c r="F10612" s="19">
        <f>$Z$10626</f>
        <v/>
      </c>
    </row>
    <row r="10613">
      <c r="D10613" s="19">
        <f>IF(ABS(IF(ABS($E$10577)&gt;0.000000001,$E$10577,0.000000001))=0,0,IF($E$10493&lt;=$B$10485,0,IF(ABS(IF(ABS($E$10577)&gt;0.000000001,$E$10577,0.000000001))&gt;=8*$B$10487,$H$10493,0.5*$H$10493*(ABS(IF(ABS($E$10577)&gt;0.000000001,$E$10577,0.000000001))/$B$10487)^(1/3)))/ABS(IF(ABS($E$10577)&gt;0.000000001,$E$10577,0.000000001))*$I$10493)</f>
        <v/>
      </c>
      <c r="E10613" s="19">
        <f>0.5*$E$10577+0.5*$Z$10627</f>
        <v/>
      </c>
      <c r="F10613" s="19">
        <f>$Z$10628</f>
        <v/>
      </c>
    </row>
    <row r="10614">
      <c r="D10614" s="19">
        <f>IF(ABS(IF(ABS($E$10578)&gt;0.000000001,$E$10578,0.000000001))=0,0,IF($E$10494&lt;=$B$10485,0,IF(ABS(IF(ABS($E$10578)&gt;0.000000001,$E$10578,0.000000001))&gt;=8*$B$10487,$H$10494,0.5*$H$10494*(ABS(IF(ABS($E$10578)&gt;0.000000001,$E$10578,0.000000001))/$B$10487)^(1/3)))/ABS(IF(ABS($E$10578)&gt;0.000000001,$E$10578,0.000000001))*$I$10494)</f>
        <v/>
      </c>
      <c r="E10614" s="19">
        <f>0.5*$E$10578+0.5*$Z$10629</f>
        <v/>
      </c>
      <c r="F10614" s="19">
        <f>$Z$10630</f>
        <v/>
      </c>
    </row>
    <row r="10615">
      <c r="D10615" s="19">
        <f>IF(ABS(IF(ABS($E$10579)&gt;0.000000001,$E$10579,0.000000001))=0,0,IF($E$10495&lt;=$B$10485,0,IF(ABS(IF(ABS($E$10579)&gt;0.000000001,$E$10579,0.000000001))&gt;=8*$B$10487,$H$10495,0.5*$H$10495*(ABS(IF(ABS($E$10579)&gt;0.000000001,$E$10579,0.000000001))/$B$10487)^(1/3)))/ABS(IF(ABS($E$10579)&gt;0.000000001,$E$10579,0.000000001))*$I$10495)</f>
        <v/>
      </c>
      <c r="E10615" s="19">
        <f>0.5*$E$10579+0.5*$Z$10631</f>
        <v/>
      </c>
      <c r="F10615" s="19">
        <f>$Z$10632</f>
        <v/>
      </c>
    </row>
    <row r="10616">
      <c r="D10616" s="19">
        <f>IF(ABS(IF(ABS($E$10580)&gt;0.000000001,$E$10580,0.000000001))=0,0,IF($E$10496&lt;=$B$10485,0,IF(ABS(IF(ABS($E$10580)&gt;0.000000001,$E$10580,0.000000001))&gt;=8*$B$10487,$H$10496,0.5*$H$10496*(ABS(IF(ABS($E$10580)&gt;0.000000001,$E$10580,0.000000001))/$B$10487)^(1/3)))/ABS(IF(ABS($E$10580)&gt;0.000000001,$E$10580,0.000000001))*$I$10496)</f>
        <v/>
      </c>
      <c r="E10616" s="19">
        <f>0.5*$E$10580+0.5*$Z$10633</f>
        <v/>
      </c>
      <c r="F10616" s="19">
        <f>$Z$10634</f>
        <v/>
      </c>
    </row>
    <row r="10617">
      <c r="D10617" s="19">
        <f>IF(ABS(IF(ABS($E$10581)&gt;0.000000001,$E$10581,0.000000001))=0,0,IF($E$10497&lt;=$B$10485,0,IF(ABS(IF(ABS($E$10581)&gt;0.000000001,$E$10581,0.000000001))&gt;=8*$B$10487,$H$10497,0.5*$H$10497*(ABS(IF(ABS($E$10581)&gt;0.000000001,$E$10581,0.000000001))/$B$10487)^(1/3)))/ABS(IF(ABS($E$10581)&gt;0.000000001,$E$10581,0.000000001))*$I$10497)</f>
        <v/>
      </c>
      <c r="E10617" s="19">
        <f>0.5*$E$10581+0.5*$Z$10635</f>
        <v/>
      </c>
      <c r="F10617" s="19">
        <f>$Z$10636</f>
        <v/>
      </c>
    </row>
    <row r="10618">
      <c r="D10618" s="19">
        <f>IF(ABS(IF(ABS($E$10582)&gt;0.000000001,$E$10582,0.000000001))=0,0,IF($E$10498&lt;=$B$10485,0,IF(ABS(IF(ABS($E$10582)&gt;0.000000001,$E$10582,0.000000001))&gt;=8*$B$10487,$H$10498,0.5*$H$10498*(ABS(IF(ABS($E$10582)&gt;0.000000001,$E$10582,0.000000001))/$B$10487)^(1/3)))/ABS(IF(ABS($E$10582)&gt;0.000000001,$E$10582,0.000000001))*$I$10498)</f>
        <v/>
      </c>
      <c r="E10618" s="19">
        <f>0.5*$E$10582+0.5*$Z$10637</f>
        <v/>
      </c>
      <c r="F10618" s="19">
        <f>$Z$10638</f>
        <v/>
      </c>
    </row>
    <row r="10619">
      <c r="D10619" s="19">
        <f>IF(ABS(IF(ABS($E$10583)&gt;0.000000001,$E$10583,0.000000001))=0,0,IF($E$10499&lt;=$B$10485,0,IF(ABS(IF(ABS($E$10583)&gt;0.000000001,$E$10583,0.000000001))&gt;=8*$B$10487,$H$10499,0.5*$H$10499*(ABS(IF(ABS($E$10583)&gt;0.000000001,$E$10583,0.000000001))/$B$10487)^(1/3)))/ABS(IF(ABS($E$10583)&gt;0.000000001,$E$10583,0.000000001))*$I$10499)</f>
        <v/>
      </c>
      <c r="E10619" s="19">
        <f>0.5*$E$10583+0.5*$Z$10639</f>
        <v/>
      </c>
      <c r="F10619" s="19">
        <f>$Z$10640</f>
        <v/>
      </c>
    </row>
    <row r="10620">
      <c r="D10620" s="19">
        <f>IF(ABS(IF(ABS($E$10584)&gt;0.000000001,$E$10584,0.000000001))=0,0,IF($E$10500&lt;=$B$10485,0,IF(ABS(IF(ABS($E$10584)&gt;0.000000001,$E$10584,0.000000001))&gt;=8*$B$10487,$H$10500,0.5*$H$10500*(ABS(IF(ABS($E$10584)&gt;0.000000001,$E$10584,0.000000001))/$B$10487)^(1/3)))/ABS(IF(ABS($E$10584)&gt;0.000000001,$E$10584,0.000000001))*$I$10500)</f>
        <v/>
      </c>
      <c r="E10620" s="19">
        <f>0.5*$E$10584+0.5*$Z$10641</f>
        <v/>
      </c>
      <c r="F10620" s="19">
        <f>$Z$10642</f>
        <v/>
      </c>
    </row>
    <row r="10621">
      <c r="D10621" s="19">
        <f>IF(ABS(IF(ABS($E$10585)&gt;0.000000001,$E$10585,0.000000001))=0,0,IF($E$10501&lt;=$B$10485,0,IF(ABS(IF(ABS($E$10585)&gt;0.000000001,$E$10585,0.000000001))&gt;=8*$B$10487,$H$10501,0.5*$H$10501*(ABS(IF(ABS($E$10585)&gt;0.000000001,$E$10585,0.000000001))/$B$10487)^(1/3)))/ABS(IF(ABS($E$10585)&gt;0.000000001,$E$10585,0.000000001))*$I$10501)</f>
        <v/>
      </c>
      <c r="E10621" s="19">
        <f>0.5*$E$10585+0.5*$Z$10643</f>
        <v/>
      </c>
      <c r="F10621" s="19">
        <f>$Z$10644</f>
        <v/>
      </c>
    </row>
    <row r="10623">
      <c r="D10623" s="21">
        <f>$B$10476+$D$10611</f>
        <v/>
      </c>
      <c r="E10623" s="21">
        <f>$B$10477</f>
        <v/>
      </c>
      <c r="F10623" s="21">
        <f>-$B$10476</f>
        <v/>
      </c>
      <c r="G10623" s="21">
        <f>$B$10477</f>
        <v/>
      </c>
      <c r="H10623" s="21" t="n">
        <v>0</v>
      </c>
      <c r="I10623" s="21" t="n">
        <v>0</v>
      </c>
      <c r="J10623" s="21" t="n">
        <v>0</v>
      </c>
      <c r="K10623" s="21" t="n">
        <v>0</v>
      </c>
      <c r="L10623" s="21" t="n">
        <v>0</v>
      </c>
      <c r="M10623" s="21" t="n">
        <v>0</v>
      </c>
      <c r="N10623" s="21" t="n">
        <v>0</v>
      </c>
      <c r="O10623" s="21" t="n">
        <v>0</v>
      </c>
      <c r="P10623" s="21" t="n">
        <v>0</v>
      </c>
      <c r="Q10623" s="21" t="n">
        <v>0</v>
      </c>
      <c r="R10623" s="21" t="n">
        <v>0</v>
      </c>
      <c r="S10623" s="21" t="n">
        <v>0</v>
      </c>
      <c r="T10623" s="21" t="n">
        <v>0</v>
      </c>
      <c r="U10623" s="21" t="n">
        <v>0</v>
      </c>
      <c r="V10623" s="21" t="n">
        <v>0</v>
      </c>
      <c r="W10623" s="21" t="n">
        <v>0</v>
      </c>
      <c r="X10623" s="21" t="n">
        <v>0</v>
      </c>
      <c r="Y10623" s="21" t="n">
        <v>0</v>
      </c>
      <c r="Z10623" s="19">
        <f t="array" ref="Z10623:Z10644">MMULT(MINVERSE($D$10623:$Y$10644),$D$10503:$D$10524)</f>
        <v/>
      </c>
    </row>
    <row r="10624">
      <c r="D10624" s="21">
        <f>$B$10477</f>
        <v/>
      </c>
      <c r="E10624" s="21">
        <f>$B$10478</f>
        <v/>
      </c>
      <c r="F10624" s="21">
        <f>-$B$10477</f>
        <v/>
      </c>
      <c r="G10624" s="21">
        <f>$B$10479</f>
        <v/>
      </c>
      <c r="H10624" s="21" t="n">
        <v>0</v>
      </c>
      <c r="I10624" s="21" t="n">
        <v>0</v>
      </c>
      <c r="J10624" s="21" t="n">
        <v>0</v>
      </c>
      <c r="K10624" s="21" t="n">
        <v>0</v>
      </c>
      <c r="L10624" s="21" t="n">
        <v>0</v>
      </c>
      <c r="M10624" s="21" t="n">
        <v>0</v>
      </c>
      <c r="N10624" s="21" t="n">
        <v>0</v>
      </c>
      <c r="O10624" s="21" t="n">
        <v>0</v>
      </c>
      <c r="P10624" s="21" t="n">
        <v>0</v>
      </c>
      <c r="Q10624" s="21" t="n">
        <v>0</v>
      </c>
      <c r="R10624" s="21" t="n">
        <v>0</v>
      </c>
      <c r="S10624" s="21" t="n">
        <v>0</v>
      </c>
      <c r="T10624" s="21" t="n">
        <v>0</v>
      </c>
      <c r="U10624" s="21" t="n">
        <v>0</v>
      </c>
      <c r="V10624" s="21" t="n">
        <v>0</v>
      </c>
      <c r="W10624" s="21" t="n">
        <v>0</v>
      </c>
      <c r="X10624" s="21" t="n">
        <v>0</v>
      </c>
      <c r="Y10624" s="21" t="n">
        <v>0</v>
      </c>
      <c r="Z10624" s="19" t="n"/>
    </row>
    <row r="10625">
      <c r="D10625" s="21">
        <f>-$B$10476</f>
        <v/>
      </c>
      <c r="E10625" s="21">
        <f>-$B$10477</f>
        <v/>
      </c>
      <c r="F10625" s="21">
        <f>2*$B$10476+$D$10612</f>
        <v/>
      </c>
      <c r="G10625" s="21">
        <f>0</f>
        <v/>
      </c>
      <c r="H10625" s="21">
        <f>-$B$10476</f>
        <v/>
      </c>
      <c r="I10625" s="21">
        <f>$B$10477</f>
        <v/>
      </c>
      <c r="J10625" s="21" t="n">
        <v>0</v>
      </c>
      <c r="K10625" s="21" t="n">
        <v>0</v>
      </c>
      <c r="L10625" s="21" t="n">
        <v>0</v>
      </c>
      <c r="M10625" s="21" t="n">
        <v>0</v>
      </c>
      <c r="N10625" s="21" t="n">
        <v>0</v>
      </c>
      <c r="O10625" s="21" t="n">
        <v>0</v>
      </c>
      <c r="P10625" s="21" t="n">
        <v>0</v>
      </c>
      <c r="Q10625" s="21" t="n">
        <v>0</v>
      </c>
      <c r="R10625" s="21" t="n">
        <v>0</v>
      </c>
      <c r="S10625" s="21" t="n">
        <v>0</v>
      </c>
      <c r="T10625" s="21" t="n">
        <v>0</v>
      </c>
      <c r="U10625" s="21" t="n">
        <v>0</v>
      </c>
      <c r="V10625" s="21" t="n">
        <v>0</v>
      </c>
      <c r="W10625" s="21" t="n">
        <v>0</v>
      </c>
      <c r="X10625" s="21" t="n">
        <v>0</v>
      </c>
      <c r="Y10625" s="21" t="n">
        <v>0</v>
      </c>
      <c r="Z10625" s="19" t="n"/>
    </row>
    <row r="10626">
      <c r="D10626" s="21">
        <f>$B$10477</f>
        <v/>
      </c>
      <c r="E10626" s="21">
        <f>$B$10479</f>
        <v/>
      </c>
      <c r="F10626" s="21">
        <f>0</f>
        <v/>
      </c>
      <c r="G10626" s="21">
        <f>2*$B$10478</f>
        <v/>
      </c>
      <c r="H10626" s="21">
        <f>-$B$10477</f>
        <v/>
      </c>
      <c r="I10626" s="21">
        <f>$B$10479</f>
        <v/>
      </c>
      <c r="J10626" s="21" t="n">
        <v>0</v>
      </c>
      <c r="K10626" s="21" t="n">
        <v>0</v>
      </c>
      <c r="L10626" s="21" t="n">
        <v>0</v>
      </c>
      <c r="M10626" s="21" t="n">
        <v>0</v>
      </c>
      <c r="N10626" s="21" t="n">
        <v>0</v>
      </c>
      <c r="O10626" s="21" t="n">
        <v>0</v>
      </c>
      <c r="P10626" s="21" t="n">
        <v>0</v>
      </c>
      <c r="Q10626" s="21" t="n">
        <v>0</v>
      </c>
      <c r="R10626" s="21" t="n">
        <v>0</v>
      </c>
      <c r="S10626" s="21" t="n">
        <v>0</v>
      </c>
      <c r="T10626" s="21" t="n">
        <v>0</v>
      </c>
      <c r="U10626" s="21" t="n">
        <v>0</v>
      </c>
      <c r="V10626" s="21" t="n">
        <v>0</v>
      </c>
      <c r="W10626" s="21" t="n">
        <v>0</v>
      </c>
      <c r="X10626" s="21" t="n">
        <v>0</v>
      </c>
      <c r="Y10626" s="21" t="n">
        <v>0</v>
      </c>
      <c r="Z10626" s="19" t="n"/>
    </row>
    <row r="10627">
      <c r="D10627" s="21" t="n">
        <v>0</v>
      </c>
      <c r="E10627" s="21" t="n">
        <v>0</v>
      </c>
      <c r="F10627" s="21">
        <f>-$B$10476</f>
        <v/>
      </c>
      <c r="G10627" s="21">
        <f>-$B$10477</f>
        <v/>
      </c>
      <c r="H10627" s="21">
        <f>2*$B$10476+$D$10613</f>
        <v/>
      </c>
      <c r="I10627" s="21">
        <f>0</f>
        <v/>
      </c>
      <c r="J10627" s="21">
        <f>-$B$10476</f>
        <v/>
      </c>
      <c r="K10627" s="21">
        <f>$B$10477</f>
        <v/>
      </c>
      <c r="L10627" s="21" t="n">
        <v>0</v>
      </c>
      <c r="M10627" s="21" t="n">
        <v>0</v>
      </c>
      <c r="N10627" s="21" t="n">
        <v>0</v>
      </c>
      <c r="O10627" s="21" t="n">
        <v>0</v>
      </c>
      <c r="P10627" s="21" t="n">
        <v>0</v>
      </c>
      <c r="Q10627" s="21" t="n">
        <v>0</v>
      </c>
      <c r="R10627" s="21" t="n">
        <v>0</v>
      </c>
      <c r="S10627" s="21" t="n">
        <v>0</v>
      </c>
      <c r="T10627" s="21" t="n">
        <v>0</v>
      </c>
      <c r="U10627" s="21" t="n">
        <v>0</v>
      </c>
      <c r="V10627" s="21" t="n">
        <v>0</v>
      </c>
      <c r="W10627" s="21" t="n">
        <v>0</v>
      </c>
      <c r="X10627" s="21" t="n">
        <v>0</v>
      </c>
      <c r="Y10627" s="21" t="n">
        <v>0</v>
      </c>
      <c r="Z10627" s="19" t="n"/>
    </row>
    <row r="10628">
      <c r="D10628" s="21" t="n">
        <v>0</v>
      </c>
      <c r="E10628" s="21" t="n">
        <v>0</v>
      </c>
      <c r="F10628" s="21">
        <f>$B$10477</f>
        <v/>
      </c>
      <c r="G10628" s="21">
        <f>$B$10479</f>
        <v/>
      </c>
      <c r="H10628" s="21">
        <f>0</f>
        <v/>
      </c>
      <c r="I10628" s="21">
        <f>2*$B$10478</f>
        <v/>
      </c>
      <c r="J10628" s="21">
        <f>-$B$10477</f>
        <v/>
      </c>
      <c r="K10628" s="21">
        <f>$B$10479</f>
        <v/>
      </c>
      <c r="L10628" s="21" t="n">
        <v>0</v>
      </c>
      <c r="M10628" s="21" t="n">
        <v>0</v>
      </c>
      <c r="N10628" s="21" t="n">
        <v>0</v>
      </c>
      <c r="O10628" s="21" t="n">
        <v>0</v>
      </c>
      <c r="P10628" s="21" t="n">
        <v>0</v>
      </c>
      <c r="Q10628" s="21" t="n">
        <v>0</v>
      </c>
      <c r="R10628" s="21" t="n">
        <v>0</v>
      </c>
      <c r="S10628" s="21" t="n">
        <v>0</v>
      </c>
      <c r="T10628" s="21" t="n">
        <v>0</v>
      </c>
      <c r="U10628" s="21" t="n">
        <v>0</v>
      </c>
      <c r="V10628" s="21" t="n">
        <v>0</v>
      </c>
      <c r="W10628" s="21" t="n">
        <v>0</v>
      </c>
      <c r="X10628" s="21" t="n">
        <v>0</v>
      </c>
      <c r="Y10628" s="21" t="n">
        <v>0</v>
      </c>
      <c r="Z10628" s="19" t="n"/>
    </row>
    <row r="10629">
      <c r="D10629" s="21" t="n">
        <v>0</v>
      </c>
      <c r="E10629" s="21" t="n">
        <v>0</v>
      </c>
      <c r="F10629" s="21" t="n">
        <v>0</v>
      </c>
      <c r="G10629" s="21" t="n">
        <v>0</v>
      </c>
      <c r="H10629" s="21">
        <f>-$B$10476</f>
        <v/>
      </c>
      <c r="I10629" s="21">
        <f>-$B$10477</f>
        <v/>
      </c>
      <c r="J10629" s="21">
        <f>2*$B$10476+$D$10614</f>
        <v/>
      </c>
      <c r="K10629" s="21">
        <f>0</f>
        <v/>
      </c>
      <c r="L10629" s="21">
        <f>-$B$10476</f>
        <v/>
      </c>
      <c r="M10629" s="21">
        <f>$B$10477</f>
        <v/>
      </c>
      <c r="N10629" s="21" t="n">
        <v>0</v>
      </c>
      <c r="O10629" s="21" t="n">
        <v>0</v>
      </c>
      <c r="P10629" s="21" t="n">
        <v>0</v>
      </c>
      <c r="Q10629" s="21" t="n">
        <v>0</v>
      </c>
      <c r="R10629" s="21" t="n">
        <v>0</v>
      </c>
      <c r="S10629" s="21" t="n">
        <v>0</v>
      </c>
      <c r="T10629" s="21" t="n">
        <v>0</v>
      </c>
      <c r="U10629" s="21" t="n">
        <v>0</v>
      </c>
      <c r="V10629" s="21" t="n">
        <v>0</v>
      </c>
      <c r="W10629" s="21" t="n">
        <v>0</v>
      </c>
      <c r="X10629" s="21" t="n">
        <v>0</v>
      </c>
      <c r="Y10629" s="21" t="n">
        <v>0</v>
      </c>
      <c r="Z10629" s="19" t="n"/>
    </row>
    <row r="10630">
      <c r="D10630" s="21" t="n">
        <v>0</v>
      </c>
      <c r="E10630" s="21" t="n">
        <v>0</v>
      </c>
      <c r="F10630" s="21" t="n">
        <v>0</v>
      </c>
      <c r="G10630" s="21" t="n">
        <v>0</v>
      </c>
      <c r="H10630" s="21">
        <f>$B$10477</f>
        <v/>
      </c>
      <c r="I10630" s="21">
        <f>$B$10479</f>
        <v/>
      </c>
      <c r="J10630" s="21">
        <f>0</f>
        <v/>
      </c>
      <c r="K10630" s="21">
        <f>2*$B$10478</f>
        <v/>
      </c>
      <c r="L10630" s="21">
        <f>-$B$10477</f>
        <v/>
      </c>
      <c r="M10630" s="21">
        <f>$B$10479</f>
        <v/>
      </c>
      <c r="N10630" s="21" t="n">
        <v>0</v>
      </c>
      <c r="O10630" s="21" t="n">
        <v>0</v>
      </c>
      <c r="P10630" s="21" t="n">
        <v>0</v>
      </c>
      <c r="Q10630" s="21" t="n">
        <v>0</v>
      </c>
      <c r="R10630" s="21" t="n">
        <v>0</v>
      </c>
      <c r="S10630" s="21" t="n">
        <v>0</v>
      </c>
      <c r="T10630" s="21" t="n">
        <v>0</v>
      </c>
      <c r="U10630" s="21" t="n">
        <v>0</v>
      </c>
      <c r="V10630" s="21" t="n">
        <v>0</v>
      </c>
      <c r="W10630" s="21" t="n">
        <v>0</v>
      </c>
      <c r="X10630" s="21" t="n">
        <v>0</v>
      </c>
      <c r="Y10630" s="21" t="n">
        <v>0</v>
      </c>
      <c r="Z10630" s="19" t="n"/>
    </row>
    <row r="10631">
      <c r="D10631" s="21" t="n">
        <v>0</v>
      </c>
      <c r="E10631" s="21" t="n">
        <v>0</v>
      </c>
      <c r="F10631" s="21" t="n">
        <v>0</v>
      </c>
      <c r="G10631" s="21" t="n">
        <v>0</v>
      </c>
      <c r="H10631" s="21" t="n">
        <v>0</v>
      </c>
      <c r="I10631" s="21" t="n">
        <v>0</v>
      </c>
      <c r="J10631" s="21">
        <f>-$B$10476</f>
        <v/>
      </c>
      <c r="K10631" s="21">
        <f>-$B$10477</f>
        <v/>
      </c>
      <c r="L10631" s="21">
        <f>2*$B$10476+$D$10615</f>
        <v/>
      </c>
      <c r="M10631" s="21">
        <f>0</f>
        <v/>
      </c>
      <c r="N10631" s="21">
        <f>-$B$10476</f>
        <v/>
      </c>
      <c r="O10631" s="21">
        <f>$B$10477</f>
        <v/>
      </c>
      <c r="P10631" s="21" t="n">
        <v>0</v>
      </c>
      <c r="Q10631" s="21" t="n">
        <v>0</v>
      </c>
      <c r="R10631" s="21" t="n">
        <v>0</v>
      </c>
      <c r="S10631" s="21" t="n">
        <v>0</v>
      </c>
      <c r="T10631" s="21" t="n">
        <v>0</v>
      </c>
      <c r="U10631" s="21" t="n">
        <v>0</v>
      </c>
      <c r="V10631" s="21" t="n">
        <v>0</v>
      </c>
      <c r="W10631" s="21" t="n">
        <v>0</v>
      </c>
      <c r="X10631" s="21" t="n">
        <v>0</v>
      </c>
      <c r="Y10631" s="21" t="n">
        <v>0</v>
      </c>
      <c r="Z10631" s="19" t="n"/>
    </row>
    <row r="10632">
      <c r="D10632" s="21" t="n">
        <v>0</v>
      </c>
      <c r="E10632" s="21" t="n">
        <v>0</v>
      </c>
      <c r="F10632" s="21" t="n">
        <v>0</v>
      </c>
      <c r="G10632" s="21" t="n">
        <v>0</v>
      </c>
      <c r="H10632" s="21" t="n">
        <v>0</v>
      </c>
      <c r="I10632" s="21" t="n">
        <v>0</v>
      </c>
      <c r="J10632" s="21">
        <f>$B$10477</f>
        <v/>
      </c>
      <c r="K10632" s="21">
        <f>$B$10479</f>
        <v/>
      </c>
      <c r="L10632" s="21">
        <f>0</f>
        <v/>
      </c>
      <c r="M10632" s="21">
        <f>2*$B$10478</f>
        <v/>
      </c>
      <c r="N10632" s="21">
        <f>-$B$10477</f>
        <v/>
      </c>
      <c r="O10632" s="21">
        <f>$B$10479</f>
        <v/>
      </c>
      <c r="P10632" s="21" t="n">
        <v>0</v>
      </c>
      <c r="Q10632" s="21" t="n">
        <v>0</v>
      </c>
      <c r="R10632" s="21" t="n">
        <v>0</v>
      </c>
      <c r="S10632" s="21" t="n">
        <v>0</v>
      </c>
      <c r="T10632" s="21" t="n">
        <v>0</v>
      </c>
      <c r="U10632" s="21" t="n">
        <v>0</v>
      </c>
      <c r="V10632" s="21" t="n">
        <v>0</v>
      </c>
      <c r="W10632" s="21" t="n">
        <v>0</v>
      </c>
      <c r="X10632" s="21" t="n">
        <v>0</v>
      </c>
      <c r="Y10632" s="21" t="n">
        <v>0</v>
      </c>
      <c r="Z10632" s="19" t="n"/>
    </row>
    <row r="10633">
      <c r="D10633" s="21" t="n">
        <v>0</v>
      </c>
      <c r="E10633" s="21" t="n">
        <v>0</v>
      </c>
      <c r="F10633" s="21" t="n">
        <v>0</v>
      </c>
      <c r="G10633" s="21" t="n">
        <v>0</v>
      </c>
      <c r="H10633" s="21" t="n">
        <v>0</v>
      </c>
      <c r="I10633" s="21" t="n">
        <v>0</v>
      </c>
      <c r="J10633" s="21" t="n">
        <v>0</v>
      </c>
      <c r="K10633" s="21" t="n">
        <v>0</v>
      </c>
      <c r="L10633" s="21">
        <f>-$B$10476</f>
        <v/>
      </c>
      <c r="M10633" s="21">
        <f>-$B$10477</f>
        <v/>
      </c>
      <c r="N10633" s="21">
        <f>2*$B$10476+$D$10616</f>
        <v/>
      </c>
      <c r="O10633" s="21">
        <f>0</f>
        <v/>
      </c>
      <c r="P10633" s="21">
        <f>-$B$10476</f>
        <v/>
      </c>
      <c r="Q10633" s="21">
        <f>$B$10477</f>
        <v/>
      </c>
      <c r="R10633" s="21" t="n">
        <v>0</v>
      </c>
      <c r="S10633" s="21" t="n">
        <v>0</v>
      </c>
      <c r="T10633" s="21" t="n">
        <v>0</v>
      </c>
      <c r="U10633" s="21" t="n">
        <v>0</v>
      </c>
      <c r="V10633" s="21" t="n">
        <v>0</v>
      </c>
      <c r="W10633" s="21" t="n">
        <v>0</v>
      </c>
      <c r="X10633" s="21" t="n">
        <v>0</v>
      </c>
      <c r="Y10633" s="21" t="n">
        <v>0</v>
      </c>
      <c r="Z10633" s="19" t="n"/>
    </row>
    <row r="10634">
      <c r="D10634" s="21" t="n">
        <v>0</v>
      </c>
      <c r="E10634" s="21" t="n">
        <v>0</v>
      </c>
      <c r="F10634" s="21" t="n">
        <v>0</v>
      </c>
      <c r="G10634" s="21" t="n">
        <v>0</v>
      </c>
      <c r="H10634" s="21" t="n">
        <v>0</v>
      </c>
      <c r="I10634" s="21" t="n">
        <v>0</v>
      </c>
      <c r="J10634" s="21" t="n">
        <v>0</v>
      </c>
      <c r="K10634" s="21" t="n">
        <v>0</v>
      </c>
      <c r="L10634" s="21">
        <f>$B$10477</f>
        <v/>
      </c>
      <c r="M10634" s="21">
        <f>$B$10479</f>
        <v/>
      </c>
      <c r="N10634" s="21">
        <f>0</f>
        <v/>
      </c>
      <c r="O10634" s="21">
        <f>2*$B$10478</f>
        <v/>
      </c>
      <c r="P10634" s="21">
        <f>-$B$10477</f>
        <v/>
      </c>
      <c r="Q10634" s="21">
        <f>$B$10479</f>
        <v/>
      </c>
      <c r="R10634" s="21" t="n">
        <v>0</v>
      </c>
      <c r="S10634" s="21" t="n">
        <v>0</v>
      </c>
      <c r="T10634" s="21" t="n">
        <v>0</v>
      </c>
      <c r="U10634" s="21" t="n">
        <v>0</v>
      </c>
      <c r="V10634" s="21" t="n">
        <v>0</v>
      </c>
      <c r="W10634" s="21" t="n">
        <v>0</v>
      </c>
      <c r="X10634" s="21" t="n">
        <v>0</v>
      </c>
      <c r="Y10634" s="21" t="n">
        <v>0</v>
      </c>
      <c r="Z10634" s="19" t="n"/>
    </row>
    <row r="10635">
      <c r="D10635" s="21" t="n">
        <v>0</v>
      </c>
      <c r="E10635" s="21" t="n">
        <v>0</v>
      </c>
      <c r="F10635" s="21" t="n">
        <v>0</v>
      </c>
      <c r="G10635" s="21" t="n">
        <v>0</v>
      </c>
      <c r="H10635" s="21" t="n">
        <v>0</v>
      </c>
      <c r="I10635" s="21" t="n">
        <v>0</v>
      </c>
      <c r="J10635" s="21" t="n">
        <v>0</v>
      </c>
      <c r="K10635" s="21" t="n">
        <v>0</v>
      </c>
      <c r="L10635" s="21" t="n">
        <v>0</v>
      </c>
      <c r="M10635" s="21" t="n">
        <v>0</v>
      </c>
      <c r="N10635" s="21">
        <f>-$B$10476</f>
        <v/>
      </c>
      <c r="O10635" s="21">
        <f>-$B$10477</f>
        <v/>
      </c>
      <c r="P10635" s="21">
        <f>2*$B$10476+$D$10617</f>
        <v/>
      </c>
      <c r="Q10635" s="21">
        <f>0</f>
        <v/>
      </c>
      <c r="R10635" s="21">
        <f>-$B$10476</f>
        <v/>
      </c>
      <c r="S10635" s="21">
        <f>$B$10477</f>
        <v/>
      </c>
      <c r="T10635" s="21" t="n">
        <v>0</v>
      </c>
      <c r="U10635" s="21" t="n">
        <v>0</v>
      </c>
      <c r="V10635" s="21" t="n">
        <v>0</v>
      </c>
      <c r="W10635" s="21" t="n">
        <v>0</v>
      </c>
      <c r="X10635" s="21" t="n">
        <v>0</v>
      </c>
      <c r="Y10635" s="21" t="n">
        <v>0</v>
      </c>
      <c r="Z10635" s="19" t="n"/>
    </row>
    <row r="10636">
      <c r="D10636" s="21" t="n">
        <v>0</v>
      </c>
      <c r="E10636" s="21" t="n">
        <v>0</v>
      </c>
      <c r="F10636" s="21" t="n">
        <v>0</v>
      </c>
      <c r="G10636" s="21" t="n">
        <v>0</v>
      </c>
      <c r="H10636" s="21" t="n">
        <v>0</v>
      </c>
      <c r="I10636" s="21" t="n">
        <v>0</v>
      </c>
      <c r="J10636" s="21" t="n">
        <v>0</v>
      </c>
      <c r="K10636" s="21" t="n">
        <v>0</v>
      </c>
      <c r="L10636" s="21" t="n">
        <v>0</v>
      </c>
      <c r="M10636" s="21" t="n">
        <v>0</v>
      </c>
      <c r="N10636" s="21">
        <f>$B$10477</f>
        <v/>
      </c>
      <c r="O10636" s="21">
        <f>$B$10479</f>
        <v/>
      </c>
      <c r="P10636" s="21">
        <f>0</f>
        <v/>
      </c>
      <c r="Q10636" s="21">
        <f>2*$B$10478</f>
        <v/>
      </c>
      <c r="R10636" s="21">
        <f>-$B$10477</f>
        <v/>
      </c>
      <c r="S10636" s="21">
        <f>$B$10479</f>
        <v/>
      </c>
      <c r="T10636" s="21" t="n">
        <v>0</v>
      </c>
      <c r="U10636" s="21" t="n">
        <v>0</v>
      </c>
      <c r="V10636" s="21" t="n">
        <v>0</v>
      </c>
      <c r="W10636" s="21" t="n">
        <v>0</v>
      </c>
      <c r="X10636" s="21" t="n">
        <v>0</v>
      </c>
      <c r="Y10636" s="21" t="n">
        <v>0</v>
      </c>
      <c r="Z10636" s="19" t="n"/>
    </row>
    <row r="10637">
      <c r="D10637" s="21" t="n">
        <v>0</v>
      </c>
      <c r="E10637" s="21" t="n">
        <v>0</v>
      </c>
      <c r="F10637" s="21" t="n">
        <v>0</v>
      </c>
      <c r="G10637" s="21" t="n">
        <v>0</v>
      </c>
      <c r="H10637" s="21" t="n">
        <v>0</v>
      </c>
      <c r="I10637" s="21" t="n">
        <v>0</v>
      </c>
      <c r="J10637" s="21" t="n">
        <v>0</v>
      </c>
      <c r="K10637" s="21" t="n">
        <v>0</v>
      </c>
      <c r="L10637" s="21" t="n">
        <v>0</v>
      </c>
      <c r="M10637" s="21" t="n">
        <v>0</v>
      </c>
      <c r="N10637" s="21" t="n">
        <v>0</v>
      </c>
      <c r="O10637" s="21" t="n">
        <v>0</v>
      </c>
      <c r="P10637" s="21">
        <f>-$B$10476</f>
        <v/>
      </c>
      <c r="Q10637" s="21">
        <f>-$B$10477</f>
        <v/>
      </c>
      <c r="R10637" s="21">
        <f>2*$B$10476+$D$10618</f>
        <v/>
      </c>
      <c r="S10637" s="21">
        <f>0</f>
        <v/>
      </c>
      <c r="T10637" s="21">
        <f>-$B$10476</f>
        <v/>
      </c>
      <c r="U10637" s="21">
        <f>$B$10477</f>
        <v/>
      </c>
      <c r="V10637" s="21" t="n">
        <v>0</v>
      </c>
      <c r="W10637" s="21" t="n">
        <v>0</v>
      </c>
      <c r="X10637" s="21" t="n">
        <v>0</v>
      </c>
      <c r="Y10637" s="21" t="n">
        <v>0</v>
      </c>
      <c r="Z10637" s="19" t="n"/>
    </row>
    <row r="10638">
      <c r="D10638" s="21" t="n">
        <v>0</v>
      </c>
      <c r="E10638" s="21" t="n">
        <v>0</v>
      </c>
      <c r="F10638" s="21" t="n">
        <v>0</v>
      </c>
      <c r="G10638" s="21" t="n">
        <v>0</v>
      </c>
      <c r="H10638" s="21" t="n">
        <v>0</v>
      </c>
      <c r="I10638" s="21" t="n">
        <v>0</v>
      </c>
      <c r="J10638" s="21" t="n">
        <v>0</v>
      </c>
      <c r="K10638" s="21" t="n">
        <v>0</v>
      </c>
      <c r="L10638" s="21" t="n">
        <v>0</v>
      </c>
      <c r="M10638" s="21" t="n">
        <v>0</v>
      </c>
      <c r="N10638" s="21" t="n">
        <v>0</v>
      </c>
      <c r="O10638" s="21" t="n">
        <v>0</v>
      </c>
      <c r="P10638" s="21">
        <f>$B$10477</f>
        <v/>
      </c>
      <c r="Q10638" s="21">
        <f>$B$10479</f>
        <v/>
      </c>
      <c r="R10638" s="21">
        <f>0</f>
        <v/>
      </c>
      <c r="S10638" s="21">
        <f>2*$B$10478</f>
        <v/>
      </c>
      <c r="T10638" s="21">
        <f>-$B$10477</f>
        <v/>
      </c>
      <c r="U10638" s="21">
        <f>$B$10479</f>
        <v/>
      </c>
      <c r="V10638" s="21" t="n">
        <v>0</v>
      </c>
      <c r="W10638" s="21" t="n">
        <v>0</v>
      </c>
      <c r="X10638" s="21" t="n">
        <v>0</v>
      </c>
      <c r="Y10638" s="21" t="n">
        <v>0</v>
      </c>
      <c r="Z10638" s="19" t="n"/>
    </row>
    <row r="10639">
      <c r="D10639" s="21" t="n">
        <v>0</v>
      </c>
      <c r="E10639" s="21" t="n">
        <v>0</v>
      </c>
      <c r="F10639" s="21" t="n">
        <v>0</v>
      </c>
      <c r="G10639" s="21" t="n">
        <v>0</v>
      </c>
      <c r="H10639" s="21" t="n">
        <v>0</v>
      </c>
      <c r="I10639" s="21" t="n">
        <v>0</v>
      </c>
      <c r="J10639" s="21" t="n">
        <v>0</v>
      </c>
      <c r="K10639" s="21" t="n">
        <v>0</v>
      </c>
      <c r="L10639" s="21" t="n">
        <v>0</v>
      </c>
      <c r="M10639" s="21" t="n">
        <v>0</v>
      </c>
      <c r="N10639" s="21" t="n">
        <v>0</v>
      </c>
      <c r="O10639" s="21" t="n">
        <v>0</v>
      </c>
      <c r="P10639" s="21" t="n">
        <v>0</v>
      </c>
      <c r="Q10639" s="21" t="n">
        <v>0</v>
      </c>
      <c r="R10639" s="21">
        <f>-$B$10476</f>
        <v/>
      </c>
      <c r="S10639" s="21">
        <f>-$B$10477</f>
        <v/>
      </c>
      <c r="T10639" s="21">
        <f>2*$B$10476+$D$10619</f>
        <v/>
      </c>
      <c r="U10639" s="21">
        <f>0</f>
        <v/>
      </c>
      <c r="V10639" s="21">
        <f>-$B$10476</f>
        <v/>
      </c>
      <c r="W10639" s="21">
        <f>$B$10477</f>
        <v/>
      </c>
      <c r="X10639" s="21" t="n">
        <v>0</v>
      </c>
      <c r="Y10639" s="21" t="n">
        <v>0</v>
      </c>
      <c r="Z10639" s="19" t="n"/>
    </row>
    <row r="10640">
      <c r="D10640" s="21" t="n">
        <v>0</v>
      </c>
      <c r="E10640" s="21" t="n">
        <v>0</v>
      </c>
      <c r="F10640" s="21" t="n">
        <v>0</v>
      </c>
      <c r="G10640" s="21" t="n">
        <v>0</v>
      </c>
      <c r="H10640" s="21" t="n">
        <v>0</v>
      </c>
      <c r="I10640" s="21" t="n">
        <v>0</v>
      </c>
      <c r="J10640" s="21" t="n">
        <v>0</v>
      </c>
      <c r="K10640" s="21" t="n">
        <v>0</v>
      </c>
      <c r="L10640" s="21" t="n">
        <v>0</v>
      </c>
      <c r="M10640" s="21" t="n">
        <v>0</v>
      </c>
      <c r="N10640" s="21" t="n">
        <v>0</v>
      </c>
      <c r="O10640" s="21" t="n">
        <v>0</v>
      </c>
      <c r="P10640" s="21" t="n">
        <v>0</v>
      </c>
      <c r="Q10640" s="21" t="n">
        <v>0</v>
      </c>
      <c r="R10640" s="21">
        <f>$B$10477</f>
        <v/>
      </c>
      <c r="S10640" s="21">
        <f>$B$10479</f>
        <v/>
      </c>
      <c r="T10640" s="21">
        <f>0</f>
        <v/>
      </c>
      <c r="U10640" s="21">
        <f>2*$B$10478</f>
        <v/>
      </c>
      <c r="V10640" s="21">
        <f>-$B$10477</f>
        <v/>
      </c>
      <c r="W10640" s="21">
        <f>$B$10479</f>
        <v/>
      </c>
      <c r="X10640" s="21" t="n">
        <v>0</v>
      </c>
      <c r="Y10640" s="21" t="n">
        <v>0</v>
      </c>
      <c r="Z10640" s="19" t="n"/>
    </row>
    <row r="10641">
      <c r="D10641" s="21" t="n">
        <v>0</v>
      </c>
      <c r="E10641" s="21" t="n">
        <v>0</v>
      </c>
      <c r="F10641" s="21" t="n">
        <v>0</v>
      </c>
      <c r="G10641" s="21" t="n">
        <v>0</v>
      </c>
      <c r="H10641" s="21" t="n">
        <v>0</v>
      </c>
      <c r="I10641" s="21" t="n">
        <v>0</v>
      </c>
      <c r="J10641" s="21" t="n">
        <v>0</v>
      </c>
      <c r="K10641" s="21" t="n">
        <v>0</v>
      </c>
      <c r="L10641" s="21" t="n">
        <v>0</v>
      </c>
      <c r="M10641" s="21" t="n">
        <v>0</v>
      </c>
      <c r="N10641" s="21" t="n">
        <v>0</v>
      </c>
      <c r="O10641" s="21" t="n">
        <v>0</v>
      </c>
      <c r="P10641" s="21" t="n">
        <v>0</v>
      </c>
      <c r="Q10641" s="21" t="n">
        <v>0</v>
      </c>
      <c r="R10641" s="21" t="n">
        <v>0</v>
      </c>
      <c r="S10641" s="21" t="n">
        <v>0</v>
      </c>
      <c r="T10641" s="21">
        <f>-$B$10476</f>
        <v/>
      </c>
      <c r="U10641" s="21">
        <f>-$B$10477</f>
        <v/>
      </c>
      <c r="V10641" s="21">
        <f>2*$B$10476+$D$10620</f>
        <v/>
      </c>
      <c r="W10641" s="21">
        <f>0</f>
        <v/>
      </c>
      <c r="X10641" s="21">
        <f>-$B$10476</f>
        <v/>
      </c>
      <c r="Y10641" s="21">
        <f>$B$10477</f>
        <v/>
      </c>
      <c r="Z10641" s="19" t="n"/>
    </row>
    <row r="10642">
      <c r="D10642" s="21" t="n">
        <v>0</v>
      </c>
      <c r="E10642" s="21" t="n">
        <v>0</v>
      </c>
      <c r="F10642" s="21" t="n">
        <v>0</v>
      </c>
      <c r="G10642" s="21" t="n">
        <v>0</v>
      </c>
      <c r="H10642" s="21" t="n">
        <v>0</v>
      </c>
      <c r="I10642" s="21" t="n">
        <v>0</v>
      </c>
      <c r="J10642" s="21" t="n">
        <v>0</v>
      </c>
      <c r="K10642" s="21" t="n">
        <v>0</v>
      </c>
      <c r="L10642" s="21" t="n">
        <v>0</v>
      </c>
      <c r="M10642" s="21" t="n">
        <v>0</v>
      </c>
      <c r="N10642" s="21" t="n">
        <v>0</v>
      </c>
      <c r="O10642" s="21" t="n">
        <v>0</v>
      </c>
      <c r="P10642" s="21" t="n">
        <v>0</v>
      </c>
      <c r="Q10642" s="21" t="n">
        <v>0</v>
      </c>
      <c r="R10642" s="21" t="n">
        <v>0</v>
      </c>
      <c r="S10642" s="21" t="n">
        <v>0</v>
      </c>
      <c r="T10642" s="21">
        <f>$B$10477</f>
        <v/>
      </c>
      <c r="U10642" s="21">
        <f>$B$10479</f>
        <v/>
      </c>
      <c r="V10642" s="21">
        <f>0</f>
        <v/>
      </c>
      <c r="W10642" s="21">
        <f>2*$B$10478</f>
        <v/>
      </c>
      <c r="X10642" s="21">
        <f>-$B$10477</f>
        <v/>
      </c>
      <c r="Y10642" s="21">
        <f>$B$10479</f>
        <v/>
      </c>
      <c r="Z10642" s="19" t="n"/>
    </row>
    <row r="10643">
      <c r="D10643" s="21" t="n">
        <v>0</v>
      </c>
      <c r="E10643" s="21" t="n">
        <v>0</v>
      </c>
      <c r="F10643" s="21" t="n">
        <v>0</v>
      </c>
      <c r="G10643" s="21" t="n">
        <v>0</v>
      </c>
      <c r="H10643" s="21" t="n">
        <v>0</v>
      </c>
      <c r="I10643" s="21" t="n">
        <v>0</v>
      </c>
      <c r="J10643" s="21" t="n">
        <v>0</v>
      </c>
      <c r="K10643" s="21" t="n">
        <v>0</v>
      </c>
      <c r="L10643" s="21" t="n">
        <v>0</v>
      </c>
      <c r="M10643" s="21" t="n">
        <v>0</v>
      </c>
      <c r="N10643" s="21" t="n">
        <v>0</v>
      </c>
      <c r="O10643" s="21" t="n">
        <v>0</v>
      </c>
      <c r="P10643" s="21" t="n">
        <v>0</v>
      </c>
      <c r="Q10643" s="21" t="n">
        <v>0</v>
      </c>
      <c r="R10643" s="21" t="n">
        <v>0</v>
      </c>
      <c r="S10643" s="21" t="n">
        <v>0</v>
      </c>
      <c r="T10643" s="21" t="n">
        <v>0</v>
      </c>
      <c r="U10643" s="21" t="n">
        <v>0</v>
      </c>
      <c r="V10643" s="21">
        <f>-$B$10476</f>
        <v/>
      </c>
      <c r="W10643" s="21">
        <f>-$B$10477</f>
        <v/>
      </c>
      <c r="X10643" s="21">
        <f>$B$10476+$D$10621</f>
        <v/>
      </c>
      <c r="Y10643" s="21">
        <f>-$B$10477</f>
        <v/>
      </c>
      <c r="Z10643" s="19" t="n"/>
    </row>
    <row r="10644">
      <c r="D10644" s="21" t="n">
        <v>0</v>
      </c>
      <c r="E10644" s="21" t="n">
        <v>0</v>
      </c>
      <c r="F10644" s="21" t="n">
        <v>0</v>
      </c>
      <c r="G10644" s="21" t="n">
        <v>0</v>
      </c>
      <c r="H10644" s="21" t="n">
        <v>0</v>
      </c>
      <c r="I10644" s="21" t="n">
        <v>0</v>
      </c>
      <c r="J10644" s="21" t="n">
        <v>0</v>
      </c>
      <c r="K10644" s="21" t="n">
        <v>0</v>
      </c>
      <c r="L10644" s="21" t="n">
        <v>0</v>
      </c>
      <c r="M10644" s="21" t="n">
        <v>0</v>
      </c>
      <c r="N10644" s="21" t="n">
        <v>0</v>
      </c>
      <c r="O10644" s="21" t="n">
        <v>0</v>
      </c>
      <c r="P10644" s="21" t="n">
        <v>0</v>
      </c>
      <c r="Q10644" s="21" t="n">
        <v>0</v>
      </c>
      <c r="R10644" s="21" t="n">
        <v>0</v>
      </c>
      <c r="S10644" s="21" t="n">
        <v>0</v>
      </c>
      <c r="T10644" s="21" t="n">
        <v>0</v>
      </c>
      <c r="U10644" s="21" t="n">
        <v>0</v>
      </c>
      <c r="V10644" s="21">
        <f>$B$10477</f>
        <v/>
      </c>
      <c r="W10644" s="21">
        <f>$B$10479</f>
        <v/>
      </c>
      <c r="X10644" s="21">
        <f>-$B$10477</f>
        <v/>
      </c>
      <c r="Y10644" s="21">
        <f>$B$10478</f>
        <v/>
      </c>
      <c r="Z10644" s="19" t="n"/>
    </row>
    <row r="10646">
      <c r="A10646" s="8" t="inlineStr">
        <is>
          <t>gen 4</t>
        </is>
      </c>
    </row>
    <row r="10647">
      <c r="D10647" s="19">
        <f>IF(ABS(IF(ABS($E$10611)&gt;0.000000001,$E$10611,0.000000001))=0,0,IF($E$10491&lt;=$B$10485,0,IF(ABS(IF(ABS($E$10611)&gt;0.000000001,$E$10611,0.000000001))&gt;=8*$B$10487,$H$10491,0.5*$H$10491*(ABS(IF(ABS($E$10611)&gt;0.000000001,$E$10611,0.000000001))/$B$10487)^(1/3)))/ABS(IF(ABS($E$10611)&gt;0.000000001,$E$10611,0.000000001))*$I$10491)</f>
        <v/>
      </c>
      <c r="E10647" s="19">
        <f>0.5*$E$10611+0.5*$Z$10659</f>
        <v/>
      </c>
      <c r="F10647" s="19">
        <f>$Z$10660</f>
        <v/>
      </c>
    </row>
    <row r="10648">
      <c r="D10648" s="19">
        <f>IF(ABS(IF(ABS($E$10612)&gt;0.000000001,$E$10612,0.000000001))=0,0,IF($E$10492&lt;=$B$10485,0,IF(ABS(IF(ABS($E$10612)&gt;0.000000001,$E$10612,0.000000001))&gt;=8*$B$10487,$H$10492,0.5*$H$10492*(ABS(IF(ABS($E$10612)&gt;0.000000001,$E$10612,0.000000001))/$B$10487)^(1/3)))/ABS(IF(ABS($E$10612)&gt;0.000000001,$E$10612,0.000000001))*$I$10492)</f>
        <v/>
      </c>
      <c r="E10648" s="19">
        <f>0.5*$E$10612+0.5*$Z$10661</f>
        <v/>
      </c>
      <c r="F10648" s="19">
        <f>$Z$10662</f>
        <v/>
      </c>
    </row>
    <row r="10649">
      <c r="D10649" s="19">
        <f>IF(ABS(IF(ABS($E$10613)&gt;0.000000001,$E$10613,0.000000001))=0,0,IF($E$10493&lt;=$B$10485,0,IF(ABS(IF(ABS($E$10613)&gt;0.000000001,$E$10613,0.000000001))&gt;=8*$B$10487,$H$10493,0.5*$H$10493*(ABS(IF(ABS($E$10613)&gt;0.000000001,$E$10613,0.000000001))/$B$10487)^(1/3)))/ABS(IF(ABS($E$10613)&gt;0.000000001,$E$10613,0.000000001))*$I$10493)</f>
        <v/>
      </c>
      <c r="E10649" s="19">
        <f>0.5*$E$10613+0.5*$Z$10663</f>
        <v/>
      </c>
      <c r="F10649" s="19">
        <f>$Z$10664</f>
        <v/>
      </c>
    </row>
    <row r="10650">
      <c r="D10650" s="19">
        <f>IF(ABS(IF(ABS($E$10614)&gt;0.000000001,$E$10614,0.000000001))=0,0,IF($E$10494&lt;=$B$10485,0,IF(ABS(IF(ABS($E$10614)&gt;0.000000001,$E$10614,0.000000001))&gt;=8*$B$10487,$H$10494,0.5*$H$10494*(ABS(IF(ABS($E$10614)&gt;0.000000001,$E$10614,0.000000001))/$B$10487)^(1/3)))/ABS(IF(ABS($E$10614)&gt;0.000000001,$E$10614,0.000000001))*$I$10494)</f>
        <v/>
      </c>
      <c r="E10650" s="19">
        <f>0.5*$E$10614+0.5*$Z$10665</f>
        <v/>
      </c>
      <c r="F10650" s="19">
        <f>$Z$10666</f>
        <v/>
      </c>
    </row>
    <row r="10651">
      <c r="D10651" s="19">
        <f>IF(ABS(IF(ABS($E$10615)&gt;0.000000001,$E$10615,0.000000001))=0,0,IF($E$10495&lt;=$B$10485,0,IF(ABS(IF(ABS($E$10615)&gt;0.000000001,$E$10615,0.000000001))&gt;=8*$B$10487,$H$10495,0.5*$H$10495*(ABS(IF(ABS($E$10615)&gt;0.000000001,$E$10615,0.000000001))/$B$10487)^(1/3)))/ABS(IF(ABS($E$10615)&gt;0.000000001,$E$10615,0.000000001))*$I$10495)</f>
        <v/>
      </c>
      <c r="E10651" s="19">
        <f>0.5*$E$10615+0.5*$Z$10667</f>
        <v/>
      </c>
      <c r="F10651" s="19">
        <f>$Z$10668</f>
        <v/>
      </c>
    </row>
    <row r="10652">
      <c r="D10652" s="19">
        <f>IF(ABS(IF(ABS($E$10616)&gt;0.000000001,$E$10616,0.000000001))=0,0,IF($E$10496&lt;=$B$10485,0,IF(ABS(IF(ABS($E$10616)&gt;0.000000001,$E$10616,0.000000001))&gt;=8*$B$10487,$H$10496,0.5*$H$10496*(ABS(IF(ABS($E$10616)&gt;0.000000001,$E$10616,0.000000001))/$B$10487)^(1/3)))/ABS(IF(ABS($E$10616)&gt;0.000000001,$E$10616,0.000000001))*$I$10496)</f>
        <v/>
      </c>
      <c r="E10652" s="19">
        <f>0.5*$E$10616+0.5*$Z$10669</f>
        <v/>
      </c>
      <c r="F10652" s="19">
        <f>$Z$10670</f>
        <v/>
      </c>
    </row>
    <row r="10653">
      <c r="D10653" s="19">
        <f>IF(ABS(IF(ABS($E$10617)&gt;0.000000001,$E$10617,0.000000001))=0,0,IF($E$10497&lt;=$B$10485,0,IF(ABS(IF(ABS($E$10617)&gt;0.000000001,$E$10617,0.000000001))&gt;=8*$B$10487,$H$10497,0.5*$H$10497*(ABS(IF(ABS($E$10617)&gt;0.000000001,$E$10617,0.000000001))/$B$10487)^(1/3)))/ABS(IF(ABS($E$10617)&gt;0.000000001,$E$10617,0.000000001))*$I$10497)</f>
        <v/>
      </c>
      <c r="E10653" s="19">
        <f>0.5*$E$10617+0.5*$Z$10671</f>
        <v/>
      </c>
      <c r="F10653" s="19">
        <f>$Z$10672</f>
        <v/>
      </c>
    </row>
    <row r="10654">
      <c r="D10654" s="19">
        <f>IF(ABS(IF(ABS($E$10618)&gt;0.000000001,$E$10618,0.000000001))=0,0,IF($E$10498&lt;=$B$10485,0,IF(ABS(IF(ABS($E$10618)&gt;0.000000001,$E$10618,0.000000001))&gt;=8*$B$10487,$H$10498,0.5*$H$10498*(ABS(IF(ABS($E$10618)&gt;0.000000001,$E$10618,0.000000001))/$B$10487)^(1/3)))/ABS(IF(ABS($E$10618)&gt;0.000000001,$E$10618,0.000000001))*$I$10498)</f>
        <v/>
      </c>
      <c r="E10654" s="19">
        <f>0.5*$E$10618+0.5*$Z$10673</f>
        <v/>
      </c>
      <c r="F10654" s="19">
        <f>$Z$10674</f>
        <v/>
      </c>
    </row>
    <row r="10655">
      <c r="D10655" s="19">
        <f>IF(ABS(IF(ABS($E$10619)&gt;0.000000001,$E$10619,0.000000001))=0,0,IF($E$10499&lt;=$B$10485,0,IF(ABS(IF(ABS($E$10619)&gt;0.000000001,$E$10619,0.000000001))&gt;=8*$B$10487,$H$10499,0.5*$H$10499*(ABS(IF(ABS($E$10619)&gt;0.000000001,$E$10619,0.000000001))/$B$10487)^(1/3)))/ABS(IF(ABS($E$10619)&gt;0.000000001,$E$10619,0.000000001))*$I$10499)</f>
        <v/>
      </c>
      <c r="E10655" s="19">
        <f>0.5*$E$10619+0.5*$Z$10675</f>
        <v/>
      </c>
      <c r="F10655" s="19">
        <f>$Z$10676</f>
        <v/>
      </c>
    </row>
    <row r="10656">
      <c r="D10656" s="19">
        <f>IF(ABS(IF(ABS($E$10620)&gt;0.000000001,$E$10620,0.000000001))=0,0,IF($E$10500&lt;=$B$10485,0,IF(ABS(IF(ABS($E$10620)&gt;0.000000001,$E$10620,0.000000001))&gt;=8*$B$10487,$H$10500,0.5*$H$10500*(ABS(IF(ABS($E$10620)&gt;0.000000001,$E$10620,0.000000001))/$B$10487)^(1/3)))/ABS(IF(ABS($E$10620)&gt;0.000000001,$E$10620,0.000000001))*$I$10500)</f>
        <v/>
      </c>
      <c r="E10656" s="19">
        <f>0.5*$E$10620+0.5*$Z$10677</f>
        <v/>
      </c>
      <c r="F10656" s="19">
        <f>$Z$10678</f>
        <v/>
      </c>
    </row>
    <row r="10657">
      <c r="D10657" s="19">
        <f>IF(ABS(IF(ABS($E$10621)&gt;0.000000001,$E$10621,0.000000001))=0,0,IF($E$10501&lt;=$B$10485,0,IF(ABS(IF(ABS($E$10621)&gt;0.000000001,$E$10621,0.000000001))&gt;=8*$B$10487,$H$10501,0.5*$H$10501*(ABS(IF(ABS($E$10621)&gt;0.000000001,$E$10621,0.000000001))/$B$10487)^(1/3)))/ABS(IF(ABS($E$10621)&gt;0.000000001,$E$10621,0.000000001))*$I$10501)</f>
        <v/>
      </c>
      <c r="E10657" s="19">
        <f>0.5*$E$10621+0.5*$Z$10679</f>
        <v/>
      </c>
      <c r="F10657" s="19">
        <f>$Z$10680</f>
        <v/>
      </c>
    </row>
    <row r="10659">
      <c r="D10659" s="21">
        <f>$B$10476+$D$10647</f>
        <v/>
      </c>
      <c r="E10659" s="21">
        <f>$B$10477</f>
        <v/>
      </c>
      <c r="F10659" s="21">
        <f>-$B$10476</f>
        <v/>
      </c>
      <c r="G10659" s="21">
        <f>$B$10477</f>
        <v/>
      </c>
      <c r="H10659" s="21" t="n">
        <v>0</v>
      </c>
      <c r="I10659" s="21" t="n">
        <v>0</v>
      </c>
      <c r="J10659" s="21" t="n">
        <v>0</v>
      </c>
      <c r="K10659" s="21" t="n">
        <v>0</v>
      </c>
      <c r="L10659" s="21" t="n">
        <v>0</v>
      </c>
      <c r="M10659" s="21" t="n">
        <v>0</v>
      </c>
      <c r="N10659" s="21" t="n">
        <v>0</v>
      </c>
      <c r="O10659" s="21" t="n">
        <v>0</v>
      </c>
      <c r="P10659" s="21" t="n">
        <v>0</v>
      </c>
      <c r="Q10659" s="21" t="n">
        <v>0</v>
      </c>
      <c r="R10659" s="21" t="n">
        <v>0</v>
      </c>
      <c r="S10659" s="21" t="n">
        <v>0</v>
      </c>
      <c r="T10659" s="21" t="n">
        <v>0</v>
      </c>
      <c r="U10659" s="21" t="n">
        <v>0</v>
      </c>
      <c r="V10659" s="21" t="n">
        <v>0</v>
      </c>
      <c r="W10659" s="21" t="n">
        <v>0</v>
      </c>
      <c r="X10659" s="21" t="n">
        <v>0</v>
      </c>
      <c r="Y10659" s="21" t="n">
        <v>0</v>
      </c>
      <c r="Z10659" s="19">
        <f t="array" ref="Z10659:Z10680">MMULT(MINVERSE($D$10659:$Y$10680),$D$10503:$D$10524)</f>
        <v/>
      </c>
    </row>
    <row r="10660">
      <c r="D10660" s="21">
        <f>$B$10477</f>
        <v/>
      </c>
      <c r="E10660" s="21">
        <f>$B$10478</f>
        <v/>
      </c>
      <c r="F10660" s="21">
        <f>-$B$10477</f>
        <v/>
      </c>
      <c r="G10660" s="21">
        <f>$B$10479</f>
        <v/>
      </c>
      <c r="H10660" s="21" t="n">
        <v>0</v>
      </c>
      <c r="I10660" s="21" t="n">
        <v>0</v>
      </c>
      <c r="J10660" s="21" t="n">
        <v>0</v>
      </c>
      <c r="K10660" s="21" t="n">
        <v>0</v>
      </c>
      <c r="L10660" s="21" t="n">
        <v>0</v>
      </c>
      <c r="M10660" s="21" t="n">
        <v>0</v>
      </c>
      <c r="N10660" s="21" t="n">
        <v>0</v>
      </c>
      <c r="O10660" s="21" t="n">
        <v>0</v>
      </c>
      <c r="P10660" s="21" t="n">
        <v>0</v>
      </c>
      <c r="Q10660" s="21" t="n">
        <v>0</v>
      </c>
      <c r="R10660" s="21" t="n">
        <v>0</v>
      </c>
      <c r="S10660" s="21" t="n">
        <v>0</v>
      </c>
      <c r="T10660" s="21" t="n">
        <v>0</v>
      </c>
      <c r="U10660" s="21" t="n">
        <v>0</v>
      </c>
      <c r="V10660" s="21" t="n">
        <v>0</v>
      </c>
      <c r="W10660" s="21" t="n">
        <v>0</v>
      </c>
      <c r="X10660" s="21" t="n">
        <v>0</v>
      </c>
      <c r="Y10660" s="21" t="n">
        <v>0</v>
      </c>
      <c r="Z10660" s="19" t="n"/>
    </row>
    <row r="10661">
      <c r="D10661" s="21">
        <f>-$B$10476</f>
        <v/>
      </c>
      <c r="E10661" s="21">
        <f>-$B$10477</f>
        <v/>
      </c>
      <c r="F10661" s="21">
        <f>2*$B$10476+$D$10648</f>
        <v/>
      </c>
      <c r="G10661" s="21">
        <f>0</f>
        <v/>
      </c>
      <c r="H10661" s="21">
        <f>-$B$10476</f>
        <v/>
      </c>
      <c r="I10661" s="21">
        <f>$B$10477</f>
        <v/>
      </c>
      <c r="J10661" s="21" t="n">
        <v>0</v>
      </c>
      <c r="K10661" s="21" t="n">
        <v>0</v>
      </c>
      <c r="L10661" s="21" t="n">
        <v>0</v>
      </c>
      <c r="M10661" s="21" t="n">
        <v>0</v>
      </c>
      <c r="N10661" s="21" t="n">
        <v>0</v>
      </c>
      <c r="O10661" s="21" t="n">
        <v>0</v>
      </c>
      <c r="P10661" s="21" t="n">
        <v>0</v>
      </c>
      <c r="Q10661" s="21" t="n">
        <v>0</v>
      </c>
      <c r="R10661" s="21" t="n">
        <v>0</v>
      </c>
      <c r="S10661" s="21" t="n">
        <v>0</v>
      </c>
      <c r="T10661" s="21" t="n">
        <v>0</v>
      </c>
      <c r="U10661" s="21" t="n">
        <v>0</v>
      </c>
      <c r="V10661" s="21" t="n">
        <v>0</v>
      </c>
      <c r="W10661" s="21" t="n">
        <v>0</v>
      </c>
      <c r="X10661" s="21" t="n">
        <v>0</v>
      </c>
      <c r="Y10661" s="21" t="n">
        <v>0</v>
      </c>
      <c r="Z10661" s="19" t="n"/>
    </row>
    <row r="10662">
      <c r="D10662" s="21">
        <f>$B$10477</f>
        <v/>
      </c>
      <c r="E10662" s="21">
        <f>$B$10479</f>
        <v/>
      </c>
      <c r="F10662" s="21">
        <f>0</f>
        <v/>
      </c>
      <c r="G10662" s="21">
        <f>2*$B$10478</f>
        <v/>
      </c>
      <c r="H10662" s="21">
        <f>-$B$10477</f>
        <v/>
      </c>
      <c r="I10662" s="21">
        <f>$B$10479</f>
        <v/>
      </c>
      <c r="J10662" s="21" t="n">
        <v>0</v>
      </c>
      <c r="K10662" s="21" t="n">
        <v>0</v>
      </c>
      <c r="L10662" s="21" t="n">
        <v>0</v>
      </c>
      <c r="M10662" s="21" t="n">
        <v>0</v>
      </c>
      <c r="N10662" s="21" t="n">
        <v>0</v>
      </c>
      <c r="O10662" s="21" t="n">
        <v>0</v>
      </c>
      <c r="P10662" s="21" t="n">
        <v>0</v>
      </c>
      <c r="Q10662" s="21" t="n">
        <v>0</v>
      </c>
      <c r="R10662" s="21" t="n">
        <v>0</v>
      </c>
      <c r="S10662" s="21" t="n">
        <v>0</v>
      </c>
      <c r="T10662" s="21" t="n">
        <v>0</v>
      </c>
      <c r="U10662" s="21" t="n">
        <v>0</v>
      </c>
      <c r="V10662" s="21" t="n">
        <v>0</v>
      </c>
      <c r="W10662" s="21" t="n">
        <v>0</v>
      </c>
      <c r="X10662" s="21" t="n">
        <v>0</v>
      </c>
      <c r="Y10662" s="21" t="n">
        <v>0</v>
      </c>
      <c r="Z10662" s="19" t="n"/>
    </row>
    <row r="10663">
      <c r="D10663" s="21" t="n">
        <v>0</v>
      </c>
      <c r="E10663" s="21" t="n">
        <v>0</v>
      </c>
      <c r="F10663" s="21">
        <f>-$B$10476</f>
        <v/>
      </c>
      <c r="G10663" s="21">
        <f>-$B$10477</f>
        <v/>
      </c>
      <c r="H10663" s="21">
        <f>2*$B$10476+$D$10649</f>
        <v/>
      </c>
      <c r="I10663" s="21">
        <f>0</f>
        <v/>
      </c>
      <c r="J10663" s="21">
        <f>-$B$10476</f>
        <v/>
      </c>
      <c r="K10663" s="21">
        <f>$B$10477</f>
        <v/>
      </c>
      <c r="L10663" s="21" t="n">
        <v>0</v>
      </c>
      <c r="M10663" s="21" t="n">
        <v>0</v>
      </c>
      <c r="N10663" s="21" t="n">
        <v>0</v>
      </c>
      <c r="O10663" s="21" t="n">
        <v>0</v>
      </c>
      <c r="P10663" s="21" t="n">
        <v>0</v>
      </c>
      <c r="Q10663" s="21" t="n">
        <v>0</v>
      </c>
      <c r="R10663" s="21" t="n">
        <v>0</v>
      </c>
      <c r="S10663" s="21" t="n">
        <v>0</v>
      </c>
      <c r="T10663" s="21" t="n">
        <v>0</v>
      </c>
      <c r="U10663" s="21" t="n">
        <v>0</v>
      </c>
      <c r="V10663" s="21" t="n">
        <v>0</v>
      </c>
      <c r="W10663" s="21" t="n">
        <v>0</v>
      </c>
      <c r="X10663" s="21" t="n">
        <v>0</v>
      </c>
      <c r="Y10663" s="21" t="n">
        <v>0</v>
      </c>
      <c r="Z10663" s="19" t="n"/>
    </row>
    <row r="10664">
      <c r="D10664" s="21" t="n">
        <v>0</v>
      </c>
      <c r="E10664" s="21" t="n">
        <v>0</v>
      </c>
      <c r="F10664" s="21">
        <f>$B$10477</f>
        <v/>
      </c>
      <c r="G10664" s="21">
        <f>$B$10479</f>
        <v/>
      </c>
      <c r="H10664" s="21">
        <f>0</f>
        <v/>
      </c>
      <c r="I10664" s="21">
        <f>2*$B$10478</f>
        <v/>
      </c>
      <c r="J10664" s="21">
        <f>-$B$10477</f>
        <v/>
      </c>
      <c r="K10664" s="21">
        <f>$B$10479</f>
        <v/>
      </c>
      <c r="L10664" s="21" t="n">
        <v>0</v>
      </c>
      <c r="M10664" s="21" t="n">
        <v>0</v>
      </c>
      <c r="N10664" s="21" t="n">
        <v>0</v>
      </c>
      <c r="O10664" s="21" t="n">
        <v>0</v>
      </c>
      <c r="P10664" s="21" t="n">
        <v>0</v>
      </c>
      <c r="Q10664" s="21" t="n">
        <v>0</v>
      </c>
      <c r="R10664" s="21" t="n">
        <v>0</v>
      </c>
      <c r="S10664" s="21" t="n">
        <v>0</v>
      </c>
      <c r="T10664" s="21" t="n">
        <v>0</v>
      </c>
      <c r="U10664" s="21" t="n">
        <v>0</v>
      </c>
      <c r="V10664" s="21" t="n">
        <v>0</v>
      </c>
      <c r="W10664" s="21" t="n">
        <v>0</v>
      </c>
      <c r="X10664" s="21" t="n">
        <v>0</v>
      </c>
      <c r="Y10664" s="21" t="n">
        <v>0</v>
      </c>
      <c r="Z10664" s="19" t="n"/>
    </row>
    <row r="10665">
      <c r="D10665" s="21" t="n">
        <v>0</v>
      </c>
      <c r="E10665" s="21" t="n">
        <v>0</v>
      </c>
      <c r="F10665" s="21" t="n">
        <v>0</v>
      </c>
      <c r="G10665" s="21" t="n">
        <v>0</v>
      </c>
      <c r="H10665" s="21">
        <f>-$B$10476</f>
        <v/>
      </c>
      <c r="I10665" s="21">
        <f>-$B$10477</f>
        <v/>
      </c>
      <c r="J10665" s="21">
        <f>2*$B$10476+$D$10650</f>
        <v/>
      </c>
      <c r="K10665" s="21">
        <f>0</f>
        <v/>
      </c>
      <c r="L10665" s="21">
        <f>-$B$10476</f>
        <v/>
      </c>
      <c r="M10665" s="21">
        <f>$B$10477</f>
        <v/>
      </c>
      <c r="N10665" s="21" t="n">
        <v>0</v>
      </c>
      <c r="O10665" s="21" t="n">
        <v>0</v>
      </c>
      <c r="P10665" s="21" t="n">
        <v>0</v>
      </c>
      <c r="Q10665" s="21" t="n">
        <v>0</v>
      </c>
      <c r="R10665" s="21" t="n">
        <v>0</v>
      </c>
      <c r="S10665" s="21" t="n">
        <v>0</v>
      </c>
      <c r="T10665" s="21" t="n">
        <v>0</v>
      </c>
      <c r="U10665" s="21" t="n">
        <v>0</v>
      </c>
      <c r="V10665" s="21" t="n">
        <v>0</v>
      </c>
      <c r="W10665" s="21" t="n">
        <v>0</v>
      </c>
      <c r="X10665" s="21" t="n">
        <v>0</v>
      </c>
      <c r="Y10665" s="21" t="n">
        <v>0</v>
      </c>
      <c r="Z10665" s="19" t="n"/>
    </row>
    <row r="10666">
      <c r="D10666" s="21" t="n">
        <v>0</v>
      </c>
      <c r="E10666" s="21" t="n">
        <v>0</v>
      </c>
      <c r="F10666" s="21" t="n">
        <v>0</v>
      </c>
      <c r="G10666" s="21" t="n">
        <v>0</v>
      </c>
      <c r="H10666" s="21">
        <f>$B$10477</f>
        <v/>
      </c>
      <c r="I10666" s="21">
        <f>$B$10479</f>
        <v/>
      </c>
      <c r="J10666" s="21">
        <f>0</f>
        <v/>
      </c>
      <c r="K10666" s="21">
        <f>2*$B$10478</f>
        <v/>
      </c>
      <c r="L10666" s="21">
        <f>-$B$10477</f>
        <v/>
      </c>
      <c r="M10666" s="21">
        <f>$B$10479</f>
        <v/>
      </c>
      <c r="N10666" s="21" t="n">
        <v>0</v>
      </c>
      <c r="O10666" s="21" t="n">
        <v>0</v>
      </c>
      <c r="P10666" s="21" t="n">
        <v>0</v>
      </c>
      <c r="Q10666" s="21" t="n">
        <v>0</v>
      </c>
      <c r="R10666" s="21" t="n">
        <v>0</v>
      </c>
      <c r="S10666" s="21" t="n">
        <v>0</v>
      </c>
      <c r="T10666" s="21" t="n">
        <v>0</v>
      </c>
      <c r="U10666" s="21" t="n">
        <v>0</v>
      </c>
      <c r="V10666" s="21" t="n">
        <v>0</v>
      </c>
      <c r="W10666" s="21" t="n">
        <v>0</v>
      </c>
      <c r="X10666" s="21" t="n">
        <v>0</v>
      </c>
      <c r="Y10666" s="21" t="n">
        <v>0</v>
      </c>
      <c r="Z10666" s="19" t="n"/>
    </row>
    <row r="10667">
      <c r="D10667" s="21" t="n">
        <v>0</v>
      </c>
      <c r="E10667" s="21" t="n">
        <v>0</v>
      </c>
      <c r="F10667" s="21" t="n">
        <v>0</v>
      </c>
      <c r="G10667" s="21" t="n">
        <v>0</v>
      </c>
      <c r="H10667" s="21" t="n">
        <v>0</v>
      </c>
      <c r="I10667" s="21" t="n">
        <v>0</v>
      </c>
      <c r="J10667" s="21">
        <f>-$B$10476</f>
        <v/>
      </c>
      <c r="K10667" s="21">
        <f>-$B$10477</f>
        <v/>
      </c>
      <c r="L10667" s="21">
        <f>2*$B$10476+$D$10651</f>
        <v/>
      </c>
      <c r="M10667" s="21">
        <f>0</f>
        <v/>
      </c>
      <c r="N10667" s="21">
        <f>-$B$10476</f>
        <v/>
      </c>
      <c r="O10667" s="21">
        <f>$B$10477</f>
        <v/>
      </c>
      <c r="P10667" s="21" t="n">
        <v>0</v>
      </c>
      <c r="Q10667" s="21" t="n">
        <v>0</v>
      </c>
      <c r="R10667" s="21" t="n">
        <v>0</v>
      </c>
      <c r="S10667" s="21" t="n">
        <v>0</v>
      </c>
      <c r="T10667" s="21" t="n">
        <v>0</v>
      </c>
      <c r="U10667" s="21" t="n">
        <v>0</v>
      </c>
      <c r="V10667" s="21" t="n">
        <v>0</v>
      </c>
      <c r="W10667" s="21" t="n">
        <v>0</v>
      </c>
      <c r="X10667" s="21" t="n">
        <v>0</v>
      </c>
      <c r="Y10667" s="21" t="n">
        <v>0</v>
      </c>
      <c r="Z10667" s="19" t="n"/>
    </row>
    <row r="10668">
      <c r="D10668" s="21" t="n">
        <v>0</v>
      </c>
      <c r="E10668" s="21" t="n">
        <v>0</v>
      </c>
      <c r="F10668" s="21" t="n">
        <v>0</v>
      </c>
      <c r="G10668" s="21" t="n">
        <v>0</v>
      </c>
      <c r="H10668" s="21" t="n">
        <v>0</v>
      </c>
      <c r="I10668" s="21" t="n">
        <v>0</v>
      </c>
      <c r="J10668" s="21">
        <f>$B$10477</f>
        <v/>
      </c>
      <c r="K10668" s="21">
        <f>$B$10479</f>
        <v/>
      </c>
      <c r="L10668" s="21">
        <f>0</f>
        <v/>
      </c>
      <c r="M10668" s="21">
        <f>2*$B$10478</f>
        <v/>
      </c>
      <c r="N10668" s="21">
        <f>-$B$10477</f>
        <v/>
      </c>
      <c r="O10668" s="21">
        <f>$B$10479</f>
        <v/>
      </c>
      <c r="P10668" s="21" t="n">
        <v>0</v>
      </c>
      <c r="Q10668" s="21" t="n">
        <v>0</v>
      </c>
      <c r="R10668" s="21" t="n">
        <v>0</v>
      </c>
      <c r="S10668" s="21" t="n">
        <v>0</v>
      </c>
      <c r="T10668" s="21" t="n">
        <v>0</v>
      </c>
      <c r="U10668" s="21" t="n">
        <v>0</v>
      </c>
      <c r="V10668" s="21" t="n">
        <v>0</v>
      </c>
      <c r="W10668" s="21" t="n">
        <v>0</v>
      </c>
      <c r="X10668" s="21" t="n">
        <v>0</v>
      </c>
      <c r="Y10668" s="21" t="n">
        <v>0</v>
      </c>
      <c r="Z10668" s="19" t="n"/>
    </row>
    <row r="10669">
      <c r="D10669" s="21" t="n">
        <v>0</v>
      </c>
      <c r="E10669" s="21" t="n">
        <v>0</v>
      </c>
      <c r="F10669" s="21" t="n">
        <v>0</v>
      </c>
      <c r="G10669" s="21" t="n">
        <v>0</v>
      </c>
      <c r="H10669" s="21" t="n">
        <v>0</v>
      </c>
      <c r="I10669" s="21" t="n">
        <v>0</v>
      </c>
      <c r="J10669" s="21" t="n">
        <v>0</v>
      </c>
      <c r="K10669" s="21" t="n">
        <v>0</v>
      </c>
      <c r="L10669" s="21">
        <f>-$B$10476</f>
        <v/>
      </c>
      <c r="M10669" s="21">
        <f>-$B$10477</f>
        <v/>
      </c>
      <c r="N10669" s="21">
        <f>2*$B$10476+$D$10652</f>
        <v/>
      </c>
      <c r="O10669" s="21">
        <f>0</f>
        <v/>
      </c>
      <c r="P10669" s="21">
        <f>-$B$10476</f>
        <v/>
      </c>
      <c r="Q10669" s="21">
        <f>$B$10477</f>
        <v/>
      </c>
      <c r="R10669" s="21" t="n">
        <v>0</v>
      </c>
      <c r="S10669" s="21" t="n">
        <v>0</v>
      </c>
      <c r="T10669" s="21" t="n">
        <v>0</v>
      </c>
      <c r="U10669" s="21" t="n">
        <v>0</v>
      </c>
      <c r="V10669" s="21" t="n">
        <v>0</v>
      </c>
      <c r="W10669" s="21" t="n">
        <v>0</v>
      </c>
      <c r="X10669" s="21" t="n">
        <v>0</v>
      </c>
      <c r="Y10669" s="21" t="n">
        <v>0</v>
      </c>
      <c r="Z10669" s="19" t="n"/>
    </row>
    <row r="10670">
      <c r="D10670" s="21" t="n">
        <v>0</v>
      </c>
      <c r="E10670" s="21" t="n">
        <v>0</v>
      </c>
      <c r="F10670" s="21" t="n">
        <v>0</v>
      </c>
      <c r="G10670" s="21" t="n">
        <v>0</v>
      </c>
      <c r="H10670" s="21" t="n">
        <v>0</v>
      </c>
      <c r="I10670" s="21" t="n">
        <v>0</v>
      </c>
      <c r="J10670" s="21" t="n">
        <v>0</v>
      </c>
      <c r="K10670" s="21" t="n">
        <v>0</v>
      </c>
      <c r="L10670" s="21">
        <f>$B$10477</f>
        <v/>
      </c>
      <c r="M10670" s="21">
        <f>$B$10479</f>
        <v/>
      </c>
      <c r="N10670" s="21">
        <f>0</f>
        <v/>
      </c>
      <c r="O10670" s="21">
        <f>2*$B$10478</f>
        <v/>
      </c>
      <c r="P10670" s="21">
        <f>-$B$10477</f>
        <v/>
      </c>
      <c r="Q10670" s="21">
        <f>$B$10479</f>
        <v/>
      </c>
      <c r="R10670" s="21" t="n">
        <v>0</v>
      </c>
      <c r="S10670" s="21" t="n">
        <v>0</v>
      </c>
      <c r="T10670" s="21" t="n">
        <v>0</v>
      </c>
      <c r="U10670" s="21" t="n">
        <v>0</v>
      </c>
      <c r="V10670" s="21" t="n">
        <v>0</v>
      </c>
      <c r="W10670" s="21" t="n">
        <v>0</v>
      </c>
      <c r="X10670" s="21" t="n">
        <v>0</v>
      </c>
      <c r="Y10670" s="21" t="n">
        <v>0</v>
      </c>
      <c r="Z10670" s="19" t="n"/>
    </row>
    <row r="10671">
      <c r="D10671" s="21" t="n">
        <v>0</v>
      </c>
      <c r="E10671" s="21" t="n">
        <v>0</v>
      </c>
      <c r="F10671" s="21" t="n">
        <v>0</v>
      </c>
      <c r="G10671" s="21" t="n">
        <v>0</v>
      </c>
      <c r="H10671" s="21" t="n">
        <v>0</v>
      </c>
      <c r="I10671" s="21" t="n">
        <v>0</v>
      </c>
      <c r="J10671" s="21" t="n">
        <v>0</v>
      </c>
      <c r="K10671" s="21" t="n">
        <v>0</v>
      </c>
      <c r="L10671" s="21" t="n">
        <v>0</v>
      </c>
      <c r="M10671" s="21" t="n">
        <v>0</v>
      </c>
      <c r="N10671" s="21">
        <f>-$B$10476</f>
        <v/>
      </c>
      <c r="O10671" s="21">
        <f>-$B$10477</f>
        <v/>
      </c>
      <c r="P10671" s="21">
        <f>2*$B$10476+$D$10653</f>
        <v/>
      </c>
      <c r="Q10671" s="21">
        <f>0</f>
        <v/>
      </c>
      <c r="R10671" s="21">
        <f>-$B$10476</f>
        <v/>
      </c>
      <c r="S10671" s="21">
        <f>$B$10477</f>
        <v/>
      </c>
      <c r="T10671" s="21" t="n">
        <v>0</v>
      </c>
      <c r="U10671" s="21" t="n">
        <v>0</v>
      </c>
      <c r="V10671" s="21" t="n">
        <v>0</v>
      </c>
      <c r="W10671" s="21" t="n">
        <v>0</v>
      </c>
      <c r="X10671" s="21" t="n">
        <v>0</v>
      </c>
      <c r="Y10671" s="21" t="n">
        <v>0</v>
      </c>
      <c r="Z10671" s="19" t="n"/>
    </row>
    <row r="10672">
      <c r="D10672" s="21" t="n">
        <v>0</v>
      </c>
      <c r="E10672" s="21" t="n">
        <v>0</v>
      </c>
      <c r="F10672" s="21" t="n">
        <v>0</v>
      </c>
      <c r="G10672" s="21" t="n">
        <v>0</v>
      </c>
      <c r="H10672" s="21" t="n">
        <v>0</v>
      </c>
      <c r="I10672" s="21" t="n">
        <v>0</v>
      </c>
      <c r="J10672" s="21" t="n">
        <v>0</v>
      </c>
      <c r="K10672" s="21" t="n">
        <v>0</v>
      </c>
      <c r="L10672" s="21" t="n">
        <v>0</v>
      </c>
      <c r="M10672" s="21" t="n">
        <v>0</v>
      </c>
      <c r="N10672" s="21">
        <f>$B$10477</f>
        <v/>
      </c>
      <c r="O10672" s="21">
        <f>$B$10479</f>
        <v/>
      </c>
      <c r="P10672" s="21">
        <f>0</f>
        <v/>
      </c>
      <c r="Q10672" s="21">
        <f>2*$B$10478</f>
        <v/>
      </c>
      <c r="R10672" s="21">
        <f>-$B$10477</f>
        <v/>
      </c>
      <c r="S10672" s="21">
        <f>$B$10479</f>
        <v/>
      </c>
      <c r="T10672" s="21" t="n">
        <v>0</v>
      </c>
      <c r="U10672" s="21" t="n">
        <v>0</v>
      </c>
      <c r="V10672" s="21" t="n">
        <v>0</v>
      </c>
      <c r="W10672" s="21" t="n">
        <v>0</v>
      </c>
      <c r="X10672" s="21" t="n">
        <v>0</v>
      </c>
      <c r="Y10672" s="21" t="n">
        <v>0</v>
      </c>
      <c r="Z10672" s="19" t="n"/>
    </row>
    <row r="10673">
      <c r="D10673" s="21" t="n">
        <v>0</v>
      </c>
      <c r="E10673" s="21" t="n">
        <v>0</v>
      </c>
      <c r="F10673" s="21" t="n">
        <v>0</v>
      </c>
      <c r="G10673" s="21" t="n">
        <v>0</v>
      </c>
      <c r="H10673" s="21" t="n">
        <v>0</v>
      </c>
      <c r="I10673" s="21" t="n">
        <v>0</v>
      </c>
      <c r="J10673" s="21" t="n">
        <v>0</v>
      </c>
      <c r="K10673" s="21" t="n">
        <v>0</v>
      </c>
      <c r="L10673" s="21" t="n">
        <v>0</v>
      </c>
      <c r="M10673" s="21" t="n">
        <v>0</v>
      </c>
      <c r="N10673" s="21" t="n">
        <v>0</v>
      </c>
      <c r="O10673" s="21" t="n">
        <v>0</v>
      </c>
      <c r="P10673" s="21">
        <f>-$B$10476</f>
        <v/>
      </c>
      <c r="Q10673" s="21">
        <f>-$B$10477</f>
        <v/>
      </c>
      <c r="R10673" s="21">
        <f>2*$B$10476+$D$10654</f>
        <v/>
      </c>
      <c r="S10673" s="21">
        <f>0</f>
        <v/>
      </c>
      <c r="T10673" s="21">
        <f>-$B$10476</f>
        <v/>
      </c>
      <c r="U10673" s="21">
        <f>$B$10477</f>
        <v/>
      </c>
      <c r="V10673" s="21" t="n">
        <v>0</v>
      </c>
      <c r="W10673" s="21" t="n">
        <v>0</v>
      </c>
      <c r="X10673" s="21" t="n">
        <v>0</v>
      </c>
      <c r="Y10673" s="21" t="n">
        <v>0</v>
      </c>
      <c r="Z10673" s="19" t="n"/>
    </row>
    <row r="10674">
      <c r="D10674" s="21" t="n">
        <v>0</v>
      </c>
      <c r="E10674" s="21" t="n">
        <v>0</v>
      </c>
      <c r="F10674" s="21" t="n">
        <v>0</v>
      </c>
      <c r="G10674" s="21" t="n">
        <v>0</v>
      </c>
      <c r="H10674" s="21" t="n">
        <v>0</v>
      </c>
      <c r="I10674" s="21" t="n">
        <v>0</v>
      </c>
      <c r="J10674" s="21" t="n">
        <v>0</v>
      </c>
      <c r="K10674" s="21" t="n">
        <v>0</v>
      </c>
      <c r="L10674" s="21" t="n">
        <v>0</v>
      </c>
      <c r="M10674" s="21" t="n">
        <v>0</v>
      </c>
      <c r="N10674" s="21" t="n">
        <v>0</v>
      </c>
      <c r="O10674" s="21" t="n">
        <v>0</v>
      </c>
      <c r="P10674" s="21">
        <f>$B$10477</f>
        <v/>
      </c>
      <c r="Q10674" s="21">
        <f>$B$10479</f>
        <v/>
      </c>
      <c r="R10674" s="21">
        <f>0</f>
        <v/>
      </c>
      <c r="S10674" s="21">
        <f>2*$B$10478</f>
        <v/>
      </c>
      <c r="T10674" s="21">
        <f>-$B$10477</f>
        <v/>
      </c>
      <c r="U10674" s="21">
        <f>$B$10479</f>
        <v/>
      </c>
      <c r="V10674" s="21" t="n">
        <v>0</v>
      </c>
      <c r="W10674" s="21" t="n">
        <v>0</v>
      </c>
      <c r="X10674" s="21" t="n">
        <v>0</v>
      </c>
      <c r="Y10674" s="21" t="n">
        <v>0</v>
      </c>
      <c r="Z10674" s="19" t="n"/>
    </row>
    <row r="10675">
      <c r="D10675" s="21" t="n">
        <v>0</v>
      </c>
      <c r="E10675" s="21" t="n">
        <v>0</v>
      </c>
      <c r="F10675" s="21" t="n">
        <v>0</v>
      </c>
      <c r="G10675" s="21" t="n">
        <v>0</v>
      </c>
      <c r="H10675" s="21" t="n">
        <v>0</v>
      </c>
      <c r="I10675" s="21" t="n">
        <v>0</v>
      </c>
      <c r="J10675" s="21" t="n">
        <v>0</v>
      </c>
      <c r="K10675" s="21" t="n">
        <v>0</v>
      </c>
      <c r="L10675" s="21" t="n">
        <v>0</v>
      </c>
      <c r="M10675" s="21" t="n">
        <v>0</v>
      </c>
      <c r="N10675" s="21" t="n">
        <v>0</v>
      </c>
      <c r="O10675" s="21" t="n">
        <v>0</v>
      </c>
      <c r="P10675" s="21" t="n">
        <v>0</v>
      </c>
      <c r="Q10675" s="21" t="n">
        <v>0</v>
      </c>
      <c r="R10675" s="21">
        <f>-$B$10476</f>
        <v/>
      </c>
      <c r="S10675" s="21">
        <f>-$B$10477</f>
        <v/>
      </c>
      <c r="T10675" s="21">
        <f>2*$B$10476+$D$10655</f>
        <v/>
      </c>
      <c r="U10675" s="21">
        <f>0</f>
        <v/>
      </c>
      <c r="V10675" s="21">
        <f>-$B$10476</f>
        <v/>
      </c>
      <c r="W10675" s="21">
        <f>$B$10477</f>
        <v/>
      </c>
      <c r="X10675" s="21" t="n">
        <v>0</v>
      </c>
      <c r="Y10675" s="21" t="n">
        <v>0</v>
      </c>
      <c r="Z10675" s="19" t="n"/>
    </row>
    <row r="10676">
      <c r="D10676" s="21" t="n">
        <v>0</v>
      </c>
      <c r="E10676" s="21" t="n">
        <v>0</v>
      </c>
      <c r="F10676" s="21" t="n">
        <v>0</v>
      </c>
      <c r="G10676" s="21" t="n">
        <v>0</v>
      </c>
      <c r="H10676" s="21" t="n">
        <v>0</v>
      </c>
      <c r="I10676" s="21" t="n">
        <v>0</v>
      </c>
      <c r="J10676" s="21" t="n">
        <v>0</v>
      </c>
      <c r="K10676" s="21" t="n">
        <v>0</v>
      </c>
      <c r="L10676" s="21" t="n">
        <v>0</v>
      </c>
      <c r="M10676" s="21" t="n">
        <v>0</v>
      </c>
      <c r="N10676" s="21" t="n">
        <v>0</v>
      </c>
      <c r="O10676" s="21" t="n">
        <v>0</v>
      </c>
      <c r="P10676" s="21" t="n">
        <v>0</v>
      </c>
      <c r="Q10676" s="21" t="n">
        <v>0</v>
      </c>
      <c r="R10676" s="21">
        <f>$B$10477</f>
        <v/>
      </c>
      <c r="S10676" s="21">
        <f>$B$10479</f>
        <v/>
      </c>
      <c r="T10676" s="21">
        <f>0</f>
        <v/>
      </c>
      <c r="U10676" s="21">
        <f>2*$B$10478</f>
        <v/>
      </c>
      <c r="V10676" s="21">
        <f>-$B$10477</f>
        <v/>
      </c>
      <c r="W10676" s="21">
        <f>$B$10479</f>
        <v/>
      </c>
      <c r="X10676" s="21" t="n">
        <v>0</v>
      </c>
      <c r="Y10676" s="21" t="n">
        <v>0</v>
      </c>
      <c r="Z10676" s="19" t="n"/>
    </row>
    <row r="10677">
      <c r="D10677" s="21" t="n">
        <v>0</v>
      </c>
      <c r="E10677" s="21" t="n">
        <v>0</v>
      </c>
      <c r="F10677" s="21" t="n">
        <v>0</v>
      </c>
      <c r="G10677" s="21" t="n">
        <v>0</v>
      </c>
      <c r="H10677" s="21" t="n">
        <v>0</v>
      </c>
      <c r="I10677" s="21" t="n">
        <v>0</v>
      </c>
      <c r="J10677" s="21" t="n">
        <v>0</v>
      </c>
      <c r="K10677" s="21" t="n">
        <v>0</v>
      </c>
      <c r="L10677" s="21" t="n">
        <v>0</v>
      </c>
      <c r="M10677" s="21" t="n">
        <v>0</v>
      </c>
      <c r="N10677" s="21" t="n">
        <v>0</v>
      </c>
      <c r="O10677" s="21" t="n">
        <v>0</v>
      </c>
      <c r="P10677" s="21" t="n">
        <v>0</v>
      </c>
      <c r="Q10677" s="21" t="n">
        <v>0</v>
      </c>
      <c r="R10677" s="21" t="n">
        <v>0</v>
      </c>
      <c r="S10677" s="21" t="n">
        <v>0</v>
      </c>
      <c r="T10677" s="21">
        <f>-$B$10476</f>
        <v/>
      </c>
      <c r="U10677" s="21">
        <f>-$B$10477</f>
        <v/>
      </c>
      <c r="V10677" s="21">
        <f>2*$B$10476+$D$10656</f>
        <v/>
      </c>
      <c r="W10677" s="21">
        <f>0</f>
        <v/>
      </c>
      <c r="X10677" s="21">
        <f>-$B$10476</f>
        <v/>
      </c>
      <c r="Y10677" s="21">
        <f>$B$10477</f>
        <v/>
      </c>
      <c r="Z10677" s="19" t="n"/>
    </row>
    <row r="10678">
      <c r="D10678" s="21" t="n">
        <v>0</v>
      </c>
      <c r="E10678" s="21" t="n">
        <v>0</v>
      </c>
      <c r="F10678" s="21" t="n">
        <v>0</v>
      </c>
      <c r="G10678" s="21" t="n">
        <v>0</v>
      </c>
      <c r="H10678" s="21" t="n">
        <v>0</v>
      </c>
      <c r="I10678" s="21" t="n">
        <v>0</v>
      </c>
      <c r="J10678" s="21" t="n">
        <v>0</v>
      </c>
      <c r="K10678" s="21" t="n">
        <v>0</v>
      </c>
      <c r="L10678" s="21" t="n">
        <v>0</v>
      </c>
      <c r="M10678" s="21" t="n">
        <v>0</v>
      </c>
      <c r="N10678" s="21" t="n">
        <v>0</v>
      </c>
      <c r="O10678" s="21" t="n">
        <v>0</v>
      </c>
      <c r="P10678" s="21" t="n">
        <v>0</v>
      </c>
      <c r="Q10678" s="21" t="n">
        <v>0</v>
      </c>
      <c r="R10678" s="21" t="n">
        <v>0</v>
      </c>
      <c r="S10678" s="21" t="n">
        <v>0</v>
      </c>
      <c r="T10678" s="21">
        <f>$B$10477</f>
        <v/>
      </c>
      <c r="U10678" s="21">
        <f>$B$10479</f>
        <v/>
      </c>
      <c r="V10678" s="21">
        <f>0</f>
        <v/>
      </c>
      <c r="W10678" s="21">
        <f>2*$B$10478</f>
        <v/>
      </c>
      <c r="X10678" s="21">
        <f>-$B$10477</f>
        <v/>
      </c>
      <c r="Y10678" s="21">
        <f>$B$10479</f>
        <v/>
      </c>
      <c r="Z10678" s="19" t="n"/>
    </row>
    <row r="10679">
      <c r="D10679" s="21" t="n">
        <v>0</v>
      </c>
      <c r="E10679" s="21" t="n">
        <v>0</v>
      </c>
      <c r="F10679" s="21" t="n">
        <v>0</v>
      </c>
      <c r="G10679" s="21" t="n">
        <v>0</v>
      </c>
      <c r="H10679" s="21" t="n">
        <v>0</v>
      </c>
      <c r="I10679" s="21" t="n">
        <v>0</v>
      </c>
      <c r="J10679" s="21" t="n">
        <v>0</v>
      </c>
      <c r="K10679" s="21" t="n">
        <v>0</v>
      </c>
      <c r="L10679" s="21" t="n">
        <v>0</v>
      </c>
      <c r="M10679" s="21" t="n">
        <v>0</v>
      </c>
      <c r="N10679" s="21" t="n">
        <v>0</v>
      </c>
      <c r="O10679" s="21" t="n">
        <v>0</v>
      </c>
      <c r="P10679" s="21" t="n">
        <v>0</v>
      </c>
      <c r="Q10679" s="21" t="n">
        <v>0</v>
      </c>
      <c r="R10679" s="21" t="n">
        <v>0</v>
      </c>
      <c r="S10679" s="21" t="n">
        <v>0</v>
      </c>
      <c r="T10679" s="21" t="n">
        <v>0</v>
      </c>
      <c r="U10679" s="21" t="n">
        <v>0</v>
      </c>
      <c r="V10679" s="21">
        <f>-$B$10476</f>
        <v/>
      </c>
      <c r="W10679" s="21">
        <f>-$B$10477</f>
        <v/>
      </c>
      <c r="X10679" s="21">
        <f>$B$10476+$D$10657</f>
        <v/>
      </c>
      <c r="Y10679" s="21">
        <f>-$B$10477</f>
        <v/>
      </c>
      <c r="Z10679" s="19" t="n"/>
    </row>
    <row r="10680">
      <c r="D10680" s="21" t="n">
        <v>0</v>
      </c>
      <c r="E10680" s="21" t="n">
        <v>0</v>
      </c>
      <c r="F10680" s="21" t="n">
        <v>0</v>
      </c>
      <c r="G10680" s="21" t="n">
        <v>0</v>
      </c>
      <c r="H10680" s="21" t="n">
        <v>0</v>
      </c>
      <c r="I10680" s="21" t="n">
        <v>0</v>
      </c>
      <c r="J10680" s="21" t="n">
        <v>0</v>
      </c>
      <c r="K10680" s="21" t="n">
        <v>0</v>
      </c>
      <c r="L10680" s="21" t="n">
        <v>0</v>
      </c>
      <c r="M10680" s="21" t="n">
        <v>0</v>
      </c>
      <c r="N10680" s="21" t="n">
        <v>0</v>
      </c>
      <c r="O10680" s="21" t="n">
        <v>0</v>
      </c>
      <c r="P10680" s="21" t="n">
        <v>0</v>
      </c>
      <c r="Q10680" s="21" t="n">
        <v>0</v>
      </c>
      <c r="R10680" s="21" t="n">
        <v>0</v>
      </c>
      <c r="S10680" s="21" t="n">
        <v>0</v>
      </c>
      <c r="T10680" s="21" t="n">
        <v>0</v>
      </c>
      <c r="U10680" s="21" t="n">
        <v>0</v>
      </c>
      <c r="V10680" s="21">
        <f>$B$10477</f>
        <v/>
      </c>
      <c r="W10680" s="21">
        <f>$B$10479</f>
        <v/>
      </c>
      <c r="X10680" s="21">
        <f>-$B$10477</f>
        <v/>
      </c>
      <c r="Y10680" s="21">
        <f>$B$10478</f>
        <v/>
      </c>
      <c r="Z10680" s="19" t="n"/>
    </row>
    <row r="10682">
      <c r="A10682" s="8" t="inlineStr">
        <is>
          <t>gen 5</t>
        </is>
      </c>
    </row>
    <row r="10683">
      <c r="D10683" s="19">
        <f>IF(ABS(IF(ABS($E$10647)&gt;0.000000001,$E$10647,0.000000001))=0,0,IF($E$10491&lt;=$B$10485,0,IF(ABS(IF(ABS($E$10647)&gt;0.000000001,$E$10647,0.000000001))&gt;=8*$B$10487,$H$10491,0.5*$H$10491*(ABS(IF(ABS($E$10647)&gt;0.000000001,$E$10647,0.000000001))/$B$10487)^(1/3)))/ABS(IF(ABS($E$10647)&gt;0.000000001,$E$10647,0.000000001))*$I$10491)</f>
        <v/>
      </c>
      <c r="E10683" s="19">
        <f>0.5*$E$10647+0.5*$Z$10695</f>
        <v/>
      </c>
      <c r="F10683" s="19">
        <f>$Z$10696</f>
        <v/>
      </c>
    </row>
    <row r="10684">
      <c r="D10684" s="19">
        <f>IF(ABS(IF(ABS($E$10648)&gt;0.000000001,$E$10648,0.000000001))=0,0,IF($E$10492&lt;=$B$10485,0,IF(ABS(IF(ABS($E$10648)&gt;0.000000001,$E$10648,0.000000001))&gt;=8*$B$10487,$H$10492,0.5*$H$10492*(ABS(IF(ABS($E$10648)&gt;0.000000001,$E$10648,0.000000001))/$B$10487)^(1/3)))/ABS(IF(ABS($E$10648)&gt;0.000000001,$E$10648,0.000000001))*$I$10492)</f>
        <v/>
      </c>
      <c r="E10684" s="19">
        <f>0.5*$E$10648+0.5*$Z$10697</f>
        <v/>
      </c>
      <c r="F10684" s="19">
        <f>$Z$10698</f>
        <v/>
      </c>
    </row>
    <row r="10685">
      <c r="D10685" s="19">
        <f>IF(ABS(IF(ABS($E$10649)&gt;0.000000001,$E$10649,0.000000001))=0,0,IF($E$10493&lt;=$B$10485,0,IF(ABS(IF(ABS($E$10649)&gt;0.000000001,$E$10649,0.000000001))&gt;=8*$B$10487,$H$10493,0.5*$H$10493*(ABS(IF(ABS($E$10649)&gt;0.000000001,$E$10649,0.000000001))/$B$10487)^(1/3)))/ABS(IF(ABS($E$10649)&gt;0.000000001,$E$10649,0.000000001))*$I$10493)</f>
        <v/>
      </c>
      <c r="E10685" s="19">
        <f>0.5*$E$10649+0.5*$Z$10699</f>
        <v/>
      </c>
      <c r="F10685" s="19">
        <f>$Z$10700</f>
        <v/>
      </c>
    </row>
    <row r="10686">
      <c r="D10686" s="19">
        <f>IF(ABS(IF(ABS($E$10650)&gt;0.000000001,$E$10650,0.000000001))=0,0,IF($E$10494&lt;=$B$10485,0,IF(ABS(IF(ABS($E$10650)&gt;0.000000001,$E$10650,0.000000001))&gt;=8*$B$10487,$H$10494,0.5*$H$10494*(ABS(IF(ABS($E$10650)&gt;0.000000001,$E$10650,0.000000001))/$B$10487)^(1/3)))/ABS(IF(ABS($E$10650)&gt;0.000000001,$E$10650,0.000000001))*$I$10494)</f>
        <v/>
      </c>
      <c r="E10686" s="19">
        <f>0.5*$E$10650+0.5*$Z$10701</f>
        <v/>
      </c>
      <c r="F10686" s="19">
        <f>$Z$10702</f>
        <v/>
      </c>
    </row>
    <row r="10687">
      <c r="D10687" s="19">
        <f>IF(ABS(IF(ABS($E$10651)&gt;0.000000001,$E$10651,0.000000001))=0,0,IF($E$10495&lt;=$B$10485,0,IF(ABS(IF(ABS($E$10651)&gt;0.000000001,$E$10651,0.000000001))&gt;=8*$B$10487,$H$10495,0.5*$H$10495*(ABS(IF(ABS($E$10651)&gt;0.000000001,$E$10651,0.000000001))/$B$10487)^(1/3)))/ABS(IF(ABS($E$10651)&gt;0.000000001,$E$10651,0.000000001))*$I$10495)</f>
        <v/>
      </c>
      <c r="E10687" s="19">
        <f>0.5*$E$10651+0.5*$Z$10703</f>
        <v/>
      </c>
      <c r="F10687" s="19">
        <f>$Z$10704</f>
        <v/>
      </c>
    </row>
    <row r="10688">
      <c r="D10688" s="19">
        <f>IF(ABS(IF(ABS($E$10652)&gt;0.000000001,$E$10652,0.000000001))=0,0,IF($E$10496&lt;=$B$10485,0,IF(ABS(IF(ABS($E$10652)&gt;0.000000001,$E$10652,0.000000001))&gt;=8*$B$10487,$H$10496,0.5*$H$10496*(ABS(IF(ABS($E$10652)&gt;0.000000001,$E$10652,0.000000001))/$B$10487)^(1/3)))/ABS(IF(ABS($E$10652)&gt;0.000000001,$E$10652,0.000000001))*$I$10496)</f>
        <v/>
      </c>
      <c r="E10688" s="19">
        <f>0.5*$E$10652+0.5*$Z$10705</f>
        <v/>
      </c>
      <c r="F10688" s="19">
        <f>$Z$10706</f>
        <v/>
      </c>
    </row>
    <row r="10689">
      <c r="D10689" s="19">
        <f>IF(ABS(IF(ABS($E$10653)&gt;0.000000001,$E$10653,0.000000001))=0,0,IF($E$10497&lt;=$B$10485,0,IF(ABS(IF(ABS($E$10653)&gt;0.000000001,$E$10653,0.000000001))&gt;=8*$B$10487,$H$10497,0.5*$H$10497*(ABS(IF(ABS($E$10653)&gt;0.000000001,$E$10653,0.000000001))/$B$10487)^(1/3)))/ABS(IF(ABS($E$10653)&gt;0.000000001,$E$10653,0.000000001))*$I$10497)</f>
        <v/>
      </c>
      <c r="E10689" s="19">
        <f>0.5*$E$10653+0.5*$Z$10707</f>
        <v/>
      </c>
      <c r="F10689" s="19">
        <f>$Z$10708</f>
        <v/>
      </c>
    </row>
    <row r="10690">
      <c r="D10690" s="19">
        <f>IF(ABS(IF(ABS($E$10654)&gt;0.000000001,$E$10654,0.000000001))=0,0,IF($E$10498&lt;=$B$10485,0,IF(ABS(IF(ABS($E$10654)&gt;0.000000001,$E$10654,0.000000001))&gt;=8*$B$10487,$H$10498,0.5*$H$10498*(ABS(IF(ABS($E$10654)&gt;0.000000001,$E$10654,0.000000001))/$B$10487)^(1/3)))/ABS(IF(ABS($E$10654)&gt;0.000000001,$E$10654,0.000000001))*$I$10498)</f>
        <v/>
      </c>
      <c r="E10690" s="19">
        <f>0.5*$E$10654+0.5*$Z$10709</f>
        <v/>
      </c>
      <c r="F10690" s="19">
        <f>$Z$10710</f>
        <v/>
      </c>
    </row>
    <row r="10691">
      <c r="D10691" s="19">
        <f>IF(ABS(IF(ABS($E$10655)&gt;0.000000001,$E$10655,0.000000001))=0,0,IF($E$10499&lt;=$B$10485,0,IF(ABS(IF(ABS($E$10655)&gt;0.000000001,$E$10655,0.000000001))&gt;=8*$B$10487,$H$10499,0.5*$H$10499*(ABS(IF(ABS($E$10655)&gt;0.000000001,$E$10655,0.000000001))/$B$10487)^(1/3)))/ABS(IF(ABS($E$10655)&gt;0.000000001,$E$10655,0.000000001))*$I$10499)</f>
        <v/>
      </c>
      <c r="E10691" s="19">
        <f>0.5*$E$10655+0.5*$Z$10711</f>
        <v/>
      </c>
      <c r="F10691" s="19">
        <f>$Z$10712</f>
        <v/>
      </c>
    </row>
    <row r="10692">
      <c r="D10692" s="19">
        <f>IF(ABS(IF(ABS($E$10656)&gt;0.000000001,$E$10656,0.000000001))=0,0,IF($E$10500&lt;=$B$10485,0,IF(ABS(IF(ABS($E$10656)&gt;0.000000001,$E$10656,0.000000001))&gt;=8*$B$10487,$H$10500,0.5*$H$10500*(ABS(IF(ABS($E$10656)&gt;0.000000001,$E$10656,0.000000001))/$B$10487)^(1/3)))/ABS(IF(ABS($E$10656)&gt;0.000000001,$E$10656,0.000000001))*$I$10500)</f>
        <v/>
      </c>
      <c r="E10692" s="19">
        <f>0.5*$E$10656+0.5*$Z$10713</f>
        <v/>
      </c>
      <c r="F10692" s="19">
        <f>$Z$10714</f>
        <v/>
      </c>
    </row>
    <row r="10693">
      <c r="D10693" s="19">
        <f>IF(ABS(IF(ABS($E$10657)&gt;0.000000001,$E$10657,0.000000001))=0,0,IF($E$10501&lt;=$B$10485,0,IF(ABS(IF(ABS($E$10657)&gt;0.000000001,$E$10657,0.000000001))&gt;=8*$B$10487,$H$10501,0.5*$H$10501*(ABS(IF(ABS($E$10657)&gt;0.000000001,$E$10657,0.000000001))/$B$10487)^(1/3)))/ABS(IF(ABS($E$10657)&gt;0.000000001,$E$10657,0.000000001))*$I$10501)</f>
        <v/>
      </c>
      <c r="E10693" s="19">
        <f>0.5*$E$10657+0.5*$Z$10715</f>
        <v/>
      </c>
      <c r="F10693" s="19">
        <f>$Z$10716</f>
        <v/>
      </c>
    </row>
    <row r="10695">
      <c r="D10695" s="21">
        <f>$B$10476+$D$10683</f>
        <v/>
      </c>
      <c r="E10695" s="21">
        <f>$B$10477</f>
        <v/>
      </c>
      <c r="F10695" s="21">
        <f>-$B$10476</f>
        <v/>
      </c>
      <c r="G10695" s="21">
        <f>$B$10477</f>
        <v/>
      </c>
      <c r="H10695" s="21" t="n">
        <v>0</v>
      </c>
      <c r="I10695" s="21" t="n">
        <v>0</v>
      </c>
      <c r="J10695" s="21" t="n">
        <v>0</v>
      </c>
      <c r="K10695" s="21" t="n">
        <v>0</v>
      </c>
      <c r="L10695" s="21" t="n">
        <v>0</v>
      </c>
      <c r="M10695" s="21" t="n">
        <v>0</v>
      </c>
      <c r="N10695" s="21" t="n">
        <v>0</v>
      </c>
      <c r="O10695" s="21" t="n">
        <v>0</v>
      </c>
      <c r="P10695" s="21" t="n">
        <v>0</v>
      </c>
      <c r="Q10695" s="21" t="n">
        <v>0</v>
      </c>
      <c r="R10695" s="21" t="n">
        <v>0</v>
      </c>
      <c r="S10695" s="21" t="n">
        <v>0</v>
      </c>
      <c r="T10695" s="21" t="n">
        <v>0</v>
      </c>
      <c r="U10695" s="21" t="n">
        <v>0</v>
      </c>
      <c r="V10695" s="21" t="n">
        <v>0</v>
      </c>
      <c r="W10695" s="21" t="n">
        <v>0</v>
      </c>
      <c r="X10695" s="21" t="n">
        <v>0</v>
      </c>
      <c r="Y10695" s="21" t="n">
        <v>0</v>
      </c>
      <c r="Z10695" s="19">
        <f t="array" ref="Z10695:Z10716">MMULT(MINVERSE($D$10695:$Y$10716),$D$10503:$D$10524)</f>
        <v/>
      </c>
    </row>
    <row r="10696">
      <c r="D10696" s="21">
        <f>$B$10477</f>
        <v/>
      </c>
      <c r="E10696" s="21">
        <f>$B$10478</f>
        <v/>
      </c>
      <c r="F10696" s="21">
        <f>-$B$10477</f>
        <v/>
      </c>
      <c r="G10696" s="21">
        <f>$B$10479</f>
        <v/>
      </c>
      <c r="H10696" s="21" t="n">
        <v>0</v>
      </c>
      <c r="I10696" s="21" t="n">
        <v>0</v>
      </c>
      <c r="J10696" s="21" t="n">
        <v>0</v>
      </c>
      <c r="K10696" s="21" t="n">
        <v>0</v>
      </c>
      <c r="L10696" s="21" t="n">
        <v>0</v>
      </c>
      <c r="M10696" s="21" t="n">
        <v>0</v>
      </c>
      <c r="N10696" s="21" t="n">
        <v>0</v>
      </c>
      <c r="O10696" s="21" t="n">
        <v>0</v>
      </c>
      <c r="P10696" s="21" t="n">
        <v>0</v>
      </c>
      <c r="Q10696" s="21" t="n">
        <v>0</v>
      </c>
      <c r="R10696" s="21" t="n">
        <v>0</v>
      </c>
      <c r="S10696" s="21" t="n">
        <v>0</v>
      </c>
      <c r="T10696" s="21" t="n">
        <v>0</v>
      </c>
      <c r="U10696" s="21" t="n">
        <v>0</v>
      </c>
      <c r="V10696" s="21" t="n">
        <v>0</v>
      </c>
      <c r="W10696" s="21" t="n">
        <v>0</v>
      </c>
      <c r="X10696" s="21" t="n">
        <v>0</v>
      </c>
      <c r="Y10696" s="21" t="n">
        <v>0</v>
      </c>
      <c r="Z10696" s="19" t="n"/>
    </row>
    <row r="10697">
      <c r="D10697" s="21">
        <f>-$B$10476</f>
        <v/>
      </c>
      <c r="E10697" s="21">
        <f>-$B$10477</f>
        <v/>
      </c>
      <c r="F10697" s="21">
        <f>2*$B$10476+$D$10684</f>
        <v/>
      </c>
      <c r="G10697" s="21">
        <f>0</f>
        <v/>
      </c>
      <c r="H10697" s="21">
        <f>-$B$10476</f>
        <v/>
      </c>
      <c r="I10697" s="21">
        <f>$B$10477</f>
        <v/>
      </c>
      <c r="J10697" s="21" t="n">
        <v>0</v>
      </c>
      <c r="K10697" s="21" t="n">
        <v>0</v>
      </c>
      <c r="L10697" s="21" t="n">
        <v>0</v>
      </c>
      <c r="M10697" s="21" t="n">
        <v>0</v>
      </c>
      <c r="N10697" s="21" t="n">
        <v>0</v>
      </c>
      <c r="O10697" s="21" t="n">
        <v>0</v>
      </c>
      <c r="P10697" s="21" t="n">
        <v>0</v>
      </c>
      <c r="Q10697" s="21" t="n">
        <v>0</v>
      </c>
      <c r="R10697" s="21" t="n">
        <v>0</v>
      </c>
      <c r="S10697" s="21" t="n">
        <v>0</v>
      </c>
      <c r="T10697" s="21" t="n">
        <v>0</v>
      </c>
      <c r="U10697" s="21" t="n">
        <v>0</v>
      </c>
      <c r="V10697" s="21" t="n">
        <v>0</v>
      </c>
      <c r="W10697" s="21" t="n">
        <v>0</v>
      </c>
      <c r="X10697" s="21" t="n">
        <v>0</v>
      </c>
      <c r="Y10697" s="21" t="n">
        <v>0</v>
      </c>
      <c r="Z10697" s="19" t="n"/>
    </row>
    <row r="10698">
      <c r="D10698" s="21">
        <f>$B$10477</f>
        <v/>
      </c>
      <c r="E10698" s="21">
        <f>$B$10479</f>
        <v/>
      </c>
      <c r="F10698" s="21">
        <f>0</f>
        <v/>
      </c>
      <c r="G10698" s="21">
        <f>2*$B$10478</f>
        <v/>
      </c>
      <c r="H10698" s="21">
        <f>-$B$10477</f>
        <v/>
      </c>
      <c r="I10698" s="21">
        <f>$B$10479</f>
        <v/>
      </c>
      <c r="J10698" s="21" t="n">
        <v>0</v>
      </c>
      <c r="K10698" s="21" t="n">
        <v>0</v>
      </c>
      <c r="L10698" s="21" t="n">
        <v>0</v>
      </c>
      <c r="M10698" s="21" t="n">
        <v>0</v>
      </c>
      <c r="N10698" s="21" t="n">
        <v>0</v>
      </c>
      <c r="O10698" s="21" t="n">
        <v>0</v>
      </c>
      <c r="P10698" s="21" t="n">
        <v>0</v>
      </c>
      <c r="Q10698" s="21" t="n">
        <v>0</v>
      </c>
      <c r="R10698" s="21" t="n">
        <v>0</v>
      </c>
      <c r="S10698" s="21" t="n">
        <v>0</v>
      </c>
      <c r="T10698" s="21" t="n">
        <v>0</v>
      </c>
      <c r="U10698" s="21" t="n">
        <v>0</v>
      </c>
      <c r="V10698" s="21" t="n">
        <v>0</v>
      </c>
      <c r="W10698" s="21" t="n">
        <v>0</v>
      </c>
      <c r="X10698" s="21" t="n">
        <v>0</v>
      </c>
      <c r="Y10698" s="21" t="n">
        <v>0</v>
      </c>
      <c r="Z10698" s="19" t="n"/>
    </row>
    <row r="10699">
      <c r="D10699" s="21" t="n">
        <v>0</v>
      </c>
      <c r="E10699" s="21" t="n">
        <v>0</v>
      </c>
      <c r="F10699" s="21">
        <f>-$B$10476</f>
        <v/>
      </c>
      <c r="G10699" s="21">
        <f>-$B$10477</f>
        <v/>
      </c>
      <c r="H10699" s="21">
        <f>2*$B$10476+$D$10685</f>
        <v/>
      </c>
      <c r="I10699" s="21">
        <f>0</f>
        <v/>
      </c>
      <c r="J10699" s="21">
        <f>-$B$10476</f>
        <v/>
      </c>
      <c r="K10699" s="21">
        <f>$B$10477</f>
        <v/>
      </c>
      <c r="L10699" s="21" t="n">
        <v>0</v>
      </c>
      <c r="M10699" s="21" t="n">
        <v>0</v>
      </c>
      <c r="N10699" s="21" t="n">
        <v>0</v>
      </c>
      <c r="O10699" s="21" t="n">
        <v>0</v>
      </c>
      <c r="P10699" s="21" t="n">
        <v>0</v>
      </c>
      <c r="Q10699" s="21" t="n">
        <v>0</v>
      </c>
      <c r="R10699" s="21" t="n">
        <v>0</v>
      </c>
      <c r="S10699" s="21" t="n">
        <v>0</v>
      </c>
      <c r="T10699" s="21" t="n">
        <v>0</v>
      </c>
      <c r="U10699" s="21" t="n">
        <v>0</v>
      </c>
      <c r="V10699" s="21" t="n">
        <v>0</v>
      </c>
      <c r="W10699" s="21" t="n">
        <v>0</v>
      </c>
      <c r="X10699" s="21" t="n">
        <v>0</v>
      </c>
      <c r="Y10699" s="21" t="n">
        <v>0</v>
      </c>
      <c r="Z10699" s="19" t="n"/>
    </row>
    <row r="10700">
      <c r="D10700" s="21" t="n">
        <v>0</v>
      </c>
      <c r="E10700" s="21" t="n">
        <v>0</v>
      </c>
      <c r="F10700" s="21">
        <f>$B$10477</f>
        <v/>
      </c>
      <c r="G10700" s="21">
        <f>$B$10479</f>
        <v/>
      </c>
      <c r="H10700" s="21">
        <f>0</f>
        <v/>
      </c>
      <c r="I10700" s="21">
        <f>2*$B$10478</f>
        <v/>
      </c>
      <c r="J10700" s="21">
        <f>-$B$10477</f>
        <v/>
      </c>
      <c r="K10700" s="21">
        <f>$B$10479</f>
        <v/>
      </c>
      <c r="L10700" s="21" t="n">
        <v>0</v>
      </c>
      <c r="M10700" s="21" t="n">
        <v>0</v>
      </c>
      <c r="N10700" s="21" t="n">
        <v>0</v>
      </c>
      <c r="O10700" s="21" t="n">
        <v>0</v>
      </c>
      <c r="P10700" s="21" t="n">
        <v>0</v>
      </c>
      <c r="Q10700" s="21" t="n">
        <v>0</v>
      </c>
      <c r="R10700" s="21" t="n">
        <v>0</v>
      </c>
      <c r="S10700" s="21" t="n">
        <v>0</v>
      </c>
      <c r="T10700" s="21" t="n">
        <v>0</v>
      </c>
      <c r="U10700" s="21" t="n">
        <v>0</v>
      </c>
      <c r="V10700" s="21" t="n">
        <v>0</v>
      </c>
      <c r="W10700" s="21" t="n">
        <v>0</v>
      </c>
      <c r="X10700" s="21" t="n">
        <v>0</v>
      </c>
      <c r="Y10700" s="21" t="n">
        <v>0</v>
      </c>
      <c r="Z10700" s="19" t="n"/>
    </row>
    <row r="10701">
      <c r="D10701" s="21" t="n">
        <v>0</v>
      </c>
      <c r="E10701" s="21" t="n">
        <v>0</v>
      </c>
      <c r="F10701" s="21" t="n">
        <v>0</v>
      </c>
      <c r="G10701" s="21" t="n">
        <v>0</v>
      </c>
      <c r="H10701" s="21">
        <f>-$B$10476</f>
        <v/>
      </c>
      <c r="I10701" s="21">
        <f>-$B$10477</f>
        <v/>
      </c>
      <c r="J10701" s="21">
        <f>2*$B$10476+$D$10686</f>
        <v/>
      </c>
      <c r="K10701" s="21">
        <f>0</f>
        <v/>
      </c>
      <c r="L10701" s="21">
        <f>-$B$10476</f>
        <v/>
      </c>
      <c r="M10701" s="21">
        <f>$B$10477</f>
        <v/>
      </c>
      <c r="N10701" s="21" t="n">
        <v>0</v>
      </c>
      <c r="O10701" s="21" t="n">
        <v>0</v>
      </c>
      <c r="P10701" s="21" t="n">
        <v>0</v>
      </c>
      <c r="Q10701" s="21" t="n">
        <v>0</v>
      </c>
      <c r="R10701" s="21" t="n">
        <v>0</v>
      </c>
      <c r="S10701" s="21" t="n">
        <v>0</v>
      </c>
      <c r="T10701" s="21" t="n">
        <v>0</v>
      </c>
      <c r="U10701" s="21" t="n">
        <v>0</v>
      </c>
      <c r="V10701" s="21" t="n">
        <v>0</v>
      </c>
      <c r="W10701" s="21" t="n">
        <v>0</v>
      </c>
      <c r="X10701" s="21" t="n">
        <v>0</v>
      </c>
      <c r="Y10701" s="21" t="n">
        <v>0</v>
      </c>
      <c r="Z10701" s="19" t="n"/>
    </row>
    <row r="10702">
      <c r="D10702" s="21" t="n">
        <v>0</v>
      </c>
      <c r="E10702" s="21" t="n">
        <v>0</v>
      </c>
      <c r="F10702" s="21" t="n">
        <v>0</v>
      </c>
      <c r="G10702" s="21" t="n">
        <v>0</v>
      </c>
      <c r="H10702" s="21">
        <f>$B$10477</f>
        <v/>
      </c>
      <c r="I10702" s="21">
        <f>$B$10479</f>
        <v/>
      </c>
      <c r="J10702" s="21">
        <f>0</f>
        <v/>
      </c>
      <c r="K10702" s="21">
        <f>2*$B$10478</f>
        <v/>
      </c>
      <c r="L10702" s="21">
        <f>-$B$10477</f>
        <v/>
      </c>
      <c r="M10702" s="21">
        <f>$B$10479</f>
        <v/>
      </c>
      <c r="N10702" s="21" t="n">
        <v>0</v>
      </c>
      <c r="O10702" s="21" t="n">
        <v>0</v>
      </c>
      <c r="P10702" s="21" t="n">
        <v>0</v>
      </c>
      <c r="Q10702" s="21" t="n">
        <v>0</v>
      </c>
      <c r="R10702" s="21" t="n">
        <v>0</v>
      </c>
      <c r="S10702" s="21" t="n">
        <v>0</v>
      </c>
      <c r="T10702" s="21" t="n">
        <v>0</v>
      </c>
      <c r="U10702" s="21" t="n">
        <v>0</v>
      </c>
      <c r="V10702" s="21" t="n">
        <v>0</v>
      </c>
      <c r="W10702" s="21" t="n">
        <v>0</v>
      </c>
      <c r="X10702" s="21" t="n">
        <v>0</v>
      </c>
      <c r="Y10702" s="21" t="n">
        <v>0</v>
      </c>
      <c r="Z10702" s="19" t="n"/>
    </row>
    <row r="10703">
      <c r="D10703" s="21" t="n">
        <v>0</v>
      </c>
      <c r="E10703" s="21" t="n">
        <v>0</v>
      </c>
      <c r="F10703" s="21" t="n">
        <v>0</v>
      </c>
      <c r="G10703" s="21" t="n">
        <v>0</v>
      </c>
      <c r="H10703" s="21" t="n">
        <v>0</v>
      </c>
      <c r="I10703" s="21" t="n">
        <v>0</v>
      </c>
      <c r="J10703" s="21">
        <f>-$B$10476</f>
        <v/>
      </c>
      <c r="K10703" s="21">
        <f>-$B$10477</f>
        <v/>
      </c>
      <c r="L10703" s="21">
        <f>2*$B$10476+$D$10687</f>
        <v/>
      </c>
      <c r="M10703" s="21">
        <f>0</f>
        <v/>
      </c>
      <c r="N10703" s="21">
        <f>-$B$10476</f>
        <v/>
      </c>
      <c r="O10703" s="21">
        <f>$B$10477</f>
        <v/>
      </c>
      <c r="P10703" s="21" t="n">
        <v>0</v>
      </c>
      <c r="Q10703" s="21" t="n">
        <v>0</v>
      </c>
      <c r="R10703" s="21" t="n">
        <v>0</v>
      </c>
      <c r="S10703" s="21" t="n">
        <v>0</v>
      </c>
      <c r="T10703" s="21" t="n">
        <v>0</v>
      </c>
      <c r="U10703" s="21" t="n">
        <v>0</v>
      </c>
      <c r="V10703" s="21" t="n">
        <v>0</v>
      </c>
      <c r="W10703" s="21" t="n">
        <v>0</v>
      </c>
      <c r="X10703" s="21" t="n">
        <v>0</v>
      </c>
      <c r="Y10703" s="21" t="n">
        <v>0</v>
      </c>
      <c r="Z10703" s="19" t="n"/>
    </row>
    <row r="10704">
      <c r="D10704" s="21" t="n">
        <v>0</v>
      </c>
      <c r="E10704" s="21" t="n">
        <v>0</v>
      </c>
      <c r="F10704" s="21" t="n">
        <v>0</v>
      </c>
      <c r="G10704" s="21" t="n">
        <v>0</v>
      </c>
      <c r="H10704" s="21" t="n">
        <v>0</v>
      </c>
      <c r="I10704" s="21" t="n">
        <v>0</v>
      </c>
      <c r="J10704" s="21">
        <f>$B$10477</f>
        <v/>
      </c>
      <c r="K10704" s="21">
        <f>$B$10479</f>
        <v/>
      </c>
      <c r="L10704" s="21">
        <f>0</f>
        <v/>
      </c>
      <c r="M10704" s="21">
        <f>2*$B$10478</f>
        <v/>
      </c>
      <c r="N10704" s="21">
        <f>-$B$10477</f>
        <v/>
      </c>
      <c r="O10704" s="21">
        <f>$B$10479</f>
        <v/>
      </c>
      <c r="P10704" s="21" t="n">
        <v>0</v>
      </c>
      <c r="Q10704" s="21" t="n">
        <v>0</v>
      </c>
      <c r="R10704" s="21" t="n">
        <v>0</v>
      </c>
      <c r="S10704" s="21" t="n">
        <v>0</v>
      </c>
      <c r="T10704" s="21" t="n">
        <v>0</v>
      </c>
      <c r="U10704" s="21" t="n">
        <v>0</v>
      </c>
      <c r="V10704" s="21" t="n">
        <v>0</v>
      </c>
      <c r="W10704" s="21" t="n">
        <v>0</v>
      </c>
      <c r="X10704" s="21" t="n">
        <v>0</v>
      </c>
      <c r="Y10704" s="21" t="n">
        <v>0</v>
      </c>
      <c r="Z10704" s="19" t="n"/>
    </row>
    <row r="10705">
      <c r="D10705" s="21" t="n">
        <v>0</v>
      </c>
      <c r="E10705" s="21" t="n">
        <v>0</v>
      </c>
      <c r="F10705" s="21" t="n">
        <v>0</v>
      </c>
      <c r="G10705" s="21" t="n">
        <v>0</v>
      </c>
      <c r="H10705" s="21" t="n">
        <v>0</v>
      </c>
      <c r="I10705" s="21" t="n">
        <v>0</v>
      </c>
      <c r="J10705" s="21" t="n">
        <v>0</v>
      </c>
      <c r="K10705" s="21" t="n">
        <v>0</v>
      </c>
      <c r="L10705" s="21">
        <f>-$B$10476</f>
        <v/>
      </c>
      <c r="M10705" s="21">
        <f>-$B$10477</f>
        <v/>
      </c>
      <c r="N10705" s="21">
        <f>2*$B$10476+$D$10688</f>
        <v/>
      </c>
      <c r="O10705" s="21">
        <f>0</f>
        <v/>
      </c>
      <c r="P10705" s="21">
        <f>-$B$10476</f>
        <v/>
      </c>
      <c r="Q10705" s="21">
        <f>$B$10477</f>
        <v/>
      </c>
      <c r="R10705" s="21" t="n">
        <v>0</v>
      </c>
      <c r="S10705" s="21" t="n">
        <v>0</v>
      </c>
      <c r="T10705" s="21" t="n">
        <v>0</v>
      </c>
      <c r="U10705" s="21" t="n">
        <v>0</v>
      </c>
      <c r="V10705" s="21" t="n">
        <v>0</v>
      </c>
      <c r="W10705" s="21" t="n">
        <v>0</v>
      </c>
      <c r="X10705" s="21" t="n">
        <v>0</v>
      </c>
      <c r="Y10705" s="21" t="n">
        <v>0</v>
      </c>
      <c r="Z10705" s="19" t="n"/>
    </row>
    <row r="10706">
      <c r="D10706" s="21" t="n">
        <v>0</v>
      </c>
      <c r="E10706" s="21" t="n">
        <v>0</v>
      </c>
      <c r="F10706" s="21" t="n">
        <v>0</v>
      </c>
      <c r="G10706" s="21" t="n">
        <v>0</v>
      </c>
      <c r="H10706" s="21" t="n">
        <v>0</v>
      </c>
      <c r="I10706" s="21" t="n">
        <v>0</v>
      </c>
      <c r="J10706" s="21" t="n">
        <v>0</v>
      </c>
      <c r="K10706" s="21" t="n">
        <v>0</v>
      </c>
      <c r="L10706" s="21">
        <f>$B$10477</f>
        <v/>
      </c>
      <c r="M10706" s="21">
        <f>$B$10479</f>
        <v/>
      </c>
      <c r="N10706" s="21">
        <f>0</f>
        <v/>
      </c>
      <c r="O10706" s="21">
        <f>2*$B$10478</f>
        <v/>
      </c>
      <c r="P10706" s="21">
        <f>-$B$10477</f>
        <v/>
      </c>
      <c r="Q10706" s="21">
        <f>$B$10479</f>
        <v/>
      </c>
      <c r="R10706" s="21" t="n">
        <v>0</v>
      </c>
      <c r="S10706" s="21" t="n">
        <v>0</v>
      </c>
      <c r="T10706" s="21" t="n">
        <v>0</v>
      </c>
      <c r="U10706" s="21" t="n">
        <v>0</v>
      </c>
      <c r="V10706" s="21" t="n">
        <v>0</v>
      </c>
      <c r="W10706" s="21" t="n">
        <v>0</v>
      </c>
      <c r="X10706" s="21" t="n">
        <v>0</v>
      </c>
      <c r="Y10706" s="21" t="n">
        <v>0</v>
      </c>
      <c r="Z10706" s="19" t="n"/>
    </row>
    <row r="10707">
      <c r="D10707" s="21" t="n">
        <v>0</v>
      </c>
      <c r="E10707" s="21" t="n">
        <v>0</v>
      </c>
      <c r="F10707" s="21" t="n">
        <v>0</v>
      </c>
      <c r="G10707" s="21" t="n">
        <v>0</v>
      </c>
      <c r="H10707" s="21" t="n">
        <v>0</v>
      </c>
      <c r="I10707" s="21" t="n">
        <v>0</v>
      </c>
      <c r="J10707" s="21" t="n">
        <v>0</v>
      </c>
      <c r="K10707" s="21" t="n">
        <v>0</v>
      </c>
      <c r="L10707" s="21" t="n">
        <v>0</v>
      </c>
      <c r="M10707" s="21" t="n">
        <v>0</v>
      </c>
      <c r="N10707" s="21">
        <f>-$B$10476</f>
        <v/>
      </c>
      <c r="O10707" s="21">
        <f>-$B$10477</f>
        <v/>
      </c>
      <c r="P10707" s="21">
        <f>2*$B$10476+$D$10689</f>
        <v/>
      </c>
      <c r="Q10707" s="21">
        <f>0</f>
        <v/>
      </c>
      <c r="R10707" s="21">
        <f>-$B$10476</f>
        <v/>
      </c>
      <c r="S10707" s="21">
        <f>$B$10477</f>
        <v/>
      </c>
      <c r="T10707" s="21" t="n">
        <v>0</v>
      </c>
      <c r="U10707" s="21" t="n">
        <v>0</v>
      </c>
      <c r="V10707" s="21" t="n">
        <v>0</v>
      </c>
      <c r="W10707" s="21" t="n">
        <v>0</v>
      </c>
      <c r="X10707" s="21" t="n">
        <v>0</v>
      </c>
      <c r="Y10707" s="21" t="n">
        <v>0</v>
      </c>
      <c r="Z10707" s="19" t="n"/>
    </row>
    <row r="10708">
      <c r="D10708" s="21" t="n">
        <v>0</v>
      </c>
      <c r="E10708" s="21" t="n">
        <v>0</v>
      </c>
      <c r="F10708" s="21" t="n">
        <v>0</v>
      </c>
      <c r="G10708" s="21" t="n">
        <v>0</v>
      </c>
      <c r="H10708" s="21" t="n">
        <v>0</v>
      </c>
      <c r="I10708" s="21" t="n">
        <v>0</v>
      </c>
      <c r="J10708" s="21" t="n">
        <v>0</v>
      </c>
      <c r="K10708" s="21" t="n">
        <v>0</v>
      </c>
      <c r="L10708" s="21" t="n">
        <v>0</v>
      </c>
      <c r="M10708" s="21" t="n">
        <v>0</v>
      </c>
      <c r="N10708" s="21">
        <f>$B$10477</f>
        <v/>
      </c>
      <c r="O10708" s="21">
        <f>$B$10479</f>
        <v/>
      </c>
      <c r="P10708" s="21">
        <f>0</f>
        <v/>
      </c>
      <c r="Q10708" s="21">
        <f>2*$B$10478</f>
        <v/>
      </c>
      <c r="R10708" s="21">
        <f>-$B$10477</f>
        <v/>
      </c>
      <c r="S10708" s="21">
        <f>$B$10479</f>
        <v/>
      </c>
      <c r="T10708" s="21" t="n">
        <v>0</v>
      </c>
      <c r="U10708" s="21" t="n">
        <v>0</v>
      </c>
      <c r="V10708" s="21" t="n">
        <v>0</v>
      </c>
      <c r="W10708" s="21" t="n">
        <v>0</v>
      </c>
      <c r="X10708" s="21" t="n">
        <v>0</v>
      </c>
      <c r="Y10708" s="21" t="n">
        <v>0</v>
      </c>
      <c r="Z10708" s="19" t="n"/>
    </row>
    <row r="10709">
      <c r="D10709" s="21" t="n">
        <v>0</v>
      </c>
      <c r="E10709" s="21" t="n">
        <v>0</v>
      </c>
      <c r="F10709" s="21" t="n">
        <v>0</v>
      </c>
      <c r="G10709" s="21" t="n">
        <v>0</v>
      </c>
      <c r="H10709" s="21" t="n">
        <v>0</v>
      </c>
      <c r="I10709" s="21" t="n">
        <v>0</v>
      </c>
      <c r="J10709" s="21" t="n">
        <v>0</v>
      </c>
      <c r="K10709" s="21" t="n">
        <v>0</v>
      </c>
      <c r="L10709" s="21" t="n">
        <v>0</v>
      </c>
      <c r="M10709" s="21" t="n">
        <v>0</v>
      </c>
      <c r="N10709" s="21" t="n">
        <v>0</v>
      </c>
      <c r="O10709" s="21" t="n">
        <v>0</v>
      </c>
      <c r="P10709" s="21">
        <f>-$B$10476</f>
        <v/>
      </c>
      <c r="Q10709" s="21">
        <f>-$B$10477</f>
        <v/>
      </c>
      <c r="R10709" s="21">
        <f>2*$B$10476+$D$10690</f>
        <v/>
      </c>
      <c r="S10709" s="21">
        <f>0</f>
        <v/>
      </c>
      <c r="T10709" s="21">
        <f>-$B$10476</f>
        <v/>
      </c>
      <c r="U10709" s="21">
        <f>$B$10477</f>
        <v/>
      </c>
      <c r="V10709" s="21" t="n">
        <v>0</v>
      </c>
      <c r="W10709" s="21" t="n">
        <v>0</v>
      </c>
      <c r="X10709" s="21" t="n">
        <v>0</v>
      </c>
      <c r="Y10709" s="21" t="n">
        <v>0</v>
      </c>
      <c r="Z10709" s="19" t="n"/>
    </row>
    <row r="10710">
      <c r="D10710" s="21" t="n">
        <v>0</v>
      </c>
      <c r="E10710" s="21" t="n">
        <v>0</v>
      </c>
      <c r="F10710" s="21" t="n">
        <v>0</v>
      </c>
      <c r="G10710" s="21" t="n">
        <v>0</v>
      </c>
      <c r="H10710" s="21" t="n">
        <v>0</v>
      </c>
      <c r="I10710" s="21" t="n">
        <v>0</v>
      </c>
      <c r="J10710" s="21" t="n">
        <v>0</v>
      </c>
      <c r="K10710" s="21" t="n">
        <v>0</v>
      </c>
      <c r="L10710" s="21" t="n">
        <v>0</v>
      </c>
      <c r="M10710" s="21" t="n">
        <v>0</v>
      </c>
      <c r="N10710" s="21" t="n">
        <v>0</v>
      </c>
      <c r="O10710" s="21" t="n">
        <v>0</v>
      </c>
      <c r="P10710" s="21">
        <f>$B$10477</f>
        <v/>
      </c>
      <c r="Q10710" s="21">
        <f>$B$10479</f>
        <v/>
      </c>
      <c r="R10710" s="21">
        <f>0</f>
        <v/>
      </c>
      <c r="S10710" s="21">
        <f>2*$B$10478</f>
        <v/>
      </c>
      <c r="T10710" s="21">
        <f>-$B$10477</f>
        <v/>
      </c>
      <c r="U10710" s="21">
        <f>$B$10479</f>
        <v/>
      </c>
      <c r="V10710" s="21" t="n">
        <v>0</v>
      </c>
      <c r="W10710" s="21" t="n">
        <v>0</v>
      </c>
      <c r="X10710" s="21" t="n">
        <v>0</v>
      </c>
      <c r="Y10710" s="21" t="n">
        <v>0</v>
      </c>
      <c r="Z10710" s="19" t="n"/>
    </row>
    <row r="10711">
      <c r="D10711" s="21" t="n">
        <v>0</v>
      </c>
      <c r="E10711" s="21" t="n">
        <v>0</v>
      </c>
      <c r="F10711" s="21" t="n">
        <v>0</v>
      </c>
      <c r="G10711" s="21" t="n">
        <v>0</v>
      </c>
      <c r="H10711" s="21" t="n">
        <v>0</v>
      </c>
      <c r="I10711" s="21" t="n">
        <v>0</v>
      </c>
      <c r="J10711" s="21" t="n">
        <v>0</v>
      </c>
      <c r="K10711" s="21" t="n">
        <v>0</v>
      </c>
      <c r="L10711" s="21" t="n">
        <v>0</v>
      </c>
      <c r="M10711" s="21" t="n">
        <v>0</v>
      </c>
      <c r="N10711" s="21" t="n">
        <v>0</v>
      </c>
      <c r="O10711" s="21" t="n">
        <v>0</v>
      </c>
      <c r="P10711" s="21" t="n">
        <v>0</v>
      </c>
      <c r="Q10711" s="21" t="n">
        <v>0</v>
      </c>
      <c r="R10711" s="21">
        <f>-$B$10476</f>
        <v/>
      </c>
      <c r="S10711" s="21">
        <f>-$B$10477</f>
        <v/>
      </c>
      <c r="T10711" s="21">
        <f>2*$B$10476+$D$10691</f>
        <v/>
      </c>
      <c r="U10711" s="21">
        <f>0</f>
        <v/>
      </c>
      <c r="V10711" s="21">
        <f>-$B$10476</f>
        <v/>
      </c>
      <c r="W10711" s="21">
        <f>$B$10477</f>
        <v/>
      </c>
      <c r="X10711" s="21" t="n">
        <v>0</v>
      </c>
      <c r="Y10711" s="21" t="n">
        <v>0</v>
      </c>
      <c r="Z10711" s="19" t="n"/>
    </row>
    <row r="10712">
      <c r="D10712" s="21" t="n">
        <v>0</v>
      </c>
      <c r="E10712" s="21" t="n">
        <v>0</v>
      </c>
      <c r="F10712" s="21" t="n">
        <v>0</v>
      </c>
      <c r="G10712" s="21" t="n">
        <v>0</v>
      </c>
      <c r="H10712" s="21" t="n">
        <v>0</v>
      </c>
      <c r="I10712" s="21" t="n">
        <v>0</v>
      </c>
      <c r="J10712" s="21" t="n">
        <v>0</v>
      </c>
      <c r="K10712" s="21" t="n">
        <v>0</v>
      </c>
      <c r="L10712" s="21" t="n">
        <v>0</v>
      </c>
      <c r="M10712" s="21" t="n">
        <v>0</v>
      </c>
      <c r="N10712" s="21" t="n">
        <v>0</v>
      </c>
      <c r="O10712" s="21" t="n">
        <v>0</v>
      </c>
      <c r="P10712" s="21" t="n">
        <v>0</v>
      </c>
      <c r="Q10712" s="21" t="n">
        <v>0</v>
      </c>
      <c r="R10712" s="21">
        <f>$B$10477</f>
        <v/>
      </c>
      <c r="S10712" s="21">
        <f>$B$10479</f>
        <v/>
      </c>
      <c r="T10712" s="21">
        <f>0</f>
        <v/>
      </c>
      <c r="U10712" s="21">
        <f>2*$B$10478</f>
        <v/>
      </c>
      <c r="V10712" s="21">
        <f>-$B$10477</f>
        <v/>
      </c>
      <c r="W10712" s="21">
        <f>$B$10479</f>
        <v/>
      </c>
      <c r="X10712" s="21" t="n">
        <v>0</v>
      </c>
      <c r="Y10712" s="21" t="n">
        <v>0</v>
      </c>
      <c r="Z10712" s="19" t="n"/>
    </row>
    <row r="10713">
      <c r="D10713" s="21" t="n">
        <v>0</v>
      </c>
      <c r="E10713" s="21" t="n">
        <v>0</v>
      </c>
      <c r="F10713" s="21" t="n">
        <v>0</v>
      </c>
      <c r="G10713" s="21" t="n">
        <v>0</v>
      </c>
      <c r="H10713" s="21" t="n">
        <v>0</v>
      </c>
      <c r="I10713" s="21" t="n">
        <v>0</v>
      </c>
      <c r="J10713" s="21" t="n">
        <v>0</v>
      </c>
      <c r="K10713" s="21" t="n">
        <v>0</v>
      </c>
      <c r="L10713" s="21" t="n">
        <v>0</v>
      </c>
      <c r="M10713" s="21" t="n">
        <v>0</v>
      </c>
      <c r="N10713" s="21" t="n">
        <v>0</v>
      </c>
      <c r="O10713" s="21" t="n">
        <v>0</v>
      </c>
      <c r="P10713" s="21" t="n">
        <v>0</v>
      </c>
      <c r="Q10713" s="21" t="n">
        <v>0</v>
      </c>
      <c r="R10713" s="21" t="n">
        <v>0</v>
      </c>
      <c r="S10713" s="21" t="n">
        <v>0</v>
      </c>
      <c r="T10713" s="21">
        <f>-$B$10476</f>
        <v/>
      </c>
      <c r="U10713" s="21">
        <f>-$B$10477</f>
        <v/>
      </c>
      <c r="V10713" s="21">
        <f>2*$B$10476+$D$10692</f>
        <v/>
      </c>
      <c r="W10713" s="21">
        <f>0</f>
        <v/>
      </c>
      <c r="X10713" s="21">
        <f>-$B$10476</f>
        <v/>
      </c>
      <c r="Y10713" s="21">
        <f>$B$10477</f>
        <v/>
      </c>
      <c r="Z10713" s="19" t="n"/>
    </row>
    <row r="10714">
      <c r="D10714" s="21" t="n">
        <v>0</v>
      </c>
      <c r="E10714" s="21" t="n">
        <v>0</v>
      </c>
      <c r="F10714" s="21" t="n">
        <v>0</v>
      </c>
      <c r="G10714" s="21" t="n">
        <v>0</v>
      </c>
      <c r="H10714" s="21" t="n">
        <v>0</v>
      </c>
      <c r="I10714" s="21" t="n">
        <v>0</v>
      </c>
      <c r="J10714" s="21" t="n">
        <v>0</v>
      </c>
      <c r="K10714" s="21" t="n">
        <v>0</v>
      </c>
      <c r="L10714" s="21" t="n">
        <v>0</v>
      </c>
      <c r="M10714" s="21" t="n">
        <v>0</v>
      </c>
      <c r="N10714" s="21" t="n">
        <v>0</v>
      </c>
      <c r="O10714" s="21" t="n">
        <v>0</v>
      </c>
      <c r="P10714" s="21" t="n">
        <v>0</v>
      </c>
      <c r="Q10714" s="21" t="n">
        <v>0</v>
      </c>
      <c r="R10714" s="21" t="n">
        <v>0</v>
      </c>
      <c r="S10714" s="21" t="n">
        <v>0</v>
      </c>
      <c r="T10714" s="21">
        <f>$B$10477</f>
        <v/>
      </c>
      <c r="U10714" s="21">
        <f>$B$10479</f>
        <v/>
      </c>
      <c r="V10714" s="21">
        <f>0</f>
        <v/>
      </c>
      <c r="W10714" s="21">
        <f>2*$B$10478</f>
        <v/>
      </c>
      <c r="X10714" s="21">
        <f>-$B$10477</f>
        <v/>
      </c>
      <c r="Y10714" s="21">
        <f>$B$10479</f>
        <v/>
      </c>
      <c r="Z10714" s="19" t="n"/>
    </row>
    <row r="10715">
      <c r="D10715" s="21" t="n">
        <v>0</v>
      </c>
      <c r="E10715" s="21" t="n">
        <v>0</v>
      </c>
      <c r="F10715" s="21" t="n">
        <v>0</v>
      </c>
      <c r="G10715" s="21" t="n">
        <v>0</v>
      </c>
      <c r="H10715" s="21" t="n">
        <v>0</v>
      </c>
      <c r="I10715" s="21" t="n">
        <v>0</v>
      </c>
      <c r="J10715" s="21" t="n">
        <v>0</v>
      </c>
      <c r="K10715" s="21" t="n">
        <v>0</v>
      </c>
      <c r="L10715" s="21" t="n">
        <v>0</v>
      </c>
      <c r="M10715" s="21" t="n">
        <v>0</v>
      </c>
      <c r="N10715" s="21" t="n">
        <v>0</v>
      </c>
      <c r="O10715" s="21" t="n">
        <v>0</v>
      </c>
      <c r="P10715" s="21" t="n">
        <v>0</v>
      </c>
      <c r="Q10715" s="21" t="n">
        <v>0</v>
      </c>
      <c r="R10715" s="21" t="n">
        <v>0</v>
      </c>
      <c r="S10715" s="21" t="n">
        <v>0</v>
      </c>
      <c r="T10715" s="21" t="n">
        <v>0</v>
      </c>
      <c r="U10715" s="21" t="n">
        <v>0</v>
      </c>
      <c r="V10715" s="21">
        <f>-$B$10476</f>
        <v/>
      </c>
      <c r="W10715" s="21">
        <f>-$B$10477</f>
        <v/>
      </c>
      <c r="X10715" s="21">
        <f>$B$10476+$D$10693</f>
        <v/>
      </c>
      <c r="Y10715" s="21">
        <f>-$B$10477</f>
        <v/>
      </c>
      <c r="Z10715" s="19" t="n"/>
    </row>
    <row r="10716">
      <c r="D10716" s="21" t="n">
        <v>0</v>
      </c>
      <c r="E10716" s="21" t="n">
        <v>0</v>
      </c>
      <c r="F10716" s="21" t="n">
        <v>0</v>
      </c>
      <c r="G10716" s="21" t="n">
        <v>0</v>
      </c>
      <c r="H10716" s="21" t="n">
        <v>0</v>
      </c>
      <c r="I10716" s="21" t="n">
        <v>0</v>
      </c>
      <c r="J10716" s="21" t="n">
        <v>0</v>
      </c>
      <c r="K10716" s="21" t="n">
        <v>0</v>
      </c>
      <c r="L10716" s="21" t="n">
        <v>0</v>
      </c>
      <c r="M10716" s="21" t="n">
        <v>0</v>
      </c>
      <c r="N10716" s="21" t="n">
        <v>0</v>
      </c>
      <c r="O10716" s="21" t="n">
        <v>0</v>
      </c>
      <c r="P10716" s="21" t="n">
        <v>0</v>
      </c>
      <c r="Q10716" s="21" t="n">
        <v>0</v>
      </c>
      <c r="R10716" s="21" t="n">
        <v>0</v>
      </c>
      <c r="S10716" s="21" t="n">
        <v>0</v>
      </c>
      <c r="T10716" s="21" t="n">
        <v>0</v>
      </c>
      <c r="U10716" s="21" t="n">
        <v>0</v>
      </c>
      <c r="V10716" s="21">
        <f>$B$10477</f>
        <v/>
      </c>
      <c r="W10716" s="21">
        <f>$B$10479</f>
        <v/>
      </c>
      <c r="X10716" s="21">
        <f>-$B$10477</f>
        <v/>
      </c>
      <c r="Y10716" s="21">
        <f>$B$10478</f>
        <v/>
      </c>
      <c r="Z10716" s="19" t="n"/>
    </row>
    <row r="10718">
      <c r="A10718" s="8" t="inlineStr">
        <is>
          <t>gen 6</t>
        </is>
      </c>
    </row>
    <row r="10719">
      <c r="D10719" s="19">
        <f>IF(ABS(IF(ABS($E$10683)&gt;0.000000001,$E$10683,0.000000001))=0,0,IF($E$10491&lt;=$B$10485,0,IF(ABS(IF(ABS($E$10683)&gt;0.000000001,$E$10683,0.000000001))&gt;=8*$B$10487,$H$10491,0.5*$H$10491*(ABS(IF(ABS($E$10683)&gt;0.000000001,$E$10683,0.000000001))/$B$10487)^(1/3)))/ABS(IF(ABS($E$10683)&gt;0.000000001,$E$10683,0.000000001))*$I$10491)</f>
        <v/>
      </c>
      <c r="E10719" s="19">
        <f>0.5*$E$10683+0.5*$Z$10731</f>
        <v/>
      </c>
      <c r="F10719" s="19">
        <f>$Z$10732</f>
        <v/>
      </c>
    </row>
    <row r="10720">
      <c r="D10720" s="19">
        <f>IF(ABS(IF(ABS($E$10684)&gt;0.000000001,$E$10684,0.000000001))=0,0,IF($E$10492&lt;=$B$10485,0,IF(ABS(IF(ABS($E$10684)&gt;0.000000001,$E$10684,0.000000001))&gt;=8*$B$10487,$H$10492,0.5*$H$10492*(ABS(IF(ABS($E$10684)&gt;0.000000001,$E$10684,0.000000001))/$B$10487)^(1/3)))/ABS(IF(ABS($E$10684)&gt;0.000000001,$E$10684,0.000000001))*$I$10492)</f>
        <v/>
      </c>
      <c r="E10720" s="19">
        <f>0.5*$E$10684+0.5*$Z$10733</f>
        <v/>
      </c>
      <c r="F10720" s="19">
        <f>$Z$10734</f>
        <v/>
      </c>
    </row>
    <row r="10721">
      <c r="D10721" s="19">
        <f>IF(ABS(IF(ABS($E$10685)&gt;0.000000001,$E$10685,0.000000001))=0,0,IF($E$10493&lt;=$B$10485,0,IF(ABS(IF(ABS($E$10685)&gt;0.000000001,$E$10685,0.000000001))&gt;=8*$B$10487,$H$10493,0.5*$H$10493*(ABS(IF(ABS($E$10685)&gt;0.000000001,$E$10685,0.000000001))/$B$10487)^(1/3)))/ABS(IF(ABS($E$10685)&gt;0.000000001,$E$10685,0.000000001))*$I$10493)</f>
        <v/>
      </c>
      <c r="E10721" s="19">
        <f>0.5*$E$10685+0.5*$Z$10735</f>
        <v/>
      </c>
      <c r="F10721" s="19">
        <f>$Z$10736</f>
        <v/>
      </c>
    </row>
    <row r="10722">
      <c r="D10722" s="19">
        <f>IF(ABS(IF(ABS($E$10686)&gt;0.000000001,$E$10686,0.000000001))=0,0,IF($E$10494&lt;=$B$10485,0,IF(ABS(IF(ABS($E$10686)&gt;0.000000001,$E$10686,0.000000001))&gt;=8*$B$10487,$H$10494,0.5*$H$10494*(ABS(IF(ABS($E$10686)&gt;0.000000001,$E$10686,0.000000001))/$B$10487)^(1/3)))/ABS(IF(ABS($E$10686)&gt;0.000000001,$E$10686,0.000000001))*$I$10494)</f>
        <v/>
      </c>
      <c r="E10722" s="19">
        <f>0.5*$E$10686+0.5*$Z$10737</f>
        <v/>
      </c>
      <c r="F10722" s="19">
        <f>$Z$10738</f>
        <v/>
      </c>
    </row>
    <row r="10723">
      <c r="D10723" s="19">
        <f>IF(ABS(IF(ABS($E$10687)&gt;0.000000001,$E$10687,0.000000001))=0,0,IF($E$10495&lt;=$B$10485,0,IF(ABS(IF(ABS($E$10687)&gt;0.000000001,$E$10687,0.000000001))&gt;=8*$B$10487,$H$10495,0.5*$H$10495*(ABS(IF(ABS($E$10687)&gt;0.000000001,$E$10687,0.000000001))/$B$10487)^(1/3)))/ABS(IF(ABS($E$10687)&gt;0.000000001,$E$10687,0.000000001))*$I$10495)</f>
        <v/>
      </c>
      <c r="E10723" s="19">
        <f>0.5*$E$10687+0.5*$Z$10739</f>
        <v/>
      </c>
      <c r="F10723" s="19">
        <f>$Z$10740</f>
        <v/>
      </c>
    </row>
    <row r="10724">
      <c r="D10724" s="19">
        <f>IF(ABS(IF(ABS($E$10688)&gt;0.000000001,$E$10688,0.000000001))=0,0,IF($E$10496&lt;=$B$10485,0,IF(ABS(IF(ABS($E$10688)&gt;0.000000001,$E$10688,0.000000001))&gt;=8*$B$10487,$H$10496,0.5*$H$10496*(ABS(IF(ABS($E$10688)&gt;0.000000001,$E$10688,0.000000001))/$B$10487)^(1/3)))/ABS(IF(ABS($E$10688)&gt;0.000000001,$E$10688,0.000000001))*$I$10496)</f>
        <v/>
      </c>
      <c r="E10724" s="19">
        <f>0.5*$E$10688+0.5*$Z$10741</f>
        <v/>
      </c>
      <c r="F10724" s="19">
        <f>$Z$10742</f>
        <v/>
      </c>
    </row>
    <row r="10725">
      <c r="D10725" s="19">
        <f>IF(ABS(IF(ABS($E$10689)&gt;0.000000001,$E$10689,0.000000001))=0,0,IF($E$10497&lt;=$B$10485,0,IF(ABS(IF(ABS($E$10689)&gt;0.000000001,$E$10689,0.000000001))&gt;=8*$B$10487,$H$10497,0.5*$H$10497*(ABS(IF(ABS($E$10689)&gt;0.000000001,$E$10689,0.000000001))/$B$10487)^(1/3)))/ABS(IF(ABS($E$10689)&gt;0.000000001,$E$10689,0.000000001))*$I$10497)</f>
        <v/>
      </c>
      <c r="E10725" s="19">
        <f>0.5*$E$10689+0.5*$Z$10743</f>
        <v/>
      </c>
      <c r="F10725" s="19">
        <f>$Z$10744</f>
        <v/>
      </c>
    </row>
    <row r="10726">
      <c r="D10726" s="19">
        <f>IF(ABS(IF(ABS($E$10690)&gt;0.000000001,$E$10690,0.000000001))=0,0,IF($E$10498&lt;=$B$10485,0,IF(ABS(IF(ABS($E$10690)&gt;0.000000001,$E$10690,0.000000001))&gt;=8*$B$10487,$H$10498,0.5*$H$10498*(ABS(IF(ABS($E$10690)&gt;0.000000001,$E$10690,0.000000001))/$B$10487)^(1/3)))/ABS(IF(ABS($E$10690)&gt;0.000000001,$E$10690,0.000000001))*$I$10498)</f>
        <v/>
      </c>
      <c r="E10726" s="19">
        <f>0.5*$E$10690+0.5*$Z$10745</f>
        <v/>
      </c>
      <c r="F10726" s="19">
        <f>$Z$10746</f>
        <v/>
      </c>
    </row>
    <row r="10727">
      <c r="D10727" s="19">
        <f>IF(ABS(IF(ABS($E$10691)&gt;0.000000001,$E$10691,0.000000001))=0,0,IF($E$10499&lt;=$B$10485,0,IF(ABS(IF(ABS($E$10691)&gt;0.000000001,$E$10691,0.000000001))&gt;=8*$B$10487,$H$10499,0.5*$H$10499*(ABS(IF(ABS($E$10691)&gt;0.000000001,$E$10691,0.000000001))/$B$10487)^(1/3)))/ABS(IF(ABS($E$10691)&gt;0.000000001,$E$10691,0.000000001))*$I$10499)</f>
        <v/>
      </c>
      <c r="E10727" s="19">
        <f>0.5*$E$10691+0.5*$Z$10747</f>
        <v/>
      </c>
      <c r="F10727" s="19">
        <f>$Z$10748</f>
        <v/>
      </c>
    </row>
    <row r="10728">
      <c r="D10728" s="19">
        <f>IF(ABS(IF(ABS($E$10692)&gt;0.000000001,$E$10692,0.000000001))=0,0,IF($E$10500&lt;=$B$10485,0,IF(ABS(IF(ABS($E$10692)&gt;0.000000001,$E$10692,0.000000001))&gt;=8*$B$10487,$H$10500,0.5*$H$10500*(ABS(IF(ABS($E$10692)&gt;0.000000001,$E$10692,0.000000001))/$B$10487)^(1/3)))/ABS(IF(ABS($E$10692)&gt;0.000000001,$E$10692,0.000000001))*$I$10500)</f>
        <v/>
      </c>
      <c r="E10728" s="19">
        <f>0.5*$E$10692+0.5*$Z$10749</f>
        <v/>
      </c>
      <c r="F10728" s="19">
        <f>$Z$10750</f>
        <v/>
      </c>
    </row>
    <row r="10729">
      <c r="D10729" s="19">
        <f>IF(ABS(IF(ABS($E$10693)&gt;0.000000001,$E$10693,0.000000001))=0,0,IF($E$10501&lt;=$B$10485,0,IF(ABS(IF(ABS($E$10693)&gt;0.000000001,$E$10693,0.000000001))&gt;=8*$B$10487,$H$10501,0.5*$H$10501*(ABS(IF(ABS($E$10693)&gt;0.000000001,$E$10693,0.000000001))/$B$10487)^(1/3)))/ABS(IF(ABS($E$10693)&gt;0.000000001,$E$10693,0.000000001))*$I$10501)</f>
        <v/>
      </c>
      <c r="E10729" s="19">
        <f>0.5*$E$10693+0.5*$Z$10751</f>
        <v/>
      </c>
      <c r="F10729" s="19">
        <f>$Z$10752</f>
        <v/>
      </c>
    </row>
    <row r="10731">
      <c r="D10731" s="21">
        <f>$B$10476+$D$10719</f>
        <v/>
      </c>
      <c r="E10731" s="21">
        <f>$B$10477</f>
        <v/>
      </c>
      <c r="F10731" s="21">
        <f>-$B$10476</f>
        <v/>
      </c>
      <c r="G10731" s="21">
        <f>$B$10477</f>
        <v/>
      </c>
      <c r="H10731" s="21" t="n">
        <v>0</v>
      </c>
      <c r="I10731" s="21" t="n">
        <v>0</v>
      </c>
      <c r="J10731" s="21" t="n">
        <v>0</v>
      </c>
      <c r="K10731" s="21" t="n">
        <v>0</v>
      </c>
      <c r="L10731" s="21" t="n">
        <v>0</v>
      </c>
      <c r="M10731" s="21" t="n">
        <v>0</v>
      </c>
      <c r="N10731" s="21" t="n">
        <v>0</v>
      </c>
      <c r="O10731" s="21" t="n">
        <v>0</v>
      </c>
      <c r="P10731" s="21" t="n">
        <v>0</v>
      </c>
      <c r="Q10731" s="21" t="n">
        <v>0</v>
      </c>
      <c r="R10731" s="21" t="n">
        <v>0</v>
      </c>
      <c r="S10731" s="21" t="n">
        <v>0</v>
      </c>
      <c r="T10731" s="21" t="n">
        <v>0</v>
      </c>
      <c r="U10731" s="21" t="n">
        <v>0</v>
      </c>
      <c r="V10731" s="21" t="n">
        <v>0</v>
      </c>
      <c r="W10731" s="21" t="n">
        <v>0</v>
      </c>
      <c r="X10731" s="21" t="n">
        <v>0</v>
      </c>
      <c r="Y10731" s="21" t="n">
        <v>0</v>
      </c>
      <c r="Z10731" s="19">
        <f t="array" ref="Z10731:Z10752">MMULT(MINVERSE($D$10731:$Y$10752),$D$10503:$D$10524)</f>
        <v/>
      </c>
    </row>
    <row r="10732">
      <c r="D10732" s="21">
        <f>$B$10477</f>
        <v/>
      </c>
      <c r="E10732" s="21">
        <f>$B$10478</f>
        <v/>
      </c>
      <c r="F10732" s="21">
        <f>-$B$10477</f>
        <v/>
      </c>
      <c r="G10732" s="21">
        <f>$B$10479</f>
        <v/>
      </c>
      <c r="H10732" s="21" t="n">
        <v>0</v>
      </c>
      <c r="I10732" s="21" t="n">
        <v>0</v>
      </c>
      <c r="J10732" s="21" t="n">
        <v>0</v>
      </c>
      <c r="K10732" s="21" t="n">
        <v>0</v>
      </c>
      <c r="L10732" s="21" t="n">
        <v>0</v>
      </c>
      <c r="M10732" s="21" t="n">
        <v>0</v>
      </c>
      <c r="N10732" s="21" t="n">
        <v>0</v>
      </c>
      <c r="O10732" s="21" t="n">
        <v>0</v>
      </c>
      <c r="P10732" s="21" t="n">
        <v>0</v>
      </c>
      <c r="Q10732" s="21" t="n">
        <v>0</v>
      </c>
      <c r="R10732" s="21" t="n">
        <v>0</v>
      </c>
      <c r="S10732" s="21" t="n">
        <v>0</v>
      </c>
      <c r="T10732" s="21" t="n">
        <v>0</v>
      </c>
      <c r="U10732" s="21" t="n">
        <v>0</v>
      </c>
      <c r="V10732" s="21" t="n">
        <v>0</v>
      </c>
      <c r="W10732" s="21" t="n">
        <v>0</v>
      </c>
      <c r="X10732" s="21" t="n">
        <v>0</v>
      </c>
      <c r="Y10732" s="21" t="n">
        <v>0</v>
      </c>
      <c r="Z10732" s="19" t="n"/>
    </row>
    <row r="10733">
      <c r="D10733" s="21">
        <f>-$B$10476</f>
        <v/>
      </c>
      <c r="E10733" s="21">
        <f>-$B$10477</f>
        <v/>
      </c>
      <c r="F10733" s="21">
        <f>2*$B$10476+$D$10720</f>
        <v/>
      </c>
      <c r="G10733" s="21">
        <f>0</f>
        <v/>
      </c>
      <c r="H10733" s="21">
        <f>-$B$10476</f>
        <v/>
      </c>
      <c r="I10733" s="21">
        <f>$B$10477</f>
        <v/>
      </c>
      <c r="J10733" s="21" t="n">
        <v>0</v>
      </c>
      <c r="K10733" s="21" t="n">
        <v>0</v>
      </c>
      <c r="L10733" s="21" t="n">
        <v>0</v>
      </c>
      <c r="M10733" s="21" t="n">
        <v>0</v>
      </c>
      <c r="N10733" s="21" t="n">
        <v>0</v>
      </c>
      <c r="O10733" s="21" t="n">
        <v>0</v>
      </c>
      <c r="P10733" s="21" t="n">
        <v>0</v>
      </c>
      <c r="Q10733" s="21" t="n">
        <v>0</v>
      </c>
      <c r="R10733" s="21" t="n">
        <v>0</v>
      </c>
      <c r="S10733" s="21" t="n">
        <v>0</v>
      </c>
      <c r="T10733" s="21" t="n">
        <v>0</v>
      </c>
      <c r="U10733" s="21" t="n">
        <v>0</v>
      </c>
      <c r="V10733" s="21" t="n">
        <v>0</v>
      </c>
      <c r="W10733" s="21" t="n">
        <v>0</v>
      </c>
      <c r="X10733" s="21" t="n">
        <v>0</v>
      </c>
      <c r="Y10733" s="21" t="n">
        <v>0</v>
      </c>
      <c r="Z10733" s="19" t="n"/>
    </row>
    <row r="10734">
      <c r="D10734" s="21">
        <f>$B$10477</f>
        <v/>
      </c>
      <c r="E10734" s="21">
        <f>$B$10479</f>
        <v/>
      </c>
      <c r="F10734" s="21">
        <f>0</f>
        <v/>
      </c>
      <c r="G10734" s="21">
        <f>2*$B$10478</f>
        <v/>
      </c>
      <c r="H10734" s="21">
        <f>-$B$10477</f>
        <v/>
      </c>
      <c r="I10734" s="21">
        <f>$B$10479</f>
        <v/>
      </c>
      <c r="J10734" s="21" t="n">
        <v>0</v>
      </c>
      <c r="K10734" s="21" t="n">
        <v>0</v>
      </c>
      <c r="L10734" s="21" t="n">
        <v>0</v>
      </c>
      <c r="M10734" s="21" t="n">
        <v>0</v>
      </c>
      <c r="N10734" s="21" t="n">
        <v>0</v>
      </c>
      <c r="O10734" s="21" t="n">
        <v>0</v>
      </c>
      <c r="P10734" s="21" t="n">
        <v>0</v>
      </c>
      <c r="Q10734" s="21" t="n">
        <v>0</v>
      </c>
      <c r="R10734" s="21" t="n">
        <v>0</v>
      </c>
      <c r="S10734" s="21" t="n">
        <v>0</v>
      </c>
      <c r="T10734" s="21" t="n">
        <v>0</v>
      </c>
      <c r="U10734" s="21" t="n">
        <v>0</v>
      </c>
      <c r="V10734" s="21" t="n">
        <v>0</v>
      </c>
      <c r="W10734" s="21" t="n">
        <v>0</v>
      </c>
      <c r="X10734" s="21" t="n">
        <v>0</v>
      </c>
      <c r="Y10734" s="21" t="n">
        <v>0</v>
      </c>
      <c r="Z10734" s="19" t="n"/>
    </row>
    <row r="10735">
      <c r="D10735" s="21" t="n">
        <v>0</v>
      </c>
      <c r="E10735" s="21" t="n">
        <v>0</v>
      </c>
      <c r="F10735" s="21">
        <f>-$B$10476</f>
        <v/>
      </c>
      <c r="G10735" s="21">
        <f>-$B$10477</f>
        <v/>
      </c>
      <c r="H10735" s="21">
        <f>2*$B$10476+$D$10721</f>
        <v/>
      </c>
      <c r="I10735" s="21">
        <f>0</f>
        <v/>
      </c>
      <c r="J10735" s="21">
        <f>-$B$10476</f>
        <v/>
      </c>
      <c r="K10735" s="21">
        <f>$B$10477</f>
        <v/>
      </c>
      <c r="L10735" s="21" t="n">
        <v>0</v>
      </c>
      <c r="M10735" s="21" t="n">
        <v>0</v>
      </c>
      <c r="N10735" s="21" t="n">
        <v>0</v>
      </c>
      <c r="O10735" s="21" t="n">
        <v>0</v>
      </c>
      <c r="P10735" s="21" t="n">
        <v>0</v>
      </c>
      <c r="Q10735" s="21" t="n">
        <v>0</v>
      </c>
      <c r="R10735" s="21" t="n">
        <v>0</v>
      </c>
      <c r="S10735" s="21" t="n">
        <v>0</v>
      </c>
      <c r="T10735" s="21" t="n">
        <v>0</v>
      </c>
      <c r="U10735" s="21" t="n">
        <v>0</v>
      </c>
      <c r="V10735" s="21" t="n">
        <v>0</v>
      </c>
      <c r="W10735" s="21" t="n">
        <v>0</v>
      </c>
      <c r="X10735" s="21" t="n">
        <v>0</v>
      </c>
      <c r="Y10735" s="21" t="n">
        <v>0</v>
      </c>
      <c r="Z10735" s="19" t="n"/>
    </row>
    <row r="10736">
      <c r="D10736" s="21" t="n">
        <v>0</v>
      </c>
      <c r="E10736" s="21" t="n">
        <v>0</v>
      </c>
      <c r="F10736" s="21">
        <f>$B$10477</f>
        <v/>
      </c>
      <c r="G10736" s="21">
        <f>$B$10479</f>
        <v/>
      </c>
      <c r="H10736" s="21">
        <f>0</f>
        <v/>
      </c>
      <c r="I10736" s="21">
        <f>2*$B$10478</f>
        <v/>
      </c>
      <c r="J10736" s="21">
        <f>-$B$10477</f>
        <v/>
      </c>
      <c r="K10736" s="21">
        <f>$B$10479</f>
        <v/>
      </c>
      <c r="L10736" s="21" t="n">
        <v>0</v>
      </c>
      <c r="M10736" s="21" t="n">
        <v>0</v>
      </c>
      <c r="N10736" s="21" t="n">
        <v>0</v>
      </c>
      <c r="O10736" s="21" t="n">
        <v>0</v>
      </c>
      <c r="P10736" s="21" t="n">
        <v>0</v>
      </c>
      <c r="Q10736" s="21" t="n">
        <v>0</v>
      </c>
      <c r="R10736" s="21" t="n">
        <v>0</v>
      </c>
      <c r="S10736" s="21" t="n">
        <v>0</v>
      </c>
      <c r="T10736" s="21" t="n">
        <v>0</v>
      </c>
      <c r="U10736" s="21" t="n">
        <v>0</v>
      </c>
      <c r="V10736" s="21" t="n">
        <v>0</v>
      </c>
      <c r="W10736" s="21" t="n">
        <v>0</v>
      </c>
      <c r="X10736" s="21" t="n">
        <v>0</v>
      </c>
      <c r="Y10736" s="21" t="n">
        <v>0</v>
      </c>
      <c r="Z10736" s="19" t="n"/>
    </row>
    <row r="10737">
      <c r="D10737" s="21" t="n">
        <v>0</v>
      </c>
      <c r="E10737" s="21" t="n">
        <v>0</v>
      </c>
      <c r="F10737" s="21" t="n">
        <v>0</v>
      </c>
      <c r="G10737" s="21" t="n">
        <v>0</v>
      </c>
      <c r="H10737" s="21">
        <f>-$B$10476</f>
        <v/>
      </c>
      <c r="I10737" s="21">
        <f>-$B$10477</f>
        <v/>
      </c>
      <c r="J10737" s="21">
        <f>2*$B$10476+$D$10722</f>
        <v/>
      </c>
      <c r="K10737" s="21">
        <f>0</f>
        <v/>
      </c>
      <c r="L10737" s="21">
        <f>-$B$10476</f>
        <v/>
      </c>
      <c r="M10737" s="21">
        <f>$B$10477</f>
        <v/>
      </c>
      <c r="N10737" s="21" t="n">
        <v>0</v>
      </c>
      <c r="O10737" s="21" t="n">
        <v>0</v>
      </c>
      <c r="P10737" s="21" t="n">
        <v>0</v>
      </c>
      <c r="Q10737" s="21" t="n">
        <v>0</v>
      </c>
      <c r="R10737" s="21" t="n">
        <v>0</v>
      </c>
      <c r="S10737" s="21" t="n">
        <v>0</v>
      </c>
      <c r="T10737" s="21" t="n">
        <v>0</v>
      </c>
      <c r="U10737" s="21" t="n">
        <v>0</v>
      </c>
      <c r="V10737" s="21" t="n">
        <v>0</v>
      </c>
      <c r="W10737" s="21" t="n">
        <v>0</v>
      </c>
      <c r="X10737" s="21" t="n">
        <v>0</v>
      </c>
      <c r="Y10737" s="21" t="n">
        <v>0</v>
      </c>
      <c r="Z10737" s="19" t="n"/>
    </row>
    <row r="10738">
      <c r="D10738" s="21" t="n">
        <v>0</v>
      </c>
      <c r="E10738" s="21" t="n">
        <v>0</v>
      </c>
      <c r="F10738" s="21" t="n">
        <v>0</v>
      </c>
      <c r="G10738" s="21" t="n">
        <v>0</v>
      </c>
      <c r="H10738" s="21">
        <f>$B$10477</f>
        <v/>
      </c>
      <c r="I10738" s="21">
        <f>$B$10479</f>
        <v/>
      </c>
      <c r="J10738" s="21">
        <f>0</f>
        <v/>
      </c>
      <c r="K10738" s="21">
        <f>2*$B$10478</f>
        <v/>
      </c>
      <c r="L10738" s="21">
        <f>-$B$10477</f>
        <v/>
      </c>
      <c r="M10738" s="21">
        <f>$B$10479</f>
        <v/>
      </c>
      <c r="N10738" s="21" t="n">
        <v>0</v>
      </c>
      <c r="O10738" s="21" t="n">
        <v>0</v>
      </c>
      <c r="P10738" s="21" t="n">
        <v>0</v>
      </c>
      <c r="Q10738" s="21" t="n">
        <v>0</v>
      </c>
      <c r="R10738" s="21" t="n">
        <v>0</v>
      </c>
      <c r="S10738" s="21" t="n">
        <v>0</v>
      </c>
      <c r="T10738" s="21" t="n">
        <v>0</v>
      </c>
      <c r="U10738" s="21" t="n">
        <v>0</v>
      </c>
      <c r="V10738" s="21" t="n">
        <v>0</v>
      </c>
      <c r="W10738" s="21" t="n">
        <v>0</v>
      </c>
      <c r="X10738" s="21" t="n">
        <v>0</v>
      </c>
      <c r="Y10738" s="21" t="n">
        <v>0</v>
      </c>
      <c r="Z10738" s="19" t="n"/>
    </row>
    <row r="10739">
      <c r="D10739" s="21" t="n">
        <v>0</v>
      </c>
      <c r="E10739" s="21" t="n">
        <v>0</v>
      </c>
      <c r="F10739" s="21" t="n">
        <v>0</v>
      </c>
      <c r="G10739" s="21" t="n">
        <v>0</v>
      </c>
      <c r="H10739" s="21" t="n">
        <v>0</v>
      </c>
      <c r="I10739" s="21" t="n">
        <v>0</v>
      </c>
      <c r="J10739" s="21">
        <f>-$B$10476</f>
        <v/>
      </c>
      <c r="K10739" s="21">
        <f>-$B$10477</f>
        <v/>
      </c>
      <c r="L10739" s="21">
        <f>2*$B$10476+$D$10723</f>
        <v/>
      </c>
      <c r="M10739" s="21">
        <f>0</f>
        <v/>
      </c>
      <c r="N10739" s="21">
        <f>-$B$10476</f>
        <v/>
      </c>
      <c r="O10739" s="21">
        <f>$B$10477</f>
        <v/>
      </c>
      <c r="P10739" s="21" t="n">
        <v>0</v>
      </c>
      <c r="Q10739" s="21" t="n">
        <v>0</v>
      </c>
      <c r="R10739" s="21" t="n">
        <v>0</v>
      </c>
      <c r="S10739" s="21" t="n">
        <v>0</v>
      </c>
      <c r="T10739" s="21" t="n">
        <v>0</v>
      </c>
      <c r="U10739" s="21" t="n">
        <v>0</v>
      </c>
      <c r="V10739" s="21" t="n">
        <v>0</v>
      </c>
      <c r="W10739" s="21" t="n">
        <v>0</v>
      </c>
      <c r="X10739" s="21" t="n">
        <v>0</v>
      </c>
      <c r="Y10739" s="21" t="n">
        <v>0</v>
      </c>
      <c r="Z10739" s="19" t="n"/>
    </row>
    <row r="10740">
      <c r="D10740" s="21" t="n">
        <v>0</v>
      </c>
      <c r="E10740" s="21" t="n">
        <v>0</v>
      </c>
      <c r="F10740" s="21" t="n">
        <v>0</v>
      </c>
      <c r="G10740" s="21" t="n">
        <v>0</v>
      </c>
      <c r="H10740" s="21" t="n">
        <v>0</v>
      </c>
      <c r="I10740" s="21" t="n">
        <v>0</v>
      </c>
      <c r="J10740" s="21">
        <f>$B$10477</f>
        <v/>
      </c>
      <c r="K10740" s="21">
        <f>$B$10479</f>
        <v/>
      </c>
      <c r="L10740" s="21">
        <f>0</f>
        <v/>
      </c>
      <c r="M10740" s="21">
        <f>2*$B$10478</f>
        <v/>
      </c>
      <c r="N10740" s="21">
        <f>-$B$10477</f>
        <v/>
      </c>
      <c r="O10740" s="21">
        <f>$B$10479</f>
        <v/>
      </c>
      <c r="P10740" s="21" t="n">
        <v>0</v>
      </c>
      <c r="Q10740" s="21" t="n">
        <v>0</v>
      </c>
      <c r="R10740" s="21" t="n">
        <v>0</v>
      </c>
      <c r="S10740" s="21" t="n">
        <v>0</v>
      </c>
      <c r="T10740" s="21" t="n">
        <v>0</v>
      </c>
      <c r="U10740" s="21" t="n">
        <v>0</v>
      </c>
      <c r="V10740" s="21" t="n">
        <v>0</v>
      </c>
      <c r="W10740" s="21" t="n">
        <v>0</v>
      </c>
      <c r="X10740" s="21" t="n">
        <v>0</v>
      </c>
      <c r="Y10740" s="21" t="n">
        <v>0</v>
      </c>
      <c r="Z10740" s="19" t="n"/>
    </row>
    <row r="10741">
      <c r="D10741" s="21" t="n">
        <v>0</v>
      </c>
      <c r="E10741" s="21" t="n">
        <v>0</v>
      </c>
      <c r="F10741" s="21" t="n">
        <v>0</v>
      </c>
      <c r="G10741" s="21" t="n">
        <v>0</v>
      </c>
      <c r="H10741" s="21" t="n">
        <v>0</v>
      </c>
      <c r="I10741" s="21" t="n">
        <v>0</v>
      </c>
      <c r="J10741" s="21" t="n">
        <v>0</v>
      </c>
      <c r="K10741" s="21" t="n">
        <v>0</v>
      </c>
      <c r="L10741" s="21">
        <f>-$B$10476</f>
        <v/>
      </c>
      <c r="M10741" s="21">
        <f>-$B$10477</f>
        <v/>
      </c>
      <c r="N10741" s="21">
        <f>2*$B$10476+$D$10724</f>
        <v/>
      </c>
      <c r="O10741" s="21">
        <f>0</f>
        <v/>
      </c>
      <c r="P10741" s="21">
        <f>-$B$10476</f>
        <v/>
      </c>
      <c r="Q10741" s="21">
        <f>$B$10477</f>
        <v/>
      </c>
      <c r="R10741" s="21" t="n">
        <v>0</v>
      </c>
      <c r="S10741" s="21" t="n">
        <v>0</v>
      </c>
      <c r="T10741" s="21" t="n">
        <v>0</v>
      </c>
      <c r="U10741" s="21" t="n">
        <v>0</v>
      </c>
      <c r="V10741" s="21" t="n">
        <v>0</v>
      </c>
      <c r="W10741" s="21" t="n">
        <v>0</v>
      </c>
      <c r="X10741" s="21" t="n">
        <v>0</v>
      </c>
      <c r="Y10741" s="21" t="n">
        <v>0</v>
      </c>
      <c r="Z10741" s="19" t="n"/>
    </row>
    <row r="10742">
      <c r="D10742" s="21" t="n">
        <v>0</v>
      </c>
      <c r="E10742" s="21" t="n">
        <v>0</v>
      </c>
      <c r="F10742" s="21" t="n">
        <v>0</v>
      </c>
      <c r="G10742" s="21" t="n">
        <v>0</v>
      </c>
      <c r="H10742" s="21" t="n">
        <v>0</v>
      </c>
      <c r="I10742" s="21" t="n">
        <v>0</v>
      </c>
      <c r="J10742" s="21" t="n">
        <v>0</v>
      </c>
      <c r="K10742" s="21" t="n">
        <v>0</v>
      </c>
      <c r="L10742" s="21">
        <f>$B$10477</f>
        <v/>
      </c>
      <c r="M10742" s="21">
        <f>$B$10479</f>
        <v/>
      </c>
      <c r="N10742" s="21">
        <f>0</f>
        <v/>
      </c>
      <c r="O10742" s="21">
        <f>2*$B$10478</f>
        <v/>
      </c>
      <c r="P10742" s="21">
        <f>-$B$10477</f>
        <v/>
      </c>
      <c r="Q10742" s="21">
        <f>$B$10479</f>
        <v/>
      </c>
      <c r="R10742" s="21" t="n">
        <v>0</v>
      </c>
      <c r="S10742" s="21" t="n">
        <v>0</v>
      </c>
      <c r="T10742" s="21" t="n">
        <v>0</v>
      </c>
      <c r="U10742" s="21" t="n">
        <v>0</v>
      </c>
      <c r="V10742" s="21" t="n">
        <v>0</v>
      </c>
      <c r="W10742" s="21" t="n">
        <v>0</v>
      </c>
      <c r="X10742" s="21" t="n">
        <v>0</v>
      </c>
      <c r="Y10742" s="21" t="n">
        <v>0</v>
      </c>
      <c r="Z10742" s="19" t="n"/>
    </row>
    <row r="10743">
      <c r="D10743" s="21" t="n">
        <v>0</v>
      </c>
      <c r="E10743" s="21" t="n">
        <v>0</v>
      </c>
      <c r="F10743" s="21" t="n">
        <v>0</v>
      </c>
      <c r="G10743" s="21" t="n">
        <v>0</v>
      </c>
      <c r="H10743" s="21" t="n">
        <v>0</v>
      </c>
      <c r="I10743" s="21" t="n">
        <v>0</v>
      </c>
      <c r="J10743" s="21" t="n">
        <v>0</v>
      </c>
      <c r="K10743" s="21" t="n">
        <v>0</v>
      </c>
      <c r="L10743" s="21" t="n">
        <v>0</v>
      </c>
      <c r="M10743" s="21" t="n">
        <v>0</v>
      </c>
      <c r="N10743" s="21">
        <f>-$B$10476</f>
        <v/>
      </c>
      <c r="O10743" s="21">
        <f>-$B$10477</f>
        <v/>
      </c>
      <c r="P10743" s="21">
        <f>2*$B$10476+$D$10725</f>
        <v/>
      </c>
      <c r="Q10743" s="21">
        <f>0</f>
        <v/>
      </c>
      <c r="R10743" s="21">
        <f>-$B$10476</f>
        <v/>
      </c>
      <c r="S10743" s="21">
        <f>$B$10477</f>
        <v/>
      </c>
      <c r="T10743" s="21" t="n">
        <v>0</v>
      </c>
      <c r="U10743" s="21" t="n">
        <v>0</v>
      </c>
      <c r="V10743" s="21" t="n">
        <v>0</v>
      </c>
      <c r="W10743" s="21" t="n">
        <v>0</v>
      </c>
      <c r="X10743" s="21" t="n">
        <v>0</v>
      </c>
      <c r="Y10743" s="21" t="n">
        <v>0</v>
      </c>
      <c r="Z10743" s="19" t="n"/>
    </row>
    <row r="10744">
      <c r="D10744" s="21" t="n">
        <v>0</v>
      </c>
      <c r="E10744" s="21" t="n">
        <v>0</v>
      </c>
      <c r="F10744" s="21" t="n">
        <v>0</v>
      </c>
      <c r="G10744" s="21" t="n">
        <v>0</v>
      </c>
      <c r="H10744" s="21" t="n">
        <v>0</v>
      </c>
      <c r="I10744" s="21" t="n">
        <v>0</v>
      </c>
      <c r="J10744" s="21" t="n">
        <v>0</v>
      </c>
      <c r="K10744" s="21" t="n">
        <v>0</v>
      </c>
      <c r="L10744" s="21" t="n">
        <v>0</v>
      </c>
      <c r="M10744" s="21" t="n">
        <v>0</v>
      </c>
      <c r="N10744" s="21">
        <f>$B$10477</f>
        <v/>
      </c>
      <c r="O10744" s="21">
        <f>$B$10479</f>
        <v/>
      </c>
      <c r="P10744" s="21">
        <f>0</f>
        <v/>
      </c>
      <c r="Q10744" s="21">
        <f>2*$B$10478</f>
        <v/>
      </c>
      <c r="R10744" s="21">
        <f>-$B$10477</f>
        <v/>
      </c>
      <c r="S10744" s="21">
        <f>$B$10479</f>
        <v/>
      </c>
      <c r="T10744" s="21" t="n">
        <v>0</v>
      </c>
      <c r="U10744" s="21" t="n">
        <v>0</v>
      </c>
      <c r="V10744" s="21" t="n">
        <v>0</v>
      </c>
      <c r="W10744" s="21" t="n">
        <v>0</v>
      </c>
      <c r="X10744" s="21" t="n">
        <v>0</v>
      </c>
      <c r="Y10744" s="21" t="n">
        <v>0</v>
      </c>
      <c r="Z10744" s="19" t="n"/>
    </row>
    <row r="10745">
      <c r="D10745" s="21" t="n">
        <v>0</v>
      </c>
      <c r="E10745" s="21" t="n">
        <v>0</v>
      </c>
      <c r="F10745" s="21" t="n">
        <v>0</v>
      </c>
      <c r="G10745" s="21" t="n">
        <v>0</v>
      </c>
      <c r="H10745" s="21" t="n">
        <v>0</v>
      </c>
      <c r="I10745" s="21" t="n">
        <v>0</v>
      </c>
      <c r="J10745" s="21" t="n">
        <v>0</v>
      </c>
      <c r="K10745" s="21" t="n">
        <v>0</v>
      </c>
      <c r="L10745" s="21" t="n">
        <v>0</v>
      </c>
      <c r="M10745" s="21" t="n">
        <v>0</v>
      </c>
      <c r="N10745" s="21" t="n">
        <v>0</v>
      </c>
      <c r="O10745" s="21" t="n">
        <v>0</v>
      </c>
      <c r="P10745" s="21">
        <f>-$B$10476</f>
        <v/>
      </c>
      <c r="Q10745" s="21">
        <f>-$B$10477</f>
        <v/>
      </c>
      <c r="R10745" s="21">
        <f>2*$B$10476+$D$10726</f>
        <v/>
      </c>
      <c r="S10745" s="21">
        <f>0</f>
        <v/>
      </c>
      <c r="T10745" s="21">
        <f>-$B$10476</f>
        <v/>
      </c>
      <c r="U10745" s="21">
        <f>$B$10477</f>
        <v/>
      </c>
      <c r="V10745" s="21" t="n">
        <v>0</v>
      </c>
      <c r="W10745" s="21" t="n">
        <v>0</v>
      </c>
      <c r="X10745" s="21" t="n">
        <v>0</v>
      </c>
      <c r="Y10745" s="21" t="n">
        <v>0</v>
      </c>
      <c r="Z10745" s="19" t="n"/>
    </row>
    <row r="10746">
      <c r="D10746" s="21" t="n">
        <v>0</v>
      </c>
      <c r="E10746" s="21" t="n">
        <v>0</v>
      </c>
      <c r="F10746" s="21" t="n">
        <v>0</v>
      </c>
      <c r="G10746" s="21" t="n">
        <v>0</v>
      </c>
      <c r="H10746" s="21" t="n">
        <v>0</v>
      </c>
      <c r="I10746" s="21" t="n">
        <v>0</v>
      </c>
      <c r="J10746" s="21" t="n">
        <v>0</v>
      </c>
      <c r="K10746" s="21" t="n">
        <v>0</v>
      </c>
      <c r="L10746" s="21" t="n">
        <v>0</v>
      </c>
      <c r="M10746" s="21" t="n">
        <v>0</v>
      </c>
      <c r="N10746" s="21" t="n">
        <v>0</v>
      </c>
      <c r="O10746" s="21" t="n">
        <v>0</v>
      </c>
      <c r="P10746" s="21">
        <f>$B$10477</f>
        <v/>
      </c>
      <c r="Q10746" s="21">
        <f>$B$10479</f>
        <v/>
      </c>
      <c r="R10746" s="21">
        <f>0</f>
        <v/>
      </c>
      <c r="S10746" s="21">
        <f>2*$B$10478</f>
        <v/>
      </c>
      <c r="T10746" s="21">
        <f>-$B$10477</f>
        <v/>
      </c>
      <c r="U10746" s="21">
        <f>$B$10479</f>
        <v/>
      </c>
      <c r="V10746" s="21" t="n">
        <v>0</v>
      </c>
      <c r="W10746" s="21" t="n">
        <v>0</v>
      </c>
      <c r="X10746" s="21" t="n">
        <v>0</v>
      </c>
      <c r="Y10746" s="21" t="n">
        <v>0</v>
      </c>
      <c r="Z10746" s="19" t="n"/>
    </row>
    <row r="10747">
      <c r="D10747" s="21" t="n">
        <v>0</v>
      </c>
      <c r="E10747" s="21" t="n">
        <v>0</v>
      </c>
      <c r="F10747" s="21" t="n">
        <v>0</v>
      </c>
      <c r="G10747" s="21" t="n">
        <v>0</v>
      </c>
      <c r="H10747" s="21" t="n">
        <v>0</v>
      </c>
      <c r="I10747" s="21" t="n">
        <v>0</v>
      </c>
      <c r="J10747" s="21" t="n">
        <v>0</v>
      </c>
      <c r="K10747" s="21" t="n">
        <v>0</v>
      </c>
      <c r="L10747" s="21" t="n">
        <v>0</v>
      </c>
      <c r="M10747" s="21" t="n">
        <v>0</v>
      </c>
      <c r="N10747" s="21" t="n">
        <v>0</v>
      </c>
      <c r="O10747" s="21" t="n">
        <v>0</v>
      </c>
      <c r="P10747" s="21" t="n">
        <v>0</v>
      </c>
      <c r="Q10747" s="21" t="n">
        <v>0</v>
      </c>
      <c r="R10747" s="21">
        <f>-$B$10476</f>
        <v/>
      </c>
      <c r="S10747" s="21">
        <f>-$B$10477</f>
        <v/>
      </c>
      <c r="T10747" s="21">
        <f>2*$B$10476+$D$10727</f>
        <v/>
      </c>
      <c r="U10747" s="21">
        <f>0</f>
        <v/>
      </c>
      <c r="V10747" s="21">
        <f>-$B$10476</f>
        <v/>
      </c>
      <c r="W10747" s="21">
        <f>$B$10477</f>
        <v/>
      </c>
      <c r="X10747" s="21" t="n">
        <v>0</v>
      </c>
      <c r="Y10747" s="21" t="n">
        <v>0</v>
      </c>
      <c r="Z10747" s="19" t="n"/>
    </row>
    <row r="10748">
      <c r="D10748" s="21" t="n">
        <v>0</v>
      </c>
      <c r="E10748" s="21" t="n">
        <v>0</v>
      </c>
      <c r="F10748" s="21" t="n">
        <v>0</v>
      </c>
      <c r="G10748" s="21" t="n">
        <v>0</v>
      </c>
      <c r="H10748" s="21" t="n">
        <v>0</v>
      </c>
      <c r="I10748" s="21" t="n">
        <v>0</v>
      </c>
      <c r="J10748" s="21" t="n">
        <v>0</v>
      </c>
      <c r="K10748" s="21" t="n">
        <v>0</v>
      </c>
      <c r="L10748" s="21" t="n">
        <v>0</v>
      </c>
      <c r="M10748" s="21" t="n">
        <v>0</v>
      </c>
      <c r="N10748" s="21" t="n">
        <v>0</v>
      </c>
      <c r="O10748" s="21" t="n">
        <v>0</v>
      </c>
      <c r="P10748" s="21" t="n">
        <v>0</v>
      </c>
      <c r="Q10748" s="21" t="n">
        <v>0</v>
      </c>
      <c r="R10748" s="21">
        <f>$B$10477</f>
        <v/>
      </c>
      <c r="S10748" s="21">
        <f>$B$10479</f>
        <v/>
      </c>
      <c r="T10748" s="21">
        <f>0</f>
        <v/>
      </c>
      <c r="U10748" s="21">
        <f>2*$B$10478</f>
        <v/>
      </c>
      <c r="V10748" s="21">
        <f>-$B$10477</f>
        <v/>
      </c>
      <c r="W10748" s="21">
        <f>$B$10479</f>
        <v/>
      </c>
      <c r="X10748" s="21" t="n">
        <v>0</v>
      </c>
      <c r="Y10748" s="21" t="n">
        <v>0</v>
      </c>
      <c r="Z10748" s="19" t="n"/>
    </row>
    <row r="10749">
      <c r="D10749" s="21" t="n">
        <v>0</v>
      </c>
      <c r="E10749" s="21" t="n">
        <v>0</v>
      </c>
      <c r="F10749" s="21" t="n">
        <v>0</v>
      </c>
      <c r="G10749" s="21" t="n">
        <v>0</v>
      </c>
      <c r="H10749" s="21" t="n">
        <v>0</v>
      </c>
      <c r="I10749" s="21" t="n">
        <v>0</v>
      </c>
      <c r="J10749" s="21" t="n">
        <v>0</v>
      </c>
      <c r="K10749" s="21" t="n">
        <v>0</v>
      </c>
      <c r="L10749" s="21" t="n">
        <v>0</v>
      </c>
      <c r="M10749" s="21" t="n">
        <v>0</v>
      </c>
      <c r="N10749" s="21" t="n">
        <v>0</v>
      </c>
      <c r="O10749" s="21" t="n">
        <v>0</v>
      </c>
      <c r="P10749" s="21" t="n">
        <v>0</v>
      </c>
      <c r="Q10749" s="21" t="n">
        <v>0</v>
      </c>
      <c r="R10749" s="21" t="n">
        <v>0</v>
      </c>
      <c r="S10749" s="21" t="n">
        <v>0</v>
      </c>
      <c r="T10749" s="21">
        <f>-$B$10476</f>
        <v/>
      </c>
      <c r="U10749" s="21">
        <f>-$B$10477</f>
        <v/>
      </c>
      <c r="V10749" s="21">
        <f>2*$B$10476+$D$10728</f>
        <v/>
      </c>
      <c r="W10749" s="21">
        <f>0</f>
        <v/>
      </c>
      <c r="X10749" s="21">
        <f>-$B$10476</f>
        <v/>
      </c>
      <c r="Y10749" s="21">
        <f>$B$10477</f>
        <v/>
      </c>
      <c r="Z10749" s="19" t="n"/>
    </row>
    <row r="10750">
      <c r="D10750" s="21" t="n">
        <v>0</v>
      </c>
      <c r="E10750" s="21" t="n">
        <v>0</v>
      </c>
      <c r="F10750" s="21" t="n">
        <v>0</v>
      </c>
      <c r="G10750" s="21" t="n">
        <v>0</v>
      </c>
      <c r="H10750" s="21" t="n">
        <v>0</v>
      </c>
      <c r="I10750" s="21" t="n">
        <v>0</v>
      </c>
      <c r="J10750" s="21" t="n">
        <v>0</v>
      </c>
      <c r="K10750" s="21" t="n">
        <v>0</v>
      </c>
      <c r="L10750" s="21" t="n">
        <v>0</v>
      </c>
      <c r="M10750" s="21" t="n">
        <v>0</v>
      </c>
      <c r="N10750" s="21" t="n">
        <v>0</v>
      </c>
      <c r="O10750" s="21" t="n">
        <v>0</v>
      </c>
      <c r="P10750" s="21" t="n">
        <v>0</v>
      </c>
      <c r="Q10750" s="21" t="n">
        <v>0</v>
      </c>
      <c r="R10750" s="21" t="n">
        <v>0</v>
      </c>
      <c r="S10750" s="21" t="n">
        <v>0</v>
      </c>
      <c r="T10750" s="21">
        <f>$B$10477</f>
        <v/>
      </c>
      <c r="U10750" s="21">
        <f>$B$10479</f>
        <v/>
      </c>
      <c r="V10750" s="21">
        <f>0</f>
        <v/>
      </c>
      <c r="W10750" s="21">
        <f>2*$B$10478</f>
        <v/>
      </c>
      <c r="X10750" s="21">
        <f>-$B$10477</f>
        <v/>
      </c>
      <c r="Y10750" s="21">
        <f>$B$10479</f>
        <v/>
      </c>
      <c r="Z10750" s="19" t="n"/>
    </row>
    <row r="10751">
      <c r="D10751" s="21" t="n">
        <v>0</v>
      </c>
      <c r="E10751" s="21" t="n">
        <v>0</v>
      </c>
      <c r="F10751" s="21" t="n">
        <v>0</v>
      </c>
      <c r="G10751" s="21" t="n">
        <v>0</v>
      </c>
      <c r="H10751" s="21" t="n">
        <v>0</v>
      </c>
      <c r="I10751" s="21" t="n">
        <v>0</v>
      </c>
      <c r="J10751" s="21" t="n">
        <v>0</v>
      </c>
      <c r="K10751" s="21" t="n">
        <v>0</v>
      </c>
      <c r="L10751" s="21" t="n">
        <v>0</v>
      </c>
      <c r="M10751" s="21" t="n">
        <v>0</v>
      </c>
      <c r="N10751" s="21" t="n">
        <v>0</v>
      </c>
      <c r="O10751" s="21" t="n">
        <v>0</v>
      </c>
      <c r="P10751" s="21" t="n">
        <v>0</v>
      </c>
      <c r="Q10751" s="21" t="n">
        <v>0</v>
      </c>
      <c r="R10751" s="21" t="n">
        <v>0</v>
      </c>
      <c r="S10751" s="21" t="n">
        <v>0</v>
      </c>
      <c r="T10751" s="21" t="n">
        <v>0</v>
      </c>
      <c r="U10751" s="21" t="n">
        <v>0</v>
      </c>
      <c r="V10751" s="21">
        <f>-$B$10476</f>
        <v/>
      </c>
      <c r="W10751" s="21">
        <f>-$B$10477</f>
        <v/>
      </c>
      <c r="X10751" s="21">
        <f>$B$10476+$D$10729</f>
        <v/>
      </c>
      <c r="Y10751" s="21">
        <f>-$B$10477</f>
        <v/>
      </c>
      <c r="Z10751" s="19" t="n"/>
    </row>
    <row r="10752">
      <c r="D10752" s="21" t="n">
        <v>0</v>
      </c>
      <c r="E10752" s="21" t="n">
        <v>0</v>
      </c>
      <c r="F10752" s="21" t="n">
        <v>0</v>
      </c>
      <c r="G10752" s="21" t="n">
        <v>0</v>
      </c>
      <c r="H10752" s="21" t="n">
        <v>0</v>
      </c>
      <c r="I10752" s="21" t="n">
        <v>0</v>
      </c>
      <c r="J10752" s="21" t="n">
        <v>0</v>
      </c>
      <c r="K10752" s="21" t="n">
        <v>0</v>
      </c>
      <c r="L10752" s="21" t="n">
        <v>0</v>
      </c>
      <c r="M10752" s="21" t="n">
        <v>0</v>
      </c>
      <c r="N10752" s="21" t="n">
        <v>0</v>
      </c>
      <c r="O10752" s="21" t="n">
        <v>0</v>
      </c>
      <c r="P10752" s="21" t="n">
        <v>0</v>
      </c>
      <c r="Q10752" s="21" t="n">
        <v>0</v>
      </c>
      <c r="R10752" s="21" t="n">
        <v>0</v>
      </c>
      <c r="S10752" s="21" t="n">
        <v>0</v>
      </c>
      <c r="T10752" s="21" t="n">
        <v>0</v>
      </c>
      <c r="U10752" s="21" t="n">
        <v>0</v>
      </c>
      <c r="V10752" s="21">
        <f>$B$10477</f>
        <v/>
      </c>
      <c r="W10752" s="21">
        <f>$B$10479</f>
        <v/>
      </c>
      <c r="X10752" s="21">
        <f>-$B$10477</f>
        <v/>
      </c>
      <c r="Y10752" s="21">
        <f>$B$10478</f>
        <v/>
      </c>
      <c r="Z10752" s="19" t="n"/>
    </row>
    <row r="10754">
      <c r="A10754" s="8" t="inlineStr">
        <is>
          <t>gen 7</t>
        </is>
      </c>
    </row>
    <row r="10755">
      <c r="D10755" s="19">
        <f>IF(ABS(IF(ABS($E$10719)&gt;0.000000001,$E$10719,0.000000001))=0,0,IF($E$10491&lt;=$B$10485,0,IF(ABS(IF(ABS($E$10719)&gt;0.000000001,$E$10719,0.000000001))&gt;=8*$B$10487,$H$10491,0.5*$H$10491*(ABS(IF(ABS($E$10719)&gt;0.000000001,$E$10719,0.000000001))/$B$10487)^(1/3)))/ABS(IF(ABS($E$10719)&gt;0.000000001,$E$10719,0.000000001))*$I$10491)</f>
        <v/>
      </c>
      <c r="E10755" s="19">
        <f>0.5*$E$10719+0.5*$Z$10767</f>
        <v/>
      </c>
      <c r="F10755" s="19">
        <f>$Z$10768</f>
        <v/>
      </c>
    </row>
    <row r="10756">
      <c r="D10756" s="19">
        <f>IF(ABS(IF(ABS($E$10720)&gt;0.000000001,$E$10720,0.000000001))=0,0,IF($E$10492&lt;=$B$10485,0,IF(ABS(IF(ABS($E$10720)&gt;0.000000001,$E$10720,0.000000001))&gt;=8*$B$10487,$H$10492,0.5*$H$10492*(ABS(IF(ABS($E$10720)&gt;0.000000001,$E$10720,0.000000001))/$B$10487)^(1/3)))/ABS(IF(ABS($E$10720)&gt;0.000000001,$E$10720,0.000000001))*$I$10492)</f>
        <v/>
      </c>
      <c r="E10756" s="19">
        <f>0.5*$E$10720+0.5*$Z$10769</f>
        <v/>
      </c>
      <c r="F10756" s="19">
        <f>$Z$10770</f>
        <v/>
      </c>
    </row>
    <row r="10757">
      <c r="D10757" s="19">
        <f>IF(ABS(IF(ABS($E$10721)&gt;0.000000001,$E$10721,0.000000001))=0,0,IF($E$10493&lt;=$B$10485,0,IF(ABS(IF(ABS($E$10721)&gt;0.000000001,$E$10721,0.000000001))&gt;=8*$B$10487,$H$10493,0.5*$H$10493*(ABS(IF(ABS($E$10721)&gt;0.000000001,$E$10721,0.000000001))/$B$10487)^(1/3)))/ABS(IF(ABS($E$10721)&gt;0.000000001,$E$10721,0.000000001))*$I$10493)</f>
        <v/>
      </c>
      <c r="E10757" s="19">
        <f>0.5*$E$10721+0.5*$Z$10771</f>
        <v/>
      </c>
      <c r="F10757" s="19">
        <f>$Z$10772</f>
        <v/>
      </c>
    </row>
    <row r="10758">
      <c r="D10758" s="19">
        <f>IF(ABS(IF(ABS($E$10722)&gt;0.000000001,$E$10722,0.000000001))=0,0,IF($E$10494&lt;=$B$10485,0,IF(ABS(IF(ABS($E$10722)&gt;0.000000001,$E$10722,0.000000001))&gt;=8*$B$10487,$H$10494,0.5*$H$10494*(ABS(IF(ABS($E$10722)&gt;0.000000001,$E$10722,0.000000001))/$B$10487)^(1/3)))/ABS(IF(ABS($E$10722)&gt;0.000000001,$E$10722,0.000000001))*$I$10494)</f>
        <v/>
      </c>
      <c r="E10758" s="19">
        <f>0.5*$E$10722+0.5*$Z$10773</f>
        <v/>
      </c>
      <c r="F10758" s="19">
        <f>$Z$10774</f>
        <v/>
      </c>
    </row>
    <row r="10759">
      <c r="D10759" s="19">
        <f>IF(ABS(IF(ABS($E$10723)&gt;0.000000001,$E$10723,0.000000001))=0,0,IF($E$10495&lt;=$B$10485,0,IF(ABS(IF(ABS($E$10723)&gt;0.000000001,$E$10723,0.000000001))&gt;=8*$B$10487,$H$10495,0.5*$H$10495*(ABS(IF(ABS($E$10723)&gt;0.000000001,$E$10723,0.000000001))/$B$10487)^(1/3)))/ABS(IF(ABS($E$10723)&gt;0.000000001,$E$10723,0.000000001))*$I$10495)</f>
        <v/>
      </c>
      <c r="E10759" s="19">
        <f>0.5*$E$10723+0.5*$Z$10775</f>
        <v/>
      </c>
      <c r="F10759" s="19">
        <f>$Z$10776</f>
        <v/>
      </c>
    </row>
    <row r="10760">
      <c r="D10760" s="19">
        <f>IF(ABS(IF(ABS($E$10724)&gt;0.000000001,$E$10724,0.000000001))=0,0,IF($E$10496&lt;=$B$10485,0,IF(ABS(IF(ABS($E$10724)&gt;0.000000001,$E$10724,0.000000001))&gt;=8*$B$10487,$H$10496,0.5*$H$10496*(ABS(IF(ABS($E$10724)&gt;0.000000001,$E$10724,0.000000001))/$B$10487)^(1/3)))/ABS(IF(ABS($E$10724)&gt;0.000000001,$E$10724,0.000000001))*$I$10496)</f>
        <v/>
      </c>
      <c r="E10760" s="19">
        <f>0.5*$E$10724+0.5*$Z$10777</f>
        <v/>
      </c>
      <c r="F10760" s="19">
        <f>$Z$10778</f>
        <v/>
      </c>
    </row>
    <row r="10761">
      <c r="D10761" s="19">
        <f>IF(ABS(IF(ABS($E$10725)&gt;0.000000001,$E$10725,0.000000001))=0,0,IF($E$10497&lt;=$B$10485,0,IF(ABS(IF(ABS($E$10725)&gt;0.000000001,$E$10725,0.000000001))&gt;=8*$B$10487,$H$10497,0.5*$H$10497*(ABS(IF(ABS($E$10725)&gt;0.000000001,$E$10725,0.000000001))/$B$10487)^(1/3)))/ABS(IF(ABS($E$10725)&gt;0.000000001,$E$10725,0.000000001))*$I$10497)</f>
        <v/>
      </c>
      <c r="E10761" s="19">
        <f>0.5*$E$10725+0.5*$Z$10779</f>
        <v/>
      </c>
      <c r="F10761" s="19">
        <f>$Z$10780</f>
        <v/>
      </c>
    </row>
    <row r="10762">
      <c r="D10762" s="19">
        <f>IF(ABS(IF(ABS($E$10726)&gt;0.000000001,$E$10726,0.000000001))=0,0,IF($E$10498&lt;=$B$10485,0,IF(ABS(IF(ABS($E$10726)&gt;0.000000001,$E$10726,0.000000001))&gt;=8*$B$10487,$H$10498,0.5*$H$10498*(ABS(IF(ABS($E$10726)&gt;0.000000001,$E$10726,0.000000001))/$B$10487)^(1/3)))/ABS(IF(ABS($E$10726)&gt;0.000000001,$E$10726,0.000000001))*$I$10498)</f>
        <v/>
      </c>
      <c r="E10762" s="19">
        <f>0.5*$E$10726+0.5*$Z$10781</f>
        <v/>
      </c>
      <c r="F10762" s="19">
        <f>$Z$10782</f>
        <v/>
      </c>
    </row>
    <row r="10763">
      <c r="D10763" s="19">
        <f>IF(ABS(IF(ABS($E$10727)&gt;0.000000001,$E$10727,0.000000001))=0,0,IF($E$10499&lt;=$B$10485,0,IF(ABS(IF(ABS($E$10727)&gt;0.000000001,$E$10727,0.000000001))&gt;=8*$B$10487,$H$10499,0.5*$H$10499*(ABS(IF(ABS($E$10727)&gt;0.000000001,$E$10727,0.000000001))/$B$10487)^(1/3)))/ABS(IF(ABS($E$10727)&gt;0.000000001,$E$10727,0.000000001))*$I$10499)</f>
        <v/>
      </c>
      <c r="E10763" s="19">
        <f>0.5*$E$10727+0.5*$Z$10783</f>
        <v/>
      </c>
      <c r="F10763" s="19">
        <f>$Z$10784</f>
        <v/>
      </c>
    </row>
    <row r="10764">
      <c r="D10764" s="19">
        <f>IF(ABS(IF(ABS($E$10728)&gt;0.000000001,$E$10728,0.000000001))=0,0,IF($E$10500&lt;=$B$10485,0,IF(ABS(IF(ABS($E$10728)&gt;0.000000001,$E$10728,0.000000001))&gt;=8*$B$10487,$H$10500,0.5*$H$10500*(ABS(IF(ABS($E$10728)&gt;0.000000001,$E$10728,0.000000001))/$B$10487)^(1/3)))/ABS(IF(ABS($E$10728)&gt;0.000000001,$E$10728,0.000000001))*$I$10500)</f>
        <v/>
      </c>
      <c r="E10764" s="19">
        <f>0.5*$E$10728+0.5*$Z$10785</f>
        <v/>
      </c>
      <c r="F10764" s="19">
        <f>$Z$10786</f>
        <v/>
      </c>
    </row>
    <row r="10765">
      <c r="D10765" s="19">
        <f>IF(ABS(IF(ABS($E$10729)&gt;0.000000001,$E$10729,0.000000001))=0,0,IF($E$10501&lt;=$B$10485,0,IF(ABS(IF(ABS($E$10729)&gt;0.000000001,$E$10729,0.000000001))&gt;=8*$B$10487,$H$10501,0.5*$H$10501*(ABS(IF(ABS($E$10729)&gt;0.000000001,$E$10729,0.000000001))/$B$10487)^(1/3)))/ABS(IF(ABS($E$10729)&gt;0.000000001,$E$10729,0.000000001))*$I$10501)</f>
        <v/>
      </c>
      <c r="E10765" s="19">
        <f>0.5*$E$10729+0.5*$Z$10787</f>
        <v/>
      </c>
      <c r="F10765" s="19">
        <f>$Z$10788</f>
        <v/>
      </c>
    </row>
    <row r="10767">
      <c r="D10767" s="21">
        <f>$B$10476+$D$10755</f>
        <v/>
      </c>
      <c r="E10767" s="21">
        <f>$B$10477</f>
        <v/>
      </c>
      <c r="F10767" s="21">
        <f>-$B$10476</f>
        <v/>
      </c>
      <c r="G10767" s="21">
        <f>$B$10477</f>
        <v/>
      </c>
      <c r="H10767" s="21" t="n">
        <v>0</v>
      </c>
      <c r="I10767" s="21" t="n">
        <v>0</v>
      </c>
      <c r="J10767" s="21" t="n">
        <v>0</v>
      </c>
      <c r="K10767" s="21" t="n">
        <v>0</v>
      </c>
      <c r="L10767" s="21" t="n">
        <v>0</v>
      </c>
      <c r="M10767" s="21" t="n">
        <v>0</v>
      </c>
      <c r="N10767" s="21" t="n">
        <v>0</v>
      </c>
      <c r="O10767" s="21" t="n">
        <v>0</v>
      </c>
      <c r="P10767" s="21" t="n">
        <v>0</v>
      </c>
      <c r="Q10767" s="21" t="n">
        <v>0</v>
      </c>
      <c r="R10767" s="21" t="n">
        <v>0</v>
      </c>
      <c r="S10767" s="21" t="n">
        <v>0</v>
      </c>
      <c r="T10767" s="21" t="n">
        <v>0</v>
      </c>
      <c r="U10767" s="21" t="n">
        <v>0</v>
      </c>
      <c r="V10767" s="21" t="n">
        <v>0</v>
      </c>
      <c r="W10767" s="21" t="n">
        <v>0</v>
      </c>
      <c r="X10767" s="21" t="n">
        <v>0</v>
      </c>
      <c r="Y10767" s="21" t="n">
        <v>0</v>
      </c>
      <c r="Z10767" s="19">
        <f t="array" ref="Z10767:Z10788">MMULT(MINVERSE($D$10767:$Y$10788),$D$10503:$D$10524)</f>
        <v/>
      </c>
    </row>
    <row r="10768">
      <c r="D10768" s="21">
        <f>$B$10477</f>
        <v/>
      </c>
      <c r="E10768" s="21">
        <f>$B$10478</f>
        <v/>
      </c>
      <c r="F10768" s="21">
        <f>-$B$10477</f>
        <v/>
      </c>
      <c r="G10768" s="21">
        <f>$B$10479</f>
        <v/>
      </c>
      <c r="H10768" s="21" t="n">
        <v>0</v>
      </c>
      <c r="I10768" s="21" t="n">
        <v>0</v>
      </c>
      <c r="J10768" s="21" t="n">
        <v>0</v>
      </c>
      <c r="K10768" s="21" t="n">
        <v>0</v>
      </c>
      <c r="L10768" s="21" t="n">
        <v>0</v>
      </c>
      <c r="M10768" s="21" t="n">
        <v>0</v>
      </c>
      <c r="N10768" s="21" t="n">
        <v>0</v>
      </c>
      <c r="O10768" s="21" t="n">
        <v>0</v>
      </c>
      <c r="P10768" s="21" t="n">
        <v>0</v>
      </c>
      <c r="Q10768" s="21" t="n">
        <v>0</v>
      </c>
      <c r="R10768" s="21" t="n">
        <v>0</v>
      </c>
      <c r="S10768" s="21" t="n">
        <v>0</v>
      </c>
      <c r="T10768" s="21" t="n">
        <v>0</v>
      </c>
      <c r="U10768" s="21" t="n">
        <v>0</v>
      </c>
      <c r="V10768" s="21" t="n">
        <v>0</v>
      </c>
      <c r="W10768" s="21" t="n">
        <v>0</v>
      </c>
      <c r="X10768" s="21" t="n">
        <v>0</v>
      </c>
      <c r="Y10768" s="21" t="n">
        <v>0</v>
      </c>
      <c r="Z10768" s="19" t="n"/>
    </row>
    <row r="10769">
      <c r="D10769" s="21">
        <f>-$B$10476</f>
        <v/>
      </c>
      <c r="E10769" s="21">
        <f>-$B$10477</f>
        <v/>
      </c>
      <c r="F10769" s="21">
        <f>2*$B$10476+$D$10756</f>
        <v/>
      </c>
      <c r="G10769" s="21">
        <f>0</f>
        <v/>
      </c>
      <c r="H10769" s="21">
        <f>-$B$10476</f>
        <v/>
      </c>
      <c r="I10769" s="21">
        <f>$B$10477</f>
        <v/>
      </c>
      <c r="J10769" s="21" t="n">
        <v>0</v>
      </c>
      <c r="K10769" s="21" t="n">
        <v>0</v>
      </c>
      <c r="L10769" s="21" t="n">
        <v>0</v>
      </c>
      <c r="M10769" s="21" t="n">
        <v>0</v>
      </c>
      <c r="N10769" s="21" t="n">
        <v>0</v>
      </c>
      <c r="O10769" s="21" t="n">
        <v>0</v>
      </c>
      <c r="P10769" s="21" t="n">
        <v>0</v>
      </c>
      <c r="Q10769" s="21" t="n">
        <v>0</v>
      </c>
      <c r="R10769" s="21" t="n">
        <v>0</v>
      </c>
      <c r="S10769" s="21" t="n">
        <v>0</v>
      </c>
      <c r="T10769" s="21" t="n">
        <v>0</v>
      </c>
      <c r="U10769" s="21" t="n">
        <v>0</v>
      </c>
      <c r="V10769" s="21" t="n">
        <v>0</v>
      </c>
      <c r="W10769" s="21" t="n">
        <v>0</v>
      </c>
      <c r="X10769" s="21" t="n">
        <v>0</v>
      </c>
      <c r="Y10769" s="21" t="n">
        <v>0</v>
      </c>
      <c r="Z10769" s="19" t="n"/>
    </row>
    <row r="10770">
      <c r="D10770" s="21">
        <f>$B$10477</f>
        <v/>
      </c>
      <c r="E10770" s="21">
        <f>$B$10479</f>
        <v/>
      </c>
      <c r="F10770" s="21">
        <f>0</f>
        <v/>
      </c>
      <c r="G10770" s="21">
        <f>2*$B$10478</f>
        <v/>
      </c>
      <c r="H10770" s="21">
        <f>-$B$10477</f>
        <v/>
      </c>
      <c r="I10770" s="21">
        <f>$B$10479</f>
        <v/>
      </c>
      <c r="J10770" s="21" t="n">
        <v>0</v>
      </c>
      <c r="K10770" s="21" t="n">
        <v>0</v>
      </c>
      <c r="L10770" s="21" t="n">
        <v>0</v>
      </c>
      <c r="M10770" s="21" t="n">
        <v>0</v>
      </c>
      <c r="N10770" s="21" t="n">
        <v>0</v>
      </c>
      <c r="O10770" s="21" t="n">
        <v>0</v>
      </c>
      <c r="P10770" s="21" t="n">
        <v>0</v>
      </c>
      <c r="Q10770" s="21" t="n">
        <v>0</v>
      </c>
      <c r="R10770" s="21" t="n">
        <v>0</v>
      </c>
      <c r="S10770" s="21" t="n">
        <v>0</v>
      </c>
      <c r="T10770" s="21" t="n">
        <v>0</v>
      </c>
      <c r="U10770" s="21" t="n">
        <v>0</v>
      </c>
      <c r="V10770" s="21" t="n">
        <v>0</v>
      </c>
      <c r="W10770" s="21" t="n">
        <v>0</v>
      </c>
      <c r="X10770" s="21" t="n">
        <v>0</v>
      </c>
      <c r="Y10770" s="21" t="n">
        <v>0</v>
      </c>
      <c r="Z10770" s="19" t="n"/>
    </row>
    <row r="10771">
      <c r="D10771" s="21" t="n">
        <v>0</v>
      </c>
      <c r="E10771" s="21" t="n">
        <v>0</v>
      </c>
      <c r="F10771" s="21">
        <f>-$B$10476</f>
        <v/>
      </c>
      <c r="G10771" s="21">
        <f>-$B$10477</f>
        <v/>
      </c>
      <c r="H10771" s="21">
        <f>2*$B$10476+$D$10757</f>
        <v/>
      </c>
      <c r="I10771" s="21">
        <f>0</f>
        <v/>
      </c>
      <c r="J10771" s="21">
        <f>-$B$10476</f>
        <v/>
      </c>
      <c r="K10771" s="21">
        <f>$B$10477</f>
        <v/>
      </c>
      <c r="L10771" s="21" t="n">
        <v>0</v>
      </c>
      <c r="M10771" s="21" t="n">
        <v>0</v>
      </c>
      <c r="N10771" s="21" t="n">
        <v>0</v>
      </c>
      <c r="O10771" s="21" t="n">
        <v>0</v>
      </c>
      <c r="P10771" s="21" t="n">
        <v>0</v>
      </c>
      <c r="Q10771" s="21" t="n">
        <v>0</v>
      </c>
      <c r="R10771" s="21" t="n">
        <v>0</v>
      </c>
      <c r="S10771" s="21" t="n">
        <v>0</v>
      </c>
      <c r="T10771" s="21" t="n">
        <v>0</v>
      </c>
      <c r="U10771" s="21" t="n">
        <v>0</v>
      </c>
      <c r="V10771" s="21" t="n">
        <v>0</v>
      </c>
      <c r="W10771" s="21" t="n">
        <v>0</v>
      </c>
      <c r="X10771" s="21" t="n">
        <v>0</v>
      </c>
      <c r="Y10771" s="21" t="n">
        <v>0</v>
      </c>
      <c r="Z10771" s="19" t="n"/>
    </row>
    <row r="10772">
      <c r="D10772" s="21" t="n">
        <v>0</v>
      </c>
      <c r="E10772" s="21" t="n">
        <v>0</v>
      </c>
      <c r="F10772" s="21">
        <f>$B$10477</f>
        <v/>
      </c>
      <c r="G10772" s="21">
        <f>$B$10479</f>
        <v/>
      </c>
      <c r="H10772" s="21">
        <f>0</f>
        <v/>
      </c>
      <c r="I10772" s="21">
        <f>2*$B$10478</f>
        <v/>
      </c>
      <c r="J10772" s="21">
        <f>-$B$10477</f>
        <v/>
      </c>
      <c r="K10772" s="21">
        <f>$B$10479</f>
        <v/>
      </c>
      <c r="L10772" s="21" t="n">
        <v>0</v>
      </c>
      <c r="M10772" s="21" t="n">
        <v>0</v>
      </c>
      <c r="N10772" s="21" t="n">
        <v>0</v>
      </c>
      <c r="O10772" s="21" t="n">
        <v>0</v>
      </c>
      <c r="P10772" s="21" t="n">
        <v>0</v>
      </c>
      <c r="Q10772" s="21" t="n">
        <v>0</v>
      </c>
      <c r="R10772" s="21" t="n">
        <v>0</v>
      </c>
      <c r="S10772" s="21" t="n">
        <v>0</v>
      </c>
      <c r="T10772" s="21" t="n">
        <v>0</v>
      </c>
      <c r="U10772" s="21" t="n">
        <v>0</v>
      </c>
      <c r="V10772" s="21" t="n">
        <v>0</v>
      </c>
      <c r="W10772" s="21" t="n">
        <v>0</v>
      </c>
      <c r="X10772" s="21" t="n">
        <v>0</v>
      </c>
      <c r="Y10772" s="21" t="n">
        <v>0</v>
      </c>
      <c r="Z10772" s="19" t="n"/>
    </row>
    <row r="10773">
      <c r="D10773" s="21" t="n">
        <v>0</v>
      </c>
      <c r="E10773" s="21" t="n">
        <v>0</v>
      </c>
      <c r="F10773" s="21" t="n">
        <v>0</v>
      </c>
      <c r="G10773" s="21" t="n">
        <v>0</v>
      </c>
      <c r="H10773" s="21">
        <f>-$B$10476</f>
        <v/>
      </c>
      <c r="I10773" s="21">
        <f>-$B$10477</f>
        <v/>
      </c>
      <c r="J10773" s="21">
        <f>2*$B$10476+$D$10758</f>
        <v/>
      </c>
      <c r="K10773" s="21">
        <f>0</f>
        <v/>
      </c>
      <c r="L10773" s="21">
        <f>-$B$10476</f>
        <v/>
      </c>
      <c r="M10773" s="21">
        <f>$B$10477</f>
        <v/>
      </c>
      <c r="N10773" s="21" t="n">
        <v>0</v>
      </c>
      <c r="O10773" s="21" t="n">
        <v>0</v>
      </c>
      <c r="P10773" s="21" t="n">
        <v>0</v>
      </c>
      <c r="Q10773" s="21" t="n">
        <v>0</v>
      </c>
      <c r="R10773" s="21" t="n">
        <v>0</v>
      </c>
      <c r="S10773" s="21" t="n">
        <v>0</v>
      </c>
      <c r="T10773" s="21" t="n">
        <v>0</v>
      </c>
      <c r="U10773" s="21" t="n">
        <v>0</v>
      </c>
      <c r="V10773" s="21" t="n">
        <v>0</v>
      </c>
      <c r="W10773" s="21" t="n">
        <v>0</v>
      </c>
      <c r="X10773" s="21" t="n">
        <v>0</v>
      </c>
      <c r="Y10773" s="21" t="n">
        <v>0</v>
      </c>
      <c r="Z10773" s="19" t="n"/>
    </row>
    <row r="10774">
      <c r="D10774" s="21" t="n">
        <v>0</v>
      </c>
      <c r="E10774" s="21" t="n">
        <v>0</v>
      </c>
      <c r="F10774" s="21" t="n">
        <v>0</v>
      </c>
      <c r="G10774" s="21" t="n">
        <v>0</v>
      </c>
      <c r="H10774" s="21">
        <f>$B$10477</f>
        <v/>
      </c>
      <c r="I10774" s="21">
        <f>$B$10479</f>
        <v/>
      </c>
      <c r="J10774" s="21">
        <f>0</f>
        <v/>
      </c>
      <c r="K10774" s="21">
        <f>2*$B$10478</f>
        <v/>
      </c>
      <c r="L10774" s="21">
        <f>-$B$10477</f>
        <v/>
      </c>
      <c r="M10774" s="21">
        <f>$B$10479</f>
        <v/>
      </c>
      <c r="N10774" s="21" t="n">
        <v>0</v>
      </c>
      <c r="O10774" s="21" t="n">
        <v>0</v>
      </c>
      <c r="P10774" s="21" t="n">
        <v>0</v>
      </c>
      <c r="Q10774" s="21" t="n">
        <v>0</v>
      </c>
      <c r="R10774" s="21" t="n">
        <v>0</v>
      </c>
      <c r="S10774" s="21" t="n">
        <v>0</v>
      </c>
      <c r="T10774" s="21" t="n">
        <v>0</v>
      </c>
      <c r="U10774" s="21" t="n">
        <v>0</v>
      </c>
      <c r="V10774" s="21" t="n">
        <v>0</v>
      </c>
      <c r="W10774" s="21" t="n">
        <v>0</v>
      </c>
      <c r="X10774" s="21" t="n">
        <v>0</v>
      </c>
      <c r="Y10774" s="21" t="n">
        <v>0</v>
      </c>
      <c r="Z10774" s="19" t="n"/>
    </row>
    <row r="10775">
      <c r="D10775" s="21" t="n">
        <v>0</v>
      </c>
      <c r="E10775" s="21" t="n">
        <v>0</v>
      </c>
      <c r="F10775" s="21" t="n">
        <v>0</v>
      </c>
      <c r="G10775" s="21" t="n">
        <v>0</v>
      </c>
      <c r="H10775" s="21" t="n">
        <v>0</v>
      </c>
      <c r="I10775" s="21" t="n">
        <v>0</v>
      </c>
      <c r="J10775" s="21">
        <f>-$B$10476</f>
        <v/>
      </c>
      <c r="K10775" s="21">
        <f>-$B$10477</f>
        <v/>
      </c>
      <c r="L10775" s="21">
        <f>2*$B$10476+$D$10759</f>
        <v/>
      </c>
      <c r="M10775" s="21">
        <f>0</f>
        <v/>
      </c>
      <c r="N10775" s="21">
        <f>-$B$10476</f>
        <v/>
      </c>
      <c r="O10775" s="21">
        <f>$B$10477</f>
        <v/>
      </c>
      <c r="P10775" s="21" t="n">
        <v>0</v>
      </c>
      <c r="Q10775" s="21" t="n">
        <v>0</v>
      </c>
      <c r="R10775" s="21" t="n">
        <v>0</v>
      </c>
      <c r="S10775" s="21" t="n">
        <v>0</v>
      </c>
      <c r="T10775" s="21" t="n">
        <v>0</v>
      </c>
      <c r="U10775" s="21" t="n">
        <v>0</v>
      </c>
      <c r="V10775" s="21" t="n">
        <v>0</v>
      </c>
      <c r="W10775" s="21" t="n">
        <v>0</v>
      </c>
      <c r="X10775" s="21" t="n">
        <v>0</v>
      </c>
      <c r="Y10775" s="21" t="n">
        <v>0</v>
      </c>
      <c r="Z10775" s="19" t="n"/>
    </row>
    <row r="10776">
      <c r="D10776" s="21" t="n">
        <v>0</v>
      </c>
      <c r="E10776" s="21" t="n">
        <v>0</v>
      </c>
      <c r="F10776" s="21" t="n">
        <v>0</v>
      </c>
      <c r="G10776" s="21" t="n">
        <v>0</v>
      </c>
      <c r="H10776" s="21" t="n">
        <v>0</v>
      </c>
      <c r="I10776" s="21" t="n">
        <v>0</v>
      </c>
      <c r="J10776" s="21">
        <f>$B$10477</f>
        <v/>
      </c>
      <c r="K10776" s="21">
        <f>$B$10479</f>
        <v/>
      </c>
      <c r="L10776" s="21">
        <f>0</f>
        <v/>
      </c>
      <c r="M10776" s="21">
        <f>2*$B$10478</f>
        <v/>
      </c>
      <c r="N10776" s="21">
        <f>-$B$10477</f>
        <v/>
      </c>
      <c r="O10776" s="21">
        <f>$B$10479</f>
        <v/>
      </c>
      <c r="P10776" s="21" t="n">
        <v>0</v>
      </c>
      <c r="Q10776" s="21" t="n">
        <v>0</v>
      </c>
      <c r="R10776" s="21" t="n">
        <v>0</v>
      </c>
      <c r="S10776" s="21" t="n">
        <v>0</v>
      </c>
      <c r="T10776" s="21" t="n">
        <v>0</v>
      </c>
      <c r="U10776" s="21" t="n">
        <v>0</v>
      </c>
      <c r="V10776" s="21" t="n">
        <v>0</v>
      </c>
      <c r="W10776" s="21" t="n">
        <v>0</v>
      </c>
      <c r="X10776" s="21" t="n">
        <v>0</v>
      </c>
      <c r="Y10776" s="21" t="n">
        <v>0</v>
      </c>
      <c r="Z10776" s="19" t="n"/>
    </row>
    <row r="10777">
      <c r="D10777" s="21" t="n">
        <v>0</v>
      </c>
      <c r="E10777" s="21" t="n">
        <v>0</v>
      </c>
      <c r="F10777" s="21" t="n">
        <v>0</v>
      </c>
      <c r="G10777" s="21" t="n">
        <v>0</v>
      </c>
      <c r="H10777" s="21" t="n">
        <v>0</v>
      </c>
      <c r="I10777" s="21" t="n">
        <v>0</v>
      </c>
      <c r="J10777" s="21" t="n">
        <v>0</v>
      </c>
      <c r="K10777" s="21" t="n">
        <v>0</v>
      </c>
      <c r="L10777" s="21">
        <f>-$B$10476</f>
        <v/>
      </c>
      <c r="M10777" s="21">
        <f>-$B$10477</f>
        <v/>
      </c>
      <c r="N10777" s="21">
        <f>2*$B$10476+$D$10760</f>
        <v/>
      </c>
      <c r="O10777" s="21">
        <f>0</f>
        <v/>
      </c>
      <c r="P10777" s="21">
        <f>-$B$10476</f>
        <v/>
      </c>
      <c r="Q10777" s="21">
        <f>$B$10477</f>
        <v/>
      </c>
      <c r="R10777" s="21" t="n">
        <v>0</v>
      </c>
      <c r="S10777" s="21" t="n">
        <v>0</v>
      </c>
      <c r="T10777" s="21" t="n">
        <v>0</v>
      </c>
      <c r="U10777" s="21" t="n">
        <v>0</v>
      </c>
      <c r="V10777" s="21" t="n">
        <v>0</v>
      </c>
      <c r="W10777" s="21" t="n">
        <v>0</v>
      </c>
      <c r="X10777" s="21" t="n">
        <v>0</v>
      </c>
      <c r="Y10777" s="21" t="n">
        <v>0</v>
      </c>
      <c r="Z10777" s="19" t="n"/>
    </row>
    <row r="10778">
      <c r="D10778" s="21" t="n">
        <v>0</v>
      </c>
      <c r="E10778" s="21" t="n">
        <v>0</v>
      </c>
      <c r="F10778" s="21" t="n">
        <v>0</v>
      </c>
      <c r="G10778" s="21" t="n">
        <v>0</v>
      </c>
      <c r="H10778" s="21" t="n">
        <v>0</v>
      </c>
      <c r="I10778" s="21" t="n">
        <v>0</v>
      </c>
      <c r="J10778" s="21" t="n">
        <v>0</v>
      </c>
      <c r="K10778" s="21" t="n">
        <v>0</v>
      </c>
      <c r="L10778" s="21">
        <f>$B$10477</f>
        <v/>
      </c>
      <c r="M10778" s="21">
        <f>$B$10479</f>
        <v/>
      </c>
      <c r="N10778" s="21">
        <f>0</f>
        <v/>
      </c>
      <c r="O10778" s="21">
        <f>2*$B$10478</f>
        <v/>
      </c>
      <c r="P10778" s="21">
        <f>-$B$10477</f>
        <v/>
      </c>
      <c r="Q10778" s="21">
        <f>$B$10479</f>
        <v/>
      </c>
      <c r="R10778" s="21" t="n">
        <v>0</v>
      </c>
      <c r="S10778" s="21" t="n">
        <v>0</v>
      </c>
      <c r="T10778" s="21" t="n">
        <v>0</v>
      </c>
      <c r="U10778" s="21" t="n">
        <v>0</v>
      </c>
      <c r="V10778" s="21" t="n">
        <v>0</v>
      </c>
      <c r="W10778" s="21" t="n">
        <v>0</v>
      </c>
      <c r="X10778" s="21" t="n">
        <v>0</v>
      </c>
      <c r="Y10778" s="21" t="n">
        <v>0</v>
      </c>
      <c r="Z10778" s="19" t="n"/>
    </row>
    <row r="10779">
      <c r="D10779" s="21" t="n">
        <v>0</v>
      </c>
      <c r="E10779" s="21" t="n">
        <v>0</v>
      </c>
      <c r="F10779" s="21" t="n">
        <v>0</v>
      </c>
      <c r="G10779" s="21" t="n">
        <v>0</v>
      </c>
      <c r="H10779" s="21" t="n">
        <v>0</v>
      </c>
      <c r="I10779" s="21" t="n">
        <v>0</v>
      </c>
      <c r="J10779" s="21" t="n">
        <v>0</v>
      </c>
      <c r="K10779" s="21" t="n">
        <v>0</v>
      </c>
      <c r="L10779" s="21" t="n">
        <v>0</v>
      </c>
      <c r="M10779" s="21" t="n">
        <v>0</v>
      </c>
      <c r="N10779" s="21">
        <f>-$B$10476</f>
        <v/>
      </c>
      <c r="O10779" s="21">
        <f>-$B$10477</f>
        <v/>
      </c>
      <c r="P10779" s="21">
        <f>2*$B$10476+$D$10761</f>
        <v/>
      </c>
      <c r="Q10779" s="21">
        <f>0</f>
        <v/>
      </c>
      <c r="R10779" s="21">
        <f>-$B$10476</f>
        <v/>
      </c>
      <c r="S10779" s="21">
        <f>$B$10477</f>
        <v/>
      </c>
      <c r="T10779" s="21" t="n">
        <v>0</v>
      </c>
      <c r="U10779" s="21" t="n">
        <v>0</v>
      </c>
      <c r="V10779" s="21" t="n">
        <v>0</v>
      </c>
      <c r="W10779" s="21" t="n">
        <v>0</v>
      </c>
      <c r="X10779" s="21" t="n">
        <v>0</v>
      </c>
      <c r="Y10779" s="21" t="n">
        <v>0</v>
      </c>
      <c r="Z10779" s="19" t="n"/>
    </row>
    <row r="10780">
      <c r="D10780" s="21" t="n">
        <v>0</v>
      </c>
      <c r="E10780" s="21" t="n">
        <v>0</v>
      </c>
      <c r="F10780" s="21" t="n">
        <v>0</v>
      </c>
      <c r="G10780" s="21" t="n">
        <v>0</v>
      </c>
      <c r="H10780" s="21" t="n">
        <v>0</v>
      </c>
      <c r="I10780" s="21" t="n">
        <v>0</v>
      </c>
      <c r="J10780" s="21" t="n">
        <v>0</v>
      </c>
      <c r="K10780" s="21" t="n">
        <v>0</v>
      </c>
      <c r="L10780" s="21" t="n">
        <v>0</v>
      </c>
      <c r="M10780" s="21" t="n">
        <v>0</v>
      </c>
      <c r="N10780" s="21">
        <f>$B$10477</f>
        <v/>
      </c>
      <c r="O10780" s="21">
        <f>$B$10479</f>
        <v/>
      </c>
      <c r="P10780" s="21">
        <f>0</f>
        <v/>
      </c>
      <c r="Q10780" s="21">
        <f>2*$B$10478</f>
        <v/>
      </c>
      <c r="R10780" s="21">
        <f>-$B$10477</f>
        <v/>
      </c>
      <c r="S10780" s="21">
        <f>$B$10479</f>
        <v/>
      </c>
      <c r="T10780" s="21" t="n">
        <v>0</v>
      </c>
      <c r="U10780" s="21" t="n">
        <v>0</v>
      </c>
      <c r="V10780" s="21" t="n">
        <v>0</v>
      </c>
      <c r="W10780" s="21" t="n">
        <v>0</v>
      </c>
      <c r="X10780" s="21" t="n">
        <v>0</v>
      </c>
      <c r="Y10780" s="21" t="n">
        <v>0</v>
      </c>
      <c r="Z10780" s="19" t="n"/>
    </row>
    <row r="10781">
      <c r="D10781" s="21" t="n">
        <v>0</v>
      </c>
      <c r="E10781" s="21" t="n">
        <v>0</v>
      </c>
      <c r="F10781" s="21" t="n">
        <v>0</v>
      </c>
      <c r="G10781" s="21" t="n">
        <v>0</v>
      </c>
      <c r="H10781" s="21" t="n">
        <v>0</v>
      </c>
      <c r="I10781" s="21" t="n">
        <v>0</v>
      </c>
      <c r="J10781" s="21" t="n">
        <v>0</v>
      </c>
      <c r="K10781" s="21" t="n">
        <v>0</v>
      </c>
      <c r="L10781" s="21" t="n">
        <v>0</v>
      </c>
      <c r="M10781" s="21" t="n">
        <v>0</v>
      </c>
      <c r="N10781" s="21" t="n">
        <v>0</v>
      </c>
      <c r="O10781" s="21" t="n">
        <v>0</v>
      </c>
      <c r="P10781" s="21">
        <f>-$B$10476</f>
        <v/>
      </c>
      <c r="Q10781" s="21">
        <f>-$B$10477</f>
        <v/>
      </c>
      <c r="R10781" s="21">
        <f>2*$B$10476+$D$10762</f>
        <v/>
      </c>
      <c r="S10781" s="21">
        <f>0</f>
        <v/>
      </c>
      <c r="T10781" s="21">
        <f>-$B$10476</f>
        <v/>
      </c>
      <c r="U10781" s="21">
        <f>$B$10477</f>
        <v/>
      </c>
      <c r="V10781" s="21" t="n">
        <v>0</v>
      </c>
      <c r="W10781" s="21" t="n">
        <v>0</v>
      </c>
      <c r="X10781" s="21" t="n">
        <v>0</v>
      </c>
      <c r="Y10781" s="21" t="n">
        <v>0</v>
      </c>
      <c r="Z10781" s="19" t="n"/>
    </row>
    <row r="10782">
      <c r="D10782" s="21" t="n">
        <v>0</v>
      </c>
      <c r="E10782" s="21" t="n">
        <v>0</v>
      </c>
      <c r="F10782" s="21" t="n">
        <v>0</v>
      </c>
      <c r="G10782" s="21" t="n">
        <v>0</v>
      </c>
      <c r="H10782" s="21" t="n">
        <v>0</v>
      </c>
      <c r="I10782" s="21" t="n">
        <v>0</v>
      </c>
      <c r="J10782" s="21" t="n">
        <v>0</v>
      </c>
      <c r="K10782" s="21" t="n">
        <v>0</v>
      </c>
      <c r="L10782" s="21" t="n">
        <v>0</v>
      </c>
      <c r="M10782" s="21" t="n">
        <v>0</v>
      </c>
      <c r="N10782" s="21" t="n">
        <v>0</v>
      </c>
      <c r="O10782" s="21" t="n">
        <v>0</v>
      </c>
      <c r="P10782" s="21">
        <f>$B$10477</f>
        <v/>
      </c>
      <c r="Q10782" s="21">
        <f>$B$10479</f>
        <v/>
      </c>
      <c r="R10782" s="21">
        <f>0</f>
        <v/>
      </c>
      <c r="S10782" s="21">
        <f>2*$B$10478</f>
        <v/>
      </c>
      <c r="T10782" s="21">
        <f>-$B$10477</f>
        <v/>
      </c>
      <c r="U10782" s="21">
        <f>$B$10479</f>
        <v/>
      </c>
      <c r="V10782" s="21" t="n">
        <v>0</v>
      </c>
      <c r="W10782" s="21" t="n">
        <v>0</v>
      </c>
      <c r="X10782" s="21" t="n">
        <v>0</v>
      </c>
      <c r="Y10782" s="21" t="n">
        <v>0</v>
      </c>
      <c r="Z10782" s="19" t="n"/>
    </row>
    <row r="10783">
      <c r="D10783" s="21" t="n">
        <v>0</v>
      </c>
      <c r="E10783" s="21" t="n">
        <v>0</v>
      </c>
      <c r="F10783" s="21" t="n">
        <v>0</v>
      </c>
      <c r="G10783" s="21" t="n">
        <v>0</v>
      </c>
      <c r="H10783" s="21" t="n">
        <v>0</v>
      </c>
      <c r="I10783" s="21" t="n">
        <v>0</v>
      </c>
      <c r="J10783" s="21" t="n">
        <v>0</v>
      </c>
      <c r="K10783" s="21" t="n">
        <v>0</v>
      </c>
      <c r="L10783" s="21" t="n">
        <v>0</v>
      </c>
      <c r="M10783" s="21" t="n">
        <v>0</v>
      </c>
      <c r="N10783" s="21" t="n">
        <v>0</v>
      </c>
      <c r="O10783" s="21" t="n">
        <v>0</v>
      </c>
      <c r="P10783" s="21" t="n">
        <v>0</v>
      </c>
      <c r="Q10783" s="21" t="n">
        <v>0</v>
      </c>
      <c r="R10783" s="21">
        <f>-$B$10476</f>
        <v/>
      </c>
      <c r="S10783" s="21">
        <f>-$B$10477</f>
        <v/>
      </c>
      <c r="T10783" s="21">
        <f>2*$B$10476+$D$10763</f>
        <v/>
      </c>
      <c r="U10783" s="21">
        <f>0</f>
        <v/>
      </c>
      <c r="V10783" s="21">
        <f>-$B$10476</f>
        <v/>
      </c>
      <c r="W10783" s="21">
        <f>$B$10477</f>
        <v/>
      </c>
      <c r="X10783" s="21" t="n">
        <v>0</v>
      </c>
      <c r="Y10783" s="21" t="n">
        <v>0</v>
      </c>
      <c r="Z10783" s="19" t="n"/>
    </row>
    <row r="10784">
      <c r="D10784" s="21" t="n">
        <v>0</v>
      </c>
      <c r="E10784" s="21" t="n">
        <v>0</v>
      </c>
      <c r="F10784" s="21" t="n">
        <v>0</v>
      </c>
      <c r="G10784" s="21" t="n">
        <v>0</v>
      </c>
      <c r="H10784" s="21" t="n">
        <v>0</v>
      </c>
      <c r="I10784" s="21" t="n">
        <v>0</v>
      </c>
      <c r="J10784" s="21" t="n">
        <v>0</v>
      </c>
      <c r="K10784" s="21" t="n">
        <v>0</v>
      </c>
      <c r="L10784" s="21" t="n">
        <v>0</v>
      </c>
      <c r="M10784" s="21" t="n">
        <v>0</v>
      </c>
      <c r="N10784" s="21" t="n">
        <v>0</v>
      </c>
      <c r="O10784" s="21" t="n">
        <v>0</v>
      </c>
      <c r="P10784" s="21" t="n">
        <v>0</v>
      </c>
      <c r="Q10784" s="21" t="n">
        <v>0</v>
      </c>
      <c r="R10784" s="21">
        <f>$B$10477</f>
        <v/>
      </c>
      <c r="S10784" s="21">
        <f>$B$10479</f>
        <v/>
      </c>
      <c r="T10784" s="21">
        <f>0</f>
        <v/>
      </c>
      <c r="U10784" s="21">
        <f>2*$B$10478</f>
        <v/>
      </c>
      <c r="V10784" s="21">
        <f>-$B$10477</f>
        <v/>
      </c>
      <c r="W10784" s="21">
        <f>$B$10479</f>
        <v/>
      </c>
      <c r="X10784" s="21" t="n">
        <v>0</v>
      </c>
      <c r="Y10784" s="21" t="n">
        <v>0</v>
      </c>
      <c r="Z10784" s="19" t="n"/>
    </row>
    <row r="10785">
      <c r="D10785" s="21" t="n">
        <v>0</v>
      </c>
      <c r="E10785" s="21" t="n">
        <v>0</v>
      </c>
      <c r="F10785" s="21" t="n">
        <v>0</v>
      </c>
      <c r="G10785" s="21" t="n">
        <v>0</v>
      </c>
      <c r="H10785" s="21" t="n">
        <v>0</v>
      </c>
      <c r="I10785" s="21" t="n">
        <v>0</v>
      </c>
      <c r="J10785" s="21" t="n">
        <v>0</v>
      </c>
      <c r="K10785" s="21" t="n">
        <v>0</v>
      </c>
      <c r="L10785" s="21" t="n">
        <v>0</v>
      </c>
      <c r="M10785" s="21" t="n">
        <v>0</v>
      </c>
      <c r="N10785" s="21" t="n">
        <v>0</v>
      </c>
      <c r="O10785" s="21" t="n">
        <v>0</v>
      </c>
      <c r="P10785" s="21" t="n">
        <v>0</v>
      </c>
      <c r="Q10785" s="21" t="n">
        <v>0</v>
      </c>
      <c r="R10785" s="21" t="n">
        <v>0</v>
      </c>
      <c r="S10785" s="21" t="n">
        <v>0</v>
      </c>
      <c r="T10785" s="21">
        <f>-$B$10476</f>
        <v/>
      </c>
      <c r="U10785" s="21">
        <f>-$B$10477</f>
        <v/>
      </c>
      <c r="V10785" s="21">
        <f>2*$B$10476+$D$10764</f>
        <v/>
      </c>
      <c r="W10785" s="21">
        <f>0</f>
        <v/>
      </c>
      <c r="X10785" s="21">
        <f>-$B$10476</f>
        <v/>
      </c>
      <c r="Y10785" s="21">
        <f>$B$10477</f>
        <v/>
      </c>
      <c r="Z10785" s="19" t="n"/>
    </row>
    <row r="10786">
      <c r="D10786" s="21" t="n">
        <v>0</v>
      </c>
      <c r="E10786" s="21" t="n">
        <v>0</v>
      </c>
      <c r="F10786" s="21" t="n">
        <v>0</v>
      </c>
      <c r="G10786" s="21" t="n">
        <v>0</v>
      </c>
      <c r="H10786" s="21" t="n">
        <v>0</v>
      </c>
      <c r="I10786" s="21" t="n">
        <v>0</v>
      </c>
      <c r="J10786" s="21" t="n">
        <v>0</v>
      </c>
      <c r="K10786" s="21" t="n">
        <v>0</v>
      </c>
      <c r="L10786" s="21" t="n">
        <v>0</v>
      </c>
      <c r="M10786" s="21" t="n">
        <v>0</v>
      </c>
      <c r="N10786" s="21" t="n">
        <v>0</v>
      </c>
      <c r="O10786" s="21" t="n">
        <v>0</v>
      </c>
      <c r="P10786" s="21" t="n">
        <v>0</v>
      </c>
      <c r="Q10786" s="21" t="n">
        <v>0</v>
      </c>
      <c r="R10786" s="21" t="n">
        <v>0</v>
      </c>
      <c r="S10786" s="21" t="n">
        <v>0</v>
      </c>
      <c r="T10786" s="21">
        <f>$B$10477</f>
        <v/>
      </c>
      <c r="U10786" s="21">
        <f>$B$10479</f>
        <v/>
      </c>
      <c r="V10786" s="21">
        <f>0</f>
        <v/>
      </c>
      <c r="W10786" s="21">
        <f>2*$B$10478</f>
        <v/>
      </c>
      <c r="X10786" s="21">
        <f>-$B$10477</f>
        <v/>
      </c>
      <c r="Y10786" s="21">
        <f>$B$10479</f>
        <v/>
      </c>
      <c r="Z10786" s="19" t="n"/>
    </row>
    <row r="10787">
      <c r="D10787" s="21" t="n">
        <v>0</v>
      </c>
      <c r="E10787" s="21" t="n">
        <v>0</v>
      </c>
      <c r="F10787" s="21" t="n">
        <v>0</v>
      </c>
      <c r="G10787" s="21" t="n">
        <v>0</v>
      </c>
      <c r="H10787" s="21" t="n">
        <v>0</v>
      </c>
      <c r="I10787" s="21" t="n">
        <v>0</v>
      </c>
      <c r="J10787" s="21" t="n">
        <v>0</v>
      </c>
      <c r="K10787" s="21" t="n">
        <v>0</v>
      </c>
      <c r="L10787" s="21" t="n">
        <v>0</v>
      </c>
      <c r="M10787" s="21" t="n">
        <v>0</v>
      </c>
      <c r="N10787" s="21" t="n">
        <v>0</v>
      </c>
      <c r="O10787" s="21" t="n">
        <v>0</v>
      </c>
      <c r="P10787" s="21" t="n">
        <v>0</v>
      </c>
      <c r="Q10787" s="21" t="n">
        <v>0</v>
      </c>
      <c r="R10787" s="21" t="n">
        <v>0</v>
      </c>
      <c r="S10787" s="21" t="n">
        <v>0</v>
      </c>
      <c r="T10787" s="21" t="n">
        <v>0</v>
      </c>
      <c r="U10787" s="21" t="n">
        <v>0</v>
      </c>
      <c r="V10787" s="21">
        <f>-$B$10476</f>
        <v/>
      </c>
      <c r="W10787" s="21">
        <f>-$B$10477</f>
        <v/>
      </c>
      <c r="X10787" s="21">
        <f>$B$10476+$D$10765</f>
        <v/>
      </c>
      <c r="Y10787" s="21">
        <f>-$B$10477</f>
        <v/>
      </c>
      <c r="Z10787" s="19" t="n"/>
    </row>
    <row r="10788">
      <c r="D10788" s="21" t="n">
        <v>0</v>
      </c>
      <c r="E10788" s="21" t="n">
        <v>0</v>
      </c>
      <c r="F10788" s="21" t="n">
        <v>0</v>
      </c>
      <c r="G10788" s="21" t="n">
        <v>0</v>
      </c>
      <c r="H10788" s="21" t="n">
        <v>0</v>
      </c>
      <c r="I10788" s="21" t="n">
        <v>0</v>
      </c>
      <c r="J10788" s="21" t="n">
        <v>0</v>
      </c>
      <c r="K10788" s="21" t="n">
        <v>0</v>
      </c>
      <c r="L10788" s="21" t="n">
        <v>0</v>
      </c>
      <c r="M10788" s="21" t="n">
        <v>0</v>
      </c>
      <c r="N10788" s="21" t="n">
        <v>0</v>
      </c>
      <c r="O10788" s="21" t="n">
        <v>0</v>
      </c>
      <c r="P10788" s="21" t="n">
        <v>0</v>
      </c>
      <c r="Q10788" s="21" t="n">
        <v>0</v>
      </c>
      <c r="R10788" s="21" t="n">
        <v>0</v>
      </c>
      <c r="S10788" s="21" t="n">
        <v>0</v>
      </c>
      <c r="T10788" s="21" t="n">
        <v>0</v>
      </c>
      <c r="U10788" s="21" t="n">
        <v>0</v>
      </c>
      <c r="V10788" s="21">
        <f>$B$10477</f>
        <v/>
      </c>
      <c r="W10788" s="21">
        <f>$B$10479</f>
        <v/>
      </c>
      <c r="X10788" s="21">
        <f>-$B$10477</f>
        <v/>
      </c>
      <c r="Y10788" s="21">
        <f>$B$10478</f>
        <v/>
      </c>
      <c r="Z10788" s="19" t="n"/>
    </row>
    <row r="10790">
      <c r="A10790" s="8" t="inlineStr">
        <is>
          <t>gen 8</t>
        </is>
      </c>
    </row>
    <row r="10791">
      <c r="D10791" s="19">
        <f>IF(ABS(IF(ABS($E$10755)&gt;0.000000001,$E$10755,0.000000001))=0,0,IF($E$10491&lt;=$B$10485,0,IF(ABS(IF(ABS($E$10755)&gt;0.000000001,$E$10755,0.000000001))&gt;=8*$B$10487,$H$10491,0.5*$H$10491*(ABS(IF(ABS($E$10755)&gt;0.000000001,$E$10755,0.000000001))/$B$10487)^(1/3)))/ABS(IF(ABS($E$10755)&gt;0.000000001,$E$10755,0.000000001))*$I$10491)</f>
        <v/>
      </c>
      <c r="E10791" s="19">
        <f>0.5*$E$10755+0.5*$Z$10803</f>
        <v/>
      </c>
      <c r="F10791" s="19">
        <f>$Z$10804</f>
        <v/>
      </c>
    </row>
    <row r="10792">
      <c r="D10792" s="19">
        <f>IF(ABS(IF(ABS($E$10756)&gt;0.000000001,$E$10756,0.000000001))=0,0,IF($E$10492&lt;=$B$10485,0,IF(ABS(IF(ABS($E$10756)&gt;0.000000001,$E$10756,0.000000001))&gt;=8*$B$10487,$H$10492,0.5*$H$10492*(ABS(IF(ABS($E$10756)&gt;0.000000001,$E$10756,0.000000001))/$B$10487)^(1/3)))/ABS(IF(ABS($E$10756)&gt;0.000000001,$E$10756,0.000000001))*$I$10492)</f>
        <v/>
      </c>
      <c r="E10792" s="19">
        <f>0.5*$E$10756+0.5*$Z$10805</f>
        <v/>
      </c>
      <c r="F10792" s="19">
        <f>$Z$10806</f>
        <v/>
      </c>
    </row>
    <row r="10793">
      <c r="D10793" s="19">
        <f>IF(ABS(IF(ABS($E$10757)&gt;0.000000001,$E$10757,0.000000001))=0,0,IF($E$10493&lt;=$B$10485,0,IF(ABS(IF(ABS($E$10757)&gt;0.000000001,$E$10757,0.000000001))&gt;=8*$B$10487,$H$10493,0.5*$H$10493*(ABS(IF(ABS($E$10757)&gt;0.000000001,$E$10757,0.000000001))/$B$10487)^(1/3)))/ABS(IF(ABS($E$10757)&gt;0.000000001,$E$10757,0.000000001))*$I$10493)</f>
        <v/>
      </c>
      <c r="E10793" s="19">
        <f>0.5*$E$10757+0.5*$Z$10807</f>
        <v/>
      </c>
      <c r="F10793" s="19">
        <f>$Z$10808</f>
        <v/>
      </c>
    </row>
    <row r="10794">
      <c r="D10794" s="19">
        <f>IF(ABS(IF(ABS($E$10758)&gt;0.000000001,$E$10758,0.000000001))=0,0,IF($E$10494&lt;=$B$10485,0,IF(ABS(IF(ABS($E$10758)&gt;0.000000001,$E$10758,0.000000001))&gt;=8*$B$10487,$H$10494,0.5*$H$10494*(ABS(IF(ABS($E$10758)&gt;0.000000001,$E$10758,0.000000001))/$B$10487)^(1/3)))/ABS(IF(ABS($E$10758)&gt;0.000000001,$E$10758,0.000000001))*$I$10494)</f>
        <v/>
      </c>
      <c r="E10794" s="19">
        <f>0.5*$E$10758+0.5*$Z$10809</f>
        <v/>
      </c>
      <c r="F10794" s="19">
        <f>$Z$10810</f>
        <v/>
      </c>
    </row>
    <row r="10795">
      <c r="D10795" s="19">
        <f>IF(ABS(IF(ABS($E$10759)&gt;0.000000001,$E$10759,0.000000001))=0,0,IF($E$10495&lt;=$B$10485,0,IF(ABS(IF(ABS($E$10759)&gt;0.000000001,$E$10759,0.000000001))&gt;=8*$B$10487,$H$10495,0.5*$H$10495*(ABS(IF(ABS($E$10759)&gt;0.000000001,$E$10759,0.000000001))/$B$10487)^(1/3)))/ABS(IF(ABS($E$10759)&gt;0.000000001,$E$10759,0.000000001))*$I$10495)</f>
        <v/>
      </c>
      <c r="E10795" s="19">
        <f>0.5*$E$10759+0.5*$Z$10811</f>
        <v/>
      </c>
      <c r="F10795" s="19">
        <f>$Z$10812</f>
        <v/>
      </c>
    </row>
    <row r="10796">
      <c r="D10796" s="19">
        <f>IF(ABS(IF(ABS($E$10760)&gt;0.000000001,$E$10760,0.000000001))=0,0,IF($E$10496&lt;=$B$10485,0,IF(ABS(IF(ABS($E$10760)&gt;0.000000001,$E$10760,0.000000001))&gt;=8*$B$10487,$H$10496,0.5*$H$10496*(ABS(IF(ABS($E$10760)&gt;0.000000001,$E$10760,0.000000001))/$B$10487)^(1/3)))/ABS(IF(ABS($E$10760)&gt;0.000000001,$E$10760,0.000000001))*$I$10496)</f>
        <v/>
      </c>
      <c r="E10796" s="19">
        <f>0.5*$E$10760+0.5*$Z$10813</f>
        <v/>
      </c>
      <c r="F10796" s="19">
        <f>$Z$10814</f>
        <v/>
      </c>
    </row>
    <row r="10797">
      <c r="D10797" s="19">
        <f>IF(ABS(IF(ABS($E$10761)&gt;0.000000001,$E$10761,0.000000001))=0,0,IF($E$10497&lt;=$B$10485,0,IF(ABS(IF(ABS($E$10761)&gt;0.000000001,$E$10761,0.000000001))&gt;=8*$B$10487,$H$10497,0.5*$H$10497*(ABS(IF(ABS($E$10761)&gt;0.000000001,$E$10761,0.000000001))/$B$10487)^(1/3)))/ABS(IF(ABS($E$10761)&gt;0.000000001,$E$10761,0.000000001))*$I$10497)</f>
        <v/>
      </c>
      <c r="E10797" s="19">
        <f>0.5*$E$10761+0.5*$Z$10815</f>
        <v/>
      </c>
      <c r="F10797" s="19">
        <f>$Z$10816</f>
        <v/>
      </c>
    </row>
    <row r="10798">
      <c r="D10798" s="19">
        <f>IF(ABS(IF(ABS($E$10762)&gt;0.000000001,$E$10762,0.000000001))=0,0,IF($E$10498&lt;=$B$10485,0,IF(ABS(IF(ABS($E$10762)&gt;0.000000001,$E$10762,0.000000001))&gt;=8*$B$10487,$H$10498,0.5*$H$10498*(ABS(IF(ABS($E$10762)&gt;0.000000001,$E$10762,0.000000001))/$B$10487)^(1/3)))/ABS(IF(ABS($E$10762)&gt;0.000000001,$E$10762,0.000000001))*$I$10498)</f>
        <v/>
      </c>
      <c r="E10798" s="19">
        <f>0.5*$E$10762+0.5*$Z$10817</f>
        <v/>
      </c>
      <c r="F10798" s="19">
        <f>$Z$10818</f>
        <v/>
      </c>
    </row>
    <row r="10799">
      <c r="D10799" s="19">
        <f>IF(ABS(IF(ABS($E$10763)&gt;0.000000001,$E$10763,0.000000001))=0,0,IF($E$10499&lt;=$B$10485,0,IF(ABS(IF(ABS($E$10763)&gt;0.000000001,$E$10763,0.000000001))&gt;=8*$B$10487,$H$10499,0.5*$H$10499*(ABS(IF(ABS($E$10763)&gt;0.000000001,$E$10763,0.000000001))/$B$10487)^(1/3)))/ABS(IF(ABS($E$10763)&gt;0.000000001,$E$10763,0.000000001))*$I$10499)</f>
        <v/>
      </c>
      <c r="E10799" s="19">
        <f>0.5*$E$10763+0.5*$Z$10819</f>
        <v/>
      </c>
      <c r="F10799" s="19">
        <f>$Z$10820</f>
        <v/>
      </c>
    </row>
    <row r="10800">
      <c r="D10800" s="19">
        <f>IF(ABS(IF(ABS($E$10764)&gt;0.000000001,$E$10764,0.000000001))=0,0,IF($E$10500&lt;=$B$10485,0,IF(ABS(IF(ABS($E$10764)&gt;0.000000001,$E$10764,0.000000001))&gt;=8*$B$10487,$H$10500,0.5*$H$10500*(ABS(IF(ABS($E$10764)&gt;0.000000001,$E$10764,0.000000001))/$B$10487)^(1/3)))/ABS(IF(ABS($E$10764)&gt;0.000000001,$E$10764,0.000000001))*$I$10500)</f>
        <v/>
      </c>
      <c r="E10800" s="19">
        <f>0.5*$E$10764+0.5*$Z$10821</f>
        <v/>
      </c>
      <c r="F10800" s="19">
        <f>$Z$10822</f>
        <v/>
      </c>
    </row>
    <row r="10801">
      <c r="D10801" s="19">
        <f>IF(ABS(IF(ABS($E$10765)&gt;0.000000001,$E$10765,0.000000001))=0,0,IF($E$10501&lt;=$B$10485,0,IF(ABS(IF(ABS($E$10765)&gt;0.000000001,$E$10765,0.000000001))&gt;=8*$B$10487,$H$10501,0.5*$H$10501*(ABS(IF(ABS($E$10765)&gt;0.000000001,$E$10765,0.000000001))/$B$10487)^(1/3)))/ABS(IF(ABS($E$10765)&gt;0.000000001,$E$10765,0.000000001))*$I$10501)</f>
        <v/>
      </c>
      <c r="E10801" s="19">
        <f>0.5*$E$10765+0.5*$Z$10823</f>
        <v/>
      </c>
      <c r="F10801" s="19">
        <f>$Z$10824</f>
        <v/>
      </c>
    </row>
    <row r="10803">
      <c r="D10803" s="21">
        <f>$B$10476+$D$10791</f>
        <v/>
      </c>
      <c r="E10803" s="21">
        <f>$B$10477</f>
        <v/>
      </c>
      <c r="F10803" s="21">
        <f>-$B$10476</f>
        <v/>
      </c>
      <c r="G10803" s="21">
        <f>$B$10477</f>
        <v/>
      </c>
      <c r="H10803" s="21" t="n">
        <v>0</v>
      </c>
      <c r="I10803" s="21" t="n">
        <v>0</v>
      </c>
      <c r="J10803" s="21" t="n">
        <v>0</v>
      </c>
      <c r="K10803" s="21" t="n">
        <v>0</v>
      </c>
      <c r="L10803" s="21" t="n">
        <v>0</v>
      </c>
      <c r="M10803" s="21" t="n">
        <v>0</v>
      </c>
      <c r="N10803" s="21" t="n">
        <v>0</v>
      </c>
      <c r="O10803" s="21" t="n">
        <v>0</v>
      </c>
      <c r="P10803" s="21" t="n">
        <v>0</v>
      </c>
      <c r="Q10803" s="21" t="n">
        <v>0</v>
      </c>
      <c r="R10803" s="21" t="n">
        <v>0</v>
      </c>
      <c r="S10803" s="21" t="n">
        <v>0</v>
      </c>
      <c r="T10803" s="21" t="n">
        <v>0</v>
      </c>
      <c r="U10803" s="21" t="n">
        <v>0</v>
      </c>
      <c r="V10803" s="21" t="n">
        <v>0</v>
      </c>
      <c r="W10803" s="21" t="n">
        <v>0</v>
      </c>
      <c r="X10803" s="21" t="n">
        <v>0</v>
      </c>
      <c r="Y10803" s="21" t="n">
        <v>0</v>
      </c>
      <c r="Z10803" s="19">
        <f t="array" ref="Z10803:Z10824">MMULT(MINVERSE($D$10803:$Y$10824),$D$10503:$D$10524)</f>
        <v/>
      </c>
    </row>
    <row r="10804">
      <c r="D10804" s="21">
        <f>$B$10477</f>
        <v/>
      </c>
      <c r="E10804" s="21">
        <f>$B$10478</f>
        <v/>
      </c>
      <c r="F10804" s="21">
        <f>-$B$10477</f>
        <v/>
      </c>
      <c r="G10804" s="21">
        <f>$B$10479</f>
        <v/>
      </c>
      <c r="H10804" s="21" t="n">
        <v>0</v>
      </c>
      <c r="I10804" s="21" t="n">
        <v>0</v>
      </c>
      <c r="J10804" s="21" t="n">
        <v>0</v>
      </c>
      <c r="K10804" s="21" t="n">
        <v>0</v>
      </c>
      <c r="L10804" s="21" t="n">
        <v>0</v>
      </c>
      <c r="M10804" s="21" t="n">
        <v>0</v>
      </c>
      <c r="N10804" s="21" t="n">
        <v>0</v>
      </c>
      <c r="O10804" s="21" t="n">
        <v>0</v>
      </c>
      <c r="P10804" s="21" t="n">
        <v>0</v>
      </c>
      <c r="Q10804" s="21" t="n">
        <v>0</v>
      </c>
      <c r="R10804" s="21" t="n">
        <v>0</v>
      </c>
      <c r="S10804" s="21" t="n">
        <v>0</v>
      </c>
      <c r="T10804" s="21" t="n">
        <v>0</v>
      </c>
      <c r="U10804" s="21" t="n">
        <v>0</v>
      </c>
      <c r="V10804" s="21" t="n">
        <v>0</v>
      </c>
      <c r="W10804" s="21" t="n">
        <v>0</v>
      </c>
      <c r="X10804" s="21" t="n">
        <v>0</v>
      </c>
      <c r="Y10804" s="21" t="n">
        <v>0</v>
      </c>
      <c r="Z10804" s="19" t="n"/>
    </row>
    <row r="10805">
      <c r="D10805" s="21">
        <f>-$B$10476</f>
        <v/>
      </c>
      <c r="E10805" s="21">
        <f>-$B$10477</f>
        <v/>
      </c>
      <c r="F10805" s="21">
        <f>2*$B$10476+$D$10792</f>
        <v/>
      </c>
      <c r="G10805" s="21">
        <f>0</f>
        <v/>
      </c>
      <c r="H10805" s="21">
        <f>-$B$10476</f>
        <v/>
      </c>
      <c r="I10805" s="21">
        <f>$B$10477</f>
        <v/>
      </c>
      <c r="J10805" s="21" t="n">
        <v>0</v>
      </c>
      <c r="K10805" s="21" t="n">
        <v>0</v>
      </c>
      <c r="L10805" s="21" t="n">
        <v>0</v>
      </c>
      <c r="M10805" s="21" t="n">
        <v>0</v>
      </c>
      <c r="N10805" s="21" t="n">
        <v>0</v>
      </c>
      <c r="O10805" s="21" t="n">
        <v>0</v>
      </c>
      <c r="P10805" s="21" t="n">
        <v>0</v>
      </c>
      <c r="Q10805" s="21" t="n">
        <v>0</v>
      </c>
      <c r="R10805" s="21" t="n">
        <v>0</v>
      </c>
      <c r="S10805" s="21" t="n">
        <v>0</v>
      </c>
      <c r="T10805" s="21" t="n">
        <v>0</v>
      </c>
      <c r="U10805" s="21" t="n">
        <v>0</v>
      </c>
      <c r="V10805" s="21" t="n">
        <v>0</v>
      </c>
      <c r="W10805" s="21" t="n">
        <v>0</v>
      </c>
      <c r="X10805" s="21" t="n">
        <v>0</v>
      </c>
      <c r="Y10805" s="21" t="n">
        <v>0</v>
      </c>
      <c r="Z10805" s="19" t="n"/>
    </row>
    <row r="10806">
      <c r="D10806" s="21">
        <f>$B$10477</f>
        <v/>
      </c>
      <c r="E10806" s="21">
        <f>$B$10479</f>
        <v/>
      </c>
      <c r="F10806" s="21">
        <f>0</f>
        <v/>
      </c>
      <c r="G10806" s="21">
        <f>2*$B$10478</f>
        <v/>
      </c>
      <c r="H10806" s="21">
        <f>-$B$10477</f>
        <v/>
      </c>
      <c r="I10806" s="21">
        <f>$B$10479</f>
        <v/>
      </c>
      <c r="J10806" s="21" t="n">
        <v>0</v>
      </c>
      <c r="K10806" s="21" t="n">
        <v>0</v>
      </c>
      <c r="L10806" s="21" t="n">
        <v>0</v>
      </c>
      <c r="M10806" s="21" t="n">
        <v>0</v>
      </c>
      <c r="N10806" s="21" t="n">
        <v>0</v>
      </c>
      <c r="O10806" s="21" t="n">
        <v>0</v>
      </c>
      <c r="P10806" s="21" t="n">
        <v>0</v>
      </c>
      <c r="Q10806" s="21" t="n">
        <v>0</v>
      </c>
      <c r="R10806" s="21" t="n">
        <v>0</v>
      </c>
      <c r="S10806" s="21" t="n">
        <v>0</v>
      </c>
      <c r="T10806" s="21" t="n">
        <v>0</v>
      </c>
      <c r="U10806" s="21" t="n">
        <v>0</v>
      </c>
      <c r="V10806" s="21" t="n">
        <v>0</v>
      </c>
      <c r="W10806" s="21" t="n">
        <v>0</v>
      </c>
      <c r="X10806" s="21" t="n">
        <v>0</v>
      </c>
      <c r="Y10806" s="21" t="n">
        <v>0</v>
      </c>
      <c r="Z10806" s="19" t="n"/>
    </row>
    <row r="10807">
      <c r="D10807" s="21" t="n">
        <v>0</v>
      </c>
      <c r="E10807" s="21" t="n">
        <v>0</v>
      </c>
      <c r="F10807" s="21">
        <f>-$B$10476</f>
        <v/>
      </c>
      <c r="G10807" s="21">
        <f>-$B$10477</f>
        <v/>
      </c>
      <c r="H10807" s="21">
        <f>2*$B$10476+$D$10793</f>
        <v/>
      </c>
      <c r="I10807" s="21">
        <f>0</f>
        <v/>
      </c>
      <c r="J10807" s="21">
        <f>-$B$10476</f>
        <v/>
      </c>
      <c r="K10807" s="21">
        <f>$B$10477</f>
        <v/>
      </c>
      <c r="L10807" s="21" t="n">
        <v>0</v>
      </c>
      <c r="M10807" s="21" t="n">
        <v>0</v>
      </c>
      <c r="N10807" s="21" t="n">
        <v>0</v>
      </c>
      <c r="O10807" s="21" t="n">
        <v>0</v>
      </c>
      <c r="P10807" s="21" t="n">
        <v>0</v>
      </c>
      <c r="Q10807" s="21" t="n">
        <v>0</v>
      </c>
      <c r="R10807" s="21" t="n">
        <v>0</v>
      </c>
      <c r="S10807" s="21" t="n">
        <v>0</v>
      </c>
      <c r="T10807" s="21" t="n">
        <v>0</v>
      </c>
      <c r="U10807" s="21" t="n">
        <v>0</v>
      </c>
      <c r="V10807" s="21" t="n">
        <v>0</v>
      </c>
      <c r="W10807" s="21" t="n">
        <v>0</v>
      </c>
      <c r="X10807" s="21" t="n">
        <v>0</v>
      </c>
      <c r="Y10807" s="21" t="n">
        <v>0</v>
      </c>
      <c r="Z10807" s="19" t="n"/>
    </row>
    <row r="10808">
      <c r="D10808" s="21" t="n">
        <v>0</v>
      </c>
      <c r="E10808" s="21" t="n">
        <v>0</v>
      </c>
      <c r="F10808" s="21">
        <f>$B$10477</f>
        <v/>
      </c>
      <c r="G10808" s="21">
        <f>$B$10479</f>
        <v/>
      </c>
      <c r="H10808" s="21">
        <f>0</f>
        <v/>
      </c>
      <c r="I10808" s="21">
        <f>2*$B$10478</f>
        <v/>
      </c>
      <c r="J10808" s="21">
        <f>-$B$10477</f>
        <v/>
      </c>
      <c r="K10808" s="21">
        <f>$B$10479</f>
        <v/>
      </c>
      <c r="L10808" s="21" t="n">
        <v>0</v>
      </c>
      <c r="M10808" s="21" t="n">
        <v>0</v>
      </c>
      <c r="N10808" s="21" t="n">
        <v>0</v>
      </c>
      <c r="O10808" s="21" t="n">
        <v>0</v>
      </c>
      <c r="P10808" s="21" t="n">
        <v>0</v>
      </c>
      <c r="Q10808" s="21" t="n">
        <v>0</v>
      </c>
      <c r="R10808" s="21" t="n">
        <v>0</v>
      </c>
      <c r="S10808" s="21" t="n">
        <v>0</v>
      </c>
      <c r="T10808" s="21" t="n">
        <v>0</v>
      </c>
      <c r="U10808" s="21" t="n">
        <v>0</v>
      </c>
      <c r="V10808" s="21" t="n">
        <v>0</v>
      </c>
      <c r="W10808" s="21" t="n">
        <v>0</v>
      </c>
      <c r="X10808" s="21" t="n">
        <v>0</v>
      </c>
      <c r="Y10808" s="21" t="n">
        <v>0</v>
      </c>
      <c r="Z10808" s="19" t="n"/>
    </row>
    <row r="10809">
      <c r="D10809" s="21" t="n">
        <v>0</v>
      </c>
      <c r="E10809" s="21" t="n">
        <v>0</v>
      </c>
      <c r="F10809" s="21" t="n">
        <v>0</v>
      </c>
      <c r="G10809" s="21" t="n">
        <v>0</v>
      </c>
      <c r="H10809" s="21">
        <f>-$B$10476</f>
        <v/>
      </c>
      <c r="I10809" s="21">
        <f>-$B$10477</f>
        <v/>
      </c>
      <c r="J10809" s="21">
        <f>2*$B$10476+$D$10794</f>
        <v/>
      </c>
      <c r="K10809" s="21">
        <f>0</f>
        <v/>
      </c>
      <c r="L10809" s="21">
        <f>-$B$10476</f>
        <v/>
      </c>
      <c r="M10809" s="21">
        <f>$B$10477</f>
        <v/>
      </c>
      <c r="N10809" s="21" t="n">
        <v>0</v>
      </c>
      <c r="O10809" s="21" t="n">
        <v>0</v>
      </c>
      <c r="P10809" s="21" t="n">
        <v>0</v>
      </c>
      <c r="Q10809" s="21" t="n">
        <v>0</v>
      </c>
      <c r="R10809" s="21" t="n">
        <v>0</v>
      </c>
      <c r="S10809" s="21" t="n">
        <v>0</v>
      </c>
      <c r="T10809" s="21" t="n">
        <v>0</v>
      </c>
      <c r="U10809" s="21" t="n">
        <v>0</v>
      </c>
      <c r="V10809" s="21" t="n">
        <v>0</v>
      </c>
      <c r="W10809" s="21" t="n">
        <v>0</v>
      </c>
      <c r="X10809" s="21" t="n">
        <v>0</v>
      </c>
      <c r="Y10809" s="21" t="n">
        <v>0</v>
      </c>
      <c r="Z10809" s="19" t="n"/>
    </row>
    <row r="10810">
      <c r="D10810" s="21" t="n">
        <v>0</v>
      </c>
      <c r="E10810" s="21" t="n">
        <v>0</v>
      </c>
      <c r="F10810" s="21" t="n">
        <v>0</v>
      </c>
      <c r="G10810" s="21" t="n">
        <v>0</v>
      </c>
      <c r="H10810" s="21">
        <f>$B$10477</f>
        <v/>
      </c>
      <c r="I10810" s="21">
        <f>$B$10479</f>
        <v/>
      </c>
      <c r="J10810" s="21">
        <f>0</f>
        <v/>
      </c>
      <c r="K10810" s="21">
        <f>2*$B$10478</f>
        <v/>
      </c>
      <c r="L10810" s="21">
        <f>-$B$10477</f>
        <v/>
      </c>
      <c r="M10810" s="21">
        <f>$B$10479</f>
        <v/>
      </c>
      <c r="N10810" s="21" t="n">
        <v>0</v>
      </c>
      <c r="O10810" s="21" t="n">
        <v>0</v>
      </c>
      <c r="P10810" s="21" t="n">
        <v>0</v>
      </c>
      <c r="Q10810" s="21" t="n">
        <v>0</v>
      </c>
      <c r="R10810" s="21" t="n">
        <v>0</v>
      </c>
      <c r="S10810" s="21" t="n">
        <v>0</v>
      </c>
      <c r="T10810" s="21" t="n">
        <v>0</v>
      </c>
      <c r="U10810" s="21" t="n">
        <v>0</v>
      </c>
      <c r="V10810" s="21" t="n">
        <v>0</v>
      </c>
      <c r="W10810" s="21" t="n">
        <v>0</v>
      </c>
      <c r="X10810" s="21" t="n">
        <v>0</v>
      </c>
      <c r="Y10810" s="21" t="n">
        <v>0</v>
      </c>
      <c r="Z10810" s="19" t="n"/>
    </row>
    <row r="10811">
      <c r="D10811" s="21" t="n">
        <v>0</v>
      </c>
      <c r="E10811" s="21" t="n">
        <v>0</v>
      </c>
      <c r="F10811" s="21" t="n">
        <v>0</v>
      </c>
      <c r="G10811" s="21" t="n">
        <v>0</v>
      </c>
      <c r="H10811" s="21" t="n">
        <v>0</v>
      </c>
      <c r="I10811" s="21" t="n">
        <v>0</v>
      </c>
      <c r="J10811" s="21">
        <f>-$B$10476</f>
        <v/>
      </c>
      <c r="K10811" s="21">
        <f>-$B$10477</f>
        <v/>
      </c>
      <c r="L10811" s="21">
        <f>2*$B$10476+$D$10795</f>
        <v/>
      </c>
      <c r="M10811" s="21">
        <f>0</f>
        <v/>
      </c>
      <c r="N10811" s="21">
        <f>-$B$10476</f>
        <v/>
      </c>
      <c r="O10811" s="21">
        <f>$B$10477</f>
        <v/>
      </c>
      <c r="P10811" s="21" t="n">
        <v>0</v>
      </c>
      <c r="Q10811" s="21" t="n">
        <v>0</v>
      </c>
      <c r="R10811" s="21" t="n">
        <v>0</v>
      </c>
      <c r="S10811" s="21" t="n">
        <v>0</v>
      </c>
      <c r="T10811" s="21" t="n">
        <v>0</v>
      </c>
      <c r="U10811" s="21" t="n">
        <v>0</v>
      </c>
      <c r="V10811" s="21" t="n">
        <v>0</v>
      </c>
      <c r="W10811" s="21" t="n">
        <v>0</v>
      </c>
      <c r="X10811" s="21" t="n">
        <v>0</v>
      </c>
      <c r="Y10811" s="21" t="n">
        <v>0</v>
      </c>
      <c r="Z10811" s="19" t="n"/>
    </row>
    <row r="10812">
      <c r="D10812" s="21" t="n">
        <v>0</v>
      </c>
      <c r="E10812" s="21" t="n">
        <v>0</v>
      </c>
      <c r="F10812" s="21" t="n">
        <v>0</v>
      </c>
      <c r="G10812" s="21" t="n">
        <v>0</v>
      </c>
      <c r="H10812" s="21" t="n">
        <v>0</v>
      </c>
      <c r="I10812" s="21" t="n">
        <v>0</v>
      </c>
      <c r="J10812" s="21">
        <f>$B$10477</f>
        <v/>
      </c>
      <c r="K10812" s="21">
        <f>$B$10479</f>
        <v/>
      </c>
      <c r="L10812" s="21">
        <f>0</f>
        <v/>
      </c>
      <c r="M10812" s="21">
        <f>2*$B$10478</f>
        <v/>
      </c>
      <c r="N10812" s="21">
        <f>-$B$10477</f>
        <v/>
      </c>
      <c r="O10812" s="21">
        <f>$B$10479</f>
        <v/>
      </c>
      <c r="P10812" s="21" t="n">
        <v>0</v>
      </c>
      <c r="Q10812" s="21" t="n">
        <v>0</v>
      </c>
      <c r="R10812" s="21" t="n">
        <v>0</v>
      </c>
      <c r="S10812" s="21" t="n">
        <v>0</v>
      </c>
      <c r="T10812" s="21" t="n">
        <v>0</v>
      </c>
      <c r="U10812" s="21" t="n">
        <v>0</v>
      </c>
      <c r="V10812" s="21" t="n">
        <v>0</v>
      </c>
      <c r="W10812" s="21" t="n">
        <v>0</v>
      </c>
      <c r="X10812" s="21" t="n">
        <v>0</v>
      </c>
      <c r="Y10812" s="21" t="n">
        <v>0</v>
      </c>
      <c r="Z10812" s="19" t="n"/>
    </row>
    <row r="10813">
      <c r="D10813" s="21" t="n">
        <v>0</v>
      </c>
      <c r="E10813" s="21" t="n">
        <v>0</v>
      </c>
      <c r="F10813" s="21" t="n">
        <v>0</v>
      </c>
      <c r="G10813" s="21" t="n">
        <v>0</v>
      </c>
      <c r="H10813" s="21" t="n">
        <v>0</v>
      </c>
      <c r="I10813" s="21" t="n">
        <v>0</v>
      </c>
      <c r="J10813" s="21" t="n">
        <v>0</v>
      </c>
      <c r="K10813" s="21" t="n">
        <v>0</v>
      </c>
      <c r="L10813" s="21">
        <f>-$B$10476</f>
        <v/>
      </c>
      <c r="M10813" s="21">
        <f>-$B$10477</f>
        <v/>
      </c>
      <c r="N10813" s="21">
        <f>2*$B$10476+$D$10796</f>
        <v/>
      </c>
      <c r="O10813" s="21">
        <f>0</f>
        <v/>
      </c>
      <c r="P10813" s="21">
        <f>-$B$10476</f>
        <v/>
      </c>
      <c r="Q10813" s="21">
        <f>$B$10477</f>
        <v/>
      </c>
      <c r="R10813" s="21" t="n">
        <v>0</v>
      </c>
      <c r="S10813" s="21" t="n">
        <v>0</v>
      </c>
      <c r="T10813" s="21" t="n">
        <v>0</v>
      </c>
      <c r="U10813" s="21" t="n">
        <v>0</v>
      </c>
      <c r="V10813" s="21" t="n">
        <v>0</v>
      </c>
      <c r="W10813" s="21" t="n">
        <v>0</v>
      </c>
      <c r="X10813" s="21" t="n">
        <v>0</v>
      </c>
      <c r="Y10813" s="21" t="n">
        <v>0</v>
      </c>
      <c r="Z10813" s="19" t="n"/>
    </row>
    <row r="10814">
      <c r="D10814" s="21" t="n">
        <v>0</v>
      </c>
      <c r="E10814" s="21" t="n">
        <v>0</v>
      </c>
      <c r="F10814" s="21" t="n">
        <v>0</v>
      </c>
      <c r="G10814" s="21" t="n">
        <v>0</v>
      </c>
      <c r="H10814" s="21" t="n">
        <v>0</v>
      </c>
      <c r="I10814" s="21" t="n">
        <v>0</v>
      </c>
      <c r="J10814" s="21" t="n">
        <v>0</v>
      </c>
      <c r="K10814" s="21" t="n">
        <v>0</v>
      </c>
      <c r="L10814" s="21">
        <f>$B$10477</f>
        <v/>
      </c>
      <c r="M10814" s="21">
        <f>$B$10479</f>
        <v/>
      </c>
      <c r="N10814" s="21">
        <f>0</f>
        <v/>
      </c>
      <c r="O10814" s="21">
        <f>2*$B$10478</f>
        <v/>
      </c>
      <c r="P10814" s="21">
        <f>-$B$10477</f>
        <v/>
      </c>
      <c r="Q10814" s="21">
        <f>$B$10479</f>
        <v/>
      </c>
      <c r="R10814" s="21" t="n">
        <v>0</v>
      </c>
      <c r="S10814" s="21" t="n">
        <v>0</v>
      </c>
      <c r="T10814" s="21" t="n">
        <v>0</v>
      </c>
      <c r="U10814" s="21" t="n">
        <v>0</v>
      </c>
      <c r="V10814" s="21" t="n">
        <v>0</v>
      </c>
      <c r="W10814" s="21" t="n">
        <v>0</v>
      </c>
      <c r="X10814" s="21" t="n">
        <v>0</v>
      </c>
      <c r="Y10814" s="21" t="n">
        <v>0</v>
      </c>
      <c r="Z10814" s="19" t="n"/>
    </row>
    <row r="10815">
      <c r="D10815" s="21" t="n">
        <v>0</v>
      </c>
      <c r="E10815" s="21" t="n">
        <v>0</v>
      </c>
      <c r="F10815" s="21" t="n">
        <v>0</v>
      </c>
      <c r="G10815" s="21" t="n">
        <v>0</v>
      </c>
      <c r="H10815" s="21" t="n">
        <v>0</v>
      </c>
      <c r="I10815" s="21" t="n">
        <v>0</v>
      </c>
      <c r="J10815" s="21" t="n">
        <v>0</v>
      </c>
      <c r="K10815" s="21" t="n">
        <v>0</v>
      </c>
      <c r="L10815" s="21" t="n">
        <v>0</v>
      </c>
      <c r="M10815" s="21" t="n">
        <v>0</v>
      </c>
      <c r="N10815" s="21">
        <f>-$B$10476</f>
        <v/>
      </c>
      <c r="O10815" s="21">
        <f>-$B$10477</f>
        <v/>
      </c>
      <c r="P10815" s="21">
        <f>2*$B$10476+$D$10797</f>
        <v/>
      </c>
      <c r="Q10815" s="21">
        <f>0</f>
        <v/>
      </c>
      <c r="R10815" s="21">
        <f>-$B$10476</f>
        <v/>
      </c>
      <c r="S10815" s="21">
        <f>$B$10477</f>
        <v/>
      </c>
      <c r="T10815" s="21" t="n">
        <v>0</v>
      </c>
      <c r="U10815" s="21" t="n">
        <v>0</v>
      </c>
      <c r="V10815" s="21" t="n">
        <v>0</v>
      </c>
      <c r="W10815" s="21" t="n">
        <v>0</v>
      </c>
      <c r="X10815" s="21" t="n">
        <v>0</v>
      </c>
      <c r="Y10815" s="21" t="n">
        <v>0</v>
      </c>
      <c r="Z10815" s="19" t="n"/>
    </row>
    <row r="10816">
      <c r="D10816" s="21" t="n">
        <v>0</v>
      </c>
      <c r="E10816" s="21" t="n">
        <v>0</v>
      </c>
      <c r="F10816" s="21" t="n">
        <v>0</v>
      </c>
      <c r="G10816" s="21" t="n">
        <v>0</v>
      </c>
      <c r="H10816" s="21" t="n">
        <v>0</v>
      </c>
      <c r="I10816" s="21" t="n">
        <v>0</v>
      </c>
      <c r="J10816" s="21" t="n">
        <v>0</v>
      </c>
      <c r="K10816" s="21" t="n">
        <v>0</v>
      </c>
      <c r="L10816" s="21" t="n">
        <v>0</v>
      </c>
      <c r="M10816" s="21" t="n">
        <v>0</v>
      </c>
      <c r="N10816" s="21">
        <f>$B$10477</f>
        <v/>
      </c>
      <c r="O10816" s="21">
        <f>$B$10479</f>
        <v/>
      </c>
      <c r="P10816" s="21">
        <f>0</f>
        <v/>
      </c>
      <c r="Q10816" s="21">
        <f>2*$B$10478</f>
        <v/>
      </c>
      <c r="R10816" s="21">
        <f>-$B$10477</f>
        <v/>
      </c>
      <c r="S10816" s="21">
        <f>$B$10479</f>
        <v/>
      </c>
      <c r="T10816" s="21" t="n">
        <v>0</v>
      </c>
      <c r="U10816" s="21" t="n">
        <v>0</v>
      </c>
      <c r="V10816" s="21" t="n">
        <v>0</v>
      </c>
      <c r="W10816" s="21" t="n">
        <v>0</v>
      </c>
      <c r="X10816" s="21" t="n">
        <v>0</v>
      </c>
      <c r="Y10816" s="21" t="n">
        <v>0</v>
      </c>
      <c r="Z10816" s="19" t="n"/>
    </row>
    <row r="10817">
      <c r="D10817" s="21" t="n">
        <v>0</v>
      </c>
      <c r="E10817" s="21" t="n">
        <v>0</v>
      </c>
      <c r="F10817" s="21" t="n">
        <v>0</v>
      </c>
      <c r="G10817" s="21" t="n">
        <v>0</v>
      </c>
      <c r="H10817" s="21" t="n">
        <v>0</v>
      </c>
      <c r="I10817" s="21" t="n">
        <v>0</v>
      </c>
      <c r="J10817" s="21" t="n">
        <v>0</v>
      </c>
      <c r="K10817" s="21" t="n">
        <v>0</v>
      </c>
      <c r="L10817" s="21" t="n">
        <v>0</v>
      </c>
      <c r="M10817" s="21" t="n">
        <v>0</v>
      </c>
      <c r="N10817" s="21" t="n">
        <v>0</v>
      </c>
      <c r="O10817" s="21" t="n">
        <v>0</v>
      </c>
      <c r="P10817" s="21">
        <f>-$B$10476</f>
        <v/>
      </c>
      <c r="Q10817" s="21">
        <f>-$B$10477</f>
        <v/>
      </c>
      <c r="R10817" s="21">
        <f>2*$B$10476+$D$10798</f>
        <v/>
      </c>
      <c r="S10817" s="21">
        <f>0</f>
        <v/>
      </c>
      <c r="T10817" s="21">
        <f>-$B$10476</f>
        <v/>
      </c>
      <c r="U10817" s="21">
        <f>$B$10477</f>
        <v/>
      </c>
      <c r="V10817" s="21" t="n">
        <v>0</v>
      </c>
      <c r="W10817" s="21" t="n">
        <v>0</v>
      </c>
      <c r="X10817" s="21" t="n">
        <v>0</v>
      </c>
      <c r="Y10817" s="21" t="n">
        <v>0</v>
      </c>
      <c r="Z10817" s="19" t="n"/>
    </row>
    <row r="10818">
      <c r="D10818" s="21" t="n">
        <v>0</v>
      </c>
      <c r="E10818" s="21" t="n">
        <v>0</v>
      </c>
      <c r="F10818" s="21" t="n">
        <v>0</v>
      </c>
      <c r="G10818" s="21" t="n">
        <v>0</v>
      </c>
      <c r="H10818" s="21" t="n">
        <v>0</v>
      </c>
      <c r="I10818" s="21" t="n">
        <v>0</v>
      </c>
      <c r="J10818" s="21" t="n">
        <v>0</v>
      </c>
      <c r="K10818" s="21" t="n">
        <v>0</v>
      </c>
      <c r="L10818" s="21" t="n">
        <v>0</v>
      </c>
      <c r="M10818" s="21" t="n">
        <v>0</v>
      </c>
      <c r="N10818" s="21" t="n">
        <v>0</v>
      </c>
      <c r="O10818" s="21" t="n">
        <v>0</v>
      </c>
      <c r="P10818" s="21">
        <f>$B$10477</f>
        <v/>
      </c>
      <c r="Q10818" s="21">
        <f>$B$10479</f>
        <v/>
      </c>
      <c r="R10818" s="21">
        <f>0</f>
        <v/>
      </c>
      <c r="S10818" s="21">
        <f>2*$B$10478</f>
        <v/>
      </c>
      <c r="T10818" s="21">
        <f>-$B$10477</f>
        <v/>
      </c>
      <c r="U10818" s="21">
        <f>$B$10479</f>
        <v/>
      </c>
      <c r="V10818" s="21" t="n">
        <v>0</v>
      </c>
      <c r="W10818" s="21" t="n">
        <v>0</v>
      </c>
      <c r="X10818" s="21" t="n">
        <v>0</v>
      </c>
      <c r="Y10818" s="21" t="n">
        <v>0</v>
      </c>
      <c r="Z10818" s="19" t="n"/>
    </row>
    <row r="10819">
      <c r="D10819" s="21" t="n">
        <v>0</v>
      </c>
      <c r="E10819" s="21" t="n">
        <v>0</v>
      </c>
      <c r="F10819" s="21" t="n">
        <v>0</v>
      </c>
      <c r="G10819" s="21" t="n">
        <v>0</v>
      </c>
      <c r="H10819" s="21" t="n">
        <v>0</v>
      </c>
      <c r="I10819" s="21" t="n">
        <v>0</v>
      </c>
      <c r="J10819" s="21" t="n">
        <v>0</v>
      </c>
      <c r="K10819" s="21" t="n">
        <v>0</v>
      </c>
      <c r="L10819" s="21" t="n">
        <v>0</v>
      </c>
      <c r="M10819" s="21" t="n">
        <v>0</v>
      </c>
      <c r="N10819" s="21" t="n">
        <v>0</v>
      </c>
      <c r="O10819" s="21" t="n">
        <v>0</v>
      </c>
      <c r="P10819" s="21" t="n">
        <v>0</v>
      </c>
      <c r="Q10819" s="21" t="n">
        <v>0</v>
      </c>
      <c r="R10819" s="21">
        <f>-$B$10476</f>
        <v/>
      </c>
      <c r="S10819" s="21">
        <f>-$B$10477</f>
        <v/>
      </c>
      <c r="T10819" s="21">
        <f>2*$B$10476+$D$10799</f>
        <v/>
      </c>
      <c r="U10819" s="21">
        <f>0</f>
        <v/>
      </c>
      <c r="V10819" s="21">
        <f>-$B$10476</f>
        <v/>
      </c>
      <c r="W10819" s="21">
        <f>$B$10477</f>
        <v/>
      </c>
      <c r="X10819" s="21" t="n">
        <v>0</v>
      </c>
      <c r="Y10819" s="21" t="n">
        <v>0</v>
      </c>
      <c r="Z10819" s="19" t="n"/>
    </row>
    <row r="10820">
      <c r="D10820" s="21" t="n">
        <v>0</v>
      </c>
      <c r="E10820" s="21" t="n">
        <v>0</v>
      </c>
      <c r="F10820" s="21" t="n">
        <v>0</v>
      </c>
      <c r="G10820" s="21" t="n">
        <v>0</v>
      </c>
      <c r="H10820" s="21" t="n">
        <v>0</v>
      </c>
      <c r="I10820" s="21" t="n">
        <v>0</v>
      </c>
      <c r="J10820" s="21" t="n">
        <v>0</v>
      </c>
      <c r="K10820" s="21" t="n">
        <v>0</v>
      </c>
      <c r="L10820" s="21" t="n">
        <v>0</v>
      </c>
      <c r="M10820" s="21" t="n">
        <v>0</v>
      </c>
      <c r="N10820" s="21" t="n">
        <v>0</v>
      </c>
      <c r="O10820" s="21" t="n">
        <v>0</v>
      </c>
      <c r="P10820" s="21" t="n">
        <v>0</v>
      </c>
      <c r="Q10820" s="21" t="n">
        <v>0</v>
      </c>
      <c r="R10820" s="21">
        <f>$B$10477</f>
        <v/>
      </c>
      <c r="S10820" s="21">
        <f>$B$10479</f>
        <v/>
      </c>
      <c r="T10820" s="21">
        <f>0</f>
        <v/>
      </c>
      <c r="U10820" s="21">
        <f>2*$B$10478</f>
        <v/>
      </c>
      <c r="V10820" s="21">
        <f>-$B$10477</f>
        <v/>
      </c>
      <c r="W10820" s="21">
        <f>$B$10479</f>
        <v/>
      </c>
      <c r="X10820" s="21" t="n">
        <v>0</v>
      </c>
      <c r="Y10820" s="21" t="n">
        <v>0</v>
      </c>
      <c r="Z10820" s="19" t="n"/>
    </row>
    <row r="10821">
      <c r="D10821" s="21" t="n">
        <v>0</v>
      </c>
      <c r="E10821" s="21" t="n">
        <v>0</v>
      </c>
      <c r="F10821" s="21" t="n">
        <v>0</v>
      </c>
      <c r="G10821" s="21" t="n">
        <v>0</v>
      </c>
      <c r="H10821" s="21" t="n">
        <v>0</v>
      </c>
      <c r="I10821" s="21" t="n">
        <v>0</v>
      </c>
      <c r="J10821" s="21" t="n">
        <v>0</v>
      </c>
      <c r="K10821" s="21" t="n">
        <v>0</v>
      </c>
      <c r="L10821" s="21" t="n">
        <v>0</v>
      </c>
      <c r="M10821" s="21" t="n">
        <v>0</v>
      </c>
      <c r="N10821" s="21" t="n">
        <v>0</v>
      </c>
      <c r="O10821" s="21" t="n">
        <v>0</v>
      </c>
      <c r="P10821" s="21" t="n">
        <v>0</v>
      </c>
      <c r="Q10821" s="21" t="n">
        <v>0</v>
      </c>
      <c r="R10821" s="21" t="n">
        <v>0</v>
      </c>
      <c r="S10821" s="21" t="n">
        <v>0</v>
      </c>
      <c r="T10821" s="21">
        <f>-$B$10476</f>
        <v/>
      </c>
      <c r="U10821" s="21">
        <f>-$B$10477</f>
        <v/>
      </c>
      <c r="V10821" s="21">
        <f>2*$B$10476+$D$10800</f>
        <v/>
      </c>
      <c r="W10821" s="21">
        <f>0</f>
        <v/>
      </c>
      <c r="X10821" s="21">
        <f>-$B$10476</f>
        <v/>
      </c>
      <c r="Y10821" s="21">
        <f>$B$10477</f>
        <v/>
      </c>
      <c r="Z10821" s="19" t="n"/>
    </row>
    <row r="10822">
      <c r="D10822" s="21" t="n">
        <v>0</v>
      </c>
      <c r="E10822" s="21" t="n">
        <v>0</v>
      </c>
      <c r="F10822" s="21" t="n">
        <v>0</v>
      </c>
      <c r="G10822" s="21" t="n">
        <v>0</v>
      </c>
      <c r="H10822" s="21" t="n">
        <v>0</v>
      </c>
      <c r="I10822" s="21" t="n">
        <v>0</v>
      </c>
      <c r="J10822" s="21" t="n">
        <v>0</v>
      </c>
      <c r="K10822" s="21" t="n">
        <v>0</v>
      </c>
      <c r="L10822" s="21" t="n">
        <v>0</v>
      </c>
      <c r="M10822" s="21" t="n">
        <v>0</v>
      </c>
      <c r="N10822" s="21" t="n">
        <v>0</v>
      </c>
      <c r="O10822" s="21" t="n">
        <v>0</v>
      </c>
      <c r="P10822" s="21" t="n">
        <v>0</v>
      </c>
      <c r="Q10822" s="21" t="n">
        <v>0</v>
      </c>
      <c r="R10822" s="21" t="n">
        <v>0</v>
      </c>
      <c r="S10822" s="21" t="n">
        <v>0</v>
      </c>
      <c r="T10822" s="21">
        <f>$B$10477</f>
        <v/>
      </c>
      <c r="U10822" s="21">
        <f>$B$10479</f>
        <v/>
      </c>
      <c r="V10822" s="21">
        <f>0</f>
        <v/>
      </c>
      <c r="W10822" s="21">
        <f>2*$B$10478</f>
        <v/>
      </c>
      <c r="X10822" s="21">
        <f>-$B$10477</f>
        <v/>
      </c>
      <c r="Y10822" s="21">
        <f>$B$10479</f>
        <v/>
      </c>
      <c r="Z10822" s="19" t="n"/>
    </row>
    <row r="10823">
      <c r="D10823" s="21" t="n">
        <v>0</v>
      </c>
      <c r="E10823" s="21" t="n">
        <v>0</v>
      </c>
      <c r="F10823" s="21" t="n">
        <v>0</v>
      </c>
      <c r="G10823" s="21" t="n">
        <v>0</v>
      </c>
      <c r="H10823" s="21" t="n">
        <v>0</v>
      </c>
      <c r="I10823" s="21" t="n">
        <v>0</v>
      </c>
      <c r="J10823" s="21" t="n">
        <v>0</v>
      </c>
      <c r="K10823" s="21" t="n">
        <v>0</v>
      </c>
      <c r="L10823" s="21" t="n">
        <v>0</v>
      </c>
      <c r="M10823" s="21" t="n">
        <v>0</v>
      </c>
      <c r="N10823" s="21" t="n">
        <v>0</v>
      </c>
      <c r="O10823" s="21" t="n">
        <v>0</v>
      </c>
      <c r="P10823" s="21" t="n">
        <v>0</v>
      </c>
      <c r="Q10823" s="21" t="n">
        <v>0</v>
      </c>
      <c r="R10823" s="21" t="n">
        <v>0</v>
      </c>
      <c r="S10823" s="21" t="n">
        <v>0</v>
      </c>
      <c r="T10823" s="21" t="n">
        <v>0</v>
      </c>
      <c r="U10823" s="21" t="n">
        <v>0</v>
      </c>
      <c r="V10823" s="21">
        <f>-$B$10476</f>
        <v/>
      </c>
      <c r="W10823" s="21">
        <f>-$B$10477</f>
        <v/>
      </c>
      <c r="X10823" s="21">
        <f>$B$10476+$D$10801</f>
        <v/>
      </c>
      <c r="Y10823" s="21">
        <f>-$B$10477</f>
        <v/>
      </c>
      <c r="Z10823" s="19" t="n"/>
    </row>
    <row r="10824">
      <c r="D10824" s="21" t="n">
        <v>0</v>
      </c>
      <c r="E10824" s="21" t="n">
        <v>0</v>
      </c>
      <c r="F10824" s="21" t="n">
        <v>0</v>
      </c>
      <c r="G10824" s="21" t="n">
        <v>0</v>
      </c>
      <c r="H10824" s="21" t="n">
        <v>0</v>
      </c>
      <c r="I10824" s="21" t="n">
        <v>0</v>
      </c>
      <c r="J10824" s="21" t="n">
        <v>0</v>
      </c>
      <c r="K10824" s="21" t="n">
        <v>0</v>
      </c>
      <c r="L10824" s="21" t="n">
        <v>0</v>
      </c>
      <c r="M10824" s="21" t="n">
        <v>0</v>
      </c>
      <c r="N10824" s="21" t="n">
        <v>0</v>
      </c>
      <c r="O10824" s="21" t="n">
        <v>0</v>
      </c>
      <c r="P10824" s="21" t="n">
        <v>0</v>
      </c>
      <c r="Q10824" s="21" t="n">
        <v>0</v>
      </c>
      <c r="R10824" s="21" t="n">
        <v>0</v>
      </c>
      <c r="S10824" s="21" t="n">
        <v>0</v>
      </c>
      <c r="T10824" s="21" t="n">
        <v>0</v>
      </c>
      <c r="U10824" s="21" t="n">
        <v>0</v>
      </c>
      <c r="V10824" s="21">
        <f>$B$10477</f>
        <v/>
      </c>
      <c r="W10824" s="21">
        <f>$B$10479</f>
        <v/>
      </c>
      <c r="X10824" s="21">
        <f>-$B$10477</f>
        <v/>
      </c>
      <c r="Y10824" s="21">
        <f>$B$10478</f>
        <v/>
      </c>
      <c r="Z10824" s="19" t="n"/>
    </row>
    <row r="10826">
      <c r="A10826" s="8" t="inlineStr">
        <is>
          <t>gen 9</t>
        </is>
      </c>
    </row>
    <row r="10827">
      <c r="D10827" s="19">
        <f>IF(ABS(IF(ABS($E$10791)&gt;0.000000001,$E$10791,0.000000001))=0,0,IF($E$10491&lt;=$B$10485,0,IF(ABS(IF(ABS($E$10791)&gt;0.000000001,$E$10791,0.000000001))&gt;=8*$B$10487,$H$10491,0.5*$H$10491*(ABS(IF(ABS($E$10791)&gt;0.000000001,$E$10791,0.000000001))/$B$10487)^(1/3)))/ABS(IF(ABS($E$10791)&gt;0.000000001,$E$10791,0.000000001))*$I$10491)</f>
        <v/>
      </c>
      <c r="E10827" s="19">
        <f>0.5*$E$10791+0.5*$Z$10839</f>
        <v/>
      </c>
      <c r="F10827" s="19">
        <f>$Z$10840</f>
        <v/>
      </c>
    </row>
    <row r="10828">
      <c r="D10828" s="19">
        <f>IF(ABS(IF(ABS($E$10792)&gt;0.000000001,$E$10792,0.000000001))=0,0,IF($E$10492&lt;=$B$10485,0,IF(ABS(IF(ABS($E$10792)&gt;0.000000001,$E$10792,0.000000001))&gt;=8*$B$10487,$H$10492,0.5*$H$10492*(ABS(IF(ABS($E$10792)&gt;0.000000001,$E$10792,0.000000001))/$B$10487)^(1/3)))/ABS(IF(ABS($E$10792)&gt;0.000000001,$E$10792,0.000000001))*$I$10492)</f>
        <v/>
      </c>
      <c r="E10828" s="19">
        <f>0.5*$E$10792+0.5*$Z$10841</f>
        <v/>
      </c>
      <c r="F10828" s="19">
        <f>$Z$10842</f>
        <v/>
      </c>
    </row>
    <row r="10829">
      <c r="D10829" s="19">
        <f>IF(ABS(IF(ABS($E$10793)&gt;0.000000001,$E$10793,0.000000001))=0,0,IF($E$10493&lt;=$B$10485,0,IF(ABS(IF(ABS($E$10793)&gt;0.000000001,$E$10793,0.000000001))&gt;=8*$B$10487,$H$10493,0.5*$H$10493*(ABS(IF(ABS($E$10793)&gt;0.000000001,$E$10793,0.000000001))/$B$10487)^(1/3)))/ABS(IF(ABS($E$10793)&gt;0.000000001,$E$10793,0.000000001))*$I$10493)</f>
        <v/>
      </c>
      <c r="E10829" s="19">
        <f>0.5*$E$10793+0.5*$Z$10843</f>
        <v/>
      </c>
      <c r="F10829" s="19">
        <f>$Z$10844</f>
        <v/>
      </c>
    </row>
    <row r="10830">
      <c r="D10830" s="19">
        <f>IF(ABS(IF(ABS($E$10794)&gt;0.000000001,$E$10794,0.000000001))=0,0,IF($E$10494&lt;=$B$10485,0,IF(ABS(IF(ABS($E$10794)&gt;0.000000001,$E$10794,0.000000001))&gt;=8*$B$10487,$H$10494,0.5*$H$10494*(ABS(IF(ABS($E$10794)&gt;0.000000001,$E$10794,0.000000001))/$B$10487)^(1/3)))/ABS(IF(ABS($E$10794)&gt;0.000000001,$E$10794,0.000000001))*$I$10494)</f>
        <v/>
      </c>
      <c r="E10830" s="19">
        <f>0.5*$E$10794+0.5*$Z$10845</f>
        <v/>
      </c>
      <c r="F10830" s="19">
        <f>$Z$10846</f>
        <v/>
      </c>
    </row>
    <row r="10831">
      <c r="D10831" s="19">
        <f>IF(ABS(IF(ABS($E$10795)&gt;0.000000001,$E$10795,0.000000001))=0,0,IF($E$10495&lt;=$B$10485,0,IF(ABS(IF(ABS($E$10795)&gt;0.000000001,$E$10795,0.000000001))&gt;=8*$B$10487,$H$10495,0.5*$H$10495*(ABS(IF(ABS($E$10795)&gt;0.000000001,$E$10795,0.000000001))/$B$10487)^(1/3)))/ABS(IF(ABS($E$10795)&gt;0.000000001,$E$10795,0.000000001))*$I$10495)</f>
        <v/>
      </c>
      <c r="E10831" s="19">
        <f>0.5*$E$10795+0.5*$Z$10847</f>
        <v/>
      </c>
      <c r="F10831" s="19">
        <f>$Z$10848</f>
        <v/>
      </c>
    </row>
    <row r="10832">
      <c r="D10832" s="19">
        <f>IF(ABS(IF(ABS($E$10796)&gt;0.000000001,$E$10796,0.000000001))=0,0,IF($E$10496&lt;=$B$10485,0,IF(ABS(IF(ABS($E$10796)&gt;0.000000001,$E$10796,0.000000001))&gt;=8*$B$10487,$H$10496,0.5*$H$10496*(ABS(IF(ABS($E$10796)&gt;0.000000001,$E$10796,0.000000001))/$B$10487)^(1/3)))/ABS(IF(ABS($E$10796)&gt;0.000000001,$E$10796,0.000000001))*$I$10496)</f>
        <v/>
      </c>
      <c r="E10832" s="19">
        <f>0.5*$E$10796+0.5*$Z$10849</f>
        <v/>
      </c>
      <c r="F10832" s="19">
        <f>$Z$10850</f>
        <v/>
      </c>
    </row>
    <row r="10833">
      <c r="D10833" s="19">
        <f>IF(ABS(IF(ABS($E$10797)&gt;0.000000001,$E$10797,0.000000001))=0,0,IF($E$10497&lt;=$B$10485,0,IF(ABS(IF(ABS($E$10797)&gt;0.000000001,$E$10797,0.000000001))&gt;=8*$B$10487,$H$10497,0.5*$H$10497*(ABS(IF(ABS($E$10797)&gt;0.000000001,$E$10797,0.000000001))/$B$10487)^(1/3)))/ABS(IF(ABS($E$10797)&gt;0.000000001,$E$10797,0.000000001))*$I$10497)</f>
        <v/>
      </c>
      <c r="E10833" s="19">
        <f>0.5*$E$10797+0.5*$Z$10851</f>
        <v/>
      </c>
      <c r="F10833" s="19">
        <f>$Z$10852</f>
        <v/>
      </c>
    </row>
    <row r="10834">
      <c r="D10834" s="19">
        <f>IF(ABS(IF(ABS($E$10798)&gt;0.000000001,$E$10798,0.000000001))=0,0,IF($E$10498&lt;=$B$10485,0,IF(ABS(IF(ABS($E$10798)&gt;0.000000001,$E$10798,0.000000001))&gt;=8*$B$10487,$H$10498,0.5*$H$10498*(ABS(IF(ABS($E$10798)&gt;0.000000001,$E$10798,0.000000001))/$B$10487)^(1/3)))/ABS(IF(ABS($E$10798)&gt;0.000000001,$E$10798,0.000000001))*$I$10498)</f>
        <v/>
      </c>
      <c r="E10834" s="19">
        <f>0.5*$E$10798+0.5*$Z$10853</f>
        <v/>
      </c>
      <c r="F10834" s="19">
        <f>$Z$10854</f>
        <v/>
      </c>
    </row>
    <row r="10835">
      <c r="D10835" s="19">
        <f>IF(ABS(IF(ABS($E$10799)&gt;0.000000001,$E$10799,0.000000001))=0,0,IF($E$10499&lt;=$B$10485,0,IF(ABS(IF(ABS($E$10799)&gt;0.000000001,$E$10799,0.000000001))&gt;=8*$B$10487,$H$10499,0.5*$H$10499*(ABS(IF(ABS($E$10799)&gt;0.000000001,$E$10799,0.000000001))/$B$10487)^(1/3)))/ABS(IF(ABS($E$10799)&gt;0.000000001,$E$10799,0.000000001))*$I$10499)</f>
        <v/>
      </c>
      <c r="E10835" s="19">
        <f>0.5*$E$10799+0.5*$Z$10855</f>
        <v/>
      </c>
      <c r="F10835" s="19">
        <f>$Z$10856</f>
        <v/>
      </c>
    </row>
    <row r="10836">
      <c r="D10836" s="19">
        <f>IF(ABS(IF(ABS($E$10800)&gt;0.000000001,$E$10800,0.000000001))=0,0,IF($E$10500&lt;=$B$10485,0,IF(ABS(IF(ABS($E$10800)&gt;0.000000001,$E$10800,0.000000001))&gt;=8*$B$10487,$H$10500,0.5*$H$10500*(ABS(IF(ABS($E$10800)&gt;0.000000001,$E$10800,0.000000001))/$B$10487)^(1/3)))/ABS(IF(ABS($E$10800)&gt;0.000000001,$E$10800,0.000000001))*$I$10500)</f>
        <v/>
      </c>
      <c r="E10836" s="19">
        <f>0.5*$E$10800+0.5*$Z$10857</f>
        <v/>
      </c>
      <c r="F10836" s="19">
        <f>$Z$10858</f>
        <v/>
      </c>
    </row>
    <row r="10837">
      <c r="D10837" s="19">
        <f>IF(ABS(IF(ABS($E$10801)&gt;0.000000001,$E$10801,0.000000001))=0,0,IF($E$10501&lt;=$B$10485,0,IF(ABS(IF(ABS($E$10801)&gt;0.000000001,$E$10801,0.000000001))&gt;=8*$B$10487,$H$10501,0.5*$H$10501*(ABS(IF(ABS($E$10801)&gt;0.000000001,$E$10801,0.000000001))/$B$10487)^(1/3)))/ABS(IF(ABS($E$10801)&gt;0.000000001,$E$10801,0.000000001))*$I$10501)</f>
        <v/>
      </c>
      <c r="E10837" s="19">
        <f>0.5*$E$10801+0.5*$Z$10859</f>
        <v/>
      </c>
      <c r="F10837" s="19">
        <f>$Z$10860</f>
        <v/>
      </c>
    </row>
    <row r="10839">
      <c r="D10839" s="21">
        <f>$B$10476+$D$10827</f>
        <v/>
      </c>
      <c r="E10839" s="21">
        <f>$B$10477</f>
        <v/>
      </c>
      <c r="F10839" s="21">
        <f>-$B$10476</f>
        <v/>
      </c>
      <c r="G10839" s="21">
        <f>$B$10477</f>
        <v/>
      </c>
      <c r="H10839" s="21" t="n">
        <v>0</v>
      </c>
      <c r="I10839" s="21" t="n">
        <v>0</v>
      </c>
      <c r="J10839" s="21" t="n">
        <v>0</v>
      </c>
      <c r="K10839" s="21" t="n">
        <v>0</v>
      </c>
      <c r="L10839" s="21" t="n">
        <v>0</v>
      </c>
      <c r="M10839" s="21" t="n">
        <v>0</v>
      </c>
      <c r="N10839" s="21" t="n">
        <v>0</v>
      </c>
      <c r="O10839" s="21" t="n">
        <v>0</v>
      </c>
      <c r="P10839" s="21" t="n">
        <v>0</v>
      </c>
      <c r="Q10839" s="21" t="n">
        <v>0</v>
      </c>
      <c r="R10839" s="21" t="n">
        <v>0</v>
      </c>
      <c r="S10839" s="21" t="n">
        <v>0</v>
      </c>
      <c r="T10839" s="21" t="n">
        <v>0</v>
      </c>
      <c r="U10839" s="21" t="n">
        <v>0</v>
      </c>
      <c r="V10839" s="21" t="n">
        <v>0</v>
      </c>
      <c r="W10839" s="21" t="n">
        <v>0</v>
      </c>
      <c r="X10839" s="21" t="n">
        <v>0</v>
      </c>
      <c r="Y10839" s="21" t="n">
        <v>0</v>
      </c>
      <c r="Z10839" s="19">
        <f t="array" ref="Z10839:Z10860">MMULT(MINVERSE($D$10839:$Y$10860),$D$10503:$D$10524)</f>
        <v/>
      </c>
    </row>
    <row r="10840">
      <c r="D10840" s="21">
        <f>$B$10477</f>
        <v/>
      </c>
      <c r="E10840" s="21">
        <f>$B$10478</f>
        <v/>
      </c>
      <c r="F10840" s="21">
        <f>-$B$10477</f>
        <v/>
      </c>
      <c r="G10840" s="21">
        <f>$B$10479</f>
        <v/>
      </c>
      <c r="H10840" s="21" t="n">
        <v>0</v>
      </c>
      <c r="I10840" s="21" t="n">
        <v>0</v>
      </c>
      <c r="J10840" s="21" t="n">
        <v>0</v>
      </c>
      <c r="K10840" s="21" t="n">
        <v>0</v>
      </c>
      <c r="L10840" s="21" t="n">
        <v>0</v>
      </c>
      <c r="M10840" s="21" t="n">
        <v>0</v>
      </c>
      <c r="N10840" s="21" t="n">
        <v>0</v>
      </c>
      <c r="O10840" s="21" t="n">
        <v>0</v>
      </c>
      <c r="P10840" s="21" t="n">
        <v>0</v>
      </c>
      <c r="Q10840" s="21" t="n">
        <v>0</v>
      </c>
      <c r="R10840" s="21" t="n">
        <v>0</v>
      </c>
      <c r="S10840" s="21" t="n">
        <v>0</v>
      </c>
      <c r="T10840" s="21" t="n">
        <v>0</v>
      </c>
      <c r="U10840" s="21" t="n">
        <v>0</v>
      </c>
      <c r="V10840" s="21" t="n">
        <v>0</v>
      </c>
      <c r="W10840" s="21" t="n">
        <v>0</v>
      </c>
      <c r="X10840" s="21" t="n">
        <v>0</v>
      </c>
      <c r="Y10840" s="21" t="n">
        <v>0</v>
      </c>
      <c r="Z10840" s="19" t="n"/>
    </row>
    <row r="10841">
      <c r="D10841" s="21">
        <f>-$B$10476</f>
        <v/>
      </c>
      <c r="E10841" s="21">
        <f>-$B$10477</f>
        <v/>
      </c>
      <c r="F10841" s="21">
        <f>2*$B$10476+$D$10828</f>
        <v/>
      </c>
      <c r="G10841" s="21">
        <f>0</f>
        <v/>
      </c>
      <c r="H10841" s="21">
        <f>-$B$10476</f>
        <v/>
      </c>
      <c r="I10841" s="21">
        <f>$B$10477</f>
        <v/>
      </c>
      <c r="J10841" s="21" t="n">
        <v>0</v>
      </c>
      <c r="K10841" s="21" t="n">
        <v>0</v>
      </c>
      <c r="L10841" s="21" t="n">
        <v>0</v>
      </c>
      <c r="M10841" s="21" t="n">
        <v>0</v>
      </c>
      <c r="N10841" s="21" t="n">
        <v>0</v>
      </c>
      <c r="O10841" s="21" t="n">
        <v>0</v>
      </c>
      <c r="P10841" s="21" t="n">
        <v>0</v>
      </c>
      <c r="Q10841" s="21" t="n">
        <v>0</v>
      </c>
      <c r="R10841" s="21" t="n">
        <v>0</v>
      </c>
      <c r="S10841" s="21" t="n">
        <v>0</v>
      </c>
      <c r="T10841" s="21" t="n">
        <v>0</v>
      </c>
      <c r="U10841" s="21" t="n">
        <v>0</v>
      </c>
      <c r="V10841" s="21" t="n">
        <v>0</v>
      </c>
      <c r="W10841" s="21" t="n">
        <v>0</v>
      </c>
      <c r="X10841" s="21" t="n">
        <v>0</v>
      </c>
      <c r="Y10841" s="21" t="n">
        <v>0</v>
      </c>
      <c r="Z10841" s="19" t="n"/>
    </row>
    <row r="10842">
      <c r="D10842" s="21">
        <f>$B$10477</f>
        <v/>
      </c>
      <c r="E10842" s="21">
        <f>$B$10479</f>
        <v/>
      </c>
      <c r="F10842" s="21">
        <f>0</f>
        <v/>
      </c>
      <c r="G10842" s="21">
        <f>2*$B$10478</f>
        <v/>
      </c>
      <c r="H10842" s="21">
        <f>-$B$10477</f>
        <v/>
      </c>
      <c r="I10842" s="21">
        <f>$B$10479</f>
        <v/>
      </c>
      <c r="J10842" s="21" t="n">
        <v>0</v>
      </c>
      <c r="K10842" s="21" t="n">
        <v>0</v>
      </c>
      <c r="L10842" s="21" t="n">
        <v>0</v>
      </c>
      <c r="M10842" s="21" t="n">
        <v>0</v>
      </c>
      <c r="N10842" s="21" t="n">
        <v>0</v>
      </c>
      <c r="O10842" s="21" t="n">
        <v>0</v>
      </c>
      <c r="P10842" s="21" t="n">
        <v>0</v>
      </c>
      <c r="Q10842" s="21" t="n">
        <v>0</v>
      </c>
      <c r="R10842" s="21" t="n">
        <v>0</v>
      </c>
      <c r="S10842" s="21" t="n">
        <v>0</v>
      </c>
      <c r="T10842" s="21" t="n">
        <v>0</v>
      </c>
      <c r="U10842" s="21" t="n">
        <v>0</v>
      </c>
      <c r="V10842" s="21" t="n">
        <v>0</v>
      </c>
      <c r="W10842" s="21" t="n">
        <v>0</v>
      </c>
      <c r="X10842" s="21" t="n">
        <v>0</v>
      </c>
      <c r="Y10842" s="21" t="n">
        <v>0</v>
      </c>
      <c r="Z10842" s="19" t="n"/>
    </row>
    <row r="10843">
      <c r="D10843" s="21" t="n">
        <v>0</v>
      </c>
      <c r="E10843" s="21" t="n">
        <v>0</v>
      </c>
      <c r="F10843" s="21">
        <f>-$B$10476</f>
        <v/>
      </c>
      <c r="G10843" s="21">
        <f>-$B$10477</f>
        <v/>
      </c>
      <c r="H10843" s="21">
        <f>2*$B$10476+$D$10829</f>
        <v/>
      </c>
      <c r="I10843" s="21">
        <f>0</f>
        <v/>
      </c>
      <c r="J10843" s="21">
        <f>-$B$10476</f>
        <v/>
      </c>
      <c r="K10843" s="21">
        <f>$B$10477</f>
        <v/>
      </c>
      <c r="L10843" s="21" t="n">
        <v>0</v>
      </c>
      <c r="M10843" s="21" t="n">
        <v>0</v>
      </c>
      <c r="N10843" s="21" t="n">
        <v>0</v>
      </c>
      <c r="O10843" s="21" t="n">
        <v>0</v>
      </c>
      <c r="P10843" s="21" t="n">
        <v>0</v>
      </c>
      <c r="Q10843" s="21" t="n">
        <v>0</v>
      </c>
      <c r="R10843" s="21" t="n">
        <v>0</v>
      </c>
      <c r="S10843" s="21" t="n">
        <v>0</v>
      </c>
      <c r="T10843" s="21" t="n">
        <v>0</v>
      </c>
      <c r="U10843" s="21" t="n">
        <v>0</v>
      </c>
      <c r="V10843" s="21" t="n">
        <v>0</v>
      </c>
      <c r="W10843" s="21" t="n">
        <v>0</v>
      </c>
      <c r="X10843" s="21" t="n">
        <v>0</v>
      </c>
      <c r="Y10843" s="21" t="n">
        <v>0</v>
      </c>
      <c r="Z10843" s="19" t="n"/>
    </row>
    <row r="10844">
      <c r="D10844" s="21" t="n">
        <v>0</v>
      </c>
      <c r="E10844" s="21" t="n">
        <v>0</v>
      </c>
      <c r="F10844" s="21">
        <f>$B$10477</f>
        <v/>
      </c>
      <c r="G10844" s="21">
        <f>$B$10479</f>
        <v/>
      </c>
      <c r="H10844" s="21">
        <f>0</f>
        <v/>
      </c>
      <c r="I10844" s="21">
        <f>2*$B$10478</f>
        <v/>
      </c>
      <c r="J10844" s="21">
        <f>-$B$10477</f>
        <v/>
      </c>
      <c r="K10844" s="21">
        <f>$B$10479</f>
        <v/>
      </c>
      <c r="L10844" s="21" t="n">
        <v>0</v>
      </c>
      <c r="M10844" s="21" t="n">
        <v>0</v>
      </c>
      <c r="N10844" s="21" t="n">
        <v>0</v>
      </c>
      <c r="O10844" s="21" t="n">
        <v>0</v>
      </c>
      <c r="P10844" s="21" t="n">
        <v>0</v>
      </c>
      <c r="Q10844" s="21" t="n">
        <v>0</v>
      </c>
      <c r="R10844" s="21" t="n">
        <v>0</v>
      </c>
      <c r="S10844" s="21" t="n">
        <v>0</v>
      </c>
      <c r="T10844" s="21" t="n">
        <v>0</v>
      </c>
      <c r="U10844" s="21" t="n">
        <v>0</v>
      </c>
      <c r="V10844" s="21" t="n">
        <v>0</v>
      </c>
      <c r="W10844" s="21" t="n">
        <v>0</v>
      </c>
      <c r="X10844" s="21" t="n">
        <v>0</v>
      </c>
      <c r="Y10844" s="21" t="n">
        <v>0</v>
      </c>
      <c r="Z10844" s="19" t="n"/>
    </row>
    <row r="10845">
      <c r="D10845" s="21" t="n">
        <v>0</v>
      </c>
      <c r="E10845" s="21" t="n">
        <v>0</v>
      </c>
      <c r="F10845" s="21" t="n">
        <v>0</v>
      </c>
      <c r="G10845" s="21" t="n">
        <v>0</v>
      </c>
      <c r="H10845" s="21">
        <f>-$B$10476</f>
        <v/>
      </c>
      <c r="I10845" s="21">
        <f>-$B$10477</f>
        <v/>
      </c>
      <c r="J10845" s="21">
        <f>2*$B$10476+$D$10830</f>
        <v/>
      </c>
      <c r="K10845" s="21">
        <f>0</f>
        <v/>
      </c>
      <c r="L10845" s="21">
        <f>-$B$10476</f>
        <v/>
      </c>
      <c r="M10845" s="21">
        <f>$B$10477</f>
        <v/>
      </c>
      <c r="N10845" s="21" t="n">
        <v>0</v>
      </c>
      <c r="O10845" s="21" t="n">
        <v>0</v>
      </c>
      <c r="P10845" s="21" t="n">
        <v>0</v>
      </c>
      <c r="Q10845" s="21" t="n">
        <v>0</v>
      </c>
      <c r="R10845" s="21" t="n">
        <v>0</v>
      </c>
      <c r="S10845" s="21" t="n">
        <v>0</v>
      </c>
      <c r="T10845" s="21" t="n">
        <v>0</v>
      </c>
      <c r="U10845" s="21" t="n">
        <v>0</v>
      </c>
      <c r="V10845" s="21" t="n">
        <v>0</v>
      </c>
      <c r="W10845" s="21" t="n">
        <v>0</v>
      </c>
      <c r="X10845" s="21" t="n">
        <v>0</v>
      </c>
      <c r="Y10845" s="21" t="n">
        <v>0</v>
      </c>
      <c r="Z10845" s="19" t="n"/>
    </row>
    <row r="10846">
      <c r="D10846" s="21" t="n">
        <v>0</v>
      </c>
      <c r="E10846" s="21" t="n">
        <v>0</v>
      </c>
      <c r="F10846" s="21" t="n">
        <v>0</v>
      </c>
      <c r="G10846" s="21" t="n">
        <v>0</v>
      </c>
      <c r="H10846" s="21">
        <f>$B$10477</f>
        <v/>
      </c>
      <c r="I10846" s="21">
        <f>$B$10479</f>
        <v/>
      </c>
      <c r="J10846" s="21">
        <f>0</f>
        <v/>
      </c>
      <c r="K10846" s="21">
        <f>2*$B$10478</f>
        <v/>
      </c>
      <c r="L10846" s="21">
        <f>-$B$10477</f>
        <v/>
      </c>
      <c r="M10846" s="21">
        <f>$B$10479</f>
        <v/>
      </c>
      <c r="N10846" s="21" t="n">
        <v>0</v>
      </c>
      <c r="O10846" s="21" t="n">
        <v>0</v>
      </c>
      <c r="P10846" s="21" t="n">
        <v>0</v>
      </c>
      <c r="Q10846" s="21" t="n">
        <v>0</v>
      </c>
      <c r="R10846" s="21" t="n">
        <v>0</v>
      </c>
      <c r="S10846" s="21" t="n">
        <v>0</v>
      </c>
      <c r="T10846" s="21" t="n">
        <v>0</v>
      </c>
      <c r="U10846" s="21" t="n">
        <v>0</v>
      </c>
      <c r="V10846" s="21" t="n">
        <v>0</v>
      </c>
      <c r="W10846" s="21" t="n">
        <v>0</v>
      </c>
      <c r="X10846" s="21" t="n">
        <v>0</v>
      </c>
      <c r="Y10846" s="21" t="n">
        <v>0</v>
      </c>
      <c r="Z10846" s="19" t="n"/>
    </row>
    <row r="10847">
      <c r="D10847" s="21" t="n">
        <v>0</v>
      </c>
      <c r="E10847" s="21" t="n">
        <v>0</v>
      </c>
      <c r="F10847" s="21" t="n">
        <v>0</v>
      </c>
      <c r="G10847" s="21" t="n">
        <v>0</v>
      </c>
      <c r="H10847" s="21" t="n">
        <v>0</v>
      </c>
      <c r="I10847" s="21" t="n">
        <v>0</v>
      </c>
      <c r="J10847" s="21">
        <f>-$B$10476</f>
        <v/>
      </c>
      <c r="K10847" s="21">
        <f>-$B$10477</f>
        <v/>
      </c>
      <c r="L10847" s="21">
        <f>2*$B$10476+$D$10831</f>
        <v/>
      </c>
      <c r="M10847" s="21">
        <f>0</f>
        <v/>
      </c>
      <c r="N10847" s="21">
        <f>-$B$10476</f>
        <v/>
      </c>
      <c r="O10847" s="21">
        <f>$B$10477</f>
        <v/>
      </c>
      <c r="P10847" s="21" t="n">
        <v>0</v>
      </c>
      <c r="Q10847" s="21" t="n">
        <v>0</v>
      </c>
      <c r="R10847" s="21" t="n">
        <v>0</v>
      </c>
      <c r="S10847" s="21" t="n">
        <v>0</v>
      </c>
      <c r="T10847" s="21" t="n">
        <v>0</v>
      </c>
      <c r="U10847" s="21" t="n">
        <v>0</v>
      </c>
      <c r="V10847" s="21" t="n">
        <v>0</v>
      </c>
      <c r="W10847" s="21" t="n">
        <v>0</v>
      </c>
      <c r="X10847" s="21" t="n">
        <v>0</v>
      </c>
      <c r="Y10847" s="21" t="n">
        <v>0</v>
      </c>
      <c r="Z10847" s="19" t="n"/>
    </row>
    <row r="10848">
      <c r="D10848" s="21" t="n">
        <v>0</v>
      </c>
      <c r="E10848" s="21" t="n">
        <v>0</v>
      </c>
      <c r="F10848" s="21" t="n">
        <v>0</v>
      </c>
      <c r="G10848" s="21" t="n">
        <v>0</v>
      </c>
      <c r="H10848" s="21" t="n">
        <v>0</v>
      </c>
      <c r="I10848" s="21" t="n">
        <v>0</v>
      </c>
      <c r="J10848" s="21">
        <f>$B$10477</f>
        <v/>
      </c>
      <c r="K10848" s="21">
        <f>$B$10479</f>
        <v/>
      </c>
      <c r="L10848" s="21">
        <f>0</f>
        <v/>
      </c>
      <c r="M10848" s="21">
        <f>2*$B$10478</f>
        <v/>
      </c>
      <c r="N10848" s="21">
        <f>-$B$10477</f>
        <v/>
      </c>
      <c r="O10848" s="21">
        <f>$B$10479</f>
        <v/>
      </c>
      <c r="P10848" s="21" t="n">
        <v>0</v>
      </c>
      <c r="Q10848" s="21" t="n">
        <v>0</v>
      </c>
      <c r="R10848" s="21" t="n">
        <v>0</v>
      </c>
      <c r="S10848" s="21" t="n">
        <v>0</v>
      </c>
      <c r="T10848" s="21" t="n">
        <v>0</v>
      </c>
      <c r="U10848" s="21" t="n">
        <v>0</v>
      </c>
      <c r="V10848" s="21" t="n">
        <v>0</v>
      </c>
      <c r="W10848" s="21" t="n">
        <v>0</v>
      </c>
      <c r="X10848" s="21" t="n">
        <v>0</v>
      </c>
      <c r="Y10848" s="21" t="n">
        <v>0</v>
      </c>
      <c r="Z10848" s="19" t="n"/>
    </row>
    <row r="10849">
      <c r="D10849" s="21" t="n">
        <v>0</v>
      </c>
      <c r="E10849" s="21" t="n">
        <v>0</v>
      </c>
      <c r="F10849" s="21" t="n">
        <v>0</v>
      </c>
      <c r="G10849" s="21" t="n">
        <v>0</v>
      </c>
      <c r="H10849" s="21" t="n">
        <v>0</v>
      </c>
      <c r="I10849" s="21" t="n">
        <v>0</v>
      </c>
      <c r="J10849" s="21" t="n">
        <v>0</v>
      </c>
      <c r="K10849" s="21" t="n">
        <v>0</v>
      </c>
      <c r="L10849" s="21">
        <f>-$B$10476</f>
        <v/>
      </c>
      <c r="M10849" s="21">
        <f>-$B$10477</f>
        <v/>
      </c>
      <c r="N10849" s="21">
        <f>2*$B$10476+$D$10832</f>
        <v/>
      </c>
      <c r="O10849" s="21">
        <f>0</f>
        <v/>
      </c>
      <c r="P10849" s="21">
        <f>-$B$10476</f>
        <v/>
      </c>
      <c r="Q10849" s="21">
        <f>$B$10477</f>
        <v/>
      </c>
      <c r="R10849" s="21" t="n">
        <v>0</v>
      </c>
      <c r="S10849" s="21" t="n">
        <v>0</v>
      </c>
      <c r="T10849" s="21" t="n">
        <v>0</v>
      </c>
      <c r="U10849" s="21" t="n">
        <v>0</v>
      </c>
      <c r="V10849" s="21" t="n">
        <v>0</v>
      </c>
      <c r="W10849" s="21" t="n">
        <v>0</v>
      </c>
      <c r="X10849" s="21" t="n">
        <v>0</v>
      </c>
      <c r="Y10849" s="21" t="n">
        <v>0</v>
      </c>
      <c r="Z10849" s="19" t="n"/>
    </row>
    <row r="10850">
      <c r="D10850" s="21" t="n">
        <v>0</v>
      </c>
      <c r="E10850" s="21" t="n">
        <v>0</v>
      </c>
      <c r="F10850" s="21" t="n">
        <v>0</v>
      </c>
      <c r="G10850" s="21" t="n">
        <v>0</v>
      </c>
      <c r="H10850" s="21" t="n">
        <v>0</v>
      </c>
      <c r="I10850" s="21" t="n">
        <v>0</v>
      </c>
      <c r="J10850" s="21" t="n">
        <v>0</v>
      </c>
      <c r="K10850" s="21" t="n">
        <v>0</v>
      </c>
      <c r="L10850" s="21">
        <f>$B$10477</f>
        <v/>
      </c>
      <c r="M10850" s="21">
        <f>$B$10479</f>
        <v/>
      </c>
      <c r="N10850" s="21">
        <f>0</f>
        <v/>
      </c>
      <c r="O10850" s="21">
        <f>2*$B$10478</f>
        <v/>
      </c>
      <c r="P10850" s="21">
        <f>-$B$10477</f>
        <v/>
      </c>
      <c r="Q10850" s="21">
        <f>$B$10479</f>
        <v/>
      </c>
      <c r="R10850" s="21" t="n">
        <v>0</v>
      </c>
      <c r="S10850" s="21" t="n">
        <v>0</v>
      </c>
      <c r="T10850" s="21" t="n">
        <v>0</v>
      </c>
      <c r="U10850" s="21" t="n">
        <v>0</v>
      </c>
      <c r="V10850" s="21" t="n">
        <v>0</v>
      </c>
      <c r="W10850" s="21" t="n">
        <v>0</v>
      </c>
      <c r="X10850" s="21" t="n">
        <v>0</v>
      </c>
      <c r="Y10850" s="21" t="n">
        <v>0</v>
      </c>
      <c r="Z10850" s="19" t="n"/>
    </row>
    <row r="10851">
      <c r="D10851" s="21" t="n">
        <v>0</v>
      </c>
      <c r="E10851" s="21" t="n">
        <v>0</v>
      </c>
      <c r="F10851" s="21" t="n">
        <v>0</v>
      </c>
      <c r="G10851" s="21" t="n">
        <v>0</v>
      </c>
      <c r="H10851" s="21" t="n">
        <v>0</v>
      </c>
      <c r="I10851" s="21" t="n">
        <v>0</v>
      </c>
      <c r="J10851" s="21" t="n">
        <v>0</v>
      </c>
      <c r="K10851" s="21" t="n">
        <v>0</v>
      </c>
      <c r="L10851" s="21" t="n">
        <v>0</v>
      </c>
      <c r="M10851" s="21" t="n">
        <v>0</v>
      </c>
      <c r="N10851" s="21">
        <f>-$B$10476</f>
        <v/>
      </c>
      <c r="O10851" s="21">
        <f>-$B$10477</f>
        <v/>
      </c>
      <c r="P10851" s="21">
        <f>2*$B$10476+$D$10833</f>
        <v/>
      </c>
      <c r="Q10851" s="21">
        <f>0</f>
        <v/>
      </c>
      <c r="R10851" s="21">
        <f>-$B$10476</f>
        <v/>
      </c>
      <c r="S10851" s="21">
        <f>$B$10477</f>
        <v/>
      </c>
      <c r="T10851" s="21" t="n">
        <v>0</v>
      </c>
      <c r="U10851" s="21" t="n">
        <v>0</v>
      </c>
      <c r="V10851" s="21" t="n">
        <v>0</v>
      </c>
      <c r="W10851" s="21" t="n">
        <v>0</v>
      </c>
      <c r="X10851" s="21" t="n">
        <v>0</v>
      </c>
      <c r="Y10851" s="21" t="n">
        <v>0</v>
      </c>
      <c r="Z10851" s="19" t="n"/>
    </row>
    <row r="10852">
      <c r="D10852" s="21" t="n">
        <v>0</v>
      </c>
      <c r="E10852" s="21" t="n">
        <v>0</v>
      </c>
      <c r="F10852" s="21" t="n">
        <v>0</v>
      </c>
      <c r="G10852" s="21" t="n">
        <v>0</v>
      </c>
      <c r="H10852" s="21" t="n">
        <v>0</v>
      </c>
      <c r="I10852" s="21" t="n">
        <v>0</v>
      </c>
      <c r="J10852" s="21" t="n">
        <v>0</v>
      </c>
      <c r="K10852" s="21" t="n">
        <v>0</v>
      </c>
      <c r="L10852" s="21" t="n">
        <v>0</v>
      </c>
      <c r="M10852" s="21" t="n">
        <v>0</v>
      </c>
      <c r="N10852" s="21">
        <f>$B$10477</f>
        <v/>
      </c>
      <c r="O10852" s="21">
        <f>$B$10479</f>
        <v/>
      </c>
      <c r="P10852" s="21">
        <f>0</f>
        <v/>
      </c>
      <c r="Q10852" s="21">
        <f>2*$B$10478</f>
        <v/>
      </c>
      <c r="R10852" s="21">
        <f>-$B$10477</f>
        <v/>
      </c>
      <c r="S10852" s="21">
        <f>$B$10479</f>
        <v/>
      </c>
      <c r="T10852" s="21" t="n">
        <v>0</v>
      </c>
      <c r="U10852" s="21" t="n">
        <v>0</v>
      </c>
      <c r="V10852" s="21" t="n">
        <v>0</v>
      </c>
      <c r="W10852" s="21" t="n">
        <v>0</v>
      </c>
      <c r="X10852" s="21" t="n">
        <v>0</v>
      </c>
      <c r="Y10852" s="21" t="n">
        <v>0</v>
      </c>
      <c r="Z10852" s="19" t="n"/>
    </row>
    <row r="10853">
      <c r="D10853" s="21" t="n">
        <v>0</v>
      </c>
      <c r="E10853" s="21" t="n">
        <v>0</v>
      </c>
      <c r="F10853" s="21" t="n">
        <v>0</v>
      </c>
      <c r="G10853" s="21" t="n">
        <v>0</v>
      </c>
      <c r="H10853" s="21" t="n">
        <v>0</v>
      </c>
      <c r="I10853" s="21" t="n">
        <v>0</v>
      </c>
      <c r="J10853" s="21" t="n">
        <v>0</v>
      </c>
      <c r="K10853" s="21" t="n">
        <v>0</v>
      </c>
      <c r="L10853" s="21" t="n">
        <v>0</v>
      </c>
      <c r="M10853" s="21" t="n">
        <v>0</v>
      </c>
      <c r="N10853" s="21" t="n">
        <v>0</v>
      </c>
      <c r="O10853" s="21" t="n">
        <v>0</v>
      </c>
      <c r="P10853" s="21">
        <f>-$B$10476</f>
        <v/>
      </c>
      <c r="Q10853" s="21">
        <f>-$B$10477</f>
        <v/>
      </c>
      <c r="R10853" s="21">
        <f>2*$B$10476+$D$10834</f>
        <v/>
      </c>
      <c r="S10853" s="21">
        <f>0</f>
        <v/>
      </c>
      <c r="T10853" s="21">
        <f>-$B$10476</f>
        <v/>
      </c>
      <c r="U10853" s="21">
        <f>$B$10477</f>
        <v/>
      </c>
      <c r="V10853" s="21" t="n">
        <v>0</v>
      </c>
      <c r="W10853" s="21" t="n">
        <v>0</v>
      </c>
      <c r="X10853" s="21" t="n">
        <v>0</v>
      </c>
      <c r="Y10853" s="21" t="n">
        <v>0</v>
      </c>
      <c r="Z10853" s="19" t="n"/>
    </row>
    <row r="10854">
      <c r="D10854" s="21" t="n">
        <v>0</v>
      </c>
      <c r="E10854" s="21" t="n">
        <v>0</v>
      </c>
      <c r="F10854" s="21" t="n">
        <v>0</v>
      </c>
      <c r="G10854" s="21" t="n">
        <v>0</v>
      </c>
      <c r="H10854" s="21" t="n">
        <v>0</v>
      </c>
      <c r="I10854" s="21" t="n">
        <v>0</v>
      </c>
      <c r="J10854" s="21" t="n">
        <v>0</v>
      </c>
      <c r="K10854" s="21" t="n">
        <v>0</v>
      </c>
      <c r="L10854" s="21" t="n">
        <v>0</v>
      </c>
      <c r="M10854" s="21" t="n">
        <v>0</v>
      </c>
      <c r="N10854" s="21" t="n">
        <v>0</v>
      </c>
      <c r="O10854" s="21" t="n">
        <v>0</v>
      </c>
      <c r="P10854" s="21">
        <f>$B$10477</f>
        <v/>
      </c>
      <c r="Q10854" s="21">
        <f>$B$10479</f>
        <v/>
      </c>
      <c r="R10854" s="21">
        <f>0</f>
        <v/>
      </c>
      <c r="S10854" s="21">
        <f>2*$B$10478</f>
        <v/>
      </c>
      <c r="T10854" s="21">
        <f>-$B$10477</f>
        <v/>
      </c>
      <c r="U10854" s="21">
        <f>$B$10479</f>
        <v/>
      </c>
      <c r="V10854" s="21" t="n">
        <v>0</v>
      </c>
      <c r="W10854" s="21" t="n">
        <v>0</v>
      </c>
      <c r="X10854" s="21" t="n">
        <v>0</v>
      </c>
      <c r="Y10854" s="21" t="n">
        <v>0</v>
      </c>
      <c r="Z10854" s="19" t="n"/>
    </row>
    <row r="10855">
      <c r="D10855" s="21" t="n">
        <v>0</v>
      </c>
      <c r="E10855" s="21" t="n">
        <v>0</v>
      </c>
      <c r="F10855" s="21" t="n">
        <v>0</v>
      </c>
      <c r="G10855" s="21" t="n">
        <v>0</v>
      </c>
      <c r="H10855" s="21" t="n">
        <v>0</v>
      </c>
      <c r="I10855" s="21" t="n">
        <v>0</v>
      </c>
      <c r="J10855" s="21" t="n">
        <v>0</v>
      </c>
      <c r="K10855" s="21" t="n">
        <v>0</v>
      </c>
      <c r="L10855" s="21" t="n">
        <v>0</v>
      </c>
      <c r="M10855" s="21" t="n">
        <v>0</v>
      </c>
      <c r="N10855" s="21" t="n">
        <v>0</v>
      </c>
      <c r="O10855" s="21" t="n">
        <v>0</v>
      </c>
      <c r="P10855" s="21" t="n">
        <v>0</v>
      </c>
      <c r="Q10855" s="21" t="n">
        <v>0</v>
      </c>
      <c r="R10855" s="21">
        <f>-$B$10476</f>
        <v/>
      </c>
      <c r="S10855" s="21">
        <f>-$B$10477</f>
        <v/>
      </c>
      <c r="T10855" s="21">
        <f>2*$B$10476+$D$10835</f>
        <v/>
      </c>
      <c r="U10855" s="21">
        <f>0</f>
        <v/>
      </c>
      <c r="V10855" s="21">
        <f>-$B$10476</f>
        <v/>
      </c>
      <c r="W10855" s="21">
        <f>$B$10477</f>
        <v/>
      </c>
      <c r="X10855" s="21" t="n">
        <v>0</v>
      </c>
      <c r="Y10855" s="21" t="n">
        <v>0</v>
      </c>
      <c r="Z10855" s="19" t="n"/>
    </row>
    <row r="10856">
      <c r="D10856" s="21" t="n">
        <v>0</v>
      </c>
      <c r="E10856" s="21" t="n">
        <v>0</v>
      </c>
      <c r="F10856" s="21" t="n">
        <v>0</v>
      </c>
      <c r="G10856" s="21" t="n">
        <v>0</v>
      </c>
      <c r="H10856" s="21" t="n">
        <v>0</v>
      </c>
      <c r="I10856" s="21" t="n">
        <v>0</v>
      </c>
      <c r="J10856" s="21" t="n">
        <v>0</v>
      </c>
      <c r="K10856" s="21" t="n">
        <v>0</v>
      </c>
      <c r="L10856" s="21" t="n">
        <v>0</v>
      </c>
      <c r="M10856" s="21" t="n">
        <v>0</v>
      </c>
      <c r="N10856" s="21" t="n">
        <v>0</v>
      </c>
      <c r="O10856" s="21" t="n">
        <v>0</v>
      </c>
      <c r="P10856" s="21" t="n">
        <v>0</v>
      </c>
      <c r="Q10856" s="21" t="n">
        <v>0</v>
      </c>
      <c r="R10856" s="21">
        <f>$B$10477</f>
        <v/>
      </c>
      <c r="S10856" s="21">
        <f>$B$10479</f>
        <v/>
      </c>
      <c r="T10856" s="21">
        <f>0</f>
        <v/>
      </c>
      <c r="U10856" s="21">
        <f>2*$B$10478</f>
        <v/>
      </c>
      <c r="V10856" s="21">
        <f>-$B$10477</f>
        <v/>
      </c>
      <c r="W10856" s="21">
        <f>$B$10479</f>
        <v/>
      </c>
      <c r="X10856" s="21" t="n">
        <v>0</v>
      </c>
      <c r="Y10856" s="21" t="n">
        <v>0</v>
      </c>
      <c r="Z10856" s="19" t="n"/>
    </row>
    <row r="10857">
      <c r="D10857" s="21" t="n">
        <v>0</v>
      </c>
      <c r="E10857" s="21" t="n">
        <v>0</v>
      </c>
      <c r="F10857" s="21" t="n">
        <v>0</v>
      </c>
      <c r="G10857" s="21" t="n">
        <v>0</v>
      </c>
      <c r="H10857" s="21" t="n">
        <v>0</v>
      </c>
      <c r="I10857" s="21" t="n">
        <v>0</v>
      </c>
      <c r="J10857" s="21" t="n">
        <v>0</v>
      </c>
      <c r="K10857" s="21" t="n">
        <v>0</v>
      </c>
      <c r="L10857" s="21" t="n">
        <v>0</v>
      </c>
      <c r="M10857" s="21" t="n">
        <v>0</v>
      </c>
      <c r="N10857" s="21" t="n">
        <v>0</v>
      </c>
      <c r="O10857" s="21" t="n">
        <v>0</v>
      </c>
      <c r="P10857" s="21" t="n">
        <v>0</v>
      </c>
      <c r="Q10857" s="21" t="n">
        <v>0</v>
      </c>
      <c r="R10857" s="21" t="n">
        <v>0</v>
      </c>
      <c r="S10857" s="21" t="n">
        <v>0</v>
      </c>
      <c r="T10857" s="21">
        <f>-$B$10476</f>
        <v/>
      </c>
      <c r="U10857" s="21">
        <f>-$B$10477</f>
        <v/>
      </c>
      <c r="V10857" s="21">
        <f>2*$B$10476+$D$10836</f>
        <v/>
      </c>
      <c r="W10857" s="21">
        <f>0</f>
        <v/>
      </c>
      <c r="X10857" s="21">
        <f>-$B$10476</f>
        <v/>
      </c>
      <c r="Y10857" s="21">
        <f>$B$10477</f>
        <v/>
      </c>
      <c r="Z10857" s="19" t="n"/>
    </row>
    <row r="10858">
      <c r="D10858" s="21" t="n">
        <v>0</v>
      </c>
      <c r="E10858" s="21" t="n">
        <v>0</v>
      </c>
      <c r="F10858" s="21" t="n">
        <v>0</v>
      </c>
      <c r="G10858" s="21" t="n">
        <v>0</v>
      </c>
      <c r="H10858" s="21" t="n">
        <v>0</v>
      </c>
      <c r="I10858" s="21" t="n">
        <v>0</v>
      </c>
      <c r="J10858" s="21" t="n">
        <v>0</v>
      </c>
      <c r="K10858" s="21" t="n">
        <v>0</v>
      </c>
      <c r="L10858" s="21" t="n">
        <v>0</v>
      </c>
      <c r="M10858" s="21" t="n">
        <v>0</v>
      </c>
      <c r="N10858" s="21" t="n">
        <v>0</v>
      </c>
      <c r="O10858" s="21" t="n">
        <v>0</v>
      </c>
      <c r="P10858" s="21" t="n">
        <v>0</v>
      </c>
      <c r="Q10858" s="21" t="n">
        <v>0</v>
      </c>
      <c r="R10858" s="21" t="n">
        <v>0</v>
      </c>
      <c r="S10858" s="21" t="n">
        <v>0</v>
      </c>
      <c r="T10858" s="21">
        <f>$B$10477</f>
        <v/>
      </c>
      <c r="U10858" s="21">
        <f>$B$10479</f>
        <v/>
      </c>
      <c r="V10858" s="21">
        <f>0</f>
        <v/>
      </c>
      <c r="W10858" s="21">
        <f>2*$B$10478</f>
        <v/>
      </c>
      <c r="X10858" s="21">
        <f>-$B$10477</f>
        <v/>
      </c>
      <c r="Y10858" s="21">
        <f>$B$10479</f>
        <v/>
      </c>
      <c r="Z10858" s="19" t="n"/>
    </row>
    <row r="10859">
      <c r="D10859" s="21" t="n">
        <v>0</v>
      </c>
      <c r="E10859" s="21" t="n">
        <v>0</v>
      </c>
      <c r="F10859" s="21" t="n">
        <v>0</v>
      </c>
      <c r="G10859" s="21" t="n">
        <v>0</v>
      </c>
      <c r="H10859" s="21" t="n">
        <v>0</v>
      </c>
      <c r="I10859" s="21" t="n">
        <v>0</v>
      </c>
      <c r="J10859" s="21" t="n">
        <v>0</v>
      </c>
      <c r="K10859" s="21" t="n">
        <v>0</v>
      </c>
      <c r="L10859" s="21" t="n">
        <v>0</v>
      </c>
      <c r="M10859" s="21" t="n">
        <v>0</v>
      </c>
      <c r="N10859" s="21" t="n">
        <v>0</v>
      </c>
      <c r="O10859" s="21" t="n">
        <v>0</v>
      </c>
      <c r="P10859" s="21" t="n">
        <v>0</v>
      </c>
      <c r="Q10859" s="21" t="n">
        <v>0</v>
      </c>
      <c r="R10859" s="21" t="n">
        <v>0</v>
      </c>
      <c r="S10859" s="21" t="n">
        <v>0</v>
      </c>
      <c r="T10859" s="21" t="n">
        <v>0</v>
      </c>
      <c r="U10859" s="21" t="n">
        <v>0</v>
      </c>
      <c r="V10859" s="21">
        <f>-$B$10476</f>
        <v/>
      </c>
      <c r="W10859" s="21">
        <f>-$B$10477</f>
        <v/>
      </c>
      <c r="X10859" s="21">
        <f>$B$10476+$D$10837</f>
        <v/>
      </c>
      <c r="Y10859" s="21">
        <f>-$B$10477</f>
        <v/>
      </c>
      <c r="Z10859" s="19" t="n"/>
    </row>
    <row r="10860">
      <c r="D10860" s="21" t="n">
        <v>0</v>
      </c>
      <c r="E10860" s="21" t="n">
        <v>0</v>
      </c>
      <c r="F10860" s="21" t="n">
        <v>0</v>
      </c>
      <c r="G10860" s="21" t="n">
        <v>0</v>
      </c>
      <c r="H10860" s="21" t="n">
        <v>0</v>
      </c>
      <c r="I10860" s="21" t="n">
        <v>0</v>
      </c>
      <c r="J10860" s="21" t="n">
        <v>0</v>
      </c>
      <c r="K10860" s="21" t="n">
        <v>0</v>
      </c>
      <c r="L10860" s="21" t="n">
        <v>0</v>
      </c>
      <c r="M10860" s="21" t="n">
        <v>0</v>
      </c>
      <c r="N10860" s="21" t="n">
        <v>0</v>
      </c>
      <c r="O10860" s="21" t="n">
        <v>0</v>
      </c>
      <c r="P10860" s="21" t="n">
        <v>0</v>
      </c>
      <c r="Q10860" s="21" t="n">
        <v>0</v>
      </c>
      <c r="R10860" s="21" t="n">
        <v>0</v>
      </c>
      <c r="S10860" s="21" t="n">
        <v>0</v>
      </c>
      <c r="T10860" s="21" t="n">
        <v>0</v>
      </c>
      <c r="U10860" s="21" t="n">
        <v>0</v>
      </c>
      <c r="V10860" s="21">
        <f>$B$10477</f>
        <v/>
      </c>
      <c r="W10860" s="21">
        <f>$B$10479</f>
        <v/>
      </c>
      <c r="X10860" s="21">
        <f>-$B$10477</f>
        <v/>
      </c>
      <c r="Y10860" s="21">
        <f>$B$10478</f>
        <v/>
      </c>
      <c r="Z10860" s="19" t="n"/>
    </row>
    <row r="10862">
      <c r="A10862" s="8" t="inlineStr">
        <is>
          <t>gen 10</t>
        </is>
      </c>
    </row>
    <row r="10863">
      <c r="D10863" s="19">
        <f>IF(ABS(IF(ABS($E$10827)&gt;0.000000001,$E$10827,0.000000001))=0,0,IF($E$10491&lt;=$B$10485,0,IF(ABS(IF(ABS($E$10827)&gt;0.000000001,$E$10827,0.000000001))&gt;=8*$B$10487,$H$10491,0.5*$H$10491*(ABS(IF(ABS($E$10827)&gt;0.000000001,$E$10827,0.000000001))/$B$10487)^(1/3)))/ABS(IF(ABS($E$10827)&gt;0.000000001,$E$10827,0.000000001))*$I$10491)</f>
        <v/>
      </c>
      <c r="E10863" s="19">
        <f>0.5*$E$10827+0.5*$Z$10875</f>
        <v/>
      </c>
      <c r="F10863" s="19">
        <f>$Z$10876</f>
        <v/>
      </c>
    </row>
    <row r="10864">
      <c r="D10864" s="19">
        <f>IF(ABS(IF(ABS($E$10828)&gt;0.000000001,$E$10828,0.000000001))=0,0,IF($E$10492&lt;=$B$10485,0,IF(ABS(IF(ABS($E$10828)&gt;0.000000001,$E$10828,0.000000001))&gt;=8*$B$10487,$H$10492,0.5*$H$10492*(ABS(IF(ABS($E$10828)&gt;0.000000001,$E$10828,0.000000001))/$B$10487)^(1/3)))/ABS(IF(ABS($E$10828)&gt;0.000000001,$E$10828,0.000000001))*$I$10492)</f>
        <v/>
      </c>
      <c r="E10864" s="19">
        <f>0.5*$E$10828+0.5*$Z$10877</f>
        <v/>
      </c>
      <c r="F10864" s="19">
        <f>$Z$10878</f>
        <v/>
      </c>
    </row>
    <row r="10865">
      <c r="D10865" s="19">
        <f>IF(ABS(IF(ABS($E$10829)&gt;0.000000001,$E$10829,0.000000001))=0,0,IF($E$10493&lt;=$B$10485,0,IF(ABS(IF(ABS($E$10829)&gt;0.000000001,$E$10829,0.000000001))&gt;=8*$B$10487,$H$10493,0.5*$H$10493*(ABS(IF(ABS($E$10829)&gt;0.000000001,$E$10829,0.000000001))/$B$10487)^(1/3)))/ABS(IF(ABS($E$10829)&gt;0.000000001,$E$10829,0.000000001))*$I$10493)</f>
        <v/>
      </c>
      <c r="E10865" s="19">
        <f>0.5*$E$10829+0.5*$Z$10879</f>
        <v/>
      </c>
      <c r="F10865" s="19">
        <f>$Z$10880</f>
        <v/>
      </c>
    </row>
    <row r="10866">
      <c r="D10866" s="19">
        <f>IF(ABS(IF(ABS($E$10830)&gt;0.000000001,$E$10830,0.000000001))=0,0,IF($E$10494&lt;=$B$10485,0,IF(ABS(IF(ABS($E$10830)&gt;0.000000001,$E$10830,0.000000001))&gt;=8*$B$10487,$H$10494,0.5*$H$10494*(ABS(IF(ABS($E$10830)&gt;0.000000001,$E$10830,0.000000001))/$B$10487)^(1/3)))/ABS(IF(ABS($E$10830)&gt;0.000000001,$E$10830,0.000000001))*$I$10494)</f>
        <v/>
      </c>
      <c r="E10866" s="19">
        <f>0.5*$E$10830+0.5*$Z$10881</f>
        <v/>
      </c>
      <c r="F10866" s="19">
        <f>$Z$10882</f>
        <v/>
      </c>
    </row>
    <row r="10867">
      <c r="D10867" s="19">
        <f>IF(ABS(IF(ABS($E$10831)&gt;0.000000001,$E$10831,0.000000001))=0,0,IF($E$10495&lt;=$B$10485,0,IF(ABS(IF(ABS($E$10831)&gt;0.000000001,$E$10831,0.000000001))&gt;=8*$B$10487,$H$10495,0.5*$H$10495*(ABS(IF(ABS($E$10831)&gt;0.000000001,$E$10831,0.000000001))/$B$10487)^(1/3)))/ABS(IF(ABS($E$10831)&gt;0.000000001,$E$10831,0.000000001))*$I$10495)</f>
        <v/>
      </c>
      <c r="E10867" s="19">
        <f>0.5*$E$10831+0.5*$Z$10883</f>
        <v/>
      </c>
      <c r="F10867" s="19">
        <f>$Z$10884</f>
        <v/>
      </c>
    </row>
    <row r="10868">
      <c r="D10868" s="19">
        <f>IF(ABS(IF(ABS($E$10832)&gt;0.000000001,$E$10832,0.000000001))=0,0,IF($E$10496&lt;=$B$10485,0,IF(ABS(IF(ABS($E$10832)&gt;0.000000001,$E$10832,0.000000001))&gt;=8*$B$10487,$H$10496,0.5*$H$10496*(ABS(IF(ABS($E$10832)&gt;0.000000001,$E$10832,0.000000001))/$B$10487)^(1/3)))/ABS(IF(ABS($E$10832)&gt;0.000000001,$E$10832,0.000000001))*$I$10496)</f>
        <v/>
      </c>
      <c r="E10868" s="19">
        <f>0.5*$E$10832+0.5*$Z$10885</f>
        <v/>
      </c>
      <c r="F10868" s="19">
        <f>$Z$10886</f>
        <v/>
      </c>
    </row>
    <row r="10869">
      <c r="D10869" s="19">
        <f>IF(ABS(IF(ABS($E$10833)&gt;0.000000001,$E$10833,0.000000001))=0,0,IF($E$10497&lt;=$B$10485,0,IF(ABS(IF(ABS($E$10833)&gt;0.000000001,$E$10833,0.000000001))&gt;=8*$B$10487,$H$10497,0.5*$H$10497*(ABS(IF(ABS($E$10833)&gt;0.000000001,$E$10833,0.000000001))/$B$10487)^(1/3)))/ABS(IF(ABS($E$10833)&gt;0.000000001,$E$10833,0.000000001))*$I$10497)</f>
        <v/>
      </c>
      <c r="E10869" s="19">
        <f>0.5*$E$10833+0.5*$Z$10887</f>
        <v/>
      </c>
      <c r="F10869" s="19">
        <f>$Z$10888</f>
        <v/>
      </c>
    </row>
    <row r="10870">
      <c r="D10870" s="19">
        <f>IF(ABS(IF(ABS($E$10834)&gt;0.000000001,$E$10834,0.000000001))=0,0,IF($E$10498&lt;=$B$10485,0,IF(ABS(IF(ABS($E$10834)&gt;0.000000001,$E$10834,0.000000001))&gt;=8*$B$10487,$H$10498,0.5*$H$10498*(ABS(IF(ABS($E$10834)&gt;0.000000001,$E$10834,0.000000001))/$B$10487)^(1/3)))/ABS(IF(ABS($E$10834)&gt;0.000000001,$E$10834,0.000000001))*$I$10498)</f>
        <v/>
      </c>
      <c r="E10870" s="19">
        <f>0.5*$E$10834+0.5*$Z$10889</f>
        <v/>
      </c>
      <c r="F10870" s="19">
        <f>$Z$10890</f>
        <v/>
      </c>
    </row>
    <row r="10871">
      <c r="D10871" s="19">
        <f>IF(ABS(IF(ABS($E$10835)&gt;0.000000001,$E$10835,0.000000001))=0,0,IF($E$10499&lt;=$B$10485,0,IF(ABS(IF(ABS($E$10835)&gt;0.000000001,$E$10835,0.000000001))&gt;=8*$B$10487,$H$10499,0.5*$H$10499*(ABS(IF(ABS($E$10835)&gt;0.000000001,$E$10835,0.000000001))/$B$10487)^(1/3)))/ABS(IF(ABS($E$10835)&gt;0.000000001,$E$10835,0.000000001))*$I$10499)</f>
        <v/>
      </c>
      <c r="E10871" s="19">
        <f>0.5*$E$10835+0.5*$Z$10891</f>
        <v/>
      </c>
      <c r="F10871" s="19">
        <f>$Z$10892</f>
        <v/>
      </c>
    </row>
    <row r="10872">
      <c r="D10872" s="19">
        <f>IF(ABS(IF(ABS($E$10836)&gt;0.000000001,$E$10836,0.000000001))=0,0,IF($E$10500&lt;=$B$10485,0,IF(ABS(IF(ABS($E$10836)&gt;0.000000001,$E$10836,0.000000001))&gt;=8*$B$10487,$H$10500,0.5*$H$10500*(ABS(IF(ABS($E$10836)&gt;0.000000001,$E$10836,0.000000001))/$B$10487)^(1/3)))/ABS(IF(ABS($E$10836)&gt;0.000000001,$E$10836,0.000000001))*$I$10500)</f>
        <v/>
      </c>
      <c r="E10872" s="19">
        <f>0.5*$E$10836+0.5*$Z$10893</f>
        <v/>
      </c>
      <c r="F10872" s="19">
        <f>$Z$10894</f>
        <v/>
      </c>
    </row>
    <row r="10873">
      <c r="D10873" s="19">
        <f>IF(ABS(IF(ABS($E$10837)&gt;0.000000001,$E$10837,0.000000001))=0,0,IF($E$10501&lt;=$B$10485,0,IF(ABS(IF(ABS($E$10837)&gt;0.000000001,$E$10837,0.000000001))&gt;=8*$B$10487,$H$10501,0.5*$H$10501*(ABS(IF(ABS($E$10837)&gt;0.000000001,$E$10837,0.000000001))/$B$10487)^(1/3)))/ABS(IF(ABS($E$10837)&gt;0.000000001,$E$10837,0.000000001))*$I$10501)</f>
        <v/>
      </c>
      <c r="E10873" s="19">
        <f>0.5*$E$10837+0.5*$Z$10895</f>
        <v/>
      </c>
      <c r="F10873" s="19">
        <f>$Z$10896</f>
        <v/>
      </c>
    </row>
    <row r="10875">
      <c r="D10875" s="21">
        <f>$B$10476+$D$10863</f>
        <v/>
      </c>
      <c r="E10875" s="21">
        <f>$B$10477</f>
        <v/>
      </c>
      <c r="F10875" s="21">
        <f>-$B$10476</f>
        <v/>
      </c>
      <c r="G10875" s="21">
        <f>$B$10477</f>
        <v/>
      </c>
      <c r="H10875" s="21" t="n">
        <v>0</v>
      </c>
      <c r="I10875" s="21" t="n">
        <v>0</v>
      </c>
      <c r="J10875" s="21" t="n">
        <v>0</v>
      </c>
      <c r="K10875" s="21" t="n">
        <v>0</v>
      </c>
      <c r="L10875" s="21" t="n">
        <v>0</v>
      </c>
      <c r="M10875" s="21" t="n">
        <v>0</v>
      </c>
      <c r="N10875" s="21" t="n">
        <v>0</v>
      </c>
      <c r="O10875" s="21" t="n">
        <v>0</v>
      </c>
      <c r="P10875" s="21" t="n">
        <v>0</v>
      </c>
      <c r="Q10875" s="21" t="n">
        <v>0</v>
      </c>
      <c r="R10875" s="21" t="n">
        <v>0</v>
      </c>
      <c r="S10875" s="21" t="n">
        <v>0</v>
      </c>
      <c r="T10875" s="21" t="n">
        <v>0</v>
      </c>
      <c r="U10875" s="21" t="n">
        <v>0</v>
      </c>
      <c r="V10875" s="21" t="n">
        <v>0</v>
      </c>
      <c r="W10875" s="21" t="n">
        <v>0</v>
      </c>
      <c r="X10875" s="21" t="n">
        <v>0</v>
      </c>
      <c r="Y10875" s="21" t="n">
        <v>0</v>
      </c>
      <c r="Z10875" s="19">
        <f t="array" ref="Z10875:Z10896">MMULT(MINVERSE($D$10875:$Y$10896),$D$10503:$D$10524)</f>
        <v/>
      </c>
    </row>
    <row r="10876">
      <c r="D10876" s="21">
        <f>$B$10477</f>
        <v/>
      </c>
      <c r="E10876" s="21">
        <f>$B$10478</f>
        <v/>
      </c>
      <c r="F10876" s="21">
        <f>-$B$10477</f>
        <v/>
      </c>
      <c r="G10876" s="21">
        <f>$B$10479</f>
        <v/>
      </c>
      <c r="H10876" s="21" t="n">
        <v>0</v>
      </c>
      <c r="I10876" s="21" t="n">
        <v>0</v>
      </c>
      <c r="J10876" s="21" t="n">
        <v>0</v>
      </c>
      <c r="K10876" s="21" t="n">
        <v>0</v>
      </c>
      <c r="L10876" s="21" t="n">
        <v>0</v>
      </c>
      <c r="M10876" s="21" t="n">
        <v>0</v>
      </c>
      <c r="N10876" s="21" t="n">
        <v>0</v>
      </c>
      <c r="O10876" s="21" t="n">
        <v>0</v>
      </c>
      <c r="P10876" s="21" t="n">
        <v>0</v>
      </c>
      <c r="Q10876" s="21" t="n">
        <v>0</v>
      </c>
      <c r="R10876" s="21" t="n">
        <v>0</v>
      </c>
      <c r="S10876" s="21" t="n">
        <v>0</v>
      </c>
      <c r="T10876" s="21" t="n">
        <v>0</v>
      </c>
      <c r="U10876" s="21" t="n">
        <v>0</v>
      </c>
      <c r="V10876" s="21" t="n">
        <v>0</v>
      </c>
      <c r="W10876" s="21" t="n">
        <v>0</v>
      </c>
      <c r="X10876" s="21" t="n">
        <v>0</v>
      </c>
      <c r="Y10876" s="21" t="n">
        <v>0</v>
      </c>
      <c r="Z10876" s="19" t="n"/>
    </row>
    <row r="10877">
      <c r="D10877" s="21">
        <f>-$B$10476</f>
        <v/>
      </c>
      <c r="E10877" s="21">
        <f>-$B$10477</f>
        <v/>
      </c>
      <c r="F10877" s="21">
        <f>2*$B$10476+$D$10864</f>
        <v/>
      </c>
      <c r="G10877" s="21">
        <f>0</f>
        <v/>
      </c>
      <c r="H10877" s="21">
        <f>-$B$10476</f>
        <v/>
      </c>
      <c r="I10877" s="21">
        <f>$B$10477</f>
        <v/>
      </c>
      <c r="J10877" s="21" t="n">
        <v>0</v>
      </c>
      <c r="K10877" s="21" t="n">
        <v>0</v>
      </c>
      <c r="L10877" s="21" t="n">
        <v>0</v>
      </c>
      <c r="M10877" s="21" t="n">
        <v>0</v>
      </c>
      <c r="N10877" s="21" t="n">
        <v>0</v>
      </c>
      <c r="O10877" s="21" t="n">
        <v>0</v>
      </c>
      <c r="P10877" s="21" t="n">
        <v>0</v>
      </c>
      <c r="Q10877" s="21" t="n">
        <v>0</v>
      </c>
      <c r="R10877" s="21" t="n">
        <v>0</v>
      </c>
      <c r="S10877" s="21" t="n">
        <v>0</v>
      </c>
      <c r="T10877" s="21" t="n">
        <v>0</v>
      </c>
      <c r="U10877" s="21" t="n">
        <v>0</v>
      </c>
      <c r="V10877" s="21" t="n">
        <v>0</v>
      </c>
      <c r="W10877" s="21" t="n">
        <v>0</v>
      </c>
      <c r="X10877" s="21" t="n">
        <v>0</v>
      </c>
      <c r="Y10877" s="21" t="n">
        <v>0</v>
      </c>
      <c r="Z10877" s="19" t="n"/>
    </row>
    <row r="10878">
      <c r="D10878" s="21">
        <f>$B$10477</f>
        <v/>
      </c>
      <c r="E10878" s="21">
        <f>$B$10479</f>
        <v/>
      </c>
      <c r="F10878" s="21">
        <f>0</f>
        <v/>
      </c>
      <c r="G10878" s="21">
        <f>2*$B$10478</f>
        <v/>
      </c>
      <c r="H10878" s="21">
        <f>-$B$10477</f>
        <v/>
      </c>
      <c r="I10878" s="21">
        <f>$B$10479</f>
        <v/>
      </c>
      <c r="J10878" s="21" t="n">
        <v>0</v>
      </c>
      <c r="K10878" s="21" t="n">
        <v>0</v>
      </c>
      <c r="L10878" s="21" t="n">
        <v>0</v>
      </c>
      <c r="M10878" s="21" t="n">
        <v>0</v>
      </c>
      <c r="N10878" s="21" t="n">
        <v>0</v>
      </c>
      <c r="O10878" s="21" t="n">
        <v>0</v>
      </c>
      <c r="P10878" s="21" t="n">
        <v>0</v>
      </c>
      <c r="Q10878" s="21" t="n">
        <v>0</v>
      </c>
      <c r="R10878" s="21" t="n">
        <v>0</v>
      </c>
      <c r="S10878" s="21" t="n">
        <v>0</v>
      </c>
      <c r="T10878" s="21" t="n">
        <v>0</v>
      </c>
      <c r="U10878" s="21" t="n">
        <v>0</v>
      </c>
      <c r="V10878" s="21" t="n">
        <v>0</v>
      </c>
      <c r="W10878" s="21" t="n">
        <v>0</v>
      </c>
      <c r="X10878" s="21" t="n">
        <v>0</v>
      </c>
      <c r="Y10878" s="21" t="n">
        <v>0</v>
      </c>
      <c r="Z10878" s="19" t="n"/>
    </row>
    <row r="10879">
      <c r="D10879" s="21" t="n">
        <v>0</v>
      </c>
      <c r="E10879" s="21" t="n">
        <v>0</v>
      </c>
      <c r="F10879" s="21">
        <f>-$B$10476</f>
        <v/>
      </c>
      <c r="G10879" s="21">
        <f>-$B$10477</f>
        <v/>
      </c>
      <c r="H10879" s="21">
        <f>2*$B$10476+$D$10865</f>
        <v/>
      </c>
      <c r="I10879" s="21">
        <f>0</f>
        <v/>
      </c>
      <c r="J10879" s="21">
        <f>-$B$10476</f>
        <v/>
      </c>
      <c r="K10879" s="21">
        <f>$B$10477</f>
        <v/>
      </c>
      <c r="L10879" s="21" t="n">
        <v>0</v>
      </c>
      <c r="M10879" s="21" t="n">
        <v>0</v>
      </c>
      <c r="N10879" s="21" t="n">
        <v>0</v>
      </c>
      <c r="O10879" s="21" t="n">
        <v>0</v>
      </c>
      <c r="P10879" s="21" t="n">
        <v>0</v>
      </c>
      <c r="Q10879" s="21" t="n">
        <v>0</v>
      </c>
      <c r="R10879" s="21" t="n">
        <v>0</v>
      </c>
      <c r="S10879" s="21" t="n">
        <v>0</v>
      </c>
      <c r="T10879" s="21" t="n">
        <v>0</v>
      </c>
      <c r="U10879" s="21" t="n">
        <v>0</v>
      </c>
      <c r="V10879" s="21" t="n">
        <v>0</v>
      </c>
      <c r="W10879" s="21" t="n">
        <v>0</v>
      </c>
      <c r="X10879" s="21" t="n">
        <v>0</v>
      </c>
      <c r="Y10879" s="21" t="n">
        <v>0</v>
      </c>
      <c r="Z10879" s="19" t="n"/>
    </row>
    <row r="10880">
      <c r="D10880" s="21" t="n">
        <v>0</v>
      </c>
      <c r="E10880" s="21" t="n">
        <v>0</v>
      </c>
      <c r="F10880" s="21">
        <f>$B$10477</f>
        <v/>
      </c>
      <c r="G10880" s="21">
        <f>$B$10479</f>
        <v/>
      </c>
      <c r="H10880" s="21">
        <f>0</f>
        <v/>
      </c>
      <c r="I10880" s="21">
        <f>2*$B$10478</f>
        <v/>
      </c>
      <c r="J10880" s="21">
        <f>-$B$10477</f>
        <v/>
      </c>
      <c r="K10880" s="21">
        <f>$B$10479</f>
        <v/>
      </c>
      <c r="L10880" s="21" t="n">
        <v>0</v>
      </c>
      <c r="M10880" s="21" t="n">
        <v>0</v>
      </c>
      <c r="N10880" s="21" t="n">
        <v>0</v>
      </c>
      <c r="O10880" s="21" t="n">
        <v>0</v>
      </c>
      <c r="P10880" s="21" t="n">
        <v>0</v>
      </c>
      <c r="Q10880" s="21" t="n">
        <v>0</v>
      </c>
      <c r="R10880" s="21" t="n">
        <v>0</v>
      </c>
      <c r="S10880" s="21" t="n">
        <v>0</v>
      </c>
      <c r="T10880" s="21" t="n">
        <v>0</v>
      </c>
      <c r="U10880" s="21" t="n">
        <v>0</v>
      </c>
      <c r="V10880" s="21" t="n">
        <v>0</v>
      </c>
      <c r="W10880" s="21" t="n">
        <v>0</v>
      </c>
      <c r="X10880" s="21" t="n">
        <v>0</v>
      </c>
      <c r="Y10880" s="21" t="n">
        <v>0</v>
      </c>
      <c r="Z10880" s="19" t="n"/>
    </row>
    <row r="10881">
      <c r="D10881" s="21" t="n">
        <v>0</v>
      </c>
      <c r="E10881" s="21" t="n">
        <v>0</v>
      </c>
      <c r="F10881" s="21" t="n">
        <v>0</v>
      </c>
      <c r="G10881" s="21" t="n">
        <v>0</v>
      </c>
      <c r="H10881" s="21">
        <f>-$B$10476</f>
        <v/>
      </c>
      <c r="I10881" s="21">
        <f>-$B$10477</f>
        <v/>
      </c>
      <c r="J10881" s="21">
        <f>2*$B$10476+$D$10866</f>
        <v/>
      </c>
      <c r="K10881" s="21">
        <f>0</f>
        <v/>
      </c>
      <c r="L10881" s="21">
        <f>-$B$10476</f>
        <v/>
      </c>
      <c r="M10881" s="21">
        <f>$B$10477</f>
        <v/>
      </c>
      <c r="N10881" s="21" t="n">
        <v>0</v>
      </c>
      <c r="O10881" s="21" t="n">
        <v>0</v>
      </c>
      <c r="P10881" s="21" t="n">
        <v>0</v>
      </c>
      <c r="Q10881" s="21" t="n">
        <v>0</v>
      </c>
      <c r="R10881" s="21" t="n">
        <v>0</v>
      </c>
      <c r="S10881" s="21" t="n">
        <v>0</v>
      </c>
      <c r="T10881" s="21" t="n">
        <v>0</v>
      </c>
      <c r="U10881" s="21" t="n">
        <v>0</v>
      </c>
      <c r="V10881" s="21" t="n">
        <v>0</v>
      </c>
      <c r="W10881" s="21" t="n">
        <v>0</v>
      </c>
      <c r="X10881" s="21" t="n">
        <v>0</v>
      </c>
      <c r="Y10881" s="21" t="n">
        <v>0</v>
      </c>
      <c r="Z10881" s="19" t="n"/>
    </row>
    <row r="10882">
      <c r="D10882" s="21" t="n">
        <v>0</v>
      </c>
      <c r="E10882" s="21" t="n">
        <v>0</v>
      </c>
      <c r="F10882" s="21" t="n">
        <v>0</v>
      </c>
      <c r="G10882" s="21" t="n">
        <v>0</v>
      </c>
      <c r="H10882" s="21">
        <f>$B$10477</f>
        <v/>
      </c>
      <c r="I10882" s="21">
        <f>$B$10479</f>
        <v/>
      </c>
      <c r="J10882" s="21">
        <f>0</f>
        <v/>
      </c>
      <c r="K10882" s="21">
        <f>2*$B$10478</f>
        <v/>
      </c>
      <c r="L10882" s="21">
        <f>-$B$10477</f>
        <v/>
      </c>
      <c r="M10882" s="21">
        <f>$B$10479</f>
        <v/>
      </c>
      <c r="N10882" s="21" t="n">
        <v>0</v>
      </c>
      <c r="O10882" s="21" t="n">
        <v>0</v>
      </c>
      <c r="P10882" s="21" t="n">
        <v>0</v>
      </c>
      <c r="Q10882" s="21" t="n">
        <v>0</v>
      </c>
      <c r="R10882" s="21" t="n">
        <v>0</v>
      </c>
      <c r="S10882" s="21" t="n">
        <v>0</v>
      </c>
      <c r="T10882" s="21" t="n">
        <v>0</v>
      </c>
      <c r="U10882" s="21" t="n">
        <v>0</v>
      </c>
      <c r="V10882" s="21" t="n">
        <v>0</v>
      </c>
      <c r="W10882" s="21" t="n">
        <v>0</v>
      </c>
      <c r="X10882" s="21" t="n">
        <v>0</v>
      </c>
      <c r="Y10882" s="21" t="n">
        <v>0</v>
      </c>
      <c r="Z10882" s="19" t="n"/>
    </row>
    <row r="10883">
      <c r="D10883" s="21" t="n">
        <v>0</v>
      </c>
      <c r="E10883" s="21" t="n">
        <v>0</v>
      </c>
      <c r="F10883" s="21" t="n">
        <v>0</v>
      </c>
      <c r="G10883" s="21" t="n">
        <v>0</v>
      </c>
      <c r="H10883" s="21" t="n">
        <v>0</v>
      </c>
      <c r="I10883" s="21" t="n">
        <v>0</v>
      </c>
      <c r="J10883" s="21">
        <f>-$B$10476</f>
        <v/>
      </c>
      <c r="K10883" s="21">
        <f>-$B$10477</f>
        <v/>
      </c>
      <c r="L10883" s="21">
        <f>2*$B$10476+$D$10867</f>
        <v/>
      </c>
      <c r="M10883" s="21">
        <f>0</f>
        <v/>
      </c>
      <c r="N10883" s="21">
        <f>-$B$10476</f>
        <v/>
      </c>
      <c r="O10883" s="21">
        <f>$B$10477</f>
        <v/>
      </c>
      <c r="P10883" s="21" t="n">
        <v>0</v>
      </c>
      <c r="Q10883" s="21" t="n">
        <v>0</v>
      </c>
      <c r="R10883" s="21" t="n">
        <v>0</v>
      </c>
      <c r="S10883" s="21" t="n">
        <v>0</v>
      </c>
      <c r="T10883" s="21" t="n">
        <v>0</v>
      </c>
      <c r="U10883" s="21" t="n">
        <v>0</v>
      </c>
      <c r="V10883" s="21" t="n">
        <v>0</v>
      </c>
      <c r="W10883" s="21" t="n">
        <v>0</v>
      </c>
      <c r="X10883" s="21" t="n">
        <v>0</v>
      </c>
      <c r="Y10883" s="21" t="n">
        <v>0</v>
      </c>
      <c r="Z10883" s="19" t="n"/>
    </row>
    <row r="10884">
      <c r="D10884" s="21" t="n">
        <v>0</v>
      </c>
      <c r="E10884" s="21" t="n">
        <v>0</v>
      </c>
      <c r="F10884" s="21" t="n">
        <v>0</v>
      </c>
      <c r="G10884" s="21" t="n">
        <v>0</v>
      </c>
      <c r="H10884" s="21" t="n">
        <v>0</v>
      </c>
      <c r="I10884" s="21" t="n">
        <v>0</v>
      </c>
      <c r="J10884" s="21">
        <f>$B$10477</f>
        <v/>
      </c>
      <c r="K10884" s="21">
        <f>$B$10479</f>
        <v/>
      </c>
      <c r="L10884" s="21">
        <f>0</f>
        <v/>
      </c>
      <c r="M10884" s="21">
        <f>2*$B$10478</f>
        <v/>
      </c>
      <c r="N10884" s="21">
        <f>-$B$10477</f>
        <v/>
      </c>
      <c r="O10884" s="21">
        <f>$B$10479</f>
        <v/>
      </c>
      <c r="P10884" s="21" t="n">
        <v>0</v>
      </c>
      <c r="Q10884" s="21" t="n">
        <v>0</v>
      </c>
      <c r="R10884" s="21" t="n">
        <v>0</v>
      </c>
      <c r="S10884" s="21" t="n">
        <v>0</v>
      </c>
      <c r="T10884" s="21" t="n">
        <v>0</v>
      </c>
      <c r="U10884" s="21" t="n">
        <v>0</v>
      </c>
      <c r="V10884" s="21" t="n">
        <v>0</v>
      </c>
      <c r="W10884" s="21" t="n">
        <v>0</v>
      </c>
      <c r="X10884" s="21" t="n">
        <v>0</v>
      </c>
      <c r="Y10884" s="21" t="n">
        <v>0</v>
      </c>
      <c r="Z10884" s="19" t="n"/>
    </row>
    <row r="10885">
      <c r="D10885" s="21" t="n">
        <v>0</v>
      </c>
      <c r="E10885" s="21" t="n">
        <v>0</v>
      </c>
      <c r="F10885" s="21" t="n">
        <v>0</v>
      </c>
      <c r="G10885" s="21" t="n">
        <v>0</v>
      </c>
      <c r="H10885" s="21" t="n">
        <v>0</v>
      </c>
      <c r="I10885" s="21" t="n">
        <v>0</v>
      </c>
      <c r="J10885" s="21" t="n">
        <v>0</v>
      </c>
      <c r="K10885" s="21" t="n">
        <v>0</v>
      </c>
      <c r="L10885" s="21">
        <f>-$B$10476</f>
        <v/>
      </c>
      <c r="M10885" s="21">
        <f>-$B$10477</f>
        <v/>
      </c>
      <c r="N10885" s="21">
        <f>2*$B$10476+$D$10868</f>
        <v/>
      </c>
      <c r="O10885" s="21">
        <f>0</f>
        <v/>
      </c>
      <c r="P10885" s="21">
        <f>-$B$10476</f>
        <v/>
      </c>
      <c r="Q10885" s="21">
        <f>$B$10477</f>
        <v/>
      </c>
      <c r="R10885" s="21" t="n">
        <v>0</v>
      </c>
      <c r="S10885" s="21" t="n">
        <v>0</v>
      </c>
      <c r="T10885" s="21" t="n">
        <v>0</v>
      </c>
      <c r="U10885" s="21" t="n">
        <v>0</v>
      </c>
      <c r="V10885" s="21" t="n">
        <v>0</v>
      </c>
      <c r="W10885" s="21" t="n">
        <v>0</v>
      </c>
      <c r="X10885" s="21" t="n">
        <v>0</v>
      </c>
      <c r="Y10885" s="21" t="n">
        <v>0</v>
      </c>
      <c r="Z10885" s="19" t="n"/>
    </row>
    <row r="10886">
      <c r="D10886" s="21" t="n">
        <v>0</v>
      </c>
      <c r="E10886" s="21" t="n">
        <v>0</v>
      </c>
      <c r="F10886" s="21" t="n">
        <v>0</v>
      </c>
      <c r="G10886" s="21" t="n">
        <v>0</v>
      </c>
      <c r="H10886" s="21" t="n">
        <v>0</v>
      </c>
      <c r="I10886" s="21" t="n">
        <v>0</v>
      </c>
      <c r="J10886" s="21" t="n">
        <v>0</v>
      </c>
      <c r="K10886" s="21" t="n">
        <v>0</v>
      </c>
      <c r="L10886" s="21">
        <f>$B$10477</f>
        <v/>
      </c>
      <c r="M10886" s="21">
        <f>$B$10479</f>
        <v/>
      </c>
      <c r="N10886" s="21">
        <f>0</f>
        <v/>
      </c>
      <c r="O10886" s="21">
        <f>2*$B$10478</f>
        <v/>
      </c>
      <c r="P10886" s="21">
        <f>-$B$10477</f>
        <v/>
      </c>
      <c r="Q10886" s="21">
        <f>$B$10479</f>
        <v/>
      </c>
      <c r="R10886" s="21" t="n">
        <v>0</v>
      </c>
      <c r="S10886" s="21" t="n">
        <v>0</v>
      </c>
      <c r="T10886" s="21" t="n">
        <v>0</v>
      </c>
      <c r="U10886" s="21" t="n">
        <v>0</v>
      </c>
      <c r="V10886" s="21" t="n">
        <v>0</v>
      </c>
      <c r="W10886" s="21" t="n">
        <v>0</v>
      </c>
      <c r="X10886" s="21" t="n">
        <v>0</v>
      </c>
      <c r="Y10886" s="21" t="n">
        <v>0</v>
      </c>
      <c r="Z10886" s="19" t="n"/>
    </row>
    <row r="10887">
      <c r="D10887" s="21" t="n">
        <v>0</v>
      </c>
      <c r="E10887" s="21" t="n">
        <v>0</v>
      </c>
      <c r="F10887" s="21" t="n">
        <v>0</v>
      </c>
      <c r="G10887" s="21" t="n">
        <v>0</v>
      </c>
      <c r="H10887" s="21" t="n">
        <v>0</v>
      </c>
      <c r="I10887" s="21" t="n">
        <v>0</v>
      </c>
      <c r="J10887" s="21" t="n">
        <v>0</v>
      </c>
      <c r="K10887" s="21" t="n">
        <v>0</v>
      </c>
      <c r="L10887" s="21" t="n">
        <v>0</v>
      </c>
      <c r="M10887" s="21" t="n">
        <v>0</v>
      </c>
      <c r="N10887" s="21">
        <f>-$B$10476</f>
        <v/>
      </c>
      <c r="O10887" s="21">
        <f>-$B$10477</f>
        <v/>
      </c>
      <c r="P10887" s="21">
        <f>2*$B$10476+$D$10869</f>
        <v/>
      </c>
      <c r="Q10887" s="21">
        <f>0</f>
        <v/>
      </c>
      <c r="R10887" s="21">
        <f>-$B$10476</f>
        <v/>
      </c>
      <c r="S10887" s="21">
        <f>$B$10477</f>
        <v/>
      </c>
      <c r="T10887" s="21" t="n">
        <v>0</v>
      </c>
      <c r="U10887" s="21" t="n">
        <v>0</v>
      </c>
      <c r="V10887" s="21" t="n">
        <v>0</v>
      </c>
      <c r="W10887" s="21" t="n">
        <v>0</v>
      </c>
      <c r="X10887" s="21" t="n">
        <v>0</v>
      </c>
      <c r="Y10887" s="21" t="n">
        <v>0</v>
      </c>
      <c r="Z10887" s="19" t="n"/>
    </row>
    <row r="10888">
      <c r="D10888" s="21" t="n">
        <v>0</v>
      </c>
      <c r="E10888" s="21" t="n">
        <v>0</v>
      </c>
      <c r="F10888" s="21" t="n">
        <v>0</v>
      </c>
      <c r="G10888" s="21" t="n">
        <v>0</v>
      </c>
      <c r="H10888" s="21" t="n">
        <v>0</v>
      </c>
      <c r="I10888" s="21" t="n">
        <v>0</v>
      </c>
      <c r="J10888" s="21" t="n">
        <v>0</v>
      </c>
      <c r="K10888" s="21" t="n">
        <v>0</v>
      </c>
      <c r="L10888" s="21" t="n">
        <v>0</v>
      </c>
      <c r="M10888" s="21" t="n">
        <v>0</v>
      </c>
      <c r="N10888" s="21">
        <f>$B$10477</f>
        <v/>
      </c>
      <c r="O10888" s="21">
        <f>$B$10479</f>
        <v/>
      </c>
      <c r="P10888" s="21">
        <f>0</f>
        <v/>
      </c>
      <c r="Q10888" s="21">
        <f>2*$B$10478</f>
        <v/>
      </c>
      <c r="R10888" s="21">
        <f>-$B$10477</f>
        <v/>
      </c>
      <c r="S10888" s="21">
        <f>$B$10479</f>
        <v/>
      </c>
      <c r="T10888" s="21" t="n">
        <v>0</v>
      </c>
      <c r="U10888" s="21" t="n">
        <v>0</v>
      </c>
      <c r="V10888" s="21" t="n">
        <v>0</v>
      </c>
      <c r="W10888" s="21" t="n">
        <v>0</v>
      </c>
      <c r="X10888" s="21" t="n">
        <v>0</v>
      </c>
      <c r="Y10888" s="21" t="n">
        <v>0</v>
      </c>
      <c r="Z10888" s="19" t="n"/>
    </row>
    <row r="10889">
      <c r="D10889" s="21" t="n">
        <v>0</v>
      </c>
      <c r="E10889" s="21" t="n">
        <v>0</v>
      </c>
      <c r="F10889" s="21" t="n">
        <v>0</v>
      </c>
      <c r="G10889" s="21" t="n">
        <v>0</v>
      </c>
      <c r="H10889" s="21" t="n">
        <v>0</v>
      </c>
      <c r="I10889" s="21" t="n">
        <v>0</v>
      </c>
      <c r="J10889" s="21" t="n">
        <v>0</v>
      </c>
      <c r="K10889" s="21" t="n">
        <v>0</v>
      </c>
      <c r="L10889" s="21" t="n">
        <v>0</v>
      </c>
      <c r="M10889" s="21" t="n">
        <v>0</v>
      </c>
      <c r="N10889" s="21" t="n">
        <v>0</v>
      </c>
      <c r="O10889" s="21" t="n">
        <v>0</v>
      </c>
      <c r="P10889" s="21">
        <f>-$B$10476</f>
        <v/>
      </c>
      <c r="Q10889" s="21">
        <f>-$B$10477</f>
        <v/>
      </c>
      <c r="R10889" s="21">
        <f>2*$B$10476+$D$10870</f>
        <v/>
      </c>
      <c r="S10889" s="21">
        <f>0</f>
        <v/>
      </c>
      <c r="T10889" s="21">
        <f>-$B$10476</f>
        <v/>
      </c>
      <c r="U10889" s="21">
        <f>$B$10477</f>
        <v/>
      </c>
      <c r="V10889" s="21" t="n">
        <v>0</v>
      </c>
      <c r="W10889" s="21" t="n">
        <v>0</v>
      </c>
      <c r="X10889" s="21" t="n">
        <v>0</v>
      </c>
      <c r="Y10889" s="21" t="n">
        <v>0</v>
      </c>
      <c r="Z10889" s="19" t="n"/>
    </row>
    <row r="10890">
      <c r="D10890" s="21" t="n">
        <v>0</v>
      </c>
      <c r="E10890" s="21" t="n">
        <v>0</v>
      </c>
      <c r="F10890" s="21" t="n">
        <v>0</v>
      </c>
      <c r="G10890" s="21" t="n">
        <v>0</v>
      </c>
      <c r="H10890" s="21" t="n">
        <v>0</v>
      </c>
      <c r="I10890" s="21" t="n">
        <v>0</v>
      </c>
      <c r="J10890" s="21" t="n">
        <v>0</v>
      </c>
      <c r="K10890" s="21" t="n">
        <v>0</v>
      </c>
      <c r="L10890" s="21" t="n">
        <v>0</v>
      </c>
      <c r="M10890" s="21" t="n">
        <v>0</v>
      </c>
      <c r="N10890" s="21" t="n">
        <v>0</v>
      </c>
      <c r="O10890" s="21" t="n">
        <v>0</v>
      </c>
      <c r="P10890" s="21">
        <f>$B$10477</f>
        <v/>
      </c>
      <c r="Q10890" s="21">
        <f>$B$10479</f>
        <v/>
      </c>
      <c r="R10890" s="21">
        <f>0</f>
        <v/>
      </c>
      <c r="S10890" s="21">
        <f>2*$B$10478</f>
        <v/>
      </c>
      <c r="T10890" s="21">
        <f>-$B$10477</f>
        <v/>
      </c>
      <c r="U10890" s="21">
        <f>$B$10479</f>
        <v/>
      </c>
      <c r="V10890" s="21" t="n">
        <v>0</v>
      </c>
      <c r="W10890" s="21" t="n">
        <v>0</v>
      </c>
      <c r="X10890" s="21" t="n">
        <v>0</v>
      </c>
      <c r="Y10890" s="21" t="n">
        <v>0</v>
      </c>
      <c r="Z10890" s="19" t="n"/>
    </row>
    <row r="10891">
      <c r="D10891" s="21" t="n">
        <v>0</v>
      </c>
      <c r="E10891" s="21" t="n">
        <v>0</v>
      </c>
      <c r="F10891" s="21" t="n">
        <v>0</v>
      </c>
      <c r="G10891" s="21" t="n">
        <v>0</v>
      </c>
      <c r="H10891" s="21" t="n">
        <v>0</v>
      </c>
      <c r="I10891" s="21" t="n">
        <v>0</v>
      </c>
      <c r="J10891" s="21" t="n">
        <v>0</v>
      </c>
      <c r="K10891" s="21" t="n">
        <v>0</v>
      </c>
      <c r="L10891" s="21" t="n">
        <v>0</v>
      </c>
      <c r="M10891" s="21" t="n">
        <v>0</v>
      </c>
      <c r="N10891" s="21" t="n">
        <v>0</v>
      </c>
      <c r="O10891" s="21" t="n">
        <v>0</v>
      </c>
      <c r="P10891" s="21" t="n">
        <v>0</v>
      </c>
      <c r="Q10891" s="21" t="n">
        <v>0</v>
      </c>
      <c r="R10891" s="21">
        <f>-$B$10476</f>
        <v/>
      </c>
      <c r="S10891" s="21">
        <f>-$B$10477</f>
        <v/>
      </c>
      <c r="T10891" s="21">
        <f>2*$B$10476+$D$10871</f>
        <v/>
      </c>
      <c r="U10891" s="21">
        <f>0</f>
        <v/>
      </c>
      <c r="V10891" s="21">
        <f>-$B$10476</f>
        <v/>
      </c>
      <c r="W10891" s="21">
        <f>$B$10477</f>
        <v/>
      </c>
      <c r="X10891" s="21" t="n">
        <v>0</v>
      </c>
      <c r="Y10891" s="21" t="n">
        <v>0</v>
      </c>
      <c r="Z10891" s="19" t="n"/>
    </row>
    <row r="10892">
      <c r="D10892" s="21" t="n">
        <v>0</v>
      </c>
      <c r="E10892" s="21" t="n">
        <v>0</v>
      </c>
      <c r="F10892" s="21" t="n">
        <v>0</v>
      </c>
      <c r="G10892" s="21" t="n">
        <v>0</v>
      </c>
      <c r="H10892" s="21" t="n">
        <v>0</v>
      </c>
      <c r="I10892" s="21" t="n">
        <v>0</v>
      </c>
      <c r="J10892" s="21" t="n">
        <v>0</v>
      </c>
      <c r="K10892" s="21" t="n">
        <v>0</v>
      </c>
      <c r="L10892" s="21" t="n">
        <v>0</v>
      </c>
      <c r="M10892" s="21" t="n">
        <v>0</v>
      </c>
      <c r="N10892" s="21" t="n">
        <v>0</v>
      </c>
      <c r="O10892" s="21" t="n">
        <v>0</v>
      </c>
      <c r="P10892" s="21" t="n">
        <v>0</v>
      </c>
      <c r="Q10892" s="21" t="n">
        <v>0</v>
      </c>
      <c r="R10892" s="21">
        <f>$B$10477</f>
        <v/>
      </c>
      <c r="S10892" s="21">
        <f>$B$10479</f>
        <v/>
      </c>
      <c r="T10892" s="21">
        <f>0</f>
        <v/>
      </c>
      <c r="U10892" s="21">
        <f>2*$B$10478</f>
        <v/>
      </c>
      <c r="V10892" s="21">
        <f>-$B$10477</f>
        <v/>
      </c>
      <c r="W10892" s="21">
        <f>$B$10479</f>
        <v/>
      </c>
      <c r="X10892" s="21" t="n">
        <v>0</v>
      </c>
      <c r="Y10892" s="21" t="n">
        <v>0</v>
      </c>
      <c r="Z10892" s="19" t="n"/>
    </row>
    <row r="10893">
      <c r="D10893" s="21" t="n">
        <v>0</v>
      </c>
      <c r="E10893" s="21" t="n">
        <v>0</v>
      </c>
      <c r="F10893" s="21" t="n">
        <v>0</v>
      </c>
      <c r="G10893" s="21" t="n">
        <v>0</v>
      </c>
      <c r="H10893" s="21" t="n">
        <v>0</v>
      </c>
      <c r="I10893" s="21" t="n">
        <v>0</v>
      </c>
      <c r="J10893" s="21" t="n">
        <v>0</v>
      </c>
      <c r="K10893" s="21" t="n">
        <v>0</v>
      </c>
      <c r="L10893" s="21" t="n">
        <v>0</v>
      </c>
      <c r="M10893" s="21" t="n">
        <v>0</v>
      </c>
      <c r="N10893" s="21" t="n">
        <v>0</v>
      </c>
      <c r="O10893" s="21" t="n">
        <v>0</v>
      </c>
      <c r="P10893" s="21" t="n">
        <v>0</v>
      </c>
      <c r="Q10893" s="21" t="n">
        <v>0</v>
      </c>
      <c r="R10893" s="21" t="n">
        <v>0</v>
      </c>
      <c r="S10893" s="21" t="n">
        <v>0</v>
      </c>
      <c r="T10893" s="21">
        <f>-$B$10476</f>
        <v/>
      </c>
      <c r="U10893" s="21">
        <f>-$B$10477</f>
        <v/>
      </c>
      <c r="V10893" s="21">
        <f>2*$B$10476+$D$10872</f>
        <v/>
      </c>
      <c r="W10893" s="21">
        <f>0</f>
        <v/>
      </c>
      <c r="X10893" s="21">
        <f>-$B$10476</f>
        <v/>
      </c>
      <c r="Y10893" s="21">
        <f>$B$10477</f>
        <v/>
      </c>
      <c r="Z10893" s="19" t="n"/>
    </row>
    <row r="10894">
      <c r="D10894" s="21" t="n">
        <v>0</v>
      </c>
      <c r="E10894" s="21" t="n">
        <v>0</v>
      </c>
      <c r="F10894" s="21" t="n">
        <v>0</v>
      </c>
      <c r="G10894" s="21" t="n">
        <v>0</v>
      </c>
      <c r="H10894" s="21" t="n">
        <v>0</v>
      </c>
      <c r="I10894" s="21" t="n">
        <v>0</v>
      </c>
      <c r="J10894" s="21" t="n">
        <v>0</v>
      </c>
      <c r="K10894" s="21" t="n">
        <v>0</v>
      </c>
      <c r="L10894" s="21" t="n">
        <v>0</v>
      </c>
      <c r="M10894" s="21" t="n">
        <v>0</v>
      </c>
      <c r="N10894" s="21" t="n">
        <v>0</v>
      </c>
      <c r="O10894" s="21" t="n">
        <v>0</v>
      </c>
      <c r="P10894" s="21" t="n">
        <v>0</v>
      </c>
      <c r="Q10894" s="21" t="n">
        <v>0</v>
      </c>
      <c r="R10894" s="21" t="n">
        <v>0</v>
      </c>
      <c r="S10894" s="21" t="n">
        <v>0</v>
      </c>
      <c r="T10894" s="21">
        <f>$B$10477</f>
        <v/>
      </c>
      <c r="U10894" s="21">
        <f>$B$10479</f>
        <v/>
      </c>
      <c r="V10894" s="21">
        <f>0</f>
        <v/>
      </c>
      <c r="W10894" s="21">
        <f>2*$B$10478</f>
        <v/>
      </c>
      <c r="X10894" s="21">
        <f>-$B$10477</f>
        <v/>
      </c>
      <c r="Y10894" s="21">
        <f>$B$10479</f>
        <v/>
      </c>
      <c r="Z10894" s="19" t="n"/>
    </row>
    <row r="10895">
      <c r="D10895" s="21" t="n">
        <v>0</v>
      </c>
      <c r="E10895" s="21" t="n">
        <v>0</v>
      </c>
      <c r="F10895" s="21" t="n">
        <v>0</v>
      </c>
      <c r="G10895" s="21" t="n">
        <v>0</v>
      </c>
      <c r="H10895" s="21" t="n">
        <v>0</v>
      </c>
      <c r="I10895" s="21" t="n">
        <v>0</v>
      </c>
      <c r="J10895" s="21" t="n">
        <v>0</v>
      </c>
      <c r="K10895" s="21" t="n">
        <v>0</v>
      </c>
      <c r="L10895" s="21" t="n">
        <v>0</v>
      </c>
      <c r="M10895" s="21" t="n">
        <v>0</v>
      </c>
      <c r="N10895" s="21" t="n">
        <v>0</v>
      </c>
      <c r="O10895" s="21" t="n">
        <v>0</v>
      </c>
      <c r="P10895" s="21" t="n">
        <v>0</v>
      </c>
      <c r="Q10895" s="21" t="n">
        <v>0</v>
      </c>
      <c r="R10895" s="21" t="n">
        <v>0</v>
      </c>
      <c r="S10895" s="21" t="n">
        <v>0</v>
      </c>
      <c r="T10895" s="21" t="n">
        <v>0</v>
      </c>
      <c r="U10895" s="21" t="n">
        <v>0</v>
      </c>
      <c r="V10895" s="21">
        <f>-$B$10476</f>
        <v/>
      </c>
      <c r="W10895" s="21">
        <f>-$B$10477</f>
        <v/>
      </c>
      <c r="X10895" s="21">
        <f>$B$10476+$D$10873</f>
        <v/>
      </c>
      <c r="Y10895" s="21">
        <f>-$B$10477</f>
        <v/>
      </c>
      <c r="Z10895" s="19" t="n"/>
    </row>
    <row r="10896">
      <c r="D10896" s="21" t="n">
        <v>0</v>
      </c>
      <c r="E10896" s="21" t="n">
        <v>0</v>
      </c>
      <c r="F10896" s="21" t="n">
        <v>0</v>
      </c>
      <c r="G10896" s="21" t="n">
        <v>0</v>
      </c>
      <c r="H10896" s="21" t="n">
        <v>0</v>
      </c>
      <c r="I10896" s="21" t="n">
        <v>0</v>
      </c>
      <c r="J10896" s="21" t="n">
        <v>0</v>
      </c>
      <c r="K10896" s="21" t="n">
        <v>0</v>
      </c>
      <c r="L10896" s="21" t="n">
        <v>0</v>
      </c>
      <c r="M10896" s="21" t="n">
        <v>0</v>
      </c>
      <c r="N10896" s="21" t="n">
        <v>0</v>
      </c>
      <c r="O10896" s="21" t="n">
        <v>0</v>
      </c>
      <c r="P10896" s="21" t="n">
        <v>0</v>
      </c>
      <c r="Q10896" s="21" t="n">
        <v>0</v>
      </c>
      <c r="R10896" s="21" t="n">
        <v>0</v>
      </c>
      <c r="S10896" s="21" t="n">
        <v>0</v>
      </c>
      <c r="T10896" s="21" t="n">
        <v>0</v>
      </c>
      <c r="U10896" s="21" t="n">
        <v>0</v>
      </c>
      <c r="V10896" s="21">
        <f>$B$10477</f>
        <v/>
      </c>
      <c r="W10896" s="21">
        <f>$B$10479</f>
        <v/>
      </c>
      <c r="X10896" s="21">
        <f>-$B$10477</f>
        <v/>
      </c>
      <c r="Y10896" s="21">
        <f>$B$10478</f>
        <v/>
      </c>
      <c r="Z10896" s="19" t="n"/>
    </row>
    <row r="10898">
      <c r="A10898" s="8" t="inlineStr">
        <is>
          <t>gen 11</t>
        </is>
      </c>
    </row>
    <row r="10899">
      <c r="D10899" s="19">
        <f>IF(ABS(IF(ABS($E$10863)&gt;0.000000001,$E$10863,0.000000001))=0,0,IF($E$10491&lt;=$B$10485,0,IF(ABS(IF(ABS($E$10863)&gt;0.000000001,$E$10863,0.000000001))&gt;=8*$B$10487,$H$10491,0.5*$H$10491*(ABS(IF(ABS($E$10863)&gt;0.000000001,$E$10863,0.000000001))/$B$10487)^(1/3)))/ABS(IF(ABS($E$10863)&gt;0.000000001,$E$10863,0.000000001))*$I$10491)</f>
        <v/>
      </c>
      <c r="E10899" s="19">
        <f>0.5*$E$10863+0.5*$Z$10911</f>
        <v/>
      </c>
      <c r="F10899" s="19">
        <f>$Z$10912</f>
        <v/>
      </c>
    </row>
    <row r="10900">
      <c r="D10900" s="19">
        <f>IF(ABS(IF(ABS($E$10864)&gt;0.000000001,$E$10864,0.000000001))=0,0,IF($E$10492&lt;=$B$10485,0,IF(ABS(IF(ABS($E$10864)&gt;0.000000001,$E$10864,0.000000001))&gt;=8*$B$10487,$H$10492,0.5*$H$10492*(ABS(IF(ABS($E$10864)&gt;0.000000001,$E$10864,0.000000001))/$B$10487)^(1/3)))/ABS(IF(ABS($E$10864)&gt;0.000000001,$E$10864,0.000000001))*$I$10492)</f>
        <v/>
      </c>
      <c r="E10900" s="19">
        <f>0.5*$E$10864+0.5*$Z$10913</f>
        <v/>
      </c>
      <c r="F10900" s="19">
        <f>$Z$10914</f>
        <v/>
      </c>
    </row>
    <row r="10901">
      <c r="D10901" s="19">
        <f>IF(ABS(IF(ABS($E$10865)&gt;0.000000001,$E$10865,0.000000001))=0,0,IF($E$10493&lt;=$B$10485,0,IF(ABS(IF(ABS($E$10865)&gt;0.000000001,$E$10865,0.000000001))&gt;=8*$B$10487,$H$10493,0.5*$H$10493*(ABS(IF(ABS($E$10865)&gt;0.000000001,$E$10865,0.000000001))/$B$10487)^(1/3)))/ABS(IF(ABS($E$10865)&gt;0.000000001,$E$10865,0.000000001))*$I$10493)</f>
        <v/>
      </c>
      <c r="E10901" s="19">
        <f>0.5*$E$10865+0.5*$Z$10915</f>
        <v/>
      </c>
      <c r="F10901" s="19">
        <f>$Z$10916</f>
        <v/>
      </c>
    </row>
    <row r="10902">
      <c r="D10902" s="19">
        <f>IF(ABS(IF(ABS($E$10866)&gt;0.000000001,$E$10866,0.000000001))=0,0,IF($E$10494&lt;=$B$10485,0,IF(ABS(IF(ABS($E$10866)&gt;0.000000001,$E$10866,0.000000001))&gt;=8*$B$10487,$H$10494,0.5*$H$10494*(ABS(IF(ABS($E$10866)&gt;0.000000001,$E$10866,0.000000001))/$B$10487)^(1/3)))/ABS(IF(ABS($E$10866)&gt;0.000000001,$E$10866,0.000000001))*$I$10494)</f>
        <v/>
      </c>
      <c r="E10902" s="19">
        <f>0.5*$E$10866+0.5*$Z$10917</f>
        <v/>
      </c>
      <c r="F10902" s="19">
        <f>$Z$10918</f>
        <v/>
      </c>
    </row>
    <row r="10903">
      <c r="D10903" s="19">
        <f>IF(ABS(IF(ABS($E$10867)&gt;0.000000001,$E$10867,0.000000001))=0,0,IF($E$10495&lt;=$B$10485,0,IF(ABS(IF(ABS($E$10867)&gt;0.000000001,$E$10867,0.000000001))&gt;=8*$B$10487,$H$10495,0.5*$H$10495*(ABS(IF(ABS($E$10867)&gt;0.000000001,$E$10867,0.000000001))/$B$10487)^(1/3)))/ABS(IF(ABS($E$10867)&gt;0.000000001,$E$10867,0.000000001))*$I$10495)</f>
        <v/>
      </c>
      <c r="E10903" s="19">
        <f>0.5*$E$10867+0.5*$Z$10919</f>
        <v/>
      </c>
      <c r="F10903" s="19">
        <f>$Z$10920</f>
        <v/>
      </c>
    </row>
    <row r="10904">
      <c r="D10904" s="19">
        <f>IF(ABS(IF(ABS($E$10868)&gt;0.000000001,$E$10868,0.000000001))=0,0,IF($E$10496&lt;=$B$10485,0,IF(ABS(IF(ABS($E$10868)&gt;0.000000001,$E$10868,0.000000001))&gt;=8*$B$10487,$H$10496,0.5*$H$10496*(ABS(IF(ABS($E$10868)&gt;0.000000001,$E$10868,0.000000001))/$B$10487)^(1/3)))/ABS(IF(ABS($E$10868)&gt;0.000000001,$E$10868,0.000000001))*$I$10496)</f>
        <v/>
      </c>
      <c r="E10904" s="19">
        <f>0.5*$E$10868+0.5*$Z$10921</f>
        <v/>
      </c>
      <c r="F10904" s="19">
        <f>$Z$10922</f>
        <v/>
      </c>
    </row>
    <row r="10905">
      <c r="D10905" s="19">
        <f>IF(ABS(IF(ABS($E$10869)&gt;0.000000001,$E$10869,0.000000001))=0,0,IF($E$10497&lt;=$B$10485,0,IF(ABS(IF(ABS($E$10869)&gt;0.000000001,$E$10869,0.000000001))&gt;=8*$B$10487,$H$10497,0.5*$H$10497*(ABS(IF(ABS($E$10869)&gt;0.000000001,$E$10869,0.000000001))/$B$10487)^(1/3)))/ABS(IF(ABS($E$10869)&gt;0.000000001,$E$10869,0.000000001))*$I$10497)</f>
        <v/>
      </c>
      <c r="E10905" s="19">
        <f>0.5*$E$10869+0.5*$Z$10923</f>
        <v/>
      </c>
      <c r="F10905" s="19">
        <f>$Z$10924</f>
        <v/>
      </c>
    </row>
    <row r="10906">
      <c r="D10906" s="19">
        <f>IF(ABS(IF(ABS($E$10870)&gt;0.000000001,$E$10870,0.000000001))=0,0,IF($E$10498&lt;=$B$10485,0,IF(ABS(IF(ABS($E$10870)&gt;0.000000001,$E$10870,0.000000001))&gt;=8*$B$10487,$H$10498,0.5*$H$10498*(ABS(IF(ABS($E$10870)&gt;0.000000001,$E$10870,0.000000001))/$B$10487)^(1/3)))/ABS(IF(ABS($E$10870)&gt;0.000000001,$E$10870,0.000000001))*$I$10498)</f>
        <v/>
      </c>
      <c r="E10906" s="19">
        <f>0.5*$E$10870+0.5*$Z$10925</f>
        <v/>
      </c>
      <c r="F10906" s="19">
        <f>$Z$10926</f>
        <v/>
      </c>
    </row>
    <row r="10907">
      <c r="D10907" s="19">
        <f>IF(ABS(IF(ABS($E$10871)&gt;0.000000001,$E$10871,0.000000001))=0,0,IF($E$10499&lt;=$B$10485,0,IF(ABS(IF(ABS($E$10871)&gt;0.000000001,$E$10871,0.000000001))&gt;=8*$B$10487,$H$10499,0.5*$H$10499*(ABS(IF(ABS($E$10871)&gt;0.000000001,$E$10871,0.000000001))/$B$10487)^(1/3)))/ABS(IF(ABS($E$10871)&gt;0.000000001,$E$10871,0.000000001))*$I$10499)</f>
        <v/>
      </c>
      <c r="E10907" s="19">
        <f>0.5*$E$10871+0.5*$Z$10927</f>
        <v/>
      </c>
      <c r="F10907" s="19">
        <f>$Z$10928</f>
        <v/>
      </c>
    </row>
    <row r="10908">
      <c r="D10908" s="19">
        <f>IF(ABS(IF(ABS($E$10872)&gt;0.000000001,$E$10872,0.000000001))=0,0,IF($E$10500&lt;=$B$10485,0,IF(ABS(IF(ABS($E$10872)&gt;0.000000001,$E$10872,0.000000001))&gt;=8*$B$10487,$H$10500,0.5*$H$10500*(ABS(IF(ABS($E$10872)&gt;0.000000001,$E$10872,0.000000001))/$B$10487)^(1/3)))/ABS(IF(ABS($E$10872)&gt;0.000000001,$E$10872,0.000000001))*$I$10500)</f>
        <v/>
      </c>
      <c r="E10908" s="19">
        <f>0.5*$E$10872+0.5*$Z$10929</f>
        <v/>
      </c>
      <c r="F10908" s="19">
        <f>$Z$10930</f>
        <v/>
      </c>
    </row>
    <row r="10909">
      <c r="D10909" s="19">
        <f>IF(ABS(IF(ABS($E$10873)&gt;0.000000001,$E$10873,0.000000001))=0,0,IF($E$10501&lt;=$B$10485,0,IF(ABS(IF(ABS($E$10873)&gt;0.000000001,$E$10873,0.000000001))&gt;=8*$B$10487,$H$10501,0.5*$H$10501*(ABS(IF(ABS($E$10873)&gt;0.000000001,$E$10873,0.000000001))/$B$10487)^(1/3)))/ABS(IF(ABS($E$10873)&gt;0.000000001,$E$10873,0.000000001))*$I$10501)</f>
        <v/>
      </c>
      <c r="E10909" s="19">
        <f>0.5*$E$10873+0.5*$Z$10931</f>
        <v/>
      </c>
      <c r="F10909" s="19">
        <f>$Z$10932</f>
        <v/>
      </c>
    </row>
    <row r="10911">
      <c r="D10911" s="21">
        <f>$B$10476+$D$10899</f>
        <v/>
      </c>
      <c r="E10911" s="21">
        <f>$B$10477</f>
        <v/>
      </c>
      <c r="F10911" s="21">
        <f>-$B$10476</f>
        <v/>
      </c>
      <c r="G10911" s="21">
        <f>$B$10477</f>
        <v/>
      </c>
      <c r="H10911" s="21" t="n">
        <v>0</v>
      </c>
      <c r="I10911" s="21" t="n">
        <v>0</v>
      </c>
      <c r="J10911" s="21" t="n">
        <v>0</v>
      </c>
      <c r="K10911" s="21" t="n">
        <v>0</v>
      </c>
      <c r="L10911" s="21" t="n">
        <v>0</v>
      </c>
      <c r="M10911" s="21" t="n">
        <v>0</v>
      </c>
      <c r="N10911" s="21" t="n">
        <v>0</v>
      </c>
      <c r="O10911" s="21" t="n">
        <v>0</v>
      </c>
      <c r="P10911" s="21" t="n">
        <v>0</v>
      </c>
      <c r="Q10911" s="21" t="n">
        <v>0</v>
      </c>
      <c r="R10911" s="21" t="n">
        <v>0</v>
      </c>
      <c r="S10911" s="21" t="n">
        <v>0</v>
      </c>
      <c r="T10911" s="21" t="n">
        <v>0</v>
      </c>
      <c r="U10911" s="21" t="n">
        <v>0</v>
      </c>
      <c r="V10911" s="21" t="n">
        <v>0</v>
      </c>
      <c r="W10911" s="21" t="n">
        <v>0</v>
      </c>
      <c r="X10911" s="21" t="n">
        <v>0</v>
      </c>
      <c r="Y10911" s="21" t="n">
        <v>0</v>
      </c>
      <c r="Z10911" s="19">
        <f t="array" ref="Z10911:Z10932">MMULT(MINVERSE($D$10911:$Y$10932),$D$10503:$D$10524)</f>
        <v/>
      </c>
    </row>
    <row r="10912">
      <c r="D10912" s="21">
        <f>$B$10477</f>
        <v/>
      </c>
      <c r="E10912" s="21">
        <f>$B$10478</f>
        <v/>
      </c>
      <c r="F10912" s="21">
        <f>-$B$10477</f>
        <v/>
      </c>
      <c r="G10912" s="21">
        <f>$B$10479</f>
        <v/>
      </c>
      <c r="H10912" s="21" t="n">
        <v>0</v>
      </c>
      <c r="I10912" s="21" t="n">
        <v>0</v>
      </c>
      <c r="J10912" s="21" t="n">
        <v>0</v>
      </c>
      <c r="K10912" s="21" t="n">
        <v>0</v>
      </c>
      <c r="L10912" s="21" t="n">
        <v>0</v>
      </c>
      <c r="M10912" s="21" t="n">
        <v>0</v>
      </c>
      <c r="N10912" s="21" t="n">
        <v>0</v>
      </c>
      <c r="O10912" s="21" t="n">
        <v>0</v>
      </c>
      <c r="P10912" s="21" t="n">
        <v>0</v>
      </c>
      <c r="Q10912" s="21" t="n">
        <v>0</v>
      </c>
      <c r="R10912" s="21" t="n">
        <v>0</v>
      </c>
      <c r="S10912" s="21" t="n">
        <v>0</v>
      </c>
      <c r="T10912" s="21" t="n">
        <v>0</v>
      </c>
      <c r="U10912" s="21" t="n">
        <v>0</v>
      </c>
      <c r="V10912" s="21" t="n">
        <v>0</v>
      </c>
      <c r="W10912" s="21" t="n">
        <v>0</v>
      </c>
      <c r="X10912" s="21" t="n">
        <v>0</v>
      </c>
      <c r="Y10912" s="21" t="n">
        <v>0</v>
      </c>
      <c r="Z10912" s="19" t="n"/>
    </row>
    <row r="10913">
      <c r="D10913" s="21">
        <f>-$B$10476</f>
        <v/>
      </c>
      <c r="E10913" s="21">
        <f>-$B$10477</f>
        <v/>
      </c>
      <c r="F10913" s="21">
        <f>2*$B$10476+$D$10900</f>
        <v/>
      </c>
      <c r="G10913" s="21">
        <f>0</f>
        <v/>
      </c>
      <c r="H10913" s="21">
        <f>-$B$10476</f>
        <v/>
      </c>
      <c r="I10913" s="21">
        <f>$B$10477</f>
        <v/>
      </c>
      <c r="J10913" s="21" t="n">
        <v>0</v>
      </c>
      <c r="K10913" s="21" t="n">
        <v>0</v>
      </c>
      <c r="L10913" s="21" t="n">
        <v>0</v>
      </c>
      <c r="M10913" s="21" t="n">
        <v>0</v>
      </c>
      <c r="N10913" s="21" t="n">
        <v>0</v>
      </c>
      <c r="O10913" s="21" t="n">
        <v>0</v>
      </c>
      <c r="P10913" s="21" t="n">
        <v>0</v>
      </c>
      <c r="Q10913" s="21" t="n">
        <v>0</v>
      </c>
      <c r="R10913" s="21" t="n">
        <v>0</v>
      </c>
      <c r="S10913" s="21" t="n">
        <v>0</v>
      </c>
      <c r="T10913" s="21" t="n">
        <v>0</v>
      </c>
      <c r="U10913" s="21" t="n">
        <v>0</v>
      </c>
      <c r="V10913" s="21" t="n">
        <v>0</v>
      </c>
      <c r="W10913" s="21" t="n">
        <v>0</v>
      </c>
      <c r="X10913" s="21" t="n">
        <v>0</v>
      </c>
      <c r="Y10913" s="21" t="n">
        <v>0</v>
      </c>
      <c r="Z10913" s="19" t="n"/>
    </row>
    <row r="10914">
      <c r="D10914" s="21">
        <f>$B$10477</f>
        <v/>
      </c>
      <c r="E10914" s="21">
        <f>$B$10479</f>
        <v/>
      </c>
      <c r="F10914" s="21">
        <f>0</f>
        <v/>
      </c>
      <c r="G10914" s="21">
        <f>2*$B$10478</f>
        <v/>
      </c>
      <c r="H10914" s="21">
        <f>-$B$10477</f>
        <v/>
      </c>
      <c r="I10914" s="21">
        <f>$B$10479</f>
        <v/>
      </c>
      <c r="J10914" s="21" t="n">
        <v>0</v>
      </c>
      <c r="K10914" s="21" t="n">
        <v>0</v>
      </c>
      <c r="L10914" s="21" t="n">
        <v>0</v>
      </c>
      <c r="M10914" s="21" t="n">
        <v>0</v>
      </c>
      <c r="N10914" s="21" t="n">
        <v>0</v>
      </c>
      <c r="O10914" s="21" t="n">
        <v>0</v>
      </c>
      <c r="P10914" s="21" t="n">
        <v>0</v>
      </c>
      <c r="Q10914" s="21" t="n">
        <v>0</v>
      </c>
      <c r="R10914" s="21" t="n">
        <v>0</v>
      </c>
      <c r="S10914" s="21" t="n">
        <v>0</v>
      </c>
      <c r="T10914" s="21" t="n">
        <v>0</v>
      </c>
      <c r="U10914" s="21" t="n">
        <v>0</v>
      </c>
      <c r="V10914" s="21" t="n">
        <v>0</v>
      </c>
      <c r="W10914" s="21" t="n">
        <v>0</v>
      </c>
      <c r="X10914" s="21" t="n">
        <v>0</v>
      </c>
      <c r="Y10914" s="21" t="n">
        <v>0</v>
      </c>
      <c r="Z10914" s="19" t="n"/>
    </row>
    <row r="10915">
      <c r="D10915" s="21" t="n">
        <v>0</v>
      </c>
      <c r="E10915" s="21" t="n">
        <v>0</v>
      </c>
      <c r="F10915" s="21">
        <f>-$B$10476</f>
        <v/>
      </c>
      <c r="G10915" s="21">
        <f>-$B$10477</f>
        <v/>
      </c>
      <c r="H10915" s="21">
        <f>2*$B$10476+$D$10901</f>
        <v/>
      </c>
      <c r="I10915" s="21">
        <f>0</f>
        <v/>
      </c>
      <c r="J10915" s="21">
        <f>-$B$10476</f>
        <v/>
      </c>
      <c r="K10915" s="21">
        <f>$B$10477</f>
        <v/>
      </c>
      <c r="L10915" s="21" t="n">
        <v>0</v>
      </c>
      <c r="M10915" s="21" t="n">
        <v>0</v>
      </c>
      <c r="N10915" s="21" t="n">
        <v>0</v>
      </c>
      <c r="O10915" s="21" t="n">
        <v>0</v>
      </c>
      <c r="P10915" s="21" t="n">
        <v>0</v>
      </c>
      <c r="Q10915" s="21" t="n">
        <v>0</v>
      </c>
      <c r="R10915" s="21" t="n">
        <v>0</v>
      </c>
      <c r="S10915" s="21" t="n">
        <v>0</v>
      </c>
      <c r="T10915" s="21" t="n">
        <v>0</v>
      </c>
      <c r="U10915" s="21" t="n">
        <v>0</v>
      </c>
      <c r="V10915" s="21" t="n">
        <v>0</v>
      </c>
      <c r="W10915" s="21" t="n">
        <v>0</v>
      </c>
      <c r="X10915" s="21" t="n">
        <v>0</v>
      </c>
      <c r="Y10915" s="21" t="n">
        <v>0</v>
      </c>
      <c r="Z10915" s="19" t="n"/>
    </row>
    <row r="10916">
      <c r="D10916" s="21" t="n">
        <v>0</v>
      </c>
      <c r="E10916" s="21" t="n">
        <v>0</v>
      </c>
      <c r="F10916" s="21">
        <f>$B$10477</f>
        <v/>
      </c>
      <c r="G10916" s="21">
        <f>$B$10479</f>
        <v/>
      </c>
      <c r="H10916" s="21">
        <f>0</f>
        <v/>
      </c>
      <c r="I10916" s="21">
        <f>2*$B$10478</f>
        <v/>
      </c>
      <c r="J10916" s="21">
        <f>-$B$10477</f>
        <v/>
      </c>
      <c r="K10916" s="21">
        <f>$B$10479</f>
        <v/>
      </c>
      <c r="L10916" s="21" t="n">
        <v>0</v>
      </c>
      <c r="M10916" s="21" t="n">
        <v>0</v>
      </c>
      <c r="N10916" s="21" t="n">
        <v>0</v>
      </c>
      <c r="O10916" s="21" t="n">
        <v>0</v>
      </c>
      <c r="P10916" s="21" t="n">
        <v>0</v>
      </c>
      <c r="Q10916" s="21" t="n">
        <v>0</v>
      </c>
      <c r="R10916" s="21" t="n">
        <v>0</v>
      </c>
      <c r="S10916" s="21" t="n">
        <v>0</v>
      </c>
      <c r="T10916" s="21" t="n">
        <v>0</v>
      </c>
      <c r="U10916" s="21" t="n">
        <v>0</v>
      </c>
      <c r="V10916" s="21" t="n">
        <v>0</v>
      </c>
      <c r="W10916" s="21" t="n">
        <v>0</v>
      </c>
      <c r="X10916" s="21" t="n">
        <v>0</v>
      </c>
      <c r="Y10916" s="21" t="n">
        <v>0</v>
      </c>
      <c r="Z10916" s="19" t="n"/>
    </row>
    <row r="10917">
      <c r="D10917" s="21" t="n">
        <v>0</v>
      </c>
      <c r="E10917" s="21" t="n">
        <v>0</v>
      </c>
      <c r="F10917" s="21" t="n">
        <v>0</v>
      </c>
      <c r="G10917" s="21" t="n">
        <v>0</v>
      </c>
      <c r="H10917" s="21">
        <f>-$B$10476</f>
        <v/>
      </c>
      <c r="I10917" s="21">
        <f>-$B$10477</f>
        <v/>
      </c>
      <c r="J10917" s="21">
        <f>2*$B$10476+$D$10902</f>
        <v/>
      </c>
      <c r="K10917" s="21">
        <f>0</f>
        <v/>
      </c>
      <c r="L10917" s="21">
        <f>-$B$10476</f>
        <v/>
      </c>
      <c r="M10917" s="21">
        <f>$B$10477</f>
        <v/>
      </c>
      <c r="N10917" s="21" t="n">
        <v>0</v>
      </c>
      <c r="O10917" s="21" t="n">
        <v>0</v>
      </c>
      <c r="P10917" s="21" t="n">
        <v>0</v>
      </c>
      <c r="Q10917" s="21" t="n">
        <v>0</v>
      </c>
      <c r="R10917" s="21" t="n">
        <v>0</v>
      </c>
      <c r="S10917" s="21" t="n">
        <v>0</v>
      </c>
      <c r="T10917" s="21" t="n">
        <v>0</v>
      </c>
      <c r="U10917" s="21" t="n">
        <v>0</v>
      </c>
      <c r="V10917" s="21" t="n">
        <v>0</v>
      </c>
      <c r="W10917" s="21" t="n">
        <v>0</v>
      </c>
      <c r="X10917" s="21" t="n">
        <v>0</v>
      </c>
      <c r="Y10917" s="21" t="n">
        <v>0</v>
      </c>
      <c r="Z10917" s="19" t="n"/>
    </row>
    <row r="10918">
      <c r="D10918" s="21" t="n">
        <v>0</v>
      </c>
      <c r="E10918" s="21" t="n">
        <v>0</v>
      </c>
      <c r="F10918" s="21" t="n">
        <v>0</v>
      </c>
      <c r="G10918" s="21" t="n">
        <v>0</v>
      </c>
      <c r="H10918" s="21">
        <f>$B$10477</f>
        <v/>
      </c>
      <c r="I10918" s="21">
        <f>$B$10479</f>
        <v/>
      </c>
      <c r="J10918" s="21">
        <f>0</f>
        <v/>
      </c>
      <c r="K10918" s="21">
        <f>2*$B$10478</f>
        <v/>
      </c>
      <c r="L10918" s="21">
        <f>-$B$10477</f>
        <v/>
      </c>
      <c r="M10918" s="21">
        <f>$B$10479</f>
        <v/>
      </c>
      <c r="N10918" s="21" t="n">
        <v>0</v>
      </c>
      <c r="O10918" s="21" t="n">
        <v>0</v>
      </c>
      <c r="P10918" s="21" t="n">
        <v>0</v>
      </c>
      <c r="Q10918" s="21" t="n">
        <v>0</v>
      </c>
      <c r="R10918" s="21" t="n">
        <v>0</v>
      </c>
      <c r="S10918" s="21" t="n">
        <v>0</v>
      </c>
      <c r="T10918" s="21" t="n">
        <v>0</v>
      </c>
      <c r="U10918" s="21" t="n">
        <v>0</v>
      </c>
      <c r="V10918" s="21" t="n">
        <v>0</v>
      </c>
      <c r="W10918" s="21" t="n">
        <v>0</v>
      </c>
      <c r="X10918" s="21" t="n">
        <v>0</v>
      </c>
      <c r="Y10918" s="21" t="n">
        <v>0</v>
      </c>
      <c r="Z10918" s="19" t="n"/>
    </row>
    <row r="10919">
      <c r="D10919" s="21" t="n">
        <v>0</v>
      </c>
      <c r="E10919" s="21" t="n">
        <v>0</v>
      </c>
      <c r="F10919" s="21" t="n">
        <v>0</v>
      </c>
      <c r="G10919" s="21" t="n">
        <v>0</v>
      </c>
      <c r="H10919" s="21" t="n">
        <v>0</v>
      </c>
      <c r="I10919" s="21" t="n">
        <v>0</v>
      </c>
      <c r="J10919" s="21">
        <f>-$B$10476</f>
        <v/>
      </c>
      <c r="K10919" s="21">
        <f>-$B$10477</f>
        <v/>
      </c>
      <c r="L10919" s="21">
        <f>2*$B$10476+$D$10903</f>
        <v/>
      </c>
      <c r="M10919" s="21">
        <f>0</f>
        <v/>
      </c>
      <c r="N10919" s="21">
        <f>-$B$10476</f>
        <v/>
      </c>
      <c r="O10919" s="21">
        <f>$B$10477</f>
        <v/>
      </c>
      <c r="P10919" s="21" t="n">
        <v>0</v>
      </c>
      <c r="Q10919" s="21" t="n">
        <v>0</v>
      </c>
      <c r="R10919" s="21" t="n">
        <v>0</v>
      </c>
      <c r="S10919" s="21" t="n">
        <v>0</v>
      </c>
      <c r="T10919" s="21" t="n">
        <v>0</v>
      </c>
      <c r="U10919" s="21" t="n">
        <v>0</v>
      </c>
      <c r="V10919" s="21" t="n">
        <v>0</v>
      </c>
      <c r="W10919" s="21" t="n">
        <v>0</v>
      </c>
      <c r="X10919" s="21" t="n">
        <v>0</v>
      </c>
      <c r="Y10919" s="21" t="n">
        <v>0</v>
      </c>
      <c r="Z10919" s="19" t="n"/>
    </row>
    <row r="10920">
      <c r="D10920" s="21" t="n">
        <v>0</v>
      </c>
      <c r="E10920" s="21" t="n">
        <v>0</v>
      </c>
      <c r="F10920" s="21" t="n">
        <v>0</v>
      </c>
      <c r="G10920" s="21" t="n">
        <v>0</v>
      </c>
      <c r="H10920" s="21" t="n">
        <v>0</v>
      </c>
      <c r="I10920" s="21" t="n">
        <v>0</v>
      </c>
      <c r="J10920" s="21">
        <f>$B$10477</f>
        <v/>
      </c>
      <c r="K10920" s="21">
        <f>$B$10479</f>
        <v/>
      </c>
      <c r="L10920" s="21">
        <f>0</f>
        <v/>
      </c>
      <c r="M10920" s="21">
        <f>2*$B$10478</f>
        <v/>
      </c>
      <c r="N10920" s="21">
        <f>-$B$10477</f>
        <v/>
      </c>
      <c r="O10920" s="21">
        <f>$B$10479</f>
        <v/>
      </c>
      <c r="P10920" s="21" t="n">
        <v>0</v>
      </c>
      <c r="Q10920" s="21" t="n">
        <v>0</v>
      </c>
      <c r="R10920" s="21" t="n">
        <v>0</v>
      </c>
      <c r="S10920" s="21" t="n">
        <v>0</v>
      </c>
      <c r="T10920" s="21" t="n">
        <v>0</v>
      </c>
      <c r="U10920" s="21" t="n">
        <v>0</v>
      </c>
      <c r="V10920" s="21" t="n">
        <v>0</v>
      </c>
      <c r="W10920" s="21" t="n">
        <v>0</v>
      </c>
      <c r="X10920" s="21" t="n">
        <v>0</v>
      </c>
      <c r="Y10920" s="21" t="n">
        <v>0</v>
      </c>
      <c r="Z10920" s="19" t="n"/>
    </row>
    <row r="10921">
      <c r="D10921" s="21" t="n">
        <v>0</v>
      </c>
      <c r="E10921" s="21" t="n">
        <v>0</v>
      </c>
      <c r="F10921" s="21" t="n">
        <v>0</v>
      </c>
      <c r="G10921" s="21" t="n">
        <v>0</v>
      </c>
      <c r="H10921" s="21" t="n">
        <v>0</v>
      </c>
      <c r="I10921" s="21" t="n">
        <v>0</v>
      </c>
      <c r="J10921" s="21" t="n">
        <v>0</v>
      </c>
      <c r="K10921" s="21" t="n">
        <v>0</v>
      </c>
      <c r="L10921" s="21">
        <f>-$B$10476</f>
        <v/>
      </c>
      <c r="M10921" s="21">
        <f>-$B$10477</f>
        <v/>
      </c>
      <c r="N10921" s="21">
        <f>2*$B$10476+$D$10904</f>
        <v/>
      </c>
      <c r="O10921" s="21">
        <f>0</f>
        <v/>
      </c>
      <c r="P10921" s="21">
        <f>-$B$10476</f>
        <v/>
      </c>
      <c r="Q10921" s="21">
        <f>$B$10477</f>
        <v/>
      </c>
      <c r="R10921" s="21" t="n">
        <v>0</v>
      </c>
      <c r="S10921" s="21" t="n">
        <v>0</v>
      </c>
      <c r="T10921" s="21" t="n">
        <v>0</v>
      </c>
      <c r="U10921" s="21" t="n">
        <v>0</v>
      </c>
      <c r="V10921" s="21" t="n">
        <v>0</v>
      </c>
      <c r="W10921" s="21" t="n">
        <v>0</v>
      </c>
      <c r="X10921" s="21" t="n">
        <v>0</v>
      </c>
      <c r="Y10921" s="21" t="n">
        <v>0</v>
      </c>
      <c r="Z10921" s="19" t="n"/>
    </row>
    <row r="10922">
      <c r="D10922" s="21" t="n">
        <v>0</v>
      </c>
      <c r="E10922" s="21" t="n">
        <v>0</v>
      </c>
      <c r="F10922" s="21" t="n">
        <v>0</v>
      </c>
      <c r="G10922" s="21" t="n">
        <v>0</v>
      </c>
      <c r="H10922" s="21" t="n">
        <v>0</v>
      </c>
      <c r="I10922" s="21" t="n">
        <v>0</v>
      </c>
      <c r="J10922" s="21" t="n">
        <v>0</v>
      </c>
      <c r="K10922" s="21" t="n">
        <v>0</v>
      </c>
      <c r="L10922" s="21">
        <f>$B$10477</f>
        <v/>
      </c>
      <c r="M10922" s="21">
        <f>$B$10479</f>
        <v/>
      </c>
      <c r="N10922" s="21">
        <f>0</f>
        <v/>
      </c>
      <c r="O10922" s="21">
        <f>2*$B$10478</f>
        <v/>
      </c>
      <c r="P10922" s="21">
        <f>-$B$10477</f>
        <v/>
      </c>
      <c r="Q10922" s="21">
        <f>$B$10479</f>
        <v/>
      </c>
      <c r="R10922" s="21" t="n">
        <v>0</v>
      </c>
      <c r="S10922" s="21" t="n">
        <v>0</v>
      </c>
      <c r="T10922" s="21" t="n">
        <v>0</v>
      </c>
      <c r="U10922" s="21" t="n">
        <v>0</v>
      </c>
      <c r="V10922" s="21" t="n">
        <v>0</v>
      </c>
      <c r="W10922" s="21" t="n">
        <v>0</v>
      </c>
      <c r="X10922" s="21" t="n">
        <v>0</v>
      </c>
      <c r="Y10922" s="21" t="n">
        <v>0</v>
      </c>
      <c r="Z10922" s="19" t="n"/>
    </row>
    <row r="10923">
      <c r="D10923" s="21" t="n">
        <v>0</v>
      </c>
      <c r="E10923" s="21" t="n">
        <v>0</v>
      </c>
      <c r="F10923" s="21" t="n">
        <v>0</v>
      </c>
      <c r="G10923" s="21" t="n">
        <v>0</v>
      </c>
      <c r="H10923" s="21" t="n">
        <v>0</v>
      </c>
      <c r="I10923" s="21" t="n">
        <v>0</v>
      </c>
      <c r="J10923" s="21" t="n">
        <v>0</v>
      </c>
      <c r="K10923" s="21" t="n">
        <v>0</v>
      </c>
      <c r="L10923" s="21" t="n">
        <v>0</v>
      </c>
      <c r="M10923" s="21" t="n">
        <v>0</v>
      </c>
      <c r="N10923" s="21">
        <f>-$B$10476</f>
        <v/>
      </c>
      <c r="O10923" s="21">
        <f>-$B$10477</f>
        <v/>
      </c>
      <c r="P10923" s="21">
        <f>2*$B$10476+$D$10905</f>
        <v/>
      </c>
      <c r="Q10923" s="21">
        <f>0</f>
        <v/>
      </c>
      <c r="R10923" s="21">
        <f>-$B$10476</f>
        <v/>
      </c>
      <c r="S10923" s="21">
        <f>$B$10477</f>
        <v/>
      </c>
      <c r="T10923" s="21" t="n">
        <v>0</v>
      </c>
      <c r="U10923" s="21" t="n">
        <v>0</v>
      </c>
      <c r="V10923" s="21" t="n">
        <v>0</v>
      </c>
      <c r="W10923" s="21" t="n">
        <v>0</v>
      </c>
      <c r="X10923" s="21" t="n">
        <v>0</v>
      </c>
      <c r="Y10923" s="21" t="n">
        <v>0</v>
      </c>
      <c r="Z10923" s="19" t="n"/>
    </row>
    <row r="10924">
      <c r="D10924" s="21" t="n">
        <v>0</v>
      </c>
      <c r="E10924" s="21" t="n">
        <v>0</v>
      </c>
      <c r="F10924" s="21" t="n">
        <v>0</v>
      </c>
      <c r="G10924" s="21" t="n">
        <v>0</v>
      </c>
      <c r="H10924" s="21" t="n">
        <v>0</v>
      </c>
      <c r="I10924" s="21" t="n">
        <v>0</v>
      </c>
      <c r="J10924" s="21" t="n">
        <v>0</v>
      </c>
      <c r="K10924" s="21" t="n">
        <v>0</v>
      </c>
      <c r="L10924" s="21" t="n">
        <v>0</v>
      </c>
      <c r="M10924" s="21" t="n">
        <v>0</v>
      </c>
      <c r="N10924" s="21">
        <f>$B$10477</f>
        <v/>
      </c>
      <c r="O10924" s="21">
        <f>$B$10479</f>
        <v/>
      </c>
      <c r="P10924" s="21">
        <f>0</f>
        <v/>
      </c>
      <c r="Q10924" s="21">
        <f>2*$B$10478</f>
        <v/>
      </c>
      <c r="R10924" s="21">
        <f>-$B$10477</f>
        <v/>
      </c>
      <c r="S10924" s="21">
        <f>$B$10479</f>
        <v/>
      </c>
      <c r="T10924" s="21" t="n">
        <v>0</v>
      </c>
      <c r="U10924" s="21" t="n">
        <v>0</v>
      </c>
      <c r="V10924" s="21" t="n">
        <v>0</v>
      </c>
      <c r="W10924" s="21" t="n">
        <v>0</v>
      </c>
      <c r="X10924" s="21" t="n">
        <v>0</v>
      </c>
      <c r="Y10924" s="21" t="n">
        <v>0</v>
      </c>
      <c r="Z10924" s="19" t="n"/>
    </row>
    <row r="10925">
      <c r="D10925" s="21" t="n">
        <v>0</v>
      </c>
      <c r="E10925" s="21" t="n">
        <v>0</v>
      </c>
      <c r="F10925" s="21" t="n">
        <v>0</v>
      </c>
      <c r="G10925" s="21" t="n">
        <v>0</v>
      </c>
      <c r="H10925" s="21" t="n">
        <v>0</v>
      </c>
      <c r="I10925" s="21" t="n">
        <v>0</v>
      </c>
      <c r="J10925" s="21" t="n">
        <v>0</v>
      </c>
      <c r="K10925" s="21" t="n">
        <v>0</v>
      </c>
      <c r="L10925" s="21" t="n">
        <v>0</v>
      </c>
      <c r="M10925" s="21" t="n">
        <v>0</v>
      </c>
      <c r="N10925" s="21" t="n">
        <v>0</v>
      </c>
      <c r="O10925" s="21" t="n">
        <v>0</v>
      </c>
      <c r="P10925" s="21">
        <f>-$B$10476</f>
        <v/>
      </c>
      <c r="Q10925" s="21">
        <f>-$B$10477</f>
        <v/>
      </c>
      <c r="R10925" s="21">
        <f>2*$B$10476+$D$10906</f>
        <v/>
      </c>
      <c r="S10925" s="21">
        <f>0</f>
        <v/>
      </c>
      <c r="T10925" s="21">
        <f>-$B$10476</f>
        <v/>
      </c>
      <c r="U10925" s="21">
        <f>$B$10477</f>
        <v/>
      </c>
      <c r="V10925" s="21" t="n">
        <v>0</v>
      </c>
      <c r="W10925" s="21" t="n">
        <v>0</v>
      </c>
      <c r="X10925" s="21" t="n">
        <v>0</v>
      </c>
      <c r="Y10925" s="21" t="n">
        <v>0</v>
      </c>
      <c r="Z10925" s="19" t="n"/>
    </row>
    <row r="10926">
      <c r="D10926" s="21" t="n">
        <v>0</v>
      </c>
      <c r="E10926" s="21" t="n">
        <v>0</v>
      </c>
      <c r="F10926" s="21" t="n">
        <v>0</v>
      </c>
      <c r="G10926" s="21" t="n">
        <v>0</v>
      </c>
      <c r="H10926" s="21" t="n">
        <v>0</v>
      </c>
      <c r="I10926" s="21" t="n">
        <v>0</v>
      </c>
      <c r="J10926" s="21" t="n">
        <v>0</v>
      </c>
      <c r="K10926" s="21" t="n">
        <v>0</v>
      </c>
      <c r="L10926" s="21" t="n">
        <v>0</v>
      </c>
      <c r="M10926" s="21" t="n">
        <v>0</v>
      </c>
      <c r="N10926" s="21" t="n">
        <v>0</v>
      </c>
      <c r="O10926" s="21" t="n">
        <v>0</v>
      </c>
      <c r="P10926" s="21">
        <f>$B$10477</f>
        <v/>
      </c>
      <c r="Q10926" s="21">
        <f>$B$10479</f>
        <v/>
      </c>
      <c r="R10926" s="21">
        <f>0</f>
        <v/>
      </c>
      <c r="S10926" s="21">
        <f>2*$B$10478</f>
        <v/>
      </c>
      <c r="T10926" s="21">
        <f>-$B$10477</f>
        <v/>
      </c>
      <c r="U10926" s="21">
        <f>$B$10479</f>
        <v/>
      </c>
      <c r="V10926" s="21" t="n">
        <v>0</v>
      </c>
      <c r="W10926" s="21" t="n">
        <v>0</v>
      </c>
      <c r="X10926" s="21" t="n">
        <v>0</v>
      </c>
      <c r="Y10926" s="21" t="n">
        <v>0</v>
      </c>
      <c r="Z10926" s="19" t="n"/>
    </row>
    <row r="10927">
      <c r="D10927" s="21" t="n">
        <v>0</v>
      </c>
      <c r="E10927" s="21" t="n">
        <v>0</v>
      </c>
      <c r="F10927" s="21" t="n">
        <v>0</v>
      </c>
      <c r="G10927" s="21" t="n">
        <v>0</v>
      </c>
      <c r="H10927" s="21" t="n">
        <v>0</v>
      </c>
      <c r="I10927" s="21" t="n">
        <v>0</v>
      </c>
      <c r="J10927" s="21" t="n">
        <v>0</v>
      </c>
      <c r="K10927" s="21" t="n">
        <v>0</v>
      </c>
      <c r="L10927" s="21" t="n">
        <v>0</v>
      </c>
      <c r="M10927" s="21" t="n">
        <v>0</v>
      </c>
      <c r="N10927" s="21" t="n">
        <v>0</v>
      </c>
      <c r="O10927" s="21" t="n">
        <v>0</v>
      </c>
      <c r="P10927" s="21" t="n">
        <v>0</v>
      </c>
      <c r="Q10927" s="21" t="n">
        <v>0</v>
      </c>
      <c r="R10927" s="21">
        <f>-$B$10476</f>
        <v/>
      </c>
      <c r="S10927" s="21">
        <f>-$B$10477</f>
        <v/>
      </c>
      <c r="T10927" s="21">
        <f>2*$B$10476+$D$10907</f>
        <v/>
      </c>
      <c r="U10927" s="21">
        <f>0</f>
        <v/>
      </c>
      <c r="V10927" s="21">
        <f>-$B$10476</f>
        <v/>
      </c>
      <c r="W10927" s="21">
        <f>$B$10477</f>
        <v/>
      </c>
      <c r="X10927" s="21" t="n">
        <v>0</v>
      </c>
      <c r="Y10927" s="21" t="n">
        <v>0</v>
      </c>
      <c r="Z10927" s="19" t="n"/>
    </row>
    <row r="10928">
      <c r="D10928" s="21" t="n">
        <v>0</v>
      </c>
      <c r="E10928" s="21" t="n">
        <v>0</v>
      </c>
      <c r="F10928" s="21" t="n">
        <v>0</v>
      </c>
      <c r="G10928" s="21" t="n">
        <v>0</v>
      </c>
      <c r="H10928" s="21" t="n">
        <v>0</v>
      </c>
      <c r="I10928" s="21" t="n">
        <v>0</v>
      </c>
      <c r="J10928" s="21" t="n">
        <v>0</v>
      </c>
      <c r="K10928" s="21" t="n">
        <v>0</v>
      </c>
      <c r="L10928" s="21" t="n">
        <v>0</v>
      </c>
      <c r="M10928" s="21" t="n">
        <v>0</v>
      </c>
      <c r="N10928" s="21" t="n">
        <v>0</v>
      </c>
      <c r="O10928" s="21" t="n">
        <v>0</v>
      </c>
      <c r="P10928" s="21" t="n">
        <v>0</v>
      </c>
      <c r="Q10928" s="21" t="n">
        <v>0</v>
      </c>
      <c r="R10928" s="21">
        <f>$B$10477</f>
        <v/>
      </c>
      <c r="S10928" s="21">
        <f>$B$10479</f>
        <v/>
      </c>
      <c r="T10928" s="21">
        <f>0</f>
        <v/>
      </c>
      <c r="U10928" s="21">
        <f>2*$B$10478</f>
        <v/>
      </c>
      <c r="V10928" s="21">
        <f>-$B$10477</f>
        <v/>
      </c>
      <c r="W10928" s="21">
        <f>$B$10479</f>
        <v/>
      </c>
      <c r="X10928" s="21" t="n">
        <v>0</v>
      </c>
      <c r="Y10928" s="21" t="n">
        <v>0</v>
      </c>
      <c r="Z10928" s="19" t="n"/>
    </row>
    <row r="10929">
      <c r="D10929" s="21" t="n">
        <v>0</v>
      </c>
      <c r="E10929" s="21" t="n">
        <v>0</v>
      </c>
      <c r="F10929" s="21" t="n">
        <v>0</v>
      </c>
      <c r="G10929" s="21" t="n">
        <v>0</v>
      </c>
      <c r="H10929" s="21" t="n">
        <v>0</v>
      </c>
      <c r="I10929" s="21" t="n">
        <v>0</v>
      </c>
      <c r="J10929" s="21" t="n">
        <v>0</v>
      </c>
      <c r="K10929" s="21" t="n">
        <v>0</v>
      </c>
      <c r="L10929" s="21" t="n">
        <v>0</v>
      </c>
      <c r="M10929" s="21" t="n">
        <v>0</v>
      </c>
      <c r="N10929" s="21" t="n">
        <v>0</v>
      </c>
      <c r="O10929" s="21" t="n">
        <v>0</v>
      </c>
      <c r="P10929" s="21" t="n">
        <v>0</v>
      </c>
      <c r="Q10929" s="21" t="n">
        <v>0</v>
      </c>
      <c r="R10929" s="21" t="n">
        <v>0</v>
      </c>
      <c r="S10929" s="21" t="n">
        <v>0</v>
      </c>
      <c r="T10929" s="21">
        <f>-$B$10476</f>
        <v/>
      </c>
      <c r="U10929" s="21">
        <f>-$B$10477</f>
        <v/>
      </c>
      <c r="V10929" s="21">
        <f>2*$B$10476+$D$10908</f>
        <v/>
      </c>
      <c r="W10929" s="21">
        <f>0</f>
        <v/>
      </c>
      <c r="X10929" s="21">
        <f>-$B$10476</f>
        <v/>
      </c>
      <c r="Y10929" s="21">
        <f>$B$10477</f>
        <v/>
      </c>
      <c r="Z10929" s="19" t="n"/>
    </row>
    <row r="10930">
      <c r="D10930" s="21" t="n">
        <v>0</v>
      </c>
      <c r="E10930" s="21" t="n">
        <v>0</v>
      </c>
      <c r="F10930" s="21" t="n">
        <v>0</v>
      </c>
      <c r="G10930" s="21" t="n">
        <v>0</v>
      </c>
      <c r="H10930" s="21" t="n">
        <v>0</v>
      </c>
      <c r="I10930" s="21" t="n">
        <v>0</v>
      </c>
      <c r="J10930" s="21" t="n">
        <v>0</v>
      </c>
      <c r="K10930" s="21" t="n">
        <v>0</v>
      </c>
      <c r="L10930" s="21" t="n">
        <v>0</v>
      </c>
      <c r="M10930" s="21" t="n">
        <v>0</v>
      </c>
      <c r="N10930" s="21" t="n">
        <v>0</v>
      </c>
      <c r="O10930" s="21" t="n">
        <v>0</v>
      </c>
      <c r="P10930" s="21" t="n">
        <v>0</v>
      </c>
      <c r="Q10930" s="21" t="n">
        <v>0</v>
      </c>
      <c r="R10930" s="21" t="n">
        <v>0</v>
      </c>
      <c r="S10930" s="21" t="n">
        <v>0</v>
      </c>
      <c r="T10930" s="21">
        <f>$B$10477</f>
        <v/>
      </c>
      <c r="U10930" s="21">
        <f>$B$10479</f>
        <v/>
      </c>
      <c r="V10930" s="21">
        <f>0</f>
        <v/>
      </c>
      <c r="W10930" s="21">
        <f>2*$B$10478</f>
        <v/>
      </c>
      <c r="X10930" s="21">
        <f>-$B$10477</f>
        <v/>
      </c>
      <c r="Y10930" s="21">
        <f>$B$10479</f>
        <v/>
      </c>
      <c r="Z10930" s="19" t="n"/>
    </row>
    <row r="10931">
      <c r="D10931" s="21" t="n">
        <v>0</v>
      </c>
      <c r="E10931" s="21" t="n">
        <v>0</v>
      </c>
      <c r="F10931" s="21" t="n">
        <v>0</v>
      </c>
      <c r="G10931" s="21" t="n">
        <v>0</v>
      </c>
      <c r="H10931" s="21" t="n">
        <v>0</v>
      </c>
      <c r="I10931" s="21" t="n">
        <v>0</v>
      </c>
      <c r="J10931" s="21" t="n">
        <v>0</v>
      </c>
      <c r="K10931" s="21" t="n">
        <v>0</v>
      </c>
      <c r="L10931" s="21" t="n">
        <v>0</v>
      </c>
      <c r="M10931" s="21" t="n">
        <v>0</v>
      </c>
      <c r="N10931" s="21" t="n">
        <v>0</v>
      </c>
      <c r="O10931" s="21" t="n">
        <v>0</v>
      </c>
      <c r="P10931" s="21" t="n">
        <v>0</v>
      </c>
      <c r="Q10931" s="21" t="n">
        <v>0</v>
      </c>
      <c r="R10931" s="21" t="n">
        <v>0</v>
      </c>
      <c r="S10931" s="21" t="n">
        <v>0</v>
      </c>
      <c r="T10931" s="21" t="n">
        <v>0</v>
      </c>
      <c r="U10931" s="21" t="n">
        <v>0</v>
      </c>
      <c r="V10931" s="21">
        <f>-$B$10476</f>
        <v/>
      </c>
      <c r="W10931" s="21">
        <f>-$B$10477</f>
        <v/>
      </c>
      <c r="X10931" s="21">
        <f>$B$10476+$D$10909</f>
        <v/>
      </c>
      <c r="Y10931" s="21">
        <f>-$B$10477</f>
        <v/>
      </c>
      <c r="Z10931" s="19" t="n"/>
    </row>
    <row r="10932">
      <c r="D10932" s="21" t="n">
        <v>0</v>
      </c>
      <c r="E10932" s="21" t="n">
        <v>0</v>
      </c>
      <c r="F10932" s="21" t="n">
        <v>0</v>
      </c>
      <c r="G10932" s="21" t="n">
        <v>0</v>
      </c>
      <c r="H10932" s="21" t="n">
        <v>0</v>
      </c>
      <c r="I10932" s="21" t="n">
        <v>0</v>
      </c>
      <c r="J10932" s="21" t="n">
        <v>0</v>
      </c>
      <c r="K10932" s="21" t="n">
        <v>0</v>
      </c>
      <c r="L10932" s="21" t="n">
        <v>0</v>
      </c>
      <c r="M10932" s="21" t="n">
        <v>0</v>
      </c>
      <c r="N10932" s="21" t="n">
        <v>0</v>
      </c>
      <c r="O10932" s="21" t="n">
        <v>0</v>
      </c>
      <c r="P10932" s="21" t="n">
        <v>0</v>
      </c>
      <c r="Q10932" s="21" t="n">
        <v>0</v>
      </c>
      <c r="R10932" s="21" t="n">
        <v>0</v>
      </c>
      <c r="S10932" s="21" t="n">
        <v>0</v>
      </c>
      <c r="T10932" s="21" t="n">
        <v>0</v>
      </c>
      <c r="U10932" s="21" t="n">
        <v>0</v>
      </c>
      <c r="V10932" s="21">
        <f>$B$10477</f>
        <v/>
      </c>
      <c r="W10932" s="21">
        <f>$B$10479</f>
        <v/>
      </c>
      <c r="X10932" s="21">
        <f>-$B$10477</f>
        <v/>
      </c>
      <c r="Y10932" s="21">
        <f>$B$10478</f>
        <v/>
      </c>
      <c r="Z10932" s="19" t="n"/>
    </row>
    <row r="10934">
      <c r="A10934" s="8" t="inlineStr">
        <is>
          <t>gen 12</t>
        </is>
      </c>
    </row>
    <row r="10935">
      <c r="D10935" s="19">
        <f>IF(ABS(IF(ABS($E$10899)&gt;0.000000001,$E$10899,0.000000001))=0,0,IF($E$10491&lt;=$B$10485,0,IF(ABS(IF(ABS($E$10899)&gt;0.000000001,$E$10899,0.000000001))&gt;=8*$B$10487,$H$10491,0.5*$H$10491*(ABS(IF(ABS($E$10899)&gt;0.000000001,$E$10899,0.000000001))/$B$10487)^(1/3)))/ABS(IF(ABS($E$10899)&gt;0.000000001,$E$10899,0.000000001))*$I$10491)</f>
        <v/>
      </c>
      <c r="E10935" s="19">
        <f>0.5*$E$10899+0.5*$Z$10947</f>
        <v/>
      </c>
      <c r="F10935" s="19">
        <f>$Z$10948</f>
        <v/>
      </c>
    </row>
    <row r="10936">
      <c r="D10936" s="19">
        <f>IF(ABS(IF(ABS($E$10900)&gt;0.000000001,$E$10900,0.000000001))=0,0,IF($E$10492&lt;=$B$10485,0,IF(ABS(IF(ABS($E$10900)&gt;0.000000001,$E$10900,0.000000001))&gt;=8*$B$10487,$H$10492,0.5*$H$10492*(ABS(IF(ABS($E$10900)&gt;0.000000001,$E$10900,0.000000001))/$B$10487)^(1/3)))/ABS(IF(ABS($E$10900)&gt;0.000000001,$E$10900,0.000000001))*$I$10492)</f>
        <v/>
      </c>
      <c r="E10936" s="19">
        <f>0.5*$E$10900+0.5*$Z$10949</f>
        <v/>
      </c>
      <c r="F10936" s="19">
        <f>$Z$10950</f>
        <v/>
      </c>
    </row>
    <row r="10937">
      <c r="D10937" s="19">
        <f>IF(ABS(IF(ABS($E$10901)&gt;0.000000001,$E$10901,0.000000001))=0,0,IF($E$10493&lt;=$B$10485,0,IF(ABS(IF(ABS($E$10901)&gt;0.000000001,$E$10901,0.000000001))&gt;=8*$B$10487,$H$10493,0.5*$H$10493*(ABS(IF(ABS($E$10901)&gt;0.000000001,$E$10901,0.000000001))/$B$10487)^(1/3)))/ABS(IF(ABS($E$10901)&gt;0.000000001,$E$10901,0.000000001))*$I$10493)</f>
        <v/>
      </c>
      <c r="E10937" s="19">
        <f>0.5*$E$10901+0.5*$Z$10951</f>
        <v/>
      </c>
      <c r="F10937" s="19">
        <f>$Z$10952</f>
        <v/>
      </c>
    </row>
    <row r="10938">
      <c r="D10938" s="19">
        <f>IF(ABS(IF(ABS($E$10902)&gt;0.000000001,$E$10902,0.000000001))=0,0,IF($E$10494&lt;=$B$10485,0,IF(ABS(IF(ABS($E$10902)&gt;0.000000001,$E$10902,0.000000001))&gt;=8*$B$10487,$H$10494,0.5*$H$10494*(ABS(IF(ABS($E$10902)&gt;0.000000001,$E$10902,0.000000001))/$B$10487)^(1/3)))/ABS(IF(ABS($E$10902)&gt;0.000000001,$E$10902,0.000000001))*$I$10494)</f>
        <v/>
      </c>
      <c r="E10938" s="19">
        <f>0.5*$E$10902+0.5*$Z$10953</f>
        <v/>
      </c>
      <c r="F10938" s="19">
        <f>$Z$10954</f>
        <v/>
      </c>
    </row>
    <row r="10939">
      <c r="D10939" s="19">
        <f>IF(ABS(IF(ABS($E$10903)&gt;0.000000001,$E$10903,0.000000001))=0,0,IF($E$10495&lt;=$B$10485,0,IF(ABS(IF(ABS($E$10903)&gt;0.000000001,$E$10903,0.000000001))&gt;=8*$B$10487,$H$10495,0.5*$H$10495*(ABS(IF(ABS($E$10903)&gt;0.000000001,$E$10903,0.000000001))/$B$10487)^(1/3)))/ABS(IF(ABS($E$10903)&gt;0.000000001,$E$10903,0.000000001))*$I$10495)</f>
        <v/>
      </c>
      <c r="E10939" s="19">
        <f>0.5*$E$10903+0.5*$Z$10955</f>
        <v/>
      </c>
      <c r="F10939" s="19">
        <f>$Z$10956</f>
        <v/>
      </c>
    </row>
    <row r="10940">
      <c r="D10940" s="19">
        <f>IF(ABS(IF(ABS($E$10904)&gt;0.000000001,$E$10904,0.000000001))=0,0,IF($E$10496&lt;=$B$10485,0,IF(ABS(IF(ABS($E$10904)&gt;0.000000001,$E$10904,0.000000001))&gt;=8*$B$10487,$H$10496,0.5*$H$10496*(ABS(IF(ABS($E$10904)&gt;0.000000001,$E$10904,0.000000001))/$B$10487)^(1/3)))/ABS(IF(ABS($E$10904)&gt;0.000000001,$E$10904,0.000000001))*$I$10496)</f>
        <v/>
      </c>
      <c r="E10940" s="19">
        <f>0.5*$E$10904+0.5*$Z$10957</f>
        <v/>
      </c>
      <c r="F10940" s="19">
        <f>$Z$10958</f>
        <v/>
      </c>
    </row>
    <row r="10941">
      <c r="D10941" s="19">
        <f>IF(ABS(IF(ABS($E$10905)&gt;0.000000001,$E$10905,0.000000001))=0,0,IF($E$10497&lt;=$B$10485,0,IF(ABS(IF(ABS($E$10905)&gt;0.000000001,$E$10905,0.000000001))&gt;=8*$B$10487,$H$10497,0.5*$H$10497*(ABS(IF(ABS($E$10905)&gt;0.000000001,$E$10905,0.000000001))/$B$10487)^(1/3)))/ABS(IF(ABS($E$10905)&gt;0.000000001,$E$10905,0.000000001))*$I$10497)</f>
        <v/>
      </c>
      <c r="E10941" s="19">
        <f>0.5*$E$10905+0.5*$Z$10959</f>
        <v/>
      </c>
      <c r="F10941" s="19">
        <f>$Z$10960</f>
        <v/>
      </c>
    </row>
    <row r="10942">
      <c r="D10942" s="19">
        <f>IF(ABS(IF(ABS($E$10906)&gt;0.000000001,$E$10906,0.000000001))=0,0,IF($E$10498&lt;=$B$10485,0,IF(ABS(IF(ABS($E$10906)&gt;0.000000001,$E$10906,0.000000001))&gt;=8*$B$10487,$H$10498,0.5*$H$10498*(ABS(IF(ABS($E$10906)&gt;0.000000001,$E$10906,0.000000001))/$B$10487)^(1/3)))/ABS(IF(ABS($E$10906)&gt;0.000000001,$E$10906,0.000000001))*$I$10498)</f>
        <v/>
      </c>
      <c r="E10942" s="19">
        <f>0.5*$E$10906+0.5*$Z$10961</f>
        <v/>
      </c>
      <c r="F10942" s="19">
        <f>$Z$10962</f>
        <v/>
      </c>
    </row>
    <row r="10943">
      <c r="D10943" s="19">
        <f>IF(ABS(IF(ABS($E$10907)&gt;0.000000001,$E$10907,0.000000001))=0,0,IF($E$10499&lt;=$B$10485,0,IF(ABS(IF(ABS($E$10907)&gt;0.000000001,$E$10907,0.000000001))&gt;=8*$B$10487,$H$10499,0.5*$H$10499*(ABS(IF(ABS($E$10907)&gt;0.000000001,$E$10907,0.000000001))/$B$10487)^(1/3)))/ABS(IF(ABS($E$10907)&gt;0.000000001,$E$10907,0.000000001))*$I$10499)</f>
        <v/>
      </c>
      <c r="E10943" s="19">
        <f>0.5*$E$10907+0.5*$Z$10963</f>
        <v/>
      </c>
      <c r="F10943" s="19">
        <f>$Z$10964</f>
        <v/>
      </c>
    </row>
    <row r="10944">
      <c r="D10944" s="19">
        <f>IF(ABS(IF(ABS($E$10908)&gt;0.000000001,$E$10908,0.000000001))=0,0,IF($E$10500&lt;=$B$10485,0,IF(ABS(IF(ABS($E$10908)&gt;0.000000001,$E$10908,0.000000001))&gt;=8*$B$10487,$H$10500,0.5*$H$10500*(ABS(IF(ABS($E$10908)&gt;0.000000001,$E$10908,0.000000001))/$B$10487)^(1/3)))/ABS(IF(ABS($E$10908)&gt;0.000000001,$E$10908,0.000000001))*$I$10500)</f>
        <v/>
      </c>
      <c r="E10944" s="19">
        <f>0.5*$E$10908+0.5*$Z$10965</f>
        <v/>
      </c>
      <c r="F10944" s="19">
        <f>$Z$10966</f>
        <v/>
      </c>
    </row>
    <row r="10945">
      <c r="D10945" s="19">
        <f>IF(ABS(IF(ABS($E$10909)&gt;0.000000001,$E$10909,0.000000001))=0,0,IF($E$10501&lt;=$B$10485,0,IF(ABS(IF(ABS($E$10909)&gt;0.000000001,$E$10909,0.000000001))&gt;=8*$B$10487,$H$10501,0.5*$H$10501*(ABS(IF(ABS($E$10909)&gt;0.000000001,$E$10909,0.000000001))/$B$10487)^(1/3)))/ABS(IF(ABS($E$10909)&gt;0.000000001,$E$10909,0.000000001))*$I$10501)</f>
        <v/>
      </c>
      <c r="E10945" s="19">
        <f>0.5*$E$10909+0.5*$Z$10967</f>
        <v/>
      </c>
      <c r="F10945" s="19">
        <f>$Z$10968</f>
        <v/>
      </c>
    </row>
    <row r="10947">
      <c r="D10947" s="21">
        <f>$B$10476+$D$10935</f>
        <v/>
      </c>
      <c r="E10947" s="21">
        <f>$B$10477</f>
        <v/>
      </c>
      <c r="F10947" s="21">
        <f>-$B$10476</f>
        <v/>
      </c>
      <c r="G10947" s="21">
        <f>$B$10477</f>
        <v/>
      </c>
      <c r="H10947" s="21" t="n">
        <v>0</v>
      </c>
      <c r="I10947" s="21" t="n">
        <v>0</v>
      </c>
      <c r="J10947" s="21" t="n">
        <v>0</v>
      </c>
      <c r="K10947" s="21" t="n">
        <v>0</v>
      </c>
      <c r="L10947" s="21" t="n">
        <v>0</v>
      </c>
      <c r="M10947" s="21" t="n">
        <v>0</v>
      </c>
      <c r="N10947" s="21" t="n">
        <v>0</v>
      </c>
      <c r="O10947" s="21" t="n">
        <v>0</v>
      </c>
      <c r="P10947" s="21" t="n">
        <v>0</v>
      </c>
      <c r="Q10947" s="21" t="n">
        <v>0</v>
      </c>
      <c r="R10947" s="21" t="n">
        <v>0</v>
      </c>
      <c r="S10947" s="21" t="n">
        <v>0</v>
      </c>
      <c r="T10947" s="21" t="n">
        <v>0</v>
      </c>
      <c r="U10947" s="21" t="n">
        <v>0</v>
      </c>
      <c r="V10947" s="21" t="n">
        <v>0</v>
      </c>
      <c r="W10947" s="21" t="n">
        <v>0</v>
      </c>
      <c r="X10947" s="21" t="n">
        <v>0</v>
      </c>
      <c r="Y10947" s="21" t="n">
        <v>0</v>
      </c>
      <c r="Z10947" s="19">
        <f t="array" ref="Z10947:Z10968">MMULT(MINVERSE($D$10947:$Y$10968),$D$10503:$D$10524)</f>
        <v/>
      </c>
    </row>
    <row r="10948">
      <c r="D10948" s="21">
        <f>$B$10477</f>
        <v/>
      </c>
      <c r="E10948" s="21">
        <f>$B$10478</f>
        <v/>
      </c>
      <c r="F10948" s="21">
        <f>-$B$10477</f>
        <v/>
      </c>
      <c r="G10948" s="21">
        <f>$B$10479</f>
        <v/>
      </c>
      <c r="H10948" s="21" t="n">
        <v>0</v>
      </c>
      <c r="I10948" s="21" t="n">
        <v>0</v>
      </c>
      <c r="J10948" s="21" t="n">
        <v>0</v>
      </c>
      <c r="K10948" s="21" t="n">
        <v>0</v>
      </c>
      <c r="L10948" s="21" t="n">
        <v>0</v>
      </c>
      <c r="M10948" s="21" t="n">
        <v>0</v>
      </c>
      <c r="N10948" s="21" t="n">
        <v>0</v>
      </c>
      <c r="O10948" s="21" t="n">
        <v>0</v>
      </c>
      <c r="P10948" s="21" t="n">
        <v>0</v>
      </c>
      <c r="Q10948" s="21" t="n">
        <v>0</v>
      </c>
      <c r="R10948" s="21" t="n">
        <v>0</v>
      </c>
      <c r="S10948" s="21" t="n">
        <v>0</v>
      </c>
      <c r="T10948" s="21" t="n">
        <v>0</v>
      </c>
      <c r="U10948" s="21" t="n">
        <v>0</v>
      </c>
      <c r="V10948" s="21" t="n">
        <v>0</v>
      </c>
      <c r="W10948" s="21" t="n">
        <v>0</v>
      </c>
      <c r="X10948" s="21" t="n">
        <v>0</v>
      </c>
      <c r="Y10948" s="21" t="n">
        <v>0</v>
      </c>
      <c r="Z10948" s="19" t="n"/>
    </row>
    <row r="10949">
      <c r="D10949" s="21">
        <f>-$B$10476</f>
        <v/>
      </c>
      <c r="E10949" s="21">
        <f>-$B$10477</f>
        <v/>
      </c>
      <c r="F10949" s="21">
        <f>2*$B$10476+$D$10936</f>
        <v/>
      </c>
      <c r="G10949" s="21">
        <f>0</f>
        <v/>
      </c>
      <c r="H10949" s="21">
        <f>-$B$10476</f>
        <v/>
      </c>
      <c r="I10949" s="21">
        <f>$B$10477</f>
        <v/>
      </c>
      <c r="J10949" s="21" t="n">
        <v>0</v>
      </c>
      <c r="K10949" s="21" t="n">
        <v>0</v>
      </c>
      <c r="L10949" s="21" t="n">
        <v>0</v>
      </c>
      <c r="M10949" s="21" t="n">
        <v>0</v>
      </c>
      <c r="N10949" s="21" t="n">
        <v>0</v>
      </c>
      <c r="O10949" s="21" t="n">
        <v>0</v>
      </c>
      <c r="P10949" s="21" t="n">
        <v>0</v>
      </c>
      <c r="Q10949" s="21" t="n">
        <v>0</v>
      </c>
      <c r="R10949" s="21" t="n">
        <v>0</v>
      </c>
      <c r="S10949" s="21" t="n">
        <v>0</v>
      </c>
      <c r="T10949" s="21" t="n">
        <v>0</v>
      </c>
      <c r="U10949" s="21" t="n">
        <v>0</v>
      </c>
      <c r="V10949" s="21" t="n">
        <v>0</v>
      </c>
      <c r="W10949" s="21" t="n">
        <v>0</v>
      </c>
      <c r="X10949" s="21" t="n">
        <v>0</v>
      </c>
      <c r="Y10949" s="21" t="n">
        <v>0</v>
      </c>
      <c r="Z10949" s="19" t="n"/>
    </row>
    <row r="10950">
      <c r="D10950" s="21">
        <f>$B$10477</f>
        <v/>
      </c>
      <c r="E10950" s="21">
        <f>$B$10479</f>
        <v/>
      </c>
      <c r="F10950" s="21">
        <f>0</f>
        <v/>
      </c>
      <c r="G10950" s="21">
        <f>2*$B$10478</f>
        <v/>
      </c>
      <c r="H10950" s="21">
        <f>-$B$10477</f>
        <v/>
      </c>
      <c r="I10950" s="21">
        <f>$B$10479</f>
        <v/>
      </c>
      <c r="J10950" s="21" t="n">
        <v>0</v>
      </c>
      <c r="K10950" s="21" t="n">
        <v>0</v>
      </c>
      <c r="L10950" s="21" t="n">
        <v>0</v>
      </c>
      <c r="M10950" s="21" t="n">
        <v>0</v>
      </c>
      <c r="N10950" s="21" t="n">
        <v>0</v>
      </c>
      <c r="O10950" s="21" t="n">
        <v>0</v>
      </c>
      <c r="P10950" s="21" t="n">
        <v>0</v>
      </c>
      <c r="Q10950" s="21" t="n">
        <v>0</v>
      </c>
      <c r="R10950" s="21" t="n">
        <v>0</v>
      </c>
      <c r="S10950" s="21" t="n">
        <v>0</v>
      </c>
      <c r="T10950" s="21" t="n">
        <v>0</v>
      </c>
      <c r="U10950" s="21" t="n">
        <v>0</v>
      </c>
      <c r="V10950" s="21" t="n">
        <v>0</v>
      </c>
      <c r="W10950" s="21" t="n">
        <v>0</v>
      </c>
      <c r="X10950" s="21" t="n">
        <v>0</v>
      </c>
      <c r="Y10950" s="21" t="n">
        <v>0</v>
      </c>
      <c r="Z10950" s="19" t="n"/>
    </row>
    <row r="10951">
      <c r="D10951" s="21" t="n">
        <v>0</v>
      </c>
      <c r="E10951" s="21" t="n">
        <v>0</v>
      </c>
      <c r="F10951" s="21">
        <f>-$B$10476</f>
        <v/>
      </c>
      <c r="G10951" s="21">
        <f>-$B$10477</f>
        <v/>
      </c>
      <c r="H10951" s="21">
        <f>2*$B$10476+$D$10937</f>
        <v/>
      </c>
      <c r="I10951" s="21">
        <f>0</f>
        <v/>
      </c>
      <c r="J10951" s="21">
        <f>-$B$10476</f>
        <v/>
      </c>
      <c r="K10951" s="21">
        <f>$B$10477</f>
        <v/>
      </c>
      <c r="L10951" s="21" t="n">
        <v>0</v>
      </c>
      <c r="M10951" s="21" t="n">
        <v>0</v>
      </c>
      <c r="N10951" s="21" t="n">
        <v>0</v>
      </c>
      <c r="O10951" s="21" t="n">
        <v>0</v>
      </c>
      <c r="P10951" s="21" t="n">
        <v>0</v>
      </c>
      <c r="Q10951" s="21" t="n">
        <v>0</v>
      </c>
      <c r="R10951" s="21" t="n">
        <v>0</v>
      </c>
      <c r="S10951" s="21" t="n">
        <v>0</v>
      </c>
      <c r="T10951" s="21" t="n">
        <v>0</v>
      </c>
      <c r="U10951" s="21" t="n">
        <v>0</v>
      </c>
      <c r="V10951" s="21" t="n">
        <v>0</v>
      </c>
      <c r="W10951" s="21" t="n">
        <v>0</v>
      </c>
      <c r="X10951" s="21" t="n">
        <v>0</v>
      </c>
      <c r="Y10951" s="21" t="n">
        <v>0</v>
      </c>
      <c r="Z10951" s="19" t="n"/>
    </row>
    <row r="10952">
      <c r="D10952" s="21" t="n">
        <v>0</v>
      </c>
      <c r="E10952" s="21" t="n">
        <v>0</v>
      </c>
      <c r="F10952" s="21">
        <f>$B$10477</f>
        <v/>
      </c>
      <c r="G10952" s="21">
        <f>$B$10479</f>
        <v/>
      </c>
      <c r="H10952" s="21">
        <f>0</f>
        <v/>
      </c>
      <c r="I10952" s="21">
        <f>2*$B$10478</f>
        <v/>
      </c>
      <c r="J10952" s="21">
        <f>-$B$10477</f>
        <v/>
      </c>
      <c r="K10952" s="21">
        <f>$B$10479</f>
        <v/>
      </c>
      <c r="L10952" s="21" t="n">
        <v>0</v>
      </c>
      <c r="M10952" s="21" t="n">
        <v>0</v>
      </c>
      <c r="N10952" s="21" t="n">
        <v>0</v>
      </c>
      <c r="O10952" s="21" t="n">
        <v>0</v>
      </c>
      <c r="P10952" s="21" t="n">
        <v>0</v>
      </c>
      <c r="Q10952" s="21" t="n">
        <v>0</v>
      </c>
      <c r="R10952" s="21" t="n">
        <v>0</v>
      </c>
      <c r="S10952" s="21" t="n">
        <v>0</v>
      </c>
      <c r="T10952" s="21" t="n">
        <v>0</v>
      </c>
      <c r="U10952" s="21" t="n">
        <v>0</v>
      </c>
      <c r="V10952" s="21" t="n">
        <v>0</v>
      </c>
      <c r="W10952" s="21" t="n">
        <v>0</v>
      </c>
      <c r="X10952" s="21" t="n">
        <v>0</v>
      </c>
      <c r="Y10952" s="21" t="n">
        <v>0</v>
      </c>
      <c r="Z10952" s="19" t="n"/>
    </row>
    <row r="10953">
      <c r="D10953" s="21" t="n">
        <v>0</v>
      </c>
      <c r="E10953" s="21" t="n">
        <v>0</v>
      </c>
      <c r="F10953" s="21" t="n">
        <v>0</v>
      </c>
      <c r="G10953" s="21" t="n">
        <v>0</v>
      </c>
      <c r="H10953" s="21">
        <f>-$B$10476</f>
        <v/>
      </c>
      <c r="I10953" s="21">
        <f>-$B$10477</f>
        <v/>
      </c>
      <c r="J10953" s="21">
        <f>2*$B$10476+$D$10938</f>
        <v/>
      </c>
      <c r="K10953" s="21">
        <f>0</f>
        <v/>
      </c>
      <c r="L10953" s="21">
        <f>-$B$10476</f>
        <v/>
      </c>
      <c r="M10953" s="21">
        <f>$B$10477</f>
        <v/>
      </c>
      <c r="N10953" s="21" t="n">
        <v>0</v>
      </c>
      <c r="O10953" s="21" t="n">
        <v>0</v>
      </c>
      <c r="P10953" s="21" t="n">
        <v>0</v>
      </c>
      <c r="Q10953" s="21" t="n">
        <v>0</v>
      </c>
      <c r="R10953" s="21" t="n">
        <v>0</v>
      </c>
      <c r="S10953" s="21" t="n">
        <v>0</v>
      </c>
      <c r="T10953" s="21" t="n">
        <v>0</v>
      </c>
      <c r="U10953" s="21" t="n">
        <v>0</v>
      </c>
      <c r="V10953" s="21" t="n">
        <v>0</v>
      </c>
      <c r="W10953" s="21" t="n">
        <v>0</v>
      </c>
      <c r="X10953" s="21" t="n">
        <v>0</v>
      </c>
      <c r="Y10953" s="21" t="n">
        <v>0</v>
      </c>
      <c r="Z10953" s="19" t="n"/>
    </row>
    <row r="10954">
      <c r="D10954" s="21" t="n">
        <v>0</v>
      </c>
      <c r="E10954" s="21" t="n">
        <v>0</v>
      </c>
      <c r="F10954" s="21" t="n">
        <v>0</v>
      </c>
      <c r="G10954" s="21" t="n">
        <v>0</v>
      </c>
      <c r="H10954" s="21">
        <f>$B$10477</f>
        <v/>
      </c>
      <c r="I10954" s="21">
        <f>$B$10479</f>
        <v/>
      </c>
      <c r="J10954" s="21">
        <f>0</f>
        <v/>
      </c>
      <c r="K10954" s="21">
        <f>2*$B$10478</f>
        <v/>
      </c>
      <c r="L10954" s="21">
        <f>-$B$10477</f>
        <v/>
      </c>
      <c r="M10954" s="21">
        <f>$B$10479</f>
        <v/>
      </c>
      <c r="N10954" s="21" t="n">
        <v>0</v>
      </c>
      <c r="O10954" s="21" t="n">
        <v>0</v>
      </c>
      <c r="P10954" s="21" t="n">
        <v>0</v>
      </c>
      <c r="Q10954" s="21" t="n">
        <v>0</v>
      </c>
      <c r="R10954" s="21" t="n">
        <v>0</v>
      </c>
      <c r="S10954" s="21" t="n">
        <v>0</v>
      </c>
      <c r="T10954" s="21" t="n">
        <v>0</v>
      </c>
      <c r="U10954" s="21" t="n">
        <v>0</v>
      </c>
      <c r="V10954" s="21" t="n">
        <v>0</v>
      </c>
      <c r="W10954" s="21" t="n">
        <v>0</v>
      </c>
      <c r="X10954" s="21" t="n">
        <v>0</v>
      </c>
      <c r="Y10954" s="21" t="n">
        <v>0</v>
      </c>
      <c r="Z10954" s="19" t="n"/>
    </row>
    <row r="10955">
      <c r="D10955" s="21" t="n">
        <v>0</v>
      </c>
      <c r="E10955" s="21" t="n">
        <v>0</v>
      </c>
      <c r="F10955" s="21" t="n">
        <v>0</v>
      </c>
      <c r="G10955" s="21" t="n">
        <v>0</v>
      </c>
      <c r="H10955" s="21" t="n">
        <v>0</v>
      </c>
      <c r="I10955" s="21" t="n">
        <v>0</v>
      </c>
      <c r="J10955" s="21">
        <f>-$B$10476</f>
        <v/>
      </c>
      <c r="K10955" s="21">
        <f>-$B$10477</f>
        <v/>
      </c>
      <c r="L10955" s="21">
        <f>2*$B$10476+$D$10939</f>
        <v/>
      </c>
      <c r="M10955" s="21">
        <f>0</f>
        <v/>
      </c>
      <c r="N10955" s="21">
        <f>-$B$10476</f>
        <v/>
      </c>
      <c r="O10955" s="21">
        <f>$B$10477</f>
        <v/>
      </c>
      <c r="P10955" s="21" t="n">
        <v>0</v>
      </c>
      <c r="Q10955" s="21" t="n">
        <v>0</v>
      </c>
      <c r="R10955" s="21" t="n">
        <v>0</v>
      </c>
      <c r="S10955" s="21" t="n">
        <v>0</v>
      </c>
      <c r="T10955" s="21" t="n">
        <v>0</v>
      </c>
      <c r="U10955" s="21" t="n">
        <v>0</v>
      </c>
      <c r="V10955" s="21" t="n">
        <v>0</v>
      </c>
      <c r="W10955" s="21" t="n">
        <v>0</v>
      </c>
      <c r="X10955" s="21" t="n">
        <v>0</v>
      </c>
      <c r="Y10955" s="21" t="n">
        <v>0</v>
      </c>
      <c r="Z10955" s="19" t="n"/>
    </row>
    <row r="10956">
      <c r="D10956" s="21" t="n">
        <v>0</v>
      </c>
      <c r="E10956" s="21" t="n">
        <v>0</v>
      </c>
      <c r="F10956" s="21" t="n">
        <v>0</v>
      </c>
      <c r="G10956" s="21" t="n">
        <v>0</v>
      </c>
      <c r="H10956" s="21" t="n">
        <v>0</v>
      </c>
      <c r="I10956" s="21" t="n">
        <v>0</v>
      </c>
      <c r="J10956" s="21">
        <f>$B$10477</f>
        <v/>
      </c>
      <c r="K10956" s="21">
        <f>$B$10479</f>
        <v/>
      </c>
      <c r="L10956" s="21">
        <f>0</f>
        <v/>
      </c>
      <c r="M10956" s="21">
        <f>2*$B$10478</f>
        <v/>
      </c>
      <c r="N10956" s="21">
        <f>-$B$10477</f>
        <v/>
      </c>
      <c r="O10956" s="21">
        <f>$B$10479</f>
        <v/>
      </c>
      <c r="P10956" s="21" t="n">
        <v>0</v>
      </c>
      <c r="Q10956" s="21" t="n">
        <v>0</v>
      </c>
      <c r="R10956" s="21" t="n">
        <v>0</v>
      </c>
      <c r="S10956" s="21" t="n">
        <v>0</v>
      </c>
      <c r="T10956" s="21" t="n">
        <v>0</v>
      </c>
      <c r="U10956" s="21" t="n">
        <v>0</v>
      </c>
      <c r="V10956" s="21" t="n">
        <v>0</v>
      </c>
      <c r="W10956" s="21" t="n">
        <v>0</v>
      </c>
      <c r="X10956" s="21" t="n">
        <v>0</v>
      </c>
      <c r="Y10956" s="21" t="n">
        <v>0</v>
      </c>
      <c r="Z10956" s="19" t="n"/>
    </row>
    <row r="10957">
      <c r="D10957" s="21" t="n">
        <v>0</v>
      </c>
      <c r="E10957" s="21" t="n">
        <v>0</v>
      </c>
      <c r="F10957" s="21" t="n">
        <v>0</v>
      </c>
      <c r="G10957" s="21" t="n">
        <v>0</v>
      </c>
      <c r="H10957" s="21" t="n">
        <v>0</v>
      </c>
      <c r="I10957" s="21" t="n">
        <v>0</v>
      </c>
      <c r="J10957" s="21" t="n">
        <v>0</v>
      </c>
      <c r="K10957" s="21" t="n">
        <v>0</v>
      </c>
      <c r="L10957" s="21">
        <f>-$B$10476</f>
        <v/>
      </c>
      <c r="M10957" s="21">
        <f>-$B$10477</f>
        <v/>
      </c>
      <c r="N10957" s="21">
        <f>2*$B$10476+$D$10940</f>
        <v/>
      </c>
      <c r="O10957" s="21">
        <f>0</f>
        <v/>
      </c>
      <c r="P10957" s="21">
        <f>-$B$10476</f>
        <v/>
      </c>
      <c r="Q10957" s="21">
        <f>$B$10477</f>
        <v/>
      </c>
      <c r="R10957" s="21" t="n">
        <v>0</v>
      </c>
      <c r="S10957" s="21" t="n">
        <v>0</v>
      </c>
      <c r="T10957" s="21" t="n">
        <v>0</v>
      </c>
      <c r="U10957" s="21" t="n">
        <v>0</v>
      </c>
      <c r="V10957" s="21" t="n">
        <v>0</v>
      </c>
      <c r="W10957" s="21" t="n">
        <v>0</v>
      </c>
      <c r="X10957" s="21" t="n">
        <v>0</v>
      </c>
      <c r="Y10957" s="21" t="n">
        <v>0</v>
      </c>
      <c r="Z10957" s="19" t="n"/>
    </row>
    <row r="10958">
      <c r="D10958" s="21" t="n">
        <v>0</v>
      </c>
      <c r="E10958" s="21" t="n">
        <v>0</v>
      </c>
      <c r="F10958" s="21" t="n">
        <v>0</v>
      </c>
      <c r="G10958" s="21" t="n">
        <v>0</v>
      </c>
      <c r="H10958" s="21" t="n">
        <v>0</v>
      </c>
      <c r="I10958" s="21" t="n">
        <v>0</v>
      </c>
      <c r="J10958" s="21" t="n">
        <v>0</v>
      </c>
      <c r="K10958" s="21" t="n">
        <v>0</v>
      </c>
      <c r="L10958" s="21">
        <f>$B$10477</f>
        <v/>
      </c>
      <c r="M10958" s="21">
        <f>$B$10479</f>
        <v/>
      </c>
      <c r="N10958" s="21">
        <f>0</f>
        <v/>
      </c>
      <c r="O10958" s="21">
        <f>2*$B$10478</f>
        <v/>
      </c>
      <c r="P10958" s="21">
        <f>-$B$10477</f>
        <v/>
      </c>
      <c r="Q10958" s="21">
        <f>$B$10479</f>
        <v/>
      </c>
      <c r="R10958" s="21" t="n">
        <v>0</v>
      </c>
      <c r="S10958" s="21" t="n">
        <v>0</v>
      </c>
      <c r="T10958" s="21" t="n">
        <v>0</v>
      </c>
      <c r="U10958" s="21" t="n">
        <v>0</v>
      </c>
      <c r="V10958" s="21" t="n">
        <v>0</v>
      </c>
      <c r="W10958" s="21" t="n">
        <v>0</v>
      </c>
      <c r="X10958" s="21" t="n">
        <v>0</v>
      </c>
      <c r="Y10958" s="21" t="n">
        <v>0</v>
      </c>
      <c r="Z10958" s="19" t="n"/>
    </row>
    <row r="10959">
      <c r="D10959" s="21" t="n">
        <v>0</v>
      </c>
      <c r="E10959" s="21" t="n">
        <v>0</v>
      </c>
      <c r="F10959" s="21" t="n">
        <v>0</v>
      </c>
      <c r="G10959" s="21" t="n">
        <v>0</v>
      </c>
      <c r="H10959" s="21" t="n">
        <v>0</v>
      </c>
      <c r="I10959" s="21" t="n">
        <v>0</v>
      </c>
      <c r="J10959" s="21" t="n">
        <v>0</v>
      </c>
      <c r="K10959" s="21" t="n">
        <v>0</v>
      </c>
      <c r="L10959" s="21" t="n">
        <v>0</v>
      </c>
      <c r="M10959" s="21" t="n">
        <v>0</v>
      </c>
      <c r="N10959" s="21">
        <f>-$B$10476</f>
        <v/>
      </c>
      <c r="O10959" s="21">
        <f>-$B$10477</f>
        <v/>
      </c>
      <c r="P10959" s="21">
        <f>2*$B$10476+$D$10941</f>
        <v/>
      </c>
      <c r="Q10959" s="21">
        <f>0</f>
        <v/>
      </c>
      <c r="R10959" s="21">
        <f>-$B$10476</f>
        <v/>
      </c>
      <c r="S10959" s="21">
        <f>$B$10477</f>
        <v/>
      </c>
      <c r="T10959" s="21" t="n">
        <v>0</v>
      </c>
      <c r="U10959" s="21" t="n">
        <v>0</v>
      </c>
      <c r="V10959" s="21" t="n">
        <v>0</v>
      </c>
      <c r="W10959" s="21" t="n">
        <v>0</v>
      </c>
      <c r="X10959" s="21" t="n">
        <v>0</v>
      </c>
      <c r="Y10959" s="21" t="n">
        <v>0</v>
      </c>
      <c r="Z10959" s="19" t="n"/>
    </row>
    <row r="10960">
      <c r="D10960" s="21" t="n">
        <v>0</v>
      </c>
      <c r="E10960" s="21" t="n">
        <v>0</v>
      </c>
      <c r="F10960" s="21" t="n">
        <v>0</v>
      </c>
      <c r="G10960" s="21" t="n">
        <v>0</v>
      </c>
      <c r="H10960" s="21" t="n">
        <v>0</v>
      </c>
      <c r="I10960" s="21" t="n">
        <v>0</v>
      </c>
      <c r="J10960" s="21" t="n">
        <v>0</v>
      </c>
      <c r="K10960" s="21" t="n">
        <v>0</v>
      </c>
      <c r="L10960" s="21" t="n">
        <v>0</v>
      </c>
      <c r="M10960" s="21" t="n">
        <v>0</v>
      </c>
      <c r="N10960" s="21">
        <f>$B$10477</f>
        <v/>
      </c>
      <c r="O10960" s="21">
        <f>$B$10479</f>
        <v/>
      </c>
      <c r="P10960" s="21">
        <f>0</f>
        <v/>
      </c>
      <c r="Q10960" s="21">
        <f>2*$B$10478</f>
        <v/>
      </c>
      <c r="R10960" s="21">
        <f>-$B$10477</f>
        <v/>
      </c>
      <c r="S10960" s="21">
        <f>$B$10479</f>
        <v/>
      </c>
      <c r="T10960" s="21" t="n">
        <v>0</v>
      </c>
      <c r="U10960" s="21" t="n">
        <v>0</v>
      </c>
      <c r="V10960" s="21" t="n">
        <v>0</v>
      </c>
      <c r="W10960" s="21" t="n">
        <v>0</v>
      </c>
      <c r="X10960" s="21" t="n">
        <v>0</v>
      </c>
      <c r="Y10960" s="21" t="n">
        <v>0</v>
      </c>
      <c r="Z10960" s="19" t="n"/>
    </row>
    <row r="10961">
      <c r="D10961" s="21" t="n">
        <v>0</v>
      </c>
      <c r="E10961" s="21" t="n">
        <v>0</v>
      </c>
      <c r="F10961" s="21" t="n">
        <v>0</v>
      </c>
      <c r="G10961" s="21" t="n">
        <v>0</v>
      </c>
      <c r="H10961" s="21" t="n">
        <v>0</v>
      </c>
      <c r="I10961" s="21" t="n">
        <v>0</v>
      </c>
      <c r="J10961" s="21" t="n">
        <v>0</v>
      </c>
      <c r="K10961" s="21" t="n">
        <v>0</v>
      </c>
      <c r="L10961" s="21" t="n">
        <v>0</v>
      </c>
      <c r="M10961" s="21" t="n">
        <v>0</v>
      </c>
      <c r="N10961" s="21" t="n">
        <v>0</v>
      </c>
      <c r="O10961" s="21" t="n">
        <v>0</v>
      </c>
      <c r="P10961" s="21">
        <f>-$B$10476</f>
        <v/>
      </c>
      <c r="Q10961" s="21">
        <f>-$B$10477</f>
        <v/>
      </c>
      <c r="R10961" s="21">
        <f>2*$B$10476+$D$10942</f>
        <v/>
      </c>
      <c r="S10961" s="21">
        <f>0</f>
        <v/>
      </c>
      <c r="T10961" s="21">
        <f>-$B$10476</f>
        <v/>
      </c>
      <c r="U10961" s="21">
        <f>$B$10477</f>
        <v/>
      </c>
      <c r="V10961" s="21" t="n">
        <v>0</v>
      </c>
      <c r="W10961" s="21" t="n">
        <v>0</v>
      </c>
      <c r="X10961" s="21" t="n">
        <v>0</v>
      </c>
      <c r="Y10961" s="21" t="n">
        <v>0</v>
      </c>
      <c r="Z10961" s="19" t="n"/>
    </row>
    <row r="10962">
      <c r="D10962" s="21" t="n">
        <v>0</v>
      </c>
      <c r="E10962" s="21" t="n">
        <v>0</v>
      </c>
      <c r="F10962" s="21" t="n">
        <v>0</v>
      </c>
      <c r="G10962" s="21" t="n">
        <v>0</v>
      </c>
      <c r="H10962" s="21" t="n">
        <v>0</v>
      </c>
      <c r="I10962" s="21" t="n">
        <v>0</v>
      </c>
      <c r="J10962" s="21" t="n">
        <v>0</v>
      </c>
      <c r="K10962" s="21" t="n">
        <v>0</v>
      </c>
      <c r="L10962" s="21" t="n">
        <v>0</v>
      </c>
      <c r="M10962" s="21" t="n">
        <v>0</v>
      </c>
      <c r="N10962" s="21" t="n">
        <v>0</v>
      </c>
      <c r="O10962" s="21" t="n">
        <v>0</v>
      </c>
      <c r="P10962" s="21">
        <f>$B$10477</f>
        <v/>
      </c>
      <c r="Q10962" s="21">
        <f>$B$10479</f>
        <v/>
      </c>
      <c r="R10962" s="21">
        <f>0</f>
        <v/>
      </c>
      <c r="S10962" s="21">
        <f>2*$B$10478</f>
        <v/>
      </c>
      <c r="T10962" s="21">
        <f>-$B$10477</f>
        <v/>
      </c>
      <c r="U10962" s="21">
        <f>$B$10479</f>
        <v/>
      </c>
      <c r="V10962" s="21" t="n">
        <v>0</v>
      </c>
      <c r="W10962" s="21" t="n">
        <v>0</v>
      </c>
      <c r="X10962" s="21" t="n">
        <v>0</v>
      </c>
      <c r="Y10962" s="21" t="n">
        <v>0</v>
      </c>
      <c r="Z10962" s="19" t="n"/>
    </row>
    <row r="10963">
      <c r="D10963" s="21" t="n">
        <v>0</v>
      </c>
      <c r="E10963" s="21" t="n">
        <v>0</v>
      </c>
      <c r="F10963" s="21" t="n">
        <v>0</v>
      </c>
      <c r="G10963" s="21" t="n">
        <v>0</v>
      </c>
      <c r="H10963" s="21" t="n">
        <v>0</v>
      </c>
      <c r="I10963" s="21" t="n">
        <v>0</v>
      </c>
      <c r="J10963" s="21" t="n">
        <v>0</v>
      </c>
      <c r="K10963" s="21" t="n">
        <v>0</v>
      </c>
      <c r="L10963" s="21" t="n">
        <v>0</v>
      </c>
      <c r="M10963" s="21" t="n">
        <v>0</v>
      </c>
      <c r="N10963" s="21" t="n">
        <v>0</v>
      </c>
      <c r="O10963" s="21" t="n">
        <v>0</v>
      </c>
      <c r="P10963" s="21" t="n">
        <v>0</v>
      </c>
      <c r="Q10963" s="21" t="n">
        <v>0</v>
      </c>
      <c r="R10963" s="21">
        <f>-$B$10476</f>
        <v/>
      </c>
      <c r="S10963" s="21">
        <f>-$B$10477</f>
        <v/>
      </c>
      <c r="T10963" s="21">
        <f>2*$B$10476+$D$10943</f>
        <v/>
      </c>
      <c r="U10963" s="21">
        <f>0</f>
        <v/>
      </c>
      <c r="V10963" s="21">
        <f>-$B$10476</f>
        <v/>
      </c>
      <c r="W10963" s="21">
        <f>$B$10477</f>
        <v/>
      </c>
      <c r="X10963" s="21" t="n">
        <v>0</v>
      </c>
      <c r="Y10963" s="21" t="n">
        <v>0</v>
      </c>
      <c r="Z10963" s="19" t="n"/>
    </row>
    <row r="10964">
      <c r="D10964" s="21" t="n">
        <v>0</v>
      </c>
      <c r="E10964" s="21" t="n">
        <v>0</v>
      </c>
      <c r="F10964" s="21" t="n">
        <v>0</v>
      </c>
      <c r="G10964" s="21" t="n">
        <v>0</v>
      </c>
      <c r="H10964" s="21" t="n">
        <v>0</v>
      </c>
      <c r="I10964" s="21" t="n">
        <v>0</v>
      </c>
      <c r="J10964" s="21" t="n">
        <v>0</v>
      </c>
      <c r="K10964" s="21" t="n">
        <v>0</v>
      </c>
      <c r="L10964" s="21" t="n">
        <v>0</v>
      </c>
      <c r="M10964" s="21" t="n">
        <v>0</v>
      </c>
      <c r="N10964" s="21" t="n">
        <v>0</v>
      </c>
      <c r="O10964" s="21" t="n">
        <v>0</v>
      </c>
      <c r="P10964" s="21" t="n">
        <v>0</v>
      </c>
      <c r="Q10964" s="21" t="n">
        <v>0</v>
      </c>
      <c r="R10964" s="21">
        <f>$B$10477</f>
        <v/>
      </c>
      <c r="S10964" s="21">
        <f>$B$10479</f>
        <v/>
      </c>
      <c r="T10964" s="21">
        <f>0</f>
        <v/>
      </c>
      <c r="U10964" s="21">
        <f>2*$B$10478</f>
        <v/>
      </c>
      <c r="V10964" s="21">
        <f>-$B$10477</f>
        <v/>
      </c>
      <c r="W10964" s="21">
        <f>$B$10479</f>
        <v/>
      </c>
      <c r="X10964" s="21" t="n">
        <v>0</v>
      </c>
      <c r="Y10964" s="21" t="n">
        <v>0</v>
      </c>
      <c r="Z10964" s="19" t="n"/>
    </row>
    <row r="10965">
      <c r="D10965" s="21" t="n">
        <v>0</v>
      </c>
      <c r="E10965" s="21" t="n">
        <v>0</v>
      </c>
      <c r="F10965" s="21" t="n">
        <v>0</v>
      </c>
      <c r="G10965" s="21" t="n">
        <v>0</v>
      </c>
      <c r="H10965" s="21" t="n">
        <v>0</v>
      </c>
      <c r="I10965" s="21" t="n">
        <v>0</v>
      </c>
      <c r="J10965" s="21" t="n">
        <v>0</v>
      </c>
      <c r="K10965" s="21" t="n">
        <v>0</v>
      </c>
      <c r="L10965" s="21" t="n">
        <v>0</v>
      </c>
      <c r="M10965" s="21" t="n">
        <v>0</v>
      </c>
      <c r="N10965" s="21" t="n">
        <v>0</v>
      </c>
      <c r="O10965" s="21" t="n">
        <v>0</v>
      </c>
      <c r="P10965" s="21" t="n">
        <v>0</v>
      </c>
      <c r="Q10965" s="21" t="n">
        <v>0</v>
      </c>
      <c r="R10965" s="21" t="n">
        <v>0</v>
      </c>
      <c r="S10965" s="21" t="n">
        <v>0</v>
      </c>
      <c r="T10965" s="21">
        <f>-$B$10476</f>
        <v/>
      </c>
      <c r="U10965" s="21">
        <f>-$B$10477</f>
        <v/>
      </c>
      <c r="V10965" s="21">
        <f>2*$B$10476+$D$10944</f>
        <v/>
      </c>
      <c r="W10965" s="21">
        <f>0</f>
        <v/>
      </c>
      <c r="X10965" s="21">
        <f>-$B$10476</f>
        <v/>
      </c>
      <c r="Y10965" s="21">
        <f>$B$10477</f>
        <v/>
      </c>
      <c r="Z10965" s="19" t="n"/>
    </row>
    <row r="10966">
      <c r="D10966" s="21" t="n">
        <v>0</v>
      </c>
      <c r="E10966" s="21" t="n">
        <v>0</v>
      </c>
      <c r="F10966" s="21" t="n">
        <v>0</v>
      </c>
      <c r="G10966" s="21" t="n">
        <v>0</v>
      </c>
      <c r="H10966" s="21" t="n">
        <v>0</v>
      </c>
      <c r="I10966" s="21" t="n">
        <v>0</v>
      </c>
      <c r="J10966" s="21" t="n">
        <v>0</v>
      </c>
      <c r="K10966" s="21" t="n">
        <v>0</v>
      </c>
      <c r="L10966" s="21" t="n">
        <v>0</v>
      </c>
      <c r="M10966" s="21" t="n">
        <v>0</v>
      </c>
      <c r="N10966" s="21" t="n">
        <v>0</v>
      </c>
      <c r="O10966" s="21" t="n">
        <v>0</v>
      </c>
      <c r="P10966" s="21" t="n">
        <v>0</v>
      </c>
      <c r="Q10966" s="21" t="n">
        <v>0</v>
      </c>
      <c r="R10966" s="21" t="n">
        <v>0</v>
      </c>
      <c r="S10966" s="21" t="n">
        <v>0</v>
      </c>
      <c r="T10966" s="21">
        <f>$B$10477</f>
        <v/>
      </c>
      <c r="U10966" s="21">
        <f>$B$10479</f>
        <v/>
      </c>
      <c r="V10966" s="21">
        <f>0</f>
        <v/>
      </c>
      <c r="W10966" s="21">
        <f>2*$B$10478</f>
        <v/>
      </c>
      <c r="X10966" s="21">
        <f>-$B$10477</f>
        <v/>
      </c>
      <c r="Y10966" s="21">
        <f>$B$10479</f>
        <v/>
      </c>
      <c r="Z10966" s="19" t="n"/>
    </row>
    <row r="10967">
      <c r="D10967" s="21" t="n">
        <v>0</v>
      </c>
      <c r="E10967" s="21" t="n">
        <v>0</v>
      </c>
      <c r="F10967" s="21" t="n">
        <v>0</v>
      </c>
      <c r="G10967" s="21" t="n">
        <v>0</v>
      </c>
      <c r="H10967" s="21" t="n">
        <v>0</v>
      </c>
      <c r="I10967" s="21" t="n">
        <v>0</v>
      </c>
      <c r="J10967" s="21" t="n">
        <v>0</v>
      </c>
      <c r="K10967" s="21" t="n">
        <v>0</v>
      </c>
      <c r="L10967" s="21" t="n">
        <v>0</v>
      </c>
      <c r="M10967" s="21" t="n">
        <v>0</v>
      </c>
      <c r="N10967" s="21" t="n">
        <v>0</v>
      </c>
      <c r="O10967" s="21" t="n">
        <v>0</v>
      </c>
      <c r="P10967" s="21" t="n">
        <v>0</v>
      </c>
      <c r="Q10967" s="21" t="n">
        <v>0</v>
      </c>
      <c r="R10967" s="21" t="n">
        <v>0</v>
      </c>
      <c r="S10967" s="21" t="n">
        <v>0</v>
      </c>
      <c r="T10967" s="21" t="n">
        <v>0</v>
      </c>
      <c r="U10967" s="21" t="n">
        <v>0</v>
      </c>
      <c r="V10967" s="21">
        <f>-$B$10476</f>
        <v/>
      </c>
      <c r="W10967" s="21">
        <f>-$B$10477</f>
        <v/>
      </c>
      <c r="X10967" s="21">
        <f>$B$10476+$D$10945</f>
        <v/>
      </c>
      <c r="Y10967" s="21">
        <f>-$B$10477</f>
        <v/>
      </c>
      <c r="Z10967" s="19" t="n"/>
    </row>
    <row r="10968">
      <c r="D10968" s="21" t="n">
        <v>0</v>
      </c>
      <c r="E10968" s="21" t="n">
        <v>0</v>
      </c>
      <c r="F10968" s="21" t="n">
        <v>0</v>
      </c>
      <c r="G10968" s="21" t="n">
        <v>0</v>
      </c>
      <c r="H10968" s="21" t="n">
        <v>0</v>
      </c>
      <c r="I10968" s="21" t="n">
        <v>0</v>
      </c>
      <c r="J10968" s="21" t="n">
        <v>0</v>
      </c>
      <c r="K10968" s="21" t="n">
        <v>0</v>
      </c>
      <c r="L10968" s="21" t="n">
        <v>0</v>
      </c>
      <c r="M10968" s="21" t="n">
        <v>0</v>
      </c>
      <c r="N10968" s="21" t="n">
        <v>0</v>
      </c>
      <c r="O10968" s="21" t="n">
        <v>0</v>
      </c>
      <c r="P10968" s="21" t="n">
        <v>0</v>
      </c>
      <c r="Q10968" s="21" t="n">
        <v>0</v>
      </c>
      <c r="R10968" s="21" t="n">
        <v>0</v>
      </c>
      <c r="S10968" s="21" t="n">
        <v>0</v>
      </c>
      <c r="T10968" s="21" t="n">
        <v>0</v>
      </c>
      <c r="U10968" s="21" t="n">
        <v>0</v>
      </c>
      <c r="V10968" s="21">
        <f>$B$10477</f>
        <v/>
      </c>
      <c r="W10968" s="21">
        <f>$B$10479</f>
        <v/>
      </c>
      <c r="X10968" s="21">
        <f>-$B$10477</f>
        <v/>
      </c>
      <c r="Y10968" s="21">
        <f>$B$10478</f>
        <v/>
      </c>
      <c r="Z10968" s="19" t="n"/>
    </row>
    <row r="10970">
      <c r="A10970" s="8" t="inlineStr">
        <is>
          <t>gen 13</t>
        </is>
      </c>
    </row>
    <row r="10971">
      <c r="D10971" s="19">
        <f>IF(ABS(IF(ABS($E$10935)&gt;0.000000001,$E$10935,0.000000001))=0,0,IF($E$10491&lt;=$B$10485,0,IF(ABS(IF(ABS($E$10935)&gt;0.000000001,$E$10935,0.000000001))&gt;=8*$B$10487,$H$10491,0.5*$H$10491*(ABS(IF(ABS($E$10935)&gt;0.000000001,$E$10935,0.000000001))/$B$10487)^(1/3)))/ABS(IF(ABS($E$10935)&gt;0.000000001,$E$10935,0.000000001))*$I$10491)</f>
        <v/>
      </c>
      <c r="E10971" s="19">
        <f>0.5*$E$10935+0.5*$Z$10983</f>
        <v/>
      </c>
      <c r="F10971" s="19">
        <f>$Z$10984</f>
        <v/>
      </c>
    </row>
    <row r="10972">
      <c r="D10972" s="19">
        <f>IF(ABS(IF(ABS($E$10936)&gt;0.000000001,$E$10936,0.000000001))=0,0,IF($E$10492&lt;=$B$10485,0,IF(ABS(IF(ABS($E$10936)&gt;0.000000001,$E$10936,0.000000001))&gt;=8*$B$10487,$H$10492,0.5*$H$10492*(ABS(IF(ABS($E$10936)&gt;0.000000001,$E$10936,0.000000001))/$B$10487)^(1/3)))/ABS(IF(ABS($E$10936)&gt;0.000000001,$E$10936,0.000000001))*$I$10492)</f>
        <v/>
      </c>
      <c r="E10972" s="19">
        <f>0.5*$E$10936+0.5*$Z$10985</f>
        <v/>
      </c>
      <c r="F10972" s="19">
        <f>$Z$10986</f>
        <v/>
      </c>
    </row>
    <row r="10973">
      <c r="D10973" s="19">
        <f>IF(ABS(IF(ABS($E$10937)&gt;0.000000001,$E$10937,0.000000001))=0,0,IF($E$10493&lt;=$B$10485,0,IF(ABS(IF(ABS($E$10937)&gt;0.000000001,$E$10937,0.000000001))&gt;=8*$B$10487,$H$10493,0.5*$H$10493*(ABS(IF(ABS($E$10937)&gt;0.000000001,$E$10937,0.000000001))/$B$10487)^(1/3)))/ABS(IF(ABS($E$10937)&gt;0.000000001,$E$10937,0.000000001))*$I$10493)</f>
        <v/>
      </c>
      <c r="E10973" s="19">
        <f>0.5*$E$10937+0.5*$Z$10987</f>
        <v/>
      </c>
      <c r="F10973" s="19">
        <f>$Z$10988</f>
        <v/>
      </c>
    </row>
    <row r="10974">
      <c r="D10974" s="19">
        <f>IF(ABS(IF(ABS($E$10938)&gt;0.000000001,$E$10938,0.000000001))=0,0,IF($E$10494&lt;=$B$10485,0,IF(ABS(IF(ABS($E$10938)&gt;0.000000001,$E$10938,0.000000001))&gt;=8*$B$10487,$H$10494,0.5*$H$10494*(ABS(IF(ABS($E$10938)&gt;0.000000001,$E$10938,0.000000001))/$B$10487)^(1/3)))/ABS(IF(ABS($E$10938)&gt;0.000000001,$E$10938,0.000000001))*$I$10494)</f>
        <v/>
      </c>
      <c r="E10974" s="19">
        <f>0.5*$E$10938+0.5*$Z$10989</f>
        <v/>
      </c>
      <c r="F10974" s="19">
        <f>$Z$10990</f>
        <v/>
      </c>
    </row>
    <row r="10975">
      <c r="D10975" s="19">
        <f>IF(ABS(IF(ABS($E$10939)&gt;0.000000001,$E$10939,0.000000001))=0,0,IF($E$10495&lt;=$B$10485,0,IF(ABS(IF(ABS($E$10939)&gt;0.000000001,$E$10939,0.000000001))&gt;=8*$B$10487,$H$10495,0.5*$H$10495*(ABS(IF(ABS($E$10939)&gt;0.000000001,$E$10939,0.000000001))/$B$10487)^(1/3)))/ABS(IF(ABS($E$10939)&gt;0.000000001,$E$10939,0.000000001))*$I$10495)</f>
        <v/>
      </c>
      <c r="E10975" s="19">
        <f>0.5*$E$10939+0.5*$Z$10991</f>
        <v/>
      </c>
      <c r="F10975" s="19">
        <f>$Z$10992</f>
        <v/>
      </c>
    </row>
    <row r="10976">
      <c r="D10976" s="19">
        <f>IF(ABS(IF(ABS($E$10940)&gt;0.000000001,$E$10940,0.000000001))=0,0,IF($E$10496&lt;=$B$10485,0,IF(ABS(IF(ABS($E$10940)&gt;0.000000001,$E$10940,0.000000001))&gt;=8*$B$10487,$H$10496,0.5*$H$10496*(ABS(IF(ABS($E$10940)&gt;0.000000001,$E$10940,0.000000001))/$B$10487)^(1/3)))/ABS(IF(ABS($E$10940)&gt;0.000000001,$E$10940,0.000000001))*$I$10496)</f>
        <v/>
      </c>
      <c r="E10976" s="19">
        <f>0.5*$E$10940+0.5*$Z$10993</f>
        <v/>
      </c>
      <c r="F10976" s="19">
        <f>$Z$10994</f>
        <v/>
      </c>
    </row>
    <row r="10977">
      <c r="D10977" s="19">
        <f>IF(ABS(IF(ABS($E$10941)&gt;0.000000001,$E$10941,0.000000001))=0,0,IF($E$10497&lt;=$B$10485,0,IF(ABS(IF(ABS($E$10941)&gt;0.000000001,$E$10941,0.000000001))&gt;=8*$B$10487,$H$10497,0.5*$H$10497*(ABS(IF(ABS($E$10941)&gt;0.000000001,$E$10941,0.000000001))/$B$10487)^(1/3)))/ABS(IF(ABS($E$10941)&gt;0.000000001,$E$10941,0.000000001))*$I$10497)</f>
        <v/>
      </c>
      <c r="E10977" s="19">
        <f>0.5*$E$10941+0.5*$Z$10995</f>
        <v/>
      </c>
      <c r="F10977" s="19">
        <f>$Z$10996</f>
        <v/>
      </c>
    </row>
    <row r="10978">
      <c r="D10978" s="19">
        <f>IF(ABS(IF(ABS($E$10942)&gt;0.000000001,$E$10942,0.000000001))=0,0,IF($E$10498&lt;=$B$10485,0,IF(ABS(IF(ABS($E$10942)&gt;0.000000001,$E$10942,0.000000001))&gt;=8*$B$10487,$H$10498,0.5*$H$10498*(ABS(IF(ABS($E$10942)&gt;0.000000001,$E$10942,0.000000001))/$B$10487)^(1/3)))/ABS(IF(ABS($E$10942)&gt;0.000000001,$E$10942,0.000000001))*$I$10498)</f>
        <v/>
      </c>
      <c r="E10978" s="19">
        <f>0.5*$E$10942+0.5*$Z$10997</f>
        <v/>
      </c>
      <c r="F10978" s="19">
        <f>$Z$10998</f>
        <v/>
      </c>
    </row>
    <row r="10979">
      <c r="D10979" s="19">
        <f>IF(ABS(IF(ABS($E$10943)&gt;0.000000001,$E$10943,0.000000001))=0,0,IF($E$10499&lt;=$B$10485,0,IF(ABS(IF(ABS($E$10943)&gt;0.000000001,$E$10943,0.000000001))&gt;=8*$B$10487,$H$10499,0.5*$H$10499*(ABS(IF(ABS($E$10943)&gt;0.000000001,$E$10943,0.000000001))/$B$10487)^(1/3)))/ABS(IF(ABS($E$10943)&gt;0.000000001,$E$10943,0.000000001))*$I$10499)</f>
        <v/>
      </c>
      <c r="E10979" s="19">
        <f>0.5*$E$10943+0.5*$Z$10999</f>
        <v/>
      </c>
      <c r="F10979" s="19">
        <f>$Z$11000</f>
        <v/>
      </c>
    </row>
    <row r="10980">
      <c r="D10980" s="19">
        <f>IF(ABS(IF(ABS($E$10944)&gt;0.000000001,$E$10944,0.000000001))=0,0,IF($E$10500&lt;=$B$10485,0,IF(ABS(IF(ABS($E$10944)&gt;0.000000001,$E$10944,0.000000001))&gt;=8*$B$10487,$H$10500,0.5*$H$10500*(ABS(IF(ABS($E$10944)&gt;0.000000001,$E$10944,0.000000001))/$B$10487)^(1/3)))/ABS(IF(ABS($E$10944)&gt;0.000000001,$E$10944,0.000000001))*$I$10500)</f>
        <v/>
      </c>
      <c r="E10980" s="19">
        <f>0.5*$E$10944+0.5*$Z$11001</f>
        <v/>
      </c>
      <c r="F10980" s="19">
        <f>$Z$11002</f>
        <v/>
      </c>
    </row>
    <row r="10981">
      <c r="D10981" s="19">
        <f>IF(ABS(IF(ABS($E$10945)&gt;0.000000001,$E$10945,0.000000001))=0,0,IF($E$10501&lt;=$B$10485,0,IF(ABS(IF(ABS($E$10945)&gt;0.000000001,$E$10945,0.000000001))&gt;=8*$B$10487,$H$10501,0.5*$H$10501*(ABS(IF(ABS($E$10945)&gt;0.000000001,$E$10945,0.000000001))/$B$10487)^(1/3)))/ABS(IF(ABS($E$10945)&gt;0.000000001,$E$10945,0.000000001))*$I$10501)</f>
        <v/>
      </c>
      <c r="E10981" s="19">
        <f>0.5*$E$10945+0.5*$Z$11003</f>
        <v/>
      </c>
      <c r="F10981" s="19">
        <f>$Z$11004</f>
        <v/>
      </c>
    </row>
    <row r="10983">
      <c r="D10983" s="21">
        <f>$B$10476+$D$10971</f>
        <v/>
      </c>
      <c r="E10983" s="21">
        <f>$B$10477</f>
        <v/>
      </c>
      <c r="F10983" s="21">
        <f>-$B$10476</f>
        <v/>
      </c>
      <c r="G10983" s="21">
        <f>$B$10477</f>
        <v/>
      </c>
      <c r="H10983" s="21" t="n">
        <v>0</v>
      </c>
      <c r="I10983" s="21" t="n">
        <v>0</v>
      </c>
      <c r="J10983" s="21" t="n">
        <v>0</v>
      </c>
      <c r="K10983" s="21" t="n">
        <v>0</v>
      </c>
      <c r="L10983" s="21" t="n">
        <v>0</v>
      </c>
      <c r="M10983" s="21" t="n">
        <v>0</v>
      </c>
      <c r="N10983" s="21" t="n">
        <v>0</v>
      </c>
      <c r="O10983" s="21" t="n">
        <v>0</v>
      </c>
      <c r="P10983" s="21" t="n">
        <v>0</v>
      </c>
      <c r="Q10983" s="21" t="n">
        <v>0</v>
      </c>
      <c r="R10983" s="21" t="n">
        <v>0</v>
      </c>
      <c r="S10983" s="21" t="n">
        <v>0</v>
      </c>
      <c r="T10983" s="21" t="n">
        <v>0</v>
      </c>
      <c r="U10983" s="21" t="n">
        <v>0</v>
      </c>
      <c r="V10983" s="21" t="n">
        <v>0</v>
      </c>
      <c r="W10983" s="21" t="n">
        <v>0</v>
      </c>
      <c r="X10983" s="21" t="n">
        <v>0</v>
      </c>
      <c r="Y10983" s="21" t="n">
        <v>0</v>
      </c>
      <c r="Z10983" s="19">
        <f t="array" ref="Z10983:Z11004">MMULT(MINVERSE($D$10983:$Y$11004),$D$10503:$D$10524)</f>
        <v/>
      </c>
    </row>
    <row r="10984">
      <c r="D10984" s="21">
        <f>$B$10477</f>
        <v/>
      </c>
      <c r="E10984" s="21">
        <f>$B$10478</f>
        <v/>
      </c>
      <c r="F10984" s="21">
        <f>-$B$10477</f>
        <v/>
      </c>
      <c r="G10984" s="21">
        <f>$B$10479</f>
        <v/>
      </c>
      <c r="H10984" s="21" t="n">
        <v>0</v>
      </c>
      <c r="I10984" s="21" t="n">
        <v>0</v>
      </c>
      <c r="J10984" s="21" t="n">
        <v>0</v>
      </c>
      <c r="K10984" s="21" t="n">
        <v>0</v>
      </c>
      <c r="L10984" s="21" t="n">
        <v>0</v>
      </c>
      <c r="M10984" s="21" t="n">
        <v>0</v>
      </c>
      <c r="N10984" s="21" t="n">
        <v>0</v>
      </c>
      <c r="O10984" s="21" t="n">
        <v>0</v>
      </c>
      <c r="P10984" s="21" t="n">
        <v>0</v>
      </c>
      <c r="Q10984" s="21" t="n">
        <v>0</v>
      </c>
      <c r="R10984" s="21" t="n">
        <v>0</v>
      </c>
      <c r="S10984" s="21" t="n">
        <v>0</v>
      </c>
      <c r="T10984" s="21" t="n">
        <v>0</v>
      </c>
      <c r="U10984" s="21" t="n">
        <v>0</v>
      </c>
      <c r="V10984" s="21" t="n">
        <v>0</v>
      </c>
      <c r="W10984" s="21" t="n">
        <v>0</v>
      </c>
      <c r="X10984" s="21" t="n">
        <v>0</v>
      </c>
      <c r="Y10984" s="21" t="n">
        <v>0</v>
      </c>
      <c r="Z10984" s="19" t="n"/>
    </row>
    <row r="10985">
      <c r="D10985" s="21">
        <f>-$B$10476</f>
        <v/>
      </c>
      <c r="E10985" s="21">
        <f>-$B$10477</f>
        <v/>
      </c>
      <c r="F10985" s="21">
        <f>2*$B$10476+$D$10972</f>
        <v/>
      </c>
      <c r="G10985" s="21">
        <f>0</f>
        <v/>
      </c>
      <c r="H10985" s="21">
        <f>-$B$10476</f>
        <v/>
      </c>
      <c r="I10985" s="21">
        <f>$B$10477</f>
        <v/>
      </c>
      <c r="J10985" s="21" t="n">
        <v>0</v>
      </c>
      <c r="K10985" s="21" t="n">
        <v>0</v>
      </c>
      <c r="L10985" s="21" t="n">
        <v>0</v>
      </c>
      <c r="M10985" s="21" t="n">
        <v>0</v>
      </c>
      <c r="N10985" s="21" t="n">
        <v>0</v>
      </c>
      <c r="O10985" s="21" t="n">
        <v>0</v>
      </c>
      <c r="P10985" s="21" t="n">
        <v>0</v>
      </c>
      <c r="Q10985" s="21" t="n">
        <v>0</v>
      </c>
      <c r="R10985" s="21" t="n">
        <v>0</v>
      </c>
      <c r="S10985" s="21" t="n">
        <v>0</v>
      </c>
      <c r="T10985" s="21" t="n">
        <v>0</v>
      </c>
      <c r="U10985" s="21" t="n">
        <v>0</v>
      </c>
      <c r="V10985" s="21" t="n">
        <v>0</v>
      </c>
      <c r="W10985" s="21" t="n">
        <v>0</v>
      </c>
      <c r="X10985" s="21" t="n">
        <v>0</v>
      </c>
      <c r="Y10985" s="21" t="n">
        <v>0</v>
      </c>
      <c r="Z10985" s="19" t="n"/>
    </row>
    <row r="10986">
      <c r="D10986" s="21">
        <f>$B$10477</f>
        <v/>
      </c>
      <c r="E10986" s="21">
        <f>$B$10479</f>
        <v/>
      </c>
      <c r="F10986" s="21">
        <f>0</f>
        <v/>
      </c>
      <c r="G10986" s="21">
        <f>2*$B$10478</f>
        <v/>
      </c>
      <c r="H10986" s="21">
        <f>-$B$10477</f>
        <v/>
      </c>
      <c r="I10986" s="21">
        <f>$B$10479</f>
        <v/>
      </c>
      <c r="J10986" s="21" t="n">
        <v>0</v>
      </c>
      <c r="K10986" s="21" t="n">
        <v>0</v>
      </c>
      <c r="L10986" s="21" t="n">
        <v>0</v>
      </c>
      <c r="M10986" s="21" t="n">
        <v>0</v>
      </c>
      <c r="N10986" s="21" t="n">
        <v>0</v>
      </c>
      <c r="O10986" s="21" t="n">
        <v>0</v>
      </c>
      <c r="P10986" s="21" t="n">
        <v>0</v>
      </c>
      <c r="Q10986" s="21" t="n">
        <v>0</v>
      </c>
      <c r="R10986" s="21" t="n">
        <v>0</v>
      </c>
      <c r="S10986" s="21" t="n">
        <v>0</v>
      </c>
      <c r="T10986" s="21" t="n">
        <v>0</v>
      </c>
      <c r="U10986" s="21" t="n">
        <v>0</v>
      </c>
      <c r="V10986" s="21" t="n">
        <v>0</v>
      </c>
      <c r="W10986" s="21" t="n">
        <v>0</v>
      </c>
      <c r="X10986" s="21" t="n">
        <v>0</v>
      </c>
      <c r="Y10986" s="21" t="n">
        <v>0</v>
      </c>
      <c r="Z10986" s="19" t="n"/>
    </row>
    <row r="10987">
      <c r="D10987" s="21" t="n">
        <v>0</v>
      </c>
      <c r="E10987" s="21" t="n">
        <v>0</v>
      </c>
      <c r="F10987" s="21">
        <f>-$B$10476</f>
        <v/>
      </c>
      <c r="G10987" s="21">
        <f>-$B$10477</f>
        <v/>
      </c>
      <c r="H10987" s="21">
        <f>2*$B$10476+$D$10973</f>
        <v/>
      </c>
      <c r="I10987" s="21">
        <f>0</f>
        <v/>
      </c>
      <c r="J10987" s="21">
        <f>-$B$10476</f>
        <v/>
      </c>
      <c r="K10987" s="21">
        <f>$B$10477</f>
        <v/>
      </c>
      <c r="L10987" s="21" t="n">
        <v>0</v>
      </c>
      <c r="M10987" s="21" t="n">
        <v>0</v>
      </c>
      <c r="N10987" s="21" t="n">
        <v>0</v>
      </c>
      <c r="O10987" s="21" t="n">
        <v>0</v>
      </c>
      <c r="P10987" s="21" t="n">
        <v>0</v>
      </c>
      <c r="Q10987" s="21" t="n">
        <v>0</v>
      </c>
      <c r="R10987" s="21" t="n">
        <v>0</v>
      </c>
      <c r="S10987" s="21" t="n">
        <v>0</v>
      </c>
      <c r="T10987" s="21" t="n">
        <v>0</v>
      </c>
      <c r="U10987" s="21" t="n">
        <v>0</v>
      </c>
      <c r="V10987" s="21" t="n">
        <v>0</v>
      </c>
      <c r="W10987" s="21" t="n">
        <v>0</v>
      </c>
      <c r="X10987" s="21" t="n">
        <v>0</v>
      </c>
      <c r="Y10987" s="21" t="n">
        <v>0</v>
      </c>
      <c r="Z10987" s="19" t="n"/>
    </row>
    <row r="10988">
      <c r="D10988" s="21" t="n">
        <v>0</v>
      </c>
      <c r="E10988" s="21" t="n">
        <v>0</v>
      </c>
      <c r="F10988" s="21">
        <f>$B$10477</f>
        <v/>
      </c>
      <c r="G10988" s="21">
        <f>$B$10479</f>
        <v/>
      </c>
      <c r="H10988" s="21">
        <f>0</f>
        <v/>
      </c>
      <c r="I10988" s="21">
        <f>2*$B$10478</f>
        <v/>
      </c>
      <c r="J10988" s="21">
        <f>-$B$10477</f>
        <v/>
      </c>
      <c r="K10988" s="21">
        <f>$B$10479</f>
        <v/>
      </c>
      <c r="L10988" s="21" t="n">
        <v>0</v>
      </c>
      <c r="M10988" s="21" t="n">
        <v>0</v>
      </c>
      <c r="N10988" s="21" t="n">
        <v>0</v>
      </c>
      <c r="O10988" s="21" t="n">
        <v>0</v>
      </c>
      <c r="P10988" s="21" t="n">
        <v>0</v>
      </c>
      <c r="Q10988" s="21" t="n">
        <v>0</v>
      </c>
      <c r="R10988" s="21" t="n">
        <v>0</v>
      </c>
      <c r="S10988" s="21" t="n">
        <v>0</v>
      </c>
      <c r="T10988" s="21" t="n">
        <v>0</v>
      </c>
      <c r="U10988" s="21" t="n">
        <v>0</v>
      </c>
      <c r="V10988" s="21" t="n">
        <v>0</v>
      </c>
      <c r="W10988" s="21" t="n">
        <v>0</v>
      </c>
      <c r="X10988" s="21" t="n">
        <v>0</v>
      </c>
      <c r="Y10988" s="21" t="n">
        <v>0</v>
      </c>
      <c r="Z10988" s="19" t="n"/>
    </row>
    <row r="10989">
      <c r="D10989" s="21" t="n">
        <v>0</v>
      </c>
      <c r="E10989" s="21" t="n">
        <v>0</v>
      </c>
      <c r="F10989" s="21" t="n">
        <v>0</v>
      </c>
      <c r="G10989" s="21" t="n">
        <v>0</v>
      </c>
      <c r="H10989" s="21">
        <f>-$B$10476</f>
        <v/>
      </c>
      <c r="I10989" s="21">
        <f>-$B$10477</f>
        <v/>
      </c>
      <c r="J10989" s="21">
        <f>2*$B$10476+$D$10974</f>
        <v/>
      </c>
      <c r="K10989" s="21">
        <f>0</f>
        <v/>
      </c>
      <c r="L10989" s="21">
        <f>-$B$10476</f>
        <v/>
      </c>
      <c r="M10989" s="21">
        <f>$B$10477</f>
        <v/>
      </c>
      <c r="N10989" s="21" t="n">
        <v>0</v>
      </c>
      <c r="O10989" s="21" t="n">
        <v>0</v>
      </c>
      <c r="P10989" s="21" t="n">
        <v>0</v>
      </c>
      <c r="Q10989" s="21" t="n">
        <v>0</v>
      </c>
      <c r="R10989" s="21" t="n">
        <v>0</v>
      </c>
      <c r="S10989" s="21" t="n">
        <v>0</v>
      </c>
      <c r="T10989" s="21" t="n">
        <v>0</v>
      </c>
      <c r="U10989" s="21" t="n">
        <v>0</v>
      </c>
      <c r="V10989" s="21" t="n">
        <v>0</v>
      </c>
      <c r="W10989" s="21" t="n">
        <v>0</v>
      </c>
      <c r="X10989" s="21" t="n">
        <v>0</v>
      </c>
      <c r="Y10989" s="21" t="n">
        <v>0</v>
      </c>
      <c r="Z10989" s="19" t="n"/>
    </row>
    <row r="10990">
      <c r="D10990" s="21" t="n">
        <v>0</v>
      </c>
      <c r="E10990" s="21" t="n">
        <v>0</v>
      </c>
      <c r="F10990" s="21" t="n">
        <v>0</v>
      </c>
      <c r="G10990" s="21" t="n">
        <v>0</v>
      </c>
      <c r="H10990" s="21">
        <f>$B$10477</f>
        <v/>
      </c>
      <c r="I10990" s="21">
        <f>$B$10479</f>
        <v/>
      </c>
      <c r="J10990" s="21">
        <f>0</f>
        <v/>
      </c>
      <c r="K10990" s="21">
        <f>2*$B$10478</f>
        <v/>
      </c>
      <c r="L10990" s="21">
        <f>-$B$10477</f>
        <v/>
      </c>
      <c r="M10990" s="21">
        <f>$B$10479</f>
        <v/>
      </c>
      <c r="N10990" s="21" t="n">
        <v>0</v>
      </c>
      <c r="O10990" s="21" t="n">
        <v>0</v>
      </c>
      <c r="P10990" s="21" t="n">
        <v>0</v>
      </c>
      <c r="Q10990" s="21" t="n">
        <v>0</v>
      </c>
      <c r="R10990" s="21" t="n">
        <v>0</v>
      </c>
      <c r="S10990" s="21" t="n">
        <v>0</v>
      </c>
      <c r="T10990" s="21" t="n">
        <v>0</v>
      </c>
      <c r="U10990" s="21" t="n">
        <v>0</v>
      </c>
      <c r="V10990" s="21" t="n">
        <v>0</v>
      </c>
      <c r="W10990" s="21" t="n">
        <v>0</v>
      </c>
      <c r="X10990" s="21" t="n">
        <v>0</v>
      </c>
      <c r="Y10990" s="21" t="n">
        <v>0</v>
      </c>
      <c r="Z10990" s="19" t="n"/>
    </row>
    <row r="10991">
      <c r="D10991" s="21" t="n">
        <v>0</v>
      </c>
      <c r="E10991" s="21" t="n">
        <v>0</v>
      </c>
      <c r="F10991" s="21" t="n">
        <v>0</v>
      </c>
      <c r="G10991" s="21" t="n">
        <v>0</v>
      </c>
      <c r="H10991" s="21" t="n">
        <v>0</v>
      </c>
      <c r="I10991" s="21" t="n">
        <v>0</v>
      </c>
      <c r="J10991" s="21">
        <f>-$B$10476</f>
        <v/>
      </c>
      <c r="K10991" s="21">
        <f>-$B$10477</f>
        <v/>
      </c>
      <c r="L10991" s="21">
        <f>2*$B$10476+$D$10975</f>
        <v/>
      </c>
      <c r="M10991" s="21">
        <f>0</f>
        <v/>
      </c>
      <c r="N10991" s="21">
        <f>-$B$10476</f>
        <v/>
      </c>
      <c r="O10991" s="21">
        <f>$B$10477</f>
        <v/>
      </c>
      <c r="P10991" s="21" t="n">
        <v>0</v>
      </c>
      <c r="Q10991" s="21" t="n">
        <v>0</v>
      </c>
      <c r="R10991" s="21" t="n">
        <v>0</v>
      </c>
      <c r="S10991" s="21" t="n">
        <v>0</v>
      </c>
      <c r="T10991" s="21" t="n">
        <v>0</v>
      </c>
      <c r="U10991" s="21" t="n">
        <v>0</v>
      </c>
      <c r="V10991" s="21" t="n">
        <v>0</v>
      </c>
      <c r="W10991" s="21" t="n">
        <v>0</v>
      </c>
      <c r="X10991" s="21" t="n">
        <v>0</v>
      </c>
      <c r="Y10991" s="21" t="n">
        <v>0</v>
      </c>
      <c r="Z10991" s="19" t="n"/>
    </row>
    <row r="10992">
      <c r="D10992" s="21" t="n">
        <v>0</v>
      </c>
      <c r="E10992" s="21" t="n">
        <v>0</v>
      </c>
      <c r="F10992" s="21" t="n">
        <v>0</v>
      </c>
      <c r="G10992" s="21" t="n">
        <v>0</v>
      </c>
      <c r="H10992" s="21" t="n">
        <v>0</v>
      </c>
      <c r="I10992" s="21" t="n">
        <v>0</v>
      </c>
      <c r="J10992" s="21">
        <f>$B$10477</f>
        <v/>
      </c>
      <c r="K10992" s="21">
        <f>$B$10479</f>
        <v/>
      </c>
      <c r="L10992" s="21">
        <f>0</f>
        <v/>
      </c>
      <c r="M10992" s="21">
        <f>2*$B$10478</f>
        <v/>
      </c>
      <c r="N10992" s="21">
        <f>-$B$10477</f>
        <v/>
      </c>
      <c r="O10992" s="21">
        <f>$B$10479</f>
        <v/>
      </c>
      <c r="P10992" s="21" t="n">
        <v>0</v>
      </c>
      <c r="Q10992" s="21" t="n">
        <v>0</v>
      </c>
      <c r="R10992" s="21" t="n">
        <v>0</v>
      </c>
      <c r="S10992" s="21" t="n">
        <v>0</v>
      </c>
      <c r="T10992" s="21" t="n">
        <v>0</v>
      </c>
      <c r="U10992" s="21" t="n">
        <v>0</v>
      </c>
      <c r="V10992" s="21" t="n">
        <v>0</v>
      </c>
      <c r="W10992" s="21" t="n">
        <v>0</v>
      </c>
      <c r="X10992" s="21" t="n">
        <v>0</v>
      </c>
      <c r="Y10992" s="21" t="n">
        <v>0</v>
      </c>
      <c r="Z10992" s="19" t="n"/>
    </row>
    <row r="10993">
      <c r="D10993" s="21" t="n">
        <v>0</v>
      </c>
      <c r="E10993" s="21" t="n">
        <v>0</v>
      </c>
      <c r="F10993" s="21" t="n">
        <v>0</v>
      </c>
      <c r="G10993" s="21" t="n">
        <v>0</v>
      </c>
      <c r="H10993" s="21" t="n">
        <v>0</v>
      </c>
      <c r="I10993" s="21" t="n">
        <v>0</v>
      </c>
      <c r="J10993" s="21" t="n">
        <v>0</v>
      </c>
      <c r="K10993" s="21" t="n">
        <v>0</v>
      </c>
      <c r="L10993" s="21">
        <f>-$B$10476</f>
        <v/>
      </c>
      <c r="M10993" s="21">
        <f>-$B$10477</f>
        <v/>
      </c>
      <c r="N10993" s="21">
        <f>2*$B$10476+$D$10976</f>
        <v/>
      </c>
      <c r="O10993" s="21">
        <f>0</f>
        <v/>
      </c>
      <c r="P10993" s="21">
        <f>-$B$10476</f>
        <v/>
      </c>
      <c r="Q10993" s="21">
        <f>$B$10477</f>
        <v/>
      </c>
      <c r="R10993" s="21" t="n">
        <v>0</v>
      </c>
      <c r="S10993" s="21" t="n">
        <v>0</v>
      </c>
      <c r="T10993" s="21" t="n">
        <v>0</v>
      </c>
      <c r="U10993" s="21" t="n">
        <v>0</v>
      </c>
      <c r="V10993" s="21" t="n">
        <v>0</v>
      </c>
      <c r="W10993" s="21" t="n">
        <v>0</v>
      </c>
      <c r="X10993" s="21" t="n">
        <v>0</v>
      </c>
      <c r="Y10993" s="21" t="n">
        <v>0</v>
      </c>
      <c r="Z10993" s="19" t="n"/>
    </row>
    <row r="10994">
      <c r="D10994" s="21" t="n">
        <v>0</v>
      </c>
      <c r="E10994" s="21" t="n">
        <v>0</v>
      </c>
      <c r="F10994" s="21" t="n">
        <v>0</v>
      </c>
      <c r="G10994" s="21" t="n">
        <v>0</v>
      </c>
      <c r="H10994" s="21" t="n">
        <v>0</v>
      </c>
      <c r="I10994" s="21" t="n">
        <v>0</v>
      </c>
      <c r="J10994" s="21" t="n">
        <v>0</v>
      </c>
      <c r="K10994" s="21" t="n">
        <v>0</v>
      </c>
      <c r="L10994" s="21">
        <f>$B$10477</f>
        <v/>
      </c>
      <c r="M10994" s="21">
        <f>$B$10479</f>
        <v/>
      </c>
      <c r="N10994" s="21">
        <f>0</f>
        <v/>
      </c>
      <c r="O10994" s="21">
        <f>2*$B$10478</f>
        <v/>
      </c>
      <c r="P10994" s="21">
        <f>-$B$10477</f>
        <v/>
      </c>
      <c r="Q10994" s="21">
        <f>$B$10479</f>
        <v/>
      </c>
      <c r="R10994" s="21" t="n">
        <v>0</v>
      </c>
      <c r="S10994" s="21" t="n">
        <v>0</v>
      </c>
      <c r="T10994" s="21" t="n">
        <v>0</v>
      </c>
      <c r="U10994" s="21" t="n">
        <v>0</v>
      </c>
      <c r="V10994" s="21" t="n">
        <v>0</v>
      </c>
      <c r="W10994" s="21" t="n">
        <v>0</v>
      </c>
      <c r="X10994" s="21" t="n">
        <v>0</v>
      </c>
      <c r="Y10994" s="21" t="n">
        <v>0</v>
      </c>
      <c r="Z10994" s="19" t="n"/>
    </row>
    <row r="10995">
      <c r="D10995" s="21" t="n">
        <v>0</v>
      </c>
      <c r="E10995" s="21" t="n">
        <v>0</v>
      </c>
      <c r="F10995" s="21" t="n">
        <v>0</v>
      </c>
      <c r="G10995" s="21" t="n">
        <v>0</v>
      </c>
      <c r="H10995" s="21" t="n">
        <v>0</v>
      </c>
      <c r="I10995" s="21" t="n">
        <v>0</v>
      </c>
      <c r="J10995" s="21" t="n">
        <v>0</v>
      </c>
      <c r="K10995" s="21" t="n">
        <v>0</v>
      </c>
      <c r="L10995" s="21" t="n">
        <v>0</v>
      </c>
      <c r="M10995" s="21" t="n">
        <v>0</v>
      </c>
      <c r="N10995" s="21">
        <f>-$B$10476</f>
        <v/>
      </c>
      <c r="O10995" s="21">
        <f>-$B$10477</f>
        <v/>
      </c>
      <c r="P10995" s="21">
        <f>2*$B$10476+$D$10977</f>
        <v/>
      </c>
      <c r="Q10995" s="21">
        <f>0</f>
        <v/>
      </c>
      <c r="R10995" s="21">
        <f>-$B$10476</f>
        <v/>
      </c>
      <c r="S10995" s="21">
        <f>$B$10477</f>
        <v/>
      </c>
      <c r="T10995" s="21" t="n">
        <v>0</v>
      </c>
      <c r="U10995" s="21" t="n">
        <v>0</v>
      </c>
      <c r="V10995" s="21" t="n">
        <v>0</v>
      </c>
      <c r="W10995" s="21" t="n">
        <v>0</v>
      </c>
      <c r="X10995" s="21" t="n">
        <v>0</v>
      </c>
      <c r="Y10995" s="21" t="n">
        <v>0</v>
      </c>
      <c r="Z10995" s="19" t="n"/>
    </row>
    <row r="10996">
      <c r="D10996" s="21" t="n">
        <v>0</v>
      </c>
      <c r="E10996" s="21" t="n">
        <v>0</v>
      </c>
      <c r="F10996" s="21" t="n">
        <v>0</v>
      </c>
      <c r="G10996" s="21" t="n">
        <v>0</v>
      </c>
      <c r="H10996" s="21" t="n">
        <v>0</v>
      </c>
      <c r="I10996" s="21" t="n">
        <v>0</v>
      </c>
      <c r="J10996" s="21" t="n">
        <v>0</v>
      </c>
      <c r="K10996" s="21" t="n">
        <v>0</v>
      </c>
      <c r="L10996" s="21" t="n">
        <v>0</v>
      </c>
      <c r="M10996" s="21" t="n">
        <v>0</v>
      </c>
      <c r="N10996" s="21">
        <f>$B$10477</f>
        <v/>
      </c>
      <c r="O10996" s="21">
        <f>$B$10479</f>
        <v/>
      </c>
      <c r="P10996" s="21">
        <f>0</f>
        <v/>
      </c>
      <c r="Q10996" s="21">
        <f>2*$B$10478</f>
        <v/>
      </c>
      <c r="R10996" s="21">
        <f>-$B$10477</f>
        <v/>
      </c>
      <c r="S10996" s="21">
        <f>$B$10479</f>
        <v/>
      </c>
      <c r="T10996" s="21" t="n">
        <v>0</v>
      </c>
      <c r="U10996" s="21" t="n">
        <v>0</v>
      </c>
      <c r="V10996" s="21" t="n">
        <v>0</v>
      </c>
      <c r="W10996" s="21" t="n">
        <v>0</v>
      </c>
      <c r="X10996" s="21" t="n">
        <v>0</v>
      </c>
      <c r="Y10996" s="21" t="n">
        <v>0</v>
      </c>
      <c r="Z10996" s="19" t="n"/>
    </row>
    <row r="10997">
      <c r="D10997" s="21" t="n">
        <v>0</v>
      </c>
      <c r="E10997" s="21" t="n">
        <v>0</v>
      </c>
      <c r="F10997" s="21" t="n">
        <v>0</v>
      </c>
      <c r="G10997" s="21" t="n">
        <v>0</v>
      </c>
      <c r="H10997" s="21" t="n">
        <v>0</v>
      </c>
      <c r="I10997" s="21" t="n">
        <v>0</v>
      </c>
      <c r="J10997" s="21" t="n">
        <v>0</v>
      </c>
      <c r="K10997" s="21" t="n">
        <v>0</v>
      </c>
      <c r="L10997" s="21" t="n">
        <v>0</v>
      </c>
      <c r="M10997" s="21" t="n">
        <v>0</v>
      </c>
      <c r="N10997" s="21" t="n">
        <v>0</v>
      </c>
      <c r="O10997" s="21" t="n">
        <v>0</v>
      </c>
      <c r="P10997" s="21">
        <f>-$B$10476</f>
        <v/>
      </c>
      <c r="Q10997" s="21">
        <f>-$B$10477</f>
        <v/>
      </c>
      <c r="R10997" s="21">
        <f>2*$B$10476+$D$10978</f>
        <v/>
      </c>
      <c r="S10997" s="21">
        <f>0</f>
        <v/>
      </c>
      <c r="T10997" s="21">
        <f>-$B$10476</f>
        <v/>
      </c>
      <c r="U10997" s="21">
        <f>$B$10477</f>
        <v/>
      </c>
      <c r="V10997" s="21" t="n">
        <v>0</v>
      </c>
      <c r="W10997" s="21" t="n">
        <v>0</v>
      </c>
      <c r="X10997" s="21" t="n">
        <v>0</v>
      </c>
      <c r="Y10997" s="21" t="n">
        <v>0</v>
      </c>
      <c r="Z10997" s="19" t="n"/>
    </row>
    <row r="10998">
      <c r="D10998" s="21" t="n">
        <v>0</v>
      </c>
      <c r="E10998" s="21" t="n">
        <v>0</v>
      </c>
      <c r="F10998" s="21" t="n">
        <v>0</v>
      </c>
      <c r="G10998" s="21" t="n">
        <v>0</v>
      </c>
      <c r="H10998" s="21" t="n">
        <v>0</v>
      </c>
      <c r="I10998" s="21" t="n">
        <v>0</v>
      </c>
      <c r="J10998" s="21" t="n">
        <v>0</v>
      </c>
      <c r="K10998" s="21" t="n">
        <v>0</v>
      </c>
      <c r="L10998" s="21" t="n">
        <v>0</v>
      </c>
      <c r="M10998" s="21" t="n">
        <v>0</v>
      </c>
      <c r="N10998" s="21" t="n">
        <v>0</v>
      </c>
      <c r="O10998" s="21" t="n">
        <v>0</v>
      </c>
      <c r="P10998" s="21">
        <f>$B$10477</f>
        <v/>
      </c>
      <c r="Q10998" s="21">
        <f>$B$10479</f>
        <v/>
      </c>
      <c r="R10998" s="21">
        <f>0</f>
        <v/>
      </c>
      <c r="S10998" s="21">
        <f>2*$B$10478</f>
        <v/>
      </c>
      <c r="T10998" s="21">
        <f>-$B$10477</f>
        <v/>
      </c>
      <c r="U10998" s="21">
        <f>$B$10479</f>
        <v/>
      </c>
      <c r="V10998" s="21" t="n">
        <v>0</v>
      </c>
      <c r="W10998" s="21" t="n">
        <v>0</v>
      </c>
      <c r="X10998" s="21" t="n">
        <v>0</v>
      </c>
      <c r="Y10998" s="21" t="n">
        <v>0</v>
      </c>
      <c r="Z10998" s="19" t="n"/>
    </row>
    <row r="10999">
      <c r="D10999" s="21" t="n">
        <v>0</v>
      </c>
      <c r="E10999" s="21" t="n">
        <v>0</v>
      </c>
      <c r="F10999" s="21" t="n">
        <v>0</v>
      </c>
      <c r="G10999" s="21" t="n">
        <v>0</v>
      </c>
      <c r="H10999" s="21" t="n">
        <v>0</v>
      </c>
      <c r="I10999" s="21" t="n">
        <v>0</v>
      </c>
      <c r="J10999" s="21" t="n">
        <v>0</v>
      </c>
      <c r="K10999" s="21" t="n">
        <v>0</v>
      </c>
      <c r="L10999" s="21" t="n">
        <v>0</v>
      </c>
      <c r="M10999" s="21" t="n">
        <v>0</v>
      </c>
      <c r="N10999" s="21" t="n">
        <v>0</v>
      </c>
      <c r="O10999" s="21" t="n">
        <v>0</v>
      </c>
      <c r="P10999" s="21" t="n">
        <v>0</v>
      </c>
      <c r="Q10999" s="21" t="n">
        <v>0</v>
      </c>
      <c r="R10999" s="21">
        <f>-$B$10476</f>
        <v/>
      </c>
      <c r="S10999" s="21">
        <f>-$B$10477</f>
        <v/>
      </c>
      <c r="T10999" s="21">
        <f>2*$B$10476+$D$10979</f>
        <v/>
      </c>
      <c r="U10999" s="21">
        <f>0</f>
        <v/>
      </c>
      <c r="V10999" s="21">
        <f>-$B$10476</f>
        <v/>
      </c>
      <c r="W10999" s="21">
        <f>$B$10477</f>
        <v/>
      </c>
      <c r="X10999" s="21" t="n">
        <v>0</v>
      </c>
      <c r="Y10999" s="21" t="n">
        <v>0</v>
      </c>
      <c r="Z10999" s="19" t="n"/>
    </row>
    <row r="11000">
      <c r="D11000" s="21" t="n">
        <v>0</v>
      </c>
      <c r="E11000" s="21" t="n">
        <v>0</v>
      </c>
      <c r="F11000" s="21" t="n">
        <v>0</v>
      </c>
      <c r="G11000" s="21" t="n">
        <v>0</v>
      </c>
      <c r="H11000" s="21" t="n">
        <v>0</v>
      </c>
      <c r="I11000" s="21" t="n">
        <v>0</v>
      </c>
      <c r="J11000" s="21" t="n">
        <v>0</v>
      </c>
      <c r="K11000" s="21" t="n">
        <v>0</v>
      </c>
      <c r="L11000" s="21" t="n">
        <v>0</v>
      </c>
      <c r="M11000" s="21" t="n">
        <v>0</v>
      </c>
      <c r="N11000" s="21" t="n">
        <v>0</v>
      </c>
      <c r="O11000" s="21" t="n">
        <v>0</v>
      </c>
      <c r="P11000" s="21" t="n">
        <v>0</v>
      </c>
      <c r="Q11000" s="21" t="n">
        <v>0</v>
      </c>
      <c r="R11000" s="21">
        <f>$B$10477</f>
        <v/>
      </c>
      <c r="S11000" s="21">
        <f>$B$10479</f>
        <v/>
      </c>
      <c r="T11000" s="21">
        <f>0</f>
        <v/>
      </c>
      <c r="U11000" s="21">
        <f>2*$B$10478</f>
        <v/>
      </c>
      <c r="V11000" s="21">
        <f>-$B$10477</f>
        <v/>
      </c>
      <c r="W11000" s="21">
        <f>$B$10479</f>
        <v/>
      </c>
      <c r="X11000" s="21" t="n">
        <v>0</v>
      </c>
      <c r="Y11000" s="21" t="n">
        <v>0</v>
      </c>
      <c r="Z11000" s="19" t="n"/>
    </row>
    <row r="11001">
      <c r="D11001" s="21" t="n">
        <v>0</v>
      </c>
      <c r="E11001" s="21" t="n">
        <v>0</v>
      </c>
      <c r="F11001" s="21" t="n">
        <v>0</v>
      </c>
      <c r="G11001" s="21" t="n">
        <v>0</v>
      </c>
      <c r="H11001" s="21" t="n">
        <v>0</v>
      </c>
      <c r="I11001" s="21" t="n">
        <v>0</v>
      </c>
      <c r="J11001" s="21" t="n">
        <v>0</v>
      </c>
      <c r="K11001" s="21" t="n">
        <v>0</v>
      </c>
      <c r="L11001" s="21" t="n">
        <v>0</v>
      </c>
      <c r="M11001" s="21" t="n">
        <v>0</v>
      </c>
      <c r="N11001" s="21" t="n">
        <v>0</v>
      </c>
      <c r="O11001" s="21" t="n">
        <v>0</v>
      </c>
      <c r="P11001" s="21" t="n">
        <v>0</v>
      </c>
      <c r="Q11001" s="21" t="n">
        <v>0</v>
      </c>
      <c r="R11001" s="21" t="n">
        <v>0</v>
      </c>
      <c r="S11001" s="21" t="n">
        <v>0</v>
      </c>
      <c r="T11001" s="21">
        <f>-$B$10476</f>
        <v/>
      </c>
      <c r="U11001" s="21">
        <f>-$B$10477</f>
        <v/>
      </c>
      <c r="V11001" s="21">
        <f>2*$B$10476+$D$10980</f>
        <v/>
      </c>
      <c r="W11001" s="21">
        <f>0</f>
        <v/>
      </c>
      <c r="X11001" s="21">
        <f>-$B$10476</f>
        <v/>
      </c>
      <c r="Y11001" s="21">
        <f>$B$10477</f>
        <v/>
      </c>
      <c r="Z11001" s="19" t="n"/>
    </row>
    <row r="11002">
      <c r="D11002" s="21" t="n">
        <v>0</v>
      </c>
      <c r="E11002" s="21" t="n">
        <v>0</v>
      </c>
      <c r="F11002" s="21" t="n">
        <v>0</v>
      </c>
      <c r="G11002" s="21" t="n">
        <v>0</v>
      </c>
      <c r="H11002" s="21" t="n">
        <v>0</v>
      </c>
      <c r="I11002" s="21" t="n">
        <v>0</v>
      </c>
      <c r="J11002" s="21" t="n">
        <v>0</v>
      </c>
      <c r="K11002" s="21" t="n">
        <v>0</v>
      </c>
      <c r="L11002" s="21" t="n">
        <v>0</v>
      </c>
      <c r="M11002" s="21" t="n">
        <v>0</v>
      </c>
      <c r="N11002" s="21" t="n">
        <v>0</v>
      </c>
      <c r="O11002" s="21" t="n">
        <v>0</v>
      </c>
      <c r="P11002" s="21" t="n">
        <v>0</v>
      </c>
      <c r="Q11002" s="21" t="n">
        <v>0</v>
      </c>
      <c r="R11002" s="21" t="n">
        <v>0</v>
      </c>
      <c r="S11002" s="21" t="n">
        <v>0</v>
      </c>
      <c r="T11002" s="21">
        <f>$B$10477</f>
        <v/>
      </c>
      <c r="U11002" s="21">
        <f>$B$10479</f>
        <v/>
      </c>
      <c r="V11002" s="21">
        <f>0</f>
        <v/>
      </c>
      <c r="W11002" s="21">
        <f>2*$B$10478</f>
        <v/>
      </c>
      <c r="X11002" s="21">
        <f>-$B$10477</f>
        <v/>
      </c>
      <c r="Y11002" s="21">
        <f>$B$10479</f>
        <v/>
      </c>
      <c r="Z11002" s="19" t="n"/>
    </row>
    <row r="11003">
      <c r="D11003" s="21" t="n">
        <v>0</v>
      </c>
      <c r="E11003" s="21" t="n">
        <v>0</v>
      </c>
      <c r="F11003" s="21" t="n">
        <v>0</v>
      </c>
      <c r="G11003" s="21" t="n">
        <v>0</v>
      </c>
      <c r="H11003" s="21" t="n">
        <v>0</v>
      </c>
      <c r="I11003" s="21" t="n">
        <v>0</v>
      </c>
      <c r="J11003" s="21" t="n">
        <v>0</v>
      </c>
      <c r="K11003" s="21" t="n">
        <v>0</v>
      </c>
      <c r="L11003" s="21" t="n">
        <v>0</v>
      </c>
      <c r="M11003" s="21" t="n">
        <v>0</v>
      </c>
      <c r="N11003" s="21" t="n">
        <v>0</v>
      </c>
      <c r="O11003" s="21" t="n">
        <v>0</v>
      </c>
      <c r="P11003" s="21" t="n">
        <v>0</v>
      </c>
      <c r="Q11003" s="21" t="n">
        <v>0</v>
      </c>
      <c r="R11003" s="21" t="n">
        <v>0</v>
      </c>
      <c r="S11003" s="21" t="n">
        <v>0</v>
      </c>
      <c r="T11003" s="21" t="n">
        <v>0</v>
      </c>
      <c r="U11003" s="21" t="n">
        <v>0</v>
      </c>
      <c r="V11003" s="21">
        <f>-$B$10476</f>
        <v/>
      </c>
      <c r="W11003" s="21">
        <f>-$B$10477</f>
        <v/>
      </c>
      <c r="X11003" s="21">
        <f>$B$10476+$D$10981</f>
        <v/>
      </c>
      <c r="Y11003" s="21">
        <f>-$B$10477</f>
        <v/>
      </c>
      <c r="Z11003" s="19" t="n"/>
    </row>
    <row r="11004">
      <c r="D11004" s="21" t="n">
        <v>0</v>
      </c>
      <c r="E11004" s="21" t="n">
        <v>0</v>
      </c>
      <c r="F11004" s="21" t="n">
        <v>0</v>
      </c>
      <c r="G11004" s="21" t="n">
        <v>0</v>
      </c>
      <c r="H11004" s="21" t="n">
        <v>0</v>
      </c>
      <c r="I11004" s="21" t="n">
        <v>0</v>
      </c>
      <c r="J11004" s="21" t="n">
        <v>0</v>
      </c>
      <c r="K11004" s="21" t="n">
        <v>0</v>
      </c>
      <c r="L11004" s="21" t="n">
        <v>0</v>
      </c>
      <c r="M11004" s="21" t="n">
        <v>0</v>
      </c>
      <c r="N11004" s="21" t="n">
        <v>0</v>
      </c>
      <c r="O11004" s="21" t="n">
        <v>0</v>
      </c>
      <c r="P11004" s="21" t="n">
        <v>0</v>
      </c>
      <c r="Q11004" s="21" t="n">
        <v>0</v>
      </c>
      <c r="R11004" s="21" t="n">
        <v>0</v>
      </c>
      <c r="S11004" s="21" t="n">
        <v>0</v>
      </c>
      <c r="T11004" s="21" t="n">
        <v>0</v>
      </c>
      <c r="U11004" s="21" t="n">
        <v>0</v>
      </c>
      <c r="V11004" s="21">
        <f>$B$10477</f>
        <v/>
      </c>
      <c r="W11004" s="21">
        <f>$B$10479</f>
        <v/>
      </c>
      <c r="X11004" s="21">
        <f>-$B$10477</f>
        <v/>
      </c>
      <c r="Y11004" s="21">
        <f>$B$10478</f>
        <v/>
      </c>
      <c r="Z11004" s="19" t="n"/>
    </row>
    <row r="11006">
      <c r="A11006" s="8" t="inlineStr">
        <is>
          <t>gen 14</t>
        </is>
      </c>
    </row>
    <row r="11007">
      <c r="D11007" s="19">
        <f>IF(ABS(IF(ABS($E$10971)&gt;0.000000001,$E$10971,0.000000001))=0,0,IF($E$10491&lt;=$B$10485,0,IF(ABS(IF(ABS($E$10971)&gt;0.000000001,$E$10971,0.000000001))&gt;=8*$B$10487,$H$10491,0.5*$H$10491*(ABS(IF(ABS($E$10971)&gt;0.000000001,$E$10971,0.000000001))/$B$10487)^(1/3)))/ABS(IF(ABS($E$10971)&gt;0.000000001,$E$10971,0.000000001))*$I$10491)</f>
        <v/>
      </c>
      <c r="E11007" s="19">
        <f>0.5*$E$10971+0.5*$Z$11019</f>
        <v/>
      </c>
      <c r="F11007" s="19">
        <f>$Z$11020</f>
        <v/>
      </c>
    </row>
    <row r="11008">
      <c r="D11008" s="19">
        <f>IF(ABS(IF(ABS($E$10972)&gt;0.000000001,$E$10972,0.000000001))=0,0,IF($E$10492&lt;=$B$10485,0,IF(ABS(IF(ABS($E$10972)&gt;0.000000001,$E$10972,0.000000001))&gt;=8*$B$10487,$H$10492,0.5*$H$10492*(ABS(IF(ABS($E$10972)&gt;0.000000001,$E$10972,0.000000001))/$B$10487)^(1/3)))/ABS(IF(ABS($E$10972)&gt;0.000000001,$E$10972,0.000000001))*$I$10492)</f>
        <v/>
      </c>
      <c r="E11008" s="19">
        <f>0.5*$E$10972+0.5*$Z$11021</f>
        <v/>
      </c>
      <c r="F11008" s="19">
        <f>$Z$11022</f>
        <v/>
      </c>
    </row>
    <row r="11009">
      <c r="D11009" s="19">
        <f>IF(ABS(IF(ABS($E$10973)&gt;0.000000001,$E$10973,0.000000001))=0,0,IF($E$10493&lt;=$B$10485,0,IF(ABS(IF(ABS($E$10973)&gt;0.000000001,$E$10973,0.000000001))&gt;=8*$B$10487,$H$10493,0.5*$H$10493*(ABS(IF(ABS($E$10973)&gt;0.000000001,$E$10973,0.000000001))/$B$10487)^(1/3)))/ABS(IF(ABS($E$10973)&gt;0.000000001,$E$10973,0.000000001))*$I$10493)</f>
        <v/>
      </c>
      <c r="E11009" s="19">
        <f>0.5*$E$10973+0.5*$Z$11023</f>
        <v/>
      </c>
      <c r="F11009" s="19">
        <f>$Z$11024</f>
        <v/>
      </c>
    </row>
    <row r="11010">
      <c r="D11010" s="19">
        <f>IF(ABS(IF(ABS($E$10974)&gt;0.000000001,$E$10974,0.000000001))=0,0,IF($E$10494&lt;=$B$10485,0,IF(ABS(IF(ABS($E$10974)&gt;0.000000001,$E$10974,0.000000001))&gt;=8*$B$10487,$H$10494,0.5*$H$10494*(ABS(IF(ABS($E$10974)&gt;0.000000001,$E$10974,0.000000001))/$B$10487)^(1/3)))/ABS(IF(ABS($E$10974)&gt;0.000000001,$E$10974,0.000000001))*$I$10494)</f>
        <v/>
      </c>
      <c r="E11010" s="19">
        <f>0.5*$E$10974+0.5*$Z$11025</f>
        <v/>
      </c>
      <c r="F11010" s="19">
        <f>$Z$11026</f>
        <v/>
      </c>
    </row>
    <row r="11011">
      <c r="D11011" s="19">
        <f>IF(ABS(IF(ABS($E$10975)&gt;0.000000001,$E$10975,0.000000001))=0,0,IF($E$10495&lt;=$B$10485,0,IF(ABS(IF(ABS($E$10975)&gt;0.000000001,$E$10975,0.000000001))&gt;=8*$B$10487,$H$10495,0.5*$H$10495*(ABS(IF(ABS($E$10975)&gt;0.000000001,$E$10975,0.000000001))/$B$10487)^(1/3)))/ABS(IF(ABS($E$10975)&gt;0.000000001,$E$10975,0.000000001))*$I$10495)</f>
        <v/>
      </c>
      <c r="E11011" s="19">
        <f>0.5*$E$10975+0.5*$Z$11027</f>
        <v/>
      </c>
      <c r="F11011" s="19">
        <f>$Z$11028</f>
        <v/>
      </c>
    </row>
    <row r="11012">
      <c r="D11012" s="19">
        <f>IF(ABS(IF(ABS($E$10976)&gt;0.000000001,$E$10976,0.000000001))=0,0,IF($E$10496&lt;=$B$10485,0,IF(ABS(IF(ABS($E$10976)&gt;0.000000001,$E$10976,0.000000001))&gt;=8*$B$10487,$H$10496,0.5*$H$10496*(ABS(IF(ABS($E$10976)&gt;0.000000001,$E$10976,0.000000001))/$B$10487)^(1/3)))/ABS(IF(ABS($E$10976)&gt;0.000000001,$E$10976,0.000000001))*$I$10496)</f>
        <v/>
      </c>
      <c r="E11012" s="19">
        <f>0.5*$E$10976+0.5*$Z$11029</f>
        <v/>
      </c>
      <c r="F11012" s="19">
        <f>$Z$11030</f>
        <v/>
      </c>
    </row>
    <row r="11013">
      <c r="D11013" s="19">
        <f>IF(ABS(IF(ABS($E$10977)&gt;0.000000001,$E$10977,0.000000001))=0,0,IF($E$10497&lt;=$B$10485,0,IF(ABS(IF(ABS($E$10977)&gt;0.000000001,$E$10977,0.000000001))&gt;=8*$B$10487,$H$10497,0.5*$H$10497*(ABS(IF(ABS($E$10977)&gt;0.000000001,$E$10977,0.000000001))/$B$10487)^(1/3)))/ABS(IF(ABS($E$10977)&gt;0.000000001,$E$10977,0.000000001))*$I$10497)</f>
        <v/>
      </c>
      <c r="E11013" s="19">
        <f>0.5*$E$10977+0.5*$Z$11031</f>
        <v/>
      </c>
      <c r="F11013" s="19">
        <f>$Z$11032</f>
        <v/>
      </c>
    </row>
    <row r="11014">
      <c r="D11014" s="19">
        <f>IF(ABS(IF(ABS($E$10978)&gt;0.000000001,$E$10978,0.000000001))=0,0,IF($E$10498&lt;=$B$10485,0,IF(ABS(IF(ABS($E$10978)&gt;0.000000001,$E$10978,0.000000001))&gt;=8*$B$10487,$H$10498,0.5*$H$10498*(ABS(IF(ABS($E$10978)&gt;0.000000001,$E$10978,0.000000001))/$B$10487)^(1/3)))/ABS(IF(ABS($E$10978)&gt;0.000000001,$E$10978,0.000000001))*$I$10498)</f>
        <v/>
      </c>
      <c r="E11014" s="19">
        <f>0.5*$E$10978+0.5*$Z$11033</f>
        <v/>
      </c>
      <c r="F11014" s="19">
        <f>$Z$11034</f>
        <v/>
      </c>
    </row>
    <row r="11015">
      <c r="D11015" s="19">
        <f>IF(ABS(IF(ABS($E$10979)&gt;0.000000001,$E$10979,0.000000001))=0,0,IF($E$10499&lt;=$B$10485,0,IF(ABS(IF(ABS($E$10979)&gt;0.000000001,$E$10979,0.000000001))&gt;=8*$B$10487,$H$10499,0.5*$H$10499*(ABS(IF(ABS($E$10979)&gt;0.000000001,$E$10979,0.000000001))/$B$10487)^(1/3)))/ABS(IF(ABS($E$10979)&gt;0.000000001,$E$10979,0.000000001))*$I$10499)</f>
        <v/>
      </c>
      <c r="E11015" s="19">
        <f>0.5*$E$10979+0.5*$Z$11035</f>
        <v/>
      </c>
      <c r="F11015" s="19">
        <f>$Z$11036</f>
        <v/>
      </c>
    </row>
    <row r="11016">
      <c r="D11016" s="19">
        <f>IF(ABS(IF(ABS($E$10980)&gt;0.000000001,$E$10980,0.000000001))=0,0,IF($E$10500&lt;=$B$10485,0,IF(ABS(IF(ABS($E$10980)&gt;0.000000001,$E$10980,0.000000001))&gt;=8*$B$10487,$H$10500,0.5*$H$10500*(ABS(IF(ABS($E$10980)&gt;0.000000001,$E$10980,0.000000001))/$B$10487)^(1/3)))/ABS(IF(ABS($E$10980)&gt;0.000000001,$E$10980,0.000000001))*$I$10500)</f>
        <v/>
      </c>
      <c r="E11016" s="19">
        <f>0.5*$E$10980+0.5*$Z$11037</f>
        <v/>
      </c>
      <c r="F11016" s="19">
        <f>$Z$11038</f>
        <v/>
      </c>
    </row>
    <row r="11017">
      <c r="D11017" s="19">
        <f>IF(ABS(IF(ABS($E$10981)&gt;0.000000001,$E$10981,0.000000001))=0,0,IF($E$10501&lt;=$B$10485,0,IF(ABS(IF(ABS($E$10981)&gt;0.000000001,$E$10981,0.000000001))&gt;=8*$B$10487,$H$10501,0.5*$H$10501*(ABS(IF(ABS($E$10981)&gt;0.000000001,$E$10981,0.000000001))/$B$10487)^(1/3)))/ABS(IF(ABS($E$10981)&gt;0.000000001,$E$10981,0.000000001))*$I$10501)</f>
        <v/>
      </c>
      <c r="E11017" s="19">
        <f>0.5*$E$10981+0.5*$Z$11039</f>
        <v/>
      </c>
      <c r="F11017" s="19">
        <f>$Z$11040</f>
        <v/>
      </c>
    </row>
    <row r="11019">
      <c r="D11019" s="21">
        <f>$B$10476+$D$11007</f>
        <v/>
      </c>
      <c r="E11019" s="21">
        <f>$B$10477</f>
        <v/>
      </c>
      <c r="F11019" s="21">
        <f>-$B$10476</f>
        <v/>
      </c>
      <c r="G11019" s="21">
        <f>$B$10477</f>
        <v/>
      </c>
      <c r="H11019" s="21" t="n">
        <v>0</v>
      </c>
      <c r="I11019" s="21" t="n">
        <v>0</v>
      </c>
      <c r="J11019" s="21" t="n">
        <v>0</v>
      </c>
      <c r="K11019" s="21" t="n">
        <v>0</v>
      </c>
      <c r="L11019" s="21" t="n">
        <v>0</v>
      </c>
      <c r="M11019" s="21" t="n">
        <v>0</v>
      </c>
      <c r="N11019" s="21" t="n">
        <v>0</v>
      </c>
      <c r="O11019" s="21" t="n">
        <v>0</v>
      </c>
      <c r="P11019" s="21" t="n">
        <v>0</v>
      </c>
      <c r="Q11019" s="21" t="n">
        <v>0</v>
      </c>
      <c r="R11019" s="21" t="n">
        <v>0</v>
      </c>
      <c r="S11019" s="21" t="n">
        <v>0</v>
      </c>
      <c r="T11019" s="21" t="n">
        <v>0</v>
      </c>
      <c r="U11019" s="21" t="n">
        <v>0</v>
      </c>
      <c r="V11019" s="21" t="n">
        <v>0</v>
      </c>
      <c r="W11019" s="21" t="n">
        <v>0</v>
      </c>
      <c r="X11019" s="21" t="n">
        <v>0</v>
      </c>
      <c r="Y11019" s="21" t="n">
        <v>0</v>
      </c>
      <c r="Z11019" s="19">
        <f t="array" ref="Z11019:Z11040">MMULT(MINVERSE($D$11019:$Y$11040),$D$10503:$D$10524)</f>
        <v/>
      </c>
    </row>
    <row r="11020">
      <c r="D11020" s="21">
        <f>$B$10477</f>
        <v/>
      </c>
      <c r="E11020" s="21">
        <f>$B$10478</f>
        <v/>
      </c>
      <c r="F11020" s="21">
        <f>-$B$10477</f>
        <v/>
      </c>
      <c r="G11020" s="21">
        <f>$B$10479</f>
        <v/>
      </c>
      <c r="H11020" s="21" t="n">
        <v>0</v>
      </c>
      <c r="I11020" s="21" t="n">
        <v>0</v>
      </c>
      <c r="J11020" s="21" t="n">
        <v>0</v>
      </c>
      <c r="K11020" s="21" t="n">
        <v>0</v>
      </c>
      <c r="L11020" s="21" t="n">
        <v>0</v>
      </c>
      <c r="M11020" s="21" t="n">
        <v>0</v>
      </c>
      <c r="N11020" s="21" t="n">
        <v>0</v>
      </c>
      <c r="O11020" s="21" t="n">
        <v>0</v>
      </c>
      <c r="P11020" s="21" t="n">
        <v>0</v>
      </c>
      <c r="Q11020" s="21" t="n">
        <v>0</v>
      </c>
      <c r="R11020" s="21" t="n">
        <v>0</v>
      </c>
      <c r="S11020" s="21" t="n">
        <v>0</v>
      </c>
      <c r="T11020" s="21" t="n">
        <v>0</v>
      </c>
      <c r="U11020" s="21" t="n">
        <v>0</v>
      </c>
      <c r="V11020" s="21" t="n">
        <v>0</v>
      </c>
      <c r="W11020" s="21" t="n">
        <v>0</v>
      </c>
      <c r="X11020" s="21" t="n">
        <v>0</v>
      </c>
      <c r="Y11020" s="21" t="n">
        <v>0</v>
      </c>
      <c r="Z11020" s="19" t="n"/>
    </row>
    <row r="11021">
      <c r="D11021" s="21">
        <f>-$B$10476</f>
        <v/>
      </c>
      <c r="E11021" s="21">
        <f>-$B$10477</f>
        <v/>
      </c>
      <c r="F11021" s="21">
        <f>2*$B$10476+$D$11008</f>
        <v/>
      </c>
      <c r="G11021" s="21">
        <f>0</f>
        <v/>
      </c>
      <c r="H11021" s="21">
        <f>-$B$10476</f>
        <v/>
      </c>
      <c r="I11021" s="21">
        <f>$B$10477</f>
        <v/>
      </c>
      <c r="J11021" s="21" t="n">
        <v>0</v>
      </c>
      <c r="K11021" s="21" t="n">
        <v>0</v>
      </c>
      <c r="L11021" s="21" t="n">
        <v>0</v>
      </c>
      <c r="M11021" s="21" t="n">
        <v>0</v>
      </c>
      <c r="N11021" s="21" t="n">
        <v>0</v>
      </c>
      <c r="O11021" s="21" t="n">
        <v>0</v>
      </c>
      <c r="P11021" s="21" t="n">
        <v>0</v>
      </c>
      <c r="Q11021" s="21" t="n">
        <v>0</v>
      </c>
      <c r="R11021" s="21" t="n">
        <v>0</v>
      </c>
      <c r="S11021" s="21" t="n">
        <v>0</v>
      </c>
      <c r="T11021" s="21" t="n">
        <v>0</v>
      </c>
      <c r="U11021" s="21" t="n">
        <v>0</v>
      </c>
      <c r="V11021" s="21" t="n">
        <v>0</v>
      </c>
      <c r="W11021" s="21" t="n">
        <v>0</v>
      </c>
      <c r="X11021" s="21" t="n">
        <v>0</v>
      </c>
      <c r="Y11021" s="21" t="n">
        <v>0</v>
      </c>
      <c r="Z11021" s="19" t="n"/>
    </row>
    <row r="11022">
      <c r="D11022" s="21">
        <f>$B$10477</f>
        <v/>
      </c>
      <c r="E11022" s="21">
        <f>$B$10479</f>
        <v/>
      </c>
      <c r="F11022" s="21">
        <f>0</f>
        <v/>
      </c>
      <c r="G11022" s="21">
        <f>2*$B$10478</f>
        <v/>
      </c>
      <c r="H11022" s="21">
        <f>-$B$10477</f>
        <v/>
      </c>
      <c r="I11022" s="21">
        <f>$B$10479</f>
        <v/>
      </c>
      <c r="J11022" s="21" t="n">
        <v>0</v>
      </c>
      <c r="K11022" s="21" t="n">
        <v>0</v>
      </c>
      <c r="L11022" s="21" t="n">
        <v>0</v>
      </c>
      <c r="M11022" s="21" t="n">
        <v>0</v>
      </c>
      <c r="N11022" s="21" t="n">
        <v>0</v>
      </c>
      <c r="O11022" s="21" t="n">
        <v>0</v>
      </c>
      <c r="P11022" s="21" t="n">
        <v>0</v>
      </c>
      <c r="Q11022" s="21" t="n">
        <v>0</v>
      </c>
      <c r="R11022" s="21" t="n">
        <v>0</v>
      </c>
      <c r="S11022" s="21" t="n">
        <v>0</v>
      </c>
      <c r="T11022" s="21" t="n">
        <v>0</v>
      </c>
      <c r="U11022" s="21" t="n">
        <v>0</v>
      </c>
      <c r="V11022" s="21" t="n">
        <v>0</v>
      </c>
      <c r="W11022" s="21" t="n">
        <v>0</v>
      </c>
      <c r="X11022" s="21" t="n">
        <v>0</v>
      </c>
      <c r="Y11022" s="21" t="n">
        <v>0</v>
      </c>
      <c r="Z11022" s="19" t="n"/>
    </row>
    <row r="11023">
      <c r="D11023" s="21" t="n">
        <v>0</v>
      </c>
      <c r="E11023" s="21" t="n">
        <v>0</v>
      </c>
      <c r="F11023" s="21">
        <f>-$B$10476</f>
        <v/>
      </c>
      <c r="G11023" s="21">
        <f>-$B$10477</f>
        <v/>
      </c>
      <c r="H11023" s="21">
        <f>2*$B$10476+$D$11009</f>
        <v/>
      </c>
      <c r="I11023" s="21">
        <f>0</f>
        <v/>
      </c>
      <c r="J11023" s="21">
        <f>-$B$10476</f>
        <v/>
      </c>
      <c r="K11023" s="21">
        <f>$B$10477</f>
        <v/>
      </c>
      <c r="L11023" s="21" t="n">
        <v>0</v>
      </c>
      <c r="M11023" s="21" t="n">
        <v>0</v>
      </c>
      <c r="N11023" s="21" t="n">
        <v>0</v>
      </c>
      <c r="O11023" s="21" t="n">
        <v>0</v>
      </c>
      <c r="P11023" s="21" t="n">
        <v>0</v>
      </c>
      <c r="Q11023" s="21" t="n">
        <v>0</v>
      </c>
      <c r="R11023" s="21" t="n">
        <v>0</v>
      </c>
      <c r="S11023" s="21" t="n">
        <v>0</v>
      </c>
      <c r="T11023" s="21" t="n">
        <v>0</v>
      </c>
      <c r="U11023" s="21" t="n">
        <v>0</v>
      </c>
      <c r="V11023" s="21" t="n">
        <v>0</v>
      </c>
      <c r="W11023" s="21" t="n">
        <v>0</v>
      </c>
      <c r="X11023" s="21" t="n">
        <v>0</v>
      </c>
      <c r="Y11023" s="21" t="n">
        <v>0</v>
      </c>
      <c r="Z11023" s="19" t="n"/>
    </row>
    <row r="11024">
      <c r="D11024" s="21" t="n">
        <v>0</v>
      </c>
      <c r="E11024" s="21" t="n">
        <v>0</v>
      </c>
      <c r="F11024" s="21">
        <f>$B$10477</f>
        <v/>
      </c>
      <c r="G11024" s="21">
        <f>$B$10479</f>
        <v/>
      </c>
      <c r="H11024" s="21">
        <f>0</f>
        <v/>
      </c>
      <c r="I11024" s="21">
        <f>2*$B$10478</f>
        <v/>
      </c>
      <c r="J11024" s="21">
        <f>-$B$10477</f>
        <v/>
      </c>
      <c r="K11024" s="21">
        <f>$B$10479</f>
        <v/>
      </c>
      <c r="L11024" s="21" t="n">
        <v>0</v>
      </c>
      <c r="M11024" s="21" t="n">
        <v>0</v>
      </c>
      <c r="N11024" s="21" t="n">
        <v>0</v>
      </c>
      <c r="O11024" s="21" t="n">
        <v>0</v>
      </c>
      <c r="P11024" s="21" t="n">
        <v>0</v>
      </c>
      <c r="Q11024" s="21" t="n">
        <v>0</v>
      </c>
      <c r="R11024" s="21" t="n">
        <v>0</v>
      </c>
      <c r="S11024" s="21" t="n">
        <v>0</v>
      </c>
      <c r="T11024" s="21" t="n">
        <v>0</v>
      </c>
      <c r="U11024" s="21" t="n">
        <v>0</v>
      </c>
      <c r="V11024" s="21" t="n">
        <v>0</v>
      </c>
      <c r="W11024" s="21" t="n">
        <v>0</v>
      </c>
      <c r="X11024" s="21" t="n">
        <v>0</v>
      </c>
      <c r="Y11024" s="21" t="n">
        <v>0</v>
      </c>
      <c r="Z11024" s="19" t="n"/>
    </row>
    <row r="11025">
      <c r="D11025" s="21" t="n">
        <v>0</v>
      </c>
      <c r="E11025" s="21" t="n">
        <v>0</v>
      </c>
      <c r="F11025" s="21" t="n">
        <v>0</v>
      </c>
      <c r="G11025" s="21" t="n">
        <v>0</v>
      </c>
      <c r="H11025" s="21">
        <f>-$B$10476</f>
        <v/>
      </c>
      <c r="I11025" s="21">
        <f>-$B$10477</f>
        <v/>
      </c>
      <c r="J11025" s="21">
        <f>2*$B$10476+$D$11010</f>
        <v/>
      </c>
      <c r="K11025" s="21">
        <f>0</f>
        <v/>
      </c>
      <c r="L11025" s="21">
        <f>-$B$10476</f>
        <v/>
      </c>
      <c r="M11025" s="21">
        <f>$B$10477</f>
        <v/>
      </c>
      <c r="N11025" s="21" t="n">
        <v>0</v>
      </c>
      <c r="O11025" s="21" t="n">
        <v>0</v>
      </c>
      <c r="P11025" s="21" t="n">
        <v>0</v>
      </c>
      <c r="Q11025" s="21" t="n">
        <v>0</v>
      </c>
      <c r="R11025" s="21" t="n">
        <v>0</v>
      </c>
      <c r="S11025" s="21" t="n">
        <v>0</v>
      </c>
      <c r="T11025" s="21" t="n">
        <v>0</v>
      </c>
      <c r="U11025" s="21" t="n">
        <v>0</v>
      </c>
      <c r="V11025" s="21" t="n">
        <v>0</v>
      </c>
      <c r="W11025" s="21" t="n">
        <v>0</v>
      </c>
      <c r="X11025" s="21" t="n">
        <v>0</v>
      </c>
      <c r="Y11025" s="21" t="n">
        <v>0</v>
      </c>
      <c r="Z11025" s="19" t="n"/>
    </row>
    <row r="11026">
      <c r="D11026" s="21" t="n">
        <v>0</v>
      </c>
      <c r="E11026" s="21" t="n">
        <v>0</v>
      </c>
      <c r="F11026" s="21" t="n">
        <v>0</v>
      </c>
      <c r="G11026" s="21" t="n">
        <v>0</v>
      </c>
      <c r="H11026" s="21">
        <f>$B$10477</f>
        <v/>
      </c>
      <c r="I11026" s="21">
        <f>$B$10479</f>
        <v/>
      </c>
      <c r="J11026" s="21">
        <f>0</f>
        <v/>
      </c>
      <c r="K11026" s="21">
        <f>2*$B$10478</f>
        <v/>
      </c>
      <c r="L11026" s="21">
        <f>-$B$10477</f>
        <v/>
      </c>
      <c r="M11026" s="21">
        <f>$B$10479</f>
        <v/>
      </c>
      <c r="N11026" s="21" t="n">
        <v>0</v>
      </c>
      <c r="O11026" s="21" t="n">
        <v>0</v>
      </c>
      <c r="P11026" s="21" t="n">
        <v>0</v>
      </c>
      <c r="Q11026" s="21" t="n">
        <v>0</v>
      </c>
      <c r="R11026" s="21" t="n">
        <v>0</v>
      </c>
      <c r="S11026" s="21" t="n">
        <v>0</v>
      </c>
      <c r="T11026" s="21" t="n">
        <v>0</v>
      </c>
      <c r="U11026" s="21" t="n">
        <v>0</v>
      </c>
      <c r="V11026" s="21" t="n">
        <v>0</v>
      </c>
      <c r="W11026" s="21" t="n">
        <v>0</v>
      </c>
      <c r="X11026" s="21" t="n">
        <v>0</v>
      </c>
      <c r="Y11026" s="21" t="n">
        <v>0</v>
      </c>
      <c r="Z11026" s="19" t="n"/>
    </row>
    <row r="11027">
      <c r="D11027" s="21" t="n">
        <v>0</v>
      </c>
      <c r="E11027" s="21" t="n">
        <v>0</v>
      </c>
      <c r="F11027" s="21" t="n">
        <v>0</v>
      </c>
      <c r="G11027" s="21" t="n">
        <v>0</v>
      </c>
      <c r="H11027" s="21" t="n">
        <v>0</v>
      </c>
      <c r="I11027" s="21" t="n">
        <v>0</v>
      </c>
      <c r="J11027" s="21">
        <f>-$B$10476</f>
        <v/>
      </c>
      <c r="K11027" s="21">
        <f>-$B$10477</f>
        <v/>
      </c>
      <c r="L11027" s="21">
        <f>2*$B$10476+$D$11011</f>
        <v/>
      </c>
      <c r="M11027" s="21">
        <f>0</f>
        <v/>
      </c>
      <c r="N11027" s="21">
        <f>-$B$10476</f>
        <v/>
      </c>
      <c r="O11027" s="21">
        <f>$B$10477</f>
        <v/>
      </c>
      <c r="P11027" s="21" t="n">
        <v>0</v>
      </c>
      <c r="Q11027" s="21" t="n">
        <v>0</v>
      </c>
      <c r="R11027" s="21" t="n">
        <v>0</v>
      </c>
      <c r="S11027" s="21" t="n">
        <v>0</v>
      </c>
      <c r="T11027" s="21" t="n">
        <v>0</v>
      </c>
      <c r="U11027" s="21" t="n">
        <v>0</v>
      </c>
      <c r="V11027" s="21" t="n">
        <v>0</v>
      </c>
      <c r="W11027" s="21" t="n">
        <v>0</v>
      </c>
      <c r="X11027" s="21" t="n">
        <v>0</v>
      </c>
      <c r="Y11027" s="21" t="n">
        <v>0</v>
      </c>
      <c r="Z11027" s="19" t="n"/>
    </row>
    <row r="11028">
      <c r="D11028" s="21" t="n">
        <v>0</v>
      </c>
      <c r="E11028" s="21" t="n">
        <v>0</v>
      </c>
      <c r="F11028" s="21" t="n">
        <v>0</v>
      </c>
      <c r="G11028" s="21" t="n">
        <v>0</v>
      </c>
      <c r="H11028" s="21" t="n">
        <v>0</v>
      </c>
      <c r="I11028" s="21" t="n">
        <v>0</v>
      </c>
      <c r="J11028" s="21">
        <f>$B$10477</f>
        <v/>
      </c>
      <c r="K11028" s="21">
        <f>$B$10479</f>
        <v/>
      </c>
      <c r="L11028" s="21">
        <f>0</f>
        <v/>
      </c>
      <c r="M11028" s="21">
        <f>2*$B$10478</f>
        <v/>
      </c>
      <c r="N11028" s="21">
        <f>-$B$10477</f>
        <v/>
      </c>
      <c r="O11028" s="21">
        <f>$B$10479</f>
        <v/>
      </c>
      <c r="P11028" s="21" t="n">
        <v>0</v>
      </c>
      <c r="Q11028" s="21" t="n">
        <v>0</v>
      </c>
      <c r="R11028" s="21" t="n">
        <v>0</v>
      </c>
      <c r="S11028" s="21" t="n">
        <v>0</v>
      </c>
      <c r="T11028" s="21" t="n">
        <v>0</v>
      </c>
      <c r="U11028" s="21" t="n">
        <v>0</v>
      </c>
      <c r="V11028" s="21" t="n">
        <v>0</v>
      </c>
      <c r="W11028" s="21" t="n">
        <v>0</v>
      </c>
      <c r="X11028" s="21" t="n">
        <v>0</v>
      </c>
      <c r="Y11028" s="21" t="n">
        <v>0</v>
      </c>
      <c r="Z11028" s="19" t="n"/>
    </row>
    <row r="11029">
      <c r="D11029" s="21" t="n">
        <v>0</v>
      </c>
      <c r="E11029" s="21" t="n">
        <v>0</v>
      </c>
      <c r="F11029" s="21" t="n">
        <v>0</v>
      </c>
      <c r="G11029" s="21" t="n">
        <v>0</v>
      </c>
      <c r="H11029" s="21" t="n">
        <v>0</v>
      </c>
      <c r="I11029" s="21" t="n">
        <v>0</v>
      </c>
      <c r="J11029" s="21" t="n">
        <v>0</v>
      </c>
      <c r="K11029" s="21" t="n">
        <v>0</v>
      </c>
      <c r="L11029" s="21">
        <f>-$B$10476</f>
        <v/>
      </c>
      <c r="M11029" s="21">
        <f>-$B$10477</f>
        <v/>
      </c>
      <c r="N11029" s="21">
        <f>2*$B$10476+$D$11012</f>
        <v/>
      </c>
      <c r="O11029" s="21">
        <f>0</f>
        <v/>
      </c>
      <c r="P11029" s="21">
        <f>-$B$10476</f>
        <v/>
      </c>
      <c r="Q11029" s="21">
        <f>$B$10477</f>
        <v/>
      </c>
      <c r="R11029" s="21" t="n">
        <v>0</v>
      </c>
      <c r="S11029" s="21" t="n">
        <v>0</v>
      </c>
      <c r="T11029" s="21" t="n">
        <v>0</v>
      </c>
      <c r="U11029" s="21" t="n">
        <v>0</v>
      </c>
      <c r="V11029" s="21" t="n">
        <v>0</v>
      </c>
      <c r="W11029" s="21" t="n">
        <v>0</v>
      </c>
      <c r="X11029" s="21" t="n">
        <v>0</v>
      </c>
      <c r="Y11029" s="21" t="n">
        <v>0</v>
      </c>
      <c r="Z11029" s="19" t="n"/>
    </row>
    <row r="11030">
      <c r="D11030" s="21" t="n">
        <v>0</v>
      </c>
      <c r="E11030" s="21" t="n">
        <v>0</v>
      </c>
      <c r="F11030" s="21" t="n">
        <v>0</v>
      </c>
      <c r="G11030" s="21" t="n">
        <v>0</v>
      </c>
      <c r="H11030" s="21" t="n">
        <v>0</v>
      </c>
      <c r="I11030" s="21" t="n">
        <v>0</v>
      </c>
      <c r="J11030" s="21" t="n">
        <v>0</v>
      </c>
      <c r="K11030" s="21" t="n">
        <v>0</v>
      </c>
      <c r="L11030" s="21">
        <f>$B$10477</f>
        <v/>
      </c>
      <c r="M11030" s="21">
        <f>$B$10479</f>
        <v/>
      </c>
      <c r="N11030" s="21">
        <f>0</f>
        <v/>
      </c>
      <c r="O11030" s="21">
        <f>2*$B$10478</f>
        <v/>
      </c>
      <c r="P11030" s="21">
        <f>-$B$10477</f>
        <v/>
      </c>
      <c r="Q11030" s="21">
        <f>$B$10479</f>
        <v/>
      </c>
      <c r="R11030" s="21" t="n">
        <v>0</v>
      </c>
      <c r="S11030" s="21" t="n">
        <v>0</v>
      </c>
      <c r="T11030" s="21" t="n">
        <v>0</v>
      </c>
      <c r="U11030" s="21" t="n">
        <v>0</v>
      </c>
      <c r="V11030" s="21" t="n">
        <v>0</v>
      </c>
      <c r="W11030" s="21" t="n">
        <v>0</v>
      </c>
      <c r="X11030" s="21" t="n">
        <v>0</v>
      </c>
      <c r="Y11030" s="21" t="n">
        <v>0</v>
      </c>
      <c r="Z11030" s="19" t="n"/>
    </row>
    <row r="11031">
      <c r="D11031" s="21" t="n">
        <v>0</v>
      </c>
      <c r="E11031" s="21" t="n">
        <v>0</v>
      </c>
      <c r="F11031" s="21" t="n">
        <v>0</v>
      </c>
      <c r="G11031" s="21" t="n">
        <v>0</v>
      </c>
      <c r="H11031" s="21" t="n">
        <v>0</v>
      </c>
      <c r="I11031" s="21" t="n">
        <v>0</v>
      </c>
      <c r="J11031" s="21" t="n">
        <v>0</v>
      </c>
      <c r="K11031" s="21" t="n">
        <v>0</v>
      </c>
      <c r="L11031" s="21" t="n">
        <v>0</v>
      </c>
      <c r="M11031" s="21" t="n">
        <v>0</v>
      </c>
      <c r="N11031" s="21">
        <f>-$B$10476</f>
        <v/>
      </c>
      <c r="O11031" s="21">
        <f>-$B$10477</f>
        <v/>
      </c>
      <c r="P11031" s="21">
        <f>2*$B$10476+$D$11013</f>
        <v/>
      </c>
      <c r="Q11031" s="21">
        <f>0</f>
        <v/>
      </c>
      <c r="R11031" s="21">
        <f>-$B$10476</f>
        <v/>
      </c>
      <c r="S11031" s="21">
        <f>$B$10477</f>
        <v/>
      </c>
      <c r="T11031" s="21" t="n">
        <v>0</v>
      </c>
      <c r="U11031" s="21" t="n">
        <v>0</v>
      </c>
      <c r="V11031" s="21" t="n">
        <v>0</v>
      </c>
      <c r="W11031" s="21" t="n">
        <v>0</v>
      </c>
      <c r="X11031" s="21" t="n">
        <v>0</v>
      </c>
      <c r="Y11031" s="21" t="n">
        <v>0</v>
      </c>
      <c r="Z11031" s="19" t="n"/>
    </row>
    <row r="11032">
      <c r="D11032" s="21" t="n">
        <v>0</v>
      </c>
      <c r="E11032" s="21" t="n">
        <v>0</v>
      </c>
      <c r="F11032" s="21" t="n">
        <v>0</v>
      </c>
      <c r="G11032" s="21" t="n">
        <v>0</v>
      </c>
      <c r="H11032" s="21" t="n">
        <v>0</v>
      </c>
      <c r="I11032" s="21" t="n">
        <v>0</v>
      </c>
      <c r="J11032" s="21" t="n">
        <v>0</v>
      </c>
      <c r="K11032" s="21" t="n">
        <v>0</v>
      </c>
      <c r="L11032" s="21" t="n">
        <v>0</v>
      </c>
      <c r="M11032" s="21" t="n">
        <v>0</v>
      </c>
      <c r="N11032" s="21">
        <f>$B$10477</f>
        <v/>
      </c>
      <c r="O11032" s="21">
        <f>$B$10479</f>
        <v/>
      </c>
      <c r="P11032" s="21">
        <f>0</f>
        <v/>
      </c>
      <c r="Q11032" s="21">
        <f>2*$B$10478</f>
        <v/>
      </c>
      <c r="R11032" s="21">
        <f>-$B$10477</f>
        <v/>
      </c>
      <c r="S11032" s="21">
        <f>$B$10479</f>
        <v/>
      </c>
      <c r="T11032" s="21" t="n">
        <v>0</v>
      </c>
      <c r="U11032" s="21" t="n">
        <v>0</v>
      </c>
      <c r="V11032" s="21" t="n">
        <v>0</v>
      </c>
      <c r="W11032" s="21" t="n">
        <v>0</v>
      </c>
      <c r="X11032" s="21" t="n">
        <v>0</v>
      </c>
      <c r="Y11032" s="21" t="n">
        <v>0</v>
      </c>
      <c r="Z11032" s="19" t="n"/>
    </row>
    <row r="11033">
      <c r="D11033" s="21" t="n">
        <v>0</v>
      </c>
      <c r="E11033" s="21" t="n">
        <v>0</v>
      </c>
      <c r="F11033" s="21" t="n">
        <v>0</v>
      </c>
      <c r="G11033" s="21" t="n">
        <v>0</v>
      </c>
      <c r="H11033" s="21" t="n">
        <v>0</v>
      </c>
      <c r="I11033" s="21" t="n">
        <v>0</v>
      </c>
      <c r="J11033" s="21" t="n">
        <v>0</v>
      </c>
      <c r="K11033" s="21" t="n">
        <v>0</v>
      </c>
      <c r="L11033" s="21" t="n">
        <v>0</v>
      </c>
      <c r="M11033" s="21" t="n">
        <v>0</v>
      </c>
      <c r="N11033" s="21" t="n">
        <v>0</v>
      </c>
      <c r="O11033" s="21" t="n">
        <v>0</v>
      </c>
      <c r="P11033" s="21">
        <f>-$B$10476</f>
        <v/>
      </c>
      <c r="Q11033" s="21">
        <f>-$B$10477</f>
        <v/>
      </c>
      <c r="R11033" s="21">
        <f>2*$B$10476+$D$11014</f>
        <v/>
      </c>
      <c r="S11033" s="21">
        <f>0</f>
        <v/>
      </c>
      <c r="T11033" s="21">
        <f>-$B$10476</f>
        <v/>
      </c>
      <c r="U11033" s="21">
        <f>$B$10477</f>
        <v/>
      </c>
      <c r="V11033" s="21" t="n">
        <v>0</v>
      </c>
      <c r="W11033" s="21" t="n">
        <v>0</v>
      </c>
      <c r="X11033" s="21" t="n">
        <v>0</v>
      </c>
      <c r="Y11033" s="21" t="n">
        <v>0</v>
      </c>
      <c r="Z11033" s="19" t="n"/>
    </row>
    <row r="11034">
      <c r="D11034" s="21" t="n">
        <v>0</v>
      </c>
      <c r="E11034" s="21" t="n">
        <v>0</v>
      </c>
      <c r="F11034" s="21" t="n">
        <v>0</v>
      </c>
      <c r="G11034" s="21" t="n">
        <v>0</v>
      </c>
      <c r="H11034" s="21" t="n">
        <v>0</v>
      </c>
      <c r="I11034" s="21" t="n">
        <v>0</v>
      </c>
      <c r="J11034" s="21" t="n">
        <v>0</v>
      </c>
      <c r="K11034" s="21" t="n">
        <v>0</v>
      </c>
      <c r="L11034" s="21" t="n">
        <v>0</v>
      </c>
      <c r="M11034" s="21" t="n">
        <v>0</v>
      </c>
      <c r="N11034" s="21" t="n">
        <v>0</v>
      </c>
      <c r="O11034" s="21" t="n">
        <v>0</v>
      </c>
      <c r="P11034" s="21">
        <f>$B$10477</f>
        <v/>
      </c>
      <c r="Q11034" s="21">
        <f>$B$10479</f>
        <v/>
      </c>
      <c r="R11034" s="21">
        <f>0</f>
        <v/>
      </c>
      <c r="S11034" s="21">
        <f>2*$B$10478</f>
        <v/>
      </c>
      <c r="T11034" s="21">
        <f>-$B$10477</f>
        <v/>
      </c>
      <c r="U11034" s="21">
        <f>$B$10479</f>
        <v/>
      </c>
      <c r="V11034" s="21" t="n">
        <v>0</v>
      </c>
      <c r="W11034" s="21" t="n">
        <v>0</v>
      </c>
      <c r="X11034" s="21" t="n">
        <v>0</v>
      </c>
      <c r="Y11034" s="21" t="n">
        <v>0</v>
      </c>
      <c r="Z11034" s="19" t="n"/>
    </row>
    <row r="11035">
      <c r="D11035" s="21" t="n">
        <v>0</v>
      </c>
      <c r="E11035" s="21" t="n">
        <v>0</v>
      </c>
      <c r="F11035" s="21" t="n">
        <v>0</v>
      </c>
      <c r="G11035" s="21" t="n">
        <v>0</v>
      </c>
      <c r="H11035" s="21" t="n">
        <v>0</v>
      </c>
      <c r="I11035" s="21" t="n">
        <v>0</v>
      </c>
      <c r="J11035" s="21" t="n">
        <v>0</v>
      </c>
      <c r="K11035" s="21" t="n">
        <v>0</v>
      </c>
      <c r="L11035" s="21" t="n">
        <v>0</v>
      </c>
      <c r="M11035" s="21" t="n">
        <v>0</v>
      </c>
      <c r="N11035" s="21" t="n">
        <v>0</v>
      </c>
      <c r="O11035" s="21" t="n">
        <v>0</v>
      </c>
      <c r="P11035" s="21" t="n">
        <v>0</v>
      </c>
      <c r="Q11035" s="21" t="n">
        <v>0</v>
      </c>
      <c r="R11035" s="21">
        <f>-$B$10476</f>
        <v/>
      </c>
      <c r="S11035" s="21">
        <f>-$B$10477</f>
        <v/>
      </c>
      <c r="T11035" s="21">
        <f>2*$B$10476+$D$11015</f>
        <v/>
      </c>
      <c r="U11035" s="21">
        <f>0</f>
        <v/>
      </c>
      <c r="V11035" s="21">
        <f>-$B$10476</f>
        <v/>
      </c>
      <c r="W11035" s="21">
        <f>$B$10477</f>
        <v/>
      </c>
      <c r="X11035" s="21" t="n">
        <v>0</v>
      </c>
      <c r="Y11035" s="21" t="n">
        <v>0</v>
      </c>
      <c r="Z11035" s="19" t="n"/>
    </row>
    <row r="11036">
      <c r="D11036" s="21" t="n">
        <v>0</v>
      </c>
      <c r="E11036" s="21" t="n">
        <v>0</v>
      </c>
      <c r="F11036" s="21" t="n">
        <v>0</v>
      </c>
      <c r="G11036" s="21" t="n">
        <v>0</v>
      </c>
      <c r="H11036" s="21" t="n">
        <v>0</v>
      </c>
      <c r="I11036" s="21" t="n">
        <v>0</v>
      </c>
      <c r="J11036" s="21" t="n">
        <v>0</v>
      </c>
      <c r="K11036" s="21" t="n">
        <v>0</v>
      </c>
      <c r="L11036" s="21" t="n">
        <v>0</v>
      </c>
      <c r="M11036" s="21" t="n">
        <v>0</v>
      </c>
      <c r="N11036" s="21" t="n">
        <v>0</v>
      </c>
      <c r="O11036" s="21" t="n">
        <v>0</v>
      </c>
      <c r="P11036" s="21" t="n">
        <v>0</v>
      </c>
      <c r="Q11036" s="21" t="n">
        <v>0</v>
      </c>
      <c r="R11036" s="21">
        <f>$B$10477</f>
        <v/>
      </c>
      <c r="S11036" s="21">
        <f>$B$10479</f>
        <v/>
      </c>
      <c r="T11036" s="21">
        <f>0</f>
        <v/>
      </c>
      <c r="U11036" s="21">
        <f>2*$B$10478</f>
        <v/>
      </c>
      <c r="V11036" s="21">
        <f>-$B$10477</f>
        <v/>
      </c>
      <c r="W11036" s="21">
        <f>$B$10479</f>
        <v/>
      </c>
      <c r="X11036" s="21" t="n">
        <v>0</v>
      </c>
      <c r="Y11036" s="21" t="n">
        <v>0</v>
      </c>
      <c r="Z11036" s="19" t="n"/>
    </row>
    <row r="11037">
      <c r="D11037" s="21" t="n">
        <v>0</v>
      </c>
      <c r="E11037" s="21" t="n">
        <v>0</v>
      </c>
      <c r="F11037" s="21" t="n">
        <v>0</v>
      </c>
      <c r="G11037" s="21" t="n">
        <v>0</v>
      </c>
      <c r="H11037" s="21" t="n">
        <v>0</v>
      </c>
      <c r="I11037" s="21" t="n">
        <v>0</v>
      </c>
      <c r="J11037" s="21" t="n">
        <v>0</v>
      </c>
      <c r="K11037" s="21" t="n">
        <v>0</v>
      </c>
      <c r="L11037" s="21" t="n">
        <v>0</v>
      </c>
      <c r="M11037" s="21" t="n">
        <v>0</v>
      </c>
      <c r="N11037" s="21" t="n">
        <v>0</v>
      </c>
      <c r="O11037" s="21" t="n">
        <v>0</v>
      </c>
      <c r="P11037" s="21" t="n">
        <v>0</v>
      </c>
      <c r="Q11037" s="21" t="n">
        <v>0</v>
      </c>
      <c r="R11037" s="21" t="n">
        <v>0</v>
      </c>
      <c r="S11037" s="21" t="n">
        <v>0</v>
      </c>
      <c r="T11037" s="21">
        <f>-$B$10476</f>
        <v/>
      </c>
      <c r="U11037" s="21">
        <f>-$B$10477</f>
        <v/>
      </c>
      <c r="V11037" s="21">
        <f>2*$B$10476+$D$11016</f>
        <v/>
      </c>
      <c r="W11037" s="21">
        <f>0</f>
        <v/>
      </c>
      <c r="X11037" s="21">
        <f>-$B$10476</f>
        <v/>
      </c>
      <c r="Y11037" s="21">
        <f>$B$10477</f>
        <v/>
      </c>
      <c r="Z11037" s="19" t="n"/>
    </row>
    <row r="11038">
      <c r="D11038" s="21" t="n">
        <v>0</v>
      </c>
      <c r="E11038" s="21" t="n">
        <v>0</v>
      </c>
      <c r="F11038" s="21" t="n">
        <v>0</v>
      </c>
      <c r="G11038" s="21" t="n">
        <v>0</v>
      </c>
      <c r="H11038" s="21" t="n">
        <v>0</v>
      </c>
      <c r="I11038" s="21" t="n">
        <v>0</v>
      </c>
      <c r="J11038" s="21" t="n">
        <v>0</v>
      </c>
      <c r="K11038" s="21" t="n">
        <v>0</v>
      </c>
      <c r="L11038" s="21" t="n">
        <v>0</v>
      </c>
      <c r="M11038" s="21" t="n">
        <v>0</v>
      </c>
      <c r="N11038" s="21" t="n">
        <v>0</v>
      </c>
      <c r="O11038" s="21" t="n">
        <v>0</v>
      </c>
      <c r="P11038" s="21" t="n">
        <v>0</v>
      </c>
      <c r="Q11038" s="21" t="n">
        <v>0</v>
      </c>
      <c r="R11038" s="21" t="n">
        <v>0</v>
      </c>
      <c r="S11038" s="21" t="n">
        <v>0</v>
      </c>
      <c r="T11038" s="21">
        <f>$B$10477</f>
        <v/>
      </c>
      <c r="U11038" s="21">
        <f>$B$10479</f>
        <v/>
      </c>
      <c r="V11038" s="21">
        <f>0</f>
        <v/>
      </c>
      <c r="W11038" s="21">
        <f>2*$B$10478</f>
        <v/>
      </c>
      <c r="X11038" s="21">
        <f>-$B$10477</f>
        <v/>
      </c>
      <c r="Y11038" s="21">
        <f>$B$10479</f>
        <v/>
      </c>
      <c r="Z11038" s="19" t="n"/>
    </row>
    <row r="11039">
      <c r="D11039" s="21" t="n">
        <v>0</v>
      </c>
      <c r="E11039" s="21" t="n">
        <v>0</v>
      </c>
      <c r="F11039" s="21" t="n">
        <v>0</v>
      </c>
      <c r="G11039" s="21" t="n">
        <v>0</v>
      </c>
      <c r="H11039" s="21" t="n">
        <v>0</v>
      </c>
      <c r="I11039" s="21" t="n">
        <v>0</v>
      </c>
      <c r="J11039" s="21" t="n">
        <v>0</v>
      </c>
      <c r="K11039" s="21" t="n">
        <v>0</v>
      </c>
      <c r="L11039" s="21" t="n">
        <v>0</v>
      </c>
      <c r="M11039" s="21" t="n">
        <v>0</v>
      </c>
      <c r="N11039" s="21" t="n">
        <v>0</v>
      </c>
      <c r="O11039" s="21" t="n">
        <v>0</v>
      </c>
      <c r="P11039" s="21" t="n">
        <v>0</v>
      </c>
      <c r="Q11039" s="21" t="n">
        <v>0</v>
      </c>
      <c r="R11039" s="21" t="n">
        <v>0</v>
      </c>
      <c r="S11039" s="21" t="n">
        <v>0</v>
      </c>
      <c r="T11039" s="21" t="n">
        <v>0</v>
      </c>
      <c r="U11039" s="21" t="n">
        <v>0</v>
      </c>
      <c r="V11039" s="21">
        <f>-$B$10476</f>
        <v/>
      </c>
      <c r="W11039" s="21">
        <f>-$B$10477</f>
        <v/>
      </c>
      <c r="X11039" s="21">
        <f>$B$10476+$D$11017</f>
        <v/>
      </c>
      <c r="Y11039" s="21">
        <f>-$B$10477</f>
        <v/>
      </c>
      <c r="Z11039" s="19" t="n"/>
    </row>
    <row r="11040">
      <c r="D11040" s="21" t="n">
        <v>0</v>
      </c>
      <c r="E11040" s="21" t="n">
        <v>0</v>
      </c>
      <c r="F11040" s="21" t="n">
        <v>0</v>
      </c>
      <c r="G11040" s="21" t="n">
        <v>0</v>
      </c>
      <c r="H11040" s="21" t="n">
        <v>0</v>
      </c>
      <c r="I11040" s="21" t="n">
        <v>0</v>
      </c>
      <c r="J11040" s="21" t="n">
        <v>0</v>
      </c>
      <c r="K11040" s="21" t="n">
        <v>0</v>
      </c>
      <c r="L11040" s="21" t="n">
        <v>0</v>
      </c>
      <c r="M11040" s="21" t="n">
        <v>0</v>
      </c>
      <c r="N11040" s="21" t="n">
        <v>0</v>
      </c>
      <c r="O11040" s="21" t="n">
        <v>0</v>
      </c>
      <c r="P11040" s="21" t="n">
        <v>0</v>
      </c>
      <c r="Q11040" s="21" t="n">
        <v>0</v>
      </c>
      <c r="R11040" s="21" t="n">
        <v>0</v>
      </c>
      <c r="S11040" s="21" t="n">
        <v>0</v>
      </c>
      <c r="T11040" s="21" t="n">
        <v>0</v>
      </c>
      <c r="U11040" s="21" t="n">
        <v>0</v>
      </c>
      <c r="V11040" s="21">
        <f>$B$10477</f>
        <v/>
      </c>
      <c r="W11040" s="21">
        <f>$B$10479</f>
        <v/>
      </c>
      <c r="X11040" s="21">
        <f>-$B$10477</f>
        <v/>
      </c>
      <c r="Y11040" s="21">
        <f>$B$10478</f>
        <v/>
      </c>
      <c r="Z11040" s="19" t="n"/>
    </row>
    <row r="11042">
      <c r="A11042" s="8" t="inlineStr">
        <is>
          <t>gen 15</t>
        </is>
      </c>
    </row>
    <row r="11043">
      <c r="D11043" s="19">
        <f>IF(ABS(IF(ABS($E$11007)&gt;0.000000001,$E$11007,0.000000001))=0,0,IF($E$10491&lt;=$B$10485,0,IF(ABS(IF(ABS($E$11007)&gt;0.000000001,$E$11007,0.000000001))&gt;=8*$B$10487,$H$10491,0.5*$H$10491*(ABS(IF(ABS($E$11007)&gt;0.000000001,$E$11007,0.000000001))/$B$10487)^(1/3)))/ABS(IF(ABS($E$11007)&gt;0.000000001,$E$11007,0.000000001))*$I$10491)</f>
        <v/>
      </c>
      <c r="E11043" s="19">
        <f>0.5*$E$11007+0.5*$Z$11055</f>
        <v/>
      </c>
      <c r="F11043" s="19">
        <f>$Z$11056</f>
        <v/>
      </c>
    </row>
    <row r="11044">
      <c r="D11044" s="19">
        <f>IF(ABS(IF(ABS($E$11008)&gt;0.000000001,$E$11008,0.000000001))=0,0,IF($E$10492&lt;=$B$10485,0,IF(ABS(IF(ABS($E$11008)&gt;0.000000001,$E$11008,0.000000001))&gt;=8*$B$10487,$H$10492,0.5*$H$10492*(ABS(IF(ABS($E$11008)&gt;0.000000001,$E$11008,0.000000001))/$B$10487)^(1/3)))/ABS(IF(ABS($E$11008)&gt;0.000000001,$E$11008,0.000000001))*$I$10492)</f>
        <v/>
      </c>
      <c r="E11044" s="19">
        <f>0.5*$E$11008+0.5*$Z$11057</f>
        <v/>
      </c>
      <c r="F11044" s="19">
        <f>$Z$11058</f>
        <v/>
      </c>
    </row>
    <row r="11045">
      <c r="D11045" s="19">
        <f>IF(ABS(IF(ABS($E$11009)&gt;0.000000001,$E$11009,0.000000001))=0,0,IF($E$10493&lt;=$B$10485,0,IF(ABS(IF(ABS($E$11009)&gt;0.000000001,$E$11009,0.000000001))&gt;=8*$B$10487,$H$10493,0.5*$H$10493*(ABS(IF(ABS($E$11009)&gt;0.000000001,$E$11009,0.000000001))/$B$10487)^(1/3)))/ABS(IF(ABS($E$11009)&gt;0.000000001,$E$11009,0.000000001))*$I$10493)</f>
        <v/>
      </c>
      <c r="E11045" s="19">
        <f>0.5*$E$11009+0.5*$Z$11059</f>
        <v/>
      </c>
      <c r="F11045" s="19">
        <f>$Z$11060</f>
        <v/>
      </c>
    </row>
    <row r="11046">
      <c r="D11046" s="19">
        <f>IF(ABS(IF(ABS($E$11010)&gt;0.000000001,$E$11010,0.000000001))=0,0,IF($E$10494&lt;=$B$10485,0,IF(ABS(IF(ABS($E$11010)&gt;0.000000001,$E$11010,0.000000001))&gt;=8*$B$10487,$H$10494,0.5*$H$10494*(ABS(IF(ABS($E$11010)&gt;0.000000001,$E$11010,0.000000001))/$B$10487)^(1/3)))/ABS(IF(ABS($E$11010)&gt;0.000000001,$E$11010,0.000000001))*$I$10494)</f>
        <v/>
      </c>
      <c r="E11046" s="19">
        <f>0.5*$E$11010+0.5*$Z$11061</f>
        <v/>
      </c>
      <c r="F11046" s="19">
        <f>$Z$11062</f>
        <v/>
      </c>
    </row>
    <row r="11047">
      <c r="D11047" s="19">
        <f>IF(ABS(IF(ABS($E$11011)&gt;0.000000001,$E$11011,0.000000001))=0,0,IF($E$10495&lt;=$B$10485,0,IF(ABS(IF(ABS($E$11011)&gt;0.000000001,$E$11011,0.000000001))&gt;=8*$B$10487,$H$10495,0.5*$H$10495*(ABS(IF(ABS($E$11011)&gt;0.000000001,$E$11011,0.000000001))/$B$10487)^(1/3)))/ABS(IF(ABS($E$11011)&gt;0.000000001,$E$11011,0.000000001))*$I$10495)</f>
        <v/>
      </c>
      <c r="E11047" s="19">
        <f>0.5*$E$11011+0.5*$Z$11063</f>
        <v/>
      </c>
      <c r="F11047" s="19">
        <f>$Z$11064</f>
        <v/>
      </c>
    </row>
    <row r="11048">
      <c r="D11048" s="19">
        <f>IF(ABS(IF(ABS($E$11012)&gt;0.000000001,$E$11012,0.000000001))=0,0,IF($E$10496&lt;=$B$10485,0,IF(ABS(IF(ABS($E$11012)&gt;0.000000001,$E$11012,0.000000001))&gt;=8*$B$10487,$H$10496,0.5*$H$10496*(ABS(IF(ABS($E$11012)&gt;0.000000001,$E$11012,0.000000001))/$B$10487)^(1/3)))/ABS(IF(ABS($E$11012)&gt;0.000000001,$E$11012,0.000000001))*$I$10496)</f>
        <v/>
      </c>
      <c r="E11048" s="19">
        <f>0.5*$E$11012+0.5*$Z$11065</f>
        <v/>
      </c>
      <c r="F11048" s="19">
        <f>$Z$11066</f>
        <v/>
      </c>
    </row>
    <row r="11049">
      <c r="D11049" s="19">
        <f>IF(ABS(IF(ABS($E$11013)&gt;0.000000001,$E$11013,0.000000001))=0,0,IF($E$10497&lt;=$B$10485,0,IF(ABS(IF(ABS($E$11013)&gt;0.000000001,$E$11013,0.000000001))&gt;=8*$B$10487,$H$10497,0.5*$H$10497*(ABS(IF(ABS($E$11013)&gt;0.000000001,$E$11013,0.000000001))/$B$10487)^(1/3)))/ABS(IF(ABS($E$11013)&gt;0.000000001,$E$11013,0.000000001))*$I$10497)</f>
        <v/>
      </c>
      <c r="E11049" s="19">
        <f>0.5*$E$11013+0.5*$Z$11067</f>
        <v/>
      </c>
      <c r="F11049" s="19">
        <f>$Z$11068</f>
        <v/>
      </c>
    </row>
    <row r="11050">
      <c r="D11050" s="19">
        <f>IF(ABS(IF(ABS($E$11014)&gt;0.000000001,$E$11014,0.000000001))=0,0,IF($E$10498&lt;=$B$10485,0,IF(ABS(IF(ABS($E$11014)&gt;0.000000001,$E$11014,0.000000001))&gt;=8*$B$10487,$H$10498,0.5*$H$10498*(ABS(IF(ABS($E$11014)&gt;0.000000001,$E$11014,0.000000001))/$B$10487)^(1/3)))/ABS(IF(ABS($E$11014)&gt;0.000000001,$E$11014,0.000000001))*$I$10498)</f>
        <v/>
      </c>
      <c r="E11050" s="19">
        <f>0.5*$E$11014+0.5*$Z$11069</f>
        <v/>
      </c>
      <c r="F11050" s="19">
        <f>$Z$11070</f>
        <v/>
      </c>
    </row>
    <row r="11051">
      <c r="D11051" s="19">
        <f>IF(ABS(IF(ABS($E$11015)&gt;0.000000001,$E$11015,0.000000001))=0,0,IF($E$10499&lt;=$B$10485,0,IF(ABS(IF(ABS($E$11015)&gt;0.000000001,$E$11015,0.000000001))&gt;=8*$B$10487,$H$10499,0.5*$H$10499*(ABS(IF(ABS($E$11015)&gt;0.000000001,$E$11015,0.000000001))/$B$10487)^(1/3)))/ABS(IF(ABS($E$11015)&gt;0.000000001,$E$11015,0.000000001))*$I$10499)</f>
        <v/>
      </c>
      <c r="E11051" s="19">
        <f>0.5*$E$11015+0.5*$Z$11071</f>
        <v/>
      </c>
      <c r="F11051" s="19">
        <f>$Z$11072</f>
        <v/>
      </c>
    </row>
    <row r="11052">
      <c r="D11052" s="19">
        <f>IF(ABS(IF(ABS($E$11016)&gt;0.000000001,$E$11016,0.000000001))=0,0,IF($E$10500&lt;=$B$10485,0,IF(ABS(IF(ABS($E$11016)&gt;0.000000001,$E$11016,0.000000001))&gt;=8*$B$10487,$H$10500,0.5*$H$10500*(ABS(IF(ABS($E$11016)&gt;0.000000001,$E$11016,0.000000001))/$B$10487)^(1/3)))/ABS(IF(ABS($E$11016)&gt;0.000000001,$E$11016,0.000000001))*$I$10500)</f>
        <v/>
      </c>
      <c r="E11052" s="19">
        <f>0.5*$E$11016+0.5*$Z$11073</f>
        <v/>
      </c>
      <c r="F11052" s="19">
        <f>$Z$11074</f>
        <v/>
      </c>
    </row>
    <row r="11053">
      <c r="D11053" s="19">
        <f>IF(ABS(IF(ABS($E$11017)&gt;0.000000001,$E$11017,0.000000001))=0,0,IF($E$10501&lt;=$B$10485,0,IF(ABS(IF(ABS($E$11017)&gt;0.000000001,$E$11017,0.000000001))&gt;=8*$B$10487,$H$10501,0.5*$H$10501*(ABS(IF(ABS($E$11017)&gt;0.000000001,$E$11017,0.000000001))/$B$10487)^(1/3)))/ABS(IF(ABS($E$11017)&gt;0.000000001,$E$11017,0.000000001))*$I$10501)</f>
        <v/>
      </c>
      <c r="E11053" s="19">
        <f>0.5*$E$11017+0.5*$Z$11075</f>
        <v/>
      </c>
      <c r="F11053" s="19">
        <f>$Z$11076</f>
        <v/>
      </c>
    </row>
    <row r="11055">
      <c r="D11055" s="21">
        <f>$B$10476+$D$11043</f>
        <v/>
      </c>
      <c r="E11055" s="21">
        <f>$B$10477</f>
        <v/>
      </c>
      <c r="F11055" s="21">
        <f>-$B$10476</f>
        <v/>
      </c>
      <c r="G11055" s="21">
        <f>$B$10477</f>
        <v/>
      </c>
      <c r="H11055" s="21" t="n">
        <v>0</v>
      </c>
      <c r="I11055" s="21" t="n">
        <v>0</v>
      </c>
      <c r="J11055" s="21" t="n">
        <v>0</v>
      </c>
      <c r="K11055" s="21" t="n">
        <v>0</v>
      </c>
      <c r="L11055" s="21" t="n">
        <v>0</v>
      </c>
      <c r="M11055" s="21" t="n">
        <v>0</v>
      </c>
      <c r="N11055" s="21" t="n">
        <v>0</v>
      </c>
      <c r="O11055" s="21" t="n">
        <v>0</v>
      </c>
      <c r="P11055" s="21" t="n">
        <v>0</v>
      </c>
      <c r="Q11055" s="21" t="n">
        <v>0</v>
      </c>
      <c r="R11055" s="21" t="n">
        <v>0</v>
      </c>
      <c r="S11055" s="21" t="n">
        <v>0</v>
      </c>
      <c r="T11055" s="21" t="n">
        <v>0</v>
      </c>
      <c r="U11055" s="21" t="n">
        <v>0</v>
      </c>
      <c r="V11055" s="21" t="n">
        <v>0</v>
      </c>
      <c r="W11055" s="21" t="n">
        <v>0</v>
      </c>
      <c r="X11055" s="21" t="n">
        <v>0</v>
      </c>
      <c r="Y11055" s="21" t="n">
        <v>0</v>
      </c>
      <c r="Z11055" s="19">
        <f t="array" ref="Z11055:Z11076">MMULT(MINVERSE($D$11055:$Y$11076),$D$10503:$D$10524)</f>
        <v/>
      </c>
    </row>
    <row r="11056">
      <c r="D11056" s="21">
        <f>$B$10477</f>
        <v/>
      </c>
      <c r="E11056" s="21">
        <f>$B$10478</f>
        <v/>
      </c>
      <c r="F11056" s="21">
        <f>-$B$10477</f>
        <v/>
      </c>
      <c r="G11056" s="21">
        <f>$B$10479</f>
        <v/>
      </c>
      <c r="H11056" s="21" t="n">
        <v>0</v>
      </c>
      <c r="I11056" s="21" t="n">
        <v>0</v>
      </c>
      <c r="J11056" s="21" t="n">
        <v>0</v>
      </c>
      <c r="K11056" s="21" t="n">
        <v>0</v>
      </c>
      <c r="L11056" s="21" t="n">
        <v>0</v>
      </c>
      <c r="M11056" s="21" t="n">
        <v>0</v>
      </c>
      <c r="N11056" s="21" t="n">
        <v>0</v>
      </c>
      <c r="O11056" s="21" t="n">
        <v>0</v>
      </c>
      <c r="P11056" s="21" t="n">
        <v>0</v>
      </c>
      <c r="Q11056" s="21" t="n">
        <v>0</v>
      </c>
      <c r="R11056" s="21" t="n">
        <v>0</v>
      </c>
      <c r="S11056" s="21" t="n">
        <v>0</v>
      </c>
      <c r="T11056" s="21" t="n">
        <v>0</v>
      </c>
      <c r="U11056" s="21" t="n">
        <v>0</v>
      </c>
      <c r="V11056" s="21" t="n">
        <v>0</v>
      </c>
      <c r="W11056" s="21" t="n">
        <v>0</v>
      </c>
      <c r="X11056" s="21" t="n">
        <v>0</v>
      </c>
      <c r="Y11056" s="21" t="n">
        <v>0</v>
      </c>
      <c r="Z11056" s="19" t="n"/>
    </row>
    <row r="11057">
      <c r="D11057" s="21">
        <f>-$B$10476</f>
        <v/>
      </c>
      <c r="E11057" s="21">
        <f>-$B$10477</f>
        <v/>
      </c>
      <c r="F11057" s="21">
        <f>2*$B$10476+$D$11044</f>
        <v/>
      </c>
      <c r="G11057" s="21">
        <f>0</f>
        <v/>
      </c>
      <c r="H11057" s="21">
        <f>-$B$10476</f>
        <v/>
      </c>
      <c r="I11057" s="21">
        <f>$B$10477</f>
        <v/>
      </c>
      <c r="J11057" s="21" t="n">
        <v>0</v>
      </c>
      <c r="K11057" s="21" t="n">
        <v>0</v>
      </c>
      <c r="L11057" s="21" t="n">
        <v>0</v>
      </c>
      <c r="M11057" s="21" t="n">
        <v>0</v>
      </c>
      <c r="N11057" s="21" t="n">
        <v>0</v>
      </c>
      <c r="O11057" s="21" t="n">
        <v>0</v>
      </c>
      <c r="P11057" s="21" t="n">
        <v>0</v>
      </c>
      <c r="Q11057" s="21" t="n">
        <v>0</v>
      </c>
      <c r="R11057" s="21" t="n">
        <v>0</v>
      </c>
      <c r="S11057" s="21" t="n">
        <v>0</v>
      </c>
      <c r="T11057" s="21" t="n">
        <v>0</v>
      </c>
      <c r="U11057" s="21" t="n">
        <v>0</v>
      </c>
      <c r="V11057" s="21" t="n">
        <v>0</v>
      </c>
      <c r="W11057" s="21" t="n">
        <v>0</v>
      </c>
      <c r="X11057" s="21" t="n">
        <v>0</v>
      </c>
      <c r="Y11057" s="21" t="n">
        <v>0</v>
      </c>
      <c r="Z11057" s="19" t="n"/>
    </row>
    <row r="11058">
      <c r="D11058" s="21">
        <f>$B$10477</f>
        <v/>
      </c>
      <c r="E11058" s="21">
        <f>$B$10479</f>
        <v/>
      </c>
      <c r="F11058" s="21">
        <f>0</f>
        <v/>
      </c>
      <c r="G11058" s="21">
        <f>2*$B$10478</f>
        <v/>
      </c>
      <c r="H11058" s="21">
        <f>-$B$10477</f>
        <v/>
      </c>
      <c r="I11058" s="21">
        <f>$B$10479</f>
        <v/>
      </c>
      <c r="J11058" s="21" t="n">
        <v>0</v>
      </c>
      <c r="K11058" s="21" t="n">
        <v>0</v>
      </c>
      <c r="L11058" s="21" t="n">
        <v>0</v>
      </c>
      <c r="M11058" s="21" t="n">
        <v>0</v>
      </c>
      <c r="N11058" s="21" t="n">
        <v>0</v>
      </c>
      <c r="O11058" s="21" t="n">
        <v>0</v>
      </c>
      <c r="P11058" s="21" t="n">
        <v>0</v>
      </c>
      <c r="Q11058" s="21" t="n">
        <v>0</v>
      </c>
      <c r="R11058" s="21" t="n">
        <v>0</v>
      </c>
      <c r="S11058" s="21" t="n">
        <v>0</v>
      </c>
      <c r="T11058" s="21" t="n">
        <v>0</v>
      </c>
      <c r="U11058" s="21" t="n">
        <v>0</v>
      </c>
      <c r="V11058" s="21" t="n">
        <v>0</v>
      </c>
      <c r="W11058" s="21" t="n">
        <v>0</v>
      </c>
      <c r="X11058" s="21" t="n">
        <v>0</v>
      </c>
      <c r="Y11058" s="21" t="n">
        <v>0</v>
      </c>
      <c r="Z11058" s="19" t="n"/>
    </row>
    <row r="11059">
      <c r="D11059" s="21" t="n">
        <v>0</v>
      </c>
      <c r="E11059" s="21" t="n">
        <v>0</v>
      </c>
      <c r="F11059" s="21">
        <f>-$B$10476</f>
        <v/>
      </c>
      <c r="G11059" s="21">
        <f>-$B$10477</f>
        <v/>
      </c>
      <c r="H11059" s="21">
        <f>2*$B$10476+$D$11045</f>
        <v/>
      </c>
      <c r="I11059" s="21">
        <f>0</f>
        <v/>
      </c>
      <c r="J11059" s="21">
        <f>-$B$10476</f>
        <v/>
      </c>
      <c r="K11059" s="21">
        <f>$B$10477</f>
        <v/>
      </c>
      <c r="L11059" s="21" t="n">
        <v>0</v>
      </c>
      <c r="M11059" s="21" t="n">
        <v>0</v>
      </c>
      <c r="N11059" s="21" t="n">
        <v>0</v>
      </c>
      <c r="O11059" s="21" t="n">
        <v>0</v>
      </c>
      <c r="P11059" s="21" t="n">
        <v>0</v>
      </c>
      <c r="Q11059" s="21" t="n">
        <v>0</v>
      </c>
      <c r="R11059" s="21" t="n">
        <v>0</v>
      </c>
      <c r="S11059" s="21" t="n">
        <v>0</v>
      </c>
      <c r="T11059" s="21" t="n">
        <v>0</v>
      </c>
      <c r="U11059" s="21" t="n">
        <v>0</v>
      </c>
      <c r="V11059" s="21" t="n">
        <v>0</v>
      </c>
      <c r="W11059" s="21" t="n">
        <v>0</v>
      </c>
      <c r="X11059" s="21" t="n">
        <v>0</v>
      </c>
      <c r="Y11059" s="21" t="n">
        <v>0</v>
      </c>
      <c r="Z11059" s="19" t="n"/>
    </row>
    <row r="11060">
      <c r="D11060" s="21" t="n">
        <v>0</v>
      </c>
      <c r="E11060" s="21" t="n">
        <v>0</v>
      </c>
      <c r="F11060" s="21">
        <f>$B$10477</f>
        <v/>
      </c>
      <c r="G11060" s="21">
        <f>$B$10479</f>
        <v/>
      </c>
      <c r="H11060" s="21">
        <f>0</f>
        <v/>
      </c>
      <c r="I11060" s="21">
        <f>2*$B$10478</f>
        <v/>
      </c>
      <c r="J11060" s="21">
        <f>-$B$10477</f>
        <v/>
      </c>
      <c r="K11060" s="21">
        <f>$B$10479</f>
        <v/>
      </c>
      <c r="L11060" s="21" t="n">
        <v>0</v>
      </c>
      <c r="M11060" s="21" t="n">
        <v>0</v>
      </c>
      <c r="N11060" s="21" t="n">
        <v>0</v>
      </c>
      <c r="O11060" s="21" t="n">
        <v>0</v>
      </c>
      <c r="P11060" s="21" t="n">
        <v>0</v>
      </c>
      <c r="Q11060" s="21" t="n">
        <v>0</v>
      </c>
      <c r="R11060" s="21" t="n">
        <v>0</v>
      </c>
      <c r="S11060" s="21" t="n">
        <v>0</v>
      </c>
      <c r="T11060" s="21" t="n">
        <v>0</v>
      </c>
      <c r="U11060" s="21" t="n">
        <v>0</v>
      </c>
      <c r="V11060" s="21" t="n">
        <v>0</v>
      </c>
      <c r="W11060" s="21" t="n">
        <v>0</v>
      </c>
      <c r="X11060" s="21" t="n">
        <v>0</v>
      </c>
      <c r="Y11060" s="21" t="n">
        <v>0</v>
      </c>
      <c r="Z11060" s="19" t="n"/>
    </row>
    <row r="11061">
      <c r="D11061" s="21" t="n">
        <v>0</v>
      </c>
      <c r="E11061" s="21" t="n">
        <v>0</v>
      </c>
      <c r="F11061" s="21" t="n">
        <v>0</v>
      </c>
      <c r="G11061" s="21" t="n">
        <v>0</v>
      </c>
      <c r="H11061" s="21">
        <f>-$B$10476</f>
        <v/>
      </c>
      <c r="I11061" s="21">
        <f>-$B$10477</f>
        <v/>
      </c>
      <c r="J11061" s="21">
        <f>2*$B$10476+$D$11046</f>
        <v/>
      </c>
      <c r="K11061" s="21">
        <f>0</f>
        <v/>
      </c>
      <c r="L11061" s="21">
        <f>-$B$10476</f>
        <v/>
      </c>
      <c r="M11061" s="21">
        <f>$B$10477</f>
        <v/>
      </c>
      <c r="N11061" s="21" t="n">
        <v>0</v>
      </c>
      <c r="O11061" s="21" t="n">
        <v>0</v>
      </c>
      <c r="P11061" s="21" t="n">
        <v>0</v>
      </c>
      <c r="Q11061" s="21" t="n">
        <v>0</v>
      </c>
      <c r="R11061" s="21" t="n">
        <v>0</v>
      </c>
      <c r="S11061" s="21" t="n">
        <v>0</v>
      </c>
      <c r="T11061" s="21" t="n">
        <v>0</v>
      </c>
      <c r="U11061" s="21" t="n">
        <v>0</v>
      </c>
      <c r="V11061" s="21" t="n">
        <v>0</v>
      </c>
      <c r="W11061" s="21" t="n">
        <v>0</v>
      </c>
      <c r="X11061" s="21" t="n">
        <v>0</v>
      </c>
      <c r="Y11061" s="21" t="n">
        <v>0</v>
      </c>
      <c r="Z11061" s="19" t="n"/>
    </row>
    <row r="11062">
      <c r="D11062" s="21" t="n">
        <v>0</v>
      </c>
      <c r="E11062" s="21" t="n">
        <v>0</v>
      </c>
      <c r="F11062" s="21" t="n">
        <v>0</v>
      </c>
      <c r="G11062" s="21" t="n">
        <v>0</v>
      </c>
      <c r="H11062" s="21">
        <f>$B$10477</f>
        <v/>
      </c>
      <c r="I11062" s="21">
        <f>$B$10479</f>
        <v/>
      </c>
      <c r="J11062" s="21">
        <f>0</f>
        <v/>
      </c>
      <c r="K11062" s="21">
        <f>2*$B$10478</f>
        <v/>
      </c>
      <c r="L11062" s="21">
        <f>-$B$10477</f>
        <v/>
      </c>
      <c r="M11062" s="21">
        <f>$B$10479</f>
        <v/>
      </c>
      <c r="N11062" s="21" t="n">
        <v>0</v>
      </c>
      <c r="O11062" s="21" t="n">
        <v>0</v>
      </c>
      <c r="P11062" s="21" t="n">
        <v>0</v>
      </c>
      <c r="Q11062" s="21" t="n">
        <v>0</v>
      </c>
      <c r="R11062" s="21" t="n">
        <v>0</v>
      </c>
      <c r="S11062" s="21" t="n">
        <v>0</v>
      </c>
      <c r="T11062" s="21" t="n">
        <v>0</v>
      </c>
      <c r="U11062" s="21" t="n">
        <v>0</v>
      </c>
      <c r="V11062" s="21" t="n">
        <v>0</v>
      </c>
      <c r="W11062" s="21" t="n">
        <v>0</v>
      </c>
      <c r="X11062" s="21" t="n">
        <v>0</v>
      </c>
      <c r="Y11062" s="21" t="n">
        <v>0</v>
      </c>
      <c r="Z11062" s="19" t="n"/>
    </row>
    <row r="11063">
      <c r="D11063" s="21" t="n">
        <v>0</v>
      </c>
      <c r="E11063" s="21" t="n">
        <v>0</v>
      </c>
      <c r="F11063" s="21" t="n">
        <v>0</v>
      </c>
      <c r="G11063" s="21" t="n">
        <v>0</v>
      </c>
      <c r="H11063" s="21" t="n">
        <v>0</v>
      </c>
      <c r="I11063" s="21" t="n">
        <v>0</v>
      </c>
      <c r="J11063" s="21">
        <f>-$B$10476</f>
        <v/>
      </c>
      <c r="K11063" s="21">
        <f>-$B$10477</f>
        <v/>
      </c>
      <c r="L11063" s="21">
        <f>2*$B$10476+$D$11047</f>
        <v/>
      </c>
      <c r="M11063" s="21">
        <f>0</f>
        <v/>
      </c>
      <c r="N11063" s="21">
        <f>-$B$10476</f>
        <v/>
      </c>
      <c r="O11063" s="21">
        <f>$B$10477</f>
        <v/>
      </c>
      <c r="P11063" s="21" t="n">
        <v>0</v>
      </c>
      <c r="Q11063" s="21" t="n">
        <v>0</v>
      </c>
      <c r="R11063" s="21" t="n">
        <v>0</v>
      </c>
      <c r="S11063" s="21" t="n">
        <v>0</v>
      </c>
      <c r="T11063" s="21" t="n">
        <v>0</v>
      </c>
      <c r="U11063" s="21" t="n">
        <v>0</v>
      </c>
      <c r="V11063" s="21" t="n">
        <v>0</v>
      </c>
      <c r="W11063" s="21" t="n">
        <v>0</v>
      </c>
      <c r="X11063" s="21" t="n">
        <v>0</v>
      </c>
      <c r="Y11063" s="21" t="n">
        <v>0</v>
      </c>
      <c r="Z11063" s="19" t="n"/>
    </row>
    <row r="11064">
      <c r="D11064" s="21" t="n">
        <v>0</v>
      </c>
      <c r="E11064" s="21" t="n">
        <v>0</v>
      </c>
      <c r="F11064" s="21" t="n">
        <v>0</v>
      </c>
      <c r="G11064" s="21" t="n">
        <v>0</v>
      </c>
      <c r="H11064" s="21" t="n">
        <v>0</v>
      </c>
      <c r="I11064" s="21" t="n">
        <v>0</v>
      </c>
      <c r="J11064" s="21">
        <f>$B$10477</f>
        <v/>
      </c>
      <c r="K11064" s="21">
        <f>$B$10479</f>
        <v/>
      </c>
      <c r="L11064" s="21">
        <f>0</f>
        <v/>
      </c>
      <c r="M11064" s="21">
        <f>2*$B$10478</f>
        <v/>
      </c>
      <c r="N11064" s="21">
        <f>-$B$10477</f>
        <v/>
      </c>
      <c r="O11064" s="21">
        <f>$B$10479</f>
        <v/>
      </c>
      <c r="P11064" s="21" t="n">
        <v>0</v>
      </c>
      <c r="Q11064" s="21" t="n">
        <v>0</v>
      </c>
      <c r="R11064" s="21" t="n">
        <v>0</v>
      </c>
      <c r="S11064" s="21" t="n">
        <v>0</v>
      </c>
      <c r="T11064" s="21" t="n">
        <v>0</v>
      </c>
      <c r="U11064" s="21" t="n">
        <v>0</v>
      </c>
      <c r="V11064" s="21" t="n">
        <v>0</v>
      </c>
      <c r="W11064" s="21" t="n">
        <v>0</v>
      </c>
      <c r="X11064" s="21" t="n">
        <v>0</v>
      </c>
      <c r="Y11064" s="21" t="n">
        <v>0</v>
      </c>
      <c r="Z11064" s="19" t="n"/>
    </row>
    <row r="11065">
      <c r="D11065" s="21" t="n">
        <v>0</v>
      </c>
      <c r="E11065" s="21" t="n">
        <v>0</v>
      </c>
      <c r="F11065" s="21" t="n">
        <v>0</v>
      </c>
      <c r="G11065" s="21" t="n">
        <v>0</v>
      </c>
      <c r="H11065" s="21" t="n">
        <v>0</v>
      </c>
      <c r="I11065" s="21" t="n">
        <v>0</v>
      </c>
      <c r="J11065" s="21" t="n">
        <v>0</v>
      </c>
      <c r="K11065" s="21" t="n">
        <v>0</v>
      </c>
      <c r="L11065" s="21">
        <f>-$B$10476</f>
        <v/>
      </c>
      <c r="M11065" s="21">
        <f>-$B$10477</f>
        <v/>
      </c>
      <c r="N11065" s="21">
        <f>2*$B$10476+$D$11048</f>
        <v/>
      </c>
      <c r="O11065" s="21">
        <f>0</f>
        <v/>
      </c>
      <c r="P11065" s="21">
        <f>-$B$10476</f>
        <v/>
      </c>
      <c r="Q11065" s="21">
        <f>$B$10477</f>
        <v/>
      </c>
      <c r="R11065" s="21" t="n">
        <v>0</v>
      </c>
      <c r="S11065" s="21" t="n">
        <v>0</v>
      </c>
      <c r="T11065" s="21" t="n">
        <v>0</v>
      </c>
      <c r="U11065" s="21" t="n">
        <v>0</v>
      </c>
      <c r="V11065" s="21" t="n">
        <v>0</v>
      </c>
      <c r="W11065" s="21" t="n">
        <v>0</v>
      </c>
      <c r="X11065" s="21" t="n">
        <v>0</v>
      </c>
      <c r="Y11065" s="21" t="n">
        <v>0</v>
      </c>
      <c r="Z11065" s="19" t="n"/>
    </row>
    <row r="11066">
      <c r="D11066" s="21" t="n">
        <v>0</v>
      </c>
      <c r="E11066" s="21" t="n">
        <v>0</v>
      </c>
      <c r="F11066" s="21" t="n">
        <v>0</v>
      </c>
      <c r="G11066" s="21" t="n">
        <v>0</v>
      </c>
      <c r="H11066" s="21" t="n">
        <v>0</v>
      </c>
      <c r="I11066" s="21" t="n">
        <v>0</v>
      </c>
      <c r="J11066" s="21" t="n">
        <v>0</v>
      </c>
      <c r="K11066" s="21" t="n">
        <v>0</v>
      </c>
      <c r="L11066" s="21">
        <f>$B$10477</f>
        <v/>
      </c>
      <c r="M11066" s="21">
        <f>$B$10479</f>
        <v/>
      </c>
      <c r="N11066" s="21">
        <f>0</f>
        <v/>
      </c>
      <c r="O11066" s="21">
        <f>2*$B$10478</f>
        <v/>
      </c>
      <c r="P11066" s="21">
        <f>-$B$10477</f>
        <v/>
      </c>
      <c r="Q11066" s="21">
        <f>$B$10479</f>
        <v/>
      </c>
      <c r="R11066" s="21" t="n">
        <v>0</v>
      </c>
      <c r="S11066" s="21" t="n">
        <v>0</v>
      </c>
      <c r="T11066" s="21" t="n">
        <v>0</v>
      </c>
      <c r="U11066" s="21" t="n">
        <v>0</v>
      </c>
      <c r="V11066" s="21" t="n">
        <v>0</v>
      </c>
      <c r="W11066" s="21" t="n">
        <v>0</v>
      </c>
      <c r="X11066" s="21" t="n">
        <v>0</v>
      </c>
      <c r="Y11066" s="21" t="n">
        <v>0</v>
      </c>
      <c r="Z11066" s="19" t="n"/>
    </row>
    <row r="11067">
      <c r="D11067" s="21" t="n">
        <v>0</v>
      </c>
      <c r="E11067" s="21" t="n">
        <v>0</v>
      </c>
      <c r="F11067" s="21" t="n">
        <v>0</v>
      </c>
      <c r="G11067" s="21" t="n">
        <v>0</v>
      </c>
      <c r="H11067" s="21" t="n">
        <v>0</v>
      </c>
      <c r="I11067" s="21" t="n">
        <v>0</v>
      </c>
      <c r="J11067" s="21" t="n">
        <v>0</v>
      </c>
      <c r="K11067" s="21" t="n">
        <v>0</v>
      </c>
      <c r="L11067" s="21" t="n">
        <v>0</v>
      </c>
      <c r="M11067" s="21" t="n">
        <v>0</v>
      </c>
      <c r="N11067" s="21">
        <f>-$B$10476</f>
        <v/>
      </c>
      <c r="O11067" s="21">
        <f>-$B$10477</f>
        <v/>
      </c>
      <c r="P11067" s="21">
        <f>2*$B$10476+$D$11049</f>
        <v/>
      </c>
      <c r="Q11067" s="21">
        <f>0</f>
        <v/>
      </c>
      <c r="R11067" s="21">
        <f>-$B$10476</f>
        <v/>
      </c>
      <c r="S11067" s="21">
        <f>$B$10477</f>
        <v/>
      </c>
      <c r="T11067" s="21" t="n">
        <v>0</v>
      </c>
      <c r="U11067" s="21" t="n">
        <v>0</v>
      </c>
      <c r="V11067" s="21" t="n">
        <v>0</v>
      </c>
      <c r="W11067" s="21" t="n">
        <v>0</v>
      </c>
      <c r="X11067" s="21" t="n">
        <v>0</v>
      </c>
      <c r="Y11067" s="21" t="n">
        <v>0</v>
      </c>
      <c r="Z11067" s="19" t="n"/>
    </row>
    <row r="11068">
      <c r="D11068" s="21" t="n">
        <v>0</v>
      </c>
      <c r="E11068" s="21" t="n">
        <v>0</v>
      </c>
      <c r="F11068" s="21" t="n">
        <v>0</v>
      </c>
      <c r="G11068" s="21" t="n">
        <v>0</v>
      </c>
      <c r="H11068" s="21" t="n">
        <v>0</v>
      </c>
      <c r="I11068" s="21" t="n">
        <v>0</v>
      </c>
      <c r="J11068" s="21" t="n">
        <v>0</v>
      </c>
      <c r="K11068" s="21" t="n">
        <v>0</v>
      </c>
      <c r="L11068" s="21" t="n">
        <v>0</v>
      </c>
      <c r="M11068" s="21" t="n">
        <v>0</v>
      </c>
      <c r="N11068" s="21">
        <f>$B$10477</f>
        <v/>
      </c>
      <c r="O11068" s="21">
        <f>$B$10479</f>
        <v/>
      </c>
      <c r="P11068" s="21">
        <f>0</f>
        <v/>
      </c>
      <c r="Q11068" s="21">
        <f>2*$B$10478</f>
        <v/>
      </c>
      <c r="R11068" s="21">
        <f>-$B$10477</f>
        <v/>
      </c>
      <c r="S11068" s="21">
        <f>$B$10479</f>
        <v/>
      </c>
      <c r="T11068" s="21" t="n">
        <v>0</v>
      </c>
      <c r="U11068" s="21" t="n">
        <v>0</v>
      </c>
      <c r="V11068" s="21" t="n">
        <v>0</v>
      </c>
      <c r="W11068" s="21" t="n">
        <v>0</v>
      </c>
      <c r="X11068" s="21" t="n">
        <v>0</v>
      </c>
      <c r="Y11068" s="21" t="n">
        <v>0</v>
      </c>
      <c r="Z11068" s="19" t="n"/>
    </row>
    <row r="11069">
      <c r="D11069" s="21" t="n">
        <v>0</v>
      </c>
      <c r="E11069" s="21" t="n">
        <v>0</v>
      </c>
      <c r="F11069" s="21" t="n">
        <v>0</v>
      </c>
      <c r="G11069" s="21" t="n">
        <v>0</v>
      </c>
      <c r="H11069" s="21" t="n">
        <v>0</v>
      </c>
      <c r="I11069" s="21" t="n">
        <v>0</v>
      </c>
      <c r="J11069" s="21" t="n">
        <v>0</v>
      </c>
      <c r="K11069" s="21" t="n">
        <v>0</v>
      </c>
      <c r="L11069" s="21" t="n">
        <v>0</v>
      </c>
      <c r="M11069" s="21" t="n">
        <v>0</v>
      </c>
      <c r="N11069" s="21" t="n">
        <v>0</v>
      </c>
      <c r="O11069" s="21" t="n">
        <v>0</v>
      </c>
      <c r="P11069" s="21">
        <f>-$B$10476</f>
        <v/>
      </c>
      <c r="Q11069" s="21">
        <f>-$B$10477</f>
        <v/>
      </c>
      <c r="R11069" s="21">
        <f>2*$B$10476+$D$11050</f>
        <v/>
      </c>
      <c r="S11069" s="21">
        <f>0</f>
        <v/>
      </c>
      <c r="T11069" s="21">
        <f>-$B$10476</f>
        <v/>
      </c>
      <c r="U11069" s="21">
        <f>$B$10477</f>
        <v/>
      </c>
      <c r="V11069" s="21" t="n">
        <v>0</v>
      </c>
      <c r="W11069" s="21" t="n">
        <v>0</v>
      </c>
      <c r="X11069" s="21" t="n">
        <v>0</v>
      </c>
      <c r="Y11069" s="21" t="n">
        <v>0</v>
      </c>
      <c r="Z11069" s="19" t="n"/>
    </row>
    <row r="11070">
      <c r="D11070" s="21" t="n">
        <v>0</v>
      </c>
      <c r="E11070" s="21" t="n">
        <v>0</v>
      </c>
      <c r="F11070" s="21" t="n">
        <v>0</v>
      </c>
      <c r="G11070" s="21" t="n">
        <v>0</v>
      </c>
      <c r="H11070" s="21" t="n">
        <v>0</v>
      </c>
      <c r="I11070" s="21" t="n">
        <v>0</v>
      </c>
      <c r="J11070" s="21" t="n">
        <v>0</v>
      </c>
      <c r="K11070" s="21" t="n">
        <v>0</v>
      </c>
      <c r="L11070" s="21" t="n">
        <v>0</v>
      </c>
      <c r="M11070" s="21" t="n">
        <v>0</v>
      </c>
      <c r="N11070" s="21" t="n">
        <v>0</v>
      </c>
      <c r="O11070" s="21" t="n">
        <v>0</v>
      </c>
      <c r="P11070" s="21">
        <f>$B$10477</f>
        <v/>
      </c>
      <c r="Q11070" s="21">
        <f>$B$10479</f>
        <v/>
      </c>
      <c r="R11070" s="21">
        <f>0</f>
        <v/>
      </c>
      <c r="S11070" s="21">
        <f>2*$B$10478</f>
        <v/>
      </c>
      <c r="T11070" s="21">
        <f>-$B$10477</f>
        <v/>
      </c>
      <c r="U11070" s="21">
        <f>$B$10479</f>
        <v/>
      </c>
      <c r="V11070" s="21" t="n">
        <v>0</v>
      </c>
      <c r="W11070" s="21" t="n">
        <v>0</v>
      </c>
      <c r="X11070" s="21" t="n">
        <v>0</v>
      </c>
      <c r="Y11070" s="21" t="n">
        <v>0</v>
      </c>
      <c r="Z11070" s="19" t="n"/>
    </row>
    <row r="11071">
      <c r="D11071" s="21" t="n">
        <v>0</v>
      </c>
      <c r="E11071" s="21" t="n">
        <v>0</v>
      </c>
      <c r="F11071" s="21" t="n">
        <v>0</v>
      </c>
      <c r="G11071" s="21" t="n">
        <v>0</v>
      </c>
      <c r="H11071" s="21" t="n">
        <v>0</v>
      </c>
      <c r="I11071" s="21" t="n">
        <v>0</v>
      </c>
      <c r="J11071" s="21" t="n">
        <v>0</v>
      </c>
      <c r="K11071" s="21" t="n">
        <v>0</v>
      </c>
      <c r="L11071" s="21" t="n">
        <v>0</v>
      </c>
      <c r="M11071" s="21" t="n">
        <v>0</v>
      </c>
      <c r="N11071" s="21" t="n">
        <v>0</v>
      </c>
      <c r="O11071" s="21" t="n">
        <v>0</v>
      </c>
      <c r="P11071" s="21" t="n">
        <v>0</v>
      </c>
      <c r="Q11071" s="21" t="n">
        <v>0</v>
      </c>
      <c r="R11071" s="21">
        <f>-$B$10476</f>
        <v/>
      </c>
      <c r="S11071" s="21">
        <f>-$B$10477</f>
        <v/>
      </c>
      <c r="T11071" s="21">
        <f>2*$B$10476+$D$11051</f>
        <v/>
      </c>
      <c r="U11071" s="21">
        <f>0</f>
        <v/>
      </c>
      <c r="V11071" s="21">
        <f>-$B$10476</f>
        <v/>
      </c>
      <c r="W11071" s="21">
        <f>$B$10477</f>
        <v/>
      </c>
      <c r="X11071" s="21" t="n">
        <v>0</v>
      </c>
      <c r="Y11071" s="21" t="n">
        <v>0</v>
      </c>
      <c r="Z11071" s="19" t="n"/>
    </row>
    <row r="11072">
      <c r="D11072" s="21" t="n">
        <v>0</v>
      </c>
      <c r="E11072" s="21" t="n">
        <v>0</v>
      </c>
      <c r="F11072" s="21" t="n">
        <v>0</v>
      </c>
      <c r="G11072" s="21" t="n">
        <v>0</v>
      </c>
      <c r="H11072" s="21" t="n">
        <v>0</v>
      </c>
      <c r="I11072" s="21" t="n">
        <v>0</v>
      </c>
      <c r="J11072" s="21" t="n">
        <v>0</v>
      </c>
      <c r="K11072" s="21" t="n">
        <v>0</v>
      </c>
      <c r="L11072" s="21" t="n">
        <v>0</v>
      </c>
      <c r="M11072" s="21" t="n">
        <v>0</v>
      </c>
      <c r="N11072" s="21" t="n">
        <v>0</v>
      </c>
      <c r="O11072" s="21" t="n">
        <v>0</v>
      </c>
      <c r="P11072" s="21" t="n">
        <v>0</v>
      </c>
      <c r="Q11072" s="21" t="n">
        <v>0</v>
      </c>
      <c r="R11072" s="21">
        <f>$B$10477</f>
        <v/>
      </c>
      <c r="S11072" s="21">
        <f>$B$10479</f>
        <v/>
      </c>
      <c r="T11072" s="21">
        <f>0</f>
        <v/>
      </c>
      <c r="U11072" s="21">
        <f>2*$B$10478</f>
        <v/>
      </c>
      <c r="V11072" s="21">
        <f>-$B$10477</f>
        <v/>
      </c>
      <c r="W11072" s="21">
        <f>$B$10479</f>
        <v/>
      </c>
      <c r="X11072" s="21" t="n">
        <v>0</v>
      </c>
      <c r="Y11072" s="21" t="n">
        <v>0</v>
      </c>
      <c r="Z11072" s="19" t="n"/>
    </row>
    <row r="11073">
      <c r="D11073" s="21" t="n">
        <v>0</v>
      </c>
      <c r="E11073" s="21" t="n">
        <v>0</v>
      </c>
      <c r="F11073" s="21" t="n">
        <v>0</v>
      </c>
      <c r="G11073" s="21" t="n">
        <v>0</v>
      </c>
      <c r="H11073" s="21" t="n">
        <v>0</v>
      </c>
      <c r="I11073" s="21" t="n">
        <v>0</v>
      </c>
      <c r="J11073" s="21" t="n">
        <v>0</v>
      </c>
      <c r="K11073" s="21" t="n">
        <v>0</v>
      </c>
      <c r="L11073" s="21" t="n">
        <v>0</v>
      </c>
      <c r="M11073" s="21" t="n">
        <v>0</v>
      </c>
      <c r="N11073" s="21" t="n">
        <v>0</v>
      </c>
      <c r="O11073" s="21" t="n">
        <v>0</v>
      </c>
      <c r="P11073" s="21" t="n">
        <v>0</v>
      </c>
      <c r="Q11073" s="21" t="n">
        <v>0</v>
      </c>
      <c r="R11073" s="21" t="n">
        <v>0</v>
      </c>
      <c r="S11073" s="21" t="n">
        <v>0</v>
      </c>
      <c r="T11073" s="21">
        <f>-$B$10476</f>
        <v/>
      </c>
      <c r="U11073" s="21">
        <f>-$B$10477</f>
        <v/>
      </c>
      <c r="V11073" s="21">
        <f>2*$B$10476+$D$11052</f>
        <v/>
      </c>
      <c r="W11073" s="21">
        <f>0</f>
        <v/>
      </c>
      <c r="X11073" s="21">
        <f>-$B$10476</f>
        <v/>
      </c>
      <c r="Y11073" s="21">
        <f>$B$10477</f>
        <v/>
      </c>
      <c r="Z11073" s="19" t="n"/>
    </row>
    <row r="11074">
      <c r="D11074" s="21" t="n">
        <v>0</v>
      </c>
      <c r="E11074" s="21" t="n">
        <v>0</v>
      </c>
      <c r="F11074" s="21" t="n">
        <v>0</v>
      </c>
      <c r="G11074" s="21" t="n">
        <v>0</v>
      </c>
      <c r="H11074" s="21" t="n">
        <v>0</v>
      </c>
      <c r="I11074" s="21" t="n">
        <v>0</v>
      </c>
      <c r="J11074" s="21" t="n">
        <v>0</v>
      </c>
      <c r="K11074" s="21" t="n">
        <v>0</v>
      </c>
      <c r="L11074" s="21" t="n">
        <v>0</v>
      </c>
      <c r="M11074" s="21" t="n">
        <v>0</v>
      </c>
      <c r="N11074" s="21" t="n">
        <v>0</v>
      </c>
      <c r="O11074" s="21" t="n">
        <v>0</v>
      </c>
      <c r="P11074" s="21" t="n">
        <v>0</v>
      </c>
      <c r="Q11074" s="21" t="n">
        <v>0</v>
      </c>
      <c r="R11074" s="21" t="n">
        <v>0</v>
      </c>
      <c r="S11074" s="21" t="n">
        <v>0</v>
      </c>
      <c r="T11074" s="21">
        <f>$B$10477</f>
        <v/>
      </c>
      <c r="U11074" s="21">
        <f>$B$10479</f>
        <v/>
      </c>
      <c r="V11074" s="21">
        <f>0</f>
        <v/>
      </c>
      <c r="W11074" s="21">
        <f>2*$B$10478</f>
        <v/>
      </c>
      <c r="X11074" s="21">
        <f>-$B$10477</f>
        <v/>
      </c>
      <c r="Y11074" s="21">
        <f>$B$10479</f>
        <v/>
      </c>
      <c r="Z11074" s="19" t="n"/>
    </row>
    <row r="11075">
      <c r="D11075" s="21" t="n">
        <v>0</v>
      </c>
      <c r="E11075" s="21" t="n">
        <v>0</v>
      </c>
      <c r="F11075" s="21" t="n">
        <v>0</v>
      </c>
      <c r="G11075" s="21" t="n">
        <v>0</v>
      </c>
      <c r="H11075" s="21" t="n">
        <v>0</v>
      </c>
      <c r="I11075" s="21" t="n">
        <v>0</v>
      </c>
      <c r="J11075" s="21" t="n">
        <v>0</v>
      </c>
      <c r="K11075" s="21" t="n">
        <v>0</v>
      </c>
      <c r="L11075" s="21" t="n">
        <v>0</v>
      </c>
      <c r="M11075" s="21" t="n">
        <v>0</v>
      </c>
      <c r="N11075" s="21" t="n">
        <v>0</v>
      </c>
      <c r="O11075" s="21" t="n">
        <v>0</v>
      </c>
      <c r="P11075" s="21" t="n">
        <v>0</v>
      </c>
      <c r="Q11075" s="21" t="n">
        <v>0</v>
      </c>
      <c r="R11075" s="21" t="n">
        <v>0</v>
      </c>
      <c r="S11075" s="21" t="n">
        <v>0</v>
      </c>
      <c r="T11075" s="21" t="n">
        <v>0</v>
      </c>
      <c r="U11075" s="21" t="n">
        <v>0</v>
      </c>
      <c r="V11075" s="21">
        <f>-$B$10476</f>
        <v/>
      </c>
      <c r="W11075" s="21">
        <f>-$B$10477</f>
        <v/>
      </c>
      <c r="X11075" s="21">
        <f>$B$10476+$D$11053</f>
        <v/>
      </c>
      <c r="Y11075" s="21">
        <f>-$B$10477</f>
        <v/>
      </c>
      <c r="Z11075" s="19" t="n"/>
    </row>
    <row r="11076">
      <c r="D11076" s="21" t="n">
        <v>0</v>
      </c>
      <c r="E11076" s="21" t="n">
        <v>0</v>
      </c>
      <c r="F11076" s="21" t="n">
        <v>0</v>
      </c>
      <c r="G11076" s="21" t="n">
        <v>0</v>
      </c>
      <c r="H11076" s="21" t="n">
        <v>0</v>
      </c>
      <c r="I11076" s="21" t="n">
        <v>0</v>
      </c>
      <c r="J11076" s="21" t="n">
        <v>0</v>
      </c>
      <c r="K11076" s="21" t="n">
        <v>0</v>
      </c>
      <c r="L11076" s="21" t="n">
        <v>0</v>
      </c>
      <c r="M11076" s="21" t="n">
        <v>0</v>
      </c>
      <c r="N11076" s="21" t="n">
        <v>0</v>
      </c>
      <c r="O11076" s="21" t="n">
        <v>0</v>
      </c>
      <c r="P11076" s="21" t="n">
        <v>0</v>
      </c>
      <c r="Q11076" s="21" t="n">
        <v>0</v>
      </c>
      <c r="R11076" s="21" t="n">
        <v>0</v>
      </c>
      <c r="S11076" s="21" t="n">
        <v>0</v>
      </c>
      <c r="T11076" s="21" t="n">
        <v>0</v>
      </c>
      <c r="U11076" s="21" t="n">
        <v>0</v>
      </c>
      <c r="V11076" s="21">
        <f>$B$10477</f>
        <v/>
      </c>
      <c r="W11076" s="21">
        <f>$B$10479</f>
        <v/>
      </c>
      <c r="X11076" s="21">
        <f>-$B$10477</f>
        <v/>
      </c>
      <c r="Y11076" s="21">
        <f>$B$10478</f>
        <v/>
      </c>
      <c r="Z11076" s="19" t="n"/>
    </row>
    <row r="11078">
      <c r="A11078" s="8" t="inlineStr">
        <is>
          <t>gen 16</t>
        </is>
      </c>
    </row>
    <row r="11079">
      <c r="D11079" s="19">
        <f>IF(ABS(IF(ABS($E$11043)&gt;0.000000001,$E$11043,0.000000001))=0,0,IF($E$10491&lt;=$B$10485,0,IF(ABS(IF(ABS($E$11043)&gt;0.000000001,$E$11043,0.000000001))&gt;=8*$B$10487,$H$10491,0.5*$H$10491*(ABS(IF(ABS($E$11043)&gt;0.000000001,$E$11043,0.000000001))/$B$10487)^(1/3)))/ABS(IF(ABS($E$11043)&gt;0.000000001,$E$11043,0.000000001))*$I$10491)</f>
        <v/>
      </c>
      <c r="E11079" s="19">
        <f>0.5*$E$11043+0.5*$Z$11091</f>
        <v/>
      </c>
      <c r="F11079" s="19">
        <f>$Z$11092</f>
        <v/>
      </c>
    </row>
    <row r="11080">
      <c r="D11080" s="19">
        <f>IF(ABS(IF(ABS($E$11044)&gt;0.000000001,$E$11044,0.000000001))=0,0,IF($E$10492&lt;=$B$10485,0,IF(ABS(IF(ABS($E$11044)&gt;0.000000001,$E$11044,0.000000001))&gt;=8*$B$10487,$H$10492,0.5*$H$10492*(ABS(IF(ABS($E$11044)&gt;0.000000001,$E$11044,0.000000001))/$B$10487)^(1/3)))/ABS(IF(ABS($E$11044)&gt;0.000000001,$E$11044,0.000000001))*$I$10492)</f>
        <v/>
      </c>
      <c r="E11080" s="19">
        <f>0.5*$E$11044+0.5*$Z$11093</f>
        <v/>
      </c>
      <c r="F11080" s="19">
        <f>$Z$11094</f>
        <v/>
      </c>
    </row>
    <row r="11081">
      <c r="D11081" s="19">
        <f>IF(ABS(IF(ABS($E$11045)&gt;0.000000001,$E$11045,0.000000001))=0,0,IF($E$10493&lt;=$B$10485,0,IF(ABS(IF(ABS($E$11045)&gt;0.000000001,$E$11045,0.000000001))&gt;=8*$B$10487,$H$10493,0.5*$H$10493*(ABS(IF(ABS($E$11045)&gt;0.000000001,$E$11045,0.000000001))/$B$10487)^(1/3)))/ABS(IF(ABS($E$11045)&gt;0.000000001,$E$11045,0.000000001))*$I$10493)</f>
        <v/>
      </c>
      <c r="E11081" s="19">
        <f>0.5*$E$11045+0.5*$Z$11095</f>
        <v/>
      </c>
      <c r="F11081" s="19">
        <f>$Z$11096</f>
        <v/>
      </c>
    </row>
    <row r="11082">
      <c r="D11082" s="19">
        <f>IF(ABS(IF(ABS($E$11046)&gt;0.000000001,$E$11046,0.000000001))=0,0,IF($E$10494&lt;=$B$10485,0,IF(ABS(IF(ABS($E$11046)&gt;0.000000001,$E$11046,0.000000001))&gt;=8*$B$10487,$H$10494,0.5*$H$10494*(ABS(IF(ABS($E$11046)&gt;0.000000001,$E$11046,0.000000001))/$B$10487)^(1/3)))/ABS(IF(ABS($E$11046)&gt;0.000000001,$E$11046,0.000000001))*$I$10494)</f>
        <v/>
      </c>
      <c r="E11082" s="19">
        <f>0.5*$E$11046+0.5*$Z$11097</f>
        <v/>
      </c>
      <c r="F11082" s="19">
        <f>$Z$11098</f>
        <v/>
      </c>
    </row>
    <row r="11083">
      <c r="D11083" s="19">
        <f>IF(ABS(IF(ABS($E$11047)&gt;0.000000001,$E$11047,0.000000001))=0,0,IF($E$10495&lt;=$B$10485,0,IF(ABS(IF(ABS($E$11047)&gt;0.000000001,$E$11047,0.000000001))&gt;=8*$B$10487,$H$10495,0.5*$H$10495*(ABS(IF(ABS($E$11047)&gt;0.000000001,$E$11047,0.000000001))/$B$10487)^(1/3)))/ABS(IF(ABS($E$11047)&gt;0.000000001,$E$11047,0.000000001))*$I$10495)</f>
        <v/>
      </c>
      <c r="E11083" s="19">
        <f>0.5*$E$11047+0.5*$Z$11099</f>
        <v/>
      </c>
      <c r="F11083" s="19">
        <f>$Z$11100</f>
        <v/>
      </c>
    </row>
    <row r="11084">
      <c r="D11084" s="19">
        <f>IF(ABS(IF(ABS($E$11048)&gt;0.000000001,$E$11048,0.000000001))=0,0,IF($E$10496&lt;=$B$10485,0,IF(ABS(IF(ABS($E$11048)&gt;0.000000001,$E$11048,0.000000001))&gt;=8*$B$10487,$H$10496,0.5*$H$10496*(ABS(IF(ABS($E$11048)&gt;0.000000001,$E$11048,0.000000001))/$B$10487)^(1/3)))/ABS(IF(ABS($E$11048)&gt;0.000000001,$E$11048,0.000000001))*$I$10496)</f>
        <v/>
      </c>
      <c r="E11084" s="19">
        <f>0.5*$E$11048+0.5*$Z$11101</f>
        <v/>
      </c>
      <c r="F11084" s="19">
        <f>$Z$11102</f>
        <v/>
      </c>
    </row>
    <row r="11085">
      <c r="D11085" s="19">
        <f>IF(ABS(IF(ABS($E$11049)&gt;0.000000001,$E$11049,0.000000001))=0,0,IF($E$10497&lt;=$B$10485,0,IF(ABS(IF(ABS($E$11049)&gt;0.000000001,$E$11049,0.000000001))&gt;=8*$B$10487,$H$10497,0.5*$H$10497*(ABS(IF(ABS($E$11049)&gt;0.000000001,$E$11049,0.000000001))/$B$10487)^(1/3)))/ABS(IF(ABS($E$11049)&gt;0.000000001,$E$11049,0.000000001))*$I$10497)</f>
        <v/>
      </c>
      <c r="E11085" s="19">
        <f>0.5*$E$11049+0.5*$Z$11103</f>
        <v/>
      </c>
      <c r="F11085" s="19">
        <f>$Z$11104</f>
        <v/>
      </c>
    </row>
    <row r="11086">
      <c r="D11086" s="19">
        <f>IF(ABS(IF(ABS($E$11050)&gt;0.000000001,$E$11050,0.000000001))=0,0,IF($E$10498&lt;=$B$10485,0,IF(ABS(IF(ABS($E$11050)&gt;0.000000001,$E$11050,0.000000001))&gt;=8*$B$10487,$H$10498,0.5*$H$10498*(ABS(IF(ABS($E$11050)&gt;0.000000001,$E$11050,0.000000001))/$B$10487)^(1/3)))/ABS(IF(ABS($E$11050)&gt;0.000000001,$E$11050,0.000000001))*$I$10498)</f>
        <v/>
      </c>
      <c r="E11086" s="19">
        <f>0.5*$E$11050+0.5*$Z$11105</f>
        <v/>
      </c>
      <c r="F11086" s="19">
        <f>$Z$11106</f>
        <v/>
      </c>
    </row>
    <row r="11087">
      <c r="D11087" s="19">
        <f>IF(ABS(IF(ABS($E$11051)&gt;0.000000001,$E$11051,0.000000001))=0,0,IF($E$10499&lt;=$B$10485,0,IF(ABS(IF(ABS($E$11051)&gt;0.000000001,$E$11051,0.000000001))&gt;=8*$B$10487,$H$10499,0.5*$H$10499*(ABS(IF(ABS($E$11051)&gt;0.000000001,$E$11051,0.000000001))/$B$10487)^(1/3)))/ABS(IF(ABS($E$11051)&gt;0.000000001,$E$11051,0.000000001))*$I$10499)</f>
        <v/>
      </c>
      <c r="E11087" s="19">
        <f>0.5*$E$11051+0.5*$Z$11107</f>
        <v/>
      </c>
      <c r="F11087" s="19">
        <f>$Z$11108</f>
        <v/>
      </c>
    </row>
    <row r="11088">
      <c r="D11088" s="19">
        <f>IF(ABS(IF(ABS($E$11052)&gt;0.000000001,$E$11052,0.000000001))=0,0,IF($E$10500&lt;=$B$10485,0,IF(ABS(IF(ABS($E$11052)&gt;0.000000001,$E$11052,0.000000001))&gt;=8*$B$10487,$H$10500,0.5*$H$10500*(ABS(IF(ABS($E$11052)&gt;0.000000001,$E$11052,0.000000001))/$B$10487)^(1/3)))/ABS(IF(ABS($E$11052)&gt;0.000000001,$E$11052,0.000000001))*$I$10500)</f>
        <v/>
      </c>
      <c r="E11088" s="19">
        <f>0.5*$E$11052+0.5*$Z$11109</f>
        <v/>
      </c>
      <c r="F11088" s="19">
        <f>$Z$11110</f>
        <v/>
      </c>
    </row>
    <row r="11089">
      <c r="D11089" s="19">
        <f>IF(ABS(IF(ABS($E$11053)&gt;0.000000001,$E$11053,0.000000001))=0,0,IF($E$10501&lt;=$B$10485,0,IF(ABS(IF(ABS($E$11053)&gt;0.000000001,$E$11053,0.000000001))&gt;=8*$B$10487,$H$10501,0.5*$H$10501*(ABS(IF(ABS($E$11053)&gt;0.000000001,$E$11053,0.000000001))/$B$10487)^(1/3)))/ABS(IF(ABS($E$11053)&gt;0.000000001,$E$11053,0.000000001))*$I$10501)</f>
        <v/>
      </c>
      <c r="E11089" s="19">
        <f>0.5*$E$11053+0.5*$Z$11111</f>
        <v/>
      </c>
      <c r="F11089" s="19">
        <f>$Z$11112</f>
        <v/>
      </c>
    </row>
    <row r="11091">
      <c r="D11091" s="21">
        <f>$B$10476+$D$11079</f>
        <v/>
      </c>
      <c r="E11091" s="21">
        <f>$B$10477</f>
        <v/>
      </c>
      <c r="F11091" s="21">
        <f>-$B$10476</f>
        <v/>
      </c>
      <c r="G11091" s="21">
        <f>$B$10477</f>
        <v/>
      </c>
      <c r="H11091" s="21" t="n">
        <v>0</v>
      </c>
      <c r="I11091" s="21" t="n">
        <v>0</v>
      </c>
      <c r="J11091" s="21" t="n">
        <v>0</v>
      </c>
      <c r="K11091" s="21" t="n">
        <v>0</v>
      </c>
      <c r="L11091" s="21" t="n">
        <v>0</v>
      </c>
      <c r="M11091" s="21" t="n">
        <v>0</v>
      </c>
      <c r="N11091" s="21" t="n">
        <v>0</v>
      </c>
      <c r="O11091" s="21" t="n">
        <v>0</v>
      </c>
      <c r="P11091" s="21" t="n">
        <v>0</v>
      </c>
      <c r="Q11091" s="21" t="n">
        <v>0</v>
      </c>
      <c r="R11091" s="21" t="n">
        <v>0</v>
      </c>
      <c r="S11091" s="21" t="n">
        <v>0</v>
      </c>
      <c r="T11091" s="21" t="n">
        <v>0</v>
      </c>
      <c r="U11091" s="21" t="n">
        <v>0</v>
      </c>
      <c r="V11091" s="21" t="n">
        <v>0</v>
      </c>
      <c r="W11091" s="21" t="n">
        <v>0</v>
      </c>
      <c r="X11091" s="21" t="n">
        <v>0</v>
      </c>
      <c r="Y11091" s="21" t="n">
        <v>0</v>
      </c>
      <c r="Z11091" s="19">
        <f t="array" ref="Z11091:Z11112">MMULT(MINVERSE($D$11091:$Y$11112),$D$10503:$D$10524)</f>
        <v/>
      </c>
    </row>
    <row r="11092">
      <c r="D11092" s="21">
        <f>$B$10477</f>
        <v/>
      </c>
      <c r="E11092" s="21">
        <f>$B$10478</f>
        <v/>
      </c>
      <c r="F11092" s="21">
        <f>-$B$10477</f>
        <v/>
      </c>
      <c r="G11092" s="21">
        <f>$B$10479</f>
        <v/>
      </c>
      <c r="H11092" s="21" t="n">
        <v>0</v>
      </c>
      <c r="I11092" s="21" t="n">
        <v>0</v>
      </c>
      <c r="J11092" s="21" t="n">
        <v>0</v>
      </c>
      <c r="K11092" s="21" t="n">
        <v>0</v>
      </c>
      <c r="L11092" s="21" t="n">
        <v>0</v>
      </c>
      <c r="M11092" s="21" t="n">
        <v>0</v>
      </c>
      <c r="N11092" s="21" t="n">
        <v>0</v>
      </c>
      <c r="O11092" s="21" t="n">
        <v>0</v>
      </c>
      <c r="P11092" s="21" t="n">
        <v>0</v>
      </c>
      <c r="Q11092" s="21" t="n">
        <v>0</v>
      </c>
      <c r="R11092" s="21" t="n">
        <v>0</v>
      </c>
      <c r="S11092" s="21" t="n">
        <v>0</v>
      </c>
      <c r="T11092" s="21" t="n">
        <v>0</v>
      </c>
      <c r="U11092" s="21" t="n">
        <v>0</v>
      </c>
      <c r="V11092" s="21" t="n">
        <v>0</v>
      </c>
      <c r="W11092" s="21" t="n">
        <v>0</v>
      </c>
      <c r="X11092" s="21" t="n">
        <v>0</v>
      </c>
      <c r="Y11092" s="21" t="n">
        <v>0</v>
      </c>
      <c r="Z11092" s="19" t="n"/>
    </row>
    <row r="11093">
      <c r="D11093" s="21">
        <f>-$B$10476</f>
        <v/>
      </c>
      <c r="E11093" s="21">
        <f>-$B$10477</f>
        <v/>
      </c>
      <c r="F11093" s="21">
        <f>2*$B$10476+$D$11080</f>
        <v/>
      </c>
      <c r="G11093" s="21">
        <f>0</f>
        <v/>
      </c>
      <c r="H11093" s="21">
        <f>-$B$10476</f>
        <v/>
      </c>
      <c r="I11093" s="21">
        <f>$B$10477</f>
        <v/>
      </c>
      <c r="J11093" s="21" t="n">
        <v>0</v>
      </c>
      <c r="K11093" s="21" t="n">
        <v>0</v>
      </c>
      <c r="L11093" s="21" t="n">
        <v>0</v>
      </c>
      <c r="M11093" s="21" t="n">
        <v>0</v>
      </c>
      <c r="N11093" s="21" t="n">
        <v>0</v>
      </c>
      <c r="O11093" s="21" t="n">
        <v>0</v>
      </c>
      <c r="P11093" s="21" t="n">
        <v>0</v>
      </c>
      <c r="Q11093" s="21" t="n">
        <v>0</v>
      </c>
      <c r="R11093" s="21" t="n">
        <v>0</v>
      </c>
      <c r="S11093" s="21" t="n">
        <v>0</v>
      </c>
      <c r="T11093" s="21" t="n">
        <v>0</v>
      </c>
      <c r="U11093" s="21" t="n">
        <v>0</v>
      </c>
      <c r="V11093" s="21" t="n">
        <v>0</v>
      </c>
      <c r="W11093" s="21" t="n">
        <v>0</v>
      </c>
      <c r="X11093" s="21" t="n">
        <v>0</v>
      </c>
      <c r="Y11093" s="21" t="n">
        <v>0</v>
      </c>
      <c r="Z11093" s="19" t="n"/>
    </row>
    <row r="11094">
      <c r="D11094" s="21">
        <f>$B$10477</f>
        <v/>
      </c>
      <c r="E11094" s="21">
        <f>$B$10479</f>
        <v/>
      </c>
      <c r="F11094" s="21">
        <f>0</f>
        <v/>
      </c>
      <c r="G11094" s="21">
        <f>2*$B$10478</f>
        <v/>
      </c>
      <c r="H11094" s="21">
        <f>-$B$10477</f>
        <v/>
      </c>
      <c r="I11094" s="21">
        <f>$B$10479</f>
        <v/>
      </c>
      <c r="J11094" s="21" t="n">
        <v>0</v>
      </c>
      <c r="K11094" s="21" t="n">
        <v>0</v>
      </c>
      <c r="L11094" s="21" t="n">
        <v>0</v>
      </c>
      <c r="M11094" s="21" t="n">
        <v>0</v>
      </c>
      <c r="N11094" s="21" t="n">
        <v>0</v>
      </c>
      <c r="O11094" s="21" t="n">
        <v>0</v>
      </c>
      <c r="P11094" s="21" t="n">
        <v>0</v>
      </c>
      <c r="Q11094" s="21" t="n">
        <v>0</v>
      </c>
      <c r="R11094" s="21" t="n">
        <v>0</v>
      </c>
      <c r="S11094" s="21" t="n">
        <v>0</v>
      </c>
      <c r="T11094" s="21" t="n">
        <v>0</v>
      </c>
      <c r="U11094" s="21" t="n">
        <v>0</v>
      </c>
      <c r="V11094" s="21" t="n">
        <v>0</v>
      </c>
      <c r="W11094" s="21" t="n">
        <v>0</v>
      </c>
      <c r="X11094" s="21" t="n">
        <v>0</v>
      </c>
      <c r="Y11094" s="21" t="n">
        <v>0</v>
      </c>
      <c r="Z11094" s="19" t="n"/>
    </row>
    <row r="11095">
      <c r="D11095" s="21" t="n">
        <v>0</v>
      </c>
      <c r="E11095" s="21" t="n">
        <v>0</v>
      </c>
      <c r="F11095" s="21">
        <f>-$B$10476</f>
        <v/>
      </c>
      <c r="G11095" s="21">
        <f>-$B$10477</f>
        <v/>
      </c>
      <c r="H11095" s="21">
        <f>2*$B$10476+$D$11081</f>
        <v/>
      </c>
      <c r="I11095" s="21">
        <f>0</f>
        <v/>
      </c>
      <c r="J11095" s="21">
        <f>-$B$10476</f>
        <v/>
      </c>
      <c r="K11095" s="21">
        <f>$B$10477</f>
        <v/>
      </c>
      <c r="L11095" s="21" t="n">
        <v>0</v>
      </c>
      <c r="M11095" s="21" t="n">
        <v>0</v>
      </c>
      <c r="N11095" s="21" t="n">
        <v>0</v>
      </c>
      <c r="O11095" s="21" t="n">
        <v>0</v>
      </c>
      <c r="P11095" s="21" t="n">
        <v>0</v>
      </c>
      <c r="Q11095" s="21" t="n">
        <v>0</v>
      </c>
      <c r="R11095" s="21" t="n">
        <v>0</v>
      </c>
      <c r="S11095" s="21" t="n">
        <v>0</v>
      </c>
      <c r="T11095" s="21" t="n">
        <v>0</v>
      </c>
      <c r="U11095" s="21" t="n">
        <v>0</v>
      </c>
      <c r="V11095" s="21" t="n">
        <v>0</v>
      </c>
      <c r="W11095" s="21" t="n">
        <v>0</v>
      </c>
      <c r="X11095" s="21" t="n">
        <v>0</v>
      </c>
      <c r="Y11095" s="21" t="n">
        <v>0</v>
      </c>
      <c r="Z11095" s="19" t="n"/>
    </row>
    <row r="11096">
      <c r="D11096" s="21" t="n">
        <v>0</v>
      </c>
      <c r="E11096" s="21" t="n">
        <v>0</v>
      </c>
      <c r="F11096" s="21">
        <f>$B$10477</f>
        <v/>
      </c>
      <c r="G11096" s="21">
        <f>$B$10479</f>
        <v/>
      </c>
      <c r="H11096" s="21">
        <f>0</f>
        <v/>
      </c>
      <c r="I11096" s="21">
        <f>2*$B$10478</f>
        <v/>
      </c>
      <c r="J11096" s="21">
        <f>-$B$10477</f>
        <v/>
      </c>
      <c r="K11096" s="21">
        <f>$B$10479</f>
        <v/>
      </c>
      <c r="L11096" s="21" t="n">
        <v>0</v>
      </c>
      <c r="M11096" s="21" t="n">
        <v>0</v>
      </c>
      <c r="N11096" s="21" t="n">
        <v>0</v>
      </c>
      <c r="O11096" s="21" t="n">
        <v>0</v>
      </c>
      <c r="P11096" s="21" t="n">
        <v>0</v>
      </c>
      <c r="Q11096" s="21" t="n">
        <v>0</v>
      </c>
      <c r="R11096" s="21" t="n">
        <v>0</v>
      </c>
      <c r="S11096" s="21" t="n">
        <v>0</v>
      </c>
      <c r="T11096" s="21" t="n">
        <v>0</v>
      </c>
      <c r="U11096" s="21" t="n">
        <v>0</v>
      </c>
      <c r="V11096" s="21" t="n">
        <v>0</v>
      </c>
      <c r="W11096" s="21" t="n">
        <v>0</v>
      </c>
      <c r="X11096" s="21" t="n">
        <v>0</v>
      </c>
      <c r="Y11096" s="21" t="n">
        <v>0</v>
      </c>
      <c r="Z11096" s="19" t="n"/>
    </row>
    <row r="11097">
      <c r="D11097" s="21" t="n">
        <v>0</v>
      </c>
      <c r="E11097" s="21" t="n">
        <v>0</v>
      </c>
      <c r="F11097" s="21" t="n">
        <v>0</v>
      </c>
      <c r="G11097" s="21" t="n">
        <v>0</v>
      </c>
      <c r="H11097" s="21">
        <f>-$B$10476</f>
        <v/>
      </c>
      <c r="I11097" s="21">
        <f>-$B$10477</f>
        <v/>
      </c>
      <c r="J11097" s="21">
        <f>2*$B$10476+$D$11082</f>
        <v/>
      </c>
      <c r="K11097" s="21">
        <f>0</f>
        <v/>
      </c>
      <c r="L11097" s="21">
        <f>-$B$10476</f>
        <v/>
      </c>
      <c r="M11097" s="21">
        <f>$B$10477</f>
        <v/>
      </c>
      <c r="N11097" s="21" t="n">
        <v>0</v>
      </c>
      <c r="O11097" s="21" t="n">
        <v>0</v>
      </c>
      <c r="P11097" s="21" t="n">
        <v>0</v>
      </c>
      <c r="Q11097" s="21" t="n">
        <v>0</v>
      </c>
      <c r="R11097" s="21" t="n">
        <v>0</v>
      </c>
      <c r="S11097" s="21" t="n">
        <v>0</v>
      </c>
      <c r="T11097" s="21" t="n">
        <v>0</v>
      </c>
      <c r="U11097" s="21" t="n">
        <v>0</v>
      </c>
      <c r="V11097" s="21" t="n">
        <v>0</v>
      </c>
      <c r="W11097" s="21" t="n">
        <v>0</v>
      </c>
      <c r="X11097" s="21" t="n">
        <v>0</v>
      </c>
      <c r="Y11097" s="21" t="n">
        <v>0</v>
      </c>
      <c r="Z11097" s="19" t="n"/>
    </row>
    <row r="11098">
      <c r="D11098" s="21" t="n">
        <v>0</v>
      </c>
      <c r="E11098" s="21" t="n">
        <v>0</v>
      </c>
      <c r="F11098" s="21" t="n">
        <v>0</v>
      </c>
      <c r="G11098" s="21" t="n">
        <v>0</v>
      </c>
      <c r="H11098" s="21">
        <f>$B$10477</f>
        <v/>
      </c>
      <c r="I11098" s="21">
        <f>$B$10479</f>
        <v/>
      </c>
      <c r="J11098" s="21">
        <f>0</f>
        <v/>
      </c>
      <c r="K11098" s="21">
        <f>2*$B$10478</f>
        <v/>
      </c>
      <c r="L11098" s="21">
        <f>-$B$10477</f>
        <v/>
      </c>
      <c r="M11098" s="21">
        <f>$B$10479</f>
        <v/>
      </c>
      <c r="N11098" s="21" t="n">
        <v>0</v>
      </c>
      <c r="O11098" s="21" t="n">
        <v>0</v>
      </c>
      <c r="P11098" s="21" t="n">
        <v>0</v>
      </c>
      <c r="Q11098" s="21" t="n">
        <v>0</v>
      </c>
      <c r="R11098" s="21" t="n">
        <v>0</v>
      </c>
      <c r="S11098" s="21" t="n">
        <v>0</v>
      </c>
      <c r="T11098" s="21" t="n">
        <v>0</v>
      </c>
      <c r="U11098" s="21" t="n">
        <v>0</v>
      </c>
      <c r="V11098" s="21" t="n">
        <v>0</v>
      </c>
      <c r="W11098" s="21" t="n">
        <v>0</v>
      </c>
      <c r="X11098" s="21" t="n">
        <v>0</v>
      </c>
      <c r="Y11098" s="21" t="n">
        <v>0</v>
      </c>
      <c r="Z11098" s="19" t="n"/>
    </row>
    <row r="11099">
      <c r="D11099" s="21" t="n">
        <v>0</v>
      </c>
      <c r="E11099" s="21" t="n">
        <v>0</v>
      </c>
      <c r="F11099" s="21" t="n">
        <v>0</v>
      </c>
      <c r="G11099" s="21" t="n">
        <v>0</v>
      </c>
      <c r="H11099" s="21" t="n">
        <v>0</v>
      </c>
      <c r="I11099" s="21" t="n">
        <v>0</v>
      </c>
      <c r="J11099" s="21">
        <f>-$B$10476</f>
        <v/>
      </c>
      <c r="K11099" s="21">
        <f>-$B$10477</f>
        <v/>
      </c>
      <c r="L11099" s="21">
        <f>2*$B$10476+$D$11083</f>
        <v/>
      </c>
      <c r="M11099" s="21">
        <f>0</f>
        <v/>
      </c>
      <c r="N11099" s="21">
        <f>-$B$10476</f>
        <v/>
      </c>
      <c r="O11099" s="21">
        <f>$B$10477</f>
        <v/>
      </c>
      <c r="P11099" s="21" t="n">
        <v>0</v>
      </c>
      <c r="Q11099" s="21" t="n">
        <v>0</v>
      </c>
      <c r="R11099" s="21" t="n">
        <v>0</v>
      </c>
      <c r="S11099" s="21" t="n">
        <v>0</v>
      </c>
      <c r="T11099" s="21" t="n">
        <v>0</v>
      </c>
      <c r="U11099" s="21" t="n">
        <v>0</v>
      </c>
      <c r="V11099" s="21" t="n">
        <v>0</v>
      </c>
      <c r="W11099" s="21" t="n">
        <v>0</v>
      </c>
      <c r="X11099" s="21" t="n">
        <v>0</v>
      </c>
      <c r="Y11099" s="21" t="n">
        <v>0</v>
      </c>
      <c r="Z11099" s="19" t="n"/>
    </row>
    <row r="11100">
      <c r="D11100" s="21" t="n">
        <v>0</v>
      </c>
      <c r="E11100" s="21" t="n">
        <v>0</v>
      </c>
      <c r="F11100" s="21" t="n">
        <v>0</v>
      </c>
      <c r="G11100" s="21" t="n">
        <v>0</v>
      </c>
      <c r="H11100" s="21" t="n">
        <v>0</v>
      </c>
      <c r="I11100" s="21" t="n">
        <v>0</v>
      </c>
      <c r="J11100" s="21">
        <f>$B$10477</f>
        <v/>
      </c>
      <c r="K11100" s="21">
        <f>$B$10479</f>
        <v/>
      </c>
      <c r="L11100" s="21">
        <f>0</f>
        <v/>
      </c>
      <c r="M11100" s="21">
        <f>2*$B$10478</f>
        <v/>
      </c>
      <c r="N11100" s="21">
        <f>-$B$10477</f>
        <v/>
      </c>
      <c r="O11100" s="21">
        <f>$B$10479</f>
        <v/>
      </c>
      <c r="P11100" s="21" t="n">
        <v>0</v>
      </c>
      <c r="Q11100" s="21" t="n">
        <v>0</v>
      </c>
      <c r="R11100" s="21" t="n">
        <v>0</v>
      </c>
      <c r="S11100" s="21" t="n">
        <v>0</v>
      </c>
      <c r="T11100" s="21" t="n">
        <v>0</v>
      </c>
      <c r="U11100" s="21" t="n">
        <v>0</v>
      </c>
      <c r="V11100" s="21" t="n">
        <v>0</v>
      </c>
      <c r="W11100" s="21" t="n">
        <v>0</v>
      </c>
      <c r="X11100" s="21" t="n">
        <v>0</v>
      </c>
      <c r="Y11100" s="21" t="n">
        <v>0</v>
      </c>
      <c r="Z11100" s="19" t="n"/>
    </row>
    <row r="11101">
      <c r="D11101" s="21" t="n">
        <v>0</v>
      </c>
      <c r="E11101" s="21" t="n">
        <v>0</v>
      </c>
      <c r="F11101" s="21" t="n">
        <v>0</v>
      </c>
      <c r="G11101" s="21" t="n">
        <v>0</v>
      </c>
      <c r="H11101" s="21" t="n">
        <v>0</v>
      </c>
      <c r="I11101" s="21" t="n">
        <v>0</v>
      </c>
      <c r="J11101" s="21" t="n">
        <v>0</v>
      </c>
      <c r="K11101" s="21" t="n">
        <v>0</v>
      </c>
      <c r="L11101" s="21">
        <f>-$B$10476</f>
        <v/>
      </c>
      <c r="M11101" s="21">
        <f>-$B$10477</f>
        <v/>
      </c>
      <c r="N11101" s="21">
        <f>2*$B$10476+$D$11084</f>
        <v/>
      </c>
      <c r="O11101" s="21">
        <f>0</f>
        <v/>
      </c>
      <c r="P11101" s="21">
        <f>-$B$10476</f>
        <v/>
      </c>
      <c r="Q11101" s="21">
        <f>$B$10477</f>
        <v/>
      </c>
      <c r="R11101" s="21" t="n">
        <v>0</v>
      </c>
      <c r="S11101" s="21" t="n">
        <v>0</v>
      </c>
      <c r="T11101" s="21" t="n">
        <v>0</v>
      </c>
      <c r="U11101" s="21" t="n">
        <v>0</v>
      </c>
      <c r="V11101" s="21" t="n">
        <v>0</v>
      </c>
      <c r="W11101" s="21" t="n">
        <v>0</v>
      </c>
      <c r="X11101" s="21" t="n">
        <v>0</v>
      </c>
      <c r="Y11101" s="21" t="n">
        <v>0</v>
      </c>
      <c r="Z11101" s="19" t="n"/>
    </row>
    <row r="11102">
      <c r="D11102" s="21" t="n">
        <v>0</v>
      </c>
      <c r="E11102" s="21" t="n">
        <v>0</v>
      </c>
      <c r="F11102" s="21" t="n">
        <v>0</v>
      </c>
      <c r="G11102" s="21" t="n">
        <v>0</v>
      </c>
      <c r="H11102" s="21" t="n">
        <v>0</v>
      </c>
      <c r="I11102" s="21" t="n">
        <v>0</v>
      </c>
      <c r="J11102" s="21" t="n">
        <v>0</v>
      </c>
      <c r="K11102" s="21" t="n">
        <v>0</v>
      </c>
      <c r="L11102" s="21">
        <f>$B$10477</f>
        <v/>
      </c>
      <c r="M11102" s="21">
        <f>$B$10479</f>
        <v/>
      </c>
      <c r="N11102" s="21">
        <f>0</f>
        <v/>
      </c>
      <c r="O11102" s="21">
        <f>2*$B$10478</f>
        <v/>
      </c>
      <c r="P11102" s="21">
        <f>-$B$10477</f>
        <v/>
      </c>
      <c r="Q11102" s="21">
        <f>$B$10479</f>
        <v/>
      </c>
      <c r="R11102" s="21" t="n">
        <v>0</v>
      </c>
      <c r="S11102" s="21" t="n">
        <v>0</v>
      </c>
      <c r="T11102" s="21" t="n">
        <v>0</v>
      </c>
      <c r="U11102" s="21" t="n">
        <v>0</v>
      </c>
      <c r="V11102" s="21" t="n">
        <v>0</v>
      </c>
      <c r="W11102" s="21" t="n">
        <v>0</v>
      </c>
      <c r="X11102" s="21" t="n">
        <v>0</v>
      </c>
      <c r="Y11102" s="21" t="n">
        <v>0</v>
      </c>
      <c r="Z11102" s="19" t="n"/>
    </row>
    <row r="11103">
      <c r="D11103" s="21" t="n">
        <v>0</v>
      </c>
      <c r="E11103" s="21" t="n">
        <v>0</v>
      </c>
      <c r="F11103" s="21" t="n">
        <v>0</v>
      </c>
      <c r="G11103" s="21" t="n">
        <v>0</v>
      </c>
      <c r="H11103" s="21" t="n">
        <v>0</v>
      </c>
      <c r="I11103" s="21" t="n">
        <v>0</v>
      </c>
      <c r="J11103" s="21" t="n">
        <v>0</v>
      </c>
      <c r="K11103" s="21" t="n">
        <v>0</v>
      </c>
      <c r="L11103" s="21" t="n">
        <v>0</v>
      </c>
      <c r="M11103" s="21" t="n">
        <v>0</v>
      </c>
      <c r="N11103" s="21">
        <f>-$B$10476</f>
        <v/>
      </c>
      <c r="O11103" s="21">
        <f>-$B$10477</f>
        <v/>
      </c>
      <c r="P11103" s="21">
        <f>2*$B$10476+$D$11085</f>
        <v/>
      </c>
      <c r="Q11103" s="21">
        <f>0</f>
        <v/>
      </c>
      <c r="R11103" s="21">
        <f>-$B$10476</f>
        <v/>
      </c>
      <c r="S11103" s="21">
        <f>$B$10477</f>
        <v/>
      </c>
      <c r="T11103" s="21" t="n">
        <v>0</v>
      </c>
      <c r="U11103" s="21" t="n">
        <v>0</v>
      </c>
      <c r="V11103" s="21" t="n">
        <v>0</v>
      </c>
      <c r="W11103" s="21" t="n">
        <v>0</v>
      </c>
      <c r="X11103" s="21" t="n">
        <v>0</v>
      </c>
      <c r="Y11103" s="21" t="n">
        <v>0</v>
      </c>
      <c r="Z11103" s="19" t="n"/>
    </row>
    <row r="11104">
      <c r="D11104" s="21" t="n">
        <v>0</v>
      </c>
      <c r="E11104" s="21" t="n">
        <v>0</v>
      </c>
      <c r="F11104" s="21" t="n">
        <v>0</v>
      </c>
      <c r="G11104" s="21" t="n">
        <v>0</v>
      </c>
      <c r="H11104" s="21" t="n">
        <v>0</v>
      </c>
      <c r="I11104" s="21" t="n">
        <v>0</v>
      </c>
      <c r="J11104" s="21" t="n">
        <v>0</v>
      </c>
      <c r="K11104" s="21" t="n">
        <v>0</v>
      </c>
      <c r="L11104" s="21" t="n">
        <v>0</v>
      </c>
      <c r="M11104" s="21" t="n">
        <v>0</v>
      </c>
      <c r="N11104" s="21">
        <f>$B$10477</f>
        <v/>
      </c>
      <c r="O11104" s="21">
        <f>$B$10479</f>
        <v/>
      </c>
      <c r="P11104" s="21">
        <f>0</f>
        <v/>
      </c>
      <c r="Q11104" s="21">
        <f>2*$B$10478</f>
        <v/>
      </c>
      <c r="R11104" s="21">
        <f>-$B$10477</f>
        <v/>
      </c>
      <c r="S11104" s="21">
        <f>$B$10479</f>
        <v/>
      </c>
      <c r="T11104" s="21" t="n">
        <v>0</v>
      </c>
      <c r="U11104" s="21" t="n">
        <v>0</v>
      </c>
      <c r="V11104" s="21" t="n">
        <v>0</v>
      </c>
      <c r="W11104" s="21" t="n">
        <v>0</v>
      </c>
      <c r="X11104" s="21" t="n">
        <v>0</v>
      </c>
      <c r="Y11104" s="21" t="n">
        <v>0</v>
      </c>
      <c r="Z11104" s="19" t="n"/>
    </row>
    <row r="11105">
      <c r="D11105" s="21" t="n">
        <v>0</v>
      </c>
      <c r="E11105" s="21" t="n">
        <v>0</v>
      </c>
      <c r="F11105" s="21" t="n">
        <v>0</v>
      </c>
      <c r="G11105" s="21" t="n">
        <v>0</v>
      </c>
      <c r="H11105" s="21" t="n">
        <v>0</v>
      </c>
      <c r="I11105" s="21" t="n">
        <v>0</v>
      </c>
      <c r="J11105" s="21" t="n">
        <v>0</v>
      </c>
      <c r="K11105" s="21" t="n">
        <v>0</v>
      </c>
      <c r="L11105" s="21" t="n">
        <v>0</v>
      </c>
      <c r="M11105" s="21" t="n">
        <v>0</v>
      </c>
      <c r="N11105" s="21" t="n">
        <v>0</v>
      </c>
      <c r="O11105" s="21" t="n">
        <v>0</v>
      </c>
      <c r="P11105" s="21">
        <f>-$B$10476</f>
        <v/>
      </c>
      <c r="Q11105" s="21">
        <f>-$B$10477</f>
        <v/>
      </c>
      <c r="R11105" s="21">
        <f>2*$B$10476+$D$11086</f>
        <v/>
      </c>
      <c r="S11105" s="21">
        <f>0</f>
        <v/>
      </c>
      <c r="T11105" s="21">
        <f>-$B$10476</f>
        <v/>
      </c>
      <c r="U11105" s="21">
        <f>$B$10477</f>
        <v/>
      </c>
      <c r="V11105" s="21" t="n">
        <v>0</v>
      </c>
      <c r="W11105" s="21" t="n">
        <v>0</v>
      </c>
      <c r="X11105" s="21" t="n">
        <v>0</v>
      </c>
      <c r="Y11105" s="21" t="n">
        <v>0</v>
      </c>
      <c r="Z11105" s="19" t="n"/>
    </row>
    <row r="11106">
      <c r="D11106" s="21" t="n">
        <v>0</v>
      </c>
      <c r="E11106" s="21" t="n">
        <v>0</v>
      </c>
      <c r="F11106" s="21" t="n">
        <v>0</v>
      </c>
      <c r="G11106" s="21" t="n">
        <v>0</v>
      </c>
      <c r="H11106" s="21" t="n">
        <v>0</v>
      </c>
      <c r="I11106" s="21" t="n">
        <v>0</v>
      </c>
      <c r="J11106" s="21" t="n">
        <v>0</v>
      </c>
      <c r="K11106" s="21" t="n">
        <v>0</v>
      </c>
      <c r="L11106" s="21" t="n">
        <v>0</v>
      </c>
      <c r="M11106" s="21" t="n">
        <v>0</v>
      </c>
      <c r="N11106" s="21" t="n">
        <v>0</v>
      </c>
      <c r="O11106" s="21" t="n">
        <v>0</v>
      </c>
      <c r="P11106" s="21">
        <f>$B$10477</f>
        <v/>
      </c>
      <c r="Q11106" s="21">
        <f>$B$10479</f>
        <v/>
      </c>
      <c r="R11106" s="21">
        <f>0</f>
        <v/>
      </c>
      <c r="S11106" s="21">
        <f>2*$B$10478</f>
        <v/>
      </c>
      <c r="T11106" s="21">
        <f>-$B$10477</f>
        <v/>
      </c>
      <c r="U11106" s="21">
        <f>$B$10479</f>
        <v/>
      </c>
      <c r="V11106" s="21" t="n">
        <v>0</v>
      </c>
      <c r="W11106" s="21" t="n">
        <v>0</v>
      </c>
      <c r="X11106" s="21" t="n">
        <v>0</v>
      </c>
      <c r="Y11106" s="21" t="n">
        <v>0</v>
      </c>
      <c r="Z11106" s="19" t="n"/>
    </row>
    <row r="11107">
      <c r="D11107" s="21" t="n">
        <v>0</v>
      </c>
      <c r="E11107" s="21" t="n">
        <v>0</v>
      </c>
      <c r="F11107" s="21" t="n">
        <v>0</v>
      </c>
      <c r="G11107" s="21" t="n">
        <v>0</v>
      </c>
      <c r="H11107" s="21" t="n">
        <v>0</v>
      </c>
      <c r="I11107" s="21" t="n">
        <v>0</v>
      </c>
      <c r="J11107" s="21" t="n">
        <v>0</v>
      </c>
      <c r="K11107" s="21" t="n">
        <v>0</v>
      </c>
      <c r="L11107" s="21" t="n">
        <v>0</v>
      </c>
      <c r="M11107" s="21" t="n">
        <v>0</v>
      </c>
      <c r="N11107" s="21" t="n">
        <v>0</v>
      </c>
      <c r="O11107" s="21" t="n">
        <v>0</v>
      </c>
      <c r="P11107" s="21" t="n">
        <v>0</v>
      </c>
      <c r="Q11107" s="21" t="n">
        <v>0</v>
      </c>
      <c r="R11107" s="21">
        <f>-$B$10476</f>
        <v/>
      </c>
      <c r="S11107" s="21">
        <f>-$B$10477</f>
        <v/>
      </c>
      <c r="T11107" s="21">
        <f>2*$B$10476+$D$11087</f>
        <v/>
      </c>
      <c r="U11107" s="21">
        <f>0</f>
        <v/>
      </c>
      <c r="V11107" s="21">
        <f>-$B$10476</f>
        <v/>
      </c>
      <c r="W11107" s="21">
        <f>$B$10477</f>
        <v/>
      </c>
      <c r="X11107" s="21" t="n">
        <v>0</v>
      </c>
      <c r="Y11107" s="21" t="n">
        <v>0</v>
      </c>
      <c r="Z11107" s="19" t="n"/>
    </row>
    <row r="11108">
      <c r="D11108" s="21" t="n">
        <v>0</v>
      </c>
      <c r="E11108" s="21" t="n">
        <v>0</v>
      </c>
      <c r="F11108" s="21" t="n">
        <v>0</v>
      </c>
      <c r="G11108" s="21" t="n">
        <v>0</v>
      </c>
      <c r="H11108" s="21" t="n">
        <v>0</v>
      </c>
      <c r="I11108" s="21" t="n">
        <v>0</v>
      </c>
      <c r="J11108" s="21" t="n">
        <v>0</v>
      </c>
      <c r="K11108" s="21" t="n">
        <v>0</v>
      </c>
      <c r="L11108" s="21" t="n">
        <v>0</v>
      </c>
      <c r="M11108" s="21" t="n">
        <v>0</v>
      </c>
      <c r="N11108" s="21" t="n">
        <v>0</v>
      </c>
      <c r="O11108" s="21" t="n">
        <v>0</v>
      </c>
      <c r="P11108" s="21" t="n">
        <v>0</v>
      </c>
      <c r="Q11108" s="21" t="n">
        <v>0</v>
      </c>
      <c r="R11108" s="21">
        <f>$B$10477</f>
        <v/>
      </c>
      <c r="S11108" s="21">
        <f>$B$10479</f>
        <v/>
      </c>
      <c r="T11108" s="21">
        <f>0</f>
        <v/>
      </c>
      <c r="U11108" s="21">
        <f>2*$B$10478</f>
        <v/>
      </c>
      <c r="V11108" s="21">
        <f>-$B$10477</f>
        <v/>
      </c>
      <c r="W11108" s="21">
        <f>$B$10479</f>
        <v/>
      </c>
      <c r="X11108" s="21" t="n">
        <v>0</v>
      </c>
      <c r="Y11108" s="21" t="n">
        <v>0</v>
      </c>
      <c r="Z11108" s="19" t="n"/>
    </row>
    <row r="11109">
      <c r="D11109" s="21" t="n">
        <v>0</v>
      </c>
      <c r="E11109" s="21" t="n">
        <v>0</v>
      </c>
      <c r="F11109" s="21" t="n">
        <v>0</v>
      </c>
      <c r="G11109" s="21" t="n">
        <v>0</v>
      </c>
      <c r="H11109" s="21" t="n">
        <v>0</v>
      </c>
      <c r="I11109" s="21" t="n">
        <v>0</v>
      </c>
      <c r="J11109" s="21" t="n">
        <v>0</v>
      </c>
      <c r="K11109" s="21" t="n">
        <v>0</v>
      </c>
      <c r="L11109" s="21" t="n">
        <v>0</v>
      </c>
      <c r="M11109" s="21" t="n">
        <v>0</v>
      </c>
      <c r="N11109" s="21" t="n">
        <v>0</v>
      </c>
      <c r="O11109" s="21" t="n">
        <v>0</v>
      </c>
      <c r="P11109" s="21" t="n">
        <v>0</v>
      </c>
      <c r="Q11109" s="21" t="n">
        <v>0</v>
      </c>
      <c r="R11109" s="21" t="n">
        <v>0</v>
      </c>
      <c r="S11109" s="21" t="n">
        <v>0</v>
      </c>
      <c r="T11109" s="21">
        <f>-$B$10476</f>
        <v/>
      </c>
      <c r="U11109" s="21">
        <f>-$B$10477</f>
        <v/>
      </c>
      <c r="V11109" s="21">
        <f>2*$B$10476+$D$11088</f>
        <v/>
      </c>
      <c r="W11109" s="21">
        <f>0</f>
        <v/>
      </c>
      <c r="X11109" s="21">
        <f>-$B$10476</f>
        <v/>
      </c>
      <c r="Y11109" s="21">
        <f>$B$10477</f>
        <v/>
      </c>
      <c r="Z11109" s="19" t="n"/>
    </row>
    <row r="11110">
      <c r="D11110" s="21" t="n">
        <v>0</v>
      </c>
      <c r="E11110" s="21" t="n">
        <v>0</v>
      </c>
      <c r="F11110" s="21" t="n">
        <v>0</v>
      </c>
      <c r="G11110" s="21" t="n">
        <v>0</v>
      </c>
      <c r="H11110" s="21" t="n">
        <v>0</v>
      </c>
      <c r="I11110" s="21" t="n">
        <v>0</v>
      </c>
      <c r="J11110" s="21" t="n">
        <v>0</v>
      </c>
      <c r="K11110" s="21" t="n">
        <v>0</v>
      </c>
      <c r="L11110" s="21" t="n">
        <v>0</v>
      </c>
      <c r="M11110" s="21" t="n">
        <v>0</v>
      </c>
      <c r="N11110" s="21" t="n">
        <v>0</v>
      </c>
      <c r="O11110" s="21" t="n">
        <v>0</v>
      </c>
      <c r="P11110" s="21" t="n">
        <v>0</v>
      </c>
      <c r="Q11110" s="21" t="n">
        <v>0</v>
      </c>
      <c r="R11110" s="21" t="n">
        <v>0</v>
      </c>
      <c r="S11110" s="21" t="n">
        <v>0</v>
      </c>
      <c r="T11110" s="21">
        <f>$B$10477</f>
        <v/>
      </c>
      <c r="U11110" s="21">
        <f>$B$10479</f>
        <v/>
      </c>
      <c r="V11110" s="21">
        <f>0</f>
        <v/>
      </c>
      <c r="W11110" s="21">
        <f>2*$B$10478</f>
        <v/>
      </c>
      <c r="X11110" s="21">
        <f>-$B$10477</f>
        <v/>
      </c>
      <c r="Y11110" s="21">
        <f>$B$10479</f>
        <v/>
      </c>
      <c r="Z11110" s="19" t="n"/>
    </row>
    <row r="11111">
      <c r="D11111" s="21" t="n">
        <v>0</v>
      </c>
      <c r="E11111" s="21" t="n">
        <v>0</v>
      </c>
      <c r="F11111" s="21" t="n">
        <v>0</v>
      </c>
      <c r="G11111" s="21" t="n">
        <v>0</v>
      </c>
      <c r="H11111" s="21" t="n">
        <v>0</v>
      </c>
      <c r="I11111" s="21" t="n">
        <v>0</v>
      </c>
      <c r="J11111" s="21" t="n">
        <v>0</v>
      </c>
      <c r="K11111" s="21" t="n">
        <v>0</v>
      </c>
      <c r="L11111" s="21" t="n">
        <v>0</v>
      </c>
      <c r="M11111" s="21" t="n">
        <v>0</v>
      </c>
      <c r="N11111" s="21" t="n">
        <v>0</v>
      </c>
      <c r="O11111" s="21" t="n">
        <v>0</v>
      </c>
      <c r="P11111" s="21" t="n">
        <v>0</v>
      </c>
      <c r="Q11111" s="21" t="n">
        <v>0</v>
      </c>
      <c r="R11111" s="21" t="n">
        <v>0</v>
      </c>
      <c r="S11111" s="21" t="n">
        <v>0</v>
      </c>
      <c r="T11111" s="21" t="n">
        <v>0</v>
      </c>
      <c r="U11111" s="21" t="n">
        <v>0</v>
      </c>
      <c r="V11111" s="21">
        <f>-$B$10476</f>
        <v/>
      </c>
      <c r="W11111" s="21">
        <f>-$B$10477</f>
        <v/>
      </c>
      <c r="X11111" s="21">
        <f>$B$10476+$D$11089</f>
        <v/>
      </c>
      <c r="Y11111" s="21">
        <f>-$B$10477</f>
        <v/>
      </c>
      <c r="Z11111" s="19" t="n"/>
    </row>
    <row r="11112">
      <c r="D11112" s="21" t="n">
        <v>0</v>
      </c>
      <c r="E11112" s="21" t="n">
        <v>0</v>
      </c>
      <c r="F11112" s="21" t="n">
        <v>0</v>
      </c>
      <c r="G11112" s="21" t="n">
        <v>0</v>
      </c>
      <c r="H11112" s="21" t="n">
        <v>0</v>
      </c>
      <c r="I11112" s="21" t="n">
        <v>0</v>
      </c>
      <c r="J11112" s="21" t="n">
        <v>0</v>
      </c>
      <c r="K11112" s="21" t="n">
        <v>0</v>
      </c>
      <c r="L11112" s="21" t="n">
        <v>0</v>
      </c>
      <c r="M11112" s="21" t="n">
        <v>0</v>
      </c>
      <c r="N11112" s="21" t="n">
        <v>0</v>
      </c>
      <c r="O11112" s="21" t="n">
        <v>0</v>
      </c>
      <c r="P11112" s="21" t="n">
        <v>0</v>
      </c>
      <c r="Q11112" s="21" t="n">
        <v>0</v>
      </c>
      <c r="R11112" s="21" t="n">
        <v>0</v>
      </c>
      <c r="S11112" s="21" t="n">
        <v>0</v>
      </c>
      <c r="T11112" s="21" t="n">
        <v>0</v>
      </c>
      <c r="U11112" s="21" t="n">
        <v>0</v>
      </c>
      <c r="V11112" s="21">
        <f>$B$10477</f>
        <v/>
      </c>
      <c r="W11112" s="21">
        <f>$B$10479</f>
        <v/>
      </c>
      <c r="X11112" s="21">
        <f>-$B$10477</f>
        <v/>
      </c>
      <c r="Y11112" s="21">
        <f>$B$10478</f>
        <v/>
      </c>
      <c r="Z11112" s="19" t="n"/>
    </row>
    <row r="11114">
      <c r="A11114" s="8" t="inlineStr">
        <is>
          <t>gen 17</t>
        </is>
      </c>
    </row>
    <row r="11115">
      <c r="D11115" s="19">
        <f>IF(ABS(IF(ABS($E$11079)&gt;0.000000001,$E$11079,0.000000001))=0,0,IF($E$10491&lt;=$B$10485,0,IF(ABS(IF(ABS($E$11079)&gt;0.000000001,$E$11079,0.000000001))&gt;=8*$B$10487,$H$10491,0.5*$H$10491*(ABS(IF(ABS($E$11079)&gt;0.000000001,$E$11079,0.000000001))/$B$10487)^(1/3)))/ABS(IF(ABS($E$11079)&gt;0.000000001,$E$11079,0.000000001))*$I$10491)</f>
        <v/>
      </c>
      <c r="E11115" s="19">
        <f>0.5*$E$11079+0.5*$Z$11127</f>
        <v/>
      </c>
      <c r="F11115" s="19">
        <f>$Z$11128</f>
        <v/>
      </c>
    </row>
    <row r="11116">
      <c r="D11116" s="19">
        <f>IF(ABS(IF(ABS($E$11080)&gt;0.000000001,$E$11080,0.000000001))=0,0,IF($E$10492&lt;=$B$10485,0,IF(ABS(IF(ABS($E$11080)&gt;0.000000001,$E$11080,0.000000001))&gt;=8*$B$10487,$H$10492,0.5*$H$10492*(ABS(IF(ABS($E$11080)&gt;0.000000001,$E$11080,0.000000001))/$B$10487)^(1/3)))/ABS(IF(ABS($E$11080)&gt;0.000000001,$E$11080,0.000000001))*$I$10492)</f>
        <v/>
      </c>
      <c r="E11116" s="19">
        <f>0.5*$E$11080+0.5*$Z$11129</f>
        <v/>
      </c>
      <c r="F11116" s="19">
        <f>$Z$11130</f>
        <v/>
      </c>
    </row>
    <row r="11117">
      <c r="D11117" s="19">
        <f>IF(ABS(IF(ABS($E$11081)&gt;0.000000001,$E$11081,0.000000001))=0,0,IF($E$10493&lt;=$B$10485,0,IF(ABS(IF(ABS($E$11081)&gt;0.000000001,$E$11081,0.000000001))&gt;=8*$B$10487,$H$10493,0.5*$H$10493*(ABS(IF(ABS($E$11081)&gt;0.000000001,$E$11081,0.000000001))/$B$10487)^(1/3)))/ABS(IF(ABS($E$11081)&gt;0.000000001,$E$11081,0.000000001))*$I$10493)</f>
        <v/>
      </c>
      <c r="E11117" s="19">
        <f>0.5*$E$11081+0.5*$Z$11131</f>
        <v/>
      </c>
      <c r="F11117" s="19">
        <f>$Z$11132</f>
        <v/>
      </c>
    </row>
    <row r="11118">
      <c r="D11118" s="19">
        <f>IF(ABS(IF(ABS($E$11082)&gt;0.000000001,$E$11082,0.000000001))=0,0,IF($E$10494&lt;=$B$10485,0,IF(ABS(IF(ABS($E$11082)&gt;0.000000001,$E$11082,0.000000001))&gt;=8*$B$10487,$H$10494,0.5*$H$10494*(ABS(IF(ABS($E$11082)&gt;0.000000001,$E$11082,0.000000001))/$B$10487)^(1/3)))/ABS(IF(ABS($E$11082)&gt;0.000000001,$E$11082,0.000000001))*$I$10494)</f>
        <v/>
      </c>
      <c r="E11118" s="19">
        <f>0.5*$E$11082+0.5*$Z$11133</f>
        <v/>
      </c>
      <c r="F11118" s="19">
        <f>$Z$11134</f>
        <v/>
      </c>
    </row>
    <row r="11119">
      <c r="D11119" s="19">
        <f>IF(ABS(IF(ABS($E$11083)&gt;0.000000001,$E$11083,0.000000001))=0,0,IF($E$10495&lt;=$B$10485,0,IF(ABS(IF(ABS($E$11083)&gt;0.000000001,$E$11083,0.000000001))&gt;=8*$B$10487,$H$10495,0.5*$H$10495*(ABS(IF(ABS($E$11083)&gt;0.000000001,$E$11083,0.000000001))/$B$10487)^(1/3)))/ABS(IF(ABS($E$11083)&gt;0.000000001,$E$11083,0.000000001))*$I$10495)</f>
        <v/>
      </c>
      <c r="E11119" s="19">
        <f>0.5*$E$11083+0.5*$Z$11135</f>
        <v/>
      </c>
      <c r="F11119" s="19">
        <f>$Z$11136</f>
        <v/>
      </c>
    </row>
    <row r="11120">
      <c r="D11120" s="19">
        <f>IF(ABS(IF(ABS($E$11084)&gt;0.000000001,$E$11084,0.000000001))=0,0,IF($E$10496&lt;=$B$10485,0,IF(ABS(IF(ABS($E$11084)&gt;0.000000001,$E$11084,0.000000001))&gt;=8*$B$10487,$H$10496,0.5*$H$10496*(ABS(IF(ABS($E$11084)&gt;0.000000001,$E$11084,0.000000001))/$B$10487)^(1/3)))/ABS(IF(ABS($E$11084)&gt;0.000000001,$E$11084,0.000000001))*$I$10496)</f>
        <v/>
      </c>
      <c r="E11120" s="19">
        <f>0.5*$E$11084+0.5*$Z$11137</f>
        <v/>
      </c>
      <c r="F11120" s="19">
        <f>$Z$11138</f>
        <v/>
      </c>
    </row>
    <row r="11121">
      <c r="D11121" s="19">
        <f>IF(ABS(IF(ABS($E$11085)&gt;0.000000001,$E$11085,0.000000001))=0,0,IF($E$10497&lt;=$B$10485,0,IF(ABS(IF(ABS($E$11085)&gt;0.000000001,$E$11085,0.000000001))&gt;=8*$B$10487,$H$10497,0.5*$H$10497*(ABS(IF(ABS($E$11085)&gt;0.000000001,$E$11085,0.000000001))/$B$10487)^(1/3)))/ABS(IF(ABS($E$11085)&gt;0.000000001,$E$11085,0.000000001))*$I$10497)</f>
        <v/>
      </c>
      <c r="E11121" s="19">
        <f>0.5*$E$11085+0.5*$Z$11139</f>
        <v/>
      </c>
      <c r="F11121" s="19">
        <f>$Z$11140</f>
        <v/>
      </c>
    </row>
    <row r="11122">
      <c r="D11122" s="19">
        <f>IF(ABS(IF(ABS($E$11086)&gt;0.000000001,$E$11086,0.000000001))=0,0,IF($E$10498&lt;=$B$10485,0,IF(ABS(IF(ABS($E$11086)&gt;0.000000001,$E$11086,0.000000001))&gt;=8*$B$10487,$H$10498,0.5*$H$10498*(ABS(IF(ABS($E$11086)&gt;0.000000001,$E$11086,0.000000001))/$B$10487)^(1/3)))/ABS(IF(ABS($E$11086)&gt;0.000000001,$E$11086,0.000000001))*$I$10498)</f>
        <v/>
      </c>
      <c r="E11122" s="19">
        <f>0.5*$E$11086+0.5*$Z$11141</f>
        <v/>
      </c>
      <c r="F11122" s="19">
        <f>$Z$11142</f>
        <v/>
      </c>
    </row>
    <row r="11123">
      <c r="D11123" s="19">
        <f>IF(ABS(IF(ABS($E$11087)&gt;0.000000001,$E$11087,0.000000001))=0,0,IF($E$10499&lt;=$B$10485,0,IF(ABS(IF(ABS($E$11087)&gt;0.000000001,$E$11087,0.000000001))&gt;=8*$B$10487,$H$10499,0.5*$H$10499*(ABS(IF(ABS($E$11087)&gt;0.000000001,$E$11087,0.000000001))/$B$10487)^(1/3)))/ABS(IF(ABS($E$11087)&gt;0.000000001,$E$11087,0.000000001))*$I$10499)</f>
        <v/>
      </c>
      <c r="E11123" s="19">
        <f>0.5*$E$11087+0.5*$Z$11143</f>
        <v/>
      </c>
      <c r="F11123" s="19">
        <f>$Z$11144</f>
        <v/>
      </c>
    </row>
    <row r="11124">
      <c r="D11124" s="19">
        <f>IF(ABS(IF(ABS($E$11088)&gt;0.000000001,$E$11088,0.000000001))=0,0,IF($E$10500&lt;=$B$10485,0,IF(ABS(IF(ABS($E$11088)&gt;0.000000001,$E$11088,0.000000001))&gt;=8*$B$10487,$H$10500,0.5*$H$10500*(ABS(IF(ABS($E$11088)&gt;0.000000001,$E$11088,0.000000001))/$B$10487)^(1/3)))/ABS(IF(ABS($E$11088)&gt;0.000000001,$E$11088,0.000000001))*$I$10500)</f>
        <v/>
      </c>
      <c r="E11124" s="19">
        <f>0.5*$E$11088+0.5*$Z$11145</f>
        <v/>
      </c>
      <c r="F11124" s="19">
        <f>$Z$11146</f>
        <v/>
      </c>
    </row>
    <row r="11125">
      <c r="D11125" s="19">
        <f>IF(ABS(IF(ABS($E$11089)&gt;0.000000001,$E$11089,0.000000001))=0,0,IF($E$10501&lt;=$B$10485,0,IF(ABS(IF(ABS($E$11089)&gt;0.000000001,$E$11089,0.000000001))&gt;=8*$B$10487,$H$10501,0.5*$H$10501*(ABS(IF(ABS($E$11089)&gt;0.000000001,$E$11089,0.000000001))/$B$10487)^(1/3)))/ABS(IF(ABS($E$11089)&gt;0.000000001,$E$11089,0.000000001))*$I$10501)</f>
        <v/>
      </c>
      <c r="E11125" s="19">
        <f>0.5*$E$11089+0.5*$Z$11147</f>
        <v/>
      </c>
      <c r="F11125" s="19">
        <f>$Z$11148</f>
        <v/>
      </c>
    </row>
    <row r="11127">
      <c r="D11127" s="21">
        <f>$B$10476+$D$11115</f>
        <v/>
      </c>
      <c r="E11127" s="21">
        <f>$B$10477</f>
        <v/>
      </c>
      <c r="F11127" s="21">
        <f>-$B$10476</f>
        <v/>
      </c>
      <c r="G11127" s="21">
        <f>$B$10477</f>
        <v/>
      </c>
      <c r="H11127" s="21" t="n">
        <v>0</v>
      </c>
      <c r="I11127" s="21" t="n">
        <v>0</v>
      </c>
      <c r="J11127" s="21" t="n">
        <v>0</v>
      </c>
      <c r="K11127" s="21" t="n">
        <v>0</v>
      </c>
      <c r="L11127" s="21" t="n">
        <v>0</v>
      </c>
      <c r="M11127" s="21" t="n">
        <v>0</v>
      </c>
      <c r="N11127" s="21" t="n">
        <v>0</v>
      </c>
      <c r="O11127" s="21" t="n">
        <v>0</v>
      </c>
      <c r="P11127" s="21" t="n">
        <v>0</v>
      </c>
      <c r="Q11127" s="21" t="n">
        <v>0</v>
      </c>
      <c r="R11127" s="21" t="n">
        <v>0</v>
      </c>
      <c r="S11127" s="21" t="n">
        <v>0</v>
      </c>
      <c r="T11127" s="21" t="n">
        <v>0</v>
      </c>
      <c r="U11127" s="21" t="n">
        <v>0</v>
      </c>
      <c r="V11127" s="21" t="n">
        <v>0</v>
      </c>
      <c r="W11127" s="21" t="n">
        <v>0</v>
      </c>
      <c r="X11127" s="21" t="n">
        <v>0</v>
      </c>
      <c r="Y11127" s="21" t="n">
        <v>0</v>
      </c>
      <c r="Z11127" s="19">
        <f t="array" ref="Z11127:Z11148">MMULT(MINVERSE($D$11127:$Y$11148),$D$10503:$D$10524)</f>
        <v/>
      </c>
    </row>
    <row r="11128">
      <c r="D11128" s="21">
        <f>$B$10477</f>
        <v/>
      </c>
      <c r="E11128" s="21">
        <f>$B$10478</f>
        <v/>
      </c>
      <c r="F11128" s="21">
        <f>-$B$10477</f>
        <v/>
      </c>
      <c r="G11128" s="21">
        <f>$B$10479</f>
        <v/>
      </c>
      <c r="H11128" s="21" t="n">
        <v>0</v>
      </c>
      <c r="I11128" s="21" t="n">
        <v>0</v>
      </c>
      <c r="J11128" s="21" t="n">
        <v>0</v>
      </c>
      <c r="K11128" s="21" t="n">
        <v>0</v>
      </c>
      <c r="L11128" s="21" t="n">
        <v>0</v>
      </c>
      <c r="M11128" s="21" t="n">
        <v>0</v>
      </c>
      <c r="N11128" s="21" t="n">
        <v>0</v>
      </c>
      <c r="O11128" s="21" t="n">
        <v>0</v>
      </c>
      <c r="P11128" s="21" t="n">
        <v>0</v>
      </c>
      <c r="Q11128" s="21" t="n">
        <v>0</v>
      </c>
      <c r="R11128" s="21" t="n">
        <v>0</v>
      </c>
      <c r="S11128" s="21" t="n">
        <v>0</v>
      </c>
      <c r="T11128" s="21" t="n">
        <v>0</v>
      </c>
      <c r="U11128" s="21" t="n">
        <v>0</v>
      </c>
      <c r="V11128" s="21" t="n">
        <v>0</v>
      </c>
      <c r="W11128" s="21" t="n">
        <v>0</v>
      </c>
      <c r="X11128" s="21" t="n">
        <v>0</v>
      </c>
      <c r="Y11128" s="21" t="n">
        <v>0</v>
      </c>
      <c r="Z11128" s="19" t="n"/>
    </row>
    <row r="11129">
      <c r="D11129" s="21">
        <f>-$B$10476</f>
        <v/>
      </c>
      <c r="E11129" s="21">
        <f>-$B$10477</f>
        <v/>
      </c>
      <c r="F11129" s="21">
        <f>2*$B$10476+$D$11116</f>
        <v/>
      </c>
      <c r="G11129" s="21">
        <f>0</f>
        <v/>
      </c>
      <c r="H11129" s="21">
        <f>-$B$10476</f>
        <v/>
      </c>
      <c r="I11129" s="21">
        <f>$B$10477</f>
        <v/>
      </c>
      <c r="J11129" s="21" t="n">
        <v>0</v>
      </c>
      <c r="K11129" s="21" t="n">
        <v>0</v>
      </c>
      <c r="L11129" s="21" t="n">
        <v>0</v>
      </c>
      <c r="M11129" s="21" t="n">
        <v>0</v>
      </c>
      <c r="N11129" s="21" t="n">
        <v>0</v>
      </c>
      <c r="O11129" s="21" t="n">
        <v>0</v>
      </c>
      <c r="P11129" s="21" t="n">
        <v>0</v>
      </c>
      <c r="Q11129" s="21" t="n">
        <v>0</v>
      </c>
      <c r="R11129" s="21" t="n">
        <v>0</v>
      </c>
      <c r="S11129" s="21" t="n">
        <v>0</v>
      </c>
      <c r="T11129" s="21" t="n">
        <v>0</v>
      </c>
      <c r="U11129" s="21" t="n">
        <v>0</v>
      </c>
      <c r="V11129" s="21" t="n">
        <v>0</v>
      </c>
      <c r="W11129" s="21" t="n">
        <v>0</v>
      </c>
      <c r="X11129" s="21" t="n">
        <v>0</v>
      </c>
      <c r="Y11129" s="21" t="n">
        <v>0</v>
      </c>
      <c r="Z11129" s="19" t="n"/>
    </row>
    <row r="11130">
      <c r="D11130" s="21">
        <f>$B$10477</f>
        <v/>
      </c>
      <c r="E11130" s="21">
        <f>$B$10479</f>
        <v/>
      </c>
      <c r="F11130" s="21">
        <f>0</f>
        <v/>
      </c>
      <c r="G11130" s="21">
        <f>2*$B$10478</f>
        <v/>
      </c>
      <c r="H11130" s="21">
        <f>-$B$10477</f>
        <v/>
      </c>
      <c r="I11130" s="21">
        <f>$B$10479</f>
        <v/>
      </c>
      <c r="J11130" s="21" t="n">
        <v>0</v>
      </c>
      <c r="K11130" s="21" t="n">
        <v>0</v>
      </c>
      <c r="L11130" s="21" t="n">
        <v>0</v>
      </c>
      <c r="M11130" s="21" t="n">
        <v>0</v>
      </c>
      <c r="N11130" s="21" t="n">
        <v>0</v>
      </c>
      <c r="O11130" s="21" t="n">
        <v>0</v>
      </c>
      <c r="P11130" s="21" t="n">
        <v>0</v>
      </c>
      <c r="Q11130" s="21" t="n">
        <v>0</v>
      </c>
      <c r="R11130" s="21" t="n">
        <v>0</v>
      </c>
      <c r="S11130" s="21" t="n">
        <v>0</v>
      </c>
      <c r="T11130" s="21" t="n">
        <v>0</v>
      </c>
      <c r="U11130" s="21" t="n">
        <v>0</v>
      </c>
      <c r="V11130" s="21" t="n">
        <v>0</v>
      </c>
      <c r="W11130" s="21" t="n">
        <v>0</v>
      </c>
      <c r="X11130" s="21" t="n">
        <v>0</v>
      </c>
      <c r="Y11130" s="21" t="n">
        <v>0</v>
      </c>
      <c r="Z11130" s="19" t="n"/>
    </row>
    <row r="11131">
      <c r="D11131" s="21" t="n">
        <v>0</v>
      </c>
      <c r="E11131" s="21" t="n">
        <v>0</v>
      </c>
      <c r="F11131" s="21">
        <f>-$B$10476</f>
        <v/>
      </c>
      <c r="G11131" s="21">
        <f>-$B$10477</f>
        <v/>
      </c>
      <c r="H11131" s="21">
        <f>2*$B$10476+$D$11117</f>
        <v/>
      </c>
      <c r="I11131" s="21">
        <f>0</f>
        <v/>
      </c>
      <c r="J11131" s="21">
        <f>-$B$10476</f>
        <v/>
      </c>
      <c r="K11131" s="21">
        <f>$B$10477</f>
        <v/>
      </c>
      <c r="L11131" s="21" t="n">
        <v>0</v>
      </c>
      <c r="M11131" s="21" t="n">
        <v>0</v>
      </c>
      <c r="N11131" s="21" t="n">
        <v>0</v>
      </c>
      <c r="O11131" s="21" t="n">
        <v>0</v>
      </c>
      <c r="P11131" s="21" t="n">
        <v>0</v>
      </c>
      <c r="Q11131" s="21" t="n">
        <v>0</v>
      </c>
      <c r="R11131" s="21" t="n">
        <v>0</v>
      </c>
      <c r="S11131" s="21" t="n">
        <v>0</v>
      </c>
      <c r="T11131" s="21" t="n">
        <v>0</v>
      </c>
      <c r="U11131" s="21" t="n">
        <v>0</v>
      </c>
      <c r="V11131" s="21" t="n">
        <v>0</v>
      </c>
      <c r="W11131" s="21" t="n">
        <v>0</v>
      </c>
      <c r="X11131" s="21" t="n">
        <v>0</v>
      </c>
      <c r="Y11131" s="21" t="n">
        <v>0</v>
      </c>
      <c r="Z11131" s="19" t="n"/>
    </row>
    <row r="11132">
      <c r="D11132" s="21" t="n">
        <v>0</v>
      </c>
      <c r="E11132" s="21" t="n">
        <v>0</v>
      </c>
      <c r="F11132" s="21">
        <f>$B$10477</f>
        <v/>
      </c>
      <c r="G11132" s="21">
        <f>$B$10479</f>
        <v/>
      </c>
      <c r="H11132" s="21">
        <f>0</f>
        <v/>
      </c>
      <c r="I11132" s="21">
        <f>2*$B$10478</f>
        <v/>
      </c>
      <c r="J11132" s="21">
        <f>-$B$10477</f>
        <v/>
      </c>
      <c r="K11132" s="21">
        <f>$B$10479</f>
        <v/>
      </c>
      <c r="L11132" s="21" t="n">
        <v>0</v>
      </c>
      <c r="M11132" s="21" t="n">
        <v>0</v>
      </c>
      <c r="N11132" s="21" t="n">
        <v>0</v>
      </c>
      <c r="O11132" s="21" t="n">
        <v>0</v>
      </c>
      <c r="P11132" s="21" t="n">
        <v>0</v>
      </c>
      <c r="Q11132" s="21" t="n">
        <v>0</v>
      </c>
      <c r="R11132" s="21" t="n">
        <v>0</v>
      </c>
      <c r="S11132" s="21" t="n">
        <v>0</v>
      </c>
      <c r="T11132" s="21" t="n">
        <v>0</v>
      </c>
      <c r="U11132" s="21" t="n">
        <v>0</v>
      </c>
      <c r="V11132" s="21" t="n">
        <v>0</v>
      </c>
      <c r="W11132" s="21" t="n">
        <v>0</v>
      </c>
      <c r="X11132" s="21" t="n">
        <v>0</v>
      </c>
      <c r="Y11132" s="21" t="n">
        <v>0</v>
      </c>
      <c r="Z11132" s="19" t="n"/>
    </row>
    <row r="11133">
      <c r="D11133" s="21" t="n">
        <v>0</v>
      </c>
      <c r="E11133" s="21" t="n">
        <v>0</v>
      </c>
      <c r="F11133" s="21" t="n">
        <v>0</v>
      </c>
      <c r="G11133" s="21" t="n">
        <v>0</v>
      </c>
      <c r="H11133" s="21">
        <f>-$B$10476</f>
        <v/>
      </c>
      <c r="I11133" s="21">
        <f>-$B$10477</f>
        <v/>
      </c>
      <c r="J11133" s="21">
        <f>2*$B$10476+$D$11118</f>
        <v/>
      </c>
      <c r="K11133" s="21">
        <f>0</f>
        <v/>
      </c>
      <c r="L11133" s="21">
        <f>-$B$10476</f>
        <v/>
      </c>
      <c r="M11133" s="21">
        <f>$B$10477</f>
        <v/>
      </c>
      <c r="N11133" s="21" t="n">
        <v>0</v>
      </c>
      <c r="O11133" s="21" t="n">
        <v>0</v>
      </c>
      <c r="P11133" s="21" t="n">
        <v>0</v>
      </c>
      <c r="Q11133" s="21" t="n">
        <v>0</v>
      </c>
      <c r="R11133" s="21" t="n">
        <v>0</v>
      </c>
      <c r="S11133" s="21" t="n">
        <v>0</v>
      </c>
      <c r="T11133" s="21" t="n">
        <v>0</v>
      </c>
      <c r="U11133" s="21" t="n">
        <v>0</v>
      </c>
      <c r="V11133" s="21" t="n">
        <v>0</v>
      </c>
      <c r="W11133" s="21" t="n">
        <v>0</v>
      </c>
      <c r="X11133" s="21" t="n">
        <v>0</v>
      </c>
      <c r="Y11133" s="21" t="n">
        <v>0</v>
      </c>
      <c r="Z11133" s="19" t="n"/>
    </row>
    <row r="11134">
      <c r="D11134" s="21" t="n">
        <v>0</v>
      </c>
      <c r="E11134" s="21" t="n">
        <v>0</v>
      </c>
      <c r="F11134" s="21" t="n">
        <v>0</v>
      </c>
      <c r="G11134" s="21" t="n">
        <v>0</v>
      </c>
      <c r="H11134" s="21">
        <f>$B$10477</f>
        <v/>
      </c>
      <c r="I11134" s="21">
        <f>$B$10479</f>
        <v/>
      </c>
      <c r="J11134" s="21">
        <f>0</f>
        <v/>
      </c>
      <c r="K11134" s="21">
        <f>2*$B$10478</f>
        <v/>
      </c>
      <c r="L11134" s="21">
        <f>-$B$10477</f>
        <v/>
      </c>
      <c r="M11134" s="21">
        <f>$B$10479</f>
        <v/>
      </c>
      <c r="N11134" s="21" t="n">
        <v>0</v>
      </c>
      <c r="O11134" s="21" t="n">
        <v>0</v>
      </c>
      <c r="P11134" s="21" t="n">
        <v>0</v>
      </c>
      <c r="Q11134" s="21" t="n">
        <v>0</v>
      </c>
      <c r="R11134" s="21" t="n">
        <v>0</v>
      </c>
      <c r="S11134" s="21" t="n">
        <v>0</v>
      </c>
      <c r="T11134" s="21" t="n">
        <v>0</v>
      </c>
      <c r="U11134" s="21" t="n">
        <v>0</v>
      </c>
      <c r="V11134" s="21" t="n">
        <v>0</v>
      </c>
      <c r="W11134" s="21" t="n">
        <v>0</v>
      </c>
      <c r="X11134" s="21" t="n">
        <v>0</v>
      </c>
      <c r="Y11134" s="21" t="n">
        <v>0</v>
      </c>
      <c r="Z11134" s="19" t="n"/>
    </row>
    <row r="11135">
      <c r="D11135" s="21" t="n">
        <v>0</v>
      </c>
      <c r="E11135" s="21" t="n">
        <v>0</v>
      </c>
      <c r="F11135" s="21" t="n">
        <v>0</v>
      </c>
      <c r="G11135" s="21" t="n">
        <v>0</v>
      </c>
      <c r="H11135" s="21" t="n">
        <v>0</v>
      </c>
      <c r="I11135" s="21" t="n">
        <v>0</v>
      </c>
      <c r="J11135" s="21">
        <f>-$B$10476</f>
        <v/>
      </c>
      <c r="K11135" s="21">
        <f>-$B$10477</f>
        <v/>
      </c>
      <c r="L11135" s="21">
        <f>2*$B$10476+$D$11119</f>
        <v/>
      </c>
      <c r="M11135" s="21">
        <f>0</f>
        <v/>
      </c>
      <c r="N11135" s="21">
        <f>-$B$10476</f>
        <v/>
      </c>
      <c r="O11135" s="21">
        <f>$B$10477</f>
        <v/>
      </c>
      <c r="P11135" s="21" t="n">
        <v>0</v>
      </c>
      <c r="Q11135" s="21" t="n">
        <v>0</v>
      </c>
      <c r="R11135" s="21" t="n">
        <v>0</v>
      </c>
      <c r="S11135" s="21" t="n">
        <v>0</v>
      </c>
      <c r="T11135" s="21" t="n">
        <v>0</v>
      </c>
      <c r="U11135" s="21" t="n">
        <v>0</v>
      </c>
      <c r="V11135" s="21" t="n">
        <v>0</v>
      </c>
      <c r="W11135" s="21" t="n">
        <v>0</v>
      </c>
      <c r="X11135" s="21" t="n">
        <v>0</v>
      </c>
      <c r="Y11135" s="21" t="n">
        <v>0</v>
      </c>
      <c r="Z11135" s="19" t="n"/>
    </row>
    <row r="11136">
      <c r="D11136" s="21" t="n">
        <v>0</v>
      </c>
      <c r="E11136" s="21" t="n">
        <v>0</v>
      </c>
      <c r="F11136" s="21" t="n">
        <v>0</v>
      </c>
      <c r="G11136" s="21" t="n">
        <v>0</v>
      </c>
      <c r="H11136" s="21" t="n">
        <v>0</v>
      </c>
      <c r="I11136" s="21" t="n">
        <v>0</v>
      </c>
      <c r="J11136" s="21">
        <f>$B$10477</f>
        <v/>
      </c>
      <c r="K11136" s="21">
        <f>$B$10479</f>
        <v/>
      </c>
      <c r="L11136" s="21">
        <f>0</f>
        <v/>
      </c>
      <c r="M11136" s="21">
        <f>2*$B$10478</f>
        <v/>
      </c>
      <c r="N11136" s="21">
        <f>-$B$10477</f>
        <v/>
      </c>
      <c r="O11136" s="21">
        <f>$B$10479</f>
        <v/>
      </c>
      <c r="P11136" s="21" t="n">
        <v>0</v>
      </c>
      <c r="Q11136" s="21" t="n">
        <v>0</v>
      </c>
      <c r="R11136" s="21" t="n">
        <v>0</v>
      </c>
      <c r="S11136" s="21" t="n">
        <v>0</v>
      </c>
      <c r="T11136" s="21" t="n">
        <v>0</v>
      </c>
      <c r="U11136" s="21" t="n">
        <v>0</v>
      </c>
      <c r="V11136" s="21" t="n">
        <v>0</v>
      </c>
      <c r="W11136" s="21" t="n">
        <v>0</v>
      </c>
      <c r="X11136" s="21" t="n">
        <v>0</v>
      </c>
      <c r="Y11136" s="21" t="n">
        <v>0</v>
      </c>
      <c r="Z11136" s="19" t="n"/>
    </row>
    <row r="11137">
      <c r="D11137" s="21" t="n">
        <v>0</v>
      </c>
      <c r="E11137" s="21" t="n">
        <v>0</v>
      </c>
      <c r="F11137" s="21" t="n">
        <v>0</v>
      </c>
      <c r="G11137" s="21" t="n">
        <v>0</v>
      </c>
      <c r="H11137" s="21" t="n">
        <v>0</v>
      </c>
      <c r="I11137" s="21" t="n">
        <v>0</v>
      </c>
      <c r="J11137" s="21" t="n">
        <v>0</v>
      </c>
      <c r="K11137" s="21" t="n">
        <v>0</v>
      </c>
      <c r="L11137" s="21">
        <f>-$B$10476</f>
        <v/>
      </c>
      <c r="M11137" s="21">
        <f>-$B$10477</f>
        <v/>
      </c>
      <c r="N11137" s="21">
        <f>2*$B$10476+$D$11120</f>
        <v/>
      </c>
      <c r="O11137" s="21">
        <f>0</f>
        <v/>
      </c>
      <c r="P11137" s="21">
        <f>-$B$10476</f>
        <v/>
      </c>
      <c r="Q11137" s="21">
        <f>$B$10477</f>
        <v/>
      </c>
      <c r="R11137" s="21" t="n">
        <v>0</v>
      </c>
      <c r="S11137" s="21" t="n">
        <v>0</v>
      </c>
      <c r="T11137" s="21" t="n">
        <v>0</v>
      </c>
      <c r="U11137" s="21" t="n">
        <v>0</v>
      </c>
      <c r="V11137" s="21" t="n">
        <v>0</v>
      </c>
      <c r="W11137" s="21" t="n">
        <v>0</v>
      </c>
      <c r="X11137" s="21" t="n">
        <v>0</v>
      </c>
      <c r="Y11137" s="21" t="n">
        <v>0</v>
      </c>
      <c r="Z11137" s="19" t="n"/>
    </row>
    <row r="11138">
      <c r="D11138" s="21" t="n">
        <v>0</v>
      </c>
      <c r="E11138" s="21" t="n">
        <v>0</v>
      </c>
      <c r="F11138" s="21" t="n">
        <v>0</v>
      </c>
      <c r="G11138" s="21" t="n">
        <v>0</v>
      </c>
      <c r="H11138" s="21" t="n">
        <v>0</v>
      </c>
      <c r="I11138" s="21" t="n">
        <v>0</v>
      </c>
      <c r="J11138" s="21" t="n">
        <v>0</v>
      </c>
      <c r="K11138" s="21" t="n">
        <v>0</v>
      </c>
      <c r="L11138" s="21">
        <f>$B$10477</f>
        <v/>
      </c>
      <c r="M11138" s="21">
        <f>$B$10479</f>
        <v/>
      </c>
      <c r="N11138" s="21">
        <f>0</f>
        <v/>
      </c>
      <c r="O11138" s="21">
        <f>2*$B$10478</f>
        <v/>
      </c>
      <c r="P11138" s="21">
        <f>-$B$10477</f>
        <v/>
      </c>
      <c r="Q11138" s="21">
        <f>$B$10479</f>
        <v/>
      </c>
      <c r="R11138" s="21" t="n">
        <v>0</v>
      </c>
      <c r="S11138" s="21" t="n">
        <v>0</v>
      </c>
      <c r="T11138" s="21" t="n">
        <v>0</v>
      </c>
      <c r="U11138" s="21" t="n">
        <v>0</v>
      </c>
      <c r="V11138" s="21" t="n">
        <v>0</v>
      </c>
      <c r="W11138" s="21" t="n">
        <v>0</v>
      </c>
      <c r="X11138" s="21" t="n">
        <v>0</v>
      </c>
      <c r="Y11138" s="21" t="n">
        <v>0</v>
      </c>
      <c r="Z11138" s="19" t="n"/>
    </row>
    <row r="11139">
      <c r="D11139" s="21" t="n">
        <v>0</v>
      </c>
      <c r="E11139" s="21" t="n">
        <v>0</v>
      </c>
      <c r="F11139" s="21" t="n">
        <v>0</v>
      </c>
      <c r="G11139" s="21" t="n">
        <v>0</v>
      </c>
      <c r="H11139" s="21" t="n">
        <v>0</v>
      </c>
      <c r="I11139" s="21" t="n">
        <v>0</v>
      </c>
      <c r="J11139" s="21" t="n">
        <v>0</v>
      </c>
      <c r="K11139" s="21" t="n">
        <v>0</v>
      </c>
      <c r="L11139" s="21" t="n">
        <v>0</v>
      </c>
      <c r="M11139" s="21" t="n">
        <v>0</v>
      </c>
      <c r="N11139" s="21">
        <f>-$B$10476</f>
        <v/>
      </c>
      <c r="O11139" s="21">
        <f>-$B$10477</f>
        <v/>
      </c>
      <c r="P11139" s="21">
        <f>2*$B$10476+$D$11121</f>
        <v/>
      </c>
      <c r="Q11139" s="21">
        <f>0</f>
        <v/>
      </c>
      <c r="R11139" s="21">
        <f>-$B$10476</f>
        <v/>
      </c>
      <c r="S11139" s="21">
        <f>$B$10477</f>
        <v/>
      </c>
      <c r="T11139" s="21" t="n">
        <v>0</v>
      </c>
      <c r="U11139" s="21" t="n">
        <v>0</v>
      </c>
      <c r="V11139" s="21" t="n">
        <v>0</v>
      </c>
      <c r="W11139" s="21" t="n">
        <v>0</v>
      </c>
      <c r="X11139" s="21" t="n">
        <v>0</v>
      </c>
      <c r="Y11139" s="21" t="n">
        <v>0</v>
      </c>
      <c r="Z11139" s="19" t="n"/>
    </row>
    <row r="11140">
      <c r="D11140" s="21" t="n">
        <v>0</v>
      </c>
      <c r="E11140" s="21" t="n">
        <v>0</v>
      </c>
      <c r="F11140" s="21" t="n">
        <v>0</v>
      </c>
      <c r="G11140" s="21" t="n">
        <v>0</v>
      </c>
      <c r="H11140" s="21" t="n">
        <v>0</v>
      </c>
      <c r="I11140" s="21" t="n">
        <v>0</v>
      </c>
      <c r="J11140" s="21" t="n">
        <v>0</v>
      </c>
      <c r="K11140" s="21" t="n">
        <v>0</v>
      </c>
      <c r="L11140" s="21" t="n">
        <v>0</v>
      </c>
      <c r="M11140" s="21" t="n">
        <v>0</v>
      </c>
      <c r="N11140" s="21">
        <f>$B$10477</f>
        <v/>
      </c>
      <c r="O11140" s="21">
        <f>$B$10479</f>
        <v/>
      </c>
      <c r="P11140" s="21">
        <f>0</f>
        <v/>
      </c>
      <c r="Q11140" s="21">
        <f>2*$B$10478</f>
        <v/>
      </c>
      <c r="R11140" s="21">
        <f>-$B$10477</f>
        <v/>
      </c>
      <c r="S11140" s="21">
        <f>$B$10479</f>
        <v/>
      </c>
      <c r="T11140" s="21" t="n">
        <v>0</v>
      </c>
      <c r="U11140" s="21" t="n">
        <v>0</v>
      </c>
      <c r="V11140" s="21" t="n">
        <v>0</v>
      </c>
      <c r="W11140" s="21" t="n">
        <v>0</v>
      </c>
      <c r="X11140" s="21" t="n">
        <v>0</v>
      </c>
      <c r="Y11140" s="21" t="n">
        <v>0</v>
      </c>
      <c r="Z11140" s="19" t="n"/>
    </row>
    <row r="11141">
      <c r="D11141" s="21" t="n">
        <v>0</v>
      </c>
      <c r="E11141" s="21" t="n">
        <v>0</v>
      </c>
      <c r="F11141" s="21" t="n">
        <v>0</v>
      </c>
      <c r="G11141" s="21" t="n">
        <v>0</v>
      </c>
      <c r="H11141" s="21" t="n">
        <v>0</v>
      </c>
      <c r="I11141" s="21" t="n">
        <v>0</v>
      </c>
      <c r="J11141" s="21" t="n">
        <v>0</v>
      </c>
      <c r="K11141" s="21" t="n">
        <v>0</v>
      </c>
      <c r="L11141" s="21" t="n">
        <v>0</v>
      </c>
      <c r="M11141" s="21" t="n">
        <v>0</v>
      </c>
      <c r="N11141" s="21" t="n">
        <v>0</v>
      </c>
      <c r="O11141" s="21" t="n">
        <v>0</v>
      </c>
      <c r="P11141" s="21">
        <f>-$B$10476</f>
        <v/>
      </c>
      <c r="Q11141" s="21">
        <f>-$B$10477</f>
        <v/>
      </c>
      <c r="R11141" s="21">
        <f>2*$B$10476+$D$11122</f>
        <v/>
      </c>
      <c r="S11141" s="21">
        <f>0</f>
        <v/>
      </c>
      <c r="T11141" s="21">
        <f>-$B$10476</f>
        <v/>
      </c>
      <c r="U11141" s="21">
        <f>$B$10477</f>
        <v/>
      </c>
      <c r="V11141" s="21" t="n">
        <v>0</v>
      </c>
      <c r="W11141" s="21" t="n">
        <v>0</v>
      </c>
      <c r="X11141" s="21" t="n">
        <v>0</v>
      </c>
      <c r="Y11141" s="21" t="n">
        <v>0</v>
      </c>
      <c r="Z11141" s="19" t="n"/>
    </row>
    <row r="11142">
      <c r="D11142" s="21" t="n">
        <v>0</v>
      </c>
      <c r="E11142" s="21" t="n">
        <v>0</v>
      </c>
      <c r="F11142" s="21" t="n">
        <v>0</v>
      </c>
      <c r="G11142" s="21" t="n">
        <v>0</v>
      </c>
      <c r="H11142" s="21" t="n">
        <v>0</v>
      </c>
      <c r="I11142" s="21" t="n">
        <v>0</v>
      </c>
      <c r="J11142" s="21" t="n">
        <v>0</v>
      </c>
      <c r="K11142" s="21" t="n">
        <v>0</v>
      </c>
      <c r="L11142" s="21" t="n">
        <v>0</v>
      </c>
      <c r="M11142" s="21" t="n">
        <v>0</v>
      </c>
      <c r="N11142" s="21" t="n">
        <v>0</v>
      </c>
      <c r="O11142" s="21" t="n">
        <v>0</v>
      </c>
      <c r="P11142" s="21">
        <f>$B$10477</f>
        <v/>
      </c>
      <c r="Q11142" s="21">
        <f>$B$10479</f>
        <v/>
      </c>
      <c r="R11142" s="21">
        <f>0</f>
        <v/>
      </c>
      <c r="S11142" s="21">
        <f>2*$B$10478</f>
        <v/>
      </c>
      <c r="T11142" s="21">
        <f>-$B$10477</f>
        <v/>
      </c>
      <c r="U11142" s="21">
        <f>$B$10479</f>
        <v/>
      </c>
      <c r="V11142" s="21" t="n">
        <v>0</v>
      </c>
      <c r="W11142" s="21" t="n">
        <v>0</v>
      </c>
      <c r="X11142" s="21" t="n">
        <v>0</v>
      </c>
      <c r="Y11142" s="21" t="n">
        <v>0</v>
      </c>
      <c r="Z11142" s="19" t="n"/>
    </row>
    <row r="11143">
      <c r="D11143" s="21" t="n">
        <v>0</v>
      </c>
      <c r="E11143" s="21" t="n">
        <v>0</v>
      </c>
      <c r="F11143" s="21" t="n">
        <v>0</v>
      </c>
      <c r="G11143" s="21" t="n">
        <v>0</v>
      </c>
      <c r="H11143" s="21" t="n">
        <v>0</v>
      </c>
      <c r="I11143" s="21" t="n">
        <v>0</v>
      </c>
      <c r="J11143" s="21" t="n">
        <v>0</v>
      </c>
      <c r="K11143" s="21" t="n">
        <v>0</v>
      </c>
      <c r="L11143" s="21" t="n">
        <v>0</v>
      </c>
      <c r="M11143" s="21" t="n">
        <v>0</v>
      </c>
      <c r="N11143" s="21" t="n">
        <v>0</v>
      </c>
      <c r="O11143" s="21" t="n">
        <v>0</v>
      </c>
      <c r="P11143" s="21" t="n">
        <v>0</v>
      </c>
      <c r="Q11143" s="21" t="n">
        <v>0</v>
      </c>
      <c r="R11143" s="21">
        <f>-$B$10476</f>
        <v/>
      </c>
      <c r="S11143" s="21">
        <f>-$B$10477</f>
        <v/>
      </c>
      <c r="T11143" s="21">
        <f>2*$B$10476+$D$11123</f>
        <v/>
      </c>
      <c r="U11143" s="21">
        <f>0</f>
        <v/>
      </c>
      <c r="V11143" s="21">
        <f>-$B$10476</f>
        <v/>
      </c>
      <c r="W11143" s="21">
        <f>$B$10477</f>
        <v/>
      </c>
      <c r="X11143" s="21" t="n">
        <v>0</v>
      </c>
      <c r="Y11143" s="21" t="n">
        <v>0</v>
      </c>
      <c r="Z11143" s="19" t="n"/>
    </row>
    <row r="11144">
      <c r="D11144" s="21" t="n">
        <v>0</v>
      </c>
      <c r="E11144" s="21" t="n">
        <v>0</v>
      </c>
      <c r="F11144" s="21" t="n">
        <v>0</v>
      </c>
      <c r="G11144" s="21" t="n">
        <v>0</v>
      </c>
      <c r="H11144" s="21" t="n">
        <v>0</v>
      </c>
      <c r="I11144" s="21" t="n">
        <v>0</v>
      </c>
      <c r="J11144" s="21" t="n">
        <v>0</v>
      </c>
      <c r="K11144" s="21" t="n">
        <v>0</v>
      </c>
      <c r="L11144" s="21" t="n">
        <v>0</v>
      </c>
      <c r="M11144" s="21" t="n">
        <v>0</v>
      </c>
      <c r="N11144" s="21" t="n">
        <v>0</v>
      </c>
      <c r="O11144" s="21" t="n">
        <v>0</v>
      </c>
      <c r="P11144" s="21" t="n">
        <v>0</v>
      </c>
      <c r="Q11144" s="21" t="n">
        <v>0</v>
      </c>
      <c r="R11144" s="21">
        <f>$B$10477</f>
        <v/>
      </c>
      <c r="S11144" s="21">
        <f>$B$10479</f>
        <v/>
      </c>
      <c r="T11144" s="21">
        <f>0</f>
        <v/>
      </c>
      <c r="U11144" s="21">
        <f>2*$B$10478</f>
        <v/>
      </c>
      <c r="V11144" s="21">
        <f>-$B$10477</f>
        <v/>
      </c>
      <c r="W11144" s="21">
        <f>$B$10479</f>
        <v/>
      </c>
      <c r="X11144" s="21" t="n">
        <v>0</v>
      </c>
      <c r="Y11144" s="21" t="n">
        <v>0</v>
      </c>
      <c r="Z11144" s="19" t="n"/>
    </row>
    <row r="11145">
      <c r="D11145" s="21" t="n">
        <v>0</v>
      </c>
      <c r="E11145" s="21" t="n">
        <v>0</v>
      </c>
      <c r="F11145" s="21" t="n">
        <v>0</v>
      </c>
      <c r="G11145" s="21" t="n">
        <v>0</v>
      </c>
      <c r="H11145" s="21" t="n">
        <v>0</v>
      </c>
      <c r="I11145" s="21" t="n">
        <v>0</v>
      </c>
      <c r="J11145" s="21" t="n">
        <v>0</v>
      </c>
      <c r="K11145" s="21" t="n">
        <v>0</v>
      </c>
      <c r="L11145" s="21" t="n">
        <v>0</v>
      </c>
      <c r="M11145" s="21" t="n">
        <v>0</v>
      </c>
      <c r="N11145" s="21" t="n">
        <v>0</v>
      </c>
      <c r="O11145" s="21" t="n">
        <v>0</v>
      </c>
      <c r="P11145" s="21" t="n">
        <v>0</v>
      </c>
      <c r="Q11145" s="21" t="n">
        <v>0</v>
      </c>
      <c r="R11145" s="21" t="n">
        <v>0</v>
      </c>
      <c r="S11145" s="21" t="n">
        <v>0</v>
      </c>
      <c r="T11145" s="21">
        <f>-$B$10476</f>
        <v/>
      </c>
      <c r="U11145" s="21">
        <f>-$B$10477</f>
        <v/>
      </c>
      <c r="V11145" s="21">
        <f>2*$B$10476+$D$11124</f>
        <v/>
      </c>
      <c r="W11145" s="21">
        <f>0</f>
        <v/>
      </c>
      <c r="X11145" s="21">
        <f>-$B$10476</f>
        <v/>
      </c>
      <c r="Y11145" s="21">
        <f>$B$10477</f>
        <v/>
      </c>
      <c r="Z11145" s="19" t="n"/>
    </row>
    <row r="11146">
      <c r="D11146" s="21" t="n">
        <v>0</v>
      </c>
      <c r="E11146" s="21" t="n">
        <v>0</v>
      </c>
      <c r="F11146" s="21" t="n">
        <v>0</v>
      </c>
      <c r="G11146" s="21" t="n">
        <v>0</v>
      </c>
      <c r="H11146" s="21" t="n">
        <v>0</v>
      </c>
      <c r="I11146" s="21" t="n">
        <v>0</v>
      </c>
      <c r="J11146" s="21" t="n">
        <v>0</v>
      </c>
      <c r="K11146" s="21" t="n">
        <v>0</v>
      </c>
      <c r="L11146" s="21" t="n">
        <v>0</v>
      </c>
      <c r="M11146" s="21" t="n">
        <v>0</v>
      </c>
      <c r="N11146" s="21" t="n">
        <v>0</v>
      </c>
      <c r="O11146" s="21" t="n">
        <v>0</v>
      </c>
      <c r="P11146" s="21" t="n">
        <v>0</v>
      </c>
      <c r="Q11146" s="21" t="n">
        <v>0</v>
      </c>
      <c r="R11146" s="21" t="n">
        <v>0</v>
      </c>
      <c r="S11146" s="21" t="n">
        <v>0</v>
      </c>
      <c r="T11146" s="21">
        <f>$B$10477</f>
        <v/>
      </c>
      <c r="U11146" s="21">
        <f>$B$10479</f>
        <v/>
      </c>
      <c r="V11146" s="21">
        <f>0</f>
        <v/>
      </c>
      <c r="W11146" s="21">
        <f>2*$B$10478</f>
        <v/>
      </c>
      <c r="X11146" s="21">
        <f>-$B$10477</f>
        <v/>
      </c>
      <c r="Y11146" s="21">
        <f>$B$10479</f>
        <v/>
      </c>
      <c r="Z11146" s="19" t="n"/>
    </row>
    <row r="11147">
      <c r="D11147" s="21" t="n">
        <v>0</v>
      </c>
      <c r="E11147" s="21" t="n">
        <v>0</v>
      </c>
      <c r="F11147" s="21" t="n">
        <v>0</v>
      </c>
      <c r="G11147" s="21" t="n">
        <v>0</v>
      </c>
      <c r="H11147" s="21" t="n">
        <v>0</v>
      </c>
      <c r="I11147" s="21" t="n">
        <v>0</v>
      </c>
      <c r="J11147" s="21" t="n">
        <v>0</v>
      </c>
      <c r="K11147" s="21" t="n">
        <v>0</v>
      </c>
      <c r="L11147" s="21" t="n">
        <v>0</v>
      </c>
      <c r="M11147" s="21" t="n">
        <v>0</v>
      </c>
      <c r="N11147" s="21" t="n">
        <v>0</v>
      </c>
      <c r="O11147" s="21" t="n">
        <v>0</v>
      </c>
      <c r="P11147" s="21" t="n">
        <v>0</v>
      </c>
      <c r="Q11147" s="21" t="n">
        <v>0</v>
      </c>
      <c r="R11147" s="21" t="n">
        <v>0</v>
      </c>
      <c r="S11147" s="21" t="n">
        <v>0</v>
      </c>
      <c r="T11147" s="21" t="n">
        <v>0</v>
      </c>
      <c r="U11147" s="21" t="n">
        <v>0</v>
      </c>
      <c r="V11147" s="21">
        <f>-$B$10476</f>
        <v/>
      </c>
      <c r="W11147" s="21">
        <f>-$B$10477</f>
        <v/>
      </c>
      <c r="X11147" s="21">
        <f>$B$10476+$D$11125</f>
        <v/>
      </c>
      <c r="Y11147" s="21">
        <f>-$B$10477</f>
        <v/>
      </c>
      <c r="Z11147" s="19" t="n"/>
    </row>
    <row r="11148">
      <c r="D11148" s="21" t="n">
        <v>0</v>
      </c>
      <c r="E11148" s="21" t="n">
        <v>0</v>
      </c>
      <c r="F11148" s="21" t="n">
        <v>0</v>
      </c>
      <c r="G11148" s="21" t="n">
        <v>0</v>
      </c>
      <c r="H11148" s="21" t="n">
        <v>0</v>
      </c>
      <c r="I11148" s="21" t="n">
        <v>0</v>
      </c>
      <c r="J11148" s="21" t="n">
        <v>0</v>
      </c>
      <c r="K11148" s="21" t="n">
        <v>0</v>
      </c>
      <c r="L11148" s="21" t="n">
        <v>0</v>
      </c>
      <c r="M11148" s="21" t="n">
        <v>0</v>
      </c>
      <c r="N11148" s="21" t="n">
        <v>0</v>
      </c>
      <c r="O11148" s="21" t="n">
        <v>0</v>
      </c>
      <c r="P11148" s="21" t="n">
        <v>0</v>
      </c>
      <c r="Q11148" s="21" t="n">
        <v>0</v>
      </c>
      <c r="R11148" s="21" t="n">
        <v>0</v>
      </c>
      <c r="S11148" s="21" t="n">
        <v>0</v>
      </c>
      <c r="T11148" s="21" t="n">
        <v>0</v>
      </c>
      <c r="U11148" s="21" t="n">
        <v>0</v>
      </c>
      <c r="V11148" s="21">
        <f>$B$10477</f>
        <v/>
      </c>
      <c r="W11148" s="21">
        <f>$B$10479</f>
        <v/>
      </c>
      <c r="X11148" s="21">
        <f>-$B$10477</f>
        <v/>
      </c>
      <c r="Y11148" s="21">
        <f>$B$10478</f>
        <v/>
      </c>
      <c r="Z11148" s="19" t="n"/>
    </row>
    <row r="11150">
      <c r="A11150" s="8" t="inlineStr">
        <is>
          <t>gen 18</t>
        </is>
      </c>
    </row>
    <row r="11151">
      <c r="D11151" s="19">
        <f>IF(ABS(IF(ABS($E$11115)&gt;0.000000001,$E$11115,0.000000001))=0,0,IF($E$10491&lt;=$B$10485,0,IF(ABS(IF(ABS($E$11115)&gt;0.000000001,$E$11115,0.000000001))&gt;=8*$B$10487,$H$10491,0.5*$H$10491*(ABS(IF(ABS($E$11115)&gt;0.000000001,$E$11115,0.000000001))/$B$10487)^(1/3)))/ABS(IF(ABS($E$11115)&gt;0.000000001,$E$11115,0.000000001))*$I$10491)</f>
        <v/>
      </c>
      <c r="E11151" s="19">
        <f>0.5*$E$11115+0.5*$Z$11163</f>
        <v/>
      </c>
      <c r="F11151" s="19">
        <f>$Z$11164</f>
        <v/>
      </c>
    </row>
    <row r="11152">
      <c r="D11152" s="19">
        <f>IF(ABS(IF(ABS($E$11116)&gt;0.000000001,$E$11116,0.000000001))=0,0,IF($E$10492&lt;=$B$10485,0,IF(ABS(IF(ABS($E$11116)&gt;0.000000001,$E$11116,0.000000001))&gt;=8*$B$10487,$H$10492,0.5*$H$10492*(ABS(IF(ABS($E$11116)&gt;0.000000001,$E$11116,0.000000001))/$B$10487)^(1/3)))/ABS(IF(ABS($E$11116)&gt;0.000000001,$E$11116,0.000000001))*$I$10492)</f>
        <v/>
      </c>
      <c r="E11152" s="19">
        <f>0.5*$E$11116+0.5*$Z$11165</f>
        <v/>
      </c>
      <c r="F11152" s="19">
        <f>$Z$11166</f>
        <v/>
      </c>
    </row>
    <row r="11153">
      <c r="D11153" s="19">
        <f>IF(ABS(IF(ABS($E$11117)&gt;0.000000001,$E$11117,0.000000001))=0,0,IF($E$10493&lt;=$B$10485,0,IF(ABS(IF(ABS($E$11117)&gt;0.000000001,$E$11117,0.000000001))&gt;=8*$B$10487,$H$10493,0.5*$H$10493*(ABS(IF(ABS($E$11117)&gt;0.000000001,$E$11117,0.000000001))/$B$10487)^(1/3)))/ABS(IF(ABS($E$11117)&gt;0.000000001,$E$11117,0.000000001))*$I$10493)</f>
        <v/>
      </c>
      <c r="E11153" s="19">
        <f>0.5*$E$11117+0.5*$Z$11167</f>
        <v/>
      </c>
      <c r="F11153" s="19">
        <f>$Z$11168</f>
        <v/>
      </c>
    </row>
    <row r="11154">
      <c r="D11154" s="19">
        <f>IF(ABS(IF(ABS($E$11118)&gt;0.000000001,$E$11118,0.000000001))=0,0,IF($E$10494&lt;=$B$10485,0,IF(ABS(IF(ABS($E$11118)&gt;0.000000001,$E$11118,0.000000001))&gt;=8*$B$10487,$H$10494,0.5*$H$10494*(ABS(IF(ABS($E$11118)&gt;0.000000001,$E$11118,0.000000001))/$B$10487)^(1/3)))/ABS(IF(ABS($E$11118)&gt;0.000000001,$E$11118,0.000000001))*$I$10494)</f>
        <v/>
      </c>
      <c r="E11154" s="19">
        <f>0.5*$E$11118+0.5*$Z$11169</f>
        <v/>
      </c>
      <c r="F11154" s="19">
        <f>$Z$11170</f>
        <v/>
      </c>
    </row>
    <row r="11155">
      <c r="D11155" s="19">
        <f>IF(ABS(IF(ABS($E$11119)&gt;0.000000001,$E$11119,0.000000001))=0,0,IF($E$10495&lt;=$B$10485,0,IF(ABS(IF(ABS($E$11119)&gt;0.000000001,$E$11119,0.000000001))&gt;=8*$B$10487,$H$10495,0.5*$H$10495*(ABS(IF(ABS($E$11119)&gt;0.000000001,$E$11119,0.000000001))/$B$10487)^(1/3)))/ABS(IF(ABS($E$11119)&gt;0.000000001,$E$11119,0.000000001))*$I$10495)</f>
        <v/>
      </c>
      <c r="E11155" s="19">
        <f>0.5*$E$11119+0.5*$Z$11171</f>
        <v/>
      </c>
      <c r="F11155" s="19">
        <f>$Z$11172</f>
        <v/>
      </c>
    </row>
    <row r="11156">
      <c r="D11156" s="19">
        <f>IF(ABS(IF(ABS($E$11120)&gt;0.000000001,$E$11120,0.000000001))=0,0,IF($E$10496&lt;=$B$10485,0,IF(ABS(IF(ABS($E$11120)&gt;0.000000001,$E$11120,0.000000001))&gt;=8*$B$10487,$H$10496,0.5*$H$10496*(ABS(IF(ABS($E$11120)&gt;0.000000001,$E$11120,0.000000001))/$B$10487)^(1/3)))/ABS(IF(ABS($E$11120)&gt;0.000000001,$E$11120,0.000000001))*$I$10496)</f>
        <v/>
      </c>
      <c r="E11156" s="19">
        <f>0.5*$E$11120+0.5*$Z$11173</f>
        <v/>
      </c>
      <c r="F11156" s="19">
        <f>$Z$11174</f>
        <v/>
      </c>
    </row>
    <row r="11157">
      <c r="D11157" s="19">
        <f>IF(ABS(IF(ABS($E$11121)&gt;0.000000001,$E$11121,0.000000001))=0,0,IF($E$10497&lt;=$B$10485,0,IF(ABS(IF(ABS($E$11121)&gt;0.000000001,$E$11121,0.000000001))&gt;=8*$B$10487,$H$10497,0.5*$H$10497*(ABS(IF(ABS($E$11121)&gt;0.000000001,$E$11121,0.000000001))/$B$10487)^(1/3)))/ABS(IF(ABS($E$11121)&gt;0.000000001,$E$11121,0.000000001))*$I$10497)</f>
        <v/>
      </c>
      <c r="E11157" s="19">
        <f>0.5*$E$11121+0.5*$Z$11175</f>
        <v/>
      </c>
      <c r="F11157" s="19">
        <f>$Z$11176</f>
        <v/>
      </c>
    </row>
    <row r="11158">
      <c r="D11158" s="19">
        <f>IF(ABS(IF(ABS($E$11122)&gt;0.000000001,$E$11122,0.000000001))=0,0,IF($E$10498&lt;=$B$10485,0,IF(ABS(IF(ABS($E$11122)&gt;0.000000001,$E$11122,0.000000001))&gt;=8*$B$10487,$H$10498,0.5*$H$10498*(ABS(IF(ABS($E$11122)&gt;0.000000001,$E$11122,0.000000001))/$B$10487)^(1/3)))/ABS(IF(ABS($E$11122)&gt;0.000000001,$E$11122,0.000000001))*$I$10498)</f>
        <v/>
      </c>
      <c r="E11158" s="19">
        <f>0.5*$E$11122+0.5*$Z$11177</f>
        <v/>
      </c>
      <c r="F11158" s="19">
        <f>$Z$11178</f>
        <v/>
      </c>
    </row>
    <row r="11159">
      <c r="D11159" s="19">
        <f>IF(ABS(IF(ABS($E$11123)&gt;0.000000001,$E$11123,0.000000001))=0,0,IF($E$10499&lt;=$B$10485,0,IF(ABS(IF(ABS($E$11123)&gt;0.000000001,$E$11123,0.000000001))&gt;=8*$B$10487,$H$10499,0.5*$H$10499*(ABS(IF(ABS($E$11123)&gt;0.000000001,$E$11123,0.000000001))/$B$10487)^(1/3)))/ABS(IF(ABS($E$11123)&gt;0.000000001,$E$11123,0.000000001))*$I$10499)</f>
        <v/>
      </c>
      <c r="E11159" s="19">
        <f>0.5*$E$11123+0.5*$Z$11179</f>
        <v/>
      </c>
      <c r="F11159" s="19">
        <f>$Z$11180</f>
        <v/>
      </c>
    </row>
    <row r="11160">
      <c r="D11160" s="19">
        <f>IF(ABS(IF(ABS($E$11124)&gt;0.000000001,$E$11124,0.000000001))=0,0,IF($E$10500&lt;=$B$10485,0,IF(ABS(IF(ABS($E$11124)&gt;0.000000001,$E$11124,0.000000001))&gt;=8*$B$10487,$H$10500,0.5*$H$10500*(ABS(IF(ABS($E$11124)&gt;0.000000001,$E$11124,0.000000001))/$B$10487)^(1/3)))/ABS(IF(ABS($E$11124)&gt;0.000000001,$E$11124,0.000000001))*$I$10500)</f>
        <v/>
      </c>
      <c r="E11160" s="19">
        <f>0.5*$E$11124+0.5*$Z$11181</f>
        <v/>
      </c>
      <c r="F11160" s="19">
        <f>$Z$11182</f>
        <v/>
      </c>
    </row>
    <row r="11161">
      <c r="D11161" s="19">
        <f>IF(ABS(IF(ABS($E$11125)&gt;0.000000001,$E$11125,0.000000001))=0,0,IF($E$10501&lt;=$B$10485,0,IF(ABS(IF(ABS($E$11125)&gt;0.000000001,$E$11125,0.000000001))&gt;=8*$B$10487,$H$10501,0.5*$H$10501*(ABS(IF(ABS($E$11125)&gt;0.000000001,$E$11125,0.000000001))/$B$10487)^(1/3)))/ABS(IF(ABS($E$11125)&gt;0.000000001,$E$11125,0.000000001))*$I$10501)</f>
        <v/>
      </c>
      <c r="E11161" s="19">
        <f>0.5*$E$11125+0.5*$Z$11183</f>
        <v/>
      </c>
      <c r="F11161" s="19">
        <f>$Z$11184</f>
        <v/>
      </c>
    </row>
    <row r="11163">
      <c r="D11163" s="21">
        <f>$B$10476+$D$11151</f>
        <v/>
      </c>
      <c r="E11163" s="21">
        <f>$B$10477</f>
        <v/>
      </c>
      <c r="F11163" s="21">
        <f>-$B$10476</f>
        <v/>
      </c>
      <c r="G11163" s="21">
        <f>$B$10477</f>
        <v/>
      </c>
      <c r="H11163" s="21" t="n">
        <v>0</v>
      </c>
      <c r="I11163" s="21" t="n">
        <v>0</v>
      </c>
      <c r="J11163" s="21" t="n">
        <v>0</v>
      </c>
      <c r="K11163" s="21" t="n">
        <v>0</v>
      </c>
      <c r="L11163" s="21" t="n">
        <v>0</v>
      </c>
      <c r="M11163" s="21" t="n">
        <v>0</v>
      </c>
      <c r="N11163" s="21" t="n">
        <v>0</v>
      </c>
      <c r="O11163" s="21" t="n">
        <v>0</v>
      </c>
      <c r="P11163" s="21" t="n">
        <v>0</v>
      </c>
      <c r="Q11163" s="21" t="n">
        <v>0</v>
      </c>
      <c r="R11163" s="21" t="n">
        <v>0</v>
      </c>
      <c r="S11163" s="21" t="n">
        <v>0</v>
      </c>
      <c r="T11163" s="21" t="n">
        <v>0</v>
      </c>
      <c r="U11163" s="21" t="n">
        <v>0</v>
      </c>
      <c r="V11163" s="21" t="n">
        <v>0</v>
      </c>
      <c r="W11163" s="21" t="n">
        <v>0</v>
      </c>
      <c r="X11163" s="21" t="n">
        <v>0</v>
      </c>
      <c r="Y11163" s="21" t="n">
        <v>0</v>
      </c>
      <c r="Z11163" s="19">
        <f t="array" ref="Z11163:Z11184">MMULT(MINVERSE($D$11163:$Y$11184),$D$10503:$D$10524)</f>
        <v/>
      </c>
    </row>
    <row r="11164">
      <c r="D11164" s="21">
        <f>$B$10477</f>
        <v/>
      </c>
      <c r="E11164" s="21">
        <f>$B$10478</f>
        <v/>
      </c>
      <c r="F11164" s="21">
        <f>-$B$10477</f>
        <v/>
      </c>
      <c r="G11164" s="21">
        <f>$B$10479</f>
        <v/>
      </c>
      <c r="H11164" s="21" t="n">
        <v>0</v>
      </c>
      <c r="I11164" s="21" t="n">
        <v>0</v>
      </c>
      <c r="J11164" s="21" t="n">
        <v>0</v>
      </c>
      <c r="K11164" s="21" t="n">
        <v>0</v>
      </c>
      <c r="L11164" s="21" t="n">
        <v>0</v>
      </c>
      <c r="M11164" s="21" t="n">
        <v>0</v>
      </c>
      <c r="N11164" s="21" t="n">
        <v>0</v>
      </c>
      <c r="O11164" s="21" t="n">
        <v>0</v>
      </c>
      <c r="P11164" s="21" t="n">
        <v>0</v>
      </c>
      <c r="Q11164" s="21" t="n">
        <v>0</v>
      </c>
      <c r="R11164" s="21" t="n">
        <v>0</v>
      </c>
      <c r="S11164" s="21" t="n">
        <v>0</v>
      </c>
      <c r="T11164" s="21" t="n">
        <v>0</v>
      </c>
      <c r="U11164" s="21" t="n">
        <v>0</v>
      </c>
      <c r="V11164" s="21" t="n">
        <v>0</v>
      </c>
      <c r="W11164" s="21" t="n">
        <v>0</v>
      </c>
      <c r="X11164" s="21" t="n">
        <v>0</v>
      </c>
      <c r="Y11164" s="21" t="n">
        <v>0</v>
      </c>
      <c r="Z11164" s="19" t="n"/>
    </row>
    <row r="11165">
      <c r="D11165" s="21">
        <f>-$B$10476</f>
        <v/>
      </c>
      <c r="E11165" s="21">
        <f>-$B$10477</f>
        <v/>
      </c>
      <c r="F11165" s="21">
        <f>2*$B$10476+$D$11152</f>
        <v/>
      </c>
      <c r="G11165" s="21">
        <f>0</f>
        <v/>
      </c>
      <c r="H11165" s="21">
        <f>-$B$10476</f>
        <v/>
      </c>
      <c r="I11165" s="21">
        <f>$B$10477</f>
        <v/>
      </c>
      <c r="J11165" s="21" t="n">
        <v>0</v>
      </c>
      <c r="K11165" s="21" t="n">
        <v>0</v>
      </c>
      <c r="L11165" s="21" t="n">
        <v>0</v>
      </c>
      <c r="M11165" s="21" t="n">
        <v>0</v>
      </c>
      <c r="N11165" s="21" t="n">
        <v>0</v>
      </c>
      <c r="O11165" s="21" t="n">
        <v>0</v>
      </c>
      <c r="P11165" s="21" t="n">
        <v>0</v>
      </c>
      <c r="Q11165" s="21" t="n">
        <v>0</v>
      </c>
      <c r="R11165" s="21" t="n">
        <v>0</v>
      </c>
      <c r="S11165" s="21" t="n">
        <v>0</v>
      </c>
      <c r="T11165" s="21" t="n">
        <v>0</v>
      </c>
      <c r="U11165" s="21" t="n">
        <v>0</v>
      </c>
      <c r="V11165" s="21" t="n">
        <v>0</v>
      </c>
      <c r="W11165" s="21" t="n">
        <v>0</v>
      </c>
      <c r="X11165" s="21" t="n">
        <v>0</v>
      </c>
      <c r="Y11165" s="21" t="n">
        <v>0</v>
      </c>
      <c r="Z11165" s="19" t="n"/>
    </row>
    <row r="11166">
      <c r="D11166" s="21">
        <f>$B$10477</f>
        <v/>
      </c>
      <c r="E11166" s="21">
        <f>$B$10479</f>
        <v/>
      </c>
      <c r="F11166" s="21">
        <f>0</f>
        <v/>
      </c>
      <c r="G11166" s="21">
        <f>2*$B$10478</f>
        <v/>
      </c>
      <c r="H11166" s="21">
        <f>-$B$10477</f>
        <v/>
      </c>
      <c r="I11166" s="21">
        <f>$B$10479</f>
        <v/>
      </c>
      <c r="J11166" s="21" t="n">
        <v>0</v>
      </c>
      <c r="K11166" s="21" t="n">
        <v>0</v>
      </c>
      <c r="L11166" s="21" t="n">
        <v>0</v>
      </c>
      <c r="M11166" s="21" t="n">
        <v>0</v>
      </c>
      <c r="N11166" s="21" t="n">
        <v>0</v>
      </c>
      <c r="O11166" s="21" t="n">
        <v>0</v>
      </c>
      <c r="P11166" s="21" t="n">
        <v>0</v>
      </c>
      <c r="Q11166" s="21" t="n">
        <v>0</v>
      </c>
      <c r="R11166" s="21" t="n">
        <v>0</v>
      </c>
      <c r="S11166" s="21" t="n">
        <v>0</v>
      </c>
      <c r="T11166" s="21" t="n">
        <v>0</v>
      </c>
      <c r="U11166" s="21" t="n">
        <v>0</v>
      </c>
      <c r="V11166" s="21" t="n">
        <v>0</v>
      </c>
      <c r="W11166" s="21" t="n">
        <v>0</v>
      </c>
      <c r="X11166" s="21" t="n">
        <v>0</v>
      </c>
      <c r="Y11166" s="21" t="n">
        <v>0</v>
      </c>
      <c r="Z11166" s="19" t="n"/>
    </row>
    <row r="11167">
      <c r="D11167" s="21" t="n">
        <v>0</v>
      </c>
      <c r="E11167" s="21" t="n">
        <v>0</v>
      </c>
      <c r="F11167" s="21">
        <f>-$B$10476</f>
        <v/>
      </c>
      <c r="G11167" s="21">
        <f>-$B$10477</f>
        <v/>
      </c>
      <c r="H11167" s="21">
        <f>2*$B$10476+$D$11153</f>
        <v/>
      </c>
      <c r="I11167" s="21">
        <f>0</f>
        <v/>
      </c>
      <c r="J11167" s="21">
        <f>-$B$10476</f>
        <v/>
      </c>
      <c r="K11167" s="21">
        <f>$B$10477</f>
        <v/>
      </c>
      <c r="L11167" s="21" t="n">
        <v>0</v>
      </c>
      <c r="M11167" s="21" t="n">
        <v>0</v>
      </c>
      <c r="N11167" s="21" t="n">
        <v>0</v>
      </c>
      <c r="O11167" s="21" t="n">
        <v>0</v>
      </c>
      <c r="P11167" s="21" t="n">
        <v>0</v>
      </c>
      <c r="Q11167" s="21" t="n">
        <v>0</v>
      </c>
      <c r="R11167" s="21" t="n">
        <v>0</v>
      </c>
      <c r="S11167" s="21" t="n">
        <v>0</v>
      </c>
      <c r="T11167" s="21" t="n">
        <v>0</v>
      </c>
      <c r="U11167" s="21" t="n">
        <v>0</v>
      </c>
      <c r="V11167" s="21" t="n">
        <v>0</v>
      </c>
      <c r="W11167" s="21" t="n">
        <v>0</v>
      </c>
      <c r="X11167" s="21" t="n">
        <v>0</v>
      </c>
      <c r="Y11167" s="21" t="n">
        <v>0</v>
      </c>
      <c r="Z11167" s="19" t="n"/>
    </row>
    <row r="11168">
      <c r="D11168" s="21" t="n">
        <v>0</v>
      </c>
      <c r="E11168" s="21" t="n">
        <v>0</v>
      </c>
      <c r="F11168" s="21">
        <f>$B$10477</f>
        <v/>
      </c>
      <c r="G11168" s="21">
        <f>$B$10479</f>
        <v/>
      </c>
      <c r="H11168" s="21">
        <f>0</f>
        <v/>
      </c>
      <c r="I11168" s="21">
        <f>2*$B$10478</f>
        <v/>
      </c>
      <c r="J11168" s="21">
        <f>-$B$10477</f>
        <v/>
      </c>
      <c r="K11168" s="21">
        <f>$B$10479</f>
        <v/>
      </c>
      <c r="L11168" s="21" t="n">
        <v>0</v>
      </c>
      <c r="M11168" s="21" t="n">
        <v>0</v>
      </c>
      <c r="N11168" s="21" t="n">
        <v>0</v>
      </c>
      <c r="O11168" s="21" t="n">
        <v>0</v>
      </c>
      <c r="P11168" s="21" t="n">
        <v>0</v>
      </c>
      <c r="Q11168" s="21" t="n">
        <v>0</v>
      </c>
      <c r="R11168" s="21" t="n">
        <v>0</v>
      </c>
      <c r="S11168" s="21" t="n">
        <v>0</v>
      </c>
      <c r="T11168" s="21" t="n">
        <v>0</v>
      </c>
      <c r="U11168" s="21" t="n">
        <v>0</v>
      </c>
      <c r="V11168" s="21" t="n">
        <v>0</v>
      </c>
      <c r="W11168" s="21" t="n">
        <v>0</v>
      </c>
      <c r="X11168" s="21" t="n">
        <v>0</v>
      </c>
      <c r="Y11168" s="21" t="n">
        <v>0</v>
      </c>
      <c r="Z11168" s="19" t="n"/>
    </row>
    <row r="11169">
      <c r="D11169" s="21" t="n">
        <v>0</v>
      </c>
      <c r="E11169" s="21" t="n">
        <v>0</v>
      </c>
      <c r="F11169" s="21" t="n">
        <v>0</v>
      </c>
      <c r="G11169" s="21" t="n">
        <v>0</v>
      </c>
      <c r="H11169" s="21">
        <f>-$B$10476</f>
        <v/>
      </c>
      <c r="I11169" s="21">
        <f>-$B$10477</f>
        <v/>
      </c>
      <c r="J11169" s="21">
        <f>2*$B$10476+$D$11154</f>
        <v/>
      </c>
      <c r="K11169" s="21">
        <f>0</f>
        <v/>
      </c>
      <c r="L11169" s="21">
        <f>-$B$10476</f>
        <v/>
      </c>
      <c r="M11169" s="21">
        <f>$B$10477</f>
        <v/>
      </c>
      <c r="N11169" s="21" t="n">
        <v>0</v>
      </c>
      <c r="O11169" s="21" t="n">
        <v>0</v>
      </c>
      <c r="P11169" s="21" t="n">
        <v>0</v>
      </c>
      <c r="Q11169" s="21" t="n">
        <v>0</v>
      </c>
      <c r="R11169" s="21" t="n">
        <v>0</v>
      </c>
      <c r="S11169" s="21" t="n">
        <v>0</v>
      </c>
      <c r="T11169" s="21" t="n">
        <v>0</v>
      </c>
      <c r="U11169" s="21" t="n">
        <v>0</v>
      </c>
      <c r="V11169" s="21" t="n">
        <v>0</v>
      </c>
      <c r="W11169" s="21" t="n">
        <v>0</v>
      </c>
      <c r="X11169" s="21" t="n">
        <v>0</v>
      </c>
      <c r="Y11169" s="21" t="n">
        <v>0</v>
      </c>
      <c r="Z11169" s="19" t="n"/>
    </row>
    <row r="11170">
      <c r="D11170" s="21" t="n">
        <v>0</v>
      </c>
      <c r="E11170" s="21" t="n">
        <v>0</v>
      </c>
      <c r="F11170" s="21" t="n">
        <v>0</v>
      </c>
      <c r="G11170" s="21" t="n">
        <v>0</v>
      </c>
      <c r="H11170" s="21">
        <f>$B$10477</f>
        <v/>
      </c>
      <c r="I11170" s="21">
        <f>$B$10479</f>
        <v/>
      </c>
      <c r="J11170" s="21">
        <f>0</f>
        <v/>
      </c>
      <c r="K11170" s="21">
        <f>2*$B$10478</f>
        <v/>
      </c>
      <c r="L11170" s="21">
        <f>-$B$10477</f>
        <v/>
      </c>
      <c r="M11170" s="21">
        <f>$B$10479</f>
        <v/>
      </c>
      <c r="N11170" s="21" t="n">
        <v>0</v>
      </c>
      <c r="O11170" s="21" t="n">
        <v>0</v>
      </c>
      <c r="P11170" s="21" t="n">
        <v>0</v>
      </c>
      <c r="Q11170" s="21" t="n">
        <v>0</v>
      </c>
      <c r="R11170" s="21" t="n">
        <v>0</v>
      </c>
      <c r="S11170" s="21" t="n">
        <v>0</v>
      </c>
      <c r="T11170" s="21" t="n">
        <v>0</v>
      </c>
      <c r="U11170" s="21" t="n">
        <v>0</v>
      </c>
      <c r="V11170" s="21" t="n">
        <v>0</v>
      </c>
      <c r="W11170" s="21" t="n">
        <v>0</v>
      </c>
      <c r="X11170" s="21" t="n">
        <v>0</v>
      </c>
      <c r="Y11170" s="21" t="n">
        <v>0</v>
      </c>
      <c r="Z11170" s="19" t="n"/>
    </row>
    <row r="11171">
      <c r="D11171" s="21" t="n">
        <v>0</v>
      </c>
      <c r="E11171" s="21" t="n">
        <v>0</v>
      </c>
      <c r="F11171" s="21" t="n">
        <v>0</v>
      </c>
      <c r="G11171" s="21" t="n">
        <v>0</v>
      </c>
      <c r="H11171" s="21" t="n">
        <v>0</v>
      </c>
      <c r="I11171" s="21" t="n">
        <v>0</v>
      </c>
      <c r="J11171" s="21">
        <f>-$B$10476</f>
        <v/>
      </c>
      <c r="K11171" s="21">
        <f>-$B$10477</f>
        <v/>
      </c>
      <c r="L11171" s="21">
        <f>2*$B$10476+$D$11155</f>
        <v/>
      </c>
      <c r="M11171" s="21">
        <f>0</f>
        <v/>
      </c>
      <c r="N11171" s="21">
        <f>-$B$10476</f>
        <v/>
      </c>
      <c r="O11171" s="21">
        <f>$B$10477</f>
        <v/>
      </c>
      <c r="P11171" s="21" t="n">
        <v>0</v>
      </c>
      <c r="Q11171" s="21" t="n">
        <v>0</v>
      </c>
      <c r="R11171" s="21" t="n">
        <v>0</v>
      </c>
      <c r="S11171" s="21" t="n">
        <v>0</v>
      </c>
      <c r="T11171" s="21" t="n">
        <v>0</v>
      </c>
      <c r="U11171" s="21" t="n">
        <v>0</v>
      </c>
      <c r="V11171" s="21" t="n">
        <v>0</v>
      </c>
      <c r="W11171" s="21" t="n">
        <v>0</v>
      </c>
      <c r="X11171" s="21" t="n">
        <v>0</v>
      </c>
      <c r="Y11171" s="21" t="n">
        <v>0</v>
      </c>
      <c r="Z11171" s="19" t="n"/>
    </row>
    <row r="11172">
      <c r="D11172" s="21" t="n">
        <v>0</v>
      </c>
      <c r="E11172" s="21" t="n">
        <v>0</v>
      </c>
      <c r="F11172" s="21" t="n">
        <v>0</v>
      </c>
      <c r="G11172" s="21" t="n">
        <v>0</v>
      </c>
      <c r="H11172" s="21" t="n">
        <v>0</v>
      </c>
      <c r="I11172" s="21" t="n">
        <v>0</v>
      </c>
      <c r="J11172" s="21">
        <f>$B$10477</f>
        <v/>
      </c>
      <c r="K11172" s="21">
        <f>$B$10479</f>
        <v/>
      </c>
      <c r="L11172" s="21">
        <f>0</f>
        <v/>
      </c>
      <c r="M11172" s="21">
        <f>2*$B$10478</f>
        <v/>
      </c>
      <c r="N11172" s="21">
        <f>-$B$10477</f>
        <v/>
      </c>
      <c r="O11172" s="21">
        <f>$B$10479</f>
        <v/>
      </c>
      <c r="P11172" s="21" t="n">
        <v>0</v>
      </c>
      <c r="Q11172" s="21" t="n">
        <v>0</v>
      </c>
      <c r="R11172" s="21" t="n">
        <v>0</v>
      </c>
      <c r="S11172" s="21" t="n">
        <v>0</v>
      </c>
      <c r="T11172" s="21" t="n">
        <v>0</v>
      </c>
      <c r="U11172" s="21" t="n">
        <v>0</v>
      </c>
      <c r="V11172" s="21" t="n">
        <v>0</v>
      </c>
      <c r="W11172" s="21" t="n">
        <v>0</v>
      </c>
      <c r="X11172" s="21" t="n">
        <v>0</v>
      </c>
      <c r="Y11172" s="21" t="n">
        <v>0</v>
      </c>
      <c r="Z11172" s="19" t="n"/>
    </row>
    <row r="11173">
      <c r="D11173" s="21" t="n">
        <v>0</v>
      </c>
      <c r="E11173" s="21" t="n">
        <v>0</v>
      </c>
      <c r="F11173" s="21" t="n">
        <v>0</v>
      </c>
      <c r="G11173" s="21" t="n">
        <v>0</v>
      </c>
      <c r="H11173" s="21" t="n">
        <v>0</v>
      </c>
      <c r="I11173" s="21" t="n">
        <v>0</v>
      </c>
      <c r="J11173" s="21" t="n">
        <v>0</v>
      </c>
      <c r="K11173" s="21" t="n">
        <v>0</v>
      </c>
      <c r="L11173" s="21">
        <f>-$B$10476</f>
        <v/>
      </c>
      <c r="M11173" s="21">
        <f>-$B$10477</f>
        <v/>
      </c>
      <c r="N11173" s="21">
        <f>2*$B$10476+$D$11156</f>
        <v/>
      </c>
      <c r="O11173" s="21">
        <f>0</f>
        <v/>
      </c>
      <c r="P11173" s="21">
        <f>-$B$10476</f>
        <v/>
      </c>
      <c r="Q11173" s="21">
        <f>$B$10477</f>
        <v/>
      </c>
      <c r="R11173" s="21" t="n">
        <v>0</v>
      </c>
      <c r="S11173" s="21" t="n">
        <v>0</v>
      </c>
      <c r="T11173" s="21" t="n">
        <v>0</v>
      </c>
      <c r="U11173" s="21" t="n">
        <v>0</v>
      </c>
      <c r="V11173" s="21" t="n">
        <v>0</v>
      </c>
      <c r="W11173" s="21" t="n">
        <v>0</v>
      </c>
      <c r="X11173" s="21" t="n">
        <v>0</v>
      </c>
      <c r="Y11173" s="21" t="n">
        <v>0</v>
      </c>
      <c r="Z11173" s="19" t="n"/>
    </row>
    <row r="11174">
      <c r="D11174" s="21" t="n">
        <v>0</v>
      </c>
      <c r="E11174" s="21" t="n">
        <v>0</v>
      </c>
      <c r="F11174" s="21" t="n">
        <v>0</v>
      </c>
      <c r="G11174" s="21" t="n">
        <v>0</v>
      </c>
      <c r="H11174" s="21" t="n">
        <v>0</v>
      </c>
      <c r="I11174" s="21" t="n">
        <v>0</v>
      </c>
      <c r="J11174" s="21" t="n">
        <v>0</v>
      </c>
      <c r="K11174" s="21" t="n">
        <v>0</v>
      </c>
      <c r="L11174" s="21">
        <f>$B$10477</f>
        <v/>
      </c>
      <c r="M11174" s="21">
        <f>$B$10479</f>
        <v/>
      </c>
      <c r="N11174" s="21">
        <f>0</f>
        <v/>
      </c>
      <c r="O11174" s="21">
        <f>2*$B$10478</f>
        <v/>
      </c>
      <c r="P11174" s="21">
        <f>-$B$10477</f>
        <v/>
      </c>
      <c r="Q11174" s="21">
        <f>$B$10479</f>
        <v/>
      </c>
      <c r="R11174" s="21" t="n">
        <v>0</v>
      </c>
      <c r="S11174" s="21" t="n">
        <v>0</v>
      </c>
      <c r="T11174" s="21" t="n">
        <v>0</v>
      </c>
      <c r="U11174" s="21" t="n">
        <v>0</v>
      </c>
      <c r="V11174" s="21" t="n">
        <v>0</v>
      </c>
      <c r="W11174" s="21" t="n">
        <v>0</v>
      </c>
      <c r="X11174" s="21" t="n">
        <v>0</v>
      </c>
      <c r="Y11174" s="21" t="n">
        <v>0</v>
      </c>
      <c r="Z11174" s="19" t="n"/>
    </row>
    <row r="11175">
      <c r="D11175" s="21" t="n">
        <v>0</v>
      </c>
      <c r="E11175" s="21" t="n">
        <v>0</v>
      </c>
      <c r="F11175" s="21" t="n">
        <v>0</v>
      </c>
      <c r="G11175" s="21" t="n">
        <v>0</v>
      </c>
      <c r="H11175" s="21" t="n">
        <v>0</v>
      </c>
      <c r="I11175" s="21" t="n">
        <v>0</v>
      </c>
      <c r="J11175" s="21" t="n">
        <v>0</v>
      </c>
      <c r="K11175" s="21" t="n">
        <v>0</v>
      </c>
      <c r="L11175" s="21" t="n">
        <v>0</v>
      </c>
      <c r="M11175" s="21" t="n">
        <v>0</v>
      </c>
      <c r="N11175" s="21">
        <f>-$B$10476</f>
        <v/>
      </c>
      <c r="O11175" s="21">
        <f>-$B$10477</f>
        <v/>
      </c>
      <c r="P11175" s="21">
        <f>2*$B$10476+$D$11157</f>
        <v/>
      </c>
      <c r="Q11175" s="21">
        <f>0</f>
        <v/>
      </c>
      <c r="R11175" s="21">
        <f>-$B$10476</f>
        <v/>
      </c>
      <c r="S11175" s="21">
        <f>$B$10477</f>
        <v/>
      </c>
      <c r="T11175" s="21" t="n">
        <v>0</v>
      </c>
      <c r="U11175" s="21" t="n">
        <v>0</v>
      </c>
      <c r="V11175" s="21" t="n">
        <v>0</v>
      </c>
      <c r="W11175" s="21" t="n">
        <v>0</v>
      </c>
      <c r="X11175" s="21" t="n">
        <v>0</v>
      </c>
      <c r="Y11175" s="21" t="n">
        <v>0</v>
      </c>
      <c r="Z11175" s="19" t="n"/>
    </row>
    <row r="11176">
      <c r="D11176" s="21" t="n">
        <v>0</v>
      </c>
      <c r="E11176" s="21" t="n">
        <v>0</v>
      </c>
      <c r="F11176" s="21" t="n">
        <v>0</v>
      </c>
      <c r="G11176" s="21" t="n">
        <v>0</v>
      </c>
      <c r="H11176" s="21" t="n">
        <v>0</v>
      </c>
      <c r="I11176" s="21" t="n">
        <v>0</v>
      </c>
      <c r="J11176" s="21" t="n">
        <v>0</v>
      </c>
      <c r="K11176" s="21" t="n">
        <v>0</v>
      </c>
      <c r="L11176" s="21" t="n">
        <v>0</v>
      </c>
      <c r="M11176" s="21" t="n">
        <v>0</v>
      </c>
      <c r="N11176" s="21">
        <f>$B$10477</f>
        <v/>
      </c>
      <c r="O11176" s="21">
        <f>$B$10479</f>
        <v/>
      </c>
      <c r="P11176" s="21">
        <f>0</f>
        <v/>
      </c>
      <c r="Q11176" s="21">
        <f>2*$B$10478</f>
        <v/>
      </c>
      <c r="R11176" s="21">
        <f>-$B$10477</f>
        <v/>
      </c>
      <c r="S11176" s="21">
        <f>$B$10479</f>
        <v/>
      </c>
      <c r="T11176" s="21" t="n">
        <v>0</v>
      </c>
      <c r="U11176" s="21" t="n">
        <v>0</v>
      </c>
      <c r="V11176" s="21" t="n">
        <v>0</v>
      </c>
      <c r="W11176" s="21" t="n">
        <v>0</v>
      </c>
      <c r="X11176" s="21" t="n">
        <v>0</v>
      </c>
      <c r="Y11176" s="21" t="n">
        <v>0</v>
      </c>
      <c r="Z11176" s="19" t="n"/>
    </row>
    <row r="11177">
      <c r="D11177" s="21" t="n">
        <v>0</v>
      </c>
      <c r="E11177" s="21" t="n">
        <v>0</v>
      </c>
      <c r="F11177" s="21" t="n">
        <v>0</v>
      </c>
      <c r="G11177" s="21" t="n">
        <v>0</v>
      </c>
      <c r="H11177" s="21" t="n">
        <v>0</v>
      </c>
      <c r="I11177" s="21" t="n">
        <v>0</v>
      </c>
      <c r="J11177" s="21" t="n">
        <v>0</v>
      </c>
      <c r="K11177" s="21" t="n">
        <v>0</v>
      </c>
      <c r="L11177" s="21" t="n">
        <v>0</v>
      </c>
      <c r="M11177" s="21" t="n">
        <v>0</v>
      </c>
      <c r="N11177" s="21" t="n">
        <v>0</v>
      </c>
      <c r="O11177" s="21" t="n">
        <v>0</v>
      </c>
      <c r="P11177" s="21">
        <f>-$B$10476</f>
        <v/>
      </c>
      <c r="Q11177" s="21">
        <f>-$B$10477</f>
        <v/>
      </c>
      <c r="R11177" s="21">
        <f>2*$B$10476+$D$11158</f>
        <v/>
      </c>
      <c r="S11177" s="21">
        <f>0</f>
        <v/>
      </c>
      <c r="T11177" s="21">
        <f>-$B$10476</f>
        <v/>
      </c>
      <c r="U11177" s="21">
        <f>$B$10477</f>
        <v/>
      </c>
      <c r="V11177" s="21" t="n">
        <v>0</v>
      </c>
      <c r="W11177" s="21" t="n">
        <v>0</v>
      </c>
      <c r="X11177" s="21" t="n">
        <v>0</v>
      </c>
      <c r="Y11177" s="21" t="n">
        <v>0</v>
      </c>
      <c r="Z11177" s="19" t="n"/>
    </row>
    <row r="11178">
      <c r="D11178" s="21" t="n">
        <v>0</v>
      </c>
      <c r="E11178" s="21" t="n">
        <v>0</v>
      </c>
      <c r="F11178" s="21" t="n">
        <v>0</v>
      </c>
      <c r="G11178" s="21" t="n">
        <v>0</v>
      </c>
      <c r="H11178" s="21" t="n">
        <v>0</v>
      </c>
      <c r="I11178" s="21" t="n">
        <v>0</v>
      </c>
      <c r="J11178" s="21" t="n">
        <v>0</v>
      </c>
      <c r="K11178" s="21" t="n">
        <v>0</v>
      </c>
      <c r="L11178" s="21" t="n">
        <v>0</v>
      </c>
      <c r="M11178" s="21" t="n">
        <v>0</v>
      </c>
      <c r="N11178" s="21" t="n">
        <v>0</v>
      </c>
      <c r="O11178" s="21" t="n">
        <v>0</v>
      </c>
      <c r="P11178" s="21">
        <f>$B$10477</f>
        <v/>
      </c>
      <c r="Q11178" s="21">
        <f>$B$10479</f>
        <v/>
      </c>
      <c r="R11178" s="21">
        <f>0</f>
        <v/>
      </c>
      <c r="S11178" s="21">
        <f>2*$B$10478</f>
        <v/>
      </c>
      <c r="T11178" s="21">
        <f>-$B$10477</f>
        <v/>
      </c>
      <c r="U11178" s="21">
        <f>$B$10479</f>
        <v/>
      </c>
      <c r="V11178" s="21" t="n">
        <v>0</v>
      </c>
      <c r="W11178" s="21" t="n">
        <v>0</v>
      </c>
      <c r="X11178" s="21" t="n">
        <v>0</v>
      </c>
      <c r="Y11178" s="21" t="n">
        <v>0</v>
      </c>
      <c r="Z11178" s="19" t="n"/>
    </row>
    <row r="11179">
      <c r="D11179" s="21" t="n">
        <v>0</v>
      </c>
      <c r="E11179" s="21" t="n">
        <v>0</v>
      </c>
      <c r="F11179" s="21" t="n">
        <v>0</v>
      </c>
      <c r="G11179" s="21" t="n">
        <v>0</v>
      </c>
      <c r="H11179" s="21" t="n">
        <v>0</v>
      </c>
      <c r="I11179" s="21" t="n">
        <v>0</v>
      </c>
      <c r="J11179" s="21" t="n">
        <v>0</v>
      </c>
      <c r="K11179" s="21" t="n">
        <v>0</v>
      </c>
      <c r="L11179" s="21" t="n">
        <v>0</v>
      </c>
      <c r="M11179" s="21" t="n">
        <v>0</v>
      </c>
      <c r="N11179" s="21" t="n">
        <v>0</v>
      </c>
      <c r="O11179" s="21" t="n">
        <v>0</v>
      </c>
      <c r="P11179" s="21" t="n">
        <v>0</v>
      </c>
      <c r="Q11179" s="21" t="n">
        <v>0</v>
      </c>
      <c r="R11179" s="21">
        <f>-$B$10476</f>
        <v/>
      </c>
      <c r="S11179" s="21">
        <f>-$B$10477</f>
        <v/>
      </c>
      <c r="T11179" s="21">
        <f>2*$B$10476+$D$11159</f>
        <v/>
      </c>
      <c r="U11179" s="21">
        <f>0</f>
        <v/>
      </c>
      <c r="V11179" s="21">
        <f>-$B$10476</f>
        <v/>
      </c>
      <c r="W11179" s="21">
        <f>$B$10477</f>
        <v/>
      </c>
      <c r="X11179" s="21" t="n">
        <v>0</v>
      </c>
      <c r="Y11179" s="21" t="n">
        <v>0</v>
      </c>
      <c r="Z11179" s="19" t="n"/>
    </row>
    <row r="11180">
      <c r="D11180" s="21" t="n">
        <v>0</v>
      </c>
      <c r="E11180" s="21" t="n">
        <v>0</v>
      </c>
      <c r="F11180" s="21" t="n">
        <v>0</v>
      </c>
      <c r="G11180" s="21" t="n">
        <v>0</v>
      </c>
      <c r="H11180" s="21" t="n">
        <v>0</v>
      </c>
      <c r="I11180" s="21" t="n">
        <v>0</v>
      </c>
      <c r="J11180" s="21" t="n">
        <v>0</v>
      </c>
      <c r="K11180" s="21" t="n">
        <v>0</v>
      </c>
      <c r="L11180" s="21" t="n">
        <v>0</v>
      </c>
      <c r="M11180" s="21" t="n">
        <v>0</v>
      </c>
      <c r="N11180" s="21" t="n">
        <v>0</v>
      </c>
      <c r="O11180" s="21" t="n">
        <v>0</v>
      </c>
      <c r="P11180" s="21" t="n">
        <v>0</v>
      </c>
      <c r="Q11180" s="21" t="n">
        <v>0</v>
      </c>
      <c r="R11180" s="21">
        <f>$B$10477</f>
        <v/>
      </c>
      <c r="S11180" s="21">
        <f>$B$10479</f>
        <v/>
      </c>
      <c r="T11180" s="21">
        <f>0</f>
        <v/>
      </c>
      <c r="U11180" s="21">
        <f>2*$B$10478</f>
        <v/>
      </c>
      <c r="V11180" s="21">
        <f>-$B$10477</f>
        <v/>
      </c>
      <c r="W11180" s="21">
        <f>$B$10479</f>
        <v/>
      </c>
      <c r="X11180" s="21" t="n">
        <v>0</v>
      </c>
      <c r="Y11180" s="21" t="n">
        <v>0</v>
      </c>
      <c r="Z11180" s="19" t="n"/>
    </row>
    <row r="11181">
      <c r="D11181" s="21" t="n">
        <v>0</v>
      </c>
      <c r="E11181" s="21" t="n">
        <v>0</v>
      </c>
      <c r="F11181" s="21" t="n">
        <v>0</v>
      </c>
      <c r="G11181" s="21" t="n">
        <v>0</v>
      </c>
      <c r="H11181" s="21" t="n">
        <v>0</v>
      </c>
      <c r="I11181" s="21" t="n">
        <v>0</v>
      </c>
      <c r="J11181" s="21" t="n">
        <v>0</v>
      </c>
      <c r="K11181" s="21" t="n">
        <v>0</v>
      </c>
      <c r="L11181" s="21" t="n">
        <v>0</v>
      </c>
      <c r="M11181" s="21" t="n">
        <v>0</v>
      </c>
      <c r="N11181" s="21" t="n">
        <v>0</v>
      </c>
      <c r="O11181" s="21" t="n">
        <v>0</v>
      </c>
      <c r="P11181" s="21" t="n">
        <v>0</v>
      </c>
      <c r="Q11181" s="21" t="n">
        <v>0</v>
      </c>
      <c r="R11181" s="21" t="n">
        <v>0</v>
      </c>
      <c r="S11181" s="21" t="n">
        <v>0</v>
      </c>
      <c r="T11181" s="21">
        <f>-$B$10476</f>
        <v/>
      </c>
      <c r="U11181" s="21">
        <f>-$B$10477</f>
        <v/>
      </c>
      <c r="V11181" s="21">
        <f>2*$B$10476+$D$11160</f>
        <v/>
      </c>
      <c r="W11181" s="21">
        <f>0</f>
        <v/>
      </c>
      <c r="X11181" s="21">
        <f>-$B$10476</f>
        <v/>
      </c>
      <c r="Y11181" s="21">
        <f>$B$10477</f>
        <v/>
      </c>
      <c r="Z11181" s="19" t="n"/>
    </row>
    <row r="11182">
      <c r="D11182" s="21" t="n">
        <v>0</v>
      </c>
      <c r="E11182" s="21" t="n">
        <v>0</v>
      </c>
      <c r="F11182" s="21" t="n">
        <v>0</v>
      </c>
      <c r="G11182" s="21" t="n">
        <v>0</v>
      </c>
      <c r="H11182" s="21" t="n">
        <v>0</v>
      </c>
      <c r="I11182" s="21" t="n">
        <v>0</v>
      </c>
      <c r="J11182" s="21" t="n">
        <v>0</v>
      </c>
      <c r="K11182" s="21" t="n">
        <v>0</v>
      </c>
      <c r="L11182" s="21" t="n">
        <v>0</v>
      </c>
      <c r="M11182" s="21" t="n">
        <v>0</v>
      </c>
      <c r="N11182" s="21" t="n">
        <v>0</v>
      </c>
      <c r="O11182" s="21" t="n">
        <v>0</v>
      </c>
      <c r="P11182" s="21" t="n">
        <v>0</v>
      </c>
      <c r="Q11182" s="21" t="n">
        <v>0</v>
      </c>
      <c r="R11182" s="21" t="n">
        <v>0</v>
      </c>
      <c r="S11182" s="21" t="n">
        <v>0</v>
      </c>
      <c r="T11182" s="21">
        <f>$B$10477</f>
        <v/>
      </c>
      <c r="U11182" s="21">
        <f>$B$10479</f>
        <v/>
      </c>
      <c r="V11182" s="21">
        <f>0</f>
        <v/>
      </c>
      <c r="W11182" s="21">
        <f>2*$B$10478</f>
        <v/>
      </c>
      <c r="X11182" s="21">
        <f>-$B$10477</f>
        <v/>
      </c>
      <c r="Y11182" s="21">
        <f>$B$10479</f>
        <v/>
      </c>
      <c r="Z11182" s="19" t="n"/>
    </row>
    <row r="11183">
      <c r="D11183" s="21" t="n">
        <v>0</v>
      </c>
      <c r="E11183" s="21" t="n">
        <v>0</v>
      </c>
      <c r="F11183" s="21" t="n">
        <v>0</v>
      </c>
      <c r="G11183" s="21" t="n">
        <v>0</v>
      </c>
      <c r="H11183" s="21" t="n">
        <v>0</v>
      </c>
      <c r="I11183" s="21" t="n">
        <v>0</v>
      </c>
      <c r="J11183" s="21" t="n">
        <v>0</v>
      </c>
      <c r="K11183" s="21" t="n">
        <v>0</v>
      </c>
      <c r="L11183" s="21" t="n">
        <v>0</v>
      </c>
      <c r="M11183" s="21" t="n">
        <v>0</v>
      </c>
      <c r="N11183" s="21" t="n">
        <v>0</v>
      </c>
      <c r="O11183" s="21" t="n">
        <v>0</v>
      </c>
      <c r="P11183" s="21" t="n">
        <v>0</v>
      </c>
      <c r="Q11183" s="21" t="n">
        <v>0</v>
      </c>
      <c r="R11183" s="21" t="n">
        <v>0</v>
      </c>
      <c r="S11183" s="21" t="n">
        <v>0</v>
      </c>
      <c r="T11183" s="21" t="n">
        <v>0</v>
      </c>
      <c r="U11183" s="21" t="n">
        <v>0</v>
      </c>
      <c r="V11183" s="21">
        <f>-$B$10476</f>
        <v/>
      </c>
      <c r="W11183" s="21">
        <f>-$B$10477</f>
        <v/>
      </c>
      <c r="X11183" s="21">
        <f>$B$10476+$D$11161</f>
        <v/>
      </c>
      <c r="Y11183" s="21">
        <f>-$B$10477</f>
        <v/>
      </c>
      <c r="Z11183" s="19" t="n"/>
    </row>
    <row r="11184">
      <c r="D11184" s="21" t="n">
        <v>0</v>
      </c>
      <c r="E11184" s="21" t="n">
        <v>0</v>
      </c>
      <c r="F11184" s="21" t="n">
        <v>0</v>
      </c>
      <c r="G11184" s="21" t="n">
        <v>0</v>
      </c>
      <c r="H11184" s="21" t="n">
        <v>0</v>
      </c>
      <c r="I11184" s="21" t="n">
        <v>0</v>
      </c>
      <c r="J11184" s="21" t="n">
        <v>0</v>
      </c>
      <c r="K11184" s="21" t="n">
        <v>0</v>
      </c>
      <c r="L11184" s="21" t="n">
        <v>0</v>
      </c>
      <c r="M11184" s="21" t="n">
        <v>0</v>
      </c>
      <c r="N11184" s="21" t="n">
        <v>0</v>
      </c>
      <c r="O11184" s="21" t="n">
        <v>0</v>
      </c>
      <c r="P11184" s="21" t="n">
        <v>0</v>
      </c>
      <c r="Q11184" s="21" t="n">
        <v>0</v>
      </c>
      <c r="R11184" s="21" t="n">
        <v>0</v>
      </c>
      <c r="S11184" s="21" t="n">
        <v>0</v>
      </c>
      <c r="T11184" s="21" t="n">
        <v>0</v>
      </c>
      <c r="U11184" s="21" t="n">
        <v>0</v>
      </c>
      <c r="V11184" s="21">
        <f>$B$10477</f>
        <v/>
      </c>
      <c r="W11184" s="21">
        <f>$B$10479</f>
        <v/>
      </c>
      <c r="X11184" s="21">
        <f>-$B$10477</f>
        <v/>
      </c>
      <c r="Y11184" s="21">
        <f>$B$10478</f>
        <v/>
      </c>
      <c r="Z11184" s="19" t="n"/>
    </row>
    <row r="11186">
      <c r="A11186" s="8" t="inlineStr">
        <is>
          <t>gen 19</t>
        </is>
      </c>
    </row>
    <row r="11187">
      <c r="D11187" s="19">
        <f>IF(ABS(IF(ABS($E$11151)&gt;0.000000001,$E$11151,0.000000001))=0,0,IF($E$10491&lt;=$B$10485,0,IF(ABS(IF(ABS($E$11151)&gt;0.000000001,$E$11151,0.000000001))&gt;=8*$B$10487,$H$10491,0.5*$H$10491*(ABS(IF(ABS($E$11151)&gt;0.000000001,$E$11151,0.000000001))/$B$10487)^(1/3)))/ABS(IF(ABS($E$11151)&gt;0.000000001,$E$11151,0.000000001))*$I$10491)</f>
        <v/>
      </c>
      <c r="E11187" s="19">
        <f>0.5*$E$11151+0.5*$Z$11199</f>
        <v/>
      </c>
      <c r="F11187" s="19">
        <f>$Z$11200</f>
        <v/>
      </c>
    </row>
    <row r="11188">
      <c r="D11188" s="19">
        <f>IF(ABS(IF(ABS($E$11152)&gt;0.000000001,$E$11152,0.000000001))=0,0,IF($E$10492&lt;=$B$10485,0,IF(ABS(IF(ABS($E$11152)&gt;0.000000001,$E$11152,0.000000001))&gt;=8*$B$10487,$H$10492,0.5*$H$10492*(ABS(IF(ABS($E$11152)&gt;0.000000001,$E$11152,0.000000001))/$B$10487)^(1/3)))/ABS(IF(ABS($E$11152)&gt;0.000000001,$E$11152,0.000000001))*$I$10492)</f>
        <v/>
      </c>
      <c r="E11188" s="19">
        <f>0.5*$E$11152+0.5*$Z$11201</f>
        <v/>
      </c>
      <c r="F11188" s="19">
        <f>$Z$11202</f>
        <v/>
      </c>
    </row>
    <row r="11189">
      <c r="D11189" s="19">
        <f>IF(ABS(IF(ABS($E$11153)&gt;0.000000001,$E$11153,0.000000001))=0,0,IF($E$10493&lt;=$B$10485,0,IF(ABS(IF(ABS($E$11153)&gt;0.000000001,$E$11153,0.000000001))&gt;=8*$B$10487,$H$10493,0.5*$H$10493*(ABS(IF(ABS($E$11153)&gt;0.000000001,$E$11153,0.000000001))/$B$10487)^(1/3)))/ABS(IF(ABS($E$11153)&gt;0.000000001,$E$11153,0.000000001))*$I$10493)</f>
        <v/>
      </c>
      <c r="E11189" s="19">
        <f>0.5*$E$11153+0.5*$Z$11203</f>
        <v/>
      </c>
      <c r="F11189" s="19">
        <f>$Z$11204</f>
        <v/>
      </c>
    </row>
    <row r="11190">
      <c r="D11190" s="19">
        <f>IF(ABS(IF(ABS($E$11154)&gt;0.000000001,$E$11154,0.000000001))=0,0,IF($E$10494&lt;=$B$10485,0,IF(ABS(IF(ABS($E$11154)&gt;0.000000001,$E$11154,0.000000001))&gt;=8*$B$10487,$H$10494,0.5*$H$10494*(ABS(IF(ABS($E$11154)&gt;0.000000001,$E$11154,0.000000001))/$B$10487)^(1/3)))/ABS(IF(ABS($E$11154)&gt;0.000000001,$E$11154,0.000000001))*$I$10494)</f>
        <v/>
      </c>
      <c r="E11190" s="19">
        <f>0.5*$E$11154+0.5*$Z$11205</f>
        <v/>
      </c>
      <c r="F11190" s="19">
        <f>$Z$11206</f>
        <v/>
      </c>
    </row>
    <row r="11191">
      <c r="D11191" s="19">
        <f>IF(ABS(IF(ABS($E$11155)&gt;0.000000001,$E$11155,0.000000001))=0,0,IF($E$10495&lt;=$B$10485,0,IF(ABS(IF(ABS($E$11155)&gt;0.000000001,$E$11155,0.000000001))&gt;=8*$B$10487,$H$10495,0.5*$H$10495*(ABS(IF(ABS($E$11155)&gt;0.000000001,$E$11155,0.000000001))/$B$10487)^(1/3)))/ABS(IF(ABS($E$11155)&gt;0.000000001,$E$11155,0.000000001))*$I$10495)</f>
        <v/>
      </c>
      <c r="E11191" s="19">
        <f>0.5*$E$11155+0.5*$Z$11207</f>
        <v/>
      </c>
      <c r="F11191" s="19">
        <f>$Z$11208</f>
        <v/>
      </c>
    </row>
    <row r="11192">
      <c r="D11192" s="19">
        <f>IF(ABS(IF(ABS($E$11156)&gt;0.000000001,$E$11156,0.000000001))=0,0,IF($E$10496&lt;=$B$10485,0,IF(ABS(IF(ABS($E$11156)&gt;0.000000001,$E$11156,0.000000001))&gt;=8*$B$10487,$H$10496,0.5*$H$10496*(ABS(IF(ABS($E$11156)&gt;0.000000001,$E$11156,0.000000001))/$B$10487)^(1/3)))/ABS(IF(ABS($E$11156)&gt;0.000000001,$E$11156,0.000000001))*$I$10496)</f>
        <v/>
      </c>
      <c r="E11192" s="19">
        <f>0.5*$E$11156+0.5*$Z$11209</f>
        <v/>
      </c>
      <c r="F11192" s="19">
        <f>$Z$11210</f>
        <v/>
      </c>
    </row>
    <row r="11193">
      <c r="D11193" s="19">
        <f>IF(ABS(IF(ABS($E$11157)&gt;0.000000001,$E$11157,0.000000001))=0,0,IF($E$10497&lt;=$B$10485,0,IF(ABS(IF(ABS($E$11157)&gt;0.000000001,$E$11157,0.000000001))&gt;=8*$B$10487,$H$10497,0.5*$H$10497*(ABS(IF(ABS($E$11157)&gt;0.000000001,$E$11157,0.000000001))/$B$10487)^(1/3)))/ABS(IF(ABS($E$11157)&gt;0.000000001,$E$11157,0.000000001))*$I$10497)</f>
        <v/>
      </c>
      <c r="E11193" s="19">
        <f>0.5*$E$11157+0.5*$Z$11211</f>
        <v/>
      </c>
      <c r="F11193" s="19">
        <f>$Z$11212</f>
        <v/>
      </c>
    </row>
    <row r="11194">
      <c r="D11194" s="19">
        <f>IF(ABS(IF(ABS($E$11158)&gt;0.000000001,$E$11158,0.000000001))=0,0,IF($E$10498&lt;=$B$10485,0,IF(ABS(IF(ABS($E$11158)&gt;0.000000001,$E$11158,0.000000001))&gt;=8*$B$10487,$H$10498,0.5*$H$10498*(ABS(IF(ABS($E$11158)&gt;0.000000001,$E$11158,0.000000001))/$B$10487)^(1/3)))/ABS(IF(ABS($E$11158)&gt;0.000000001,$E$11158,0.000000001))*$I$10498)</f>
        <v/>
      </c>
      <c r="E11194" s="19">
        <f>0.5*$E$11158+0.5*$Z$11213</f>
        <v/>
      </c>
      <c r="F11194" s="19">
        <f>$Z$11214</f>
        <v/>
      </c>
    </row>
    <row r="11195">
      <c r="D11195" s="19">
        <f>IF(ABS(IF(ABS($E$11159)&gt;0.000000001,$E$11159,0.000000001))=0,0,IF($E$10499&lt;=$B$10485,0,IF(ABS(IF(ABS($E$11159)&gt;0.000000001,$E$11159,0.000000001))&gt;=8*$B$10487,$H$10499,0.5*$H$10499*(ABS(IF(ABS($E$11159)&gt;0.000000001,$E$11159,0.000000001))/$B$10487)^(1/3)))/ABS(IF(ABS($E$11159)&gt;0.000000001,$E$11159,0.000000001))*$I$10499)</f>
        <v/>
      </c>
      <c r="E11195" s="19">
        <f>0.5*$E$11159+0.5*$Z$11215</f>
        <v/>
      </c>
      <c r="F11195" s="19">
        <f>$Z$11216</f>
        <v/>
      </c>
    </row>
    <row r="11196">
      <c r="D11196" s="19">
        <f>IF(ABS(IF(ABS($E$11160)&gt;0.000000001,$E$11160,0.000000001))=0,0,IF($E$10500&lt;=$B$10485,0,IF(ABS(IF(ABS($E$11160)&gt;0.000000001,$E$11160,0.000000001))&gt;=8*$B$10487,$H$10500,0.5*$H$10500*(ABS(IF(ABS($E$11160)&gt;0.000000001,$E$11160,0.000000001))/$B$10487)^(1/3)))/ABS(IF(ABS($E$11160)&gt;0.000000001,$E$11160,0.000000001))*$I$10500)</f>
        <v/>
      </c>
      <c r="E11196" s="19">
        <f>0.5*$E$11160+0.5*$Z$11217</f>
        <v/>
      </c>
      <c r="F11196" s="19">
        <f>$Z$11218</f>
        <v/>
      </c>
    </row>
    <row r="11197">
      <c r="D11197" s="19">
        <f>IF(ABS(IF(ABS($E$11161)&gt;0.000000001,$E$11161,0.000000001))=0,0,IF($E$10501&lt;=$B$10485,0,IF(ABS(IF(ABS($E$11161)&gt;0.000000001,$E$11161,0.000000001))&gt;=8*$B$10487,$H$10501,0.5*$H$10501*(ABS(IF(ABS($E$11161)&gt;0.000000001,$E$11161,0.000000001))/$B$10487)^(1/3)))/ABS(IF(ABS($E$11161)&gt;0.000000001,$E$11161,0.000000001))*$I$10501)</f>
        <v/>
      </c>
      <c r="E11197" s="19">
        <f>0.5*$E$11161+0.5*$Z$11219</f>
        <v/>
      </c>
      <c r="F11197" s="19">
        <f>$Z$11220</f>
        <v/>
      </c>
    </row>
    <row r="11199">
      <c r="D11199" s="21">
        <f>$B$10476+$D$11187</f>
        <v/>
      </c>
      <c r="E11199" s="21">
        <f>$B$10477</f>
        <v/>
      </c>
      <c r="F11199" s="21">
        <f>-$B$10476</f>
        <v/>
      </c>
      <c r="G11199" s="21">
        <f>$B$10477</f>
        <v/>
      </c>
      <c r="H11199" s="21" t="n">
        <v>0</v>
      </c>
      <c r="I11199" s="21" t="n">
        <v>0</v>
      </c>
      <c r="J11199" s="21" t="n">
        <v>0</v>
      </c>
      <c r="K11199" s="21" t="n">
        <v>0</v>
      </c>
      <c r="L11199" s="21" t="n">
        <v>0</v>
      </c>
      <c r="M11199" s="21" t="n">
        <v>0</v>
      </c>
      <c r="N11199" s="21" t="n">
        <v>0</v>
      </c>
      <c r="O11199" s="21" t="n">
        <v>0</v>
      </c>
      <c r="P11199" s="21" t="n">
        <v>0</v>
      </c>
      <c r="Q11199" s="21" t="n">
        <v>0</v>
      </c>
      <c r="R11199" s="21" t="n">
        <v>0</v>
      </c>
      <c r="S11199" s="21" t="n">
        <v>0</v>
      </c>
      <c r="T11199" s="21" t="n">
        <v>0</v>
      </c>
      <c r="U11199" s="21" t="n">
        <v>0</v>
      </c>
      <c r="V11199" s="21" t="n">
        <v>0</v>
      </c>
      <c r="W11199" s="21" t="n">
        <v>0</v>
      </c>
      <c r="X11199" s="21" t="n">
        <v>0</v>
      </c>
      <c r="Y11199" s="21" t="n">
        <v>0</v>
      </c>
      <c r="Z11199" s="19">
        <f t="array" ref="Z11199:Z11220">MMULT(MINVERSE($D$11199:$Y$11220),$D$10503:$D$10524)</f>
        <v/>
      </c>
    </row>
    <row r="11200">
      <c r="D11200" s="21">
        <f>$B$10477</f>
        <v/>
      </c>
      <c r="E11200" s="21">
        <f>$B$10478</f>
        <v/>
      </c>
      <c r="F11200" s="21">
        <f>-$B$10477</f>
        <v/>
      </c>
      <c r="G11200" s="21">
        <f>$B$10479</f>
        <v/>
      </c>
      <c r="H11200" s="21" t="n">
        <v>0</v>
      </c>
      <c r="I11200" s="21" t="n">
        <v>0</v>
      </c>
      <c r="J11200" s="21" t="n">
        <v>0</v>
      </c>
      <c r="K11200" s="21" t="n">
        <v>0</v>
      </c>
      <c r="L11200" s="21" t="n">
        <v>0</v>
      </c>
      <c r="M11200" s="21" t="n">
        <v>0</v>
      </c>
      <c r="N11200" s="21" t="n">
        <v>0</v>
      </c>
      <c r="O11200" s="21" t="n">
        <v>0</v>
      </c>
      <c r="P11200" s="21" t="n">
        <v>0</v>
      </c>
      <c r="Q11200" s="21" t="n">
        <v>0</v>
      </c>
      <c r="R11200" s="21" t="n">
        <v>0</v>
      </c>
      <c r="S11200" s="21" t="n">
        <v>0</v>
      </c>
      <c r="T11200" s="21" t="n">
        <v>0</v>
      </c>
      <c r="U11200" s="21" t="n">
        <v>0</v>
      </c>
      <c r="V11200" s="21" t="n">
        <v>0</v>
      </c>
      <c r="W11200" s="21" t="n">
        <v>0</v>
      </c>
      <c r="X11200" s="21" t="n">
        <v>0</v>
      </c>
      <c r="Y11200" s="21" t="n">
        <v>0</v>
      </c>
      <c r="Z11200" s="19" t="n"/>
    </row>
    <row r="11201">
      <c r="D11201" s="21">
        <f>-$B$10476</f>
        <v/>
      </c>
      <c r="E11201" s="21">
        <f>-$B$10477</f>
        <v/>
      </c>
      <c r="F11201" s="21">
        <f>2*$B$10476+$D$11188</f>
        <v/>
      </c>
      <c r="G11201" s="21">
        <f>0</f>
        <v/>
      </c>
      <c r="H11201" s="21">
        <f>-$B$10476</f>
        <v/>
      </c>
      <c r="I11201" s="21">
        <f>$B$10477</f>
        <v/>
      </c>
      <c r="J11201" s="21" t="n">
        <v>0</v>
      </c>
      <c r="K11201" s="21" t="n">
        <v>0</v>
      </c>
      <c r="L11201" s="21" t="n">
        <v>0</v>
      </c>
      <c r="M11201" s="21" t="n">
        <v>0</v>
      </c>
      <c r="N11201" s="21" t="n">
        <v>0</v>
      </c>
      <c r="O11201" s="21" t="n">
        <v>0</v>
      </c>
      <c r="P11201" s="21" t="n">
        <v>0</v>
      </c>
      <c r="Q11201" s="21" t="n">
        <v>0</v>
      </c>
      <c r="R11201" s="21" t="n">
        <v>0</v>
      </c>
      <c r="S11201" s="21" t="n">
        <v>0</v>
      </c>
      <c r="T11201" s="21" t="n">
        <v>0</v>
      </c>
      <c r="U11201" s="21" t="n">
        <v>0</v>
      </c>
      <c r="V11201" s="21" t="n">
        <v>0</v>
      </c>
      <c r="W11201" s="21" t="n">
        <v>0</v>
      </c>
      <c r="X11201" s="21" t="n">
        <v>0</v>
      </c>
      <c r="Y11201" s="21" t="n">
        <v>0</v>
      </c>
      <c r="Z11201" s="19" t="n"/>
    </row>
    <row r="11202">
      <c r="D11202" s="21">
        <f>$B$10477</f>
        <v/>
      </c>
      <c r="E11202" s="21">
        <f>$B$10479</f>
        <v/>
      </c>
      <c r="F11202" s="21">
        <f>0</f>
        <v/>
      </c>
      <c r="G11202" s="21">
        <f>2*$B$10478</f>
        <v/>
      </c>
      <c r="H11202" s="21">
        <f>-$B$10477</f>
        <v/>
      </c>
      <c r="I11202" s="21">
        <f>$B$10479</f>
        <v/>
      </c>
      <c r="J11202" s="21" t="n">
        <v>0</v>
      </c>
      <c r="K11202" s="21" t="n">
        <v>0</v>
      </c>
      <c r="L11202" s="21" t="n">
        <v>0</v>
      </c>
      <c r="M11202" s="21" t="n">
        <v>0</v>
      </c>
      <c r="N11202" s="21" t="n">
        <v>0</v>
      </c>
      <c r="O11202" s="21" t="n">
        <v>0</v>
      </c>
      <c r="P11202" s="21" t="n">
        <v>0</v>
      </c>
      <c r="Q11202" s="21" t="n">
        <v>0</v>
      </c>
      <c r="R11202" s="21" t="n">
        <v>0</v>
      </c>
      <c r="S11202" s="21" t="n">
        <v>0</v>
      </c>
      <c r="T11202" s="21" t="n">
        <v>0</v>
      </c>
      <c r="U11202" s="21" t="n">
        <v>0</v>
      </c>
      <c r="V11202" s="21" t="n">
        <v>0</v>
      </c>
      <c r="W11202" s="21" t="n">
        <v>0</v>
      </c>
      <c r="X11202" s="21" t="n">
        <v>0</v>
      </c>
      <c r="Y11202" s="21" t="n">
        <v>0</v>
      </c>
      <c r="Z11202" s="19" t="n"/>
    </row>
    <row r="11203">
      <c r="D11203" s="21" t="n">
        <v>0</v>
      </c>
      <c r="E11203" s="21" t="n">
        <v>0</v>
      </c>
      <c r="F11203" s="21">
        <f>-$B$10476</f>
        <v/>
      </c>
      <c r="G11203" s="21">
        <f>-$B$10477</f>
        <v/>
      </c>
      <c r="H11203" s="21">
        <f>2*$B$10476+$D$11189</f>
        <v/>
      </c>
      <c r="I11203" s="21">
        <f>0</f>
        <v/>
      </c>
      <c r="J11203" s="21">
        <f>-$B$10476</f>
        <v/>
      </c>
      <c r="K11203" s="21">
        <f>$B$10477</f>
        <v/>
      </c>
      <c r="L11203" s="21" t="n">
        <v>0</v>
      </c>
      <c r="M11203" s="21" t="n">
        <v>0</v>
      </c>
      <c r="N11203" s="21" t="n">
        <v>0</v>
      </c>
      <c r="O11203" s="21" t="n">
        <v>0</v>
      </c>
      <c r="P11203" s="21" t="n">
        <v>0</v>
      </c>
      <c r="Q11203" s="21" t="n">
        <v>0</v>
      </c>
      <c r="R11203" s="21" t="n">
        <v>0</v>
      </c>
      <c r="S11203" s="21" t="n">
        <v>0</v>
      </c>
      <c r="T11203" s="21" t="n">
        <v>0</v>
      </c>
      <c r="U11203" s="21" t="n">
        <v>0</v>
      </c>
      <c r="V11203" s="21" t="n">
        <v>0</v>
      </c>
      <c r="W11203" s="21" t="n">
        <v>0</v>
      </c>
      <c r="X11203" s="21" t="n">
        <v>0</v>
      </c>
      <c r="Y11203" s="21" t="n">
        <v>0</v>
      </c>
      <c r="Z11203" s="19" t="n"/>
    </row>
    <row r="11204">
      <c r="D11204" s="21" t="n">
        <v>0</v>
      </c>
      <c r="E11204" s="21" t="n">
        <v>0</v>
      </c>
      <c r="F11204" s="21">
        <f>$B$10477</f>
        <v/>
      </c>
      <c r="G11204" s="21">
        <f>$B$10479</f>
        <v/>
      </c>
      <c r="H11204" s="21">
        <f>0</f>
        <v/>
      </c>
      <c r="I11204" s="21">
        <f>2*$B$10478</f>
        <v/>
      </c>
      <c r="J11204" s="21">
        <f>-$B$10477</f>
        <v/>
      </c>
      <c r="K11204" s="21">
        <f>$B$10479</f>
        <v/>
      </c>
      <c r="L11204" s="21" t="n">
        <v>0</v>
      </c>
      <c r="M11204" s="21" t="n">
        <v>0</v>
      </c>
      <c r="N11204" s="21" t="n">
        <v>0</v>
      </c>
      <c r="O11204" s="21" t="n">
        <v>0</v>
      </c>
      <c r="P11204" s="21" t="n">
        <v>0</v>
      </c>
      <c r="Q11204" s="21" t="n">
        <v>0</v>
      </c>
      <c r="R11204" s="21" t="n">
        <v>0</v>
      </c>
      <c r="S11204" s="21" t="n">
        <v>0</v>
      </c>
      <c r="T11204" s="21" t="n">
        <v>0</v>
      </c>
      <c r="U11204" s="21" t="n">
        <v>0</v>
      </c>
      <c r="V11204" s="21" t="n">
        <v>0</v>
      </c>
      <c r="W11204" s="21" t="n">
        <v>0</v>
      </c>
      <c r="X11204" s="21" t="n">
        <v>0</v>
      </c>
      <c r="Y11204" s="21" t="n">
        <v>0</v>
      </c>
      <c r="Z11204" s="19" t="n"/>
    </row>
    <row r="11205">
      <c r="D11205" s="21" t="n">
        <v>0</v>
      </c>
      <c r="E11205" s="21" t="n">
        <v>0</v>
      </c>
      <c r="F11205" s="21" t="n">
        <v>0</v>
      </c>
      <c r="G11205" s="21" t="n">
        <v>0</v>
      </c>
      <c r="H11205" s="21">
        <f>-$B$10476</f>
        <v/>
      </c>
      <c r="I11205" s="21">
        <f>-$B$10477</f>
        <v/>
      </c>
      <c r="J11205" s="21">
        <f>2*$B$10476+$D$11190</f>
        <v/>
      </c>
      <c r="K11205" s="21">
        <f>0</f>
        <v/>
      </c>
      <c r="L11205" s="21">
        <f>-$B$10476</f>
        <v/>
      </c>
      <c r="M11205" s="21">
        <f>$B$10477</f>
        <v/>
      </c>
      <c r="N11205" s="21" t="n">
        <v>0</v>
      </c>
      <c r="O11205" s="21" t="n">
        <v>0</v>
      </c>
      <c r="P11205" s="21" t="n">
        <v>0</v>
      </c>
      <c r="Q11205" s="21" t="n">
        <v>0</v>
      </c>
      <c r="R11205" s="21" t="n">
        <v>0</v>
      </c>
      <c r="S11205" s="21" t="n">
        <v>0</v>
      </c>
      <c r="T11205" s="21" t="n">
        <v>0</v>
      </c>
      <c r="U11205" s="21" t="n">
        <v>0</v>
      </c>
      <c r="V11205" s="21" t="n">
        <v>0</v>
      </c>
      <c r="W11205" s="21" t="n">
        <v>0</v>
      </c>
      <c r="X11205" s="21" t="n">
        <v>0</v>
      </c>
      <c r="Y11205" s="21" t="n">
        <v>0</v>
      </c>
      <c r="Z11205" s="19" t="n"/>
    </row>
    <row r="11206">
      <c r="D11206" s="21" t="n">
        <v>0</v>
      </c>
      <c r="E11206" s="21" t="n">
        <v>0</v>
      </c>
      <c r="F11206" s="21" t="n">
        <v>0</v>
      </c>
      <c r="G11206" s="21" t="n">
        <v>0</v>
      </c>
      <c r="H11206" s="21">
        <f>$B$10477</f>
        <v/>
      </c>
      <c r="I11206" s="21">
        <f>$B$10479</f>
        <v/>
      </c>
      <c r="J11206" s="21">
        <f>0</f>
        <v/>
      </c>
      <c r="K11206" s="21">
        <f>2*$B$10478</f>
        <v/>
      </c>
      <c r="L11206" s="21">
        <f>-$B$10477</f>
        <v/>
      </c>
      <c r="M11206" s="21">
        <f>$B$10479</f>
        <v/>
      </c>
      <c r="N11206" s="21" t="n">
        <v>0</v>
      </c>
      <c r="O11206" s="21" t="n">
        <v>0</v>
      </c>
      <c r="P11206" s="21" t="n">
        <v>0</v>
      </c>
      <c r="Q11206" s="21" t="n">
        <v>0</v>
      </c>
      <c r="R11206" s="21" t="n">
        <v>0</v>
      </c>
      <c r="S11206" s="21" t="n">
        <v>0</v>
      </c>
      <c r="T11206" s="21" t="n">
        <v>0</v>
      </c>
      <c r="U11206" s="21" t="n">
        <v>0</v>
      </c>
      <c r="V11206" s="21" t="n">
        <v>0</v>
      </c>
      <c r="W11206" s="21" t="n">
        <v>0</v>
      </c>
      <c r="X11206" s="21" t="n">
        <v>0</v>
      </c>
      <c r="Y11206" s="21" t="n">
        <v>0</v>
      </c>
      <c r="Z11206" s="19" t="n"/>
    </row>
    <row r="11207">
      <c r="D11207" s="21" t="n">
        <v>0</v>
      </c>
      <c r="E11207" s="21" t="n">
        <v>0</v>
      </c>
      <c r="F11207" s="21" t="n">
        <v>0</v>
      </c>
      <c r="G11207" s="21" t="n">
        <v>0</v>
      </c>
      <c r="H11207" s="21" t="n">
        <v>0</v>
      </c>
      <c r="I11207" s="21" t="n">
        <v>0</v>
      </c>
      <c r="J11207" s="21">
        <f>-$B$10476</f>
        <v/>
      </c>
      <c r="K11207" s="21">
        <f>-$B$10477</f>
        <v/>
      </c>
      <c r="L11207" s="21">
        <f>2*$B$10476+$D$11191</f>
        <v/>
      </c>
      <c r="M11207" s="21">
        <f>0</f>
        <v/>
      </c>
      <c r="N11207" s="21">
        <f>-$B$10476</f>
        <v/>
      </c>
      <c r="O11207" s="21">
        <f>$B$10477</f>
        <v/>
      </c>
      <c r="P11207" s="21" t="n">
        <v>0</v>
      </c>
      <c r="Q11207" s="21" t="n">
        <v>0</v>
      </c>
      <c r="R11207" s="21" t="n">
        <v>0</v>
      </c>
      <c r="S11207" s="21" t="n">
        <v>0</v>
      </c>
      <c r="T11207" s="21" t="n">
        <v>0</v>
      </c>
      <c r="U11207" s="21" t="n">
        <v>0</v>
      </c>
      <c r="V11207" s="21" t="n">
        <v>0</v>
      </c>
      <c r="W11207" s="21" t="n">
        <v>0</v>
      </c>
      <c r="X11207" s="21" t="n">
        <v>0</v>
      </c>
      <c r="Y11207" s="21" t="n">
        <v>0</v>
      </c>
      <c r="Z11207" s="19" t="n"/>
    </row>
    <row r="11208">
      <c r="D11208" s="21" t="n">
        <v>0</v>
      </c>
      <c r="E11208" s="21" t="n">
        <v>0</v>
      </c>
      <c r="F11208" s="21" t="n">
        <v>0</v>
      </c>
      <c r="G11208" s="21" t="n">
        <v>0</v>
      </c>
      <c r="H11208" s="21" t="n">
        <v>0</v>
      </c>
      <c r="I11208" s="21" t="n">
        <v>0</v>
      </c>
      <c r="J11208" s="21">
        <f>$B$10477</f>
        <v/>
      </c>
      <c r="K11208" s="21">
        <f>$B$10479</f>
        <v/>
      </c>
      <c r="L11208" s="21">
        <f>0</f>
        <v/>
      </c>
      <c r="M11208" s="21">
        <f>2*$B$10478</f>
        <v/>
      </c>
      <c r="N11208" s="21">
        <f>-$B$10477</f>
        <v/>
      </c>
      <c r="O11208" s="21">
        <f>$B$10479</f>
        <v/>
      </c>
      <c r="P11208" s="21" t="n">
        <v>0</v>
      </c>
      <c r="Q11208" s="21" t="n">
        <v>0</v>
      </c>
      <c r="R11208" s="21" t="n">
        <v>0</v>
      </c>
      <c r="S11208" s="21" t="n">
        <v>0</v>
      </c>
      <c r="T11208" s="21" t="n">
        <v>0</v>
      </c>
      <c r="U11208" s="21" t="n">
        <v>0</v>
      </c>
      <c r="V11208" s="21" t="n">
        <v>0</v>
      </c>
      <c r="W11208" s="21" t="n">
        <v>0</v>
      </c>
      <c r="X11208" s="21" t="n">
        <v>0</v>
      </c>
      <c r="Y11208" s="21" t="n">
        <v>0</v>
      </c>
      <c r="Z11208" s="19" t="n"/>
    </row>
    <row r="11209">
      <c r="D11209" s="21" t="n">
        <v>0</v>
      </c>
      <c r="E11209" s="21" t="n">
        <v>0</v>
      </c>
      <c r="F11209" s="21" t="n">
        <v>0</v>
      </c>
      <c r="G11209" s="21" t="n">
        <v>0</v>
      </c>
      <c r="H11209" s="21" t="n">
        <v>0</v>
      </c>
      <c r="I11209" s="21" t="n">
        <v>0</v>
      </c>
      <c r="J11209" s="21" t="n">
        <v>0</v>
      </c>
      <c r="K11209" s="21" t="n">
        <v>0</v>
      </c>
      <c r="L11209" s="21">
        <f>-$B$10476</f>
        <v/>
      </c>
      <c r="M11209" s="21">
        <f>-$B$10477</f>
        <v/>
      </c>
      <c r="N11209" s="21">
        <f>2*$B$10476+$D$11192</f>
        <v/>
      </c>
      <c r="O11209" s="21">
        <f>0</f>
        <v/>
      </c>
      <c r="P11209" s="21">
        <f>-$B$10476</f>
        <v/>
      </c>
      <c r="Q11209" s="21">
        <f>$B$10477</f>
        <v/>
      </c>
      <c r="R11209" s="21" t="n">
        <v>0</v>
      </c>
      <c r="S11209" s="21" t="n">
        <v>0</v>
      </c>
      <c r="T11209" s="21" t="n">
        <v>0</v>
      </c>
      <c r="U11209" s="21" t="n">
        <v>0</v>
      </c>
      <c r="V11209" s="21" t="n">
        <v>0</v>
      </c>
      <c r="W11209" s="21" t="n">
        <v>0</v>
      </c>
      <c r="X11209" s="21" t="n">
        <v>0</v>
      </c>
      <c r="Y11209" s="21" t="n">
        <v>0</v>
      </c>
      <c r="Z11209" s="19" t="n"/>
    </row>
    <row r="11210">
      <c r="D11210" s="21" t="n">
        <v>0</v>
      </c>
      <c r="E11210" s="21" t="n">
        <v>0</v>
      </c>
      <c r="F11210" s="21" t="n">
        <v>0</v>
      </c>
      <c r="G11210" s="21" t="n">
        <v>0</v>
      </c>
      <c r="H11210" s="21" t="n">
        <v>0</v>
      </c>
      <c r="I11210" s="21" t="n">
        <v>0</v>
      </c>
      <c r="J11210" s="21" t="n">
        <v>0</v>
      </c>
      <c r="K11210" s="21" t="n">
        <v>0</v>
      </c>
      <c r="L11210" s="21">
        <f>$B$10477</f>
        <v/>
      </c>
      <c r="M11210" s="21">
        <f>$B$10479</f>
        <v/>
      </c>
      <c r="N11210" s="21">
        <f>0</f>
        <v/>
      </c>
      <c r="O11210" s="21">
        <f>2*$B$10478</f>
        <v/>
      </c>
      <c r="P11210" s="21">
        <f>-$B$10477</f>
        <v/>
      </c>
      <c r="Q11210" s="21">
        <f>$B$10479</f>
        <v/>
      </c>
      <c r="R11210" s="21" t="n">
        <v>0</v>
      </c>
      <c r="S11210" s="21" t="n">
        <v>0</v>
      </c>
      <c r="T11210" s="21" t="n">
        <v>0</v>
      </c>
      <c r="U11210" s="21" t="n">
        <v>0</v>
      </c>
      <c r="V11210" s="21" t="n">
        <v>0</v>
      </c>
      <c r="W11210" s="21" t="n">
        <v>0</v>
      </c>
      <c r="X11210" s="21" t="n">
        <v>0</v>
      </c>
      <c r="Y11210" s="21" t="n">
        <v>0</v>
      </c>
      <c r="Z11210" s="19" t="n"/>
    </row>
    <row r="11211">
      <c r="D11211" s="21" t="n">
        <v>0</v>
      </c>
      <c r="E11211" s="21" t="n">
        <v>0</v>
      </c>
      <c r="F11211" s="21" t="n">
        <v>0</v>
      </c>
      <c r="G11211" s="21" t="n">
        <v>0</v>
      </c>
      <c r="H11211" s="21" t="n">
        <v>0</v>
      </c>
      <c r="I11211" s="21" t="n">
        <v>0</v>
      </c>
      <c r="J11211" s="21" t="n">
        <v>0</v>
      </c>
      <c r="K11211" s="21" t="n">
        <v>0</v>
      </c>
      <c r="L11211" s="21" t="n">
        <v>0</v>
      </c>
      <c r="M11211" s="21" t="n">
        <v>0</v>
      </c>
      <c r="N11211" s="21">
        <f>-$B$10476</f>
        <v/>
      </c>
      <c r="O11211" s="21">
        <f>-$B$10477</f>
        <v/>
      </c>
      <c r="P11211" s="21">
        <f>2*$B$10476+$D$11193</f>
        <v/>
      </c>
      <c r="Q11211" s="21">
        <f>0</f>
        <v/>
      </c>
      <c r="R11211" s="21">
        <f>-$B$10476</f>
        <v/>
      </c>
      <c r="S11211" s="21">
        <f>$B$10477</f>
        <v/>
      </c>
      <c r="T11211" s="21" t="n">
        <v>0</v>
      </c>
      <c r="U11211" s="21" t="n">
        <v>0</v>
      </c>
      <c r="V11211" s="21" t="n">
        <v>0</v>
      </c>
      <c r="W11211" s="21" t="n">
        <v>0</v>
      </c>
      <c r="X11211" s="21" t="n">
        <v>0</v>
      </c>
      <c r="Y11211" s="21" t="n">
        <v>0</v>
      </c>
      <c r="Z11211" s="19" t="n"/>
    </row>
    <row r="11212">
      <c r="D11212" s="21" t="n">
        <v>0</v>
      </c>
      <c r="E11212" s="21" t="n">
        <v>0</v>
      </c>
      <c r="F11212" s="21" t="n">
        <v>0</v>
      </c>
      <c r="G11212" s="21" t="n">
        <v>0</v>
      </c>
      <c r="H11212" s="21" t="n">
        <v>0</v>
      </c>
      <c r="I11212" s="21" t="n">
        <v>0</v>
      </c>
      <c r="J11212" s="21" t="n">
        <v>0</v>
      </c>
      <c r="K11212" s="21" t="n">
        <v>0</v>
      </c>
      <c r="L11212" s="21" t="n">
        <v>0</v>
      </c>
      <c r="M11212" s="21" t="n">
        <v>0</v>
      </c>
      <c r="N11212" s="21">
        <f>$B$10477</f>
        <v/>
      </c>
      <c r="O11212" s="21">
        <f>$B$10479</f>
        <v/>
      </c>
      <c r="P11212" s="21">
        <f>0</f>
        <v/>
      </c>
      <c r="Q11212" s="21">
        <f>2*$B$10478</f>
        <v/>
      </c>
      <c r="R11212" s="21">
        <f>-$B$10477</f>
        <v/>
      </c>
      <c r="S11212" s="21">
        <f>$B$10479</f>
        <v/>
      </c>
      <c r="T11212" s="21" t="n">
        <v>0</v>
      </c>
      <c r="U11212" s="21" t="n">
        <v>0</v>
      </c>
      <c r="V11212" s="21" t="n">
        <v>0</v>
      </c>
      <c r="W11212" s="21" t="n">
        <v>0</v>
      </c>
      <c r="X11212" s="21" t="n">
        <v>0</v>
      </c>
      <c r="Y11212" s="21" t="n">
        <v>0</v>
      </c>
      <c r="Z11212" s="19" t="n"/>
    </row>
    <row r="11213">
      <c r="D11213" s="21" t="n">
        <v>0</v>
      </c>
      <c r="E11213" s="21" t="n">
        <v>0</v>
      </c>
      <c r="F11213" s="21" t="n">
        <v>0</v>
      </c>
      <c r="G11213" s="21" t="n">
        <v>0</v>
      </c>
      <c r="H11213" s="21" t="n">
        <v>0</v>
      </c>
      <c r="I11213" s="21" t="n">
        <v>0</v>
      </c>
      <c r="J11213" s="21" t="n">
        <v>0</v>
      </c>
      <c r="K11213" s="21" t="n">
        <v>0</v>
      </c>
      <c r="L11213" s="21" t="n">
        <v>0</v>
      </c>
      <c r="M11213" s="21" t="n">
        <v>0</v>
      </c>
      <c r="N11213" s="21" t="n">
        <v>0</v>
      </c>
      <c r="O11213" s="21" t="n">
        <v>0</v>
      </c>
      <c r="P11213" s="21">
        <f>-$B$10476</f>
        <v/>
      </c>
      <c r="Q11213" s="21">
        <f>-$B$10477</f>
        <v/>
      </c>
      <c r="R11213" s="21">
        <f>2*$B$10476+$D$11194</f>
        <v/>
      </c>
      <c r="S11213" s="21">
        <f>0</f>
        <v/>
      </c>
      <c r="T11213" s="21">
        <f>-$B$10476</f>
        <v/>
      </c>
      <c r="U11213" s="21">
        <f>$B$10477</f>
        <v/>
      </c>
      <c r="V11213" s="21" t="n">
        <v>0</v>
      </c>
      <c r="W11213" s="21" t="n">
        <v>0</v>
      </c>
      <c r="X11213" s="21" t="n">
        <v>0</v>
      </c>
      <c r="Y11213" s="21" t="n">
        <v>0</v>
      </c>
      <c r="Z11213" s="19" t="n"/>
    </row>
    <row r="11214">
      <c r="D11214" s="21" t="n">
        <v>0</v>
      </c>
      <c r="E11214" s="21" t="n">
        <v>0</v>
      </c>
      <c r="F11214" s="21" t="n">
        <v>0</v>
      </c>
      <c r="G11214" s="21" t="n">
        <v>0</v>
      </c>
      <c r="H11214" s="21" t="n">
        <v>0</v>
      </c>
      <c r="I11214" s="21" t="n">
        <v>0</v>
      </c>
      <c r="J11214" s="21" t="n">
        <v>0</v>
      </c>
      <c r="K11214" s="21" t="n">
        <v>0</v>
      </c>
      <c r="L11214" s="21" t="n">
        <v>0</v>
      </c>
      <c r="M11214" s="21" t="n">
        <v>0</v>
      </c>
      <c r="N11214" s="21" t="n">
        <v>0</v>
      </c>
      <c r="O11214" s="21" t="n">
        <v>0</v>
      </c>
      <c r="P11214" s="21">
        <f>$B$10477</f>
        <v/>
      </c>
      <c r="Q11214" s="21">
        <f>$B$10479</f>
        <v/>
      </c>
      <c r="R11214" s="21">
        <f>0</f>
        <v/>
      </c>
      <c r="S11214" s="21">
        <f>2*$B$10478</f>
        <v/>
      </c>
      <c r="T11214" s="21">
        <f>-$B$10477</f>
        <v/>
      </c>
      <c r="U11214" s="21">
        <f>$B$10479</f>
        <v/>
      </c>
      <c r="V11214" s="21" t="n">
        <v>0</v>
      </c>
      <c r="W11214" s="21" t="n">
        <v>0</v>
      </c>
      <c r="X11214" s="21" t="n">
        <v>0</v>
      </c>
      <c r="Y11214" s="21" t="n">
        <v>0</v>
      </c>
      <c r="Z11214" s="19" t="n"/>
    </row>
    <row r="11215">
      <c r="D11215" s="21" t="n">
        <v>0</v>
      </c>
      <c r="E11215" s="21" t="n">
        <v>0</v>
      </c>
      <c r="F11215" s="21" t="n">
        <v>0</v>
      </c>
      <c r="G11215" s="21" t="n">
        <v>0</v>
      </c>
      <c r="H11215" s="21" t="n">
        <v>0</v>
      </c>
      <c r="I11215" s="21" t="n">
        <v>0</v>
      </c>
      <c r="J11215" s="21" t="n">
        <v>0</v>
      </c>
      <c r="K11215" s="21" t="n">
        <v>0</v>
      </c>
      <c r="L11215" s="21" t="n">
        <v>0</v>
      </c>
      <c r="M11215" s="21" t="n">
        <v>0</v>
      </c>
      <c r="N11215" s="21" t="n">
        <v>0</v>
      </c>
      <c r="O11215" s="21" t="n">
        <v>0</v>
      </c>
      <c r="P11215" s="21" t="n">
        <v>0</v>
      </c>
      <c r="Q11215" s="21" t="n">
        <v>0</v>
      </c>
      <c r="R11215" s="21">
        <f>-$B$10476</f>
        <v/>
      </c>
      <c r="S11215" s="21">
        <f>-$B$10477</f>
        <v/>
      </c>
      <c r="T11215" s="21">
        <f>2*$B$10476+$D$11195</f>
        <v/>
      </c>
      <c r="U11215" s="21">
        <f>0</f>
        <v/>
      </c>
      <c r="V11215" s="21">
        <f>-$B$10476</f>
        <v/>
      </c>
      <c r="W11215" s="21">
        <f>$B$10477</f>
        <v/>
      </c>
      <c r="X11215" s="21" t="n">
        <v>0</v>
      </c>
      <c r="Y11215" s="21" t="n">
        <v>0</v>
      </c>
      <c r="Z11215" s="19" t="n"/>
    </row>
    <row r="11216">
      <c r="D11216" s="21" t="n">
        <v>0</v>
      </c>
      <c r="E11216" s="21" t="n">
        <v>0</v>
      </c>
      <c r="F11216" s="21" t="n">
        <v>0</v>
      </c>
      <c r="G11216" s="21" t="n">
        <v>0</v>
      </c>
      <c r="H11216" s="21" t="n">
        <v>0</v>
      </c>
      <c r="I11216" s="21" t="n">
        <v>0</v>
      </c>
      <c r="J11216" s="21" t="n">
        <v>0</v>
      </c>
      <c r="K11216" s="21" t="n">
        <v>0</v>
      </c>
      <c r="L11216" s="21" t="n">
        <v>0</v>
      </c>
      <c r="M11216" s="21" t="n">
        <v>0</v>
      </c>
      <c r="N11216" s="21" t="n">
        <v>0</v>
      </c>
      <c r="O11216" s="21" t="n">
        <v>0</v>
      </c>
      <c r="P11216" s="21" t="n">
        <v>0</v>
      </c>
      <c r="Q11216" s="21" t="n">
        <v>0</v>
      </c>
      <c r="R11216" s="21">
        <f>$B$10477</f>
        <v/>
      </c>
      <c r="S11216" s="21">
        <f>$B$10479</f>
        <v/>
      </c>
      <c r="T11216" s="21">
        <f>0</f>
        <v/>
      </c>
      <c r="U11216" s="21">
        <f>2*$B$10478</f>
        <v/>
      </c>
      <c r="V11216" s="21">
        <f>-$B$10477</f>
        <v/>
      </c>
      <c r="W11216" s="21">
        <f>$B$10479</f>
        <v/>
      </c>
      <c r="X11216" s="21" t="n">
        <v>0</v>
      </c>
      <c r="Y11216" s="21" t="n">
        <v>0</v>
      </c>
      <c r="Z11216" s="19" t="n"/>
    </row>
    <row r="11217">
      <c r="D11217" s="21" t="n">
        <v>0</v>
      </c>
      <c r="E11217" s="21" t="n">
        <v>0</v>
      </c>
      <c r="F11217" s="21" t="n">
        <v>0</v>
      </c>
      <c r="G11217" s="21" t="n">
        <v>0</v>
      </c>
      <c r="H11217" s="21" t="n">
        <v>0</v>
      </c>
      <c r="I11217" s="21" t="n">
        <v>0</v>
      </c>
      <c r="J11217" s="21" t="n">
        <v>0</v>
      </c>
      <c r="K11217" s="21" t="n">
        <v>0</v>
      </c>
      <c r="L11217" s="21" t="n">
        <v>0</v>
      </c>
      <c r="M11217" s="21" t="n">
        <v>0</v>
      </c>
      <c r="N11217" s="21" t="n">
        <v>0</v>
      </c>
      <c r="O11217" s="21" t="n">
        <v>0</v>
      </c>
      <c r="P11217" s="21" t="n">
        <v>0</v>
      </c>
      <c r="Q11217" s="21" t="n">
        <v>0</v>
      </c>
      <c r="R11217" s="21" t="n">
        <v>0</v>
      </c>
      <c r="S11217" s="21" t="n">
        <v>0</v>
      </c>
      <c r="T11217" s="21">
        <f>-$B$10476</f>
        <v/>
      </c>
      <c r="U11217" s="21">
        <f>-$B$10477</f>
        <v/>
      </c>
      <c r="V11217" s="21">
        <f>2*$B$10476+$D$11196</f>
        <v/>
      </c>
      <c r="W11217" s="21">
        <f>0</f>
        <v/>
      </c>
      <c r="X11217" s="21">
        <f>-$B$10476</f>
        <v/>
      </c>
      <c r="Y11217" s="21">
        <f>$B$10477</f>
        <v/>
      </c>
      <c r="Z11217" s="19" t="n"/>
    </row>
    <row r="11218">
      <c r="D11218" s="21" t="n">
        <v>0</v>
      </c>
      <c r="E11218" s="21" t="n">
        <v>0</v>
      </c>
      <c r="F11218" s="21" t="n">
        <v>0</v>
      </c>
      <c r="G11218" s="21" t="n">
        <v>0</v>
      </c>
      <c r="H11218" s="21" t="n">
        <v>0</v>
      </c>
      <c r="I11218" s="21" t="n">
        <v>0</v>
      </c>
      <c r="J11218" s="21" t="n">
        <v>0</v>
      </c>
      <c r="K11218" s="21" t="n">
        <v>0</v>
      </c>
      <c r="L11218" s="21" t="n">
        <v>0</v>
      </c>
      <c r="M11218" s="21" t="n">
        <v>0</v>
      </c>
      <c r="N11218" s="21" t="n">
        <v>0</v>
      </c>
      <c r="O11218" s="21" t="n">
        <v>0</v>
      </c>
      <c r="P11218" s="21" t="n">
        <v>0</v>
      </c>
      <c r="Q11218" s="21" t="n">
        <v>0</v>
      </c>
      <c r="R11218" s="21" t="n">
        <v>0</v>
      </c>
      <c r="S11218" s="21" t="n">
        <v>0</v>
      </c>
      <c r="T11218" s="21">
        <f>$B$10477</f>
        <v/>
      </c>
      <c r="U11218" s="21">
        <f>$B$10479</f>
        <v/>
      </c>
      <c r="V11218" s="21">
        <f>0</f>
        <v/>
      </c>
      <c r="W11218" s="21">
        <f>2*$B$10478</f>
        <v/>
      </c>
      <c r="X11218" s="21">
        <f>-$B$10477</f>
        <v/>
      </c>
      <c r="Y11218" s="21">
        <f>$B$10479</f>
        <v/>
      </c>
      <c r="Z11218" s="19" t="n"/>
    </row>
    <row r="11219">
      <c r="D11219" s="21" t="n">
        <v>0</v>
      </c>
      <c r="E11219" s="21" t="n">
        <v>0</v>
      </c>
      <c r="F11219" s="21" t="n">
        <v>0</v>
      </c>
      <c r="G11219" s="21" t="n">
        <v>0</v>
      </c>
      <c r="H11219" s="21" t="n">
        <v>0</v>
      </c>
      <c r="I11219" s="21" t="n">
        <v>0</v>
      </c>
      <c r="J11219" s="21" t="n">
        <v>0</v>
      </c>
      <c r="K11219" s="21" t="n">
        <v>0</v>
      </c>
      <c r="L11219" s="21" t="n">
        <v>0</v>
      </c>
      <c r="M11219" s="21" t="n">
        <v>0</v>
      </c>
      <c r="N11219" s="21" t="n">
        <v>0</v>
      </c>
      <c r="O11219" s="21" t="n">
        <v>0</v>
      </c>
      <c r="P11219" s="21" t="n">
        <v>0</v>
      </c>
      <c r="Q11219" s="21" t="n">
        <v>0</v>
      </c>
      <c r="R11219" s="21" t="n">
        <v>0</v>
      </c>
      <c r="S11219" s="21" t="n">
        <v>0</v>
      </c>
      <c r="T11219" s="21" t="n">
        <v>0</v>
      </c>
      <c r="U11219" s="21" t="n">
        <v>0</v>
      </c>
      <c r="V11219" s="21">
        <f>-$B$10476</f>
        <v/>
      </c>
      <c r="W11219" s="21">
        <f>-$B$10477</f>
        <v/>
      </c>
      <c r="X11219" s="21">
        <f>$B$10476+$D$11197</f>
        <v/>
      </c>
      <c r="Y11219" s="21">
        <f>-$B$10477</f>
        <v/>
      </c>
      <c r="Z11219" s="19" t="n"/>
    </row>
    <row r="11220">
      <c r="D11220" s="21" t="n">
        <v>0</v>
      </c>
      <c r="E11220" s="21" t="n">
        <v>0</v>
      </c>
      <c r="F11220" s="21" t="n">
        <v>0</v>
      </c>
      <c r="G11220" s="21" t="n">
        <v>0</v>
      </c>
      <c r="H11220" s="21" t="n">
        <v>0</v>
      </c>
      <c r="I11220" s="21" t="n">
        <v>0</v>
      </c>
      <c r="J11220" s="21" t="n">
        <v>0</v>
      </c>
      <c r="K11220" s="21" t="n">
        <v>0</v>
      </c>
      <c r="L11220" s="21" t="n">
        <v>0</v>
      </c>
      <c r="M11220" s="21" t="n">
        <v>0</v>
      </c>
      <c r="N11220" s="21" t="n">
        <v>0</v>
      </c>
      <c r="O11220" s="21" t="n">
        <v>0</v>
      </c>
      <c r="P11220" s="21" t="n">
        <v>0</v>
      </c>
      <c r="Q11220" s="21" t="n">
        <v>0</v>
      </c>
      <c r="R11220" s="21" t="n">
        <v>0</v>
      </c>
      <c r="S11220" s="21" t="n">
        <v>0</v>
      </c>
      <c r="T11220" s="21" t="n">
        <v>0</v>
      </c>
      <c r="U11220" s="21" t="n">
        <v>0</v>
      </c>
      <c r="V11220" s="21">
        <f>$B$10477</f>
        <v/>
      </c>
      <c r="W11220" s="21">
        <f>$B$10479</f>
        <v/>
      </c>
      <c r="X11220" s="21">
        <f>-$B$10477</f>
        <v/>
      </c>
      <c r="Y11220" s="21">
        <f>$B$10478</f>
        <v/>
      </c>
      <c r="Z11220" s="19" t="n"/>
    </row>
    <row r="11222">
      <c r="A11222" s="8" t="inlineStr">
        <is>
          <t>gen 20</t>
        </is>
      </c>
    </row>
    <row r="11223">
      <c r="D11223" s="19">
        <f>IF(ABS(IF(ABS($E$11187)&gt;0.000000001,$E$11187,0.000000001))=0,0,IF($E$10491&lt;=$B$10485,0,IF(ABS(IF(ABS($E$11187)&gt;0.000000001,$E$11187,0.000000001))&gt;=8*$B$10487,$H$10491,0.5*$H$10491*(ABS(IF(ABS($E$11187)&gt;0.000000001,$E$11187,0.000000001))/$B$10487)^(1/3)))/ABS(IF(ABS($E$11187)&gt;0.000000001,$E$11187,0.000000001))*$I$10491)</f>
        <v/>
      </c>
      <c r="E11223" s="19">
        <f>0.5*$E$11187+0.5*$Z$11235</f>
        <v/>
      </c>
      <c r="F11223" s="19">
        <f>$Z$11236</f>
        <v/>
      </c>
    </row>
    <row r="11224">
      <c r="D11224" s="19">
        <f>IF(ABS(IF(ABS($E$11188)&gt;0.000000001,$E$11188,0.000000001))=0,0,IF($E$10492&lt;=$B$10485,0,IF(ABS(IF(ABS($E$11188)&gt;0.000000001,$E$11188,0.000000001))&gt;=8*$B$10487,$H$10492,0.5*$H$10492*(ABS(IF(ABS($E$11188)&gt;0.000000001,$E$11188,0.000000001))/$B$10487)^(1/3)))/ABS(IF(ABS($E$11188)&gt;0.000000001,$E$11188,0.000000001))*$I$10492)</f>
        <v/>
      </c>
      <c r="E11224" s="19">
        <f>0.5*$E$11188+0.5*$Z$11237</f>
        <v/>
      </c>
      <c r="F11224" s="19">
        <f>$Z$11238</f>
        <v/>
      </c>
    </row>
    <row r="11225">
      <c r="D11225" s="19">
        <f>IF(ABS(IF(ABS($E$11189)&gt;0.000000001,$E$11189,0.000000001))=0,0,IF($E$10493&lt;=$B$10485,0,IF(ABS(IF(ABS($E$11189)&gt;0.000000001,$E$11189,0.000000001))&gt;=8*$B$10487,$H$10493,0.5*$H$10493*(ABS(IF(ABS($E$11189)&gt;0.000000001,$E$11189,0.000000001))/$B$10487)^(1/3)))/ABS(IF(ABS($E$11189)&gt;0.000000001,$E$11189,0.000000001))*$I$10493)</f>
        <v/>
      </c>
      <c r="E11225" s="19">
        <f>0.5*$E$11189+0.5*$Z$11239</f>
        <v/>
      </c>
      <c r="F11225" s="19">
        <f>$Z$11240</f>
        <v/>
      </c>
    </row>
    <row r="11226">
      <c r="D11226" s="19">
        <f>IF(ABS(IF(ABS($E$11190)&gt;0.000000001,$E$11190,0.000000001))=0,0,IF($E$10494&lt;=$B$10485,0,IF(ABS(IF(ABS($E$11190)&gt;0.000000001,$E$11190,0.000000001))&gt;=8*$B$10487,$H$10494,0.5*$H$10494*(ABS(IF(ABS($E$11190)&gt;0.000000001,$E$11190,0.000000001))/$B$10487)^(1/3)))/ABS(IF(ABS($E$11190)&gt;0.000000001,$E$11190,0.000000001))*$I$10494)</f>
        <v/>
      </c>
      <c r="E11226" s="19">
        <f>0.5*$E$11190+0.5*$Z$11241</f>
        <v/>
      </c>
      <c r="F11226" s="19">
        <f>$Z$11242</f>
        <v/>
      </c>
    </row>
    <row r="11227">
      <c r="D11227" s="19">
        <f>IF(ABS(IF(ABS($E$11191)&gt;0.000000001,$E$11191,0.000000001))=0,0,IF($E$10495&lt;=$B$10485,0,IF(ABS(IF(ABS($E$11191)&gt;0.000000001,$E$11191,0.000000001))&gt;=8*$B$10487,$H$10495,0.5*$H$10495*(ABS(IF(ABS($E$11191)&gt;0.000000001,$E$11191,0.000000001))/$B$10487)^(1/3)))/ABS(IF(ABS($E$11191)&gt;0.000000001,$E$11191,0.000000001))*$I$10495)</f>
        <v/>
      </c>
      <c r="E11227" s="19">
        <f>0.5*$E$11191+0.5*$Z$11243</f>
        <v/>
      </c>
      <c r="F11227" s="19">
        <f>$Z$11244</f>
        <v/>
      </c>
    </row>
    <row r="11228">
      <c r="D11228" s="19">
        <f>IF(ABS(IF(ABS($E$11192)&gt;0.000000001,$E$11192,0.000000001))=0,0,IF($E$10496&lt;=$B$10485,0,IF(ABS(IF(ABS($E$11192)&gt;0.000000001,$E$11192,0.000000001))&gt;=8*$B$10487,$H$10496,0.5*$H$10496*(ABS(IF(ABS($E$11192)&gt;0.000000001,$E$11192,0.000000001))/$B$10487)^(1/3)))/ABS(IF(ABS($E$11192)&gt;0.000000001,$E$11192,0.000000001))*$I$10496)</f>
        <v/>
      </c>
      <c r="E11228" s="19">
        <f>0.5*$E$11192+0.5*$Z$11245</f>
        <v/>
      </c>
      <c r="F11228" s="19">
        <f>$Z$11246</f>
        <v/>
      </c>
    </row>
    <row r="11229">
      <c r="D11229" s="19">
        <f>IF(ABS(IF(ABS($E$11193)&gt;0.000000001,$E$11193,0.000000001))=0,0,IF($E$10497&lt;=$B$10485,0,IF(ABS(IF(ABS($E$11193)&gt;0.000000001,$E$11193,0.000000001))&gt;=8*$B$10487,$H$10497,0.5*$H$10497*(ABS(IF(ABS($E$11193)&gt;0.000000001,$E$11193,0.000000001))/$B$10487)^(1/3)))/ABS(IF(ABS($E$11193)&gt;0.000000001,$E$11193,0.000000001))*$I$10497)</f>
        <v/>
      </c>
      <c r="E11229" s="19">
        <f>0.5*$E$11193+0.5*$Z$11247</f>
        <v/>
      </c>
      <c r="F11229" s="19">
        <f>$Z$11248</f>
        <v/>
      </c>
    </row>
    <row r="11230">
      <c r="D11230" s="19">
        <f>IF(ABS(IF(ABS($E$11194)&gt;0.000000001,$E$11194,0.000000001))=0,0,IF($E$10498&lt;=$B$10485,0,IF(ABS(IF(ABS($E$11194)&gt;0.000000001,$E$11194,0.000000001))&gt;=8*$B$10487,$H$10498,0.5*$H$10498*(ABS(IF(ABS($E$11194)&gt;0.000000001,$E$11194,0.000000001))/$B$10487)^(1/3)))/ABS(IF(ABS($E$11194)&gt;0.000000001,$E$11194,0.000000001))*$I$10498)</f>
        <v/>
      </c>
      <c r="E11230" s="19">
        <f>0.5*$E$11194+0.5*$Z$11249</f>
        <v/>
      </c>
      <c r="F11230" s="19">
        <f>$Z$11250</f>
        <v/>
      </c>
    </row>
    <row r="11231">
      <c r="D11231" s="19">
        <f>IF(ABS(IF(ABS($E$11195)&gt;0.000000001,$E$11195,0.000000001))=0,0,IF($E$10499&lt;=$B$10485,0,IF(ABS(IF(ABS($E$11195)&gt;0.000000001,$E$11195,0.000000001))&gt;=8*$B$10487,$H$10499,0.5*$H$10499*(ABS(IF(ABS($E$11195)&gt;0.000000001,$E$11195,0.000000001))/$B$10487)^(1/3)))/ABS(IF(ABS($E$11195)&gt;0.000000001,$E$11195,0.000000001))*$I$10499)</f>
        <v/>
      </c>
      <c r="E11231" s="19">
        <f>0.5*$E$11195+0.5*$Z$11251</f>
        <v/>
      </c>
      <c r="F11231" s="19">
        <f>$Z$11252</f>
        <v/>
      </c>
    </row>
    <row r="11232">
      <c r="D11232" s="19">
        <f>IF(ABS(IF(ABS($E$11196)&gt;0.000000001,$E$11196,0.000000001))=0,0,IF($E$10500&lt;=$B$10485,0,IF(ABS(IF(ABS($E$11196)&gt;0.000000001,$E$11196,0.000000001))&gt;=8*$B$10487,$H$10500,0.5*$H$10500*(ABS(IF(ABS($E$11196)&gt;0.000000001,$E$11196,0.000000001))/$B$10487)^(1/3)))/ABS(IF(ABS($E$11196)&gt;0.000000001,$E$11196,0.000000001))*$I$10500)</f>
        <v/>
      </c>
      <c r="E11232" s="19">
        <f>0.5*$E$11196+0.5*$Z$11253</f>
        <v/>
      </c>
      <c r="F11232" s="19">
        <f>$Z$11254</f>
        <v/>
      </c>
    </row>
    <row r="11233">
      <c r="D11233" s="19">
        <f>IF(ABS(IF(ABS($E$11197)&gt;0.000000001,$E$11197,0.000000001))=0,0,IF($E$10501&lt;=$B$10485,0,IF(ABS(IF(ABS($E$11197)&gt;0.000000001,$E$11197,0.000000001))&gt;=8*$B$10487,$H$10501,0.5*$H$10501*(ABS(IF(ABS($E$11197)&gt;0.000000001,$E$11197,0.000000001))/$B$10487)^(1/3)))/ABS(IF(ABS($E$11197)&gt;0.000000001,$E$11197,0.000000001))*$I$10501)</f>
        <v/>
      </c>
      <c r="E11233" s="19">
        <f>0.5*$E$11197+0.5*$Z$11255</f>
        <v/>
      </c>
      <c r="F11233" s="19">
        <f>$Z$11256</f>
        <v/>
      </c>
    </row>
    <row r="11235">
      <c r="D11235" s="21">
        <f>$B$10476+$D$11223</f>
        <v/>
      </c>
      <c r="E11235" s="21">
        <f>$B$10477</f>
        <v/>
      </c>
      <c r="F11235" s="21">
        <f>-$B$10476</f>
        <v/>
      </c>
      <c r="G11235" s="21">
        <f>$B$10477</f>
        <v/>
      </c>
      <c r="H11235" s="21" t="n">
        <v>0</v>
      </c>
      <c r="I11235" s="21" t="n">
        <v>0</v>
      </c>
      <c r="J11235" s="21" t="n">
        <v>0</v>
      </c>
      <c r="K11235" s="21" t="n">
        <v>0</v>
      </c>
      <c r="L11235" s="21" t="n">
        <v>0</v>
      </c>
      <c r="M11235" s="21" t="n">
        <v>0</v>
      </c>
      <c r="N11235" s="21" t="n">
        <v>0</v>
      </c>
      <c r="O11235" s="21" t="n">
        <v>0</v>
      </c>
      <c r="P11235" s="21" t="n">
        <v>0</v>
      </c>
      <c r="Q11235" s="21" t="n">
        <v>0</v>
      </c>
      <c r="R11235" s="21" t="n">
        <v>0</v>
      </c>
      <c r="S11235" s="21" t="n">
        <v>0</v>
      </c>
      <c r="T11235" s="21" t="n">
        <v>0</v>
      </c>
      <c r="U11235" s="21" t="n">
        <v>0</v>
      </c>
      <c r="V11235" s="21" t="n">
        <v>0</v>
      </c>
      <c r="W11235" s="21" t="n">
        <v>0</v>
      </c>
      <c r="X11235" s="21" t="n">
        <v>0</v>
      </c>
      <c r="Y11235" s="21" t="n">
        <v>0</v>
      </c>
      <c r="Z11235" s="19">
        <f t="array" ref="Z11235:Z11256">MMULT(MINVERSE($D$11235:$Y$11256),$D$10503:$D$10524)</f>
        <v/>
      </c>
    </row>
    <row r="11236">
      <c r="D11236" s="21">
        <f>$B$10477</f>
        <v/>
      </c>
      <c r="E11236" s="21">
        <f>$B$10478</f>
        <v/>
      </c>
      <c r="F11236" s="21">
        <f>-$B$10477</f>
        <v/>
      </c>
      <c r="G11236" s="21">
        <f>$B$10479</f>
        <v/>
      </c>
      <c r="H11236" s="21" t="n">
        <v>0</v>
      </c>
      <c r="I11236" s="21" t="n">
        <v>0</v>
      </c>
      <c r="J11236" s="21" t="n">
        <v>0</v>
      </c>
      <c r="K11236" s="21" t="n">
        <v>0</v>
      </c>
      <c r="L11236" s="21" t="n">
        <v>0</v>
      </c>
      <c r="M11236" s="21" t="n">
        <v>0</v>
      </c>
      <c r="N11236" s="21" t="n">
        <v>0</v>
      </c>
      <c r="O11236" s="21" t="n">
        <v>0</v>
      </c>
      <c r="P11236" s="21" t="n">
        <v>0</v>
      </c>
      <c r="Q11236" s="21" t="n">
        <v>0</v>
      </c>
      <c r="R11236" s="21" t="n">
        <v>0</v>
      </c>
      <c r="S11236" s="21" t="n">
        <v>0</v>
      </c>
      <c r="T11236" s="21" t="n">
        <v>0</v>
      </c>
      <c r="U11236" s="21" t="n">
        <v>0</v>
      </c>
      <c r="V11236" s="21" t="n">
        <v>0</v>
      </c>
      <c r="W11236" s="21" t="n">
        <v>0</v>
      </c>
      <c r="X11236" s="21" t="n">
        <v>0</v>
      </c>
      <c r="Y11236" s="21" t="n">
        <v>0</v>
      </c>
      <c r="Z11236" s="19" t="n"/>
    </row>
    <row r="11237">
      <c r="D11237" s="21">
        <f>-$B$10476</f>
        <v/>
      </c>
      <c r="E11237" s="21">
        <f>-$B$10477</f>
        <v/>
      </c>
      <c r="F11237" s="21">
        <f>2*$B$10476+$D$11224</f>
        <v/>
      </c>
      <c r="G11237" s="21">
        <f>0</f>
        <v/>
      </c>
      <c r="H11237" s="21">
        <f>-$B$10476</f>
        <v/>
      </c>
      <c r="I11237" s="21">
        <f>$B$10477</f>
        <v/>
      </c>
      <c r="J11237" s="21" t="n">
        <v>0</v>
      </c>
      <c r="K11237" s="21" t="n">
        <v>0</v>
      </c>
      <c r="L11237" s="21" t="n">
        <v>0</v>
      </c>
      <c r="M11237" s="21" t="n">
        <v>0</v>
      </c>
      <c r="N11237" s="21" t="n">
        <v>0</v>
      </c>
      <c r="O11237" s="21" t="n">
        <v>0</v>
      </c>
      <c r="P11237" s="21" t="n">
        <v>0</v>
      </c>
      <c r="Q11237" s="21" t="n">
        <v>0</v>
      </c>
      <c r="R11237" s="21" t="n">
        <v>0</v>
      </c>
      <c r="S11237" s="21" t="n">
        <v>0</v>
      </c>
      <c r="T11237" s="21" t="n">
        <v>0</v>
      </c>
      <c r="U11237" s="21" t="n">
        <v>0</v>
      </c>
      <c r="V11237" s="21" t="n">
        <v>0</v>
      </c>
      <c r="W11237" s="21" t="n">
        <v>0</v>
      </c>
      <c r="X11237" s="21" t="n">
        <v>0</v>
      </c>
      <c r="Y11237" s="21" t="n">
        <v>0</v>
      </c>
      <c r="Z11237" s="19" t="n"/>
    </row>
    <row r="11238">
      <c r="D11238" s="21">
        <f>$B$10477</f>
        <v/>
      </c>
      <c r="E11238" s="21">
        <f>$B$10479</f>
        <v/>
      </c>
      <c r="F11238" s="21">
        <f>0</f>
        <v/>
      </c>
      <c r="G11238" s="21">
        <f>2*$B$10478</f>
        <v/>
      </c>
      <c r="H11238" s="21">
        <f>-$B$10477</f>
        <v/>
      </c>
      <c r="I11238" s="21">
        <f>$B$10479</f>
        <v/>
      </c>
      <c r="J11238" s="21" t="n">
        <v>0</v>
      </c>
      <c r="K11238" s="21" t="n">
        <v>0</v>
      </c>
      <c r="L11238" s="21" t="n">
        <v>0</v>
      </c>
      <c r="M11238" s="21" t="n">
        <v>0</v>
      </c>
      <c r="N11238" s="21" t="n">
        <v>0</v>
      </c>
      <c r="O11238" s="21" t="n">
        <v>0</v>
      </c>
      <c r="P11238" s="21" t="n">
        <v>0</v>
      </c>
      <c r="Q11238" s="21" t="n">
        <v>0</v>
      </c>
      <c r="R11238" s="21" t="n">
        <v>0</v>
      </c>
      <c r="S11238" s="21" t="n">
        <v>0</v>
      </c>
      <c r="T11238" s="21" t="n">
        <v>0</v>
      </c>
      <c r="U11238" s="21" t="n">
        <v>0</v>
      </c>
      <c r="V11238" s="21" t="n">
        <v>0</v>
      </c>
      <c r="W11238" s="21" t="n">
        <v>0</v>
      </c>
      <c r="X11238" s="21" t="n">
        <v>0</v>
      </c>
      <c r="Y11238" s="21" t="n">
        <v>0</v>
      </c>
      <c r="Z11238" s="19" t="n"/>
    </row>
    <row r="11239">
      <c r="D11239" s="21" t="n">
        <v>0</v>
      </c>
      <c r="E11239" s="21" t="n">
        <v>0</v>
      </c>
      <c r="F11239" s="21">
        <f>-$B$10476</f>
        <v/>
      </c>
      <c r="G11239" s="21">
        <f>-$B$10477</f>
        <v/>
      </c>
      <c r="H11239" s="21">
        <f>2*$B$10476+$D$11225</f>
        <v/>
      </c>
      <c r="I11239" s="21">
        <f>0</f>
        <v/>
      </c>
      <c r="J11239" s="21">
        <f>-$B$10476</f>
        <v/>
      </c>
      <c r="K11239" s="21">
        <f>$B$10477</f>
        <v/>
      </c>
      <c r="L11239" s="21" t="n">
        <v>0</v>
      </c>
      <c r="M11239" s="21" t="n">
        <v>0</v>
      </c>
      <c r="N11239" s="21" t="n">
        <v>0</v>
      </c>
      <c r="O11239" s="21" t="n">
        <v>0</v>
      </c>
      <c r="P11239" s="21" t="n">
        <v>0</v>
      </c>
      <c r="Q11239" s="21" t="n">
        <v>0</v>
      </c>
      <c r="R11239" s="21" t="n">
        <v>0</v>
      </c>
      <c r="S11239" s="21" t="n">
        <v>0</v>
      </c>
      <c r="T11239" s="21" t="n">
        <v>0</v>
      </c>
      <c r="U11239" s="21" t="n">
        <v>0</v>
      </c>
      <c r="V11239" s="21" t="n">
        <v>0</v>
      </c>
      <c r="W11239" s="21" t="n">
        <v>0</v>
      </c>
      <c r="X11239" s="21" t="n">
        <v>0</v>
      </c>
      <c r="Y11239" s="21" t="n">
        <v>0</v>
      </c>
      <c r="Z11239" s="19" t="n"/>
    </row>
    <row r="11240">
      <c r="D11240" s="21" t="n">
        <v>0</v>
      </c>
      <c r="E11240" s="21" t="n">
        <v>0</v>
      </c>
      <c r="F11240" s="21">
        <f>$B$10477</f>
        <v/>
      </c>
      <c r="G11240" s="21">
        <f>$B$10479</f>
        <v/>
      </c>
      <c r="H11240" s="21">
        <f>0</f>
        <v/>
      </c>
      <c r="I11240" s="21">
        <f>2*$B$10478</f>
        <v/>
      </c>
      <c r="J11240" s="21">
        <f>-$B$10477</f>
        <v/>
      </c>
      <c r="K11240" s="21">
        <f>$B$10479</f>
        <v/>
      </c>
      <c r="L11240" s="21" t="n">
        <v>0</v>
      </c>
      <c r="M11240" s="21" t="n">
        <v>0</v>
      </c>
      <c r="N11240" s="21" t="n">
        <v>0</v>
      </c>
      <c r="O11240" s="21" t="n">
        <v>0</v>
      </c>
      <c r="P11240" s="21" t="n">
        <v>0</v>
      </c>
      <c r="Q11240" s="21" t="n">
        <v>0</v>
      </c>
      <c r="R11240" s="21" t="n">
        <v>0</v>
      </c>
      <c r="S11240" s="21" t="n">
        <v>0</v>
      </c>
      <c r="T11240" s="21" t="n">
        <v>0</v>
      </c>
      <c r="U11240" s="21" t="n">
        <v>0</v>
      </c>
      <c r="V11240" s="21" t="n">
        <v>0</v>
      </c>
      <c r="W11240" s="21" t="n">
        <v>0</v>
      </c>
      <c r="X11240" s="21" t="n">
        <v>0</v>
      </c>
      <c r="Y11240" s="21" t="n">
        <v>0</v>
      </c>
      <c r="Z11240" s="19" t="n"/>
    </row>
    <row r="11241">
      <c r="D11241" s="21" t="n">
        <v>0</v>
      </c>
      <c r="E11241" s="21" t="n">
        <v>0</v>
      </c>
      <c r="F11241" s="21" t="n">
        <v>0</v>
      </c>
      <c r="G11241" s="21" t="n">
        <v>0</v>
      </c>
      <c r="H11241" s="21">
        <f>-$B$10476</f>
        <v/>
      </c>
      <c r="I11241" s="21">
        <f>-$B$10477</f>
        <v/>
      </c>
      <c r="J11241" s="21">
        <f>2*$B$10476+$D$11226</f>
        <v/>
      </c>
      <c r="K11241" s="21">
        <f>0</f>
        <v/>
      </c>
      <c r="L11241" s="21">
        <f>-$B$10476</f>
        <v/>
      </c>
      <c r="M11241" s="21">
        <f>$B$10477</f>
        <v/>
      </c>
      <c r="N11241" s="21" t="n">
        <v>0</v>
      </c>
      <c r="O11241" s="21" t="n">
        <v>0</v>
      </c>
      <c r="P11241" s="21" t="n">
        <v>0</v>
      </c>
      <c r="Q11241" s="21" t="n">
        <v>0</v>
      </c>
      <c r="R11241" s="21" t="n">
        <v>0</v>
      </c>
      <c r="S11241" s="21" t="n">
        <v>0</v>
      </c>
      <c r="T11241" s="21" t="n">
        <v>0</v>
      </c>
      <c r="U11241" s="21" t="n">
        <v>0</v>
      </c>
      <c r="V11241" s="21" t="n">
        <v>0</v>
      </c>
      <c r="W11241" s="21" t="n">
        <v>0</v>
      </c>
      <c r="X11241" s="21" t="n">
        <v>0</v>
      </c>
      <c r="Y11241" s="21" t="n">
        <v>0</v>
      </c>
      <c r="Z11241" s="19" t="n"/>
    </row>
    <row r="11242">
      <c r="D11242" s="21" t="n">
        <v>0</v>
      </c>
      <c r="E11242" s="21" t="n">
        <v>0</v>
      </c>
      <c r="F11242" s="21" t="n">
        <v>0</v>
      </c>
      <c r="G11242" s="21" t="n">
        <v>0</v>
      </c>
      <c r="H11242" s="21">
        <f>$B$10477</f>
        <v/>
      </c>
      <c r="I11242" s="21">
        <f>$B$10479</f>
        <v/>
      </c>
      <c r="J11242" s="21">
        <f>0</f>
        <v/>
      </c>
      <c r="K11242" s="21">
        <f>2*$B$10478</f>
        <v/>
      </c>
      <c r="L11242" s="21">
        <f>-$B$10477</f>
        <v/>
      </c>
      <c r="M11242" s="21">
        <f>$B$10479</f>
        <v/>
      </c>
      <c r="N11242" s="21" t="n">
        <v>0</v>
      </c>
      <c r="O11242" s="21" t="n">
        <v>0</v>
      </c>
      <c r="P11242" s="21" t="n">
        <v>0</v>
      </c>
      <c r="Q11242" s="21" t="n">
        <v>0</v>
      </c>
      <c r="R11242" s="21" t="n">
        <v>0</v>
      </c>
      <c r="S11242" s="21" t="n">
        <v>0</v>
      </c>
      <c r="T11242" s="21" t="n">
        <v>0</v>
      </c>
      <c r="U11242" s="21" t="n">
        <v>0</v>
      </c>
      <c r="V11242" s="21" t="n">
        <v>0</v>
      </c>
      <c r="W11242" s="21" t="n">
        <v>0</v>
      </c>
      <c r="X11242" s="21" t="n">
        <v>0</v>
      </c>
      <c r="Y11242" s="21" t="n">
        <v>0</v>
      </c>
      <c r="Z11242" s="19" t="n"/>
    </row>
    <row r="11243">
      <c r="D11243" s="21" t="n">
        <v>0</v>
      </c>
      <c r="E11243" s="21" t="n">
        <v>0</v>
      </c>
      <c r="F11243" s="21" t="n">
        <v>0</v>
      </c>
      <c r="G11243" s="21" t="n">
        <v>0</v>
      </c>
      <c r="H11243" s="21" t="n">
        <v>0</v>
      </c>
      <c r="I11243" s="21" t="n">
        <v>0</v>
      </c>
      <c r="J11243" s="21">
        <f>-$B$10476</f>
        <v/>
      </c>
      <c r="K11243" s="21">
        <f>-$B$10477</f>
        <v/>
      </c>
      <c r="L11243" s="21">
        <f>2*$B$10476+$D$11227</f>
        <v/>
      </c>
      <c r="M11243" s="21">
        <f>0</f>
        <v/>
      </c>
      <c r="N11243" s="21">
        <f>-$B$10476</f>
        <v/>
      </c>
      <c r="O11243" s="21">
        <f>$B$10477</f>
        <v/>
      </c>
      <c r="P11243" s="21" t="n">
        <v>0</v>
      </c>
      <c r="Q11243" s="21" t="n">
        <v>0</v>
      </c>
      <c r="R11243" s="21" t="n">
        <v>0</v>
      </c>
      <c r="S11243" s="21" t="n">
        <v>0</v>
      </c>
      <c r="T11243" s="21" t="n">
        <v>0</v>
      </c>
      <c r="U11243" s="21" t="n">
        <v>0</v>
      </c>
      <c r="V11243" s="21" t="n">
        <v>0</v>
      </c>
      <c r="W11243" s="21" t="n">
        <v>0</v>
      </c>
      <c r="X11243" s="21" t="n">
        <v>0</v>
      </c>
      <c r="Y11243" s="21" t="n">
        <v>0</v>
      </c>
      <c r="Z11243" s="19" t="n"/>
    </row>
    <row r="11244">
      <c r="D11244" s="21" t="n">
        <v>0</v>
      </c>
      <c r="E11244" s="21" t="n">
        <v>0</v>
      </c>
      <c r="F11244" s="21" t="n">
        <v>0</v>
      </c>
      <c r="G11244" s="21" t="n">
        <v>0</v>
      </c>
      <c r="H11244" s="21" t="n">
        <v>0</v>
      </c>
      <c r="I11244" s="21" t="n">
        <v>0</v>
      </c>
      <c r="J11244" s="21">
        <f>$B$10477</f>
        <v/>
      </c>
      <c r="K11244" s="21">
        <f>$B$10479</f>
        <v/>
      </c>
      <c r="L11244" s="21">
        <f>0</f>
        <v/>
      </c>
      <c r="M11244" s="21">
        <f>2*$B$10478</f>
        <v/>
      </c>
      <c r="N11244" s="21">
        <f>-$B$10477</f>
        <v/>
      </c>
      <c r="O11244" s="21">
        <f>$B$10479</f>
        <v/>
      </c>
      <c r="P11244" s="21" t="n">
        <v>0</v>
      </c>
      <c r="Q11244" s="21" t="n">
        <v>0</v>
      </c>
      <c r="R11244" s="21" t="n">
        <v>0</v>
      </c>
      <c r="S11244" s="21" t="n">
        <v>0</v>
      </c>
      <c r="T11244" s="21" t="n">
        <v>0</v>
      </c>
      <c r="U11244" s="21" t="n">
        <v>0</v>
      </c>
      <c r="V11244" s="21" t="n">
        <v>0</v>
      </c>
      <c r="W11244" s="21" t="n">
        <v>0</v>
      </c>
      <c r="X11244" s="21" t="n">
        <v>0</v>
      </c>
      <c r="Y11244" s="21" t="n">
        <v>0</v>
      </c>
      <c r="Z11244" s="19" t="n"/>
    </row>
    <row r="11245">
      <c r="D11245" s="21" t="n">
        <v>0</v>
      </c>
      <c r="E11245" s="21" t="n">
        <v>0</v>
      </c>
      <c r="F11245" s="21" t="n">
        <v>0</v>
      </c>
      <c r="G11245" s="21" t="n">
        <v>0</v>
      </c>
      <c r="H11245" s="21" t="n">
        <v>0</v>
      </c>
      <c r="I11245" s="21" t="n">
        <v>0</v>
      </c>
      <c r="J11245" s="21" t="n">
        <v>0</v>
      </c>
      <c r="K11245" s="21" t="n">
        <v>0</v>
      </c>
      <c r="L11245" s="21">
        <f>-$B$10476</f>
        <v/>
      </c>
      <c r="M11245" s="21">
        <f>-$B$10477</f>
        <v/>
      </c>
      <c r="N11245" s="21">
        <f>2*$B$10476+$D$11228</f>
        <v/>
      </c>
      <c r="O11245" s="21">
        <f>0</f>
        <v/>
      </c>
      <c r="P11245" s="21">
        <f>-$B$10476</f>
        <v/>
      </c>
      <c r="Q11245" s="21">
        <f>$B$10477</f>
        <v/>
      </c>
      <c r="R11245" s="21" t="n">
        <v>0</v>
      </c>
      <c r="S11245" s="21" t="n">
        <v>0</v>
      </c>
      <c r="T11245" s="21" t="n">
        <v>0</v>
      </c>
      <c r="U11245" s="21" t="n">
        <v>0</v>
      </c>
      <c r="V11245" s="21" t="n">
        <v>0</v>
      </c>
      <c r="W11245" s="21" t="n">
        <v>0</v>
      </c>
      <c r="X11245" s="21" t="n">
        <v>0</v>
      </c>
      <c r="Y11245" s="21" t="n">
        <v>0</v>
      </c>
      <c r="Z11245" s="19" t="n"/>
    </row>
    <row r="11246">
      <c r="D11246" s="21" t="n">
        <v>0</v>
      </c>
      <c r="E11246" s="21" t="n">
        <v>0</v>
      </c>
      <c r="F11246" s="21" t="n">
        <v>0</v>
      </c>
      <c r="G11246" s="21" t="n">
        <v>0</v>
      </c>
      <c r="H11246" s="21" t="n">
        <v>0</v>
      </c>
      <c r="I11246" s="21" t="n">
        <v>0</v>
      </c>
      <c r="J11246" s="21" t="n">
        <v>0</v>
      </c>
      <c r="K11246" s="21" t="n">
        <v>0</v>
      </c>
      <c r="L11246" s="21">
        <f>$B$10477</f>
        <v/>
      </c>
      <c r="M11246" s="21">
        <f>$B$10479</f>
        <v/>
      </c>
      <c r="N11246" s="21">
        <f>0</f>
        <v/>
      </c>
      <c r="O11246" s="21">
        <f>2*$B$10478</f>
        <v/>
      </c>
      <c r="P11246" s="21">
        <f>-$B$10477</f>
        <v/>
      </c>
      <c r="Q11246" s="21">
        <f>$B$10479</f>
        <v/>
      </c>
      <c r="R11246" s="21" t="n">
        <v>0</v>
      </c>
      <c r="S11246" s="21" t="n">
        <v>0</v>
      </c>
      <c r="T11246" s="21" t="n">
        <v>0</v>
      </c>
      <c r="U11246" s="21" t="n">
        <v>0</v>
      </c>
      <c r="V11246" s="21" t="n">
        <v>0</v>
      </c>
      <c r="W11246" s="21" t="n">
        <v>0</v>
      </c>
      <c r="X11246" s="21" t="n">
        <v>0</v>
      </c>
      <c r="Y11246" s="21" t="n">
        <v>0</v>
      </c>
      <c r="Z11246" s="19" t="n"/>
    </row>
    <row r="11247">
      <c r="D11247" s="21" t="n">
        <v>0</v>
      </c>
      <c r="E11247" s="21" t="n">
        <v>0</v>
      </c>
      <c r="F11247" s="21" t="n">
        <v>0</v>
      </c>
      <c r="G11247" s="21" t="n">
        <v>0</v>
      </c>
      <c r="H11247" s="21" t="n">
        <v>0</v>
      </c>
      <c r="I11247" s="21" t="n">
        <v>0</v>
      </c>
      <c r="J11247" s="21" t="n">
        <v>0</v>
      </c>
      <c r="K11247" s="21" t="n">
        <v>0</v>
      </c>
      <c r="L11247" s="21" t="n">
        <v>0</v>
      </c>
      <c r="M11247" s="21" t="n">
        <v>0</v>
      </c>
      <c r="N11247" s="21">
        <f>-$B$10476</f>
        <v/>
      </c>
      <c r="O11247" s="21">
        <f>-$B$10477</f>
        <v/>
      </c>
      <c r="P11247" s="21">
        <f>2*$B$10476+$D$11229</f>
        <v/>
      </c>
      <c r="Q11247" s="21">
        <f>0</f>
        <v/>
      </c>
      <c r="R11247" s="21">
        <f>-$B$10476</f>
        <v/>
      </c>
      <c r="S11247" s="21">
        <f>$B$10477</f>
        <v/>
      </c>
      <c r="T11247" s="21" t="n">
        <v>0</v>
      </c>
      <c r="U11247" s="21" t="n">
        <v>0</v>
      </c>
      <c r="V11247" s="21" t="n">
        <v>0</v>
      </c>
      <c r="W11247" s="21" t="n">
        <v>0</v>
      </c>
      <c r="X11247" s="21" t="n">
        <v>0</v>
      </c>
      <c r="Y11247" s="21" t="n">
        <v>0</v>
      </c>
      <c r="Z11247" s="19" t="n"/>
    </row>
    <row r="11248">
      <c r="D11248" s="21" t="n">
        <v>0</v>
      </c>
      <c r="E11248" s="21" t="n">
        <v>0</v>
      </c>
      <c r="F11248" s="21" t="n">
        <v>0</v>
      </c>
      <c r="G11248" s="21" t="n">
        <v>0</v>
      </c>
      <c r="H11248" s="21" t="n">
        <v>0</v>
      </c>
      <c r="I11248" s="21" t="n">
        <v>0</v>
      </c>
      <c r="J11248" s="21" t="n">
        <v>0</v>
      </c>
      <c r="K11248" s="21" t="n">
        <v>0</v>
      </c>
      <c r="L11248" s="21" t="n">
        <v>0</v>
      </c>
      <c r="M11248" s="21" t="n">
        <v>0</v>
      </c>
      <c r="N11248" s="21">
        <f>$B$10477</f>
        <v/>
      </c>
      <c r="O11248" s="21">
        <f>$B$10479</f>
        <v/>
      </c>
      <c r="P11248" s="21">
        <f>0</f>
        <v/>
      </c>
      <c r="Q11248" s="21">
        <f>2*$B$10478</f>
        <v/>
      </c>
      <c r="R11248" s="21">
        <f>-$B$10477</f>
        <v/>
      </c>
      <c r="S11248" s="21">
        <f>$B$10479</f>
        <v/>
      </c>
      <c r="T11248" s="21" t="n">
        <v>0</v>
      </c>
      <c r="U11248" s="21" t="n">
        <v>0</v>
      </c>
      <c r="V11248" s="21" t="n">
        <v>0</v>
      </c>
      <c r="W11248" s="21" t="n">
        <v>0</v>
      </c>
      <c r="X11248" s="21" t="n">
        <v>0</v>
      </c>
      <c r="Y11248" s="21" t="n">
        <v>0</v>
      </c>
      <c r="Z11248" s="19" t="n"/>
    </row>
    <row r="11249">
      <c r="D11249" s="21" t="n">
        <v>0</v>
      </c>
      <c r="E11249" s="21" t="n">
        <v>0</v>
      </c>
      <c r="F11249" s="21" t="n">
        <v>0</v>
      </c>
      <c r="G11249" s="21" t="n">
        <v>0</v>
      </c>
      <c r="H11249" s="21" t="n">
        <v>0</v>
      </c>
      <c r="I11249" s="21" t="n">
        <v>0</v>
      </c>
      <c r="J11249" s="21" t="n">
        <v>0</v>
      </c>
      <c r="K11249" s="21" t="n">
        <v>0</v>
      </c>
      <c r="L11249" s="21" t="n">
        <v>0</v>
      </c>
      <c r="M11249" s="21" t="n">
        <v>0</v>
      </c>
      <c r="N11249" s="21" t="n">
        <v>0</v>
      </c>
      <c r="O11249" s="21" t="n">
        <v>0</v>
      </c>
      <c r="P11249" s="21">
        <f>-$B$10476</f>
        <v/>
      </c>
      <c r="Q11249" s="21">
        <f>-$B$10477</f>
        <v/>
      </c>
      <c r="R11249" s="21">
        <f>2*$B$10476+$D$11230</f>
        <v/>
      </c>
      <c r="S11249" s="21">
        <f>0</f>
        <v/>
      </c>
      <c r="T11249" s="21">
        <f>-$B$10476</f>
        <v/>
      </c>
      <c r="U11249" s="21">
        <f>$B$10477</f>
        <v/>
      </c>
      <c r="V11249" s="21" t="n">
        <v>0</v>
      </c>
      <c r="W11249" s="21" t="n">
        <v>0</v>
      </c>
      <c r="X11249" s="21" t="n">
        <v>0</v>
      </c>
      <c r="Y11249" s="21" t="n">
        <v>0</v>
      </c>
      <c r="Z11249" s="19" t="n"/>
    </row>
    <row r="11250">
      <c r="D11250" s="21" t="n">
        <v>0</v>
      </c>
      <c r="E11250" s="21" t="n">
        <v>0</v>
      </c>
      <c r="F11250" s="21" t="n">
        <v>0</v>
      </c>
      <c r="G11250" s="21" t="n">
        <v>0</v>
      </c>
      <c r="H11250" s="21" t="n">
        <v>0</v>
      </c>
      <c r="I11250" s="21" t="n">
        <v>0</v>
      </c>
      <c r="J11250" s="21" t="n">
        <v>0</v>
      </c>
      <c r="K11250" s="21" t="n">
        <v>0</v>
      </c>
      <c r="L11250" s="21" t="n">
        <v>0</v>
      </c>
      <c r="M11250" s="21" t="n">
        <v>0</v>
      </c>
      <c r="N11250" s="21" t="n">
        <v>0</v>
      </c>
      <c r="O11250" s="21" t="n">
        <v>0</v>
      </c>
      <c r="P11250" s="21">
        <f>$B$10477</f>
        <v/>
      </c>
      <c r="Q11250" s="21">
        <f>$B$10479</f>
        <v/>
      </c>
      <c r="R11250" s="21">
        <f>0</f>
        <v/>
      </c>
      <c r="S11250" s="21">
        <f>2*$B$10478</f>
        <v/>
      </c>
      <c r="T11250" s="21">
        <f>-$B$10477</f>
        <v/>
      </c>
      <c r="U11250" s="21">
        <f>$B$10479</f>
        <v/>
      </c>
      <c r="V11250" s="21" t="n">
        <v>0</v>
      </c>
      <c r="W11250" s="21" t="n">
        <v>0</v>
      </c>
      <c r="X11250" s="21" t="n">
        <v>0</v>
      </c>
      <c r="Y11250" s="21" t="n">
        <v>0</v>
      </c>
      <c r="Z11250" s="19" t="n"/>
    </row>
    <row r="11251">
      <c r="D11251" s="21" t="n">
        <v>0</v>
      </c>
      <c r="E11251" s="21" t="n">
        <v>0</v>
      </c>
      <c r="F11251" s="21" t="n">
        <v>0</v>
      </c>
      <c r="G11251" s="21" t="n">
        <v>0</v>
      </c>
      <c r="H11251" s="21" t="n">
        <v>0</v>
      </c>
      <c r="I11251" s="21" t="n">
        <v>0</v>
      </c>
      <c r="J11251" s="21" t="n">
        <v>0</v>
      </c>
      <c r="K11251" s="21" t="n">
        <v>0</v>
      </c>
      <c r="L11251" s="21" t="n">
        <v>0</v>
      </c>
      <c r="M11251" s="21" t="n">
        <v>0</v>
      </c>
      <c r="N11251" s="21" t="n">
        <v>0</v>
      </c>
      <c r="O11251" s="21" t="n">
        <v>0</v>
      </c>
      <c r="P11251" s="21" t="n">
        <v>0</v>
      </c>
      <c r="Q11251" s="21" t="n">
        <v>0</v>
      </c>
      <c r="R11251" s="21">
        <f>-$B$10476</f>
        <v/>
      </c>
      <c r="S11251" s="21">
        <f>-$B$10477</f>
        <v/>
      </c>
      <c r="T11251" s="21">
        <f>2*$B$10476+$D$11231</f>
        <v/>
      </c>
      <c r="U11251" s="21">
        <f>0</f>
        <v/>
      </c>
      <c r="V11251" s="21">
        <f>-$B$10476</f>
        <v/>
      </c>
      <c r="W11251" s="21">
        <f>$B$10477</f>
        <v/>
      </c>
      <c r="X11251" s="21" t="n">
        <v>0</v>
      </c>
      <c r="Y11251" s="21" t="n">
        <v>0</v>
      </c>
      <c r="Z11251" s="19" t="n"/>
    </row>
    <row r="11252">
      <c r="D11252" s="21" t="n">
        <v>0</v>
      </c>
      <c r="E11252" s="21" t="n">
        <v>0</v>
      </c>
      <c r="F11252" s="21" t="n">
        <v>0</v>
      </c>
      <c r="G11252" s="21" t="n">
        <v>0</v>
      </c>
      <c r="H11252" s="21" t="n">
        <v>0</v>
      </c>
      <c r="I11252" s="21" t="n">
        <v>0</v>
      </c>
      <c r="J11252" s="21" t="n">
        <v>0</v>
      </c>
      <c r="K11252" s="21" t="n">
        <v>0</v>
      </c>
      <c r="L11252" s="21" t="n">
        <v>0</v>
      </c>
      <c r="M11252" s="21" t="n">
        <v>0</v>
      </c>
      <c r="N11252" s="21" t="n">
        <v>0</v>
      </c>
      <c r="O11252" s="21" t="n">
        <v>0</v>
      </c>
      <c r="P11252" s="21" t="n">
        <v>0</v>
      </c>
      <c r="Q11252" s="21" t="n">
        <v>0</v>
      </c>
      <c r="R11252" s="21">
        <f>$B$10477</f>
        <v/>
      </c>
      <c r="S11252" s="21">
        <f>$B$10479</f>
        <v/>
      </c>
      <c r="T11252" s="21">
        <f>0</f>
        <v/>
      </c>
      <c r="U11252" s="21">
        <f>2*$B$10478</f>
        <v/>
      </c>
      <c r="V11252" s="21">
        <f>-$B$10477</f>
        <v/>
      </c>
      <c r="W11252" s="21">
        <f>$B$10479</f>
        <v/>
      </c>
      <c r="X11252" s="21" t="n">
        <v>0</v>
      </c>
      <c r="Y11252" s="21" t="n">
        <v>0</v>
      </c>
      <c r="Z11252" s="19" t="n"/>
    </row>
    <row r="11253">
      <c r="D11253" s="21" t="n">
        <v>0</v>
      </c>
      <c r="E11253" s="21" t="n">
        <v>0</v>
      </c>
      <c r="F11253" s="21" t="n">
        <v>0</v>
      </c>
      <c r="G11253" s="21" t="n">
        <v>0</v>
      </c>
      <c r="H11253" s="21" t="n">
        <v>0</v>
      </c>
      <c r="I11253" s="21" t="n">
        <v>0</v>
      </c>
      <c r="J11253" s="21" t="n">
        <v>0</v>
      </c>
      <c r="K11253" s="21" t="n">
        <v>0</v>
      </c>
      <c r="L11253" s="21" t="n">
        <v>0</v>
      </c>
      <c r="M11253" s="21" t="n">
        <v>0</v>
      </c>
      <c r="N11253" s="21" t="n">
        <v>0</v>
      </c>
      <c r="O11253" s="21" t="n">
        <v>0</v>
      </c>
      <c r="P11253" s="21" t="n">
        <v>0</v>
      </c>
      <c r="Q11253" s="21" t="n">
        <v>0</v>
      </c>
      <c r="R11253" s="21" t="n">
        <v>0</v>
      </c>
      <c r="S11253" s="21" t="n">
        <v>0</v>
      </c>
      <c r="T11253" s="21">
        <f>-$B$10476</f>
        <v/>
      </c>
      <c r="U11253" s="21">
        <f>-$B$10477</f>
        <v/>
      </c>
      <c r="V11253" s="21">
        <f>2*$B$10476+$D$11232</f>
        <v/>
      </c>
      <c r="W11253" s="21">
        <f>0</f>
        <v/>
      </c>
      <c r="X11253" s="21">
        <f>-$B$10476</f>
        <v/>
      </c>
      <c r="Y11253" s="21">
        <f>$B$10477</f>
        <v/>
      </c>
      <c r="Z11253" s="19" t="n"/>
    </row>
    <row r="11254">
      <c r="D11254" s="21" t="n">
        <v>0</v>
      </c>
      <c r="E11254" s="21" t="n">
        <v>0</v>
      </c>
      <c r="F11254" s="21" t="n">
        <v>0</v>
      </c>
      <c r="G11254" s="21" t="n">
        <v>0</v>
      </c>
      <c r="H11254" s="21" t="n">
        <v>0</v>
      </c>
      <c r="I11254" s="21" t="n">
        <v>0</v>
      </c>
      <c r="J11254" s="21" t="n">
        <v>0</v>
      </c>
      <c r="K11254" s="21" t="n">
        <v>0</v>
      </c>
      <c r="L11254" s="21" t="n">
        <v>0</v>
      </c>
      <c r="M11254" s="21" t="n">
        <v>0</v>
      </c>
      <c r="N11254" s="21" t="n">
        <v>0</v>
      </c>
      <c r="O11254" s="21" t="n">
        <v>0</v>
      </c>
      <c r="P11254" s="21" t="n">
        <v>0</v>
      </c>
      <c r="Q11254" s="21" t="n">
        <v>0</v>
      </c>
      <c r="R11254" s="21" t="n">
        <v>0</v>
      </c>
      <c r="S11254" s="21" t="n">
        <v>0</v>
      </c>
      <c r="T11254" s="21">
        <f>$B$10477</f>
        <v/>
      </c>
      <c r="U11254" s="21">
        <f>$B$10479</f>
        <v/>
      </c>
      <c r="V11254" s="21">
        <f>0</f>
        <v/>
      </c>
      <c r="W11254" s="21">
        <f>2*$B$10478</f>
        <v/>
      </c>
      <c r="X11254" s="21">
        <f>-$B$10477</f>
        <v/>
      </c>
      <c r="Y11254" s="21">
        <f>$B$10479</f>
        <v/>
      </c>
      <c r="Z11254" s="19" t="n"/>
    </row>
    <row r="11255">
      <c r="D11255" s="21" t="n">
        <v>0</v>
      </c>
      <c r="E11255" s="21" t="n">
        <v>0</v>
      </c>
      <c r="F11255" s="21" t="n">
        <v>0</v>
      </c>
      <c r="G11255" s="21" t="n">
        <v>0</v>
      </c>
      <c r="H11255" s="21" t="n">
        <v>0</v>
      </c>
      <c r="I11255" s="21" t="n">
        <v>0</v>
      </c>
      <c r="J11255" s="21" t="n">
        <v>0</v>
      </c>
      <c r="K11255" s="21" t="n">
        <v>0</v>
      </c>
      <c r="L11255" s="21" t="n">
        <v>0</v>
      </c>
      <c r="M11255" s="21" t="n">
        <v>0</v>
      </c>
      <c r="N11255" s="21" t="n">
        <v>0</v>
      </c>
      <c r="O11255" s="21" t="n">
        <v>0</v>
      </c>
      <c r="P11255" s="21" t="n">
        <v>0</v>
      </c>
      <c r="Q11255" s="21" t="n">
        <v>0</v>
      </c>
      <c r="R11255" s="21" t="n">
        <v>0</v>
      </c>
      <c r="S11255" s="21" t="n">
        <v>0</v>
      </c>
      <c r="T11255" s="21" t="n">
        <v>0</v>
      </c>
      <c r="U11255" s="21" t="n">
        <v>0</v>
      </c>
      <c r="V11255" s="21">
        <f>-$B$10476</f>
        <v/>
      </c>
      <c r="W11255" s="21">
        <f>-$B$10477</f>
        <v/>
      </c>
      <c r="X11255" s="21">
        <f>$B$10476+$D$11233</f>
        <v/>
      </c>
      <c r="Y11255" s="21">
        <f>-$B$10477</f>
        <v/>
      </c>
      <c r="Z11255" s="19" t="n"/>
    </row>
    <row r="11256">
      <c r="D11256" s="21" t="n">
        <v>0</v>
      </c>
      <c r="E11256" s="21" t="n">
        <v>0</v>
      </c>
      <c r="F11256" s="21" t="n">
        <v>0</v>
      </c>
      <c r="G11256" s="21" t="n">
        <v>0</v>
      </c>
      <c r="H11256" s="21" t="n">
        <v>0</v>
      </c>
      <c r="I11256" s="21" t="n">
        <v>0</v>
      </c>
      <c r="J11256" s="21" t="n">
        <v>0</v>
      </c>
      <c r="K11256" s="21" t="n">
        <v>0</v>
      </c>
      <c r="L11256" s="21" t="n">
        <v>0</v>
      </c>
      <c r="M11256" s="21" t="n">
        <v>0</v>
      </c>
      <c r="N11256" s="21" t="n">
        <v>0</v>
      </c>
      <c r="O11256" s="21" t="n">
        <v>0</v>
      </c>
      <c r="P11256" s="21" t="n">
        <v>0</v>
      </c>
      <c r="Q11256" s="21" t="n">
        <v>0</v>
      </c>
      <c r="R11256" s="21" t="n">
        <v>0</v>
      </c>
      <c r="S11256" s="21" t="n">
        <v>0</v>
      </c>
      <c r="T11256" s="21" t="n">
        <v>0</v>
      </c>
      <c r="U11256" s="21" t="n">
        <v>0</v>
      </c>
      <c r="V11256" s="21">
        <f>$B$10477</f>
        <v/>
      </c>
      <c r="W11256" s="21">
        <f>$B$10479</f>
        <v/>
      </c>
      <c r="X11256" s="21">
        <f>-$B$10477</f>
        <v/>
      </c>
      <c r="Y11256" s="21">
        <f>$B$10478</f>
        <v/>
      </c>
      <c r="Z11256" s="19" t="n"/>
    </row>
    <row r="11258">
      <c r="A11258" s="8" t="inlineStr">
        <is>
          <t>gen 21</t>
        </is>
      </c>
    </row>
    <row r="11259">
      <c r="D11259" s="19">
        <f>IF(ABS(IF(ABS($E$11223)&gt;0.000000001,$E$11223,0.000000001))=0,0,IF($E$10491&lt;=$B$10485,0,IF(ABS(IF(ABS($E$11223)&gt;0.000000001,$E$11223,0.000000001))&gt;=8*$B$10487,$H$10491,0.5*$H$10491*(ABS(IF(ABS($E$11223)&gt;0.000000001,$E$11223,0.000000001))/$B$10487)^(1/3)))/ABS(IF(ABS($E$11223)&gt;0.000000001,$E$11223,0.000000001))*$I$10491)</f>
        <v/>
      </c>
      <c r="E11259" s="19">
        <f>0.5*$E$11223+0.5*$Z$11271</f>
        <v/>
      </c>
      <c r="F11259" s="19">
        <f>$Z$11272</f>
        <v/>
      </c>
    </row>
    <row r="11260">
      <c r="D11260" s="19">
        <f>IF(ABS(IF(ABS($E$11224)&gt;0.000000001,$E$11224,0.000000001))=0,0,IF($E$10492&lt;=$B$10485,0,IF(ABS(IF(ABS($E$11224)&gt;0.000000001,$E$11224,0.000000001))&gt;=8*$B$10487,$H$10492,0.5*$H$10492*(ABS(IF(ABS($E$11224)&gt;0.000000001,$E$11224,0.000000001))/$B$10487)^(1/3)))/ABS(IF(ABS($E$11224)&gt;0.000000001,$E$11224,0.000000001))*$I$10492)</f>
        <v/>
      </c>
      <c r="E11260" s="19">
        <f>0.5*$E$11224+0.5*$Z$11273</f>
        <v/>
      </c>
      <c r="F11260" s="19">
        <f>$Z$11274</f>
        <v/>
      </c>
    </row>
    <row r="11261">
      <c r="D11261" s="19">
        <f>IF(ABS(IF(ABS($E$11225)&gt;0.000000001,$E$11225,0.000000001))=0,0,IF($E$10493&lt;=$B$10485,0,IF(ABS(IF(ABS($E$11225)&gt;0.000000001,$E$11225,0.000000001))&gt;=8*$B$10487,$H$10493,0.5*$H$10493*(ABS(IF(ABS($E$11225)&gt;0.000000001,$E$11225,0.000000001))/$B$10487)^(1/3)))/ABS(IF(ABS($E$11225)&gt;0.000000001,$E$11225,0.000000001))*$I$10493)</f>
        <v/>
      </c>
      <c r="E11261" s="19">
        <f>0.5*$E$11225+0.5*$Z$11275</f>
        <v/>
      </c>
      <c r="F11261" s="19">
        <f>$Z$11276</f>
        <v/>
      </c>
    </row>
    <row r="11262">
      <c r="D11262" s="19">
        <f>IF(ABS(IF(ABS($E$11226)&gt;0.000000001,$E$11226,0.000000001))=0,0,IF($E$10494&lt;=$B$10485,0,IF(ABS(IF(ABS($E$11226)&gt;0.000000001,$E$11226,0.000000001))&gt;=8*$B$10487,$H$10494,0.5*$H$10494*(ABS(IF(ABS($E$11226)&gt;0.000000001,$E$11226,0.000000001))/$B$10487)^(1/3)))/ABS(IF(ABS($E$11226)&gt;0.000000001,$E$11226,0.000000001))*$I$10494)</f>
        <v/>
      </c>
      <c r="E11262" s="19">
        <f>0.5*$E$11226+0.5*$Z$11277</f>
        <v/>
      </c>
      <c r="F11262" s="19">
        <f>$Z$11278</f>
        <v/>
      </c>
    </row>
    <row r="11263">
      <c r="D11263" s="19">
        <f>IF(ABS(IF(ABS($E$11227)&gt;0.000000001,$E$11227,0.000000001))=0,0,IF($E$10495&lt;=$B$10485,0,IF(ABS(IF(ABS($E$11227)&gt;0.000000001,$E$11227,0.000000001))&gt;=8*$B$10487,$H$10495,0.5*$H$10495*(ABS(IF(ABS($E$11227)&gt;0.000000001,$E$11227,0.000000001))/$B$10487)^(1/3)))/ABS(IF(ABS($E$11227)&gt;0.000000001,$E$11227,0.000000001))*$I$10495)</f>
        <v/>
      </c>
      <c r="E11263" s="19">
        <f>0.5*$E$11227+0.5*$Z$11279</f>
        <v/>
      </c>
      <c r="F11263" s="19">
        <f>$Z$11280</f>
        <v/>
      </c>
    </row>
    <row r="11264">
      <c r="D11264" s="19">
        <f>IF(ABS(IF(ABS($E$11228)&gt;0.000000001,$E$11228,0.000000001))=0,0,IF($E$10496&lt;=$B$10485,0,IF(ABS(IF(ABS($E$11228)&gt;0.000000001,$E$11228,0.000000001))&gt;=8*$B$10487,$H$10496,0.5*$H$10496*(ABS(IF(ABS($E$11228)&gt;0.000000001,$E$11228,0.000000001))/$B$10487)^(1/3)))/ABS(IF(ABS($E$11228)&gt;0.000000001,$E$11228,0.000000001))*$I$10496)</f>
        <v/>
      </c>
      <c r="E11264" s="19">
        <f>0.5*$E$11228+0.5*$Z$11281</f>
        <v/>
      </c>
      <c r="F11264" s="19">
        <f>$Z$11282</f>
        <v/>
      </c>
    </row>
    <row r="11265">
      <c r="D11265" s="19">
        <f>IF(ABS(IF(ABS($E$11229)&gt;0.000000001,$E$11229,0.000000001))=0,0,IF($E$10497&lt;=$B$10485,0,IF(ABS(IF(ABS($E$11229)&gt;0.000000001,$E$11229,0.000000001))&gt;=8*$B$10487,$H$10497,0.5*$H$10497*(ABS(IF(ABS($E$11229)&gt;0.000000001,$E$11229,0.000000001))/$B$10487)^(1/3)))/ABS(IF(ABS($E$11229)&gt;0.000000001,$E$11229,0.000000001))*$I$10497)</f>
        <v/>
      </c>
      <c r="E11265" s="19">
        <f>0.5*$E$11229+0.5*$Z$11283</f>
        <v/>
      </c>
      <c r="F11265" s="19">
        <f>$Z$11284</f>
        <v/>
      </c>
    </row>
    <row r="11266">
      <c r="D11266" s="19">
        <f>IF(ABS(IF(ABS($E$11230)&gt;0.000000001,$E$11230,0.000000001))=0,0,IF($E$10498&lt;=$B$10485,0,IF(ABS(IF(ABS($E$11230)&gt;0.000000001,$E$11230,0.000000001))&gt;=8*$B$10487,$H$10498,0.5*$H$10498*(ABS(IF(ABS($E$11230)&gt;0.000000001,$E$11230,0.000000001))/$B$10487)^(1/3)))/ABS(IF(ABS($E$11230)&gt;0.000000001,$E$11230,0.000000001))*$I$10498)</f>
        <v/>
      </c>
      <c r="E11266" s="19">
        <f>0.5*$E$11230+0.5*$Z$11285</f>
        <v/>
      </c>
      <c r="F11266" s="19">
        <f>$Z$11286</f>
        <v/>
      </c>
    </row>
    <row r="11267">
      <c r="D11267" s="19">
        <f>IF(ABS(IF(ABS($E$11231)&gt;0.000000001,$E$11231,0.000000001))=0,0,IF($E$10499&lt;=$B$10485,0,IF(ABS(IF(ABS($E$11231)&gt;0.000000001,$E$11231,0.000000001))&gt;=8*$B$10487,$H$10499,0.5*$H$10499*(ABS(IF(ABS($E$11231)&gt;0.000000001,$E$11231,0.000000001))/$B$10487)^(1/3)))/ABS(IF(ABS($E$11231)&gt;0.000000001,$E$11231,0.000000001))*$I$10499)</f>
        <v/>
      </c>
      <c r="E11267" s="19">
        <f>0.5*$E$11231+0.5*$Z$11287</f>
        <v/>
      </c>
      <c r="F11267" s="19">
        <f>$Z$11288</f>
        <v/>
      </c>
    </row>
    <row r="11268">
      <c r="D11268" s="19">
        <f>IF(ABS(IF(ABS($E$11232)&gt;0.000000001,$E$11232,0.000000001))=0,0,IF($E$10500&lt;=$B$10485,0,IF(ABS(IF(ABS($E$11232)&gt;0.000000001,$E$11232,0.000000001))&gt;=8*$B$10487,$H$10500,0.5*$H$10500*(ABS(IF(ABS($E$11232)&gt;0.000000001,$E$11232,0.000000001))/$B$10487)^(1/3)))/ABS(IF(ABS($E$11232)&gt;0.000000001,$E$11232,0.000000001))*$I$10500)</f>
        <v/>
      </c>
      <c r="E11268" s="19">
        <f>0.5*$E$11232+0.5*$Z$11289</f>
        <v/>
      </c>
      <c r="F11268" s="19">
        <f>$Z$11290</f>
        <v/>
      </c>
    </row>
    <row r="11269">
      <c r="D11269" s="19">
        <f>IF(ABS(IF(ABS($E$11233)&gt;0.000000001,$E$11233,0.000000001))=0,0,IF($E$10501&lt;=$B$10485,0,IF(ABS(IF(ABS($E$11233)&gt;0.000000001,$E$11233,0.000000001))&gt;=8*$B$10487,$H$10501,0.5*$H$10501*(ABS(IF(ABS($E$11233)&gt;0.000000001,$E$11233,0.000000001))/$B$10487)^(1/3)))/ABS(IF(ABS($E$11233)&gt;0.000000001,$E$11233,0.000000001))*$I$10501)</f>
        <v/>
      </c>
      <c r="E11269" s="19">
        <f>0.5*$E$11233+0.5*$Z$11291</f>
        <v/>
      </c>
      <c r="F11269" s="19">
        <f>$Z$11292</f>
        <v/>
      </c>
    </row>
    <row r="11271">
      <c r="D11271" s="21">
        <f>$B$10476+$D$11259</f>
        <v/>
      </c>
      <c r="E11271" s="21">
        <f>$B$10477</f>
        <v/>
      </c>
      <c r="F11271" s="21">
        <f>-$B$10476</f>
        <v/>
      </c>
      <c r="G11271" s="21">
        <f>$B$10477</f>
        <v/>
      </c>
      <c r="H11271" s="21" t="n">
        <v>0</v>
      </c>
      <c r="I11271" s="21" t="n">
        <v>0</v>
      </c>
      <c r="J11271" s="21" t="n">
        <v>0</v>
      </c>
      <c r="K11271" s="21" t="n">
        <v>0</v>
      </c>
      <c r="L11271" s="21" t="n">
        <v>0</v>
      </c>
      <c r="M11271" s="21" t="n">
        <v>0</v>
      </c>
      <c r="N11271" s="21" t="n">
        <v>0</v>
      </c>
      <c r="O11271" s="21" t="n">
        <v>0</v>
      </c>
      <c r="P11271" s="21" t="n">
        <v>0</v>
      </c>
      <c r="Q11271" s="21" t="n">
        <v>0</v>
      </c>
      <c r="R11271" s="21" t="n">
        <v>0</v>
      </c>
      <c r="S11271" s="21" t="n">
        <v>0</v>
      </c>
      <c r="T11271" s="21" t="n">
        <v>0</v>
      </c>
      <c r="U11271" s="21" t="n">
        <v>0</v>
      </c>
      <c r="V11271" s="21" t="n">
        <v>0</v>
      </c>
      <c r="W11271" s="21" t="n">
        <v>0</v>
      </c>
      <c r="X11271" s="21" t="n">
        <v>0</v>
      </c>
      <c r="Y11271" s="21" t="n">
        <v>0</v>
      </c>
      <c r="Z11271" s="19">
        <f t="array" ref="Z11271:Z11292">MMULT(MINVERSE($D$11271:$Y$11292),$D$10503:$D$10524)</f>
        <v/>
      </c>
    </row>
    <row r="11272">
      <c r="D11272" s="21">
        <f>$B$10477</f>
        <v/>
      </c>
      <c r="E11272" s="21">
        <f>$B$10478</f>
        <v/>
      </c>
      <c r="F11272" s="21">
        <f>-$B$10477</f>
        <v/>
      </c>
      <c r="G11272" s="21">
        <f>$B$10479</f>
        <v/>
      </c>
      <c r="H11272" s="21" t="n">
        <v>0</v>
      </c>
      <c r="I11272" s="21" t="n">
        <v>0</v>
      </c>
      <c r="J11272" s="21" t="n">
        <v>0</v>
      </c>
      <c r="K11272" s="21" t="n">
        <v>0</v>
      </c>
      <c r="L11272" s="21" t="n">
        <v>0</v>
      </c>
      <c r="M11272" s="21" t="n">
        <v>0</v>
      </c>
      <c r="N11272" s="21" t="n">
        <v>0</v>
      </c>
      <c r="O11272" s="21" t="n">
        <v>0</v>
      </c>
      <c r="P11272" s="21" t="n">
        <v>0</v>
      </c>
      <c r="Q11272" s="21" t="n">
        <v>0</v>
      </c>
      <c r="R11272" s="21" t="n">
        <v>0</v>
      </c>
      <c r="S11272" s="21" t="n">
        <v>0</v>
      </c>
      <c r="T11272" s="21" t="n">
        <v>0</v>
      </c>
      <c r="U11272" s="21" t="n">
        <v>0</v>
      </c>
      <c r="V11272" s="21" t="n">
        <v>0</v>
      </c>
      <c r="W11272" s="21" t="n">
        <v>0</v>
      </c>
      <c r="X11272" s="21" t="n">
        <v>0</v>
      </c>
      <c r="Y11272" s="21" t="n">
        <v>0</v>
      </c>
      <c r="Z11272" s="19" t="n"/>
    </row>
    <row r="11273">
      <c r="D11273" s="21">
        <f>-$B$10476</f>
        <v/>
      </c>
      <c r="E11273" s="21">
        <f>-$B$10477</f>
        <v/>
      </c>
      <c r="F11273" s="21">
        <f>2*$B$10476+$D$11260</f>
        <v/>
      </c>
      <c r="G11273" s="21">
        <f>0</f>
        <v/>
      </c>
      <c r="H11273" s="21">
        <f>-$B$10476</f>
        <v/>
      </c>
      <c r="I11273" s="21">
        <f>$B$10477</f>
        <v/>
      </c>
      <c r="J11273" s="21" t="n">
        <v>0</v>
      </c>
      <c r="K11273" s="21" t="n">
        <v>0</v>
      </c>
      <c r="L11273" s="21" t="n">
        <v>0</v>
      </c>
      <c r="M11273" s="21" t="n">
        <v>0</v>
      </c>
      <c r="N11273" s="21" t="n">
        <v>0</v>
      </c>
      <c r="O11273" s="21" t="n">
        <v>0</v>
      </c>
      <c r="P11273" s="21" t="n">
        <v>0</v>
      </c>
      <c r="Q11273" s="21" t="n">
        <v>0</v>
      </c>
      <c r="R11273" s="21" t="n">
        <v>0</v>
      </c>
      <c r="S11273" s="21" t="n">
        <v>0</v>
      </c>
      <c r="T11273" s="21" t="n">
        <v>0</v>
      </c>
      <c r="U11273" s="21" t="n">
        <v>0</v>
      </c>
      <c r="V11273" s="21" t="n">
        <v>0</v>
      </c>
      <c r="W11273" s="21" t="n">
        <v>0</v>
      </c>
      <c r="X11273" s="21" t="n">
        <v>0</v>
      </c>
      <c r="Y11273" s="21" t="n">
        <v>0</v>
      </c>
      <c r="Z11273" s="19" t="n"/>
    </row>
    <row r="11274">
      <c r="D11274" s="21">
        <f>$B$10477</f>
        <v/>
      </c>
      <c r="E11274" s="21">
        <f>$B$10479</f>
        <v/>
      </c>
      <c r="F11274" s="21">
        <f>0</f>
        <v/>
      </c>
      <c r="G11274" s="21">
        <f>2*$B$10478</f>
        <v/>
      </c>
      <c r="H11274" s="21">
        <f>-$B$10477</f>
        <v/>
      </c>
      <c r="I11274" s="21">
        <f>$B$10479</f>
        <v/>
      </c>
      <c r="J11274" s="21" t="n">
        <v>0</v>
      </c>
      <c r="K11274" s="21" t="n">
        <v>0</v>
      </c>
      <c r="L11274" s="21" t="n">
        <v>0</v>
      </c>
      <c r="M11274" s="21" t="n">
        <v>0</v>
      </c>
      <c r="N11274" s="21" t="n">
        <v>0</v>
      </c>
      <c r="O11274" s="21" t="n">
        <v>0</v>
      </c>
      <c r="P11274" s="21" t="n">
        <v>0</v>
      </c>
      <c r="Q11274" s="21" t="n">
        <v>0</v>
      </c>
      <c r="R11274" s="21" t="n">
        <v>0</v>
      </c>
      <c r="S11274" s="21" t="n">
        <v>0</v>
      </c>
      <c r="T11274" s="21" t="n">
        <v>0</v>
      </c>
      <c r="U11274" s="21" t="n">
        <v>0</v>
      </c>
      <c r="V11274" s="21" t="n">
        <v>0</v>
      </c>
      <c r="W11274" s="21" t="n">
        <v>0</v>
      </c>
      <c r="X11274" s="21" t="n">
        <v>0</v>
      </c>
      <c r="Y11274" s="21" t="n">
        <v>0</v>
      </c>
      <c r="Z11274" s="19" t="n"/>
    </row>
    <row r="11275">
      <c r="D11275" s="21" t="n">
        <v>0</v>
      </c>
      <c r="E11275" s="21" t="n">
        <v>0</v>
      </c>
      <c r="F11275" s="21">
        <f>-$B$10476</f>
        <v/>
      </c>
      <c r="G11275" s="21">
        <f>-$B$10477</f>
        <v/>
      </c>
      <c r="H11275" s="21">
        <f>2*$B$10476+$D$11261</f>
        <v/>
      </c>
      <c r="I11275" s="21">
        <f>0</f>
        <v/>
      </c>
      <c r="J11275" s="21">
        <f>-$B$10476</f>
        <v/>
      </c>
      <c r="K11275" s="21">
        <f>$B$10477</f>
        <v/>
      </c>
      <c r="L11275" s="21" t="n">
        <v>0</v>
      </c>
      <c r="M11275" s="21" t="n">
        <v>0</v>
      </c>
      <c r="N11275" s="21" t="n">
        <v>0</v>
      </c>
      <c r="O11275" s="21" t="n">
        <v>0</v>
      </c>
      <c r="P11275" s="21" t="n">
        <v>0</v>
      </c>
      <c r="Q11275" s="21" t="n">
        <v>0</v>
      </c>
      <c r="R11275" s="21" t="n">
        <v>0</v>
      </c>
      <c r="S11275" s="21" t="n">
        <v>0</v>
      </c>
      <c r="T11275" s="21" t="n">
        <v>0</v>
      </c>
      <c r="U11275" s="21" t="n">
        <v>0</v>
      </c>
      <c r="V11275" s="21" t="n">
        <v>0</v>
      </c>
      <c r="W11275" s="21" t="n">
        <v>0</v>
      </c>
      <c r="X11275" s="21" t="n">
        <v>0</v>
      </c>
      <c r="Y11275" s="21" t="n">
        <v>0</v>
      </c>
      <c r="Z11275" s="19" t="n"/>
    </row>
    <row r="11276">
      <c r="D11276" s="21" t="n">
        <v>0</v>
      </c>
      <c r="E11276" s="21" t="n">
        <v>0</v>
      </c>
      <c r="F11276" s="21">
        <f>$B$10477</f>
        <v/>
      </c>
      <c r="G11276" s="21">
        <f>$B$10479</f>
        <v/>
      </c>
      <c r="H11276" s="21">
        <f>0</f>
        <v/>
      </c>
      <c r="I11276" s="21">
        <f>2*$B$10478</f>
        <v/>
      </c>
      <c r="J11276" s="21">
        <f>-$B$10477</f>
        <v/>
      </c>
      <c r="K11276" s="21">
        <f>$B$10479</f>
        <v/>
      </c>
      <c r="L11276" s="21" t="n">
        <v>0</v>
      </c>
      <c r="M11276" s="21" t="n">
        <v>0</v>
      </c>
      <c r="N11276" s="21" t="n">
        <v>0</v>
      </c>
      <c r="O11276" s="21" t="n">
        <v>0</v>
      </c>
      <c r="P11276" s="21" t="n">
        <v>0</v>
      </c>
      <c r="Q11276" s="21" t="n">
        <v>0</v>
      </c>
      <c r="R11276" s="21" t="n">
        <v>0</v>
      </c>
      <c r="S11276" s="21" t="n">
        <v>0</v>
      </c>
      <c r="T11276" s="21" t="n">
        <v>0</v>
      </c>
      <c r="U11276" s="21" t="n">
        <v>0</v>
      </c>
      <c r="V11276" s="21" t="n">
        <v>0</v>
      </c>
      <c r="W11276" s="21" t="n">
        <v>0</v>
      </c>
      <c r="X11276" s="21" t="n">
        <v>0</v>
      </c>
      <c r="Y11276" s="21" t="n">
        <v>0</v>
      </c>
      <c r="Z11276" s="19" t="n"/>
    </row>
    <row r="11277">
      <c r="D11277" s="21" t="n">
        <v>0</v>
      </c>
      <c r="E11277" s="21" t="n">
        <v>0</v>
      </c>
      <c r="F11277" s="21" t="n">
        <v>0</v>
      </c>
      <c r="G11277" s="21" t="n">
        <v>0</v>
      </c>
      <c r="H11277" s="21">
        <f>-$B$10476</f>
        <v/>
      </c>
      <c r="I11277" s="21">
        <f>-$B$10477</f>
        <v/>
      </c>
      <c r="J11277" s="21">
        <f>2*$B$10476+$D$11262</f>
        <v/>
      </c>
      <c r="K11277" s="21">
        <f>0</f>
        <v/>
      </c>
      <c r="L11277" s="21">
        <f>-$B$10476</f>
        <v/>
      </c>
      <c r="M11277" s="21">
        <f>$B$10477</f>
        <v/>
      </c>
      <c r="N11277" s="21" t="n">
        <v>0</v>
      </c>
      <c r="O11277" s="21" t="n">
        <v>0</v>
      </c>
      <c r="P11277" s="21" t="n">
        <v>0</v>
      </c>
      <c r="Q11277" s="21" t="n">
        <v>0</v>
      </c>
      <c r="R11277" s="21" t="n">
        <v>0</v>
      </c>
      <c r="S11277" s="21" t="n">
        <v>0</v>
      </c>
      <c r="T11277" s="21" t="n">
        <v>0</v>
      </c>
      <c r="U11277" s="21" t="n">
        <v>0</v>
      </c>
      <c r="V11277" s="21" t="n">
        <v>0</v>
      </c>
      <c r="W11277" s="21" t="n">
        <v>0</v>
      </c>
      <c r="X11277" s="21" t="n">
        <v>0</v>
      </c>
      <c r="Y11277" s="21" t="n">
        <v>0</v>
      </c>
      <c r="Z11277" s="19" t="n"/>
    </row>
    <row r="11278">
      <c r="D11278" s="21" t="n">
        <v>0</v>
      </c>
      <c r="E11278" s="21" t="n">
        <v>0</v>
      </c>
      <c r="F11278" s="21" t="n">
        <v>0</v>
      </c>
      <c r="G11278" s="21" t="n">
        <v>0</v>
      </c>
      <c r="H11278" s="21">
        <f>$B$10477</f>
        <v/>
      </c>
      <c r="I11278" s="21">
        <f>$B$10479</f>
        <v/>
      </c>
      <c r="J11278" s="21">
        <f>0</f>
        <v/>
      </c>
      <c r="K11278" s="21">
        <f>2*$B$10478</f>
        <v/>
      </c>
      <c r="L11278" s="21">
        <f>-$B$10477</f>
        <v/>
      </c>
      <c r="M11278" s="21">
        <f>$B$10479</f>
        <v/>
      </c>
      <c r="N11278" s="21" t="n">
        <v>0</v>
      </c>
      <c r="O11278" s="21" t="n">
        <v>0</v>
      </c>
      <c r="P11278" s="21" t="n">
        <v>0</v>
      </c>
      <c r="Q11278" s="21" t="n">
        <v>0</v>
      </c>
      <c r="R11278" s="21" t="n">
        <v>0</v>
      </c>
      <c r="S11278" s="21" t="n">
        <v>0</v>
      </c>
      <c r="T11278" s="21" t="n">
        <v>0</v>
      </c>
      <c r="U11278" s="21" t="n">
        <v>0</v>
      </c>
      <c r="V11278" s="21" t="n">
        <v>0</v>
      </c>
      <c r="W11278" s="21" t="n">
        <v>0</v>
      </c>
      <c r="X11278" s="21" t="n">
        <v>0</v>
      </c>
      <c r="Y11278" s="21" t="n">
        <v>0</v>
      </c>
      <c r="Z11278" s="19" t="n"/>
    </row>
    <row r="11279">
      <c r="D11279" s="21" t="n">
        <v>0</v>
      </c>
      <c r="E11279" s="21" t="n">
        <v>0</v>
      </c>
      <c r="F11279" s="21" t="n">
        <v>0</v>
      </c>
      <c r="G11279" s="21" t="n">
        <v>0</v>
      </c>
      <c r="H11279" s="21" t="n">
        <v>0</v>
      </c>
      <c r="I11279" s="21" t="n">
        <v>0</v>
      </c>
      <c r="J11279" s="21">
        <f>-$B$10476</f>
        <v/>
      </c>
      <c r="K11279" s="21">
        <f>-$B$10477</f>
        <v/>
      </c>
      <c r="L11279" s="21">
        <f>2*$B$10476+$D$11263</f>
        <v/>
      </c>
      <c r="M11279" s="21">
        <f>0</f>
        <v/>
      </c>
      <c r="N11279" s="21">
        <f>-$B$10476</f>
        <v/>
      </c>
      <c r="O11279" s="21">
        <f>$B$10477</f>
        <v/>
      </c>
      <c r="P11279" s="21" t="n">
        <v>0</v>
      </c>
      <c r="Q11279" s="21" t="n">
        <v>0</v>
      </c>
      <c r="R11279" s="21" t="n">
        <v>0</v>
      </c>
      <c r="S11279" s="21" t="n">
        <v>0</v>
      </c>
      <c r="T11279" s="21" t="n">
        <v>0</v>
      </c>
      <c r="U11279" s="21" t="n">
        <v>0</v>
      </c>
      <c r="V11279" s="21" t="n">
        <v>0</v>
      </c>
      <c r="W11279" s="21" t="n">
        <v>0</v>
      </c>
      <c r="X11279" s="21" t="n">
        <v>0</v>
      </c>
      <c r="Y11279" s="21" t="n">
        <v>0</v>
      </c>
      <c r="Z11279" s="19" t="n"/>
    </row>
    <row r="11280">
      <c r="D11280" s="21" t="n">
        <v>0</v>
      </c>
      <c r="E11280" s="21" t="n">
        <v>0</v>
      </c>
      <c r="F11280" s="21" t="n">
        <v>0</v>
      </c>
      <c r="G11280" s="21" t="n">
        <v>0</v>
      </c>
      <c r="H11280" s="21" t="n">
        <v>0</v>
      </c>
      <c r="I11280" s="21" t="n">
        <v>0</v>
      </c>
      <c r="J11280" s="21">
        <f>$B$10477</f>
        <v/>
      </c>
      <c r="K11280" s="21">
        <f>$B$10479</f>
        <v/>
      </c>
      <c r="L11280" s="21">
        <f>0</f>
        <v/>
      </c>
      <c r="M11280" s="21">
        <f>2*$B$10478</f>
        <v/>
      </c>
      <c r="N11280" s="21">
        <f>-$B$10477</f>
        <v/>
      </c>
      <c r="O11280" s="21">
        <f>$B$10479</f>
        <v/>
      </c>
      <c r="P11280" s="21" t="n">
        <v>0</v>
      </c>
      <c r="Q11280" s="21" t="n">
        <v>0</v>
      </c>
      <c r="R11280" s="21" t="n">
        <v>0</v>
      </c>
      <c r="S11280" s="21" t="n">
        <v>0</v>
      </c>
      <c r="T11280" s="21" t="n">
        <v>0</v>
      </c>
      <c r="U11280" s="21" t="n">
        <v>0</v>
      </c>
      <c r="V11280" s="21" t="n">
        <v>0</v>
      </c>
      <c r="W11280" s="21" t="n">
        <v>0</v>
      </c>
      <c r="X11280" s="21" t="n">
        <v>0</v>
      </c>
      <c r="Y11280" s="21" t="n">
        <v>0</v>
      </c>
      <c r="Z11280" s="19" t="n"/>
    </row>
    <row r="11281">
      <c r="D11281" s="21" t="n">
        <v>0</v>
      </c>
      <c r="E11281" s="21" t="n">
        <v>0</v>
      </c>
      <c r="F11281" s="21" t="n">
        <v>0</v>
      </c>
      <c r="G11281" s="21" t="n">
        <v>0</v>
      </c>
      <c r="H11281" s="21" t="n">
        <v>0</v>
      </c>
      <c r="I11281" s="21" t="n">
        <v>0</v>
      </c>
      <c r="J11281" s="21" t="n">
        <v>0</v>
      </c>
      <c r="K11281" s="21" t="n">
        <v>0</v>
      </c>
      <c r="L11281" s="21">
        <f>-$B$10476</f>
        <v/>
      </c>
      <c r="M11281" s="21">
        <f>-$B$10477</f>
        <v/>
      </c>
      <c r="N11281" s="21">
        <f>2*$B$10476+$D$11264</f>
        <v/>
      </c>
      <c r="O11281" s="21">
        <f>0</f>
        <v/>
      </c>
      <c r="P11281" s="21">
        <f>-$B$10476</f>
        <v/>
      </c>
      <c r="Q11281" s="21">
        <f>$B$10477</f>
        <v/>
      </c>
      <c r="R11281" s="21" t="n">
        <v>0</v>
      </c>
      <c r="S11281" s="21" t="n">
        <v>0</v>
      </c>
      <c r="T11281" s="21" t="n">
        <v>0</v>
      </c>
      <c r="U11281" s="21" t="n">
        <v>0</v>
      </c>
      <c r="V11281" s="21" t="n">
        <v>0</v>
      </c>
      <c r="W11281" s="21" t="n">
        <v>0</v>
      </c>
      <c r="X11281" s="21" t="n">
        <v>0</v>
      </c>
      <c r="Y11281" s="21" t="n">
        <v>0</v>
      </c>
      <c r="Z11281" s="19" t="n"/>
    </row>
    <row r="11282">
      <c r="D11282" s="21" t="n">
        <v>0</v>
      </c>
      <c r="E11282" s="21" t="n">
        <v>0</v>
      </c>
      <c r="F11282" s="21" t="n">
        <v>0</v>
      </c>
      <c r="G11282" s="21" t="n">
        <v>0</v>
      </c>
      <c r="H11282" s="21" t="n">
        <v>0</v>
      </c>
      <c r="I11282" s="21" t="n">
        <v>0</v>
      </c>
      <c r="J11282" s="21" t="n">
        <v>0</v>
      </c>
      <c r="K11282" s="21" t="n">
        <v>0</v>
      </c>
      <c r="L11282" s="21">
        <f>$B$10477</f>
        <v/>
      </c>
      <c r="M11282" s="21">
        <f>$B$10479</f>
        <v/>
      </c>
      <c r="N11282" s="21">
        <f>0</f>
        <v/>
      </c>
      <c r="O11282" s="21">
        <f>2*$B$10478</f>
        <v/>
      </c>
      <c r="P11282" s="21">
        <f>-$B$10477</f>
        <v/>
      </c>
      <c r="Q11282" s="21">
        <f>$B$10479</f>
        <v/>
      </c>
      <c r="R11282" s="21" t="n">
        <v>0</v>
      </c>
      <c r="S11282" s="21" t="n">
        <v>0</v>
      </c>
      <c r="T11282" s="21" t="n">
        <v>0</v>
      </c>
      <c r="U11282" s="21" t="n">
        <v>0</v>
      </c>
      <c r="V11282" s="21" t="n">
        <v>0</v>
      </c>
      <c r="W11282" s="21" t="n">
        <v>0</v>
      </c>
      <c r="X11282" s="21" t="n">
        <v>0</v>
      </c>
      <c r="Y11282" s="21" t="n">
        <v>0</v>
      </c>
      <c r="Z11282" s="19" t="n"/>
    </row>
    <row r="11283">
      <c r="D11283" s="21" t="n">
        <v>0</v>
      </c>
      <c r="E11283" s="21" t="n">
        <v>0</v>
      </c>
      <c r="F11283" s="21" t="n">
        <v>0</v>
      </c>
      <c r="G11283" s="21" t="n">
        <v>0</v>
      </c>
      <c r="H11283" s="21" t="n">
        <v>0</v>
      </c>
      <c r="I11283" s="21" t="n">
        <v>0</v>
      </c>
      <c r="J11283" s="21" t="n">
        <v>0</v>
      </c>
      <c r="K11283" s="21" t="n">
        <v>0</v>
      </c>
      <c r="L11283" s="21" t="n">
        <v>0</v>
      </c>
      <c r="M11283" s="21" t="n">
        <v>0</v>
      </c>
      <c r="N11283" s="21">
        <f>-$B$10476</f>
        <v/>
      </c>
      <c r="O11283" s="21">
        <f>-$B$10477</f>
        <v/>
      </c>
      <c r="P11283" s="21">
        <f>2*$B$10476+$D$11265</f>
        <v/>
      </c>
      <c r="Q11283" s="21">
        <f>0</f>
        <v/>
      </c>
      <c r="R11283" s="21">
        <f>-$B$10476</f>
        <v/>
      </c>
      <c r="S11283" s="21">
        <f>$B$10477</f>
        <v/>
      </c>
      <c r="T11283" s="21" t="n">
        <v>0</v>
      </c>
      <c r="U11283" s="21" t="n">
        <v>0</v>
      </c>
      <c r="V11283" s="21" t="n">
        <v>0</v>
      </c>
      <c r="W11283" s="21" t="n">
        <v>0</v>
      </c>
      <c r="X11283" s="21" t="n">
        <v>0</v>
      </c>
      <c r="Y11283" s="21" t="n">
        <v>0</v>
      </c>
      <c r="Z11283" s="19" t="n"/>
    </row>
    <row r="11284">
      <c r="D11284" s="21" t="n">
        <v>0</v>
      </c>
      <c r="E11284" s="21" t="n">
        <v>0</v>
      </c>
      <c r="F11284" s="21" t="n">
        <v>0</v>
      </c>
      <c r="G11284" s="21" t="n">
        <v>0</v>
      </c>
      <c r="H11284" s="21" t="n">
        <v>0</v>
      </c>
      <c r="I11284" s="21" t="n">
        <v>0</v>
      </c>
      <c r="J11284" s="21" t="n">
        <v>0</v>
      </c>
      <c r="K11284" s="21" t="n">
        <v>0</v>
      </c>
      <c r="L11284" s="21" t="n">
        <v>0</v>
      </c>
      <c r="M11284" s="21" t="n">
        <v>0</v>
      </c>
      <c r="N11284" s="21">
        <f>$B$10477</f>
        <v/>
      </c>
      <c r="O11284" s="21">
        <f>$B$10479</f>
        <v/>
      </c>
      <c r="P11284" s="21">
        <f>0</f>
        <v/>
      </c>
      <c r="Q11284" s="21">
        <f>2*$B$10478</f>
        <v/>
      </c>
      <c r="R11284" s="21">
        <f>-$B$10477</f>
        <v/>
      </c>
      <c r="S11284" s="21">
        <f>$B$10479</f>
        <v/>
      </c>
      <c r="T11284" s="21" t="n">
        <v>0</v>
      </c>
      <c r="U11284" s="21" t="n">
        <v>0</v>
      </c>
      <c r="V11284" s="21" t="n">
        <v>0</v>
      </c>
      <c r="W11284" s="21" t="n">
        <v>0</v>
      </c>
      <c r="X11284" s="21" t="n">
        <v>0</v>
      </c>
      <c r="Y11284" s="21" t="n">
        <v>0</v>
      </c>
      <c r="Z11284" s="19" t="n"/>
    </row>
    <row r="11285">
      <c r="D11285" s="21" t="n">
        <v>0</v>
      </c>
      <c r="E11285" s="21" t="n">
        <v>0</v>
      </c>
      <c r="F11285" s="21" t="n">
        <v>0</v>
      </c>
      <c r="G11285" s="21" t="n">
        <v>0</v>
      </c>
      <c r="H11285" s="21" t="n">
        <v>0</v>
      </c>
      <c r="I11285" s="21" t="n">
        <v>0</v>
      </c>
      <c r="J11285" s="21" t="n">
        <v>0</v>
      </c>
      <c r="K11285" s="21" t="n">
        <v>0</v>
      </c>
      <c r="L11285" s="21" t="n">
        <v>0</v>
      </c>
      <c r="M11285" s="21" t="n">
        <v>0</v>
      </c>
      <c r="N11285" s="21" t="n">
        <v>0</v>
      </c>
      <c r="O11285" s="21" t="n">
        <v>0</v>
      </c>
      <c r="P11285" s="21">
        <f>-$B$10476</f>
        <v/>
      </c>
      <c r="Q11285" s="21">
        <f>-$B$10477</f>
        <v/>
      </c>
      <c r="R11285" s="21">
        <f>2*$B$10476+$D$11266</f>
        <v/>
      </c>
      <c r="S11285" s="21">
        <f>0</f>
        <v/>
      </c>
      <c r="T11285" s="21">
        <f>-$B$10476</f>
        <v/>
      </c>
      <c r="U11285" s="21">
        <f>$B$10477</f>
        <v/>
      </c>
      <c r="V11285" s="21" t="n">
        <v>0</v>
      </c>
      <c r="W11285" s="21" t="n">
        <v>0</v>
      </c>
      <c r="X11285" s="21" t="n">
        <v>0</v>
      </c>
      <c r="Y11285" s="21" t="n">
        <v>0</v>
      </c>
      <c r="Z11285" s="19" t="n"/>
    </row>
    <row r="11286">
      <c r="D11286" s="21" t="n">
        <v>0</v>
      </c>
      <c r="E11286" s="21" t="n">
        <v>0</v>
      </c>
      <c r="F11286" s="21" t="n">
        <v>0</v>
      </c>
      <c r="G11286" s="21" t="n">
        <v>0</v>
      </c>
      <c r="H11286" s="21" t="n">
        <v>0</v>
      </c>
      <c r="I11286" s="21" t="n">
        <v>0</v>
      </c>
      <c r="J11286" s="21" t="n">
        <v>0</v>
      </c>
      <c r="K11286" s="21" t="n">
        <v>0</v>
      </c>
      <c r="L11286" s="21" t="n">
        <v>0</v>
      </c>
      <c r="M11286" s="21" t="n">
        <v>0</v>
      </c>
      <c r="N11286" s="21" t="n">
        <v>0</v>
      </c>
      <c r="O11286" s="21" t="n">
        <v>0</v>
      </c>
      <c r="P11286" s="21">
        <f>$B$10477</f>
        <v/>
      </c>
      <c r="Q11286" s="21">
        <f>$B$10479</f>
        <v/>
      </c>
      <c r="R11286" s="21">
        <f>0</f>
        <v/>
      </c>
      <c r="S11286" s="21">
        <f>2*$B$10478</f>
        <v/>
      </c>
      <c r="T11286" s="21">
        <f>-$B$10477</f>
        <v/>
      </c>
      <c r="U11286" s="21">
        <f>$B$10479</f>
        <v/>
      </c>
      <c r="V11286" s="21" t="n">
        <v>0</v>
      </c>
      <c r="W11286" s="21" t="n">
        <v>0</v>
      </c>
      <c r="X11286" s="21" t="n">
        <v>0</v>
      </c>
      <c r="Y11286" s="21" t="n">
        <v>0</v>
      </c>
      <c r="Z11286" s="19" t="n"/>
    </row>
    <row r="11287">
      <c r="D11287" s="21" t="n">
        <v>0</v>
      </c>
      <c r="E11287" s="21" t="n">
        <v>0</v>
      </c>
      <c r="F11287" s="21" t="n">
        <v>0</v>
      </c>
      <c r="G11287" s="21" t="n">
        <v>0</v>
      </c>
      <c r="H11287" s="21" t="n">
        <v>0</v>
      </c>
      <c r="I11287" s="21" t="n">
        <v>0</v>
      </c>
      <c r="J11287" s="21" t="n">
        <v>0</v>
      </c>
      <c r="K11287" s="21" t="n">
        <v>0</v>
      </c>
      <c r="L11287" s="21" t="n">
        <v>0</v>
      </c>
      <c r="M11287" s="21" t="n">
        <v>0</v>
      </c>
      <c r="N11287" s="21" t="n">
        <v>0</v>
      </c>
      <c r="O11287" s="21" t="n">
        <v>0</v>
      </c>
      <c r="P11287" s="21" t="n">
        <v>0</v>
      </c>
      <c r="Q11287" s="21" t="n">
        <v>0</v>
      </c>
      <c r="R11287" s="21">
        <f>-$B$10476</f>
        <v/>
      </c>
      <c r="S11287" s="21">
        <f>-$B$10477</f>
        <v/>
      </c>
      <c r="T11287" s="21">
        <f>2*$B$10476+$D$11267</f>
        <v/>
      </c>
      <c r="U11287" s="21">
        <f>0</f>
        <v/>
      </c>
      <c r="V11287" s="21">
        <f>-$B$10476</f>
        <v/>
      </c>
      <c r="W11287" s="21">
        <f>$B$10477</f>
        <v/>
      </c>
      <c r="X11287" s="21" t="n">
        <v>0</v>
      </c>
      <c r="Y11287" s="21" t="n">
        <v>0</v>
      </c>
      <c r="Z11287" s="19" t="n"/>
    </row>
    <row r="11288">
      <c r="D11288" s="21" t="n">
        <v>0</v>
      </c>
      <c r="E11288" s="21" t="n">
        <v>0</v>
      </c>
      <c r="F11288" s="21" t="n">
        <v>0</v>
      </c>
      <c r="G11288" s="21" t="n">
        <v>0</v>
      </c>
      <c r="H11288" s="21" t="n">
        <v>0</v>
      </c>
      <c r="I11288" s="21" t="n">
        <v>0</v>
      </c>
      <c r="J11288" s="21" t="n">
        <v>0</v>
      </c>
      <c r="K11288" s="21" t="n">
        <v>0</v>
      </c>
      <c r="L11288" s="21" t="n">
        <v>0</v>
      </c>
      <c r="M11288" s="21" t="n">
        <v>0</v>
      </c>
      <c r="N11288" s="21" t="n">
        <v>0</v>
      </c>
      <c r="O11288" s="21" t="n">
        <v>0</v>
      </c>
      <c r="P11288" s="21" t="n">
        <v>0</v>
      </c>
      <c r="Q11288" s="21" t="n">
        <v>0</v>
      </c>
      <c r="R11288" s="21">
        <f>$B$10477</f>
        <v/>
      </c>
      <c r="S11288" s="21">
        <f>$B$10479</f>
        <v/>
      </c>
      <c r="T11288" s="21">
        <f>0</f>
        <v/>
      </c>
      <c r="U11288" s="21">
        <f>2*$B$10478</f>
        <v/>
      </c>
      <c r="V11288" s="21">
        <f>-$B$10477</f>
        <v/>
      </c>
      <c r="W11288" s="21">
        <f>$B$10479</f>
        <v/>
      </c>
      <c r="X11288" s="21" t="n">
        <v>0</v>
      </c>
      <c r="Y11288" s="21" t="n">
        <v>0</v>
      </c>
      <c r="Z11288" s="19" t="n"/>
    </row>
    <row r="11289">
      <c r="D11289" s="21" t="n">
        <v>0</v>
      </c>
      <c r="E11289" s="21" t="n">
        <v>0</v>
      </c>
      <c r="F11289" s="21" t="n">
        <v>0</v>
      </c>
      <c r="G11289" s="21" t="n">
        <v>0</v>
      </c>
      <c r="H11289" s="21" t="n">
        <v>0</v>
      </c>
      <c r="I11289" s="21" t="n">
        <v>0</v>
      </c>
      <c r="J11289" s="21" t="n">
        <v>0</v>
      </c>
      <c r="K11289" s="21" t="n">
        <v>0</v>
      </c>
      <c r="L11289" s="21" t="n">
        <v>0</v>
      </c>
      <c r="M11289" s="21" t="n">
        <v>0</v>
      </c>
      <c r="N11289" s="21" t="n">
        <v>0</v>
      </c>
      <c r="O11289" s="21" t="n">
        <v>0</v>
      </c>
      <c r="P11289" s="21" t="n">
        <v>0</v>
      </c>
      <c r="Q11289" s="21" t="n">
        <v>0</v>
      </c>
      <c r="R11289" s="21" t="n">
        <v>0</v>
      </c>
      <c r="S11289" s="21" t="n">
        <v>0</v>
      </c>
      <c r="T11289" s="21">
        <f>-$B$10476</f>
        <v/>
      </c>
      <c r="U11289" s="21">
        <f>-$B$10477</f>
        <v/>
      </c>
      <c r="V11289" s="21">
        <f>2*$B$10476+$D$11268</f>
        <v/>
      </c>
      <c r="W11289" s="21">
        <f>0</f>
        <v/>
      </c>
      <c r="X11289" s="21">
        <f>-$B$10476</f>
        <v/>
      </c>
      <c r="Y11289" s="21">
        <f>$B$10477</f>
        <v/>
      </c>
      <c r="Z11289" s="19" t="n"/>
    </row>
    <row r="11290">
      <c r="D11290" s="21" t="n">
        <v>0</v>
      </c>
      <c r="E11290" s="21" t="n">
        <v>0</v>
      </c>
      <c r="F11290" s="21" t="n">
        <v>0</v>
      </c>
      <c r="G11290" s="21" t="n">
        <v>0</v>
      </c>
      <c r="H11290" s="21" t="n">
        <v>0</v>
      </c>
      <c r="I11290" s="21" t="n">
        <v>0</v>
      </c>
      <c r="J11290" s="21" t="n">
        <v>0</v>
      </c>
      <c r="K11290" s="21" t="n">
        <v>0</v>
      </c>
      <c r="L11290" s="21" t="n">
        <v>0</v>
      </c>
      <c r="M11290" s="21" t="n">
        <v>0</v>
      </c>
      <c r="N11290" s="21" t="n">
        <v>0</v>
      </c>
      <c r="O11290" s="21" t="n">
        <v>0</v>
      </c>
      <c r="P11290" s="21" t="n">
        <v>0</v>
      </c>
      <c r="Q11290" s="21" t="n">
        <v>0</v>
      </c>
      <c r="R11290" s="21" t="n">
        <v>0</v>
      </c>
      <c r="S11290" s="21" t="n">
        <v>0</v>
      </c>
      <c r="T11290" s="21">
        <f>$B$10477</f>
        <v/>
      </c>
      <c r="U11290" s="21">
        <f>$B$10479</f>
        <v/>
      </c>
      <c r="V11290" s="21">
        <f>0</f>
        <v/>
      </c>
      <c r="W11290" s="21">
        <f>2*$B$10478</f>
        <v/>
      </c>
      <c r="X11290" s="21">
        <f>-$B$10477</f>
        <v/>
      </c>
      <c r="Y11290" s="21">
        <f>$B$10479</f>
        <v/>
      </c>
      <c r="Z11290" s="19" t="n"/>
    </row>
    <row r="11291">
      <c r="D11291" s="21" t="n">
        <v>0</v>
      </c>
      <c r="E11291" s="21" t="n">
        <v>0</v>
      </c>
      <c r="F11291" s="21" t="n">
        <v>0</v>
      </c>
      <c r="G11291" s="21" t="n">
        <v>0</v>
      </c>
      <c r="H11291" s="21" t="n">
        <v>0</v>
      </c>
      <c r="I11291" s="21" t="n">
        <v>0</v>
      </c>
      <c r="J11291" s="21" t="n">
        <v>0</v>
      </c>
      <c r="K11291" s="21" t="n">
        <v>0</v>
      </c>
      <c r="L11291" s="21" t="n">
        <v>0</v>
      </c>
      <c r="M11291" s="21" t="n">
        <v>0</v>
      </c>
      <c r="N11291" s="21" t="n">
        <v>0</v>
      </c>
      <c r="O11291" s="21" t="n">
        <v>0</v>
      </c>
      <c r="P11291" s="21" t="n">
        <v>0</v>
      </c>
      <c r="Q11291" s="21" t="n">
        <v>0</v>
      </c>
      <c r="R11291" s="21" t="n">
        <v>0</v>
      </c>
      <c r="S11291" s="21" t="n">
        <v>0</v>
      </c>
      <c r="T11291" s="21" t="n">
        <v>0</v>
      </c>
      <c r="U11291" s="21" t="n">
        <v>0</v>
      </c>
      <c r="V11291" s="21">
        <f>-$B$10476</f>
        <v/>
      </c>
      <c r="W11291" s="21">
        <f>-$B$10477</f>
        <v/>
      </c>
      <c r="X11291" s="21">
        <f>$B$10476+$D$11269</f>
        <v/>
      </c>
      <c r="Y11291" s="21">
        <f>-$B$10477</f>
        <v/>
      </c>
      <c r="Z11291" s="19" t="n"/>
    </row>
    <row r="11292">
      <c r="D11292" s="21" t="n">
        <v>0</v>
      </c>
      <c r="E11292" s="21" t="n">
        <v>0</v>
      </c>
      <c r="F11292" s="21" t="n">
        <v>0</v>
      </c>
      <c r="G11292" s="21" t="n">
        <v>0</v>
      </c>
      <c r="H11292" s="21" t="n">
        <v>0</v>
      </c>
      <c r="I11292" s="21" t="n">
        <v>0</v>
      </c>
      <c r="J11292" s="21" t="n">
        <v>0</v>
      </c>
      <c r="K11292" s="21" t="n">
        <v>0</v>
      </c>
      <c r="L11292" s="21" t="n">
        <v>0</v>
      </c>
      <c r="M11292" s="21" t="n">
        <v>0</v>
      </c>
      <c r="N11292" s="21" t="n">
        <v>0</v>
      </c>
      <c r="O11292" s="21" t="n">
        <v>0</v>
      </c>
      <c r="P11292" s="21" t="n">
        <v>0</v>
      </c>
      <c r="Q11292" s="21" t="n">
        <v>0</v>
      </c>
      <c r="R11292" s="21" t="n">
        <v>0</v>
      </c>
      <c r="S11292" s="21" t="n">
        <v>0</v>
      </c>
      <c r="T11292" s="21" t="n">
        <v>0</v>
      </c>
      <c r="U11292" s="21" t="n">
        <v>0</v>
      </c>
      <c r="V11292" s="21">
        <f>$B$10477</f>
        <v/>
      </c>
      <c r="W11292" s="21">
        <f>$B$10479</f>
        <v/>
      </c>
      <c r="X11292" s="21">
        <f>-$B$10477</f>
        <v/>
      </c>
      <c r="Y11292" s="21">
        <f>$B$10478</f>
        <v/>
      </c>
      <c r="Z11292" s="19" t="n"/>
    </row>
    <row r="11294">
      <c r="A11294" s="8" t="inlineStr">
        <is>
          <t>gen 22</t>
        </is>
      </c>
    </row>
    <row r="11295">
      <c r="D11295" s="19">
        <f>IF(ABS(IF(ABS($E$11259)&gt;0.000000001,$E$11259,0.000000001))=0,0,IF($E$10491&lt;=$B$10485,0,IF(ABS(IF(ABS($E$11259)&gt;0.000000001,$E$11259,0.000000001))&gt;=8*$B$10487,$H$10491,0.5*$H$10491*(ABS(IF(ABS($E$11259)&gt;0.000000001,$E$11259,0.000000001))/$B$10487)^(1/3)))/ABS(IF(ABS($E$11259)&gt;0.000000001,$E$11259,0.000000001))*$I$10491)</f>
        <v/>
      </c>
      <c r="E11295" s="19">
        <f>0.5*$E$11259+0.5*$Z$11307</f>
        <v/>
      </c>
      <c r="F11295" s="19">
        <f>$Z$11308</f>
        <v/>
      </c>
    </row>
    <row r="11296">
      <c r="D11296" s="19">
        <f>IF(ABS(IF(ABS($E$11260)&gt;0.000000001,$E$11260,0.000000001))=0,0,IF($E$10492&lt;=$B$10485,0,IF(ABS(IF(ABS($E$11260)&gt;0.000000001,$E$11260,0.000000001))&gt;=8*$B$10487,$H$10492,0.5*$H$10492*(ABS(IF(ABS($E$11260)&gt;0.000000001,$E$11260,0.000000001))/$B$10487)^(1/3)))/ABS(IF(ABS($E$11260)&gt;0.000000001,$E$11260,0.000000001))*$I$10492)</f>
        <v/>
      </c>
      <c r="E11296" s="19">
        <f>0.5*$E$11260+0.5*$Z$11309</f>
        <v/>
      </c>
      <c r="F11296" s="19">
        <f>$Z$11310</f>
        <v/>
      </c>
    </row>
    <row r="11297">
      <c r="D11297" s="19">
        <f>IF(ABS(IF(ABS($E$11261)&gt;0.000000001,$E$11261,0.000000001))=0,0,IF($E$10493&lt;=$B$10485,0,IF(ABS(IF(ABS($E$11261)&gt;0.000000001,$E$11261,0.000000001))&gt;=8*$B$10487,$H$10493,0.5*$H$10493*(ABS(IF(ABS($E$11261)&gt;0.000000001,$E$11261,0.000000001))/$B$10487)^(1/3)))/ABS(IF(ABS($E$11261)&gt;0.000000001,$E$11261,0.000000001))*$I$10493)</f>
        <v/>
      </c>
      <c r="E11297" s="19">
        <f>0.5*$E$11261+0.5*$Z$11311</f>
        <v/>
      </c>
      <c r="F11297" s="19">
        <f>$Z$11312</f>
        <v/>
      </c>
    </row>
    <row r="11298">
      <c r="D11298" s="19">
        <f>IF(ABS(IF(ABS($E$11262)&gt;0.000000001,$E$11262,0.000000001))=0,0,IF($E$10494&lt;=$B$10485,0,IF(ABS(IF(ABS($E$11262)&gt;0.000000001,$E$11262,0.000000001))&gt;=8*$B$10487,$H$10494,0.5*$H$10494*(ABS(IF(ABS($E$11262)&gt;0.000000001,$E$11262,0.000000001))/$B$10487)^(1/3)))/ABS(IF(ABS($E$11262)&gt;0.000000001,$E$11262,0.000000001))*$I$10494)</f>
        <v/>
      </c>
      <c r="E11298" s="19">
        <f>0.5*$E$11262+0.5*$Z$11313</f>
        <v/>
      </c>
      <c r="F11298" s="19">
        <f>$Z$11314</f>
        <v/>
      </c>
    </row>
    <row r="11299">
      <c r="D11299" s="19">
        <f>IF(ABS(IF(ABS($E$11263)&gt;0.000000001,$E$11263,0.000000001))=0,0,IF($E$10495&lt;=$B$10485,0,IF(ABS(IF(ABS($E$11263)&gt;0.000000001,$E$11263,0.000000001))&gt;=8*$B$10487,$H$10495,0.5*$H$10495*(ABS(IF(ABS($E$11263)&gt;0.000000001,$E$11263,0.000000001))/$B$10487)^(1/3)))/ABS(IF(ABS($E$11263)&gt;0.000000001,$E$11263,0.000000001))*$I$10495)</f>
        <v/>
      </c>
      <c r="E11299" s="19">
        <f>0.5*$E$11263+0.5*$Z$11315</f>
        <v/>
      </c>
      <c r="F11299" s="19">
        <f>$Z$11316</f>
        <v/>
      </c>
    </row>
    <row r="11300">
      <c r="D11300" s="19">
        <f>IF(ABS(IF(ABS($E$11264)&gt;0.000000001,$E$11264,0.000000001))=0,0,IF($E$10496&lt;=$B$10485,0,IF(ABS(IF(ABS($E$11264)&gt;0.000000001,$E$11264,0.000000001))&gt;=8*$B$10487,$H$10496,0.5*$H$10496*(ABS(IF(ABS($E$11264)&gt;0.000000001,$E$11264,0.000000001))/$B$10487)^(1/3)))/ABS(IF(ABS($E$11264)&gt;0.000000001,$E$11264,0.000000001))*$I$10496)</f>
        <v/>
      </c>
      <c r="E11300" s="19">
        <f>0.5*$E$11264+0.5*$Z$11317</f>
        <v/>
      </c>
      <c r="F11300" s="19">
        <f>$Z$11318</f>
        <v/>
      </c>
    </row>
    <row r="11301">
      <c r="D11301" s="19">
        <f>IF(ABS(IF(ABS($E$11265)&gt;0.000000001,$E$11265,0.000000001))=0,0,IF($E$10497&lt;=$B$10485,0,IF(ABS(IF(ABS($E$11265)&gt;0.000000001,$E$11265,0.000000001))&gt;=8*$B$10487,$H$10497,0.5*$H$10497*(ABS(IF(ABS($E$11265)&gt;0.000000001,$E$11265,0.000000001))/$B$10487)^(1/3)))/ABS(IF(ABS($E$11265)&gt;0.000000001,$E$11265,0.000000001))*$I$10497)</f>
        <v/>
      </c>
      <c r="E11301" s="19">
        <f>0.5*$E$11265+0.5*$Z$11319</f>
        <v/>
      </c>
      <c r="F11301" s="19">
        <f>$Z$11320</f>
        <v/>
      </c>
    </row>
    <row r="11302">
      <c r="D11302" s="19">
        <f>IF(ABS(IF(ABS($E$11266)&gt;0.000000001,$E$11266,0.000000001))=0,0,IF($E$10498&lt;=$B$10485,0,IF(ABS(IF(ABS($E$11266)&gt;0.000000001,$E$11266,0.000000001))&gt;=8*$B$10487,$H$10498,0.5*$H$10498*(ABS(IF(ABS($E$11266)&gt;0.000000001,$E$11266,0.000000001))/$B$10487)^(1/3)))/ABS(IF(ABS($E$11266)&gt;0.000000001,$E$11266,0.000000001))*$I$10498)</f>
        <v/>
      </c>
      <c r="E11302" s="19">
        <f>0.5*$E$11266+0.5*$Z$11321</f>
        <v/>
      </c>
      <c r="F11302" s="19">
        <f>$Z$11322</f>
        <v/>
      </c>
    </row>
    <row r="11303">
      <c r="D11303" s="19">
        <f>IF(ABS(IF(ABS($E$11267)&gt;0.000000001,$E$11267,0.000000001))=0,0,IF($E$10499&lt;=$B$10485,0,IF(ABS(IF(ABS($E$11267)&gt;0.000000001,$E$11267,0.000000001))&gt;=8*$B$10487,$H$10499,0.5*$H$10499*(ABS(IF(ABS($E$11267)&gt;0.000000001,$E$11267,0.000000001))/$B$10487)^(1/3)))/ABS(IF(ABS($E$11267)&gt;0.000000001,$E$11267,0.000000001))*$I$10499)</f>
        <v/>
      </c>
      <c r="E11303" s="19">
        <f>0.5*$E$11267+0.5*$Z$11323</f>
        <v/>
      </c>
      <c r="F11303" s="19">
        <f>$Z$11324</f>
        <v/>
      </c>
    </row>
    <row r="11304">
      <c r="D11304" s="19">
        <f>IF(ABS(IF(ABS($E$11268)&gt;0.000000001,$E$11268,0.000000001))=0,0,IF($E$10500&lt;=$B$10485,0,IF(ABS(IF(ABS($E$11268)&gt;0.000000001,$E$11268,0.000000001))&gt;=8*$B$10487,$H$10500,0.5*$H$10500*(ABS(IF(ABS($E$11268)&gt;0.000000001,$E$11268,0.000000001))/$B$10487)^(1/3)))/ABS(IF(ABS($E$11268)&gt;0.000000001,$E$11268,0.000000001))*$I$10500)</f>
        <v/>
      </c>
      <c r="E11304" s="19">
        <f>0.5*$E$11268+0.5*$Z$11325</f>
        <v/>
      </c>
      <c r="F11304" s="19">
        <f>$Z$11326</f>
        <v/>
      </c>
    </row>
    <row r="11305">
      <c r="D11305" s="19">
        <f>IF(ABS(IF(ABS($E$11269)&gt;0.000000001,$E$11269,0.000000001))=0,0,IF($E$10501&lt;=$B$10485,0,IF(ABS(IF(ABS($E$11269)&gt;0.000000001,$E$11269,0.000000001))&gt;=8*$B$10487,$H$10501,0.5*$H$10501*(ABS(IF(ABS($E$11269)&gt;0.000000001,$E$11269,0.000000001))/$B$10487)^(1/3)))/ABS(IF(ABS($E$11269)&gt;0.000000001,$E$11269,0.000000001))*$I$10501)</f>
        <v/>
      </c>
      <c r="E11305" s="19">
        <f>0.5*$E$11269+0.5*$Z$11327</f>
        <v/>
      </c>
      <c r="F11305" s="19">
        <f>$Z$11328</f>
        <v/>
      </c>
    </row>
    <row r="11307">
      <c r="D11307" s="21">
        <f>$B$10476+$D$11295</f>
        <v/>
      </c>
      <c r="E11307" s="21">
        <f>$B$10477</f>
        <v/>
      </c>
      <c r="F11307" s="21">
        <f>-$B$10476</f>
        <v/>
      </c>
      <c r="G11307" s="21">
        <f>$B$10477</f>
        <v/>
      </c>
      <c r="H11307" s="21" t="n">
        <v>0</v>
      </c>
      <c r="I11307" s="21" t="n">
        <v>0</v>
      </c>
      <c r="J11307" s="21" t="n">
        <v>0</v>
      </c>
      <c r="K11307" s="21" t="n">
        <v>0</v>
      </c>
      <c r="L11307" s="21" t="n">
        <v>0</v>
      </c>
      <c r="M11307" s="21" t="n">
        <v>0</v>
      </c>
      <c r="N11307" s="21" t="n">
        <v>0</v>
      </c>
      <c r="O11307" s="21" t="n">
        <v>0</v>
      </c>
      <c r="P11307" s="21" t="n">
        <v>0</v>
      </c>
      <c r="Q11307" s="21" t="n">
        <v>0</v>
      </c>
      <c r="R11307" s="21" t="n">
        <v>0</v>
      </c>
      <c r="S11307" s="21" t="n">
        <v>0</v>
      </c>
      <c r="T11307" s="21" t="n">
        <v>0</v>
      </c>
      <c r="U11307" s="21" t="n">
        <v>0</v>
      </c>
      <c r="V11307" s="21" t="n">
        <v>0</v>
      </c>
      <c r="W11307" s="21" t="n">
        <v>0</v>
      </c>
      <c r="X11307" s="21" t="n">
        <v>0</v>
      </c>
      <c r="Y11307" s="21" t="n">
        <v>0</v>
      </c>
      <c r="Z11307" s="19">
        <f t="array" ref="Z11307:Z11328">MMULT(MINVERSE($D$11307:$Y$11328),$D$10503:$D$10524)</f>
        <v/>
      </c>
    </row>
    <row r="11308">
      <c r="D11308" s="21">
        <f>$B$10477</f>
        <v/>
      </c>
      <c r="E11308" s="21">
        <f>$B$10478</f>
        <v/>
      </c>
      <c r="F11308" s="21">
        <f>-$B$10477</f>
        <v/>
      </c>
      <c r="G11308" s="21">
        <f>$B$10479</f>
        <v/>
      </c>
      <c r="H11308" s="21" t="n">
        <v>0</v>
      </c>
      <c r="I11308" s="21" t="n">
        <v>0</v>
      </c>
      <c r="J11308" s="21" t="n">
        <v>0</v>
      </c>
      <c r="K11308" s="21" t="n">
        <v>0</v>
      </c>
      <c r="L11308" s="21" t="n">
        <v>0</v>
      </c>
      <c r="M11308" s="21" t="n">
        <v>0</v>
      </c>
      <c r="N11308" s="21" t="n">
        <v>0</v>
      </c>
      <c r="O11308" s="21" t="n">
        <v>0</v>
      </c>
      <c r="P11308" s="21" t="n">
        <v>0</v>
      </c>
      <c r="Q11308" s="21" t="n">
        <v>0</v>
      </c>
      <c r="R11308" s="21" t="n">
        <v>0</v>
      </c>
      <c r="S11308" s="21" t="n">
        <v>0</v>
      </c>
      <c r="T11308" s="21" t="n">
        <v>0</v>
      </c>
      <c r="U11308" s="21" t="n">
        <v>0</v>
      </c>
      <c r="V11308" s="21" t="n">
        <v>0</v>
      </c>
      <c r="W11308" s="21" t="n">
        <v>0</v>
      </c>
      <c r="X11308" s="21" t="n">
        <v>0</v>
      </c>
      <c r="Y11308" s="21" t="n">
        <v>0</v>
      </c>
      <c r="Z11308" s="19" t="n"/>
    </row>
    <row r="11309">
      <c r="D11309" s="21">
        <f>-$B$10476</f>
        <v/>
      </c>
      <c r="E11309" s="21">
        <f>-$B$10477</f>
        <v/>
      </c>
      <c r="F11309" s="21">
        <f>2*$B$10476+$D$11296</f>
        <v/>
      </c>
      <c r="G11309" s="21">
        <f>0</f>
        <v/>
      </c>
      <c r="H11309" s="21">
        <f>-$B$10476</f>
        <v/>
      </c>
      <c r="I11309" s="21">
        <f>$B$10477</f>
        <v/>
      </c>
      <c r="J11309" s="21" t="n">
        <v>0</v>
      </c>
      <c r="K11309" s="21" t="n">
        <v>0</v>
      </c>
      <c r="L11309" s="21" t="n">
        <v>0</v>
      </c>
      <c r="M11309" s="21" t="n">
        <v>0</v>
      </c>
      <c r="N11309" s="21" t="n">
        <v>0</v>
      </c>
      <c r="O11309" s="21" t="n">
        <v>0</v>
      </c>
      <c r="P11309" s="21" t="n">
        <v>0</v>
      </c>
      <c r="Q11309" s="21" t="n">
        <v>0</v>
      </c>
      <c r="R11309" s="21" t="n">
        <v>0</v>
      </c>
      <c r="S11309" s="21" t="n">
        <v>0</v>
      </c>
      <c r="T11309" s="21" t="n">
        <v>0</v>
      </c>
      <c r="U11309" s="21" t="n">
        <v>0</v>
      </c>
      <c r="V11309" s="21" t="n">
        <v>0</v>
      </c>
      <c r="W11309" s="21" t="n">
        <v>0</v>
      </c>
      <c r="X11309" s="21" t="n">
        <v>0</v>
      </c>
      <c r="Y11309" s="21" t="n">
        <v>0</v>
      </c>
      <c r="Z11309" s="19" t="n"/>
    </row>
    <row r="11310">
      <c r="D11310" s="21">
        <f>$B$10477</f>
        <v/>
      </c>
      <c r="E11310" s="21">
        <f>$B$10479</f>
        <v/>
      </c>
      <c r="F11310" s="21">
        <f>0</f>
        <v/>
      </c>
      <c r="G11310" s="21">
        <f>2*$B$10478</f>
        <v/>
      </c>
      <c r="H11310" s="21">
        <f>-$B$10477</f>
        <v/>
      </c>
      <c r="I11310" s="21">
        <f>$B$10479</f>
        <v/>
      </c>
      <c r="J11310" s="21" t="n">
        <v>0</v>
      </c>
      <c r="K11310" s="21" t="n">
        <v>0</v>
      </c>
      <c r="L11310" s="21" t="n">
        <v>0</v>
      </c>
      <c r="M11310" s="21" t="n">
        <v>0</v>
      </c>
      <c r="N11310" s="21" t="n">
        <v>0</v>
      </c>
      <c r="O11310" s="21" t="n">
        <v>0</v>
      </c>
      <c r="P11310" s="21" t="n">
        <v>0</v>
      </c>
      <c r="Q11310" s="21" t="n">
        <v>0</v>
      </c>
      <c r="R11310" s="21" t="n">
        <v>0</v>
      </c>
      <c r="S11310" s="21" t="n">
        <v>0</v>
      </c>
      <c r="T11310" s="21" t="n">
        <v>0</v>
      </c>
      <c r="U11310" s="21" t="n">
        <v>0</v>
      </c>
      <c r="V11310" s="21" t="n">
        <v>0</v>
      </c>
      <c r="W11310" s="21" t="n">
        <v>0</v>
      </c>
      <c r="X11310" s="21" t="n">
        <v>0</v>
      </c>
      <c r="Y11310" s="21" t="n">
        <v>0</v>
      </c>
      <c r="Z11310" s="19" t="n"/>
    </row>
    <row r="11311">
      <c r="D11311" s="21" t="n">
        <v>0</v>
      </c>
      <c r="E11311" s="21" t="n">
        <v>0</v>
      </c>
      <c r="F11311" s="21">
        <f>-$B$10476</f>
        <v/>
      </c>
      <c r="G11311" s="21">
        <f>-$B$10477</f>
        <v/>
      </c>
      <c r="H11311" s="21">
        <f>2*$B$10476+$D$11297</f>
        <v/>
      </c>
      <c r="I11311" s="21">
        <f>0</f>
        <v/>
      </c>
      <c r="J11311" s="21">
        <f>-$B$10476</f>
        <v/>
      </c>
      <c r="K11311" s="21">
        <f>$B$10477</f>
        <v/>
      </c>
      <c r="L11311" s="21" t="n">
        <v>0</v>
      </c>
      <c r="M11311" s="21" t="n">
        <v>0</v>
      </c>
      <c r="N11311" s="21" t="n">
        <v>0</v>
      </c>
      <c r="O11311" s="21" t="n">
        <v>0</v>
      </c>
      <c r="P11311" s="21" t="n">
        <v>0</v>
      </c>
      <c r="Q11311" s="21" t="n">
        <v>0</v>
      </c>
      <c r="R11311" s="21" t="n">
        <v>0</v>
      </c>
      <c r="S11311" s="21" t="n">
        <v>0</v>
      </c>
      <c r="T11311" s="21" t="n">
        <v>0</v>
      </c>
      <c r="U11311" s="21" t="n">
        <v>0</v>
      </c>
      <c r="V11311" s="21" t="n">
        <v>0</v>
      </c>
      <c r="W11311" s="21" t="n">
        <v>0</v>
      </c>
      <c r="X11311" s="21" t="n">
        <v>0</v>
      </c>
      <c r="Y11311" s="21" t="n">
        <v>0</v>
      </c>
      <c r="Z11311" s="19" t="n"/>
    </row>
    <row r="11312">
      <c r="D11312" s="21" t="n">
        <v>0</v>
      </c>
      <c r="E11312" s="21" t="n">
        <v>0</v>
      </c>
      <c r="F11312" s="21">
        <f>$B$10477</f>
        <v/>
      </c>
      <c r="G11312" s="21">
        <f>$B$10479</f>
        <v/>
      </c>
      <c r="H11312" s="21">
        <f>0</f>
        <v/>
      </c>
      <c r="I11312" s="21">
        <f>2*$B$10478</f>
        <v/>
      </c>
      <c r="J11312" s="21">
        <f>-$B$10477</f>
        <v/>
      </c>
      <c r="K11312" s="21">
        <f>$B$10479</f>
        <v/>
      </c>
      <c r="L11312" s="21" t="n">
        <v>0</v>
      </c>
      <c r="M11312" s="21" t="n">
        <v>0</v>
      </c>
      <c r="N11312" s="21" t="n">
        <v>0</v>
      </c>
      <c r="O11312" s="21" t="n">
        <v>0</v>
      </c>
      <c r="P11312" s="21" t="n">
        <v>0</v>
      </c>
      <c r="Q11312" s="21" t="n">
        <v>0</v>
      </c>
      <c r="R11312" s="21" t="n">
        <v>0</v>
      </c>
      <c r="S11312" s="21" t="n">
        <v>0</v>
      </c>
      <c r="T11312" s="21" t="n">
        <v>0</v>
      </c>
      <c r="U11312" s="21" t="n">
        <v>0</v>
      </c>
      <c r="V11312" s="21" t="n">
        <v>0</v>
      </c>
      <c r="W11312" s="21" t="n">
        <v>0</v>
      </c>
      <c r="X11312" s="21" t="n">
        <v>0</v>
      </c>
      <c r="Y11312" s="21" t="n">
        <v>0</v>
      </c>
      <c r="Z11312" s="19" t="n"/>
    </row>
    <row r="11313">
      <c r="D11313" s="21" t="n">
        <v>0</v>
      </c>
      <c r="E11313" s="21" t="n">
        <v>0</v>
      </c>
      <c r="F11313" s="21" t="n">
        <v>0</v>
      </c>
      <c r="G11313" s="21" t="n">
        <v>0</v>
      </c>
      <c r="H11313" s="21">
        <f>-$B$10476</f>
        <v/>
      </c>
      <c r="I11313" s="21">
        <f>-$B$10477</f>
        <v/>
      </c>
      <c r="J11313" s="21">
        <f>2*$B$10476+$D$11298</f>
        <v/>
      </c>
      <c r="K11313" s="21">
        <f>0</f>
        <v/>
      </c>
      <c r="L11313" s="21">
        <f>-$B$10476</f>
        <v/>
      </c>
      <c r="M11313" s="21">
        <f>$B$10477</f>
        <v/>
      </c>
      <c r="N11313" s="21" t="n">
        <v>0</v>
      </c>
      <c r="O11313" s="21" t="n">
        <v>0</v>
      </c>
      <c r="P11313" s="21" t="n">
        <v>0</v>
      </c>
      <c r="Q11313" s="21" t="n">
        <v>0</v>
      </c>
      <c r="R11313" s="21" t="n">
        <v>0</v>
      </c>
      <c r="S11313" s="21" t="n">
        <v>0</v>
      </c>
      <c r="T11313" s="21" t="n">
        <v>0</v>
      </c>
      <c r="U11313" s="21" t="n">
        <v>0</v>
      </c>
      <c r="V11313" s="21" t="n">
        <v>0</v>
      </c>
      <c r="W11313" s="21" t="n">
        <v>0</v>
      </c>
      <c r="X11313" s="21" t="n">
        <v>0</v>
      </c>
      <c r="Y11313" s="21" t="n">
        <v>0</v>
      </c>
      <c r="Z11313" s="19" t="n"/>
    </row>
    <row r="11314">
      <c r="D11314" s="21" t="n">
        <v>0</v>
      </c>
      <c r="E11314" s="21" t="n">
        <v>0</v>
      </c>
      <c r="F11314" s="21" t="n">
        <v>0</v>
      </c>
      <c r="G11314" s="21" t="n">
        <v>0</v>
      </c>
      <c r="H11314" s="21">
        <f>$B$10477</f>
        <v/>
      </c>
      <c r="I11314" s="21">
        <f>$B$10479</f>
        <v/>
      </c>
      <c r="J11314" s="21">
        <f>0</f>
        <v/>
      </c>
      <c r="K11314" s="21">
        <f>2*$B$10478</f>
        <v/>
      </c>
      <c r="L11314" s="21">
        <f>-$B$10477</f>
        <v/>
      </c>
      <c r="M11314" s="21">
        <f>$B$10479</f>
        <v/>
      </c>
      <c r="N11314" s="21" t="n">
        <v>0</v>
      </c>
      <c r="O11314" s="21" t="n">
        <v>0</v>
      </c>
      <c r="P11314" s="21" t="n">
        <v>0</v>
      </c>
      <c r="Q11314" s="21" t="n">
        <v>0</v>
      </c>
      <c r="R11314" s="21" t="n">
        <v>0</v>
      </c>
      <c r="S11314" s="21" t="n">
        <v>0</v>
      </c>
      <c r="T11314" s="21" t="n">
        <v>0</v>
      </c>
      <c r="U11314" s="21" t="n">
        <v>0</v>
      </c>
      <c r="V11314" s="21" t="n">
        <v>0</v>
      </c>
      <c r="W11314" s="21" t="n">
        <v>0</v>
      </c>
      <c r="X11314" s="21" t="n">
        <v>0</v>
      </c>
      <c r="Y11314" s="21" t="n">
        <v>0</v>
      </c>
      <c r="Z11314" s="19" t="n"/>
    </row>
    <row r="11315">
      <c r="D11315" s="21" t="n">
        <v>0</v>
      </c>
      <c r="E11315" s="21" t="n">
        <v>0</v>
      </c>
      <c r="F11315" s="21" t="n">
        <v>0</v>
      </c>
      <c r="G11315" s="21" t="n">
        <v>0</v>
      </c>
      <c r="H11315" s="21" t="n">
        <v>0</v>
      </c>
      <c r="I11315" s="21" t="n">
        <v>0</v>
      </c>
      <c r="J11315" s="21">
        <f>-$B$10476</f>
        <v/>
      </c>
      <c r="K11315" s="21">
        <f>-$B$10477</f>
        <v/>
      </c>
      <c r="L11315" s="21">
        <f>2*$B$10476+$D$11299</f>
        <v/>
      </c>
      <c r="M11315" s="21">
        <f>0</f>
        <v/>
      </c>
      <c r="N11315" s="21">
        <f>-$B$10476</f>
        <v/>
      </c>
      <c r="O11315" s="21">
        <f>$B$10477</f>
        <v/>
      </c>
      <c r="P11315" s="21" t="n">
        <v>0</v>
      </c>
      <c r="Q11315" s="21" t="n">
        <v>0</v>
      </c>
      <c r="R11315" s="21" t="n">
        <v>0</v>
      </c>
      <c r="S11315" s="21" t="n">
        <v>0</v>
      </c>
      <c r="T11315" s="21" t="n">
        <v>0</v>
      </c>
      <c r="U11315" s="21" t="n">
        <v>0</v>
      </c>
      <c r="V11315" s="21" t="n">
        <v>0</v>
      </c>
      <c r="W11315" s="21" t="n">
        <v>0</v>
      </c>
      <c r="X11315" s="21" t="n">
        <v>0</v>
      </c>
      <c r="Y11315" s="21" t="n">
        <v>0</v>
      </c>
      <c r="Z11315" s="19" t="n"/>
    </row>
    <row r="11316">
      <c r="D11316" s="21" t="n">
        <v>0</v>
      </c>
      <c r="E11316" s="21" t="n">
        <v>0</v>
      </c>
      <c r="F11316" s="21" t="n">
        <v>0</v>
      </c>
      <c r="G11316" s="21" t="n">
        <v>0</v>
      </c>
      <c r="H11316" s="21" t="n">
        <v>0</v>
      </c>
      <c r="I11316" s="21" t="n">
        <v>0</v>
      </c>
      <c r="J11316" s="21">
        <f>$B$10477</f>
        <v/>
      </c>
      <c r="K11316" s="21">
        <f>$B$10479</f>
        <v/>
      </c>
      <c r="L11316" s="21">
        <f>0</f>
        <v/>
      </c>
      <c r="M11316" s="21">
        <f>2*$B$10478</f>
        <v/>
      </c>
      <c r="N11316" s="21">
        <f>-$B$10477</f>
        <v/>
      </c>
      <c r="O11316" s="21">
        <f>$B$10479</f>
        <v/>
      </c>
      <c r="P11316" s="21" t="n">
        <v>0</v>
      </c>
      <c r="Q11316" s="21" t="n">
        <v>0</v>
      </c>
      <c r="R11316" s="21" t="n">
        <v>0</v>
      </c>
      <c r="S11316" s="21" t="n">
        <v>0</v>
      </c>
      <c r="T11316" s="21" t="n">
        <v>0</v>
      </c>
      <c r="U11316" s="21" t="n">
        <v>0</v>
      </c>
      <c r="V11316" s="21" t="n">
        <v>0</v>
      </c>
      <c r="W11316" s="21" t="n">
        <v>0</v>
      </c>
      <c r="X11316" s="21" t="n">
        <v>0</v>
      </c>
      <c r="Y11316" s="21" t="n">
        <v>0</v>
      </c>
      <c r="Z11316" s="19" t="n"/>
    </row>
    <row r="11317">
      <c r="D11317" s="21" t="n">
        <v>0</v>
      </c>
      <c r="E11317" s="21" t="n">
        <v>0</v>
      </c>
      <c r="F11317" s="21" t="n">
        <v>0</v>
      </c>
      <c r="G11317" s="21" t="n">
        <v>0</v>
      </c>
      <c r="H11317" s="21" t="n">
        <v>0</v>
      </c>
      <c r="I11317" s="21" t="n">
        <v>0</v>
      </c>
      <c r="J11317" s="21" t="n">
        <v>0</v>
      </c>
      <c r="K11317" s="21" t="n">
        <v>0</v>
      </c>
      <c r="L11317" s="21">
        <f>-$B$10476</f>
        <v/>
      </c>
      <c r="M11317" s="21">
        <f>-$B$10477</f>
        <v/>
      </c>
      <c r="N11317" s="21">
        <f>2*$B$10476+$D$11300</f>
        <v/>
      </c>
      <c r="O11317" s="21">
        <f>0</f>
        <v/>
      </c>
      <c r="P11317" s="21">
        <f>-$B$10476</f>
        <v/>
      </c>
      <c r="Q11317" s="21">
        <f>$B$10477</f>
        <v/>
      </c>
      <c r="R11317" s="21" t="n">
        <v>0</v>
      </c>
      <c r="S11317" s="21" t="n">
        <v>0</v>
      </c>
      <c r="T11317" s="21" t="n">
        <v>0</v>
      </c>
      <c r="U11317" s="21" t="n">
        <v>0</v>
      </c>
      <c r="V11317" s="21" t="n">
        <v>0</v>
      </c>
      <c r="W11317" s="21" t="n">
        <v>0</v>
      </c>
      <c r="X11317" s="21" t="n">
        <v>0</v>
      </c>
      <c r="Y11317" s="21" t="n">
        <v>0</v>
      </c>
      <c r="Z11317" s="19" t="n"/>
    </row>
    <row r="11318">
      <c r="D11318" s="21" t="n">
        <v>0</v>
      </c>
      <c r="E11318" s="21" t="n">
        <v>0</v>
      </c>
      <c r="F11318" s="21" t="n">
        <v>0</v>
      </c>
      <c r="G11318" s="21" t="n">
        <v>0</v>
      </c>
      <c r="H11318" s="21" t="n">
        <v>0</v>
      </c>
      <c r="I11318" s="21" t="n">
        <v>0</v>
      </c>
      <c r="J11318" s="21" t="n">
        <v>0</v>
      </c>
      <c r="K11318" s="21" t="n">
        <v>0</v>
      </c>
      <c r="L11318" s="21">
        <f>$B$10477</f>
        <v/>
      </c>
      <c r="M11318" s="21">
        <f>$B$10479</f>
        <v/>
      </c>
      <c r="N11318" s="21">
        <f>0</f>
        <v/>
      </c>
      <c r="O11318" s="21">
        <f>2*$B$10478</f>
        <v/>
      </c>
      <c r="P11318" s="21">
        <f>-$B$10477</f>
        <v/>
      </c>
      <c r="Q11318" s="21">
        <f>$B$10479</f>
        <v/>
      </c>
      <c r="R11318" s="21" t="n">
        <v>0</v>
      </c>
      <c r="S11318" s="21" t="n">
        <v>0</v>
      </c>
      <c r="T11318" s="21" t="n">
        <v>0</v>
      </c>
      <c r="U11318" s="21" t="n">
        <v>0</v>
      </c>
      <c r="V11318" s="21" t="n">
        <v>0</v>
      </c>
      <c r="W11318" s="21" t="n">
        <v>0</v>
      </c>
      <c r="X11318" s="21" t="n">
        <v>0</v>
      </c>
      <c r="Y11318" s="21" t="n">
        <v>0</v>
      </c>
      <c r="Z11318" s="19" t="n"/>
    </row>
    <row r="11319">
      <c r="D11319" s="21" t="n">
        <v>0</v>
      </c>
      <c r="E11319" s="21" t="n">
        <v>0</v>
      </c>
      <c r="F11319" s="21" t="n">
        <v>0</v>
      </c>
      <c r="G11319" s="21" t="n">
        <v>0</v>
      </c>
      <c r="H11319" s="21" t="n">
        <v>0</v>
      </c>
      <c r="I11319" s="21" t="n">
        <v>0</v>
      </c>
      <c r="J11319" s="21" t="n">
        <v>0</v>
      </c>
      <c r="K11319" s="21" t="n">
        <v>0</v>
      </c>
      <c r="L11319" s="21" t="n">
        <v>0</v>
      </c>
      <c r="M11319" s="21" t="n">
        <v>0</v>
      </c>
      <c r="N11319" s="21">
        <f>-$B$10476</f>
        <v/>
      </c>
      <c r="O11319" s="21">
        <f>-$B$10477</f>
        <v/>
      </c>
      <c r="P11319" s="21">
        <f>2*$B$10476+$D$11301</f>
        <v/>
      </c>
      <c r="Q11319" s="21">
        <f>0</f>
        <v/>
      </c>
      <c r="R11319" s="21">
        <f>-$B$10476</f>
        <v/>
      </c>
      <c r="S11319" s="21">
        <f>$B$10477</f>
        <v/>
      </c>
      <c r="T11319" s="21" t="n">
        <v>0</v>
      </c>
      <c r="U11319" s="21" t="n">
        <v>0</v>
      </c>
      <c r="V11319" s="21" t="n">
        <v>0</v>
      </c>
      <c r="W11319" s="21" t="n">
        <v>0</v>
      </c>
      <c r="X11319" s="21" t="n">
        <v>0</v>
      </c>
      <c r="Y11319" s="21" t="n">
        <v>0</v>
      </c>
      <c r="Z11319" s="19" t="n"/>
    </row>
    <row r="11320">
      <c r="D11320" s="21" t="n">
        <v>0</v>
      </c>
      <c r="E11320" s="21" t="n">
        <v>0</v>
      </c>
      <c r="F11320" s="21" t="n">
        <v>0</v>
      </c>
      <c r="G11320" s="21" t="n">
        <v>0</v>
      </c>
      <c r="H11320" s="21" t="n">
        <v>0</v>
      </c>
      <c r="I11320" s="21" t="n">
        <v>0</v>
      </c>
      <c r="J11320" s="21" t="n">
        <v>0</v>
      </c>
      <c r="K11320" s="21" t="n">
        <v>0</v>
      </c>
      <c r="L11320" s="21" t="n">
        <v>0</v>
      </c>
      <c r="M11320" s="21" t="n">
        <v>0</v>
      </c>
      <c r="N11320" s="21">
        <f>$B$10477</f>
        <v/>
      </c>
      <c r="O11320" s="21">
        <f>$B$10479</f>
        <v/>
      </c>
      <c r="P11320" s="21">
        <f>0</f>
        <v/>
      </c>
      <c r="Q11320" s="21">
        <f>2*$B$10478</f>
        <v/>
      </c>
      <c r="R11320" s="21">
        <f>-$B$10477</f>
        <v/>
      </c>
      <c r="S11320" s="21">
        <f>$B$10479</f>
        <v/>
      </c>
      <c r="T11320" s="21" t="n">
        <v>0</v>
      </c>
      <c r="U11320" s="21" t="n">
        <v>0</v>
      </c>
      <c r="V11320" s="21" t="n">
        <v>0</v>
      </c>
      <c r="W11320" s="21" t="n">
        <v>0</v>
      </c>
      <c r="X11320" s="21" t="n">
        <v>0</v>
      </c>
      <c r="Y11320" s="21" t="n">
        <v>0</v>
      </c>
      <c r="Z11320" s="19" t="n"/>
    </row>
    <row r="11321">
      <c r="D11321" s="21" t="n">
        <v>0</v>
      </c>
      <c r="E11321" s="21" t="n">
        <v>0</v>
      </c>
      <c r="F11321" s="21" t="n">
        <v>0</v>
      </c>
      <c r="G11321" s="21" t="n">
        <v>0</v>
      </c>
      <c r="H11321" s="21" t="n">
        <v>0</v>
      </c>
      <c r="I11321" s="21" t="n">
        <v>0</v>
      </c>
      <c r="J11321" s="21" t="n">
        <v>0</v>
      </c>
      <c r="K11321" s="21" t="n">
        <v>0</v>
      </c>
      <c r="L11321" s="21" t="n">
        <v>0</v>
      </c>
      <c r="M11321" s="21" t="n">
        <v>0</v>
      </c>
      <c r="N11321" s="21" t="n">
        <v>0</v>
      </c>
      <c r="O11321" s="21" t="n">
        <v>0</v>
      </c>
      <c r="P11321" s="21">
        <f>-$B$10476</f>
        <v/>
      </c>
      <c r="Q11321" s="21">
        <f>-$B$10477</f>
        <v/>
      </c>
      <c r="R11321" s="21">
        <f>2*$B$10476+$D$11302</f>
        <v/>
      </c>
      <c r="S11321" s="21">
        <f>0</f>
        <v/>
      </c>
      <c r="T11321" s="21">
        <f>-$B$10476</f>
        <v/>
      </c>
      <c r="U11321" s="21">
        <f>$B$10477</f>
        <v/>
      </c>
      <c r="V11321" s="21" t="n">
        <v>0</v>
      </c>
      <c r="W11321" s="21" t="n">
        <v>0</v>
      </c>
      <c r="X11321" s="21" t="n">
        <v>0</v>
      </c>
      <c r="Y11321" s="21" t="n">
        <v>0</v>
      </c>
      <c r="Z11321" s="19" t="n"/>
    </row>
    <row r="11322">
      <c r="D11322" s="21" t="n">
        <v>0</v>
      </c>
      <c r="E11322" s="21" t="n">
        <v>0</v>
      </c>
      <c r="F11322" s="21" t="n">
        <v>0</v>
      </c>
      <c r="G11322" s="21" t="n">
        <v>0</v>
      </c>
      <c r="H11322" s="21" t="n">
        <v>0</v>
      </c>
      <c r="I11322" s="21" t="n">
        <v>0</v>
      </c>
      <c r="J11322" s="21" t="n">
        <v>0</v>
      </c>
      <c r="K11322" s="21" t="n">
        <v>0</v>
      </c>
      <c r="L11322" s="21" t="n">
        <v>0</v>
      </c>
      <c r="M11322" s="21" t="n">
        <v>0</v>
      </c>
      <c r="N11322" s="21" t="n">
        <v>0</v>
      </c>
      <c r="O11322" s="21" t="n">
        <v>0</v>
      </c>
      <c r="P11322" s="21">
        <f>$B$10477</f>
        <v/>
      </c>
      <c r="Q11322" s="21">
        <f>$B$10479</f>
        <v/>
      </c>
      <c r="R11322" s="21">
        <f>0</f>
        <v/>
      </c>
      <c r="S11322" s="21">
        <f>2*$B$10478</f>
        <v/>
      </c>
      <c r="T11322" s="21">
        <f>-$B$10477</f>
        <v/>
      </c>
      <c r="U11322" s="21">
        <f>$B$10479</f>
        <v/>
      </c>
      <c r="V11322" s="21" t="n">
        <v>0</v>
      </c>
      <c r="W11322" s="21" t="n">
        <v>0</v>
      </c>
      <c r="X11322" s="21" t="n">
        <v>0</v>
      </c>
      <c r="Y11322" s="21" t="n">
        <v>0</v>
      </c>
      <c r="Z11322" s="19" t="n"/>
    </row>
    <row r="11323">
      <c r="D11323" s="21" t="n">
        <v>0</v>
      </c>
      <c r="E11323" s="21" t="n">
        <v>0</v>
      </c>
      <c r="F11323" s="21" t="n">
        <v>0</v>
      </c>
      <c r="G11323" s="21" t="n">
        <v>0</v>
      </c>
      <c r="H11323" s="21" t="n">
        <v>0</v>
      </c>
      <c r="I11323" s="21" t="n">
        <v>0</v>
      </c>
      <c r="J11323" s="21" t="n">
        <v>0</v>
      </c>
      <c r="K11323" s="21" t="n">
        <v>0</v>
      </c>
      <c r="L11323" s="21" t="n">
        <v>0</v>
      </c>
      <c r="M11323" s="21" t="n">
        <v>0</v>
      </c>
      <c r="N11323" s="21" t="n">
        <v>0</v>
      </c>
      <c r="O11323" s="21" t="n">
        <v>0</v>
      </c>
      <c r="P11323" s="21" t="n">
        <v>0</v>
      </c>
      <c r="Q11323" s="21" t="n">
        <v>0</v>
      </c>
      <c r="R11323" s="21">
        <f>-$B$10476</f>
        <v/>
      </c>
      <c r="S11323" s="21">
        <f>-$B$10477</f>
        <v/>
      </c>
      <c r="T11323" s="21">
        <f>2*$B$10476+$D$11303</f>
        <v/>
      </c>
      <c r="U11323" s="21">
        <f>0</f>
        <v/>
      </c>
      <c r="V11323" s="21">
        <f>-$B$10476</f>
        <v/>
      </c>
      <c r="W11323" s="21">
        <f>$B$10477</f>
        <v/>
      </c>
      <c r="X11323" s="21" t="n">
        <v>0</v>
      </c>
      <c r="Y11323" s="21" t="n">
        <v>0</v>
      </c>
      <c r="Z11323" s="19" t="n"/>
    </row>
    <row r="11324">
      <c r="D11324" s="21" t="n">
        <v>0</v>
      </c>
      <c r="E11324" s="21" t="n">
        <v>0</v>
      </c>
      <c r="F11324" s="21" t="n">
        <v>0</v>
      </c>
      <c r="G11324" s="21" t="n">
        <v>0</v>
      </c>
      <c r="H11324" s="21" t="n">
        <v>0</v>
      </c>
      <c r="I11324" s="21" t="n">
        <v>0</v>
      </c>
      <c r="J11324" s="21" t="n">
        <v>0</v>
      </c>
      <c r="K11324" s="21" t="n">
        <v>0</v>
      </c>
      <c r="L11324" s="21" t="n">
        <v>0</v>
      </c>
      <c r="M11324" s="21" t="n">
        <v>0</v>
      </c>
      <c r="N11324" s="21" t="n">
        <v>0</v>
      </c>
      <c r="O11324" s="21" t="n">
        <v>0</v>
      </c>
      <c r="P11324" s="21" t="n">
        <v>0</v>
      </c>
      <c r="Q11324" s="21" t="n">
        <v>0</v>
      </c>
      <c r="R11324" s="21">
        <f>$B$10477</f>
        <v/>
      </c>
      <c r="S11324" s="21">
        <f>$B$10479</f>
        <v/>
      </c>
      <c r="T11324" s="21">
        <f>0</f>
        <v/>
      </c>
      <c r="U11324" s="21">
        <f>2*$B$10478</f>
        <v/>
      </c>
      <c r="V11324" s="21">
        <f>-$B$10477</f>
        <v/>
      </c>
      <c r="W11324" s="21">
        <f>$B$10479</f>
        <v/>
      </c>
      <c r="X11324" s="21" t="n">
        <v>0</v>
      </c>
      <c r="Y11324" s="21" t="n">
        <v>0</v>
      </c>
      <c r="Z11324" s="19" t="n"/>
    </row>
    <row r="11325">
      <c r="D11325" s="21" t="n">
        <v>0</v>
      </c>
      <c r="E11325" s="21" t="n">
        <v>0</v>
      </c>
      <c r="F11325" s="21" t="n">
        <v>0</v>
      </c>
      <c r="G11325" s="21" t="n">
        <v>0</v>
      </c>
      <c r="H11325" s="21" t="n">
        <v>0</v>
      </c>
      <c r="I11325" s="21" t="n">
        <v>0</v>
      </c>
      <c r="J11325" s="21" t="n">
        <v>0</v>
      </c>
      <c r="K11325" s="21" t="n">
        <v>0</v>
      </c>
      <c r="L11325" s="21" t="n">
        <v>0</v>
      </c>
      <c r="M11325" s="21" t="n">
        <v>0</v>
      </c>
      <c r="N11325" s="21" t="n">
        <v>0</v>
      </c>
      <c r="O11325" s="21" t="n">
        <v>0</v>
      </c>
      <c r="P11325" s="21" t="n">
        <v>0</v>
      </c>
      <c r="Q11325" s="21" t="n">
        <v>0</v>
      </c>
      <c r="R11325" s="21" t="n">
        <v>0</v>
      </c>
      <c r="S11325" s="21" t="n">
        <v>0</v>
      </c>
      <c r="T11325" s="21">
        <f>-$B$10476</f>
        <v/>
      </c>
      <c r="U11325" s="21">
        <f>-$B$10477</f>
        <v/>
      </c>
      <c r="V11325" s="21">
        <f>2*$B$10476+$D$11304</f>
        <v/>
      </c>
      <c r="W11325" s="21">
        <f>0</f>
        <v/>
      </c>
      <c r="X11325" s="21">
        <f>-$B$10476</f>
        <v/>
      </c>
      <c r="Y11325" s="21">
        <f>$B$10477</f>
        <v/>
      </c>
      <c r="Z11325" s="19" t="n"/>
    </row>
    <row r="11326">
      <c r="D11326" s="21" t="n">
        <v>0</v>
      </c>
      <c r="E11326" s="21" t="n">
        <v>0</v>
      </c>
      <c r="F11326" s="21" t="n">
        <v>0</v>
      </c>
      <c r="G11326" s="21" t="n">
        <v>0</v>
      </c>
      <c r="H11326" s="21" t="n">
        <v>0</v>
      </c>
      <c r="I11326" s="21" t="n">
        <v>0</v>
      </c>
      <c r="J11326" s="21" t="n">
        <v>0</v>
      </c>
      <c r="K11326" s="21" t="n">
        <v>0</v>
      </c>
      <c r="L11326" s="21" t="n">
        <v>0</v>
      </c>
      <c r="M11326" s="21" t="n">
        <v>0</v>
      </c>
      <c r="N11326" s="21" t="n">
        <v>0</v>
      </c>
      <c r="O11326" s="21" t="n">
        <v>0</v>
      </c>
      <c r="P11326" s="21" t="n">
        <v>0</v>
      </c>
      <c r="Q11326" s="21" t="n">
        <v>0</v>
      </c>
      <c r="R11326" s="21" t="n">
        <v>0</v>
      </c>
      <c r="S11326" s="21" t="n">
        <v>0</v>
      </c>
      <c r="T11326" s="21">
        <f>$B$10477</f>
        <v/>
      </c>
      <c r="U11326" s="21">
        <f>$B$10479</f>
        <v/>
      </c>
      <c r="V11326" s="21">
        <f>0</f>
        <v/>
      </c>
      <c r="W11326" s="21">
        <f>2*$B$10478</f>
        <v/>
      </c>
      <c r="X11326" s="21">
        <f>-$B$10477</f>
        <v/>
      </c>
      <c r="Y11326" s="21">
        <f>$B$10479</f>
        <v/>
      </c>
      <c r="Z11326" s="19" t="n"/>
    </row>
    <row r="11327">
      <c r="D11327" s="21" t="n">
        <v>0</v>
      </c>
      <c r="E11327" s="21" t="n">
        <v>0</v>
      </c>
      <c r="F11327" s="21" t="n">
        <v>0</v>
      </c>
      <c r="G11327" s="21" t="n">
        <v>0</v>
      </c>
      <c r="H11327" s="21" t="n">
        <v>0</v>
      </c>
      <c r="I11327" s="21" t="n">
        <v>0</v>
      </c>
      <c r="J11327" s="21" t="n">
        <v>0</v>
      </c>
      <c r="K11327" s="21" t="n">
        <v>0</v>
      </c>
      <c r="L11327" s="21" t="n">
        <v>0</v>
      </c>
      <c r="M11327" s="21" t="n">
        <v>0</v>
      </c>
      <c r="N11327" s="21" t="n">
        <v>0</v>
      </c>
      <c r="O11327" s="21" t="n">
        <v>0</v>
      </c>
      <c r="P11327" s="21" t="n">
        <v>0</v>
      </c>
      <c r="Q11327" s="21" t="n">
        <v>0</v>
      </c>
      <c r="R11327" s="21" t="n">
        <v>0</v>
      </c>
      <c r="S11327" s="21" t="n">
        <v>0</v>
      </c>
      <c r="T11327" s="21" t="n">
        <v>0</v>
      </c>
      <c r="U11327" s="21" t="n">
        <v>0</v>
      </c>
      <c r="V11327" s="21">
        <f>-$B$10476</f>
        <v/>
      </c>
      <c r="W11327" s="21">
        <f>-$B$10477</f>
        <v/>
      </c>
      <c r="X11327" s="21">
        <f>$B$10476+$D$11305</f>
        <v/>
      </c>
      <c r="Y11327" s="21">
        <f>-$B$10477</f>
        <v/>
      </c>
      <c r="Z11327" s="19" t="n"/>
    </row>
    <row r="11328">
      <c r="D11328" s="21" t="n">
        <v>0</v>
      </c>
      <c r="E11328" s="21" t="n">
        <v>0</v>
      </c>
      <c r="F11328" s="21" t="n">
        <v>0</v>
      </c>
      <c r="G11328" s="21" t="n">
        <v>0</v>
      </c>
      <c r="H11328" s="21" t="n">
        <v>0</v>
      </c>
      <c r="I11328" s="21" t="n">
        <v>0</v>
      </c>
      <c r="J11328" s="21" t="n">
        <v>0</v>
      </c>
      <c r="K11328" s="21" t="n">
        <v>0</v>
      </c>
      <c r="L11328" s="21" t="n">
        <v>0</v>
      </c>
      <c r="M11328" s="21" t="n">
        <v>0</v>
      </c>
      <c r="N11328" s="21" t="n">
        <v>0</v>
      </c>
      <c r="O11328" s="21" t="n">
        <v>0</v>
      </c>
      <c r="P11328" s="21" t="n">
        <v>0</v>
      </c>
      <c r="Q11328" s="21" t="n">
        <v>0</v>
      </c>
      <c r="R11328" s="21" t="n">
        <v>0</v>
      </c>
      <c r="S11328" s="21" t="n">
        <v>0</v>
      </c>
      <c r="T11328" s="21" t="n">
        <v>0</v>
      </c>
      <c r="U11328" s="21" t="n">
        <v>0</v>
      </c>
      <c r="V11328" s="21">
        <f>$B$10477</f>
        <v/>
      </c>
      <c r="W11328" s="21">
        <f>$B$10479</f>
        <v/>
      </c>
      <c r="X11328" s="21">
        <f>-$B$10477</f>
        <v/>
      </c>
      <c r="Y11328" s="21">
        <f>$B$10478</f>
        <v/>
      </c>
      <c r="Z11328" s="19" t="n"/>
    </row>
    <row r="11330">
      <c r="A11330" s="8" t="inlineStr">
        <is>
          <t>gen 23</t>
        </is>
      </c>
    </row>
    <row r="11331">
      <c r="D11331" s="19">
        <f>IF(ABS(IF(ABS($E$11295)&gt;0.000000001,$E$11295,0.000000001))=0,0,IF($E$10491&lt;=$B$10485,0,IF(ABS(IF(ABS($E$11295)&gt;0.000000001,$E$11295,0.000000001))&gt;=8*$B$10487,$H$10491,0.5*$H$10491*(ABS(IF(ABS($E$11295)&gt;0.000000001,$E$11295,0.000000001))/$B$10487)^(1/3)))/ABS(IF(ABS($E$11295)&gt;0.000000001,$E$11295,0.000000001))*$I$10491)</f>
        <v/>
      </c>
      <c r="E11331" s="19">
        <f>0.5*$E$11295+0.5*$Z$11343</f>
        <v/>
      </c>
      <c r="F11331" s="19">
        <f>$Z$11344</f>
        <v/>
      </c>
    </row>
    <row r="11332">
      <c r="D11332" s="19">
        <f>IF(ABS(IF(ABS($E$11296)&gt;0.000000001,$E$11296,0.000000001))=0,0,IF($E$10492&lt;=$B$10485,0,IF(ABS(IF(ABS($E$11296)&gt;0.000000001,$E$11296,0.000000001))&gt;=8*$B$10487,$H$10492,0.5*$H$10492*(ABS(IF(ABS($E$11296)&gt;0.000000001,$E$11296,0.000000001))/$B$10487)^(1/3)))/ABS(IF(ABS($E$11296)&gt;0.000000001,$E$11296,0.000000001))*$I$10492)</f>
        <v/>
      </c>
      <c r="E11332" s="19">
        <f>0.5*$E$11296+0.5*$Z$11345</f>
        <v/>
      </c>
      <c r="F11332" s="19">
        <f>$Z$11346</f>
        <v/>
      </c>
    </row>
    <row r="11333">
      <c r="D11333" s="19">
        <f>IF(ABS(IF(ABS($E$11297)&gt;0.000000001,$E$11297,0.000000001))=0,0,IF($E$10493&lt;=$B$10485,0,IF(ABS(IF(ABS($E$11297)&gt;0.000000001,$E$11297,0.000000001))&gt;=8*$B$10487,$H$10493,0.5*$H$10493*(ABS(IF(ABS($E$11297)&gt;0.000000001,$E$11297,0.000000001))/$B$10487)^(1/3)))/ABS(IF(ABS($E$11297)&gt;0.000000001,$E$11297,0.000000001))*$I$10493)</f>
        <v/>
      </c>
      <c r="E11333" s="19">
        <f>0.5*$E$11297+0.5*$Z$11347</f>
        <v/>
      </c>
      <c r="F11333" s="19">
        <f>$Z$11348</f>
        <v/>
      </c>
    </row>
    <row r="11334">
      <c r="D11334" s="19">
        <f>IF(ABS(IF(ABS($E$11298)&gt;0.000000001,$E$11298,0.000000001))=0,0,IF($E$10494&lt;=$B$10485,0,IF(ABS(IF(ABS($E$11298)&gt;0.000000001,$E$11298,0.000000001))&gt;=8*$B$10487,$H$10494,0.5*$H$10494*(ABS(IF(ABS($E$11298)&gt;0.000000001,$E$11298,0.000000001))/$B$10487)^(1/3)))/ABS(IF(ABS($E$11298)&gt;0.000000001,$E$11298,0.000000001))*$I$10494)</f>
        <v/>
      </c>
      <c r="E11334" s="19">
        <f>0.5*$E$11298+0.5*$Z$11349</f>
        <v/>
      </c>
      <c r="F11334" s="19">
        <f>$Z$11350</f>
        <v/>
      </c>
    </row>
    <row r="11335">
      <c r="D11335" s="19">
        <f>IF(ABS(IF(ABS($E$11299)&gt;0.000000001,$E$11299,0.000000001))=0,0,IF($E$10495&lt;=$B$10485,0,IF(ABS(IF(ABS($E$11299)&gt;0.000000001,$E$11299,0.000000001))&gt;=8*$B$10487,$H$10495,0.5*$H$10495*(ABS(IF(ABS($E$11299)&gt;0.000000001,$E$11299,0.000000001))/$B$10487)^(1/3)))/ABS(IF(ABS($E$11299)&gt;0.000000001,$E$11299,0.000000001))*$I$10495)</f>
        <v/>
      </c>
      <c r="E11335" s="19">
        <f>0.5*$E$11299+0.5*$Z$11351</f>
        <v/>
      </c>
      <c r="F11335" s="19">
        <f>$Z$11352</f>
        <v/>
      </c>
    </row>
    <row r="11336">
      <c r="D11336" s="19">
        <f>IF(ABS(IF(ABS($E$11300)&gt;0.000000001,$E$11300,0.000000001))=0,0,IF($E$10496&lt;=$B$10485,0,IF(ABS(IF(ABS($E$11300)&gt;0.000000001,$E$11300,0.000000001))&gt;=8*$B$10487,$H$10496,0.5*$H$10496*(ABS(IF(ABS($E$11300)&gt;0.000000001,$E$11300,0.000000001))/$B$10487)^(1/3)))/ABS(IF(ABS($E$11300)&gt;0.000000001,$E$11300,0.000000001))*$I$10496)</f>
        <v/>
      </c>
      <c r="E11336" s="19">
        <f>0.5*$E$11300+0.5*$Z$11353</f>
        <v/>
      </c>
      <c r="F11336" s="19">
        <f>$Z$11354</f>
        <v/>
      </c>
    </row>
    <row r="11337">
      <c r="D11337" s="19">
        <f>IF(ABS(IF(ABS($E$11301)&gt;0.000000001,$E$11301,0.000000001))=0,0,IF($E$10497&lt;=$B$10485,0,IF(ABS(IF(ABS($E$11301)&gt;0.000000001,$E$11301,0.000000001))&gt;=8*$B$10487,$H$10497,0.5*$H$10497*(ABS(IF(ABS($E$11301)&gt;0.000000001,$E$11301,0.000000001))/$B$10487)^(1/3)))/ABS(IF(ABS($E$11301)&gt;0.000000001,$E$11301,0.000000001))*$I$10497)</f>
        <v/>
      </c>
      <c r="E11337" s="19">
        <f>0.5*$E$11301+0.5*$Z$11355</f>
        <v/>
      </c>
      <c r="F11337" s="19">
        <f>$Z$11356</f>
        <v/>
      </c>
    </row>
    <row r="11338">
      <c r="D11338" s="19">
        <f>IF(ABS(IF(ABS($E$11302)&gt;0.000000001,$E$11302,0.000000001))=0,0,IF($E$10498&lt;=$B$10485,0,IF(ABS(IF(ABS($E$11302)&gt;0.000000001,$E$11302,0.000000001))&gt;=8*$B$10487,$H$10498,0.5*$H$10498*(ABS(IF(ABS($E$11302)&gt;0.000000001,$E$11302,0.000000001))/$B$10487)^(1/3)))/ABS(IF(ABS($E$11302)&gt;0.000000001,$E$11302,0.000000001))*$I$10498)</f>
        <v/>
      </c>
      <c r="E11338" s="19">
        <f>0.5*$E$11302+0.5*$Z$11357</f>
        <v/>
      </c>
      <c r="F11338" s="19">
        <f>$Z$11358</f>
        <v/>
      </c>
    </row>
    <row r="11339">
      <c r="D11339" s="19">
        <f>IF(ABS(IF(ABS($E$11303)&gt;0.000000001,$E$11303,0.000000001))=0,0,IF($E$10499&lt;=$B$10485,0,IF(ABS(IF(ABS($E$11303)&gt;0.000000001,$E$11303,0.000000001))&gt;=8*$B$10487,$H$10499,0.5*$H$10499*(ABS(IF(ABS($E$11303)&gt;0.000000001,$E$11303,0.000000001))/$B$10487)^(1/3)))/ABS(IF(ABS($E$11303)&gt;0.000000001,$E$11303,0.000000001))*$I$10499)</f>
        <v/>
      </c>
      <c r="E11339" s="19">
        <f>0.5*$E$11303+0.5*$Z$11359</f>
        <v/>
      </c>
      <c r="F11339" s="19">
        <f>$Z$11360</f>
        <v/>
      </c>
    </row>
    <row r="11340">
      <c r="D11340" s="19">
        <f>IF(ABS(IF(ABS($E$11304)&gt;0.000000001,$E$11304,0.000000001))=0,0,IF($E$10500&lt;=$B$10485,0,IF(ABS(IF(ABS($E$11304)&gt;0.000000001,$E$11304,0.000000001))&gt;=8*$B$10487,$H$10500,0.5*$H$10500*(ABS(IF(ABS($E$11304)&gt;0.000000001,$E$11304,0.000000001))/$B$10487)^(1/3)))/ABS(IF(ABS($E$11304)&gt;0.000000001,$E$11304,0.000000001))*$I$10500)</f>
        <v/>
      </c>
      <c r="E11340" s="19">
        <f>0.5*$E$11304+0.5*$Z$11361</f>
        <v/>
      </c>
      <c r="F11340" s="19">
        <f>$Z$11362</f>
        <v/>
      </c>
    </row>
    <row r="11341">
      <c r="D11341" s="19">
        <f>IF(ABS(IF(ABS($E$11305)&gt;0.000000001,$E$11305,0.000000001))=0,0,IF($E$10501&lt;=$B$10485,0,IF(ABS(IF(ABS($E$11305)&gt;0.000000001,$E$11305,0.000000001))&gt;=8*$B$10487,$H$10501,0.5*$H$10501*(ABS(IF(ABS($E$11305)&gt;0.000000001,$E$11305,0.000000001))/$B$10487)^(1/3)))/ABS(IF(ABS($E$11305)&gt;0.000000001,$E$11305,0.000000001))*$I$10501)</f>
        <v/>
      </c>
      <c r="E11341" s="19">
        <f>0.5*$E$11305+0.5*$Z$11363</f>
        <v/>
      </c>
      <c r="F11341" s="19">
        <f>$Z$11364</f>
        <v/>
      </c>
    </row>
    <row r="11343">
      <c r="D11343" s="21">
        <f>$B$10476+$D$11331</f>
        <v/>
      </c>
      <c r="E11343" s="21">
        <f>$B$10477</f>
        <v/>
      </c>
      <c r="F11343" s="21">
        <f>-$B$10476</f>
        <v/>
      </c>
      <c r="G11343" s="21">
        <f>$B$10477</f>
        <v/>
      </c>
      <c r="H11343" s="21" t="n">
        <v>0</v>
      </c>
      <c r="I11343" s="21" t="n">
        <v>0</v>
      </c>
      <c r="J11343" s="21" t="n">
        <v>0</v>
      </c>
      <c r="K11343" s="21" t="n">
        <v>0</v>
      </c>
      <c r="L11343" s="21" t="n">
        <v>0</v>
      </c>
      <c r="M11343" s="21" t="n">
        <v>0</v>
      </c>
      <c r="N11343" s="21" t="n">
        <v>0</v>
      </c>
      <c r="O11343" s="21" t="n">
        <v>0</v>
      </c>
      <c r="P11343" s="21" t="n">
        <v>0</v>
      </c>
      <c r="Q11343" s="21" t="n">
        <v>0</v>
      </c>
      <c r="R11343" s="21" t="n">
        <v>0</v>
      </c>
      <c r="S11343" s="21" t="n">
        <v>0</v>
      </c>
      <c r="T11343" s="21" t="n">
        <v>0</v>
      </c>
      <c r="U11343" s="21" t="n">
        <v>0</v>
      </c>
      <c r="V11343" s="21" t="n">
        <v>0</v>
      </c>
      <c r="W11343" s="21" t="n">
        <v>0</v>
      </c>
      <c r="X11343" s="21" t="n">
        <v>0</v>
      </c>
      <c r="Y11343" s="21" t="n">
        <v>0</v>
      </c>
      <c r="Z11343" s="19">
        <f t="array" ref="Z11343:Z11364">MMULT(MINVERSE($D$11343:$Y$11364),$D$10503:$D$10524)</f>
        <v/>
      </c>
    </row>
    <row r="11344">
      <c r="D11344" s="21">
        <f>$B$10477</f>
        <v/>
      </c>
      <c r="E11344" s="21">
        <f>$B$10478</f>
        <v/>
      </c>
      <c r="F11344" s="21">
        <f>-$B$10477</f>
        <v/>
      </c>
      <c r="G11344" s="21">
        <f>$B$10479</f>
        <v/>
      </c>
      <c r="H11344" s="21" t="n">
        <v>0</v>
      </c>
      <c r="I11344" s="21" t="n">
        <v>0</v>
      </c>
      <c r="J11344" s="21" t="n">
        <v>0</v>
      </c>
      <c r="K11344" s="21" t="n">
        <v>0</v>
      </c>
      <c r="L11344" s="21" t="n">
        <v>0</v>
      </c>
      <c r="M11344" s="21" t="n">
        <v>0</v>
      </c>
      <c r="N11344" s="21" t="n">
        <v>0</v>
      </c>
      <c r="O11344" s="21" t="n">
        <v>0</v>
      </c>
      <c r="P11344" s="21" t="n">
        <v>0</v>
      </c>
      <c r="Q11344" s="21" t="n">
        <v>0</v>
      </c>
      <c r="R11344" s="21" t="n">
        <v>0</v>
      </c>
      <c r="S11344" s="21" t="n">
        <v>0</v>
      </c>
      <c r="T11344" s="21" t="n">
        <v>0</v>
      </c>
      <c r="U11344" s="21" t="n">
        <v>0</v>
      </c>
      <c r="V11344" s="21" t="n">
        <v>0</v>
      </c>
      <c r="W11344" s="21" t="n">
        <v>0</v>
      </c>
      <c r="X11344" s="21" t="n">
        <v>0</v>
      </c>
      <c r="Y11344" s="21" t="n">
        <v>0</v>
      </c>
      <c r="Z11344" s="19" t="n"/>
    </row>
    <row r="11345">
      <c r="D11345" s="21">
        <f>-$B$10476</f>
        <v/>
      </c>
      <c r="E11345" s="21">
        <f>-$B$10477</f>
        <v/>
      </c>
      <c r="F11345" s="21">
        <f>2*$B$10476+$D$11332</f>
        <v/>
      </c>
      <c r="G11345" s="21">
        <f>0</f>
        <v/>
      </c>
      <c r="H11345" s="21">
        <f>-$B$10476</f>
        <v/>
      </c>
      <c r="I11345" s="21">
        <f>$B$10477</f>
        <v/>
      </c>
      <c r="J11345" s="21" t="n">
        <v>0</v>
      </c>
      <c r="K11345" s="21" t="n">
        <v>0</v>
      </c>
      <c r="L11345" s="21" t="n">
        <v>0</v>
      </c>
      <c r="M11345" s="21" t="n">
        <v>0</v>
      </c>
      <c r="N11345" s="21" t="n">
        <v>0</v>
      </c>
      <c r="O11345" s="21" t="n">
        <v>0</v>
      </c>
      <c r="P11345" s="21" t="n">
        <v>0</v>
      </c>
      <c r="Q11345" s="21" t="n">
        <v>0</v>
      </c>
      <c r="R11345" s="21" t="n">
        <v>0</v>
      </c>
      <c r="S11345" s="21" t="n">
        <v>0</v>
      </c>
      <c r="T11345" s="21" t="n">
        <v>0</v>
      </c>
      <c r="U11345" s="21" t="n">
        <v>0</v>
      </c>
      <c r="V11345" s="21" t="n">
        <v>0</v>
      </c>
      <c r="W11345" s="21" t="n">
        <v>0</v>
      </c>
      <c r="X11345" s="21" t="n">
        <v>0</v>
      </c>
      <c r="Y11345" s="21" t="n">
        <v>0</v>
      </c>
      <c r="Z11345" s="19" t="n"/>
    </row>
    <row r="11346">
      <c r="D11346" s="21">
        <f>$B$10477</f>
        <v/>
      </c>
      <c r="E11346" s="21">
        <f>$B$10479</f>
        <v/>
      </c>
      <c r="F11346" s="21">
        <f>0</f>
        <v/>
      </c>
      <c r="G11346" s="21">
        <f>2*$B$10478</f>
        <v/>
      </c>
      <c r="H11346" s="21">
        <f>-$B$10477</f>
        <v/>
      </c>
      <c r="I11346" s="21">
        <f>$B$10479</f>
        <v/>
      </c>
      <c r="J11346" s="21" t="n">
        <v>0</v>
      </c>
      <c r="K11346" s="21" t="n">
        <v>0</v>
      </c>
      <c r="L11346" s="21" t="n">
        <v>0</v>
      </c>
      <c r="M11346" s="21" t="n">
        <v>0</v>
      </c>
      <c r="N11346" s="21" t="n">
        <v>0</v>
      </c>
      <c r="O11346" s="21" t="n">
        <v>0</v>
      </c>
      <c r="P11346" s="21" t="n">
        <v>0</v>
      </c>
      <c r="Q11346" s="21" t="n">
        <v>0</v>
      </c>
      <c r="R11346" s="21" t="n">
        <v>0</v>
      </c>
      <c r="S11346" s="21" t="n">
        <v>0</v>
      </c>
      <c r="T11346" s="21" t="n">
        <v>0</v>
      </c>
      <c r="U11346" s="21" t="n">
        <v>0</v>
      </c>
      <c r="V11346" s="21" t="n">
        <v>0</v>
      </c>
      <c r="W11346" s="21" t="n">
        <v>0</v>
      </c>
      <c r="X11346" s="21" t="n">
        <v>0</v>
      </c>
      <c r="Y11346" s="21" t="n">
        <v>0</v>
      </c>
      <c r="Z11346" s="19" t="n"/>
    </row>
    <row r="11347">
      <c r="D11347" s="21" t="n">
        <v>0</v>
      </c>
      <c r="E11347" s="21" t="n">
        <v>0</v>
      </c>
      <c r="F11347" s="21">
        <f>-$B$10476</f>
        <v/>
      </c>
      <c r="G11347" s="21">
        <f>-$B$10477</f>
        <v/>
      </c>
      <c r="H11347" s="21">
        <f>2*$B$10476+$D$11333</f>
        <v/>
      </c>
      <c r="I11347" s="21">
        <f>0</f>
        <v/>
      </c>
      <c r="J11347" s="21">
        <f>-$B$10476</f>
        <v/>
      </c>
      <c r="K11347" s="21">
        <f>$B$10477</f>
        <v/>
      </c>
      <c r="L11347" s="21" t="n">
        <v>0</v>
      </c>
      <c r="M11347" s="21" t="n">
        <v>0</v>
      </c>
      <c r="N11347" s="21" t="n">
        <v>0</v>
      </c>
      <c r="O11347" s="21" t="n">
        <v>0</v>
      </c>
      <c r="P11347" s="21" t="n">
        <v>0</v>
      </c>
      <c r="Q11347" s="21" t="n">
        <v>0</v>
      </c>
      <c r="R11347" s="21" t="n">
        <v>0</v>
      </c>
      <c r="S11347" s="21" t="n">
        <v>0</v>
      </c>
      <c r="T11347" s="21" t="n">
        <v>0</v>
      </c>
      <c r="U11347" s="21" t="n">
        <v>0</v>
      </c>
      <c r="V11347" s="21" t="n">
        <v>0</v>
      </c>
      <c r="W11347" s="21" t="n">
        <v>0</v>
      </c>
      <c r="X11347" s="21" t="n">
        <v>0</v>
      </c>
      <c r="Y11347" s="21" t="n">
        <v>0</v>
      </c>
      <c r="Z11347" s="19" t="n"/>
    </row>
    <row r="11348">
      <c r="D11348" s="21" t="n">
        <v>0</v>
      </c>
      <c r="E11348" s="21" t="n">
        <v>0</v>
      </c>
      <c r="F11348" s="21">
        <f>$B$10477</f>
        <v/>
      </c>
      <c r="G11348" s="21">
        <f>$B$10479</f>
        <v/>
      </c>
      <c r="H11348" s="21">
        <f>0</f>
        <v/>
      </c>
      <c r="I11348" s="21">
        <f>2*$B$10478</f>
        <v/>
      </c>
      <c r="J11348" s="21">
        <f>-$B$10477</f>
        <v/>
      </c>
      <c r="K11348" s="21">
        <f>$B$10479</f>
        <v/>
      </c>
      <c r="L11348" s="21" t="n">
        <v>0</v>
      </c>
      <c r="M11348" s="21" t="n">
        <v>0</v>
      </c>
      <c r="N11348" s="21" t="n">
        <v>0</v>
      </c>
      <c r="O11348" s="21" t="n">
        <v>0</v>
      </c>
      <c r="P11348" s="21" t="n">
        <v>0</v>
      </c>
      <c r="Q11348" s="21" t="n">
        <v>0</v>
      </c>
      <c r="R11348" s="21" t="n">
        <v>0</v>
      </c>
      <c r="S11348" s="21" t="n">
        <v>0</v>
      </c>
      <c r="T11348" s="21" t="n">
        <v>0</v>
      </c>
      <c r="U11348" s="21" t="n">
        <v>0</v>
      </c>
      <c r="V11348" s="21" t="n">
        <v>0</v>
      </c>
      <c r="W11348" s="21" t="n">
        <v>0</v>
      </c>
      <c r="X11348" s="21" t="n">
        <v>0</v>
      </c>
      <c r="Y11348" s="21" t="n">
        <v>0</v>
      </c>
      <c r="Z11348" s="19" t="n"/>
    </row>
    <row r="11349">
      <c r="D11349" s="21" t="n">
        <v>0</v>
      </c>
      <c r="E11349" s="21" t="n">
        <v>0</v>
      </c>
      <c r="F11349" s="21" t="n">
        <v>0</v>
      </c>
      <c r="G11349" s="21" t="n">
        <v>0</v>
      </c>
      <c r="H11349" s="21">
        <f>-$B$10476</f>
        <v/>
      </c>
      <c r="I11349" s="21">
        <f>-$B$10477</f>
        <v/>
      </c>
      <c r="J11349" s="21">
        <f>2*$B$10476+$D$11334</f>
        <v/>
      </c>
      <c r="K11349" s="21">
        <f>0</f>
        <v/>
      </c>
      <c r="L11349" s="21">
        <f>-$B$10476</f>
        <v/>
      </c>
      <c r="M11349" s="21">
        <f>$B$10477</f>
        <v/>
      </c>
      <c r="N11349" s="21" t="n">
        <v>0</v>
      </c>
      <c r="O11349" s="21" t="n">
        <v>0</v>
      </c>
      <c r="P11349" s="21" t="n">
        <v>0</v>
      </c>
      <c r="Q11349" s="21" t="n">
        <v>0</v>
      </c>
      <c r="R11349" s="21" t="n">
        <v>0</v>
      </c>
      <c r="S11349" s="21" t="n">
        <v>0</v>
      </c>
      <c r="T11349" s="21" t="n">
        <v>0</v>
      </c>
      <c r="U11349" s="21" t="n">
        <v>0</v>
      </c>
      <c r="V11349" s="21" t="n">
        <v>0</v>
      </c>
      <c r="W11349" s="21" t="n">
        <v>0</v>
      </c>
      <c r="X11349" s="21" t="n">
        <v>0</v>
      </c>
      <c r="Y11349" s="21" t="n">
        <v>0</v>
      </c>
      <c r="Z11349" s="19" t="n"/>
    </row>
    <row r="11350">
      <c r="D11350" s="21" t="n">
        <v>0</v>
      </c>
      <c r="E11350" s="21" t="n">
        <v>0</v>
      </c>
      <c r="F11350" s="21" t="n">
        <v>0</v>
      </c>
      <c r="G11350" s="21" t="n">
        <v>0</v>
      </c>
      <c r="H11350" s="21">
        <f>$B$10477</f>
        <v/>
      </c>
      <c r="I11350" s="21">
        <f>$B$10479</f>
        <v/>
      </c>
      <c r="J11350" s="21">
        <f>0</f>
        <v/>
      </c>
      <c r="K11350" s="21">
        <f>2*$B$10478</f>
        <v/>
      </c>
      <c r="L11350" s="21">
        <f>-$B$10477</f>
        <v/>
      </c>
      <c r="M11350" s="21">
        <f>$B$10479</f>
        <v/>
      </c>
      <c r="N11350" s="21" t="n">
        <v>0</v>
      </c>
      <c r="O11350" s="21" t="n">
        <v>0</v>
      </c>
      <c r="P11350" s="21" t="n">
        <v>0</v>
      </c>
      <c r="Q11350" s="21" t="n">
        <v>0</v>
      </c>
      <c r="R11350" s="21" t="n">
        <v>0</v>
      </c>
      <c r="S11350" s="21" t="n">
        <v>0</v>
      </c>
      <c r="T11350" s="21" t="n">
        <v>0</v>
      </c>
      <c r="U11350" s="21" t="n">
        <v>0</v>
      </c>
      <c r="V11350" s="21" t="n">
        <v>0</v>
      </c>
      <c r="W11350" s="21" t="n">
        <v>0</v>
      </c>
      <c r="X11350" s="21" t="n">
        <v>0</v>
      </c>
      <c r="Y11350" s="21" t="n">
        <v>0</v>
      </c>
      <c r="Z11350" s="19" t="n"/>
    </row>
    <row r="11351">
      <c r="D11351" s="21" t="n">
        <v>0</v>
      </c>
      <c r="E11351" s="21" t="n">
        <v>0</v>
      </c>
      <c r="F11351" s="21" t="n">
        <v>0</v>
      </c>
      <c r="G11351" s="21" t="n">
        <v>0</v>
      </c>
      <c r="H11351" s="21" t="n">
        <v>0</v>
      </c>
      <c r="I11351" s="21" t="n">
        <v>0</v>
      </c>
      <c r="J11351" s="21">
        <f>-$B$10476</f>
        <v/>
      </c>
      <c r="K11351" s="21">
        <f>-$B$10477</f>
        <v/>
      </c>
      <c r="L11351" s="21">
        <f>2*$B$10476+$D$11335</f>
        <v/>
      </c>
      <c r="M11351" s="21">
        <f>0</f>
        <v/>
      </c>
      <c r="N11351" s="21">
        <f>-$B$10476</f>
        <v/>
      </c>
      <c r="O11351" s="21">
        <f>$B$10477</f>
        <v/>
      </c>
      <c r="P11351" s="21" t="n">
        <v>0</v>
      </c>
      <c r="Q11351" s="21" t="n">
        <v>0</v>
      </c>
      <c r="R11351" s="21" t="n">
        <v>0</v>
      </c>
      <c r="S11351" s="21" t="n">
        <v>0</v>
      </c>
      <c r="T11351" s="21" t="n">
        <v>0</v>
      </c>
      <c r="U11351" s="21" t="n">
        <v>0</v>
      </c>
      <c r="V11351" s="21" t="n">
        <v>0</v>
      </c>
      <c r="W11351" s="21" t="n">
        <v>0</v>
      </c>
      <c r="X11351" s="21" t="n">
        <v>0</v>
      </c>
      <c r="Y11351" s="21" t="n">
        <v>0</v>
      </c>
      <c r="Z11351" s="19" t="n"/>
    </row>
    <row r="11352">
      <c r="D11352" s="21" t="n">
        <v>0</v>
      </c>
      <c r="E11352" s="21" t="n">
        <v>0</v>
      </c>
      <c r="F11352" s="21" t="n">
        <v>0</v>
      </c>
      <c r="G11352" s="21" t="n">
        <v>0</v>
      </c>
      <c r="H11352" s="21" t="n">
        <v>0</v>
      </c>
      <c r="I11352" s="21" t="n">
        <v>0</v>
      </c>
      <c r="J11352" s="21">
        <f>$B$10477</f>
        <v/>
      </c>
      <c r="K11352" s="21">
        <f>$B$10479</f>
        <v/>
      </c>
      <c r="L11352" s="21">
        <f>0</f>
        <v/>
      </c>
      <c r="M11352" s="21">
        <f>2*$B$10478</f>
        <v/>
      </c>
      <c r="N11352" s="21">
        <f>-$B$10477</f>
        <v/>
      </c>
      <c r="O11352" s="21">
        <f>$B$10479</f>
        <v/>
      </c>
      <c r="P11352" s="21" t="n">
        <v>0</v>
      </c>
      <c r="Q11352" s="21" t="n">
        <v>0</v>
      </c>
      <c r="R11352" s="21" t="n">
        <v>0</v>
      </c>
      <c r="S11352" s="21" t="n">
        <v>0</v>
      </c>
      <c r="T11352" s="21" t="n">
        <v>0</v>
      </c>
      <c r="U11352" s="21" t="n">
        <v>0</v>
      </c>
      <c r="V11352" s="21" t="n">
        <v>0</v>
      </c>
      <c r="W11352" s="21" t="n">
        <v>0</v>
      </c>
      <c r="X11352" s="21" t="n">
        <v>0</v>
      </c>
      <c r="Y11352" s="21" t="n">
        <v>0</v>
      </c>
      <c r="Z11352" s="19" t="n"/>
    </row>
    <row r="11353">
      <c r="D11353" s="21" t="n">
        <v>0</v>
      </c>
      <c r="E11353" s="21" t="n">
        <v>0</v>
      </c>
      <c r="F11353" s="21" t="n">
        <v>0</v>
      </c>
      <c r="G11353" s="21" t="n">
        <v>0</v>
      </c>
      <c r="H11353" s="21" t="n">
        <v>0</v>
      </c>
      <c r="I11353" s="21" t="n">
        <v>0</v>
      </c>
      <c r="J11353" s="21" t="n">
        <v>0</v>
      </c>
      <c r="K11353" s="21" t="n">
        <v>0</v>
      </c>
      <c r="L11353" s="21">
        <f>-$B$10476</f>
        <v/>
      </c>
      <c r="M11353" s="21">
        <f>-$B$10477</f>
        <v/>
      </c>
      <c r="N11353" s="21">
        <f>2*$B$10476+$D$11336</f>
        <v/>
      </c>
      <c r="O11353" s="21">
        <f>0</f>
        <v/>
      </c>
      <c r="P11353" s="21">
        <f>-$B$10476</f>
        <v/>
      </c>
      <c r="Q11353" s="21">
        <f>$B$10477</f>
        <v/>
      </c>
      <c r="R11353" s="21" t="n">
        <v>0</v>
      </c>
      <c r="S11353" s="21" t="n">
        <v>0</v>
      </c>
      <c r="T11353" s="21" t="n">
        <v>0</v>
      </c>
      <c r="U11353" s="21" t="n">
        <v>0</v>
      </c>
      <c r="V11353" s="21" t="n">
        <v>0</v>
      </c>
      <c r="W11353" s="21" t="n">
        <v>0</v>
      </c>
      <c r="X11353" s="21" t="n">
        <v>0</v>
      </c>
      <c r="Y11353" s="21" t="n">
        <v>0</v>
      </c>
      <c r="Z11353" s="19" t="n"/>
    </row>
    <row r="11354">
      <c r="D11354" s="21" t="n">
        <v>0</v>
      </c>
      <c r="E11354" s="21" t="n">
        <v>0</v>
      </c>
      <c r="F11354" s="21" t="n">
        <v>0</v>
      </c>
      <c r="G11354" s="21" t="n">
        <v>0</v>
      </c>
      <c r="H11354" s="21" t="n">
        <v>0</v>
      </c>
      <c r="I11354" s="21" t="n">
        <v>0</v>
      </c>
      <c r="J11354" s="21" t="n">
        <v>0</v>
      </c>
      <c r="K11354" s="21" t="n">
        <v>0</v>
      </c>
      <c r="L11354" s="21">
        <f>$B$10477</f>
        <v/>
      </c>
      <c r="M11354" s="21">
        <f>$B$10479</f>
        <v/>
      </c>
      <c r="N11354" s="21">
        <f>0</f>
        <v/>
      </c>
      <c r="O11354" s="21">
        <f>2*$B$10478</f>
        <v/>
      </c>
      <c r="P11354" s="21">
        <f>-$B$10477</f>
        <v/>
      </c>
      <c r="Q11354" s="21">
        <f>$B$10479</f>
        <v/>
      </c>
      <c r="R11354" s="21" t="n">
        <v>0</v>
      </c>
      <c r="S11354" s="21" t="n">
        <v>0</v>
      </c>
      <c r="T11354" s="21" t="n">
        <v>0</v>
      </c>
      <c r="U11354" s="21" t="n">
        <v>0</v>
      </c>
      <c r="V11354" s="21" t="n">
        <v>0</v>
      </c>
      <c r="W11354" s="21" t="n">
        <v>0</v>
      </c>
      <c r="X11354" s="21" t="n">
        <v>0</v>
      </c>
      <c r="Y11354" s="21" t="n">
        <v>0</v>
      </c>
      <c r="Z11354" s="19" t="n"/>
    </row>
    <row r="11355">
      <c r="D11355" s="21" t="n">
        <v>0</v>
      </c>
      <c r="E11355" s="21" t="n">
        <v>0</v>
      </c>
      <c r="F11355" s="21" t="n">
        <v>0</v>
      </c>
      <c r="G11355" s="21" t="n">
        <v>0</v>
      </c>
      <c r="H11355" s="21" t="n">
        <v>0</v>
      </c>
      <c r="I11355" s="21" t="n">
        <v>0</v>
      </c>
      <c r="J11355" s="21" t="n">
        <v>0</v>
      </c>
      <c r="K11355" s="21" t="n">
        <v>0</v>
      </c>
      <c r="L11355" s="21" t="n">
        <v>0</v>
      </c>
      <c r="M11355" s="21" t="n">
        <v>0</v>
      </c>
      <c r="N11355" s="21">
        <f>-$B$10476</f>
        <v/>
      </c>
      <c r="O11355" s="21">
        <f>-$B$10477</f>
        <v/>
      </c>
      <c r="P11355" s="21">
        <f>2*$B$10476+$D$11337</f>
        <v/>
      </c>
      <c r="Q11355" s="21">
        <f>0</f>
        <v/>
      </c>
      <c r="R11355" s="21">
        <f>-$B$10476</f>
        <v/>
      </c>
      <c r="S11355" s="21">
        <f>$B$10477</f>
        <v/>
      </c>
      <c r="T11355" s="21" t="n">
        <v>0</v>
      </c>
      <c r="U11355" s="21" t="n">
        <v>0</v>
      </c>
      <c r="V11355" s="21" t="n">
        <v>0</v>
      </c>
      <c r="W11355" s="21" t="n">
        <v>0</v>
      </c>
      <c r="X11355" s="21" t="n">
        <v>0</v>
      </c>
      <c r="Y11355" s="21" t="n">
        <v>0</v>
      </c>
      <c r="Z11355" s="19" t="n"/>
    </row>
    <row r="11356">
      <c r="D11356" s="21" t="n">
        <v>0</v>
      </c>
      <c r="E11356" s="21" t="n">
        <v>0</v>
      </c>
      <c r="F11356" s="21" t="n">
        <v>0</v>
      </c>
      <c r="G11356" s="21" t="n">
        <v>0</v>
      </c>
      <c r="H11356" s="21" t="n">
        <v>0</v>
      </c>
      <c r="I11356" s="21" t="n">
        <v>0</v>
      </c>
      <c r="J11356" s="21" t="n">
        <v>0</v>
      </c>
      <c r="K11356" s="21" t="n">
        <v>0</v>
      </c>
      <c r="L11356" s="21" t="n">
        <v>0</v>
      </c>
      <c r="M11356" s="21" t="n">
        <v>0</v>
      </c>
      <c r="N11356" s="21">
        <f>$B$10477</f>
        <v/>
      </c>
      <c r="O11356" s="21">
        <f>$B$10479</f>
        <v/>
      </c>
      <c r="P11356" s="21">
        <f>0</f>
        <v/>
      </c>
      <c r="Q11356" s="21">
        <f>2*$B$10478</f>
        <v/>
      </c>
      <c r="R11356" s="21">
        <f>-$B$10477</f>
        <v/>
      </c>
      <c r="S11356" s="21">
        <f>$B$10479</f>
        <v/>
      </c>
      <c r="T11356" s="21" t="n">
        <v>0</v>
      </c>
      <c r="U11356" s="21" t="n">
        <v>0</v>
      </c>
      <c r="V11356" s="21" t="n">
        <v>0</v>
      </c>
      <c r="W11356" s="21" t="n">
        <v>0</v>
      </c>
      <c r="X11356" s="21" t="n">
        <v>0</v>
      </c>
      <c r="Y11356" s="21" t="n">
        <v>0</v>
      </c>
      <c r="Z11356" s="19" t="n"/>
    </row>
    <row r="11357">
      <c r="D11357" s="21" t="n">
        <v>0</v>
      </c>
      <c r="E11357" s="21" t="n">
        <v>0</v>
      </c>
      <c r="F11357" s="21" t="n">
        <v>0</v>
      </c>
      <c r="G11357" s="21" t="n">
        <v>0</v>
      </c>
      <c r="H11357" s="21" t="n">
        <v>0</v>
      </c>
      <c r="I11357" s="21" t="n">
        <v>0</v>
      </c>
      <c r="J11357" s="21" t="n">
        <v>0</v>
      </c>
      <c r="K11357" s="21" t="n">
        <v>0</v>
      </c>
      <c r="L11357" s="21" t="n">
        <v>0</v>
      </c>
      <c r="M11357" s="21" t="n">
        <v>0</v>
      </c>
      <c r="N11357" s="21" t="n">
        <v>0</v>
      </c>
      <c r="O11357" s="21" t="n">
        <v>0</v>
      </c>
      <c r="P11357" s="21">
        <f>-$B$10476</f>
        <v/>
      </c>
      <c r="Q11357" s="21">
        <f>-$B$10477</f>
        <v/>
      </c>
      <c r="R11357" s="21">
        <f>2*$B$10476+$D$11338</f>
        <v/>
      </c>
      <c r="S11357" s="21">
        <f>0</f>
        <v/>
      </c>
      <c r="T11357" s="21">
        <f>-$B$10476</f>
        <v/>
      </c>
      <c r="U11357" s="21">
        <f>$B$10477</f>
        <v/>
      </c>
      <c r="V11357" s="21" t="n">
        <v>0</v>
      </c>
      <c r="W11357" s="21" t="n">
        <v>0</v>
      </c>
      <c r="X11357" s="21" t="n">
        <v>0</v>
      </c>
      <c r="Y11357" s="21" t="n">
        <v>0</v>
      </c>
      <c r="Z11357" s="19" t="n"/>
    </row>
    <row r="11358">
      <c r="D11358" s="21" t="n">
        <v>0</v>
      </c>
      <c r="E11358" s="21" t="n">
        <v>0</v>
      </c>
      <c r="F11358" s="21" t="n">
        <v>0</v>
      </c>
      <c r="G11358" s="21" t="n">
        <v>0</v>
      </c>
      <c r="H11358" s="21" t="n">
        <v>0</v>
      </c>
      <c r="I11358" s="21" t="n">
        <v>0</v>
      </c>
      <c r="J11358" s="21" t="n">
        <v>0</v>
      </c>
      <c r="K11358" s="21" t="n">
        <v>0</v>
      </c>
      <c r="L11358" s="21" t="n">
        <v>0</v>
      </c>
      <c r="M11358" s="21" t="n">
        <v>0</v>
      </c>
      <c r="N11358" s="21" t="n">
        <v>0</v>
      </c>
      <c r="O11358" s="21" t="n">
        <v>0</v>
      </c>
      <c r="P11358" s="21">
        <f>$B$10477</f>
        <v/>
      </c>
      <c r="Q11358" s="21">
        <f>$B$10479</f>
        <v/>
      </c>
      <c r="R11358" s="21">
        <f>0</f>
        <v/>
      </c>
      <c r="S11358" s="21">
        <f>2*$B$10478</f>
        <v/>
      </c>
      <c r="T11358" s="21">
        <f>-$B$10477</f>
        <v/>
      </c>
      <c r="U11358" s="21">
        <f>$B$10479</f>
        <v/>
      </c>
      <c r="V11358" s="21" t="n">
        <v>0</v>
      </c>
      <c r="W11358" s="21" t="n">
        <v>0</v>
      </c>
      <c r="X11358" s="21" t="n">
        <v>0</v>
      </c>
      <c r="Y11358" s="21" t="n">
        <v>0</v>
      </c>
      <c r="Z11358" s="19" t="n"/>
    </row>
    <row r="11359">
      <c r="D11359" s="21" t="n">
        <v>0</v>
      </c>
      <c r="E11359" s="21" t="n">
        <v>0</v>
      </c>
      <c r="F11359" s="21" t="n">
        <v>0</v>
      </c>
      <c r="G11359" s="21" t="n">
        <v>0</v>
      </c>
      <c r="H11359" s="21" t="n">
        <v>0</v>
      </c>
      <c r="I11359" s="21" t="n">
        <v>0</v>
      </c>
      <c r="J11359" s="21" t="n">
        <v>0</v>
      </c>
      <c r="K11359" s="21" t="n">
        <v>0</v>
      </c>
      <c r="L11359" s="21" t="n">
        <v>0</v>
      </c>
      <c r="M11359" s="21" t="n">
        <v>0</v>
      </c>
      <c r="N11359" s="21" t="n">
        <v>0</v>
      </c>
      <c r="O11359" s="21" t="n">
        <v>0</v>
      </c>
      <c r="P11359" s="21" t="n">
        <v>0</v>
      </c>
      <c r="Q11359" s="21" t="n">
        <v>0</v>
      </c>
      <c r="R11359" s="21">
        <f>-$B$10476</f>
        <v/>
      </c>
      <c r="S11359" s="21">
        <f>-$B$10477</f>
        <v/>
      </c>
      <c r="T11359" s="21">
        <f>2*$B$10476+$D$11339</f>
        <v/>
      </c>
      <c r="U11359" s="21">
        <f>0</f>
        <v/>
      </c>
      <c r="V11359" s="21">
        <f>-$B$10476</f>
        <v/>
      </c>
      <c r="W11359" s="21">
        <f>$B$10477</f>
        <v/>
      </c>
      <c r="X11359" s="21" t="n">
        <v>0</v>
      </c>
      <c r="Y11359" s="21" t="n">
        <v>0</v>
      </c>
      <c r="Z11359" s="19" t="n"/>
    </row>
    <row r="11360">
      <c r="D11360" s="21" t="n">
        <v>0</v>
      </c>
      <c r="E11360" s="21" t="n">
        <v>0</v>
      </c>
      <c r="F11360" s="21" t="n">
        <v>0</v>
      </c>
      <c r="G11360" s="21" t="n">
        <v>0</v>
      </c>
      <c r="H11360" s="21" t="n">
        <v>0</v>
      </c>
      <c r="I11360" s="21" t="n">
        <v>0</v>
      </c>
      <c r="J11360" s="21" t="n">
        <v>0</v>
      </c>
      <c r="K11360" s="21" t="n">
        <v>0</v>
      </c>
      <c r="L11360" s="21" t="n">
        <v>0</v>
      </c>
      <c r="M11360" s="21" t="n">
        <v>0</v>
      </c>
      <c r="N11360" s="21" t="n">
        <v>0</v>
      </c>
      <c r="O11360" s="21" t="n">
        <v>0</v>
      </c>
      <c r="P11360" s="21" t="n">
        <v>0</v>
      </c>
      <c r="Q11360" s="21" t="n">
        <v>0</v>
      </c>
      <c r="R11360" s="21">
        <f>$B$10477</f>
        <v/>
      </c>
      <c r="S11360" s="21">
        <f>$B$10479</f>
        <v/>
      </c>
      <c r="T11360" s="21">
        <f>0</f>
        <v/>
      </c>
      <c r="U11360" s="21">
        <f>2*$B$10478</f>
        <v/>
      </c>
      <c r="V11360" s="21">
        <f>-$B$10477</f>
        <v/>
      </c>
      <c r="W11360" s="21">
        <f>$B$10479</f>
        <v/>
      </c>
      <c r="X11360" s="21" t="n">
        <v>0</v>
      </c>
      <c r="Y11360" s="21" t="n">
        <v>0</v>
      </c>
      <c r="Z11360" s="19" t="n"/>
    </row>
    <row r="11361">
      <c r="D11361" s="21" t="n">
        <v>0</v>
      </c>
      <c r="E11361" s="21" t="n">
        <v>0</v>
      </c>
      <c r="F11361" s="21" t="n">
        <v>0</v>
      </c>
      <c r="G11361" s="21" t="n">
        <v>0</v>
      </c>
      <c r="H11361" s="21" t="n">
        <v>0</v>
      </c>
      <c r="I11361" s="21" t="n">
        <v>0</v>
      </c>
      <c r="J11361" s="21" t="n">
        <v>0</v>
      </c>
      <c r="K11361" s="21" t="n">
        <v>0</v>
      </c>
      <c r="L11361" s="21" t="n">
        <v>0</v>
      </c>
      <c r="M11361" s="21" t="n">
        <v>0</v>
      </c>
      <c r="N11361" s="21" t="n">
        <v>0</v>
      </c>
      <c r="O11361" s="21" t="n">
        <v>0</v>
      </c>
      <c r="P11361" s="21" t="n">
        <v>0</v>
      </c>
      <c r="Q11361" s="21" t="n">
        <v>0</v>
      </c>
      <c r="R11361" s="21" t="n">
        <v>0</v>
      </c>
      <c r="S11361" s="21" t="n">
        <v>0</v>
      </c>
      <c r="T11361" s="21">
        <f>-$B$10476</f>
        <v/>
      </c>
      <c r="U11361" s="21">
        <f>-$B$10477</f>
        <v/>
      </c>
      <c r="V11361" s="21">
        <f>2*$B$10476+$D$11340</f>
        <v/>
      </c>
      <c r="W11361" s="21">
        <f>0</f>
        <v/>
      </c>
      <c r="X11361" s="21">
        <f>-$B$10476</f>
        <v/>
      </c>
      <c r="Y11361" s="21">
        <f>$B$10477</f>
        <v/>
      </c>
      <c r="Z11361" s="19" t="n"/>
    </row>
    <row r="11362">
      <c r="D11362" s="21" t="n">
        <v>0</v>
      </c>
      <c r="E11362" s="21" t="n">
        <v>0</v>
      </c>
      <c r="F11362" s="21" t="n">
        <v>0</v>
      </c>
      <c r="G11362" s="21" t="n">
        <v>0</v>
      </c>
      <c r="H11362" s="21" t="n">
        <v>0</v>
      </c>
      <c r="I11362" s="21" t="n">
        <v>0</v>
      </c>
      <c r="J11362" s="21" t="n">
        <v>0</v>
      </c>
      <c r="K11362" s="21" t="n">
        <v>0</v>
      </c>
      <c r="L11362" s="21" t="n">
        <v>0</v>
      </c>
      <c r="M11362" s="21" t="n">
        <v>0</v>
      </c>
      <c r="N11362" s="21" t="n">
        <v>0</v>
      </c>
      <c r="O11362" s="21" t="n">
        <v>0</v>
      </c>
      <c r="P11362" s="21" t="n">
        <v>0</v>
      </c>
      <c r="Q11362" s="21" t="n">
        <v>0</v>
      </c>
      <c r="R11362" s="21" t="n">
        <v>0</v>
      </c>
      <c r="S11362" s="21" t="n">
        <v>0</v>
      </c>
      <c r="T11362" s="21">
        <f>$B$10477</f>
        <v/>
      </c>
      <c r="U11362" s="21">
        <f>$B$10479</f>
        <v/>
      </c>
      <c r="V11362" s="21">
        <f>0</f>
        <v/>
      </c>
      <c r="W11362" s="21">
        <f>2*$B$10478</f>
        <v/>
      </c>
      <c r="X11362" s="21">
        <f>-$B$10477</f>
        <v/>
      </c>
      <c r="Y11362" s="21">
        <f>$B$10479</f>
        <v/>
      </c>
      <c r="Z11362" s="19" t="n"/>
    </row>
    <row r="11363">
      <c r="D11363" s="21" t="n">
        <v>0</v>
      </c>
      <c r="E11363" s="21" t="n">
        <v>0</v>
      </c>
      <c r="F11363" s="21" t="n">
        <v>0</v>
      </c>
      <c r="G11363" s="21" t="n">
        <v>0</v>
      </c>
      <c r="H11363" s="21" t="n">
        <v>0</v>
      </c>
      <c r="I11363" s="21" t="n">
        <v>0</v>
      </c>
      <c r="J11363" s="21" t="n">
        <v>0</v>
      </c>
      <c r="K11363" s="21" t="n">
        <v>0</v>
      </c>
      <c r="L11363" s="21" t="n">
        <v>0</v>
      </c>
      <c r="M11363" s="21" t="n">
        <v>0</v>
      </c>
      <c r="N11363" s="21" t="n">
        <v>0</v>
      </c>
      <c r="O11363" s="21" t="n">
        <v>0</v>
      </c>
      <c r="P11363" s="21" t="n">
        <v>0</v>
      </c>
      <c r="Q11363" s="21" t="n">
        <v>0</v>
      </c>
      <c r="R11363" s="21" t="n">
        <v>0</v>
      </c>
      <c r="S11363" s="21" t="n">
        <v>0</v>
      </c>
      <c r="T11363" s="21" t="n">
        <v>0</v>
      </c>
      <c r="U11363" s="21" t="n">
        <v>0</v>
      </c>
      <c r="V11363" s="21">
        <f>-$B$10476</f>
        <v/>
      </c>
      <c r="W11363" s="21">
        <f>-$B$10477</f>
        <v/>
      </c>
      <c r="X11363" s="21">
        <f>$B$10476+$D$11341</f>
        <v/>
      </c>
      <c r="Y11363" s="21">
        <f>-$B$10477</f>
        <v/>
      </c>
      <c r="Z11363" s="19" t="n"/>
    </row>
    <row r="11364">
      <c r="D11364" s="21" t="n">
        <v>0</v>
      </c>
      <c r="E11364" s="21" t="n">
        <v>0</v>
      </c>
      <c r="F11364" s="21" t="n">
        <v>0</v>
      </c>
      <c r="G11364" s="21" t="n">
        <v>0</v>
      </c>
      <c r="H11364" s="21" t="n">
        <v>0</v>
      </c>
      <c r="I11364" s="21" t="n">
        <v>0</v>
      </c>
      <c r="J11364" s="21" t="n">
        <v>0</v>
      </c>
      <c r="K11364" s="21" t="n">
        <v>0</v>
      </c>
      <c r="L11364" s="21" t="n">
        <v>0</v>
      </c>
      <c r="M11364" s="21" t="n">
        <v>0</v>
      </c>
      <c r="N11364" s="21" t="n">
        <v>0</v>
      </c>
      <c r="O11364" s="21" t="n">
        <v>0</v>
      </c>
      <c r="P11364" s="21" t="n">
        <v>0</v>
      </c>
      <c r="Q11364" s="21" t="n">
        <v>0</v>
      </c>
      <c r="R11364" s="21" t="n">
        <v>0</v>
      </c>
      <c r="S11364" s="21" t="n">
        <v>0</v>
      </c>
      <c r="T11364" s="21" t="n">
        <v>0</v>
      </c>
      <c r="U11364" s="21" t="n">
        <v>0</v>
      </c>
      <c r="V11364" s="21">
        <f>$B$10477</f>
        <v/>
      </c>
      <c r="W11364" s="21">
        <f>$B$10479</f>
        <v/>
      </c>
      <c r="X11364" s="21">
        <f>-$B$10477</f>
        <v/>
      </c>
      <c r="Y11364" s="21">
        <f>$B$10478</f>
        <v/>
      </c>
      <c r="Z11364" s="19" t="n"/>
    </row>
    <row r="11366">
      <c r="A11366" s="8" t="inlineStr">
        <is>
          <t>gen 24</t>
        </is>
      </c>
    </row>
    <row r="11367">
      <c r="D11367" s="19">
        <f>IF(ABS(IF(ABS($E$11331)&gt;0.000000001,$E$11331,0.000000001))=0,0,IF($E$10491&lt;=$B$10485,0,IF(ABS(IF(ABS($E$11331)&gt;0.000000001,$E$11331,0.000000001))&gt;=8*$B$10487,$H$10491,0.5*$H$10491*(ABS(IF(ABS($E$11331)&gt;0.000000001,$E$11331,0.000000001))/$B$10487)^(1/3)))/ABS(IF(ABS($E$11331)&gt;0.000000001,$E$11331,0.000000001))*$I$10491)</f>
        <v/>
      </c>
      <c r="E11367" s="19">
        <f>0.5*$E$11331+0.5*$Z$11379</f>
        <v/>
      </c>
      <c r="F11367" s="19">
        <f>$Z$11380</f>
        <v/>
      </c>
    </row>
    <row r="11368">
      <c r="D11368" s="19">
        <f>IF(ABS(IF(ABS($E$11332)&gt;0.000000001,$E$11332,0.000000001))=0,0,IF($E$10492&lt;=$B$10485,0,IF(ABS(IF(ABS($E$11332)&gt;0.000000001,$E$11332,0.000000001))&gt;=8*$B$10487,$H$10492,0.5*$H$10492*(ABS(IF(ABS($E$11332)&gt;0.000000001,$E$11332,0.000000001))/$B$10487)^(1/3)))/ABS(IF(ABS($E$11332)&gt;0.000000001,$E$11332,0.000000001))*$I$10492)</f>
        <v/>
      </c>
      <c r="E11368" s="19">
        <f>0.5*$E$11332+0.5*$Z$11381</f>
        <v/>
      </c>
      <c r="F11368" s="19">
        <f>$Z$11382</f>
        <v/>
      </c>
    </row>
    <row r="11369">
      <c r="D11369" s="19">
        <f>IF(ABS(IF(ABS($E$11333)&gt;0.000000001,$E$11333,0.000000001))=0,0,IF($E$10493&lt;=$B$10485,0,IF(ABS(IF(ABS($E$11333)&gt;0.000000001,$E$11333,0.000000001))&gt;=8*$B$10487,$H$10493,0.5*$H$10493*(ABS(IF(ABS($E$11333)&gt;0.000000001,$E$11333,0.000000001))/$B$10487)^(1/3)))/ABS(IF(ABS($E$11333)&gt;0.000000001,$E$11333,0.000000001))*$I$10493)</f>
        <v/>
      </c>
      <c r="E11369" s="19">
        <f>0.5*$E$11333+0.5*$Z$11383</f>
        <v/>
      </c>
      <c r="F11369" s="19">
        <f>$Z$11384</f>
        <v/>
      </c>
    </row>
    <row r="11370">
      <c r="D11370" s="19">
        <f>IF(ABS(IF(ABS($E$11334)&gt;0.000000001,$E$11334,0.000000001))=0,0,IF($E$10494&lt;=$B$10485,0,IF(ABS(IF(ABS($E$11334)&gt;0.000000001,$E$11334,0.000000001))&gt;=8*$B$10487,$H$10494,0.5*$H$10494*(ABS(IF(ABS($E$11334)&gt;0.000000001,$E$11334,0.000000001))/$B$10487)^(1/3)))/ABS(IF(ABS($E$11334)&gt;0.000000001,$E$11334,0.000000001))*$I$10494)</f>
        <v/>
      </c>
      <c r="E11370" s="19">
        <f>0.5*$E$11334+0.5*$Z$11385</f>
        <v/>
      </c>
      <c r="F11370" s="19">
        <f>$Z$11386</f>
        <v/>
      </c>
    </row>
    <row r="11371">
      <c r="D11371" s="19">
        <f>IF(ABS(IF(ABS($E$11335)&gt;0.000000001,$E$11335,0.000000001))=0,0,IF($E$10495&lt;=$B$10485,0,IF(ABS(IF(ABS($E$11335)&gt;0.000000001,$E$11335,0.000000001))&gt;=8*$B$10487,$H$10495,0.5*$H$10495*(ABS(IF(ABS($E$11335)&gt;0.000000001,$E$11335,0.000000001))/$B$10487)^(1/3)))/ABS(IF(ABS($E$11335)&gt;0.000000001,$E$11335,0.000000001))*$I$10495)</f>
        <v/>
      </c>
      <c r="E11371" s="19">
        <f>0.5*$E$11335+0.5*$Z$11387</f>
        <v/>
      </c>
      <c r="F11371" s="19">
        <f>$Z$11388</f>
        <v/>
      </c>
    </row>
    <row r="11372">
      <c r="D11372" s="19">
        <f>IF(ABS(IF(ABS($E$11336)&gt;0.000000001,$E$11336,0.000000001))=0,0,IF($E$10496&lt;=$B$10485,0,IF(ABS(IF(ABS($E$11336)&gt;0.000000001,$E$11336,0.000000001))&gt;=8*$B$10487,$H$10496,0.5*$H$10496*(ABS(IF(ABS($E$11336)&gt;0.000000001,$E$11336,0.000000001))/$B$10487)^(1/3)))/ABS(IF(ABS($E$11336)&gt;0.000000001,$E$11336,0.000000001))*$I$10496)</f>
        <v/>
      </c>
      <c r="E11372" s="19">
        <f>0.5*$E$11336+0.5*$Z$11389</f>
        <v/>
      </c>
      <c r="F11372" s="19">
        <f>$Z$11390</f>
        <v/>
      </c>
    </row>
    <row r="11373">
      <c r="D11373" s="19">
        <f>IF(ABS(IF(ABS($E$11337)&gt;0.000000001,$E$11337,0.000000001))=0,0,IF($E$10497&lt;=$B$10485,0,IF(ABS(IF(ABS($E$11337)&gt;0.000000001,$E$11337,0.000000001))&gt;=8*$B$10487,$H$10497,0.5*$H$10497*(ABS(IF(ABS($E$11337)&gt;0.000000001,$E$11337,0.000000001))/$B$10487)^(1/3)))/ABS(IF(ABS($E$11337)&gt;0.000000001,$E$11337,0.000000001))*$I$10497)</f>
        <v/>
      </c>
      <c r="E11373" s="19">
        <f>0.5*$E$11337+0.5*$Z$11391</f>
        <v/>
      </c>
      <c r="F11373" s="19">
        <f>$Z$11392</f>
        <v/>
      </c>
    </row>
    <row r="11374">
      <c r="D11374" s="19">
        <f>IF(ABS(IF(ABS($E$11338)&gt;0.000000001,$E$11338,0.000000001))=0,0,IF($E$10498&lt;=$B$10485,0,IF(ABS(IF(ABS($E$11338)&gt;0.000000001,$E$11338,0.000000001))&gt;=8*$B$10487,$H$10498,0.5*$H$10498*(ABS(IF(ABS($E$11338)&gt;0.000000001,$E$11338,0.000000001))/$B$10487)^(1/3)))/ABS(IF(ABS($E$11338)&gt;0.000000001,$E$11338,0.000000001))*$I$10498)</f>
        <v/>
      </c>
      <c r="E11374" s="19">
        <f>0.5*$E$11338+0.5*$Z$11393</f>
        <v/>
      </c>
      <c r="F11374" s="19">
        <f>$Z$11394</f>
        <v/>
      </c>
    </row>
    <row r="11375">
      <c r="D11375" s="19">
        <f>IF(ABS(IF(ABS($E$11339)&gt;0.000000001,$E$11339,0.000000001))=0,0,IF($E$10499&lt;=$B$10485,0,IF(ABS(IF(ABS($E$11339)&gt;0.000000001,$E$11339,0.000000001))&gt;=8*$B$10487,$H$10499,0.5*$H$10499*(ABS(IF(ABS($E$11339)&gt;0.000000001,$E$11339,0.000000001))/$B$10487)^(1/3)))/ABS(IF(ABS($E$11339)&gt;0.000000001,$E$11339,0.000000001))*$I$10499)</f>
        <v/>
      </c>
      <c r="E11375" s="19">
        <f>0.5*$E$11339+0.5*$Z$11395</f>
        <v/>
      </c>
      <c r="F11375" s="19">
        <f>$Z$11396</f>
        <v/>
      </c>
    </row>
    <row r="11376">
      <c r="D11376" s="19">
        <f>IF(ABS(IF(ABS($E$11340)&gt;0.000000001,$E$11340,0.000000001))=0,0,IF($E$10500&lt;=$B$10485,0,IF(ABS(IF(ABS($E$11340)&gt;0.000000001,$E$11340,0.000000001))&gt;=8*$B$10487,$H$10500,0.5*$H$10500*(ABS(IF(ABS($E$11340)&gt;0.000000001,$E$11340,0.000000001))/$B$10487)^(1/3)))/ABS(IF(ABS($E$11340)&gt;0.000000001,$E$11340,0.000000001))*$I$10500)</f>
        <v/>
      </c>
      <c r="E11376" s="19">
        <f>0.5*$E$11340+0.5*$Z$11397</f>
        <v/>
      </c>
      <c r="F11376" s="19">
        <f>$Z$11398</f>
        <v/>
      </c>
    </row>
    <row r="11377">
      <c r="D11377" s="19">
        <f>IF(ABS(IF(ABS($E$11341)&gt;0.000000001,$E$11341,0.000000001))=0,0,IF($E$10501&lt;=$B$10485,0,IF(ABS(IF(ABS($E$11341)&gt;0.000000001,$E$11341,0.000000001))&gt;=8*$B$10487,$H$10501,0.5*$H$10501*(ABS(IF(ABS($E$11341)&gt;0.000000001,$E$11341,0.000000001))/$B$10487)^(1/3)))/ABS(IF(ABS($E$11341)&gt;0.000000001,$E$11341,0.000000001))*$I$10501)</f>
        <v/>
      </c>
      <c r="E11377" s="19">
        <f>0.5*$E$11341+0.5*$Z$11399</f>
        <v/>
      </c>
      <c r="F11377" s="19">
        <f>$Z$11400</f>
        <v/>
      </c>
    </row>
    <row r="11379">
      <c r="D11379" s="21">
        <f>$B$10476+$D$11367</f>
        <v/>
      </c>
      <c r="E11379" s="21">
        <f>$B$10477</f>
        <v/>
      </c>
      <c r="F11379" s="21">
        <f>-$B$10476</f>
        <v/>
      </c>
      <c r="G11379" s="21">
        <f>$B$10477</f>
        <v/>
      </c>
      <c r="H11379" s="21" t="n">
        <v>0</v>
      </c>
      <c r="I11379" s="21" t="n">
        <v>0</v>
      </c>
      <c r="J11379" s="21" t="n">
        <v>0</v>
      </c>
      <c r="K11379" s="21" t="n">
        <v>0</v>
      </c>
      <c r="L11379" s="21" t="n">
        <v>0</v>
      </c>
      <c r="M11379" s="21" t="n">
        <v>0</v>
      </c>
      <c r="N11379" s="21" t="n">
        <v>0</v>
      </c>
      <c r="O11379" s="21" t="n">
        <v>0</v>
      </c>
      <c r="P11379" s="21" t="n">
        <v>0</v>
      </c>
      <c r="Q11379" s="21" t="n">
        <v>0</v>
      </c>
      <c r="R11379" s="21" t="n">
        <v>0</v>
      </c>
      <c r="S11379" s="21" t="n">
        <v>0</v>
      </c>
      <c r="T11379" s="21" t="n">
        <v>0</v>
      </c>
      <c r="U11379" s="21" t="n">
        <v>0</v>
      </c>
      <c r="V11379" s="21" t="n">
        <v>0</v>
      </c>
      <c r="W11379" s="21" t="n">
        <v>0</v>
      </c>
      <c r="X11379" s="21" t="n">
        <v>0</v>
      </c>
      <c r="Y11379" s="21" t="n">
        <v>0</v>
      </c>
      <c r="Z11379" s="19">
        <f t="array" ref="Z11379:Z11400">MMULT(MINVERSE($D$11379:$Y$11400),$D$10503:$D$10524)</f>
        <v/>
      </c>
    </row>
    <row r="11380">
      <c r="D11380" s="21">
        <f>$B$10477</f>
        <v/>
      </c>
      <c r="E11380" s="21">
        <f>$B$10478</f>
        <v/>
      </c>
      <c r="F11380" s="21">
        <f>-$B$10477</f>
        <v/>
      </c>
      <c r="G11380" s="21">
        <f>$B$10479</f>
        <v/>
      </c>
      <c r="H11380" s="21" t="n">
        <v>0</v>
      </c>
      <c r="I11380" s="21" t="n">
        <v>0</v>
      </c>
      <c r="J11380" s="21" t="n">
        <v>0</v>
      </c>
      <c r="K11380" s="21" t="n">
        <v>0</v>
      </c>
      <c r="L11380" s="21" t="n">
        <v>0</v>
      </c>
      <c r="M11380" s="21" t="n">
        <v>0</v>
      </c>
      <c r="N11380" s="21" t="n">
        <v>0</v>
      </c>
      <c r="O11380" s="21" t="n">
        <v>0</v>
      </c>
      <c r="P11380" s="21" t="n">
        <v>0</v>
      </c>
      <c r="Q11380" s="21" t="n">
        <v>0</v>
      </c>
      <c r="R11380" s="21" t="n">
        <v>0</v>
      </c>
      <c r="S11380" s="21" t="n">
        <v>0</v>
      </c>
      <c r="T11380" s="21" t="n">
        <v>0</v>
      </c>
      <c r="U11380" s="21" t="n">
        <v>0</v>
      </c>
      <c r="V11380" s="21" t="n">
        <v>0</v>
      </c>
      <c r="W11380" s="21" t="n">
        <v>0</v>
      </c>
      <c r="X11380" s="21" t="n">
        <v>0</v>
      </c>
      <c r="Y11380" s="21" t="n">
        <v>0</v>
      </c>
      <c r="Z11380" s="19" t="n"/>
    </row>
    <row r="11381">
      <c r="D11381" s="21">
        <f>-$B$10476</f>
        <v/>
      </c>
      <c r="E11381" s="21">
        <f>-$B$10477</f>
        <v/>
      </c>
      <c r="F11381" s="21">
        <f>2*$B$10476+$D$11368</f>
        <v/>
      </c>
      <c r="G11381" s="21">
        <f>0</f>
        <v/>
      </c>
      <c r="H11381" s="21">
        <f>-$B$10476</f>
        <v/>
      </c>
      <c r="I11381" s="21">
        <f>$B$10477</f>
        <v/>
      </c>
      <c r="J11381" s="21" t="n">
        <v>0</v>
      </c>
      <c r="K11381" s="21" t="n">
        <v>0</v>
      </c>
      <c r="L11381" s="21" t="n">
        <v>0</v>
      </c>
      <c r="M11381" s="21" t="n">
        <v>0</v>
      </c>
      <c r="N11381" s="21" t="n">
        <v>0</v>
      </c>
      <c r="O11381" s="21" t="n">
        <v>0</v>
      </c>
      <c r="P11381" s="21" t="n">
        <v>0</v>
      </c>
      <c r="Q11381" s="21" t="n">
        <v>0</v>
      </c>
      <c r="R11381" s="21" t="n">
        <v>0</v>
      </c>
      <c r="S11381" s="21" t="n">
        <v>0</v>
      </c>
      <c r="T11381" s="21" t="n">
        <v>0</v>
      </c>
      <c r="U11381" s="21" t="n">
        <v>0</v>
      </c>
      <c r="V11381" s="21" t="n">
        <v>0</v>
      </c>
      <c r="W11381" s="21" t="n">
        <v>0</v>
      </c>
      <c r="X11381" s="21" t="n">
        <v>0</v>
      </c>
      <c r="Y11381" s="21" t="n">
        <v>0</v>
      </c>
      <c r="Z11381" s="19" t="n"/>
    </row>
    <row r="11382">
      <c r="D11382" s="21">
        <f>$B$10477</f>
        <v/>
      </c>
      <c r="E11382" s="21">
        <f>$B$10479</f>
        <v/>
      </c>
      <c r="F11382" s="21">
        <f>0</f>
        <v/>
      </c>
      <c r="G11382" s="21">
        <f>2*$B$10478</f>
        <v/>
      </c>
      <c r="H11382" s="21">
        <f>-$B$10477</f>
        <v/>
      </c>
      <c r="I11382" s="21">
        <f>$B$10479</f>
        <v/>
      </c>
      <c r="J11382" s="21" t="n">
        <v>0</v>
      </c>
      <c r="K11382" s="21" t="n">
        <v>0</v>
      </c>
      <c r="L11382" s="21" t="n">
        <v>0</v>
      </c>
      <c r="M11382" s="21" t="n">
        <v>0</v>
      </c>
      <c r="N11382" s="21" t="n">
        <v>0</v>
      </c>
      <c r="O11382" s="21" t="n">
        <v>0</v>
      </c>
      <c r="P11382" s="21" t="n">
        <v>0</v>
      </c>
      <c r="Q11382" s="21" t="n">
        <v>0</v>
      </c>
      <c r="R11382" s="21" t="n">
        <v>0</v>
      </c>
      <c r="S11382" s="21" t="n">
        <v>0</v>
      </c>
      <c r="T11382" s="21" t="n">
        <v>0</v>
      </c>
      <c r="U11382" s="21" t="n">
        <v>0</v>
      </c>
      <c r="V11382" s="21" t="n">
        <v>0</v>
      </c>
      <c r="W11382" s="21" t="n">
        <v>0</v>
      </c>
      <c r="X11382" s="21" t="n">
        <v>0</v>
      </c>
      <c r="Y11382" s="21" t="n">
        <v>0</v>
      </c>
      <c r="Z11382" s="19" t="n"/>
    </row>
    <row r="11383">
      <c r="D11383" s="21" t="n">
        <v>0</v>
      </c>
      <c r="E11383" s="21" t="n">
        <v>0</v>
      </c>
      <c r="F11383" s="21">
        <f>-$B$10476</f>
        <v/>
      </c>
      <c r="G11383" s="21">
        <f>-$B$10477</f>
        <v/>
      </c>
      <c r="H11383" s="21">
        <f>2*$B$10476+$D$11369</f>
        <v/>
      </c>
      <c r="I11383" s="21">
        <f>0</f>
        <v/>
      </c>
      <c r="J11383" s="21">
        <f>-$B$10476</f>
        <v/>
      </c>
      <c r="K11383" s="21">
        <f>$B$10477</f>
        <v/>
      </c>
      <c r="L11383" s="21" t="n">
        <v>0</v>
      </c>
      <c r="M11383" s="21" t="n">
        <v>0</v>
      </c>
      <c r="N11383" s="21" t="n">
        <v>0</v>
      </c>
      <c r="O11383" s="21" t="n">
        <v>0</v>
      </c>
      <c r="P11383" s="21" t="n">
        <v>0</v>
      </c>
      <c r="Q11383" s="21" t="n">
        <v>0</v>
      </c>
      <c r="R11383" s="21" t="n">
        <v>0</v>
      </c>
      <c r="S11383" s="21" t="n">
        <v>0</v>
      </c>
      <c r="T11383" s="21" t="n">
        <v>0</v>
      </c>
      <c r="U11383" s="21" t="n">
        <v>0</v>
      </c>
      <c r="V11383" s="21" t="n">
        <v>0</v>
      </c>
      <c r="W11383" s="21" t="n">
        <v>0</v>
      </c>
      <c r="X11383" s="21" t="n">
        <v>0</v>
      </c>
      <c r="Y11383" s="21" t="n">
        <v>0</v>
      </c>
      <c r="Z11383" s="19" t="n"/>
    </row>
    <row r="11384">
      <c r="D11384" s="21" t="n">
        <v>0</v>
      </c>
      <c r="E11384" s="21" t="n">
        <v>0</v>
      </c>
      <c r="F11384" s="21">
        <f>$B$10477</f>
        <v/>
      </c>
      <c r="G11384" s="21">
        <f>$B$10479</f>
        <v/>
      </c>
      <c r="H11384" s="21">
        <f>0</f>
        <v/>
      </c>
      <c r="I11384" s="21">
        <f>2*$B$10478</f>
        <v/>
      </c>
      <c r="J11384" s="21">
        <f>-$B$10477</f>
        <v/>
      </c>
      <c r="K11384" s="21">
        <f>$B$10479</f>
        <v/>
      </c>
      <c r="L11384" s="21" t="n">
        <v>0</v>
      </c>
      <c r="M11384" s="21" t="n">
        <v>0</v>
      </c>
      <c r="N11384" s="21" t="n">
        <v>0</v>
      </c>
      <c r="O11384" s="21" t="n">
        <v>0</v>
      </c>
      <c r="P11384" s="21" t="n">
        <v>0</v>
      </c>
      <c r="Q11384" s="21" t="n">
        <v>0</v>
      </c>
      <c r="R11384" s="21" t="n">
        <v>0</v>
      </c>
      <c r="S11384" s="21" t="n">
        <v>0</v>
      </c>
      <c r="T11384" s="21" t="n">
        <v>0</v>
      </c>
      <c r="U11384" s="21" t="n">
        <v>0</v>
      </c>
      <c r="V11384" s="21" t="n">
        <v>0</v>
      </c>
      <c r="W11384" s="21" t="n">
        <v>0</v>
      </c>
      <c r="X11384" s="21" t="n">
        <v>0</v>
      </c>
      <c r="Y11384" s="21" t="n">
        <v>0</v>
      </c>
      <c r="Z11384" s="19" t="n"/>
    </row>
    <row r="11385">
      <c r="D11385" s="21" t="n">
        <v>0</v>
      </c>
      <c r="E11385" s="21" t="n">
        <v>0</v>
      </c>
      <c r="F11385" s="21" t="n">
        <v>0</v>
      </c>
      <c r="G11385" s="21" t="n">
        <v>0</v>
      </c>
      <c r="H11385" s="21">
        <f>-$B$10476</f>
        <v/>
      </c>
      <c r="I11385" s="21">
        <f>-$B$10477</f>
        <v/>
      </c>
      <c r="J11385" s="21">
        <f>2*$B$10476+$D$11370</f>
        <v/>
      </c>
      <c r="K11385" s="21">
        <f>0</f>
        <v/>
      </c>
      <c r="L11385" s="21">
        <f>-$B$10476</f>
        <v/>
      </c>
      <c r="M11385" s="21">
        <f>$B$10477</f>
        <v/>
      </c>
      <c r="N11385" s="21" t="n">
        <v>0</v>
      </c>
      <c r="O11385" s="21" t="n">
        <v>0</v>
      </c>
      <c r="P11385" s="21" t="n">
        <v>0</v>
      </c>
      <c r="Q11385" s="21" t="n">
        <v>0</v>
      </c>
      <c r="R11385" s="21" t="n">
        <v>0</v>
      </c>
      <c r="S11385" s="21" t="n">
        <v>0</v>
      </c>
      <c r="T11385" s="21" t="n">
        <v>0</v>
      </c>
      <c r="U11385" s="21" t="n">
        <v>0</v>
      </c>
      <c r="V11385" s="21" t="n">
        <v>0</v>
      </c>
      <c r="W11385" s="21" t="n">
        <v>0</v>
      </c>
      <c r="X11385" s="21" t="n">
        <v>0</v>
      </c>
      <c r="Y11385" s="21" t="n">
        <v>0</v>
      </c>
      <c r="Z11385" s="19" t="n"/>
    </row>
    <row r="11386">
      <c r="D11386" s="21" t="n">
        <v>0</v>
      </c>
      <c r="E11386" s="21" t="n">
        <v>0</v>
      </c>
      <c r="F11386" s="21" t="n">
        <v>0</v>
      </c>
      <c r="G11386" s="21" t="n">
        <v>0</v>
      </c>
      <c r="H11386" s="21">
        <f>$B$10477</f>
        <v/>
      </c>
      <c r="I11386" s="21">
        <f>$B$10479</f>
        <v/>
      </c>
      <c r="J11386" s="21">
        <f>0</f>
        <v/>
      </c>
      <c r="K11386" s="21">
        <f>2*$B$10478</f>
        <v/>
      </c>
      <c r="L11386" s="21">
        <f>-$B$10477</f>
        <v/>
      </c>
      <c r="M11386" s="21">
        <f>$B$10479</f>
        <v/>
      </c>
      <c r="N11386" s="21" t="n">
        <v>0</v>
      </c>
      <c r="O11386" s="21" t="n">
        <v>0</v>
      </c>
      <c r="P11386" s="21" t="n">
        <v>0</v>
      </c>
      <c r="Q11386" s="21" t="n">
        <v>0</v>
      </c>
      <c r="R11386" s="21" t="n">
        <v>0</v>
      </c>
      <c r="S11386" s="21" t="n">
        <v>0</v>
      </c>
      <c r="T11386" s="21" t="n">
        <v>0</v>
      </c>
      <c r="U11386" s="21" t="n">
        <v>0</v>
      </c>
      <c r="V11386" s="21" t="n">
        <v>0</v>
      </c>
      <c r="W11386" s="21" t="n">
        <v>0</v>
      </c>
      <c r="X11386" s="21" t="n">
        <v>0</v>
      </c>
      <c r="Y11386" s="21" t="n">
        <v>0</v>
      </c>
      <c r="Z11386" s="19" t="n"/>
    </row>
    <row r="11387">
      <c r="D11387" s="21" t="n">
        <v>0</v>
      </c>
      <c r="E11387" s="21" t="n">
        <v>0</v>
      </c>
      <c r="F11387" s="21" t="n">
        <v>0</v>
      </c>
      <c r="G11387" s="21" t="n">
        <v>0</v>
      </c>
      <c r="H11387" s="21" t="n">
        <v>0</v>
      </c>
      <c r="I11387" s="21" t="n">
        <v>0</v>
      </c>
      <c r="J11387" s="21">
        <f>-$B$10476</f>
        <v/>
      </c>
      <c r="K11387" s="21">
        <f>-$B$10477</f>
        <v/>
      </c>
      <c r="L11387" s="21">
        <f>2*$B$10476+$D$11371</f>
        <v/>
      </c>
      <c r="M11387" s="21">
        <f>0</f>
        <v/>
      </c>
      <c r="N11387" s="21">
        <f>-$B$10476</f>
        <v/>
      </c>
      <c r="O11387" s="21">
        <f>$B$10477</f>
        <v/>
      </c>
      <c r="P11387" s="21" t="n">
        <v>0</v>
      </c>
      <c r="Q11387" s="21" t="n">
        <v>0</v>
      </c>
      <c r="R11387" s="21" t="n">
        <v>0</v>
      </c>
      <c r="S11387" s="21" t="n">
        <v>0</v>
      </c>
      <c r="T11387" s="21" t="n">
        <v>0</v>
      </c>
      <c r="U11387" s="21" t="n">
        <v>0</v>
      </c>
      <c r="V11387" s="21" t="n">
        <v>0</v>
      </c>
      <c r="W11387" s="21" t="n">
        <v>0</v>
      </c>
      <c r="X11387" s="21" t="n">
        <v>0</v>
      </c>
      <c r="Y11387" s="21" t="n">
        <v>0</v>
      </c>
      <c r="Z11387" s="19" t="n"/>
    </row>
    <row r="11388">
      <c r="D11388" s="21" t="n">
        <v>0</v>
      </c>
      <c r="E11388" s="21" t="n">
        <v>0</v>
      </c>
      <c r="F11388" s="21" t="n">
        <v>0</v>
      </c>
      <c r="G11388" s="21" t="n">
        <v>0</v>
      </c>
      <c r="H11388" s="21" t="n">
        <v>0</v>
      </c>
      <c r="I11388" s="21" t="n">
        <v>0</v>
      </c>
      <c r="J11388" s="21">
        <f>$B$10477</f>
        <v/>
      </c>
      <c r="K11388" s="21">
        <f>$B$10479</f>
        <v/>
      </c>
      <c r="L11388" s="21">
        <f>0</f>
        <v/>
      </c>
      <c r="M11388" s="21">
        <f>2*$B$10478</f>
        <v/>
      </c>
      <c r="N11388" s="21">
        <f>-$B$10477</f>
        <v/>
      </c>
      <c r="O11388" s="21">
        <f>$B$10479</f>
        <v/>
      </c>
      <c r="P11388" s="21" t="n">
        <v>0</v>
      </c>
      <c r="Q11388" s="21" t="n">
        <v>0</v>
      </c>
      <c r="R11388" s="21" t="n">
        <v>0</v>
      </c>
      <c r="S11388" s="21" t="n">
        <v>0</v>
      </c>
      <c r="T11388" s="21" t="n">
        <v>0</v>
      </c>
      <c r="U11388" s="21" t="n">
        <v>0</v>
      </c>
      <c r="V11388" s="21" t="n">
        <v>0</v>
      </c>
      <c r="W11388" s="21" t="n">
        <v>0</v>
      </c>
      <c r="X11388" s="21" t="n">
        <v>0</v>
      </c>
      <c r="Y11388" s="21" t="n">
        <v>0</v>
      </c>
      <c r="Z11388" s="19" t="n"/>
    </row>
    <row r="11389">
      <c r="D11389" s="21" t="n">
        <v>0</v>
      </c>
      <c r="E11389" s="21" t="n">
        <v>0</v>
      </c>
      <c r="F11389" s="21" t="n">
        <v>0</v>
      </c>
      <c r="G11389" s="21" t="n">
        <v>0</v>
      </c>
      <c r="H11389" s="21" t="n">
        <v>0</v>
      </c>
      <c r="I11389" s="21" t="n">
        <v>0</v>
      </c>
      <c r="J11389" s="21" t="n">
        <v>0</v>
      </c>
      <c r="K11389" s="21" t="n">
        <v>0</v>
      </c>
      <c r="L11389" s="21">
        <f>-$B$10476</f>
        <v/>
      </c>
      <c r="M11389" s="21">
        <f>-$B$10477</f>
        <v/>
      </c>
      <c r="N11389" s="21">
        <f>2*$B$10476+$D$11372</f>
        <v/>
      </c>
      <c r="O11389" s="21">
        <f>0</f>
        <v/>
      </c>
      <c r="P11389" s="21">
        <f>-$B$10476</f>
        <v/>
      </c>
      <c r="Q11389" s="21">
        <f>$B$10477</f>
        <v/>
      </c>
      <c r="R11389" s="21" t="n">
        <v>0</v>
      </c>
      <c r="S11389" s="21" t="n">
        <v>0</v>
      </c>
      <c r="T11389" s="21" t="n">
        <v>0</v>
      </c>
      <c r="U11389" s="21" t="n">
        <v>0</v>
      </c>
      <c r="V11389" s="21" t="n">
        <v>0</v>
      </c>
      <c r="W11389" s="21" t="n">
        <v>0</v>
      </c>
      <c r="X11389" s="21" t="n">
        <v>0</v>
      </c>
      <c r="Y11389" s="21" t="n">
        <v>0</v>
      </c>
      <c r="Z11389" s="19" t="n"/>
    </row>
    <row r="11390">
      <c r="D11390" s="21" t="n">
        <v>0</v>
      </c>
      <c r="E11390" s="21" t="n">
        <v>0</v>
      </c>
      <c r="F11390" s="21" t="n">
        <v>0</v>
      </c>
      <c r="G11390" s="21" t="n">
        <v>0</v>
      </c>
      <c r="H11390" s="21" t="n">
        <v>0</v>
      </c>
      <c r="I11390" s="21" t="n">
        <v>0</v>
      </c>
      <c r="J11390" s="21" t="n">
        <v>0</v>
      </c>
      <c r="K11390" s="21" t="n">
        <v>0</v>
      </c>
      <c r="L11390" s="21">
        <f>$B$10477</f>
        <v/>
      </c>
      <c r="M11390" s="21">
        <f>$B$10479</f>
        <v/>
      </c>
      <c r="N11390" s="21">
        <f>0</f>
        <v/>
      </c>
      <c r="O11390" s="21">
        <f>2*$B$10478</f>
        <v/>
      </c>
      <c r="P11390" s="21">
        <f>-$B$10477</f>
        <v/>
      </c>
      <c r="Q11390" s="21">
        <f>$B$10479</f>
        <v/>
      </c>
      <c r="R11390" s="21" t="n">
        <v>0</v>
      </c>
      <c r="S11390" s="21" t="n">
        <v>0</v>
      </c>
      <c r="T11390" s="21" t="n">
        <v>0</v>
      </c>
      <c r="U11390" s="21" t="n">
        <v>0</v>
      </c>
      <c r="V11390" s="21" t="n">
        <v>0</v>
      </c>
      <c r="W11390" s="21" t="n">
        <v>0</v>
      </c>
      <c r="X11390" s="21" t="n">
        <v>0</v>
      </c>
      <c r="Y11390" s="21" t="n">
        <v>0</v>
      </c>
      <c r="Z11390" s="19" t="n"/>
    </row>
    <row r="11391">
      <c r="D11391" s="21" t="n">
        <v>0</v>
      </c>
      <c r="E11391" s="21" t="n">
        <v>0</v>
      </c>
      <c r="F11391" s="21" t="n">
        <v>0</v>
      </c>
      <c r="G11391" s="21" t="n">
        <v>0</v>
      </c>
      <c r="H11391" s="21" t="n">
        <v>0</v>
      </c>
      <c r="I11391" s="21" t="n">
        <v>0</v>
      </c>
      <c r="J11391" s="21" t="n">
        <v>0</v>
      </c>
      <c r="K11391" s="21" t="n">
        <v>0</v>
      </c>
      <c r="L11391" s="21" t="n">
        <v>0</v>
      </c>
      <c r="M11391" s="21" t="n">
        <v>0</v>
      </c>
      <c r="N11391" s="21">
        <f>-$B$10476</f>
        <v/>
      </c>
      <c r="O11391" s="21">
        <f>-$B$10477</f>
        <v/>
      </c>
      <c r="P11391" s="21">
        <f>2*$B$10476+$D$11373</f>
        <v/>
      </c>
      <c r="Q11391" s="21">
        <f>0</f>
        <v/>
      </c>
      <c r="R11391" s="21">
        <f>-$B$10476</f>
        <v/>
      </c>
      <c r="S11391" s="21">
        <f>$B$10477</f>
        <v/>
      </c>
      <c r="T11391" s="21" t="n">
        <v>0</v>
      </c>
      <c r="U11391" s="21" t="n">
        <v>0</v>
      </c>
      <c r="V11391" s="21" t="n">
        <v>0</v>
      </c>
      <c r="W11391" s="21" t="n">
        <v>0</v>
      </c>
      <c r="X11391" s="21" t="n">
        <v>0</v>
      </c>
      <c r="Y11391" s="21" t="n">
        <v>0</v>
      </c>
      <c r="Z11391" s="19" t="n"/>
    </row>
    <row r="11392">
      <c r="D11392" s="21" t="n">
        <v>0</v>
      </c>
      <c r="E11392" s="21" t="n">
        <v>0</v>
      </c>
      <c r="F11392" s="21" t="n">
        <v>0</v>
      </c>
      <c r="G11392" s="21" t="n">
        <v>0</v>
      </c>
      <c r="H11392" s="21" t="n">
        <v>0</v>
      </c>
      <c r="I11392" s="21" t="n">
        <v>0</v>
      </c>
      <c r="J11392" s="21" t="n">
        <v>0</v>
      </c>
      <c r="K11392" s="21" t="n">
        <v>0</v>
      </c>
      <c r="L11392" s="21" t="n">
        <v>0</v>
      </c>
      <c r="M11392" s="21" t="n">
        <v>0</v>
      </c>
      <c r="N11392" s="21">
        <f>$B$10477</f>
        <v/>
      </c>
      <c r="O11392" s="21">
        <f>$B$10479</f>
        <v/>
      </c>
      <c r="P11392" s="21">
        <f>0</f>
        <v/>
      </c>
      <c r="Q11392" s="21">
        <f>2*$B$10478</f>
        <v/>
      </c>
      <c r="R11392" s="21">
        <f>-$B$10477</f>
        <v/>
      </c>
      <c r="S11392" s="21">
        <f>$B$10479</f>
        <v/>
      </c>
      <c r="T11392" s="21" t="n">
        <v>0</v>
      </c>
      <c r="U11392" s="21" t="n">
        <v>0</v>
      </c>
      <c r="V11392" s="21" t="n">
        <v>0</v>
      </c>
      <c r="W11392" s="21" t="n">
        <v>0</v>
      </c>
      <c r="X11392" s="21" t="n">
        <v>0</v>
      </c>
      <c r="Y11392" s="21" t="n">
        <v>0</v>
      </c>
      <c r="Z11392" s="19" t="n"/>
    </row>
    <row r="11393">
      <c r="D11393" s="21" t="n">
        <v>0</v>
      </c>
      <c r="E11393" s="21" t="n">
        <v>0</v>
      </c>
      <c r="F11393" s="21" t="n">
        <v>0</v>
      </c>
      <c r="G11393" s="21" t="n">
        <v>0</v>
      </c>
      <c r="H11393" s="21" t="n">
        <v>0</v>
      </c>
      <c r="I11393" s="21" t="n">
        <v>0</v>
      </c>
      <c r="J11393" s="21" t="n">
        <v>0</v>
      </c>
      <c r="K11393" s="21" t="n">
        <v>0</v>
      </c>
      <c r="L11393" s="21" t="n">
        <v>0</v>
      </c>
      <c r="M11393" s="21" t="n">
        <v>0</v>
      </c>
      <c r="N11393" s="21" t="n">
        <v>0</v>
      </c>
      <c r="O11393" s="21" t="n">
        <v>0</v>
      </c>
      <c r="P11393" s="21">
        <f>-$B$10476</f>
        <v/>
      </c>
      <c r="Q11393" s="21">
        <f>-$B$10477</f>
        <v/>
      </c>
      <c r="R11393" s="21">
        <f>2*$B$10476+$D$11374</f>
        <v/>
      </c>
      <c r="S11393" s="21">
        <f>0</f>
        <v/>
      </c>
      <c r="T11393" s="21">
        <f>-$B$10476</f>
        <v/>
      </c>
      <c r="U11393" s="21">
        <f>$B$10477</f>
        <v/>
      </c>
      <c r="V11393" s="21" t="n">
        <v>0</v>
      </c>
      <c r="W11393" s="21" t="n">
        <v>0</v>
      </c>
      <c r="X11393" s="21" t="n">
        <v>0</v>
      </c>
      <c r="Y11393" s="21" t="n">
        <v>0</v>
      </c>
      <c r="Z11393" s="19" t="n"/>
    </row>
    <row r="11394">
      <c r="D11394" s="21" t="n">
        <v>0</v>
      </c>
      <c r="E11394" s="21" t="n">
        <v>0</v>
      </c>
      <c r="F11394" s="21" t="n">
        <v>0</v>
      </c>
      <c r="G11394" s="21" t="n">
        <v>0</v>
      </c>
      <c r="H11394" s="21" t="n">
        <v>0</v>
      </c>
      <c r="I11394" s="21" t="n">
        <v>0</v>
      </c>
      <c r="J11394" s="21" t="n">
        <v>0</v>
      </c>
      <c r="K11394" s="21" t="n">
        <v>0</v>
      </c>
      <c r="L11394" s="21" t="n">
        <v>0</v>
      </c>
      <c r="M11394" s="21" t="n">
        <v>0</v>
      </c>
      <c r="N11394" s="21" t="n">
        <v>0</v>
      </c>
      <c r="O11394" s="21" t="n">
        <v>0</v>
      </c>
      <c r="P11394" s="21">
        <f>$B$10477</f>
        <v/>
      </c>
      <c r="Q11394" s="21">
        <f>$B$10479</f>
        <v/>
      </c>
      <c r="R11394" s="21">
        <f>0</f>
        <v/>
      </c>
      <c r="S11394" s="21">
        <f>2*$B$10478</f>
        <v/>
      </c>
      <c r="T11394" s="21">
        <f>-$B$10477</f>
        <v/>
      </c>
      <c r="U11394" s="21">
        <f>$B$10479</f>
        <v/>
      </c>
      <c r="V11394" s="21" t="n">
        <v>0</v>
      </c>
      <c r="W11394" s="21" t="n">
        <v>0</v>
      </c>
      <c r="X11394" s="21" t="n">
        <v>0</v>
      </c>
      <c r="Y11394" s="21" t="n">
        <v>0</v>
      </c>
      <c r="Z11394" s="19" t="n"/>
    </row>
    <row r="11395">
      <c r="D11395" s="21" t="n">
        <v>0</v>
      </c>
      <c r="E11395" s="21" t="n">
        <v>0</v>
      </c>
      <c r="F11395" s="21" t="n">
        <v>0</v>
      </c>
      <c r="G11395" s="21" t="n">
        <v>0</v>
      </c>
      <c r="H11395" s="21" t="n">
        <v>0</v>
      </c>
      <c r="I11395" s="21" t="n">
        <v>0</v>
      </c>
      <c r="J11395" s="21" t="n">
        <v>0</v>
      </c>
      <c r="K11395" s="21" t="n">
        <v>0</v>
      </c>
      <c r="L11395" s="21" t="n">
        <v>0</v>
      </c>
      <c r="M11395" s="21" t="n">
        <v>0</v>
      </c>
      <c r="N11395" s="21" t="n">
        <v>0</v>
      </c>
      <c r="O11395" s="21" t="n">
        <v>0</v>
      </c>
      <c r="P11395" s="21" t="n">
        <v>0</v>
      </c>
      <c r="Q11395" s="21" t="n">
        <v>0</v>
      </c>
      <c r="R11395" s="21">
        <f>-$B$10476</f>
        <v/>
      </c>
      <c r="S11395" s="21">
        <f>-$B$10477</f>
        <v/>
      </c>
      <c r="T11395" s="21">
        <f>2*$B$10476+$D$11375</f>
        <v/>
      </c>
      <c r="U11395" s="21">
        <f>0</f>
        <v/>
      </c>
      <c r="V11395" s="21">
        <f>-$B$10476</f>
        <v/>
      </c>
      <c r="W11395" s="21">
        <f>$B$10477</f>
        <v/>
      </c>
      <c r="X11395" s="21" t="n">
        <v>0</v>
      </c>
      <c r="Y11395" s="21" t="n">
        <v>0</v>
      </c>
      <c r="Z11395" s="19" t="n"/>
    </row>
    <row r="11396">
      <c r="D11396" s="21" t="n">
        <v>0</v>
      </c>
      <c r="E11396" s="21" t="n">
        <v>0</v>
      </c>
      <c r="F11396" s="21" t="n">
        <v>0</v>
      </c>
      <c r="G11396" s="21" t="n">
        <v>0</v>
      </c>
      <c r="H11396" s="21" t="n">
        <v>0</v>
      </c>
      <c r="I11396" s="21" t="n">
        <v>0</v>
      </c>
      <c r="J11396" s="21" t="n">
        <v>0</v>
      </c>
      <c r="K11396" s="21" t="n">
        <v>0</v>
      </c>
      <c r="L11396" s="21" t="n">
        <v>0</v>
      </c>
      <c r="M11396" s="21" t="n">
        <v>0</v>
      </c>
      <c r="N11396" s="21" t="n">
        <v>0</v>
      </c>
      <c r="O11396" s="21" t="n">
        <v>0</v>
      </c>
      <c r="P11396" s="21" t="n">
        <v>0</v>
      </c>
      <c r="Q11396" s="21" t="n">
        <v>0</v>
      </c>
      <c r="R11396" s="21">
        <f>$B$10477</f>
        <v/>
      </c>
      <c r="S11396" s="21">
        <f>$B$10479</f>
        <v/>
      </c>
      <c r="T11396" s="21">
        <f>0</f>
        <v/>
      </c>
      <c r="U11396" s="21">
        <f>2*$B$10478</f>
        <v/>
      </c>
      <c r="V11396" s="21">
        <f>-$B$10477</f>
        <v/>
      </c>
      <c r="W11396" s="21">
        <f>$B$10479</f>
        <v/>
      </c>
      <c r="X11396" s="21" t="n">
        <v>0</v>
      </c>
      <c r="Y11396" s="21" t="n">
        <v>0</v>
      </c>
      <c r="Z11396" s="19" t="n"/>
    </row>
    <row r="11397">
      <c r="D11397" s="21" t="n">
        <v>0</v>
      </c>
      <c r="E11397" s="21" t="n">
        <v>0</v>
      </c>
      <c r="F11397" s="21" t="n">
        <v>0</v>
      </c>
      <c r="G11397" s="21" t="n">
        <v>0</v>
      </c>
      <c r="H11397" s="21" t="n">
        <v>0</v>
      </c>
      <c r="I11397" s="21" t="n">
        <v>0</v>
      </c>
      <c r="J11397" s="21" t="n">
        <v>0</v>
      </c>
      <c r="K11397" s="21" t="n">
        <v>0</v>
      </c>
      <c r="L11397" s="21" t="n">
        <v>0</v>
      </c>
      <c r="M11397" s="21" t="n">
        <v>0</v>
      </c>
      <c r="N11397" s="21" t="n">
        <v>0</v>
      </c>
      <c r="O11397" s="21" t="n">
        <v>0</v>
      </c>
      <c r="P11397" s="21" t="n">
        <v>0</v>
      </c>
      <c r="Q11397" s="21" t="n">
        <v>0</v>
      </c>
      <c r="R11397" s="21" t="n">
        <v>0</v>
      </c>
      <c r="S11397" s="21" t="n">
        <v>0</v>
      </c>
      <c r="T11397" s="21">
        <f>-$B$10476</f>
        <v/>
      </c>
      <c r="U11397" s="21">
        <f>-$B$10477</f>
        <v/>
      </c>
      <c r="V11397" s="21">
        <f>2*$B$10476+$D$11376</f>
        <v/>
      </c>
      <c r="W11397" s="21">
        <f>0</f>
        <v/>
      </c>
      <c r="X11397" s="21">
        <f>-$B$10476</f>
        <v/>
      </c>
      <c r="Y11397" s="21">
        <f>$B$10477</f>
        <v/>
      </c>
      <c r="Z11397" s="19" t="n"/>
    </row>
    <row r="11398">
      <c r="D11398" s="21" t="n">
        <v>0</v>
      </c>
      <c r="E11398" s="21" t="n">
        <v>0</v>
      </c>
      <c r="F11398" s="21" t="n">
        <v>0</v>
      </c>
      <c r="G11398" s="21" t="n">
        <v>0</v>
      </c>
      <c r="H11398" s="21" t="n">
        <v>0</v>
      </c>
      <c r="I11398" s="21" t="n">
        <v>0</v>
      </c>
      <c r="J11398" s="21" t="n">
        <v>0</v>
      </c>
      <c r="K11398" s="21" t="n">
        <v>0</v>
      </c>
      <c r="L11398" s="21" t="n">
        <v>0</v>
      </c>
      <c r="M11398" s="21" t="n">
        <v>0</v>
      </c>
      <c r="N11398" s="21" t="n">
        <v>0</v>
      </c>
      <c r="O11398" s="21" t="n">
        <v>0</v>
      </c>
      <c r="P11398" s="21" t="n">
        <v>0</v>
      </c>
      <c r="Q11398" s="21" t="n">
        <v>0</v>
      </c>
      <c r="R11398" s="21" t="n">
        <v>0</v>
      </c>
      <c r="S11398" s="21" t="n">
        <v>0</v>
      </c>
      <c r="T11398" s="21">
        <f>$B$10477</f>
        <v/>
      </c>
      <c r="U11398" s="21">
        <f>$B$10479</f>
        <v/>
      </c>
      <c r="V11398" s="21">
        <f>0</f>
        <v/>
      </c>
      <c r="W11398" s="21">
        <f>2*$B$10478</f>
        <v/>
      </c>
      <c r="X11398" s="21">
        <f>-$B$10477</f>
        <v/>
      </c>
      <c r="Y11398" s="21">
        <f>$B$10479</f>
        <v/>
      </c>
      <c r="Z11398" s="19" t="n"/>
    </row>
    <row r="11399">
      <c r="D11399" s="21" t="n">
        <v>0</v>
      </c>
      <c r="E11399" s="21" t="n">
        <v>0</v>
      </c>
      <c r="F11399" s="21" t="n">
        <v>0</v>
      </c>
      <c r="G11399" s="21" t="n">
        <v>0</v>
      </c>
      <c r="H11399" s="21" t="n">
        <v>0</v>
      </c>
      <c r="I11399" s="21" t="n">
        <v>0</v>
      </c>
      <c r="J11399" s="21" t="n">
        <v>0</v>
      </c>
      <c r="K11399" s="21" t="n">
        <v>0</v>
      </c>
      <c r="L11399" s="21" t="n">
        <v>0</v>
      </c>
      <c r="M11399" s="21" t="n">
        <v>0</v>
      </c>
      <c r="N11399" s="21" t="n">
        <v>0</v>
      </c>
      <c r="O11399" s="21" t="n">
        <v>0</v>
      </c>
      <c r="P11399" s="21" t="n">
        <v>0</v>
      </c>
      <c r="Q11399" s="21" t="n">
        <v>0</v>
      </c>
      <c r="R11399" s="21" t="n">
        <v>0</v>
      </c>
      <c r="S11399" s="21" t="n">
        <v>0</v>
      </c>
      <c r="T11399" s="21" t="n">
        <v>0</v>
      </c>
      <c r="U11399" s="21" t="n">
        <v>0</v>
      </c>
      <c r="V11399" s="21">
        <f>-$B$10476</f>
        <v/>
      </c>
      <c r="W11399" s="21">
        <f>-$B$10477</f>
        <v/>
      </c>
      <c r="X11399" s="21">
        <f>$B$10476+$D$11377</f>
        <v/>
      </c>
      <c r="Y11399" s="21">
        <f>-$B$10477</f>
        <v/>
      </c>
      <c r="Z11399" s="19" t="n"/>
    </row>
    <row r="11400">
      <c r="D11400" s="21" t="n">
        <v>0</v>
      </c>
      <c r="E11400" s="21" t="n">
        <v>0</v>
      </c>
      <c r="F11400" s="21" t="n">
        <v>0</v>
      </c>
      <c r="G11400" s="21" t="n">
        <v>0</v>
      </c>
      <c r="H11400" s="21" t="n">
        <v>0</v>
      </c>
      <c r="I11400" s="21" t="n">
        <v>0</v>
      </c>
      <c r="J11400" s="21" t="n">
        <v>0</v>
      </c>
      <c r="K11400" s="21" t="n">
        <v>0</v>
      </c>
      <c r="L11400" s="21" t="n">
        <v>0</v>
      </c>
      <c r="M11400" s="21" t="n">
        <v>0</v>
      </c>
      <c r="N11400" s="21" t="n">
        <v>0</v>
      </c>
      <c r="O11400" s="21" t="n">
        <v>0</v>
      </c>
      <c r="P11400" s="21" t="n">
        <v>0</v>
      </c>
      <c r="Q11400" s="21" t="n">
        <v>0</v>
      </c>
      <c r="R11400" s="21" t="n">
        <v>0</v>
      </c>
      <c r="S11400" s="21" t="n">
        <v>0</v>
      </c>
      <c r="T11400" s="21" t="n">
        <v>0</v>
      </c>
      <c r="U11400" s="21" t="n">
        <v>0</v>
      </c>
      <c r="V11400" s="21">
        <f>$B$10477</f>
        <v/>
      </c>
      <c r="W11400" s="21">
        <f>$B$10479</f>
        <v/>
      </c>
      <c r="X11400" s="21">
        <f>-$B$10477</f>
        <v/>
      </c>
      <c r="Y11400" s="21">
        <f>$B$10478</f>
        <v/>
      </c>
      <c r="Z11400" s="19" t="n"/>
    </row>
    <row r="11402">
      <c r="A11402" s="8" t="inlineStr">
        <is>
          <t>gen 25</t>
        </is>
      </c>
    </row>
    <row r="11403">
      <c r="D11403" s="19">
        <f>IF(ABS(IF(ABS($E$11367)&gt;0.000000001,$E$11367,0.000000001))=0,0,IF($E$10491&lt;=$B$10485,0,IF(ABS(IF(ABS($E$11367)&gt;0.000000001,$E$11367,0.000000001))&gt;=8*$B$10487,$H$10491,0.5*$H$10491*(ABS(IF(ABS($E$11367)&gt;0.000000001,$E$11367,0.000000001))/$B$10487)^(1/3)))/ABS(IF(ABS($E$11367)&gt;0.000000001,$E$11367,0.000000001))*$I$10491)</f>
        <v/>
      </c>
      <c r="E11403" s="19">
        <f>0.5*$E$11367+0.5*$Z$11415</f>
        <v/>
      </c>
      <c r="F11403" s="19">
        <f>$Z$11416</f>
        <v/>
      </c>
    </row>
    <row r="11404">
      <c r="D11404" s="19">
        <f>IF(ABS(IF(ABS($E$11368)&gt;0.000000001,$E$11368,0.000000001))=0,0,IF($E$10492&lt;=$B$10485,0,IF(ABS(IF(ABS($E$11368)&gt;0.000000001,$E$11368,0.000000001))&gt;=8*$B$10487,$H$10492,0.5*$H$10492*(ABS(IF(ABS($E$11368)&gt;0.000000001,$E$11368,0.000000001))/$B$10487)^(1/3)))/ABS(IF(ABS($E$11368)&gt;0.000000001,$E$11368,0.000000001))*$I$10492)</f>
        <v/>
      </c>
      <c r="E11404" s="19">
        <f>0.5*$E$11368+0.5*$Z$11417</f>
        <v/>
      </c>
      <c r="F11404" s="19">
        <f>$Z$11418</f>
        <v/>
      </c>
    </row>
    <row r="11405">
      <c r="D11405" s="19">
        <f>IF(ABS(IF(ABS($E$11369)&gt;0.000000001,$E$11369,0.000000001))=0,0,IF($E$10493&lt;=$B$10485,0,IF(ABS(IF(ABS($E$11369)&gt;0.000000001,$E$11369,0.000000001))&gt;=8*$B$10487,$H$10493,0.5*$H$10493*(ABS(IF(ABS($E$11369)&gt;0.000000001,$E$11369,0.000000001))/$B$10487)^(1/3)))/ABS(IF(ABS($E$11369)&gt;0.000000001,$E$11369,0.000000001))*$I$10493)</f>
        <v/>
      </c>
      <c r="E11405" s="19">
        <f>0.5*$E$11369+0.5*$Z$11419</f>
        <v/>
      </c>
      <c r="F11405" s="19">
        <f>$Z$11420</f>
        <v/>
      </c>
    </row>
    <row r="11406">
      <c r="D11406" s="19">
        <f>IF(ABS(IF(ABS($E$11370)&gt;0.000000001,$E$11370,0.000000001))=0,0,IF($E$10494&lt;=$B$10485,0,IF(ABS(IF(ABS($E$11370)&gt;0.000000001,$E$11370,0.000000001))&gt;=8*$B$10487,$H$10494,0.5*$H$10494*(ABS(IF(ABS($E$11370)&gt;0.000000001,$E$11370,0.000000001))/$B$10487)^(1/3)))/ABS(IF(ABS($E$11370)&gt;0.000000001,$E$11370,0.000000001))*$I$10494)</f>
        <v/>
      </c>
      <c r="E11406" s="19">
        <f>0.5*$E$11370+0.5*$Z$11421</f>
        <v/>
      </c>
      <c r="F11406" s="19">
        <f>$Z$11422</f>
        <v/>
      </c>
    </row>
    <row r="11407">
      <c r="D11407" s="19">
        <f>IF(ABS(IF(ABS($E$11371)&gt;0.000000001,$E$11371,0.000000001))=0,0,IF($E$10495&lt;=$B$10485,0,IF(ABS(IF(ABS($E$11371)&gt;0.000000001,$E$11371,0.000000001))&gt;=8*$B$10487,$H$10495,0.5*$H$10495*(ABS(IF(ABS($E$11371)&gt;0.000000001,$E$11371,0.000000001))/$B$10487)^(1/3)))/ABS(IF(ABS($E$11371)&gt;0.000000001,$E$11371,0.000000001))*$I$10495)</f>
        <v/>
      </c>
      <c r="E11407" s="19">
        <f>0.5*$E$11371+0.5*$Z$11423</f>
        <v/>
      </c>
      <c r="F11407" s="19">
        <f>$Z$11424</f>
        <v/>
      </c>
    </row>
    <row r="11408">
      <c r="D11408" s="19">
        <f>IF(ABS(IF(ABS($E$11372)&gt;0.000000001,$E$11372,0.000000001))=0,0,IF($E$10496&lt;=$B$10485,0,IF(ABS(IF(ABS($E$11372)&gt;0.000000001,$E$11372,0.000000001))&gt;=8*$B$10487,$H$10496,0.5*$H$10496*(ABS(IF(ABS($E$11372)&gt;0.000000001,$E$11372,0.000000001))/$B$10487)^(1/3)))/ABS(IF(ABS($E$11372)&gt;0.000000001,$E$11372,0.000000001))*$I$10496)</f>
        <v/>
      </c>
      <c r="E11408" s="19">
        <f>0.5*$E$11372+0.5*$Z$11425</f>
        <v/>
      </c>
      <c r="F11408" s="19">
        <f>$Z$11426</f>
        <v/>
      </c>
    </row>
    <row r="11409">
      <c r="D11409" s="19">
        <f>IF(ABS(IF(ABS($E$11373)&gt;0.000000001,$E$11373,0.000000001))=0,0,IF($E$10497&lt;=$B$10485,0,IF(ABS(IF(ABS($E$11373)&gt;0.000000001,$E$11373,0.000000001))&gt;=8*$B$10487,$H$10497,0.5*$H$10497*(ABS(IF(ABS($E$11373)&gt;0.000000001,$E$11373,0.000000001))/$B$10487)^(1/3)))/ABS(IF(ABS($E$11373)&gt;0.000000001,$E$11373,0.000000001))*$I$10497)</f>
        <v/>
      </c>
      <c r="E11409" s="19">
        <f>0.5*$E$11373+0.5*$Z$11427</f>
        <v/>
      </c>
      <c r="F11409" s="19">
        <f>$Z$11428</f>
        <v/>
      </c>
    </row>
    <row r="11410">
      <c r="D11410" s="19">
        <f>IF(ABS(IF(ABS($E$11374)&gt;0.000000001,$E$11374,0.000000001))=0,0,IF($E$10498&lt;=$B$10485,0,IF(ABS(IF(ABS($E$11374)&gt;0.000000001,$E$11374,0.000000001))&gt;=8*$B$10487,$H$10498,0.5*$H$10498*(ABS(IF(ABS($E$11374)&gt;0.000000001,$E$11374,0.000000001))/$B$10487)^(1/3)))/ABS(IF(ABS($E$11374)&gt;0.000000001,$E$11374,0.000000001))*$I$10498)</f>
        <v/>
      </c>
      <c r="E11410" s="19">
        <f>0.5*$E$11374+0.5*$Z$11429</f>
        <v/>
      </c>
      <c r="F11410" s="19">
        <f>$Z$11430</f>
        <v/>
      </c>
    </row>
    <row r="11411">
      <c r="D11411" s="19">
        <f>IF(ABS(IF(ABS($E$11375)&gt;0.000000001,$E$11375,0.000000001))=0,0,IF($E$10499&lt;=$B$10485,0,IF(ABS(IF(ABS($E$11375)&gt;0.000000001,$E$11375,0.000000001))&gt;=8*$B$10487,$H$10499,0.5*$H$10499*(ABS(IF(ABS($E$11375)&gt;0.000000001,$E$11375,0.000000001))/$B$10487)^(1/3)))/ABS(IF(ABS($E$11375)&gt;0.000000001,$E$11375,0.000000001))*$I$10499)</f>
        <v/>
      </c>
      <c r="E11411" s="19">
        <f>0.5*$E$11375+0.5*$Z$11431</f>
        <v/>
      </c>
      <c r="F11411" s="19">
        <f>$Z$11432</f>
        <v/>
      </c>
    </row>
    <row r="11412">
      <c r="D11412" s="19">
        <f>IF(ABS(IF(ABS($E$11376)&gt;0.000000001,$E$11376,0.000000001))=0,0,IF($E$10500&lt;=$B$10485,0,IF(ABS(IF(ABS($E$11376)&gt;0.000000001,$E$11376,0.000000001))&gt;=8*$B$10487,$H$10500,0.5*$H$10500*(ABS(IF(ABS($E$11376)&gt;0.000000001,$E$11376,0.000000001))/$B$10487)^(1/3)))/ABS(IF(ABS($E$11376)&gt;0.000000001,$E$11376,0.000000001))*$I$10500)</f>
        <v/>
      </c>
      <c r="E11412" s="19">
        <f>0.5*$E$11376+0.5*$Z$11433</f>
        <v/>
      </c>
      <c r="F11412" s="19">
        <f>$Z$11434</f>
        <v/>
      </c>
    </row>
    <row r="11413">
      <c r="D11413" s="19">
        <f>IF(ABS(IF(ABS($E$11377)&gt;0.000000001,$E$11377,0.000000001))=0,0,IF($E$10501&lt;=$B$10485,0,IF(ABS(IF(ABS($E$11377)&gt;0.000000001,$E$11377,0.000000001))&gt;=8*$B$10487,$H$10501,0.5*$H$10501*(ABS(IF(ABS($E$11377)&gt;0.000000001,$E$11377,0.000000001))/$B$10487)^(1/3)))/ABS(IF(ABS($E$11377)&gt;0.000000001,$E$11377,0.000000001))*$I$10501)</f>
        <v/>
      </c>
      <c r="E11413" s="19">
        <f>0.5*$E$11377+0.5*$Z$11435</f>
        <v/>
      </c>
      <c r="F11413" s="19">
        <f>$Z$11436</f>
        <v/>
      </c>
    </row>
    <row r="11415">
      <c r="D11415" s="21">
        <f>$B$10476+$D$11403</f>
        <v/>
      </c>
      <c r="E11415" s="21">
        <f>$B$10477</f>
        <v/>
      </c>
      <c r="F11415" s="21">
        <f>-$B$10476</f>
        <v/>
      </c>
      <c r="G11415" s="21">
        <f>$B$10477</f>
        <v/>
      </c>
      <c r="H11415" s="21" t="n">
        <v>0</v>
      </c>
      <c r="I11415" s="21" t="n">
        <v>0</v>
      </c>
      <c r="J11415" s="21" t="n">
        <v>0</v>
      </c>
      <c r="K11415" s="21" t="n">
        <v>0</v>
      </c>
      <c r="L11415" s="21" t="n">
        <v>0</v>
      </c>
      <c r="M11415" s="21" t="n">
        <v>0</v>
      </c>
      <c r="N11415" s="21" t="n">
        <v>0</v>
      </c>
      <c r="O11415" s="21" t="n">
        <v>0</v>
      </c>
      <c r="P11415" s="21" t="n">
        <v>0</v>
      </c>
      <c r="Q11415" s="21" t="n">
        <v>0</v>
      </c>
      <c r="R11415" s="21" t="n">
        <v>0</v>
      </c>
      <c r="S11415" s="21" t="n">
        <v>0</v>
      </c>
      <c r="T11415" s="21" t="n">
        <v>0</v>
      </c>
      <c r="U11415" s="21" t="n">
        <v>0</v>
      </c>
      <c r="V11415" s="21" t="n">
        <v>0</v>
      </c>
      <c r="W11415" s="21" t="n">
        <v>0</v>
      </c>
      <c r="X11415" s="21" t="n">
        <v>0</v>
      </c>
      <c r="Y11415" s="21" t="n">
        <v>0</v>
      </c>
      <c r="Z11415" s="19">
        <f t="array" ref="Z11415:Z11436">MMULT(MINVERSE($D$11415:$Y$11436),$D$10503:$D$10524)</f>
        <v/>
      </c>
    </row>
    <row r="11416">
      <c r="D11416" s="21">
        <f>$B$10477</f>
        <v/>
      </c>
      <c r="E11416" s="21">
        <f>$B$10478</f>
        <v/>
      </c>
      <c r="F11416" s="21">
        <f>-$B$10477</f>
        <v/>
      </c>
      <c r="G11416" s="21">
        <f>$B$10479</f>
        <v/>
      </c>
      <c r="H11416" s="21" t="n">
        <v>0</v>
      </c>
      <c r="I11416" s="21" t="n">
        <v>0</v>
      </c>
      <c r="J11416" s="21" t="n">
        <v>0</v>
      </c>
      <c r="K11416" s="21" t="n">
        <v>0</v>
      </c>
      <c r="L11416" s="21" t="n">
        <v>0</v>
      </c>
      <c r="M11416" s="21" t="n">
        <v>0</v>
      </c>
      <c r="N11416" s="21" t="n">
        <v>0</v>
      </c>
      <c r="O11416" s="21" t="n">
        <v>0</v>
      </c>
      <c r="P11416" s="21" t="n">
        <v>0</v>
      </c>
      <c r="Q11416" s="21" t="n">
        <v>0</v>
      </c>
      <c r="R11416" s="21" t="n">
        <v>0</v>
      </c>
      <c r="S11416" s="21" t="n">
        <v>0</v>
      </c>
      <c r="T11416" s="21" t="n">
        <v>0</v>
      </c>
      <c r="U11416" s="21" t="n">
        <v>0</v>
      </c>
      <c r="V11416" s="21" t="n">
        <v>0</v>
      </c>
      <c r="W11416" s="21" t="n">
        <v>0</v>
      </c>
      <c r="X11416" s="21" t="n">
        <v>0</v>
      </c>
      <c r="Y11416" s="21" t="n">
        <v>0</v>
      </c>
      <c r="Z11416" s="19" t="n"/>
    </row>
    <row r="11417">
      <c r="D11417" s="21">
        <f>-$B$10476</f>
        <v/>
      </c>
      <c r="E11417" s="21">
        <f>-$B$10477</f>
        <v/>
      </c>
      <c r="F11417" s="21">
        <f>2*$B$10476+$D$11404</f>
        <v/>
      </c>
      <c r="G11417" s="21">
        <f>0</f>
        <v/>
      </c>
      <c r="H11417" s="21">
        <f>-$B$10476</f>
        <v/>
      </c>
      <c r="I11417" s="21">
        <f>$B$10477</f>
        <v/>
      </c>
      <c r="J11417" s="21" t="n">
        <v>0</v>
      </c>
      <c r="K11417" s="21" t="n">
        <v>0</v>
      </c>
      <c r="L11417" s="21" t="n">
        <v>0</v>
      </c>
      <c r="M11417" s="21" t="n">
        <v>0</v>
      </c>
      <c r="N11417" s="21" t="n">
        <v>0</v>
      </c>
      <c r="O11417" s="21" t="n">
        <v>0</v>
      </c>
      <c r="P11417" s="21" t="n">
        <v>0</v>
      </c>
      <c r="Q11417" s="21" t="n">
        <v>0</v>
      </c>
      <c r="R11417" s="21" t="n">
        <v>0</v>
      </c>
      <c r="S11417" s="21" t="n">
        <v>0</v>
      </c>
      <c r="T11417" s="21" t="n">
        <v>0</v>
      </c>
      <c r="U11417" s="21" t="n">
        <v>0</v>
      </c>
      <c r="V11417" s="21" t="n">
        <v>0</v>
      </c>
      <c r="W11417" s="21" t="n">
        <v>0</v>
      </c>
      <c r="X11417" s="21" t="n">
        <v>0</v>
      </c>
      <c r="Y11417" s="21" t="n">
        <v>0</v>
      </c>
      <c r="Z11417" s="19" t="n"/>
    </row>
    <row r="11418">
      <c r="D11418" s="21">
        <f>$B$10477</f>
        <v/>
      </c>
      <c r="E11418" s="21">
        <f>$B$10479</f>
        <v/>
      </c>
      <c r="F11418" s="21">
        <f>0</f>
        <v/>
      </c>
      <c r="G11418" s="21">
        <f>2*$B$10478</f>
        <v/>
      </c>
      <c r="H11418" s="21">
        <f>-$B$10477</f>
        <v/>
      </c>
      <c r="I11418" s="21">
        <f>$B$10479</f>
        <v/>
      </c>
      <c r="J11418" s="21" t="n">
        <v>0</v>
      </c>
      <c r="K11418" s="21" t="n">
        <v>0</v>
      </c>
      <c r="L11418" s="21" t="n">
        <v>0</v>
      </c>
      <c r="M11418" s="21" t="n">
        <v>0</v>
      </c>
      <c r="N11418" s="21" t="n">
        <v>0</v>
      </c>
      <c r="O11418" s="21" t="n">
        <v>0</v>
      </c>
      <c r="P11418" s="21" t="n">
        <v>0</v>
      </c>
      <c r="Q11418" s="21" t="n">
        <v>0</v>
      </c>
      <c r="R11418" s="21" t="n">
        <v>0</v>
      </c>
      <c r="S11418" s="21" t="n">
        <v>0</v>
      </c>
      <c r="T11418" s="21" t="n">
        <v>0</v>
      </c>
      <c r="U11418" s="21" t="n">
        <v>0</v>
      </c>
      <c r="V11418" s="21" t="n">
        <v>0</v>
      </c>
      <c r="W11418" s="21" t="n">
        <v>0</v>
      </c>
      <c r="X11418" s="21" t="n">
        <v>0</v>
      </c>
      <c r="Y11418" s="21" t="n">
        <v>0</v>
      </c>
      <c r="Z11418" s="19" t="n"/>
    </row>
    <row r="11419">
      <c r="D11419" s="21" t="n">
        <v>0</v>
      </c>
      <c r="E11419" s="21" t="n">
        <v>0</v>
      </c>
      <c r="F11419" s="21">
        <f>-$B$10476</f>
        <v/>
      </c>
      <c r="G11419" s="21">
        <f>-$B$10477</f>
        <v/>
      </c>
      <c r="H11419" s="21">
        <f>2*$B$10476+$D$11405</f>
        <v/>
      </c>
      <c r="I11419" s="21">
        <f>0</f>
        <v/>
      </c>
      <c r="J11419" s="21">
        <f>-$B$10476</f>
        <v/>
      </c>
      <c r="K11419" s="21">
        <f>$B$10477</f>
        <v/>
      </c>
      <c r="L11419" s="21" t="n">
        <v>0</v>
      </c>
      <c r="M11419" s="21" t="n">
        <v>0</v>
      </c>
      <c r="N11419" s="21" t="n">
        <v>0</v>
      </c>
      <c r="O11419" s="21" t="n">
        <v>0</v>
      </c>
      <c r="P11419" s="21" t="n">
        <v>0</v>
      </c>
      <c r="Q11419" s="21" t="n">
        <v>0</v>
      </c>
      <c r="R11419" s="21" t="n">
        <v>0</v>
      </c>
      <c r="S11419" s="21" t="n">
        <v>0</v>
      </c>
      <c r="T11419" s="21" t="n">
        <v>0</v>
      </c>
      <c r="U11419" s="21" t="n">
        <v>0</v>
      </c>
      <c r="V11419" s="21" t="n">
        <v>0</v>
      </c>
      <c r="W11419" s="21" t="n">
        <v>0</v>
      </c>
      <c r="X11419" s="21" t="n">
        <v>0</v>
      </c>
      <c r="Y11419" s="21" t="n">
        <v>0</v>
      </c>
      <c r="Z11419" s="19" t="n"/>
    </row>
    <row r="11420">
      <c r="D11420" s="21" t="n">
        <v>0</v>
      </c>
      <c r="E11420" s="21" t="n">
        <v>0</v>
      </c>
      <c r="F11420" s="21">
        <f>$B$10477</f>
        <v/>
      </c>
      <c r="G11420" s="21">
        <f>$B$10479</f>
        <v/>
      </c>
      <c r="H11420" s="21">
        <f>0</f>
        <v/>
      </c>
      <c r="I11420" s="21">
        <f>2*$B$10478</f>
        <v/>
      </c>
      <c r="J11420" s="21">
        <f>-$B$10477</f>
        <v/>
      </c>
      <c r="K11420" s="21">
        <f>$B$10479</f>
        <v/>
      </c>
      <c r="L11420" s="21" t="n">
        <v>0</v>
      </c>
      <c r="M11420" s="21" t="n">
        <v>0</v>
      </c>
      <c r="N11420" s="21" t="n">
        <v>0</v>
      </c>
      <c r="O11420" s="21" t="n">
        <v>0</v>
      </c>
      <c r="P11420" s="21" t="n">
        <v>0</v>
      </c>
      <c r="Q11420" s="21" t="n">
        <v>0</v>
      </c>
      <c r="R11420" s="21" t="n">
        <v>0</v>
      </c>
      <c r="S11420" s="21" t="n">
        <v>0</v>
      </c>
      <c r="T11420" s="21" t="n">
        <v>0</v>
      </c>
      <c r="U11420" s="21" t="n">
        <v>0</v>
      </c>
      <c r="V11420" s="21" t="n">
        <v>0</v>
      </c>
      <c r="W11420" s="21" t="n">
        <v>0</v>
      </c>
      <c r="X11420" s="21" t="n">
        <v>0</v>
      </c>
      <c r="Y11420" s="21" t="n">
        <v>0</v>
      </c>
      <c r="Z11420" s="19" t="n"/>
    </row>
    <row r="11421">
      <c r="D11421" s="21" t="n">
        <v>0</v>
      </c>
      <c r="E11421" s="21" t="n">
        <v>0</v>
      </c>
      <c r="F11421" s="21" t="n">
        <v>0</v>
      </c>
      <c r="G11421" s="21" t="n">
        <v>0</v>
      </c>
      <c r="H11421" s="21">
        <f>-$B$10476</f>
        <v/>
      </c>
      <c r="I11421" s="21">
        <f>-$B$10477</f>
        <v/>
      </c>
      <c r="J11421" s="21">
        <f>2*$B$10476+$D$11406</f>
        <v/>
      </c>
      <c r="K11421" s="21">
        <f>0</f>
        <v/>
      </c>
      <c r="L11421" s="21">
        <f>-$B$10476</f>
        <v/>
      </c>
      <c r="M11421" s="21">
        <f>$B$10477</f>
        <v/>
      </c>
      <c r="N11421" s="21" t="n">
        <v>0</v>
      </c>
      <c r="O11421" s="21" t="n">
        <v>0</v>
      </c>
      <c r="P11421" s="21" t="n">
        <v>0</v>
      </c>
      <c r="Q11421" s="21" t="n">
        <v>0</v>
      </c>
      <c r="R11421" s="21" t="n">
        <v>0</v>
      </c>
      <c r="S11421" s="21" t="n">
        <v>0</v>
      </c>
      <c r="T11421" s="21" t="n">
        <v>0</v>
      </c>
      <c r="U11421" s="21" t="n">
        <v>0</v>
      </c>
      <c r="V11421" s="21" t="n">
        <v>0</v>
      </c>
      <c r="W11421" s="21" t="n">
        <v>0</v>
      </c>
      <c r="X11421" s="21" t="n">
        <v>0</v>
      </c>
      <c r="Y11421" s="21" t="n">
        <v>0</v>
      </c>
      <c r="Z11421" s="19" t="n"/>
    </row>
    <row r="11422">
      <c r="D11422" s="21" t="n">
        <v>0</v>
      </c>
      <c r="E11422" s="21" t="n">
        <v>0</v>
      </c>
      <c r="F11422" s="21" t="n">
        <v>0</v>
      </c>
      <c r="G11422" s="21" t="n">
        <v>0</v>
      </c>
      <c r="H11422" s="21">
        <f>$B$10477</f>
        <v/>
      </c>
      <c r="I11422" s="21">
        <f>$B$10479</f>
        <v/>
      </c>
      <c r="J11422" s="21">
        <f>0</f>
        <v/>
      </c>
      <c r="K11422" s="21">
        <f>2*$B$10478</f>
        <v/>
      </c>
      <c r="L11422" s="21">
        <f>-$B$10477</f>
        <v/>
      </c>
      <c r="M11422" s="21">
        <f>$B$10479</f>
        <v/>
      </c>
      <c r="N11422" s="21" t="n">
        <v>0</v>
      </c>
      <c r="O11422" s="21" t="n">
        <v>0</v>
      </c>
      <c r="P11422" s="21" t="n">
        <v>0</v>
      </c>
      <c r="Q11422" s="21" t="n">
        <v>0</v>
      </c>
      <c r="R11422" s="21" t="n">
        <v>0</v>
      </c>
      <c r="S11422" s="21" t="n">
        <v>0</v>
      </c>
      <c r="T11422" s="21" t="n">
        <v>0</v>
      </c>
      <c r="U11422" s="21" t="n">
        <v>0</v>
      </c>
      <c r="V11422" s="21" t="n">
        <v>0</v>
      </c>
      <c r="W11422" s="21" t="n">
        <v>0</v>
      </c>
      <c r="X11422" s="21" t="n">
        <v>0</v>
      </c>
      <c r="Y11422" s="21" t="n">
        <v>0</v>
      </c>
      <c r="Z11422" s="19" t="n"/>
    </row>
    <row r="11423">
      <c r="D11423" s="21" t="n">
        <v>0</v>
      </c>
      <c r="E11423" s="21" t="n">
        <v>0</v>
      </c>
      <c r="F11423" s="21" t="n">
        <v>0</v>
      </c>
      <c r="G11423" s="21" t="n">
        <v>0</v>
      </c>
      <c r="H11423" s="21" t="n">
        <v>0</v>
      </c>
      <c r="I11423" s="21" t="n">
        <v>0</v>
      </c>
      <c r="J11423" s="21">
        <f>-$B$10476</f>
        <v/>
      </c>
      <c r="K11423" s="21">
        <f>-$B$10477</f>
        <v/>
      </c>
      <c r="L11423" s="21">
        <f>2*$B$10476+$D$11407</f>
        <v/>
      </c>
      <c r="M11423" s="21">
        <f>0</f>
        <v/>
      </c>
      <c r="N11423" s="21">
        <f>-$B$10476</f>
        <v/>
      </c>
      <c r="O11423" s="21">
        <f>$B$10477</f>
        <v/>
      </c>
      <c r="P11423" s="21" t="n">
        <v>0</v>
      </c>
      <c r="Q11423" s="21" t="n">
        <v>0</v>
      </c>
      <c r="R11423" s="21" t="n">
        <v>0</v>
      </c>
      <c r="S11423" s="21" t="n">
        <v>0</v>
      </c>
      <c r="T11423" s="21" t="n">
        <v>0</v>
      </c>
      <c r="U11423" s="21" t="n">
        <v>0</v>
      </c>
      <c r="V11423" s="21" t="n">
        <v>0</v>
      </c>
      <c r="W11423" s="21" t="n">
        <v>0</v>
      </c>
      <c r="X11423" s="21" t="n">
        <v>0</v>
      </c>
      <c r="Y11423" s="21" t="n">
        <v>0</v>
      </c>
      <c r="Z11423" s="19" t="n"/>
    </row>
    <row r="11424">
      <c r="D11424" s="21" t="n">
        <v>0</v>
      </c>
      <c r="E11424" s="21" t="n">
        <v>0</v>
      </c>
      <c r="F11424" s="21" t="n">
        <v>0</v>
      </c>
      <c r="G11424" s="21" t="n">
        <v>0</v>
      </c>
      <c r="H11424" s="21" t="n">
        <v>0</v>
      </c>
      <c r="I11424" s="21" t="n">
        <v>0</v>
      </c>
      <c r="J11424" s="21">
        <f>$B$10477</f>
        <v/>
      </c>
      <c r="K11424" s="21">
        <f>$B$10479</f>
        <v/>
      </c>
      <c r="L11424" s="21">
        <f>0</f>
        <v/>
      </c>
      <c r="M11424" s="21">
        <f>2*$B$10478</f>
        <v/>
      </c>
      <c r="N11424" s="21">
        <f>-$B$10477</f>
        <v/>
      </c>
      <c r="O11424" s="21">
        <f>$B$10479</f>
        <v/>
      </c>
      <c r="P11424" s="21" t="n">
        <v>0</v>
      </c>
      <c r="Q11424" s="21" t="n">
        <v>0</v>
      </c>
      <c r="R11424" s="21" t="n">
        <v>0</v>
      </c>
      <c r="S11424" s="21" t="n">
        <v>0</v>
      </c>
      <c r="T11424" s="21" t="n">
        <v>0</v>
      </c>
      <c r="U11424" s="21" t="n">
        <v>0</v>
      </c>
      <c r="V11424" s="21" t="n">
        <v>0</v>
      </c>
      <c r="W11424" s="21" t="n">
        <v>0</v>
      </c>
      <c r="X11424" s="21" t="n">
        <v>0</v>
      </c>
      <c r="Y11424" s="21" t="n">
        <v>0</v>
      </c>
      <c r="Z11424" s="19" t="n"/>
    </row>
    <row r="11425">
      <c r="D11425" s="21" t="n">
        <v>0</v>
      </c>
      <c r="E11425" s="21" t="n">
        <v>0</v>
      </c>
      <c r="F11425" s="21" t="n">
        <v>0</v>
      </c>
      <c r="G11425" s="21" t="n">
        <v>0</v>
      </c>
      <c r="H11425" s="21" t="n">
        <v>0</v>
      </c>
      <c r="I11425" s="21" t="n">
        <v>0</v>
      </c>
      <c r="J11425" s="21" t="n">
        <v>0</v>
      </c>
      <c r="K11425" s="21" t="n">
        <v>0</v>
      </c>
      <c r="L11425" s="21">
        <f>-$B$10476</f>
        <v/>
      </c>
      <c r="M11425" s="21">
        <f>-$B$10477</f>
        <v/>
      </c>
      <c r="N11425" s="21">
        <f>2*$B$10476+$D$11408</f>
        <v/>
      </c>
      <c r="O11425" s="21">
        <f>0</f>
        <v/>
      </c>
      <c r="P11425" s="21">
        <f>-$B$10476</f>
        <v/>
      </c>
      <c r="Q11425" s="21">
        <f>$B$10477</f>
        <v/>
      </c>
      <c r="R11425" s="21" t="n">
        <v>0</v>
      </c>
      <c r="S11425" s="21" t="n">
        <v>0</v>
      </c>
      <c r="T11425" s="21" t="n">
        <v>0</v>
      </c>
      <c r="U11425" s="21" t="n">
        <v>0</v>
      </c>
      <c r="V11425" s="21" t="n">
        <v>0</v>
      </c>
      <c r="W11425" s="21" t="n">
        <v>0</v>
      </c>
      <c r="X11425" s="21" t="n">
        <v>0</v>
      </c>
      <c r="Y11425" s="21" t="n">
        <v>0</v>
      </c>
      <c r="Z11425" s="19" t="n"/>
    </row>
    <row r="11426">
      <c r="D11426" s="21" t="n">
        <v>0</v>
      </c>
      <c r="E11426" s="21" t="n">
        <v>0</v>
      </c>
      <c r="F11426" s="21" t="n">
        <v>0</v>
      </c>
      <c r="G11426" s="21" t="n">
        <v>0</v>
      </c>
      <c r="H11426" s="21" t="n">
        <v>0</v>
      </c>
      <c r="I11426" s="21" t="n">
        <v>0</v>
      </c>
      <c r="J11426" s="21" t="n">
        <v>0</v>
      </c>
      <c r="K11426" s="21" t="n">
        <v>0</v>
      </c>
      <c r="L11426" s="21">
        <f>$B$10477</f>
        <v/>
      </c>
      <c r="M11426" s="21">
        <f>$B$10479</f>
        <v/>
      </c>
      <c r="N11426" s="21">
        <f>0</f>
        <v/>
      </c>
      <c r="O11426" s="21">
        <f>2*$B$10478</f>
        <v/>
      </c>
      <c r="P11426" s="21">
        <f>-$B$10477</f>
        <v/>
      </c>
      <c r="Q11426" s="21">
        <f>$B$10479</f>
        <v/>
      </c>
      <c r="R11426" s="21" t="n">
        <v>0</v>
      </c>
      <c r="S11426" s="21" t="n">
        <v>0</v>
      </c>
      <c r="T11426" s="21" t="n">
        <v>0</v>
      </c>
      <c r="U11426" s="21" t="n">
        <v>0</v>
      </c>
      <c r="V11426" s="21" t="n">
        <v>0</v>
      </c>
      <c r="W11426" s="21" t="n">
        <v>0</v>
      </c>
      <c r="X11426" s="21" t="n">
        <v>0</v>
      </c>
      <c r="Y11426" s="21" t="n">
        <v>0</v>
      </c>
      <c r="Z11426" s="19" t="n"/>
    </row>
    <row r="11427">
      <c r="D11427" s="21" t="n">
        <v>0</v>
      </c>
      <c r="E11427" s="21" t="n">
        <v>0</v>
      </c>
      <c r="F11427" s="21" t="n">
        <v>0</v>
      </c>
      <c r="G11427" s="21" t="n">
        <v>0</v>
      </c>
      <c r="H11427" s="21" t="n">
        <v>0</v>
      </c>
      <c r="I11427" s="21" t="n">
        <v>0</v>
      </c>
      <c r="J11427" s="21" t="n">
        <v>0</v>
      </c>
      <c r="K11427" s="21" t="n">
        <v>0</v>
      </c>
      <c r="L11427" s="21" t="n">
        <v>0</v>
      </c>
      <c r="M11427" s="21" t="n">
        <v>0</v>
      </c>
      <c r="N11427" s="21">
        <f>-$B$10476</f>
        <v/>
      </c>
      <c r="O11427" s="21">
        <f>-$B$10477</f>
        <v/>
      </c>
      <c r="P11427" s="21">
        <f>2*$B$10476+$D$11409</f>
        <v/>
      </c>
      <c r="Q11427" s="21">
        <f>0</f>
        <v/>
      </c>
      <c r="R11427" s="21">
        <f>-$B$10476</f>
        <v/>
      </c>
      <c r="S11427" s="21">
        <f>$B$10477</f>
        <v/>
      </c>
      <c r="T11427" s="21" t="n">
        <v>0</v>
      </c>
      <c r="U11427" s="21" t="n">
        <v>0</v>
      </c>
      <c r="V11427" s="21" t="n">
        <v>0</v>
      </c>
      <c r="W11427" s="21" t="n">
        <v>0</v>
      </c>
      <c r="X11427" s="21" t="n">
        <v>0</v>
      </c>
      <c r="Y11427" s="21" t="n">
        <v>0</v>
      </c>
      <c r="Z11427" s="19" t="n"/>
    </row>
    <row r="11428">
      <c r="D11428" s="21" t="n">
        <v>0</v>
      </c>
      <c r="E11428" s="21" t="n">
        <v>0</v>
      </c>
      <c r="F11428" s="21" t="n">
        <v>0</v>
      </c>
      <c r="G11428" s="21" t="n">
        <v>0</v>
      </c>
      <c r="H11428" s="21" t="n">
        <v>0</v>
      </c>
      <c r="I11428" s="21" t="n">
        <v>0</v>
      </c>
      <c r="J11428" s="21" t="n">
        <v>0</v>
      </c>
      <c r="K11428" s="21" t="n">
        <v>0</v>
      </c>
      <c r="L11428" s="21" t="n">
        <v>0</v>
      </c>
      <c r="M11428" s="21" t="n">
        <v>0</v>
      </c>
      <c r="N11428" s="21">
        <f>$B$10477</f>
        <v/>
      </c>
      <c r="O11428" s="21">
        <f>$B$10479</f>
        <v/>
      </c>
      <c r="P11428" s="21">
        <f>0</f>
        <v/>
      </c>
      <c r="Q11428" s="21">
        <f>2*$B$10478</f>
        <v/>
      </c>
      <c r="R11428" s="21">
        <f>-$B$10477</f>
        <v/>
      </c>
      <c r="S11428" s="21">
        <f>$B$10479</f>
        <v/>
      </c>
      <c r="T11428" s="21" t="n">
        <v>0</v>
      </c>
      <c r="U11428" s="21" t="n">
        <v>0</v>
      </c>
      <c r="V11428" s="21" t="n">
        <v>0</v>
      </c>
      <c r="W11428" s="21" t="n">
        <v>0</v>
      </c>
      <c r="X11428" s="21" t="n">
        <v>0</v>
      </c>
      <c r="Y11428" s="21" t="n">
        <v>0</v>
      </c>
      <c r="Z11428" s="19" t="n"/>
    </row>
    <row r="11429">
      <c r="D11429" s="21" t="n">
        <v>0</v>
      </c>
      <c r="E11429" s="21" t="n">
        <v>0</v>
      </c>
      <c r="F11429" s="21" t="n">
        <v>0</v>
      </c>
      <c r="G11429" s="21" t="n">
        <v>0</v>
      </c>
      <c r="H11429" s="21" t="n">
        <v>0</v>
      </c>
      <c r="I11429" s="21" t="n">
        <v>0</v>
      </c>
      <c r="J11429" s="21" t="n">
        <v>0</v>
      </c>
      <c r="K11429" s="21" t="n">
        <v>0</v>
      </c>
      <c r="L11429" s="21" t="n">
        <v>0</v>
      </c>
      <c r="M11429" s="21" t="n">
        <v>0</v>
      </c>
      <c r="N11429" s="21" t="n">
        <v>0</v>
      </c>
      <c r="O11429" s="21" t="n">
        <v>0</v>
      </c>
      <c r="P11429" s="21">
        <f>-$B$10476</f>
        <v/>
      </c>
      <c r="Q11429" s="21">
        <f>-$B$10477</f>
        <v/>
      </c>
      <c r="R11429" s="21">
        <f>2*$B$10476+$D$11410</f>
        <v/>
      </c>
      <c r="S11429" s="21">
        <f>0</f>
        <v/>
      </c>
      <c r="T11429" s="21">
        <f>-$B$10476</f>
        <v/>
      </c>
      <c r="U11429" s="21">
        <f>$B$10477</f>
        <v/>
      </c>
      <c r="V11429" s="21" t="n">
        <v>0</v>
      </c>
      <c r="W11429" s="21" t="n">
        <v>0</v>
      </c>
      <c r="X11429" s="21" t="n">
        <v>0</v>
      </c>
      <c r="Y11429" s="21" t="n">
        <v>0</v>
      </c>
      <c r="Z11429" s="19" t="n"/>
    </row>
    <row r="11430">
      <c r="D11430" s="21" t="n">
        <v>0</v>
      </c>
      <c r="E11430" s="21" t="n">
        <v>0</v>
      </c>
      <c r="F11430" s="21" t="n">
        <v>0</v>
      </c>
      <c r="G11430" s="21" t="n">
        <v>0</v>
      </c>
      <c r="H11430" s="21" t="n">
        <v>0</v>
      </c>
      <c r="I11430" s="21" t="n">
        <v>0</v>
      </c>
      <c r="J11430" s="21" t="n">
        <v>0</v>
      </c>
      <c r="K11430" s="21" t="n">
        <v>0</v>
      </c>
      <c r="L11430" s="21" t="n">
        <v>0</v>
      </c>
      <c r="M11430" s="21" t="n">
        <v>0</v>
      </c>
      <c r="N11430" s="21" t="n">
        <v>0</v>
      </c>
      <c r="O11430" s="21" t="n">
        <v>0</v>
      </c>
      <c r="P11430" s="21">
        <f>$B$10477</f>
        <v/>
      </c>
      <c r="Q11430" s="21">
        <f>$B$10479</f>
        <v/>
      </c>
      <c r="R11430" s="21">
        <f>0</f>
        <v/>
      </c>
      <c r="S11430" s="21">
        <f>2*$B$10478</f>
        <v/>
      </c>
      <c r="T11430" s="21">
        <f>-$B$10477</f>
        <v/>
      </c>
      <c r="U11430" s="21">
        <f>$B$10479</f>
        <v/>
      </c>
      <c r="V11430" s="21" t="n">
        <v>0</v>
      </c>
      <c r="W11430" s="21" t="n">
        <v>0</v>
      </c>
      <c r="X11430" s="21" t="n">
        <v>0</v>
      </c>
      <c r="Y11430" s="21" t="n">
        <v>0</v>
      </c>
      <c r="Z11430" s="19" t="n"/>
    </row>
    <row r="11431">
      <c r="D11431" s="21" t="n">
        <v>0</v>
      </c>
      <c r="E11431" s="21" t="n">
        <v>0</v>
      </c>
      <c r="F11431" s="21" t="n">
        <v>0</v>
      </c>
      <c r="G11431" s="21" t="n">
        <v>0</v>
      </c>
      <c r="H11431" s="21" t="n">
        <v>0</v>
      </c>
      <c r="I11431" s="21" t="n">
        <v>0</v>
      </c>
      <c r="J11431" s="21" t="n">
        <v>0</v>
      </c>
      <c r="K11431" s="21" t="n">
        <v>0</v>
      </c>
      <c r="L11431" s="21" t="n">
        <v>0</v>
      </c>
      <c r="M11431" s="21" t="n">
        <v>0</v>
      </c>
      <c r="N11431" s="21" t="n">
        <v>0</v>
      </c>
      <c r="O11431" s="21" t="n">
        <v>0</v>
      </c>
      <c r="P11431" s="21" t="n">
        <v>0</v>
      </c>
      <c r="Q11431" s="21" t="n">
        <v>0</v>
      </c>
      <c r="R11431" s="21">
        <f>-$B$10476</f>
        <v/>
      </c>
      <c r="S11431" s="21">
        <f>-$B$10477</f>
        <v/>
      </c>
      <c r="T11431" s="21">
        <f>2*$B$10476+$D$11411</f>
        <v/>
      </c>
      <c r="U11431" s="21">
        <f>0</f>
        <v/>
      </c>
      <c r="V11431" s="21">
        <f>-$B$10476</f>
        <v/>
      </c>
      <c r="W11431" s="21">
        <f>$B$10477</f>
        <v/>
      </c>
      <c r="X11431" s="21" t="n">
        <v>0</v>
      </c>
      <c r="Y11431" s="21" t="n">
        <v>0</v>
      </c>
      <c r="Z11431" s="19" t="n"/>
    </row>
    <row r="11432">
      <c r="D11432" s="21" t="n">
        <v>0</v>
      </c>
      <c r="E11432" s="21" t="n">
        <v>0</v>
      </c>
      <c r="F11432" s="21" t="n">
        <v>0</v>
      </c>
      <c r="G11432" s="21" t="n">
        <v>0</v>
      </c>
      <c r="H11432" s="21" t="n">
        <v>0</v>
      </c>
      <c r="I11432" s="21" t="n">
        <v>0</v>
      </c>
      <c r="J11432" s="21" t="n">
        <v>0</v>
      </c>
      <c r="K11432" s="21" t="n">
        <v>0</v>
      </c>
      <c r="L11432" s="21" t="n">
        <v>0</v>
      </c>
      <c r="M11432" s="21" t="n">
        <v>0</v>
      </c>
      <c r="N11432" s="21" t="n">
        <v>0</v>
      </c>
      <c r="O11432" s="21" t="n">
        <v>0</v>
      </c>
      <c r="P11432" s="21" t="n">
        <v>0</v>
      </c>
      <c r="Q11432" s="21" t="n">
        <v>0</v>
      </c>
      <c r="R11432" s="21">
        <f>$B$10477</f>
        <v/>
      </c>
      <c r="S11432" s="21">
        <f>$B$10479</f>
        <v/>
      </c>
      <c r="T11432" s="21">
        <f>0</f>
        <v/>
      </c>
      <c r="U11432" s="21">
        <f>2*$B$10478</f>
        <v/>
      </c>
      <c r="V11432" s="21">
        <f>-$B$10477</f>
        <v/>
      </c>
      <c r="W11432" s="21">
        <f>$B$10479</f>
        <v/>
      </c>
      <c r="X11432" s="21" t="n">
        <v>0</v>
      </c>
      <c r="Y11432" s="21" t="n">
        <v>0</v>
      </c>
      <c r="Z11432" s="19" t="n"/>
    </row>
    <row r="11433">
      <c r="D11433" s="21" t="n">
        <v>0</v>
      </c>
      <c r="E11433" s="21" t="n">
        <v>0</v>
      </c>
      <c r="F11433" s="21" t="n">
        <v>0</v>
      </c>
      <c r="G11433" s="21" t="n">
        <v>0</v>
      </c>
      <c r="H11433" s="21" t="n">
        <v>0</v>
      </c>
      <c r="I11433" s="21" t="n">
        <v>0</v>
      </c>
      <c r="J11433" s="21" t="n">
        <v>0</v>
      </c>
      <c r="K11433" s="21" t="n">
        <v>0</v>
      </c>
      <c r="L11433" s="21" t="n">
        <v>0</v>
      </c>
      <c r="M11433" s="21" t="n">
        <v>0</v>
      </c>
      <c r="N11433" s="21" t="n">
        <v>0</v>
      </c>
      <c r="O11433" s="21" t="n">
        <v>0</v>
      </c>
      <c r="P11433" s="21" t="n">
        <v>0</v>
      </c>
      <c r="Q11433" s="21" t="n">
        <v>0</v>
      </c>
      <c r="R11433" s="21" t="n">
        <v>0</v>
      </c>
      <c r="S11433" s="21" t="n">
        <v>0</v>
      </c>
      <c r="T11433" s="21">
        <f>-$B$10476</f>
        <v/>
      </c>
      <c r="U11433" s="21">
        <f>-$B$10477</f>
        <v/>
      </c>
      <c r="V11433" s="21">
        <f>2*$B$10476+$D$11412</f>
        <v/>
      </c>
      <c r="W11433" s="21">
        <f>0</f>
        <v/>
      </c>
      <c r="X11433" s="21">
        <f>-$B$10476</f>
        <v/>
      </c>
      <c r="Y11433" s="21">
        <f>$B$10477</f>
        <v/>
      </c>
      <c r="Z11433" s="19" t="n"/>
    </row>
    <row r="11434">
      <c r="D11434" s="21" t="n">
        <v>0</v>
      </c>
      <c r="E11434" s="21" t="n">
        <v>0</v>
      </c>
      <c r="F11434" s="21" t="n">
        <v>0</v>
      </c>
      <c r="G11434" s="21" t="n">
        <v>0</v>
      </c>
      <c r="H11434" s="21" t="n">
        <v>0</v>
      </c>
      <c r="I11434" s="21" t="n">
        <v>0</v>
      </c>
      <c r="J11434" s="21" t="n">
        <v>0</v>
      </c>
      <c r="K11434" s="21" t="n">
        <v>0</v>
      </c>
      <c r="L11434" s="21" t="n">
        <v>0</v>
      </c>
      <c r="M11434" s="21" t="n">
        <v>0</v>
      </c>
      <c r="N11434" s="21" t="n">
        <v>0</v>
      </c>
      <c r="O11434" s="21" t="n">
        <v>0</v>
      </c>
      <c r="P11434" s="21" t="n">
        <v>0</v>
      </c>
      <c r="Q11434" s="21" t="n">
        <v>0</v>
      </c>
      <c r="R11434" s="21" t="n">
        <v>0</v>
      </c>
      <c r="S11434" s="21" t="n">
        <v>0</v>
      </c>
      <c r="T11434" s="21">
        <f>$B$10477</f>
        <v/>
      </c>
      <c r="U11434" s="21">
        <f>$B$10479</f>
        <v/>
      </c>
      <c r="V11434" s="21">
        <f>0</f>
        <v/>
      </c>
      <c r="W11434" s="21">
        <f>2*$B$10478</f>
        <v/>
      </c>
      <c r="X11434" s="21">
        <f>-$B$10477</f>
        <v/>
      </c>
      <c r="Y11434" s="21">
        <f>$B$10479</f>
        <v/>
      </c>
      <c r="Z11434" s="19" t="n"/>
    </row>
    <row r="11435">
      <c r="D11435" s="21" t="n">
        <v>0</v>
      </c>
      <c r="E11435" s="21" t="n">
        <v>0</v>
      </c>
      <c r="F11435" s="21" t="n">
        <v>0</v>
      </c>
      <c r="G11435" s="21" t="n">
        <v>0</v>
      </c>
      <c r="H11435" s="21" t="n">
        <v>0</v>
      </c>
      <c r="I11435" s="21" t="n">
        <v>0</v>
      </c>
      <c r="J11435" s="21" t="n">
        <v>0</v>
      </c>
      <c r="K11435" s="21" t="n">
        <v>0</v>
      </c>
      <c r="L11435" s="21" t="n">
        <v>0</v>
      </c>
      <c r="M11435" s="21" t="n">
        <v>0</v>
      </c>
      <c r="N11435" s="21" t="n">
        <v>0</v>
      </c>
      <c r="O11435" s="21" t="n">
        <v>0</v>
      </c>
      <c r="P11435" s="21" t="n">
        <v>0</v>
      </c>
      <c r="Q11435" s="21" t="n">
        <v>0</v>
      </c>
      <c r="R11435" s="21" t="n">
        <v>0</v>
      </c>
      <c r="S11435" s="21" t="n">
        <v>0</v>
      </c>
      <c r="T11435" s="21" t="n">
        <v>0</v>
      </c>
      <c r="U11435" s="21" t="n">
        <v>0</v>
      </c>
      <c r="V11435" s="21">
        <f>-$B$10476</f>
        <v/>
      </c>
      <c r="W11435" s="21">
        <f>-$B$10477</f>
        <v/>
      </c>
      <c r="X11435" s="21">
        <f>$B$10476+$D$11413</f>
        <v/>
      </c>
      <c r="Y11435" s="21">
        <f>-$B$10477</f>
        <v/>
      </c>
      <c r="Z11435" s="19" t="n"/>
    </row>
    <row r="11436">
      <c r="D11436" s="21" t="n">
        <v>0</v>
      </c>
      <c r="E11436" s="21" t="n">
        <v>0</v>
      </c>
      <c r="F11436" s="21" t="n">
        <v>0</v>
      </c>
      <c r="G11436" s="21" t="n">
        <v>0</v>
      </c>
      <c r="H11436" s="21" t="n">
        <v>0</v>
      </c>
      <c r="I11436" s="21" t="n">
        <v>0</v>
      </c>
      <c r="J11436" s="21" t="n">
        <v>0</v>
      </c>
      <c r="K11436" s="21" t="n">
        <v>0</v>
      </c>
      <c r="L11436" s="21" t="n">
        <v>0</v>
      </c>
      <c r="M11436" s="21" t="n">
        <v>0</v>
      </c>
      <c r="N11436" s="21" t="n">
        <v>0</v>
      </c>
      <c r="O11436" s="21" t="n">
        <v>0</v>
      </c>
      <c r="P11436" s="21" t="n">
        <v>0</v>
      </c>
      <c r="Q11436" s="21" t="n">
        <v>0</v>
      </c>
      <c r="R11436" s="21" t="n">
        <v>0</v>
      </c>
      <c r="S11436" s="21" t="n">
        <v>0</v>
      </c>
      <c r="T11436" s="21" t="n">
        <v>0</v>
      </c>
      <c r="U11436" s="21" t="n">
        <v>0</v>
      </c>
      <c r="V11436" s="21">
        <f>$B$10477</f>
        <v/>
      </c>
      <c r="W11436" s="21">
        <f>$B$10479</f>
        <v/>
      </c>
      <c r="X11436" s="21">
        <f>-$B$10477</f>
        <v/>
      </c>
      <c r="Y11436" s="21">
        <f>$B$10478</f>
        <v/>
      </c>
      <c r="Z11436" s="19" t="n"/>
    </row>
    <row r="11438">
      <c r="A11438" s="8" t="inlineStr">
        <is>
          <t>gen 26</t>
        </is>
      </c>
    </row>
    <row r="11439">
      <c r="D11439" s="19">
        <f>IF(ABS(IF(ABS($E$11403)&gt;0.000000001,$E$11403,0.000000001))=0,0,IF($E$10491&lt;=$B$10485,0,IF(ABS(IF(ABS($E$11403)&gt;0.000000001,$E$11403,0.000000001))&gt;=8*$B$10487,$H$10491,0.5*$H$10491*(ABS(IF(ABS($E$11403)&gt;0.000000001,$E$11403,0.000000001))/$B$10487)^(1/3)))/ABS(IF(ABS($E$11403)&gt;0.000000001,$E$11403,0.000000001))*$I$10491)</f>
        <v/>
      </c>
      <c r="E11439" s="19">
        <f>0.5*$E$11403+0.5*$Z$11451</f>
        <v/>
      </c>
      <c r="F11439" s="19">
        <f>$Z$11452</f>
        <v/>
      </c>
    </row>
    <row r="11440">
      <c r="D11440" s="19">
        <f>IF(ABS(IF(ABS($E$11404)&gt;0.000000001,$E$11404,0.000000001))=0,0,IF($E$10492&lt;=$B$10485,0,IF(ABS(IF(ABS($E$11404)&gt;0.000000001,$E$11404,0.000000001))&gt;=8*$B$10487,$H$10492,0.5*$H$10492*(ABS(IF(ABS($E$11404)&gt;0.000000001,$E$11404,0.000000001))/$B$10487)^(1/3)))/ABS(IF(ABS($E$11404)&gt;0.000000001,$E$11404,0.000000001))*$I$10492)</f>
        <v/>
      </c>
      <c r="E11440" s="19">
        <f>0.5*$E$11404+0.5*$Z$11453</f>
        <v/>
      </c>
      <c r="F11440" s="19">
        <f>$Z$11454</f>
        <v/>
      </c>
    </row>
    <row r="11441">
      <c r="D11441" s="19">
        <f>IF(ABS(IF(ABS($E$11405)&gt;0.000000001,$E$11405,0.000000001))=0,0,IF($E$10493&lt;=$B$10485,0,IF(ABS(IF(ABS($E$11405)&gt;0.000000001,$E$11405,0.000000001))&gt;=8*$B$10487,$H$10493,0.5*$H$10493*(ABS(IF(ABS($E$11405)&gt;0.000000001,$E$11405,0.000000001))/$B$10487)^(1/3)))/ABS(IF(ABS($E$11405)&gt;0.000000001,$E$11405,0.000000001))*$I$10493)</f>
        <v/>
      </c>
      <c r="E11441" s="19">
        <f>0.5*$E$11405+0.5*$Z$11455</f>
        <v/>
      </c>
      <c r="F11441" s="19">
        <f>$Z$11456</f>
        <v/>
      </c>
    </row>
    <row r="11442">
      <c r="D11442" s="19">
        <f>IF(ABS(IF(ABS($E$11406)&gt;0.000000001,$E$11406,0.000000001))=0,0,IF($E$10494&lt;=$B$10485,0,IF(ABS(IF(ABS($E$11406)&gt;0.000000001,$E$11406,0.000000001))&gt;=8*$B$10487,$H$10494,0.5*$H$10494*(ABS(IF(ABS($E$11406)&gt;0.000000001,$E$11406,0.000000001))/$B$10487)^(1/3)))/ABS(IF(ABS($E$11406)&gt;0.000000001,$E$11406,0.000000001))*$I$10494)</f>
        <v/>
      </c>
      <c r="E11442" s="19">
        <f>0.5*$E$11406+0.5*$Z$11457</f>
        <v/>
      </c>
      <c r="F11442" s="19">
        <f>$Z$11458</f>
        <v/>
      </c>
    </row>
    <row r="11443">
      <c r="D11443" s="19">
        <f>IF(ABS(IF(ABS($E$11407)&gt;0.000000001,$E$11407,0.000000001))=0,0,IF($E$10495&lt;=$B$10485,0,IF(ABS(IF(ABS($E$11407)&gt;0.000000001,$E$11407,0.000000001))&gt;=8*$B$10487,$H$10495,0.5*$H$10495*(ABS(IF(ABS($E$11407)&gt;0.000000001,$E$11407,0.000000001))/$B$10487)^(1/3)))/ABS(IF(ABS($E$11407)&gt;0.000000001,$E$11407,0.000000001))*$I$10495)</f>
        <v/>
      </c>
      <c r="E11443" s="19">
        <f>0.5*$E$11407+0.5*$Z$11459</f>
        <v/>
      </c>
      <c r="F11443" s="19">
        <f>$Z$11460</f>
        <v/>
      </c>
    </row>
    <row r="11444">
      <c r="D11444" s="19">
        <f>IF(ABS(IF(ABS($E$11408)&gt;0.000000001,$E$11408,0.000000001))=0,0,IF($E$10496&lt;=$B$10485,0,IF(ABS(IF(ABS($E$11408)&gt;0.000000001,$E$11408,0.000000001))&gt;=8*$B$10487,$H$10496,0.5*$H$10496*(ABS(IF(ABS($E$11408)&gt;0.000000001,$E$11408,0.000000001))/$B$10487)^(1/3)))/ABS(IF(ABS($E$11408)&gt;0.000000001,$E$11408,0.000000001))*$I$10496)</f>
        <v/>
      </c>
      <c r="E11444" s="19">
        <f>0.5*$E$11408+0.5*$Z$11461</f>
        <v/>
      </c>
      <c r="F11444" s="19">
        <f>$Z$11462</f>
        <v/>
      </c>
    </row>
    <row r="11445">
      <c r="D11445" s="19">
        <f>IF(ABS(IF(ABS($E$11409)&gt;0.000000001,$E$11409,0.000000001))=0,0,IF($E$10497&lt;=$B$10485,0,IF(ABS(IF(ABS($E$11409)&gt;0.000000001,$E$11409,0.000000001))&gt;=8*$B$10487,$H$10497,0.5*$H$10497*(ABS(IF(ABS($E$11409)&gt;0.000000001,$E$11409,0.000000001))/$B$10487)^(1/3)))/ABS(IF(ABS($E$11409)&gt;0.000000001,$E$11409,0.000000001))*$I$10497)</f>
        <v/>
      </c>
      <c r="E11445" s="19">
        <f>0.5*$E$11409+0.5*$Z$11463</f>
        <v/>
      </c>
      <c r="F11445" s="19">
        <f>$Z$11464</f>
        <v/>
      </c>
    </row>
    <row r="11446">
      <c r="D11446" s="19">
        <f>IF(ABS(IF(ABS($E$11410)&gt;0.000000001,$E$11410,0.000000001))=0,0,IF($E$10498&lt;=$B$10485,0,IF(ABS(IF(ABS($E$11410)&gt;0.000000001,$E$11410,0.000000001))&gt;=8*$B$10487,$H$10498,0.5*$H$10498*(ABS(IF(ABS($E$11410)&gt;0.000000001,$E$11410,0.000000001))/$B$10487)^(1/3)))/ABS(IF(ABS($E$11410)&gt;0.000000001,$E$11410,0.000000001))*$I$10498)</f>
        <v/>
      </c>
      <c r="E11446" s="19">
        <f>0.5*$E$11410+0.5*$Z$11465</f>
        <v/>
      </c>
      <c r="F11446" s="19">
        <f>$Z$11466</f>
        <v/>
      </c>
    </row>
    <row r="11447">
      <c r="D11447" s="19">
        <f>IF(ABS(IF(ABS($E$11411)&gt;0.000000001,$E$11411,0.000000001))=0,0,IF($E$10499&lt;=$B$10485,0,IF(ABS(IF(ABS($E$11411)&gt;0.000000001,$E$11411,0.000000001))&gt;=8*$B$10487,$H$10499,0.5*$H$10499*(ABS(IF(ABS($E$11411)&gt;0.000000001,$E$11411,0.000000001))/$B$10487)^(1/3)))/ABS(IF(ABS($E$11411)&gt;0.000000001,$E$11411,0.000000001))*$I$10499)</f>
        <v/>
      </c>
      <c r="E11447" s="19">
        <f>0.5*$E$11411+0.5*$Z$11467</f>
        <v/>
      </c>
      <c r="F11447" s="19">
        <f>$Z$11468</f>
        <v/>
      </c>
    </row>
    <row r="11448">
      <c r="D11448" s="19">
        <f>IF(ABS(IF(ABS($E$11412)&gt;0.000000001,$E$11412,0.000000001))=0,0,IF($E$10500&lt;=$B$10485,0,IF(ABS(IF(ABS($E$11412)&gt;0.000000001,$E$11412,0.000000001))&gt;=8*$B$10487,$H$10500,0.5*$H$10500*(ABS(IF(ABS($E$11412)&gt;0.000000001,$E$11412,0.000000001))/$B$10487)^(1/3)))/ABS(IF(ABS($E$11412)&gt;0.000000001,$E$11412,0.000000001))*$I$10500)</f>
        <v/>
      </c>
      <c r="E11448" s="19">
        <f>0.5*$E$11412+0.5*$Z$11469</f>
        <v/>
      </c>
      <c r="F11448" s="19">
        <f>$Z$11470</f>
        <v/>
      </c>
    </row>
    <row r="11449">
      <c r="D11449" s="19">
        <f>IF(ABS(IF(ABS($E$11413)&gt;0.000000001,$E$11413,0.000000001))=0,0,IF($E$10501&lt;=$B$10485,0,IF(ABS(IF(ABS($E$11413)&gt;0.000000001,$E$11413,0.000000001))&gt;=8*$B$10487,$H$10501,0.5*$H$10501*(ABS(IF(ABS($E$11413)&gt;0.000000001,$E$11413,0.000000001))/$B$10487)^(1/3)))/ABS(IF(ABS($E$11413)&gt;0.000000001,$E$11413,0.000000001))*$I$10501)</f>
        <v/>
      </c>
      <c r="E11449" s="19">
        <f>0.5*$E$11413+0.5*$Z$11471</f>
        <v/>
      </c>
      <c r="F11449" s="19">
        <f>$Z$11472</f>
        <v/>
      </c>
    </row>
    <row r="11451">
      <c r="D11451" s="21">
        <f>$B$10476+$D$11439</f>
        <v/>
      </c>
      <c r="E11451" s="21">
        <f>$B$10477</f>
        <v/>
      </c>
      <c r="F11451" s="21">
        <f>-$B$10476</f>
        <v/>
      </c>
      <c r="G11451" s="21">
        <f>$B$10477</f>
        <v/>
      </c>
      <c r="H11451" s="21" t="n">
        <v>0</v>
      </c>
      <c r="I11451" s="21" t="n">
        <v>0</v>
      </c>
      <c r="J11451" s="21" t="n">
        <v>0</v>
      </c>
      <c r="K11451" s="21" t="n">
        <v>0</v>
      </c>
      <c r="L11451" s="21" t="n">
        <v>0</v>
      </c>
      <c r="M11451" s="21" t="n">
        <v>0</v>
      </c>
      <c r="N11451" s="21" t="n">
        <v>0</v>
      </c>
      <c r="O11451" s="21" t="n">
        <v>0</v>
      </c>
      <c r="P11451" s="21" t="n">
        <v>0</v>
      </c>
      <c r="Q11451" s="21" t="n">
        <v>0</v>
      </c>
      <c r="R11451" s="21" t="n">
        <v>0</v>
      </c>
      <c r="S11451" s="21" t="n">
        <v>0</v>
      </c>
      <c r="T11451" s="21" t="n">
        <v>0</v>
      </c>
      <c r="U11451" s="21" t="n">
        <v>0</v>
      </c>
      <c r="V11451" s="21" t="n">
        <v>0</v>
      </c>
      <c r="W11451" s="21" t="n">
        <v>0</v>
      </c>
      <c r="X11451" s="21" t="n">
        <v>0</v>
      </c>
      <c r="Y11451" s="21" t="n">
        <v>0</v>
      </c>
      <c r="Z11451" s="19">
        <f t="array" ref="Z11451:Z11472">MMULT(MINVERSE($D$11451:$Y$11472),$D$10503:$D$10524)</f>
        <v/>
      </c>
    </row>
    <row r="11452">
      <c r="D11452" s="21">
        <f>$B$10477</f>
        <v/>
      </c>
      <c r="E11452" s="21">
        <f>$B$10478</f>
        <v/>
      </c>
      <c r="F11452" s="21">
        <f>-$B$10477</f>
        <v/>
      </c>
      <c r="G11452" s="21">
        <f>$B$10479</f>
        <v/>
      </c>
      <c r="H11452" s="21" t="n">
        <v>0</v>
      </c>
      <c r="I11452" s="21" t="n">
        <v>0</v>
      </c>
      <c r="J11452" s="21" t="n">
        <v>0</v>
      </c>
      <c r="K11452" s="21" t="n">
        <v>0</v>
      </c>
      <c r="L11452" s="21" t="n">
        <v>0</v>
      </c>
      <c r="M11452" s="21" t="n">
        <v>0</v>
      </c>
      <c r="N11452" s="21" t="n">
        <v>0</v>
      </c>
      <c r="O11452" s="21" t="n">
        <v>0</v>
      </c>
      <c r="P11452" s="21" t="n">
        <v>0</v>
      </c>
      <c r="Q11452" s="21" t="n">
        <v>0</v>
      </c>
      <c r="R11452" s="21" t="n">
        <v>0</v>
      </c>
      <c r="S11452" s="21" t="n">
        <v>0</v>
      </c>
      <c r="T11452" s="21" t="n">
        <v>0</v>
      </c>
      <c r="U11452" s="21" t="n">
        <v>0</v>
      </c>
      <c r="V11452" s="21" t="n">
        <v>0</v>
      </c>
      <c r="W11452" s="21" t="n">
        <v>0</v>
      </c>
      <c r="X11452" s="21" t="n">
        <v>0</v>
      </c>
      <c r="Y11452" s="21" t="n">
        <v>0</v>
      </c>
      <c r="Z11452" s="19" t="n"/>
    </row>
    <row r="11453">
      <c r="D11453" s="21">
        <f>-$B$10476</f>
        <v/>
      </c>
      <c r="E11453" s="21">
        <f>-$B$10477</f>
        <v/>
      </c>
      <c r="F11453" s="21">
        <f>2*$B$10476+$D$11440</f>
        <v/>
      </c>
      <c r="G11453" s="21">
        <f>0</f>
        <v/>
      </c>
      <c r="H11453" s="21">
        <f>-$B$10476</f>
        <v/>
      </c>
      <c r="I11453" s="21">
        <f>$B$10477</f>
        <v/>
      </c>
      <c r="J11453" s="21" t="n">
        <v>0</v>
      </c>
      <c r="K11453" s="21" t="n">
        <v>0</v>
      </c>
      <c r="L11453" s="21" t="n">
        <v>0</v>
      </c>
      <c r="M11453" s="21" t="n">
        <v>0</v>
      </c>
      <c r="N11453" s="21" t="n">
        <v>0</v>
      </c>
      <c r="O11453" s="21" t="n">
        <v>0</v>
      </c>
      <c r="P11453" s="21" t="n">
        <v>0</v>
      </c>
      <c r="Q11453" s="21" t="n">
        <v>0</v>
      </c>
      <c r="R11453" s="21" t="n">
        <v>0</v>
      </c>
      <c r="S11453" s="21" t="n">
        <v>0</v>
      </c>
      <c r="T11453" s="21" t="n">
        <v>0</v>
      </c>
      <c r="U11453" s="21" t="n">
        <v>0</v>
      </c>
      <c r="V11453" s="21" t="n">
        <v>0</v>
      </c>
      <c r="W11453" s="21" t="n">
        <v>0</v>
      </c>
      <c r="X11453" s="21" t="n">
        <v>0</v>
      </c>
      <c r="Y11453" s="21" t="n">
        <v>0</v>
      </c>
      <c r="Z11453" s="19" t="n"/>
    </row>
    <row r="11454">
      <c r="D11454" s="21">
        <f>$B$10477</f>
        <v/>
      </c>
      <c r="E11454" s="21">
        <f>$B$10479</f>
        <v/>
      </c>
      <c r="F11454" s="21">
        <f>0</f>
        <v/>
      </c>
      <c r="G11454" s="21">
        <f>2*$B$10478</f>
        <v/>
      </c>
      <c r="H11454" s="21">
        <f>-$B$10477</f>
        <v/>
      </c>
      <c r="I11454" s="21">
        <f>$B$10479</f>
        <v/>
      </c>
      <c r="J11454" s="21" t="n">
        <v>0</v>
      </c>
      <c r="K11454" s="21" t="n">
        <v>0</v>
      </c>
      <c r="L11454" s="21" t="n">
        <v>0</v>
      </c>
      <c r="M11454" s="21" t="n">
        <v>0</v>
      </c>
      <c r="N11454" s="21" t="n">
        <v>0</v>
      </c>
      <c r="O11454" s="21" t="n">
        <v>0</v>
      </c>
      <c r="P11454" s="21" t="n">
        <v>0</v>
      </c>
      <c r="Q11454" s="21" t="n">
        <v>0</v>
      </c>
      <c r="R11454" s="21" t="n">
        <v>0</v>
      </c>
      <c r="S11454" s="21" t="n">
        <v>0</v>
      </c>
      <c r="T11454" s="21" t="n">
        <v>0</v>
      </c>
      <c r="U11454" s="21" t="n">
        <v>0</v>
      </c>
      <c r="V11454" s="21" t="n">
        <v>0</v>
      </c>
      <c r="W11454" s="21" t="n">
        <v>0</v>
      </c>
      <c r="X11454" s="21" t="n">
        <v>0</v>
      </c>
      <c r="Y11454" s="21" t="n">
        <v>0</v>
      </c>
      <c r="Z11454" s="19" t="n"/>
    </row>
    <row r="11455">
      <c r="D11455" s="21" t="n">
        <v>0</v>
      </c>
      <c r="E11455" s="21" t="n">
        <v>0</v>
      </c>
      <c r="F11455" s="21">
        <f>-$B$10476</f>
        <v/>
      </c>
      <c r="G11455" s="21">
        <f>-$B$10477</f>
        <v/>
      </c>
      <c r="H11455" s="21">
        <f>2*$B$10476+$D$11441</f>
        <v/>
      </c>
      <c r="I11455" s="21">
        <f>0</f>
        <v/>
      </c>
      <c r="J11455" s="21">
        <f>-$B$10476</f>
        <v/>
      </c>
      <c r="K11455" s="21">
        <f>$B$10477</f>
        <v/>
      </c>
      <c r="L11455" s="21" t="n">
        <v>0</v>
      </c>
      <c r="M11455" s="21" t="n">
        <v>0</v>
      </c>
      <c r="N11455" s="21" t="n">
        <v>0</v>
      </c>
      <c r="O11455" s="21" t="n">
        <v>0</v>
      </c>
      <c r="P11455" s="21" t="n">
        <v>0</v>
      </c>
      <c r="Q11455" s="21" t="n">
        <v>0</v>
      </c>
      <c r="R11455" s="21" t="n">
        <v>0</v>
      </c>
      <c r="S11455" s="21" t="n">
        <v>0</v>
      </c>
      <c r="T11455" s="21" t="n">
        <v>0</v>
      </c>
      <c r="U11455" s="21" t="n">
        <v>0</v>
      </c>
      <c r="V11455" s="21" t="n">
        <v>0</v>
      </c>
      <c r="W11455" s="21" t="n">
        <v>0</v>
      </c>
      <c r="X11455" s="21" t="n">
        <v>0</v>
      </c>
      <c r="Y11455" s="21" t="n">
        <v>0</v>
      </c>
      <c r="Z11455" s="19" t="n"/>
    </row>
    <row r="11456">
      <c r="D11456" s="21" t="n">
        <v>0</v>
      </c>
      <c r="E11456" s="21" t="n">
        <v>0</v>
      </c>
      <c r="F11456" s="21">
        <f>$B$10477</f>
        <v/>
      </c>
      <c r="G11456" s="21">
        <f>$B$10479</f>
        <v/>
      </c>
      <c r="H11456" s="21">
        <f>0</f>
        <v/>
      </c>
      <c r="I11456" s="21">
        <f>2*$B$10478</f>
        <v/>
      </c>
      <c r="J11456" s="21">
        <f>-$B$10477</f>
        <v/>
      </c>
      <c r="K11456" s="21">
        <f>$B$10479</f>
        <v/>
      </c>
      <c r="L11456" s="21" t="n">
        <v>0</v>
      </c>
      <c r="M11456" s="21" t="n">
        <v>0</v>
      </c>
      <c r="N11456" s="21" t="n">
        <v>0</v>
      </c>
      <c r="O11456" s="21" t="n">
        <v>0</v>
      </c>
      <c r="P11456" s="21" t="n">
        <v>0</v>
      </c>
      <c r="Q11456" s="21" t="n">
        <v>0</v>
      </c>
      <c r="R11456" s="21" t="n">
        <v>0</v>
      </c>
      <c r="S11456" s="21" t="n">
        <v>0</v>
      </c>
      <c r="T11456" s="21" t="n">
        <v>0</v>
      </c>
      <c r="U11456" s="21" t="n">
        <v>0</v>
      </c>
      <c r="V11456" s="21" t="n">
        <v>0</v>
      </c>
      <c r="W11456" s="21" t="n">
        <v>0</v>
      </c>
      <c r="X11456" s="21" t="n">
        <v>0</v>
      </c>
      <c r="Y11456" s="21" t="n">
        <v>0</v>
      </c>
      <c r="Z11456" s="19" t="n"/>
    </row>
    <row r="11457">
      <c r="D11457" s="21" t="n">
        <v>0</v>
      </c>
      <c r="E11457" s="21" t="n">
        <v>0</v>
      </c>
      <c r="F11457" s="21" t="n">
        <v>0</v>
      </c>
      <c r="G11457" s="21" t="n">
        <v>0</v>
      </c>
      <c r="H11457" s="21">
        <f>-$B$10476</f>
        <v/>
      </c>
      <c r="I11457" s="21">
        <f>-$B$10477</f>
        <v/>
      </c>
      <c r="J11457" s="21">
        <f>2*$B$10476+$D$11442</f>
        <v/>
      </c>
      <c r="K11457" s="21">
        <f>0</f>
        <v/>
      </c>
      <c r="L11457" s="21">
        <f>-$B$10476</f>
        <v/>
      </c>
      <c r="M11457" s="21">
        <f>$B$10477</f>
        <v/>
      </c>
      <c r="N11457" s="21" t="n">
        <v>0</v>
      </c>
      <c r="O11457" s="21" t="n">
        <v>0</v>
      </c>
      <c r="P11457" s="21" t="n">
        <v>0</v>
      </c>
      <c r="Q11457" s="21" t="n">
        <v>0</v>
      </c>
      <c r="R11457" s="21" t="n">
        <v>0</v>
      </c>
      <c r="S11457" s="21" t="n">
        <v>0</v>
      </c>
      <c r="T11457" s="21" t="n">
        <v>0</v>
      </c>
      <c r="U11457" s="21" t="n">
        <v>0</v>
      </c>
      <c r="V11457" s="21" t="n">
        <v>0</v>
      </c>
      <c r="W11457" s="21" t="n">
        <v>0</v>
      </c>
      <c r="X11457" s="21" t="n">
        <v>0</v>
      </c>
      <c r="Y11457" s="21" t="n">
        <v>0</v>
      </c>
      <c r="Z11457" s="19" t="n"/>
    </row>
    <row r="11458">
      <c r="D11458" s="21" t="n">
        <v>0</v>
      </c>
      <c r="E11458" s="21" t="n">
        <v>0</v>
      </c>
      <c r="F11458" s="21" t="n">
        <v>0</v>
      </c>
      <c r="G11458" s="21" t="n">
        <v>0</v>
      </c>
      <c r="H11458" s="21">
        <f>$B$10477</f>
        <v/>
      </c>
      <c r="I11458" s="21">
        <f>$B$10479</f>
        <v/>
      </c>
      <c r="J11458" s="21">
        <f>0</f>
        <v/>
      </c>
      <c r="K11458" s="21">
        <f>2*$B$10478</f>
        <v/>
      </c>
      <c r="L11458" s="21">
        <f>-$B$10477</f>
        <v/>
      </c>
      <c r="M11458" s="21">
        <f>$B$10479</f>
        <v/>
      </c>
      <c r="N11458" s="21" t="n">
        <v>0</v>
      </c>
      <c r="O11458" s="21" t="n">
        <v>0</v>
      </c>
      <c r="P11458" s="21" t="n">
        <v>0</v>
      </c>
      <c r="Q11458" s="21" t="n">
        <v>0</v>
      </c>
      <c r="R11458" s="21" t="n">
        <v>0</v>
      </c>
      <c r="S11458" s="21" t="n">
        <v>0</v>
      </c>
      <c r="T11458" s="21" t="n">
        <v>0</v>
      </c>
      <c r="U11458" s="21" t="n">
        <v>0</v>
      </c>
      <c r="V11458" s="21" t="n">
        <v>0</v>
      </c>
      <c r="W11458" s="21" t="n">
        <v>0</v>
      </c>
      <c r="X11458" s="21" t="n">
        <v>0</v>
      </c>
      <c r="Y11458" s="21" t="n">
        <v>0</v>
      </c>
      <c r="Z11458" s="19" t="n"/>
    </row>
    <row r="11459">
      <c r="D11459" s="21" t="n">
        <v>0</v>
      </c>
      <c r="E11459" s="21" t="n">
        <v>0</v>
      </c>
      <c r="F11459" s="21" t="n">
        <v>0</v>
      </c>
      <c r="G11459" s="21" t="n">
        <v>0</v>
      </c>
      <c r="H11459" s="21" t="n">
        <v>0</v>
      </c>
      <c r="I11459" s="21" t="n">
        <v>0</v>
      </c>
      <c r="J11459" s="21">
        <f>-$B$10476</f>
        <v/>
      </c>
      <c r="K11459" s="21">
        <f>-$B$10477</f>
        <v/>
      </c>
      <c r="L11459" s="21">
        <f>2*$B$10476+$D$11443</f>
        <v/>
      </c>
      <c r="M11459" s="21">
        <f>0</f>
        <v/>
      </c>
      <c r="N11459" s="21">
        <f>-$B$10476</f>
        <v/>
      </c>
      <c r="O11459" s="21">
        <f>$B$10477</f>
        <v/>
      </c>
      <c r="P11459" s="21" t="n">
        <v>0</v>
      </c>
      <c r="Q11459" s="21" t="n">
        <v>0</v>
      </c>
      <c r="R11459" s="21" t="n">
        <v>0</v>
      </c>
      <c r="S11459" s="21" t="n">
        <v>0</v>
      </c>
      <c r="T11459" s="21" t="n">
        <v>0</v>
      </c>
      <c r="U11459" s="21" t="n">
        <v>0</v>
      </c>
      <c r="V11459" s="21" t="n">
        <v>0</v>
      </c>
      <c r="W11459" s="21" t="n">
        <v>0</v>
      </c>
      <c r="X11459" s="21" t="n">
        <v>0</v>
      </c>
      <c r="Y11459" s="21" t="n">
        <v>0</v>
      </c>
      <c r="Z11459" s="19" t="n"/>
    </row>
    <row r="11460">
      <c r="D11460" s="21" t="n">
        <v>0</v>
      </c>
      <c r="E11460" s="21" t="n">
        <v>0</v>
      </c>
      <c r="F11460" s="21" t="n">
        <v>0</v>
      </c>
      <c r="G11460" s="21" t="n">
        <v>0</v>
      </c>
      <c r="H11460" s="21" t="n">
        <v>0</v>
      </c>
      <c r="I11460" s="21" t="n">
        <v>0</v>
      </c>
      <c r="J11460" s="21">
        <f>$B$10477</f>
        <v/>
      </c>
      <c r="K11460" s="21">
        <f>$B$10479</f>
        <v/>
      </c>
      <c r="L11460" s="21">
        <f>0</f>
        <v/>
      </c>
      <c r="M11460" s="21">
        <f>2*$B$10478</f>
        <v/>
      </c>
      <c r="N11460" s="21">
        <f>-$B$10477</f>
        <v/>
      </c>
      <c r="O11460" s="21">
        <f>$B$10479</f>
        <v/>
      </c>
      <c r="P11460" s="21" t="n">
        <v>0</v>
      </c>
      <c r="Q11460" s="21" t="n">
        <v>0</v>
      </c>
      <c r="R11460" s="21" t="n">
        <v>0</v>
      </c>
      <c r="S11460" s="21" t="n">
        <v>0</v>
      </c>
      <c r="T11460" s="21" t="n">
        <v>0</v>
      </c>
      <c r="U11460" s="21" t="n">
        <v>0</v>
      </c>
      <c r="V11460" s="21" t="n">
        <v>0</v>
      </c>
      <c r="W11460" s="21" t="n">
        <v>0</v>
      </c>
      <c r="X11460" s="21" t="n">
        <v>0</v>
      </c>
      <c r="Y11460" s="21" t="n">
        <v>0</v>
      </c>
      <c r="Z11460" s="19" t="n"/>
    </row>
    <row r="11461">
      <c r="D11461" s="21" t="n">
        <v>0</v>
      </c>
      <c r="E11461" s="21" t="n">
        <v>0</v>
      </c>
      <c r="F11461" s="21" t="n">
        <v>0</v>
      </c>
      <c r="G11461" s="21" t="n">
        <v>0</v>
      </c>
      <c r="H11461" s="21" t="n">
        <v>0</v>
      </c>
      <c r="I11461" s="21" t="n">
        <v>0</v>
      </c>
      <c r="J11461" s="21" t="n">
        <v>0</v>
      </c>
      <c r="K11461" s="21" t="n">
        <v>0</v>
      </c>
      <c r="L11461" s="21">
        <f>-$B$10476</f>
        <v/>
      </c>
      <c r="M11461" s="21">
        <f>-$B$10477</f>
        <v/>
      </c>
      <c r="N11461" s="21">
        <f>2*$B$10476+$D$11444</f>
        <v/>
      </c>
      <c r="O11461" s="21">
        <f>0</f>
        <v/>
      </c>
      <c r="P11461" s="21">
        <f>-$B$10476</f>
        <v/>
      </c>
      <c r="Q11461" s="21">
        <f>$B$10477</f>
        <v/>
      </c>
      <c r="R11461" s="21" t="n">
        <v>0</v>
      </c>
      <c r="S11461" s="21" t="n">
        <v>0</v>
      </c>
      <c r="T11461" s="21" t="n">
        <v>0</v>
      </c>
      <c r="U11461" s="21" t="n">
        <v>0</v>
      </c>
      <c r="V11461" s="21" t="n">
        <v>0</v>
      </c>
      <c r="W11461" s="21" t="n">
        <v>0</v>
      </c>
      <c r="X11461" s="21" t="n">
        <v>0</v>
      </c>
      <c r="Y11461" s="21" t="n">
        <v>0</v>
      </c>
      <c r="Z11461" s="19" t="n"/>
    </row>
    <row r="11462">
      <c r="D11462" s="21" t="n">
        <v>0</v>
      </c>
      <c r="E11462" s="21" t="n">
        <v>0</v>
      </c>
      <c r="F11462" s="21" t="n">
        <v>0</v>
      </c>
      <c r="G11462" s="21" t="n">
        <v>0</v>
      </c>
      <c r="H11462" s="21" t="n">
        <v>0</v>
      </c>
      <c r="I11462" s="21" t="n">
        <v>0</v>
      </c>
      <c r="J11462" s="21" t="n">
        <v>0</v>
      </c>
      <c r="K11462" s="21" t="n">
        <v>0</v>
      </c>
      <c r="L11462" s="21">
        <f>$B$10477</f>
        <v/>
      </c>
      <c r="M11462" s="21">
        <f>$B$10479</f>
        <v/>
      </c>
      <c r="N11462" s="21">
        <f>0</f>
        <v/>
      </c>
      <c r="O11462" s="21">
        <f>2*$B$10478</f>
        <v/>
      </c>
      <c r="P11462" s="21">
        <f>-$B$10477</f>
        <v/>
      </c>
      <c r="Q11462" s="21">
        <f>$B$10479</f>
        <v/>
      </c>
      <c r="R11462" s="21" t="n">
        <v>0</v>
      </c>
      <c r="S11462" s="21" t="n">
        <v>0</v>
      </c>
      <c r="T11462" s="21" t="n">
        <v>0</v>
      </c>
      <c r="U11462" s="21" t="n">
        <v>0</v>
      </c>
      <c r="V11462" s="21" t="n">
        <v>0</v>
      </c>
      <c r="W11462" s="21" t="n">
        <v>0</v>
      </c>
      <c r="X11462" s="21" t="n">
        <v>0</v>
      </c>
      <c r="Y11462" s="21" t="n">
        <v>0</v>
      </c>
      <c r="Z11462" s="19" t="n"/>
    </row>
    <row r="11463">
      <c r="D11463" s="21" t="n">
        <v>0</v>
      </c>
      <c r="E11463" s="21" t="n">
        <v>0</v>
      </c>
      <c r="F11463" s="21" t="n">
        <v>0</v>
      </c>
      <c r="G11463" s="21" t="n">
        <v>0</v>
      </c>
      <c r="H11463" s="21" t="n">
        <v>0</v>
      </c>
      <c r="I11463" s="21" t="n">
        <v>0</v>
      </c>
      <c r="J11463" s="21" t="n">
        <v>0</v>
      </c>
      <c r="K11463" s="21" t="n">
        <v>0</v>
      </c>
      <c r="L11463" s="21" t="n">
        <v>0</v>
      </c>
      <c r="M11463" s="21" t="n">
        <v>0</v>
      </c>
      <c r="N11463" s="21">
        <f>-$B$10476</f>
        <v/>
      </c>
      <c r="O11463" s="21">
        <f>-$B$10477</f>
        <v/>
      </c>
      <c r="P11463" s="21">
        <f>2*$B$10476+$D$11445</f>
        <v/>
      </c>
      <c r="Q11463" s="21">
        <f>0</f>
        <v/>
      </c>
      <c r="R11463" s="21">
        <f>-$B$10476</f>
        <v/>
      </c>
      <c r="S11463" s="21">
        <f>$B$10477</f>
        <v/>
      </c>
      <c r="T11463" s="21" t="n">
        <v>0</v>
      </c>
      <c r="U11463" s="21" t="n">
        <v>0</v>
      </c>
      <c r="V11463" s="21" t="n">
        <v>0</v>
      </c>
      <c r="W11463" s="21" t="n">
        <v>0</v>
      </c>
      <c r="X11463" s="21" t="n">
        <v>0</v>
      </c>
      <c r="Y11463" s="21" t="n">
        <v>0</v>
      </c>
      <c r="Z11463" s="19" t="n"/>
    </row>
    <row r="11464">
      <c r="D11464" s="21" t="n">
        <v>0</v>
      </c>
      <c r="E11464" s="21" t="n">
        <v>0</v>
      </c>
      <c r="F11464" s="21" t="n">
        <v>0</v>
      </c>
      <c r="G11464" s="21" t="n">
        <v>0</v>
      </c>
      <c r="H11464" s="21" t="n">
        <v>0</v>
      </c>
      <c r="I11464" s="21" t="n">
        <v>0</v>
      </c>
      <c r="J11464" s="21" t="n">
        <v>0</v>
      </c>
      <c r="K11464" s="21" t="n">
        <v>0</v>
      </c>
      <c r="L11464" s="21" t="n">
        <v>0</v>
      </c>
      <c r="M11464" s="21" t="n">
        <v>0</v>
      </c>
      <c r="N11464" s="21">
        <f>$B$10477</f>
        <v/>
      </c>
      <c r="O11464" s="21">
        <f>$B$10479</f>
        <v/>
      </c>
      <c r="P11464" s="21">
        <f>0</f>
        <v/>
      </c>
      <c r="Q11464" s="21">
        <f>2*$B$10478</f>
        <v/>
      </c>
      <c r="R11464" s="21">
        <f>-$B$10477</f>
        <v/>
      </c>
      <c r="S11464" s="21">
        <f>$B$10479</f>
        <v/>
      </c>
      <c r="T11464" s="21" t="n">
        <v>0</v>
      </c>
      <c r="U11464" s="21" t="n">
        <v>0</v>
      </c>
      <c r="V11464" s="21" t="n">
        <v>0</v>
      </c>
      <c r="W11464" s="21" t="n">
        <v>0</v>
      </c>
      <c r="X11464" s="21" t="n">
        <v>0</v>
      </c>
      <c r="Y11464" s="21" t="n">
        <v>0</v>
      </c>
      <c r="Z11464" s="19" t="n"/>
    </row>
    <row r="11465">
      <c r="D11465" s="21" t="n">
        <v>0</v>
      </c>
      <c r="E11465" s="21" t="n">
        <v>0</v>
      </c>
      <c r="F11465" s="21" t="n">
        <v>0</v>
      </c>
      <c r="G11465" s="21" t="n">
        <v>0</v>
      </c>
      <c r="H11465" s="21" t="n">
        <v>0</v>
      </c>
      <c r="I11465" s="21" t="n">
        <v>0</v>
      </c>
      <c r="J11465" s="21" t="n">
        <v>0</v>
      </c>
      <c r="K11465" s="21" t="n">
        <v>0</v>
      </c>
      <c r="L11465" s="21" t="n">
        <v>0</v>
      </c>
      <c r="M11465" s="21" t="n">
        <v>0</v>
      </c>
      <c r="N11465" s="21" t="n">
        <v>0</v>
      </c>
      <c r="O11465" s="21" t="n">
        <v>0</v>
      </c>
      <c r="P11465" s="21">
        <f>-$B$10476</f>
        <v/>
      </c>
      <c r="Q11465" s="21">
        <f>-$B$10477</f>
        <v/>
      </c>
      <c r="R11465" s="21">
        <f>2*$B$10476+$D$11446</f>
        <v/>
      </c>
      <c r="S11465" s="21">
        <f>0</f>
        <v/>
      </c>
      <c r="T11465" s="21">
        <f>-$B$10476</f>
        <v/>
      </c>
      <c r="U11465" s="21">
        <f>$B$10477</f>
        <v/>
      </c>
      <c r="V11465" s="21" t="n">
        <v>0</v>
      </c>
      <c r="W11465" s="21" t="n">
        <v>0</v>
      </c>
      <c r="X11465" s="21" t="n">
        <v>0</v>
      </c>
      <c r="Y11465" s="21" t="n">
        <v>0</v>
      </c>
      <c r="Z11465" s="19" t="n"/>
    </row>
    <row r="11466">
      <c r="D11466" s="21" t="n">
        <v>0</v>
      </c>
      <c r="E11466" s="21" t="n">
        <v>0</v>
      </c>
      <c r="F11466" s="21" t="n">
        <v>0</v>
      </c>
      <c r="G11466" s="21" t="n">
        <v>0</v>
      </c>
      <c r="H11466" s="21" t="n">
        <v>0</v>
      </c>
      <c r="I11466" s="21" t="n">
        <v>0</v>
      </c>
      <c r="J11466" s="21" t="n">
        <v>0</v>
      </c>
      <c r="K11466" s="21" t="n">
        <v>0</v>
      </c>
      <c r="L11466" s="21" t="n">
        <v>0</v>
      </c>
      <c r="M11466" s="21" t="n">
        <v>0</v>
      </c>
      <c r="N11466" s="21" t="n">
        <v>0</v>
      </c>
      <c r="O11466" s="21" t="n">
        <v>0</v>
      </c>
      <c r="P11466" s="21">
        <f>$B$10477</f>
        <v/>
      </c>
      <c r="Q11466" s="21">
        <f>$B$10479</f>
        <v/>
      </c>
      <c r="R11466" s="21">
        <f>0</f>
        <v/>
      </c>
      <c r="S11466" s="21">
        <f>2*$B$10478</f>
        <v/>
      </c>
      <c r="T11466" s="21">
        <f>-$B$10477</f>
        <v/>
      </c>
      <c r="U11466" s="21">
        <f>$B$10479</f>
        <v/>
      </c>
      <c r="V11466" s="21" t="n">
        <v>0</v>
      </c>
      <c r="W11466" s="21" t="n">
        <v>0</v>
      </c>
      <c r="X11466" s="21" t="n">
        <v>0</v>
      </c>
      <c r="Y11466" s="21" t="n">
        <v>0</v>
      </c>
      <c r="Z11466" s="19" t="n"/>
    </row>
    <row r="11467">
      <c r="D11467" s="21" t="n">
        <v>0</v>
      </c>
      <c r="E11467" s="21" t="n">
        <v>0</v>
      </c>
      <c r="F11467" s="21" t="n">
        <v>0</v>
      </c>
      <c r="G11467" s="21" t="n">
        <v>0</v>
      </c>
      <c r="H11467" s="21" t="n">
        <v>0</v>
      </c>
      <c r="I11467" s="21" t="n">
        <v>0</v>
      </c>
      <c r="J11467" s="21" t="n">
        <v>0</v>
      </c>
      <c r="K11467" s="21" t="n">
        <v>0</v>
      </c>
      <c r="L11467" s="21" t="n">
        <v>0</v>
      </c>
      <c r="M11467" s="21" t="n">
        <v>0</v>
      </c>
      <c r="N11467" s="21" t="n">
        <v>0</v>
      </c>
      <c r="O11467" s="21" t="n">
        <v>0</v>
      </c>
      <c r="P11467" s="21" t="n">
        <v>0</v>
      </c>
      <c r="Q11467" s="21" t="n">
        <v>0</v>
      </c>
      <c r="R11467" s="21">
        <f>-$B$10476</f>
        <v/>
      </c>
      <c r="S11467" s="21">
        <f>-$B$10477</f>
        <v/>
      </c>
      <c r="T11467" s="21">
        <f>2*$B$10476+$D$11447</f>
        <v/>
      </c>
      <c r="U11467" s="21">
        <f>0</f>
        <v/>
      </c>
      <c r="V11467" s="21">
        <f>-$B$10476</f>
        <v/>
      </c>
      <c r="W11467" s="21">
        <f>$B$10477</f>
        <v/>
      </c>
      <c r="X11467" s="21" t="n">
        <v>0</v>
      </c>
      <c r="Y11467" s="21" t="n">
        <v>0</v>
      </c>
      <c r="Z11467" s="19" t="n"/>
    </row>
    <row r="11468">
      <c r="D11468" s="21" t="n">
        <v>0</v>
      </c>
      <c r="E11468" s="21" t="n">
        <v>0</v>
      </c>
      <c r="F11468" s="21" t="n">
        <v>0</v>
      </c>
      <c r="G11468" s="21" t="n">
        <v>0</v>
      </c>
      <c r="H11468" s="21" t="n">
        <v>0</v>
      </c>
      <c r="I11468" s="21" t="n">
        <v>0</v>
      </c>
      <c r="J11468" s="21" t="n">
        <v>0</v>
      </c>
      <c r="K11468" s="21" t="n">
        <v>0</v>
      </c>
      <c r="L11468" s="21" t="n">
        <v>0</v>
      </c>
      <c r="M11468" s="21" t="n">
        <v>0</v>
      </c>
      <c r="N11468" s="21" t="n">
        <v>0</v>
      </c>
      <c r="O11468" s="21" t="n">
        <v>0</v>
      </c>
      <c r="P11468" s="21" t="n">
        <v>0</v>
      </c>
      <c r="Q11468" s="21" t="n">
        <v>0</v>
      </c>
      <c r="R11468" s="21">
        <f>$B$10477</f>
        <v/>
      </c>
      <c r="S11468" s="21">
        <f>$B$10479</f>
        <v/>
      </c>
      <c r="T11468" s="21">
        <f>0</f>
        <v/>
      </c>
      <c r="U11468" s="21">
        <f>2*$B$10478</f>
        <v/>
      </c>
      <c r="V11468" s="21">
        <f>-$B$10477</f>
        <v/>
      </c>
      <c r="W11468" s="21">
        <f>$B$10479</f>
        <v/>
      </c>
      <c r="X11468" s="21" t="n">
        <v>0</v>
      </c>
      <c r="Y11468" s="21" t="n">
        <v>0</v>
      </c>
      <c r="Z11468" s="19" t="n"/>
    </row>
    <row r="11469">
      <c r="D11469" s="21" t="n">
        <v>0</v>
      </c>
      <c r="E11469" s="21" t="n">
        <v>0</v>
      </c>
      <c r="F11469" s="21" t="n">
        <v>0</v>
      </c>
      <c r="G11469" s="21" t="n">
        <v>0</v>
      </c>
      <c r="H11469" s="21" t="n">
        <v>0</v>
      </c>
      <c r="I11469" s="21" t="n">
        <v>0</v>
      </c>
      <c r="J11469" s="21" t="n">
        <v>0</v>
      </c>
      <c r="K11469" s="21" t="n">
        <v>0</v>
      </c>
      <c r="L11469" s="21" t="n">
        <v>0</v>
      </c>
      <c r="M11469" s="21" t="n">
        <v>0</v>
      </c>
      <c r="N11469" s="21" t="n">
        <v>0</v>
      </c>
      <c r="O11469" s="21" t="n">
        <v>0</v>
      </c>
      <c r="P11469" s="21" t="n">
        <v>0</v>
      </c>
      <c r="Q11469" s="21" t="n">
        <v>0</v>
      </c>
      <c r="R11469" s="21" t="n">
        <v>0</v>
      </c>
      <c r="S11469" s="21" t="n">
        <v>0</v>
      </c>
      <c r="T11469" s="21">
        <f>-$B$10476</f>
        <v/>
      </c>
      <c r="U11469" s="21">
        <f>-$B$10477</f>
        <v/>
      </c>
      <c r="V11469" s="21">
        <f>2*$B$10476+$D$11448</f>
        <v/>
      </c>
      <c r="W11469" s="21">
        <f>0</f>
        <v/>
      </c>
      <c r="X11469" s="21">
        <f>-$B$10476</f>
        <v/>
      </c>
      <c r="Y11469" s="21">
        <f>$B$10477</f>
        <v/>
      </c>
      <c r="Z11469" s="19" t="n"/>
    </row>
    <row r="11470">
      <c r="D11470" s="21" t="n">
        <v>0</v>
      </c>
      <c r="E11470" s="21" t="n">
        <v>0</v>
      </c>
      <c r="F11470" s="21" t="n">
        <v>0</v>
      </c>
      <c r="G11470" s="21" t="n">
        <v>0</v>
      </c>
      <c r="H11470" s="21" t="n">
        <v>0</v>
      </c>
      <c r="I11470" s="21" t="n">
        <v>0</v>
      </c>
      <c r="J11470" s="21" t="n">
        <v>0</v>
      </c>
      <c r="K11470" s="21" t="n">
        <v>0</v>
      </c>
      <c r="L11470" s="21" t="n">
        <v>0</v>
      </c>
      <c r="M11470" s="21" t="n">
        <v>0</v>
      </c>
      <c r="N11470" s="21" t="n">
        <v>0</v>
      </c>
      <c r="O11470" s="21" t="n">
        <v>0</v>
      </c>
      <c r="P11470" s="21" t="n">
        <v>0</v>
      </c>
      <c r="Q11470" s="21" t="n">
        <v>0</v>
      </c>
      <c r="R11470" s="21" t="n">
        <v>0</v>
      </c>
      <c r="S11470" s="21" t="n">
        <v>0</v>
      </c>
      <c r="T11470" s="21">
        <f>$B$10477</f>
        <v/>
      </c>
      <c r="U11470" s="21">
        <f>$B$10479</f>
        <v/>
      </c>
      <c r="V11470" s="21">
        <f>0</f>
        <v/>
      </c>
      <c r="W11470" s="21">
        <f>2*$B$10478</f>
        <v/>
      </c>
      <c r="X11470" s="21">
        <f>-$B$10477</f>
        <v/>
      </c>
      <c r="Y11470" s="21">
        <f>$B$10479</f>
        <v/>
      </c>
      <c r="Z11470" s="19" t="n"/>
    </row>
    <row r="11471">
      <c r="D11471" s="21" t="n">
        <v>0</v>
      </c>
      <c r="E11471" s="21" t="n">
        <v>0</v>
      </c>
      <c r="F11471" s="21" t="n">
        <v>0</v>
      </c>
      <c r="G11471" s="21" t="n">
        <v>0</v>
      </c>
      <c r="H11471" s="21" t="n">
        <v>0</v>
      </c>
      <c r="I11471" s="21" t="n">
        <v>0</v>
      </c>
      <c r="J11471" s="21" t="n">
        <v>0</v>
      </c>
      <c r="K11471" s="21" t="n">
        <v>0</v>
      </c>
      <c r="L11471" s="21" t="n">
        <v>0</v>
      </c>
      <c r="M11471" s="21" t="n">
        <v>0</v>
      </c>
      <c r="N11471" s="21" t="n">
        <v>0</v>
      </c>
      <c r="O11471" s="21" t="n">
        <v>0</v>
      </c>
      <c r="P11471" s="21" t="n">
        <v>0</v>
      </c>
      <c r="Q11471" s="21" t="n">
        <v>0</v>
      </c>
      <c r="R11471" s="21" t="n">
        <v>0</v>
      </c>
      <c r="S11471" s="21" t="n">
        <v>0</v>
      </c>
      <c r="T11471" s="21" t="n">
        <v>0</v>
      </c>
      <c r="U11471" s="21" t="n">
        <v>0</v>
      </c>
      <c r="V11471" s="21">
        <f>-$B$10476</f>
        <v/>
      </c>
      <c r="W11471" s="21">
        <f>-$B$10477</f>
        <v/>
      </c>
      <c r="X11471" s="21">
        <f>$B$10476+$D$11449</f>
        <v/>
      </c>
      <c r="Y11471" s="21">
        <f>-$B$10477</f>
        <v/>
      </c>
      <c r="Z11471" s="19" t="n"/>
    </row>
    <row r="11472">
      <c r="D11472" s="21" t="n">
        <v>0</v>
      </c>
      <c r="E11472" s="21" t="n">
        <v>0</v>
      </c>
      <c r="F11472" s="21" t="n">
        <v>0</v>
      </c>
      <c r="G11472" s="21" t="n">
        <v>0</v>
      </c>
      <c r="H11472" s="21" t="n">
        <v>0</v>
      </c>
      <c r="I11472" s="21" t="n">
        <v>0</v>
      </c>
      <c r="J11472" s="21" t="n">
        <v>0</v>
      </c>
      <c r="K11472" s="21" t="n">
        <v>0</v>
      </c>
      <c r="L11472" s="21" t="n">
        <v>0</v>
      </c>
      <c r="M11472" s="21" t="n">
        <v>0</v>
      </c>
      <c r="N11472" s="21" t="n">
        <v>0</v>
      </c>
      <c r="O11472" s="21" t="n">
        <v>0</v>
      </c>
      <c r="P11472" s="21" t="n">
        <v>0</v>
      </c>
      <c r="Q11472" s="21" t="n">
        <v>0</v>
      </c>
      <c r="R11472" s="21" t="n">
        <v>0</v>
      </c>
      <c r="S11472" s="21" t="n">
        <v>0</v>
      </c>
      <c r="T11472" s="21" t="n">
        <v>0</v>
      </c>
      <c r="U11472" s="21" t="n">
        <v>0</v>
      </c>
      <c r="V11472" s="21">
        <f>$B$10477</f>
        <v/>
      </c>
      <c r="W11472" s="21">
        <f>$B$10479</f>
        <v/>
      </c>
      <c r="X11472" s="21">
        <f>-$B$10477</f>
        <v/>
      </c>
      <c r="Y11472" s="21">
        <f>$B$10478</f>
        <v/>
      </c>
      <c r="Z11472" s="19" t="n"/>
    </row>
    <row r="11474">
      <c r="A11474" s="8" t="inlineStr">
        <is>
          <t>gen 27</t>
        </is>
      </c>
    </row>
    <row r="11475">
      <c r="D11475" s="19">
        <f>IF(ABS(IF(ABS($E$11439)&gt;0.000000001,$E$11439,0.000000001))=0,0,IF($E$10491&lt;=$B$10485,0,IF(ABS(IF(ABS($E$11439)&gt;0.000000001,$E$11439,0.000000001))&gt;=8*$B$10487,$H$10491,0.5*$H$10491*(ABS(IF(ABS($E$11439)&gt;0.000000001,$E$11439,0.000000001))/$B$10487)^(1/3)))/ABS(IF(ABS($E$11439)&gt;0.000000001,$E$11439,0.000000001))*$I$10491)</f>
        <v/>
      </c>
      <c r="E11475" s="19">
        <f>0.5*$E$11439+0.5*$Z$11487</f>
        <v/>
      </c>
      <c r="F11475" s="19">
        <f>$Z$11488</f>
        <v/>
      </c>
    </row>
    <row r="11476">
      <c r="D11476" s="19">
        <f>IF(ABS(IF(ABS($E$11440)&gt;0.000000001,$E$11440,0.000000001))=0,0,IF($E$10492&lt;=$B$10485,0,IF(ABS(IF(ABS($E$11440)&gt;0.000000001,$E$11440,0.000000001))&gt;=8*$B$10487,$H$10492,0.5*$H$10492*(ABS(IF(ABS($E$11440)&gt;0.000000001,$E$11440,0.000000001))/$B$10487)^(1/3)))/ABS(IF(ABS($E$11440)&gt;0.000000001,$E$11440,0.000000001))*$I$10492)</f>
        <v/>
      </c>
      <c r="E11476" s="19">
        <f>0.5*$E$11440+0.5*$Z$11489</f>
        <v/>
      </c>
      <c r="F11476" s="19">
        <f>$Z$11490</f>
        <v/>
      </c>
    </row>
    <row r="11477">
      <c r="D11477" s="19">
        <f>IF(ABS(IF(ABS($E$11441)&gt;0.000000001,$E$11441,0.000000001))=0,0,IF($E$10493&lt;=$B$10485,0,IF(ABS(IF(ABS($E$11441)&gt;0.000000001,$E$11441,0.000000001))&gt;=8*$B$10487,$H$10493,0.5*$H$10493*(ABS(IF(ABS($E$11441)&gt;0.000000001,$E$11441,0.000000001))/$B$10487)^(1/3)))/ABS(IF(ABS($E$11441)&gt;0.000000001,$E$11441,0.000000001))*$I$10493)</f>
        <v/>
      </c>
      <c r="E11477" s="19">
        <f>0.5*$E$11441+0.5*$Z$11491</f>
        <v/>
      </c>
      <c r="F11477" s="19">
        <f>$Z$11492</f>
        <v/>
      </c>
    </row>
    <row r="11478">
      <c r="D11478" s="19">
        <f>IF(ABS(IF(ABS($E$11442)&gt;0.000000001,$E$11442,0.000000001))=0,0,IF($E$10494&lt;=$B$10485,0,IF(ABS(IF(ABS($E$11442)&gt;0.000000001,$E$11442,0.000000001))&gt;=8*$B$10487,$H$10494,0.5*$H$10494*(ABS(IF(ABS($E$11442)&gt;0.000000001,$E$11442,0.000000001))/$B$10487)^(1/3)))/ABS(IF(ABS($E$11442)&gt;0.000000001,$E$11442,0.000000001))*$I$10494)</f>
        <v/>
      </c>
      <c r="E11478" s="19">
        <f>0.5*$E$11442+0.5*$Z$11493</f>
        <v/>
      </c>
      <c r="F11478" s="19">
        <f>$Z$11494</f>
        <v/>
      </c>
    </row>
    <row r="11479">
      <c r="D11479" s="19">
        <f>IF(ABS(IF(ABS($E$11443)&gt;0.000000001,$E$11443,0.000000001))=0,0,IF($E$10495&lt;=$B$10485,0,IF(ABS(IF(ABS($E$11443)&gt;0.000000001,$E$11443,0.000000001))&gt;=8*$B$10487,$H$10495,0.5*$H$10495*(ABS(IF(ABS($E$11443)&gt;0.000000001,$E$11443,0.000000001))/$B$10487)^(1/3)))/ABS(IF(ABS($E$11443)&gt;0.000000001,$E$11443,0.000000001))*$I$10495)</f>
        <v/>
      </c>
      <c r="E11479" s="19">
        <f>0.5*$E$11443+0.5*$Z$11495</f>
        <v/>
      </c>
      <c r="F11479" s="19">
        <f>$Z$11496</f>
        <v/>
      </c>
    </row>
    <row r="11480">
      <c r="D11480" s="19">
        <f>IF(ABS(IF(ABS($E$11444)&gt;0.000000001,$E$11444,0.000000001))=0,0,IF($E$10496&lt;=$B$10485,0,IF(ABS(IF(ABS($E$11444)&gt;0.000000001,$E$11444,0.000000001))&gt;=8*$B$10487,$H$10496,0.5*$H$10496*(ABS(IF(ABS($E$11444)&gt;0.000000001,$E$11444,0.000000001))/$B$10487)^(1/3)))/ABS(IF(ABS($E$11444)&gt;0.000000001,$E$11444,0.000000001))*$I$10496)</f>
        <v/>
      </c>
      <c r="E11480" s="19">
        <f>0.5*$E$11444+0.5*$Z$11497</f>
        <v/>
      </c>
      <c r="F11480" s="19">
        <f>$Z$11498</f>
        <v/>
      </c>
    </row>
    <row r="11481">
      <c r="D11481" s="19">
        <f>IF(ABS(IF(ABS($E$11445)&gt;0.000000001,$E$11445,0.000000001))=0,0,IF($E$10497&lt;=$B$10485,0,IF(ABS(IF(ABS($E$11445)&gt;0.000000001,$E$11445,0.000000001))&gt;=8*$B$10487,$H$10497,0.5*$H$10497*(ABS(IF(ABS($E$11445)&gt;0.000000001,$E$11445,0.000000001))/$B$10487)^(1/3)))/ABS(IF(ABS($E$11445)&gt;0.000000001,$E$11445,0.000000001))*$I$10497)</f>
        <v/>
      </c>
      <c r="E11481" s="19">
        <f>0.5*$E$11445+0.5*$Z$11499</f>
        <v/>
      </c>
      <c r="F11481" s="19">
        <f>$Z$11500</f>
        <v/>
      </c>
    </row>
    <row r="11482">
      <c r="D11482" s="19">
        <f>IF(ABS(IF(ABS($E$11446)&gt;0.000000001,$E$11446,0.000000001))=0,0,IF($E$10498&lt;=$B$10485,0,IF(ABS(IF(ABS($E$11446)&gt;0.000000001,$E$11446,0.000000001))&gt;=8*$B$10487,$H$10498,0.5*$H$10498*(ABS(IF(ABS($E$11446)&gt;0.000000001,$E$11446,0.000000001))/$B$10487)^(1/3)))/ABS(IF(ABS($E$11446)&gt;0.000000001,$E$11446,0.000000001))*$I$10498)</f>
        <v/>
      </c>
      <c r="E11482" s="19">
        <f>0.5*$E$11446+0.5*$Z$11501</f>
        <v/>
      </c>
      <c r="F11482" s="19">
        <f>$Z$11502</f>
        <v/>
      </c>
    </row>
    <row r="11483">
      <c r="D11483" s="19">
        <f>IF(ABS(IF(ABS($E$11447)&gt;0.000000001,$E$11447,0.000000001))=0,0,IF($E$10499&lt;=$B$10485,0,IF(ABS(IF(ABS($E$11447)&gt;0.000000001,$E$11447,0.000000001))&gt;=8*$B$10487,$H$10499,0.5*$H$10499*(ABS(IF(ABS($E$11447)&gt;0.000000001,$E$11447,0.000000001))/$B$10487)^(1/3)))/ABS(IF(ABS($E$11447)&gt;0.000000001,$E$11447,0.000000001))*$I$10499)</f>
        <v/>
      </c>
      <c r="E11483" s="19">
        <f>0.5*$E$11447+0.5*$Z$11503</f>
        <v/>
      </c>
      <c r="F11483" s="19">
        <f>$Z$11504</f>
        <v/>
      </c>
    </row>
    <row r="11484">
      <c r="D11484" s="19">
        <f>IF(ABS(IF(ABS($E$11448)&gt;0.000000001,$E$11448,0.000000001))=0,0,IF($E$10500&lt;=$B$10485,0,IF(ABS(IF(ABS($E$11448)&gt;0.000000001,$E$11448,0.000000001))&gt;=8*$B$10487,$H$10500,0.5*$H$10500*(ABS(IF(ABS($E$11448)&gt;0.000000001,$E$11448,0.000000001))/$B$10487)^(1/3)))/ABS(IF(ABS($E$11448)&gt;0.000000001,$E$11448,0.000000001))*$I$10500)</f>
        <v/>
      </c>
      <c r="E11484" s="19">
        <f>0.5*$E$11448+0.5*$Z$11505</f>
        <v/>
      </c>
      <c r="F11484" s="19">
        <f>$Z$11506</f>
        <v/>
      </c>
    </row>
    <row r="11485">
      <c r="D11485" s="19">
        <f>IF(ABS(IF(ABS($E$11449)&gt;0.000000001,$E$11449,0.000000001))=0,0,IF($E$10501&lt;=$B$10485,0,IF(ABS(IF(ABS($E$11449)&gt;0.000000001,$E$11449,0.000000001))&gt;=8*$B$10487,$H$10501,0.5*$H$10501*(ABS(IF(ABS($E$11449)&gt;0.000000001,$E$11449,0.000000001))/$B$10487)^(1/3)))/ABS(IF(ABS($E$11449)&gt;0.000000001,$E$11449,0.000000001))*$I$10501)</f>
        <v/>
      </c>
      <c r="E11485" s="19">
        <f>0.5*$E$11449+0.5*$Z$11507</f>
        <v/>
      </c>
      <c r="F11485" s="19">
        <f>$Z$11508</f>
        <v/>
      </c>
    </row>
    <row r="11487">
      <c r="D11487" s="21">
        <f>$B$10476+$D$11475</f>
        <v/>
      </c>
      <c r="E11487" s="21">
        <f>$B$10477</f>
        <v/>
      </c>
      <c r="F11487" s="21">
        <f>-$B$10476</f>
        <v/>
      </c>
      <c r="G11487" s="21">
        <f>$B$10477</f>
        <v/>
      </c>
      <c r="H11487" s="21" t="n">
        <v>0</v>
      </c>
      <c r="I11487" s="21" t="n">
        <v>0</v>
      </c>
      <c r="J11487" s="21" t="n">
        <v>0</v>
      </c>
      <c r="K11487" s="21" t="n">
        <v>0</v>
      </c>
      <c r="L11487" s="21" t="n">
        <v>0</v>
      </c>
      <c r="M11487" s="21" t="n">
        <v>0</v>
      </c>
      <c r="N11487" s="21" t="n">
        <v>0</v>
      </c>
      <c r="O11487" s="21" t="n">
        <v>0</v>
      </c>
      <c r="P11487" s="21" t="n">
        <v>0</v>
      </c>
      <c r="Q11487" s="21" t="n">
        <v>0</v>
      </c>
      <c r="R11487" s="21" t="n">
        <v>0</v>
      </c>
      <c r="S11487" s="21" t="n">
        <v>0</v>
      </c>
      <c r="T11487" s="21" t="n">
        <v>0</v>
      </c>
      <c r="U11487" s="21" t="n">
        <v>0</v>
      </c>
      <c r="V11487" s="21" t="n">
        <v>0</v>
      </c>
      <c r="W11487" s="21" t="n">
        <v>0</v>
      </c>
      <c r="X11487" s="21" t="n">
        <v>0</v>
      </c>
      <c r="Y11487" s="21" t="n">
        <v>0</v>
      </c>
      <c r="Z11487" s="19">
        <f t="array" ref="Z11487:Z11508">MMULT(MINVERSE($D$11487:$Y$11508),$D$10503:$D$10524)</f>
        <v/>
      </c>
    </row>
    <row r="11488">
      <c r="D11488" s="21">
        <f>$B$10477</f>
        <v/>
      </c>
      <c r="E11488" s="21">
        <f>$B$10478</f>
        <v/>
      </c>
      <c r="F11488" s="21">
        <f>-$B$10477</f>
        <v/>
      </c>
      <c r="G11488" s="21">
        <f>$B$10479</f>
        <v/>
      </c>
      <c r="H11488" s="21" t="n">
        <v>0</v>
      </c>
      <c r="I11488" s="21" t="n">
        <v>0</v>
      </c>
      <c r="J11488" s="21" t="n">
        <v>0</v>
      </c>
      <c r="K11488" s="21" t="n">
        <v>0</v>
      </c>
      <c r="L11488" s="21" t="n">
        <v>0</v>
      </c>
      <c r="M11488" s="21" t="n">
        <v>0</v>
      </c>
      <c r="N11488" s="21" t="n">
        <v>0</v>
      </c>
      <c r="O11488" s="21" t="n">
        <v>0</v>
      </c>
      <c r="P11488" s="21" t="n">
        <v>0</v>
      </c>
      <c r="Q11488" s="21" t="n">
        <v>0</v>
      </c>
      <c r="R11488" s="21" t="n">
        <v>0</v>
      </c>
      <c r="S11488" s="21" t="n">
        <v>0</v>
      </c>
      <c r="T11488" s="21" t="n">
        <v>0</v>
      </c>
      <c r="U11488" s="21" t="n">
        <v>0</v>
      </c>
      <c r="V11488" s="21" t="n">
        <v>0</v>
      </c>
      <c r="W11488" s="21" t="n">
        <v>0</v>
      </c>
      <c r="X11488" s="21" t="n">
        <v>0</v>
      </c>
      <c r="Y11488" s="21" t="n">
        <v>0</v>
      </c>
      <c r="Z11488" s="19" t="n"/>
    </row>
    <row r="11489">
      <c r="D11489" s="21">
        <f>-$B$10476</f>
        <v/>
      </c>
      <c r="E11489" s="21">
        <f>-$B$10477</f>
        <v/>
      </c>
      <c r="F11489" s="21">
        <f>2*$B$10476+$D$11476</f>
        <v/>
      </c>
      <c r="G11489" s="21">
        <f>0</f>
        <v/>
      </c>
      <c r="H11489" s="21">
        <f>-$B$10476</f>
        <v/>
      </c>
      <c r="I11489" s="21">
        <f>$B$10477</f>
        <v/>
      </c>
      <c r="J11489" s="21" t="n">
        <v>0</v>
      </c>
      <c r="K11489" s="21" t="n">
        <v>0</v>
      </c>
      <c r="L11489" s="21" t="n">
        <v>0</v>
      </c>
      <c r="M11489" s="21" t="n">
        <v>0</v>
      </c>
      <c r="N11489" s="21" t="n">
        <v>0</v>
      </c>
      <c r="O11489" s="21" t="n">
        <v>0</v>
      </c>
      <c r="P11489" s="21" t="n">
        <v>0</v>
      </c>
      <c r="Q11489" s="21" t="n">
        <v>0</v>
      </c>
      <c r="R11489" s="21" t="n">
        <v>0</v>
      </c>
      <c r="S11489" s="21" t="n">
        <v>0</v>
      </c>
      <c r="T11489" s="21" t="n">
        <v>0</v>
      </c>
      <c r="U11489" s="21" t="n">
        <v>0</v>
      </c>
      <c r="V11489" s="21" t="n">
        <v>0</v>
      </c>
      <c r="W11489" s="21" t="n">
        <v>0</v>
      </c>
      <c r="X11489" s="21" t="n">
        <v>0</v>
      </c>
      <c r="Y11489" s="21" t="n">
        <v>0</v>
      </c>
      <c r="Z11489" s="19" t="n"/>
    </row>
    <row r="11490">
      <c r="D11490" s="21">
        <f>$B$10477</f>
        <v/>
      </c>
      <c r="E11490" s="21">
        <f>$B$10479</f>
        <v/>
      </c>
      <c r="F11490" s="21">
        <f>0</f>
        <v/>
      </c>
      <c r="G11490" s="21">
        <f>2*$B$10478</f>
        <v/>
      </c>
      <c r="H11490" s="21">
        <f>-$B$10477</f>
        <v/>
      </c>
      <c r="I11490" s="21">
        <f>$B$10479</f>
        <v/>
      </c>
      <c r="J11490" s="21" t="n">
        <v>0</v>
      </c>
      <c r="K11490" s="21" t="n">
        <v>0</v>
      </c>
      <c r="L11490" s="21" t="n">
        <v>0</v>
      </c>
      <c r="M11490" s="21" t="n">
        <v>0</v>
      </c>
      <c r="N11490" s="21" t="n">
        <v>0</v>
      </c>
      <c r="O11490" s="21" t="n">
        <v>0</v>
      </c>
      <c r="P11490" s="21" t="n">
        <v>0</v>
      </c>
      <c r="Q11490" s="21" t="n">
        <v>0</v>
      </c>
      <c r="R11490" s="21" t="n">
        <v>0</v>
      </c>
      <c r="S11490" s="21" t="n">
        <v>0</v>
      </c>
      <c r="T11490" s="21" t="n">
        <v>0</v>
      </c>
      <c r="U11490" s="21" t="n">
        <v>0</v>
      </c>
      <c r="V11490" s="21" t="n">
        <v>0</v>
      </c>
      <c r="W11490" s="21" t="n">
        <v>0</v>
      </c>
      <c r="X11490" s="21" t="n">
        <v>0</v>
      </c>
      <c r="Y11490" s="21" t="n">
        <v>0</v>
      </c>
      <c r="Z11490" s="19" t="n"/>
    </row>
    <row r="11491">
      <c r="D11491" s="21" t="n">
        <v>0</v>
      </c>
      <c r="E11491" s="21" t="n">
        <v>0</v>
      </c>
      <c r="F11491" s="21">
        <f>-$B$10476</f>
        <v/>
      </c>
      <c r="G11491" s="21">
        <f>-$B$10477</f>
        <v/>
      </c>
      <c r="H11491" s="21">
        <f>2*$B$10476+$D$11477</f>
        <v/>
      </c>
      <c r="I11491" s="21">
        <f>0</f>
        <v/>
      </c>
      <c r="J11491" s="21">
        <f>-$B$10476</f>
        <v/>
      </c>
      <c r="K11491" s="21">
        <f>$B$10477</f>
        <v/>
      </c>
      <c r="L11491" s="21" t="n">
        <v>0</v>
      </c>
      <c r="M11491" s="21" t="n">
        <v>0</v>
      </c>
      <c r="N11491" s="21" t="n">
        <v>0</v>
      </c>
      <c r="O11491" s="21" t="n">
        <v>0</v>
      </c>
      <c r="P11491" s="21" t="n">
        <v>0</v>
      </c>
      <c r="Q11491" s="21" t="n">
        <v>0</v>
      </c>
      <c r="R11491" s="21" t="n">
        <v>0</v>
      </c>
      <c r="S11491" s="21" t="n">
        <v>0</v>
      </c>
      <c r="T11491" s="21" t="n">
        <v>0</v>
      </c>
      <c r="U11491" s="21" t="n">
        <v>0</v>
      </c>
      <c r="V11491" s="21" t="n">
        <v>0</v>
      </c>
      <c r="W11491" s="21" t="n">
        <v>0</v>
      </c>
      <c r="X11491" s="21" t="n">
        <v>0</v>
      </c>
      <c r="Y11491" s="21" t="n">
        <v>0</v>
      </c>
      <c r="Z11491" s="19" t="n"/>
    </row>
    <row r="11492">
      <c r="D11492" s="21" t="n">
        <v>0</v>
      </c>
      <c r="E11492" s="21" t="n">
        <v>0</v>
      </c>
      <c r="F11492" s="21">
        <f>$B$10477</f>
        <v/>
      </c>
      <c r="G11492" s="21">
        <f>$B$10479</f>
        <v/>
      </c>
      <c r="H11492" s="21">
        <f>0</f>
        <v/>
      </c>
      <c r="I11492" s="21">
        <f>2*$B$10478</f>
        <v/>
      </c>
      <c r="J11492" s="21">
        <f>-$B$10477</f>
        <v/>
      </c>
      <c r="K11492" s="21">
        <f>$B$10479</f>
        <v/>
      </c>
      <c r="L11492" s="21" t="n">
        <v>0</v>
      </c>
      <c r="M11492" s="21" t="n">
        <v>0</v>
      </c>
      <c r="N11492" s="21" t="n">
        <v>0</v>
      </c>
      <c r="O11492" s="21" t="n">
        <v>0</v>
      </c>
      <c r="P11492" s="21" t="n">
        <v>0</v>
      </c>
      <c r="Q11492" s="21" t="n">
        <v>0</v>
      </c>
      <c r="R11492" s="21" t="n">
        <v>0</v>
      </c>
      <c r="S11492" s="21" t="n">
        <v>0</v>
      </c>
      <c r="T11492" s="21" t="n">
        <v>0</v>
      </c>
      <c r="U11492" s="21" t="n">
        <v>0</v>
      </c>
      <c r="V11492" s="21" t="n">
        <v>0</v>
      </c>
      <c r="W11492" s="21" t="n">
        <v>0</v>
      </c>
      <c r="X11492" s="21" t="n">
        <v>0</v>
      </c>
      <c r="Y11492" s="21" t="n">
        <v>0</v>
      </c>
      <c r="Z11492" s="19" t="n"/>
    </row>
    <row r="11493">
      <c r="D11493" s="21" t="n">
        <v>0</v>
      </c>
      <c r="E11493" s="21" t="n">
        <v>0</v>
      </c>
      <c r="F11493" s="21" t="n">
        <v>0</v>
      </c>
      <c r="G11493" s="21" t="n">
        <v>0</v>
      </c>
      <c r="H11493" s="21">
        <f>-$B$10476</f>
        <v/>
      </c>
      <c r="I11493" s="21">
        <f>-$B$10477</f>
        <v/>
      </c>
      <c r="J11493" s="21">
        <f>2*$B$10476+$D$11478</f>
        <v/>
      </c>
      <c r="K11493" s="21">
        <f>0</f>
        <v/>
      </c>
      <c r="L11493" s="21">
        <f>-$B$10476</f>
        <v/>
      </c>
      <c r="M11493" s="21">
        <f>$B$10477</f>
        <v/>
      </c>
      <c r="N11493" s="21" t="n">
        <v>0</v>
      </c>
      <c r="O11493" s="21" t="n">
        <v>0</v>
      </c>
      <c r="P11493" s="21" t="n">
        <v>0</v>
      </c>
      <c r="Q11493" s="21" t="n">
        <v>0</v>
      </c>
      <c r="R11493" s="21" t="n">
        <v>0</v>
      </c>
      <c r="S11493" s="21" t="n">
        <v>0</v>
      </c>
      <c r="T11493" s="21" t="n">
        <v>0</v>
      </c>
      <c r="U11493" s="21" t="n">
        <v>0</v>
      </c>
      <c r="V11493" s="21" t="n">
        <v>0</v>
      </c>
      <c r="W11493" s="21" t="n">
        <v>0</v>
      </c>
      <c r="X11493" s="21" t="n">
        <v>0</v>
      </c>
      <c r="Y11493" s="21" t="n">
        <v>0</v>
      </c>
      <c r="Z11493" s="19" t="n"/>
    </row>
    <row r="11494">
      <c r="D11494" s="21" t="n">
        <v>0</v>
      </c>
      <c r="E11494" s="21" t="n">
        <v>0</v>
      </c>
      <c r="F11494" s="21" t="n">
        <v>0</v>
      </c>
      <c r="G11494" s="21" t="n">
        <v>0</v>
      </c>
      <c r="H11494" s="21">
        <f>$B$10477</f>
        <v/>
      </c>
      <c r="I11494" s="21">
        <f>$B$10479</f>
        <v/>
      </c>
      <c r="J11494" s="21">
        <f>0</f>
        <v/>
      </c>
      <c r="K11494" s="21">
        <f>2*$B$10478</f>
        <v/>
      </c>
      <c r="L11494" s="21">
        <f>-$B$10477</f>
        <v/>
      </c>
      <c r="M11494" s="21">
        <f>$B$10479</f>
        <v/>
      </c>
      <c r="N11494" s="21" t="n">
        <v>0</v>
      </c>
      <c r="O11494" s="21" t="n">
        <v>0</v>
      </c>
      <c r="P11494" s="21" t="n">
        <v>0</v>
      </c>
      <c r="Q11494" s="21" t="n">
        <v>0</v>
      </c>
      <c r="R11494" s="21" t="n">
        <v>0</v>
      </c>
      <c r="S11494" s="21" t="n">
        <v>0</v>
      </c>
      <c r="T11494" s="21" t="n">
        <v>0</v>
      </c>
      <c r="U11494" s="21" t="n">
        <v>0</v>
      </c>
      <c r="V11494" s="21" t="n">
        <v>0</v>
      </c>
      <c r="W11494" s="21" t="n">
        <v>0</v>
      </c>
      <c r="X11494" s="21" t="n">
        <v>0</v>
      </c>
      <c r="Y11494" s="21" t="n">
        <v>0</v>
      </c>
      <c r="Z11494" s="19" t="n"/>
    </row>
    <row r="11495">
      <c r="D11495" s="21" t="n">
        <v>0</v>
      </c>
      <c r="E11495" s="21" t="n">
        <v>0</v>
      </c>
      <c r="F11495" s="21" t="n">
        <v>0</v>
      </c>
      <c r="G11495" s="21" t="n">
        <v>0</v>
      </c>
      <c r="H11495" s="21" t="n">
        <v>0</v>
      </c>
      <c r="I11495" s="21" t="n">
        <v>0</v>
      </c>
      <c r="J11495" s="21">
        <f>-$B$10476</f>
        <v/>
      </c>
      <c r="K11495" s="21">
        <f>-$B$10477</f>
        <v/>
      </c>
      <c r="L11495" s="21">
        <f>2*$B$10476+$D$11479</f>
        <v/>
      </c>
      <c r="M11495" s="21">
        <f>0</f>
        <v/>
      </c>
      <c r="N11495" s="21">
        <f>-$B$10476</f>
        <v/>
      </c>
      <c r="O11495" s="21">
        <f>$B$10477</f>
        <v/>
      </c>
      <c r="P11495" s="21" t="n">
        <v>0</v>
      </c>
      <c r="Q11495" s="21" t="n">
        <v>0</v>
      </c>
      <c r="R11495" s="21" t="n">
        <v>0</v>
      </c>
      <c r="S11495" s="21" t="n">
        <v>0</v>
      </c>
      <c r="T11495" s="21" t="n">
        <v>0</v>
      </c>
      <c r="U11495" s="21" t="n">
        <v>0</v>
      </c>
      <c r="V11495" s="21" t="n">
        <v>0</v>
      </c>
      <c r="W11495" s="21" t="n">
        <v>0</v>
      </c>
      <c r="X11495" s="21" t="n">
        <v>0</v>
      </c>
      <c r="Y11495" s="21" t="n">
        <v>0</v>
      </c>
      <c r="Z11495" s="19" t="n"/>
    </row>
    <row r="11496">
      <c r="D11496" s="21" t="n">
        <v>0</v>
      </c>
      <c r="E11496" s="21" t="n">
        <v>0</v>
      </c>
      <c r="F11496" s="21" t="n">
        <v>0</v>
      </c>
      <c r="G11496" s="21" t="n">
        <v>0</v>
      </c>
      <c r="H11496" s="21" t="n">
        <v>0</v>
      </c>
      <c r="I11496" s="21" t="n">
        <v>0</v>
      </c>
      <c r="J11496" s="21">
        <f>$B$10477</f>
        <v/>
      </c>
      <c r="K11496" s="21">
        <f>$B$10479</f>
        <v/>
      </c>
      <c r="L11496" s="21">
        <f>0</f>
        <v/>
      </c>
      <c r="M11496" s="21">
        <f>2*$B$10478</f>
        <v/>
      </c>
      <c r="N11496" s="21">
        <f>-$B$10477</f>
        <v/>
      </c>
      <c r="O11496" s="21">
        <f>$B$10479</f>
        <v/>
      </c>
      <c r="P11496" s="21" t="n">
        <v>0</v>
      </c>
      <c r="Q11496" s="21" t="n">
        <v>0</v>
      </c>
      <c r="R11496" s="21" t="n">
        <v>0</v>
      </c>
      <c r="S11496" s="21" t="n">
        <v>0</v>
      </c>
      <c r="T11496" s="21" t="n">
        <v>0</v>
      </c>
      <c r="U11496" s="21" t="n">
        <v>0</v>
      </c>
      <c r="V11496" s="21" t="n">
        <v>0</v>
      </c>
      <c r="W11496" s="21" t="n">
        <v>0</v>
      </c>
      <c r="X11496" s="21" t="n">
        <v>0</v>
      </c>
      <c r="Y11496" s="21" t="n">
        <v>0</v>
      </c>
      <c r="Z11496" s="19" t="n"/>
    </row>
    <row r="11497">
      <c r="D11497" s="21" t="n">
        <v>0</v>
      </c>
      <c r="E11497" s="21" t="n">
        <v>0</v>
      </c>
      <c r="F11497" s="21" t="n">
        <v>0</v>
      </c>
      <c r="G11497" s="21" t="n">
        <v>0</v>
      </c>
      <c r="H11497" s="21" t="n">
        <v>0</v>
      </c>
      <c r="I11497" s="21" t="n">
        <v>0</v>
      </c>
      <c r="J11497" s="21" t="n">
        <v>0</v>
      </c>
      <c r="K11497" s="21" t="n">
        <v>0</v>
      </c>
      <c r="L11497" s="21">
        <f>-$B$10476</f>
        <v/>
      </c>
      <c r="M11497" s="21">
        <f>-$B$10477</f>
        <v/>
      </c>
      <c r="N11497" s="21">
        <f>2*$B$10476+$D$11480</f>
        <v/>
      </c>
      <c r="O11497" s="21">
        <f>0</f>
        <v/>
      </c>
      <c r="P11497" s="21">
        <f>-$B$10476</f>
        <v/>
      </c>
      <c r="Q11497" s="21">
        <f>$B$10477</f>
        <v/>
      </c>
      <c r="R11497" s="21" t="n">
        <v>0</v>
      </c>
      <c r="S11497" s="21" t="n">
        <v>0</v>
      </c>
      <c r="T11497" s="21" t="n">
        <v>0</v>
      </c>
      <c r="U11497" s="21" t="n">
        <v>0</v>
      </c>
      <c r="V11497" s="21" t="n">
        <v>0</v>
      </c>
      <c r="W11497" s="21" t="n">
        <v>0</v>
      </c>
      <c r="X11497" s="21" t="n">
        <v>0</v>
      </c>
      <c r="Y11497" s="21" t="n">
        <v>0</v>
      </c>
      <c r="Z11497" s="19" t="n"/>
    </row>
    <row r="11498">
      <c r="D11498" s="21" t="n">
        <v>0</v>
      </c>
      <c r="E11498" s="21" t="n">
        <v>0</v>
      </c>
      <c r="F11498" s="21" t="n">
        <v>0</v>
      </c>
      <c r="G11498" s="21" t="n">
        <v>0</v>
      </c>
      <c r="H11498" s="21" t="n">
        <v>0</v>
      </c>
      <c r="I11498" s="21" t="n">
        <v>0</v>
      </c>
      <c r="J11498" s="21" t="n">
        <v>0</v>
      </c>
      <c r="K11498" s="21" t="n">
        <v>0</v>
      </c>
      <c r="L11498" s="21">
        <f>$B$10477</f>
        <v/>
      </c>
      <c r="M11498" s="21">
        <f>$B$10479</f>
        <v/>
      </c>
      <c r="N11498" s="21">
        <f>0</f>
        <v/>
      </c>
      <c r="O11498" s="21">
        <f>2*$B$10478</f>
        <v/>
      </c>
      <c r="P11498" s="21">
        <f>-$B$10477</f>
        <v/>
      </c>
      <c r="Q11498" s="21">
        <f>$B$10479</f>
        <v/>
      </c>
      <c r="R11498" s="21" t="n">
        <v>0</v>
      </c>
      <c r="S11498" s="21" t="n">
        <v>0</v>
      </c>
      <c r="T11498" s="21" t="n">
        <v>0</v>
      </c>
      <c r="U11498" s="21" t="n">
        <v>0</v>
      </c>
      <c r="V11498" s="21" t="n">
        <v>0</v>
      </c>
      <c r="W11498" s="21" t="n">
        <v>0</v>
      </c>
      <c r="X11498" s="21" t="n">
        <v>0</v>
      </c>
      <c r="Y11498" s="21" t="n">
        <v>0</v>
      </c>
      <c r="Z11498" s="19" t="n"/>
    </row>
    <row r="11499">
      <c r="D11499" s="21" t="n">
        <v>0</v>
      </c>
      <c r="E11499" s="21" t="n">
        <v>0</v>
      </c>
      <c r="F11499" s="21" t="n">
        <v>0</v>
      </c>
      <c r="G11499" s="21" t="n">
        <v>0</v>
      </c>
      <c r="H11499" s="21" t="n">
        <v>0</v>
      </c>
      <c r="I11499" s="21" t="n">
        <v>0</v>
      </c>
      <c r="J11499" s="21" t="n">
        <v>0</v>
      </c>
      <c r="K11499" s="21" t="n">
        <v>0</v>
      </c>
      <c r="L11499" s="21" t="n">
        <v>0</v>
      </c>
      <c r="M11499" s="21" t="n">
        <v>0</v>
      </c>
      <c r="N11499" s="21">
        <f>-$B$10476</f>
        <v/>
      </c>
      <c r="O11499" s="21">
        <f>-$B$10477</f>
        <v/>
      </c>
      <c r="P11499" s="21">
        <f>2*$B$10476+$D$11481</f>
        <v/>
      </c>
      <c r="Q11499" s="21">
        <f>0</f>
        <v/>
      </c>
      <c r="R11499" s="21">
        <f>-$B$10476</f>
        <v/>
      </c>
      <c r="S11499" s="21">
        <f>$B$10477</f>
        <v/>
      </c>
      <c r="T11499" s="21" t="n">
        <v>0</v>
      </c>
      <c r="U11499" s="21" t="n">
        <v>0</v>
      </c>
      <c r="V11499" s="21" t="n">
        <v>0</v>
      </c>
      <c r="W11499" s="21" t="n">
        <v>0</v>
      </c>
      <c r="X11499" s="21" t="n">
        <v>0</v>
      </c>
      <c r="Y11499" s="21" t="n">
        <v>0</v>
      </c>
      <c r="Z11499" s="19" t="n"/>
    </row>
    <row r="11500">
      <c r="D11500" s="21" t="n">
        <v>0</v>
      </c>
      <c r="E11500" s="21" t="n">
        <v>0</v>
      </c>
      <c r="F11500" s="21" t="n">
        <v>0</v>
      </c>
      <c r="G11500" s="21" t="n">
        <v>0</v>
      </c>
      <c r="H11500" s="21" t="n">
        <v>0</v>
      </c>
      <c r="I11500" s="21" t="n">
        <v>0</v>
      </c>
      <c r="J11500" s="21" t="n">
        <v>0</v>
      </c>
      <c r="K11500" s="21" t="n">
        <v>0</v>
      </c>
      <c r="L11500" s="21" t="n">
        <v>0</v>
      </c>
      <c r="M11500" s="21" t="n">
        <v>0</v>
      </c>
      <c r="N11500" s="21">
        <f>$B$10477</f>
        <v/>
      </c>
      <c r="O11500" s="21">
        <f>$B$10479</f>
        <v/>
      </c>
      <c r="P11500" s="21">
        <f>0</f>
        <v/>
      </c>
      <c r="Q11500" s="21">
        <f>2*$B$10478</f>
        <v/>
      </c>
      <c r="R11500" s="21">
        <f>-$B$10477</f>
        <v/>
      </c>
      <c r="S11500" s="21">
        <f>$B$10479</f>
        <v/>
      </c>
      <c r="T11500" s="21" t="n">
        <v>0</v>
      </c>
      <c r="U11500" s="21" t="n">
        <v>0</v>
      </c>
      <c r="V11500" s="21" t="n">
        <v>0</v>
      </c>
      <c r="W11500" s="21" t="n">
        <v>0</v>
      </c>
      <c r="X11500" s="21" t="n">
        <v>0</v>
      </c>
      <c r="Y11500" s="21" t="n">
        <v>0</v>
      </c>
      <c r="Z11500" s="19" t="n"/>
    </row>
    <row r="11501">
      <c r="D11501" s="21" t="n">
        <v>0</v>
      </c>
      <c r="E11501" s="21" t="n">
        <v>0</v>
      </c>
      <c r="F11501" s="21" t="n">
        <v>0</v>
      </c>
      <c r="G11501" s="21" t="n">
        <v>0</v>
      </c>
      <c r="H11501" s="21" t="n">
        <v>0</v>
      </c>
      <c r="I11501" s="21" t="n">
        <v>0</v>
      </c>
      <c r="J11501" s="21" t="n">
        <v>0</v>
      </c>
      <c r="K11501" s="21" t="n">
        <v>0</v>
      </c>
      <c r="L11501" s="21" t="n">
        <v>0</v>
      </c>
      <c r="M11501" s="21" t="n">
        <v>0</v>
      </c>
      <c r="N11501" s="21" t="n">
        <v>0</v>
      </c>
      <c r="O11501" s="21" t="n">
        <v>0</v>
      </c>
      <c r="P11501" s="21">
        <f>-$B$10476</f>
        <v/>
      </c>
      <c r="Q11501" s="21">
        <f>-$B$10477</f>
        <v/>
      </c>
      <c r="R11501" s="21">
        <f>2*$B$10476+$D$11482</f>
        <v/>
      </c>
      <c r="S11501" s="21">
        <f>0</f>
        <v/>
      </c>
      <c r="T11501" s="21">
        <f>-$B$10476</f>
        <v/>
      </c>
      <c r="U11501" s="21">
        <f>$B$10477</f>
        <v/>
      </c>
      <c r="V11501" s="21" t="n">
        <v>0</v>
      </c>
      <c r="W11501" s="21" t="n">
        <v>0</v>
      </c>
      <c r="X11501" s="21" t="n">
        <v>0</v>
      </c>
      <c r="Y11501" s="21" t="n">
        <v>0</v>
      </c>
      <c r="Z11501" s="19" t="n"/>
    </row>
    <row r="11502">
      <c r="D11502" s="21" t="n">
        <v>0</v>
      </c>
      <c r="E11502" s="21" t="n">
        <v>0</v>
      </c>
      <c r="F11502" s="21" t="n">
        <v>0</v>
      </c>
      <c r="G11502" s="21" t="n">
        <v>0</v>
      </c>
      <c r="H11502" s="21" t="n">
        <v>0</v>
      </c>
      <c r="I11502" s="21" t="n">
        <v>0</v>
      </c>
      <c r="J11502" s="21" t="n">
        <v>0</v>
      </c>
      <c r="K11502" s="21" t="n">
        <v>0</v>
      </c>
      <c r="L11502" s="21" t="n">
        <v>0</v>
      </c>
      <c r="M11502" s="21" t="n">
        <v>0</v>
      </c>
      <c r="N11502" s="21" t="n">
        <v>0</v>
      </c>
      <c r="O11502" s="21" t="n">
        <v>0</v>
      </c>
      <c r="P11502" s="21">
        <f>$B$10477</f>
        <v/>
      </c>
      <c r="Q11502" s="21">
        <f>$B$10479</f>
        <v/>
      </c>
      <c r="R11502" s="21">
        <f>0</f>
        <v/>
      </c>
      <c r="S11502" s="21">
        <f>2*$B$10478</f>
        <v/>
      </c>
      <c r="T11502" s="21">
        <f>-$B$10477</f>
        <v/>
      </c>
      <c r="U11502" s="21">
        <f>$B$10479</f>
        <v/>
      </c>
      <c r="V11502" s="21" t="n">
        <v>0</v>
      </c>
      <c r="W11502" s="21" t="n">
        <v>0</v>
      </c>
      <c r="X11502" s="21" t="n">
        <v>0</v>
      </c>
      <c r="Y11502" s="21" t="n">
        <v>0</v>
      </c>
      <c r="Z11502" s="19" t="n"/>
    </row>
    <row r="11503">
      <c r="D11503" s="21" t="n">
        <v>0</v>
      </c>
      <c r="E11503" s="21" t="n">
        <v>0</v>
      </c>
      <c r="F11503" s="21" t="n">
        <v>0</v>
      </c>
      <c r="G11503" s="21" t="n">
        <v>0</v>
      </c>
      <c r="H11503" s="21" t="n">
        <v>0</v>
      </c>
      <c r="I11503" s="21" t="n">
        <v>0</v>
      </c>
      <c r="J11503" s="21" t="n">
        <v>0</v>
      </c>
      <c r="K11503" s="21" t="n">
        <v>0</v>
      </c>
      <c r="L11503" s="21" t="n">
        <v>0</v>
      </c>
      <c r="M11503" s="21" t="n">
        <v>0</v>
      </c>
      <c r="N11503" s="21" t="n">
        <v>0</v>
      </c>
      <c r="O11503" s="21" t="n">
        <v>0</v>
      </c>
      <c r="P11503" s="21" t="n">
        <v>0</v>
      </c>
      <c r="Q11503" s="21" t="n">
        <v>0</v>
      </c>
      <c r="R11503" s="21">
        <f>-$B$10476</f>
        <v/>
      </c>
      <c r="S11503" s="21">
        <f>-$B$10477</f>
        <v/>
      </c>
      <c r="T11503" s="21">
        <f>2*$B$10476+$D$11483</f>
        <v/>
      </c>
      <c r="U11503" s="21">
        <f>0</f>
        <v/>
      </c>
      <c r="V11503" s="21">
        <f>-$B$10476</f>
        <v/>
      </c>
      <c r="W11503" s="21">
        <f>$B$10477</f>
        <v/>
      </c>
      <c r="X11503" s="21" t="n">
        <v>0</v>
      </c>
      <c r="Y11503" s="21" t="n">
        <v>0</v>
      </c>
      <c r="Z11503" s="19" t="n"/>
    </row>
    <row r="11504">
      <c r="D11504" s="21" t="n">
        <v>0</v>
      </c>
      <c r="E11504" s="21" t="n">
        <v>0</v>
      </c>
      <c r="F11504" s="21" t="n">
        <v>0</v>
      </c>
      <c r="G11504" s="21" t="n">
        <v>0</v>
      </c>
      <c r="H11504" s="21" t="n">
        <v>0</v>
      </c>
      <c r="I11504" s="21" t="n">
        <v>0</v>
      </c>
      <c r="J11504" s="21" t="n">
        <v>0</v>
      </c>
      <c r="K11504" s="21" t="n">
        <v>0</v>
      </c>
      <c r="L11504" s="21" t="n">
        <v>0</v>
      </c>
      <c r="M11504" s="21" t="n">
        <v>0</v>
      </c>
      <c r="N11504" s="21" t="n">
        <v>0</v>
      </c>
      <c r="O11504" s="21" t="n">
        <v>0</v>
      </c>
      <c r="P11504" s="21" t="n">
        <v>0</v>
      </c>
      <c r="Q11504" s="21" t="n">
        <v>0</v>
      </c>
      <c r="R11504" s="21">
        <f>$B$10477</f>
        <v/>
      </c>
      <c r="S11504" s="21">
        <f>$B$10479</f>
        <v/>
      </c>
      <c r="T11504" s="21">
        <f>0</f>
        <v/>
      </c>
      <c r="U11504" s="21">
        <f>2*$B$10478</f>
        <v/>
      </c>
      <c r="V11504" s="21">
        <f>-$B$10477</f>
        <v/>
      </c>
      <c r="W11504" s="21">
        <f>$B$10479</f>
        <v/>
      </c>
      <c r="X11504" s="21" t="n">
        <v>0</v>
      </c>
      <c r="Y11504" s="21" t="n">
        <v>0</v>
      </c>
      <c r="Z11504" s="19" t="n"/>
    </row>
    <row r="11505">
      <c r="D11505" s="21" t="n">
        <v>0</v>
      </c>
      <c r="E11505" s="21" t="n">
        <v>0</v>
      </c>
      <c r="F11505" s="21" t="n">
        <v>0</v>
      </c>
      <c r="G11505" s="21" t="n">
        <v>0</v>
      </c>
      <c r="H11505" s="21" t="n">
        <v>0</v>
      </c>
      <c r="I11505" s="21" t="n">
        <v>0</v>
      </c>
      <c r="J11505" s="21" t="n">
        <v>0</v>
      </c>
      <c r="K11505" s="21" t="n">
        <v>0</v>
      </c>
      <c r="L11505" s="21" t="n">
        <v>0</v>
      </c>
      <c r="M11505" s="21" t="n">
        <v>0</v>
      </c>
      <c r="N11505" s="21" t="n">
        <v>0</v>
      </c>
      <c r="O11505" s="21" t="n">
        <v>0</v>
      </c>
      <c r="P11505" s="21" t="n">
        <v>0</v>
      </c>
      <c r="Q11505" s="21" t="n">
        <v>0</v>
      </c>
      <c r="R11505" s="21" t="n">
        <v>0</v>
      </c>
      <c r="S11505" s="21" t="n">
        <v>0</v>
      </c>
      <c r="T11505" s="21">
        <f>-$B$10476</f>
        <v/>
      </c>
      <c r="U11505" s="21">
        <f>-$B$10477</f>
        <v/>
      </c>
      <c r="V11505" s="21">
        <f>2*$B$10476+$D$11484</f>
        <v/>
      </c>
      <c r="W11505" s="21">
        <f>0</f>
        <v/>
      </c>
      <c r="X11505" s="21">
        <f>-$B$10476</f>
        <v/>
      </c>
      <c r="Y11505" s="21">
        <f>$B$10477</f>
        <v/>
      </c>
      <c r="Z11505" s="19" t="n"/>
    </row>
    <row r="11506">
      <c r="D11506" s="21" t="n">
        <v>0</v>
      </c>
      <c r="E11506" s="21" t="n">
        <v>0</v>
      </c>
      <c r="F11506" s="21" t="n">
        <v>0</v>
      </c>
      <c r="G11506" s="21" t="n">
        <v>0</v>
      </c>
      <c r="H11506" s="21" t="n">
        <v>0</v>
      </c>
      <c r="I11506" s="21" t="n">
        <v>0</v>
      </c>
      <c r="J11506" s="21" t="n">
        <v>0</v>
      </c>
      <c r="K11506" s="21" t="n">
        <v>0</v>
      </c>
      <c r="L11506" s="21" t="n">
        <v>0</v>
      </c>
      <c r="M11506" s="21" t="n">
        <v>0</v>
      </c>
      <c r="N11506" s="21" t="n">
        <v>0</v>
      </c>
      <c r="O11506" s="21" t="n">
        <v>0</v>
      </c>
      <c r="P11506" s="21" t="n">
        <v>0</v>
      </c>
      <c r="Q11506" s="21" t="n">
        <v>0</v>
      </c>
      <c r="R11506" s="21" t="n">
        <v>0</v>
      </c>
      <c r="S11506" s="21" t="n">
        <v>0</v>
      </c>
      <c r="T11506" s="21">
        <f>$B$10477</f>
        <v/>
      </c>
      <c r="U11506" s="21">
        <f>$B$10479</f>
        <v/>
      </c>
      <c r="V11506" s="21">
        <f>0</f>
        <v/>
      </c>
      <c r="W11506" s="21">
        <f>2*$B$10478</f>
        <v/>
      </c>
      <c r="X11506" s="21">
        <f>-$B$10477</f>
        <v/>
      </c>
      <c r="Y11506" s="21">
        <f>$B$10479</f>
        <v/>
      </c>
      <c r="Z11506" s="19" t="n"/>
    </row>
    <row r="11507">
      <c r="D11507" s="21" t="n">
        <v>0</v>
      </c>
      <c r="E11507" s="21" t="n">
        <v>0</v>
      </c>
      <c r="F11507" s="21" t="n">
        <v>0</v>
      </c>
      <c r="G11507" s="21" t="n">
        <v>0</v>
      </c>
      <c r="H11507" s="21" t="n">
        <v>0</v>
      </c>
      <c r="I11507" s="21" t="n">
        <v>0</v>
      </c>
      <c r="J11507" s="21" t="n">
        <v>0</v>
      </c>
      <c r="K11507" s="21" t="n">
        <v>0</v>
      </c>
      <c r="L11507" s="21" t="n">
        <v>0</v>
      </c>
      <c r="M11507" s="21" t="n">
        <v>0</v>
      </c>
      <c r="N11507" s="21" t="n">
        <v>0</v>
      </c>
      <c r="O11507" s="21" t="n">
        <v>0</v>
      </c>
      <c r="P11507" s="21" t="n">
        <v>0</v>
      </c>
      <c r="Q11507" s="21" t="n">
        <v>0</v>
      </c>
      <c r="R11507" s="21" t="n">
        <v>0</v>
      </c>
      <c r="S11507" s="21" t="n">
        <v>0</v>
      </c>
      <c r="T11507" s="21" t="n">
        <v>0</v>
      </c>
      <c r="U11507" s="21" t="n">
        <v>0</v>
      </c>
      <c r="V11507" s="21">
        <f>-$B$10476</f>
        <v/>
      </c>
      <c r="W11507" s="21">
        <f>-$B$10477</f>
        <v/>
      </c>
      <c r="X11507" s="21">
        <f>$B$10476+$D$11485</f>
        <v/>
      </c>
      <c r="Y11507" s="21">
        <f>-$B$10477</f>
        <v/>
      </c>
      <c r="Z11507" s="19" t="n"/>
    </row>
    <row r="11508">
      <c r="D11508" s="21" t="n">
        <v>0</v>
      </c>
      <c r="E11508" s="21" t="n">
        <v>0</v>
      </c>
      <c r="F11508" s="21" t="n">
        <v>0</v>
      </c>
      <c r="G11508" s="21" t="n">
        <v>0</v>
      </c>
      <c r="H11508" s="21" t="n">
        <v>0</v>
      </c>
      <c r="I11508" s="21" t="n">
        <v>0</v>
      </c>
      <c r="J11508" s="21" t="n">
        <v>0</v>
      </c>
      <c r="K11508" s="21" t="n">
        <v>0</v>
      </c>
      <c r="L11508" s="21" t="n">
        <v>0</v>
      </c>
      <c r="M11508" s="21" t="n">
        <v>0</v>
      </c>
      <c r="N11508" s="21" t="n">
        <v>0</v>
      </c>
      <c r="O11508" s="21" t="n">
        <v>0</v>
      </c>
      <c r="P11508" s="21" t="n">
        <v>0</v>
      </c>
      <c r="Q11508" s="21" t="n">
        <v>0</v>
      </c>
      <c r="R11508" s="21" t="n">
        <v>0</v>
      </c>
      <c r="S11508" s="21" t="n">
        <v>0</v>
      </c>
      <c r="T11508" s="21" t="n">
        <v>0</v>
      </c>
      <c r="U11508" s="21" t="n">
        <v>0</v>
      </c>
      <c r="V11508" s="21">
        <f>$B$10477</f>
        <v/>
      </c>
      <c r="W11508" s="21">
        <f>$B$10479</f>
        <v/>
      </c>
      <c r="X11508" s="21">
        <f>-$B$10477</f>
        <v/>
      </c>
      <c r="Y11508" s="21">
        <f>$B$10478</f>
        <v/>
      </c>
      <c r="Z11508" s="19" t="n"/>
    </row>
    <row r="11510">
      <c r="A11510" s="8" t="inlineStr">
        <is>
          <t>gen 28</t>
        </is>
      </c>
    </row>
    <row r="11511">
      <c r="D11511" s="19">
        <f>IF(ABS(IF(ABS($E$11475)&gt;0.000000001,$E$11475,0.000000001))=0,0,IF($E$10491&lt;=$B$10485,0,IF(ABS(IF(ABS($E$11475)&gt;0.000000001,$E$11475,0.000000001))&gt;=8*$B$10487,$H$10491,0.5*$H$10491*(ABS(IF(ABS($E$11475)&gt;0.000000001,$E$11475,0.000000001))/$B$10487)^(1/3)))/ABS(IF(ABS($E$11475)&gt;0.000000001,$E$11475,0.000000001))*$I$10491)</f>
        <v/>
      </c>
      <c r="E11511" s="19">
        <f>0.5*$E$11475+0.5*$Z$11523</f>
        <v/>
      </c>
      <c r="F11511" s="19">
        <f>$Z$11524</f>
        <v/>
      </c>
    </row>
    <row r="11512">
      <c r="D11512" s="19">
        <f>IF(ABS(IF(ABS($E$11476)&gt;0.000000001,$E$11476,0.000000001))=0,0,IF($E$10492&lt;=$B$10485,0,IF(ABS(IF(ABS($E$11476)&gt;0.000000001,$E$11476,0.000000001))&gt;=8*$B$10487,$H$10492,0.5*$H$10492*(ABS(IF(ABS($E$11476)&gt;0.000000001,$E$11476,0.000000001))/$B$10487)^(1/3)))/ABS(IF(ABS($E$11476)&gt;0.000000001,$E$11476,0.000000001))*$I$10492)</f>
        <v/>
      </c>
      <c r="E11512" s="19">
        <f>0.5*$E$11476+0.5*$Z$11525</f>
        <v/>
      </c>
      <c r="F11512" s="19">
        <f>$Z$11526</f>
        <v/>
      </c>
    </row>
    <row r="11513">
      <c r="D11513" s="19">
        <f>IF(ABS(IF(ABS($E$11477)&gt;0.000000001,$E$11477,0.000000001))=0,0,IF($E$10493&lt;=$B$10485,0,IF(ABS(IF(ABS($E$11477)&gt;0.000000001,$E$11477,0.000000001))&gt;=8*$B$10487,$H$10493,0.5*$H$10493*(ABS(IF(ABS($E$11477)&gt;0.000000001,$E$11477,0.000000001))/$B$10487)^(1/3)))/ABS(IF(ABS($E$11477)&gt;0.000000001,$E$11477,0.000000001))*$I$10493)</f>
        <v/>
      </c>
      <c r="E11513" s="19">
        <f>0.5*$E$11477+0.5*$Z$11527</f>
        <v/>
      </c>
      <c r="F11513" s="19">
        <f>$Z$11528</f>
        <v/>
      </c>
    </row>
    <row r="11514">
      <c r="D11514" s="19">
        <f>IF(ABS(IF(ABS($E$11478)&gt;0.000000001,$E$11478,0.000000001))=0,0,IF($E$10494&lt;=$B$10485,0,IF(ABS(IF(ABS($E$11478)&gt;0.000000001,$E$11478,0.000000001))&gt;=8*$B$10487,$H$10494,0.5*$H$10494*(ABS(IF(ABS($E$11478)&gt;0.000000001,$E$11478,0.000000001))/$B$10487)^(1/3)))/ABS(IF(ABS($E$11478)&gt;0.000000001,$E$11478,0.000000001))*$I$10494)</f>
        <v/>
      </c>
      <c r="E11514" s="19">
        <f>0.5*$E$11478+0.5*$Z$11529</f>
        <v/>
      </c>
      <c r="F11514" s="19">
        <f>$Z$11530</f>
        <v/>
      </c>
    </row>
    <row r="11515">
      <c r="D11515" s="19">
        <f>IF(ABS(IF(ABS($E$11479)&gt;0.000000001,$E$11479,0.000000001))=0,0,IF($E$10495&lt;=$B$10485,0,IF(ABS(IF(ABS($E$11479)&gt;0.000000001,$E$11479,0.000000001))&gt;=8*$B$10487,$H$10495,0.5*$H$10495*(ABS(IF(ABS($E$11479)&gt;0.000000001,$E$11479,0.000000001))/$B$10487)^(1/3)))/ABS(IF(ABS($E$11479)&gt;0.000000001,$E$11479,0.000000001))*$I$10495)</f>
        <v/>
      </c>
      <c r="E11515" s="19">
        <f>0.5*$E$11479+0.5*$Z$11531</f>
        <v/>
      </c>
      <c r="F11515" s="19">
        <f>$Z$11532</f>
        <v/>
      </c>
    </row>
    <row r="11516">
      <c r="D11516" s="19">
        <f>IF(ABS(IF(ABS($E$11480)&gt;0.000000001,$E$11480,0.000000001))=0,0,IF($E$10496&lt;=$B$10485,0,IF(ABS(IF(ABS($E$11480)&gt;0.000000001,$E$11480,0.000000001))&gt;=8*$B$10487,$H$10496,0.5*$H$10496*(ABS(IF(ABS($E$11480)&gt;0.000000001,$E$11480,0.000000001))/$B$10487)^(1/3)))/ABS(IF(ABS($E$11480)&gt;0.000000001,$E$11480,0.000000001))*$I$10496)</f>
        <v/>
      </c>
      <c r="E11516" s="19">
        <f>0.5*$E$11480+0.5*$Z$11533</f>
        <v/>
      </c>
      <c r="F11516" s="19">
        <f>$Z$11534</f>
        <v/>
      </c>
    </row>
    <row r="11517">
      <c r="D11517" s="19">
        <f>IF(ABS(IF(ABS($E$11481)&gt;0.000000001,$E$11481,0.000000001))=0,0,IF($E$10497&lt;=$B$10485,0,IF(ABS(IF(ABS($E$11481)&gt;0.000000001,$E$11481,0.000000001))&gt;=8*$B$10487,$H$10497,0.5*$H$10497*(ABS(IF(ABS($E$11481)&gt;0.000000001,$E$11481,0.000000001))/$B$10487)^(1/3)))/ABS(IF(ABS($E$11481)&gt;0.000000001,$E$11481,0.000000001))*$I$10497)</f>
        <v/>
      </c>
      <c r="E11517" s="19">
        <f>0.5*$E$11481+0.5*$Z$11535</f>
        <v/>
      </c>
      <c r="F11517" s="19">
        <f>$Z$11536</f>
        <v/>
      </c>
    </row>
    <row r="11518">
      <c r="D11518" s="19">
        <f>IF(ABS(IF(ABS($E$11482)&gt;0.000000001,$E$11482,0.000000001))=0,0,IF($E$10498&lt;=$B$10485,0,IF(ABS(IF(ABS($E$11482)&gt;0.000000001,$E$11482,0.000000001))&gt;=8*$B$10487,$H$10498,0.5*$H$10498*(ABS(IF(ABS($E$11482)&gt;0.000000001,$E$11482,0.000000001))/$B$10487)^(1/3)))/ABS(IF(ABS($E$11482)&gt;0.000000001,$E$11482,0.000000001))*$I$10498)</f>
        <v/>
      </c>
      <c r="E11518" s="19">
        <f>0.5*$E$11482+0.5*$Z$11537</f>
        <v/>
      </c>
      <c r="F11518" s="19">
        <f>$Z$11538</f>
        <v/>
      </c>
    </row>
    <row r="11519">
      <c r="D11519" s="19">
        <f>IF(ABS(IF(ABS($E$11483)&gt;0.000000001,$E$11483,0.000000001))=0,0,IF($E$10499&lt;=$B$10485,0,IF(ABS(IF(ABS($E$11483)&gt;0.000000001,$E$11483,0.000000001))&gt;=8*$B$10487,$H$10499,0.5*$H$10499*(ABS(IF(ABS($E$11483)&gt;0.000000001,$E$11483,0.000000001))/$B$10487)^(1/3)))/ABS(IF(ABS($E$11483)&gt;0.000000001,$E$11483,0.000000001))*$I$10499)</f>
        <v/>
      </c>
      <c r="E11519" s="19">
        <f>0.5*$E$11483+0.5*$Z$11539</f>
        <v/>
      </c>
      <c r="F11519" s="19">
        <f>$Z$11540</f>
        <v/>
      </c>
    </row>
    <row r="11520">
      <c r="D11520" s="19">
        <f>IF(ABS(IF(ABS($E$11484)&gt;0.000000001,$E$11484,0.000000001))=0,0,IF($E$10500&lt;=$B$10485,0,IF(ABS(IF(ABS($E$11484)&gt;0.000000001,$E$11484,0.000000001))&gt;=8*$B$10487,$H$10500,0.5*$H$10500*(ABS(IF(ABS($E$11484)&gt;0.000000001,$E$11484,0.000000001))/$B$10487)^(1/3)))/ABS(IF(ABS($E$11484)&gt;0.000000001,$E$11484,0.000000001))*$I$10500)</f>
        <v/>
      </c>
      <c r="E11520" s="19">
        <f>0.5*$E$11484+0.5*$Z$11541</f>
        <v/>
      </c>
      <c r="F11520" s="19">
        <f>$Z$11542</f>
        <v/>
      </c>
    </row>
    <row r="11521">
      <c r="D11521" s="19">
        <f>IF(ABS(IF(ABS($E$11485)&gt;0.000000001,$E$11485,0.000000001))=0,0,IF($E$10501&lt;=$B$10485,0,IF(ABS(IF(ABS($E$11485)&gt;0.000000001,$E$11485,0.000000001))&gt;=8*$B$10487,$H$10501,0.5*$H$10501*(ABS(IF(ABS($E$11485)&gt;0.000000001,$E$11485,0.000000001))/$B$10487)^(1/3)))/ABS(IF(ABS($E$11485)&gt;0.000000001,$E$11485,0.000000001))*$I$10501)</f>
        <v/>
      </c>
      <c r="E11521" s="19">
        <f>0.5*$E$11485+0.5*$Z$11543</f>
        <v/>
      </c>
      <c r="F11521" s="19">
        <f>$Z$11544</f>
        <v/>
      </c>
    </row>
    <row r="11523">
      <c r="D11523" s="21">
        <f>$B$10476+$D$11511</f>
        <v/>
      </c>
      <c r="E11523" s="21">
        <f>$B$10477</f>
        <v/>
      </c>
      <c r="F11523" s="21">
        <f>-$B$10476</f>
        <v/>
      </c>
      <c r="G11523" s="21">
        <f>$B$10477</f>
        <v/>
      </c>
      <c r="H11523" s="21" t="n">
        <v>0</v>
      </c>
      <c r="I11523" s="21" t="n">
        <v>0</v>
      </c>
      <c r="J11523" s="21" t="n">
        <v>0</v>
      </c>
      <c r="K11523" s="21" t="n">
        <v>0</v>
      </c>
      <c r="L11523" s="21" t="n">
        <v>0</v>
      </c>
      <c r="M11523" s="21" t="n">
        <v>0</v>
      </c>
      <c r="N11523" s="21" t="n">
        <v>0</v>
      </c>
      <c r="O11523" s="21" t="n">
        <v>0</v>
      </c>
      <c r="P11523" s="21" t="n">
        <v>0</v>
      </c>
      <c r="Q11523" s="21" t="n">
        <v>0</v>
      </c>
      <c r="R11523" s="21" t="n">
        <v>0</v>
      </c>
      <c r="S11523" s="21" t="n">
        <v>0</v>
      </c>
      <c r="T11523" s="21" t="n">
        <v>0</v>
      </c>
      <c r="U11523" s="21" t="n">
        <v>0</v>
      </c>
      <c r="V11523" s="21" t="n">
        <v>0</v>
      </c>
      <c r="W11523" s="21" t="n">
        <v>0</v>
      </c>
      <c r="X11523" s="21" t="n">
        <v>0</v>
      </c>
      <c r="Y11523" s="21" t="n">
        <v>0</v>
      </c>
      <c r="Z11523" s="19">
        <f t="array" ref="Z11523:Z11544">MMULT(MINVERSE($D$11523:$Y$11544),$D$10503:$D$10524)</f>
        <v/>
      </c>
    </row>
    <row r="11524">
      <c r="D11524" s="21">
        <f>$B$10477</f>
        <v/>
      </c>
      <c r="E11524" s="21">
        <f>$B$10478</f>
        <v/>
      </c>
      <c r="F11524" s="21">
        <f>-$B$10477</f>
        <v/>
      </c>
      <c r="G11524" s="21">
        <f>$B$10479</f>
        <v/>
      </c>
      <c r="H11524" s="21" t="n">
        <v>0</v>
      </c>
      <c r="I11524" s="21" t="n">
        <v>0</v>
      </c>
      <c r="J11524" s="21" t="n">
        <v>0</v>
      </c>
      <c r="K11524" s="21" t="n">
        <v>0</v>
      </c>
      <c r="L11524" s="21" t="n">
        <v>0</v>
      </c>
      <c r="M11524" s="21" t="n">
        <v>0</v>
      </c>
      <c r="N11524" s="21" t="n">
        <v>0</v>
      </c>
      <c r="O11524" s="21" t="n">
        <v>0</v>
      </c>
      <c r="P11524" s="21" t="n">
        <v>0</v>
      </c>
      <c r="Q11524" s="21" t="n">
        <v>0</v>
      </c>
      <c r="R11524" s="21" t="n">
        <v>0</v>
      </c>
      <c r="S11524" s="21" t="n">
        <v>0</v>
      </c>
      <c r="T11524" s="21" t="n">
        <v>0</v>
      </c>
      <c r="U11524" s="21" t="n">
        <v>0</v>
      </c>
      <c r="V11524" s="21" t="n">
        <v>0</v>
      </c>
      <c r="W11524" s="21" t="n">
        <v>0</v>
      </c>
      <c r="X11524" s="21" t="n">
        <v>0</v>
      </c>
      <c r="Y11524" s="21" t="n">
        <v>0</v>
      </c>
      <c r="Z11524" s="19" t="n"/>
    </row>
    <row r="11525">
      <c r="D11525" s="21">
        <f>-$B$10476</f>
        <v/>
      </c>
      <c r="E11525" s="21">
        <f>-$B$10477</f>
        <v/>
      </c>
      <c r="F11525" s="21">
        <f>2*$B$10476+$D$11512</f>
        <v/>
      </c>
      <c r="G11525" s="21">
        <f>0</f>
        <v/>
      </c>
      <c r="H11525" s="21">
        <f>-$B$10476</f>
        <v/>
      </c>
      <c r="I11525" s="21">
        <f>$B$10477</f>
        <v/>
      </c>
      <c r="J11525" s="21" t="n">
        <v>0</v>
      </c>
      <c r="K11525" s="21" t="n">
        <v>0</v>
      </c>
      <c r="L11525" s="21" t="n">
        <v>0</v>
      </c>
      <c r="M11525" s="21" t="n">
        <v>0</v>
      </c>
      <c r="N11525" s="21" t="n">
        <v>0</v>
      </c>
      <c r="O11525" s="21" t="n">
        <v>0</v>
      </c>
      <c r="P11525" s="21" t="n">
        <v>0</v>
      </c>
      <c r="Q11525" s="21" t="n">
        <v>0</v>
      </c>
      <c r="R11525" s="21" t="n">
        <v>0</v>
      </c>
      <c r="S11525" s="21" t="n">
        <v>0</v>
      </c>
      <c r="T11525" s="21" t="n">
        <v>0</v>
      </c>
      <c r="U11525" s="21" t="n">
        <v>0</v>
      </c>
      <c r="V11525" s="21" t="n">
        <v>0</v>
      </c>
      <c r="W11525" s="21" t="n">
        <v>0</v>
      </c>
      <c r="X11525" s="21" t="n">
        <v>0</v>
      </c>
      <c r="Y11525" s="21" t="n">
        <v>0</v>
      </c>
      <c r="Z11525" s="19" t="n"/>
    </row>
    <row r="11526">
      <c r="D11526" s="21">
        <f>$B$10477</f>
        <v/>
      </c>
      <c r="E11526" s="21">
        <f>$B$10479</f>
        <v/>
      </c>
      <c r="F11526" s="21">
        <f>0</f>
        <v/>
      </c>
      <c r="G11526" s="21">
        <f>2*$B$10478</f>
        <v/>
      </c>
      <c r="H11526" s="21">
        <f>-$B$10477</f>
        <v/>
      </c>
      <c r="I11526" s="21">
        <f>$B$10479</f>
        <v/>
      </c>
      <c r="J11526" s="21" t="n">
        <v>0</v>
      </c>
      <c r="K11526" s="21" t="n">
        <v>0</v>
      </c>
      <c r="L11526" s="21" t="n">
        <v>0</v>
      </c>
      <c r="M11526" s="21" t="n">
        <v>0</v>
      </c>
      <c r="N11526" s="21" t="n">
        <v>0</v>
      </c>
      <c r="O11526" s="21" t="n">
        <v>0</v>
      </c>
      <c r="P11526" s="21" t="n">
        <v>0</v>
      </c>
      <c r="Q11526" s="21" t="n">
        <v>0</v>
      </c>
      <c r="R11526" s="21" t="n">
        <v>0</v>
      </c>
      <c r="S11526" s="21" t="n">
        <v>0</v>
      </c>
      <c r="T11526" s="21" t="n">
        <v>0</v>
      </c>
      <c r="U11526" s="21" t="n">
        <v>0</v>
      </c>
      <c r="V11526" s="21" t="n">
        <v>0</v>
      </c>
      <c r="W11526" s="21" t="n">
        <v>0</v>
      </c>
      <c r="X11526" s="21" t="n">
        <v>0</v>
      </c>
      <c r="Y11526" s="21" t="n">
        <v>0</v>
      </c>
      <c r="Z11526" s="19" t="n"/>
    </row>
    <row r="11527">
      <c r="D11527" s="21" t="n">
        <v>0</v>
      </c>
      <c r="E11527" s="21" t="n">
        <v>0</v>
      </c>
      <c r="F11527" s="21">
        <f>-$B$10476</f>
        <v/>
      </c>
      <c r="G11527" s="21">
        <f>-$B$10477</f>
        <v/>
      </c>
      <c r="H11527" s="21">
        <f>2*$B$10476+$D$11513</f>
        <v/>
      </c>
      <c r="I11527" s="21">
        <f>0</f>
        <v/>
      </c>
      <c r="J11527" s="21">
        <f>-$B$10476</f>
        <v/>
      </c>
      <c r="K11527" s="21">
        <f>$B$10477</f>
        <v/>
      </c>
      <c r="L11527" s="21" t="n">
        <v>0</v>
      </c>
      <c r="M11527" s="21" t="n">
        <v>0</v>
      </c>
      <c r="N11527" s="21" t="n">
        <v>0</v>
      </c>
      <c r="O11527" s="21" t="n">
        <v>0</v>
      </c>
      <c r="P11527" s="21" t="n">
        <v>0</v>
      </c>
      <c r="Q11527" s="21" t="n">
        <v>0</v>
      </c>
      <c r="R11527" s="21" t="n">
        <v>0</v>
      </c>
      <c r="S11527" s="21" t="n">
        <v>0</v>
      </c>
      <c r="T11527" s="21" t="n">
        <v>0</v>
      </c>
      <c r="U11527" s="21" t="n">
        <v>0</v>
      </c>
      <c r="V11527" s="21" t="n">
        <v>0</v>
      </c>
      <c r="W11527" s="21" t="n">
        <v>0</v>
      </c>
      <c r="X11527" s="21" t="n">
        <v>0</v>
      </c>
      <c r="Y11527" s="21" t="n">
        <v>0</v>
      </c>
      <c r="Z11527" s="19" t="n"/>
    </row>
    <row r="11528">
      <c r="D11528" s="21" t="n">
        <v>0</v>
      </c>
      <c r="E11528" s="21" t="n">
        <v>0</v>
      </c>
      <c r="F11528" s="21">
        <f>$B$10477</f>
        <v/>
      </c>
      <c r="G11528" s="21">
        <f>$B$10479</f>
        <v/>
      </c>
      <c r="H11528" s="21">
        <f>0</f>
        <v/>
      </c>
      <c r="I11528" s="21">
        <f>2*$B$10478</f>
        <v/>
      </c>
      <c r="J11528" s="21">
        <f>-$B$10477</f>
        <v/>
      </c>
      <c r="K11528" s="21">
        <f>$B$10479</f>
        <v/>
      </c>
      <c r="L11528" s="21" t="n">
        <v>0</v>
      </c>
      <c r="M11528" s="21" t="n">
        <v>0</v>
      </c>
      <c r="N11528" s="21" t="n">
        <v>0</v>
      </c>
      <c r="O11528" s="21" t="n">
        <v>0</v>
      </c>
      <c r="P11528" s="21" t="n">
        <v>0</v>
      </c>
      <c r="Q11528" s="21" t="n">
        <v>0</v>
      </c>
      <c r="R11528" s="21" t="n">
        <v>0</v>
      </c>
      <c r="S11528" s="21" t="n">
        <v>0</v>
      </c>
      <c r="T11528" s="21" t="n">
        <v>0</v>
      </c>
      <c r="U11528" s="21" t="n">
        <v>0</v>
      </c>
      <c r="V11528" s="21" t="n">
        <v>0</v>
      </c>
      <c r="W11528" s="21" t="n">
        <v>0</v>
      </c>
      <c r="X11528" s="21" t="n">
        <v>0</v>
      </c>
      <c r="Y11528" s="21" t="n">
        <v>0</v>
      </c>
      <c r="Z11528" s="19" t="n"/>
    </row>
    <row r="11529">
      <c r="D11529" s="21" t="n">
        <v>0</v>
      </c>
      <c r="E11529" s="21" t="n">
        <v>0</v>
      </c>
      <c r="F11529" s="21" t="n">
        <v>0</v>
      </c>
      <c r="G11529" s="21" t="n">
        <v>0</v>
      </c>
      <c r="H11529" s="21">
        <f>-$B$10476</f>
        <v/>
      </c>
      <c r="I11529" s="21">
        <f>-$B$10477</f>
        <v/>
      </c>
      <c r="J11529" s="21">
        <f>2*$B$10476+$D$11514</f>
        <v/>
      </c>
      <c r="K11529" s="21">
        <f>0</f>
        <v/>
      </c>
      <c r="L11529" s="21">
        <f>-$B$10476</f>
        <v/>
      </c>
      <c r="M11529" s="21">
        <f>$B$10477</f>
        <v/>
      </c>
      <c r="N11529" s="21" t="n">
        <v>0</v>
      </c>
      <c r="O11529" s="21" t="n">
        <v>0</v>
      </c>
      <c r="P11529" s="21" t="n">
        <v>0</v>
      </c>
      <c r="Q11529" s="21" t="n">
        <v>0</v>
      </c>
      <c r="R11529" s="21" t="n">
        <v>0</v>
      </c>
      <c r="S11529" s="21" t="n">
        <v>0</v>
      </c>
      <c r="T11529" s="21" t="n">
        <v>0</v>
      </c>
      <c r="U11529" s="21" t="n">
        <v>0</v>
      </c>
      <c r="V11529" s="21" t="n">
        <v>0</v>
      </c>
      <c r="W11529" s="21" t="n">
        <v>0</v>
      </c>
      <c r="X11529" s="21" t="n">
        <v>0</v>
      </c>
      <c r="Y11529" s="21" t="n">
        <v>0</v>
      </c>
      <c r="Z11529" s="19" t="n"/>
    </row>
    <row r="11530">
      <c r="D11530" s="21" t="n">
        <v>0</v>
      </c>
      <c r="E11530" s="21" t="n">
        <v>0</v>
      </c>
      <c r="F11530" s="21" t="n">
        <v>0</v>
      </c>
      <c r="G11530" s="21" t="n">
        <v>0</v>
      </c>
      <c r="H11530" s="21">
        <f>$B$10477</f>
        <v/>
      </c>
      <c r="I11530" s="21">
        <f>$B$10479</f>
        <v/>
      </c>
      <c r="J11530" s="21">
        <f>0</f>
        <v/>
      </c>
      <c r="K11530" s="21">
        <f>2*$B$10478</f>
        <v/>
      </c>
      <c r="L11530" s="21">
        <f>-$B$10477</f>
        <v/>
      </c>
      <c r="M11530" s="21">
        <f>$B$10479</f>
        <v/>
      </c>
      <c r="N11530" s="21" t="n">
        <v>0</v>
      </c>
      <c r="O11530" s="21" t="n">
        <v>0</v>
      </c>
      <c r="P11530" s="21" t="n">
        <v>0</v>
      </c>
      <c r="Q11530" s="21" t="n">
        <v>0</v>
      </c>
      <c r="R11530" s="21" t="n">
        <v>0</v>
      </c>
      <c r="S11530" s="21" t="n">
        <v>0</v>
      </c>
      <c r="T11530" s="21" t="n">
        <v>0</v>
      </c>
      <c r="U11530" s="21" t="n">
        <v>0</v>
      </c>
      <c r="V11530" s="21" t="n">
        <v>0</v>
      </c>
      <c r="W11530" s="21" t="n">
        <v>0</v>
      </c>
      <c r="X11530" s="21" t="n">
        <v>0</v>
      </c>
      <c r="Y11530" s="21" t="n">
        <v>0</v>
      </c>
      <c r="Z11530" s="19" t="n"/>
    </row>
    <row r="11531">
      <c r="D11531" s="21" t="n">
        <v>0</v>
      </c>
      <c r="E11531" s="21" t="n">
        <v>0</v>
      </c>
      <c r="F11531" s="21" t="n">
        <v>0</v>
      </c>
      <c r="G11531" s="21" t="n">
        <v>0</v>
      </c>
      <c r="H11531" s="21" t="n">
        <v>0</v>
      </c>
      <c r="I11531" s="21" t="n">
        <v>0</v>
      </c>
      <c r="J11531" s="21">
        <f>-$B$10476</f>
        <v/>
      </c>
      <c r="K11531" s="21">
        <f>-$B$10477</f>
        <v/>
      </c>
      <c r="L11531" s="21">
        <f>2*$B$10476+$D$11515</f>
        <v/>
      </c>
      <c r="M11531" s="21">
        <f>0</f>
        <v/>
      </c>
      <c r="N11531" s="21">
        <f>-$B$10476</f>
        <v/>
      </c>
      <c r="O11531" s="21">
        <f>$B$10477</f>
        <v/>
      </c>
      <c r="P11531" s="21" t="n">
        <v>0</v>
      </c>
      <c r="Q11531" s="21" t="n">
        <v>0</v>
      </c>
      <c r="R11531" s="21" t="n">
        <v>0</v>
      </c>
      <c r="S11531" s="21" t="n">
        <v>0</v>
      </c>
      <c r="T11531" s="21" t="n">
        <v>0</v>
      </c>
      <c r="U11531" s="21" t="n">
        <v>0</v>
      </c>
      <c r="V11531" s="21" t="n">
        <v>0</v>
      </c>
      <c r="W11531" s="21" t="n">
        <v>0</v>
      </c>
      <c r="X11531" s="21" t="n">
        <v>0</v>
      </c>
      <c r="Y11531" s="21" t="n">
        <v>0</v>
      </c>
      <c r="Z11531" s="19" t="n"/>
    </row>
    <row r="11532">
      <c r="D11532" s="21" t="n">
        <v>0</v>
      </c>
      <c r="E11532" s="21" t="n">
        <v>0</v>
      </c>
      <c r="F11532" s="21" t="n">
        <v>0</v>
      </c>
      <c r="G11532" s="21" t="n">
        <v>0</v>
      </c>
      <c r="H11532" s="21" t="n">
        <v>0</v>
      </c>
      <c r="I11532" s="21" t="n">
        <v>0</v>
      </c>
      <c r="J11532" s="21">
        <f>$B$10477</f>
        <v/>
      </c>
      <c r="K11532" s="21">
        <f>$B$10479</f>
        <v/>
      </c>
      <c r="L11532" s="21">
        <f>0</f>
        <v/>
      </c>
      <c r="M11532" s="21">
        <f>2*$B$10478</f>
        <v/>
      </c>
      <c r="N11532" s="21">
        <f>-$B$10477</f>
        <v/>
      </c>
      <c r="O11532" s="21">
        <f>$B$10479</f>
        <v/>
      </c>
      <c r="P11532" s="21" t="n">
        <v>0</v>
      </c>
      <c r="Q11532" s="21" t="n">
        <v>0</v>
      </c>
      <c r="R11532" s="21" t="n">
        <v>0</v>
      </c>
      <c r="S11532" s="21" t="n">
        <v>0</v>
      </c>
      <c r="T11532" s="21" t="n">
        <v>0</v>
      </c>
      <c r="U11532" s="21" t="n">
        <v>0</v>
      </c>
      <c r="V11532" s="21" t="n">
        <v>0</v>
      </c>
      <c r="W11532" s="21" t="n">
        <v>0</v>
      </c>
      <c r="X11532" s="21" t="n">
        <v>0</v>
      </c>
      <c r="Y11532" s="21" t="n">
        <v>0</v>
      </c>
      <c r="Z11532" s="19" t="n"/>
    </row>
    <row r="11533">
      <c r="D11533" s="21" t="n">
        <v>0</v>
      </c>
      <c r="E11533" s="21" t="n">
        <v>0</v>
      </c>
      <c r="F11533" s="21" t="n">
        <v>0</v>
      </c>
      <c r="G11533" s="21" t="n">
        <v>0</v>
      </c>
      <c r="H11533" s="21" t="n">
        <v>0</v>
      </c>
      <c r="I11533" s="21" t="n">
        <v>0</v>
      </c>
      <c r="J11533" s="21" t="n">
        <v>0</v>
      </c>
      <c r="K11533" s="21" t="n">
        <v>0</v>
      </c>
      <c r="L11533" s="21">
        <f>-$B$10476</f>
        <v/>
      </c>
      <c r="M11533" s="21">
        <f>-$B$10477</f>
        <v/>
      </c>
      <c r="N11533" s="21">
        <f>2*$B$10476+$D$11516</f>
        <v/>
      </c>
      <c r="O11533" s="21">
        <f>0</f>
        <v/>
      </c>
      <c r="P11533" s="21">
        <f>-$B$10476</f>
        <v/>
      </c>
      <c r="Q11533" s="21">
        <f>$B$10477</f>
        <v/>
      </c>
      <c r="R11533" s="21" t="n">
        <v>0</v>
      </c>
      <c r="S11533" s="21" t="n">
        <v>0</v>
      </c>
      <c r="T11533" s="21" t="n">
        <v>0</v>
      </c>
      <c r="U11533" s="21" t="n">
        <v>0</v>
      </c>
      <c r="V11533" s="21" t="n">
        <v>0</v>
      </c>
      <c r="W11533" s="21" t="n">
        <v>0</v>
      </c>
      <c r="X11533" s="21" t="n">
        <v>0</v>
      </c>
      <c r="Y11533" s="21" t="n">
        <v>0</v>
      </c>
      <c r="Z11533" s="19" t="n"/>
    </row>
    <row r="11534">
      <c r="D11534" s="21" t="n">
        <v>0</v>
      </c>
      <c r="E11534" s="21" t="n">
        <v>0</v>
      </c>
      <c r="F11534" s="21" t="n">
        <v>0</v>
      </c>
      <c r="G11534" s="21" t="n">
        <v>0</v>
      </c>
      <c r="H11534" s="21" t="n">
        <v>0</v>
      </c>
      <c r="I11534" s="21" t="n">
        <v>0</v>
      </c>
      <c r="J11534" s="21" t="n">
        <v>0</v>
      </c>
      <c r="K11534" s="21" t="n">
        <v>0</v>
      </c>
      <c r="L11534" s="21">
        <f>$B$10477</f>
        <v/>
      </c>
      <c r="M11534" s="21">
        <f>$B$10479</f>
        <v/>
      </c>
      <c r="N11534" s="21">
        <f>0</f>
        <v/>
      </c>
      <c r="O11534" s="21">
        <f>2*$B$10478</f>
        <v/>
      </c>
      <c r="P11534" s="21">
        <f>-$B$10477</f>
        <v/>
      </c>
      <c r="Q11534" s="21">
        <f>$B$10479</f>
        <v/>
      </c>
      <c r="R11534" s="21" t="n">
        <v>0</v>
      </c>
      <c r="S11534" s="21" t="n">
        <v>0</v>
      </c>
      <c r="T11534" s="21" t="n">
        <v>0</v>
      </c>
      <c r="U11534" s="21" t="n">
        <v>0</v>
      </c>
      <c r="V11534" s="21" t="n">
        <v>0</v>
      </c>
      <c r="W11534" s="21" t="n">
        <v>0</v>
      </c>
      <c r="X11534" s="21" t="n">
        <v>0</v>
      </c>
      <c r="Y11534" s="21" t="n">
        <v>0</v>
      </c>
      <c r="Z11534" s="19" t="n"/>
    </row>
    <row r="11535">
      <c r="D11535" s="21" t="n">
        <v>0</v>
      </c>
      <c r="E11535" s="21" t="n">
        <v>0</v>
      </c>
      <c r="F11535" s="21" t="n">
        <v>0</v>
      </c>
      <c r="G11535" s="21" t="n">
        <v>0</v>
      </c>
      <c r="H11535" s="21" t="n">
        <v>0</v>
      </c>
      <c r="I11535" s="21" t="n">
        <v>0</v>
      </c>
      <c r="J11535" s="21" t="n">
        <v>0</v>
      </c>
      <c r="K11535" s="21" t="n">
        <v>0</v>
      </c>
      <c r="L11535" s="21" t="n">
        <v>0</v>
      </c>
      <c r="M11535" s="21" t="n">
        <v>0</v>
      </c>
      <c r="N11535" s="21">
        <f>-$B$10476</f>
        <v/>
      </c>
      <c r="O11535" s="21">
        <f>-$B$10477</f>
        <v/>
      </c>
      <c r="P11535" s="21">
        <f>2*$B$10476+$D$11517</f>
        <v/>
      </c>
      <c r="Q11535" s="21">
        <f>0</f>
        <v/>
      </c>
      <c r="R11535" s="21">
        <f>-$B$10476</f>
        <v/>
      </c>
      <c r="S11535" s="21">
        <f>$B$10477</f>
        <v/>
      </c>
      <c r="T11535" s="21" t="n">
        <v>0</v>
      </c>
      <c r="U11535" s="21" t="n">
        <v>0</v>
      </c>
      <c r="V11535" s="21" t="n">
        <v>0</v>
      </c>
      <c r="W11535" s="21" t="n">
        <v>0</v>
      </c>
      <c r="X11535" s="21" t="n">
        <v>0</v>
      </c>
      <c r="Y11535" s="21" t="n">
        <v>0</v>
      </c>
      <c r="Z11535" s="19" t="n"/>
    </row>
    <row r="11536">
      <c r="D11536" s="21" t="n">
        <v>0</v>
      </c>
      <c r="E11536" s="21" t="n">
        <v>0</v>
      </c>
      <c r="F11536" s="21" t="n">
        <v>0</v>
      </c>
      <c r="G11536" s="21" t="n">
        <v>0</v>
      </c>
      <c r="H11536" s="21" t="n">
        <v>0</v>
      </c>
      <c r="I11536" s="21" t="n">
        <v>0</v>
      </c>
      <c r="J11536" s="21" t="n">
        <v>0</v>
      </c>
      <c r="K11536" s="21" t="n">
        <v>0</v>
      </c>
      <c r="L11536" s="21" t="n">
        <v>0</v>
      </c>
      <c r="M11536" s="21" t="n">
        <v>0</v>
      </c>
      <c r="N11536" s="21">
        <f>$B$10477</f>
        <v/>
      </c>
      <c r="O11536" s="21">
        <f>$B$10479</f>
        <v/>
      </c>
      <c r="P11536" s="21">
        <f>0</f>
        <v/>
      </c>
      <c r="Q11536" s="21">
        <f>2*$B$10478</f>
        <v/>
      </c>
      <c r="R11536" s="21">
        <f>-$B$10477</f>
        <v/>
      </c>
      <c r="S11536" s="21">
        <f>$B$10479</f>
        <v/>
      </c>
      <c r="T11536" s="21" t="n">
        <v>0</v>
      </c>
      <c r="U11536" s="21" t="n">
        <v>0</v>
      </c>
      <c r="V11536" s="21" t="n">
        <v>0</v>
      </c>
      <c r="W11536" s="21" t="n">
        <v>0</v>
      </c>
      <c r="X11536" s="21" t="n">
        <v>0</v>
      </c>
      <c r="Y11536" s="21" t="n">
        <v>0</v>
      </c>
      <c r="Z11536" s="19" t="n"/>
    </row>
    <row r="11537">
      <c r="D11537" s="21" t="n">
        <v>0</v>
      </c>
      <c r="E11537" s="21" t="n">
        <v>0</v>
      </c>
      <c r="F11537" s="21" t="n">
        <v>0</v>
      </c>
      <c r="G11537" s="21" t="n">
        <v>0</v>
      </c>
      <c r="H11537" s="21" t="n">
        <v>0</v>
      </c>
      <c r="I11537" s="21" t="n">
        <v>0</v>
      </c>
      <c r="J11537" s="21" t="n">
        <v>0</v>
      </c>
      <c r="K11537" s="21" t="n">
        <v>0</v>
      </c>
      <c r="L11537" s="21" t="n">
        <v>0</v>
      </c>
      <c r="M11537" s="21" t="n">
        <v>0</v>
      </c>
      <c r="N11537" s="21" t="n">
        <v>0</v>
      </c>
      <c r="O11537" s="21" t="n">
        <v>0</v>
      </c>
      <c r="P11537" s="21">
        <f>-$B$10476</f>
        <v/>
      </c>
      <c r="Q11537" s="21">
        <f>-$B$10477</f>
        <v/>
      </c>
      <c r="R11537" s="21">
        <f>2*$B$10476+$D$11518</f>
        <v/>
      </c>
      <c r="S11537" s="21">
        <f>0</f>
        <v/>
      </c>
      <c r="T11537" s="21">
        <f>-$B$10476</f>
        <v/>
      </c>
      <c r="U11537" s="21">
        <f>$B$10477</f>
        <v/>
      </c>
      <c r="V11537" s="21" t="n">
        <v>0</v>
      </c>
      <c r="W11537" s="21" t="n">
        <v>0</v>
      </c>
      <c r="X11537" s="21" t="n">
        <v>0</v>
      </c>
      <c r="Y11537" s="21" t="n">
        <v>0</v>
      </c>
      <c r="Z11537" s="19" t="n"/>
    </row>
    <row r="11538">
      <c r="D11538" s="21" t="n">
        <v>0</v>
      </c>
      <c r="E11538" s="21" t="n">
        <v>0</v>
      </c>
      <c r="F11538" s="21" t="n">
        <v>0</v>
      </c>
      <c r="G11538" s="21" t="n">
        <v>0</v>
      </c>
      <c r="H11538" s="21" t="n">
        <v>0</v>
      </c>
      <c r="I11538" s="21" t="n">
        <v>0</v>
      </c>
      <c r="J11538" s="21" t="n">
        <v>0</v>
      </c>
      <c r="K11538" s="21" t="n">
        <v>0</v>
      </c>
      <c r="L11538" s="21" t="n">
        <v>0</v>
      </c>
      <c r="M11538" s="21" t="n">
        <v>0</v>
      </c>
      <c r="N11538" s="21" t="n">
        <v>0</v>
      </c>
      <c r="O11538" s="21" t="n">
        <v>0</v>
      </c>
      <c r="P11538" s="21">
        <f>$B$10477</f>
        <v/>
      </c>
      <c r="Q11538" s="21">
        <f>$B$10479</f>
        <v/>
      </c>
      <c r="R11538" s="21">
        <f>0</f>
        <v/>
      </c>
      <c r="S11538" s="21">
        <f>2*$B$10478</f>
        <v/>
      </c>
      <c r="T11538" s="21">
        <f>-$B$10477</f>
        <v/>
      </c>
      <c r="U11538" s="21">
        <f>$B$10479</f>
        <v/>
      </c>
      <c r="V11538" s="21" t="n">
        <v>0</v>
      </c>
      <c r="W11538" s="21" t="n">
        <v>0</v>
      </c>
      <c r="X11538" s="21" t="n">
        <v>0</v>
      </c>
      <c r="Y11538" s="21" t="n">
        <v>0</v>
      </c>
      <c r="Z11538" s="19" t="n"/>
    </row>
    <row r="11539">
      <c r="D11539" s="21" t="n">
        <v>0</v>
      </c>
      <c r="E11539" s="21" t="n">
        <v>0</v>
      </c>
      <c r="F11539" s="21" t="n">
        <v>0</v>
      </c>
      <c r="G11539" s="21" t="n">
        <v>0</v>
      </c>
      <c r="H11539" s="21" t="n">
        <v>0</v>
      </c>
      <c r="I11539" s="21" t="n">
        <v>0</v>
      </c>
      <c r="J11539" s="21" t="n">
        <v>0</v>
      </c>
      <c r="K11539" s="21" t="n">
        <v>0</v>
      </c>
      <c r="L11539" s="21" t="n">
        <v>0</v>
      </c>
      <c r="M11539" s="21" t="n">
        <v>0</v>
      </c>
      <c r="N11539" s="21" t="n">
        <v>0</v>
      </c>
      <c r="O11539" s="21" t="n">
        <v>0</v>
      </c>
      <c r="P11539" s="21" t="n">
        <v>0</v>
      </c>
      <c r="Q11539" s="21" t="n">
        <v>0</v>
      </c>
      <c r="R11539" s="21">
        <f>-$B$10476</f>
        <v/>
      </c>
      <c r="S11539" s="21">
        <f>-$B$10477</f>
        <v/>
      </c>
      <c r="T11539" s="21">
        <f>2*$B$10476+$D$11519</f>
        <v/>
      </c>
      <c r="U11539" s="21">
        <f>0</f>
        <v/>
      </c>
      <c r="V11539" s="21">
        <f>-$B$10476</f>
        <v/>
      </c>
      <c r="W11539" s="21">
        <f>$B$10477</f>
        <v/>
      </c>
      <c r="X11539" s="21" t="n">
        <v>0</v>
      </c>
      <c r="Y11539" s="21" t="n">
        <v>0</v>
      </c>
      <c r="Z11539" s="19" t="n"/>
    </row>
    <row r="11540">
      <c r="D11540" s="21" t="n">
        <v>0</v>
      </c>
      <c r="E11540" s="21" t="n">
        <v>0</v>
      </c>
      <c r="F11540" s="21" t="n">
        <v>0</v>
      </c>
      <c r="G11540" s="21" t="n">
        <v>0</v>
      </c>
      <c r="H11540" s="21" t="n">
        <v>0</v>
      </c>
      <c r="I11540" s="21" t="n">
        <v>0</v>
      </c>
      <c r="J11540" s="21" t="n">
        <v>0</v>
      </c>
      <c r="K11540" s="21" t="n">
        <v>0</v>
      </c>
      <c r="L11540" s="21" t="n">
        <v>0</v>
      </c>
      <c r="M11540" s="21" t="n">
        <v>0</v>
      </c>
      <c r="N11540" s="21" t="n">
        <v>0</v>
      </c>
      <c r="O11540" s="21" t="n">
        <v>0</v>
      </c>
      <c r="P11540" s="21" t="n">
        <v>0</v>
      </c>
      <c r="Q11540" s="21" t="n">
        <v>0</v>
      </c>
      <c r="R11540" s="21">
        <f>$B$10477</f>
        <v/>
      </c>
      <c r="S11540" s="21">
        <f>$B$10479</f>
        <v/>
      </c>
      <c r="T11540" s="21">
        <f>0</f>
        <v/>
      </c>
      <c r="U11540" s="21">
        <f>2*$B$10478</f>
        <v/>
      </c>
      <c r="V11540" s="21">
        <f>-$B$10477</f>
        <v/>
      </c>
      <c r="W11540" s="21">
        <f>$B$10479</f>
        <v/>
      </c>
      <c r="X11540" s="21" t="n">
        <v>0</v>
      </c>
      <c r="Y11540" s="21" t="n">
        <v>0</v>
      </c>
      <c r="Z11540" s="19" t="n"/>
    </row>
    <row r="11541">
      <c r="D11541" s="21" t="n">
        <v>0</v>
      </c>
      <c r="E11541" s="21" t="n">
        <v>0</v>
      </c>
      <c r="F11541" s="21" t="n">
        <v>0</v>
      </c>
      <c r="G11541" s="21" t="n">
        <v>0</v>
      </c>
      <c r="H11541" s="21" t="n">
        <v>0</v>
      </c>
      <c r="I11541" s="21" t="n">
        <v>0</v>
      </c>
      <c r="J11541" s="21" t="n">
        <v>0</v>
      </c>
      <c r="K11541" s="21" t="n">
        <v>0</v>
      </c>
      <c r="L11541" s="21" t="n">
        <v>0</v>
      </c>
      <c r="M11541" s="21" t="n">
        <v>0</v>
      </c>
      <c r="N11541" s="21" t="n">
        <v>0</v>
      </c>
      <c r="O11541" s="21" t="n">
        <v>0</v>
      </c>
      <c r="P11541" s="21" t="n">
        <v>0</v>
      </c>
      <c r="Q11541" s="21" t="n">
        <v>0</v>
      </c>
      <c r="R11541" s="21" t="n">
        <v>0</v>
      </c>
      <c r="S11541" s="21" t="n">
        <v>0</v>
      </c>
      <c r="T11541" s="21">
        <f>-$B$10476</f>
        <v/>
      </c>
      <c r="U11541" s="21">
        <f>-$B$10477</f>
        <v/>
      </c>
      <c r="V11541" s="21">
        <f>2*$B$10476+$D$11520</f>
        <v/>
      </c>
      <c r="W11541" s="21">
        <f>0</f>
        <v/>
      </c>
      <c r="X11541" s="21">
        <f>-$B$10476</f>
        <v/>
      </c>
      <c r="Y11541" s="21">
        <f>$B$10477</f>
        <v/>
      </c>
      <c r="Z11541" s="19" t="n"/>
    </row>
    <row r="11542">
      <c r="D11542" s="21" t="n">
        <v>0</v>
      </c>
      <c r="E11542" s="21" t="n">
        <v>0</v>
      </c>
      <c r="F11542" s="21" t="n">
        <v>0</v>
      </c>
      <c r="G11542" s="21" t="n">
        <v>0</v>
      </c>
      <c r="H11542" s="21" t="n">
        <v>0</v>
      </c>
      <c r="I11542" s="21" t="n">
        <v>0</v>
      </c>
      <c r="J11542" s="21" t="n">
        <v>0</v>
      </c>
      <c r="K11542" s="21" t="n">
        <v>0</v>
      </c>
      <c r="L11542" s="21" t="n">
        <v>0</v>
      </c>
      <c r="M11542" s="21" t="n">
        <v>0</v>
      </c>
      <c r="N11542" s="21" t="n">
        <v>0</v>
      </c>
      <c r="O11542" s="21" t="n">
        <v>0</v>
      </c>
      <c r="P11542" s="21" t="n">
        <v>0</v>
      </c>
      <c r="Q11542" s="21" t="n">
        <v>0</v>
      </c>
      <c r="R11542" s="21" t="n">
        <v>0</v>
      </c>
      <c r="S11542" s="21" t="n">
        <v>0</v>
      </c>
      <c r="T11542" s="21">
        <f>$B$10477</f>
        <v/>
      </c>
      <c r="U11542" s="21">
        <f>$B$10479</f>
        <v/>
      </c>
      <c r="V11542" s="21">
        <f>0</f>
        <v/>
      </c>
      <c r="W11542" s="21">
        <f>2*$B$10478</f>
        <v/>
      </c>
      <c r="X11542" s="21">
        <f>-$B$10477</f>
        <v/>
      </c>
      <c r="Y11542" s="21">
        <f>$B$10479</f>
        <v/>
      </c>
      <c r="Z11542" s="19" t="n"/>
    </row>
    <row r="11543">
      <c r="D11543" s="21" t="n">
        <v>0</v>
      </c>
      <c r="E11543" s="21" t="n">
        <v>0</v>
      </c>
      <c r="F11543" s="21" t="n">
        <v>0</v>
      </c>
      <c r="G11543" s="21" t="n">
        <v>0</v>
      </c>
      <c r="H11543" s="21" t="n">
        <v>0</v>
      </c>
      <c r="I11543" s="21" t="n">
        <v>0</v>
      </c>
      <c r="J11543" s="21" t="n">
        <v>0</v>
      </c>
      <c r="K11543" s="21" t="n">
        <v>0</v>
      </c>
      <c r="L11543" s="21" t="n">
        <v>0</v>
      </c>
      <c r="M11543" s="21" t="n">
        <v>0</v>
      </c>
      <c r="N11543" s="21" t="n">
        <v>0</v>
      </c>
      <c r="O11543" s="21" t="n">
        <v>0</v>
      </c>
      <c r="P11543" s="21" t="n">
        <v>0</v>
      </c>
      <c r="Q11543" s="21" t="n">
        <v>0</v>
      </c>
      <c r="R11543" s="21" t="n">
        <v>0</v>
      </c>
      <c r="S11543" s="21" t="n">
        <v>0</v>
      </c>
      <c r="T11543" s="21" t="n">
        <v>0</v>
      </c>
      <c r="U11543" s="21" t="n">
        <v>0</v>
      </c>
      <c r="V11543" s="21">
        <f>-$B$10476</f>
        <v/>
      </c>
      <c r="W11543" s="21">
        <f>-$B$10477</f>
        <v/>
      </c>
      <c r="X11543" s="21">
        <f>$B$10476+$D$11521</f>
        <v/>
      </c>
      <c r="Y11543" s="21">
        <f>-$B$10477</f>
        <v/>
      </c>
      <c r="Z11543" s="19" t="n"/>
    </row>
    <row r="11544">
      <c r="D11544" s="21" t="n">
        <v>0</v>
      </c>
      <c r="E11544" s="21" t="n">
        <v>0</v>
      </c>
      <c r="F11544" s="21" t="n">
        <v>0</v>
      </c>
      <c r="G11544" s="21" t="n">
        <v>0</v>
      </c>
      <c r="H11544" s="21" t="n">
        <v>0</v>
      </c>
      <c r="I11544" s="21" t="n">
        <v>0</v>
      </c>
      <c r="J11544" s="21" t="n">
        <v>0</v>
      </c>
      <c r="K11544" s="21" t="n">
        <v>0</v>
      </c>
      <c r="L11544" s="21" t="n">
        <v>0</v>
      </c>
      <c r="M11544" s="21" t="n">
        <v>0</v>
      </c>
      <c r="N11544" s="21" t="n">
        <v>0</v>
      </c>
      <c r="O11544" s="21" t="n">
        <v>0</v>
      </c>
      <c r="P11544" s="21" t="n">
        <v>0</v>
      </c>
      <c r="Q11544" s="21" t="n">
        <v>0</v>
      </c>
      <c r="R11544" s="21" t="n">
        <v>0</v>
      </c>
      <c r="S11544" s="21" t="n">
        <v>0</v>
      </c>
      <c r="T11544" s="21" t="n">
        <v>0</v>
      </c>
      <c r="U11544" s="21" t="n">
        <v>0</v>
      </c>
      <c r="V11544" s="21">
        <f>$B$10477</f>
        <v/>
      </c>
      <c r="W11544" s="21">
        <f>$B$10479</f>
        <v/>
      </c>
      <c r="X11544" s="21">
        <f>-$B$10477</f>
        <v/>
      </c>
      <c r="Y11544" s="21">
        <f>$B$10478</f>
        <v/>
      </c>
      <c r="Z11544" s="19" t="n"/>
    </row>
    <row r="11546">
      <c r="A11546" s="8" t="inlineStr">
        <is>
          <t>gen 29</t>
        </is>
      </c>
    </row>
    <row r="11547">
      <c r="D11547" s="19">
        <f>IF(ABS(IF(ABS($E$11511)&gt;0.000000001,$E$11511,0.000000001))=0,0,IF($E$10491&lt;=$B$10485,0,IF(ABS(IF(ABS($E$11511)&gt;0.000000001,$E$11511,0.000000001))&gt;=8*$B$10487,$H$10491,0.5*$H$10491*(ABS(IF(ABS($E$11511)&gt;0.000000001,$E$11511,0.000000001))/$B$10487)^(1/3)))/ABS(IF(ABS($E$11511)&gt;0.000000001,$E$11511,0.000000001))*$I$10491)</f>
        <v/>
      </c>
      <c r="E11547" s="19">
        <f>0.5*$E$11511+0.5*$Z$11559</f>
        <v/>
      </c>
      <c r="F11547" s="19">
        <f>$Z$11560</f>
        <v/>
      </c>
    </row>
    <row r="11548">
      <c r="D11548" s="19">
        <f>IF(ABS(IF(ABS($E$11512)&gt;0.000000001,$E$11512,0.000000001))=0,0,IF($E$10492&lt;=$B$10485,0,IF(ABS(IF(ABS($E$11512)&gt;0.000000001,$E$11512,0.000000001))&gt;=8*$B$10487,$H$10492,0.5*$H$10492*(ABS(IF(ABS($E$11512)&gt;0.000000001,$E$11512,0.000000001))/$B$10487)^(1/3)))/ABS(IF(ABS($E$11512)&gt;0.000000001,$E$11512,0.000000001))*$I$10492)</f>
        <v/>
      </c>
      <c r="E11548" s="19">
        <f>0.5*$E$11512+0.5*$Z$11561</f>
        <v/>
      </c>
      <c r="F11548" s="19">
        <f>$Z$11562</f>
        <v/>
      </c>
    </row>
    <row r="11549">
      <c r="D11549" s="19">
        <f>IF(ABS(IF(ABS($E$11513)&gt;0.000000001,$E$11513,0.000000001))=0,0,IF($E$10493&lt;=$B$10485,0,IF(ABS(IF(ABS($E$11513)&gt;0.000000001,$E$11513,0.000000001))&gt;=8*$B$10487,$H$10493,0.5*$H$10493*(ABS(IF(ABS($E$11513)&gt;0.000000001,$E$11513,0.000000001))/$B$10487)^(1/3)))/ABS(IF(ABS($E$11513)&gt;0.000000001,$E$11513,0.000000001))*$I$10493)</f>
        <v/>
      </c>
      <c r="E11549" s="19">
        <f>0.5*$E$11513+0.5*$Z$11563</f>
        <v/>
      </c>
      <c r="F11549" s="19">
        <f>$Z$11564</f>
        <v/>
      </c>
    </row>
    <row r="11550">
      <c r="D11550" s="19">
        <f>IF(ABS(IF(ABS($E$11514)&gt;0.000000001,$E$11514,0.000000001))=0,0,IF($E$10494&lt;=$B$10485,0,IF(ABS(IF(ABS($E$11514)&gt;0.000000001,$E$11514,0.000000001))&gt;=8*$B$10487,$H$10494,0.5*$H$10494*(ABS(IF(ABS($E$11514)&gt;0.000000001,$E$11514,0.000000001))/$B$10487)^(1/3)))/ABS(IF(ABS($E$11514)&gt;0.000000001,$E$11514,0.000000001))*$I$10494)</f>
        <v/>
      </c>
      <c r="E11550" s="19">
        <f>0.5*$E$11514+0.5*$Z$11565</f>
        <v/>
      </c>
      <c r="F11550" s="19">
        <f>$Z$11566</f>
        <v/>
      </c>
    </row>
    <row r="11551">
      <c r="D11551" s="19">
        <f>IF(ABS(IF(ABS($E$11515)&gt;0.000000001,$E$11515,0.000000001))=0,0,IF($E$10495&lt;=$B$10485,0,IF(ABS(IF(ABS($E$11515)&gt;0.000000001,$E$11515,0.000000001))&gt;=8*$B$10487,$H$10495,0.5*$H$10495*(ABS(IF(ABS($E$11515)&gt;0.000000001,$E$11515,0.000000001))/$B$10487)^(1/3)))/ABS(IF(ABS($E$11515)&gt;0.000000001,$E$11515,0.000000001))*$I$10495)</f>
        <v/>
      </c>
      <c r="E11551" s="19">
        <f>0.5*$E$11515+0.5*$Z$11567</f>
        <v/>
      </c>
      <c r="F11551" s="19">
        <f>$Z$11568</f>
        <v/>
      </c>
    </row>
    <row r="11552">
      <c r="D11552" s="19">
        <f>IF(ABS(IF(ABS($E$11516)&gt;0.000000001,$E$11516,0.000000001))=0,0,IF($E$10496&lt;=$B$10485,0,IF(ABS(IF(ABS($E$11516)&gt;0.000000001,$E$11516,0.000000001))&gt;=8*$B$10487,$H$10496,0.5*$H$10496*(ABS(IF(ABS($E$11516)&gt;0.000000001,$E$11516,0.000000001))/$B$10487)^(1/3)))/ABS(IF(ABS($E$11516)&gt;0.000000001,$E$11516,0.000000001))*$I$10496)</f>
        <v/>
      </c>
      <c r="E11552" s="19">
        <f>0.5*$E$11516+0.5*$Z$11569</f>
        <v/>
      </c>
      <c r="F11552" s="19">
        <f>$Z$11570</f>
        <v/>
      </c>
    </row>
    <row r="11553">
      <c r="D11553" s="19">
        <f>IF(ABS(IF(ABS($E$11517)&gt;0.000000001,$E$11517,0.000000001))=0,0,IF($E$10497&lt;=$B$10485,0,IF(ABS(IF(ABS($E$11517)&gt;0.000000001,$E$11517,0.000000001))&gt;=8*$B$10487,$H$10497,0.5*$H$10497*(ABS(IF(ABS($E$11517)&gt;0.000000001,$E$11517,0.000000001))/$B$10487)^(1/3)))/ABS(IF(ABS($E$11517)&gt;0.000000001,$E$11517,0.000000001))*$I$10497)</f>
        <v/>
      </c>
      <c r="E11553" s="19">
        <f>0.5*$E$11517+0.5*$Z$11571</f>
        <v/>
      </c>
      <c r="F11553" s="19">
        <f>$Z$11572</f>
        <v/>
      </c>
    </row>
    <row r="11554">
      <c r="D11554" s="19">
        <f>IF(ABS(IF(ABS($E$11518)&gt;0.000000001,$E$11518,0.000000001))=0,0,IF($E$10498&lt;=$B$10485,0,IF(ABS(IF(ABS($E$11518)&gt;0.000000001,$E$11518,0.000000001))&gt;=8*$B$10487,$H$10498,0.5*$H$10498*(ABS(IF(ABS($E$11518)&gt;0.000000001,$E$11518,0.000000001))/$B$10487)^(1/3)))/ABS(IF(ABS($E$11518)&gt;0.000000001,$E$11518,0.000000001))*$I$10498)</f>
        <v/>
      </c>
      <c r="E11554" s="19">
        <f>0.5*$E$11518+0.5*$Z$11573</f>
        <v/>
      </c>
      <c r="F11554" s="19">
        <f>$Z$11574</f>
        <v/>
      </c>
    </row>
    <row r="11555">
      <c r="D11555" s="19">
        <f>IF(ABS(IF(ABS($E$11519)&gt;0.000000001,$E$11519,0.000000001))=0,0,IF($E$10499&lt;=$B$10485,0,IF(ABS(IF(ABS($E$11519)&gt;0.000000001,$E$11519,0.000000001))&gt;=8*$B$10487,$H$10499,0.5*$H$10499*(ABS(IF(ABS($E$11519)&gt;0.000000001,$E$11519,0.000000001))/$B$10487)^(1/3)))/ABS(IF(ABS($E$11519)&gt;0.000000001,$E$11519,0.000000001))*$I$10499)</f>
        <v/>
      </c>
      <c r="E11555" s="19">
        <f>0.5*$E$11519+0.5*$Z$11575</f>
        <v/>
      </c>
      <c r="F11555" s="19">
        <f>$Z$11576</f>
        <v/>
      </c>
    </row>
    <row r="11556">
      <c r="D11556" s="19">
        <f>IF(ABS(IF(ABS($E$11520)&gt;0.000000001,$E$11520,0.000000001))=0,0,IF($E$10500&lt;=$B$10485,0,IF(ABS(IF(ABS($E$11520)&gt;0.000000001,$E$11520,0.000000001))&gt;=8*$B$10487,$H$10500,0.5*$H$10500*(ABS(IF(ABS($E$11520)&gt;0.000000001,$E$11520,0.000000001))/$B$10487)^(1/3)))/ABS(IF(ABS($E$11520)&gt;0.000000001,$E$11520,0.000000001))*$I$10500)</f>
        <v/>
      </c>
      <c r="E11556" s="19">
        <f>0.5*$E$11520+0.5*$Z$11577</f>
        <v/>
      </c>
      <c r="F11556" s="19">
        <f>$Z$11578</f>
        <v/>
      </c>
    </row>
    <row r="11557">
      <c r="D11557" s="19">
        <f>IF(ABS(IF(ABS($E$11521)&gt;0.000000001,$E$11521,0.000000001))=0,0,IF($E$10501&lt;=$B$10485,0,IF(ABS(IF(ABS($E$11521)&gt;0.000000001,$E$11521,0.000000001))&gt;=8*$B$10487,$H$10501,0.5*$H$10501*(ABS(IF(ABS($E$11521)&gt;0.000000001,$E$11521,0.000000001))/$B$10487)^(1/3)))/ABS(IF(ABS($E$11521)&gt;0.000000001,$E$11521,0.000000001))*$I$10501)</f>
        <v/>
      </c>
      <c r="E11557" s="19">
        <f>0.5*$E$11521+0.5*$Z$11579</f>
        <v/>
      </c>
      <c r="F11557" s="19">
        <f>$Z$11580</f>
        <v/>
      </c>
    </row>
    <row r="11559">
      <c r="D11559" s="21">
        <f>$B$10476+$D$11547</f>
        <v/>
      </c>
      <c r="E11559" s="21">
        <f>$B$10477</f>
        <v/>
      </c>
      <c r="F11559" s="21">
        <f>-$B$10476</f>
        <v/>
      </c>
      <c r="G11559" s="21">
        <f>$B$10477</f>
        <v/>
      </c>
      <c r="H11559" s="21" t="n">
        <v>0</v>
      </c>
      <c r="I11559" s="21" t="n">
        <v>0</v>
      </c>
      <c r="J11559" s="21" t="n">
        <v>0</v>
      </c>
      <c r="K11559" s="21" t="n">
        <v>0</v>
      </c>
      <c r="L11559" s="21" t="n">
        <v>0</v>
      </c>
      <c r="M11559" s="21" t="n">
        <v>0</v>
      </c>
      <c r="N11559" s="21" t="n">
        <v>0</v>
      </c>
      <c r="O11559" s="21" t="n">
        <v>0</v>
      </c>
      <c r="P11559" s="21" t="n">
        <v>0</v>
      </c>
      <c r="Q11559" s="21" t="n">
        <v>0</v>
      </c>
      <c r="R11559" s="21" t="n">
        <v>0</v>
      </c>
      <c r="S11559" s="21" t="n">
        <v>0</v>
      </c>
      <c r="T11559" s="21" t="n">
        <v>0</v>
      </c>
      <c r="U11559" s="21" t="n">
        <v>0</v>
      </c>
      <c r="V11559" s="21" t="n">
        <v>0</v>
      </c>
      <c r="W11559" s="21" t="n">
        <v>0</v>
      </c>
      <c r="X11559" s="21" t="n">
        <v>0</v>
      </c>
      <c r="Y11559" s="21" t="n">
        <v>0</v>
      </c>
      <c r="Z11559" s="19">
        <f t="array" ref="Z11559:Z11580">MMULT(MINVERSE($D$11559:$Y$11580),$D$10503:$D$10524)</f>
        <v/>
      </c>
    </row>
    <row r="11560">
      <c r="D11560" s="21">
        <f>$B$10477</f>
        <v/>
      </c>
      <c r="E11560" s="21">
        <f>$B$10478</f>
        <v/>
      </c>
      <c r="F11560" s="21">
        <f>-$B$10477</f>
        <v/>
      </c>
      <c r="G11560" s="21">
        <f>$B$10479</f>
        <v/>
      </c>
      <c r="H11560" s="21" t="n">
        <v>0</v>
      </c>
      <c r="I11560" s="21" t="n">
        <v>0</v>
      </c>
      <c r="J11560" s="21" t="n">
        <v>0</v>
      </c>
      <c r="K11560" s="21" t="n">
        <v>0</v>
      </c>
      <c r="L11560" s="21" t="n">
        <v>0</v>
      </c>
      <c r="M11560" s="21" t="n">
        <v>0</v>
      </c>
      <c r="N11560" s="21" t="n">
        <v>0</v>
      </c>
      <c r="O11560" s="21" t="n">
        <v>0</v>
      </c>
      <c r="P11560" s="21" t="n">
        <v>0</v>
      </c>
      <c r="Q11560" s="21" t="n">
        <v>0</v>
      </c>
      <c r="R11560" s="21" t="n">
        <v>0</v>
      </c>
      <c r="S11560" s="21" t="n">
        <v>0</v>
      </c>
      <c r="T11560" s="21" t="n">
        <v>0</v>
      </c>
      <c r="U11560" s="21" t="n">
        <v>0</v>
      </c>
      <c r="V11560" s="21" t="n">
        <v>0</v>
      </c>
      <c r="W11560" s="21" t="n">
        <v>0</v>
      </c>
      <c r="X11560" s="21" t="n">
        <v>0</v>
      </c>
      <c r="Y11560" s="21" t="n">
        <v>0</v>
      </c>
      <c r="Z11560" s="19" t="n"/>
    </row>
    <row r="11561">
      <c r="D11561" s="21">
        <f>-$B$10476</f>
        <v/>
      </c>
      <c r="E11561" s="21">
        <f>-$B$10477</f>
        <v/>
      </c>
      <c r="F11561" s="21">
        <f>2*$B$10476+$D$11548</f>
        <v/>
      </c>
      <c r="G11561" s="21">
        <f>0</f>
        <v/>
      </c>
      <c r="H11561" s="21">
        <f>-$B$10476</f>
        <v/>
      </c>
      <c r="I11561" s="21">
        <f>$B$10477</f>
        <v/>
      </c>
      <c r="J11561" s="21" t="n">
        <v>0</v>
      </c>
      <c r="K11561" s="21" t="n">
        <v>0</v>
      </c>
      <c r="L11561" s="21" t="n">
        <v>0</v>
      </c>
      <c r="M11561" s="21" t="n">
        <v>0</v>
      </c>
      <c r="N11561" s="21" t="n">
        <v>0</v>
      </c>
      <c r="O11561" s="21" t="n">
        <v>0</v>
      </c>
      <c r="P11561" s="21" t="n">
        <v>0</v>
      </c>
      <c r="Q11561" s="21" t="n">
        <v>0</v>
      </c>
      <c r="R11561" s="21" t="n">
        <v>0</v>
      </c>
      <c r="S11561" s="21" t="n">
        <v>0</v>
      </c>
      <c r="T11561" s="21" t="n">
        <v>0</v>
      </c>
      <c r="U11561" s="21" t="n">
        <v>0</v>
      </c>
      <c r="V11561" s="21" t="n">
        <v>0</v>
      </c>
      <c r="W11561" s="21" t="n">
        <v>0</v>
      </c>
      <c r="X11561" s="21" t="n">
        <v>0</v>
      </c>
      <c r="Y11561" s="21" t="n">
        <v>0</v>
      </c>
      <c r="Z11561" s="19" t="n"/>
    </row>
    <row r="11562">
      <c r="D11562" s="21">
        <f>$B$10477</f>
        <v/>
      </c>
      <c r="E11562" s="21">
        <f>$B$10479</f>
        <v/>
      </c>
      <c r="F11562" s="21">
        <f>0</f>
        <v/>
      </c>
      <c r="G11562" s="21">
        <f>2*$B$10478</f>
        <v/>
      </c>
      <c r="H11562" s="21">
        <f>-$B$10477</f>
        <v/>
      </c>
      <c r="I11562" s="21">
        <f>$B$10479</f>
        <v/>
      </c>
      <c r="J11562" s="21" t="n">
        <v>0</v>
      </c>
      <c r="K11562" s="21" t="n">
        <v>0</v>
      </c>
      <c r="L11562" s="21" t="n">
        <v>0</v>
      </c>
      <c r="M11562" s="21" t="n">
        <v>0</v>
      </c>
      <c r="N11562" s="21" t="n">
        <v>0</v>
      </c>
      <c r="O11562" s="21" t="n">
        <v>0</v>
      </c>
      <c r="P11562" s="21" t="n">
        <v>0</v>
      </c>
      <c r="Q11562" s="21" t="n">
        <v>0</v>
      </c>
      <c r="R11562" s="21" t="n">
        <v>0</v>
      </c>
      <c r="S11562" s="21" t="n">
        <v>0</v>
      </c>
      <c r="T11562" s="21" t="n">
        <v>0</v>
      </c>
      <c r="U11562" s="21" t="n">
        <v>0</v>
      </c>
      <c r="V11562" s="21" t="n">
        <v>0</v>
      </c>
      <c r="W11562" s="21" t="n">
        <v>0</v>
      </c>
      <c r="X11562" s="21" t="n">
        <v>0</v>
      </c>
      <c r="Y11562" s="21" t="n">
        <v>0</v>
      </c>
      <c r="Z11562" s="19" t="n"/>
    </row>
    <row r="11563">
      <c r="D11563" s="21" t="n">
        <v>0</v>
      </c>
      <c r="E11563" s="21" t="n">
        <v>0</v>
      </c>
      <c r="F11563" s="21">
        <f>-$B$10476</f>
        <v/>
      </c>
      <c r="G11563" s="21">
        <f>-$B$10477</f>
        <v/>
      </c>
      <c r="H11563" s="21">
        <f>2*$B$10476+$D$11549</f>
        <v/>
      </c>
      <c r="I11563" s="21">
        <f>0</f>
        <v/>
      </c>
      <c r="J11563" s="21">
        <f>-$B$10476</f>
        <v/>
      </c>
      <c r="K11563" s="21">
        <f>$B$10477</f>
        <v/>
      </c>
      <c r="L11563" s="21" t="n">
        <v>0</v>
      </c>
      <c r="M11563" s="21" t="n">
        <v>0</v>
      </c>
      <c r="N11563" s="21" t="n">
        <v>0</v>
      </c>
      <c r="O11563" s="21" t="n">
        <v>0</v>
      </c>
      <c r="P11563" s="21" t="n">
        <v>0</v>
      </c>
      <c r="Q11563" s="21" t="n">
        <v>0</v>
      </c>
      <c r="R11563" s="21" t="n">
        <v>0</v>
      </c>
      <c r="S11563" s="21" t="n">
        <v>0</v>
      </c>
      <c r="T11563" s="21" t="n">
        <v>0</v>
      </c>
      <c r="U11563" s="21" t="n">
        <v>0</v>
      </c>
      <c r="V11563" s="21" t="n">
        <v>0</v>
      </c>
      <c r="W11563" s="21" t="n">
        <v>0</v>
      </c>
      <c r="X11563" s="21" t="n">
        <v>0</v>
      </c>
      <c r="Y11563" s="21" t="n">
        <v>0</v>
      </c>
      <c r="Z11563" s="19" t="n"/>
    </row>
    <row r="11564">
      <c r="D11564" s="21" t="n">
        <v>0</v>
      </c>
      <c r="E11564" s="21" t="n">
        <v>0</v>
      </c>
      <c r="F11564" s="21">
        <f>$B$10477</f>
        <v/>
      </c>
      <c r="G11564" s="21">
        <f>$B$10479</f>
        <v/>
      </c>
      <c r="H11564" s="21">
        <f>0</f>
        <v/>
      </c>
      <c r="I11564" s="21">
        <f>2*$B$10478</f>
        <v/>
      </c>
      <c r="J11564" s="21">
        <f>-$B$10477</f>
        <v/>
      </c>
      <c r="K11564" s="21">
        <f>$B$10479</f>
        <v/>
      </c>
      <c r="L11564" s="21" t="n">
        <v>0</v>
      </c>
      <c r="M11564" s="21" t="n">
        <v>0</v>
      </c>
      <c r="N11564" s="21" t="n">
        <v>0</v>
      </c>
      <c r="O11564" s="21" t="n">
        <v>0</v>
      </c>
      <c r="P11564" s="21" t="n">
        <v>0</v>
      </c>
      <c r="Q11564" s="21" t="n">
        <v>0</v>
      </c>
      <c r="R11564" s="21" t="n">
        <v>0</v>
      </c>
      <c r="S11564" s="21" t="n">
        <v>0</v>
      </c>
      <c r="T11564" s="21" t="n">
        <v>0</v>
      </c>
      <c r="U11564" s="21" t="n">
        <v>0</v>
      </c>
      <c r="V11564" s="21" t="n">
        <v>0</v>
      </c>
      <c r="W11564" s="21" t="n">
        <v>0</v>
      </c>
      <c r="X11564" s="21" t="n">
        <v>0</v>
      </c>
      <c r="Y11564" s="21" t="n">
        <v>0</v>
      </c>
      <c r="Z11564" s="19" t="n"/>
    </row>
    <row r="11565">
      <c r="D11565" s="21" t="n">
        <v>0</v>
      </c>
      <c r="E11565" s="21" t="n">
        <v>0</v>
      </c>
      <c r="F11565" s="21" t="n">
        <v>0</v>
      </c>
      <c r="G11565" s="21" t="n">
        <v>0</v>
      </c>
      <c r="H11565" s="21">
        <f>-$B$10476</f>
        <v/>
      </c>
      <c r="I11565" s="21">
        <f>-$B$10477</f>
        <v/>
      </c>
      <c r="J11565" s="21">
        <f>2*$B$10476+$D$11550</f>
        <v/>
      </c>
      <c r="K11565" s="21">
        <f>0</f>
        <v/>
      </c>
      <c r="L11565" s="21">
        <f>-$B$10476</f>
        <v/>
      </c>
      <c r="M11565" s="21">
        <f>$B$10477</f>
        <v/>
      </c>
      <c r="N11565" s="21" t="n">
        <v>0</v>
      </c>
      <c r="O11565" s="21" t="n">
        <v>0</v>
      </c>
      <c r="P11565" s="21" t="n">
        <v>0</v>
      </c>
      <c r="Q11565" s="21" t="n">
        <v>0</v>
      </c>
      <c r="R11565" s="21" t="n">
        <v>0</v>
      </c>
      <c r="S11565" s="21" t="n">
        <v>0</v>
      </c>
      <c r="T11565" s="21" t="n">
        <v>0</v>
      </c>
      <c r="U11565" s="21" t="n">
        <v>0</v>
      </c>
      <c r="V11565" s="21" t="n">
        <v>0</v>
      </c>
      <c r="W11565" s="21" t="n">
        <v>0</v>
      </c>
      <c r="X11565" s="21" t="n">
        <v>0</v>
      </c>
      <c r="Y11565" s="21" t="n">
        <v>0</v>
      </c>
      <c r="Z11565" s="19" t="n"/>
    </row>
    <row r="11566">
      <c r="D11566" s="21" t="n">
        <v>0</v>
      </c>
      <c r="E11566" s="21" t="n">
        <v>0</v>
      </c>
      <c r="F11566" s="21" t="n">
        <v>0</v>
      </c>
      <c r="G11566" s="21" t="n">
        <v>0</v>
      </c>
      <c r="H11566" s="21">
        <f>$B$10477</f>
        <v/>
      </c>
      <c r="I11566" s="21">
        <f>$B$10479</f>
        <v/>
      </c>
      <c r="J11566" s="21">
        <f>0</f>
        <v/>
      </c>
      <c r="K11566" s="21">
        <f>2*$B$10478</f>
        <v/>
      </c>
      <c r="L11566" s="21">
        <f>-$B$10477</f>
        <v/>
      </c>
      <c r="M11566" s="21">
        <f>$B$10479</f>
        <v/>
      </c>
      <c r="N11566" s="21" t="n">
        <v>0</v>
      </c>
      <c r="O11566" s="21" t="n">
        <v>0</v>
      </c>
      <c r="P11566" s="21" t="n">
        <v>0</v>
      </c>
      <c r="Q11566" s="21" t="n">
        <v>0</v>
      </c>
      <c r="R11566" s="21" t="n">
        <v>0</v>
      </c>
      <c r="S11566" s="21" t="n">
        <v>0</v>
      </c>
      <c r="T11566" s="21" t="n">
        <v>0</v>
      </c>
      <c r="U11566" s="21" t="n">
        <v>0</v>
      </c>
      <c r="V11566" s="21" t="n">
        <v>0</v>
      </c>
      <c r="W11566" s="21" t="n">
        <v>0</v>
      </c>
      <c r="X11566" s="21" t="n">
        <v>0</v>
      </c>
      <c r="Y11566" s="21" t="n">
        <v>0</v>
      </c>
      <c r="Z11566" s="19" t="n"/>
    </row>
    <row r="11567">
      <c r="D11567" s="21" t="n">
        <v>0</v>
      </c>
      <c r="E11567" s="21" t="n">
        <v>0</v>
      </c>
      <c r="F11567" s="21" t="n">
        <v>0</v>
      </c>
      <c r="G11567" s="21" t="n">
        <v>0</v>
      </c>
      <c r="H11567" s="21" t="n">
        <v>0</v>
      </c>
      <c r="I11567" s="21" t="n">
        <v>0</v>
      </c>
      <c r="J11567" s="21">
        <f>-$B$10476</f>
        <v/>
      </c>
      <c r="K11567" s="21">
        <f>-$B$10477</f>
        <v/>
      </c>
      <c r="L11567" s="21">
        <f>2*$B$10476+$D$11551</f>
        <v/>
      </c>
      <c r="M11567" s="21">
        <f>0</f>
        <v/>
      </c>
      <c r="N11567" s="21">
        <f>-$B$10476</f>
        <v/>
      </c>
      <c r="O11567" s="21">
        <f>$B$10477</f>
        <v/>
      </c>
      <c r="P11567" s="21" t="n">
        <v>0</v>
      </c>
      <c r="Q11567" s="21" t="n">
        <v>0</v>
      </c>
      <c r="R11567" s="21" t="n">
        <v>0</v>
      </c>
      <c r="S11567" s="21" t="n">
        <v>0</v>
      </c>
      <c r="T11567" s="21" t="n">
        <v>0</v>
      </c>
      <c r="U11567" s="21" t="n">
        <v>0</v>
      </c>
      <c r="V11567" s="21" t="n">
        <v>0</v>
      </c>
      <c r="W11567" s="21" t="n">
        <v>0</v>
      </c>
      <c r="X11567" s="21" t="n">
        <v>0</v>
      </c>
      <c r="Y11567" s="21" t="n">
        <v>0</v>
      </c>
      <c r="Z11567" s="19" t="n"/>
    </row>
    <row r="11568">
      <c r="D11568" s="21" t="n">
        <v>0</v>
      </c>
      <c r="E11568" s="21" t="n">
        <v>0</v>
      </c>
      <c r="F11568" s="21" t="n">
        <v>0</v>
      </c>
      <c r="G11568" s="21" t="n">
        <v>0</v>
      </c>
      <c r="H11568" s="21" t="n">
        <v>0</v>
      </c>
      <c r="I11568" s="21" t="n">
        <v>0</v>
      </c>
      <c r="J11568" s="21">
        <f>$B$10477</f>
        <v/>
      </c>
      <c r="K11568" s="21">
        <f>$B$10479</f>
        <v/>
      </c>
      <c r="L11568" s="21">
        <f>0</f>
        <v/>
      </c>
      <c r="M11568" s="21">
        <f>2*$B$10478</f>
        <v/>
      </c>
      <c r="N11568" s="21">
        <f>-$B$10477</f>
        <v/>
      </c>
      <c r="O11568" s="21">
        <f>$B$10479</f>
        <v/>
      </c>
      <c r="P11568" s="21" t="n">
        <v>0</v>
      </c>
      <c r="Q11568" s="21" t="n">
        <v>0</v>
      </c>
      <c r="R11568" s="21" t="n">
        <v>0</v>
      </c>
      <c r="S11568" s="21" t="n">
        <v>0</v>
      </c>
      <c r="T11568" s="21" t="n">
        <v>0</v>
      </c>
      <c r="U11568" s="21" t="n">
        <v>0</v>
      </c>
      <c r="V11568" s="21" t="n">
        <v>0</v>
      </c>
      <c r="W11568" s="21" t="n">
        <v>0</v>
      </c>
      <c r="X11568" s="21" t="n">
        <v>0</v>
      </c>
      <c r="Y11568" s="21" t="n">
        <v>0</v>
      </c>
      <c r="Z11568" s="19" t="n"/>
    </row>
    <row r="11569">
      <c r="D11569" s="21" t="n">
        <v>0</v>
      </c>
      <c r="E11569" s="21" t="n">
        <v>0</v>
      </c>
      <c r="F11569" s="21" t="n">
        <v>0</v>
      </c>
      <c r="G11569" s="21" t="n">
        <v>0</v>
      </c>
      <c r="H11569" s="21" t="n">
        <v>0</v>
      </c>
      <c r="I11569" s="21" t="n">
        <v>0</v>
      </c>
      <c r="J11569" s="21" t="n">
        <v>0</v>
      </c>
      <c r="K11569" s="21" t="n">
        <v>0</v>
      </c>
      <c r="L11569" s="21">
        <f>-$B$10476</f>
        <v/>
      </c>
      <c r="M11569" s="21">
        <f>-$B$10477</f>
        <v/>
      </c>
      <c r="N11569" s="21">
        <f>2*$B$10476+$D$11552</f>
        <v/>
      </c>
      <c r="O11569" s="21">
        <f>0</f>
        <v/>
      </c>
      <c r="P11569" s="21">
        <f>-$B$10476</f>
        <v/>
      </c>
      <c r="Q11569" s="21">
        <f>$B$10477</f>
        <v/>
      </c>
      <c r="R11569" s="21" t="n">
        <v>0</v>
      </c>
      <c r="S11569" s="21" t="n">
        <v>0</v>
      </c>
      <c r="T11569" s="21" t="n">
        <v>0</v>
      </c>
      <c r="U11569" s="21" t="n">
        <v>0</v>
      </c>
      <c r="V11569" s="21" t="n">
        <v>0</v>
      </c>
      <c r="W11569" s="21" t="n">
        <v>0</v>
      </c>
      <c r="X11569" s="21" t="n">
        <v>0</v>
      </c>
      <c r="Y11569" s="21" t="n">
        <v>0</v>
      </c>
      <c r="Z11569" s="19" t="n"/>
    </row>
    <row r="11570">
      <c r="D11570" s="21" t="n">
        <v>0</v>
      </c>
      <c r="E11570" s="21" t="n">
        <v>0</v>
      </c>
      <c r="F11570" s="21" t="n">
        <v>0</v>
      </c>
      <c r="G11570" s="21" t="n">
        <v>0</v>
      </c>
      <c r="H11570" s="21" t="n">
        <v>0</v>
      </c>
      <c r="I11570" s="21" t="n">
        <v>0</v>
      </c>
      <c r="J11570" s="21" t="n">
        <v>0</v>
      </c>
      <c r="K11570" s="21" t="n">
        <v>0</v>
      </c>
      <c r="L11570" s="21">
        <f>$B$10477</f>
        <v/>
      </c>
      <c r="M11570" s="21">
        <f>$B$10479</f>
        <v/>
      </c>
      <c r="N11570" s="21">
        <f>0</f>
        <v/>
      </c>
      <c r="O11570" s="21">
        <f>2*$B$10478</f>
        <v/>
      </c>
      <c r="P11570" s="21">
        <f>-$B$10477</f>
        <v/>
      </c>
      <c r="Q11570" s="21">
        <f>$B$10479</f>
        <v/>
      </c>
      <c r="R11570" s="21" t="n">
        <v>0</v>
      </c>
      <c r="S11570" s="21" t="n">
        <v>0</v>
      </c>
      <c r="T11570" s="21" t="n">
        <v>0</v>
      </c>
      <c r="U11570" s="21" t="n">
        <v>0</v>
      </c>
      <c r="V11570" s="21" t="n">
        <v>0</v>
      </c>
      <c r="W11570" s="21" t="n">
        <v>0</v>
      </c>
      <c r="X11570" s="21" t="n">
        <v>0</v>
      </c>
      <c r="Y11570" s="21" t="n">
        <v>0</v>
      </c>
      <c r="Z11570" s="19" t="n"/>
    </row>
    <row r="11571">
      <c r="D11571" s="21" t="n">
        <v>0</v>
      </c>
      <c r="E11571" s="21" t="n">
        <v>0</v>
      </c>
      <c r="F11571" s="21" t="n">
        <v>0</v>
      </c>
      <c r="G11571" s="21" t="n">
        <v>0</v>
      </c>
      <c r="H11571" s="21" t="n">
        <v>0</v>
      </c>
      <c r="I11571" s="21" t="n">
        <v>0</v>
      </c>
      <c r="J11571" s="21" t="n">
        <v>0</v>
      </c>
      <c r="K11571" s="21" t="n">
        <v>0</v>
      </c>
      <c r="L11571" s="21" t="n">
        <v>0</v>
      </c>
      <c r="M11571" s="21" t="n">
        <v>0</v>
      </c>
      <c r="N11571" s="21">
        <f>-$B$10476</f>
        <v/>
      </c>
      <c r="O11571" s="21">
        <f>-$B$10477</f>
        <v/>
      </c>
      <c r="P11571" s="21">
        <f>2*$B$10476+$D$11553</f>
        <v/>
      </c>
      <c r="Q11571" s="21">
        <f>0</f>
        <v/>
      </c>
      <c r="R11571" s="21">
        <f>-$B$10476</f>
        <v/>
      </c>
      <c r="S11571" s="21">
        <f>$B$10477</f>
        <v/>
      </c>
      <c r="T11571" s="21" t="n">
        <v>0</v>
      </c>
      <c r="U11571" s="21" t="n">
        <v>0</v>
      </c>
      <c r="V11571" s="21" t="n">
        <v>0</v>
      </c>
      <c r="W11571" s="21" t="n">
        <v>0</v>
      </c>
      <c r="X11571" s="21" t="n">
        <v>0</v>
      </c>
      <c r="Y11571" s="21" t="n">
        <v>0</v>
      </c>
      <c r="Z11571" s="19" t="n"/>
    </row>
    <row r="11572">
      <c r="D11572" s="21" t="n">
        <v>0</v>
      </c>
      <c r="E11572" s="21" t="n">
        <v>0</v>
      </c>
      <c r="F11572" s="21" t="n">
        <v>0</v>
      </c>
      <c r="G11572" s="21" t="n">
        <v>0</v>
      </c>
      <c r="H11572" s="21" t="n">
        <v>0</v>
      </c>
      <c r="I11572" s="21" t="n">
        <v>0</v>
      </c>
      <c r="J11572" s="21" t="n">
        <v>0</v>
      </c>
      <c r="K11572" s="21" t="n">
        <v>0</v>
      </c>
      <c r="L11572" s="21" t="n">
        <v>0</v>
      </c>
      <c r="M11572" s="21" t="n">
        <v>0</v>
      </c>
      <c r="N11572" s="21">
        <f>$B$10477</f>
        <v/>
      </c>
      <c r="O11572" s="21">
        <f>$B$10479</f>
        <v/>
      </c>
      <c r="P11572" s="21">
        <f>0</f>
        <v/>
      </c>
      <c r="Q11572" s="21">
        <f>2*$B$10478</f>
        <v/>
      </c>
      <c r="R11572" s="21">
        <f>-$B$10477</f>
        <v/>
      </c>
      <c r="S11572" s="21">
        <f>$B$10479</f>
        <v/>
      </c>
      <c r="T11572" s="21" t="n">
        <v>0</v>
      </c>
      <c r="U11572" s="21" t="n">
        <v>0</v>
      </c>
      <c r="V11572" s="21" t="n">
        <v>0</v>
      </c>
      <c r="W11572" s="21" t="n">
        <v>0</v>
      </c>
      <c r="X11572" s="21" t="n">
        <v>0</v>
      </c>
      <c r="Y11572" s="21" t="n">
        <v>0</v>
      </c>
      <c r="Z11572" s="19" t="n"/>
    </row>
    <row r="11573">
      <c r="D11573" s="21" t="n">
        <v>0</v>
      </c>
      <c r="E11573" s="21" t="n">
        <v>0</v>
      </c>
      <c r="F11573" s="21" t="n">
        <v>0</v>
      </c>
      <c r="G11573" s="21" t="n">
        <v>0</v>
      </c>
      <c r="H11573" s="21" t="n">
        <v>0</v>
      </c>
      <c r="I11573" s="21" t="n">
        <v>0</v>
      </c>
      <c r="J11573" s="21" t="n">
        <v>0</v>
      </c>
      <c r="K11573" s="21" t="n">
        <v>0</v>
      </c>
      <c r="L11573" s="21" t="n">
        <v>0</v>
      </c>
      <c r="M11573" s="21" t="n">
        <v>0</v>
      </c>
      <c r="N11573" s="21" t="n">
        <v>0</v>
      </c>
      <c r="O11573" s="21" t="n">
        <v>0</v>
      </c>
      <c r="P11573" s="21">
        <f>-$B$10476</f>
        <v/>
      </c>
      <c r="Q11573" s="21">
        <f>-$B$10477</f>
        <v/>
      </c>
      <c r="R11573" s="21">
        <f>2*$B$10476+$D$11554</f>
        <v/>
      </c>
      <c r="S11573" s="21">
        <f>0</f>
        <v/>
      </c>
      <c r="T11573" s="21">
        <f>-$B$10476</f>
        <v/>
      </c>
      <c r="U11573" s="21">
        <f>$B$10477</f>
        <v/>
      </c>
      <c r="V11573" s="21" t="n">
        <v>0</v>
      </c>
      <c r="W11573" s="21" t="n">
        <v>0</v>
      </c>
      <c r="X11573" s="21" t="n">
        <v>0</v>
      </c>
      <c r="Y11573" s="21" t="n">
        <v>0</v>
      </c>
      <c r="Z11573" s="19" t="n"/>
    </row>
    <row r="11574">
      <c r="D11574" s="21" t="n">
        <v>0</v>
      </c>
      <c r="E11574" s="21" t="n">
        <v>0</v>
      </c>
      <c r="F11574" s="21" t="n">
        <v>0</v>
      </c>
      <c r="G11574" s="21" t="n">
        <v>0</v>
      </c>
      <c r="H11574" s="21" t="n">
        <v>0</v>
      </c>
      <c r="I11574" s="21" t="n">
        <v>0</v>
      </c>
      <c r="J11574" s="21" t="n">
        <v>0</v>
      </c>
      <c r="K11574" s="21" t="n">
        <v>0</v>
      </c>
      <c r="L11574" s="21" t="n">
        <v>0</v>
      </c>
      <c r="M11574" s="21" t="n">
        <v>0</v>
      </c>
      <c r="N11574" s="21" t="n">
        <v>0</v>
      </c>
      <c r="O11574" s="21" t="n">
        <v>0</v>
      </c>
      <c r="P11574" s="21">
        <f>$B$10477</f>
        <v/>
      </c>
      <c r="Q11574" s="21">
        <f>$B$10479</f>
        <v/>
      </c>
      <c r="R11574" s="21">
        <f>0</f>
        <v/>
      </c>
      <c r="S11574" s="21">
        <f>2*$B$10478</f>
        <v/>
      </c>
      <c r="T11574" s="21">
        <f>-$B$10477</f>
        <v/>
      </c>
      <c r="U11574" s="21">
        <f>$B$10479</f>
        <v/>
      </c>
      <c r="V11574" s="21" t="n">
        <v>0</v>
      </c>
      <c r="W11574" s="21" t="n">
        <v>0</v>
      </c>
      <c r="X11574" s="21" t="n">
        <v>0</v>
      </c>
      <c r="Y11574" s="21" t="n">
        <v>0</v>
      </c>
      <c r="Z11574" s="19" t="n"/>
    </row>
    <row r="11575">
      <c r="D11575" s="21" t="n">
        <v>0</v>
      </c>
      <c r="E11575" s="21" t="n">
        <v>0</v>
      </c>
      <c r="F11575" s="21" t="n">
        <v>0</v>
      </c>
      <c r="G11575" s="21" t="n">
        <v>0</v>
      </c>
      <c r="H11575" s="21" t="n">
        <v>0</v>
      </c>
      <c r="I11575" s="21" t="n">
        <v>0</v>
      </c>
      <c r="J11575" s="21" t="n">
        <v>0</v>
      </c>
      <c r="K11575" s="21" t="n">
        <v>0</v>
      </c>
      <c r="L11575" s="21" t="n">
        <v>0</v>
      </c>
      <c r="M11575" s="21" t="n">
        <v>0</v>
      </c>
      <c r="N11575" s="21" t="n">
        <v>0</v>
      </c>
      <c r="O11575" s="21" t="n">
        <v>0</v>
      </c>
      <c r="P11575" s="21" t="n">
        <v>0</v>
      </c>
      <c r="Q11575" s="21" t="n">
        <v>0</v>
      </c>
      <c r="R11575" s="21">
        <f>-$B$10476</f>
        <v/>
      </c>
      <c r="S11575" s="21">
        <f>-$B$10477</f>
        <v/>
      </c>
      <c r="T11575" s="21">
        <f>2*$B$10476+$D$11555</f>
        <v/>
      </c>
      <c r="U11575" s="21">
        <f>0</f>
        <v/>
      </c>
      <c r="V11575" s="21">
        <f>-$B$10476</f>
        <v/>
      </c>
      <c r="W11575" s="21">
        <f>$B$10477</f>
        <v/>
      </c>
      <c r="X11575" s="21" t="n">
        <v>0</v>
      </c>
      <c r="Y11575" s="21" t="n">
        <v>0</v>
      </c>
      <c r="Z11575" s="19" t="n"/>
    </row>
    <row r="11576">
      <c r="D11576" s="21" t="n">
        <v>0</v>
      </c>
      <c r="E11576" s="21" t="n">
        <v>0</v>
      </c>
      <c r="F11576" s="21" t="n">
        <v>0</v>
      </c>
      <c r="G11576" s="21" t="n">
        <v>0</v>
      </c>
      <c r="H11576" s="21" t="n">
        <v>0</v>
      </c>
      <c r="I11576" s="21" t="n">
        <v>0</v>
      </c>
      <c r="J11576" s="21" t="n">
        <v>0</v>
      </c>
      <c r="K11576" s="21" t="n">
        <v>0</v>
      </c>
      <c r="L11576" s="21" t="n">
        <v>0</v>
      </c>
      <c r="M11576" s="21" t="n">
        <v>0</v>
      </c>
      <c r="N11576" s="21" t="n">
        <v>0</v>
      </c>
      <c r="O11576" s="21" t="n">
        <v>0</v>
      </c>
      <c r="P11576" s="21" t="n">
        <v>0</v>
      </c>
      <c r="Q11576" s="21" t="n">
        <v>0</v>
      </c>
      <c r="R11576" s="21">
        <f>$B$10477</f>
        <v/>
      </c>
      <c r="S11576" s="21">
        <f>$B$10479</f>
        <v/>
      </c>
      <c r="T11576" s="21">
        <f>0</f>
        <v/>
      </c>
      <c r="U11576" s="21">
        <f>2*$B$10478</f>
        <v/>
      </c>
      <c r="V11576" s="21">
        <f>-$B$10477</f>
        <v/>
      </c>
      <c r="W11576" s="21">
        <f>$B$10479</f>
        <v/>
      </c>
      <c r="X11576" s="21" t="n">
        <v>0</v>
      </c>
      <c r="Y11576" s="21" t="n">
        <v>0</v>
      </c>
      <c r="Z11576" s="19" t="n"/>
    </row>
    <row r="11577">
      <c r="D11577" s="21" t="n">
        <v>0</v>
      </c>
      <c r="E11577" s="21" t="n">
        <v>0</v>
      </c>
      <c r="F11577" s="21" t="n">
        <v>0</v>
      </c>
      <c r="G11577" s="21" t="n">
        <v>0</v>
      </c>
      <c r="H11577" s="21" t="n">
        <v>0</v>
      </c>
      <c r="I11577" s="21" t="n">
        <v>0</v>
      </c>
      <c r="J11577" s="21" t="n">
        <v>0</v>
      </c>
      <c r="K11577" s="21" t="n">
        <v>0</v>
      </c>
      <c r="L11577" s="21" t="n">
        <v>0</v>
      </c>
      <c r="M11577" s="21" t="n">
        <v>0</v>
      </c>
      <c r="N11577" s="21" t="n">
        <v>0</v>
      </c>
      <c r="O11577" s="21" t="n">
        <v>0</v>
      </c>
      <c r="P11577" s="21" t="n">
        <v>0</v>
      </c>
      <c r="Q11577" s="21" t="n">
        <v>0</v>
      </c>
      <c r="R11577" s="21" t="n">
        <v>0</v>
      </c>
      <c r="S11577" s="21" t="n">
        <v>0</v>
      </c>
      <c r="T11577" s="21">
        <f>-$B$10476</f>
        <v/>
      </c>
      <c r="U11577" s="21">
        <f>-$B$10477</f>
        <v/>
      </c>
      <c r="V11577" s="21">
        <f>2*$B$10476+$D$11556</f>
        <v/>
      </c>
      <c r="W11577" s="21">
        <f>0</f>
        <v/>
      </c>
      <c r="X11577" s="21">
        <f>-$B$10476</f>
        <v/>
      </c>
      <c r="Y11577" s="21">
        <f>$B$10477</f>
        <v/>
      </c>
      <c r="Z11577" s="19" t="n"/>
    </row>
    <row r="11578">
      <c r="D11578" s="21" t="n">
        <v>0</v>
      </c>
      <c r="E11578" s="21" t="n">
        <v>0</v>
      </c>
      <c r="F11578" s="21" t="n">
        <v>0</v>
      </c>
      <c r="G11578" s="21" t="n">
        <v>0</v>
      </c>
      <c r="H11578" s="21" t="n">
        <v>0</v>
      </c>
      <c r="I11578" s="21" t="n">
        <v>0</v>
      </c>
      <c r="J11578" s="21" t="n">
        <v>0</v>
      </c>
      <c r="K11578" s="21" t="n">
        <v>0</v>
      </c>
      <c r="L11578" s="21" t="n">
        <v>0</v>
      </c>
      <c r="M11578" s="21" t="n">
        <v>0</v>
      </c>
      <c r="N11578" s="21" t="n">
        <v>0</v>
      </c>
      <c r="O11578" s="21" t="n">
        <v>0</v>
      </c>
      <c r="P11578" s="21" t="n">
        <v>0</v>
      </c>
      <c r="Q11578" s="21" t="n">
        <v>0</v>
      </c>
      <c r="R11578" s="21" t="n">
        <v>0</v>
      </c>
      <c r="S11578" s="21" t="n">
        <v>0</v>
      </c>
      <c r="T11578" s="21">
        <f>$B$10477</f>
        <v/>
      </c>
      <c r="U11578" s="21">
        <f>$B$10479</f>
        <v/>
      </c>
      <c r="V11578" s="21">
        <f>0</f>
        <v/>
      </c>
      <c r="W11578" s="21">
        <f>2*$B$10478</f>
        <v/>
      </c>
      <c r="X11578" s="21">
        <f>-$B$10477</f>
        <v/>
      </c>
      <c r="Y11578" s="21">
        <f>$B$10479</f>
        <v/>
      </c>
      <c r="Z11578" s="19" t="n"/>
    </row>
    <row r="11579">
      <c r="D11579" s="21" t="n">
        <v>0</v>
      </c>
      <c r="E11579" s="21" t="n">
        <v>0</v>
      </c>
      <c r="F11579" s="21" t="n">
        <v>0</v>
      </c>
      <c r="G11579" s="21" t="n">
        <v>0</v>
      </c>
      <c r="H11579" s="21" t="n">
        <v>0</v>
      </c>
      <c r="I11579" s="21" t="n">
        <v>0</v>
      </c>
      <c r="J11579" s="21" t="n">
        <v>0</v>
      </c>
      <c r="K11579" s="21" t="n">
        <v>0</v>
      </c>
      <c r="L11579" s="21" t="n">
        <v>0</v>
      </c>
      <c r="M11579" s="21" t="n">
        <v>0</v>
      </c>
      <c r="N11579" s="21" t="n">
        <v>0</v>
      </c>
      <c r="O11579" s="21" t="n">
        <v>0</v>
      </c>
      <c r="P11579" s="21" t="n">
        <v>0</v>
      </c>
      <c r="Q11579" s="21" t="n">
        <v>0</v>
      </c>
      <c r="R11579" s="21" t="n">
        <v>0</v>
      </c>
      <c r="S11579" s="21" t="n">
        <v>0</v>
      </c>
      <c r="T11579" s="21" t="n">
        <v>0</v>
      </c>
      <c r="U11579" s="21" t="n">
        <v>0</v>
      </c>
      <c r="V11579" s="21">
        <f>-$B$10476</f>
        <v/>
      </c>
      <c r="W11579" s="21">
        <f>-$B$10477</f>
        <v/>
      </c>
      <c r="X11579" s="21">
        <f>$B$10476+$D$11557</f>
        <v/>
      </c>
      <c r="Y11579" s="21">
        <f>-$B$10477</f>
        <v/>
      </c>
      <c r="Z11579" s="19" t="n"/>
    </row>
    <row r="11580">
      <c r="D11580" s="21" t="n">
        <v>0</v>
      </c>
      <c r="E11580" s="21" t="n">
        <v>0</v>
      </c>
      <c r="F11580" s="21" t="n">
        <v>0</v>
      </c>
      <c r="G11580" s="21" t="n">
        <v>0</v>
      </c>
      <c r="H11580" s="21" t="n">
        <v>0</v>
      </c>
      <c r="I11580" s="21" t="n">
        <v>0</v>
      </c>
      <c r="J11580" s="21" t="n">
        <v>0</v>
      </c>
      <c r="K11580" s="21" t="n">
        <v>0</v>
      </c>
      <c r="L11580" s="21" t="n">
        <v>0</v>
      </c>
      <c r="M11580" s="21" t="n">
        <v>0</v>
      </c>
      <c r="N11580" s="21" t="n">
        <v>0</v>
      </c>
      <c r="O11580" s="21" t="n">
        <v>0</v>
      </c>
      <c r="P11580" s="21" t="n">
        <v>0</v>
      </c>
      <c r="Q11580" s="21" t="n">
        <v>0</v>
      </c>
      <c r="R11580" s="21" t="n">
        <v>0</v>
      </c>
      <c r="S11580" s="21" t="n">
        <v>0</v>
      </c>
      <c r="T11580" s="21" t="n">
        <v>0</v>
      </c>
      <c r="U11580" s="21" t="n">
        <v>0</v>
      </c>
      <c r="V11580" s="21">
        <f>$B$10477</f>
        <v/>
      </c>
      <c r="W11580" s="21">
        <f>$B$10479</f>
        <v/>
      </c>
      <c r="X11580" s="21">
        <f>-$B$10477</f>
        <v/>
      </c>
      <c r="Y11580" s="21">
        <f>$B$10478</f>
        <v/>
      </c>
      <c r="Z11580" s="19" t="n"/>
    </row>
    <row r="11582">
      <c r="A11582" s="8" t="inlineStr">
        <is>
          <t>gen 30</t>
        </is>
      </c>
    </row>
    <row r="11583">
      <c r="D11583" s="19">
        <f>IF(ABS(IF(ABS($E$11547)&gt;0.000000001,$E$11547,0.000000001))=0,0,IF($E$10491&lt;=$B$10485,0,IF(ABS(IF(ABS($E$11547)&gt;0.000000001,$E$11547,0.000000001))&gt;=8*$B$10487,$H$10491,0.5*$H$10491*(ABS(IF(ABS($E$11547)&gt;0.000000001,$E$11547,0.000000001))/$B$10487)^(1/3)))/ABS(IF(ABS($E$11547)&gt;0.000000001,$E$11547,0.000000001))*$I$10491)</f>
        <v/>
      </c>
      <c r="E11583" s="19">
        <f>0.5*$E$11547+0.5*$Z$11595</f>
        <v/>
      </c>
      <c r="F11583" s="19">
        <f>$Z$11596</f>
        <v/>
      </c>
    </row>
    <row r="11584">
      <c r="D11584" s="19">
        <f>IF(ABS(IF(ABS($E$11548)&gt;0.000000001,$E$11548,0.000000001))=0,0,IF($E$10492&lt;=$B$10485,0,IF(ABS(IF(ABS($E$11548)&gt;0.000000001,$E$11548,0.000000001))&gt;=8*$B$10487,$H$10492,0.5*$H$10492*(ABS(IF(ABS($E$11548)&gt;0.000000001,$E$11548,0.000000001))/$B$10487)^(1/3)))/ABS(IF(ABS($E$11548)&gt;0.000000001,$E$11548,0.000000001))*$I$10492)</f>
        <v/>
      </c>
      <c r="E11584" s="19">
        <f>0.5*$E$11548+0.5*$Z$11597</f>
        <v/>
      </c>
      <c r="F11584" s="19">
        <f>$Z$11598</f>
        <v/>
      </c>
    </row>
    <row r="11585">
      <c r="D11585" s="19">
        <f>IF(ABS(IF(ABS($E$11549)&gt;0.000000001,$E$11549,0.000000001))=0,0,IF($E$10493&lt;=$B$10485,0,IF(ABS(IF(ABS($E$11549)&gt;0.000000001,$E$11549,0.000000001))&gt;=8*$B$10487,$H$10493,0.5*$H$10493*(ABS(IF(ABS($E$11549)&gt;0.000000001,$E$11549,0.000000001))/$B$10487)^(1/3)))/ABS(IF(ABS($E$11549)&gt;0.000000001,$E$11549,0.000000001))*$I$10493)</f>
        <v/>
      </c>
      <c r="E11585" s="19">
        <f>0.5*$E$11549+0.5*$Z$11599</f>
        <v/>
      </c>
      <c r="F11585" s="19">
        <f>$Z$11600</f>
        <v/>
      </c>
    </row>
    <row r="11586">
      <c r="D11586" s="19">
        <f>IF(ABS(IF(ABS($E$11550)&gt;0.000000001,$E$11550,0.000000001))=0,0,IF($E$10494&lt;=$B$10485,0,IF(ABS(IF(ABS($E$11550)&gt;0.000000001,$E$11550,0.000000001))&gt;=8*$B$10487,$H$10494,0.5*$H$10494*(ABS(IF(ABS($E$11550)&gt;0.000000001,$E$11550,0.000000001))/$B$10487)^(1/3)))/ABS(IF(ABS($E$11550)&gt;0.000000001,$E$11550,0.000000001))*$I$10494)</f>
        <v/>
      </c>
      <c r="E11586" s="19">
        <f>0.5*$E$11550+0.5*$Z$11601</f>
        <v/>
      </c>
      <c r="F11586" s="19">
        <f>$Z$11602</f>
        <v/>
      </c>
    </row>
    <row r="11587">
      <c r="D11587" s="19">
        <f>IF(ABS(IF(ABS($E$11551)&gt;0.000000001,$E$11551,0.000000001))=0,0,IF($E$10495&lt;=$B$10485,0,IF(ABS(IF(ABS($E$11551)&gt;0.000000001,$E$11551,0.000000001))&gt;=8*$B$10487,$H$10495,0.5*$H$10495*(ABS(IF(ABS($E$11551)&gt;0.000000001,$E$11551,0.000000001))/$B$10487)^(1/3)))/ABS(IF(ABS($E$11551)&gt;0.000000001,$E$11551,0.000000001))*$I$10495)</f>
        <v/>
      </c>
      <c r="E11587" s="19">
        <f>0.5*$E$11551+0.5*$Z$11603</f>
        <v/>
      </c>
      <c r="F11587" s="19">
        <f>$Z$11604</f>
        <v/>
      </c>
    </row>
    <row r="11588">
      <c r="D11588" s="19">
        <f>IF(ABS(IF(ABS($E$11552)&gt;0.000000001,$E$11552,0.000000001))=0,0,IF($E$10496&lt;=$B$10485,0,IF(ABS(IF(ABS($E$11552)&gt;0.000000001,$E$11552,0.000000001))&gt;=8*$B$10487,$H$10496,0.5*$H$10496*(ABS(IF(ABS($E$11552)&gt;0.000000001,$E$11552,0.000000001))/$B$10487)^(1/3)))/ABS(IF(ABS($E$11552)&gt;0.000000001,$E$11552,0.000000001))*$I$10496)</f>
        <v/>
      </c>
      <c r="E11588" s="19">
        <f>0.5*$E$11552+0.5*$Z$11605</f>
        <v/>
      </c>
      <c r="F11588" s="19">
        <f>$Z$11606</f>
        <v/>
      </c>
    </row>
    <row r="11589">
      <c r="D11589" s="19">
        <f>IF(ABS(IF(ABS($E$11553)&gt;0.000000001,$E$11553,0.000000001))=0,0,IF($E$10497&lt;=$B$10485,0,IF(ABS(IF(ABS($E$11553)&gt;0.000000001,$E$11553,0.000000001))&gt;=8*$B$10487,$H$10497,0.5*$H$10497*(ABS(IF(ABS($E$11553)&gt;0.000000001,$E$11553,0.000000001))/$B$10487)^(1/3)))/ABS(IF(ABS($E$11553)&gt;0.000000001,$E$11553,0.000000001))*$I$10497)</f>
        <v/>
      </c>
      <c r="E11589" s="19">
        <f>0.5*$E$11553+0.5*$Z$11607</f>
        <v/>
      </c>
      <c r="F11589" s="19">
        <f>$Z$11608</f>
        <v/>
      </c>
    </row>
    <row r="11590">
      <c r="D11590" s="19">
        <f>IF(ABS(IF(ABS($E$11554)&gt;0.000000001,$E$11554,0.000000001))=0,0,IF($E$10498&lt;=$B$10485,0,IF(ABS(IF(ABS($E$11554)&gt;0.000000001,$E$11554,0.000000001))&gt;=8*$B$10487,$H$10498,0.5*$H$10498*(ABS(IF(ABS($E$11554)&gt;0.000000001,$E$11554,0.000000001))/$B$10487)^(1/3)))/ABS(IF(ABS($E$11554)&gt;0.000000001,$E$11554,0.000000001))*$I$10498)</f>
        <v/>
      </c>
      <c r="E11590" s="19">
        <f>0.5*$E$11554+0.5*$Z$11609</f>
        <v/>
      </c>
      <c r="F11590" s="19">
        <f>$Z$11610</f>
        <v/>
      </c>
    </row>
    <row r="11591">
      <c r="D11591" s="19">
        <f>IF(ABS(IF(ABS($E$11555)&gt;0.000000001,$E$11555,0.000000001))=0,0,IF($E$10499&lt;=$B$10485,0,IF(ABS(IF(ABS($E$11555)&gt;0.000000001,$E$11555,0.000000001))&gt;=8*$B$10487,$H$10499,0.5*$H$10499*(ABS(IF(ABS($E$11555)&gt;0.000000001,$E$11555,0.000000001))/$B$10487)^(1/3)))/ABS(IF(ABS($E$11555)&gt;0.000000001,$E$11555,0.000000001))*$I$10499)</f>
        <v/>
      </c>
      <c r="E11591" s="19">
        <f>0.5*$E$11555+0.5*$Z$11611</f>
        <v/>
      </c>
      <c r="F11591" s="19">
        <f>$Z$11612</f>
        <v/>
      </c>
    </row>
    <row r="11592">
      <c r="D11592" s="19">
        <f>IF(ABS(IF(ABS($E$11556)&gt;0.000000001,$E$11556,0.000000001))=0,0,IF($E$10500&lt;=$B$10485,0,IF(ABS(IF(ABS($E$11556)&gt;0.000000001,$E$11556,0.000000001))&gt;=8*$B$10487,$H$10500,0.5*$H$10500*(ABS(IF(ABS($E$11556)&gt;0.000000001,$E$11556,0.000000001))/$B$10487)^(1/3)))/ABS(IF(ABS($E$11556)&gt;0.000000001,$E$11556,0.000000001))*$I$10500)</f>
        <v/>
      </c>
      <c r="E11592" s="19">
        <f>0.5*$E$11556+0.5*$Z$11613</f>
        <v/>
      </c>
      <c r="F11592" s="19">
        <f>$Z$11614</f>
        <v/>
      </c>
    </row>
    <row r="11593">
      <c r="D11593" s="19">
        <f>IF(ABS(IF(ABS($E$11557)&gt;0.000000001,$E$11557,0.000000001))=0,0,IF($E$10501&lt;=$B$10485,0,IF(ABS(IF(ABS($E$11557)&gt;0.000000001,$E$11557,0.000000001))&gt;=8*$B$10487,$H$10501,0.5*$H$10501*(ABS(IF(ABS($E$11557)&gt;0.000000001,$E$11557,0.000000001))/$B$10487)^(1/3)))/ABS(IF(ABS($E$11557)&gt;0.000000001,$E$11557,0.000000001))*$I$10501)</f>
        <v/>
      </c>
      <c r="E11593" s="19">
        <f>0.5*$E$11557+0.5*$Z$11615</f>
        <v/>
      </c>
      <c r="F11593" s="19">
        <f>$Z$11616</f>
        <v/>
      </c>
    </row>
    <row r="11595">
      <c r="D11595" s="21">
        <f>$B$10476+$D$11583</f>
        <v/>
      </c>
      <c r="E11595" s="21">
        <f>$B$10477</f>
        <v/>
      </c>
      <c r="F11595" s="21">
        <f>-$B$10476</f>
        <v/>
      </c>
      <c r="G11595" s="21">
        <f>$B$10477</f>
        <v/>
      </c>
      <c r="H11595" s="21" t="n">
        <v>0</v>
      </c>
      <c r="I11595" s="21" t="n">
        <v>0</v>
      </c>
      <c r="J11595" s="21" t="n">
        <v>0</v>
      </c>
      <c r="K11595" s="21" t="n">
        <v>0</v>
      </c>
      <c r="L11595" s="21" t="n">
        <v>0</v>
      </c>
      <c r="M11595" s="21" t="n">
        <v>0</v>
      </c>
      <c r="N11595" s="21" t="n">
        <v>0</v>
      </c>
      <c r="O11595" s="21" t="n">
        <v>0</v>
      </c>
      <c r="P11595" s="21" t="n">
        <v>0</v>
      </c>
      <c r="Q11595" s="21" t="n">
        <v>0</v>
      </c>
      <c r="R11595" s="21" t="n">
        <v>0</v>
      </c>
      <c r="S11595" s="21" t="n">
        <v>0</v>
      </c>
      <c r="T11595" s="21" t="n">
        <v>0</v>
      </c>
      <c r="U11595" s="21" t="n">
        <v>0</v>
      </c>
      <c r="V11595" s="21" t="n">
        <v>0</v>
      </c>
      <c r="W11595" s="21" t="n">
        <v>0</v>
      </c>
      <c r="X11595" s="21" t="n">
        <v>0</v>
      </c>
      <c r="Y11595" s="21" t="n">
        <v>0</v>
      </c>
      <c r="Z11595" s="19">
        <f t="array" ref="Z11595:Z11616">MMULT(MINVERSE($D$11595:$Y$11616),$D$10503:$D$10524)</f>
        <v/>
      </c>
    </row>
    <row r="11596">
      <c r="D11596" s="21">
        <f>$B$10477</f>
        <v/>
      </c>
      <c r="E11596" s="21">
        <f>$B$10478</f>
        <v/>
      </c>
      <c r="F11596" s="21">
        <f>-$B$10477</f>
        <v/>
      </c>
      <c r="G11596" s="21">
        <f>$B$10479</f>
        <v/>
      </c>
      <c r="H11596" s="21" t="n">
        <v>0</v>
      </c>
      <c r="I11596" s="21" t="n">
        <v>0</v>
      </c>
      <c r="J11596" s="21" t="n">
        <v>0</v>
      </c>
      <c r="K11596" s="21" t="n">
        <v>0</v>
      </c>
      <c r="L11596" s="21" t="n">
        <v>0</v>
      </c>
      <c r="M11596" s="21" t="n">
        <v>0</v>
      </c>
      <c r="N11596" s="21" t="n">
        <v>0</v>
      </c>
      <c r="O11596" s="21" t="n">
        <v>0</v>
      </c>
      <c r="P11596" s="21" t="n">
        <v>0</v>
      </c>
      <c r="Q11596" s="21" t="n">
        <v>0</v>
      </c>
      <c r="R11596" s="21" t="n">
        <v>0</v>
      </c>
      <c r="S11596" s="21" t="n">
        <v>0</v>
      </c>
      <c r="T11596" s="21" t="n">
        <v>0</v>
      </c>
      <c r="U11596" s="21" t="n">
        <v>0</v>
      </c>
      <c r="V11596" s="21" t="n">
        <v>0</v>
      </c>
      <c r="W11596" s="21" t="n">
        <v>0</v>
      </c>
      <c r="X11596" s="21" t="n">
        <v>0</v>
      </c>
      <c r="Y11596" s="21" t="n">
        <v>0</v>
      </c>
      <c r="Z11596" s="19" t="n"/>
    </row>
    <row r="11597">
      <c r="D11597" s="21">
        <f>-$B$10476</f>
        <v/>
      </c>
      <c r="E11597" s="21">
        <f>-$B$10477</f>
        <v/>
      </c>
      <c r="F11597" s="21">
        <f>2*$B$10476+$D$11584</f>
        <v/>
      </c>
      <c r="G11597" s="21">
        <f>0</f>
        <v/>
      </c>
      <c r="H11597" s="21">
        <f>-$B$10476</f>
        <v/>
      </c>
      <c r="I11597" s="21">
        <f>$B$10477</f>
        <v/>
      </c>
      <c r="J11597" s="21" t="n">
        <v>0</v>
      </c>
      <c r="K11597" s="21" t="n">
        <v>0</v>
      </c>
      <c r="L11597" s="21" t="n">
        <v>0</v>
      </c>
      <c r="M11597" s="21" t="n">
        <v>0</v>
      </c>
      <c r="N11597" s="21" t="n">
        <v>0</v>
      </c>
      <c r="O11597" s="21" t="n">
        <v>0</v>
      </c>
      <c r="P11597" s="21" t="n">
        <v>0</v>
      </c>
      <c r="Q11597" s="21" t="n">
        <v>0</v>
      </c>
      <c r="R11597" s="21" t="n">
        <v>0</v>
      </c>
      <c r="S11597" s="21" t="n">
        <v>0</v>
      </c>
      <c r="T11597" s="21" t="n">
        <v>0</v>
      </c>
      <c r="U11597" s="21" t="n">
        <v>0</v>
      </c>
      <c r="V11597" s="21" t="n">
        <v>0</v>
      </c>
      <c r="W11597" s="21" t="n">
        <v>0</v>
      </c>
      <c r="X11597" s="21" t="n">
        <v>0</v>
      </c>
      <c r="Y11597" s="21" t="n">
        <v>0</v>
      </c>
      <c r="Z11597" s="19" t="n"/>
    </row>
    <row r="11598">
      <c r="D11598" s="21">
        <f>$B$10477</f>
        <v/>
      </c>
      <c r="E11598" s="21">
        <f>$B$10479</f>
        <v/>
      </c>
      <c r="F11598" s="21">
        <f>0</f>
        <v/>
      </c>
      <c r="G11598" s="21">
        <f>2*$B$10478</f>
        <v/>
      </c>
      <c r="H11598" s="21">
        <f>-$B$10477</f>
        <v/>
      </c>
      <c r="I11598" s="21">
        <f>$B$10479</f>
        <v/>
      </c>
      <c r="J11598" s="21" t="n">
        <v>0</v>
      </c>
      <c r="K11598" s="21" t="n">
        <v>0</v>
      </c>
      <c r="L11598" s="21" t="n">
        <v>0</v>
      </c>
      <c r="M11598" s="21" t="n">
        <v>0</v>
      </c>
      <c r="N11598" s="21" t="n">
        <v>0</v>
      </c>
      <c r="O11598" s="21" t="n">
        <v>0</v>
      </c>
      <c r="P11598" s="21" t="n">
        <v>0</v>
      </c>
      <c r="Q11598" s="21" t="n">
        <v>0</v>
      </c>
      <c r="R11598" s="21" t="n">
        <v>0</v>
      </c>
      <c r="S11598" s="21" t="n">
        <v>0</v>
      </c>
      <c r="T11598" s="21" t="n">
        <v>0</v>
      </c>
      <c r="U11598" s="21" t="n">
        <v>0</v>
      </c>
      <c r="V11598" s="21" t="n">
        <v>0</v>
      </c>
      <c r="W11598" s="21" t="n">
        <v>0</v>
      </c>
      <c r="X11598" s="21" t="n">
        <v>0</v>
      </c>
      <c r="Y11598" s="21" t="n">
        <v>0</v>
      </c>
      <c r="Z11598" s="19" t="n"/>
    </row>
    <row r="11599">
      <c r="D11599" s="21" t="n">
        <v>0</v>
      </c>
      <c r="E11599" s="21" t="n">
        <v>0</v>
      </c>
      <c r="F11599" s="21">
        <f>-$B$10476</f>
        <v/>
      </c>
      <c r="G11599" s="21">
        <f>-$B$10477</f>
        <v/>
      </c>
      <c r="H11599" s="21">
        <f>2*$B$10476+$D$11585</f>
        <v/>
      </c>
      <c r="I11599" s="21">
        <f>0</f>
        <v/>
      </c>
      <c r="J11599" s="21">
        <f>-$B$10476</f>
        <v/>
      </c>
      <c r="K11599" s="21">
        <f>$B$10477</f>
        <v/>
      </c>
      <c r="L11599" s="21" t="n">
        <v>0</v>
      </c>
      <c r="M11599" s="21" t="n">
        <v>0</v>
      </c>
      <c r="N11599" s="21" t="n">
        <v>0</v>
      </c>
      <c r="O11599" s="21" t="n">
        <v>0</v>
      </c>
      <c r="P11599" s="21" t="n">
        <v>0</v>
      </c>
      <c r="Q11599" s="21" t="n">
        <v>0</v>
      </c>
      <c r="R11599" s="21" t="n">
        <v>0</v>
      </c>
      <c r="S11599" s="21" t="n">
        <v>0</v>
      </c>
      <c r="T11599" s="21" t="n">
        <v>0</v>
      </c>
      <c r="U11599" s="21" t="n">
        <v>0</v>
      </c>
      <c r="V11599" s="21" t="n">
        <v>0</v>
      </c>
      <c r="W11599" s="21" t="n">
        <v>0</v>
      </c>
      <c r="X11599" s="21" t="n">
        <v>0</v>
      </c>
      <c r="Y11599" s="21" t="n">
        <v>0</v>
      </c>
      <c r="Z11599" s="19" t="n"/>
    </row>
    <row r="11600">
      <c r="D11600" s="21" t="n">
        <v>0</v>
      </c>
      <c r="E11600" s="21" t="n">
        <v>0</v>
      </c>
      <c r="F11600" s="21">
        <f>$B$10477</f>
        <v/>
      </c>
      <c r="G11600" s="21">
        <f>$B$10479</f>
        <v/>
      </c>
      <c r="H11600" s="21">
        <f>0</f>
        <v/>
      </c>
      <c r="I11600" s="21">
        <f>2*$B$10478</f>
        <v/>
      </c>
      <c r="J11600" s="21">
        <f>-$B$10477</f>
        <v/>
      </c>
      <c r="K11600" s="21">
        <f>$B$10479</f>
        <v/>
      </c>
      <c r="L11600" s="21" t="n">
        <v>0</v>
      </c>
      <c r="M11600" s="21" t="n">
        <v>0</v>
      </c>
      <c r="N11600" s="21" t="n">
        <v>0</v>
      </c>
      <c r="O11600" s="21" t="n">
        <v>0</v>
      </c>
      <c r="P11600" s="21" t="n">
        <v>0</v>
      </c>
      <c r="Q11600" s="21" t="n">
        <v>0</v>
      </c>
      <c r="R11600" s="21" t="n">
        <v>0</v>
      </c>
      <c r="S11600" s="21" t="n">
        <v>0</v>
      </c>
      <c r="T11600" s="21" t="n">
        <v>0</v>
      </c>
      <c r="U11600" s="21" t="n">
        <v>0</v>
      </c>
      <c r="V11600" s="21" t="n">
        <v>0</v>
      </c>
      <c r="W11600" s="21" t="n">
        <v>0</v>
      </c>
      <c r="X11600" s="21" t="n">
        <v>0</v>
      </c>
      <c r="Y11600" s="21" t="n">
        <v>0</v>
      </c>
      <c r="Z11600" s="19" t="n"/>
    </row>
    <row r="11601">
      <c r="D11601" s="21" t="n">
        <v>0</v>
      </c>
      <c r="E11601" s="21" t="n">
        <v>0</v>
      </c>
      <c r="F11601" s="21" t="n">
        <v>0</v>
      </c>
      <c r="G11601" s="21" t="n">
        <v>0</v>
      </c>
      <c r="H11601" s="21">
        <f>-$B$10476</f>
        <v/>
      </c>
      <c r="I11601" s="21">
        <f>-$B$10477</f>
        <v/>
      </c>
      <c r="J11601" s="21">
        <f>2*$B$10476+$D$11586</f>
        <v/>
      </c>
      <c r="K11601" s="21">
        <f>0</f>
        <v/>
      </c>
      <c r="L11601" s="21">
        <f>-$B$10476</f>
        <v/>
      </c>
      <c r="M11601" s="21">
        <f>$B$10477</f>
        <v/>
      </c>
      <c r="N11601" s="21" t="n">
        <v>0</v>
      </c>
      <c r="O11601" s="21" t="n">
        <v>0</v>
      </c>
      <c r="P11601" s="21" t="n">
        <v>0</v>
      </c>
      <c r="Q11601" s="21" t="n">
        <v>0</v>
      </c>
      <c r="R11601" s="21" t="n">
        <v>0</v>
      </c>
      <c r="S11601" s="21" t="n">
        <v>0</v>
      </c>
      <c r="T11601" s="21" t="n">
        <v>0</v>
      </c>
      <c r="U11601" s="21" t="n">
        <v>0</v>
      </c>
      <c r="V11601" s="21" t="n">
        <v>0</v>
      </c>
      <c r="W11601" s="21" t="n">
        <v>0</v>
      </c>
      <c r="X11601" s="21" t="n">
        <v>0</v>
      </c>
      <c r="Y11601" s="21" t="n">
        <v>0</v>
      </c>
      <c r="Z11601" s="19" t="n"/>
    </row>
    <row r="11602">
      <c r="D11602" s="21" t="n">
        <v>0</v>
      </c>
      <c r="E11602" s="21" t="n">
        <v>0</v>
      </c>
      <c r="F11602" s="21" t="n">
        <v>0</v>
      </c>
      <c r="G11602" s="21" t="n">
        <v>0</v>
      </c>
      <c r="H11602" s="21">
        <f>$B$10477</f>
        <v/>
      </c>
      <c r="I11602" s="21">
        <f>$B$10479</f>
        <v/>
      </c>
      <c r="J11602" s="21">
        <f>0</f>
        <v/>
      </c>
      <c r="K11602" s="21">
        <f>2*$B$10478</f>
        <v/>
      </c>
      <c r="L11602" s="21">
        <f>-$B$10477</f>
        <v/>
      </c>
      <c r="M11602" s="21">
        <f>$B$10479</f>
        <v/>
      </c>
      <c r="N11602" s="21" t="n">
        <v>0</v>
      </c>
      <c r="O11602" s="21" t="n">
        <v>0</v>
      </c>
      <c r="P11602" s="21" t="n">
        <v>0</v>
      </c>
      <c r="Q11602" s="21" t="n">
        <v>0</v>
      </c>
      <c r="R11602" s="21" t="n">
        <v>0</v>
      </c>
      <c r="S11602" s="21" t="n">
        <v>0</v>
      </c>
      <c r="T11602" s="21" t="n">
        <v>0</v>
      </c>
      <c r="U11602" s="21" t="n">
        <v>0</v>
      </c>
      <c r="V11602" s="21" t="n">
        <v>0</v>
      </c>
      <c r="W11602" s="21" t="n">
        <v>0</v>
      </c>
      <c r="X11602" s="21" t="n">
        <v>0</v>
      </c>
      <c r="Y11602" s="21" t="n">
        <v>0</v>
      </c>
      <c r="Z11602" s="19" t="n"/>
    </row>
    <row r="11603">
      <c r="D11603" s="21" t="n">
        <v>0</v>
      </c>
      <c r="E11603" s="21" t="n">
        <v>0</v>
      </c>
      <c r="F11603" s="21" t="n">
        <v>0</v>
      </c>
      <c r="G11603" s="21" t="n">
        <v>0</v>
      </c>
      <c r="H11603" s="21" t="n">
        <v>0</v>
      </c>
      <c r="I11603" s="21" t="n">
        <v>0</v>
      </c>
      <c r="J11603" s="21">
        <f>-$B$10476</f>
        <v/>
      </c>
      <c r="K11603" s="21">
        <f>-$B$10477</f>
        <v/>
      </c>
      <c r="L11603" s="21">
        <f>2*$B$10476+$D$11587</f>
        <v/>
      </c>
      <c r="M11603" s="21">
        <f>0</f>
        <v/>
      </c>
      <c r="N11603" s="21">
        <f>-$B$10476</f>
        <v/>
      </c>
      <c r="O11603" s="21">
        <f>$B$10477</f>
        <v/>
      </c>
      <c r="P11603" s="21" t="n">
        <v>0</v>
      </c>
      <c r="Q11603" s="21" t="n">
        <v>0</v>
      </c>
      <c r="R11603" s="21" t="n">
        <v>0</v>
      </c>
      <c r="S11603" s="21" t="n">
        <v>0</v>
      </c>
      <c r="T11603" s="21" t="n">
        <v>0</v>
      </c>
      <c r="U11603" s="21" t="n">
        <v>0</v>
      </c>
      <c r="V11603" s="21" t="n">
        <v>0</v>
      </c>
      <c r="W11603" s="21" t="n">
        <v>0</v>
      </c>
      <c r="X11603" s="21" t="n">
        <v>0</v>
      </c>
      <c r="Y11603" s="21" t="n">
        <v>0</v>
      </c>
      <c r="Z11603" s="19" t="n"/>
    </row>
    <row r="11604">
      <c r="D11604" s="21" t="n">
        <v>0</v>
      </c>
      <c r="E11604" s="21" t="n">
        <v>0</v>
      </c>
      <c r="F11604" s="21" t="n">
        <v>0</v>
      </c>
      <c r="G11604" s="21" t="n">
        <v>0</v>
      </c>
      <c r="H11604" s="21" t="n">
        <v>0</v>
      </c>
      <c r="I11604" s="21" t="n">
        <v>0</v>
      </c>
      <c r="J11604" s="21">
        <f>$B$10477</f>
        <v/>
      </c>
      <c r="K11604" s="21">
        <f>$B$10479</f>
        <v/>
      </c>
      <c r="L11604" s="21">
        <f>0</f>
        <v/>
      </c>
      <c r="M11604" s="21">
        <f>2*$B$10478</f>
        <v/>
      </c>
      <c r="N11604" s="21">
        <f>-$B$10477</f>
        <v/>
      </c>
      <c r="O11604" s="21">
        <f>$B$10479</f>
        <v/>
      </c>
      <c r="P11604" s="21" t="n">
        <v>0</v>
      </c>
      <c r="Q11604" s="21" t="n">
        <v>0</v>
      </c>
      <c r="R11604" s="21" t="n">
        <v>0</v>
      </c>
      <c r="S11604" s="21" t="n">
        <v>0</v>
      </c>
      <c r="T11604" s="21" t="n">
        <v>0</v>
      </c>
      <c r="U11604" s="21" t="n">
        <v>0</v>
      </c>
      <c r="V11604" s="21" t="n">
        <v>0</v>
      </c>
      <c r="W11604" s="21" t="n">
        <v>0</v>
      </c>
      <c r="X11604" s="21" t="n">
        <v>0</v>
      </c>
      <c r="Y11604" s="21" t="n">
        <v>0</v>
      </c>
      <c r="Z11604" s="19" t="n"/>
    </row>
    <row r="11605">
      <c r="D11605" s="21" t="n">
        <v>0</v>
      </c>
      <c r="E11605" s="21" t="n">
        <v>0</v>
      </c>
      <c r="F11605" s="21" t="n">
        <v>0</v>
      </c>
      <c r="G11605" s="21" t="n">
        <v>0</v>
      </c>
      <c r="H11605" s="21" t="n">
        <v>0</v>
      </c>
      <c r="I11605" s="21" t="n">
        <v>0</v>
      </c>
      <c r="J11605" s="21" t="n">
        <v>0</v>
      </c>
      <c r="K11605" s="21" t="n">
        <v>0</v>
      </c>
      <c r="L11605" s="21">
        <f>-$B$10476</f>
        <v/>
      </c>
      <c r="M11605" s="21">
        <f>-$B$10477</f>
        <v/>
      </c>
      <c r="N11605" s="21">
        <f>2*$B$10476+$D$11588</f>
        <v/>
      </c>
      <c r="O11605" s="21">
        <f>0</f>
        <v/>
      </c>
      <c r="P11605" s="21">
        <f>-$B$10476</f>
        <v/>
      </c>
      <c r="Q11605" s="21">
        <f>$B$10477</f>
        <v/>
      </c>
      <c r="R11605" s="21" t="n">
        <v>0</v>
      </c>
      <c r="S11605" s="21" t="n">
        <v>0</v>
      </c>
      <c r="T11605" s="21" t="n">
        <v>0</v>
      </c>
      <c r="U11605" s="21" t="n">
        <v>0</v>
      </c>
      <c r="V11605" s="21" t="n">
        <v>0</v>
      </c>
      <c r="W11605" s="21" t="n">
        <v>0</v>
      </c>
      <c r="X11605" s="21" t="n">
        <v>0</v>
      </c>
      <c r="Y11605" s="21" t="n">
        <v>0</v>
      </c>
      <c r="Z11605" s="19" t="n"/>
    </row>
    <row r="11606">
      <c r="D11606" s="21" t="n">
        <v>0</v>
      </c>
      <c r="E11606" s="21" t="n">
        <v>0</v>
      </c>
      <c r="F11606" s="21" t="n">
        <v>0</v>
      </c>
      <c r="G11606" s="21" t="n">
        <v>0</v>
      </c>
      <c r="H11606" s="21" t="n">
        <v>0</v>
      </c>
      <c r="I11606" s="21" t="n">
        <v>0</v>
      </c>
      <c r="J11606" s="21" t="n">
        <v>0</v>
      </c>
      <c r="K11606" s="21" t="n">
        <v>0</v>
      </c>
      <c r="L11606" s="21">
        <f>$B$10477</f>
        <v/>
      </c>
      <c r="M11606" s="21">
        <f>$B$10479</f>
        <v/>
      </c>
      <c r="N11606" s="21">
        <f>0</f>
        <v/>
      </c>
      <c r="O11606" s="21">
        <f>2*$B$10478</f>
        <v/>
      </c>
      <c r="P11606" s="21">
        <f>-$B$10477</f>
        <v/>
      </c>
      <c r="Q11606" s="21">
        <f>$B$10479</f>
        <v/>
      </c>
      <c r="R11606" s="21" t="n">
        <v>0</v>
      </c>
      <c r="S11606" s="21" t="n">
        <v>0</v>
      </c>
      <c r="T11606" s="21" t="n">
        <v>0</v>
      </c>
      <c r="U11606" s="21" t="n">
        <v>0</v>
      </c>
      <c r="V11606" s="21" t="n">
        <v>0</v>
      </c>
      <c r="W11606" s="21" t="n">
        <v>0</v>
      </c>
      <c r="X11606" s="21" t="n">
        <v>0</v>
      </c>
      <c r="Y11606" s="21" t="n">
        <v>0</v>
      </c>
      <c r="Z11606" s="19" t="n"/>
    </row>
    <row r="11607">
      <c r="D11607" s="21" t="n">
        <v>0</v>
      </c>
      <c r="E11607" s="21" t="n">
        <v>0</v>
      </c>
      <c r="F11607" s="21" t="n">
        <v>0</v>
      </c>
      <c r="G11607" s="21" t="n">
        <v>0</v>
      </c>
      <c r="H11607" s="21" t="n">
        <v>0</v>
      </c>
      <c r="I11607" s="21" t="n">
        <v>0</v>
      </c>
      <c r="J11607" s="21" t="n">
        <v>0</v>
      </c>
      <c r="K11607" s="21" t="n">
        <v>0</v>
      </c>
      <c r="L11607" s="21" t="n">
        <v>0</v>
      </c>
      <c r="M11607" s="21" t="n">
        <v>0</v>
      </c>
      <c r="N11607" s="21">
        <f>-$B$10476</f>
        <v/>
      </c>
      <c r="O11607" s="21">
        <f>-$B$10477</f>
        <v/>
      </c>
      <c r="P11607" s="21">
        <f>2*$B$10476+$D$11589</f>
        <v/>
      </c>
      <c r="Q11607" s="21">
        <f>0</f>
        <v/>
      </c>
      <c r="R11607" s="21">
        <f>-$B$10476</f>
        <v/>
      </c>
      <c r="S11607" s="21">
        <f>$B$10477</f>
        <v/>
      </c>
      <c r="T11607" s="21" t="n">
        <v>0</v>
      </c>
      <c r="U11607" s="21" t="n">
        <v>0</v>
      </c>
      <c r="V11607" s="21" t="n">
        <v>0</v>
      </c>
      <c r="W11607" s="21" t="n">
        <v>0</v>
      </c>
      <c r="X11607" s="21" t="n">
        <v>0</v>
      </c>
      <c r="Y11607" s="21" t="n">
        <v>0</v>
      </c>
      <c r="Z11607" s="19" t="n"/>
    </row>
    <row r="11608">
      <c r="D11608" s="21" t="n">
        <v>0</v>
      </c>
      <c r="E11608" s="21" t="n">
        <v>0</v>
      </c>
      <c r="F11608" s="21" t="n">
        <v>0</v>
      </c>
      <c r="G11608" s="21" t="n">
        <v>0</v>
      </c>
      <c r="H11608" s="21" t="n">
        <v>0</v>
      </c>
      <c r="I11608" s="21" t="n">
        <v>0</v>
      </c>
      <c r="J11608" s="21" t="n">
        <v>0</v>
      </c>
      <c r="K11608" s="21" t="n">
        <v>0</v>
      </c>
      <c r="L11608" s="21" t="n">
        <v>0</v>
      </c>
      <c r="M11608" s="21" t="n">
        <v>0</v>
      </c>
      <c r="N11608" s="21">
        <f>$B$10477</f>
        <v/>
      </c>
      <c r="O11608" s="21">
        <f>$B$10479</f>
        <v/>
      </c>
      <c r="P11608" s="21">
        <f>0</f>
        <v/>
      </c>
      <c r="Q11608" s="21">
        <f>2*$B$10478</f>
        <v/>
      </c>
      <c r="R11608" s="21">
        <f>-$B$10477</f>
        <v/>
      </c>
      <c r="S11608" s="21">
        <f>$B$10479</f>
        <v/>
      </c>
      <c r="T11608" s="21" t="n">
        <v>0</v>
      </c>
      <c r="U11608" s="21" t="n">
        <v>0</v>
      </c>
      <c r="V11608" s="21" t="n">
        <v>0</v>
      </c>
      <c r="W11608" s="21" t="n">
        <v>0</v>
      </c>
      <c r="X11608" s="21" t="n">
        <v>0</v>
      </c>
      <c r="Y11608" s="21" t="n">
        <v>0</v>
      </c>
      <c r="Z11608" s="19" t="n"/>
    </row>
    <row r="11609">
      <c r="D11609" s="21" t="n">
        <v>0</v>
      </c>
      <c r="E11609" s="21" t="n">
        <v>0</v>
      </c>
      <c r="F11609" s="21" t="n">
        <v>0</v>
      </c>
      <c r="G11609" s="21" t="n">
        <v>0</v>
      </c>
      <c r="H11609" s="21" t="n">
        <v>0</v>
      </c>
      <c r="I11609" s="21" t="n">
        <v>0</v>
      </c>
      <c r="J11609" s="21" t="n">
        <v>0</v>
      </c>
      <c r="K11609" s="21" t="n">
        <v>0</v>
      </c>
      <c r="L11609" s="21" t="n">
        <v>0</v>
      </c>
      <c r="M11609" s="21" t="n">
        <v>0</v>
      </c>
      <c r="N11609" s="21" t="n">
        <v>0</v>
      </c>
      <c r="O11609" s="21" t="n">
        <v>0</v>
      </c>
      <c r="P11609" s="21">
        <f>-$B$10476</f>
        <v/>
      </c>
      <c r="Q11609" s="21">
        <f>-$B$10477</f>
        <v/>
      </c>
      <c r="R11609" s="21">
        <f>2*$B$10476+$D$11590</f>
        <v/>
      </c>
      <c r="S11609" s="21">
        <f>0</f>
        <v/>
      </c>
      <c r="T11609" s="21">
        <f>-$B$10476</f>
        <v/>
      </c>
      <c r="U11609" s="21">
        <f>$B$10477</f>
        <v/>
      </c>
      <c r="V11609" s="21" t="n">
        <v>0</v>
      </c>
      <c r="W11609" s="21" t="n">
        <v>0</v>
      </c>
      <c r="X11609" s="21" t="n">
        <v>0</v>
      </c>
      <c r="Y11609" s="21" t="n">
        <v>0</v>
      </c>
      <c r="Z11609" s="19" t="n"/>
    </row>
    <row r="11610">
      <c r="D11610" s="21" t="n">
        <v>0</v>
      </c>
      <c r="E11610" s="21" t="n">
        <v>0</v>
      </c>
      <c r="F11610" s="21" t="n">
        <v>0</v>
      </c>
      <c r="G11610" s="21" t="n">
        <v>0</v>
      </c>
      <c r="H11610" s="21" t="n">
        <v>0</v>
      </c>
      <c r="I11610" s="21" t="n">
        <v>0</v>
      </c>
      <c r="J11610" s="21" t="n">
        <v>0</v>
      </c>
      <c r="K11610" s="21" t="n">
        <v>0</v>
      </c>
      <c r="L11610" s="21" t="n">
        <v>0</v>
      </c>
      <c r="M11610" s="21" t="n">
        <v>0</v>
      </c>
      <c r="N11610" s="21" t="n">
        <v>0</v>
      </c>
      <c r="O11610" s="21" t="n">
        <v>0</v>
      </c>
      <c r="P11610" s="21">
        <f>$B$10477</f>
        <v/>
      </c>
      <c r="Q11610" s="21">
        <f>$B$10479</f>
        <v/>
      </c>
      <c r="R11610" s="21">
        <f>0</f>
        <v/>
      </c>
      <c r="S11610" s="21">
        <f>2*$B$10478</f>
        <v/>
      </c>
      <c r="T11610" s="21">
        <f>-$B$10477</f>
        <v/>
      </c>
      <c r="U11610" s="21">
        <f>$B$10479</f>
        <v/>
      </c>
      <c r="V11610" s="21" t="n">
        <v>0</v>
      </c>
      <c r="W11610" s="21" t="n">
        <v>0</v>
      </c>
      <c r="X11610" s="21" t="n">
        <v>0</v>
      </c>
      <c r="Y11610" s="21" t="n">
        <v>0</v>
      </c>
      <c r="Z11610" s="19" t="n"/>
    </row>
    <row r="11611">
      <c r="D11611" s="21" t="n">
        <v>0</v>
      </c>
      <c r="E11611" s="21" t="n">
        <v>0</v>
      </c>
      <c r="F11611" s="21" t="n">
        <v>0</v>
      </c>
      <c r="G11611" s="21" t="n">
        <v>0</v>
      </c>
      <c r="H11611" s="21" t="n">
        <v>0</v>
      </c>
      <c r="I11611" s="21" t="n">
        <v>0</v>
      </c>
      <c r="J11611" s="21" t="n">
        <v>0</v>
      </c>
      <c r="K11611" s="21" t="n">
        <v>0</v>
      </c>
      <c r="L11611" s="21" t="n">
        <v>0</v>
      </c>
      <c r="M11611" s="21" t="n">
        <v>0</v>
      </c>
      <c r="N11611" s="21" t="n">
        <v>0</v>
      </c>
      <c r="O11611" s="21" t="n">
        <v>0</v>
      </c>
      <c r="P11611" s="21" t="n">
        <v>0</v>
      </c>
      <c r="Q11611" s="21" t="n">
        <v>0</v>
      </c>
      <c r="R11611" s="21">
        <f>-$B$10476</f>
        <v/>
      </c>
      <c r="S11611" s="21">
        <f>-$B$10477</f>
        <v/>
      </c>
      <c r="T11611" s="21">
        <f>2*$B$10476+$D$11591</f>
        <v/>
      </c>
      <c r="U11611" s="21">
        <f>0</f>
        <v/>
      </c>
      <c r="V11611" s="21">
        <f>-$B$10476</f>
        <v/>
      </c>
      <c r="W11611" s="21">
        <f>$B$10477</f>
        <v/>
      </c>
      <c r="X11611" s="21" t="n">
        <v>0</v>
      </c>
      <c r="Y11611" s="21" t="n">
        <v>0</v>
      </c>
      <c r="Z11611" s="19" t="n"/>
    </row>
    <row r="11612">
      <c r="D11612" s="21" t="n">
        <v>0</v>
      </c>
      <c r="E11612" s="21" t="n">
        <v>0</v>
      </c>
      <c r="F11612" s="21" t="n">
        <v>0</v>
      </c>
      <c r="G11612" s="21" t="n">
        <v>0</v>
      </c>
      <c r="H11612" s="21" t="n">
        <v>0</v>
      </c>
      <c r="I11612" s="21" t="n">
        <v>0</v>
      </c>
      <c r="J11612" s="21" t="n">
        <v>0</v>
      </c>
      <c r="K11612" s="21" t="n">
        <v>0</v>
      </c>
      <c r="L11612" s="21" t="n">
        <v>0</v>
      </c>
      <c r="M11612" s="21" t="n">
        <v>0</v>
      </c>
      <c r="N11612" s="21" t="n">
        <v>0</v>
      </c>
      <c r="O11612" s="21" t="n">
        <v>0</v>
      </c>
      <c r="P11612" s="21" t="n">
        <v>0</v>
      </c>
      <c r="Q11612" s="21" t="n">
        <v>0</v>
      </c>
      <c r="R11612" s="21">
        <f>$B$10477</f>
        <v/>
      </c>
      <c r="S11612" s="21">
        <f>$B$10479</f>
        <v/>
      </c>
      <c r="T11612" s="21">
        <f>0</f>
        <v/>
      </c>
      <c r="U11612" s="21">
        <f>2*$B$10478</f>
        <v/>
      </c>
      <c r="V11612" s="21">
        <f>-$B$10477</f>
        <v/>
      </c>
      <c r="W11612" s="21">
        <f>$B$10479</f>
        <v/>
      </c>
      <c r="X11612" s="21" t="n">
        <v>0</v>
      </c>
      <c r="Y11612" s="21" t="n">
        <v>0</v>
      </c>
      <c r="Z11612" s="19" t="n"/>
    </row>
    <row r="11613">
      <c r="D11613" s="21" t="n">
        <v>0</v>
      </c>
      <c r="E11613" s="21" t="n">
        <v>0</v>
      </c>
      <c r="F11613" s="21" t="n">
        <v>0</v>
      </c>
      <c r="G11613" s="21" t="n">
        <v>0</v>
      </c>
      <c r="H11613" s="21" t="n">
        <v>0</v>
      </c>
      <c r="I11613" s="21" t="n">
        <v>0</v>
      </c>
      <c r="J11613" s="21" t="n">
        <v>0</v>
      </c>
      <c r="K11613" s="21" t="n">
        <v>0</v>
      </c>
      <c r="L11613" s="21" t="n">
        <v>0</v>
      </c>
      <c r="M11613" s="21" t="n">
        <v>0</v>
      </c>
      <c r="N11613" s="21" t="n">
        <v>0</v>
      </c>
      <c r="O11613" s="21" t="n">
        <v>0</v>
      </c>
      <c r="P11613" s="21" t="n">
        <v>0</v>
      </c>
      <c r="Q11613" s="21" t="n">
        <v>0</v>
      </c>
      <c r="R11613" s="21" t="n">
        <v>0</v>
      </c>
      <c r="S11613" s="21" t="n">
        <v>0</v>
      </c>
      <c r="T11613" s="21">
        <f>-$B$10476</f>
        <v/>
      </c>
      <c r="U11613" s="21">
        <f>-$B$10477</f>
        <v/>
      </c>
      <c r="V11613" s="21">
        <f>2*$B$10476+$D$11592</f>
        <v/>
      </c>
      <c r="W11613" s="21">
        <f>0</f>
        <v/>
      </c>
      <c r="X11613" s="21">
        <f>-$B$10476</f>
        <v/>
      </c>
      <c r="Y11613" s="21">
        <f>$B$10477</f>
        <v/>
      </c>
      <c r="Z11613" s="19" t="n"/>
    </row>
    <row r="11614">
      <c r="D11614" s="21" t="n">
        <v>0</v>
      </c>
      <c r="E11614" s="21" t="n">
        <v>0</v>
      </c>
      <c r="F11614" s="21" t="n">
        <v>0</v>
      </c>
      <c r="G11614" s="21" t="n">
        <v>0</v>
      </c>
      <c r="H11614" s="21" t="n">
        <v>0</v>
      </c>
      <c r="I11614" s="21" t="n">
        <v>0</v>
      </c>
      <c r="J11614" s="21" t="n">
        <v>0</v>
      </c>
      <c r="K11614" s="21" t="n">
        <v>0</v>
      </c>
      <c r="L11614" s="21" t="n">
        <v>0</v>
      </c>
      <c r="M11614" s="21" t="n">
        <v>0</v>
      </c>
      <c r="N11614" s="21" t="n">
        <v>0</v>
      </c>
      <c r="O11614" s="21" t="n">
        <v>0</v>
      </c>
      <c r="P11614" s="21" t="n">
        <v>0</v>
      </c>
      <c r="Q11614" s="21" t="n">
        <v>0</v>
      </c>
      <c r="R11614" s="21" t="n">
        <v>0</v>
      </c>
      <c r="S11614" s="21" t="n">
        <v>0</v>
      </c>
      <c r="T11614" s="21">
        <f>$B$10477</f>
        <v/>
      </c>
      <c r="U11614" s="21">
        <f>$B$10479</f>
        <v/>
      </c>
      <c r="V11614" s="21">
        <f>0</f>
        <v/>
      </c>
      <c r="W11614" s="21">
        <f>2*$B$10478</f>
        <v/>
      </c>
      <c r="X11614" s="21">
        <f>-$B$10477</f>
        <v/>
      </c>
      <c r="Y11614" s="21">
        <f>$B$10479</f>
        <v/>
      </c>
      <c r="Z11614" s="19" t="n"/>
    </row>
    <row r="11615">
      <c r="D11615" s="21" t="n">
        <v>0</v>
      </c>
      <c r="E11615" s="21" t="n">
        <v>0</v>
      </c>
      <c r="F11615" s="21" t="n">
        <v>0</v>
      </c>
      <c r="G11615" s="21" t="n">
        <v>0</v>
      </c>
      <c r="H11615" s="21" t="n">
        <v>0</v>
      </c>
      <c r="I11615" s="21" t="n">
        <v>0</v>
      </c>
      <c r="J11615" s="21" t="n">
        <v>0</v>
      </c>
      <c r="K11615" s="21" t="n">
        <v>0</v>
      </c>
      <c r="L11615" s="21" t="n">
        <v>0</v>
      </c>
      <c r="M11615" s="21" t="n">
        <v>0</v>
      </c>
      <c r="N11615" s="21" t="n">
        <v>0</v>
      </c>
      <c r="O11615" s="21" t="n">
        <v>0</v>
      </c>
      <c r="P11615" s="21" t="n">
        <v>0</v>
      </c>
      <c r="Q11615" s="21" t="n">
        <v>0</v>
      </c>
      <c r="R11615" s="21" t="n">
        <v>0</v>
      </c>
      <c r="S11615" s="21" t="n">
        <v>0</v>
      </c>
      <c r="T11615" s="21" t="n">
        <v>0</v>
      </c>
      <c r="U11615" s="21" t="n">
        <v>0</v>
      </c>
      <c r="V11615" s="21">
        <f>-$B$10476</f>
        <v/>
      </c>
      <c r="W11615" s="21">
        <f>-$B$10477</f>
        <v/>
      </c>
      <c r="X11615" s="21">
        <f>$B$10476+$D$11593</f>
        <v/>
      </c>
      <c r="Y11615" s="21">
        <f>-$B$10477</f>
        <v/>
      </c>
      <c r="Z11615" s="19" t="n"/>
    </row>
    <row r="11616">
      <c r="D11616" s="21" t="n">
        <v>0</v>
      </c>
      <c r="E11616" s="21" t="n">
        <v>0</v>
      </c>
      <c r="F11616" s="21" t="n">
        <v>0</v>
      </c>
      <c r="G11616" s="21" t="n">
        <v>0</v>
      </c>
      <c r="H11616" s="21" t="n">
        <v>0</v>
      </c>
      <c r="I11616" s="21" t="n">
        <v>0</v>
      </c>
      <c r="J11616" s="21" t="n">
        <v>0</v>
      </c>
      <c r="K11616" s="21" t="n">
        <v>0</v>
      </c>
      <c r="L11616" s="21" t="n">
        <v>0</v>
      </c>
      <c r="M11616" s="21" t="n">
        <v>0</v>
      </c>
      <c r="N11616" s="21" t="n">
        <v>0</v>
      </c>
      <c r="O11616" s="21" t="n">
        <v>0</v>
      </c>
      <c r="P11616" s="21" t="n">
        <v>0</v>
      </c>
      <c r="Q11616" s="21" t="n">
        <v>0</v>
      </c>
      <c r="R11616" s="21" t="n">
        <v>0</v>
      </c>
      <c r="S11616" s="21" t="n">
        <v>0</v>
      </c>
      <c r="T11616" s="21" t="n">
        <v>0</v>
      </c>
      <c r="U11616" s="21" t="n">
        <v>0</v>
      </c>
      <c r="V11616" s="21">
        <f>$B$10477</f>
        <v/>
      </c>
      <c r="W11616" s="21">
        <f>$B$10479</f>
        <v/>
      </c>
      <c r="X11616" s="21">
        <f>-$B$10477</f>
        <v/>
      </c>
      <c r="Y11616" s="21">
        <f>$B$10478</f>
        <v/>
      </c>
      <c r="Z11616" s="19" t="n"/>
    </row>
    <row r="11618">
      <c r="A11618" s="8" t="inlineStr">
        <is>
          <t>gen 31</t>
        </is>
      </c>
    </row>
    <row r="11619">
      <c r="D11619" s="19">
        <f>IF(ABS(IF(ABS($E$11583)&gt;0.000000001,$E$11583,0.000000001))=0,0,IF($E$10491&lt;=$B$10485,0,IF(ABS(IF(ABS($E$11583)&gt;0.000000001,$E$11583,0.000000001))&gt;=8*$B$10487,$H$10491,0.5*$H$10491*(ABS(IF(ABS($E$11583)&gt;0.000000001,$E$11583,0.000000001))/$B$10487)^(1/3)))/ABS(IF(ABS($E$11583)&gt;0.000000001,$E$11583,0.000000001))*$I$10491)</f>
        <v/>
      </c>
      <c r="E11619" s="19">
        <f>0.5*$E$11583+0.5*$Z$11631</f>
        <v/>
      </c>
      <c r="F11619" s="19">
        <f>$Z$11632</f>
        <v/>
      </c>
    </row>
    <row r="11620">
      <c r="D11620" s="19">
        <f>IF(ABS(IF(ABS($E$11584)&gt;0.000000001,$E$11584,0.000000001))=0,0,IF($E$10492&lt;=$B$10485,0,IF(ABS(IF(ABS($E$11584)&gt;0.000000001,$E$11584,0.000000001))&gt;=8*$B$10487,$H$10492,0.5*$H$10492*(ABS(IF(ABS($E$11584)&gt;0.000000001,$E$11584,0.000000001))/$B$10487)^(1/3)))/ABS(IF(ABS($E$11584)&gt;0.000000001,$E$11584,0.000000001))*$I$10492)</f>
        <v/>
      </c>
      <c r="E11620" s="19">
        <f>0.5*$E$11584+0.5*$Z$11633</f>
        <v/>
      </c>
      <c r="F11620" s="19">
        <f>$Z$11634</f>
        <v/>
      </c>
    </row>
    <row r="11621">
      <c r="D11621" s="19">
        <f>IF(ABS(IF(ABS($E$11585)&gt;0.000000001,$E$11585,0.000000001))=0,0,IF($E$10493&lt;=$B$10485,0,IF(ABS(IF(ABS($E$11585)&gt;0.000000001,$E$11585,0.000000001))&gt;=8*$B$10487,$H$10493,0.5*$H$10493*(ABS(IF(ABS($E$11585)&gt;0.000000001,$E$11585,0.000000001))/$B$10487)^(1/3)))/ABS(IF(ABS($E$11585)&gt;0.000000001,$E$11585,0.000000001))*$I$10493)</f>
        <v/>
      </c>
      <c r="E11621" s="19">
        <f>0.5*$E$11585+0.5*$Z$11635</f>
        <v/>
      </c>
      <c r="F11621" s="19">
        <f>$Z$11636</f>
        <v/>
      </c>
    </row>
    <row r="11622">
      <c r="D11622" s="19">
        <f>IF(ABS(IF(ABS($E$11586)&gt;0.000000001,$E$11586,0.000000001))=0,0,IF($E$10494&lt;=$B$10485,0,IF(ABS(IF(ABS($E$11586)&gt;0.000000001,$E$11586,0.000000001))&gt;=8*$B$10487,$H$10494,0.5*$H$10494*(ABS(IF(ABS($E$11586)&gt;0.000000001,$E$11586,0.000000001))/$B$10487)^(1/3)))/ABS(IF(ABS($E$11586)&gt;0.000000001,$E$11586,0.000000001))*$I$10494)</f>
        <v/>
      </c>
      <c r="E11622" s="19">
        <f>0.5*$E$11586+0.5*$Z$11637</f>
        <v/>
      </c>
      <c r="F11622" s="19">
        <f>$Z$11638</f>
        <v/>
      </c>
    </row>
    <row r="11623">
      <c r="D11623" s="19">
        <f>IF(ABS(IF(ABS($E$11587)&gt;0.000000001,$E$11587,0.000000001))=0,0,IF($E$10495&lt;=$B$10485,0,IF(ABS(IF(ABS($E$11587)&gt;0.000000001,$E$11587,0.000000001))&gt;=8*$B$10487,$H$10495,0.5*$H$10495*(ABS(IF(ABS($E$11587)&gt;0.000000001,$E$11587,0.000000001))/$B$10487)^(1/3)))/ABS(IF(ABS($E$11587)&gt;0.000000001,$E$11587,0.000000001))*$I$10495)</f>
        <v/>
      </c>
      <c r="E11623" s="19">
        <f>0.5*$E$11587+0.5*$Z$11639</f>
        <v/>
      </c>
      <c r="F11623" s="19">
        <f>$Z$11640</f>
        <v/>
      </c>
    </row>
    <row r="11624">
      <c r="D11624" s="19">
        <f>IF(ABS(IF(ABS($E$11588)&gt;0.000000001,$E$11588,0.000000001))=0,0,IF($E$10496&lt;=$B$10485,0,IF(ABS(IF(ABS($E$11588)&gt;0.000000001,$E$11588,0.000000001))&gt;=8*$B$10487,$H$10496,0.5*$H$10496*(ABS(IF(ABS($E$11588)&gt;0.000000001,$E$11588,0.000000001))/$B$10487)^(1/3)))/ABS(IF(ABS($E$11588)&gt;0.000000001,$E$11588,0.000000001))*$I$10496)</f>
        <v/>
      </c>
      <c r="E11624" s="19">
        <f>0.5*$E$11588+0.5*$Z$11641</f>
        <v/>
      </c>
      <c r="F11624" s="19">
        <f>$Z$11642</f>
        <v/>
      </c>
    </row>
    <row r="11625">
      <c r="D11625" s="19">
        <f>IF(ABS(IF(ABS($E$11589)&gt;0.000000001,$E$11589,0.000000001))=0,0,IF($E$10497&lt;=$B$10485,0,IF(ABS(IF(ABS($E$11589)&gt;0.000000001,$E$11589,0.000000001))&gt;=8*$B$10487,$H$10497,0.5*$H$10497*(ABS(IF(ABS($E$11589)&gt;0.000000001,$E$11589,0.000000001))/$B$10487)^(1/3)))/ABS(IF(ABS($E$11589)&gt;0.000000001,$E$11589,0.000000001))*$I$10497)</f>
        <v/>
      </c>
      <c r="E11625" s="19">
        <f>0.5*$E$11589+0.5*$Z$11643</f>
        <v/>
      </c>
      <c r="F11625" s="19">
        <f>$Z$11644</f>
        <v/>
      </c>
    </row>
    <row r="11626">
      <c r="D11626" s="19">
        <f>IF(ABS(IF(ABS($E$11590)&gt;0.000000001,$E$11590,0.000000001))=0,0,IF($E$10498&lt;=$B$10485,0,IF(ABS(IF(ABS($E$11590)&gt;0.000000001,$E$11590,0.000000001))&gt;=8*$B$10487,$H$10498,0.5*$H$10498*(ABS(IF(ABS($E$11590)&gt;0.000000001,$E$11590,0.000000001))/$B$10487)^(1/3)))/ABS(IF(ABS($E$11590)&gt;0.000000001,$E$11590,0.000000001))*$I$10498)</f>
        <v/>
      </c>
      <c r="E11626" s="19">
        <f>0.5*$E$11590+0.5*$Z$11645</f>
        <v/>
      </c>
      <c r="F11626" s="19">
        <f>$Z$11646</f>
        <v/>
      </c>
    </row>
    <row r="11627">
      <c r="D11627" s="19">
        <f>IF(ABS(IF(ABS($E$11591)&gt;0.000000001,$E$11591,0.000000001))=0,0,IF($E$10499&lt;=$B$10485,0,IF(ABS(IF(ABS($E$11591)&gt;0.000000001,$E$11591,0.000000001))&gt;=8*$B$10487,$H$10499,0.5*$H$10499*(ABS(IF(ABS($E$11591)&gt;0.000000001,$E$11591,0.000000001))/$B$10487)^(1/3)))/ABS(IF(ABS($E$11591)&gt;0.000000001,$E$11591,0.000000001))*$I$10499)</f>
        <v/>
      </c>
      <c r="E11627" s="19">
        <f>0.5*$E$11591+0.5*$Z$11647</f>
        <v/>
      </c>
      <c r="F11627" s="19">
        <f>$Z$11648</f>
        <v/>
      </c>
    </row>
    <row r="11628">
      <c r="D11628" s="19">
        <f>IF(ABS(IF(ABS($E$11592)&gt;0.000000001,$E$11592,0.000000001))=0,0,IF($E$10500&lt;=$B$10485,0,IF(ABS(IF(ABS($E$11592)&gt;0.000000001,$E$11592,0.000000001))&gt;=8*$B$10487,$H$10500,0.5*$H$10500*(ABS(IF(ABS($E$11592)&gt;0.000000001,$E$11592,0.000000001))/$B$10487)^(1/3)))/ABS(IF(ABS($E$11592)&gt;0.000000001,$E$11592,0.000000001))*$I$10500)</f>
        <v/>
      </c>
      <c r="E11628" s="19">
        <f>0.5*$E$11592+0.5*$Z$11649</f>
        <v/>
      </c>
      <c r="F11628" s="19">
        <f>$Z$11650</f>
        <v/>
      </c>
    </row>
    <row r="11629">
      <c r="D11629" s="19">
        <f>IF(ABS(IF(ABS($E$11593)&gt;0.000000001,$E$11593,0.000000001))=0,0,IF($E$10501&lt;=$B$10485,0,IF(ABS(IF(ABS($E$11593)&gt;0.000000001,$E$11593,0.000000001))&gt;=8*$B$10487,$H$10501,0.5*$H$10501*(ABS(IF(ABS($E$11593)&gt;0.000000001,$E$11593,0.000000001))/$B$10487)^(1/3)))/ABS(IF(ABS($E$11593)&gt;0.000000001,$E$11593,0.000000001))*$I$10501)</f>
        <v/>
      </c>
      <c r="E11629" s="19">
        <f>0.5*$E$11593+0.5*$Z$11651</f>
        <v/>
      </c>
      <c r="F11629" s="19">
        <f>$Z$11652</f>
        <v/>
      </c>
    </row>
    <row r="11631">
      <c r="D11631" s="21">
        <f>$B$10476+$D$11619</f>
        <v/>
      </c>
      <c r="E11631" s="21">
        <f>$B$10477</f>
        <v/>
      </c>
      <c r="F11631" s="21">
        <f>-$B$10476</f>
        <v/>
      </c>
      <c r="G11631" s="21">
        <f>$B$10477</f>
        <v/>
      </c>
      <c r="H11631" s="21" t="n">
        <v>0</v>
      </c>
      <c r="I11631" s="21" t="n">
        <v>0</v>
      </c>
      <c r="J11631" s="21" t="n">
        <v>0</v>
      </c>
      <c r="K11631" s="21" t="n">
        <v>0</v>
      </c>
      <c r="L11631" s="21" t="n">
        <v>0</v>
      </c>
      <c r="M11631" s="21" t="n">
        <v>0</v>
      </c>
      <c r="N11631" s="21" t="n">
        <v>0</v>
      </c>
      <c r="O11631" s="21" t="n">
        <v>0</v>
      </c>
      <c r="P11631" s="21" t="n">
        <v>0</v>
      </c>
      <c r="Q11631" s="21" t="n">
        <v>0</v>
      </c>
      <c r="R11631" s="21" t="n">
        <v>0</v>
      </c>
      <c r="S11631" s="21" t="n">
        <v>0</v>
      </c>
      <c r="T11631" s="21" t="n">
        <v>0</v>
      </c>
      <c r="U11631" s="21" t="n">
        <v>0</v>
      </c>
      <c r="V11631" s="21" t="n">
        <v>0</v>
      </c>
      <c r="W11631" s="21" t="n">
        <v>0</v>
      </c>
      <c r="X11631" s="21" t="n">
        <v>0</v>
      </c>
      <c r="Y11631" s="21" t="n">
        <v>0</v>
      </c>
      <c r="Z11631" s="19">
        <f t="array" ref="Z11631:Z11652">MMULT(MINVERSE($D$11631:$Y$11652),$D$10503:$D$10524)</f>
        <v/>
      </c>
    </row>
    <row r="11632">
      <c r="D11632" s="21">
        <f>$B$10477</f>
        <v/>
      </c>
      <c r="E11632" s="21">
        <f>$B$10478</f>
        <v/>
      </c>
      <c r="F11632" s="21">
        <f>-$B$10477</f>
        <v/>
      </c>
      <c r="G11632" s="21">
        <f>$B$10479</f>
        <v/>
      </c>
      <c r="H11632" s="21" t="n">
        <v>0</v>
      </c>
      <c r="I11632" s="21" t="n">
        <v>0</v>
      </c>
      <c r="J11632" s="21" t="n">
        <v>0</v>
      </c>
      <c r="K11632" s="21" t="n">
        <v>0</v>
      </c>
      <c r="L11632" s="21" t="n">
        <v>0</v>
      </c>
      <c r="M11632" s="21" t="n">
        <v>0</v>
      </c>
      <c r="N11632" s="21" t="n">
        <v>0</v>
      </c>
      <c r="O11632" s="21" t="n">
        <v>0</v>
      </c>
      <c r="P11632" s="21" t="n">
        <v>0</v>
      </c>
      <c r="Q11632" s="21" t="n">
        <v>0</v>
      </c>
      <c r="R11632" s="21" t="n">
        <v>0</v>
      </c>
      <c r="S11632" s="21" t="n">
        <v>0</v>
      </c>
      <c r="T11632" s="21" t="n">
        <v>0</v>
      </c>
      <c r="U11632" s="21" t="n">
        <v>0</v>
      </c>
      <c r="V11632" s="21" t="n">
        <v>0</v>
      </c>
      <c r="W11632" s="21" t="n">
        <v>0</v>
      </c>
      <c r="X11632" s="21" t="n">
        <v>0</v>
      </c>
      <c r="Y11632" s="21" t="n">
        <v>0</v>
      </c>
      <c r="Z11632" s="19" t="n"/>
    </row>
    <row r="11633">
      <c r="D11633" s="21">
        <f>-$B$10476</f>
        <v/>
      </c>
      <c r="E11633" s="21">
        <f>-$B$10477</f>
        <v/>
      </c>
      <c r="F11633" s="21">
        <f>2*$B$10476+$D$11620</f>
        <v/>
      </c>
      <c r="G11633" s="21">
        <f>0</f>
        <v/>
      </c>
      <c r="H11633" s="21">
        <f>-$B$10476</f>
        <v/>
      </c>
      <c r="I11633" s="21">
        <f>$B$10477</f>
        <v/>
      </c>
      <c r="J11633" s="21" t="n">
        <v>0</v>
      </c>
      <c r="K11633" s="21" t="n">
        <v>0</v>
      </c>
      <c r="L11633" s="21" t="n">
        <v>0</v>
      </c>
      <c r="M11633" s="21" t="n">
        <v>0</v>
      </c>
      <c r="N11633" s="21" t="n">
        <v>0</v>
      </c>
      <c r="O11633" s="21" t="n">
        <v>0</v>
      </c>
      <c r="P11633" s="21" t="n">
        <v>0</v>
      </c>
      <c r="Q11633" s="21" t="n">
        <v>0</v>
      </c>
      <c r="R11633" s="21" t="n">
        <v>0</v>
      </c>
      <c r="S11633" s="21" t="n">
        <v>0</v>
      </c>
      <c r="T11633" s="21" t="n">
        <v>0</v>
      </c>
      <c r="U11633" s="21" t="n">
        <v>0</v>
      </c>
      <c r="V11633" s="21" t="n">
        <v>0</v>
      </c>
      <c r="W11633" s="21" t="n">
        <v>0</v>
      </c>
      <c r="X11633" s="21" t="n">
        <v>0</v>
      </c>
      <c r="Y11633" s="21" t="n">
        <v>0</v>
      </c>
      <c r="Z11633" s="19" t="n"/>
    </row>
    <row r="11634">
      <c r="D11634" s="21">
        <f>$B$10477</f>
        <v/>
      </c>
      <c r="E11634" s="21">
        <f>$B$10479</f>
        <v/>
      </c>
      <c r="F11634" s="21">
        <f>0</f>
        <v/>
      </c>
      <c r="G11634" s="21">
        <f>2*$B$10478</f>
        <v/>
      </c>
      <c r="H11634" s="21">
        <f>-$B$10477</f>
        <v/>
      </c>
      <c r="I11634" s="21">
        <f>$B$10479</f>
        <v/>
      </c>
      <c r="J11634" s="21" t="n">
        <v>0</v>
      </c>
      <c r="K11634" s="21" t="n">
        <v>0</v>
      </c>
      <c r="L11634" s="21" t="n">
        <v>0</v>
      </c>
      <c r="M11634" s="21" t="n">
        <v>0</v>
      </c>
      <c r="N11634" s="21" t="n">
        <v>0</v>
      </c>
      <c r="O11634" s="21" t="n">
        <v>0</v>
      </c>
      <c r="P11634" s="21" t="n">
        <v>0</v>
      </c>
      <c r="Q11634" s="21" t="n">
        <v>0</v>
      </c>
      <c r="R11634" s="21" t="n">
        <v>0</v>
      </c>
      <c r="S11634" s="21" t="n">
        <v>0</v>
      </c>
      <c r="T11634" s="21" t="n">
        <v>0</v>
      </c>
      <c r="U11634" s="21" t="n">
        <v>0</v>
      </c>
      <c r="V11634" s="21" t="n">
        <v>0</v>
      </c>
      <c r="W11634" s="21" t="n">
        <v>0</v>
      </c>
      <c r="X11634" s="21" t="n">
        <v>0</v>
      </c>
      <c r="Y11634" s="21" t="n">
        <v>0</v>
      </c>
      <c r="Z11634" s="19" t="n"/>
    </row>
    <row r="11635">
      <c r="D11635" s="21" t="n">
        <v>0</v>
      </c>
      <c r="E11635" s="21" t="n">
        <v>0</v>
      </c>
      <c r="F11635" s="21">
        <f>-$B$10476</f>
        <v/>
      </c>
      <c r="G11635" s="21">
        <f>-$B$10477</f>
        <v/>
      </c>
      <c r="H11635" s="21">
        <f>2*$B$10476+$D$11621</f>
        <v/>
      </c>
      <c r="I11635" s="21">
        <f>0</f>
        <v/>
      </c>
      <c r="J11635" s="21">
        <f>-$B$10476</f>
        <v/>
      </c>
      <c r="K11635" s="21">
        <f>$B$10477</f>
        <v/>
      </c>
      <c r="L11635" s="21" t="n">
        <v>0</v>
      </c>
      <c r="M11635" s="21" t="n">
        <v>0</v>
      </c>
      <c r="N11635" s="21" t="n">
        <v>0</v>
      </c>
      <c r="O11635" s="21" t="n">
        <v>0</v>
      </c>
      <c r="P11635" s="21" t="n">
        <v>0</v>
      </c>
      <c r="Q11635" s="21" t="n">
        <v>0</v>
      </c>
      <c r="R11635" s="21" t="n">
        <v>0</v>
      </c>
      <c r="S11635" s="21" t="n">
        <v>0</v>
      </c>
      <c r="T11635" s="21" t="n">
        <v>0</v>
      </c>
      <c r="U11635" s="21" t="n">
        <v>0</v>
      </c>
      <c r="V11635" s="21" t="n">
        <v>0</v>
      </c>
      <c r="W11635" s="21" t="n">
        <v>0</v>
      </c>
      <c r="X11635" s="21" t="n">
        <v>0</v>
      </c>
      <c r="Y11635" s="21" t="n">
        <v>0</v>
      </c>
      <c r="Z11635" s="19" t="n"/>
    </row>
    <row r="11636">
      <c r="D11636" s="21" t="n">
        <v>0</v>
      </c>
      <c r="E11636" s="21" t="n">
        <v>0</v>
      </c>
      <c r="F11636" s="21">
        <f>$B$10477</f>
        <v/>
      </c>
      <c r="G11636" s="21">
        <f>$B$10479</f>
        <v/>
      </c>
      <c r="H11636" s="21">
        <f>0</f>
        <v/>
      </c>
      <c r="I11636" s="21">
        <f>2*$B$10478</f>
        <v/>
      </c>
      <c r="J11636" s="21">
        <f>-$B$10477</f>
        <v/>
      </c>
      <c r="K11636" s="21">
        <f>$B$10479</f>
        <v/>
      </c>
      <c r="L11636" s="21" t="n">
        <v>0</v>
      </c>
      <c r="M11636" s="21" t="n">
        <v>0</v>
      </c>
      <c r="N11636" s="21" t="n">
        <v>0</v>
      </c>
      <c r="O11636" s="21" t="n">
        <v>0</v>
      </c>
      <c r="P11636" s="21" t="n">
        <v>0</v>
      </c>
      <c r="Q11636" s="21" t="n">
        <v>0</v>
      </c>
      <c r="R11636" s="21" t="n">
        <v>0</v>
      </c>
      <c r="S11636" s="21" t="n">
        <v>0</v>
      </c>
      <c r="T11636" s="21" t="n">
        <v>0</v>
      </c>
      <c r="U11636" s="21" t="n">
        <v>0</v>
      </c>
      <c r="V11636" s="21" t="n">
        <v>0</v>
      </c>
      <c r="W11636" s="21" t="n">
        <v>0</v>
      </c>
      <c r="X11636" s="21" t="n">
        <v>0</v>
      </c>
      <c r="Y11636" s="21" t="n">
        <v>0</v>
      </c>
      <c r="Z11636" s="19" t="n"/>
    </row>
    <row r="11637">
      <c r="D11637" s="21" t="n">
        <v>0</v>
      </c>
      <c r="E11637" s="21" t="n">
        <v>0</v>
      </c>
      <c r="F11637" s="21" t="n">
        <v>0</v>
      </c>
      <c r="G11637" s="21" t="n">
        <v>0</v>
      </c>
      <c r="H11637" s="21">
        <f>-$B$10476</f>
        <v/>
      </c>
      <c r="I11637" s="21">
        <f>-$B$10477</f>
        <v/>
      </c>
      <c r="J11637" s="21">
        <f>2*$B$10476+$D$11622</f>
        <v/>
      </c>
      <c r="K11637" s="21">
        <f>0</f>
        <v/>
      </c>
      <c r="L11637" s="21">
        <f>-$B$10476</f>
        <v/>
      </c>
      <c r="M11637" s="21">
        <f>$B$10477</f>
        <v/>
      </c>
      <c r="N11637" s="21" t="n">
        <v>0</v>
      </c>
      <c r="O11637" s="21" t="n">
        <v>0</v>
      </c>
      <c r="P11637" s="21" t="n">
        <v>0</v>
      </c>
      <c r="Q11637" s="21" t="n">
        <v>0</v>
      </c>
      <c r="R11637" s="21" t="n">
        <v>0</v>
      </c>
      <c r="S11637" s="21" t="n">
        <v>0</v>
      </c>
      <c r="T11637" s="21" t="n">
        <v>0</v>
      </c>
      <c r="U11637" s="21" t="n">
        <v>0</v>
      </c>
      <c r="V11637" s="21" t="n">
        <v>0</v>
      </c>
      <c r="W11637" s="21" t="n">
        <v>0</v>
      </c>
      <c r="X11637" s="21" t="n">
        <v>0</v>
      </c>
      <c r="Y11637" s="21" t="n">
        <v>0</v>
      </c>
      <c r="Z11637" s="19" t="n"/>
    </row>
    <row r="11638">
      <c r="D11638" s="21" t="n">
        <v>0</v>
      </c>
      <c r="E11638" s="21" t="n">
        <v>0</v>
      </c>
      <c r="F11638" s="21" t="n">
        <v>0</v>
      </c>
      <c r="G11638" s="21" t="n">
        <v>0</v>
      </c>
      <c r="H11638" s="21">
        <f>$B$10477</f>
        <v/>
      </c>
      <c r="I11638" s="21">
        <f>$B$10479</f>
        <v/>
      </c>
      <c r="J11638" s="21">
        <f>0</f>
        <v/>
      </c>
      <c r="K11638" s="21">
        <f>2*$B$10478</f>
        <v/>
      </c>
      <c r="L11638" s="21">
        <f>-$B$10477</f>
        <v/>
      </c>
      <c r="M11638" s="21">
        <f>$B$10479</f>
        <v/>
      </c>
      <c r="N11638" s="21" t="n">
        <v>0</v>
      </c>
      <c r="O11638" s="21" t="n">
        <v>0</v>
      </c>
      <c r="P11638" s="21" t="n">
        <v>0</v>
      </c>
      <c r="Q11638" s="21" t="n">
        <v>0</v>
      </c>
      <c r="R11638" s="21" t="n">
        <v>0</v>
      </c>
      <c r="S11638" s="21" t="n">
        <v>0</v>
      </c>
      <c r="T11638" s="21" t="n">
        <v>0</v>
      </c>
      <c r="U11638" s="21" t="n">
        <v>0</v>
      </c>
      <c r="V11638" s="21" t="n">
        <v>0</v>
      </c>
      <c r="W11638" s="21" t="n">
        <v>0</v>
      </c>
      <c r="X11638" s="21" t="n">
        <v>0</v>
      </c>
      <c r="Y11638" s="21" t="n">
        <v>0</v>
      </c>
      <c r="Z11638" s="19" t="n"/>
    </row>
    <row r="11639">
      <c r="D11639" s="21" t="n">
        <v>0</v>
      </c>
      <c r="E11639" s="21" t="n">
        <v>0</v>
      </c>
      <c r="F11639" s="21" t="n">
        <v>0</v>
      </c>
      <c r="G11639" s="21" t="n">
        <v>0</v>
      </c>
      <c r="H11639" s="21" t="n">
        <v>0</v>
      </c>
      <c r="I11639" s="21" t="n">
        <v>0</v>
      </c>
      <c r="J11639" s="21">
        <f>-$B$10476</f>
        <v/>
      </c>
      <c r="K11639" s="21">
        <f>-$B$10477</f>
        <v/>
      </c>
      <c r="L11639" s="21">
        <f>2*$B$10476+$D$11623</f>
        <v/>
      </c>
      <c r="M11639" s="21">
        <f>0</f>
        <v/>
      </c>
      <c r="N11639" s="21">
        <f>-$B$10476</f>
        <v/>
      </c>
      <c r="O11639" s="21">
        <f>$B$10477</f>
        <v/>
      </c>
      <c r="P11639" s="21" t="n">
        <v>0</v>
      </c>
      <c r="Q11639" s="21" t="n">
        <v>0</v>
      </c>
      <c r="R11639" s="21" t="n">
        <v>0</v>
      </c>
      <c r="S11639" s="21" t="n">
        <v>0</v>
      </c>
      <c r="T11639" s="21" t="n">
        <v>0</v>
      </c>
      <c r="U11639" s="21" t="n">
        <v>0</v>
      </c>
      <c r="V11639" s="21" t="n">
        <v>0</v>
      </c>
      <c r="W11639" s="21" t="n">
        <v>0</v>
      </c>
      <c r="X11639" s="21" t="n">
        <v>0</v>
      </c>
      <c r="Y11639" s="21" t="n">
        <v>0</v>
      </c>
      <c r="Z11639" s="19" t="n"/>
    </row>
    <row r="11640">
      <c r="D11640" s="21" t="n">
        <v>0</v>
      </c>
      <c r="E11640" s="21" t="n">
        <v>0</v>
      </c>
      <c r="F11640" s="21" t="n">
        <v>0</v>
      </c>
      <c r="G11640" s="21" t="n">
        <v>0</v>
      </c>
      <c r="H11640" s="21" t="n">
        <v>0</v>
      </c>
      <c r="I11640" s="21" t="n">
        <v>0</v>
      </c>
      <c r="J11640" s="21">
        <f>$B$10477</f>
        <v/>
      </c>
      <c r="K11640" s="21">
        <f>$B$10479</f>
        <v/>
      </c>
      <c r="L11640" s="21">
        <f>0</f>
        <v/>
      </c>
      <c r="M11640" s="21">
        <f>2*$B$10478</f>
        <v/>
      </c>
      <c r="N11640" s="21">
        <f>-$B$10477</f>
        <v/>
      </c>
      <c r="O11640" s="21">
        <f>$B$10479</f>
        <v/>
      </c>
      <c r="P11640" s="21" t="n">
        <v>0</v>
      </c>
      <c r="Q11640" s="21" t="n">
        <v>0</v>
      </c>
      <c r="R11640" s="21" t="n">
        <v>0</v>
      </c>
      <c r="S11640" s="21" t="n">
        <v>0</v>
      </c>
      <c r="T11640" s="21" t="n">
        <v>0</v>
      </c>
      <c r="U11640" s="21" t="n">
        <v>0</v>
      </c>
      <c r="V11640" s="21" t="n">
        <v>0</v>
      </c>
      <c r="W11640" s="21" t="n">
        <v>0</v>
      </c>
      <c r="X11640" s="21" t="n">
        <v>0</v>
      </c>
      <c r="Y11640" s="21" t="n">
        <v>0</v>
      </c>
      <c r="Z11640" s="19" t="n"/>
    </row>
    <row r="11641">
      <c r="D11641" s="21" t="n">
        <v>0</v>
      </c>
      <c r="E11641" s="21" t="n">
        <v>0</v>
      </c>
      <c r="F11641" s="21" t="n">
        <v>0</v>
      </c>
      <c r="G11641" s="21" t="n">
        <v>0</v>
      </c>
      <c r="H11641" s="21" t="n">
        <v>0</v>
      </c>
      <c r="I11641" s="21" t="n">
        <v>0</v>
      </c>
      <c r="J11641" s="21" t="n">
        <v>0</v>
      </c>
      <c r="K11641" s="21" t="n">
        <v>0</v>
      </c>
      <c r="L11641" s="21">
        <f>-$B$10476</f>
        <v/>
      </c>
      <c r="M11641" s="21">
        <f>-$B$10477</f>
        <v/>
      </c>
      <c r="N11641" s="21">
        <f>2*$B$10476+$D$11624</f>
        <v/>
      </c>
      <c r="O11641" s="21">
        <f>0</f>
        <v/>
      </c>
      <c r="P11641" s="21">
        <f>-$B$10476</f>
        <v/>
      </c>
      <c r="Q11641" s="21">
        <f>$B$10477</f>
        <v/>
      </c>
      <c r="R11641" s="21" t="n">
        <v>0</v>
      </c>
      <c r="S11641" s="21" t="n">
        <v>0</v>
      </c>
      <c r="T11641" s="21" t="n">
        <v>0</v>
      </c>
      <c r="U11641" s="21" t="n">
        <v>0</v>
      </c>
      <c r="V11641" s="21" t="n">
        <v>0</v>
      </c>
      <c r="W11641" s="21" t="n">
        <v>0</v>
      </c>
      <c r="X11641" s="21" t="n">
        <v>0</v>
      </c>
      <c r="Y11641" s="21" t="n">
        <v>0</v>
      </c>
      <c r="Z11641" s="19" t="n"/>
    </row>
    <row r="11642">
      <c r="D11642" s="21" t="n">
        <v>0</v>
      </c>
      <c r="E11642" s="21" t="n">
        <v>0</v>
      </c>
      <c r="F11642" s="21" t="n">
        <v>0</v>
      </c>
      <c r="G11642" s="21" t="n">
        <v>0</v>
      </c>
      <c r="H11642" s="21" t="n">
        <v>0</v>
      </c>
      <c r="I11642" s="21" t="n">
        <v>0</v>
      </c>
      <c r="J11642" s="21" t="n">
        <v>0</v>
      </c>
      <c r="K11642" s="21" t="n">
        <v>0</v>
      </c>
      <c r="L11642" s="21">
        <f>$B$10477</f>
        <v/>
      </c>
      <c r="M11642" s="21">
        <f>$B$10479</f>
        <v/>
      </c>
      <c r="N11642" s="21">
        <f>0</f>
        <v/>
      </c>
      <c r="O11642" s="21">
        <f>2*$B$10478</f>
        <v/>
      </c>
      <c r="P11642" s="21">
        <f>-$B$10477</f>
        <v/>
      </c>
      <c r="Q11642" s="21">
        <f>$B$10479</f>
        <v/>
      </c>
      <c r="R11642" s="21" t="n">
        <v>0</v>
      </c>
      <c r="S11642" s="21" t="n">
        <v>0</v>
      </c>
      <c r="T11642" s="21" t="n">
        <v>0</v>
      </c>
      <c r="U11642" s="21" t="n">
        <v>0</v>
      </c>
      <c r="V11642" s="21" t="n">
        <v>0</v>
      </c>
      <c r="W11642" s="21" t="n">
        <v>0</v>
      </c>
      <c r="X11642" s="21" t="n">
        <v>0</v>
      </c>
      <c r="Y11642" s="21" t="n">
        <v>0</v>
      </c>
      <c r="Z11642" s="19" t="n"/>
    </row>
    <row r="11643">
      <c r="D11643" s="21" t="n">
        <v>0</v>
      </c>
      <c r="E11643" s="21" t="n">
        <v>0</v>
      </c>
      <c r="F11643" s="21" t="n">
        <v>0</v>
      </c>
      <c r="G11643" s="21" t="n">
        <v>0</v>
      </c>
      <c r="H11643" s="21" t="n">
        <v>0</v>
      </c>
      <c r="I11643" s="21" t="n">
        <v>0</v>
      </c>
      <c r="J11643" s="21" t="n">
        <v>0</v>
      </c>
      <c r="K11643" s="21" t="n">
        <v>0</v>
      </c>
      <c r="L11643" s="21" t="n">
        <v>0</v>
      </c>
      <c r="M11643" s="21" t="n">
        <v>0</v>
      </c>
      <c r="N11643" s="21">
        <f>-$B$10476</f>
        <v/>
      </c>
      <c r="O11643" s="21">
        <f>-$B$10477</f>
        <v/>
      </c>
      <c r="P11643" s="21">
        <f>2*$B$10476+$D$11625</f>
        <v/>
      </c>
      <c r="Q11643" s="21">
        <f>0</f>
        <v/>
      </c>
      <c r="R11643" s="21">
        <f>-$B$10476</f>
        <v/>
      </c>
      <c r="S11643" s="21">
        <f>$B$10477</f>
        <v/>
      </c>
      <c r="T11643" s="21" t="n">
        <v>0</v>
      </c>
      <c r="U11643" s="21" t="n">
        <v>0</v>
      </c>
      <c r="V11643" s="21" t="n">
        <v>0</v>
      </c>
      <c r="W11643" s="21" t="n">
        <v>0</v>
      </c>
      <c r="X11643" s="21" t="n">
        <v>0</v>
      </c>
      <c r="Y11643" s="21" t="n">
        <v>0</v>
      </c>
      <c r="Z11643" s="19" t="n"/>
    </row>
    <row r="11644">
      <c r="D11644" s="21" t="n">
        <v>0</v>
      </c>
      <c r="E11644" s="21" t="n">
        <v>0</v>
      </c>
      <c r="F11644" s="21" t="n">
        <v>0</v>
      </c>
      <c r="G11644" s="21" t="n">
        <v>0</v>
      </c>
      <c r="H11644" s="21" t="n">
        <v>0</v>
      </c>
      <c r="I11644" s="21" t="n">
        <v>0</v>
      </c>
      <c r="J11644" s="21" t="n">
        <v>0</v>
      </c>
      <c r="K11644" s="21" t="n">
        <v>0</v>
      </c>
      <c r="L11644" s="21" t="n">
        <v>0</v>
      </c>
      <c r="M11644" s="21" t="n">
        <v>0</v>
      </c>
      <c r="N11644" s="21">
        <f>$B$10477</f>
        <v/>
      </c>
      <c r="O11644" s="21">
        <f>$B$10479</f>
        <v/>
      </c>
      <c r="P11644" s="21">
        <f>0</f>
        <v/>
      </c>
      <c r="Q11644" s="21">
        <f>2*$B$10478</f>
        <v/>
      </c>
      <c r="R11644" s="21">
        <f>-$B$10477</f>
        <v/>
      </c>
      <c r="S11644" s="21">
        <f>$B$10479</f>
        <v/>
      </c>
      <c r="T11644" s="21" t="n">
        <v>0</v>
      </c>
      <c r="U11644" s="21" t="n">
        <v>0</v>
      </c>
      <c r="V11644" s="21" t="n">
        <v>0</v>
      </c>
      <c r="W11644" s="21" t="n">
        <v>0</v>
      </c>
      <c r="X11644" s="21" t="n">
        <v>0</v>
      </c>
      <c r="Y11644" s="21" t="n">
        <v>0</v>
      </c>
      <c r="Z11644" s="19" t="n"/>
    </row>
    <row r="11645">
      <c r="D11645" s="21" t="n">
        <v>0</v>
      </c>
      <c r="E11645" s="21" t="n">
        <v>0</v>
      </c>
      <c r="F11645" s="21" t="n">
        <v>0</v>
      </c>
      <c r="G11645" s="21" t="n">
        <v>0</v>
      </c>
      <c r="H11645" s="21" t="n">
        <v>0</v>
      </c>
      <c r="I11645" s="21" t="n">
        <v>0</v>
      </c>
      <c r="J11645" s="21" t="n">
        <v>0</v>
      </c>
      <c r="K11645" s="21" t="n">
        <v>0</v>
      </c>
      <c r="L11645" s="21" t="n">
        <v>0</v>
      </c>
      <c r="M11645" s="21" t="n">
        <v>0</v>
      </c>
      <c r="N11645" s="21" t="n">
        <v>0</v>
      </c>
      <c r="O11645" s="21" t="n">
        <v>0</v>
      </c>
      <c r="P11645" s="21">
        <f>-$B$10476</f>
        <v/>
      </c>
      <c r="Q11645" s="21">
        <f>-$B$10477</f>
        <v/>
      </c>
      <c r="R11645" s="21">
        <f>2*$B$10476+$D$11626</f>
        <v/>
      </c>
      <c r="S11645" s="21">
        <f>0</f>
        <v/>
      </c>
      <c r="T11645" s="21">
        <f>-$B$10476</f>
        <v/>
      </c>
      <c r="U11645" s="21">
        <f>$B$10477</f>
        <v/>
      </c>
      <c r="V11645" s="21" t="n">
        <v>0</v>
      </c>
      <c r="W11645" s="21" t="n">
        <v>0</v>
      </c>
      <c r="X11645" s="21" t="n">
        <v>0</v>
      </c>
      <c r="Y11645" s="21" t="n">
        <v>0</v>
      </c>
      <c r="Z11645" s="19" t="n"/>
    </row>
    <row r="11646">
      <c r="D11646" s="21" t="n">
        <v>0</v>
      </c>
      <c r="E11646" s="21" t="n">
        <v>0</v>
      </c>
      <c r="F11646" s="21" t="n">
        <v>0</v>
      </c>
      <c r="G11646" s="21" t="n">
        <v>0</v>
      </c>
      <c r="H11646" s="21" t="n">
        <v>0</v>
      </c>
      <c r="I11646" s="21" t="n">
        <v>0</v>
      </c>
      <c r="J11646" s="21" t="n">
        <v>0</v>
      </c>
      <c r="K11646" s="21" t="n">
        <v>0</v>
      </c>
      <c r="L11646" s="21" t="n">
        <v>0</v>
      </c>
      <c r="M11646" s="21" t="n">
        <v>0</v>
      </c>
      <c r="N11646" s="21" t="n">
        <v>0</v>
      </c>
      <c r="O11646" s="21" t="n">
        <v>0</v>
      </c>
      <c r="P11646" s="21">
        <f>$B$10477</f>
        <v/>
      </c>
      <c r="Q11646" s="21">
        <f>$B$10479</f>
        <v/>
      </c>
      <c r="R11646" s="21">
        <f>0</f>
        <v/>
      </c>
      <c r="S11646" s="21">
        <f>2*$B$10478</f>
        <v/>
      </c>
      <c r="T11646" s="21">
        <f>-$B$10477</f>
        <v/>
      </c>
      <c r="U11646" s="21">
        <f>$B$10479</f>
        <v/>
      </c>
      <c r="V11646" s="21" t="n">
        <v>0</v>
      </c>
      <c r="W11646" s="21" t="n">
        <v>0</v>
      </c>
      <c r="X11646" s="21" t="n">
        <v>0</v>
      </c>
      <c r="Y11646" s="21" t="n">
        <v>0</v>
      </c>
      <c r="Z11646" s="19" t="n"/>
    </row>
    <row r="11647">
      <c r="D11647" s="21" t="n">
        <v>0</v>
      </c>
      <c r="E11647" s="21" t="n">
        <v>0</v>
      </c>
      <c r="F11647" s="21" t="n">
        <v>0</v>
      </c>
      <c r="G11647" s="21" t="n">
        <v>0</v>
      </c>
      <c r="H11647" s="21" t="n">
        <v>0</v>
      </c>
      <c r="I11647" s="21" t="n">
        <v>0</v>
      </c>
      <c r="J11647" s="21" t="n">
        <v>0</v>
      </c>
      <c r="K11647" s="21" t="n">
        <v>0</v>
      </c>
      <c r="L11647" s="21" t="n">
        <v>0</v>
      </c>
      <c r="M11647" s="21" t="n">
        <v>0</v>
      </c>
      <c r="N11647" s="21" t="n">
        <v>0</v>
      </c>
      <c r="O11647" s="21" t="n">
        <v>0</v>
      </c>
      <c r="P11647" s="21" t="n">
        <v>0</v>
      </c>
      <c r="Q11647" s="21" t="n">
        <v>0</v>
      </c>
      <c r="R11647" s="21">
        <f>-$B$10476</f>
        <v/>
      </c>
      <c r="S11647" s="21">
        <f>-$B$10477</f>
        <v/>
      </c>
      <c r="T11647" s="21">
        <f>2*$B$10476+$D$11627</f>
        <v/>
      </c>
      <c r="U11647" s="21">
        <f>0</f>
        <v/>
      </c>
      <c r="V11647" s="21">
        <f>-$B$10476</f>
        <v/>
      </c>
      <c r="W11647" s="21">
        <f>$B$10477</f>
        <v/>
      </c>
      <c r="X11647" s="21" t="n">
        <v>0</v>
      </c>
      <c r="Y11647" s="21" t="n">
        <v>0</v>
      </c>
      <c r="Z11647" s="19" t="n"/>
    </row>
    <row r="11648">
      <c r="D11648" s="21" t="n">
        <v>0</v>
      </c>
      <c r="E11648" s="21" t="n">
        <v>0</v>
      </c>
      <c r="F11648" s="21" t="n">
        <v>0</v>
      </c>
      <c r="G11648" s="21" t="n">
        <v>0</v>
      </c>
      <c r="H11648" s="21" t="n">
        <v>0</v>
      </c>
      <c r="I11648" s="21" t="n">
        <v>0</v>
      </c>
      <c r="J11648" s="21" t="n">
        <v>0</v>
      </c>
      <c r="K11648" s="21" t="n">
        <v>0</v>
      </c>
      <c r="L11648" s="21" t="n">
        <v>0</v>
      </c>
      <c r="M11648" s="21" t="n">
        <v>0</v>
      </c>
      <c r="N11648" s="21" t="n">
        <v>0</v>
      </c>
      <c r="O11648" s="21" t="n">
        <v>0</v>
      </c>
      <c r="P11648" s="21" t="n">
        <v>0</v>
      </c>
      <c r="Q11648" s="21" t="n">
        <v>0</v>
      </c>
      <c r="R11648" s="21">
        <f>$B$10477</f>
        <v/>
      </c>
      <c r="S11648" s="21">
        <f>$B$10479</f>
        <v/>
      </c>
      <c r="T11648" s="21">
        <f>0</f>
        <v/>
      </c>
      <c r="U11648" s="21">
        <f>2*$B$10478</f>
        <v/>
      </c>
      <c r="V11648" s="21">
        <f>-$B$10477</f>
        <v/>
      </c>
      <c r="W11648" s="21">
        <f>$B$10479</f>
        <v/>
      </c>
      <c r="X11648" s="21" t="n">
        <v>0</v>
      </c>
      <c r="Y11648" s="21" t="n">
        <v>0</v>
      </c>
      <c r="Z11648" s="19" t="n"/>
    </row>
    <row r="11649">
      <c r="D11649" s="21" t="n">
        <v>0</v>
      </c>
      <c r="E11649" s="21" t="n">
        <v>0</v>
      </c>
      <c r="F11649" s="21" t="n">
        <v>0</v>
      </c>
      <c r="G11649" s="21" t="n">
        <v>0</v>
      </c>
      <c r="H11649" s="21" t="n">
        <v>0</v>
      </c>
      <c r="I11649" s="21" t="n">
        <v>0</v>
      </c>
      <c r="J11649" s="21" t="n">
        <v>0</v>
      </c>
      <c r="K11649" s="21" t="n">
        <v>0</v>
      </c>
      <c r="L11649" s="21" t="n">
        <v>0</v>
      </c>
      <c r="M11649" s="21" t="n">
        <v>0</v>
      </c>
      <c r="N11649" s="21" t="n">
        <v>0</v>
      </c>
      <c r="O11649" s="21" t="n">
        <v>0</v>
      </c>
      <c r="P11649" s="21" t="n">
        <v>0</v>
      </c>
      <c r="Q11649" s="21" t="n">
        <v>0</v>
      </c>
      <c r="R11649" s="21" t="n">
        <v>0</v>
      </c>
      <c r="S11649" s="21" t="n">
        <v>0</v>
      </c>
      <c r="T11649" s="21">
        <f>-$B$10476</f>
        <v/>
      </c>
      <c r="U11649" s="21">
        <f>-$B$10477</f>
        <v/>
      </c>
      <c r="V11649" s="21">
        <f>2*$B$10476+$D$11628</f>
        <v/>
      </c>
      <c r="W11649" s="21">
        <f>0</f>
        <v/>
      </c>
      <c r="X11649" s="21">
        <f>-$B$10476</f>
        <v/>
      </c>
      <c r="Y11649" s="21">
        <f>$B$10477</f>
        <v/>
      </c>
      <c r="Z11649" s="19" t="n"/>
    </row>
    <row r="11650">
      <c r="D11650" s="21" t="n">
        <v>0</v>
      </c>
      <c r="E11650" s="21" t="n">
        <v>0</v>
      </c>
      <c r="F11650" s="21" t="n">
        <v>0</v>
      </c>
      <c r="G11650" s="21" t="n">
        <v>0</v>
      </c>
      <c r="H11650" s="21" t="n">
        <v>0</v>
      </c>
      <c r="I11650" s="21" t="n">
        <v>0</v>
      </c>
      <c r="J11650" s="21" t="n">
        <v>0</v>
      </c>
      <c r="K11650" s="21" t="n">
        <v>0</v>
      </c>
      <c r="L11650" s="21" t="n">
        <v>0</v>
      </c>
      <c r="M11650" s="21" t="n">
        <v>0</v>
      </c>
      <c r="N11650" s="21" t="n">
        <v>0</v>
      </c>
      <c r="O11650" s="21" t="n">
        <v>0</v>
      </c>
      <c r="P11650" s="21" t="n">
        <v>0</v>
      </c>
      <c r="Q11650" s="21" t="n">
        <v>0</v>
      </c>
      <c r="R11650" s="21" t="n">
        <v>0</v>
      </c>
      <c r="S11650" s="21" t="n">
        <v>0</v>
      </c>
      <c r="T11650" s="21">
        <f>$B$10477</f>
        <v/>
      </c>
      <c r="U11650" s="21">
        <f>$B$10479</f>
        <v/>
      </c>
      <c r="V11650" s="21">
        <f>0</f>
        <v/>
      </c>
      <c r="W11650" s="21">
        <f>2*$B$10478</f>
        <v/>
      </c>
      <c r="X11650" s="21">
        <f>-$B$10477</f>
        <v/>
      </c>
      <c r="Y11650" s="21">
        <f>$B$10479</f>
        <v/>
      </c>
      <c r="Z11650" s="19" t="n"/>
    </row>
    <row r="11651">
      <c r="D11651" s="21" t="n">
        <v>0</v>
      </c>
      <c r="E11651" s="21" t="n">
        <v>0</v>
      </c>
      <c r="F11651" s="21" t="n">
        <v>0</v>
      </c>
      <c r="G11651" s="21" t="n">
        <v>0</v>
      </c>
      <c r="H11651" s="21" t="n">
        <v>0</v>
      </c>
      <c r="I11651" s="21" t="n">
        <v>0</v>
      </c>
      <c r="J11651" s="21" t="n">
        <v>0</v>
      </c>
      <c r="K11651" s="21" t="n">
        <v>0</v>
      </c>
      <c r="L11651" s="21" t="n">
        <v>0</v>
      </c>
      <c r="M11651" s="21" t="n">
        <v>0</v>
      </c>
      <c r="N11651" s="21" t="n">
        <v>0</v>
      </c>
      <c r="O11651" s="21" t="n">
        <v>0</v>
      </c>
      <c r="P11651" s="21" t="n">
        <v>0</v>
      </c>
      <c r="Q11651" s="21" t="n">
        <v>0</v>
      </c>
      <c r="R11651" s="21" t="n">
        <v>0</v>
      </c>
      <c r="S11651" s="21" t="n">
        <v>0</v>
      </c>
      <c r="T11651" s="21" t="n">
        <v>0</v>
      </c>
      <c r="U11651" s="21" t="n">
        <v>0</v>
      </c>
      <c r="V11651" s="21">
        <f>-$B$10476</f>
        <v/>
      </c>
      <c r="W11651" s="21">
        <f>-$B$10477</f>
        <v/>
      </c>
      <c r="X11651" s="21">
        <f>$B$10476+$D$11629</f>
        <v/>
      </c>
      <c r="Y11651" s="21">
        <f>-$B$10477</f>
        <v/>
      </c>
      <c r="Z11651" s="19" t="n"/>
    </row>
    <row r="11652">
      <c r="D11652" s="21" t="n">
        <v>0</v>
      </c>
      <c r="E11652" s="21" t="n">
        <v>0</v>
      </c>
      <c r="F11652" s="21" t="n">
        <v>0</v>
      </c>
      <c r="G11652" s="21" t="n">
        <v>0</v>
      </c>
      <c r="H11652" s="21" t="n">
        <v>0</v>
      </c>
      <c r="I11652" s="21" t="n">
        <v>0</v>
      </c>
      <c r="J11652" s="21" t="n">
        <v>0</v>
      </c>
      <c r="K11652" s="21" t="n">
        <v>0</v>
      </c>
      <c r="L11652" s="21" t="n">
        <v>0</v>
      </c>
      <c r="M11652" s="21" t="n">
        <v>0</v>
      </c>
      <c r="N11652" s="21" t="n">
        <v>0</v>
      </c>
      <c r="O11652" s="21" t="n">
        <v>0</v>
      </c>
      <c r="P11652" s="21" t="n">
        <v>0</v>
      </c>
      <c r="Q11652" s="21" t="n">
        <v>0</v>
      </c>
      <c r="R11652" s="21" t="n">
        <v>0</v>
      </c>
      <c r="S11652" s="21" t="n">
        <v>0</v>
      </c>
      <c r="T11652" s="21" t="n">
        <v>0</v>
      </c>
      <c r="U11652" s="21" t="n">
        <v>0</v>
      </c>
      <c r="V11652" s="21">
        <f>$B$10477</f>
        <v/>
      </c>
      <c r="W11652" s="21">
        <f>$B$10479</f>
        <v/>
      </c>
      <c r="X11652" s="21">
        <f>-$B$10477</f>
        <v/>
      </c>
      <c r="Y11652" s="21">
        <f>$B$10478</f>
        <v/>
      </c>
      <c r="Z11652" s="19" t="n"/>
    </row>
    <row r="11654">
      <c r="A11654" s="8" t="inlineStr">
        <is>
          <t>gen 32</t>
        </is>
      </c>
    </row>
    <row r="11655">
      <c r="D11655" s="19">
        <f>IF(ABS(IF(ABS($E$11619)&gt;0.000000001,$E$11619,0.000000001))=0,0,IF($E$10491&lt;=$B$10485,0,IF(ABS(IF(ABS($E$11619)&gt;0.000000001,$E$11619,0.000000001))&gt;=8*$B$10487,$H$10491,0.5*$H$10491*(ABS(IF(ABS($E$11619)&gt;0.000000001,$E$11619,0.000000001))/$B$10487)^(1/3)))/ABS(IF(ABS($E$11619)&gt;0.000000001,$E$11619,0.000000001))*$I$10491)</f>
        <v/>
      </c>
      <c r="E11655" s="19">
        <f>0.5*$E$11619+0.5*$Z$11667</f>
        <v/>
      </c>
      <c r="F11655" s="19">
        <f>$Z$11668</f>
        <v/>
      </c>
    </row>
    <row r="11656">
      <c r="D11656" s="19">
        <f>IF(ABS(IF(ABS($E$11620)&gt;0.000000001,$E$11620,0.000000001))=0,0,IF($E$10492&lt;=$B$10485,0,IF(ABS(IF(ABS($E$11620)&gt;0.000000001,$E$11620,0.000000001))&gt;=8*$B$10487,$H$10492,0.5*$H$10492*(ABS(IF(ABS($E$11620)&gt;0.000000001,$E$11620,0.000000001))/$B$10487)^(1/3)))/ABS(IF(ABS($E$11620)&gt;0.000000001,$E$11620,0.000000001))*$I$10492)</f>
        <v/>
      </c>
      <c r="E11656" s="19">
        <f>0.5*$E$11620+0.5*$Z$11669</f>
        <v/>
      </c>
      <c r="F11656" s="19">
        <f>$Z$11670</f>
        <v/>
      </c>
    </row>
    <row r="11657">
      <c r="D11657" s="19">
        <f>IF(ABS(IF(ABS($E$11621)&gt;0.000000001,$E$11621,0.000000001))=0,0,IF($E$10493&lt;=$B$10485,0,IF(ABS(IF(ABS($E$11621)&gt;0.000000001,$E$11621,0.000000001))&gt;=8*$B$10487,$H$10493,0.5*$H$10493*(ABS(IF(ABS($E$11621)&gt;0.000000001,$E$11621,0.000000001))/$B$10487)^(1/3)))/ABS(IF(ABS($E$11621)&gt;0.000000001,$E$11621,0.000000001))*$I$10493)</f>
        <v/>
      </c>
      <c r="E11657" s="19">
        <f>0.5*$E$11621+0.5*$Z$11671</f>
        <v/>
      </c>
      <c r="F11657" s="19">
        <f>$Z$11672</f>
        <v/>
      </c>
    </row>
    <row r="11658">
      <c r="D11658" s="19">
        <f>IF(ABS(IF(ABS($E$11622)&gt;0.000000001,$E$11622,0.000000001))=0,0,IF($E$10494&lt;=$B$10485,0,IF(ABS(IF(ABS($E$11622)&gt;0.000000001,$E$11622,0.000000001))&gt;=8*$B$10487,$H$10494,0.5*$H$10494*(ABS(IF(ABS($E$11622)&gt;0.000000001,$E$11622,0.000000001))/$B$10487)^(1/3)))/ABS(IF(ABS($E$11622)&gt;0.000000001,$E$11622,0.000000001))*$I$10494)</f>
        <v/>
      </c>
      <c r="E11658" s="19">
        <f>0.5*$E$11622+0.5*$Z$11673</f>
        <v/>
      </c>
      <c r="F11658" s="19">
        <f>$Z$11674</f>
        <v/>
      </c>
    </row>
    <row r="11659">
      <c r="D11659" s="19">
        <f>IF(ABS(IF(ABS($E$11623)&gt;0.000000001,$E$11623,0.000000001))=0,0,IF($E$10495&lt;=$B$10485,0,IF(ABS(IF(ABS($E$11623)&gt;0.000000001,$E$11623,0.000000001))&gt;=8*$B$10487,$H$10495,0.5*$H$10495*(ABS(IF(ABS($E$11623)&gt;0.000000001,$E$11623,0.000000001))/$B$10487)^(1/3)))/ABS(IF(ABS($E$11623)&gt;0.000000001,$E$11623,0.000000001))*$I$10495)</f>
        <v/>
      </c>
      <c r="E11659" s="19">
        <f>0.5*$E$11623+0.5*$Z$11675</f>
        <v/>
      </c>
      <c r="F11659" s="19">
        <f>$Z$11676</f>
        <v/>
      </c>
    </row>
    <row r="11660">
      <c r="D11660" s="19">
        <f>IF(ABS(IF(ABS($E$11624)&gt;0.000000001,$E$11624,0.000000001))=0,0,IF($E$10496&lt;=$B$10485,0,IF(ABS(IF(ABS($E$11624)&gt;0.000000001,$E$11624,0.000000001))&gt;=8*$B$10487,$H$10496,0.5*$H$10496*(ABS(IF(ABS($E$11624)&gt;0.000000001,$E$11624,0.000000001))/$B$10487)^(1/3)))/ABS(IF(ABS($E$11624)&gt;0.000000001,$E$11624,0.000000001))*$I$10496)</f>
        <v/>
      </c>
      <c r="E11660" s="19">
        <f>0.5*$E$11624+0.5*$Z$11677</f>
        <v/>
      </c>
      <c r="F11660" s="19">
        <f>$Z$11678</f>
        <v/>
      </c>
    </row>
    <row r="11661">
      <c r="D11661" s="19">
        <f>IF(ABS(IF(ABS($E$11625)&gt;0.000000001,$E$11625,0.000000001))=0,0,IF($E$10497&lt;=$B$10485,0,IF(ABS(IF(ABS($E$11625)&gt;0.000000001,$E$11625,0.000000001))&gt;=8*$B$10487,$H$10497,0.5*$H$10497*(ABS(IF(ABS($E$11625)&gt;0.000000001,$E$11625,0.000000001))/$B$10487)^(1/3)))/ABS(IF(ABS($E$11625)&gt;0.000000001,$E$11625,0.000000001))*$I$10497)</f>
        <v/>
      </c>
      <c r="E11661" s="19">
        <f>0.5*$E$11625+0.5*$Z$11679</f>
        <v/>
      </c>
      <c r="F11661" s="19">
        <f>$Z$11680</f>
        <v/>
      </c>
    </row>
    <row r="11662">
      <c r="D11662" s="19">
        <f>IF(ABS(IF(ABS($E$11626)&gt;0.000000001,$E$11626,0.000000001))=0,0,IF($E$10498&lt;=$B$10485,0,IF(ABS(IF(ABS($E$11626)&gt;0.000000001,$E$11626,0.000000001))&gt;=8*$B$10487,$H$10498,0.5*$H$10498*(ABS(IF(ABS($E$11626)&gt;0.000000001,$E$11626,0.000000001))/$B$10487)^(1/3)))/ABS(IF(ABS($E$11626)&gt;0.000000001,$E$11626,0.000000001))*$I$10498)</f>
        <v/>
      </c>
      <c r="E11662" s="19">
        <f>0.5*$E$11626+0.5*$Z$11681</f>
        <v/>
      </c>
      <c r="F11662" s="19">
        <f>$Z$11682</f>
        <v/>
      </c>
    </row>
    <row r="11663">
      <c r="D11663" s="19">
        <f>IF(ABS(IF(ABS($E$11627)&gt;0.000000001,$E$11627,0.000000001))=0,0,IF($E$10499&lt;=$B$10485,0,IF(ABS(IF(ABS($E$11627)&gt;0.000000001,$E$11627,0.000000001))&gt;=8*$B$10487,$H$10499,0.5*$H$10499*(ABS(IF(ABS($E$11627)&gt;0.000000001,$E$11627,0.000000001))/$B$10487)^(1/3)))/ABS(IF(ABS($E$11627)&gt;0.000000001,$E$11627,0.000000001))*$I$10499)</f>
        <v/>
      </c>
      <c r="E11663" s="19">
        <f>0.5*$E$11627+0.5*$Z$11683</f>
        <v/>
      </c>
      <c r="F11663" s="19">
        <f>$Z$11684</f>
        <v/>
      </c>
    </row>
    <row r="11664">
      <c r="D11664" s="19">
        <f>IF(ABS(IF(ABS($E$11628)&gt;0.000000001,$E$11628,0.000000001))=0,0,IF($E$10500&lt;=$B$10485,0,IF(ABS(IF(ABS($E$11628)&gt;0.000000001,$E$11628,0.000000001))&gt;=8*$B$10487,$H$10500,0.5*$H$10500*(ABS(IF(ABS($E$11628)&gt;0.000000001,$E$11628,0.000000001))/$B$10487)^(1/3)))/ABS(IF(ABS($E$11628)&gt;0.000000001,$E$11628,0.000000001))*$I$10500)</f>
        <v/>
      </c>
      <c r="E11664" s="19">
        <f>0.5*$E$11628+0.5*$Z$11685</f>
        <v/>
      </c>
      <c r="F11664" s="19">
        <f>$Z$11686</f>
        <v/>
      </c>
    </row>
    <row r="11665">
      <c r="D11665" s="19">
        <f>IF(ABS(IF(ABS($E$11629)&gt;0.000000001,$E$11629,0.000000001))=0,0,IF($E$10501&lt;=$B$10485,0,IF(ABS(IF(ABS($E$11629)&gt;0.000000001,$E$11629,0.000000001))&gt;=8*$B$10487,$H$10501,0.5*$H$10501*(ABS(IF(ABS($E$11629)&gt;0.000000001,$E$11629,0.000000001))/$B$10487)^(1/3)))/ABS(IF(ABS($E$11629)&gt;0.000000001,$E$11629,0.000000001))*$I$10501)</f>
        <v/>
      </c>
      <c r="E11665" s="19">
        <f>0.5*$E$11629+0.5*$Z$11687</f>
        <v/>
      </c>
      <c r="F11665" s="19">
        <f>$Z$11688</f>
        <v/>
      </c>
    </row>
    <row r="11667">
      <c r="D11667" s="21">
        <f>$B$10476+$D$11655</f>
        <v/>
      </c>
      <c r="E11667" s="21">
        <f>$B$10477</f>
        <v/>
      </c>
      <c r="F11667" s="21">
        <f>-$B$10476</f>
        <v/>
      </c>
      <c r="G11667" s="21">
        <f>$B$10477</f>
        <v/>
      </c>
      <c r="H11667" s="21" t="n">
        <v>0</v>
      </c>
      <c r="I11667" s="21" t="n">
        <v>0</v>
      </c>
      <c r="J11667" s="21" t="n">
        <v>0</v>
      </c>
      <c r="K11667" s="21" t="n">
        <v>0</v>
      </c>
      <c r="L11667" s="21" t="n">
        <v>0</v>
      </c>
      <c r="M11667" s="21" t="n">
        <v>0</v>
      </c>
      <c r="N11667" s="21" t="n">
        <v>0</v>
      </c>
      <c r="O11667" s="21" t="n">
        <v>0</v>
      </c>
      <c r="P11667" s="21" t="n">
        <v>0</v>
      </c>
      <c r="Q11667" s="21" t="n">
        <v>0</v>
      </c>
      <c r="R11667" s="21" t="n">
        <v>0</v>
      </c>
      <c r="S11667" s="21" t="n">
        <v>0</v>
      </c>
      <c r="T11667" s="21" t="n">
        <v>0</v>
      </c>
      <c r="U11667" s="21" t="n">
        <v>0</v>
      </c>
      <c r="V11667" s="21" t="n">
        <v>0</v>
      </c>
      <c r="W11667" s="21" t="n">
        <v>0</v>
      </c>
      <c r="X11667" s="21" t="n">
        <v>0</v>
      </c>
      <c r="Y11667" s="21" t="n">
        <v>0</v>
      </c>
      <c r="Z11667" s="19">
        <f t="array" ref="Z11667:Z11688">MMULT(MINVERSE($D$11667:$Y$11688),$D$10503:$D$10524)</f>
        <v/>
      </c>
    </row>
    <row r="11668">
      <c r="D11668" s="21">
        <f>$B$10477</f>
        <v/>
      </c>
      <c r="E11668" s="21">
        <f>$B$10478</f>
        <v/>
      </c>
      <c r="F11668" s="21">
        <f>-$B$10477</f>
        <v/>
      </c>
      <c r="G11668" s="21">
        <f>$B$10479</f>
        <v/>
      </c>
      <c r="H11668" s="21" t="n">
        <v>0</v>
      </c>
      <c r="I11668" s="21" t="n">
        <v>0</v>
      </c>
      <c r="J11668" s="21" t="n">
        <v>0</v>
      </c>
      <c r="K11668" s="21" t="n">
        <v>0</v>
      </c>
      <c r="L11668" s="21" t="n">
        <v>0</v>
      </c>
      <c r="M11668" s="21" t="n">
        <v>0</v>
      </c>
      <c r="N11668" s="21" t="n">
        <v>0</v>
      </c>
      <c r="O11668" s="21" t="n">
        <v>0</v>
      </c>
      <c r="P11668" s="21" t="n">
        <v>0</v>
      </c>
      <c r="Q11668" s="21" t="n">
        <v>0</v>
      </c>
      <c r="R11668" s="21" t="n">
        <v>0</v>
      </c>
      <c r="S11668" s="21" t="n">
        <v>0</v>
      </c>
      <c r="T11668" s="21" t="n">
        <v>0</v>
      </c>
      <c r="U11668" s="21" t="n">
        <v>0</v>
      </c>
      <c r="V11668" s="21" t="n">
        <v>0</v>
      </c>
      <c r="W11668" s="21" t="n">
        <v>0</v>
      </c>
      <c r="X11668" s="21" t="n">
        <v>0</v>
      </c>
      <c r="Y11668" s="21" t="n">
        <v>0</v>
      </c>
      <c r="Z11668" s="19" t="n"/>
    </row>
    <row r="11669">
      <c r="D11669" s="21">
        <f>-$B$10476</f>
        <v/>
      </c>
      <c r="E11669" s="21">
        <f>-$B$10477</f>
        <v/>
      </c>
      <c r="F11669" s="21">
        <f>2*$B$10476+$D$11656</f>
        <v/>
      </c>
      <c r="G11669" s="21">
        <f>0</f>
        <v/>
      </c>
      <c r="H11669" s="21">
        <f>-$B$10476</f>
        <v/>
      </c>
      <c r="I11669" s="21">
        <f>$B$10477</f>
        <v/>
      </c>
      <c r="J11669" s="21" t="n">
        <v>0</v>
      </c>
      <c r="K11669" s="21" t="n">
        <v>0</v>
      </c>
      <c r="L11669" s="21" t="n">
        <v>0</v>
      </c>
      <c r="M11669" s="21" t="n">
        <v>0</v>
      </c>
      <c r="N11669" s="21" t="n">
        <v>0</v>
      </c>
      <c r="O11669" s="21" t="n">
        <v>0</v>
      </c>
      <c r="P11669" s="21" t="n">
        <v>0</v>
      </c>
      <c r="Q11669" s="21" t="n">
        <v>0</v>
      </c>
      <c r="R11669" s="21" t="n">
        <v>0</v>
      </c>
      <c r="S11669" s="21" t="n">
        <v>0</v>
      </c>
      <c r="T11669" s="21" t="n">
        <v>0</v>
      </c>
      <c r="U11669" s="21" t="n">
        <v>0</v>
      </c>
      <c r="V11669" s="21" t="n">
        <v>0</v>
      </c>
      <c r="W11669" s="21" t="n">
        <v>0</v>
      </c>
      <c r="X11669" s="21" t="n">
        <v>0</v>
      </c>
      <c r="Y11669" s="21" t="n">
        <v>0</v>
      </c>
      <c r="Z11669" s="19" t="n"/>
    </row>
    <row r="11670">
      <c r="D11670" s="21">
        <f>$B$10477</f>
        <v/>
      </c>
      <c r="E11670" s="21">
        <f>$B$10479</f>
        <v/>
      </c>
      <c r="F11670" s="21">
        <f>0</f>
        <v/>
      </c>
      <c r="G11670" s="21">
        <f>2*$B$10478</f>
        <v/>
      </c>
      <c r="H11670" s="21">
        <f>-$B$10477</f>
        <v/>
      </c>
      <c r="I11670" s="21">
        <f>$B$10479</f>
        <v/>
      </c>
      <c r="J11670" s="21" t="n">
        <v>0</v>
      </c>
      <c r="K11670" s="21" t="n">
        <v>0</v>
      </c>
      <c r="L11670" s="21" t="n">
        <v>0</v>
      </c>
      <c r="M11670" s="21" t="n">
        <v>0</v>
      </c>
      <c r="N11670" s="21" t="n">
        <v>0</v>
      </c>
      <c r="O11670" s="21" t="n">
        <v>0</v>
      </c>
      <c r="P11670" s="21" t="n">
        <v>0</v>
      </c>
      <c r="Q11670" s="21" t="n">
        <v>0</v>
      </c>
      <c r="R11670" s="21" t="n">
        <v>0</v>
      </c>
      <c r="S11670" s="21" t="n">
        <v>0</v>
      </c>
      <c r="T11670" s="21" t="n">
        <v>0</v>
      </c>
      <c r="U11670" s="21" t="n">
        <v>0</v>
      </c>
      <c r="V11670" s="21" t="n">
        <v>0</v>
      </c>
      <c r="W11670" s="21" t="n">
        <v>0</v>
      </c>
      <c r="X11670" s="21" t="n">
        <v>0</v>
      </c>
      <c r="Y11670" s="21" t="n">
        <v>0</v>
      </c>
      <c r="Z11670" s="19" t="n"/>
    </row>
    <row r="11671">
      <c r="D11671" s="21" t="n">
        <v>0</v>
      </c>
      <c r="E11671" s="21" t="n">
        <v>0</v>
      </c>
      <c r="F11671" s="21">
        <f>-$B$10476</f>
        <v/>
      </c>
      <c r="G11671" s="21">
        <f>-$B$10477</f>
        <v/>
      </c>
      <c r="H11671" s="21">
        <f>2*$B$10476+$D$11657</f>
        <v/>
      </c>
      <c r="I11671" s="21">
        <f>0</f>
        <v/>
      </c>
      <c r="J11671" s="21">
        <f>-$B$10476</f>
        <v/>
      </c>
      <c r="K11671" s="21">
        <f>$B$10477</f>
        <v/>
      </c>
      <c r="L11671" s="21" t="n">
        <v>0</v>
      </c>
      <c r="M11671" s="21" t="n">
        <v>0</v>
      </c>
      <c r="N11671" s="21" t="n">
        <v>0</v>
      </c>
      <c r="O11671" s="21" t="n">
        <v>0</v>
      </c>
      <c r="P11671" s="21" t="n">
        <v>0</v>
      </c>
      <c r="Q11671" s="21" t="n">
        <v>0</v>
      </c>
      <c r="R11671" s="21" t="n">
        <v>0</v>
      </c>
      <c r="S11671" s="21" t="n">
        <v>0</v>
      </c>
      <c r="T11671" s="21" t="n">
        <v>0</v>
      </c>
      <c r="U11671" s="21" t="n">
        <v>0</v>
      </c>
      <c r="V11671" s="21" t="n">
        <v>0</v>
      </c>
      <c r="W11671" s="21" t="n">
        <v>0</v>
      </c>
      <c r="X11671" s="21" t="n">
        <v>0</v>
      </c>
      <c r="Y11671" s="21" t="n">
        <v>0</v>
      </c>
      <c r="Z11671" s="19" t="n"/>
    </row>
    <row r="11672">
      <c r="D11672" s="21" t="n">
        <v>0</v>
      </c>
      <c r="E11672" s="21" t="n">
        <v>0</v>
      </c>
      <c r="F11672" s="21">
        <f>$B$10477</f>
        <v/>
      </c>
      <c r="G11672" s="21">
        <f>$B$10479</f>
        <v/>
      </c>
      <c r="H11672" s="21">
        <f>0</f>
        <v/>
      </c>
      <c r="I11672" s="21">
        <f>2*$B$10478</f>
        <v/>
      </c>
      <c r="J11672" s="21">
        <f>-$B$10477</f>
        <v/>
      </c>
      <c r="K11672" s="21">
        <f>$B$10479</f>
        <v/>
      </c>
      <c r="L11672" s="21" t="n">
        <v>0</v>
      </c>
      <c r="M11672" s="21" t="n">
        <v>0</v>
      </c>
      <c r="N11672" s="21" t="n">
        <v>0</v>
      </c>
      <c r="O11672" s="21" t="n">
        <v>0</v>
      </c>
      <c r="P11672" s="21" t="n">
        <v>0</v>
      </c>
      <c r="Q11672" s="21" t="n">
        <v>0</v>
      </c>
      <c r="R11672" s="21" t="n">
        <v>0</v>
      </c>
      <c r="S11672" s="21" t="n">
        <v>0</v>
      </c>
      <c r="T11672" s="21" t="n">
        <v>0</v>
      </c>
      <c r="U11672" s="21" t="n">
        <v>0</v>
      </c>
      <c r="V11672" s="21" t="n">
        <v>0</v>
      </c>
      <c r="W11672" s="21" t="n">
        <v>0</v>
      </c>
      <c r="X11672" s="21" t="n">
        <v>0</v>
      </c>
      <c r="Y11672" s="21" t="n">
        <v>0</v>
      </c>
      <c r="Z11672" s="19" t="n"/>
    </row>
    <row r="11673">
      <c r="D11673" s="21" t="n">
        <v>0</v>
      </c>
      <c r="E11673" s="21" t="n">
        <v>0</v>
      </c>
      <c r="F11673" s="21" t="n">
        <v>0</v>
      </c>
      <c r="G11673" s="21" t="n">
        <v>0</v>
      </c>
      <c r="H11673" s="21">
        <f>-$B$10476</f>
        <v/>
      </c>
      <c r="I11673" s="21">
        <f>-$B$10477</f>
        <v/>
      </c>
      <c r="J11673" s="21">
        <f>2*$B$10476+$D$11658</f>
        <v/>
      </c>
      <c r="K11673" s="21">
        <f>0</f>
        <v/>
      </c>
      <c r="L11673" s="21">
        <f>-$B$10476</f>
        <v/>
      </c>
      <c r="M11673" s="21">
        <f>$B$10477</f>
        <v/>
      </c>
      <c r="N11673" s="21" t="n">
        <v>0</v>
      </c>
      <c r="O11673" s="21" t="n">
        <v>0</v>
      </c>
      <c r="P11673" s="21" t="n">
        <v>0</v>
      </c>
      <c r="Q11673" s="21" t="n">
        <v>0</v>
      </c>
      <c r="R11673" s="21" t="n">
        <v>0</v>
      </c>
      <c r="S11673" s="21" t="n">
        <v>0</v>
      </c>
      <c r="T11673" s="21" t="n">
        <v>0</v>
      </c>
      <c r="U11673" s="21" t="n">
        <v>0</v>
      </c>
      <c r="V11673" s="21" t="n">
        <v>0</v>
      </c>
      <c r="W11673" s="21" t="n">
        <v>0</v>
      </c>
      <c r="X11673" s="21" t="n">
        <v>0</v>
      </c>
      <c r="Y11673" s="21" t="n">
        <v>0</v>
      </c>
      <c r="Z11673" s="19" t="n"/>
    </row>
    <row r="11674">
      <c r="D11674" s="21" t="n">
        <v>0</v>
      </c>
      <c r="E11674" s="21" t="n">
        <v>0</v>
      </c>
      <c r="F11674" s="21" t="n">
        <v>0</v>
      </c>
      <c r="G11674" s="21" t="n">
        <v>0</v>
      </c>
      <c r="H11674" s="21">
        <f>$B$10477</f>
        <v/>
      </c>
      <c r="I11674" s="21">
        <f>$B$10479</f>
        <v/>
      </c>
      <c r="J11674" s="21">
        <f>0</f>
        <v/>
      </c>
      <c r="K11674" s="21">
        <f>2*$B$10478</f>
        <v/>
      </c>
      <c r="L11674" s="21">
        <f>-$B$10477</f>
        <v/>
      </c>
      <c r="M11674" s="21">
        <f>$B$10479</f>
        <v/>
      </c>
      <c r="N11674" s="21" t="n">
        <v>0</v>
      </c>
      <c r="O11674" s="21" t="n">
        <v>0</v>
      </c>
      <c r="P11674" s="21" t="n">
        <v>0</v>
      </c>
      <c r="Q11674" s="21" t="n">
        <v>0</v>
      </c>
      <c r="R11674" s="21" t="n">
        <v>0</v>
      </c>
      <c r="S11674" s="21" t="n">
        <v>0</v>
      </c>
      <c r="T11674" s="21" t="n">
        <v>0</v>
      </c>
      <c r="U11674" s="21" t="n">
        <v>0</v>
      </c>
      <c r="V11674" s="21" t="n">
        <v>0</v>
      </c>
      <c r="W11674" s="21" t="n">
        <v>0</v>
      </c>
      <c r="X11674" s="21" t="n">
        <v>0</v>
      </c>
      <c r="Y11674" s="21" t="n">
        <v>0</v>
      </c>
      <c r="Z11674" s="19" t="n"/>
    </row>
    <row r="11675">
      <c r="D11675" s="21" t="n">
        <v>0</v>
      </c>
      <c r="E11675" s="21" t="n">
        <v>0</v>
      </c>
      <c r="F11675" s="21" t="n">
        <v>0</v>
      </c>
      <c r="G11675" s="21" t="n">
        <v>0</v>
      </c>
      <c r="H11675" s="21" t="n">
        <v>0</v>
      </c>
      <c r="I11675" s="21" t="n">
        <v>0</v>
      </c>
      <c r="J11675" s="21">
        <f>-$B$10476</f>
        <v/>
      </c>
      <c r="K11675" s="21">
        <f>-$B$10477</f>
        <v/>
      </c>
      <c r="L11675" s="21">
        <f>2*$B$10476+$D$11659</f>
        <v/>
      </c>
      <c r="M11675" s="21">
        <f>0</f>
        <v/>
      </c>
      <c r="N11675" s="21">
        <f>-$B$10476</f>
        <v/>
      </c>
      <c r="O11675" s="21">
        <f>$B$10477</f>
        <v/>
      </c>
      <c r="P11675" s="21" t="n">
        <v>0</v>
      </c>
      <c r="Q11675" s="21" t="n">
        <v>0</v>
      </c>
      <c r="R11675" s="21" t="n">
        <v>0</v>
      </c>
      <c r="S11675" s="21" t="n">
        <v>0</v>
      </c>
      <c r="T11675" s="21" t="n">
        <v>0</v>
      </c>
      <c r="U11675" s="21" t="n">
        <v>0</v>
      </c>
      <c r="V11675" s="21" t="n">
        <v>0</v>
      </c>
      <c r="W11675" s="21" t="n">
        <v>0</v>
      </c>
      <c r="X11675" s="21" t="n">
        <v>0</v>
      </c>
      <c r="Y11675" s="21" t="n">
        <v>0</v>
      </c>
      <c r="Z11675" s="19" t="n"/>
    </row>
    <row r="11676">
      <c r="D11676" s="21" t="n">
        <v>0</v>
      </c>
      <c r="E11676" s="21" t="n">
        <v>0</v>
      </c>
      <c r="F11676" s="21" t="n">
        <v>0</v>
      </c>
      <c r="G11676" s="21" t="n">
        <v>0</v>
      </c>
      <c r="H11676" s="21" t="n">
        <v>0</v>
      </c>
      <c r="I11676" s="21" t="n">
        <v>0</v>
      </c>
      <c r="J11676" s="21">
        <f>$B$10477</f>
        <v/>
      </c>
      <c r="K11676" s="21">
        <f>$B$10479</f>
        <v/>
      </c>
      <c r="L11676" s="21">
        <f>0</f>
        <v/>
      </c>
      <c r="M11676" s="21">
        <f>2*$B$10478</f>
        <v/>
      </c>
      <c r="N11676" s="21">
        <f>-$B$10477</f>
        <v/>
      </c>
      <c r="O11676" s="21">
        <f>$B$10479</f>
        <v/>
      </c>
      <c r="P11676" s="21" t="n">
        <v>0</v>
      </c>
      <c r="Q11676" s="21" t="n">
        <v>0</v>
      </c>
      <c r="R11676" s="21" t="n">
        <v>0</v>
      </c>
      <c r="S11676" s="21" t="n">
        <v>0</v>
      </c>
      <c r="T11676" s="21" t="n">
        <v>0</v>
      </c>
      <c r="U11676" s="21" t="n">
        <v>0</v>
      </c>
      <c r="V11676" s="21" t="n">
        <v>0</v>
      </c>
      <c r="W11676" s="21" t="n">
        <v>0</v>
      </c>
      <c r="X11676" s="21" t="n">
        <v>0</v>
      </c>
      <c r="Y11676" s="21" t="n">
        <v>0</v>
      </c>
      <c r="Z11676" s="19" t="n"/>
    </row>
    <row r="11677">
      <c r="D11677" s="21" t="n">
        <v>0</v>
      </c>
      <c r="E11677" s="21" t="n">
        <v>0</v>
      </c>
      <c r="F11677" s="21" t="n">
        <v>0</v>
      </c>
      <c r="G11677" s="21" t="n">
        <v>0</v>
      </c>
      <c r="H11677" s="21" t="n">
        <v>0</v>
      </c>
      <c r="I11677" s="21" t="n">
        <v>0</v>
      </c>
      <c r="J11677" s="21" t="n">
        <v>0</v>
      </c>
      <c r="K11677" s="21" t="n">
        <v>0</v>
      </c>
      <c r="L11677" s="21">
        <f>-$B$10476</f>
        <v/>
      </c>
      <c r="M11677" s="21">
        <f>-$B$10477</f>
        <v/>
      </c>
      <c r="N11677" s="21">
        <f>2*$B$10476+$D$11660</f>
        <v/>
      </c>
      <c r="O11677" s="21">
        <f>0</f>
        <v/>
      </c>
      <c r="P11677" s="21">
        <f>-$B$10476</f>
        <v/>
      </c>
      <c r="Q11677" s="21">
        <f>$B$10477</f>
        <v/>
      </c>
      <c r="R11677" s="21" t="n">
        <v>0</v>
      </c>
      <c r="S11677" s="21" t="n">
        <v>0</v>
      </c>
      <c r="T11677" s="21" t="n">
        <v>0</v>
      </c>
      <c r="U11677" s="21" t="n">
        <v>0</v>
      </c>
      <c r="V11677" s="21" t="n">
        <v>0</v>
      </c>
      <c r="W11677" s="21" t="n">
        <v>0</v>
      </c>
      <c r="X11677" s="21" t="n">
        <v>0</v>
      </c>
      <c r="Y11677" s="21" t="n">
        <v>0</v>
      </c>
      <c r="Z11677" s="19" t="n"/>
    </row>
    <row r="11678">
      <c r="D11678" s="21" t="n">
        <v>0</v>
      </c>
      <c r="E11678" s="21" t="n">
        <v>0</v>
      </c>
      <c r="F11678" s="21" t="n">
        <v>0</v>
      </c>
      <c r="G11678" s="21" t="n">
        <v>0</v>
      </c>
      <c r="H11678" s="21" t="n">
        <v>0</v>
      </c>
      <c r="I11678" s="21" t="n">
        <v>0</v>
      </c>
      <c r="J11678" s="21" t="n">
        <v>0</v>
      </c>
      <c r="K11678" s="21" t="n">
        <v>0</v>
      </c>
      <c r="L11678" s="21">
        <f>$B$10477</f>
        <v/>
      </c>
      <c r="M11678" s="21">
        <f>$B$10479</f>
        <v/>
      </c>
      <c r="N11678" s="21">
        <f>0</f>
        <v/>
      </c>
      <c r="O11678" s="21">
        <f>2*$B$10478</f>
        <v/>
      </c>
      <c r="P11678" s="21">
        <f>-$B$10477</f>
        <v/>
      </c>
      <c r="Q11678" s="21">
        <f>$B$10479</f>
        <v/>
      </c>
      <c r="R11678" s="21" t="n">
        <v>0</v>
      </c>
      <c r="S11678" s="21" t="n">
        <v>0</v>
      </c>
      <c r="T11678" s="21" t="n">
        <v>0</v>
      </c>
      <c r="U11678" s="21" t="n">
        <v>0</v>
      </c>
      <c r="V11678" s="21" t="n">
        <v>0</v>
      </c>
      <c r="W11678" s="21" t="n">
        <v>0</v>
      </c>
      <c r="X11678" s="21" t="n">
        <v>0</v>
      </c>
      <c r="Y11678" s="21" t="n">
        <v>0</v>
      </c>
      <c r="Z11678" s="19" t="n"/>
    </row>
    <row r="11679">
      <c r="D11679" s="21" t="n">
        <v>0</v>
      </c>
      <c r="E11679" s="21" t="n">
        <v>0</v>
      </c>
      <c r="F11679" s="21" t="n">
        <v>0</v>
      </c>
      <c r="G11679" s="21" t="n">
        <v>0</v>
      </c>
      <c r="H11679" s="21" t="n">
        <v>0</v>
      </c>
      <c r="I11679" s="21" t="n">
        <v>0</v>
      </c>
      <c r="J11679" s="21" t="n">
        <v>0</v>
      </c>
      <c r="K11679" s="21" t="n">
        <v>0</v>
      </c>
      <c r="L11679" s="21" t="n">
        <v>0</v>
      </c>
      <c r="M11679" s="21" t="n">
        <v>0</v>
      </c>
      <c r="N11679" s="21">
        <f>-$B$10476</f>
        <v/>
      </c>
      <c r="O11679" s="21">
        <f>-$B$10477</f>
        <v/>
      </c>
      <c r="P11679" s="21">
        <f>2*$B$10476+$D$11661</f>
        <v/>
      </c>
      <c r="Q11679" s="21">
        <f>0</f>
        <v/>
      </c>
      <c r="R11679" s="21">
        <f>-$B$10476</f>
        <v/>
      </c>
      <c r="S11679" s="21">
        <f>$B$10477</f>
        <v/>
      </c>
      <c r="T11679" s="21" t="n">
        <v>0</v>
      </c>
      <c r="U11679" s="21" t="n">
        <v>0</v>
      </c>
      <c r="V11679" s="21" t="n">
        <v>0</v>
      </c>
      <c r="W11679" s="21" t="n">
        <v>0</v>
      </c>
      <c r="X11679" s="21" t="n">
        <v>0</v>
      </c>
      <c r="Y11679" s="21" t="n">
        <v>0</v>
      </c>
      <c r="Z11679" s="19" t="n"/>
    </row>
    <row r="11680">
      <c r="D11680" s="21" t="n">
        <v>0</v>
      </c>
      <c r="E11680" s="21" t="n">
        <v>0</v>
      </c>
      <c r="F11680" s="21" t="n">
        <v>0</v>
      </c>
      <c r="G11680" s="21" t="n">
        <v>0</v>
      </c>
      <c r="H11680" s="21" t="n">
        <v>0</v>
      </c>
      <c r="I11680" s="21" t="n">
        <v>0</v>
      </c>
      <c r="J11680" s="21" t="n">
        <v>0</v>
      </c>
      <c r="K11680" s="21" t="n">
        <v>0</v>
      </c>
      <c r="L11680" s="21" t="n">
        <v>0</v>
      </c>
      <c r="M11680" s="21" t="n">
        <v>0</v>
      </c>
      <c r="N11680" s="21">
        <f>$B$10477</f>
        <v/>
      </c>
      <c r="O11680" s="21">
        <f>$B$10479</f>
        <v/>
      </c>
      <c r="P11680" s="21">
        <f>0</f>
        <v/>
      </c>
      <c r="Q11680" s="21">
        <f>2*$B$10478</f>
        <v/>
      </c>
      <c r="R11680" s="21">
        <f>-$B$10477</f>
        <v/>
      </c>
      <c r="S11680" s="21">
        <f>$B$10479</f>
        <v/>
      </c>
      <c r="T11680" s="21" t="n">
        <v>0</v>
      </c>
      <c r="U11680" s="21" t="n">
        <v>0</v>
      </c>
      <c r="V11680" s="21" t="n">
        <v>0</v>
      </c>
      <c r="W11680" s="21" t="n">
        <v>0</v>
      </c>
      <c r="X11680" s="21" t="n">
        <v>0</v>
      </c>
      <c r="Y11680" s="21" t="n">
        <v>0</v>
      </c>
      <c r="Z11680" s="19" t="n"/>
    </row>
    <row r="11681">
      <c r="D11681" s="21" t="n">
        <v>0</v>
      </c>
      <c r="E11681" s="21" t="n">
        <v>0</v>
      </c>
      <c r="F11681" s="21" t="n">
        <v>0</v>
      </c>
      <c r="G11681" s="21" t="n">
        <v>0</v>
      </c>
      <c r="H11681" s="21" t="n">
        <v>0</v>
      </c>
      <c r="I11681" s="21" t="n">
        <v>0</v>
      </c>
      <c r="J11681" s="21" t="n">
        <v>0</v>
      </c>
      <c r="K11681" s="21" t="n">
        <v>0</v>
      </c>
      <c r="L11681" s="21" t="n">
        <v>0</v>
      </c>
      <c r="M11681" s="21" t="n">
        <v>0</v>
      </c>
      <c r="N11681" s="21" t="n">
        <v>0</v>
      </c>
      <c r="O11681" s="21" t="n">
        <v>0</v>
      </c>
      <c r="P11681" s="21">
        <f>-$B$10476</f>
        <v/>
      </c>
      <c r="Q11681" s="21">
        <f>-$B$10477</f>
        <v/>
      </c>
      <c r="R11681" s="21">
        <f>2*$B$10476+$D$11662</f>
        <v/>
      </c>
      <c r="S11681" s="21">
        <f>0</f>
        <v/>
      </c>
      <c r="T11681" s="21">
        <f>-$B$10476</f>
        <v/>
      </c>
      <c r="U11681" s="21">
        <f>$B$10477</f>
        <v/>
      </c>
      <c r="V11681" s="21" t="n">
        <v>0</v>
      </c>
      <c r="W11681" s="21" t="n">
        <v>0</v>
      </c>
      <c r="X11681" s="21" t="n">
        <v>0</v>
      </c>
      <c r="Y11681" s="21" t="n">
        <v>0</v>
      </c>
      <c r="Z11681" s="19" t="n"/>
    </row>
    <row r="11682">
      <c r="D11682" s="21" t="n">
        <v>0</v>
      </c>
      <c r="E11682" s="21" t="n">
        <v>0</v>
      </c>
      <c r="F11682" s="21" t="n">
        <v>0</v>
      </c>
      <c r="G11682" s="21" t="n">
        <v>0</v>
      </c>
      <c r="H11682" s="21" t="n">
        <v>0</v>
      </c>
      <c r="I11682" s="21" t="n">
        <v>0</v>
      </c>
      <c r="J11682" s="21" t="n">
        <v>0</v>
      </c>
      <c r="K11682" s="21" t="n">
        <v>0</v>
      </c>
      <c r="L11682" s="21" t="n">
        <v>0</v>
      </c>
      <c r="M11682" s="21" t="n">
        <v>0</v>
      </c>
      <c r="N11682" s="21" t="n">
        <v>0</v>
      </c>
      <c r="O11682" s="21" t="n">
        <v>0</v>
      </c>
      <c r="P11682" s="21">
        <f>$B$10477</f>
        <v/>
      </c>
      <c r="Q11682" s="21">
        <f>$B$10479</f>
        <v/>
      </c>
      <c r="R11682" s="21">
        <f>0</f>
        <v/>
      </c>
      <c r="S11682" s="21">
        <f>2*$B$10478</f>
        <v/>
      </c>
      <c r="T11682" s="21">
        <f>-$B$10477</f>
        <v/>
      </c>
      <c r="U11682" s="21">
        <f>$B$10479</f>
        <v/>
      </c>
      <c r="V11682" s="21" t="n">
        <v>0</v>
      </c>
      <c r="W11682" s="21" t="n">
        <v>0</v>
      </c>
      <c r="X11682" s="21" t="n">
        <v>0</v>
      </c>
      <c r="Y11682" s="21" t="n">
        <v>0</v>
      </c>
      <c r="Z11682" s="19" t="n"/>
    </row>
    <row r="11683">
      <c r="D11683" s="21" t="n">
        <v>0</v>
      </c>
      <c r="E11683" s="21" t="n">
        <v>0</v>
      </c>
      <c r="F11683" s="21" t="n">
        <v>0</v>
      </c>
      <c r="G11683" s="21" t="n">
        <v>0</v>
      </c>
      <c r="H11683" s="21" t="n">
        <v>0</v>
      </c>
      <c r="I11683" s="21" t="n">
        <v>0</v>
      </c>
      <c r="J11683" s="21" t="n">
        <v>0</v>
      </c>
      <c r="K11683" s="21" t="n">
        <v>0</v>
      </c>
      <c r="L11683" s="21" t="n">
        <v>0</v>
      </c>
      <c r="M11683" s="21" t="n">
        <v>0</v>
      </c>
      <c r="N11683" s="21" t="n">
        <v>0</v>
      </c>
      <c r="O11683" s="21" t="n">
        <v>0</v>
      </c>
      <c r="P11683" s="21" t="n">
        <v>0</v>
      </c>
      <c r="Q11683" s="21" t="n">
        <v>0</v>
      </c>
      <c r="R11683" s="21">
        <f>-$B$10476</f>
        <v/>
      </c>
      <c r="S11683" s="21">
        <f>-$B$10477</f>
        <v/>
      </c>
      <c r="T11683" s="21">
        <f>2*$B$10476+$D$11663</f>
        <v/>
      </c>
      <c r="U11683" s="21">
        <f>0</f>
        <v/>
      </c>
      <c r="V11683" s="21">
        <f>-$B$10476</f>
        <v/>
      </c>
      <c r="W11683" s="21">
        <f>$B$10477</f>
        <v/>
      </c>
      <c r="X11683" s="21" t="n">
        <v>0</v>
      </c>
      <c r="Y11683" s="21" t="n">
        <v>0</v>
      </c>
      <c r="Z11683" s="19" t="n"/>
    </row>
    <row r="11684">
      <c r="D11684" s="21" t="n">
        <v>0</v>
      </c>
      <c r="E11684" s="21" t="n">
        <v>0</v>
      </c>
      <c r="F11684" s="21" t="n">
        <v>0</v>
      </c>
      <c r="G11684" s="21" t="n">
        <v>0</v>
      </c>
      <c r="H11684" s="21" t="n">
        <v>0</v>
      </c>
      <c r="I11684" s="21" t="n">
        <v>0</v>
      </c>
      <c r="J11684" s="21" t="n">
        <v>0</v>
      </c>
      <c r="K11684" s="21" t="n">
        <v>0</v>
      </c>
      <c r="L11684" s="21" t="n">
        <v>0</v>
      </c>
      <c r="M11684" s="21" t="n">
        <v>0</v>
      </c>
      <c r="N11684" s="21" t="n">
        <v>0</v>
      </c>
      <c r="O11684" s="21" t="n">
        <v>0</v>
      </c>
      <c r="P11684" s="21" t="n">
        <v>0</v>
      </c>
      <c r="Q11684" s="21" t="n">
        <v>0</v>
      </c>
      <c r="R11684" s="21">
        <f>$B$10477</f>
        <v/>
      </c>
      <c r="S11684" s="21">
        <f>$B$10479</f>
        <v/>
      </c>
      <c r="T11684" s="21">
        <f>0</f>
        <v/>
      </c>
      <c r="U11684" s="21">
        <f>2*$B$10478</f>
        <v/>
      </c>
      <c r="V11684" s="21">
        <f>-$B$10477</f>
        <v/>
      </c>
      <c r="W11684" s="21">
        <f>$B$10479</f>
        <v/>
      </c>
      <c r="X11684" s="21" t="n">
        <v>0</v>
      </c>
      <c r="Y11684" s="21" t="n">
        <v>0</v>
      </c>
      <c r="Z11684" s="19" t="n"/>
    </row>
    <row r="11685">
      <c r="D11685" s="21" t="n">
        <v>0</v>
      </c>
      <c r="E11685" s="21" t="n">
        <v>0</v>
      </c>
      <c r="F11685" s="21" t="n">
        <v>0</v>
      </c>
      <c r="G11685" s="21" t="n">
        <v>0</v>
      </c>
      <c r="H11685" s="21" t="n">
        <v>0</v>
      </c>
      <c r="I11685" s="21" t="n">
        <v>0</v>
      </c>
      <c r="J11685" s="21" t="n">
        <v>0</v>
      </c>
      <c r="K11685" s="21" t="n">
        <v>0</v>
      </c>
      <c r="L11685" s="21" t="n">
        <v>0</v>
      </c>
      <c r="M11685" s="21" t="n">
        <v>0</v>
      </c>
      <c r="N11685" s="21" t="n">
        <v>0</v>
      </c>
      <c r="O11685" s="21" t="n">
        <v>0</v>
      </c>
      <c r="P11685" s="21" t="n">
        <v>0</v>
      </c>
      <c r="Q11685" s="21" t="n">
        <v>0</v>
      </c>
      <c r="R11685" s="21" t="n">
        <v>0</v>
      </c>
      <c r="S11685" s="21" t="n">
        <v>0</v>
      </c>
      <c r="T11685" s="21">
        <f>-$B$10476</f>
        <v/>
      </c>
      <c r="U11685" s="21">
        <f>-$B$10477</f>
        <v/>
      </c>
      <c r="V11685" s="21">
        <f>2*$B$10476+$D$11664</f>
        <v/>
      </c>
      <c r="W11685" s="21">
        <f>0</f>
        <v/>
      </c>
      <c r="X11685" s="21">
        <f>-$B$10476</f>
        <v/>
      </c>
      <c r="Y11685" s="21">
        <f>$B$10477</f>
        <v/>
      </c>
      <c r="Z11685" s="19" t="n"/>
    </row>
    <row r="11686">
      <c r="D11686" s="21" t="n">
        <v>0</v>
      </c>
      <c r="E11686" s="21" t="n">
        <v>0</v>
      </c>
      <c r="F11686" s="21" t="n">
        <v>0</v>
      </c>
      <c r="G11686" s="21" t="n">
        <v>0</v>
      </c>
      <c r="H11686" s="21" t="n">
        <v>0</v>
      </c>
      <c r="I11686" s="21" t="n">
        <v>0</v>
      </c>
      <c r="J11686" s="21" t="n">
        <v>0</v>
      </c>
      <c r="K11686" s="21" t="n">
        <v>0</v>
      </c>
      <c r="L11686" s="21" t="n">
        <v>0</v>
      </c>
      <c r="M11686" s="21" t="n">
        <v>0</v>
      </c>
      <c r="N11686" s="21" t="n">
        <v>0</v>
      </c>
      <c r="O11686" s="21" t="n">
        <v>0</v>
      </c>
      <c r="P11686" s="21" t="n">
        <v>0</v>
      </c>
      <c r="Q11686" s="21" t="n">
        <v>0</v>
      </c>
      <c r="R11686" s="21" t="n">
        <v>0</v>
      </c>
      <c r="S11686" s="21" t="n">
        <v>0</v>
      </c>
      <c r="T11686" s="21">
        <f>$B$10477</f>
        <v/>
      </c>
      <c r="U11686" s="21">
        <f>$B$10479</f>
        <v/>
      </c>
      <c r="V11686" s="21">
        <f>0</f>
        <v/>
      </c>
      <c r="W11686" s="21">
        <f>2*$B$10478</f>
        <v/>
      </c>
      <c r="X11686" s="21">
        <f>-$B$10477</f>
        <v/>
      </c>
      <c r="Y11686" s="21">
        <f>$B$10479</f>
        <v/>
      </c>
      <c r="Z11686" s="19" t="n"/>
    </row>
    <row r="11687">
      <c r="D11687" s="21" t="n">
        <v>0</v>
      </c>
      <c r="E11687" s="21" t="n">
        <v>0</v>
      </c>
      <c r="F11687" s="21" t="n">
        <v>0</v>
      </c>
      <c r="G11687" s="21" t="n">
        <v>0</v>
      </c>
      <c r="H11687" s="21" t="n">
        <v>0</v>
      </c>
      <c r="I11687" s="21" t="n">
        <v>0</v>
      </c>
      <c r="J11687" s="21" t="n">
        <v>0</v>
      </c>
      <c r="K11687" s="21" t="n">
        <v>0</v>
      </c>
      <c r="L11687" s="21" t="n">
        <v>0</v>
      </c>
      <c r="M11687" s="21" t="n">
        <v>0</v>
      </c>
      <c r="N11687" s="21" t="n">
        <v>0</v>
      </c>
      <c r="O11687" s="21" t="n">
        <v>0</v>
      </c>
      <c r="P11687" s="21" t="n">
        <v>0</v>
      </c>
      <c r="Q11687" s="21" t="n">
        <v>0</v>
      </c>
      <c r="R11687" s="21" t="n">
        <v>0</v>
      </c>
      <c r="S11687" s="21" t="n">
        <v>0</v>
      </c>
      <c r="T11687" s="21" t="n">
        <v>0</v>
      </c>
      <c r="U11687" s="21" t="n">
        <v>0</v>
      </c>
      <c r="V11687" s="21">
        <f>-$B$10476</f>
        <v/>
      </c>
      <c r="W11687" s="21">
        <f>-$B$10477</f>
        <v/>
      </c>
      <c r="X11687" s="21">
        <f>$B$10476+$D$11665</f>
        <v/>
      </c>
      <c r="Y11687" s="21">
        <f>-$B$10477</f>
        <v/>
      </c>
      <c r="Z11687" s="19" t="n"/>
    </row>
    <row r="11688">
      <c r="D11688" s="21" t="n">
        <v>0</v>
      </c>
      <c r="E11688" s="21" t="n">
        <v>0</v>
      </c>
      <c r="F11688" s="21" t="n">
        <v>0</v>
      </c>
      <c r="G11688" s="21" t="n">
        <v>0</v>
      </c>
      <c r="H11688" s="21" t="n">
        <v>0</v>
      </c>
      <c r="I11688" s="21" t="n">
        <v>0</v>
      </c>
      <c r="J11688" s="21" t="n">
        <v>0</v>
      </c>
      <c r="K11688" s="21" t="n">
        <v>0</v>
      </c>
      <c r="L11688" s="21" t="n">
        <v>0</v>
      </c>
      <c r="M11688" s="21" t="n">
        <v>0</v>
      </c>
      <c r="N11688" s="21" t="n">
        <v>0</v>
      </c>
      <c r="O11688" s="21" t="n">
        <v>0</v>
      </c>
      <c r="P11688" s="21" t="n">
        <v>0</v>
      </c>
      <c r="Q11688" s="21" t="n">
        <v>0</v>
      </c>
      <c r="R11688" s="21" t="n">
        <v>0</v>
      </c>
      <c r="S11688" s="21" t="n">
        <v>0</v>
      </c>
      <c r="T11688" s="21" t="n">
        <v>0</v>
      </c>
      <c r="U11688" s="21" t="n">
        <v>0</v>
      </c>
      <c r="V11688" s="21">
        <f>$B$10477</f>
        <v/>
      </c>
      <c r="W11688" s="21">
        <f>$B$10479</f>
        <v/>
      </c>
      <c r="X11688" s="21">
        <f>-$B$10477</f>
        <v/>
      </c>
      <c r="Y11688" s="21">
        <f>$B$10478</f>
        <v/>
      </c>
      <c r="Z11688" s="19" t="n"/>
    </row>
    <row r="11690">
      <c r="A11690" s="8" t="inlineStr">
        <is>
          <t>gen 33</t>
        </is>
      </c>
    </row>
    <row r="11691">
      <c r="D11691" s="19">
        <f>IF(ABS(IF(ABS($E$11655)&gt;0.000000001,$E$11655,0.000000001))=0,0,IF($E$10491&lt;=$B$10485,0,IF(ABS(IF(ABS($E$11655)&gt;0.000000001,$E$11655,0.000000001))&gt;=8*$B$10487,$H$10491,0.5*$H$10491*(ABS(IF(ABS($E$11655)&gt;0.000000001,$E$11655,0.000000001))/$B$10487)^(1/3)))/ABS(IF(ABS($E$11655)&gt;0.000000001,$E$11655,0.000000001))*$I$10491)</f>
        <v/>
      </c>
      <c r="E11691" s="19">
        <f>0.5*$E$11655+0.5*$Z$11703</f>
        <v/>
      </c>
      <c r="F11691" s="19">
        <f>$Z$11704</f>
        <v/>
      </c>
    </row>
    <row r="11692">
      <c r="D11692" s="19">
        <f>IF(ABS(IF(ABS($E$11656)&gt;0.000000001,$E$11656,0.000000001))=0,0,IF($E$10492&lt;=$B$10485,0,IF(ABS(IF(ABS($E$11656)&gt;0.000000001,$E$11656,0.000000001))&gt;=8*$B$10487,$H$10492,0.5*$H$10492*(ABS(IF(ABS($E$11656)&gt;0.000000001,$E$11656,0.000000001))/$B$10487)^(1/3)))/ABS(IF(ABS($E$11656)&gt;0.000000001,$E$11656,0.000000001))*$I$10492)</f>
        <v/>
      </c>
      <c r="E11692" s="19">
        <f>0.5*$E$11656+0.5*$Z$11705</f>
        <v/>
      </c>
      <c r="F11692" s="19">
        <f>$Z$11706</f>
        <v/>
      </c>
    </row>
    <row r="11693">
      <c r="D11693" s="19">
        <f>IF(ABS(IF(ABS($E$11657)&gt;0.000000001,$E$11657,0.000000001))=0,0,IF($E$10493&lt;=$B$10485,0,IF(ABS(IF(ABS($E$11657)&gt;0.000000001,$E$11657,0.000000001))&gt;=8*$B$10487,$H$10493,0.5*$H$10493*(ABS(IF(ABS($E$11657)&gt;0.000000001,$E$11657,0.000000001))/$B$10487)^(1/3)))/ABS(IF(ABS($E$11657)&gt;0.000000001,$E$11657,0.000000001))*$I$10493)</f>
        <v/>
      </c>
      <c r="E11693" s="19">
        <f>0.5*$E$11657+0.5*$Z$11707</f>
        <v/>
      </c>
      <c r="F11693" s="19">
        <f>$Z$11708</f>
        <v/>
      </c>
    </row>
    <row r="11694">
      <c r="D11694" s="19">
        <f>IF(ABS(IF(ABS($E$11658)&gt;0.000000001,$E$11658,0.000000001))=0,0,IF($E$10494&lt;=$B$10485,0,IF(ABS(IF(ABS($E$11658)&gt;0.000000001,$E$11658,0.000000001))&gt;=8*$B$10487,$H$10494,0.5*$H$10494*(ABS(IF(ABS($E$11658)&gt;0.000000001,$E$11658,0.000000001))/$B$10487)^(1/3)))/ABS(IF(ABS($E$11658)&gt;0.000000001,$E$11658,0.000000001))*$I$10494)</f>
        <v/>
      </c>
      <c r="E11694" s="19">
        <f>0.5*$E$11658+0.5*$Z$11709</f>
        <v/>
      </c>
      <c r="F11694" s="19">
        <f>$Z$11710</f>
        <v/>
      </c>
    </row>
    <row r="11695">
      <c r="D11695" s="19">
        <f>IF(ABS(IF(ABS($E$11659)&gt;0.000000001,$E$11659,0.000000001))=0,0,IF($E$10495&lt;=$B$10485,0,IF(ABS(IF(ABS($E$11659)&gt;0.000000001,$E$11659,0.000000001))&gt;=8*$B$10487,$H$10495,0.5*$H$10495*(ABS(IF(ABS($E$11659)&gt;0.000000001,$E$11659,0.000000001))/$B$10487)^(1/3)))/ABS(IF(ABS($E$11659)&gt;0.000000001,$E$11659,0.000000001))*$I$10495)</f>
        <v/>
      </c>
      <c r="E11695" s="19">
        <f>0.5*$E$11659+0.5*$Z$11711</f>
        <v/>
      </c>
      <c r="F11695" s="19">
        <f>$Z$11712</f>
        <v/>
      </c>
    </row>
    <row r="11696">
      <c r="D11696" s="19">
        <f>IF(ABS(IF(ABS($E$11660)&gt;0.000000001,$E$11660,0.000000001))=0,0,IF($E$10496&lt;=$B$10485,0,IF(ABS(IF(ABS($E$11660)&gt;0.000000001,$E$11660,0.000000001))&gt;=8*$B$10487,$H$10496,0.5*$H$10496*(ABS(IF(ABS($E$11660)&gt;0.000000001,$E$11660,0.000000001))/$B$10487)^(1/3)))/ABS(IF(ABS($E$11660)&gt;0.000000001,$E$11660,0.000000001))*$I$10496)</f>
        <v/>
      </c>
      <c r="E11696" s="19">
        <f>0.5*$E$11660+0.5*$Z$11713</f>
        <v/>
      </c>
      <c r="F11696" s="19">
        <f>$Z$11714</f>
        <v/>
      </c>
    </row>
    <row r="11697">
      <c r="D11697" s="19">
        <f>IF(ABS(IF(ABS($E$11661)&gt;0.000000001,$E$11661,0.000000001))=0,0,IF($E$10497&lt;=$B$10485,0,IF(ABS(IF(ABS($E$11661)&gt;0.000000001,$E$11661,0.000000001))&gt;=8*$B$10487,$H$10497,0.5*$H$10497*(ABS(IF(ABS($E$11661)&gt;0.000000001,$E$11661,0.000000001))/$B$10487)^(1/3)))/ABS(IF(ABS($E$11661)&gt;0.000000001,$E$11661,0.000000001))*$I$10497)</f>
        <v/>
      </c>
      <c r="E11697" s="19">
        <f>0.5*$E$11661+0.5*$Z$11715</f>
        <v/>
      </c>
      <c r="F11697" s="19">
        <f>$Z$11716</f>
        <v/>
      </c>
    </row>
    <row r="11698">
      <c r="D11698" s="19">
        <f>IF(ABS(IF(ABS($E$11662)&gt;0.000000001,$E$11662,0.000000001))=0,0,IF($E$10498&lt;=$B$10485,0,IF(ABS(IF(ABS($E$11662)&gt;0.000000001,$E$11662,0.000000001))&gt;=8*$B$10487,$H$10498,0.5*$H$10498*(ABS(IF(ABS($E$11662)&gt;0.000000001,$E$11662,0.000000001))/$B$10487)^(1/3)))/ABS(IF(ABS($E$11662)&gt;0.000000001,$E$11662,0.000000001))*$I$10498)</f>
        <v/>
      </c>
      <c r="E11698" s="19">
        <f>0.5*$E$11662+0.5*$Z$11717</f>
        <v/>
      </c>
      <c r="F11698" s="19">
        <f>$Z$11718</f>
        <v/>
      </c>
    </row>
    <row r="11699">
      <c r="D11699" s="19">
        <f>IF(ABS(IF(ABS($E$11663)&gt;0.000000001,$E$11663,0.000000001))=0,0,IF($E$10499&lt;=$B$10485,0,IF(ABS(IF(ABS($E$11663)&gt;0.000000001,$E$11663,0.000000001))&gt;=8*$B$10487,$H$10499,0.5*$H$10499*(ABS(IF(ABS($E$11663)&gt;0.000000001,$E$11663,0.000000001))/$B$10487)^(1/3)))/ABS(IF(ABS($E$11663)&gt;0.000000001,$E$11663,0.000000001))*$I$10499)</f>
        <v/>
      </c>
      <c r="E11699" s="19">
        <f>0.5*$E$11663+0.5*$Z$11719</f>
        <v/>
      </c>
      <c r="F11699" s="19">
        <f>$Z$11720</f>
        <v/>
      </c>
    </row>
    <row r="11700">
      <c r="D11700" s="19">
        <f>IF(ABS(IF(ABS($E$11664)&gt;0.000000001,$E$11664,0.000000001))=0,0,IF($E$10500&lt;=$B$10485,0,IF(ABS(IF(ABS($E$11664)&gt;0.000000001,$E$11664,0.000000001))&gt;=8*$B$10487,$H$10500,0.5*$H$10500*(ABS(IF(ABS($E$11664)&gt;0.000000001,$E$11664,0.000000001))/$B$10487)^(1/3)))/ABS(IF(ABS($E$11664)&gt;0.000000001,$E$11664,0.000000001))*$I$10500)</f>
        <v/>
      </c>
      <c r="E11700" s="19">
        <f>0.5*$E$11664+0.5*$Z$11721</f>
        <v/>
      </c>
      <c r="F11700" s="19">
        <f>$Z$11722</f>
        <v/>
      </c>
    </row>
    <row r="11701">
      <c r="D11701" s="19">
        <f>IF(ABS(IF(ABS($E$11665)&gt;0.000000001,$E$11665,0.000000001))=0,0,IF($E$10501&lt;=$B$10485,0,IF(ABS(IF(ABS($E$11665)&gt;0.000000001,$E$11665,0.000000001))&gt;=8*$B$10487,$H$10501,0.5*$H$10501*(ABS(IF(ABS($E$11665)&gt;0.000000001,$E$11665,0.000000001))/$B$10487)^(1/3)))/ABS(IF(ABS($E$11665)&gt;0.000000001,$E$11665,0.000000001))*$I$10501)</f>
        <v/>
      </c>
      <c r="E11701" s="19">
        <f>0.5*$E$11665+0.5*$Z$11723</f>
        <v/>
      </c>
      <c r="F11701" s="19">
        <f>$Z$11724</f>
        <v/>
      </c>
    </row>
    <row r="11703">
      <c r="D11703" s="21">
        <f>$B$10476+$D$11691</f>
        <v/>
      </c>
      <c r="E11703" s="21">
        <f>$B$10477</f>
        <v/>
      </c>
      <c r="F11703" s="21">
        <f>-$B$10476</f>
        <v/>
      </c>
      <c r="G11703" s="21">
        <f>$B$10477</f>
        <v/>
      </c>
      <c r="H11703" s="21" t="n">
        <v>0</v>
      </c>
      <c r="I11703" s="21" t="n">
        <v>0</v>
      </c>
      <c r="J11703" s="21" t="n">
        <v>0</v>
      </c>
      <c r="K11703" s="21" t="n">
        <v>0</v>
      </c>
      <c r="L11703" s="21" t="n">
        <v>0</v>
      </c>
      <c r="M11703" s="21" t="n">
        <v>0</v>
      </c>
      <c r="N11703" s="21" t="n">
        <v>0</v>
      </c>
      <c r="O11703" s="21" t="n">
        <v>0</v>
      </c>
      <c r="P11703" s="21" t="n">
        <v>0</v>
      </c>
      <c r="Q11703" s="21" t="n">
        <v>0</v>
      </c>
      <c r="R11703" s="21" t="n">
        <v>0</v>
      </c>
      <c r="S11703" s="21" t="n">
        <v>0</v>
      </c>
      <c r="T11703" s="21" t="n">
        <v>0</v>
      </c>
      <c r="U11703" s="21" t="n">
        <v>0</v>
      </c>
      <c r="V11703" s="21" t="n">
        <v>0</v>
      </c>
      <c r="W11703" s="21" t="n">
        <v>0</v>
      </c>
      <c r="X11703" s="21" t="n">
        <v>0</v>
      </c>
      <c r="Y11703" s="21" t="n">
        <v>0</v>
      </c>
      <c r="Z11703" s="19">
        <f t="array" ref="Z11703:Z11724">MMULT(MINVERSE($D$11703:$Y$11724),$D$10503:$D$10524)</f>
        <v/>
      </c>
    </row>
    <row r="11704">
      <c r="D11704" s="21">
        <f>$B$10477</f>
        <v/>
      </c>
      <c r="E11704" s="21">
        <f>$B$10478</f>
        <v/>
      </c>
      <c r="F11704" s="21">
        <f>-$B$10477</f>
        <v/>
      </c>
      <c r="G11704" s="21">
        <f>$B$10479</f>
        <v/>
      </c>
      <c r="H11704" s="21" t="n">
        <v>0</v>
      </c>
      <c r="I11704" s="21" t="n">
        <v>0</v>
      </c>
      <c r="J11704" s="21" t="n">
        <v>0</v>
      </c>
      <c r="K11704" s="21" t="n">
        <v>0</v>
      </c>
      <c r="L11704" s="21" t="n">
        <v>0</v>
      </c>
      <c r="M11704" s="21" t="n">
        <v>0</v>
      </c>
      <c r="N11704" s="21" t="n">
        <v>0</v>
      </c>
      <c r="O11704" s="21" t="n">
        <v>0</v>
      </c>
      <c r="P11704" s="21" t="n">
        <v>0</v>
      </c>
      <c r="Q11704" s="21" t="n">
        <v>0</v>
      </c>
      <c r="R11704" s="21" t="n">
        <v>0</v>
      </c>
      <c r="S11704" s="21" t="n">
        <v>0</v>
      </c>
      <c r="T11704" s="21" t="n">
        <v>0</v>
      </c>
      <c r="U11704" s="21" t="n">
        <v>0</v>
      </c>
      <c r="V11704" s="21" t="n">
        <v>0</v>
      </c>
      <c r="W11704" s="21" t="n">
        <v>0</v>
      </c>
      <c r="X11704" s="21" t="n">
        <v>0</v>
      </c>
      <c r="Y11704" s="21" t="n">
        <v>0</v>
      </c>
      <c r="Z11704" s="19" t="n"/>
    </row>
    <row r="11705">
      <c r="D11705" s="21">
        <f>-$B$10476</f>
        <v/>
      </c>
      <c r="E11705" s="21">
        <f>-$B$10477</f>
        <v/>
      </c>
      <c r="F11705" s="21">
        <f>2*$B$10476+$D$11692</f>
        <v/>
      </c>
      <c r="G11705" s="21">
        <f>0</f>
        <v/>
      </c>
      <c r="H11705" s="21">
        <f>-$B$10476</f>
        <v/>
      </c>
      <c r="I11705" s="21">
        <f>$B$10477</f>
        <v/>
      </c>
      <c r="J11705" s="21" t="n">
        <v>0</v>
      </c>
      <c r="K11705" s="21" t="n">
        <v>0</v>
      </c>
      <c r="L11705" s="21" t="n">
        <v>0</v>
      </c>
      <c r="M11705" s="21" t="n">
        <v>0</v>
      </c>
      <c r="N11705" s="21" t="n">
        <v>0</v>
      </c>
      <c r="O11705" s="21" t="n">
        <v>0</v>
      </c>
      <c r="P11705" s="21" t="n">
        <v>0</v>
      </c>
      <c r="Q11705" s="21" t="n">
        <v>0</v>
      </c>
      <c r="R11705" s="21" t="n">
        <v>0</v>
      </c>
      <c r="S11705" s="21" t="n">
        <v>0</v>
      </c>
      <c r="T11705" s="21" t="n">
        <v>0</v>
      </c>
      <c r="U11705" s="21" t="n">
        <v>0</v>
      </c>
      <c r="V11705" s="21" t="n">
        <v>0</v>
      </c>
      <c r="W11705" s="21" t="n">
        <v>0</v>
      </c>
      <c r="X11705" s="21" t="n">
        <v>0</v>
      </c>
      <c r="Y11705" s="21" t="n">
        <v>0</v>
      </c>
      <c r="Z11705" s="19" t="n"/>
    </row>
    <row r="11706">
      <c r="D11706" s="21">
        <f>$B$10477</f>
        <v/>
      </c>
      <c r="E11706" s="21">
        <f>$B$10479</f>
        <v/>
      </c>
      <c r="F11706" s="21">
        <f>0</f>
        <v/>
      </c>
      <c r="G11706" s="21">
        <f>2*$B$10478</f>
        <v/>
      </c>
      <c r="H11706" s="21">
        <f>-$B$10477</f>
        <v/>
      </c>
      <c r="I11706" s="21">
        <f>$B$10479</f>
        <v/>
      </c>
      <c r="J11706" s="21" t="n">
        <v>0</v>
      </c>
      <c r="K11706" s="21" t="n">
        <v>0</v>
      </c>
      <c r="L11706" s="21" t="n">
        <v>0</v>
      </c>
      <c r="M11706" s="21" t="n">
        <v>0</v>
      </c>
      <c r="N11706" s="21" t="n">
        <v>0</v>
      </c>
      <c r="O11706" s="21" t="n">
        <v>0</v>
      </c>
      <c r="P11706" s="21" t="n">
        <v>0</v>
      </c>
      <c r="Q11706" s="21" t="n">
        <v>0</v>
      </c>
      <c r="R11706" s="21" t="n">
        <v>0</v>
      </c>
      <c r="S11706" s="21" t="n">
        <v>0</v>
      </c>
      <c r="T11706" s="21" t="n">
        <v>0</v>
      </c>
      <c r="U11706" s="21" t="n">
        <v>0</v>
      </c>
      <c r="V11706" s="21" t="n">
        <v>0</v>
      </c>
      <c r="W11706" s="21" t="n">
        <v>0</v>
      </c>
      <c r="X11706" s="21" t="n">
        <v>0</v>
      </c>
      <c r="Y11706" s="21" t="n">
        <v>0</v>
      </c>
      <c r="Z11706" s="19" t="n"/>
    </row>
    <row r="11707">
      <c r="D11707" s="21" t="n">
        <v>0</v>
      </c>
      <c r="E11707" s="21" t="n">
        <v>0</v>
      </c>
      <c r="F11707" s="21">
        <f>-$B$10476</f>
        <v/>
      </c>
      <c r="G11707" s="21">
        <f>-$B$10477</f>
        <v/>
      </c>
      <c r="H11707" s="21">
        <f>2*$B$10476+$D$11693</f>
        <v/>
      </c>
      <c r="I11707" s="21">
        <f>0</f>
        <v/>
      </c>
      <c r="J11707" s="21">
        <f>-$B$10476</f>
        <v/>
      </c>
      <c r="K11707" s="21">
        <f>$B$10477</f>
        <v/>
      </c>
      <c r="L11707" s="21" t="n">
        <v>0</v>
      </c>
      <c r="M11707" s="21" t="n">
        <v>0</v>
      </c>
      <c r="N11707" s="21" t="n">
        <v>0</v>
      </c>
      <c r="O11707" s="21" t="n">
        <v>0</v>
      </c>
      <c r="P11707" s="21" t="n">
        <v>0</v>
      </c>
      <c r="Q11707" s="21" t="n">
        <v>0</v>
      </c>
      <c r="R11707" s="21" t="n">
        <v>0</v>
      </c>
      <c r="S11707" s="21" t="n">
        <v>0</v>
      </c>
      <c r="T11707" s="21" t="n">
        <v>0</v>
      </c>
      <c r="U11707" s="21" t="n">
        <v>0</v>
      </c>
      <c r="V11707" s="21" t="n">
        <v>0</v>
      </c>
      <c r="W11707" s="21" t="n">
        <v>0</v>
      </c>
      <c r="X11707" s="21" t="n">
        <v>0</v>
      </c>
      <c r="Y11707" s="21" t="n">
        <v>0</v>
      </c>
      <c r="Z11707" s="19" t="n"/>
    </row>
    <row r="11708">
      <c r="D11708" s="21" t="n">
        <v>0</v>
      </c>
      <c r="E11708" s="21" t="n">
        <v>0</v>
      </c>
      <c r="F11708" s="21">
        <f>$B$10477</f>
        <v/>
      </c>
      <c r="G11708" s="21">
        <f>$B$10479</f>
        <v/>
      </c>
      <c r="H11708" s="21">
        <f>0</f>
        <v/>
      </c>
      <c r="I11708" s="21">
        <f>2*$B$10478</f>
        <v/>
      </c>
      <c r="J11708" s="21">
        <f>-$B$10477</f>
        <v/>
      </c>
      <c r="K11708" s="21">
        <f>$B$10479</f>
        <v/>
      </c>
      <c r="L11708" s="21" t="n">
        <v>0</v>
      </c>
      <c r="M11708" s="21" t="n">
        <v>0</v>
      </c>
      <c r="N11708" s="21" t="n">
        <v>0</v>
      </c>
      <c r="O11708" s="21" t="n">
        <v>0</v>
      </c>
      <c r="P11708" s="21" t="n">
        <v>0</v>
      </c>
      <c r="Q11708" s="21" t="n">
        <v>0</v>
      </c>
      <c r="R11708" s="21" t="n">
        <v>0</v>
      </c>
      <c r="S11708" s="21" t="n">
        <v>0</v>
      </c>
      <c r="T11708" s="21" t="n">
        <v>0</v>
      </c>
      <c r="U11708" s="21" t="n">
        <v>0</v>
      </c>
      <c r="V11708" s="21" t="n">
        <v>0</v>
      </c>
      <c r="W11708" s="21" t="n">
        <v>0</v>
      </c>
      <c r="X11708" s="21" t="n">
        <v>0</v>
      </c>
      <c r="Y11708" s="21" t="n">
        <v>0</v>
      </c>
      <c r="Z11708" s="19" t="n"/>
    </row>
    <row r="11709">
      <c r="D11709" s="21" t="n">
        <v>0</v>
      </c>
      <c r="E11709" s="21" t="n">
        <v>0</v>
      </c>
      <c r="F11709" s="21" t="n">
        <v>0</v>
      </c>
      <c r="G11709" s="21" t="n">
        <v>0</v>
      </c>
      <c r="H11709" s="21">
        <f>-$B$10476</f>
        <v/>
      </c>
      <c r="I11709" s="21">
        <f>-$B$10477</f>
        <v/>
      </c>
      <c r="J11709" s="21">
        <f>2*$B$10476+$D$11694</f>
        <v/>
      </c>
      <c r="K11709" s="21">
        <f>0</f>
        <v/>
      </c>
      <c r="L11709" s="21">
        <f>-$B$10476</f>
        <v/>
      </c>
      <c r="M11709" s="21">
        <f>$B$10477</f>
        <v/>
      </c>
      <c r="N11709" s="21" t="n">
        <v>0</v>
      </c>
      <c r="O11709" s="21" t="n">
        <v>0</v>
      </c>
      <c r="P11709" s="21" t="n">
        <v>0</v>
      </c>
      <c r="Q11709" s="21" t="n">
        <v>0</v>
      </c>
      <c r="R11709" s="21" t="n">
        <v>0</v>
      </c>
      <c r="S11709" s="21" t="n">
        <v>0</v>
      </c>
      <c r="T11709" s="21" t="n">
        <v>0</v>
      </c>
      <c r="U11709" s="21" t="n">
        <v>0</v>
      </c>
      <c r="V11709" s="21" t="n">
        <v>0</v>
      </c>
      <c r="W11709" s="21" t="n">
        <v>0</v>
      </c>
      <c r="X11709" s="21" t="n">
        <v>0</v>
      </c>
      <c r="Y11709" s="21" t="n">
        <v>0</v>
      </c>
      <c r="Z11709" s="19" t="n"/>
    </row>
    <row r="11710">
      <c r="D11710" s="21" t="n">
        <v>0</v>
      </c>
      <c r="E11710" s="21" t="n">
        <v>0</v>
      </c>
      <c r="F11710" s="21" t="n">
        <v>0</v>
      </c>
      <c r="G11710" s="21" t="n">
        <v>0</v>
      </c>
      <c r="H11710" s="21">
        <f>$B$10477</f>
        <v/>
      </c>
      <c r="I11710" s="21">
        <f>$B$10479</f>
        <v/>
      </c>
      <c r="J11710" s="21">
        <f>0</f>
        <v/>
      </c>
      <c r="K11710" s="21">
        <f>2*$B$10478</f>
        <v/>
      </c>
      <c r="L11710" s="21">
        <f>-$B$10477</f>
        <v/>
      </c>
      <c r="M11710" s="21">
        <f>$B$10479</f>
        <v/>
      </c>
      <c r="N11710" s="21" t="n">
        <v>0</v>
      </c>
      <c r="O11710" s="21" t="n">
        <v>0</v>
      </c>
      <c r="P11710" s="21" t="n">
        <v>0</v>
      </c>
      <c r="Q11710" s="21" t="n">
        <v>0</v>
      </c>
      <c r="R11710" s="21" t="n">
        <v>0</v>
      </c>
      <c r="S11710" s="21" t="n">
        <v>0</v>
      </c>
      <c r="T11710" s="21" t="n">
        <v>0</v>
      </c>
      <c r="U11710" s="21" t="n">
        <v>0</v>
      </c>
      <c r="V11710" s="21" t="n">
        <v>0</v>
      </c>
      <c r="W11710" s="21" t="n">
        <v>0</v>
      </c>
      <c r="X11710" s="21" t="n">
        <v>0</v>
      </c>
      <c r="Y11710" s="21" t="n">
        <v>0</v>
      </c>
      <c r="Z11710" s="19" t="n"/>
    </row>
    <row r="11711">
      <c r="D11711" s="21" t="n">
        <v>0</v>
      </c>
      <c r="E11711" s="21" t="n">
        <v>0</v>
      </c>
      <c r="F11711" s="21" t="n">
        <v>0</v>
      </c>
      <c r="G11711" s="21" t="n">
        <v>0</v>
      </c>
      <c r="H11711" s="21" t="n">
        <v>0</v>
      </c>
      <c r="I11711" s="21" t="n">
        <v>0</v>
      </c>
      <c r="J11711" s="21">
        <f>-$B$10476</f>
        <v/>
      </c>
      <c r="K11711" s="21">
        <f>-$B$10477</f>
        <v/>
      </c>
      <c r="L11711" s="21">
        <f>2*$B$10476+$D$11695</f>
        <v/>
      </c>
      <c r="M11711" s="21">
        <f>0</f>
        <v/>
      </c>
      <c r="N11711" s="21">
        <f>-$B$10476</f>
        <v/>
      </c>
      <c r="O11711" s="21">
        <f>$B$10477</f>
        <v/>
      </c>
      <c r="P11711" s="21" t="n">
        <v>0</v>
      </c>
      <c r="Q11711" s="21" t="n">
        <v>0</v>
      </c>
      <c r="R11711" s="21" t="n">
        <v>0</v>
      </c>
      <c r="S11711" s="21" t="n">
        <v>0</v>
      </c>
      <c r="T11711" s="21" t="n">
        <v>0</v>
      </c>
      <c r="U11711" s="21" t="n">
        <v>0</v>
      </c>
      <c r="V11711" s="21" t="n">
        <v>0</v>
      </c>
      <c r="W11711" s="21" t="n">
        <v>0</v>
      </c>
      <c r="X11711" s="21" t="n">
        <v>0</v>
      </c>
      <c r="Y11711" s="21" t="n">
        <v>0</v>
      </c>
      <c r="Z11711" s="19" t="n"/>
    </row>
    <row r="11712">
      <c r="D11712" s="21" t="n">
        <v>0</v>
      </c>
      <c r="E11712" s="21" t="n">
        <v>0</v>
      </c>
      <c r="F11712" s="21" t="n">
        <v>0</v>
      </c>
      <c r="G11712" s="21" t="n">
        <v>0</v>
      </c>
      <c r="H11712" s="21" t="n">
        <v>0</v>
      </c>
      <c r="I11712" s="21" t="n">
        <v>0</v>
      </c>
      <c r="J11712" s="21">
        <f>$B$10477</f>
        <v/>
      </c>
      <c r="K11712" s="21">
        <f>$B$10479</f>
        <v/>
      </c>
      <c r="L11712" s="21">
        <f>0</f>
        <v/>
      </c>
      <c r="M11712" s="21">
        <f>2*$B$10478</f>
        <v/>
      </c>
      <c r="N11712" s="21">
        <f>-$B$10477</f>
        <v/>
      </c>
      <c r="O11712" s="21">
        <f>$B$10479</f>
        <v/>
      </c>
      <c r="P11712" s="21" t="n">
        <v>0</v>
      </c>
      <c r="Q11712" s="21" t="n">
        <v>0</v>
      </c>
      <c r="R11712" s="21" t="n">
        <v>0</v>
      </c>
      <c r="S11712" s="21" t="n">
        <v>0</v>
      </c>
      <c r="T11712" s="21" t="n">
        <v>0</v>
      </c>
      <c r="U11712" s="21" t="n">
        <v>0</v>
      </c>
      <c r="V11712" s="21" t="n">
        <v>0</v>
      </c>
      <c r="W11712" s="21" t="n">
        <v>0</v>
      </c>
      <c r="X11712" s="21" t="n">
        <v>0</v>
      </c>
      <c r="Y11712" s="21" t="n">
        <v>0</v>
      </c>
      <c r="Z11712" s="19" t="n"/>
    </row>
    <row r="11713">
      <c r="D11713" s="21" t="n">
        <v>0</v>
      </c>
      <c r="E11713" s="21" t="n">
        <v>0</v>
      </c>
      <c r="F11713" s="21" t="n">
        <v>0</v>
      </c>
      <c r="G11713" s="21" t="n">
        <v>0</v>
      </c>
      <c r="H11713" s="21" t="n">
        <v>0</v>
      </c>
      <c r="I11713" s="21" t="n">
        <v>0</v>
      </c>
      <c r="J11713" s="21" t="n">
        <v>0</v>
      </c>
      <c r="K11713" s="21" t="n">
        <v>0</v>
      </c>
      <c r="L11713" s="21">
        <f>-$B$10476</f>
        <v/>
      </c>
      <c r="M11713" s="21">
        <f>-$B$10477</f>
        <v/>
      </c>
      <c r="N11713" s="21">
        <f>2*$B$10476+$D$11696</f>
        <v/>
      </c>
      <c r="O11713" s="21">
        <f>0</f>
        <v/>
      </c>
      <c r="P11713" s="21">
        <f>-$B$10476</f>
        <v/>
      </c>
      <c r="Q11713" s="21">
        <f>$B$10477</f>
        <v/>
      </c>
      <c r="R11713" s="21" t="n">
        <v>0</v>
      </c>
      <c r="S11713" s="21" t="n">
        <v>0</v>
      </c>
      <c r="T11713" s="21" t="n">
        <v>0</v>
      </c>
      <c r="U11713" s="21" t="n">
        <v>0</v>
      </c>
      <c r="V11713" s="21" t="n">
        <v>0</v>
      </c>
      <c r="W11713" s="21" t="n">
        <v>0</v>
      </c>
      <c r="X11713" s="21" t="n">
        <v>0</v>
      </c>
      <c r="Y11713" s="21" t="n">
        <v>0</v>
      </c>
      <c r="Z11713" s="19" t="n"/>
    </row>
    <row r="11714">
      <c r="D11714" s="21" t="n">
        <v>0</v>
      </c>
      <c r="E11714" s="21" t="n">
        <v>0</v>
      </c>
      <c r="F11714" s="21" t="n">
        <v>0</v>
      </c>
      <c r="G11714" s="21" t="n">
        <v>0</v>
      </c>
      <c r="H11714" s="21" t="n">
        <v>0</v>
      </c>
      <c r="I11714" s="21" t="n">
        <v>0</v>
      </c>
      <c r="J11714" s="21" t="n">
        <v>0</v>
      </c>
      <c r="K11714" s="21" t="n">
        <v>0</v>
      </c>
      <c r="L11714" s="21">
        <f>$B$10477</f>
        <v/>
      </c>
      <c r="M11714" s="21">
        <f>$B$10479</f>
        <v/>
      </c>
      <c r="N11714" s="21">
        <f>0</f>
        <v/>
      </c>
      <c r="O11714" s="21">
        <f>2*$B$10478</f>
        <v/>
      </c>
      <c r="P11714" s="21">
        <f>-$B$10477</f>
        <v/>
      </c>
      <c r="Q11714" s="21">
        <f>$B$10479</f>
        <v/>
      </c>
      <c r="R11714" s="21" t="n">
        <v>0</v>
      </c>
      <c r="S11714" s="21" t="n">
        <v>0</v>
      </c>
      <c r="T11714" s="21" t="n">
        <v>0</v>
      </c>
      <c r="U11714" s="21" t="n">
        <v>0</v>
      </c>
      <c r="V11714" s="21" t="n">
        <v>0</v>
      </c>
      <c r="W11714" s="21" t="n">
        <v>0</v>
      </c>
      <c r="X11714" s="21" t="n">
        <v>0</v>
      </c>
      <c r="Y11714" s="21" t="n">
        <v>0</v>
      </c>
      <c r="Z11714" s="19" t="n"/>
    </row>
    <row r="11715">
      <c r="D11715" s="21" t="n">
        <v>0</v>
      </c>
      <c r="E11715" s="21" t="n">
        <v>0</v>
      </c>
      <c r="F11715" s="21" t="n">
        <v>0</v>
      </c>
      <c r="G11715" s="21" t="n">
        <v>0</v>
      </c>
      <c r="H11715" s="21" t="n">
        <v>0</v>
      </c>
      <c r="I11715" s="21" t="n">
        <v>0</v>
      </c>
      <c r="J11715" s="21" t="n">
        <v>0</v>
      </c>
      <c r="K11715" s="21" t="n">
        <v>0</v>
      </c>
      <c r="L11715" s="21" t="n">
        <v>0</v>
      </c>
      <c r="M11715" s="21" t="n">
        <v>0</v>
      </c>
      <c r="N11715" s="21">
        <f>-$B$10476</f>
        <v/>
      </c>
      <c r="O11715" s="21">
        <f>-$B$10477</f>
        <v/>
      </c>
      <c r="P11715" s="21">
        <f>2*$B$10476+$D$11697</f>
        <v/>
      </c>
      <c r="Q11715" s="21">
        <f>0</f>
        <v/>
      </c>
      <c r="R11715" s="21">
        <f>-$B$10476</f>
        <v/>
      </c>
      <c r="S11715" s="21">
        <f>$B$10477</f>
        <v/>
      </c>
      <c r="T11715" s="21" t="n">
        <v>0</v>
      </c>
      <c r="U11715" s="21" t="n">
        <v>0</v>
      </c>
      <c r="V11715" s="21" t="n">
        <v>0</v>
      </c>
      <c r="W11715" s="21" t="n">
        <v>0</v>
      </c>
      <c r="X11715" s="21" t="n">
        <v>0</v>
      </c>
      <c r="Y11715" s="21" t="n">
        <v>0</v>
      </c>
      <c r="Z11715" s="19" t="n"/>
    </row>
    <row r="11716">
      <c r="D11716" s="21" t="n">
        <v>0</v>
      </c>
      <c r="E11716" s="21" t="n">
        <v>0</v>
      </c>
      <c r="F11716" s="21" t="n">
        <v>0</v>
      </c>
      <c r="G11716" s="21" t="n">
        <v>0</v>
      </c>
      <c r="H11716" s="21" t="n">
        <v>0</v>
      </c>
      <c r="I11716" s="21" t="n">
        <v>0</v>
      </c>
      <c r="J11716" s="21" t="n">
        <v>0</v>
      </c>
      <c r="K11716" s="21" t="n">
        <v>0</v>
      </c>
      <c r="L11716" s="21" t="n">
        <v>0</v>
      </c>
      <c r="M11716" s="21" t="n">
        <v>0</v>
      </c>
      <c r="N11716" s="21">
        <f>$B$10477</f>
        <v/>
      </c>
      <c r="O11716" s="21">
        <f>$B$10479</f>
        <v/>
      </c>
      <c r="P11716" s="21">
        <f>0</f>
        <v/>
      </c>
      <c r="Q11716" s="21">
        <f>2*$B$10478</f>
        <v/>
      </c>
      <c r="R11716" s="21">
        <f>-$B$10477</f>
        <v/>
      </c>
      <c r="S11716" s="21">
        <f>$B$10479</f>
        <v/>
      </c>
      <c r="T11716" s="21" t="n">
        <v>0</v>
      </c>
      <c r="U11716" s="21" t="n">
        <v>0</v>
      </c>
      <c r="V11716" s="21" t="n">
        <v>0</v>
      </c>
      <c r="W11716" s="21" t="n">
        <v>0</v>
      </c>
      <c r="X11716" s="21" t="n">
        <v>0</v>
      </c>
      <c r="Y11716" s="21" t="n">
        <v>0</v>
      </c>
      <c r="Z11716" s="19" t="n"/>
    </row>
    <row r="11717">
      <c r="D11717" s="21" t="n">
        <v>0</v>
      </c>
      <c r="E11717" s="21" t="n">
        <v>0</v>
      </c>
      <c r="F11717" s="21" t="n">
        <v>0</v>
      </c>
      <c r="G11717" s="21" t="n">
        <v>0</v>
      </c>
      <c r="H11717" s="21" t="n">
        <v>0</v>
      </c>
      <c r="I11717" s="21" t="n">
        <v>0</v>
      </c>
      <c r="J11717" s="21" t="n">
        <v>0</v>
      </c>
      <c r="K11717" s="21" t="n">
        <v>0</v>
      </c>
      <c r="L11717" s="21" t="n">
        <v>0</v>
      </c>
      <c r="M11717" s="21" t="n">
        <v>0</v>
      </c>
      <c r="N11717" s="21" t="n">
        <v>0</v>
      </c>
      <c r="O11717" s="21" t="n">
        <v>0</v>
      </c>
      <c r="P11717" s="21">
        <f>-$B$10476</f>
        <v/>
      </c>
      <c r="Q11717" s="21">
        <f>-$B$10477</f>
        <v/>
      </c>
      <c r="R11717" s="21">
        <f>2*$B$10476+$D$11698</f>
        <v/>
      </c>
      <c r="S11717" s="21">
        <f>0</f>
        <v/>
      </c>
      <c r="T11717" s="21">
        <f>-$B$10476</f>
        <v/>
      </c>
      <c r="U11717" s="21">
        <f>$B$10477</f>
        <v/>
      </c>
      <c r="V11717" s="21" t="n">
        <v>0</v>
      </c>
      <c r="W11717" s="21" t="n">
        <v>0</v>
      </c>
      <c r="X11717" s="21" t="n">
        <v>0</v>
      </c>
      <c r="Y11717" s="21" t="n">
        <v>0</v>
      </c>
      <c r="Z11717" s="19" t="n"/>
    </row>
    <row r="11718">
      <c r="D11718" s="21" t="n">
        <v>0</v>
      </c>
      <c r="E11718" s="21" t="n">
        <v>0</v>
      </c>
      <c r="F11718" s="21" t="n">
        <v>0</v>
      </c>
      <c r="G11718" s="21" t="n">
        <v>0</v>
      </c>
      <c r="H11718" s="21" t="n">
        <v>0</v>
      </c>
      <c r="I11718" s="21" t="n">
        <v>0</v>
      </c>
      <c r="J11718" s="21" t="n">
        <v>0</v>
      </c>
      <c r="K11718" s="21" t="n">
        <v>0</v>
      </c>
      <c r="L11718" s="21" t="n">
        <v>0</v>
      </c>
      <c r="M11718" s="21" t="n">
        <v>0</v>
      </c>
      <c r="N11718" s="21" t="n">
        <v>0</v>
      </c>
      <c r="O11718" s="21" t="n">
        <v>0</v>
      </c>
      <c r="P11718" s="21">
        <f>$B$10477</f>
        <v/>
      </c>
      <c r="Q11718" s="21">
        <f>$B$10479</f>
        <v/>
      </c>
      <c r="R11718" s="21">
        <f>0</f>
        <v/>
      </c>
      <c r="S11718" s="21">
        <f>2*$B$10478</f>
        <v/>
      </c>
      <c r="T11718" s="21">
        <f>-$B$10477</f>
        <v/>
      </c>
      <c r="U11718" s="21">
        <f>$B$10479</f>
        <v/>
      </c>
      <c r="V11718" s="21" t="n">
        <v>0</v>
      </c>
      <c r="W11718" s="21" t="n">
        <v>0</v>
      </c>
      <c r="X11718" s="21" t="n">
        <v>0</v>
      </c>
      <c r="Y11718" s="21" t="n">
        <v>0</v>
      </c>
      <c r="Z11718" s="19" t="n"/>
    </row>
    <row r="11719">
      <c r="D11719" s="21" t="n">
        <v>0</v>
      </c>
      <c r="E11719" s="21" t="n">
        <v>0</v>
      </c>
      <c r="F11719" s="21" t="n">
        <v>0</v>
      </c>
      <c r="G11719" s="21" t="n">
        <v>0</v>
      </c>
      <c r="H11719" s="21" t="n">
        <v>0</v>
      </c>
      <c r="I11719" s="21" t="n">
        <v>0</v>
      </c>
      <c r="J11719" s="21" t="n">
        <v>0</v>
      </c>
      <c r="K11719" s="21" t="n">
        <v>0</v>
      </c>
      <c r="L11719" s="21" t="n">
        <v>0</v>
      </c>
      <c r="M11719" s="21" t="n">
        <v>0</v>
      </c>
      <c r="N11719" s="21" t="n">
        <v>0</v>
      </c>
      <c r="O11719" s="21" t="n">
        <v>0</v>
      </c>
      <c r="P11719" s="21" t="n">
        <v>0</v>
      </c>
      <c r="Q11719" s="21" t="n">
        <v>0</v>
      </c>
      <c r="R11719" s="21">
        <f>-$B$10476</f>
        <v/>
      </c>
      <c r="S11719" s="21">
        <f>-$B$10477</f>
        <v/>
      </c>
      <c r="T11719" s="21">
        <f>2*$B$10476+$D$11699</f>
        <v/>
      </c>
      <c r="U11719" s="21">
        <f>0</f>
        <v/>
      </c>
      <c r="V11719" s="21">
        <f>-$B$10476</f>
        <v/>
      </c>
      <c r="W11719" s="21">
        <f>$B$10477</f>
        <v/>
      </c>
      <c r="X11719" s="21" t="n">
        <v>0</v>
      </c>
      <c r="Y11719" s="21" t="n">
        <v>0</v>
      </c>
      <c r="Z11719" s="19" t="n"/>
    </row>
    <row r="11720">
      <c r="D11720" s="21" t="n">
        <v>0</v>
      </c>
      <c r="E11720" s="21" t="n">
        <v>0</v>
      </c>
      <c r="F11720" s="21" t="n">
        <v>0</v>
      </c>
      <c r="G11720" s="21" t="n">
        <v>0</v>
      </c>
      <c r="H11720" s="21" t="n">
        <v>0</v>
      </c>
      <c r="I11720" s="21" t="n">
        <v>0</v>
      </c>
      <c r="J11720" s="21" t="n">
        <v>0</v>
      </c>
      <c r="K11720" s="21" t="n">
        <v>0</v>
      </c>
      <c r="L11720" s="21" t="n">
        <v>0</v>
      </c>
      <c r="M11720" s="21" t="n">
        <v>0</v>
      </c>
      <c r="N11720" s="21" t="n">
        <v>0</v>
      </c>
      <c r="O11720" s="21" t="n">
        <v>0</v>
      </c>
      <c r="P11720" s="21" t="n">
        <v>0</v>
      </c>
      <c r="Q11720" s="21" t="n">
        <v>0</v>
      </c>
      <c r="R11720" s="21">
        <f>$B$10477</f>
        <v/>
      </c>
      <c r="S11720" s="21">
        <f>$B$10479</f>
        <v/>
      </c>
      <c r="T11720" s="21">
        <f>0</f>
        <v/>
      </c>
      <c r="U11720" s="21">
        <f>2*$B$10478</f>
        <v/>
      </c>
      <c r="V11720" s="21">
        <f>-$B$10477</f>
        <v/>
      </c>
      <c r="W11720" s="21">
        <f>$B$10479</f>
        <v/>
      </c>
      <c r="X11720" s="21" t="n">
        <v>0</v>
      </c>
      <c r="Y11720" s="21" t="n">
        <v>0</v>
      </c>
      <c r="Z11720" s="19" t="n"/>
    </row>
    <row r="11721">
      <c r="D11721" s="21" t="n">
        <v>0</v>
      </c>
      <c r="E11721" s="21" t="n">
        <v>0</v>
      </c>
      <c r="F11721" s="21" t="n">
        <v>0</v>
      </c>
      <c r="G11721" s="21" t="n">
        <v>0</v>
      </c>
      <c r="H11721" s="21" t="n">
        <v>0</v>
      </c>
      <c r="I11721" s="21" t="n">
        <v>0</v>
      </c>
      <c r="J11721" s="21" t="n">
        <v>0</v>
      </c>
      <c r="K11721" s="21" t="n">
        <v>0</v>
      </c>
      <c r="L11721" s="21" t="n">
        <v>0</v>
      </c>
      <c r="M11721" s="21" t="n">
        <v>0</v>
      </c>
      <c r="N11721" s="21" t="n">
        <v>0</v>
      </c>
      <c r="O11721" s="21" t="n">
        <v>0</v>
      </c>
      <c r="P11721" s="21" t="n">
        <v>0</v>
      </c>
      <c r="Q11721" s="21" t="n">
        <v>0</v>
      </c>
      <c r="R11721" s="21" t="n">
        <v>0</v>
      </c>
      <c r="S11721" s="21" t="n">
        <v>0</v>
      </c>
      <c r="T11721" s="21">
        <f>-$B$10476</f>
        <v/>
      </c>
      <c r="U11721" s="21">
        <f>-$B$10477</f>
        <v/>
      </c>
      <c r="V11721" s="21">
        <f>2*$B$10476+$D$11700</f>
        <v/>
      </c>
      <c r="W11721" s="21">
        <f>0</f>
        <v/>
      </c>
      <c r="X11721" s="21">
        <f>-$B$10476</f>
        <v/>
      </c>
      <c r="Y11721" s="21">
        <f>$B$10477</f>
        <v/>
      </c>
      <c r="Z11721" s="19" t="n"/>
    </row>
    <row r="11722">
      <c r="D11722" s="21" t="n">
        <v>0</v>
      </c>
      <c r="E11722" s="21" t="n">
        <v>0</v>
      </c>
      <c r="F11722" s="21" t="n">
        <v>0</v>
      </c>
      <c r="G11722" s="21" t="n">
        <v>0</v>
      </c>
      <c r="H11722" s="21" t="n">
        <v>0</v>
      </c>
      <c r="I11722" s="21" t="n">
        <v>0</v>
      </c>
      <c r="J11722" s="21" t="n">
        <v>0</v>
      </c>
      <c r="K11722" s="21" t="n">
        <v>0</v>
      </c>
      <c r="L11722" s="21" t="n">
        <v>0</v>
      </c>
      <c r="M11722" s="21" t="n">
        <v>0</v>
      </c>
      <c r="N11722" s="21" t="n">
        <v>0</v>
      </c>
      <c r="O11722" s="21" t="n">
        <v>0</v>
      </c>
      <c r="P11722" s="21" t="n">
        <v>0</v>
      </c>
      <c r="Q11722" s="21" t="n">
        <v>0</v>
      </c>
      <c r="R11722" s="21" t="n">
        <v>0</v>
      </c>
      <c r="S11722" s="21" t="n">
        <v>0</v>
      </c>
      <c r="T11722" s="21">
        <f>$B$10477</f>
        <v/>
      </c>
      <c r="U11722" s="21">
        <f>$B$10479</f>
        <v/>
      </c>
      <c r="V11722" s="21">
        <f>0</f>
        <v/>
      </c>
      <c r="W11722" s="21">
        <f>2*$B$10478</f>
        <v/>
      </c>
      <c r="X11722" s="21">
        <f>-$B$10477</f>
        <v/>
      </c>
      <c r="Y11722" s="21">
        <f>$B$10479</f>
        <v/>
      </c>
      <c r="Z11722" s="19" t="n"/>
    </row>
    <row r="11723">
      <c r="D11723" s="21" t="n">
        <v>0</v>
      </c>
      <c r="E11723" s="21" t="n">
        <v>0</v>
      </c>
      <c r="F11723" s="21" t="n">
        <v>0</v>
      </c>
      <c r="G11723" s="21" t="n">
        <v>0</v>
      </c>
      <c r="H11723" s="21" t="n">
        <v>0</v>
      </c>
      <c r="I11723" s="21" t="n">
        <v>0</v>
      </c>
      <c r="J11723" s="21" t="n">
        <v>0</v>
      </c>
      <c r="K11723" s="21" t="n">
        <v>0</v>
      </c>
      <c r="L11723" s="21" t="n">
        <v>0</v>
      </c>
      <c r="M11723" s="21" t="n">
        <v>0</v>
      </c>
      <c r="N11723" s="21" t="n">
        <v>0</v>
      </c>
      <c r="O11723" s="21" t="n">
        <v>0</v>
      </c>
      <c r="P11723" s="21" t="n">
        <v>0</v>
      </c>
      <c r="Q11723" s="21" t="n">
        <v>0</v>
      </c>
      <c r="R11723" s="21" t="n">
        <v>0</v>
      </c>
      <c r="S11723" s="21" t="n">
        <v>0</v>
      </c>
      <c r="T11723" s="21" t="n">
        <v>0</v>
      </c>
      <c r="U11723" s="21" t="n">
        <v>0</v>
      </c>
      <c r="V11723" s="21">
        <f>-$B$10476</f>
        <v/>
      </c>
      <c r="W11723" s="21">
        <f>-$B$10477</f>
        <v/>
      </c>
      <c r="X11723" s="21">
        <f>$B$10476+$D$11701</f>
        <v/>
      </c>
      <c r="Y11723" s="21">
        <f>-$B$10477</f>
        <v/>
      </c>
      <c r="Z11723" s="19" t="n"/>
    </row>
    <row r="11724">
      <c r="D11724" s="21" t="n">
        <v>0</v>
      </c>
      <c r="E11724" s="21" t="n">
        <v>0</v>
      </c>
      <c r="F11724" s="21" t="n">
        <v>0</v>
      </c>
      <c r="G11724" s="21" t="n">
        <v>0</v>
      </c>
      <c r="H11724" s="21" t="n">
        <v>0</v>
      </c>
      <c r="I11724" s="21" t="n">
        <v>0</v>
      </c>
      <c r="J11724" s="21" t="n">
        <v>0</v>
      </c>
      <c r="K11724" s="21" t="n">
        <v>0</v>
      </c>
      <c r="L11724" s="21" t="n">
        <v>0</v>
      </c>
      <c r="M11724" s="21" t="n">
        <v>0</v>
      </c>
      <c r="N11724" s="21" t="n">
        <v>0</v>
      </c>
      <c r="O11724" s="21" t="n">
        <v>0</v>
      </c>
      <c r="P11724" s="21" t="n">
        <v>0</v>
      </c>
      <c r="Q11724" s="21" t="n">
        <v>0</v>
      </c>
      <c r="R11724" s="21" t="n">
        <v>0</v>
      </c>
      <c r="S11724" s="21" t="n">
        <v>0</v>
      </c>
      <c r="T11724" s="21" t="n">
        <v>0</v>
      </c>
      <c r="U11724" s="21" t="n">
        <v>0</v>
      </c>
      <c r="V11724" s="21">
        <f>$B$10477</f>
        <v/>
      </c>
      <c r="W11724" s="21">
        <f>$B$10479</f>
        <v/>
      </c>
      <c r="X11724" s="21">
        <f>-$B$10477</f>
        <v/>
      </c>
      <c r="Y11724" s="21">
        <f>$B$10478</f>
        <v/>
      </c>
      <c r="Z11724" s="19" t="n"/>
    </row>
    <row r="11726">
      <c r="A11726" s="8" t="inlineStr">
        <is>
          <t>gen 34</t>
        </is>
      </c>
    </row>
    <row r="11727">
      <c r="D11727" s="19">
        <f>IF(ABS(IF(ABS($E$11691)&gt;0.000000001,$E$11691,0.000000001))=0,0,IF($E$10491&lt;=$B$10485,0,IF(ABS(IF(ABS($E$11691)&gt;0.000000001,$E$11691,0.000000001))&gt;=8*$B$10487,$H$10491,0.5*$H$10491*(ABS(IF(ABS($E$11691)&gt;0.000000001,$E$11691,0.000000001))/$B$10487)^(1/3)))/ABS(IF(ABS($E$11691)&gt;0.000000001,$E$11691,0.000000001))*$I$10491)</f>
        <v/>
      </c>
      <c r="E11727" s="19">
        <f>0.5*$E$11691+0.5*$Z$11739</f>
        <v/>
      </c>
      <c r="F11727" s="19">
        <f>$Z$11740</f>
        <v/>
      </c>
    </row>
    <row r="11728">
      <c r="D11728" s="19">
        <f>IF(ABS(IF(ABS($E$11692)&gt;0.000000001,$E$11692,0.000000001))=0,0,IF($E$10492&lt;=$B$10485,0,IF(ABS(IF(ABS($E$11692)&gt;0.000000001,$E$11692,0.000000001))&gt;=8*$B$10487,$H$10492,0.5*$H$10492*(ABS(IF(ABS($E$11692)&gt;0.000000001,$E$11692,0.000000001))/$B$10487)^(1/3)))/ABS(IF(ABS($E$11692)&gt;0.000000001,$E$11692,0.000000001))*$I$10492)</f>
        <v/>
      </c>
      <c r="E11728" s="19">
        <f>0.5*$E$11692+0.5*$Z$11741</f>
        <v/>
      </c>
      <c r="F11728" s="19">
        <f>$Z$11742</f>
        <v/>
      </c>
    </row>
    <row r="11729">
      <c r="D11729" s="19">
        <f>IF(ABS(IF(ABS($E$11693)&gt;0.000000001,$E$11693,0.000000001))=0,0,IF($E$10493&lt;=$B$10485,0,IF(ABS(IF(ABS($E$11693)&gt;0.000000001,$E$11693,0.000000001))&gt;=8*$B$10487,$H$10493,0.5*$H$10493*(ABS(IF(ABS($E$11693)&gt;0.000000001,$E$11693,0.000000001))/$B$10487)^(1/3)))/ABS(IF(ABS($E$11693)&gt;0.000000001,$E$11693,0.000000001))*$I$10493)</f>
        <v/>
      </c>
      <c r="E11729" s="19">
        <f>0.5*$E$11693+0.5*$Z$11743</f>
        <v/>
      </c>
      <c r="F11729" s="19">
        <f>$Z$11744</f>
        <v/>
      </c>
    </row>
    <row r="11730">
      <c r="D11730" s="19">
        <f>IF(ABS(IF(ABS($E$11694)&gt;0.000000001,$E$11694,0.000000001))=0,0,IF($E$10494&lt;=$B$10485,0,IF(ABS(IF(ABS($E$11694)&gt;0.000000001,$E$11694,0.000000001))&gt;=8*$B$10487,$H$10494,0.5*$H$10494*(ABS(IF(ABS($E$11694)&gt;0.000000001,$E$11694,0.000000001))/$B$10487)^(1/3)))/ABS(IF(ABS($E$11694)&gt;0.000000001,$E$11694,0.000000001))*$I$10494)</f>
        <v/>
      </c>
      <c r="E11730" s="19">
        <f>0.5*$E$11694+0.5*$Z$11745</f>
        <v/>
      </c>
      <c r="F11730" s="19">
        <f>$Z$11746</f>
        <v/>
      </c>
    </row>
    <row r="11731">
      <c r="D11731" s="19">
        <f>IF(ABS(IF(ABS($E$11695)&gt;0.000000001,$E$11695,0.000000001))=0,0,IF($E$10495&lt;=$B$10485,0,IF(ABS(IF(ABS($E$11695)&gt;0.000000001,$E$11695,0.000000001))&gt;=8*$B$10487,$H$10495,0.5*$H$10495*(ABS(IF(ABS($E$11695)&gt;0.000000001,$E$11695,0.000000001))/$B$10487)^(1/3)))/ABS(IF(ABS($E$11695)&gt;0.000000001,$E$11695,0.000000001))*$I$10495)</f>
        <v/>
      </c>
      <c r="E11731" s="19">
        <f>0.5*$E$11695+0.5*$Z$11747</f>
        <v/>
      </c>
      <c r="F11731" s="19">
        <f>$Z$11748</f>
        <v/>
      </c>
    </row>
    <row r="11732">
      <c r="D11732" s="19">
        <f>IF(ABS(IF(ABS($E$11696)&gt;0.000000001,$E$11696,0.000000001))=0,0,IF($E$10496&lt;=$B$10485,0,IF(ABS(IF(ABS($E$11696)&gt;0.000000001,$E$11696,0.000000001))&gt;=8*$B$10487,$H$10496,0.5*$H$10496*(ABS(IF(ABS($E$11696)&gt;0.000000001,$E$11696,0.000000001))/$B$10487)^(1/3)))/ABS(IF(ABS($E$11696)&gt;0.000000001,$E$11696,0.000000001))*$I$10496)</f>
        <v/>
      </c>
      <c r="E11732" s="19">
        <f>0.5*$E$11696+0.5*$Z$11749</f>
        <v/>
      </c>
      <c r="F11732" s="19">
        <f>$Z$11750</f>
        <v/>
      </c>
    </row>
    <row r="11733">
      <c r="D11733" s="19">
        <f>IF(ABS(IF(ABS($E$11697)&gt;0.000000001,$E$11697,0.000000001))=0,0,IF($E$10497&lt;=$B$10485,0,IF(ABS(IF(ABS($E$11697)&gt;0.000000001,$E$11697,0.000000001))&gt;=8*$B$10487,$H$10497,0.5*$H$10497*(ABS(IF(ABS($E$11697)&gt;0.000000001,$E$11697,0.000000001))/$B$10487)^(1/3)))/ABS(IF(ABS($E$11697)&gt;0.000000001,$E$11697,0.000000001))*$I$10497)</f>
        <v/>
      </c>
      <c r="E11733" s="19">
        <f>0.5*$E$11697+0.5*$Z$11751</f>
        <v/>
      </c>
      <c r="F11733" s="19">
        <f>$Z$11752</f>
        <v/>
      </c>
    </row>
    <row r="11734">
      <c r="D11734" s="19">
        <f>IF(ABS(IF(ABS($E$11698)&gt;0.000000001,$E$11698,0.000000001))=0,0,IF($E$10498&lt;=$B$10485,0,IF(ABS(IF(ABS($E$11698)&gt;0.000000001,$E$11698,0.000000001))&gt;=8*$B$10487,$H$10498,0.5*$H$10498*(ABS(IF(ABS($E$11698)&gt;0.000000001,$E$11698,0.000000001))/$B$10487)^(1/3)))/ABS(IF(ABS($E$11698)&gt;0.000000001,$E$11698,0.000000001))*$I$10498)</f>
        <v/>
      </c>
      <c r="E11734" s="19">
        <f>0.5*$E$11698+0.5*$Z$11753</f>
        <v/>
      </c>
      <c r="F11734" s="19">
        <f>$Z$11754</f>
        <v/>
      </c>
    </row>
    <row r="11735">
      <c r="D11735" s="19">
        <f>IF(ABS(IF(ABS($E$11699)&gt;0.000000001,$E$11699,0.000000001))=0,0,IF($E$10499&lt;=$B$10485,0,IF(ABS(IF(ABS($E$11699)&gt;0.000000001,$E$11699,0.000000001))&gt;=8*$B$10487,$H$10499,0.5*$H$10499*(ABS(IF(ABS($E$11699)&gt;0.000000001,$E$11699,0.000000001))/$B$10487)^(1/3)))/ABS(IF(ABS($E$11699)&gt;0.000000001,$E$11699,0.000000001))*$I$10499)</f>
        <v/>
      </c>
      <c r="E11735" s="19">
        <f>0.5*$E$11699+0.5*$Z$11755</f>
        <v/>
      </c>
      <c r="F11735" s="19">
        <f>$Z$11756</f>
        <v/>
      </c>
    </row>
    <row r="11736">
      <c r="D11736" s="19">
        <f>IF(ABS(IF(ABS($E$11700)&gt;0.000000001,$E$11700,0.000000001))=0,0,IF($E$10500&lt;=$B$10485,0,IF(ABS(IF(ABS($E$11700)&gt;0.000000001,$E$11700,0.000000001))&gt;=8*$B$10487,$H$10500,0.5*$H$10500*(ABS(IF(ABS($E$11700)&gt;0.000000001,$E$11700,0.000000001))/$B$10487)^(1/3)))/ABS(IF(ABS($E$11700)&gt;0.000000001,$E$11700,0.000000001))*$I$10500)</f>
        <v/>
      </c>
      <c r="E11736" s="19">
        <f>0.5*$E$11700+0.5*$Z$11757</f>
        <v/>
      </c>
      <c r="F11736" s="19">
        <f>$Z$11758</f>
        <v/>
      </c>
    </row>
    <row r="11737">
      <c r="D11737" s="19">
        <f>IF(ABS(IF(ABS($E$11701)&gt;0.000000001,$E$11701,0.000000001))=0,0,IF($E$10501&lt;=$B$10485,0,IF(ABS(IF(ABS($E$11701)&gt;0.000000001,$E$11701,0.000000001))&gt;=8*$B$10487,$H$10501,0.5*$H$10501*(ABS(IF(ABS($E$11701)&gt;0.000000001,$E$11701,0.000000001))/$B$10487)^(1/3)))/ABS(IF(ABS($E$11701)&gt;0.000000001,$E$11701,0.000000001))*$I$10501)</f>
        <v/>
      </c>
      <c r="E11737" s="19">
        <f>0.5*$E$11701+0.5*$Z$11759</f>
        <v/>
      </c>
      <c r="F11737" s="19">
        <f>$Z$11760</f>
        <v/>
      </c>
    </row>
    <row r="11739">
      <c r="D11739" s="21">
        <f>$B$10476+$D$11727</f>
        <v/>
      </c>
      <c r="E11739" s="21">
        <f>$B$10477</f>
        <v/>
      </c>
      <c r="F11739" s="21">
        <f>-$B$10476</f>
        <v/>
      </c>
      <c r="G11739" s="21">
        <f>$B$10477</f>
        <v/>
      </c>
      <c r="H11739" s="21" t="n">
        <v>0</v>
      </c>
      <c r="I11739" s="21" t="n">
        <v>0</v>
      </c>
      <c r="J11739" s="21" t="n">
        <v>0</v>
      </c>
      <c r="K11739" s="21" t="n">
        <v>0</v>
      </c>
      <c r="L11739" s="21" t="n">
        <v>0</v>
      </c>
      <c r="M11739" s="21" t="n">
        <v>0</v>
      </c>
      <c r="N11739" s="21" t="n">
        <v>0</v>
      </c>
      <c r="O11739" s="21" t="n">
        <v>0</v>
      </c>
      <c r="P11739" s="21" t="n">
        <v>0</v>
      </c>
      <c r="Q11739" s="21" t="n">
        <v>0</v>
      </c>
      <c r="R11739" s="21" t="n">
        <v>0</v>
      </c>
      <c r="S11739" s="21" t="n">
        <v>0</v>
      </c>
      <c r="T11739" s="21" t="n">
        <v>0</v>
      </c>
      <c r="U11739" s="21" t="n">
        <v>0</v>
      </c>
      <c r="V11739" s="21" t="n">
        <v>0</v>
      </c>
      <c r="W11739" s="21" t="n">
        <v>0</v>
      </c>
      <c r="X11739" s="21" t="n">
        <v>0</v>
      </c>
      <c r="Y11739" s="21" t="n">
        <v>0</v>
      </c>
      <c r="Z11739" s="19">
        <f t="array" ref="Z11739:Z11760">MMULT(MINVERSE($D$11739:$Y$11760),$D$10503:$D$10524)</f>
        <v/>
      </c>
    </row>
    <row r="11740">
      <c r="D11740" s="21">
        <f>$B$10477</f>
        <v/>
      </c>
      <c r="E11740" s="21">
        <f>$B$10478</f>
        <v/>
      </c>
      <c r="F11740" s="21">
        <f>-$B$10477</f>
        <v/>
      </c>
      <c r="G11740" s="21">
        <f>$B$10479</f>
        <v/>
      </c>
      <c r="H11740" s="21" t="n">
        <v>0</v>
      </c>
      <c r="I11740" s="21" t="n">
        <v>0</v>
      </c>
      <c r="J11740" s="21" t="n">
        <v>0</v>
      </c>
      <c r="K11740" s="21" t="n">
        <v>0</v>
      </c>
      <c r="L11740" s="21" t="n">
        <v>0</v>
      </c>
      <c r="M11740" s="21" t="n">
        <v>0</v>
      </c>
      <c r="N11740" s="21" t="n">
        <v>0</v>
      </c>
      <c r="O11740" s="21" t="n">
        <v>0</v>
      </c>
      <c r="P11740" s="21" t="n">
        <v>0</v>
      </c>
      <c r="Q11740" s="21" t="n">
        <v>0</v>
      </c>
      <c r="R11740" s="21" t="n">
        <v>0</v>
      </c>
      <c r="S11740" s="21" t="n">
        <v>0</v>
      </c>
      <c r="T11740" s="21" t="n">
        <v>0</v>
      </c>
      <c r="U11740" s="21" t="n">
        <v>0</v>
      </c>
      <c r="V11740" s="21" t="n">
        <v>0</v>
      </c>
      <c r="W11740" s="21" t="n">
        <v>0</v>
      </c>
      <c r="X11740" s="21" t="n">
        <v>0</v>
      </c>
      <c r="Y11740" s="21" t="n">
        <v>0</v>
      </c>
      <c r="Z11740" s="19" t="n"/>
    </row>
    <row r="11741">
      <c r="D11741" s="21">
        <f>-$B$10476</f>
        <v/>
      </c>
      <c r="E11741" s="21">
        <f>-$B$10477</f>
        <v/>
      </c>
      <c r="F11741" s="21">
        <f>2*$B$10476+$D$11728</f>
        <v/>
      </c>
      <c r="G11741" s="21">
        <f>0</f>
        <v/>
      </c>
      <c r="H11741" s="21">
        <f>-$B$10476</f>
        <v/>
      </c>
      <c r="I11741" s="21">
        <f>$B$10477</f>
        <v/>
      </c>
      <c r="J11741" s="21" t="n">
        <v>0</v>
      </c>
      <c r="K11741" s="21" t="n">
        <v>0</v>
      </c>
      <c r="L11741" s="21" t="n">
        <v>0</v>
      </c>
      <c r="M11741" s="21" t="n">
        <v>0</v>
      </c>
      <c r="N11741" s="21" t="n">
        <v>0</v>
      </c>
      <c r="O11741" s="21" t="n">
        <v>0</v>
      </c>
      <c r="P11741" s="21" t="n">
        <v>0</v>
      </c>
      <c r="Q11741" s="21" t="n">
        <v>0</v>
      </c>
      <c r="R11741" s="21" t="n">
        <v>0</v>
      </c>
      <c r="S11741" s="21" t="n">
        <v>0</v>
      </c>
      <c r="T11741" s="21" t="n">
        <v>0</v>
      </c>
      <c r="U11741" s="21" t="n">
        <v>0</v>
      </c>
      <c r="V11741" s="21" t="n">
        <v>0</v>
      </c>
      <c r="W11741" s="21" t="n">
        <v>0</v>
      </c>
      <c r="X11741" s="21" t="n">
        <v>0</v>
      </c>
      <c r="Y11741" s="21" t="n">
        <v>0</v>
      </c>
      <c r="Z11741" s="19" t="n"/>
    </row>
    <row r="11742">
      <c r="D11742" s="21">
        <f>$B$10477</f>
        <v/>
      </c>
      <c r="E11742" s="21">
        <f>$B$10479</f>
        <v/>
      </c>
      <c r="F11742" s="21">
        <f>0</f>
        <v/>
      </c>
      <c r="G11742" s="21">
        <f>2*$B$10478</f>
        <v/>
      </c>
      <c r="H11742" s="21">
        <f>-$B$10477</f>
        <v/>
      </c>
      <c r="I11742" s="21">
        <f>$B$10479</f>
        <v/>
      </c>
      <c r="J11742" s="21" t="n">
        <v>0</v>
      </c>
      <c r="K11742" s="21" t="n">
        <v>0</v>
      </c>
      <c r="L11742" s="21" t="n">
        <v>0</v>
      </c>
      <c r="M11742" s="21" t="n">
        <v>0</v>
      </c>
      <c r="N11742" s="21" t="n">
        <v>0</v>
      </c>
      <c r="O11742" s="21" t="n">
        <v>0</v>
      </c>
      <c r="P11742" s="21" t="n">
        <v>0</v>
      </c>
      <c r="Q11742" s="21" t="n">
        <v>0</v>
      </c>
      <c r="R11742" s="21" t="n">
        <v>0</v>
      </c>
      <c r="S11742" s="21" t="n">
        <v>0</v>
      </c>
      <c r="T11742" s="21" t="n">
        <v>0</v>
      </c>
      <c r="U11742" s="21" t="n">
        <v>0</v>
      </c>
      <c r="V11742" s="21" t="n">
        <v>0</v>
      </c>
      <c r="W11742" s="21" t="n">
        <v>0</v>
      </c>
      <c r="X11742" s="21" t="n">
        <v>0</v>
      </c>
      <c r="Y11742" s="21" t="n">
        <v>0</v>
      </c>
      <c r="Z11742" s="19" t="n"/>
    </row>
    <row r="11743">
      <c r="D11743" s="21" t="n">
        <v>0</v>
      </c>
      <c r="E11743" s="21" t="n">
        <v>0</v>
      </c>
      <c r="F11743" s="21">
        <f>-$B$10476</f>
        <v/>
      </c>
      <c r="G11743" s="21">
        <f>-$B$10477</f>
        <v/>
      </c>
      <c r="H11743" s="21">
        <f>2*$B$10476+$D$11729</f>
        <v/>
      </c>
      <c r="I11743" s="21">
        <f>0</f>
        <v/>
      </c>
      <c r="J11743" s="21">
        <f>-$B$10476</f>
        <v/>
      </c>
      <c r="K11743" s="21">
        <f>$B$10477</f>
        <v/>
      </c>
      <c r="L11743" s="21" t="n">
        <v>0</v>
      </c>
      <c r="M11743" s="21" t="n">
        <v>0</v>
      </c>
      <c r="N11743" s="21" t="n">
        <v>0</v>
      </c>
      <c r="O11743" s="21" t="n">
        <v>0</v>
      </c>
      <c r="P11743" s="21" t="n">
        <v>0</v>
      </c>
      <c r="Q11743" s="21" t="n">
        <v>0</v>
      </c>
      <c r="R11743" s="21" t="n">
        <v>0</v>
      </c>
      <c r="S11743" s="21" t="n">
        <v>0</v>
      </c>
      <c r="T11743" s="21" t="n">
        <v>0</v>
      </c>
      <c r="U11743" s="21" t="n">
        <v>0</v>
      </c>
      <c r="V11743" s="21" t="n">
        <v>0</v>
      </c>
      <c r="W11743" s="21" t="n">
        <v>0</v>
      </c>
      <c r="X11743" s="21" t="n">
        <v>0</v>
      </c>
      <c r="Y11743" s="21" t="n">
        <v>0</v>
      </c>
      <c r="Z11743" s="19" t="n"/>
    </row>
    <row r="11744">
      <c r="D11744" s="21" t="n">
        <v>0</v>
      </c>
      <c r="E11744" s="21" t="n">
        <v>0</v>
      </c>
      <c r="F11744" s="21">
        <f>$B$10477</f>
        <v/>
      </c>
      <c r="G11744" s="21">
        <f>$B$10479</f>
        <v/>
      </c>
      <c r="H11744" s="21">
        <f>0</f>
        <v/>
      </c>
      <c r="I11744" s="21">
        <f>2*$B$10478</f>
        <v/>
      </c>
      <c r="J11744" s="21">
        <f>-$B$10477</f>
        <v/>
      </c>
      <c r="K11744" s="21">
        <f>$B$10479</f>
        <v/>
      </c>
      <c r="L11744" s="21" t="n">
        <v>0</v>
      </c>
      <c r="M11744" s="21" t="n">
        <v>0</v>
      </c>
      <c r="N11744" s="21" t="n">
        <v>0</v>
      </c>
      <c r="O11744" s="21" t="n">
        <v>0</v>
      </c>
      <c r="P11744" s="21" t="n">
        <v>0</v>
      </c>
      <c r="Q11744" s="21" t="n">
        <v>0</v>
      </c>
      <c r="R11744" s="21" t="n">
        <v>0</v>
      </c>
      <c r="S11744" s="21" t="n">
        <v>0</v>
      </c>
      <c r="T11744" s="21" t="n">
        <v>0</v>
      </c>
      <c r="U11744" s="21" t="n">
        <v>0</v>
      </c>
      <c r="V11744" s="21" t="n">
        <v>0</v>
      </c>
      <c r="W11744" s="21" t="n">
        <v>0</v>
      </c>
      <c r="X11744" s="21" t="n">
        <v>0</v>
      </c>
      <c r="Y11744" s="21" t="n">
        <v>0</v>
      </c>
      <c r="Z11744" s="19" t="n"/>
    </row>
    <row r="11745">
      <c r="D11745" s="21" t="n">
        <v>0</v>
      </c>
      <c r="E11745" s="21" t="n">
        <v>0</v>
      </c>
      <c r="F11745" s="21" t="n">
        <v>0</v>
      </c>
      <c r="G11745" s="21" t="n">
        <v>0</v>
      </c>
      <c r="H11745" s="21">
        <f>-$B$10476</f>
        <v/>
      </c>
      <c r="I11745" s="21">
        <f>-$B$10477</f>
        <v/>
      </c>
      <c r="J11745" s="21">
        <f>2*$B$10476+$D$11730</f>
        <v/>
      </c>
      <c r="K11745" s="21">
        <f>0</f>
        <v/>
      </c>
      <c r="L11745" s="21">
        <f>-$B$10476</f>
        <v/>
      </c>
      <c r="M11745" s="21">
        <f>$B$10477</f>
        <v/>
      </c>
      <c r="N11745" s="21" t="n">
        <v>0</v>
      </c>
      <c r="O11745" s="21" t="n">
        <v>0</v>
      </c>
      <c r="P11745" s="21" t="n">
        <v>0</v>
      </c>
      <c r="Q11745" s="21" t="n">
        <v>0</v>
      </c>
      <c r="R11745" s="21" t="n">
        <v>0</v>
      </c>
      <c r="S11745" s="21" t="n">
        <v>0</v>
      </c>
      <c r="T11745" s="21" t="n">
        <v>0</v>
      </c>
      <c r="U11745" s="21" t="n">
        <v>0</v>
      </c>
      <c r="V11745" s="21" t="n">
        <v>0</v>
      </c>
      <c r="W11745" s="21" t="n">
        <v>0</v>
      </c>
      <c r="X11745" s="21" t="n">
        <v>0</v>
      </c>
      <c r="Y11745" s="21" t="n">
        <v>0</v>
      </c>
      <c r="Z11745" s="19" t="n"/>
    </row>
    <row r="11746">
      <c r="D11746" s="21" t="n">
        <v>0</v>
      </c>
      <c r="E11746" s="21" t="n">
        <v>0</v>
      </c>
      <c r="F11746" s="21" t="n">
        <v>0</v>
      </c>
      <c r="G11746" s="21" t="n">
        <v>0</v>
      </c>
      <c r="H11746" s="21">
        <f>$B$10477</f>
        <v/>
      </c>
      <c r="I11746" s="21">
        <f>$B$10479</f>
        <v/>
      </c>
      <c r="J11746" s="21">
        <f>0</f>
        <v/>
      </c>
      <c r="K11746" s="21">
        <f>2*$B$10478</f>
        <v/>
      </c>
      <c r="L11746" s="21">
        <f>-$B$10477</f>
        <v/>
      </c>
      <c r="M11746" s="21">
        <f>$B$10479</f>
        <v/>
      </c>
      <c r="N11746" s="21" t="n">
        <v>0</v>
      </c>
      <c r="O11746" s="21" t="n">
        <v>0</v>
      </c>
      <c r="P11746" s="21" t="n">
        <v>0</v>
      </c>
      <c r="Q11746" s="21" t="n">
        <v>0</v>
      </c>
      <c r="R11746" s="21" t="n">
        <v>0</v>
      </c>
      <c r="S11746" s="21" t="n">
        <v>0</v>
      </c>
      <c r="T11746" s="21" t="n">
        <v>0</v>
      </c>
      <c r="U11746" s="21" t="n">
        <v>0</v>
      </c>
      <c r="V11746" s="21" t="n">
        <v>0</v>
      </c>
      <c r="W11746" s="21" t="n">
        <v>0</v>
      </c>
      <c r="X11746" s="21" t="n">
        <v>0</v>
      </c>
      <c r="Y11746" s="21" t="n">
        <v>0</v>
      </c>
      <c r="Z11746" s="19" t="n"/>
    </row>
    <row r="11747">
      <c r="D11747" s="21" t="n">
        <v>0</v>
      </c>
      <c r="E11747" s="21" t="n">
        <v>0</v>
      </c>
      <c r="F11747" s="21" t="n">
        <v>0</v>
      </c>
      <c r="G11747" s="21" t="n">
        <v>0</v>
      </c>
      <c r="H11747" s="21" t="n">
        <v>0</v>
      </c>
      <c r="I11747" s="21" t="n">
        <v>0</v>
      </c>
      <c r="J11747" s="21">
        <f>-$B$10476</f>
        <v/>
      </c>
      <c r="K11747" s="21">
        <f>-$B$10477</f>
        <v/>
      </c>
      <c r="L11747" s="21">
        <f>2*$B$10476+$D$11731</f>
        <v/>
      </c>
      <c r="M11747" s="21">
        <f>0</f>
        <v/>
      </c>
      <c r="N11747" s="21">
        <f>-$B$10476</f>
        <v/>
      </c>
      <c r="O11747" s="21">
        <f>$B$10477</f>
        <v/>
      </c>
      <c r="P11747" s="21" t="n">
        <v>0</v>
      </c>
      <c r="Q11747" s="21" t="n">
        <v>0</v>
      </c>
      <c r="R11747" s="21" t="n">
        <v>0</v>
      </c>
      <c r="S11747" s="21" t="n">
        <v>0</v>
      </c>
      <c r="T11747" s="21" t="n">
        <v>0</v>
      </c>
      <c r="U11747" s="21" t="n">
        <v>0</v>
      </c>
      <c r="V11747" s="21" t="n">
        <v>0</v>
      </c>
      <c r="W11747" s="21" t="n">
        <v>0</v>
      </c>
      <c r="X11747" s="21" t="n">
        <v>0</v>
      </c>
      <c r="Y11747" s="21" t="n">
        <v>0</v>
      </c>
      <c r="Z11747" s="19" t="n"/>
    </row>
    <row r="11748">
      <c r="D11748" s="21" t="n">
        <v>0</v>
      </c>
      <c r="E11748" s="21" t="n">
        <v>0</v>
      </c>
      <c r="F11748" s="21" t="n">
        <v>0</v>
      </c>
      <c r="G11748" s="21" t="n">
        <v>0</v>
      </c>
      <c r="H11748" s="21" t="n">
        <v>0</v>
      </c>
      <c r="I11748" s="21" t="n">
        <v>0</v>
      </c>
      <c r="J11748" s="21">
        <f>$B$10477</f>
        <v/>
      </c>
      <c r="K11748" s="21">
        <f>$B$10479</f>
        <v/>
      </c>
      <c r="L11748" s="21">
        <f>0</f>
        <v/>
      </c>
      <c r="M11748" s="21">
        <f>2*$B$10478</f>
        <v/>
      </c>
      <c r="N11748" s="21">
        <f>-$B$10477</f>
        <v/>
      </c>
      <c r="O11748" s="21">
        <f>$B$10479</f>
        <v/>
      </c>
      <c r="P11748" s="21" t="n">
        <v>0</v>
      </c>
      <c r="Q11748" s="21" t="n">
        <v>0</v>
      </c>
      <c r="R11748" s="21" t="n">
        <v>0</v>
      </c>
      <c r="S11748" s="21" t="n">
        <v>0</v>
      </c>
      <c r="T11748" s="21" t="n">
        <v>0</v>
      </c>
      <c r="U11748" s="21" t="n">
        <v>0</v>
      </c>
      <c r="V11748" s="21" t="n">
        <v>0</v>
      </c>
      <c r="W11748" s="21" t="n">
        <v>0</v>
      </c>
      <c r="X11748" s="21" t="n">
        <v>0</v>
      </c>
      <c r="Y11748" s="21" t="n">
        <v>0</v>
      </c>
      <c r="Z11748" s="19" t="n"/>
    </row>
    <row r="11749">
      <c r="D11749" s="21" t="n">
        <v>0</v>
      </c>
      <c r="E11749" s="21" t="n">
        <v>0</v>
      </c>
      <c r="F11749" s="21" t="n">
        <v>0</v>
      </c>
      <c r="G11749" s="21" t="n">
        <v>0</v>
      </c>
      <c r="H11749" s="21" t="n">
        <v>0</v>
      </c>
      <c r="I11749" s="21" t="n">
        <v>0</v>
      </c>
      <c r="J11749" s="21" t="n">
        <v>0</v>
      </c>
      <c r="K11749" s="21" t="n">
        <v>0</v>
      </c>
      <c r="L11749" s="21">
        <f>-$B$10476</f>
        <v/>
      </c>
      <c r="M11749" s="21">
        <f>-$B$10477</f>
        <v/>
      </c>
      <c r="N11749" s="21">
        <f>2*$B$10476+$D$11732</f>
        <v/>
      </c>
      <c r="O11749" s="21">
        <f>0</f>
        <v/>
      </c>
      <c r="P11749" s="21">
        <f>-$B$10476</f>
        <v/>
      </c>
      <c r="Q11749" s="21">
        <f>$B$10477</f>
        <v/>
      </c>
      <c r="R11749" s="21" t="n">
        <v>0</v>
      </c>
      <c r="S11749" s="21" t="n">
        <v>0</v>
      </c>
      <c r="T11749" s="21" t="n">
        <v>0</v>
      </c>
      <c r="U11749" s="21" t="n">
        <v>0</v>
      </c>
      <c r="V11749" s="21" t="n">
        <v>0</v>
      </c>
      <c r="W11749" s="21" t="n">
        <v>0</v>
      </c>
      <c r="X11749" s="21" t="n">
        <v>0</v>
      </c>
      <c r="Y11749" s="21" t="n">
        <v>0</v>
      </c>
      <c r="Z11749" s="19" t="n"/>
    </row>
    <row r="11750">
      <c r="D11750" s="21" t="n">
        <v>0</v>
      </c>
      <c r="E11750" s="21" t="n">
        <v>0</v>
      </c>
      <c r="F11750" s="21" t="n">
        <v>0</v>
      </c>
      <c r="G11750" s="21" t="n">
        <v>0</v>
      </c>
      <c r="H11750" s="21" t="n">
        <v>0</v>
      </c>
      <c r="I11750" s="21" t="n">
        <v>0</v>
      </c>
      <c r="J11750" s="21" t="n">
        <v>0</v>
      </c>
      <c r="K11750" s="21" t="n">
        <v>0</v>
      </c>
      <c r="L11750" s="21">
        <f>$B$10477</f>
        <v/>
      </c>
      <c r="M11750" s="21">
        <f>$B$10479</f>
        <v/>
      </c>
      <c r="N11750" s="21">
        <f>0</f>
        <v/>
      </c>
      <c r="O11750" s="21">
        <f>2*$B$10478</f>
        <v/>
      </c>
      <c r="P11750" s="21">
        <f>-$B$10477</f>
        <v/>
      </c>
      <c r="Q11750" s="21">
        <f>$B$10479</f>
        <v/>
      </c>
      <c r="R11750" s="21" t="n">
        <v>0</v>
      </c>
      <c r="S11750" s="21" t="n">
        <v>0</v>
      </c>
      <c r="T11750" s="21" t="n">
        <v>0</v>
      </c>
      <c r="U11750" s="21" t="n">
        <v>0</v>
      </c>
      <c r="V11750" s="21" t="n">
        <v>0</v>
      </c>
      <c r="W11750" s="21" t="n">
        <v>0</v>
      </c>
      <c r="X11750" s="21" t="n">
        <v>0</v>
      </c>
      <c r="Y11750" s="21" t="n">
        <v>0</v>
      </c>
      <c r="Z11750" s="19" t="n"/>
    </row>
    <row r="11751">
      <c r="D11751" s="21" t="n">
        <v>0</v>
      </c>
      <c r="E11751" s="21" t="n">
        <v>0</v>
      </c>
      <c r="F11751" s="21" t="n">
        <v>0</v>
      </c>
      <c r="G11751" s="21" t="n">
        <v>0</v>
      </c>
      <c r="H11751" s="21" t="n">
        <v>0</v>
      </c>
      <c r="I11751" s="21" t="n">
        <v>0</v>
      </c>
      <c r="J11751" s="21" t="n">
        <v>0</v>
      </c>
      <c r="K11751" s="21" t="n">
        <v>0</v>
      </c>
      <c r="L11751" s="21" t="n">
        <v>0</v>
      </c>
      <c r="M11751" s="21" t="n">
        <v>0</v>
      </c>
      <c r="N11751" s="21">
        <f>-$B$10476</f>
        <v/>
      </c>
      <c r="O11751" s="21">
        <f>-$B$10477</f>
        <v/>
      </c>
      <c r="P11751" s="21">
        <f>2*$B$10476+$D$11733</f>
        <v/>
      </c>
      <c r="Q11751" s="21">
        <f>0</f>
        <v/>
      </c>
      <c r="R11751" s="21">
        <f>-$B$10476</f>
        <v/>
      </c>
      <c r="S11751" s="21">
        <f>$B$10477</f>
        <v/>
      </c>
      <c r="T11751" s="21" t="n">
        <v>0</v>
      </c>
      <c r="U11751" s="21" t="n">
        <v>0</v>
      </c>
      <c r="V11751" s="21" t="n">
        <v>0</v>
      </c>
      <c r="W11751" s="21" t="n">
        <v>0</v>
      </c>
      <c r="X11751" s="21" t="n">
        <v>0</v>
      </c>
      <c r="Y11751" s="21" t="n">
        <v>0</v>
      </c>
      <c r="Z11751" s="19" t="n"/>
    </row>
    <row r="11752">
      <c r="D11752" s="21" t="n">
        <v>0</v>
      </c>
      <c r="E11752" s="21" t="n">
        <v>0</v>
      </c>
      <c r="F11752" s="21" t="n">
        <v>0</v>
      </c>
      <c r="G11752" s="21" t="n">
        <v>0</v>
      </c>
      <c r="H11752" s="21" t="n">
        <v>0</v>
      </c>
      <c r="I11752" s="21" t="n">
        <v>0</v>
      </c>
      <c r="J11752" s="21" t="n">
        <v>0</v>
      </c>
      <c r="K11752" s="21" t="n">
        <v>0</v>
      </c>
      <c r="L11752" s="21" t="n">
        <v>0</v>
      </c>
      <c r="M11752" s="21" t="n">
        <v>0</v>
      </c>
      <c r="N11752" s="21">
        <f>$B$10477</f>
        <v/>
      </c>
      <c r="O11752" s="21">
        <f>$B$10479</f>
        <v/>
      </c>
      <c r="P11752" s="21">
        <f>0</f>
        <v/>
      </c>
      <c r="Q11752" s="21">
        <f>2*$B$10478</f>
        <v/>
      </c>
      <c r="R11752" s="21">
        <f>-$B$10477</f>
        <v/>
      </c>
      <c r="S11752" s="21">
        <f>$B$10479</f>
        <v/>
      </c>
      <c r="T11752" s="21" t="n">
        <v>0</v>
      </c>
      <c r="U11752" s="21" t="n">
        <v>0</v>
      </c>
      <c r="V11752" s="21" t="n">
        <v>0</v>
      </c>
      <c r="W11752" s="21" t="n">
        <v>0</v>
      </c>
      <c r="X11752" s="21" t="n">
        <v>0</v>
      </c>
      <c r="Y11752" s="21" t="n">
        <v>0</v>
      </c>
      <c r="Z11752" s="19" t="n"/>
    </row>
    <row r="11753">
      <c r="D11753" s="21" t="n">
        <v>0</v>
      </c>
      <c r="E11753" s="21" t="n">
        <v>0</v>
      </c>
      <c r="F11753" s="21" t="n">
        <v>0</v>
      </c>
      <c r="G11753" s="21" t="n">
        <v>0</v>
      </c>
      <c r="H11753" s="21" t="n">
        <v>0</v>
      </c>
      <c r="I11753" s="21" t="n">
        <v>0</v>
      </c>
      <c r="J11753" s="21" t="n">
        <v>0</v>
      </c>
      <c r="K11753" s="21" t="n">
        <v>0</v>
      </c>
      <c r="L11753" s="21" t="n">
        <v>0</v>
      </c>
      <c r="M11753" s="21" t="n">
        <v>0</v>
      </c>
      <c r="N11753" s="21" t="n">
        <v>0</v>
      </c>
      <c r="O11753" s="21" t="n">
        <v>0</v>
      </c>
      <c r="P11753" s="21">
        <f>-$B$10476</f>
        <v/>
      </c>
      <c r="Q11753" s="21">
        <f>-$B$10477</f>
        <v/>
      </c>
      <c r="R11753" s="21">
        <f>2*$B$10476+$D$11734</f>
        <v/>
      </c>
      <c r="S11753" s="21">
        <f>0</f>
        <v/>
      </c>
      <c r="T11753" s="21">
        <f>-$B$10476</f>
        <v/>
      </c>
      <c r="U11753" s="21">
        <f>$B$10477</f>
        <v/>
      </c>
      <c r="V11753" s="21" t="n">
        <v>0</v>
      </c>
      <c r="W11753" s="21" t="n">
        <v>0</v>
      </c>
      <c r="X11753" s="21" t="n">
        <v>0</v>
      </c>
      <c r="Y11753" s="21" t="n">
        <v>0</v>
      </c>
      <c r="Z11753" s="19" t="n"/>
    </row>
    <row r="11754">
      <c r="D11754" s="21" t="n">
        <v>0</v>
      </c>
      <c r="E11754" s="21" t="n">
        <v>0</v>
      </c>
      <c r="F11754" s="21" t="n">
        <v>0</v>
      </c>
      <c r="G11754" s="21" t="n">
        <v>0</v>
      </c>
      <c r="H11754" s="21" t="n">
        <v>0</v>
      </c>
      <c r="I11754" s="21" t="n">
        <v>0</v>
      </c>
      <c r="J11754" s="21" t="n">
        <v>0</v>
      </c>
      <c r="K11754" s="21" t="n">
        <v>0</v>
      </c>
      <c r="L11754" s="21" t="n">
        <v>0</v>
      </c>
      <c r="M11754" s="21" t="n">
        <v>0</v>
      </c>
      <c r="N11754" s="21" t="n">
        <v>0</v>
      </c>
      <c r="O11754" s="21" t="n">
        <v>0</v>
      </c>
      <c r="P11754" s="21">
        <f>$B$10477</f>
        <v/>
      </c>
      <c r="Q11754" s="21">
        <f>$B$10479</f>
        <v/>
      </c>
      <c r="R11754" s="21">
        <f>0</f>
        <v/>
      </c>
      <c r="S11754" s="21">
        <f>2*$B$10478</f>
        <v/>
      </c>
      <c r="T11754" s="21">
        <f>-$B$10477</f>
        <v/>
      </c>
      <c r="U11754" s="21">
        <f>$B$10479</f>
        <v/>
      </c>
      <c r="V11754" s="21" t="n">
        <v>0</v>
      </c>
      <c r="W11754" s="21" t="n">
        <v>0</v>
      </c>
      <c r="X11754" s="21" t="n">
        <v>0</v>
      </c>
      <c r="Y11754" s="21" t="n">
        <v>0</v>
      </c>
      <c r="Z11754" s="19" t="n"/>
    </row>
    <row r="11755">
      <c r="D11755" s="21" t="n">
        <v>0</v>
      </c>
      <c r="E11755" s="21" t="n">
        <v>0</v>
      </c>
      <c r="F11755" s="21" t="n">
        <v>0</v>
      </c>
      <c r="G11755" s="21" t="n">
        <v>0</v>
      </c>
      <c r="H11755" s="21" t="n">
        <v>0</v>
      </c>
      <c r="I11755" s="21" t="n">
        <v>0</v>
      </c>
      <c r="J11755" s="21" t="n">
        <v>0</v>
      </c>
      <c r="K11755" s="21" t="n">
        <v>0</v>
      </c>
      <c r="L11755" s="21" t="n">
        <v>0</v>
      </c>
      <c r="M11755" s="21" t="n">
        <v>0</v>
      </c>
      <c r="N11755" s="21" t="n">
        <v>0</v>
      </c>
      <c r="O11755" s="21" t="n">
        <v>0</v>
      </c>
      <c r="P11755" s="21" t="n">
        <v>0</v>
      </c>
      <c r="Q11755" s="21" t="n">
        <v>0</v>
      </c>
      <c r="R11755" s="21">
        <f>-$B$10476</f>
        <v/>
      </c>
      <c r="S11755" s="21">
        <f>-$B$10477</f>
        <v/>
      </c>
      <c r="T11755" s="21">
        <f>2*$B$10476+$D$11735</f>
        <v/>
      </c>
      <c r="U11755" s="21">
        <f>0</f>
        <v/>
      </c>
      <c r="V11755" s="21">
        <f>-$B$10476</f>
        <v/>
      </c>
      <c r="W11755" s="21">
        <f>$B$10477</f>
        <v/>
      </c>
      <c r="X11755" s="21" t="n">
        <v>0</v>
      </c>
      <c r="Y11755" s="21" t="n">
        <v>0</v>
      </c>
      <c r="Z11755" s="19" t="n"/>
    </row>
    <row r="11756">
      <c r="D11756" s="21" t="n">
        <v>0</v>
      </c>
      <c r="E11756" s="21" t="n">
        <v>0</v>
      </c>
      <c r="F11756" s="21" t="n">
        <v>0</v>
      </c>
      <c r="G11756" s="21" t="n">
        <v>0</v>
      </c>
      <c r="H11756" s="21" t="n">
        <v>0</v>
      </c>
      <c r="I11756" s="21" t="n">
        <v>0</v>
      </c>
      <c r="J11756" s="21" t="n">
        <v>0</v>
      </c>
      <c r="K11756" s="21" t="n">
        <v>0</v>
      </c>
      <c r="L11756" s="21" t="n">
        <v>0</v>
      </c>
      <c r="M11756" s="21" t="n">
        <v>0</v>
      </c>
      <c r="N11756" s="21" t="n">
        <v>0</v>
      </c>
      <c r="O11756" s="21" t="n">
        <v>0</v>
      </c>
      <c r="P11756" s="21" t="n">
        <v>0</v>
      </c>
      <c r="Q11756" s="21" t="n">
        <v>0</v>
      </c>
      <c r="R11756" s="21">
        <f>$B$10477</f>
        <v/>
      </c>
      <c r="S11756" s="21">
        <f>$B$10479</f>
        <v/>
      </c>
      <c r="T11756" s="21">
        <f>0</f>
        <v/>
      </c>
      <c r="U11756" s="21">
        <f>2*$B$10478</f>
        <v/>
      </c>
      <c r="V11756" s="21">
        <f>-$B$10477</f>
        <v/>
      </c>
      <c r="W11756" s="21">
        <f>$B$10479</f>
        <v/>
      </c>
      <c r="X11756" s="21" t="n">
        <v>0</v>
      </c>
      <c r="Y11756" s="21" t="n">
        <v>0</v>
      </c>
      <c r="Z11756" s="19" t="n"/>
    </row>
    <row r="11757">
      <c r="D11757" s="21" t="n">
        <v>0</v>
      </c>
      <c r="E11757" s="21" t="n">
        <v>0</v>
      </c>
      <c r="F11757" s="21" t="n">
        <v>0</v>
      </c>
      <c r="G11757" s="21" t="n">
        <v>0</v>
      </c>
      <c r="H11757" s="21" t="n">
        <v>0</v>
      </c>
      <c r="I11757" s="21" t="n">
        <v>0</v>
      </c>
      <c r="J11757" s="21" t="n">
        <v>0</v>
      </c>
      <c r="K11757" s="21" t="n">
        <v>0</v>
      </c>
      <c r="L11757" s="21" t="n">
        <v>0</v>
      </c>
      <c r="M11757" s="21" t="n">
        <v>0</v>
      </c>
      <c r="N11757" s="21" t="n">
        <v>0</v>
      </c>
      <c r="O11757" s="21" t="n">
        <v>0</v>
      </c>
      <c r="P11757" s="21" t="n">
        <v>0</v>
      </c>
      <c r="Q11757" s="21" t="n">
        <v>0</v>
      </c>
      <c r="R11757" s="21" t="n">
        <v>0</v>
      </c>
      <c r="S11757" s="21" t="n">
        <v>0</v>
      </c>
      <c r="T11757" s="21">
        <f>-$B$10476</f>
        <v/>
      </c>
      <c r="U11757" s="21">
        <f>-$B$10477</f>
        <v/>
      </c>
      <c r="V11757" s="21">
        <f>2*$B$10476+$D$11736</f>
        <v/>
      </c>
      <c r="W11757" s="21">
        <f>0</f>
        <v/>
      </c>
      <c r="X11757" s="21">
        <f>-$B$10476</f>
        <v/>
      </c>
      <c r="Y11757" s="21">
        <f>$B$10477</f>
        <v/>
      </c>
      <c r="Z11757" s="19" t="n"/>
    </row>
    <row r="11758">
      <c r="D11758" s="21" t="n">
        <v>0</v>
      </c>
      <c r="E11758" s="21" t="n">
        <v>0</v>
      </c>
      <c r="F11758" s="21" t="n">
        <v>0</v>
      </c>
      <c r="G11758" s="21" t="n">
        <v>0</v>
      </c>
      <c r="H11758" s="21" t="n">
        <v>0</v>
      </c>
      <c r="I11758" s="21" t="n">
        <v>0</v>
      </c>
      <c r="J11758" s="21" t="n">
        <v>0</v>
      </c>
      <c r="K11758" s="21" t="n">
        <v>0</v>
      </c>
      <c r="L11758" s="21" t="n">
        <v>0</v>
      </c>
      <c r="M11758" s="21" t="n">
        <v>0</v>
      </c>
      <c r="N11758" s="21" t="n">
        <v>0</v>
      </c>
      <c r="O11758" s="21" t="n">
        <v>0</v>
      </c>
      <c r="P11758" s="21" t="n">
        <v>0</v>
      </c>
      <c r="Q11758" s="21" t="n">
        <v>0</v>
      </c>
      <c r="R11758" s="21" t="n">
        <v>0</v>
      </c>
      <c r="S11758" s="21" t="n">
        <v>0</v>
      </c>
      <c r="T11758" s="21">
        <f>$B$10477</f>
        <v/>
      </c>
      <c r="U11758" s="21">
        <f>$B$10479</f>
        <v/>
      </c>
      <c r="V11758" s="21">
        <f>0</f>
        <v/>
      </c>
      <c r="W11758" s="21">
        <f>2*$B$10478</f>
        <v/>
      </c>
      <c r="X11758" s="21">
        <f>-$B$10477</f>
        <v/>
      </c>
      <c r="Y11758" s="21">
        <f>$B$10479</f>
        <v/>
      </c>
      <c r="Z11758" s="19" t="n"/>
    </row>
    <row r="11759">
      <c r="D11759" s="21" t="n">
        <v>0</v>
      </c>
      <c r="E11759" s="21" t="n">
        <v>0</v>
      </c>
      <c r="F11759" s="21" t="n">
        <v>0</v>
      </c>
      <c r="G11759" s="21" t="n">
        <v>0</v>
      </c>
      <c r="H11759" s="21" t="n">
        <v>0</v>
      </c>
      <c r="I11759" s="21" t="n">
        <v>0</v>
      </c>
      <c r="J11759" s="21" t="n">
        <v>0</v>
      </c>
      <c r="K11759" s="21" t="n">
        <v>0</v>
      </c>
      <c r="L11759" s="21" t="n">
        <v>0</v>
      </c>
      <c r="M11759" s="21" t="n">
        <v>0</v>
      </c>
      <c r="N11759" s="21" t="n">
        <v>0</v>
      </c>
      <c r="O11759" s="21" t="n">
        <v>0</v>
      </c>
      <c r="P11759" s="21" t="n">
        <v>0</v>
      </c>
      <c r="Q11759" s="21" t="n">
        <v>0</v>
      </c>
      <c r="R11759" s="21" t="n">
        <v>0</v>
      </c>
      <c r="S11759" s="21" t="n">
        <v>0</v>
      </c>
      <c r="T11759" s="21" t="n">
        <v>0</v>
      </c>
      <c r="U11759" s="21" t="n">
        <v>0</v>
      </c>
      <c r="V11759" s="21">
        <f>-$B$10476</f>
        <v/>
      </c>
      <c r="W11759" s="21">
        <f>-$B$10477</f>
        <v/>
      </c>
      <c r="X11759" s="21">
        <f>$B$10476+$D$11737</f>
        <v/>
      </c>
      <c r="Y11759" s="21">
        <f>-$B$10477</f>
        <v/>
      </c>
      <c r="Z11759" s="19" t="n"/>
    </row>
    <row r="11760">
      <c r="D11760" s="21" t="n">
        <v>0</v>
      </c>
      <c r="E11760" s="21" t="n">
        <v>0</v>
      </c>
      <c r="F11760" s="21" t="n">
        <v>0</v>
      </c>
      <c r="G11760" s="21" t="n">
        <v>0</v>
      </c>
      <c r="H11760" s="21" t="n">
        <v>0</v>
      </c>
      <c r="I11760" s="21" t="n">
        <v>0</v>
      </c>
      <c r="J11760" s="21" t="n">
        <v>0</v>
      </c>
      <c r="K11760" s="21" t="n">
        <v>0</v>
      </c>
      <c r="L11760" s="21" t="n">
        <v>0</v>
      </c>
      <c r="M11760" s="21" t="n">
        <v>0</v>
      </c>
      <c r="N11760" s="21" t="n">
        <v>0</v>
      </c>
      <c r="O11760" s="21" t="n">
        <v>0</v>
      </c>
      <c r="P11760" s="21" t="n">
        <v>0</v>
      </c>
      <c r="Q11760" s="21" t="n">
        <v>0</v>
      </c>
      <c r="R11760" s="21" t="n">
        <v>0</v>
      </c>
      <c r="S11760" s="21" t="n">
        <v>0</v>
      </c>
      <c r="T11760" s="21" t="n">
        <v>0</v>
      </c>
      <c r="U11760" s="21" t="n">
        <v>0</v>
      </c>
      <c r="V11760" s="21">
        <f>$B$10477</f>
        <v/>
      </c>
      <c r="W11760" s="21">
        <f>$B$10479</f>
        <v/>
      </c>
      <c r="X11760" s="21">
        <f>-$B$10477</f>
        <v/>
      </c>
      <c r="Y11760" s="21">
        <f>$B$10478</f>
        <v/>
      </c>
      <c r="Z11760" s="19" t="n"/>
    </row>
    <row r="11762">
      <c r="A11762" s="8" t="inlineStr">
        <is>
          <t>gen 35</t>
        </is>
      </c>
    </row>
    <row r="11763">
      <c r="D11763" s="19">
        <f>IF(ABS(IF(ABS($E$11727)&gt;0.000000001,$E$11727,0.000000001))=0,0,IF($E$10491&lt;=$B$10485,0,IF(ABS(IF(ABS($E$11727)&gt;0.000000001,$E$11727,0.000000001))&gt;=8*$B$10487,$H$10491,0.5*$H$10491*(ABS(IF(ABS($E$11727)&gt;0.000000001,$E$11727,0.000000001))/$B$10487)^(1/3)))/ABS(IF(ABS($E$11727)&gt;0.000000001,$E$11727,0.000000001))*$I$10491)</f>
        <v/>
      </c>
      <c r="E11763" s="19">
        <f>0.5*$E$11727+0.5*$Z$11775</f>
        <v/>
      </c>
      <c r="F11763" s="19">
        <f>$Z$11776</f>
        <v/>
      </c>
    </row>
    <row r="11764">
      <c r="D11764" s="19">
        <f>IF(ABS(IF(ABS($E$11728)&gt;0.000000001,$E$11728,0.000000001))=0,0,IF($E$10492&lt;=$B$10485,0,IF(ABS(IF(ABS($E$11728)&gt;0.000000001,$E$11728,0.000000001))&gt;=8*$B$10487,$H$10492,0.5*$H$10492*(ABS(IF(ABS($E$11728)&gt;0.000000001,$E$11728,0.000000001))/$B$10487)^(1/3)))/ABS(IF(ABS($E$11728)&gt;0.000000001,$E$11728,0.000000001))*$I$10492)</f>
        <v/>
      </c>
      <c r="E11764" s="19">
        <f>0.5*$E$11728+0.5*$Z$11777</f>
        <v/>
      </c>
      <c r="F11764" s="19">
        <f>$Z$11778</f>
        <v/>
      </c>
    </row>
    <row r="11765">
      <c r="D11765" s="19">
        <f>IF(ABS(IF(ABS($E$11729)&gt;0.000000001,$E$11729,0.000000001))=0,0,IF($E$10493&lt;=$B$10485,0,IF(ABS(IF(ABS($E$11729)&gt;0.000000001,$E$11729,0.000000001))&gt;=8*$B$10487,$H$10493,0.5*$H$10493*(ABS(IF(ABS($E$11729)&gt;0.000000001,$E$11729,0.000000001))/$B$10487)^(1/3)))/ABS(IF(ABS($E$11729)&gt;0.000000001,$E$11729,0.000000001))*$I$10493)</f>
        <v/>
      </c>
      <c r="E11765" s="19">
        <f>0.5*$E$11729+0.5*$Z$11779</f>
        <v/>
      </c>
      <c r="F11765" s="19">
        <f>$Z$11780</f>
        <v/>
      </c>
    </row>
    <row r="11766">
      <c r="D11766" s="19">
        <f>IF(ABS(IF(ABS($E$11730)&gt;0.000000001,$E$11730,0.000000001))=0,0,IF($E$10494&lt;=$B$10485,0,IF(ABS(IF(ABS($E$11730)&gt;0.000000001,$E$11730,0.000000001))&gt;=8*$B$10487,$H$10494,0.5*$H$10494*(ABS(IF(ABS($E$11730)&gt;0.000000001,$E$11730,0.000000001))/$B$10487)^(1/3)))/ABS(IF(ABS($E$11730)&gt;0.000000001,$E$11730,0.000000001))*$I$10494)</f>
        <v/>
      </c>
      <c r="E11766" s="19">
        <f>0.5*$E$11730+0.5*$Z$11781</f>
        <v/>
      </c>
      <c r="F11766" s="19">
        <f>$Z$11782</f>
        <v/>
      </c>
    </row>
    <row r="11767">
      <c r="D11767" s="19">
        <f>IF(ABS(IF(ABS($E$11731)&gt;0.000000001,$E$11731,0.000000001))=0,0,IF($E$10495&lt;=$B$10485,0,IF(ABS(IF(ABS($E$11731)&gt;0.000000001,$E$11731,0.000000001))&gt;=8*$B$10487,$H$10495,0.5*$H$10495*(ABS(IF(ABS($E$11731)&gt;0.000000001,$E$11731,0.000000001))/$B$10487)^(1/3)))/ABS(IF(ABS($E$11731)&gt;0.000000001,$E$11731,0.000000001))*$I$10495)</f>
        <v/>
      </c>
      <c r="E11767" s="19">
        <f>0.5*$E$11731+0.5*$Z$11783</f>
        <v/>
      </c>
      <c r="F11767" s="19">
        <f>$Z$11784</f>
        <v/>
      </c>
    </row>
    <row r="11768">
      <c r="D11768" s="19">
        <f>IF(ABS(IF(ABS($E$11732)&gt;0.000000001,$E$11732,0.000000001))=0,0,IF($E$10496&lt;=$B$10485,0,IF(ABS(IF(ABS($E$11732)&gt;0.000000001,$E$11732,0.000000001))&gt;=8*$B$10487,$H$10496,0.5*$H$10496*(ABS(IF(ABS($E$11732)&gt;0.000000001,$E$11732,0.000000001))/$B$10487)^(1/3)))/ABS(IF(ABS($E$11732)&gt;0.000000001,$E$11732,0.000000001))*$I$10496)</f>
        <v/>
      </c>
      <c r="E11768" s="19">
        <f>0.5*$E$11732+0.5*$Z$11785</f>
        <v/>
      </c>
      <c r="F11768" s="19">
        <f>$Z$11786</f>
        <v/>
      </c>
    </row>
    <row r="11769">
      <c r="D11769" s="19">
        <f>IF(ABS(IF(ABS($E$11733)&gt;0.000000001,$E$11733,0.000000001))=0,0,IF($E$10497&lt;=$B$10485,0,IF(ABS(IF(ABS($E$11733)&gt;0.000000001,$E$11733,0.000000001))&gt;=8*$B$10487,$H$10497,0.5*$H$10497*(ABS(IF(ABS($E$11733)&gt;0.000000001,$E$11733,0.000000001))/$B$10487)^(1/3)))/ABS(IF(ABS($E$11733)&gt;0.000000001,$E$11733,0.000000001))*$I$10497)</f>
        <v/>
      </c>
      <c r="E11769" s="19">
        <f>0.5*$E$11733+0.5*$Z$11787</f>
        <v/>
      </c>
      <c r="F11769" s="19">
        <f>$Z$11788</f>
        <v/>
      </c>
    </row>
    <row r="11770">
      <c r="D11770" s="19">
        <f>IF(ABS(IF(ABS($E$11734)&gt;0.000000001,$E$11734,0.000000001))=0,0,IF($E$10498&lt;=$B$10485,0,IF(ABS(IF(ABS($E$11734)&gt;0.000000001,$E$11734,0.000000001))&gt;=8*$B$10487,$H$10498,0.5*$H$10498*(ABS(IF(ABS($E$11734)&gt;0.000000001,$E$11734,0.000000001))/$B$10487)^(1/3)))/ABS(IF(ABS($E$11734)&gt;0.000000001,$E$11734,0.000000001))*$I$10498)</f>
        <v/>
      </c>
      <c r="E11770" s="19">
        <f>0.5*$E$11734+0.5*$Z$11789</f>
        <v/>
      </c>
      <c r="F11770" s="19">
        <f>$Z$11790</f>
        <v/>
      </c>
    </row>
    <row r="11771">
      <c r="D11771" s="19">
        <f>IF(ABS(IF(ABS($E$11735)&gt;0.000000001,$E$11735,0.000000001))=0,0,IF($E$10499&lt;=$B$10485,0,IF(ABS(IF(ABS($E$11735)&gt;0.000000001,$E$11735,0.000000001))&gt;=8*$B$10487,$H$10499,0.5*$H$10499*(ABS(IF(ABS($E$11735)&gt;0.000000001,$E$11735,0.000000001))/$B$10487)^(1/3)))/ABS(IF(ABS($E$11735)&gt;0.000000001,$E$11735,0.000000001))*$I$10499)</f>
        <v/>
      </c>
      <c r="E11771" s="19">
        <f>0.5*$E$11735+0.5*$Z$11791</f>
        <v/>
      </c>
      <c r="F11771" s="19">
        <f>$Z$11792</f>
        <v/>
      </c>
    </row>
    <row r="11772">
      <c r="D11772" s="19">
        <f>IF(ABS(IF(ABS($E$11736)&gt;0.000000001,$E$11736,0.000000001))=0,0,IF($E$10500&lt;=$B$10485,0,IF(ABS(IF(ABS($E$11736)&gt;0.000000001,$E$11736,0.000000001))&gt;=8*$B$10487,$H$10500,0.5*$H$10500*(ABS(IF(ABS($E$11736)&gt;0.000000001,$E$11736,0.000000001))/$B$10487)^(1/3)))/ABS(IF(ABS($E$11736)&gt;0.000000001,$E$11736,0.000000001))*$I$10500)</f>
        <v/>
      </c>
      <c r="E11772" s="19">
        <f>0.5*$E$11736+0.5*$Z$11793</f>
        <v/>
      </c>
      <c r="F11772" s="19">
        <f>$Z$11794</f>
        <v/>
      </c>
    </row>
    <row r="11773">
      <c r="D11773" s="19">
        <f>IF(ABS(IF(ABS($E$11737)&gt;0.000000001,$E$11737,0.000000001))=0,0,IF($E$10501&lt;=$B$10485,0,IF(ABS(IF(ABS($E$11737)&gt;0.000000001,$E$11737,0.000000001))&gt;=8*$B$10487,$H$10501,0.5*$H$10501*(ABS(IF(ABS($E$11737)&gt;0.000000001,$E$11737,0.000000001))/$B$10487)^(1/3)))/ABS(IF(ABS($E$11737)&gt;0.000000001,$E$11737,0.000000001))*$I$10501)</f>
        <v/>
      </c>
      <c r="E11773" s="19">
        <f>0.5*$E$11737+0.5*$Z$11795</f>
        <v/>
      </c>
      <c r="F11773" s="19">
        <f>$Z$11796</f>
        <v/>
      </c>
    </row>
    <row r="11775">
      <c r="D11775" s="21">
        <f>$B$10476+$D$11763</f>
        <v/>
      </c>
      <c r="E11775" s="21">
        <f>$B$10477</f>
        <v/>
      </c>
      <c r="F11775" s="21">
        <f>-$B$10476</f>
        <v/>
      </c>
      <c r="G11775" s="21">
        <f>$B$10477</f>
        <v/>
      </c>
      <c r="H11775" s="21" t="n">
        <v>0</v>
      </c>
      <c r="I11775" s="21" t="n">
        <v>0</v>
      </c>
      <c r="J11775" s="21" t="n">
        <v>0</v>
      </c>
      <c r="K11775" s="21" t="n">
        <v>0</v>
      </c>
      <c r="L11775" s="21" t="n">
        <v>0</v>
      </c>
      <c r="M11775" s="21" t="n">
        <v>0</v>
      </c>
      <c r="N11775" s="21" t="n">
        <v>0</v>
      </c>
      <c r="O11775" s="21" t="n">
        <v>0</v>
      </c>
      <c r="P11775" s="21" t="n">
        <v>0</v>
      </c>
      <c r="Q11775" s="21" t="n">
        <v>0</v>
      </c>
      <c r="R11775" s="21" t="n">
        <v>0</v>
      </c>
      <c r="S11775" s="21" t="n">
        <v>0</v>
      </c>
      <c r="T11775" s="21" t="n">
        <v>0</v>
      </c>
      <c r="U11775" s="21" t="n">
        <v>0</v>
      </c>
      <c r="V11775" s="21" t="n">
        <v>0</v>
      </c>
      <c r="W11775" s="21" t="n">
        <v>0</v>
      </c>
      <c r="X11775" s="21" t="n">
        <v>0</v>
      </c>
      <c r="Y11775" s="21" t="n">
        <v>0</v>
      </c>
      <c r="Z11775" s="19">
        <f t="array" ref="Z11775:Z11796">MMULT(MINVERSE($D$11775:$Y$11796),$D$10503:$D$10524)</f>
        <v/>
      </c>
    </row>
    <row r="11776">
      <c r="D11776" s="21">
        <f>$B$10477</f>
        <v/>
      </c>
      <c r="E11776" s="21">
        <f>$B$10478</f>
        <v/>
      </c>
      <c r="F11776" s="21">
        <f>-$B$10477</f>
        <v/>
      </c>
      <c r="G11776" s="21">
        <f>$B$10479</f>
        <v/>
      </c>
      <c r="H11776" s="21" t="n">
        <v>0</v>
      </c>
      <c r="I11776" s="21" t="n">
        <v>0</v>
      </c>
      <c r="J11776" s="21" t="n">
        <v>0</v>
      </c>
      <c r="K11776" s="21" t="n">
        <v>0</v>
      </c>
      <c r="L11776" s="21" t="n">
        <v>0</v>
      </c>
      <c r="M11776" s="21" t="n">
        <v>0</v>
      </c>
      <c r="N11776" s="21" t="n">
        <v>0</v>
      </c>
      <c r="O11776" s="21" t="n">
        <v>0</v>
      </c>
      <c r="P11776" s="21" t="n">
        <v>0</v>
      </c>
      <c r="Q11776" s="21" t="n">
        <v>0</v>
      </c>
      <c r="R11776" s="21" t="n">
        <v>0</v>
      </c>
      <c r="S11776" s="21" t="n">
        <v>0</v>
      </c>
      <c r="T11776" s="21" t="n">
        <v>0</v>
      </c>
      <c r="U11776" s="21" t="n">
        <v>0</v>
      </c>
      <c r="V11776" s="21" t="n">
        <v>0</v>
      </c>
      <c r="W11776" s="21" t="n">
        <v>0</v>
      </c>
      <c r="X11776" s="21" t="n">
        <v>0</v>
      </c>
      <c r="Y11776" s="21" t="n">
        <v>0</v>
      </c>
      <c r="Z11776" s="19" t="n"/>
    </row>
    <row r="11777">
      <c r="D11777" s="21">
        <f>-$B$10476</f>
        <v/>
      </c>
      <c r="E11777" s="21">
        <f>-$B$10477</f>
        <v/>
      </c>
      <c r="F11777" s="21">
        <f>2*$B$10476+$D$11764</f>
        <v/>
      </c>
      <c r="G11777" s="21">
        <f>0</f>
        <v/>
      </c>
      <c r="H11777" s="21">
        <f>-$B$10476</f>
        <v/>
      </c>
      <c r="I11777" s="21">
        <f>$B$10477</f>
        <v/>
      </c>
      <c r="J11777" s="21" t="n">
        <v>0</v>
      </c>
      <c r="K11777" s="21" t="n">
        <v>0</v>
      </c>
      <c r="L11777" s="21" t="n">
        <v>0</v>
      </c>
      <c r="M11777" s="21" t="n">
        <v>0</v>
      </c>
      <c r="N11777" s="21" t="n">
        <v>0</v>
      </c>
      <c r="O11777" s="21" t="n">
        <v>0</v>
      </c>
      <c r="P11777" s="21" t="n">
        <v>0</v>
      </c>
      <c r="Q11777" s="21" t="n">
        <v>0</v>
      </c>
      <c r="R11777" s="21" t="n">
        <v>0</v>
      </c>
      <c r="S11777" s="21" t="n">
        <v>0</v>
      </c>
      <c r="T11777" s="21" t="n">
        <v>0</v>
      </c>
      <c r="U11777" s="21" t="n">
        <v>0</v>
      </c>
      <c r="V11777" s="21" t="n">
        <v>0</v>
      </c>
      <c r="W11777" s="21" t="n">
        <v>0</v>
      </c>
      <c r="X11777" s="21" t="n">
        <v>0</v>
      </c>
      <c r="Y11777" s="21" t="n">
        <v>0</v>
      </c>
      <c r="Z11777" s="19" t="n"/>
    </row>
    <row r="11778">
      <c r="D11778" s="21">
        <f>$B$10477</f>
        <v/>
      </c>
      <c r="E11778" s="21">
        <f>$B$10479</f>
        <v/>
      </c>
      <c r="F11778" s="21">
        <f>0</f>
        <v/>
      </c>
      <c r="G11778" s="21">
        <f>2*$B$10478</f>
        <v/>
      </c>
      <c r="H11778" s="21">
        <f>-$B$10477</f>
        <v/>
      </c>
      <c r="I11778" s="21">
        <f>$B$10479</f>
        <v/>
      </c>
      <c r="J11778" s="21" t="n">
        <v>0</v>
      </c>
      <c r="K11778" s="21" t="n">
        <v>0</v>
      </c>
      <c r="L11778" s="21" t="n">
        <v>0</v>
      </c>
      <c r="M11778" s="21" t="n">
        <v>0</v>
      </c>
      <c r="N11778" s="21" t="n">
        <v>0</v>
      </c>
      <c r="O11778" s="21" t="n">
        <v>0</v>
      </c>
      <c r="P11778" s="21" t="n">
        <v>0</v>
      </c>
      <c r="Q11778" s="21" t="n">
        <v>0</v>
      </c>
      <c r="R11778" s="21" t="n">
        <v>0</v>
      </c>
      <c r="S11778" s="21" t="n">
        <v>0</v>
      </c>
      <c r="T11778" s="21" t="n">
        <v>0</v>
      </c>
      <c r="U11778" s="21" t="n">
        <v>0</v>
      </c>
      <c r="V11778" s="21" t="n">
        <v>0</v>
      </c>
      <c r="W11778" s="21" t="n">
        <v>0</v>
      </c>
      <c r="X11778" s="21" t="n">
        <v>0</v>
      </c>
      <c r="Y11778" s="21" t="n">
        <v>0</v>
      </c>
      <c r="Z11778" s="19" t="n"/>
    </row>
    <row r="11779">
      <c r="D11779" s="21" t="n">
        <v>0</v>
      </c>
      <c r="E11779" s="21" t="n">
        <v>0</v>
      </c>
      <c r="F11779" s="21">
        <f>-$B$10476</f>
        <v/>
      </c>
      <c r="G11779" s="21">
        <f>-$B$10477</f>
        <v/>
      </c>
      <c r="H11779" s="21">
        <f>2*$B$10476+$D$11765</f>
        <v/>
      </c>
      <c r="I11779" s="21">
        <f>0</f>
        <v/>
      </c>
      <c r="J11779" s="21">
        <f>-$B$10476</f>
        <v/>
      </c>
      <c r="K11779" s="21">
        <f>$B$10477</f>
        <v/>
      </c>
      <c r="L11779" s="21" t="n">
        <v>0</v>
      </c>
      <c r="M11779" s="21" t="n">
        <v>0</v>
      </c>
      <c r="N11779" s="21" t="n">
        <v>0</v>
      </c>
      <c r="O11779" s="21" t="n">
        <v>0</v>
      </c>
      <c r="P11779" s="21" t="n">
        <v>0</v>
      </c>
      <c r="Q11779" s="21" t="n">
        <v>0</v>
      </c>
      <c r="R11779" s="21" t="n">
        <v>0</v>
      </c>
      <c r="S11779" s="21" t="n">
        <v>0</v>
      </c>
      <c r="T11779" s="21" t="n">
        <v>0</v>
      </c>
      <c r="U11779" s="21" t="n">
        <v>0</v>
      </c>
      <c r="V11779" s="21" t="n">
        <v>0</v>
      </c>
      <c r="W11779" s="21" t="n">
        <v>0</v>
      </c>
      <c r="X11779" s="21" t="n">
        <v>0</v>
      </c>
      <c r="Y11779" s="21" t="n">
        <v>0</v>
      </c>
      <c r="Z11779" s="19" t="n"/>
    </row>
    <row r="11780">
      <c r="D11780" s="21" t="n">
        <v>0</v>
      </c>
      <c r="E11780" s="21" t="n">
        <v>0</v>
      </c>
      <c r="F11780" s="21">
        <f>$B$10477</f>
        <v/>
      </c>
      <c r="G11780" s="21">
        <f>$B$10479</f>
        <v/>
      </c>
      <c r="H11780" s="21">
        <f>0</f>
        <v/>
      </c>
      <c r="I11780" s="21">
        <f>2*$B$10478</f>
        <v/>
      </c>
      <c r="J11780" s="21">
        <f>-$B$10477</f>
        <v/>
      </c>
      <c r="K11780" s="21">
        <f>$B$10479</f>
        <v/>
      </c>
      <c r="L11780" s="21" t="n">
        <v>0</v>
      </c>
      <c r="M11780" s="21" t="n">
        <v>0</v>
      </c>
      <c r="N11780" s="21" t="n">
        <v>0</v>
      </c>
      <c r="O11780" s="21" t="n">
        <v>0</v>
      </c>
      <c r="P11780" s="21" t="n">
        <v>0</v>
      </c>
      <c r="Q11780" s="21" t="n">
        <v>0</v>
      </c>
      <c r="R11780" s="21" t="n">
        <v>0</v>
      </c>
      <c r="S11780" s="21" t="n">
        <v>0</v>
      </c>
      <c r="T11780" s="21" t="n">
        <v>0</v>
      </c>
      <c r="U11780" s="21" t="n">
        <v>0</v>
      </c>
      <c r="V11780" s="21" t="n">
        <v>0</v>
      </c>
      <c r="W11780" s="21" t="n">
        <v>0</v>
      </c>
      <c r="X11780" s="21" t="n">
        <v>0</v>
      </c>
      <c r="Y11780" s="21" t="n">
        <v>0</v>
      </c>
      <c r="Z11780" s="19" t="n"/>
    </row>
    <row r="11781">
      <c r="D11781" s="21" t="n">
        <v>0</v>
      </c>
      <c r="E11781" s="21" t="n">
        <v>0</v>
      </c>
      <c r="F11781" s="21" t="n">
        <v>0</v>
      </c>
      <c r="G11781" s="21" t="n">
        <v>0</v>
      </c>
      <c r="H11781" s="21">
        <f>-$B$10476</f>
        <v/>
      </c>
      <c r="I11781" s="21">
        <f>-$B$10477</f>
        <v/>
      </c>
      <c r="J11781" s="21">
        <f>2*$B$10476+$D$11766</f>
        <v/>
      </c>
      <c r="K11781" s="21">
        <f>0</f>
        <v/>
      </c>
      <c r="L11781" s="21">
        <f>-$B$10476</f>
        <v/>
      </c>
      <c r="M11781" s="21">
        <f>$B$10477</f>
        <v/>
      </c>
      <c r="N11781" s="21" t="n">
        <v>0</v>
      </c>
      <c r="O11781" s="21" t="n">
        <v>0</v>
      </c>
      <c r="P11781" s="21" t="n">
        <v>0</v>
      </c>
      <c r="Q11781" s="21" t="n">
        <v>0</v>
      </c>
      <c r="R11781" s="21" t="n">
        <v>0</v>
      </c>
      <c r="S11781" s="21" t="n">
        <v>0</v>
      </c>
      <c r="T11781" s="21" t="n">
        <v>0</v>
      </c>
      <c r="U11781" s="21" t="n">
        <v>0</v>
      </c>
      <c r="V11781" s="21" t="n">
        <v>0</v>
      </c>
      <c r="W11781" s="21" t="n">
        <v>0</v>
      </c>
      <c r="X11781" s="21" t="n">
        <v>0</v>
      </c>
      <c r="Y11781" s="21" t="n">
        <v>0</v>
      </c>
      <c r="Z11781" s="19" t="n"/>
    </row>
    <row r="11782">
      <c r="D11782" s="21" t="n">
        <v>0</v>
      </c>
      <c r="E11782" s="21" t="n">
        <v>0</v>
      </c>
      <c r="F11782" s="21" t="n">
        <v>0</v>
      </c>
      <c r="G11782" s="21" t="n">
        <v>0</v>
      </c>
      <c r="H11782" s="21">
        <f>$B$10477</f>
        <v/>
      </c>
      <c r="I11782" s="21">
        <f>$B$10479</f>
        <v/>
      </c>
      <c r="J11782" s="21">
        <f>0</f>
        <v/>
      </c>
      <c r="K11782" s="21">
        <f>2*$B$10478</f>
        <v/>
      </c>
      <c r="L11782" s="21">
        <f>-$B$10477</f>
        <v/>
      </c>
      <c r="M11782" s="21">
        <f>$B$10479</f>
        <v/>
      </c>
      <c r="N11782" s="21" t="n">
        <v>0</v>
      </c>
      <c r="O11782" s="21" t="n">
        <v>0</v>
      </c>
      <c r="P11782" s="21" t="n">
        <v>0</v>
      </c>
      <c r="Q11782" s="21" t="n">
        <v>0</v>
      </c>
      <c r="R11782" s="21" t="n">
        <v>0</v>
      </c>
      <c r="S11782" s="21" t="n">
        <v>0</v>
      </c>
      <c r="T11782" s="21" t="n">
        <v>0</v>
      </c>
      <c r="U11782" s="21" t="n">
        <v>0</v>
      </c>
      <c r="V11782" s="21" t="n">
        <v>0</v>
      </c>
      <c r="W11782" s="21" t="n">
        <v>0</v>
      </c>
      <c r="X11782" s="21" t="n">
        <v>0</v>
      </c>
      <c r="Y11782" s="21" t="n">
        <v>0</v>
      </c>
      <c r="Z11782" s="19" t="n"/>
    </row>
    <row r="11783">
      <c r="D11783" s="21" t="n">
        <v>0</v>
      </c>
      <c r="E11783" s="21" t="n">
        <v>0</v>
      </c>
      <c r="F11783" s="21" t="n">
        <v>0</v>
      </c>
      <c r="G11783" s="21" t="n">
        <v>0</v>
      </c>
      <c r="H11783" s="21" t="n">
        <v>0</v>
      </c>
      <c r="I11783" s="21" t="n">
        <v>0</v>
      </c>
      <c r="J11783" s="21">
        <f>-$B$10476</f>
        <v/>
      </c>
      <c r="K11783" s="21">
        <f>-$B$10477</f>
        <v/>
      </c>
      <c r="L11783" s="21">
        <f>2*$B$10476+$D$11767</f>
        <v/>
      </c>
      <c r="M11783" s="21">
        <f>0</f>
        <v/>
      </c>
      <c r="N11783" s="21">
        <f>-$B$10476</f>
        <v/>
      </c>
      <c r="O11783" s="21">
        <f>$B$10477</f>
        <v/>
      </c>
      <c r="P11783" s="21" t="n">
        <v>0</v>
      </c>
      <c r="Q11783" s="21" t="n">
        <v>0</v>
      </c>
      <c r="R11783" s="21" t="n">
        <v>0</v>
      </c>
      <c r="S11783" s="21" t="n">
        <v>0</v>
      </c>
      <c r="T11783" s="21" t="n">
        <v>0</v>
      </c>
      <c r="U11783" s="21" t="n">
        <v>0</v>
      </c>
      <c r="V11783" s="21" t="n">
        <v>0</v>
      </c>
      <c r="W11783" s="21" t="n">
        <v>0</v>
      </c>
      <c r="X11783" s="21" t="n">
        <v>0</v>
      </c>
      <c r="Y11783" s="21" t="n">
        <v>0</v>
      </c>
      <c r="Z11783" s="19" t="n"/>
    </row>
    <row r="11784">
      <c r="D11784" s="21" t="n">
        <v>0</v>
      </c>
      <c r="E11784" s="21" t="n">
        <v>0</v>
      </c>
      <c r="F11784" s="21" t="n">
        <v>0</v>
      </c>
      <c r="G11784" s="21" t="n">
        <v>0</v>
      </c>
      <c r="H11784" s="21" t="n">
        <v>0</v>
      </c>
      <c r="I11784" s="21" t="n">
        <v>0</v>
      </c>
      <c r="J11784" s="21">
        <f>$B$10477</f>
        <v/>
      </c>
      <c r="K11784" s="21">
        <f>$B$10479</f>
        <v/>
      </c>
      <c r="L11784" s="21">
        <f>0</f>
        <v/>
      </c>
      <c r="M11784" s="21">
        <f>2*$B$10478</f>
        <v/>
      </c>
      <c r="N11784" s="21">
        <f>-$B$10477</f>
        <v/>
      </c>
      <c r="O11784" s="21">
        <f>$B$10479</f>
        <v/>
      </c>
      <c r="P11784" s="21" t="n">
        <v>0</v>
      </c>
      <c r="Q11784" s="21" t="n">
        <v>0</v>
      </c>
      <c r="R11784" s="21" t="n">
        <v>0</v>
      </c>
      <c r="S11784" s="21" t="n">
        <v>0</v>
      </c>
      <c r="T11784" s="21" t="n">
        <v>0</v>
      </c>
      <c r="U11784" s="21" t="n">
        <v>0</v>
      </c>
      <c r="V11784" s="21" t="n">
        <v>0</v>
      </c>
      <c r="W11784" s="21" t="n">
        <v>0</v>
      </c>
      <c r="X11784" s="21" t="n">
        <v>0</v>
      </c>
      <c r="Y11784" s="21" t="n">
        <v>0</v>
      </c>
      <c r="Z11784" s="19" t="n"/>
    </row>
    <row r="11785">
      <c r="D11785" s="21" t="n">
        <v>0</v>
      </c>
      <c r="E11785" s="21" t="n">
        <v>0</v>
      </c>
      <c r="F11785" s="21" t="n">
        <v>0</v>
      </c>
      <c r="G11785" s="21" t="n">
        <v>0</v>
      </c>
      <c r="H11785" s="21" t="n">
        <v>0</v>
      </c>
      <c r="I11785" s="21" t="n">
        <v>0</v>
      </c>
      <c r="J11785" s="21" t="n">
        <v>0</v>
      </c>
      <c r="K11785" s="21" t="n">
        <v>0</v>
      </c>
      <c r="L11785" s="21">
        <f>-$B$10476</f>
        <v/>
      </c>
      <c r="M11785" s="21">
        <f>-$B$10477</f>
        <v/>
      </c>
      <c r="N11785" s="21">
        <f>2*$B$10476+$D$11768</f>
        <v/>
      </c>
      <c r="O11785" s="21">
        <f>0</f>
        <v/>
      </c>
      <c r="P11785" s="21">
        <f>-$B$10476</f>
        <v/>
      </c>
      <c r="Q11785" s="21">
        <f>$B$10477</f>
        <v/>
      </c>
      <c r="R11785" s="21" t="n">
        <v>0</v>
      </c>
      <c r="S11785" s="21" t="n">
        <v>0</v>
      </c>
      <c r="T11785" s="21" t="n">
        <v>0</v>
      </c>
      <c r="U11785" s="21" t="n">
        <v>0</v>
      </c>
      <c r="V11785" s="21" t="n">
        <v>0</v>
      </c>
      <c r="W11785" s="21" t="n">
        <v>0</v>
      </c>
      <c r="X11785" s="21" t="n">
        <v>0</v>
      </c>
      <c r="Y11785" s="21" t="n">
        <v>0</v>
      </c>
      <c r="Z11785" s="19" t="n"/>
    </row>
    <row r="11786">
      <c r="D11786" s="21" t="n">
        <v>0</v>
      </c>
      <c r="E11786" s="21" t="n">
        <v>0</v>
      </c>
      <c r="F11786" s="21" t="n">
        <v>0</v>
      </c>
      <c r="G11786" s="21" t="n">
        <v>0</v>
      </c>
      <c r="H11786" s="21" t="n">
        <v>0</v>
      </c>
      <c r="I11786" s="21" t="n">
        <v>0</v>
      </c>
      <c r="J11786" s="21" t="n">
        <v>0</v>
      </c>
      <c r="K11786" s="21" t="n">
        <v>0</v>
      </c>
      <c r="L11786" s="21">
        <f>$B$10477</f>
        <v/>
      </c>
      <c r="M11786" s="21">
        <f>$B$10479</f>
        <v/>
      </c>
      <c r="N11786" s="21">
        <f>0</f>
        <v/>
      </c>
      <c r="O11786" s="21">
        <f>2*$B$10478</f>
        <v/>
      </c>
      <c r="P11786" s="21">
        <f>-$B$10477</f>
        <v/>
      </c>
      <c r="Q11786" s="21">
        <f>$B$10479</f>
        <v/>
      </c>
      <c r="R11786" s="21" t="n">
        <v>0</v>
      </c>
      <c r="S11786" s="21" t="n">
        <v>0</v>
      </c>
      <c r="T11786" s="21" t="n">
        <v>0</v>
      </c>
      <c r="U11786" s="21" t="n">
        <v>0</v>
      </c>
      <c r="V11786" s="21" t="n">
        <v>0</v>
      </c>
      <c r="W11786" s="21" t="n">
        <v>0</v>
      </c>
      <c r="X11786" s="21" t="n">
        <v>0</v>
      </c>
      <c r="Y11786" s="21" t="n">
        <v>0</v>
      </c>
      <c r="Z11786" s="19" t="n"/>
    </row>
    <row r="11787">
      <c r="D11787" s="21" t="n">
        <v>0</v>
      </c>
      <c r="E11787" s="21" t="n">
        <v>0</v>
      </c>
      <c r="F11787" s="21" t="n">
        <v>0</v>
      </c>
      <c r="G11787" s="21" t="n">
        <v>0</v>
      </c>
      <c r="H11787" s="21" t="n">
        <v>0</v>
      </c>
      <c r="I11787" s="21" t="n">
        <v>0</v>
      </c>
      <c r="J11787" s="21" t="n">
        <v>0</v>
      </c>
      <c r="K11787" s="21" t="n">
        <v>0</v>
      </c>
      <c r="L11787" s="21" t="n">
        <v>0</v>
      </c>
      <c r="M11787" s="21" t="n">
        <v>0</v>
      </c>
      <c r="N11787" s="21">
        <f>-$B$10476</f>
        <v/>
      </c>
      <c r="O11787" s="21">
        <f>-$B$10477</f>
        <v/>
      </c>
      <c r="P11787" s="21">
        <f>2*$B$10476+$D$11769</f>
        <v/>
      </c>
      <c r="Q11787" s="21">
        <f>0</f>
        <v/>
      </c>
      <c r="R11787" s="21">
        <f>-$B$10476</f>
        <v/>
      </c>
      <c r="S11787" s="21">
        <f>$B$10477</f>
        <v/>
      </c>
      <c r="T11787" s="21" t="n">
        <v>0</v>
      </c>
      <c r="U11787" s="21" t="n">
        <v>0</v>
      </c>
      <c r="V11787" s="21" t="n">
        <v>0</v>
      </c>
      <c r="W11787" s="21" t="n">
        <v>0</v>
      </c>
      <c r="X11787" s="21" t="n">
        <v>0</v>
      </c>
      <c r="Y11787" s="21" t="n">
        <v>0</v>
      </c>
      <c r="Z11787" s="19" t="n"/>
    </row>
    <row r="11788">
      <c r="D11788" s="21" t="n">
        <v>0</v>
      </c>
      <c r="E11788" s="21" t="n">
        <v>0</v>
      </c>
      <c r="F11788" s="21" t="n">
        <v>0</v>
      </c>
      <c r="G11788" s="21" t="n">
        <v>0</v>
      </c>
      <c r="H11788" s="21" t="n">
        <v>0</v>
      </c>
      <c r="I11788" s="21" t="n">
        <v>0</v>
      </c>
      <c r="J11788" s="21" t="n">
        <v>0</v>
      </c>
      <c r="K11788" s="21" t="n">
        <v>0</v>
      </c>
      <c r="L11788" s="21" t="n">
        <v>0</v>
      </c>
      <c r="M11788" s="21" t="n">
        <v>0</v>
      </c>
      <c r="N11788" s="21">
        <f>$B$10477</f>
        <v/>
      </c>
      <c r="O11788" s="21">
        <f>$B$10479</f>
        <v/>
      </c>
      <c r="P11788" s="21">
        <f>0</f>
        <v/>
      </c>
      <c r="Q11788" s="21">
        <f>2*$B$10478</f>
        <v/>
      </c>
      <c r="R11788" s="21">
        <f>-$B$10477</f>
        <v/>
      </c>
      <c r="S11788" s="21">
        <f>$B$10479</f>
        <v/>
      </c>
      <c r="T11788" s="21" t="n">
        <v>0</v>
      </c>
      <c r="U11788" s="21" t="n">
        <v>0</v>
      </c>
      <c r="V11788" s="21" t="n">
        <v>0</v>
      </c>
      <c r="W11788" s="21" t="n">
        <v>0</v>
      </c>
      <c r="X11788" s="21" t="n">
        <v>0</v>
      </c>
      <c r="Y11788" s="21" t="n">
        <v>0</v>
      </c>
      <c r="Z11788" s="19" t="n"/>
    </row>
    <row r="11789">
      <c r="D11789" s="21" t="n">
        <v>0</v>
      </c>
      <c r="E11789" s="21" t="n">
        <v>0</v>
      </c>
      <c r="F11789" s="21" t="n">
        <v>0</v>
      </c>
      <c r="G11789" s="21" t="n">
        <v>0</v>
      </c>
      <c r="H11789" s="21" t="n">
        <v>0</v>
      </c>
      <c r="I11789" s="21" t="n">
        <v>0</v>
      </c>
      <c r="J11789" s="21" t="n">
        <v>0</v>
      </c>
      <c r="K11789" s="21" t="n">
        <v>0</v>
      </c>
      <c r="L11789" s="21" t="n">
        <v>0</v>
      </c>
      <c r="M11789" s="21" t="n">
        <v>0</v>
      </c>
      <c r="N11789" s="21" t="n">
        <v>0</v>
      </c>
      <c r="O11789" s="21" t="n">
        <v>0</v>
      </c>
      <c r="P11789" s="21">
        <f>-$B$10476</f>
        <v/>
      </c>
      <c r="Q11789" s="21">
        <f>-$B$10477</f>
        <v/>
      </c>
      <c r="R11789" s="21">
        <f>2*$B$10476+$D$11770</f>
        <v/>
      </c>
      <c r="S11789" s="21">
        <f>0</f>
        <v/>
      </c>
      <c r="T11789" s="21">
        <f>-$B$10476</f>
        <v/>
      </c>
      <c r="U11789" s="21">
        <f>$B$10477</f>
        <v/>
      </c>
      <c r="V11789" s="21" t="n">
        <v>0</v>
      </c>
      <c r="W11789" s="21" t="n">
        <v>0</v>
      </c>
      <c r="X11789" s="21" t="n">
        <v>0</v>
      </c>
      <c r="Y11789" s="21" t="n">
        <v>0</v>
      </c>
      <c r="Z11789" s="19" t="n"/>
    </row>
    <row r="11790">
      <c r="D11790" s="21" t="n">
        <v>0</v>
      </c>
      <c r="E11790" s="21" t="n">
        <v>0</v>
      </c>
      <c r="F11790" s="21" t="n">
        <v>0</v>
      </c>
      <c r="G11790" s="21" t="n">
        <v>0</v>
      </c>
      <c r="H11790" s="21" t="n">
        <v>0</v>
      </c>
      <c r="I11790" s="21" t="n">
        <v>0</v>
      </c>
      <c r="J11790" s="21" t="n">
        <v>0</v>
      </c>
      <c r="K11790" s="21" t="n">
        <v>0</v>
      </c>
      <c r="L11790" s="21" t="n">
        <v>0</v>
      </c>
      <c r="M11790" s="21" t="n">
        <v>0</v>
      </c>
      <c r="N11790" s="21" t="n">
        <v>0</v>
      </c>
      <c r="O11790" s="21" t="n">
        <v>0</v>
      </c>
      <c r="P11790" s="21">
        <f>$B$10477</f>
        <v/>
      </c>
      <c r="Q11790" s="21">
        <f>$B$10479</f>
        <v/>
      </c>
      <c r="R11790" s="21">
        <f>0</f>
        <v/>
      </c>
      <c r="S11790" s="21">
        <f>2*$B$10478</f>
        <v/>
      </c>
      <c r="T11790" s="21">
        <f>-$B$10477</f>
        <v/>
      </c>
      <c r="U11790" s="21">
        <f>$B$10479</f>
        <v/>
      </c>
      <c r="V11790" s="21" t="n">
        <v>0</v>
      </c>
      <c r="W11790" s="21" t="n">
        <v>0</v>
      </c>
      <c r="X11790" s="21" t="n">
        <v>0</v>
      </c>
      <c r="Y11790" s="21" t="n">
        <v>0</v>
      </c>
      <c r="Z11790" s="19" t="n"/>
    </row>
    <row r="11791">
      <c r="D11791" s="21" t="n">
        <v>0</v>
      </c>
      <c r="E11791" s="21" t="n">
        <v>0</v>
      </c>
      <c r="F11791" s="21" t="n">
        <v>0</v>
      </c>
      <c r="G11791" s="21" t="n">
        <v>0</v>
      </c>
      <c r="H11791" s="21" t="n">
        <v>0</v>
      </c>
      <c r="I11791" s="21" t="n">
        <v>0</v>
      </c>
      <c r="J11791" s="21" t="n">
        <v>0</v>
      </c>
      <c r="K11791" s="21" t="n">
        <v>0</v>
      </c>
      <c r="L11791" s="21" t="n">
        <v>0</v>
      </c>
      <c r="M11791" s="21" t="n">
        <v>0</v>
      </c>
      <c r="N11791" s="21" t="n">
        <v>0</v>
      </c>
      <c r="O11791" s="21" t="n">
        <v>0</v>
      </c>
      <c r="P11791" s="21" t="n">
        <v>0</v>
      </c>
      <c r="Q11791" s="21" t="n">
        <v>0</v>
      </c>
      <c r="R11791" s="21">
        <f>-$B$10476</f>
        <v/>
      </c>
      <c r="S11791" s="21">
        <f>-$B$10477</f>
        <v/>
      </c>
      <c r="T11791" s="21">
        <f>2*$B$10476+$D$11771</f>
        <v/>
      </c>
      <c r="U11791" s="21">
        <f>0</f>
        <v/>
      </c>
      <c r="V11791" s="21">
        <f>-$B$10476</f>
        <v/>
      </c>
      <c r="W11791" s="21">
        <f>$B$10477</f>
        <v/>
      </c>
      <c r="X11791" s="21" t="n">
        <v>0</v>
      </c>
      <c r="Y11791" s="21" t="n">
        <v>0</v>
      </c>
      <c r="Z11791" s="19" t="n"/>
    </row>
    <row r="11792">
      <c r="D11792" s="21" t="n">
        <v>0</v>
      </c>
      <c r="E11792" s="21" t="n">
        <v>0</v>
      </c>
      <c r="F11792" s="21" t="n">
        <v>0</v>
      </c>
      <c r="G11792" s="21" t="n">
        <v>0</v>
      </c>
      <c r="H11792" s="21" t="n">
        <v>0</v>
      </c>
      <c r="I11792" s="21" t="n">
        <v>0</v>
      </c>
      <c r="J11792" s="21" t="n">
        <v>0</v>
      </c>
      <c r="K11792" s="21" t="n">
        <v>0</v>
      </c>
      <c r="L11792" s="21" t="n">
        <v>0</v>
      </c>
      <c r="M11792" s="21" t="n">
        <v>0</v>
      </c>
      <c r="N11792" s="21" t="n">
        <v>0</v>
      </c>
      <c r="O11792" s="21" t="n">
        <v>0</v>
      </c>
      <c r="P11792" s="21" t="n">
        <v>0</v>
      </c>
      <c r="Q11792" s="21" t="n">
        <v>0</v>
      </c>
      <c r="R11792" s="21">
        <f>$B$10477</f>
        <v/>
      </c>
      <c r="S11792" s="21">
        <f>$B$10479</f>
        <v/>
      </c>
      <c r="T11792" s="21">
        <f>0</f>
        <v/>
      </c>
      <c r="U11792" s="21">
        <f>2*$B$10478</f>
        <v/>
      </c>
      <c r="V11792" s="21">
        <f>-$B$10477</f>
        <v/>
      </c>
      <c r="W11792" s="21">
        <f>$B$10479</f>
        <v/>
      </c>
      <c r="X11792" s="21" t="n">
        <v>0</v>
      </c>
      <c r="Y11792" s="21" t="n">
        <v>0</v>
      </c>
      <c r="Z11792" s="19" t="n"/>
    </row>
    <row r="11793">
      <c r="D11793" s="21" t="n">
        <v>0</v>
      </c>
      <c r="E11793" s="21" t="n">
        <v>0</v>
      </c>
      <c r="F11793" s="21" t="n">
        <v>0</v>
      </c>
      <c r="G11793" s="21" t="n">
        <v>0</v>
      </c>
      <c r="H11793" s="21" t="n">
        <v>0</v>
      </c>
      <c r="I11793" s="21" t="n">
        <v>0</v>
      </c>
      <c r="J11793" s="21" t="n">
        <v>0</v>
      </c>
      <c r="K11793" s="21" t="n">
        <v>0</v>
      </c>
      <c r="L11793" s="21" t="n">
        <v>0</v>
      </c>
      <c r="M11793" s="21" t="n">
        <v>0</v>
      </c>
      <c r="N11793" s="21" t="n">
        <v>0</v>
      </c>
      <c r="O11793" s="21" t="n">
        <v>0</v>
      </c>
      <c r="P11793" s="21" t="n">
        <v>0</v>
      </c>
      <c r="Q11793" s="21" t="n">
        <v>0</v>
      </c>
      <c r="R11793" s="21" t="n">
        <v>0</v>
      </c>
      <c r="S11793" s="21" t="n">
        <v>0</v>
      </c>
      <c r="T11793" s="21">
        <f>-$B$10476</f>
        <v/>
      </c>
      <c r="U11793" s="21">
        <f>-$B$10477</f>
        <v/>
      </c>
      <c r="V11793" s="21">
        <f>2*$B$10476+$D$11772</f>
        <v/>
      </c>
      <c r="W11793" s="21">
        <f>0</f>
        <v/>
      </c>
      <c r="X11793" s="21">
        <f>-$B$10476</f>
        <v/>
      </c>
      <c r="Y11793" s="21">
        <f>$B$10477</f>
        <v/>
      </c>
      <c r="Z11793" s="19" t="n"/>
    </row>
    <row r="11794">
      <c r="D11794" s="21" t="n">
        <v>0</v>
      </c>
      <c r="E11794" s="21" t="n">
        <v>0</v>
      </c>
      <c r="F11794" s="21" t="n">
        <v>0</v>
      </c>
      <c r="G11794" s="21" t="n">
        <v>0</v>
      </c>
      <c r="H11794" s="21" t="n">
        <v>0</v>
      </c>
      <c r="I11794" s="21" t="n">
        <v>0</v>
      </c>
      <c r="J11794" s="21" t="n">
        <v>0</v>
      </c>
      <c r="K11794" s="21" t="n">
        <v>0</v>
      </c>
      <c r="L11794" s="21" t="n">
        <v>0</v>
      </c>
      <c r="M11794" s="21" t="n">
        <v>0</v>
      </c>
      <c r="N11794" s="21" t="n">
        <v>0</v>
      </c>
      <c r="O11794" s="21" t="n">
        <v>0</v>
      </c>
      <c r="P11794" s="21" t="n">
        <v>0</v>
      </c>
      <c r="Q11794" s="21" t="n">
        <v>0</v>
      </c>
      <c r="R11794" s="21" t="n">
        <v>0</v>
      </c>
      <c r="S11794" s="21" t="n">
        <v>0</v>
      </c>
      <c r="T11794" s="21">
        <f>$B$10477</f>
        <v/>
      </c>
      <c r="U11794" s="21">
        <f>$B$10479</f>
        <v/>
      </c>
      <c r="V11794" s="21">
        <f>0</f>
        <v/>
      </c>
      <c r="W11794" s="21">
        <f>2*$B$10478</f>
        <v/>
      </c>
      <c r="X11794" s="21">
        <f>-$B$10477</f>
        <v/>
      </c>
      <c r="Y11794" s="21">
        <f>$B$10479</f>
        <v/>
      </c>
      <c r="Z11794" s="19" t="n"/>
    </row>
    <row r="11795">
      <c r="D11795" s="21" t="n">
        <v>0</v>
      </c>
      <c r="E11795" s="21" t="n">
        <v>0</v>
      </c>
      <c r="F11795" s="21" t="n">
        <v>0</v>
      </c>
      <c r="G11795" s="21" t="n">
        <v>0</v>
      </c>
      <c r="H11795" s="21" t="n">
        <v>0</v>
      </c>
      <c r="I11795" s="21" t="n">
        <v>0</v>
      </c>
      <c r="J11795" s="21" t="n">
        <v>0</v>
      </c>
      <c r="K11795" s="21" t="n">
        <v>0</v>
      </c>
      <c r="L11795" s="21" t="n">
        <v>0</v>
      </c>
      <c r="M11795" s="21" t="n">
        <v>0</v>
      </c>
      <c r="N11795" s="21" t="n">
        <v>0</v>
      </c>
      <c r="O11795" s="21" t="n">
        <v>0</v>
      </c>
      <c r="P11795" s="21" t="n">
        <v>0</v>
      </c>
      <c r="Q11795" s="21" t="n">
        <v>0</v>
      </c>
      <c r="R11795" s="21" t="n">
        <v>0</v>
      </c>
      <c r="S11795" s="21" t="n">
        <v>0</v>
      </c>
      <c r="T11795" s="21" t="n">
        <v>0</v>
      </c>
      <c r="U11795" s="21" t="n">
        <v>0</v>
      </c>
      <c r="V11795" s="21">
        <f>-$B$10476</f>
        <v/>
      </c>
      <c r="W11795" s="21">
        <f>-$B$10477</f>
        <v/>
      </c>
      <c r="X11795" s="21">
        <f>$B$10476+$D$11773</f>
        <v/>
      </c>
      <c r="Y11795" s="21">
        <f>-$B$10477</f>
        <v/>
      </c>
      <c r="Z11795" s="19" t="n"/>
    </row>
    <row r="11796">
      <c r="D11796" s="21" t="n">
        <v>0</v>
      </c>
      <c r="E11796" s="21" t="n">
        <v>0</v>
      </c>
      <c r="F11796" s="21" t="n">
        <v>0</v>
      </c>
      <c r="G11796" s="21" t="n">
        <v>0</v>
      </c>
      <c r="H11796" s="21" t="n">
        <v>0</v>
      </c>
      <c r="I11796" s="21" t="n">
        <v>0</v>
      </c>
      <c r="J11796" s="21" t="n">
        <v>0</v>
      </c>
      <c r="K11796" s="21" t="n">
        <v>0</v>
      </c>
      <c r="L11796" s="21" t="n">
        <v>0</v>
      </c>
      <c r="M11796" s="21" t="n">
        <v>0</v>
      </c>
      <c r="N11796" s="21" t="n">
        <v>0</v>
      </c>
      <c r="O11796" s="21" t="n">
        <v>0</v>
      </c>
      <c r="P11796" s="21" t="n">
        <v>0</v>
      </c>
      <c r="Q11796" s="21" t="n">
        <v>0</v>
      </c>
      <c r="R11796" s="21" t="n">
        <v>0</v>
      </c>
      <c r="S11796" s="21" t="n">
        <v>0</v>
      </c>
      <c r="T11796" s="21" t="n">
        <v>0</v>
      </c>
      <c r="U11796" s="21" t="n">
        <v>0</v>
      </c>
      <c r="V11796" s="21">
        <f>$B$10477</f>
        <v/>
      </c>
      <c r="W11796" s="21">
        <f>$B$10479</f>
        <v/>
      </c>
      <c r="X11796" s="21">
        <f>-$B$10477</f>
        <v/>
      </c>
      <c r="Y11796" s="21">
        <f>$B$10478</f>
        <v/>
      </c>
      <c r="Z11796" s="19" t="n"/>
    </row>
    <row r="11798">
      <c r="A11798" s="8" t="inlineStr">
        <is>
          <t>gen 36</t>
        </is>
      </c>
    </row>
    <row r="11799">
      <c r="D11799" s="19">
        <f>IF(ABS(IF(ABS($E$11763)&gt;0.000000001,$E$11763,0.000000001))=0,0,IF($E$10491&lt;=$B$10485,0,IF(ABS(IF(ABS($E$11763)&gt;0.000000001,$E$11763,0.000000001))&gt;=8*$B$10487,$H$10491,0.5*$H$10491*(ABS(IF(ABS($E$11763)&gt;0.000000001,$E$11763,0.000000001))/$B$10487)^(1/3)))/ABS(IF(ABS($E$11763)&gt;0.000000001,$E$11763,0.000000001))*$I$10491)</f>
        <v/>
      </c>
      <c r="E11799" s="19">
        <f>0.5*$E$11763+0.5*$Z$11811</f>
        <v/>
      </c>
      <c r="F11799" s="19">
        <f>$Z$11812</f>
        <v/>
      </c>
    </row>
    <row r="11800">
      <c r="D11800" s="19">
        <f>IF(ABS(IF(ABS($E$11764)&gt;0.000000001,$E$11764,0.000000001))=0,0,IF($E$10492&lt;=$B$10485,0,IF(ABS(IF(ABS($E$11764)&gt;0.000000001,$E$11764,0.000000001))&gt;=8*$B$10487,$H$10492,0.5*$H$10492*(ABS(IF(ABS($E$11764)&gt;0.000000001,$E$11764,0.000000001))/$B$10487)^(1/3)))/ABS(IF(ABS($E$11764)&gt;0.000000001,$E$11764,0.000000001))*$I$10492)</f>
        <v/>
      </c>
      <c r="E11800" s="19">
        <f>0.5*$E$11764+0.5*$Z$11813</f>
        <v/>
      </c>
      <c r="F11800" s="19">
        <f>$Z$11814</f>
        <v/>
      </c>
    </row>
    <row r="11801">
      <c r="D11801" s="19">
        <f>IF(ABS(IF(ABS($E$11765)&gt;0.000000001,$E$11765,0.000000001))=0,0,IF($E$10493&lt;=$B$10485,0,IF(ABS(IF(ABS($E$11765)&gt;0.000000001,$E$11765,0.000000001))&gt;=8*$B$10487,$H$10493,0.5*$H$10493*(ABS(IF(ABS($E$11765)&gt;0.000000001,$E$11765,0.000000001))/$B$10487)^(1/3)))/ABS(IF(ABS($E$11765)&gt;0.000000001,$E$11765,0.000000001))*$I$10493)</f>
        <v/>
      </c>
      <c r="E11801" s="19">
        <f>0.5*$E$11765+0.5*$Z$11815</f>
        <v/>
      </c>
      <c r="F11801" s="19">
        <f>$Z$11816</f>
        <v/>
      </c>
    </row>
    <row r="11802">
      <c r="D11802" s="19">
        <f>IF(ABS(IF(ABS($E$11766)&gt;0.000000001,$E$11766,0.000000001))=0,0,IF($E$10494&lt;=$B$10485,0,IF(ABS(IF(ABS($E$11766)&gt;0.000000001,$E$11766,0.000000001))&gt;=8*$B$10487,$H$10494,0.5*$H$10494*(ABS(IF(ABS($E$11766)&gt;0.000000001,$E$11766,0.000000001))/$B$10487)^(1/3)))/ABS(IF(ABS($E$11766)&gt;0.000000001,$E$11766,0.000000001))*$I$10494)</f>
        <v/>
      </c>
      <c r="E11802" s="19">
        <f>0.5*$E$11766+0.5*$Z$11817</f>
        <v/>
      </c>
      <c r="F11802" s="19">
        <f>$Z$11818</f>
        <v/>
      </c>
    </row>
    <row r="11803">
      <c r="D11803" s="19">
        <f>IF(ABS(IF(ABS($E$11767)&gt;0.000000001,$E$11767,0.000000001))=0,0,IF($E$10495&lt;=$B$10485,0,IF(ABS(IF(ABS($E$11767)&gt;0.000000001,$E$11767,0.000000001))&gt;=8*$B$10487,$H$10495,0.5*$H$10495*(ABS(IF(ABS($E$11767)&gt;0.000000001,$E$11767,0.000000001))/$B$10487)^(1/3)))/ABS(IF(ABS($E$11767)&gt;0.000000001,$E$11767,0.000000001))*$I$10495)</f>
        <v/>
      </c>
      <c r="E11803" s="19">
        <f>0.5*$E$11767+0.5*$Z$11819</f>
        <v/>
      </c>
      <c r="F11803" s="19">
        <f>$Z$11820</f>
        <v/>
      </c>
    </row>
    <row r="11804">
      <c r="D11804" s="19">
        <f>IF(ABS(IF(ABS($E$11768)&gt;0.000000001,$E$11768,0.000000001))=0,0,IF($E$10496&lt;=$B$10485,0,IF(ABS(IF(ABS($E$11768)&gt;0.000000001,$E$11768,0.000000001))&gt;=8*$B$10487,$H$10496,0.5*$H$10496*(ABS(IF(ABS($E$11768)&gt;0.000000001,$E$11768,0.000000001))/$B$10487)^(1/3)))/ABS(IF(ABS($E$11768)&gt;0.000000001,$E$11768,0.000000001))*$I$10496)</f>
        <v/>
      </c>
      <c r="E11804" s="19">
        <f>0.5*$E$11768+0.5*$Z$11821</f>
        <v/>
      </c>
      <c r="F11804" s="19">
        <f>$Z$11822</f>
        <v/>
      </c>
    </row>
    <row r="11805">
      <c r="D11805" s="19">
        <f>IF(ABS(IF(ABS($E$11769)&gt;0.000000001,$E$11769,0.000000001))=0,0,IF($E$10497&lt;=$B$10485,0,IF(ABS(IF(ABS($E$11769)&gt;0.000000001,$E$11769,0.000000001))&gt;=8*$B$10487,$H$10497,0.5*$H$10497*(ABS(IF(ABS($E$11769)&gt;0.000000001,$E$11769,0.000000001))/$B$10487)^(1/3)))/ABS(IF(ABS($E$11769)&gt;0.000000001,$E$11769,0.000000001))*$I$10497)</f>
        <v/>
      </c>
      <c r="E11805" s="19">
        <f>0.5*$E$11769+0.5*$Z$11823</f>
        <v/>
      </c>
      <c r="F11805" s="19">
        <f>$Z$11824</f>
        <v/>
      </c>
    </row>
    <row r="11806">
      <c r="D11806" s="19">
        <f>IF(ABS(IF(ABS($E$11770)&gt;0.000000001,$E$11770,0.000000001))=0,0,IF($E$10498&lt;=$B$10485,0,IF(ABS(IF(ABS($E$11770)&gt;0.000000001,$E$11770,0.000000001))&gt;=8*$B$10487,$H$10498,0.5*$H$10498*(ABS(IF(ABS($E$11770)&gt;0.000000001,$E$11770,0.000000001))/$B$10487)^(1/3)))/ABS(IF(ABS($E$11770)&gt;0.000000001,$E$11770,0.000000001))*$I$10498)</f>
        <v/>
      </c>
      <c r="E11806" s="19">
        <f>0.5*$E$11770+0.5*$Z$11825</f>
        <v/>
      </c>
      <c r="F11806" s="19">
        <f>$Z$11826</f>
        <v/>
      </c>
    </row>
    <row r="11807">
      <c r="D11807" s="19">
        <f>IF(ABS(IF(ABS($E$11771)&gt;0.000000001,$E$11771,0.000000001))=0,0,IF($E$10499&lt;=$B$10485,0,IF(ABS(IF(ABS($E$11771)&gt;0.000000001,$E$11771,0.000000001))&gt;=8*$B$10487,$H$10499,0.5*$H$10499*(ABS(IF(ABS($E$11771)&gt;0.000000001,$E$11771,0.000000001))/$B$10487)^(1/3)))/ABS(IF(ABS($E$11771)&gt;0.000000001,$E$11771,0.000000001))*$I$10499)</f>
        <v/>
      </c>
      <c r="E11807" s="19">
        <f>0.5*$E$11771+0.5*$Z$11827</f>
        <v/>
      </c>
      <c r="F11807" s="19">
        <f>$Z$11828</f>
        <v/>
      </c>
    </row>
    <row r="11808">
      <c r="D11808" s="19">
        <f>IF(ABS(IF(ABS($E$11772)&gt;0.000000001,$E$11772,0.000000001))=0,0,IF($E$10500&lt;=$B$10485,0,IF(ABS(IF(ABS($E$11772)&gt;0.000000001,$E$11772,0.000000001))&gt;=8*$B$10487,$H$10500,0.5*$H$10500*(ABS(IF(ABS($E$11772)&gt;0.000000001,$E$11772,0.000000001))/$B$10487)^(1/3)))/ABS(IF(ABS($E$11772)&gt;0.000000001,$E$11772,0.000000001))*$I$10500)</f>
        <v/>
      </c>
      <c r="E11808" s="19">
        <f>0.5*$E$11772+0.5*$Z$11829</f>
        <v/>
      </c>
      <c r="F11808" s="19">
        <f>$Z$11830</f>
        <v/>
      </c>
    </row>
    <row r="11809">
      <c r="D11809" s="19">
        <f>IF(ABS(IF(ABS($E$11773)&gt;0.000000001,$E$11773,0.000000001))=0,0,IF($E$10501&lt;=$B$10485,0,IF(ABS(IF(ABS($E$11773)&gt;0.000000001,$E$11773,0.000000001))&gt;=8*$B$10487,$H$10501,0.5*$H$10501*(ABS(IF(ABS($E$11773)&gt;0.000000001,$E$11773,0.000000001))/$B$10487)^(1/3)))/ABS(IF(ABS($E$11773)&gt;0.000000001,$E$11773,0.000000001))*$I$10501)</f>
        <v/>
      </c>
      <c r="E11809" s="19">
        <f>0.5*$E$11773+0.5*$Z$11831</f>
        <v/>
      </c>
      <c r="F11809" s="19">
        <f>$Z$11832</f>
        <v/>
      </c>
    </row>
    <row r="11811">
      <c r="D11811" s="21">
        <f>$B$10476+$D$11799</f>
        <v/>
      </c>
      <c r="E11811" s="21">
        <f>$B$10477</f>
        <v/>
      </c>
      <c r="F11811" s="21">
        <f>-$B$10476</f>
        <v/>
      </c>
      <c r="G11811" s="21">
        <f>$B$10477</f>
        <v/>
      </c>
      <c r="H11811" s="21" t="n">
        <v>0</v>
      </c>
      <c r="I11811" s="21" t="n">
        <v>0</v>
      </c>
      <c r="J11811" s="21" t="n">
        <v>0</v>
      </c>
      <c r="K11811" s="21" t="n">
        <v>0</v>
      </c>
      <c r="L11811" s="21" t="n">
        <v>0</v>
      </c>
      <c r="M11811" s="21" t="n">
        <v>0</v>
      </c>
      <c r="N11811" s="21" t="n">
        <v>0</v>
      </c>
      <c r="O11811" s="21" t="n">
        <v>0</v>
      </c>
      <c r="P11811" s="21" t="n">
        <v>0</v>
      </c>
      <c r="Q11811" s="21" t="n">
        <v>0</v>
      </c>
      <c r="R11811" s="21" t="n">
        <v>0</v>
      </c>
      <c r="S11811" s="21" t="n">
        <v>0</v>
      </c>
      <c r="T11811" s="21" t="n">
        <v>0</v>
      </c>
      <c r="U11811" s="21" t="n">
        <v>0</v>
      </c>
      <c r="V11811" s="21" t="n">
        <v>0</v>
      </c>
      <c r="W11811" s="21" t="n">
        <v>0</v>
      </c>
      <c r="X11811" s="21" t="n">
        <v>0</v>
      </c>
      <c r="Y11811" s="21" t="n">
        <v>0</v>
      </c>
      <c r="Z11811" s="19">
        <f t="array" ref="Z11811:Z11832">MMULT(MINVERSE($D$11811:$Y$11832),$D$10503:$D$10524)</f>
        <v/>
      </c>
    </row>
    <row r="11812">
      <c r="D11812" s="21">
        <f>$B$10477</f>
        <v/>
      </c>
      <c r="E11812" s="21">
        <f>$B$10478</f>
        <v/>
      </c>
      <c r="F11812" s="21">
        <f>-$B$10477</f>
        <v/>
      </c>
      <c r="G11812" s="21">
        <f>$B$10479</f>
        <v/>
      </c>
      <c r="H11812" s="21" t="n">
        <v>0</v>
      </c>
      <c r="I11812" s="21" t="n">
        <v>0</v>
      </c>
      <c r="J11812" s="21" t="n">
        <v>0</v>
      </c>
      <c r="K11812" s="21" t="n">
        <v>0</v>
      </c>
      <c r="L11812" s="21" t="n">
        <v>0</v>
      </c>
      <c r="M11812" s="21" t="n">
        <v>0</v>
      </c>
      <c r="N11812" s="21" t="n">
        <v>0</v>
      </c>
      <c r="O11812" s="21" t="n">
        <v>0</v>
      </c>
      <c r="P11812" s="21" t="n">
        <v>0</v>
      </c>
      <c r="Q11812" s="21" t="n">
        <v>0</v>
      </c>
      <c r="R11812" s="21" t="n">
        <v>0</v>
      </c>
      <c r="S11812" s="21" t="n">
        <v>0</v>
      </c>
      <c r="T11812" s="21" t="n">
        <v>0</v>
      </c>
      <c r="U11812" s="21" t="n">
        <v>0</v>
      </c>
      <c r="V11812" s="21" t="n">
        <v>0</v>
      </c>
      <c r="W11812" s="21" t="n">
        <v>0</v>
      </c>
      <c r="X11812" s="21" t="n">
        <v>0</v>
      </c>
      <c r="Y11812" s="21" t="n">
        <v>0</v>
      </c>
      <c r="Z11812" s="19" t="n"/>
    </row>
    <row r="11813">
      <c r="D11813" s="21">
        <f>-$B$10476</f>
        <v/>
      </c>
      <c r="E11813" s="21">
        <f>-$B$10477</f>
        <v/>
      </c>
      <c r="F11813" s="21">
        <f>2*$B$10476+$D$11800</f>
        <v/>
      </c>
      <c r="G11813" s="21">
        <f>0</f>
        <v/>
      </c>
      <c r="H11813" s="21">
        <f>-$B$10476</f>
        <v/>
      </c>
      <c r="I11813" s="21">
        <f>$B$10477</f>
        <v/>
      </c>
      <c r="J11813" s="21" t="n">
        <v>0</v>
      </c>
      <c r="K11813" s="21" t="n">
        <v>0</v>
      </c>
      <c r="L11813" s="21" t="n">
        <v>0</v>
      </c>
      <c r="M11813" s="21" t="n">
        <v>0</v>
      </c>
      <c r="N11813" s="21" t="n">
        <v>0</v>
      </c>
      <c r="O11813" s="21" t="n">
        <v>0</v>
      </c>
      <c r="P11813" s="21" t="n">
        <v>0</v>
      </c>
      <c r="Q11813" s="21" t="n">
        <v>0</v>
      </c>
      <c r="R11813" s="21" t="n">
        <v>0</v>
      </c>
      <c r="S11813" s="21" t="n">
        <v>0</v>
      </c>
      <c r="T11813" s="21" t="n">
        <v>0</v>
      </c>
      <c r="U11813" s="21" t="n">
        <v>0</v>
      </c>
      <c r="V11813" s="21" t="n">
        <v>0</v>
      </c>
      <c r="W11813" s="21" t="n">
        <v>0</v>
      </c>
      <c r="X11813" s="21" t="n">
        <v>0</v>
      </c>
      <c r="Y11813" s="21" t="n">
        <v>0</v>
      </c>
      <c r="Z11813" s="19" t="n"/>
    </row>
    <row r="11814">
      <c r="D11814" s="21">
        <f>$B$10477</f>
        <v/>
      </c>
      <c r="E11814" s="21">
        <f>$B$10479</f>
        <v/>
      </c>
      <c r="F11814" s="21">
        <f>0</f>
        <v/>
      </c>
      <c r="G11814" s="21">
        <f>2*$B$10478</f>
        <v/>
      </c>
      <c r="H11814" s="21">
        <f>-$B$10477</f>
        <v/>
      </c>
      <c r="I11814" s="21">
        <f>$B$10479</f>
        <v/>
      </c>
      <c r="J11814" s="21" t="n">
        <v>0</v>
      </c>
      <c r="K11814" s="21" t="n">
        <v>0</v>
      </c>
      <c r="L11814" s="21" t="n">
        <v>0</v>
      </c>
      <c r="M11814" s="21" t="n">
        <v>0</v>
      </c>
      <c r="N11814" s="21" t="n">
        <v>0</v>
      </c>
      <c r="O11814" s="21" t="n">
        <v>0</v>
      </c>
      <c r="P11814" s="21" t="n">
        <v>0</v>
      </c>
      <c r="Q11814" s="21" t="n">
        <v>0</v>
      </c>
      <c r="R11814" s="21" t="n">
        <v>0</v>
      </c>
      <c r="S11814" s="21" t="n">
        <v>0</v>
      </c>
      <c r="T11814" s="21" t="n">
        <v>0</v>
      </c>
      <c r="U11814" s="21" t="n">
        <v>0</v>
      </c>
      <c r="V11814" s="21" t="n">
        <v>0</v>
      </c>
      <c r="W11814" s="21" t="n">
        <v>0</v>
      </c>
      <c r="X11814" s="21" t="n">
        <v>0</v>
      </c>
      <c r="Y11814" s="21" t="n">
        <v>0</v>
      </c>
      <c r="Z11814" s="19" t="n"/>
    </row>
    <row r="11815">
      <c r="D11815" s="21" t="n">
        <v>0</v>
      </c>
      <c r="E11815" s="21" t="n">
        <v>0</v>
      </c>
      <c r="F11815" s="21">
        <f>-$B$10476</f>
        <v/>
      </c>
      <c r="G11815" s="21">
        <f>-$B$10477</f>
        <v/>
      </c>
      <c r="H11815" s="21">
        <f>2*$B$10476+$D$11801</f>
        <v/>
      </c>
      <c r="I11815" s="21">
        <f>0</f>
        <v/>
      </c>
      <c r="J11815" s="21">
        <f>-$B$10476</f>
        <v/>
      </c>
      <c r="K11815" s="21">
        <f>$B$10477</f>
        <v/>
      </c>
      <c r="L11815" s="21" t="n">
        <v>0</v>
      </c>
      <c r="M11815" s="21" t="n">
        <v>0</v>
      </c>
      <c r="N11815" s="21" t="n">
        <v>0</v>
      </c>
      <c r="O11815" s="21" t="n">
        <v>0</v>
      </c>
      <c r="P11815" s="21" t="n">
        <v>0</v>
      </c>
      <c r="Q11815" s="21" t="n">
        <v>0</v>
      </c>
      <c r="R11815" s="21" t="n">
        <v>0</v>
      </c>
      <c r="S11815" s="21" t="n">
        <v>0</v>
      </c>
      <c r="T11815" s="21" t="n">
        <v>0</v>
      </c>
      <c r="U11815" s="21" t="n">
        <v>0</v>
      </c>
      <c r="V11815" s="21" t="n">
        <v>0</v>
      </c>
      <c r="W11815" s="21" t="n">
        <v>0</v>
      </c>
      <c r="X11815" s="21" t="n">
        <v>0</v>
      </c>
      <c r="Y11815" s="21" t="n">
        <v>0</v>
      </c>
      <c r="Z11815" s="19" t="n"/>
    </row>
    <row r="11816">
      <c r="D11816" s="21" t="n">
        <v>0</v>
      </c>
      <c r="E11816" s="21" t="n">
        <v>0</v>
      </c>
      <c r="F11816" s="21">
        <f>$B$10477</f>
        <v/>
      </c>
      <c r="G11816" s="21">
        <f>$B$10479</f>
        <v/>
      </c>
      <c r="H11816" s="21">
        <f>0</f>
        <v/>
      </c>
      <c r="I11816" s="21">
        <f>2*$B$10478</f>
        <v/>
      </c>
      <c r="J11816" s="21">
        <f>-$B$10477</f>
        <v/>
      </c>
      <c r="K11816" s="21">
        <f>$B$10479</f>
        <v/>
      </c>
      <c r="L11816" s="21" t="n">
        <v>0</v>
      </c>
      <c r="M11816" s="21" t="n">
        <v>0</v>
      </c>
      <c r="N11816" s="21" t="n">
        <v>0</v>
      </c>
      <c r="O11816" s="21" t="n">
        <v>0</v>
      </c>
      <c r="P11816" s="21" t="n">
        <v>0</v>
      </c>
      <c r="Q11816" s="21" t="n">
        <v>0</v>
      </c>
      <c r="R11816" s="21" t="n">
        <v>0</v>
      </c>
      <c r="S11816" s="21" t="n">
        <v>0</v>
      </c>
      <c r="T11816" s="21" t="n">
        <v>0</v>
      </c>
      <c r="U11816" s="21" t="n">
        <v>0</v>
      </c>
      <c r="V11816" s="21" t="n">
        <v>0</v>
      </c>
      <c r="W11816" s="21" t="n">
        <v>0</v>
      </c>
      <c r="X11816" s="21" t="n">
        <v>0</v>
      </c>
      <c r="Y11816" s="21" t="n">
        <v>0</v>
      </c>
      <c r="Z11816" s="19" t="n"/>
    </row>
    <row r="11817">
      <c r="D11817" s="21" t="n">
        <v>0</v>
      </c>
      <c r="E11817" s="21" t="n">
        <v>0</v>
      </c>
      <c r="F11817" s="21" t="n">
        <v>0</v>
      </c>
      <c r="G11817" s="21" t="n">
        <v>0</v>
      </c>
      <c r="H11817" s="21">
        <f>-$B$10476</f>
        <v/>
      </c>
      <c r="I11817" s="21">
        <f>-$B$10477</f>
        <v/>
      </c>
      <c r="J11817" s="21">
        <f>2*$B$10476+$D$11802</f>
        <v/>
      </c>
      <c r="K11817" s="21">
        <f>0</f>
        <v/>
      </c>
      <c r="L11817" s="21">
        <f>-$B$10476</f>
        <v/>
      </c>
      <c r="M11817" s="21">
        <f>$B$10477</f>
        <v/>
      </c>
      <c r="N11817" s="21" t="n">
        <v>0</v>
      </c>
      <c r="O11817" s="21" t="n">
        <v>0</v>
      </c>
      <c r="P11817" s="21" t="n">
        <v>0</v>
      </c>
      <c r="Q11817" s="21" t="n">
        <v>0</v>
      </c>
      <c r="R11817" s="21" t="n">
        <v>0</v>
      </c>
      <c r="S11817" s="21" t="n">
        <v>0</v>
      </c>
      <c r="T11817" s="21" t="n">
        <v>0</v>
      </c>
      <c r="U11817" s="21" t="n">
        <v>0</v>
      </c>
      <c r="V11817" s="21" t="n">
        <v>0</v>
      </c>
      <c r="W11817" s="21" t="n">
        <v>0</v>
      </c>
      <c r="X11817" s="21" t="n">
        <v>0</v>
      </c>
      <c r="Y11817" s="21" t="n">
        <v>0</v>
      </c>
      <c r="Z11817" s="19" t="n"/>
    </row>
    <row r="11818">
      <c r="D11818" s="21" t="n">
        <v>0</v>
      </c>
      <c r="E11818" s="21" t="n">
        <v>0</v>
      </c>
      <c r="F11818" s="21" t="n">
        <v>0</v>
      </c>
      <c r="G11818" s="21" t="n">
        <v>0</v>
      </c>
      <c r="H11818" s="21">
        <f>$B$10477</f>
        <v/>
      </c>
      <c r="I11818" s="21">
        <f>$B$10479</f>
        <v/>
      </c>
      <c r="J11818" s="21">
        <f>0</f>
        <v/>
      </c>
      <c r="K11818" s="21">
        <f>2*$B$10478</f>
        <v/>
      </c>
      <c r="L11818" s="21">
        <f>-$B$10477</f>
        <v/>
      </c>
      <c r="M11818" s="21">
        <f>$B$10479</f>
        <v/>
      </c>
      <c r="N11818" s="21" t="n">
        <v>0</v>
      </c>
      <c r="O11818" s="21" t="n">
        <v>0</v>
      </c>
      <c r="P11818" s="21" t="n">
        <v>0</v>
      </c>
      <c r="Q11818" s="21" t="n">
        <v>0</v>
      </c>
      <c r="R11818" s="21" t="n">
        <v>0</v>
      </c>
      <c r="S11818" s="21" t="n">
        <v>0</v>
      </c>
      <c r="T11818" s="21" t="n">
        <v>0</v>
      </c>
      <c r="U11818" s="21" t="n">
        <v>0</v>
      </c>
      <c r="V11818" s="21" t="n">
        <v>0</v>
      </c>
      <c r="W11818" s="21" t="n">
        <v>0</v>
      </c>
      <c r="X11818" s="21" t="n">
        <v>0</v>
      </c>
      <c r="Y11818" s="21" t="n">
        <v>0</v>
      </c>
      <c r="Z11818" s="19" t="n"/>
    </row>
    <row r="11819">
      <c r="D11819" s="21" t="n">
        <v>0</v>
      </c>
      <c r="E11819" s="21" t="n">
        <v>0</v>
      </c>
      <c r="F11819" s="21" t="n">
        <v>0</v>
      </c>
      <c r="G11819" s="21" t="n">
        <v>0</v>
      </c>
      <c r="H11819" s="21" t="n">
        <v>0</v>
      </c>
      <c r="I11819" s="21" t="n">
        <v>0</v>
      </c>
      <c r="J11819" s="21">
        <f>-$B$10476</f>
        <v/>
      </c>
      <c r="K11819" s="21">
        <f>-$B$10477</f>
        <v/>
      </c>
      <c r="L11819" s="21">
        <f>2*$B$10476+$D$11803</f>
        <v/>
      </c>
      <c r="M11819" s="21">
        <f>0</f>
        <v/>
      </c>
      <c r="N11819" s="21">
        <f>-$B$10476</f>
        <v/>
      </c>
      <c r="O11819" s="21">
        <f>$B$10477</f>
        <v/>
      </c>
      <c r="P11819" s="21" t="n">
        <v>0</v>
      </c>
      <c r="Q11819" s="21" t="n">
        <v>0</v>
      </c>
      <c r="R11819" s="21" t="n">
        <v>0</v>
      </c>
      <c r="S11819" s="21" t="n">
        <v>0</v>
      </c>
      <c r="T11819" s="21" t="n">
        <v>0</v>
      </c>
      <c r="U11819" s="21" t="n">
        <v>0</v>
      </c>
      <c r="V11819" s="21" t="n">
        <v>0</v>
      </c>
      <c r="W11819" s="21" t="n">
        <v>0</v>
      </c>
      <c r="X11819" s="21" t="n">
        <v>0</v>
      </c>
      <c r="Y11819" s="21" t="n">
        <v>0</v>
      </c>
      <c r="Z11819" s="19" t="n"/>
    </row>
    <row r="11820">
      <c r="D11820" s="21" t="n">
        <v>0</v>
      </c>
      <c r="E11820" s="21" t="n">
        <v>0</v>
      </c>
      <c r="F11820" s="21" t="n">
        <v>0</v>
      </c>
      <c r="G11820" s="21" t="n">
        <v>0</v>
      </c>
      <c r="H11820" s="21" t="n">
        <v>0</v>
      </c>
      <c r="I11820" s="21" t="n">
        <v>0</v>
      </c>
      <c r="J11820" s="21">
        <f>$B$10477</f>
        <v/>
      </c>
      <c r="K11820" s="21">
        <f>$B$10479</f>
        <v/>
      </c>
      <c r="L11820" s="21">
        <f>0</f>
        <v/>
      </c>
      <c r="M11820" s="21">
        <f>2*$B$10478</f>
        <v/>
      </c>
      <c r="N11820" s="21">
        <f>-$B$10477</f>
        <v/>
      </c>
      <c r="O11820" s="21">
        <f>$B$10479</f>
        <v/>
      </c>
      <c r="P11820" s="21" t="n">
        <v>0</v>
      </c>
      <c r="Q11820" s="21" t="n">
        <v>0</v>
      </c>
      <c r="R11820" s="21" t="n">
        <v>0</v>
      </c>
      <c r="S11820" s="21" t="n">
        <v>0</v>
      </c>
      <c r="T11820" s="21" t="n">
        <v>0</v>
      </c>
      <c r="U11820" s="21" t="n">
        <v>0</v>
      </c>
      <c r="V11820" s="21" t="n">
        <v>0</v>
      </c>
      <c r="W11820" s="21" t="n">
        <v>0</v>
      </c>
      <c r="X11820" s="21" t="n">
        <v>0</v>
      </c>
      <c r="Y11820" s="21" t="n">
        <v>0</v>
      </c>
      <c r="Z11820" s="19" t="n"/>
    </row>
    <row r="11821">
      <c r="D11821" s="21" t="n">
        <v>0</v>
      </c>
      <c r="E11821" s="21" t="n">
        <v>0</v>
      </c>
      <c r="F11821" s="21" t="n">
        <v>0</v>
      </c>
      <c r="G11821" s="21" t="n">
        <v>0</v>
      </c>
      <c r="H11821" s="21" t="n">
        <v>0</v>
      </c>
      <c r="I11821" s="21" t="n">
        <v>0</v>
      </c>
      <c r="J11821" s="21" t="n">
        <v>0</v>
      </c>
      <c r="K11821" s="21" t="n">
        <v>0</v>
      </c>
      <c r="L11821" s="21">
        <f>-$B$10476</f>
        <v/>
      </c>
      <c r="M11821" s="21">
        <f>-$B$10477</f>
        <v/>
      </c>
      <c r="N11821" s="21">
        <f>2*$B$10476+$D$11804</f>
        <v/>
      </c>
      <c r="O11821" s="21">
        <f>0</f>
        <v/>
      </c>
      <c r="P11821" s="21">
        <f>-$B$10476</f>
        <v/>
      </c>
      <c r="Q11821" s="21">
        <f>$B$10477</f>
        <v/>
      </c>
      <c r="R11821" s="21" t="n">
        <v>0</v>
      </c>
      <c r="S11821" s="21" t="n">
        <v>0</v>
      </c>
      <c r="T11821" s="21" t="n">
        <v>0</v>
      </c>
      <c r="U11821" s="21" t="n">
        <v>0</v>
      </c>
      <c r="V11821" s="21" t="n">
        <v>0</v>
      </c>
      <c r="W11821" s="21" t="n">
        <v>0</v>
      </c>
      <c r="X11821" s="21" t="n">
        <v>0</v>
      </c>
      <c r="Y11821" s="21" t="n">
        <v>0</v>
      </c>
      <c r="Z11821" s="19" t="n"/>
    </row>
    <row r="11822">
      <c r="D11822" s="21" t="n">
        <v>0</v>
      </c>
      <c r="E11822" s="21" t="n">
        <v>0</v>
      </c>
      <c r="F11822" s="21" t="n">
        <v>0</v>
      </c>
      <c r="G11822" s="21" t="n">
        <v>0</v>
      </c>
      <c r="H11822" s="21" t="n">
        <v>0</v>
      </c>
      <c r="I11822" s="21" t="n">
        <v>0</v>
      </c>
      <c r="J11822" s="21" t="n">
        <v>0</v>
      </c>
      <c r="K11822" s="21" t="n">
        <v>0</v>
      </c>
      <c r="L11822" s="21">
        <f>$B$10477</f>
        <v/>
      </c>
      <c r="M11822" s="21">
        <f>$B$10479</f>
        <v/>
      </c>
      <c r="N11822" s="21">
        <f>0</f>
        <v/>
      </c>
      <c r="O11822" s="21">
        <f>2*$B$10478</f>
        <v/>
      </c>
      <c r="P11822" s="21">
        <f>-$B$10477</f>
        <v/>
      </c>
      <c r="Q11822" s="21">
        <f>$B$10479</f>
        <v/>
      </c>
      <c r="R11822" s="21" t="n">
        <v>0</v>
      </c>
      <c r="S11822" s="21" t="n">
        <v>0</v>
      </c>
      <c r="T11822" s="21" t="n">
        <v>0</v>
      </c>
      <c r="U11822" s="21" t="n">
        <v>0</v>
      </c>
      <c r="V11822" s="21" t="n">
        <v>0</v>
      </c>
      <c r="W11822" s="21" t="n">
        <v>0</v>
      </c>
      <c r="X11822" s="21" t="n">
        <v>0</v>
      </c>
      <c r="Y11822" s="21" t="n">
        <v>0</v>
      </c>
      <c r="Z11822" s="19" t="n"/>
    </row>
    <row r="11823">
      <c r="D11823" s="21" t="n">
        <v>0</v>
      </c>
      <c r="E11823" s="21" t="n">
        <v>0</v>
      </c>
      <c r="F11823" s="21" t="n">
        <v>0</v>
      </c>
      <c r="G11823" s="21" t="n">
        <v>0</v>
      </c>
      <c r="H11823" s="21" t="n">
        <v>0</v>
      </c>
      <c r="I11823" s="21" t="n">
        <v>0</v>
      </c>
      <c r="J11823" s="21" t="n">
        <v>0</v>
      </c>
      <c r="K11823" s="21" t="n">
        <v>0</v>
      </c>
      <c r="L11823" s="21" t="n">
        <v>0</v>
      </c>
      <c r="M11823" s="21" t="n">
        <v>0</v>
      </c>
      <c r="N11823" s="21">
        <f>-$B$10476</f>
        <v/>
      </c>
      <c r="O11823" s="21">
        <f>-$B$10477</f>
        <v/>
      </c>
      <c r="P11823" s="21">
        <f>2*$B$10476+$D$11805</f>
        <v/>
      </c>
      <c r="Q11823" s="21">
        <f>0</f>
        <v/>
      </c>
      <c r="R11823" s="21">
        <f>-$B$10476</f>
        <v/>
      </c>
      <c r="S11823" s="21">
        <f>$B$10477</f>
        <v/>
      </c>
      <c r="T11823" s="21" t="n">
        <v>0</v>
      </c>
      <c r="U11823" s="21" t="n">
        <v>0</v>
      </c>
      <c r="V11823" s="21" t="n">
        <v>0</v>
      </c>
      <c r="W11823" s="21" t="n">
        <v>0</v>
      </c>
      <c r="X11823" s="21" t="n">
        <v>0</v>
      </c>
      <c r="Y11823" s="21" t="n">
        <v>0</v>
      </c>
      <c r="Z11823" s="19" t="n"/>
    </row>
    <row r="11824">
      <c r="D11824" s="21" t="n">
        <v>0</v>
      </c>
      <c r="E11824" s="21" t="n">
        <v>0</v>
      </c>
      <c r="F11824" s="21" t="n">
        <v>0</v>
      </c>
      <c r="G11824" s="21" t="n">
        <v>0</v>
      </c>
      <c r="H11824" s="21" t="n">
        <v>0</v>
      </c>
      <c r="I11824" s="21" t="n">
        <v>0</v>
      </c>
      <c r="J11824" s="21" t="n">
        <v>0</v>
      </c>
      <c r="K11824" s="21" t="n">
        <v>0</v>
      </c>
      <c r="L11824" s="21" t="n">
        <v>0</v>
      </c>
      <c r="M11824" s="21" t="n">
        <v>0</v>
      </c>
      <c r="N11824" s="21">
        <f>$B$10477</f>
        <v/>
      </c>
      <c r="O11824" s="21">
        <f>$B$10479</f>
        <v/>
      </c>
      <c r="P11824" s="21">
        <f>0</f>
        <v/>
      </c>
      <c r="Q11824" s="21">
        <f>2*$B$10478</f>
        <v/>
      </c>
      <c r="R11824" s="21">
        <f>-$B$10477</f>
        <v/>
      </c>
      <c r="S11824" s="21">
        <f>$B$10479</f>
        <v/>
      </c>
      <c r="T11824" s="21" t="n">
        <v>0</v>
      </c>
      <c r="U11824" s="21" t="n">
        <v>0</v>
      </c>
      <c r="V11824" s="21" t="n">
        <v>0</v>
      </c>
      <c r="W11824" s="21" t="n">
        <v>0</v>
      </c>
      <c r="X11824" s="21" t="n">
        <v>0</v>
      </c>
      <c r="Y11824" s="21" t="n">
        <v>0</v>
      </c>
      <c r="Z11824" s="19" t="n"/>
    </row>
    <row r="11825">
      <c r="D11825" s="21" t="n">
        <v>0</v>
      </c>
      <c r="E11825" s="21" t="n">
        <v>0</v>
      </c>
      <c r="F11825" s="21" t="n">
        <v>0</v>
      </c>
      <c r="G11825" s="21" t="n">
        <v>0</v>
      </c>
      <c r="H11825" s="21" t="n">
        <v>0</v>
      </c>
      <c r="I11825" s="21" t="n">
        <v>0</v>
      </c>
      <c r="J11825" s="21" t="n">
        <v>0</v>
      </c>
      <c r="K11825" s="21" t="n">
        <v>0</v>
      </c>
      <c r="L11825" s="21" t="n">
        <v>0</v>
      </c>
      <c r="M11825" s="21" t="n">
        <v>0</v>
      </c>
      <c r="N11825" s="21" t="n">
        <v>0</v>
      </c>
      <c r="O11825" s="21" t="n">
        <v>0</v>
      </c>
      <c r="P11825" s="21">
        <f>-$B$10476</f>
        <v/>
      </c>
      <c r="Q11825" s="21">
        <f>-$B$10477</f>
        <v/>
      </c>
      <c r="R11825" s="21">
        <f>2*$B$10476+$D$11806</f>
        <v/>
      </c>
      <c r="S11825" s="21">
        <f>0</f>
        <v/>
      </c>
      <c r="T11825" s="21">
        <f>-$B$10476</f>
        <v/>
      </c>
      <c r="U11825" s="21">
        <f>$B$10477</f>
        <v/>
      </c>
      <c r="V11825" s="21" t="n">
        <v>0</v>
      </c>
      <c r="W11825" s="21" t="n">
        <v>0</v>
      </c>
      <c r="X11825" s="21" t="n">
        <v>0</v>
      </c>
      <c r="Y11825" s="21" t="n">
        <v>0</v>
      </c>
      <c r="Z11825" s="19" t="n"/>
    </row>
    <row r="11826">
      <c r="D11826" s="21" t="n">
        <v>0</v>
      </c>
      <c r="E11826" s="21" t="n">
        <v>0</v>
      </c>
      <c r="F11826" s="21" t="n">
        <v>0</v>
      </c>
      <c r="G11826" s="21" t="n">
        <v>0</v>
      </c>
      <c r="H11826" s="21" t="n">
        <v>0</v>
      </c>
      <c r="I11826" s="21" t="n">
        <v>0</v>
      </c>
      <c r="J11826" s="21" t="n">
        <v>0</v>
      </c>
      <c r="K11826" s="21" t="n">
        <v>0</v>
      </c>
      <c r="L11826" s="21" t="n">
        <v>0</v>
      </c>
      <c r="M11826" s="21" t="n">
        <v>0</v>
      </c>
      <c r="N11826" s="21" t="n">
        <v>0</v>
      </c>
      <c r="O11826" s="21" t="n">
        <v>0</v>
      </c>
      <c r="P11826" s="21">
        <f>$B$10477</f>
        <v/>
      </c>
      <c r="Q11826" s="21">
        <f>$B$10479</f>
        <v/>
      </c>
      <c r="R11826" s="21">
        <f>0</f>
        <v/>
      </c>
      <c r="S11826" s="21">
        <f>2*$B$10478</f>
        <v/>
      </c>
      <c r="T11826" s="21">
        <f>-$B$10477</f>
        <v/>
      </c>
      <c r="U11826" s="21">
        <f>$B$10479</f>
        <v/>
      </c>
      <c r="V11826" s="21" t="n">
        <v>0</v>
      </c>
      <c r="W11826" s="21" t="n">
        <v>0</v>
      </c>
      <c r="X11826" s="21" t="n">
        <v>0</v>
      </c>
      <c r="Y11826" s="21" t="n">
        <v>0</v>
      </c>
      <c r="Z11826" s="19" t="n"/>
    </row>
    <row r="11827">
      <c r="D11827" s="21" t="n">
        <v>0</v>
      </c>
      <c r="E11827" s="21" t="n">
        <v>0</v>
      </c>
      <c r="F11827" s="21" t="n">
        <v>0</v>
      </c>
      <c r="G11827" s="21" t="n">
        <v>0</v>
      </c>
      <c r="H11827" s="21" t="n">
        <v>0</v>
      </c>
      <c r="I11827" s="21" t="n">
        <v>0</v>
      </c>
      <c r="J11827" s="21" t="n">
        <v>0</v>
      </c>
      <c r="K11827" s="21" t="n">
        <v>0</v>
      </c>
      <c r="L11827" s="21" t="n">
        <v>0</v>
      </c>
      <c r="M11827" s="21" t="n">
        <v>0</v>
      </c>
      <c r="N11827" s="21" t="n">
        <v>0</v>
      </c>
      <c r="O11827" s="21" t="n">
        <v>0</v>
      </c>
      <c r="P11827" s="21" t="n">
        <v>0</v>
      </c>
      <c r="Q11827" s="21" t="n">
        <v>0</v>
      </c>
      <c r="R11827" s="21">
        <f>-$B$10476</f>
        <v/>
      </c>
      <c r="S11827" s="21">
        <f>-$B$10477</f>
        <v/>
      </c>
      <c r="T11827" s="21">
        <f>2*$B$10476+$D$11807</f>
        <v/>
      </c>
      <c r="U11827" s="21">
        <f>0</f>
        <v/>
      </c>
      <c r="V11827" s="21">
        <f>-$B$10476</f>
        <v/>
      </c>
      <c r="W11827" s="21">
        <f>$B$10477</f>
        <v/>
      </c>
      <c r="X11827" s="21" t="n">
        <v>0</v>
      </c>
      <c r="Y11827" s="21" t="n">
        <v>0</v>
      </c>
      <c r="Z11827" s="19" t="n"/>
    </row>
    <row r="11828">
      <c r="D11828" s="21" t="n">
        <v>0</v>
      </c>
      <c r="E11828" s="21" t="n">
        <v>0</v>
      </c>
      <c r="F11828" s="21" t="n">
        <v>0</v>
      </c>
      <c r="G11828" s="21" t="n">
        <v>0</v>
      </c>
      <c r="H11828" s="21" t="n">
        <v>0</v>
      </c>
      <c r="I11828" s="21" t="n">
        <v>0</v>
      </c>
      <c r="J11828" s="21" t="n">
        <v>0</v>
      </c>
      <c r="K11828" s="21" t="n">
        <v>0</v>
      </c>
      <c r="L11828" s="21" t="n">
        <v>0</v>
      </c>
      <c r="M11828" s="21" t="n">
        <v>0</v>
      </c>
      <c r="N11828" s="21" t="n">
        <v>0</v>
      </c>
      <c r="O11828" s="21" t="n">
        <v>0</v>
      </c>
      <c r="P11828" s="21" t="n">
        <v>0</v>
      </c>
      <c r="Q11828" s="21" t="n">
        <v>0</v>
      </c>
      <c r="R11828" s="21">
        <f>$B$10477</f>
        <v/>
      </c>
      <c r="S11828" s="21">
        <f>$B$10479</f>
        <v/>
      </c>
      <c r="T11828" s="21">
        <f>0</f>
        <v/>
      </c>
      <c r="U11828" s="21">
        <f>2*$B$10478</f>
        <v/>
      </c>
      <c r="V11828" s="21">
        <f>-$B$10477</f>
        <v/>
      </c>
      <c r="W11828" s="21">
        <f>$B$10479</f>
        <v/>
      </c>
      <c r="X11828" s="21" t="n">
        <v>0</v>
      </c>
      <c r="Y11828" s="21" t="n">
        <v>0</v>
      </c>
      <c r="Z11828" s="19" t="n"/>
    </row>
    <row r="11829">
      <c r="D11829" s="21" t="n">
        <v>0</v>
      </c>
      <c r="E11829" s="21" t="n">
        <v>0</v>
      </c>
      <c r="F11829" s="21" t="n">
        <v>0</v>
      </c>
      <c r="G11829" s="21" t="n">
        <v>0</v>
      </c>
      <c r="H11829" s="21" t="n">
        <v>0</v>
      </c>
      <c r="I11829" s="21" t="n">
        <v>0</v>
      </c>
      <c r="J11829" s="21" t="n">
        <v>0</v>
      </c>
      <c r="K11829" s="21" t="n">
        <v>0</v>
      </c>
      <c r="L11829" s="21" t="n">
        <v>0</v>
      </c>
      <c r="M11829" s="21" t="n">
        <v>0</v>
      </c>
      <c r="N11829" s="21" t="n">
        <v>0</v>
      </c>
      <c r="O11829" s="21" t="n">
        <v>0</v>
      </c>
      <c r="P11829" s="21" t="n">
        <v>0</v>
      </c>
      <c r="Q11829" s="21" t="n">
        <v>0</v>
      </c>
      <c r="R11829" s="21" t="n">
        <v>0</v>
      </c>
      <c r="S11829" s="21" t="n">
        <v>0</v>
      </c>
      <c r="T11829" s="21">
        <f>-$B$10476</f>
        <v/>
      </c>
      <c r="U11829" s="21">
        <f>-$B$10477</f>
        <v/>
      </c>
      <c r="V11829" s="21">
        <f>2*$B$10476+$D$11808</f>
        <v/>
      </c>
      <c r="W11829" s="21">
        <f>0</f>
        <v/>
      </c>
      <c r="X11829" s="21">
        <f>-$B$10476</f>
        <v/>
      </c>
      <c r="Y11829" s="21">
        <f>$B$10477</f>
        <v/>
      </c>
      <c r="Z11829" s="19" t="n"/>
    </row>
    <row r="11830">
      <c r="D11830" s="21" t="n">
        <v>0</v>
      </c>
      <c r="E11830" s="21" t="n">
        <v>0</v>
      </c>
      <c r="F11830" s="21" t="n">
        <v>0</v>
      </c>
      <c r="G11830" s="21" t="n">
        <v>0</v>
      </c>
      <c r="H11830" s="21" t="n">
        <v>0</v>
      </c>
      <c r="I11830" s="21" t="n">
        <v>0</v>
      </c>
      <c r="J11830" s="21" t="n">
        <v>0</v>
      </c>
      <c r="K11830" s="21" t="n">
        <v>0</v>
      </c>
      <c r="L11830" s="21" t="n">
        <v>0</v>
      </c>
      <c r="M11830" s="21" t="n">
        <v>0</v>
      </c>
      <c r="N11830" s="21" t="n">
        <v>0</v>
      </c>
      <c r="O11830" s="21" t="n">
        <v>0</v>
      </c>
      <c r="P11830" s="21" t="n">
        <v>0</v>
      </c>
      <c r="Q11830" s="21" t="n">
        <v>0</v>
      </c>
      <c r="R11830" s="21" t="n">
        <v>0</v>
      </c>
      <c r="S11830" s="21" t="n">
        <v>0</v>
      </c>
      <c r="T11830" s="21">
        <f>$B$10477</f>
        <v/>
      </c>
      <c r="U11830" s="21">
        <f>$B$10479</f>
        <v/>
      </c>
      <c r="V11830" s="21">
        <f>0</f>
        <v/>
      </c>
      <c r="W11830" s="21">
        <f>2*$B$10478</f>
        <v/>
      </c>
      <c r="X11830" s="21">
        <f>-$B$10477</f>
        <v/>
      </c>
      <c r="Y11830" s="21">
        <f>$B$10479</f>
        <v/>
      </c>
      <c r="Z11830" s="19" t="n"/>
    </row>
    <row r="11831">
      <c r="D11831" s="21" t="n">
        <v>0</v>
      </c>
      <c r="E11831" s="21" t="n">
        <v>0</v>
      </c>
      <c r="F11831" s="21" t="n">
        <v>0</v>
      </c>
      <c r="G11831" s="21" t="n">
        <v>0</v>
      </c>
      <c r="H11831" s="21" t="n">
        <v>0</v>
      </c>
      <c r="I11831" s="21" t="n">
        <v>0</v>
      </c>
      <c r="J11831" s="21" t="n">
        <v>0</v>
      </c>
      <c r="K11831" s="21" t="n">
        <v>0</v>
      </c>
      <c r="L11831" s="21" t="n">
        <v>0</v>
      </c>
      <c r="M11831" s="21" t="n">
        <v>0</v>
      </c>
      <c r="N11831" s="21" t="n">
        <v>0</v>
      </c>
      <c r="O11831" s="21" t="n">
        <v>0</v>
      </c>
      <c r="P11831" s="21" t="n">
        <v>0</v>
      </c>
      <c r="Q11831" s="21" t="n">
        <v>0</v>
      </c>
      <c r="R11831" s="21" t="n">
        <v>0</v>
      </c>
      <c r="S11831" s="21" t="n">
        <v>0</v>
      </c>
      <c r="T11831" s="21" t="n">
        <v>0</v>
      </c>
      <c r="U11831" s="21" t="n">
        <v>0</v>
      </c>
      <c r="V11831" s="21">
        <f>-$B$10476</f>
        <v/>
      </c>
      <c r="W11831" s="21">
        <f>-$B$10477</f>
        <v/>
      </c>
      <c r="X11831" s="21">
        <f>$B$10476+$D$11809</f>
        <v/>
      </c>
      <c r="Y11831" s="21">
        <f>-$B$10477</f>
        <v/>
      </c>
      <c r="Z11831" s="19" t="n"/>
    </row>
    <row r="11832">
      <c r="D11832" s="21" t="n">
        <v>0</v>
      </c>
      <c r="E11832" s="21" t="n">
        <v>0</v>
      </c>
      <c r="F11832" s="21" t="n">
        <v>0</v>
      </c>
      <c r="G11832" s="21" t="n">
        <v>0</v>
      </c>
      <c r="H11832" s="21" t="n">
        <v>0</v>
      </c>
      <c r="I11832" s="21" t="n">
        <v>0</v>
      </c>
      <c r="J11832" s="21" t="n">
        <v>0</v>
      </c>
      <c r="K11832" s="21" t="n">
        <v>0</v>
      </c>
      <c r="L11832" s="21" t="n">
        <v>0</v>
      </c>
      <c r="M11832" s="21" t="n">
        <v>0</v>
      </c>
      <c r="N11832" s="21" t="n">
        <v>0</v>
      </c>
      <c r="O11832" s="21" t="n">
        <v>0</v>
      </c>
      <c r="P11832" s="21" t="n">
        <v>0</v>
      </c>
      <c r="Q11832" s="21" t="n">
        <v>0</v>
      </c>
      <c r="R11832" s="21" t="n">
        <v>0</v>
      </c>
      <c r="S11832" s="21" t="n">
        <v>0</v>
      </c>
      <c r="T11832" s="21" t="n">
        <v>0</v>
      </c>
      <c r="U11832" s="21" t="n">
        <v>0</v>
      </c>
      <c r="V11832" s="21">
        <f>$B$10477</f>
        <v/>
      </c>
      <c r="W11832" s="21">
        <f>$B$10479</f>
        <v/>
      </c>
      <c r="X11832" s="21">
        <f>-$B$10477</f>
        <v/>
      </c>
      <c r="Y11832" s="21">
        <f>$B$10478</f>
        <v/>
      </c>
      <c r="Z11832" s="19" t="n"/>
    </row>
    <row r="11834">
      <c r="A11834" s="8" t="inlineStr">
        <is>
          <t>gen 37</t>
        </is>
      </c>
    </row>
    <row r="11835">
      <c r="D11835" s="19">
        <f>IF(ABS(IF(ABS($E$11799)&gt;0.000000001,$E$11799,0.000000001))=0,0,IF($E$10491&lt;=$B$10485,0,IF(ABS(IF(ABS($E$11799)&gt;0.000000001,$E$11799,0.000000001))&gt;=8*$B$10487,$H$10491,0.5*$H$10491*(ABS(IF(ABS($E$11799)&gt;0.000000001,$E$11799,0.000000001))/$B$10487)^(1/3)))/ABS(IF(ABS($E$11799)&gt;0.000000001,$E$11799,0.000000001))*$I$10491)</f>
        <v/>
      </c>
      <c r="E11835" s="19">
        <f>0.5*$E$11799+0.5*$Z$11847</f>
        <v/>
      </c>
      <c r="F11835" s="19">
        <f>$Z$11848</f>
        <v/>
      </c>
    </row>
    <row r="11836">
      <c r="D11836" s="19">
        <f>IF(ABS(IF(ABS($E$11800)&gt;0.000000001,$E$11800,0.000000001))=0,0,IF($E$10492&lt;=$B$10485,0,IF(ABS(IF(ABS($E$11800)&gt;0.000000001,$E$11800,0.000000001))&gt;=8*$B$10487,$H$10492,0.5*$H$10492*(ABS(IF(ABS($E$11800)&gt;0.000000001,$E$11800,0.000000001))/$B$10487)^(1/3)))/ABS(IF(ABS($E$11800)&gt;0.000000001,$E$11800,0.000000001))*$I$10492)</f>
        <v/>
      </c>
      <c r="E11836" s="19">
        <f>0.5*$E$11800+0.5*$Z$11849</f>
        <v/>
      </c>
      <c r="F11836" s="19">
        <f>$Z$11850</f>
        <v/>
      </c>
    </row>
    <row r="11837">
      <c r="D11837" s="19">
        <f>IF(ABS(IF(ABS($E$11801)&gt;0.000000001,$E$11801,0.000000001))=0,0,IF($E$10493&lt;=$B$10485,0,IF(ABS(IF(ABS($E$11801)&gt;0.000000001,$E$11801,0.000000001))&gt;=8*$B$10487,$H$10493,0.5*$H$10493*(ABS(IF(ABS($E$11801)&gt;0.000000001,$E$11801,0.000000001))/$B$10487)^(1/3)))/ABS(IF(ABS($E$11801)&gt;0.000000001,$E$11801,0.000000001))*$I$10493)</f>
        <v/>
      </c>
      <c r="E11837" s="19">
        <f>0.5*$E$11801+0.5*$Z$11851</f>
        <v/>
      </c>
      <c r="F11837" s="19">
        <f>$Z$11852</f>
        <v/>
      </c>
    </row>
    <row r="11838">
      <c r="D11838" s="19">
        <f>IF(ABS(IF(ABS($E$11802)&gt;0.000000001,$E$11802,0.000000001))=0,0,IF($E$10494&lt;=$B$10485,0,IF(ABS(IF(ABS($E$11802)&gt;0.000000001,$E$11802,0.000000001))&gt;=8*$B$10487,$H$10494,0.5*$H$10494*(ABS(IF(ABS($E$11802)&gt;0.000000001,$E$11802,0.000000001))/$B$10487)^(1/3)))/ABS(IF(ABS($E$11802)&gt;0.000000001,$E$11802,0.000000001))*$I$10494)</f>
        <v/>
      </c>
      <c r="E11838" s="19">
        <f>0.5*$E$11802+0.5*$Z$11853</f>
        <v/>
      </c>
      <c r="F11838" s="19">
        <f>$Z$11854</f>
        <v/>
      </c>
    </row>
    <row r="11839">
      <c r="D11839" s="19">
        <f>IF(ABS(IF(ABS($E$11803)&gt;0.000000001,$E$11803,0.000000001))=0,0,IF($E$10495&lt;=$B$10485,0,IF(ABS(IF(ABS($E$11803)&gt;0.000000001,$E$11803,0.000000001))&gt;=8*$B$10487,$H$10495,0.5*$H$10495*(ABS(IF(ABS($E$11803)&gt;0.000000001,$E$11803,0.000000001))/$B$10487)^(1/3)))/ABS(IF(ABS($E$11803)&gt;0.000000001,$E$11803,0.000000001))*$I$10495)</f>
        <v/>
      </c>
      <c r="E11839" s="19">
        <f>0.5*$E$11803+0.5*$Z$11855</f>
        <v/>
      </c>
      <c r="F11839" s="19">
        <f>$Z$11856</f>
        <v/>
      </c>
    </row>
    <row r="11840">
      <c r="D11840" s="19">
        <f>IF(ABS(IF(ABS($E$11804)&gt;0.000000001,$E$11804,0.000000001))=0,0,IF($E$10496&lt;=$B$10485,0,IF(ABS(IF(ABS($E$11804)&gt;0.000000001,$E$11804,0.000000001))&gt;=8*$B$10487,$H$10496,0.5*$H$10496*(ABS(IF(ABS($E$11804)&gt;0.000000001,$E$11804,0.000000001))/$B$10487)^(1/3)))/ABS(IF(ABS($E$11804)&gt;0.000000001,$E$11804,0.000000001))*$I$10496)</f>
        <v/>
      </c>
      <c r="E11840" s="19">
        <f>0.5*$E$11804+0.5*$Z$11857</f>
        <v/>
      </c>
      <c r="F11840" s="19">
        <f>$Z$11858</f>
        <v/>
      </c>
    </row>
    <row r="11841">
      <c r="D11841" s="19">
        <f>IF(ABS(IF(ABS($E$11805)&gt;0.000000001,$E$11805,0.000000001))=0,0,IF($E$10497&lt;=$B$10485,0,IF(ABS(IF(ABS($E$11805)&gt;0.000000001,$E$11805,0.000000001))&gt;=8*$B$10487,$H$10497,0.5*$H$10497*(ABS(IF(ABS($E$11805)&gt;0.000000001,$E$11805,0.000000001))/$B$10487)^(1/3)))/ABS(IF(ABS($E$11805)&gt;0.000000001,$E$11805,0.000000001))*$I$10497)</f>
        <v/>
      </c>
      <c r="E11841" s="19">
        <f>0.5*$E$11805+0.5*$Z$11859</f>
        <v/>
      </c>
      <c r="F11841" s="19">
        <f>$Z$11860</f>
        <v/>
      </c>
    </row>
    <row r="11842">
      <c r="D11842" s="19">
        <f>IF(ABS(IF(ABS($E$11806)&gt;0.000000001,$E$11806,0.000000001))=0,0,IF($E$10498&lt;=$B$10485,0,IF(ABS(IF(ABS($E$11806)&gt;0.000000001,$E$11806,0.000000001))&gt;=8*$B$10487,$H$10498,0.5*$H$10498*(ABS(IF(ABS($E$11806)&gt;0.000000001,$E$11806,0.000000001))/$B$10487)^(1/3)))/ABS(IF(ABS($E$11806)&gt;0.000000001,$E$11806,0.000000001))*$I$10498)</f>
        <v/>
      </c>
      <c r="E11842" s="19">
        <f>0.5*$E$11806+0.5*$Z$11861</f>
        <v/>
      </c>
      <c r="F11842" s="19">
        <f>$Z$11862</f>
        <v/>
      </c>
    </row>
    <row r="11843">
      <c r="D11843" s="19">
        <f>IF(ABS(IF(ABS($E$11807)&gt;0.000000001,$E$11807,0.000000001))=0,0,IF($E$10499&lt;=$B$10485,0,IF(ABS(IF(ABS($E$11807)&gt;0.000000001,$E$11807,0.000000001))&gt;=8*$B$10487,$H$10499,0.5*$H$10499*(ABS(IF(ABS($E$11807)&gt;0.000000001,$E$11807,0.000000001))/$B$10487)^(1/3)))/ABS(IF(ABS($E$11807)&gt;0.000000001,$E$11807,0.000000001))*$I$10499)</f>
        <v/>
      </c>
      <c r="E11843" s="19">
        <f>0.5*$E$11807+0.5*$Z$11863</f>
        <v/>
      </c>
      <c r="F11843" s="19">
        <f>$Z$11864</f>
        <v/>
      </c>
    </row>
    <row r="11844">
      <c r="D11844" s="19">
        <f>IF(ABS(IF(ABS($E$11808)&gt;0.000000001,$E$11808,0.000000001))=0,0,IF($E$10500&lt;=$B$10485,0,IF(ABS(IF(ABS($E$11808)&gt;0.000000001,$E$11808,0.000000001))&gt;=8*$B$10487,$H$10500,0.5*$H$10500*(ABS(IF(ABS($E$11808)&gt;0.000000001,$E$11808,0.000000001))/$B$10487)^(1/3)))/ABS(IF(ABS($E$11808)&gt;0.000000001,$E$11808,0.000000001))*$I$10500)</f>
        <v/>
      </c>
      <c r="E11844" s="19">
        <f>0.5*$E$11808+0.5*$Z$11865</f>
        <v/>
      </c>
      <c r="F11844" s="19">
        <f>$Z$11866</f>
        <v/>
      </c>
    </row>
    <row r="11845">
      <c r="D11845" s="19">
        <f>IF(ABS(IF(ABS($E$11809)&gt;0.000000001,$E$11809,0.000000001))=0,0,IF($E$10501&lt;=$B$10485,0,IF(ABS(IF(ABS($E$11809)&gt;0.000000001,$E$11809,0.000000001))&gt;=8*$B$10487,$H$10501,0.5*$H$10501*(ABS(IF(ABS($E$11809)&gt;0.000000001,$E$11809,0.000000001))/$B$10487)^(1/3)))/ABS(IF(ABS($E$11809)&gt;0.000000001,$E$11809,0.000000001))*$I$10501)</f>
        <v/>
      </c>
      <c r="E11845" s="19">
        <f>0.5*$E$11809+0.5*$Z$11867</f>
        <v/>
      </c>
      <c r="F11845" s="19">
        <f>$Z$11868</f>
        <v/>
      </c>
    </row>
    <row r="11847">
      <c r="D11847" s="21">
        <f>$B$10476+$D$11835</f>
        <v/>
      </c>
      <c r="E11847" s="21">
        <f>$B$10477</f>
        <v/>
      </c>
      <c r="F11847" s="21">
        <f>-$B$10476</f>
        <v/>
      </c>
      <c r="G11847" s="21">
        <f>$B$10477</f>
        <v/>
      </c>
      <c r="H11847" s="21" t="n">
        <v>0</v>
      </c>
      <c r="I11847" s="21" t="n">
        <v>0</v>
      </c>
      <c r="J11847" s="21" t="n">
        <v>0</v>
      </c>
      <c r="K11847" s="21" t="n">
        <v>0</v>
      </c>
      <c r="L11847" s="21" t="n">
        <v>0</v>
      </c>
      <c r="M11847" s="21" t="n">
        <v>0</v>
      </c>
      <c r="N11847" s="21" t="n">
        <v>0</v>
      </c>
      <c r="O11847" s="21" t="n">
        <v>0</v>
      </c>
      <c r="P11847" s="21" t="n">
        <v>0</v>
      </c>
      <c r="Q11847" s="21" t="n">
        <v>0</v>
      </c>
      <c r="R11847" s="21" t="n">
        <v>0</v>
      </c>
      <c r="S11847" s="21" t="n">
        <v>0</v>
      </c>
      <c r="T11847" s="21" t="n">
        <v>0</v>
      </c>
      <c r="U11847" s="21" t="n">
        <v>0</v>
      </c>
      <c r="V11847" s="21" t="n">
        <v>0</v>
      </c>
      <c r="W11847" s="21" t="n">
        <v>0</v>
      </c>
      <c r="X11847" s="21" t="n">
        <v>0</v>
      </c>
      <c r="Y11847" s="21" t="n">
        <v>0</v>
      </c>
      <c r="Z11847" s="19">
        <f t="array" ref="Z11847:Z11868">MMULT(MINVERSE($D$11847:$Y$11868),$D$10503:$D$10524)</f>
        <v/>
      </c>
    </row>
    <row r="11848">
      <c r="D11848" s="21">
        <f>$B$10477</f>
        <v/>
      </c>
      <c r="E11848" s="21">
        <f>$B$10478</f>
        <v/>
      </c>
      <c r="F11848" s="21">
        <f>-$B$10477</f>
        <v/>
      </c>
      <c r="G11848" s="21">
        <f>$B$10479</f>
        <v/>
      </c>
      <c r="H11848" s="21" t="n">
        <v>0</v>
      </c>
      <c r="I11848" s="21" t="n">
        <v>0</v>
      </c>
      <c r="J11848" s="21" t="n">
        <v>0</v>
      </c>
      <c r="K11848" s="21" t="n">
        <v>0</v>
      </c>
      <c r="L11848" s="21" t="n">
        <v>0</v>
      </c>
      <c r="M11848" s="21" t="n">
        <v>0</v>
      </c>
      <c r="N11848" s="21" t="n">
        <v>0</v>
      </c>
      <c r="O11848" s="21" t="n">
        <v>0</v>
      </c>
      <c r="P11848" s="21" t="n">
        <v>0</v>
      </c>
      <c r="Q11848" s="21" t="n">
        <v>0</v>
      </c>
      <c r="R11848" s="21" t="n">
        <v>0</v>
      </c>
      <c r="S11848" s="21" t="n">
        <v>0</v>
      </c>
      <c r="T11848" s="21" t="n">
        <v>0</v>
      </c>
      <c r="U11848" s="21" t="n">
        <v>0</v>
      </c>
      <c r="V11848" s="21" t="n">
        <v>0</v>
      </c>
      <c r="W11848" s="21" t="n">
        <v>0</v>
      </c>
      <c r="X11848" s="21" t="n">
        <v>0</v>
      </c>
      <c r="Y11848" s="21" t="n">
        <v>0</v>
      </c>
      <c r="Z11848" s="19" t="n"/>
    </row>
    <row r="11849">
      <c r="D11849" s="21">
        <f>-$B$10476</f>
        <v/>
      </c>
      <c r="E11849" s="21">
        <f>-$B$10477</f>
        <v/>
      </c>
      <c r="F11849" s="21">
        <f>2*$B$10476+$D$11836</f>
        <v/>
      </c>
      <c r="G11849" s="21">
        <f>0</f>
        <v/>
      </c>
      <c r="H11849" s="21">
        <f>-$B$10476</f>
        <v/>
      </c>
      <c r="I11849" s="21">
        <f>$B$10477</f>
        <v/>
      </c>
      <c r="J11849" s="21" t="n">
        <v>0</v>
      </c>
      <c r="K11849" s="21" t="n">
        <v>0</v>
      </c>
      <c r="L11849" s="21" t="n">
        <v>0</v>
      </c>
      <c r="M11849" s="21" t="n">
        <v>0</v>
      </c>
      <c r="N11849" s="21" t="n">
        <v>0</v>
      </c>
      <c r="O11849" s="21" t="n">
        <v>0</v>
      </c>
      <c r="P11849" s="21" t="n">
        <v>0</v>
      </c>
      <c r="Q11849" s="21" t="n">
        <v>0</v>
      </c>
      <c r="R11849" s="21" t="n">
        <v>0</v>
      </c>
      <c r="S11849" s="21" t="n">
        <v>0</v>
      </c>
      <c r="T11849" s="21" t="n">
        <v>0</v>
      </c>
      <c r="U11849" s="21" t="n">
        <v>0</v>
      </c>
      <c r="V11849" s="21" t="n">
        <v>0</v>
      </c>
      <c r="W11849" s="21" t="n">
        <v>0</v>
      </c>
      <c r="X11849" s="21" t="n">
        <v>0</v>
      </c>
      <c r="Y11849" s="21" t="n">
        <v>0</v>
      </c>
      <c r="Z11849" s="19" t="n"/>
    </row>
    <row r="11850">
      <c r="D11850" s="21">
        <f>$B$10477</f>
        <v/>
      </c>
      <c r="E11850" s="21">
        <f>$B$10479</f>
        <v/>
      </c>
      <c r="F11850" s="21">
        <f>0</f>
        <v/>
      </c>
      <c r="G11850" s="21">
        <f>2*$B$10478</f>
        <v/>
      </c>
      <c r="H11850" s="21">
        <f>-$B$10477</f>
        <v/>
      </c>
      <c r="I11850" s="21">
        <f>$B$10479</f>
        <v/>
      </c>
      <c r="J11850" s="21" t="n">
        <v>0</v>
      </c>
      <c r="K11850" s="21" t="n">
        <v>0</v>
      </c>
      <c r="L11850" s="21" t="n">
        <v>0</v>
      </c>
      <c r="M11850" s="21" t="n">
        <v>0</v>
      </c>
      <c r="N11850" s="21" t="n">
        <v>0</v>
      </c>
      <c r="O11850" s="21" t="n">
        <v>0</v>
      </c>
      <c r="P11850" s="21" t="n">
        <v>0</v>
      </c>
      <c r="Q11850" s="21" t="n">
        <v>0</v>
      </c>
      <c r="R11850" s="21" t="n">
        <v>0</v>
      </c>
      <c r="S11850" s="21" t="n">
        <v>0</v>
      </c>
      <c r="T11850" s="21" t="n">
        <v>0</v>
      </c>
      <c r="U11850" s="21" t="n">
        <v>0</v>
      </c>
      <c r="V11850" s="21" t="n">
        <v>0</v>
      </c>
      <c r="W11850" s="21" t="n">
        <v>0</v>
      </c>
      <c r="X11850" s="21" t="n">
        <v>0</v>
      </c>
      <c r="Y11850" s="21" t="n">
        <v>0</v>
      </c>
      <c r="Z11850" s="19" t="n"/>
    </row>
    <row r="11851">
      <c r="D11851" s="21" t="n">
        <v>0</v>
      </c>
      <c r="E11851" s="21" t="n">
        <v>0</v>
      </c>
      <c r="F11851" s="21">
        <f>-$B$10476</f>
        <v/>
      </c>
      <c r="G11851" s="21">
        <f>-$B$10477</f>
        <v/>
      </c>
      <c r="H11851" s="21">
        <f>2*$B$10476+$D$11837</f>
        <v/>
      </c>
      <c r="I11851" s="21">
        <f>0</f>
        <v/>
      </c>
      <c r="J11851" s="21">
        <f>-$B$10476</f>
        <v/>
      </c>
      <c r="K11851" s="21">
        <f>$B$10477</f>
        <v/>
      </c>
      <c r="L11851" s="21" t="n">
        <v>0</v>
      </c>
      <c r="M11851" s="21" t="n">
        <v>0</v>
      </c>
      <c r="N11851" s="21" t="n">
        <v>0</v>
      </c>
      <c r="O11851" s="21" t="n">
        <v>0</v>
      </c>
      <c r="P11851" s="21" t="n">
        <v>0</v>
      </c>
      <c r="Q11851" s="21" t="n">
        <v>0</v>
      </c>
      <c r="R11851" s="21" t="n">
        <v>0</v>
      </c>
      <c r="S11851" s="21" t="n">
        <v>0</v>
      </c>
      <c r="T11851" s="21" t="n">
        <v>0</v>
      </c>
      <c r="U11851" s="21" t="n">
        <v>0</v>
      </c>
      <c r="V11851" s="21" t="n">
        <v>0</v>
      </c>
      <c r="W11851" s="21" t="n">
        <v>0</v>
      </c>
      <c r="X11851" s="21" t="n">
        <v>0</v>
      </c>
      <c r="Y11851" s="21" t="n">
        <v>0</v>
      </c>
      <c r="Z11851" s="19" t="n"/>
    </row>
    <row r="11852">
      <c r="D11852" s="21" t="n">
        <v>0</v>
      </c>
      <c r="E11852" s="21" t="n">
        <v>0</v>
      </c>
      <c r="F11852" s="21">
        <f>$B$10477</f>
        <v/>
      </c>
      <c r="G11852" s="21">
        <f>$B$10479</f>
        <v/>
      </c>
      <c r="H11852" s="21">
        <f>0</f>
        <v/>
      </c>
      <c r="I11852" s="21">
        <f>2*$B$10478</f>
        <v/>
      </c>
      <c r="J11852" s="21">
        <f>-$B$10477</f>
        <v/>
      </c>
      <c r="K11852" s="21">
        <f>$B$10479</f>
        <v/>
      </c>
      <c r="L11852" s="21" t="n">
        <v>0</v>
      </c>
      <c r="M11852" s="21" t="n">
        <v>0</v>
      </c>
      <c r="N11852" s="21" t="n">
        <v>0</v>
      </c>
      <c r="O11852" s="21" t="n">
        <v>0</v>
      </c>
      <c r="P11852" s="21" t="n">
        <v>0</v>
      </c>
      <c r="Q11852" s="21" t="n">
        <v>0</v>
      </c>
      <c r="R11852" s="21" t="n">
        <v>0</v>
      </c>
      <c r="S11852" s="21" t="n">
        <v>0</v>
      </c>
      <c r="T11852" s="21" t="n">
        <v>0</v>
      </c>
      <c r="U11852" s="21" t="n">
        <v>0</v>
      </c>
      <c r="V11852" s="21" t="n">
        <v>0</v>
      </c>
      <c r="W11852" s="21" t="n">
        <v>0</v>
      </c>
      <c r="X11852" s="21" t="n">
        <v>0</v>
      </c>
      <c r="Y11852" s="21" t="n">
        <v>0</v>
      </c>
      <c r="Z11852" s="19" t="n"/>
    </row>
    <row r="11853">
      <c r="D11853" s="21" t="n">
        <v>0</v>
      </c>
      <c r="E11853" s="21" t="n">
        <v>0</v>
      </c>
      <c r="F11853" s="21" t="n">
        <v>0</v>
      </c>
      <c r="G11853" s="21" t="n">
        <v>0</v>
      </c>
      <c r="H11853" s="21">
        <f>-$B$10476</f>
        <v/>
      </c>
      <c r="I11853" s="21">
        <f>-$B$10477</f>
        <v/>
      </c>
      <c r="J11853" s="21">
        <f>2*$B$10476+$D$11838</f>
        <v/>
      </c>
      <c r="K11853" s="21">
        <f>0</f>
        <v/>
      </c>
      <c r="L11853" s="21">
        <f>-$B$10476</f>
        <v/>
      </c>
      <c r="M11853" s="21">
        <f>$B$10477</f>
        <v/>
      </c>
      <c r="N11853" s="21" t="n">
        <v>0</v>
      </c>
      <c r="O11853" s="21" t="n">
        <v>0</v>
      </c>
      <c r="P11853" s="21" t="n">
        <v>0</v>
      </c>
      <c r="Q11853" s="21" t="n">
        <v>0</v>
      </c>
      <c r="R11853" s="21" t="n">
        <v>0</v>
      </c>
      <c r="S11853" s="21" t="n">
        <v>0</v>
      </c>
      <c r="T11853" s="21" t="n">
        <v>0</v>
      </c>
      <c r="U11853" s="21" t="n">
        <v>0</v>
      </c>
      <c r="V11853" s="21" t="n">
        <v>0</v>
      </c>
      <c r="W11853" s="21" t="n">
        <v>0</v>
      </c>
      <c r="X11853" s="21" t="n">
        <v>0</v>
      </c>
      <c r="Y11853" s="21" t="n">
        <v>0</v>
      </c>
      <c r="Z11853" s="19" t="n"/>
    </row>
    <row r="11854">
      <c r="D11854" s="21" t="n">
        <v>0</v>
      </c>
      <c r="E11854" s="21" t="n">
        <v>0</v>
      </c>
      <c r="F11854" s="21" t="n">
        <v>0</v>
      </c>
      <c r="G11854" s="21" t="n">
        <v>0</v>
      </c>
      <c r="H11854" s="21">
        <f>$B$10477</f>
        <v/>
      </c>
      <c r="I11854" s="21">
        <f>$B$10479</f>
        <v/>
      </c>
      <c r="J11854" s="21">
        <f>0</f>
        <v/>
      </c>
      <c r="K11854" s="21">
        <f>2*$B$10478</f>
        <v/>
      </c>
      <c r="L11854" s="21">
        <f>-$B$10477</f>
        <v/>
      </c>
      <c r="M11854" s="21">
        <f>$B$10479</f>
        <v/>
      </c>
      <c r="N11854" s="21" t="n">
        <v>0</v>
      </c>
      <c r="O11854" s="21" t="n">
        <v>0</v>
      </c>
      <c r="P11854" s="21" t="n">
        <v>0</v>
      </c>
      <c r="Q11854" s="21" t="n">
        <v>0</v>
      </c>
      <c r="R11854" s="21" t="n">
        <v>0</v>
      </c>
      <c r="S11854" s="21" t="n">
        <v>0</v>
      </c>
      <c r="T11854" s="21" t="n">
        <v>0</v>
      </c>
      <c r="U11854" s="21" t="n">
        <v>0</v>
      </c>
      <c r="V11854" s="21" t="n">
        <v>0</v>
      </c>
      <c r="W11854" s="21" t="n">
        <v>0</v>
      </c>
      <c r="X11854" s="21" t="n">
        <v>0</v>
      </c>
      <c r="Y11854" s="21" t="n">
        <v>0</v>
      </c>
      <c r="Z11854" s="19" t="n"/>
    </row>
    <row r="11855">
      <c r="D11855" s="21" t="n">
        <v>0</v>
      </c>
      <c r="E11855" s="21" t="n">
        <v>0</v>
      </c>
      <c r="F11855" s="21" t="n">
        <v>0</v>
      </c>
      <c r="G11855" s="21" t="n">
        <v>0</v>
      </c>
      <c r="H11855" s="21" t="n">
        <v>0</v>
      </c>
      <c r="I11855" s="21" t="n">
        <v>0</v>
      </c>
      <c r="J11855" s="21">
        <f>-$B$10476</f>
        <v/>
      </c>
      <c r="K11855" s="21">
        <f>-$B$10477</f>
        <v/>
      </c>
      <c r="L11855" s="21">
        <f>2*$B$10476+$D$11839</f>
        <v/>
      </c>
      <c r="M11855" s="21">
        <f>0</f>
        <v/>
      </c>
      <c r="N11855" s="21">
        <f>-$B$10476</f>
        <v/>
      </c>
      <c r="O11855" s="21">
        <f>$B$10477</f>
        <v/>
      </c>
      <c r="P11855" s="21" t="n">
        <v>0</v>
      </c>
      <c r="Q11855" s="21" t="n">
        <v>0</v>
      </c>
      <c r="R11855" s="21" t="n">
        <v>0</v>
      </c>
      <c r="S11855" s="21" t="n">
        <v>0</v>
      </c>
      <c r="T11855" s="21" t="n">
        <v>0</v>
      </c>
      <c r="U11855" s="21" t="n">
        <v>0</v>
      </c>
      <c r="V11855" s="21" t="n">
        <v>0</v>
      </c>
      <c r="W11855" s="21" t="n">
        <v>0</v>
      </c>
      <c r="X11855" s="21" t="n">
        <v>0</v>
      </c>
      <c r="Y11855" s="21" t="n">
        <v>0</v>
      </c>
      <c r="Z11855" s="19" t="n"/>
    </row>
    <row r="11856">
      <c r="D11856" s="21" t="n">
        <v>0</v>
      </c>
      <c r="E11856" s="21" t="n">
        <v>0</v>
      </c>
      <c r="F11856" s="21" t="n">
        <v>0</v>
      </c>
      <c r="G11856" s="21" t="n">
        <v>0</v>
      </c>
      <c r="H11856" s="21" t="n">
        <v>0</v>
      </c>
      <c r="I11856" s="21" t="n">
        <v>0</v>
      </c>
      <c r="J11856" s="21">
        <f>$B$10477</f>
        <v/>
      </c>
      <c r="K11856" s="21">
        <f>$B$10479</f>
        <v/>
      </c>
      <c r="L11856" s="21">
        <f>0</f>
        <v/>
      </c>
      <c r="M11856" s="21">
        <f>2*$B$10478</f>
        <v/>
      </c>
      <c r="N11856" s="21">
        <f>-$B$10477</f>
        <v/>
      </c>
      <c r="O11856" s="21">
        <f>$B$10479</f>
        <v/>
      </c>
      <c r="P11856" s="21" t="n">
        <v>0</v>
      </c>
      <c r="Q11856" s="21" t="n">
        <v>0</v>
      </c>
      <c r="R11856" s="21" t="n">
        <v>0</v>
      </c>
      <c r="S11856" s="21" t="n">
        <v>0</v>
      </c>
      <c r="T11856" s="21" t="n">
        <v>0</v>
      </c>
      <c r="U11856" s="21" t="n">
        <v>0</v>
      </c>
      <c r="V11856" s="21" t="n">
        <v>0</v>
      </c>
      <c r="W11856" s="21" t="n">
        <v>0</v>
      </c>
      <c r="X11856" s="21" t="n">
        <v>0</v>
      </c>
      <c r="Y11856" s="21" t="n">
        <v>0</v>
      </c>
      <c r="Z11856" s="19" t="n"/>
    </row>
    <row r="11857">
      <c r="D11857" s="21" t="n">
        <v>0</v>
      </c>
      <c r="E11857" s="21" t="n">
        <v>0</v>
      </c>
      <c r="F11857" s="21" t="n">
        <v>0</v>
      </c>
      <c r="G11857" s="21" t="n">
        <v>0</v>
      </c>
      <c r="H11857" s="21" t="n">
        <v>0</v>
      </c>
      <c r="I11857" s="21" t="n">
        <v>0</v>
      </c>
      <c r="J11857" s="21" t="n">
        <v>0</v>
      </c>
      <c r="K11857" s="21" t="n">
        <v>0</v>
      </c>
      <c r="L11857" s="21">
        <f>-$B$10476</f>
        <v/>
      </c>
      <c r="M11857" s="21">
        <f>-$B$10477</f>
        <v/>
      </c>
      <c r="N11857" s="21">
        <f>2*$B$10476+$D$11840</f>
        <v/>
      </c>
      <c r="O11857" s="21">
        <f>0</f>
        <v/>
      </c>
      <c r="P11857" s="21">
        <f>-$B$10476</f>
        <v/>
      </c>
      <c r="Q11857" s="21">
        <f>$B$10477</f>
        <v/>
      </c>
      <c r="R11857" s="21" t="n">
        <v>0</v>
      </c>
      <c r="S11857" s="21" t="n">
        <v>0</v>
      </c>
      <c r="T11857" s="21" t="n">
        <v>0</v>
      </c>
      <c r="U11857" s="21" t="n">
        <v>0</v>
      </c>
      <c r="V11857" s="21" t="n">
        <v>0</v>
      </c>
      <c r="W11857" s="21" t="n">
        <v>0</v>
      </c>
      <c r="X11857" s="21" t="n">
        <v>0</v>
      </c>
      <c r="Y11857" s="21" t="n">
        <v>0</v>
      </c>
      <c r="Z11857" s="19" t="n"/>
    </row>
    <row r="11858">
      <c r="D11858" s="21" t="n">
        <v>0</v>
      </c>
      <c r="E11858" s="21" t="n">
        <v>0</v>
      </c>
      <c r="F11858" s="21" t="n">
        <v>0</v>
      </c>
      <c r="G11858" s="21" t="n">
        <v>0</v>
      </c>
      <c r="H11858" s="21" t="n">
        <v>0</v>
      </c>
      <c r="I11858" s="21" t="n">
        <v>0</v>
      </c>
      <c r="J11858" s="21" t="n">
        <v>0</v>
      </c>
      <c r="K11858" s="21" t="n">
        <v>0</v>
      </c>
      <c r="L11858" s="21">
        <f>$B$10477</f>
        <v/>
      </c>
      <c r="M11858" s="21">
        <f>$B$10479</f>
        <v/>
      </c>
      <c r="N11858" s="21">
        <f>0</f>
        <v/>
      </c>
      <c r="O11858" s="21">
        <f>2*$B$10478</f>
        <v/>
      </c>
      <c r="P11858" s="21">
        <f>-$B$10477</f>
        <v/>
      </c>
      <c r="Q11858" s="21">
        <f>$B$10479</f>
        <v/>
      </c>
      <c r="R11858" s="21" t="n">
        <v>0</v>
      </c>
      <c r="S11858" s="21" t="n">
        <v>0</v>
      </c>
      <c r="T11858" s="21" t="n">
        <v>0</v>
      </c>
      <c r="U11858" s="21" t="n">
        <v>0</v>
      </c>
      <c r="V11858" s="21" t="n">
        <v>0</v>
      </c>
      <c r="W11858" s="21" t="n">
        <v>0</v>
      </c>
      <c r="X11858" s="21" t="n">
        <v>0</v>
      </c>
      <c r="Y11858" s="21" t="n">
        <v>0</v>
      </c>
      <c r="Z11858" s="19" t="n"/>
    </row>
    <row r="11859">
      <c r="D11859" s="21" t="n">
        <v>0</v>
      </c>
      <c r="E11859" s="21" t="n">
        <v>0</v>
      </c>
      <c r="F11859" s="21" t="n">
        <v>0</v>
      </c>
      <c r="G11859" s="21" t="n">
        <v>0</v>
      </c>
      <c r="H11859" s="21" t="n">
        <v>0</v>
      </c>
      <c r="I11859" s="21" t="n">
        <v>0</v>
      </c>
      <c r="J11859" s="21" t="n">
        <v>0</v>
      </c>
      <c r="K11859" s="21" t="n">
        <v>0</v>
      </c>
      <c r="L11859" s="21" t="n">
        <v>0</v>
      </c>
      <c r="M11859" s="21" t="n">
        <v>0</v>
      </c>
      <c r="N11859" s="21">
        <f>-$B$10476</f>
        <v/>
      </c>
      <c r="O11859" s="21">
        <f>-$B$10477</f>
        <v/>
      </c>
      <c r="P11859" s="21">
        <f>2*$B$10476+$D$11841</f>
        <v/>
      </c>
      <c r="Q11859" s="21">
        <f>0</f>
        <v/>
      </c>
      <c r="R11859" s="21">
        <f>-$B$10476</f>
        <v/>
      </c>
      <c r="S11859" s="21">
        <f>$B$10477</f>
        <v/>
      </c>
      <c r="T11859" s="21" t="n">
        <v>0</v>
      </c>
      <c r="U11859" s="21" t="n">
        <v>0</v>
      </c>
      <c r="V11859" s="21" t="n">
        <v>0</v>
      </c>
      <c r="W11859" s="21" t="n">
        <v>0</v>
      </c>
      <c r="X11859" s="21" t="n">
        <v>0</v>
      </c>
      <c r="Y11859" s="21" t="n">
        <v>0</v>
      </c>
      <c r="Z11859" s="19" t="n"/>
    </row>
    <row r="11860">
      <c r="D11860" s="21" t="n">
        <v>0</v>
      </c>
      <c r="E11860" s="21" t="n">
        <v>0</v>
      </c>
      <c r="F11860" s="21" t="n">
        <v>0</v>
      </c>
      <c r="G11860" s="21" t="n">
        <v>0</v>
      </c>
      <c r="H11860" s="21" t="n">
        <v>0</v>
      </c>
      <c r="I11860" s="21" t="n">
        <v>0</v>
      </c>
      <c r="J11860" s="21" t="n">
        <v>0</v>
      </c>
      <c r="K11860" s="21" t="n">
        <v>0</v>
      </c>
      <c r="L11860" s="21" t="n">
        <v>0</v>
      </c>
      <c r="M11860" s="21" t="n">
        <v>0</v>
      </c>
      <c r="N11860" s="21">
        <f>$B$10477</f>
        <v/>
      </c>
      <c r="O11860" s="21">
        <f>$B$10479</f>
        <v/>
      </c>
      <c r="P11860" s="21">
        <f>0</f>
        <v/>
      </c>
      <c r="Q11860" s="21">
        <f>2*$B$10478</f>
        <v/>
      </c>
      <c r="R11860" s="21">
        <f>-$B$10477</f>
        <v/>
      </c>
      <c r="S11860" s="21">
        <f>$B$10479</f>
        <v/>
      </c>
      <c r="T11860" s="21" t="n">
        <v>0</v>
      </c>
      <c r="U11860" s="21" t="n">
        <v>0</v>
      </c>
      <c r="V11860" s="21" t="n">
        <v>0</v>
      </c>
      <c r="W11860" s="21" t="n">
        <v>0</v>
      </c>
      <c r="X11860" s="21" t="n">
        <v>0</v>
      </c>
      <c r="Y11860" s="21" t="n">
        <v>0</v>
      </c>
      <c r="Z11860" s="19" t="n"/>
    </row>
    <row r="11861">
      <c r="D11861" s="21" t="n">
        <v>0</v>
      </c>
      <c r="E11861" s="21" t="n">
        <v>0</v>
      </c>
      <c r="F11861" s="21" t="n">
        <v>0</v>
      </c>
      <c r="G11861" s="21" t="n">
        <v>0</v>
      </c>
      <c r="H11861" s="21" t="n">
        <v>0</v>
      </c>
      <c r="I11861" s="21" t="n">
        <v>0</v>
      </c>
      <c r="J11861" s="21" t="n">
        <v>0</v>
      </c>
      <c r="K11861" s="21" t="n">
        <v>0</v>
      </c>
      <c r="L11861" s="21" t="n">
        <v>0</v>
      </c>
      <c r="M11861" s="21" t="n">
        <v>0</v>
      </c>
      <c r="N11861" s="21" t="n">
        <v>0</v>
      </c>
      <c r="O11861" s="21" t="n">
        <v>0</v>
      </c>
      <c r="P11861" s="21">
        <f>-$B$10476</f>
        <v/>
      </c>
      <c r="Q11861" s="21">
        <f>-$B$10477</f>
        <v/>
      </c>
      <c r="R11861" s="21">
        <f>2*$B$10476+$D$11842</f>
        <v/>
      </c>
      <c r="S11861" s="21">
        <f>0</f>
        <v/>
      </c>
      <c r="T11861" s="21">
        <f>-$B$10476</f>
        <v/>
      </c>
      <c r="U11861" s="21">
        <f>$B$10477</f>
        <v/>
      </c>
      <c r="V11861" s="21" t="n">
        <v>0</v>
      </c>
      <c r="W11861" s="21" t="n">
        <v>0</v>
      </c>
      <c r="X11861" s="21" t="n">
        <v>0</v>
      </c>
      <c r="Y11861" s="21" t="n">
        <v>0</v>
      </c>
      <c r="Z11861" s="19" t="n"/>
    </row>
    <row r="11862">
      <c r="D11862" s="21" t="n">
        <v>0</v>
      </c>
      <c r="E11862" s="21" t="n">
        <v>0</v>
      </c>
      <c r="F11862" s="21" t="n">
        <v>0</v>
      </c>
      <c r="G11862" s="21" t="n">
        <v>0</v>
      </c>
      <c r="H11862" s="21" t="n">
        <v>0</v>
      </c>
      <c r="I11862" s="21" t="n">
        <v>0</v>
      </c>
      <c r="J11862" s="21" t="n">
        <v>0</v>
      </c>
      <c r="K11862" s="21" t="n">
        <v>0</v>
      </c>
      <c r="L11862" s="21" t="n">
        <v>0</v>
      </c>
      <c r="M11862" s="21" t="n">
        <v>0</v>
      </c>
      <c r="N11862" s="21" t="n">
        <v>0</v>
      </c>
      <c r="O11862" s="21" t="n">
        <v>0</v>
      </c>
      <c r="P11862" s="21">
        <f>$B$10477</f>
        <v/>
      </c>
      <c r="Q11862" s="21">
        <f>$B$10479</f>
        <v/>
      </c>
      <c r="R11862" s="21">
        <f>0</f>
        <v/>
      </c>
      <c r="S11862" s="21">
        <f>2*$B$10478</f>
        <v/>
      </c>
      <c r="T11862" s="21">
        <f>-$B$10477</f>
        <v/>
      </c>
      <c r="U11862" s="21">
        <f>$B$10479</f>
        <v/>
      </c>
      <c r="V11862" s="21" t="n">
        <v>0</v>
      </c>
      <c r="W11862" s="21" t="n">
        <v>0</v>
      </c>
      <c r="X11862" s="21" t="n">
        <v>0</v>
      </c>
      <c r="Y11862" s="21" t="n">
        <v>0</v>
      </c>
      <c r="Z11862" s="19" t="n"/>
    </row>
    <row r="11863">
      <c r="D11863" s="21" t="n">
        <v>0</v>
      </c>
      <c r="E11863" s="21" t="n">
        <v>0</v>
      </c>
      <c r="F11863" s="21" t="n">
        <v>0</v>
      </c>
      <c r="G11863" s="21" t="n">
        <v>0</v>
      </c>
      <c r="H11863" s="21" t="n">
        <v>0</v>
      </c>
      <c r="I11863" s="21" t="n">
        <v>0</v>
      </c>
      <c r="J11863" s="21" t="n">
        <v>0</v>
      </c>
      <c r="K11863" s="21" t="n">
        <v>0</v>
      </c>
      <c r="L11863" s="21" t="n">
        <v>0</v>
      </c>
      <c r="M11863" s="21" t="n">
        <v>0</v>
      </c>
      <c r="N11863" s="21" t="n">
        <v>0</v>
      </c>
      <c r="O11863" s="21" t="n">
        <v>0</v>
      </c>
      <c r="P11863" s="21" t="n">
        <v>0</v>
      </c>
      <c r="Q11863" s="21" t="n">
        <v>0</v>
      </c>
      <c r="R11863" s="21">
        <f>-$B$10476</f>
        <v/>
      </c>
      <c r="S11863" s="21">
        <f>-$B$10477</f>
        <v/>
      </c>
      <c r="T11863" s="21">
        <f>2*$B$10476+$D$11843</f>
        <v/>
      </c>
      <c r="U11863" s="21">
        <f>0</f>
        <v/>
      </c>
      <c r="V11863" s="21">
        <f>-$B$10476</f>
        <v/>
      </c>
      <c r="W11863" s="21">
        <f>$B$10477</f>
        <v/>
      </c>
      <c r="X11863" s="21" t="n">
        <v>0</v>
      </c>
      <c r="Y11863" s="21" t="n">
        <v>0</v>
      </c>
      <c r="Z11863" s="19" t="n"/>
    </row>
    <row r="11864">
      <c r="D11864" s="21" t="n">
        <v>0</v>
      </c>
      <c r="E11864" s="21" t="n">
        <v>0</v>
      </c>
      <c r="F11864" s="21" t="n">
        <v>0</v>
      </c>
      <c r="G11864" s="21" t="n">
        <v>0</v>
      </c>
      <c r="H11864" s="21" t="n">
        <v>0</v>
      </c>
      <c r="I11864" s="21" t="n">
        <v>0</v>
      </c>
      <c r="J11864" s="21" t="n">
        <v>0</v>
      </c>
      <c r="K11864" s="21" t="n">
        <v>0</v>
      </c>
      <c r="L11864" s="21" t="n">
        <v>0</v>
      </c>
      <c r="M11864" s="21" t="n">
        <v>0</v>
      </c>
      <c r="N11864" s="21" t="n">
        <v>0</v>
      </c>
      <c r="O11864" s="21" t="n">
        <v>0</v>
      </c>
      <c r="P11864" s="21" t="n">
        <v>0</v>
      </c>
      <c r="Q11864" s="21" t="n">
        <v>0</v>
      </c>
      <c r="R11864" s="21">
        <f>$B$10477</f>
        <v/>
      </c>
      <c r="S11864" s="21">
        <f>$B$10479</f>
        <v/>
      </c>
      <c r="T11864" s="21">
        <f>0</f>
        <v/>
      </c>
      <c r="U11864" s="21">
        <f>2*$B$10478</f>
        <v/>
      </c>
      <c r="V11864" s="21">
        <f>-$B$10477</f>
        <v/>
      </c>
      <c r="W11864" s="21">
        <f>$B$10479</f>
        <v/>
      </c>
      <c r="X11864" s="21" t="n">
        <v>0</v>
      </c>
      <c r="Y11864" s="21" t="n">
        <v>0</v>
      </c>
      <c r="Z11864" s="19" t="n"/>
    </row>
    <row r="11865">
      <c r="D11865" s="21" t="n">
        <v>0</v>
      </c>
      <c r="E11865" s="21" t="n">
        <v>0</v>
      </c>
      <c r="F11865" s="21" t="n">
        <v>0</v>
      </c>
      <c r="G11865" s="21" t="n">
        <v>0</v>
      </c>
      <c r="H11865" s="21" t="n">
        <v>0</v>
      </c>
      <c r="I11865" s="21" t="n">
        <v>0</v>
      </c>
      <c r="J11865" s="21" t="n">
        <v>0</v>
      </c>
      <c r="K11865" s="21" t="n">
        <v>0</v>
      </c>
      <c r="L11865" s="21" t="n">
        <v>0</v>
      </c>
      <c r="M11865" s="21" t="n">
        <v>0</v>
      </c>
      <c r="N11865" s="21" t="n">
        <v>0</v>
      </c>
      <c r="O11865" s="21" t="n">
        <v>0</v>
      </c>
      <c r="P11865" s="21" t="n">
        <v>0</v>
      </c>
      <c r="Q11865" s="21" t="n">
        <v>0</v>
      </c>
      <c r="R11865" s="21" t="n">
        <v>0</v>
      </c>
      <c r="S11865" s="21" t="n">
        <v>0</v>
      </c>
      <c r="T11865" s="21">
        <f>-$B$10476</f>
        <v/>
      </c>
      <c r="U11865" s="21">
        <f>-$B$10477</f>
        <v/>
      </c>
      <c r="V11865" s="21">
        <f>2*$B$10476+$D$11844</f>
        <v/>
      </c>
      <c r="W11865" s="21">
        <f>0</f>
        <v/>
      </c>
      <c r="X11865" s="21">
        <f>-$B$10476</f>
        <v/>
      </c>
      <c r="Y11865" s="21">
        <f>$B$10477</f>
        <v/>
      </c>
      <c r="Z11865" s="19" t="n"/>
    </row>
    <row r="11866">
      <c r="D11866" s="21" t="n">
        <v>0</v>
      </c>
      <c r="E11866" s="21" t="n">
        <v>0</v>
      </c>
      <c r="F11866" s="21" t="n">
        <v>0</v>
      </c>
      <c r="G11866" s="21" t="n">
        <v>0</v>
      </c>
      <c r="H11866" s="21" t="n">
        <v>0</v>
      </c>
      <c r="I11866" s="21" t="n">
        <v>0</v>
      </c>
      <c r="J11866" s="21" t="n">
        <v>0</v>
      </c>
      <c r="K11866" s="21" t="n">
        <v>0</v>
      </c>
      <c r="L11866" s="21" t="n">
        <v>0</v>
      </c>
      <c r="M11866" s="21" t="n">
        <v>0</v>
      </c>
      <c r="N11866" s="21" t="n">
        <v>0</v>
      </c>
      <c r="O11866" s="21" t="n">
        <v>0</v>
      </c>
      <c r="P11866" s="21" t="n">
        <v>0</v>
      </c>
      <c r="Q11866" s="21" t="n">
        <v>0</v>
      </c>
      <c r="R11866" s="21" t="n">
        <v>0</v>
      </c>
      <c r="S11866" s="21" t="n">
        <v>0</v>
      </c>
      <c r="T11866" s="21">
        <f>$B$10477</f>
        <v/>
      </c>
      <c r="U11866" s="21">
        <f>$B$10479</f>
        <v/>
      </c>
      <c r="V11866" s="21">
        <f>0</f>
        <v/>
      </c>
      <c r="W11866" s="21">
        <f>2*$B$10478</f>
        <v/>
      </c>
      <c r="X11866" s="21">
        <f>-$B$10477</f>
        <v/>
      </c>
      <c r="Y11866" s="21">
        <f>$B$10479</f>
        <v/>
      </c>
      <c r="Z11866" s="19" t="n"/>
    </row>
    <row r="11867">
      <c r="D11867" s="21" t="n">
        <v>0</v>
      </c>
      <c r="E11867" s="21" t="n">
        <v>0</v>
      </c>
      <c r="F11867" s="21" t="n">
        <v>0</v>
      </c>
      <c r="G11867" s="21" t="n">
        <v>0</v>
      </c>
      <c r="H11867" s="21" t="n">
        <v>0</v>
      </c>
      <c r="I11867" s="21" t="n">
        <v>0</v>
      </c>
      <c r="J11867" s="21" t="n">
        <v>0</v>
      </c>
      <c r="K11867" s="21" t="n">
        <v>0</v>
      </c>
      <c r="L11867" s="21" t="n">
        <v>0</v>
      </c>
      <c r="M11867" s="21" t="n">
        <v>0</v>
      </c>
      <c r="N11867" s="21" t="n">
        <v>0</v>
      </c>
      <c r="O11867" s="21" t="n">
        <v>0</v>
      </c>
      <c r="P11867" s="21" t="n">
        <v>0</v>
      </c>
      <c r="Q11867" s="21" t="n">
        <v>0</v>
      </c>
      <c r="R11867" s="21" t="n">
        <v>0</v>
      </c>
      <c r="S11867" s="21" t="n">
        <v>0</v>
      </c>
      <c r="T11867" s="21" t="n">
        <v>0</v>
      </c>
      <c r="U11867" s="21" t="n">
        <v>0</v>
      </c>
      <c r="V11867" s="21">
        <f>-$B$10476</f>
        <v/>
      </c>
      <c r="W11867" s="21">
        <f>-$B$10477</f>
        <v/>
      </c>
      <c r="X11867" s="21">
        <f>$B$10476+$D$11845</f>
        <v/>
      </c>
      <c r="Y11867" s="21">
        <f>-$B$10477</f>
        <v/>
      </c>
      <c r="Z11867" s="19" t="n"/>
    </row>
    <row r="11868">
      <c r="D11868" s="21" t="n">
        <v>0</v>
      </c>
      <c r="E11868" s="21" t="n">
        <v>0</v>
      </c>
      <c r="F11868" s="21" t="n">
        <v>0</v>
      </c>
      <c r="G11868" s="21" t="n">
        <v>0</v>
      </c>
      <c r="H11868" s="21" t="n">
        <v>0</v>
      </c>
      <c r="I11868" s="21" t="n">
        <v>0</v>
      </c>
      <c r="J11868" s="21" t="n">
        <v>0</v>
      </c>
      <c r="K11868" s="21" t="n">
        <v>0</v>
      </c>
      <c r="L11868" s="21" t="n">
        <v>0</v>
      </c>
      <c r="M11868" s="21" t="n">
        <v>0</v>
      </c>
      <c r="N11868" s="21" t="n">
        <v>0</v>
      </c>
      <c r="O11868" s="21" t="n">
        <v>0</v>
      </c>
      <c r="P11868" s="21" t="n">
        <v>0</v>
      </c>
      <c r="Q11868" s="21" t="n">
        <v>0</v>
      </c>
      <c r="R11868" s="21" t="n">
        <v>0</v>
      </c>
      <c r="S11868" s="21" t="n">
        <v>0</v>
      </c>
      <c r="T11868" s="21" t="n">
        <v>0</v>
      </c>
      <c r="U11868" s="21" t="n">
        <v>0</v>
      </c>
      <c r="V11868" s="21">
        <f>$B$10477</f>
        <v/>
      </c>
      <c r="W11868" s="21">
        <f>$B$10479</f>
        <v/>
      </c>
      <c r="X11868" s="21">
        <f>-$B$10477</f>
        <v/>
      </c>
      <c r="Y11868" s="21">
        <f>$B$10478</f>
        <v/>
      </c>
      <c r="Z11868" s="19" t="n"/>
    </row>
    <row r="11870">
      <c r="A11870" s="8" t="inlineStr">
        <is>
          <t>gen 38</t>
        </is>
      </c>
    </row>
    <row r="11871">
      <c r="D11871" s="19">
        <f>IF(ABS(IF(ABS($E$11835)&gt;0.000000001,$E$11835,0.000000001))=0,0,IF($E$10491&lt;=$B$10485,0,IF(ABS(IF(ABS($E$11835)&gt;0.000000001,$E$11835,0.000000001))&gt;=8*$B$10487,$H$10491,0.5*$H$10491*(ABS(IF(ABS($E$11835)&gt;0.000000001,$E$11835,0.000000001))/$B$10487)^(1/3)))/ABS(IF(ABS($E$11835)&gt;0.000000001,$E$11835,0.000000001))*$I$10491)</f>
        <v/>
      </c>
      <c r="E11871" s="19">
        <f>0.5*$E$11835+0.5*$Z$11883</f>
        <v/>
      </c>
      <c r="F11871" s="19">
        <f>$Z$11884</f>
        <v/>
      </c>
    </row>
    <row r="11872">
      <c r="D11872" s="19">
        <f>IF(ABS(IF(ABS($E$11836)&gt;0.000000001,$E$11836,0.000000001))=0,0,IF($E$10492&lt;=$B$10485,0,IF(ABS(IF(ABS($E$11836)&gt;0.000000001,$E$11836,0.000000001))&gt;=8*$B$10487,$H$10492,0.5*$H$10492*(ABS(IF(ABS($E$11836)&gt;0.000000001,$E$11836,0.000000001))/$B$10487)^(1/3)))/ABS(IF(ABS($E$11836)&gt;0.000000001,$E$11836,0.000000001))*$I$10492)</f>
        <v/>
      </c>
      <c r="E11872" s="19">
        <f>0.5*$E$11836+0.5*$Z$11885</f>
        <v/>
      </c>
      <c r="F11872" s="19">
        <f>$Z$11886</f>
        <v/>
      </c>
    </row>
    <row r="11873">
      <c r="D11873" s="19">
        <f>IF(ABS(IF(ABS($E$11837)&gt;0.000000001,$E$11837,0.000000001))=0,0,IF($E$10493&lt;=$B$10485,0,IF(ABS(IF(ABS($E$11837)&gt;0.000000001,$E$11837,0.000000001))&gt;=8*$B$10487,$H$10493,0.5*$H$10493*(ABS(IF(ABS($E$11837)&gt;0.000000001,$E$11837,0.000000001))/$B$10487)^(1/3)))/ABS(IF(ABS($E$11837)&gt;0.000000001,$E$11837,0.000000001))*$I$10493)</f>
        <v/>
      </c>
      <c r="E11873" s="19">
        <f>0.5*$E$11837+0.5*$Z$11887</f>
        <v/>
      </c>
      <c r="F11873" s="19">
        <f>$Z$11888</f>
        <v/>
      </c>
    </row>
    <row r="11874">
      <c r="D11874" s="19">
        <f>IF(ABS(IF(ABS($E$11838)&gt;0.000000001,$E$11838,0.000000001))=0,0,IF($E$10494&lt;=$B$10485,0,IF(ABS(IF(ABS($E$11838)&gt;0.000000001,$E$11838,0.000000001))&gt;=8*$B$10487,$H$10494,0.5*$H$10494*(ABS(IF(ABS($E$11838)&gt;0.000000001,$E$11838,0.000000001))/$B$10487)^(1/3)))/ABS(IF(ABS($E$11838)&gt;0.000000001,$E$11838,0.000000001))*$I$10494)</f>
        <v/>
      </c>
      <c r="E11874" s="19">
        <f>0.5*$E$11838+0.5*$Z$11889</f>
        <v/>
      </c>
      <c r="F11874" s="19">
        <f>$Z$11890</f>
        <v/>
      </c>
    </row>
    <row r="11875">
      <c r="D11875" s="19">
        <f>IF(ABS(IF(ABS($E$11839)&gt;0.000000001,$E$11839,0.000000001))=0,0,IF($E$10495&lt;=$B$10485,0,IF(ABS(IF(ABS($E$11839)&gt;0.000000001,$E$11839,0.000000001))&gt;=8*$B$10487,$H$10495,0.5*$H$10495*(ABS(IF(ABS($E$11839)&gt;0.000000001,$E$11839,0.000000001))/$B$10487)^(1/3)))/ABS(IF(ABS($E$11839)&gt;0.000000001,$E$11839,0.000000001))*$I$10495)</f>
        <v/>
      </c>
      <c r="E11875" s="19">
        <f>0.5*$E$11839+0.5*$Z$11891</f>
        <v/>
      </c>
      <c r="F11875" s="19">
        <f>$Z$11892</f>
        <v/>
      </c>
    </row>
    <row r="11876">
      <c r="D11876" s="19">
        <f>IF(ABS(IF(ABS($E$11840)&gt;0.000000001,$E$11840,0.000000001))=0,0,IF($E$10496&lt;=$B$10485,0,IF(ABS(IF(ABS($E$11840)&gt;0.000000001,$E$11840,0.000000001))&gt;=8*$B$10487,$H$10496,0.5*$H$10496*(ABS(IF(ABS($E$11840)&gt;0.000000001,$E$11840,0.000000001))/$B$10487)^(1/3)))/ABS(IF(ABS($E$11840)&gt;0.000000001,$E$11840,0.000000001))*$I$10496)</f>
        <v/>
      </c>
      <c r="E11876" s="19">
        <f>0.5*$E$11840+0.5*$Z$11893</f>
        <v/>
      </c>
      <c r="F11876" s="19">
        <f>$Z$11894</f>
        <v/>
      </c>
    </row>
    <row r="11877">
      <c r="D11877" s="19">
        <f>IF(ABS(IF(ABS($E$11841)&gt;0.000000001,$E$11841,0.000000001))=0,0,IF($E$10497&lt;=$B$10485,0,IF(ABS(IF(ABS($E$11841)&gt;0.000000001,$E$11841,0.000000001))&gt;=8*$B$10487,$H$10497,0.5*$H$10497*(ABS(IF(ABS($E$11841)&gt;0.000000001,$E$11841,0.000000001))/$B$10487)^(1/3)))/ABS(IF(ABS($E$11841)&gt;0.000000001,$E$11841,0.000000001))*$I$10497)</f>
        <v/>
      </c>
      <c r="E11877" s="19">
        <f>0.5*$E$11841+0.5*$Z$11895</f>
        <v/>
      </c>
      <c r="F11877" s="19">
        <f>$Z$11896</f>
        <v/>
      </c>
    </row>
    <row r="11878">
      <c r="D11878" s="19">
        <f>IF(ABS(IF(ABS($E$11842)&gt;0.000000001,$E$11842,0.000000001))=0,0,IF($E$10498&lt;=$B$10485,0,IF(ABS(IF(ABS($E$11842)&gt;0.000000001,$E$11842,0.000000001))&gt;=8*$B$10487,$H$10498,0.5*$H$10498*(ABS(IF(ABS($E$11842)&gt;0.000000001,$E$11842,0.000000001))/$B$10487)^(1/3)))/ABS(IF(ABS($E$11842)&gt;0.000000001,$E$11842,0.000000001))*$I$10498)</f>
        <v/>
      </c>
      <c r="E11878" s="19">
        <f>0.5*$E$11842+0.5*$Z$11897</f>
        <v/>
      </c>
      <c r="F11878" s="19">
        <f>$Z$11898</f>
        <v/>
      </c>
    </row>
    <row r="11879">
      <c r="D11879" s="19">
        <f>IF(ABS(IF(ABS($E$11843)&gt;0.000000001,$E$11843,0.000000001))=0,0,IF($E$10499&lt;=$B$10485,0,IF(ABS(IF(ABS($E$11843)&gt;0.000000001,$E$11843,0.000000001))&gt;=8*$B$10487,$H$10499,0.5*$H$10499*(ABS(IF(ABS($E$11843)&gt;0.000000001,$E$11843,0.000000001))/$B$10487)^(1/3)))/ABS(IF(ABS($E$11843)&gt;0.000000001,$E$11843,0.000000001))*$I$10499)</f>
        <v/>
      </c>
      <c r="E11879" s="19">
        <f>0.5*$E$11843+0.5*$Z$11899</f>
        <v/>
      </c>
      <c r="F11879" s="19">
        <f>$Z$11900</f>
        <v/>
      </c>
    </row>
    <row r="11880">
      <c r="D11880" s="19">
        <f>IF(ABS(IF(ABS($E$11844)&gt;0.000000001,$E$11844,0.000000001))=0,0,IF($E$10500&lt;=$B$10485,0,IF(ABS(IF(ABS($E$11844)&gt;0.000000001,$E$11844,0.000000001))&gt;=8*$B$10487,$H$10500,0.5*$H$10500*(ABS(IF(ABS($E$11844)&gt;0.000000001,$E$11844,0.000000001))/$B$10487)^(1/3)))/ABS(IF(ABS($E$11844)&gt;0.000000001,$E$11844,0.000000001))*$I$10500)</f>
        <v/>
      </c>
      <c r="E11880" s="19">
        <f>0.5*$E$11844+0.5*$Z$11901</f>
        <v/>
      </c>
      <c r="F11880" s="19">
        <f>$Z$11902</f>
        <v/>
      </c>
    </row>
    <row r="11881">
      <c r="D11881" s="19">
        <f>IF(ABS(IF(ABS($E$11845)&gt;0.000000001,$E$11845,0.000000001))=0,0,IF($E$10501&lt;=$B$10485,0,IF(ABS(IF(ABS($E$11845)&gt;0.000000001,$E$11845,0.000000001))&gt;=8*$B$10487,$H$10501,0.5*$H$10501*(ABS(IF(ABS($E$11845)&gt;0.000000001,$E$11845,0.000000001))/$B$10487)^(1/3)))/ABS(IF(ABS($E$11845)&gt;0.000000001,$E$11845,0.000000001))*$I$10501)</f>
        <v/>
      </c>
      <c r="E11881" s="19">
        <f>0.5*$E$11845+0.5*$Z$11903</f>
        <v/>
      </c>
      <c r="F11881" s="19">
        <f>$Z$11904</f>
        <v/>
      </c>
    </row>
    <row r="11883">
      <c r="D11883" s="21">
        <f>$B$10476+$D$11871</f>
        <v/>
      </c>
      <c r="E11883" s="21">
        <f>$B$10477</f>
        <v/>
      </c>
      <c r="F11883" s="21">
        <f>-$B$10476</f>
        <v/>
      </c>
      <c r="G11883" s="21">
        <f>$B$10477</f>
        <v/>
      </c>
      <c r="H11883" s="21" t="n">
        <v>0</v>
      </c>
      <c r="I11883" s="21" t="n">
        <v>0</v>
      </c>
      <c r="J11883" s="21" t="n">
        <v>0</v>
      </c>
      <c r="K11883" s="21" t="n">
        <v>0</v>
      </c>
      <c r="L11883" s="21" t="n">
        <v>0</v>
      </c>
      <c r="M11883" s="21" t="n">
        <v>0</v>
      </c>
      <c r="N11883" s="21" t="n">
        <v>0</v>
      </c>
      <c r="O11883" s="21" t="n">
        <v>0</v>
      </c>
      <c r="P11883" s="21" t="n">
        <v>0</v>
      </c>
      <c r="Q11883" s="21" t="n">
        <v>0</v>
      </c>
      <c r="R11883" s="21" t="n">
        <v>0</v>
      </c>
      <c r="S11883" s="21" t="n">
        <v>0</v>
      </c>
      <c r="T11883" s="21" t="n">
        <v>0</v>
      </c>
      <c r="U11883" s="21" t="n">
        <v>0</v>
      </c>
      <c r="V11883" s="21" t="n">
        <v>0</v>
      </c>
      <c r="W11883" s="21" t="n">
        <v>0</v>
      </c>
      <c r="X11883" s="21" t="n">
        <v>0</v>
      </c>
      <c r="Y11883" s="21" t="n">
        <v>0</v>
      </c>
      <c r="Z11883" s="19">
        <f t="array" ref="Z11883:Z11904">MMULT(MINVERSE($D$11883:$Y$11904),$D$10503:$D$10524)</f>
        <v/>
      </c>
    </row>
    <row r="11884">
      <c r="D11884" s="21">
        <f>$B$10477</f>
        <v/>
      </c>
      <c r="E11884" s="21">
        <f>$B$10478</f>
        <v/>
      </c>
      <c r="F11884" s="21">
        <f>-$B$10477</f>
        <v/>
      </c>
      <c r="G11884" s="21">
        <f>$B$10479</f>
        <v/>
      </c>
      <c r="H11884" s="21" t="n">
        <v>0</v>
      </c>
      <c r="I11884" s="21" t="n">
        <v>0</v>
      </c>
      <c r="J11884" s="21" t="n">
        <v>0</v>
      </c>
      <c r="K11884" s="21" t="n">
        <v>0</v>
      </c>
      <c r="L11884" s="21" t="n">
        <v>0</v>
      </c>
      <c r="M11884" s="21" t="n">
        <v>0</v>
      </c>
      <c r="N11884" s="21" t="n">
        <v>0</v>
      </c>
      <c r="O11884" s="21" t="n">
        <v>0</v>
      </c>
      <c r="P11884" s="21" t="n">
        <v>0</v>
      </c>
      <c r="Q11884" s="21" t="n">
        <v>0</v>
      </c>
      <c r="R11884" s="21" t="n">
        <v>0</v>
      </c>
      <c r="S11884" s="21" t="n">
        <v>0</v>
      </c>
      <c r="T11884" s="21" t="n">
        <v>0</v>
      </c>
      <c r="U11884" s="21" t="n">
        <v>0</v>
      </c>
      <c r="V11884" s="21" t="n">
        <v>0</v>
      </c>
      <c r="W11884" s="21" t="n">
        <v>0</v>
      </c>
      <c r="X11884" s="21" t="n">
        <v>0</v>
      </c>
      <c r="Y11884" s="21" t="n">
        <v>0</v>
      </c>
      <c r="Z11884" s="19" t="n"/>
    </row>
    <row r="11885">
      <c r="D11885" s="21">
        <f>-$B$10476</f>
        <v/>
      </c>
      <c r="E11885" s="21">
        <f>-$B$10477</f>
        <v/>
      </c>
      <c r="F11885" s="21">
        <f>2*$B$10476+$D$11872</f>
        <v/>
      </c>
      <c r="G11885" s="21">
        <f>0</f>
        <v/>
      </c>
      <c r="H11885" s="21">
        <f>-$B$10476</f>
        <v/>
      </c>
      <c r="I11885" s="21">
        <f>$B$10477</f>
        <v/>
      </c>
      <c r="J11885" s="21" t="n">
        <v>0</v>
      </c>
      <c r="K11885" s="21" t="n">
        <v>0</v>
      </c>
      <c r="L11885" s="21" t="n">
        <v>0</v>
      </c>
      <c r="M11885" s="21" t="n">
        <v>0</v>
      </c>
      <c r="N11885" s="21" t="n">
        <v>0</v>
      </c>
      <c r="O11885" s="21" t="n">
        <v>0</v>
      </c>
      <c r="P11885" s="21" t="n">
        <v>0</v>
      </c>
      <c r="Q11885" s="21" t="n">
        <v>0</v>
      </c>
      <c r="R11885" s="21" t="n">
        <v>0</v>
      </c>
      <c r="S11885" s="21" t="n">
        <v>0</v>
      </c>
      <c r="T11885" s="21" t="n">
        <v>0</v>
      </c>
      <c r="U11885" s="21" t="n">
        <v>0</v>
      </c>
      <c r="V11885" s="21" t="n">
        <v>0</v>
      </c>
      <c r="W11885" s="21" t="n">
        <v>0</v>
      </c>
      <c r="X11885" s="21" t="n">
        <v>0</v>
      </c>
      <c r="Y11885" s="21" t="n">
        <v>0</v>
      </c>
      <c r="Z11885" s="19" t="n"/>
    </row>
    <row r="11886">
      <c r="D11886" s="21">
        <f>$B$10477</f>
        <v/>
      </c>
      <c r="E11886" s="21">
        <f>$B$10479</f>
        <v/>
      </c>
      <c r="F11886" s="21">
        <f>0</f>
        <v/>
      </c>
      <c r="G11886" s="21">
        <f>2*$B$10478</f>
        <v/>
      </c>
      <c r="H11886" s="21">
        <f>-$B$10477</f>
        <v/>
      </c>
      <c r="I11886" s="21">
        <f>$B$10479</f>
        <v/>
      </c>
      <c r="J11886" s="21" t="n">
        <v>0</v>
      </c>
      <c r="K11886" s="21" t="n">
        <v>0</v>
      </c>
      <c r="L11886" s="21" t="n">
        <v>0</v>
      </c>
      <c r="M11886" s="21" t="n">
        <v>0</v>
      </c>
      <c r="N11886" s="21" t="n">
        <v>0</v>
      </c>
      <c r="O11886" s="21" t="n">
        <v>0</v>
      </c>
      <c r="P11886" s="21" t="n">
        <v>0</v>
      </c>
      <c r="Q11886" s="21" t="n">
        <v>0</v>
      </c>
      <c r="R11886" s="21" t="n">
        <v>0</v>
      </c>
      <c r="S11886" s="21" t="n">
        <v>0</v>
      </c>
      <c r="T11886" s="21" t="n">
        <v>0</v>
      </c>
      <c r="U11886" s="21" t="n">
        <v>0</v>
      </c>
      <c r="V11886" s="21" t="n">
        <v>0</v>
      </c>
      <c r="W11886" s="21" t="n">
        <v>0</v>
      </c>
      <c r="X11886" s="21" t="n">
        <v>0</v>
      </c>
      <c r="Y11886" s="21" t="n">
        <v>0</v>
      </c>
      <c r="Z11886" s="19" t="n"/>
    </row>
    <row r="11887">
      <c r="D11887" s="21" t="n">
        <v>0</v>
      </c>
      <c r="E11887" s="21" t="n">
        <v>0</v>
      </c>
      <c r="F11887" s="21">
        <f>-$B$10476</f>
        <v/>
      </c>
      <c r="G11887" s="21">
        <f>-$B$10477</f>
        <v/>
      </c>
      <c r="H11887" s="21">
        <f>2*$B$10476+$D$11873</f>
        <v/>
      </c>
      <c r="I11887" s="21">
        <f>0</f>
        <v/>
      </c>
      <c r="J11887" s="21">
        <f>-$B$10476</f>
        <v/>
      </c>
      <c r="K11887" s="21">
        <f>$B$10477</f>
        <v/>
      </c>
      <c r="L11887" s="21" t="n">
        <v>0</v>
      </c>
      <c r="M11887" s="21" t="n">
        <v>0</v>
      </c>
      <c r="N11887" s="21" t="n">
        <v>0</v>
      </c>
      <c r="O11887" s="21" t="n">
        <v>0</v>
      </c>
      <c r="P11887" s="21" t="n">
        <v>0</v>
      </c>
      <c r="Q11887" s="21" t="n">
        <v>0</v>
      </c>
      <c r="R11887" s="21" t="n">
        <v>0</v>
      </c>
      <c r="S11887" s="21" t="n">
        <v>0</v>
      </c>
      <c r="T11887" s="21" t="n">
        <v>0</v>
      </c>
      <c r="U11887" s="21" t="n">
        <v>0</v>
      </c>
      <c r="V11887" s="21" t="n">
        <v>0</v>
      </c>
      <c r="W11887" s="21" t="n">
        <v>0</v>
      </c>
      <c r="X11887" s="21" t="n">
        <v>0</v>
      </c>
      <c r="Y11887" s="21" t="n">
        <v>0</v>
      </c>
      <c r="Z11887" s="19" t="n"/>
    </row>
    <row r="11888">
      <c r="D11888" s="21" t="n">
        <v>0</v>
      </c>
      <c r="E11888" s="21" t="n">
        <v>0</v>
      </c>
      <c r="F11888" s="21">
        <f>$B$10477</f>
        <v/>
      </c>
      <c r="G11888" s="21">
        <f>$B$10479</f>
        <v/>
      </c>
      <c r="H11888" s="21">
        <f>0</f>
        <v/>
      </c>
      <c r="I11888" s="21">
        <f>2*$B$10478</f>
        <v/>
      </c>
      <c r="J11888" s="21">
        <f>-$B$10477</f>
        <v/>
      </c>
      <c r="K11888" s="21">
        <f>$B$10479</f>
        <v/>
      </c>
      <c r="L11888" s="21" t="n">
        <v>0</v>
      </c>
      <c r="M11888" s="21" t="n">
        <v>0</v>
      </c>
      <c r="N11888" s="21" t="n">
        <v>0</v>
      </c>
      <c r="O11888" s="21" t="n">
        <v>0</v>
      </c>
      <c r="P11888" s="21" t="n">
        <v>0</v>
      </c>
      <c r="Q11888" s="21" t="n">
        <v>0</v>
      </c>
      <c r="R11888" s="21" t="n">
        <v>0</v>
      </c>
      <c r="S11888" s="21" t="n">
        <v>0</v>
      </c>
      <c r="T11888" s="21" t="n">
        <v>0</v>
      </c>
      <c r="U11888" s="21" t="n">
        <v>0</v>
      </c>
      <c r="V11888" s="21" t="n">
        <v>0</v>
      </c>
      <c r="W11888" s="21" t="n">
        <v>0</v>
      </c>
      <c r="X11888" s="21" t="n">
        <v>0</v>
      </c>
      <c r="Y11888" s="21" t="n">
        <v>0</v>
      </c>
      <c r="Z11888" s="19" t="n"/>
    </row>
    <row r="11889">
      <c r="D11889" s="21" t="n">
        <v>0</v>
      </c>
      <c r="E11889" s="21" t="n">
        <v>0</v>
      </c>
      <c r="F11889" s="21" t="n">
        <v>0</v>
      </c>
      <c r="G11889" s="21" t="n">
        <v>0</v>
      </c>
      <c r="H11889" s="21">
        <f>-$B$10476</f>
        <v/>
      </c>
      <c r="I11889" s="21">
        <f>-$B$10477</f>
        <v/>
      </c>
      <c r="J11889" s="21">
        <f>2*$B$10476+$D$11874</f>
        <v/>
      </c>
      <c r="K11889" s="21">
        <f>0</f>
        <v/>
      </c>
      <c r="L11889" s="21">
        <f>-$B$10476</f>
        <v/>
      </c>
      <c r="M11889" s="21">
        <f>$B$10477</f>
        <v/>
      </c>
      <c r="N11889" s="21" t="n">
        <v>0</v>
      </c>
      <c r="O11889" s="21" t="n">
        <v>0</v>
      </c>
      <c r="P11889" s="21" t="n">
        <v>0</v>
      </c>
      <c r="Q11889" s="21" t="n">
        <v>0</v>
      </c>
      <c r="R11889" s="21" t="n">
        <v>0</v>
      </c>
      <c r="S11889" s="21" t="n">
        <v>0</v>
      </c>
      <c r="T11889" s="21" t="n">
        <v>0</v>
      </c>
      <c r="U11889" s="21" t="n">
        <v>0</v>
      </c>
      <c r="V11889" s="21" t="n">
        <v>0</v>
      </c>
      <c r="W11889" s="21" t="n">
        <v>0</v>
      </c>
      <c r="X11889" s="21" t="n">
        <v>0</v>
      </c>
      <c r="Y11889" s="21" t="n">
        <v>0</v>
      </c>
      <c r="Z11889" s="19" t="n"/>
    </row>
    <row r="11890">
      <c r="D11890" s="21" t="n">
        <v>0</v>
      </c>
      <c r="E11890" s="21" t="n">
        <v>0</v>
      </c>
      <c r="F11890" s="21" t="n">
        <v>0</v>
      </c>
      <c r="G11890" s="21" t="n">
        <v>0</v>
      </c>
      <c r="H11890" s="21">
        <f>$B$10477</f>
        <v/>
      </c>
      <c r="I11890" s="21">
        <f>$B$10479</f>
        <v/>
      </c>
      <c r="J11890" s="21">
        <f>0</f>
        <v/>
      </c>
      <c r="K11890" s="21">
        <f>2*$B$10478</f>
        <v/>
      </c>
      <c r="L11890" s="21">
        <f>-$B$10477</f>
        <v/>
      </c>
      <c r="M11890" s="21">
        <f>$B$10479</f>
        <v/>
      </c>
      <c r="N11890" s="21" t="n">
        <v>0</v>
      </c>
      <c r="O11890" s="21" t="n">
        <v>0</v>
      </c>
      <c r="P11890" s="21" t="n">
        <v>0</v>
      </c>
      <c r="Q11890" s="21" t="n">
        <v>0</v>
      </c>
      <c r="R11890" s="21" t="n">
        <v>0</v>
      </c>
      <c r="S11890" s="21" t="n">
        <v>0</v>
      </c>
      <c r="T11890" s="21" t="n">
        <v>0</v>
      </c>
      <c r="U11890" s="21" t="n">
        <v>0</v>
      </c>
      <c r="V11890" s="21" t="n">
        <v>0</v>
      </c>
      <c r="W11890" s="21" t="n">
        <v>0</v>
      </c>
      <c r="X11890" s="21" t="n">
        <v>0</v>
      </c>
      <c r="Y11890" s="21" t="n">
        <v>0</v>
      </c>
      <c r="Z11890" s="19" t="n"/>
    </row>
    <row r="11891">
      <c r="D11891" s="21" t="n">
        <v>0</v>
      </c>
      <c r="E11891" s="21" t="n">
        <v>0</v>
      </c>
      <c r="F11891" s="21" t="n">
        <v>0</v>
      </c>
      <c r="G11891" s="21" t="n">
        <v>0</v>
      </c>
      <c r="H11891" s="21" t="n">
        <v>0</v>
      </c>
      <c r="I11891" s="21" t="n">
        <v>0</v>
      </c>
      <c r="J11891" s="21">
        <f>-$B$10476</f>
        <v/>
      </c>
      <c r="K11891" s="21">
        <f>-$B$10477</f>
        <v/>
      </c>
      <c r="L11891" s="21">
        <f>2*$B$10476+$D$11875</f>
        <v/>
      </c>
      <c r="M11891" s="21">
        <f>0</f>
        <v/>
      </c>
      <c r="N11891" s="21">
        <f>-$B$10476</f>
        <v/>
      </c>
      <c r="O11891" s="21">
        <f>$B$10477</f>
        <v/>
      </c>
      <c r="P11891" s="21" t="n">
        <v>0</v>
      </c>
      <c r="Q11891" s="21" t="n">
        <v>0</v>
      </c>
      <c r="R11891" s="21" t="n">
        <v>0</v>
      </c>
      <c r="S11891" s="21" t="n">
        <v>0</v>
      </c>
      <c r="T11891" s="21" t="n">
        <v>0</v>
      </c>
      <c r="U11891" s="21" t="n">
        <v>0</v>
      </c>
      <c r="V11891" s="21" t="n">
        <v>0</v>
      </c>
      <c r="W11891" s="21" t="n">
        <v>0</v>
      </c>
      <c r="X11891" s="21" t="n">
        <v>0</v>
      </c>
      <c r="Y11891" s="21" t="n">
        <v>0</v>
      </c>
      <c r="Z11891" s="19" t="n"/>
    </row>
    <row r="11892">
      <c r="D11892" s="21" t="n">
        <v>0</v>
      </c>
      <c r="E11892" s="21" t="n">
        <v>0</v>
      </c>
      <c r="F11892" s="21" t="n">
        <v>0</v>
      </c>
      <c r="G11892" s="21" t="n">
        <v>0</v>
      </c>
      <c r="H11892" s="21" t="n">
        <v>0</v>
      </c>
      <c r="I11892" s="21" t="n">
        <v>0</v>
      </c>
      <c r="J11892" s="21">
        <f>$B$10477</f>
        <v/>
      </c>
      <c r="K11892" s="21">
        <f>$B$10479</f>
        <v/>
      </c>
      <c r="L11892" s="21">
        <f>0</f>
        <v/>
      </c>
      <c r="M11892" s="21">
        <f>2*$B$10478</f>
        <v/>
      </c>
      <c r="N11892" s="21">
        <f>-$B$10477</f>
        <v/>
      </c>
      <c r="O11892" s="21">
        <f>$B$10479</f>
        <v/>
      </c>
      <c r="P11892" s="21" t="n">
        <v>0</v>
      </c>
      <c r="Q11892" s="21" t="n">
        <v>0</v>
      </c>
      <c r="R11892" s="21" t="n">
        <v>0</v>
      </c>
      <c r="S11892" s="21" t="n">
        <v>0</v>
      </c>
      <c r="T11892" s="21" t="n">
        <v>0</v>
      </c>
      <c r="U11892" s="21" t="n">
        <v>0</v>
      </c>
      <c r="V11892" s="21" t="n">
        <v>0</v>
      </c>
      <c r="W11892" s="21" t="n">
        <v>0</v>
      </c>
      <c r="X11892" s="21" t="n">
        <v>0</v>
      </c>
      <c r="Y11892" s="21" t="n">
        <v>0</v>
      </c>
      <c r="Z11892" s="19" t="n"/>
    </row>
    <row r="11893">
      <c r="D11893" s="21" t="n">
        <v>0</v>
      </c>
      <c r="E11893" s="21" t="n">
        <v>0</v>
      </c>
      <c r="F11893" s="21" t="n">
        <v>0</v>
      </c>
      <c r="G11893" s="21" t="n">
        <v>0</v>
      </c>
      <c r="H11893" s="21" t="n">
        <v>0</v>
      </c>
      <c r="I11893" s="21" t="n">
        <v>0</v>
      </c>
      <c r="J11893" s="21" t="n">
        <v>0</v>
      </c>
      <c r="K11893" s="21" t="n">
        <v>0</v>
      </c>
      <c r="L11893" s="21">
        <f>-$B$10476</f>
        <v/>
      </c>
      <c r="M11893" s="21">
        <f>-$B$10477</f>
        <v/>
      </c>
      <c r="N11893" s="21">
        <f>2*$B$10476+$D$11876</f>
        <v/>
      </c>
      <c r="O11893" s="21">
        <f>0</f>
        <v/>
      </c>
      <c r="P11893" s="21">
        <f>-$B$10476</f>
        <v/>
      </c>
      <c r="Q11893" s="21">
        <f>$B$10477</f>
        <v/>
      </c>
      <c r="R11893" s="21" t="n">
        <v>0</v>
      </c>
      <c r="S11893" s="21" t="n">
        <v>0</v>
      </c>
      <c r="T11893" s="21" t="n">
        <v>0</v>
      </c>
      <c r="U11893" s="21" t="n">
        <v>0</v>
      </c>
      <c r="V11893" s="21" t="n">
        <v>0</v>
      </c>
      <c r="W11893" s="21" t="n">
        <v>0</v>
      </c>
      <c r="X11893" s="21" t="n">
        <v>0</v>
      </c>
      <c r="Y11893" s="21" t="n">
        <v>0</v>
      </c>
      <c r="Z11893" s="19" t="n"/>
    </row>
    <row r="11894">
      <c r="D11894" s="21" t="n">
        <v>0</v>
      </c>
      <c r="E11894" s="21" t="n">
        <v>0</v>
      </c>
      <c r="F11894" s="21" t="n">
        <v>0</v>
      </c>
      <c r="G11894" s="21" t="n">
        <v>0</v>
      </c>
      <c r="H11894" s="21" t="n">
        <v>0</v>
      </c>
      <c r="I11894" s="21" t="n">
        <v>0</v>
      </c>
      <c r="J11894" s="21" t="n">
        <v>0</v>
      </c>
      <c r="K11894" s="21" t="n">
        <v>0</v>
      </c>
      <c r="L11894" s="21">
        <f>$B$10477</f>
        <v/>
      </c>
      <c r="M11894" s="21">
        <f>$B$10479</f>
        <v/>
      </c>
      <c r="N11894" s="21">
        <f>0</f>
        <v/>
      </c>
      <c r="O11894" s="21">
        <f>2*$B$10478</f>
        <v/>
      </c>
      <c r="P11894" s="21">
        <f>-$B$10477</f>
        <v/>
      </c>
      <c r="Q11894" s="21">
        <f>$B$10479</f>
        <v/>
      </c>
      <c r="R11894" s="21" t="n">
        <v>0</v>
      </c>
      <c r="S11894" s="21" t="n">
        <v>0</v>
      </c>
      <c r="T11894" s="21" t="n">
        <v>0</v>
      </c>
      <c r="U11894" s="21" t="n">
        <v>0</v>
      </c>
      <c r="V11894" s="21" t="n">
        <v>0</v>
      </c>
      <c r="W11894" s="21" t="n">
        <v>0</v>
      </c>
      <c r="X11894" s="21" t="n">
        <v>0</v>
      </c>
      <c r="Y11894" s="21" t="n">
        <v>0</v>
      </c>
      <c r="Z11894" s="19" t="n"/>
    </row>
    <row r="11895">
      <c r="D11895" s="21" t="n">
        <v>0</v>
      </c>
      <c r="E11895" s="21" t="n">
        <v>0</v>
      </c>
      <c r="F11895" s="21" t="n">
        <v>0</v>
      </c>
      <c r="G11895" s="21" t="n">
        <v>0</v>
      </c>
      <c r="H11895" s="21" t="n">
        <v>0</v>
      </c>
      <c r="I11895" s="21" t="n">
        <v>0</v>
      </c>
      <c r="J11895" s="21" t="n">
        <v>0</v>
      </c>
      <c r="K11895" s="21" t="n">
        <v>0</v>
      </c>
      <c r="L11895" s="21" t="n">
        <v>0</v>
      </c>
      <c r="M11895" s="21" t="n">
        <v>0</v>
      </c>
      <c r="N11895" s="21">
        <f>-$B$10476</f>
        <v/>
      </c>
      <c r="O11895" s="21">
        <f>-$B$10477</f>
        <v/>
      </c>
      <c r="P11895" s="21">
        <f>2*$B$10476+$D$11877</f>
        <v/>
      </c>
      <c r="Q11895" s="21">
        <f>0</f>
        <v/>
      </c>
      <c r="R11895" s="21">
        <f>-$B$10476</f>
        <v/>
      </c>
      <c r="S11895" s="21">
        <f>$B$10477</f>
        <v/>
      </c>
      <c r="T11895" s="21" t="n">
        <v>0</v>
      </c>
      <c r="U11895" s="21" t="n">
        <v>0</v>
      </c>
      <c r="V11895" s="21" t="n">
        <v>0</v>
      </c>
      <c r="W11895" s="21" t="n">
        <v>0</v>
      </c>
      <c r="X11895" s="21" t="n">
        <v>0</v>
      </c>
      <c r="Y11895" s="21" t="n">
        <v>0</v>
      </c>
      <c r="Z11895" s="19" t="n"/>
    </row>
    <row r="11896">
      <c r="D11896" s="21" t="n">
        <v>0</v>
      </c>
      <c r="E11896" s="21" t="n">
        <v>0</v>
      </c>
      <c r="F11896" s="21" t="n">
        <v>0</v>
      </c>
      <c r="G11896" s="21" t="n">
        <v>0</v>
      </c>
      <c r="H11896" s="21" t="n">
        <v>0</v>
      </c>
      <c r="I11896" s="21" t="n">
        <v>0</v>
      </c>
      <c r="J11896" s="21" t="n">
        <v>0</v>
      </c>
      <c r="K11896" s="21" t="n">
        <v>0</v>
      </c>
      <c r="L11896" s="21" t="n">
        <v>0</v>
      </c>
      <c r="M11896" s="21" t="n">
        <v>0</v>
      </c>
      <c r="N11896" s="21">
        <f>$B$10477</f>
        <v/>
      </c>
      <c r="O11896" s="21">
        <f>$B$10479</f>
        <v/>
      </c>
      <c r="P11896" s="21">
        <f>0</f>
        <v/>
      </c>
      <c r="Q11896" s="21">
        <f>2*$B$10478</f>
        <v/>
      </c>
      <c r="R11896" s="21">
        <f>-$B$10477</f>
        <v/>
      </c>
      <c r="S11896" s="21">
        <f>$B$10479</f>
        <v/>
      </c>
      <c r="T11896" s="21" t="n">
        <v>0</v>
      </c>
      <c r="U11896" s="21" t="n">
        <v>0</v>
      </c>
      <c r="V11896" s="21" t="n">
        <v>0</v>
      </c>
      <c r="W11896" s="21" t="n">
        <v>0</v>
      </c>
      <c r="X11896" s="21" t="n">
        <v>0</v>
      </c>
      <c r="Y11896" s="21" t="n">
        <v>0</v>
      </c>
      <c r="Z11896" s="19" t="n"/>
    </row>
    <row r="11897">
      <c r="D11897" s="21" t="n">
        <v>0</v>
      </c>
      <c r="E11897" s="21" t="n">
        <v>0</v>
      </c>
      <c r="F11897" s="21" t="n">
        <v>0</v>
      </c>
      <c r="G11897" s="21" t="n">
        <v>0</v>
      </c>
      <c r="H11897" s="21" t="n">
        <v>0</v>
      </c>
      <c r="I11897" s="21" t="n">
        <v>0</v>
      </c>
      <c r="J11897" s="21" t="n">
        <v>0</v>
      </c>
      <c r="K11897" s="21" t="n">
        <v>0</v>
      </c>
      <c r="L11897" s="21" t="n">
        <v>0</v>
      </c>
      <c r="M11897" s="21" t="n">
        <v>0</v>
      </c>
      <c r="N11897" s="21" t="n">
        <v>0</v>
      </c>
      <c r="O11897" s="21" t="n">
        <v>0</v>
      </c>
      <c r="P11897" s="21">
        <f>-$B$10476</f>
        <v/>
      </c>
      <c r="Q11897" s="21">
        <f>-$B$10477</f>
        <v/>
      </c>
      <c r="R11897" s="21">
        <f>2*$B$10476+$D$11878</f>
        <v/>
      </c>
      <c r="S11897" s="21">
        <f>0</f>
        <v/>
      </c>
      <c r="T11897" s="21">
        <f>-$B$10476</f>
        <v/>
      </c>
      <c r="U11897" s="21">
        <f>$B$10477</f>
        <v/>
      </c>
      <c r="V11897" s="21" t="n">
        <v>0</v>
      </c>
      <c r="W11897" s="21" t="n">
        <v>0</v>
      </c>
      <c r="X11897" s="21" t="n">
        <v>0</v>
      </c>
      <c r="Y11897" s="21" t="n">
        <v>0</v>
      </c>
      <c r="Z11897" s="19" t="n"/>
    </row>
    <row r="11898">
      <c r="D11898" s="21" t="n">
        <v>0</v>
      </c>
      <c r="E11898" s="21" t="n">
        <v>0</v>
      </c>
      <c r="F11898" s="21" t="n">
        <v>0</v>
      </c>
      <c r="G11898" s="21" t="n">
        <v>0</v>
      </c>
      <c r="H11898" s="21" t="n">
        <v>0</v>
      </c>
      <c r="I11898" s="21" t="n">
        <v>0</v>
      </c>
      <c r="J11898" s="21" t="n">
        <v>0</v>
      </c>
      <c r="K11898" s="21" t="n">
        <v>0</v>
      </c>
      <c r="L11898" s="21" t="n">
        <v>0</v>
      </c>
      <c r="M11898" s="21" t="n">
        <v>0</v>
      </c>
      <c r="N11898" s="21" t="n">
        <v>0</v>
      </c>
      <c r="O11898" s="21" t="n">
        <v>0</v>
      </c>
      <c r="P11898" s="21">
        <f>$B$10477</f>
        <v/>
      </c>
      <c r="Q11898" s="21">
        <f>$B$10479</f>
        <v/>
      </c>
      <c r="R11898" s="21">
        <f>0</f>
        <v/>
      </c>
      <c r="S11898" s="21">
        <f>2*$B$10478</f>
        <v/>
      </c>
      <c r="T11898" s="21">
        <f>-$B$10477</f>
        <v/>
      </c>
      <c r="U11898" s="21">
        <f>$B$10479</f>
        <v/>
      </c>
      <c r="V11898" s="21" t="n">
        <v>0</v>
      </c>
      <c r="W11898" s="21" t="n">
        <v>0</v>
      </c>
      <c r="X11898" s="21" t="n">
        <v>0</v>
      </c>
      <c r="Y11898" s="21" t="n">
        <v>0</v>
      </c>
      <c r="Z11898" s="19" t="n"/>
    </row>
    <row r="11899">
      <c r="D11899" s="21" t="n">
        <v>0</v>
      </c>
      <c r="E11899" s="21" t="n">
        <v>0</v>
      </c>
      <c r="F11899" s="21" t="n">
        <v>0</v>
      </c>
      <c r="G11899" s="21" t="n">
        <v>0</v>
      </c>
      <c r="H11899" s="21" t="n">
        <v>0</v>
      </c>
      <c r="I11899" s="21" t="n">
        <v>0</v>
      </c>
      <c r="J11899" s="21" t="n">
        <v>0</v>
      </c>
      <c r="K11899" s="21" t="n">
        <v>0</v>
      </c>
      <c r="L11899" s="21" t="n">
        <v>0</v>
      </c>
      <c r="M11899" s="21" t="n">
        <v>0</v>
      </c>
      <c r="N11899" s="21" t="n">
        <v>0</v>
      </c>
      <c r="O11899" s="21" t="n">
        <v>0</v>
      </c>
      <c r="P11899" s="21" t="n">
        <v>0</v>
      </c>
      <c r="Q11899" s="21" t="n">
        <v>0</v>
      </c>
      <c r="R11899" s="21">
        <f>-$B$10476</f>
        <v/>
      </c>
      <c r="S11899" s="21">
        <f>-$B$10477</f>
        <v/>
      </c>
      <c r="T11899" s="21">
        <f>2*$B$10476+$D$11879</f>
        <v/>
      </c>
      <c r="U11899" s="21">
        <f>0</f>
        <v/>
      </c>
      <c r="V11899" s="21">
        <f>-$B$10476</f>
        <v/>
      </c>
      <c r="W11899" s="21">
        <f>$B$10477</f>
        <v/>
      </c>
      <c r="X11899" s="21" t="n">
        <v>0</v>
      </c>
      <c r="Y11899" s="21" t="n">
        <v>0</v>
      </c>
      <c r="Z11899" s="19" t="n"/>
    </row>
    <row r="11900">
      <c r="D11900" s="21" t="n">
        <v>0</v>
      </c>
      <c r="E11900" s="21" t="n">
        <v>0</v>
      </c>
      <c r="F11900" s="21" t="n">
        <v>0</v>
      </c>
      <c r="G11900" s="21" t="n">
        <v>0</v>
      </c>
      <c r="H11900" s="21" t="n">
        <v>0</v>
      </c>
      <c r="I11900" s="21" t="n">
        <v>0</v>
      </c>
      <c r="J11900" s="21" t="n">
        <v>0</v>
      </c>
      <c r="K11900" s="21" t="n">
        <v>0</v>
      </c>
      <c r="L11900" s="21" t="n">
        <v>0</v>
      </c>
      <c r="M11900" s="21" t="n">
        <v>0</v>
      </c>
      <c r="N11900" s="21" t="n">
        <v>0</v>
      </c>
      <c r="O11900" s="21" t="n">
        <v>0</v>
      </c>
      <c r="P11900" s="21" t="n">
        <v>0</v>
      </c>
      <c r="Q11900" s="21" t="n">
        <v>0</v>
      </c>
      <c r="R11900" s="21">
        <f>$B$10477</f>
        <v/>
      </c>
      <c r="S11900" s="21">
        <f>$B$10479</f>
        <v/>
      </c>
      <c r="T11900" s="21">
        <f>0</f>
        <v/>
      </c>
      <c r="U11900" s="21">
        <f>2*$B$10478</f>
        <v/>
      </c>
      <c r="V11900" s="21">
        <f>-$B$10477</f>
        <v/>
      </c>
      <c r="W11900" s="21">
        <f>$B$10479</f>
        <v/>
      </c>
      <c r="X11900" s="21" t="n">
        <v>0</v>
      </c>
      <c r="Y11900" s="21" t="n">
        <v>0</v>
      </c>
      <c r="Z11900" s="19" t="n"/>
    </row>
    <row r="11901">
      <c r="D11901" s="21" t="n">
        <v>0</v>
      </c>
      <c r="E11901" s="21" t="n">
        <v>0</v>
      </c>
      <c r="F11901" s="21" t="n">
        <v>0</v>
      </c>
      <c r="G11901" s="21" t="n">
        <v>0</v>
      </c>
      <c r="H11901" s="21" t="n">
        <v>0</v>
      </c>
      <c r="I11901" s="21" t="n">
        <v>0</v>
      </c>
      <c r="J11901" s="21" t="n">
        <v>0</v>
      </c>
      <c r="K11901" s="21" t="n">
        <v>0</v>
      </c>
      <c r="L11901" s="21" t="n">
        <v>0</v>
      </c>
      <c r="M11901" s="21" t="n">
        <v>0</v>
      </c>
      <c r="N11901" s="21" t="n">
        <v>0</v>
      </c>
      <c r="O11901" s="21" t="n">
        <v>0</v>
      </c>
      <c r="P11901" s="21" t="n">
        <v>0</v>
      </c>
      <c r="Q11901" s="21" t="n">
        <v>0</v>
      </c>
      <c r="R11901" s="21" t="n">
        <v>0</v>
      </c>
      <c r="S11901" s="21" t="n">
        <v>0</v>
      </c>
      <c r="T11901" s="21">
        <f>-$B$10476</f>
        <v/>
      </c>
      <c r="U11901" s="21">
        <f>-$B$10477</f>
        <v/>
      </c>
      <c r="V11901" s="21">
        <f>2*$B$10476+$D$11880</f>
        <v/>
      </c>
      <c r="W11901" s="21">
        <f>0</f>
        <v/>
      </c>
      <c r="X11901" s="21">
        <f>-$B$10476</f>
        <v/>
      </c>
      <c r="Y11901" s="21">
        <f>$B$10477</f>
        <v/>
      </c>
      <c r="Z11901" s="19" t="n"/>
    </row>
    <row r="11902">
      <c r="D11902" s="21" t="n">
        <v>0</v>
      </c>
      <c r="E11902" s="21" t="n">
        <v>0</v>
      </c>
      <c r="F11902" s="21" t="n">
        <v>0</v>
      </c>
      <c r="G11902" s="21" t="n">
        <v>0</v>
      </c>
      <c r="H11902" s="21" t="n">
        <v>0</v>
      </c>
      <c r="I11902" s="21" t="n">
        <v>0</v>
      </c>
      <c r="J11902" s="21" t="n">
        <v>0</v>
      </c>
      <c r="K11902" s="21" t="n">
        <v>0</v>
      </c>
      <c r="L11902" s="21" t="n">
        <v>0</v>
      </c>
      <c r="M11902" s="21" t="n">
        <v>0</v>
      </c>
      <c r="N11902" s="21" t="n">
        <v>0</v>
      </c>
      <c r="O11902" s="21" t="n">
        <v>0</v>
      </c>
      <c r="P11902" s="21" t="n">
        <v>0</v>
      </c>
      <c r="Q11902" s="21" t="n">
        <v>0</v>
      </c>
      <c r="R11902" s="21" t="n">
        <v>0</v>
      </c>
      <c r="S11902" s="21" t="n">
        <v>0</v>
      </c>
      <c r="T11902" s="21">
        <f>$B$10477</f>
        <v/>
      </c>
      <c r="U11902" s="21">
        <f>$B$10479</f>
        <v/>
      </c>
      <c r="V11902" s="21">
        <f>0</f>
        <v/>
      </c>
      <c r="W11902" s="21">
        <f>2*$B$10478</f>
        <v/>
      </c>
      <c r="X11902" s="21">
        <f>-$B$10477</f>
        <v/>
      </c>
      <c r="Y11902" s="21">
        <f>$B$10479</f>
        <v/>
      </c>
      <c r="Z11902" s="19" t="n"/>
    </row>
    <row r="11903">
      <c r="D11903" s="21" t="n">
        <v>0</v>
      </c>
      <c r="E11903" s="21" t="n">
        <v>0</v>
      </c>
      <c r="F11903" s="21" t="n">
        <v>0</v>
      </c>
      <c r="G11903" s="21" t="n">
        <v>0</v>
      </c>
      <c r="H11903" s="21" t="n">
        <v>0</v>
      </c>
      <c r="I11903" s="21" t="n">
        <v>0</v>
      </c>
      <c r="J11903" s="21" t="n">
        <v>0</v>
      </c>
      <c r="K11903" s="21" t="n">
        <v>0</v>
      </c>
      <c r="L11903" s="21" t="n">
        <v>0</v>
      </c>
      <c r="M11903" s="21" t="n">
        <v>0</v>
      </c>
      <c r="N11903" s="21" t="n">
        <v>0</v>
      </c>
      <c r="O11903" s="21" t="n">
        <v>0</v>
      </c>
      <c r="P11903" s="21" t="n">
        <v>0</v>
      </c>
      <c r="Q11903" s="21" t="n">
        <v>0</v>
      </c>
      <c r="R11903" s="21" t="n">
        <v>0</v>
      </c>
      <c r="S11903" s="21" t="n">
        <v>0</v>
      </c>
      <c r="T11903" s="21" t="n">
        <v>0</v>
      </c>
      <c r="U11903" s="21" t="n">
        <v>0</v>
      </c>
      <c r="V11903" s="21">
        <f>-$B$10476</f>
        <v/>
      </c>
      <c r="W11903" s="21">
        <f>-$B$10477</f>
        <v/>
      </c>
      <c r="X11903" s="21">
        <f>$B$10476+$D$11881</f>
        <v/>
      </c>
      <c r="Y11903" s="21">
        <f>-$B$10477</f>
        <v/>
      </c>
      <c r="Z11903" s="19" t="n"/>
    </row>
    <row r="11904">
      <c r="D11904" s="21" t="n">
        <v>0</v>
      </c>
      <c r="E11904" s="21" t="n">
        <v>0</v>
      </c>
      <c r="F11904" s="21" t="n">
        <v>0</v>
      </c>
      <c r="G11904" s="21" t="n">
        <v>0</v>
      </c>
      <c r="H11904" s="21" t="n">
        <v>0</v>
      </c>
      <c r="I11904" s="21" t="n">
        <v>0</v>
      </c>
      <c r="J11904" s="21" t="n">
        <v>0</v>
      </c>
      <c r="K11904" s="21" t="n">
        <v>0</v>
      </c>
      <c r="L11904" s="21" t="n">
        <v>0</v>
      </c>
      <c r="M11904" s="21" t="n">
        <v>0</v>
      </c>
      <c r="N11904" s="21" t="n">
        <v>0</v>
      </c>
      <c r="O11904" s="21" t="n">
        <v>0</v>
      </c>
      <c r="P11904" s="21" t="n">
        <v>0</v>
      </c>
      <c r="Q11904" s="21" t="n">
        <v>0</v>
      </c>
      <c r="R11904" s="21" t="n">
        <v>0</v>
      </c>
      <c r="S11904" s="21" t="n">
        <v>0</v>
      </c>
      <c r="T11904" s="21" t="n">
        <v>0</v>
      </c>
      <c r="U11904" s="21" t="n">
        <v>0</v>
      </c>
      <c r="V11904" s="21">
        <f>$B$10477</f>
        <v/>
      </c>
      <c r="W11904" s="21">
        <f>$B$10479</f>
        <v/>
      </c>
      <c r="X11904" s="21">
        <f>-$B$10477</f>
        <v/>
      </c>
      <c r="Y11904" s="21">
        <f>$B$10478</f>
        <v/>
      </c>
      <c r="Z11904" s="19" t="n"/>
    </row>
    <row r="11906">
      <c r="A11906" s="8" t="inlineStr">
        <is>
          <t>gen 39</t>
        </is>
      </c>
    </row>
    <row r="11907">
      <c r="D11907" s="19">
        <f>IF(ABS(IF(ABS($E$11871)&gt;0.000000001,$E$11871,0.000000001))=0,0,IF($E$10491&lt;=$B$10485,0,IF(ABS(IF(ABS($E$11871)&gt;0.000000001,$E$11871,0.000000001))&gt;=8*$B$10487,$H$10491,0.5*$H$10491*(ABS(IF(ABS($E$11871)&gt;0.000000001,$E$11871,0.000000001))/$B$10487)^(1/3)))/ABS(IF(ABS($E$11871)&gt;0.000000001,$E$11871,0.000000001))*$I$10491)</f>
        <v/>
      </c>
      <c r="E11907" s="19">
        <f>0.5*$E$11871+0.5*$Z$11919</f>
        <v/>
      </c>
      <c r="F11907" s="19">
        <f>$Z$11920</f>
        <v/>
      </c>
    </row>
    <row r="11908">
      <c r="D11908" s="19">
        <f>IF(ABS(IF(ABS($E$11872)&gt;0.000000001,$E$11872,0.000000001))=0,0,IF($E$10492&lt;=$B$10485,0,IF(ABS(IF(ABS($E$11872)&gt;0.000000001,$E$11872,0.000000001))&gt;=8*$B$10487,$H$10492,0.5*$H$10492*(ABS(IF(ABS($E$11872)&gt;0.000000001,$E$11872,0.000000001))/$B$10487)^(1/3)))/ABS(IF(ABS($E$11872)&gt;0.000000001,$E$11872,0.000000001))*$I$10492)</f>
        <v/>
      </c>
      <c r="E11908" s="19">
        <f>0.5*$E$11872+0.5*$Z$11921</f>
        <v/>
      </c>
      <c r="F11908" s="19">
        <f>$Z$11922</f>
        <v/>
      </c>
    </row>
    <row r="11909">
      <c r="D11909" s="19">
        <f>IF(ABS(IF(ABS($E$11873)&gt;0.000000001,$E$11873,0.000000001))=0,0,IF($E$10493&lt;=$B$10485,0,IF(ABS(IF(ABS($E$11873)&gt;0.000000001,$E$11873,0.000000001))&gt;=8*$B$10487,$H$10493,0.5*$H$10493*(ABS(IF(ABS($E$11873)&gt;0.000000001,$E$11873,0.000000001))/$B$10487)^(1/3)))/ABS(IF(ABS($E$11873)&gt;0.000000001,$E$11873,0.000000001))*$I$10493)</f>
        <v/>
      </c>
      <c r="E11909" s="19">
        <f>0.5*$E$11873+0.5*$Z$11923</f>
        <v/>
      </c>
      <c r="F11909" s="19">
        <f>$Z$11924</f>
        <v/>
      </c>
    </row>
    <row r="11910">
      <c r="D11910" s="19">
        <f>IF(ABS(IF(ABS($E$11874)&gt;0.000000001,$E$11874,0.000000001))=0,0,IF($E$10494&lt;=$B$10485,0,IF(ABS(IF(ABS($E$11874)&gt;0.000000001,$E$11874,0.000000001))&gt;=8*$B$10487,$H$10494,0.5*$H$10494*(ABS(IF(ABS($E$11874)&gt;0.000000001,$E$11874,0.000000001))/$B$10487)^(1/3)))/ABS(IF(ABS($E$11874)&gt;0.000000001,$E$11874,0.000000001))*$I$10494)</f>
        <v/>
      </c>
      <c r="E11910" s="19">
        <f>0.5*$E$11874+0.5*$Z$11925</f>
        <v/>
      </c>
      <c r="F11910" s="19">
        <f>$Z$11926</f>
        <v/>
      </c>
    </row>
    <row r="11911">
      <c r="D11911" s="19">
        <f>IF(ABS(IF(ABS($E$11875)&gt;0.000000001,$E$11875,0.000000001))=0,0,IF($E$10495&lt;=$B$10485,0,IF(ABS(IF(ABS($E$11875)&gt;0.000000001,$E$11875,0.000000001))&gt;=8*$B$10487,$H$10495,0.5*$H$10495*(ABS(IF(ABS($E$11875)&gt;0.000000001,$E$11875,0.000000001))/$B$10487)^(1/3)))/ABS(IF(ABS($E$11875)&gt;0.000000001,$E$11875,0.000000001))*$I$10495)</f>
        <v/>
      </c>
      <c r="E11911" s="19">
        <f>0.5*$E$11875+0.5*$Z$11927</f>
        <v/>
      </c>
      <c r="F11911" s="19">
        <f>$Z$11928</f>
        <v/>
      </c>
    </row>
    <row r="11912">
      <c r="D11912" s="19">
        <f>IF(ABS(IF(ABS($E$11876)&gt;0.000000001,$E$11876,0.000000001))=0,0,IF($E$10496&lt;=$B$10485,0,IF(ABS(IF(ABS($E$11876)&gt;0.000000001,$E$11876,0.000000001))&gt;=8*$B$10487,$H$10496,0.5*$H$10496*(ABS(IF(ABS($E$11876)&gt;0.000000001,$E$11876,0.000000001))/$B$10487)^(1/3)))/ABS(IF(ABS($E$11876)&gt;0.000000001,$E$11876,0.000000001))*$I$10496)</f>
        <v/>
      </c>
      <c r="E11912" s="19">
        <f>0.5*$E$11876+0.5*$Z$11929</f>
        <v/>
      </c>
      <c r="F11912" s="19">
        <f>$Z$11930</f>
        <v/>
      </c>
    </row>
    <row r="11913">
      <c r="D11913" s="19">
        <f>IF(ABS(IF(ABS($E$11877)&gt;0.000000001,$E$11877,0.000000001))=0,0,IF($E$10497&lt;=$B$10485,0,IF(ABS(IF(ABS($E$11877)&gt;0.000000001,$E$11877,0.000000001))&gt;=8*$B$10487,$H$10497,0.5*$H$10497*(ABS(IF(ABS($E$11877)&gt;0.000000001,$E$11877,0.000000001))/$B$10487)^(1/3)))/ABS(IF(ABS($E$11877)&gt;0.000000001,$E$11877,0.000000001))*$I$10497)</f>
        <v/>
      </c>
      <c r="E11913" s="19">
        <f>0.5*$E$11877+0.5*$Z$11931</f>
        <v/>
      </c>
      <c r="F11913" s="19">
        <f>$Z$11932</f>
        <v/>
      </c>
    </row>
    <row r="11914">
      <c r="D11914" s="19">
        <f>IF(ABS(IF(ABS($E$11878)&gt;0.000000001,$E$11878,0.000000001))=0,0,IF($E$10498&lt;=$B$10485,0,IF(ABS(IF(ABS($E$11878)&gt;0.000000001,$E$11878,0.000000001))&gt;=8*$B$10487,$H$10498,0.5*$H$10498*(ABS(IF(ABS($E$11878)&gt;0.000000001,$E$11878,0.000000001))/$B$10487)^(1/3)))/ABS(IF(ABS($E$11878)&gt;0.000000001,$E$11878,0.000000001))*$I$10498)</f>
        <v/>
      </c>
      <c r="E11914" s="19">
        <f>0.5*$E$11878+0.5*$Z$11933</f>
        <v/>
      </c>
      <c r="F11914" s="19">
        <f>$Z$11934</f>
        <v/>
      </c>
    </row>
    <row r="11915">
      <c r="D11915" s="19">
        <f>IF(ABS(IF(ABS($E$11879)&gt;0.000000001,$E$11879,0.000000001))=0,0,IF($E$10499&lt;=$B$10485,0,IF(ABS(IF(ABS($E$11879)&gt;0.000000001,$E$11879,0.000000001))&gt;=8*$B$10487,$H$10499,0.5*$H$10499*(ABS(IF(ABS($E$11879)&gt;0.000000001,$E$11879,0.000000001))/$B$10487)^(1/3)))/ABS(IF(ABS($E$11879)&gt;0.000000001,$E$11879,0.000000001))*$I$10499)</f>
        <v/>
      </c>
      <c r="E11915" s="19">
        <f>0.5*$E$11879+0.5*$Z$11935</f>
        <v/>
      </c>
      <c r="F11915" s="19">
        <f>$Z$11936</f>
        <v/>
      </c>
    </row>
    <row r="11916">
      <c r="D11916" s="19">
        <f>IF(ABS(IF(ABS($E$11880)&gt;0.000000001,$E$11880,0.000000001))=0,0,IF($E$10500&lt;=$B$10485,0,IF(ABS(IF(ABS($E$11880)&gt;0.000000001,$E$11880,0.000000001))&gt;=8*$B$10487,$H$10500,0.5*$H$10500*(ABS(IF(ABS($E$11880)&gt;0.000000001,$E$11880,0.000000001))/$B$10487)^(1/3)))/ABS(IF(ABS($E$11880)&gt;0.000000001,$E$11880,0.000000001))*$I$10500)</f>
        <v/>
      </c>
      <c r="E11916" s="19">
        <f>0.5*$E$11880+0.5*$Z$11937</f>
        <v/>
      </c>
      <c r="F11916" s="19">
        <f>$Z$11938</f>
        <v/>
      </c>
    </row>
    <row r="11917">
      <c r="D11917" s="19">
        <f>IF(ABS(IF(ABS($E$11881)&gt;0.000000001,$E$11881,0.000000001))=0,0,IF($E$10501&lt;=$B$10485,0,IF(ABS(IF(ABS($E$11881)&gt;0.000000001,$E$11881,0.000000001))&gt;=8*$B$10487,$H$10501,0.5*$H$10501*(ABS(IF(ABS($E$11881)&gt;0.000000001,$E$11881,0.000000001))/$B$10487)^(1/3)))/ABS(IF(ABS($E$11881)&gt;0.000000001,$E$11881,0.000000001))*$I$10501)</f>
        <v/>
      </c>
      <c r="E11917" s="19">
        <f>0.5*$E$11881+0.5*$Z$11939</f>
        <v/>
      </c>
      <c r="F11917" s="19">
        <f>$Z$11940</f>
        <v/>
      </c>
    </row>
    <row r="11919">
      <c r="D11919" s="21">
        <f>$B$10476+$D$11907</f>
        <v/>
      </c>
      <c r="E11919" s="21">
        <f>$B$10477</f>
        <v/>
      </c>
      <c r="F11919" s="21">
        <f>-$B$10476</f>
        <v/>
      </c>
      <c r="G11919" s="21">
        <f>$B$10477</f>
        <v/>
      </c>
      <c r="H11919" s="21" t="n">
        <v>0</v>
      </c>
      <c r="I11919" s="21" t="n">
        <v>0</v>
      </c>
      <c r="J11919" s="21" t="n">
        <v>0</v>
      </c>
      <c r="K11919" s="21" t="n">
        <v>0</v>
      </c>
      <c r="L11919" s="21" t="n">
        <v>0</v>
      </c>
      <c r="M11919" s="21" t="n">
        <v>0</v>
      </c>
      <c r="N11919" s="21" t="n">
        <v>0</v>
      </c>
      <c r="O11919" s="21" t="n">
        <v>0</v>
      </c>
      <c r="P11919" s="21" t="n">
        <v>0</v>
      </c>
      <c r="Q11919" s="21" t="n">
        <v>0</v>
      </c>
      <c r="R11919" s="21" t="n">
        <v>0</v>
      </c>
      <c r="S11919" s="21" t="n">
        <v>0</v>
      </c>
      <c r="T11919" s="21" t="n">
        <v>0</v>
      </c>
      <c r="U11919" s="21" t="n">
        <v>0</v>
      </c>
      <c r="V11919" s="21" t="n">
        <v>0</v>
      </c>
      <c r="W11919" s="21" t="n">
        <v>0</v>
      </c>
      <c r="X11919" s="21" t="n">
        <v>0</v>
      </c>
      <c r="Y11919" s="21" t="n">
        <v>0</v>
      </c>
      <c r="Z11919" s="19">
        <f t="array" ref="Z11919:Z11940">MMULT(MINVERSE($D$11919:$Y$11940),$D$10503:$D$10524)</f>
        <v/>
      </c>
    </row>
    <row r="11920">
      <c r="D11920" s="21">
        <f>$B$10477</f>
        <v/>
      </c>
      <c r="E11920" s="21">
        <f>$B$10478</f>
        <v/>
      </c>
      <c r="F11920" s="21">
        <f>-$B$10477</f>
        <v/>
      </c>
      <c r="G11920" s="21">
        <f>$B$10479</f>
        <v/>
      </c>
      <c r="H11920" s="21" t="n">
        <v>0</v>
      </c>
      <c r="I11920" s="21" t="n">
        <v>0</v>
      </c>
      <c r="J11920" s="21" t="n">
        <v>0</v>
      </c>
      <c r="K11920" s="21" t="n">
        <v>0</v>
      </c>
      <c r="L11920" s="21" t="n">
        <v>0</v>
      </c>
      <c r="M11920" s="21" t="n">
        <v>0</v>
      </c>
      <c r="N11920" s="21" t="n">
        <v>0</v>
      </c>
      <c r="O11920" s="21" t="n">
        <v>0</v>
      </c>
      <c r="P11920" s="21" t="n">
        <v>0</v>
      </c>
      <c r="Q11920" s="21" t="n">
        <v>0</v>
      </c>
      <c r="R11920" s="21" t="n">
        <v>0</v>
      </c>
      <c r="S11920" s="21" t="n">
        <v>0</v>
      </c>
      <c r="T11920" s="21" t="n">
        <v>0</v>
      </c>
      <c r="U11920" s="21" t="n">
        <v>0</v>
      </c>
      <c r="V11920" s="21" t="n">
        <v>0</v>
      </c>
      <c r="W11920" s="21" t="n">
        <v>0</v>
      </c>
      <c r="X11920" s="21" t="n">
        <v>0</v>
      </c>
      <c r="Y11920" s="21" t="n">
        <v>0</v>
      </c>
      <c r="Z11920" s="19" t="n"/>
    </row>
    <row r="11921">
      <c r="D11921" s="21">
        <f>-$B$10476</f>
        <v/>
      </c>
      <c r="E11921" s="21">
        <f>-$B$10477</f>
        <v/>
      </c>
      <c r="F11921" s="21">
        <f>2*$B$10476+$D$11908</f>
        <v/>
      </c>
      <c r="G11921" s="21">
        <f>0</f>
        <v/>
      </c>
      <c r="H11921" s="21">
        <f>-$B$10476</f>
        <v/>
      </c>
      <c r="I11921" s="21">
        <f>$B$10477</f>
        <v/>
      </c>
      <c r="J11921" s="21" t="n">
        <v>0</v>
      </c>
      <c r="K11921" s="21" t="n">
        <v>0</v>
      </c>
      <c r="L11921" s="21" t="n">
        <v>0</v>
      </c>
      <c r="M11921" s="21" t="n">
        <v>0</v>
      </c>
      <c r="N11921" s="21" t="n">
        <v>0</v>
      </c>
      <c r="O11921" s="21" t="n">
        <v>0</v>
      </c>
      <c r="P11921" s="21" t="n">
        <v>0</v>
      </c>
      <c r="Q11921" s="21" t="n">
        <v>0</v>
      </c>
      <c r="R11921" s="21" t="n">
        <v>0</v>
      </c>
      <c r="S11921" s="21" t="n">
        <v>0</v>
      </c>
      <c r="T11921" s="21" t="n">
        <v>0</v>
      </c>
      <c r="U11921" s="21" t="n">
        <v>0</v>
      </c>
      <c r="V11921" s="21" t="n">
        <v>0</v>
      </c>
      <c r="W11921" s="21" t="n">
        <v>0</v>
      </c>
      <c r="X11921" s="21" t="n">
        <v>0</v>
      </c>
      <c r="Y11921" s="21" t="n">
        <v>0</v>
      </c>
      <c r="Z11921" s="19" t="n"/>
    </row>
    <row r="11922">
      <c r="D11922" s="21">
        <f>$B$10477</f>
        <v/>
      </c>
      <c r="E11922" s="21">
        <f>$B$10479</f>
        <v/>
      </c>
      <c r="F11922" s="21">
        <f>0</f>
        <v/>
      </c>
      <c r="G11922" s="21">
        <f>2*$B$10478</f>
        <v/>
      </c>
      <c r="H11922" s="21">
        <f>-$B$10477</f>
        <v/>
      </c>
      <c r="I11922" s="21">
        <f>$B$10479</f>
        <v/>
      </c>
      <c r="J11922" s="21" t="n">
        <v>0</v>
      </c>
      <c r="K11922" s="21" t="n">
        <v>0</v>
      </c>
      <c r="L11922" s="21" t="n">
        <v>0</v>
      </c>
      <c r="M11922" s="21" t="n">
        <v>0</v>
      </c>
      <c r="N11922" s="21" t="n">
        <v>0</v>
      </c>
      <c r="O11922" s="21" t="n">
        <v>0</v>
      </c>
      <c r="P11922" s="21" t="n">
        <v>0</v>
      </c>
      <c r="Q11922" s="21" t="n">
        <v>0</v>
      </c>
      <c r="R11922" s="21" t="n">
        <v>0</v>
      </c>
      <c r="S11922" s="21" t="n">
        <v>0</v>
      </c>
      <c r="T11922" s="21" t="n">
        <v>0</v>
      </c>
      <c r="U11922" s="21" t="n">
        <v>0</v>
      </c>
      <c r="V11922" s="21" t="n">
        <v>0</v>
      </c>
      <c r="W11922" s="21" t="n">
        <v>0</v>
      </c>
      <c r="X11922" s="21" t="n">
        <v>0</v>
      </c>
      <c r="Y11922" s="21" t="n">
        <v>0</v>
      </c>
      <c r="Z11922" s="19" t="n"/>
    </row>
    <row r="11923">
      <c r="D11923" s="21" t="n">
        <v>0</v>
      </c>
      <c r="E11923" s="21" t="n">
        <v>0</v>
      </c>
      <c r="F11923" s="21">
        <f>-$B$10476</f>
        <v/>
      </c>
      <c r="G11923" s="21">
        <f>-$B$10477</f>
        <v/>
      </c>
      <c r="H11923" s="21">
        <f>2*$B$10476+$D$11909</f>
        <v/>
      </c>
      <c r="I11923" s="21">
        <f>0</f>
        <v/>
      </c>
      <c r="J11923" s="21">
        <f>-$B$10476</f>
        <v/>
      </c>
      <c r="K11923" s="21">
        <f>$B$10477</f>
        <v/>
      </c>
      <c r="L11923" s="21" t="n">
        <v>0</v>
      </c>
      <c r="M11923" s="21" t="n">
        <v>0</v>
      </c>
      <c r="N11923" s="21" t="n">
        <v>0</v>
      </c>
      <c r="O11923" s="21" t="n">
        <v>0</v>
      </c>
      <c r="P11923" s="21" t="n">
        <v>0</v>
      </c>
      <c r="Q11923" s="21" t="n">
        <v>0</v>
      </c>
      <c r="R11923" s="21" t="n">
        <v>0</v>
      </c>
      <c r="S11923" s="21" t="n">
        <v>0</v>
      </c>
      <c r="T11923" s="21" t="n">
        <v>0</v>
      </c>
      <c r="U11923" s="21" t="n">
        <v>0</v>
      </c>
      <c r="V11923" s="21" t="n">
        <v>0</v>
      </c>
      <c r="W11923" s="21" t="n">
        <v>0</v>
      </c>
      <c r="X11923" s="21" t="n">
        <v>0</v>
      </c>
      <c r="Y11923" s="21" t="n">
        <v>0</v>
      </c>
      <c r="Z11923" s="19" t="n"/>
    </row>
    <row r="11924">
      <c r="D11924" s="21" t="n">
        <v>0</v>
      </c>
      <c r="E11924" s="21" t="n">
        <v>0</v>
      </c>
      <c r="F11924" s="21">
        <f>$B$10477</f>
        <v/>
      </c>
      <c r="G11924" s="21">
        <f>$B$10479</f>
        <v/>
      </c>
      <c r="H11924" s="21">
        <f>0</f>
        <v/>
      </c>
      <c r="I11924" s="21">
        <f>2*$B$10478</f>
        <v/>
      </c>
      <c r="J11924" s="21">
        <f>-$B$10477</f>
        <v/>
      </c>
      <c r="K11924" s="21">
        <f>$B$10479</f>
        <v/>
      </c>
      <c r="L11924" s="21" t="n">
        <v>0</v>
      </c>
      <c r="M11924" s="21" t="n">
        <v>0</v>
      </c>
      <c r="N11924" s="21" t="n">
        <v>0</v>
      </c>
      <c r="O11924" s="21" t="n">
        <v>0</v>
      </c>
      <c r="P11924" s="21" t="n">
        <v>0</v>
      </c>
      <c r="Q11924" s="21" t="n">
        <v>0</v>
      </c>
      <c r="R11924" s="21" t="n">
        <v>0</v>
      </c>
      <c r="S11924" s="21" t="n">
        <v>0</v>
      </c>
      <c r="T11924" s="21" t="n">
        <v>0</v>
      </c>
      <c r="U11924" s="21" t="n">
        <v>0</v>
      </c>
      <c r="V11924" s="21" t="n">
        <v>0</v>
      </c>
      <c r="W11924" s="21" t="n">
        <v>0</v>
      </c>
      <c r="X11924" s="21" t="n">
        <v>0</v>
      </c>
      <c r="Y11924" s="21" t="n">
        <v>0</v>
      </c>
      <c r="Z11924" s="19" t="n"/>
    </row>
    <row r="11925">
      <c r="D11925" s="21" t="n">
        <v>0</v>
      </c>
      <c r="E11925" s="21" t="n">
        <v>0</v>
      </c>
      <c r="F11925" s="21" t="n">
        <v>0</v>
      </c>
      <c r="G11925" s="21" t="n">
        <v>0</v>
      </c>
      <c r="H11925" s="21">
        <f>-$B$10476</f>
        <v/>
      </c>
      <c r="I11925" s="21">
        <f>-$B$10477</f>
        <v/>
      </c>
      <c r="J11925" s="21">
        <f>2*$B$10476+$D$11910</f>
        <v/>
      </c>
      <c r="K11925" s="21">
        <f>0</f>
        <v/>
      </c>
      <c r="L11925" s="21">
        <f>-$B$10476</f>
        <v/>
      </c>
      <c r="M11925" s="21">
        <f>$B$10477</f>
        <v/>
      </c>
      <c r="N11925" s="21" t="n">
        <v>0</v>
      </c>
      <c r="O11925" s="21" t="n">
        <v>0</v>
      </c>
      <c r="P11925" s="21" t="n">
        <v>0</v>
      </c>
      <c r="Q11925" s="21" t="n">
        <v>0</v>
      </c>
      <c r="R11925" s="21" t="n">
        <v>0</v>
      </c>
      <c r="S11925" s="21" t="n">
        <v>0</v>
      </c>
      <c r="T11925" s="21" t="n">
        <v>0</v>
      </c>
      <c r="U11925" s="21" t="n">
        <v>0</v>
      </c>
      <c r="V11925" s="21" t="n">
        <v>0</v>
      </c>
      <c r="W11925" s="21" t="n">
        <v>0</v>
      </c>
      <c r="X11925" s="21" t="n">
        <v>0</v>
      </c>
      <c r="Y11925" s="21" t="n">
        <v>0</v>
      </c>
      <c r="Z11925" s="19" t="n"/>
    </row>
    <row r="11926">
      <c r="D11926" s="21" t="n">
        <v>0</v>
      </c>
      <c r="E11926" s="21" t="n">
        <v>0</v>
      </c>
      <c r="F11926" s="21" t="n">
        <v>0</v>
      </c>
      <c r="G11926" s="21" t="n">
        <v>0</v>
      </c>
      <c r="H11926" s="21">
        <f>$B$10477</f>
        <v/>
      </c>
      <c r="I11926" s="21">
        <f>$B$10479</f>
        <v/>
      </c>
      <c r="J11926" s="21">
        <f>0</f>
        <v/>
      </c>
      <c r="K11926" s="21">
        <f>2*$B$10478</f>
        <v/>
      </c>
      <c r="L11926" s="21">
        <f>-$B$10477</f>
        <v/>
      </c>
      <c r="M11926" s="21">
        <f>$B$10479</f>
        <v/>
      </c>
      <c r="N11926" s="21" t="n">
        <v>0</v>
      </c>
      <c r="O11926" s="21" t="n">
        <v>0</v>
      </c>
      <c r="P11926" s="21" t="n">
        <v>0</v>
      </c>
      <c r="Q11926" s="21" t="n">
        <v>0</v>
      </c>
      <c r="R11926" s="21" t="n">
        <v>0</v>
      </c>
      <c r="S11926" s="21" t="n">
        <v>0</v>
      </c>
      <c r="T11926" s="21" t="n">
        <v>0</v>
      </c>
      <c r="U11926" s="21" t="n">
        <v>0</v>
      </c>
      <c r="V11926" s="21" t="n">
        <v>0</v>
      </c>
      <c r="W11926" s="21" t="n">
        <v>0</v>
      </c>
      <c r="X11926" s="21" t="n">
        <v>0</v>
      </c>
      <c r="Y11926" s="21" t="n">
        <v>0</v>
      </c>
      <c r="Z11926" s="19" t="n"/>
    </row>
    <row r="11927">
      <c r="D11927" s="21" t="n">
        <v>0</v>
      </c>
      <c r="E11927" s="21" t="n">
        <v>0</v>
      </c>
      <c r="F11927" s="21" t="n">
        <v>0</v>
      </c>
      <c r="G11927" s="21" t="n">
        <v>0</v>
      </c>
      <c r="H11927" s="21" t="n">
        <v>0</v>
      </c>
      <c r="I11927" s="21" t="n">
        <v>0</v>
      </c>
      <c r="J11927" s="21">
        <f>-$B$10476</f>
        <v/>
      </c>
      <c r="K11927" s="21">
        <f>-$B$10477</f>
        <v/>
      </c>
      <c r="L11927" s="21">
        <f>2*$B$10476+$D$11911</f>
        <v/>
      </c>
      <c r="M11927" s="21">
        <f>0</f>
        <v/>
      </c>
      <c r="N11927" s="21">
        <f>-$B$10476</f>
        <v/>
      </c>
      <c r="O11927" s="21">
        <f>$B$10477</f>
        <v/>
      </c>
      <c r="P11927" s="21" t="n">
        <v>0</v>
      </c>
      <c r="Q11927" s="21" t="n">
        <v>0</v>
      </c>
      <c r="R11927" s="21" t="n">
        <v>0</v>
      </c>
      <c r="S11927" s="21" t="n">
        <v>0</v>
      </c>
      <c r="T11927" s="21" t="n">
        <v>0</v>
      </c>
      <c r="U11927" s="21" t="n">
        <v>0</v>
      </c>
      <c r="V11927" s="21" t="n">
        <v>0</v>
      </c>
      <c r="W11927" s="21" t="n">
        <v>0</v>
      </c>
      <c r="X11927" s="21" t="n">
        <v>0</v>
      </c>
      <c r="Y11927" s="21" t="n">
        <v>0</v>
      </c>
      <c r="Z11927" s="19" t="n"/>
    </row>
    <row r="11928">
      <c r="D11928" s="21" t="n">
        <v>0</v>
      </c>
      <c r="E11928" s="21" t="n">
        <v>0</v>
      </c>
      <c r="F11928" s="21" t="n">
        <v>0</v>
      </c>
      <c r="G11928" s="21" t="n">
        <v>0</v>
      </c>
      <c r="H11928" s="21" t="n">
        <v>0</v>
      </c>
      <c r="I11928" s="21" t="n">
        <v>0</v>
      </c>
      <c r="J11928" s="21">
        <f>$B$10477</f>
        <v/>
      </c>
      <c r="K11928" s="21">
        <f>$B$10479</f>
        <v/>
      </c>
      <c r="L11928" s="21">
        <f>0</f>
        <v/>
      </c>
      <c r="M11928" s="21">
        <f>2*$B$10478</f>
        <v/>
      </c>
      <c r="N11928" s="21">
        <f>-$B$10477</f>
        <v/>
      </c>
      <c r="O11928" s="21">
        <f>$B$10479</f>
        <v/>
      </c>
      <c r="P11928" s="21" t="n">
        <v>0</v>
      </c>
      <c r="Q11928" s="21" t="n">
        <v>0</v>
      </c>
      <c r="R11928" s="21" t="n">
        <v>0</v>
      </c>
      <c r="S11928" s="21" t="n">
        <v>0</v>
      </c>
      <c r="T11928" s="21" t="n">
        <v>0</v>
      </c>
      <c r="U11928" s="21" t="n">
        <v>0</v>
      </c>
      <c r="V11928" s="21" t="n">
        <v>0</v>
      </c>
      <c r="W11928" s="21" t="n">
        <v>0</v>
      </c>
      <c r="X11928" s="21" t="n">
        <v>0</v>
      </c>
      <c r="Y11928" s="21" t="n">
        <v>0</v>
      </c>
      <c r="Z11928" s="19" t="n"/>
    </row>
    <row r="11929">
      <c r="D11929" s="21" t="n">
        <v>0</v>
      </c>
      <c r="E11929" s="21" t="n">
        <v>0</v>
      </c>
      <c r="F11929" s="21" t="n">
        <v>0</v>
      </c>
      <c r="G11929" s="21" t="n">
        <v>0</v>
      </c>
      <c r="H11929" s="21" t="n">
        <v>0</v>
      </c>
      <c r="I11929" s="21" t="n">
        <v>0</v>
      </c>
      <c r="J11929" s="21" t="n">
        <v>0</v>
      </c>
      <c r="K11929" s="21" t="n">
        <v>0</v>
      </c>
      <c r="L11929" s="21">
        <f>-$B$10476</f>
        <v/>
      </c>
      <c r="M11929" s="21">
        <f>-$B$10477</f>
        <v/>
      </c>
      <c r="N11929" s="21">
        <f>2*$B$10476+$D$11912</f>
        <v/>
      </c>
      <c r="O11929" s="21">
        <f>0</f>
        <v/>
      </c>
      <c r="P11929" s="21">
        <f>-$B$10476</f>
        <v/>
      </c>
      <c r="Q11929" s="21">
        <f>$B$10477</f>
        <v/>
      </c>
      <c r="R11929" s="21" t="n">
        <v>0</v>
      </c>
      <c r="S11929" s="21" t="n">
        <v>0</v>
      </c>
      <c r="T11929" s="21" t="n">
        <v>0</v>
      </c>
      <c r="U11929" s="21" t="n">
        <v>0</v>
      </c>
      <c r="V11929" s="21" t="n">
        <v>0</v>
      </c>
      <c r="W11929" s="21" t="n">
        <v>0</v>
      </c>
      <c r="X11929" s="21" t="n">
        <v>0</v>
      </c>
      <c r="Y11929" s="21" t="n">
        <v>0</v>
      </c>
      <c r="Z11929" s="19" t="n"/>
    </row>
    <row r="11930">
      <c r="D11930" s="21" t="n">
        <v>0</v>
      </c>
      <c r="E11930" s="21" t="n">
        <v>0</v>
      </c>
      <c r="F11930" s="21" t="n">
        <v>0</v>
      </c>
      <c r="G11930" s="21" t="n">
        <v>0</v>
      </c>
      <c r="H11930" s="21" t="n">
        <v>0</v>
      </c>
      <c r="I11930" s="21" t="n">
        <v>0</v>
      </c>
      <c r="J11930" s="21" t="n">
        <v>0</v>
      </c>
      <c r="K11930" s="21" t="n">
        <v>0</v>
      </c>
      <c r="L11930" s="21">
        <f>$B$10477</f>
        <v/>
      </c>
      <c r="M11930" s="21">
        <f>$B$10479</f>
        <v/>
      </c>
      <c r="N11930" s="21">
        <f>0</f>
        <v/>
      </c>
      <c r="O11930" s="21">
        <f>2*$B$10478</f>
        <v/>
      </c>
      <c r="P11930" s="21">
        <f>-$B$10477</f>
        <v/>
      </c>
      <c r="Q11930" s="21">
        <f>$B$10479</f>
        <v/>
      </c>
      <c r="R11930" s="21" t="n">
        <v>0</v>
      </c>
      <c r="S11930" s="21" t="n">
        <v>0</v>
      </c>
      <c r="T11930" s="21" t="n">
        <v>0</v>
      </c>
      <c r="U11930" s="21" t="n">
        <v>0</v>
      </c>
      <c r="V11930" s="21" t="n">
        <v>0</v>
      </c>
      <c r="W11930" s="21" t="n">
        <v>0</v>
      </c>
      <c r="X11930" s="21" t="n">
        <v>0</v>
      </c>
      <c r="Y11930" s="21" t="n">
        <v>0</v>
      </c>
      <c r="Z11930" s="19" t="n"/>
    </row>
    <row r="11931">
      <c r="D11931" s="21" t="n">
        <v>0</v>
      </c>
      <c r="E11931" s="21" t="n">
        <v>0</v>
      </c>
      <c r="F11931" s="21" t="n">
        <v>0</v>
      </c>
      <c r="G11931" s="21" t="n">
        <v>0</v>
      </c>
      <c r="H11931" s="21" t="n">
        <v>0</v>
      </c>
      <c r="I11931" s="21" t="n">
        <v>0</v>
      </c>
      <c r="J11931" s="21" t="n">
        <v>0</v>
      </c>
      <c r="K11931" s="21" t="n">
        <v>0</v>
      </c>
      <c r="L11931" s="21" t="n">
        <v>0</v>
      </c>
      <c r="M11931" s="21" t="n">
        <v>0</v>
      </c>
      <c r="N11931" s="21">
        <f>-$B$10476</f>
        <v/>
      </c>
      <c r="O11931" s="21">
        <f>-$B$10477</f>
        <v/>
      </c>
      <c r="P11931" s="21">
        <f>2*$B$10476+$D$11913</f>
        <v/>
      </c>
      <c r="Q11931" s="21">
        <f>0</f>
        <v/>
      </c>
      <c r="R11931" s="21">
        <f>-$B$10476</f>
        <v/>
      </c>
      <c r="S11931" s="21">
        <f>$B$10477</f>
        <v/>
      </c>
      <c r="T11931" s="21" t="n">
        <v>0</v>
      </c>
      <c r="U11931" s="21" t="n">
        <v>0</v>
      </c>
      <c r="V11931" s="21" t="n">
        <v>0</v>
      </c>
      <c r="W11931" s="21" t="n">
        <v>0</v>
      </c>
      <c r="X11931" s="21" t="n">
        <v>0</v>
      </c>
      <c r="Y11931" s="21" t="n">
        <v>0</v>
      </c>
      <c r="Z11931" s="19" t="n"/>
    </row>
    <row r="11932">
      <c r="D11932" s="21" t="n">
        <v>0</v>
      </c>
      <c r="E11932" s="21" t="n">
        <v>0</v>
      </c>
      <c r="F11932" s="21" t="n">
        <v>0</v>
      </c>
      <c r="G11932" s="21" t="n">
        <v>0</v>
      </c>
      <c r="H11932" s="21" t="n">
        <v>0</v>
      </c>
      <c r="I11932" s="21" t="n">
        <v>0</v>
      </c>
      <c r="J11932" s="21" t="n">
        <v>0</v>
      </c>
      <c r="K11932" s="21" t="n">
        <v>0</v>
      </c>
      <c r="L11932" s="21" t="n">
        <v>0</v>
      </c>
      <c r="M11932" s="21" t="n">
        <v>0</v>
      </c>
      <c r="N11932" s="21">
        <f>$B$10477</f>
        <v/>
      </c>
      <c r="O11932" s="21">
        <f>$B$10479</f>
        <v/>
      </c>
      <c r="P11932" s="21">
        <f>0</f>
        <v/>
      </c>
      <c r="Q11932" s="21">
        <f>2*$B$10478</f>
        <v/>
      </c>
      <c r="R11932" s="21">
        <f>-$B$10477</f>
        <v/>
      </c>
      <c r="S11932" s="21">
        <f>$B$10479</f>
        <v/>
      </c>
      <c r="T11932" s="21" t="n">
        <v>0</v>
      </c>
      <c r="U11932" s="21" t="n">
        <v>0</v>
      </c>
      <c r="V11932" s="21" t="n">
        <v>0</v>
      </c>
      <c r="W11932" s="21" t="n">
        <v>0</v>
      </c>
      <c r="X11932" s="21" t="n">
        <v>0</v>
      </c>
      <c r="Y11932" s="21" t="n">
        <v>0</v>
      </c>
      <c r="Z11932" s="19" t="n"/>
    </row>
    <row r="11933">
      <c r="D11933" s="21" t="n">
        <v>0</v>
      </c>
      <c r="E11933" s="21" t="n">
        <v>0</v>
      </c>
      <c r="F11933" s="21" t="n">
        <v>0</v>
      </c>
      <c r="G11933" s="21" t="n">
        <v>0</v>
      </c>
      <c r="H11933" s="21" t="n">
        <v>0</v>
      </c>
      <c r="I11933" s="21" t="n">
        <v>0</v>
      </c>
      <c r="J11933" s="21" t="n">
        <v>0</v>
      </c>
      <c r="K11933" s="21" t="n">
        <v>0</v>
      </c>
      <c r="L11933" s="21" t="n">
        <v>0</v>
      </c>
      <c r="M11933" s="21" t="n">
        <v>0</v>
      </c>
      <c r="N11933" s="21" t="n">
        <v>0</v>
      </c>
      <c r="O11933" s="21" t="n">
        <v>0</v>
      </c>
      <c r="P11933" s="21">
        <f>-$B$10476</f>
        <v/>
      </c>
      <c r="Q11933" s="21">
        <f>-$B$10477</f>
        <v/>
      </c>
      <c r="R11933" s="21">
        <f>2*$B$10476+$D$11914</f>
        <v/>
      </c>
      <c r="S11933" s="21">
        <f>0</f>
        <v/>
      </c>
      <c r="T11933" s="21">
        <f>-$B$10476</f>
        <v/>
      </c>
      <c r="U11933" s="21">
        <f>$B$10477</f>
        <v/>
      </c>
      <c r="V11933" s="21" t="n">
        <v>0</v>
      </c>
      <c r="W11933" s="21" t="n">
        <v>0</v>
      </c>
      <c r="X11933" s="21" t="n">
        <v>0</v>
      </c>
      <c r="Y11933" s="21" t="n">
        <v>0</v>
      </c>
      <c r="Z11933" s="19" t="n"/>
    </row>
    <row r="11934">
      <c r="D11934" s="21" t="n">
        <v>0</v>
      </c>
      <c r="E11934" s="21" t="n">
        <v>0</v>
      </c>
      <c r="F11934" s="21" t="n">
        <v>0</v>
      </c>
      <c r="G11934" s="21" t="n">
        <v>0</v>
      </c>
      <c r="H11934" s="21" t="n">
        <v>0</v>
      </c>
      <c r="I11934" s="21" t="n">
        <v>0</v>
      </c>
      <c r="J11934" s="21" t="n">
        <v>0</v>
      </c>
      <c r="K11934" s="21" t="n">
        <v>0</v>
      </c>
      <c r="L11934" s="21" t="n">
        <v>0</v>
      </c>
      <c r="M11934" s="21" t="n">
        <v>0</v>
      </c>
      <c r="N11934" s="21" t="n">
        <v>0</v>
      </c>
      <c r="O11934" s="21" t="n">
        <v>0</v>
      </c>
      <c r="P11934" s="21">
        <f>$B$10477</f>
        <v/>
      </c>
      <c r="Q11934" s="21">
        <f>$B$10479</f>
        <v/>
      </c>
      <c r="R11934" s="21">
        <f>0</f>
        <v/>
      </c>
      <c r="S11934" s="21">
        <f>2*$B$10478</f>
        <v/>
      </c>
      <c r="T11934" s="21">
        <f>-$B$10477</f>
        <v/>
      </c>
      <c r="U11934" s="21">
        <f>$B$10479</f>
        <v/>
      </c>
      <c r="V11934" s="21" t="n">
        <v>0</v>
      </c>
      <c r="W11934" s="21" t="n">
        <v>0</v>
      </c>
      <c r="X11934" s="21" t="n">
        <v>0</v>
      </c>
      <c r="Y11934" s="21" t="n">
        <v>0</v>
      </c>
      <c r="Z11934" s="19" t="n"/>
    </row>
    <row r="11935">
      <c r="D11935" s="21" t="n">
        <v>0</v>
      </c>
      <c r="E11935" s="21" t="n">
        <v>0</v>
      </c>
      <c r="F11935" s="21" t="n">
        <v>0</v>
      </c>
      <c r="G11935" s="21" t="n">
        <v>0</v>
      </c>
      <c r="H11935" s="21" t="n">
        <v>0</v>
      </c>
      <c r="I11935" s="21" t="n">
        <v>0</v>
      </c>
      <c r="J11935" s="21" t="n">
        <v>0</v>
      </c>
      <c r="K11935" s="21" t="n">
        <v>0</v>
      </c>
      <c r="L11935" s="21" t="n">
        <v>0</v>
      </c>
      <c r="M11935" s="21" t="n">
        <v>0</v>
      </c>
      <c r="N11935" s="21" t="n">
        <v>0</v>
      </c>
      <c r="O11935" s="21" t="n">
        <v>0</v>
      </c>
      <c r="P11935" s="21" t="n">
        <v>0</v>
      </c>
      <c r="Q11935" s="21" t="n">
        <v>0</v>
      </c>
      <c r="R11935" s="21">
        <f>-$B$10476</f>
        <v/>
      </c>
      <c r="S11935" s="21">
        <f>-$B$10477</f>
        <v/>
      </c>
      <c r="T11935" s="21">
        <f>2*$B$10476+$D$11915</f>
        <v/>
      </c>
      <c r="U11935" s="21">
        <f>0</f>
        <v/>
      </c>
      <c r="V11935" s="21">
        <f>-$B$10476</f>
        <v/>
      </c>
      <c r="W11935" s="21">
        <f>$B$10477</f>
        <v/>
      </c>
      <c r="X11935" s="21" t="n">
        <v>0</v>
      </c>
      <c r="Y11935" s="21" t="n">
        <v>0</v>
      </c>
      <c r="Z11935" s="19" t="n"/>
    </row>
    <row r="11936">
      <c r="D11936" s="21" t="n">
        <v>0</v>
      </c>
      <c r="E11936" s="21" t="n">
        <v>0</v>
      </c>
      <c r="F11936" s="21" t="n">
        <v>0</v>
      </c>
      <c r="G11936" s="21" t="n">
        <v>0</v>
      </c>
      <c r="H11936" s="21" t="n">
        <v>0</v>
      </c>
      <c r="I11936" s="21" t="n">
        <v>0</v>
      </c>
      <c r="J11936" s="21" t="n">
        <v>0</v>
      </c>
      <c r="K11936" s="21" t="n">
        <v>0</v>
      </c>
      <c r="L11936" s="21" t="n">
        <v>0</v>
      </c>
      <c r="M11936" s="21" t="n">
        <v>0</v>
      </c>
      <c r="N11936" s="21" t="n">
        <v>0</v>
      </c>
      <c r="O11936" s="21" t="n">
        <v>0</v>
      </c>
      <c r="P11936" s="21" t="n">
        <v>0</v>
      </c>
      <c r="Q11936" s="21" t="n">
        <v>0</v>
      </c>
      <c r="R11936" s="21">
        <f>$B$10477</f>
        <v/>
      </c>
      <c r="S11936" s="21">
        <f>$B$10479</f>
        <v/>
      </c>
      <c r="T11936" s="21">
        <f>0</f>
        <v/>
      </c>
      <c r="U11936" s="21">
        <f>2*$B$10478</f>
        <v/>
      </c>
      <c r="V11936" s="21">
        <f>-$B$10477</f>
        <v/>
      </c>
      <c r="W11936" s="21">
        <f>$B$10479</f>
        <v/>
      </c>
      <c r="X11936" s="21" t="n">
        <v>0</v>
      </c>
      <c r="Y11936" s="21" t="n">
        <v>0</v>
      </c>
      <c r="Z11936" s="19" t="n"/>
    </row>
    <row r="11937">
      <c r="D11937" s="21" t="n">
        <v>0</v>
      </c>
      <c r="E11937" s="21" t="n">
        <v>0</v>
      </c>
      <c r="F11937" s="21" t="n">
        <v>0</v>
      </c>
      <c r="G11937" s="21" t="n">
        <v>0</v>
      </c>
      <c r="H11937" s="21" t="n">
        <v>0</v>
      </c>
      <c r="I11937" s="21" t="n">
        <v>0</v>
      </c>
      <c r="J11937" s="21" t="n">
        <v>0</v>
      </c>
      <c r="K11937" s="21" t="n">
        <v>0</v>
      </c>
      <c r="L11937" s="21" t="n">
        <v>0</v>
      </c>
      <c r="M11937" s="21" t="n">
        <v>0</v>
      </c>
      <c r="N11937" s="21" t="n">
        <v>0</v>
      </c>
      <c r="O11937" s="21" t="n">
        <v>0</v>
      </c>
      <c r="P11937" s="21" t="n">
        <v>0</v>
      </c>
      <c r="Q11937" s="21" t="n">
        <v>0</v>
      </c>
      <c r="R11937" s="21" t="n">
        <v>0</v>
      </c>
      <c r="S11937" s="21" t="n">
        <v>0</v>
      </c>
      <c r="T11937" s="21">
        <f>-$B$10476</f>
        <v/>
      </c>
      <c r="U11937" s="21">
        <f>-$B$10477</f>
        <v/>
      </c>
      <c r="V11937" s="21">
        <f>2*$B$10476+$D$11916</f>
        <v/>
      </c>
      <c r="W11937" s="21">
        <f>0</f>
        <v/>
      </c>
      <c r="X11937" s="21">
        <f>-$B$10476</f>
        <v/>
      </c>
      <c r="Y11937" s="21">
        <f>$B$10477</f>
        <v/>
      </c>
      <c r="Z11937" s="19" t="n"/>
    </row>
    <row r="11938">
      <c r="D11938" s="21" t="n">
        <v>0</v>
      </c>
      <c r="E11938" s="21" t="n">
        <v>0</v>
      </c>
      <c r="F11938" s="21" t="n">
        <v>0</v>
      </c>
      <c r="G11938" s="21" t="n">
        <v>0</v>
      </c>
      <c r="H11938" s="21" t="n">
        <v>0</v>
      </c>
      <c r="I11938" s="21" t="n">
        <v>0</v>
      </c>
      <c r="J11938" s="21" t="n">
        <v>0</v>
      </c>
      <c r="K11938" s="21" t="n">
        <v>0</v>
      </c>
      <c r="L11938" s="21" t="n">
        <v>0</v>
      </c>
      <c r="M11938" s="21" t="n">
        <v>0</v>
      </c>
      <c r="N11938" s="21" t="n">
        <v>0</v>
      </c>
      <c r="O11938" s="21" t="n">
        <v>0</v>
      </c>
      <c r="P11938" s="21" t="n">
        <v>0</v>
      </c>
      <c r="Q11938" s="21" t="n">
        <v>0</v>
      </c>
      <c r="R11938" s="21" t="n">
        <v>0</v>
      </c>
      <c r="S11938" s="21" t="n">
        <v>0</v>
      </c>
      <c r="T11938" s="21">
        <f>$B$10477</f>
        <v/>
      </c>
      <c r="U11938" s="21">
        <f>$B$10479</f>
        <v/>
      </c>
      <c r="V11938" s="21">
        <f>0</f>
        <v/>
      </c>
      <c r="W11938" s="21">
        <f>2*$B$10478</f>
        <v/>
      </c>
      <c r="X11938" s="21">
        <f>-$B$10477</f>
        <v/>
      </c>
      <c r="Y11938" s="21">
        <f>$B$10479</f>
        <v/>
      </c>
      <c r="Z11938" s="19" t="n"/>
    </row>
    <row r="11939">
      <c r="D11939" s="21" t="n">
        <v>0</v>
      </c>
      <c r="E11939" s="21" t="n">
        <v>0</v>
      </c>
      <c r="F11939" s="21" t="n">
        <v>0</v>
      </c>
      <c r="G11939" s="21" t="n">
        <v>0</v>
      </c>
      <c r="H11939" s="21" t="n">
        <v>0</v>
      </c>
      <c r="I11939" s="21" t="n">
        <v>0</v>
      </c>
      <c r="J11939" s="21" t="n">
        <v>0</v>
      </c>
      <c r="K11939" s="21" t="n">
        <v>0</v>
      </c>
      <c r="L11939" s="21" t="n">
        <v>0</v>
      </c>
      <c r="M11939" s="21" t="n">
        <v>0</v>
      </c>
      <c r="N11939" s="21" t="n">
        <v>0</v>
      </c>
      <c r="O11939" s="21" t="n">
        <v>0</v>
      </c>
      <c r="P11939" s="21" t="n">
        <v>0</v>
      </c>
      <c r="Q11939" s="21" t="n">
        <v>0</v>
      </c>
      <c r="R11939" s="21" t="n">
        <v>0</v>
      </c>
      <c r="S11939" s="21" t="n">
        <v>0</v>
      </c>
      <c r="T11939" s="21" t="n">
        <v>0</v>
      </c>
      <c r="U11939" s="21" t="n">
        <v>0</v>
      </c>
      <c r="V11939" s="21">
        <f>-$B$10476</f>
        <v/>
      </c>
      <c r="W11939" s="21">
        <f>-$B$10477</f>
        <v/>
      </c>
      <c r="X11939" s="21">
        <f>$B$10476+$D$11917</f>
        <v/>
      </c>
      <c r="Y11939" s="21">
        <f>-$B$10477</f>
        <v/>
      </c>
      <c r="Z11939" s="19" t="n"/>
    </row>
    <row r="11940">
      <c r="D11940" s="21" t="n">
        <v>0</v>
      </c>
      <c r="E11940" s="21" t="n">
        <v>0</v>
      </c>
      <c r="F11940" s="21" t="n">
        <v>0</v>
      </c>
      <c r="G11940" s="21" t="n">
        <v>0</v>
      </c>
      <c r="H11940" s="21" t="n">
        <v>0</v>
      </c>
      <c r="I11940" s="21" t="n">
        <v>0</v>
      </c>
      <c r="J11940" s="21" t="n">
        <v>0</v>
      </c>
      <c r="K11940" s="21" t="n">
        <v>0</v>
      </c>
      <c r="L11940" s="21" t="n">
        <v>0</v>
      </c>
      <c r="M11940" s="21" t="n">
        <v>0</v>
      </c>
      <c r="N11940" s="21" t="n">
        <v>0</v>
      </c>
      <c r="O11940" s="21" t="n">
        <v>0</v>
      </c>
      <c r="P11940" s="21" t="n">
        <v>0</v>
      </c>
      <c r="Q11940" s="21" t="n">
        <v>0</v>
      </c>
      <c r="R11940" s="21" t="n">
        <v>0</v>
      </c>
      <c r="S11940" s="21" t="n">
        <v>0</v>
      </c>
      <c r="T11940" s="21" t="n">
        <v>0</v>
      </c>
      <c r="U11940" s="21" t="n">
        <v>0</v>
      </c>
      <c r="V11940" s="21">
        <f>$B$10477</f>
        <v/>
      </c>
      <c r="W11940" s="21">
        <f>$B$10479</f>
        <v/>
      </c>
      <c r="X11940" s="21">
        <f>-$B$10477</f>
        <v/>
      </c>
      <c r="Y11940" s="21">
        <f>$B$10478</f>
        <v/>
      </c>
      <c r="Z11940" s="19" t="n"/>
    </row>
    <row r="11942">
      <c r="A11942" s="8" t="inlineStr">
        <is>
          <t>gen 40</t>
        </is>
      </c>
    </row>
    <row r="11943">
      <c r="D11943" s="19">
        <f>IF(ABS(IF(ABS($E$11907)&gt;0.000000001,$E$11907,0.000000001))=0,0,IF($E$10491&lt;=$B$10485,0,IF(ABS(IF(ABS($E$11907)&gt;0.000000001,$E$11907,0.000000001))&gt;=8*$B$10487,$H$10491,0.5*$H$10491*(ABS(IF(ABS($E$11907)&gt;0.000000001,$E$11907,0.000000001))/$B$10487)^(1/3)))/ABS(IF(ABS($E$11907)&gt;0.000000001,$E$11907,0.000000001))*$I$10491)</f>
        <v/>
      </c>
      <c r="E11943" s="19">
        <f>0.5*$E$11907+0.5*$Z$11955</f>
        <v/>
      </c>
      <c r="F11943" s="19">
        <f>$Z$11956</f>
        <v/>
      </c>
    </row>
    <row r="11944">
      <c r="D11944" s="19">
        <f>IF(ABS(IF(ABS($E$11908)&gt;0.000000001,$E$11908,0.000000001))=0,0,IF($E$10492&lt;=$B$10485,0,IF(ABS(IF(ABS($E$11908)&gt;0.000000001,$E$11908,0.000000001))&gt;=8*$B$10487,$H$10492,0.5*$H$10492*(ABS(IF(ABS($E$11908)&gt;0.000000001,$E$11908,0.000000001))/$B$10487)^(1/3)))/ABS(IF(ABS($E$11908)&gt;0.000000001,$E$11908,0.000000001))*$I$10492)</f>
        <v/>
      </c>
      <c r="E11944" s="19">
        <f>0.5*$E$11908+0.5*$Z$11957</f>
        <v/>
      </c>
      <c r="F11944" s="19">
        <f>$Z$11958</f>
        <v/>
      </c>
    </row>
    <row r="11945">
      <c r="D11945" s="19">
        <f>IF(ABS(IF(ABS($E$11909)&gt;0.000000001,$E$11909,0.000000001))=0,0,IF($E$10493&lt;=$B$10485,0,IF(ABS(IF(ABS($E$11909)&gt;0.000000001,$E$11909,0.000000001))&gt;=8*$B$10487,$H$10493,0.5*$H$10493*(ABS(IF(ABS($E$11909)&gt;0.000000001,$E$11909,0.000000001))/$B$10487)^(1/3)))/ABS(IF(ABS($E$11909)&gt;0.000000001,$E$11909,0.000000001))*$I$10493)</f>
        <v/>
      </c>
      <c r="E11945" s="19">
        <f>0.5*$E$11909+0.5*$Z$11959</f>
        <v/>
      </c>
      <c r="F11945" s="19">
        <f>$Z$11960</f>
        <v/>
      </c>
    </row>
    <row r="11946">
      <c r="D11946" s="19">
        <f>IF(ABS(IF(ABS($E$11910)&gt;0.000000001,$E$11910,0.000000001))=0,0,IF($E$10494&lt;=$B$10485,0,IF(ABS(IF(ABS($E$11910)&gt;0.000000001,$E$11910,0.000000001))&gt;=8*$B$10487,$H$10494,0.5*$H$10494*(ABS(IF(ABS($E$11910)&gt;0.000000001,$E$11910,0.000000001))/$B$10487)^(1/3)))/ABS(IF(ABS($E$11910)&gt;0.000000001,$E$11910,0.000000001))*$I$10494)</f>
        <v/>
      </c>
      <c r="E11946" s="19">
        <f>0.5*$E$11910+0.5*$Z$11961</f>
        <v/>
      </c>
      <c r="F11946" s="19">
        <f>$Z$11962</f>
        <v/>
      </c>
    </row>
    <row r="11947">
      <c r="D11947" s="19">
        <f>IF(ABS(IF(ABS($E$11911)&gt;0.000000001,$E$11911,0.000000001))=0,0,IF($E$10495&lt;=$B$10485,0,IF(ABS(IF(ABS($E$11911)&gt;0.000000001,$E$11911,0.000000001))&gt;=8*$B$10487,$H$10495,0.5*$H$10495*(ABS(IF(ABS($E$11911)&gt;0.000000001,$E$11911,0.000000001))/$B$10487)^(1/3)))/ABS(IF(ABS($E$11911)&gt;0.000000001,$E$11911,0.000000001))*$I$10495)</f>
        <v/>
      </c>
      <c r="E11947" s="19">
        <f>0.5*$E$11911+0.5*$Z$11963</f>
        <v/>
      </c>
      <c r="F11947" s="19">
        <f>$Z$11964</f>
        <v/>
      </c>
    </row>
    <row r="11948">
      <c r="D11948" s="19">
        <f>IF(ABS(IF(ABS($E$11912)&gt;0.000000001,$E$11912,0.000000001))=0,0,IF($E$10496&lt;=$B$10485,0,IF(ABS(IF(ABS($E$11912)&gt;0.000000001,$E$11912,0.000000001))&gt;=8*$B$10487,$H$10496,0.5*$H$10496*(ABS(IF(ABS($E$11912)&gt;0.000000001,$E$11912,0.000000001))/$B$10487)^(1/3)))/ABS(IF(ABS($E$11912)&gt;0.000000001,$E$11912,0.000000001))*$I$10496)</f>
        <v/>
      </c>
      <c r="E11948" s="19">
        <f>0.5*$E$11912+0.5*$Z$11965</f>
        <v/>
      </c>
      <c r="F11948" s="19">
        <f>$Z$11966</f>
        <v/>
      </c>
    </row>
    <row r="11949">
      <c r="D11949" s="19">
        <f>IF(ABS(IF(ABS($E$11913)&gt;0.000000001,$E$11913,0.000000001))=0,0,IF($E$10497&lt;=$B$10485,0,IF(ABS(IF(ABS($E$11913)&gt;0.000000001,$E$11913,0.000000001))&gt;=8*$B$10487,$H$10497,0.5*$H$10497*(ABS(IF(ABS($E$11913)&gt;0.000000001,$E$11913,0.000000001))/$B$10487)^(1/3)))/ABS(IF(ABS($E$11913)&gt;0.000000001,$E$11913,0.000000001))*$I$10497)</f>
        <v/>
      </c>
      <c r="E11949" s="19">
        <f>0.5*$E$11913+0.5*$Z$11967</f>
        <v/>
      </c>
      <c r="F11949" s="19">
        <f>$Z$11968</f>
        <v/>
      </c>
    </row>
    <row r="11950">
      <c r="D11950" s="19">
        <f>IF(ABS(IF(ABS($E$11914)&gt;0.000000001,$E$11914,0.000000001))=0,0,IF($E$10498&lt;=$B$10485,0,IF(ABS(IF(ABS($E$11914)&gt;0.000000001,$E$11914,0.000000001))&gt;=8*$B$10487,$H$10498,0.5*$H$10498*(ABS(IF(ABS($E$11914)&gt;0.000000001,$E$11914,0.000000001))/$B$10487)^(1/3)))/ABS(IF(ABS($E$11914)&gt;0.000000001,$E$11914,0.000000001))*$I$10498)</f>
        <v/>
      </c>
      <c r="E11950" s="19">
        <f>0.5*$E$11914+0.5*$Z$11969</f>
        <v/>
      </c>
      <c r="F11950" s="19">
        <f>$Z$11970</f>
        <v/>
      </c>
    </row>
    <row r="11951">
      <c r="D11951" s="19">
        <f>IF(ABS(IF(ABS($E$11915)&gt;0.000000001,$E$11915,0.000000001))=0,0,IF($E$10499&lt;=$B$10485,0,IF(ABS(IF(ABS($E$11915)&gt;0.000000001,$E$11915,0.000000001))&gt;=8*$B$10487,$H$10499,0.5*$H$10499*(ABS(IF(ABS($E$11915)&gt;0.000000001,$E$11915,0.000000001))/$B$10487)^(1/3)))/ABS(IF(ABS($E$11915)&gt;0.000000001,$E$11915,0.000000001))*$I$10499)</f>
        <v/>
      </c>
      <c r="E11951" s="19">
        <f>0.5*$E$11915+0.5*$Z$11971</f>
        <v/>
      </c>
      <c r="F11951" s="19">
        <f>$Z$11972</f>
        <v/>
      </c>
    </row>
    <row r="11952">
      <c r="D11952" s="19">
        <f>IF(ABS(IF(ABS($E$11916)&gt;0.000000001,$E$11916,0.000000001))=0,0,IF($E$10500&lt;=$B$10485,0,IF(ABS(IF(ABS($E$11916)&gt;0.000000001,$E$11916,0.000000001))&gt;=8*$B$10487,$H$10500,0.5*$H$10500*(ABS(IF(ABS($E$11916)&gt;0.000000001,$E$11916,0.000000001))/$B$10487)^(1/3)))/ABS(IF(ABS($E$11916)&gt;0.000000001,$E$11916,0.000000001))*$I$10500)</f>
        <v/>
      </c>
      <c r="E11952" s="19">
        <f>0.5*$E$11916+0.5*$Z$11973</f>
        <v/>
      </c>
      <c r="F11952" s="19">
        <f>$Z$11974</f>
        <v/>
      </c>
    </row>
    <row r="11953">
      <c r="D11953" s="19">
        <f>IF(ABS(IF(ABS($E$11917)&gt;0.000000001,$E$11917,0.000000001))=0,0,IF($E$10501&lt;=$B$10485,0,IF(ABS(IF(ABS($E$11917)&gt;0.000000001,$E$11917,0.000000001))&gt;=8*$B$10487,$H$10501,0.5*$H$10501*(ABS(IF(ABS($E$11917)&gt;0.000000001,$E$11917,0.000000001))/$B$10487)^(1/3)))/ABS(IF(ABS($E$11917)&gt;0.000000001,$E$11917,0.000000001))*$I$10501)</f>
        <v/>
      </c>
      <c r="E11953" s="19">
        <f>0.5*$E$11917+0.5*$Z$11975</f>
        <v/>
      </c>
      <c r="F11953" s="19">
        <f>$Z$11976</f>
        <v/>
      </c>
    </row>
    <row r="11955">
      <c r="D11955" s="21">
        <f>$B$10476+$D$11943</f>
        <v/>
      </c>
      <c r="E11955" s="21">
        <f>$B$10477</f>
        <v/>
      </c>
      <c r="F11955" s="21">
        <f>-$B$10476</f>
        <v/>
      </c>
      <c r="G11955" s="21">
        <f>$B$10477</f>
        <v/>
      </c>
      <c r="H11955" s="21" t="n">
        <v>0</v>
      </c>
      <c r="I11955" s="21" t="n">
        <v>0</v>
      </c>
      <c r="J11955" s="21" t="n">
        <v>0</v>
      </c>
      <c r="K11955" s="21" t="n">
        <v>0</v>
      </c>
      <c r="L11955" s="21" t="n">
        <v>0</v>
      </c>
      <c r="M11955" s="21" t="n">
        <v>0</v>
      </c>
      <c r="N11955" s="21" t="n">
        <v>0</v>
      </c>
      <c r="O11955" s="21" t="n">
        <v>0</v>
      </c>
      <c r="P11955" s="21" t="n">
        <v>0</v>
      </c>
      <c r="Q11955" s="21" t="n">
        <v>0</v>
      </c>
      <c r="R11955" s="21" t="n">
        <v>0</v>
      </c>
      <c r="S11955" s="21" t="n">
        <v>0</v>
      </c>
      <c r="T11955" s="21" t="n">
        <v>0</v>
      </c>
      <c r="U11955" s="21" t="n">
        <v>0</v>
      </c>
      <c r="V11955" s="21" t="n">
        <v>0</v>
      </c>
      <c r="W11955" s="21" t="n">
        <v>0</v>
      </c>
      <c r="X11955" s="21" t="n">
        <v>0</v>
      </c>
      <c r="Y11955" s="21" t="n">
        <v>0</v>
      </c>
      <c r="Z11955" s="19">
        <f t="array" ref="Z11955:Z11976">MMULT(MINVERSE($D$11955:$Y$11976),$D$10503:$D$10524)</f>
        <v/>
      </c>
    </row>
    <row r="11956">
      <c r="D11956" s="21">
        <f>$B$10477</f>
        <v/>
      </c>
      <c r="E11956" s="21">
        <f>$B$10478</f>
        <v/>
      </c>
      <c r="F11956" s="21">
        <f>-$B$10477</f>
        <v/>
      </c>
      <c r="G11956" s="21">
        <f>$B$10479</f>
        <v/>
      </c>
      <c r="H11956" s="21" t="n">
        <v>0</v>
      </c>
      <c r="I11956" s="21" t="n">
        <v>0</v>
      </c>
      <c r="J11956" s="21" t="n">
        <v>0</v>
      </c>
      <c r="K11956" s="21" t="n">
        <v>0</v>
      </c>
      <c r="L11956" s="21" t="n">
        <v>0</v>
      </c>
      <c r="M11956" s="21" t="n">
        <v>0</v>
      </c>
      <c r="N11956" s="21" t="n">
        <v>0</v>
      </c>
      <c r="O11956" s="21" t="n">
        <v>0</v>
      </c>
      <c r="P11956" s="21" t="n">
        <v>0</v>
      </c>
      <c r="Q11956" s="21" t="n">
        <v>0</v>
      </c>
      <c r="R11956" s="21" t="n">
        <v>0</v>
      </c>
      <c r="S11956" s="21" t="n">
        <v>0</v>
      </c>
      <c r="T11956" s="21" t="n">
        <v>0</v>
      </c>
      <c r="U11956" s="21" t="n">
        <v>0</v>
      </c>
      <c r="V11956" s="21" t="n">
        <v>0</v>
      </c>
      <c r="W11956" s="21" t="n">
        <v>0</v>
      </c>
      <c r="X11956" s="21" t="n">
        <v>0</v>
      </c>
      <c r="Y11956" s="21" t="n">
        <v>0</v>
      </c>
      <c r="Z11956" s="19" t="n"/>
    </row>
    <row r="11957">
      <c r="D11957" s="21">
        <f>-$B$10476</f>
        <v/>
      </c>
      <c r="E11957" s="21">
        <f>-$B$10477</f>
        <v/>
      </c>
      <c r="F11957" s="21">
        <f>2*$B$10476+$D$11944</f>
        <v/>
      </c>
      <c r="G11957" s="21">
        <f>0</f>
        <v/>
      </c>
      <c r="H11957" s="21">
        <f>-$B$10476</f>
        <v/>
      </c>
      <c r="I11957" s="21">
        <f>$B$10477</f>
        <v/>
      </c>
      <c r="J11957" s="21" t="n">
        <v>0</v>
      </c>
      <c r="K11957" s="21" t="n">
        <v>0</v>
      </c>
      <c r="L11957" s="21" t="n">
        <v>0</v>
      </c>
      <c r="M11957" s="21" t="n">
        <v>0</v>
      </c>
      <c r="N11957" s="21" t="n">
        <v>0</v>
      </c>
      <c r="O11957" s="21" t="n">
        <v>0</v>
      </c>
      <c r="P11957" s="21" t="n">
        <v>0</v>
      </c>
      <c r="Q11957" s="21" t="n">
        <v>0</v>
      </c>
      <c r="R11957" s="21" t="n">
        <v>0</v>
      </c>
      <c r="S11957" s="21" t="n">
        <v>0</v>
      </c>
      <c r="T11957" s="21" t="n">
        <v>0</v>
      </c>
      <c r="U11957" s="21" t="n">
        <v>0</v>
      </c>
      <c r="V11957" s="21" t="n">
        <v>0</v>
      </c>
      <c r="W11957" s="21" t="n">
        <v>0</v>
      </c>
      <c r="X11957" s="21" t="n">
        <v>0</v>
      </c>
      <c r="Y11957" s="21" t="n">
        <v>0</v>
      </c>
      <c r="Z11957" s="19" t="n"/>
    </row>
    <row r="11958">
      <c r="D11958" s="21">
        <f>$B$10477</f>
        <v/>
      </c>
      <c r="E11958" s="21">
        <f>$B$10479</f>
        <v/>
      </c>
      <c r="F11958" s="21">
        <f>0</f>
        <v/>
      </c>
      <c r="G11958" s="21">
        <f>2*$B$10478</f>
        <v/>
      </c>
      <c r="H11958" s="21">
        <f>-$B$10477</f>
        <v/>
      </c>
      <c r="I11958" s="21">
        <f>$B$10479</f>
        <v/>
      </c>
      <c r="J11958" s="21" t="n">
        <v>0</v>
      </c>
      <c r="K11958" s="21" t="n">
        <v>0</v>
      </c>
      <c r="L11958" s="21" t="n">
        <v>0</v>
      </c>
      <c r="M11958" s="21" t="n">
        <v>0</v>
      </c>
      <c r="N11958" s="21" t="n">
        <v>0</v>
      </c>
      <c r="O11958" s="21" t="n">
        <v>0</v>
      </c>
      <c r="P11958" s="21" t="n">
        <v>0</v>
      </c>
      <c r="Q11958" s="21" t="n">
        <v>0</v>
      </c>
      <c r="R11958" s="21" t="n">
        <v>0</v>
      </c>
      <c r="S11958" s="21" t="n">
        <v>0</v>
      </c>
      <c r="T11958" s="21" t="n">
        <v>0</v>
      </c>
      <c r="U11958" s="21" t="n">
        <v>0</v>
      </c>
      <c r="V11958" s="21" t="n">
        <v>0</v>
      </c>
      <c r="W11958" s="21" t="n">
        <v>0</v>
      </c>
      <c r="X11958" s="21" t="n">
        <v>0</v>
      </c>
      <c r="Y11958" s="21" t="n">
        <v>0</v>
      </c>
      <c r="Z11958" s="19" t="n"/>
    </row>
    <row r="11959">
      <c r="D11959" s="21" t="n">
        <v>0</v>
      </c>
      <c r="E11959" s="21" t="n">
        <v>0</v>
      </c>
      <c r="F11959" s="21">
        <f>-$B$10476</f>
        <v/>
      </c>
      <c r="G11959" s="21">
        <f>-$B$10477</f>
        <v/>
      </c>
      <c r="H11959" s="21">
        <f>2*$B$10476+$D$11945</f>
        <v/>
      </c>
      <c r="I11959" s="21">
        <f>0</f>
        <v/>
      </c>
      <c r="J11959" s="21">
        <f>-$B$10476</f>
        <v/>
      </c>
      <c r="K11959" s="21">
        <f>$B$10477</f>
        <v/>
      </c>
      <c r="L11959" s="21" t="n">
        <v>0</v>
      </c>
      <c r="M11959" s="21" t="n">
        <v>0</v>
      </c>
      <c r="N11959" s="21" t="n">
        <v>0</v>
      </c>
      <c r="O11959" s="21" t="n">
        <v>0</v>
      </c>
      <c r="P11959" s="21" t="n">
        <v>0</v>
      </c>
      <c r="Q11959" s="21" t="n">
        <v>0</v>
      </c>
      <c r="R11959" s="21" t="n">
        <v>0</v>
      </c>
      <c r="S11959" s="21" t="n">
        <v>0</v>
      </c>
      <c r="T11959" s="21" t="n">
        <v>0</v>
      </c>
      <c r="U11959" s="21" t="n">
        <v>0</v>
      </c>
      <c r="V11959" s="21" t="n">
        <v>0</v>
      </c>
      <c r="W11959" s="21" t="n">
        <v>0</v>
      </c>
      <c r="X11959" s="21" t="n">
        <v>0</v>
      </c>
      <c r="Y11959" s="21" t="n">
        <v>0</v>
      </c>
      <c r="Z11959" s="19" t="n"/>
    </row>
    <row r="11960">
      <c r="D11960" s="21" t="n">
        <v>0</v>
      </c>
      <c r="E11960" s="21" t="n">
        <v>0</v>
      </c>
      <c r="F11960" s="21">
        <f>$B$10477</f>
        <v/>
      </c>
      <c r="G11960" s="21">
        <f>$B$10479</f>
        <v/>
      </c>
      <c r="H11960" s="21">
        <f>0</f>
        <v/>
      </c>
      <c r="I11960" s="21">
        <f>2*$B$10478</f>
        <v/>
      </c>
      <c r="J11960" s="21">
        <f>-$B$10477</f>
        <v/>
      </c>
      <c r="K11960" s="21">
        <f>$B$10479</f>
        <v/>
      </c>
      <c r="L11960" s="21" t="n">
        <v>0</v>
      </c>
      <c r="M11960" s="21" t="n">
        <v>0</v>
      </c>
      <c r="N11960" s="21" t="n">
        <v>0</v>
      </c>
      <c r="O11960" s="21" t="n">
        <v>0</v>
      </c>
      <c r="P11960" s="21" t="n">
        <v>0</v>
      </c>
      <c r="Q11960" s="21" t="n">
        <v>0</v>
      </c>
      <c r="R11960" s="21" t="n">
        <v>0</v>
      </c>
      <c r="S11960" s="21" t="n">
        <v>0</v>
      </c>
      <c r="T11960" s="21" t="n">
        <v>0</v>
      </c>
      <c r="U11960" s="21" t="n">
        <v>0</v>
      </c>
      <c r="V11960" s="21" t="n">
        <v>0</v>
      </c>
      <c r="W11960" s="21" t="n">
        <v>0</v>
      </c>
      <c r="X11960" s="21" t="n">
        <v>0</v>
      </c>
      <c r="Y11960" s="21" t="n">
        <v>0</v>
      </c>
      <c r="Z11960" s="19" t="n"/>
    </row>
    <row r="11961">
      <c r="D11961" s="21" t="n">
        <v>0</v>
      </c>
      <c r="E11961" s="21" t="n">
        <v>0</v>
      </c>
      <c r="F11961" s="21" t="n">
        <v>0</v>
      </c>
      <c r="G11961" s="21" t="n">
        <v>0</v>
      </c>
      <c r="H11961" s="21">
        <f>-$B$10476</f>
        <v/>
      </c>
      <c r="I11961" s="21">
        <f>-$B$10477</f>
        <v/>
      </c>
      <c r="J11961" s="21">
        <f>2*$B$10476+$D$11946</f>
        <v/>
      </c>
      <c r="K11961" s="21">
        <f>0</f>
        <v/>
      </c>
      <c r="L11961" s="21">
        <f>-$B$10476</f>
        <v/>
      </c>
      <c r="M11961" s="21">
        <f>$B$10477</f>
        <v/>
      </c>
      <c r="N11961" s="21" t="n">
        <v>0</v>
      </c>
      <c r="O11961" s="21" t="n">
        <v>0</v>
      </c>
      <c r="P11961" s="21" t="n">
        <v>0</v>
      </c>
      <c r="Q11961" s="21" t="n">
        <v>0</v>
      </c>
      <c r="R11961" s="21" t="n">
        <v>0</v>
      </c>
      <c r="S11961" s="21" t="n">
        <v>0</v>
      </c>
      <c r="T11961" s="21" t="n">
        <v>0</v>
      </c>
      <c r="U11961" s="21" t="n">
        <v>0</v>
      </c>
      <c r="V11961" s="21" t="n">
        <v>0</v>
      </c>
      <c r="W11961" s="21" t="n">
        <v>0</v>
      </c>
      <c r="X11961" s="21" t="n">
        <v>0</v>
      </c>
      <c r="Y11961" s="21" t="n">
        <v>0</v>
      </c>
      <c r="Z11961" s="19" t="n"/>
    </row>
    <row r="11962">
      <c r="D11962" s="21" t="n">
        <v>0</v>
      </c>
      <c r="E11962" s="21" t="n">
        <v>0</v>
      </c>
      <c r="F11962" s="21" t="n">
        <v>0</v>
      </c>
      <c r="G11962" s="21" t="n">
        <v>0</v>
      </c>
      <c r="H11962" s="21">
        <f>$B$10477</f>
        <v/>
      </c>
      <c r="I11962" s="21">
        <f>$B$10479</f>
        <v/>
      </c>
      <c r="J11962" s="21">
        <f>0</f>
        <v/>
      </c>
      <c r="K11962" s="21">
        <f>2*$B$10478</f>
        <v/>
      </c>
      <c r="L11962" s="21">
        <f>-$B$10477</f>
        <v/>
      </c>
      <c r="M11962" s="21">
        <f>$B$10479</f>
        <v/>
      </c>
      <c r="N11962" s="21" t="n">
        <v>0</v>
      </c>
      <c r="O11962" s="21" t="n">
        <v>0</v>
      </c>
      <c r="P11962" s="21" t="n">
        <v>0</v>
      </c>
      <c r="Q11962" s="21" t="n">
        <v>0</v>
      </c>
      <c r="R11962" s="21" t="n">
        <v>0</v>
      </c>
      <c r="S11962" s="21" t="n">
        <v>0</v>
      </c>
      <c r="T11962" s="21" t="n">
        <v>0</v>
      </c>
      <c r="U11962" s="21" t="n">
        <v>0</v>
      </c>
      <c r="V11962" s="21" t="n">
        <v>0</v>
      </c>
      <c r="W11962" s="21" t="n">
        <v>0</v>
      </c>
      <c r="X11962" s="21" t="n">
        <v>0</v>
      </c>
      <c r="Y11962" s="21" t="n">
        <v>0</v>
      </c>
      <c r="Z11962" s="19" t="n"/>
    </row>
    <row r="11963">
      <c r="D11963" s="21" t="n">
        <v>0</v>
      </c>
      <c r="E11963" s="21" t="n">
        <v>0</v>
      </c>
      <c r="F11963" s="21" t="n">
        <v>0</v>
      </c>
      <c r="G11963" s="21" t="n">
        <v>0</v>
      </c>
      <c r="H11963" s="21" t="n">
        <v>0</v>
      </c>
      <c r="I11963" s="21" t="n">
        <v>0</v>
      </c>
      <c r="J11963" s="21">
        <f>-$B$10476</f>
        <v/>
      </c>
      <c r="K11963" s="21">
        <f>-$B$10477</f>
        <v/>
      </c>
      <c r="L11963" s="21">
        <f>2*$B$10476+$D$11947</f>
        <v/>
      </c>
      <c r="M11963" s="21">
        <f>0</f>
        <v/>
      </c>
      <c r="N11963" s="21">
        <f>-$B$10476</f>
        <v/>
      </c>
      <c r="O11963" s="21">
        <f>$B$10477</f>
        <v/>
      </c>
      <c r="P11963" s="21" t="n">
        <v>0</v>
      </c>
      <c r="Q11963" s="21" t="n">
        <v>0</v>
      </c>
      <c r="R11963" s="21" t="n">
        <v>0</v>
      </c>
      <c r="S11963" s="21" t="n">
        <v>0</v>
      </c>
      <c r="T11963" s="21" t="n">
        <v>0</v>
      </c>
      <c r="U11963" s="21" t="n">
        <v>0</v>
      </c>
      <c r="V11963" s="21" t="n">
        <v>0</v>
      </c>
      <c r="W11963" s="21" t="n">
        <v>0</v>
      </c>
      <c r="X11963" s="21" t="n">
        <v>0</v>
      </c>
      <c r="Y11963" s="21" t="n">
        <v>0</v>
      </c>
      <c r="Z11963" s="19" t="n"/>
    </row>
    <row r="11964">
      <c r="D11964" s="21" t="n">
        <v>0</v>
      </c>
      <c r="E11964" s="21" t="n">
        <v>0</v>
      </c>
      <c r="F11964" s="21" t="n">
        <v>0</v>
      </c>
      <c r="G11964" s="21" t="n">
        <v>0</v>
      </c>
      <c r="H11964" s="21" t="n">
        <v>0</v>
      </c>
      <c r="I11964" s="21" t="n">
        <v>0</v>
      </c>
      <c r="J11964" s="21">
        <f>$B$10477</f>
        <v/>
      </c>
      <c r="K11964" s="21">
        <f>$B$10479</f>
        <v/>
      </c>
      <c r="L11964" s="21">
        <f>0</f>
        <v/>
      </c>
      <c r="M11964" s="21">
        <f>2*$B$10478</f>
        <v/>
      </c>
      <c r="N11964" s="21">
        <f>-$B$10477</f>
        <v/>
      </c>
      <c r="O11964" s="21">
        <f>$B$10479</f>
        <v/>
      </c>
      <c r="P11964" s="21" t="n">
        <v>0</v>
      </c>
      <c r="Q11964" s="21" t="n">
        <v>0</v>
      </c>
      <c r="R11964" s="21" t="n">
        <v>0</v>
      </c>
      <c r="S11964" s="21" t="n">
        <v>0</v>
      </c>
      <c r="T11964" s="21" t="n">
        <v>0</v>
      </c>
      <c r="U11964" s="21" t="n">
        <v>0</v>
      </c>
      <c r="V11964" s="21" t="n">
        <v>0</v>
      </c>
      <c r="W11964" s="21" t="n">
        <v>0</v>
      </c>
      <c r="X11964" s="21" t="n">
        <v>0</v>
      </c>
      <c r="Y11964" s="21" t="n">
        <v>0</v>
      </c>
      <c r="Z11964" s="19" t="n"/>
    </row>
    <row r="11965">
      <c r="D11965" s="21" t="n">
        <v>0</v>
      </c>
      <c r="E11965" s="21" t="n">
        <v>0</v>
      </c>
      <c r="F11965" s="21" t="n">
        <v>0</v>
      </c>
      <c r="G11965" s="21" t="n">
        <v>0</v>
      </c>
      <c r="H11965" s="21" t="n">
        <v>0</v>
      </c>
      <c r="I11965" s="21" t="n">
        <v>0</v>
      </c>
      <c r="J11965" s="21" t="n">
        <v>0</v>
      </c>
      <c r="K11965" s="21" t="n">
        <v>0</v>
      </c>
      <c r="L11965" s="21">
        <f>-$B$10476</f>
        <v/>
      </c>
      <c r="M11965" s="21">
        <f>-$B$10477</f>
        <v/>
      </c>
      <c r="N11965" s="21">
        <f>2*$B$10476+$D$11948</f>
        <v/>
      </c>
      <c r="O11965" s="21">
        <f>0</f>
        <v/>
      </c>
      <c r="P11965" s="21">
        <f>-$B$10476</f>
        <v/>
      </c>
      <c r="Q11965" s="21">
        <f>$B$10477</f>
        <v/>
      </c>
      <c r="R11965" s="21" t="n">
        <v>0</v>
      </c>
      <c r="S11965" s="21" t="n">
        <v>0</v>
      </c>
      <c r="T11965" s="21" t="n">
        <v>0</v>
      </c>
      <c r="U11965" s="21" t="n">
        <v>0</v>
      </c>
      <c r="V11965" s="21" t="n">
        <v>0</v>
      </c>
      <c r="W11965" s="21" t="n">
        <v>0</v>
      </c>
      <c r="X11965" s="21" t="n">
        <v>0</v>
      </c>
      <c r="Y11965" s="21" t="n">
        <v>0</v>
      </c>
      <c r="Z11965" s="19" t="n"/>
    </row>
    <row r="11966">
      <c r="D11966" s="21" t="n">
        <v>0</v>
      </c>
      <c r="E11966" s="21" t="n">
        <v>0</v>
      </c>
      <c r="F11966" s="21" t="n">
        <v>0</v>
      </c>
      <c r="G11966" s="21" t="n">
        <v>0</v>
      </c>
      <c r="H11966" s="21" t="n">
        <v>0</v>
      </c>
      <c r="I11966" s="21" t="n">
        <v>0</v>
      </c>
      <c r="J11966" s="21" t="n">
        <v>0</v>
      </c>
      <c r="K11966" s="21" t="n">
        <v>0</v>
      </c>
      <c r="L11966" s="21">
        <f>$B$10477</f>
        <v/>
      </c>
      <c r="M11966" s="21">
        <f>$B$10479</f>
        <v/>
      </c>
      <c r="N11966" s="21">
        <f>0</f>
        <v/>
      </c>
      <c r="O11966" s="21">
        <f>2*$B$10478</f>
        <v/>
      </c>
      <c r="P11966" s="21">
        <f>-$B$10477</f>
        <v/>
      </c>
      <c r="Q11966" s="21">
        <f>$B$10479</f>
        <v/>
      </c>
      <c r="R11966" s="21" t="n">
        <v>0</v>
      </c>
      <c r="S11966" s="21" t="n">
        <v>0</v>
      </c>
      <c r="T11966" s="21" t="n">
        <v>0</v>
      </c>
      <c r="U11966" s="21" t="n">
        <v>0</v>
      </c>
      <c r="V11966" s="21" t="n">
        <v>0</v>
      </c>
      <c r="W11966" s="21" t="n">
        <v>0</v>
      </c>
      <c r="X11966" s="21" t="n">
        <v>0</v>
      </c>
      <c r="Y11966" s="21" t="n">
        <v>0</v>
      </c>
      <c r="Z11966" s="19" t="n"/>
    </row>
    <row r="11967">
      <c r="D11967" s="21" t="n">
        <v>0</v>
      </c>
      <c r="E11967" s="21" t="n">
        <v>0</v>
      </c>
      <c r="F11967" s="21" t="n">
        <v>0</v>
      </c>
      <c r="G11967" s="21" t="n">
        <v>0</v>
      </c>
      <c r="H11967" s="21" t="n">
        <v>0</v>
      </c>
      <c r="I11967" s="21" t="n">
        <v>0</v>
      </c>
      <c r="J11967" s="21" t="n">
        <v>0</v>
      </c>
      <c r="K11967" s="21" t="n">
        <v>0</v>
      </c>
      <c r="L11967" s="21" t="n">
        <v>0</v>
      </c>
      <c r="M11967" s="21" t="n">
        <v>0</v>
      </c>
      <c r="N11967" s="21">
        <f>-$B$10476</f>
        <v/>
      </c>
      <c r="O11967" s="21">
        <f>-$B$10477</f>
        <v/>
      </c>
      <c r="P11967" s="21">
        <f>2*$B$10476+$D$11949</f>
        <v/>
      </c>
      <c r="Q11967" s="21">
        <f>0</f>
        <v/>
      </c>
      <c r="R11967" s="21">
        <f>-$B$10476</f>
        <v/>
      </c>
      <c r="S11967" s="21">
        <f>$B$10477</f>
        <v/>
      </c>
      <c r="T11967" s="21" t="n">
        <v>0</v>
      </c>
      <c r="U11967" s="21" t="n">
        <v>0</v>
      </c>
      <c r="V11967" s="21" t="n">
        <v>0</v>
      </c>
      <c r="W11967" s="21" t="n">
        <v>0</v>
      </c>
      <c r="X11967" s="21" t="n">
        <v>0</v>
      </c>
      <c r="Y11967" s="21" t="n">
        <v>0</v>
      </c>
      <c r="Z11967" s="19" t="n"/>
    </row>
    <row r="11968">
      <c r="D11968" s="21" t="n">
        <v>0</v>
      </c>
      <c r="E11968" s="21" t="n">
        <v>0</v>
      </c>
      <c r="F11968" s="21" t="n">
        <v>0</v>
      </c>
      <c r="G11968" s="21" t="n">
        <v>0</v>
      </c>
      <c r="H11968" s="21" t="n">
        <v>0</v>
      </c>
      <c r="I11968" s="21" t="n">
        <v>0</v>
      </c>
      <c r="J11968" s="21" t="n">
        <v>0</v>
      </c>
      <c r="K11968" s="21" t="n">
        <v>0</v>
      </c>
      <c r="L11968" s="21" t="n">
        <v>0</v>
      </c>
      <c r="M11968" s="21" t="n">
        <v>0</v>
      </c>
      <c r="N11968" s="21">
        <f>$B$10477</f>
        <v/>
      </c>
      <c r="O11968" s="21">
        <f>$B$10479</f>
        <v/>
      </c>
      <c r="P11968" s="21">
        <f>0</f>
        <v/>
      </c>
      <c r="Q11968" s="21">
        <f>2*$B$10478</f>
        <v/>
      </c>
      <c r="R11968" s="21">
        <f>-$B$10477</f>
        <v/>
      </c>
      <c r="S11968" s="21">
        <f>$B$10479</f>
        <v/>
      </c>
      <c r="T11968" s="21" t="n">
        <v>0</v>
      </c>
      <c r="U11968" s="21" t="n">
        <v>0</v>
      </c>
      <c r="V11968" s="21" t="n">
        <v>0</v>
      </c>
      <c r="W11968" s="21" t="n">
        <v>0</v>
      </c>
      <c r="X11968" s="21" t="n">
        <v>0</v>
      </c>
      <c r="Y11968" s="21" t="n">
        <v>0</v>
      </c>
      <c r="Z11968" s="19" t="n"/>
    </row>
    <row r="11969">
      <c r="D11969" s="21" t="n">
        <v>0</v>
      </c>
      <c r="E11969" s="21" t="n">
        <v>0</v>
      </c>
      <c r="F11969" s="21" t="n">
        <v>0</v>
      </c>
      <c r="G11969" s="21" t="n">
        <v>0</v>
      </c>
      <c r="H11969" s="21" t="n">
        <v>0</v>
      </c>
      <c r="I11969" s="21" t="n">
        <v>0</v>
      </c>
      <c r="J11969" s="21" t="n">
        <v>0</v>
      </c>
      <c r="K11969" s="21" t="n">
        <v>0</v>
      </c>
      <c r="L11969" s="21" t="n">
        <v>0</v>
      </c>
      <c r="M11969" s="21" t="n">
        <v>0</v>
      </c>
      <c r="N11969" s="21" t="n">
        <v>0</v>
      </c>
      <c r="O11969" s="21" t="n">
        <v>0</v>
      </c>
      <c r="P11969" s="21">
        <f>-$B$10476</f>
        <v/>
      </c>
      <c r="Q11969" s="21">
        <f>-$B$10477</f>
        <v/>
      </c>
      <c r="R11969" s="21">
        <f>2*$B$10476+$D$11950</f>
        <v/>
      </c>
      <c r="S11969" s="21">
        <f>0</f>
        <v/>
      </c>
      <c r="T11969" s="21">
        <f>-$B$10476</f>
        <v/>
      </c>
      <c r="U11969" s="21">
        <f>$B$10477</f>
        <v/>
      </c>
      <c r="V11969" s="21" t="n">
        <v>0</v>
      </c>
      <c r="W11969" s="21" t="n">
        <v>0</v>
      </c>
      <c r="X11969" s="21" t="n">
        <v>0</v>
      </c>
      <c r="Y11969" s="21" t="n">
        <v>0</v>
      </c>
      <c r="Z11969" s="19" t="n"/>
    </row>
    <row r="11970">
      <c r="D11970" s="21" t="n">
        <v>0</v>
      </c>
      <c r="E11970" s="21" t="n">
        <v>0</v>
      </c>
      <c r="F11970" s="21" t="n">
        <v>0</v>
      </c>
      <c r="G11970" s="21" t="n">
        <v>0</v>
      </c>
      <c r="H11970" s="21" t="n">
        <v>0</v>
      </c>
      <c r="I11970" s="21" t="n">
        <v>0</v>
      </c>
      <c r="J11970" s="21" t="n">
        <v>0</v>
      </c>
      <c r="K11970" s="21" t="n">
        <v>0</v>
      </c>
      <c r="L11970" s="21" t="n">
        <v>0</v>
      </c>
      <c r="M11970" s="21" t="n">
        <v>0</v>
      </c>
      <c r="N11970" s="21" t="n">
        <v>0</v>
      </c>
      <c r="O11970" s="21" t="n">
        <v>0</v>
      </c>
      <c r="P11970" s="21">
        <f>$B$10477</f>
        <v/>
      </c>
      <c r="Q11970" s="21">
        <f>$B$10479</f>
        <v/>
      </c>
      <c r="R11970" s="21">
        <f>0</f>
        <v/>
      </c>
      <c r="S11970" s="21">
        <f>2*$B$10478</f>
        <v/>
      </c>
      <c r="T11970" s="21">
        <f>-$B$10477</f>
        <v/>
      </c>
      <c r="U11970" s="21">
        <f>$B$10479</f>
        <v/>
      </c>
      <c r="V11970" s="21" t="n">
        <v>0</v>
      </c>
      <c r="W11970" s="21" t="n">
        <v>0</v>
      </c>
      <c r="X11970" s="21" t="n">
        <v>0</v>
      </c>
      <c r="Y11970" s="21" t="n">
        <v>0</v>
      </c>
      <c r="Z11970" s="19" t="n"/>
    </row>
    <row r="11971">
      <c r="D11971" s="21" t="n">
        <v>0</v>
      </c>
      <c r="E11971" s="21" t="n">
        <v>0</v>
      </c>
      <c r="F11971" s="21" t="n">
        <v>0</v>
      </c>
      <c r="G11971" s="21" t="n">
        <v>0</v>
      </c>
      <c r="H11971" s="21" t="n">
        <v>0</v>
      </c>
      <c r="I11971" s="21" t="n">
        <v>0</v>
      </c>
      <c r="J11971" s="21" t="n">
        <v>0</v>
      </c>
      <c r="K11971" s="21" t="n">
        <v>0</v>
      </c>
      <c r="L11971" s="21" t="n">
        <v>0</v>
      </c>
      <c r="M11971" s="21" t="n">
        <v>0</v>
      </c>
      <c r="N11971" s="21" t="n">
        <v>0</v>
      </c>
      <c r="O11971" s="21" t="n">
        <v>0</v>
      </c>
      <c r="P11971" s="21" t="n">
        <v>0</v>
      </c>
      <c r="Q11971" s="21" t="n">
        <v>0</v>
      </c>
      <c r="R11971" s="21">
        <f>-$B$10476</f>
        <v/>
      </c>
      <c r="S11971" s="21">
        <f>-$B$10477</f>
        <v/>
      </c>
      <c r="T11971" s="21">
        <f>2*$B$10476+$D$11951</f>
        <v/>
      </c>
      <c r="U11971" s="21">
        <f>0</f>
        <v/>
      </c>
      <c r="V11971" s="21">
        <f>-$B$10476</f>
        <v/>
      </c>
      <c r="W11971" s="21">
        <f>$B$10477</f>
        <v/>
      </c>
      <c r="X11971" s="21" t="n">
        <v>0</v>
      </c>
      <c r="Y11971" s="21" t="n">
        <v>0</v>
      </c>
      <c r="Z11971" s="19" t="n"/>
    </row>
    <row r="11972">
      <c r="D11972" s="21" t="n">
        <v>0</v>
      </c>
      <c r="E11972" s="21" t="n">
        <v>0</v>
      </c>
      <c r="F11972" s="21" t="n">
        <v>0</v>
      </c>
      <c r="G11972" s="21" t="n">
        <v>0</v>
      </c>
      <c r="H11972" s="21" t="n">
        <v>0</v>
      </c>
      <c r="I11972" s="21" t="n">
        <v>0</v>
      </c>
      <c r="J11972" s="21" t="n">
        <v>0</v>
      </c>
      <c r="K11972" s="21" t="n">
        <v>0</v>
      </c>
      <c r="L11972" s="21" t="n">
        <v>0</v>
      </c>
      <c r="M11972" s="21" t="n">
        <v>0</v>
      </c>
      <c r="N11972" s="21" t="n">
        <v>0</v>
      </c>
      <c r="O11972" s="21" t="n">
        <v>0</v>
      </c>
      <c r="P11972" s="21" t="n">
        <v>0</v>
      </c>
      <c r="Q11972" s="21" t="n">
        <v>0</v>
      </c>
      <c r="R11972" s="21">
        <f>$B$10477</f>
        <v/>
      </c>
      <c r="S11972" s="21">
        <f>$B$10479</f>
        <v/>
      </c>
      <c r="T11972" s="21">
        <f>0</f>
        <v/>
      </c>
      <c r="U11972" s="21">
        <f>2*$B$10478</f>
        <v/>
      </c>
      <c r="V11972" s="21">
        <f>-$B$10477</f>
        <v/>
      </c>
      <c r="W11972" s="21">
        <f>$B$10479</f>
        <v/>
      </c>
      <c r="X11972" s="21" t="n">
        <v>0</v>
      </c>
      <c r="Y11972" s="21" t="n">
        <v>0</v>
      </c>
      <c r="Z11972" s="19" t="n"/>
    </row>
    <row r="11973">
      <c r="D11973" s="21" t="n">
        <v>0</v>
      </c>
      <c r="E11973" s="21" t="n">
        <v>0</v>
      </c>
      <c r="F11973" s="21" t="n">
        <v>0</v>
      </c>
      <c r="G11973" s="21" t="n">
        <v>0</v>
      </c>
      <c r="H11973" s="21" t="n">
        <v>0</v>
      </c>
      <c r="I11973" s="21" t="n">
        <v>0</v>
      </c>
      <c r="J11973" s="21" t="n">
        <v>0</v>
      </c>
      <c r="K11973" s="21" t="n">
        <v>0</v>
      </c>
      <c r="L11973" s="21" t="n">
        <v>0</v>
      </c>
      <c r="M11973" s="21" t="n">
        <v>0</v>
      </c>
      <c r="N11973" s="21" t="n">
        <v>0</v>
      </c>
      <c r="O11973" s="21" t="n">
        <v>0</v>
      </c>
      <c r="P11973" s="21" t="n">
        <v>0</v>
      </c>
      <c r="Q11973" s="21" t="n">
        <v>0</v>
      </c>
      <c r="R11973" s="21" t="n">
        <v>0</v>
      </c>
      <c r="S11973" s="21" t="n">
        <v>0</v>
      </c>
      <c r="T11973" s="21">
        <f>-$B$10476</f>
        <v/>
      </c>
      <c r="U11973" s="21">
        <f>-$B$10477</f>
        <v/>
      </c>
      <c r="V11973" s="21">
        <f>2*$B$10476+$D$11952</f>
        <v/>
      </c>
      <c r="W11973" s="21">
        <f>0</f>
        <v/>
      </c>
      <c r="X11973" s="21">
        <f>-$B$10476</f>
        <v/>
      </c>
      <c r="Y11973" s="21">
        <f>$B$10477</f>
        <v/>
      </c>
      <c r="Z11973" s="19" t="n"/>
    </row>
    <row r="11974">
      <c r="D11974" s="21" t="n">
        <v>0</v>
      </c>
      <c r="E11974" s="21" t="n">
        <v>0</v>
      </c>
      <c r="F11974" s="21" t="n">
        <v>0</v>
      </c>
      <c r="G11974" s="21" t="n">
        <v>0</v>
      </c>
      <c r="H11974" s="21" t="n">
        <v>0</v>
      </c>
      <c r="I11974" s="21" t="n">
        <v>0</v>
      </c>
      <c r="J11974" s="21" t="n">
        <v>0</v>
      </c>
      <c r="K11974" s="21" t="n">
        <v>0</v>
      </c>
      <c r="L11974" s="21" t="n">
        <v>0</v>
      </c>
      <c r="M11974" s="21" t="n">
        <v>0</v>
      </c>
      <c r="N11974" s="21" t="n">
        <v>0</v>
      </c>
      <c r="O11974" s="21" t="n">
        <v>0</v>
      </c>
      <c r="P11974" s="21" t="n">
        <v>0</v>
      </c>
      <c r="Q11974" s="21" t="n">
        <v>0</v>
      </c>
      <c r="R11974" s="21" t="n">
        <v>0</v>
      </c>
      <c r="S11974" s="21" t="n">
        <v>0</v>
      </c>
      <c r="T11974" s="21">
        <f>$B$10477</f>
        <v/>
      </c>
      <c r="U11974" s="21">
        <f>$B$10479</f>
        <v/>
      </c>
      <c r="V11974" s="21">
        <f>0</f>
        <v/>
      </c>
      <c r="W11974" s="21">
        <f>2*$B$10478</f>
        <v/>
      </c>
      <c r="X11974" s="21">
        <f>-$B$10477</f>
        <v/>
      </c>
      <c r="Y11974" s="21">
        <f>$B$10479</f>
        <v/>
      </c>
      <c r="Z11974" s="19" t="n"/>
    </row>
    <row r="11975">
      <c r="D11975" s="21" t="n">
        <v>0</v>
      </c>
      <c r="E11975" s="21" t="n">
        <v>0</v>
      </c>
      <c r="F11975" s="21" t="n">
        <v>0</v>
      </c>
      <c r="G11975" s="21" t="n">
        <v>0</v>
      </c>
      <c r="H11975" s="21" t="n">
        <v>0</v>
      </c>
      <c r="I11975" s="21" t="n">
        <v>0</v>
      </c>
      <c r="J11975" s="21" t="n">
        <v>0</v>
      </c>
      <c r="K11975" s="21" t="n">
        <v>0</v>
      </c>
      <c r="L11975" s="21" t="n">
        <v>0</v>
      </c>
      <c r="M11975" s="21" t="n">
        <v>0</v>
      </c>
      <c r="N11975" s="21" t="n">
        <v>0</v>
      </c>
      <c r="O11975" s="21" t="n">
        <v>0</v>
      </c>
      <c r="P11975" s="21" t="n">
        <v>0</v>
      </c>
      <c r="Q11975" s="21" t="n">
        <v>0</v>
      </c>
      <c r="R11975" s="21" t="n">
        <v>0</v>
      </c>
      <c r="S11975" s="21" t="n">
        <v>0</v>
      </c>
      <c r="T11975" s="21" t="n">
        <v>0</v>
      </c>
      <c r="U11975" s="21" t="n">
        <v>0</v>
      </c>
      <c r="V11975" s="21">
        <f>-$B$10476</f>
        <v/>
      </c>
      <c r="W11975" s="21">
        <f>-$B$10477</f>
        <v/>
      </c>
      <c r="X11975" s="21">
        <f>$B$10476+$D$11953</f>
        <v/>
      </c>
      <c r="Y11975" s="21">
        <f>-$B$10477</f>
        <v/>
      </c>
      <c r="Z11975" s="19" t="n"/>
    </row>
    <row r="11976">
      <c r="D11976" s="21" t="n">
        <v>0</v>
      </c>
      <c r="E11976" s="21" t="n">
        <v>0</v>
      </c>
      <c r="F11976" s="21" t="n">
        <v>0</v>
      </c>
      <c r="G11976" s="21" t="n">
        <v>0</v>
      </c>
      <c r="H11976" s="21" t="n">
        <v>0</v>
      </c>
      <c r="I11976" s="21" t="n">
        <v>0</v>
      </c>
      <c r="J11976" s="21" t="n">
        <v>0</v>
      </c>
      <c r="K11976" s="21" t="n">
        <v>0</v>
      </c>
      <c r="L11976" s="21" t="n">
        <v>0</v>
      </c>
      <c r="M11976" s="21" t="n">
        <v>0</v>
      </c>
      <c r="N11976" s="21" t="n">
        <v>0</v>
      </c>
      <c r="O11976" s="21" t="n">
        <v>0</v>
      </c>
      <c r="P11976" s="21" t="n">
        <v>0</v>
      </c>
      <c r="Q11976" s="21" t="n">
        <v>0</v>
      </c>
      <c r="R11976" s="21" t="n">
        <v>0</v>
      </c>
      <c r="S11976" s="21" t="n">
        <v>0</v>
      </c>
      <c r="T11976" s="21" t="n">
        <v>0</v>
      </c>
      <c r="U11976" s="21" t="n">
        <v>0</v>
      </c>
      <c r="V11976" s="21">
        <f>$B$10477</f>
        <v/>
      </c>
      <c r="W11976" s="21">
        <f>$B$10479</f>
        <v/>
      </c>
      <c r="X11976" s="21">
        <f>-$B$10477</f>
        <v/>
      </c>
      <c r="Y11976" s="21">
        <f>$B$10478</f>
        <v/>
      </c>
      <c r="Z11976" s="19" t="n"/>
    </row>
    <row r="11978">
      <c r="A11978" s="8" t="inlineStr">
        <is>
          <t>gen 41</t>
        </is>
      </c>
    </row>
    <row r="11979">
      <c r="D11979" s="19">
        <f>IF(ABS(IF(ABS($E$11943)&gt;0.000000001,$E$11943,0.000000001))=0,0,IF($E$10491&lt;=$B$10485,0,IF(ABS(IF(ABS($E$11943)&gt;0.000000001,$E$11943,0.000000001))&gt;=8*$B$10487,$H$10491,0.5*$H$10491*(ABS(IF(ABS($E$11943)&gt;0.000000001,$E$11943,0.000000001))/$B$10487)^(1/3)))/ABS(IF(ABS($E$11943)&gt;0.000000001,$E$11943,0.000000001))*$I$10491)</f>
        <v/>
      </c>
      <c r="E11979" s="19">
        <f>0.5*$E$11943+0.5*$Z$11991</f>
        <v/>
      </c>
      <c r="F11979" s="19">
        <f>$Z$11992</f>
        <v/>
      </c>
    </row>
    <row r="11980">
      <c r="D11980" s="19">
        <f>IF(ABS(IF(ABS($E$11944)&gt;0.000000001,$E$11944,0.000000001))=0,0,IF($E$10492&lt;=$B$10485,0,IF(ABS(IF(ABS($E$11944)&gt;0.000000001,$E$11944,0.000000001))&gt;=8*$B$10487,$H$10492,0.5*$H$10492*(ABS(IF(ABS($E$11944)&gt;0.000000001,$E$11944,0.000000001))/$B$10487)^(1/3)))/ABS(IF(ABS($E$11944)&gt;0.000000001,$E$11944,0.000000001))*$I$10492)</f>
        <v/>
      </c>
      <c r="E11980" s="19">
        <f>0.5*$E$11944+0.5*$Z$11993</f>
        <v/>
      </c>
      <c r="F11980" s="19">
        <f>$Z$11994</f>
        <v/>
      </c>
    </row>
    <row r="11981">
      <c r="D11981" s="19">
        <f>IF(ABS(IF(ABS($E$11945)&gt;0.000000001,$E$11945,0.000000001))=0,0,IF($E$10493&lt;=$B$10485,0,IF(ABS(IF(ABS($E$11945)&gt;0.000000001,$E$11945,0.000000001))&gt;=8*$B$10487,$H$10493,0.5*$H$10493*(ABS(IF(ABS($E$11945)&gt;0.000000001,$E$11945,0.000000001))/$B$10487)^(1/3)))/ABS(IF(ABS($E$11945)&gt;0.000000001,$E$11945,0.000000001))*$I$10493)</f>
        <v/>
      </c>
      <c r="E11981" s="19">
        <f>0.5*$E$11945+0.5*$Z$11995</f>
        <v/>
      </c>
      <c r="F11981" s="19">
        <f>$Z$11996</f>
        <v/>
      </c>
    </row>
    <row r="11982">
      <c r="D11982" s="19">
        <f>IF(ABS(IF(ABS($E$11946)&gt;0.000000001,$E$11946,0.000000001))=0,0,IF($E$10494&lt;=$B$10485,0,IF(ABS(IF(ABS($E$11946)&gt;0.000000001,$E$11946,0.000000001))&gt;=8*$B$10487,$H$10494,0.5*$H$10494*(ABS(IF(ABS($E$11946)&gt;0.000000001,$E$11946,0.000000001))/$B$10487)^(1/3)))/ABS(IF(ABS($E$11946)&gt;0.000000001,$E$11946,0.000000001))*$I$10494)</f>
        <v/>
      </c>
      <c r="E11982" s="19">
        <f>0.5*$E$11946+0.5*$Z$11997</f>
        <v/>
      </c>
      <c r="F11982" s="19">
        <f>$Z$11998</f>
        <v/>
      </c>
    </row>
    <row r="11983">
      <c r="D11983" s="19">
        <f>IF(ABS(IF(ABS($E$11947)&gt;0.000000001,$E$11947,0.000000001))=0,0,IF($E$10495&lt;=$B$10485,0,IF(ABS(IF(ABS($E$11947)&gt;0.000000001,$E$11947,0.000000001))&gt;=8*$B$10487,$H$10495,0.5*$H$10495*(ABS(IF(ABS($E$11947)&gt;0.000000001,$E$11947,0.000000001))/$B$10487)^(1/3)))/ABS(IF(ABS($E$11947)&gt;0.000000001,$E$11947,0.000000001))*$I$10495)</f>
        <v/>
      </c>
      <c r="E11983" s="19">
        <f>0.5*$E$11947+0.5*$Z$11999</f>
        <v/>
      </c>
      <c r="F11983" s="19">
        <f>$Z$12000</f>
        <v/>
      </c>
    </row>
    <row r="11984">
      <c r="D11984" s="19">
        <f>IF(ABS(IF(ABS($E$11948)&gt;0.000000001,$E$11948,0.000000001))=0,0,IF($E$10496&lt;=$B$10485,0,IF(ABS(IF(ABS($E$11948)&gt;0.000000001,$E$11948,0.000000001))&gt;=8*$B$10487,$H$10496,0.5*$H$10496*(ABS(IF(ABS($E$11948)&gt;0.000000001,$E$11948,0.000000001))/$B$10487)^(1/3)))/ABS(IF(ABS($E$11948)&gt;0.000000001,$E$11948,0.000000001))*$I$10496)</f>
        <v/>
      </c>
      <c r="E11984" s="19">
        <f>0.5*$E$11948+0.5*$Z$12001</f>
        <v/>
      </c>
      <c r="F11984" s="19">
        <f>$Z$12002</f>
        <v/>
      </c>
    </row>
    <row r="11985">
      <c r="D11985" s="19">
        <f>IF(ABS(IF(ABS($E$11949)&gt;0.000000001,$E$11949,0.000000001))=0,0,IF($E$10497&lt;=$B$10485,0,IF(ABS(IF(ABS($E$11949)&gt;0.000000001,$E$11949,0.000000001))&gt;=8*$B$10487,$H$10497,0.5*$H$10497*(ABS(IF(ABS($E$11949)&gt;0.000000001,$E$11949,0.000000001))/$B$10487)^(1/3)))/ABS(IF(ABS($E$11949)&gt;0.000000001,$E$11949,0.000000001))*$I$10497)</f>
        <v/>
      </c>
      <c r="E11985" s="19">
        <f>0.5*$E$11949+0.5*$Z$12003</f>
        <v/>
      </c>
      <c r="F11985" s="19">
        <f>$Z$12004</f>
        <v/>
      </c>
    </row>
    <row r="11986">
      <c r="D11986" s="19">
        <f>IF(ABS(IF(ABS($E$11950)&gt;0.000000001,$E$11950,0.000000001))=0,0,IF($E$10498&lt;=$B$10485,0,IF(ABS(IF(ABS($E$11950)&gt;0.000000001,$E$11950,0.000000001))&gt;=8*$B$10487,$H$10498,0.5*$H$10498*(ABS(IF(ABS($E$11950)&gt;0.000000001,$E$11950,0.000000001))/$B$10487)^(1/3)))/ABS(IF(ABS($E$11950)&gt;0.000000001,$E$11950,0.000000001))*$I$10498)</f>
        <v/>
      </c>
      <c r="E11986" s="19">
        <f>0.5*$E$11950+0.5*$Z$12005</f>
        <v/>
      </c>
      <c r="F11986" s="19">
        <f>$Z$12006</f>
        <v/>
      </c>
    </row>
    <row r="11987">
      <c r="D11987" s="19">
        <f>IF(ABS(IF(ABS($E$11951)&gt;0.000000001,$E$11951,0.000000001))=0,0,IF($E$10499&lt;=$B$10485,0,IF(ABS(IF(ABS($E$11951)&gt;0.000000001,$E$11951,0.000000001))&gt;=8*$B$10487,$H$10499,0.5*$H$10499*(ABS(IF(ABS($E$11951)&gt;0.000000001,$E$11951,0.000000001))/$B$10487)^(1/3)))/ABS(IF(ABS($E$11951)&gt;0.000000001,$E$11951,0.000000001))*$I$10499)</f>
        <v/>
      </c>
      <c r="E11987" s="19">
        <f>0.5*$E$11951+0.5*$Z$12007</f>
        <v/>
      </c>
      <c r="F11987" s="19">
        <f>$Z$12008</f>
        <v/>
      </c>
    </row>
    <row r="11988">
      <c r="D11988" s="19">
        <f>IF(ABS(IF(ABS($E$11952)&gt;0.000000001,$E$11952,0.000000001))=0,0,IF($E$10500&lt;=$B$10485,0,IF(ABS(IF(ABS($E$11952)&gt;0.000000001,$E$11952,0.000000001))&gt;=8*$B$10487,$H$10500,0.5*$H$10500*(ABS(IF(ABS($E$11952)&gt;0.000000001,$E$11952,0.000000001))/$B$10487)^(1/3)))/ABS(IF(ABS($E$11952)&gt;0.000000001,$E$11952,0.000000001))*$I$10500)</f>
        <v/>
      </c>
      <c r="E11988" s="19">
        <f>0.5*$E$11952+0.5*$Z$12009</f>
        <v/>
      </c>
      <c r="F11988" s="19">
        <f>$Z$12010</f>
        <v/>
      </c>
    </row>
    <row r="11989">
      <c r="D11989" s="19">
        <f>IF(ABS(IF(ABS($E$11953)&gt;0.000000001,$E$11953,0.000000001))=0,0,IF($E$10501&lt;=$B$10485,0,IF(ABS(IF(ABS($E$11953)&gt;0.000000001,$E$11953,0.000000001))&gt;=8*$B$10487,$H$10501,0.5*$H$10501*(ABS(IF(ABS($E$11953)&gt;0.000000001,$E$11953,0.000000001))/$B$10487)^(1/3)))/ABS(IF(ABS($E$11953)&gt;0.000000001,$E$11953,0.000000001))*$I$10501)</f>
        <v/>
      </c>
      <c r="E11989" s="19">
        <f>0.5*$E$11953+0.5*$Z$12011</f>
        <v/>
      </c>
      <c r="F11989" s="19">
        <f>$Z$12012</f>
        <v/>
      </c>
    </row>
    <row r="11991">
      <c r="D11991" s="21">
        <f>$B$10476+$D$11979</f>
        <v/>
      </c>
      <c r="E11991" s="21">
        <f>$B$10477</f>
        <v/>
      </c>
      <c r="F11991" s="21">
        <f>-$B$10476</f>
        <v/>
      </c>
      <c r="G11991" s="21">
        <f>$B$10477</f>
        <v/>
      </c>
      <c r="H11991" s="21" t="n">
        <v>0</v>
      </c>
      <c r="I11991" s="21" t="n">
        <v>0</v>
      </c>
      <c r="J11991" s="21" t="n">
        <v>0</v>
      </c>
      <c r="K11991" s="21" t="n">
        <v>0</v>
      </c>
      <c r="L11991" s="21" t="n">
        <v>0</v>
      </c>
      <c r="M11991" s="21" t="n">
        <v>0</v>
      </c>
      <c r="N11991" s="21" t="n">
        <v>0</v>
      </c>
      <c r="O11991" s="21" t="n">
        <v>0</v>
      </c>
      <c r="P11991" s="21" t="n">
        <v>0</v>
      </c>
      <c r="Q11991" s="21" t="n">
        <v>0</v>
      </c>
      <c r="R11991" s="21" t="n">
        <v>0</v>
      </c>
      <c r="S11991" s="21" t="n">
        <v>0</v>
      </c>
      <c r="T11991" s="21" t="n">
        <v>0</v>
      </c>
      <c r="U11991" s="21" t="n">
        <v>0</v>
      </c>
      <c r="V11991" s="21" t="n">
        <v>0</v>
      </c>
      <c r="W11991" s="21" t="n">
        <v>0</v>
      </c>
      <c r="X11991" s="21" t="n">
        <v>0</v>
      </c>
      <c r="Y11991" s="21" t="n">
        <v>0</v>
      </c>
      <c r="Z11991" s="19">
        <f t="array" ref="Z11991:Z12012">MMULT(MINVERSE($D$11991:$Y$12012),$D$10503:$D$10524)</f>
        <v/>
      </c>
    </row>
    <row r="11992">
      <c r="D11992" s="21">
        <f>$B$10477</f>
        <v/>
      </c>
      <c r="E11992" s="21">
        <f>$B$10478</f>
        <v/>
      </c>
      <c r="F11992" s="21">
        <f>-$B$10477</f>
        <v/>
      </c>
      <c r="G11992" s="21">
        <f>$B$10479</f>
        <v/>
      </c>
      <c r="H11992" s="21" t="n">
        <v>0</v>
      </c>
      <c r="I11992" s="21" t="n">
        <v>0</v>
      </c>
      <c r="J11992" s="21" t="n">
        <v>0</v>
      </c>
      <c r="K11992" s="21" t="n">
        <v>0</v>
      </c>
      <c r="L11992" s="21" t="n">
        <v>0</v>
      </c>
      <c r="M11992" s="21" t="n">
        <v>0</v>
      </c>
      <c r="N11992" s="21" t="n">
        <v>0</v>
      </c>
      <c r="O11992" s="21" t="n">
        <v>0</v>
      </c>
      <c r="P11992" s="21" t="n">
        <v>0</v>
      </c>
      <c r="Q11992" s="21" t="n">
        <v>0</v>
      </c>
      <c r="R11992" s="21" t="n">
        <v>0</v>
      </c>
      <c r="S11992" s="21" t="n">
        <v>0</v>
      </c>
      <c r="T11992" s="21" t="n">
        <v>0</v>
      </c>
      <c r="U11992" s="21" t="n">
        <v>0</v>
      </c>
      <c r="V11992" s="21" t="n">
        <v>0</v>
      </c>
      <c r="W11992" s="21" t="n">
        <v>0</v>
      </c>
      <c r="X11992" s="21" t="n">
        <v>0</v>
      </c>
      <c r="Y11992" s="21" t="n">
        <v>0</v>
      </c>
      <c r="Z11992" s="19" t="n"/>
    </row>
    <row r="11993">
      <c r="D11993" s="21">
        <f>-$B$10476</f>
        <v/>
      </c>
      <c r="E11993" s="21">
        <f>-$B$10477</f>
        <v/>
      </c>
      <c r="F11993" s="21">
        <f>2*$B$10476+$D$11980</f>
        <v/>
      </c>
      <c r="G11993" s="21">
        <f>0</f>
        <v/>
      </c>
      <c r="H11993" s="21">
        <f>-$B$10476</f>
        <v/>
      </c>
      <c r="I11993" s="21">
        <f>$B$10477</f>
        <v/>
      </c>
      <c r="J11993" s="21" t="n">
        <v>0</v>
      </c>
      <c r="K11993" s="21" t="n">
        <v>0</v>
      </c>
      <c r="L11993" s="21" t="n">
        <v>0</v>
      </c>
      <c r="M11993" s="21" t="n">
        <v>0</v>
      </c>
      <c r="N11993" s="21" t="n">
        <v>0</v>
      </c>
      <c r="O11993" s="21" t="n">
        <v>0</v>
      </c>
      <c r="P11993" s="21" t="n">
        <v>0</v>
      </c>
      <c r="Q11993" s="21" t="n">
        <v>0</v>
      </c>
      <c r="R11993" s="21" t="n">
        <v>0</v>
      </c>
      <c r="S11993" s="21" t="n">
        <v>0</v>
      </c>
      <c r="T11993" s="21" t="n">
        <v>0</v>
      </c>
      <c r="U11993" s="21" t="n">
        <v>0</v>
      </c>
      <c r="V11993" s="21" t="n">
        <v>0</v>
      </c>
      <c r="W11993" s="21" t="n">
        <v>0</v>
      </c>
      <c r="X11993" s="21" t="n">
        <v>0</v>
      </c>
      <c r="Y11993" s="21" t="n">
        <v>0</v>
      </c>
      <c r="Z11993" s="19" t="n"/>
    </row>
    <row r="11994">
      <c r="D11994" s="21">
        <f>$B$10477</f>
        <v/>
      </c>
      <c r="E11994" s="21">
        <f>$B$10479</f>
        <v/>
      </c>
      <c r="F11994" s="21">
        <f>0</f>
        <v/>
      </c>
      <c r="G11994" s="21">
        <f>2*$B$10478</f>
        <v/>
      </c>
      <c r="H11994" s="21">
        <f>-$B$10477</f>
        <v/>
      </c>
      <c r="I11994" s="21">
        <f>$B$10479</f>
        <v/>
      </c>
      <c r="J11994" s="21" t="n">
        <v>0</v>
      </c>
      <c r="K11994" s="21" t="n">
        <v>0</v>
      </c>
      <c r="L11994" s="21" t="n">
        <v>0</v>
      </c>
      <c r="M11994" s="21" t="n">
        <v>0</v>
      </c>
      <c r="N11994" s="21" t="n">
        <v>0</v>
      </c>
      <c r="O11994" s="21" t="n">
        <v>0</v>
      </c>
      <c r="P11994" s="21" t="n">
        <v>0</v>
      </c>
      <c r="Q11994" s="21" t="n">
        <v>0</v>
      </c>
      <c r="R11994" s="21" t="n">
        <v>0</v>
      </c>
      <c r="S11994" s="21" t="n">
        <v>0</v>
      </c>
      <c r="T11994" s="21" t="n">
        <v>0</v>
      </c>
      <c r="U11994" s="21" t="n">
        <v>0</v>
      </c>
      <c r="V11994" s="21" t="n">
        <v>0</v>
      </c>
      <c r="W11994" s="21" t="n">
        <v>0</v>
      </c>
      <c r="X11994" s="21" t="n">
        <v>0</v>
      </c>
      <c r="Y11994" s="21" t="n">
        <v>0</v>
      </c>
      <c r="Z11994" s="19" t="n"/>
    </row>
    <row r="11995">
      <c r="D11995" s="21" t="n">
        <v>0</v>
      </c>
      <c r="E11995" s="21" t="n">
        <v>0</v>
      </c>
      <c r="F11995" s="21">
        <f>-$B$10476</f>
        <v/>
      </c>
      <c r="G11995" s="21">
        <f>-$B$10477</f>
        <v/>
      </c>
      <c r="H11995" s="21">
        <f>2*$B$10476+$D$11981</f>
        <v/>
      </c>
      <c r="I11995" s="21">
        <f>0</f>
        <v/>
      </c>
      <c r="J11995" s="21">
        <f>-$B$10476</f>
        <v/>
      </c>
      <c r="K11995" s="21">
        <f>$B$10477</f>
        <v/>
      </c>
      <c r="L11995" s="21" t="n">
        <v>0</v>
      </c>
      <c r="M11995" s="21" t="n">
        <v>0</v>
      </c>
      <c r="N11995" s="21" t="n">
        <v>0</v>
      </c>
      <c r="O11995" s="21" t="n">
        <v>0</v>
      </c>
      <c r="P11995" s="21" t="n">
        <v>0</v>
      </c>
      <c r="Q11995" s="21" t="n">
        <v>0</v>
      </c>
      <c r="R11995" s="21" t="n">
        <v>0</v>
      </c>
      <c r="S11995" s="21" t="n">
        <v>0</v>
      </c>
      <c r="T11995" s="21" t="n">
        <v>0</v>
      </c>
      <c r="U11995" s="21" t="n">
        <v>0</v>
      </c>
      <c r="V11995" s="21" t="n">
        <v>0</v>
      </c>
      <c r="W11995" s="21" t="n">
        <v>0</v>
      </c>
      <c r="X11995" s="21" t="n">
        <v>0</v>
      </c>
      <c r="Y11995" s="21" t="n">
        <v>0</v>
      </c>
      <c r="Z11995" s="19" t="n"/>
    </row>
    <row r="11996">
      <c r="D11996" s="21" t="n">
        <v>0</v>
      </c>
      <c r="E11996" s="21" t="n">
        <v>0</v>
      </c>
      <c r="F11996" s="21">
        <f>$B$10477</f>
        <v/>
      </c>
      <c r="G11996" s="21">
        <f>$B$10479</f>
        <v/>
      </c>
      <c r="H11996" s="21">
        <f>0</f>
        <v/>
      </c>
      <c r="I11996" s="21">
        <f>2*$B$10478</f>
        <v/>
      </c>
      <c r="J11996" s="21">
        <f>-$B$10477</f>
        <v/>
      </c>
      <c r="K11996" s="21">
        <f>$B$10479</f>
        <v/>
      </c>
      <c r="L11996" s="21" t="n">
        <v>0</v>
      </c>
      <c r="M11996" s="21" t="n">
        <v>0</v>
      </c>
      <c r="N11996" s="21" t="n">
        <v>0</v>
      </c>
      <c r="O11996" s="21" t="n">
        <v>0</v>
      </c>
      <c r="P11996" s="21" t="n">
        <v>0</v>
      </c>
      <c r="Q11996" s="21" t="n">
        <v>0</v>
      </c>
      <c r="R11996" s="21" t="n">
        <v>0</v>
      </c>
      <c r="S11996" s="21" t="n">
        <v>0</v>
      </c>
      <c r="T11996" s="21" t="n">
        <v>0</v>
      </c>
      <c r="U11996" s="21" t="n">
        <v>0</v>
      </c>
      <c r="V11996" s="21" t="n">
        <v>0</v>
      </c>
      <c r="W11996" s="21" t="n">
        <v>0</v>
      </c>
      <c r="X11996" s="21" t="n">
        <v>0</v>
      </c>
      <c r="Y11996" s="21" t="n">
        <v>0</v>
      </c>
      <c r="Z11996" s="19" t="n"/>
    </row>
    <row r="11997">
      <c r="D11997" s="21" t="n">
        <v>0</v>
      </c>
      <c r="E11997" s="21" t="n">
        <v>0</v>
      </c>
      <c r="F11997" s="21" t="n">
        <v>0</v>
      </c>
      <c r="G11997" s="21" t="n">
        <v>0</v>
      </c>
      <c r="H11997" s="21">
        <f>-$B$10476</f>
        <v/>
      </c>
      <c r="I11997" s="21">
        <f>-$B$10477</f>
        <v/>
      </c>
      <c r="J11997" s="21">
        <f>2*$B$10476+$D$11982</f>
        <v/>
      </c>
      <c r="K11997" s="21">
        <f>0</f>
        <v/>
      </c>
      <c r="L11997" s="21">
        <f>-$B$10476</f>
        <v/>
      </c>
      <c r="M11997" s="21">
        <f>$B$10477</f>
        <v/>
      </c>
      <c r="N11997" s="21" t="n">
        <v>0</v>
      </c>
      <c r="O11997" s="21" t="n">
        <v>0</v>
      </c>
      <c r="P11997" s="21" t="n">
        <v>0</v>
      </c>
      <c r="Q11997" s="21" t="n">
        <v>0</v>
      </c>
      <c r="R11997" s="21" t="n">
        <v>0</v>
      </c>
      <c r="S11997" s="21" t="n">
        <v>0</v>
      </c>
      <c r="T11997" s="21" t="n">
        <v>0</v>
      </c>
      <c r="U11997" s="21" t="n">
        <v>0</v>
      </c>
      <c r="V11997" s="21" t="n">
        <v>0</v>
      </c>
      <c r="W11997" s="21" t="n">
        <v>0</v>
      </c>
      <c r="X11997" s="21" t="n">
        <v>0</v>
      </c>
      <c r="Y11997" s="21" t="n">
        <v>0</v>
      </c>
      <c r="Z11997" s="19" t="n"/>
    </row>
    <row r="11998">
      <c r="D11998" s="21" t="n">
        <v>0</v>
      </c>
      <c r="E11998" s="21" t="n">
        <v>0</v>
      </c>
      <c r="F11998" s="21" t="n">
        <v>0</v>
      </c>
      <c r="G11998" s="21" t="n">
        <v>0</v>
      </c>
      <c r="H11998" s="21">
        <f>$B$10477</f>
        <v/>
      </c>
      <c r="I11998" s="21">
        <f>$B$10479</f>
        <v/>
      </c>
      <c r="J11998" s="21">
        <f>0</f>
        <v/>
      </c>
      <c r="K11998" s="21">
        <f>2*$B$10478</f>
        <v/>
      </c>
      <c r="L11998" s="21">
        <f>-$B$10477</f>
        <v/>
      </c>
      <c r="M11998" s="21">
        <f>$B$10479</f>
        <v/>
      </c>
      <c r="N11998" s="21" t="n">
        <v>0</v>
      </c>
      <c r="O11998" s="21" t="n">
        <v>0</v>
      </c>
      <c r="P11998" s="21" t="n">
        <v>0</v>
      </c>
      <c r="Q11998" s="21" t="n">
        <v>0</v>
      </c>
      <c r="R11998" s="21" t="n">
        <v>0</v>
      </c>
      <c r="S11998" s="21" t="n">
        <v>0</v>
      </c>
      <c r="T11998" s="21" t="n">
        <v>0</v>
      </c>
      <c r="U11998" s="21" t="n">
        <v>0</v>
      </c>
      <c r="V11998" s="21" t="n">
        <v>0</v>
      </c>
      <c r="W11998" s="21" t="n">
        <v>0</v>
      </c>
      <c r="X11998" s="21" t="n">
        <v>0</v>
      </c>
      <c r="Y11998" s="21" t="n">
        <v>0</v>
      </c>
      <c r="Z11998" s="19" t="n"/>
    </row>
    <row r="11999">
      <c r="D11999" s="21" t="n">
        <v>0</v>
      </c>
      <c r="E11999" s="21" t="n">
        <v>0</v>
      </c>
      <c r="F11999" s="21" t="n">
        <v>0</v>
      </c>
      <c r="G11999" s="21" t="n">
        <v>0</v>
      </c>
      <c r="H11999" s="21" t="n">
        <v>0</v>
      </c>
      <c r="I11999" s="21" t="n">
        <v>0</v>
      </c>
      <c r="J11999" s="21">
        <f>-$B$10476</f>
        <v/>
      </c>
      <c r="K11999" s="21">
        <f>-$B$10477</f>
        <v/>
      </c>
      <c r="L11999" s="21">
        <f>2*$B$10476+$D$11983</f>
        <v/>
      </c>
      <c r="M11999" s="21">
        <f>0</f>
        <v/>
      </c>
      <c r="N11999" s="21">
        <f>-$B$10476</f>
        <v/>
      </c>
      <c r="O11999" s="21">
        <f>$B$10477</f>
        <v/>
      </c>
      <c r="P11999" s="21" t="n">
        <v>0</v>
      </c>
      <c r="Q11999" s="21" t="n">
        <v>0</v>
      </c>
      <c r="R11999" s="21" t="n">
        <v>0</v>
      </c>
      <c r="S11999" s="21" t="n">
        <v>0</v>
      </c>
      <c r="T11999" s="21" t="n">
        <v>0</v>
      </c>
      <c r="U11999" s="21" t="n">
        <v>0</v>
      </c>
      <c r="V11999" s="21" t="n">
        <v>0</v>
      </c>
      <c r="W11999" s="21" t="n">
        <v>0</v>
      </c>
      <c r="X11999" s="21" t="n">
        <v>0</v>
      </c>
      <c r="Y11999" s="21" t="n">
        <v>0</v>
      </c>
      <c r="Z11999" s="19" t="n"/>
    </row>
    <row r="12000">
      <c r="D12000" s="21" t="n">
        <v>0</v>
      </c>
      <c r="E12000" s="21" t="n">
        <v>0</v>
      </c>
      <c r="F12000" s="21" t="n">
        <v>0</v>
      </c>
      <c r="G12000" s="21" t="n">
        <v>0</v>
      </c>
      <c r="H12000" s="21" t="n">
        <v>0</v>
      </c>
      <c r="I12000" s="21" t="n">
        <v>0</v>
      </c>
      <c r="J12000" s="21">
        <f>$B$10477</f>
        <v/>
      </c>
      <c r="K12000" s="21">
        <f>$B$10479</f>
        <v/>
      </c>
      <c r="L12000" s="21">
        <f>0</f>
        <v/>
      </c>
      <c r="M12000" s="21">
        <f>2*$B$10478</f>
        <v/>
      </c>
      <c r="N12000" s="21">
        <f>-$B$10477</f>
        <v/>
      </c>
      <c r="O12000" s="21">
        <f>$B$10479</f>
        <v/>
      </c>
      <c r="P12000" s="21" t="n">
        <v>0</v>
      </c>
      <c r="Q12000" s="21" t="n">
        <v>0</v>
      </c>
      <c r="R12000" s="21" t="n">
        <v>0</v>
      </c>
      <c r="S12000" s="21" t="n">
        <v>0</v>
      </c>
      <c r="T12000" s="21" t="n">
        <v>0</v>
      </c>
      <c r="U12000" s="21" t="n">
        <v>0</v>
      </c>
      <c r="V12000" s="21" t="n">
        <v>0</v>
      </c>
      <c r="W12000" s="21" t="n">
        <v>0</v>
      </c>
      <c r="X12000" s="21" t="n">
        <v>0</v>
      </c>
      <c r="Y12000" s="21" t="n">
        <v>0</v>
      </c>
      <c r="Z12000" s="19" t="n"/>
    </row>
    <row r="12001">
      <c r="D12001" s="21" t="n">
        <v>0</v>
      </c>
      <c r="E12001" s="21" t="n">
        <v>0</v>
      </c>
      <c r="F12001" s="21" t="n">
        <v>0</v>
      </c>
      <c r="G12001" s="21" t="n">
        <v>0</v>
      </c>
      <c r="H12001" s="21" t="n">
        <v>0</v>
      </c>
      <c r="I12001" s="21" t="n">
        <v>0</v>
      </c>
      <c r="J12001" s="21" t="n">
        <v>0</v>
      </c>
      <c r="K12001" s="21" t="n">
        <v>0</v>
      </c>
      <c r="L12001" s="21">
        <f>-$B$10476</f>
        <v/>
      </c>
      <c r="M12001" s="21">
        <f>-$B$10477</f>
        <v/>
      </c>
      <c r="N12001" s="21">
        <f>2*$B$10476+$D$11984</f>
        <v/>
      </c>
      <c r="O12001" s="21">
        <f>0</f>
        <v/>
      </c>
      <c r="P12001" s="21">
        <f>-$B$10476</f>
        <v/>
      </c>
      <c r="Q12001" s="21">
        <f>$B$10477</f>
        <v/>
      </c>
      <c r="R12001" s="21" t="n">
        <v>0</v>
      </c>
      <c r="S12001" s="21" t="n">
        <v>0</v>
      </c>
      <c r="T12001" s="21" t="n">
        <v>0</v>
      </c>
      <c r="U12001" s="21" t="n">
        <v>0</v>
      </c>
      <c r="V12001" s="21" t="n">
        <v>0</v>
      </c>
      <c r="W12001" s="21" t="n">
        <v>0</v>
      </c>
      <c r="X12001" s="21" t="n">
        <v>0</v>
      </c>
      <c r="Y12001" s="21" t="n">
        <v>0</v>
      </c>
      <c r="Z12001" s="19" t="n"/>
    </row>
    <row r="12002">
      <c r="D12002" s="21" t="n">
        <v>0</v>
      </c>
      <c r="E12002" s="21" t="n">
        <v>0</v>
      </c>
      <c r="F12002" s="21" t="n">
        <v>0</v>
      </c>
      <c r="G12002" s="21" t="n">
        <v>0</v>
      </c>
      <c r="H12002" s="21" t="n">
        <v>0</v>
      </c>
      <c r="I12002" s="21" t="n">
        <v>0</v>
      </c>
      <c r="J12002" s="21" t="n">
        <v>0</v>
      </c>
      <c r="K12002" s="21" t="n">
        <v>0</v>
      </c>
      <c r="L12002" s="21">
        <f>$B$10477</f>
        <v/>
      </c>
      <c r="M12002" s="21">
        <f>$B$10479</f>
        <v/>
      </c>
      <c r="N12002" s="21">
        <f>0</f>
        <v/>
      </c>
      <c r="O12002" s="21">
        <f>2*$B$10478</f>
        <v/>
      </c>
      <c r="P12002" s="21">
        <f>-$B$10477</f>
        <v/>
      </c>
      <c r="Q12002" s="21">
        <f>$B$10479</f>
        <v/>
      </c>
      <c r="R12002" s="21" t="n">
        <v>0</v>
      </c>
      <c r="S12002" s="21" t="n">
        <v>0</v>
      </c>
      <c r="T12002" s="21" t="n">
        <v>0</v>
      </c>
      <c r="U12002" s="21" t="n">
        <v>0</v>
      </c>
      <c r="V12002" s="21" t="n">
        <v>0</v>
      </c>
      <c r="W12002" s="21" t="n">
        <v>0</v>
      </c>
      <c r="X12002" s="21" t="n">
        <v>0</v>
      </c>
      <c r="Y12002" s="21" t="n">
        <v>0</v>
      </c>
      <c r="Z12002" s="19" t="n"/>
    </row>
    <row r="12003">
      <c r="D12003" s="21" t="n">
        <v>0</v>
      </c>
      <c r="E12003" s="21" t="n">
        <v>0</v>
      </c>
      <c r="F12003" s="21" t="n">
        <v>0</v>
      </c>
      <c r="G12003" s="21" t="n">
        <v>0</v>
      </c>
      <c r="H12003" s="21" t="n">
        <v>0</v>
      </c>
      <c r="I12003" s="21" t="n">
        <v>0</v>
      </c>
      <c r="J12003" s="21" t="n">
        <v>0</v>
      </c>
      <c r="K12003" s="21" t="n">
        <v>0</v>
      </c>
      <c r="L12003" s="21" t="n">
        <v>0</v>
      </c>
      <c r="M12003" s="21" t="n">
        <v>0</v>
      </c>
      <c r="N12003" s="21">
        <f>-$B$10476</f>
        <v/>
      </c>
      <c r="O12003" s="21">
        <f>-$B$10477</f>
        <v/>
      </c>
      <c r="P12003" s="21">
        <f>2*$B$10476+$D$11985</f>
        <v/>
      </c>
      <c r="Q12003" s="21">
        <f>0</f>
        <v/>
      </c>
      <c r="R12003" s="21">
        <f>-$B$10476</f>
        <v/>
      </c>
      <c r="S12003" s="21">
        <f>$B$10477</f>
        <v/>
      </c>
      <c r="T12003" s="21" t="n">
        <v>0</v>
      </c>
      <c r="U12003" s="21" t="n">
        <v>0</v>
      </c>
      <c r="V12003" s="21" t="n">
        <v>0</v>
      </c>
      <c r="W12003" s="21" t="n">
        <v>0</v>
      </c>
      <c r="X12003" s="21" t="n">
        <v>0</v>
      </c>
      <c r="Y12003" s="21" t="n">
        <v>0</v>
      </c>
      <c r="Z12003" s="19" t="n"/>
    </row>
    <row r="12004">
      <c r="D12004" s="21" t="n">
        <v>0</v>
      </c>
      <c r="E12004" s="21" t="n">
        <v>0</v>
      </c>
      <c r="F12004" s="21" t="n">
        <v>0</v>
      </c>
      <c r="G12004" s="21" t="n">
        <v>0</v>
      </c>
      <c r="H12004" s="21" t="n">
        <v>0</v>
      </c>
      <c r="I12004" s="21" t="n">
        <v>0</v>
      </c>
      <c r="J12004" s="21" t="n">
        <v>0</v>
      </c>
      <c r="K12004" s="21" t="n">
        <v>0</v>
      </c>
      <c r="L12004" s="21" t="n">
        <v>0</v>
      </c>
      <c r="M12004" s="21" t="n">
        <v>0</v>
      </c>
      <c r="N12004" s="21">
        <f>$B$10477</f>
        <v/>
      </c>
      <c r="O12004" s="21">
        <f>$B$10479</f>
        <v/>
      </c>
      <c r="P12004" s="21">
        <f>0</f>
        <v/>
      </c>
      <c r="Q12004" s="21">
        <f>2*$B$10478</f>
        <v/>
      </c>
      <c r="R12004" s="21">
        <f>-$B$10477</f>
        <v/>
      </c>
      <c r="S12004" s="21">
        <f>$B$10479</f>
        <v/>
      </c>
      <c r="T12004" s="21" t="n">
        <v>0</v>
      </c>
      <c r="U12004" s="21" t="n">
        <v>0</v>
      </c>
      <c r="V12004" s="21" t="n">
        <v>0</v>
      </c>
      <c r="W12004" s="21" t="n">
        <v>0</v>
      </c>
      <c r="X12004" s="21" t="n">
        <v>0</v>
      </c>
      <c r="Y12004" s="21" t="n">
        <v>0</v>
      </c>
      <c r="Z12004" s="19" t="n"/>
    </row>
    <row r="12005">
      <c r="D12005" s="21" t="n">
        <v>0</v>
      </c>
      <c r="E12005" s="21" t="n">
        <v>0</v>
      </c>
      <c r="F12005" s="21" t="n">
        <v>0</v>
      </c>
      <c r="G12005" s="21" t="n">
        <v>0</v>
      </c>
      <c r="H12005" s="21" t="n">
        <v>0</v>
      </c>
      <c r="I12005" s="21" t="n">
        <v>0</v>
      </c>
      <c r="J12005" s="21" t="n">
        <v>0</v>
      </c>
      <c r="K12005" s="21" t="n">
        <v>0</v>
      </c>
      <c r="L12005" s="21" t="n">
        <v>0</v>
      </c>
      <c r="M12005" s="21" t="n">
        <v>0</v>
      </c>
      <c r="N12005" s="21" t="n">
        <v>0</v>
      </c>
      <c r="O12005" s="21" t="n">
        <v>0</v>
      </c>
      <c r="P12005" s="21">
        <f>-$B$10476</f>
        <v/>
      </c>
      <c r="Q12005" s="21">
        <f>-$B$10477</f>
        <v/>
      </c>
      <c r="R12005" s="21">
        <f>2*$B$10476+$D$11986</f>
        <v/>
      </c>
      <c r="S12005" s="21">
        <f>0</f>
        <v/>
      </c>
      <c r="T12005" s="21">
        <f>-$B$10476</f>
        <v/>
      </c>
      <c r="U12005" s="21">
        <f>$B$10477</f>
        <v/>
      </c>
      <c r="V12005" s="21" t="n">
        <v>0</v>
      </c>
      <c r="W12005" s="21" t="n">
        <v>0</v>
      </c>
      <c r="X12005" s="21" t="n">
        <v>0</v>
      </c>
      <c r="Y12005" s="21" t="n">
        <v>0</v>
      </c>
      <c r="Z12005" s="19" t="n"/>
    </row>
    <row r="12006">
      <c r="D12006" s="21" t="n">
        <v>0</v>
      </c>
      <c r="E12006" s="21" t="n">
        <v>0</v>
      </c>
      <c r="F12006" s="21" t="n">
        <v>0</v>
      </c>
      <c r="G12006" s="21" t="n">
        <v>0</v>
      </c>
      <c r="H12006" s="21" t="n">
        <v>0</v>
      </c>
      <c r="I12006" s="21" t="n">
        <v>0</v>
      </c>
      <c r="J12006" s="21" t="n">
        <v>0</v>
      </c>
      <c r="K12006" s="21" t="n">
        <v>0</v>
      </c>
      <c r="L12006" s="21" t="n">
        <v>0</v>
      </c>
      <c r="M12006" s="21" t="n">
        <v>0</v>
      </c>
      <c r="N12006" s="21" t="n">
        <v>0</v>
      </c>
      <c r="O12006" s="21" t="n">
        <v>0</v>
      </c>
      <c r="P12006" s="21">
        <f>$B$10477</f>
        <v/>
      </c>
      <c r="Q12006" s="21">
        <f>$B$10479</f>
        <v/>
      </c>
      <c r="R12006" s="21">
        <f>0</f>
        <v/>
      </c>
      <c r="S12006" s="21">
        <f>2*$B$10478</f>
        <v/>
      </c>
      <c r="T12006" s="21">
        <f>-$B$10477</f>
        <v/>
      </c>
      <c r="U12006" s="21">
        <f>$B$10479</f>
        <v/>
      </c>
      <c r="V12006" s="21" t="n">
        <v>0</v>
      </c>
      <c r="W12006" s="21" t="n">
        <v>0</v>
      </c>
      <c r="X12006" s="21" t="n">
        <v>0</v>
      </c>
      <c r="Y12006" s="21" t="n">
        <v>0</v>
      </c>
      <c r="Z12006" s="19" t="n"/>
    </row>
    <row r="12007">
      <c r="D12007" s="21" t="n">
        <v>0</v>
      </c>
      <c r="E12007" s="21" t="n">
        <v>0</v>
      </c>
      <c r="F12007" s="21" t="n">
        <v>0</v>
      </c>
      <c r="G12007" s="21" t="n">
        <v>0</v>
      </c>
      <c r="H12007" s="21" t="n">
        <v>0</v>
      </c>
      <c r="I12007" s="21" t="n">
        <v>0</v>
      </c>
      <c r="J12007" s="21" t="n">
        <v>0</v>
      </c>
      <c r="K12007" s="21" t="n">
        <v>0</v>
      </c>
      <c r="L12007" s="21" t="n">
        <v>0</v>
      </c>
      <c r="M12007" s="21" t="n">
        <v>0</v>
      </c>
      <c r="N12007" s="21" t="n">
        <v>0</v>
      </c>
      <c r="O12007" s="21" t="n">
        <v>0</v>
      </c>
      <c r="P12007" s="21" t="n">
        <v>0</v>
      </c>
      <c r="Q12007" s="21" t="n">
        <v>0</v>
      </c>
      <c r="R12007" s="21">
        <f>-$B$10476</f>
        <v/>
      </c>
      <c r="S12007" s="21">
        <f>-$B$10477</f>
        <v/>
      </c>
      <c r="T12007" s="21">
        <f>2*$B$10476+$D$11987</f>
        <v/>
      </c>
      <c r="U12007" s="21">
        <f>0</f>
        <v/>
      </c>
      <c r="V12007" s="21">
        <f>-$B$10476</f>
        <v/>
      </c>
      <c r="W12007" s="21">
        <f>$B$10477</f>
        <v/>
      </c>
      <c r="X12007" s="21" t="n">
        <v>0</v>
      </c>
      <c r="Y12007" s="21" t="n">
        <v>0</v>
      </c>
      <c r="Z12007" s="19" t="n"/>
    </row>
    <row r="12008">
      <c r="D12008" s="21" t="n">
        <v>0</v>
      </c>
      <c r="E12008" s="21" t="n">
        <v>0</v>
      </c>
      <c r="F12008" s="21" t="n">
        <v>0</v>
      </c>
      <c r="G12008" s="21" t="n">
        <v>0</v>
      </c>
      <c r="H12008" s="21" t="n">
        <v>0</v>
      </c>
      <c r="I12008" s="21" t="n">
        <v>0</v>
      </c>
      <c r="J12008" s="21" t="n">
        <v>0</v>
      </c>
      <c r="K12008" s="21" t="n">
        <v>0</v>
      </c>
      <c r="L12008" s="21" t="n">
        <v>0</v>
      </c>
      <c r="M12008" s="21" t="n">
        <v>0</v>
      </c>
      <c r="N12008" s="21" t="n">
        <v>0</v>
      </c>
      <c r="O12008" s="21" t="n">
        <v>0</v>
      </c>
      <c r="P12008" s="21" t="n">
        <v>0</v>
      </c>
      <c r="Q12008" s="21" t="n">
        <v>0</v>
      </c>
      <c r="R12008" s="21">
        <f>$B$10477</f>
        <v/>
      </c>
      <c r="S12008" s="21">
        <f>$B$10479</f>
        <v/>
      </c>
      <c r="T12008" s="21">
        <f>0</f>
        <v/>
      </c>
      <c r="U12008" s="21">
        <f>2*$B$10478</f>
        <v/>
      </c>
      <c r="V12008" s="21">
        <f>-$B$10477</f>
        <v/>
      </c>
      <c r="W12008" s="21">
        <f>$B$10479</f>
        <v/>
      </c>
      <c r="X12008" s="21" t="n">
        <v>0</v>
      </c>
      <c r="Y12008" s="21" t="n">
        <v>0</v>
      </c>
      <c r="Z12008" s="19" t="n"/>
    </row>
    <row r="12009">
      <c r="D12009" s="21" t="n">
        <v>0</v>
      </c>
      <c r="E12009" s="21" t="n">
        <v>0</v>
      </c>
      <c r="F12009" s="21" t="n">
        <v>0</v>
      </c>
      <c r="G12009" s="21" t="n">
        <v>0</v>
      </c>
      <c r="H12009" s="21" t="n">
        <v>0</v>
      </c>
      <c r="I12009" s="21" t="n">
        <v>0</v>
      </c>
      <c r="J12009" s="21" t="n">
        <v>0</v>
      </c>
      <c r="K12009" s="21" t="n">
        <v>0</v>
      </c>
      <c r="L12009" s="21" t="n">
        <v>0</v>
      </c>
      <c r="M12009" s="21" t="n">
        <v>0</v>
      </c>
      <c r="N12009" s="21" t="n">
        <v>0</v>
      </c>
      <c r="O12009" s="21" t="n">
        <v>0</v>
      </c>
      <c r="P12009" s="21" t="n">
        <v>0</v>
      </c>
      <c r="Q12009" s="21" t="n">
        <v>0</v>
      </c>
      <c r="R12009" s="21" t="n">
        <v>0</v>
      </c>
      <c r="S12009" s="21" t="n">
        <v>0</v>
      </c>
      <c r="T12009" s="21">
        <f>-$B$10476</f>
        <v/>
      </c>
      <c r="U12009" s="21">
        <f>-$B$10477</f>
        <v/>
      </c>
      <c r="V12009" s="21">
        <f>2*$B$10476+$D$11988</f>
        <v/>
      </c>
      <c r="W12009" s="21">
        <f>0</f>
        <v/>
      </c>
      <c r="X12009" s="21">
        <f>-$B$10476</f>
        <v/>
      </c>
      <c r="Y12009" s="21">
        <f>$B$10477</f>
        <v/>
      </c>
      <c r="Z12009" s="19" t="n"/>
    </row>
    <row r="12010">
      <c r="D12010" s="21" t="n">
        <v>0</v>
      </c>
      <c r="E12010" s="21" t="n">
        <v>0</v>
      </c>
      <c r="F12010" s="21" t="n">
        <v>0</v>
      </c>
      <c r="G12010" s="21" t="n">
        <v>0</v>
      </c>
      <c r="H12010" s="21" t="n">
        <v>0</v>
      </c>
      <c r="I12010" s="21" t="n">
        <v>0</v>
      </c>
      <c r="J12010" s="21" t="n">
        <v>0</v>
      </c>
      <c r="K12010" s="21" t="n">
        <v>0</v>
      </c>
      <c r="L12010" s="21" t="n">
        <v>0</v>
      </c>
      <c r="M12010" s="21" t="n">
        <v>0</v>
      </c>
      <c r="N12010" s="21" t="n">
        <v>0</v>
      </c>
      <c r="O12010" s="21" t="n">
        <v>0</v>
      </c>
      <c r="P12010" s="21" t="n">
        <v>0</v>
      </c>
      <c r="Q12010" s="21" t="n">
        <v>0</v>
      </c>
      <c r="R12010" s="21" t="n">
        <v>0</v>
      </c>
      <c r="S12010" s="21" t="n">
        <v>0</v>
      </c>
      <c r="T12010" s="21">
        <f>$B$10477</f>
        <v/>
      </c>
      <c r="U12010" s="21">
        <f>$B$10479</f>
        <v/>
      </c>
      <c r="V12010" s="21">
        <f>0</f>
        <v/>
      </c>
      <c r="W12010" s="21">
        <f>2*$B$10478</f>
        <v/>
      </c>
      <c r="X12010" s="21">
        <f>-$B$10477</f>
        <v/>
      </c>
      <c r="Y12010" s="21">
        <f>$B$10479</f>
        <v/>
      </c>
      <c r="Z12010" s="19" t="n"/>
    </row>
    <row r="12011">
      <c r="D12011" s="21" t="n">
        <v>0</v>
      </c>
      <c r="E12011" s="21" t="n">
        <v>0</v>
      </c>
      <c r="F12011" s="21" t="n">
        <v>0</v>
      </c>
      <c r="G12011" s="21" t="n">
        <v>0</v>
      </c>
      <c r="H12011" s="21" t="n">
        <v>0</v>
      </c>
      <c r="I12011" s="21" t="n">
        <v>0</v>
      </c>
      <c r="J12011" s="21" t="n">
        <v>0</v>
      </c>
      <c r="K12011" s="21" t="n">
        <v>0</v>
      </c>
      <c r="L12011" s="21" t="n">
        <v>0</v>
      </c>
      <c r="M12011" s="21" t="n">
        <v>0</v>
      </c>
      <c r="N12011" s="21" t="n">
        <v>0</v>
      </c>
      <c r="O12011" s="21" t="n">
        <v>0</v>
      </c>
      <c r="P12011" s="21" t="n">
        <v>0</v>
      </c>
      <c r="Q12011" s="21" t="n">
        <v>0</v>
      </c>
      <c r="R12011" s="21" t="n">
        <v>0</v>
      </c>
      <c r="S12011" s="21" t="n">
        <v>0</v>
      </c>
      <c r="T12011" s="21" t="n">
        <v>0</v>
      </c>
      <c r="U12011" s="21" t="n">
        <v>0</v>
      </c>
      <c r="V12011" s="21">
        <f>-$B$10476</f>
        <v/>
      </c>
      <c r="W12011" s="21">
        <f>-$B$10477</f>
        <v/>
      </c>
      <c r="X12011" s="21">
        <f>$B$10476+$D$11989</f>
        <v/>
      </c>
      <c r="Y12011" s="21">
        <f>-$B$10477</f>
        <v/>
      </c>
      <c r="Z12011" s="19" t="n"/>
    </row>
    <row r="12012">
      <c r="D12012" s="21" t="n">
        <v>0</v>
      </c>
      <c r="E12012" s="21" t="n">
        <v>0</v>
      </c>
      <c r="F12012" s="21" t="n">
        <v>0</v>
      </c>
      <c r="G12012" s="21" t="n">
        <v>0</v>
      </c>
      <c r="H12012" s="21" t="n">
        <v>0</v>
      </c>
      <c r="I12012" s="21" t="n">
        <v>0</v>
      </c>
      <c r="J12012" s="21" t="n">
        <v>0</v>
      </c>
      <c r="K12012" s="21" t="n">
        <v>0</v>
      </c>
      <c r="L12012" s="21" t="n">
        <v>0</v>
      </c>
      <c r="M12012" s="21" t="n">
        <v>0</v>
      </c>
      <c r="N12012" s="21" t="n">
        <v>0</v>
      </c>
      <c r="O12012" s="21" t="n">
        <v>0</v>
      </c>
      <c r="P12012" s="21" t="n">
        <v>0</v>
      </c>
      <c r="Q12012" s="21" t="n">
        <v>0</v>
      </c>
      <c r="R12012" s="21" t="n">
        <v>0</v>
      </c>
      <c r="S12012" s="21" t="n">
        <v>0</v>
      </c>
      <c r="T12012" s="21" t="n">
        <v>0</v>
      </c>
      <c r="U12012" s="21" t="n">
        <v>0</v>
      </c>
      <c r="V12012" s="21">
        <f>$B$10477</f>
        <v/>
      </c>
      <c r="W12012" s="21">
        <f>$B$10479</f>
        <v/>
      </c>
      <c r="X12012" s="21">
        <f>-$B$10477</f>
        <v/>
      </c>
      <c r="Y12012" s="21">
        <f>$B$10478</f>
        <v/>
      </c>
      <c r="Z12012" s="19" t="n"/>
    </row>
    <row r="12014">
      <c r="A12014" s="8" t="inlineStr">
        <is>
          <t>gen 42</t>
        </is>
      </c>
    </row>
    <row r="12015">
      <c r="D12015" s="19">
        <f>IF(ABS(IF(ABS($E$11979)&gt;0.000000001,$E$11979,0.000000001))=0,0,IF($E$10491&lt;=$B$10485,0,IF(ABS(IF(ABS($E$11979)&gt;0.000000001,$E$11979,0.000000001))&gt;=8*$B$10487,$H$10491,0.5*$H$10491*(ABS(IF(ABS($E$11979)&gt;0.000000001,$E$11979,0.000000001))/$B$10487)^(1/3)))/ABS(IF(ABS($E$11979)&gt;0.000000001,$E$11979,0.000000001))*$I$10491)</f>
        <v/>
      </c>
      <c r="E12015" s="19">
        <f>0.5*$E$11979+0.5*$Z$12027</f>
        <v/>
      </c>
      <c r="F12015" s="19">
        <f>$Z$12028</f>
        <v/>
      </c>
    </row>
    <row r="12016">
      <c r="D12016" s="19">
        <f>IF(ABS(IF(ABS($E$11980)&gt;0.000000001,$E$11980,0.000000001))=0,0,IF($E$10492&lt;=$B$10485,0,IF(ABS(IF(ABS($E$11980)&gt;0.000000001,$E$11980,0.000000001))&gt;=8*$B$10487,$H$10492,0.5*$H$10492*(ABS(IF(ABS($E$11980)&gt;0.000000001,$E$11980,0.000000001))/$B$10487)^(1/3)))/ABS(IF(ABS($E$11980)&gt;0.000000001,$E$11980,0.000000001))*$I$10492)</f>
        <v/>
      </c>
      <c r="E12016" s="19">
        <f>0.5*$E$11980+0.5*$Z$12029</f>
        <v/>
      </c>
      <c r="F12016" s="19">
        <f>$Z$12030</f>
        <v/>
      </c>
    </row>
    <row r="12017">
      <c r="D12017" s="19">
        <f>IF(ABS(IF(ABS($E$11981)&gt;0.000000001,$E$11981,0.000000001))=0,0,IF($E$10493&lt;=$B$10485,0,IF(ABS(IF(ABS($E$11981)&gt;0.000000001,$E$11981,0.000000001))&gt;=8*$B$10487,$H$10493,0.5*$H$10493*(ABS(IF(ABS($E$11981)&gt;0.000000001,$E$11981,0.000000001))/$B$10487)^(1/3)))/ABS(IF(ABS($E$11981)&gt;0.000000001,$E$11981,0.000000001))*$I$10493)</f>
        <v/>
      </c>
      <c r="E12017" s="19">
        <f>0.5*$E$11981+0.5*$Z$12031</f>
        <v/>
      </c>
      <c r="F12017" s="19">
        <f>$Z$12032</f>
        <v/>
      </c>
    </row>
    <row r="12018">
      <c r="D12018" s="19">
        <f>IF(ABS(IF(ABS($E$11982)&gt;0.000000001,$E$11982,0.000000001))=0,0,IF($E$10494&lt;=$B$10485,0,IF(ABS(IF(ABS($E$11982)&gt;0.000000001,$E$11982,0.000000001))&gt;=8*$B$10487,$H$10494,0.5*$H$10494*(ABS(IF(ABS($E$11982)&gt;0.000000001,$E$11982,0.000000001))/$B$10487)^(1/3)))/ABS(IF(ABS($E$11982)&gt;0.000000001,$E$11982,0.000000001))*$I$10494)</f>
        <v/>
      </c>
      <c r="E12018" s="19">
        <f>0.5*$E$11982+0.5*$Z$12033</f>
        <v/>
      </c>
      <c r="F12018" s="19">
        <f>$Z$12034</f>
        <v/>
      </c>
    </row>
    <row r="12019">
      <c r="D12019" s="19">
        <f>IF(ABS(IF(ABS($E$11983)&gt;0.000000001,$E$11983,0.000000001))=0,0,IF($E$10495&lt;=$B$10485,0,IF(ABS(IF(ABS($E$11983)&gt;0.000000001,$E$11983,0.000000001))&gt;=8*$B$10487,$H$10495,0.5*$H$10495*(ABS(IF(ABS($E$11983)&gt;0.000000001,$E$11983,0.000000001))/$B$10487)^(1/3)))/ABS(IF(ABS($E$11983)&gt;0.000000001,$E$11983,0.000000001))*$I$10495)</f>
        <v/>
      </c>
      <c r="E12019" s="19">
        <f>0.5*$E$11983+0.5*$Z$12035</f>
        <v/>
      </c>
      <c r="F12019" s="19">
        <f>$Z$12036</f>
        <v/>
      </c>
    </row>
    <row r="12020">
      <c r="D12020" s="19">
        <f>IF(ABS(IF(ABS($E$11984)&gt;0.000000001,$E$11984,0.000000001))=0,0,IF($E$10496&lt;=$B$10485,0,IF(ABS(IF(ABS($E$11984)&gt;0.000000001,$E$11984,0.000000001))&gt;=8*$B$10487,$H$10496,0.5*$H$10496*(ABS(IF(ABS($E$11984)&gt;0.000000001,$E$11984,0.000000001))/$B$10487)^(1/3)))/ABS(IF(ABS($E$11984)&gt;0.000000001,$E$11984,0.000000001))*$I$10496)</f>
        <v/>
      </c>
      <c r="E12020" s="19">
        <f>0.5*$E$11984+0.5*$Z$12037</f>
        <v/>
      </c>
      <c r="F12020" s="19">
        <f>$Z$12038</f>
        <v/>
      </c>
    </row>
    <row r="12021">
      <c r="D12021" s="19">
        <f>IF(ABS(IF(ABS($E$11985)&gt;0.000000001,$E$11985,0.000000001))=0,0,IF($E$10497&lt;=$B$10485,0,IF(ABS(IF(ABS($E$11985)&gt;0.000000001,$E$11985,0.000000001))&gt;=8*$B$10487,$H$10497,0.5*$H$10497*(ABS(IF(ABS($E$11985)&gt;0.000000001,$E$11985,0.000000001))/$B$10487)^(1/3)))/ABS(IF(ABS($E$11985)&gt;0.000000001,$E$11985,0.000000001))*$I$10497)</f>
        <v/>
      </c>
      <c r="E12021" s="19">
        <f>0.5*$E$11985+0.5*$Z$12039</f>
        <v/>
      </c>
      <c r="F12021" s="19">
        <f>$Z$12040</f>
        <v/>
      </c>
    </row>
    <row r="12022">
      <c r="D12022" s="19">
        <f>IF(ABS(IF(ABS($E$11986)&gt;0.000000001,$E$11986,0.000000001))=0,0,IF($E$10498&lt;=$B$10485,0,IF(ABS(IF(ABS($E$11986)&gt;0.000000001,$E$11986,0.000000001))&gt;=8*$B$10487,$H$10498,0.5*$H$10498*(ABS(IF(ABS($E$11986)&gt;0.000000001,$E$11986,0.000000001))/$B$10487)^(1/3)))/ABS(IF(ABS($E$11986)&gt;0.000000001,$E$11986,0.000000001))*$I$10498)</f>
        <v/>
      </c>
      <c r="E12022" s="19">
        <f>0.5*$E$11986+0.5*$Z$12041</f>
        <v/>
      </c>
      <c r="F12022" s="19">
        <f>$Z$12042</f>
        <v/>
      </c>
    </row>
    <row r="12023">
      <c r="D12023" s="19">
        <f>IF(ABS(IF(ABS($E$11987)&gt;0.000000001,$E$11987,0.000000001))=0,0,IF($E$10499&lt;=$B$10485,0,IF(ABS(IF(ABS($E$11987)&gt;0.000000001,$E$11987,0.000000001))&gt;=8*$B$10487,$H$10499,0.5*$H$10499*(ABS(IF(ABS($E$11987)&gt;0.000000001,$E$11987,0.000000001))/$B$10487)^(1/3)))/ABS(IF(ABS($E$11987)&gt;0.000000001,$E$11987,0.000000001))*$I$10499)</f>
        <v/>
      </c>
      <c r="E12023" s="19">
        <f>0.5*$E$11987+0.5*$Z$12043</f>
        <v/>
      </c>
      <c r="F12023" s="19">
        <f>$Z$12044</f>
        <v/>
      </c>
    </row>
    <row r="12024">
      <c r="D12024" s="19">
        <f>IF(ABS(IF(ABS($E$11988)&gt;0.000000001,$E$11988,0.000000001))=0,0,IF($E$10500&lt;=$B$10485,0,IF(ABS(IF(ABS($E$11988)&gt;0.000000001,$E$11988,0.000000001))&gt;=8*$B$10487,$H$10500,0.5*$H$10500*(ABS(IF(ABS($E$11988)&gt;0.000000001,$E$11988,0.000000001))/$B$10487)^(1/3)))/ABS(IF(ABS($E$11988)&gt;0.000000001,$E$11988,0.000000001))*$I$10500)</f>
        <v/>
      </c>
      <c r="E12024" s="19">
        <f>0.5*$E$11988+0.5*$Z$12045</f>
        <v/>
      </c>
      <c r="F12024" s="19">
        <f>$Z$12046</f>
        <v/>
      </c>
    </row>
    <row r="12025">
      <c r="D12025" s="19">
        <f>IF(ABS(IF(ABS($E$11989)&gt;0.000000001,$E$11989,0.000000001))=0,0,IF($E$10501&lt;=$B$10485,0,IF(ABS(IF(ABS($E$11989)&gt;0.000000001,$E$11989,0.000000001))&gt;=8*$B$10487,$H$10501,0.5*$H$10501*(ABS(IF(ABS($E$11989)&gt;0.000000001,$E$11989,0.000000001))/$B$10487)^(1/3)))/ABS(IF(ABS($E$11989)&gt;0.000000001,$E$11989,0.000000001))*$I$10501)</f>
        <v/>
      </c>
      <c r="E12025" s="19">
        <f>0.5*$E$11989+0.5*$Z$12047</f>
        <v/>
      </c>
      <c r="F12025" s="19">
        <f>$Z$12048</f>
        <v/>
      </c>
    </row>
    <row r="12027">
      <c r="D12027" s="21">
        <f>$B$10476+$D$12015</f>
        <v/>
      </c>
      <c r="E12027" s="21">
        <f>$B$10477</f>
        <v/>
      </c>
      <c r="F12027" s="21">
        <f>-$B$10476</f>
        <v/>
      </c>
      <c r="G12027" s="21">
        <f>$B$10477</f>
        <v/>
      </c>
      <c r="H12027" s="21" t="n">
        <v>0</v>
      </c>
      <c r="I12027" s="21" t="n">
        <v>0</v>
      </c>
      <c r="J12027" s="21" t="n">
        <v>0</v>
      </c>
      <c r="K12027" s="21" t="n">
        <v>0</v>
      </c>
      <c r="L12027" s="21" t="n">
        <v>0</v>
      </c>
      <c r="M12027" s="21" t="n">
        <v>0</v>
      </c>
      <c r="N12027" s="21" t="n">
        <v>0</v>
      </c>
      <c r="O12027" s="21" t="n">
        <v>0</v>
      </c>
      <c r="P12027" s="21" t="n">
        <v>0</v>
      </c>
      <c r="Q12027" s="21" t="n">
        <v>0</v>
      </c>
      <c r="R12027" s="21" t="n">
        <v>0</v>
      </c>
      <c r="S12027" s="21" t="n">
        <v>0</v>
      </c>
      <c r="T12027" s="21" t="n">
        <v>0</v>
      </c>
      <c r="U12027" s="21" t="n">
        <v>0</v>
      </c>
      <c r="V12027" s="21" t="n">
        <v>0</v>
      </c>
      <c r="W12027" s="21" t="n">
        <v>0</v>
      </c>
      <c r="X12027" s="21" t="n">
        <v>0</v>
      </c>
      <c r="Y12027" s="21" t="n">
        <v>0</v>
      </c>
      <c r="Z12027" s="19">
        <f t="array" ref="Z12027:Z12048">MMULT(MINVERSE($D$12027:$Y$12048),$D$10503:$D$10524)</f>
        <v/>
      </c>
    </row>
    <row r="12028">
      <c r="D12028" s="21">
        <f>$B$10477</f>
        <v/>
      </c>
      <c r="E12028" s="21">
        <f>$B$10478</f>
        <v/>
      </c>
      <c r="F12028" s="21">
        <f>-$B$10477</f>
        <v/>
      </c>
      <c r="G12028" s="21">
        <f>$B$10479</f>
        <v/>
      </c>
      <c r="H12028" s="21" t="n">
        <v>0</v>
      </c>
      <c r="I12028" s="21" t="n">
        <v>0</v>
      </c>
      <c r="J12028" s="21" t="n">
        <v>0</v>
      </c>
      <c r="K12028" s="21" t="n">
        <v>0</v>
      </c>
      <c r="L12028" s="21" t="n">
        <v>0</v>
      </c>
      <c r="M12028" s="21" t="n">
        <v>0</v>
      </c>
      <c r="N12028" s="21" t="n">
        <v>0</v>
      </c>
      <c r="O12028" s="21" t="n">
        <v>0</v>
      </c>
      <c r="P12028" s="21" t="n">
        <v>0</v>
      </c>
      <c r="Q12028" s="21" t="n">
        <v>0</v>
      </c>
      <c r="R12028" s="21" t="n">
        <v>0</v>
      </c>
      <c r="S12028" s="21" t="n">
        <v>0</v>
      </c>
      <c r="T12028" s="21" t="n">
        <v>0</v>
      </c>
      <c r="U12028" s="21" t="n">
        <v>0</v>
      </c>
      <c r="V12028" s="21" t="n">
        <v>0</v>
      </c>
      <c r="W12028" s="21" t="n">
        <v>0</v>
      </c>
      <c r="X12028" s="21" t="n">
        <v>0</v>
      </c>
      <c r="Y12028" s="21" t="n">
        <v>0</v>
      </c>
      <c r="Z12028" s="19" t="n"/>
    </row>
    <row r="12029">
      <c r="D12029" s="21">
        <f>-$B$10476</f>
        <v/>
      </c>
      <c r="E12029" s="21">
        <f>-$B$10477</f>
        <v/>
      </c>
      <c r="F12029" s="21">
        <f>2*$B$10476+$D$12016</f>
        <v/>
      </c>
      <c r="G12029" s="21">
        <f>0</f>
        <v/>
      </c>
      <c r="H12029" s="21">
        <f>-$B$10476</f>
        <v/>
      </c>
      <c r="I12029" s="21">
        <f>$B$10477</f>
        <v/>
      </c>
      <c r="J12029" s="21" t="n">
        <v>0</v>
      </c>
      <c r="K12029" s="21" t="n">
        <v>0</v>
      </c>
      <c r="L12029" s="21" t="n">
        <v>0</v>
      </c>
      <c r="M12029" s="21" t="n">
        <v>0</v>
      </c>
      <c r="N12029" s="21" t="n">
        <v>0</v>
      </c>
      <c r="O12029" s="21" t="n">
        <v>0</v>
      </c>
      <c r="P12029" s="21" t="n">
        <v>0</v>
      </c>
      <c r="Q12029" s="21" t="n">
        <v>0</v>
      </c>
      <c r="R12029" s="21" t="n">
        <v>0</v>
      </c>
      <c r="S12029" s="21" t="n">
        <v>0</v>
      </c>
      <c r="T12029" s="21" t="n">
        <v>0</v>
      </c>
      <c r="U12029" s="21" t="n">
        <v>0</v>
      </c>
      <c r="V12029" s="21" t="n">
        <v>0</v>
      </c>
      <c r="W12029" s="21" t="n">
        <v>0</v>
      </c>
      <c r="X12029" s="21" t="n">
        <v>0</v>
      </c>
      <c r="Y12029" s="21" t="n">
        <v>0</v>
      </c>
      <c r="Z12029" s="19" t="n"/>
    </row>
    <row r="12030">
      <c r="D12030" s="21">
        <f>$B$10477</f>
        <v/>
      </c>
      <c r="E12030" s="21">
        <f>$B$10479</f>
        <v/>
      </c>
      <c r="F12030" s="21">
        <f>0</f>
        <v/>
      </c>
      <c r="G12030" s="21">
        <f>2*$B$10478</f>
        <v/>
      </c>
      <c r="H12030" s="21">
        <f>-$B$10477</f>
        <v/>
      </c>
      <c r="I12030" s="21">
        <f>$B$10479</f>
        <v/>
      </c>
      <c r="J12030" s="21" t="n">
        <v>0</v>
      </c>
      <c r="K12030" s="21" t="n">
        <v>0</v>
      </c>
      <c r="L12030" s="21" t="n">
        <v>0</v>
      </c>
      <c r="M12030" s="21" t="n">
        <v>0</v>
      </c>
      <c r="N12030" s="21" t="n">
        <v>0</v>
      </c>
      <c r="O12030" s="21" t="n">
        <v>0</v>
      </c>
      <c r="P12030" s="21" t="n">
        <v>0</v>
      </c>
      <c r="Q12030" s="21" t="n">
        <v>0</v>
      </c>
      <c r="R12030" s="21" t="n">
        <v>0</v>
      </c>
      <c r="S12030" s="21" t="n">
        <v>0</v>
      </c>
      <c r="T12030" s="21" t="n">
        <v>0</v>
      </c>
      <c r="U12030" s="21" t="n">
        <v>0</v>
      </c>
      <c r="V12030" s="21" t="n">
        <v>0</v>
      </c>
      <c r="W12030" s="21" t="n">
        <v>0</v>
      </c>
      <c r="X12030" s="21" t="n">
        <v>0</v>
      </c>
      <c r="Y12030" s="21" t="n">
        <v>0</v>
      </c>
      <c r="Z12030" s="19" t="n"/>
    </row>
    <row r="12031">
      <c r="D12031" s="21" t="n">
        <v>0</v>
      </c>
      <c r="E12031" s="21" t="n">
        <v>0</v>
      </c>
      <c r="F12031" s="21">
        <f>-$B$10476</f>
        <v/>
      </c>
      <c r="G12031" s="21">
        <f>-$B$10477</f>
        <v/>
      </c>
      <c r="H12031" s="21">
        <f>2*$B$10476+$D$12017</f>
        <v/>
      </c>
      <c r="I12031" s="21">
        <f>0</f>
        <v/>
      </c>
      <c r="J12031" s="21">
        <f>-$B$10476</f>
        <v/>
      </c>
      <c r="K12031" s="21">
        <f>$B$10477</f>
        <v/>
      </c>
      <c r="L12031" s="21" t="n">
        <v>0</v>
      </c>
      <c r="M12031" s="21" t="n">
        <v>0</v>
      </c>
      <c r="N12031" s="21" t="n">
        <v>0</v>
      </c>
      <c r="O12031" s="21" t="n">
        <v>0</v>
      </c>
      <c r="P12031" s="21" t="n">
        <v>0</v>
      </c>
      <c r="Q12031" s="21" t="n">
        <v>0</v>
      </c>
      <c r="R12031" s="21" t="n">
        <v>0</v>
      </c>
      <c r="S12031" s="21" t="n">
        <v>0</v>
      </c>
      <c r="T12031" s="21" t="n">
        <v>0</v>
      </c>
      <c r="U12031" s="21" t="n">
        <v>0</v>
      </c>
      <c r="V12031" s="21" t="n">
        <v>0</v>
      </c>
      <c r="W12031" s="21" t="n">
        <v>0</v>
      </c>
      <c r="X12031" s="21" t="n">
        <v>0</v>
      </c>
      <c r="Y12031" s="21" t="n">
        <v>0</v>
      </c>
      <c r="Z12031" s="19" t="n"/>
    </row>
    <row r="12032">
      <c r="D12032" s="21" t="n">
        <v>0</v>
      </c>
      <c r="E12032" s="21" t="n">
        <v>0</v>
      </c>
      <c r="F12032" s="21">
        <f>$B$10477</f>
        <v/>
      </c>
      <c r="G12032" s="21">
        <f>$B$10479</f>
        <v/>
      </c>
      <c r="H12032" s="21">
        <f>0</f>
        <v/>
      </c>
      <c r="I12032" s="21">
        <f>2*$B$10478</f>
        <v/>
      </c>
      <c r="J12032" s="21">
        <f>-$B$10477</f>
        <v/>
      </c>
      <c r="K12032" s="21">
        <f>$B$10479</f>
        <v/>
      </c>
      <c r="L12032" s="21" t="n">
        <v>0</v>
      </c>
      <c r="M12032" s="21" t="n">
        <v>0</v>
      </c>
      <c r="N12032" s="21" t="n">
        <v>0</v>
      </c>
      <c r="O12032" s="21" t="n">
        <v>0</v>
      </c>
      <c r="P12032" s="21" t="n">
        <v>0</v>
      </c>
      <c r="Q12032" s="21" t="n">
        <v>0</v>
      </c>
      <c r="R12032" s="21" t="n">
        <v>0</v>
      </c>
      <c r="S12032" s="21" t="n">
        <v>0</v>
      </c>
      <c r="T12032" s="21" t="n">
        <v>0</v>
      </c>
      <c r="U12032" s="21" t="n">
        <v>0</v>
      </c>
      <c r="V12032" s="21" t="n">
        <v>0</v>
      </c>
      <c r="W12032" s="21" t="n">
        <v>0</v>
      </c>
      <c r="X12032" s="21" t="n">
        <v>0</v>
      </c>
      <c r="Y12032" s="21" t="n">
        <v>0</v>
      </c>
      <c r="Z12032" s="19" t="n"/>
    </row>
    <row r="12033">
      <c r="D12033" s="21" t="n">
        <v>0</v>
      </c>
      <c r="E12033" s="21" t="n">
        <v>0</v>
      </c>
      <c r="F12033" s="21" t="n">
        <v>0</v>
      </c>
      <c r="G12033" s="21" t="n">
        <v>0</v>
      </c>
      <c r="H12033" s="21">
        <f>-$B$10476</f>
        <v/>
      </c>
      <c r="I12033" s="21">
        <f>-$B$10477</f>
        <v/>
      </c>
      <c r="J12033" s="21">
        <f>2*$B$10476+$D$12018</f>
        <v/>
      </c>
      <c r="K12033" s="21">
        <f>0</f>
        <v/>
      </c>
      <c r="L12033" s="21">
        <f>-$B$10476</f>
        <v/>
      </c>
      <c r="M12033" s="21">
        <f>$B$10477</f>
        <v/>
      </c>
      <c r="N12033" s="21" t="n">
        <v>0</v>
      </c>
      <c r="O12033" s="21" t="n">
        <v>0</v>
      </c>
      <c r="P12033" s="21" t="n">
        <v>0</v>
      </c>
      <c r="Q12033" s="21" t="n">
        <v>0</v>
      </c>
      <c r="R12033" s="21" t="n">
        <v>0</v>
      </c>
      <c r="S12033" s="21" t="n">
        <v>0</v>
      </c>
      <c r="T12033" s="21" t="n">
        <v>0</v>
      </c>
      <c r="U12033" s="21" t="n">
        <v>0</v>
      </c>
      <c r="V12033" s="21" t="n">
        <v>0</v>
      </c>
      <c r="W12033" s="21" t="n">
        <v>0</v>
      </c>
      <c r="X12033" s="21" t="n">
        <v>0</v>
      </c>
      <c r="Y12033" s="21" t="n">
        <v>0</v>
      </c>
      <c r="Z12033" s="19" t="n"/>
    </row>
    <row r="12034">
      <c r="D12034" s="21" t="n">
        <v>0</v>
      </c>
      <c r="E12034" s="21" t="n">
        <v>0</v>
      </c>
      <c r="F12034" s="21" t="n">
        <v>0</v>
      </c>
      <c r="G12034" s="21" t="n">
        <v>0</v>
      </c>
      <c r="H12034" s="21">
        <f>$B$10477</f>
        <v/>
      </c>
      <c r="I12034" s="21">
        <f>$B$10479</f>
        <v/>
      </c>
      <c r="J12034" s="21">
        <f>0</f>
        <v/>
      </c>
      <c r="K12034" s="21">
        <f>2*$B$10478</f>
        <v/>
      </c>
      <c r="L12034" s="21">
        <f>-$B$10477</f>
        <v/>
      </c>
      <c r="M12034" s="21">
        <f>$B$10479</f>
        <v/>
      </c>
      <c r="N12034" s="21" t="n">
        <v>0</v>
      </c>
      <c r="O12034" s="21" t="n">
        <v>0</v>
      </c>
      <c r="P12034" s="21" t="n">
        <v>0</v>
      </c>
      <c r="Q12034" s="21" t="n">
        <v>0</v>
      </c>
      <c r="R12034" s="21" t="n">
        <v>0</v>
      </c>
      <c r="S12034" s="21" t="n">
        <v>0</v>
      </c>
      <c r="T12034" s="21" t="n">
        <v>0</v>
      </c>
      <c r="U12034" s="21" t="n">
        <v>0</v>
      </c>
      <c r="V12034" s="21" t="n">
        <v>0</v>
      </c>
      <c r="W12034" s="21" t="n">
        <v>0</v>
      </c>
      <c r="X12034" s="21" t="n">
        <v>0</v>
      </c>
      <c r="Y12034" s="21" t="n">
        <v>0</v>
      </c>
      <c r="Z12034" s="19" t="n"/>
    </row>
    <row r="12035">
      <c r="D12035" s="21" t="n">
        <v>0</v>
      </c>
      <c r="E12035" s="21" t="n">
        <v>0</v>
      </c>
      <c r="F12035" s="21" t="n">
        <v>0</v>
      </c>
      <c r="G12035" s="21" t="n">
        <v>0</v>
      </c>
      <c r="H12035" s="21" t="n">
        <v>0</v>
      </c>
      <c r="I12035" s="21" t="n">
        <v>0</v>
      </c>
      <c r="J12035" s="21">
        <f>-$B$10476</f>
        <v/>
      </c>
      <c r="K12035" s="21">
        <f>-$B$10477</f>
        <v/>
      </c>
      <c r="L12035" s="21">
        <f>2*$B$10476+$D$12019</f>
        <v/>
      </c>
      <c r="M12035" s="21">
        <f>0</f>
        <v/>
      </c>
      <c r="N12035" s="21">
        <f>-$B$10476</f>
        <v/>
      </c>
      <c r="O12035" s="21">
        <f>$B$10477</f>
        <v/>
      </c>
      <c r="P12035" s="21" t="n">
        <v>0</v>
      </c>
      <c r="Q12035" s="21" t="n">
        <v>0</v>
      </c>
      <c r="R12035" s="21" t="n">
        <v>0</v>
      </c>
      <c r="S12035" s="21" t="n">
        <v>0</v>
      </c>
      <c r="T12035" s="21" t="n">
        <v>0</v>
      </c>
      <c r="U12035" s="21" t="n">
        <v>0</v>
      </c>
      <c r="V12035" s="21" t="n">
        <v>0</v>
      </c>
      <c r="W12035" s="21" t="n">
        <v>0</v>
      </c>
      <c r="X12035" s="21" t="n">
        <v>0</v>
      </c>
      <c r="Y12035" s="21" t="n">
        <v>0</v>
      </c>
      <c r="Z12035" s="19" t="n"/>
    </row>
    <row r="12036">
      <c r="D12036" s="21" t="n">
        <v>0</v>
      </c>
      <c r="E12036" s="21" t="n">
        <v>0</v>
      </c>
      <c r="F12036" s="21" t="n">
        <v>0</v>
      </c>
      <c r="G12036" s="21" t="n">
        <v>0</v>
      </c>
      <c r="H12036" s="21" t="n">
        <v>0</v>
      </c>
      <c r="I12036" s="21" t="n">
        <v>0</v>
      </c>
      <c r="J12036" s="21">
        <f>$B$10477</f>
        <v/>
      </c>
      <c r="K12036" s="21">
        <f>$B$10479</f>
        <v/>
      </c>
      <c r="L12036" s="21">
        <f>0</f>
        <v/>
      </c>
      <c r="M12036" s="21">
        <f>2*$B$10478</f>
        <v/>
      </c>
      <c r="N12036" s="21">
        <f>-$B$10477</f>
        <v/>
      </c>
      <c r="O12036" s="21">
        <f>$B$10479</f>
        <v/>
      </c>
      <c r="P12036" s="21" t="n">
        <v>0</v>
      </c>
      <c r="Q12036" s="21" t="n">
        <v>0</v>
      </c>
      <c r="R12036" s="21" t="n">
        <v>0</v>
      </c>
      <c r="S12036" s="21" t="n">
        <v>0</v>
      </c>
      <c r="T12036" s="21" t="n">
        <v>0</v>
      </c>
      <c r="U12036" s="21" t="n">
        <v>0</v>
      </c>
      <c r="V12036" s="21" t="n">
        <v>0</v>
      </c>
      <c r="W12036" s="21" t="n">
        <v>0</v>
      </c>
      <c r="X12036" s="21" t="n">
        <v>0</v>
      </c>
      <c r="Y12036" s="21" t="n">
        <v>0</v>
      </c>
      <c r="Z12036" s="19" t="n"/>
    </row>
    <row r="12037">
      <c r="D12037" s="21" t="n">
        <v>0</v>
      </c>
      <c r="E12037" s="21" t="n">
        <v>0</v>
      </c>
      <c r="F12037" s="21" t="n">
        <v>0</v>
      </c>
      <c r="G12037" s="21" t="n">
        <v>0</v>
      </c>
      <c r="H12037" s="21" t="n">
        <v>0</v>
      </c>
      <c r="I12037" s="21" t="n">
        <v>0</v>
      </c>
      <c r="J12037" s="21" t="n">
        <v>0</v>
      </c>
      <c r="K12037" s="21" t="n">
        <v>0</v>
      </c>
      <c r="L12037" s="21">
        <f>-$B$10476</f>
        <v/>
      </c>
      <c r="M12037" s="21">
        <f>-$B$10477</f>
        <v/>
      </c>
      <c r="N12037" s="21">
        <f>2*$B$10476+$D$12020</f>
        <v/>
      </c>
      <c r="O12037" s="21">
        <f>0</f>
        <v/>
      </c>
      <c r="P12037" s="21">
        <f>-$B$10476</f>
        <v/>
      </c>
      <c r="Q12037" s="21">
        <f>$B$10477</f>
        <v/>
      </c>
      <c r="R12037" s="21" t="n">
        <v>0</v>
      </c>
      <c r="S12037" s="21" t="n">
        <v>0</v>
      </c>
      <c r="T12037" s="21" t="n">
        <v>0</v>
      </c>
      <c r="U12037" s="21" t="n">
        <v>0</v>
      </c>
      <c r="V12037" s="21" t="n">
        <v>0</v>
      </c>
      <c r="W12037" s="21" t="n">
        <v>0</v>
      </c>
      <c r="X12037" s="21" t="n">
        <v>0</v>
      </c>
      <c r="Y12037" s="21" t="n">
        <v>0</v>
      </c>
      <c r="Z12037" s="19" t="n"/>
    </row>
    <row r="12038">
      <c r="D12038" s="21" t="n">
        <v>0</v>
      </c>
      <c r="E12038" s="21" t="n">
        <v>0</v>
      </c>
      <c r="F12038" s="21" t="n">
        <v>0</v>
      </c>
      <c r="G12038" s="21" t="n">
        <v>0</v>
      </c>
      <c r="H12038" s="21" t="n">
        <v>0</v>
      </c>
      <c r="I12038" s="21" t="n">
        <v>0</v>
      </c>
      <c r="J12038" s="21" t="n">
        <v>0</v>
      </c>
      <c r="K12038" s="21" t="n">
        <v>0</v>
      </c>
      <c r="L12038" s="21">
        <f>$B$10477</f>
        <v/>
      </c>
      <c r="M12038" s="21">
        <f>$B$10479</f>
        <v/>
      </c>
      <c r="N12038" s="21">
        <f>0</f>
        <v/>
      </c>
      <c r="O12038" s="21">
        <f>2*$B$10478</f>
        <v/>
      </c>
      <c r="P12038" s="21">
        <f>-$B$10477</f>
        <v/>
      </c>
      <c r="Q12038" s="21">
        <f>$B$10479</f>
        <v/>
      </c>
      <c r="R12038" s="21" t="n">
        <v>0</v>
      </c>
      <c r="S12038" s="21" t="n">
        <v>0</v>
      </c>
      <c r="T12038" s="21" t="n">
        <v>0</v>
      </c>
      <c r="U12038" s="21" t="n">
        <v>0</v>
      </c>
      <c r="V12038" s="21" t="n">
        <v>0</v>
      </c>
      <c r="W12038" s="21" t="n">
        <v>0</v>
      </c>
      <c r="X12038" s="21" t="n">
        <v>0</v>
      </c>
      <c r="Y12038" s="21" t="n">
        <v>0</v>
      </c>
      <c r="Z12038" s="19" t="n"/>
    </row>
    <row r="12039">
      <c r="D12039" s="21" t="n">
        <v>0</v>
      </c>
      <c r="E12039" s="21" t="n">
        <v>0</v>
      </c>
      <c r="F12039" s="21" t="n">
        <v>0</v>
      </c>
      <c r="G12039" s="21" t="n">
        <v>0</v>
      </c>
      <c r="H12039" s="21" t="n">
        <v>0</v>
      </c>
      <c r="I12039" s="21" t="n">
        <v>0</v>
      </c>
      <c r="J12039" s="21" t="n">
        <v>0</v>
      </c>
      <c r="K12039" s="21" t="n">
        <v>0</v>
      </c>
      <c r="L12039" s="21" t="n">
        <v>0</v>
      </c>
      <c r="M12039" s="21" t="n">
        <v>0</v>
      </c>
      <c r="N12039" s="21">
        <f>-$B$10476</f>
        <v/>
      </c>
      <c r="O12039" s="21">
        <f>-$B$10477</f>
        <v/>
      </c>
      <c r="P12039" s="21">
        <f>2*$B$10476+$D$12021</f>
        <v/>
      </c>
      <c r="Q12039" s="21">
        <f>0</f>
        <v/>
      </c>
      <c r="R12039" s="21">
        <f>-$B$10476</f>
        <v/>
      </c>
      <c r="S12039" s="21">
        <f>$B$10477</f>
        <v/>
      </c>
      <c r="T12039" s="21" t="n">
        <v>0</v>
      </c>
      <c r="U12039" s="21" t="n">
        <v>0</v>
      </c>
      <c r="V12039" s="21" t="n">
        <v>0</v>
      </c>
      <c r="W12039" s="21" t="n">
        <v>0</v>
      </c>
      <c r="X12039" s="21" t="n">
        <v>0</v>
      </c>
      <c r="Y12039" s="21" t="n">
        <v>0</v>
      </c>
      <c r="Z12039" s="19" t="n"/>
    </row>
    <row r="12040">
      <c r="D12040" s="21" t="n">
        <v>0</v>
      </c>
      <c r="E12040" s="21" t="n">
        <v>0</v>
      </c>
      <c r="F12040" s="21" t="n">
        <v>0</v>
      </c>
      <c r="G12040" s="21" t="n">
        <v>0</v>
      </c>
      <c r="H12040" s="21" t="n">
        <v>0</v>
      </c>
      <c r="I12040" s="21" t="n">
        <v>0</v>
      </c>
      <c r="J12040" s="21" t="n">
        <v>0</v>
      </c>
      <c r="K12040" s="21" t="n">
        <v>0</v>
      </c>
      <c r="L12040" s="21" t="n">
        <v>0</v>
      </c>
      <c r="M12040" s="21" t="n">
        <v>0</v>
      </c>
      <c r="N12040" s="21">
        <f>$B$10477</f>
        <v/>
      </c>
      <c r="O12040" s="21">
        <f>$B$10479</f>
        <v/>
      </c>
      <c r="P12040" s="21">
        <f>0</f>
        <v/>
      </c>
      <c r="Q12040" s="21">
        <f>2*$B$10478</f>
        <v/>
      </c>
      <c r="R12040" s="21">
        <f>-$B$10477</f>
        <v/>
      </c>
      <c r="S12040" s="21">
        <f>$B$10479</f>
        <v/>
      </c>
      <c r="T12040" s="21" t="n">
        <v>0</v>
      </c>
      <c r="U12040" s="21" t="n">
        <v>0</v>
      </c>
      <c r="V12040" s="21" t="n">
        <v>0</v>
      </c>
      <c r="W12040" s="21" t="n">
        <v>0</v>
      </c>
      <c r="X12040" s="21" t="n">
        <v>0</v>
      </c>
      <c r="Y12040" s="21" t="n">
        <v>0</v>
      </c>
      <c r="Z12040" s="19" t="n"/>
    </row>
    <row r="12041">
      <c r="D12041" s="21" t="n">
        <v>0</v>
      </c>
      <c r="E12041" s="21" t="n">
        <v>0</v>
      </c>
      <c r="F12041" s="21" t="n">
        <v>0</v>
      </c>
      <c r="G12041" s="21" t="n">
        <v>0</v>
      </c>
      <c r="H12041" s="21" t="n">
        <v>0</v>
      </c>
      <c r="I12041" s="21" t="n">
        <v>0</v>
      </c>
      <c r="J12041" s="21" t="n">
        <v>0</v>
      </c>
      <c r="K12041" s="21" t="n">
        <v>0</v>
      </c>
      <c r="L12041" s="21" t="n">
        <v>0</v>
      </c>
      <c r="M12041" s="21" t="n">
        <v>0</v>
      </c>
      <c r="N12041" s="21" t="n">
        <v>0</v>
      </c>
      <c r="O12041" s="21" t="n">
        <v>0</v>
      </c>
      <c r="P12041" s="21">
        <f>-$B$10476</f>
        <v/>
      </c>
      <c r="Q12041" s="21">
        <f>-$B$10477</f>
        <v/>
      </c>
      <c r="R12041" s="21">
        <f>2*$B$10476+$D$12022</f>
        <v/>
      </c>
      <c r="S12041" s="21">
        <f>0</f>
        <v/>
      </c>
      <c r="T12041" s="21">
        <f>-$B$10476</f>
        <v/>
      </c>
      <c r="U12041" s="21">
        <f>$B$10477</f>
        <v/>
      </c>
      <c r="V12041" s="21" t="n">
        <v>0</v>
      </c>
      <c r="W12041" s="21" t="n">
        <v>0</v>
      </c>
      <c r="X12041" s="21" t="n">
        <v>0</v>
      </c>
      <c r="Y12041" s="21" t="n">
        <v>0</v>
      </c>
      <c r="Z12041" s="19" t="n"/>
    </row>
    <row r="12042">
      <c r="D12042" s="21" t="n">
        <v>0</v>
      </c>
      <c r="E12042" s="21" t="n">
        <v>0</v>
      </c>
      <c r="F12042" s="21" t="n">
        <v>0</v>
      </c>
      <c r="G12042" s="21" t="n">
        <v>0</v>
      </c>
      <c r="H12042" s="21" t="n">
        <v>0</v>
      </c>
      <c r="I12042" s="21" t="n">
        <v>0</v>
      </c>
      <c r="J12042" s="21" t="n">
        <v>0</v>
      </c>
      <c r="K12042" s="21" t="n">
        <v>0</v>
      </c>
      <c r="L12042" s="21" t="n">
        <v>0</v>
      </c>
      <c r="M12042" s="21" t="n">
        <v>0</v>
      </c>
      <c r="N12042" s="21" t="n">
        <v>0</v>
      </c>
      <c r="O12042" s="21" t="n">
        <v>0</v>
      </c>
      <c r="P12042" s="21">
        <f>$B$10477</f>
        <v/>
      </c>
      <c r="Q12042" s="21">
        <f>$B$10479</f>
        <v/>
      </c>
      <c r="R12042" s="21">
        <f>0</f>
        <v/>
      </c>
      <c r="S12042" s="21">
        <f>2*$B$10478</f>
        <v/>
      </c>
      <c r="T12042" s="21">
        <f>-$B$10477</f>
        <v/>
      </c>
      <c r="U12042" s="21">
        <f>$B$10479</f>
        <v/>
      </c>
      <c r="V12042" s="21" t="n">
        <v>0</v>
      </c>
      <c r="W12042" s="21" t="n">
        <v>0</v>
      </c>
      <c r="X12042" s="21" t="n">
        <v>0</v>
      </c>
      <c r="Y12042" s="21" t="n">
        <v>0</v>
      </c>
      <c r="Z12042" s="19" t="n"/>
    </row>
    <row r="12043">
      <c r="D12043" s="21" t="n">
        <v>0</v>
      </c>
      <c r="E12043" s="21" t="n">
        <v>0</v>
      </c>
      <c r="F12043" s="21" t="n">
        <v>0</v>
      </c>
      <c r="G12043" s="21" t="n">
        <v>0</v>
      </c>
      <c r="H12043" s="21" t="n">
        <v>0</v>
      </c>
      <c r="I12043" s="21" t="n">
        <v>0</v>
      </c>
      <c r="J12043" s="21" t="n">
        <v>0</v>
      </c>
      <c r="K12043" s="21" t="n">
        <v>0</v>
      </c>
      <c r="L12043" s="21" t="n">
        <v>0</v>
      </c>
      <c r="M12043" s="21" t="n">
        <v>0</v>
      </c>
      <c r="N12043" s="21" t="n">
        <v>0</v>
      </c>
      <c r="O12043" s="21" t="n">
        <v>0</v>
      </c>
      <c r="P12043" s="21" t="n">
        <v>0</v>
      </c>
      <c r="Q12043" s="21" t="n">
        <v>0</v>
      </c>
      <c r="R12043" s="21">
        <f>-$B$10476</f>
        <v/>
      </c>
      <c r="S12043" s="21">
        <f>-$B$10477</f>
        <v/>
      </c>
      <c r="T12043" s="21">
        <f>2*$B$10476+$D$12023</f>
        <v/>
      </c>
      <c r="U12043" s="21">
        <f>0</f>
        <v/>
      </c>
      <c r="V12043" s="21">
        <f>-$B$10476</f>
        <v/>
      </c>
      <c r="W12043" s="21">
        <f>$B$10477</f>
        <v/>
      </c>
      <c r="X12043" s="21" t="n">
        <v>0</v>
      </c>
      <c r="Y12043" s="21" t="n">
        <v>0</v>
      </c>
      <c r="Z12043" s="19" t="n"/>
    </row>
    <row r="12044">
      <c r="D12044" s="21" t="n">
        <v>0</v>
      </c>
      <c r="E12044" s="21" t="n">
        <v>0</v>
      </c>
      <c r="F12044" s="21" t="n">
        <v>0</v>
      </c>
      <c r="G12044" s="21" t="n">
        <v>0</v>
      </c>
      <c r="H12044" s="21" t="n">
        <v>0</v>
      </c>
      <c r="I12044" s="21" t="n">
        <v>0</v>
      </c>
      <c r="J12044" s="21" t="n">
        <v>0</v>
      </c>
      <c r="K12044" s="21" t="n">
        <v>0</v>
      </c>
      <c r="L12044" s="21" t="n">
        <v>0</v>
      </c>
      <c r="M12044" s="21" t="n">
        <v>0</v>
      </c>
      <c r="N12044" s="21" t="n">
        <v>0</v>
      </c>
      <c r="O12044" s="21" t="n">
        <v>0</v>
      </c>
      <c r="P12044" s="21" t="n">
        <v>0</v>
      </c>
      <c r="Q12044" s="21" t="n">
        <v>0</v>
      </c>
      <c r="R12044" s="21">
        <f>$B$10477</f>
        <v/>
      </c>
      <c r="S12044" s="21">
        <f>$B$10479</f>
        <v/>
      </c>
      <c r="T12044" s="21">
        <f>0</f>
        <v/>
      </c>
      <c r="U12044" s="21">
        <f>2*$B$10478</f>
        <v/>
      </c>
      <c r="V12044" s="21">
        <f>-$B$10477</f>
        <v/>
      </c>
      <c r="W12044" s="21">
        <f>$B$10479</f>
        <v/>
      </c>
      <c r="X12044" s="21" t="n">
        <v>0</v>
      </c>
      <c r="Y12044" s="21" t="n">
        <v>0</v>
      </c>
      <c r="Z12044" s="19" t="n"/>
    </row>
    <row r="12045">
      <c r="D12045" s="21" t="n">
        <v>0</v>
      </c>
      <c r="E12045" s="21" t="n">
        <v>0</v>
      </c>
      <c r="F12045" s="21" t="n">
        <v>0</v>
      </c>
      <c r="G12045" s="21" t="n">
        <v>0</v>
      </c>
      <c r="H12045" s="21" t="n">
        <v>0</v>
      </c>
      <c r="I12045" s="21" t="n">
        <v>0</v>
      </c>
      <c r="J12045" s="21" t="n">
        <v>0</v>
      </c>
      <c r="K12045" s="21" t="n">
        <v>0</v>
      </c>
      <c r="L12045" s="21" t="n">
        <v>0</v>
      </c>
      <c r="M12045" s="21" t="n">
        <v>0</v>
      </c>
      <c r="N12045" s="21" t="n">
        <v>0</v>
      </c>
      <c r="O12045" s="21" t="n">
        <v>0</v>
      </c>
      <c r="P12045" s="21" t="n">
        <v>0</v>
      </c>
      <c r="Q12045" s="21" t="n">
        <v>0</v>
      </c>
      <c r="R12045" s="21" t="n">
        <v>0</v>
      </c>
      <c r="S12045" s="21" t="n">
        <v>0</v>
      </c>
      <c r="T12045" s="21">
        <f>-$B$10476</f>
        <v/>
      </c>
      <c r="U12045" s="21">
        <f>-$B$10477</f>
        <v/>
      </c>
      <c r="V12045" s="21">
        <f>2*$B$10476+$D$12024</f>
        <v/>
      </c>
      <c r="W12045" s="21">
        <f>0</f>
        <v/>
      </c>
      <c r="X12045" s="21">
        <f>-$B$10476</f>
        <v/>
      </c>
      <c r="Y12045" s="21">
        <f>$B$10477</f>
        <v/>
      </c>
      <c r="Z12045" s="19" t="n"/>
    </row>
    <row r="12046">
      <c r="D12046" s="21" t="n">
        <v>0</v>
      </c>
      <c r="E12046" s="21" t="n">
        <v>0</v>
      </c>
      <c r="F12046" s="21" t="n">
        <v>0</v>
      </c>
      <c r="G12046" s="21" t="n">
        <v>0</v>
      </c>
      <c r="H12046" s="21" t="n">
        <v>0</v>
      </c>
      <c r="I12046" s="21" t="n">
        <v>0</v>
      </c>
      <c r="J12046" s="21" t="n">
        <v>0</v>
      </c>
      <c r="K12046" s="21" t="n">
        <v>0</v>
      </c>
      <c r="L12046" s="21" t="n">
        <v>0</v>
      </c>
      <c r="M12046" s="21" t="n">
        <v>0</v>
      </c>
      <c r="N12046" s="21" t="n">
        <v>0</v>
      </c>
      <c r="O12046" s="21" t="n">
        <v>0</v>
      </c>
      <c r="P12046" s="21" t="n">
        <v>0</v>
      </c>
      <c r="Q12046" s="21" t="n">
        <v>0</v>
      </c>
      <c r="R12046" s="21" t="n">
        <v>0</v>
      </c>
      <c r="S12046" s="21" t="n">
        <v>0</v>
      </c>
      <c r="T12046" s="21">
        <f>$B$10477</f>
        <v/>
      </c>
      <c r="U12046" s="21">
        <f>$B$10479</f>
        <v/>
      </c>
      <c r="V12046" s="21">
        <f>0</f>
        <v/>
      </c>
      <c r="W12046" s="21">
        <f>2*$B$10478</f>
        <v/>
      </c>
      <c r="X12046" s="21">
        <f>-$B$10477</f>
        <v/>
      </c>
      <c r="Y12046" s="21">
        <f>$B$10479</f>
        <v/>
      </c>
      <c r="Z12046" s="19" t="n"/>
    </row>
    <row r="12047">
      <c r="D12047" s="21" t="n">
        <v>0</v>
      </c>
      <c r="E12047" s="21" t="n">
        <v>0</v>
      </c>
      <c r="F12047" s="21" t="n">
        <v>0</v>
      </c>
      <c r="G12047" s="21" t="n">
        <v>0</v>
      </c>
      <c r="H12047" s="21" t="n">
        <v>0</v>
      </c>
      <c r="I12047" s="21" t="n">
        <v>0</v>
      </c>
      <c r="J12047" s="21" t="n">
        <v>0</v>
      </c>
      <c r="K12047" s="21" t="n">
        <v>0</v>
      </c>
      <c r="L12047" s="21" t="n">
        <v>0</v>
      </c>
      <c r="M12047" s="21" t="n">
        <v>0</v>
      </c>
      <c r="N12047" s="21" t="n">
        <v>0</v>
      </c>
      <c r="O12047" s="21" t="n">
        <v>0</v>
      </c>
      <c r="P12047" s="21" t="n">
        <v>0</v>
      </c>
      <c r="Q12047" s="21" t="n">
        <v>0</v>
      </c>
      <c r="R12047" s="21" t="n">
        <v>0</v>
      </c>
      <c r="S12047" s="21" t="n">
        <v>0</v>
      </c>
      <c r="T12047" s="21" t="n">
        <v>0</v>
      </c>
      <c r="U12047" s="21" t="n">
        <v>0</v>
      </c>
      <c r="V12047" s="21">
        <f>-$B$10476</f>
        <v/>
      </c>
      <c r="W12047" s="21">
        <f>-$B$10477</f>
        <v/>
      </c>
      <c r="X12047" s="21">
        <f>$B$10476+$D$12025</f>
        <v/>
      </c>
      <c r="Y12047" s="21">
        <f>-$B$10477</f>
        <v/>
      </c>
      <c r="Z12047" s="19" t="n"/>
    </row>
    <row r="12048">
      <c r="D12048" s="21" t="n">
        <v>0</v>
      </c>
      <c r="E12048" s="21" t="n">
        <v>0</v>
      </c>
      <c r="F12048" s="21" t="n">
        <v>0</v>
      </c>
      <c r="G12048" s="21" t="n">
        <v>0</v>
      </c>
      <c r="H12048" s="21" t="n">
        <v>0</v>
      </c>
      <c r="I12048" s="21" t="n">
        <v>0</v>
      </c>
      <c r="J12048" s="21" t="n">
        <v>0</v>
      </c>
      <c r="K12048" s="21" t="n">
        <v>0</v>
      </c>
      <c r="L12048" s="21" t="n">
        <v>0</v>
      </c>
      <c r="M12048" s="21" t="n">
        <v>0</v>
      </c>
      <c r="N12048" s="21" t="n">
        <v>0</v>
      </c>
      <c r="O12048" s="21" t="n">
        <v>0</v>
      </c>
      <c r="P12048" s="21" t="n">
        <v>0</v>
      </c>
      <c r="Q12048" s="21" t="n">
        <v>0</v>
      </c>
      <c r="R12048" s="21" t="n">
        <v>0</v>
      </c>
      <c r="S12048" s="21" t="n">
        <v>0</v>
      </c>
      <c r="T12048" s="21" t="n">
        <v>0</v>
      </c>
      <c r="U12048" s="21" t="n">
        <v>0</v>
      </c>
      <c r="V12048" s="21">
        <f>$B$10477</f>
        <v/>
      </c>
      <c r="W12048" s="21">
        <f>$B$10479</f>
        <v/>
      </c>
      <c r="X12048" s="21">
        <f>-$B$10477</f>
        <v/>
      </c>
      <c r="Y12048" s="21">
        <f>$B$10478</f>
        <v/>
      </c>
      <c r="Z12048" s="19" t="n"/>
    </row>
    <row r="12050">
      <c r="A12050" s="8" t="inlineStr">
        <is>
          <t>gen 43</t>
        </is>
      </c>
    </row>
    <row r="12051">
      <c r="D12051" s="19">
        <f>IF(ABS(IF(ABS($E$12015)&gt;0.000000001,$E$12015,0.000000001))=0,0,IF($E$10491&lt;=$B$10485,0,IF(ABS(IF(ABS($E$12015)&gt;0.000000001,$E$12015,0.000000001))&gt;=8*$B$10487,$H$10491,0.5*$H$10491*(ABS(IF(ABS($E$12015)&gt;0.000000001,$E$12015,0.000000001))/$B$10487)^(1/3)))/ABS(IF(ABS($E$12015)&gt;0.000000001,$E$12015,0.000000001))*$I$10491)</f>
        <v/>
      </c>
      <c r="E12051" s="19">
        <f>0.5*$E$12015+0.5*$Z$12063</f>
        <v/>
      </c>
      <c r="F12051" s="19">
        <f>$Z$12064</f>
        <v/>
      </c>
    </row>
    <row r="12052">
      <c r="D12052" s="19">
        <f>IF(ABS(IF(ABS($E$12016)&gt;0.000000001,$E$12016,0.000000001))=0,0,IF($E$10492&lt;=$B$10485,0,IF(ABS(IF(ABS($E$12016)&gt;0.000000001,$E$12016,0.000000001))&gt;=8*$B$10487,$H$10492,0.5*$H$10492*(ABS(IF(ABS($E$12016)&gt;0.000000001,$E$12016,0.000000001))/$B$10487)^(1/3)))/ABS(IF(ABS($E$12016)&gt;0.000000001,$E$12016,0.000000001))*$I$10492)</f>
        <v/>
      </c>
      <c r="E12052" s="19">
        <f>0.5*$E$12016+0.5*$Z$12065</f>
        <v/>
      </c>
      <c r="F12052" s="19">
        <f>$Z$12066</f>
        <v/>
      </c>
    </row>
    <row r="12053">
      <c r="D12053" s="19">
        <f>IF(ABS(IF(ABS($E$12017)&gt;0.000000001,$E$12017,0.000000001))=0,0,IF($E$10493&lt;=$B$10485,0,IF(ABS(IF(ABS($E$12017)&gt;0.000000001,$E$12017,0.000000001))&gt;=8*$B$10487,$H$10493,0.5*$H$10493*(ABS(IF(ABS($E$12017)&gt;0.000000001,$E$12017,0.000000001))/$B$10487)^(1/3)))/ABS(IF(ABS($E$12017)&gt;0.000000001,$E$12017,0.000000001))*$I$10493)</f>
        <v/>
      </c>
      <c r="E12053" s="19">
        <f>0.5*$E$12017+0.5*$Z$12067</f>
        <v/>
      </c>
      <c r="F12053" s="19">
        <f>$Z$12068</f>
        <v/>
      </c>
    </row>
    <row r="12054">
      <c r="D12054" s="19">
        <f>IF(ABS(IF(ABS($E$12018)&gt;0.000000001,$E$12018,0.000000001))=0,0,IF($E$10494&lt;=$B$10485,0,IF(ABS(IF(ABS($E$12018)&gt;0.000000001,$E$12018,0.000000001))&gt;=8*$B$10487,$H$10494,0.5*$H$10494*(ABS(IF(ABS($E$12018)&gt;0.000000001,$E$12018,0.000000001))/$B$10487)^(1/3)))/ABS(IF(ABS($E$12018)&gt;0.000000001,$E$12018,0.000000001))*$I$10494)</f>
        <v/>
      </c>
      <c r="E12054" s="19">
        <f>0.5*$E$12018+0.5*$Z$12069</f>
        <v/>
      </c>
      <c r="F12054" s="19">
        <f>$Z$12070</f>
        <v/>
      </c>
    </row>
    <row r="12055">
      <c r="D12055" s="19">
        <f>IF(ABS(IF(ABS($E$12019)&gt;0.000000001,$E$12019,0.000000001))=0,0,IF($E$10495&lt;=$B$10485,0,IF(ABS(IF(ABS($E$12019)&gt;0.000000001,$E$12019,0.000000001))&gt;=8*$B$10487,$H$10495,0.5*$H$10495*(ABS(IF(ABS($E$12019)&gt;0.000000001,$E$12019,0.000000001))/$B$10487)^(1/3)))/ABS(IF(ABS($E$12019)&gt;0.000000001,$E$12019,0.000000001))*$I$10495)</f>
        <v/>
      </c>
      <c r="E12055" s="19">
        <f>0.5*$E$12019+0.5*$Z$12071</f>
        <v/>
      </c>
      <c r="F12055" s="19">
        <f>$Z$12072</f>
        <v/>
      </c>
    </row>
    <row r="12056">
      <c r="D12056" s="19">
        <f>IF(ABS(IF(ABS($E$12020)&gt;0.000000001,$E$12020,0.000000001))=0,0,IF($E$10496&lt;=$B$10485,0,IF(ABS(IF(ABS($E$12020)&gt;0.000000001,$E$12020,0.000000001))&gt;=8*$B$10487,$H$10496,0.5*$H$10496*(ABS(IF(ABS($E$12020)&gt;0.000000001,$E$12020,0.000000001))/$B$10487)^(1/3)))/ABS(IF(ABS($E$12020)&gt;0.000000001,$E$12020,0.000000001))*$I$10496)</f>
        <v/>
      </c>
      <c r="E12056" s="19">
        <f>0.5*$E$12020+0.5*$Z$12073</f>
        <v/>
      </c>
      <c r="F12056" s="19">
        <f>$Z$12074</f>
        <v/>
      </c>
    </row>
    <row r="12057">
      <c r="D12057" s="19">
        <f>IF(ABS(IF(ABS($E$12021)&gt;0.000000001,$E$12021,0.000000001))=0,0,IF($E$10497&lt;=$B$10485,0,IF(ABS(IF(ABS($E$12021)&gt;0.000000001,$E$12021,0.000000001))&gt;=8*$B$10487,$H$10497,0.5*$H$10497*(ABS(IF(ABS($E$12021)&gt;0.000000001,$E$12021,0.000000001))/$B$10487)^(1/3)))/ABS(IF(ABS($E$12021)&gt;0.000000001,$E$12021,0.000000001))*$I$10497)</f>
        <v/>
      </c>
      <c r="E12057" s="19">
        <f>0.5*$E$12021+0.5*$Z$12075</f>
        <v/>
      </c>
      <c r="F12057" s="19">
        <f>$Z$12076</f>
        <v/>
      </c>
    </row>
    <row r="12058">
      <c r="D12058" s="19">
        <f>IF(ABS(IF(ABS($E$12022)&gt;0.000000001,$E$12022,0.000000001))=0,0,IF($E$10498&lt;=$B$10485,0,IF(ABS(IF(ABS($E$12022)&gt;0.000000001,$E$12022,0.000000001))&gt;=8*$B$10487,$H$10498,0.5*$H$10498*(ABS(IF(ABS($E$12022)&gt;0.000000001,$E$12022,0.000000001))/$B$10487)^(1/3)))/ABS(IF(ABS($E$12022)&gt;0.000000001,$E$12022,0.000000001))*$I$10498)</f>
        <v/>
      </c>
      <c r="E12058" s="19">
        <f>0.5*$E$12022+0.5*$Z$12077</f>
        <v/>
      </c>
      <c r="F12058" s="19">
        <f>$Z$12078</f>
        <v/>
      </c>
    </row>
    <row r="12059">
      <c r="D12059" s="19">
        <f>IF(ABS(IF(ABS($E$12023)&gt;0.000000001,$E$12023,0.000000001))=0,0,IF($E$10499&lt;=$B$10485,0,IF(ABS(IF(ABS($E$12023)&gt;0.000000001,$E$12023,0.000000001))&gt;=8*$B$10487,$H$10499,0.5*$H$10499*(ABS(IF(ABS($E$12023)&gt;0.000000001,$E$12023,0.000000001))/$B$10487)^(1/3)))/ABS(IF(ABS($E$12023)&gt;0.000000001,$E$12023,0.000000001))*$I$10499)</f>
        <v/>
      </c>
      <c r="E12059" s="19">
        <f>0.5*$E$12023+0.5*$Z$12079</f>
        <v/>
      </c>
      <c r="F12059" s="19">
        <f>$Z$12080</f>
        <v/>
      </c>
    </row>
    <row r="12060">
      <c r="D12060" s="19">
        <f>IF(ABS(IF(ABS($E$12024)&gt;0.000000001,$E$12024,0.000000001))=0,0,IF($E$10500&lt;=$B$10485,0,IF(ABS(IF(ABS($E$12024)&gt;0.000000001,$E$12024,0.000000001))&gt;=8*$B$10487,$H$10500,0.5*$H$10500*(ABS(IF(ABS($E$12024)&gt;0.000000001,$E$12024,0.000000001))/$B$10487)^(1/3)))/ABS(IF(ABS($E$12024)&gt;0.000000001,$E$12024,0.000000001))*$I$10500)</f>
        <v/>
      </c>
      <c r="E12060" s="19">
        <f>0.5*$E$12024+0.5*$Z$12081</f>
        <v/>
      </c>
      <c r="F12060" s="19">
        <f>$Z$12082</f>
        <v/>
      </c>
    </row>
    <row r="12061">
      <c r="D12061" s="19">
        <f>IF(ABS(IF(ABS($E$12025)&gt;0.000000001,$E$12025,0.000000001))=0,0,IF($E$10501&lt;=$B$10485,0,IF(ABS(IF(ABS($E$12025)&gt;0.000000001,$E$12025,0.000000001))&gt;=8*$B$10487,$H$10501,0.5*$H$10501*(ABS(IF(ABS($E$12025)&gt;0.000000001,$E$12025,0.000000001))/$B$10487)^(1/3)))/ABS(IF(ABS($E$12025)&gt;0.000000001,$E$12025,0.000000001))*$I$10501)</f>
        <v/>
      </c>
      <c r="E12061" s="19">
        <f>0.5*$E$12025+0.5*$Z$12083</f>
        <v/>
      </c>
      <c r="F12061" s="19">
        <f>$Z$12084</f>
        <v/>
      </c>
    </row>
    <row r="12063">
      <c r="D12063" s="21">
        <f>$B$10476+$D$12051</f>
        <v/>
      </c>
      <c r="E12063" s="21">
        <f>$B$10477</f>
        <v/>
      </c>
      <c r="F12063" s="21">
        <f>-$B$10476</f>
        <v/>
      </c>
      <c r="G12063" s="21">
        <f>$B$10477</f>
        <v/>
      </c>
      <c r="H12063" s="21" t="n">
        <v>0</v>
      </c>
      <c r="I12063" s="21" t="n">
        <v>0</v>
      </c>
      <c r="J12063" s="21" t="n">
        <v>0</v>
      </c>
      <c r="K12063" s="21" t="n">
        <v>0</v>
      </c>
      <c r="L12063" s="21" t="n">
        <v>0</v>
      </c>
      <c r="M12063" s="21" t="n">
        <v>0</v>
      </c>
      <c r="N12063" s="21" t="n">
        <v>0</v>
      </c>
      <c r="O12063" s="21" t="n">
        <v>0</v>
      </c>
      <c r="P12063" s="21" t="n">
        <v>0</v>
      </c>
      <c r="Q12063" s="21" t="n">
        <v>0</v>
      </c>
      <c r="R12063" s="21" t="n">
        <v>0</v>
      </c>
      <c r="S12063" s="21" t="n">
        <v>0</v>
      </c>
      <c r="T12063" s="21" t="n">
        <v>0</v>
      </c>
      <c r="U12063" s="21" t="n">
        <v>0</v>
      </c>
      <c r="V12063" s="21" t="n">
        <v>0</v>
      </c>
      <c r="W12063" s="21" t="n">
        <v>0</v>
      </c>
      <c r="X12063" s="21" t="n">
        <v>0</v>
      </c>
      <c r="Y12063" s="21" t="n">
        <v>0</v>
      </c>
      <c r="Z12063" s="19">
        <f t="array" ref="Z12063:Z12084">MMULT(MINVERSE($D$12063:$Y$12084),$D$10503:$D$10524)</f>
        <v/>
      </c>
    </row>
    <row r="12064">
      <c r="D12064" s="21">
        <f>$B$10477</f>
        <v/>
      </c>
      <c r="E12064" s="21">
        <f>$B$10478</f>
        <v/>
      </c>
      <c r="F12064" s="21">
        <f>-$B$10477</f>
        <v/>
      </c>
      <c r="G12064" s="21">
        <f>$B$10479</f>
        <v/>
      </c>
      <c r="H12064" s="21" t="n">
        <v>0</v>
      </c>
      <c r="I12064" s="21" t="n">
        <v>0</v>
      </c>
      <c r="J12064" s="21" t="n">
        <v>0</v>
      </c>
      <c r="K12064" s="21" t="n">
        <v>0</v>
      </c>
      <c r="L12064" s="21" t="n">
        <v>0</v>
      </c>
      <c r="M12064" s="21" t="n">
        <v>0</v>
      </c>
      <c r="N12064" s="21" t="n">
        <v>0</v>
      </c>
      <c r="O12064" s="21" t="n">
        <v>0</v>
      </c>
      <c r="P12064" s="21" t="n">
        <v>0</v>
      </c>
      <c r="Q12064" s="21" t="n">
        <v>0</v>
      </c>
      <c r="R12064" s="21" t="n">
        <v>0</v>
      </c>
      <c r="S12064" s="21" t="n">
        <v>0</v>
      </c>
      <c r="T12064" s="21" t="n">
        <v>0</v>
      </c>
      <c r="U12064" s="21" t="n">
        <v>0</v>
      </c>
      <c r="V12064" s="21" t="n">
        <v>0</v>
      </c>
      <c r="W12064" s="21" t="n">
        <v>0</v>
      </c>
      <c r="X12064" s="21" t="n">
        <v>0</v>
      </c>
      <c r="Y12064" s="21" t="n">
        <v>0</v>
      </c>
      <c r="Z12064" s="19" t="n"/>
    </row>
    <row r="12065">
      <c r="D12065" s="21">
        <f>-$B$10476</f>
        <v/>
      </c>
      <c r="E12065" s="21">
        <f>-$B$10477</f>
        <v/>
      </c>
      <c r="F12065" s="21">
        <f>2*$B$10476+$D$12052</f>
        <v/>
      </c>
      <c r="G12065" s="21">
        <f>0</f>
        <v/>
      </c>
      <c r="H12065" s="21">
        <f>-$B$10476</f>
        <v/>
      </c>
      <c r="I12065" s="21">
        <f>$B$10477</f>
        <v/>
      </c>
      <c r="J12065" s="21" t="n">
        <v>0</v>
      </c>
      <c r="K12065" s="21" t="n">
        <v>0</v>
      </c>
      <c r="L12065" s="21" t="n">
        <v>0</v>
      </c>
      <c r="M12065" s="21" t="n">
        <v>0</v>
      </c>
      <c r="N12065" s="21" t="n">
        <v>0</v>
      </c>
      <c r="O12065" s="21" t="n">
        <v>0</v>
      </c>
      <c r="P12065" s="21" t="n">
        <v>0</v>
      </c>
      <c r="Q12065" s="21" t="n">
        <v>0</v>
      </c>
      <c r="R12065" s="21" t="n">
        <v>0</v>
      </c>
      <c r="S12065" s="21" t="n">
        <v>0</v>
      </c>
      <c r="T12065" s="21" t="n">
        <v>0</v>
      </c>
      <c r="U12065" s="21" t="n">
        <v>0</v>
      </c>
      <c r="V12065" s="21" t="n">
        <v>0</v>
      </c>
      <c r="W12065" s="21" t="n">
        <v>0</v>
      </c>
      <c r="X12065" s="21" t="n">
        <v>0</v>
      </c>
      <c r="Y12065" s="21" t="n">
        <v>0</v>
      </c>
      <c r="Z12065" s="19" t="n"/>
    </row>
    <row r="12066">
      <c r="D12066" s="21">
        <f>$B$10477</f>
        <v/>
      </c>
      <c r="E12066" s="21">
        <f>$B$10479</f>
        <v/>
      </c>
      <c r="F12066" s="21">
        <f>0</f>
        <v/>
      </c>
      <c r="G12066" s="21">
        <f>2*$B$10478</f>
        <v/>
      </c>
      <c r="H12066" s="21">
        <f>-$B$10477</f>
        <v/>
      </c>
      <c r="I12066" s="21">
        <f>$B$10479</f>
        <v/>
      </c>
      <c r="J12066" s="21" t="n">
        <v>0</v>
      </c>
      <c r="K12066" s="21" t="n">
        <v>0</v>
      </c>
      <c r="L12066" s="21" t="n">
        <v>0</v>
      </c>
      <c r="M12066" s="21" t="n">
        <v>0</v>
      </c>
      <c r="N12066" s="21" t="n">
        <v>0</v>
      </c>
      <c r="O12066" s="21" t="n">
        <v>0</v>
      </c>
      <c r="P12066" s="21" t="n">
        <v>0</v>
      </c>
      <c r="Q12066" s="21" t="n">
        <v>0</v>
      </c>
      <c r="R12066" s="21" t="n">
        <v>0</v>
      </c>
      <c r="S12066" s="21" t="n">
        <v>0</v>
      </c>
      <c r="T12066" s="21" t="n">
        <v>0</v>
      </c>
      <c r="U12066" s="21" t="n">
        <v>0</v>
      </c>
      <c r="V12066" s="21" t="n">
        <v>0</v>
      </c>
      <c r="W12066" s="21" t="n">
        <v>0</v>
      </c>
      <c r="X12066" s="21" t="n">
        <v>0</v>
      </c>
      <c r="Y12066" s="21" t="n">
        <v>0</v>
      </c>
      <c r="Z12066" s="19" t="n"/>
    </row>
    <row r="12067">
      <c r="D12067" s="21" t="n">
        <v>0</v>
      </c>
      <c r="E12067" s="21" t="n">
        <v>0</v>
      </c>
      <c r="F12067" s="21">
        <f>-$B$10476</f>
        <v/>
      </c>
      <c r="G12067" s="21">
        <f>-$B$10477</f>
        <v/>
      </c>
      <c r="H12067" s="21">
        <f>2*$B$10476+$D$12053</f>
        <v/>
      </c>
      <c r="I12067" s="21">
        <f>0</f>
        <v/>
      </c>
      <c r="J12067" s="21">
        <f>-$B$10476</f>
        <v/>
      </c>
      <c r="K12067" s="21">
        <f>$B$10477</f>
        <v/>
      </c>
      <c r="L12067" s="21" t="n">
        <v>0</v>
      </c>
      <c r="M12067" s="21" t="n">
        <v>0</v>
      </c>
      <c r="N12067" s="21" t="n">
        <v>0</v>
      </c>
      <c r="O12067" s="21" t="n">
        <v>0</v>
      </c>
      <c r="P12067" s="21" t="n">
        <v>0</v>
      </c>
      <c r="Q12067" s="21" t="n">
        <v>0</v>
      </c>
      <c r="R12067" s="21" t="n">
        <v>0</v>
      </c>
      <c r="S12067" s="21" t="n">
        <v>0</v>
      </c>
      <c r="T12067" s="21" t="n">
        <v>0</v>
      </c>
      <c r="U12067" s="21" t="n">
        <v>0</v>
      </c>
      <c r="V12067" s="21" t="n">
        <v>0</v>
      </c>
      <c r="W12067" s="21" t="n">
        <v>0</v>
      </c>
      <c r="X12067" s="21" t="n">
        <v>0</v>
      </c>
      <c r="Y12067" s="21" t="n">
        <v>0</v>
      </c>
      <c r="Z12067" s="19" t="n"/>
    </row>
    <row r="12068">
      <c r="D12068" s="21" t="n">
        <v>0</v>
      </c>
      <c r="E12068" s="21" t="n">
        <v>0</v>
      </c>
      <c r="F12068" s="21">
        <f>$B$10477</f>
        <v/>
      </c>
      <c r="G12068" s="21">
        <f>$B$10479</f>
        <v/>
      </c>
      <c r="H12068" s="21">
        <f>0</f>
        <v/>
      </c>
      <c r="I12068" s="21">
        <f>2*$B$10478</f>
        <v/>
      </c>
      <c r="J12068" s="21">
        <f>-$B$10477</f>
        <v/>
      </c>
      <c r="K12068" s="21">
        <f>$B$10479</f>
        <v/>
      </c>
      <c r="L12068" s="21" t="n">
        <v>0</v>
      </c>
      <c r="M12068" s="21" t="n">
        <v>0</v>
      </c>
      <c r="N12068" s="21" t="n">
        <v>0</v>
      </c>
      <c r="O12068" s="21" t="n">
        <v>0</v>
      </c>
      <c r="P12068" s="21" t="n">
        <v>0</v>
      </c>
      <c r="Q12068" s="21" t="n">
        <v>0</v>
      </c>
      <c r="R12068" s="21" t="n">
        <v>0</v>
      </c>
      <c r="S12068" s="21" t="n">
        <v>0</v>
      </c>
      <c r="T12068" s="21" t="n">
        <v>0</v>
      </c>
      <c r="U12068" s="21" t="n">
        <v>0</v>
      </c>
      <c r="V12068" s="21" t="n">
        <v>0</v>
      </c>
      <c r="W12068" s="21" t="n">
        <v>0</v>
      </c>
      <c r="X12068" s="21" t="n">
        <v>0</v>
      </c>
      <c r="Y12068" s="21" t="n">
        <v>0</v>
      </c>
      <c r="Z12068" s="19" t="n"/>
    </row>
    <row r="12069">
      <c r="D12069" s="21" t="n">
        <v>0</v>
      </c>
      <c r="E12069" s="21" t="n">
        <v>0</v>
      </c>
      <c r="F12069" s="21" t="n">
        <v>0</v>
      </c>
      <c r="G12069" s="21" t="n">
        <v>0</v>
      </c>
      <c r="H12069" s="21">
        <f>-$B$10476</f>
        <v/>
      </c>
      <c r="I12069" s="21">
        <f>-$B$10477</f>
        <v/>
      </c>
      <c r="J12069" s="21">
        <f>2*$B$10476+$D$12054</f>
        <v/>
      </c>
      <c r="K12069" s="21">
        <f>0</f>
        <v/>
      </c>
      <c r="L12069" s="21">
        <f>-$B$10476</f>
        <v/>
      </c>
      <c r="M12069" s="21">
        <f>$B$10477</f>
        <v/>
      </c>
      <c r="N12069" s="21" t="n">
        <v>0</v>
      </c>
      <c r="O12069" s="21" t="n">
        <v>0</v>
      </c>
      <c r="P12069" s="21" t="n">
        <v>0</v>
      </c>
      <c r="Q12069" s="21" t="n">
        <v>0</v>
      </c>
      <c r="R12069" s="21" t="n">
        <v>0</v>
      </c>
      <c r="S12069" s="21" t="n">
        <v>0</v>
      </c>
      <c r="T12069" s="21" t="n">
        <v>0</v>
      </c>
      <c r="U12069" s="21" t="n">
        <v>0</v>
      </c>
      <c r="V12069" s="21" t="n">
        <v>0</v>
      </c>
      <c r="W12069" s="21" t="n">
        <v>0</v>
      </c>
      <c r="X12069" s="21" t="n">
        <v>0</v>
      </c>
      <c r="Y12069" s="21" t="n">
        <v>0</v>
      </c>
      <c r="Z12069" s="19" t="n"/>
    </row>
    <row r="12070">
      <c r="D12070" s="21" t="n">
        <v>0</v>
      </c>
      <c r="E12070" s="21" t="n">
        <v>0</v>
      </c>
      <c r="F12070" s="21" t="n">
        <v>0</v>
      </c>
      <c r="G12070" s="21" t="n">
        <v>0</v>
      </c>
      <c r="H12070" s="21">
        <f>$B$10477</f>
        <v/>
      </c>
      <c r="I12070" s="21">
        <f>$B$10479</f>
        <v/>
      </c>
      <c r="J12070" s="21">
        <f>0</f>
        <v/>
      </c>
      <c r="K12070" s="21">
        <f>2*$B$10478</f>
        <v/>
      </c>
      <c r="L12070" s="21">
        <f>-$B$10477</f>
        <v/>
      </c>
      <c r="M12070" s="21">
        <f>$B$10479</f>
        <v/>
      </c>
      <c r="N12070" s="21" t="n">
        <v>0</v>
      </c>
      <c r="O12070" s="21" t="n">
        <v>0</v>
      </c>
      <c r="P12070" s="21" t="n">
        <v>0</v>
      </c>
      <c r="Q12070" s="21" t="n">
        <v>0</v>
      </c>
      <c r="R12070" s="21" t="n">
        <v>0</v>
      </c>
      <c r="S12070" s="21" t="n">
        <v>0</v>
      </c>
      <c r="T12070" s="21" t="n">
        <v>0</v>
      </c>
      <c r="U12070" s="21" t="n">
        <v>0</v>
      </c>
      <c r="V12070" s="21" t="n">
        <v>0</v>
      </c>
      <c r="W12070" s="21" t="n">
        <v>0</v>
      </c>
      <c r="X12070" s="21" t="n">
        <v>0</v>
      </c>
      <c r="Y12070" s="21" t="n">
        <v>0</v>
      </c>
      <c r="Z12070" s="19" t="n"/>
    </row>
    <row r="12071">
      <c r="D12071" s="21" t="n">
        <v>0</v>
      </c>
      <c r="E12071" s="21" t="n">
        <v>0</v>
      </c>
      <c r="F12071" s="21" t="n">
        <v>0</v>
      </c>
      <c r="G12071" s="21" t="n">
        <v>0</v>
      </c>
      <c r="H12071" s="21" t="n">
        <v>0</v>
      </c>
      <c r="I12071" s="21" t="n">
        <v>0</v>
      </c>
      <c r="J12071" s="21">
        <f>-$B$10476</f>
        <v/>
      </c>
      <c r="K12071" s="21">
        <f>-$B$10477</f>
        <v/>
      </c>
      <c r="L12071" s="21">
        <f>2*$B$10476+$D$12055</f>
        <v/>
      </c>
      <c r="M12071" s="21">
        <f>0</f>
        <v/>
      </c>
      <c r="N12071" s="21">
        <f>-$B$10476</f>
        <v/>
      </c>
      <c r="O12071" s="21">
        <f>$B$10477</f>
        <v/>
      </c>
      <c r="P12071" s="21" t="n">
        <v>0</v>
      </c>
      <c r="Q12071" s="21" t="n">
        <v>0</v>
      </c>
      <c r="R12071" s="21" t="n">
        <v>0</v>
      </c>
      <c r="S12071" s="21" t="n">
        <v>0</v>
      </c>
      <c r="T12071" s="21" t="n">
        <v>0</v>
      </c>
      <c r="U12071" s="21" t="n">
        <v>0</v>
      </c>
      <c r="V12071" s="21" t="n">
        <v>0</v>
      </c>
      <c r="W12071" s="21" t="n">
        <v>0</v>
      </c>
      <c r="X12071" s="21" t="n">
        <v>0</v>
      </c>
      <c r="Y12071" s="21" t="n">
        <v>0</v>
      </c>
      <c r="Z12071" s="19" t="n"/>
    </row>
    <row r="12072">
      <c r="D12072" s="21" t="n">
        <v>0</v>
      </c>
      <c r="E12072" s="21" t="n">
        <v>0</v>
      </c>
      <c r="F12072" s="21" t="n">
        <v>0</v>
      </c>
      <c r="G12072" s="21" t="n">
        <v>0</v>
      </c>
      <c r="H12072" s="21" t="n">
        <v>0</v>
      </c>
      <c r="I12072" s="21" t="n">
        <v>0</v>
      </c>
      <c r="J12072" s="21">
        <f>$B$10477</f>
        <v/>
      </c>
      <c r="K12072" s="21">
        <f>$B$10479</f>
        <v/>
      </c>
      <c r="L12072" s="21">
        <f>0</f>
        <v/>
      </c>
      <c r="M12072" s="21">
        <f>2*$B$10478</f>
        <v/>
      </c>
      <c r="N12072" s="21">
        <f>-$B$10477</f>
        <v/>
      </c>
      <c r="O12072" s="21">
        <f>$B$10479</f>
        <v/>
      </c>
      <c r="P12072" s="21" t="n">
        <v>0</v>
      </c>
      <c r="Q12072" s="21" t="n">
        <v>0</v>
      </c>
      <c r="R12072" s="21" t="n">
        <v>0</v>
      </c>
      <c r="S12072" s="21" t="n">
        <v>0</v>
      </c>
      <c r="T12072" s="21" t="n">
        <v>0</v>
      </c>
      <c r="U12072" s="21" t="n">
        <v>0</v>
      </c>
      <c r="V12072" s="21" t="n">
        <v>0</v>
      </c>
      <c r="W12072" s="21" t="n">
        <v>0</v>
      </c>
      <c r="X12072" s="21" t="n">
        <v>0</v>
      </c>
      <c r="Y12072" s="21" t="n">
        <v>0</v>
      </c>
      <c r="Z12072" s="19" t="n"/>
    </row>
    <row r="12073">
      <c r="D12073" s="21" t="n">
        <v>0</v>
      </c>
      <c r="E12073" s="21" t="n">
        <v>0</v>
      </c>
      <c r="F12073" s="21" t="n">
        <v>0</v>
      </c>
      <c r="G12073" s="21" t="n">
        <v>0</v>
      </c>
      <c r="H12073" s="21" t="n">
        <v>0</v>
      </c>
      <c r="I12073" s="21" t="n">
        <v>0</v>
      </c>
      <c r="J12073" s="21" t="n">
        <v>0</v>
      </c>
      <c r="K12073" s="21" t="n">
        <v>0</v>
      </c>
      <c r="L12073" s="21">
        <f>-$B$10476</f>
        <v/>
      </c>
      <c r="M12073" s="21">
        <f>-$B$10477</f>
        <v/>
      </c>
      <c r="N12073" s="21">
        <f>2*$B$10476+$D$12056</f>
        <v/>
      </c>
      <c r="O12073" s="21">
        <f>0</f>
        <v/>
      </c>
      <c r="P12073" s="21">
        <f>-$B$10476</f>
        <v/>
      </c>
      <c r="Q12073" s="21">
        <f>$B$10477</f>
        <v/>
      </c>
      <c r="R12073" s="21" t="n">
        <v>0</v>
      </c>
      <c r="S12073" s="21" t="n">
        <v>0</v>
      </c>
      <c r="T12073" s="21" t="n">
        <v>0</v>
      </c>
      <c r="U12073" s="21" t="n">
        <v>0</v>
      </c>
      <c r="V12073" s="21" t="n">
        <v>0</v>
      </c>
      <c r="W12073" s="21" t="n">
        <v>0</v>
      </c>
      <c r="X12073" s="21" t="n">
        <v>0</v>
      </c>
      <c r="Y12073" s="21" t="n">
        <v>0</v>
      </c>
      <c r="Z12073" s="19" t="n"/>
    </row>
    <row r="12074">
      <c r="D12074" s="21" t="n">
        <v>0</v>
      </c>
      <c r="E12074" s="21" t="n">
        <v>0</v>
      </c>
      <c r="F12074" s="21" t="n">
        <v>0</v>
      </c>
      <c r="G12074" s="21" t="n">
        <v>0</v>
      </c>
      <c r="H12074" s="21" t="n">
        <v>0</v>
      </c>
      <c r="I12074" s="21" t="n">
        <v>0</v>
      </c>
      <c r="J12074" s="21" t="n">
        <v>0</v>
      </c>
      <c r="K12074" s="21" t="n">
        <v>0</v>
      </c>
      <c r="L12074" s="21">
        <f>$B$10477</f>
        <v/>
      </c>
      <c r="M12074" s="21">
        <f>$B$10479</f>
        <v/>
      </c>
      <c r="N12074" s="21">
        <f>0</f>
        <v/>
      </c>
      <c r="O12074" s="21">
        <f>2*$B$10478</f>
        <v/>
      </c>
      <c r="P12074" s="21">
        <f>-$B$10477</f>
        <v/>
      </c>
      <c r="Q12074" s="21">
        <f>$B$10479</f>
        <v/>
      </c>
      <c r="R12074" s="21" t="n">
        <v>0</v>
      </c>
      <c r="S12074" s="21" t="n">
        <v>0</v>
      </c>
      <c r="T12074" s="21" t="n">
        <v>0</v>
      </c>
      <c r="U12074" s="21" t="n">
        <v>0</v>
      </c>
      <c r="V12074" s="21" t="n">
        <v>0</v>
      </c>
      <c r="W12074" s="21" t="n">
        <v>0</v>
      </c>
      <c r="X12074" s="21" t="n">
        <v>0</v>
      </c>
      <c r="Y12074" s="21" t="n">
        <v>0</v>
      </c>
      <c r="Z12074" s="19" t="n"/>
    </row>
    <row r="12075">
      <c r="D12075" s="21" t="n">
        <v>0</v>
      </c>
      <c r="E12075" s="21" t="n">
        <v>0</v>
      </c>
      <c r="F12075" s="21" t="n">
        <v>0</v>
      </c>
      <c r="G12075" s="21" t="n">
        <v>0</v>
      </c>
      <c r="H12075" s="21" t="n">
        <v>0</v>
      </c>
      <c r="I12075" s="21" t="n">
        <v>0</v>
      </c>
      <c r="J12075" s="21" t="n">
        <v>0</v>
      </c>
      <c r="K12075" s="21" t="n">
        <v>0</v>
      </c>
      <c r="L12075" s="21" t="n">
        <v>0</v>
      </c>
      <c r="M12075" s="21" t="n">
        <v>0</v>
      </c>
      <c r="N12075" s="21">
        <f>-$B$10476</f>
        <v/>
      </c>
      <c r="O12075" s="21">
        <f>-$B$10477</f>
        <v/>
      </c>
      <c r="P12075" s="21">
        <f>2*$B$10476+$D$12057</f>
        <v/>
      </c>
      <c r="Q12075" s="21">
        <f>0</f>
        <v/>
      </c>
      <c r="R12075" s="21">
        <f>-$B$10476</f>
        <v/>
      </c>
      <c r="S12075" s="21">
        <f>$B$10477</f>
        <v/>
      </c>
      <c r="T12075" s="21" t="n">
        <v>0</v>
      </c>
      <c r="U12075" s="21" t="n">
        <v>0</v>
      </c>
      <c r="V12075" s="21" t="n">
        <v>0</v>
      </c>
      <c r="W12075" s="21" t="n">
        <v>0</v>
      </c>
      <c r="X12075" s="21" t="n">
        <v>0</v>
      </c>
      <c r="Y12075" s="21" t="n">
        <v>0</v>
      </c>
      <c r="Z12075" s="19" t="n"/>
    </row>
    <row r="12076">
      <c r="D12076" s="21" t="n">
        <v>0</v>
      </c>
      <c r="E12076" s="21" t="n">
        <v>0</v>
      </c>
      <c r="F12076" s="21" t="n">
        <v>0</v>
      </c>
      <c r="G12076" s="21" t="n">
        <v>0</v>
      </c>
      <c r="H12076" s="21" t="n">
        <v>0</v>
      </c>
      <c r="I12076" s="21" t="n">
        <v>0</v>
      </c>
      <c r="J12076" s="21" t="n">
        <v>0</v>
      </c>
      <c r="K12076" s="21" t="n">
        <v>0</v>
      </c>
      <c r="L12076" s="21" t="n">
        <v>0</v>
      </c>
      <c r="M12076" s="21" t="n">
        <v>0</v>
      </c>
      <c r="N12076" s="21">
        <f>$B$10477</f>
        <v/>
      </c>
      <c r="O12076" s="21">
        <f>$B$10479</f>
        <v/>
      </c>
      <c r="P12076" s="21">
        <f>0</f>
        <v/>
      </c>
      <c r="Q12076" s="21">
        <f>2*$B$10478</f>
        <v/>
      </c>
      <c r="R12076" s="21">
        <f>-$B$10477</f>
        <v/>
      </c>
      <c r="S12076" s="21">
        <f>$B$10479</f>
        <v/>
      </c>
      <c r="T12076" s="21" t="n">
        <v>0</v>
      </c>
      <c r="U12076" s="21" t="n">
        <v>0</v>
      </c>
      <c r="V12076" s="21" t="n">
        <v>0</v>
      </c>
      <c r="W12076" s="21" t="n">
        <v>0</v>
      </c>
      <c r="X12076" s="21" t="n">
        <v>0</v>
      </c>
      <c r="Y12076" s="21" t="n">
        <v>0</v>
      </c>
      <c r="Z12076" s="19" t="n"/>
    </row>
    <row r="12077">
      <c r="D12077" s="21" t="n">
        <v>0</v>
      </c>
      <c r="E12077" s="21" t="n">
        <v>0</v>
      </c>
      <c r="F12077" s="21" t="n">
        <v>0</v>
      </c>
      <c r="G12077" s="21" t="n">
        <v>0</v>
      </c>
      <c r="H12077" s="21" t="n">
        <v>0</v>
      </c>
      <c r="I12077" s="21" t="n">
        <v>0</v>
      </c>
      <c r="J12077" s="21" t="n">
        <v>0</v>
      </c>
      <c r="K12077" s="21" t="n">
        <v>0</v>
      </c>
      <c r="L12077" s="21" t="n">
        <v>0</v>
      </c>
      <c r="M12077" s="21" t="n">
        <v>0</v>
      </c>
      <c r="N12077" s="21" t="n">
        <v>0</v>
      </c>
      <c r="O12077" s="21" t="n">
        <v>0</v>
      </c>
      <c r="P12077" s="21">
        <f>-$B$10476</f>
        <v/>
      </c>
      <c r="Q12077" s="21">
        <f>-$B$10477</f>
        <v/>
      </c>
      <c r="R12077" s="21">
        <f>2*$B$10476+$D$12058</f>
        <v/>
      </c>
      <c r="S12077" s="21">
        <f>0</f>
        <v/>
      </c>
      <c r="T12077" s="21">
        <f>-$B$10476</f>
        <v/>
      </c>
      <c r="U12077" s="21">
        <f>$B$10477</f>
        <v/>
      </c>
      <c r="V12077" s="21" t="n">
        <v>0</v>
      </c>
      <c r="W12077" s="21" t="n">
        <v>0</v>
      </c>
      <c r="X12077" s="21" t="n">
        <v>0</v>
      </c>
      <c r="Y12077" s="21" t="n">
        <v>0</v>
      </c>
      <c r="Z12077" s="19" t="n"/>
    </row>
    <row r="12078">
      <c r="D12078" s="21" t="n">
        <v>0</v>
      </c>
      <c r="E12078" s="21" t="n">
        <v>0</v>
      </c>
      <c r="F12078" s="21" t="n">
        <v>0</v>
      </c>
      <c r="G12078" s="21" t="n">
        <v>0</v>
      </c>
      <c r="H12078" s="21" t="n">
        <v>0</v>
      </c>
      <c r="I12078" s="21" t="n">
        <v>0</v>
      </c>
      <c r="J12078" s="21" t="n">
        <v>0</v>
      </c>
      <c r="K12078" s="21" t="n">
        <v>0</v>
      </c>
      <c r="L12078" s="21" t="n">
        <v>0</v>
      </c>
      <c r="M12078" s="21" t="n">
        <v>0</v>
      </c>
      <c r="N12078" s="21" t="n">
        <v>0</v>
      </c>
      <c r="O12078" s="21" t="n">
        <v>0</v>
      </c>
      <c r="P12078" s="21">
        <f>$B$10477</f>
        <v/>
      </c>
      <c r="Q12078" s="21">
        <f>$B$10479</f>
        <v/>
      </c>
      <c r="R12078" s="21">
        <f>0</f>
        <v/>
      </c>
      <c r="S12078" s="21">
        <f>2*$B$10478</f>
        <v/>
      </c>
      <c r="T12078" s="21">
        <f>-$B$10477</f>
        <v/>
      </c>
      <c r="U12078" s="21">
        <f>$B$10479</f>
        <v/>
      </c>
      <c r="V12078" s="21" t="n">
        <v>0</v>
      </c>
      <c r="W12078" s="21" t="n">
        <v>0</v>
      </c>
      <c r="X12078" s="21" t="n">
        <v>0</v>
      </c>
      <c r="Y12078" s="21" t="n">
        <v>0</v>
      </c>
      <c r="Z12078" s="19" t="n"/>
    </row>
    <row r="12079">
      <c r="D12079" s="21" t="n">
        <v>0</v>
      </c>
      <c r="E12079" s="21" t="n">
        <v>0</v>
      </c>
      <c r="F12079" s="21" t="n">
        <v>0</v>
      </c>
      <c r="G12079" s="21" t="n">
        <v>0</v>
      </c>
      <c r="H12079" s="21" t="n">
        <v>0</v>
      </c>
      <c r="I12079" s="21" t="n">
        <v>0</v>
      </c>
      <c r="J12079" s="21" t="n">
        <v>0</v>
      </c>
      <c r="K12079" s="21" t="n">
        <v>0</v>
      </c>
      <c r="L12079" s="21" t="n">
        <v>0</v>
      </c>
      <c r="M12079" s="21" t="n">
        <v>0</v>
      </c>
      <c r="N12079" s="21" t="n">
        <v>0</v>
      </c>
      <c r="O12079" s="21" t="n">
        <v>0</v>
      </c>
      <c r="P12079" s="21" t="n">
        <v>0</v>
      </c>
      <c r="Q12079" s="21" t="n">
        <v>0</v>
      </c>
      <c r="R12079" s="21">
        <f>-$B$10476</f>
        <v/>
      </c>
      <c r="S12079" s="21">
        <f>-$B$10477</f>
        <v/>
      </c>
      <c r="T12079" s="21">
        <f>2*$B$10476+$D$12059</f>
        <v/>
      </c>
      <c r="U12079" s="21">
        <f>0</f>
        <v/>
      </c>
      <c r="V12079" s="21">
        <f>-$B$10476</f>
        <v/>
      </c>
      <c r="W12079" s="21">
        <f>$B$10477</f>
        <v/>
      </c>
      <c r="X12079" s="21" t="n">
        <v>0</v>
      </c>
      <c r="Y12079" s="21" t="n">
        <v>0</v>
      </c>
      <c r="Z12079" s="19" t="n"/>
    </row>
    <row r="12080">
      <c r="D12080" s="21" t="n">
        <v>0</v>
      </c>
      <c r="E12080" s="21" t="n">
        <v>0</v>
      </c>
      <c r="F12080" s="21" t="n">
        <v>0</v>
      </c>
      <c r="G12080" s="21" t="n">
        <v>0</v>
      </c>
      <c r="H12080" s="21" t="n">
        <v>0</v>
      </c>
      <c r="I12080" s="21" t="n">
        <v>0</v>
      </c>
      <c r="J12080" s="21" t="n">
        <v>0</v>
      </c>
      <c r="K12080" s="21" t="n">
        <v>0</v>
      </c>
      <c r="L12080" s="21" t="n">
        <v>0</v>
      </c>
      <c r="M12080" s="21" t="n">
        <v>0</v>
      </c>
      <c r="N12080" s="21" t="n">
        <v>0</v>
      </c>
      <c r="O12080" s="21" t="n">
        <v>0</v>
      </c>
      <c r="P12080" s="21" t="n">
        <v>0</v>
      </c>
      <c r="Q12080" s="21" t="n">
        <v>0</v>
      </c>
      <c r="R12080" s="21">
        <f>$B$10477</f>
        <v/>
      </c>
      <c r="S12080" s="21">
        <f>$B$10479</f>
        <v/>
      </c>
      <c r="T12080" s="21">
        <f>0</f>
        <v/>
      </c>
      <c r="U12080" s="21">
        <f>2*$B$10478</f>
        <v/>
      </c>
      <c r="V12080" s="21">
        <f>-$B$10477</f>
        <v/>
      </c>
      <c r="W12080" s="21">
        <f>$B$10479</f>
        <v/>
      </c>
      <c r="X12080" s="21" t="n">
        <v>0</v>
      </c>
      <c r="Y12080" s="21" t="n">
        <v>0</v>
      </c>
      <c r="Z12080" s="19" t="n"/>
    </row>
    <row r="12081">
      <c r="D12081" s="21" t="n">
        <v>0</v>
      </c>
      <c r="E12081" s="21" t="n">
        <v>0</v>
      </c>
      <c r="F12081" s="21" t="n">
        <v>0</v>
      </c>
      <c r="G12081" s="21" t="n">
        <v>0</v>
      </c>
      <c r="H12081" s="21" t="n">
        <v>0</v>
      </c>
      <c r="I12081" s="21" t="n">
        <v>0</v>
      </c>
      <c r="J12081" s="21" t="n">
        <v>0</v>
      </c>
      <c r="K12081" s="21" t="n">
        <v>0</v>
      </c>
      <c r="L12081" s="21" t="n">
        <v>0</v>
      </c>
      <c r="M12081" s="21" t="n">
        <v>0</v>
      </c>
      <c r="N12081" s="21" t="n">
        <v>0</v>
      </c>
      <c r="O12081" s="21" t="n">
        <v>0</v>
      </c>
      <c r="P12081" s="21" t="n">
        <v>0</v>
      </c>
      <c r="Q12081" s="21" t="n">
        <v>0</v>
      </c>
      <c r="R12081" s="21" t="n">
        <v>0</v>
      </c>
      <c r="S12081" s="21" t="n">
        <v>0</v>
      </c>
      <c r="T12081" s="21">
        <f>-$B$10476</f>
        <v/>
      </c>
      <c r="U12081" s="21">
        <f>-$B$10477</f>
        <v/>
      </c>
      <c r="V12081" s="21">
        <f>2*$B$10476+$D$12060</f>
        <v/>
      </c>
      <c r="W12081" s="21">
        <f>0</f>
        <v/>
      </c>
      <c r="X12081" s="21">
        <f>-$B$10476</f>
        <v/>
      </c>
      <c r="Y12081" s="21">
        <f>$B$10477</f>
        <v/>
      </c>
      <c r="Z12081" s="19" t="n"/>
    </row>
    <row r="12082">
      <c r="D12082" s="21" t="n">
        <v>0</v>
      </c>
      <c r="E12082" s="21" t="n">
        <v>0</v>
      </c>
      <c r="F12082" s="21" t="n">
        <v>0</v>
      </c>
      <c r="G12082" s="21" t="n">
        <v>0</v>
      </c>
      <c r="H12082" s="21" t="n">
        <v>0</v>
      </c>
      <c r="I12082" s="21" t="n">
        <v>0</v>
      </c>
      <c r="J12082" s="21" t="n">
        <v>0</v>
      </c>
      <c r="K12082" s="21" t="n">
        <v>0</v>
      </c>
      <c r="L12082" s="21" t="n">
        <v>0</v>
      </c>
      <c r="M12082" s="21" t="n">
        <v>0</v>
      </c>
      <c r="N12082" s="21" t="n">
        <v>0</v>
      </c>
      <c r="O12082" s="21" t="n">
        <v>0</v>
      </c>
      <c r="P12082" s="21" t="n">
        <v>0</v>
      </c>
      <c r="Q12082" s="21" t="n">
        <v>0</v>
      </c>
      <c r="R12082" s="21" t="n">
        <v>0</v>
      </c>
      <c r="S12082" s="21" t="n">
        <v>0</v>
      </c>
      <c r="T12082" s="21">
        <f>$B$10477</f>
        <v/>
      </c>
      <c r="U12082" s="21">
        <f>$B$10479</f>
        <v/>
      </c>
      <c r="V12082" s="21">
        <f>0</f>
        <v/>
      </c>
      <c r="W12082" s="21">
        <f>2*$B$10478</f>
        <v/>
      </c>
      <c r="X12082" s="21">
        <f>-$B$10477</f>
        <v/>
      </c>
      <c r="Y12082" s="21">
        <f>$B$10479</f>
        <v/>
      </c>
      <c r="Z12082" s="19" t="n"/>
    </row>
    <row r="12083">
      <c r="D12083" s="21" t="n">
        <v>0</v>
      </c>
      <c r="E12083" s="21" t="n">
        <v>0</v>
      </c>
      <c r="F12083" s="21" t="n">
        <v>0</v>
      </c>
      <c r="G12083" s="21" t="n">
        <v>0</v>
      </c>
      <c r="H12083" s="21" t="n">
        <v>0</v>
      </c>
      <c r="I12083" s="21" t="n">
        <v>0</v>
      </c>
      <c r="J12083" s="21" t="n">
        <v>0</v>
      </c>
      <c r="K12083" s="21" t="n">
        <v>0</v>
      </c>
      <c r="L12083" s="21" t="n">
        <v>0</v>
      </c>
      <c r="M12083" s="21" t="n">
        <v>0</v>
      </c>
      <c r="N12083" s="21" t="n">
        <v>0</v>
      </c>
      <c r="O12083" s="21" t="n">
        <v>0</v>
      </c>
      <c r="P12083" s="21" t="n">
        <v>0</v>
      </c>
      <c r="Q12083" s="21" t="n">
        <v>0</v>
      </c>
      <c r="R12083" s="21" t="n">
        <v>0</v>
      </c>
      <c r="S12083" s="21" t="n">
        <v>0</v>
      </c>
      <c r="T12083" s="21" t="n">
        <v>0</v>
      </c>
      <c r="U12083" s="21" t="n">
        <v>0</v>
      </c>
      <c r="V12083" s="21">
        <f>-$B$10476</f>
        <v/>
      </c>
      <c r="W12083" s="21">
        <f>-$B$10477</f>
        <v/>
      </c>
      <c r="X12083" s="21">
        <f>$B$10476+$D$12061</f>
        <v/>
      </c>
      <c r="Y12083" s="21">
        <f>-$B$10477</f>
        <v/>
      </c>
      <c r="Z12083" s="19" t="n"/>
    </row>
    <row r="12084">
      <c r="D12084" s="21" t="n">
        <v>0</v>
      </c>
      <c r="E12084" s="21" t="n">
        <v>0</v>
      </c>
      <c r="F12084" s="21" t="n">
        <v>0</v>
      </c>
      <c r="G12084" s="21" t="n">
        <v>0</v>
      </c>
      <c r="H12084" s="21" t="n">
        <v>0</v>
      </c>
      <c r="I12084" s="21" t="n">
        <v>0</v>
      </c>
      <c r="J12084" s="21" t="n">
        <v>0</v>
      </c>
      <c r="K12084" s="21" t="n">
        <v>0</v>
      </c>
      <c r="L12084" s="21" t="n">
        <v>0</v>
      </c>
      <c r="M12084" s="21" t="n">
        <v>0</v>
      </c>
      <c r="N12084" s="21" t="n">
        <v>0</v>
      </c>
      <c r="O12084" s="21" t="n">
        <v>0</v>
      </c>
      <c r="P12084" s="21" t="n">
        <v>0</v>
      </c>
      <c r="Q12084" s="21" t="n">
        <v>0</v>
      </c>
      <c r="R12084" s="21" t="n">
        <v>0</v>
      </c>
      <c r="S12084" s="21" t="n">
        <v>0</v>
      </c>
      <c r="T12084" s="21" t="n">
        <v>0</v>
      </c>
      <c r="U12084" s="21" t="n">
        <v>0</v>
      </c>
      <c r="V12084" s="21">
        <f>$B$10477</f>
        <v/>
      </c>
      <c r="W12084" s="21">
        <f>$B$10479</f>
        <v/>
      </c>
      <c r="X12084" s="21">
        <f>-$B$10477</f>
        <v/>
      </c>
      <c r="Y12084" s="21">
        <f>$B$10478</f>
        <v/>
      </c>
      <c r="Z12084" s="19" t="n"/>
    </row>
    <row r="12086">
      <c r="A12086" s="8" t="inlineStr">
        <is>
          <t>gen 44</t>
        </is>
      </c>
    </row>
    <row r="12087">
      <c r="D12087" s="19">
        <f>IF(ABS(IF(ABS($E$12051)&gt;0.000000001,$E$12051,0.000000001))=0,0,IF($E$10491&lt;=$B$10485,0,IF(ABS(IF(ABS($E$12051)&gt;0.000000001,$E$12051,0.000000001))&gt;=8*$B$10487,$H$10491,0.5*$H$10491*(ABS(IF(ABS($E$12051)&gt;0.000000001,$E$12051,0.000000001))/$B$10487)^(1/3)))/ABS(IF(ABS($E$12051)&gt;0.000000001,$E$12051,0.000000001))*$I$10491)</f>
        <v/>
      </c>
      <c r="E12087" s="19">
        <f>0.5*$E$12051+0.5*$Z$12099</f>
        <v/>
      </c>
      <c r="F12087" s="19">
        <f>$Z$12100</f>
        <v/>
      </c>
    </row>
    <row r="12088">
      <c r="D12088" s="19">
        <f>IF(ABS(IF(ABS($E$12052)&gt;0.000000001,$E$12052,0.000000001))=0,0,IF($E$10492&lt;=$B$10485,0,IF(ABS(IF(ABS($E$12052)&gt;0.000000001,$E$12052,0.000000001))&gt;=8*$B$10487,$H$10492,0.5*$H$10492*(ABS(IF(ABS($E$12052)&gt;0.000000001,$E$12052,0.000000001))/$B$10487)^(1/3)))/ABS(IF(ABS($E$12052)&gt;0.000000001,$E$12052,0.000000001))*$I$10492)</f>
        <v/>
      </c>
      <c r="E12088" s="19">
        <f>0.5*$E$12052+0.5*$Z$12101</f>
        <v/>
      </c>
      <c r="F12088" s="19">
        <f>$Z$12102</f>
        <v/>
      </c>
    </row>
    <row r="12089">
      <c r="D12089" s="19">
        <f>IF(ABS(IF(ABS($E$12053)&gt;0.000000001,$E$12053,0.000000001))=0,0,IF($E$10493&lt;=$B$10485,0,IF(ABS(IF(ABS($E$12053)&gt;0.000000001,$E$12053,0.000000001))&gt;=8*$B$10487,$H$10493,0.5*$H$10493*(ABS(IF(ABS($E$12053)&gt;0.000000001,$E$12053,0.000000001))/$B$10487)^(1/3)))/ABS(IF(ABS($E$12053)&gt;0.000000001,$E$12053,0.000000001))*$I$10493)</f>
        <v/>
      </c>
      <c r="E12089" s="19">
        <f>0.5*$E$12053+0.5*$Z$12103</f>
        <v/>
      </c>
      <c r="F12089" s="19">
        <f>$Z$12104</f>
        <v/>
      </c>
    </row>
    <row r="12090">
      <c r="D12090" s="19">
        <f>IF(ABS(IF(ABS($E$12054)&gt;0.000000001,$E$12054,0.000000001))=0,0,IF($E$10494&lt;=$B$10485,0,IF(ABS(IF(ABS($E$12054)&gt;0.000000001,$E$12054,0.000000001))&gt;=8*$B$10487,$H$10494,0.5*$H$10494*(ABS(IF(ABS($E$12054)&gt;0.000000001,$E$12054,0.000000001))/$B$10487)^(1/3)))/ABS(IF(ABS($E$12054)&gt;0.000000001,$E$12054,0.000000001))*$I$10494)</f>
        <v/>
      </c>
      <c r="E12090" s="19">
        <f>0.5*$E$12054+0.5*$Z$12105</f>
        <v/>
      </c>
      <c r="F12090" s="19">
        <f>$Z$12106</f>
        <v/>
      </c>
    </row>
    <row r="12091">
      <c r="D12091" s="19">
        <f>IF(ABS(IF(ABS($E$12055)&gt;0.000000001,$E$12055,0.000000001))=0,0,IF($E$10495&lt;=$B$10485,0,IF(ABS(IF(ABS($E$12055)&gt;0.000000001,$E$12055,0.000000001))&gt;=8*$B$10487,$H$10495,0.5*$H$10495*(ABS(IF(ABS($E$12055)&gt;0.000000001,$E$12055,0.000000001))/$B$10487)^(1/3)))/ABS(IF(ABS($E$12055)&gt;0.000000001,$E$12055,0.000000001))*$I$10495)</f>
        <v/>
      </c>
      <c r="E12091" s="19">
        <f>0.5*$E$12055+0.5*$Z$12107</f>
        <v/>
      </c>
      <c r="F12091" s="19">
        <f>$Z$12108</f>
        <v/>
      </c>
    </row>
    <row r="12092">
      <c r="D12092" s="19">
        <f>IF(ABS(IF(ABS($E$12056)&gt;0.000000001,$E$12056,0.000000001))=0,0,IF($E$10496&lt;=$B$10485,0,IF(ABS(IF(ABS($E$12056)&gt;0.000000001,$E$12056,0.000000001))&gt;=8*$B$10487,$H$10496,0.5*$H$10496*(ABS(IF(ABS($E$12056)&gt;0.000000001,$E$12056,0.000000001))/$B$10487)^(1/3)))/ABS(IF(ABS($E$12056)&gt;0.000000001,$E$12056,0.000000001))*$I$10496)</f>
        <v/>
      </c>
      <c r="E12092" s="19">
        <f>0.5*$E$12056+0.5*$Z$12109</f>
        <v/>
      </c>
      <c r="F12092" s="19">
        <f>$Z$12110</f>
        <v/>
      </c>
    </row>
    <row r="12093">
      <c r="D12093" s="19">
        <f>IF(ABS(IF(ABS($E$12057)&gt;0.000000001,$E$12057,0.000000001))=0,0,IF($E$10497&lt;=$B$10485,0,IF(ABS(IF(ABS($E$12057)&gt;0.000000001,$E$12057,0.000000001))&gt;=8*$B$10487,$H$10497,0.5*$H$10497*(ABS(IF(ABS($E$12057)&gt;0.000000001,$E$12057,0.000000001))/$B$10487)^(1/3)))/ABS(IF(ABS($E$12057)&gt;0.000000001,$E$12057,0.000000001))*$I$10497)</f>
        <v/>
      </c>
      <c r="E12093" s="19">
        <f>0.5*$E$12057+0.5*$Z$12111</f>
        <v/>
      </c>
      <c r="F12093" s="19">
        <f>$Z$12112</f>
        <v/>
      </c>
    </row>
    <row r="12094">
      <c r="D12094" s="19">
        <f>IF(ABS(IF(ABS($E$12058)&gt;0.000000001,$E$12058,0.000000001))=0,0,IF($E$10498&lt;=$B$10485,0,IF(ABS(IF(ABS($E$12058)&gt;0.000000001,$E$12058,0.000000001))&gt;=8*$B$10487,$H$10498,0.5*$H$10498*(ABS(IF(ABS($E$12058)&gt;0.000000001,$E$12058,0.000000001))/$B$10487)^(1/3)))/ABS(IF(ABS($E$12058)&gt;0.000000001,$E$12058,0.000000001))*$I$10498)</f>
        <v/>
      </c>
      <c r="E12094" s="19">
        <f>0.5*$E$12058+0.5*$Z$12113</f>
        <v/>
      </c>
      <c r="F12094" s="19">
        <f>$Z$12114</f>
        <v/>
      </c>
    </row>
    <row r="12095">
      <c r="D12095" s="19">
        <f>IF(ABS(IF(ABS($E$12059)&gt;0.000000001,$E$12059,0.000000001))=0,0,IF($E$10499&lt;=$B$10485,0,IF(ABS(IF(ABS($E$12059)&gt;0.000000001,$E$12059,0.000000001))&gt;=8*$B$10487,$H$10499,0.5*$H$10499*(ABS(IF(ABS($E$12059)&gt;0.000000001,$E$12059,0.000000001))/$B$10487)^(1/3)))/ABS(IF(ABS($E$12059)&gt;0.000000001,$E$12059,0.000000001))*$I$10499)</f>
        <v/>
      </c>
      <c r="E12095" s="19">
        <f>0.5*$E$12059+0.5*$Z$12115</f>
        <v/>
      </c>
      <c r="F12095" s="19">
        <f>$Z$12116</f>
        <v/>
      </c>
    </row>
    <row r="12096">
      <c r="D12096" s="19">
        <f>IF(ABS(IF(ABS($E$12060)&gt;0.000000001,$E$12060,0.000000001))=0,0,IF($E$10500&lt;=$B$10485,0,IF(ABS(IF(ABS($E$12060)&gt;0.000000001,$E$12060,0.000000001))&gt;=8*$B$10487,$H$10500,0.5*$H$10500*(ABS(IF(ABS($E$12060)&gt;0.000000001,$E$12060,0.000000001))/$B$10487)^(1/3)))/ABS(IF(ABS($E$12060)&gt;0.000000001,$E$12060,0.000000001))*$I$10500)</f>
        <v/>
      </c>
      <c r="E12096" s="19">
        <f>0.5*$E$12060+0.5*$Z$12117</f>
        <v/>
      </c>
      <c r="F12096" s="19">
        <f>$Z$12118</f>
        <v/>
      </c>
    </row>
    <row r="12097">
      <c r="D12097" s="19">
        <f>IF(ABS(IF(ABS($E$12061)&gt;0.000000001,$E$12061,0.000000001))=0,0,IF($E$10501&lt;=$B$10485,0,IF(ABS(IF(ABS($E$12061)&gt;0.000000001,$E$12061,0.000000001))&gt;=8*$B$10487,$H$10501,0.5*$H$10501*(ABS(IF(ABS($E$12061)&gt;0.000000001,$E$12061,0.000000001))/$B$10487)^(1/3)))/ABS(IF(ABS($E$12061)&gt;0.000000001,$E$12061,0.000000001))*$I$10501)</f>
        <v/>
      </c>
      <c r="E12097" s="19">
        <f>0.5*$E$12061+0.5*$Z$12119</f>
        <v/>
      </c>
      <c r="F12097" s="19">
        <f>$Z$12120</f>
        <v/>
      </c>
    </row>
    <row r="12099">
      <c r="D12099" s="21">
        <f>$B$10476+$D$12087</f>
        <v/>
      </c>
      <c r="E12099" s="21">
        <f>$B$10477</f>
        <v/>
      </c>
      <c r="F12099" s="21">
        <f>-$B$10476</f>
        <v/>
      </c>
      <c r="G12099" s="21">
        <f>$B$10477</f>
        <v/>
      </c>
      <c r="H12099" s="21" t="n">
        <v>0</v>
      </c>
      <c r="I12099" s="21" t="n">
        <v>0</v>
      </c>
      <c r="J12099" s="21" t="n">
        <v>0</v>
      </c>
      <c r="K12099" s="21" t="n">
        <v>0</v>
      </c>
      <c r="L12099" s="21" t="n">
        <v>0</v>
      </c>
      <c r="M12099" s="21" t="n">
        <v>0</v>
      </c>
      <c r="N12099" s="21" t="n">
        <v>0</v>
      </c>
      <c r="O12099" s="21" t="n">
        <v>0</v>
      </c>
      <c r="P12099" s="21" t="n">
        <v>0</v>
      </c>
      <c r="Q12099" s="21" t="n">
        <v>0</v>
      </c>
      <c r="R12099" s="21" t="n">
        <v>0</v>
      </c>
      <c r="S12099" s="21" t="n">
        <v>0</v>
      </c>
      <c r="T12099" s="21" t="n">
        <v>0</v>
      </c>
      <c r="U12099" s="21" t="n">
        <v>0</v>
      </c>
      <c r="V12099" s="21" t="n">
        <v>0</v>
      </c>
      <c r="W12099" s="21" t="n">
        <v>0</v>
      </c>
      <c r="X12099" s="21" t="n">
        <v>0</v>
      </c>
      <c r="Y12099" s="21" t="n">
        <v>0</v>
      </c>
      <c r="Z12099" s="19">
        <f t="array" ref="Z12099:Z12120">MMULT(MINVERSE($D$12099:$Y$12120),$D$10503:$D$10524)</f>
        <v/>
      </c>
    </row>
    <row r="12100">
      <c r="D12100" s="21">
        <f>$B$10477</f>
        <v/>
      </c>
      <c r="E12100" s="21">
        <f>$B$10478</f>
        <v/>
      </c>
      <c r="F12100" s="21">
        <f>-$B$10477</f>
        <v/>
      </c>
      <c r="G12100" s="21">
        <f>$B$10479</f>
        <v/>
      </c>
      <c r="H12100" s="21" t="n">
        <v>0</v>
      </c>
      <c r="I12100" s="21" t="n">
        <v>0</v>
      </c>
      <c r="J12100" s="21" t="n">
        <v>0</v>
      </c>
      <c r="K12100" s="21" t="n">
        <v>0</v>
      </c>
      <c r="L12100" s="21" t="n">
        <v>0</v>
      </c>
      <c r="M12100" s="21" t="n">
        <v>0</v>
      </c>
      <c r="N12100" s="21" t="n">
        <v>0</v>
      </c>
      <c r="O12100" s="21" t="n">
        <v>0</v>
      </c>
      <c r="P12100" s="21" t="n">
        <v>0</v>
      </c>
      <c r="Q12100" s="21" t="n">
        <v>0</v>
      </c>
      <c r="R12100" s="21" t="n">
        <v>0</v>
      </c>
      <c r="S12100" s="21" t="n">
        <v>0</v>
      </c>
      <c r="T12100" s="21" t="n">
        <v>0</v>
      </c>
      <c r="U12100" s="21" t="n">
        <v>0</v>
      </c>
      <c r="V12100" s="21" t="n">
        <v>0</v>
      </c>
      <c r="W12100" s="21" t="n">
        <v>0</v>
      </c>
      <c r="X12100" s="21" t="n">
        <v>0</v>
      </c>
      <c r="Y12100" s="21" t="n">
        <v>0</v>
      </c>
      <c r="Z12100" s="19" t="n"/>
    </row>
    <row r="12101">
      <c r="D12101" s="21">
        <f>-$B$10476</f>
        <v/>
      </c>
      <c r="E12101" s="21">
        <f>-$B$10477</f>
        <v/>
      </c>
      <c r="F12101" s="21">
        <f>2*$B$10476+$D$12088</f>
        <v/>
      </c>
      <c r="G12101" s="21">
        <f>0</f>
        <v/>
      </c>
      <c r="H12101" s="21">
        <f>-$B$10476</f>
        <v/>
      </c>
      <c r="I12101" s="21">
        <f>$B$10477</f>
        <v/>
      </c>
      <c r="J12101" s="21" t="n">
        <v>0</v>
      </c>
      <c r="K12101" s="21" t="n">
        <v>0</v>
      </c>
      <c r="L12101" s="21" t="n">
        <v>0</v>
      </c>
      <c r="M12101" s="21" t="n">
        <v>0</v>
      </c>
      <c r="N12101" s="21" t="n">
        <v>0</v>
      </c>
      <c r="O12101" s="21" t="n">
        <v>0</v>
      </c>
      <c r="P12101" s="21" t="n">
        <v>0</v>
      </c>
      <c r="Q12101" s="21" t="n">
        <v>0</v>
      </c>
      <c r="R12101" s="21" t="n">
        <v>0</v>
      </c>
      <c r="S12101" s="21" t="n">
        <v>0</v>
      </c>
      <c r="T12101" s="21" t="n">
        <v>0</v>
      </c>
      <c r="U12101" s="21" t="n">
        <v>0</v>
      </c>
      <c r="V12101" s="21" t="n">
        <v>0</v>
      </c>
      <c r="W12101" s="21" t="n">
        <v>0</v>
      </c>
      <c r="X12101" s="21" t="n">
        <v>0</v>
      </c>
      <c r="Y12101" s="21" t="n">
        <v>0</v>
      </c>
      <c r="Z12101" s="19" t="n"/>
    </row>
    <row r="12102">
      <c r="D12102" s="21">
        <f>$B$10477</f>
        <v/>
      </c>
      <c r="E12102" s="21">
        <f>$B$10479</f>
        <v/>
      </c>
      <c r="F12102" s="21">
        <f>0</f>
        <v/>
      </c>
      <c r="G12102" s="21">
        <f>2*$B$10478</f>
        <v/>
      </c>
      <c r="H12102" s="21">
        <f>-$B$10477</f>
        <v/>
      </c>
      <c r="I12102" s="21">
        <f>$B$10479</f>
        <v/>
      </c>
      <c r="J12102" s="21" t="n">
        <v>0</v>
      </c>
      <c r="K12102" s="21" t="n">
        <v>0</v>
      </c>
      <c r="L12102" s="21" t="n">
        <v>0</v>
      </c>
      <c r="M12102" s="21" t="n">
        <v>0</v>
      </c>
      <c r="N12102" s="21" t="n">
        <v>0</v>
      </c>
      <c r="O12102" s="21" t="n">
        <v>0</v>
      </c>
      <c r="P12102" s="21" t="n">
        <v>0</v>
      </c>
      <c r="Q12102" s="21" t="n">
        <v>0</v>
      </c>
      <c r="R12102" s="21" t="n">
        <v>0</v>
      </c>
      <c r="S12102" s="21" t="n">
        <v>0</v>
      </c>
      <c r="T12102" s="21" t="n">
        <v>0</v>
      </c>
      <c r="U12102" s="21" t="n">
        <v>0</v>
      </c>
      <c r="V12102" s="21" t="n">
        <v>0</v>
      </c>
      <c r="W12102" s="21" t="n">
        <v>0</v>
      </c>
      <c r="X12102" s="21" t="n">
        <v>0</v>
      </c>
      <c r="Y12102" s="21" t="n">
        <v>0</v>
      </c>
      <c r="Z12102" s="19" t="n"/>
    </row>
    <row r="12103">
      <c r="D12103" s="21" t="n">
        <v>0</v>
      </c>
      <c r="E12103" s="21" t="n">
        <v>0</v>
      </c>
      <c r="F12103" s="21">
        <f>-$B$10476</f>
        <v/>
      </c>
      <c r="G12103" s="21">
        <f>-$B$10477</f>
        <v/>
      </c>
      <c r="H12103" s="21">
        <f>2*$B$10476+$D$12089</f>
        <v/>
      </c>
      <c r="I12103" s="21">
        <f>0</f>
        <v/>
      </c>
      <c r="J12103" s="21">
        <f>-$B$10476</f>
        <v/>
      </c>
      <c r="K12103" s="21">
        <f>$B$10477</f>
        <v/>
      </c>
      <c r="L12103" s="21" t="n">
        <v>0</v>
      </c>
      <c r="M12103" s="21" t="n">
        <v>0</v>
      </c>
      <c r="N12103" s="21" t="n">
        <v>0</v>
      </c>
      <c r="O12103" s="21" t="n">
        <v>0</v>
      </c>
      <c r="P12103" s="21" t="n">
        <v>0</v>
      </c>
      <c r="Q12103" s="21" t="n">
        <v>0</v>
      </c>
      <c r="R12103" s="21" t="n">
        <v>0</v>
      </c>
      <c r="S12103" s="21" t="n">
        <v>0</v>
      </c>
      <c r="T12103" s="21" t="n">
        <v>0</v>
      </c>
      <c r="U12103" s="21" t="n">
        <v>0</v>
      </c>
      <c r="V12103" s="21" t="n">
        <v>0</v>
      </c>
      <c r="W12103" s="21" t="n">
        <v>0</v>
      </c>
      <c r="X12103" s="21" t="n">
        <v>0</v>
      </c>
      <c r="Y12103" s="21" t="n">
        <v>0</v>
      </c>
      <c r="Z12103" s="19" t="n"/>
    </row>
    <row r="12104">
      <c r="D12104" s="21" t="n">
        <v>0</v>
      </c>
      <c r="E12104" s="21" t="n">
        <v>0</v>
      </c>
      <c r="F12104" s="21">
        <f>$B$10477</f>
        <v/>
      </c>
      <c r="G12104" s="21">
        <f>$B$10479</f>
        <v/>
      </c>
      <c r="H12104" s="21">
        <f>0</f>
        <v/>
      </c>
      <c r="I12104" s="21">
        <f>2*$B$10478</f>
        <v/>
      </c>
      <c r="J12104" s="21">
        <f>-$B$10477</f>
        <v/>
      </c>
      <c r="K12104" s="21">
        <f>$B$10479</f>
        <v/>
      </c>
      <c r="L12104" s="21" t="n">
        <v>0</v>
      </c>
      <c r="M12104" s="21" t="n">
        <v>0</v>
      </c>
      <c r="N12104" s="21" t="n">
        <v>0</v>
      </c>
      <c r="O12104" s="21" t="n">
        <v>0</v>
      </c>
      <c r="P12104" s="21" t="n">
        <v>0</v>
      </c>
      <c r="Q12104" s="21" t="n">
        <v>0</v>
      </c>
      <c r="R12104" s="21" t="n">
        <v>0</v>
      </c>
      <c r="S12104" s="21" t="n">
        <v>0</v>
      </c>
      <c r="T12104" s="21" t="n">
        <v>0</v>
      </c>
      <c r="U12104" s="21" t="n">
        <v>0</v>
      </c>
      <c r="V12104" s="21" t="n">
        <v>0</v>
      </c>
      <c r="W12104" s="21" t="n">
        <v>0</v>
      </c>
      <c r="X12104" s="21" t="n">
        <v>0</v>
      </c>
      <c r="Y12104" s="21" t="n">
        <v>0</v>
      </c>
      <c r="Z12104" s="19" t="n"/>
    </row>
    <row r="12105">
      <c r="D12105" s="21" t="n">
        <v>0</v>
      </c>
      <c r="E12105" s="21" t="n">
        <v>0</v>
      </c>
      <c r="F12105" s="21" t="n">
        <v>0</v>
      </c>
      <c r="G12105" s="21" t="n">
        <v>0</v>
      </c>
      <c r="H12105" s="21">
        <f>-$B$10476</f>
        <v/>
      </c>
      <c r="I12105" s="21">
        <f>-$B$10477</f>
        <v/>
      </c>
      <c r="J12105" s="21">
        <f>2*$B$10476+$D$12090</f>
        <v/>
      </c>
      <c r="K12105" s="21">
        <f>0</f>
        <v/>
      </c>
      <c r="L12105" s="21">
        <f>-$B$10476</f>
        <v/>
      </c>
      <c r="M12105" s="21">
        <f>$B$10477</f>
        <v/>
      </c>
      <c r="N12105" s="21" t="n">
        <v>0</v>
      </c>
      <c r="O12105" s="21" t="n">
        <v>0</v>
      </c>
      <c r="P12105" s="21" t="n">
        <v>0</v>
      </c>
      <c r="Q12105" s="21" t="n">
        <v>0</v>
      </c>
      <c r="R12105" s="21" t="n">
        <v>0</v>
      </c>
      <c r="S12105" s="21" t="n">
        <v>0</v>
      </c>
      <c r="T12105" s="21" t="n">
        <v>0</v>
      </c>
      <c r="U12105" s="21" t="n">
        <v>0</v>
      </c>
      <c r="V12105" s="21" t="n">
        <v>0</v>
      </c>
      <c r="W12105" s="21" t="n">
        <v>0</v>
      </c>
      <c r="X12105" s="21" t="n">
        <v>0</v>
      </c>
      <c r="Y12105" s="21" t="n">
        <v>0</v>
      </c>
      <c r="Z12105" s="19" t="n"/>
    </row>
    <row r="12106">
      <c r="D12106" s="21" t="n">
        <v>0</v>
      </c>
      <c r="E12106" s="21" t="n">
        <v>0</v>
      </c>
      <c r="F12106" s="21" t="n">
        <v>0</v>
      </c>
      <c r="G12106" s="21" t="n">
        <v>0</v>
      </c>
      <c r="H12106" s="21">
        <f>$B$10477</f>
        <v/>
      </c>
      <c r="I12106" s="21">
        <f>$B$10479</f>
        <v/>
      </c>
      <c r="J12106" s="21">
        <f>0</f>
        <v/>
      </c>
      <c r="K12106" s="21">
        <f>2*$B$10478</f>
        <v/>
      </c>
      <c r="L12106" s="21">
        <f>-$B$10477</f>
        <v/>
      </c>
      <c r="M12106" s="21">
        <f>$B$10479</f>
        <v/>
      </c>
      <c r="N12106" s="21" t="n">
        <v>0</v>
      </c>
      <c r="O12106" s="21" t="n">
        <v>0</v>
      </c>
      <c r="P12106" s="21" t="n">
        <v>0</v>
      </c>
      <c r="Q12106" s="21" t="n">
        <v>0</v>
      </c>
      <c r="R12106" s="21" t="n">
        <v>0</v>
      </c>
      <c r="S12106" s="21" t="n">
        <v>0</v>
      </c>
      <c r="T12106" s="21" t="n">
        <v>0</v>
      </c>
      <c r="U12106" s="21" t="n">
        <v>0</v>
      </c>
      <c r="V12106" s="21" t="n">
        <v>0</v>
      </c>
      <c r="W12106" s="21" t="n">
        <v>0</v>
      </c>
      <c r="X12106" s="21" t="n">
        <v>0</v>
      </c>
      <c r="Y12106" s="21" t="n">
        <v>0</v>
      </c>
      <c r="Z12106" s="19" t="n"/>
    </row>
    <row r="12107">
      <c r="D12107" s="21" t="n">
        <v>0</v>
      </c>
      <c r="E12107" s="21" t="n">
        <v>0</v>
      </c>
      <c r="F12107" s="21" t="n">
        <v>0</v>
      </c>
      <c r="G12107" s="21" t="n">
        <v>0</v>
      </c>
      <c r="H12107" s="21" t="n">
        <v>0</v>
      </c>
      <c r="I12107" s="21" t="n">
        <v>0</v>
      </c>
      <c r="J12107" s="21">
        <f>-$B$10476</f>
        <v/>
      </c>
      <c r="K12107" s="21">
        <f>-$B$10477</f>
        <v/>
      </c>
      <c r="L12107" s="21">
        <f>2*$B$10476+$D$12091</f>
        <v/>
      </c>
      <c r="M12107" s="21">
        <f>0</f>
        <v/>
      </c>
      <c r="N12107" s="21">
        <f>-$B$10476</f>
        <v/>
      </c>
      <c r="O12107" s="21">
        <f>$B$10477</f>
        <v/>
      </c>
      <c r="P12107" s="21" t="n">
        <v>0</v>
      </c>
      <c r="Q12107" s="21" t="n">
        <v>0</v>
      </c>
      <c r="R12107" s="21" t="n">
        <v>0</v>
      </c>
      <c r="S12107" s="21" t="n">
        <v>0</v>
      </c>
      <c r="T12107" s="21" t="n">
        <v>0</v>
      </c>
      <c r="U12107" s="21" t="n">
        <v>0</v>
      </c>
      <c r="V12107" s="21" t="n">
        <v>0</v>
      </c>
      <c r="W12107" s="21" t="n">
        <v>0</v>
      </c>
      <c r="X12107" s="21" t="n">
        <v>0</v>
      </c>
      <c r="Y12107" s="21" t="n">
        <v>0</v>
      </c>
      <c r="Z12107" s="19" t="n"/>
    </row>
    <row r="12108">
      <c r="D12108" s="21" t="n">
        <v>0</v>
      </c>
      <c r="E12108" s="21" t="n">
        <v>0</v>
      </c>
      <c r="F12108" s="21" t="n">
        <v>0</v>
      </c>
      <c r="G12108" s="21" t="n">
        <v>0</v>
      </c>
      <c r="H12108" s="21" t="n">
        <v>0</v>
      </c>
      <c r="I12108" s="21" t="n">
        <v>0</v>
      </c>
      <c r="J12108" s="21">
        <f>$B$10477</f>
        <v/>
      </c>
      <c r="K12108" s="21">
        <f>$B$10479</f>
        <v/>
      </c>
      <c r="L12108" s="21">
        <f>0</f>
        <v/>
      </c>
      <c r="M12108" s="21">
        <f>2*$B$10478</f>
        <v/>
      </c>
      <c r="N12108" s="21">
        <f>-$B$10477</f>
        <v/>
      </c>
      <c r="O12108" s="21">
        <f>$B$10479</f>
        <v/>
      </c>
      <c r="P12108" s="21" t="n">
        <v>0</v>
      </c>
      <c r="Q12108" s="21" t="n">
        <v>0</v>
      </c>
      <c r="R12108" s="21" t="n">
        <v>0</v>
      </c>
      <c r="S12108" s="21" t="n">
        <v>0</v>
      </c>
      <c r="T12108" s="21" t="n">
        <v>0</v>
      </c>
      <c r="U12108" s="21" t="n">
        <v>0</v>
      </c>
      <c r="V12108" s="21" t="n">
        <v>0</v>
      </c>
      <c r="W12108" s="21" t="n">
        <v>0</v>
      </c>
      <c r="X12108" s="21" t="n">
        <v>0</v>
      </c>
      <c r="Y12108" s="21" t="n">
        <v>0</v>
      </c>
      <c r="Z12108" s="19" t="n"/>
    </row>
    <row r="12109">
      <c r="D12109" s="21" t="n">
        <v>0</v>
      </c>
      <c r="E12109" s="21" t="n">
        <v>0</v>
      </c>
      <c r="F12109" s="21" t="n">
        <v>0</v>
      </c>
      <c r="G12109" s="21" t="n">
        <v>0</v>
      </c>
      <c r="H12109" s="21" t="n">
        <v>0</v>
      </c>
      <c r="I12109" s="21" t="n">
        <v>0</v>
      </c>
      <c r="J12109" s="21" t="n">
        <v>0</v>
      </c>
      <c r="K12109" s="21" t="n">
        <v>0</v>
      </c>
      <c r="L12109" s="21">
        <f>-$B$10476</f>
        <v/>
      </c>
      <c r="M12109" s="21">
        <f>-$B$10477</f>
        <v/>
      </c>
      <c r="N12109" s="21">
        <f>2*$B$10476+$D$12092</f>
        <v/>
      </c>
      <c r="O12109" s="21">
        <f>0</f>
        <v/>
      </c>
      <c r="P12109" s="21">
        <f>-$B$10476</f>
        <v/>
      </c>
      <c r="Q12109" s="21">
        <f>$B$10477</f>
        <v/>
      </c>
      <c r="R12109" s="21" t="n">
        <v>0</v>
      </c>
      <c r="S12109" s="21" t="n">
        <v>0</v>
      </c>
      <c r="T12109" s="21" t="n">
        <v>0</v>
      </c>
      <c r="U12109" s="21" t="n">
        <v>0</v>
      </c>
      <c r="V12109" s="21" t="n">
        <v>0</v>
      </c>
      <c r="W12109" s="21" t="n">
        <v>0</v>
      </c>
      <c r="X12109" s="21" t="n">
        <v>0</v>
      </c>
      <c r="Y12109" s="21" t="n">
        <v>0</v>
      </c>
      <c r="Z12109" s="19" t="n"/>
    </row>
    <row r="12110">
      <c r="D12110" s="21" t="n">
        <v>0</v>
      </c>
      <c r="E12110" s="21" t="n">
        <v>0</v>
      </c>
      <c r="F12110" s="21" t="n">
        <v>0</v>
      </c>
      <c r="G12110" s="21" t="n">
        <v>0</v>
      </c>
      <c r="H12110" s="21" t="n">
        <v>0</v>
      </c>
      <c r="I12110" s="21" t="n">
        <v>0</v>
      </c>
      <c r="J12110" s="21" t="n">
        <v>0</v>
      </c>
      <c r="K12110" s="21" t="n">
        <v>0</v>
      </c>
      <c r="L12110" s="21">
        <f>$B$10477</f>
        <v/>
      </c>
      <c r="M12110" s="21">
        <f>$B$10479</f>
        <v/>
      </c>
      <c r="N12110" s="21">
        <f>0</f>
        <v/>
      </c>
      <c r="O12110" s="21">
        <f>2*$B$10478</f>
        <v/>
      </c>
      <c r="P12110" s="21">
        <f>-$B$10477</f>
        <v/>
      </c>
      <c r="Q12110" s="21">
        <f>$B$10479</f>
        <v/>
      </c>
      <c r="R12110" s="21" t="n">
        <v>0</v>
      </c>
      <c r="S12110" s="21" t="n">
        <v>0</v>
      </c>
      <c r="T12110" s="21" t="n">
        <v>0</v>
      </c>
      <c r="U12110" s="21" t="n">
        <v>0</v>
      </c>
      <c r="V12110" s="21" t="n">
        <v>0</v>
      </c>
      <c r="W12110" s="21" t="n">
        <v>0</v>
      </c>
      <c r="X12110" s="21" t="n">
        <v>0</v>
      </c>
      <c r="Y12110" s="21" t="n">
        <v>0</v>
      </c>
      <c r="Z12110" s="19" t="n"/>
    </row>
    <row r="12111">
      <c r="D12111" s="21" t="n">
        <v>0</v>
      </c>
      <c r="E12111" s="21" t="n">
        <v>0</v>
      </c>
      <c r="F12111" s="21" t="n">
        <v>0</v>
      </c>
      <c r="G12111" s="21" t="n">
        <v>0</v>
      </c>
      <c r="H12111" s="21" t="n">
        <v>0</v>
      </c>
      <c r="I12111" s="21" t="n">
        <v>0</v>
      </c>
      <c r="J12111" s="21" t="n">
        <v>0</v>
      </c>
      <c r="K12111" s="21" t="n">
        <v>0</v>
      </c>
      <c r="L12111" s="21" t="n">
        <v>0</v>
      </c>
      <c r="M12111" s="21" t="n">
        <v>0</v>
      </c>
      <c r="N12111" s="21">
        <f>-$B$10476</f>
        <v/>
      </c>
      <c r="O12111" s="21">
        <f>-$B$10477</f>
        <v/>
      </c>
      <c r="P12111" s="21">
        <f>2*$B$10476+$D$12093</f>
        <v/>
      </c>
      <c r="Q12111" s="21">
        <f>0</f>
        <v/>
      </c>
      <c r="R12111" s="21">
        <f>-$B$10476</f>
        <v/>
      </c>
      <c r="S12111" s="21">
        <f>$B$10477</f>
        <v/>
      </c>
      <c r="T12111" s="21" t="n">
        <v>0</v>
      </c>
      <c r="U12111" s="21" t="n">
        <v>0</v>
      </c>
      <c r="V12111" s="21" t="n">
        <v>0</v>
      </c>
      <c r="W12111" s="21" t="n">
        <v>0</v>
      </c>
      <c r="X12111" s="21" t="n">
        <v>0</v>
      </c>
      <c r="Y12111" s="21" t="n">
        <v>0</v>
      </c>
      <c r="Z12111" s="19" t="n"/>
    </row>
    <row r="12112">
      <c r="D12112" s="21" t="n">
        <v>0</v>
      </c>
      <c r="E12112" s="21" t="n">
        <v>0</v>
      </c>
      <c r="F12112" s="21" t="n">
        <v>0</v>
      </c>
      <c r="G12112" s="21" t="n">
        <v>0</v>
      </c>
      <c r="H12112" s="21" t="n">
        <v>0</v>
      </c>
      <c r="I12112" s="21" t="n">
        <v>0</v>
      </c>
      <c r="J12112" s="21" t="n">
        <v>0</v>
      </c>
      <c r="K12112" s="21" t="n">
        <v>0</v>
      </c>
      <c r="L12112" s="21" t="n">
        <v>0</v>
      </c>
      <c r="M12112" s="21" t="n">
        <v>0</v>
      </c>
      <c r="N12112" s="21">
        <f>$B$10477</f>
        <v/>
      </c>
      <c r="O12112" s="21">
        <f>$B$10479</f>
        <v/>
      </c>
      <c r="P12112" s="21">
        <f>0</f>
        <v/>
      </c>
      <c r="Q12112" s="21">
        <f>2*$B$10478</f>
        <v/>
      </c>
      <c r="R12112" s="21">
        <f>-$B$10477</f>
        <v/>
      </c>
      <c r="S12112" s="21">
        <f>$B$10479</f>
        <v/>
      </c>
      <c r="T12112" s="21" t="n">
        <v>0</v>
      </c>
      <c r="U12112" s="21" t="n">
        <v>0</v>
      </c>
      <c r="V12112" s="21" t="n">
        <v>0</v>
      </c>
      <c r="W12112" s="21" t="n">
        <v>0</v>
      </c>
      <c r="X12112" s="21" t="n">
        <v>0</v>
      </c>
      <c r="Y12112" s="21" t="n">
        <v>0</v>
      </c>
      <c r="Z12112" s="19" t="n"/>
    </row>
    <row r="12113">
      <c r="D12113" s="21" t="n">
        <v>0</v>
      </c>
      <c r="E12113" s="21" t="n">
        <v>0</v>
      </c>
      <c r="F12113" s="21" t="n">
        <v>0</v>
      </c>
      <c r="G12113" s="21" t="n">
        <v>0</v>
      </c>
      <c r="H12113" s="21" t="n">
        <v>0</v>
      </c>
      <c r="I12113" s="21" t="n">
        <v>0</v>
      </c>
      <c r="J12113" s="21" t="n">
        <v>0</v>
      </c>
      <c r="K12113" s="21" t="n">
        <v>0</v>
      </c>
      <c r="L12113" s="21" t="n">
        <v>0</v>
      </c>
      <c r="M12113" s="21" t="n">
        <v>0</v>
      </c>
      <c r="N12113" s="21" t="n">
        <v>0</v>
      </c>
      <c r="O12113" s="21" t="n">
        <v>0</v>
      </c>
      <c r="P12113" s="21">
        <f>-$B$10476</f>
        <v/>
      </c>
      <c r="Q12113" s="21">
        <f>-$B$10477</f>
        <v/>
      </c>
      <c r="R12113" s="21">
        <f>2*$B$10476+$D$12094</f>
        <v/>
      </c>
      <c r="S12113" s="21">
        <f>0</f>
        <v/>
      </c>
      <c r="T12113" s="21">
        <f>-$B$10476</f>
        <v/>
      </c>
      <c r="U12113" s="21">
        <f>$B$10477</f>
        <v/>
      </c>
      <c r="V12113" s="21" t="n">
        <v>0</v>
      </c>
      <c r="W12113" s="21" t="n">
        <v>0</v>
      </c>
      <c r="X12113" s="21" t="n">
        <v>0</v>
      </c>
      <c r="Y12113" s="21" t="n">
        <v>0</v>
      </c>
      <c r="Z12113" s="19" t="n"/>
    </row>
    <row r="12114">
      <c r="D12114" s="21" t="n">
        <v>0</v>
      </c>
      <c r="E12114" s="21" t="n">
        <v>0</v>
      </c>
      <c r="F12114" s="21" t="n">
        <v>0</v>
      </c>
      <c r="G12114" s="21" t="n">
        <v>0</v>
      </c>
      <c r="H12114" s="21" t="n">
        <v>0</v>
      </c>
      <c r="I12114" s="21" t="n">
        <v>0</v>
      </c>
      <c r="J12114" s="21" t="n">
        <v>0</v>
      </c>
      <c r="K12114" s="21" t="n">
        <v>0</v>
      </c>
      <c r="L12114" s="21" t="n">
        <v>0</v>
      </c>
      <c r="M12114" s="21" t="n">
        <v>0</v>
      </c>
      <c r="N12114" s="21" t="n">
        <v>0</v>
      </c>
      <c r="O12114" s="21" t="n">
        <v>0</v>
      </c>
      <c r="P12114" s="21">
        <f>$B$10477</f>
        <v/>
      </c>
      <c r="Q12114" s="21">
        <f>$B$10479</f>
        <v/>
      </c>
      <c r="R12114" s="21">
        <f>0</f>
        <v/>
      </c>
      <c r="S12114" s="21">
        <f>2*$B$10478</f>
        <v/>
      </c>
      <c r="T12114" s="21">
        <f>-$B$10477</f>
        <v/>
      </c>
      <c r="U12114" s="21">
        <f>$B$10479</f>
        <v/>
      </c>
      <c r="V12114" s="21" t="n">
        <v>0</v>
      </c>
      <c r="W12114" s="21" t="n">
        <v>0</v>
      </c>
      <c r="X12114" s="21" t="n">
        <v>0</v>
      </c>
      <c r="Y12114" s="21" t="n">
        <v>0</v>
      </c>
      <c r="Z12114" s="19" t="n"/>
    </row>
    <row r="12115">
      <c r="D12115" s="21" t="n">
        <v>0</v>
      </c>
      <c r="E12115" s="21" t="n">
        <v>0</v>
      </c>
      <c r="F12115" s="21" t="n">
        <v>0</v>
      </c>
      <c r="G12115" s="21" t="n">
        <v>0</v>
      </c>
      <c r="H12115" s="21" t="n">
        <v>0</v>
      </c>
      <c r="I12115" s="21" t="n">
        <v>0</v>
      </c>
      <c r="J12115" s="21" t="n">
        <v>0</v>
      </c>
      <c r="K12115" s="21" t="n">
        <v>0</v>
      </c>
      <c r="L12115" s="21" t="n">
        <v>0</v>
      </c>
      <c r="M12115" s="21" t="n">
        <v>0</v>
      </c>
      <c r="N12115" s="21" t="n">
        <v>0</v>
      </c>
      <c r="O12115" s="21" t="n">
        <v>0</v>
      </c>
      <c r="P12115" s="21" t="n">
        <v>0</v>
      </c>
      <c r="Q12115" s="21" t="n">
        <v>0</v>
      </c>
      <c r="R12115" s="21">
        <f>-$B$10476</f>
        <v/>
      </c>
      <c r="S12115" s="21">
        <f>-$B$10477</f>
        <v/>
      </c>
      <c r="T12115" s="21">
        <f>2*$B$10476+$D$12095</f>
        <v/>
      </c>
      <c r="U12115" s="21">
        <f>0</f>
        <v/>
      </c>
      <c r="V12115" s="21">
        <f>-$B$10476</f>
        <v/>
      </c>
      <c r="W12115" s="21">
        <f>$B$10477</f>
        <v/>
      </c>
      <c r="X12115" s="21" t="n">
        <v>0</v>
      </c>
      <c r="Y12115" s="21" t="n">
        <v>0</v>
      </c>
      <c r="Z12115" s="19" t="n"/>
    </row>
    <row r="12116">
      <c r="D12116" s="21" t="n">
        <v>0</v>
      </c>
      <c r="E12116" s="21" t="n">
        <v>0</v>
      </c>
      <c r="F12116" s="21" t="n">
        <v>0</v>
      </c>
      <c r="G12116" s="21" t="n">
        <v>0</v>
      </c>
      <c r="H12116" s="21" t="n">
        <v>0</v>
      </c>
      <c r="I12116" s="21" t="n">
        <v>0</v>
      </c>
      <c r="J12116" s="21" t="n">
        <v>0</v>
      </c>
      <c r="K12116" s="21" t="n">
        <v>0</v>
      </c>
      <c r="L12116" s="21" t="n">
        <v>0</v>
      </c>
      <c r="M12116" s="21" t="n">
        <v>0</v>
      </c>
      <c r="N12116" s="21" t="n">
        <v>0</v>
      </c>
      <c r="O12116" s="21" t="n">
        <v>0</v>
      </c>
      <c r="P12116" s="21" t="n">
        <v>0</v>
      </c>
      <c r="Q12116" s="21" t="n">
        <v>0</v>
      </c>
      <c r="R12116" s="21">
        <f>$B$10477</f>
        <v/>
      </c>
      <c r="S12116" s="21">
        <f>$B$10479</f>
        <v/>
      </c>
      <c r="T12116" s="21">
        <f>0</f>
        <v/>
      </c>
      <c r="U12116" s="21">
        <f>2*$B$10478</f>
        <v/>
      </c>
      <c r="V12116" s="21">
        <f>-$B$10477</f>
        <v/>
      </c>
      <c r="W12116" s="21">
        <f>$B$10479</f>
        <v/>
      </c>
      <c r="X12116" s="21" t="n">
        <v>0</v>
      </c>
      <c r="Y12116" s="21" t="n">
        <v>0</v>
      </c>
      <c r="Z12116" s="19" t="n"/>
    </row>
    <row r="12117">
      <c r="D12117" s="21" t="n">
        <v>0</v>
      </c>
      <c r="E12117" s="21" t="n">
        <v>0</v>
      </c>
      <c r="F12117" s="21" t="n">
        <v>0</v>
      </c>
      <c r="G12117" s="21" t="n">
        <v>0</v>
      </c>
      <c r="H12117" s="21" t="n">
        <v>0</v>
      </c>
      <c r="I12117" s="21" t="n">
        <v>0</v>
      </c>
      <c r="J12117" s="21" t="n">
        <v>0</v>
      </c>
      <c r="K12117" s="21" t="n">
        <v>0</v>
      </c>
      <c r="L12117" s="21" t="n">
        <v>0</v>
      </c>
      <c r="M12117" s="21" t="n">
        <v>0</v>
      </c>
      <c r="N12117" s="21" t="n">
        <v>0</v>
      </c>
      <c r="O12117" s="21" t="n">
        <v>0</v>
      </c>
      <c r="P12117" s="21" t="n">
        <v>0</v>
      </c>
      <c r="Q12117" s="21" t="n">
        <v>0</v>
      </c>
      <c r="R12117" s="21" t="n">
        <v>0</v>
      </c>
      <c r="S12117" s="21" t="n">
        <v>0</v>
      </c>
      <c r="T12117" s="21">
        <f>-$B$10476</f>
        <v/>
      </c>
      <c r="U12117" s="21">
        <f>-$B$10477</f>
        <v/>
      </c>
      <c r="V12117" s="21">
        <f>2*$B$10476+$D$12096</f>
        <v/>
      </c>
      <c r="W12117" s="21">
        <f>0</f>
        <v/>
      </c>
      <c r="X12117" s="21">
        <f>-$B$10476</f>
        <v/>
      </c>
      <c r="Y12117" s="21">
        <f>$B$10477</f>
        <v/>
      </c>
      <c r="Z12117" s="19" t="n"/>
    </row>
    <row r="12118">
      <c r="D12118" s="21" t="n">
        <v>0</v>
      </c>
      <c r="E12118" s="21" t="n">
        <v>0</v>
      </c>
      <c r="F12118" s="21" t="n">
        <v>0</v>
      </c>
      <c r="G12118" s="21" t="n">
        <v>0</v>
      </c>
      <c r="H12118" s="21" t="n">
        <v>0</v>
      </c>
      <c r="I12118" s="21" t="n">
        <v>0</v>
      </c>
      <c r="J12118" s="21" t="n">
        <v>0</v>
      </c>
      <c r="K12118" s="21" t="n">
        <v>0</v>
      </c>
      <c r="L12118" s="21" t="n">
        <v>0</v>
      </c>
      <c r="M12118" s="21" t="n">
        <v>0</v>
      </c>
      <c r="N12118" s="21" t="n">
        <v>0</v>
      </c>
      <c r="O12118" s="21" t="n">
        <v>0</v>
      </c>
      <c r="P12118" s="21" t="n">
        <v>0</v>
      </c>
      <c r="Q12118" s="21" t="n">
        <v>0</v>
      </c>
      <c r="R12118" s="21" t="n">
        <v>0</v>
      </c>
      <c r="S12118" s="21" t="n">
        <v>0</v>
      </c>
      <c r="T12118" s="21">
        <f>$B$10477</f>
        <v/>
      </c>
      <c r="U12118" s="21">
        <f>$B$10479</f>
        <v/>
      </c>
      <c r="V12118" s="21">
        <f>0</f>
        <v/>
      </c>
      <c r="W12118" s="21">
        <f>2*$B$10478</f>
        <v/>
      </c>
      <c r="X12118" s="21">
        <f>-$B$10477</f>
        <v/>
      </c>
      <c r="Y12118" s="21">
        <f>$B$10479</f>
        <v/>
      </c>
      <c r="Z12118" s="19" t="n"/>
    </row>
    <row r="12119">
      <c r="D12119" s="21" t="n">
        <v>0</v>
      </c>
      <c r="E12119" s="21" t="n">
        <v>0</v>
      </c>
      <c r="F12119" s="21" t="n">
        <v>0</v>
      </c>
      <c r="G12119" s="21" t="n">
        <v>0</v>
      </c>
      <c r="H12119" s="21" t="n">
        <v>0</v>
      </c>
      <c r="I12119" s="21" t="n">
        <v>0</v>
      </c>
      <c r="J12119" s="21" t="n">
        <v>0</v>
      </c>
      <c r="K12119" s="21" t="n">
        <v>0</v>
      </c>
      <c r="L12119" s="21" t="n">
        <v>0</v>
      </c>
      <c r="M12119" s="21" t="n">
        <v>0</v>
      </c>
      <c r="N12119" s="21" t="n">
        <v>0</v>
      </c>
      <c r="O12119" s="21" t="n">
        <v>0</v>
      </c>
      <c r="P12119" s="21" t="n">
        <v>0</v>
      </c>
      <c r="Q12119" s="21" t="n">
        <v>0</v>
      </c>
      <c r="R12119" s="21" t="n">
        <v>0</v>
      </c>
      <c r="S12119" s="21" t="n">
        <v>0</v>
      </c>
      <c r="T12119" s="21" t="n">
        <v>0</v>
      </c>
      <c r="U12119" s="21" t="n">
        <v>0</v>
      </c>
      <c r="V12119" s="21">
        <f>-$B$10476</f>
        <v/>
      </c>
      <c r="W12119" s="21">
        <f>-$B$10477</f>
        <v/>
      </c>
      <c r="X12119" s="21">
        <f>$B$10476+$D$12097</f>
        <v/>
      </c>
      <c r="Y12119" s="21">
        <f>-$B$10477</f>
        <v/>
      </c>
      <c r="Z12119" s="19" t="n"/>
    </row>
    <row r="12120">
      <c r="D12120" s="21" t="n">
        <v>0</v>
      </c>
      <c r="E12120" s="21" t="n">
        <v>0</v>
      </c>
      <c r="F12120" s="21" t="n">
        <v>0</v>
      </c>
      <c r="G12120" s="21" t="n">
        <v>0</v>
      </c>
      <c r="H12120" s="21" t="n">
        <v>0</v>
      </c>
      <c r="I12120" s="21" t="n">
        <v>0</v>
      </c>
      <c r="J12120" s="21" t="n">
        <v>0</v>
      </c>
      <c r="K12120" s="21" t="n">
        <v>0</v>
      </c>
      <c r="L12120" s="21" t="n">
        <v>0</v>
      </c>
      <c r="M12120" s="21" t="n">
        <v>0</v>
      </c>
      <c r="N12120" s="21" t="n">
        <v>0</v>
      </c>
      <c r="O12120" s="21" t="n">
        <v>0</v>
      </c>
      <c r="P12120" s="21" t="n">
        <v>0</v>
      </c>
      <c r="Q12120" s="21" t="n">
        <v>0</v>
      </c>
      <c r="R12120" s="21" t="n">
        <v>0</v>
      </c>
      <c r="S12120" s="21" t="n">
        <v>0</v>
      </c>
      <c r="T12120" s="21" t="n">
        <v>0</v>
      </c>
      <c r="U12120" s="21" t="n">
        <v>0</v>
      </c>
      <c r="V12120" s="21">
        <f>$B$10477</f>
        <v/>
      </c>
      <c r="W12120" s="21">
        <f>$B$10479</f>
        <v/>
      </c>
      <c r="X12120" s="21">
        <f>-$B$10477</f>
        <v/>
      </c>
      <c r="Y12120" s="21">
        <f>$B$10478</f>
        <v/>
      </c>
      <c r="Z12120" s="19" t="n"/>
    </row>
    <row r="12122">
      <c r="A12122" s="8" t="inlineStr">
        <is>
          <t>gen 45</t>
        </is>
      </c>
    </row>
    <row r="12123">
      <c r="D12123" s="19">
        <f>IF(ABS(IF(ABS($E$12087)&gt;0.000000001,$E$12087,0.000000001))=0,0,IF($E$10491&lt;=$B$10485,0,IF(ABS(IF(ABS($E$12087)&gt;0.000000001,$E$12087,0.000000001))&gt;=8*$B$10487,$H$10491,0.5*$H$10491*(ABS(IF(ABS($E$12087)&gt;0.000000001,$E$12087,0.000000001))/$B$10487)^(1/3)))/ABS(IF(ABS($E$12087)&gt;0.000000001,$E$12087,0.000000001))*$I$10491)</f>
        <v/>
      </c>
      <c r="E12123" s="19">
        <f>0.5*$E$12087+0.5*$Z$12135</f>
        <v/>
      </c>
      <c r="F12123" s="19">
        <f>$Z$12136</f>
        <v/>
      </c>
    </row>
    <row r="12124">
      <c r="D12124" s="19">
        <f>IF(ABS(IF(ABS($E$12088)&gt;0.000000001,$E$12088,0.000000001))=0,0,IF($E$10492&lt;=$B$10485,0,IF(ABS(IF(ABS($E$12088)&gt;0.000000001,$E$12088,0.000000001))&gt;=8*$B$10487,$H$10492,0.5*$H$10492*(ABS(IF(ABS($E$12088)&gt;0.000000001,$E$12088,0.000000001))/$B$10487)^(1/3)))/ABS(IF(ABS($E$12088)&gt;0.000000001,$E$12088,0.000000001))*$I$10492)</f>
        <v/>
      </c>
      <c r="E12124" s="19">
        <f>0.5*$E$12088+0.5*$Z$12137</f>
        <v/>
      </c>
      <c r="F12124" s="19">
        <f>$Z$12138</f>
        <v/>
      </c>
    </row>
    <row r="12125">
      <c r="D12125" s="19">
        <f>IF(ABS(IF(ABS($E$12089)&gt;0.000000001,$E$12089,0.000000001))=0,0,IF($E$10493&lt;=$B$10485,0,IF(ABS(IF(ABS($E$12089)&gt;0.000000001,$E$12089,0.000000001))&gt;=8*$B$10487,$H$10493,0.5*$H$10493*(ABS(IF(ABS($E$12089)&gt;0.000000001,$E$12089,0.000000001))/$B$10487)^(1/3)))/ABS(IF(ABS($E$12089)&gt;0.000000001,$E$12089,0.000000001))*$I$10493)</f>
        <v/>
      </c>
      <c r="E12125" s="19">
        <f>0.5*$E$12089+0.5*$Z$12139</f>
        <v/>
      </c>
      <c r="F12125" s="19">
        <f>$Z$12140</f>
        <v/>
      </c>
    </row>
    <row r="12126">
      <c r="D12126" s="19">
        <f>IF(ABS(IF(ABS($E$12090)&gt;0.000000001,$E$12090,0.000000001))=0,0,IF($E$10494&lt;=$B$10485,0,IF(ABS(IF(ABS($E$12090)&gt;0.000000001,$E$12090,0.000000001))&gt;=8*$B$10487,$H$10494,0.5*$H$10494*(ABS(IF(ABS($E$12090)&gt;0.000000001,$E$12090,0.000000001))/$B$10487)^(1/3)))/ABS(IF(ABS($E$12090)&gt;0.000000001,$E$12090,0.000000001))*$I$10494)</f>
        <v/>
      </c>
      <c r="E12126" s="19">
        <f>0.5*$E$12090+0.5*$Z$12141</f>
        <v/>
      </c>
      <c r="F12126" s="19">
        <f>$Z$12142</f>
        <v/>
      </c>
    </row>
    <row r="12127">
      <c r="D12127" s="19">
        <f>IF(ABS(IF(ABS($E$12091)&gt;0.000000001,$E$12091,0.000000001))=0,0,IF($E$10495&lt;=$B$10485,0,IF(ABS(IF(ABS($E$12091)&gt;0.000000001,$E$12091,0.000000001))&gt;=8*$B$10487,$H$10495,0.5*$H$10495*(ABS(IF(ABS($E$12091)&gt;0.000000001,$E$12091,0.000000001))/$B$10487)^(1/3)))/ABS(IF(ABS($E$12091)&gt;0.000000001,$E$12091,0.000000001))*$I$10495)</f>
        <v/>
      </c>
      <c r="E12127" s="19">
        <f>0.5*$E$12091+0.5*$Z$12143</f>
        <v/>
      </c>
      <c r="F12127" s="19">
        <f>$Z$12144</f>
        <v/>
      </c>
    </row>
    <row r="12128">
      <c r="D12128" s="19">
        <f>IF(ABS(IF(ABS($E$12092)&gt;0.000000001,$E$12092,0.000000001))=0,0,IF($E$10496&lt;=$B$10485,0,IF(ABS(IF(ABS($E$12092)&gt;0.000000001,$E$12092,0.000000001))&gt;=8*$B$10487,$H$10496,0.5*$H$10496*(ABS(IF(ABS($E$12092)&gt;0.000000001,$E$12092,0.000000001))/$B$10487)^(1/3)))/ABS(IF(ABS($E$12092)&gt;0.000000001,$E$12092,0.000000001))*$I$10496)</f>
        <v/>
      </c>
      <c r="E12128" s="19">
        <f>0.5*$E$12092+0.5*$Z$12145</f>
        <v/>
      </c>
      <c r="F12128" s="19">
        <f>$Z$12146</f>
        <v/>
      </c>
    </row>
    <row r="12129">
      <c r="D12129" s="19">
        <f>IF(ABS(IF(ABS($E$12093)&gt;0.000000001,$E$12093,0.000000001))=0,0,IF($E$10497&lt;=$B$10485,0,IF(ABS(IF(ABS($E$12093)&gt;0.000000001,$E$12093,0.000000001))&gt;=8*$B$10487,$H$10497,0.5*$H$10497*(ABS(IF(ABS($E$12093)&gt;0.000000001,$E$12093,0.000000001))/$B$10487)^(1/3)))/ABS(IF(ABS($E$12093)&gt;0.000000001,$E$12093,0.000000001))*$I$10497)</f>
        <v/>
      </c>
      <c r="E12129" s="19">
        <f>0.5*$E$12093+0.5*$Z$12147</f>
        <v/>
      </c>
      <c r="F12129" s="19">
        <f>$Z$12148</f>
        <v/>
      </c>
    </row>
    <row r="12130">
      <c r="D12130" s="19">
        <f>IF(ABS(IF(ABS($E$12094)&gt;0.000000001,$E$12094,0.000000001))=0,0,IF($E$10498&lt;=$B$10485,0,IF(ABS(IF(ABS($E$12094)&gt;0.000000001,$E$12094,0.000000001))&gt;=8*$B$10487,$H$10498,0.5*$H$10498*(ABS(IF(ABS($E$12094)&gt;0.000000001,$E$12094,0.000000001))/$B$10487)^(1/3)))/ABS(IF(ABS($E$12094)&gt;0.000000001,$E$12094,0.000000001))*$I$10498)</f>
        <v/>
      </c>
      <c r="E12130" s="19">
        <f>0.5*$E$12094+0.5*$Z$12149</f>
        <v/>
      </c>
      <c r="F12130" s="19">
        <f>$Z$12150</f>
        <v/>
      </c>
    </row>
    <row r="12131">
      <c r="D12131" s="19">
        <f>IF(ABS(IF(ABS($E$12095)&gt;0.000000001,$E$12095,0.000000001))=0,0,IF($E$10499&lt;=$B$10485,0,IF(ABS(IF(ABS($E$12095)&gt;0.000000001,$E$12095,0.000000001))&gt;=8*$B$10487,$H$10499,0.5*$H$10499*(ABS(IF(ABS($E$12095)&gt;0.000000001,$E$12095,0.000000001))/$B$10487)^(1/3)))/ABS(IF(ABS($E$12095)&gt;0.000000001,$E$12095,0.000000001))*$I$10499)</f>
        <v/>
      </c>
      <c r="E12131" s="19">
        <f>0.5*$E$12095+0.5*$Z$12151</f>
        <v/>
      </c>
      <c r="F12131" s="19">
        <f>$Z$12152</f>
        <v/>
      </c>
    </row>
    <row r="12132">
      <c r="D12132" s="19">
        <f>IF(ABS(IF(ABS($E$12096)&gt;0.000000001,$E$12096,0.000000001))=0,0,IF($E$10500&lt;=$B$10485,0,IF(ABS(IF(ABS($E$12096)&gt;0.000000001,$E$12096,0.000000001))&gt;=8*$B$10487,$H$10500,0.5*$H$10500*(ABS(IF(ABS($E$12096)&gt;0.000000001,$E$12096,0.000000001))/$B$10487)^(1/3)))/ABS(IF(ABS($E$12096)&gt;0.000000001,$E$12096,0.000000001))*$I$10500)</f>
        <v/>
      </c>
      <c r="E12132" s="19">
        <f>0.5*$E$12096+0.5*$Z$12153</f>
        <v/>
      </c>
      <c r="F12132" s="19">
        <f>$Z$12154</f>
        <v/>
      </c>
    </row>
    <row r="12133">
      <c r="D12133" s="19">
        <f>IF(ABS(IF(ABS($E$12097)&gt;0.000000001,$E$12097,0.000000001))=0,0,IF($E$10501&lt;=$B$10485,0,IF(ABS(IF(ABS($E$12097)&gt;0.000000001,$E$12097,0.000000001))&gt;=8*$B$10487,$H$10501,0.5*$H$10501*(ABS(IF(ABS($E$12097)&gt;0.000000001,$E$12097,0.000000001))/$B$10487)^(1/3)))/ABS(IF(ABS($E$12097)&gt;0.000000001,$E$12097,0.000000001))*$I$10501)</f>
        <v/>
      </c>
      <c r="E12133" s="19">
        <f>0.5*$E$12097+0.5*$Z$12155</f>
        <v/>
      </c>
      <c r="F12133" s="19">
        <f>$Z$12156</f>
        <v/>
      </c>
    </row>
    <row r="12135">
      <c r="D12135" s="21">
        <f>$B$10476+$D$12123</f>
        <v/>
      </c>
      <c r="E12135" s="21">
        <f>$B$10477</f>
        <v/>
      </c>
      <c r="F12135" s="21">
        <f>-$B$10476</f>
        <v/>
      </c>
      <c r="G12135" s="21">
        <f>$B$10477</f>
        <v/>
      </c>
      <c r="H12135" s="21" t="n">
        <v>0</v>
      </c>
      <c r="I12135" s="21" t="n">
        <v>0</v>
      </c>
      <c r="J12135" s="21" t="n">
        <v>0</v>
      </c>
      <c r="K12135" s="21" t="n">
        <v>0</v>
      </c>
      <c r="L12135" s="21" t="n">
        <v>0</v>
      </c>
      <c r="M12135" s="21" t="n">
        <v>0</v>
      </c>
      <c r="N12135" s="21" t="n">
        <v>0</v>
      </c>
      <c r="O12135" s="21" t="n">
        <v>0</v>
      </c>
      <c r="P12135" s="21" t="n">
        <v>0</v>
      </c>
      <c r="Q12135" s="21" t="n">
        <v>0</v>
      </c>
      <c r="R12135" s="21" t="n">
        <v>0</v>
      </c>
      <c r="S12135" s="21" t="n">
        <v>0</v>
      </c>
      <c r="T12135" s="21" t="n">
        <v>0</v>
      </c>
      <c r="U12135" s="21" t="n">
        <v>0</v>
      </c>
      <c r="V12135" s="21" t="n">
        <v>0</v>
      </c>
      <c r="W12135" s="21" t="n">
        <v>0</v>
      </c>
      <c r="X12135" s="21" t="n">
        <v>0</v>
      </c>
      <c r="Y12135" s="21" t="n">
        <v>0</v>
      </c>
      <c r="Z12135" s="19">
        <f t="array" ref="Z12135:Z12156">MMULT(MINVERSE($D$12135:$Y$12156),$D$10503:$D$10524)</f>
        <v/>
      </c>
    </row>
    <row r="12136">
      <c r="D12136" s="21">
        <f>$B$10477</f>
        <v/>
      </c>
      <c r="E12136" s="21">
        <f>$B$10478</f>
        <v/>
      </c>
      <c r="F12136" s="21">
        <f>-$B$10477</f>
        <v/>
      </c>
      <c r="G12136" s="21">
        <f>$B$10479</f>
        <v/>
      </c>
      <c r="H12136" s="21" t="n">
        <v>0</v>
      </c>
      <c r="I12136" s="21" t="n">
        <v>0</v>
      </c>
      <c r="J12136" s="21" t="n">
        <v>0</v>
      </c>
      <c r="K12136" s="21" t="n">
        <v>0</v>
      </c>
      <c r="L12136" s="21" t="n">
        <v>0</v>
      </c>
      <c r="M12136" s="21" t="n">
        <v>0</v>
      </c>
      <c r="N12136" s="21" t="n">
        <v>0</v>
      </c>
      <c r="O12136" s="21" t="n">
        <v>0</v>
      </c>
      <c r="P12136" s="21" t="n">
        <v>0</v>
      </c>
      <c r="Q12136" s="21" t="n">
        <v>0</v>
      </c>
      <c r="R12136" s="21" t="n">
        <v>0</v>
      </c>
      <c r="S12136" s="21" t="n">
        <v>0</v>
      </c>
      <c r="T12136" s="21" t="n">
        <v>0</v>
      </c>
      <c r="U12136" s="21" t="n">
        <v>0</v>
      </c>
      <c r="V12136" s="21" t="n">
        <v>0</v>
      </c>
      <c r="W12136" s="21" t="n">
        <v>0</v>
      </c>
      <c r="X12136" s="21" t="n">
        <v>0</v>
      </c>
      <c r="Y12136" s="21" t="n">
        <v>0</v>
      </c>
      <c r="Z12136" s="19" t="n"/>
    </row>
    <row r="12137">
      <c r="D12137" s="21">
        <f>-$B$10476</f>
        <v/>
      </c>
      <c r="E12137" s="21">
        <f>-$B$10477</f>
        <v/>
      </c>
      <c r="F12137" s="21">
        <f>2*$B$10476+$D$12124</f>
        <v/>
      </c>
      <c r="G12137" s="21">
        <f>0</f>
        <v/>
      </c>
      <c r="H12137" s="21">
        <f>-$B$10476</f>
        <v/>
      </c>
      <c r="I12137" s="21">
        <f>$B$10477</f>
        <v/>
      </c>
      <c r="J12137" s="21" t="n">
        <v>0</v>
      </c>
      <c r="K12137" s="21" t="n">
        <v>0</v>
      </c>
      <c r="L12137" s="21" t="n">
        <v>0</v>
      </c>
      <c r="M12137" s="21" t="n">
        <v>0</v>
      </c>
      <c r="N12137" s="21" t="n">
        <v>0</v>
      </c>
      <c r="O12137" s="21" t="n">
        <v>0</v>
      </c>
      <c r="P12137" s="21" t="n">
        <v>0</v>
      </c>
      <c r="Q12137" s="21" t="n">
        <v>0</v>
      </c>
      <c r="R12137" s="21" t="n">
        <v>0</v>
      </c>
      <c r="S12137" s="21" t="n">
        <v>0</v>
      </c>
      <c r="T12137" s="21" t="n">
        <v>0</v>
      </c>
      <c r="U12137" s="21" t="n">
        <v>0</v>
      </c>
      <c r="V12137" s="21" t="n">
        <v>0</v>
      </c>
      <c r="W12137" s="21" t="n">
        <v>0</v>
      </c>
      <c r="X12137" s="21" t="n">
        <v>0</v>
      </c>
      <c r="Y12137" s="21" t="n">
        <v>0</v>
      </c>
      <c r="Z12137" s="19" t="n"/>
    </row>
    <row r="12138">
      <c r="D12138" s="21">
        <f>$B$10477</f>
        <v/>
      </c>
      <c r="E12138" s="21">
        <f>$B$10479</f>
        <v/>
      </c>
      <c r="F12138" s="21">
        <f>0</f>
        <v/>
      </c>
      <c r="G12138" s="21">
        <f>2*$B$10478</f>
        <v/>
      </c>
      <c r="H12138" s="21">
        <f>-$B$10477</f>
        <v/>
      </c>
      <c r="I12138" s="21">
        <f>$B$10479</f>
        <v/>
      </c>
      <c r="J12138" s="21" t="n">
        <v>0</v>
      </c>
      <c r="K12138" s="21" t="n">
        <v>0</v>
      </c>
      <c r="L12138" s="21" t="n">
        <v>0</v>
      </c>
      <c r="M12138" s="21" t="n">
        <v>0</v>
      </c>
      <c r="N12138" s="21" t="n">
        <v>0</v>
      </c>
      <c r="O12138" s="21" t="n">
        <v>0</v>
      </c>
      <c r="P12138" s="21" t="n">
        <v>0</v>
      </c>
      <c r="Q12138" s="21" t="n">
        <v>0</v>
      </c>
      <c r="R12138" s="21" t="n">
        <v>0</v>
      </c>
      <c r="S12138" s="21" t="n">
        <v>0</v>
      </c>
      <c r="T12138" s="21" t="n">
        <v>0</v>
      </c>
      <c r="U12138" s="21" t="n">
        <v>0</v>
      </c>
      <c r="V12138" s="21" t="n">
        <v>0</v>
      </c>
      <c r="W12138" s="21" t="n">
        <v>0</v>
      </c>
      <c r="X12138" s="21" t="n">
        <v>0</v>
      </c>
      <c r="Y12138" s="21" t="n">
        <v>0</v>
      </c>
      <c r="Z12138" s="19" t="n"/>
    </row>
    <row r="12139">
      <c r="D12139" s="21" t="n">
        <v>0</v>
      </c>
      <c r="E12139" s="21" t="n">
        <v>0</v>
      </c>
      <c r="F12139" s="21">
        <f>-$B$10476</f>
        <v/>
      </c>
      <c r="G12139" s="21">
        <f>-$B$10477</f>
        <v/>
      </c>
      <c r="H12139" s="21">
        <f>2*$B$10476+$D$12125</f>
        <v/>
      </c>
      <c r="I12139" s="21">
        <f>0</f>
        <v/>
      </c>
      <c r="J12139" s="21">
        <f>-$B$10476</f>
        <v/>
      </c>
      <c r="K12139" s="21">
        <f>$B$10477</f>
        <v/>
      </c>
      <c r="L12139" s="21" t="n">
        <v>0</v>
      </c>
      <c r="M12139" s="21" t="n">
        <v>0</v>
      </c>
      <c r="N12139" s="21" t="n">
        <v>0</v>
      </c>
      <c r="O12139" s="21" t="n">
        <v>0</v>
      </c>
      <c r="P12139" s="21" t="n">
        <v>0</v>
      </c>
      <c r="Q12139" s="21" t="n">
        <v>0</v>
      </c>
      <c r="R12139" s="21" t="n">
        <v>0</v>
      </c>
      <c r="S12139" s="21" t="n">
        <v>0</v>
      </c>
      <c r="T12139" s="21" t="n">
        <v>0</v>
      </c>
      <c r="U12139" s="21" t="n">
        <v>0</v>
      </c>
      <c r="V12139" s="21" t="n">
        <v>0</v>
      </c>
      <c r="W12139" s="21" t="n">
        <v>0</v>
      </c>
      <c r="X12139" s="21" t="n">
        <v>0</v>
      </c>
      <c r="Y12139" s="21" t="n">
        <v>0</v>
      </c>
      <c r="Z12139" s="19" t="n"/>
    </row>
    <row r="12140">
      <c r="D12140" s="21" t="n">
        <v>0</v>
      </c>
      <c r="E12140" s="21" t="n">
        <v>0</v>
      </c>
      <c r="F12140" s="21">
        <f>$B$10477</f>
        <v/>
      </c>
      <c r="G12140" s="21">
        <f>$B$10479</f>
        <v/>
      </c>
      <c r="H12140" s="21">
        <f>0</f>
        <v/>
      </c>
      <c r="I12140" s="21">
        <f>2*$B$10478</f>
        <v/>
      </c>
      <c r="J12140" s="21">
        <f>-$B$10477</f>
        <v/>
      </c>
      <c r="K12140" s="21">
        <f>$B$10479</f>
        <v/>
      </c>
      <c r="L12140" s="21" t="n">
        <v>0</v>
      </c>
      <c r="M12140" s="21" t="n">
        <v>0</v>
      </c>
      <c r="N12140" s="21" t="n">
        <v>0</v>
      </c>
      <c r="O12140" s="21" t="n">
        <v>0</v>
      </c>
      <c r="P12140" s="21" t="n">
        <v>0</v>
      </c>
      <c r="Q12140" s="21" t="n">
        <v>0</v>
      </c>
      <c r="R12140" s="21" t="n">
        <v>0</v>
      </c>
      <c r="S12140" s="21" t="n">
        <v>0</v>
      </c>
      <c r="T12140" s="21" t="n">
        <v>0</v>
      </c>
      <c r="U12140" s="21" t="n">
        <v>0</v>
      </c>
      <c r="V12140" s="21" t="n">
        <v>0</v>
      </c>
      <c r="W12140" s="21" t="n">
        <v>0</v>
      </c>
      <c r="X12140" s="21" t="n">
        <v>0</v>
      </c>
      <c r="Y12140" s="21" t="n">
        <v>0</v>
      </c>
      <c r="Z12140" s="19" t="n"/>
    </row>
    <row r="12141">
      <c r="D12141" s="21" t="n">
        <v>0</v>
      </c>
      <c r="E12141" s="21" t="n">
        <v>0</v>
      </c>
      <c r="F12141" s="21" t="n">
        <v>0</v>
      </c>
      <c r="G12141" s="21" t="n">
        <v>0</v>
      </c>
      <c r="H12141" s="21">
        <f>-$B$10476</f>
        <v/>
      </c>
      <c r="I12141" s="21">
        <f>-$B$10477</f>
        <v/>
      </c>
      <c r="J12141" s="21">
        <f>2*$B$10476+$D$12126</f>
        <v/>
      </c>
      <c r="K12141" s="21">
        <f>0</f>
        <v/>
      </c>
      <c r="L12141" s="21">
        <f>-$B$10476</f>
        <v/>
      </c>
      <c r="M12141" s="21">
        <f>$B$10477</f>
        <v/>
      </c>
      <c r="N12141" s="21" t="n">
        <v>0</v>
      </c>
      <c r="O12141" s="21" t="n">
        <v>0</v>
      </c>
      <c r="P12141" s="21" t="n">
        <v>0</v>
      </c>
      <c r="Q12141" s="21" t="n">
        <v>0</v>
      </c>
      <c r="R12141" s="21" t="n">
        <v>0</v>
      </c>
      <c r="S12141" s="21" t="n">
        <v>0</v>
      </c>
      <c r="T12141" s="21" t="n">
        <v>0</v>
      </c>
      <c r="U12141" s="21" t="n">
        <v>0</v>
      </c>
      <c r="V12141" s="21" t="n">
        <v>0</v>
      </c>
      <c r="W12141" s="21" t="n">
        <v>0</v>
      </c>
      <c r="X12141" s="21" t="n">
        <v>0</v>
      </c>
      <c r="Y12141" s="21" t="n">
        <v>0</v>
      </c>
      <c r="Z12141" s="19" t="n"/>
    </row>
    <row r="12142">
      <c r="D12142" s="21" t="n">
        <v>0</v>
      </c>
      <c r="E12142" s="21" t="n">
        <v>0</v>
      </c>
      <c r="F12142" s="21" t="n">
        <v>0</v>
      </c>
      <c r="G12142" s="21" t="n">
        <v>0</v>
      </c>
      <c r="H12142" s="21">
        <f>$B$10477</f>
        <v/>
      </c>
      <c r="I12142" s="21">
        <f>$B$10479</f>
        <v/>
      </c>
      <c r="J12142" s="21">
        <f>0</f>
        <v/>
      </c>
      <c r="K12142" s="21">
        <f>2*$B$10478</f>
        <v/>
      </c>
      <c r="L12142" s="21">
        <f>-$B$10477</f>
        <v/>
      </c>
      <c r="M12142" s="21">
        <f>$B$10479</f>
        <v/>
      </c>
      <c r="N12142" s="21" t="n">
        <v>0</v>
      </c>
      <c r="O12142" s="21" t="n">
        <v>0</v>
      </c>
      <c r="P12142" s="21" t="n">
        <v>0</v>
      </c>
      <c r="Q12142" s="21" t="n">
        <v>0</v>
      </c>
      <c r="R12142" s="21" t="n">
        <v>0</v>
      </c>
      <c r="S12142" s="21" t="n">
        <v>0</v>
      </c>
      <c r="T12142" s="21" t="n">
        <v>0</v>
      </c>
      <c r="U12142" s="21" t="n">
        <v>0</v>
      </c>
      <c r="V12142" s="21" t="n">
        <v>0</v>
      </c>
      <c r="W12142" s="21" t="n">
        <v>0</v>
      </c>
      <c r="X12142" s="21" t="n">
        <v>0</v>
      </c>
      <c r="Y12142" s="21" t="n">
        <v>0</v>
      </c>
      <c r="Z12142" s="19" t="n"/>
    </row>
    <row r="12143">
      <c r="D12143" s="21" t="n">
        <v>0</v>
      </c>
      <c r="E12143" s="21" t="n">
        <v>0</v>
      </c>
      <c r="F12143" s="21" t="n">
        <v>0</v>
      </c>
      <c r="G12143" s="21" t="n">
        <v>0</v>
      </c>
      <c r="H12143" s="21" t="n">
        <v>0</v>
      </c>
      <c r="I12143" s="21" t="n">
        <v>0</v>
      </c>
      <c r="J12143" s="21">
        <f>-$B$10476</f>
        <v/>
      </c>
      <c r="K12143" s="21">
        <f>-$B$10477</f>
        <v/>
      </c>
      <c r="L12143" s="21">
        <f>2*$B$10476+$D$12127</f>
        <v/>
      </c>
      <c r="M12143" s="21">
        <f>0</f>
        <v/>
      </c>
      <c r="N12143" s="21">
        <f>-$B$10476</f>
        <v/>
      </c>
      <c r="O12143" s="21">
        <f>$B$10477</f>
        <v/>
      </c>
      <c r="P12143" s="21" t="n">
        <v>0</v>
      </c>
      <c r="Q12143" s="21" t="n">
        <v>0</v>
      </c>
      <c r="R12143" s="21" t="n">
        <v>0</v>
      </c>
      <c r="S12143" s="21" t="n">
        <v>0</v>
      </c>
      <c r="T12143" s="21" t="n">
        <v>0</v>
      </c>
      <c r="U12143" s="21" t="n">
        <v>0</v>
      </c>
      <c r="V12143" s="21" t="n">
        <v>0</v>
      </c>
      <c r="W12143" s="21" t="n">
        <v>0</v>
      </c>
      <c r="X12143" s="21" t="n">
        <v>0</v>
      </c>
      <c r="Y12143" s="21" t="n">
        <v>0</v>
      </c>
      <c r="Z12143" s="19" t="n"/>
    </row>
    <row r="12144">
      <c r="D12144" s="21" t="n">
        <v>0</v>
      </c>
      <c r="E12144" s="21" t="n">
        <v>0</v>
      </c>
      <c r="F12144" s="21" t="n">
        <v>0</v>
      </c>
      <c r="G12144" s="21" t="n">
        <v>0</v>
      </c>
      <c r="H12144" s="21" t="n">
        <v>0</v>
      </c>
      <c r="I12144" s="21" t="n">
        <v>0</v>
      </c>
      <c r="J12144" s="21">
        <f>$B$10477</f>
        <v/>
      </c>
      <c r="K12144" s="21">
        <f>$B$10479</f>
        <v/>
      </c>
      <c r="L12144" s="21">
        <f>0</f>
        <v/>
      </c>
      <c r="M12144" s="21">
        <f>2*$B$10478</f>
        <v/>
      </c>
      <c r="N12144" s="21">
        <f>-$B$10477</f>
        <v/>
      </c>
      <c r="O12144" s="21">
        <f>$B$10479</f>
        <v/>
      </c>
      <c r="P12144" s="21" t="n">
        <v>0</v>
      </c>
      <c r="Q12144" s="21" t="n">
        <v>0</v>
      </c>
      <c r="R12144" s="21" t="n">
        <v>0</v>
      </c>
      <c r="S12144" s="21" t="n">
        <v>0</v>
      </c>
      <c r="T12144" s="21" t="n">
        <v>0</v>
      </c>
      <c r="U12144" s="21" t="n">
        <v>0</v>
      </c>
      <c r="V12144" s="21" t="n">
        <v>0</v>
      </c>
      <c r="W12144" s="21" t="n">
        <v>0</v>
      </c>
      <c r="X12144" s="21" t="n">
        <v>0</v>
      </c>
      <c r="Y12144" s="21" t="n">
        <v>0</v>
      </c>
      <c r="Z12144" s="19" t="n"/>
    </row>
    <row r="12145">
      <c r="D12145" s="21" t="n">
        <v>0</v>
      </c>
      <c r="E12145" s="21" t="n">
        <v>0</v>
      </c>
      <c r="F12145" s="21" t="n">
        <v>0</v>
      </c>
      <c r="G12145" s="21" t="n">
        <v>0</v>
      </c>
      <c r="H12145" s="21" t="n">
        <v>0</v>
      </c>
      <c r="I12145" s="21" t="n">
        <v>0</v>
      </c>
      <c r="J12145" s="21" t="n">
        <v>0</v>
      </c>
      <c r="K12145" s="21" t="n">
        <v>0</v>
      </c>
      <c r="L12145" s="21">
        <f>-$B$10476</f>
        <v/>
      </c>
      <c r="M12145" s="21">
        <f>-$B$10477</f>
        <v/>
      </c>
      <c r="N12145" s="21">
        <f>2*$B$10476+$D$12128</f>
        <v/>
      </c>
      <c r="O12145" s="21">
        <f>0</f>
        <v/>
      </c>
      <c r="P12145" s="21">
        <f>-$B$10476</f>
        <v/>
      </c>
      <c r="Q12145" s="21">
        <f>$B$10477</f>
        <v/>
      </c>
      <c r="R12145" s="21" t="n">
        <v>0</v>
      </c>
      <c r="S12145" s="21" t="n">
        <v>0</v>
      </c>
      <c r="T12145" s="21" t="n">
        <v>0</v>
      </c>
      <c r="U12145" s="21" t="n">
        <v>0</v>
      </c>
      <c r="V12145" s="21" t="n">
        <v>0</v>
      </c>
      <c r="W12145" s="21" t="n">
        <v>0</v>
      </c>
      <c r="X12145" s="21" t="n">
        <v>0</v>
      </c>
      <c r="Y12145" s="21" t="n">
        <v>0</v>
      </c>
      <c r="Z12145" s="19" t="n"/>
    </row>
    <row r="12146">
      <c r="D12146" s="21" t="n">
        <v>0</v>
      </c>
      <c r="E12146" s="21" t="n">
        <v>0</v>
      </c>
      <c r="F12146" s="21" t="n">
        <v>0</v>
      </c>
      <c r="G12146" s="21" t="n">
        <v>0</v>
      </c>
      <c r="H12146" s="21" t="n">
        <v>0</v>
      </c>
      <c r="I12146" s="21" t="n">
        <v>0</v>
      </c>
      <c r="J12146" s="21" t="n">
        <v>0</v>
      </c>
      <c r="K12146" s="21" t="n">
        <v>0</v>
      </c>
      <c r="L12146" s="21">
        <f>$B$10477</f>
        <v/>
      </c>
      <c r="M12146" s="21">
        <f>$B$10479</f>
        <v/>
      </c>
      <c r="N12146" s="21">
        <f>0</f>
        <v/>
      </c>
      <c r="O12146" s="21">
        <f>2*$B$10478</f>
        <v/>
      </c>
      <c r="P12146" s="21">
        <f>-$B$10477</f>
        <v/>
      </c>
      <c r="Q12146" s="21">
        <f>$B$10479</f>
        <v/>
      </c>
      <c r="R12146" s="21" t="n">
        <v>0</v>
      </c>
      <c r="S12146" s="21" t="n">
        <v>0</v>
      </c>
      <c r="T12146" s="21" t="n">
        <v>0</v>
      </c>
      <c r="U12146" s="21" t="n">
        <v>0</v>
      </c>
      <c r="V12146" s="21" t="n">
        <v>0</v>
      </c>
      <c r="W12146" s="21" t="n">
        <v>0</v>
      </c>
      <c r="X12146" s="21" t="n">
        <v>0</v>
      </c>
      <c r="Y12146" s="21" t="n">
        <v>0</v>
      </c>
      <c r="Z12146" s="19" t="n"/>
    </row>
    <row r="12147">
      <c r="D12147" s="21" t="n">
        <v>0</v>
      </c>
      <c r="E12147" s="21" t="n">
        <v>0</v>
      </c>
      <c r="F12147" s="21" t="n">
        <v>0</v>
      </c>
      <c r="G12147" s="21" t="n">
        <v>0</v>
      </c>
      <c r="H12147" s="21" t="n">
        <v>0</v>
      </c>
      <c r="I12147" s="21" t="n">
        <v>0</v>
      </c>
      <c r="J12147" s="21" t="n">
        <v>0</v>
      </c>
      <c r="K12147" s="21" t="n">
        <v>0</v>
      </c>
      <c r="L12147" s="21" t="n">
        <v>0</v>
      </c>
      <c r="M12147" s="21" t="n">
        <v>0</v>
      </c>
      <c r="N12147" s="21">
        <f>-$B$10476</f>
        <v/>
      </c>
      <c r="O12147" s="21">
        <f>-$B$10477</f>
        <v/>
      </c>
      <c r="P12147" s="21">
        <f>2*$B$10476+$D$12129</f>
        <v/>
      </c>
      <c r="Q12147" s="21">
        <f>0</f>
        <v/>
      </c>
      <c r="R12147" s="21">
        <f>-$B$10476</f>
        <v/>
      </c>
      <c r="S12147" s="21">
        <f>$B$10477</f>
        <v/>
      </c>
      <c r="T12147" s="21" t="n">
        <v>0</v>
      </c>
      <c r="U12147" s="21" t="n">
        <v>0</v>
      </c>
      <c r="V12147" s="21" t="n">
        <v>0</v>
      </c>
      <c r="W12147" s="21" t="n">
        <v>0</v>
      </c>
      <c r="X12147" s="21" t="n">
        <v>0</v>
      </c>
      <c r="Y12147" s="21" t="n">
        <v>0</v>
      </c>
      <c r="Z12147" s="19" t="n"/>
    </row>
    <row r="12148">
      <c r="D12148" s="21" t="n">
        <v>0</v>
      </c>
      <c r="E12148" s="21" t="n">
        <v>0</v>
      </c>
      <c r="F12148" s="21" t="n">
        <v>0</v>
      </c>
      <c r="G12148" s="21" t="n">
        <v>0</v>
      </c>
      <c r="H12148" s="21" t="n">
        <v>0</v>
      </c>
      <c r="I12148" s="21" t="n">
        <v>0</v>
      </c>
      <c r="J12148" s="21" t="n">
        <v>0</v>
      </c>
      <c r="K12148" s="21" t="n">
        <v>0</v>
      </c>
      <c r="L12148" s="21" t="n">
        <v>0</v>
      </c>
      <c r="M12148" s="21" t="n">
        <v>0</v>
      </c>
      <c r="N12148" s="21">
        <f>$B$10477</f>
        <v/>
      </c>
      <c r="O12148" s="21">
        <f>$B$10479</f>
        <v/>
      </c>
      <c r="P12148" s="21">
        <f>0</f>
        <v/>
      </c>
      <c r="Q12148" s="21">
        <f>2*$B$10478</f>
        <v/>
      </c>
      <c r="R12148" s="21">
        <f>-$B$10477</f>
        <v/>
      </c>
      <c r="S12148" s="21">
        <f>$B$10479</f>
        <v/>
      </c>
      <c r="T12148" s="21" t="n">
        <v>0</v>
      </c>
      <c r="U12148" s="21" t="n">
        <v>0</v>
      </c>
      <c r="V12148" s="21" t="n">
        <v>0</v>
      </c>
      <c r="W12148" s="21" t="n">
        <v>0</v>
      </c>
      <c r="X12148" s="21" t="n">
        <v>0</v>
      </c>
      <c r="Y12148" s="21" t="n">
        <v>0</v>
      </c>
      <c r="Z12148" s="19" t="n"/>
    </row>
    <row r="12149">
      <c r="D12149" s="21" t="n">
        <v>0</v>
      </c>
      <c r="E12149" s="21" t="n">
        <v>0</v>
      </c>
      <c r="F12149" s="21" t="n">
        <v>0</v>
      </c>
      <c r="G12149" s="21" t="n">
        <v>0</v>
      </c>
      <c r="H12149" s="21" t="n">
        <v>0</v>
      </c>
      <c r="I12149" s="21" t="n">
        <v>0</v>
      </c>
      <c r="J12149" s="21" t="n">
        <v>0</v>
      </c>
      <c r="K12149" s="21" t="n">
        <v>0</v>
      </c>
      <c r="L12149" s="21" t="n">
        <v>0</v>
      </c>
      <c r="M12149" s="21" t="n">
        <v>0</v>
      </c>
      <c r="N12149" s="21" t="n">
        <v>0</v>
      </c>
      <c r="O12149" s="21" t="n">
        <v>0</v>
      </c>
      <c r="P12149" s="21">
        <f>-$B$10476</f>
        <v/>
      </c>
      <c r="Q12149" s="21">
        <f>-$B$10477</f>
        <v/>
      </c>
      <c r="R12149" s="21">
        <f>2*$B$10476+$D$12130</f>
        <v/>
      </c>
      <c r="S12149" s="21">
        <f>0</f>
        <v/>
      </c>
      <c r="T12149" s="21">
        <f>-$B$10476</f>
        <v/>
      </c>
      <c r="U12149" s="21">
        <f>$B$10477</f>
        <v/>
      </c>
      <c r="V12149" s="21" t="n">
        <v>0</v>
      </c>
      <c r="W12149" s="21" t="n">
        <v>0</v>
      </c>
      <c r="X12149" s="21" t="n">
        <v>0</v>
      </c>
      <c r="Y12149" s="21" t="n">
        <v>0</v>
      </c>
      <c r="Z12149" s="19" t="n"/>
    </row>
    <row r="12150">
      <c r="D12150" s="21" t="n">
        <v>0</v>
      </c>
      <c r="E12150" s="21" t="n">
        <v>0</v>
      </c>
      <c r="F12150" s="21" t="n">
        <v>0</v>
      </c>
      <c r="G12150" s="21" t="n">
        <v>0</v>
      </c>
      <c r="H12150" s="21" t="n">
        <v>0</v>
      </c>
      <c r="I12150" s="21" t="n">
        <v>0</v>
      </c>
      <c r="J12150" s="21" t="n">
        <v>0</v>
      </c>
      <c r="K12150" s="21" t="n">
        <v>0</v>
      </c>
      <c r="L12150" s="21" t="n">
        <v>0</v>
      </c>
      <c r="M12150" s="21" t="n">
        <v>0</v>
      </c>
      <c r="N12150" s="21" t="n">
        <v>0</v>
      </c>
      <c r="O12150" s="21" t="n">
        <v>0</v>
      </c>
      <c r="P12150" s="21">
        <f>$B$10477</f>
        <v/>
      </c>
      <c r="Q12150" s="21">
        <f>$B$10479</f>
        <v/>
      </c>
      <c r="R12150" s="21">
        <f>0</f>
        <v/>
      </c>
      <c r="S12150" s="21">
        <f>2*$B$10478</f>
        <v/>
      </c>
      <c r="T12150" s="21">
        <f>-$B$10477</f>
        <v/>
      </c>
      <c r="U12150" s="21">
        <f>$B$10479</f>
        <v/>
      </c>
      <c r="V12150" s="21" t="n">
        <v>0</v>
      </c>
      <c r="W12150" s="21" t="n">
        <v>0</v>
      </c>
      <c r="X12150" s="21" t="n">
        <v>0</v>
      </c>
      <c r="Y12150" s="21" t="n">
        <v>0</v>
      </c>
      <c r="Z12150" s="19" t="n"/>
    </row>
    <row r="12151">
      <c r="D12151" s="21" t="n">
        <v>0</v>
      </c>
      <c r="E12151" s="21" t="n">
        <v>0</v>
      </c>
      <c r="F12151" s="21" t="n">
        <v>0</v>
      </c>
      <c r="G12151" s="21" t="n">
        <v>0</v>
      </c>
      <c r="H12151" s="21" t="n">
        <v>0</v>
      </c>
      <c r="I12151" s="21" t="n">
        <v>0</v>
      </c>
      <c r="J12151" s="21" t="n">
        <v>0</v>
      </c>
      <c r="K12151" s="21" t="n">
        <v>0</v>
      </c>
      <c r="L12151" s="21" t="n">
        <v>0</v>
      </c>
      <c r="M12151" s="21" t="n">
        <v>0</v>
      </c>
      <c r="N12151" s="21" t="n">
        <v>0</v>
      </c>
      <c r="O12151" s="21" t="n">
        <v>0</v>
      </c>
      <c r="P12151" s="21" t="n">
        <v>0</v>
      </c>
      <c r="Q12151" s="21" t="n">
        <v>0</v>
      </c>
      <c r="R12151" s="21">
        <f>-$B$10476</f>
        <v/>
      </c>
      <c r="S12151" s="21">
        <f>-$B$10477</f>
        <v/>
      </c>
      <c r="T12151" s="21">
        <f>2*$B$10476+$D$12131</f>
        <v/>
      </c>
      <c r="U12151" s="21">
        <f>0</f>
        <v/>
      </c>
      <c r="V12151" s="21">
        <f>-$B$10476</f>
        <v/>
      </c>
      <c r="W12151" s="21">
        <f>$B$10477</f>
        <v/>
      </c>
      <c r="X12151" s="21" t="n">
        <v>0</v>
      </c>
      <c r="Y12151" s="21" t="n">
        <v>0</v>
      </c>
      <c r="Z12151" s="19" t="n"/>
    </row>
    <row r="12152">
      <c r="D12152" s="21" t="n">
        <v>0</v>
      </c>
      <c r="E12152" s="21" t="n">
        <v>0</v>
      </c>
      <c r="F12152" s="21" t="n">
        <v>0</v>
      </c>
      <c r="G12152" s="21" t="n">
        <v>0</v>
      </c>
      <c r="H12152" s="21" t="n">
        <v>0</v>
      </c>
      <c r="I12152" s="21" t="n">
        <v>0</v>
      </c>
      <c r="J12152" s="21" t="n">
        <v>0</v>
      </c>
      <c r="K12152" s="21" t="n">
        <v>0</v>
      </c>
      <c r="L12152" s="21" t="n">
        <v>0</v>
      </c>
      <c r="M12152" s="21" t="n">
        <v>0</v>
      </c>
      <c r="N12152" s="21" t="n">
        <v>0</v>
      </c>
      <c r="O12152" s="21" t="n">
        <v>0</v>
      </c>
      <c r="P12152" s="21" t="n">
        <v>0</v>
      </c>
      <c r="Q12152" s="21" t="n">
        <v>0</v>
      </c>
      <c r="R12152" s="21">
        <f>$B$10477</f>
        <v/>
      </c>
      <c r="S12152" s="21">
        <f>$B$10479</f>
        <v/>
      </c>
      <c r="T12152" s="21">
        <f>0</f>
        <v/>
      </c>
      <c r="U12152" s="21">
        <f>2*$B$10478</f>
        <v/>
      </c>
      <c r="V12152" s="21">
        <f>-$B$10477</f>
        <v/>
      </c>
      <c r="W12152" s="21">
        <f>$B$10479</f>
        <v/>
      </c>
      <c r="X12152" s="21" t="n">
        <v>0</v>
      </c>
      <c r="Y12152" s="21" t="n">
        <v>0</v>
      </c>
      <c r="Z12152" s="19" t="n"/>
    </row>
    <row r="12153">
      <c r="D12153" s="21" t="n">
        <v>0</v>
      </c>
      <c r="E12153" s="21" t="n">
        <v>0</v>
      </c>
      <c r="F12153" s="21" t="n">
        <v>0</v>
      </c>
      <c r="G12153" s="21" t="n">
        <v>0</v>
      </c>
      <c r="H12153" s="21" t="n">
        <v>0</v>
      </c>
      <c r="I12153" s="21" t="n">
        <v>0</v>
      </c>
      <c r="J12153" s="21" t="n">
        <v>0</v>
      </c>
      <c r="K12153" s="21" t="n">
        <v>0</v>
      </c>
      <c r="L12153" s="21" t="n">
        <v>0</v>
      </c>
      <c r="M12153" s="21" t="n">
        <v>0</v>
      </c>
      <c r="N12153" s="21" t="n">
        <v>0</v>
      </c>
      <c r="O12153" s="21" t="n">
        <v>0</v>
      </c>
      <c r="P12153" s="21" t="n">
        <v>0</v>
      </c>
      <c r="Q12153" s="21" t="n">
        <v>0</v>
      </c>
      <c r="R12153" s="21" t="n">
        <v>0</v>
      </c>
      <c r="S12153" s="21" t="n">
        <v>0</v>
      </c>
      <c r="T12153" s="21">
        <f>-$B$10476</f>
        <v/>
      </c>
      <c r="U12153" s="21">
        <f>-$B$10477</f>
        <v/>
      </c>
      <c r="V12153" s="21">
        <f>2*$B$10476+$D$12132</f>
        <v/>
      </c>
      <c r="W12153" s="21">
        <f>0</f>
        <v/>
      </c>
      <c r="X12153" s="21">
        <f>-$B$10476</f>
        <v/>
      </c>
      <c r="Y12153" s="21">
        <f>$B$10477</f>
        <v/>
      </c>
      <c r="Z12153" s="19" t="n"/>
    </row>
    <row r="12154">
      <c r="D12154" s="21" t="n">
        <v>0</v>
      </c>
      <c r="E12154" s="21" t="n">
        <v>0</v>
      </c>
      <c r="F12154" s="21" t="n">
        <v>0</v>
      </c>
      <c r="G12154" s="21" t="n">
        <v>0</v>
      </c>
      <c r="H12154" s="21" t="n">
        <v>0</v>
      </c>
      <c r="I12154" s="21" t="n">
        <v>0</v>
      </c>
      <c r="J12154" s="21" t="n">
        <v>0</v>
      </c>
      <c r="K12154" s="21" t="n">
        <v>0</v>
      </c>
      <c r="L12154" s="21" t="n">
        <v>0</v>
      </c>
      <c r="M12154" s="21" t="n">
        <v>0</v>
      </c>
      <c r="N12154" s="21" t="n">
        <v>0</v>
      </c>
      <c r="O12154" s="21" t="n">
        <v>0</v>
      </c>
      <c r="P12154" s="21" t="n">
        <v>0</v>
      </c>
      <c r="Q12154" s="21" t="n">
        <v>0</v>
      </c>
      <c r="R12154" s="21" t="n">
        <v>0</v>
      </c>
      <c r="S12154" s="21" t="n">
        <v>0</v>
      </c>
      <c r="T12154" s="21">
        <f>$B$10477</f>
        <v/>
      </c>
      <c r="U12154" s="21">
        <f>$B$10479</f>
        <v/>
      </c>
      <c r="V12154" s="21">
        <f>0</f>
        <v/>
      </c>
      <c r="W12154" s="21">
        <f>2*$B$10478</f>
        <v/>
      </c>
      <c r="X12154" s="21">
        <f>-$B$10477</f>
        <v/>
      </c>
      <c r="Y12154" s="21">
        <f>$B$10479</f>
        <v/>
      </c>
      <c r="Z12154" s="19" t="n"/>
    </row>
    <row r="12155">
      <c r="D12155" s="21" t="n">
        <v>0</v>
      </c>
      <c r="E12155" s="21" t="n">
        <v>0</v>
      </c>
      <c r="F12155" s="21" t="n">
        <v>0</v>
      </c>
      <c r="G12155" s="21" t="n">
        <v>0</v>
      </c>
      <c r="H12155" s="21" t="n">
        <v>0</v>
      </c>
      <c r="I12155" s="21" t="n">
        <v>0</v>
      </c>
      <c r="J12155" s="21" t="n">
        <v>0</v>
      </c>
      <c r="K12155" s="21" t="n">
        <v>0</v>
      </c>
      <c r="L12155" s="21" t="n">
        <v>0</v>
      </c>
      <c r="M12155" s="21" t="n">
        <v>0</v>
      </c>
      <c r="N12155" s="21" t="n">
        <v>0</v>
      </c>
      <c r="O12155" s="21" t="n">
        <v>0</v>
      </c>
      <c r="P12155" s="21" t="n">
        <v>0</v>
      </c>
      <c r="Q12155" s="21" t="n">
        <v>0</v>
      </c>
      <c r="R12155" s="21" t="n">
        <v>0</v>
      </c>
      <c r="S12155" s="21" t="n">
        <v>0</v>
      </c>
      <c r="T12155" s="21" t="n">
        <v>0</v>
      </c>
      <c r="U12155" s="21" t="n">
        <v>0</v>
      </c>
      <c r="V12155" s="21">
        <f>-$B$10476</f>
        <v/>
      </c>
      <c r="W12155" s="21">
        <f>-$B$10477</f>
        <v/>
      </c>
      <c r="X12155" s="21">
        <f>$B$10476+$D$12133</f>
        <v/>
      </c>
      <c r="Y12155" s="21">
        <f>-$B$10477</f>
        <v/>
      </c>
      <c r="Z12155" s="19" t="n"/>
    </row>
    <row r="12156">
      <c r="D12156" s="21" t="n">
        <v>0</v>
      </c>
      <c r="E12156" s="21" t="n">
        <v>0</v>
      </c>
      <c r="F12156" s="21" t="n">
        <v>0</v>
      </c>
      <c r="G12156" s="21" t="n">
        <v>0</v>
      </c>
      <c r="H12156" s="21" t="n">
        <v>0</v>
      </c>
      <c r="I12156" s="21" t="n">
        <v>0</v>
      </c>
      <c r="J12156" s="21" t="n">
        <v>0</v>
      </c>
      <c r="K12156" s="21" t="n">
        <v>0</v>
      </c>
      <c r="L12156" s="21" t="n">
        <v>0</v>
      </c>
      <c r="M12156" s="21" t="n">
        <v>0</v>
      </c>
      <c r="N12156" s="21" t="n">
        <v>0</v>
      </c>
      <c r="O12156" s="21" t="n">
        <v>0</v>
      </c>
      <c r="P12156" s="21" t="n">
        <v>0</v>
      </c>
      <c r="Q12156" s="21" t="n">
        <v>0</v>
      </c>
      <c r="R12156" s="21" t="n">
        <v>0</v>
      </c>
      <c r="S12156" s="21" t="n">
        <v>0</v>
      </c>
      <c r="T12156" s="21" t="n">
        <v>0</v>
      </c>
      <c r="U12156" s="21" t="n">
        <v>0</v>
      </c>
      <c r="V12156" s="21">
        <f>$B$10477</f>
        <v/>
      </c>
      <c r="W12156" s="21">
        <f>$B$10479</f>
        <v/>
      </c>
      <c r="X12156" s="21">
        <f>-$B$10477</f>
        <v/>
      </c>
      <c r="Y12156" s="21">
        <f>$B$10478</f>
        <v/>
      </c>
      <c r="Z12156" s="19" t="n"/>
    </row>
    <row r="12159">
      <c r="D12159" s="18" t="inlineStr">
        <is>
          <t>e</t>
        </is>
      </c>
      <c r="E12159" s="18" t="inlineStr">
        <is>
          <t>y_e</t>
        </is>
      </c>
      <c r="F12159" s="18" t="inlineStr">
        <is>
          <t>theta_e</t>
        </is>
      </c>
      <c r="G12159" s="18" t="inlineStr">
        <is>
          <t>y_e+1</t>
        </is>
      </c>
      <c r="H12159" s="18" t="inlineStr">
        <is>
          <t>theta_e+1</t>
        </is>
      </c>
      <c r="I12159" s="18" t="inlineStr">
        <is>
          <t>fe1</t>
        </is>
      </c>
      <c r="J12159" s="18" t="inlineStr">
        <is>
          <t>fe3</t>
        </is>
      </c>
      <c r="K12159" s="18" t="inlineStr">
        <is>
          <t>M (kN*m)</t>
        </is>
      </c>
    </row>
    <row r="12160">
      <c r="D12160" t="n">
        <v>0</v>
      </c>
      <c r="E12160" s="19">
        <f>$E$12123</f>
        <v/>
      </c>
      <c r="F12160" s="19">
        <f>$F$12123</f>
        <v/>
      </c>
      <c r="G12160" s="19">
        <f>$E$12124</f>
        <v/>
      </c>
      <c r="H12160" s="19">
        <f>$F$12124</f>
        <v/>
      </c>
      <c r="I12160" s="19">
        <f>$B$10477*$E$12160+$B$10478*$F$12160-$B$10477*$G$12160+$B$10479*$H$12160</f>
        <v/>
      </c>
      <c r="J12160" s="19">
        <f>$B$10477*$E$12160+$B$10479*$F$12160-$B$10477*$G$12160+$B$10478*$H$12160</f>
        <v/>
      </c>
      <c r="K12160" s="21">
        <f>-$I$12160</f>
        <v/>
      </c>
    </row>
    <row r="12161">
      <c r="D12161" t="n">
        <v>1</v>
      </c>
      <c r="E12161" s="19">
        <f>$E$12124</f>
        <v/>
      </c>
      <c r="F12161" s="19">
        <f>$F$12124</f>
        <v/>
      </c>
      <c r="G12161" s="19">
        <f>$E$12125</f>
        <v/>
      </c>
      <c r="H12161" s="19">
        <f>$F$12125</f>
        <v/>
      </c>
      <c r="I12161" s="19">
        <f>$B$10477*$E$12161+$B$10478*$F$12161-$B$10477*$G$12161+$B$10479*$H$12161</f>
        <v/>
      </c>
      <c r="J12161" s="19">
        <f>$B$10477*$E$12161+$B$10479*$F$12161-$B$10477*$G$12161+$B$10478*$H$12161</f>
        <v/>
      </c>
      <c r="K12161" s="21">
        <f>($J$12160-$I$12161)/2</f>
        <v/>
      </c>
    </row>
    <row r="12162">
      <c r="D12162" t="n">
        <v>2</v>
      </c>
      <c r="E12162" s="19">
        <f>$E$12125</f>
        <v/>
      </c>
      <c r="F12162" s="19">
        <f>$F$12125</f>
        <v/>
      </c>
      <c r="G12162" s="19">
        <f>$E$12126</f>
        <v/>
      </c>
      <c r="H12162" s="19">
        <f>$F$12126</f>
        <v/>
      </c>
      <c r="I12162" s="19">
        <f>$B$10477*$E$12162+$B$10478*$F$12162-$B$10477*$G$12162+$B$10479*$H$12162</f>
        <v/>
      </c>
      <c r="J12162" s="19">
        <f>$B$10477*$E$12162+$B$10479*$F$12162-$B$10477*$G$12162+$B$10478*$H$12162</f>
        <v/>
      </c>
      <c r="K12162" s="21">
        <f>($J$12161-$I$12162)/2</f>
        <v/>
      </c>
    </row>
    <row r="12163">
      <c r="D12163" t="n">
        <v>3</v>
      </c>
      <c r="E12163" s="19">
        <f>$E$12126</f>
        <v/>
      </c>
      <c r="F12163" s="19">
        <f>$F$12126</f>
        <v/>
      </c>
      <c r="G12163" s="19">
        <f>$E$12127</f>
        <v/>
      </c>
      <c r="H12163" s="19">
        <f>$F$12127</f>
        <v/>
      </c>
      <c r="I12163" s="19">
        <f>$B$10477*$E$12163+$B$10478*$F$12163-$B$10477*$G$12163+$B$10479*$H$12163</f>
        <v/>
      </c>
      <c r="J12163" s="19">
        <f>$B$10477*$E$12163+$B$10479*$F$12163-$B$10477*$G$12163+$B$10478*$H$12163</f>
        <v/>
      </c>
      <c r="K12163" s="21">
        <f>($J$12162-$I$12163)/2</f>
        <v/>
      </c>
    </row>
    <row r="12164">
      <c r="D12164" t="n">
        <v>4</v>
      </c>
      <c r="E12164" s="19">
        <f>$E$12127</f>
        <v/>
      </c>
      <c r="F12164" s="19">
        <f>$F$12127</f>
        <v/>
      </c>
      <c r="G12164" s="19">
        <f>$E$12128</f>
        <v/>
      </c>
      <c r="H12164" s="19">
        <f>$F$12128</f>
        <v/>
      </c>
      <c r="I12164" s="19">
        <f>$B$10477*$E$12164+$B$10478*$F$12164-$B$10477*$G$12164+$B$10479*$H$12164</f>
        <v/>
      </c>
      <c r="J12164" s="19">
        <f>$B$10477*$E$12164+$B$10479*$F$12164-$B$10477*$G$12164+$B$10478*$H$12164</f>
        <v/>
      </c>
      <c r="K12164" s="21">
        <f>($J$12163-$I$12164)/2</f>
        <v/>
      </c>
    </row>
    <row r="12165">
      <c r="D12165" t="n">
        <v>5</v>
      </c>
      <c r="E12165" s="19">
        <f>$E$12128</f>
        <v/>
      </c>
      <c r="F12165" s="19">
        <f>$F$12128</f>
        <v/>
      </c>
      <c r="G12165" s="19">
        <f>$E$12129</f>
        <v/>
      </c>
      <c r="H12165" s="19">
        <f>$F$12129</f>
        <v/>
      </c>
      <c r="I12165" s="19">
        <f>$B$10477*$E$12165+$B$10478*$F$12165-$B$10477*$G$12165+$B$10479*$H$12165</f>
        <v/>
      </c>
      <c r="J12165" s="19">
        <f>$B$10477*$E$12165+$B$10479*$F$12165-$B$10477*$G$12165+$B$10478*$H$12165</f>
        <v/>
      </c>
      <c r="K12165" s="21">
        <f>($J$12164-$I$12165)/2</f>
        <v/>
      </c>
    </row>
    <row r="12166">
      <c r="D12166" t="n">
        <v>6</v>
      </c>
      <c r="E12166" s="19">
        <f>$E$12129</f>
        <v/>
      </c>
      <c r="F12166" s="19">
        <f>$F$12129</f>
        <v/>
      </c>
      <c r="G12166" s="19">
        <f>$E$12130</f>
        <v/>
      </c>
      <c r="H12166" s="19">
        <f>$F$12130</f>
        <v/>
      </c>
      <c r="I12166" s="19">
        <f>$B$10477*$E$12166+$B$10478*$F$12166-$B$10477*$G$12166+$B$10479*$H$12166</f>
        <v/>
      </c>
      <c r="J12166" s="19">
        <f>$B$10477*$E$12166+$B$10479*$F$12166-$B$10477*$G$12166+$B$10478*$H$12166</f>
        <v/>
      </c>
      <c r="K12166" s="21">
        <f>($J$12165-$I$12166)/2</f>
        <v/>
      </c>
    </row>
    <row r="12167">
      <c r="D12167" t="n">
        <v>7</v>
      </c>
      <c r="E12167" s="19">
        <f>$E$12130</f>
        <v/>
      </c>
      <c r="F12167" s="19">
        <f>$F$12130</f>
        <v/>
      </c>
      <c r="G12167" s="19">
        <f>$E$12131</f>
        <v/>
      </c>
      <c r="H12167" s="19">
        <f>$F$12131</f>
        <v/>
      </c>
      <c r="I12167" s="19">
        <f>$B$10477*$E$12167+$B$10478*$F$12167-$B$10477*$G$12167+$B$10479*$H$12167</f>
        <v/>
      </c>
      <c r="J12167" s="19">
        <f>$B$10477*$E$12167+$B$10479*$F$12167-$B$10477*$G$12167+$B$10478*$H$12167</f>
        <v/>
      </c>
      <c r="K12167" s="21">
        <f>($J$12166-$I$12167)/2</f>
        <v/>
      </c>
    </row>
    <row r="12168">
      <c r="D12168" t="n">
        <v>8</v>
      </c>
      <c r="E12168" s="19">
        <f>$E$12131</f>
        <v/>
      </c>
      <c r="F12168" s="19">
        <f>$F$12131</f>
        <v/>
      </c>
      <c r="G12168" s="19">
        <f>$E$12132</f>
        <v/>
      </c>
      <c r="H12168" s="19">
        <f>$F$12132</f>
        <v/>
      </c>
      <c r="I12168" s="19">
        <f>$B$10477*$E$12168+$B$10478*$F$12168-$B$10477*$G$12168+$B$10479*$H$12168</f>
        <v/>
      </c>
      <c r="J12168" s="19">
        <f>$B$10477*$E$12168+$B$10479*$F$12168-$B$10477*$G$12168+$B$10478*$H$12168</f>
        <v/>
      </c>
      <c r="K12168" s="21">
        <f>($J$12167-$I$12168)/2</f>
        <v/>
      </c>
    </row>
    <row r="12169">
      <c r="D12169" t="n">
        <v>9</v>
      </c>
      <c r="E12169" s="19">
        <f>$E$12132</f>
        <v/>
      </c>
      <c r="F12169" s="19">
        <f>$F$12132</f>
        <v/>
      </c>
      <c r="G12169" s="19">
        <f>$E$12133</f>
        <v/>
      </c>
      <c r="H12169" s="19">
        <f>$F$12133</f>
        <v/>
      </c>
      <c r="I12169" s="19">
        <f>$B$10477*$E$12169+$B$10478*$F$12169-$B$10477*$G$12169+$B$10479*$H$12169</f>
        <v/>
      </c>
      <c r="J12169" s="19">
        <f>$B$10477*$E$12169+$B$10479*$F$12169-$B$10477*$G$12169+$B$10478*$H$12169</f>
        <v/>
      </c>
      <c r="K12169" s="21">
        <f>($J$12168-$I$12169)/2</f>
        <v/>
      </c>
    </row>
    <row r="12170">
      <c r="K12170" s="21">
        <f>$J$12169</f>
        <v/>
      </c>
    </row>
    <row r="12172">
      <c r="A12172" s="12" t="inlineStr">
        <is>
          <t>y_gl (mm)</t>
        </is>
      </c>
      <c r="B12172" s="22">
        <f>$E$12123*1000</f>
        <v/>
      </c>
    </row>
    <row r="12173">
      <c r="A12173" s="12" t="inlineStr">
        <is>
          <t>theta_gl (deg)</t>
        </is>
      </c>
      <c r="B12173" s="23">
        <f>DEGREES($F$12123)</f>
        <v/>
      </c>
    </row>
    <row r="12174">
      <c r="A12174" s="12" t="inlineStr">
        <is>
          <t>M_max (kN*m)</t>
        </is>
      </c>
      <c r="B12174" s="22">
        <f t="array" ref="B12174">MAX(ABS($K$12160:$K$12170))</f>
        <v/>
      </c>
    </row>
    <row r="12177">
      <c r="A12177" s="2" t="inlineStr">
        <is>
          <t>PUSHOVER lambda = 10.5 (n=10 elements, 45 unrolled iterations)</t>
        </is>
      </c>
    </row>
    <row r="12179">
      <c r="A12179" s="6" t="inlineStr">
        <is>
          <t>V (kN)</t>
        </is>
      </c>
      <c r="B12179" s="20">
        <f>10.5*'1-Loads'!$D$38</f>
        <v/>
      </c>
      <c r="C12179" s="8" t="inlineStr">
        <is>
          <t>kN</t>
        </is>
      </c>
    </row>
    <row r="12180">
      <c r="A12180" s="6" t="inlineStr">
        <is>
          <t>M (kN*m)</t>
        </is>
      </c>
      <c r="B12180" s="20">
        <f>-10.5*'1-Loads'!$D$39</f>
        <v/>
      </c>
      <c r="C12180" s="8" t="inlineStr">
        <is>
          <t>kN*m</t>
        </is>
      </c>
    </row>
    <row r="12181">
      <c r="A12181" s="6" t="inlineStr">
        <is>
          <t>D_shaft</t>
        </is>
      </c>
      <c r="B12181" s="20">
        <f>'3-Sizing'!$D$10</f>
        <v/>
      </c>
      <c r="C12181" s="8" t="inlineStr">
        <is>
          <t>m</t>
        </is>
      </c>
    </row>
    <row r="12182">
      <c r="A12182" s="6" t="inlineStr">
        <is>
          <t>t (corroded)</t>
        </is>
      </c>
      <c r="B12182" s="20">
        <f>'7-Corrosion'!$D$19/1000</f>
        <v/>
      </c>
      <c r="C12182" s="8" t="inlineStr">
        <is>
          <t>m</t>
        </is>
      </c>
    </row>
    <row r="12183">
      <c r="A12183" s="6" t="inlineStr">
        <is>
          <t>E, steel</t>
        </is>
      </c>
      <c r="B12183" s="20">
        <f>200000000</f>
        <v/>
      </c>
      <c r="C12183" s="8" t="inlineStr">
        <is>
          <t>kPa</t>
        </is>
      </c>
    </row>
    <row r="12184">
      <c r="A12184" s="6" t="inlineStr">
        <is>
          <t>I (pipe)</t>
        </is>
      </c>
      <c r="B12184" s="20">
        <f>PI()/64*($B$12181^4-($B$12181-2*$B$12182)^4)</f>
        <v/>
      </c>
      <c r="C12184" s="8" t="inlineStr">
        <is>
          <t>m^4</t>
        </is>
      </c>
    </row>
    <row r="12185">
      <c r="A12185" s="6" t="inlineStr">
        <is>
          <t>EI</t>
        </is>
      </c>
      <c r="B12185" s="20">
        <f>$B$12183*$B$12184</f>
        <v/>
      </c>
      <c r="C12185" s="8" t="inlineStr">
        <is>
          <t>kN*m^2</t>
        </is>
      </c>
    </row>
    <row r="12186">
      <c r="A12186" s="6" t="inlineStr">
        <is>
          <t>L, embedded length</t>
        </is>
      </c>
      <c r="B12186" s="20">
        <f>'3-Sizing'!$D$25</f>
        <v/>
      </c>
      <c r="C12186" s="8" t="inlineStr">
        <is>
          <t>m</t>
        </is>
      </c>
    </row>
    <row r="12187">
      <c r="A12187" s="6" t="inlineStr">
        <is>
          <t>n_elements</t>
        </is>
      </c>
      <c r="B12187" s="20" t="n">
        <v>10</v>
      </c>
      <c r="C12187" s="8" t="inlineStr">
        <is>
          <t>-</t>
        </is>
      </c>
    </row>
    <row r="12188">
      <c r="A12188" s="6" t="inlineStr">
        <is>
          <t>h = L/n</t>
        </is>
      </c>
      <c r="B12188" s="20">
        <f>$B$12186/$B$12187</f>
        <v/>
      </c>
      <c r="C12188" s="8" t="inlineStr">
        <is>
          <t>m</t>
        </is>
      </c>
    </row>
    <row r="12189">
      <c r="A12189" s="6" t="inlineStr">
        <is>
          <t>a = 12EI/h^3</t>
        </is>
      </c>
      <c r="B12189" s="20">
        <f>12*$B$12185/$B$12188^3</f>
        <v/>
      </c>
    </row>
    <row r="12190">
      <c r="A12190" s="6" t="inlineStr">
        <is>
          <t>b = 6EI/h^2</t>
        </is>
      </c>
      <c r="B12190" s="20">
        <f>6*$B$12185/$B$12188^2</f>
        <v/>
      </c>
    </row>
    <row r="12191">
      <c r="A12191" s="6" t="inlineStr">
        <is>
          <t>c = 4EI/h</t>
        </is>
      </c>
      <c r="B12191" s="20">
        <f>4*$B$12185/$B$12188</f>
        <v/>
      </c>
    </row>
    <row r="12192">
      <c r="A12192" s="6" t="inlineStr">
        <is>
          <t>d = 2EI/h</t>
        </is>
      </c>
      <c r="B12192" s="20">
        <f>2*$B$12185/$B$12188</f>
        <v/>
      </c>
    </row>
    <row r="12193">
      <c r="A12193" s="6" t="inlineStr">
        <is>
          <t>Su</t>
        </is>
      </c>
      <c r="B12193" s="20">
        <f>'2-Geotech'!$D$15</f>
        <v/>
      </c>
      <c r="C12193" s="8" t="inlineStr">
        <is>
          <t>kPa</t>
        </is>
      </c>
    </row>
    <row r="12194">
      <c r="A12194" s="6" t="inlineStr">
        <is>
          <t>gamma</t>
        </is>
      </c>
      <c r="B12194" s="20">
        <f>'2-Geotech'!$D$20</f>
        <v/>
      </c>
      <c r="C12194" s="8" t="inlineStr">
        <is>
          <t>kN/m3</t>
        </is>
      </c>
    </row>
    <row r="12195">
      <c r="A12195" s="6" t="inlineStr">
        <is>
          <t>gamma_sub</t>
        </is>
      </c>
      <c r="B12195" s="20">
        <f>'2-Geotech'!$D$22</f>
        <v/>
      </c>
      <c r="C12195" s="8" t="inlineStr">
        <is>
          <t>kN/m3</t>
        </is>
      </c>
    </row>
    <row r="12196">
      <c r="A12196" s="6" t="inlineStr">
        <is>
          <t>GWT depth</t>
        </is>
      </c>
      <c r="B12196" s="20">
        <f>'2-Geotech'!$D$23</f>
        <v/>
      </c>
      <c r="C12196" s="8" t="inlineStr">
        <is>
          <t>m</t>
        </is>
      </c>
    </row>
    <row r="12197">
      <c r="A12197" s="6" t="inlineStr">
        <is>
          <t>eps50</t>
        </is>
      </c>
      <c r="B12197" s="20">
        <f>'2-Geotech'!$D$18</f>
        <v/>
      </c>
      <c r="C12197" s="8" t="inlineStr">
        <is>
          <t>-</t>
        </is>
      </c>
    </row>
    <row r="12198">
      <c r="A12198" s="6" t="inlineStr">
        <is>
          <t>frost depth</t>
        </is>
      </c>
      <c r="B12198" s="20">
        <f>'2-Geotech'!$D$24</f>
        <v/>
      </c>
      <c r="C12198" s="8" t="inlineStr">
        <is>
          <t>m</t>
        </is>
      </c>
    </row>
    <row r="12199">
      <c r="A12199" s="6" t="inlineStr">
        <is>
          <t>J (Matlock)</t>
        </is>
      </c>
      <c r="B12199" s="20" t="n">
        <v>0.5</v>
      </c>
      <c r="C12199" s="8" t="inlineStr">
        <is>
          <t>-</t>
        </is>
      </c>
    </row>
    <row r="12200">
      <c r="A12200" s="6" t="inlineStr">
        <is>
          <t>y50 = 2.5*eps50*D</t>
        </is>
      </c>
      <c r="B12200" s="20">
        <f>2.5*$B$12197*$B$12181</f>
        <v/>
      </c>
      <c r="C12200" s="8" t="inlineStr">
        <is>
          <t>m</t>
        </is>
      </c>
    </row>
    <row r="12201">
      <c r="A12201" s="6" t="inlineStr">
        <is>
          <t>n_generations (unrolled iterations)</t>
        </is>
      </c>
      <c r="B12201" s="20" t="n">
        <v>45</v>
      </c>
      <c r="C12201" s="8" t="inlineStr">
        <is>
          <t>-</t>
        </is>
      </c>
    </row>
    <row r="12203">
      <c r="D12203" s="18" t="inlineStr">
        <is>
          <t>i</t>
        </is>
      </c>
      <c r="E12203" s="18" t="inlineStr">
        <is>
          <t>z (m)</t>
        </is>
      </c>
      <c r="F12203" s="18" t="inlineStr">
        <is>
          <t>sigma_v (kPa)</t>
        </is>
      </c>
      <c r="G12203" s="18" t="inlineStr">
        <is>
          <t>Np</t>
        </is>
      </c>
      <c r="H12203" s="18" t="inlineStr">
        <is>
          <t>pu (kN/m)</t>
        </is>
      </c>
      <c r="I12203" s="18" t="inlineStr">
        <is>
          <t>trib (m)</t>
        </is>
      </c>
    </row>
    <row r="12204">
      <c r="D12204" t="n">
        <v>0</v>
      </c>
      <c r="E12204" s="19">
        <f>$D$12204*$B$12188</f>
        <v/>
      </c>
      <c r="F12204" s="19">
        <f>IF($E$12204&lt;=$B$12196,$B$12194*$E$12204,$B$12194*$B$12196+$B$12195*($E$12204-$B$12196))</f>
        <v/>
      </c>
      <c r="G12204" s="19">
        <f>MIN(3+$F$12204/$B$12193+$B$12199*$E$12204/$B$12181,9)</f>
        <v/>
      </c>
      <c r="H12204" s="19">
        <f>$G$12204*$B$12193*$B$12181</f>
        <v/>
      </c>
      <c r="I12204" s="19">
        <f>IF(OR($D$12204=0,$D$12204=$B$12187),$B$12188/2,$B$12188)</f>
        <v/>
      </c>
    </row>
    <row r="12205">
      <c r="D12205" t="n">
        <v>1</v>
      </c>
      <c r="E12205" s="19">
        <f>$D$12205*$B$12188</f>
        <v/>
      </c>
      <c r="F12205" s="19">
        <f>IF($E$12205&lt;=$B$12196,$B$12194*$E$12205,$B$12194*$B$12196+$B$12195*($E$12205-$B$12196))</f>
        <v/>
      </c>
      <c r="G12205" s="19">
        <f>MIN(3+$F$12205/$B$12193+$B$12199*$E$12205/$B$12181,9)</f>
        <v/>
      </c>
      <c r="H12205" s="19">
        <f>$G$12205*$B$12193*$B$12181</f>
        <v/>
      </c>
      <c r="I12205" s="19">
        <f>IF(OR($D$12205=0,$D$12205=$B$12187),$B$12188/2,$B$12188)</f>
        <v/>
      </c>
    </row>
    <row r="12206">
      <c r="D12206" t="n">
        <v>2</v>
      </c>
      <c r="E12206" s="19">
        <f>$D$12206*$B$12188</f>
        <v/>
      </c>
      <c r="F12206" s="19">
        <f>IF($E$12206&lt;=$B$12196,$B$12194*$E$12206,$B$12194*$B$12196+$B$12195*($E$12206-$B$12196))</f>
        <v/>
      </c>
      <c r="G12206" s="19">
        <f>MIN(3+$F$12206/$B$12193+$B$12199*$E$12206/$B$12181,9)</f>
        <v/>
      </c>
      <c r="H12206" s="19">
        <f>$G$12206*$B$12193*$B$12181</f>
        <v/>
      </c>
      <c r="I12206" s="19">
        <f>IF(OR($D$12206=0,$D$12206=$B$12187),$B$12188/2,$B$12188)</f>
        <v/>
      </c>
    </row>
    <row r="12207">
      <c r="D12207" t="n">
        <v>3</v>
      </c>
      <c r="E12207" s="19">
        <f>$D$12207*$B$12188</f>
        <v/>
      </c>
      <c r="F12207" s="19">
        <f>IF($E$12207&lt;=$B$12196,$B$12194*$E$12207,$B$12194*$B$12196+$B$12195*($E$12207-$B$12196))</f>
        <v/>
      </c>
      <c r="G12207" s="19">
        <f>MIN(3+$F$12207/$B$12193+$B$12199*$E$12207/$B$12181,9)</f>
        <v/>
      </c>
      <c r="H12207" s="19">
        <f>$G$12207*$B$12193*$B$12181</f>
        <v/>
      </c>
      <c r="I12207" s="19">
        <f>IF(OR($D$12207=0,$D$12207=$B$12187),$B$12188/2,$B$12188)</f>
        <v/>
      </c>
    </row>
    <row r="12208">
      <c r="D12208" t="n">
        <v>4</v>
      </c>
      <c r="E12208" s="19">
        <f>$D$12208*$B$12188</f>
        <v/>
      </c>
      <c r="F12208" s="19">
        <f>IF($E$12208&lt;=$B$12196,$B$12194*$E$12208,$B$12194*$B$12196+$B$12195*($E$12208-$B$12196))</f>
        <v/>
      </c>
      <c r="G12208" s="19">
        <f>MIN(3+$F$12208/$B$12193+$B$12199*$E$12208/$B$12181,9)</f>
        <v/>
      </c>
      <c r="H12208" s="19">
        <f>$G$12208*$B$12193*$B$12181</f>
        <v/>
      </c>
      <c r="I12208" s="19">
        <f>IF(OR($D$12208=0,$D$12208=$B$12187),$B$12188/2,$B$12188)</f>
        <v/>
      </c>
    </row>
    <row r="12209">
      <c r="D12209" t="n">
        <v>5</v>
      </c>
      <c r="E12209" s="19">
        <f>$D$12209*$B$12188</f>
        <v/>
      </c>
      <c r="F12209" s="19">
        <f>IF($E$12209&lt;=$B$12196,$B$12194*$E$12209,$B$12194*$B$12196+$B$12195*($E$12209-$B$12196))</f>
        <v/>
      </c>
      <c r="G12209" s="19">
        <f>MIN(3+$F$12209/$B$12193+$B$12199*$E$12209/$B$12181,9)</f>
        <v/>
      </c>
      <c r="H12209" s="19">
        <f>$G$12209*$B$12193*$B$12181</f>
        <v/>
      </c>
      <c r="I12209" s="19">
        <f>IF(OR($D$12209=0,$D$12209=$B$12187),$B$12188/2,$B$12188)</f>
        <v/>
      </c>
    </row>
    <row r="12210">
      <c r="D12210" t="n">
        <v>6</v>
      </c>
      <c r="E12210" s="19">
        <f>$D$12210*$B$12188</f>
        <v/>
      </c>
      <c r="F12210" s="19">
        <f>IF($E$12210&lt;=$B$12196,$B$12194*$E$12210,$B$12194*$B$12196+$B$12195*($E$12210-$B$12196))</f>
        <v/>
      </c>
      <c r="G12210" s="19">
        <f>MIN(3+$F$12210/$B$12193+$B$12199*$E$12210/$B$12181,9)</f>
        <v/>
      </c>
      <c r="H12210" s="19">
        <f>$G$12210*$B$12193*$B$12181</f>
        <v/>
      </c>
      <c r="I12210" s="19">
        <f>IF(OR($D$12210=0,$D$12210=$B$12187),$B$12188/2,$B$12188)</f>
        <v/>
      </c>
    </row>
    <row r="12211">
      <c r="D12211" t="n">
        <v>7</v>
      </c>
      <c r="E12211" s="19">
        <f>$D$12211*$B$12188</f>
        <v/>
      </c>
      <c r="F12211" s="19">
        <f>IF($E$12211&lt;=$B$12196,$B$12194*$E$12211,$B$12194*$B$12196+$B$12195*($E$12211-$B$12196))</f>
        <v/>
      </c>
      <c r="G12211" s="19">
        <f>MIN(3+$F$12211/$B$12193+$B$12199*$E$12211/$B$12181,9)</f>
        <v/>
      </c>
      <c r="H12211" s="19">
        <f>$G$12211*$B$12193*$B$12181</f>
        <v/>
      </c>
      <c r="I12211" s="19">
        <f>IF(OR($D$12211=0,$D$12211=$B$12187),$B$12188/2,$B$12188)</f>
        <v/>
      </c>
    </row>
    <row r="12212">
      <c r="D12212" t="n">
        <v>8</v>
      </c>
      <c r="E12212" s="19">
        <f>$D$12212*$B$12188</f>
        <v/>
      </c>
      <c r="F12212" s="19">
        <f>IF($E$12212&lt;=$B$12196,$B$12194*$E$12212,$B$12194*$B$12196+$B$12195*($E$12212-$B$12196))</f>
        <v/>
      </c>
      <c r="G12212" s="19">
        <f>MIN(3+$F$12212/$B$12193+$B$12199*$E$12212/$B$12181,9)</f>
        <v/>
      </c>
      <c r="H12212" s="19">
        <f>$G$12212*$B$12193*$B$12181</f>
        <v/>
      </c>
      <c r="I12212" s="19">
        <f>IF(OR($D$12212=0,$D$12212=$B$12187),$B$12188/2,$B$12188)</f>
        <v/>
      </c>
    </row>
    <row r="12213">
      <c r="D12213" t="n">
        <v>9</v>
      </c>
      <c r="E12213" s="19">
        <f>$D$12213*$B$12188</f>
        <v/>
      </c>
      <c r="F12213" s="19">
        <f>IF($E$12213&lt;=$B$12196,$B$12194*$E$12213,$B$12194*$B$12196+$B$12195*($E$12213-$B$12196))</f>
        <v/>
      </c>
      <c r="G12213" s="19">
        <f>MIN(3+$F$12213/$B$12193+$B$12199*$E$12213/$B$12181,9)</f>
        <v/>
      </c>
      <c r="H12213" s="19">
        <f>$G$12213*$B$12193*$B$12181</f>
        <v/>
      </c>
      <c r="I12213" s="19">
        <f>IF(OR($D$12213=0,$D$12213=$B$12187),$B$12188/2,$B$12188)</f>
        <v/>
      </c>
    </row>
    <row r="12214">
      <c r="D12214" t="n">
        <v>10</v>
      </c>
      <c r="E12214" s="19">
        <f>$D$12214*$B$12188</f>
        <v/>
      </c>
      <c r="F12214" s="19">
        <f>IF($E$12214&lt;=$B$12196,$B$12194*$E$12214,$B$12194*$B$12196+$B$12195*($E$12214-$B$12196))</f>
        <v/>
      </c>
      <c r="G12214" s="19">
        <f>MIN(3+$F$12214/$B$12193+$B$12199*$E$12214/$B$12181,9)</f>
        <v/>
      </c>
      <c r="H12214" s="19">
        <f>$G$12214*$B$12193*$B$12181</f>
        <v/>
      </c>
      <c r="I12214" s="19">
        <f>IF(OR($D$12214=0,$D$12214=$B$12187),$B$12188/2,$B$12188)</f>
        <v/>
      </c>
    </row>
    <row r="12216">
      <c r="D12216" s="21">
        <f>$B$12179</f>
        <v/>
      </c>
    </row>
    <row r="12217">
      <c r="D12217" s="21">
        <f>$B$12180</f>
        <v/>
      </c>
    </row>
    <row r="12218">
      <c r="D12218" s="21" t="n">
        <v>0</v>
      </c>
    </row>
    <row r="12219">
      <c r="D12219" s="21" t="n">
        <v>0</v>
      </c>
    </row>
    <row r="12220">
      <c r="D12220" s="21" t="n">
        <v>0</v>
      </c>
    </row>
    <row r="12221">
      <c r="D12221" s="21" t="n">
        <v>0</v>
      </c>
    </row>
    <row r="12222">
      <c r="D12222" s="21" t="n">
        <v>0</v>
      </c>
    </row>
    <row r="12223">
      <c r="D12223" s="21" t="n">
        <v>0</v>
      </c>
    </row>
    <row r="12224">
      <c r="D12224" s="21" t="n">
        <v>0</v>
      </c>
    </row>
    <row r="12225">
      <c r="D12225" s="21" t="n">
        <v>0</v>
      </c>
    </row>
    <row r="12226">
      <c r="D12226" s="21" t="n">
        <v>0</v>
      </c>
    </row>
    <row r="12227">
      <c r="D12227" s="21" t="n">
        <v>0</v>
      </c>
    </row>
    <row r="12228">
      <c r="D12228" s="21" t="n">
        <v>0</v>
      </c>
    </row>
    <row r="12229">
      <c r="D12229" s="21" t="n">
        <v>0</v>
      </c>
    </row>
    <row r="12230">
      <c r="D12230" s="21" t="n">
        <v>0</v>
      </c>
    </row>
    <row r="12231">
      <c r="D12231" s="21" t="n">
        <v>0</v>
      </c>
    </row>
    <row r="12232">
      <c r="D12232" s="21" t="n">
        <v>0</v>
      </c>
    </row>
    <row r="12233">
      <c r="D12233" s="21" t="n">
        <v>0</v>
      </c>
    </row>
    <row r="12234">
      <c r="D12234" s="21" t="n">
        <v>0</v>
      </c>
    </row>
    <row r="12235">
      <c r="D12235" s="21" t="n">
        <v>0</v>
      </c>
    </row>
    <row r="12236">
      <c r="D12236" s="21" t="n">
        <v>0</v>
      </c>
    </row>
    <row r="12237">
      <c r="D12237" s="21" t="n">
        <v>0</v>
      </c>
    </row>
    <row r="12239">
      <c r="A12239" s="8" t="inlineStr">
        <is>
          <t>y seed (gen 0)</t>
        </is>
      </c>
    </row>
    <row r="12240">
      <c r="E12240" s="19" t="n">
        <v>1e-05</v>
      </c>
    </row>
    <row r="12241">
      <c r="E12241" s="19" t="n">
        <v>1e-05</v>
      </c>
    </row>
    <row r="12242">
      <c r="E12242" s="19" t="n">
        <v>1e-05</v>
      </c>
    </row>
    <row r="12243">
      <c r="E12243" s="19" t="n">
        <v>1e-05</v>
      </c>
    </row>
    <row r="12244">
      <c r="E12244" s="19" t="n">
        <v>1e-05</v>
      </c>
    </row>
    <row r="12245">
      <c r="E12245" s="19" t="n">
        <v>1e-05</v>
      </c>
    </row>
    <row r="12246">
      <c r="E12246" s="19" t="n">
        <v>1e-05</v>
      </c>
    </row>
    <row r="12247">
      <c r="E12247" s="19" t="n">
        <v>1e-05</v>
      </c>
    </row>
    <row r="12248">
      <c r="E12248" s="19" t="n">
        <v>1e-05</v>
      </c>
    </row>
    <row r="12249">
      <c r="E12249" s="19" t="n">
        <v>1e-05</v>
      </c>
    </row>
    <row r="12250">
      <c r="E12250" s="19" t="n">
        <v>1e-05</v>
      </c>
    </row>
    <row r="12251">
      <c r="A12251" s="8" t="inlineStr">
        <is>
          <t>gen 1</t>
        </is>
      </c>
    </row>
    <row r="12252">
      <c r="D12252" s="19">
        <f>IF(ABS(IF(ABS($E$12240)&gt;0.000000001,$E$12240,0.000000001))=0,0,IF($E$12204&lt;=$B$12198,0,IF(ABS(IF(ABS($E$12240)&gt;0.000000001,$E$12240,0.000000001))&gt;=8*$B$12200,$H$12204,0.5*$H$12204*(ABS(IF(ABS($E$12240)&gt;0.000000001,$E$12240,0.000000001))/$B$12200)^(1/3)))/ABS(IF(ABS($E$12240)&gt;0.000000001,$E$12240,0.000000001))*$I$12204)</f>
        <v/>
      </c>
      <c r="E12252" s="19">
        <f>0.5*$E$12240+0.5*$Z$12264</f>
        <v/>
      </c>
      <c r="F12252" s="19">
        <f>$Z$12265</f>
        <v/>
      </c>
    </row>
    <row r="12253">
      <c r="D12253" s="19">
        <f>IF(ABS(IF(ABS($E$12241)&gt;0.000000001,$E$12241,0.000000001))=0,0,IF($E$12205&lt;=$B$12198,0,IF(ABS(IF(ABS($E$12241)&gt;0.000000001,$E$12241,0.000000001))&gt;=8*$B$12200,$H$12205,0.5*$H$12205*(ABS(IF(ABS($E$12241)&gt;0.000000001,$E$12241,0.000000001))/$B$12200)^(1/3)))/ABS(IF(ABS($E$12241)&gt;0.000000001,$E$12241,0.000000001))*$I$12205)</f>
        <v/>
      </c>
      <c r="E12253" s="19">
        <f>0.5*$E$12241+0.5*$Z$12266</f>
        <v/>
      </c>
      <c r="F12253" s="19">
        <f>$Z$12267</f>
        <v/>
      </c>
    </row>
    <row r="12254">
      <c r="D12254" s="19">
        <f>IF(ABS(IF(ABS($E$12242)&gt;0.000000001,$E$12242,0.000000001))=0,0,IF($E$12206&lt;=$B$12198,0,IF(ABS(IF(ABS($E$12242)&gt;0.000000001,$E$12242,0.000000001))&gt;=8*$B$12200,$H$12206,0.5*$H$12206*(ABS(IF(ABS($E$12242)&gt;0.000000001,$E$12242,0.000000001))/$B$12200)^(1/3)))/ABS(IF(ABS($E$12242)&gt;0.000000001,$E$12242,0.000000001))*$I$12206)</f>
        <v/>
      </c>
      <c r="E12254" s="19">
        <f>0.5*$E$12242+0.5*$Z$12268</f>
        <v/>
      </c>
      <c r="F12254" s="19">
        <f>$Z$12269</f>
        <v/>
      </c>
    </row>
    <row r="12255">
      <c r="D12255" s="19">
        <f>IF(ABS(IF(ABS($E$12243)&gt;0.000000001,$E$12243,0.000000001))=0,0,IF($E$12207&lt;=$B$12198,0,IF(ABS(IF(ABS($E$12243)&gt;0.000000001,$E$12243,0.000000001))&gt;=8*$B$12200,$H$12207,0.5*$H$12207*(ABS(IF(ABS($E$12243)&gt;0.000000001,$E$12243,0.000000001))/$B$12200)^(1/3)))/ABS(IF(ABS($E$12243)&gt;0.000000001,$E$12243,0.000000001))*$I$12207)</f>
        <v/>
      </c>
      <c r="E12255" s="19">
        <f>0.5*$E$12243+0.5*$Z$12270</f>
        <v/>
      </c>
      <c r="F12255" s="19">
        <f>$Z$12271</f>
        <v/>
      </c>
    </row>
    <row r="12256">
      <c r="D12256" s="19">
        <f>IF(ABS(IF(ABS($E$12244)&gt;0.000000001,$E$12244,0.000000001))=0,0,IF($E$12208&lt;=$B$12198,0,IF(ABS(IF(ABS($E$12244)&gt;0.000000001,$E$12244,0.000000001))&gt;=8*$B$12200,$H$12208,0.5*$H$12208*(ABS(IF(ABS($E$12244)&gt;0.000000001,$E$12244,0.000000001))/$B$12200)^(1/3)))/ABS(IF(ABS($E$12244)&gt;0.000000001,$E$12244,0.000000001))*$I$12208)</f>
        <v/>
      </c>
      <c r="E12256" s="19">
        <f>0.5*$E$12244+0.5*$Z$12272</f>
        <v/>
      </c>
      <c r="F12256" s="19">
        <f>$Z$12273</f>
        <v/>
      </c>
    </row>
    <row r="12257">
      <c r="D12257" s="19">
        <f>IF(ABS(IF(ABS($E$12245)&gt;0.000000001,$E$12245,0.000000001))=0,0,IF($E$12209&lt;=$B$12198,0,IF(ABS(IF(ABS($E$12245)&gt;0.000000001,$E$12245,0.000000001))&gt;=8*$B$12200,$H$12209,0.5*$H$12209*(ABS(IF(ABS($E$12245)&gt;0.000000001,$E$12245,0.000000001))/$B$12200)^(1/3)))/ABS(IF(ABS($E$12245)&gt;0.000000001,$E$12245,0.000000001))*$I$12209)</f>
        <v/>
      </c>
      <c r="E12257" s="19">
        <f>0.5*$E$12245+0.5*$Z$12274</f>
        <v/>
      </c>
      <c r="F12257" s="19">
        <f>$Z$12275</f>
        <v/>
      </c>
    </row>
    <row r="12258">
      <c r="D12258" s="19">
        <f>IF(ABS(IF(ABS($E$12246)&gt;0.000000001,$E$12246,0.000000001))=0,0,IF($E$12210&lt;=$B$12198,0,IF(ABS(IF(ABS($E$12246)&gt;0.000000001,$E$12246,0.000000001))&gt;=8*$B$12200,$H$12210,0.5*$H$12210*(ABS(IF(ABS($E$12246)&gt;0.000000001,$E$12246,0.000000001))/$B$12200)^(1/3)))/ABS(IF(ABS($E$12246)&gt;0.000000001,$E$12246,0.000000001))*$I$12210)</f>
        <v/>
      </c>
      <c r="E12258" s="19">
        <f>0.5*$E$12246+0.5*$Z$12276</f>
        <v/>
      </c>
      <c r="F12258" s="19">
        <f>$Z$12277</f>
        <v/>
      </c>
    </row>
    <row r="12259">
      <c r="D12259" s="19">
        <f>IF(ABS(IF(ABS($E$12247)&gt;0.000000001,$E$12247,0.000000001))=0,0,IF($E$12211&lt;=$B$12198,0,IF(ABS(IF(ABS($E$12247)&gt;0.000000001,$E$12247,0.000000001))&gt;=8*$B$12200,$H$12211,0.5*$H$12211*(ABS(IF(ABS($E$12247)&gt;0.000000001,$E$12247,0.000000001))/$B$12200)^(1/3)))/ABS(IF(ABS($E$12247)&gt;0.000000001,$E$12247,0.000000001))*$I$12211)</f>
        <v/>
      </c>
      <c r="E12259" s="19">
        <f>0.5*$E$12247+0.5*$Z$12278</f>
        <v/>
      </c>
      <c r="F12259" s="19">
        <f>$Z$12279</f>
        <v/>
      </c>
    </row>
    <row r="12260">
      <c r="D12260" s="19">
        <f>IF(ABS(IF(ABS($E$12248)&gt;0.000000001,$E$12248,0.000000001))=0,0,IF($E$12212&lt;=$B$12198,0,IF(ABS(IF(ABS($E$12248)&gt;0.000000001,$E$12248,0.000000001))&gt;=8*$B$12200,$H$12212,0.5*$H$12212*(ABS(IF(ABS($E$12248)&gt;0.000000001,$E$12248,0.000000001))/$B$12200)^(1/3)))/ABS(IF(ABS($E$12248)&gt;0.000000001,$E$12248,0.000000001))*$I$12212)</f>
        <v/>
      </c>
      <c r="E12260" s="19">
        <f>0.5*$E$12248+0.5*$Z$12280</f>
        <v/>
      </c>
      <c r="F12260" s="19">
        <f>$Z$12281</f>
        <v/>
      </c>
    </row>
    <row r="12261">
      <c r="D12261" s="19">
        <f>IF(ABS(IF(ABS($E$12249)&gt;0.000000001,$E$12249,0.000000001))=0,0,IF($E$12213&lt;=$B$12198,0,IF(ABS(IF(ABS($E$12249)&gt;0.000000001,$E$12249,0.000000001))&gt;=8*$B$12200,$H$12213,0.5*$H$12213*(ABS(IF(ABS($E$12249)&gt;0.000000001,$E$12249,0.000000001))/$B$12200)^(1/3)))/ABS(IF(ABS($E$12249)&gt;0.000000001,$E$12249,0.000000001))*$I$12213)</f>
        <v/>
      </c>
      <c r="E12261" s="19">
        <f>0.5*$E$12249+0.5*$Z$12282</f>
        <v/>
      </c>
      <c r="F12261" s="19">
        <f>$Z$12283</f>
        <v/>
      </c>
    </row>
    <row r="12262">
      <c r="D12262" s="19">
        <f>IF(ABS(IF(ABS($E$12250)&gt;0.000000001,$E$12250,0.000000001))=0,0,IF($E$12214&lt;=$B$12198,0,IF(ABS(IF(ABS($E$12250)&gt;0.000000001,$E$12250,0.000000001))&gt;=8*$B$12200,$H$12214,0.5*$H$12214*(ABS(IF(ABS($E$12250)&gt;0.000000001,$E$12250,0.000000001))/$B$12200)^(1/3)))/ABS(IF(ABS($E$12250)&gt;0.000000001,$E$12250,0.000000001))*$I$12214)</f>
        <v/>
      </c>
      <c r="E12262" s="19">
        <f>0.5*$E$12250+0.5*$Z$12284</f>
        <v/>
      </c>
      <c r="F12262" s="19">
        <f>$Z$12285</f>
        <v/>
      </c>
    </row>
    <row r="12264">
      <c r="D12264" s="21">
        <f>$B$12189+$D$12252</f>
        <v/>
      </c>
      <c r="E12264" s="21">
        <f>$B$12190</f>
        <v/>
      </c>
      <c r="F12264" s="21">
        <f>-$B$12189</f>
        <v/>
      </c>
      <c r="G12264" s="21">
        <f>$B$12190</f>
        <v/>
      </c>
      <c r="H12264" s="21" t="n">
        <v>0</v>
      </c>
      <c r="I12264" s="21" t="n">
        <v>0</v>
      </c>
      <c r="J12264" s="21" t="n">
        <v>0</v>
      </c>
      <c r="K12264" s="21" t="n">
        <v>0</v>
      </c>
      <c r="L12264" s="21" t="n">
        <v>0</v>
      </c>
      <c r="M12264" s="21" t="n">
        <v>0</v>
      </c>
      <c r="N12264" s="21" t="n">
        <v>0</v>
      </c>
      <c r="O12264" s="21" t="n">
        <v>0</v>
      </c>
      <c r="P12264" s="21" t="n">
        <v>0</v>
      </c>
      <c r="Q12264" s="21" t="n">
        <v>0</v>
      </c>
      <c r="R12264" s="21" t="n">
        <v>0</v>
      </c>
      <c r="S12264" s="21" t="n">
        <v>0</v>
      </c>
      <c r="T12264" s="21" t="n">
        <v>0</v>
      </c>
      <c r="U12264" s="21" t="n">
        <v>0</v>
      </c>
      <c r="V12264" s="21" t="n">
        <v>0</v>
      </c>
      <c r="W12264" s="21" t="n">
        <v>0</v>
      </c>
      <c r="X12264" s="21" t="n">
        <v>0</v>
      </c>
      <c r="Y12264" s="21" t="n">
        <v>0</v>
      </c>
      <c r="Z12264" s="19">
        <f t="array" ref="Z12264:Z12285">MMULT(MINVERSE($D$12264:$Y$12285),$D$12216:$D$12237)</f>
        <v/>
      </c>
    </row>
    <row r="12265">
      <c r="D12265" s="21">
        <f>$B$12190</f>
        <v/>
      </c>
      <c r="E12265" s="21">
        <f>$B$12191</f>
        <v/>
      </c>
      <c r="F12265" s="21">
        <f>-$B$12190</f>
        <v/>
      </c>
      <c r="G12265" s="21">
        <f>$B$12192</f>
        <v/>
      </c>
      <c r="H12265" s="21" t="n">
        <v>0</v>
      </c>
      <c r="I12265" s="21" t="n">
        <v>0</v>
      </c>
      <c r="J12265" s="21" t="n">
        <v>0</v>
      </c>
      <c r="K12265" s="21" t="n">
        <v>0</v>
      </c>
      <c r="L12265" s="21" t="n">
        <v>0</v>
      </c>
      <c r="M12265" s="21" t="n">
        <v>0</v>
      </c>
      <c r="N12265" s="21" t="n">
        <v>0</v>
      </c>
      <c r="O12265" s="21" t="n">
        <v>0</v>
      </c>
      <c r="P12265" s="21" t="n">
        <v>0</v>
      </c>
      <c r="Q12265" s="21" t="n">
        <v>0</v>
      </c>
      <c r="R12265" s="21" t="n">
        <v>0</v>
      </c>
      <c r="S12265" s="21" t="n">
        <v>0</v>
      </c>
      <c r="T12265" s="21" t="n">
        <v>0</v>
      </c>
      <c r="U12265" s="21" t="n">
        <v>0</v>
      </c>
      <c r="V12265" s="21" t="n">
        <v>0</v>
      </c>
      <c r="W12265" s="21" t="n">
        <v>0</v>
      </c>
      <c r="X12265" s="21" t="n">
        <v>0</v>
      </c>
      <c r="Y12265" s="21" t="n">
        <v>0</v>
      </c>
      <c r="Z12265" s="19" t="n"/>
    </row>
    <row r="12266">
      <c r="D12266" s="21">
        <f>-$B$12189</f>
        <v/>
      </c>
      <c r="E12266" s="21">
        <f>-$B$12190</f>
        <v/>
      </c>
      <c r="F12266" s="21">
        <f>2*$B$12189+$D$12253</f>
        <v/>
      </c>
      <c r="G12266" s="21">
        <f>0</f>
        <v/>
      </c>
      <c r="H12266" s="21">
        <f>-$B$12189</f>
        <v/>
      </c>
      <c r="I12266" s="21">
        <f>$B$12190</f>
        <v/>
      </c>
      <c r="J12266" s="21" t="n">
        <v>0</v>
      </c>
      <c r="K12266" s="21" t="n">
        <v>0</v>
      </c>
      <c r="L12266" s="21" t="n">
        <v>0</v>
      </c>
      <c r="M12266" s="21" t="n">
        <v>0</v>
      </c>
      <c r="N12266" s="21" t="n">
        <v>0</v>
      </c>
      <c r="O12266" s="21" t="n">
        <v>0</v>
      </c>
      <c r="P12266" s="21" t="n">
        <v>0</v>
      </c>
      <c r="Q12266" s="21" t="n">
        <v>0</v>
      </c>
      <c r="R12266" s="21" t="n">
        <v>0</v>
      </c>
      <c r="S12266" s="21" t="n">
        <v>0</v>
      </c>
      <c r="T12266" s="21" t="n">
        <v>0</v>
      </c>
      <c r="U12266" s="21" t="n">
        <v>0</v>
      </c>
      <c r="V12266" s="21" t="n">
        <v>0</v>
      </c>
      <c r="W12266" s="21" t="n">
        <v>0</v>
      </c>
      <c r="X12266" s="21" t="n">
        <v>0</v>
      </c>
      <c r="Y12266" s="21" t="n">
        <v>0</v>
      </c>
      <c r="Z12266" s="19" t="n"/>
    </row>
    <row r="12267">
      <c r="D12267" s="21">
        <f>$B$12190</f>
        <v/>
      </c>
      <c r="E12267" s="21">
        <f>$B$12192</f>
        <v/>
      </c>
      <c r="F12267" s="21">
        <f>0</f>
        <v/>
      </c>
      <c r="G12267" s="21">
        <f>2*$B$12191</f>
        <v/>
      </c>
      <c r="H12267" s="21">
        <f>-$B$12190</f>
        <v/>
      </c>
      <c r="I12267" s="21">
        <f>$B$12192</f>
        <v/>
      </c>
      <c r="J12267" s="21" t="n">
        <v>0</v>
      </c>
      <c r="K12267" s="21" t="n">
        <v>0</v>
      </c>
      <c r="L12267" s="21" t="n">
        <v>0</v>
      </c>
      <c r="M12267" s="21" t="n">
        <v>0</v>
      </c>
      <c r="N12267" s="21" t="n">
        <v>0</v>
      </c>
      <c r="O12267" s="21" t="n">
        <v>0</v>
      </c>
      <c r="P12267" s="21" t="n">
        <v>0</v>
      </c>
      <c r="Q12267" s="21" t="n">
        <v>0</v>
      </c>
      <c r="R12267" s="21" t="n">
        <v>0</v>
      </c>
      <c r="S12267" s="21" t="n">
        <v>0</v>
      </c>
      <c r="T12267" s="21" t="n">
        <v>0</v>
      </c>
      <c r="U12267" s="21" t="n">
        <v>0</v>
      </c>
      <c r="V12267" s="21" t="n">
        <v>0</v>
      </c>
      <c r="W12267" s="21" t="n">
        <v>0</v>
      </c>
      <c r="X12267" s="21" t="n">
        <v>0</v>
      </c>
      <c r="Y12267" s="21" t="n">
        <v>0</v>
      </c>
      <c r="Z12267" s="19" t="n"/>
    </row>
    <row r="12268">
      <c r="D12268" s="21" t="n">
        <v>0</v>
      </c>
      <c r="E12268" s="21" t="n">
        <v>0</v>
      </c>
      <c r="F12268" s="21">
        <f>-$B$12189</f>
        <v/>
      </c>
      <c r="G12268" s="21">
        <f>-$B$12190</f>
        <v/>
      </c>
      <c r="H12268" s="21">
        <f>2*$B$12189+$D$12254</f>
        <v/>
      </c>
      <c r="I12268" s="21">
        <f>0</f>
        <v/>
      </c>
      <c r="J12268" s="21">
        <f>-$B$12189</f>
        <v/>
      </c>
      <c r="K12268" s="21">
        <f>$B$12190</f>
        <v/>
      </c>
      <c r="L12268" s="21" t="n">
        <v>0</v>
      </c>
      <c r="M12268" s="21" t="n">
        <v>0</v>
      </c>
      <c r="N12268" s="21" t="n">
        <v>0</v>
      </c>
      <c r="O12268" s="21" t="n">
        <v>0</v>
      </c>
      <c r="P12268" s="21" t="n">
        <v>0</v>
      </c>
      <c r="Q12268" s="21" t="n">
        <v>0</v>
      </c>
      <c r="R12268" s="21" t="n">
        <v>0</v>
      </c>
      <c r="S12268" s="21" t="n">
        <v>0</v>
      </c>
      <c r="T12268" s="21" t="n">
        <v>0</v>
      </c>
      <c r="U12268" s="21" t="n">
        <v>0</v>
      </c>
      <c r="V12268" s="21" t="n">
        <v>0</v>
      </c>
      <c r="W12268" s="21" t="n">
        <v>0</v>
      </c>
      <c r="X12268" s="21" t="n">
        <v>0</v>
      </c>
      <c r="Y12268" s="21" t="n">
        <v>0</v>
      </c>
      <c r="Z12268" s="19" t="n"/>
    </row>
    <row r="12269">
      <c r="D12269" s="21" t="n">
        <v>0</v>
      </c>
      <c r="E12269" s="21" t="n">
        <v>0</v>
      </c>
      <c r="F12269" s="21">
        <f>$B$12190</f>
        <v/>
      </c>
      <c r="G12269" s="21">
        <f>$B$12192</f>
        <v/>
      </c>
      <c r="H12269" s="21">
        <f>0</f>
        <v/>
      </c>
      <c r="I12269" s="21">
        <f>2*$B$12191</f>
        <v/>
      </c>
      <c r="J12269" s="21">
        <f>-$B$12190</f>
        <v/>
      </c>
      <c r="K12269" s="21">
        <f>$B$12192</f>
        <v/>
      </c>
      <c r="L12269" s="21" t="n">
        <v>0</v>
      </c>
      <c r="M12269" s="21" t="n">
        <v>0</v>
      </c>
      <c r="N12269" s="21" t="n">
        <v>0</v>
      </c>
      <c r="O12269" s="21" t="n">
        <v>0</v>
      </c>
      <c r="P12269" s="21" t="n">
        <v>0</v>
      </c>
      <c r="Q12269" s="21" t="n">
        <v>0</v>
      </c>
      <c r="R12269" s="21" t="n">
        <v>0</v>
      </c>
      <c r="S12269" s="21" t="n">
        <v>0</v>
      </c>
      <c r="T12269" s="21" t="n">
        <v>0</v>
      </c>
      <c r="U12269" s="21" t="n">
        <v>0</v>
      </c>
      <c r="V12269" s="21" t="n">
        <v>0</v>
      </c>
      <c r="W12269" s="21" t="n">
        <v>0</v>
      </c>
      <c r="X12269" s="21" t="n">
        <v>0</v>
      </c>
      <c r="Y12269" s="21" t="n">
        <v>0</v>
      </c>
      <c r="Z12269" s="19" t="n"/>
    </row>
    <row r="12270">
      <c r="D12270" s="21" t="n">
        <v>0</v>
      </c>
      <c r="E12270" s="21" t="n">
        <v>0</v>
      </c>
      <c r="F12270" s="21" t="n">
        <v>0</v>
      </c>
      <c r="G12270" s="21" t="n">
        <v>0</v>
      </c>
      <c r="H12270" s="21">
        <f>-$B$12189</f>
        <v/>
      </c>
      <c r="I12270" s="21">
        <f>-$B$12190</f>
        <v/>
      </c>
      <c r="J12270" s="21">
        <f>2*$B$12189+$D$12255</f>
        <v/>
      </c>
      <c r="K12270" s="21">
        <f>0</f>
        <v/>
      </c>
      <c r="L12270" s="21">
        <f>-$B$12189</f>
        <v/>
      </c>
      <c r="M12270" s="21">
        <f>$B$12190</f>
        <v/>
      </c>
      <c r="N12270" s="21" t="n">
        <v>0</v>
      </c>
      <c r="O12270" s="21" t="n">
        <v>0</v>
      </c>
      <c r="P12270" s="21" t="n">
        <v>0</v>
      </c>
      <c r="Q12270" s="21" t="n">
        <v>0</v>
      </c>
      <c r="R12270" s="21" t="n">
        <v>0</v>
      </c>
      <c r="S12270" s="21" t="n">
        <v>0</v>
      </c>
      <c r="T12270" s="21" t="n">
        <v>0</v>
      </c>
      <c r="U12270" s="21" t="n">
        <v>0</v>
      </c>
      <c r="V12270" s="21" t="n">
        <v>0</v>
      </c>
      <c r="W12270" s="21" t="n">
        <v>0</v>
      </c>
      <c r="X12270" s="21" t="n">
        <v>0</v>
      </c>
      <c r="Y12270" s="21" t="n">
        <v>0</v>
      </c>
      <c r="Z12270" s="19" t="n"/>
    </row>
    <row r="12271">
      <c r="D12271" s="21" t="n">
        <v>0</v>
      </c>
      <c r="E12271" s="21" t="n">
        <v>0</v>
      </c>
      <c r="F12271" s="21" t="n">
        <v>0</v>
      </c>
      <c r="G12271" s="21" t="n">
        <v>0</v>
      </c>
      <c r="H12271" s="21">
        <f>$B$12190</f>
        <v/>
      </c>
      <c r="I12271" s="21">
        <f>$B$12192</f>
        <v/>
      </c>
      <c r="J12271" s="21">
        <f>0</f>
        <v/>
      </c>
      <c r="K12271" s="21">
        <f>2*$B$12191</f>
        <v/>
      </c>
      <c r="L12271" s="21">
        <f>-$B$12190</f>
        <v/>
      </c>
      <c r="M12271" s="21">
        <f>$B$12192</f>
        <v/>
      </c>
      <c r="N12271" s="21" t="n">
        <v>0</v>
      </c>
      <c r="O12271" s="21" t="n">
        <v>0</v>
      </c>
      <c r="P12271" s="21" t="n">
        <v>0</v>
      </c>
      <c r="Q12271" s="21" t="n">
        <v>0</v>
      </c>
      <c r="R12271" s="21" t="n">
        <v>0</v>
      </c>
      <c r="S12271" s="21" t="n">
        <v>0</v>
      </c>
      <c r="T12271" s="21" t="n">
        <v>0</v>
      </c>
      <c r="U12271" s="21" t="n">
        <v>0</v>
      </c>
      <c r="V12271" s="21" t="n">
        <v>0</v>
      </c>
      <c r="W12271" s="21" t="n">
        <v>0</v>
      </c>
      <c r="X12271" s="21" t="n">
        <v>0</v>
      </c>
      <c r="Y12271" s="21" t="n">
        <v>0</v>
      </c>
      <c r="Z12271" s="19" t="n"/>
    </row>
    <row r="12272">
      <c r="D12272" s="21" t="n">
        <v>0</v>
      </c>
      <c r="E12272" s="21" t="n">
        <v>0</v>
      </c>
      <c r="F12272" s="21" t="n">
        <v>0</v>
      </c>
      <c r="G12272" s="21" t="n">
        <v>0</v>
      </c>
      <c r="H12272" s="21" t="n">
        <v>0</v>
      </c>
      <c r="I12272" s="21" t="n">
        <v>0</v>
      </c>
      <c r="J12272" s="21">
        <f>-$B$12189</f>
        <v/>
      </c>
      <c r="K12272" s="21">
        <f>-$B$12190</f>
        <v/>
      </c>
      <c r="L12272" s="21">
        <f>2*$B$12189+$D$12256</f>
        <v/>
      </c>
      <c r="M12272" s="21">
        <f>0</f>
        <v/>
      </c>
      <c r="N12272" s="21">
        <f>-$B$12189</f>
        <v/>
      </c>
      <c r="O12272" s="21">
        <f>$B$12190</f>
        <v/>
      </c>
      <c r="P12272" s="21" t="n">
        <v>0</v>
      </c>
      <c r="Q12272" s="21" t="n">
        <v>0</v>
      </c>
      <c r="R12272" s="21" t="n">
        <v>0</v>
      </c>
      <c r="S12272" s="21" t="n">
        <v>0</v>
      </c>
      <c r="T12272" s="21" t="n">
        <v>0</v>
      </c>
      <c r="U12272" s="21" t="n">
        <v>0</v>
      </c>
      <c r="V12272" s="21" t="n">
        <v>0</v>
      </c>
      <c r="W12272" s="21" t="n">
        <v>0</v>
      </c>
      <c r="X12272" s="21" t="n">
        <v>0</v>
      </c>
      <c r="Y12272" s="21" t="n">
        <v>0</v>
      </c>
      <c r="Z12272" s="19" t="n"/>
    </row>
    <row r="12273">
      <c r="D12273" s="21" t="n">
        <v>0</v>
      </c>
      <c r="E12273" s="21" t="n">
        <v>0</v>
      </c>
      <c r="F12273" s="21" t="n">
        <v>0</v>
      </c>
      <c r="G12273" s="21" t="n">
        <v>0</v>
      </c>
      <c r="H12273" s="21" t="n">
        <v>0</v>
      </c>
      <c r="I12273" s="21" t="n">
        <v>0</v>
      </c>
      <c r="J12273" s="21">
        <f>$B$12190</f>
        <v/>
      </c>
      <c r="K12273" s="21">
        <f>$B$12192</f>
        <v/>
      </c>
      <c r="L12273" s="21">
        <f>0</f>
        <v/>
      </c>
      <c r="M12273" s="21">
        <f>2*$B$12191</f>
        <v/>
      </c>
      <c r="N12273" s="21">
        <f>-$B$12190</f>
        <v/>
      </c>
      <c r="O12273" s="21">
        <f>$B$12192</f>
        <v/>
      </c>
      <c r="P12273" s="21" t="n">
        <v>0</v>
      </c>
      <c r="Q12273" s="21" t="n">
        <v>0</v>
      </c>
      <c r="R12273" s="21" t="n">
        <v>0</v>
      </c>
      <c r="S12273" s="21" t="n">
        <v>0</v>
      </c>
      <c r="T12273" s="21" t="n">
        <v>0</v>
      </c>
      <c r="U12273" s="21" t="n">
        <v>0</v>
      </c>
      <c r="V12273" s="21" t="n">
        <v>0</v>
      </c>
      <c r="W12273" s="21" t="n">
        <v>0</v>
      </c>
      <c r="X12273" s="21" t="n">
        <v>0</v>
      </c>
      <c r="Y12273" s="21" t="n">
        <v>0</v>
      </c>
      <c r="Z12273" s="19" t="n"/>
    </row>
    <row r="12274">
      <c r="D12274" s="21" t="n">
        <v>0</v>
      </c>
      <c r="E12274" s="21" t="n">
        <v>0</v>
      </c>
      <c r="F12274" s="21" t="n">
        <v>0</v>
      </c>
      <c r="G12274" s="21" t="n">
        <v>0</v>
      </c>
      <c r="H12274" s="21" t="n">
        <v>0</v>
      </c>
      <c r="I12274" s="21" t="n">
        <v>0</v>
      </c>
      <c r="J12274" s="21" t="n">
        <v>0</v>
      </c>
      <c r="K12274" s="21" t="n">
        <v>0</v>
      </c>
      <c r="L12274" s="21">
        <f>-$B$12189</f>
        <v/>
      </c>
      <c r="M12274" s="21">
        <f>-$B$12190</f>
        <v/>
      </c>
      <c r="N12274" s="21">
        <f>2*$B$12189+$D$12257</f>
        <v/>
      </c>
      <c r="O12274" s="21">
        <f>0</f>
        <v/>
      </c>
      <c r="P12274" s="21">
        <f>-$B$12189</f>
        <v/>
      </c>
      <c r="Q12274" s="21">
        <f>$B$12190</f>
        <v/>
      </c>
      <c r="R12274" s="21" t="n">
        <v>0</v>
      </c>
      <c r="S12274" s="21" t="n">
        <v>0</v>
      </c>
      <c r="T12274" s="21" t="n">
        <v>0</v>
      </c>
      <c r="U12274" s="21" t="n">
        <v>0</v>
      </c>
      <c r="V12274" s="21" t="n">
        <v>0</v>
      </c>
      <c r="W12274" s="21" t="n">
        <v>0</v>
      </c>
      <c r="X12274" s="21" t="n">
        <v>0</v>
      </c>
      <c r="Y12274" s="21" t="n">
        <v>0</v>
      </c>
      <c r="Z12274" s="19" t="n"/>
    </row>
    <row r="12275">
      <c r="D12275" s="21" t="n">
        <v>0</v>
      </c>
      <c r="E12275" s="21" t="n">
        <v>0</v>
      </c>
      <c r="F12275" s="21" t="n">
        <v>0</v>
      </c>
      <c r="G12275" s="21" t="n">
        <v>0</v>
      </c>
      <c r="H12275" s="21" t="n">
        <v>0</v>
      </c>
      <c r="I12275" s="21" t="n">
        <v>0</v>
      </c>
      <c r="J12275" s="21" t="n">
        <v>0</v>
      </c>
      <c r="K12275" s="21" t="n">
        <v>0</v>
      </c>
      <c r="L12275" s="21">
        <f>$B$12190</f>
        <v/>
      </c>
      <c r="M12275" s="21">
        <f>$B$12192</f>
        <v/>
      </c>
      <c r="N12275" s="21">
        <f>0</f>
        <v/>
      </c>
      <c r="O12275" s="21">
        <f>2*$B$12191</f>
        <v/>
      </c>
      <c r="P12275" s="21">
        <f>-$B$12190</f>
        <v/>
      </c>
      <c r="Q12275" s="21">
        <f>$B$12192</f>
        <v/>
      </c>
      <c r="R12275" s="21" t="n">
        <v>0</v>
      </c>
      <c r="S12275" s="21" t="n">
        <v>0</v>
      </c>
      <c r="T12275" s="21" t="n">
        <v>0</v>
      </c>
      <c r="U12275" s="21" t="n">
        <v>0</v>
      </c>
      <c r="V12275" s="21" t="n">
        <v>0</v>
      </c>
      <c r="W12275" s="21" t="n">
        <v>0</v>
      </c>
      <c r="X12275" s="21" t="n">
        <v>0</v>
      </c>
      <c r="Y12275" s="21" t="n">
        <v>0</v>
      </c>
      <c r="Z12275" s="19" t="n"/>
    </row>
    <row r="12276">
      <c r="D12276" s="21" t="n">
        <v>0</v>
      </c>
      <c r="E12276" s="21" t="n">
        <v>0</v>
      </c>
      <c r="F12276" s="21" t="n">
        <v>0</v>
      </c>
      <c r="G12276" s="21" t="n">
        <v>0</v>
      </c>
      <c r="H12276" s="21" t="n">
        <v>0</v>
      </c>
      <c r="I12276" s="21" t="n">
        <v>0</v>
      </c>
      <c r="J12276" s="21" t="n">
        <v>0</v>
      </c>
      <c r="K12276" s="21" t="n">
        <v>0</v>
      </c>
      <c r="L12276" s="21" t="n">
        <v>0</v>
      </c>
      <c r="M12276" s="21" t="n">
        <v>0</v>
      </c>
      <c r="N12276" s="21">
        <f>-$B$12189</f>
        <v/>
      </c>
      <c r="O12276" s="21">
        <f>-$B$12190</f>
        <v/>
      </c>
      <c r="P12276" s="21">
        <f>2*$B$12189+$D$12258</f>
        <v/>
      </c>
      <c r="Q12276" s="21">
        <f>0</f>
        <v/>
      </c>
      <c r="R12276" s="21">
        <f>-$B$12189</f>
        <v/>
      </c>
      <c r="S12276" s="21">
        <f>$B$12190</f>
        <v/>
      </c>
      <c r="T12276" s="21" t="n">
        <v>0</v>
      </c>
      <c r="U12276" s="21" t="n">
        <v>0</v>
      </c>
      <c r="V12276" s="21" t="n">
        <v>0</v>
      </c>
      <c r="W12276" s="21" t="n">
        <v>0</v>
      </c>
      <c r="X12276" s="21" t="n">
        <v>0</v>
      </c>
      <c r="Y12276" s="21" t="n">
        <v>0</v>
      </c>
      <c r="Z12276" s="19" t="n"/>
    </row>
    <row r="12277">
      <c r="D12277" s="21" t="n">
        <v>0</v>
      </c>
      <c r="E12277" s="21" t="n">
        <v>0</v>
      </c>
      <c r="F12277" s="21" t="n">
        <v>0</v>
      </c>
      <c r="G12277" s="21" t="n">
        <v>0</v>
      </c>
      <c r="H12277" s="21" t="n">
        <v>0</v>
      </c>
      <c r="I12277" s="21" t="n">
        <v>0</v>
      </c>
      <c r="J12277" s="21" t="n">
        <v>0</v>
      </c>
      <c r="K12277" s="21" t="n">
        <v>0</v>
      </c>
      <c r="L12277" s="21" t="n">
        <v>0</v>
      </c>
      <c r="M12277" s="21" t="n">
        <v>0</v>
      </c>
      <c r="N12277" s="21">
        <f>$B$12190</f>
        <v/>
      </c>
      <c r="O12277" s="21">
        <f>$B$12192</f>
        <v/>
      </c>
      <c r="P12277" s="21">
        <f>0</f>
        <v/>
      </c>
      <c r="Q12277" s="21">
        <f>2*$B$12191</f>
        <v/>
      </c>
      <c r="R12277" s="21">
        <f>-$B$12190</f>
        <v/>
      </c>
      <c r="S12277" s="21">
        <f>$B$12192</f>
        <v/>
      </c>
      <c r="T12277" s="21" t="n">
        <v>0</v>
      </c>
      <c r="U12277" s="21" t="n">
        <v>0</v>
      </c>
      <c r="V12277" s="21" t="n">
        <v>0</v>
      </c>
      <c r="W12277" s="21" t="n">
        <v>0</v>
      </c>
      <c r="X12277" s="21" t="n">
        <v>0</v>
      </c>
      <c r="Y12277" s="21" t="n">
        <v>0</v>
      </c>
      <c r="Z12277" s="19" t="n"/>
    </row>
    <row r="12278">
      <c r="D12278" s="21" t="n">
        <v>0</v>
      </c>
      <c r="E12278" s="21" t="n">
        <v>0</v>
      </c>
      <c r="F12278" s="21" t="n">
        <v>0</v>
      </c>
      <c r="G12278" s="21" t="n">
        <v>0</v>
      </c>
      <c r="H12278" s="21" t="n">
        <v>0</v>
      </c>
      <c r="I12278" s="21" t="n">
        <v>0</v>
      </c>
      <c r="J12278" s="21" t="n">
        <v>0</v>
      </c>
      <c r="K12278" s="21" t="n">
        <v>0</v>
      </c>
      <c r="L12278" s="21" t="n">
        <v>0</v>
      </c>
      <c r="M12278" s="21" t="n">
        <v>0</v>
      </c>
      <c r="N12278" s="21" t="n">
        <v>0</v>
      </c>
      <c r="O12278" s="21" t="n">
        <v>0</v>
      </c>
      <c r="P12278" s="21">
        <f>-$B$12189</f>
        <v/>
      </c>
      <c r="Q12278" s="21">
        <f>-$B$12190</f>
        <v/>
      </c>
      <c r="R12278" s="21">
        <f>2*$B$12189+$D$12259</f>
        <v/>
      </c>
      <c r="S12278" s="21">
        <f>0</f>
        <v/>
      </c>
      <c r="T12278" s="21">
        <f>-$B$12189</f>
        <v/>
      </c>
      <c r="U12278" s="21">
        <f>$B$12190</f>
        <v/>
      </c>
      <c r="V12278" s="21" t="n">
        <v>0</v>
      </c>
      <c r="W12278" s="21" t="n">
        <v>0</v>
      </c>
      <c r="X12278" s="21" t="n">
        <v>0</v>
      </c>
      <c r="Y12278" s="21" t="n">
        <v>0</v>
      </c>
      <c r="Z12278" s="19" t="n"/>
    </row>
    <row r="12279">
      <c r="D12279" s="21" t="n">
        <v>0</v>
      </c>
      <c r="E12279" s="21" t="n">
        <v>0</v>
      </c>
      <c r="F12279" s="21" t="n">
        <v>0</v>
      </c>
      <c r="G12279" s="21" t="n">
        <v>0</v>
      </c>
      <c r="H12279" s="21" t="n">
        <v>0</v>
      </c>
      <c r="I12279" s="21" t="n">
        <v>0</v>
      </c>
      <c r="J12279" s="21" t="n">
        <v>0</v>
      </c>
      <c r="K12279" s="21" t="n">
        <v>0</v>
      </c>
      <c r="L12279" s="21" t="n">
        <v>0</v>
      </c>
      <c r="M12279" s="21" t="n">
        <v>0</v>
      </c>
      <c r="N12279" s="21" t="n">
        <v>0</v>
      </c>
      <c r="O12279" s="21" t="n">
        <v>0</v>
      </c>
      <c r="P12279" s="21">
        <f>$B$12190</f>
        <v/>
      </c>
      <c r="Q12279" s="21">
        <f>$B$12192</f>
        <v/>
      </c>
      <c r="R12279" s="21">
        <f>0</f>
        <v/>
      </c>
      <c r="S12279" s="21">
        <f>2*$B$12191</f>
        <v/>
      </c>
      <c r="T12279" s="21">
        <f>-$B$12190</f>
        <v/>
      </c>
      <c r="U12279" s="21">
        <f>$B$12192</f>
        <v/>
      </c>
      <c r="V12279" s="21" t="n">
        <v>0</v>
      </c>
      <c r="W12279" s="21" t="n">
        <v>0</v>
      </c>
      <c r="X12279" s="21" t="n">
        <v>0</v>
      </c>
      <c r="Y12279" s="21" t="n">
        <v>0</v>
      </c>
      <c r="Z12279" s="19" t="n"/>
    </row>
    <row r="12280">
      <c r="D12280" s="21" t="n">
        <v>0</v>
      </c>
      <c r="E12280" s="21" t="n">
        <v>0</v>
      </c>
      <c r="F12280" s="21" t="n">
        <v>0</v>
      </c>
      <c r="G12280" s="21" t="n">
        <v>0</v>
      </c>
      <c r="H12280" s="21" t="n">
        <v>0</v>
      </c>
      <c r="I12280" s="21" t="n">
        <v>0</v>
      </c>
      <c r="J12280" s="21" t="n">
        <v>0</v>
      </c>
      <c r="K12280" s="21" t="n">
        <v>0</v>
      </c>
      <c r="L12280" s="21" t="n">
        <v>0</v>
      </c>
      <c r="M12280" s="21" t="n">
        <v>0</v>
      </c>
      <c r="N12280" s="21" t="n">
        <v>0</v>
      </c>
      <c r="O12280" s="21" t="n">
        <v>0</v>
      </c>
      <c r="P12280" s="21" t="n">
        <v>0</v>
      </c>
      <c r="Q12280" s="21" t="n">
        <v>0</v>
      </c>
      <c r="R12280" s="21">
        <f>-$B$12189</f>
        <v/>
      </c>
      <c r="S12280" s="21">
        <f>-$B$12190</f>
        <v/>
      </c>
      <c r="T12280" s="21">
        <f>2*$B$12189+$D$12260</f>
        <v/>
      </c>
      <c r="U12280" s="21">
        <f>0</f>
        <v/>
      </c>
      <c r="V12280" s="21">
        <f>-$B$12189</f>
        <v/>
      </c>
      <c r="W12280" s="21">
        <f>$B$12190</f>
        <v/>
      </c>
      <c r="X12280" s="21" t="n">
        <v>0</v>
      </c>
      <c r="Y12280" s="21" t="n">
        <v>0</v>
      </c>
      <c r="Z12280" s="19" t="n"/>
    </row>
    <row r="12281">
      <c r="D12281" s="21" t="n">
        <v>0</v>
      </c>
      <c r="E12281" s="21" t="n">
        <v>0</v>
      </c>
      <c r="F12281" s="21" t="n">
        <v>0</v>
      </c>
      <c r="G12281" s="21" t="n">
        <v>0</v>
      </c>
      <c r="H12281" s="21" t="n">
        <v>0</v>
      </c>
      <c r="I12281" s="21" t="n">
        <v>0</v>
      </c>
      <c r="J12281" s="21" t="n">
        <v>0</v>
      </c>
      <c r="K12281" s="21" t="n">
        <v>0</v>
      </c>
      <c r="L12281" s="21" t="n">
        <v>0</v>
      </c>
      <c r="M12281" s="21" t="n">
        <v>0</v>
      </c>
      <c r="N12281" s="21" t="n">
        <v>0</v>
      </c>
      <c r="O12281" s="21" t="n">
        <v>0</v>
      </c>
      <c r="P12281" s="21" t="n">
        <v>0</v>
      </c>
      <c r="Q12281" s="21" t="n">
        <v>0</v>
      </c>
      <c r="R12281" s="21">
        <f>$B$12190</f>
        <v/>
      </c>
      <c r="S12281" s="21">
        <f>$B$12192</f>
        <v/>
      </c>
      <c r="T12281" s="21">
        <f>0</f>
        <v/>
      </c>
      <c r="U12281" s="21">
        <f>2*$B$12191</f>
        <v/>
      </c>
      <c r="V12281" s="21">
        <f>-$B$12190</f>
        <v/>
      </c>
      <c r="W12281" s="21">
        <f>$B$12192</f>
        <v/>
      </c>
      <c r="X12281" s="21" t="n">
        <v>0</v>
      </c>
      <c r="Y12281" s="21" t="n">
        <v>0</v>
      </c>
      <c r="Z12281" s="19" t="n"/>
    </row>
    <row r="12282">
      <c r="D12282" s="21" t="n">
        <v>0</v>
      </c>
      <c r="E12282" s="21" t="n">
        <v>0</v>
      </c>
      <c r="F12282" s="21" t="n">
        <v>0</v>
      </c>
      <c r="G12282" s="21" t="n">
        <v>0</v>
      </c>
      <c r="H12282" s="21" t="n">
        <v>0</v>
      </c>
      <c r="I12282" s="21" t="n">
        <v>0</v>
      </c>
      <c r="J12282" s="21" t="n">
        <v>0</v>
      </c>
      <c r="K12282" s="21" t="n">
        <v>0</v>
      </c>
      <c r="L12282" s="21" t="n">
        <v>0</v>
      </c>
      <c r="M12282" s="21" t="n">
        <v>0</v>
      </c>
      <c r="N12282" s="21" t="n">
        <v>0</v>
      </c>
      <c r="O12282" s="21" t="n">
        <v>0</v>
      </c>
      <c r="P12282" s="21" t="n">
        <v>0</v>
      </c>
      <c r="Q12282" s="21" t="n">
        <v>0</v>
      </c>
      <c r="R12282" s="21" t="n">
        <v>0</v>
      </c>
      <c r="S12282" s="21" t="n">
        <v>0</v>
      </c>
      <c r="T12282" s="21">
        <f>-$B$12189</f>
        <v/>
      </c>
      <c r="U12282" s="21">
        <f>-$B$12190</f>
        <v/>
      </c>
      <c r="V12282" s="21">
        <f>2*$B$12189+$D$12261</f>
        <v/>
      </c>
      <c r="W12282" s="21">
        <f>0</f>
        <v/>
      </c>
      <c r="X12282" s="21">
        <f>-$B$12189</f>
        <v/>
      </c>
      <c r="Y12282" s="21">
        <f>$B$12190</f>
        <v/>
      </c>
      <c r="Z12282" s="19" t="n"/>
    </row>
    <row r="12283">
      <c r="D12283" s="21" t="n">
        <v>0</v>
      </c>
      <c r="E12283" s="21" t="n">
        <v>0</v>
      </c>
      <c r="F12283" s="21" t="n">
        <v>0</v>
      </c>
      <c r="G12283" s="21" t="n">
        <v>0</v>
      </c>
      <c r="H12283" s="21" t="n">
        <v>0</v>
      </c>
      <c r="I12283" s="21" t="n">
        <v>0</v>
      </c>
      <c r="J12283" s="21" t="n">
        <v>0</v>
      </c>
      <c r="K12283" s="21" t="n">
        <v>0</v>
      </c>
      <c r="L12283" s="21" t="n">
        <v>0</v>
      </c>
      <c r="M12283" s="21" t="n">
        <v>0</v>
      </c>
      <c r="N12283" s="21" t="n">
        <v>0</v>
      </c>
      <c r="O12283" s="21" t="n">
        <v>0</v>
      </c>
      <c r="P12283" s="21" t="n">
        <v>0</v>
      </c>
      <c r="Q12283" s="21" t="n">
        <v>0</v>
      </c>
      <c r="R12283" s="21" t="n">
        <v>0</v>
      </c>
      <c r="S12283" s="21" t="n">
        <v>0</v>
      </c>
      <c r="T12283" s="21">
        <f>$B$12190</f>
        <v/>
      </c>
      <c r="U12283" s="21">
        <f>$B$12192</f>
        <v/>
      </c>
      <c r="V12283" s="21">
        <f>0</f>
        <v/>
      </c>
      <c r="W12283" s="21">
        <f>2*$B$12191</f>
        <v/>
      </c>
      <c r="X12283" s="21">
        <f>-$B$12190</f>
        <v/>
      </c>
      <c r="Y12283" s="21">
        <f>$B$12192</f>
        <v/>
      </c>
      <c r="Z12283" s="19" t="n"/>
    </row>
    <row r="12284">
      <c r="D12284" s="21" t="n">
        <v>0</v>
      </c>
      <c r="E12284" s="21" t="n">
        <v>0</v>
      </c>
      <c r="F12284" s="21" t="n">
        <v>0</v>
      </c>
      <c r="G12284" s="21" t="n">
        <v>0</v>
      </c>
      <c r="H12284" s="21" t="n">
        <v>0</v>
      </c>
      <c r="I12284" s="21" t="n">
        <v>0</v>
      </c>
      <c r="J12284" s="21" t="n">
        <v>0</v>
      </c>
      <c r="K12284" s="21" t="n">
        <v>0</v>
      </c>
      <c r="L12284" s="21" t="n">
        <v>0</v>
      </c>
      <c r="M12284" s="21" t="n">
        <v>0</v>
      </c>
      <c r="N12284" s="21" t="n">
        <v>0</v>
      </c>
      <c r="O12284" s="21" t="n">
        <v>0</v>
      </c>
      <c r="P12284" s="21" t="n">
        <v>0</v>
      </c>
      <c r="Q12284" s="21" t="n">
        <v>0</v>
      </c>
      <c r="R12284" s="21" t="n">
        <v>0</v>
      </c>
      <c r="S12284" s="21" t="n">
        <v>0</v>
      </c>
      <c r="T12284" s="21" t="n">
        <v>0</v>
      </c>
      <c r="U12284" s="21" t="n">
        <v>0</v>
      </c>
      <c r="V12284" s="21">
        <f>-$B$12189</f>
        <v/>
      </c>
      <c r="W12284" s="21">
        <f>-$B$12190</f>
        <v/>
      </c>
      <c r="X12284" s="21">
        <f>$B$12189+$D$12262</f>
        <v/>
      </c>
      <c r="Y12284" s="21">
        <f>-$B$12190</f>
        <v/>
      </c>
      <c r="Z12284" s="19" t="n"/>
    </row>
    <row r="12285">
      <c r="D12285" s="21" t="n">
        <v>0</v>
      </c>
      <c r="E12285" s="21" t="n">
        <v>0</v>
      </c>
      <c r="F12285" s="21" t="n">
        <v>0</v>
      </c>
      <c r="G12285" s="21" t="n">
        <v>0</v>
      </c>
      <c r="H12285" s="21" t="n">
        <v>0</v>
      </c>
      <c r="I12285" s="21" t="n">
        <v>0</v>
      </c>
      <c r="J12285" s="21" t="n">
        <v>0</v>
      </c>
      <c r="K12285" s="21" t="n">
        <v>0</v>
      </c>
      <c r="L12285" s="21" t="n">
        <v>0</v>
      </c>
      <c r="M12285" s="21" t="n">
        <v>0</v>
      </c>
      <c r="N12285" s="21" t="n">
        <v>0</v>
      </c>
      <c r="O12285" s="21" t="n">
        <v>0</v>
      </c>
      <c r="P12285" s="21" t="n">
        <v>0</v>
      </c>
      <c r="Q12285" s="21" t="n">
        <v>0</v>
      </c>
      <c r="R12285" s="21" t="n">
        <v>0</v>
      </c>
      <c r="S12285" s="21" t="n">
        <v>0</v>
      </c>
      <c r="T12285" s="21" t="n">
        <v>0</v>
      </c>
      <c r="U12285" s="21" t="n">
        <v>0</v>
      </c>
      <c r="V12285" s="21">
        <f>$B$12190</f>
        <v/>
      </c>
      <c r="W12285" s="21">
        <f>$B$12192</f>
        <v/>
      </c>
      <c r="X12285" s="21">
        <f>-$B$12190</f>
        <v/>
      </c>
      <c r="Y12285" s="21">
        <f>$B$12191</f>
        <v/>
      </c>
      <c r="Z12285" s="19" t="n"/>
    </row>
    <row r="12287">
      <c r="A12287" s="8" t="inlineStr">
        <is>
          <t>gen 2</t>
        </is>
      </c>
    </row>
    <row r="12288">
      <c r="D12288" s="19">
        <f>IF(ABS(IF(ABS($E$12252)&gt;0.000000001,$E$12252,0.000000001))=0,0,IF($E$12204&lt;=$B$12198,0,IF(ABS(IF(ABS($E$12252)&gt;0.000000001,$E$12252,0.000000001))&gt;=8*$B$12200,$H$12204,0.5*$H$12204*(ABS(IF(ABS($E$12252)&gt;0.000000001,$E$12252,0.000000001))/$B$12200)^(1/3)))/ABS(IF(ABS($E$12252)&gt;0.000000001,$E$12252,0.000000001))*$I$12204)</f>
        <v/>
      </c>
      <c r="E12288" s="19">
        <f>0.5*$E$12252+0.5*$Z$12300</f>
        <v/>
      </c>
      <c r="F12288" s="19">
        <f>$Z$12301</f>
        <v/>
      </c>
    </row>
    <row r="12289">
      <c r="D12289" s="19">
        <f>IF(ABS(IF(ABS($E$12253)&gt;0.000000001,$E$12253,0.000000001))=0,0,IF($E$12205&lt;=$B$12198,0,IF(ABS(IF(ABS($E$12253)&gt;0.000000001,$E$12253,0.000000001))&gt;=8*$B$12200,$H$12205,0.5*$H$12205*(ABS(IF(ABS($E$12253)&gt;0.000000001,$E$12253,0.000000001))/$B$12200)^(1/3)))/ABS(IF(ABS($E$12253)&gt;0.000000001,$E$12253,0.000000001))*$I$12205)</f>
        <v/>
      </c>
      <c r="E12289" s="19">
        <f>0.5*$E$12253+0.5*$Z$12302</f>
        <v/>
      </c>
      <c r="F12289" s="19">
        <f>$Z$12303</f>
        <v/>
      </c>
    </row>
    <row r="12290">
      <c r="D12290" s="19">
        <f>IF(ABS(IF(ABS($E$12254)&gt;0.000000001,$E$12254,0.000000001))=0,0,IF($E$12206&lt;=$B$12198,0,IF(ABS(IF(ABS($E$12254)&gt;0.000000001,$E$12254,0.000000001))&gt;=8*$B$12200,$H$12206,0.5*$H$12206*(ABS(IF(ABS($E$12254)&gt;0.000000001,$E$12254,0.000000001))/$B$12200)^(1/3)))/ABS(IF(ABS($E$12254)&gt;0.000000001,$E$12254,0.000000001))*$I$12206)</f>
        <v/>
      </c>
      <c r="E12290" s="19">
        <f>0.5*$E$12254+0.5*$Z$12304</f>
        <v/>
      </c>
      <c r="F12290" s="19">
        <f>$Z$12305</f>
        <v/>
      </c>
    </row>
    <row r="12291">
      <c r="D12291" s="19">
        <f>IF(ABS(IF(ABS($E$12255)&gt;0.000000001,$E$12255,0.000000001))=0,0,IF($E$12207&lt;=$B$12198,0,IF(ABS(IF(ABS($E$12255)&gt;0.000000001,$E$12255,0.000000001))&gt;=8*$B$12200,$H$12207,0.5*$H$12207*(ABS(IF(ABS($E$12255)&gt;0.000000001,$E$12255,0.000000001))/$B$12200)^(1/3)))/ABS(IF(ABS($E$12255)&gt;0.000000001,$E$12255,0.000000001))*$I$12207)</f>
        <v/>
      </c>
      <c r="E12291" s="19">
        <f>0.5*$E$12255+0.5*$Z$12306</f>
        <v/>
      </c>
      <c r="F12291" s="19">
        <f>$Z$12307</f>
        <v/>
      </c>
    </row>
    <row r="12292">
      <c r="D12292" s="19">
        <f>IF(ABS(IF(ABS($E$12256)&gt;0.000000001,$E$12256,0.000000001))=0,0,IF($E$12208&lt;=$B$12198,0,IF(ABS(IF(ABS($E$12256)&gt;0.000000001,$E$12256,0.000000001))&gt;=8*$B$12200,$H$12208,0.5*$H$12208*(ABS(IF(ABS($E$12256)&gt;0.000000001,$E$12256,0.000000001))/$B$12200)^(1/3)))/ABS(IF(ABS($E$12256)&gt;0.000000001,$E$12256,0.000000001))*$I$12208)</f>
        <v/>
      </c>
      <c r="E12292" s="19">
        <f>0.5*$E$12256+0.5*$Z$12308</f>
        <v/>
      </c>
      <c r="F12292" s="19">
        <f>$Z$12309</f>
        <v/>
      </c>
    </row>
    <row r="12293">
      <c r="D12293" s="19">
        <f>IF(ABS(IF(ABS($E$12257)&gt;0.000000001,$E$12257,0.000000001))=0,0,IF($E$12209&lt;=$B$12198,0,IF(ABS(IF(ABS($E$12257)&gt;0.000000001,$E$12257,0.000000001))&gt;=8*$B$12200,$H$12209,0.5*$H$12209*(ABS(IF(ABS($E$12257)&gt;0.000000001,$E$12257,0.000000001))/$B$12200)^(1/3)))/ABS(IF(ABS($E$12257)&gt;0.000000001,$E$12257,0.000000001))*$I$12209)</f>
        <v/>
      </c>
      <c r="E12293" s="19">
        <f>0.5*$E$12257+0.5*$Z$12310</f>
        <v/>
      </c>
      <c r="F12293" s="19">
        <f>$Z$12311</f>
        <v/>
      </c>
    </row>
    <row r="12294">
      <c r="D12294" s="19">
        <f>IF(ABS(IF(ABS($E$12258)&gt;0.000000001,$E$12258,0.000000001))=0,0,IF($E$12210&lt;=$B$12198,0,IF(ABS(IF(ABS($E$12258)&gt;0.000000001,$E$12258,0.000000001))&gt;=8*$B$12200,$H$12210,0.5*$H$12210*(ABS(IF(ABS($E$12258)&gt;0.000000001,$E$12258,0.000000001))/$B$12200)^(1/3)))/ABS(IF(ABS($E$12258)&gt;0.000000001,$E$12258,0.000000001))*$I$12210)</f>
        <v/>
      </c>
      <c r="E12294" s="19">
        <f>0.5*$E$12258+0.5*$Z$12312</f>
        <v/>
      </c>
      <c r="F12294" s="19">
        <f>$Z$12313</f>
        <v/>
      </c>
    </row>
    <row r="12295">
      <c r="D12295" s="19">
        <f>IF(ABS(IF(ABS($E$12259)&gt;0.000000001,$E$12259,0.000000001))=0,0,IF($E$12211&lt;=$B$12198,0,IF(ABS(IF(ABS($E$12259)&gt;0.000000001,$E$12259,0.000000001))&gt;=8*$B$12200,$H$12211,0.5*$H$12211*(ABS(IF(ABS($E$12259)&gt;0.000000001,$E$12259,0.000000001))/$B$12200)^(1/3)))/ABS(IF(ABS($E$12259)&gt;0.000000001,$E$12259,0.000000001))*$I$12211)</f>
        <v/>
      </c>
      <c r="E12295" s="19">
        <f>0.5*$E$12259+0.5*$Z$12314</f>
        <v/>
      </c>
      <c r="F12295" s="19">
        <f>$Z$12315</f>
        <v/>
      </c>
    </row>
    <row r="12296">
      <c r="D12296" s="19">
        <f>IF(ABS(IF(ABS($E$12260)&gt;0.000000001,$E$12260,0.000000001))=0,0,IF($E$12212&lt;=$B$12198,0,IF(ABS(IF(ABS($E$12260)&gt;0.000000001,$E$12260,0.000000001))&gt;=8*$B$12200,$H$12212,0.5*$H$12212*(ABS(IF(ABS($E$12260)&gt;0.000000001,$E$12260,0.000000001))/$B$12200)^(1/3)))/ABS(IF(ABS($E$12260)&gt;0.000000001,$E$12260,0.000000001))*$I$12212)</f>
        <v/>
      </c>
      <c r="E12296" s="19">
        <f>0.5*$E$12260+0.5*$Z$12316</f>
        <v/>
      </c>
      <c r="F12296" s="19">
        <f>$Z$12317</f>
        <v/>
      </c>
    </row>
    <row r="12297">
      <c r="D12297" s="19">
        <f>IF(ABS(IF(ABS($E$12261)&gt;0.000000001,$E$12261,0.000000001))=0,0,IF($E$12213&lt;=$B$12198,0,IF(ABS(IF(ABS($E$12261)&gt;0.000000001,$E$12261,0.000000001))&gt;=8*$B$12200,$H$12213,0.5*$H$12213*(ABS(IF(ABS($E$12261)&gt;0.000000001,$E$12261,0.000000001))/$B$12200)^(1/3)))/ABS(IF(ABS($E$12261)&gt;0.000000001,$E$12261,0.000000001))*$I$12213)</f>
        <v/>
      </c>
      <c r="E12297" s="19">
        <f>0.5*$E$12261+0.5*$Z$12318</f>
        <v/>
      </c>
      <c r="F12297" s="19">
        <f>$Z$12319</f>
        <v/>
      </c>
    </row>
    <row r="12298">
      <c r="D12298" s="19">
        <f>IF(ABS(IF(ABS($E$12262)&gt;0.000000001,$E$12262,0.000000001))=0,0,IF($E$12214&lt;=$B$12198,0,IF(ABS(IF(ABS($E$12262)&gt;0.000000001,$E$12262,0.000000001))&gt;=8*$B$12200,$H$12214,0.5*$H$12214*(ABS(IF(ABS($E$12262)&gt;0.000000001,$E$12262,0.000000001))/$B$12200)^(1/3)))/ABS(IF(ABS($E$12262)&gt;0.000000001,$E$12262,0.000000001))*$I$12214)</f>
        <v/>
      </c>
      <c r="E12298" s="19">
        <f>0.5*$E$12262+0.5*$Z$12320</f>
        <v/>
      </c>
      <c r="F12298" s="19">
        <f>$Z$12321</f>
        <v/>
      </c>
    </row>
    <row r="12300">
      <c r="D12300" s="21">
        <f>$B$12189+$D$12288</f>
        <v/>
      </c>
      <c r="E12300" s="21">
        <f>$B$12190</f>
        <v/>
      </c>
      <c r="F12300" s="21">
        <f>-$B$12189</f>
        <v/>
      </c>
      <c r="G12300" s="21">
        <f>$B$12190</f>
        <v/>
      </c>
      <c r="H12300" s="21" t="n">
        <v>0</v>
      </c>
      <c r="I12300" s="21" t="n">
        <v>0</v>
      </c>
      <c r="J12300" s="21" t="n">
        <v>0</v>
      </c>
      <c r="K12300" s="21" t="n">
        <v>0</v>
      </c>
      <c r="L12300" s="21" t="n">
        <v>0</v>
      </c>
      <c r="M12300" s="21" t="n">
        <v>0</v>
      </c>
      <c r="N12300" s="21" t="n">
        <v>0</v>
      </c>
      <c r="O12300" s="21" t="n">
        <v>0</v>
      </c>
      <c r="P12300" s="21" t="n">
        <v>0</v>
      </c>
      <c r="Q12300" s="21" t="n">
        <v>0</v>
      </c>
      <c r="R12300" s="21" t="n">
        <v>0</v>
      </c>
      <c r="S12300" s="21" t="n">
        <v>0</v>
      </c>
      <c r="T12300" s="21" t="n">
        <v>0</v>
      </c>
      <c r="U12300" s="21" t="n">
        <v>0</v>
      </c>
      <c r="V12300" s="21" t="n">
        <v>0</v>
      </c>
      <c r="W12300" s="21" t="n">
        <v>0</v>
      </c>
      <c r="X12300" s="21" t="n">
        <v>0</v>
      </c>
      <c r="Y12300" s="21" t="n">
        <v>0</v>
      </c>
      <c r="Z12300" s="19">
        <f t="array" ref="Z12300:Z12321">MMULT(MINVERSE($D$12300:$Y$12321),$D$12216:$D$12237)</f>
        <v/>
      </c>
    </row>
    <row r="12301">
      <c r="D12301" s="21">
        <f>$B$12190</f>
        <v/>
      </c>
      <c r="E12301" s="21">
        <f>$B$12191</f>
        <v/>
      </c>
      <c r="F12301" s="21">
        <f>-$B$12190</f>
        <v/>
      </c>
      <c r="G12301" s="21">
        <f>$B$12192</f>
        <v/>
      </c>
      <c r="H12301" s="21" t="n">
        <v>0</v>
      </c>
      <c r="I12301" s="21" t="n">
        <v>0</v>
      </c>
      <c r="J12301" s="21" t="n">
        <v>0</v>
      </c>
      <c r="K12301" s="21" t="n">
        <v>0</v>
      </c>
      <c r="L12301" s="21" t="n">
        <v>0</v>
      </c>
      <c r="M12301" s="21" t="n">
        <v>0</v>
      </c>
      <c r="N12301" s="21" t="n">
        <v>0</v>
      </c>
      <c r="O12301" s="21" t="n">
        <v>0</v>
      </c>
      <c r="P12301" s="21" t="n">
        <v>0</v>
      </c>
      <c r="Q12301" s="21" t="n">
        <v>0</v>
      </c>
      <c r="R12301" s="21" t="n">
        <v>0</v>
      </c>
      <c r="S12301" s="21" t="n">
        <v>0</v>
      </c>
      <c r="T12301" s="21" t="n">
        <v>0</v>
      </c>
      <c r="U12301" s="21" t="n">
        <v>0</v>
      </c>
      <c r="V12301" s="21" t="n">
        <v>0</v>
      </c>
      <c r="W12301" s="21" t="n">
        <v>0</v>
      </c>
      <c r="X12301" s="21" t="n">
        <v>0</v>
      </c>
      <c r="Y12301" s="21" t="n">
        <v>0</v>
      </c>
      <c r="Z12301" s="19" t="n"/>
    </row>
    <row r="12302">
      <c r="D12302" s="21">
        <f>-$B$12189</f>
        <v/>
      </c>
      <c r="E12302" s="21">
        <f>-$B$12190</f>
        <v/>
      </c>
      <c r="F12302" s="21">
        <f>2*$B$12189+$D$12289</f>
        <v/>
      </c>
      <c r="G12302" s="21">
        <f>0</f>
        <v/>
      </c>
      <c r="H12302" s="21">
        <f>-$B$12189</f>
        <v/>
      </c>
      <c r="I12302" s="21">
        <f>$B$12190</f>
        <v/>
      </c>
      <c r="J12302" s="21" t="n">
        <v>0</v>
      </c>
      <c r="K12302" s="21" t="n">
        <v>0</v>
      </c>
      <c r="L12302" s="21" t="n">
        <v>0</v>
      </c>
      <c r="M12302" s="21" t="n">
        <v>0</v>
      </c>
      <c r="N12302" s="21" t="n">
        <v>0</v>
      </c>
      <c r="O12302" s="21" t="n">
        <v>0</v>
      </c>
      <c r="P12302" s="21" t="n">
        <v>0</v>
      </c>
      <c r="Q12302" s="21" t="n">
        <v>0</v>
      </c>
      <c r="R12302" s="21" t="n">
        <v>0</v>
      </c>
      <c r="S12302" s="21" t="n">
        <v>0</v>
      </c>
      <c r="T12302" s="21" t="n">
        <v>0</v>
      </c>
      <c r="U12302" s="21" t="n">
        <v>0</v>
      </c>
      <c r="V12302" s="21" t="n">
        <v>0</v>
      </c>
      <c r="W12302" s="21" t="n">
        <v>0</v>
      </c>
      <c r="X12302" s="21" t="n">
        <v>0</v>
      </c>
      <c r="Y12302" s="21" t="n">
        <v>0</v>
      </c>
      <c r="Z12302" s="19" t="n"/>
    </row>
    <row r="12303">
      <c r="D12303" s="21">
        <f>$B$12190</f>
        <v/>
      </c>
      <c r="E12303" s="21">
        <f>$B$12192</f>
        <v/>
      </c>
      <c r="F12303" s="21">
        <f>0</f>
        <v/>
      </c>
      <c r="G12303" s="21">
        <f>2*$B$12191</f>
        <v/>
      </c>
      <c r="H12303" s="21">
        <f>-$B$12190</f>
        <v/>
      </c>
      <c r="I12303" s="21">
        <f>$B$12192</f>
        <v/>
      </c>
      <c r="J12303" s="21" t="n">
        <v>0</v>
      </c>
      <c r="K12303" s="21" t="n">
        <v>0</v>
      </c>
      <c r="L12303" s="21" t="n">
        <v>0</v>
      </c>
      <c r="M12303" s="21" t="n">
        <v>0</v>
      </c>
      <c r="N12303" s="21" t="n">
        <v>0</v>
      </c>
      <c r="O12303" s="21" t="n">
        <v>0</v>
      </c>
      <c r="P12303" s="21" t="n">
        <v>0</v>
      </c>
      <c r="Q12303" s="21" t="n">
        <v>0</v>
      </c>
      <c r="R12303" s="21" t="n">
        <v>0</v>
      </c>
      <c r="S12303" s="21" t="n">
        <v>0</v>
      </c>
      <c r="T12303" s="21" t="n">
        <v>0</v>
      </c>
      <c r="U12303" s="21" t="n">
        <v>0</v>
      </c>
      <c r="V12303" s="21" t="n">
        <v>0</v>
      </c>
      <c r="W12303" s="21" t="n">
        <v>0</v>
      </c>
      <c r="X12303" s="21" t="n">
        <v>0</v>
      </c>
      <c r="Y12303" s="21" t="n">
        <v>0</v>
      </c>
      <c r="Z12303" s="19" t="n"/>
    </row>
    <row r="12304">
      <c r="D12304" s="21" t="n">
        <v>0</v>
      </c>
      <c r="E12304" s="21" t="n">
        <v>0</v>
      </c>
      <c r="F12304" s="21">
        <f>-$B$12189</f>
        <v/>
      </c>
      <c r="G12304" s="21">
        <f>-$B$12190</f>
        <v/>
      </c>
      <c r="H12304" s="21">
        <f>2*$B$12189+$D$12290</f>
        <v/>
      </c>
      <c r="I12304" s="21">
        <f>0</f>
        <v/>
      </c>
      <c r="J12304" s="21">
        <f>-$B$12189</f>
        <v/>
      </c>
      <c r="K12304" s="21">
        <f>$B$12190</f>
        <v/>
      </c>
      <c r="L12304" s="21" t="n">
        <v>0</v>
      </c>
      <c r="M12304" s="21" t="n">
        <v>0</v>
      </c>
      <c r="N12304" s="21" t="n">
        <v>0</v>
      </c>
      <c r="O12304" s="21" t="n">
        <v>0</v>
      </c>
      <c r="P12304" s="21" t="n">
        <v>0</v>
      </c>
      <c r="Q12304" s="21" t="n">
        <v>0</v>
      </c>
      <c r="R12304" s="21" t="n">
        <v>0</v>
      </c>
      <c r="S12304" s="21" t="n">
        <v>0</v>
      </c>
      <c r="T12304" s="21" t="n">
        <v>0</v>
      </c>
      <c r="U12304" s="21" t="n">
        <v>0</v>
      </c>
      <c r="V12304" s="21" t="n">
        <v>0</v>
      </c>
      <c r="W12304" s="21" t="n">
        <v>0</v>
      </c>
      <c r="X12304" s="21" t="n">
        <v>0</v>
      </c>
      <c r="Y12304" s="21" t="n">
        <v>0</v>
      </c>
      <c r="Z12304" s="19" t="n"/>
    </row>
    <row r="12305">
      <c r="D12305" s="21" t="n">
        <v>0</v>
      </c>
      <c r="E12305" s="21" t="n">
        <v>0</v>
      </c>
      <c r="F12305" s="21">
        <f>$B$12190</f>
        <v/>
      </c>
      <c r="G12305" s="21">
        <f>$B$12192</f>
        <v/>
      </c>
      <c r="H12305" s="21">
        <f>0</f>
        <v/>
      </c>
      <c r="I12305" s="21">
        <f>2*$B$12191</f>
        <v/>
      </c>
      <c r="J12305" s="21">
        <f>-$B$12190</f>
        <v/>
      </c>
      <c r="K12305" s="21">
        <f>$B$12192</f>
        <v/>
      </c>
      <c r="L12305" s="21" t="n">
        <v>0</v>
      </c>
      <c r="M12305" s="21" t="n">
        <v>0</v>
      </c>
      <c r="N12305" s="21" t="n">
        <v>0</v>
      </c>
      <c r="O12305" s="21" t="n">
        <v>0</v>
      </c>
      <c r="P12305" s="21" t="n">
        <v>0</v>
      </c>
      <c r="Q12305" s="21" t="n">
        <v>0</v>
      </c>
      <c r="R12305" s="21" t="n">
        <v>0</v>
      </c>
      <c r="S12305" s="21" t="n">
        <v>0</v>
      </c>
      <c r="T12305" s="21" t="n">
        <v>0</v>
      </c>
      <c r="U12305" s="21" t="n">
        <v>0</v>
      </c>
      <c r="V12305" s="21" t="n">
        <v>0</v>
      </c>
      <c r="W12305" s="21" t="n">
        <v>0</v>
      </c>
      <c r="X12305" s="21" t="n">
        <v>0</v>
      </c>
      <c r="Y12305" s="21" t="n">
        <v>0</v>
      </c>
      <c r="Z12305" s="19" t="n"/>
    </row>
    <row r="12306">
      <c r="D12306" s="21" t="n">
        <v>0</v>
      </c>
      <c r="E12306" s="21" t="n">
        <v>0</v>
      </c>
      <c r="F12306" s="21" t="n">
        <v>0</v>
      </c>
      <c r="G12306" s="21" t="n">
        <v>0</v>
      </c>
      <c r="H12306" s="21">
        <f>-$B$12189</f>
        <v/>
      </c>
      <c r="I12306" s="21">
        <f>-$B$12190</f>
        <v/>
      </c>
      <c r="J12306" s="21">
        <f>2*$B$12189+$D$12291</f>
        <v/>
      </c>
      <c r="K12306" s="21">
        <f>0</f>
        <v/>
      </c>
      <c r="L12306" s="21">
        <f>-$B$12189</f>
        <v/>
      </c>
      <c r="M12306" s="21">
        <f>$B$12190</f>
        <v/>
      </c>
      <c r="N12306" s="21" t="n">
        <v>0</v>
      </c>
      <c r="O12306" s="21" t="n">
        <v>0</v>
      </c>
      <c r="P12306" s="21" t="n">
        <v>0</v>
      </c>
      <c r="Q12306" s="21" t="n">
        <v>0</v>
      </c>
      <c r="R12306" s="21" t="n">
        <v>0</v>
      </c>
      <c r="S12306" s="21" t="n">
        <v>0</v>
      </c>
      <c r="T12306" s="21" t="n">
        <v>0</v>
      </c>
      <c r="U12306" s="21" t="n">
        <v>0</v>
      </c>
      <c r="V12306" s="21" t="n">
        <v>0</v>
      </c>
      <c r="W12306" s="21" t="n">
        <v>0</v>
      </c>
      <c r="X12306" s="21" t="n">
        <v>0</v>
      </c>
      <c r="Y12306" s="21" t="n">
        <v>0</v>
      </c>
      <c r="Z12306" s="19" t="n"/>
    </row>
    <row r="12307">
      <c r="D12307" s="21" t="n">
        <v>0</v>
      </c>
      <c r="E12307" s="21" t="n">
        <v>0</v>
      </c>
      <c r="F12307" s="21" t="n">
        <v>0</v>
      </c>
      <c r="G12307" s="21" t="n">
        <v>0</v>
      </c>
      <c r="H12307" s="21">
        <f>$B$12190</f>
        <v/>
      </c>
      <c r="I12307" s="21">
        <f>$B$12192</f>
        <v/>
      </c>
      <c r="J12307" s="21">
        <f>0</f>
        <v/>
      </c>
      <c r="K12307" s="21">
        <f>2*$B$12191</f>
        <v/>
      </c>
      <c r="L12307" s="21">
        <f>-$B$12190</f>
        <v/>
      </c>
      <c r="M12307" s="21">
        <f>$B$12192</f>
        <v/>
      </c>
      <c r="N12307" s="21" t="n">
        <v>0</v>
      </c>
      <c r="O12307" s="21" t="n">
        <v>0</v>
      </c>
      <c r="P12307" s="21" t="n">
        <v>0</v>
      </c>
      <c r="Q12307" s="21" t="n">
        <v>0</v>
      </c>
      <c r="R12307" s="21" t="n">
        <v>0</v>
      </c>
      <c r="S12307" s="21" t="n">
        <v>0</v>
      </c>
      <c r="T12307" s="21" t="n">
        <v>0</v>
      </c>
      <c r="U12307" s="21" t="n">
        <v>0</v>
      </c>
      <c r="V12307" s="21" t="n">
        <v>0</v>
      </c>
      <c r="W12307" s="21" t="n">
        <v>0</v>
      </c>
      <c r="X12307" s="21" t="n">
        <v>0</v>
      </c>
      <c r="Y12307" s="21" t="n">
        <v>0</v>
      </c>
      <c r="Z12307" s="19" t="n"/>
    </row>
    <row r="12308">
      <c r="D12308" s="21" t="n">
        <v>0</v>
      </c>
      <c r="E12308" s="21" t="n">
        <v>0</v>
      </c>
      <c r="F12308" s="21" t="n">
        <v>0</v>
      </c>
      <c r="G12308" s="21" t="n">
        <v>0</v>
      </c>
      <c r="H12308" s="21" t="n">
        <v>0</v>
      </c>
      <c r="I12308" s="21" t="n">
        <v>0</v>
      </c>
      <c r="J12308" s="21">
        <f>-$B$12189</f>
        <v/>
      </c>
      <c r="K12308" s="21">
        <f>-$B$12190</f>
        <v/>
      </c>
      <c r="L12308" s="21">
        <f>2*$B$12189+$D$12292</f>
        <v/>
      </c>
      <c r="M12308" s="21">
        <f>0</f>
        <v/>
      </c>
      <c r="N12308" s="21">
        <f>-$B$12189</f>
        <v/>
      </c>
      <c r="O12308" s="21">
        <f>$B$12190</f>
        <v/>
      </c>
      <c r="P12308" s="21" t="n">
        <v>0</v>
      </c>
      <c r="Q12308" s="21" t="n">
        <v>0</v>
      </c>
      <c r="R12308" s="21" t="n">
        <v>0</v>
      </c>
      <c r="S12308" s="21" t="n">
        <v>0</v>
      </c>
      <c r="T12308" s="21" t="n">
        <v>0</v>
      </c>
      <c r="U12308" s="21" t="n">
        <v>0</v>
      </c>
      <c r="V12308" s="21" t="n">
        <v>0</v>
      </c>
      <c r="W12308" s="21" t="n">
        <v>0</v>
      </c>
      <c r="X12308" s="21" t="n">
        <v>0</v>
      </c>
      <c r="Y12308" s="21" t="n">
        <v>0</v>
      </c>
      <c r="Z12308" s="19" t="n"/>
    </row>
    <row r="12309">
      <c r="D12309" s="21" t="n">
        <v>0</v>
      </c>
      <c r="E12309" s="21" t="n">
        <v>0</v>
      </c>
      <c r="F12309" s="21" t="n">
        <v>0</v>
      </c>
      <c r="G12309" s="21" t="n">
        <v>0</v>
      </c>
      <c r="H12309" s="21" t="n">
        <v>0</v>
      </c>
      <c r="I12309" s="21" t="n">
        <v>0</v>
      </c>
      <c r="J12309" s="21">
        <f>$B$12190</f>
        <v/>
      </c>
      <c r="K12309" s="21">
        <f>$B$12192</f>
        <v/>
      </c>
      <c r="L12309" s="21">
        <f>0</f>
        <v/>
      </c>
      <c r="M12309" s="21">
        <f>2*$B$12191</f>
        <v/>
      </c>
      <c r="N12309" s="21">
        <f>-$B$12190</f>
        <v/>
      </c>
      <c r="O12309" s="21">
        <f>$B$12192</f>
        <v/>
      </c>
      <c r="P12309" s="21" t="n">
        <v>0</v>
      </c>
      <c r="Q12309" s="21" t="n">
        <v>0</v>
      </c>
      <c r="R12309" s="21" t="n">
        <v>0</v>
      </c>
      <c r="S12309" s="21" t="n">
        <v>0</v>
      </c>
      <c r="T12309" s="21" t="n">
        <v>0</v>
      </c>
      <c r="U12309" s="21" t="n">
        <v>0</v>
      </c>
      <c r="V12309" s="21" t="n">
        <v>0</v>
      </c>
      <c r="W12309" s="21" t="n">
        <v>0</v>
      </c>
      <c r="X12309" s="21" t="n">
        <v>0</v>
      </c>
      <c r="Y12309" s="21" t="n">
        <v>0</v>
      </c>
      <c r="Z12309" s="19" t="n"/>
    </row>
    <row r="12310">
      <c r="D12310" s="21" t="n">
        <v>0</v>
      </c>
      <c r="E12310" s="21" t="n">
        <v>0</v>
      </c>
      <c r="F12310" s="21" t="n">
        <v>0</v>
      </c>
      <c r="G12310" s="21" t="n">
        <v>0</v>
      </c>
      <c r="H12310" s="21" t="n">
        <v>0</v>
      </c>
      <c r="I12310" s="21" t="n">
        <v>0</v>
      </c>
      <c r="J12310" s="21" t="n">
        <v>0</v>
      </c>
      <c r="K12310" s="21" t="n">
        <v>0</v>
      </c>
      <c r="L12310" s="21">
        <f>-$B$12189</f>
        <v/>
      </c>
      <c r="M12310" s="21">
        <f>-$B$12190</f>
        <v/>
      </c>
      <c r="N12310" s="21">
        <f>2*$B$12189+$D$12293</f>
        <v/>
      </c>
      <c r="O12310" s="21">
        <f>0</f>
        <v/>
      </c>
      <c r="P12310" s="21">
        <f>-$B$12189</f>
        <v/>
      </c>
      <c r="Q12310" s="21">
        <f>$B$12190</f>
        <v/>
      </c>
      <c r="R12310" s="21" t="n">
        <v>0</v>
      </c>
      <c r="S12310" s="21" t="n">
        <v>0</v>
      </c>
      <c r="T12310" s="21" t="n">
        <v>0</v>
      </c>
      <c r="U12310" s="21" t="n">
        <v>0</v>
      </c>
      <c r="V12310" s="21" t="n">
        <v>0</v>
      </c>
      <c r="W12310" s="21" t="n">
        <v>0</v>
      </c>
      <c r="X12310" s="21" t="n">
        <v>0</v>
      </c>
      <c r="Y12310" s="21" t="n">
        <v>0</v>
      </c>
      <c r="Z12310" s="19" t="n"/>
    </row>
    <row r="12311">
      <c r="D12311" s="21" t="n">
        <v>0</v>
      </c>
      <c r="E12311" s="21" t="n">
        <v>0</v>
      </c>
      <c r="F12311" s="21" t="n">
        <v>0</v>
      </c>
      <c r="G12311" s="21" t="n">
        <v>0</v>
      </c>
      <c r="H12311" s="21" t="n">
        <v>0</v>
      </c>
      <c r="I12311" s="21" t="n">
        <v>0</v>
      </c>
      <c r="J12311" s="21" t="n">
        <v>0</v>
      </c>
      <c r="K12311" s="21" t="n">
        <v>0</v>
      </c>
      <c r="L12311" s="21">
        <f>$B$12190</f>
        <v/>
      </c>
      <c r="M12311" s="21">
        <f>$B$12192</f>
        <v/>
      </c>
      <c r="N12311" s="21">
        <f>0</f>
        <v/>
      </c>
      <c r="O12311" s="21">
        <f>2*$B$12191</f>
        <v/>
      </c>
      <c r="P12311" s="21">
        <f>-$B$12190</f>
        <v/>
      </c>
      <c r="Q12311" s="21">
        <f>$B$12192</f>
        <v/>
      </c>
      <c r="R12311" s="21" t="n">
        <v>0</v>
      </c>
      <c r="S12311" s="21" t="n">
        <v>0</v>
      </c>
      <c r="T12311" s="21" t="n">
        <v>0</v>
      </c>
      <c r="U12311" s="21" t="n">
        <v>0</v>
      </c>
      <c r="V12311" s="21" t="n">
        <v>0</v>
      </c>
      <c r="W12311" s="21" t="n">
        <v>0</v>
      </c>
      <c r="X12311" s="21" t="n">
        <v>0</v>
      </c>
      <c r="Y12311" s="21" t="n">
        <v>0</v>
      </c>
      <c r="Z12311" s="19" t="n"/>
    </row>
    <row r="12312">
      <c r="D12312" s="21" t="n">
        <v>0</v>
      </c>
      <c r="E12312" s="21" t="n">
        <v>0</v>
      </c>
      <c r="F12312" s="21" t="n">
        <v>0</v>
      </c>
      <c r="G12312" s="21" t="n">
        <v>0</v>
      </c>
      <c r="H12312" s="21" t="n">
        <v>0</v>
      </c>
      <c r="I12312" s="21" t="n">
        <v>0</v>
      </c>
      <c r="J12312" s="21" t="n">
        <v>0</v>
      </c>
      <c r="K12312" s="21" t="n">
        <v>0</v>
      </c>
      <c r="L12312" s="21" t="n">
        <v>0</v>
      </c>
      <c r="M12312" s="21" t="n">
        <v>0</v>
      </c>
      <c r="N12312" s="21">
        <f>-$B$12189</f>
        <v/>
      </c>
      <c r="O12312" s="21">
        <f>-$B$12190</f>
        <v/>
      </c>
      <c r="P12312" s="21">
        <f>2*$B$12189+$D$12294</f>
        <v/>
      </c>
      <c r="Q12312" s="21">
        <f>0</f>
        <v/>
      </c>
      <c r="R12312" s="21">
        <f>-$B$12189</f>
        <v/>
      </c>
      <c r="S12312" s="21">
        <f>$B$12190</f>
        <v/>
      </c>
      <c r="T12312" s="21" t="n">
        <v>0</v>
      </c>
      <c r="U12312" s="21" t="n">
        <v>0</v>
      </c>
      <c r="V12312" s="21" t="n">
        <v>0</v>
      </c>
      <c r="W12312" s="21" t="n">
        <v>0</v>
      </c>
      <c r="X12312" s="21" t="n">
        <v>0</v>
      </c>
      <c r="Y12312" s="21" t="n">
        <v>0</v>
      </c>
      <c r="Z12312" s="19" t="n"/>
    </row>
    <row r="12313">
      <c r="D12313" s="21" t="n">
        <v>0</v>
      </c>
      <c r="E12313" s="21" t="n">
        <v>0</v>
      </c>
      <c r="F12313" s="21" t="n">
        <v>0</v>
      </c>
      <c r="G12313" s="21" t="n">
        <v>0</v>
      </c>
      <c r="H12313" s="21" t="n">
        <v>0</v>
      </c>
      <c r="I12313" s="21" t="n">
        <v>0</v>
      </c>
      <c r="J12313" s="21" t="n">
        <v>0</v>
      </c>
      <c r="K12313" s="21" t="n">
        <v>0</v>
      </c>
      <c r="L12313" s="21" t="n">
        <v>0</v>
      </c>
      <c r="M12313" s="21" t="n">
        <v>0</v>
      </c>
      <c r="N12313" s="21">
        <f>$B$12190</f>
        <v/>
      </c>
      <c r="O12313" s="21">
        <f>$B$12192</f>
        <v/>
      </c>
      <c r="P12313" s="21">
        <f>0</f>
        <v/>
      </c>
      <c r="Q12313" s="21">
        <f>2*$B$12191</f>
        <v/>
      </c>
      <c r="R12313" s="21">
        <f>-$B$12190</f>
        <v/>
      </c>
      <c r="S12313" s="21">
        <f>$B$12192</f>
        <v/>
      </c>
      <c r="T12313" s="21" t="n">
        <v>0</v>
      </c>
      <c r="U12313" s="21" t="n">
        <v>0</v>
      </c>
      <c r="V12313" s="21" t="n">
        <v>0</v>
      </c>
      <c r="W12313" s="21" t="n">
        <v>0</v>
      </c>
      <c r="X12313" s="21" t="n">
        <v>0</v>
      </c>
      <c r="Y12313" s="21" t="n">
        <v>0</v>
      </c>
      <c r="Z12313" s="19" t="n"/>
    </row>
    <row r="12314">
      <c r="D12314" s="21" t="n">
        <v>0</v>
      </c>
      <c r="E12314" s="21" t="n">
        <v>0</v>
      </c>
      <c r="F12314" s="21" t="n">
        <v>0</v>
      </c>
      <c r="G12314" s="21" t="n">
        <v>0</v>
      </c>
      <c r="H12314" s="21" t="n">
        <v>0</v>
      </c>
      <c r="I12314" s="21" t="n">
        <v>0</v>
      </c>
      <c r="J12314" s="21" t="n">
        <v>0</v>
      </c>
      <c r="K12314" s="21" t="n">
        <v>0</v>
      </c>
      <c r="L12314" s="21" t="n">
        <v>0</v>
      </c>
      <c r="M12314" s="21" t="n">
        <v>0</v>
      </c>
      <c r="N12314" s="21" t="n">
        <v>0</v>
      </c>
      <c r="O12314" s="21" t="n">
        <v>0</v>
      </c>
      <c r="P12314" s="21">
        <f>-$B$12189</f>
        <v/>
      </c>
      <c r="Q12314" s="21">
        <f>-$B$12190</f>
        <v/>
      </c>
      <c r="R12314" s="21">
        <f>2*$B$12189+$D$12295</f>
        <v/>
      </c>
      <c r="S12314" s="21">
        <f>0</f>
        <v/>
      </c>
      <c r="T12314" s="21">
        <f>-$B$12189</f>
        <v/>
      </c>
      <c r="U12314" s="21">
        <f>$B$12190</f>
        <v/>
      </c>
      <c r="V12314" s="21" t="n">
        <v>0</v>
      </c>
      <c r="W12314" s="21" t="n">
        <v>0</v>
      </c>
      <c r="X12314" s="21" t="n">
        <v>0</v>
      </c>
      <c r="Y12314" s="21" t="n">
        <v>0</v>
      </c>
      <c r="Z12314" s="19" t="n"/>
    </row>
    <row r="12315">
      <c r="D12315" s="21" t="n">
        <v>0</v>
      </c>
      <c r="E12315" s="21" t="n">
        <v>0</v>
      </c>
      <c r="F12315" s="21" t="n">
        <v>0</v>
      </c>
      <c r="G12315" s="21" t="n">
        <v>0</v>
      </c>
      <c r="H12315" s="21" t="n">
        <v>0</v>
      </c>
      <c r="I12315" s="21" t="n">
        <v>0</v>
      </c>
      <c r="J12315" s="21" t="n">
        <v>0</v>
      </c>
      <c r="K12315" s="21" t="n">
        <v>0</v>
      </c>
      <c r="L12315" s="21" t="n">
        <v>0</v>
      </c>
      <c r="M12315" s="21" t="n">
        <v>0</v>
      </c>
      <c r="N12315" s="21" t="n">
        <v>0</v>
      </c>
      <c r="O12315" s="21" t="n">
        <v>0</v>
      </c>
      <c r="P12315" s="21">
        <f>$B$12190</f>
        <v/>
      </c>
      <c r="Q12315" s="21">
        <f>$B$12192</f>
        <v/>
      </c>
      <c r="R12315" s="21">
        <f>0</f>
        <v/>
      </c>
      <c r="S12315" s="21">
        <f>2*$B$12191</f>
        <v/>
      </c>
      <c r="T12315" s="21">
        <f>-$B$12190</f>
        <v/>
      </c>
      <c r="U12315" s="21">
        <f>$B$12192</f>
        <v/>
      </c>
      <c r="V12315" s="21" t="n">
        <v>0</v>
      </c>
      <c r="W12315" s="21" t="n">
        <v>0</v>
      </c>
      <c r="X12315" s="21" t="n">
        <v>0</v>
      </c>
      <c r="Y12315" s="21" t="n">
        <v>0</v>
      </c>
      <c r="Z12315" s="19" t="n"/>
    </row>
    <row r="12316">
      <c r="D12316" s="21" t="n">
        <v>0</v>
      </c>
      <c r="E12316" s="21" t="n">
        <v>0</v>
      </c>
      <c r="F12316" s="21" t="n">
        <v>0</v>
      </c>
      <c r="G12316" s="21" t="n">
        <v>0</v>
      </c>
      <c r="H12316" s="21" t="n">
        <v>0</v>
      </c>
      <c r="I12316" s="21" t="n">
        <v>0</v>
      </c>
      <c r="J12316" s="21" t="n">
        <v>0</v>
      </c>
      <c r="K12316" s="21" t="n">
        <v>0</v>
      </c>
      <c r="L12316" s="21" t="n">
        <v>0</v>
      </c>
      <c r="M12316" s="21" t="n">
        <v>0</v>
      </c>
      <c r="N12316" s="21" t="n">
        <v>0</v>
      </c>
      <c r="O12316" s="21" t="n">
        <v>0</v>
      </c>
      <c r="P12316" s="21" t="n">
        <v>0</v>
      </c>
      <c r="Q12316" s="21" t="n">
        <v>0</v>
      </c>
      <c r="R12316" s="21">
        <f>-$B$12189</f>
        <v/>
      </c>
      <c r="S12316" s="21">
        <f>-$B$12190</f>
        <v/>
      </c>
      <c r="T12316" s="21">
        <f>2*$B$12189+$D$12296</f>
        <v/>
      </c>
      <c r="U12316" s="21">
        <f>0</f>
        <v/>
      </c>
      <c r="V12316" s="21">
        <f>-$B$12189</f>
        <v/>
      </c>
      <c r="W12316" s="21">
        <f>$B$12190</f>
        <v/>
      </c>
      <c r="X12316" s="21" t="n">
        <v>0</v>
      </c>
      <c r="Y12316" s="21" t="n">
        <v>0</v>
      </c>
      <c r="Z12316" s="19" t="n"/>
    </row>
    <row r="12317">
      <c r="D12317" s="21" t="n">
        <v>0</v>
      </c>
      <c r="E12317" s="21" t="n">
        <v>0</v>
      </c>
      <c r="F12317" s="21" t="n">
        <v>0</v>
      </c>
      <c r="G12317" s="21" t="n">
        <v>0</v>
      </c>
      <c r="H12317" s="21" t="n">
        <v>0</v>
      </c>
      <c r="I12317" s="21" t="n">
        <v>0</v>
      </c>
      <c r="J12317" s="21" t="n">
        <v>0</v>
      </c>
      <c r="K12317" s="21" t="n">
        <v>0</v>
      </c>
      <c r="L12317" s="21" t="n">
        <v>0</v>
      </c>
      <c r="M12317" s="21" t="n">
        <v>0</v>
      </c>
      <c r="N12317" s="21" t="n">
        <v>0</v>
      </c>
      <c r="O12317" s="21" t="n">
        <v>0</v>
      </c>
      <c r="P12317" s="21" t="n">
        <v>0</v>
      </c>
      <c r="Q12317" s="21" t="n">
        <v>0</v>
      </c>
      <c r="R12317" s="21">
        <f>$B$12190</f>
        <v/>
      </c>
      <c r="S12317" s="21">
        <f>$B$12192</f>
        <v/>
      </c>
      <c r="T12317" s="21">
        <f>0</f>
        <v/>
      </c>
      <c r="U12317" s="21">
        <f>2*$B$12191</f>
        <v/>
      </c>
      <c r="V12317" s="21">
        <f>-$B$12190</f>
        <v/>
      </c>
      <c r="W12317" s="21">
        <f>$B$12192</f>
        <v/>
      </c>
      <c r="X12317" s="21" t="n">
        <v>0</v>
      </c>
      <c r="Y12317" s="21" t="n">
        <v>0</v>
      </c>
      <c r="Z12317" s="19" t="n"/>
    </row>
    <row r="12318">
      <c r="D12318" s="21" t="n">
        <v>0</v>
      </c>
      <c r="E12318" s="21" t="n">
        <v>0</v>
      </c>
      <c r="F12318" s="21" t="n">
        <v>0</v>
      </c>
      <c r="G12318" s="21" t="n">
        <v>0</v>
      </c>
      <c r="H12318" s="21" t="n">
        <v>0</v>
      </c>
      <c r="I12318" s="21" t="n">
        <v>0</v>
      </c>
      <c r="J12318" s="21" t="n">
        <v>0</v>
      </c>
      <c r="K12318" s="21" t="n">
        <v>0</v>
      </c>
      <c r="L12318" s="21" t="n">
        <v>0</v>
      </c>
      <c r="M12318" s="21" t="n">
        <v>0</v>
      </c>
      <c r="N12318" s="21" t="n">
        <v>0</v>
      </c>
      <c r="O12318" s="21" t="n">
        <v>0</v>
      </c>
      <c r="P12318" s="21" t="n">
        <v>0</v>
      </c>
      <c r="Q12318" s="21" t="n">
        <v>0</v>
      </c>
      <c r="R12318" s="21" t="n">
        <v>0</v>
      </c>
      <c r="S12318" s="21" t="n">
        <v>0</v>
      </c>
      <c r="T12318" s="21">
        <f>-$B$12189</f>
        <v/>
      </c>
      <c r="U12318" s="21">
        <f>-$B$12190</f>
        <v/>
      </c>
      <c r="V12318" s="21">
        <f>2*$B$12189+$D$12297</f>
        <v/>
      </c>
      <c r="W12318" s="21">
        <f>0</f>
        <v/>
      </c>
      <c r="X12318" s="21">
        <f>-$B$12189</f>
        <v/>
      </c>
      <c r="Y12318" s="21">
        <f>$B$12190</f>
        <v/>
      </c>
      <c r="Z12318" s="19" t="n"/>
    </row>
    <row r="12319">
      <c r="D12319" s="21" t="n">
        <v>0</v>
      </c>
      <c r="E12319" s="21" t="n">
        <v>0</v>
      </c>
      <c r="F12319" s="21" t="n">
        <v>0</v>
      </c>
      <c r="G12319" s="21" t="n">
        <v>0</v>
      </c>
      <c r="H12319" s="21" t="n">
        <v>0</v>
      </c>
      <c r="I12319" s="21" t="n">
        <v>0</v>
      </c>
      <c r="J12319" s="21" t="n">
        <v>0</v>
      </c>
      <c r="K12319" s="21" t="n">
        <v>0</v>
      </c>
      <c r="L12319" s="21" t="n">
        <v>0</v>
      </c>
      <c r="M12319" s="21" t="n">
        <v>0</v>
      </c>
      <c r="N12319" s="21" t="n">
        <v>0</v>
      </c>
      <c r="O12319" s="21" t="n">
        <v>0</v>
      </c>
      <c r="P12319" s="21" t="n">
        <v>0</v>
      </c>
      <c r="Q12319" s="21" t="n">
        <v>0</v>
      </c>
      <c r="R12319" s="21" t="n">
        <v>0</v>
      </c>
      <c r="S12319" s="21" t="n">
        <v>0</v>
      </c>
      <c r="T12319" s="21">
        <f>$B$12190</f>
        <v/>
      </c>
      <c r="U12319" s="21">
        <f>$B$12192</f>
        <v/>
      </c>
      <c r="V12319" s="21">
        <f>0</f>
        <v/>
      </c>
      <c r="W12319" s="21">
        <f>2*$B$12191</f>
        <v/>
      </c>
      <c r="X12319" s="21">
        <f>-$B$12190</f>
        <v/>
      </c>
      <c r="Y12319" s="21">
        <f>$B$12192</f>
        <v/>
      </c>
      <c r="Z12319" s="19" t="n"/>
    </row>
    <row r="12320">
      <c r="D12320" s="21" t="n">
        <v>0</v>
      </c>
      <c r="E12320" s="21" t="n">
        <v>0</v>
      </c>
      <c r="F12320" s="21" t="n">
        <v>0</v>
      </c>
      <c r="G12320" s="21" t="n">
        <v>0</v>
      </c>
      <c r="H12320" s="21" t="n">
        <v>0</v>
      </c>
      <c r="I12320" s="21" t="n">
        <v>0</v>
      </c>
      <c r="J12320" s="21" t="n">
        <v>0</v>
      </c>
      <c r="K12320" s="21" t="n">
        <v>0</v>
      </c>
      <c r="L12320" s="21" t="n">
        <v>0</v>
      </c>
      <c r="M12320" s="21" t="n">
        <v>0</v>
      </c>
      <c r="N12320" s="21" t="n">
        <v>0</v>
      </c>
      <c r="O12320" s="21" t="n">
        <v>0</v>
      </c>
      <c r="P12320" s="21" t="n">
        <v>0</v>
      </c>
      <c r="Q12320" s="21" t="n">
        <v>0</v>
      </c>
      <c r="R12320" s="21" t="n">
        <v>0</v>
      </c>
      <c r="S12320" s="21" t="n">
        <v>0</v>
      </c>
      <c r="T12320" s="21" t="n">
        <v>0</v>
      </c>
      <c r="U12320" s="21" t="n">
        <v>0</v>
      </c>
      <c r="V12320" s="21">
        <f>-$B$12189</f>
        <v/>
      </c>
      <c r="W12320" s="21">
        <f>-$B$12190</f>
        <v/>
      </c>
      <c r="X12320" s="21">
        <f>$B$12189+$D$12298</f>
        <v/>
      </c>
      <c r="Y12320" s="21">
        <f>-$B$12190</f>
        <v/>
      </c>
      <c r="Z12320" s="19" t="n"/>
    </row>
    <row r="12321">
      <c r="D12321" s="21" t="n">
        <v>0</v>
      </c>
      <c r="E12321" s="21" t="n">
        <v>0</v>
      </c>
      <c r="F12321" s="21" t="n">
        <v>0</v>
      </c>
      <c r="G12321" s="21" t="n">
        <v>0</v>
      </c>
      <c r="H12321" s="21" t="n">
        <v>0</v>
      </c>
      <c r="I12321" s="21" t="n">
        <v>0</v>
      </c>
      <c r="J12321" s="21" t="n">
        <v>0</v>
      </c>
      <c r="K12321" s="21" t="n">
        <v>0</v>
      </c>
      <c r="L12321" s="21" t="n">
        <v>0</v>
      </c>
      <c r="M12321" s="21" t="n">
        <v>0</v>
      </c>
      <c r="N12321" s="21" t="n">
        <v>0</v>
      </c>
      <c r="O12321" s="21" t="n">
        <v>0</v>
      </c>
      <c r="P12321" s="21" t="n">
        <v>0</v>
      </c>
      <c r="Q12321" s="21" t="n">
        <v>0</v>
      </c>
      <c r="R12321" s="21" t="n">
        <v>0</v>
      </c>
      <c r="S12321" s="21" t="n">
        <v>0</v>
      </c>
      <c r="T12321" s="21" t="n">
        <v>0</v>
      </c>
      <c r="U12321" s="21" t="n">
        <v>0</v>
      </c>
      <c r="V12321" s="21">
        <f>$B$12190</f>
        <v/>
      </c>
      <c r="W12321" s="21">
        <f>$B$12192</f>
        <v/>
      </c>
      <c r="X12321" s="21">
        <f>-$B$12190</f>
        <v/>
      </c>
      <c r="Y12321" s="21">
        <f>$B$12191</f>
        <v/>
      </c>
      <c r="Z12321" s="19" t="n"/>
    </row>
    <row r="12323">
      <c r="A12323" s="8" t="inlineStr">
        <is>
          <t>gen 3</t>
        </is>
      </c>
    </row>
    <row r="12324">
      <c r="D12324" s="19">
        <f>IF(ABS(IF(ABS($E$12288)&gt;0.000000001,$E$12288,0.000000001))=0,0,IF($E$12204&lt;=$B$12198,0,IF(ABS(IF(ABS($E$12288)&gt;0.000000001,$E$12288,0.000000001))&gt;=8*$B$12200,$H$12204,0.5*$H$12204*(ABS(IF(ABS($E$12288)&gt;0.000000001,$E$12288,0.000000001))/$B$12200)^(1/3)))/ABS(IF(ABS($E$12288)&gt;0.000000001,$E$12288,0.000000001))*$I$12204)</f>
        <v/>
      </c>
      <c r="E12324" s="19">
        <f>0.5*$E$12288+0.5*$Z$12336</f>
        <v/>
      </c>
      <c r="F12324" s="19">
        <f>$Z$12337</f>
        <v/>
      </c>
    </row>
    <row r="12325">
      <c r="D12325" s="19">
        <f>IF(ABS(IF(ABS($E$12289)&gt;0.000000001,$E$12289,0.000000001))=0,0,IF($E$12205&lt;=$B$12198,0,IF(ABS(IF(ABS($E$12289)&gt;0.000000001,$E$12289,0.000000001))&gt;=8*$B$12200,$H$12205,0.5*$H$12205*(ABS(IF(ABS($E$12289)&gt;0.000000001,$E$12289,0.000000001))/$B$12200)^(1/3)))/ABS(IF(ABS($E$12289)&gt;0.000000001,$E$12289,0.000000001))*$I$12205)</f>
        <v/>
      </c>
      <c r="E12325" s="19">
        <f>0.5*$E$12289+0.5*$Z$12338</f>
        <v/>
      </c>
      <c r="F12325" s="19">
        <f>$Z$12339</f>
        <v/>
      </c>
    </row>
    <row r="12326">
      <c r="D12326" s="19">
        <f>IF(ABS(IF(ABS($E$12290)&gt;0.000000001,$E$12290,0.000000001))=0,0,IF($E$12206&lt;=$B$12198,0,IF(ABS(IF(ABS($E$12290)&gt;0.000000001,$E$12290,0.000000001))&gt;=8*$B$12200,$H$12206,0.5*$H$12206*(ABS(IF(ABS($E$12290)&gt;0.000000001,$E$12290,0.000000001))/$B$12200)^(1/3)))/ABS(IF(ABS($E$12290)&gt;0.000000001,$E$12290,0.000000001))*$I$12206)</f>
        <v/>
      </c>
      <c r="E12326" s="19">
        <f>0.5*$E$12290+0.5*$Z$12340</f>
        <v/>
      </c>
      <c r="F12326" s="19">
        <f>$Z$12341</f>
        <v/>
      </c>
    </row>
    <row r="12327">
      <c r="D12327" s="19">
        <f>IF(ABS(IF(ABS($E$12291)&gt;0.000000001,$E$12291,0.000000001))=0,0,IF($E$12207&lt;=$B$12198,0,IF(ABS(IF(ABS($E$12291)&gt;0.000000001,$E$12291,0.000000001))&gt;=8*$B$12200,$H$12207,0.5*$H$12207*(ABS(IF(ABS($E$12291)&gt;0.000000001,$E$12291,0.000000001))/$B$12200)^(1/3)))/ABS(IF(ABS($E$12291)&gt;0.000000001,$E$12291,0.000000001))*$I$12207)</f>
        <v/>
      </c>
      <c r="E12327" s="19">
        <f>0.5*$E$12291+0.5*$Z$12342</f>
        <v/>
      </c>
      <c r="F12327" s="19">
        <f>$Z$12343</f>
        <v/>
      </c>
    </row>
    <row r="12328">
      <c r="D12328" s="19">
        <f>IF(ABS(IF(ABS($E$12292)&gt;0.000000001,$E$12292,0.000000001))=0,0,IF($E$12208&lt;=$B$12198,0,IF(ABS(IF(ABS($E$12292)&gt;0.000000001,$E$12292,0.000000001))&gt;=8*$B$12200,$H$12208,0.5*$H$12208*(ABS(IF(ABS($E$12292)&gt;0.000000001,$E$12292,0.000000001))/$B$12200)^(1/3)))/ABS(IF(ABS($E$12292)&gt;0.000000001,$E$12292,0.000000001))*$I$12208)</f>
        <v/>
      </c>
      <c r="E12328" s="19">
        <f>0.5*$E$12292+0.5*$Z$12344</f>
        <v/>
      </c>
      <c r="F12328" s="19">
        <f>$Z$12345</f>
        <v/>
      </c>
    </row>
    <row r="12329">
      <c r="D12329" s="19">
        <f>IF(ABS(IF(ABS($E$12293)&gt;0.000000001,$E$12293,0.000000001))=0,0,IF($E$12209&lt;=$B$12198,0,IF(ABS(IF(ABS($E$12293)&gt;0.000000001,$E$12293,0.000000001))&gt;=8*$B$12200,$H$12209,0.5*$H$12209*(ABS(IF(ABS($E$12293)&gt;0.000000001,$E$12293,0.000000001))/$B$12200)^(1/3)))/ABS(IF(ABS($E$12293)&gt;0.000000001,$E$12293,0.000000001))*$I$12209)</f>
        <v/>
      </c>
      <c r="E12329" s="19">
        <f>0.5*$E$12293+0.5*$Z$12346</f>
        <v/>
      </c>
      <c r="F12329" s="19">
        <f>$Z$12347</f>
        <v/>
      </c>
    </row>
    <row r="12330">
      <c r="D12330" s="19">
        <f>IF(ABS(IF(ABS($E$12294)&gt;0.000000001,$E$12294,0.000000001))=0,0,IF($E$12210&lt;=$B$12198,0,IF(ABS(IF(ABS($E$12294)&gt;0.000000001,$E$12294,0.000000001))&gt;=8*$B$12200,$H$12210,0.5*$H$12210*(ABS(IF(ABS($E$12294)&gt;0.000000001,$E$12294,0.000000001))/$B$12200)^(1/3)))/ABS(IF(ABS($E$12294)&gt;0.000000001,$E$12294,0.000000001))*$I$12210)</f>
        <v/>
      </c>
      <c r="E12330" s="19">
        <f>0.5*$E$12294+0.5*$Z$12348</f>
        <v/>
      </c>
      <c r="F12330" s="19">
        <f>$Z$12349</f>
        <v/>
      </c>
    </row>
    <row r="12331">
      <c r="D12331" s="19">
        <f>IF(ABS(IF(ABS($E$12295)&gt;0.000000001,$E$12295,0.000000001))=0,0,IF($E$12211&lt;=$B$12198,0,IF(ABS(IF(ABS($E$12295)&gt;0.000000001,$E$12295,0.000000001))&gt;=8*$B$12200,$H$12211,0.5*$H$12211*(ABS(IF(ABS($E$12295)&gt;0.000000001,$E$12295,0.000000001))/$B$12200)^(1/3)))/ABS(IF(ABS($E$12295)&gt;0.000000001,$E$12295,0.000000001))*$I$12211)</f>
        <v/>
      </c>
      <c r="E12331" s="19">
        <f>0.5*$E$12295+0.5*$Z$12350</f>
        <v/>
      </c>
      <c r="F12331" s="19">
        <f>$Z$12351</f>
        <v/>
      </c>
    </row>
    <row r="12332">
      <c r="D12332" s="19">
        <f>IF(ABS(IF(ABS($E$12296)&gt;0.000000001,$E$12296,0.000000001))=0,0,IF($E$12212&lt;=$B$12198,0,IF(ABS(IF(ABS($E$12296)&gt;0.000000001,$E$12296,0.000000001))&gt;=8*$B$12200,$H$12212,0.5*$H$12212*(ABS(IF(ABS($E$12296)&gt;0.000000001,$E$12296,0.000000001))/$B$12200)^(1/3)))/ABS(IF(ABS($E$12296)&gt;0.000000001,$E$12296,0.000000001))*$I$12212)</f>
        <v/>
      </c>
      <c r="E12332" s="19">
        <f>0.5*$E$12296+0.5*$Z$12352</f>
        <v/>
      </c>
      <c r="F12332" s="19">
        <f>$Z$12353</f>
        <v/>
      </c>
    </row>
    <row r="12333">
      <c r="D12333" s="19">
        <f>IF(ABS(IF(ABS($E$12297)&gt;0.000000001,$E$12297,0.000000001))=0,0,IF($E$12213&lt;=$B$12198,0,IF(ABS(IF(ABS($E$12297)&gt;0.000000001,$E$12297,0.000000001))&gt;=8*$B$12200,$H$12213,0.5*$H$12213*(ABS(IF(ABS($E$12297)&gt;0.000000001,$E$12297,0.000000001))/$B$12200)^(1/3)))/ABS(IF(ABS($E$12297)&gt;0.000000001,$E$12297,0.000000001))*$I$12213)</f>
        <v/>
      </c>
      <c r="E12333" s="19">
        <f>0.5*$E$12297+0.5*$Z$12354</f>
        <v/>
      </c>
      <c r="F12333" s="19">
        <f>$Z$12355</f>
        <v/>
      </c>
    </row>
    <row r="12334">
      <c r="D12334" s="19">
        <f>IF(ABS(IF(ABS($E$12298)&gt;0.000000001,$E$12298,0.000000001))=0,0,IF($E$12214&lt;=$B$12198,0,IF(ABS(IF(ABS($E$12298)&gt;0.000000001,$E$12298,0.000000001))&gt;=8*$B$12200,$H$12214,0.5*$H$12214*(ABS(IF(ABS($E$12298)&gt;0.000000001,$E$12298,0.000000001))/$B$12200)^(1/3)))/ABS(IF(ABS($E$12298)&gt;0.000000001,$E$12298,0.000000001))*$I$12214)</f>
        <v/>
      </c>
      <c r="E12334" s="19">
        <f>0.5*$E$12298+0.5*$Z$12356</f>
        <v/>
      </c>
      <c r="F12334" s="19">
        <f>$Z$12357</f>
        <v/>
      </c>
    </row>
    <row r="12336">
      <c r="D12336" s="21">
        <f>$B$12189+$D$12324</f>
        <v/>
      </c>
      <c r="E12336" s="21">
        <f>$B$12190</f>
        <v/>
      </c>
      <c r="F12336" s="21">
        <f>-$B$12189</f>
        <v/>
      </c>
      <c r="G12336" s="21">
        <f>$B$12190</f>
        <v/>
      </c>
      <c r="H12336" s="21" t="n">
        <v>0</v>
      </c>
      <c r="I12336" s="21" t="n">
        <v>0</v>
      </c>
      <c r="J12336" s="21" t="n">
        <v>0</v>
      </c>
      <c r="K12336" s="21" t="n">
        <v>0</v>
      </c>
      <c r="L12336" s="21" t="n">
        <v>0</v>
      </c>
      <c r="M12336" s="21" t="n">
        <v>0</v>
      </c>
      <c r="N12336" s="21" t="n">
        <v>0</v>
      </c>
      <c r="O12336" s="21" t="n">
        <v>0</v>
      </c>
      <c r="P12336" s="21" t="n">
        <v>0</v>
      </c>
      <c r="Q12336" s="21" t="n">
        <v>0</v>
      </c>
      <c r="R12336" s="21" t="n">
        <v>0</v>
      </c>
      <c r="S12336" s="21" t="n">
        <v>0</v>
      </c>
      <c r="T12336" s="21" t="n">
        <v>0</v>
      </c>
      <c r="U12336" s="21" t="n">
        <v>0</v>
      </c>
      <c r="V12336" s="21" t="n">
        <v>0</v>
      </c>
      <c r="W12336" s="21" t="n">
        <v>0</v>
      </c>
      <c r="X12336" s="21" t="n">
        <v>0</v>
      </c>
      <c r="Y12336" s="21" t="n">
        <v>0</v>
      </c>
      <c r="Z12336" s="19">
        <f t="array" ref="Z12336:Z12357">MMULT(MINVERSE($D$12336:$Y$12357),$D$12216:$D$12237)</f>
        <v/>
      </c>
    </row>
    <row r="12337">
      <c r="D12337" s="21">
        <f>$B$12190</f>
        <v/>
      </c>
      <c r="E12337" s="21">
        <f>$B$12191</f>
        <v/>
      </c>
      <c r="F12337" s="21">
        <f>-$B$12190</f>
        <v/>
      </c>
      <c r="G12337" s="21">
        <f>$B$12192</f>
        <v/>
      </c>
      <c r="H12337" s="21" t="n">
        <v>0</v>
      </c>
      <c r="I12337" s="21" t="n">
        <v>0</v>
      </c>
      <c r="J12337" s="21" t="n">
        <v>0</v>
      </c>
      <c r="K12337" s="21" t="n">
        <v>0</v>
      </c>
      <c r="L12337" s="21" t="n">
        <v>0</v>
      </c>
      <c r="M12337" s="21" t="n">
        <v>0</v>
      </c>
      <c r="N12337" s="21" t="n">
        <v>0</v>
      </c>
      <c r="O12337" s="21" t="n">
        <v>0</v>
      </c>
      <c r="P12337" s="21" t="n">
        <v>0</v>
      </c>
      <c r="Q12337" s="21" t="n">
        <v>0</v>
      </c>
      <c r="R12337" s="21" t="n">
        <v>0</v>
      </c>
      <c r="S12337" s="21" t="n">
        <v>0</v>
      </c>
      <c r="T12337" s="21" t="n">
        <v>0</v>
      </c>
      <c r="U12337" s="21" t="n">
        <v>0</v>
      </c>
      <c r="V12337" s="21" t="n">
        <v>0</v>
      </c>
      <c r="W12337" s="21" t="n">
        <v>0</v>
      </c>
      <c r="X12337" s="21" t="n">
        <v>0</v>
      </c>
      <c r="Y12337" s="21" t="n">
        <v>0</v>
      </c>
      <c r="Z12337" s="19" t="n"/>
    </row>
    <row r="12338">
      <c r="D12338" s="21">
        <f>-$B$12189</f>
        <v/>
      </c>
      <c r="E12338" s="21">
        <f>-$B$12190</f>
        <v/>
      </c>
      <c r="F12338" s="21">
        <f>2*$B$12189+$D$12325</f>
        <v/>
      </c>
      <c r="G12338" s="21">
        <f>0</f>
        <v/>
      </c>
      <c r="H12338" s="21">
        <f>-$B$12189</f>
        <v/>
      </c>
      <c r="I12338" s="21">
        <f>$B$12190</f>
        <v/>
      </c>
      <c r="J12338" s="21" t="n">
        <v>0</v>
      </c>
      <c r="K12338" s="21" t="n">
        <v>0</v>
      </c>
      <c r="L12338" s="21" t="n">
        <v>0</v>
      </c>
      <c r="M12338" s="21" t="n">
        <v>0</v>
      </c>
      <c r="N12338" s="21" t="n">
        <v>0</v>
      </c>
      <c r="O12338" s="21" t="n">
        <v>0</v>
      </c>
      <c r="P12338" s="21" t="n">
        <v>0</v>
      </c>
      <c r="Q12338" s="21" t="n">
        <v>0</v>
      </c>
      <c r="R12338" s="21" t="n">
        <v>0</v>
      </c>
      <c r="S12338" s="21" t="n">
        <v>0</v>
      </c>
      <c r="T12338" s="21" t="n">
        <v>0</v>
      </c>
      <c r="U12338" s="21" t="n">
        <v>0</v>
      </c>
      <c r="V12338" s="21" t="n">
        <v>0</v>
      </c>
      <c r="W12338" s="21" t="n">
        <v>0</v>
      </c>
      <c r="X12338" s="21" t="n">
        <v>0</v>
      </c>
      <c r="Y12338" s="21" t="n">
        <v>0</v>
      </c>
      <c r="Z12338" s="19" t="n"/>
    </row>
    <row r="12339">
      <c r="D12339" s="21">
        <f>$B$12190</f>
        <v/>
      </c>
      <c r="E12339" s="21">
        <f>$B$12192</f>
        <v/>
      </c>
      <c r="F12339" s="21">
        <f>0</f>
        <v/>
      </c>
      <c r="G12339" s="21">
        <f>2*$B$12191</f>
        <v/>
      </c>
      <c r="H12339" s="21">
        <f>-$B$12190</f>
        <v/>
      </c>
      <c r="I12339" s="21">
        <f>$B$12192</f>
        <v/>
      </c>
      <c r="J12339" s="21" t="n">
        <v>0</v>
      </c>
      <c r="K12339" s="21" t="n">
        <v>0</v>
      </c>
      <c r="L12339" s="21" t="n">
        <v>0</v>
      </c>
      <c r="M12339" s="21" t="n">
        <v>0</v>
      </c>
      <c r="N12339" s="21" t="n">
        <v>0</v>
      </c>
      <c r="O12339" s="21" t="n">
        <v>0</v>
      </c>
      <c r="P12339" s="21" t="n">
        <v>0</v>
      </c>
      <c r="Q12339" s="21" t="n">
        <v>0</v>
      </c>
      <c r="R12339" s="21" t="n">
        <v>0</v>
      </c>
      <c r="S12339" s="21" t="n">
        <v>0</v>
      </c>
      <c r="T12339" s="21" t="n">
        <v>0</v>
      </c>
      <c r="U12339" s="21" t="n">
        <v>0</v>
      </c>
      <c r="V12339" s="21" t="n">
        <v>0</v>
      </c>
      <c r="W12339" s="21" t="n">
        <v>0</v>
      </c>
      <c r="X12339" s="21" t="n">
        <v>0</v>
      </c>
      <c r="Y12339" s="21" t="n">
        <v>0</v>
      </c>
      <c r="Z12339" s="19" t="n"/>
    </row>
    <row r="12340">
      <c r="D12340" s="21" t="n">
        <v>0</v>
      </c>
      <c r="E12340" s="21" t="n">
        <v>0</v>
      </c>
      <c r="F12340" s="21">
        <f>-$B$12189</f>
        <v/>
      </c>
      <c r="G12340" s="21">
        <f>-$B$12190</f>
        <v/>
      </c>
      <c r="H12340" s="21">
        <f>2*$B$12189+$D$12326</f>
        <v/>
      </c>
      <c r="I12340" s="21">
        <f>0</f>
        <v/>
      </c>
      <c r="J12340" s="21">
        <f>-$B$12189</f>
        <v/>
      </c>
      <c r="K12340" s="21">
        <f>$B$12190</f>
        <v/>
      </c>
      <c r="L12340" s="21" t="n">
        <v>0</v>
      </c>
      <c r="M12340" s="21" t="n">
        <v>0</v>
      </c>
      <c r="N12340" s="21" t="n">
        <v>0</v>
      </c>
      <c r="O12340" s="21" t="n">
        <v>0</v>
      </c>
      <c r="P12340" s="21" t="n">
        <v>0</v>
      </c>
      <c r="Q12340" s="21" t="n">
        <v>0</v>
      </c>
      <c r="R12340" s="21" t="n">
        <v>0</v>
      </c>
      <c r="S12340" s="21" t="n">
        <v>0</v>
      </c>
      <c r="T12340" s="21" t="n">
        <v>0</v>
      </c>
      <c r="U12340" s="21" t="n">
        <v>0</v>
      </c>
      <c r="V12340" s="21" t="n">
        <v>0</v>
      </c>
      <c r="W12340" s="21" t="n">
        <v>0</v>
      </c>
      <c r="X12340" s="21" t="n">
        <v>0</v>
      </c>
      <c r="Y12340" s="21" t="n">
        <v>0</v>
      </c>
      <c r="Z12340" s="19" t="n"/>
    </row>
    <row r="12341">
      <c r="D12341" s="21" t="n">
        <v>0</v>
      </c>
      <c r="E12341" s="21" t="n">
        <v>0</v>
      </c>
      <c r="F12341" s="21">
        <f>$B$12190</f>
        <v/>
      </c>
      <c r="G12341" s="21">
        <f>$B$12192</f>
        <v/>
      </c>
      <c r="H12341" s="21">
        <f>0</f>
        <v/>
      </c>
      <c r="I12341" s="21">
        <f>2*$B$12191</f>
        <v/>
      </c>
      <c r="J12341" s="21">
        <f>-$B$12190</f>
        <v/>
      </c>
      <c r="K12341" s="21">
        <f>$B$12192</f>
        <v/>
      </c>
      <c r="L12341" s="21" t="n">
        <v>0</v>
      </c>
      <c r="M12341" s="21" t="n">
        <v>0</v>
      </c>
      <c r="N12341" s="21" t="n">
        <v>0</v>
      </c>
      <c r="O12341" s="21" t="n">
        <v>0</v>
      </c>
      <c r="P12341" s="21" t="n">
        <v>0</v>
      </c>
      <c r="Q12341" s="21" t="n">
        <v>0</v>
      </c>
      <c r="R12341" s="21" t="n">
        <v>0</v>
      </c>
      <c r="S12341" s="21" t="n">
        <v>0</v>
      </c>
      <c r="T12341" s="21" t="n">
        <v>0</v>
      </c>
      <c r="U12341" s="21" t="n">
        <v>0</v>
      </c>
      <c r="V12341" s="21" t="n">
        <v>0</v>
      </c>
      <c r="W12341" s="21" t="n">
        <v>0</v>
      </c>
      <c r="X12341" s="21" t="n">
        <v>0</v>
      </c>
      <c r="Y12341" s="21" t="n">
        <v>0</v>
      </c>
      <c r="Z12341" s="19" t="n"/>
    </row>
    <row r="12342">
      <c r="D12342" s="21" t="n">
        <v>0</v>
      </c>
      <c r="E12342" s="21" t="n">
        <v>0</v>
      </c>
      <c r="F12342" s="21" t="n">
        <v>0</v>
      </c>
      <c r="G12342" s="21" t="n">
        <v>0</v>
      </c>
      <c r="H12342" s="21">
        <f>-$B$12189</f>
        <v/>
      </c>
      <c r="I12342" s="21">
        <f>-$B$12190</f>
        <v/>
      </c>
      <c r="J12342" s="21">
        <f>2*$B$12189+$D$12327</f>
        <v/>
      </c>
      <c r="K12342" s="21">
        <f>0</f>
        <v/>
      </c>
      <c r="L12342" s="21">
        <f>-$B$12189</f>
        <v/>
      </c>
      <c r="M12342" s="21">
        <f>$B$12190</f>
        <v/>
      </c>
      <c r="N12342" s="21" t="n">
        <v>0</v>
      </c>
      <c r="O12342" s="21" t="n">
        <v>0</v>
      </c>
      <c r="P12342" s="21" t="n">
        <v>0</v>
      </c>
      <c r="Q12342" s="21" t="n">
        <v>0</v>
      </c>
      <c r="R12342" s="21" t="n">
        <v>0</v>
      </c>
      <c r="S12342" s="21" t="n">
        <v>0</v>
      </c>
      <c r="T12342" s="21" t="n">
        <v>0</v>
      </c>
      <c r="U12342" s="21" t="n">
        <v>0</v>
      </c>
      <c r="V12342" s="21" t="n">
        <v>0</v>
      </c>
      <c r="W12342" s="21" t="n">
        <v>0</v>
      </c>
      <c r="X12342" s="21" t="n">
        <v>0</v>
      </c>
      <c r="Y12342" s="21" t="n">
        <v>0</v>
      </c>
      <c r="Z12342" s="19" t="n"/>
    </row>
    <row r="12343">
      <c r="D12343" s="21" t="n">
        <v>0</v>
      </c>
      <c r="E12343" s="21" t="n">
        <v>0</v>
      </c>
      <c r="F12343" s="21" t="n">
        <v>0</v>
      </c>
      <c r="G12343" s="21" t="n">
        <v>0</v>
      </c>
      <c r="H12343" s="21">
        <f>$B$12190</f>
        <v/>
      </c>
      <c r="I12343" s="21">
        <f>$B$12192</f>
        <v/>
      </c>
      <c r="J12343" s="21">
        <f>0</f>
        <v/>
      </c>
      <c r="K12343" s="21">
        <f>2*$B$12191</f>
        <v/>
      </c>
      <c r="L12343" s="21">
        <f>-$B$12190</f>
        <v/>
      </c>
      <c r="M12343" s="21">
        <f>$B$12192</f>
        <v/>
      </c>
      <c r="N12343" s="21" t="n">
        <v>0</v>
      </c>
      <c r="O12343" s="21" t="n">
        <v>0</v>
      </c>
      <c r="P12343" s="21" t="n">
        <v>0</v>
      </c>
      <c r="Q12343" s="21" t="n">
        <v>0</v>
      </c>
      <c r="R12343" s="21" t="n">
        <v>0</v>
      </c>
      <c r="S12343" s="21" t="n">
        <v>0</v>
      </c>
      <c r="T12343" s="21" t="n">
        <v>0</v>
      </c>
      <c r="U12343" s="21" t="n">
        <v>0</v>
      </c>
      <c r="V12343" s="21" t="n">
        <v>0</v>
      </c>
      <c r="W12343" s="21" t="n">
        <v>0</v>
      </c>
      <c r="X12343" s="21" t="n">
        <v>0</v>
      </c>
      <c r="Y12343" s="21" t="n">
        <v>0</v>
      </c>
      <c r="Z12343" s="19" t="n"/>
    </row>
    <row r="12344">
      <c r="D12344" s="21" t="n">
        <v>0</v>
      </c>
      <c r="E12344" s="21" t="n">
        <v>0</v>
      </c>
      <c r="F12344" s="21" t="n">
        <v>0</v>
      </c>
      <c r="G12344" s="21" t="n">
        <v>0</v>
      </c>
      <c r="H12344" s="21" t="n">
        <v>0</v>
      </c>
      <c r="I12344" s="21" t="n">
        <v>0</v>
      </c>
      <c r="J12344" s="21">
        <f>-$B$12189</f>
        <v/>
      </c>
      <c r="K12344" s="21">
        <f>-$B$12190</f>
        <v/>
      </c>
      <c r="L12344" s="21">
        <f>2*$B$12189+$D$12328</f>
        <v/>
      </c>
      <c r="M12344" s="21">
        <f>0</f>
        <v/>
      </c>
      <c r="N12344" s="21">
        <f>-$B$12189</f>
        <v/>
      </c>
      <c r="O12344" s="21">
        <f>$B$12190</f>
        <v/>
      </c>
      <c r="P12344" s="21" t="n">
        <v>0</v>
      </c>
      <c r="Q12344" s="21" t="n">
        <v>0</v>
      </c>
      <c r="R12344" s="21" t="n">
        <v>0</v>
      </c>
      <c r="S12344" s="21" t="n">
        <v>0</v>
      </c>
      <c r="T12344" s="21" t="n">
        <v>0</v>
      </c>
      <c r="U12344" s="21" t="n">
        <v>0</v>
      </c>
      <c r="V12344" s="21" t="n">
        <v>0</v>
      </c>
      <c r="W12344" s="21" t="n">
        <v>0</v>
      </c>
      <c r="X12344" s="21" t="n">
        <v>0</v>
      </c>
      <c r="Y12344" s="21" t="n">
        <v>0</v>
      </c>
      <c r="Z12344" s="19" t="n"/>
    </row>
    <row r="12345">
      <c r="D12345" s="21" t="n">
        <v>0</v>
      </c>
      <c r="E12345" s="21" t="n">
        <v>0</v>
      </c>
      <c r="F12345" s="21" t="n">
        <v>0</v>
      </c>
      <c r="G12345" s="21" t="n">
        <v>0</v>
      </c>
      <c r="H12345" s="21" t="n">
        <v>0</v>
      </c>
      <c r="I12345" s="21" t="n">
        <v>0</v>
      </c>
      <c r="J12345" s="21">
        <f>$B$12190</f>
        <v/>
      </c>
      <c r="K12345" s="21">
        <f>$B$12192</f>
        <v/>
      </c>
      <c r="L12345" s="21">
        <f>0</f>
        <v/>
      </c>
      <c r="M12345" s="21">
        <f>2*$B$12191</f>
        <v/>
      </c>
      <c r="N12345" s="21">
        <f>-$B$12190</f>
        <v/>
      </c>
      <c r="O12345" s="21">
        <f>$B$12192</f>
        <v/>
      </c>
      <c r="P12345" s="21" t="n">
        <v>0</v>
      </c>
      <c r="Q12345" s="21" t="n">
        <v>0</v>
      </c>
      <c r="R12345" s="21" t="n">
        <v>0</v>
      </c>
      <c r="S12345" s="21" t="n">
        <v>0</v>
      </c>
      <c r="T12345" s="21" t="n">
        <v>0</v>
      </c>
      <c r="U12345" s="21" t="n">
        <v>0</v>
      </c>
      <c r="V12345" s="21" t="n">
        <v>0</v>
      </c>
      <c r="W12345" s="21" t="n">
        <v>0</v>
      </c>
      <c r="X12345" s="21" t="n">
        <v>0</v>
      </c>
      <c r="Y12345" s="21" t="n">
        <v>0</v>
      </c>
      <c r="Z12345" s="19" t="n"/>
    </row>
    <row r="12346">
      <c r="D12346" s="21" t="n">
        <v>0</v>
      </c>
      <c r="E12346" s="21" t="n">
        <v>0</v>
      </c>
      <c r="F12346" s="21" t="n">
        <v>0</v>
      </c>
      <c r="G12346" s="21" t="n">
        <v>0</v>
      </c>
      <c r="H12346" s="21" t="n">
        <v>0</v>
      </c>
      <c r="I12346" s="21" t="n">
        <v>0</v>
      </c>
      <c r="J12346" s="21" t="n">
        <v>0</v>
      </c>
      <c r="K12346" s="21" t="n">
        <v>0</v>
      </c>
      <c r="L12346" s="21">
        <f>-$B$12189</f>
        <v/>
      </c>
      <c r="M12346" s="21">
        <f>-$B$12190</f>
        <v/>
      </c>
      <c r="N12346" s="21">
        <f>2*$B$12189+$D$12329</f>
        <v/>
      </c>
      <c r="O12346" s="21">
        <f>0</f>
        <v/>
      </c>
      <c r="P12346" s="21">
        <f>-$B$12189</f>
        <v/>
      </c>
      <c r="Q12346" s="21">
        <f>$B$12190</f>
        <v/>
      </c>
      <c r="R12346" s="21" t="n">
        <v>0</v>
      </c>
      <c r="S12346" s="21" t="n">
        <v>0</v>
      </c>
      <c r="T12346" s="21" t="n">
        <v>0</v>
      </c>
      <c r="U12346" s="21" t="n">
        <v>0</v>
      </c>
      <c r="V12346" s="21" t="n">
        <v>0</v>
      </c>
      <c r="W12346" s="21" t="n">
        <v>0</v>
      </c>
      <c r="X12346" s="21" t="n">
        <v>0</v>
      </c>
      <c r="Y12346" s="21" t="n">
        <v>0</v>
      </c>
      <c r="Z12346" s="19" t="n"/>
    </row>
    <row r="12347">
      <c r="D12347" s="21" t="n">
        <v>0</v>
      </c>
      <c r="E12347" s="21" t="n">
        <v>0</v>
      </c>
      <c r="F12347" s="21" t="n">
        <v>0</v>
      </c>
      <c r="G12347" s="21" t="n">
        <v>0</v>
      </c>
      <c r="H12347" s="21" t="n">
        <v>0</v>
      </c>
      <c r="I12347" s="21" t="n">
        <v>0</v>
      </c>
      <c r="J12347" s="21" t="n">
        <v>0</v>
      </c>
      <c r="K12347" s="21" t="n">
        <v>0</v>
      </c>
      <c r="L12347" s="21">
        <f>$B$12190</f>
        <v/>
      </c>
      <c r="M12347" s="21">
        <f>$B$12192</f>
        <v/>
      </c>
      <c r="N12347" s="21">
        <f>0</f>
        <v/>
      </c>
      <c r="O12347" s="21">
        <f>2*$B$12191</f>
        <v/>
      </c>
      <c r="P12347" s="21">
        <f>-$B$12190</f>
        <v/>
      </c>
      <c r="Q12347" s="21">
        <f>$B$12192</f>
        <v/>
      </c>
      <c r="R12347" s="21" t="n">
        <v>0</v>
      </c>
      <c r="S12347" s="21" t="n">
        <v>0</v>
      </c>
      <c r="T12347" s="21" t="n">
        <v>0</v>
      </c>
      <c r="U12347" s="21" t="n">
        <v>0</v>
      </c>
      <c r="V12347" s="21" t="n">
        <v>0</v>
      </c>
      <c r="W12347" s="21" t="n">
        <v>0</v>
      </c>
      <c r="X12347" s="21" t="n">
        <v>0</v>
      </c>
      <c r="Y12347" s="21" t="n">
        <v>0</v>
      </c>
      <c r="Z12347" s="19" t="n"/>
    </row>
    <row r="12348">
      <c r="D12348" s="21" t="n">
        <v>0</v>
      </c>
      <c r="E12348" s="21" t="n">
        <v>0</v>
      </c>
      <c r="F12348" s="21" t="n">
        <v>0</v>
      </c>
      <c r="G12348" s="21" t="n">
        <v>0</v>
      </c>
      <c r="H12348" s="21" t="n">
        <v>0</v>
      </c>
      <c r="I12348" s="21" t="n">
        <v>0</v>
      </c>
      <c r="J12348" s="21" t="n">
        <v>0</v>
      </c>
      <c r="K12348" s="21" t="n">
        <v>0</v>
      </c>
      <c r="L12348" s="21" t="n">
        <v>0</v>
      </c>
      <c r="M12348" s="21" t="n">
        <v>0</v>
      </c>
      <c r="N12348" s="21">
        <f>-$B$12189</f>
        <v/>
      </c>
      <c r="O12348" s="21">
        <f>-$B$12190</f>
        <v/>
      </c>
      <c r="P12348" s="21">
        <f>2*$B$12189+$D$12330</f>
        <v/>
      </c>
      <c r="Q12348" s="21">
        <f>0</f>
        <v/>
      </c>
      <c r="R12348" s="21">
        <f>-$B$12189</f>
        <v/>
      </c>
      <c r="S12348" s="21">
        <f>$B$12190</f>
        <v/>
      </c>
      <c r="T12348" s="21" t="n">
        <v>0</v>
      </c>
      <c r="U12348" s="21" t="n">
        <v>0</v>
      </c>
      <c r="V12348" s="21" t="n">
        <v>0</v>
      </c>
      <c r="W12348" s="21" t="n">
        <v>0</v>
      </c>
      <c r="X12348" s="21" t="n">
        <v>0</v>
      </c>
      <c r="Y12348" s="21" t="n">
        <v>0</v>
      </c>
      <c r="Z12348" s="19" t="n"/>
    </row>
    <row r="12349">
      <c r="D12349" s="21" t="n">
        <v>0</v>
      </c>
      <c r="E12349" s="21" t="n">
        <v>0</v>
      </c>
      <c r="F12349" s="21" t="n">
        <v>0</v>
      </c>
      <c r="G12349" s="21" t="n">
        <v>0</v>
      </c>
      <c r="H12349" s="21" t="n">
        <v>0</v>
      </c>
      <c r="I12349" s="21" t="n">
        <v>0</v>
      </c>
      <c r="J12349" s="21" t="n">
        <v>0</v>
      </c>
      <c r="K12349" s="21" t="n">
        <v>0</v>
      </c>
      <c r="L12349" s="21" t="n">
        <v>0</v>
      </c>
      <c r="M12349" s="21" t="n">
        <v>0</v>
      </c>
      <c r="N12349" s="21">
        <f>$B$12190</f>
        <v/>
      </c>
      <c r="O12349" s="21">
        <f>$B$12192</f>
        <v/>
      </c>
      <c r="P12349" s="21">
        <f>0</f>
        <v/>
      </c>
      <c r="Q12349" s="21">
        <f>2*$B$12191</f>
        <v/>
      </c>
      <c r="R12349" s="21">
        <f>-$B$12190</f>
        <v/>
      </c>
      <c r="S12349" s="21">
        <f>$B$12192</f>
        <v/>
      </c>
      <c r="T12349" s="21" t="n">
        <v>0</v>
      </c>
      <c r="U12349" s="21" t="n">
        <v>0</v>
      </c>
      <c r="V12349" s="21" t="n">
        <v>0</v>
      </c>
      <c r="W12349" s="21" t="n">
        <v>0</v>
      </c>
      <c r="X12349" s="21" t="n">
        <v>0</v>
      </c>
      <c r="Y12349" s="21" t="n">
        <v>0</v>
      </c>
      <c r="Z12349" s="19" t="n"/>
    </row>
    <row r="12350">
      <c r="D12350" s="21" t="n">
        <v>0</v>
      </c>
      <c r="E12350" s="21" t="n">
        <v>0</v>
      </c>
      <c r="F12350" s="21" t="n">
        <v>0</v>
      </c>
      <c r="G12350" s="21" t="n">
        <v>0</v>
      </c>
      <c r="H12350" s="21" t="n">
        <v>0</v>
      </c>
      <c r="I12350" s="21" t="n">
        <v>0</v>
      </c>
      <c r="J12350" s="21" t="n">
        <v>0</v>
      </c>
      <c r="K12350" s="21" t="n">
        <v>0</v>
      </c>
      <c r="L12350" s="21" t="n">
        <v>0</v>
      </c>
      <c r="M12350" s="21" t="n">
        <v>0</v>
      </c>
      <c r="N12350" s="21" t="n">
        <v>0</v>
      </c>
      <c r="O12350" s="21" t="n">
        <v>0</v>
      </c>
      <c r="P12350" s="21">
        <f>-$B$12189</f>
        <v/>
      </c>
      <c r="Q12350" s="21">
        <f>-$B$12190</f>
        <v/>
      </c>
      <c r="R12350" s="21">
        <f>2*$B$12189+$D$12331</f>
        <v/>
      </c>
      <c r="S12350" s="21">
        <f>0</f>
        <v/>
      </c>
      <c r="T12350" s="21">
        <f>-$B$12189</f>
        <v/>
      </c>
      <c r="U12350" s="21">
        <f>$B$12190</f>
        <v/>
      </c>
      <c r="V12350" s="21" t="n">
        <v>0</v>
      </c>
      <c r="W12350" s="21" t="n">
        <v>0</v>
      </c>
      <c r="X12350" s="21" t="n">
        <v>0</v>
      </c>
      <c r="Y12350" s="21" t="n">
        <v>0</v>
      </c>
      <c r="Z12350" s="19" t="n"/>
    </row>
    <row r="12351">
      <c r="D12351" s="21" t="n">
        <v>0</v>
      </c>
      <c r="E12351" s="21" t="n">
        <v>0</v>
      </c>
      <c r="F12351" s="21" t="n">
        <v>0</v>
      </c>
      <c r="G12351" s="21" t="n">
        <v>0</v>
      </c>
      <c r="H12351" s="21" t="n">
        <v>0</v>
      </c>
      <c r="I12351" s="21" t="n">
        <v>0</v>
      </c>
      <c r="J12351" s="21" t="n">
        <v>0</v>
      </c>
      <c r="K12351" s="21" t="n">
        <v>0</v>
      </c>
      <c r="L12351" s="21" t="n">
        <v>0</v>
      </c>
      <c r="M12351" s="21" t="n">
        <v>0</v>
      </c>
      <c r="N12351" s="21" t="n">
        <v>0</v>
      </c>
      <c r="O12351" s="21" t="n">
        <v>0</v>
      </c>
      <c r="P12351" s="21">
        <f>$B$12190</f>
        <v/>
      </c>
      <c r="Q12351" s="21">
        <f>$B$12192</f>
        <v/>
      </c>
      <c r="R12351" s="21">
        <f>0</f>
        <v/>
      </c>
      <c r="S12351" s="21">
        <f>2*$B$12191</f>
        <v/>
      </c>
      <c r="T12351" s="21">
        <f>-$B$12190</f>
        <v/>
      </c>
      <c r="U12351" s="21">
        <f>$B$12192</f>
        <v/>
      </c>
      <c r="V12351" s="21" t="n">
        <v>0</v>
      </c>
      <c r="W12351" s="21" t="n">
        <v>0</v>
      </c>
      <c r="X12351" s="21" t="n">
        <v>0</v>
      </c>
      <c r="Y12351" s="21" t="n">
        <v>0</v>
      </c>
      <c r="Z12351" s="19" t="n"/>
    </row>
    <row r="12352">
      <c r="D12352" s="21" t="n">
        <v>0</v>
      </c>
      <c r="E12352" s="21" t="n">
        <v>0</v>
      </c>
      <c r="F12352" s="21" t="n">
        <v>0</v>
      </c>
      <c r="G12352" s="21" t="n">
        <v>0</v>
      </c>
      <c r="H12352" s="21" t="n">
        <v>0</v>
      </c>
      <c r="I12352" s="21" t="n">
        <v>0</v>
      </c>
      <c r="J12352" s="21" t="n">
        <v>0</v>
      </c>
      <c r="K12352" s="21" t="n">
        <v>0</v>
      </c>
      <c r="L12352" s="21" t="n">
        <v>0</v>
      </c>
      <c r="M12352" s="21" t="n">
        <v>0</v>
      </c>
      <c r="N12352" s="21" t="n">
        <v>0</v>
      </c>
      <c r="O12352" s="21" t="n">
        <v>0</v>
      </c>
      <c r="P12352" s="21" t="n">
        <v>0</v>
      </c>
      <c r="Q12352" s="21" t="n">
        <v>0</v>
      </c>
      <c r="R12352" s="21">
        <f>-$B$12189</f>
        <v/>
      </c>
      <c r="S12352" s="21">
        <f>-$B$12190</f>
        <v/>
      </c>
      <c r="T12352" s="21">
        <f>2*$B$12189+$D$12332</f>
        <v/>
      </c>
      <c r="U12352" s="21">
        <f>0</f>
        <v/>
      </c>
      <c r="V12352" s="21">
        <f>-$B$12189</f>
        <v/>
      </c>
      <c r="W12352" s="21">
        <f>$B$12190</f>
        <v/>
      </c>
      <c r="X12352" s="21" t="n">
        <v>0</v>
      </c>
      <c r="Y12352" s="21" t="n">
        <v>0</v>
      </c>
      <c r="Z12352" s="19" t="n"/>
    </row>
    <row r="12353">
      <c r="D12353" s="21" t="n">
        <v>0</v>
      </c>
      <c r="E12353" s="21" t="n">
        <v>0</v>
      </c>
      <c r="F12353" s="21" t="n">
        <v>0</v>
      </c>
      <c r="G12353" s="21" t="n">
        <v>0</v>
      </c>
      <c r="H12353" s="21" t="n">
        <v>0</v>
      </c>
      <c r="I12353" s="21" t="n">
        <v>0</v>
      </c>
      <c r="J12353" s="21" t="n">
        <v>0</v>
      </c>
      <c r="K12353" s="21" t="n">
        <v>0</v>
      </c>
      <c r="L12353" s="21" t="n">
        <v>0</v>
      </c>
      <c r="M12353" s="21" t="n">
        <v>0</v>
      </c>
      <c r="N12353" s="21" t="n">
        <v>0</v>
      </c>
      <c r="O12353" s="21" t="n">
        <v>0</v>
      </c>
      <c r="P12353" s="21" t="n">
        <v>0</v>
      </c>
      <c r="Q12353" s="21" t="n">
        <v>0</v>
      </c>
      <c r="R12353" s="21">
        <f>$B$12190</f>
        <v/>
      </c>
      <c r="S12353" s="21">
        <f>$B$12192</f>
        <v/>
      </c>
      <c r="T12353" s="21">
        <f>0</f>
        <v/>
      </c>
      <c r="U12353" s="21">
        <f>2*$B$12191</f>
        <v/>
      </c>
      <c r="V12353" s="21">
        <f>-$B$12190</f>
        <v/>
      </c>
      <c r="W12353" s="21">
        <f>$B$12192</f>
        <v/>
      </c>
      <c r="X12353" s="21" t="n">
        <v>0</v>
      </c>
      <c r="Y12353" s="21" t="n">
        <v>0</v>
      </c>
      <c r="Z12353" s="19" t="n"/>
    </row>
    <row r="12354">
      <c r="D12354" s="21" t="n">
        <v>0</v>
      </c>
      <c r="E12354" s="21" t="n">
        <v>0</v>
      </c>
      <c r="F12354" s="21" t="n">
        <v>0</v>
      </c>
      <c r="G12354" s="21" t="n">
        <v>0</v>
      </c>
      <c r="H12354" s="21" t="n">
        <v>0</v>
      </c>
      <c r="I12354" s="21" t="n">
        <v>0</v>
      </c>
      <c r="J12354" s="21" t="n">
        <v>0</v>
      </c>
      <c r="K12354" s="21" t="n">
        <v>0</v>
      </c>
      <c r="L12354" s="21" t="n">
        <v>0</v>
      </c>
      <c r="M12354" s="21" t="n">
        <v>0</v>
      </c>
      <c r="N12354" s="21" t="n">
        <v>0</v>
      </c>
      <c r="O12354" s="21" t="n">
        <v>0</v>
      </c>
      <c r="P12354" s="21" t="n">
        <v>0</v>
      </c>
      <c r="Q12354" s="21" t="n">
        <v>0</v>
      </c>
      <c r="R12354" s="21" t="n">
        <v>0</v>
      </c>
      <c r="S12354" s="21" t="n">
        <v>0</v>
      </c>
      <c r="T12354" s="21">
        <f>-$B$12189</f>
        <v/>
      </c>
      <c r="U12354" s="21">
        <f>-$B$12190</f>
        <v/>
      </c>
      <c r="V12354" s="21">
        <f>2*$B$12189+$D$12333</f>
        <v/>
      </c>
      <c r="W12354" s="21">
        <f>0</f>
        <v/>
      </c>
      <c r="X12354" s="21">
        <f>-$B$12189</f>
        <v/>
      </c>
      <c r="Y12354" s="21">
        <f>$B$12190</f>
        <v/>
      </c>
      <c r="Z12354" s="19" t="n"/>
    </row>
    <row r="12355">
      <c r="D12355" s="21" t="n">
        <v>0</v>
      </c>
      <c r="E12355" s="21" t="n">
        <v>0</v>
      </c>
      <c r="F12355" s="21" t="n">
        <v>0</v>
      </c>
      <c r="G12355" s="21" t="n">
        <v>0</v>
      </c>
      <c r="H12355" s="21" t="n">
        <v>0</v>
      </c>
      <c r="I12355" s="21" t="n">
        <v>0</v>
      </c>
      <c r="J12355" s="21" t="n">
        <v>0</v>
      </c>
      <c r="K12355" s="21" t="n">
        <v>0</v>
      </c>
      <c r="L12355" s="21" t="n">
        <v>0</v>
      </c>
      <c r="M12355" s="21" t="n">
        <v>0</v>
      </c>
      <c r="N12355" s="21" t="n">
        <v>0</v>
      </c>
      <c r="O12355" s="21" t="n">
        <v>0</v>
      </c>
      <c r="P12355" s="21" t="n">
        <v>0</v>
      </c>
      <c r="Q12355" s="21" t="n">
        <v>0</v>
      </c>
      <c r="R12355" s="21" t="n">
        <v>0</v>
      </c>
      <c r="S12355" s="21" t="n">
        <v>0</v>
      </c>
      <c r="T12355" s="21">
        <f>$B$12190</f>
        <v/>
      </c>
      <c r="U12355" s="21">
        <f>$B$12192</f>
        <v/>
      </c>
      <c r="V12355" s="21">
        <f>0</f>
        <v/>
      </c>
      <c r="W12355" s="21">
        <f>2*$B$12191</f>
        <v/>
      </c>
      <c r="X12355" s="21">
        <f>-$B$12190</f>
        <v/>
      </c>
      <c r="Y12355" s="21">
        <f>$B$12192</f>
        <v/>
      </c>
      <c r="Z12355" s="19" t="n"/>
    </row>
    <row r="12356">
      <c r="D12356" s="21" t="n">
        <v>0</v>
      </c>
      <c r="E12356" s="21" t="n">
        <v>0</v>
      </c>
      <c r="F12356" s="21" t="n">
        <v>0</v>
      </c>
      <c r="G12356" s="21" t="n">
        <v>0</v>
      </c>
      <c r="H12356" s="21" t="n">
        <v>0</v>
      </c>
      <c r="I12356" s="21" t="n">
        <v>0</v>
      </c>
      <c r="J12356" s="21" t="n">
        <v>0</v>
      </c>
      <c r="K12356" s="21" t="n">
        <v>0</v>
      </c>
      <c r="L12356" s="21" t="n">
        <v>0</v>
      </c>
      <c r="M12356" s="21" t="n">
        <v>0</v>
      </c>
      <c r="N12356" s="21" t="n">
        <v>0</v>
      </c>
      <c r="O12356" s="21" t="n">
        <v>0</v>
      </c>
      <c r="P12356" s="21" t="n">
        <v>0</v>
      </c>
      <c r="Q12356" s="21" t="n">
        <v>0</v>
      </c>
      <c r="R12356" s="21" t="n">
        <v>0</v>
      </c>
      <c r="S12356" s="21" t="n">
        <v>0</v>
      </c>
      <c r="T12356" s="21" t="n">
        <v>0</v>
      </c>
      <c r="U12356" s="21" t="n">
        <v>0</v>
      </c>
      <c r="V12356" s="21">
        <f>-$B$12189</f>
        <v/>
      </c>
      <c r="W12356" s="21">
        <f>-$B$12190</f>
        <v/>
      </c>
      <c r="X12356" s="21">
        <f>$B$12189+$D$12334</f>
        <v/>
      </c>
      <c r="Y12356" s="21">
        <f>-$B$12190</f>
        <v/>
      </c>
      <c r="Z12356" s="19" t="n"/>
    </row>
    <row r="12357">
      <c r="D12357" s="21" t="n">
        <v>0</v>
      </c>
      <c r="E12357" s="21" t="n">
        <v>0</v>
      </c>
      <c r="F12357" s="21" t="n">
        <v>0</v>
      </c>
      <c r="G12357" s="21" t="n">
        <v>0</v>
      </c>
      <c r="H12357" s="21" t="n">
        <v>0</v>
      </c>
      <c r="I12357" s="21" t="n">
        <v>0</v>
      </c>
      <c r="J12357" s="21" t="n">
        <v>0</v>
      </c>
      <c r="K12357" s="21" t="n">
        <v>0</v>
      </c>
      <c r="L12357" s="21" t="n">
        <v>0</v>
      </c>
      <c r="M12357" s="21" t="n">
        <v>0</v>
      </c>
      <c r="N12357" s="21" t="n">
        <v>0</v>
      </c>
      <c r="O12357" s="21" t="n">
        <v>0</v>
      </c>
      <c r="P12357" s="21" t="n">
        <v>0</v>
      </c>
      <c r="Q12357" s="21" t="n">
        <v>0</v>
      </c>
      <c r="R12357" s="21" t="n">
        <v>0</v>
      </c>
      <c r="S12357" s="21" t="n">
        <v>0</v>
      </c>
      <c r="T12357" s="21" t="n">
        <v>0</v>
      </c>
      <c r="U12357" s="21" t="n">
        <v>0</v>
      </c>
      <c r="V12357" s="21">
        <f>$B$12190</f>
        <v/>
      </c>
      <c r="W12357" s="21">
        <f>$B$12192</f>
        <v/>
      </c>
      <c r="X12357" s="21">
        <f>-$B$12190</f>
        <v/>
      </c>
      <c r="Y12357" s="21">
        <f>$B$12191</f>
        <v/>
      </c>
      <c r="Z12357" s="19" t="n"/>
    </row>
    <row r="12359">
      <c r="A12359" s="8" t="inlineStr">
        <is>
          <t>gen 4</t>
        </is>
      </c>
    </row>
    <row r="12360">
      <c r="D12360" s="19">
        <f>IF(ABS(IF(ABS($E$12324)&gt;0.000000001,$E$12324,0.000000001))=0,0,IF($E$12204&lt;=$B$12198,0,IF(ABS(IF(ABS($E$12324)&gt;0.000000001,$E$12324,0.000000001))&gt;=8*$B$12200,$H$12204,0.5*$H$12204*(ABS(IF(ABS($E$12324)&gt;0.000000001,$E$12324,0.000000001))/$B$12200)^(1/3)))/ABS(IF(ABS($E$12324)&gt;0.000000001,$E$12324,0.000000001))*$I$12204)</f>
        <v/>
      </c>
      <c r="E12360" s="19">
        <f>0.5*$E$12324+0.5*$Z$12372</f>
        <v/>
      </c>
      <c r="F12360" s="19">
        <f>$Z$12373</f>
        <v/>
      </c>
    </row>
    <row r="12361">
      <c r="D12361" s="19">
        <f>IF(ABS(IF(ABS($E$12325)&gt;0.000000001,$E$12325,0.000000001))=0,0,IF($E$12205&lt;=$B$12198,0,IF(ABS(IF(ABS($E$12325)&gt;0.000000001,$E$12325,0.000000001))&gt;=8*$B$12200,$H$12205,0.5*$H$12205*(ABS(IF(ABS($E$12325)&gt;0.000000001,$E$12325,0.000000001))/$B$12200)^(1/3)))/ABS(IF(ABS($E$12325)&gt;0.000000001,$E$12325,0.000000001))*$I$12205)</f>
        <v/>
      </c>
      <c r="E12361" s="19">
        <f>0.5*$E$12325+0.5*$Z$12374</f>
        <v/>
      </c>
      <c r="F12361" s="19">
        <f>$Z$12375</f>
        <v/>
      </c>
    </row>
    <row r="12362">
      <c r="D12362" s="19">
        <f>IF(ABS(IF(ABS($E$12326)&gt;0.000000001,$E$12326,0.000000001))=0,0,IF($E$12206&lt;=$B$12198,0,IF(ABS(IF(ABS($E$12326)&gt;0.000000001,$E$12326,0.000000001))&gt;=8*$B$12200,$H$12206,0.5*$H$12206*(ABS(IF(ABS($E$12326)&gt;0.000000001,$E$12326,0.000000001))/$B$12200)^(1/3)))/ABS(IF(ABS($E$12326)&gt;0.000000001,$E$12326,0.000000001))*$I$12206)</f>
        <v/>
      </c>
      <c r="E12362" s="19">
        <f>0.5*$E$12326+0.5*$Z$12376</f>
        <v/>
      </c>
      <c r="F12362" s="19">
        <f>$Z$12377</f>
        <v/>
      </c>
    </row>
    <row r="12363">
      <c r="D12363" s="19">
        <f>IF(ABS(IF(ABS($E$12327)&gt;0.000000001,$E$12327,0.000000001))=0,0,IF($E$12207&lt;=$B$12198,0,IF(ABS(IF(ABS($E$12327)&gt;0.000000001,$E$12327,0.000000001))&gt;=8*$B$12200,$H$12207,0.5*$H$12207*(ABS(IF(ABS($E$12327)&gt;0.000000001,$E$12327,0.000000001))/$B$12200)^(1/3)))/ABS(IF(ABS($E$12327)&gt;0.000000001,$E$12327,0.000000001))*$I$12207)</f>
        <v/>
      </c>
      <c r="E12363" s="19">
        <f>0.5*$E$12327+0.5*$Z$12378</f>
        <v/>
      </c>
      <c r="F12363" s="19">
        <f>$Z$12379</f>
        <v/>
      </c>
    </row>
    <row r="12364">
      <c r="D12364" s="19">
        <f>IF(ABS(IF(ABS($E$12328)&gt;0.000000001,$E$12328,0.000000001))=0,0,IF($E$12208&lt;=$B$12198,0,IF(ABS(IF(ABS($E$12328)&gt;0.000000001,$E$12328,0.000000001))&gt;=8*$B$12200,$H$12208,0.5*$H$12208*(ABS(IF(ABS($E$12328)&gt;0.000000001,$E$12328,0.000000001))/$B$12200)^(1/3)))/ABS(IF(ABS($E$12328)&gt;0.000000001,$E$12328,0.000000001))*$I$12208)</f>
        <v/>
      </c>
      <c r="E12364" s="19">
        <f>0.5*$E$12328+0.5*$Z$12380</f>
        <v/>
      </c>
      <c r="F12364" s="19">
        <f>$Z$12381</f>
        <v/>
      </c>
    </row>
    <row r="12365">
      <c r="D12365" s="19">
        <f>IF(ABS(IF(ABS($E$12329)&gt;0.000000001,$E$12329,0.000000001))=0,0,IF($E$12209&lt;=$B$12198,0,IF(ABS(IF(ABS($E$12329)&gt;0.000000001,$E$12329,0.000000001))&gt;=8*$B$12200,$H$12209,0.5*$H$12209*(ABS(IF(ABS($E$12329)&gt;0.000000001,$E$12329,0.000000001))/$B$12200)^(1/3)))/ABS(IF(ABS($E$12329)&gt;0.000000001,$E$12329,0.000000001))*$I$12209)</f>
        <v/>
      </c>
      <c r="E12365" s="19">
        <f>0.5*$E$12329+0.5*$Z$12382</f>
        <v/>
      </c>
      <c r="F12365" s="19">
        <f>$Z$12383</f>
        <v/>
      </c>
    </row>
    <row r="12366">
      <c r="D12366" s="19">
        <f>IF(ABS(IF(ABS($E$12330)&gt;0.000000001,$E$12330,0.000000001))=0,0,IF($E$12210&lt;=$B$12198,0,IF(ABS(IF(ABS($E$12330)&gt;0.000000001,$E$12330,0.000000001))&gt;=8*$B$12200,$H$12210,0.5*$H$12210*(ABS(IF(ABS($E$12330)&gt;0.000000001,$E$12330,0.000000001))/$B$12200)^(1/3)))/ABS(IF(ABS($E$12330)&gt;0.000000001,$E$12330,0.000000001))*$I$12210)</f>
        <v/>
      </c>
      <c r="E12366" s="19">
        <f>0.5*$E$12330+0.5*$Z$12384</f>
        <v/>
      </c>
      <c r="F12366" s="19">
        <f>$Z$12385</f>
        <v/>
      </c>
    </row>
    <row r="12367">
      <c r="D12367" s="19">
        <f>IF(ABS(IF(ABS($E$12331)&gt;0.000000001,$E$12331,0.000000001))=0,0,IF($E$12211&lt;=$B$12198,0,IF(ABS(IF(ABS($E$12331)&gt;0.000000001,$E$12331,0.000000001))&gt;=8*$B$12200,$H$12211,0.5*$H$12211*(ABS(IF(ABS($E$12331)&gt;0.000000001,$E$12331,0.000000001))/$B$12200)^(1/3)))/ABS(IF(ABS($E$12331)&gt;0.000000001,$E$12331,0.000000001))*$I$12211)</f>
        <v/>
      </c>
      <c r="E12367" s="19">
        <f>0.5*$E$12331+0.5*$Z$12386</f>
        <v/>
      </c>
      <c r="F12367" s="19">
        <f>$Z$12387</f>
        <v/>
      </c>
    </row>
    <row r="12368">
      <c r="D12368" s="19">
        <f>IF(ABS(IF(ABS($E$12332)&gt;0.000000001,$E$12332,0.000000001))=0,0,IF($E$12212&lt;=$B$12198,0,IF(ABS(IF(ABS($E$12332)&gt;0.000000001,$E$12332,0.000000001))&gt;=8*$B$12200,$H$12212,0.5*$H$12212*(ABS(IF(ABS($E$12332)&gt;0.000000001,$E$12332,0.000000001))/$B$12200)^(1/3)))/ABS(IF(ABS($E$12332)&gt;0.000000001,$E$12332,0.000000001))*$I$12212)</f>
        <v/>
      </c>
      <c r="E12368" s="19">
        <f>0.5*$E$12332+0.5*$Z$12388</f>
        <v/>
      </c>
      <c r="F12368" s="19">
        <f>$Z$12389</f>
        <v/>
      </c>
    </row>
    <row r="12369">
      <c r="D12369" s="19">
        <f>IF(ABS(IF(ABS($E$12333)&gt;0.000000001,$E$12333,0.000000001))=0,0,IF($E$12213&lt;=$B$12198,0,IF(ABS(IF(ABS($E$12333)&gt;0.000000001,$E$12333,0.000000001))&gt;=8*$B$12200,$H$12213,0.5*$H$12213*(ABS(IF(ABS($E$12333)&gt;0.000000001,$E$12333,0.000000001))/$B$12200)^(1/3)))/ABS(IF(ABS($E$12333)&gt;0.000000001,$E$12333,0.000000001))*$I$12213)</f>
        <v/>
      </c>
      <c r="E12369" s="19">
        <f>0.5*$E$12333+0.5*$Z$12390</f>
        <v/>
      </c>
      <c r="F12369" s="19">
        <f>$Z$12391</f>
        <v/>
      </c>
    </row>
    <row r="12370">
      <c r="D12370" s="19">
        <f>IF(ABS(IF(ABS($E$12334)&gt;0.000000001,$E$12334,0.000000001))=0,0,IF($E$12214&lt;=$B$12198,0,IF(ABS(IF(ABS($E$12334)&gt;0.000000001,$E$12334,0.000000001))&gt;=8*$B$12200,$H$12214,0.5*$H$12214*(ABS(IF(ABS($E$12334)&gt;0.000000001,$E$12334,0.000000001))/$B$12200)^(1/3)))/ABS(IF(ABS($E$12334)&gt;0.000000001,$E$12334,0.000000001))*$I$12214)</f>
        <v/>
      </c>
      <c r="E12370" s="19">
        <f>0.5*$E$12334+0.5*$Z$12392</f>
        <v/>
      </c>
      <c r="F12370" s="19">
        <f>$Z$12393</f>
        <v/>
      </c>
    </row>
    <row r="12372">
      <c r="D12372" s="21">
        <f>$B$12189+$D$12360</f>
        <v/>
      </c>
      <c r="E12372" s="21">
        <f>$B$12190</f>
        <v/>
      </c>
      <c r="F12372" s="21">
        <f>-$B$12189</f>
        <v/>
      </c>
      <c r="G12372" s="21">
        <f>$B$12190</f>
        <v/>
      </c>
      <c r="H12372" s="21" t="n">
        <v>0</v>
      </c>
      <c r="I12372" s="21" t="n">
        <v>0</v>
      </c>
      <c r="J12372" s="21" t="n">
        <v>0</v>
      </c>
      <c r="K12372" s="21" t="n">
        <v>0</v>
      </c>
      <c r="L12372" s="21" t="n">
        <v>0</v>
      </c>
      <c r="M12372" s="21" t="n">
        <v>0</v>
      </c>
      <c r="N12372" s="21" t="n">
        <v>0</v>
      </c>
      <c r="O12372" s="21" t="n">
        <v>0</v>
      </c>
      <c r="P12372" s="21" t="n">
        <v>0</v>
      </c>
      <c r="Q12372" s="21" t="n">
        <v>0</v>
      </c>
      <c r="R12372" s="21" t="n">
        <v>0</v>
      </c>
      <c r="S12372" s="21" t="n">
        <v>0</v>
      </c>
      <c r="T12372" s="21" t="n">
        <v>0</v>
      </c>
      <c r="U12372" s="21" t="n">
        <v>0</v>
      </c>
      <c r="V12372" s="21" t="n">
        <v>0</v>
      </c>
      <c r="W12372" s="21" t="n">
        <v>0</v>
      </c>
      <c r="X12372" s="21" t="n">
        <v>0</v>
      </c>
      <c r="Y12372" s="21" t="n">
        <v>0</v>
      </c>
      <c r="Z12372" s="19">
        <f t="array" ref="Z12372:Z12393">MMULT(MINVERSE($D$12372:$Y$12393),$D$12216:$D$12237)</f>
        <v/>
      </c>
    </row>
    <row r="12373">
      <c r="D12373" s="21">
        <f>$B$12190</f>
        <v/>
      </c>
      <c r="E12373" s="21">
        <f>$B$12191</f>
        <v/>
      </c>
      <c r="F12373" s="21">
        <f>-$B$12190</f>
        <v/>
      </c>
      <c r="G12373" s="21">
        <f>$B$12192</f>
        <v/>
      </c>
      <c r="H12373" s="21" t="n">
        <v>0</v>
      </c>
      <c r="I12373" s="21" t="n">
        <v>0</v>
      </c>
      <c r="J12373" s="21" t="n">
        <v>0</v>
      </c>
      <c r="K12373" s="21" t="n">
        <v>0</v>
      </c>
      <c r="L12373" s="21" t="n">
        <v>0</v>
      </c>
      <c r="M12373" s="21" t="n">
        <v>0</v>
      </c>
      <c r="N12373" s="21" t="n">
        <v>0</v>
      </c>
      <c r="O12373" s="21" t="n">
        <v>0</v>
      </c>
      <c r="P12373" s="21" t="n">
        <v>0</v>
      </c>
      <c r="Q12373" s="21" t="n">
        <v>0</v>
      </c>
      <c r="R12373" s="21" t="n">
        <v>0</v>
      </c>
      <c r="S12373" s="21" t="n">
        <v>0</v>
      </c>
      <c r="T12373" s="21" t="n">
        <v>0</v>
      </c>
      <c r="U12373" s="21" t="n">
        <v>0</v>
      </c>
      <c r="V12373" s="21" t="n">
        <v>0</v>
      </c>
      <c r="W12373" s="21" t="n">
        <v>0</v>
      </c>
      <c r="X12373" s="21" t="n">
        <v>0</v>
      </c>
      <c r="Y12373" s="21" t="n">
        <v>0</v>
      </c>
      <c r="Z12373" s="19" t="n"/>
    </row>
    <row r="12374">
      <c r="D12374" s="21">
        <f>-$B$12189</f>
        <v/>
      </c>
      <c r="E12374" s="21">
        <f>-$B$12190</f>
        <v/>
      </c>
      <c r="F12374" s="21">
        <f>2*$B$12189+$D$12361</f>
        <v/>
      </c>
      <c r="G12374" s="21">
        <f>0</f>
        <v/>
      </c>
      <c r="H12374" s="21">
        <f>-$B$12189</f>
        <v/>
      </c>
      <c r="I12374" s="21">
        <f>$B$12190</f>
        <v/>
      </c>
      <c r="J12374" s="21" t="n">
        <v>0</v>
      </c>
      <c r="K12374" s="21" t="n">
        <v>0</v>
      </c>
      <c r="L12374" s="21" t="n">
        <v>0</v>
      </c>
      <c r="M12374" s="21" t="n">
        <v>0</v>
      </c>
      <c r="N12374" s="21" t="n">
        <v>0</v>
      </c>
      <c r="O12374" s="21" t="n">
        <v>0</v>
      </c>
      <c r="P12374" s="21" t="n">
        <v>0</v>
      </c>
      <c r="Q12374" s="21" t="n">
        <v>0</v>
      </c>
      <c r="R12374" s="21" t="n">
        <v>0</v>
      </c>
      <c r="S12374" s="21" t="n">
        <v>0</v>
      </c>
      <c r="T12374" s="21" t="n">
        <v>0</v>
      </c>
      <c r="U12374" s="21" t="n">
        <v>0</v>
      </c>
      <c r="V12374" s="21" t="n">
        <v>0</v>
      </c>
      <c r="W12374" s="21" t="n">
        <v>0</v>
      </c>
      <c r="X12374" s="21" t="n">
        <v>0</v>
      </c>
      <c r="Y12374" s="21" t="n">
        <v>0</v>
      </c>
      <c r="Z12374" s="19" t="n"/>
    </row>
    <row r="12375">
      <c r="D12375" s="21">
        <f>$B$12190</f>
        <v/>
      </c>
      <c r="E12375" s="21">
        <f>$B$12192</f>
        <v/>
      </c>
      <c r="F12375" s="21">
        <f>0</f>
        <v/>
      </c>
      <c r="G12375" s="21">
        <f>2*$B$12191</f>
        <v/>
      </c>
      <c r="H12375" s="21">
        <f>-$B$12190</f>
        <v/>
      </c>
      <c r="I12375" s="21">
        <f>$B$12192</f>
        <v/>
      </c>
      <c r="J12375" s="21" t="n">
        <v>0</v>
      </c>
      <c r="K12375" s="21" t="n">
        <v>0</v>
      </c>
      <c r="L12375" s="21" t="n">
        <v>0</v>
      </c>
      <c r="M12375" s="21" t="n">
        <v>0</v>
      </c>
      <c r="N12375" s="21" t="n">
        <v>0</v>
      </c>
      <c r="O12375" s="21" t="n">
        <v>0</v>
      </c>
      <c r="P12375" s="21" t="n">
        <v>0</v>
      </c>
      <c r="Q12375" s="21" t="n">
        <v>0</v>
      </c>
      <c r="R12375" s="21" t="n">
        <v>0</v>
      </c>
      <c r="S12375" s="21" t="n">
        <v>0</v>
      </c>
      <c r="T12375" s="21" t="n">
        <v>0</v>
      </c>
      <c r="U12375" s="21" t="n">
        <v>0</v>
      </c>
      <c r="V12375" s="21" t="n">
        <v>0</v>
      </c>
      <c r="W12375" s="21" t="n">
        <v>0</v>
      </c>
      <c r="X12375" s="21" t="n">
        <v>0</v>
      </c>
      <c r="Y12375" s="21" t="n">
        <v>0</v>
      </c>
      <c r="Z12375" s="19" t="n"/>
    </row>
    <row r="12376">
      <c r="D12376" s="21" t="n">
        <v>0</v>
      </c>
      <c r="E12376" s="21" t="n">
        <v>0</v>
      </c>
      <c r="F12376" s="21">
        <f>-$B$12189</f>
        <v/>
      </c>
      <c r="G12376" s="21">
        <f>-$B$12190</f>
        <v/>
      </c>
      <c r="H12376" s="21">
        <f>2*$B$12189+$D$12362</f>
        <v/>
      </c>
      <c r="I12376" s="21">
        <f>0</f>
        <v/>
      </c>
      <c r="J12376" s="21">
        <f>-$B$12189</f>
        <v/>
      </c>
      <c r="K12376" s="21">
        <f>$B$12190</f>
        <v/>
      </c>
      <c r="L12376" s="21" t="n">
        <v>0</v>
      </c>
      <c r="M12376" s="21" t="n">
        <v>0</v>
      </c>
      <c r="N12376" s="21" t="n">
        <v>0</v>
      </c>
      <c r="O12376" s="21" t="n">
        <v>0</v>
      </c>
      <c r="P12376" s="21" t="n">
        <v>0</v>
      </c>
      <c r="Q12376" s="21" t="n">
        <v>0</v>
      </c>
      <c r="R12376" s="21" t="n">
        <v>0</v>
      </c>
      <c r="S12376" s="21" t="n">
        <v>0</v>
      </c>
      <c r="T12376" s="21" t="n">
        <v>0</v>
      </c>
      <c r="U12376" s="21" t="n">
        <v>0</v>
      </c>
      <c r="V12376" s="21" t="n">
        <v>0</v>
      </c>
      <c r="W12376" s="21" t="n">
        <v>0</v>
      </c>
      <c r="X12376" s="21" t="n">
        <v>0</v>
      </c>
      <c r="Y12376" s="21" t="n">
        <v>0</v>
      </c>
      <c r="Z12376" s="19" t="n"/>
    </row>
    <row r="12377">
      <c r="D12377" s="21" t="n">
        <v>0</v>
      </c>
      <c r="E12377" s="21" t="n">
        <v>0</v>
      </c>
      <c r="F12377" s="21">
        <f>$B$12190</f>
        <v/>
      </c>
      <c r="G12377" s="21">
        <f>$B$12192</f>
        <v/>
      </c>
      <c r="H12377" s="21">
        <f>0</f>
        <v/>
      </c>
      <c r="I12377" s="21">
        <f>2*$B$12191</f>
        <v/>
      </c>
      <c r="J12377" s="21">
        <f>-$B$12190</f>
        <v/>
      </c>
      <c r="K12377" s="21">
        <f>$B$12192</f>
        <v/>
      </c>
      <c r="L12377" s="21" t="n">
        <v>0</v>
      </c>
      <c r="M12377" s="21" t="n">
        <v>0</v>
      </c>
      <c r="N12377" s="21" t="n">
        <v>0</v>
      </c>
      <c r="O12377" s="21" t="n">
        <v>0</v>
      </c>
      <c r="P12377" s="21" t="n">
        <v>0</v>
      </c>
      <c r="Q12377" s="21" t="n">
        <v>0</v>
      </c>
      <c r="R12377" s="21" t="n">
        <v>0</v>
      </c>
      <c r="S12377" s="21" t="n">
        <v>0</v>
      </c>
      <c r="T12377" s="21" t="n">
        <v>0</v>
      </c>
      <c r="U12377" s="21" t="n">
        <v>0</v>
      </c>
      <c r="V12377" s="21" t="n">
        <v>0</v>
      </c>
      <c r="W12377" s="21" t="n">
        <v>0</v>
      </c>
      <c r="X12377" s="21" t="n">
        <v>0</v>
      </c>
      <c r="Y12377" s="21" t="n">
        <v>0</v>
      </c>
      <c r="Z12377" s="19" t="n"/>
    </row>
    <row r="12378">
      <c r="D12378" s="21" t="n">
        <v>0</v>
      </c>
      <c r="E12378" s="21" t="n">
        <v>0</v>
      </c>
      <c r="F12378" s="21" t="n">
        <v>0</v>
      </c>
      <c r="G12378" s="21" t="n">
        <v>0</v>
      </c>
      <c r="H12378" s="21">
        <f>-$B$12189</f>
        <v/>
      </c>
      <c r="I12378" s="21">
        <f>-$B$12190</f>
        <v/>
      </c>
      <c r="J12378" s="21">
        <f>2*$B$12189+$D$12363</f>
        <v/>
      </c>
      <c r="K12378" s="21">
        <f>0</f>
        <v/>
      </c>
      <c r="L12378" s="21">
        <f>-$B$12189</f>
        <v/>
      </c>
      <c r="M12378" s="21">
        <f>$B$12190</f>
        <v/>
      </c>
      <c r="N12378" s="21" t="n">
        <v>0</v>
      </c>
      <c r="O12378" s="21" t="n">
        <v>0</v>
      </c>
      <c r="P12378" s="21" t="n">
        <v>0</v>
      </c>
      <c r="Q12378" s="21" t="n">
        <v>0</v>
      </c>
      <c r="R12378" s="21" t="n">
        <v>0</v>
      </c>
      <c r="S12378" s="21" t="n">
        <v>0</v>
      </c>
      <c r="T12378" s="21" t="n">
        <v>0</v>
      </c>
      <c r="U12378" s="21" t="n">
        <v>0</v>
      </c>
      <c r="V12378" s="21" t="n">
        <v>0</v>
      </c>
      <c r="W12378" s="21" t="n">
        <v>0</v>
      </c>
      <c r="X12378" s="21" t="n">
        <v>0</v>
      </c>
      <c r="Y12378" s="21" t="n">
        <v>0</v>
      </c>
      <c r="Z12378" s="19" t="n"/>
    </row>
    <row r="12379">
      <c r="D12379" s="21" t="n">
        <v>0</v>
      </c>
      <c r="E12379" s="21" t="n">
        <v>0</v>
      </c>
      <c r="F12379" s="21" t="n">
        <v>0</v>
      </c>
      <c r="G12379" s="21" t="n">
        <v>0</v>
      </c>
      <c r="H12379" s="21">
        <f>$B$12190</f>
        <v/>
      </c>
      <c r="I12379" s="21">
        <f>$B$12192</f>
        <v/>
      </c>
      <c r="J12379" s="21">
        <f>0</f>
        <v/>
      </c>
      <c r="K12379" s="21">
        <f>2*$B$12191</f>
        <v/>
      </c>
      <c r="L12379" s="21">
        <f>-$B$12190</f>
        <v/>
      </c>
      <c r="M12379" s="21">
        <f>$B$12192</f>
        <v/>
      </c>
      <c r="N12379" s="21" t="n">
        <v>0</v>
      </c>
      <c r="O12379" s="21" t="n">
        <v>0</v>
      </c>
      <c r="P12379" s="21" t="n">
        <v>0</v>
      </c>
      <c r="Q12379" s="21" t="n">
        <v>0</v>
      </c>
      <c r="R12379" s="21" t="n">
        <v>0</v>
      </c>
      <c r="S12379" s="21" t="n">
        <v>0</v>
      </c>
      <c r="T12379" s="21" t="n">
        <v>0</v>
      </c>
      <c r="U12379" s="21" t="n">
        <v>0</v>
      </c>
      <c r="V12379" s="21" t="n">
        <v>0</v>
      </c>
      <c r="W12379" s="21" t="n">
        <v>0</v>
      </c>
      <c r="X12379" s="21" t="n">
        <v>0</v>
      </c>
      <c r="Y12379" s="21" t="n">
        <v>0</v>
      </c>
      <c r="Z12379" s="19" t="n"/>
    </row>
    <row r="12380">
      <c r="D12380" s="21" t="n">
        <v>0</v>
      </c>
      <c r="E12380" s="21" t="n">
        <v>0</v>
      </c>
      <c r="F12380" s="21" t="n">
        <v>0</v>
      </c>
      <c r="G12380" s="21" t="n">
        <v>0</v>
      </c>
      <c r="H12380" s="21" t="n">
        <v>0</v>
      </c>
      <c r="I12380" s="21" t="n">
        <v>0</v>
      </c>
      <c r="J12380" s="21">
        <f>-$B$12189</f>
        <v/>
      </c>
      <c r="K12380" s="21">
        <f>-$B$12190</f>
        <v/>
      </c>
      <c r="L12380" s="21">
        <f>2*$B$12189+$D$12364</f>
        <v/>
      </c>
      <c r="M12380" s="21">
        <f>0</f>
        <v/>
      </c>
      <c r="N12380" s="21">
        <f>-$B$12189</f>
        <v/>
      </c>
      <c r="O12380" s="21">
        <f>$B$12190</f>
        <v/>
      </c>
      <c r="P12380" s="21" t="n">
        <v>0</v>
      </c>
      <c r="Q12380" s="21" t="n">
        <v>0</v>
      </c>
      <c r="R12380" s="21" t="n">
        <v>0</v>
      </c>
      <c r="S12380" s="21" t="n">
        <v>0</v>
      </c>
      <c r="T12380" s="21" t="n">
        <v>0</v>
      </c>
      <c r="U12380" s="21" t="n">
        <v>0</v>
      </c>
      <c r="V12380" s="21" t="n">
        <v>0</v>
      </c>
      <c r="W12380" s="21" t="n">
        <v>0</v>
      </c>
      <c r="X12380" s="21" t="n">
        <v>0</v>
      </c>
      <c r="Y12380" s="21" t="n">
        <v>0</v>
      </c>
      <c r="Z12380" s="19" t="n"/>
    </row>
    <row r="12381">
      <c r="D12381" s="21" t="n">
        <v>0</v>
      </c>
      <c r="E12381" s="21" t="n">
        <v>0</v>
      </c>
      <c r="F12381" s="21" t="n">
        <v>0</v>
      </c>
      <c r="G12381" s="21" t="n">
        <v>0</v>
      </c>
      <c r="H12381" s="21" t="n">
        <v>0</v>
      </c>
      <c r="I12381" s="21" t="n">
        <v>0</v>
      </c>
      <c r="J12381" s="21">
        <f>$B$12190</f>
        <v/>
      </c>
      <c r="K12381" s="21">
        <f>$B$12192</f>
        <v/>
      </c>
      <c r="L12381" s="21">
        <f>0</f>
        <v/>
      </c>
      <c r="M12381" s="21">
        <f>2*$B$12191</f>
        <v/>
      </c>
      <c r="N12381" s="21">
        <f>-$B$12190</f>
        <v/>
      </c>
      <c r="O12381" s="21">
        <f>$B$12192</f>
        <v/>
      </c>
      <c r="P12381" s="21" t="n">
        <v>0</v>
      </c>
      <c r="Q12381" s="21" t="n">
        <v>0</v>
      </c>
      <c r="R12381" s="21" t="n">
        <v>0</v>
      </c>
      <c r="S12381" s="21" t="n">
        <v>0</v>
      </c>
      <c r="T12381" s="21" t="n">
        <v>0</v>
      </c>
      <c r="U12381" s="21" t="n">
        <v>0</v>
      </c>
      <c r="V12381" s="21" t="n">
        <v>0</v>
      </c>
      <c r="W12381" s="21" t="n">
        <v>0</v>
      </c>
      <c r="X12381" s="21" t="n">
        <v>0</v>
      </c>
      <c r="Y12381" s="21" t="n">
        <v>0</v>
      </c>
      <c r="Z12381" s="19" t="n"/>
    </row>
    <row r="12382">
      <c r="D12382" s="21" t="n">
        <v>0</v>
      </c>
      <c r="E12382" s="21" t="n">
        <v>0</v>
      </c>
      <c r="F12382" s="21" t="n">
        <v>0</v>
      </c>
      <c r="G12382" s="21" t="n">
        <v>0</v>
      </c>
      <c r="H12382" s="21" t="n">
        <v>0</v>
      </c>
      <c r="I12382" s="21" t="n">
        <v>0</v>
      </c>
      <c r="J12382" s="21" t="n">
        <v>0</v>
      </c>
      <c r="K12382" s="21" t="n">
        <v>0</v>
      </c>
      <c r="L12382" s="21">
        <f>-$B$12189</f>
        <v/>
      </c>
      <c r="M12382" s="21">
        <f>-$B$12190</f>
        <v/>
      </c>
      <c r="N12382" s="21">
        <f>2*$B$12189+$D$12365</f>
        <v/>
      </c>
      <c r="O12382" s="21">
        <f>0</f>
        <v/>
      </c>
      <c r="P12382" s="21">
        <f>-$B$12189</f>
        <v/>
      </c>
      <c r="Q12382" s="21">
        <f>$B$12190</f>
        <v/>
      </c>
      <c r="R12382" s="21" t="n">
        <v>0</v>
      </c>
      <c r="S12382" s="21" t="n">
        <v>0</v>
      </c>
      <c r="T12382" s="21" t="n">
        <v>0</v>
      </c>
      <c r="U12382" s="21" t="n">
        <v>0</v>
      </c>
      <c r="V12382" s="21" t="n">
        <v>0</v>
      </c>
      <c r="W12382" s="21" t="n">
        <v>0</v>
      </c>
      <c r="X12382" s="21" t="n">
        <v>0</v>
      </c>
      <c r="Y12382" s="21" t="n">
        <v>0</v>
      </c>
      <c r="Z12382" s="19" t="n"/>
    </row>
    <row r="12383">
      <c r="D12383" s="21" t="n">
        <v>0</v>
      </c>
      <c r="E12383" s="21" t="n">
        <v>0</v>
      </c>
      <c r="F12383" s="21" t="n">
        <v>0</v>
      </c>
      <c r="G12383" s="21" t="n">
        <v>0</v>
      </c>
      <c r="H12383" s="21" t="n">
        <v>0</v>
      </c>
      <c r="I12383" s="21" t="n">
        <v>0</v>
      </c>
      <c r="J12383" s="21" t="n">
        <v>0</v>
      </c>
      <c r="K12383" s="21" t="n">
        <v>0</v>
      </c>
      <c r="L12383" s="21">
        <f>$B$12190</f>
        <v/>
      </c>
      <c r="M12383" s="21">
        <f>$B$12192</f>
        <v/>
      </c>
      <c r="N12383" s="21">
        <f>0</f>
        <v/>
      </c>
      <c r="O12383" s="21">
        <f>2*$B$12191</f>
        <v/>
      </c>
      <c r="P12383" s="21">
        <f>-$B$12190</f>
        <v/>
      </c>
      <c r="Q12383" s="21">
        <f>$B$12192</f>
        <v/>
      </c>
      <c r="R12383" s="21" t="n">
        <v>0</v>
      </c>
      <c r="S12383" s="21" t="n">
        <v>0</v>
      </c>
      <c r="T12383" s="21" t="n">
        <v>0</v>
      </c>
      <c r="U12383" s="21" t="n">
        <v>0</v>
      </c>
      <c r="V12383" s="21" t="n">
        <v>0</v>
      </c>
      <c r="W12383" s="21" t="n">
        <v>0</v>
      </c>
      <c r="X12383" s="21" t="n">
        <v>0</v>
      </c>
      <c r="Y12383" s="21" t="n">
        <v>0</v>
      </c>
      <c r="Z12383" s="19" t="n"/>
    </row>
    <row r="12384">
      <c r="D12384" s="21" t="n">
        <v>0</v>
      </c>
      <c r="E12384" s="21" t="n">
        <v>0</v>
      </c>
      <c r="F12384" s="21" t="n">
        <v>0</v>
      </c>
      <c r="G12384" s="21" t="n">
        <v>0</v>
      </c>
      <c r="H12384" s="21" t="n">
        <v>0</v>
      </c>
      <c r="I12384" s="21" t="n">
        <v>0</v>
      </c>
      <c r="J12384" s="21" t="n">
        <v>0</v>
      </c>
      <c r="K12384" s="21" t="n">
        <v>0</v>
      </c>
      <c r="L12384" s="21" t="n">
        <v>0</v>
      </c>
      <c r="M12384" s="21" t="n">
        <v>0</v>
      </c>
      <c r="N12384" s="21">
        <f>-$B$12189</f>
        <v/>
      </c>
      <c r="O12384" s="21">
        <f>-$B$12190</f>
        <v/>
      </c>
      <c r="P12384" s="21">
        <f>2*$B$12189+$D$12366</f>
        <v/>
      </c>
      <c r="Q12384" s="21">
        <f>0</f>
        <v/>
      </c>
      <c r="R12384" s="21">
        <f>-$B$12189</f>
        <v/>
      </c>
      <c r="S12384" s="21">
        <f>$B$12190</f>
        <v/>
      </c>
      <c r="T12384" s="21" t="n">
        <v>0</v>
      </c>
      <c r="U12384" s="21" t="n">
        <v>0</v>
      </c>
      <c r="V12384" s="21" t="n">
        <v>0</v>
      </c>
      <c r="W12384" s="21" t="n">
        <v>0</v>
      </c>
      <c r="X12384" s="21" t="n">
        <v>0</v>
      </c>
      <c r="Y12384" s="21" t="n">
        <v>0</v>
      </c>
      <c r="Z12384" s="19" t="n"/>
    </row>
    <row r="12385">
      <c r="D12385" s="21" t="n">
        <v>0</v>
      </c>
      <c r="E12385" s="21" t="n">
        <v>0</v>
      </c>
      <c r="F12385" s="21" t="n">
        <v>0</v>
      </c>
      <c r="G12385" s="21" t="n">
        <v>0</v>
      </c>
      <c r="H12385" s="21" t="n">
        <v>0</v>
      </c>
      <c r="I12385" s="21" t="n">
        <v>0</v>
      </c>
      <c r="J12385" s="21" t="n">
        <v>0</v>
      </c>
      <c r="K12385" s="21" t="n">
        <v>0</v>
      </c>
      <c r="L12385" s="21" t="n">
        <v>0</v>
      </c>
      <c r="M12385" s="21" t="n">
        <v>0</v>
      </c>
      <c r="N12385" s="21">
        <f>$B$12190</f>
        <v/>
      </c>
      <c r="O12385" s="21">
        <f>$B$12192</f>
        <v/>
      </c>
      <c r="P12385" s="21">
        <f>0</f>
        <v/>
      </c>
      <c r="Q12385" s="21">
        <f>2*$B$12191</f>
        <v/>
      </c>
      <c r="R12385" s="21">
        <f>-$B$12190</f>
        <v/>
      </c>
      <c r="S12385" s="21">
        <f>$B$12192</f>
        <v/>
      </c>
      <c r="T12385" s="21" t="n">
        <v>0</v>
      </c>
      <c r="U12385" s="21" t="n">
        <v>0</v>
      </c>
      <c r="V12385" s="21" t="n">
        <v>0</v>
      </c>
      <c r="W12385" s="21" t="n">
        <v>0</v>
      </c>
      <c r="X12385" s="21" t="n">
        <v>0</v>
      </c>
      <c r="Y12385" s="21" t="n">
        <v>0</v>
      </c>
      <c r="Z12385" s="19" t="n"/>
    </row>
    <row r="12386">
      <c r="D12386" s="21" t="n">
        <v>0</v>
      </c>
      <c r="E12386" s="21" t="n">
        <v>0</v>
      </c>
      <c r="F12386" s="21" t="n">
        <v>0</v>
      </c>
      <c r="G12386" s="21" t="n">
        <v>0</v>
      </c>
      <c r="H12386" s="21" t="n">
        <v>0</v>
      </c>
      <c r="I12386" s="21" t="n">
        <v>0</v>
      </c>
      <c r="J12386" s="21" t="n">
        <v>0</v>
      </c>
      <c r="K12386" s="21" t="n">
        <v>0</v>
      </c>
      <c r="L12386" s="21" t="n">
        <v>0</v>
      </c>
      <c r="M12386" s="21" t="n">
        <v>0</v>
      </c>
      <c r="N12386" s="21" t="n">
        <v>0</v>
      </c>
      <c r="O12386" s="21" t="n">
        <v>0</v>
      </c>
      <c r="P12386" s="21">
        <f>-$B$12189</f>
        <v/>
      </c>
      <c r="Q12386" s="21">
        <f>-$B$12190</f>
        <v/>
      </c>
      <c r="R12386" s="21">
        <f>2*$B$12189+$D$12367</f>
        <v/>
      </c>
      <c r="S12386" s="21">
        <f>0</f>
        <v/>
      </c>
      <c r="T12386" s="21">
        <f>-$B$12189</f>
        <v/>
      </c>
      <c r="U12386" s="21">
        <f>$B$12190</f>
        <v/>
      </c>
      <c r="V12386" s="21" t="n">
        <v>0</v>
      </c>
      <c r="W12386" s="21" t="n">
        <v>0</v>
      </c>
      <c r="X12386" s="21" t="n">
        <v>0</v>
      </c>
      <c r="Y12386" s="21" t="n">
        <v>0</v>
      </c>
      <c r="Z12386" s="19" t="n"/>
    </row>
    <row r="12387">
      <c r="D12387" s="21" t="n">
        <v>0</v>
      </c>
      <c r="E12387" s="21" t="n">
        <v>0</v>
      </c>
      <c r="F12387" s="21" t="n">
        <v>0</v>
      </c>
      <c r="G12387" s="21" t="n">
        <v>0</v>
      </c>
      <c r="H12387" s="21" t="n">
        <v>0</v>
      </c>
      <c r="I12387" s="21" t="n">
        <v>0</v>
      </c>
      <c r="J12387" s="21" t="n">
        <v>0</v>
      </c>
      <c r="K12387" s="21" t="n">
        <v>0</v>
      </c>
      <c r="L12387" s="21" t="n">
        <v>0</v>
      </c>
      <c r="M12387" s="21" t="n">
        <v>0</v>
      </c>
      <c r="N12387" s="21" t="n">
        <v>0</v>
      </c>
      <c r="O12387" s="21" t="n">
        <v>0</v>
      </c>
      <c r="P12387" s="21">
        <f>$B$12190</f>
        <v/>
      </c>
      <c r="Q12387" s="21">
        <f>$B$12192</f>
        <v/>
      </c>
      <c r="R12387" s="21">
        <f>0</f>
        <v/>
      </c>
      <c r="S12387" s="21">
        <f>2*$B$12191</f>
        <v/>
      </c>
      <c r="T12387" s="21">
        <f>-$B$12190</f>
        <v/>
      </c>
      <c r="U12387" s="21">
        <f>$B$12192</f>
        <v/>
      </c>
      <c r="V12387" s="21" t="n">
        <v>0</v>
      </c>
      <c r="W12387" s="21" t="n">
        <v>0</v>
      </c>
      <c r="X12387" s="21" t="n">
        <v>0</v>
      </c>
      <c r="Y12387" s="21" t="n">
        <v>0</v>
      </c>
      <c r="Z12387" s="19" t="n"/>
    </row>
    <row r="12388">
      <c r="D12388" s="21" t="n">
        <v>0</v>
      </c>
      <c r="E12388" s="21" t="n">
        <v>0</v>
      </c>
      <c r="F12388" s="21" t="n">
        <v>0</v>
      </c>
      <c r="G12388" s="21" t="n">
        <v>0</v>
      </c>
      <c r="H12388" s="21" t="n">
        <v>0</v>
      </c>
      <c r="I12388" s="21" t="n">
        <v>0</v>
      </c>
      <c r="J12388" s="21" t="n">
        <v>0</v>
      </c>
      <c r="K12388" s="21" t="n">
        <v>0</v>
      </c>
      <c r="L12388" s="21" t="n">
        <v>0</v>
      </c>
      <c r="M12388" s="21" t="n">
        <v>0</v>
      </c>
      <c r="N12388" s="21" t="n">
        <v>0</v>
      </c>
      <c r="O12388" s="21" t="n">
        <v>0</v>
      </c>
      <c r="P12388" s="21" t="n">
        <v>0</v>
      </c>
      <c r="Q12388" s="21" t="n">
        <v>0</v>
      </c>
      <c r="R12388" s="21">
        <f>-$B$12189</f>
        <v/>
      </c>
      <c r="S12388" s="21">
        <f>-$B$12190</f>
        <v/>
      </c>
      <c r="T12388" s="21">
        <f>2*$B$12189+$D$12368</f>
        <v/>
      </c>
      <c r="U12388" s="21">
        <f>0</f>
        <v/>
      </c>
      <c r="V12388" s="21">
        <f>-$B$12189</f>
        <v/>
      </c>
      <c r="W12388" s="21">
        <f>$B$12190</f>
        <v/>
      </c>
      <c r="X12388" s="21" t="n">
        <v>0</v>
      </c>
      <c r="Y12388" s="21" t="n">
        <v>0</v>
      </c>
      <c r="Z12388" s="19" t="n"/>
    </row>
    <row r="12389">
      <c r="D12389" s="21" t="n">
        <v>0</v>
      </c>
      <c r="E12389" s="21" t="n">
        <v>0</v>
      </c>
      <c r="F12389" s="21" t="n">
        <v>0</v>
      </c>
      <c r="G12389" s="21" t="n">
        <v>0</v>
      </c>
      <c r="H12389" s="21" t="n">
        <v>0</v>
      </c>
      <c r="I12389" s="21" t="n">
        <v>0</v>
      </c>
      <c r="J12389" s="21" t="n">
        <v>0</v>
      </c>
      <c r="K12389" s="21" t="n">
        <v>0</v>
      </c>
      <c r="L12389" s="21" t="n">
        <v>0</v>
      </c>
      <c r="M12389" s="21" t="n">
        <v>0</v>
      </c>
      <c r="N12389" s="21" t="n">
        <v>0</v>
      </c>
      <c r="O12389" s="21" t="n">
        <v>0</v>
      </c>
      <c r="P12389" s="21" t="n">
        <v>0</v>
      </c>
      <c r="Q12389" s="21" t="n">
        <v>0</v>
      </c>
      <c r="R12389" s="21">
        <f>$B$12190</f>
        <v/>
      </c>
      <c r="S12389" s="21">
        <f>$B$12192</f>
        <v/>
      </c>
      <c r="T12389" s="21">
        <f>0</f>
        <v/>
      </c>
      <c r="U12389" s="21">
        <f>2*$B$12191</f>
        <v/>
      </c>
      <c r="V12389" s="21">
        <f>-$B$12190</f>
        <v/>
      </c>
      <c r="W12389" s="21">
        <f>$B$12192</f>
        <v/>
      </c>
      <c r="X12389" s="21" t="n">
        <v>0</v>
      </c>
      <c r="Y12389" s="21" t="n">
        <v>0</v>
      </c>
      <c r="Z12389" s="19" t="n"/>
    </row>
    <row r="12390">
      <c r="D12390" s="21" t="n">
        <v>0</v>
      </c>
      <c r="E12390" s="21" t="n">
        <v>0</v>
      </c>
      <c r="F12390" s="21" t="n">
        <v>0</v>
      </c>
      <c r="G12390" s="21" t="n">
        <v>0</v>
      </c>
      <c r="H12390" s="21" t="n">
        <v>0</v>
      </c>
      <c r="I12390" s="21" t="n">
        <v>0</v>
      </c>
      <c r="J12390" s="21" t="n">
        <v>0</v>
      </c>
      <c r="K12390" s="21" t="n">
        <v>0</v>
      </c>
      <c r="L12390" s="21" t="n">
        <v>0</v>
      </c>
      <c r="M12390" s="21" t="n">
        <v>0</v>
      </c>
      <c r="N12390" s="21" t="n">
        <v>0</v>
      </c>
      <c r="O12390" s="21" t="n">
        <v>0</v>
      </c>
      <c r="P12390" s="21" t="n">
        <v>0</v>
      </c>
      <c r="Q12390" s="21" t="n">
        <v>0</v>
      </c>
      <c r="R12390" s="21" t="n">
        <v>0</v>
      </c>
      <c r="S12390" s="21" t="n">
        <v>0</v>
      </c>
      <c r="T12390" s="21">
        <f>-$B$12189</f>
        <v/>
      </c>
      <c r="U12390" s="21">
        <f>-$B$12190</f>
        <v/>
      </c>
      <c r="V12390" s="21">
        <f>2*$B$12189+$D$12369</f>
        <v/>
      </c>
      <c r="W12390" s="21">
        <f>0</f>
        <v/>
      </c>
      <c r="X12390" s="21">
        <f>-$B$12189</f>
        <v/>
      </c>
      <c r="Y12390" s="21">
        <f>$B$12190</f>
        <v/>
      </c>
      <c r="Z12390" s="19" t="n"/>
    </row>
    <row r="12391">
      <c r="D12391" s="21" t="n">
        <v>0</v>
      </c>
      <c r="E12391" s="21" t="n">
        <v>0</v>
      </c>
      <c r="F12391" s="21" t="n">
        <v>0</v>
      </c>
      <c r="G12391" s="21" t="n">
        <v>0</v>
      </c>
      <c r="H12391" s="21" t="n">
        <v>0</v>
      </c>
      <c r="I12391" s="21" t="n">
        <v>0</v>
      </c>
      <c r="J12391" s="21" t="n">
        <v>0</v>
      </c>
      <c r="K12391" s="21" t="n">
        <v>0</v>
      </c>
      <c r="L12391" s="21" t="n">
        <v>0</v>
      </c>
      <c r="M12391" s="21" t="n">
        <v>0</v>
      </c>
      <c r="N12391" s="21" t="n">
        <v>0</v>
      </c>
      <c r="O12391" s="21" t="n">
        <v>0</v>
      </c>
      <c r="P12391" s="21" t="n">
        <v>0</v>
      </c>
      <c r="Q12391" s="21" t="n">
        <v>0</v>
      </c>
      <c r="R12391" s="21" t="n">
        <v>0</v>
      </c>
      <c r="S12391" s="21" t="n">
        <v>0</v>
      </c>
      <c r="T12391" s="21">
        <f>$B$12190</f>
        <v/>
      </c>
      <c r="U12391" s="21">
        <f>$B$12192</f>
        <v/>
      </c>
      <c r="V12391" s="21">
        <f>0</f>
        <v/>
      </c>
      <c r="W12391" s="21">
        <f>2*$B$12191</f>
        <v/>
      </c>
      <c r="X12391" s="21">
        <f>-$B$12190</f>
        <v/>
      </c>
      <c r="Y12391" s="21">
        <f>$B$12192</f>
        <v/>
      </c>
      <c r="Z12391" s="19" t="n"/>
    </row>
    <row r="12392">
      <c r="D12392" s="21" t="n">
        <v>0</v>
      </c>
      <c r="E12392" s="21" t="n">
        <v>0</v>
      </c>
      <c r="F12392" s="21" t="n">
        <v>0</v>
      </c>
      <c r="G12392" s="21" t="n">
        <v>0</v>
      </c>
      <c r="H12392" s="21" t="n">
        <v>0</v>
      </c>
      <c r="I12392" s="21" t="n">
        <v>0</v>
      </c>
      <c r="J12392" s="21" t="n">
        <v>0</v>
      </c>
      <c r="K12392" s="21" t="n">
        <v>0</v>
      </c>
      <c r="L12392" s="21" t="n">
        <v>0</v>
      </c>
      <c r="M12392" s="21" t="n">
        <v>0</v>
      </c>
      <c r="N12392" s="21" t="n">
        <v>0</v>
      </c>
      <c r="O12392" s="21" t="n">
        <v>0</v>
      </c>
      <c r="P12392" s="21" t="n">
        <v>0</v>
      </c>
      <c r="Q12392" s="21" t="n">
        <v>0</v>
      </c>
      <c r="R12392" s="21" t="n">
        <v>0</v>
      </c>
      <c r="S12392" s="21" t="n">
        <v>0</v>
      </c>
      <c r="T12392" s="21" t="n">
        <v>0</v>
      </c>
      <c r="U12392" s="21" t="n">
        <v>0</v>
      </c>
      <c r="V12392" s="21">
        <f>-$B$12189</f>
        <v/>
      </c>
      <c r="W12392" s="21">
        <f>-$B$12190</f>
        <v/>
      </c>
      <c r="X12392" s="21">
        <f>$B$12189+$D$12370</f>
        <v/>
      </c>
      <c r="Y12392" s="21">
        <f>-$B$12190</f>
        <v/>
      </c>
      <c r="Z12392" s="19" t="n"/>
    </row>
    <row r="12393">
      <c r="D12393" s="21" t="n">
        <v>0</v>
      </c>
      <c r="E12393" s="21" t="n">
        <v>0</v>
      </c>
      <c r="F12393" s="21" t="n">
        <v>0</v>
      </c>
      <c r="G12393" s="21" t="n">
        <v>0</v>
      </c>
      <c r="H12393" s="21" t="n">
        <v>0</v>
      </c>
      <c r="I12393" s="21" t="n">
        <v>0</v>
      </c>
      <c r="J12393" s="21" t="n">
        <v>0</v>
      </c>
      <c r="K12393" s="21" t="n">
        <v>0</v>
      </c>
      <c r="L12393" s="21" t="n">
        <v>0</v>
      </c>
      <c r="M12393" s="21" t="n">
        <v>0</v>
      </c>
      <c r="N12393" s="21" t="n">
        <v>0</v>
      </c>
      <c r="O12393" s="21" t="n">
        <v>0</v>
      </c>
      <c r="P12393" s="21" t="n">
        <v>0</v>
      </c>
      <c r="Q12393" s="21" t="n">
        <v>0</v>
      </c>
      <c r="R12393" s="21" t="n">
        <v>0</v>
      </c>
      <c r="S12393" s="21" t="n">
        <v>0</v>
      </c>
      <c r="T12393" s="21" t="n">
        <v>0</v>
      </c>
      <c r="U12393" s="21" t="n">
        <v>0</v>
      </c>
      <c r="V12393" s="21">
        <f>$B$12190</f>
        <v/>
      </c>
      <c r="W12393" s="21">
        <f>$B$12192</f>
        <v/>
      </c>
      <c r="X12393" s="21">
        <f>-$B$12190</f>
        <v/>
      </c>
      <c r="Y12393" s="21">
        <f>$B$12191</f>
        <v/>
      </c>
      <c r="Z12393" s="19" t="n"/>
    </row>
    <row r="12395">
      <c r="A12395" s="8" t="inlineStr">
        <is>
          <t>gen 5</t>
        </is>
      </c>
    </row>
    <row r="12396">
      <c r="D12396" s="19">
        <f>IF(ABS(IF(ABS($E$12360)&gt;0.000000001,$E$12360,0.000000001))=0,0,IF($E$12204&lt;=$B$12198,0,IF(ABS(IF(ABS($E$12360)&gt;0.000000001,$E$12360,0.000000001))&gt;=8*$B$12200,$H$12204,0.5*$H$12204*(ABS(IF(ABS($E$12360)&gt;0.000000001,$E$12360,0.000000001))/$B$12200)^(1/3)))/ABS(IF(ABS($E$12360)&gt;0.000000001,$E$12360,0.000000001))*$I$12204)</f>
        <v/>
      </c>
      <c r="E12396" s="19">
        <f>0.5*$E$12360+0.5*$Z$12408</f>
        <v/>
      </c>
      <c r="F12396" s="19">
        <f>$Z$12409</f>
        <v/>
      </c>
    </row>
    <row r="12397">
      <c r="D12397" s="19">
        <f>IF(ABS(IF(ABS($E$12361)&gt;0.000000001,$E$12361,0.000000001))=0,0,IF($E$12205&lt;=$B$12198,0,IF(ABS(IF(ABS($E$12361)&gt;0.000000001,$E$12361,0.000000001))&gt;=8*$B$12200,$H$12205,0.5*$H$12205*(ABS(IF(ABS($E$12361)&gt;0.000000001,$E$12361,0.000000001))/$B$12200)^(1/3)))/ABS(IF(ABS($E$12361)&gt;0.000000001,$E$12361,0.000000001))*$I$12205)</f>
        <v/>
      </c>
      <c r="E12397" s="19">
        <f>0.5*$E$12361+0.5*$Z$12410</f>
        <v/>
      </c>
      <c r="F12397" s="19">
        <f>$Z$12411</f>
        <v/>
      </c>
    </row>
    <row r="12398">
      <c r="D12398" s="19">
        <f>IF(ABS(IF(ABS($E$12362)&gt;0.000000001,$E$12362,0.000000001))=0,0,IF($E$12206&lt;=$B$12198,0,IF(ABS(IF(ABS($E$12362)&gt;0.000000001,$E$12362,0.000000001))&gt;=8*$B$12200,$H$12206,0.5*$H$12206*(ABS(IF(ABS($E$12362)&gt;0.000000001,$E$12362,0.000000001))/$B$12200)^(1/3)))/ABS(IF(ABS($E$12362)&gt;0.000000001,$E$12362,0.000000001))*$I$12206)</f>
        <v/>
      </c>
      <c r="E12398" s="19">
        <f>0.5*$E$12362+0.5*$Z$12412</f>
        <v/>
      </c>
      <c r="F12398" s="19">
        <f>$Z$12413</f>
        <v/>
      </c>
    </row>
    <row r="12399">
      <c r="D12399" s="19">
        <f>IF(ABS(IF(ABS($E$12363)&gt;0.000000001,$E$12363,0.000000001))=0,0,IF($E$12207&lt;=$B$12198,0,IF(ABS(IF(ABS($E$12363)&gt;0.000000001,$E$12363,0.000000001))&gt;=8*$B$12200,$H$12207,0.5*$H$12207*(ABS(IF(ABS($E$12363)&gt;0.000000001,$E$12363,0.000000001))/$B$12200)^(1/3)))/ABS(IF(ABS($E$12363)&gt;0.000000001,$E$12363,0.000000001))*$I$12207)</f>
        <v/>
      </c>
      <c r="E12399" s="19">
        <f>0.5*$E$12363+0.5*$Z$12414</f>
        <v/>
      </c>
      <c r="F12399" s="19">
        <f>$Z$12415</f>
        <v/>
      </c>
    </row>
    <row r="12400">
      <c r="D12400" s="19">
        <f>IF(ABS(IF(ABS($E$12364)&gt;0.000000001,$E$12364,0.000000001))=0,0,IF($E$12208&lt;=$B$12198,0,IF(ABS(IF(ABS($E$12364)&gt;0.000000001,$E$12364,0.000000001))&gt;=8*$B$12200,$H$12208,0.5*$H$12208*(ABS(IF(ABS($E$12364)&gt;0.000000001,$E$12364,0.000000001))/$B$12200)^(1/3)))/ABS(IF(ABS($E$12364)&gt;0.000000001,$E$12364,0.000000001))*$I$12208)</f>
        <v/>
      </c>
      <c r="E12400" s="19">
        <f>0.5*$E$12364+0.5*$Z$12416</f>
        <v/>
      </c>
      <c r="F12400" s="19">
        <f>$Z$12417</f>
        <v/>
      </c>
    </row>
    <row r="12401">
      <c r="D12401" s="19">
        <f>IF(ABS(IF(ABS($E$12365)&gt;0.000000001,$E$12365,0.000000001))=0,0,IF($E$12209&lt;=$B$12198,0,IF(ABS(IF(ABS($E$12365)&gt;0.000000001,$E$12365,0.000000001))&gt;=8*$B$12200,$H$12209,0.5*$H$12209*(ABS(IF(ABS($E$12365)&gt;0.000000001,$E$12365,0.000000001))/$B$12200)^(1/3)))/ABS(IF(ABS($E$12365)&gt;0.000000001,$E$12365,0.000000001))*$I$12209)</f>
        <v/>
      </c>
      <c r="E12401" s="19">
        <f>0.5*$E$12365+0.5*$Z$12418</f>
        <v/>
      </c>
      <c r="F12401" s="19">
        <f>$Z$12419</f>
        <v/>
      </c>
    </row>
    <row r="12402">
      <c r="D12402" s="19">
        <f>IF(ABS(IF(ABS($E$12366)&gt;0.000000001,$E$12366,0.000000001))=0,0,IF($E$12210&lt;=$B$12198,0,IF(ABS(IF(ABS($E$12366)&gt;0.000000001,$E$12366,0.000000001))&gt;=8*$B$12200,$H$12210,0.5*$H$12210*(ABS(IF(ABS($E$12366)&gt;0.000000001,$E$12366,0.000000001))/$B$12200)^(1/3)))/ABS(IF(ABS($E$12366)&gt;0.000000001,$E$12366,0.000000001))*$I$12210)</f>
        <v/>
      </c>
      <c r="E12402" s="19">
        <f>0.5*$E$12366+0.5*$Z$12420</f>
        <v/>
      </c>
      <c r="F12402" s="19">
        <f>$Z$12421</f>
        <v/>
      </c>
    </row>
    <row r="12403">
      <c r="D12403" s="19">
        <f>IF(ABS(IF(ABS($E$12367)&gt;0.000000001,$E$12367,0.000000001))=0,0,IF($E$12211&lt;=$B$12198,0,IF(ABS(IF(ABS($E$12367)&gt;0.000000001,$E$12367,0.000000001))&gt;=8*$B$12200,$H$12211,0.5*$H$12211*(ABS(IF(ABS($E$12367)&gt;0.000000001,$E$12367,0.000000001))/$B$12200)^(1/3)))/ABS(IF(ABS($E$12367)&gt;0.000000001,$E$12367,0.000000001))*$I$12211)</f>
        <v/>
      </c>
      <c r="E12403" s="19">
        <f>0.5*$E$12367+0.5*$Z$12422</f>
        <v/>
      </c>
      <c r="F12403" s="19">
        <f>$Z$12423</f>
        <v/>
      </c>
    </row>
    <row r="12404">
      <c r="D12404" s="19">
        <f>IF(ABS(IF(ABS($E$12368)&gt;0.000000001,$E$12368,0.000000001))=0,0,IF($E$12212&lt;=$B$12198,0,IF(ABS(IF(ABS($E$12368)&gt;0.000000001,$E$12368,0.000000001))&gt;=8*$B$12200,$H$12212,0.5*$H$12212*(ABS(IF(ABS($E$12368)&gt;0.000000001,$E$12368,0.000000001))/$B$12200)^(1/3)))/ABS(IF(ABS($E$12368)&gt;0.000000001,$E$12368,0.000000001))*$I$12212)</f>
        <v/>
      </c>
      <c r="E12404" s="19">
        <f>0.5*$E$12368+0.5*$Z$12424</f>
        <v/>
      </c>
      <c r="F12404" s="19">
        <f>$Z$12425</f>
        <v/>
      </c>
    </row>
    <row r="12405">
      <c r="D12405" s="19">
        <f>IF(ABS(IF(ABS($E$12369)&gt;0.000000001,$E$12369,0.000000001))=0,0,IF($E$12213&lt;=$B$12198,0,IF(ABS(IF(ABS($E$12369)&gt;0.000000001,$E$12369,0.000000001))&gt;=8*$B$12200,$H$12213,0.5*$H$12213*(ABS(IF(ABS($E$12369)&gt;0.000000001,$E$12369,0.000000001))/$B$12200)^(1/3)))/ABS(IF(ABS($E$12369)&gt;0.000000001,$E$12369,0.000000001))*$I$12213)</f>
        <v/>
      </c>
      <c r="E12405" s="19">
        <f>0.5*$E$12369+0.5*$Z$12426</f>
        <v/>
      </c>
      <c r="F12405" s="19">
        <f>$Z$12427</f>
        <v/>
      </c>
    </row>
    <row r="12406">
      <c r="D12406" s="19">
        <f>IF(ABS(IF(ABS($E$12370)&gt;0.000000001,$E$12370,0.000000001))=0,0,IF($E$12214&lt;=$B$12198,0,IF(ABS(IF(ABS($E$12370)&gt;0.000000001,$E$12370,0.000000001))&gt;=8*$B$12200,$H$12214,0.5*$H$12214*(ABS(IF(ABS($E$12370)&gt;0.000000001,$E$12370,0.000000001))/$B$12200)^(1/3)))/ABS(IF(ABS($E$12370)&gt;0.000000001,$E$12370,0.000000001))*$I$12214)</f>
        <v/>
      </c>
      <c r="E12406" s="19">
        <f>0.5*$E$12370+0.5*$Z$12428</f>
        <v/>
      </c>
      <c r="F12406" s="19">
        <f>$Z$12429</f>
        <v/>
      </c>
    </row>
    <row r="12408">
      <c r="D12408" s="21">
        <f>$B$12189+$D$12396</f>
        <v/>
      </c>
      <c r="E12408" s="21">
        <f>$B$12190</f>
        <v/>
      </c>
      <c r="F12408" s="21">
        <f>-$B$12189</f>
        <v/>
      </c>
      <c r="G12408" s="21">
        <f>$B$12190</f>
        <v/>
      </c>
      <c r="H12408" s="21" t="n">
        <v>0</v>
      </c>
      <c r="I12408" s="21" t="n">
        <v>0</v>
      </c>
      <c r="J12408" s="21" t="n">
        <v>0</v>
      </c>
      <c r="K12408" s="21" t="n">
        <v>0</v>
      </c>
      <c r="L12408" s="21" t="n">
        <v>0</v>
      </c>
      <c r="M12408" s="21" t="n">
        <v>0</v>
      </c>
      <c r="N12408" s="21" t="n">
        <v>0</v>
      </c>
      <c r="O12408" s="21" t="n">
        <v>0</v>
      </c>
      <c r="P12408" s="21" t="n">
        <v>0</v>
      </c>
      <c r="Q12408" s="21" t="n">
        <v>0</v>
      </c>
      <c r="R12408" s="21" t="n">
        <v>0</v>
      </c>
      <c r="S12408" s="21" t="n">
        <v>0</v>
      </c>
      <c r="T12408" s="21" t="n">
        <v>0</v>
      </c>
      <c r="U12408" s="21" t="n">
        <v>0</v>
      </c>
      <c r="V12408" s="21" t="n">
        <v>0</v>
      </c>
      <c r="W12408" s="21" t="n">
        <v>0</v>
      </c>
      <c r="X12408" s="21" t="n">
        <v>0</v>
      </c>
      <c r="Y12408" s="21" t="n">
        <v>0</v>
      </c>
      <c r="Z12408" s="19">
        <f t="array" ref="Z12408:Z12429">MMULT(MINVERSE($D$12408:$Y$12429),$D$12216:$D$12237)</f>
        <v/>
      </c>
    </row>
    <row r="12409">
      <c r="D12409" s="21">
        <f>$B$12190</f>
        <v/>
      </c>
      <c r="E12409" s="21">
        <f>$B$12191</f>
        <v/>
      </c>
      <c r="F12409" s="21">
        <f>-$B$12190</f>
        <v/>
      </c>
      <c r="G12409" s="21">
        <f>$B$12192</f>
        <v/>
      </c>
      <c r="H12409" s="21" t="n">
        <v>0</v>
      </c>
      <c r="I12409" s="21" t="n">
        <v>0</v>
      </c>
      <c r="J12409" s="21" t="n">
        <v>0</v>
      </c>
      <c r="K12409" s="21" t="n">
        <v>0</v>
      </c>
      <c r="L12409" s="21" t="n">
        <v>0</v>
      </c>
      <c r="M12409" s="21" t="n">
        <v>0</v>
      </c>
      <c r="N12409" s="21" t="n">
        <v>0</v>
      </c>
      <c r="O12409" s="21" t="n">
        <v>0</v>
      </c>
      <c r="P12409" s="21" t="n">
        <v>0</v>
      </c>
      <c r="Q12409" s="21" t="n">
        <v>0</v>
      </c>
      <c r="R12409" s="21" t="n">
        <v>0</v>
      </c>
      <c r="S12409" s="21" t="n">
        <v>0</v>
      </c>
      <c r="T12409" s="21" t="n">
        <v>0</v>
      </c>
      <c r="U12409" s="21" t="n">
        <v>0</v>
      </c>
      <c r="V12409" s="21" t="n">
        <v>0</v>
      </c>
      <c r="W12409" s="21" t="n">
        <v>0</v>
      </c>
      <c r="X12409" s="21" t="n">
        <v>0</v>
      </c>
      <c r="Y12409" s="21" t="n">
        <v>0</v>
      </c>
      <c r="Z12409" s="19" t="n"/>
    </row>
    <row r="12410">
      <c r="D12410" s="21">
        <f>-$B$12189</f>
        <v/>
      </c>
      <c r="E12410" s="21">
        <f>-$B$12190</f>
        <v/>
      </c>
      <c r="F12410" s="21">
        <f>2*$B$12189+$D$12397</f>
        <v/>
      </c>
      <c r="G12410" s="21">
        <f>0</f>
        <v/>
      </c>
      <c r="H12410" s="21">
        <f>-$B$12189</f>
        <v/>
      </c>
      <c r="I12410" s="21">
        <f>$B$12190</f>
        <v/>
      </c>
      <c r="J12410" s="21" t="n">
        <v>0</v>
      </c>
      <c r="K12410" s="21" t="n">
        <v>0</v>
      </c>
      <c r="L12410" s="21" t="n">
        <v>0</v>
      </c>
      <c r="M12410" s="21" t="n">
        <v>0</v>
      </c>
      <c r="N12410" s="21" t="n">
        <v>0</v>
      </c>
      <c r="O12410" s="21" t="n">
        <v>0</v>
      </c>
      <c r="P12410" s="21" t="n">
        <v>0</v>
      </c>
      <c r="Q12410" s="21" t="n">
        <v>0</v>
      </c>
      <c r="R12410" s="21" t="n">
        <v>0</v>
      </c>
      <c r="S12410" s="21" t="n">
        <v>0</v>
      </c>
      <c r="T12410" s="21" t="n">
        <v>0</v>
      </c>
      <c r="U12410" s="21" t="n">
        <v>0</v>
      </c>
      <c r="V12410" s="21" t="n">
        <v>0</v>
      </c>
      <c r="W12410" s="21" t="n">
        <v>0</v>
      </c>
      <c r="X12410" s="21" t="n">
        <v>0</v>
      </c>
      <c r="Y12410" s="21" t="n">
        <v>0</v>
      </c>
      <c r="Z12410" s="19" t="n"/>
    </row>
    <row r="12411">
      <c r="D12411" s="21">
        <f>$B$12190</f>
        <v/>
      </c>
      <c r="E12411" s="21">
        <f>$B$12192</f>
        <v/>
      </c>
      <c r="F12411" s="21">
        <f>0</f>
        <v/>
      </c>
      <c r="G12411" s="21">
        <f>2*$B$12191</f>
        <v/>
      </c>
      <c r="H12411" s="21">
        <f>-$B$12190</f>
        <v/>
      </c>
      <c r="I12411" s="21">
        <f>$B$12192</f>
        <v/>
      </c>
      <c r="J12411" s="21" t="n">
        <v>0</v>
      </c>
      <c r="K12411" s="21" t="n">
        <v>0</v>
      </c>
      <c r="L12411" s="21" t="n">
        <v>0</v>
      </c>
      <c r="M12411" s="21" t="n">
        <v>0</v>
      </c>
      <c r="N12411" s="21" t="n">
        <v>0</v>
      </c>
      <c r="O12411" s="21" t="n">
        <v>0</v>
      </c>
      <c r="P12411" s="21" t="n">
        <v>0</v>
      </c>
      <c r="Q12411" s="21" t="n">
        <v>0</v>
      </c>
      <c r="R12411" s="21" t="n">
        <v>0</v>
      </c>
      <c r="S12411" s="21" t="n">
        <v>0</v>
      </c>
      <c r="T12411" s="21" t="n">
        <v>0</v>
      </c>
      <c r="U12411" s="21" t="n">
        <v>0</v>
      </c>
      <c r="V12411" s="21" t="n">
        <v>0</v>
      </c>
      <c r="W12411" s="21" t="n">
        <v>0</v>
      </c>
      <c r="X12411" s="21" t="n">
        <v>0</v>
      </c>
      <c r="Y12411" s="21" t="n">
        <v>0</v>
      </c>
      <c r="Z12411" s="19" t="n"/>
    </row>
    <row r="12412">
      <c r="D12412" s="21" t="n">
        <v>0</v>
      </c>
      <c r="E12412" s="21" t="n">
        <v>0</v>
      </c>
      <c r="F12412" s="21">
        <f>-$B$12189</f>
        <v/>
      </c>
      <c r="G12412" s="21">
        <f>-$B$12190</f>
        <v/>
      </c>
      <c r="H12412" s="21">
        <f>2*$B$12189+$D$12398</f>
        <v/>
      </c>
      <c r="I12412" s="21">
        <f>0</f>
        <v/>
      </c>
      <c r="J12412" s="21">
        <f>-$B$12189</f>
        <v/>
      </c>
      <c r="K12412" s="21">
        <f>$B$12190</f>
        <v/>
      </c>
      <c r="L12412" s="21" t="n">
        <v>0</v>
      </c>
      <c r="M12412" s="21" t="n">
        <v>0</v>
      </c>
      <c r="N12412" s="21" t="n">
        <v>0</v>
      </c>
      <c r="O12412" s="21" t="n">
        <v>0</v>
      </c>
      <c r="P12412" s="21" t="n">
        <v>0</v>
      </c>
      <c r="Q12412" s="21" t="n">
        <v>0</v>
      </c>
      <c r="R12412" s="21" t="n">
        <v>0</v>
      </c>
      <c r="S12412" s="21" t="n">
        <v>0</v>
      </c>
      <c r="T12412" s="21" t="n">
        <v>0</v>
      </c>
      <c r="U12412" s="21" t="n">
        <v>0</v>
      </c>
      <c r="V12412" s="21" t="n">
        <v>0</v>
      </c>
      <c r="W12412" s="21" t="n">
        <v>0</v>
      </c>
      <c r="X12412" s="21" t="n">
        <v>0</v>
      </c>
      <c r="Y12412" s="21" t="n">
        <v>0</v>
      </c>
      <c r="Z12412" s="19" t="n"/>
    </row>
    <row r="12413">
      <c r="D12413" s="21" t="n">
        <v>0</v>
      </c>
      <c r="E12413" s="21" t="n">
        <v>0</v>
      </c>
      <c r="F12413" s="21">
        <f>$B$12190</f>
        <v/>
      </c>
      <c r="G12413" s="21">
        <f>$B$12192</f>
        <v/>
      </c>
      <c r="H12413" s="21">
        <f>0</f>
        <v/>
      </c>
      <c r="I12413" s="21">
        <f>2*$B$12191</f>
        <v/>
      </c>
      <c r="J12413" s="21">
        <f>-$B$12190</f>
        <v/>
      </c>
      <c r="K12413" s="21">
        <f>$B$12192</f>
        <v/>
      </c>
      <c r="L12413" s="21" t="n">
        <v>0</v>
      </c>
      <c r="M12413" s="21" t="n">
        <v>0</v>
      </c>
      <c r="N12413" s="21" t="n">
        <v>0</v>
      </c>
      <c r="O12413" s="21" t="n">
        <v>0</v>
      </c>
      <c r="P12413" s="21" t="n">
        <v>0</v>
      </c>
      <c r="Q12413" s="21" t="n">
        <v>0</v>
      </c>
      <c r="R12413" s="21" t="n">
        <v>0</v>
      </c>
      <c r="S12413" s="21" t="n">
        <v>0</v>
      </c>
      <c r="T12413" s="21" t="n">
        <v>0</v>
      </c>
      <c r="U12413" s="21" t="n">
        <v>0</v>
      </c>
      <c r="V12413" s="21" t="n">
        <v>0</v>
      </c>
      <c r="W12413" s="21" t="n">
        <v>0</v>
      </c>
      <c r="X12413" s="21" t="n">
        <v>0</v>
      </c>
      <c r="Y12413" s="21" t="n">
        <v>0</v>
      </c>
      <c r="Z12413" s="19" t="n"/>
    </row>
    <row r="12414">
      <c r="D12414" s="21" t="n">
        <v>0</v>
      </c>
      <c r="E12414" s="21" t="n">
        <v>0</v>
      </c>
      <c r="F12414" s="21" t="n">
        <v>0</v>
      </c>
      <c r="G12414" s="21" t="n">
        <v>0</v>
      </c>
      <c r="H12414" s="21">
        <f>-$B$12189</f>
        <v/>
      </c>
      <c r="I12414" s="21">
        <f>-$B$12190</f>
        <v/>
      </c>
      <c r="J12414" s="21">
        <f>2*$B$12189+$D$12399</f>
        <v/>
      </c>
      <c r="K12414" s="21">
        <f>0</f>
        <v/>
      </c>
      <c r="L12414" s="21">
        <f>-$B$12189</f>
        <v/>
      </c>
      <c r="M12414" s="21">
        <f>$B$12190</f>
        <v/>
      </c>
      <c r="N12414" s="21" t="n">
        <v>0</v>
      </c>
      <c r="O12414" s="21" t="n">
        <v>0</v>
      </c>
      <c r="P12414" s="21" t="n">
        <v>0</v>
      </c>
      <c r="Q12414" s="21" t="n">
        <v>0</v>
      </c>
      <c r="R12414" s="21" t="n">
        <v>0</v>
      </c>
      <c r="S12414" s="21" t="n">
        <v>0</v>
      </c>
      <c r="T12414" s="21" t="n">
        <v>0</v>
      </c>
      <c r="U12414" s="21" t="n">
        <v>0</v>
      </c>
      <c r="V12414" s="21" t="n">
        <v>0</v>
      </c>
      <c r="W12414" s="21" t="n">
        <v>0</v>
      </c>
      <c r="X12414" s="21" t="n">
        <v>0</v>
      </c>
      <c r="Y12414" s="21" t="n">
        <v>0</v>
      </c>
      <c r="Z12414" s="19" t="n"/>
    </row>
    <row r="12415">
      <c r="D12415" s="21" t="n">
        <v>0</v>
      </c>
      <c r="E12415" s="21" t="n">
        <v>0</v>
      </c>
      <c r="F12415" s="21" t="n">
        <v>0</v>
      </c>
      <c r="G12415" s="21" t="n">
        <v>0</v>
      </c>
      <c r="H12415" s="21">
        <f>$B$12190</f>
        <v/>
      </c>
      <c r="I12415" s="21">
        <f>$B$12192</f>
        <v/>
      </c>
      <c r="J12415" s="21">
        <f>0</f>
        <v/>
      </c>
      <c r="K12415" s="21">
        <f>2*$B$12191</f>
        <v/>
      </c>
      <c r="L12415" s="21">
        <f>-$B$12190</f>
        <v/>
      </c>
      <c r="M12415" s="21">
        <f>$B$12192</f>
        <v/>
      </c>
      <c r="N12415" s="21" t="n">
        <v>0</v>
      </c>
      <c r="O12415" s="21" t="n">
        <v>0</v>
      </c>
      <c r="P12415" s="21" t="n">
        <v>0</v>
      </c>
      <c r="Q12415" s="21" t="n">
        <v>0</v>
      </c>
      <c r="R12415" s="21" t="n">
        <v>0</v>
      </c>
      <c r="S12415" s="21" t="n">
        <v>0</v>
      </c>
      <c r="T12415" s="21" t="n">
        <v>0</v>
      </c>
      <c r="U12415" s="21" t="n">
        <v>0</v>
      </c>
      <c r="V12415" s="21" t="n">
        <v>0</v>
      </c>
      <c r="W12415" s="21" t="n">
        <v>0</v>
      </c>
      <c r="X12415" s="21" t="n">
        <v>0</v>
      </c>
      <c r="Y12415" s="21" t="n">
        <v>0</v>
      </c>
      <c r="Z12415" s="19" t="n"/>
    </row>
    <row r="12416">
      <c r="D12416" s="21" t="n">
        <v>0</v>
      </c>
      <c r="E12416" s="21" t="n">
        <v>0</v>
      </c>
      <c r="F12416" s="21" t="n">
        <v>0</v>
      </c>
      <c r="G12416" s="21" t="n">
        <v>0</v>
      </c>
      <c r="H12416" s="21" t="n">
        <v>0</v>
      </c>
      <c r="I12416" s="21" t="n">
        <v>0</v>
      </c>
      <c r="J12416" s="21">
        <f>-$B$12189</f>
        <v/>
      </c>
      <c r="K12416" s="21">
        <f>-$B$12190</f>
        <v/>
      </c>
      <c r="L12416" s="21">
        <f>2*$B$12189+$D$12400</f>
        <v/>
      </c>
      <c r="M12416" s="21">
        <f>0</f>
        <v/>
      </c>
      <c r="N12416" s="21">
        <f>-$B$12189</f>
        <v/>
      </c>
      <c r="O12416" s="21">
        <f>$B$12190</f>
        <v/>
      </c>
      <c r="P12416" s="21" t="n">
        <v>0</v>
      </c>
      <c r="Q12416" s="21" t="n">
        <v>0</v>
      </c>
      <c r="R12416" s="21" t="n">
        <v>0</v>
      </c>
      <c r="S12416" s="21" t="n">
        <v>0</v>
      </c>
      <c r="T12416" s="21" t="n">
        <v>0</v>
      </c>
      <c r="U12416" s="21" t="n">
        <v>0</v>
      </c>
      <c r="V12416" s="21" t="n">
        <v>0</v>
      </c>
      <c r="W12416" s="21" t="n">
        <v>0</v>
      </c>
      <c r="X12416" s="21" t="n">
        <v>0</v>
      </c>
      <c r="Y12416" s="21" t="n">
        <v>0</v>
      </c>
      <c r="Z12416" s="19" t="n"/>
    </row>
    <row r="12417">
      <c r="D12417" s="21" t="n">
        <v>0</v>
      </c>
      <c r="E12417" s="21" t="n">
        <v>0</v>
      </c>
      <c r="F12417" s="21" t="n">
        <v>0</v>
      </c>
      <c r="G12417" s="21" t="n">
        <v>0</v>
      </c>
      <c r="H12417" s="21" t="n">
        <v>0</v>
      </c>
      <c r="I12417" s="21" t="n">
        <v>0</v>
      </c>
      <c r="J12417" s="21">
        <f>$B$12190</f>
        <v/>
      </c>
      <c r="K12417" s="21">
        <f>$B$12192</f>
        <v/>
      </c>
      <c r="L12417" s="21">
        <f>0</f>
        <v/>
      </c>
      <c r="M12417" s="21">
        <f>2*$B$12191</f>
        <v/>
      </c>
      <c r="N12417" s="21">
        <f>-$B$12190</f>
        <v/>
      </c>
      <c r="O12417" s="21">
        <f>$B$12192</f>
        <v/>
      </c>
      <c r="P12417" s="21" t="n">
        <v>0</v>
      </c>
      <c r="Q12417" s="21" t="n">
        <v>0</v>
      </c>
      <c r="R12417" s="21" t="n">
        <v>0</v>
      </c>
      <c r="S12417" s="21" t="n">
        <v>0</v>
      </c>
      <c r="T12417" s="21" t="n">
        <v>0</v>
      </c>
      <c r="U12417" s="21" t="n">
        <v>0</v>
      </c>
      <c r="V12417" s="21" t="n">
        <v>0</v>
      </c>
      <c r="W12417" s="21" t="n">
        <v>0</v>
      </c>
      <c r="X12417" s="21" t="n">
        <v>0</v>
      </c>
      <c r="Y12417" s="21" t="n">
        <v>0</v>
      </c>
      <c r="Z12417" s="19" t="n"/>
    </row>
    <row r="12418">
      <c r="D12418" s="21" t="n">
        <v>0</v>
      </c>
      <c r="E12418" s="21" t="n">
        <v>0</v>
      </c>
      <c r="F12418" s="21" t="n">
        <v>0</v>
      </c>
      <c r="G12418" s="21" t="n">
        <v>0</v>
      </c>
      <c r="H12418" s="21" t="n">
        <v>0</v>
      </c>
      <c r="I12418" s="21" t="n">
        <v>0</v>
      </c>
      <c r="J12418" s="21" t="n">
        <v>0</v>
      </c>
      <c r="K12418" s="21" t="n">
        <v>0</v>
      </c>
      <c r="L12418" s="21">
        <f>-$B$12189</f>
        <v/>
      </c>
      <c r="M12418" s="21">
        <f>-$B$12190</f>
        <v/>
      </c>
      <c r="N12418" s="21">
        <f>2*$B$12189+$D$12401</f>
        <v/>
      </c>
      <c r="O12418" s="21">
        <f>0</f>
        <v/>
      </c>
      <c r="P12418" s="21">
        <f>-$B$12189</f>
        <v/>
      </c>
      <c r="Q12418" s="21">
        <f>$B$12190</f>
        <v/>
      </c>
      <c r="R12418" s="21" t="n">
        <v>0</v>
      </c>
      <c r="S12418" s="21" t="n">
        <v>0</v>
      </c>
      <c r="T12418" s="21" t="n">
        <v>0</v>
      </c>
      <c r="U12418" s="21" t="n">
        <v>0</v>
      </c>
      <c r="V12418" s="21" t="n">
        <v>0</v>
      </c>
      <c r="W12418" s="21" t="n">
        <v>0</v>
      </c>
      <c r="X12418" s="21" t="n">
        <v>0</v>
      </c>
      <c r="Y12418" s="21" t="n">
        <v>0</v>
      </c>
      <c r="Z12418" s="19" t="n"/>
    </row>
    <row r="12419">
      <c r="D12419" s="21" t="n">
        <v>0</v>
      </c>
      <c r="E12419" s="21" t="n">
        <v>0</v>
      </c>
      <c r="F12419" s="21" t="n">
        <v>0</v>
      </c>
      <c r="G12419" s="21" t="n">
        <v>0</v>
      </c>
      <c r="H12419" s="21" t="n">
        <v>0</v>
      </c>
      <c r="I12419" s="21" t="n">
        <v>0</v>
      </c>
      <c r="J12419" s="21" t="n">
        <v>0</v>
      </c>
      <c r="K12419" s="21" t="n">
        <v>0</v>
      </c>
      <c r="L12419" s="21">
        <f>$B$12190</f>
        <v/>
      </c>
      <c r="M12419" s="21">
        <f>$B$12192</f>
        <v/>
      </c>
      <c r="N12419" s="21">
        <f>0</f>
        <v/>
      </c>
      <c r="O12419" s="21">
        <f>2*$B$12191</f>
        <v/>
      </c>
      <c r="P12419" s="21">
        <f>-$B$12190</f>
        <v/>
      </c>
      <c r="Q12419" s="21">
        <f>$B$12192</f>
        <v/>
      </c>
      <c r="R12419" s="21" t="n">
        <v>0</v>
      </c>
      <c r="S12419" s="21" t="n">
        <v>0</v>
      </c>
      <c r="T12419" s="21" t="n">
        <v>0</v>
      </c>
      <c r="U12419" s="21" t="n">
        <v>0</v>
      </c>
      <c r="V12419" s="21" t="n">
        <v>0</v>
      </c>
      <c r="W12419" s="21" t="n">
        <v>0</v>
      </c>
      <c r="X12419" s="21" t="n">
        <v>0</v>
      </c>
      <c r="Y12419" s="21" t="n">
        <v>0</v>
      </c>
      <c r="Z12419" s="19" t="n"/>
    </row>
    <row r="12420">
      <c r="D12420" s="21" t="n">
        <v>0</v>
      </c>
      <c r="E12420" s="21" t="n">
        <v>0</v>
      </c>
      <c r="F12420" s="21" t="n">
        <v>0</v>
      </c>
      <c r="G12420" s="21" t="n">
        <v>0</v>
      </c>
      <c r="H12420" s="21" t="n">
        <v>0</v>
      </c>
      <c r="I12420" s="21" t="n">
        <v>0</v>
      </c>
      <c r="J12420" s="21" t="n">
        <v>0</v>
      </c>
      <c r="K12420" s="21" t="n">
        <v>0</v>
      </c>
      <c r="L12420" s="21" t="n">
        <v>0</v>
      </c>
      <c r="M12420" s="21" t="n">
        <v>0</v>
      </c>
      <c r="N12420" s="21">
        <f>-$B$12189</f>
        <v/>
      </c>
      <c r="O12420" s="21">
        <f>-$B$12190</f>
        <v/>
      </c>
      <c r="P12420" s="21">
        <f>2*$B$12189+$D$12402</f>
        <v/>
      </c>
      <c r="Q12420" s="21">
        <f>0</f>
        <v/>
      </c>
      <c r="R12420" s="21">
        <f>-$B$12189</f>
        <v/>
      </c>
      <c r="S12420" s="21">
        <f>$B$12190</f>
        <v/>
      </c>
      <c r="T12420" s="21" t="n">
        <v>0</v>
      </c>
      <c r="U12420" s="21" t="n">
        <v>0</v>
      </c>
      <c r="V12420" s="21" t="n">
        <v>0</v>
      </c>
      <c r="W12420" s="21" t="n">
        <v>0</v>
      </c>
      <c r="X12420" s="21" t="n">
        <v>0</v>
      </c>
      <c r="Y12420" s="21" t="n">
        <v>0</v>
      </c>
      <c r="Z12420" s="19" t="n"/>
    </row>
    <row r="12421">
      <c r="D12421" s="21" t="n">
        <v>0</v>
      </c>
      <c r="E12421" s="21" t="n">
        <v>0</v>
      </c>
      <c r="F12421" s="21" t="n">
        <v>0</v>
      </c>
      <c r="G12421" s="21" t="n">
        <v>0</v>
      </c>
      <c r="H12421" s="21" t="n">
        <v>0</v>
      </c>
      <c r="I12421" s="21" t="n">
        <v>0</v>
      </c>
      <c r="J12421" s="21" t="n">
        <v>0</v>
      </c>
      <c r="K12421" s="21" t="n">
        <v>0</v>
      </c>
      <c r="L12421" s="21" t="n">
        <v>0</v>
      </c>
      <c r="M12421" s="21" t="n">
        <v>0</v>
      </c>
      <c r="N12421" s="21">
        <f>$B$12190</f>
        <v/>
      </c>
      <c r="O12421" s="21">
        <f>$B$12192</f>
        <v/>
      </c>
      <c r="P12421" s="21">
        <f>0</f>
        <v/>
      </c>
      <c r="Q12421" s="21">
        <f>2*$B$12191</f>
        <v/>
      </c>
      <c r="R12421" s="21">
        <f>-$B$12190</f>
        <v/>
      </c>
      <c r="S12421" s="21">
        <f>$B$12192</f>
        <v/>
      </c>
      <c r="T12421" s="21" t="n">
        <v>0</v>
      </c>
      <c r="U12421" s="21" t="n">
        <v>0</v>
      </c>
      <c r="V12421" s="21" t="n">
        <v>0</v>
      </c>
      <c r="W12421" s="21" t="n">
        <v>0</v>
      </c>
      <c r="X12421" s="21" t="n">
        <v>0</v>
      </c>
      <c r="Y12421" s="21" t="n">
        <v>0</v>
      </c>
      <c r="Z12421" s="19" t="n"/>
    </row>
    <row r="12422">
      <c r="D12422" s="21" t="n">
        <v>0</v>
      </c>
      <c r="E12422" s="21" t="n">
        <v>0</v>
      </c>
      <c r="F12422" s="21" t="n">
        <v>0</v>
      </c>
      <c r="G12422" s="21" t="n">
        <v>0</v>
      </c>
      <c r="H12422" s="21" t="n">
        <v>0</v>
      </c>
      <c r="I12422" s="21" t="n">
        <v>0</v>
      </c>
      <c r="J12422" s="21" t="n">
        <v>0</v>
      </c>
      <c r="K12422" s="21" t="n">
        <v>0</v>
      </c>
      <c r="L12422" s="21" t="n">
        <v>0</v>
      </c>
      <c r="M12422" s="21" t="n">
        <v>0</v>
      </c>
      <c r="N12422" s="21" t="n">
        <v>0</v>
      </c>
      <c r="O12422" s="21" t="n">
        <v>0</v>
      </c>
      <c r="P12422" s="21">
        <f>-$B$12189</f>
        <v/>
      </c>
      <c r="Q12422" s="21">
        <f>-$B$12190</f>
        <v/>
      </c>
      <c r="R12422" s="21">
        <f>2*$B$12189+$D$12403</f>
        <v/>
      </c>
      <c r="S12422" s="21">
        <f>0</f>
        <v/>
      </c>
      <c r="T12422" s="21">
        <f>-$B$12189</f>
        <v/>
      </c>
      <c r="U12422" s="21">
        <f>$B$12190</f>
        <v/>
      </c>
      <c r="V12422" s="21" t="n">
        <v>0</v>
      </c>
      <c r="W12422" s="21" t="n">
        <v>0</v>
      </c>
      <c r="X12422" s="21" t="n">
        <v>0</v>
      </c>
      <c r="Y12422" s="21" t="n">
        <v>0</v>
      </c>
      <c r="Z12422" s="19" t="n"/>
    </row>
    <row r="12423">
      <c r="D12423" s="21" t="n">
        <v>0</v>
      </c>
      <c r="E12423" s="21" t="n">
        <v>0</v>
      </c>
      <c r="F12423" s="21" t="n">
        <v>0</v>
      </c>
      <c r="G12423" s="21" t="n">
        <v>0</v>
      </c>
      <c r="H12423" s="21" t="n">
        <v>0</v>
      </c>
      <c r="I12423" s="21" t="n">
        <v>0</v>
      </c>
      <c r="J12423" s="21" t="n">
        <v>0</v>
      </c>
      <c r="K12423" s="21" t="n">
        <v>0</v>
      </c>
      <c r="L12423" s="21" t="n">
        <v>0</v>
      </c>
      <c r="M12423" s="21" t="n">
        <v>0</v>
      </c>
      <c r="N12423" s="21" t="n">
        <v>0</v>
      </c>
      <c r="O12423" s="21" t="n">
        <v>0</v>
      </c>
      <c r="P12423" s="21">
        <f>$B$12190</f>
        <v/>
      </c>
      <c r="Q12423" s="21">
        <f>$B$12192</f>
        <v/>
      </c>
      <c r="R12423" s="21">
        <f>0</f>
        <v/>
      </c>
      <c r="S12423" s="21">
        <f>2*$B$12191</f>
        <v/>
      </c>
      <c r="T12423" s="21">
        <f>-$B$12190</f>
        <v/>
      </c>
      <c r="U12423" s="21">
        <f>$B$12192</f>
        <v/>
      </c>
      <c r="V12423" s="21" t="n">
        <v>0</v>
      </c>
      <c r="W12423" s="21" t="n">
        <v>0</v>
      </c>
      <c r="X12423" s="21" t="n">
        <v>0</v>
      </c>
      <c r="Y12423" s="21" t="n">
        <v>0</v>
      </c>
      <c r="Z12423" s="19" t="n"/>
    </row>
    <row r="12424">
      <c r="D12424" s="21" t="n">
        <v>0</v>
      </c>
      <c r="E12424" s="21" t="n">
        <v>0</v>
      </c>
      <c r="F12424" s="21" t="n">
        <v>0</v>
      </c>
      <c r="G12424" s="21" t="n">
        <v>0</v>
      </c>
      <c r="H12424" s="21" t="n">
        <v>0</v>
      </c>
      <c r="I12424" s="21" t="n">
        <v>0</v>
      </c>
      <c r="J12424" s="21" t="n">
        <v>0</v>
      </c>
      <c r="K12424" s="21" t="n">
        <v>0</v>
      </c>
      <c r="L12424" s="21" t="n">
        <v>0</v>
      </c>
      <c r="M12424" s="21" t="n">
        <v>0</v>
      </c>
      <c r="N12424" s="21" t="n">
        <v>0</v>
      </c>
      <c r="O12424" s="21" t="n">
        <v>0</v>
      </c>
      <c r="P12424" s="21" t="n">
        <v>0</v>
      </c>
      <c r="Q12424" s="21" t="n">
        <v>0</v>
      </c>
      <c r="R12424" s="21">
        <f>-$B$12189</f>
        <v/>
      </c>
      <c r="S12424" s="21">
        <f>-$B$12190</f>
        <v/>
      </c>
      <c r="T12424" s="21">
        <f>2*$B$12189+$D$12404</f>
        <v/>
      </c>
      <c r="U12424" s="21">
        <f>0</f>
        <v/>
      </c>
      <c r="V12424" s="21">
        <f>-$B$12189</f>
        <v/>
      </c>
      <c r="W12424" s="21">
        <f>$B$12190</f>
        <v/>
      </c>
      <c r="X12424" s="21" t="n">
        <v>0</v>
      </c>
      <c r="Y12424" s="21" t="n">
        <v>0</v>
      </c>
      <c r="Z12424" s="19" t="n"/>
    </row>
    <row r="12425">
      <c r="D12425" s="21" t="n">
        <v>0</v>
      </c>
      <c r="E12425" s="21" t="n">
        <v>0</v>
      </c>
      <c r="F12425" s="21" t="n">
        <v>0</v>
      </c>
      <c r="G12425" s="21" t="n">
        <v>0</v>
      </c>
      <c r="H12425" s="21" t="n">
        <v>0</v>
      </c>
      <c r="I12425" s="21" t="n">
        <v>0</v>
      </c>
      <c r="J12425" s="21" t="n">
        <v>0</v>
      </c>
      <c r="K12425" s="21" t="n">
        <v>0</v>
      </c>
      <c r="L12425" s="21" t="n">
        <v>0</v>
      </c>
      <c r="M12425" s="21" t="n">
        <v>0</v>
      </c>
      <c r="N12425" s="21" t="n">
        <v>0</v>
      </c>
      <c r="O12425" s="21" t="n">
        <v>0</v>
      </c>
      <c r="P12425" s="21" t="n">
        <v>0</v>
      </c>
      <c r="Q12425" s="21" t="n">
        <v>0</v>
      </c>
      <c r="R12425" s="21">
        <f>$B$12190</f>
        <v/>
      </c>
      <c r="S12425" s="21">
        <f>$B$12192</f>
        <v/>
      </c>
      <c r="T12425" s="21">
        <f>0</f>
        <v/>
      </c>
      <c r="U12425" s="21">
        <f>2*$B$12191</f>
        <v/>
      </c>
      <c r="V12425" s="21">
        <f>-$B$12190</f>
        <v/>
      </c>
      <c r="W12425" s="21">
        <f>$B$12192</f>
        <v/>
      </c>
      <c r="X12425" s="21" t="n">
        <v>0</v>
      </c>
      <c r="Y12425" s="21" t="n">
        <v>0</v>
      </c>
      <c r="Z12425" s="19" t="n"/>
    </row>
    <row r="12426">
      <c r="D12426" s="21" t="n">
        <v>0</v>
      </c>
      <c r="E12426" s="21" t="n">
        <v>0</v>
      </c>
      <c r="F12426" s="21" t="n">
        <v>0</v>
      </c>
      <c r="G12426" s="21" t="n">
        <v>0</v>
      </c>
      <c r="H12426" s="21" t="n">
        <v>0</v>
      </c>
      <c r="I12426" s="21" t="n">
        <v>0</v>
      </c>
      <c r="J12426" s="21" t="n">
        <v>0</v>
      </c>
      <c r="K12426" s="21" t="n">
        <v>0</v>
      </c>
      <c r="L12426" s="21" t="n">
        <v>0</v>
      </c>
      <c r="M12426" s="21" t="n">
        <v>0</v>
      </c>
      <c r="N12426" s="21" t="n">
        <v>0</v>
      </c>
      <c r="O12426" s="21" t="n">
        <v>0</v>
      </c>
      <c r="P12426" s="21" t="n">
        <v>0</v>
      </c>
      <c r="Q12426" s="21" t="n">
        <v>0</v>
      </c>
      <c r="R12426" s="21" t="n">
        <v>0</v>
      </c>
      <c r="S12426" s="21" t="n">
        <v>0</v>
      </c>
      <c r="T12426" s="21">
        <f>-$B$12189</f>
        <v/>
      </c>
      <c r="U12426" s="21">
        <f>-$B$12190</f>
        <v/>
      </c>
      <c r="V12426" s="21">
        <f>2*$B$12189+$D$12405</f>
        <v/>
      </c>
      <c r="W12426" s="21">
        <f>0</f>
        <v/>
      </c>
      <c r="X12426" s="21">
        <f>-$B$12189</f>
        <v/>
      </c>
      <c r="Y12426" s="21">
        <f>$B$12190</f>
        <v/>
      </c>
      <c r="Z12426" s="19" t="n"/>
    </row>
    <row r="12427">
      <c r="D12427" s="21" t="n">
        <v>0</v>
      </c>
      <c r="E12427" s="21" t="n">
        <v>0</v>
      </c>
      <c r="F12427" s="21" t="n">
        <v>0</v>
      </c>
      <c r="G12427" s="21" t="n">
        <v>0</v>
      </c>
      <c r="H12427" s="21" t="n">
        <v>0</v>
      </c>
      <c r="I12427" s="21" t="n">
        <v>0</v>
      </c>
      <c r="J12427" s="21" t="n">
        <v>0</v>
      </c>
      <c r="K12427" s="21" t="n">
        <v>0</v>
      </c>
      <c r="L12427" s="21" t="n">
        <v>0</v>
      </c>
      <c r="M12427" s="21" t="n">
        <v>0</v>
      </c>
      <c r="N12427" s="21" t="n">
        <v>0</v>
      </c>
      <c r="O12427" s="21" t="n">
        <v>0</v>
      </c>
      <c r="P12427" s="21" t="n">
        <v>0</v>
      </c>
      <c r="Q12427" s="21" t="n">
        <v>0</v>
      </c>
      <c r="R12427" s="21" t="n">
        <v>0</v>
      </c>
      <c r="S12427" s="21" t="n">
        <v>0</v>
      </c>
      <c r="T12427" s="21">
        <f>$B$12190</f>
        <v/>
      </c>
      <c r="U12427" s="21">
        <f>$B$12192</f>
        <v/>
      </c>
      <c r="V12427" s="21">
        <f>0</f>
        <v/>
      </c>
      <c r="W12427" s="21">
        <f>2*$B$12191</f>
        <v/>
      </c>
      <c r="X12427" s="21">
        <f>-$B$12190</f>
        <v/>
      </c>
      <c r="Y12427" s="21">
        <f>$B$12192</f>
        <v/>
      </c>
      <c r="Z12427" s="19" t="n"/>
    </row>
    <row r="12428">
      <c r="D12428" s="21" t="n">
        <v>0</v>
      </c>
      <c r="E12428" s="21" t="n">
        <v>0</v>
      </c>
      <c r="F12428" s="21" t="n">
        <v>0</v>
      </c>
      <c r="G12428" s="21" t="n">
        <v>0</v>
      </c>
      <c r="H12428" s="21" t="n">
        <v>0</v>
      </c>
      <c r="I12428" s="21" t="n">
        <v>0</v>
      </c>
      <c r="J12428" s="21" t="n">
        <v>0</v>
      </c>
      <c r="K12428" s="21" t="n">
        <v>0</v>
      </c>
      <c r="L12428" s="21" t="n">
        <v>0</v>
      </c>
      <c r="M12428" s="21" t="n">
        <v>0</v>
      </c>
      <c r="N12428" s="21" t="n">
        <v>0</v>
      </c>
      <c r="O12428" s="21" t="n">
        <v>0</v>
      </c>
      <c r="P12428" s="21" t="n">
        <v>0</v>
      </c>
      <c r="Q12428" s="21" t="n">
        <v>0</v>
      </c>
      <c r="R12428" s="21" t="n">
        <v>0</v>
      </c>
      <c r="S12428" s="21" t="n">
        <v>0</v>
      </c>
      <c r="T12428" s="21" t="n">
        <v>0</v>
      </c>
      <c r="U12428" s="21" t="n">
        <v>0</v>
      </c>
      <c r="V12428" s="21">
        <f>-$B$12189</f>
        <v/>
      </c>
      <c r="W12428" s="21">
        <f>-$B$12190</f>
        <v/>
      </c>
      <c r="X12428" s="21">
        <f>$B$12189+$D$12406</f>
        <v/>
      </c>
      <c r="Y12428" s="21">
        <f>-$B$12190</f>
        <v/>
      </c>
      <c r="Z12428" s="19" t="n"/>
    </row>
    <row r="12429">
      <c r="D12429" s="21" t="n">
        <v>0</v>
      </c>
      <c r="E12429" s="21" t="n">
        <v>0</v>
      </c>
      <c r="F12429" s="21" t="n">
        <v>0</v>
      </c>
      <c r="G12429" s="21" t="n">
        <v>0</v>
      </c>
      <c r="H12429" s="21" t="n">
        <v>0</v>
      </c>
      <c r="I12429" s="21" t="n">
        <v>0</v>
      </c>
      <c r="J12429" s="21" t="n">
        <v>0</v>
      </c>
      <c r="K12429" s="21" t="n">
        <v>0</v>
      </c>
      <c r="L12429" s="21" t="n">
        <v>0</v>
      </c>
      <c r="M12429" s="21" t="n">
        <v>0</v>
      </c>
      <c r="N12429" s="21" t="n">
        <v>0</v>
      </c>
      <c r="O12429" s="21" t="n">
        <v>0</v>
      </c>
      <c r="P12429" s="21" t="n">
        <v>0</v>
      </c>
      <c r="Q12429" s="21" t="n">
        <v>0</v>
      </c>
      <c r="R12429" s="21" t="n">
        <v>0</v>
      </c>
      <c r="S12429" s="21" t="n">
        <v>0</v>
      </c>
      <c r="T12429" s="21" t="n">
        <v>0</v>
      </c>
      <c r="U12429" s="21" t="n">
        <v>0</v>
      </c>
      <c r="V12429" s="21">
        <f>$B$12190</f>
        <v/>
      </c>
      <c r="W12429" s="21">
        <f>$B$12192</f>
        <v/>
      </c>
      <c r="X12429" s="21">
        <f>-$B$12190</f>
        <v/>
      </c>
      <c r="Y12429" s="21">
        <f>$B$12191</f>
        <v/>
      </c>
      <c r="Z12429" s="19" t="n"/>
    </row>
    <row r="12431">
      <c r="A12431" s="8" t="inlineStr">
        <is>
          <t>gen 6</t>
        </is>
      </c>
    </row>
    <row r="12432">
      <c r="D12432" s="19">
        <f>IF(ABS(IF(ABS($E$12396)&gt;0.000000001,$E$12396,0.000000001))=0,0,IF($E$12204&lt;=$B$12198,0,IF(ABS(IF(ABS($E$12396)&gt;0.000000001,$E$12396,0.000000001))&gt;=8*$B$12200,$H$12204,0.5*$H$12204*(ABS(IF(ABS($E$12396)&gt;0.000000001,$E$12396,0.000000001))/$B$12200)^(1/3)))/ABS(IF(ABS($E$12396)&gt;0.000000001,$E$12396,0.000000001))*$I$12204)</f>
        <v/>
      </c>
      <c r="E12432" s="19">
        <f>0.5*$E$12396+0.5*$Z$12444</f>
        <v/>
      </c>
      <c r="F12432" s="19">
        <f>$Z$12445</f>
        <v/>
      </c>
    </row>
    <row r="12433">
      <c r="D12433" s="19">
        <f>IF(ABS(IF(ABS($E$12397)&gt;0.000000001,$E$12397,0.000000001))=0,0,IF($E$12205&lt;=$B$12198,0,IF(ABS(IF(ABS($E$12397)&gt;0.000000001,$E$12397,0.000000001))&gt;=8*$B$12200,$H$12205,0.5*$H$12205*(ABS(IF(ABS($E$12397)&gt;0.000000001,$E$12397,0.000000001))/$B$12200)^(1/3)))/ABS(IF(ABS($E$12397)&gt;0.000000001,$E$12397,0.000000001))*$I$12205)</f>
        <v/>
      </c>
      <c r="E12433" s="19">
        <f>0.5*$E$12397+0.5*$Z$12446</f>
        <v/>
      </c>
      <c r="F12433" s="19">
        <f>$Z$12447</f>
        <v/>
      </c>
    </row>
    <row r="12434">
      <c r="D12434" s="19">
        <f>IF(ABS(IF(ABS($E$12398)&gt;0.000000001,$E$12398,0.000000001))=0,0,IF($E$12206&lt;=$B$12198,0,IF(ABS(IF(ABS($E$12398)&gt;0.000000001,$E$12398,0.000000001))&gt;=8*$B$12200,$H$12206,0.5*$H$12206*(ABS(IF(ABS($E$12398)&gt;0.000000001,$E$12398,0.000000001))/$B$12200)^(1/3)))/ABS(IF(ABS($E$12398)&gt;0.000000001,$E$12398,0.000000001))*$I$12206)</f>
        <v/>
      </c>
      <c r="E12434" s="19">
        <f>0.5*$E$12398+0.5*$Z$12448</f>
        <v/>
      </c>
      <c r="F12434" s="19">
        <f>$Z$12449</f>
        <v/>
      </c>
    </row>
    <row r="12435">
      <c r="D12435" s="19">
        <f>IF(ABS(IF(ABS($E$12399)&gt;0.000000001,$E$12399,0.000000001))=0,0,IF($E$12207&lt;=$B$12198,0,IF(ABS(IF(ABS($E$12399)&gt;0.000000001,$E$12399,0.000000001))&gt;=8*$B$12200,$H$12207,0.5*$H$12207*(ABS(IF(ABS($E$12399)&gt;0.000000001,$E$12399,0.000000001))/$B$12200)^(1/3)))/ABS(IF(ABS($E$12399)&gt;0.000000001,$E$12399,0.000000001))*$I$12207)</f>
        <v/>
      </c>
      <c r="E12435" s="19">
        <f>0.5*$E$12399+0.5*$Z$12450</f>
        <v/>
      </c>
      <c r="F12435" s="19">
        <f>$Z$12451</f>
        <v/>
      </c>
    </row>
    <row r="12436">
      <c r="D12436" s="19">
        <f>IF(ABS(IF(ABS($E$12400)&gt;0.000000001,$E$12400,0.000000001))=0,0,IF($E$12208&lt;=$B$12198,0,IF(ABS(IF(ABS($E$12400)&gt;0.000000001,$E$12400,0.000000001))&gt;=8*$B$12200,$H$12208,0.5*$H$12208*(ABS(IF(ABS($E$12400)&gt;0.000000001,$E$12400,0.000000001))/$B$12200)^(1/3)))/ABS(IF(ABS($E$12400)&gt;0.000000001,$E$12400,0.000000001))*$I$12208)</f>
        <v/>
      </c>
      <c r="E12436" s="19">
        <f>0.5*$E$12400+0.5*$Z$12452</f>
        <v/>
      </c>
      <c r="F12436" s="19">
        <f>$Z$12453</f>
        <v/>
      </c>
    </row>
    <row r="12437">
      <c r="D12437" s="19">
        <f>IF(ABS(IF(ABS($E$12401)&gt;0.000000001,$E$12401,0.000000001))=0,0,IF($E$12209&lt;=$B$12198,0,IF(ABS(IF(ABS($E$12401)&gt;0.000000001,$E$12401,0.000000001))&gt;=8*$B$12200,$H$12209,0.5*$H$12209*(ABS(IF(ABS($E$12401)&gt;0.000000001,$E$12401,0.000000001))/$B$12200)^(1/3)))/ABS(IF(ABS($E$12401)&gt;0.000000001,$E$12401,0.000000001))*$I$12209)</f>
        <v/>
      </c>
      <c r="E12437" s="19">
        <f>0.5*$E$12401+0.5*$Z$12454</f>
        <v/>
      </c>
      <c r="F12437" s="19">
        <f>$Z$12455</f>
        <v/>
      </c>
    </row>
    <row r="12438">
      <c r="D12438" s="19">
        <f>IF(ABS(IF(ABS($E$12402)&gt;0.000000001,$E$12402,0.000000001))=0,0,IF($E$12210&lt;=$B$12198,0,IF(ABS(IF(ABS($E$12402)&gt;0.000000001,$E$12402,0.000000001))&gt;=8*$B$12200,$H$12210,0.5*$H$12210*(ABS(IF(ABS($E$12402)&gt;0.000000001,$E$12402,0.000000001))/$B$12200)^(1/3)))/ABS(IF(ABS($E$12402)&gt;0.000000001,$E$12402,0.000000001))*$I$12210)</f>
        <v/>
      </c>
      <c r="E12438" s="19">
        <f>0.5*$E$12402+0.5*$Z$12456</f>
        <v/>
      </c>
      <c r="F12438" s="19">
        <f>$Z$12457</f>
        <v/>
      </c>
    </row>
    <row r="12439">
      <c r="D12439" s="19">
        <f>IF(ABS(IF(ABS($E$12403)&gt;0.000000001,$E$12403,0.000000001))=0,0,IF($E$12211&lt;=$B$12198,0,IF(ABS(IF(ABS($E$12403)&gt;0.000000001,$E$12403,0.000000001))&gt;=8*$B$12200,$H$12211,0.5*$H$12211*(ABS(IF(ABS($E$12403)&gt;0.000000001,$E$12403,0.000000001))/$B$12200)^(1/3)))/ABS(IF(ABS($E$12403)&gt;0.000000001,$E$12403,0.000000001))*$I$12211)</f>
        <v/>
      </c>
      <c r="E12439" s="19">
        <f>0.5*$E$12403+0.5*$Z$12458</f>
        <v/>
      </c>
      <c r="F12439" s="19">
        <f>$Z$12459</f>
        <v/>
      </c>
    </row>
    <row r="12440">
      <c r="D12440" s="19">
        <f>IF(ABS(IF(ABS($E$12404)&gt;0.000000001,$E$12404,0.000000001))=0,0,IF($E$12212&lt;=$B$12198,0,IF(ABS(IF(ABS($E$12404)&gt;0.000000001,$E$12404,0.000000001))&gt;=8*$B$12200,$H$12212,0.5*$H$12212*(ABS(IF(ABS($E$12404)&gt;0.000000001,$E$12404,0.000000001))/$B$12200)^(1/3)))/ABS(IF(ABS($E$12404)&gt;0.000000001,$E$12404,0.000000001))*$I$12212)</f>
        <v/>
      </c>
      <c r="E12440" s="19">
        <f>0.5*$E$12404+0.5*$Z$12460</f>
        <v/>
      </c>
      <c r="F12440" s="19">
        <f>$Z$12461</f>
        <v/>
      </c>
    </row>
    <row r="12441">
      <c r="D12441" s="19">
        <f>IF(ABS(IF(ABS($E$12405)&gt;0.000000001,$E$12405,0.000000001))=0,0,IF($E$12213&lt;=$B$12198,0,IF(ABS(IF(ABS($E$12405)&gt;0.000000001,$E$12405,0.000000001))&gt;=8*$B$12200,$H$12213,0.5*$H$12213*(ABS(IF(ABS($E$12405)&gt;0.000000001,$E$12405,0.000000001))/$B$12200)^(1/3)))/ABS(IF(ABS($E$12405)&gt;0.000000001,$E$12405,0.000000001))*$I$12213)</f>
        <v/>
      </c>
      <c r="E12441" s="19">
        <f>0.5*$E$12405+0.5*$Z$12462</f>
        <v/>
      </c>
      <c r="F12441" s="19">
        <f>$Z$12463</f>
        <v/>
      </c>
    </row>
    <row r="12442">
      <c r="D12442" s="19">
        <f>IF(ABS(IF(ABS($E$12406)&gt;0.000000001,$E$12406,0.000000001))=0,0,IF($E$12214&lt;=$B$12198,0,IF(ABS(IF(ABS($E$12406)&gt;0.000000001,$E$12406,0.000000001))&gt;=8*$B$12200,$H$12214,0.5*$H$12214*(ABS(IF(ABS($E$12406)&gt;0.000000001,$E$12406,0.000000001))/$B$12200)^(1/3)))/ABS(IF(ABS($E$12406)&gt;0.000000001,$E$12406,0.000000001))*$I$12214)</f>
        <v/>
      </c>
      <c r="E12442" s="19">
        <f>0.5*$E$12406+0.5*$Z$12464</f>
        <v/>
      </c>
      <c r="F12442" s="19">
        <f>$Z$12465</f>
        <v/>
      </c>
    </row>
    <row r="12444">
      <c r="D12444" s="21">
        <f>$B$12189+$D$12432</f>
        <v/>
      </c>
      <c r="E12444" s="21">
        <f>$B$12190</f>
        <v/>
      </c>
      <c r="F12444" s="21">
        <f>-$B$12189</f>
        <v/>
      </c>
      <c r="G12444" s="21">
        <f>$B$12190</f>
        <v/>
      </c>
      <c r="H12444" s="21" t="n">
        <v>0</v>
      </c>
      <c r="I12444" s="21" t="n">
        <v>0</v>
      </c>
      <c r="J12444" s="21" t="n">
        <v>0</v>
      </c>
      <c r="K12444" s="21" t="n">
        <v>0</v>
      </c>
      <c r="L12444" s="21" t="n">
        <v>0</v>
      </c>
      <c r="M12444" s="21" t="n">
        <v>0</v>
      </c>
      <c r="N12444" s="21" t="n">
        <v>0</v>
      </c>
      <c r="O12444" s="21" t="n">
        <v>0</v>
      </c>
      <c r="P12444" s="21" t="n">
        <v>0</v>
      </c>
      <c r="Q12444" s="21" t="n">
        <v>0</v>
      </c>
      <c r="R12444" s="21" t="n">
        <v>0</v>
      </c>
      <c r="S12444" s="21" t="n">
        <v>0</v>
      </c>
      <c r="T12444" s="21" t="n">
        <v>0</v>
      </c>
      <c r="U12444" s="21" t="n">
        <v>0</v>
      </c>
      <c r="V12444" s="21" t="n">
        <v>0</v>
      </c>
      <c r="W12444" s="21" t="n">
        <v>0</v>
      </c>
      <c r="X12444" s="21" t="n">
        <v>0</v>
      </c>
      <c r="Y12444" s="21" t="n">
        <v>0</v>
      </c>
      <c r="Z12444" s="19">
        <f t="array" ref="Z12444:Z12465">MMULT(MINVERSE($D$12444:$Y$12465),$D$12216:$D$12237)</f>
        <v/>
      </c>
    </row>
    <row r="12445">
      <c r="D12445" s="21">
        <f>$B$12190</f>
        <v/>
      </c>
      <c r="E12445" s="21">
        <f>$B$12191</f>
        <v/>
      </c>
      <c r="F12445" s="21">
        <f>-$B$12190</f>
        <v/>
      </c>
      <c r="G12445" s="21">
        <f>$B$12192</f>
        <v/>
      </c>
      <c r="H12445" s="21" t="n">
        <v>0</v>
      </c>
      <c r="I12445" s="21" t="n">
        <v>0</v>
      </c>
      <c r="J12445" s="21" t="n">
        <v>0</v>
      </c>
      <c r="K12445" s="21" t="n">
        <v>0</v>
      </c>
      <c r="L12445" s="21" t="n">
        <v>0</v>
      </c>
      <c r="M12445" s="21" t="n">
        <v>0</v>
      </c>
      <c r="N12445" s="21" t="n">
        <v>0</v>
      </c>
      <c r="O12445" s="21" t="n">
        <v>0</v>
      </c>
      <c r="P12445" s="21" t="n">
        <v>0</v>
      </c>
      <c r="Q12445" s="21" t="n">
        <v>0</v>
      </c>
      <c r="R12445" s="21" t="n">
        <v>0</v>
      </c>
      <c r="S12445" s="21" t="n">
        <v>0</v>
      </c>
      <c r="T12445" s="21" t="n">
        <v>0</v>
      </c>
      <c r="U12445" s="21" t="n">
        <v>0</v>
      </c>
      <c r="V12445" s="21" t="n">
        <v>0</v>
      </c>
      <c r="W12445" s="21" t="n">
        <v>0</v>
      </c>
      <c r="X12445" s="21" t="n">
        <v>0</v>
      </c>
      <c r="Y12445" s="21" t="n">
        <v>0</v>
      </c>
      <c r="Z12445" s="19" t="n"/>
    </row>
    <row r="12446">
      <c r="D12446" s="21">
        <f>-$B$12189</f>
        <v/>
      </c>
      <c r="E12446" s="21">
        <f>-$B$12190</f>
        <v/>
      </c>
      <c r="F12446" s="21">
        <f>2*$B$12189+$D$12433</f>
        <v/>
      </c>
      <c r="G12446" s="21">
        <f>0</f>
        <v/>
      </c>
      <c r="H12446" s="21">
        <f>-$B$12189</f>
        <v/>
      </c>
      <c r="I12446" s="21">
        <f>$B$12190</f>
        <v/>
      </c>
      <c r="J12446" s="21" t="n">
        <v>0</v>
      </c>
      <c r="K12446" s="21" t="n">
        <v>0</v>
      </c>
      <c r="L12446" s="21" t="n">
        <v>0</v>
      </c>
      <c r="M12446" s="21" t="n">
        <v>0</v>
      </c>
      <c r="N12446" s="21" t="n">
        <v>0</v>
      </c>
      <c r="O12446" s="21" t="n">
        <v>0</v>
      </c>
      <c r="P12446" s="21" t="n">
        <v>0</v>
      </c>
      <c r="Q12446" s="21" t="n">
        <v>0</v>
      </c>
      <c r="R12446" s="21" t="n">
        <v>0</v>
      </c>
      <c r="S12446" s="21" t="n">
        <v>0</v>
      </c>
      <c r="T12446" s="21" t="n">
        <v>0</v>
      </c>
      <c r="U12446" s="21" t="n">
        <v>0</v>
      </c>
      <c r="V12446" s="21" t="n">
        <v>0</v>
      </c>
      <c r="W12446" s="21" t="n">
        <v>0</v>
      </c>
      <c r="X12446" s="21" t="n">
        <v>0</v>
      </c>
      <c r="Y12446" s="21" t="n">
        <v>0</v>
      </c>
      <c r="Z12446" s="19" t="n"/>
    </row>
    <row r="12447">
      <c r="D12447" s="21">
        <f>$B$12190</f>
        <v/>
      </c>
      <c r="E12447" s="21">
        <f>$B$12192</f>
        <v/>
      </c>
      <c r="F12447" s="21">
        <f>0</f>
        <v/>
      </c>
      <c r="G12447" s="21">
        <f>2*$B$12191</f>
        <v/>
      </c>
      <c r="H12447" s="21">
        <f>-$B$12190</f>
        <v/>
      </c>
      <c r="I12447" s="21">
        <f>$B$12192</f>
        <v/>
      </c>
      <c r="J12447" s="21" t="n">
        <v>0</v>
      </c>
      <c r="K12447" s="21" t="n">
        <v>0</v>
      </c>
      <c r="L12447" s="21" t="n">
        <v>0</v>
      </c>
      <c r="M12447" s="21" t="n">
        <v>0</v>
      </c>
      <c r="N12447" s="21" t="n">
        <v>0</v>
      </c>
      <c r="O12447" s="21" t="n">
        <v>0</v>
      </c>
      <c r="P12447" s="21" t="n">
        <v>0</v>
      </c>
      <c r="Q12447" s="21" t="n">
        <v>0</v>
      </c>
      <c r="R12447" s="21" t="n">
        <v>0</v>
      </c>
      <c r="S12447" s="21" t="n">
        <v>0</v>
      </c>
      <c r="T12447" s="21" t="n">
        <v>0</v>
      </c>
      <c r="U12447" s="21" t="n">
        <v>0</v>
      </c>
      <c r="V12447" s="21" t="n">
        <v>0</v>
      </c>
      <c r="W12447" s="21" t="n">
        <v>0</v>
      </c>
      <c r="X12447" s="21" t="n">
        <v>0</v>
      </c>
      <c r="Y12447" s="21" t="n">
        <v>0</v>
      </c>
      <c r="Z12447" s="19" t="n"/>
    </row>
    <row r="12448">
      <c r="D12448" s="21" t="n">
        <v>0</v>
      </c>
      <c r="E12448" s="21" t="n">
        <v>0</v>
      </c>
      <c r="F12448" s="21">
        <f>-$B$12189</f>
        <v/>
      </c>
      <c r="G12448" s="21">
        <f>-$B$12190</f>
        <v/>
      </c>
      <c r="H12448" s="21">
        <f>2*$B$12189+$D$12434</f>
        <v/>
      </c>
      <c r="I12448" s="21">
        <f>0</f>
        <v/>
      </c>
      <c r="J12448" s="21">
        <f>-$B$12189</f>
        <v/>
      </c>
      <c r="K12448" s="21">
        <f>$B$12190</f>
        <v/>
      </c>
      <c r="L12448" s="21" t="n">
        <v>0</v>
      </c>
      <c r="M12448" s="21" t="n">
        <v>0</v>
      </c>
      <c r="N12448" s="21" t="n">
        <v>0</v>
      </c>
      <c r="O12448" s="21" t="n">
        <v>0</v>
      </c>
      <c r="P12448" s="21" t="n">
        <v>0</v>
      </c>
      <c r="Q12448" s="21" t="n">
        <v>0</v>
      </c>
      <c r="R12448" s="21" t="n">
        <v>0</v>
      </c>
      <c r="S12448" s="21" t="n">
        <v>0</v>
      </c>
      <c r="T12448" s="21" t="n">
        <v>0</v>
      </c>
      <c r="U12448" s="21" t="n">
        <v>0</v>
      </c>
      <c r="V12448" s="21" t="n">
        <v>0</v>
      </c>
      <c r="W12448" s="21" t="n">
        <v>0</v>
      </c>
      <c r="X12448" s="21" t="n">
        <v>0</v>
      </c>
      <c r="Y12448" s="21" t="n">
        <v>0</v>
      </c>
      <c r="Z12448" s="19" t="n"/>
    </row>
    <row r="12449">
      <c r="D12449" s="21" t="n">
        <v>0</v>
      </c>
      <c r="E12449" s="21" t="n">
        <v>0</v>
      </c>
      <c r="F12449" s="21">
        <f>$B$12190</f>
        <v/>
      </c>
      <c r="G12449" s="21">
        <f>$B$12192</f>
        <v/>
      </c>
      <c r="H12449" s="21">
        <f>0</f>
        <v/>
      </c>
      <c r="I12449" s="21">
        <f>2*$B$12191</f>
        <v/>
      </c>
      <c r="J12449" s="21">
        <f>-$B$12190</f>
        <v/>
      </c>
      <c r="K12449" s="21">
        <f>$B$12192</f>
        <v/>
      </c>
      <c r="L12449" s="21" t="n">
        <v>0</v>
      </c>
      <c r="M12449" s="21" t="n">
        <v>0</v>
      </c>
      <c r="N12449" s="21" t="n">
        <v>0</v>
      </c>
      <c r="O12449" s="21" t="n">
        <v>0</v>
      </c>
      <c r="P12449" s="21" t="n">
        <v>0</v>
      </c>
      <c r="Q12449" s="21" t="n">
        <v>0</v>
      </c>
      <c r="R12449" s="21" t="n">
        <v>0</v>
      </c>
      <c r="S12449" s="21" t="n">
        <v>0</v>
      </c>
      <c r="T12449" s="21" t="n">
        <v>0</v>
      </c>
      <c r="U12449" s="21" t="n">
        <v>0</v>
      </c>
      <c r="V12449" s="21" t="n">
        <v>0</v>
      </c>
      <c r="W12449" s="21" t="n">
        <v>0</v>
      </c>
      <c r="X12449" s="21" t="n">
        <v>0</v>
      </c>
      <c r="Y12449" s="21" t="n">
        <v>0</v>
      </c>
      <c r="Z12449" s="19" t="n"/>
    </row>
    <row r="12450">
      <c r="D12450" s="21" t="n">
        <v>0</v>
      </c>
      <c r="E12450" s="21" t="n">
        <v>0</v>
      </c>
      <c r="F12450" s="21" t="n">
        <v>0</v>
      </c>
      <c r="G12450" s="21" t="n">
        <v>0</v>
      </c>
      <c r="H12450" s="21">
        <f>-$B$12189</f>
        <v/>
      </c>
      <c r="I12450" s="21">
        <f>-$B$12190</f>
        <v/>
      </c>
      <c r="J12450" s="21">
        <f>2*$B$12189+$D$12435</f>
        <v/>
      </c>
      <c r="K12450" s="21">
        <f>0</f>
        <v/>
      </c>
      <c r="L12450" s="21">
        <f>-$B$12189</f>
        <v/>
      </c>
      <c r="M12450" s="21">
        <f>$B$12190</f>
        <v/>
      </c>
      <c r="N12450" s="21" t="n">
        <v>0</v>
      </c>
      <c r="O12450" s="21" t="n">
        <v>0</v>
      </c>
      <c r="P12450" s="21" t="n">
        <v>0</v>
      </c>
      <c r="Q12450" s="21" t="n">
        <v>0</v>
      </c>
      <c r="R12450" s="21" t="n">
        <v>0</v>
      </c>
      <c r="S12450" s="21" t="n">
        <v>0</v>
      </c>
      <c r="T12450" s="21" t="n">
        <v>0</v>
      </c>
      <c r="U12450" s="21" t="n">
        <v>0</v>
      </c>
      <c r="V12450" s="21" t="n">
        <v>0</v>
      </c>
      <c r="W12450" s="21" t="n">
        <v>0</v>
      </c>
      <c r="X12450" s="21" t="n">
        <v>0</v>
      </c>
      <c r="Y12450" s="21" t="n">
        <v>0</v>
      </c>
      <c r="Z12450" s="19" t="n"/>
    </row>
    <row r="12451">
      <c r="D12451" s="21" t="n">
        <v>0</v>
      </c>
      <c r="E12451" s="21" t="n">
        <v>0</v>
      </c>
      <c r="F12451" s="21" t="n">
        <v>0</v>
      </c>
      <c r="G12451" s="21" t="n">
        <v>0</v>
      </c>
      <c r="H12451" s="21">
        <f>$B$12190</f>
        <v/>
      </c>
      <c r="I12451" s="21">
        <f>$B$12192</f>
        <v/>
      </c>
      <c r="J12451" s="21">
        <f>0</f>
        <v/>
      </c>
      <c r="K12451" s="21">
        <f>2*$B$12191</f>
        <v/>
      </c>
      <c r="L12451" s="21">
        <f>-$B$12190</f>
        <v/>
      </c>
      <c r="M12451" s="21">
        <f>$B$12192</f>
        <v/>
      </c>
      <c r="N12451" s="21" t="n">
        <v>0</v>
      </c>
      <c r="O12451" s="21" t="n">
        <v>0</v>
      </c>
      <c r="P12451" s="21" t="n">
        <v>0</v>
      </c>
      <c r="Q12451" s="21" t="n">
        <v>0</v>
      </c>
      <c r="R12451" s="21" t="n">
        <v>0</v>
      </c>
      <c r="S12451" s="21" t="n">
        <v>0</v>
      </c>
      <c r="T12451" s="21" t="n">
        <v>0</v>
      </c>
      <c r="U12451" s="21" t="n">
        <v>0</v>
      </c>
      <c r="V12451" s="21" t="n">
        <v>0</v>
      </c>
      <c r="W12451" s="21" t="n">
        <v>0</v>
      </c>
      <c r="X12451" s="21" t="n">
        <v>0</v>
      </c>
      <c r="Y12451" s="21" t="n">
        <v>0</v>
      </c>
      <c r="Z12451" s="19" t="n"/>
    </row>
    <row r="12452">
      <c r="D12452" s="21" t="n">
        <v>0</v>
      </c>
      <c r="E12452" s="21" t="n">
        <v>0</v>
      </c>
      <c r="F12452" s="21" t="n">
        <v>0</v>
      </c>
      <c r="G12452" s="21" t="n">
        <v>0</v>
      </c>
      <c r="H12452" s="21" t="n">
        <v>0</v>
      </c>
      <c r="I12452" s="21" t="n">
        <v>0</v>
      </c>
      <c r="J12452" s="21">
        <f>-$B$12189</f>
        <v/>
      </c>
      <c r="K12452" s="21">
        <f>-$B$12190</f>
        <v/>
      </c>
      <c r="L12452" s="21">
        <f>2*$B$12189+$D$12436</f>
        <v/>
      </c>
      <c r="M12452" s="21">
        <f>0</f>
        <v/>
      </c>
      <c r="N12452" s="21">
        <f>-$B$12189</f>
        <v/>
      </c>
      <c r="O12452" s="21">
        <f>$B$12190</f>
        <v/>
      </c>
      <c r="P12452" s="21" t="n">
        <v>0</v>
      </c>
      <c r="Q12452" s="21" t="n">
        <v>0</v>
      </c>
      <c r="R12452" s="21" t="n">
        <v>0</v>
      </c>
      <c r="S12452" s="21" t="n">
        <v>0</v>
      </c>
      <c r="T12452" s="21" t="n">
        <v>0</v>
      </c>
      <c r="U12452" s="21" t="n">
        <v>0</v>
      </c>
      <c r="V12452" s="21" t="n">
        <v>0</v>
      </c>
      <c r="W12452" s="21" t="n">
        <v>0</v>
      </c>
      <c r="X12452" s="21" t="n">
        <v>0</v>
      </c>
      <c r="Y12452" s="21" t="n">
        <v>0</v>
      </c>
      <c r="Z12452" s="19" t="n"/>
    </row>
    <row r="12453">
      <c r="D12453" s="21" t="n">
        <v>0</v>
      </c>
      <c r="E12453" s="21" t="n">
        <v>0</v>
      </c>
      <c r="F12453" s="21" t="n">
        <v>0</v>
      </c>
      <c r="G12453" s="21" t="n">
        <v>0</v>
      </c>
      <c r="H12453" s="21" t="n">
        <v>0</v>
      </c>
      <c r="I12453" s="21" t="n">
        <v>0</v>
      </c>
      <c r="J12453" s="21">
        <f>$B$12190</f>
        <v/>
      </c>
      <c r="K12453" s="21">
        <f>$B$12192</f>
        <v/>
      </c>
      <c r="L12453" s="21">
        <f>0</f>
        <v/>
      </c>
      <c r="M12453" s="21">
        <f>2*$B$12191</f>
        <v/>
      </c>
      <c r="N12453" s="21">
        <f>-$B$12190</f>
        <v/>
      </c>
      <c r="O12453" s="21">
        <f>$B$12192</f>
        <v/>
      </c>
      <c r="P12453" s="21" t="n">
        <v>0</v>
      </c>
      <c r="Q12453" s="21" t="n">
        <v>0</v>
      </c>
      <c r="R12453" s="21" t="n">
        <v>0</v>
      </c>
      <c r="S12453" s="21" t="n">
        <v>0</v>
      </c>
      <c r="T12453" s="21" t="n">
        <v>0</v>
      </c>
      <c r="U12453" s="21" t="n">
        <v>0</v>
      </c>
      <c r="V12453" s="21" t="n">
        <v>0</v>
      </c>
      <c r="W12453" s="21" t="n">
        <v>0</v>
      </c>
      <c r="X12453" s="21" t="n">
        <v>0</v>
      </c>
      <c r="Y12453" s="21" t="n">
        <v>0</v>
      </c>
      <c r="Z12453" s="19" t="n"/>
    </row>
    <row r="12454">
      <c r="D12454" s="21" t="n">
        <v>0</v>
      </c>
      <c r="E12454" s="21" t="n">
        <v>0</v>
      </c>
      <c r="F12454" s="21" t="n">
        <v>0</v>
      </c>
      <c r="G12454" s="21" t="n">
        <v>0</v>
      </c>
      <c r="H12454" s="21" t="n">
        <v>0</v>
      </c>
      <c r="I12454" s="21" t="n">
        <v>0</v>
      </c>
      <c r="J12454" s="21" t="n">
        <v>0</v>
      </c>
      <c r="K12454" s="21" t="n">
        <v>0</v>
      </c>
      <c r="L12454" s="21">
        <f>-$B$12189</f>
        <v/>
      </c>
      <c r="M12454" s="21">
        <f>-$B$12190</f>
        <v/>
      </c>
      <c r="N12454" s="21">
        <f>2*$B$12189+$D$12437</f>
        <v/>
      </c>
      <c r="O12454" s="21">
        <f>0</f>
        <v/>
      </c>
      <c r="P12454" s="21">
        <f>-$B$12189</f>
        <v/>
      </c>
      <c r="Q12454" s="21">
        <f>$B$12190</f>
        <v/>
      </c>
      <c r="R12454" s="21" t="n">
        <v>0</v>
      </c>
      <c r="S12454" s="21" t="n">
        <v>0</v>
      </c>
      <c r="T12454" s="21" t="n">
        <v>0</v>
      </c>
      <c r="U12454" s="21" t="n">
        <v>0</v>
      </c>
      <c r="V12454" s="21" t="n">
        <v>0</v>
      </c>
      <c r="W12454" s="21" t="n">
        <v>0</v>
      </c>
      <c r="X12454" s="21" t="n">
        <v>0</v>
      </c>
      <c r="Y12454" s="21" t="n">
        <v>0</v>
      </c>
      <c r="Z12454" s="19" t="n"/>
    </row>
    <row r="12455">
      <c r="D12455" s="21" t="n">
        <v>0</v>
      </c>
      <c r="E12455" s="21" t="n">
        <v>0</v>
      </c>
      <c r="F12455" s="21" t="n">
        <v>0</v>
      </c>
      <c r="G12455" s="21" t="n">
        <v>0</v>
      </c>
      <c r="H12455" s="21" t="n">
        <v>0</v>
      </c>
      <c r="I12455" s="21" t="n">
        <v>0</v>
      </c>
      <c r="J12455" s="21" t="n">
        <v>0</v>
      </c>
      <c r="K12455" s="21" t="n">
        <v>0</v>
      </c>
      <c r="L12455" s="21">
        <f>$B$12190</f>
        <v/>
      </c>
      <c r="M12455" s="21">
        <f>$B$12192</f>
        <v/>
      </c>
      <c r="N12455" s="21">
        <f>0</f>
        <v/>
      </c>
      <c r="O12455" s="21">
        <f>2*$B$12191</f>
        <v/>
      </c>
      <c r="P12455" s="21">
        <f>-$B$12190</f>
        <v/>
      </c>
      <c r="Q12455" s="21">
        <f>$B$12192</f>
        <v/>
      </c>
      <c r="R12455" s="21" t="n">
        <v>0</v>
      </c>
      <c r="S12455" s="21" t="n">
        <v>0</v>
      </c>
      <c r="T12455" s="21" t="n">
        <v>0</v>
      </c>
      <c r="U12455" s="21" t="n">
        <v>0</v>
      </c>
      <c r="V12455" s="21" t="n">
        <v>0</v>
      </c>
      <c r="W12455" s="21" t="n">
        <v>0</v>
      </c>
      <c r="X12455" s="21" t="n">
        <v>0</v>
      </c>
      <c r="Y12455" s="21" t="n">
        <v>0</v>
      </c>
      <c r="Z12455" s="19" t="n"/>
    </row>
    <row r="12456">
      <c r="D12456" s="21" t="n">
        <v>0</v>
      </c>
      <c r="E12456" s="21" t="n">
        <v>0</v>
      </c>
      <c r="F12456" s="21" t="n">
        <v>0</v>
      </c>
      <c r="G12456" s="21" t="n">
        <v>0</v>
      </c>
      <c r="H12456" s="21" t="n">
        <v>0</v>
      </c>
      <c r="I12456" s="21" t="n">
        <v>0</v>
      </c>
      <c r="J12456" s="21" t="n">
        <v>0</v>
      </c>
      <c r="K12456" s="21" t="n">
        <v>0</v>
      </c>
      <c r="L12456" s="21" t="n">
        <v>0</v>
      </c>
      <c r="M12456" s="21" t="n">
        <v>0</v>
      </c>
      <c r="N12456" s="21">
        <f>-$B$12189</f>
        <v/>
      </c>
      <c r="O12456" s="21">
        <f>-$B$12190</f>
        <v/>
      </c>
      <c r="P12456" s="21">
        <f>2*$B$12189+$D$12438</f>
        <v/>
      </c>
      <c r="Q12456" s="21">
        <f>0</f>
        <v/>
      </c>
      <c r="R12456" s="21">
        <f>-$B$12189</f>
        <v/>
      </c>
      <c r="S12456" s="21">
        <f>$B$12190</f>
        <v/>
      </c>
      <c r="T12456" s="21" t="n">
        <v>0</v>
      </c>
      <c r="U12456" s="21" t="n">
        <v>0</v>
      </c>
      <c r="V12456" s="21" t="n">
        <v>0</v>
      </c>
      <c r="W12456" s="21" t="n">
        <v>0</v>
      </c>
      <c r="X12456" s="21" t="n">
        <v>0</v>
      </c>
      <c r="Y12456" s="21" t="n">
        <v>0</v>
      </c>
      <c r="Z12456" s="19" t="n"/>
    </row>
    <row r="12457">
      <c r="D12457" s="21" t="n">
        <v>0</v>
      </c>
      <c r="E12457" s="21" t="n">
        <v>0</v>
      </c>
      <c r="F12457" s="21" t="n">
        <v>0</v>
      </c>
      <c r="G12457" s="21" t="n">
        <v>0</v>
      </c>
      <c r="H12457" s="21" t="n">
        <v>0</v>
      </c>
      <c r="I12457" s="21" t="n">
        <v>0</v>
      </c>
      <c r="J12457" s="21" t="n">
        <v>0</v>
      </c>
      <c r="K12457" s="21" t="n">
        <v>0</v>
      </c>
      <c r="L12457" s="21" t="n">
        <v>0</v>
      </c>
      <c r="M12457" s="21" t="n">
        <v>0</v>
      </c>
      <c r="N12457" s="21">
        <f>$B$12190</f>
        <v/>
      </c>
      <c r="O12457" s="21">
        <f>$B$12192</f>
        <v/>
      </c>
      <c r="P12457" s="21">
        <f>0</f>
        <v/>
      </c>
      <c r="Q12457" s="21">
        <f>2*$B$12191</f>
        <v/>
      </c>
      <c r="R12457" s="21">
        <f>-$B$12190</f>
        <v/>
      </c>
      <c r="S12457" s="21">
        <f>$B$12192</f>
        <v/>
      </c>
      <c r="T12457" s="21" t="n">
        <v>0</v>
      </c>
      <c r="U12457" s="21" t="n">
        <v>0</v>
      </c>
      <c r="V12457" s="21" t="n">
        <v>0</v>
      </c>
      <c r="W12457" s="21" t="n">
        <v>0</v>
      </c>
      <c r="X12457" s="21" t="n">
        <v>0</v>
      </c>
      <c r="Y12457" s="21" t="n">
        <v>0</v>
      </c>
      <c r="Z12457" s="19" t="n"/>
    </row>
    <row r="12458">
      <c r="D12458" s="21" t="n">
        <v>0</v>
      </c>
      <c r="E12458" s="21" t="n">
        <v>0</v>
      </c>
      <c r="F12458" s="21" t="n">
        <v>0</v>
      </c>
      <c r="G12458" s="21" t="n">
        <v>0</v>
      </c>
      <c r="H12458" s="21" t="n">
        <v>0</v>
      </c>
      <c r="I12458" s="21" t="n">
        <v>0</v>
      </c>
      <c r="J12458" s="21" t="n">
        <v>0</v>
      </c>
      <c r="K12458" s="21" t="n">
        <v>0</v>
      </c>
      <c r="L12458" s="21" t="n">
        <v>0</v>
      </c>
      <c r="M12458" s="21" t="n">
        <v>0</v>
      </c>
      <c r="N12458" s="21" t="n">
        <v>0</v>
      </c>
      <c r="O12458" s="21" t="n">
        <v>0</v>
      </c>
      <c r="P12458" s="21">
        <f>-$B$12189</f>
        <v/>
      </c>
      <c r="Q12458" s="21">
        <f>-$B$12190</f>
        <v/>
      </c>
      <c r="R12458" s="21">
        <f>2*$B$12189+$D$12439</f>
        <v/>
      </c>
      <c r="S12458" s="21">
        <f>0</f>
        <v/>
      </c>
      <c r="T12458" s="21">
        <f>-$B$12189</f>
        <v/>
      </c>
      <c r="U12458" s="21">
        <f>$B$12190</f>
        <v/>
      </c>
      <c r="V12458" s="21" t="n">
        <v>0</v>
      </c>
      <c r="W12458" s="21" t="n">
        <v>0</v>
      </c>
      <c r="X12458" s="21" t="n">
        <v>0</v>
      </c>
      <c r="Y12458" s="21" t="n">
        <v>0</v>
      </c>
      <c r="Z12458" s="19" t="n"/>
    </row>
    <row r="12459">
      <c r="D12459" s="21" t="n">
        <v>0</v>
      </c>
      <c r="E12459" s="21" t="n">
        <v>0</v>
      </c>
      <c r="F12459" s="21" t="n">
        <v>0</v>
      </c>
      <c r="G12459" s="21" t="n">
        <v>0</v>
      </c>
      <c r="H12459" s="21" t="n">
        <v>0</v>
      </c>
      <c r="I12459" s="21" t="n">
        <v>0</v>
      </c>
      <c r="J12459" s="21" t="n">
        <v>0</v>
      </c>
      <c r="K12459" s="21" t="n">
        <v>0</v>
      </c>
      <c r="L12459" s="21" t="n">
        <v>0</v>
      </c>
      <c r="M12459" s="21" t="n">
        <v>0</v>
      </c>
      <c r="N12459" s="21" t="n">
        <v>0</v>
      </c>
      <c r="O12459" s="21" t="n">
        <v>0</v>
      </c>
      <c r="P12459" s="21">
        <f>$B$12190</f>
        <v/>
      </c>
      <c r="Q12459" s="21">
        <f>$B$12192</f>
        <v/>
      </c>
      <c r="R12459" s="21">
        <f>0</f>
        <v/>
      </c>
      <c r="S12459" s="21">
        <f>2*$B$12191</f>
        <v/>
      </c>
      <c r="T12459" s="21">
        <f>-$B$12190</f>
        <v/>
      </c>
      <c r="U12459" s="21">
        <f>$B$12192</f>
        <v/>
      </c>
      <c r="V12459" s="21" t="n">
        <v>0</v>
      </c>
      <c r="W12459" s="21" t="n">
        <v>0</v>
      </c>
      <c r="X12459" s="21" t="n">
        <v>0</v>
      </c>
      <c r="Y12459" s="21" t="n">
        <v>0</v>
      </c>
      <c r="Z12459" s="19" t="n"/>
    </row>
    <row r="12460">
      <c r="D12460" s="21" t="n">
        <v>0</v>
      </c>
      <c r="E12460" s="21" t="n">
        <v>0</v>
      </c>
      <c r="F12460" s="21" t="n">
        <v>0</v>
      </c>
      <c r="G12460" s="21" t="n">
        <v>0</v>
      </c>
      <c r="H12460" s="21" t="n">
        <v>0</v>
      </c>
      <c r="I12460" s="21" t="n">
        <v>0</v>
      </c>
      <c r="J12460" s="21" t="n">
        <v>0</v>
      </c>
      <c r="K12460" s="21" t="n">
        <v>0</v>
      </c>
      <c r="L12460" s="21" t="n">
        <v>0</v>
      </c>
      <c r="M12460" s="21" t="n">
        <v>0</v>
      </c>
      <c r="N12460" s="21" t="n">
        <v>0</v>
      </c>
      <c r="O12460" s="21" t="n">
        <v>0</v>
      </c>
      <c r="P12460" s="21" t="n">
        <v>0</v>
      </c>
      <c r="Q12460" s="21" t="n">
        <v>0</v>
      </c>
      <c r="R12460" s="21">
        <f>-$B$12189</f>
        <v/>
      </c>
      <c r="S12460" s="21">
        <f>-$B$12190</f>
        <v/>
      </c>
      <c r="T12460" s="21">
        <f>2*$B$12189+$D$12440</f>
        <v/>
      </c>
      <c r="U12460" s="21">
        <f>0</f>
        <v/>
      </c>
      <c r="V12460" s="21">
        <f>-$B$12189</f>
        <v/>
      </c>
      <c r="W12460" s="21">
        <f>$B$12190</f>
        <v/>
      </c>
      <c r="X12460" s="21" t="n">
        <v>0</v>
      </c>
      <c r="Y12460" s="21" t="n">
        <v>0</v>
      </c>
      <c r="Z12460" s="19" t="n"/>
    </row>
    <row r="12461">
      <c r="D12461" s="21" t="n">
        <v>0</v>
      </c>
      <c r="E12461" s="21" t="n">
        <v>0</v>
      </c>
      <c r="F12461" s="21" t="n">
        <v>0</v>
      </c>
      <c r="G12461" s="21" t="n">
        <v>0</v>
      </c>
      <c r="H12461" s="21" t="n">
        <v>0</v>
      </c>
      <c r="I12461" s="21" t="n">
        <v>0</v>
      </c>
      <c r="J12461" s="21" t="n">
        <v>0</v>
      </c>
      <c r="K12461" s="21" t="n">
        <v>0</v>
      </c>
      <c r="L12461" s="21" t="n">
        <v>0</v>
      </c>
      <c r="M12461" s="21" t="n">
        <v>0</v>
      </c>
      <c r="N12461" s="21" t="n">
        <v>0</v>
      </c>
      <c r="O12461" s="21" t="n">
        <v>0</v>
      </c>
      <c r="P12461" s="21" t="n">
        <v>0</v>
      </c>
      <c r="Q12461" s="21" t="n">
        <v>0</v>
      </c>
      <c r="R12461" s="21">
        <f>$B$12190</f>
        <v/>
      </c>
      <c r="S12461" s="21">
        <f>$B$12192</f>
        <v/>
      </c>
      <c r="T12461" s="21">
        <f>0</f>
        <v/>
      </c>
      <c r="U12461" s="21">
        <f>2*$B$12191</f>
        <v/>
      </c>
      <c r="V12461" s="21">
        <f>-$B$12190</f>
        <v/>
      </c>
      <c r="W12461" s="21">
        <f>$B$12192</f>
        <v/>
      </c>
      <c r="X12461" s="21" t="n">
        <v>0</v>
      </c>
      <c r="Y12461" s="21" t="n">
        <v>0</v>
      </c>
      <c r="Z12461" s="19" t="n"/>
    </row>
    <row r="12462">
      <c r="D12462" s="21" t="n">
        <v>0</v>
      </c>
      <c r="E12462" s="21" t="n">
        <v>0</v>
      </c>
      <c r="F12462" s="21" t="n">
        <v>0</v>
      </c>
      <c r="G12462" s="21" t="n">
        <v>0</v>
      </c>
      <c r="H12462" s="21" t="n">
        <v>0</v>
      </c>
      <c r="I12462" s="21" t="n">
        <v>0</v>
      </c>
      <c r="J12462" s="21" t="n">
        <v>0</v>
      </c>
      <c r="K12462" s="21" t="n">
        <v>0</v>
      </c>
      <c r="L12462" s="21" t="n">
        <v>0</v>
      </c>
      <c r="M12462" s="21" t="n">
        <v>0</v>
      </c>
      <c r="N12462" s="21" t="n">
        <v>0</v>
      </c>
      <c r="O12462" s="21" t="n">
        <v>0</v>
      </c>
      <c r="P12462" s="21" t="n">
        <v>0</v>
      </c>
      <c r="Q12462" s="21" t="n">
        <v>0</v>
      </c>
      <c r="R12462" s="21" t="n">
        <v>0</v>
      </c>
      <c r="S12462" s="21" t="n">
        <v>0</v>
      </c>
      <c r="T12462" s="21">
        <f>-$B$12189</f>
        <v/>
      </c>
      <c r="U12462" s="21">
        <f>-$B$12190</f>
        <v/>
      </c>
      <c r="V12462" s="21">
        <f>2*$B$12189+$D$12441</f>
        <v/>
      </c>
      <c r="W12462" s="21">
        <f>0</f>
        <v/>
      </c>
      <c r="X12462" s="21">
        <f>-$B$12189</f>
        <v/>
      </c>
      <c r="Y12462" s="21">
        <f>$B$12190</f>
        <v/>
      </c>
      <c r="Z12462" s="19" t="n"/>
    </row>
    <row r="12463">
      <c r="D12463" s="21" t="n">
        <v>0</v>
      </c>
      <c r="E12463" s="21" t="n">
        <v>0</v>
      </c>
      <c r="F12463" s="21" t="n">
        <v>0</v>
      </c>
      <c r="G12463" s="21" t="n">
        <v>0</v>
      </c>
      <c r="H12463" s="21" t="n">
        <v>0</v>
      </c>
      <c r="I12463" s="21" t="n">
        <v>0</v>
      </c>
      <c r="J12463" s="21" t="n">
        <v>0</v>
      </c>
      <c r="K12463" s="21" t="n">
        <v>0</v>
      </c>
      <c r="L12463" s="21" t="n">
        <v>0</v>
      </c>
      <c r="M12463" s="21" t="n">
        <v>0</v>
      </c>
      <c r="N12463" s="21" t="n">
        <v>0</v>
      </c>
      <c r="O12463" s="21" t="n">
        <v>0</v>
      </c>
      <c r="P12463" s="21" t="n">
        <v>0</v>
      </c>
      <c r="Q12463" s="21" t="n">
        <v>0</v>
      </c>
      <c r="R12463" s="21" t="n">
        <v>0</v>
      </c>
      <c r="S12463" s="21" t="n">
        <v>0</v>
      </c>
      <c r="T12463" s="21">
        <f>$B$12190</f>
        <v/>
      </c>
      <c r="U12463" s="21">
        <f>$B$12192</f>
        <v/>
      </c>
      <c r="V12463" s="21">
        <f>0</f>
        <v/>
      </c>
      <c r="W12463" s="21">
        <f>2*$B$12191</f>
        <v/>
      </c>
      <c r="X12463" s="21">
        <f>-$B$12190</f>
        <v/>
      </c>
      <c r="Y12463" s="21">
        <f>$B$12192</f>
        <v/>
      </c>
      <c r="Z12463" s="19" t="n"/>
    </row>
    <row r="12464">
      <c r="D12464" s="21" t="n">
        <v>0</v>
      </c>
      <c r="E12464" s="21" t="n">
        <v>0</v>
      </c>
      <c r="F12464" s="21" t="n">
        <v>0</v>
      </c>
      <c r="G12464" s="21" t="n">
        <v>0</v>
      </c>
      <c r="H12464" s="21" t="n">
        <v>0</v>
      </c>
      <c r="I12464" s="21" t="n">
        <v>0</v>
      </c>
      <c r="J12464" s="21" t="n">
        <v>0</v>
      </c>
      <c r="K12464" s="21" t="n">
        <v>0</v>
      </c>
      <c r="L12464" s="21" t="n">
        <v>0</v>
      </c>
      <c r="M12464" s="21" t="n">
        <v>0</v>
      </c>
      <c r="N12464" s="21" t="n">
        <v>0</v>
      </c>
      <c r="O12464" s="21" t="n">
        <v>0</v>
      </c>
      <c r="P12464" s="21" t="n">
        <v>0</v>
      </c>
      <c r="Q12464" s="21" t="n">
        <v>0</v>
      </c>
      <c r="R12464" s="21" t="n">
        <v>0</v>
      </c>
      <c r="S12464" s="21" t="n">
        <v>0</v>
      </c>
      <c r="T12464" s="21" t="n">
        <v>0</v>
      </c>
      <c r="U12464" s="21" t="n">
        <v>0</v>
      </c>
      <c r="V12464" s="21">
        <f>-$B$12189</f>
        <v/>
      </c>
      <c r="W12464" s="21">
        <f>-$B$12190</f>
        <v/>
      </c>
      <c r="X12464" s="21">
        <f>$B$12189+$D$12442</f>
        <v/>
      </c>
      <c r="Y12464" s="21">
        <f>-$B$12190</f>
        <v/>
      </c>
      <c r="Z12464" s="19" t="n"/>
    </row>
    <row r="12465">
      <c r="D12465" s="21" t="n">
        <v>0</v>
      </c>
      <c r="E12465" s="21" t="n">
        <v>0</v>
      </c>
      <c r="F12465" s="21" t="n">
        <v>0</v>
      </c>
      <c r="G12465" s="21" t="n">
        <v>0</v>
      </c>
      <c r="H12465" s="21" t="n">
        <v>0</v>
      </c>
      <c r="I12465" s="21" t="n">
        <v>0</v>
      </c>
      <c r="J12465" s="21" t="n">
        <v>0</v>
      </c>
      <c r="K12465" s="21" t="n">
        <v>0</v>
      </c>
      <c r="L12465" s="21" t="n">
        <v>0</v>
      </c>
      <c r="M12465" s="21" t="n">
        <v>0</v>
      </c>
      <c r="N12465" s="21" t="n">
        <v>0</v>
      </c>
      <c r="O12465" s="21" t="n">
        <v>0</v>
      </c>
      <c r="P12465" s="21" t="n">
        <v>0</v>
      </c>
      <c r="Q12465" s="21" t="n">
        <v>0</v>
      </c>
      <c r="R12465" s="21" t="n">
        <v>0</v>
      </c>
      <c r="S12465" s="21" t="n">
        <v>0</v>
      </c>
      <c r="T12465" s="21" t="n">
        <v>0</v>
      </c>
      <c r="U12465" s="21" t="n">
        <v>0</v>
      </c>
      <c r="V12465" s="21">
        <f>$B$12190</f>
        <v/>
      </c>
      <c r="W12465" s="21">
        <f>$B$12192</f>
        <v/>
      </c>
      <c r="X12465" s="21">
        <f>-$B$12190</f>
        <v/>
      </c>
      <c r="Y12465" s="21">
        <f>$B$12191</f>
        <v/>
      </c>
      <c r="Z12465" s="19" t="n"/>
    </row>
    <row r="12467">
      <c r="A12467" s="8" t="inlineStr">
        <is>
          <t>gen 7</t>
        </is>
      </c>
    </row>
    <row r="12468">
      <c r="D12468" s="19">
        <f>IF(ABS(IF(ABS($E$12432)&gt;0.000000001,$E$12432,0.000000001))=0,0,IF($E$12204&lt;=$B$12198,0,IF(ABS(IF(ABS($E$12432)&gt;0.000000001,$E$12432,0.000000001))&gt;=8*$B$12200,$H$12204,0.5*$H$12204*(ABS(IF(ABS($E$12432)&gt;0.000000001,$E$12432,0.000000001))/$B$12200)^(1/3)))/ABS(IF(ABS($E$12432)&gt;0.000000001,$E$12432,0.000000001))*$I$12204)</f>
        <v/>
      </c>
      <c r="E12468" s="19">
        <f>0.5*$E$12432+0.5*$Z$12480</f>
        <v/>
      </c>
      <c r="F12468" s="19">
        <f>$Z$12481</f>
        <v/>
      </c>
    </row>
    <row r="12469">
      <c r="D12469" s="19">
        <f>IF(ABS(IF(ABS($E$12433)&gt;0.000000001,$E$12433,0.000000001))=0,0,IF($E$12205&lt;=$B$12198,0,IF(ABS(IF(ABS($E$12433)&gt;0.000000001,$E$12433,0.000000001))&gt;=8*$B$12200,$H$12205,0.5*$H$12205*(ABS(IF(ABS($E$12433)&gt;0.000000001,$E$12433,0.000000001))/$B$12200)^(1/3)))/ABS(IF(ABS($E$12433)&gt;0.000000001,$E$12433,0.000000001))*$I$12205)</f>
        <v/>
      </c>
      <c r="E12469" s="19">
        <f>0.5*$E$12433+0.5*$Z$12482</f>
        <v/>
      </c>
      <c r="F12469" s="19">
        <f>$Z$12483</f>
        <v/>
      </c>
    </row>
    <row r="12470">
      <c r="D12470" s="19">
        <f>IF(ABS(IF(ABS($E$12434)&gt;0.000000001,$E$12434,0.000000001))=0,0,IF($E$12206&lt;=$B$12198,0,IF(ABS(IF(ABS($E$12434)&gt;0.000000001,$E$12434,0.000000001))&gt;=8*$B$12200,$H$12206,0.5*$H$12206*(ABS(IF(ABS($E$12434)&gt;0.000000001,$E$12434,0.000000001))/$B$12200)^(1/3)))/ABS(IF(ABS($E$12434)&gt;0.000000001,$E$12434,0.000000001))*$I$12206)</f>
        <v/>
      </c>
      <c r="E12470" s="19">
        <f>0.5*$E$12434+0.5*$Z$12484</f>
        <v/>
      </c>
      <c r="F12470" s="19">
        <f>$Z$12485</f>
        <v/>
      </c>
    </row>
    <row r="12471">
      <c r="D12471" s="19">
        <f>IF(ABS(IF(ABS($E$12435)&gt;0.000000001,$E$12435,0.000000001))=0,0,IF($E$12207&lt;=$B$12198,0,IF(ABS(IF(ABS($E$12435)&gt;0.000000001,$E$12435,0.000000001))&gt;=8*$B$12200,$H$12207,0.5*$H$12207*(ABS(IF(ABS($E$12435)&gt;0.000000001,$E$12435,0.000000001))/$B$12200)^(1/3)))/ABS(IF(ABS($E$12435)&gt;0.000000001,$E$12435,0.000000001))*$I$12207)</f>
        <v/>
      </c>
      <c r="E12471" s="19">
        <f>0.5*$E$12435+0.5*$Z$12486</f>
        <v/>
      </c>
      <c r="F12471" s="19">
        <f>$Z$12487</f>
        <v/>
      </c>
    </row>
    <row r="12472">
      <c r="D12472" s="19">
        <f>IF(ABS(IF(ABS($E$12436)&gt;0.000000001,$E$12436,0.000000001))=0,0,IF($E$12208&lt;=$B$12198,0,IF(ABS(IF(ABS($E$12436)&gt;0.000000001,$E$12436,0.000000001))&gt;=8*$B$12200,$H$12208,0.5*$H$12208*(ABS(IF(ABS($E$12436)&gt;0.000000001,$E$12436,0.000000001))/$B$12200)^(1/3)))/ABS(IF(ABS($E$12436)&gt;0.000000001,$E$12436,0.000000001))*$I$12208)</f>
        <v/>
      </c>
      <c r="E12472" s="19">
        <f>0.5*$E$12436+0.5*$Z$12488</f>
        <v/>
      </c>
      <c r="F12472" s="19">
        <f>$Z$12489</f>
        <v/>
      </c>
    </row>
    <row r="12473">
      <c r="D12473" s="19">
        <f>IF(ABS(IF(ABS($E$12437)&gt;0.000000001,$E$12437,0.000000001))=0,0,IF($E$12209&lt;=$B$12198,0,IF(ABS(IF(ABS($E$12437)&gt;0.000000001,$E$12437,0.000000001))&gt;=8*$B$12200,$H$12209,0.5*$H$12209*(ABS(IF(ABS($E$12437)&gt;0.000000001,$E$12437,0.000000001))/$B$12200)^(1/3)))/ABS(IF(ABS($E$12437)&gt;0.000000001,$E$12437,0.000000001))*$I$12209)</f>
        <v/>
      </c>
      <c r="E12473" s="19">
        <f>0.5*$E$12437+0.5*$Z$12490</f>
        <v/>
      </c>
      <c r="F12473" s="19">
        <f>$Z$12491</f>
        <v/>
      </c>
    </row>
    <row r="12474">
      <c r="D12474" s="19">
        <f>IF(ABS(IF(ABS($E$12438)&gt;0.000000001,$E$12438,0.000000001))=0,0,IF($E$12210&lt;=$B$12198,0,IF(ABS(IF(ABS($E$12438)&gt;0.000000001,$E$12438,0.000000001))&gt;=8*$B$12200,$H$12210,0.5*$H$12210*(ABS(IF(ABS($E$12438)&gt;0.000000001,$E$12438,0.000000001))/$B$12200)^(1/3)))/ABS(IF(ABS($E$12438)&gt;0.000000001,$E$12438,0.000000001))*$I$12210)</f>
        <v/>
      </c>
      <c r="E12474" s="19">
        <f>0.5*$E$12438+0.5*$Z$12492</f>
        <v/>
      </c>
      <c r="F12474" s="19">
        <f>$Z$12493</f>
        <v/>
      </c>
    </row>
    <row r="12475">
      <c r="D12475" s="19">
        <f>IF(ABS(IF(ABS($E$12439)&gt;0.000000001,$E$12439,0.000000001))=0,0,IF($E$12211&lt;=$B$12198,0,IF(ABS(IF(ABS($E$12439)&gt;0.000000001,$E$12439,0.000000001))&gt;=8*$B$12200,$H$12211,0.5*$H$12211*(ABS(IF(ABS($E$12439)&gt;0.000000001,$E$12439,0.000000001))/$B$12200)^(1/3)))/ABS(IF(ABS($E$12439)&gt;0.000000001,$E$12439,0.000000001))*$I$12211)</f>
        <v/>
      </c>
      <c r="E12475" s="19">
        <f>0.5*$E$12439+0.5*$Z$12494</f>
        <v/>
      </c>
      <c r="F12475" s="19">
        <f>$Z$12495</f>
        <v/>
      </c>
    </row>
    <row r="12476">
      <c r="D12476" s="19">
        <f>IF(ABS(IF(ABS($E$12440)&gt;0.000000001,$E$12440,0.000000001))=0,0,IF($E$12212&lt;=$B$12198,0,IF(ABS(IF(ABS($E$12440)&gt;0.000000001,$E$12440,0.000000001))&gt;=8*$B$12200,$H$12212,0.5*$H$12212*(ABS(IF(ABS($E$12440)&gt;0.000000001,$E$12440,0.000000001))/$B$12200)^(1/3)))/ABS(IF(ABS($E$12440)&gt;0.000000001,$E$12440,0.000000001))*$I$12212)</f>
        <v/>
      </c>
      <c r="E12476" s="19">
        <f>0.5*$E$12440+0.5*$Z$12496</f>
        <v/>
      </c>
      <c r="F12476" s="19">
        <f>$Z$12497</f>
        <v/>
      </c>
    </row>
    <row r="12477">
      <c r="D12477" s="19">
        <f>IF(ABS(IF(ABS($E$12441)&gt;0.000000001,$E$12441,0.000000001))=0,0,IF($E$12213&lt;=$B$12198,0,IF(ABS(IF(ABS($E$12441)&gt;0.000000001,$E$12441,0.000000001))&gt;=8*$B$12200,$H$12213,0.5*$H$12213*(ABS(IF(ABS($E$12441)&gt;0.000000001,$E$12441,0.000000001))/$B$12200)^(1/3)))/ABS(IF(ABS($E$12441)&gt;0.000000001,$E$12441,0.000000001))*$I$12213)</f>
        <v/>
      </c>
      <c r="E12477" s="19">
        <f>0.5*$E$12441+0.5*$Z$12498</f>
        <v/>
      </c>
      <c r="F12477" s="19">
        <f>$Z$12499</f>
        <v/>
      </c>
    </row>
    <row r="12478">
      <c r="D12478" s="19">
        <f>IF(ABS(IF(ABS($E$12442)&gt;0.000000001,$E$12442,0.000000001))=0,0,IF($E$12214&lt;=$B$12198,0,IF(ABS(IF(ABS($E$12442)&gt;0.000000001,$E$12442,0.000000001))&gt;=8*$B$12200,$H$12214,0.5*$H$12214*(ABS(IF(ABS($E$12442)&gt;0.000000001,$E$12442,0.000000001))/$B$12200)^(1/3)))/ABS(IF(ABS($E$12442)&gt;0.000000001,$E$12442,0.000000001))*$I$12214)</f>
        <v/>
      </c>
      <c r="E12478" s="19">
        <f>0.5*$E$12442+0.5*$Z$12500</f>
        <v/>
      </c>
      <c r="F12478" s="19">
        <f>$Z$12501</f>
        <v/>
      </c>
    </row>
    <row r="12480">
      <c r="D12480" s="21">
        <f>$B$12189+$D$12468</f>
        <v/>
      </c>
      <c r="E12480" s="21">
        <f>$B$12190</f>
        <v/>
      </c>
      <c r="F12480" s="21">
        <f>-$B$12189</f>
        <v/>
      </c>
      <c r="G12480" s="21">
        <f>$B$12190</f>
        <v/>
      </c>
      <c r="H12480" s="21" t="n">
        <v>0</v>
      </c>
      <c r="I12480" s="21" t="n">
        <v>0</v>
      </c>
      <c r="J12480" s="21" t="n">
        <v>0</v>
      </c>
      <c r="K12480" s="21" t="n">
        <v>0</v>
      </c>
      <c r="L12480" s="21" t="n">
        <v>0</v>
      </c>
      <c r="M12480" s="21" t="n">
        <v>0</v>
      </c>
      <c r="N12480" s="21" t="n">
        <v>0</v>
      </c>
      <c r="O12480" s="21" t="n">
        <v>0</v>
      </c>
      <c r="P12480" s="21" t="n">
        <v>0</v>
      </c>
      <c r="Q12480" s="21" t="n">
        <v>0</v>
      </c>
      <c r="R12480" s="21" t="n">
        <v>0</v>
      </c>
      <c r="S12480" s="21" t="n">
        <v>0</v>
      </c>
      <c r="T12480" s="21" t="n">
        <v>0</v>
      </c>
      <c r="U12480" s="21" t="n">
        <v>0</v>
      </c>
      <c r="V12480" s="21" t="n">
        <v>0</v>
      </c>
      <c r="W12480" s="21" t="n">
        <v>0</v>
      </c>
      <c r="X12480" s="21" t="n">
        <v>0</v>
      </c>
      <c r="Y12480" s="21" t="n">
        <v>0</v>
      </c>
      <c r="Z12480" s="19">
        <f t="array" ref="Z12480:Z12501">MMULT(MINVERSE($D$12480:$Y$12501),$D$12216:$D$12237)</f>
        <v/>
      </c>
    </row>
    <row r="12481">
      <c r="D12481" s="21">
        <f>$B$12190</f>
        <v/>
      </c>
      <c r="E12481" s="21">
        <f>$B$12191</f>
        <v/>
      </c>
      <c r="F12481" s="21">
        <f>-$B$12190</f>
        <v/>
      </c>
      <c r="G12481" s="21">
        <f>$B$12192</f>
        <v/>
      </c>
      <c r="H12481" s="21" t="n">
        <v>0</v>
      </c>
      <c r="I12481" s="21" t="n">
        <v>0</v>
      </c>
      <c r="J12481" s="21" t="n">
        <v>0</v>
      </c>
      <c r="K12481" s="21" t="n">
        <v>0</v>
      </c>
      <c r="L12481" s="21" t="n">
        <v>0</v>
      </c>
      <c r="M12481" s="21" t="n">
        <v>0</v>
      </c>
      <c r="N12481" s="21" t="n">
        <v>0</v>
      </c>
      <c r="O12481" s="21" t="n">
        <v>0</v>
      </c>
      <c r="P12481" s="21" t="n">
        <v>0</v>
      </c>
      <c r="Q12481" s="21" t="n">
        <v>0</v>
      </c>
      <c r="R12481" s="21" t="n">
        <v>0</v>
      </c>
      <c r="S12481" s="21" t="n">
        <v>0</v>
      </c>
      <c r="T12481" s="21" t="n">
        <v>0</v>
      </c>
      <c r="U12481" s="21" t="n">
        <v>0</v>
      </c>
      <c r="V12481" s="21" t="n">
        <v>0</v>
      </c>
      <c r="W12481" s="21" t="n">
        <v>0</v>
      </c>
      <c r="X12481" s="21" t="n">
        <v>0</v>
      </c>
      <c r="Y12481" s="21" t="n">
        <v>0</v>
      </c>
      <c r="Z12481" s="19" t="n"/>
    </row>
    <row r="12482">
      <c r="D12482" s="21">
        <f>-$B$12189</f>
        <v/>
      </c>
      <c r="E12482" s="21">
        <f>-$B$12190</f>
        <v/>
      </c>
      <c r="F12482" s="21">
        <f>2*$B$12189+$D$12469</f>
        <v/>
      </c>
      <c r="G12482" s="21">
        <f>0</f>
        <v/>
      </c>
      <c r="H12482" s="21">
        <f>-$B$12189</f>
        <v/>
      </c>
      <c r="I12482" s="21">
        <f>$B$12190</f>
        <v/>
      </c>
      <c r="J12482" s="21" t="n">
        <v>0</v>
      </c>
      <c r="K12482" s="21" t="n">
        <v>0</v>
      </c>
      <c r="L12482" s="21" t="n">
        <v>0</v>
      </c>
      <c r="M12482" s="21" t="n">
        <v>0</v>
      </c>
      <c r="N12482" s="21" t="n">
        <v>0</v>
      </c>
      <c r="O12482" s="21" t="n">
        <v>0</v>
      </c>
      <c r="P12482" s="21" t="n">
        <v>0</v>
      </c>
      <c r="Q12482" s="21" t="n">
        <v>0</v>
      </c>
      <c r="R12482" s="21" t="n">
        <v>0</v>
      </c>
      <c r="S12482" s="21" t="n">
        <v>0</v>
      </c>
      <c r="T12482" s="21" t="n">
        <v>0</v>
      </c>
      <c r="U12482" s="21" t="n">
        <v>0</v>
      </c>
      <c r="V12482" s="21" t="n">
        <v>0</v>
      </c>
      <c r="W12482" s="21" t="n">
        <v>0</v>
      </c>
      <c r="X12482" s="21" t="n">
        <v>0</v>
      </c>
      <c r="Y12482" s="21" t="n">
        <v>0</v>
      </c>
      <c r="Z12482" s="19" t="n"/>
    </row>
    <row r="12483">
      <c r="D12483" s="21">
        <f>$B$12190</f>
        <v/>
      </c>
      <c r="E12483" s="21">
        <f>$B$12192</f>
        <v/>
      </c>
      <c r="F12483" s="21">
        <f>0</f>
        <v/>
      </c>
      <c r="G12483" s="21">
        <f>2*$B$12191</f>
        <v/>
      </c>
      <c r="H12483" s="21">
        <f>-$B$12190</f>
        <v/>
      </c>
      <c r="I12483" s="21">
        <f>$B$12192</f>
        <v/>
      </c>
      <c r="J12483" s="21" t="n">
        <v>0</v>
      </c>
      <c r="K12483" s="21" t="n">
        <v>0</v>
      </c>
      <c r="L12483" s="21" t="n">
        <v>0</v>
      </c>
      <c r="M12483" s="21" t="n">
        <v>0</v>
      </c>
      <c r="N12483" s="21" t="n">
        <v>0</v>
      </c>
      <c r="O12483" s="21" t="n">
        <v>0</v>
      </c>
      <c r="P12483" s="21" t="n">
        <v>0</v>
      </c>
      <c r="Q12483" s="21" t="n">
        <v>0</v>
      </c>
      <c r="R12483" s="21" t="n">
        <v>0</v>
      </c>
      <c r="S12483" s="21" t="n">
        <v>0</v>
      </c>
      <c r="T12483" s="21" t="n">
        <v>0</v>
      </c>
      <c r="U12483" s="21" t="n">
        <v>0</v>
      </c>
      <c r="V12483" s="21" t="n">
        <v>0</v>
      </c>
      <c r="W12483" s="21" t="n">
        <v>0</v>
      </c>
      <c r="X12483" s="21" t="n">
        <v>0</v>
      </c>
      <c r="Y12483" s="21" t="n">
        <v>0</v>
      </c>
      <c r="Z12483" s="19" t="n"/>
    </row>
    <row r="12484">
      <c r="D12484" s="21" t="n">
        <v>0</v>
      </c>
      <c r="E12484" s="21" t="n">
        <v>0</v>
      </c>
      <c r="F12484" s="21">
        <f>-$B$12189</f>
        <v/>
      </c>
      <c r="G12484" s="21">
        <f>-$B$12190</f>
        <v/>
      </c>
      <c r="H12484" s="21">
        <f>2*$B$12189+$D$12470</f>
        <v/>
      </c>
      <c r="I12484" s="21">
        <f>0</f>
        <v/>
      </c>
      <c r="J12484" s="21">
        <f>-$B$12189</f>
        <v/>
      </c>
      <c r="K12484" s="21">
        <f>$B$12190</f>
        <v/>
      </c>
      <c r="L12484" s="21" t="n">
        <v>0</v>
      </c>
      <c r="M12484" s="21" t="n">
        <v>0</v>
      </c>
      <c r="N12484" s="21" t="n">
        <v>0</v>
      </c>
      <c r="O12484" s="21" t="n">
        <v>0</v>
      </c>
      <c r="P12484" s="21" t="n">
        <v>0</v>
      </c>
      <c r="Q12484" s="21" t="n">
        <v>0</v>
      </c>
      <c r="R12484" s="21" t="n">
        <v>0</v>
      </c>
      <c r="S12484" s="21" t="n">
        <v>0</v>
      </c>
      <c r="T12484" s="21" t="n">
        <v>0</v>
      </c>
      <c r="U12484" s="21" t="n">
        <v>0</v>
      </c>
      <c r="V12484" s="21" t="n">
        <v>0</v>
      </c>
      <c r="W12484" s="21" t="n">
        <v>0</v>
      </c>
      <c r="X12484" s="21" t="n">
        <v>0</v>
      </c>
      <c r="Y12484" s="21" t="n">
        <v>0</v>
      </c>
      <c r="Z12484" s="19" t="n"/>
    </row>
    <row r="12485">
      <c r="D12485" s="21" t="n">
        <v>0</v>
      </c>
      <c r="E12485" s="21" t="n">
        <v>0</v>
      </c>
      <c r="F12485" s="21">
        <f>$B$12190</f>
        <v/>
      </c>
      <c r="G12485" s="21">
        <f>$B$12192</f>
        <v/>
      </c>
      <c r="H12485" s="21">
        <f>0</f>
        <v/>
      </c>
      <c r="I12485" s="21">
        <f>2*$B$12191</f>
        <v/>
      </c>
      <c r="J12485" s="21">
        <f>-$B$12190</f>
        <v/>
      </c>
      <c r="K12485" s="21">
        <f>$B$12192</f>
        <v/>
      </c>
      <c r="L12485" s="21" t="n">
        <v>0</v>
      </c>
      <c r="M12485" s="21" t="n">
        <v>0</v>
      </c>
      <c r="N12485" s="21" t="n">
        <v>0</v>
      </c>
      <c r="O12485" s="21" t="n">
        <v>0</v>
      </c>
      <c r="P12485" s="21" t="n">
        <v>0</v>
      </c>
      <c r="Q12485" s="21" t="n">
        <v>0</v>
      </c>
      <c r="R12485" s="21" t="n">
        <v>0</v>
      </c>
      <c r="S12485" s="21" t="n">
        <v>0</v>
      </c>
      <c r="T12485" s="21" t="n">
        <v>0</v>
      </c>
      <c r="U12485" s="21" t="n">
        <v>0</v>
      </c>
      <c r="V12485" s="21" t="n">
        <v>0</v>
      </c>
      <c r="W12485" s="21" t="n">
        <v>0</v>
      </c>
      <c r="X12485" s="21" t="n">
        <v>0</v>
      </c>
      <c r="Y12485" s="21" t="n">
        <v>0</v>
      </c>
      <c r="Z12485" s="19" t="n"/>
    </row>
    <row r="12486">
      <c r="D12486" s="21" t="n">
        <v>0</v>
      </c>
      <c r="E12486" s="21" t="n">
        <v>0</v>
      </c>
      <c r="F12486" s="21" t="n">
        <v>0</v>
      </c>
      <c r="G12486" s="21" t="n">
        <v>0</v>
      </c>
      <c r="H12486" s="21">
        <f>-$B$12189</f>
        <v/>
      </c>
      <c r="I12486" s="21">
        <f>-$B$12190</f>
        <v/>
      </c>
      <c r="J12486" s="21">
        <f>2*$B$12189+$D$12471</f>
        <v/>
      </c>
      <c r="K12486" s="21">
        <f>0</f>
        <v/>
      </c>
      <c r="L12486" s="21">
        <f>-$B$12189</f>
        <v/>
      </c>
      <c r="M12486" s="21">
        <f>$B$12190</f>
        <v/>
      </c>
      <c r="N12486" s="21" t="n">
        <v>0</v>
      </c>
      <c r="O12486" s="21" t="n">
        <v>0</v>
      </c>
      <c r="P12486" s="21" t="n">
        <v>0</v>
      </c>
      <c r="Q12486" s="21" t="n">
        <v>0</v>
      </c>
      <c r="R12486" s="21" t="n">
        <v>0</v>
      </c>
      <c r="S12486" s="21" t="n">
        <v>0</v>
      </c>
      <c r="T12486" s="21" t="n">
        <v>0</v>
      </c>
      <c r="U12486" s="21" t="n">
        <v>0</v>
      </c>
      <c r="V12486" s="21" t="n">
        <v>0</v>
      </c>
      <c r="W12486" s="21" t="n">
        <v>0</v>
      </c>
      <c r="X12486" s="21" t="n">
        <v>0</v>
      </c>
      <c r="Y12486" s="21" t="n">
        <v>0</v>
      </c>
      <c r="Z12486" s="19" t="n"/>
    </row>
    <row r="12487">
      <c r="D12487" s="21" t="n">
        <v>0</v>
      </c>
      <c r="E12487" s="21" t="n">
        <v>0</v>
      </c>
      <c r="F12487" s="21" t="n">
        <v>0</v>
      </c>
      <c r="G12487" s="21" t="n">
        <v>0</v>
      </c>
      <c r="H12487" s="21">
        <f>$B$12190</f>
        <v/>
      </c>
      <c r="I12487" s="21">
        <f>$B$12192</f>
        <v/>
      </c>
      <c r="J12487" s="21">
        <f>0</f>
        <v/>
      </c>
      <c r="K12487" s="21">
        <f>2*$B$12191</f>
        <v/>
      </c>
      <c r="L12487" s="21">
        <f>-$B$12190</f>
        <v/>
      </c>
      <c r="M12487" s="21">
        <f>$B$12192</f>
        <v/>
      </c>
      <c r="N12487" s="21" t="n">
        <v>0</v>
      </c>
      <c r="O12487" s="21" t="n">
        <v>0</v>
      </c>
      <c r="P12487" s="21" t="n">
        <v>0</v>
      </c>
      <c r="Q12487" s="21" t="n">
        <v>0</v>
      </c>
      <c r="R12487" s="21" t="n">
        <v>0</v>
      </c>
      <c r="S12487" s="21" t="n">
        <v>0</v>
      </c>
      <c r="T12487" s="21" t="n">
        <v>0</v>
      </c>
      <c r="U12487" s="21" t="n">
        <v>0</v>
      </c>
      <c r="V12487" s="21" t="n">
        <v>0</v>
      </c>
      <c r="W12487" s="21" t="n">
        <v>0</v>
      </c>
      <c r="X12487" s="21" t="n">
        <v>0</v>
      </c>
      <c r="Y12487" s="21" t="n">
        <v>0</v>
      </c>
      <c r="Z12487" s="19" t="n"/>
    </row>
    <row r="12488">
      <c r="D12488" s="21" t="n">
        <v>0</v>
      </c>
      <c r="E12488" s="21" t="n">
        <v>0</v>
      </c>
      <c r="F12488" s="21" t="n">
        <v>0</v>
      </c>
      <c r="G12488" s="21" t="n">
        <v>0</v>
      </c>
      <c r="H12488" s="21" t="n">
        <v>0</v>
      </c>
      <c r="I12488" s="21" t="n">
        <v>0</v>
      </c>
      <c r="J12488" s="21">
        <f>-$B$12189</f>
        <v/>
      </c>
      <c r="K12488" s="21">
        <f>-$B$12190</f>
        <v/>
      </c>
      <c r="L12488" s="21">
        <f>2*$B$12189+$D$12472</f>
        <v/>
      </c>
      <c r="M12488" s="21">
        <f>0</f>
        <v/>
      </c>
      <c r="N12488" s="21">
        <f>-$B$12189</f>
        <v/>
      </c>
      <c r="O12488" s="21">
        <f>$B$12190</f>
        <v/>
      </c>
      <c r="P12488" s="21" t="n">
        <v>0</v>
      </c>
      <c r="Q12488" s="21" t="n">
        <v>0</v>
      </c>
      <c r="R12488" s="21" t="n">
        <v>0</v>
      </c>
      <c r="S12488" s="21" t="n">
        <v>0</v>
      </c>
      <c r="T12488" s="21" t="n">
        <v>0</v>
      </c>
      <c r="U12488" s="21" t="n">
        <v>0</v>
      </c>
      <c r="V12488" s="21" t="n">
        <v>0</v>
      </c>
      <c r="W12488" s="21" t="n">
        <v>0</v>
      </c>
      <c r="X12488" s="21" t="n">
        <v>0</v>
      </c>
      <c r="Y12488" s="21" t="n">
        <v>0</v>
      </c>
      <c r="Z12488" s="19" t="n"/>
    </row>
    <row r="12489">
      <c r="D12489" s="21" t="n">
        <v>0</v>
      </c>
      <c r="E12489" s="21" t="n">
        <v>0</v>
      </c>
      <c r="F12489" s="21" t="n">
        <v>0</v>
      </c>
      <c r="G12489" s="21" t="n">
        <v>0</v>
      </c>
      <c r="H12489" s="21" t="n">
        <v>0</v>
      </c>
      <c r="I12489" s="21" t="n">
        <v>0</v>
      </c>
      <c r="J12489" s="21">
        <f>$B$12190</f>
        <v/>
      </c>
      <c r="K12489" s="21">
        <f>$B$12192</f>
        <v/>
      </c>
      <c r="L12489" s="21">
        <f>0</f>
        <v/>
      </c>
      <c r="M12489" s="21">
        <f>2*$B$12191</f>
        <v/>
      </c>
      <c r="N12489" s="21">
        <f>-$B$12190</f>
        <v/>
      </c>
      <c r="O12489" s="21">
        <f>$B$12192</f>
        <v/>
      </c>
      <c r="P12489" s="21" t="n">
        <v>0</v>
      </c>
      <c r="Q12489" s="21" t="n">
        <v>0</v>
      </c>
      <c r="R12489" s="21" t="n">
        <v>0</v>
      </c>
      <c r="S12489" s="21" t="n">
        <v>0</v>
      </c>
      <c r="T12489" s="21" t="n">
        <v>0</v>
      </c>
      <c r="U12489" s="21" t="n">
        <v>0</v>
      </c>
      <c r="V12489" s="21" t="n">
        <v>0</v>
      </c>
      <c r="W12489" s="21" t="n">
        <v>0</v>
      </c>
      <c r="X12489" s="21" t="n">
        <v>0</v>
      </c>
      <c r="Y12489" s="21" t="n">
        <v>0</v>
      </c>
      <c r="Z12489" s="19" t="n"/>
    </row>
    <row r="12490">
      <c r="D12490" s="21" t="n">
        <v>0</v>
      </c>
      <c r="E12490" s="21" t="n">
        <v>0</v>
      </c>
      <c r="F12490" s="21" t="n">
        <v>0</v>
      </c>
      <c r="G12490" s="21" t="n">
        <v>0</v>
      </c>
      <c r="H12490" s="21" t="n">
        <v>0</v>
      </c>
      <c r="I12490" s="21" t="n">
        <v>0</v>
      </c>
      <c r="J12490" s="21" t="n">
        <v>0</v>
      </c>
      <c r="K12490" s="21" t="n">
        <v>0</v>
      </c>
      <c r="L12490" s="21">
        <f>-$B$12189</f>
        <v/>
      </c>
      <c r="M12490" s="21">
        <f>-$B$12190</f>
        <v/>
      </c>
      <c r="N12490" s="21">
        <f>2*$B$12189+$D$12473</f>
        <v/>
      </c>
      <c r="O12490" s="21">
        <f>0</f>
        <v/>
      </c>
      <c r="P12490" s="21">
        <f>-$B$12189</f>
        <v/>
      </c>
      <c r="Q12490" s="21">
        <f>$B$12190</f>
        <v/>
      </c>
      <c r="R12490" s="21" t="n">
        <v>0</v>
      </c>
      <c r="S12490" s="21" t="n">
        <v>0</v>
      </c>
      <c r="T12490" s="21" t="n">
        <v>0</v>
      </c>
      <c r="U12490" s="21" t="n">
        <v>0</v>
      </c>
      <c r="V12490" s="21" t="n">
        <v>0</v>
      </c>
      <c r="W12490" s="21" t="n">
        <v>0</v>
      </c>
      <c r="X12490" s="21" t="n">
        <v>0</v>
      </c>
      <c r="Y12490" s="21" t="n">
        <v>0</v>
      </c>
      <c r="Z12490" s="19" t="n"/>
    </row>
    <row r="12491">
      <c r="D12491" s="21" t="n">
        <v>0</v>
      </c>
      <c r="E12491" s="21" t="n">
        <v>0</v>
      </c>
      <c r="F12491" s="21" t="n">
        <v>0</v>
      </c>
      <c r="G12491" s="21" t="n">
        <v>0</v>
      </c>
      <c r="H12491" s="21" t="n">
        <v>0</v>
      </c>
      <c r="I12491" s="21" t="n">
        <v>0</v>
      </c>
      <c r="J12491" s="21" t="n">
        <v>0</v>
      </c>
      <c r="K12491" s="21" t="n">
        <v>0</v>
      </c>
      <c r="L12491" s="21">
        <f>$B$12190</f>
        <v/>
      </c>
      <c r="M12491" s="21">
        <f>$B$12192</f>
        <v/>
      </c>
      <c r="N12491" s="21">
        <f>0</f>
        <v/>
      </c>
      <c r="O12491" s="21">
        <f>2*$B$12191</f>
        <v/>
      </c>
      <c r="P12491" s="21">
        <f>-$B$12190</f>
        <v/>
      </c>
      <c r="Q12491" s="21">
        <f>$B$12192</f>
        <v/>
      </c>
      <c r="R12491" s="21" t="n">
        <v>0</v>
      </c>
      <c r="S12491" s="21" t="n">
        <v>0</v>
      </c>
      <c r="T12491" s="21" t="n">
        <v>0</v>
      </c>
      <c r="U12491" s="21" t="n">
        <v>0</v>
      </c>
      <c r="V12491" s="21" t="n">
        <v>0</v>
      </c>
      <c r="W12491" s="21" t="n">
        <v>0</v>
      </c>
      <c r="X12491" s="21" t="n">
        <v>0</v>
      </c>
      <c r="Y12491" s="21" t="n">
        <v>0</v>
      </c>
      <c r="Z12491" s="19" t="n"/>
    </row>
    <row r="12492">
      <c r="D12492" s="21" t="n">
        <v>0</v>
      </c>
      <c r="E12492" s="21" t="n">
        <v>0</v>
      </c>
      <c r="F12492" s="21" t="n">
        <v>0</v>
      </c>
      <c r="G12492" s="21" t="n">
        <v>0</v>
      </c>
      <c r="H12492" s="21" t="n">
        <v>0</v>
      </c>
      <c r="I12492" s="21" t="n">
        <v>0</v>
      </c>
      <c r="J12492" s="21" t="n">
        <v>0</v>
      </c>
      <c r="K12492" s="21" t="n">
        <v>0</v>
      </c>
      <c r="L12492" s="21" t="n">
        <v>0</v>
      </c>
      <c r="M12492" s="21" t="n">
        <v>0</v>
      </c>
      <c r="N12492" s="21">
        <f>-$B$12189</f>
        <v/>
      </c>
      <c r="O12492" s="21">
        <f>-$B$12190</f>
        <v/>
      </c>
      <c r="P12492" s="21">
        <f>2*$B$12189+$D$12474</f>
        <v/>
      </c>
      <c r="Q12492" s="21">
        <f>0</f>
        <v/>
      </c>
      <c r="R12492" s="21">
        <f>-$B$12189</f>
        <v/>
      </c>
      <c r="S12492" s="21">
        <f>$B$12190</f>
        <v/>
      </c>
      <c r="T12492" s="21" t="n">
        <v>0</v>
      </c>
      <c r="U12492" s="21" t="n">
        <v>0</v>
      </c>
      <c r="V12492" s="21" t="n">
        <v>0</v>
      </c>
      <c r="W12492" s="21" t="n">
        <v>0</v>
      </c>
      <c r="X12492" s="21" t="n">
        <v>0</v>
      </c>
      <c r="Y12492" s="21" t="n">
        <v>0</v>
      </c>
      <c r="Z12492" s="19" t="n"/>
    </row>
    <row r="12493">
      <c r="D12493" s="21" t="n">
        <v>0</v>
      </c>
      <c r="E12493" s="21" t="n">
        <v>0</v>
      </c>
      <c r="F12493" s="21" t="n">
        <v>0</v>
      </c>
      <c r="G12493" s="21" t="n">
        <v>0</v>
      </c>
      <c r="H12493" s="21" t="n">
        <v>0</v>
      </c>
      <c r="I12493" s="21" t="n">
        <v>0</v>
      </c>
      <c r="J12493" s="21" t="n">
        <v>0</v>
      </c>
      <c r="K12493" s="21" t="n">
        <v>0</v>
      </c>
      <c r="L12493" s="21" t="n">
        <v>0</v>
      </c>
      <c r="M12493" s="21" t="n">
        <v>0</v>
      </c>
      <c r="N12493" s="21">
        <f>$B$12190</f>
        <v/>
      </c>
      <c r="O12493" s="21">
        <f>$B$12192</f>
        <v/>
      </c>
      <c r="P12493" s="21">
        <f>0</f>
        <v/>
      </c>
      <c r="Q12493" s="21">
        <f>2*$B$12191</f>
        <v/>
      </c>
      <c r="R12493" s="21">
        <f>-$B$12190</f>
        <v/>
      </c>
      <c r="S12493" s="21">
        <f>$B$12192</f>
        <v/>
      </c>
      <c r="T12493" s="21" t="n">
        <v>0</v>
      </c>
      <c r="U12493" s="21" t="n">
        <v>0</v>
      </c>
      <c r="V12493" s="21" t="n">
        <v>0</v>
      </c>
      <c r="W12493" s="21" t="n">
        <v>0</v>
      </c>
      <c r="X12493" s="21" t="n">
        <v>0</v>
      </c>
      <c r="Y12493" s="21" t="n">
        <v>0</v>
      </c>
      <c r="Z12493" s="19" t="n"/>
    </row>
    <row r="12494">
      <c r="D12494" s="21" t="n">
        <v>0</v>
      </c>
      <c r="E12494" s="21" t="n">
        <v>0</v>
      </c>
      <c r="F12494" s="21" t="n">
        <v>0</v>
      </c>
      <c r="G12494" s="21" t="n">
        <v>0</v>
      </c>
      <c r="H12494" s="21" t="n">
        <v>0</v>
      </c>
      <c r="I12494" s="21" t="n">
        <v>0</v>
      </c>
      <c r="J12494" s="21" t="n">
        <v>0</v>
      </c>
      <c r="K12494" s="21" t="n">
        <v>0</v>
      </c>
      <c r="L12494" s="21" t="n">
        <v>0</v>
      </c>
      <c r="M12494" s="21" t="n">
        <v>0</v>
      </c>
      <c r="N12494" s="21" t="n">
        <v>0</v>
      </c>
      <c r="O12494" s="21" t="n">
        <v>0</v>
      </c>
      <c r="P12494" s="21">
        <f>-$B$12189</f>
        <v/>
      </c>
      <c r="Q12494" s="21">
        <f>-$B$12190</f>
        <v/>
      </c>
      <c r="R12494" s="21">
        <f>2*$B$12189+$D$12475</f>
        <v/>
      </c>
      <c r="S12494" s="21">
        <f>0</f>
        <v/>
      </c>
      <c r="T12494" s="21">
        <f>-$B$12189</f>
        <v/>
      </c>
      <c r="U12494" s="21">
        <f>$B$12190</f>
        <v/>
      </c>
      <c r="V12494" s="21" t="n">
        <v>0</v>
      </c>
      <c r="W12494" s="21" t="n">
        <v>0</v>
      </c>
      <c r="X12494" s="21" t="n">
        <v>0</v>
      </c>
      <c r="Y12494" s="21" t="n">
        <v>0</v>
      </c>
      <c r="Z12494" s="19" t="n"/>
    </row>
    <row r="12495">
      <c r="D12495" s="21" t="n">
        <v>0</v>
      </c>
      <c r="E12495" s="21" t="n">
        <v>0</v>
      </c>
      <c r="F12495" s="21" t="n">
        <v>0</v>
      </c>
      <c r="G12495" s="21" t="n">
        <v>0</v>
      </c>
      <c r="H12495" s="21" t="n">
        <v>0</v>
      </c>
      <c r="I12495" s="21" t="n">
        <v>0</v>
      </c>
      <c r="J12495" s="21" t="n">
        <v>0</v>
      </c>
      <c r="K12495" s="21" t="n">
        <v>0</v>
      </c>
      <c r="L12495" s="21" t="n">
        <v>0</v>
      </c>
      <c r="M12495" s="21" t="n">
        <v>0</v>
      </c>
      <c r="N12495" s="21" t="n">
        <v>0</v>
      </c>
      <c r="O12495" s="21" t="n">
        <v>0</v>
      </c>
      <c r="P12495" s="21">
        <f>$B$12190</f>
        <v/>
      </c>
      <c r="Q12495" s="21">
        <f>$B$12192</f>
        <v/>
      </c>
      <c r="R12495" s="21">
        <f>0</f>
        <v/>
      </c>
      <c r="S12495" s="21">
        <f>2*$B$12191</f>
        <v/>
      </c>
      <c r="T12495" s="21">
        <f>-$B$12190</f>
        <v/>
      </c>
      <c r="U12495" s="21">
        <f>$B$12192</f>
        <v/>
      </c>
      <c r="V12495" s="21" t="n">
        <v>0</v>
      </c>
      <c r="W12495" s="21" t="n">
        <v>0</v>
      </c>
      <c r="X12495" s="21" t="n">
        <v>0</v>
      </c>
      <c r="Y12495" s="21" t="n">
        <v>0</v>
      </c>
      <c r="Z12495" s="19" t="n"/>
    </row>
    <row r="12496">
      <c r="D12496" s="21" t="n">
        <v>0</v>
      </c>
      <c r="E12496" s="21" t="n">
        <v>0</v>
      </c>
      <c r="F12496" s="21" t="n">
        <v>0</v>
      </c>
      <c r="G12496" s="21" t="n">
        <v>0</v>
      </c>
      <c r="H12496" s="21" t="n">
        <v>0</v>
      </c>
      <c r="I12496" s="21" t="n">
        <v>0</v>
      </c>
      <c r="J12496" s="21" t="n">
        <v>0</v>
      </c>
      <c r="K12496" s="21" t="n">
        <v>0</v>
      </c>
      <c r="L12496" s="21" t="n">
        <v>0</v>
      </c>
      <c r="M12496" s="21" t="n">
        <v>0</v>
      </c>
      <c r="N12496" s="21" t="n">
        <v>0</v>
      </c>
      <c r="O12496" s="21" t="n">
        <v>0</v>
      </c>
      <c r="P12496" s="21" t="n">
        <v>0</v>
      </c>
      <c r="Q12496" s="21" t="n">
        <v>0</v>
      </c>
      <c r="R12496" s="21">
        <f>-$B$12189</f>
        <v/>
      </c>
      <c r="S12496" s="21">
        <f>-$B$12190</f>
        <v/>
      </c>
      <c r="T12496" s="21">
        <f>2*$B$12189+$D$12476</f>
        <v/>
      </c>
      <c r="U12496" s="21">
        <f>0</f>
        <v/>
      </c>
      <c r="V12496" s="21">
        <f>-$B$12189</f>
        <v/>
      </c>
      <c r="W12496" s="21">
        <f>$B$12190</f>
        <v/>
      </c>
      <c r="X12496" s="21" t="n">
        <v>0</v>
      </c>
      <c r="Y12496" s="21" t="n">
        <v>0</v>
      </c>
      <c r="Z12496" s="19" t="n"/>
    </row>
    <row r="12497">
      <c r="D12497" s="21" t="n">
        <v>0</v>
      </c>
      <c r="E12497" s="21" t="n">
        <v>0</v>
      </c>
      <c r="F12497" s="21" t="n">
        <v>0</v>
      </c>
      <c r="G12497" s="21" t="n">
        <v>0</v>
      </c>
      <c r="H12497" s="21" t="n">
        <v>0</v>
      </c>
      <c r="I12497" s="21" t="n">
        <v>0</v>
      </c>
      <c r="J12497" s="21" t="n">
        <v>0</v>
      </c>
      <c r="K12497" s="21" t="n">
        <v>0</v>
      </c>
      <c r="L12497" s="21" t="n">
        <v>0</v>
      </c>
      <c r="M12497" s="21" t="n">
        <v>0</v>
      </c>
      <c r="N12497" s="21" t="n">
        <v>0</v>
      </c>
      <c r="O12497" s="21" t="n">
        <v>0</v>
      </c>
      <c r="P12497" s="21" t="n">
        <v>0</v>
      </c>
      <c r="Q12497" s="21" t="n">
        <v>0</v>
      </c>
      <c r="R12497" s="21">
        <f>$B$12190</f>
        <v/>
      </c>
      <c r="S12497" s="21">
        <f>$B$12192</f>
        <v/>
      </c>
      <c r="T12497" s="21">
        <f>0</f>
        <v/>
      </c>
      <c r="U12497" s="21">
        <f>2*$B$12191</f>
        <v/>
      </c>
      <c r="V12497" s="21">
        <f>-$B$12190</f>
        <v/>
      </c>
      <c r="W12497" s="21">
        <f>$B$12192</f>
        <v/>
      </c>
      <c r="X12497" s="21" t="n">
        <v>0</v>
      </c>
      <c r="Y12497" s="21" t="n">
        <v>0</v>
      </c>
      <c r="Z12497" s="19" t="n"/>
    </row>
    <row r="12498">
      <c r="D12498" s="21" t="n">
        <v>0</v>
      </c>
      <c r="E12498" s="21" t="n">
        <v>0</v>
      </c>
      <c r="F12498" s="21" t="n">
        <v>0</v>
      </c>
      <c r="G12498" s="21" t="n">
        <v>0</v>
      </c>
      <c r="H12498" s="21" t="n">
        <v>0</v>
      </c>
      <c r="I12498" s="21" t="n">
        <v>0</v>
      </c>
      <c r="J12498" s="21" t="n">
        <v>0</v>
      </c>
      <c r="K12498" s="21" t="n">
        <v>0</v>
      </c>
      <c r="L12498" s="21" t="n">
        <v>0</v>
      </c>
      <c r="M12498" s="21" t="n">
        <v>0</v>
      </c>
      <c r="N12498" s="21" t="n">
        <v>0</v>
      </c>
      <c r="O12498" s="21" t="n">
        <v>0</v>
      </c>
      <c r="P12498" s="21" t="n">
        <v>0</v>
      </c>
      <c r="Q12498" s="21" t="n">
        <v>0</v>
      </c>
      <c r="R12498" s="21" t="n">
        <v>0</v>
      </c>
      <c r="S12498" s="21" t="n">
        <v>0</v>
      </c>
      <c r="T12498" s="21">
        <f>-$B$12189</f>
        <v/>
      </c>
      <c r="U12498" s="21">
        <f>-$B$12190</f>
        <v/>
      </c>
      <c r="V12498" s="21">
        <f>2*$B$12189+$D$12477</f>
        <v/>
      </c>
      <c r="W12498" s="21">
        <f>0</f>
        <v/>
      </c>
      <c r="X12498" s="21">
        <f>-$B$12189</f>
        <v/>
      </c>
      <c r="Y12498" s="21">
        <f>$B$12190</f>
        <v/>
      </c>
      <c r="Z12498" s="19" t="n"/>
    </row>
    <row r="12499">
      <c r="D12499" s="21" t="n">
        <v>0</v>
      </c>
      <c r="E12499" s="21" t="n">
        <v>0</v>
      </c>
      <c r="F12499" s="21" t="n">
        <v>0</v>
      </c>
      <c r="G12499" s="21" t="n">
        <v>0</v>
      </c>
      <c r="H12499" s="21" t="n">
        <v>0</v>
      </c>
      <c r="I12499" s="21" t="n">
        <v>0</v>
      </c>
      <c r="J12499" s="21" t="n">
        <v>0</v>
      </c>
      <c r="K12499" s="21" t="n">
        <v>0</v>
      </c>
      <c r="L12499" s="21" t="n">
        <v>0</v>
      </c>
      <c r="M12499" s="21" t="n">
        <v>0</v>
      </c>
      <c r="N12499" s="21" t="n">
        <v>0</v>
      </c>
      <c r="O12499" s="21" t="n">
        <v>0</v>
      </c>
      <c r="P12499" s="21" t="n">
        <v>0</v>
      </c>
      <c r="Q12499" s="21" t="n">
        <v>0</v>
      </c>
      <c r="R12499" s="21" t="n">
        <v>0</v>
      </c>
      <c r="S12499" s="21" t="n">
        <v>0</v>
      </c>
      <c r="T12499" s="21">
        <f>$B$12190</f>
        <v/>
      </c>
      <c r="U12499" s="21">
        <f>$B$12192</f>
        <v/>
      </c>
      <c r="V12499" s="21">
        <f>0</f>
        <v/>
      </c>
      <c r="W12499" s="21">
        <f>2*$B$12191</f>
        <v/>
      </c>
      <c r="X12499" s="21">
        <f>-$B$12190</f>
        <v/>
      </c>
      <c r="Y12499" s="21">
        <f>$B$12192</f>
        <v/>
      </c>
      <c r="Z12499" s="19" t="n"/>
    </row>
    <row r="12500">
      <c r="D12500" s="21" t="n">
        <v>0</v>
      </c>
      <c r="E12500" s="21" t="n">
        <v>0</v>
      </c>
      <c r="F12500" s="21" t="n">
        <v>0</v>
      </c>
      <c r="G12500" s="21" t="n">
        <v>0</v>
      </c>
      <c r="H12500" s="21" t="n">
        <v>0</v>
      </c>
      <c r="I12500" s="21" t="n">
        <v>0</v>
      </c>
      <c r="J12500" s="21" t="n">
        <v>0</v>
      </c>
      <c r="K12500" s="21" t="n">
        <v>0</v>
      </c>
      <c r="L12500" s="21" t="n">
        <v>0</v>
      </c>
      <c r="M12500" s="21" t="n">
        <v>0</v>
      </c>
      <c r="N12500" s="21" t="n">
        <v>0</v>
      </c>
      <c r="O12500" s="21" t="n">
        <v>0</v>
      </c>
      <c r="P12500" s="21" t="n">
        <v>0</v>
      </c>
      <c r="Q12500" s="21" t="n">
        <v>0</v>
      </c>
      <c r="R12500" s="21" t="n">
        <v>0</v>
      </c>
      <c r="S12500" s="21" t="n">
        <v>0</v>
      </c>
      <c r="T12500" s="21" t="n">
        <v>0</v>
      </c>
      <c r="U12500" s="21" t="n">
        <v>0</v>
      </c>
      <c r="V12500" s="21">
        <f>-$B$12189</f>
        <v/>
      </c>
      <c r="W12500" s="21">
        <f>-$B$12190</f>
        <v/>
      </c>
      <c r="X12500" s="21">
        <f>$B$12189+$D$12478</f>
        <v/>
      </c>
      <c r="Y12500" s="21">
        <f>-$B$12190</f>
        <v/>
      </c>
      <c r="Z12500" s="19" t="n"/>
    </row>
    <row r="12501">
      <c r="D12501" s="21" t="n">
        <v>0</v>
      </c>
      <c r="E12501" s="21" t="n">
        <v>0</v>
      </c>
      <c r="F12501" s="21" t="n">
        <v>0</v>
      </c>
      <c r="G12501" s="21" t="n">
        <v>0</v>
      </c>
      <c r="H12501" s="21" t="n">
        <v>0</v>
      </c>
      <c r="I12501" s="21" t="n">
        <v>0</v>
      </c>
      <c r="J12501" s="21" t="n">
        <v>0</v>
      </c>
      <c r="K12501" s="21" t="n">
        <v>0</v>
      </c>
      <c r="L12501" s="21" t="n">
        <v>0</v>
      </c>
      <c r="M12501" s="21" t="n">
        <v>0</v>
      </c>
      <c r="N12501" s="21" t="n">
        <v>0</v>
      </c>
      <c r="O12501" s="21" t="n">
        <v>0</v>
      </c>
      <c r="P12501" s="21" t="n">
        <v>0</v>
      </c>
      <c r="Q12501" s="21" t="n">
        <v>0</v>
      </c>
      <c r="R12501" s="21" t="n">
        <v>0</v>
      </c>
      <c r="S12501" s="21" t="n">
        <v>0</v>
      </c>
      <c r="T12501" s="21" t="n">
        <v>0</v>
      </c>
      <c r="U12501" s="21" t="n">
        <v>0</v>
      </c>
      <c r="V12501" s="21">
        <f>$B$12190</f>
        <v/>
      </c>
      <c r="W12501" s="21">
        <f>$B$12192</f>
        <v/>
      </c>
      <c r="X12501" s="21">
        <f>-$B$12190</f>
        <v/>
      </c>
      <c r="Y12501" s="21">
        <f>$B$12191</f>
        <v/>
      </c>
      <c r="Z12501" s="19" t="n"/>
    </row>
    <row r="12503">
      <c r="A12503" s="8" t="inlineStr">
        <is>
          <t>gen 8</t>
        </is>
      </c>
    </row>
    <row r="12504">
      <c r="D12504" s="19">
        <f>IF(ABS(IF(ABS($E$12468)&gt;0.000000001,$E$12468,0.000000001))=0,0,IF($E$12204&lt;=$B$12198,0,IF(ABS(IF(ABS($E$12468)&gt;0.000000001,$E$12468,0.000000001))&gt;=8*$B$12200,$H$12204,0.5*$H$12204*(ABS(IF(ABS($E$12468)&gt;0.000000001,$E$12468,0.000000001))/$B$12200)^(1/3)))/ABS(IF(ABS($E$12468)&gt;0.000000001,$E$12468,0.000000001))*$I$12204)</f>
        <v/>
      </c>
      <c r="E12504" s="19">
        <f>0.5*$E$12468+0.5*$Z$12516</f>
        <v/>
      </c>
      <c r="F12504" s="19">
        <f>$Z$12517</f>
        <v/>
      </c>
    </row>
    <row r="12505">
      <c r="D12505" s="19">
        <f>IF(ABS(IF(ABS($E$12469)&gt;0.000000001,$E$12469,0.000000001))=0,0,IF($E$12205&lt;=$B$12198,0,IF(ABS(IF(ABS($E$12469)&gt;0.000000001,$E$12469,0.000000001))&gt;=8*$B$12200,$H$12205,0.5*$H$12205*(ABS(IF(ABS($E$12469)&gt;0.000000001,$E$12469,0.000000001))/$B$12200)^(1/3)))/ABS(IF(ABS($E$12469)&gt;0.000000001,$E$12469,0.000000001))*$I$12205)</f>
        <v/>
      </c>
      <c r="E12505" s="19">
        <f>0.5*$E$12469+0.5*$Z$12518</f>
        <v/>
      </c>
      <c r="F12505" s="19">
        <f>$Z$12519</f>
        <v/>
      </c>
    </row>
    <row r="12506">
      <c r="D12506" s="19">
        <f>IF(ABS(IF(ABS($E$12470)&gt;0.000000001,$E$12470,0.000000001))=0,0,IF($E$12206&lt;=$B$12198,0,IF(ABS(IF(ABS($E$12470)&gt;0.000000001,$E$12470,0.000000001))&gt;=8*$B$12200,$H$12206,0.5*$H$12206*(ABS(IF(ABS($E$12470)&gt;0.000000001,$E$12470,0.000000001))/$B$12200)^(1/3)))/ABS(IF(ABS($E$12470)&gt;0.000000001,$E$12470,0.000000001))*$I$12206)</f>
        <v/>
      </c>
      <c r="E12506" s="19">
        <f>0.5*$E$12470+0.5*$Z$12520</f>
        <v/>
      </c>
      <c r="F12506" s="19">
        <f>$Z$12521</f>
        <v/>
      </c>
    </row>
    <row r="12507">
      <c r="D12507" s="19">
        <f>IF(ABS(IF(ABS($E$12471)&gt;0.000000001,$E$12471,0.000000001))=0,0,IF($E$12207&lt;=$B$12198,0,IF(ABS(IF(ABS($E$12471)&gt;0.000000001,$E$12471,0.000000001))&gt;=8*$B$12200,$H$12207,0.5*$H$12207*(ABS(IF(ABS($E$12471)&gt;0.000000001,$E$12471,0.000000001))/$B$12200)^(1/3)))/ABS(IF(ABS($E$12471)&gt;0.000000001,$E$12471,0.000000001))*$I$12207)</f>
        <v/>
      </c>
      <c r="E12507" s="19">
        <f>0.5*$E$12471+0.5*$Z$12522</f>
        <v/>
      </c>
      <c r="F12507" s="19">
        <f>$Z$12523</f>
        <v/>
      </c>
    </row>
    <row r="12508">
      <c r="D12508" s="19">
        <f>IF(ABS(IF(ABS($E$12472)&gt;0.000000001,$E$12472,0.000000001))=0,0,IF($E$12208&lt;=$B$12198,0,IF(ABS(IF(ABS($E$12472)&gt;0.000000001,$E$12472,0.000000001))&gt;=8*$B$12200,$H$12208,0.5*$H$12208*(ABS(IF(ABS($E$12472)&gt;0.000000001,$E$12472,0.000000001))/$B$12200)^(1/3)))/ABS(IF(ABS($E$12472)&gt;0.000000001,$E$12472,0.000000001))*$I$12208)</f>
        <v/>
      </c>
      <c r="E12508" s="19">
        <f>0.5*$E$12472+0.5*$Z$12524</f>
        <v/>
      </c>
      <c r="F12508" s="19">
        <f>$Z$12525</f>
        <v/>
      </c>
    </row>
    <row r="12509">
      <c r="D12509" s="19">
        <f>IF(ABS(IF(ABS($E$12473)&gt;0.000000001,$E$12473,0.000000001))=0,0,IF($E$12209&lt;=$B$12198,0,IF(ABS(IF(ABS($E$12473)&gt;0.000000001,$E$12473,0.000000001))&gt;=8*$B$12200,$H$12209,0.5*$H$12209*(ABS(IF(ABS($E$12473)&gt;0.000000001,$E$12473,0.000000001))/$B$12200)^(1/3)))/ABS(IF(ABS($E$12473)&gt;0.000000001,$E$12473,0.000000001))*$I$12209)</f>
        <v/>
      </c>
      <c r="E12509" s="19">
        <f>0.5*$E$12473+0.5*$Z$12526</f>
        <v/>
      </c>
      <c r="F12509" s="19">
        <f>$Z$12527</f>
        <v/>
      </c>
    </row>
    <row r="12510">
      <c r="D12510" s="19">
        <f>IF(ABS(IF(ABS($E$12474)&gt;0.000000001,$E$12474,0.000000001))=0,0,IF($E$12210&lt;=$B$12198,0,IF(ABS(IF(ABS($E$12474)&gt;0.000000001,$E$12474,0.000000001))&gt;=8*$B$12200,$H$12210,0.5*$H$12210*(ABS(IF(ABS($E$12474)&gt;0.000000001,$E$12474,0.000000001))/$B$12200)^(1/3)))/ABS(IF(ABS($E$12474)&gt;0.000000001,$E$12474,0.000000001))*$I$12210)</f>
        <v/>
      </c>
      <c r="E12510" s="19">
        <f>0.5*$E$12474+0.5*$Z$12528</f>
        <v/>
      </c>
      <c r="F12510" s="19">
        <f>$Z$12529</f>
        <v/>
      </c>
    </row>
    <row r="12511">
      <c r="D12511" s="19">
        <f>IF(ABS(IF(ABS($E$12475)&gt;0.000000001,$E$12475,0.000000001))=0,0,IF($E$12211&lt;=$B$12198,0,IF(ABS(IF(ABS($E$12475)&gt;0.000000001,$E$12475,0.000000001))&gt;=8*$B$12200,$H$12211,0.5*$H$12211*(ABS(IF(ABS($E$12475)&gt;0.000000001,$E$12475,0.000000001))/$B$12200)^(1/3)))/ABS(IF(ABS($E$12475)&gt;0.000000001,$E$12475,0.000000001))*$I$12211)</f>
        <v/>
      </c>
      <c r="E12511" s="19">
        <f>0.5*$E$12475+0.5*$Z$12530</f>
        <v/>
      </c>
      <c r="F12511" s="19">
        <f>$Z$12531</f>
        <v/>
      </c>
    </row>
    <row r="12512">
      <c r="D12512" s="19">
        <f>IF(ABS(IF(ABS($E$12476)&gt;0.000000001,$E$12476,0.000000001))=0,0,IF($E$12212&lt;=$B$12198,0,IF(ABS(IF(ABS($E$12476)&gt;0.000000001,$E$12476,0.000000001))&gt;=8*$B$12200,$H$12212,0.5*$H$12212*(ABS(IF(ABS($E$12476)&gt;0.000000001,$E$12476,0.000000001))/$B$12200)^(1/3)))/ABS(IF(ABS($E$12476)&gt;0.000000001,$E$12476,0.000000001))*$I$12212)</f>
        <v/>
      </c>
      <c r="E12512" s="19">
        <f>0.5*$E$12476+0.5*$Z$12532</f>
        <v/>
      </c>
      <c r="F12512" s="19">
        <f>$Z$12533</f>
        <v/>
      </c>
    </row>
    <row r="12513">
      <c r="D12513" s="19">
        <f>IF(ABS(IF(ABS($E$12477)&gt;0.000000001,$E$12477,0.000000001))=0,0,IF($E$12213&lt;=$B$12198,0,IF(ABS(IF(ABS($E$12477)&gt;0.000000001,$E$12477,0.000000001))&gt;=8*$B$12200,$H$12213,0.5*$H$12213*(ABS(IF(ABS($E$12477)&gt;0.000000001,$E$12477,0.000000001))/$B$12200)^(1/3)))/ABS(IF(ABS($E$12477)&gt;0.000000001,$E$12477,0.000000001))*$I$12213)</f>
        <v/>
      </c>
      <c r="E12513" s="19">
        <f>0.5*$E$12477+0.5*$Z$12534</f>
        <v/>
      </c>
      <c r="F12513" s="19">
        <f>$Z$12535</f>
        <v/>
      </c>
    </row>
    <row r="12514">
      <c r="D12514" s="19">
        <f>IF(ABS(IF(ABS($E$12478)&gt;0.000000001,$E$12478,0.000000001))=0,0,IF($E$12214&lt;=$B$12198,0,IF(ABS(IF(ABS($E$12478)&gt;0.000000001,$E$12478,0.000000001))&gt;=8*$B$12200,$H$12214,0.5*$H$12214*(ABS(IF(ABS($E$12478)&gt;0.000000001,$E$12478,0.000000001))/$B$12200)^(1/3)))/ABS(IF(ABS($E$12478)&gt;0.000000001,$E$12478,0.000000001))*$I$12214)</f>
        <v/>
      </c>
      <c r="E12514" s="19">
        <f>0.5*$E$12478+0.5*$Z$12536</f>
        <v/>
      </c>
      <c r="F12514" s="19">
        <f>$Z$12537</f>
        <v/>
      </c>
    </row>
    <row r="12516">
      <c r="D12516" s="21">
        <f>$B$12189+$D$12504</f>
        <v/>
      </c>
      <c r="E12516" s="21">
        <f>$B$12190</f>
        <v/>
      </c>
      <c r="F12516" s="21">
        <f>-$B$12189</f>
        <v/>
      </c>
      <c r="G12516" s="21">
        <f>$B$12190</f>
        <v/>
      </c>
      <c r="H12516" s="21" t="n">
        <v>0</v>
      </c>
      <c r="I12516" s="21" t="n">
        <v>0</v>
      </c>
      <c r="J12516" s="21" t="n">
        <v>0</v>
      </c>
      <c r="K12516" s="21" t="n">
        <v>0</v>
      </c>
      <c r="L12516" s="21" t="n">
        <v>0</v>
      </c>
      <c r="M12516" s="21" t="n">
        <v>0</v>
      </c>
      <c r="N12516" s="21" t="n">
        <v>0</v>
      </c>
      <c r="O12516" s="21" t="n">
        <v>0</v>
      </c>
      <c r="P12516" s="21" t="n">
        <v>0</v>
      </c>
      <c r="Q12516" s="21" t="n">
        <v>0</v>
      </c>
      <c r="R12516" s="21" t="n">
        <v>0</v>
      </c>
      <c r="S12516" s="21" t="n">
        <v>0</v>
      </c>
      <c r="T12516" s="21" t="n">
        <v>0</v>
      </c>
      <c r="U12516" s="21" t="n">
        <v>0</v>
      </c>
      <c r="V12516" s="21" t="n">
        <v>0</v>
      </c>
      <c r="W12516" s="21" t="n">
        <v>0</v>
      </c>
      <c r="X12516" s="21" t="n">
        <v>0</v>
      </c>
      <c r="Y12516" s="21" t="n">
        <v>0</v>
      </c>
      <c r="Z12516" s="19">
        <f t="array" ref="Z12516:Z12537">MMULT(MINVERSE($D$12516:$Y$12537),$D$12216:$D$12237)</f>
        <v/>
      </c>
    </row>
    <row r="12517">
      <c r="D12517" s="21">
        <f>$B$12190</f>
        <v/>
      </c>
      <c r="E12517" s="21">
        <f>$B$12191</f>
        <v/>
      </c>
      <c r="F12517" s="21">
        <f>-$B$12190</f>
        <v/>
      </c>
      <c r="G12517" s="21">
        <f>$B$12192</f>
        <v/>
      </c>
      <c r="H12517" s="21" t="n">
        <v>0</v>
      </c>
      <c r="I12517" s="21" t="n">
        <v>0</v>
      </c>
      <c r="J12517" s="21" t="n">
        <v>0</v>
      </c>
      <c r="K12517" s="21" t="n">
        <v>0</v>
      </c>
      <c r="L12517" s="21" t="n">
        <v>0</v>
      </c>
      <c r="M12517" s="21" t="n">
        <v>0</v>
      </c>
      <c r="N12517" s="21" t="n">
        <v>0</v>
      </c>
      <c r="O12517" s="21" t="n">
        <v>0</v>
      </c>
      <c r="P12517" s="21" t="n">
        <v>0</v>
      </c>
      <c r="Q12517" s="21" t="n">
        <v>0</v>
      </c>
      <c r="R12517" s="21" t="n">
        <v>0</v>
      </c>
      <c r="S12517" s="21" t="n">
        <v>0</v>
      </c>
      <c r="T12517" s="21" t="n">
        <v>0</v>
      </c>
      <c r="U12517" s="21" t="n">
        <v>0</v>
      </c>
      <c r="V12517" s="21" t="n">
        <v>0</v>
      </c>
      <c r="W12517" s="21" t="n">
        <v>0</v>
      </c>
      <c r="X12517" s="21" t="n">
        <v>0</v>
      </c>
      <c r="Y12517" s="21" t="n">
        <v>0</v>
      </c>
      <c r="Z12517" s="19" t="n"/>
    </row>
    <row r="12518">
      <c r="D12518" s="21">
        <f>-$B$12189</f>
        <v/>
      </c>
      <c r="E12518" s="21">
        <f>-$B$12190</f>
        <v/>
      </c>
      <c r="F12518" s="21">
        <f>2*$B$12189+$D$12505</f>
        <v/>
      </c>
      <c r="G12518" s="21">
        <f>0</f>
        <v/>
      </c>
      <c r="H12518" s="21">
        <f>-$B$12189</f>
        <v/>
      </c>
      <c r="I12518" s="21">
        <f>$B$12190</f>
        <v/>
      </c>
      <c r="J12518" s="21" t="n">
        <v>0</v>
      </c>
      <c r="K12518" s="21" t="n">
        <v>0</v>
      </c>
      <c r="L12518" s="21" t="n">
        <v>0</v>
      </c>
      <c r="M12518" s="21" t="n">
        <v>0</v>
      </c>
      <c r="N12518" s="21" t="n">
        <v>0</v>
      </c>
      <c r="O12518" s="21" t="n">
        <v>0</v>
      </c>
      <c r="P12518" s="21" t="n">
        <v>0</v>
      </c>
      <c r="Q12518" s="21" t="n">
        <v>0</v>
      </c>
      <c r="R12518" s="21" t="n">
        <v>0</v>
      </c>
      <c r="S12518" s="21" t="n">
        <v>0</v>
      </c>
      <c r="T12518" s="21" t="n">
        <v>0</v>
      </c>
      <c r="U12518" s="21" t="n">
        <v>0</v>
      </c>
      <c r="V12518" s="21" t="n">
        <v>0</v>
      </c>
      <c r="W12518" s="21" t="n">
        <v>0</v>
      </c>
      <c r="X12518" s="21" t="n">
        <v>0</v>
      </c>
      <c r="Y12518" s="21" t="n">
        <v>0</v>
      </c>
      <c r="Z12518" s="19" t="n"/>
    </row>
    <row r="12519">
      <c r="D12519" s="21">
        <f>$B$12190</f>
        <v/>
      </c>
      <c r="E12519" s="21">
        <f>$B$12192</f>
        <v/>
      </c>
      <c r="F12519" s="21">
        <f>0</f>
        <v/>
      </c>
      <c r="G12519" s="21">
        <f>2*$B$12191</f>
        <v/>
      </c>
      <c r="H12519" s="21">
        <f>-$B$12190</f>
        <v/>
      </c>
      <c r="I12519" s="21">
        <f>$B$12192</f>
        <v/>
      </c>
      <c r="J12519" s="21" t="n">
        <v>0</v>
      </c>
      <c r="K12519" s="21" t="n">
        <v>0</v>
      </c>
      <c r="L12519" s="21" t="n">
        <v>0</v>
      </c>
      <c r="M12519" s="21" t="n">
        <v>0</v>
      </c>
      <c r="N12519" s="21" t="n">
        <v>0</v>
      </c>
      <c r="O12519" s="21" t="n">
        <v>0</v>
      </c>
      <c r="P12519" s="21" t="n">
        <v>0</v>
      </c>
      <c r="Q12519" s="21" t="n">
        <v>0</v>
      </c>
      <c r="R12519" s="21" t="n">
        <v>0</v>
      </c>
      <c r="S12519" s="21" t="n">
        <v>0</v>
      </c>
      <c r="T12519" s="21" t="n">
        <v>0</v>
      </c>
      <c r="U12519" s="21" t="n">
        <v>0</v>
      </c>
      <c r="V12519" s="21" t="n">
        <v>0</v>
      </c>
      <c r="W12519" s="21" t="n">
        <v>0</v>
      </c>
      <c r="X12519" s="21" t="n">
        <v>0</v>
      </c>
      <c r="Y12519" s="21" t="n">
        <v>0</v>
      </c>
      <c r="Z12519" s="19" t="n"/>
    </row>
    <row r="12520">
      <c r="D12520" s="21" t="n">
        <v>0</v>
      </c>
      <c r="E12520" s="21" t="n">
        <v>0</v>
      </c>
      <c r="F12520" s="21">
        <f>-$B$12189</f>
        <v/>
      </c>
      <c r="G12520" s="21">
        <f>-$B$12190</f>
        <v/>
      </c>
      <c r="H12520" s="21">
        <f>2*$B$12189+$D$12506</f>
        <v/>
      </c>
      <c r="I12520" s="21">
        <f>0</f>
        <v/>
      </c>
      <c r="J12520" s="21">
        <f>-$B$12189</f>
        <v/>
      </c>
      <c r="K12520" s="21">
        <f>$B$12190</f>
        <v/>
      </c>
      <c r="L12520" s="21" t="n">
        <v>0</v>
      </c>
      <c r="M12520" s="21" t="n">
        <v>0</v>
      </c>
      <c r="N12520" s="21" t="n">
        <v>0</v>
      </c>
      <c r="O12520" s="21" t="n">
        <v>0</v>
      </c>
      <c r="P12520" s="21" t="n">
        <v>0</v>
      </c>
      <c r="Q12520" s="21" t="n">
        <v>0</v>
      </c>
      <c r="R12520" s="21" t="n">
        <v>0</v>
      </c>
      <c r="S12520" s="21" t="n">
        <v>0</v>
      </c>
      <c r="T12520" s="21" t="n">
        <v>0</v>
      </c>
      <c r="U12520" s="21" t="n">
        <v>0</v>
      </c>
      <c r="V12520" s="21" t="n">
        <v>0</v>
      </c>
      <c r="W12520" s="21" t="n">
        <v>0</v>
      </c>
      <c r="X12520" s="21" t="n">
        <v>0</v>
      </c>
      <c r="Y12520" s="21" t="n">
        <v>0</v>
      </c>
      <c r="Z12520" s="19" t="n"/>
    </row>
    <row r="12521">
      <c r="D12521" s="21" t="n">
        <v>0</v>
      </c>
      <c r="E12521" s="21" t="n">
        <v>0</v>
      </c>
      <c r="F12521" s="21">
        <f>$B$12190</f>
        <v/>
      </c>
      <c r="G12521" s="21">
        <f>$B$12192</f>
        <v/>
      </c>
      <c r="H12521" s="21">
        <f>0</f>
        <v/>
      </c>
      <c r="I12521" s="21">
        <f>2*$B$12191</f>
        <v/>
      </c>
      <c r="J12521" s="21">
        <f>-$B$12190</f>
        <v/>
      </c>
      <c r="K12521" s="21">
        <f>$B$12192</f>
        <v/>
      </c>
      <c r="L12521" s="21" t="n">
        <v>0</v>
      </c>
      <c r="M12521" s="21" t="n">
        <v>0</v>
      </c>
      <c r="N12521" s="21" t="n">
        <v>0</v>
      </c>
      <c r="O12521" s="21" t="n">
        <v>0</v>
      </c>
      <c r="P12521" s="21" t="n">
        <v>0</v>
      </c>
      <c r="Q12521" s="21" t="n">
        <v>0</v>
      </c>
      <c r="R12521" s="21" t="n">
        <v>0</v>
      </c>
      <c r="S12521" s="21" t="n">
        <v>0</v>
      </c>
      <c r="T12521" s="21" t="n">
        <v>0</v>
      </c>
      <c r="U12521" s="21" t="n">
        <v>0</v>
      </c>
      <c r="V12521" s="21" t="n">
        <v>0</v>
      </c>
      <c r="W12521" s="21" t="n">
        <v>0</v>
      </c>
      <c r="X12521" s="21" t="n">
        <v>0</v>
      </c>
      <c r="Y12521" s="21" t="n">
        <v>0</v>
      </c>
      <c r="Z12521" s="19" t="n"/>
    </row>
    <row r="12522">
      <c r="D12522" s="21" t="n">
        <v>0</v>
      </c>
      <c r="E12522" s="21" t="n">
        <v>0</v>
      </c>
      <c r="F12522" s="21" t="n">
        <v>0</v>
      </c>
      <c r="G12522" s="21" t="n">
        <v>0</v>
      </c>
      <c r="H12522" s="21">
        <f>-$B$12189</f>
        <v/>
      </c>
      <c r="I12522" s="21">
        <f>-$B$12190</f>
        <v/>
      </c>
      <c r="J12522" s="21">
        <f>2*$B$12189+$D$12507</f>
        <v/>
      </c>
      <c r="K12522" s="21">
        <f>0</f>
        <v/>
      </c>
      <c r="L12522" s="21">
        <f>-$B$12189</f>
        <v/>
      </c>
      <c r="M12522" s="21">
        <f>$B$12190</f>
        <v/>
      </c>
      <c r="N12522" s="21" t="n">
        <v>0</v>
      </c>
      <c r="O12522" s="21" t="n">
        <v>0</v>
      </c>
      <c r="P12522" s="21" t="n">
        <v>0</v>
      </c>
      <c r="Q12522" s="21" t="n">
        <v>0</v>
      </c>
      <c r="R12522" s="21" t="n">
        <v>0</v>
      </c>
      <c r="S12522" s="21" t="n">
        <v>0</v>
      </c>
      <c r="T12522" s="21" t="n">
        <v>0</v>
      </c>
      <c r="U12522" s="21" t="n">
        <v>0</v>
      </c>
      <c r="V12522" s="21" t="n">
        <v>0</v>
      </c>
      <c r="W12522" s="21" t="n">
        <v>0</v>
      </c>
      <c r="X12522" s="21" t="n">
        <v>0</v>
      </c>
      <c r="Y12522" s="21" t="n">
        <v>0</v>
      </c>
      <c r="Z12522" s="19" t="n"/>
    </row>
    <row r="12523">
      <c r="D12523" s="21" t="n">
        <v>0</v>
      </c>
      <c r="E12523" s="21" t="n">
        <v>0</v>
      </c>
      <c r="F12523" s="21" t="n">
        <v>0</v>
      </c>
      <c r="G12523" s="21" t="n">
        <v>0</v>
      </c>
      <c r="H12523" s="21">
        <f>$B$12190</f>
        <v/>
      </c>
      <c r="I12523" s="21">
        <f>$B$12192</f>
        <v/>
      </c>
      <c r="J12523" s="21">
        <f>0</f>
        <v/>
      </c>
      <c r="K12523" s="21">
        <f>2*$B$12191</f>
        <v/>
      </c>
      <c r="L12523" s="21">
        <f>-$B$12190</f>
        <v/>
      </c>
      <c r="M12523" s="21">
        <f>$B$12192</f>
        <v/>
      </c>
      <c r="N12523" s="21" t="n">
        <v>0</v>
      </c>
      <c r="O12523" s="21" t="n">
        <v>0</v>
      </c>
      <c r="P12523" s="21" t="n">
        <v>0</v>
      </c>
      <c r="Q12523" s="21" t="n">
        <v>0</v>
      </c>
      <c r="R12523" s="21" t="n">
        <v>0</v>
      </c>
      <c r="S12523" s="21" t="n">
        <v>0</v>
      </c>
      <c r="T12523" s="21" t="n">
        <v>0</v>
      </c>
      <c r="U12523" s="21" t="n">
        <v>0</v>
      </c>
      <c r="V12523" s="21" t="n">
        <v>0</v>
      </c>
      <c r="W12523" s="21" t="n">
        <v>0</v>
      </c>
      <c r="X12523" s="21" t="n">
        <v>0</v>
      </c>
      <c r="Y12523" s="21" t="n">
        <v>0</v>
      </c>
      <c r="Z12523" s="19" t="n"/>
    </row>
    <row r="12524">
      <c r="D12524" s="21" t="n">
        <v>0</v>
      </c>
      <c r="E12524" s="21" t="n">
        <v>0</v>
      </c>
      <c r="F12524" s="21" t="n">
        <v>0</v>
      </c>
      <c r="G12524" s="21" t="n">
        <v>0</v>
      </c>
      <c r="H12524" s="21" t="n">
        <v>0</v>
      </c>
      <c r="I12524" s="21" t="n">
        <v>0</v>
      </c>
      <c r="J12524" s="21">
        <f>-$B$12189</f>
        <v/>
      </c>
      <c r="K12524" s="21">
        <f>-$B$12190</f>
        <v/>
      </c>
      <c r="L12524" s="21">
        <f>2*$B$12189+$D$12508</f>
        <v/>
      </c>
      <c r="M12524" s="21">
        <f>0</f>
        <v/>
      </c>
      <c r="N12524" s="21">
        <f>-$B$12189</f>
        <v/>
      </c>
      <c r="O12524" s="21">
        <f>$B$12190</f>
        <v/>
      </c>
      <c r="P12524" s="21" t="n">
        <v>0</v>
      </c>
      <c r="Q12524" s="21" t="n">
        <v>0</v>
      </c>
      <c r="R12524" s="21" t="n">
        <v>0</v>
      </c>
      <c r="S12524" s="21" t="n">
        <v>0</v>
      </c>
      <c r="T12524" s="21" t="n">
        <v>0</v>
      </c>
      <c r="U12524" s="21" t="n">
        <v>0</v>
      </c>
      <c r="V12524" s="21" t="n">
        <v>0</v>
      </c>
      <c r="W12524" s="21" t="n">
        <v>0</v>
      </c>
      <c r="X12524" s="21" t="n">
        <v>0</v>
      </c>
      <c r="Y12524" s="21" t="n">
        <v>0</v>
      </c>
      <c r="Z12524" s="19" t="n"/>
    </row>
    <row r="12525">
      <c r="D12525" s="21" t="n">
        <v>0</v>
      </c>
      <c r="E12525" s="21" t="n">
        <v>0</v>
      </c>
      <c r="F12525" s="21" t="n">
        <v>0</v>
      </c>
      <c r="G12525" s="21" t="n">
        <v>0</v>
      </c>
      <c r="H12525" s="21" t="n">
        <v>0</v>
      </c>
      <c r="I12525" s="21" t="n">
        <v>0</v>
      </c>
      <c r="J12525" s="21">
        <f>$B$12190</f>
        <v/>
      </c>
      <c r="K12525" s="21">
        <f>$B$12192</f>
        <v/>
      </c>
      <c r="L12525" s="21">
        <f>0</f>
        <v/>
      </c>
      <c r="M12525" s="21">
        <f>2*$B$12191</f>
        <v/>
      </c>
      <c r="N12525" s="21">
        <f>-$B$12190</f>
        <v/>
      </c>
      <c r="O12525" s="21">
        <f>$B$12192</f>
        <v/>
      </c>
      <c r="P12525" s="21" t="n">
        <v>0</v>
      </c>
      <c r="Q12525" s="21" t="n">
        <v>0</v>
      </c>
      <c r="R12525" s="21" t="n">
        <v>0</v>
      </c>
      <c r="S12525" s="21" t="n">
        <v>0</v>
      </c>
      <c r="T12525" s="21" t="n">
        <v>0</v>
      </c>
      <c r="U12525" s="21" t="n">
        <v>0</v>
      </c>
      <c r="V12525" s="21" t="n">
        <v>0</v>
      </c>
      <c r="W12525" s="21" t="n">
        <v>0</v>
      </c>
      <c r="X12525" s="21" t="n">
        <v>0</v>
      </c>
      <c r="Y12525" s="21" t="n">
        <v>0</v>
      </c>
      <c r="Z12525" s="19" t="n"/>
    </row>
    <row r="12526">
      <c r="D12526" s="21" t="n">
        <v>0</v>
      </c>
      <c r="E12526" s="21" t="n">
        <v>0</v>
      </c>
      <c r="F12526" s="21" t="n">
        <v>0</v>
      </c>
      <c r="G12526" s="21" t="n">
        <v>0</v>
      </c>
      <c r="H12526" s="21" t="n">
        <v>0</v>
      </c>
      <c r="I12526" s="21" t="n">
        <v>0</v>
      </c>
      <c r="J12526" s="21" t="n">
        <v>0</v>
      </c>
      <c r="K12526" s="21" t="n">
        <v>0</v>
      </c>
      <c r="L12526" s="21">
        <f>-$B$12189</f>
        <v/>
      </c>
      <c r="M12526" s="21">
        <f>-$B$12190</f>
        <v/>
      </c>
      <c r="N12526" s="21">
        <f>2*$B$12189+$D$12509</f>
        <v/>
      </c>
      <c r="O12526" s="21">
        <f>0</f>
        <v/>
      </c>
      <c r="P12526" s="21">
        <f>-$B$12189</f>
        <v/>
      </c>
      <c r="Q12526" s="21">
        <f>$B$12190</f>
        <v/>
      </c>
      <c r="R12526" s="21" t="n">
        <v>0</v>
      </c>
      <c r="S12526" s="21" t="n">
        <v>0</v>
      </c>
      <c r="T12526" s="21" t="n">
        <v>0</v>
      </c>
      <c r="U12526" s="21" t="n">
        <v>0</v>
      </c>
      <c r="V12526" s="21" t="n">
        <v>0</v>
      </c>
      <c r="W12526" s="21" t="n">
        <v>0</v>
      </c>
      <c r="X12526" s="21" t="n">
        <v>0</v>
      </c>
      <c r="Y12526" s="21" t="n">
        <v>0</v>
      </c>
      <c r="Z12526" s="19" t="n"/>
    </row>
    <row r="12527">
      <c r="D12527" s="21" t="n">
        <v>0</v>
      </c>
      <c r="E12527" s="21" t="n">
        <v>0</v>
      </c>
      <c r="F12527" s="21" t="n">
        <v>0</v>
      </c>
      <c r="G12527" s="21" t="n">
        <v>0</v>
      </c>
      <c r="H12527" s="21" t="n">
        <v>0</v>
      </c>
      <c r="I12527" s="21" t="n">
        <v>0</v>
      </c>
      <c r="J12527" s="21" t="n">
        <v>0</v>
      </c>
      <c r="K12527" s="21" t="n">
        <v>0</v>
      </c>
      <c r="L12527" s="21">
        <f>$B$12190</f>
        <v/>
      </c>
      <c r="M12527" s="21">
        <f>$B$12192</f>
        <v/>
      </c>
      <c r="N12527" s="21">
        <f>0</f>
        <v/>
      </c>
      <c r="O12527" s="21">
        <f>2*$B$12191</f>
        <v/>
      </c>
      <c r="P12527" s="21">
        <f>-$B$12190</f>
        <v/>
      </c>
      <c r="Q12527" s="21">
        <f>$B$12192</f>
        <v/>
      </c>
      <c r="R12527" s="21" t="n">
        <v>0</v>
      </c>
      <c r="S12527" s="21" t="n">
        <v>0</v>
      </c>
      <c r="T12527" s="21" t="n">
        <v>0</v>
      </c>
      <c r="U12527" s="21" t="n">
        <v>0</v>
      </c>
      <c r="V12527" s="21" t="n">
        <v>0</v>
      </c>
      <c r="W12527" s="21" t="n">
        <v>0</v>
      </c>
      <c r="X12527" s="21" t="n">
        <v>0</v>
      </c>
      <c r="Y12527" s="21" t="n">
        <v>0</v>
      </c>
      <c r="Z12527" s="19" t="n"/>
    </row>
    <row r="12528">
      <c r="D12528" s="21" t="n">
        <v>0</v>
      </c>
      <c r="E12528" s="21" t="n">
        <v>0</v>
      </c>
      <c r="F12528" s="21" t="n">
        <v>0</v>
      </c>
      <c r="G12528" s="21" t="n">
        <v>0</v>
      </c>
      <c r="H12528" s="21" t="n">
        <v>0</v>
      </c>
      <c r="I12528" s="21" t="n">
        <v>0</v>
      </c>
      <c r="J12528" s="21" t="n">
        <v>0</v>
      </c>
      <c r="K12528" s="21" t="n">
        <v>0</v>
      </c>
      <c r="L12528" s="21" t="n">
        <v>0</v>
      </c>
      <c r="M12528" s="21" t="n">
        <v>0</v>
      </c>
      <c r="N12528" s="21">
        <f>-$B$12189</f>
        <v/>
      </c>
      <c r="O12528" s="21">
        <f>-$B$12190</f>
        <v/>
      </c>
      <c r="P12528" s="21">
        <f>2*$B$12189+$D$12510</f>
        <v/>
      </c>
      <c r="Q12528" s="21">
        <f>0</f>
        <v/>
      </c>
      <c r="R12528" s="21">
        <f>-$B$12189</f>
        <v/>
      </c>
      <c r="S12528" s="21">
        <f>$B$12190</f>
        <v/>
      </c>
      <c r="T12528" s="21" t="n">
        <v>0</v>
      </c>
      <c r="U12528" s="21" t="n">
        <v>0</v>
      </c>
      <c r="V12528" s="21" t="n">
        <v>0</v>
      </c>
      <c r="W12528" s="21" t="n">
        <v>0</v>
      </c>
      <c r="X12528" s="21" t="n">
        <v>0</v>
      </c>
      <c r="Y12528" s="21" t="n">
        <v>0</v>
      </c>
      <c r="Z12528" s="19" t="n"/>
    </row>
    <row r="12529">
      <c r="D12529" s="21" t="n">
        <v>0</v>
      </c>
      <c r="E12529" s="21" t="n">
        <v>0</v>
      </c>
      <c r="F12529" s="21" t="n">
        <v>0</v>
      </c>
      <c r="G12529" s="21" t="n">
        <v>0</v>
      </c>
      <c r="H12529" s="21" t="n">
        <v>0</v>
      </c>
      <c r="I12529" s="21" t="n">
        <v>0</v>
      </c>
      <c r="J12529" s="21" t="n">
        <v>0</v>
      </c>
      <c r="K12529" s="21" t="n">
        <v>0</v>
      </c>
      <c r="L12529" s="21" t="n">
        <v>0</v>
      </c>
      <c r="M12529" s="21" t="n">
        <v>0</v>
      </c>
      <c r="N12529" s="21">
        <f>$B$12190</f>
        <v/>
      </c>
      <c r="O12529" s="21">
        <f>$B$12192</f>
        <v/>
      </c>
      <c r="P12529" s="21">
        <f>0</f>
        <v/>
      </c>
      <c r="Q12529" s="21">
        <f>2*$B$12191</f>
        <v/>
      </c>
      <c r="R12529" s="21">
        <f>-$B$12190</f>
        <v/>
      </c>
      <c r="S12529" s="21">
        <f>$B$12192</f>
        <v/>
      </c>
      <c r="T12529" s="21" t="n">
        <v>0</v>
      </c>
      <c r="U12529" s="21" t="n">
        <v>0</v>
      </c>
      <c r="V12529" s="21" t="n">
        <v>0</v>
      </c>
      <c r="W12529" s="21" t="n">
        <v>0</v>
      </c>
      <c r="X12529" s="21" t="n">
        <v>0</v>
      </c>
      <c r="Y12529" s="21" t="n">
        <v>0</v>
      </c>
      <c r="Z12529" s="19" t="n"/>
    </row>
    <row r="12530">
      <c r="D12530" s="21" t="n">
        <v>0</v>
      </c>
      <c r="E12530" s="21" t="n">
        <v>0</v>
      </c>
      <c r="F12530" s="21" t="n">
        <v>0</v>
      </c>
      <c r="G12530" s="21" t="n">
        <v>0</v>
      </c>
      <c r="H12530" s="21" t="n">
        <v>0</v>
      </c>
      <c r="I12530" s="21" t="n">
        <v>0</v>
      </c>
      <c r="J12530" s="21" t="n">
        <v>0</v>
      </c>
      <c r="K12530" s="21" t="n">
        <v>0</v>
      </c>
      <c r="L12530" s="21" t="n">
        <v>0</v>
      </c>
      <c r="M12530" s="21" t="n">
        <v>0</v>
      </c>
      <c r="N12530" s="21" t="n">
        <v>0</v>
      </c>
      <c r="O12530" s="21" t="n">
        <v>0</v>
      </c>
      <c r="P12530" s="21">
        <f>-$B$12189</f>
        <v/>
      </c>
      <c r="Q12530" s="21">
        <f>-$B$12190</f>
        <v/>
      </c>
      <c r="R12530" s="21">
        <f>2*$B$12189+$D$12511</f>
        <v/>
      </c>
      <c r="S12530" s="21">
        <f>0</f>
        <v/>
      </c>
      <c r="T12530" s="21">
        <f>-$B$12189</f>
        <v/>
      </c>
      <c r="U12530" s="21">
        <f>$B$12190</f>
        <v/>
      </c>
      <c r="V12530" s="21" t="n">
        <v>0</v>
      </c>
      <c r="W12530" s="21" t="n">
        <v>0</v>
      </c>
      <c r="X12530" s="21" t="n">
        <v>0</v>
      </c>
      <c r="Y12530" s="21" t="n">
        <v>0</v>
      </c>
      <c r="Z12530" s="19" t="n"/>
    </row>
    <row r="12531">
      <c r="D12531" s="21" t="n">
        <v>0</v>
      </c>
      <c r="E12531" s="21" t="n">
        <v>0</v>
      </c>
      <c r="F12531" s="21" t="n">
        <v>0</v>
      </c>
      <c r="G12531" s="21" t="n">
        <v>0</v>
      </c>
      <c r="H12531" s="21" t="n">
        <v>0</v>
      </c>
      <c r="I12531" s="21" t="n">
        <v>0</v>
      </c>
      <c r="J12531" s="21" t="n">
        <v>0</v>
      </c>
      <c r="K12531" s="21" t="n">
        <v>0</v>
      </c>
      <c r="L12531" s="21" t="n">
        <v>0</v>
      </c>
      <c r="M12531" s="21" t="n">
        <v>0</v>
      </c>
      <c r="N12531" s="21" t="n">
        <v>0</v>
      </c>
      <c r="O12531" s="21" t="n">
        <v>0</v>
      </c>
      <c r="P12531" s="21">
        <f>$B$12190</f>
        <v/>
      </c>
      <c r="Q12531" s="21">
        <f>$B$12192</f>
        <v/>
      </c>
      <c r="R12531" s="21">
        <f>0</f>
        <v/>
      </c>
      <c r="S12531" s="21">
        <f>2*$B$12191</f>
        <v/>
      </c>
      <c r="T12531" s="21">
        <f>-$B$12190</f>
        <v/>
      </c>
      <c r="U12531" s="21">
        <f>$B$12192</f>
        <v/>
      </c>
      <c r="V12531" s="21" t="n">
        <v>0</v>
      </c>
      <c r="W12531" s="21" t="n">
        <v>0</v>
      </c>
      <c r="X12531" s="21" t="n">
        <v>0</v>
      </c>
      <c r="Y12531" s="21" t="n">
        <v>0</v>
      </c>
      <c r="Z12531" s="19" t="n"/>
    </row>
    <row r="12532">
      <c r="D12532" s="21" t="n">
        <v>0</v>
      </c>
      <c r="E12532" s="21" t="n">
        <v>0</v>
      </c>
      <c r="F12532" s="21" t="n">
        <v>0</v>
      </c>
      <c r="G12532" s="21" t="n">
        <v>0</v>
      </c>
      <c r="H12532" s="21" t="n">
        <v>0</v>
      </c>
      <c r="I12532" s="21" t="n">
        <v>0</v>
      </c>
      <c r="J12532" s="21" t="n">
        <v>0</v>
      </c>
      <c r="K12532" s="21" t="n">
        <v>0</v>
      </c>
      <c r="L12532" s="21" t="n">
        <v>0</v>
      </c>
      <c r="M12532" s="21" t="n">
        <v>0</v>
      </c>
      <c r="N12532" s="21" t="n">
        <v>0</v>
      </c>
      <c r="O12532" s="21" t="n">
        <v>0</v>
      </c>
      <c r="P12532" s="21" t="n">
        <v>0</v>
      </c>
      <c r="Q12532" s="21" t="n">
        <v>0</v>
      </c>
      <c r="R12532" s="21">
        <f>-$B$12189</f>
        <v/>
      </c>
      <c r="S12532" s="21">
        <f>-$B$12190</f>
        <v/>
      </c>
      <c r="T12532" s="21">
        <f>2*$B$12189+$D$12512</f>
        <v/>
      </c>
      <c r="U12532" s="21">
        <f>0</f>
        <v/>
      </c>
      <c r="V12532" s="21">
        <f>-$B$12189</f>
        <v/>
      </c>
      <c r="W12532" s="21">
        <f>$B$12190</f>
        <v/>
      </c>
      <c r="X12532" s="21" t="n">
        <v>0</v>
      </c>
      <c r="Y12532" s="21" t="n">
        <v>0</v>
      </c>
      <c r="Z12532" s="19" t="n"/>
    </row>
    <row r="12533">
      <c r="D12533" s="21" t="n">
        <v>0</v>
      </c>
      <c r="E12533" s="21" t="n">
        <v>0</v>
      </c>
      <c r="F12533" s="21" t="n">
        <v>0</v>
      </c>
      <c r="G12533" s="21" t="n">
        <v>0</v>
      </c>
      <c r="H12533" s="21" t="n">
        <v>0</v>
      </c>
      <c r="I12533" s="21" t="n">
        <v>0</v>
      </c>
      <c r="J12533" s="21" t="n">
        <v>0</v>
      </c>
      <c r="K12533" s="21" t="n">
        <v>0</v>
      </c>
      <c r="L12533" s="21" t="n">
        <v>0</v>
      </c>
      <c r="M12533" s="21" t="n">
        <v>0</v>
      </c>
      <c r="N12533" s="21" t="n">
        <v>0</v>
      </c>
      <c r="O12533" s="21" t="n">
        <v>0</v>
      </c>
      <c r="P12533" s="21" t="n">
        <v>0</v>
      </c>
      <c r="Q12533" s="21" t="n">
        <v>0</v>
      </c>
      <c r="R12533" s="21">
        <f>$B$12190</f>
        <v/>
      </c>
      <c r="S12533" s="21">
        <f>$B$12192</f>
        <v/>
      </c>
      <c r="T12533" s="21">
        <f>0</f>
        <v/>
      </c>
      <c r="U12533" s="21">
        <f>2*$B$12191</f>
        <v/>
      </c>
      <c r="V12533" s="21">
        <f>-$B$12190</f>
        <v/>
      </c>
      <c r="W12533" s="21">
        <f>$B$12192</f>
        <v/>
      </c>
      <c r="X12533" s="21" t="n">
        <v>0</v>
      </c>
      <c r="Y12533" s="21" t="n">
        <v>0</v>
      </c>
      <c r="Z12533" s="19" t="n"/>
    </row>
    <row r="12534">
      <c r="D12534" s="21" t="n">
        <v>0</v>
      </c>
      <c r="E12534" s="21" t="n">
        <v>0</v>
      </c>
      <c r="F12534" s="21" t="n">
        <v>0</v>
      </c>
      <c r="G12534" s="21" t="n">
        <v>0</v>
      </c>
      <c r="H12534" s="21" t="n">
        <v>0</v>
      </c>
      <c r="I12534" s="21" t="n">
        <v>0</v>
      </c>
      <c r="J12534" s="21" t="n">
        <v>0</v>
      </c>
      <c r="K12534" s="21" t="n">
        <v>0</v>
      </c>
      <c r="L12534" s="21" t="n">
        <v>0</v>
      </c>
      <c r="M12534" s="21" t="n">
        <v>0</v>
      </c>
      <c r="N12534" s="21" t="n">
        <v>0</v>
      </c>
      <c r="O12534" s="21" t="n">
        <v>0</v>
      </c>
      <c r="P12534" s="21" t="n">
        <v>0</v>
      </c>
      <c r="Q12534" s="21" t="n">
        <v>0</v>
      </c>
      <c r="R12534" s="21" t="n">
        <v>0</v>
      </c>
      <c r="S12534" s="21" t="n">
        <v>0</v>
      </c>
      <c r="T12534" s="21">
        <f>-$B$12189</f>
        <v/>
      </c>
      <c r="U12534" s="21">
        <f>-$B$12190</f>
        <v/>
      </c>
      <c r="V12534" s="21">
        <f>2*$B$12189+$D$12513</f>
        <v/>
      </c>
      <c r="W12534" s="21">
        <f>0</f>
        <v/>
      </c>
      <c r="X12534" s="21">
        <f>-$B$12189</f>
        <v/>
      </c>
      <c r="Y12534" s="21">
        <f>$B$12190</f>
        <v/>
      </c>
      <c r="Z12534" s="19" t="n"/>
    </row>
    <row r="12535">
      <c r="D12535" s="21" t="n">
        <v>0</v>
      </c>
      <c r="E12535" s="21" t="n">
        <v>0</v>
      </c>
      <c r="F12535" s="21" t="n">
        <v>0</v>
      </c>
      <c r="G12535" s="21" t="n">
        <v>0</v>
      </c>
      <c r="H12535" s="21" t="n">
        <v>0</v>
      </c>
      <c r="I12535" s="21" t="n">
        <v>0</v>
      </c>
      <c r="J12535" s="21" t="n">
        <v>0</v>
      </c>
      <c r="K12535" s="21" t="n">
        <v>0</v>
      </c>
      <c r="L12535" s="21" t="n">
        <v>0</v>
      </c>
      <c r="M12535" s="21" t="n">
        <v>0</v>
      </c>
      <c r="N12535" s="21" t="n">
        <v>0</v>
      </c>
      <c r="O12535" s="21" t="n">
        <v>0</v>
      </c>
      <c r="P12535" s="21" t="n">
        <v>0</v>
      </c>
      <c r="Q12535" s="21" t="n">
        <v>0</v>
      </c>
      <c r="R12535" s="21" t="n">
        <v>0</v>
      </c>
      <c r="S12535" s="21" t="n">
        <v>0</v>
      </c>
      <c r="T12535" s="21">
        <f>$B$12190</f>
        <v/>
      </c>
      <c r="U12535" s="21">
        <f>$B$12192</f>
        <v/>
      </c>
      <c r="V12535" s="21">
        <f>0</f>
        <v/>
      </c>
      <c r="W12535" s="21">
        <f>2*$B$12191</f>
        <v/>
      </c>
      <c r="X12535" s="21">
        <f>-$B$12190</f>
        <v/>
      </c>
      <c r="Y12535" s="21">
        <f>$B$12192</f>
        <v/>
      </c>
      <c r="Z12535" s="19" t="n"/>
    </row>
    <row r="12536">
      <c r="D12536" s="21" t="n">
        <v>0</v>
      </c>
      <c r="E12536" s="21" t="n">
        <v>0</v>
      </c>
      <c r="F12536" s="21" t="n">
        <v>0</v>
      </c>
      <c r="G12536" s="21" t="n">
        <v>0</v>
      </c>
      <c r="H12536" s="21" t="n">
        <v>0</v>
      </c>
      <c r="I12536" s="21" t="n">
        <v>0</v>
      </c>
      <c r="J12536" s="21" t="n">
        <v>0</v>
      </c>
      <c r="K12536" s="21" t="n">
        <v>0</v>
      </c>
      <c r="L12536" s="21" t="n">
        <v>0</v>
      </c>
      <c r="M12536" s="21" t="n">
        <v>0</v>
      </c>
      <c r="N12536" s="21" t="n">
        <v>0</v>
      </c>
      <c r="O12536" s="21" t="n">
        <v>0</v>
      </c>
      <c r="P12536" s="21" t="n">
        <v>0</v>
      </c>
      <c r="Q12536" s="21" t="n">
        <v>0</v>
      </c>
      <c r="R12536" s="21" t="n">
        <v>0</v>
      </c>
      <c r="S12536" s="21" t="n">
        <v>0</v>
      </c>
      <c r="T12536" s="21" t="n">
        <v>0</v>
      </c>
      <c r="U12536" s="21" t="n">
        <v>0</v>
      </c>
      <c r="V12536" s="21">
        <f>-$B$12189</f>
        <v/>
      </c>
      <c r="W12536" s="21">
        <f>-$B$12190</f>
        <v/>
      </c>
      <c r="X12536" s="21">
        <f>$B$12189+$D$12514</f>
        <v/>
      </c>
      <c r="Y12536" s="21">
        <f>-$B$12190</f>
        <v/>
      </c>
      <c r="Z12536" s="19" t="n"/>
    </row>
    <row r="12537">
      <c r="D12537" s="21" t="n">
        <v>0</v>
      </c>
      <c r="E12537" s="21" t="n">
        <v>0</v>
      </c>
      <c r="F12537" s="21" t="n">
        <v>0</v>
      </c>
      <c r="G12537" s="21" t="n">
        <v>0</v>
      </c>
      <c r="H12537" s="21" t="n">
        <v>0</v>
      </c>
      <c r="I12537" s="21" t="n">
        <v>0</v>
      </c>
      <c r="J12537" s="21" t="n">
        <v>0</v>
      </c>
      <c r="K12537" s="21" t="n">
        <v>0</v>
      </c>
      <c r="L12537" s="21" t="n">
        <v>0</v>
      </c>
      <c r="M12537" s="21" t="n">
        <v>0</v>
      </c>
      <c r="N12537" s="21" t="n">
        <v>0</v>
      </c>
      <c r="O12537" s="21" t="n">
        <v>0</v>
      </c>
      <c r="P12537" s="21" t="n">
        <v>0</v>
      </c>
      <c r="Q12537" s="21" t="n">
        <v>0</v>
      </c>
      <c r="R12537" s="21" t="n">
        <v>0</v>
      </c>
      <c r="S12537" s="21" t="n">
        <v>0</v>
      </c>
      <c r="T12537" s="21" t="n">
        <v>0</v>
      </c>
      <c r="U12537" s="21" t="n">
        <v>0</v>
      </c>
      <c r="V12537" s="21">
        <f>$B$12190</f>
        <v/>
      </c>
      <c r="W12537" s="21">
        <f>$B$12192</f>
        <v/>
      </c>
      <c r="X12537" s="21">
        <f>-$B$12190</f>
        <v/>
      </c>
      <c r="Y12537" s="21">
        <f>$B$12191</f>
        <v/>
      </c>
      <c r="Z12537" s="19" t="n"/>
    </row>
    <row r="12539">
      <c r="A12539" s="8" t="inlineStr">
        <is>
          <t>gen 9</t>
        </is>
      </c>
    </row>
    <row r="12540">
      <c r="D12540" s="19">
        <f>IF(ABS(IF(ABS($E$12504)&gt;0.000000001,$E$12504,0.000000001))=0,0,IF($E$12204&lt;=$B$12198,0,IF(ABS(IF(ABS($E$12504)&gt;0.000000001,$E$12504,0.000000001))&gt;=8*$B$12200,$H$12204,0.5*$H$12204*(ABS(IF(ABS($E$12504)&gt;0.000000001,$E$12504,0.000000001))/$B$12200)^(1/3)))/ABS(IF(ABS($E$12504)&gt;0.000000001,$E$12504,0.000000001))*$I$12204)</f>
        <v/>
      </c>
      <c r="E12540" s="19">
        <f>0.5*$E$12504+0.5*$Z$12552</f>
        <v/>
      </c>
      <c r="F12540" s="19">
        <f>$Z$12553</f>
        <v/>
      </c>
    </row>
    <row r="12541">
      <c r="D12541" s="19">
        <f>IF(ABS(IF(ABS($E$12505)&gt;0.000000001,$E$12505,0.000000001))=0,0,IF($E$12205&lt;=$B$12198,0,IF(ABS(IF(ABS($E$12505)&gt;0.000000001,$E$12505,0.000000001))&gt;=8*$B$12200,$H$12205,0.5*$H$12205*(ABS(IF(ABS($E$12505)&gt;0.000000001,$E$12505,0.000000001))/$B$12200)^(1/3)))/ABS(IF(ABS($E$12505)&gt;0.000000001,$E$12505,0.000000001))*$I$12205)</f>
        <v/>
      </c>
      <c r="E12541" s="19">
        <f>0.5*$E$12505+0.5*$Z$12554</f>
        <v/>
      </c>
      <c r="F12541" s="19">
        <f>$Z$12555</f>
        <v/>
      </c>
    </row>
    <row r="12542">
      <c r="D12542" s="19">
        <f>IF(ABS(IF(ABS($E$12506)&gt;0.000000001,$E$12506,0.000000001))=0,0,IF($E$12206&lt;=$B$12198,0,IF(ABS(IF(ABS($E$12506)&gt;0.000000001,$E$12506,0.000000001))&gt;=8*$B$12200,$H$12206,0.5*$H$12206*(ABS(IF(ABS($E$12506)&gt;0.000000001,$E$12506,0.000000001))/$B$12200)^(1/3)))/ABS(IF(ABS($E$12506)&gt;0.000000001,$E$12506,0.000000001))*$I$12206)</f>
        <v/>
      </c>
      <c r="E12542" s="19">
        <f>0.5*$E$12506+0.5*$Z$12556</f>
        <v/>
      </c>
      <c r="F12542" s="19">
        <f>$Z$12557</f>
        <v/>
      </c>
    </row>
    <row r="12543">
      <c r="D12543" s="19">
        <f>IF(ABS(IF(ABS($E$12507)&gt;0.000000001,$E$12507,0.000000001))=0,0,IF($E$12207&lt;=$B$12198,0,IF(ABS(IF(ABS($E$12507)&gt;0.000000001,$E$12507,0.000000001))&gt;=8*$B$12200,$H$12207,0.5*$H$12207*(ABS(IF(ABS($E$12507)&gt;0.000000001,$E$12507,0.000000001))/$B$12200)^(1/3)))/ABS(IF(ABS($E$12507)&gt;0.000000001,$E$12507,0.000000001))*$I$12207)</f>
        <v/>
      </c>
      <c r="E12543" s="19">
        <f>0.5*$E$12507+0.5*$Z$12558</f>
        <v/>
      </c>
      <c r="F12543" s="19">
        <f>$Z$12559</f>
        <v/>
      </c>
    </row>
    <row r="12544">
      <c r="D12544" s="19">
        <f>IF(ABS(IF(ABS($E$12508)&gt;0.000000001,$E$12508,0.000000001))=0,0,IF($E$12208&lt;=$B$12198,0,IF(ABS(IF(ABS($E$12508)&gt;0.000000001,$E$12508,0.000000001))&gt;=8*$B$12200,$H$12208,0.5*$H$12208*(ABS(IF(ABS($E$12508)&gt;0.000000001,$E$12508,0.000000001))/$B$12200)^(1/3)))/ABS(IF(ABS($E$12508)&gt;0.000000001,$E$12508,0.000000001))*$I$12208)</f>
        <v/>
      </c>
      <c r="E12544" s="19">
        <f>0.5*$E$12508+0.5*$Z$12560</f>
        <v/>
      </c>
      <c r="F12544" s="19">
        <f>$Z$12561</f>
        <v/>
      </c>
    </row>
    <row r="12545">
      <c r="D12545" s="19">
        <f>IF(ABS(IF(ABS($E$12509)&gt;0.000000001,$E$12509,0.000000001))=0,0,IF($E$12209&lt;=$B$12198,0,IF(ABS(IF(ABS($E$12509)&gt;0.000000001,$E$12509,0.000000001))&gt;=8*$B$12200,$H$12209,0.5*$H$12209*(ABS(IF(ABS($E$12509)&gt;0.000000001,$E$12509,0.000000001))/$B$12200)^(1/3)))/ABS(IF(ABS($E$12509)&gt;0.000000001,$E$12509,0.000000001))*$I$12209)</f>
        <v/>
      </c>
      <c r="E12545" s="19">
        <f>0.5*$E$12509+0.5*$Z$12562</f>
        <v/>
      </c>
      <c r="F12545" s="19">
        <f>$Z$12563</f>
        <v/>
      </c>
    </row>
    <row r="12546">
      <c r="D12546" s="19">
        <f>IF(ABS(IF(ABS($E$12510)&gt;0.000000001,$E$12510,0.000000001))=0,0,IF($E$12210&lt;=$B$12198,0,IF(ABS(IF(ABS($E$12510)&gt;0.000000001,$E$12510,0.000000001))&gt;=8*$B$12200,$H$12210,0.5*$H$12210*(ABS(IF(ABS($E$12510)&gt;0.000000001,$E$12510,0.000000001))/$B$12200)^(1/3)))/ABS(IF(ABS($E$12510)&gt;0.000000001,$E$12510,0.000000001))*$I$12210)</f>
        <v/>
      </c>
      <c r="E12546" s="19">
        <f>0.5*$E$12510+0.5*$Z$12564</f>
        <v/>
      </c>
      <c r="F12546" s="19">
        <f>$Z$12565</f>
        <v/>
      </c>
    </row>
    <row r="12547">
      <c r="D12547" s="19">
        <f>IF(ABS(IF(ABS($E$12511)&gt;0.000000001,$E$12511,0.000000001))=0,0,IF($E$12211&lt;=$B$12198,0,IF(ABS(IF(ABS($E$12511)&gt;0.000000001,$E$12511,0.000000001))&gt;=8*$B$12200,$H$12211,0.5*$H$12211*(ABS(IF(ABS($E$12511)&gt;0.000000001,$E$12511,0.000000001))/$B$12200)^(1/3)))/ABS(IF(ABS($E$12511)&gt;0.000000001,$E$12511,0.000000001))*$I$12211)</f>
        <v/>
      </c>
      <c r="E12547" s="19">
        <f>0.5*$E$12511+0.5*$Z$12566</f>
        <v/>
      </c>
      <c r="F12547" s="19">
        <f>$Z$12567</f>
        <v/>
      </c>
    </row>
    <row r="12548">
      <c r="D12548" s="19">
        <f>IF(ABS(IF(ABS($E$12512)&gt;0.000000001,$E$12512,0.000000001))=0,0,IF($E$12212&lt;=$B$12198,0,IF(ABS(IF(ABS($E$12512)&gt;0.000000001,$E$12512,0.000000001))&gt;=8*$B$12200,$H$12212,0.5*$H$12212*(ABS(IF(ABS($E$12512)&gt;0.000000001,$E$12512,0.000000001))/$B$12200)^(1/3)))/ABS(IF(ABS($E$12512)&gt;0.000000001,$E$12512,0.000000001))*$I$12212)</f>
        <v/>
      </c>
      <c r="E12548" s="19">
        <f>0.5*$E$12512+0.5*$Z$12568</f>
        <v/>
      </c>
      <c r="F12548" s="19">
        <f>$Z$12569</f>
        <v/>
      </c>
    </row>
    <row r="12549">
      <c r="D12549" s="19">
        <f>IF(ABS(IF(ABS($E$12513)&gt;0.000000001,$E$12513,0.000000001))=0,0,IF($E$12213&lt;=$B$12198,0,IF(ABS(IF(ABS($E$12513)&gt;0.000000001,$E$12513,0.000000001))&gt;=8*$B$12200,$H$12213,0.5*$H$12213*(ABS(IF(ABS($E$12513)&gt;0.000000001,$E$12513,0.000000001))/$B$12200)^(1/3)))/ABS(IF(ABS($E$12513)&gt;0.000000001,$E$12513,0.000000001))*$I$12213)</f>
        <v/>
      </c>
      <c r="E12549" s="19">
        <f>0.5*$E$12513+0.5*$Z$12570</f>
        <v/>
      </c>
      <c r="F12549" s="19">
        <f>$Z$12571</f>
        <v/>
      </c>
    </row>
    <row r="12550">
      <c r="D12550" s="19">
        <f>IF(ABS(IF(ABS($E$12514)&gt;0.000000001,$E$12514,0.000000001))=0,0,IF($E$12214&lt;=$B$12198,0,IF(ABS(IF(ABS($E$12514)&gt;0.000000001,$E$12514,0.000000001))&gt;=8*$B$12200,$H$12214,0.5*$H$12214*(ABS(IF(ABS($E$12514)&gt;0.000000001,$E$12514,0.000000001))/$B$12200)^(1/3)))/ABS(IF(ABS($E$12514)&gt;0.000000001,$E$12514,0.000000001))*$I$12214)</f>
        <v/>
      </c>
      <c r="E12550" s="19">
        <f>0.5*$E$12514+0.5*$Z$12572</f>
        <v/>
      </c>
      <c r="F12550" s="19">
        <f>$Z$12573</f>
        <v/>
      </c>
    </row>
    <row r="12552">
      <c r="D12552" s="21">
        <f>$B$12189+$D$12540</f>
        <v/>
      </c>
      <c r="E12552" s="21">
        <f>$B$12190</f>
        <v/>
      </c>
      <c r="F12552" s="21">
        <f>-$B$12189</f>
        <v/>
      </c>
      <c r="G12552" s="21">
        <f>$B$12190</f>
        <v/>
      </c>
      <c r="H12552" s="21" t="n">
        <v>0</v>
      </c>
      <c r="I12552" s="21" t="n">
        <v>0</v>
      </c>
      <c r="J12552" s="21" t="n">
        <v>0</v>
      </c>
      <c r="K12552" s="21" t="n">
        <v>0</v>
      </c>
      <c r="L12552" s="21" t="n">
        <v>0</v>
      </c>
      <c r="M12552" s="21" t="n">
        <v>0</v>
      </c>
      <c r="N12552" s="21" t="n">
        <v>0</v>
      </c>
      <c r="O12552" s="21" t="n">
        <v>0</v>
      </c>
      <c r="P12552" s="21" t="n">
        <v>0</v>
      </c>
      <c r="Q12552" s="21" t="n">
        <v>0</v>
      </c>
      <c r="R12552" s="21" t="n">
        <v>0</v>
      </c>
      <c r="S12552" s="21" t="n">
        <v>0</v>
      </c>
      <c r="T12552" s="21" t="n">
        <v>0</v>
      </c>
      <c r="U12552" s="21" t="n">
        <v>0</v>
      </c>
      <c r="V12552" s="21" t="n">
        <v>0</v>
      </c>
      <c r="W12552" s="21" t="n">
        <v>0</v>
      </c>
      <c r="X12552" s="21" t="n">
        <v>0</v>
      </c>
      <c r="Y12552" s="21" t="n">
        <v>0</v>
      </c>
      <c r="Z12552" s="19">
        <f t="array" ref="Z12552:Z12573">MMULT(MINVERSE($D$12552:$Y$12573),$D$12216:$D$12237)</f>
        <v/>
      </c>
    </row>
    <row r="12553">
      <c r="D12553" s="21">
        <f>$B$12190</f>
        <v/>
      </c>
      <c r="E12553" s="21">
        <f>$B$12191</f>
        <v/>
      </c>
      <c r="F12553" s="21">
        <f>-$B$12190</f>
        <v/>
      </c>
      <c r="G12553" s="21">
        <f>$B$12192</f>
        <v/>
      </c>
      <c r="H12553" s="21" t="n">
        <v>0</v>
      </c>
      <c r="I12553" s="21" t="n">
        <v>0</v>
      </c>
      <c r="J12553" s="21" t="n">
        <v>0</v>
      </c>
      <c r="K12553" s="21" t="n">
        <v>0</v>
      </c>
      <c r="L12553" s="21" t="n">
        <v>0</v>
      </c>
      <c r="M12553" s="21" t="n">
        <v>0</v>
      </c>
      <c r="N12553" s="21" t="n">
        <v>0</v>
      </c>
      <c r="O12553" s="21" t="n">
        <v>0</v>
      </c>
      <c r="P12553" s="21" t="n">
        <v>0</v>
      </c>
      <c r="Q12553" s="21" t="n">
        <v>0</v>
      </c>
      <c r="R12553" s="21" t="n">
        <v>0</v>
      </c>
      <c r="S12553" s="21" t="n">
        <v>0</v>
      </c>
      <c r="T12553" s="21" t="n">
        <v>0</v>
      </c>
      <c r="U12553" s="21" t="n">
        <v>0</v>
      </c>
      <c r="V12553" s="21" t="n">
        <v>0</v>
      </c>
      <c r="W12553" s="21" t="n">
        <v>0</v>
      </c>
      <c r="X12553" s="21" t="n">
        <v>0</v>
      </c>
      <c r="Y12553" s="21" t="n">
        <v>0</v>
      </c>
      <c r="Z12553" s="19" t="n"/>
    </row>
    <row r="12554">
      <c r="D12554" s="21">
        <f>-$B$12189</f>
        <v/>
      </c>
      <c r="E12554" s="21">
        <f>-$B$12190</f>
        <v/>
      </c>
      <c r="F12554" s="21">
        <f>2*$B$12189+$D$12541</f>
        <v/>
      </c>
      <c r="G12554" s="21">
        <f>0</f>
        <v/>
      </c>
      <c r="H12554" s="21">
        <f>-$B$12189</f>
        <v/>
      </c>
      <c r="I12554" s="21">
        <f>$B$12190</f>
        <v/>
      </c>
      <c r="J12554" s="21" t="n">
        <v>0</v>
      </c>
      <c r="K12554" s="21" t="n">
        <v>0</v>
      </c>
      <c r="L12554" s="21" t="n">
        <v>0</v>
      </c>
      <c r="M12554" s="21" t="n">
        <v>0</v>
      </c>
      <c r="N12554" s="21" t="n">
        <v>0</v>
      </c>
      <c r="O12554" s="21" t="n">
        <v>0</v>
      </c>
      <c r="P12554" s="21" t="n">
        <v>0</v>
      </c>
      <c r="Q12554" s="21" t="n">
        <v>0</v>
      </c>
      <c r="R12554" s="21" t="n">
        <v>0</v>
      </c>
      <c r="S12554" s="21" t="n">
        <v>0</v>
      </c>
      <c r="T12554" s="21" t="n">
        <v>0</v>
      </c>
      <c r="U12554" s="21" t="n">
        <v>0</v>
      </c>
      <c r="V12554" s="21" t="n">
        <v>0</v>
      </c>
      <c r="W12554" s="21" t="n">
        <v>0</v>
      </c>
      <c r="X12554" s="21" t="n">
        <v>0</v>
      </c>
      <c r="Y12554" s="21" t="n">
        <v>0</v>
      </c>
      <c r="Z12554" s="19" t="n"/>
    </row>
    <row r="12555">
      <c r="D12555" s="21">
        <f>$B$12190</f>
        <v/>
      </c>
      <c r="E12555" s="21">
        <f>$B$12192</f>
        <v/>
      </c>
      <c r="F12555" s="21">
        <f>0</f>
        <v/>
      </c>
      <c r="G12555" s="21">
        <f>2*$B$12191</f>
        <v/>
      </c>
      <c r="H12555" s="21">
        <f>-$B$12190</f>
        <v/>
      </c>
      <c r="I12555" s="21">
        <f>$B$12192</f>
        <v/>
      </c>
      <c r="J12555" s="21" t="n">
        <v>0</v>
      </c>
      <c r="K12555" s="21" t="n">
        <v>0</v>
      </c>
      <c r="L12555" s="21" t="n">
        <v>0</v>
      </c>
      <c r="M12555" s="21" t="n">
        <v>0</v>
      </c>
      <c r="N12555" s="21" t="n">
        <v>0</v>
      </c>
      <c r="O12555" s="21" t="n">
        <v>0</v>
      </c>
      <c r="P12555" s="21" t="n">
        <v>0</v>
      </c>
      <c r="Q12555" s="21" t="n">
        <v>0</v>
      </c>
      <c r="R12555" s="21" t="n">
        <v>0</v>
      </c>
      <c r="S12555" s="21" t="n">
        <v>0</v>
      </c>
      <c r="T12555" s="21" t="n">
        <v>0</v>
      </c>
      <c r="U12555" s="21" t="n">
        <v>0</v>
      </c>
      <c r="V12555" s="21" t="n">
        <v>0</v>
      </c>
      <c r="W12555" s="21" t="n">
        <v>0</v>
      </c>
      <c r="X12555" s="21" t="n">
        <v>0</v>
      </c>
      <c r="Y12555" s="21" t="n">
        <v>0</v>
      </c>
      <c r="Z12555" s="19" t="n"/>
    </row>
    <row r="12556">
      <c r="D12556" s="21" t="n">
        <v>0</v>
      </c>
      <c r="E12556" s="21" t="n">
        <v>0</v>
      </c>
      <c r="F12556" s="21">
        <f>-$B$12189</f>
        <v/>
      </c>
      <c r="G12556" s="21">
        <f>-$B$12190</f>
        <v/>
      </c>
      <c r="H12556" s="21">
        <f>2*$B$12189+$D$12542</f>
        <v/>
      </c>
      <c r="I12556" s="21">
        <f>0</f>
        <v/>
      </c>
      <c r="J12556" s="21">
        <f>-$B$12189</f>
        <v/>
      </c>
      <c r="K12556" s="21">
        <f>$B$12190</f>
        <v/>
      </c>
      <c r="L12556" s="21" t="n">
        <v>0</v>
      </c>
      <c r="M12556" s="21" t="n">
        <v>0</v>
      </c>
      <c r="N12556" s="21" t="n">
        <v>0</v>
      </c>
      <c r="O12556" s="21" t="n">
        <v>0</v>
      </c>
      <c r="P12556" s="21" t="n">
        <v>0</v>
      </c>
      <c r="Q12556" s="21" t="n">
        <v>0</v>
      </c>
      <c r="R12556" s="21" t="n">
        <v>0</v>
      </c>
      <c r="S12556" s="21" t="n">
        <v>0</v>
      </c>
      <c r="T12556" s="21" t="n">
        <v>0</v>
      </c>
      <c r="U12556" s="21" t="n">
        <v>0</v>
      </c>
      <c r="V12556" s="21" t="n">
        <v>0</v>
      </c>
      <c r="W12556" s="21" t="n">
        <v>0</v>
      </c>
      <c r="X12556" s="21" t="n">
        <v>0</v>
      </c>
      <c r="Y12556" s="21" t="n">
        <v>0</v>
      </c>
      <c r="Z12556" s="19" t="n"/>
    </row>
    <row r="12557">
      <c r="D12557" s="21" t="n">
        <v>0</v>
      </c>
      <c r="E12557" s="21" t="n">
        <v>0</v>
      </c>
      <c r="F12557" s="21">
        <f>$B$12190</f>
        <v/>
      </c>
      <c r="G12557" s="21">
        <f>$B$12192</f>
        <v/>
      </c>
      <c r="H12557" s="21">
        <f>0</f>
        <v/>
      </c>
      <c r="I12557" s="21">
        <f>2*$B$12191</f>
        <v/>
      </c>
      <c r="J12557" s="21">
        <f>-$B$12190</f>
        <v/>
      </c>
      <c r="K12557" s="21">
        <f>$B$12192</f>
        <v/>
      </c>
      <c r="L12557" s="21" t="n">
        <v>0</v>
      </c>
      <c r="M12557" s="21" t="n">
        <v>0</v>
      </c>
      <c r="N12557" s="21" t="n">
        <v>0</v>
      </c>
      <c r="O12557" s="21" t="n">
        <v>0</v>
      </c>
      <c r="P12557" s="21" t="n">
        <v>0</v>
      </c>
      <c r="Q12557" s="21" t="n">
        <v>0</v>
      </c>
      <c r="R12557" s="21" t="n">
        <v>0</v>
      </c>
      <c r="S12557" s="21" t="n">
        <v>0</v>
      </c>
      <c r="T12557" s="21" t="n">
        <v>0</v>
      </c>
      <c r="U12557" s="21" t="n">
        <v>0</v>
      </c>
      <c r="V12557" s="21" t="n">
        <v>0</v>
      </c>
      <c r="W12557" s="21" t="n">
        <v>0</v>
      </c>
      <c r="X12557" s="21" t="n">
        <v>0</v>
      </c>
      <c r="Y12557" s="21" t="n">
        <v>0</v>
      </c>
      <c r="Z12557" s="19" t="n"/>
    </row>
    <row r="12558">
      <c r="D12558" s="21" t="n">
        <v>0</v>
      </c>
      <c r="E12558" s="21" t="n">
        <v>0</v>
      </c>
      <c r="F12558" s="21" t="n">
        <v>0</v>
      </c>
      <c r="G12558" s="21" t="n">
        <v>0</v>
      </c>
      <c r="H12558" s="21">
        <f>-$B$12189</f>
        <v/>
      </c>
      <c r="I12558" s="21">
        <f>-$B$12190</f>
        <v/>
      </c>
      <c r="J12558" s="21">
        <f>2*$B$12189+$D$12543</f>
        <v/>
      </c>
      <c r="K12558" s="21">
        <f>0</f>
        <v/>
      </c>
      <c r="L12558" s="21">
        <f>-$B$12189</f>
        <v/>
      </c>
      <c r="M12558" s="21">
        <f>$B$12190</f>
        <v/>
      </c>
      <c r="N12558" s="21" t="n">
        <v>0</v>
      </c>
      <c r="O12558" s="21" t="n">
        <v>0</v>
      </c>
      <c r="P12558" s="21" t="n">
        <v>0</v>
      </c>
      <c r="Q12558" s="21" t="n">
        <v>0</v>
      </c>
      <c r="R12558" s="21" t="n">
        <v>0</v>
      </c>
      <c r="S12558" s="21" t="n">
        <v>0</v>
      </c>
      <c r="T12558" s="21" t="n">
        <v>0</v>
      </c>
      <c r="U12558" s="21" t="n">
        <v>0</v>
      </c>
      <c r="V12558" s="21" t="n">
        <v>0</v>
      </c>
      <c r="W12558" s="21" t="n">
        <v>0</v>
      </c>
      <c r="X12558" s="21" t="n">
        <v>0</v>
      </c>
      <c r="Y12558" s="21" t="n">
        <v>0</v>
      </c>
      <c r="Z12558" s="19" t="n"/>
    </row>
    <row r="12559">
      <c r="D12559" s="21" t="n">
        <v>0</v>
      </c>
      <c r="E12559" s="21" t="n">
        <v>0</v>
      </c>
      <c r="F12559" s="21" t="n">
        <v>0</v>
      </c>
      <c r="G12559" s="21" t="n">
        <v>0</v>
      </c>
      <c r="H12559" s="21">
        <f>$B$12190</f>
        <v/>
      </c>
      <c r="I12559" s="21">
        <f>$B$12192</f>
        <v/>
      </c>
      <c r="J12559" s="21">
        <f>0</f>
        <v/>
      </c>
      <c r="K12559" s="21">
        <f>2*$B$12191</f>
        <v/>
      </c>
      <c r="L12559" s="21">
        <f>-$B$12190</f>
        <v/>
      </c>
      <c r="M12559" s="21">
        <f>$B$12192</f>
        <v/>
      </c>
      <c r="N12559" s="21" t="n">
        <v>0</v>
      </c>
      <c r="O12559" s="21" t="n">
        <v>0</v>
      </c>
      <c r="P12559" s="21" t="n">
        <v>0</v>
      </c>
      <c r="Q12559" s="21" t="n">
        <v>0</v>
      </c>
      <c r="R12559" s="21" t="n">
        <v>0</v>
      </c>
      <c r="S12559" s="21" t="n">
        <v>0</v>
      </c>
      <c r="T12559" s="21" t="n">
        <v>0</v>
      </c>
      <c r="U12559" s="21" t="n">
        <v>0</v>
      </c>
      <c r="V12559" s="21" t="n">
        <v>0</v>
      </c>
      <c r="W12559" s="21" t="n">
        <v>0</v>
      </c>
      <c r="X12559" s="21" t="n">
        <v>0</v>
      </c>
      <c r="Y12559" s="21" t="n">
        <v>0</v>
      </c>
      <c r="Z12559" s="19" t="n"/>
    </row>
    <row r="12560">
      <c r="D12560" s="21" t="n">
        <v>0</v>
      </c>
      <c r="E12560" s="21" t="n">
        <v>0</v>
      </c>
      <c r="F12560" s="21" t="n">
        <v>0</v>
      </c>
      <c r="G12560" s="21" t="n">
        <v>0</v>
      </c>
      <c r="H12560" s="21" t="n">
        <v>0</v>
      </c>
      <c r="I12560" s="21" t="n">
        <v>0</v>
      </c>
      <c r="J12560" s="21">
        <f>-$B$12189</f>
        <v/>
      </c>
      <c r="K12560" s="21">
        <f>-$B$12190</f>
        <v/>
      </c>
      <c r="L12560" s="21">
        <f>2*$B$12189+$D$12544</f>
        <v/>
      </c>
      <c r="M12560" s="21">
        <f>0</f>
        <v/>
      </c>
      <c r="N12560" s="21">
        <f>-$B$12189</f>
        <v/>
      </c>
      <c r="O12560" s="21">
        <f>$B$12190</f>
        <v/>
      </c>
      <c r="P12560" s="21" t="n">
        <v>0</v>
      </c>
      <c r="Q12560" s="21" t="n">
        <v>0</v>
      </c>
      <c r="R12560" s="21" t="n">
        <v>0</v>
      </c>
      <c r="S12560" s="21" t="n">
        <v>0</v>
      </c>
      <c r="T12560" s="21" t="n">
        <v>0</v>
      </c>
      <c r="U12560" s="21" t="n">
        <v>0</v>
      </c>
      <c r="V12560" s="21" t="n">
        <v>0</v>
      </c>
      <c r="W12560" s="21" t="n">
        <v>0</v>
      </c>
      <c r="X12560" s="21" t="n">
        <v>0</v>
      </c>
      <c r="Y12560" s="21" t="n">
        <v>0</v>
      </c>
      <c r="Z12560" s="19" t="n"/>
    </row>
    <row r="12561">
      <c r="D12561" s="21" t="n">
        <v>0</v>
      </c>
      <c r="E12561" s="21" t="n">
        <v>0</v>
      </c>
      <c r="F12561" s="21" t="n">
        <v>0</v>
      </c>
      <c r="G12561" s="21" t="n">
        <v>0</v>
      </c>
      <c r="H12561" s="21" t="n">
        <v>0</v>
      </c>
      <c r="I12561" s="21" t="n">
        <v>0</v>
      </c>
      <c r="J12561" s="21">
        <f>$B$12190</f>
        <v/>
      </c>
      <c r="K12561" s="21">
        <f>$B$12192</f>
        <v/>
      </c>
      <c r="L12561" s="21">
        <f>0</f>
        <v/>
      </c>
      <c r="M12561" s="21">
        <f>2*$B$12191</f>
        <v/>
      </c>
      <c r="N12561" s="21">
        <f>-$B$12190</f>
        <v/>
      </c>
      <c r="O12561" s="21">
        <f>$B$12192</f>
        <v/>
      </c>
      <c r="P12561" s="21" t="n">
        <v>0</v>
      </c>
      <c r="Q12561" s="21" t="n">
        <v>0</v>
      </c>
      <c r="R12561" s="21" t="n">
        <v>0</v>
      </c>
      <c r="S12561" s="21" t="n">
        <v>0</v>
      </c>
      <c r="T12561" s="21" t="n">
        <v>0</v>
      </c>
      <c r="U12561" s="21" t="n">
        <v>0</v>
      </c>
      <c r="V12561" s="21" t="n">
        <v>0</v>
      </c>
      <c r="W12561" s="21" t="n">
        <v>0</v>
      </c>
      <c r="X12561" s="21" t="n">
        <v>0</v>
      </c>
      <c r="Y12561" s="21" t="n">
        <v>0</v>
      </c>
      <c r="Z12561" s="19" t="n"/>
    </row>
    <row r="12562">
      <c r="D12562" s="21" t="n">
        <v>0</v>
      </c>
      <c r="E12562" s="21" t="n">
        <v>0</v>
      </c>
      <c r="F12562" s="21" t="n">
        <v>0</v>
      </c>
      <c r="G12562" s="21" t="n">
        <v>0</v>
      </c>
      <c r="H12562" s="21" t="n">
        <v>0</v>
      </c>
      <c r="I12562" s="21" t="n">
        <v>0</v>
      </c>
      <c r="J12562" s="21" t="n">
        <v>0</v>
      </c>
      <c r="K12562" s="21" t="n">
        <v>0</v>
      </c>
      <c r="L12562" s="21">
        <f>-$B$12189</f>
        <v/>
      </c>
      <c r="M12562" s="21">
        <f>-$B$12190</f>
        <v/>
      </c>
      <c r="N12562" s="21">
        <f>2*$B$12189+$D$12545</f>
        <v/>
      </c>
      <c r="O12562" s="21">
        <f>0</f>
        <v/>
      </c>
      <c r="P12562" s="21">
        <f>-$B$12189</f>
        <v/>
      </c>
      <c r="Q12562" s="21">
        <f>$B$12190</f>
        <v/>
      </c>
      <c r="R12562" s="21" t="n">
        <v>0</v>
      </c>
      <c r="S12562" s="21" t="n">
        <v>0</v>
      </c>
      <c r="T12562" s="21" t="n">
        <v>0</v>
      </c>
      <c r="U12562" s="21" t="n">
        <v>0</v>
      </c>
      <c r="V12562" s="21" t="n">
        <v>0</v>
      </c>
      <c r="W12562" s="21" t="n">
        <v>0</v>
      </c>
      <c r="X12562" s="21" t="n">
        <v>0</v>
      </c>
      <c r="Y12562" s="21" t="n">
        <v>0</v>
      </c>
      <c r="Z12562" s="19" t="n"/>
    </row>
    <row r="12563">
      <c r="D12563" s="21" t="n">
        <v>0</v>
      </c>
      <c r="E12563" s="21" t="n">
        <v>0</v>
      </c>
      <c r="F12563" s="21" t="n">
        <v>0</v>
      </c>
      <c r="G12563" s="21" t="n">
        <v>0</v>
      </c>
      <c r="H12563" s="21" t="n">
        <v>0</v>
      </c>
      <c r="I12563" s="21" t="n">
        <v>0</v>
      </c>
      <c r="J12563" s="21" t="n">
        <v>0</v>
      </c>
      <c r="K12563" s="21" t="n">
        <v>0</v>
      </c>
      <c r="L12563" s="21">
        <f>$B$12190</f>
        <v/>
      </c>
      <c r="M12563" s="21">
        <f>$B$12192</f>
        <v/>
      </c>
      <c r="N12563" s="21">
        <f>0</f>
        <v/>
      </c>
      <c r="O12563" s="21">
        <f>2*$B$12191</f>
        <v/>
      </c>
      <c r="P12563" s="21">
        <f>-$B$12190</f>
        <v/>
      </c>
      <c r="Q12563" s="21">
        <f>$B$12192</f>
        <v/>
      </c>
      <c r="R12563" s="21" t="n">
        <v>0</v>
      </c>
      <c r="S12563" s="21" t="n">
        <v>0</v>
      </c>
      <c r="T12563" s="21" t="n">
        <v>0</v>
      </c>
      <c r="U12563" s="21" t="n">
        <v>0</v>
      </c>
      <c r="V12563" s="21" t="n">
        <v>0</v>
      </c>
      <c r="W12563" s="21" t="n">
        <v>0</v>
      </c>
      <c r="X12563" s="21" t="n">
        <v>0</v>
      </c>
      <c r="Y12563" s="21" t="n">
        <v>0</v>
      </c>
      <c r="Z12563" s="19" t="n"/>
    </row>
    <row r="12564">
      <c r="D12564" s="21" t="n">
        <v>0</v>
      </c>
      <c r="E12564" s="21" t="n">
        <v>0</v>
      </c>
      <c r="F12564" s="21" t="n">
        <v>0</v>
      </c>
      <c r="G12564" s="21" t="n">
        <v>0</v>
      </c>
      <c r="H12564" s="21" t="n">
        <v>0</v>
      </c>
      <c r="I12564" s="21" t="n">
        <v>0</v>
      </c>
      <c r="J12564" s="21" t="n">
        <v>0</v>
      </c>
      <c r="K12564" s="21" t="n">
        <v>0</v>
      </c>
      <c r="L12564" s="21" t="n">
        <v>0</v>
      </c>
      <c r="M12564" s="21" t="n">
        <v>0</v>
      </c>
      <c r="N12564" s="21">
        <f>-$B$12189</f>
        <v/>
      </c>
      <c r="O12564" s="21">
        <f>-$B$12190</f>
        <v/>
      </c>
      <c r="P12564" s="21">
        <f>2*$B$12189+$D$12546</f>
        <v/>
      </c>
      <c r="Q12564" s="21">
        <f>0</f>
        <v/>
      </c>
      <c r="R12564" s="21">
        <f>-$B$12189</f>
        <v/>
      </c>
      <c r="S12564" s="21">
        <f>$B$12190</f>
        <v/>
      </c>
      <c r="T12564" s="21" t="n">
        <v>0</v>
      </c>
      <c r="U12564" s="21" t="n">
        <v>0</v>
      </c>
      <c r="V12564" s="21" t="n">
        <v>0</v>
      </c>
      <c r="W12564" s="21" t="n">
        <v>0</v>
      </c>
      <c r="X12564" s="21" t="n">
        <v>0</v>
      </c>
      <c r="Y12564" s="21" t="n">
        <v>0</v>
      </c>
      <c r="Z12564" s="19" t="n"/>
    </row>
    <row r="12565">
      <c r="D12565" s="21" t="n">
        <v>0</v>
      </c>
      <c r="E12565" s="21" t="n">
        <v>0</v>
      </c>
      <c r="F12565" s="21" t="n">
        <v>0</v>
      </c>
      <c r="G12565" s="21" t="n">
        <v>0</v>
      </c>
      <c r="H12565" s="21" t="n">
        <v>0</v>
      </c>
      <c r="I12565" s="21" t="n">
        <v>0</v>
      </c>
      <c r="J12565" s="21" t="n">
        <v>0</v>
      </c>
      <c r="K12565" s="21" t="n">
        <v>0</v>
      </c>
      <c r="L12565" s="21" t="n">
        <v>0</v>
      </c>
      <c r="M12565" s="21" t="n">
        <v>0</v>
      </c>
      <c r="N12565" s="21">
        <f>$B$12190</f>
        <v/>
      </c>
      <c r="O12565" s="21">
        <f>$B$12192</f>
        <v/>
      </c>
      <c r="P12565" s="21">
        <f>0</f>
        <v/>
      </c>
      <c r="Q12565" s="21">
        <f>2*$B$12191</f>
        <v/>
      </c>
      <c r="R12565" s="21">
        <f>-$B$12190</f>
        <v/>
      </c>
      <c r="S12565" s="21">
        <f>$B$12192</f>
        <v/>
      </c>
      <c r="T12565" s="21" t="n">
        <v>0</v>
      </c>
      <c r="U12565" s="21" t="n">
        <v>0</v>
      </c>
      <c r="V12565" s="21" t="n">
        <v>0</v>
      </c>
      <c r="W12565" s="21" t="n">
        <v>0</v>
      </c>
      <c r="X12565" s="21" t="n">
        <v>0</v>
      </c>
      <c r="Y12565" s="21" t="n">
        <v>0</v>
      </c>
      <c r="Z12565" s="19" t="n"/>
    </row>
    <row r="12566">
      <c r="D12566" s="21" t="n">
        <v>0</v>
      </c>
      <c r="E12566" s="21" t="n">
        <v>0</v>
      </c>
      <c r="F12566" s="21" t="n">
        <v>0</v>
      </c>
      <c r="G12566" s="21" t="n">
        <v>0</v>
      </c>
      <c r="H12566" s="21" t="n">
        <v>0</v>
      </c>
      <c r="I12566" s="21" t="n">
        <v>0</v>
      </c>
      <c r="J12566" s="21" t="n">
        <v>0</v>
      </c>
      <c r="K12566" s="21" t="n">
        <v>0</v>
      </c>
      <c r="L12566" s="21" t="n">
        <v>0</v>
      </c>
      <c r="M12566" s="21" t="n">
        <v>0</v>
      </c>
      <c r="N12566" s="21" t="n">
        <v>0</v>
      </c>
      <c r="O12566" s="21" t="n">
        <v>0</v>
      </c>
      <c r="P12566" s="21">
        <f>-$B$12189</f>
        <v/>
      </c>
      <c r="Q12566" s="21">
        <f>-$B$12190</f>
        <v/>
      </c>
      <c r="R12566" s="21">
        <f>2*$B$12189+$D$12547</f>
        <v/>
      </c>
      <c r="S12566" s="21">
        <f>0</f>
        <v/>
      </c>
      <c r="T12566" s="21">
        <f>-$B$12189</f>
        <v/>
      </c>
      <c r="U12566" s="21">
        <f>$B$12190</f>
        <v/>
      </c>
      <c r="V12566" s="21" t="n">
        <v>0</v>
      </c>
      <c r="W12566" s="21" t="n">
        <v>0</v>
      </c>
      <c r="X12566" s="21" t="n">
        <v>0</v>
      </c>
      <c r="Y12566" s="21" t="n">
        <v>0</v>
      </c>
      <c r="Z12566" s="19" t="n"/>
    </row>
    <row r="12567">
      <c r="D12567" s="21" t="n">
        <v>0</v>
      </c>
      <c r="E12567" s="21" t="n">
        <v>0</v>
      </c>
      <c r="F12567" s="21" t="n">
        <v>0</v>
      </c>
      <c r="G12567" s="21" t="n">
        <v>0</v>
      </c>
      <c r="H12567" s="21" t="n">
        <v>0</v>
      </c>
      <c r="I12567" s="21" t="n">
        <v>0</v>
      </c>
      <c r="J12567" s="21" t="n">
        <v>0</v>
      </c>
      <c r="K12567" s="21" t="n">
        <v>0</v>
      </c>
      <c r="L12567" s="21" t="n">
        <v>0</v>
      </c>
      <c r="M12567" s="21" t="n">
        <v>0</v>
      </c>
      <c r="N12567" s="21" t="n">
        <v>0</v>
      </c>
      <c r="O12567" s="21" t="n">
        <v>0</v>
      </c>
      <c r="P12567" s="21">
        <f>$B$12190</f>
        <v/>
      </c>
      <c r="Q12567" s="21">
        <f>$B$12192</f>
        <v/>
      </c>
      <c r="R12567" s="21">
        <f>0</f>
        <v/>
      </c>
      <c r="S12567" s="21">
        <f>2*$B$12191</f>
        <v/>
      </c>
      <c r="T12567" s="21">
        <f>-$B$12190</f>
        <v/>
      </c>
      <c r="U12567" s="21">
        <f>$B$12192</f>
        <v/>
      </c>
      <c r="V12567" s="21" t="n">
        <v>0</v>
      </c>
      <c r="W12567" s="21" t="n">
        <v>0</v>
      </c>
      <c r="X12567" s="21" t="n">
        <v>0</v>
      </c>
      <c r="Y12567" s="21" t="n">
        <v>0</v>
      </c>
      <c r="Z12567" s="19" t="n"/>
    </row>
    <row r="12568">
      <c r="D12568" s="21" t="n">
        <v>0</v>
      </c>
      <c r="E12568" s="21" t="n">
        <v>0</v>
      </c>
      <c r="F12568" s="21" t="n">
        <v>0</v>
      </c>
      <c r="G12568" s="21" t="n">
        <v>0</v>
      </c>
      <c r="H12568" s="21" t="n">
        <v>0</v>
      </c>
      <c r="I12568" s="21" t="n">
        <v>0</v>
      </c>
      <c r="J12568" s="21" t="n">
        <v>0</v>
      </c>
      <c r="K12568" s="21" t="n">
        <v>0</v>
      </c>
      <c r="L12568" s="21" t="n">
        <v>0</v>
      </c>
      <c r="M12568" s="21" t="n">
        <v>0</v>
      </c>
      <c r="N12568" s="21" t="n">
        <v>0</v>
      </c>
      <c r="O12568" s="21" t="n">
        <v>0</v>
      </c>
      <c r="P12568" s="21" t="n">
        <v>0</v>
      </c>
      <c r="Q12568" s="21" t="n">
        <v>0</v>
      </c>
      <c r="R12568" s="21">
        <f>-$B$12189</f>
        <v/>
      </c>
      <c r="S12568" s="21">
        <f>-$B$12190</f>
        <v/>
      </c>
      <c r="T12568" s="21">
        <f>2*$B$12189+$D$12548</f>
        <v/>
      </c>
      <c r="U12568" s="21">
        <f>0</f>
        <v/>
      </c>
      <c r="V12568" s="21">
        <f>-$B$12189</f>
        <v/>
      </c>
      <c r="W12568" s="21">
        <f>$B$12190</f>
        <v/>
      </c>
      <c r="X12568" s="21" t="n">
        <v>0</v>
      </c>
      <c r="Y12568" s="21" t="n">
        <v>0</v>
      </c>
      <c r="Z12568" s="19" t="n"/>
    </row>
    <row r="12569">
      <c r="D12569" s="21" t="n">
        <v>0</v>
      </c>
      <c r="E12569" s="21" t="n">
        <v>0</v>
      </c>
      <c r="F12569" s="21" t="n">
        <v>0</v>
      </c>
      <c r="G12569" s="21" t="n">
        <v>0</v>
      </c>
      <c r="H12569" s="21" t="n">
        <v>0</v>
      </c>
      <c r="I12569" s="21" t="n">
        <v>0</v>
      </c>
      <c r="J12569" s="21" t="n">
        <v>0</v>
      </c>
      <c r="K12569" s="21" t="n">
        <v>0</v>
      </c>
      <c r="L12569" s="21" t="n">
        <v>0</v>
      </c>
      <c r="M12569" s="21" t="n">
        <v>0</v>
      </c>
      <c r="N12569" s="21" t="n">
        <v>0</v>
      </c>
      <c r="O12569" s="21" t="n">
        <v>0</v>
      </c>
      <c r="P12569" s="21" t="n">
        <v>0</v>
      </c>
      <c r="Q12569" s="21" t="n">
        <v>0</v>
      </c>
      <c r="R12569" s="21">
        <f>$B$12190</f>
        <v/>
      </c>
      <c r="S12569" s="21">
        <f>$B$12192</f>
        <v/>
      </c>
      <c r="T12569" s="21">
        <f>0</f>
        <v/>
      </c>
      <c r="U12569" s="21">
        <f>2*$B$12191</f>
        <v/>
      </c>
      <c r="V12569" s="21">
        <f>-$B$12190</f>
        <v/>
      </c>
      <c r="W12569" s="21">
        <f>$B$12192</f>
        <v/>
      </c>
      <c r="X12569" s="21" t="n">
        <v>0</v>
      </c>
      <c r="Y12569" s="21" t="n">
        <v>0</v>
      </c>
      <c r="Z12569" s="19" t="n"/>
    </row>
    <row r="12570">
      <c r="D12570" s="21" t="n">
        <v>0</v>
      </c>
      <c r="E12570" s="21" t="n">
        <v>0</v>
      </c>
      <c r="F12570" s="21" t="n">
        <v>0</v>
      </c>
      <c r="G12570" s="21" t="n">
        <v>0</v>
      </c>
      <c r="H12570" s="21" t="n">
        <v>0</v>
      </c>
      <c r="I12570" s="21" t="n">
        <v>0</v>
      </c>
      <c r="J12570" s="21" t="n">
        <v>0</v>
      </c>
      <c r="K12570" s="21" t="n">
        <v>0</v>
      </c>
      <c r="L12570" s="21" t="n">
        <v>0</v>
      </c>
      <c r="M12570" s="21" t="n">
        <v>0</v>
      </c>
      <c r="N12570" s="21" t="n">
        <v>0</v>
      </c>
      <c r="O12570" s="21" t="n">
        <v>0</v>
      </c>
      <c r="P12570" s="21" t="n">
        <v>0</v>
      </c>
      <c r="Q12570" s="21" t="n">
        <v>0</v>
      </c>
      <c r="R12570" s="21" t="n">
        <v>0</v>
      </c>
      <c r="S12570" s="21" t="n">
        <v>0</v>
      </c>
      <c r="T12570" s="21">
        <f>-$B$12189</f>
        <v/>
      </c>
      <c r="U12570" s="21">
        <f>-$B$12190</f>
        <v/>
      </c>
      <c r="V12570" s="21">
        <f>2*$B$12189+$D$12549</f>
        <v/>
      </c>
      <c r="W12570" s="21">
        <f>0</f>
        <v/>
      </c>
      <c r="X12570" s="21">
        <f>-$B$12189</f>
        <v/>
      </c>
      <c r="Y12570" s="21">
        <f>$B$12190</f>
        <v/>
      </c>
      <c r="Z12570" s="19" t="n"/>
    </row>
    <row r="12571">
      <c r="D12571" s="21" t="n">
        <v>0</v>
      </c>
      <c r="E12571" s="21" t="n">
        <v>0</v>
      </c>
      <c r="F12571" s="21" t="n">
        <v>0</v>
      </c>
      <c r="G12571" s="21" t="n">
        <v>0</v>
      </c>
      <c r="H12571" s="21" t="n">
        <v>0</v>
      </c>
      <c r="I12571" s="21" t="n">
        <v>0</v>
      </c>
      <c r="J12571" s="21" t="n">
        <v>0</v>
      </c>
      <c r="K12571" s="21" t="n">
        <v>0</v>
      </c>
      <c r="L12571" s="21" t="n">
        <v>0</v>
      </c>
      <c r="M12571" s="21" t="n">
        <v>0</v>
      </c>
      <c r="N12571" s="21" t="n">
        <v>0</v>
      </c>
      <c r="O12571" s="21" t="n">
        <v>0</v>
      </c>
      <c r="P12571" s="21" t="n">
        <v>0</v>
      </c>
      <c r="Q12571" s="21" t="n">
        <v>0</v>
      </c>
      <c r="R12571" s="21" t="n">
        <v>0</v>
      </c>
      <c r="S12571" s="21" t="n">
        <v>0</v>
      </c>
      <c r="T12571" s="21">
        <f>$B$12190</f>
        <v/>
      </c>
      <c r="U12571" s="21">
        <f>$B$12192</f>
        <v/>
      </c>
      <c r="V12571" s="21">
        <f>0</f>
        <v/>
      </c>
      <c r="W12571" s="21">
        <f>2*$B$12191</f>
        <v/>
      </c>
      <c r="X12571" s="21">
        <f>-$B$12190</f>
        <v/>
      </c>
      <c r="Y12571" s="21">
        <f>$B$12192</f>
        <v/>
      </c>
      <c r="Z12571" s="19" t="n"/>
    </row>
    <row r="12572">
      <c r="D12572" s="21" t="n">
        <v>0</v>
      </c>
      <c r="E12572" s="21" t="n">
        <v>0</v>
      </c>
      <c r="F12572" s="21" t="n">
        <v>0</v>
      </c>
      <c r="G12572" s="21" t="n">
        <v>0</v>
      </c>
      <c r="H12572" s="21" t="n">
        <v>0</v>
      </c>
      <c r="I12572" s="21" t="n">
        <v>0</v>
      </c>
      <c r="J12572" s="21" t="n">
        <v>0</v>
      </c>
      <c r="K12572" s="21" t="n">
        <v>0</v>
      </c>
      <c r="L12572" s="21" t="n">
        <v>0</v>
      </c>
      <c r="M12572" s="21" t="n">
        <v>0</v>
      </c>
      <c r="N12572" s="21" t="n">
        <v>0</v>
      </c>
      <c r="O12572" s="21" t="n">
        <v>0</v>
      </c>
      <c r="P12572" s="21" t="n">
        <v>0</v>
      </c>
      <c r="Q12572" s="21" t="n">
        <v>0</v>
      </c>
      <c r="R12572" s="21" t="n">
        <v>0</v>
      </c>
      <c r="S12572" s="21" t="n">
        <v>0</v>
      </c>
      <c r="T12572" s="21" t="n">
        <v>0</v>
      </c>
      <c r="U12572" s="21" t="n">
        <v>0</v>
      </c>
      <c r="V12572" s="21">
        <f>-$B$12189</f>
        <v/>
      </c>
      <c r="W12572" s="21">
        <f>-$B$12190</f>
        <v/>
      </c>
      <c r="X12572" s="21">
        <f>$B$12189+$D$12550</f>
        <v/>
      </c>
      <c r="Y12572" s="21">
        <f>-$B$12190</f>
        <v/>
      </c>
      <c r="Z12572" s="19" t="n"/>
    </row>
    <row r="12573">
      <c r="D12573" s="21" t="n">
        <v>0</v>
      </c>
      <c r="E12573" s="21" t="n">
        <v>0</v>
      </c>
      <c r="F12573" s="21" t="n">
        <v>0</v>
      </c>
      <c r="G12573" s="21" t="n">
        <v>0</v>
      </c>
      <c r="H12573" s="21" t="n">
        <v>0</v>
      </c>
      <c r="I12573" s="21" t="n">
        <v>0</v>
      </c>
      <c r="J12573" s="21" t="n">
        <v>0</v>
      </c>
      <c r="K12573" s="21" t="n">
        <v>0</v>
      </c>
      <c r="L12573" s="21" t="n">
        <v>0</v>
      </c>
      <c r="M12573" s="21" t="n">
        <v>0</v>
      </c>
      <c r="N12573" s="21" t="n">
        <v>0</v>
      </c>
      <c r="O12573" s="21" t="n">
        <v>0</v>
      </c>
      <c r="P12573" s="21" t="n">
        <v>0</v>
      </c>
      <c r="Q12573" s="21" t="n">
        <v>0</v>
      </c>
      <c r="R12573" s="21" t="n">
        <v>0</v>
      </c>
      <c r="S12573" s="21" t="n">
        <v>0</v>
      </c>
      <c r="T12573" s="21" t="n">
        <v>0</v>
      </c>
      <c r="U12573" s="21" t="n">
        <v>0</v>
      </c>
      <c r="V12573" s="21">
        <f>$B$12190</f>
        <v/>
      </c>
      <c r="W12573" s="21">
        <f>$B$12192</f>
        <v/>
      </c>
      <c r="X12573" s="21">
        <f>-$B$12190</f>
        <v/>
      </c>
      <c r="Y12573" s="21">
        <f>$B$12191</f>
        <v/>
      </c>
      <c r="Z12573" s="19" t="n"/>
    </row>
    <row r="12575">
      <c r="A12575" s="8" t="inlineStr">
        <is>
          <t>gen 10</t>
        </is>
      </c>
    </row>
    <row r="12576">
      <c r="D12576" s="19">
        <f>IF(ABS(IF(ABS($E$12540)&gt;0.000000001,$E$12540,0.000000001))=0,0,IF($E$12204&lt;=$B$12198,0,IF(ABS(IF(ABS($E$12540)&gt;0.000000001,$E$12540,0.000000001))&gt;=8*$B$12200,$H$12204,0.5*$H$12204*(ABS(IF(ABS($E$12540)&gt;0.000000001,$E$12540,0.000000001))/$B$12200)^(1/3)))/ABS(IF(ABS($E$12540)&gt;0.000000001,$E$12540,0.000000001))*$I$12204)</f>
        <v/>
      </c>
      <c r="E12576" s="19">
        <f>0.5*$E$12540+0.5*$Z$12588</f>
        <v/>
      </c>
      <c r="F12576" s="19">
        <f>$Z$12589</f>
        <v/>
      </c>
    </row>
    <row r="12577">
      <c r="D12577" s="19">
        <f>IF(ABS(IF(ABS($E$12541)&gt;0.000000001,$E$12541,0.000000001))=0,0,IF($E$12205&lt;=$B$12198,0,IF(ABS(IF(ABS($E$12541)&gt;0.000000001,$E$12541,0.000000001))&gt;=8*$B$12200,$H$12205,0.5*$H$12205*(ABS(IF(ABS($E$12541)&gt;0.000000001,$E$12541,0.000000001))/$B$12200)^(1/3)))/ABS(IF(ABS($E$12541)&gt;0.000000001,$E$12541,0.000000001))*$I$12205)</f>
        <v/>
      </c>
      <c r="E12577" s="19">
        <f>0.5*$E$12541+0.5*$Z$12590</f>
        <v/>
      </c>
      <c r="F12577" s="19">
        <f>$Z$12591</f>
        <v/>
      </c>
    </row>
    <row r="12578">
      <c r="D12578" s="19">
        <f>IF(ABS(IF(ABS($E$12542)&gt;0.000000001,$E$12542,0.000000001))=0,0,IF($E$12206&lt;=$B$12198,0,IF(ABS(IF(ABS($E$12542)&gt;0.000000001,$E$12542,0.000000001))&gt;=8*$B$12200,$H$12206,0.5*$H$12206*(ABS(IF(ABS($E$12542)&gt;0.000000001,$E$12542,0.000000001))/$B$12200)^(1/3)))/ABS(IF(ABS($E$12542)&gt;0.000000001,$E$12542,0.000000001))*$I$12206)</f>
        <v/>
      </c>
      <c r="E12578" s="19">
        <f>0.5*$E$12542+0.5*$Z$12592</f>
        <v/>
      </c>
      <c r="F12578" s="19">
        <f>$Z$12593</f>
        <v/>
      </c>
    </row>
    <row r="12579">
      <c r="D12579" s="19">
        <f>IF(ABS(IF(ABS($E$12543)&gt;0.000000001,$E$12543,0.000000001))=0,0,IF($E$12207&lt;=$B$12198,0,IF(ABS(IF(ABS($E$12543)&gt;0.000000001,$E$12543,0.000000001))&gt;=8*$B$12200,$H$12207,0.5*$H$12207*(ABS(IF(ABS($E$12543)&gt;0.000000001,$E$12543,0.000000001))/$B$12200)^(1/3)))/ABS(IF(ABS($E$12543)&gt;0.000000001,$E$12543,0.000000001))*$I$12207)</f>
        <v/>
      </c>
      <c r="E12579" s="19">
        <f>0.5*$E$12543+0.5*$Z$12594</f>
        <v/>
      </c>
      <c r="F12579" s="19">
        <f>$Z$12595</f>
        <v/>
      </c>
    </row>
    <row r="12580">
      <c r="D12580" s="19">
        <f>IF(ABS(IF(ABS($E$12544)&gt;0.000000001,$E$12544,0.000000001))=0,0,IF($E$12208&lt;=$B$12198,0,IF(ABS(IF(ABS($E$12544)&gt;0.000000001,$E$12544,0.000000001))&gt;=8*$B$12200,$H$12208,0.5*$H$12208*(ABS(IF(ABS($E$12544)&gt;0.000000001,$E$12544,0.000000001))/$B$12200)^(1/3)))/ABS(IF(ABS($E$12544)&gt;0.000000001,$E$12544,0.000000001))*$I$12208)</f>
        <v/>
      </c>
      <c r="E12580" s="19">
        <f>0.5*$E$12544+0.5*$Z$12596</f>
        <v/>
      </c>
      <c r="F12580" s="19">
        <f>$Z$12597</f>
        <v/>
      </c>
    </row>
    <row r="12581">
      <c r="D12581" s="19">
        <f>IF(ABS(IF(ABS($E$12545)&gt;0.000000001,$E$12545,0.000000001))=0,0,IF($E$12209&lt;=$B$12198,0,IF(ABS(IF(ABS($E$12545)&gt;0.000000001,$E$12545,0.000000001))&gt;=8*$B$12200,$H$12209,0.5*$H$12209*(ABS(IF(ABS($E$12545)&gt;0.000000001,$E$12545,0.000000001))/$B$12200)^(1/3)))/ABS(IF(ABS($E$12545)&gt;0.000000001,$E$12545,0.000000001))*$I$12209)</f>
        <v/>
      </c>
      <c r="E12581" s="19">
        <f>0.5*$E$12545+0.5*$Z$12598</f>
        <v/>
      </c>
      <c r="F12581" s="19">
        <f>$Z$12599</f>
        <v/>
      </c>
    </row>
    <row r="12582">
      <c r="D12582" s="19">
        <f>IF(ABS(IF(ABS($E$12546)&gt;0.000000001,$E$12546,0.000000001))=0,0,IF($E$12210&lt;=$B$12198,0,IF(ABS(IF(ABS($E$12546)&gt;0.000000001,$E$12546,0.000000001))&gt;=8*$B$12200,$H$12210,0.5*$H$12210*(ABS(IF(ABS($E$12546)&gt;0.000000001,$E$12546,0.000000001))/$B$12200)^(1/3)))/ABS(IF(ABS($E$12546)&gt;0.000000001,$E$12546,0.000000001))*$I$12210)</f>
        <v/>
      </c>
      <c r="E12582" s="19">
        <f>0.5*$E$12546+0.5*$Z$12600</f>
        <v/>
      </c>
      <c r="F12582" s="19">
        <f>$Z$12601</f>
        <v/>
      </c>
    </row>
    <row r="12583">
      <c r="D12583" s="19">
        <f>IF(ABS(IF(ABS($E$12547)&gt;0.000000001,$E$12547,0.000000001))=0,0,IF($E$12211&lt;=$B$12198,0,IF(ABS(IF(ABS($E$12547)&gt;0.000000001,$E$12547,0.000000001))&gt;=8*$B$12200,$H$12211,0.5*$H$12211*(ABS(IF(ABS($E$12547)&gt;0.000000001,$E$12547,0.000000001))/$B$12200)^(1/3)))/ABS(IF(ABS($E$12547)&gt;0.000000001,$E$12547,0.000000001))*$I$12211)</f>
        <v/>
      </c>
      <c r="E12583" s="19">
        <f>0.5*$E$12547+0.5*$Z$12602</f>
        <v/>
      </c>
      <c r="F12583" s="19">
        <f>$Z$12603</f>
        <v/>
      </c>
    </row>
    <row r="12584">
      <c r="D12584" s="19">
        <f>IF(ABS(IF(ABS($E$12548)&gt;0.000000001,$E$12548,0.000000001))=0,0,IF($E$12212&lt;=$B$12198,0,IF(ABS(IF(ABS($E$12548)&gt;0.000000001,$E$12548,0.000000001))&gt;=8*$B$12200,$H$12212,0.5*$H$12212*(ABS(IF(ABS($E$12548)&gt;0.000000001,$E$12548,0.000000001))/$B$12200)^(1/3)))/ABS(IF(ABS($E$12548)&gt;0.000000001,$E$12548,0.000000001))*$I$12212)</f>
        <v/>
      </c>
      <c r="E12584" s="19">
        <f>0.5*$E$12548+0.5*$Z$12604</f>
        <v/>
      </c>
      <c r="F12584" s="19">
        <f>$Z$12605</f>
        <v/>
      </c>
    </row>
    <row r="12585">
      <c r="D12585" s="19">
        <f>IF(ABS(IF(ABS($E$12549)&gt;0.000000001,$E$12549,0.000000001))=0,0,IF($E$12213&lt;=$B$12198,0,IF(ABS(IF(ABS($E$12549)&gt;0.000000001,$E$12549,0.000000001))&gt;=8*$B$12200,$H$12213,0.5*$H$12213*(ABS(IF(ABS($E$12549)&gt;0.000000001,$E$12549,0.000000001))/$B$12200)^(1/3)))/ABS(IF(ABS($E$12549)&gt;0.000000001,$E$12549,0.000000001))*$I$12213)</f>
        <v/>
      </c>
      <c r="E12585" s="19">
        <f>0.5*$E$12549+0.5*$Z$12606</f>
        <v/>
      </c>
      <c r="F12585" s="19">
        <f>$Z$12607</f>
        <v/>
      </c>
    </row>
    <row r="12586">
      <c r="D12586" s="19">
        <f>IF(ABS(IF(ABS($E$12550)&gt;0.000000001,$E$12550,0.000000001))=0,0,IF($E$12214&lt;=$B$12198,0,IF(ABS(IF(ABS($E$12550)&gt;0.000000001,$E$12550,0.000000001))&gt;=8*$B$12200,$H$12214,0.5*$H$12214*(ABS(IF(ABS($E$12550)&gt;0.000000001,$E$12550,0.000000001))/$B$12200)^(1/3)))/ABS(IF(ABS($E$12550)&gt;0.000000001,$E$12550,0.000000001))*$I$12214)</f>
        <v/>
      </c>
      <c r="E12586" s="19">
        <f>0.5*$E$12550+0.5*$Z$12608</f>
        <v/>
      </c>
      <c r="F12586" s="19">
        <f>$Z$12609</f>
        <v/>
      </c>
    </row>
    <row r="12588">
      <c r="D12588" s="21">
        <f>$B$12189+$D$12576</f>
        <v/>
      </c>
      <c r="E12588" s="21">
        <f>$B$12190</f>
        <v/>
      </c>
      <c r="F12588" s="21">
        <f>-$B$12189</f>
        <v/>
      </c>
      <c r="G12588" s="21">
        <f>$B$12190</f>
        <v/>
      </c>
      <c r="H12588" s="21" t="n">
        <v>0</v>
      </c>
      <c r="I12588" s="21" t="n">
        <v>0</v>
      </c>
      <c r="J12588" s="21" t="n">
        <v>0</v>
      </c>
      <c r="K12588" s="21" t="n">
        <v>0</v>
      </c>
      <c r="L12588" s="21" t="n">
        <v>0</v>
      </c>
      <c r="M12588" s="21" t="n">
        <v>0</v>
      </c>
      <c r="N12588" s="21" t="n">
        <v>0</v>
      </c>
      <c r="O12588" s="21" t="n">
        <v>0</v>
      </c>
      <c r="P12588" s="21" t="n">
        <v>0</v>
      </c>
      <c r="Q12588" s="21" t="n">
        <v>0</v>
      </c>
      <c r="R12588" s="21" t="n">
        <v>0</v>
      </c>
      <c r="S12588" s="21" t="n">
        <v>0</v>
      </c>
      <c r="T12588" s="21" t="n">
        <v>0</v>
      </c>
      <c r="U12588" s="21" t="n">
        <v>0</v>
      </c>
      <c r="V12588" s="21" t="n">
        <v>0</v>
      </c>
      <c r="W12588" s="21" t="n">
        <v>0</v>
      </c>
      <c r="X12588" s="21" t="n">
        <v>0</v>
      </c>
      <c r="Y12588" s="21" t="n">
        <v>0</v>
      </c>
      <c r="Z12588" s="19">
        <f t="array" ref="Z12588:Z12609">MMULT(MINVERSE($D$12588:$Y$12609),$D$12216:$D$12237)</f>
        <v/>
      </c>
    </row>
    <row r="12589">
      <c r="D12589" s="21">
        <f>$B$12190</f>
        <v/>
      </c>
      <c r="E12589" s="21">
        <f>$B$12191</f>
        <v/>
      </c>
      <c r="F12589" s="21">
        <f>-$B$12190</f>
        <v/>
      </c>
      <c r="G12589" s="21">
        <f>$B$12192</f>
        <v/>
      </c>
      <c r="H12589" s="21" t="n">
        <v>0</v>
      </c>
      <c r="I12589" s="21" t="n">
        <v>0</v>
      </c>
      <c r="J12589" s="21" t="n">
        <v>0</v>
      </c>
      <c r="K12589" s="21" t="n">
        <v>0</v>
      </c>
      <c r="L12589" s="21" t="n">
        <v>0</v>
      </c>
      <c r="M12589" s="21" t="n">
        <v>0</v>
      </c>
      <c r="N12589" s="21" t="n">
        <v>0</v>
      </c>
      <c r="O12589" s="21" t="n">
        <v>0</v>
      </c>
      <c r="P12589" s="21" t="n">
        <v>0</v>
      </c>
      <c r="Q12589" s="21" t="n">
        <v>0</v>
      </c>
      <c r="R12589" s="21" t="n">
        <v>0</v>
      </c>
      <c r="S12589" s="21" t="n">
        <v>0</v>
      </c>
      <c r="T12589" s="21" t="n">
        <v>0</v>
      </c>
      <c r="U12589" s="21" t="n">
        <v>0</v>
      </c>
      <c r="V12589" s="21" t="n">
        <v>0</v>
      </c>
      <c r="W12589" s="21" t="n">
        <v>0</v>
      </c>
      <c r="X12589" s="21" t="n">
        <v>0</v>
      </c>
      <c r="Y12589" s="21" t="n">
        <v>0</v>
      </c>
      <c r="Z12589" s="19" t="n"/>
    </row>
    <row r="12590">
      <c r="D12590" s="21">
        <f>-$B$12189</f>
        <v/>
      </c>
      <c r="E12590" s="21">
        <f>-$B$12190</f>
        <v/>
      </c>
      <c r="F12590" s="21">
        <f>2*$B$12189+$D$12577</f>
        <v/>
      </c>
      <c r="G12590" s="21">
        <f>0</f>
        <v/>
      </c>
      <c r="H12590" s="21">
        <f>-$B$12189</f>
        <v/>
      </c>
      <c r="I12590" s="21">
        <f>$B$12190</f>
        <v/>
      </c>
      <c r="J12590" s="21" t="n">
        <v>0</v>
      </c>
      <c r="K12590" s="21" t="n">
        <v>0</v>
      </c>
      <c r="L12590" s="21" t="n">
        <v>0</v>
      </c>
      <c r="M12590" s="21" t="n">
        <v>0</v>
      </c>
      <c r="N12590" s="21" t="n">
        <v>0</v>
      </c>
      <c r="O12590" s="21" t="n">
        <v>0</v>
      </c>
      <c r="P12590" s="21" t="n">
        <v>0</v>
      </c>
      <c r="Q12590" s="21" t="n">
        <v>0</v>
      </c>
      <c r="R12590" s="21" t="n">
        <v>0</v>
      </c>
      <c r="S12590" s="21" t="n">
        <v>0</v>
      </c>
      <c r="T12590" s="21" t="n">
        <v>0</v>
      </c>
      <c r="U12590" s="21" t="n">
        <v>0</v>
      </c>
      <c r="V12590" s="21" t="n">
        <v>0</v>
      </c>
      <c r="W12590" s="21" t="n">
        <v>0</v>
      </c>
      <c r="X12590" s="21" t="n">
        <v>0</v>
      </c>
      <c r="Y12590" s="21" t="n">
        <v>0</v>
      </c>
      <c r="Z12590" s="19" t="n"/>
    </row>
    <row r="12591">
      <c r="D12591" s="21">
        <f>$B$12190</f>
        <v/>
      </c>
      <c r="E12591" s="21">
        <f>$B$12192</f>
        <v/>
      </c>
      <c r="F12591" s="21">
        <f>0</f>
        <v/>
      </c>
      <c r="G12591" s="21">
        <f>2*$B$12191</f>
        <v/>
      </c>
      <c r="H12591" s="21">
        <f>-$B$12190</f>
        <v/>
      </c>
      <c r="I12591" s="21">
        <f>$B$12192</f>
        <v/>
      </c>
      <c r="J12591" s="21" t="n">
        <v>0</v>
      </c>
      <c r="K12591" s="21" t="n">
        <v>0</v>
      </c>
      <c r="L12591" s="21" t="n">
        <v>0</v>
      </c>
      <c r="M12591" s="21" t="n">
        <v>0</v>
      </c>
      <c r="N12591" s="21" t="n">
        <v>0</v>
      </c>
      <c r="O12591" s="21" t="n">
        <v>0</v>
      </c>
      <c r="P12591" s="21" t="n">
        <v>0</v>
      </c>
      <c r="Q12591" s="21" t="n">
        <v>0</v>
      </c>
      <c r="R12591" s="21" t="n">
        <v>0</v>
      </c>
      <c r="S12591" s="21" t="n">
        <v>0</v>
      </c>
      <c r="T12591" s="21" t="n">
        <v>0</v>
      </c>
      <c r="U12591" s="21" t="n">
        <v>0</v>
      </c>
      <c r="V12591" s="21" t="n">
        <v>0</v>
      </c>
      <c r="W12591" s="21" t="n">
        <v>0</v>
      </c>
      <c r="X12591" s="21" t="n">
        <v>0</v>
      </c>
      <c r="Y12591" s="21" t="n">
        <v>0</v>
      </c>
      <c r="Z12591" s="19" t="n"/>
    </row>
    <row r="12592">
      <c r="D12592" s="21" t="n">
        <v>0</v>
      </c>
      <c r="E12592" s="21" t="n">
        <v>0</v>
      </c>
      <c r="F12592" s="21">
        <f>-$B$12189</f>
        <v/>
      </c>
      <c r="G12592" s="21">
        <f>-$B$12190</f>
        <v/>
      </c>
      <c r="H12592" s="21">
        <f>2*$B$12189+$D$12578</f>
        <v/>
      </c>
      <c r="I12592" s="21">
        <f>0</f>
        <v/>
      </c>
      <c r="J12592" s="21">
        <f>-$B$12189</f>
        <v/>
      </c>
      <c r="K12592" s="21">
        <f>$B$12190</f>
        <v/>
      </c>
      <c r="L12592" s="21" t="n">
        <v>0</v>
      </c>
      <c r="M12592" s="21" t="n">
        <v>0</v>
      </c>
      <c r="N12592" s="21" t="n">
        <v>0</v>
      </c>
      <c r="O12592" s="21" t="n">
        <v>0</v>
      </c>
      <c r="P12592" s="21" t="n">
        <v>0</v>
      </c>
      <c r="Q12592" s="21" t="n">
        <v>0</v>
      </c>
      <c r="R12592" s="21" t="n">
        <v>0</v>
      </c>
      <c r="S12592" s="21" t="n">
        <v>0</v>
      </c>
      <c r="T12592" s="21" t="n">
        <v>0</v>
      </c>
      <c r="U12592" s="21" t="n">
        <v>0</v>
      </c>
      <c r="V12592" s="21" t="n">
        <v>0</v>
      </c>
      <c r="W12592" s="21" t="n">
        <v>0</v>
      </c>
      <c r="X12592" s="21" t="n">
        <v>0</v>
      </c>
      <c r="Y12592" s="21" t="n">
        <v>0</v>
      </c>
      <c r="Z12592" s="19" t="n"/>
    </row>
    <row r="12593">
      <c r="D12593" s="21" t="n">
        <v>0</v>
      </c>
      <c r="E12593" s="21" t="n">
        <v>0</v>
      </c>
      <c r="F12593" s="21">
        <f>$B$12190</f>
        <v/>
      </c>
      <c r="G12593" s="21">
        <f>$B$12192</f>
        <v/>
      </c>
      <c r="H12593" s="21">
        <f>0</f>
        <v/>
      </c>
      <c r="I12593" s="21">
        <f>2*$B$12191</f>
        <v/>
      </c>
      <c r="J12593" s="21">
        <f>-$B$12190</f>
        <v/>
      </c>
      <c r="K12593" s="21">
        <f>$B$12192</f>
        <v/>
      </c>
      <c r="L12593" s="21" t="n">
        <v>0</v>
      </c>
      <c r="M12593" s="21" t="n">
        <v>0</v>
      </c>
      <c r="N12593" s="21" t="n">
        <v>0</v>
      </c>
      <c r="O12593" s="21" t="n">
        <v>0</v>
      </c>
      <c r="P12593" s="21" t="n">
        <v>0</v>
      </c>
      <c r="Q12593" s="21" t="n">
        <v>0</v>
      </c>
      <c r="R12593" s="21" t="n">
        <v>0</v>
      </c>
      <c r="S12593" s="21" t="n">
        <v>0</v>
      </c>
      <c r="T12593" s="21" t="n">
        <v>0</v>
      </c>
      <c r="U12593" s="21" t="n">
        <v>0</v>
      </c>
      <c r="V12593" s="21" t="n">
        <v>0</v>
      </c>
      <c r="W12593" s="21" t="n">
        <v>0</v>
      </c>
      <c r="X12593" s="21" t="n">
        <v>0</v>
      </c>
      <c r="Y12593" s="21" t="n">
        <v>0</v>
      </c>
      <c r="Z12593" s="19" t="n"/>
    </row>
    <row r="12594">
      <c r="D12594" s="21" t="n">
        <v>0</v>
      </c>
      <c r="E12594" s="21" t="n">
        <v>0</v>
      </c>
      <c r="F12594" s="21" t="n">
        <v>0</v>
      </c>
      <c r="G12594" s="21" t="n">
        <v>0</v>
      </c>
      <c r="H12594" s="21">
        <f>-$B$12189</f>
        <v/>
      </c>
      <c r="I12594" s="21">
        <f>-$B$12190</f>
        <v/>
      </c>
      <c r="J12594" s="21">
        <f>2*$B$12189+$D$12579</f>
        <v/>
      </c>
      <c r="K12594" s="21">
        <f>0</f>
        <v/>
      </c>
      <c r="L12594" s="21">
        <f>-$B$12189</f>
        <v/>
      </c>
      <c r="M12594" s="21">
        <f>$B$12190</f>
        <v/>
      </c>
      <c r="N12594" s="21" t="n">
        <v>0</v>
      </c>
      <c r="O12594" s="21" t="n">
        <v>0</v>
      </c>
      <c r="P12594" s="21" t="n">
        <v>0</v>
      </c>
      <c r="Q12594" s="21" t="n">
        <v>0</v>
      </c>
      <c r="R12594" s="21" t="n">
        <v>0</v>
      </c>
      <c r="S12594" s="21" t="n">
        <v>0</v>
      </c>
      <c r="T12594" s="21" t="n">
        <v>0</v>
      </c>
      <c r="U12594" s="21" t="n">
        <v>0</v>
      </c>
      <c r="V12594" s="21" t="n">
        <v>0</v>
      </c>
      <c r="W12594" s="21" t="n">
        <v>0</v>
      </c>
      <c r="X12594" s="21" t="n">
        <v>0</v>
      </c>
      <c r="Y12594" s="21" t="n">
        <v>0</v>
      </c>
      <c r="Z12594" s="19" t="n"/>
    </row>
    <row r="12595">
      <c r="D12595" s="21" t="n">
        <v>0</v>
      </c>
      <c r="E12595" s="21" t="n">
        <v>0</v>
      </c>
      <c r="F12595" s="21" t="n">
        <v>0</v>
      </c>
      <c r="G12595" s="21" t="n">
        <v>0</v>
      </c>
      <c r="H12595" s="21">
        <f>$B$12190</f>
        <v/>
      </c>
      <c r="I12595" s="21">
        <f>$B$12192</f>
        <v/>
      </c>
      <c r="J12595" s="21">
        <f>0</f>
        <v/>
      </c>
      <c r="K12595" s="21">
        <f>2*$B$12191</f>
        <v/>
      </c>
      <c r="L12595" s="21">
        <f>-$B$12190</f>
        <v/>
      </c>
      <c r="M12595" s="21">
        <f>$B$12192</f>
        <v/>
      </c>
      <c r="N12595" s="21" t="n">
        <v>0</v>
      </c>
      <c r="O12595" s="21" t="n">
        <v>0</v>
      </c>
      <c r="P12595" s="21" t="n">
        <v>0</v>
      </c>
      <c r="Q12595" s="21" t="n">
        <v>0</v>
      </c>
      <c r="R12595" s="21" t="n">
        <v>0</v>
      </c>
      <c r="S12595" s="21" t="n">
        <v>0</v>
      </c>
      <c r="T12595" s="21" t="n">
        <v>0</v>
      </c>
      <c r="U12595" s="21" t="n">
        <v>0</v>
      </c>
      <c r="V12595" s="21" t="n">
        <v>0</v>
      </c>
      <c r="W12595" s="21" t="n">
        <v>0</v>
      </c>
      <c r="X12595" s="21" t="n">
        <v>0</v>
      </c>
      <c r="Y12595" s="21" t="n">
        <v>0</v>
      </c>
      <c r="Z12595" s="19" t="n"/>
    </row>
    <row r="12596">
      <c r="D12596" s="21" t="n">
        <v>0</v>
      </c>
      <c r="E12596" s="21" t="n">
        <v>0</v>
      </c>
      <c r="F12596" s="21" t="n">
        <v>0</v>
      </c>
      <c r="G12596" s="21" t="n">
        <v>0</v>
      </c>
      <c r="H12596" s="21" t="n">
        <v>0</v>
      </c>
      <c r="I12596" s="21" t="n">
        <v>0</v>
      </c>
      <c r="J12596" s="21">
        <f>-$B$12189</f>
        <v/>
      </c>
      <c r="K12596" s="21">
        <f>-$B$12190</f>
        <v/>
      </c>
      <c r="L12596" s="21">
        <f>2*$B$12189+$D$12580</f>
        <v/>
      </c>
      <c r="M12596" s="21">
        <f>0</f>
        <v/>
      </c>
      <c r="N12596" s="21">
        <f>-$B$12189</f>
        <v/>
      </c>
      <c r="O12596" s="21">
        <f>$B$12190</f>
        <v/>
      </c>
      <c r="P12596" s="21" t="n">
        <v>0</v>
      </c>
      <c r="Q12596" s="21" t="n">
        <v>0</v>
      </c>
      <c r="R12596" s="21" t="n">
        <v>0</v>
      </c>
      <c r="S12596" s="21" t="n">
        <v>0</v>
      </c>
      <c r="T12596" s="21" t="n">
        <v>0</v>
      </c>
      <c r="U12596" s="21" t="n">
        <v>0</v>
      </c>
      <c r="V12596" s="21" t="n">
        <v>0</v>
      </c>
      <c r="W12596" s="21" t="n">
        <v>0</v>
      </c>
      <c r="X12596" s="21" t="n">
        <v>0</v>
      </c>
      <c r="Y12596" s="21" t="n">
        <v>0</v>
      </c>
      <c r="Z12596" s="19" t="n"/>
    </row>
    <row r="12597">
      <c r="D12597" s="21" t="n">
        <v>0</v>
      </c>
      <c r="E12597" s="21" t="n">
        <v>0</v>
      </c>
      <c r="F12597" s="21" t="n">
        <v>0</v>
      </c>
      <c r="G12597" s="21" t="n">
        <v>0</v>
      </c>
      <c r="H12597" s="21" t="n">
        <v>0</v>
      </c>
      <c r="I12597" s="21" t="n">
        <v>0</v>
      </c>
      <c r="J12597" s="21">
        <f>$B$12190</f>
        <v/>
      </c>
      <c r="K12597" s="21">
        <f>$B$12192</f>
        <v/>
      </c>
      <c r="L12597" s="21">
        <f>0</f>
        <v/>
      </c>
      <c r="M12597" s="21">
        <f>2*$B$12191</f>
        <v/>
      </c>
      <c r="N12597" s="21">
        <f>-$B$12190</f>
        <v/>
      </c>
      <c r="O12597" s="21">
        <f>$B$12192</f>
        <v/>
      </c>
      <c r="P12597" s="21" t="n">
        <v>0</v>
      </c>
      <c r="Q12597" s="21" t="n">
        <v>0</v>
      </c>
      <c r="R12597" s="21" t="n">
        <v>0</v>
      </c>
      <c r="S12597" s="21" t="n">
        <v>0</v>
      </c>
      <c r="T12597" s="21" t="n">
        <v>0</v>
      </c>
      <c r="U12597" s="21" t="n">
        <v>0</v>
      </c>
      <c r="V12597" s="21" t="n">
        <v>0</v>
      </c>
      <c r="W12597" s="21" t="n">
        <v>0</v>
      </c>
      <c r="X12597" s="21" t="n">
        <v>0</v>
      </c>
      <c r="Y12597" s="21" t="n">
        <v>0</v>
      </c>
      <c r="Z12597" s="19" t="n"/>
    </row>
    <row r="12598">
      <c r="D12598" s="21" t="n">
        <v>0</v>
      </c>
      <c r="E12598" s="21" t="n">
        <v>0</v>
      </c>
      <c r="F12598" s="21" t="n">
        <v>0</v>
      </c>
      <c r="G12598" s="21" t="n">
        <v>0</v>
      </c>
      <c r="H12598" s="21" t="n">
        <v>0</v>
      </c>
      <c r="I12598" s="21" t="n">
        <v>0</v>
      </c>
      <c r="J12598" s="21" t="n">
        <v>0</v>
      </c>
      <c r="K12598" s="21" t="n">
        <v>0</v>
      </c>
      <c r="L12598" s="21">
        <f>-$B$12189</f>
        <v/>
      </c>
      <c r="M12598" s="21">
        <f>-$B$12190</f>
        <v/>
      </c>
      <c r="N12598" s="21">
        <f>2*$B$12189+$D$12581</f>
        <v/>
      </c>
      <c r="O12598" s="21">
        <f>0</f>
        <v/>
      </c>
      <c r="P12598" s="21">
        <f>-$B$12189</f>
        <v/>
      </c>
      <c r="Q12598" s="21">
        <f>$B$12190</f>
        <v/>
      </c>
      <c r="R12598" s="21" t="n">
        <v>0</v>
      </c>
      <c r="S12598" s="21" t="n">
        <v>0</v>
      </c>
      <c r="T12598" s="21" t="n">
        <v>0</v>
      </c>
      <c r="U12598" s="21" t="n">
        <v>0</v>
      </c>
      <c r="V12598" s="21" t="n">
        <v>0</v>
      </c>
      <c r="W12598" s="21" t="n">
        <v>0</v>
      </c>
      <c r="X12598" s="21" t="n">
        <v>0</v>
      </c>
      <c r="Y12598" s="21" t="n">
        <v>0</v>
      </c>
      <c r="Z12598" s="19" t="n"/>
    </row>
    <row r="12599">
      <c r="D12599" s="21" t="n">
        <v>0</v>
      </c>
      <c r="E12599" s="21" t="n">
        <v>0</v>
      </c>
      <c r="F12599" s="21" t="n">
        <v>0</v>
      </c>
      <c r="G12599" s="21" t="n">
        <v>0</v>
      </c>
      <c r="H12599" s="21" t="n">
        <v>0</v>
      </c>
      <c r="I12599" s="21" t="n">
        <v>0</v>
      </c>
      <c r="J12599" s="21" t="n">
        <v>0</v>
      </c>
      <c r="K12599" s="21" t="n">
        <v>0</v>
      </c>
      <c r="L12599" s="21">
        <f>$B$12190</f>
        <v/>
      </c>
      <c r="M12599" s="21">
        <f>$B$12192</f>
        <v/>
      </c>
      <c r="N12599" s="21">
        <f>0</f>
        <v/>
      </c>
      <c r="O12599" s="21">
        <f>2*$B$12191</f>
        <v/>
      </c>
      <c r="P12599" s="21">
        <f>-$B$12190</f>
        <v/>
      </c>
      <c r="Q12599" s="21">
        <f>$B$12192</f>
        <v/>
      </c>
      <c r="R12599" s="21" t="n">
        <v>0</v>
      </c>
      <c r="S12599" s="21" t="n">
        <v>0</v>
      </c>
      <c r="T12599" s="21" t="n">
        <v>0</v>
      </c>
      <c r="U12599" s="21" t="n">
        <v>0</v>
      </c>
      <c r="V12599" s="21" t="n">
        <v>0</v>
      </c>
      <c r="W12599" s="21" t="n">
        <v>0</v>
      </c>
      <c r="X12599" s="21" t="n">
        <v>0</v>
      </c>
      <c r="Y12599" s="21" t="n">
        <v>0</v>
      </c>
      <c r="Z12599" s="19" t="n"/>
    </row>
    <row r="12600">
      <c r="D12600" s="21" t="n">
        <v>0</v>
      </c>
      <c r="E12600" s="21" t="n">
        <v>0</v>
      </c>
      <c r="F12600" s="21" t="n">
        <v>0</v>
      </c>
      <c r="G12600" s="21" t="n">
        <v>0</v>
      </c>
      <c r="H12600" s="21" t="n">
        <v>0</v>
      </c>
      <c r="I12600" s="21" t="n">
        <v>0</v>
      </c>
      <c r="J12600" s="21" t="n">
        <v>0</v>
      </c>
      <c r="K12600" s="21" t="n">
        <v>0</v>
      </c>
      <c r="L12600" s="21" t="n">
        <v>0</v>
      </c>
      <c r="M12600" s="21" t="n">
        <v>0</v>
      </c>
      <c r="N12600" s="21">
        <f>-$B$12189</f>
        <v/>
      </c>
      <c r="O12600" s="21">
        <f>-$B$12190</f>
        <v/>
      </c>
      <c r="P12600" s="21">
        <f>2*$B$12189+$D$12582</f>
        <v/>
      </c>
      <c r="Q12600" s="21">
        <f>0</f>
        <v/>
      </c>
      <c r="R12600" s="21">
        <f>-$B$12189</f>
        <v/>
      </c>
      <c r="S12600" s="21">
        <f>$B$12190</f>
        <v/>
      </c>
      <c r="T12600" s="21" t="n">
        <v>0</v>
      </c>
      <c r="U12600" s="21" t="n">
        <v>0</v>
      </c>
      <c r="V12600" s="21" t="n">
        <v>0</v>
      </c>
      <c r="W12600" s="21" t="n">
        <v>0</v>
      </c>
      <c r="X12600" s="21" t="n">
        <v>0</v>
      </c>
      <c r="Y12600" s="21" t="n">
        <v>0</v>
      </c>
      <c r="Z12600" s="19" t="n"/>
    </row>
    <row r="12601">
      <c r="D12601" s="21" t="n">
        <v>0</v>
      </c>
      <c r="E12601" s="21" t="n">
        <v>0</v>
      </c>
      <c r="F12601" s="21" t="n">
        <v>0</v>
      </c>
      <c r="G12601" s="21" t="n">
        <v>0</v>
      </c>
      <c r="H12601" s="21" t="n">
        <v>0</v>
      </c>
      <c r="I12601" s="21" t="n">
        <v>0</v>
      </c>
      <c r="J12601" s="21" t="n">
        <v>0</v>
      </c>
      <c r="K12601" s="21" t="n">
        <v>0</v>
      </c>
      <c r="L12601" s="21" t="n">
        <v>0</v>
      </c>
      <c r="M12601" s="21" t="n">
        <v>0</v>
      </c>
      <c r="N12601" s="21">
        <f>$B$12190</f>
        <v/>
      </c>
      <c r="O12601" s="21">
        <f>$B$12192</f>
        <v/>
      </c>
      <c r="P12601" s="21">
        <f>0</f>
        <v/>
      </c>
      <c r="Q12601" s="21">
        <f>2*$B$12191</f>
        <v/>
      </c>
      <c r="R12601" s="21">
        <f>-$B$12190</f>
        <v/>
      </c>
      <c r="S12601" s="21">
        <f>$B$12192</f>
        <v/>
      </c>
      <c r="T12601" s="21" t="n">
        <v>0</v>
      </c>
      <c r="U12601" s="21" t="n">
        <v>0</v>
      </c>
      <c r="V12601" s="21" t="n">
        <v>0</v>
      </c>
      <c r="W12601" s="21" t="n">
        <v>0</v>
      </c>
      <c r="X12601" s="21" t="n">
        <v>0</v>
      </c>
      <c r="Y12601" s="21" t="n">
        <v>0</v>
      </c>
      <c r="Z12601" s="19" t="n"/>
    </row>
    <row r="12602">
      <c r="D12602" s="21" t="n">
        <v>0</v>
      </c>
      <c r="E12602" s="21" t="n">
        <v>0</v>
      </c>
      <c r="F12602" s="21" t="n">
        <v>0</v>
      </c>
      <c r="G12602" s="21" t="n">
        <v>0</v>
      </c>
      <c r="H12602" s="21" t="n">
        <v>0</v>
      </c>
      <c r="I12602" s="21" t="n">
        <v>0</v>
      </c>
      <c r="J12602" s="21" t="n">
        <v>0</v>
      </c>
      <c r="K12602" s="21" t="n">
        <v>0</v>
      </c>
      <c r="L12602" s="21" t="n">
        <v>0</v>
      </c>
      <c r="M12602" s="21" t="n">
        <v>0</v>
      </c>
      <c r="N12602" s="21" t="n">
        <v>0</v>
      </c>
      <c r="O12602" s="21" t="n">
        <v>0</v>
      </c>
      <c r="P12602" s="21">
        <f>-$B$12189</f>
        <v/>
      </c>
      <c r="Q12602" s="21">
        <f>-$B$12190</f>
        <v/>
      </c>
      <c r="R12602" s="21">
        <f>2*$B$12189+$D$12583</f>
        <v/>
      </c>
      <c r="S12602" s="21">
        <f>0</f>
        <v/>
      </c>
      <c r="T12602" s="21">
        <f>-$B$12189</f>
        <v/>
      </c>
      <c r="U12602" s="21">
        <f>$B$12190</f>
        <v/>
      </c>
      <c r="V12602" s="21" t="n">
        <v>0</v>
      </c>
      <c r="W12602" s="21" t="n">
        <v>0</v>
      </c>
      <c r="X12602" s="21" t="n">
        <v>0</v>
      </c>
      <c r="Y12602" s="21" t="n">
        <v>0</v>
      </c>
      <c r="Z12602" s="19" t="n"/>
    </row>
    <row r="12603">
      <c r="D12603" s="21" t="n">
        <v>0</v>
      </c>
      <c r="E12603" s="21" t="n">
        <v>0</v>
      </c>
      <c r="F12603" s="21" t="n">
        <v>0</v>
      </c>
      <c r="G12603" s="21" t="n">
        <v>0</v>
      </c>
      <c r="H12603" s="21" t="n">
        <v>0</v>
      </c>
      <c r="I12603" s="21" t="n">
        <v>0</v>
      </c>
      <c r="J12603" s="21" t="n">
        <v>0</v>
      </c>
      <c r="K12603" s="21" t="n">
        <v>0</v>
      </c>
      <c r="L12603" s="21" t="n">
        <v>0</v>
      </c>
      <c r="M12603" s="21" t="n">
        <v>0</v>
      </c>
      <c r="N12603" s="21" t="n">
        <v>0</v>
      </c>
      <c r="O12603" s="21" t="n">
        <v>0</v>
      </c>
      <c r="P12603" s="21">
        <f>$B$12190</f>
        <v/>
      </c>
      <c r="Q12603" s="21">
        <f>$B$12192</f>
        <v/>
      </c>
      <c r="R12603" s="21">
        <f>0</f>
        <v/>
      </c>
      <c r="S12603" s="21">
        <f>2*$B$12191</f>
        <v/>
      </c>
      <c r="T12603" s="21">
        <f>-$B$12190</f>
        <v/>
      </c>
      <c r="U12603" s="21">
        <f>$B$12192</f>
        <v/>
      </c>
      <c r="V12603" s="21" t="n">
        <v>0</v>
      </c>
      <c r="W12603" s="21" t="n">
        <v>0</v>
      </c>
      <c r="X12603" s="21" t="n">
        <v>0</v>
      </c>
      <c r="Y12603" s="21" t="n">
        <v>0</v>
      </c>
      <c r="Z12603" s="19" t="n"/>
    </row>
    <row r="12604">
      <c r="D12604" s="21" t="n">
        <v>0</v>
      </c>
      <c r="E12604" s="21" t="n">
        <v>0</v>
      </c>
      <c r="F12604" s="21" t="n">
        <v>0</v>
      </c>
      <c r="G12604" s="21" t="n">
        <v>0</v>
      </c>
      <c r="H12604" s="21" t="n">
        <v>0</v>
      </c>
      <c r="I12604" s="21" t="n">
        <v>0</v>
      </c>
      <c r="J12604" s="21" t="n">
        <v>0</v>
      </c>
      <c r="K12604" s="21" t="n">
        <v>0</v>
      </c>
      <c r="L12604" s="21" t="n">
        <v>0</v>
      </c>
      <c r="M12604" s="21" t="n">
        <v>0</v>
      </c>
      <c r="N12604" s="21" t="n">
        <v>0</v>
      </c>
      <c r="O12604" s="21" t="n">
        <v>0</v>
      </c>
      <c r="P12604" s="21" t="n">
        <v>0</v>
      </c>
      <c r="Q12604" s="21" t="n">
        <v>0</v>
      </c>
      <c r="R12604" s="21">
        <f>-$B$12189</f>
        <v/>
      </c>
      <c r="S12604" s="21">
        <f>-$B$12190</f>
        <v/>
      </c>
      <c r="T12604" s="21">
        <f>2*$B$12189+$D$12584</f>
        <v/>
      </c>
      <c r="U12604" s="21">
        <f>0</f>
        <v/>
      </c>
      <c r="V12604" s="21">
        <f>-$B$12189</f>
        <v/>
      </c>
      <c r="W12604" s="21">
        <f>$B$12190</f>
        <v/>
      </c>
      <c r="X12604" s="21" t="n">
        <v>0</v>
      </c>
      <c r="Y12604" s="21" t="n">
        <v>0</v>
      </c>
      <c r="Z12604" s="19" t="n"/>
    </row>
    <row r="12605">
      <c r="D12605" s="21" t="n">
        <v>0</v>
      </c>
      <c r="E12605" s="21" t="n">
        <v>0</v>
      </c>
      <c r="F12605" s="21" t="n">
        <v>0</v>
      </c>
      <c r="G12605" s="21" t="n">
        <v>0</v>
      </c>
      <c r="H12605" s="21" t="n">
        <v>0</v>
      </c>
      <c r="I12605" s="21" t="n">
        <v>0</v>
      </c>
      <c r="J12605" s="21" t="n">
        <v>0</v>
      </c>
      <c r="K12605" s="21" t="n">
        <v>0</v>
      </c>
      <c r="L12605" s="21" t="n">
        <v>0</v>
      </c>
      <c r="M12605" s="21" t="n">
        <v>0</v>
      </c>
      <c r="N12605" s="21" t="n">
        <v>0</v>
      </c>
      <c r="O12605" s="21" t="n">
        <v>0</v>
      </c>
      <c r="P12605" s="21" t="n">
        <v>0</v>
      </c>
      <c r="Q12605" s="21" t="n">
        <v>0</v>
      </c>
      <c r="R12605" s="21">
        <f>$B$12190</f>
        <v/>
      </c>
      <c r="S12605" s="21">
        <f>$B$12192</f>
        <v/>
      </c>
      <c r="T12605" s="21">
        <f>0</f>
        <v/>
      </c>
      <c r="U12605" s="21">
        <f>2*$B$12191</f>
        <v/>
      </c>
      <c r="V12605" s="21">
        <f>-$B$12190</f>
        <v/>
      </c>
      <c r="W12605" s="21">
        <f>$B$12192</f>
        <v/>
      </c>
      <c r="X12605" s="21" t="n">
        <v>0</v>
      </c>
      <c r="Y12605" s="21" t="n">
        <v>0</v>
      </c>
      <c r="Z12605" s="19" t="n"/>
    </row>
    <row r="12606">
      <c r="D12606" s="21" t="n">
        <v>0</v>
      </c>
      <c r="E12606" s="21" t="n">
        <v>0</v>
      </c>
      <c r="F12606" s="21" t="n">
        <v>0</v>
      </c>
      <c r="G12606" s="21" t="n">
        <v>0</v>
      </c>
      <c r="H12606" s="21" t="n">
        <v>0</v>
      </c>
      <c r="I12606" s="21" t="n">
        <v>0</v>
      </c>
      <c r="J12606" s="21" t="n">
        <v>0</v>
      </c>
      <c r="K12606" s="21" t="n">
        <v>0</v>
      </c>
      <c r="L12606" s="21" t="n">
        <v>0</v>
      </c>
      <c r="M12606" s="21" t="n">
        <v>0</v>
      </c>
      <c r="N12606" s="21" t="n">
        <v>0</v>
      </c>
      <c r="O12606" s="21" t="n">
        <v>0</v>
      </c>
      <c r="P12606" s="21" t="n">
        <v>0</v>
      </c>
      <c r="Q12606" s="21" t="n">
        <v>0</v>
      </c>
      <c r="R12606" s="21" t="n">
        <v>0</v>
      </c>
      <c r="S12606" s="21" t="n">
        <v>0</v>
      </c>
      <c r="T12606" s="21">
        <f>-$B$12189</f>
        <v/>
      </c>
      <c r="U12606" s="21">
        <f>-$B$12190</f>
        <v/>
      </c>
      <c r="V12606" s="21">
        <f>2*$B$12189+$D$12585</f>
        <v/>
      </c>
      <c r="W12606" s="21">
        <f>0</f>
        <v/>
      </c>
      <c r="X12606" s="21">
        <f>-$B$12189</f>
        <v/>
      </c>
      <c r="Y12606" s="21">
        <f>$B$12190</f>
        <v/>
      </c>
      <c r="Z12606" s="19" t="n"/>
    </row>
    <row r="12607">
      <c r="D12607" s="21" t="n">
        <v>0</v>
      </c>
      <c r="E12607" s="21" t="n">
        <v>0</v>
      </c>
      <c r="F12607" s="21" t="n">
        <v>0</v>
      </c>
      <c r="G12607" s="21" t="n">
        <v>0</v>
      </c>
      <c r="H12607" s="21" t="n">
        <v>0</v>
      </c>
      <c r="I12607" s="21" t="n">
        <v>0</v>
      </c>
      <c r="J12607" s="21" t="n">
        <v>0</v>
      </c>
      <c r="K12607" s="21" t="n">
        <v>0</v>
      </c>
      <c r="L12607" s="21" t="n">
        <v>0</v>
      </c>
      <c r="M12607" s="21" t="n">
        <v>0</v>
      </c>
      <c r="N12607" s="21" t="n">
        <v>0</v>
      </c>
      <c r="O12607" s="21" t="n">
        <v>0</v>
      </c>
      <c r="P12607" s="21" t="n">
        <v>0</v>
      </c>
      <c r="Q12607" s="21" t="n">
        <v>0</v>
      </c>
      <c r="R12607" s="21" t="n">
        <v>0</v>
      </c>
      <c r="S12607" s="21" t="n">
        <v>0</v>
      </c>
      <c r="T12607" s="21">
        <f>$B$12190</f>
        <v/>
      </c>
      <c r="U12607" s="21">
        <f>$B$12192</f>
        <v/>
      </c>
      <c r="V12607" s="21">
        <f>0</f>
        <v/>
      </c>
      <c r="W12607" s="21">
        <f>2*$B$12191</f>
        <v/>
      </c>
      <c r="X12607" s="21">
        <f>-$B$12190</f>
        <v/>
      </c>
      <c r="Y12607" s="21">
        <f>$B$12192</f>
        <v/>
      </c>
      <c r="Z12607" s="19" t="n"/>
    </row>
    <row r="12608">
      <c r="D12608" s="21" t="n">
        <v>0</v>
      </c>
      <c r="E12608" s="21" t="n">
        <v>0</v>
      </c>
      <c r="F12608" s="21" t="n">
        <v>0</v>
      </c>
      <c r="G12608" s="21" t="n">
        <v>0</v>
      </c>
      <c r="H12608" s="21" t="n">
        <v>0</v>
      </c>
      <c r="I12608" s="21" t="n">
        <v>0</v>
      </c>
      <c r="J12608" s="21" t="n">
        <v>0</v>
      </c>
      <c r="K12608" s="21" t="n">
        <v>0</v>
      </c>
      <c r="L12608" s="21" t="n">
        <v>0</v>
      </c>
      <c r="M12608" s="21" t="n">
        <v>0</v>
      </c>
      <c r="N12608" s="21" t="n">
        <v>0</v>
      </c>
      <c r="O12608" s="21" t="n">
        <v>0</v>
      </c>
      <c r="P12608" s="21" t="n">
        <v>0</v>
      </c>
      <c r="Q12608" s="21" t="n">
        <v>0</v>
      </c>
      <c r="R12608" s="21" t="n">
        <v>0</v>
      </c>
      <c r="S12608" s="21" t="n">
        <v>0</v>
      </c>
      <c r="T12608" s="21" t="n">
        <v>0</v>
      </c>
      <c r="U12608" s="21" t="n">
        <v>0</v>
      </c>
      <c r="V12608" s="21">
        <f>-$B$12189</f>
        <v/>
      </c>
      <c r="W12608" s="21">
        <f>-$B$12190</f>
        <v/>
      </c>
      <c r="X12608" s="21">
        <f>$B$12189+$D$12586</f>
        <v/>
      </c>
      <c r="Y12608" s="21">
        <f>-$B$12190</f>
        <v/>
      </c>
      <c r="Z12608" s="19" t="n"/>
    </row>
    <row r="12609">
      <c r="D12609" s="21" t="n">
        <v>0</v>
      </c>
      <c r="E12609" s="21" t="n">
        <v>0</v>
      </c>
      <c r="F12609" s="21" t="n">
        <v>0</v>
      </c>
      <c r="G12609" s="21" t="n">
        <v>0</v>
      </c>
      <c r="H12609" s="21" t="n">
        <v>0</v>
      </c>
      <c r="I12609" s="21" t="n">
        <v>0</v>
      </c>
      <c r="J12609" s="21" t="n">
        <v>0</v>
      </c>
      <c r="K12609" s="21" t="n">
        <v>0</v>
      </c>
      <c r="L12609" s="21" t="n">
        <v>0</v>
      </c>
      <c r="M12609" s="21" t="n">
        <v>0</v>
      </c>
      <c r="N12609" s="21" t="n">
        <v>0</v>
      </c>
      <c r="O12609" s="21" t="n">
        <v>0</v>
      </c>
      <c r="P12609" s="21" t="n">
        <v>0</v>
      </c>
      <c r="Q12609" s="21" t="n">
        <v>0</v>
      </c>
      <c r="R12609" s="21" t="n">
        <v>0</v>
      </c>
      <c r="S12609" s="21" t="n">
        <v>0</v>
      </c>
      <c r="T12609" s="21" t="n">
        <v>0</v>
      </c>
      <c r="U12609" s="21" t="n">
        <v>0</v>
      </c>
      <c r="V12609" s="21">
        <f>$B$12190</f>
        <v/>
      </c>
      <c r="W12609" s="21">
        <f>$B$12192</f>
        <v/>
      </c>
      <c r="X12609" s="21">
        <f>-$B$12190</f>
        <v/>
      </c>
      <c r="Y12609" s="21">
        <f>$B$12191</f>
        <v/>
      </c>
      <c r="Z12609" s="19" t="n"/>
    </row>
    <row r="12611">
      <c r="A12611" s="8" t="inlineStr">
        <is>
          <t>gen 11</t>
        </is>
      </c>
    </row>
    <row r="12612">
      <c r="D12612" s="19">
        <f>IF(ABS(IF(ABS($E$12576)&gt;0.000000001,$E$12576,0.000000001))=0,0,IF($E$12204&lt;=$B$12198,0,IF(ABS(IF(ABS($E$12576)&gt;0.000000001,$E$12576,0.000000001))&gt;=8*$B$12200,$H$12204,0.5*$H$12204*(ABS(IF(ABS($E$12576)&gt;0.000000001,$E$12576,0.000000001))/$B$12200)^(1/3)))/ABS(IF(ABS($E$12576)&gt;0.000000001,$E$12576,0.000000001))*$I$12204)</f>
        <v/>
      </c>
      <c r="E12612" s="19">
        <f>0.5*$E$12576+0.5*$Z$12624</f>
        <v/>
      </c>
      <c r="F12612" s="19">
        <f>$Z$12625</f>
        <v/>
      </c>
    </row>
    <row r="12613">
      <c r="D12613" s="19">
        <f>IF(ABS(IF(ABS($E$12577)&gt;0.000000001,$E$12577,0.000000001))=0,0,IF($E$12205&lt;=$B$12198,0,IF(ABS(IF(ABS($E$12577)&gt;0.000000001,$E$12577,0.000000001))&gt;=8*$B$12200,$H$12205,0.5*$H$12205*(ABS(IF(ABS($E$12577)&gt;0.000000001,$E$12577,0.000000001))/$B$12200)^(1/3)))/ABS(IF(ABS($E$12577)&gt;0.000000001,$E$12577,0.000000001))*$I$12205)</f>
        <v/>
      </c>
      <c r="E12613" s="19">
        <f>0.5*$E$12577+0.5*$Z$12626</f>
        <v/>
      </c>
      <c r="F12613" s="19">
        <f>$Z$12627</f>
        <v/>
      </c>
    </row>
    <row r="12614">
      <c r="D12614" s="19">
        <f>IF(ABS(IF(ABS($E$12578)&gt;0.000000001,$E$12578,0.000000001))=0,0,IF($E$12206&lt;=$B$12198,0,IF(ABS(IF(ABS($E$12578)&gt;0.000000001,$E$12578,0.000000001))&gt;=8*$B$12200,$H$12206,0.5*$H$12206*(ABS(IF(ABS($E$12578)&gt;0.000000001,$E$12578,0.000000001))/$B$12200)^(1/3)))/ABS(IF(ABS($E$12578)&gt;0.000000001,$E$12578,0.000000001))*$I$12206)</f>
        <v/>
      </c>
      <c r="E12614" s="19">
        <f>0.5*$E$12578+0.5*$Z$12628</f>
        <v/>
      </c>
      <c r="F12614" s="19">
        <f>$Z$12629</f>
        <v/>
      </c>
    </row>
    <row r="12615">
      <c r="D12615" s="19">
        <f>IF(ABS(IF(ABS($E$12579)&gt;0.000000001,$E$12579,0.000000001))=0,0,IF($E$12207&lt;=$B$12198,0,IF(ABS(IF(ABS($E$12579)&gt;0.000000001,$E$12579,0.000000001))&gt;=8*$B$12200,$H$12207,0.5*$H$12207*(ABS(IF(ABS($E$12579)&gt;0.000000001,$E$12579,0.000000001))/$B$12200)^(1/3)))/ABS(IF(ABS($E$12579)&gt;0.000000001,$E$12579,0.000000001))*$I$12207)</f>
        <v/>
      </c>
      <c r="E12615" s="19">
        <f>0.5*$E$12579+0.5*$Z$12630</f>
        <v/>
      </c>
      <c r="F12615" s="19">
        <f>$Z$12631</f>
        <v/>
      </c>
    </row>
    <row r="12616">
      <c r="D12616" s="19">
        <f>IF(ABS(IF(ABS($E$12580)&gt;0.000000001,$E$12580,0.000000001))=0,0,IF($E$12208&lt;=$B$12198,0,IF(ABS(IF(ABS($E$12580)&gt;0.000000001,$E$12580,0.000000001))&gt;=8*$B$12200,$H$12208,0.5*$H$12208*(ABS(IF(ABS($E$12580)&gt;0.000000001,$E$12580,0.000000001))/$B$12200)^(1/3)))/ABS(IF(ABS($E$12580)&gt;0.000000001,$E$12580,0.000000001))*$I$12208)</f>
        <v/>
      </c>
      <c r="E12616" s="19">
        <f>0.5*$E$12580+0.5*$Z$12632</f>
        <v/>
      </c>
      <c r="F12616" s="19">
        <f>$Z$12633</f>
        <v/>
      </c>
    </row>
    <row r="12617">
      <c r="D12617" s="19">
        <f>IF(ABS(IF(ABS($E$12581)&gt;0.000000001,$E$12581,0.000000001))=0,0,IF($E$12209&lt;=$B$12198,0,IF(ABS(IF(ABS($E$12581)&gt;0.000000001,$E$12581,0.000000001))&gt;=8*$B$12200,$H$12209,0.5*$H$12209*(ABS(IF(ABS($E$12581)&gt;0.000000001,$E$12581,0.000000001))/$B$12200)^(1/3)))/ABS(IF(ABS($E$12581)&gt;0.000000001,$E$12581,0.000000001))*$I$12209)</f>
        <v/>
      </c>
      <c r="E12617" s="19">
        <f>0.5*$E$12581+0.5*$Z$12634</f>
        <v/>
      </c>
      <c r="F12617" s="19">
        <f>$Z$12635</f>
        <v/>
      </c>
    </row>
    <row r="12618">
      <c r="D12618" s="19">
        <f>IF(ABS(IF(ABS($E$12582)&gt;0.000000001,$E$12582,0.000000001))=0,0,IF($E$12210&lt;=$B$12198,0,IF(ABS(IF(ABS($E$12582)&gt;0.000000001,$E$12582,0.000000001))&gt;=8*$B$12200,$H$12210,0.5*$H$12210*(ABS(IF(ABS($E$12582)&gt;0.000000001,$E$12582,0.000000001))/$B$12200)^(1/3)))/ABS(IF(ABS($E$12582)&gt;0.000000001,$E$12582,0.000000001))*$I$12210)</f>
        <v/>
      </c>
      <c r="E12618" s="19">
        <f>0.5*$E$12582+0.5*$Z$12636</f>
        <v/>
      </c>
      <c r="F12618" s="19">
        <f>$Z$12637</f>
        <v/>
      </c>
    </row>
    <row r="12619">
      <c r="D12619" s="19">
        <f>IF(ABS(IF(ABS($E$12583)&gt;0.000000001,$E$12583,0.000000001))=0,0,IF($E$12211&lt;=$B$12198,0,IF(ABS(IF(ABS($E$12583)&gt;0.000000001,$E$12583,0.000000001))&gt;=8*$B$12200,$H$12211,0.5*$H$12211*(ABS(IF(ABS($E$12583)&gt;0.000000001,$E$12583,0.000000001))/$B$12200)^(1/3)))/ABS(IF(ABS($E$12583)&gt;0.000000001,$E$12583,0.000000001))*$I$12211)</f>
        <v/>
      </c>
      <c r="E12619" s="19">
        <f>0.5*$E$12583+0.5*$Z$12638</f>
        <v/>
      </c>
      <c r="F12619" s="19">
        <f>$Z$12639</f>
        <v/>
      </c>
    </row>
    <row r="12620">
      <c r="D12620" s="19">
        <f>IF(ABS(IF(ABS($E$12584)&gt;0.000000001,$E$12584,0.000000001))=0,0,IF($E$12212&lt;=$B$12198,0,IF(ABS(IF(ABS($E$12584)&gt;0.000000001,$E$12584,0.000000001))&gt;=8*$B$12200,$H$12212,0.5*$H$12212*(ABS(IF(ABS($E$12584)&gt;0.000000001,$E$12584,0.000000001))/$B$12200)^(1/3)))/ABS(IF(ABS($E$12584)&gt;0.000000001,$E$12584,0.000000001))*$I$12212)</f>
        <v/>
      </c>
      <c r="E12620" s="19">
        <f>0.5*$E$12584+0.5*$Z$12640</f>
        <v/>
      </c>
      <c r="F12620" s="19">
        <f>$Z$12641</f>
        <v/>
      </c>
    </row>
    <row r="12621">
      <c r="D12621" s="19">
        <f>IF(ABS(IF(ABS($E$12585)&gt;0.000000001,$E$12585,0.000000001))=0,0,IF($E$12213&lt;=$B$12198,0,IF(ABS(IF(ABS($E$12585)&gt;0.000000001,$E$12585,0.000000001))&gt;=8*$B$12200,$H$12213,0.5*$H$12213*(ABS(IF(ABS($E$12585)&gt;0.000000001,$E$12585,0.000000001))/$B$12200)^(1/3)))/ABS(IF(ABS($E$12585)&gt;0.000000001,$E$12585,0.000000001))*$I$12213)</f>
        <v/>
      </c>
      <c r="E12621" s="19">
        <f>0.5*$E$12585+0.5*$Z$12642</f>
        <v/>
      </c>
      <c r="F12621" s="19">
        <f>$Z$12643</f>
        <v/>
      </c>
    </row>
    <row r="12622">
      <c r="D12622" s="19">
        <f>IF(ABS(IF(ABS($E$12586)&gt;0.000000001,$E$12586,0.000000001))=0,0,IF($E$12214&lt;=$B$12198,0,IF(ABS(IF(ABS($E$12586)&gt;0.000000001,$E$12586,0.000000001))&gt;=8*$B$12200,$H$12214,0.5*$H$12214*(ABS(IF(ABS($E$12586)&gt;0.000000001,$E$12586,0.000000001))/$B$12200)^(1/3)))/ABS(IF(ABS($E$12586)&gt;0.000000001,$E$12586,0.000000001))*$I$12214)</f>
        <v/>
      </c>
      <c r="E12622" s="19">
        <f>0.5*$E$12586+0.5*$Z$12644</f>
        <v/>
      </c>
      <c r="F12622" s="19">
        <f>$Z$12645</f>
        <v/>
      </c>
    </row>
    <row r="12624">
      <c r="D12624" s="21">
        <f>$B$12189+$D$12612</f>
        <v/>
      </c>
      <c r="E12624" s="21">
        <f>$B$12190</f>
        <v/>
      </c>
      <c r="F12624" s="21">
        <f>-$B$12189</f>
        <v/>
      </c>
      <c r="G12624" s="21">
        <f>$B$12190</f>
        <v/>
      </c>
      <c r="H12624" s="21" t="n">
        <v>0</v>
      </c>
      <c r="I12624" s="21" t="n">
        <v>0</v>
      </c>
      <c r="J12624" s="21" t="n">
        <v>0</v>
      </c>
      <c r="K12624" s="21" t="n">
        <v>0</v>
      </c>
      <c r="L12624" s="21" t="n">
        <v>0</v>
      </c>
      <c r="M12624" s="21" t="n">
        <v>0</v>
      </c>
      <c r="N12624" s="21" t="n">
        <v>0</v>
      </c>
      <c r="O12624" s="21" t="n">
        <v>0</v>
      </c>
      <c r="P12624" s="21" t="n">
        <v>0</v>
      </c>
      <c r="Q12624" s="21" t="n">
        <v>0</v>
      </c>
      <c r="R12624" s="21" t="n">
        <v>0</v>
      </c>
      <c r="S12624" s="21" t="n">
        <v>0</v>
      </c>
      <c r="T12624" s="21" t="n">
        <v>0</v>
      </c>
      <c r="U12624" s="21" t="n">
        <v>0</v>
      </c>
      <c r="V12624" s="21" t="n">
        <v>0</v>
      </c>
      <c r="W12624" s="21" t="n">
        <v>0</v>
      </c>
      <c r="X12624" s="21" t="n">
        <v>0</v>
      </c>
      <c r="Y12624" s="21" t="n">
        <v>0</v>
      </c>
      <c r="Z12624" s="19">
        <f t="array" ref="Z12624:Z12645">MMULT(MINVERSE($D$12624:$Y$12645),$D$12216:$D$12237)</f>
        <v/>
      </c>
    </row>
    <row r="12625">
      <c r="D12625" s="21">
        <f>$B$12190</f>
        <v/>
      </c>
      <c r="E12625" s="21">
        <f>$B$12191</f>
        <v/>
      </c>
      <c r="F12625" s="21">
        <f>-$B$12190</f>
        <v/>
      </c>
      <c r="G12625" s="21">
        <f>$B$12192</f>
        <v/>
      </c>
      <c r="H12625" s="21" t="n">
        <v>0</v>
      </c>
      <c r="I12625" s="21" t="n">
        <v>0</v>
      </c>
      <c r="J12625" s="21" t="n">
        <v>0</v>
      </c>
      <c r="K12625" s="21" t="n">
        <v>0</v>
      </c>
      <c r="L12625" s="21" t="n">
        <v>0</v>
      </c>
      <c r="M12625" s="21" t="n">
        <v>0</v>
      </c>
      <c r="N12625" s="21" t="n">
        <v>0</v>
      </c>
      <c r="O12625" s="21" t="n">
        <v>0</v>
      </c>
      <c r="P12625" s="21" t="n">
        <v>0</v>
      </c>
      <c r="Q12625" s="21" t="n">
        <v>0</v>
      </c>
      <c r="R12625" s="21" t="n">
        <v>0</v>
      </c>
      <c r="S12625" s="21" t="n">
        <v>0</v>
      </c>
      <c r="T12625" s="21" t="n">
        <v>0</v>
      </c>
      <c r="U12625" s="21" t="n">
        <v>0</v>
      </c>
      <c r="V12625" s="21" t="n">
        <v>0</v>
      </c>
      <c r="W12625" s="21" t="n">
        <v>0</v>
      </c>
      <c r="X12625" s="21" t="n">
        <v>0</v>
      </c>
      <c r="Y12625" s="21" t="n">
        <v>0</v>
      </c>
      <c r="Z12625" s="19" t="n"/>
    </row>
    <row r="12626">
      <c r="D12626" s="21">
        <f>-$B$12189</f>
        <v/>
      </c>
      <c r="E12626" s="21">
        <f>-$B$12190</f>
        <v/>
      </c>
      <c r="F12626" s="21">
        <f>2*$B$12189+$D$12613</f>
        <v/>
      </c>
      <c r="G12626" s="21">
        <f>0</f>
        <v/>
      </c>
      <c r="H12626" s="21">
        <f>-$B$12189</f>
        <v/>
      </c>
      <c r="I12626" s="21">
        <f>$B$12190</f>
        <v/>
      </c>
      <c r="J12626" s="21" t="n">
        <v>0</v>
      </c>
      <c r="K12626" s="21" t="n">
        <v>0</v>
      </c>
      <c r="L12626" s="21" t="n">
        <v>0</v>
      </c>
      <c r="M12626" s="21" t="n">
        <v>0</v>
      </c>
      <c r="N12626" s="21" t="n">
        <v>0</v>
      </c>
      <c r="O12626" s="21" t="n">
        <v>0</v>
      </c>
      <c r="P12626" s="21" t="n">
        <v>0</v>
      </c>
      <c r="Q12626" s="21" t="n">
        <v>0</v>
      </c>
      <c r="R12626" s="21" t="n">
        <v>0</v>
      </c>
      <c r="S12626" s="21" t="n">
        <v>0</v>
      </c>
      <c r="T12626" s="21" t="n">
        <v>0</v>
      </c>
      <c r="U12626" s="21" t="n">
        <v>0</v>
      </c>
      <c r="V12626" s="21" t="n">
        <v>0</v>
      </c>
      <c r="W12626" s="21" t="n">
        <v>0</v>
      </c>
      <c r="X12626" s="21" t="n">
        <v>0</v>
      </c>
      <c r="Y12626" s="21" t="n">
        <v>0</v>
      </c>
      <c r="Z12626" s="19" t="n"/>
    </row>
    <row r="12627">
      <c r="D12627" s="21">
        <f>$B$12190</f>
        <v/>
      </c>
      <c r="E12627" s="21">
        <f>$B$12192</f>
        <v/>
      </c>
      <c r="F12627" s="21">
        <f>0</f>
        <v/>
      </c>
      <c r="G12627" s="21">
        <f>2*$B$12191</f>
        <v/>
      </c>
      <c r="H12627" s="21">
        <f>-$B$12190</f>
        <v/>
      </c>
      <c r="I12627" s="21">
        <f>$B$12192</f>
        <v/>
      </c>
      <c r="J12627" s="21" t="n">
        <v>0</v>
      </c>
      <c r="K12627" s="21" t="n">
        <v>0</v>
      </c>
      <c r="L12627" s="21" t="n">
        <v>0</v>
      </c>
      <c r="M12627" s="21" t="n">
        <v>0</v>
      </c>
      <c r="N12627" s="21" t="n">
        <v>0</v>
      </c>
      <c r="O12627" s="21" t="n">
        <v>0</v>
      </c>
      <c r="P12627" s="21" t="n">
        <v>0</v>
      </c>
      <c r="Q12627" s="21" t="n">
        <v>0</v>
      </c>
      <c r="R12627" s="21" t="n">
        <v>0</v>
      </c>
      <c r="S12627" s="21" t="n">
        <v>0</v>
      </c>
      <c r="T12627" s="21" t="n">
        <v>0</v>
      </c>
      <c r="U12627" s="21" t="n">
        <v>0</v>
      </c>
      <c r="V12627" s="21" t="n">
        <v>0</v>
      </c>
      <c r="W12627" s="21" t="n">
        <v>0</v>
      </c>
      <c r="X12627" s="21" t="n">
        <v>0</v>
      </c>
      <c r="Y12627" s="21" t="n">
        <v>0</v>
      </c>
      <c r="Z12627" s="19" t="n"/>
    </row>
    <row r="12628">
      <c r="D12628" s="21" t="n">
        <v>0</v>
      </c>
      <c r="E12628" s="21" t="n">
        <v>0</v>
      </c>
      <c r="F12628" s="21">
        <f>-$B$12189</f>
        <v/>
      </c>
      <c r="G12628" s="21">
        <f>-$B$12190</f>
        <v/>
      </c>
      <c r="H12628" s="21">
        <f>2*$B$12189+$D$12614</f>
        <v/>
      </c>
      <c r="I12628" s="21">
        <f>0</f>
        <v/>
      </c>
      <c r="J12628" s="21">
        <f>-$B$12189</f>
        <v/>
      </c>
      <c r="K12628" s="21">
        <f>$B$12190</f>
        <v/>
      </c>
      <c r="L12628" s="21" t="n">
        <v>0</v>
      </c>
      <c r="M12628" s="21" t="n">
        <v>0</v>
      </c>
      <c r="N12628" s="21" t="n">
        <v>0</v>
      </c>
      <c r="O12628" s="21" t="n">
        <v>0</v>
      </c>
      <c r="P12628" s="21" t="n">
        <v>0</v>
      </c>
      <c r="Q12628" s="21" t="n">
        <v>0</v>
      </c>
      <c r="R12628" s="21" t="n">
        <v>0</v>
      </c>
      <c r="S12628" s="21" t="n">
        <v>0</v>
      </c>
      <c r="T12628" s="21" t="n">
        <v>0</v>
      </c>
      <c r="U12628" s="21" t="n">
        <v>0</v>
      </c>
      <c r="V12628" s="21" t="n">
        <v>0</v>
      </c>
      <c r="W12628" s="21" t="n">
        <v>0</v>
      </c>
      <c r="X12628" s="21" t="n">
        <v>0</v>
      </c>
      <c r="Y12628" s="21" t="n">
        <v>0</v>
      </c>
      <c r="Z12628" s="19" t="n"/>
    </row>
    <row r="12629">
      <c r="D12629" s="21" t="n">
        <v>0</v>
      </c>
      <c r="E12629" s="21" t="n">
        <v>0</v>
      </c>
      <c r="F12629" s="21">
        <f>$B$12190</f>
        <v/>
      </c>
      <c r="G12629" s="21">
        <f>$B$12192</f>
        <v/>
      </c>
      <c r="H12629" s="21">
        <f>0</f>
        <v/>
      </c>
      <c r="I12629" s="21">
        <f>2*$B$12191</f>
        <v/>
      </c>
      <c r="J12629" s="21">
        <f>-$B$12190</f>
        <v/>
      </c>
      <c r="K12629" s="21">
        <f>$B$12192</f>
        <v/>
      </c>
      <c r="L12629" s="21" t="n">
        <v>0</v>
      </c>
      <c r="M12629" s="21" t="n">
        <v>0</v>
      </c>
      <c r="N12629" s="21" t="n">
        <v>0</v>
      </c>
      <c r="O12629" s="21" t="n">
        <v>0</v>
      </c>
      <c r="P12629" s="21" t="n">
        <v>0</v>
      </c>
      <c r="Q12629" s="21" t="n">
        <v>0</v>
      </c>
      <c r="R12629" s="21" t="n">
        <v>0</v>
      </c>
      <c r="S12629" s="21" t="n">
        <v>0</v>
      </c>
      <c r="T12629" s="21" t="n">
        <v>0</v>
      </c>
      <c r="U12629" s="21" t="n">
        <v>0</v>
      </c>
      <c r="V12629" s="21" t="n">
        <v>0</v>
      </c>
      <c r="W12629" s="21" t="n">
        <v>0</v>
      </c>
      <c r="X12629" s="21" t="n">
        <v>0</v>
      </c>
      <c r="Y12629" s="21" t="n">
        <v>0</v>
      </c>
      <c r="Z12629" s="19" t="n"/>
    </row>
    <row r="12630">
      <c r="D12630" s="21" t="n">
        <v>0</v>
      </c>
      <c r="E12630" s="21" t="n">
        <v>0</v>
      </c>
      <c r="F12630" s="21" t="n">
        <v>0</v>
      </c>
      <c r="G12630" s="21" t="n">
        <v>0</v>
      </c>
      <c r="H12630" s="21">
        <f>-$B$12189</f>
        <v/>
      </c>
      <c r="I12630" s="21">
        <f>-$B$12190</f>
        <v/>
      </c>
      <c r="J12630" s="21">
        <f>2*$B$12189+$D$12615</f>
        <v/>
      </c>
      <c r="K12630" s="21">
        <f>0</f>
        <v/>
      </c>
      <c r="L12630" s="21">
        <f>-$B$12189</f>
        <v/>
      </c>
      <c r="M12630" s="21">
        <f>$B$12190</f>
        <v/>
      </c>
      <c r="N12630" s="21" t="n">
        <v>0</v>
      </c>
      <c r="O12630" s="21" t="n">
        <v>0</v>
      </c>
      <c r="P12630" s="21" t="n">
        <v>0</v>
      </c>
      <c r="Q12630" s="21" t="n">
        <v>0</v>
      </c>
      <c r="R12630" s="21" t="n">
        <v>0</v>
      </c>
      <c r="S12630" s="21" t="n">
        <v>0</v>
      </c>
      <c r="T12630" s="21" t="n">
        <v>0</v>
      </c>
      <c r="U12630" s="21" t="n">
        <v>0</v>
      </c>
      <c r="V12630" s="21" t="n">
        <v>0</v>
      </c>
      <c r="W12630" s="21" t="n">
        <v>0</v>
      </c>
      <c r="X12630" s="21" t="n">
        <v>0</v>
      </c>
      <c r="Y12630" s="21" t="n">
        <v>0</v>
      </c>
      <c r="Z12630" s="19" t="n"/>
    </row>
    <row r="12631">
      <c r="D12631" s="21" t="n">
        <v>0</v>
      </c>
      <c r="E12631" s="21" t="n">
        <v>0</v>
      </c>
      <c r="F12631" s="21" t="n">
        <v>0</v>
      </c>
      <c r="G12631" s="21" t="n">
        <v>0</v>
      </c>
      <c r="H12631" s="21">
        <f>$B$12190</f>
        <v/>
      </c>
      <c r="I12631" s="21">
        <f>$B$12192</f>
        <v/>
      </c>
      <c r="J12631" s="21">
        <f>0</f>
        <v/>
      </c>
      <c r="K12631" s="21">
        <f>2*$B$12191</f>
        <v/>
      </c>
      <c r="L12631" s="21">
        <f>-$B$12190</f>
        <v/>
      </c>
      <c r="M12631" s="21">
        <f>$B$12192</f>
        <v/>
      </c>
      <c r="N12631" s="21" t="n">
        <v>0</v>
      </c>
      <c r="O12631" s="21" t="n">
        <v>0</v>
      </c>
      <c r="P12631" s="21" t="n">
        <v>0</v>
      </c>
      <c r="Q12631" s="21" t="n">
        <v>0</v>
      </c>
      <c r="R12631" s="21" t="n">
        <v>0</v>
      </c>
      <c r="S12631" s="21" t="n">
        <v>0</v>
      </c>
      <c r="T12631" s="21" t="n">
        <v>0</v>
      </c>
      <c r="U12631" s="21" t="n">
        <v>0</v>
      </c>
      <c r="V12631" s="21" t="n">
        <v>0</v>
      </c>
      <c r="W12631" s="21" t="n">
        <v>0</v>
      </c>
      <c r="X12631" s="21" t="n">
        <v>0</v>
      </c>
      <c r="Y12631" s="21" t="n">
        <v>0</v>
      </c>
      <c r="Z12631" s="19" t="n"/>
    </row>
    <row r="12632">
      <c r="D12632" s="21" t="n">
        <v>0</v>
      </c>
      <c r="E12632" s="21" t="n">
        <v>0</v>
      </c>
      <c r="F12632" s="21" t="n">
        <v>0</v>
      </c>
      <c r="G12632" s="21" t="n">
        <v>0</v>
      </c>
      <c r="H12632" s="21" t="n">
        <v>0</v>
      </c>
      <c r="I12632" s="21" t="n">
        <v>0</v>
      </c>
      <c r="J12632" s="21">
        <f>-$B$12189</f>
        <v/>
      </c>
      <c r="K12632" s="21">
        <f>-$B$12190</f>
        <v/>
      </c>
      <c r="L12632" s="21">
        <f>2*$B$12189+$D$12616</f>
        <v/>
      </c>
      <c r="M12632" s="21">
        <f>0</f>
        <v/>
      </c>
      <c r="N12632" s="21">
        <f>-$B$12189</f>
        <v/>
      </c>
      <c r="O12632" s="21">
        <f>$B$12190</f>
        <v/>
      </c>
      <c r="P12632" s="21" t="n">
        <v>0</v>
      </c>
      <c r="Q12632" s="21" t="n">
        <v>0</v>
      </c>
      <c r="R12632" s="21" t="n">
        <v>0</v>
      </c>
      <c r="S12632" s="21" t="n">
        <v>0</v>
      </c>
      <c r="T12632" s="21" t="n">
        <v>0</v>
      </c>
      <c r="U12632" s="21" t="n">
        <v>0</v>
      </c>
      <c r="V12632" s="21" t="n">
        <v>0</v>
      </c>
      <c r="W12632" s="21" t="n">
        <v>0</v>
      </c>
      <c r="X12632" s="21" t="n">
        <v>0</v>
      </c>
      <c r="Y12632" s="21" t="n">
        <v>0</v>
      </c>
      <c r="Z12632" s="19" t="n"/>
    </row>
    <row r="12633">
      <c r="D12633" s="21" t="n">
        <v>0</v>
      </c>
      <c r="E12633" s="21" t="n">
        <v>0</v>
      </c>
      <c r="F12633" s="21" t="n">
        <v>0</v>
      </c>
      <c r="G12633" s="21" t="n">
        <v>0</v>
      </c>
      <c r="H12633" s="21" t="n">
        <v>0</v>
      </c>
      <c r="I12633" s="21" t="n">
        <v>0</v>
      </c>
      <c r="J12633" s="21">
        <f>$B$12190</f>
        <v/>
      </c>
      <c r="K12633" s="21">
        <f>$B$12192</f>
        <v/>
      </c>
      <c r="L12633" s="21">
        <f>0</f>
        <v/>
      </c>
      <c r="M12633" s="21">
        <f>2*$B$12191</f>
        <v/>
      </c>
      <c r="N12633" s="21">
        <f>-$B$12190</f>
        <v/>
      </c>
      <c r="O12633" s="21">
        <f>$B$12192</f>
        <v/>
      </c>
      <c r="P12633" s="21" t="n">
        <v>0</v>
      </c>
      <c r="Q12633" s="21" t="n">
        <v>0</v>
      </c>
      <c r="R12633" s="21" t="n">
        <v>0</v>
      </c>
      <c r="S12633" s="21" t="n">
        <v>0</v>
      </c>
      <c r="T12633" s="21" t="n">
        <v>0</v>
      </c>
      <c r="U12633" s="21" t="n">
        <v>0</v>
      </c>
      <c r="V12633" s="21" t="n">
        <v>0</v>
      </c>
      <c r="W12633" s="21" t="n">
        <v>0</v>
      </c>
      <c r="X12633" s="21" t="n">
        <v>0</v>
      </c>
      <c r="Y12633" s="21" t="n">
        <v>0</v>
      </c>
      <c r="Z12633" s="19" t="n"/>
    </row>
    <row r="12634">
      <c r="D12634" s="21" t="n">
        <v>0</v>
      </c>
      <c r="E12634" s="21" t="n">
        <v>0</v>
      </c>
      <c r="F12634" s="21" t="n">
        <v>0</v>
      </c>
      <c r="G12634" s="21" t="n">
        <v>0</v>
      </c>
      <c r="H12634" s="21" t="n">
        <v>0</v>
      </c>
      <c r="I12634" s="21" t="n">
        <v>0</v>
      </c>
      <c r="J12634" s="21" t="n">
        <v>0</v>
      </c>
      <c r="K12634" s="21" t="n">
        <v>0</v>
      </c>
      <c r="L12634" s="21">
        <f>-$B$12189</f>
        <v/>
      </c>
      <c r="M12634" s="21">
        <f>-$B$12190</f>
        <v/>
      </c>
      <c r="N12634" s="21">
        <f>2*$B$12189+$D$12617</f>
        <v/>
      </c>
      <c r="O12634" s="21">
        <f>0</f>
        <v/>
      </c>
      <c r="P12634" s="21">
        <f>-$B$12189</f>
        <v/>
      </c>
      <c r="Q12634" s="21">
        <f>$B$12190</f>
        <v/>
      </c>
      <c r="R12634" s="21" t="n">
        <v>0</v>
      </c>
      <c r="S12634" s="21" t="n">
        <v>0</v>
      </c>
      <c r="T12634" s="21" t="n">
        <v>0</v>
      </c>
      <c r="U12634" s="21" t="n">
        <v>0</v>
      </c>
      <c r="V12634" s="21" t="n">
        <v>0</v>
      </c>
      <c r="W12634" s="21" t="n">
        <v>0</v>
      </c>
      <c r="X12634" s="21" t="n">
        <v>0</v>
      </c>
      <c r="Y12634" s="21" t="n">
        <v>0</v>
      </c>
      <c r="Z12634" s="19" t="n"/>
    </row>
    <row r="12635">
      <c r="D12635" s="21" t="n">
        <v>0</v>
      </c>
      <c r="E12635" s="21" t="n">
        <v>0</v>
      </c>
      <c r="F12635" s="21" t="n">
        <v>0</v>
      </c>
      <c r="G12635" s="21" t="n">
        <v>0</v>
      </c>
      <c r="H12635" s="21" t="n">
        <v>0</v>
      </c>
      <c r="I12635" s="21" t="n">
        <v>0</v>
      </c>
      <c r="J12635" s="21" t="n">
        <v>0</v>
      </c>
      <c r="K12635" s="21" t="n">
        <v>0</v>
      </c>
      <c r="L12635" s="21">
        <f>$B$12190</f>
        <v/>
      </c>
      <c r="M12635" s="21">
        <f>$B$12192</f>
        <v/>
      </c>
      <c r="N12635" s="21">
        <f>0</f>
        <v/>
      </c>
      <c r="O12635" s="21">
        <f>2*$B$12191</f>
        <v/>
      </c>
      <c r="P12635" s="21">
        <f>-$B$12190</f>
        <v/>
      </c>
      <c r="Q12635" s="21">
        <f>$B$12192</f>
        <v/>
      </c>
      <c r="R12635" s="21" t="n">
        <v>0</v>
      </c>
      <c r="S12635" s="21" t="n">
        <v>0</v>
      </c>
      <c r="T12635" s="21" t="n">
        <v>0</v>
      </c>
      <c r="U12635" s="21" t="n">
        <v>0</v>
      </c>
      <c r="V12635" s="21" t="n">
        <v>0</v>
      </c>
      <c r="W12635" s="21" t="n">
        <v>0</v>
      </c>
      <c r="X12635" s="21" t="n">
        <v>0</v>
      </c>
      <c r="Y12635" s="21" t="n">
        <v>0</v>
      </c>
      <c r="Z12635" s="19" t="n"/>
    </row>
    <row r="12636">
      <c r="D12636" s="21" t="n">
        <v>0</v>
      </c>
      <c r="E12636" s="21" t="n">
        <v>0</v>
      </c>
      <c r="F12636" s="21" t="n">
        <v>0</v>
      </c>
      <c r="G12636" s="21" t="n">
        <v>0</v>
      </c>
      <c r="H12636" s="21" t="n">
        <v>0</v>
      </c>
      <c r="I12636" s="21" t="n">
        <v>0</v>
      </c>
      <c r="J12636" s="21" t="n">
        <v>0</v>
      </c>
      <c r="K12636" s="21" t="n">
        <v>0</v>
      </c>
      <c r="L12636" s="21" t="n">
        <v>0</v>
      </c>
      <c r="M12636" s="21" t="n">
        <v>0</v>
      </c>
      <c r="N12636" s="21">
        <f>-$B$12189</f>
        <v/>
      </c>
      <c r="O12636" s="21">
        <f>-$B$12190</f>
        <v/>
      </c>
      <c r="P12636" s="21">
        <f>2*$B$12189+$D$12618</f>
        <v/>
      </c>
      <c r="Q12636" s="21">
        <f>0</f>
        <v/>
      </c>
      <c r="R12636" s="21">
        <f>-$B$12189</f>
        <v/>
      </c>
      <c r="S12636" s="21">
        <f>$B$12190</f>
        <v/>
      </c>
      <c r="T12636" s="21" t="n">
        <v>0</v>
      </c>
      <c r="U12636" s="21" t="n">
        <v>0</v>
      </c>
      <c r="V12636" s="21" t="n">
        <v>0</v>
      </c>
      <c r="W12636" s="21" t="n">
        <v>0</v>
      </c>
      <c r="X12636" s="21" t="n">
        <v>0</v>
      </c>
      <c r="Y12636" s="21" t="n">
        <v>0</v>
      </c>
      <c r="Z12636" s="19" t="n"/>
    </row>
    <row r="12637">
      <c r="D12637" s="21" t="n">
        <v>0</v>
      </c>
      <c r="E12637" s="21" t="n">
        <v>0</v>
      </c>
      <c r="F12637" s="21" t="n">
        <v>0</v>
      </c>
      <c r="G12637" s="21" t="n">
        <v>0</v>
      </c>
      <c r="H12637" s="21" t="n">
        <v>0</v>
      </c>
      <c r="I12637" s="21" t="n">
        <v>0</v>
      </c>
      <c r="J12637" s="21" t="n">
        <v>0</v>
      </c>
      <c r="K12637" s="21" t="n">
        <v>0</v>
      </c>
      <c r="L12637" s="21" t="n">
        <v>0</v>
      </c>
      <c r="M12637" s="21" t="n">
        <v>0</v>
      </c>
      <c r="N12637" s="21">
        <f>$B$12190</f>
        <v/>
      </c>
      <c r="O12637" s="21">
        <f>$B$12192</f>
        <v/>
      </c>
      <c r="P12637" s="21">
        <f>0</f>
        <v/>
      </c>
      <c r="Q12637" s="21">
        <f>2*$B$12191</f>
        <v/>
      </c>
      <c r="R12637" s="21">
        <f>-$B$12190</f>
        <v/>
      </c>
      <c r="S12637" s="21">
        <f>$B$12192</f>
        <v/>
      </c>
      <c r="T12637" s="21" t="n">
        <v>0</v>
      </c>
      <c r="U12637" s="21" t="n">
        <v>0</v>
      </c>
      <c r="V12637" s="21" t="n">
        <v>0</v>
      </c>
      <c r="W12637" s="21" t="n">
        <v>0</v>
      </c>
      <c r="X12637" s="21" t="n">
        <v>0</v>
      </c>
      <c r="Y12637" s="21" t="n">
        <v>0</v>
      </c>
      <c r="Z12637" s="19" t="n"/>
    </row>
    <row r="12638">
      <c r="D12638" s="21" t="n">
        <v>0</v>
      </c>
      <c r="E12638" s="21" t="n">
        <v>0</v>
      </c>
      <c r="F12638" s="21" t="n">
        <v>0</v>
      </c>
      <c r="G12638" s="21" t="n">
        <v>0</v>
      </c>
      <c r="H12638" s="21" t="n">
        <v>0</v>
      </c>
      <c r="I12638" s="21" t="n">
        <v>0</v>
      </c>
      <c r="J12638" s="21" t="n">
        <v>0</v>
      </c>
      <c r="K12638" s="21" t="n">
        <v>0</v>
      </c>
      <c r="L12638" s="21" t="n">
        <v>0</v>
      </c>
      <c r="M12638" s="21" t="n">
        <v>0</v>
      </c>
      <c r="N12638" s="21" t="n">
        <v>0</v>
      </c>
      <c r="O12638" s="21" t="n">
        <v>0</v>
      </c>
      <c r="P12638" s="21">
        <f>-$B$12189</f>
        <v/>
      </c>
      <c r="Q12638" s="21">
        <f>-$B$12190</f>
        <v/>
      </c>
      <c r="R12638" s="21">
        <f>2*$B$12189+$D$12619</f>
        <v/>
      </c>
      <c r="S12638" s="21">
        <f>0</f>
        <v/>
      </c>
      <c r="T12638" s="21">
        <f>-$B$12189</f>
        <v/>
      </c>
      <c r="U12638" s="21">
        <f>$B$12190</f>
        <v/>
      </c>
      <c r="V12638" s="21" t="n">
        <v>0</v>
      </c>
      <c r="W12638" s="21" t="n">
        <v>0</v>
      </c>
      <c r="X12638" s="21" t="n">
        <v>0</v>
      </c>
      <c r="Y12638" s="21" t="n">
        <v>0</v>
      </c>
      <c r="Z12638" s="19" t="n"/>
    </row>
    <row r="12639">
      <c r="D12639" s="21" t="n">
        <v>0</v>
      </c>
      <c r="E12639" s="21" t="n">
        <v>0</v>
      </c>
      <c r="F12639" s="21" t="n">
        <v>0</v>
      </c>
      <c r="G12639" s="21" t="n">
        <v>0</v>
      </c>
      <c r="H12639" s="21" t="n">
        <v>0</v>
      </c>
      <c r="I12639" s="21" t="n">
        <v>0</v>
      </c>
      <c r="J12639" s="21" t="n">
        <v>0</v>
      </c>
      <c r="K12639" s="21" t="n">
        <v>0</v>
      </c>
      <c r="L12639" s="21" t="n">
        <v>0</v>
      </c>
      <c r="M12639" s="21" t="n">
        <v>0</v>
      </c>
      <c r="N12639" s="21" t="n">
        <v>0</v>
      </c>
      <c r="O12639" s="21" t="n">
        <v>0</v>
      </c>
      <c r="P12639" s="21">
        <f>$B$12190</f>
        <v/>
      </c>
      <c r="Q12639" s="21">
        <f>$B$12192</f>
        <v/>
      </c>
      <c r="R12639" s="21">
        <f>0</f>
        <v/>
      </c>
      <c r="S12639" s="21">
        <f>2*$B$12191</f>
        <v/>
      </c>
      <c r="T12639" s="21">
        <f>-$B$12190</f>
        <v/>
      </c>
      <c r="U12639" s="21">
        <f>$B$12192</f>
        <v/>
      </c>
      <c r="V12639" s="21" t="n">
        <v>0</v>
      </c>
      <c r="W12639" s="21" t="n">
        <v>0</v>
      </c>
      <c r="X12639" s="21" t="n">
        <v>0</v>
      </c>
      <c r="Y12639" s="21" t="n">
        <v>0</v>
      </c>
      <c r="Z12639" s="19" t="n"/>
    </row>
    <row r="12640">
      <c r="D12640" s="21" t="n">
        <v>0</v>
      </c>
      <c r="E12640" s="21" t="n">
        <v>0</v>
      </c>
      <c r="F12640" s="21" t="n">
        <v>0</v>
      </c>
      <c r="G12640" s="21" t="n">
        <v>0</v>
      </c>
      <c r="H12640" s="21" t="n">
        <v>0</v>
      </c>
      <c r="I12640" s="21" t="n">
        <v>0</v>
      </c>
      <c r="J12640" s="21" t="n">
        <v>0</v>
      </c>
      <c r="K12640" s="21" t="n">
        <v>0</v>
      </c>
      <c r="L12640" s="21" t="n">
        <v>0</v>
      </c>
      <c r="M12640" s="21" t="n">
        <v>0</v>
      </c>
      <c r="N12640" s="21" t="n">
        <v>0</v>
      </c>
      <c r="O12640" s="21" t="n">
        <v>0</v>
      </c>
      <c r="P12640" s="21" t="n">
        <v>0</v>
      </c>
      <c r="Q12640" s="21" t="n">
        <v>0</v>
      </c>
      <c r="R12640" s="21">
        <f>-$B$12189</f>
        <v/>
      </c>
      <c r="S12640" s="21">
        <f>-$B$12190</f>
        <v/>
      </c>
      <c r="T12640" s="21">
        <f>2*$B$12189+$D$12620</f>
        <v/>
      </c>
      <c r="U12640" s="21">
        <f>0</f>
        <v/>
      </c>
      <c r="V12640" s="21">
        <f>-$B$12189</f>
        <v/>
      </c>
      <c r="W12640" s="21">
        <f>$B$12190</f>
        <v/>
      </c>
      <c r="X12640" s="21" t="n">
        <v>0</v>
      </c>
      <c r="Y12640" s="21" t="n">
        <v>0</v>
      </c>
      <c r="Z12640" s="19" t="n"/>
    </row>
    <row r="12641">
      <c r="D12641" s="21" t="n">
        <v>0</v>
      </c>
      <c r="E12641" s="21" t="n">
        <v>0</v>
      </c>
      <c r="F12641" s="21" t="n">
        <v>0</v>
      </c>
      <c r="G12641" s="21" t="n">
        <v>0</v>
      </c>
      <c r="H12641" s="21" t="n">
        <v>0</v>
      </c>
      <c r="I12641" s="21" t="n">
        <v>0</v>
      </c>
      <c r="J12641" s="21" t="n">
        <v>0</v>
      </c>
      <c r="K12641" s="21" t="n">
        <v>0</v>
      </c>
      <c r="L12641" s="21" t="n">
        <v>0</v>
      </c>
      <c r="M12641" s="21" t="n">
        <v>0</v>
      </c>
      <c r="N12641" s="21" t="n">
        <v>0</v>
      </c>
      <c r="O12641" s="21" t="n">
        <v>0</v>
      </c>
      <c r="P12641" s="21" t="n">
        <v>0</v>
      </c>
      <c r="Q12641" s="21" t="n">
        <v>0</v>
      </c>
      <c r="R12641" s="21">
        <f>$B$12190</f>
        <v/>
      </c>
      <c r="S12641" s="21">
        <f>$B$12192</f>
        <v/>
      </c>
      <c r="T12641" s="21">
        <f>0</f>
        <v/>
      </c>
      <c r="U12641" s="21">
        <f>2*$B$12191</f>
        <v/>
      </c>
      <c r="V12641" s="21">
        <f>-$B$12190</f>
        <v/>
      </c>
      <c r="W12641" s="21">
        <f>$B$12192</f>
        <v/>
      </c>
      <c r="X12641" s="21" t="n">
        <v>0</v>
      </c>
      <c r="Y12641" s="21" t="n">
        <v>0</v>
      </c>
      <c r="Z12641" s="19" t="n"/>
    </row>
    <row r="12642">
      <c r="D12642" s="21" t="n">
        <v>0</v>
      </c>
      <c r="E12642" s="21" t="n">
        <v>0</v>
      </c>
      <c r="F12642" s="21" t="n">
        <v>0</v>
      </c>
      <c r="G12642" s="21" t="n">
        <v>0</v>
      </c>
      <c r="H12642" s="21" t="n">
        <v>0</v>
      </c>
      <c r="I12642" s="21" t="n">
        <v>0</v>
      </c>
      <c r="J12642" s="21" t="n">
        <v>0</v>
      </c>
      <c r="K12642" s="21" t="n">
        <v>0</v>
      </c>
      <c r="L12642" s="21" t="n">
        <v>0</v>
      </c>
      <c r="M12642" s="21" t="n">
        <v>0</v>
      </c>
      <c r="N12642" s="21" t="n">
        <v>0</v>
      </c>
      <c r="O12642" s="21" t="n">
        <v>0</v>
      </c>
      <c r="P12642" s="21" t="n">
        <v>0</v>
      </c>
      <c r="Q12642" s="21" t="n">
        <v>0</v>
      </c>
      <c r="R12642" s="21" t="n">
        <v>0</v>
      </c>
      <c r="S12642" s="21" t="n">
        <v>0</v>
      </c>
      <c r="T12642" s="21">
        <f>-$B$12189</f>
        <v/>
      </c>
      <c r="U12642" s="21">
        <f>-$B$12190</f>
        <v/>
      </c>
      <c r="V12642" s="21">
        <f>2*$B$12189+$D$12621</f>
        <v/>
      </c>
      <c r="W12642" s="21">
        <f>0</f>
        <v/>
      </c>
      <c r="X12642" s="21">
        <f>-$B$12189</f>
        <v/>
      </c>
      <c r="Y12642" s="21">
        <f>$B$12190</f>
        <v/>
      </c>
      <c r="Z12642" s="19" t="n"/>
    </row>
    <row r="12643">
      <c r="D12643" s="21" t="n">
        <v>0</v>
      </c>
      <c r="E12643" s="21" t="n">
        <v>0</v>
      </c>
      <c r="F12643" s="21" t="n">
        <v>0</v>
      </c>
      <c r="G12643" s="21" t="n">
        <v>0</v>
      </c>
      <c r="H12643" s="21" t="n">
        <v>0</v>
      </c>
      <c r="I12643" s="21" t="n">
        <v>0</v>
      </c>
      <c r="J12643" s="21" t="n">
        <v>0</v>
      </c>
      <c r="K12643" s="21" t="n">
        <v>0</v>
      </c>
      <c r="L12643" s="21" t="n">
        <v>0</v>
      </c>
      <c r="M12643" s="21" t="n">
        <v>0</v>
      </c>
      <c r="N12643" s="21" t="n">
        <v>0</v>
      </c>
      <c r="O12643" s="21" t="n">
        <v>0</v>
      </c>
      <c r="P12643" s="21" t="n">
        <v>0</v>
      </c>
      <c r="Q12643" s="21" t="n">
        <v>0</v>
      </c>
      <c r="R12643" s="21" t="n">
        <v>0</v>
      </c>
      <c r="S12643" s="21" t="n">
        <v>0</v>
      </c>
      <c r="T12643" s="21">
        <f>$B$12190</f>
        <v/>
      </c>
      <c r="U12643" s="21">
        <f>$B$12192</f>
        <v/>
      </c>
      <c r="V12643" s="21">
        <f>0</f>
        <v/>
      </c>
      <c r="W12643" s="21">
        <f>2*$B$12191</f>
        <v/>
      </c>
      <c r="X12643" s="21">
        <f>-$B$12190</f>
        <v/>
      </c>
      <c r="Y12643" s="21">
        <f>$B$12192</f>
        <v/>
      </c>
      <c r="Z12643" s="19" t="n"/>
    </row>
    <row r="12644">
      <c r="D12644" s="21" t="n">
        <v>0</v>
      </c>
      <c r="E12644" s="21" t="n">
        <v>0</v>
      </c>
      <c r="F12644" s="21" t="n">
        <v>0</v>
      </c>
      <c r="G12644" s="21" t="n">
        <v>0</v>
      </c>
      <c r="H12644" s="21" t="n">
        <v>0</v>
      </c>
      <c r="I12644" s="21" t="n">
        <v>0</v>
      </c>
      <c r="J12644" s="21" t="n">
        <v>0</v>
      </c>
      <c r="K12644" s="21" t="n">
        <v>0</v>
      </c>
      <c r="L12644" s="21" t="n">
        <v>0</v>
      </c>
      <c r="M12644" s="21" t="n">
        <v>0</v>
      </c>
      <c r="N12644" s="21" t="n">
        <v>0</v>
      </c>
      <c r="O12644" s="21" t="n">
        <v>0</v>
      </c>
      <c r="P12644" s="21" t="n">
        <v>0</v>
      </c>
      <c r="Q12644" s="21" t="n">
        <v>0</v>
      </c>
      <c r="R12644" s="21" t="n">
        <v>0</v>
      </c>
      <c r="S12644" s="21" t="n">
        <v>0</v>
      </c>
      <c r="T12644" s="21" t="n">
        <v>0</v>
      </c>
      <c r="U12644" s="21" t="n">
        <v>0</v>
      </c>
      <c r="V12644" s="21">
        <f>-$B$12189</f>
        <v/>
      </c>
      <c r="W12644" s="21">
        <f>-$B$12190</f>
        <v/>
      </c>
      <c r="X12644" s="21">
        <f>$B$12189+$D$12622</f>
        <v/>
      </c>
      <c r="Y12644" s="21">
        <f>-$B$12190</f>
        <v/>
      </c>
      <c r="Z12644" s="19" t="n"/>
    </row>
    <row r="12645">
      <c r="D12645" s="21" t="n">
        <v>0</v>
      </c>
      <c r="E12645" s="21" t="n">
        <v>0</v>
      </c>
      <c r="F12645" s="21" t="n">
        <v>0</v>
      </c>
      <c r="G12645" s="21" t="n">
        <v>0</v>
      </c>
      <c r="H12645" s="21" t="n">
        <v>0</v>
      </c>
      <c r="I12645" s="21" t="n">
        <v>0</v>
      </c>
      <c r="J12645" s="21" t="n">
        <v>0</v>
      </c>
      <c r="K12645" s="21" t="n">
        <v>0</v>
      </c>
      <c r="L12645" s="21" t="n">
        <v>0</v>
      </c>
      <c r="M12645" s="21" t="n">
        <v>0</v>
      </c>
      <c r="N12645" s="21" t="n">
        <v>0</v>
      </c>
      <c r="O12645" s="21" t="n">
        <v>0</v>
      </c>
      <c r="P12645" s="21" t="n">
        <v>0</v>
      </c>
      <c r="Q12645" s="21" t="n">
        <v>0</v>
      </c>
      <c r="R12645" s="21" t="n">
        <v>0</v>
      </c>
      <c r="S12645" s="21" t="n">
        <v>0</v>
      </c>
      <c r="T12645" s="21" t="n">
        <v>0</v>
      </c>
      <c r="U12645" s="21" t="n">
        <v>0</v>
      </c>
      <c r="V12645" s="21">
        <f>$B$12190</f>
        <v/>
      </c>
      <c r="W12645" s="21">
        <f>$B$12192</f>
        <v/>
      </c>
      <c r="X12645" s="21">
        <f>-$B$12190</f>
        <v/>
      </c>
      <c r="Y12645" s="21">
        <f>$B$12191</f>
        <v/>
      </c>
      <c r="Z12645" s="19" t="n"/>
    </row>
    <row r="12647">
      <c r="A12647" s="8" t="inlineStr">
        <is>
          <t>gen 12</t>
        </is>
      </c>
    </row>
    <row r="12648">
      <c r="D12648" s="19">
        <f>IF(ABS(IF(ABS($E$12612)&gt;0.000000001,$E$12612,0.000000001))=0,0,IF($E$12204&lt;=$B$12198,0,IF(ABS(IF(ABS($E$12612)&gt;0.000000001,$E$12612,0.000000001))&gt;=8*$B$12200,$H$12204,0.5*$H$12204*(ABS(IF(ABS($E$12612)&gt;0.000000001,$E$12612,0.000000001))/$B$12200)^(1/3)))/ABS(IF(ABS($E$12612)&gt;0.000000001,$E$12612,0.000000001))*$I$12204)</f>
        <v/>
      </c>
      <c r="E12648" s="19">
        <f>0.5*$E$12612+0.5*$Z$12660</f>
        <v/>
      </c>
      <c r="F12648" s="19">
        <f>$Z$12661</f>
        <v/>
      </c>
    </row>
    <row r="12649">
      <c r="D12649" s="19">
        <f>IF(ABS(IF(ABS($E$12613)&gt;0.000000001,$E$12613,0.000000001))=0,0,IF($E$12205&lt;=$B$12198,0,IF(ABS(IF(ABS($E$12613)&gt;0.000000001,$E$12613,0.000000001))&gt;=8*$B$12200,$H$12205,0.5*$H$12205*(ABS(IF(ABS($E$12613)&gt;0.000000001,$E$12613,0.000000001))/$B$12200)^(1/3)))/ABS(IF(ABS($E$12613)&gt;0.000000001,$E$12613,0.000000001))*$I$12205)</f>
        <v/>
      </c>
      <c r="E12649" s="19">
        <f>0.5*$E$12613+0.5*$Z$12662</f>
        <v/>
      </c>
      <c r="F12649" s="19">
        <f>$Z$12663</f>
        <v/>
      </c>
    </row>
    <row r="12650">
      <c r="D12650" s="19">
        <f>IF(ABS(IF(ABS($E$12614)&gt;0.000000001,$E$12614,0.000000001))=0,0,IF($E$12206&lt;=$B$12198,0,IF(ABS(IF(ABS($E$12614)&gt;0.000000001,$E$12614,0.000000001))&gt;=8*$B$12200,$H$12206,0.5*$H$12206*(ABS(IF(ABS($E$12614)&gt;0.000000001,$E$12614,0.000000001))/$B$12200)^(1/3)))/ABS(IF(ABS($E$12614)&gt;0.000000001,$E$12614,0.000000001))*$I$12206)</f>
        <v/>
      </c>
      <c r="E12650" s="19">
        <f>0.5*$E$12614+0.5*$Z$12664</f>
        <v/>
      </c>
      <c r="F12650" s="19">
        <f>$Z$12665</f>
        <v/>
      </c>
    </row>
    <row r="12651">
      <c r="D12651" s="19">
        <f>IF(ABS(IF(ABS($E$12615)&gt;0.000000001,$E$12615,0.000000001))=0,0,IF($E$12207&lt;=$B$12198,0,IF(ABS(IF(ABS($E$12615)&gt;0.000000001,$E$12615,0.000000001))&gt;=8*$B$12200,$H$12207,0.5*$H$12207*(ABS(IF(ABS($E$12615)&gt;0.000000001,$E$12615,0.000000001))/$B$12200)^(1/3)))/ABS(IF(ABS($E$12615)&gt;0.000000001,$E$12615,0.000000001))*$I$12207)</f>
        <v/>
      </c>
      <c r="E12651" s="19">
        <f>0.5*$E$12615+0.5*$Z$12666</f>
        <v/>
      </c>
      <c r="F12651" s="19">
        <f>$Z$12667</f>
        <v/>
      </c>
    </row>
    <row r="12652">
      <c r="D12652" s="19">
        <f>IF(ABS(IF(ABS($E$12616)&gt;0.000000001,$E$12616,0.000000001))=0,0,IF($E$12208&lt;=$B$12198,0,IF(ABS(IF(ABS($E$12616)&gt;0.000000001,$E$12616,0.000000001))&gt;=8*$B$12200,$H$12208,0.5*$H$12208*(ABS(IF(ABS($E$12616)&gt;0.000000001,$E$12616,0.000000001))/$B$12200)^(1/3)))/ABS(IF(ABS($E$12616)&gt;0.000000001,$E$12616,0.000000001))*$I$12208)</f>
        <v/>
      </c>
      <c r="E12652" s="19">
        <f>0.5*$E$12616+0.5*$Z$12668</f>
        <v/>
      </c>
      <c r="F12652" s="19">
        <f>$Z$12669</f>
        <v/>
      </c>
    </row>
    <row r="12653">
      <c r="D12653" s="19">
        <f>IF(ABS(IF(ABS($E$12617)&gt;0.000000001,$E$12617,0.000000001))=0,0,IF($E$12209&lt;=$B$12198,0,IF(ABS(IF(ABS($E$12617)&gt;0.000000001,$E$12617,0.000000001))&gt;=8*$B$12200,$H$12209,0.5*$H$12209*(ABS(IF(ABS($E$12617)&gt;0.000000001,$E$12617,0.000000001))/$B$12200)^(1/3)))/ABS(IF(ABS($E$12617)&gt;0.000000001,$E$12617,0.000000001))*$I$12209)</f>
        <v/>
      </c>
      <c r="E12653" s="19">
        <f>0.5*$E$12617+0.5*$Z$12670</f>
        <v/>
      </c>
      <c r="F12653" s="19">
        <f>$Z$12671</f>
        <v/>
      </c>
    </row>
    <row r="12654">
      <c r="D12654" s="19">
        <f>IF(ABS(IF(ABS($E$12618)&gt;0.000000001,$E$12618,0.000000001))=0,0,IF($E$12210&lt;=$B$12198,0,IF(ABS(IF(ABS($E$12618)&gt;0.000000001,$E$12618,0.000000001))&gt;=8*$B$12200,$H$12210,0.5*$H$12210*(ABS(IF(ABS($E$12618)&gt;0.000000001,$E$12618,0.000000001))/$B$12200)^(1/3)))/ABS(IF(ABS($E$12618)&gt;0.000000001,$E$12618,0.000000001))*$I$12210)</f>
        <v/>
      </c>
      <c r="E12654" s="19">
        <f>0.5*$E$12618+0.5*$Z$12672</f>
        <v/>
      </c>
      <c r="F12654" s="19">
        <f>$Z$12673</f>
        <v/>
      </c>
    </row>
    <row r="12655">
      <c r="D12655" s="19">
        <f>IF(ABS(IF(ABS($E$12619)&gt;0.000000001,$E$12619,0.000000001))=0,0,IF($E$12211&lt;=$B$12198,0,IF(ABS(IF(ABS($E$12619)&gt;0.000000001,$E$12619,0.000000001))&gt;=8*$B$12200,$H$12211,0.5*$H$12211*(ABS(IF(ABS($E$12619)&gt;0.000000001,$E$12619,0.000000001))/$B$12200)^(1/3)))/ABS(IF(ABS($E$12619)&gt;0.000000001,$E$12619,0.000000001))*$I$12211)</f>
        <v/>
      </c>
      <c r="E12655" s="19">
        <f>0.5*$E$12619+0.5*$Z$12674</f>
        <v/>
      </c>
      <c r="F12655" s="19">
        <f>$Z$12675</f>
        <v/>
      </c>
    </row>
    <row r="12656">
      <c r="D12656" s="19">
        <f>IF(ABS(IF(ABS($E$12620)&gt;0.000000001,$E$12620,0.000000001))=0,0,IF($E$12212&lt;=$B$12198,0,IF(ABS(IF(ABS($E$12620)&gt;0.000000001,$E$12620,0.000000001))&gt;=8*$B$12200,$H$12212,0.5*$H$12212*(ABS(IF(ABS($E$12620)&gt;0.000000001,$E$12620,0.000000001))/$B$12200)^(1/3)))/ABS(IF(ABS($E$12620)&gt;0.000000001,$E$12620,0.000000001))*$I$12212)</f>
        <v/>
      </c>
      <c r="E12656" s="19">
        <f>0.5*$E$12620+0.5*$Z$12676</f>
        <v/>
      </c>
      <c r="F12656" s="19">
        <f>$Z$12677</f>
        <v/>
      </c>
    </row>
    <row r="12657">
      <c r="D12657" s="19">
        <f>IF(ABS(IF(ABS($E$12621)&gt;0.000000001,$E$12621,0.000000001))=0,0,IF($E$12213&lt;=$B$12198,0,IF(ABS(IF(ABS($E$12621)&gt;0.000000001,$E$12621,0.000000001))&gt;=8*$B$12200,$H$12213,0.5*$H$12213*(ABS(IF(ABS($E$12621)&gt;0.000000001,$E$12621,0.000000001))/$B$12200)^(1/3)))/ABS(IF(ABS($E$12621)&gt;0.000000001,$E$12621,0.000000001))*$I$12213)</f>
        <v/>
      </c>
      <c r="E12657" s="19">
        <f>0.5*$E$12621+0.5*$Z$12678</f>
        <v/>
      </c>
      <c r="F12657" s="19">
        <f>$Z$12679</f>
        <v/>
      </c>
    </row>
    <row r="12658">
      <c r="D12658" s="19">
        <f>IF(ABS(IF(ABS($E$12622)&gt;0.000000001,$E$12622,0.000000001))=0,0,IF($E$12214&lt;=$B$12198,0,IF(ABS(IF(ABS($E$12622)&gt;0.000000001,$E$12622,0.000000001))&gt;=8*$B$12200,$H$12214,0.5*$H$12214*(ABS(IF(ABS($E$12622)&gt;0.000000001,$E$12622,0.000000001))/$B$12200)^(1/3)))/ABS(IF(ABS($E$12622)&gt;0.000000001,$E$12622,0.000000001))*$I$12214)</f>
        <v/>
      </c>
      <c r="E12658" s="19">
        <f>0.5*$E$12622+0.5*$Z$12680</f>
        <v/>
      </c>
      <c r="F12658" s="19">
        <f>$Z$12681</f>
        <v/>
      </c>
    </row>
    <row r="12660">
      <c r="D12660" s="21">
        <f>$B$12189+$D$12648</f>
        <v/>
      </c>
      <c r="E12660" s="21">
        <f>$B$12190</f>
        <v/>
      </c>
      <c r="F12660" s="21">
        <f>-$B$12189</f>
        <v/>
      </c>
      <c r="G12660" s="21">
        <f>$B$12190</f>
        <v/>
      </c>
      <c r="H12660" s="21" t="n">
        <v>0</v>
      </c>
      <c r="I12660" s="21" t="n">
        <v>0</v>
      </c>
      <c r="J12660" s="21" t="n">
        <v>0</v>
      </c>
      <c r="K12660" s="21" t="n">
        <v>0</v>
      </c>
      <c r="L12660" s="21" t="n">
        <v>0</v>
      </c>
      <c r="M12660" s="21" t="n">
        <v>0</v>
      </c>
      <c r="N12660" s="21" t="n">
        <v>0</v>
      </c>
      <c r="O12660" s="21" t="n">
        <v>0</v>
      </c>
      <c r="P12660" s="21" t="n">
        <v>0</v>
      </c>
      <c r="Q12660" s="21" t="n">
        <v>0</v>
      </c>
      <c r="R12660" s="21" t="n">
        <v>0</v>
      </c>
      <c r="S12660" s="21" t="n">
        <v>0</v>
      </c>
      <c r="T12660" s="21" t="n">
        <v>0</v>
      </c>
      <c r="U12660" s="21" t="n">
        <v>0</v>
      </c>
      <c r="V12660" s="21" t="n">
        <v>0</v>
      </c>
      <c r="W12660" s="21" t="n">
        <v>0</v>
      </c>
      <c r="X12660" s="21" t="n">
        <v>0</v>
      </c>
      <c r="Y12660" s="21" t="n">
        <v>0</v>
      </c>
      <c r="Z12660" s="19">
        <f t="array" ref="Z12660:Z12681">MMULT(MINVERSE($D$12660:$Y$12681),$D$12216:$D$12237)</f>
        <v/>
      </c>
    </row>
    <row r="12661">
      <c r="D12661" s="21">
        <f>$B$12190</f>
        <v/>
      </c>
      <c r="E12661" s="21">
        <f>$B$12191</f>
        <v/>
      </c>
      <c r="F12661" s="21">
        <f>-$B$12190</f>
        <v/>
      </c>
      <c r="G12661" s="21">
        <f>$B$12192</f>
        <v/>
      </c>
      <c r="H12661" s="21" t="n">
        <v>0</v>
      </c>
      <c r="I12661" s="21" t="n">
        <v>0</v>
      </c>
      <c r="J12661" s="21" t="n">
        <v>0</v>
      </c>
      <c r="K12661" s="21" t="n">
        <v>0</v>
      </c>
      <c r="L12661" s="21" t="n">
        <v>0</v>
      </c>
      <c r="M12661" s="21" t="n">
        <v>0</v>
      </c>
      <c r="N12661" s="21" t="n">
        <v>0</v>
      </c>
      <c r="O12661" s="21" t="n">
        <v>0</v>
      </c>
      <c r="P12661" s="21" t="n">
        <v>0</v>
      </c>
      <c r="Q12661" s="21" t="n">
        <v>0</v>
      </c>
      <c r="R12661" s="21" t="n">
        <v>0</v>
      </c>
      <c r="S12661" s="21" t="n">
        <v>0</v>
      </c>
      <c r="T12661" s="21" t="n">
        <v>0</v>
      </c>
      <c r="U12661" s="21" t="n">
        <v>0</v>
      </c>
      <c r="V12661" s="21" t="n">
        <v>0</v>
      </c>
      <c r="W12661" s="21" t="n">
        <v>0</v>
      </c>
      <c r="X12661" s="21" t="n">
        <v>0</v>
      </c>
      <c r="Y12661" s="21" t="n">
        <v>0</v>
      </c>
      <c r="Z12661" s="19" t="n"/>
    </row>
    <row r="12662">
      <c r="D12662" s="21">
        <f>-$B$12189</f>
        <v/>
      </c>
      <c r="E12662" s="21">
        <f>-$B$12190</f>
        <v/>
      </c>
      <c r="F12662" s="21">
        <f>2*$B$12189+$D$12649</f>
        <v/>
      </c>
      <c r="G12662" s="21">
        <f>0</f>
        <v/>
      </c>
      <c r="H12662" s="21">
        <f>-$B$12189</f>
        <v/>
      </c>
      <c r="I12662" s="21">
        <f>$B$12190</f>
        <v/>
      </c>
      <c r="J12662" s="21" t="n">
        <v>0</v>
      </c>
      <c r="K12662" s="21" t="n">
        <v>0</v>
      </c>
      <c r="L12662" s="21" t="n">
        <v>0</v>
      </c>
      <c r="M12662" s="21" t="n">
        <v>0</v>
      </c>
      <c r="N12662" s="21" t="n">
        <v>0</v>
      </c>
      <c r="O12662" s="21" t="n">
        <v>0</v>
      </c>
      <c r="P12662" s="21" t="n">
        <v>0</v>
      </c>
      <c r="Q12662" s="21" t="n">
        <v>0</v>
      </c>
      <c r="R12662" s="21" t="n">
        <v>0</v>
      </c>
      <c r="S12662" s="21" t="n">
        <v>0</v>
      </c>
      <c r="T12662" s="21" t="n">
        <v>0</v>
      </c>
      <c r="U12662" s="21" t="n">
        <v>0</v>
      </c>
      <c r="V12662" s="21" t="n">
        <v>0</v>
      </c>
      <c r="W12662" s="21" t="n">
        <v>0</v>
      </c>
      <c r="X12662" s="21" t="n">
        <v>0</v>
      </c>
      <c r="Y12662" s="21" t="n">
        <v>0</v>
      </c>
      <c r="Z12662" s="19" t="n"/>
    </row>
    <row r="12663">
      <c r="D12663" s="21">
        <f>$B$12190</f>
        <v/>
      </c>
      <c r="E12663" s="21">
        <f>$B$12192</f>
        <v/>
      </c>
      <c r="F12663" s="21">
        <f>0</f>
        <v/>
      </c>
      <c r="G12663" s="21">
        <f>2*$B$12191</f>
        <v/>
      </c>
      <c r="H12663" s="21">
        <f>-$B$12190</f>
        <v/>
      </c>
      <c r="I12663" s="21">
        <f>$B$12192</f>
        <v/>
      </c>
      <c r="J12663" s="21" t="n">
        <v>0</v>
      </c>
      <c r="K12663" s="21" t="n">
        <v>0</v>
      </c>
      <c r="L12663" s="21" t="n">
        <v>0</v>
      </c>
      <c r="M12663" s="21" t="n">
        <v>0</v>
      </c>
      <c r="N12663" s="21" t="n">
        <v>0</v>
      </c>
      <c r="O12663" s="21" t="n">
        <v>0</v>
      </c>
      <c r="P12663" s="21" t="n">
        <v>0</v>
      </c>
      <c r="Q12663" s="21" t="n">
        <v>0</v>
      </c>
      <c r="R12663" s="21" t="n">
        <v>0</v>
      </c>
      <c r="S12663" s="21" t="n">
        <v>0</v>
      </c>
      <c r="T12663" s="21" t="n">
        <v>0</v>
      </c>
      <c r="U12663" s="21" t="n">
        <v>0</v>
      </c>
      <c r="V12663" s="21" t="n">
        <v>0</v>
      </c>
      <c r="W12663" s="21" t="n">
        <v>0</v>
      </c>
      <c r="X12663" s="21" t="n">
        <v>0</v>
      </c>
      <c r="Y12663" s="21" t="n">
        <v>0</v>
      </c>
      <c r="Z12663" s="19" t="n"/>
    </row>
    <row r="12664">
      <c r="D12664" s="21" t="n">
        <v>0</v>
      </c>
      <c r="E12664" s="21" t="n">
        <v>0</v>
      </c>
      <c r="F12664" s="21">
        <f>-$B$12189</f>
        <v/>
      </c>
      <c r="G12664" s="21">
        <f>-$B$12190</f>
        <v/>
      </c>
      <c r="H12664" s="21">
        <f>2*$B$12189+$D$12650</f>
        <v/>
      </c>
      <c r="I12664" s="21">
        <f>0</f>
        <v/>
      </c>
      <c r="J12664" s="21">
        <f>-$B$12189</f>
        <v/>
      </c>
      <c r="K12664" s="21">
        <f>$B$12190</f>
        <v/>
      </c>
      <c r="L12664" s="21" t="n">
        <v>0</v>
      </c>
      <c r="M12664" s="21" t="n">
        <v>0</v>
      </c>
      <c r="N12664" s="21" t="n">
        <v>0</v>
      </c>
      <c r="O12664" s="21" t="n">
        <v>0</v>
      </c>
      <c r="P12664" s="21" t="n">
        <v>0</v>
      </c>
      <c r="Q12664" s="21" t="n">
        <v>0</v>
      </c>
      <c r="R12664" s="21" t="n">
        <v>0</v>
      </c>
      <c r="S12664" s="21" t="n">
        <v>0</v>
      </c>
      <c r="T12664" s="21" t="n">
        <v>0</v>
      </c>
      <c r="U12664" s="21" t="n">
        <v>0</v>
      </c>
      <c r="V12664" s="21" t="n">
        <v>0</v>
      </c>
      <c r="W12664" s="21" t="n">
        <v>0</v>
      </c>
      <c r="X12664" s="21" t="n">
        <v>0</v>
      </c>
      <c r="Y12664" s="21" t="n">
        <v>0</v>
      </c>
      <c r="Z12664" s="19" t="n"/>
    </row>
    <row r="12665">
      <c r="D12665" s="21" t="n">
        <v>0</v>
      </c>
      <c r="E12665" s="21" t="n">
        <v>0</v>
      </c>
      <c r="F12665" s="21">
        <f>$B$12190</f>
        <v/>
      </c>
      <c r="G12665" s="21">
        <f>$B$12192</f>
        <v/>
      </c>
      <c r="H12665" s="21">
        <f>0</f>
        <v/>
      </c>
      <c r="I12665" s="21">
        <f>2*$B$12191</f>
        <v/>
      </c>
      <c r="J12665" s="21">
        <f>-$B$12190</f>
        <v/>
      </c>
      <c r="K12665" s="21">
        <f>$B$12192</f>
        <v/>
      </c>
      <c r="L12665" s="21" t="n">
        <v>0</v>
      </c>
      <c r="M12665" s="21" t="n">
        <v>0</v>
      </c>
      <c r="N12665" s="21" t="n">
        <v>0</v>
      </c>
      <c r="O12665" s="21" t="n">
        <v>0</v>
      </c>
      <c r="P12665" s="21" t="n">
        <v>0</v>
      </c>
      <c r="Q12665" s="21" t="n">
        <v>0</v>
      </c>
      <c r="R12665" s="21" t="n">
        <v>0</v>
      </c>
      <c r="S12665" s="21" t="n">
        <v>0</v>
      </c>
      <c r="T12665" s="21" t="n">
        <v>0</v>
      </c>
      <c r="U12665" s="21" t="n">
        <v>0</v>
      </c>
      <c r="V12665" s="21" t="n">
        <v>0</v>
      </c>
      <c r="W12665" s="21" t="n">
        <v>0</v>
      </c>
      <c r="X12665" s="21" t="n">
        <v>0</v>
      </c>
      <c r="Y12665" s="21" t="n">
        <v>0</v>
      </c>
      <c r="Z12665" s="19" t="n"/>
    </row>
    <row r="12666">
      <c r="D12666" s="21" t="n">
        <v>0</v>
      </c>
      <c r="E12666" s="21" t="n">
        <v>0</v>
      </c>
      <c r="F12666" s="21" t="n">
        <v>0</v>
      </c>
      <c r="G12666" s="21" t="n">
        <v>0</v>
      </c>
      <c r="H12666" s="21">
        <f>-$B$12189</f>
        <v/>
      </c>
      <c r="I12666" s="21">
        <f>-$B$12190</f>
        <v/>
      </c>
      <c r="J12666" s="21">
        <f>2*$B$12189+$D$12651</f>
        <v/>
      </c>
      <c r="K12666" s="21">
        <f>0</f>
        <v/>
      </c>
      <c r="L12666" s="21">
        <f>-$B$12189</f>
        <v/>
      </c>
      <c r="M12666" s="21">
        <f>$B$12190</f>
        <v/>
      </c>
      <c r="N12666" s="21" t="n">
        <v>0</v>
      </c>
      <c r="O12666" s="21" t="n">
        <v>0</v>
      </c>
      <c r="P12666" s="21" t="n">
        <v>0</v>
      </c>
      <c r="Q12666" s="21" t="n">
        <v>0</v>
      </c>
      <c r="R12666" s="21" t="n">
        <v>0</v>
      </c>
      <c r="S12666" s="21" t="n">
        <v>0</v>
      </c>
      <c r="T12666" s="21" t="n">
        <v>0</v>
      </c>
      <c r="U12666" s="21" t="n">
        <v>0</v>
      </c>
      <c r="V12666" s="21" t="n">
        <v>0</v>
      </c>
      <c r="W12666" s="21" t="n">
        <v>0</v>
      </c>
      <c r="X12666" s="21" t="n">
        <v>0</v>
      </c>
      <c r="Y12666" s="21" t="n">
        <v>0</v>
      </c>
      <c r="Z12666" s="19" t="n"/>
    </row>
    <row r="12667">
      <c r="D12667" s="21" t="n">
        <v>0</v>
      </c>
      <c r="E12667" s="21" t="n">
        <v>0</v>
      </c>
      <c r="F12667" s="21" t="n">
        <v>0</v>
      </c>
      <c r="G12667" s="21" t="n">
        <v>0</v>
      </c>
      <c r="H12667" s="21">
        <f>$B$12190</f>
        <v/>
      </c>
      <c r="I12667" s="21">
        <f>$B$12192</f>
        <v/>
      </c>
      <c r="J12667" s="21">
        <f>0</f>
        <v/>
      </c>
      <c r="K12667" s="21">
        <f>2*$B$12191</f>
        <v/>
      </c>
      <c r="L12667" s="21">
        <f>-$B$12190</f>
        <v/>
      </c>
      <c r="M12667" s="21">
        <f>$B$12192</f>
        <v/>
      </c>
      <c r="N12667" s="21" t="n">
        <v>0</v>
      </c>
      <c r="O12667" s="21" t="n">
        <v>0</v>
      </c>
      <c r="P12667" s="21" t="n">
        <v>0</v>
      </c>
      <c r="Q12667" s="21" t="n">
        <v>0</v>
      </c>
      <c r="R12667" s="21" t="n">
        <v>0</v>
      </c>
      <c r="S12667" s="21" t="n">
        <v>0</v>
      </c>
      <c r="T12667" s="21" t="n">
        <v>0</v>
      </c>
      <c r="U12667" s="21" t="n">
        <v>0</v>
      </c>
      <c r="V12667" s="21" t="n">
        <v>0</v>
      </c>
      <c r="W12667" s="21" t="n">
        <v>0</v>
      </c>
      <c r="X12667" s="21" t="n">
        <v>0</v>
      </c>
      <c r="Y12667" s="21" t="n">
        <v>0</v>
      </c>
      <c r="Z12667" s="19" t="n"/>
    </row>
    <row r="12668">
      <c r="D12668" s="21" t="n">
        <v>0</v>
      </c>
      <c r="E12668" s="21" t="n">
        <v>0</v>
      </c>
      <c r="F12668" s="21" t="n">
        <v>0</v>
      </c>
      <c r="G12668" s="21" t="n">
        <v>0</v>
      </c>
      <c r="H12668" s="21" t="n">
        <v>0</v>
      </c>
      <c r="I12668" s="21" t="n">
        <v>0</v>
      </c>
      <c r="J12668" s="21">
        <f>-$B$12189</f>
        <v/>
      </c>
      <c r="K12668" s="21">
        <f>-$B$12190</f>
        <v/>
      </c>
      <c r="L12668" s="21">
        <f>2*$B$12189+$D$12652</f>
        <v/>
      </c>
      <c r="M12668" s="21">
        <f>0</f>
        <v/>
      </c>
      <c r="N12668" s="21">
        <f>-$B$12189</f>
        <v/>
      </c>
      <c r="O12668" s="21">
        <f>$B$12190</f>
        <v/>
      </c>
      <c r="P12668" s="21" t="n">
        <v>0</v>
      </c>
      <c r="Q12668" s="21" t="n">
        <v>0</v>
      </c>
      <c r="R12668" s="21" t="n">
        <v>0</v>
      </c>
      <c r="S12668" s="21" t="n">
        <v>0</v>
      </c>
      <c r="T12668" s="21" t="n">
        <v>0</v>
      </c>
      <c r="U12668" s="21" t="n">
        <v>0</v>
      </c>
      <c r="V12668" s="21" t="n">
        <v>0</v>
      </c>
      <c r="W12668" s="21" t="n">
        <v>0</v>
      </c>
      <c r="X12668" s="21" t="n">
        <v>0</v>
      </c>
      <c r="Y12668" s="21" t="n">
        <v>0</v>
      </c>
      <c r="Z12668" s="19" t="n"/>
    </row>
    <row r="12669">
      <c r="D12669" s="21" t="n">
        <v>0</v>
      </c>
      <c r="E12669" s="21" t="n">
        <v>0</v>
      </c>
      <c r="F12669" s="21" t="n">
        <v>0</v>
      </c>
      <c r="G12669" s="21" t="n">
        <v>0</v>
      </c>
      <c r="H12669" s="21" t="n">
        <v>0</v>
      </c>
      <c r="I12669" s="21" t="n">
        <v>0</v>
      </c>
      <c r="J12669" s="21">
        <f>$B$12190</f>
        <v/>
      </c>
      <c r="K12669" s="21">
        <f>$B$12192</f>
        <v/>
      </c>
      <c r="L12669" s="21">
        <f>0</f>
        <v/>
      </c>
      <c r="M12669" s="21">
        <f>2*$B$12191</f>
        <v/>
      </c>
      <c r="N12669" s="21">
        <f>-$B$12190</f>
        <v/>
      </c>
      <c r="O12669" s="21">
        <f>$B$12192</f>
        <v/>
      </c>
      <c r="P12669" s="21" t="n">
        <v>0</v>
      </c>
      <c r="Q12669" s="21" t="n">
        <v>0</v>
      </c>
      <c r="R12669" s="21" t="n">
        <v>0</v>
      </c>
      <c r="S12669" s="21" t="n">
        <v>0</v>
      </c>
      <c r="T12669" s="21" t="n">
        <v>0</v>
      </c>
      <c r="U12669" s="21" t="n">
        <v>0</v>
      </c>
      <c r="V12669" s="21" t="n">
        <v>0</v>
      </c>
      <c r="W12669" s="21" t="n">
        <v>0</v>
      </c>
      <c r="X12669" s="21" t="n">
        <v>0</v>
      </c>
      <c r="Y12669" s="21" t="n">
        <v>0</v>
      </c>
      <c r="Z12669" s="19" t="n"/>
    </row>
    <row r="12670">
      <c r="D12670" s="21" t="n">
        <v>0</v>
      </c>
      <c r="E12670" s="21" t="n">
        <v>0</v>
      </c>
      <c r="F12670" s="21" t="n">
        <v>0</v>
      </c>
      <c r="G12670" s="21" t="n">
        <v>0</v>
      </c>
      <c r="H12670" s="21" t="n">
        <v>0</v>
      </c>
      <c r="I12670" s="21" t="n">
        <v>0</v>
      </c>
      <c r="J12670" s="21" t="n">
        <v>0</v>
      </c>
      <c r="K12670" s="21" t="n">
        <v>0</v>
      </c>
      <c r="L12670" s="21">
        <f>-$B$12189</f>
        <v/>
      </c>
      <c r="M12670" s="21">
        <f>-$B$12190</f>
        <v/>
      </c>
      <c r="N12670" s="21">
        <f>2*$B$12189+$D$12653</f>
        <v/>
      </c>
      <c r="O12670" s="21">
        <f>0</f>
        <v/>
      </c>
      <c r="P12670" s="21">
        <f>-$B$12189</f>
        <v/>
      </c>
      <c r="Q12670" s="21">
        <f>$B$12190</f>
        <v/>
      </c>
      <c r="R12670" s="21" t="n">
        <v>0</v>
      </c>
      <c r="S12670" s="21" t="n">
        <v>0</v>
      </c>
      <c r="T12670" s="21" t="n">
        <v>0</v>
      </c>
      <c r="U12670" s="21" t="n">
        <v>0</v>
      </c>
      <c r="V12670" s="21" t="n">
        <v>0</v>
      </c>
      <c r="W12670" s="21" t="n">
        <v>0</v>
      </c>
      <c r="X12670" s="21" t="n">
        <v>0</v>
      </c>
      <c r="Y12670" s="21" t="n">
        <v>0</v>
      </c>
      <c r="Z12670" s="19" t="n"/>
    </row>
    <row r="12671">
      <c r="D12671" s="21" t="n">
        <v>0</v>
      </c>
      <c r="E12671" s="21" t="n">
        <v>0</v>
      </c>
      <c r="F12671" s="21" t="n">
        <v>0</v>
      </c>
      <c r="G12671" s="21" t="n">
        <v>0</v>
      </c>
      <c r="H12671" s="21" t="n">
        <v>0</v>
      </c>
      <c r="I12671" s="21" t="n">
        <v>0</v>
      </c>
      <c r="J12671" s="21" t="n">
        <v>0</v>
      </c>
      <c r="K12671" s="21" t="n">
        <v>0</v>
      </c>
      <c r="L12671" s="21">
        <f>$B$12190</f>
        <v/>
      </c>
      <c r="M12671" s="21">
        <f>$B$12192</f>
        <v/>
      </c>
      <c r="N12671" s="21">
        <f>0</f>
        <v/>
      </c>
      <c r="O12671" s="21">
        <f>2*$B$12191</f>
        <v/>
      </c>
      <c r="P12671" s="21">
        <f>-$B$12190</f>
        <v/>
      </c>
      <c r="Q12671" s="21">
        <f>$B$12192</f>
        <v/>
      </c>
      <c r="R12671" s="21" t="n">
        <v>0</v>
      </c>
      <c r="S12671" s="21" t="n">
        <v>0</v>
      </c>
      <c r="T12671" s="21" t="n">
        <v>0</v>
      </c>
      <c r="U12671" s="21" t="n">
        <v>0</v>
      </c>
      <c r="V12671" s="21" t="n">
        <v>0</v>
      </c>
      <c r="W12671" s="21" t="n">
        <v>0</v>
      </c>
      <c r="X12671" s="21" t="n">
        <v>0</v>
      </c>
      <c r="Y12671" s="21" t="n">
        <v>0</v>
      </c>
      <c r="Z12671" s="19" t="n"/>
    </row>
    <row r="12672">
      <c r="D12672" s="21" t="n">
        <v>0</v>
      </c>
      <c r="E12672" s="21" t="n">
        <v>0</v>
      </c>
      <c r="F12672" s="21" t="n">
        <v>0</v>
      </c>
      <c r="G12672" s="21" t="n">
        <v>0</v>
      </c>
      <c r="H12672" s="21" t="n">
        <v>0</v>
      </c>
      <c r="I12672" s="21" t="n">
        <v>0</v>
      </c>
      <c r="J12672" s="21" t="n">
        <v>0</v>
      </c>
      <c r="K12672" s="21" t="n">
        <v>0</v>
      </c>
      <c r="L12672" s="21" t="n">
        <v>0</v>
      </c>
      <c r="M12672" s="21" t="n">
        <v>0</v>
      </c>
      <c r="N12672" s="21">
        <f>-$B$12189</f>
        <v/>
      </c>
      <c r="O12672" s="21">
        <f>-$B$12190</f>
        <v/>
      </c>
      <c r="P12672" s="21">
        <f>2*$B$12189+$D$12654</f>
        <v/>
      </c>
      <c r="Q12672" s="21">
        <f>0</f>
        <v/>
      </c>
      <c r="R12672" s="21">
        <f>-$B$12189</f>
        <v/>
      </c>
      <c r="S12672" s="21">
        <f>$B$12190</f>
        <v/>
      </c>
      <c r="T12672" s="21" t="n">
        <v>0</v>
      </c>
      <c r="U12672" s="21" t="n">
        <v>0</v>
      </c>
      <c r="V12672" s="21" t="n">
        <v>0</v>
      </c>
      <c r="W12672" s="21" t="n">
        <v>0</v>
      </c>
      <c r="X12672" s="21" t="n">
        <v>0</v>
      </c>
      <c r="Y12672" s="21" t="n">
        <v>0</v>
      </c>
      <c r="Z12672" s="19" t="n"/>
    </row>
    <row r="12673">
      <c r="D12673" s="21" t="n">
        <v>0</v>
      </c>
      <c r="E12673" s="21" t="n">
        <v>0</v>
      </c>
      <c r="F12673" s="21" t="n">
        <v>0</v>
      </c>
      <c r="G12673" s="21" t="n">
        <v>0</v>
      </c>
      <c r="H12673" s="21" t="n">
        <v>0</v>
      </c>
      <c r="I12673" s="21" t="n">
        <v>0</v>
      </c>
      <c r="J12673" s="21" t="n">
        <v>0</v>
      </c>
      <c r="K12673" s="21" t="n">
        <v>0</v>
      </c>
      <c r="L12673" s="21" t="n">
        <v>0</v>
      </c>
      <c r="M12673" s="21" t="n">
        <v>0</v>
      </c>
      <c r="N12673" s="21">
        <f>$B$12190</f>
        <v/>
      </c>
      <c r="O12673" s="21">
        <f>$B$12192</f>
        <v/>
      </c>
      <c r="P12673" s="21">
        <f>0</f>
        <v/>
      </c>
      <c r="Q12673" s="21">
        <f>2*$B$12191</f>
        <v/>
      </c>
      <c r="R12673" s="21">
        <f>-$B$12190</f>
        <v/>
      </c>
      <c r="S12673" s="21">
        <f>$B$12192</f>
        <v/>
      </c>
      <c r="T12673" s="21" t="n">
        <v>0</v>
      </c>
      <c r="U12673" s="21" t="n">
        <v>0</v>
      </c>
      <c r="V12673" s="21" t="n">
        <v>0</v>
      </c>
      <c r="W12673" s="21" t="n">
        <v>0</v>
      </c>
      <c r="X12673" s="21" t="n">
        <v>0</v>
      </c>
      <c r="Y12673" s="21" t="n">
        <v>0</v>
      </c>
      <c r="Z12673" s="19" t="n"/>
    </row>
    <row r="12674">
      <c r="D12674" s="21" t="n">
        <v>0</v>
      </c>
      <c r="E12674" s="21" t="n">
        <v>0</v>
      </c>
      <c r="F12674" s="21" t="n">
        <v>0</v>
      </c>
      <c r="G12674" s="21" t="n">
        <v>0</v>
      </c>
      <c r="H12674" s="21" t="n">
        <v>0</v>
      </c>
      <c r="I12674" s="21" t="n">
        <v>0</v>
      </c>
      <c r="J12674" s="21" t="n">
        <v>0</v>
      </c>
      <c r="K12674" s="21" t="n">
        <v>0</v>
      </c>
      <c r="L12674" s="21" t="n">
        <v>0</v>
      </c>
      <c r="M12674" s="21" t="n">
        <v>0</v>
      </c>
      <c r="N12674" s="21" t="n">
        <v>0</v>
      </c>
      <c r="O12674" s="21" t="n">
        <v>0</v>
      </c>
      <c r="P12674" s="21">
        <f>-$B$12189</f>
        <v/>
      </c>
      <c r="Q12674" s="21">
        <f>-$B$12190</f>
        <v/>
      </c>
      <c r="R12674" s="21">
        <f>2*$B$12189+$D$12655</f>
        <v/>
      </c>
      <c r="S12674" s="21">
        <f>0</f>
        <v/>
      </c>
      <c r="T12674" s="21">
        <f>-$B$12189</f>
        <v/>
      </c>
      <c r="U12674" s="21">
        <f>$B$12190</f>
        <v/>
      </c>
      <c r="V12674" s="21" t="n">
        <v>0</v>
      </c>
      <c r="W12674" s="21" t="n">
        <v>0</v>
      </c>
      <c r="X12674" s="21" t="n">
        <v>0</v>
      </c>
      <c r="Y12674" s="21" t="n">
        <v>0</v>
      </c>
      <c r="Z12674" s="19" t="n"/>
    </row>
    <row r="12675">
      <c r="D12675" s="21" t="n">
        <v>0</v>
      </c>
      <c r="E12675" s="21" t="n">
        <v>0</v>
      </c>
      <c r="F12675" s="21" t="n">
        <v>0</v>
      </c>
      <c r="G12675" s="21" t="n">
        <v>0</v>
      </c>
      <c r="H12675" s="21" t="n">
        <v>0</v>
      </c>
      <c r="I12675" s="21" t="n">
        <v>0</v>
      </c>
      <c r="J12675" s="21" t="n">
        <v>0</v>
      </c>
      <c r="K12675" s="21" t="n">
        <v>0</v>
      </c>
      <c r="L12675" s="21" t="n">
        <v>0</v>
      </c>
      <c r="M12675" s="21" t="n">
        <v>0</v>
      </c>
      <c r="N12675" s="21" t="n">
        <v>0</v>
      </c>
      <c r="O12675" s="21" t="n">
        <v>0</v>
      </c>
      <c r="P12675" s="21">
        <f>$B$12190</f>
        <v/>
      </c>
      <c r="Q12675" s="21">
        <f>$B$12192</f>
        <v/>
      </c>
      <c r="R12675" s="21">
        <f>0</f>
        <v/>
      </c>
      <c r="S12675" s="21">
        <f>2*$B$12191</f>
        <v/>
      </c>
      <c r="T12675" s="21">
        <f>-$B$12190</f>
        <v/>
      </c>
      <c r="U12675" s="21">
        <f>$B$12192</f>
        <v/>
      </c>
      <c r="V12675" s="21" t="n">
        <v>0</v>
      </c>
      <c r="W12675" s="21" t="n">
        <v>0</v>
      </c>
      <c r="X12675" s="21" t="n">
        <v>0</v>
      </c>
      <c r="Y12675" s="21" t="n">
        <v>0</v>
      </c>
      <c r="Z12675" s="19" t="n"/>
    </row>
    <row r="12676">
      <c r="D12676" s="21" t="n">
        <v>0</v>
      </c>
      <c r="E12676" s="21" t="n">
        <v>0</v>
      </c>
      <c r="F12676" s="21" t="n">
        <v>0</v>
      </c>
      <c r="G12676" s="21" t="n">
        <v>0</v>
      </c>
      <c r="H12676" s="21" t="n">
        <v>0</v>
      </c>
      <c r="I12676" s="21" t="n">
        <v>0</v>
      </c>
      <c r="J12676" s="21" t="n">
        <v>0</v>
      </c>
      <c r="K12676" s="21" t="n">
        <v>0</v>
      </c>
      <c r="L12676" s="21" t="n">
        <v>0</v>
      </c>
      <c r="M12676" s="21" t="n">
        <v>0</v>
      </c>
      <c r="N12676" s="21" t="n">
        <v>0</v>
      </c>
      <c r="O12676" s="21" t="n">
        <v>0</v>
      </c>
      <c r="P12676" s="21" t="n">
        <v>0</v>
      </c>
      <c r="Q12676" s="21" t="n">
        <v>0</v>
      </c>
      <c r="R12676" s="21">
        <f>-$B$12189</f>
        <v/>
      </c>
      <c r="S12676" s="21">
        <f>-$B$12190</f>
        <v/>
      </c>
      <c r="T12676" s="21">
        <f>2*$B$12189+$D$12656</f>
        <v/>
      </c>
      <c r="U12676" s="21">
        <f>0</f>
        <v/>
      </c>
      <c r="V12676" s="21">
        <f>-$B$12189</f>
        <v/>
      </c>
      <c r="W12676" s="21">
        <f>$B$12190</f>
        <v/>
      </c>
      <c r="X12676" s="21" t="n">
        <v>0</v>
      </c>
      <c r="Y12676" s="21" t="n">
        <v>0</v>
      </c>
      <c r="Z12676" s="19" t="n"/>
    </row>
    <row r="12677">
      <c r="D12677" s="21" t="n">
        <v>0</v>
      </c>
      <c r="E12677" s="21" t="n">
        <v>0</v>
      </c>
      <c r="F12677" s="21" t="n">
        <v>0</v>
      </c>
      <c r="G12677" s="21" t="n">
        <v>0</v>
      </c>
      <c r="H12677" s="21" t="n">
        <v>0</v>
      </c>
      <c r="I12677" s="21" t="n">
        <v>0</v>
      </c>
      <c r="J12677" s="21" t="n">
        <v>0</v>
      </c>
      <c r="K12677" s="21" t="n">
        <v>0</v>
      </c>
      <c r="L12677" s="21" t="n">
        <v>0</v>
      </c>
      <c r="M12677" s="21" t="n">
        <v>0</v>
      </c>
      <c r="N12677" s="21" t="n">
        <v>0</v>
      </c>
      <c r="O12677" s="21" t="n">
        <v>0</v>
      </c>
      <c r="P12677" s="21" t="n">
        <v>0</v>
      </c>
      <c r="Q12677" s="21" t="n">
        <v>0</v>
      </c>
      <c r="R12677" s="21">
        <f>$B$12190</f>
        <v/>
      </c>
      <c r="S12677" s="21">
        <f>$B$12192</f>
        <v/>
      </c>
      <c r="T12677" s="21">
        <f>0</f>
        <v/>
      </c>
      <c r="U12677" s="21">
        <f>2*$B$12191</f>
        <v/>
      </c>
      <c r="V12677" s="21">
        <f>-$B$12190</f>
        <v/>
      </c>
      <c r="W12677" s="21">
        <f>$B$12192</f>
        <v/>
      </c>
      <c r="X12677" s="21" t="n">
        <v>0</v>
      </c>
      <c r="Y12677" s="21" t="n">
        <v>0</v>
      </c>
      <c r="Z12677" s="19" t="n"/>
    </row>
    <row r="12678">
      <c r="D12678" s="21" t="n">
        <v>0</v>
      </c>
      <c r="E12678" s="21" t="n">
        <v>0</v>
      </c>
      <c r="F12678" s="21" t="n">
        <v>0</v>
      </c>
      <c r="G12678" s="21" t="n">
        <v>0</v>
      </c>
      <c r="H12678" s="21" t="n">
        <v>0</v>
      </c>
      <c r="I12678" s="21" t="n">
        <v>0</v>
      </c>
      <c r="J12678" s="21" t="n">
        <v>0</v>
      </c>
      <c r="K12678" s="21" t="n">
        <v>0</v>
      </c>
      <c r="L12678" s="21" t="n">
        <v>0</v>
      </c>
      <c r="M12678" s="21" t="n">
        <v>0</v>
      </c>
      <c r="N12678" s="21" t="n">
        <v>0</v>
      </c>
      <c r="O12678" s="21" t="n">
        <v>0</v>
      </c>
      <c r="P12678" s="21" t="n">
        <v>0</v>
      </c>
      <c r="Q12678" s="21" t="n">
        <v>0</v>
      </c>
      <c r="R12678" s="21" t="n">
        <v>0</v>
      </c>
      <c r="S12678" s="21" t="n">
        <v>0</v>
      </c>
      <c r="T12678" s="21">
        <f>-$B$12189</f>
        <v/>
      </c>
      <c r="U12678" s="21">
        <f>-$B$12190</f>
        <v/>
      </c>
      <c r="V12678" s="21">
        <f>2*$B$12189+$D$12657</f>
        <v/>
      </c>
      <c r="W12678" s="21">
        <f>0</f>
        <v/>
      </c>
      <c r="X12678" s="21">
        <f>-$B$12189</f>
        <v/>
      </c>
      <c r="Y12678" s="21">
        <f>$B$12190</f>
        <v/>
      </c>
      <c r="Z12678" s="19" t="n"/>
    </row>
    <row r="12679">
      <c r="D12679" s="21" t="n">
        <v>0</v>
      </c>
      <c r="E12679" s="21" t="n">
        <v>0</v>
      </c>
      <c r="F12679" s="21" t="n">
        <v>0</v>
      </c>
      <c r="G12679" s="21" t="n">
        <v>0</v>
      </c>
      <c r="H12679" s="21" t="n">
        <v>0</v>
      </c>
      <c r="I12679" s="21" t="n">
        <v>0</v>
      </c>
      <c r="J12679" s="21" t="n">
        <v>0</v>
      </c>
      <c r="K12679" s="21" t="n">
        <v>0</v>
      </c>
      <c r="L12679" s="21" t="n">
        <v>0</v>
      </c>
      <c r="M12679" s="21" t="n">
        <v>0</v>
      </c>
      <c r="N12679" s="21" t="n">
        <v>0</v>
      </c>
      <c r="O12679" s="21" t="n">
        <v>0</v>
      </c>
      <c r="P12679" s="21" t="n">
        <v>0</v>
      </c>
      <c r="Q12679" s="21" t="n">
        <v>0</v>
      </c>
      <c r="R12679" s="21" t="n">
        <v>0</v>
      </c>
      <c r="S12679" s="21" t="n">
        <v>0</v>
      </c>
      <c r="T12679" s="21">
        <f>$B$12190</f>
        <v/>
      </c>
      <c r="U12679" s="21">
        <f>$B$12192</f>
        <v/>
      </c>
      <c r="V12679" s="21">
        <f>0</f>
        <v/>
      </c>
      <c r="W12679" s="21">
        <f>2*$B$12191</f>
        <v/>
      </c>
      <c r="X12679" s="21">
        <f>-$B$12190</f>
        <v/>
      </c>
      <c r="Y12679" s="21">
        <f>$B$12192</f>
        <v/>
      </c>
      <c r="Z12679" s="19" t="n"/>
    </row>
    <row r="12680">
      <c r="D12680" s="21" t="n">
        <v>0</v>
      </c>
      <c r="E12680" s="21" t="n">
        <v>0</v>
      </c>
      <c r="F12680" s="21" t="n">
        <v>0</v>
      </c>
      <c r="G12680" s="21" t="n">
        <v>0</v>
      </c>
      <c r="H12680" s="21" t="n">
        <v>0</v>
      </c>
      <c r="I12680" s="21" t="n">
        <v>0</v>
      </c>
      <c r="J12680" s="21" t="n">
        <v>0</v>
      </c>
      <c r="K12680" s="21" t="n">
        <v>0</v>
      </c>
      <c r="L12680" s="21" t="n">
        <v>0</v>
      </c>
      <c r="M12680" s="21" t="n">
        <v>0</v>
      </c>
      <c r="N12680" s="21" t="n">
        <v>0</v>
      </c>
      <c r="O12680" s="21" t="n">
        <v>0</v>
      </c>
      <c r="P12680" s="21" t="n">
        <v>0</v>
      </c>
      <c r="Q12680" s="21" t="n">
        <v>0</v>
      </c>
      <c r="R12680" s="21" t="n">
        <v>0</v>
      </c>
      <c r="S12680" s="21" t="n">
        <v>0</v>
      </c>
      <c r="T12680" s="21" t="n">
        <v>0</v>
      </c>
      <c r="U12680" s="21" t="n">
        <v>0</v>
      </c>
      <c r="V12680" s="21">
        <f>-$B$12189</f>
        <v/>
      </c>
      <c r="W12680" s="21">
        <f>-$B$12190</f>
        <v/>
      </c>
      <c r="X12680" s="21">
        <f>$B$12189+$D$12658</f>
        <v/>
      </c>
      <c r="Y12680" s="21">
        <f>-$B$12190</f>
        <v/>
      </c>
      <c r="Z12680" s="19" t="n"/>
    </row>
    <row r="12681">
      <c r="D12681" s="21" t="n">
        <v>0</v>
      </c>
      <c r="E12681" s="21" t="n">
        <v>0</v>
      </c>
      <c r="F12681" s="21" t="n">
        <v>0</v>
      </c>
      <c r="G12681" s="21" t="n">
        <v>0</v>
      </c>
      <c r="H12681" s="21" t="n">
        <v>0</v>
      </c>
      <c r="I12681" s="21" t="n">
        <v>0</v>
      </c>
      <c r="J12681" s="21" t="n">
        <v>0</v>
      </c>
      <c r="K12681" s="21" t="n">
        <v>0</v>
      </c>
      <c r="L12681" s="21" t="n">
        <v>0</v>
      </c>
      <c r="M12681" s="21" t="n">
        <v>0</v>
      </c>
      <c r="N12681" s="21" t="n">
        <v>0</v>
      </c>
      <c r="O12681" s="21" t="n">
        <v>0</v>
      </c>
      <c r="P12681" s="21" t="n">
        <v>0</v>
      </c>
      <c r="Q12681" s="21" t="n">
        <v>0</v>
      </c>
      <c r="R12681" s="21" t="n">
        <v>0</v>
      </c>
      <c r="S12681" s="21" t="n">
        <v>0</v>
      </c>
      <c r="T12681" s="21" t="n">
        <v>0</v>
      </c>
      <c r="U12681" s="21" t="n">
        <v>0</v>
      </c>
      <c r="V12681" s="21">
        <f>$B$12190</f>
        <v/>
      </c>
      <c r="W12681" s="21">
        <f>$B$12192</f>
        <v/>
      </c>
      <c r="X12681" s="21">
        <f>-$B$12190</f>
        <v/>
      </c>
      <c r="Y12681" s="21">
        <f>$B$12191</f>
        <v/>
      </c>
      <c r="Z12681" s="19" t="n"/>
    </row>
    <row r="12683">
      <c r="A12683" s="8" t="inlineStr">
        <is>
          <t>gen 13</t>
        </is>
      </c>
    </row>
    <row r="12684">
      <c r="D12684" s="19">
        <f>IF(ABS(IF(ABS($E$12648)&gt;0.000000001,$E$12648,0.000000001))=0,0,IF($E$12204&lt;=$B$12198,0,IF(ABS(IF(ABS($E$12648)&gt;0.000000001,$E$12648,0.000000001))&gt;=8*$B$12200,$H$12204,0.5*$H$12204*(ABS(IF(ABS($E$12648)&gt;0.000000001,$E$12648,0.000000001))/$B$12200)^(1/3)))/ABS(IF(ABS($E$12648)&gt;0.000000001,$E$12648,0.000000001))*$I$12204)</f>
        <v/>
      </c>
      <c r="E12684" s="19">
        <f>0.5*$E$12648+0.5*$Z$12696</f>
        <v/>
      </c>
      <c r="F12684" s="19">
        <f>$Z$12697</f>
        <v/>
      </c>
    </row>
    <row r="12685">
      <c r="D12685" s="19">
        <f>IF(ABS(IF(ABS($E$12649)&gt;0.000000001,$E$12649,0.000000001))=0,0,IF($E$12205&lt;=$B$12198,0,IF(ABS(IF(ABS($E$12649)&gt;0.000000001,$E$12649,0.000000001))&gt;=8*$B$12200,$H$12205,0.5*$H$12205*(ABS(IF(ABS($E$12649)&gt;0.000000001,$E$12649,0.000000001))/$B$12200)^(1/3)))/ABS(IF(ABS($E$12649)&gt;0.000000001,$E$12649,0.000000001))*$I$12205)</f>
        <v/>
      </c>
      <c r="E12685" s="19">
        <f>0.5*$E$12649+0.5*$Z$12698</f>
        <v/>
      </c>
      <c r="F12685" s="19">
        <f>$Z$12699</f>
        <v/>
      </c>
    </row>
    <row r="12686">
      <c r="D12686" s="19">
        <f>IF(ABS(IF(ABS($E$12650)&gt;0.000000001,$E$12650,0.000000001))=0,0,IF($E$12206&lt;=$B$12198,0,IF(ABS(IF(ABS($E$12650)&gt;0.000000001,$E$12650,0.000000001))&gt;=8*$B$12200,$H$12206,0.5*$H$12206*(ABS(IF(ABS($E$12650)&gt;0.000000001,$E$12650,0.000000001))/$B$12200)^(1/3)))/ABS(IF(ABS($E$12650)&gt;0.000000001,$E$12650,0.000000001))*$I$12206)</f>
        <v/>
      </c>
      <c r="E12686" s="19">
        <f>0.5*$E$12650+0.5*$Z$12700</f>
        <v/>
      </c>
      <c r="F12686" s="19">
        <f>$Z$12701</f>
        <v/>
      </c>
    </row>
    <row r="12687">
      <c r="D12687" s="19">
        <f>IF(ABS(IF(ABS($E$12651)&gt;0.000000001,$E$12651,0.000000001))=0,0,IF($E$12207&lt;=$B$12198,0,IF(ABS(IF(ABS($E$12651)&gt;0.000000001,$E$12651,0.000000001))&gt;=8*$B$12200,$H$12207,0.5*$H$12207*(ABS(IF(ABS($E$12651)&gt;0.000000001,$E$12651,0.000000001))/$B$12200)^(1/3)))/ABS(IF(ABS($E$12651)&gt;0.000000001,$E$12651,0.000000001))*$I$12207)</f>
        <v/>
      </c>
      <c r="E12687" s="19">
        <f>0.5*$E$12651+0.5*$Z$12702</f>
        <v/>
      </c>
      <c r="F12687" s="19">
        <f>$Z$12703</f>
        <v/>
      </c>
    </row>
    <row r="12688">
      <c r="D12688" s="19">
        <f>IF(ABS(IF(ABS($E$12652)&gt;0.000000001,$E$12652,0.000000001))=0,0,IF($E$12208&lt;=$B$12198,0,IF(ABS(IF(ABS($E$12652)&gt;0.000000001,$E$12652,0.000000001))&gt;=8*$B$12200,$H$12208,0.5*$H$12208*(ABS(IF(ABS($E$12652)&gt;0.000000001,$E$12652,0.000000001))/$B$12200)^(1/3)))/ABS(IF(ABS($E$12652)&gt;0.000000001,$E$12652,0.000000001))*$I$12208)</f>
        <v/>
      </c>
      <c r="E12688" s="19">
        <f>0.5*$E$12652+0.5*$Z$12704</f>
        <v/>
      </c>
      <c r="F12688" s="19">
        <f>$Z$12705</f>
        <v/>
      </c>
    </row>
    <row r="12689">
      <c r="D12689" s="19">
        <f>IF(ABS(IF(ABS($E$12653)&gt;0.000000001,$E$12653,0.000000001))=0,0,IF($E$12209&lt;=$B$12198,0,IF(ABS(IF(ABS($E$12653)&gt;0.000000001,$E$12653,0.000000001))&gt;=8*$B$12200,$H$12209,0.5*$H$12209*(ABS(IF(ABS($E$12653)&gt;0.000000001,$E$12653,0.000000001))/$B$12200)^(1/3)))/ABS(IF(ABS($E$12653)&gt;0.000000001,$E$12653,0.000000001))*$I$12209)</f>
        <v/>
      </c>
      <c r="E12689" s="19">
        <f>0.5*$E$12653+0.5*$Z$12706</f>
        <v/>
      </c>
      <c r="F12689" s="19">
        <f>$Z$12707</f>
        <v/>
      </c>
    </row>
    <row r="12690">
      <c r="D12690" s="19">
        <f>IF(ABS(IF(ABS($E$12654)&gt;0.000000001,$E$12654,0.000000001))=0,0,IF($E$12210&lt;=$B$12198,0,IF(ABS(IF(ABS($E$12654)&gt;0.000000001,$E$12654,0.000000001))&gt;=8*$B$12200,$H$12210,0.5*$H$12210*(ABS(IF(ABS($E$12654)&gt;0.000000001,$E$12654,0.000000001))/$B$12200)^(1/3)))/ABS(IF(ABS($E$12654)&gt;0.000000001,$E$12654,0.000000001))*$I$12210)</f>
        <v/>
      </c>
      <c r="E12690" s="19">
        <f>0.5*$E$12654+0.5*$Z$12708</f>
        <v/>
      </c>
      <c r="F12690" s="19">
        <f>$Z$12709</f>
        <v/>
      </c>
    </row>
    <row r="12691">
      <c r="D12691" s="19">
        <f>IF(ABS(IF(ABS($E$12655)&gt;0.000000001,$E$12655,0.000000001))=0,0,IF($E$12211&lt;=$B$12198,0,IF(ABS(IF(ABS($E$12655)&gt;0.000000001,$E$12655,0.000000001))&gt;=8*$B$12200,$H$12211,0.5*$H$12211*(ABS(IF(ABS($E$12655)&gt;0.000000001,$E$12655,0.000000001))/$B$12200)^(1/3)))/ABS(IF(ABS($E$12655)&gt;0.000000001,$E$12655,0.000000001))*$I$12211)</f>
        <v/>
      </c>
      <c r="E12691" s="19">
        <f>0.5*$E$12655+0.5*$Z$12710</f>
        <v/>
      </c>
      <c r="F12691" s="19">
        <f>$Z$12711</f>
        <v/>
      </c>
    </row>
    <row r="12692">
      <c r="D12692" s="19">
        <f>IF(ABS(IF(ABS($E$12656)&gt;0.000000001,$E$12656,0.000000001))=0,0,IF($E$12212&lt;=$B$12198,0,IF(ABS(IF(ABS($E$12656)&gt;0.000000001,$E$12656,0.000000001))&gt;=8*$B$12200,$H$12212,0.5*$H$12212*(ABS(IF(ABS($E$12656)&gt;0.000000001,$E$12656,0.000000001))/$B$12200)^(1/3)))/ABS(IF(ABS($E$12656)&gt;0.000000001,$E$12656,0.000000001))*$I$12212)</f>
        <v/>
      </c>
      <c r="E12692" s="19">
        <f>0.5*$E$12656+0.5*$Z$12712</f>
        <v/>
      </c>
      <c r="F12692" s="19">
        <f>$Z$12713</f>
        <v/>
      </c>
    </row>
    <row r="12693">
      <c r="D12693" s="19">
        <f>IF(ABS(IF(ABS($E$12657)&gt;0.000000001,$E$12657,0.000000001))=0,0,IF($E$12213&lt;=$B$12198,0,IF(ABS(IF(ABS($E$12657)&gt;0.000000001,$E$12657,0.000000001))&gt;=8*$B$12200,$H$12213,0.5*$H$12213*(ABS(IF(ABS($E$12657)&gt;0.000000001,$E$12657,0.000000001))/$B$12200)^(1/3)))/ABS(IF(ABS($E$12657)&gt;0.000000001,$E$12657,0.000000001))*$I$12213)</f>
        <v/>
      </c>
      <c r="E12693" s="19">
        <f>0.5*$E$12657+0.5*$Z$12714</f>
        <v/>
      </c>
      <c r="F12693" s="19">
        <f>$Z$12715</f>
        <v/>
      </c>
    </row>
    <row r="12694">
      <c r="D12694" s="19">
        <f>IF(ABS(IF(ABS($E$12658)&gt;0.000000001,$E$12658,0.000000001))=0,0,IF($E$12214&lt;=$B$12198,0,IF(ABS(IF(ABS($E$12658)&gt;0.000000001,$E$12658,0.000000001))&gt;=8*$B$12200,$H$12214,0.5*$H$12214*(ABS(IF(ABS($E$12658)&gt;0.000000001,$E$12658,0.000000001))/$B$12200)^(1/3)))/ABS(IF(ABS($E$12658)&gt;0.000000001,$E$12658,0.000000001))*$I$12214)</f>
        <v/>
      </c>
      <c r="E12694" s="19">
        <f>0.5*$E$12658+0.5*$Z$12716</f>
        <v/>
      </c>
      <c r="F12694" s="19">
        <f>$Z$12717</f>
        <v/>
      </c>
    </row>
    <row r="12696">
      <c r="D12696" s="21">
        <f>$B$12189+$D$12684</f>
        <v/>
      </c>
      <c r="E12696" s="21">
        <f>$B$12190</f>
        <v/>
      </c>
      <c r="F12696" s="21">
        <f>-$B$12189</f>
        <v/>
      </c>
      <c r="G12696" s="21">
        <f>$B$12190</f>
        <v/>
      </c>
      <c r="H12696" s="21" t="n">
        <v>0</v>
      </c>
      <c r="I12696" s="21" t="n">
        <v>0</v>
      </c>
      <c r="J12696" s="21" t="n">
        <v>0</v>
      </c>
      <c r="K12696" s="21" t="n">
        <v>0</v>
      </c>
      <c r="L12696" s="21" t="n">
        <v>0</v>
      </c>
      <c r="M12696" s="21" t="n">
        <v>0</v>
      </c>
      <c r="N12696" s="21" t="n">
        <v>0</v>
      </c>
      <c r="O12696" s="21" t="n">
        <v>0</v>
      </c>
      <c r="P12696" s="21" t="n">
        <v>0</v>
      </c>
      <c r="Q12696" s="21" t="n">
        <v>0</v>
      </c>
      <c r="R12696" s="21" t="n">
        <v>0</v>
      </c>
      <c r="S12696" s="21" t="n">
        <v>0</v>
      </c>
      <c r="T12696" s="21" t="n">
        <v>0</v>
      </c>
      <c r="U12696" s="21" t="n">
        <v>0</v>
      </c>
      <c r="V12696" s="21" t="n">
        <v>0</v>
      </c>
      <c r="W12696" s="21" t="n">
        <v>0</v>
      </c>
      <c r="X12696" s="21" t="n">
        <v>0</v>
      </c>
      <c r="Y12696" s="21" t="n">
        <v>0</v>
      </c>
      <c r="Z12696" s="19">
        <f t="array" ref="Z12696:Z12717">MMULT(MINVERSE($D$12696:$Y$12717),$D$12216:$D$12237)</f>
        <v/>
      </c>
    </row>
    <row r="12697">
      <c r="D12697" s="21">
        <f>$B$12190</f>
        <v/>
      </c>
      <c r="E12697" s="21">
        <f>$B$12191</f>
        <v/>
      </c>
      <c r="F12697" s="21">
        <f>-$B$12190</f>
        <v/>
      </c>
      <c r="G12697" s="21">
        <f>$B$12192</f>
        <v/>
      </c>
      <c r="H12697" s="21" t="n">
        <v>0</v>
      </c>
      <c r="I12697" s="21" t="n">
        <v>0</v>
      </c>
      <c r="J12697" s="21" t="n">
        <v>0</v>
      </c>
      <c r="K12697" s="21" t="n">
        <v>0</v>
      </c>
      <c r="L12697" s="21" t="n">
        <v>0</v>
      </c>
      <c r="M12697" s="21" t="n">
        <v>0</v>
      </c>
      <c r="N12697" s="21" t="n">
        <v>0</v>
      </c>
      <c r="O12697" s="21" t="n">
        <v>0</v>
      </c>
      <c r="P12697" s="21" t="n">
        <v>0</v>
      </c>
      <c r="Q12697" s="21" t="n">
        <v>0</v>
      </c>
      <c r="R12697" s="21" t="n">
        <v>0</v>
      </c>
      <c r="S12697" s="21" t="n">
        <v>0</v>
      </c>
      <c r="T12697" s="21" t="n">
        <v>0</v>
      </c>
      <c r="U12697" s="21" t="n">
        <v>0</v>
      </c>
      <c r="V12697" s="21" t="n">
        <v>0</v>
      </c>
      <c r="W12697" s="21" t="n">
        <v>0</v>
      </c>
      <c r="X12697" s="21" t="n">
        <v>0</v>
      </c>
      <c r="Y12697" s="21" t="n">
        <v>0</v>
      </c>
      <c r="Z12697" s="19" t="n"/>
    </row>
    <row r="12698">
      <c r="D12698" s="21">
        <f>-$B$12189</f>
        <v/>
      </c>
      <c r="E12698" s="21">
        <f>-$B$12190</f>
        <v/>
      </c>
      <c r="F12698" s="21">
        <f>2*$B$12189+$D$12685</f>
        <v/>
      </c>
      <c r="G12698" s="21">
        <f>0</f>
        <v/>
      </c>
      <c r="H12698" s="21">
        <f>-$B$12189</f>
        <v/>
      </c>
      <c r="I12698" s="21">
        <f>$B$12190</f>
        <v/>
      </c>
      <c r="J12698" s="21" t="n">
        <v>0</v>
      </c>
      <c r="K12698" s="21" t="n">
        <v>0</v>
      </c>
      <c r="L12698" s="21" t="n">
        <v>0</v>
      </c>
      <c r="M12698" s="21" t="n">
        <v>0</v>
      </c>
      <c r="N12698" s="21" t="n">
        <v>0</v>
      </c>
      <c r="O12698" s="21" t="n">
        <v>0</v>
      </c>
      <c r="P12698" s="21" t="n">
        <v>0</v>
      </c>
      <c r="Q12698" s="21" t="n">
        <v>0</v>
      </c>
      <c r="R12698" s="21" t="n">
        <v>0</v>
      </c>
      <c r="S12698" s="21" t="n">
        <v>0</v>
      </c>
      <c r="T12698" s="21" t="n">
        <v>0</v>
      </c>
      <c r="U12698" s="21" t="n">
        <v>0</v>
      </c>
      <c r="V12698" s="21" t="n">
        <v>0</v>
      </c>
      <c r="W12698" s="21" t="n">
        <v>0</v>
      </c>
      <c r="X12698" s="21" t="n">
        <v>0</v>
      </c>
      <c r="Y12698" s="21" t="n">
        <v>0</v>
      </c>
      <c r="Z12698" s="19" t="n"/>
    </row>
    <row r="12699">
      <c r="D12699" s="21">
        <f>$B$12190</f>
        <v/>
      </c>
      <c r="E12699" s="21">
        <f>$B$12192</f>
        <v/>
      </c>
      <c r="F12699" s="21">
        <f>0</f>
        <v/>
      </c>
      <c r="G12699" s="21">
        <f>2*$B$12191</f>
        <v/>
      </c>
      <c r="H12699" s="21">
        <f>-$B$12190</f>
        <v/>
      </c>
      <c r="I12699" s="21">
        <f>$B$12192</f>
        <v/>
      </c>
      <c r="J12699" s="21" t="n">
        <v>0</v>
      </c>
      <c r="K12699" s="21" t="n">
        <v>0</v>
      </c>
      <c r="L12699" s="21" t="n">
        <v>0</v>
      </c>
      <c r="M12699" s="21" t="n">
        <v>0</v>
      </c>
      <c r="N12699" s="21" t="n">
        <v>0</v>
      </c>
      <c r="O12699" s="21" t="n">
        <v>0</v>
      </c>
      <c r="P12699" s="21" t="n">
        <v>0</v>
      </c>
      <c r="Q12699" s="21" t="n">
        <v>0</v>
      </c>
      <c r="R12699" s="21" t="n">
        <v>0</v>
      </c>
      <c r="S12699" s="21" t="n">
        <v>0</v>
      </c>
      <c r="T12699" s="21" t="n">
        <v>0</v>
      </c>
      <c r="U12699" s="21" t="n">
        <v>0</v>
      </c>
      <c r="V12699" s="21" t="n">
        <v>0</v>
      </c>
      <c r="W12699" s="21" t="n">
        <v>0</v>
      </c>
      <c r="X12699" s="21" t="n">
        <v>0</v>
      </c>
      <c r="Y12699" s="21" t="n">
        <v>0</v>
      </c>
      <c r="Z12699" s="19" t="n"/>
    </row>
    <row r="12700">
      <c r="D12700" s="21" t="n">
        <v>0</v>
      </c>
      <c r="E12700" s="21" t="n">
        <v>0</v>
      </c>
      <c r="F12700" s="21">
        <f>-$B$12189</f>
        <v/>
      </c>
      <c r="G12700" s="21">
        <f>-$B$12190</f>
        <v/>
      </c>
      <c r="H12700" s="21">
        <f>2*$B$12189+$D$12686</f>
        <v/>
      </c>
      <c r="I12700" s="21">
        <f>0</f>
        <v/>
      </c>
      <c r="J12700" s="21">
        <f>-$B$12189</f>
        <v/>
      </c>
      <c r="K12700" s="21">
        <f>$B$12190</f>
        <v/>
      </c>
      <c r="L12700" s="21" t="n">
        <v>0</v>
      </c>
      <c r="M12700" s="21" t="n">
        <v>0</v>
      </c>
      <c r="N12700" s="21" t="n">
        <v>0</v>
      </c>
      <c r="O12700" s="21" t="n">
        <v>0</v>
      </c>
      <c r="P12700" s="21" t="n">
        <v>0</v>
      </c>
      <c r="Q12700" s="21" t="n">
        <v>0</v>
      </c>
      <c r="R12700" s="21" t="n">
        <v>0</v>
      </c>
      <c r="S12700" s="21" t="n">
        <v>0</v>
      </c>
      <c r="T12700" s="21" t="n">
        <v>0</v>
      </c>
      <c r="U12700" s="21" t="n">
        <v>0</v>
      </c>
      <c r="V12700" s="21" t="n">
        <v>0</v>
      </c>
      <c r="W12700" s="21" t="n">
        <v>0</v>
      </c>
      <c r="X12700" s="21" t="n">
        <v>0</v>
      </c>
      <c r="Y12700" s="21" t="n">
        <v>0</v>
      </c>
      <c r="Z12700" s="19" t="n"/>
    </row>
    <row r="12701">
      <c r="D12701" s="21" t="n">
        <v>0</v>
      </c>
      <c r="E12701" s="21" t="n">
        <v>0</v>
      </c>
      <c r="F12701" s="21">
        <f>$B$12190</f>
        <v/>
      </c>
      <c r="G12701" s="21">
        <f>$B$12192</f>
        <v/>
      </c>
      <c r="H12701" s="21">
        <f>0</f>
        <v/>
      </c>
      <c r="I12701" s="21">
        <f>2*$B$12191</f>
        <v/>
      </c>
      <c r="J12701" s="21">
        <f>-$B$12190</f>
        <v/>
      </c>
      <c r="K12701" s="21">
        <f>$B$12192</f>
        <v/>
      </c>
      <c r="L12701" s="21" t="n">
        <v>0</v>
      </c>
      <c r="M12701" s="21" t="n">
        <v>0</v>
      </c>
      <c r="N12701" s="21" t="n">
        <v>0</v>
      </c>
      <c r="O12701" s="21" t="n">
        <v>0</v>
      </c>
      <c r="P12701" s="21" t="n">
        <v>0</v>
      </c>
      <c r="Q12701" s="21" t="n">
        <v>0</v>
      </c>
      <c r="R12701" s="21" t="n">
        <v>0</v>
      </c>
      <c r="S12701" s="21" t="n">
        <v>0</v>
      </c>
      <c r="T12701" s="21" t="n">
        <v>0</v>
      </c>
      <c r="U12701" s="21" t="n">
        <v>0</v>
      </c>
      <c r="V12701" s="21" t="n">
        <v>0</v>
      </c>
      <c r="W12701" s="21" t="n">
        <v>0</v>
      </c>
      <c r="X12701" s="21" t="n">
        <v>0</v>
      </c>
      <c r="Y12701" s="21" t="n">
        <v>0</v>
      </c>
      <c r="Z12701" s="19" t="n"/>
    </row>
    <row r="12702">
      <c r="D12702" s="21" t="n">
        <v>0</v>
      </c>
      <c r="E12702" s="21" t="n">
        <v>0</v>
      </c>
      <c r="F12702" s="21" t="n">
        <v>0</v>
      </c>
      <c r="G12702" s="21" t="n">
        <v>0</v>
      </c>
      <c r="H12702" s="21">
        <f>-$B$12189</f>
        <v/>
      </c>
      <c r="I12702" s="21">
        <f>-$B$12190</f>
        <v/>
      </c>
      <c r="J12702" s="21">
        <f>2*$B$12189+$D$12687</f>
        <v/>
      </c>
      <c r="K12702" s="21">
        <f>0</f>
        <v/>
      </c>
      <c r="L12702" s="21">
        <f>-$B$12189</f>
        <v/>
      </c>
      <c r="M12702" s="21">
        <f>$B$12190</f>
        <v/>
      </c>
      <c r="N12702" s="21" t="n">
        <v>0</v>
      </c>
      <c r="O12702" s="21" t="n">
        <v>0</v>
      </c>
      <c r="P12702" s="21" t="n">
        <v>0</v>
      </c>
      <c r="Q12702" s="21" t="n">
        <v>0</v>
      </c>
      <c r="R12702" s="21" t="n">
        <v>0</v>
      </c>
      <c r="S12702" s="21" t="n">
        <v>0</v>
      </c>
      <c r="T12702" s="21" t="n">
        <v>0</v>
      </c>
      <c r="U12702" s="21" t="n">
        <v>0</v>
      </c>
      <c r="V12702" s="21" t="n">
        <v>0</v>
      </c>
      <c r="W12702" s="21" t="n">
        <v>0</v>
      </c>
      <c r="X12702" s="21" t="n">
        <v>0</v>
      </c>
      <c r="Y12702" s="21" t="n">
        <v>0</v>
      </c>
      <c r="Z12702" s="19" t="n"/>
    </row>
    <row r="12703">
      <c r="D12703" s="21" t="n">
        <v>0</v>
      </c>
      <c r="E12703" s="21" t="n">
        <v>0</v>
      </c>
      <c r="F12703" s="21" t="n">
        <v>0</v>
      </c>
      <c r="G12703" s="21" t="n">
        <v>0</v>
      </c>
      <c r="H12703" s="21">
        <f>$B$12190</f>
        <v/>
      </c>
      <c r="I12703" s="21">
        <f>$B$12192</f>
        <v/>
      </c>
      <c r="J12703" s="21">
        <f>0</f>
        <v/>
      </c>
      <c r="K12703" s="21">
        <f>2*$B$12191</f>
        <v/>
      </c>
      <c r="L12703" s="21">
        <f>-$B$12190</f>
        <v/>
      </c>
      <c r="M12703" s="21">
        <f>$B$12192</f>
        <v/>
      </c>
      <c r="N12703" s="21" t="n">
        <v>0</v>
      </c>
      <c r="O12703" s="21" t="n">
        <v>0</v>
      </c>
      <c r="P12703" s="21" t="n">
        <v>0</v>
      </c>
      <c r="Q12703" s="21" t="n">
        <v>0</v>
      </c>
      <c r="R12703" s="21" t="n">
        <v>0</v>
      </c>
      <c r="S12703" s="21" t="n">
        <v>0</v>
      </c>
      <c r="T12703" s="21" t="n">
        <v>0</v>
      </c>
      <c r="U12703" s="21" t="n">
        <v>0</v>
      </c>
      <c r="V12703" s="21" t="n">
        <v>0</v>
      </c>
      <c r="W12703" s="21" t="n">
        <v>0</v>
      </c>
      <c r="X12703" s="21" t="n">
        <v>0</v>
      </c>
      <c r="Y12703" s="21" t="n">
        <v>0</v>
      </c>
      <c r="Z12703" s="19" t="n"/>
    </row>
    <row r="12704">
      <c r="D12704" s="21" t="n">
        <v>0</v>
      </c>
      <c r="E12704" s="21" t="n">
        <v>0</v>
      </c>
      <c r="F12704" s="21" t="n">
        <v>0</v>
      </c>
      <c r="G12704" s="21" t="n">
        <v>0</v>
      </c>
      <c r="H12704" s="21" t="n">
        <v>0</v>
      </c>
      <c r="I12704" s="21" t="n">
        <v>0</v>
      </c>
      <c r="J12704" s="21">
        <f>-$B$12189</f>
        <v/>
      </c>
      <c r="K12704" s="21">
        <f>-$B$12190</f>
        <v/>
      </c>
      <c r="L12704" s="21">
        <f>2*$B$12189+$D$12688</f>
        <v/>
      </c>
      <c r="M12704" s="21">
        <f>0</f>
        <v/>
      </c>
      <c r="N12704" s="21">
        <f>-$B$12189</f>
        <v/>
      </c>
      <c r="O12704" s="21">
        <f>$B$12190</f>
        <v/>
      </c>
      <c r="P12704" s="21" t="n">
        <v>0</v>
      </c>
      <c r="Q12704" s="21" t="n">
        <v>0</v>
      </c>
      <c r="R12704" s="21" t="n">
        <v>0</v>
      </c>
      <c r="S12704" s="21" t="n">
        <v>0</v>
      </c>
      <c r="T12704" s="21" t="n">
        <v>0</v>
      </c>
      <c r="U12704" s="21" t="n">
        <v>0</v>
      </c>
      <c r="V12704" s="21" t="n">
        <v>0</v>
      </c>
      <c r="W12704" s="21" t="n">
        <v>0</v>
      </c>
      <c r="X12704" s="21" t="n">
        <v>0</v>
      </c>
      <c r="Y12704" s="21" t="n">
        <v>0</v>
      </c>
      <c r="Z12704" s="19" t="n"/>
    </row>
    <row r="12705">
      <c r="D12705" s="21" t="n">
        <v>0</v>
      </c>
      <c r="E12705" s="21" t="n">
        <v>0</v>
      </c>
      <c r="F12705" s="21" t="n">
        <v>0</v>
      </c>
      <c r="G12705" s="21" t="n">
        <v>0</v>
      </c>
      <c r="H12705" s="21" t="n">
        <v>0</v>
      </c>
      <c r="I12705" s="21" t="n">
        <v>0</v>
      </c>
      <c r="J12705" s="21">
        <f>$B$12190</f>
        <v/>
      </c>
      <c r="K12705" s="21">
        <f>$B$12192</f>
        <v/>
      </c>
      <c r="L12705" s="21">
        <f>0</f>
        <v/>
      </c>
      <c r="M12705" s="21">
        <f>2*$B$12191</f>
        <v/>
      </c>
      <c r="N12705" s="21">
        <f>-$B$12190</f>
        <v/>
      </c>
      <c r="O12705" s="21">
        <f>$B$12192</f>
        <v/>
      </c>
      <c r="P12705" s="21" t="n">
        <v>0</v>
      </c>
      <c r="Q12705" s="21" t="n">
        <v>0</v>
      </c>
      <c r="R12705" s="21" t="n">
        <v>0</v>
      </c>
      <c r="S12705" s="21" t="n">
        <v>0</v>
      </c>
      <c r="T12705" s="21" t="n">
        <v>0</v>
      </c>
      <c r="U12705" s="21" t="n">
        <v>0</v>
      </c>
      <c r="V12705" s="21" t="n">
        <v>0</v>
      </c>
      <c r="W12705" s="21" t="n">
        <v>0</v>
      </c>
      <c r="X12705" s="21" t="n">
        <v>0</v>
      </c>
      <c r="Y12705" s="21" t="n">
        <v>0</v>
      </c>
      <c r="Z12705" s="19" t="n"/>
    </row>
    <row r="12706">
      <c r="D12706" s="21" t="n">
        <v>0</v>
      </c>
      <c r="E12706" s="21" t="n">
        <v>0</v>
      </c>
      <c r="F12706" s="21" t="n">
        <v>0</v>
      </c>
      <c r="G12706" s="21" t="n">
        <v>0</v>
      </c>
      <c r="H12706" s="21" t="n">
        <v>0</v>
      </c>
      <c r="I12706" s="21" t="n">
        <v>0</v>
      </c>
      <c r="J12706" s="21" t="n">
        <v>0</v>
      </c>
      <c r="K12706" s="21" t="n">
        <v>0</v>
      </c>
      <c r="L12706" s="21">
        <f>-$B$12189</f>
        <v/>
      </c>
      <c r="M12706" s="21">
        <f>-$B$12190</f>
        <v/>
      </c>
      <c r="N12706" s="21">
        <f>2*$B$12189+$D$12689</f>
        <v/>
      </c>
      <c r="O12706" s="21">
        <f>0</f>
        <v/>
      </c>
      <c r="P12706" s="21">
        <f>-$B$12189</f>
        <v/>
      </c>
      <c r="Q12706" s="21">
        <f>$B$12190</f>
        <v/>
      </c>
      <c r="R12706" s="21" t="n">
        <v>0</v>
      </c>
      <c r="S12706" s="21" t="n">
        <v>0</v>
      </c>
      <c r="T12706" s="21" t="n">
        <v>0</v>
      </c>
      <c r="U12706" s="21" t="n">
        <v>0</v>
      </c>
      <c r="V12706" s="21" t="n">
        <v>0</v>
      </c>
      <c r="W12706" s="21" t="n">
        <v>0</v>
      </c>
      <c r="X12706" s="21" t="n">
        <v>0</v>
      </c>
      <c r="Y12706" s="21" t="n">
        <v>0</v>
      </c>
      <c r="Z12706" s="19" t="n"/>
    </row>
    <row r="12707">
      <c r="D12707" s="21" t="n">
        <v>0</v>
      </c>
      <c r="E12707" s="21" t="n">
        <v>0</v>
      </c>
      <c r="F12707" s="21" t="n">
        <v>0</v>
      </c>
      <c r="G12707" s="21" t="n">
        <v>0</v>
      </c>
      <c r="H12707" s="21" t="n">
        <v>0</v>
      </c>
      <c r="I12707" s="21" t="n">
        <v>0</v>
      </c>
      <c r="J12707" s="21" t="n">
        <v>0</v>
      </c>
      <c r="K12707" s="21" t="n">
        <v>0</v>
      </c>
      <c r="L12707" s="21">
        <f>$B$12190</f>
        <v/>
      </c>
      <c r="M12707" s="21">
        <f>$B$12192</f>
        <v/>
      </c>
      <c r="N12707" s="21">
        <f>0</f>
        <v/>
      </c>
      <c r="O12707" s="21">
        <f>2*$B$12191</f>
        <v/>
      </c>
      <c r="P12707" s="21">
        <f>-$B$12190</f>
        <v/>
      </c>
      <c r="Q12707" s="21">
        <f>$B$12192</f>
        <v/>
      </c>
      <c r="R12707" s="21" t="n">
        <v>0</v>
      </c>
      <c r="S12707" s="21" t="n">
        <v>0</v>
      </c>
      <c r="T12707" s="21" t="n">
        <v>0</v>
      </c>
      <c r="U12707" s="21" t="n">
        <v>0</v>
      </c>
      <c r="V12707" s="21" t="n">
        <v>0</v>
      </c>
      <c r="W12707" s="21" t="n">
        <v>0</v>
      </c>
      <c r="X12707" s="21" t="n">
        <v>0</v>
      </c>
      <c r="Y12707" s="21" t="n">
        <v>0</v>
      </c>
      <c r="Z12707" s="19" t="n"/>
    </row>
    <row r="12708">
      <c r="D12708" s="21" t="n">
        <v>0</v>
      </c>
      <c r="E12708" s="21" t="n">
        <v>0</v>
      </c>
      <c r="F12708" s="21" t="n">
        <v>0</v>
      </c>
      <c r="G12708" s="21" t="n">
        <v>0</v>
      </c>
      <c r="H12708" s="21" t="n">
        <v>0</v>
      </c>
      <c r="I12708" s="21" t="n">
        <v>0</v>
      </c>
      <c r="J12708" s="21" t="n">
        <v>0</v>
      </c>
      <c r="K12708" s="21" t="n">
        <v>0</v>
      </c>
      <c r="L12708" s="21" t="n">
        <v>0</v>
      </c>
      <c r="M12708" s="21" t="n">
        <v>0</v>
      </c>
      <c r="N12708" s="21">
        <f>-$B$12189</f>
        <v/>
      </c>
      <c r="O12708" s="21">
        <f>-$B$12190</f>
        <v/>
      </c>
      <c r="P12708" s="21">
        <f>2*$B$12189+$D$12690</f>
        <v/>
      </c>
      <c r="Q12708" s="21">
        <f>0</f>
        <v/>
      </c>
      <c r="R12708" s="21">
        <f>-$B$12189</f>
        <v/>
      </c>
      <c r="S12708" s="21">
        <f>$B$12190</f>
        <v/>
      </c>
      <c r="T12708" s="21" t="n">
        <v>0</v>
      </c>
      <c r="U12708" s="21" t="n">
        <v>0</v>
      </c>
      <c r="V12708" s="21" t="n">
        <v>0</v>
      </c>
      <c r="W12708" s="21" t="n">
        <v>0</v>
      </c>
      <c r="X12708" s="21" t="n">
        <v>0</v>
      </c>
      <c r="Y12708" s="21" t="n">
        <v>0</v>
      </c>
      <c r="Z12708" s="19" t="n"/>
    </row>
    <row r="12709">
      <c r="D12709" s="21" t="n">
        <v>0</v>
      </c>
      <c r="E12709" s="21" t="n">
        <v>0</v>
      </c>
      <c r="F12709" s="21" t="n">
        <v>0</v>
      </c>
      <c r="G12709" s="21" t="n">
        <v>0</v>
      </c>
      <c r="H12709" s="21" t="n">
        <v>0</v>
      </c>
      <c r="I12709" s="21" t="n">
        <v>0</v>
      </c>
      <c r="J12709" s="21" t="n">
        <v>0</v>
      </c>
      <c r="K12709" s="21" t="n">
        <v>0</v>
      </c>
      <c r="L12709" s="21" t="n">
        <v>0</v>
      </c>
      <c r="M12709" s="21" t="n">
        <v>0</v>
      </c>
      <c r="N12709" s="21">
        <f>$B$12190</f>
        <v/>
      </c>
      <c r="O12709" s="21">
        <f>$B$12192</f>
        <v/>
      </c>
      <c r="P12709" s="21">
        <f>0</f>
        <v/>
      </c>
      <c r="Q12709" s="21">
        <f>2*$B$12191</f>
        <v/>
      </c>
      <c r="R12709" s="21">
        <f>-$B$12190</f>
        <v/>
      </c>
      <c r="S12709" s="21">
        <f>$B$12192</f>
        <v/>
      </c>
      <c r="T12709" s="21" t="n">
        <v>0</v>
      </c>
      <c r="U12709" s="21" t="n">
        <v>0</v>
      </c>
      <c r="V12709" s="21" t="n">
        <v>0</v>
      </c>
      <c r="W12709" s="21" t="n">
        <v>0</v>
      </c>
      <c r="X12709" s="21" t="n">
        <v>0</v>
      </c>
      <c r="Y12709" s="21" t="n">
        <v>0</v>
      </c>
      <c r="Z12709" s="19" t="n"/>
    </row>
    <row r="12710">
      <c r="D12710" s="21" t="n">
        <v>0</v>
      </c>
      <c r="E12710" s="21" t="n">
        <v>0</v>
      </c>
      <c r="F12710" s="21" t="n">
        <v>0</v>
      </c>
      <c r="G12710" s="21" t="n">
        <v>0</v>
      </c>
      <c r="H12710" s="21" t="n">
        <v>0</v>
      </c>
      <c r="I12710" s="21" t="n">
        <v>0</v>
      </c>
      <c r="J12710" s="21" t="n">
        <v>0</v>
      </c>
      <c r="K12710" s="21" t="n">
        <v>0</v>
      </c>
      <c r="L12710" s="21" t="n">
        <v>0</v>
      </c>
      <c r="M12710" s="21" t="n">
        <v>0</v>
      </c>
      <c r="N12710" s="21" t="n">
        <v>0</v>
      </c>
      <c r="O12710" s="21" t="n">
        <v>0</v>
      </c>
      <c r="P12710" s="21">
        <f>-$B$12189</f>
        <v/>
      </c>
      <c r="Q12710" s="21">
        <f>-$B$12190</f>
        <v/>
      </c>
      <c r="R12710" s="21">
        <f>2*$B$12189+$D$12691</f>
        <v/>
      </c>
      <c r="S12710" s="21">
        <f>0</f>
        <v/>
      </c>
      <c r="T12710" s="21">
        <f>-$B$12189</f>
        <v/>
      </c>
      <c r="U12710" s="21">
        <f>$B$12190</f>
        <v/>
      </c>
      <c r="V12710" s="21" t="n">
        <v>0</v>
      </c>
      <c r="W12710" s="21" t="n">
        <v>0</v>
      </c>
      <c r="X12710" s="21" t="n">
        <v>0</v>
      </c>
      <c r="Y12710" s="21" t="n">
        <v>0</v>
      </c>
      <c r="Z12710" s="19" t="n"/>
    </row>
    <row r="12711">
      <c r="D12711" s="21" t="n">
        <v>0</v>
      </c>
      <c r="E12711" s="21" t="n">
        <v>0</v>
      </c>
      <c r="F12711" s="21" t="n">
        <v>0</v>
      </c>
      <c r="G12711" s="21" t="n">
        <v>0</v>
      </c>
      <c r="H12711" s="21" t="n">
        <v>0</v>
      </c>
      <c r="I12711" s="21" t="n">
        <v>0</v>
      </c>
      <c r="J12711" s="21" t="n">
        <v>0</v>
      </c>
      <c r="K12711" s="21" t="n">
        <v>0</v>
      </c>
      <c r="L12711" s="21" t="n">
        <v>0</v>
      </c>
      <c r="M12711" s="21" t="n">
        <v>0</v>
      </c>
      <c r="N12711" s="21" t="n">
        <v>0</v>
      </c>
      <c r="O12711" s="21" t="n">
        <v>0</v>
      </c>
      <c r="P12711" s="21">
        <f>$B$12190</f>
        <v/>
      </c>
      <c r="Q12711" s="21">
        <f>$B$12192</f>
        <v/>
      </c>
      <c r="R12711" s="21">
        <f>0</f>
        <v/>
      </c>
      <c r="S12711" s="21">
        <f>2*$B$12191</f>
        <v/>
      </c>
      <c r="T12711" s="21">
        <f>-$B$12190</f>
        <v/>
      </c>
      <c r="U12711" s="21">
        <f>$B$12192</f>
        <v/>
      </c>
      <c r="V12711" s="21" t="n">
        <v>0</v>
      </c>
      <c r="W12711" s="21" t="n">
        <v>0</v>
      </c>
      <c r="X12711" s="21" t="n">
        <v>0</v>
      </c>
      <c r="Y12711" s="21" t="n">
        <v>0</v>
      </c>
      <c r="Z12711" s="19" t="n"/>
    </row>
    <row r="12712">
      <c r="D12712" s="21" t="n">
        <v>0</v>
      </c>
      <c r="E12712" s="21" t="n">
        <v>0</v>
      </c>
      <c r="F12712" s="21" t="n">
        <v>0</v>
      </c>
      <c r="G12712" s="21" t="n">
        <v>0</v>
      </c>
      <c r="H12712" s="21" t="n">
        <v>0</v>
      </c>
      <c r="I12712" s="21" t="n">
        <v>0</v>
      </c>
      <c r="J12712" s="21" t="n">
        <v>0</v>
      </c>
      <c r="K12712" s="21" t="n">
        <v>0</v>
      </c>
      <c r="L12712" s="21" t="n">
        <v>0</v>
      </c>
      <c r="M12712" s="21" t="n">
        <v>0</v>
      </c>
      <c r="N12712" s="21" t="n">
        <v>0</v>
      </c>
      <c r="O12712" s="21" t="n">
        <v>0</v>
      </c>
      <c r="P12712" s="21" t="n">
        <v>0</v>
      </c>
      <c r="Q12712" s="21" t="n">
        <v>0</v>
      </c>
      <c r="R12712" s="21">
        <f>-$B$12189</f>
        <v/>
      </c>
      <c r="S12712" s="21">
        <f>-$B$12190</f>
        <v/>
      </c>
      <c r="T12712" s="21">
        <f>2*$B$12189+$D$12692</f>
        <v/>
      </c>
      <c r="U12712" s="21">
        <f>0</f>
        <v/>
      </c>
      <c r="V12712" s="21">
        <f>-$B$12189</f>
        <v/>
      </c>
      <c r="W12712" s="21">
        <f>$B$12190</f>
        <v/>
      </c>
      <c r="X12712" s="21" t="n">
        <v>0</v>
      </c>
      <c r="Y12712" s="21" t="n">
        <v>0</v>
      </c>
      <c r="Z12712" s="19" t="n"/>
    </row>
    <row r="12713">
      <c r="D12713" s="21" t="n">
        <v>0</v>
      </c>
      <c r="E12713" s="21" t="n">
        <v>0</v>
      </c>
      <c r="F12713" s="21" t="n">
        <v>0</v>
      </c>
      <c r="G12713" s="21" t="n">
        <v>0</v>
      </c>
      <c r="H12713" s="21" t="n">
        <v>0</v>
      </c>
      <c r="I12713" s="21" t="n">
        <v>0</v>
      </c>
      <c r="J12713" s="21" t="n">
        <v>0</v>
      </c>
      <c r="K12713" s="21" t="n">
        <v>0</v>
      </c>
      <c r="L12713" s="21" t="n">
        <v>0</v>
      </c>
      <c r="M12713" s="21" t="n">
        <v>0</v>
      </c>
      <c r="N12713" s="21" t="n">
        <v>0</v>
      </c>
      <c r="O12713" s="21" t="n">
        <v>0</v>
      </c>
      <c r="P12713" s="21" t="n">
        <v>0</v>
      </c>
      <c r="Q12713" s="21" t="n">
        <v>0</v>
      </c>
      <c r="R12713" s="21">
        <f>$B$12190</f>
        <v/>
      </c>
      <c r="S12713" s="21">
        <f>$B$12192</f>
        <v/>
      </c>
      <c r="T12713" s="21">
        <f>0</f>
        <v/>
      </c>
      <c r="U12713" s="21">
        <f>2*$B$12191</f>
        <v/>
      </c>
      <c r="V12713" s="21">
        <f>-$B$12190</f>
        <v/>
      </c>
      <c r="W12713" s="21">
        <f>$B$12192</f>
        <v/>
      </c>
      <c r="X12713" s="21" t="n">
        <v>0</v>
      </c>
      <c r="Y12713" s="21" t="n">
        <v>0</v>
      </c>
      <c r="Z12713" s="19" t="n"/>
    </row>
    <row r="12714">
      <c r="D12714" s="21" t="n">
        <v>0</v>
      </c>
      <c r="E12714" s="21" t="n">
        <v>0</v>
      </c>
      <c r="F12714" s="21" t="n">
        <v>0</v>
      </c>
      <c r="G12714" s="21" t="n">
        <v>0</v>
      </c>
      <c r="H12714" s="21" t="n">
        <v>0</v>
      </c>
      <c r="I12714" s="21" t="n">
        <v>0</v>
      </c>
      <c r="J12714" s="21" t="n">
        <v>0</v>
      </c>
      <c r="K12714" s="21" t="n">
        <v>0</v>
      </c>
      <c r="L12714" s="21" t="n">
        <v>0</v>
      </c>
      <c r="M12714" s="21" t="n">
        <v>0</v>
      </c>
      <c r="N12714" s="21" t="n">
        <v>0</v>
      </c>
      <c r="O12714" s="21" t="n">
        <v>0</v>
      </c>
      <c r="P12714" s="21" t="n">
        <v>0</v>
      </c>
      <c r="Q12714" s="21" t="n">
        <v>0</v>
      </c>
      <c r="R12714" s="21" t="n">
        <v>0</v>
      </c>
      <c r="S12714" s="21" t="n">
        <v>0</v>
      </c>
      <c r="T12714" s="21">
        <f>-$B$12189</f>
        <v/>
      </c>
      <c r="U12714" s="21">
        <f>-$B$12190</f>
        <v/>
      </c>
      <c r="V12714" s="21">
        <f>2*$B$12189+$D$12693</f>
        <v/>
      </c>
      <c r="W12714" s="21">
        <f>0</f>
        <v/>
      </c>
      <c r="X12714" s="21">
        <f>-$B$12189</f>
        <v/>
      </c>
      <c r="Y12714" s="21">
        <f>$B$12190</f>
        <v/>
      </c>
      <c r="Z12714" s="19" t="n"/>
    </row>
    <row r="12715">
      <c r="D12715" s="21" t="n">
        <v>0</v>
      </c>
      <c r="E12715" s="21" t="n">
        <v>0</v>
      </c>
      <c r="F12715" s="21" t="n">
        <v>0</v>
      </c>
      <c r="G12715" s="21" t="n">
        <v>0</v>
      </c>
      <c r="H12715" s="21" t="n">
        <v>0</v>
      </c>
      <c r="I12715" s="21" t="n">
        <v>0</v>
      </c>
      <c r="J12715" s="21" t="n">
        <v>0</v>
      </c>
      <c r="K12715" s="21" t="n">
        <v>0</v>
      </c>
      <c r="L12715" s="21" t="n">
        <v>0</v>
      </c>
      <c r="M12715" s="21" t="n">
        <v>0</v>
      </c>
      <c r="N12715" s="21" t="n">
        <v>0</v>
      </c>
      <c r="O12715" s="21" t="n">
        <v>0</v>
      </c>
      <c r="P12715" s="21" t="n">
        <v>0</v>
      </c>
      <c r="Q12715" s="21" t="n">
        <v>0</v>
      </c>
      <c r="R12715" s="21" t="n">
        <v>0</v>
      </c>
      <c r="S12715" s="21" t="n">
        <v>0</v>
      </c>
      <c r="T12715" s="21">
        <f>$B$12190</f>
        <v/>
      </c>
      <c r="U12715" s="21">
        <f>$B$12192</f>
        <v/>
      </c>
      <c r="V12715" s="21">
        <f>0</f>
        <v/>
      </c>
      <c r="W12715" s="21">
        <f>2*$B$12191</f>
        <v/>
      </c>
      <c r="X12715" s="21">
        <f>-$B$12190</f>
        <v/>
      </c>
      <c r="Y12715" s="21">
        <f>$B$12192</f>
        <v/>
      </c>
      <c r="Z12715" s="19" t="n"/>
    </row>
    <row r="12716">
      <c r="D12716" s="21" t="n">
        <v>0</v>
      </c>
      <c r="E12716" s="21" t="n">
        <v>0</v>
      </c>
      <c r="F12716" s="21" t="n">
        <v>0</v>
      </c>
      <c r="G12716" s="21" t="n">
        <v>0</v>
      </c>
      <c r="H12716" s="21" t="n">
        <v>0</v>
      </c>
      <c r="I12716" s="21" t="n">
        <v>0</v>
      </c>
      <c r="J12716" s="21" t="n">
        <v>0</v>
      </c>
      <c r="K12716" s="21" t="n">
        <v>0</v>
      </c>
      <c r="L12716" s="21" t="n">
        <v>0</v>
      </c>
      <c r="M12716" s="21" t="n">
        <v>0</v>
      </c>
      <c r="N12716" s="21" t="n">
        <v>0</v>
      </c>
      <c r="O12716" s="21" t="n">
        <v>0</v>
      </c>
      <c r="P12716" s="21" t="n">
        <v>0</v>
      </c>
      <c r="Q12716" s="21" t="n">
        <v>0</v>
      </c>
      <c r="R12716" s="21" t="n">
        <v>0</v>
      </c>
      <c r="S12716" s="21" t="n">
        <v>0</v>
      </c>
      <c r="T12716" s="21" t="n">
        <v>0</v>
      </c>
      <c r="U12716" s="21" t="n">
        <v>0</v>
      </c>
      <c r="V12716" s="21">
        <f>-$B$12189</f>
        <v/>
      </c>
      <c r="W12716" s="21">
        <f>-$B$12190</f>
        <v/>
      </c>
      <c r="X12716" s="21">
        <f>$B$12189+$D$12694</f>
        <v/>
      </c>
      <c r="Y12716" s="21">
        <f>-$B$12190</f>
        <v/>
      </c>
      <c r="Z12716" s="19" t="n"/>
    </row>
    <row r="12717">
      <c r="D12717" s="21" t="n">
        <v>0</v>
      </c>
      <c r="E12717" s="21" t="n">
        <v>0</v>
      </c>
      <c r="F12717" s="21" t="n">
        <v>0</v>
      </c>
      <c r="G12717" s="21" t="n">
        <v>0</v>
      </c>
      <c r="H12717" s="21" t="n">
        <v>0</v>
      </c>
      <c r="I12717" s="21" t="n">
        <v>0</v>
      </c>
      <c r="J12717" s="21" t="n">
        <v>0</v>
      </c>
      <c r="K12717" s="21" t="n">
        <v>0</v>
      </c>
      <c r="L12717" s="21" t="n">
        <v>0</v>
      </c>
      <c r="M12717" s="21" t="n">
        <v>0</v>
      </c>
      <c r="N12717" s="21" t="n">
        <v>0</v>
      </c>
      <c r="O12717" s="21" t="n">
        <v>0</v>
      </c>
      <c r="P12717" s="21" t="n">
        <v>0</v>
      </c>
      <c r="Q12717" s="21" t="n">
        <v>0</v>
      </c>
      <c r="R12717" s="21" t="n">
        <v>0</v>
      </c>
      <c r="S12717" s="21" t="n">
        <v>0</v>
      </c>
      <c r="T12717" s="21" t="n">
        <v>0</v>
      </c>
      <c r="U12717" s="21" t="n">
        <v>0</v>
      </c>
      <c r="V12717" s="21">
        <f>$B$12190</f>
        <v/>
      </c>
      <c r="W12717" s="21">
        <f>$B$12192</f>
        <v/>
      </c>
      <c r="X12717" s="21">
        <f>-$B$12190</f>
        <v/>
      </c>
      <c r="Y12717" s="21">
        <f>$B$12191</f>
        <v/>
      </c>
      <c r="Z12717" s="19" t="n"/>
    </row>
    <row r="12719">
      <c r="A12719" s="8" t="inlineStr">
        <is>
          <t>gen 14</t>
        </is>
      </c>
    </row>
    <row r="12720">
      <c r="D12720" s="19">
        <f>IF(ABS(IF(ABS($E$12684)&gt;0.000000001,$E$12684,0.000000001))=0,0,IF($E$12204&lt;=$B$12198,0,IF(ABS(IF(ABS($E$12684)&gt;0.000000001,$E$12684,0.000000001))&gt;=8*$B$12200,$H$12204,0.5*$H$12204*(ABS(IF(ABS($E$12684)&gt;0.000000001,$E$12684,0.000000001))/$B$12200)^(1/3)))/ABS(IF(ABS($E$12684)&gt;0.000000001,$E$12684,0.000000001))*$I$12204)</f>
        <v/>
      </c>
      <c r="E12720" s="19">
        <f>0.5*$E$12684+0.5*$Z$12732</f>
        <v/>
      </c>
      <c r="F12720" s="19">
        <f>$Z$12733</f>
        <v/>
      </c>
    </row>
    <row r="12721">
      <c r="D12721" s="19">
        <f>IF(ABS(IF(ABS($E$12685)&gt;0.000000001,$E$12685,0.000000001))=0,0,IF($E$12205&lt;=$B$12198,0,IF(ABS(IF(ABS($E$12685)&gt;0.000000001,$E$12685,0.000000001))&gt;=8*$B$12200,$H$12205,0.5*$H$12205*(ABS(IF(ABS($E$12685)&gt;0.000000001,$E$12685,0.000000001))/$B$12200)^(1/3)))/ABS(IF(ABS($E$12685)&gt;0.000000001,$E$12685,0.000000001))*$I$12205)</f>
        <v/>
      </c>
      <c r="E12721" s="19">
        <f>0.5*$E$12685+0.5*$Z$12734</f>
        <v/>
      </c>
      <c r="F12721" s="19">
        <f>$Z$12735</f>
        <v/>
      </c>
    </row>
    <row r="12722">
      <c r="D12722" s="19">
        <f>IF(ABS(IF(ABS($E$12686)&gt;0.000000001,$E$12686,0.000000001))=0,0,IF($E$12206&lt;=$B$12198,0,IF(ABS(IF(ABS($E$12686)&gt;0.000000001,$E$12686,0.000000001))&gt;=8*$B$12200,$H$12206,0.5*$H$12206*(ABS(IF(ABS($E$12686)&gt;0.000000001,$E$12686,0.000000001))/$B$12200)^(1/3)))/ABS(IF(ABS($E$12686)&gt;0.000000001,$E$12686,0.000000001))*$I$12206)</f>
        <v/>
      </c>
      <c r="E12722" s="19">
        <f>0.5*$E$12686+0.5*$Z$12736</f>
        <v/>
      </c>
      <c r="F12722" s="19">
        <f>$Z$12737</f>
        <v/>
      </c>
    </row>
    <row r="12723">
      <c r="D12723" s="19">
        <f>IF(ABS(IF(ABS($E$12687)&gt;0.000000001,$E$12687,0.000000001))=0,0,IF($E$12207&lt;=$B$12198,0,IF(ABS(IF(ABS($E$12687)&gt;0.000000001,$E$12687,0.000000001))&gt;=8*$B$12200,$H$12207,0.5*$H$12207*(ABS(IF(ABS($E$12687)&gt;0.000000001,$E$12687,0.000000001))/$B$12200)^(1/3)))/ABS(IF(ABS($E$12687)&gt;0.000000001,$E$12687,0.000000001))*$I$12207)</f>
        <v/>
      </c>
      <c r="E12723" s="19">
        <f>0.5*$E$12687+0.5*$Z$12738</f>
        <v/>
      </c>
      <c r="F12723" s="19">
        <f>$Z$12739</f>
        <v/>
      </c>
    </row>
    <row r="12724">
      <c r="D12724" s="19">
        <f>IF(ABS(IF(ABS($E$12688)&gt;0.000000001,$E$12688,0.000000001))=0,0,IF($E$12208&lt;=$B$12198,0,IF(ABS(IF(ABS($E$12688)&gt;0.000000001,$E$12688,0.000000001))&gt;=8*$B$12200,$H$12208,0.5*$H$12208*(ABS(IF(ABS($E$12688)&gt;0.000000001,$E$12688,0.000000001))/$B$12200)^(1/3)))/ABS(IF(ABS($E$12688)&gt;0.000000001,$E$12688,0.000000001))*$I$12208)</f>
        <v/>
      </c>
      <c r="E12724" s="19">
        <f>0.5*$E$12688+0.5*$Z$12740</f>
        <v/>
      </c>
      <c r="F12724" s="19">
        <f>$Z$12741</f>
        <v/>
      </c>
    </row>
    <row r="12725">
      <c r="D12725" s="19">
        <f>IF(ABS(IF(ABS($E$12689)&gt;0.000000001,$E$12689,0.000000001))=0,0,IF($E$12209&lt;=$B$12198,0,IF(ABS(IF(ABS($E$12689)&gt;0.000000001,$E$12689,0.000000001))&gt;=8*$B$12200,$H$12209,0.5*$H$12209*(ABS(IF(ABS($E$12689)&gt;0.000000001,$E$12689,0.000000001))/$B$12200)^(1/3)))/ABS(IF(ABS($E$12689)&gt;0.000000001,$E$12689,0.000000001))*$I$12209)</f>
        <v/>
      </c>
      <c r="E12725" s="19">
        <f>0.5*$E$12689+0.5*$Z$12742</f>
        <v/>
      </c>
      <c r="F12725" s="19">
        <f>$Z$12743</f>
        <v/>
      </c>
    </row>
    <row r="12726">
      <c r="D12726" s="19">
        <f>IF(ABS(IF(ABS($E$12690)&gt;0.000000001,$E$12690,0.000000001))=0,0,IF($E$12210&lt;=$B$12198,0,IF(ABS(IF(ABS($E$12690)&gt;0.000000001,$E$12690,0.000000001))&gt;=8*$B$12200,$H$12210,0.5*$H$12210*(ABS(IF(ABS($E$12690)&gt;0.000000001,$E$12690,0.000000001))/$B$12200)^(1/3)))/ABS(IF(ABS($E$12690)&gt;0.000000001,$E$12690,0.000000001))*$I$12210)</f>
        <v/>
      </c>
      <c r="E12726" s="19">
        <f>0.5*$E$12690+0.5*$Z$12744</f>
        <v/>
      </c>
      <c r="F12726" s="19">
        <f>$Z$12745</f>
        <v/>
      </c>
    </row>
    <row r="12727">
      <c r="D12727" s="19">
        <f>IF(ABS(IF(ABS($E$12691)&gt;0.000000001,$E$12691,0.000000001))=0,0,IF($E$12211&lt;=$B$12198,0,IF(ABS(IF(ABS($E$12691)&gt;0.000000001,$E$12691,0.000000001))&gt;=8*$B$12200,$H$12211,0.5*$H$12211*(ABS(IF(ABS($E$12691)&gt;0.000000001,$E$12691,0.000000001))/$B$12200)^(1/3)))/ABS(IF(ABS($E$12691)&gt;0.000000001,$E$12691,0.000000001))*$I$12211)</f>
        <v/>
      </c>
      <c r="E12727" s="19">
        <f>0.5*$E$12691+0.5*$Z$12746</f>
        <v/>
      </c>
      <c r="F12727" s="19">
        <f>$Z$12747</f>
        <v/>
      </c>
    </row>
    <row r="12728">
      <c r="D12728" s="19">
        <f>IF(ABS(IF(ABS($E$12692)&gt;0.000000001,$E$12692,0.000000001))=0,0,IF($E$12212&lt;=$B$12198,0,IF(ABS(IF(ABS($E$12692)&gt;0.000000001,$E$12692,0.000000001))&gt;=8*$B$12200,$H$12212,0.5*$H$12212*(ABS(IF(ABS($E$12692)&gt;0.000000001,$E$12692,0.000000001))/$B$12200)^(1/3)))/ABS(IF(ABS($E$12692)&gt;0.000000001,$E$12692,0.000000001))*$I$12212)</f>
        <v/>
      </c>
      <c r="E12728" s="19">
        <f>0.5*$E$12692+0.5*$Z$12748</f>
        <v/>
      </c>
      <c r="F12728" s="19">
        <f>$Z$12749</f>
        <v/>
      </c>
    </row>
    <row r="12729">
      <c r="D12729" s="19">
        <f>IF(ABS(IF(ABS($E$12693)&gt;0.000000001,$E$12693,0.000000001))=0,0,IF($E$12213&lt;=$B$12198,0,IF(ABS(IF(ABS($E$12693)&gt;0.000000001,$E$12693,0.000000001))&gt;=8*$B$12200,$H$12213,0.5*$H$12213*(ABS(IF(ABS($E$12693)&gt;0.000000001,$E$12693,0.000000001))/$B$12200)^(1/3)))/ABS(IF(ABS($E$12693)&gt;0.000000001,$E$12693,0.000000001))*$I$12213)</f>
        <v/>
      </c>
      <c r="E12729" s="19">
        <f>0.5*$E$12693+0.5*$Z$12750</f>
        <v/>
      </c>
      <c r="F12729" s="19">
        <f>$Z$12751</f>
        <v/>
      </c>
    </row>
    <row r="12730">
      <c r="D12730" s="19">
        <f>IF(ABS(IF(ABS($E$12694)&gt;0.000000001,$E$12694,0.000000001))=0,0,IF($E$12214&lt;=$B$12198,0,IF(ABS(IF(ABS($E$12694)&gt;0.000000001,$E$12694,0.000000001))&gt;=8*$B$12200,$H$12214,0.5*$H$12214*(ABS(IF(ABS($E$12694)&gt;0.000000001,$E$12694,0.000000001))/$B$12200)^(1/3)))/ABS(IF(ABS($E$12694)&gt;0.000000001,$E$12694,0.000000001))*$I$12214)</f>
        <v/>
      </c>
      <c r="E12730" s="19">
        <f>0.5*$E$12694+0.5*$Z$12752</f>
        <v/>
      </c>
      <c r="F12730" s="19">
        <f>$Z$12753</f>
        <v/>
      </c>
    </row>
    <row r="12732">
      <c r="D12732" s="21">
        <f>$B$12189+$D$12720</f>
        <v/>
      </c>
      <c r="E12732" s="21">
        <f>$B$12190</f>
        <v/>
      </c>
      <c r="F12732" s="21">
        <f>-$B$12189</f>
        <v/>
      </c>
      <c r="G12732" s="21">
        <f>$B$12190</f>
        <v/>
      </c>
      <c r="H12732" s="21" t="n">
        <v>0</v>
      </c>
      <c r="I12732" s="21" t="n">
        <v>0</v>
      </c>
      <c r="J12732" s="21" t="n">
        <v>0</v>
      </c>
      <c r="K12732" s="21" t="n">
        <v>0</v>
      </c>
      <c r="L12732" s="21" t="n">
        <v>0</v>
      </c>
      <c r="M12732" s="21" t="n">
        <v>0</v>
      </c>
      <c r="N12732" s="21" t="n">
        <v>0</v>
      </c>
      <c r="O12732" s="21" t="n">
        <v>0</v>
      </c>
      <c r="P12732" s="21" t="n">
        <v>0</v>
      </c>
      <c r="Q12732" s="21" t="n">
        <v>0</v>
      </c>
      <c r="R12732" s="21" t="n">
        <v>0</v>
      </c>
      <c r="S12732" s="21" t="n">
        <v>0</v>
      </c>
      <c r="T12732" s="21" t="n">
        <v>0</v>
      </c>
      <c r="U12732" s="21" t="n">
        <v>0</v>
      </c>
      <c r="V12732" s="21" t="n">
        <v>0</v>
      </c>
      <c r="W12732" s="21" t="n">
        <v>0</v>
      </c>
      <c r="X12732" s="21" t="n">
        <v>0</v>
      </c>
      <c r="Y12732" s="21" t="n">
        <v>0</v>
      </c>
      <c r="Z12732" s="19">
        <f t="array" ref="Z12732:Z12753">MMULT(MINVERSE($D$12732:$Y$12753),$D$12216:$D$12237)</f>
        <v/>
      </c>
    </row>
    <row r="12733">
      <c r="D12733" s="21">
        <f>$B$12190</f>
        <v/>
      </c>
      <c r="E12733" s="21">
        <f>$B$12191</f>
        <v/>
      </c>
      <c r="F12733" s="21">
        <f>-$B$12190</f>
        <v/>
      </c>
      <c r="G12733" s="21">
        <f>$B$12192</f>
        <v/>
      </c>
      <c r="H12733" s="21" t="n">
        <v>0</v>
      </c>
      <c r="I12733" s="21" t="n">
        <v>0</v>
      </c>
      <c r="J12733" s="21" t="n">
        <v>0</v>
      </c>
      <c r="K12733" s="21" t="n">
        <v>0</v>
      </c>
      <c r="L12733" s="21" t="n">
        <v>0</v>
      </c>
      <c r="M12733" s="21" t="n">
        <v>0</v>
      </c>
      <c r="N12733" s="21" t="n">
        <v>0</v>
      </c>
      <c r="O12733" s="21" t="n">
        <v>0</v>
      </c>
      <c r="P12733" s="21" t="n">
        <v>0</v>
      </c>
      <c r="Q12733" s="21" t="n">
        <v>0</v>
      </c>
      <c r="R12733" s="21" t="n">
        <v>0</v>
      </c>
      <c r="S12733" s="21" t="n">
        <v>0</v>
      </c>
      <c r="T12733" s="21" t="n">
        <v>0</v>
      </c>
      <c r="U12733" s="21" t="n">
        <v>0</v>
      </c>
      <c r="V12733" s="21" t="n">
        <v>0</v>
      </c>
      <c r="W12733" s="21" t="n">
        <v>0</v>
      </c>
      <c r="X12733" s="21" t="n">
        <v>0</v>
      </c>
      <c r="Y12733" s="21" t="n">
        <v>0</v>
      </c>
      <c r="Z12733" s="19" t="n"/>
    </row>
    <row r="12734">
      <c r="D12734" s="21">
        <f>-$B$12189</f>
        <v/>
      </c>
      <c r="E12734" s="21">
        <f>-$B$12190</f>
        <v/>
      </c>
      <c r="F12734" s="21">
        <f>2*$B$12189+$D$12721</f>
        <v/>
      </c>
      <c r="G12734" s="21">
        <f>0</f>
        <v/>
      </c>
      <c r="H12734" s="21">
        <f>-$B$12189</f>
        <v/>
      </c>
      <c r="I12734" s="21">
        <f>$B$12190</f>
        <v/>
      </c>
      <c r="J12734" s="21" t="n">
        <v>0</v>
      </c>
      <c r="K12734" s="21" t="n">
        <v>0</v>
      </c>
      <c r="L12734" s="21" t="n">
        <v>0</v>
      </c>
      <c r="M12734" s="21" t="n">
        <v>0</v>
      </c>
      <c r="N12734" s="21" t="n">
        <v>0</v>
      </c>
      <c r="O12734" s="21" t="n">
        <v>0</v>
      </c>
      <c r="P12734" s="21" t="n">
        <v>0</v>
      </c>
      <c r="Q12734" s="21" t="n">
        <v>0</v>
      </c>
      <c r="R12734" s="21" t="n">
        <v>0</v>
      </c>
      <c r="S12734" s="21" t="n">
        <v>0</v>
      </c>
      <c r="T12734" s="21" t="n">
        <v>0</v>
      </c>
      <c r="U12734" s="21" t="n">
        <v>0</v>
      </c>
      <c r="V12734" s="21" t="n">
        <v>0</v>
      </c>
      <c r="W12734" s="21" t="n">
        <v>0</v>
      </c>
      <c r="X12734" s="21" t="n">
        <v>0</v>
      </c>
      <c r="Y12734" s="21" t="n">
        <v>0</v>
      </c>
      <c r="Z12734" s="19" t="n"/>
    </row>
    <row r="12735">
      <c r="D12735" s="21">
        <f>$B$12190</f>
        <v/>
      </c>
      <c r="E12735" s="21">
        <f>$B$12192</f>
        <v/>
      </c>
      <c r="F12735" s="21">
        <f>0</f>
        <v/>
      </c>
      <c r="G12735" s="21">
        <f>2*$B$12191</f>
        <v/>
      </c>
      <c r="H12735" s="21">
        <f>-$B$12190</f>
        <v/>
      </c>
      <c r="I12735" s="21">
        <f>$B$12192</f>
        <v/>
      </c>
      <c r="J12735" s="21" t="n">
        <v>0</v>
      </c>
      <c r="K12735" s="21" t="n">
        <v>0</v>
      </c>
      <c r="L12735" s="21" t="n">
        <v>0</v>
      </c>
      <c r="M12735" s="21" t="n">
        <v>0</v>
      </c>
      <c r="N12735" s="21" t="n">
        <v>0</v>
      </c>
      <c r="O12735" s="21" t="n">
        <v>0</v>
      </c>
      <c r="P12735" s="21" t="n">
        <v>0</v>
      </c>
      <c r="Q12735" s="21" t="n">
        <v>0</v>
      </c>
      <c r="R12735" s="21" t="n">
        <v>0</v>
      </c>
      <c r="S12735" s="21" t="n">
        <v>0</v>
      </c>
      <c r="T12735" s="21" t="n">
        <v>0</v>
      </c>
      <c r="U12735" s="21" t="n">
        <v>0</v>
      </c>
      <c r="V12735" s="21" t="n">
        <v>0</v>
      </c>
      <c r="W12735" s="21" t="n">
        <v>0</v>
      </c>
      <c r="X12735" s="21" t="n">
        <v>0</v>
      </c>
      <c r="Y12735" s="21" t="n">
        <v>0</v>
      </c>
      <c r="Z12735" s="19" t="n"/>
    </row>
    <row r="12736">
      <c r="D12736" s="21" t="n">
        <v>0</v>
      </c>
      <c r="E12736" s="21" t="n">
        <v>0</v>
      </c>
      <c r="F12736" s="21">
        <f>-$B$12189</f>
        <v/>
      </c>
      <c r="G12736" s="21">
        <f>-$B$12190</f>
        <v/>
      </c>
      <c r="H12736" s="21">
        <f>2*$B$12189+$D$12722</f>
        <v/>
      </c>
      <c r="I12736" s="21">
        <f>0</f>
        <v/>
      </c>
      <c r="J12736" s="21">
        <f>-$B$12189</f>
        <v/>
      </c>
      <c r="K12736" s="21">
        <f>$B$12190</f>
        <v/>
      </c>
      <c r="L12736" s="21" t="n">
        <v>0</v>
      </c>
      <c r="M12736" s="21" t="n">
        <v>0</v>
      </c>
      <c r="N12736" s="21" t="n">
        <v>0</v>
      </c>
      <c r="O12736" s="21" t="n">
        <v>0</v>
      </c>
      <c r="P12736" s="21" t="n">
        <v>0</v>
      </c>
      <c r="Q12736" s="21" t="n">
        <v>0</v>
      </c>
      <c r="R12736" s="21" t="n">
        <v>0</v>
      </c>
      <c r="S12736" s="21" t="n">
        <v>0</v>
      </c>
      <c r="T12736" s="21" t="n">
        <v>0</v>
      </c>
      <c r="U12736" s="21" t="n">
        <v>0</v>
      </c>
      <c r="V12736" s="21" t="n">
        <v>0</v>
      </c>
      <c r="W12736" s="21" t="n">
        <v>0</v>
      </c>
      <c r="X12736" s="21" t="n">
        <v>0</v>
      </c>
      <c r="Y12736" s="21" t="n">
        <v>0</v>
      </c>
      <c r="Z12736" s="19" t="n"/>
    </row>
    <row r="12737">
      <c r="D12737" s="21" t="n">
        <v>0</v>
      </c>
      <c r="E12737" s="21" t="n">
        <v>0</v>
      </c>
      <c r="F12737" s="21">
        <f>$B$12190</f>
        <v/>
      </c>
      <c r="G12737" s="21">
        <f>$B$12192</f>
        <v/>
      </c>
      <c r="H12737" s="21">
        <f>0</f>
        <v/>
      </c>
      <c r="I12737" s="21">
        <f>2*$B$12191</f>
        <v/>
      </c>
      <c r="J12737" s="21">
        <f>-$B$12190</f>
        <v/>
      </c>
      <c r="K12737" s="21">
        <f>$B$12192</f>
        <v/>
      </c>
      <c r="L12737" s="21" t="n">
        <v>0</v>
      </c>
      <c r="M12737" s="21" t="n">
        <v>0</v>
      </c>
      <c r="N12737" s="21" t="n">
        <v>0</v>
      </c>
      <c r="O12737" s="21" t="n">
        <v>0</v>
      </c>
      <c r="P12737" s="21" t="n">
        <v>0</v>
      </c>
      <c r="Q12737" s="21" t="n">
        <v>0</v>
      </c>
      <c r="R12737" s="21" t="n">
        <v>0</v>
      </c>
      <c r="S12737" s="21" t="n">
        <v>0</v>
      </c>
      <c r="T12737" s="21" t="n">
        <v>0</v>
      </c>
      <c r="U12737" s="21" t="n">
        <v>0</v>
      </c>
      <c r="V12737" s="21" t="n">
        <v>0</v>
      </c>
      <c r="W12737" s="21" t="n">
        <v>0</v>
      </c>
      <c r="X12737" s="21" t="n">
        <v>0</v>
      </c>
      <c r="Y12737" s="21" t="n">
        <v>0</v>
      </c>
      <c r="Z12737" s="19" t="n"/>
    </row>
    <row r="12738">
      <c r="D12738" s="21" t="n">
        <v>0</v>
      </c>
      <c r="E12738" s="21" t="n">
        <v>0</v>
      </c>
      <c r="F12738" s="21" t="n">
        <v>0</v>
      </c>
      <c r="G12738" s="21" t="n">
        <v>0</v>
      </c>
      <c r="H12738" s="21">
        <f>-$B$12189</f>
        <v/>
      </c>
      <c r="I12738" s="21">
        <f>-$B$12190</f>
        <v/>
      </c>
      <c r="J12738" s="21">
        <f>2*$B$12189+$D$12723</f>
        <v/>
      </c>
      <c r="K12738" s="21">
        <f>0</f>
        <v/>
      </c>
      <c r="L12738" s="21">
        <f>-$B$12189</f>
        <v/>
      </c>
      <c r="M12738" s="21">
        <f>$B$12190</f>
        <v/>
      </c>
      <c r="N12738" s="21" t="n">
        <v>0</v>
      </c>
      <c r="O12738" s="21" t="n">
        <v>0</v>
      </c>
      <c r="P12738" s="21" t="n">
        <v>0</v>
      </c>
      <c r="Q12738" s="21" t="n">
        <v>0</v>
      </c>
      <c r="R12738" s="21" t="n">
        <v>0</v>
      </c>
      <c r="S12738" s="21" t="n">
        <v>0</v>
      </c>
      <c r="T12738" s="21" t="n">
        <v>0</v>
      </c>
      <c r="U12738" s="21" t="n">
        <v>0</v>
      </c>
      <c r="V12738" s="21" t="n">
        <v>0</v>
      </c>
      <c r="W12738" s="21" t="n">
        <v>0</v>
      </c>
      <c r="X12738" s="21" t="n">
        <v>0</v>
      </c>
      <c r="Y12738" s="21" t="n">
        <v>0</v>
      </c>
      <c r="Z12738" s="19" t="n"/>
    </row>
    <row r="12739">
      <c r="D12739" s="21" t="n">
        <v>0</v>
      </c>
      <c r="E12739" s="21" t="n">
        <v>0</v>
      </c>
      <c r="F12739" s="21" t="n">
        <v>0</v>
      </c>
      <c r="G12739" s="21" t="n">
        <v>0</v>
      </c>
      <c r="H12739" s="21">
        <f>$B$12190</f>
        <v/>
      </c>
      <c r="I12739" s="21">
        <f>$B$12192</f>
        <v/>
      </c>
      <c r="J12739" s="21">
        <f>0</f>
        <v/>
      </c>
      <c r="K12739" s="21">
        <f>2*$B$12191</f>
        <v/>
      </c>
      <c r="L12739" s="21">
        <f>-$B$12190</f>
        <v/>
      </c>
      <c r="M12739" s="21">
        <f>$B$12192</f>
        <v/>
      </c>
      <c r="N12739" s="21" t="n">
        <v>0</v>
      </c>
      <c r="O12739" s="21" t="n">
        <v>0</v>
      </c>
      <c r="P12739" s="21" t="n">
        <v>0</v>
      </c>
      <c r="Q12739" s="21" t="n">
        <v>0</v>
      </c>
      <c r="R12739" s="21" t="n">
        <v>0</v>
      </c>
      <c r="S12739" s="21" t="n">
        <v>0</v>
      </c>
      <c r="T12739" s="21" t="n">
        <v>0</v>
      </c>
      <c r="U12739" s="21" t="n">
        <v>0</v>
      </c>
      <c r="V12739" s="21" t="n">
        <v>0</v>
      </c>
      <c r="W12739" s="21" t="n">
        <v>0</v>
      </c>
      <c r="X12739" s="21" t="n">
        <v>0</v>
      </c>
      <c r="Y12739" s="21" t="n">
        <v>0</v>
      </c>
      <c r="Z12739" s="19" t="n"/>
    </row>
    <row r="12740">
      <c r="D12740" s="21" t="n">
        <v>0</v>
      </c>
      <c r="E12740" s="21" t="n">
        <v>0</v>
      </c>
      <c r="F12740" s="21" t="n">
        <v>0</v>
      </c>
      <c r="G12740" s="21" t="n">
        <v>0</v>
      </c>
      <c r="H12740" s="21" t="n">
        <v>0</v>
      </c>
      <c r="I12740" s="21" t="n">
        <v>0</v>
      </c>
      <c r="J12740" s="21">
        <f>-$B$12189</f>
        <v/>
      </c>
      <c r="K12740" s="21">
        <f>-$B$12190</f>
        <v/>
      </c>
      <c r="L12740" s="21">
        <f>2*$B$12189+$D$12724</f>
        <v/>
      </c>
      <c r="M12740" s="21">
        <f>0</f>
        <v/>
      </c>
      <c r="N12740" s="21">
        <f>-$B$12189</f>
        <v/>
      </c>
      <c r="O12740" s="21">
        <f>$B$12190</f>
        <v/>
      </c>
      <c r="P12740" s="21" t="n">
        <v>0</v>
      </c>
      <c r="Q12740" s="21" t="n">
        <v>0</v>
      </c>
      <c r="R12740" s="21" t="n">
        <v>0</v>
      </c>
      <c r="S12740" s="21" t="n">
        <v>0</v>
      </c>
      <c r="T12740" s="21" t="n">
        <v>0</v>
      </c>
      <c r="U12740" s="21" t="n">
        <v>0</v>
      </c>
      <c r="V12740" s="21" t="n">
        <v>0</v>
      </c>
      <c r="W12740" s="21" t="n">
        <v>0</v>
      </c>
      <c r="X12740" s="21" t="n">
        <v>0</v>
      </c>
      <c r="Y12740" s="21" t="n">
        <v>0</v>
      </c>
      <c r="Z12740" s="19" t="n"/>
    </row>
    <row r="12741">
      <c r="D12741" s="21" t="n">
        <v>0</v>
      </c>
      <c r="E12741" s="21" t="n">
        <v>0</v>
      </c>
      <c r="F12741" s="21" t="n">
        <v>0</v>
      </c>
      <c r="G12741" s="21" t="n">
        <v>0</v>
      </c>
      <c r="H12741" s="21" t="n">
        <v>0</v>
      </c>
      <c r="I12741" s="21" t="n">
        <v>0</v>
      </c>
      <c r="J12741" s="21">
        <f>$B$12190</f>
        <v/>
      </c>
      <c r="K12741" s="21">
        <f>$B$12192</f>
        <v/>
      </c>
      <c r="L12741" s="21">
        <f>0</f>
        <v/>
      </c>
      <c r="M12741" s="21">
        <f>2*$B$12191</f>
        <v/>
      </c>
      <c r="N12741" s="21">
        <f>-$B$12190</f>
        <v/>
      </c>
      <c r="O12741" s="21">
        <f>$B$12192</f>
        <v/>
      </c>
      <c r="P12741" s="21" t="n">
        <v>0</v>
      </c>
      <c r="Q12741" s="21" t="n">
        <v>0</v>
      </c>
      <c r="R12741" s="21" t="n">
        <v>0</v>
      </c>
      <c r="S12741" s="21" t="n">
        <v>0</v>
      </c>
      <c r="T12741" s="21" t="n">
        <v>0</v>
      </c>
      <c r="U12741" s="21" t="n">
        <v>0</v>
      </c>
      <c r="V12741" s="21" t="n">
        <v>0</v>
      </c>
      <c r="W12741" s="21" t="n">
        <v>0</v>
      </c>
      <c r="X12741" s="21" t="n">
        <v>0</v>
      </c>
      <c r="Y12741" s="21" t="n">
        <v>0</v>
      </c>
      <c r="Z12741" s="19" t="n"/>
    </row>
    <row r="12742">
      <c r="D12742" s="21" t="n">
        <v>0</v>
      </c>
      <c r="E12742" s="21" t="n">
        <v>0</v>
      </c>
      <c r="F12742" s="21" t="n">
        <v>0</v>
      </c>
      <c r="G12742" s="21" t="n">
        <v>0</v>
      </c>
      <c r="H12742" s="21" t="n">
        <v>0</v>
      </c>
      <c r="I12742" s="21" t="n">
        <v>0</v>
      </c>
      <c r="J12742" s="21" t="n">
        <v>0</v>
      </c>
      <c r="K12742" s="21" t="n">
        <v>0</v>
      </c>
      <c r="L12742" s="21">
        <f>-$B$12189</f>
        <v/>
      </c>
      <c r="M12742" s="21">
        <f>-$B$12190</f>
        <v/>
      </c>
      <c r="N12742" s="21">
        <f>2*$B$12189+$D$12725</f>
        <v/>
      </c>
      <c r="O12742" s="21">
        <f>0</f>
        <v/>
      </c>
      <c r="P12742" s="21">
        <f>-$B$12189</f>
        <v/>
      </c>
      <c r="Q12742" s="21">
        <f>$B$12190</f>
        <v/>
      </c>
      <c r="R12742" s="21" t="n">
        <v>0</v>
      </c>
      <c r="S12742" s="21" t="n">
        <v>0</v>
      </c>
      <c r="T12742" s="21" t="n">
        <v>0</v>
      </c>
      <c r="U12742" s="21" t="n">
        <v>0</v>
      </c>
      <c r="V12742" s="21" t="n">
        <v>0</v>
      </c>
      <c r="W12742" s="21" t="n">
        <v>0</v>
      </c>
      <c r="X12742" s="21" t="n">
        <v>0</v>
      </c>
      <c r="Y12742" s="21" t="n">
        <v>0</v>
      </c>
      <c r="Z12742" s="19" t="n"/>
    </row>
    <row r="12743">
      <c r="D12743" s="21" t="n">
        <v>0</v>
      </c>
      <c r="E12743" s="21" t="n">
        <v>0</v>
      </c>
      <c r="F12743" s="21" t="n">
        <v>0</v>
      </c>
      <c r="G12743" s="21" t="n">
        <v>0</v>
      </c>
      <c r="H12743" s="21" t="n">
        <v>0</v>
      </c>
      <c r="I12743" s="21" t="n">
        <v>0</v>
      </c>
      <c r="J12743" s="21" t="n">
        <v>0</v>
      </c>
      <c r="K12743" s="21" t="n">
        <v>0</v>
      </c>
      <c r="L12743" s="21">
        <f>$B$12190</f>
        <v/>
      </c>
      <c r="M12743" s="21">
        <f>$B$12192</f>
        <v/>
      </c>
      <c r="N12743" s="21">
        <f>0</f>
        <v/>
      </c>
      <c r="O12743" s="21">
        <f>2*$B$12191</f>
        <v/>
      </c>
      <c r="P12743" s="21">
        <f>-$B$12190</f>
        <v/>
      </c>
      <c r="Q12743" s="21">
        <f>$B$12192</f>
        <v/>
      </c>
      <c r="R12743" s="21" t="n">
        <v>0</v>
      </c>
      <c r="S12743" s="21" t="n">
        <v>0</v>
      </c>
      <c r="T12743" s="21" t="n">
        <v>0</v>
      </c>
      <c r="U12743" s="21" t="n">
        <v>0</v>
      </c>
      <c r="V12743" s="21" t="n">
        <v>0</v>
      </c>
      <c r="W12743" s="21" t="n">
        <v>0</v>
      </c>
      <c r="X12743" s="21" t="n">
        <v>0</v>
      </c>
      <c r="Y12743" s="21" t="n">
        <v>0</v>
      </c>
      <c r="Z12743" s="19" t="n"/>
    </row>
    <row r="12744">
      <c r="D12744" s="21" t="n">
        <v>0</v>
      </c>
      <c r="E12744" s="21" t="n">
        <v>0</v>
      </c>
      <c r="F12744" s="21" t="n">
        <v>0</v>
      </c>
      <c r="G12744" s="21" t="n">
        <v>0</v>
      </c>
      <c r="H12744" s="21" t="n">
        <v>0</v>
      </c>
      <c r="I12744" s="21" t="n">
        <v>0</v>
      </c>
      <c r="J12744" s="21" t="n">
        <v>0</v>
      </c>
      <c r="K12744" s="21" t="n">
        <v>0</v>
      </c>
      <c r="L12744" s="21" t="n">
        <v>0</v>
      </c>
      <c r="M12744" s="21" t="n">
        <v>0</v>
      </c>
      <c r="N12744" s="21">
        <f>-$B$12189</f>
        <v/>
      </c>
      <c r="O12744" s="21">
        <f>-$B$12190</f>
        <v/>
      </c>
      <c r="P12744" s="21">
        <f>2*$B$12189+$D$12726</f>
        <v/>
      </c>
      <c r="Q12744" s="21">
        <f>0</f>
        <v/>
      </c>
      <c r="R12744" s="21">
        <f>-$B$12189</f>
        <v/>
      </c>
      <c r="S12744" s="21">
        <f>$B$12190</f>
        <v/>
      </c>
      <c r="T12744" s="21" t="n">
        <v>0</v>
      </c>
      <c r="U12744" s="21" t="n">
        <v>0</v>
      </c>
      <c r="V12744" s="21" t="n">
        <v>0</v>
      </c>
      <c r="W12744" s="21" t="n">
        <v>0</v>
      </c>
      <c r="X12744" s="21" t="n">
        <v>0</v>
      </c>
      <c r="Y12744" s="21" t="n">
        <v>0</v>
      </c>
      <c r="Z12744" s="19" t="n"/>
    </row>
    <row r="12745">
      <c r="D12745" s="21" t="n">
        <v>0</v>
      </c>
      <c r="E12745" s="21" t="n">
        <v>0</v>
      </c>
      <c r="F12745" s="21" t="n">
        <v>0</v>
      </c>
      <c r="G12745" s="21" t="n">
        <v>0</v>
      </c>
      <c r="H12745" s="21" t="n">
        <v>0</v>
      </c>
      <c r="I12745" s="21" t="n">
        <v>0</v>
      </c>
      <c r="J12745" s="21" t="n">
        <v>0</v>
      </c>
      <c r="K12745" s="21" t="n">
        <v>0</v>
      </c>
      <c r="L12745" s="21" t="n">
        <v>0</v>
      </c>
      <c r="M12745" s="21" t="n">
        <v>0</v>
      </c>
      <c r="N12745" s="21">
        <f>$B$12190</f>
        <v/>
      </c>
      <c r="O12745" s="21">
        <f>$B$12192</f>
        <v/>
      </c>
      <c r="P12745" s="21">
        <f>0</f>
        <v/>
      </c>
      <c r="Q12745" s="21">
        <f>2*$B$12191</f>
        <v/>
      </c>
      <c r="R12745" s="21">
        <f>-$B$12190</f>
        <v/>
      </c>
      <c r="S12745" s="21">
        <f>$B$12192</f>
        <v/>
      </c>
      <c r="T12745" s="21" t="n">
        <v>0</v>
      </c>
      <c r="U12745" s="21" t="n">
        <v>0</v>
      </c>
      <c r="V12745" s="21" t="n">
        <v>0</v>
      </c>
      <c r="W12745" s="21" t="n">
        <v>0</v>
      </c>
      <c r="X12745" s="21" t="n">
        <v>0</v>
      </c>
      <c r="Y12745" s="21" t="n">
        <v>0</v>
      </c>
      <c r="Z12745" s="19" t="n"/>
    </row>
    <row r="12746">
      <c r="D12746" s="21" t="n">
        <v>0</v>
      </c>
      <c r="E12746" s="21" t="n">
        <v>0</v>
      </c>
      <c r="F12746" s="21" t="n">
        <v>0</v>
      </c>
      <c r="G12746" s="21" t="n">
        <v>0</v>
      </c>
      <c r="H12746" s="21" t="n">
        <v>0</v>
      </c>
      <c r="I12746" s="21" t="n">
        <v>0</v>
      </c>
      <c r="J12746" s="21" t="n">
        <v>0</v>
      </c>
      <c r="K12746" s="21" t="n">
        <v>0</v>
      </c>
      <c r="L12746" s="21" t="n">
        <v>0</v>
      </c>
      <c r="M12746" s="21" t="n">
        <v>0</v>
      </c>
      <c r="N12746" s="21" t="n">
        <v>0</v>
      </c>
      <c r="O12746" s="21" t="n">
        <v>0</v>
      </c>
      <c r="P12746" s="21">
        <f>-$B$12189</f>
        <v/>
      </c>
      <c r="Q12746" s="21">
        <f>-$B$12190</f>
        <v/>
      </c>
      <c r="R12746" s="21">
        <f>2*$B$12189+$D$12727</f>
        <v/>
      </c>
      <c r="S12746" s="21">
        <f>0</f>
        <v/>
      </c>
      <c r="T12746" s="21">
        <f>-$B$12189</f>
        <v/>
      </c>
      <c r="U12746" s="21">
        <f>$B$12190</f>
        <v/>
      </c>
      <c r="V12746" s="21" t="n">
        <v>0</v>
      </c>
      <c r="W12746" s="21" t="n">
        <v>0</v>
      </c>
      <c r="X12746" s="21" t="n">
        <v>0</v>
      </c>
      <c r="Y12746" s="21" t="n">
        <v>0</v>
      </c>
      <c r="Z12746" s="19" t="n"/>
    </row>
    <row r="12747">
      <c r="D12747" s="21" t="n">
        <v>0</v>
      </c>
      <c r="E12747" s="21" t="n">
        <v>0</v>
      </c>
      <c r="F12747" s="21" t="n">
        <v>0</v>
      </c>
      <c r="G12747" s="21" t="n">
        <v>0</v>
      </c>
      <c r="H12747" s="21" t="n">
        <v>0</v>
      </c>
      <c r="I12747" s="21" t="n">
        <v>0</v>
      </c>
      <c r="J12747" s="21" t="n">
        <v>0</v>
      </c>
      <c r="K12747" s="21" t="n">
        <v>0</v>
      </c>
      <c r="L12747" s="21" t="n">
        <v>0</v>
      </c>
      <c r="M12747" s="21" t="n">
        <v>0</v>
      </c>
      <c r="N12747" s="21" t="n">
        <v>0</v>
      </c>
      <c r="O12747" s="21" t="n">
        <v>0</v>
      </c>
      <c r="P12747" s="21">
        <f>$B$12190</f>
        <v/>
      </c>
      <c r="Q12747" s="21">
        <f>$B$12192</f>
        <v/>
      </c>
      <c r="R12747" s="21">
        <f>0</f>
        <v/>
      </c>
      <c r="S12747" s="21">
        <f>2*$B$12191</f>
        <v/>
      </c>
      <c r="T12747" s="21">
        <f>-$B$12190</f>
        <v/>
      </c>
      <c r="U12747" s="21">
        <f>$B$12192</f>
        <v/>
      </c>
      <c r="V12747" s="21" t="n">
        <v>0</v>
      </c>
      <c r="W12747" s="21" t="n">
        <v>0</v>
      </c>
      <c r="X12747" s="21" t="n">
        <v>0</v>
      </c>
      <c r="Y12747" s="21" t="n">
        <v>0</v>
      </c>
      <c r="Z12747" s="19" t="n"/>
    </row>
    <row r="12748">
      <c r="D12748" s="21" t="n">
        <v>0</v>
      </c>
      <c r="E12748" s="21" t="n">
        <v>0</v>
      </c>
      <c r="F12748" s="21" t="n">
        <v>0</v>
      </c>
      <c r="G12748" s="21" t="n">
        <v>0</v>
      </c>
      <c r="H12748" s="21" t="n">
        <v>0</v>
      </c>
      <c r="I12748" s="21" t="n">
        <v>0</v>
      </c>
      <c r="J12748" s="21" t="n">
        <v>0</v>
      </c>
      <c r="K12748" s="21" t="n">
        <v>0</v>
      </c>
      <c r="L12748" s="21" t="n">
        <v>0</v>
      </c>
      <c r="M12748" s="21" t="n">
        <v>0</v>
      </c>
      <c r="N12748" s="21" t="n">
        <v>0</v>
      </c>
      <c r="O12748" s="21" t="n">
        <v>0</v>
      </c>
      <c r="P12748" s="21" t="n">
        <v>0</v>
      </c>
      <c r="Q12748" s="21" t="n">
        <v>0</v>
      </c>
      <c r="R12748" s="21">
        <f>-$B$12189</f>
        <v/>
      </c>
      <c r="S12748" s="21">
        <f>-$B$12190</f>
        <v/>
      </c>
      <c r="T12748" s="21">
        <f>2*$B$12189+$D$12728</f>
        <v/>
      </c>
      <c r="U12748" s="21">
        <f>0</f>
        <v/>
      </c>
      <c r="V12748" s="21">
        <f>-$B$12189</f>
        <v/>
      </c>
      <c r="W12748" s="21">
        <f>$B$12190</f>
        <v/>
      </c>
      <c r="X12748" s="21" t="n">
        <v>0</v>
      </c>
      <c r="Y12748" s="21" t="n">
        <v>0</v>
      </c>
      <c r="Z12748" s="19" t="n"/>
    </row>
    <row r="12749">
      <c r="D12749" s="21" t="n">
        <v>0</v>
      </c>
      <c r="E12749" s="21" t="n">
        <v>0</v>
      </c>
      <c r="F12749" s="21" t="n">
        <v>0</v>
      </c>
      <c r="G12749" s="21" t="n">
        <v>0</v>
      </c>
      <c r="H12749" s="21" t="n">
        <v>0</v>
      </c>
      <c r="I12749" s="21" t="n">
        <v>0</v>
      </c>
      <c r="J12749" s="21" t="n">
        <v>0</v>
      </c>
      <c r="K12749" s="21" t="n">
        <v>0</v>
      </c>
      <c r="L12749" s="21" t="n">
        <v>0</v>
      </c>
      <c r="M12749" s="21" t="n">
        <v>0</v>
      </c>
      <c r="N12749" s="21" t="n">
        <v>0</v>
      </c>
      <c r="O12749" s="21" t="n">
        <v>0</v>
      </c>
      <c r="P12749" s="21" t="n">
        <v>0</v>
      </c>
      <c r="Q12749" s="21" t="n">
        <v>0</v>
      </c>
      <c r="R12749" s="21">
        <f>$B$12190</f>
        <v/>
      </c>
      <c r="S12749" s="21">
        <f>$B$12192</f>
        <v/>
      </c>
      <c r="T12749" s="21">
        <f>0</f>
        <v/>
      </c>
      <c r="U12749" s="21">
        <f>2*$B$12191</f>
        <v/>
      </c>
      <c r="V12749" s="21">
        <f>-$B$12190</f>
        <v/>
      </c>
      <c r="W12749" s="21">
        <f>$B$12192</f>
        <v/>
      </c>
      <c r="X12749" s="21" t="n">
        <v>0</v>
      </c>
      <c r="Y12749" s="21" t="n">
        <v>0</v>
      </c>
      <c r="Z12749" s="19" t="n"/>
    </row>
    <row r="12750">
      <c r="D12750" s="21" t="n">
        <v>0</v>
      </c>
      <c r="E12750" s="21" t="n">
        <v>0</v>
      </c>
      <c r="F12750" s="21" t="n">
        <v>0</v>
      </c>
      <c r="G12750" s="21" t="n">
        <v>0</v>
      </c>
      <c r="H12750" s="21" t="n">
        <v>0</v>
      </c>
      <c r="I12750" s="21" t="n">
        <v>0</v>
      </c>
      <c r="J12750" s="21" t="n">
        <v>0</v>
      </c>
      <c r="K12750" s="21" t="n">
        <v>0</v>
      </c>
      <c r="L12750" s="21" t="n">
        <v>0</v>
      </c>
      <c r="M12750" s="21" t="n">
        <v>0</v>
      </c>
      <c r="N12750" s="21" t="n">
        <v>0</v>
      </c>
      <c r="O12750" s="21" t="n">
        <v>0</v>
      </c>
      <c r="P12750" s="21" t="n">
        <v>0</v>
      </c>
      <c r="Q12750" s="21" t="n">
        <v>0</v>
      </c>
      <c r="R12750" s="21" t="n">
        <v>0</v>
      </c>
      <c r="S12750" s="21" t="n">
        <v>0</v>
      </c>
      <c r="T12750" s="21">
        <f>-$B$12189</f>
        <v/>
      </c>
      <c r="U12750" s="21">
        <f>-$B$12190</f>
        <v/>
      </c>
      <c r="V12750" s="21">
        <f>2*$B$12189+$D$12729</f>
        <v/>
      </c>
      <c r="W12750" s="21">
        <f>0</f>
        <v/>
      </c>
      <c r="X12750" s="21">
        <f>-$B$12189</f>
        <v/>
      </c>
      <c r="Y12750" s="21">
        <f>$B$12190</f>
        <v/>
      </c>
      <c r="Z12750" s="19" t="n"/>
    </row>
    <row r="12751">
      <c r="D12751" s="21" t="n">
        <v>0</v>
      </c>
      <c r="E12751" s="21" t="n">
        <v>0</v>
      </c>
      <c r="F12751" s="21" t="n">
        <v>0</v>
      </c>
      <c r="G12751" s="21" t="n">
        <v>0</v>
      </c>
      <c r="H12751" s="21" t="n">
        <v>0</v>
      </c>
      <c r="I12751" s="21" t="n">
        <v>0</v>
      </c>
      <c r="J12751" s="21" t="n">
        <v>0</v>
      </c>
      <c r="K12751" s="21" t="n">
        <v>0</v>
      </c>
      <c r="L12751" s="21" t="n">
        <v>0</v>
      </c>
      <c r="M12751" s="21" t="n">
        <v>0</v>
      </c>
      <c r="N12751" s="21" t="n">
        <v>0</v>
      </c>
      <c r="O12751" s="21" t="n">
        <v>0</v>
      </c>
      <c r="P12751" s="21" t="n">
        <v>0</v>
      </c>
      <c r="Q12751" s="21" t="n">
        <v>0</v>
      </c>
      <c r="R12751" s="21" t="n">
        <v>0</v>
      </c>
      <c r="S12751" s="21" t="n">
        <v>0</v>
      </c>
      <c r="T12751" s="21">
        <f>$B$12190</f>
        <v/>
      </c>
      <c r="U12751" s="21">
        <f>$B$12192</f>
        <v/>
      </c>
      <c r="V12751" s="21">
        <f>0</f>
        <v/>
      </c>
      <c r="W12751" s="21">
        <f>2*$B$12191</f>
        <v/>
      </c>
      <c r="X12751" s="21">
        <f>-$B$12190</f>
        <v/>
      </c>
      <c r="Y12751" s="21">
        <f>$B$12192</f>
        <v/>
      </c>
      <c r="Z12751" s="19" t="n"/>
    </row>
    <row r="12752">
      <c r="D12752" s="21" t="n">
        <v>0</v>
      </c>
      <c r="E12752" s="21" t="n">
        <v>0</v>
      </c>
      <c r="F12752" s="21" t="n">
        <v>0</v>
      </c>
      <c r="G12752" s="21" t="n">
        <v>0</v>
      </c>
      <c r="H12752" s="21" t="n">
        <v>0</v>
      </c>
      <c r="I12752" s="21" t="n">
        <v>0</v>
      </c>
      <c r="J12752" s="21" t="n">
        <v>0</v>
      </c>
      <c r="K12752" s="21" t="n">
        <v>0</v>
      </c>
      <c r="L12752" s="21" t="n">
        <v>0</v>
      </c>
      <c r="M12752" s="21" t="n">
        <v>0</v>
      </c>
      <c r="N12752" s="21" t="n">
        <v>0</v>
      </c>
      <c r="O12752" s="21" t="n">
        <v>0</v>
      </c>
      <c r="P12752" s="21" t="n">
        <v>0</v>
      </c>
      <c r="Q12752" s="21" t="n">
        <v>0</v>
      </c>
      <c r="R12752" s="21" t="n">
        <v>0</v>
      </c>
      <c r="S12752" s="21" t="n">
        <v>0</v>
      </c>
      <c r="T12752" s="21" t="n">
        <v>0</v>
      </c>
      <c r="U12752" s="21" t="n">
        <v>0</v>
      </c>
      <c r="V12752" s="21">
        <f>-$B$12189</f>
        <v/>
      </c>
      <c r="W12752" s="21">
        <f>-$B$12190</f>
        <v/>
      </c>
      <c r="X12752" s="21">
        <f>$B$12189+$D$12730</f>
        <v/>
      </c>
      <c r="Y12752" s="21">
        <f>-$B$12190</f>
        <v/>
      </c>
      <c r="Z12752" s="19" t="n"/>
    </row>
    <row r="12753">
      <c r="D12753" s="21" t="n">
        <v>0</v>
      </c>
      <c r="E12753" s="21" t="n">
        <v>0</v>
      </c>
      <c r="F12753" s="21" t="n">
        <v>0</v>
      </c>
      <c r="G12753" s="21" t="n">
        <v>0</v>
      </c>
      <c r="H12753" s="21" t="n">
        <v>0</v>
      </c>
      <c r="I12753" s="21" t="n">
        <v>0</v>
      </c>
      <c r="J12753" s="21" t="n">
        <v>0</v>
      </c>
      <c r="K12753" s="21" t="n">
        <v>0</v>
      </c>
      <c r="L12753" s="21" t="n">
        <v>0</v>
      </c>
      <c r="M12753" s="21" t="n">
        <v>0</v>
      </c>
      <c r="N12753" s="21" t="n">
        <v>0</v>
      </c>
      <c r="O12753" s="21" t="n">
        <v>0</v>
      </c>
      <c r="P12753" s="21" t="n">
        <v>0</v>
      </c>
      <c r="Q12753" s="21" t="n">
        <v>0</v>
      </c>
      <c r="R12753" s="21" t="n">
        <v>0</v>
      </c>
      <c r="S12753" s="21" t="n">
        <v>0</v>
      </c>
      <c r="T12753" s="21" t="n">
        <v>0</v>
      </c>
      <c r="U12753" s="21" t="n">
        <v>0</v>
      </c>
      <c r="V12753" s="21">
        <f>$B$12190</f>
        <v/>
      </c>
      <c r="W12753" s="21">
        <f>$B$12192</f>
        <v/>
      </c>
      <c r="X12753" s="21">
        <f>-$B$12190</f>
        <v/>
      </c>
      <c r="Y12753" s="21">
        <f>$B$12191</f>
        <v/>
      </c>
      <c r="Z12753" s="19" t="n"/>
    </row>
    <row r="12755">
      <c r="A12755" s="8" t="inlineStr">
        <is>
          <t>gen 15</t>
        </is>
      </c>
    </row>
    <row r="12756">
      <c r="D12756" s="19">
        <f>IF(ABS(IF(ABS($E$12720)&gt;0.000000001,$E$12720,0.000000001))=0,0,IF($E$12204&lt;=$B$12198,0,IF(ABS(IF(ABS($E$12720)&gt;0.000000001,$E$12720,0.000000001))&gt;=8*$B$12200,$H$12204,0.5*$H$12204*(ABS(IF(ABS($E$12720)&gt;0.000000001,$E$12720,0.000000001))/$B$12200)^(1/3)))/ABS(IF(ABS($E$12720)&gt;0.000000001,$E$12720,0.000000001))*$I$12204)</f>
        <v/>
      </c>
      <c r="E12756" s="19">
        <f>0.5*$E$12720+0.5*$Z$12768</f>
        <v/>
      </c>
      <c r="F12756" s="19">
        <f>$Z$12769</f>
        <v/>
      </c>
    </row>
    <row r="12757">
      <c r="D12757" s="19">
        <f>IF(ABS(IF(ABS($E$12721)&gt;0.000000001,$E$12721,0.000000001))=0,0,IF($E$12205&lt;=$B$12198,0,IF(ABS(IF(ABS($E$12721)&gt;0.000000001,$E$12721,0.000000001))&gt;=8*$B$12200,$H$12205,0.5*$H$12205*(ABS(IF(ABS($E$12721)&gt;0.000000001,$E$12721,0.000000001))/$B$12200)^(1/3)))/ABS(IF(ABS($E$12721)&gt;0.000000001,$E$12721,0.000000001))*$I$12205)</f>
        <v/>
      </c>
      <c r="E12757" s="19">
        <f>0.5*$E$12721+0.5*$Z$12770</f>
        <v/>
      </c>
      <c r="F12757" s="19">
        <f>$Z$12771</f>
        <v/>
      </c>
    </row>
    <row r="12758">
      <c r="D12758" s="19">
        <f>IF(ABS(IF(ABS($E$12722)&gt;0.000000001,$E$12722,0.000000001))=0,0,IF($E$12206&lt;=$B$12198,0,IF(ABS(IF(ABS($E$12722)&gt;0.000000001,$E$12722,0.000000001))&gt;=8*$B$12200,$H$12206,0.5*$H$12206*(ABS(IF(ABS($E$12722)&gt;0.000000001,$E$12722,0.000000001))/$B$12200)^(1/3)))/ABS(IF(ABS($E$12722)&gt;0.000000001,$E$12722,0.000000001))*$I$12206)</f>
        <v/>
      </c>
      <c r="E12758" s="19">
        <f>0.5*$E$12722+0.5*$Z$12772</f>
        <v/>
      </c>
      <c r="F12758" s="19">
        <f>$Z$12773</f>
        <v/>
      </c>
    </row>
    <row r="12759">
      <c r="D12759" s="19">
        <f>IF(ABS(IF(ABS($E$12723)&gt;0.000000001,$E$12723,0.000000001))=0,0,IF($E$12207&lt;=$B$12198,0,IF(ABS(IF(ABS($E$12723)&gt;0.000000001,$E$12723,0.000000001))&gt;=8*$B$12200,$H$12207,0.5*$H$12207*(ABS(IF(ABS($E$12723)&gt;0.000000001,$E$12723,0.000000001))/$B$12200)^(1/3)))/ABS(IF(ABS($E$12723)&gt;0.000000001,$E$12723,0.000000001))*$I$12207)</f>
        <v/>
      </c>
      <c r="E12759" s="19">
        <f>0.5*$E$12723+0.5*$Z$12774</f>
        <v/>
      </c>
      <c r="F12759" s="19">
        <f>$Z$12775</f>
        <v/>
      </c>
    </row>
    <row r="12760">
      <c r="D12760" s="19">
        <f>IF(ABS(IF(ABS($E$12724)&gt;0.000000001,$E$12724,0.000000001))=0,0,IF($E$12208&lt;=$B$12198,0,IF(ABS(IF(ABS($E$12724)&gt;0.000000001,$E$12724,0.000000001))&gt;=8*$B$12200,$H$12208,0.5*$H$12208*(ABS(IF(ABS($E$12724)&gt;0.000000001,$E$12724,0.000000001))/$B$12200)^(1/3)))/ABS(IF(ABS($E$12724)&gt;0.000000001,$E$12724,0.000000001))*$I$12208)</f>
        <v/>
      </c>
      <c r="E12760" s="19">
        <f>0.5*$E$12724+0.5*$Z$12776</f>
        <v/>
      </c>
      <c r="F12760" s="19">
        <f>$Z$12777</f>
        <v/>
      </c>
    </row>
    <row r="12761">
      <c r="D12761" s="19">
        <f>IF(ABS(IF(ABS($E$12725)&gt;0.000000001,$E$12725,0.000000001))=0,0,IF($E$12209&lt;=$B$12198,0,IF(ABS(IF(ABS($E$12725)&gt;0.000000001,$E$12725,0.000000001))&gt;=8*$B$12200,$H$12209,0.5*$H$12209*(ABS(IF(ABS($E$12725)&gt;0.000000001,$E$12725,0.000000001))/$B$12200)^(1/3)))/ABS(IF(ABS($E$12725)&gt;0.000000001,$E$12725,0.000000001))*$I$12209)</f>
        <v/>
      </c>
      <c r="E12761" s="19">
        <f>0.5*$E$12725+0.5*$Z$12778</f>
        <v/>
      </c>
      <c r="F12761" s="19">
        <f>$Z$12779</f>
        <v/>
      </c>
    </row>
    <row r="12762">
      <c r="D12762" s="19">
        <f>IF(ABS(IF(ABS($E$12726)&gt;0.000000001,$E$12726,0.000000001))=0,0,IF($E$12210&lt;=$B$12198,0,IF(ABS(IF(ABS($E$12726)&gt;0.000000001,$E$12726,0.000000001))&gt;=8*$B$12200,$H$12210,0.5*$H$12210*(ABS(IF(ABS($E$12726)&gt;0.000000001,$E$12726,0.000000001))/$B$12200)^(1/3)))/ABS(IF(ABS($E$12726)&gt;0.000000001,$E$12726,0.000000001))*$I$12210)</f>
        <v/>
      </c>
      <c r="E12762" s="19">
        <f>0.5*$E$12726+0.5*$Z$12780</f>
        <v/>
      </c>
      <c r="F12762" s="19">
        <f>$Z$12781</f>
        <v/>
      </c>
    </row>
    <row r="12763">
      <c r="D12763" s="19">
        <f>IF(ABS(IF(ABS($E$12727)&gt;0.000000001,$E$12727,0.000000001))=0,0,IF($E$12211&lt;=$B$12198,0,IF(ABS(IF(ABS($E$12727)&gt;0.000000001,$E$12727,0.000000001))&gt;=8*$B$12200,$H$12211,0.5*$H$12211*(ABS(IF(ABS($E$12727)&gt;0.000000001,$E$12727,0.000000001))/$B$12200)^(1/3)))/ABS(IF(ABS($E$12727)&gt;0.000000001,$E$12727,0.000000001))*$I$12211)</f>
        <v/>
      </c>
      <c r="E12763" s="19">
        <f>0.5*$E$12727+0.5*$Z$12782</f>
        <v/>
      </c>
      <c r="F12763" s="19">
        <f>$Z$12783</f>
        <v/>
      </c>
    </row>
    <row r="12764">
      <c r="D12764" s="19">
        <f>IF(ABS(IF(ABS($E$12728)&gt;0.000000001,$E$12728,0.000000001))=0,0,IF($E$12212&lt;=$B$12198,0,IF(ABS(IF(ABS($E$12728)&gt;0.000000001,$E$12728,0.000000001))&gt;=8*$B$12200,$H$12212,0.5*$H$12212*(ABS(IF(ABS($E$12728)&gt;0.000000001,$E$12728,0.000000001))/$B$12200)^(1/3)))/ABS(IF(ABS($E$12728)&gt;0.000000001,$E$12728,0.000000001))*$I$12212)</f>
        <v/>
      </c>
      <c r="E12764" s="19">
        <f>0.5*$E$12728+0.5*$Z$12784</f>
        <v/>
      </c>
      <c r="F12764" s="19">
        <f>$Z$12785</f>
        <v/>
      </c>
    </row>
    <row r="12765">
      <c r="D12765" s="19">
        <f>IF(ABS(IF(ABS($E$12729)&gt;0.000000001,$E$12729,0.000000001))=0,0,IF($E$12213&lt;=$B$12198,0,IF(ABS(IF(ABS($E$12729)&gt;0.000000001,$E$12729,0.000000001))&gt;=8*$B$12200,$H$12213,0.5*$H$12213*(ABS(IF(ABS($E$12729)&gt;0.000000001,$E$12729,0.000000001))/$B$12200)^(1/3)))/ABS(IF(ABS($E$12729)&gt;0.000000001,$E$12729,0.000000001))*$I$12213)</f>
        <v/>
      </c>
      <c r="E12765" s="19">
        <f>0.5*$E$12729+0.5*$Z$12786</f>
        <v/>
      </c>
      <c r="F12765" s="19">
        <f>$Z$12787</f>
        <v/>
      </c>
    </row>
    <row r="12766">
      <c r="D12766" s="19">
        <f>IF(ABS(IF(ABS($E$12730)&gt;0.000000001,$E$12730,0.000000001))=0,0,IF($E$12214&lt;=$B$12198,0,IF(ABS(IF(ABS($E$12730)&gt;0.000000001,$E$12730,0.000000001))&gt;=8*$B$12200,$H$12214,0.5*$H$12214*(ABS(IF(ABS($E$12730)&gt;0.000000001,$E$12730,0.000000001))/$B$12200)^(1/3)))/ABS(IF(ABS($E$12730)&gt;0.000000001,$E$12730,0.000000001))*$I$12214)</f>
        <v/>
      </c>
      <c r="E12766" s="19">
        <f>0.5*$E$12730+0.5*$Z$12788</f>
        <v/>
      </c>
      <c r="F12766" s="19">
        <f>$Z$12789</f>
        <v/>
      </c>
    </row>
    <row r="12768">
      <c r="D12768" s="21">
        <f>$B$12189+$D$12756</f>
        <v/>
      </c>
      <c r="E12768" s="21">
        <f>$B$12190</f>
        <v/>
      </c>
      <c r="F12768" s="21">
        <f>-$B$12189</f>
        <v/>
      </c>
      <c r="G12768" s="21">
        <f>$B$12190</f>
        <v/>
      </c>
      <c r="H12768" s="21" t="n">
        <v>0</v>
      </c>
      <c r="I12768" s="21" t="n">
        <v>0</v>
      </c>
      <c r="J12768" s="21" t="n">
        <v>0</v>
      </c>
      <c r="K12768" s="21" t="n">
        <v>0</v>
      </c>
      <c r="L12768" s="21" t="n">
        <v>0</v>
      </c>
      <c r="M12768" s="21" t="n">
        <v>0</v>
      </c>
      <c r="N12768" s="21" t="n">
        <v>0</v>
      </c>
      <c r="O12768" s="21" t="n">
        <v>0</v>
      </c>
      <c r="P12768" s="21" t="n">
        <v>0</v>
      </c>
      <c r="Q12768" s="21" t="n">
        <v>0</v>
      </c>
      <c r="R12768" s="21" t="n">
        <v>0</v>
      </c>
      <c r="S12768" s="21" t="n">
        <v>0</v>
      </c>
      <c r="T12768" s="21" t="n">
        <v>0</v>
      </c>
      <c r="U12768" s="21" t="n">
        <v>0</v>
      </c>
      <c r="V12768" s="21" t="n">
        <v>0</v>
      </c>
      <c r="W12768" s="21" t="n">
        <v>0</v>
      </c>
      <c r="X12768" s="21" t="n">
        <v>0</v>
      </c>
      <c r="Y12768" s="21" t="n">
        <v>0</v>
      </c>
      <c r="Z12768" s="19">
        <f t="array" ref="Z12768:Z12789">MMULT(MINVERSE($D$12768:$Y$12789),$D$12216:$D$12237)</f>
        <v/>
      </c>
    </row>
    <row r="12769">
      <c r="D12769" s="21">
        <f>$B$12190</f>
        <v/>
      </c>
      <c r="E12769" s="21">
        <f>$B$12191</f>
        <v/>
      </c>
      <c r="F12769" s="21">
        <f>-$B$12190</f>
        <v/>
      </c>
      <c r="G12769" s="21">
        <f>$B$12192</f>
        <v/>
      </c>
      <c r="H12769" s="21" t="n">
        <v>0</v>
      </c>
      <c r="I12769" s="21" t="n">
        <v>0</v>
      </c>
      <c r="J12769" s="21" t="n">
        <v>0</v>
      </c>
      <c r="K12769" s="21" t="n">
        <v>0</v>
      </c>
      <c r="L12769" s="21" t="n">
        <v>0</v>
      </c>
      <c r="M12769" s="21" t="n">
        <v>0</v>
      </c>
      <c r="N12769" s="21" t="n">
        <v>0</v>
      </c>
      <c r="O12769" s="21" t="n">
        <v>0</v>
      </c>
      <c r="P12769" s="21" t="n">
        <v>0</v>
      </c>
      <c r="Q12769" s="21" t="n">
        <v>0</v>
      </c>
      <c r="R12769" s="21" t="n">
        <v>0</v>
      </c>
      <c r="S12769" s="21" t="n">
        <v>0</v>
      </c>
      <c r="T12769" s="21" t="n">
        <v>0</v>
      </c>
      <c r="U12769" s="21" t="n">
        <v>0</v>
      </c>
      <c r="V12769" s="21" t="n">
        <v>0</v>
      </c>
      <c r="W12769" s="21" t="n">
        <v>0</v>
      </c>
      <c r="X12769" s="21" t="n">
        <v>0</v>
      </c>
      <c r="Y12769" s="21" t="n">
        <v>0</v>
      </c>
      <c r="Z12769" s="19" t="n"/>
    </row>
    <row r="12770">
      <c r="D12770" s="21">
        <f>-$B$12189</f>
        <v/>
      </c>
      <c r="E12770" s="21">
        <f>-$B$12190</f>
        <v/>
      </c>
      <c r="F12770" s="21">
        <f>2*$B$12189+$D$12757</f>
        <v/>
      </c>
      <c r="G12770" s="21">
        <f>0</f>
        <v/>
      </c>
      <c r="H12770" s="21">
        <f>-$B$12189</f>
        <v/>
      </c>
      <c r="I12770" s="21">
        <f>$B$12190</f>
        <v/>
      </c>
      <c r="J12770" s="21" t="n">
        <v>0</v>
      </c>
      <c r="K12770" s="21" t="n">
        <v>0</v>
      </c>
      <c r="L12770" s="21" t="n">
        <v>0</v>
      </c>
      <c r="M12770" s="21" t="n">
        <v>0</v>
      </c>
      <c r="N12770" s="21" t="n">
        <v>0</v>
      </c>
      <c r="O12770" s="21" t="n">
        <v>0</v>
      </c>
      <c r="P12770" s="21" t="n">
        <v>0</v>
      </c>
      <c r="Q12770" s="21" t="n">
        <v>0</v>
      </c>
      <c r="R12770" s="21" t="n">
        <v>0</v>
      </c>
      <c r="S12770" s="21" t="n">
        <v>0</v>
      </c>
      <c r="T12770" s="21" t="n">
        <v>0</v>
      </c>
      <c r="U12770" s="21" t="n">
        <v>0</v>
      </c>
      <c r="V12770" s="21" t="n">
        <v>0</v>
      </c>
      <c r="W12770" s="21" t="n">
        <v>0</v>
      </c>
      <c r="X12770" s="21" t="n">
        <v>0</v>
      </c>
      <c r="Y12770" s="21" t="n">
        <v>0</v>
      </c>
      <c r="Z12770" s="19" t="n"/>
    </row>
    <row r="12771">
      <c r="D12771" s="21">
        <f>$B$12190</f>
        <v/>
      </c>
      <c r="E12771" s="21">
        <f>$B$12192</f>
        <v/>
      </c>
      <c r="F12771" s="21">
        <f>0</f>
        <v/>
      </c>
      <c r="G12771" s="21">
        <f>2*$B$12191</f>
        <v/>
      </c>
      <c r="H12771" s="21">
        <f>-$B$12190</f>
        <v/>
      </c>
      <c r="I12771" s="21">
        <f>$B$12192</f>
        <v/>
      </c>
      <c r="J12771" s="21" t="n">
        <v>0</v>
      </c>
      <c r="K12771" s="21" t="n">
        <v>0</v>
      </c>
      <c r="L12771" s="21" t="n">
        <v>0</v>
      </c>
      <c r="M12771" s="21" t="n">
        <v>0</v>
      </c>
      <c r="N12771" s="21" t="n">
        <v>0</v>
      </c>
      <c r="O12771" s="21" t="n">
        <v>0</v>
      </c>
      <c r="P12771" s="21" t="n">
        <v>0</v>
      </c>
      <c r="Q12771" s="21" t="n">
        <v>0</v>
      </c>
      <c r="R12771" s="21" t="n">
        <v>0</v>
      </c>
      <c r="S12771" s="21" t="n">
        <v>0</v>
      </c>
      <c r="T12771" s="21" t="n">
        <v>0</v>
      </c>
      <c r="U12771" s="21" t="n">
        <v>0</v>
      </c>
      <c r="V12771" s="21" t="n">
        <v>0</v>
      </c>
      <c r="W12771" s="21" t="n">
        <v>0</v>
      </c>
      <c r="X12771" s="21" t="n">
        <v>0</v>
      </c>
      <c r="Y12771" s="21" t="n">
        <v>0</v>
      </c>
      <c r="Z12771" s="19" t="n"/>
    </row>
    <row r="12772">
      <c r="D12772" s="21" t="n">
        <v>0</v>
      </c>
      <c r="E12772" s="21" t="n">
        <v>0</v>
      </c>
      <c r="F12772" s="21">
        <f>-$B$12189</f>
        <v/>
      </c>
      <c r="G12772" s="21">
        <f>-$B$12190</f>
        <v/>
      </c>
      <c r="H12772" s="21">
        <f>2*$B$12189+$D$12758</f>
        <v/>
      </c>
      <c r="I12772" s="21">
        <f>0</f>
        <v/>
      </c>
      <c r="J12772" s="21">
        <f>-$B$12189</f>
        <v/>
      </c>
      <c r="K12772" s="21">
        <f>$B$12190</f>
        <v/>
      </c>
      <c r="L12772" s="21" t="n">
        <v>0</v>
      </c>
      <c r="M12772" s="21" t="n">
        <v>0</v>
      </c>
      <c r="N12772" s="21" t="n">
        <v>0</v>
      </c>
      <c r="O12772" s="21" t="n">
        <v>0</v>
      </c>
      <c r="P12772" s="21" t="n">
        <v>0</v>
      </c>
      <c r="Q12772" s="21" t="n">
        <v>0</v>
      </c>
      <c r="R12772" s="21" t="n">
        <v>0</v>
      </c>
      <c r="S12772" s="21" t="n">
        <v>0</v>
      </c>
      <c r="T12772" s="21" t="n">
        <v>0</v>
      </c>
      <c r="U12772" s="21" t="n">
        <v>0</v>
      </c>
      <c r="V12772" s="21" t="n">
        <v>0</v>
      </c>
      <c r="W12772" s="21" t="n">
        <v>0</v>
      </c>
      <c r="X12772" s="21" t="n">
        <v>0</v>
      </c>
      <c r="Y12772" s="21" t="n">
        <v>0</v>
      </c>
      <c r="Z12772" s="19" t="n"/>
    </row>
    <row r="12773">
      <c r="D12773" s="21" t="n">
        <v>0</v>
      </c>
      <c r="E12773" s="21" t="n">
        <v>0</v>
      </c>
      <c r="F12773" s="21">
        <f>$B$12190</f>
        <v/>
      </c>
      <c r="G12773" s="21">
        <f>$B$12192</f>
        <v/>
      </c>
      <c r="H12773" s="21">
        <f>0</f>
        <v/>
      </c>
      <c r="I12773" s="21">
        <f>2*$B$12191</f>
        <v/>
      </c>
      <c r="J12773" s="21">
        <f>-$B$12190</f>
        <v/>
      </c>
      <c r="K12773" s="21">
        <f>$B$12192</f>
        <v/>
      </c>
      <c r="L12773" s="21" t="n">
        <v>0</v>
      </c>
      <c r="M12773" s="21" t="n">
        <v>0</v>
      </c>
      <c r="N12773" s="21" t="n">
        <v>0</v>
      </c>
      <c r="O12773" s="21" t="n">
        <v>0</v>
      </c>
      <c r="P12773" s="21" t="n">
        <v>0</v>
      </c>
      <c r="Q12773" s="21" t="n">
        <v>0</v>
      </c>
      <c r="R12773" s="21" t="n">
        <v>0</v>
      </c>
      <c r="S12773" s="21" t="n">
        <v>0</v>
      </c>
      <c r="T12773" s="21" t="n">
        <v>0</v>
      </c>
      <c r="U12773" s="21" t="n">
        <v>0</v>
      </c>
      <c r="V12773" s="21" t="n">
        <v>0</v>
      </c>
      <c r="W12773" s="21" t="n">
        <v>0</v>
      </c>
      <c r="X12773" s="21" t="n">
        <v>0</v>
      </c>
      <c r="Y12773" s="21" t="n">
        <v>0</v>
      </c>
      <c r="Z12773" s="19" t="n"/>
    </row>
    <row r="12774">
      <c r="D12774" s="21" t="n">
        <v>0</v>
      </c>
      <c r="E12774" s="21" t="n">
        <v>0</v>
      </c>
      <c r="F12774" s="21" t="n">
        <v>0</v>
      </c>
      <c r="G12774" s="21" t="n">
        <v>0</v>
      </c>
      <c r="H12774" s="21">
        <f>-$B$12189</f>
        <v/>
      </c>
      <c r="I12774" s="21">
        <f>-$B$12190</f>
        <v/>
      </c>
      <c r="J12774" s="21">
        <f>2*$B$12189+$D$12759</f>
        <v/>
      </c>
      <c r="K12774" s="21">
        <f>0</f>
        <v/>
      </c>
      <c r="L12774" s="21">
        <f>-$B$12189</f>
        <v/>
      </c>
      <c r="M12774" s="21">
        <f>$B$12190</f>
        <v/>
      </c>
      <c r="N12774" s="21" t="n">
        <v>0</v>
      </c>
      <c r="O12774" s="21" t="n">
        <v>0</v>
      </c>
      <c r="P12774" s="21" t="n">
        <v>0</v>
      </c>
      <c r="Q12774" s="21" t="n">
        <v>0</v>
      </c>
      <c r="R12774" s="21" t="n">
        <v>0</v>
      </c>
      <c r="S12774" s="21" t="n">
        <v>0</v>
      </c>
      <c r="T12774" s="21" t="n">
        <v>0</v>
      </c>
      <c r="U12774" s="21" t="n">
        <v>0</v>
      </c>
      <c r="V12774" s="21" t="n">
        <v>0</v>
      </c>
      <c r="W12774" s="21" t="n">
        <v>0</v>
      </c>
      <c r="X12774" s="21" t="n">
        <v>0</v>
      </c>
      <c r="Y12774" s="21" t="n">
        <v>0</v>
      </c>
      <c r="Z12774" s="19" t="n"/>
    </row>
    <row r="12775">
      <c r="D12775" s="21" t="n">
        <v>0</v>
      </c>
      <c r="E12775" s="21" t="n">
        <v>0</v>
      </c>
      <c r="F12775" s="21" t="n">
        <v>0</v>
      </c>
      <c r="G12775" s="21" t="n">
        <v>0</v>
      </c>
      <c r="H12775" s="21">
        <f>$B$12190</f>
        <v/>
      </c>
      <c r="I12775" s="21">
        <f>$B$12192</f>
        <v/>
      </c>
      <c r="J12775" s="21">
        <f>0</f>
        <v/>
      </c>
      <c r="K12775" s="21">
        <f>2*$B$12191</f>
        <v/>
      </c>
      <c r="L12775" s="21">
        <f>-$B$12190</f>
        <v/>
      </c>
      <c r="M12775" s="21">
        <f>$B$12192</f>
        <v/>
      </c>
      <c r="N12775" s="21" t="n">
        <v>0</v>
      </c>
      <c r="O12775" s="21" t="n">
        <v>0</v>
      </c>
      <c r="P12775" s="21" t="n">
        <v>0</v>
      </c>
      <c r="Q12775" s="21" t="n">
        <v>0</v>
      </c>
      <c r="R12775" s="21" t="n">
        <v>0</v>
      </c>
      <c r="S12775" s="21" t="n">
        <v>0</v>
      </c>
      <c r="T12775" s="21" t="n">
        <v>0</v>
      </c>
      <c r="U12775" s="21" t="n">
        <v>0</v>
      </c>
      <c r="V12775" s="21" t="n">
        <v>0</v>
      </c>
      <c r="W12775" s="21" t="n">
        <v>0</v>
      </c>
      <c r="X12775" s="21" t="n">
        <v>0</v>
      </c>
      <c r="Y12775" s="21" t="n">
        <v>0</v>
      </c>
      <c r="Z12775" s="19" t="n"/>
    </row>
    <row r="12776">
      <c r="D12776" s="21" t="n">
        <v>0</v>
      </c>
      <c r="E12776" s="21" t="n">
        <v>0</v>
      </c>
      <c r="F12776" s="21" t="n">
        <v>0</v>
      </c>
      <c r="G12776" s="21" t="n">
        <v>0</v>
      </c>
      <c r="H12776" s="21" t="n">
        <v>0</v>
      </c>
      <c r="I12776" s="21" t="n">
        <v>0</v>
      </c>
      <c r="J12776" s="21">
        <f>-$B$12189</f>
        <v/>
      </c>
      <c r="K12776" s="21">
        <f>-$B$12190</f>
        <v/>
      </c>
      <c r="L12776" s="21">
        <f>2*$B$12189+$D$12760</f>
        <v/>
      </c>
      <c r="M12776" s="21">
        <f>0</f>
        <v/>
      </c>
      <c r="N12776" s="21">
        <f>-$B$12189</f>
        <v/>
      </c>
      <c r="O12776" s="21">
        <f>$B$12190</f>
        <v/>
      </c>
      <c r="P12776" s="21" t="n">
        <v>0</v>
      </c>
      <c r="Q12776" s="21" t="n">
        <v>0</v>
      </c>
      <c r="R12776" s="21" t="n">
        <v>0</v>
      </c>
      <c r="S12776" s="21" t="n">
        <v>0</v>
      </c>
      <c r="T12776" s="21" t="n">
        <v>0</v>
      </c>
      <c r="U12776" s="21" t="n">
        <v>0</v>
      </c>
      <c r="V12776" s="21" t="n">
        <v>0</v>
      </c>
      <c r="W12776" s="21" t="n">
        <v>0</v>
      </c>
      <c r="X12776" s="21" t="n">
        <v>0</v>
      </c>
      <c r="Y12776" s="21" t="n">
        <v>0</v>
      </c>
      <c r="Z12776" s="19" t="n"/>
    </row>
    <row r="12777">
      <c r="D12777" s="21" t="n">
        <v>0</v>
      </c>
      <c r="E12777" s="21" t="n">
        <v>0</v>
      </c>
      <c r="F12777" s="21" t="n">
        <v>0</v>
      </c>
      <c r="G12777" s="21" t="n">
        <v>0</v>
      </c>
      <c r="H12777" s="21" t="n">
        <v>0</v>
      </c>
      <c r="I12777" s="21" t="n">
        <v>0</v>
      </c>
      <c r="J12777" s="21">
        <f>$B$12190</f>
        <v/>
      </c>
      <c r="K12777" s="21">
        <f>$B$12192</f>
        <v/>
      </c>
      <c r="L12777" s="21">
        <f>0</f>
        <v/>
      </c>
      <c r="M12777" s="21">
        <f>2*$B$12191</f>
        <v/>
      </c>
      <c r="N12777" s="21">
        <f>-$B$12190</f>
        <v/>
      </c>
      <c r="O12777" s="21">
        <f>$B$12192</f>
        <v/>
      </c>
      <c r="P12777" s="21" t="n">
        <v>0</v>
      </c>
      <c r="Q12777" s="21" t="n">
        <v>0</v>
      </c>
      <c r="R12777" s="21" t="n">
        <v>0</v>
      </c>
      <c r="S12777" s="21" t="n">
        <v>0</v>
      </c>
      <c r="T12777" s="21" t="n">
        <v>0</v>
      </c>
      <c r="U12777" s="21" t="n">
        <v>0</v>
      </c>
      <c r="V12777" s="21" t="n">
        <v>0</v>
      </c>
      <c r="W12777" s="21" t="n">
        <v>0</v>
      </c>
      <c r="X12777" s="21" t="n">
        <v>0</v>
      </c>
      <c r="Y12777" s="21" t="n">
        <v>0</v>
      </c>
      <c r="Z12777" s="19" t="n"/>
    </row>
    <row r="12778">
      <c r="D12778" s="21" t="n">
        <v>0</v>
      </c>
      <c r="E12778" s="21" t="n">
        <v>0</v>
      </c>
      <c r="F12778" s="21" t="n">
        <v>0</v>
      </c>
      <c r="G12778" s="21" t="n">
        <v>0</v>
      </c>
      <c r="H12778" s="21" t="n">
        <v>0</v>
      </c>
      <c r="I12778" s="21" t="n">
        <v>0</v>
      </c>
      <c r="J12778" s="21" t="n">
        <v>0</v>
      </c>
      <c r="K12778" s="21" t="n">
        <v>0</v>
      </c>
      <c r="L12778" s="21">
        <f>-$B$12189</f>
        <v/>
      </c>
      <c r="M12778" s="21">
        <f>-$B$12190</f>
        <v/>
      </c>
      <c r="N12778" s="21">
        <f>2*$B$12189+$D$12761</f>
        <v/>
      </c>
      <c r="O12778" s="21">
        <f>0</f>
        <v/>
      </c>
      <c r="P12778" s="21">
        <f>-$B$12189</f>
        <v/>
      </c>
      <c r="Q12778" s="21">
        <f>$B$12190</f>
        <v/>
      </c>
      <c r="R12778" s="21" t="n">
        <v>0</v>
      </c>
      <c r="S12778" s="21" t="n">
        <v>0</v>
      </c>
      <c r="T12778" s="21" t="n">
        <v>0</v>
      </c>
      <c r="U12778" s="21" t="n">
        <v>0</v>
      </c>
      <c r="V12778" s="21" t="n">
        <v>0</v>
      </c>
      <c r="W12778" s="21" t="n">
        <v>0</v>
      </c>
      <c r="X12778" s="21" t="n">
        <v>0</v>
      </c>
      <c r="Y12778" s="21" t="n">
        <v>0</v>
      </c>
      <c r="Z12778" s="19" t="n"/>
    </row>
    <row r="12779">
      <c r="D12779" s="21" t="n">
        <v>0</v>
      </c>
      <c r="E12779" s="21" t="n">
        <v>0</v>
      </c>
      <c r="F12779" s="21" t="n">
        <v>0</v>
      </c>
      <c r="G12779" s="21" t="n">
        <v>0</v>
      </c>
      <c r="H12779" s="21" t="n">
        <v>0</v>
      </c>
      <c r="I12779" s="21" t="n">
        <v>0</v>
      </c>
      <c r="J12779" s="21" t="n">
        <v>0</v>
      </c>
      <c r="K12779" s="21" t="n">
        <v>0</v>
      </c>
      <c r="L12779" s="21">
        <f>$B$12190</f>
        <v/>
      </c>
      <c r="M12779" s="21">
        <f>$B$12192</f>
        <v/>
      </c>
      <c r="N12779" s="21">
        <f>0</f>
        <v/>
      </c>
      <c r="O12779" s="21">
        <f>2*$B$12191</f>
        <v/>
      </c>
      <c r="P12779" s="21">
        <f>-$B$12190</f>
        <v/>
      </c>
      <c r="Q12779" s="21">
        <f>$B$12192</f>
        <v/>
      </c>
      <c r="R12779" s="21" t="n">
        <v>0</v>
      </c>
      <c r="S12779" s="21" t="n">
        <v>0</v>
      </c>
      <c r="T12779" s="21" t="n">
        <v>0</v>
      </c>
      <c r="U12779" s="21" t="n">
        <v>0</v>
      </c>
      <c r="V12779" s="21" t="n">
        <v>0</v>
      </c>
      <c r="W12779" s="21" t="n">
        <v>0</v>
      </c>
      <c r="X12779" s="21" t="n">
        <v>0</v>
      </c>
      <c r="Y12779" s="21" t="n">
        <v>0</v>
      </c>
      <c r="Z12779" s="19" t="n"/>
    </row>
    <row r="12780">
      <c r="D12780" s="21" t="n">
        <v>0</v>
      </c>
      <c r="E12780" s="21" t="n">
        <v>0</v>
      </c>
      <c r="F12780" s="21" t="n">
        <v>0</v>
      </c>
      <c r="G12780" s="21" t="n">
        <v>0</v>
      </c>
      <c r="H12780" s="21" t="n">
        <v>0</v>
      </c>
      <c r="I12780" s="21" t="n">
        <v>0</v>
      </c>
      <c r="J12780" s="21" t="n">
        <v>0</v>
      </c>
      <c r="K12780" s="21" t="n">
        <v>0</v>
      </c>
      <c r="L12780" s="21" t="n">
        <v>0</v>
      </c>
      <c r="M12780" s="21" t="n">
        <v>0</v>
      </c>
      <c r="N12780" s="21">
        <f>-$B$12189</f>
        <v/>
      </c>
      <c r="O12780" s="21">
        <f>-$B$12190</f>
        <v/>
      </c>
      <c r="P12780" s="21">
        <f>2*$B$12189+$D$12762</f>
        <v/>
      </c>
      <c r="Q12780" s="21">
        <f>0</f>
        <v/>
      </c>
      <c r="R12780" s="21">
        <f>-$B$12189</f>
        <v/>
      </c>
      <c r="S12780" s="21">
        <f>$B$12190</f>
        <v/>
      </c>
      <c r="T12780" s="21" t="n">
        <v>0</v>
      </c>
      <c r="U12780" s="21" t="n">
        <v>0</v>
      </c>
      <c r="V12780" s="21" t="n">
        <v>0</v>
      </c>
      <c r="W12780" s="21" t="n">
        <v>0</v>
      </c>
      <c r="X12780" s="21" t="n">
        <v>0</v>
      </c>
      <c r="Y12780" s="21" t="n">
        <v>0</v>
      </c>
      <c r="Z12780" s="19" t="n"/>
    </row>
    <row r="12781">
      <c r="D12781" s="21" t="n">
        <v>0</v>
      </c>
      <c r="E12781" s="21" t="n">
        <v>0</v>
      </c>
      <c r="F12781" s="21" t="n">
        <v>0</v>
      </c>
      <c r="G12781" s="21" t="n">
        <v>0</v>
      </c>
      <c r="H12781" s="21" t="n">
        <v>0</v>
      </c>
      <c r="I12781" s="21" t="n">
        <v>0</v>
      </c>
      <c r="J12781" s="21" t="n">
        <v>0</v>
      </c>
      <c r="K12781" s="21" t="n">
        <v>0</v>
      </c>
      <c r="L12781" s="21" t="n">
        <v>0</v>
      </c>
      <c r="M12781" s="21" t="n">
        <v>0</v>
      </c>
      <c r="N12781" s="21">
        <f>$B$12190</f>
        <v/>
      </c>
      <c r="O12781" s="21">
        <f>$B$12192</f>
        <v/>
      </c>
      <c r="P12781" s="21">
        <f>0</f>
        <v/>
      </c>
      <c r="Q12781" s="21">
        <f>2*$B$12191</f>
        <v/>
      </c>
      <c r="R12781" s="21">
        <f>-$B$12190</f>
        <v/>
      </c>
      <c r="S12781" s="21">
        <f>$B$12192</f>
        <v/>
      </c>
      <c r="T12781" s="21" t="n">
        <v>0</v>
      </c>
      <c r="U12781" s="21" t="n">
        <v>0</v>
      </c>
      <c r="V12781" s="21" t="n">
        <v>0</v>
      </c>
      <c r="W12781" s="21" t="n">
        <v>0</v>
      </c>
      <c r="X12781" s="21" t="n">
        <v>0</v>
      </c>
      <c r="Y12781" s="21" t="n">
        <v>0</v>
      </c>
      <c r="Z12781" s="19" t="n"/>
    </row>
    <row r="12782">
      <c r="D12782" s="21" t="n">
        <v>0</v>
      </c>
      <c r="E12782" s="21" t="n">
        <v>0</v>
      </c>
      <c r="F12782" s="21" t="n">
        <v>0</v>
      </c>
      <c r="G12782" s="21" t="n">
        <v>0</v>
      </c>
      <c r="H12782" s="21" t="n">
        <v>0</v>
      </c>
      <c r="I12782" s="21" t="n">
        <v>0</v>
      </c>
      <c r="J12782" s="21" t="n">
        <v>0</v>
      </c>
      <c r="K12782" s="21" t="n">
        <v>0</v>
      </c>
      <c r="L12782" s="21" t="n">
        <v>0</v>
      </c>
      <c r="M12782" s="21" t="n">
        <v>0</v>
      </c>
      <c r="N12782" s="21" t="n">
        <v>0</v>
      </c>
      <c r="O12782" s="21" t="n">
        <v>0</v>
      </c>
      <c r="P12782" s="21">
        <f>-$B$12189</f>
        <v/>
      </c>
      <c r="Q12782" s="21">
        <f>-$B$12190</f>
        <v/>
      </c>
      <c r="R12782" s="21">
        <f>2*$B$12189+$D$12763</f>
        <v/>
      </c>
      <c r="S12782" s="21">
        <f>0</f>
        <v/>
      </c>
      <c r="T12782" s="21">
        <f>-$B$12189</f>
        <v/>
      </c>
      <c r="U12782" s="21">
        <f>$B$12190</f>
        <v/>
      </c>
      <c r="V12782" s="21" t="n">
        <v>0</v>
      </c>
      <c r="W12782" s="21" t="n">
        <v>0</v>
      </c>
      <c r="X12782" s="21" t="n">
        <v>0</v>
      </c>
      <c r="Y12782" s="21" t="n">
        <v>0</v>
      </c>
      <c r="Z12782" s="19" t="n"/>
    </row>
    <row r="12783">
      <c r="D12783" s="21" t="n">
        <v>0</v>
      </c>
      <c r="E12783" s="21" t="n">
        <v>0</v>
      </c>
      <c r="F12783" s="21" t="n">
        <v>0</v>
      </c>
      <c r="G12783" s="21" t="n">
        <v>0</v>
      </c>
      <c r="H12783" s="21" t="n">
        <v>0</v>
      </c>
      <c r="I12783" s="21" t="n">
        <v>0</v>
      </c>
      <c r="J12783" s="21" t="n">
        <v>0</v>
      </c>
      <c r="K12783" s="21" t="n">
        <v>0</v>
      </c>
      <c r="L12783" s="21" t="n">
        <v>0</v>
      </c>
      <c r="M12783" s="21" t="n">
        <v>0</v>
      </c>
      <c r="N12783" s="21" t="n">
        <v>0</v>
      </c>
      <c r="O12783" s="21" t="n">
        <v>0</v>
      </c>
      <c r="P12783" s="21">
        <f>$B$12190</f>
        <v/>
      </c>
      <c r="Q12783" s="21">
        <f>$B$12192</f>
        <v/>
      </c>
      <c r="R12783" s="21">
        <f>0</f>
        <v/>
      </c>
      <c r="S12783" s="21">
        <f>2*$B$12191</f>
        <v/>
      </c>
      <c r="T12783" s="21">
        <f>-$B$12190</f>
        <v/>
      </c>
      <c r="U12783" s="21">
        <f>$B$12192</f>
        <v/>
      </c>
      <c r="V12783" s="21" t="n">
        <v>0</v>
      </c>
      <c r="W12783" s="21" t="n">
        <v>0</v>
      </c>
      <c r="X12783" s="21" t="n">
        <v>0</v>
      </c>
      <c r="Y12783" s="21" t="n">
        <v>0</v>
      </c>
      <c r="Z12783" s="19" t="n"/>
    </row>
    <row r="12784">
      <c r="D12784" s="21" t="n">
        <v>0</v>
      </c>
      <c r="E12784" s="21" t="n">
        <v>0</v>
      </c>
      <c r="F12784" s="21" t="n">
        <v>0</v>
      </c>
      <c r="G12784" s="21" t="n">
        <v>0</v>
      </c>
      <c r="H12784" s="21" t="n">
        <v>0</v>
      </c>
      <c r="I12784" s="21" t="n">
        <v>0</v>
      </c>
      <c r="J12784" s="21" t="n">
        <v>0</v>
      </c>
      <c r="K12784" s="21" t="n">
        <v>0</v>
      </c>
      <c r="L12784" s="21" t="n">
        <v>0</v>
      </c>
      <c r="M12784" s="21" t="n">
        <v>0</v>
      </c>
      <c r="N12784" s="21" t="n">
        <v>0</v>
      </c>
      <c r="O12784" s="21" t="n">
        <v>0</v>
      </c>
      <c r="P12784" s="21" t="n">
        <v>0</v>
      </c>
      <c r="Q12784" s="21" t="n">
        <v>0</v>
      </c>
      <c r="R12784" s="21">
        <f>-$B$12189</f>
        <v/>
      </c>
      <c r="S12784" s="21">
        <f>-$B$12190</f>
        <v/>
      </c>
      <c r="T12784" s="21">
        <f>2*$B$12189+$D$12764</f>
        <v/>
      </c>
      <c r="U12784" s="21">
        <f>0</f>
        <v/>
      </c>
      <c r="V12784" s="21">
        <f>-$B$12189</f>
        <v/>
      </c>
      <c r="W12784" s="21">
        <f>$B$12190</f>
        <v/>
      </c>
      <c r="X12784" s="21" t="n">
        <v>0</v>
      </c>
      <c r="Y12784" s="21" t="n">
        <v>0</v>
      </c>
      <c r="Z12784" s="19" t="n"/>
    </row>
    <row r="12785">
      <c r="D12785" s="21" t="n">
        <v>0</v>
      </c>
      <c r="E12785" s="21" t="n">
        <v>0</v>
      </c>
      <c r="F12785" s="21" t="n">
        <v>0</v>
      </c>
      <c r="G12785" s="21" t="n">
        <v>0</v>
      </c>
      <c r="H12785" s="21" t="n">
        <v>0</v>
      </c>
      <c r="I12785" s="21" t="n">
        <v>0</v>
      </c>
      <c r="J12785" s="21" t="n">
        <v>0</v>
      </c>
      <c r="K12785" s="21" t="n">
        <v>0</v>
      </c>
      <c r="L12785" s="21" t="n">
        <v>0</v>
      </c>
      <c r="M12785" s="21" t="n">
        <v>0</v>
      </c>
      <c r="N12785" s="21" t="n">
        <v>0</v>
      </c>
      <c r="O12785" s="21" t="n">
        <v>0</v>
      </c>
      <c r="P12785" s="21" t="n">
        <v>0</v>
      </c>
      <c r="Q12785" s="21" t="n">
        <v>0</v>
      </c>
      <c r="R12785" s="21">
        <f>$B$12190</f>
        <v/>
      </c>
      <c r="S12785" s="21">
        <f>$B$12192</f>
        <v/>
      </c>
      <c r="T12785" s="21">
        <f>0</f>
        <v/>
      </c>
      <c r="U12785" s="21">
        <f>2*$B$12191</f>
        <v/>
      </c>
      <c r="V12785" s="21">
        <f>-$B$12190</f>
        <v/>
      </c>
      <c r="W12785" s="21">
        <f>$B$12192</f>
        <v/>
      </c>
      <c r="X12785" s="21" t="n">
        <v>0</v>
      </c>
      <c r="Y12785" s="21" t="n">
        <v>0</v>
      </c>
      <c r="Z12785" s="19" t="n"/>
    </row>
    <row r="12786">
      <c r="D12786" s="21" t="n">
        <v>0</v>
      </c>
      <c r="E12786" s="21" t="n">
        <v>0</v>
      </c>
      <c r="F12786" s="21" t="n">
        <v>0</v>
      </c>
      <c r="G12786" s="21" t="n">
        <v>0</v>
      </c>
      <c r="H12786" s="21" t="n">
        <v>0</v>
      </c>
      <c r="I12786" s="21" t="n">
        <v>0</v>
      </c>
      <c r="J12786" s="21" t="n">
        <v>0</v>
      </c>
      <c r="K12786" s="21" t="n">
        <v>0</v>
      </c>
      <c r="L12786" s="21" t="n">
        <v>0</v>
      </c>
      <c r="M12786" s="21" t="n">
        <v>0</v>
      </c>
      <c r="N12786" s="21" t="n">
        <v>0</v>
      </c>
      <c r="O12786" s="21" t="n">
        <v>0</v>
      </c>
      <c r="P12786" s="21" t="n">
        <v>0</v>
      </c>
      <c r="Q12786" s="21" t="n">
        <v>0</v>
      </c>
      <c r="R12786" s="21" t="n">
        <v>0</v>
      </c>
      <c r="S12786" s="21" t="n">
        <v>0</v>
      </c>
      <c r="T12786" s="21">
        <f>-$B$12189</f>
        <v/>
      </c>
      <c r="U12786" s="21">
        <f>-$B$12190</f>
        <v/>
      </c>
      <c r="V12786" s="21">
        <f>2*$B$12189+$D$12765</f>
        <v/>
      </c>
      <c r="W12786" s="21">
        <f>0</f>
        <v/>
      </c>
      <c r="X12786" s="21">
        <f>-$B$12189</f>
        <v/>
      </c>
      <c r="Y12786" s="21">
        <f>$B$12190</f>
        <v/>
      </c>
      <c r="Z12786" s="19" t="n"/>
    </row>
    <row r="12787">
      <c r="D12787" s="21" t="n">
        <v>0</v>
      </c>
      <c r="E12787" s="21" t="n">
        <v>0</v>
      </c>
      <c r="F12787" s="21" t="n">
        <v>0</v>
      </c>
      <c r="G12787" s="21" t="n">
        <v>0</v>
      </c>
      <c r="H12787" s="21" t="n">
        <v>0</v>
      </c>
      <c r="I12787" s="21" t="n">
        <v>0</v>
      </c>
      <c r="J12787" s="21" t="n">
        <v>0</v>
      </c>
      <c r="K12787" s="21" t="n">
        <v>0</v>
      </c>
      <c r="L12787" s="21" t="n">
        <v>0</v>
      </c>
      <c r="M12787" s="21" t="n">
        <v>0</v>
      </c>
      <c r="N12787" s="21" t="n">
        <v>0</v>
      </c>
      <c r="O12787" s="21" t="n">
        <v>0</v>
      </c>
      <c r="P12787" s="21" t="n">
        <v>0</v>
      </c>
      <c r="Q12787" s="21" t="n">
        <v>0</v>
      </c>
      <c r="R12787" s="21" t="n">
        <v>0</v>
      </c>
      <c r="S12787" s="21" t="n">
        <v>0</v>
      </c>
      <c r="T12787" s="21">
        <f>$B$12190</f>
        <v/>
      </c>
      <c r="U12787" s="21">
        <f>$B$12192</f>
        <v/>
      </c>
      <c r="V12787" s="21">
        <f>0</f>
        <v/>
      </c>
      <c r="W12787" s="21">
        <f>2*$B$12191</f>
        <v/>
      </c>
      <c r="X12787" s="21">
        <f>-$B$12190</f>
        <v/>
      </c>
      <c r="Y12787" s="21">
        <f>$B$12192</f>
        <v/>
      </c>
      <c r="Z12787" s="19" t="n"/>
    </row>
    <row r="12788">
      <c r="D12788" s="21" t="n">
        <v>0</v>
      </c>
      <c r="E12788" s="21" t="n">
        <v>0</v>
      </c>
      <c r="F12788" s="21" t="n">
        <v>0</v>
      </c>
      <c r="G12788" s="21" t="n">
        <v>0</v>
      </c>
      <c r="H12788" s="21" t="n">
        <v>0</v>
      </c>
      <c r="I12788" s="21" t="n">
        <v>0</v>
      </c>
      <c r="J12788" s="21" t="n">
        <v>0</v>
      </c>
      <c r="K12788" s="21" t="n">
        <v>0</v>
      </c>
      <c r="L12788" s="21" t="n">
        <v>0</v>
      </c>
      <c r="M12788" s="21" t="n">
        <v>0</v>
      </c>
      <c r="N12788" s="21" t="n">
        <v>0</v>
      </c>
      <c r="O12788" s="21" t="n">
        <v>0</v>
      </c>
      <c r="P12788" s="21" t="n">
        <v>0</v>
      </c>
      <c r="Q12788" s="21" t="n">
        <v>0</v>
      </c>
      <c r="R12788" s="21" t="n">
        <v>0</v>
      </c>
      <c r="S12788" s="21" t="n">
        <v>0</v>
      </c>
      <c r="T12788" s="21" t="n">
        <v>0</v>
      </c>
      <c r="U12788" s="21" t="n">
        <v>0</v>
      </c>
      <c r="V12788" s="21">
        <f>-$B$12189</f>
        <v/>
      </c>
      <c r="W12788" s="21">
        <f>-$B$12190</f>
        <v/>
      </c>
      <c r="X12788" s="21">
        <f>$B$12189+$D$12766</f>
        <v/>
      </c>
      <c r="Y12788" s="21">
        <f>-$B$12190</f>
        <v/>
      </c>
      <c r="Z12788" s="19" t="n"/>
    </row>
    <row r="12789">
      <c r="D12789" s="21" t="n">
        <v>0</v>
      </c>
      <c r="E12789" s="21" t="n">
        <v>0</v>
      </c>
      <c r="F12789" s="21" t="n">
        <v>0</v>
      </c>
      <c r="G12789" s="21" t="n">
        <v>0</v>
      </c>
      <c r="H12789" s="21" t="n">
        <v>0</v>
      </c>
      <c r="I12789" s="21" t="n">
        <v>0</v>
      </c>
      <c r="J12789" s="21" t="n">
        <v>0</v>
      </c>
      <c r="K12789" s="21" t="n">
        <v>0</v>
      </c>
      <c r="L12789" s="21" t="n">
        <v>0</v>
      </c>
      <c r="M12789" s="21" t="n">
        <v>0</v>
      </c>
      <c r="N12789" s="21" t="n">
        <v>0</v>
      </c>
      <c r="O12789" s="21" t="n">
        <v>0</v>
      </c>
      <c r="P12789" s="21" t="n">
        <v>0</v>
      </c>
      <c r="Q12789" s="21" t="n">
        <v>0</v>
      </c>
      <c r="R12789" s="21" t="n">
        <v>0</v>
      </c>
      <c r="S12789" s="21" t="n">
        <v>0</v>
      </c>
      <c r="T12789" s="21" t="n">
        <v>0</v>
      </c>
      <c r="U12789" s="21" t="n">
        <v>0</v>
      </c>
      <c r="V12789" s="21">
        <f>$B$12190</f>
        <v/>
      </c>
      <c r="W12789" s="21">
        <f>$B$12192</f>
        <v/>
      </c>
      <c r="X12789" s="21">
        <f>-$B$12190</f>
        <v/>
      </c>
      <c r="Y12789" s="21">
        <f>$B$12191</f>
        <v/>
      </c>
      <c r="Z12789" s="19" t="n"/>
    </row>
    <row r="12791">
      <c r="A12791" s="8" t="inlineStr">
        <is>
          <t>gen 16</t>
        </is>
      </c>
    </row>
    <row r="12792">
      <c r="D12792" s="19">
        <f>IF(ABS(IF(ABS($E$12756)&gt;0.000000001,$E$12756,0.000000001))=0,0,IF($E$12204&lt;=$B$12198,0,IF(ABS(IF(ABS($E$12756)&gt;0.000000001,$E$12756,0.000000001))&gt;=8*$B$12200,$H$12204,0.5*$H$12204*(ABS(IF(ABS($E$12756)&gt;0.000000001,$E$12756,0.000000001))/$B$12200)^(1/3)))/ABS(IF(ABS($E$12756)&gt;0.000000001,$E$12756,0.000000001))*$I$12204)</f>
        <v/>
      </c>
      <c r="E12792" s="19">
        <f>0.5*$E$12756+0.5*$Z$12804</f>
        <v/>
      </c>
      <c r="F12792" s="19">
        <f>$Z$12805</f>
        <v/>
      </c>
    </row>
    <row r="12793">
      <c r="D12793" s="19">
        <f>IF(ABS(IF(ABS($E$12757)&gt;0.000000001,$E$12757,0.000000001))=0,0,IF($E$12205&lt;=$B$12198,0,IF(ABS(IF(ABS($E$12757)&gt;0.000000001,$E$12757,0.000000001))&gt;=8*$B$12200,$H$12205,0.5*$H$12205*(ABS(IF(ABS($E$12757)&gt;0.000000001,$E$12757,0.000000001))/$B$12200)^(1/3)))/ABS(IF(ABS($E$12757)&gt;0.000000001,$E$12757,0.000000001))*$I$12205)</f>
        <v/>
      </c>
      <c r="E12793" s="19">
        <f>0.5*$E$12757+0.5*$Z$12806</f>
        <v/>
      </c>
      <c r="F12793" s="19">
        <f>$Z$12807</f>
        <v/>
      </c>
    </row>
    <row r="12794">
      <c r="D12794" s="19">
        <f>IF(ABS(IF(ABS($E$12758)&gt;0.000000001,$E$12758,0.000000001))=0,0,IF($E$12206&lt;=$B$12198,0,IF(ABS(IF(ABS($E$12758)&gt;0.000000001,$E$12758,0.000000001))&gt;=8*$B$12200,$H$12206,0.5*$H$12206*(ABS(IF(ABS($E$12758)&gt;0.000000001,$E$12758,0.000000001))/$B$12200)^(1/3)))/ABS(IF(ABS($E$12758)&gt;0.000000001,$E$12758,0.000000001))*$I$12206)</f>
        <v/>
      </c>
      <c r="E12794" s="19">
        <f>0.5*$E$12758+0.5*$Z$12808</f>
        <v/>
      </c>
      <c r="F12794" s="19">
        <f>$Z$12809</f>
        <v/>
      </c>
    </row>
    <row r="12795">
      <c r="D12795" s="19">
        <f>IF(ABS(IF(ABS($E$12759)&gt;0.000000001,$E$12759,0.000000001))=0,0,IF($E$12207&lt;=$B$12198,0,IF(ABS(IF(ABS($E$12759)&gt;0.000000001,$E$12759,0.000000001))&gt;=8*$B$12200,$H$12207,0.5*$H$12207*(ABS(IF(ABS($E$12759)&gt;0.000000001,$E$12759,0.000000001))/$B$12200)^(1/3)))/ABS(IF(ABS($E$12759)&gt;0.000000001,$E$12759,0.000000001))*$I$12207)</f>
        <v/>
      </c>
      <c r="E12795" s="19">
        <f>0.5*$E$12759+0.5*$Z$12810</f>
        <v/>
      </c>
      <c r="F12795" s="19">
        <f>$Z$12811</f>
        <v/>
      </c>
    </row>
    <row r="12796">
      <c r="D12796" s="19">
        <f>IF(ABS(IF(ABS($E$12760)&gt;0.000000001,$E$12760,0.000000001))=0,0,IF($E$12208&lt;=$B$12198,0,IF(ABS(IF(ABS($E$12760)&gt;0.000000001,$E$12760,0.000000001))&gt;=8*$B$12200,$H$12208,0.5*$H$12208*(ABS(IF(ABS($E$12760)&gt;0.000000001,$E$12760,0.000000001))/$B$12200)^(1/3)))/ABS(IF(ABS($E$12760)&gt;0.000000001,$E$12760,0.000000001))*$I$12208)</f>
        <v/>
      </c>
      <c r="E12796" s="19">
        <f>0.5*$E$12760+0.5*$Z$12812</f>
        <v/>
      </c>
      <c r="F12796" s="19">
        <f>$Z$12813</f>
        <v/>
      </c>
    </row>
    <row r="12797">
      <c r="D12797" s="19">
        <f>IF(ABS(IF(ABS($E$12761)&gt;0.000000001,$E$12761,0.000000001))=0,0,IF($E$12209&lt;=$B$12198,0,IF(ABS(IF(ABS($E$12761)&gt;0.000000001,$E$12761,0.000000001))&gt;=8*$B$12200,$H$12209,0.5*$H$12209*(ABS(IF(ABS($E$12761)&gt;0.000000001,$E$12761,0.000000001))/$B$12200)^(1/3)))/ABS(IF(ABS($E$12761)&gt;0.000000001,$E$12761,0.000000001))*$I$12209)</f>
        <v/>
      </c>
      <c r="E12797" s="19">
        <f>0.5*$E$12761+0.5*$Z$12814</f>
        <v/>
      </c>
      <c r="F12797" s="19">
        <f>$Z$12815</f>
        <v/>
      </c>
    </row>
    <row r="12798">
      <c r="D12798" s="19">
        <f>IF(ABS(IF(ABS($E$12762)&gt;0.000000001,$E$12762,0.000000001))=0,0,IF($E$12210&lt;=$B$12198,0,IF(ABS(IF(ABS($E$12762)&gt;0.000000001,$E$12762,0.000000001))&gt;=8*$B$12200,$H$12210,0.5*$H$12210*(ABS(IF(ABS($E$12762)&gt;0.000000001,$E$12762,0.000000001))/$B$12200)^(1/3)))/ABS(IF(ABS($E$12762)&gt;0.000000001,$E$12762,0.000000001))*$I$12210)</f>
        <v/>
      </c>
      <c r="E12798" s="19">
        <f>0.5*$E$12762+0.5*$Z$12816</f>
        <v/>
      </c>
      <c r="F12798" s="19">
        <f>$Z$12817</f>
        <v/>
      </c>
    </row>
    <row r="12799">
      <c r="D12799" s="19">
        <f>IF(ABS(IF(ABS($E$12763)&gt;0.000000001,$E$12763,0.000000001))=0,0,IF($E$12211&lt;=$B$12198,0,IF(ABS(IF(ABS($E$12763)&gt;0.000000001,$E$12763,0.000000001))&gt;=8*$B$12200,$H$12211,0.5*$H$12211*(ABS(IF(ABS($E$12763)&gt;0.000000001,$E$12763,0.000000001))/$B$12200)^(1/3)))/ABS(IF(ABS($E$12763)&gt;0.000000001,$E$12763,0.000000001))*$I$12211)</f>
        <v/>
      </c>
      <c r="E12799" s="19">
        <f>0.5*$E$12763+0.5*$Z$12818</f>
        <v/>
      </c>
      <c r="F12799" s="19">
        <f>$Z$12819</f>
        <v/>
      </c>
    </row>
    <row r="12800">
      <c r="D12800" s="19">
        <f>IF(ABS(IF(ABS($E$12764)&gt;0.000000001,$E$12764,0.000000001))=0,0,IF($E$12212&lt;=$B$12198,0,IF(ABS(IF(ABS($E$12764)&gt;0.000000001,$E$12764,0.000000001))&gt;=8*$B$12200,$H$12212,0.5*$H$12212*(ABS(IF(ABS($E$12764)&gt;0.000000001,$E$12764,0.000000001))/$B$12200)^(1/3)))/ABS(IF(ABS($E$12764)&gt;0.000000001,$E$12764,0.000000001))*$I$12212)</f>
        <v/>
      </c>
      <c r="E12800" s="19">
        <f>0.5*$E$12764+0.5*$Z$12820</f>
        <v/>
      </c>
      <c r="F12800" s="19">
        <f>$Z$12821</f>
        <v/>
      </c>
    </row>
    <row r="12801">
      <c r="D12801" s="19">
        <f>IF(ABS(IF(ABS($E$12765)&gt;0.000000001,$E$12765,0.000000001))=0,0,IF($E$12213&lt;=$B$12198,0,IF(ABS(IF(ABS($E$12765)&gt;0.000000001,$E$12765,0.000000001))&gt;=8*$B$12200,$H$12213,0.5*$H$12213*(ABS(IF(ABS($E$12765)&gt;0.000000001,$E$12765,0.000000001))/$B$12200)^(1/3)))/ABS(IF(ABS($E$12765)&gt;0.000000001,$E$12765,0.000000001))*$I$12213)</f>
        <v/>
      </c>
      <c r="E12801" s="19">
        <f>0.5*$E$12765+0.5*$Z$12822</f>
        <v/>
      </c>
      <c r="F12801" s="19">
        <f>$Z$12823</f>
        <v/>
      </c>
    </row>
    <row r="12802">
      <c r="D12802" s="19">
        <f>IF(ABS(IF(ABS($E$12766)&gt;0.000000001,$E$12766,0.000000001))=0,0,IF($E$12214&lt;=$B$12198,0,IF(ABS(IF(ABS($E$12766)&gt;0.000000001,$E$12766,0.000000001))&gt;=8*$B$12200,$H$12214,0.5*$H$12214*(ABS(IF(ABS($E$12766)&gt;0.000000001,$E$12766,0.000000001))/$B$12200)^(1/3)))/ABS(IF(ABS($E$12766)&gt;0.000000001,$E$12766,0.000000001))*$I$12214)</f>
        <v/>
      </c>
      <c r="E12802" s="19">
        <f>0.5*$E$12766+0.5*$Z$12824</f>
        <v/>
      </c>
      <c r="F12802" s="19">
        <f>$Z$12825</f>
        <v/>
      </c>
    </row>
    <row r="12804">
      <c r="D12804" s="21">
        <f>$B$12189+$D$12792</f>
        <v/>
      </c>
      <c r="E12804" s="21">
        <f>$B$12190</f>
        <v/>
      </c>
      <c r="F12804" s="21">
        <f>-$B$12189</f>
        <v/>
      </c>
      <c r="G12804" s="21">
        <f>$B$12190</f>
        <v/>
      </c>
      <c r="H12804" s="21" t="n">
        <v>0</v>
      </c>
      <c r="I12804" s="21" t="n">
        <v>0</v>
      </c>
      <c r="J12804" s="21" t="n">
        <v>0</v>
      </c>
      <c r="K12804" s="21" t="n">
        <v>0</v>
      </c>
      <c r="L12804" s="21" t="n">
        <v>0</v>
      </c>
      <c r="M12804" s="21" t="n">
        <v>0</v>
      </c>
      <c r="N12804" s="21" t="n">
        <v>0</v>
      </c>
      <c r="O12804" s="21" t="n">
        <v>0</v>
      </c>
      <c r="P12804" s="21" t="n">
        <v>0</v>
      </c>
      <c r="Q12804" s="21" t="n">
        <v>0</v>
      </c>
      <c r="R12804" s="21" t="n">
        <v>0</v>
      </c>
      <c r="S12804" s="21" t="n">
        <v>0</v>
      </c>
      <c r="T12804" s="21" t="n">
        <v>0</v>
      </c>
      <c r="U12804" s="21" t="n">
        <v>0</v>
      </c>
      <c r="V12804" s="21" t="n">
        <v>0</v>
      </c>
      <c r="W12804" s="21" t="n">
        <v>0</v>
      </c>
      <c r="X12804" s="21" t="n">
        <v>0</v>
      </c>
      <c r="Y12804" s="21" t="n">
        <v>0</v>
      </c>
      <c r="Z12804" s="19">
        <f t="array" ref="Z12804:Z12825">MMULT(MINVERSE($D$12804:$Y$12825),$D$12216:$D$12237)</f>
        <v/>
      </c>
    </row>
    <row r="12805">
      <c r="D12805" s="21">
        <f>$B$12190</f>
        <v/>
      </c>
      <c r="E12805" s="21">
        <f>$B$12191</f>
        <v/>
      </c>
      <c r="F12805" s="21">
        <f>-$B$12190</f>
        <v/>
      </c>
      <c r="G12805" s="21">
        <f>$B$12192</f>
        <v/>
      </c>
      <c r="H12805" s="21" t="n">
        <v>0</v>
      </c>
      <c r="I12805" s="21" t="n">
        <v>0</v>
      </c>
      <c r="J12805" s="21" t="n">
        <v>0</v>
      </c>
      <c r="K12805" s="21" t="n">
        <v>0</v>
      </c>
      <c r="L12805" s="21" t="n">
        <v>0</v>
      </c>
      <c r="M12805" s="21" t="n">
        <v>0</v>
      </c>
      <c r="N12805" s="21" t="n">
        <v>0</v>
      </c>
      <c r="O12805" s="21" t="n">
        <v>0</v>
      </c>
      <c r="P12805" s="21" t="n">
        <v>0</v>
      </c>
      <c r="Q12805" s="21" t="n">
        <v>0</v>
      </c>
      <c r="R12805" s="21" t="n">
        <v>0</v>
      </c>
      <c r="S12805" s="21" t="n">
        <v>0</v>
      </c>
      <c r="T12805" s="21" t="n">
        <v>0</v>
      </c>
      <c r="U12805" s="21" t="n">
        <v>0</v>
      </c>
      <c r="V12805" s="21" t="n">
        <v>0</v>
      </c>
      <c r="W12805" s="21" t="n">
        <v>0</v>
      </c>
      <c r="X12805" s="21" t="n">
        <v>0</v>
      </c>
      <c r="Y12805" s="21" t="n">
        <v>0</v>
      </c>
      <c r="Z12805" s="19" t="n"/>
    </row>
    <row r="12806">
      <c r="D12806" s="21">
        <f>-$B$12189</f>
        <v/>
      </c>
      <c r="E12806" s="21">
        <f>-$B$12190</f>
        <v/>
      </c>
      <c r="F12806" s="21">
        <f>2*$B$12189+$D$12793</f>
        <v/>
      </c>
      <c r="G12806" s="21">
        <f>0</f>
        <v/>
      </c>
      <c r="H12806" s="21">
        <f>-$B$12189</f>
        <v/>
      </c>
      <c r="I12806" s="21">
        <f>$B$12190</f>
        <v/>
      </c>
      <c r="J12806" s="21" t="n">
        <v>0</v>
      </c>
      <c r="K12806" s="21" t="n">
        <v>0</v>
      </c>
      <c r="L12806" s="21" t="n">
        <v>0</v>
      </c>
      <c r="M12806" s="21" t="n">
        <v>0</v>
      </c>
      <c r="N12806" s="21" t="n">
        <v>0</v>
      </c>
      <c r="O12806" s="21" t="n">
        <v>0</v>
      </c>
      <c r="P12806" s="21" t="n">
        <v>0</v>
      </c>
      <c r="Q12806" s="21" t="n">
        <v>0</v>
      </c>
      <c r="R12806" s="21" t="n">
        <v>0</v>
      </c>
      <c r="S12806" s="21" t="n">
        <v>0</v>
      </c>
      <c r="T12806" s="21" t="n">
        <v>0</v>
      </c>
      <c r="U12806" s="21" t="n">
        <v>0</v>
      </c>
      <c r="V12806" s="21" t="n">
        <v>0</v>
      </c>
      <c r="W12806" s="21" t="n">
        <v>0</v>
      </c>
      <c r="X12806" s="21" t="n">
        <v>0</v>
      </c>
      <c r="Y12806" s="21" t="n">
        <v>0</v>
      </c>
      <c r="Z12806" s="19" t="n"/>
    </row>
    <row r="12807">
      <c r="D12807" s="21">
        <f>$B$12190</f>
        <v/>
      </c>
      <c r="E12807" s="21">
        <f>$B$12192</f>
        <v/>
      </c>
      <c r="F12807" s="21">
        <f>0</f>
        <v/>
      </c>
      <c r="G12807" s="21">
        <f>2*$B$12191</f>
        <v/>
      </c>
      <c r="H12807" s="21">
        <f>-$B$12190</f>
        <v/>
      </c>
      <c r="I12807" s="21">
        <f>$B$12192</f>
        <v/>
      </c>
      <c r="J12807" s="21" t="n">
        <v>0</v>
      </c>
      <c r="K12807" s="21" t="n">
        <v>0</v>
      </c>
      <c r="L12807" s="21" t="n">
        <v>0</v>
      </c>
      <c r="M12807" s="21" t="n">
        <v>0</v>
      </c>
      <c r="N12807" s="21" t="n">
        <v>0</v>
      </c>
      <c r="O12807" s="21" t="n">
        <v>0</v>
      </c>
      <c r="P12807" s="21" t="n">
        <v>0</v>
      </c>
      <c r="Q12807" s="21" t="n">
        <v>0</v>
      </c>
      <c r="R12807" s="21" t="n">
        <v>0</v>
      </c>
      <c r="S12807" s="21" t="n">
        <v>0</v>
      </c>
      <c r="T12807" s="21" t="n">
        <v>0</v>
      </c>
      <c r="U12807" s="21" t="n">
        <v>0</v>
      </c>
      <c r="V12807" s="21" t="n">
        <v>0</v>
      </c>
      <c r="W12807" s="21" t="n">
        <v>0</v>
      </c>
      <c r="X12807" s="21" t="n">
        <v>0</v>
      </c>
      <c r="Y12807" s="21" t="n">
        <v>0</v>
      </c>
      <c r="Z12807" s="19" t="n"/>
    </row>
    <row r="12808">
      <c r="D12808" s="21" t="n">
        <v>0</v>
      </c>
      <c r="E12808" s="21" t="n">
        <v>0</v>
      </c>
      <c r="F12808" s="21">
        <f>-$B$12189</f>
        <v/>
      </c>
      <c r="G12808" s="21">
        <f>-$B$12190</f>
        <v/>
      </c>
      <c r="H12808" s="21">
        <f>2*$B$12189+$D$12794</f>
        <v/>
      </c>
      <c r="I12808" s="21">
        <f>0</f>
        <v/>
      </c>
      <c r="J12808" s="21">
        <f>-$B$12189</f>
        <v/>
      </c>
      <c r="K12808" s="21">
        <f>$B$12190</f>
        <v/>
      </c>
      <c r="L12808" s="21" t="n">
        <v>0</v>
      </c>
      <c r="M12808" s="21" t="n">
        <v>0</v>
      </c>
      <c r="N12808" s="21" t="n">
        <v>0</v>
      </c>
      <c r="O12808" s="21" t="n">
        <v>0</v>
      </c>
      <c r="P12808" s="21" t="n">
        <v>0</v>
      </c>
      <c r="Q12808" s="21" t="n">
        <v>0</v>
      </c>
      <c r="R12808" s="21" t="n">
        <v>0</v>
      </c>
      <c r="S12808" s="21" t="n">
        <v>0</v>
      </c>
      <c r="T12808" s="21" t="n">
        <v>0</v>
      </c>
      <c r="U12808" s="21" t="n">
        <v>0</v>
      </c>
      <c r="V12808" s="21" t="n">
        <v>0</v>
      </c>
      <c r="W12808" s="21" t="n">
        <v>0</v>
      </c>
      <c r="X12808" s="21" t="n">
        <v>0</v>
      </c>
      <c r="Y12808" s="21" t="n">
        <v>0</v>
      </c>
      <c r="Z12808" s="19" t="n"/>
    </row>
    <row r="12809">
      <c r="D12809" s="21" t="n">
        <v>0</v>
      </c>
      <c r="E12809" s="21" t="n">
        <v>0</v>
      </c>
      <c r="F12809" s="21">
        <f>$B$12190</f>
        <v/>
      </c>
      <c r="G12809" s="21">
        <f>$B$12192</f>
        <v/>
      </c>
      <c r="H12809" s="21">
        <f>0</f>
        <v/>
      </c>
      <c r="I12809" s="21">
        <f>2*$B$12191</f>
        <v/>
      </c>
      <c r="J12809" s="21">
        <f>-$B$12190</f>
        <v/>
      </c>
      <c r="K12809" s="21">
        <f>$B$12192</f>
        <v/>
      </c>
      <c r="L12809" s="21" t="n">
        <v>0</v>
      </c>
      <c r="M12809" s="21" t="n">
        <v>0</v>
      </c>
      <c r="N12809" s="21" t="n">
        <v>0</v>
      </c>
      <c r="O12809" s="21" t="n">
        <v>0</v>
      </c>
      <c r="P12809" s="21" t="n">
        <v>0</v>
      </c>
      <c r="Q12809" s="21" t="n">
        <v>0</v>
      </c>
      <c r="R12809" s="21" t="n">
        <v>0</v>
      </c>
      <c r="S12809" s="21" t="n">
        <v>0</v>
      </c>
      <c r="T12809" s="21" t="n">
        <v>0</v>
      </c>
      <c r="U12809" s="21" t="n">
        <v>0</v>
      </c>
      <c r="V12809" s="21" t="n">
        <v>0</v>
      </c>
      <c r="W12809" s="21" t="n">
        <v>0</v>
      </c>
      <c r="X12809" s="21" t="n">
        <v>0</v>
      </c>
      <c r="Y12809" s="21" t="n">
        <v>0</v>
      </c>
      <c r="Z12809" s="19" t="n"/>
    </row>
    <row r="12810">
      <c r="D12810" s="21" t="n">
        <v>0</v>
      </c>
      <c r="E12810" s="21" t="n">
        <v>0</v>
      </c>
      <c r="F12810" s="21" t="n">
        <v>0</v>
      </c>
      <c r="G12810" s="21" t="n">
        <v>0</v>
      </c>
      <c r="H12810" s="21">
        <f>-$B$12189</f>
        <v/>
      </c>
      <c r="I12810" s="21">
        <f>-$B$12190</f>
        <v/>
      </c>
      <c r="J12810" s="21">
        <f>2*$B$12189+$D$12795</f>
        <v/>
      </c>
      <c r="K12810" s="21">
        <f>0</f>
        <v/>
      </c>
      <c r="L12810" s="21">
        <f>-$B$12189</f>
        <v/>
      </c>
      <c r="M12810" s="21">
        <f>$B$12190</f>
        <v/>
      </c>
      <c r="N12810" s="21" t="n">
        <v>0</v>
      </c>
      <c r="O12810" s="21" t="n">
        <v>0</v>
      </c>
      <c r="P12810" s="21" t="n">
        <v>0</v>
      </c>
      <c r="Q12810" s="21" t="n">
        <v>0</v>
      </c>
      <c r="R12810" s="21" t="n">
        <v>0</v>
      </c>
      <c r="S12810" s="21" t="n">
        <v>0</v>
      </c>
      <c r="T12810" s="21" t="n">
        <v>0</v>
      </c>
      <c r="U12810" s="21" t="n">
        <v>0</v>
      </c>
      <c r="V12810" s="21" t="n">
        <v>0</v>
      </c>
      <c r="W12810" s="21" t="n">
        <v>0</v>
      </c>
      <c r="X12810" s="21" t="n">
        <v>0</v>
      </c>
      <c r="Y12810" s="21" t="n">
        <v>0</v>
      </c>
      <c r="Z12810" s="19" t="n"/>
    </row>
    <row r="12811">
      <c r="D12811" s="21" t="n">
        <v>0</v>
      </c>
      <c r="E12811" s="21" t="n">
        <v>0</v>
      </c>
      <c r="F12811" s="21" t="n">
        <v>0</v>
      </c>
      <c r="G12811" s="21" t="n">
        <v>0</v>
      </c>
      <c r="H12811" s="21">
        <f>$B$12190</f>
        <v/>
      </c>
      <c r="I12811" s="21">
        <f>$B$12192</f>
        <v/>
      </c>
      <c r="J12811" s="21">
        <f>0</f>
        <v/>
      </c>
      <c r="K12811" s="21">
        <f>2*$B$12191</f>
        <v/>
      </c>
      <c r="L12811" s="21">
        <f>-$B$12190</f>
        <v/>
      </c>
      <c r="M12811" s="21">
        <f>$B$12192</f>
        <v/>
      </c>
      <c r="N12811" s="21" t="n">
        <v>0</v>
      </c>
      <c r="O12811" s="21" t="n">
        <v>0</v>
      </c>
      <c r="P12811" s="21" t="n">
        <v>0</v>
      </c>
      <c r="Q12811" s="21" t="n">
        <v>0</v>
      </c>
      <c r="R12811" s="21" t="n">
        <v>0</v>
      </c>
      <c r="S12811" s="21" t="n">
        <v>0</v>
      </c>
      <c r="T12811" s="21" t="n">
        <v>0</v>
      </c>
      <c r="U12811" s="21" t="n">
        <v>0</v>
      </c>
      <c r="V12811" s="21" t="n">
        <v>0</v>
      </c>
      <c r="W12811" s="21" t="n">
        <v>0</v>
      </c>
      <c r="X12811" s="21" t="n">
        <v>0</v>
      </c>
      <c r="Y12811" s="21" t="n">
        <v>0</v>
      </c>
      <c r="Z12811" s="19" t="n"/>
    </row>
    <row r="12812">
      <c r="D12812" s="21" t="n">
        <v>0</v>
      </c>
      <c r="E12812" s="21" t="n">
        <v>0</v>
      </c>
      <c r="F12812" s="21" t="n">
        <v>0</v>
      </c>
      <c r="G12812" s="21" t="n">
        <v>0</v>
      </c>
      <c r="H12812" s="21" t="n">
        <v>0</v>
      </c>
      <c r="I12812" s="21" t="n">
        <v>0</v>
      </c>
      <c r="J12812" s="21">
        <f>-$B$12189</f>
        <v/>
      </c>
      <c r="K12812" s="21">
        <f>-$B$12190</f>
        <v/>
      </c>
      <c r="L12812" s="21">
        <f>2*$B$12189+$D$12796</f>
        <v/>
      </c>
      <c r="M12812" s="21">
        <f>0</f>
        <v/>
      </c>
      <c r="N12812" s="21">
        <f>-$B$12189</f>
        <v/>
      </c>
      <c r="O12812" s="21">
        <f>$B$12190</f>
        <v/>
      </c>
      <c r="P12812" s="21" t="n">
        <v>0</v>
      </c>
      <c r="Q12812" s="21" t="n">
        <v>0</v>
      </c>
      <c r="R12812" s="21" t="n">
        <v>0</v>
      </c>
      <c r="S12812" s="21" t="n">
        <v>0</v>
      </c>
      <c r="T12812" s="21" t="n">
        <v>0</v>
      </c>
      <c r="U12812" s="21" t="n">
        <v>0</v>
      </c>
      <c r="V12812" s="21" t="n">
        <v>0</v>
      </c>
      <c r="W12812" s="21" t="n">
        <v>0</v>
      </c>
      <c r="X12812" s="21" t="n">
        <v>0</v>
      </c>
      <c r="Y12812" s="21" t="n">
        <v>0</v>
      </c>
      <c r="Z12812" s="19" t="n"/>
    </row>
    <row r="12813">
      <c r="D12813" s="21" t="n">
        <v>0</v>
      </c>
      <c r="E12813" s="21" t="n">
        <v>0</v>
      </c>
      <c r="F12813" s="21" t="n">
        <v>0</v>
      </c>
      <c r="G12813" s="21" t="n">
        <v>0</v>
      </c>
      <c r="H12813" s="21" t="n">
        <v>0</v>
      </c>
      <c r="I12813" s="21" t="n">
        <v>0</v>
      </c>
      <c r="J12813" s="21">
        <f>$B$12190</f>
        <v/>
      </c>
      <c r="K12813" s="21">
        <f>$B$12192</f>
        <v/>
      </c>
      <c r="L12813" s="21">
        <f>0</f>
        <v/>
      </c>
      <c r="M12813" s="21">
        <f>2*$B$12191</f>
        <v/>
      </c>
      <c r="N12813" s="21">
        <f>-$B$12190</f>
        <v/>
      </c>
      <c r="O12813" s="21">
        <f>$B$12192</f>
        <v/>
      </c>
      <c r="P12813" s="21" t="n">
        <v>0</v>
      </c>
      <c r="Q12813" s="21" t="n">
        <v>0</v>
      </c>
      <c r="R12813" s="21" t="n">
        <v>0</v>
      </c>
      <c r="S12813" s="21" t="n">
        <v>0</v>
      </c>
      <c r="T12813" s="21" t="n">
        <v>0</v>
      </c>
      <c r="U12813" s="21" t="n">
        <v>0</v>
      </c>
      <c r="V12813" s="21" t="n">
        <v>0</v>
      </c>
      <c r="W12813" s="21" t="n">
        <v>0</v>
      </c>
      <c r="X12813" s="21" t="n">
        <v>0</v>
      </c>
      <c r="Y12813" s="21" t="n">
        <v>0</v>
      </c>
      <c r="Z12813" s="19" t="n"/>
    </row>
    <row r="12814">
      <c r="D12814" s="21" t="n">
        <v>0</v>
      </c>
      <c r="E12814" s="21" t="n">
        <v>0</v>
      </c>
      <c r="F12814" s="21" t="n">
        <v>0</v>
      </c>
      <c r="G12814" s="21" t="n">
        <v>0</v>
      </c>
      <c r="H12814" s="21" t="n">
        <v>0</v>
      </c>
      <c r="I12814" s="21" t="n">
        <v>0</v>
      </c>
      <c r="J12814" s="21" t="n">
        <v>0</v>
      </c>
      <c r="K12814" s="21" t="n">
        <v>0</v>
      </c>
      <c r="L12814" s="21">
        <f>-$B$12189</f>
        <v/>
      </c>
      <c r="M12814" s="21">
        <f>-$B$12190</f>
        <v/>
      </c>
      <c r="N12814" s="21">
        <f>2*$B$12189+$D$12797</f>
        <v/>
      </c>
      <c r="O12814" s="21">
        <f>0</f>
        <v/>
      </c>
      <c r="P12814" s="21">
        <f>-$B$12189</f>
        <v/>
      </c>
      <c r="Q12814" s="21">
        <f>$B$12190</f>
        <v/>
      </c>
      <c r="R12814" s="21" t="n">
        <v>0</v>
      </c>
      <c r="S12814" s="21" t="n">
        <v>0</v>
      </c>
      <c r="T12814" s="21" t="n">
        <v>0</v>
      </c>
      <c r="U12814" s="21" t="n">
        <v>0</v>
      </c>
      <c r="V12814" s="21" t="n">
        <v>0</v>
      </c>
      <c r="W12814" s="21" t="n">
        <v>0</v>
      </c>
      <c r="X12814" s="21" t="n">
        <v>0</v>
      </c>
      <c r="Y12814" s="21" t="n">
        <v>0</v>
      </c>
      <c r="Z12814" s="19" t="n"/>
    </row>
    <row r="12815">
      <c r="D12815" s="21" t="n">
        <v>0</v>
      </c>
      <c r="E12815" s="21" t="n">
        <v>0</v>
      </c>
      <c r="F12815" s="21" t="n">
        <v>0</v>
      </c>
      <c r="G12815" s="21" t="n">
        <v>0</v>
      </c>
      <c r="H12815" s="21" t="n">
        <v>0</v>
      </c>
      <c r="I12815" s="21" t="n">
        <v>0</v>
      </c>
      <c r="J12815" s="21" t="n">
        <v>0</v>
      </c>
      <c r="K12815" s="21" t="n">
        <v>0</v>
      </c>
      <c r="L12815" s="21">
        <f>$B$12190</f>
        <v/>
      </c>
      <c r="M12815" s="21">
        <f>$B$12192</f>
        <v/>
      </c>
      <c r="N12815" s="21">
        <f>0</f>
        <v/>
      </c>
      <c r="O12815" s="21">
        <f>2*$B$12191</f>
        <v/>
      </c>
      <c r="P12815" s="21">
        <f>-$B$12190</f>
        <v/>
      </c>
      <c r="Q12815" s="21">
        <f>$B$12192</f>
        <v/>
      </c>
      <c r="R12815" s="21" t="n">
        <v>0</v>
      </c>
      <c r="S12815" s="21" t="n">
        <v>0</v>
      </c>
      <c r="T12815" s="21" t="n">
        <v>0</v>
      </c>
      <c r="U12815" s="21" t="n">
        <v>0</v>
      </c>
      <c r="V12815" s="21" t="n">
        <v>0</v>
      </c>
      <c r="W12815" s="21" t="n">
        <v>0</v>
      </c>
      <c r="X12815" s="21" t="n">
        <v>0</v>
      </c>
      <c r="Y12815" s="21" t="n">
        <v>0</v>
      </c>
      <c r="Z12815" s="19" t="n"/>
    </row>
    <row r="12816">
      <c r="D12816" s="21" t="n">
        <v>0</v>
      </c>
      <c r="E12816" s="21" t="n">
        <v>0</v>
      </c>
      <c r="F12816" s="21" t="n">
        <v>0</v>
      </c>
      <c r="G12816" s="21" t="n">
        <v>0</v>
      </c>
      <c r="H12816" s="21" t="n">
        <v>0</v>
      </c>
      <c r="I12816" s="21" t="n">
        <v>0</v>
      </c>
      <c r="J12816" s="21" t="n">
        <v>0</v>
      </c>
      <c r="K12816" s="21" t="n">
        <v>0</v>
      </c>
      <c r="L12816" s="21" t="n">
        <v>0</v>
      </c>
      <c r="M12816" s="21" t="n">
        <v>0</v>
      </c>
      <c r="N12816" s="21">
        <f>-$B$12189</f>
        <v/>
      </c>
      <c r="O12816" s="21">
        <f>-$B$12190</f>
        <v/>
      </c>
      <c r="P12816" s="21">
        <f>2*$B$12189+$D$12798</f>
        <v/>
      </c>
      <c r="Q12816" s="21">
        <f>0</f>
        <v/>
      </c>
      <c r="R12816" s="21">
        <f>-$B$12189</f>
        <v/>
      </c>
      <c r="S12816" s="21">
        <f>$B$12190</f>
        <v/>
      </c>
      <c r="T12816" s="21" t="n">
        <v>0</v>
      </c>
      <c r="U12816" s="21" t="n">
        <v>0</v>
      </c>
      <c r="V12816" s="21" t="n">
        <v>0</v>
      </c>
      <c r="W12816" s="21" t="n">
        <v>0</v>
      </c>
      <c r="X12816" s="21" t="n">
        <v>0</v>
      </c>
      <c r="Y12816" s="21" t="n">
        <v>0</v>
      </c>
      <c r="Z12816" s="19" t="n"/>
    </row>
    <row r="12817">
      <c r="D12817" s="21" t="n">
        <v>0</v>
      </c>
      <c r="E12817" s="21" t="n">
        <v>0</v>
      </c>
      <c r="F12817" s="21" t="n">
        <v>0</v>
      </c>
      <c r="G12817" s="21" t="n">
        <v>0</v>
      </c>
      <c r="H12817" s="21" t="n">
        <v>0</v>
      </c>
      <c r="I12817" s="21" t="n">
        <v>0</v>
      </c>
      <c r="J12817" s="21" t="n">
        <v>0</v>
      </c>
      <c r="K12817" s="21" t="n">
        <v>0</v>
      </c>
      <c r="L12817" s="21" t="n">
        <v>0</v>
      </c>
      <c r="M12817" s="21" t="n">
        <v>0</v>
      </c>
      <c r="N12817" s="21">
        <f>$B$12190</f>
        <v/>
      </c>
      <c r="O12817" s="21">
        <f>$B$12192</f>
        <v/>
      </c>
      <c r="P12817" s="21">
        <f>0</f>
        <v/>
      </c>
      <c r="Q12817" s="21">
        <f>2*$B$12191</f>
        <v/>
      </c>
      <c r="R12817" s="21">
        <f>-$B$12190</f>
        <v/>
      </c>
      <c r="S12817" s="21">
        <f>$B$12192</f>
        <v/>
      </c>
      <c r="T12817" s="21" t="n">
        <v>0</v>
      </c>
      <c r="U12817" s="21" t="n">
        <v>0</v>
      </c>
      <c r="V12817" s="21" t="n">
        <v>0</v>
      </c>
      <c r="W12817" s="21" t="n">
        <v>0</v>
      </c>
      <c r="X12817" s="21" t="n">
        <v>0</v>
      </c>
      <c r="Y12817" s="21" t="n">
        <v>0</v>
      </c>
      <c r="Z12817" s="19" t="n"/>
    </row>
    <row r="12818">
      <c r="D12818" s="21" t="n">
        <v>0</v>
      </c>
      <c r="E12818" s="21" t="n">
        <v>0</v>
      </c>
      <c r="F12818" s="21" t="n">
        <v>0</v>
      </c>
      <c r="G12818" s="21" t="n">
        <v>0</v>
      </c>
      <c r="H12818" s="21" t="n">
        <v>0</v>
      </c>
      <c r="I12818" s="21" t="n">
        <v>0</v>
      </c>
      <c r="J12818" s="21" t="n">
        <v>0</v>
      </c>
      <c r="K12818" s="21" t="n">
        <v>0</v>
      </c>
      <c r="L12818" s="21" t="n">
        <v>0</v>
      </c>
      <c r="M12818" s="21" t="n">
        <v>0</v>
      </c>
      <c r="N12818" s="21" t="n">
        <v>0</v>
      </c>
      <c r="O12818" s="21" t="n">
        <v>0</v>
      </c>
      <c r="P12818" s="21">
        <f>-$B$12189</f>
        <v/>
      </c>
      <c r="Q12818" s="21">
        <f>-$B$12190</f>
        <v/>
      </c>
      <c r="R12818" s="21">
        <f>2*$B$12189+$D$12799</f>
        <v/>
      </c>
      <c r="S12818" s="21">
        <f>0</f>
        <v/>
      </c>
      <c r="T12818" s="21">
        <f>-$B$12189</f>
        <v/>
      </c>
      <c r="U12818" s="21">
        <f>$B$12190</f>
        <v/>
      </c>
      <c r="V12818" s="21" t="n">
        <v>0</v>
      </c>
      <c r="W12818" s="21" t="n">
        <v>0</v>
      </c>
      <c r="X12818" s="21" t="n">
        <v>0</v>
      </c>
      <c r="Y12818" s="21" t="n">
        <v>0</v>
      </c>
      <c r="Z12818" s="19" t="n"/>
    </row>
    <row r="12819">
      <c r="D12819" s="21" t="n">
        <v>0</v>
      </c>
      <c r="E12819" s="21" t="n">
        <v>0</v>
      </c>
      <c r="F12819" s="21" t="n">
        <v>0</v>
      </c>
      <c r="G12819" s="21" t="n">
        <v>0</v>
      </c>
      <c r="H12819" s="21" t="n">
        <v>0</v>
      </c>
      <c r="I12819" s="21" t="n">
        <v>0</v>
      </c>
      <c r="J12819" s="21" t="n">
        <v>0</v>
      </c>
      <c r="K12819" s="21" t="n">
        <v>0</v>
      </c>
      <c r="L12819" s="21" t="n">
        <v>0</v>
      </c>
      <c r="M12819" s="21" t="n">
        <v>0</v>
      </c>
      <c r="N12819" s="21" t="n">
        <v>0</v>
      </c>
      <c r="O12819" s="21" t="n">
        <v>0</v>
      </c>
      <c r="P12819" s="21">
        <f>$B$12190</f>
        <v/>
      </c>
      <c r="Q12819" s="21">
        <f>$B$12192</f>
        <v/>
      </c>
      <c r="R12819" s="21">
        <f>0</f>
        <v/>
      </c>
      <c r="S12819" s="21">
        <f>2*$B$12191</f>
        <v/>
      </c>
      <c r="T12819" s="21">
        <f>-$B$12190</f>
        <v/>
      </c>
      <c r="U12819" s="21">
        <f>$B$12192</f>
        <v/>
      </c>
      <c r="V12819" s="21" t="n">
        <v>0</v>
      </c>
      <c r="W12819" s="21" t="n">
        <v>0</v>
      </c>
      <c r="X12819" s="21" t="n">
        <v>0</v>
      </c>
      <c r="Y12819" s="21" t="n">
        <v>0</v>
      </c>
      <c r="Z12819" s="19" t="n"/>
    </row>
    <row r="12820">
      <c r="D12820" s="21" t="n">
        <v>0</v>
      </c>
      <c r="E12820" s="21" t="n">
        <v>0</v>
      </c>
      <c r="F12820" s="21" t="n">
        <v>0</v>
      </c>
      <c r="G12820" s="21" t="n">
        <v>0</v>
      </c>
      <c r="H12820" s="21" t="n">
        <v>0</v>
      </c>
      <c r="I12820" s="21" t="n">
        <v>0</v>
      </c>
      <c r="J12820" s="21" t="n">
        <v>0</v>
      </c>
      <c r="K12820" s="21" t="n">
        <v>0</v>
      </c>
      <c r="L12820" s="21" t="n">
        <v>0</v>
      </c>
      <c r="M12820" s="21" t="n">
        <v>0</v>
      </c>
      <c r="N12820" s="21" t="n">
        <v>0</v>
      </c>
      <c r="O12820" s="21" t="n">
        <v>0</v>
      </c>
      <c r="P12820" s="21" t="n">
        <v>0</v>
      </c>
      <c r="Q12820" s="21" t="n">
        <v>0</v>
      </c>
      <c r="R12820" s="21">
        <f>-$B$12189</f>
        <v/>
      </c>
      <c r="S12820" s="21">
        <f>-$B$12190</f>
        <v/>
      </c>
      <c r="T12820" s="21">
        <f>2*$B$12189+$D$12800</f>
        <v/>
      </c>
      <c r="U12820" s="21">
        <f>0</f>
        <v/>
      </c>
      <c r="V12820" s="21">
        <f>-$B$12189</f>
        <v/>
      </c>
      <c r="W12820" s="21">
        <f>$B$12190</f>
        <v/>
      </c>
      <c r="X12820" s="21" t="n">
        <v>0</v>
      </c>
      <c r="Y12820" s="21" t="n">
        <v>0</v>
      </c>
      <c r="Z12820" s="19" t="n"/>
    </row>
    <row r="12821">
      <c r="D12821" s="21" t="n">
        <v>0</v>
      </c>
      <c r="E12821" s="21" t="n">
        <v>0</v>
      </c>
      <c r="F12821" s="21" t="n">
        <v>0</v>
      </c>
      <c r="G12821" s="21" t="n">
        <v>0</v>
      </c>
      <c r="H12821" s="21" t="n">
        <v>0</v>
      </c>
      <c r="I12821" s="21" t="n">
        <v>0</v>
      </c>
      <c r="J12821" s="21" t="n">
        <v>0</v>
      </c>
      <c r="K12821" s="21" t="n">
        <v>0</v>
      </c>
      <c r="L12821" s="21" t="n">
        <v>0</v>
      </c>
      <c r="M12821" s="21" t="n">
        <v>0</v>
      </c>
      <c r="N12821" s="21" t="n">
        <v>0</v>
      </c>
      <c r="O12821" s="21" t="n">
        <v>0</v>
      </c>
      <c r="P12821" s="21" t="n">
        <v>0</v>
      </c>
      <c r="Q12821" s="21" t="n">
        <v>0</v>
      </c>
      <c r="R12821" s="21">
        <f>$B$12190</f>
        <v/>
      </c>
      <c r="S12821" s="21">
        <f>$B$12192</f>
        <v/>
      </c>
      <c r="T12821" s="21">
        <f>0</f>
        <v/>
      </c>
      <c r="U12821" s="21">
        <f>2*$B$12191</f>
        <v/>
      </c>
      <c r="V12821" s="21">
        <f>-$B$12190</f>
        <v/>
      </c>
      <c r="W12821" s="21">
        <f>$B$12192</f>
        <v/>
      </c>
      <c r="X12821" s="21" t="n">
        <v>0</v>
      </c>
      <c r="Y12821" s="21" t="n">
        <v>0</v>
      </c>
      <c r="Z12821" s="19" t="n"/>
    </row>
    <row r="12822">
      <c r="D12822" s="21" t="n">
        <v>0</v>
      </c>
      <c r="E12822" s="21" t="n">
        <v>0</v>
      </c>
      <c r="F12822" s="21" t="n">
        <v>0</v>
      </c>
      <c r="G12822" s="21" t="n">
        <v>0</v>
      </c>
      <c r="H12822" s="21" t="n">
        <v>0</v>
      </c>
      <c r="I12822" s="21" t="n">
        <v>0</v>
      </c>
      <c r="J12822" s="21" t="n">
        <v>0</v>
      </c>
      <c r="K12822" s="21" t="n">
        <v>0</v>
      </c>
      <c r="L12822" s="21" t="n">
        <v>0</v>
      </c>
      <c r="M12822" s="21" t="n">
        <v>0</v>
      </c>
      <c r="N12822" s="21" t="n">
        <v>0</v>
      </c>
      <c r="O12822" s="21" t="n">
        <v>0</v>
      </c>
      <c r="P12822" s="21" t="n">
        <v>0</v>
      </c>
      <c r="Q12822" s="21" t="n">
        <v>0</v>
      </c>
      <c r="R12822" s="21" t="n">
        <v>0</v>
      </c>
      <c r="S12822" s="21" t="n">
        <v>0</v>
      </c>
      <c r="T12822" s="21">
        <f>-$B$12189</f>
        <v/>
      </c>
      <c r="U12822" s="21">
        <f>-$B$12190</f>
        <v/>
      </c>
      <c r="V12822" s="21">
        <f>2*$B$12189+$D$12801</f>
        <v/>
      </c>
      <c r="W12822" s="21">
        <f>0</f>
        <v/>
      </c>
      <c r="X12822" s="21">
        <f>-$B$12189</f>
        <v/>
      </c>
      <c r="Y12822" s="21">
        <f>$B$12190</f>
        <v/>
      </c>
      <c r="Z12822" s="19" t="n"/>
    </row>
    <row r="12823">
      <c r="D12823" s="21" t="n">
        <v>0</v>
      </c>
      <c r="E12823" s="21" t="n">
        <v>0</v>
      </c>
      <c r="F12823" s="21" t="n">
        <v>0</v>
      </c>
      <c r="G12823" s="21" t="n">
        <v>0</v>
      </c>
      <c r="H12823" s="21" t="n">
        <v>0</v>
      </c>
      <c r="I12823" s="21" t="n">
        <v>0</v>
      </c>
      <c r="J12823" s="21" t="n">
        <v>0</v>
      </c>
      <c r="K12823" s="21" t="n">
        <v>0</v>
      </c>
      <c r="L12823" s="21" t="n">
        <v>0</v>
      </c>
      <c r="M12823" s="21" t="n">
        <v>0</v>
      </c>
      <c r="N12823" s="21" t="n">
        <v>0</v>
      </c>
      <c r="O12823" s="21" t="n">
        <v>0</v>
      </c>
      <c r="P12823" s="21" t="n">
        <v>0</v>
      </c>
      <c r="Q12823" s="21" t="n">
        <v>0</v>
      </c>
      <c r="R12823" s="21" t="n">
        <v>0</v>
      </c>
      <c r="S12823" s="21" t="n">
        <v>0</v>
      </c>
      <c r="T12823" s="21">
        <f>$B$12190</f>
        <v/>
      </c>
      <c r="U12823" s="21">
        <f>$B$12192</f>
        <v/>
      </c>
      <c r="V12823" s="21">
        <f>0</f>
        <v/>
      </c>
      <c r="W12823" s="21">
        <f>2*$B$12191</f>
        <v/>
      </c>
      <c r="X12823" s="21">
        <f>-$B$12190</f>
        <v/>
      </c>
      <c r="Y12823" s="21">
        <f>$B$12192</f>
        <v/>
      </c>
      <c r="Z12823" s="19" t="n"/>
    </row>
    <row r="12824">
      <c r="D12824" s="21" t="n">
        <v>0</v>
      </c>
      <c r="E12824" s="21" t="n">
        <v>0</v>
      </c>
      <c r="F12824" s="21" t="n">
        <v>0</v>
      </c>
      <c r="G12824" s="21" t="n">
        <v>0</v>
      </c>
      <c r="H12824" s="21" t="n">
        <v>0</v>
      </c>
      <c r="I12824" s="21" t="n">
        <v>0</v>
      </c>
      <c r="J12824" s="21" t="n">
        <v>0</v>
      </c>
      <c r="K12824" s="21" t="n">
        <v>0</v>
      </c>
      <c r="L12824" s="21" t="n">
        <v>0</v>
      </c>
      <c r="M12824" s="21" t="n">
        <v>0</v>
      </c>
      <c r="N12824" s="21" t="n">
        <v>0</v>
      </c>
      <c r="O12824" s="21" t="n">
        <v>0</v>
      </c>
      <c r="P12824" s="21" t="n">
        <v>0</v>
      </c>
      <c r="Q12824" s="21" t="n">
        <v>0</v>
      </c>
      <c r="R12824" s="21" t="n">
        <v>0</v>
      </c>
      <c r="S12824" s="21" t="n">
        <v>0</v>
      </c>
      <c r="T12824" s="21" t="n">
        <v>0</v>
      </c>
      <c r="U12824" s="21" t="n">
        <v>0</v>
      </c>
      <c r="V12824" s="21">
        <f>-$B$12189</f>
        <v/>
      </c>
      <c r="W12824" s="21">
        <f>-$B$12190</f>
        <v/>
      </c>
      <c r="X12824" s="21">
        <f>$B$12189+$D$12802</f>
        <v/>
      </c>
      <c r="Y12824" s="21">
        <f>-$B$12190</f>
        <v/>
      </c>
      <c r="Z12824" s="19" t="n"/>
    </row>
    <row r="12825">
      <c r="D12825" s="21" t="n">
        <v>0</v>
      </c>
      <c r="E12825" s="21" t="n">
        <v>0</v>
      </c>
      <c r="F12825" s="21" t="n">
        <v>0</v>
      </c>
      <c r="G12825" s="21" t="n">
        <v>0</v>
      </c>
      <c r="H12825" s="21" t="n">
        <v>0</v>
      </c>
      <c r="I12825" s="21" t="n">
        <v>0</v>
      </c>
      <c r="J12825" s="21" t="n">
        <v>0</v>
      </c>
      <c r="K12825" s="21" t="n">
        <v>0</v>
      </c>
      <c r="L12825" s="21" t="n">
        <v>0</v>
      </c>
      <c r="M12825" s="21" t="n">
        <v>0</v>
      </c>
      <c r="N12825" s="21" t="n">
        <v>0</v>
      </c>
      <c r="O12825" s="21" t="n">
        <v>0</v>
      </c>
      <c r="P12825" s="21" t="n">
        <v>0</v>
      </c>
      <c r="Q12825" s="21" t="n">
        <v>0</v>
      </c>
      <c r="R12825" s="21" t="n">
        <v>0</v>
      </c>
      <c r="S12825" s="21" t="n">
        <v>0</v>
      </c>
      <c r="T12825" s="21" t="n">
        <v>0</v>
      </c>
      <c r="U12825" s="21" t="n">
        <v>0</v>
      </c>
      <c r="V12825" s="21">
        <f>$B$12190</f>
        <v/>
      </c>
      <c r="W12825" s="21">
        <f>$B$12192</f>
        <v/>
      </c>
      <c r="X12825" s="21">
        <f>-$B$12190</f>
        <v/>
      </c>
      <c r="Y12825" s="21">
        <f>$B$12191</f>
        <v/>
      </c>
      <c r="Z12825" s="19" t="n"/>
    </row>
    <row r="12827">
      <c r="A12827" s="8" t="inlineStr">
        <is>
          <t>gen 17</t>
        </is>
      </c>
    </row>
    <row r="12828">
      <c r="D12828" s="19">
        <f>IF(ABS(IF(ABS($E$12792)&gt;0.000000001,$E$12792,0.000000001))=0,0,IF($E$12204&lt;=$B$12198,0,IF(ABS(IF(ABS($E$12792)&gt;0.000000001,$E$12792,0.000000001))&gt;=8*$B$12200,$H$12204,0.5*$H$12204*(ABS(IF(ABS($E$12792)&gt;0.000000001,$E$12792,0.000000001))/$B$12200)^(1/3)))/ABS(IF(ABS($E$12792)&gt;0.000000001,$E$12792,0.000000001))*$I$12204)</f>
        <v/>
      </c>
      <c r="E12828" s="19">
        <f>0.5*$E$12792+0.5*$Z$12840</f>
        <v/>
      </c>
      <c r="F12828" s="19">
        <f>$Z$12841</f>
        <v/>
      </c>
    </row>
    <row r="12829">
      <c r="D12829" s="19">
        <f>IF(ABS(IF(ABS($E$12793)&gt;0.000000001,$E$12793,0.000000001))=0,0,IF($E$12205&lt;=$B$12198,0,IF(ABS(IF(ABS($E$12793)&gt;0.000000001,$E$12793,0.000000001))&gt;=8*$B$12200,$H$12205,0.5*$H$12205*(ABS(IF(ABS($E$12793)&gt;0.000000001,$E$12793,0.000000001))/$B$12200)^(1/3)))/ABS(IF(ABS($E$12793)&gt;0.000000001,$E$12793,0.000000001))*$I$12205)</f>
        <v/>
      </c>
      <c r="E12829" s="19">
        <f>0.5*$E$12793+0.5*$Z$12842</f>
        <v/>
      </c>
      <c r="F12829" s="19">
        <f>$Z$12843</f>
        <v/>
      </c>
    </row>
    <row r="12830">
      <c r="D12830" s="19">
        <f>IF(ABS(IF(ABS($E$12794)&gt;0.000000001,$E$12794,0.000000001))=0,0,IF($E$12206&lt;=$B$12198,0,IF(ABS(IF(ABS($E$12794)&gt;0.000000001,$E$12794,0.000000001))&gt;=8*$B$12200,$H$12206,0.5*$H$12206*(ABS(IF(ABS($E$12794)&gt;0.000000001,$E$12794,0.000000001))/$B$12200)^(1/3)))/ABS(IF(ABS($E$12794)&gt;0.000000001,$E$12794,0.000000001))*$I$12206)</f>
        <v/>
      </c>
      <c r="E12830" s="19">
        <f>0.5*$E$12794+0.5*$Z$12844</f>
        <v/>
      </c>
      <c r="F12830" s="19">
        <f>$Z$12845</f>
        <v/>
      </c>
    </row>
    <row r="12831">
      <c r="D12831" s="19">
        <f>IF(ABS(IF(ABS($E$12795)&gt;0.000000001,$E$12795,0.000000001))=0,0,IF($E$12207&lt;=$B$12198,0,IF(ABS(IF(ABS($E$12795)&gt;0.000000001,$E$12795,0.000000001))&gt;=8*$B$12200,$H$12207,0.5*$H$12207*(ABS(IF(ABS($E$12795)&gt;0.000000001,$E$12795,0.000000001))/$B$12200)^(1/3)))/ABS(IF(ABS($E$12795)&gt;0.000000001,$E$12795,0.000000001))*$I$12207)</f>
        <v/>
      </c>
      <c r="E12831" s="19">
        <f>0.5*$E$12795+0.5*$Z$12846</f>
        <v/>
      </c>
      <c r="F12831" s="19">
        <f>$Z$12847</f>
        <v/>
      </c>
    </row>
    <row r="12832">
      <c r="D12832" s="19">
        <f>IF(ABS(IF(ABS($E$12796)&gt;0.000000001,$E$12796,0.000000001))=0,0,IF($E$12208&lt;=$B$12198,0,IF(ABS(IF(ABS($E$12796)&gt;0.000000001,$E$12796,0.000000001))&gt;=8*$B$12200,$H$12208,0.5*$H$12208*(ABS(IF(ABS($E$12796)&gt;0.000000001,$E$12796,0.000000001))/$B$12200)^(1/3)))/ABS(IF(ABS($E$12796)&gt;0.000000001,$E$12796,0.000000001))*$I$12208)</f>
        <v/>
      </c>
      <c r="E12832" s="19">
        <f>0.5*$E$12796+0.5*$Z$12848</f>
        <v/>
      </c>
      <c r="F12832" s="19">
        <f>$Z$12849</f>
        <v/>
      </c>
    </row>
    <row r="12833">
      <c r="D12833" s="19">
        <f>IF(ABS(IF(ABS($E$12797)&gt;0.000000001,$E$12797,0.000000001))=0,0,IF($E$12209&lt;=$B$12198,0,IF(ABS(IF(ABS($E$12797)&gt;0.000000001,$E$12797,0.000000001))&gt;=8*$B$12200,$H$12209,0.5*$H$12209*(ABS(IF(ABS($E$12797)&gt;0.000000001,$E$12797,0.000000001))/$B$12200)^(1/3)))/ABS(IF(ABS($E$12797)&gt;0.000000001,$E$12797,0.000000001))*$I$12209)</f>
        <v/>
      </c>
      <c r="E12833" s="19">
        <f>0.5*$E$12797+0.5*$Z$12850</f>
        <v/>
      </c>
      <c r="F12833" s="19">
        <f>$Z$12851</f>
        <v/>
      </c>
    </row>
    <row r="12834">
      <c r="D12834" s="19">
        <f>IF(ABS(IF(ABS($E$12798)&gt;0.000000001,$E$12798,0.000000001))=0,0,IF($E$12210&lt;=$B$12198,0,IF(ABS(IF(ABS($E$12798)&gt;0.000000001,$E$12798,0.000000001))&gt;=8*$B$12200,$H$12210,0.5*$H$12210*(ABS(IF(ABS($E$12798)&gt;0.000000001,$E$12798,0.000000001))/$B$12200)^(1/3)))/ABS(IF(ABS($E$12798)&gt;0.000000001,$E$12798,0.000000001))*$I$12210)</f>
        <v/>
      </c>
      <c r="E12834" s="19">
        <f>0.5*$E$12798+0.5*$Z$12852</f>
        <v/>
      </c>
      <c r="F12834" s="19">
        <f>$Z$12853</f>
        <v/>
      </c>
    </row>
    <row r="12835">
      <c r="D12835" s="19">
        <f>IF(ABS(IF(ABS($E$12799)&gt;0.000000001,$E$12799,0.000000001))=0,0,IF($E$12211&lt;=$B$12198,0,IF(ABS(IF(ABS($E$12799)&gt;0.000000001,$E$12799,0.000000001))&gt;=8*$B$12200,$H$12211,0.5*$H$12211*(ABS(IF(ABS($E$12799)&gt;0.000000001,$E$12799,0.000000001))/$B$12200)^(1/3)))/ABS(IF(ABS($E$12799)&gt;0.000000001,$E$12799,0.000000001))*$I$12211)</f>
        <v/>
      </c>
      <c r="E12835" s="19">
        <f>0.5*$E$12799+0.5*$Z$12854</f>
        <v/>
      </c>
      <c r="F12835" s="19">
        <f>$Z$12855</f>
        <v/>
      </c>
    </row>
    <row r="12836">
      <c r="D12836" s="19">
        <f>IF(ABS(IF(ABS($E$12800)&gt;0.000000001,$E$12800,0.000000001))=0,0,IF($E$12212&lt;=$B$12198,0,IF(ABS(IF(ABS($E$12800)&gt;0.000000001,$E$12800,0.000000001))&gt;=8*$B$12200,$H$12212,0.5*$H$12212*(ABS(IF(ABS($E$12800)&gt;0.000000001,$E$12800,0.000000001))/$B$12200)^(1/3)))/ABS(IF(ABS($E$12800)&gt;0.000000001,$E$12800,0.000000001))*$I$12212)</f>
        <v/>
      </c>
      <c r="E12836" s="19">
        <f>0.5*$E$12800+0.5*$Z$12856</f>
        <v/>
      </c>
      <c r="F12836" s="19">
        <f>$Z$12857</f>
        <v/>
      </c>
    </row>
    <row r="12837">
      <c r="D12837" s="19">
        <f>IF(ABS(IF(ABS($E$12801)&gt;0.000000001,$E$12801,0.000000001))=0,0,IF($E$12213&lt;=$B$12198,0,IF(ABS(IF(ABS($E$12801)&gt;0.000000001,$E$12801,0.000000001))&gt;=8*$B$12200,$H$12213,0.5*$H$12213*(ABS(IF(ABS($E$12801)&gt;0.000000001,$E$12801,0.000000001))/$B$12200)^(1/3)))/ABS(IF(ABS($E$12801)&gt;0.000000001,$E$12801,0.000000001))*$I$12213)</f>
        <v/>
      </c>
      <c r="E12837" s="19">
        <f>0.5*$E$12801+0.5*$Z$12858</f>
        <v/>
      </c>
      <c r="F12837" s="19">
        <f>$Z$12859</f>
        <v/>
      </c>
    </row>
    <row r="12838">
      <c r="D12838" s="19">
        <f>IF(ABS(IF(ABS($E$12802)&gt;0.000000001,$E$12802,0.000000001))=0,0,IF($E$12214&lt;=$B$12198,0,IF(ABS(IF(ABS($E$12802)&gt;0.000000001,$E$12802,0.000000001))&gt;=8*$B$12200,$H$12214,0.5*$H$12214*(ABS(IF(ABS($E$12802)&gt;0.000000001,$E$12802,0.000000001))/$B$12200)^(1/3)))/ABS(IF(ABS($E$12802)&gt;0.000000001,$E$12802,0.000000001))*$I$12214)</f>
        <v/>
      </c>
      <c r="E12838" s="19">
        <f>0.5*$E$12802+0.5*$Z$12860</f>
        <v/>
      </c>
      <c r="F12838" s="19">
        <f>$Z$12861</f>
        <v/>
      </c>
    </row>
    <row r="12840">
      <c r="D12840" s="21">
        <f>$B$12189+$D$12828</f>
        <v/>
      </c>
      <c r="E12840" s="21">
        <f>$B$12190</f>
        <v/>
      </c>
      <c r="F12840" s="21">
        <f>-$B$12189</f>
        <v/>
      </c>
      <c r="G12840" s="21">
        <f>$B$12190</f>
        <v/>
      </c>
      <c r="H12840" s="21" t="n">
        <v>0</v>
      </c>
      <c r="I12840" s="21" t="n">
        <v>0</v>
      </c>
      <c r="J12840" s="21" t="n">
        <v>0</v>
      </c>
      <c r="K12840" s="21" t="n">
        <v>0</v>
      </c>
      <c r="L12840" s="21" t="n">
        <v>0</v>
      </c>
      <c r="M12840" s="21" t="n">
        <v>0</v>
      </c>
      <c r="N12840" s="21" t="n">
        <v>0</v>
      </c>
      <c r="O12840" s="21" t="n">
        <v>0</v>
      </c>
      <c r="P12840" s="21" t="n">
        <v>0</v>
      </c>
      <c r="Q12840" s="21" t="n">
        <v>0</v>
      </c>
      <c r="R12840" s="21" t="n">
        <v>0</v>
      </c>
      <c r="S12840" s="21" t="n">
        <v>0</v>
      </c>
      <c r="T12840" s="21" t="n">
        <v>0</v>
      </c>
      <c r="U12840" s="21" t="n">
        <v>0</v>
      </c>
      <c r="V12840" s="21" t="n">
        <v>0</v>
      </c>
      <c r="W12840" s="21" t="n">
        <v>0</v>
      </c>
      <c r="X12840" s="21" t="n">
        <v>0</v>
      </c>
      <c r="Y12840" s="21" t="n">
        <v>0</v>
      </c>
      <c r="Z12840" s="19">
        <f t="array" ref="Z12840:Z12861">MMULT(MINVERSE($D$12840:$Y$12861),$D$12216:$D$12237)</f>
        <v/>
      </c>
    </row>
    <row r="12841">
      <c r="D12841" s="21">
        <f>$B$12190</f>
        <v/>
      </c>
      <c r="E12841" s="21">
        <f>$B$12191</f>
        <v/>
      </c>
      <c r="F12841" s="21">
        <f>-$B$12190</f>
        <v/>
      </c>
      <c r="G12841" s="21">
        <f>$B$12192</f>
        <v/>
      </c>
      <c r="H12841" s="21" t="n">
        <v>0</v>
      </c>
      <c r="I12841" s="21" t="n">
        <v>0</v>
      </c>
      <c r="J12841" s="21" t="n">
        <v>0</v>
      </c>
      <c r="K12841" s="21" t="n">
        <v>0</v>
      </c>
      <c r="L12841" s="21" t="n">
        <v>0</v>
      </c>
      <c r="M12841" s="21" t="n">
        <v>0</v>
      </c>
      <c r="N12841" s="21" t="n">
        <v>0</v>
      </c>
      <c r="O12841" s="21" t="n">
        <v>0</v>
      </c>
      <c r="P12841" s="21" t="n">
        <v>0</v>
      </c>
      <c r="Q12841" s="21" t="n">
        <v>0</v>
      </c>
      <c r="R12841" s="21" t="n">
        <v>0</v>
      </c>
      <c r="S12841" s="21" t="n">
        <v>0</v>
      </c>
      <c r="T12841" s="21" t="n">
        <v>0</v>
      </c>
      <c r="U12841" s="21" t="n">
        <v>0</v>
      </c>
      <c r="V12841" s="21" t="n">
        <v>0</v>
      </c>
      <c r="W12841" s="21" t="n">
        <v>0</v>
      </c>
      <c r="X12841" s="21" t="n">
        <v>0</v>
      </c>
      <c r="Y12841" s="21" t="n">
        <v>0</v>
      </c>
      <c r="Z12841" s="19" t="n"/>
    </row>
    <row r="12842">
      <c r="D12842" s="21">
        <f>-$B$12189</f>
        <v/>
      </c>
      <c r="E12842" s="21">
        <f>-$B$12190</f>
        <v/>
      </c>
      <c r="F12842" s="21">
        <f>2*$B$12189+$D$12829</f>
        <v/>
      </c>
      <c r="G12842" s="21">
        <f>0</f>
        <v/>
      </c>
      <c r="H12842" s="21">
        <f>-$B$12189</f>
        <v/>
      </c>
      <c r="I12842" s="21">
        <f>$B$12190</f>
        <v/>
      </c>
      <c r="J12842" s="21" t="n">
        <v>0</v>
      </c>
      <c r="K12842" s="21" t="n">
        <v>0</v>
      </c>
      <c r="L12842" s="21" t="n">
        <v>0</v>
      </c>
      <c r="M12842" s="21" t="n">
        <v>0</v>
      </c>
      <c r="N12842" s="21" t="n">
        <v>0</v>
      </c>
      <c r="O12842" s="21" t="n">
        <v>0</v>
      </c>
      <c r="P12842" s="21" t="n">
        <v>0</v>
      </c>
      <c r="Q12842" s="21" t="n">
        <v>0</v>
      </c>
      <c r="R12842" s="21" t="n">
        <v>0</v>
      </c>
      <c r="S12842" s="21" t="n">
        <v>0</v>
      </c>
      <c r="T12842" s="21" t="n">
        <v>0</v>
      </c>
      <c r="U12842" s="21" t="n">
        <v>0</v>
      </c>
      <c r="V12842" s="21" t="n">
        <v>0</v>
      </c>
      <c r="W12842" s="21" t="n">
        <v>0</v>
      </c>
      <c r="X12842" s="21" t="n">
        <v>0</v>
      </c>
      <c r="Y12842" s="21" t="n">
        <v>0</v>
      </c>
      <c r="Z12842" s="19" t="n"/>
    </row>
    <row r="12843">
      <c r="D12843" s="21">
        <f>$B$12190</f>
        <v/>
      </c>
      <c r="E12843" s="21">
        <f>$B$12192</f>
        <v/>
      </c>
      <c r="F12843" s="21">
        <f>0</f>
        <v/>
      </c>
      <c r="G12843" s="21">
        <f>2*$B$12191</f>
        <v/>
      </c>
      <c r="H12843" s="21">
        <f>-$B$12190</f>
        <v/>
      </c>
      <c r="I12843" s="21">
        <f>$B$12192</f>
        <v/>
      </c>
      <c r="J12843" s="21" t="n">
        <v>0</v>
      </c>
      <c r="K12843" s="21" t="n">
        <v>0</v>
      </c>
      <c r="L12843" s="21" t="n">
        <v>0</v>
      </c>
      <c r="M12843" s="21" t="n">
        <v>0</v>
      </c>
      <c r="N12843" s="21" t="n">
        <v>0</v>
      </c>
      <c r="O12843" s="21" t="n">
        <v>0</v>
      </c>
      <c r="P12843" s="21" t="n">
        <v>0</v>
      </c>
      <c r="Q12843" s="21" t="n">
        <v>0</v>
      </c>
      <c r="R12843" s="21" t="n">
        <v>0</v>
      </c>
      <c r="S12843" s="21" t="n">
        <v>0</v>
      </c>
      <c r="T12843" s="21" t="n">
        <v>0</v>
      </c>
      <c r="U12843" s="21" t="n">
        <v>0</v>
      </c>
      <c r="V12843" s="21" t="n">
        <v>0</v>
      </c>
      <c r="W12843" s="21" t="n">
        <v>0</v>
      </c>
      <c r="X12843" s="21" t="n">
        <v>0</v>
      </c>
      <c r="Y12843" s="21" t="n">
        <v>0</v>
      </c>
      <c r="Z12843" s="19" t="n"/>
    </row>
    <row r="12844">
      <c r="D12844" s="21" t="n">
        <v>0</v>
      </c>
      <c r="E12844" s="21" t="n">
        <v>0</v>
      </c>
      <c r="F12844" s="21">
        <f>-$B$12189</f>
        <v/>
      </c>
      <c r="G12844" s="21">
        <f>-$B$12190</f>
        <v/>
      </c>
      <c r="H12844" s="21">
        <f>2*$B$12189+$D$12830</f>
        <v/>
      </c>
      <c r="I12844" s="21">
        <f>0</f>
        <v/>
      </c>
      <c r="J12844" s="21">
        <f>-$B$12189</f>
        <v/>
      </c>
      <c r="K12844" s="21">
        <f>$B$12190</f>
        <v/>
      </c>
      <c r="L12844" s="21" t="n">
        <v>0</v>
      </c>
      <c r="M12844" s="21" t="n">
        <v>0</v>
      </c>
      <c r="N12844" s="21" t="n">
        <v>0</v>
      </c>
      <c r="O12844" s="21" t="n">
        <v>0</v>
      </c>
      <c r="P12844" s="21" t="n">
        <v>0</v>
      </c>
      <c r="Q12844" s="21" t="n">
        <v>0</v>
      </c>
      <c r="R12844" s="21" t="n">
        <v>0</v>
      </c>
      <c r="S12844" s="21" t="n">
        <v>0</v>
      </c>
      <c r="T12844" s="21" t="n">
        <v>0</v>
      </c>
      <c r="U12844" s="21" t="n">
        <v>0</v>
      </c>
      <c r="V12844" s="21" t="n">
        <v>0</v>
      </c>
      <c r="W12844" s="21" t="n">
        <v>0</v>
      </c>
      <c r="X12844" s="21" t="n">
        <v>0</v>
      </c>
      <c r="Y12844" s="21" t="n">
        <v>0</v>
      </c>
      <c r="Z12844" s="19" t="n"/>
    </row>
    <row r="12845">
      <c r="D12845" s="21" t="n">
        <v>0</v>
      </c>
      <c r="E12845" s="21" t="n">
        <v>0</v>
      </c>
      <c r="F12845" s="21">
        <f>$B$12190</f>
        <v/>
      </c>
      <c r="G12845" s="21">
        <f>$B$12192</f>
        <v/>
      </c>
      <c r="H12845" s="21">
        <f>0</f>
        <v/>
      </c>
      <c r="I12845" s="21">
        <f>2*$B$12191</f>
        <v/>
      </c>
      <c r="J12845" s="21">
        <f>-$B$12190</f>
        <v/>
      </c>
      <c r="K12845" s="21">
        <f>$B$12192</f>
        <v/>
      </c>
      <c r="L12845" s="21" t="n">
        <v>0</v>
      </c>
      <c r="M12845" s="21" t="n">
        <v>0</v>
      </c>
      <c r="N12845" s="21" t="n">
        <v>0</v>
      </c>
      <c r="O12845" s="21" t="n">
        <v>0</v>
      </c>
      <c r="P12845" s="21" t="n">
        <v>0</v>
      </c>
      <c r="Q12845" s="21" t="n">
        <v>0</v>
      </c>
      <c r="R12845" s="21" t="n">
        <v>0</v>
      </c>
      <c r="S12845" s="21" t="n">
        <v>0</v>
      </c>
      <c r="T12845" s="21" t="n">
        <v>0</v>
      </c>
      <c r="U12845" s="21" t="n">
        <v>0</v>
      </c>
      <c r="V12845" s="21" t="n">
        <v>0</v>
      </c>
      <c r="W12845" s="21" t="n">
        <v>0</v>
      </c>
      <c r="X12845" s="21" t="n">
        <v>0</v>
      </c>
      <c r="Y12845" s="21" t="n">
        <v>0</v>
      </c>
      <c r="Z12845" s="19" t="n"/>
    </row>
    <row r="12846">
      <c r="D12846" s="21" t="n">
        <v>0</v>
      </c>
      <c r="E12846" s="21" t="n">
        <v>0</v>
      </c>
      <c r="F12846" s="21" t="n">
        <v>0</v>
      </c>
      <c r="G12846" s="21" t="n">
        <v>0</v>
      </c>
      <c r="H12846" s="21">
        <f>-$B$12189</f>
        <v/>
      </c>
      <c r="I12846" s="21">
        <f>-$B$12190</f>
        <v/>
      </c>
      <c r="J12846" s="21">
        <f>2*$B$12189+$D$12831</f>
        <v/>
      </c>
      <c r="K12846" s="21">
        <f>0</f>
        <v/>
      </c>
      <c r="L12846" s="21">
        <f>-$B$12189</f>
        <v/>
      </c>
      <c r="M12846" s="21">
        <f>$B$12190</f>
        <v/>
      </c>
      <c r="N12846" s="21" t="n">
        <v>0</v>
      </c>
      <c r="O12846" s="21" t="n">
        <v>0</v>
      </c>
      <c r="P12846" s="21" t="n">
        <v>0</v>
      </c>
      <c r="Q12846" s="21" t="n">
        <v>0</v>
      </c>
      <c r="R12846" s="21" t="n">
        <v>0</v>
      </c>
      <c r="S12846" s="21" t="n">
        <v>0</v>
      </c>
      <c r="T12846" s="21" t="n">
        <v>0</v>
      </c>
      <c r="U12846" s="21" t="n">
        <v>0</v>
      </c>
      <c r="V12846" s="21" t="n">
        <v>0</v>
      </c>
      <c r="W12846" s="21" t="n">
        <v>0</v>
      </c>
      <c r="X12846" s="21" t="n">
        <v>0</v>
      </c>
      <c r="Y12846" s="21" t="n">
        <v>0</v>
      </c>
      <c r="Z12846" s="19" t="n"/>
    </row>
    <row r="12847">
      <c r="D12847" s="21" t="n">
        <v>0</v>
      </c>
      <c r="E12847" s="21" t="n">
        <v>0</v>
      </c>
      <c r="F12847" s="21" t="n">
        <v>0</v>
      </c>
      <c r="G12847" s="21" t="n">
        <v>0</v>
      </c>
      <c r="H12847" s="21">
        <f>$B$12190</f>
        <v/>
      </c>
      <c r="I12847" s="21">
        <f>$B$12192</f>
        <v/>
      </c>
      <c r="J12847" s="21">
        <f>0</f>
        <v/>
      </c>
      <c r="K12847" s="21">
        <f>2*$B$12191</f>
        <v/>
      </c>
      <c r="L12847" s="21">
        <f>-$B$12190</f>
        <v/>
      </c>
      <c r="M12847" s="21">
        <f>$B$12192</f>
        <v/>
      </c>
      <c r="N12847" s="21" t="n">
        <v>0</v>
      </c>
      <c r="O12847" s="21" t="n">
        <v>0</v>
      </c>
      <c r="P12847" s="21" t="n">
        <v>0</v>
      </c>
      <c r="Q12847" s="21" t="n">
        <v>0</v>
      </c>
      <c r="R12847" s="21" t="n">
        <v>0</v>
      </c>
      <c r="S12847" s="21" t="n">
        <v>0</v>
      </c>
      <c r="T12847" s="21" t="n">
        <v>0</v>
      </c>
      <c r="U12847" s="21" t="n">
        <v>0</v>
      </c>
      <c r="V12847" s="21" t="n">
        <v>0</v>
      </c>
      <c r="W12847" s="21" t="n">
        <v>0</v>
      </c>
      <c r="X12847" s="21" t="n">
        <v>0</v>
      </c>
      <c r="Y12847" s="21" t="n">
        <v>0</v>
      </c>
      <c r="Z12847" s="19" t="n"/>
    </row>
    <row r="12848">
      <c r="D12848" s="21" t="n">
        <v>0</v>
      </c>
      <c r="E12848" s="21" t="n">
        <v>0</v>
      </c>
      <c r="F12848" s="21" t="n">
        <v>0</v>
      </c>
      <c r="G12848" s="21" t="n">
        <v>0</v>
      </c>
      <c r="H12848" s="21" t="n">
        <v>0</v>
      </c>
      <c r="I12848" s="21" t="n">
        <v>0</v>
      </c>
      <c r="J12848" s="21">
        <f>-$B$12189</f>
        <v/>
      </c>
      <c r="K12848" s="21">
        <f>-$B$12190</f>
        <v/>
      </c>
      <c r="L12848" s="21">
        <f>2*$B$12189+$D$12832</f>
        <v/>
      </c>
      <c r="M12848" s="21">
        <f>0</f>
        <v/>
      </c>
      <c r="N12848" s="21">
        <f>-$B$12189</f>
        <v/>
      </c>
      <c r="O12848" s="21">
        <f>$B$12190</f>
        <v/>
      </c>
      <c r="P12848" s="21" t="n">
        <v>0</v>
      </c>
      <c r="Q12848" s="21" t="n">
        <v>0</v>
      </c>
      <c r="R12848" s="21" t="n">
        <v>0</v>
      </c>
      <c r="S12848" s="21" t="n">
        <v>0</v>
      </c>
      <c r="T12848" s="21" t="n">
        <v>0</v>
      </c>
      <c r="U12848" s="21" t="n">
        <v>0</v>
      </c>
      <c r="V12848" s="21" t="n">
        <v>0</v>
      </c>
      <c r="W12848" s="21" t="n">
        <v>0</v>
      </c>
      <c r="X12848" s="21" t="n">
        <v>0</v>
      </c>
      <c r="Y12848" s="21" t="n">
        <v>0</v>
      </c>
      <c r="Z12848" s="19" t="n"/>
    </row>
    <row r="12849">
      <c r="D12849" s="21" t="n">
        <v>0</v>
      </c>
      <c r="E12849" s="21" t="n">
        <v>0</v>
      </c>
      <c r="F12849" s="21" t="n">
        <v>0</v>
      </c>
      <c r="G12849" s="21" t="n">
        <v>0</v>
      </c>
      <c r="H12849" s="21" t="n">
        <v>0</v>
      </c>
      <c r="I12849" s="21" t="n">
        <v>0</v>
      </c>
      <c r="J12849" s="21">
        <f>$B$12190</f>
        <v/>
      </c>
      <c r="K12849" s="21">
        <f>$B$12192</f>
        <v/>
      </c>
      <c r="L12849" s="21">
        <f>0</f>
        <v/>
      </c>
      <c r="M12849" s="21">
        <f>2*$B$12191</f>
        <v/>
      </c>
      <c r="N12849" s="21">
        <f>-$B$12190</f>
        <v/>
      </c>
      <c r="O12849" s="21">
        <f>$B$12192</f>
        <v/>
      </c>
      <c r="P12849" s="21" t="n">
        <v>0</v>
      </c>
      <c r="Q12849" s="21" t="n">
        <v>0</v>
      </c>
      <c r="R12849" s="21" t="n">
        <v>0</v>
      </c>
      <c r="S12849" s="21" t="n">
        <v>0</v>
      </c>
      <c r="T12849" s="21" t="n">
        <v>0</v>
      </c>
      <c r="U12849" s="21" t="n">
        <v>0</v>
      </c>
      <c r="V12849" s="21" t="n">
        <v>0</v>
      </c>
      <c r="W12849" s="21" t="n">
        <v>0</v>
      </c>
      <c r="X12849" s="21" t="n">
        <v>0</v>
      </c>
      <c r="Y12849" s="21" t="n">
        <v>0</v>
      </c>
      <c r="Z12849" s="19" t="n"/>
    </row>
    <row r="12850">
      <c r="D12850" s="21" t="n">
        <v>0</v>
      </c>
      <c r="E12850" s="21" t="n">
        <v>0</v>
      </c>
      <c r="F12850" s="21" t="n">
        <v>0</v>
      </c>
      <c r="G12850" s="21" t="n">
        <v>0</v>
      </c>
      <c r="H12850" s="21" t="n">
        <v>0</v>
      </c>
      <c r="I12850" s="21" t="n">
        <v>0</v>
      </c>
      <c r="J12850" s="21" t="n">
        <v>0</v>
      </c>
      <c r="K12850" s="21" t="n">
        <v>0</v>
      </c>
      <c r="L12850" s="21">
        <f>-$B$12189</f>
        <v/>
      </c>
      <c r="M12850" s="21">
        <f>-$B$12190</f>
        <v/>
      </c>
      <c r="N12850" s="21">
        <f>2*$B$12189+$D$12833</f>
        <v/>
      </c>
      <c r="O12850" s="21">
        <f>0</f>
        <v/>
      </c>
      <c r="P12850" s="21">
        <f>-$B$12189</f>
        <v/>
      </c>
      <c r="Q12850" s="21">
        <f>$B$12190</f>
        <v/>
      </c>
      <c r="R12850" s="21" t="n">
        <v>0</v>
      </c>
      <c r="S12850" s="21" t="n">
        <v>0</v>
      </c>
      <c r="T12850" s="21" t="n">
        <v>0</v>
      </c>
      <c r="U12850" s="21" t="n">
        <v>0</v>
      </c>
      <c r="V12850" s="21" t="n">
        <v>0</v>
      </c>
      <c r="W12850" s="21" t="n">
        <v>0</v>
      </c>
      <c r="X12850" s="21" t="n">
        <v>0</v>
      </c>
      <c r="Y12850" s="21" t="n">
        <v>0</v>
      </c>
      <c r="Z12850" s="19" t="n"/>
    </row>
    <row r="12851">
      <c r="D12851" s="21" t="n">
        <v>0</v>
      </c>
      <c r="E12851" s="21" t="n">
        <v>0</v>
      </c>
      <c r="F12851" s="21" t="n">
        <v>0</v>
      </c>
      <c r="G12851" s="21" t="n">
        <v>0</v>
      </c>
      <c r="H12851" s="21" t="n">
        <v>0</v>
      </c>
      <c r="I12851" s="21" t="n">
        <v>0</v>
      </c>
      <c r="J12851" s="21" t="n">
        <v>0</v>
      </c>
      <c r="K12851" s="21" t="n">
        <v>0</v>
      </c>
      <c r="L12851" s="21">
        <f>$B$12190</f>
        <v/>
      </c>
      <c r="M12851" s="21">
        <f>$B$12192</f>
        <v/>
      </c>
      <c r="N12851" s="21">
        <f>0</f>
        <v/>
      </c>
      <c r="O12851" s="21">
        <f>2*$B$12191</f>
        <v/>
      </c>
      <c r="P12851" s="21">
        <f>-$B$12190</f>
        <v/>
      </c>
      <c r="Q12851" s="21">
        <f>$B$12192</f>
        <v/>
      </c>
      <c r="R12851" s="21" t="n">
        <v>0</v>
      </c>
      <c r="S12851" s="21" t="n">
        <v>0</v>
      </c>
      <c r="T12851" s="21" t="n">
        <v>0</v>
      </c>
      <c r="U12851" s="21" t="n">
        <v>0</v>
      </c>
      <c r="V12851" s="21" t="n">
        <v>0</v>
      </c>
      <c r="W12851" s="21" t="n">
        <v>0</v>
      </c>
      <c r="X12851" s="21" t="n">
        <v>0</v>
      </c>
      <c r="Y12851" s="21" t="n">
        <v>0</v>
      </c>
      <c r="Z12851" s="19" t="n"/>
    </row>
    <row r="12852">
      <c r="D12852" s="21" t="n">
        <v>0</v>
      </c>
      <c r="E12852" s="21" t="n">
        <v>0</v>
      </c>
      <c r="F12852" s="21" t="n">
        <v>0</v>
      </c>
      <c r="G12852" s="21" t="n">
        <v>0</v>
      </c>
      <c r="H12852" s="21" t="n">
        <v>0</v>
      </c>
      <c r="I12852" s="21" t="n">
        <v>0</v>
      </c>
      <c r="J12852" s="21" t="n">
        <v>0</v>
      </c>
      <c r="K12852" s="21" t="n">
        <v>0</v>
      </c>
      <c r="L12852" s="21" t="n">
        <v>0</v>
      </c>
      <c r="M12852" s="21" t="n">
        <v>0</v>
      </c>
      <c r="N12852" s="21">
        <f>-$B$12189</f>
        <v/>
      </c>
      <c r="O12852" s="21">
        <f>-$B$12190</f>
        <v/>
      </c>
      <c r="P12852" s="21">
        <f>2*$B$12189+$D$12834</f>
        <v/>
      </c>
      <c r="Q12852" s="21">
        <f>0</f>
        <v/>
      </c>
      <c r="R12852" s="21">
        <f>-$B$12189</f>
        <v/>
      </c>
      <c r="S12852" s="21">
        <f>$B$12190</f>
        <v/>
      </c>
      <c r="T12852" s="21" t="n">
        <v>0</v>
      </c>
      <c r="U12852" s="21" t="n">
        <v>0</v>
      </c>
      <c r="V12852" s="21" t="n">
        <v>0</v>
      </c>
      <c r="W12852" s="21" t="n">
        <v>0</v>
      </c>
      <c r="X12852" s="21" t="n">
        <v>0</v>
      </c>
      <c r="Y12852" s="21" t="n">
        <v>0</v>
      </c>
      <c r="Z12852" s="19" t="n"/>
    </row>
    <row r="12853">
      <c r="D12853" s="21" t="n">
        <v>0</v>
      </c>
      <c r="E12853" s="21" t="n">
        <v>0</v>
      </c>
      <c r="F12853" s="21" t="n">
        <v>0</v>
      </c>
      <c r="G12853" s="21" t="n">
        <v>0</v>
      </c>
      <c r="H12853" s="21" t="n">
        <v>0</v>
      </c>
      <c r="I12853" s="21" t="n">
        <v>0</v>
      </c>
      <c r="J12853" s="21" t="n">
        <v>0</v>
      </c>
      <c r="K12853" s="21" t="n">
        <v>0</v>
      </c>
      <c r="L12853" s="21" t="n">
        <v>0</v>
      </c>
      <c r="M12853" s="21" t="n">
        <v>0</v>
      </c>
      <c r="N12853" s="21">
        <f>$B$12190</f>
        <v/>
      </c>
      <c r="O12853" s="21">
        <f>$B$12192</f>
        <v/>
      </c>
      <c r="P12853" s="21">
        <f>0</f>
        <v/>
      </c>
      <c r="Q12853" s="21">
        <f>2*$B$12191</f>
        <v/>
      </c>
      <c r="R12853" s="21">
        <f>-$B$12190</f>
        <v/>
      </c>
      <c r="S12853" s="21">
        <f>$B$12192</f>
        <v/>
      </c>
      <c r="T12853" s="21" t="n">
        <v>0</v>
      </c>
      <c r="U12853" s="21" t="n">
        <v>0</v>
      </c>
      <c r="V12853" s="21" t="n">
        <v>0</v>
      </c>
      <c r="W12853" s="21" t="n">
        <v>0</v>
      </c>
      <c r="X12853" s="21" t="n">
        <v>0</v>
      </c>
      <c r="Y12853" s="21" t="n">
        <v>0</v>
      </c>
      <c r="Z12853" s="19" t="n"/>
    </row>
    <row r="12854">
      <c r="D12854" s="21" t="n">
        <v>0</v>
      </c>
      <c r="E12854" s="21" t="n">
        <v>0</v>
      </c>
      <c r="F12854" s="21" t="n">
        <v>0</v>
      </c>
      <c r="G12854" s="21" t="n">
        <v>0</v>
      </c>
      <c r="H12854" s="21" t="n">
        <v>0</v>
      </c>
      <c r="I12854" s="21" t="n">
        <v>0</v>
      </c>
      <c r="J12854" s="21" t="n">
        <v>0</v>
      </c>
      <c r="K12854" s="21" t="n">
        <v>0</v>
      </c>
      <c r="L12854" s="21" t="n">
        <v>0</v>
      </c>
      <c r="M12854" s="21" t="n">
        <v>0</v>
      </c>
      <c r="N12854" s="21" t="n">
        <v>0</v>
      </c>
      <c r="O12854" s="21" t="n">
        <v>0</v>
      </c>
      <c r="P12854" s="21">
        <f>-$B$12189</f>
        <v/>
      </c>
      <c r="Q12854" s="21">
        <f>-$B$12190</f>
        <v/>
      </c>
      <c r="R12854" s="21">
        <f>2*$B$12189+$D$12835</f>
        <v/>
      </c>
      <c r="S12854" s="21">
        <f>0</f>
        <v/>
      </c>
      <c r="T12854" s="21">
        <f>-$B$12189</f>
        <v/>
      </c>
      <c r="U12854" s="21">
        <f>$B$12190</f>
        <v/>
      </c>
      <c r="V12854" s="21" t="n">
        <v>0</v>
      </c>
      <c r="W12854" s="21" t="n">
        <v>0</v>
      </c>
      <c r="X12854" s="21" t="n">
        <v>0</v>
      </c>
      <c r="Y12854" s="21" t="n">
        <v>0</v>
      </c>
      <c r="Z12854" s="19" t="n"/>
    </row>
    <row r="12855">
      <c r="D12855" s="21" t="n">
        <v>0</v>
      </c>
      <c r="E12855" s="21" t="n">
        <v>0</v>
      </c>
      <c r="F12855" s="21" t="n">
        <v>0</v>
      </c>
      <c r="G12855" s="21" t="n">
        <v>0</v>
      </c>
      <c r="H12855" s="21" t="n">
        <v>0</v>
      </c>
      <c r="I12855" s="21" t="n">
        <v>0</v>
      </c>
      <c r="J12855" s="21" t="n">
        <v>0</v>
      </c>
      <c r="K12855" s="21" t="n">
        <v>0</v>
      </c>
      <c r="L12855" s="21" t="n">
        <v>0</v>
      </c>
      <c r="M12855" s="21" t="n">
        <v>0</v>
      </c>
      <c r="N12855" s="21" t="n">
        <v>0</v>
      </c>
      <c r="O12855" s="21" t="n">
        <v>0</v>
      </c>
      <c r="P12855" s="21">
        <f>$B$12190</f>
        <v/>
      </c>
      <c r="Q12855" s="21">
        <f>$B$12192</f>
        <v/>
      </c>
      <c r="R12855" s="21">
        <f>0</f>
        <v/>
      </c>
      <c r="S12855" s="21">
        <f>2*$B$12191</f>
        <v/>
      </c>
      <c r="T12855" s="21">
        <f>-$B$12190</f>
        <v/>
      </c>
      <c r="U12855" s="21">
        <f>$B$12192</f>
        <v/>
      </c>
      <c r="V12855" s="21" t="n">
        <v>0</v>
      </c>
      <c r="W12855" s="21" t="n">
        <v>0</v>
      </c>
      <c r="X12855" s="21" t="n">
        <v>0</v>
      </c>
      <c r="Y12855" s="21" t="n">
        <v>0</v>
      </c>
      <c r="Z12855" s="19" t="n"/>
    </row>
    <row r="12856">
      <c r="D12856" s="21" t="n">
        <v>0</v>
      </c>
      <c r="E12856" s="21" t="n">
        <v>0</v>
      </c>
      <c r="F12856" s="21" t="n">
        <v>0</v>
      </c>
      <c r="G12856" s="21" t="n">
        <v>0</v>
      </c>
      <c r="H12856" s="21" t="n">
        <v>0</v>
      </c>
      <c r="I12856" s="21" t="n">
        <v>0</v>
      </c>
      <c r="J12856" s="21" t="n">
        <v>0</v>
      </c>
      <c r="K12856" s="21" t="n">
        <v>0</v>
      </c>
      <c r="L12856" s="21" t="n">
        <v>0</v>
      </c>
      <c r="M12856" s="21" t="n">
        <v>0</v>
      </c>
      <c r="N12856" s="21" t="n">
        <v>0</v>
      </c>
      <c r="O12856" s="21" t="n">
        <v>0</v>
      </c>
      <c r="P12856" s="21" t="n">
        <v>0</v>
      </c>
      <c r="Q12856" s="21" t="n">
        <v>0</v>
      </c>
      <c r="R12856" s="21">
        <f>-$B$12189</f>
        <v/>
      </c>
      <c r="S12856" s="21">
        <f>-$B$12190</f>
        <v/>
      </c>
      <c r="T12856" s="21">
        <f>2*$B$12189+$D$12836</f>
        <v/>
      </c>
      <c r="U12856" s="21">
        <f>0</f>
        <v/>
      </c>
      <c r="V12856" s="21">
        <f>-$B$12189</f>
        <v/>
      </c>
      <c r="W12856" s="21">
        <f>$B$12190</f>
        <v/>
      </c>
      <c r="X12856" s="21" t="n">
        <v>0</v>
      </c>
      <c r="Y12856" s="21" t="n">
        <v>0</v>
      </c>
      <c r="Z12856" s="19" t="n"/>
    </row>
    <row r="12857">
      <c r="D12857" s="21" t="n">
        <v>0</v>
      </c>
      <c r="E12857" s="21" t="n">
        <v>0</v>
      </c>
      <c r="F12857" s="21" t="n">
        <v>0</v>
      </c>
      <c r="G12857" s="21" t="n">
        <v>0</v>
      </c>
      <c r="H12857" s="21" t="n">
        <v>0</v>
      </c>
      <c r="I12857" s="21" t="n">
        <v>0</v>
      </c>
      <c r="J12857" s="21" t="n">
        <v>0</v>
      </c>
      <c r="K12857" s="21" t="n">
        <v>0</v>
      </c>
      <c r="L12857" s="21" t="n">
        <v>0</v>
      </c>
      <c r="M12857" s="21" t="n">
        <v>0</v>
      </c>
      <c r="N12857" s="21" t="n">
        <v>0</v>
      </c>
      <c r="O12857" s="21" t="n">
        <v>0</v>
      </c>
      <c r="P12857" s="21" t="n">
        <v>0</v>
      </c>
      <c r="Q12857" s="21" t="n">
        <v>0</v>
      </c>
      <c r="R12857" s="21">
        <f>$B$12190</f>
        <v/>
      </c>
      <c r="S12857" s="21">
        <f>$B$12192</f>
        <v/>
      </c>
      <c r="T12857" s="21">
        <f>0</f>
        <v/>
      </c>
      <c r="U12857" s="21">
        <f>2*$B$12191</f>
        <v/>
      </c>
      <c r="V12857" s="21">
        <f>-$B$12190</f>
        <v/>
      </c>
      <c r="W12857" s="21">
        <f>$B$12192</f>
        <v/>
      </c>
      <c r="X12857" s="21" t="n">
        <v>0</v>
      </c>
      <c r="Y12857" s="21" t="n">
        <v>0</v>
      </c>
      <c r="Z12857" s="19" t="n"/>
    </row>
    <row r="12858">
      <c r="D12858" s="21" t="n">
        <v>0</v>
      </c>
      <c r="E12858" s="21" t="n">
        <v>0</v>
      </c>
      <c r="F12858" s="21" t="n">
        <v>0</v>
      </c>
      <c r="G12858" s="21" t="n">
        <v>0</v>
      </c>
      <c r="H12858" s="21" t="n">
        <v>0</v>
      </c>
      <c r="I12858" s="21" t="n">
        <v>0</v>
      </c>
      <c r="J12858" s="21" t="n">
        <v>0</v>
      </c>
      <c r="K12858" s="21" t="n">
        <v>0</v>
      </c>
      <c r="L12858" s="21" t="n">
        <v>0</v>
      </c>
      <c r="M12858" s="21" t="n">
        <v>0</v>
      </c>
      <c r="N12858" s="21" t="n">
        <v>0</v>
      </c>
      <c r="O12858" s="21" t="n">
        <v>0</v>
      </c>
      <c r="P12858" s="21" t="n">
        <v>0</v>
      </c>
      <c r="Q12858" s="21" t="n">
        <v>0</v>
      </c>
      <c r="R12858" s="21" t="n">
        <v>0</v>
      </c>
      <c r="S12858" s="21" t="n">
        <v>0</v>
      </c>
      <c r="T12858" s="21">
        <f>-$B$12189</f>
        <v/>
      </c>
      <c r="U12858" s="21">
        <f>-$B$12190</f>
        <v/>
      </c>
      <c r="V12858" s="21">
        <f>2*$B$12189+$D$12837</f>
        <v/>
      </c>
      <c r="W12858" s="21">
        <f>0</f>
        <v/>
      </c>
      <c r="X12858" s="21">
        <f>-$B$12189</f>
        <v/>
      </c>
      <c r="Y12858" s="21">
        <f>$B$12190</f>
        <v/>
      </c>
      <c r="Z12858" s="19" t="n"/>
    </row>
    <row r="12859">
      <c r="D12859" s="21" t="n">
        <v>0</v>
      </c>
      <c r="E12859" s="21" t="n">
        <v>0</v>
      </c>
      <c r="F12859" s="21" t="n">
        <v>0</v>
      </c>
      <c r="G12859" s="21" t="n">
        <v>0</v>
      </c>
      <c r="H12859" s="21" t="n">
        <v>0</v>
      </c>
      <c r="I12859" s="21" t="n">
        <v>0</v>
      </c>
      <c r="J12859" s="21" t="n">
        <v>0</v>
      </c>
      <c r="K12859" s="21" t="n">
        <v>0</v>
      </c>
      <c r="L12859" s="21" t="n">
        <v>0</v>
      </c>
      <c r="M12859" s="21" t="n">
        <v>0</v>
      </c>
      <c r="N12859" s="21" t="n">
        <v>0</v>
      </c>
      <c r="O12859" s="21" t="n">
        <v>0</v>
      </c>
      <c r="P12859" s="21" t="n">
        <v>0</v>
      </c>
      <c r="Q12859" s="21" t="n">
        <v>0</v>
      </c>
      <c r="R12859" s="21" t="n">
        <v>0</v>
      </c>
      <c r="S12859" s="21" t="n">
        <v>0</v>
      </c>
      <c r="T12859" s="21">
        <f>$B$12190</f>
        <v/>
      </c>
      <c r="U12859" s="21">
        <f>$B$12192</f>
        <v/>
      </c>
      <c r="V12859" s="21">
        <f>0</f>
        <v/>
      </c>
      <c r="W12859" s="21">
        <f>2*$B$12191</f>
        <v/>
      </c>
      <c r="X12859" s="21">
        <f>-$B$12190</f>
        <v/>
      </c>
      <c r="Y12859" s="21">
        <f>$B$12192</f>
        <v/>
      </c>
      <c r="Z12859" s="19" t="n"/>
    </row>
    <row r="12860">
      <c r="D12860" s="21" t="n">
        <v>0</v>
      </c>
      <c r="E12860" s="21" t="n">
        <v>0</v>
      </c>
      <c r="F12860" s="21" t="n">
        <v>0</v>
      </c>
      <c r="G12860" s="21" t="n">
        <v>0</v>
      </c>
      <c r="H12860" s="21" t="n">
        <v>0</v>
      </c>
      <c r="I12860" s="21" t="n">
        <v>0</v>
      </c>
      <c r="J12860" s="21" t="n">
        <v>0</v>
      </c>
      <c r="K12860" s="21" t="n">
        <v>0</v>
      </c>
      <c r="L12860" s="21" t="n">
        <v>0</v>
      </c>
      <c r="M12860" s="21" t="n">
        <v>0</v>
      </c>
      <c r="N12860" s="21" t="n">
        <v>0</v>
      </c>
      <c r="O12860" s="21" t="n">
        <v>0</v>
      </c>
      <c r="P12860" s="21" t="n">
        <v>0</v>
      </c>
      <c r="Q12860" s="21" t="n">
        <v>0</v>
      </c>
      <c r="R12860" s="21" t="n">
        <v>0</v>
      </c>
      <c r="S12860" s="21" t="n">
        <v>0</v>
      </c>
      <c r="T12860" s="21" t="n">
        <v>0</v>
      </c>
      <c r="U12860" s="21" t="n">
        <v>0</v>
      </c>
      <c r="V12860" s="21">
        <f>-$B$12189</f>
        <v/>
      </c>
      <c r="W12860" s="21">
        <f>-$B$12190</f>
        <v/>
      </c>
      <c r="X12860" s="21">
        <f>$B$12189+$D$12838</f>
        <v/>
      </c>
      <c r="Y12860" s="21">
        <f>-$B$12190</f>
        <v/>
      </c>
      <c r="Z12860" s="19" t="n"/>
    </row>
    <row r="12861">
      <c r="D12861" s="21" t="n">
        <v>0</v>
      </c>
      <c r="E12861" s="21" t="n">
        <v>0</v>
      </c>
      <c r="F12861" s="21" t="n">
        <v>0</v>
      </c>
      <c r="G12861" s="21" t="n">
        <v>0</v>
      </c>
      <c r="H12861" s="21" t="n">
        <v>0</v>
      </c>
      <c r="I12861" s="21" t="n">
        <v>0</v>
      </c>
      <c r="J12861" s="21" t="n">
        <v>0</v>
      </c>
      <c r="K12861" s="21" t="n">
        <v>0</v>
      </c>
      <c r="L12861" s="21" t="n">
        <v>0</v>
      </c>
      <c r="M12861" s="21" t="n">
        <v>0</v>
      </c>
      <c r="N12861" s="21" t="n">
        <v>0</v>
      </c>
      <c r="O12861" s="21" t="n">
        <v>0</v>
      </c>
      <c r="P12861" s="21" t="n">
        <v>0</v>
      </c>
      <c r="Q12861" s="21" t="n">
        <v>0</v>
      </c>
      <c r="R12861" s="21" t="n">
        <v>0</v>
      </c>
      <c r="S12861" s="21" t="n">
        <v>0</v>
      </c>
      <c r="T12861" s="21" t="n">
        <v>0</v>
      </c>
      <c r="U12861" s="21" t="n">
        <v>0</v>
      </c>
      <c r="V12861" s="21">
        <f>$B$12190</f>
        <v/>
      </c>
      <c r="W12861" s="21">
        <f>$B$12192</f>
        <v/>
      </c>
      <c r="X12861" s="21">
        <f>-$B$12190</f>
        <v/>
      </c>
      <c r="Y12861" s="21">
        <f>$B$12191</f>
        <v/>
      </c>
      <c r="Z12861" s="19" t="n"/>
    </row>
    <row r="12863">
      <c r="A12863" s="8" t="inlineStr">
        <is>
          <t>gen 18</t>
        </is>
      </c>
    </row>
    <row r="12864">
      <c r="D12864" s="19">
        <f>IF(ABS(IF(ABS($E$12828)&gt;0.000000001,$E$12828,0.000000001))=0,0,IF($E$12204&lt;=$B$12198,0,IF(ABS(IF(ABS($E$12828)&gt;0.000000001,$E$12828,0.000000001))&gt;=8*$B$12200,$H$12204,0.5*$H$12204*(ABS(IF(ABS($E$12828)&gt;0.000000001,$E$12828,0.000000001))/$B$12200)^(1/3)))/ABS(IF(ABS($E$12828)&gt;0.000000001,$E$12828,0.000000001))*$I$12204)</f>
        <v/>
      </c>
      <c r="E12864" s="19">
        <f>0.5*$E$12828+0.5*$Z$12876</f>
        <v/>
      </c>
      <c r="F12864" s="19">
        <f>$Z$12877</f>
        <v/>
      </c>
    </row>
    <row r="12865">
      <c r="D12865" s="19">
        <f>IF(ABS(IF(ABS($E$12829)&gt;0.000000001,$E$12829,0.000000001))=0,0,IF($E$12205&lt;=$B$12198,0,IF(ABS(IF(ABS($E$12829)&gt;0.000000001,$E$12829,0.000000001))&gt;=8*$B$12200,$H$12205,0.5*$H$12205*(ABS(IF(ABS($E$12829)&gt;0.000000001,$E$12829,0.000000001))/$B$12200)^(1/3)))/ABS(IF(ABS($E$12829)&gt;0.000000001,$E$12829,0.000000001))*$I$12205)</f>
        <v/>
      </c>
      <c r="E12865" s="19">
        <f>0.5*$E$12829+0.5*$Z$12878</f>
        <v/>
      </c>
      <c r="F12865" s="19">
        <f>$Z$12879</f>
        <v/>
      </c>
    </row>
    <row r="12866">
      <c r="D12866" s="19">
        <f>IF(ABS(IF(ABS($E$12830)&gt;0.000000001,$E$12830,0.000000001))=0,0,IF($E$12206&lt;=$B$12198,0,IF(ABS(IF(ABS($E$12830)&gt;0.000000001,$E$12830,0.000000001))&gt;=8*$B$12200,$H$12206,0.5*$H$12206*(ABS(IF(ABS($E$12830)&gt;0.000000001,$E$12830,0.000000001))/$B$12200)^(1/3)))/ABS(IF(ABS($E$12830)&gt;0.000000001,$E$12830,0.000000001))*$I$12206)</f>
        <v/>
      </c>
      <c r="E12866" s="19">
        <f>0.5*$E$12830+0.5*$Z$12880</f>
        <v/>
      </c>
      <c r="F12866" s="19">
        <f>$Z$12881</f>
        <v/>
      </c>
    </row>
    <row r="12867">
      <c r="D12867" s="19">
        <f>IF(ABS(IF(ABS($E$12831)&gt;0.000000001,$E$12831,0.000000001))=0,0,IF($E$12207&lt;=$B$12198,0,IF(ABS(IF(ABS($E$12831)&gt;0.000000001,$E$12831,0.000000001))&gt;=8*$B$12200,$H$12207,0.5*$H$12207*(ABS(IF(ABS($E$12831)&gt;0.000000001,$E$12831,0.000000001))/$B$12200)^(1/3)))/ABS(IF(ABS($E$12831)&gt;0.000000001,$E$12831,0.000000001))*$I$12207)</f>
        <v/>
      </c>
      <c r="E12867" s="19">
        <f>0.5*$E$12831+0.5*$Z$12882</f>
        <v/>
      </c>
      <c r="F12867" s="19">
        <f>$Z$12883</f>
        <v/>
      </c>
    </row>
    <row r="12868">
      <c r="D12868" s="19">
        <f>IF(ABS(IF(ABS($E$12832)&gt;0.000000001,$E$12832,0.000000001))=0,0,IF($E$12208&lt;=$B$12198,0,IF(ABS(IF(ABS($E$12832)&gt;0.000000001,$E$12832,0.000000001))&gt;=8*$B$12200,$H$12208,0.5*$H$12208*(ABS(IF(ABS($E$12832)&gt;0.000000001,$E$12832,0.000000001))/$B$12200)^(1/3)))/ABS(IF(ABS($E$12832)&gt;0.000000001,$E$12832,0.000000001))*$I$12208)</f>
        <v/>
      </c>
      <c r="E12868" s="19">
        <f>0.5*$E$12832+0.5*$Z$12884</f>
        <v/>
      </c>
      <c r="F12868" s="19">
        <f>$Z$12885</f>
        <v/>
      </c>
    </row>
    <row r="12869">
      <c r="D12869" s="19">
        <f>IF(ABS(IF(ABS($E$12833)&gt;0.000000001,$E$12833,0.000000001))=0,0,IF($E$12209&lt;=$B$12198,0,IF(ABS(IF(ABS($E$12833)&gt;0.000000001,$E$12833,0.000000001))&gt;=8*$B$12200,$H$12209,0.5*$H$12209*(ABS(IF(ABS($E$12833)&gt;0.000000001,$E$12833,0.000000001))/$B$12200)^(1/3)))/ABS(IF(ABS($E$12833)&gt;0.000000001,$E$12833,0.000000001))*$I$12209)</f>
        <v/>
      </c>
      <c r="E12869" s="19">
        <f>0.5*$E$12833+0.5*$Z$12886</f>
        <v/>
      </c>
      <c r="F12869" s="19">
        <f>$Z$12887</f>
        <v/>
      </c>
    </row>
    <row r="12870">
      <c r="D12870" s="19">
        <f>IF(ABS(IF(ABS($E$12834)&gt;0.000000001,$E$12834,0.000000001))=0,0,IF($E$12210&lt;=$B$12198,0,IF(ABS(IF(ABS($E$12834)&gt;0.000000001,$E$12834,0.000000001))&gt;=8*$B$12200,$H$12210,0.5*$H$12210*(ABS(IF(ABS($E$12834)&gt;0.000000001,$E$12834,0.000000001))/$B$12200)^(1/3)))/ABS(IF(ABS($E$12834)&gt;0.000000001,$E$12834,0.000000001))*$I$12210)</f>
        <v/>
      </c>
      <c r="E12870" s="19">
        <f>0.5*$E$12834+0.5*$Z$12888</f>
        <v/>
      </c>
      <c r="F12870" s="19">
        <f>$Z$12889</f>
        <v/>
      </c>
    </row>
    <row r="12871">
      <c r="D12871" s="19">
        <f>IF(ABS(IF(ABS($E$12835)&gt;0.000000001,$E$12835,0.000000001))=0,0,IF($E$12211&lt;=$B$12198,0,IF(ABS(IF(ABS($E$12835)&gt;0.000000001,$E$12835,0.000000001))&gt;=8*$B$12200,$H$12211,0.5*$H$12211*(ABS(IF(ABS($E$12835)&gt;0.000000001,$E$12835,0.000000001))/$B$12200)^(1/3)))/ABS(IF(ABS($E$12835)&gt;0.000000001,$E$12835,0.000000001))*$I$12211)</f>
        <v/>
      </c>
      <c r="E12871" s="19">
        <f>0.5*$E$12835+0.5*$Z$12890</f>
        <v/>
      </c>
      <c r="F12871" s="19">
        <f>$Z$12891</f>
        <v/>
      </c>
    </row>
    <row r="12872">
      <c r="D12872" s="19">
        <f>IF(ABS(IF(ABS($E$12836)&gt;0.000000001,$E$12836,0.000000001))=0,0,IF($E$12212&lt;=$B$12198,0,IF(ABS(IF(ABS($E$12836)&gt;0.000000001,$E$12836,0.000000001))&gt;=8*$B$12200,$H$12212,0.5*$H$12212*(ABS(IF(ABS($E$12836)&gt;0.000000001,$E$12836,0.000000001))/$B$12200)^(1/3)))/ABS(IF(ABS($E$12836)&gt;0.000000001,$E$12836,0.000000001))*$I$12212)</f>
        <v/>
      </c>
      <c r="E12872" s="19">
        <f>0.5*$E$12836+0.5*$Z$12892</f>
        <v/>
      </c>
      <c r="F12872" s="19">
        <f>$Z$12893</f>
        <v/>
      </c>
    </row>
    <row r="12873">
      <c r="D12873" s="19">
        <f>IF(ABS(IF(ABS($E$12837)&gt;0.000000001,$E$12837,0.000000001))=0,0,IF($E$12213&lt;=$B$12198,0,IF(ABS(IF(ABS($E$12837)&gt;0.000000001,$E$12837,0.000000001))&gt;=8*$B$12200,$H$12213,0.5*$H$12213*(ABS(IF(ABS($E$12837)&gt;0.000000001,$E$12837,0.000000001))/$B$12200)^(1/3)))/ABS(IF(ABS($E$12837)&gt;0.000000001,$E$12837,0.000000001))*$I$12213)</f>
        <v/>
      </c>
      <c r="E12873" s="19">
        <f>0.5*$E$12837+0.5*$Z$12894</f>
        <v/>
      </c>
      <c r="F12873" s="19">
        <f>$Z$12895</f>
        <v/>
      </c>
    </row>
    <row r="12874">
      <c r="D12874" s="19">
        <f>IF(ABS(IF(ABS($E$12838)&gt;0.000000001,$E$12838,0.000000001))=0,0,IF($E$12214&lt;=$B$12198,0,IF(ABS(IF(ABS($E$12838)&gt;0.000000001,$E$12838,0.000000001))&gt;=8*$B$12200,$H$12214,0.5*$H$12214*(ABS(IF(ABS($E$12838)&gt;0.000000001,$E$12838,0.000000001))/$B$12200)^(1/3)))/ABS(IF(ABS($E$12838)&gt;0.000000001,$E$12838,0.000000001))*$I$12214)</f>
        <v/>
      </c>
      <c r="E12874" s="19">
        <f>0.5*$E$12838+0.5*$Z$12896</f>
        <v/>
      </c>
      <c r="F12874" s="19">
        <f>$Z$12897</f>
        <v/>
      </c>
    </row>
    <row r="12876">
      <c r="D12876" s="21">
        <f>$B$12189+$D$12864</f>
        <v/>
      </c>
      <c r="E12876" s="21">
        <f>$B$12190</f>
        <v/>
      </c>
      <c r="F12876" s="21">
        <f>-$B$12189</f>
        <v/>
      </c>
      <c r="G12876" s="21">
        <f>$B$12190</f>
        <v/>
      </c>
      <c r="H12876" s="21" t="n">
        <v>0</v>
      </c>
      <c r="I12876" s="21" t="n">
        <v>0</v>
      </c>
      <c r="J12876" s="21" t="n">
        <v>0</v>
      </c>
      <c r="K12876" s="21" t="n">
        <v>0</v>
      </c>
      <c r="L12876" s="21" t="n">
        <v>0</v>
      </c>
      <c r="M12876" s="21" t="n">
        <v>0</v>
      </c>
      <c r="N12876" s="21" t="n">
        <v>0</v>
      </c>
      <c r="O12876" s="21" t="n">
        <v>0</v>
      </c>
      <c r="P12876" s="21" t="n">
        <v>0</v>
      </c>
      <c r="Q12876" s="21" t="n">
        <v>0</v>
      </c>
      <c r="R12876" s="21" t="n">
        <v>0</v>
      </c>
      <c r="S12876" s="21" t="n">
        <v>0</v>
      </c>
      <c r="T12876" s="21" t="n">
        <v>0</v>
      </c>
      <c r="U12876" s="21" t="n">
        <v>0</v>
      </c>
      <c r="V12876" s="21" t="n">
        <v>0</v>
      </c>
      <c r="W12876" s="21" t="n">
        <v>0</v>
      </c>
      <c r="X12876" s="21" t="n">
        <v>0</v>
      </c>
      <c r="Y12876" s="21" t="n">
        <v>0</v>
      </c>
      <c r="Z12876" s="19">
        <f t="array" ref="Z12876:Z12897">MMULT(MINVERSE($D$12876:$Y$12897),$D$12216:$D$12237)</f>
        <v/>
      </c>
    </row>
    <row r="12877">
      <c r="D12877" s="21">
        <f>$B$12190</f>
        <v/>
      </c>
      <c r="E12877" s="21">
        <f>$B$12191</f>
        <v/>
      </c>
      <c r="F12877" s="21">
        <f>-$B$12190</f>
        <v/>
      </c>
      <c r="G12877" s="21">
        <f>$B$12192</f>
        <v/>
      </c>
      <c r="H12877" s="21" t="n">
        <v>0</v>
      </c>
      <c r="I12877" s="21" t="n">
        <v>0</v>
      </c>
      <c r="J12877" s="21" t="n">
        <v>0</v>
      </c>
      <c r="K12877" s="21" t="n">
        <v>0</v>
      </c>
      <c r="L12877" s="21" t="n">
        <v>0</v>
      </c>
      <c r="M12877" s="21" t="n">
        <v>0</v>
      </c>
      <c r="N12877" s="21" t="n">
        <v>0</v>
      </c>
      <c r="O12877" s="21" t="n">
        <v>0</v>
      </c>
      <c r="P12877" s="21" t="n">
        <v>0</v>
      </c>
      <c r="Q12877" s="21" t="n">
        <v>0</v>
      </c>
      <c r="R12877" s="21" t="n">
        <v>0</v>
      </c>
      <c r="S12877" s="21" t="n">
        <v>0</v>
      </c>
      <c r="T12877" s="21" t="n">
        <v>0</v>
      </c>
      <c r="U12877" s="21" t="n">
        <v>0</v>
      </c>
      <c r="V12877" s="21" t="n">
        <v>0</v>
      </c>
      <c r="W12877" s="21" t="n">
        <v>0</v>
      </c>
      <c r="X12877" s="21" t="n">
        <v>0</v>
      </c>
      <c r="Y12877" s="21" t="n">
        <v>0</v>
      </c>
      <c r="Z12877" s="19" t="n"/>
    </row>
    <row r="12878">
      <c r="D12878" s="21">
        <f>-$B$12189</f>
        <v/>
      </c>
      <c r="E12878" s="21">
        <f>-$B$12190</f>
        <v/>
      </c>
      <c r="F12878" s="21">
        <f>2*$B$12189+$D$12865</f>
        <v/>
      </c>
      <c r="G12878" s="21">
        <f>0</f>
        <v/>
      </c>
      <c r="H12878" s="21">
        <f>-$B$12189</f>
        <v/>
      </c>
      <c r="I12878" s="21">
        <f>$B$12190</f>
        <v/>
      </c>
      <c r="J12878" s="21" t="n">
        <v>0</v>
      </c>
      <c r="K12878" s="21" t="n">
        <v>0</v>
      </c>
      <c r="L12878" s="21" t="n">
        <v>0</v>
      </c>
      <c r="M12878" s="21" t="n">
        <v>0</v>
      </c>
      <c r="N12878" s="21" t="n">
        <v>0</v>
      </c>
      <c r="O12878" s="21" t="n">
        <v>0</v>
      </c>
      <c r="P12878" s="21" t="n">
        <v>0</v>
      </c>
      <c r="Q12878" s="21" t="n">
        <v>0</v>
      </c>
      <c r="R12878" s="21" t="n">
        <v>0</v>
      </c>
      <c r="S12878" s="21" t="n">
        <v>0</v>
      </c>
      <c r="T12878" s="21" t="n">
        <v>0</v>
      </c>
      <c r="U12878" s="21" t="n">
        <v>0</v>
      </c>
      <c r="V12878" s="21" t="n">
        <v>0</v>
      </c>
      <c r="W12878" s="21" t="n">
        <v>0</v>
      </c>
      <c r="X12878" s="21" t="n">
        <v>0</v>
      </c>
      <c r="Y12878" s="21" t="n">
        <v>0</v>
      </c>
      <c r="Z12878" s="19" t="n"/>
    </row>
    <row r="12879">
      <c r="D12879" s="21">
        <f>$B$12190</f>
        <v/>
      </c>
      <c r="E12879" s="21">
        <f>$B$12192</f>
        <v/>
      </c>
      <c r="F12879" s="21">
        <f>0</f>
        <v/>
      </c>
      <c r="G12879" s="21">
        <f>2*$B$12191</f>
        <v/>
      </c>
      <c r="H12879" s="21">
        <f>-$B$12190</f>
        <v/>
      </c>
      <c r="I12879" s="21">
        <f>$B$12192</f>
        <v/>
      </c>
      <c r="J12879" s="21" t="n">
        <v>0</v>
      </c>
      <c r="K12879" s="21" t="n">
        <v>0</v>
      </c>
      <c r="L12879" s="21" t="n">
        <v>0</v>
      </c>
      <c r="M12879" s="21" t="n">
        <v>0</v>
      </c>
      <c r="N12879" s="21" t="n">
        <v>0</v>
      </c>
      <c r="O12879" s="21" t="n">
        <v>0</v>
      </c>
      <c r="P12879" s="21" t="n">
        <v>0</v>
      </c>
      <c r="Q12879" s="21" t="n">
        <v>0</v>
      </c>
      <c r="R12879" s="21" t="n">
        <v>0</v>
      </c>
      <c r="S12879" s="21" t="n">
        <v>0</v>
      </c>
      <c r="T12879" s="21" t="n">
        <v>0</v>
      </c>
      <c r="U12879" s="21" t="n">
        <v>0</v>
      </c>
      <c r="V12879" s="21" t="n">
        <v>0</v>
      </c>
      <c r="W12879" s="21" t="n">
        <v>0</v>
      </c>
      <c r="X12879" s="21" t="n">
        <v>0</v>
      </c>
      <c r="Y12879" s="21" t="n">
        <v>0</v>
      </c>
      <c r="Z12879" s="19" t="n"/>
    </row>
    <row r="12880">
      <c r="D12880" s="21" t="n">
        <v>0</v>
      </c>
      <c r="E12880" s="21" t="n">
        <v>0</v>
      </c>
      <c r="F12880" s="21">
        <f>-$B$12189</f>
        <v/>
      </c>
      <c r="G12880" s="21">
        <f>-$B$12190</f>
        <v/>
      </c>
      <c r="H12880" s="21">
        <f>2*$B$12189+$D$12866</f>
        <v/>
      </c>
      <c r="I12880" s="21">
        <f>0</f>
        <v/>
      </c>
      <c r="J12880" s="21">
        <f>-$B$12189</f>
        <v/>
      </c>
      <c r="K12880" s="21">
        <f>$B$12190</f>
        <v/>
      </c>
      <c r="L12880" s="21" t="n">
        <v>0</v>
      </c>
      <c r="M12880" s="21" t="n">
        <v>0</v>
      </c>
      <c r="N12880" s="21" t="n">
        <v>0</v>
      </c>
      <c r="O12880" s="21" t="n">
        <v>0</v>
      </c>
      <c r="P12880" s="21" t="n">
        <v>0</v>
      </c>
      <c r="Q12880" s="21" t="n">
        <v>0</v>
      </c>
      <c r="R12880" s="21" t="n">
        <v>0</v>
      </c>
      <c r="S12880" s="21" t="n">
        <v>0</v>
      </c>
      <c r="T12880" s="21" t="n">
        <v>0</v>
      </c>
      <c r="U12880" s="21" t="n">
        <v>0</v>
      </c>
      <c r="V12880" s="21" t="n">
        <v>0</v>
      </c>
      <c r="W12880" s="21" t="n">
        <v>0</v>
      </c>
      <c r="X12880" s="21" t="n">
        <v>0</v>
      </c>
      <c r="Y12880" s="21" t="n">
        <v>0</v>
      </c>
      <c r="Z12880" s="19" t="n"/>
    </row>
    <row r="12881">
      <c r="D12881" s="21" t="n">
        <v>0</v>
      </c>
      <c r="E12881" s="21" t="n">
        <v>0</v>
      </c>
      <c r="F12881" s="21">
        <f>$B$12190</f>
        <v/>
      </c>
      <c r="G12881" s="21">
        <f>$B$12192</f>
        <v/>
      </c>
      <c r="H12881" s="21">
        <f>0</f>
        <v/>
      </c>
      <c r="I12881" s="21">
        <f>2*$B$12191</f>
        <v/>
      </c>
      <c r="J12881" s="21">
        <f>-$B$12190</f>
        <v/>
      </c>
      <c r="K12881" s="21">
        <f>$B$12192</f>
        <v/>
      </c>
      <c r="L12881" s="21" t="n">
        <v>0</v>
      </c>
      <c r="M12881" s="21" t="n">
        <v>0</v>
      </c>
      <c r="N12881" s="21" t="n">
        <v>0</v>
      </c>
      <c r="O12881" s="21" t="n">
        <v>0</v>
      </c>
      <c r="P12881" s="21" t="n">
        <v>0</v>
      </c>
      <c r="Q12881" s="21" t="n">
        <v>0</v>
      </c>
      <c r="R12881" s="21" t="n">
        <v>0</v>
      </c>
      <c r="S12881" s="21" t="n">
        <v>0</v>
      </c>
      <c r="T12881" s="21" t="n">
        <v>0</v>
      </c>
      <c r="U12881" s="21" t="n">
        <v>0</v>
      </c>
      <c r="V12881" s="21" t="n">
        <v>0</v>
      </c>
      <c r="W12881" s="21" t="n">
        <v>0</v>
      </c>
      <c r="X12881" s="21" t="n">
        <v>0</v>
      </c>
      <c r="Y12881" s="21" t="n">
        <v>0</v>
      </c>
      <c r="Z12881" s="19" t="n"/>
    </row>
    <row r="12882">
      <c r="D12882" s="21" t="n">
        <v>0</v>
      </c>
      <c r="E12882" s="21" t="n">
        <v>0</v>
      </c>
      <c r="F12882" s="21" t="n">
        <v>0</v>
      </c>
      <c r="G12882" s="21" t="n">
        <v>0</v>
      </c>
      <c r="H12882" s="21">
        <f>-$B$12189</f>
        <v/>
      </c>
      <c r="I12882" s="21">
        <f>-$B$12190</f>
        <v/>
      </c>
      <c r="J12882" s="21">
        <f>2*$B$12189+$D$12867</f>
        <v/>
      </c>
      <c r="K12882" s="21">
        <f>0</f>
        <v/>
      </c>
      <c r="L12882" s="21">
        <f>-$B$12189</f>
        <v/>
      </c>
      <c r="M12882" s="21">
        <f>$B$12190</f>
        <v/>
      </c>
      <c r="N12882" s="21" t="n">
        <v>0</v>
      </c>
      <c r="O12882" s="21" t="n">
        <v>0</v>
      </c>
      <c r="P12882" s="21" t="n">
        <v>0</v>
      </c>
      <c r="Q12882" s="21" t="n">
        <v>0</v>
      </c>
      <c r="R12882" s="21" t="n">
        <v>0</v>
      </c>
      <c r="S12882" s="21" t="n">
        <v>0</v>
      </c>
      <c r="T12882" s="21" t="n">
        <v>0</v>
      </c>
      <c r="U12882" s="21" t="n">
        <v>0</v>
      </c>
      <c r="V12882" s="21" t="n">
        <v>0</v>
      </c>
      <c r="W12882" s="21" t="n">
        <v>0</v>
      </c>
      <c r="X12882" s="21" t="n">
        <v>0</v>
      </c>
      <c r="Y12882" s="21" t="n">
        <v>0</v>
      </c>
      <c r="Z12882" s="19" t="n"/>
    </row>
    <row r="12883">
      <c r="D12883" s="21" t="n">
        <v>0</v>
      </c>
      <c r="E12883" s="21" t="n">
        <v>0</v>
      </c>
      <c r="F12883" s="21" t="n">
        <v>0</v>
      </c>
      <c r="G12883" s="21" t="n">
        <v>0</v>
      </c>
      <c r="H12883" s="21">
        <f>$B$12190</f>
        <v/>
      </c>
      <c r="I12883" s="21">
        <f>$B$12192</f>
        <v/>
      </c>
      <c r="J12883" s="21">
        <f>0</f>
        <v/>
      </c>
      <c r="K12883" s="21">
        <f>2*$B$12191</f>
        <v/>
      </c>
      <c r="L12883" s="21">
        <f>-$B$12190</f>
        <v/>
      </c>
      <c r="M12883" s="21">
        <f>$B$12192</f>
        <v/>
      </c>
      <c r="N12883" s="21" t="n">
        <v>0</v>
      </c>
      <c r="O12883" s="21" t="n">
        <v>0</v>
      </c>
      <c r="P12883" s="21" t="n">
        <v>0</v>
      </c>
      <c r="Q12883" s="21" t="n">
        <v>0</v>
      </c>
      <c r="R12883" s="21" t="n">
        <v>0</v>
      </c>
      <c r="S12883" s="21" t="n">
        <v>0</v>
      </c>
      <c r="T12883" s="21" t="n">
        <v>0</v>
      </c>
      <c r="U12883" s="21" t="n">
        <v>0</v>
      </c>
      <c r="V12883" s="21" t="n">
        <v>0</v>
      </c>
      <c r="W12883" s="21" t="n">
        <v>0</v>
      </c>
      <c r="X12883" s="21" t="n">
        <v>0</v>
      </c>
      <c r="Y12883" s="21" t="n">
        <v>0</v>
      </c>
      <c r="Z12883" s="19" t="n"/>
    </row>
    <row r="12884">
      <c r="D12884" s="21" t="n">
        <v>0</v>
      </c>
      <c r="E12884" s="21" t="n">
        <v>0</v>
      </c>
      <c r="F12884" s="21" t="n">
        <v>0</v>
      </c>
      <c r="G12884" s="21" t="n">
        <v>0</v>
      </c>
      <c r="H12884" s="21" t="n">
        <v>0</v>
      </c>
      <c r="I12884" s="21" t="n">
        <v>0</v>
      </c>
      <c r="J12884" s="21">
        <f>-$B$12189</f>
        <v/>
      </c>
      <c r="K12884" s="21">
        <f>-$B$12190</f>
        <v/>
      </c>
      <c r="L12884" s="21">
        <f>2*$B$12189+$D$12868</f>
        <v/>
      </c>
      <c r="M12884" s="21">
        <f>0</f>
        <v/>
      </c>
      <c r="N12884" s="21">
        <f>-$B$12189</f>
        <v/>
      </c>
      <c r="O12884" s="21">
        <f>$B$12190</f>
        <v/>
      </c>
      <c r="P12884" s="21" t="n">
        <v>0</v>
      </c>
      <c r="Q12884" s="21" t="n">
        <v>0</v>
      </c>
      <c r="R12884" s="21" t="n">
        <v>0</v>
      </c>
      <c r="S12884" s="21" t="n">
        <v>0</v>
      </c>
      <c r="T12884" s="21" t="n">
        <v>0</v>
      </c>
      <c r="U12884" s="21" t="n">
        <v>0</v>
      </c>
      <c r="V12884" s="21" t="n">
        <v>0</v>
      </c>
      <c r="W12884" s="21" t="n">
        <v>0</v>
      </c>
      <c r="X12884" s="21" t="n">
        <v>0</v>
      </c>
      <c r="Y12884" s="21" t="n">
        <v>0</v>
      </c>
      <c r="Z12884" s="19" t="n"/>
    </row>
    <row r="12885">
      <c r="D12885" s="21" t="n">
        <v>0</v>
      </c>
      <c r="E12885" s="21" t="n">
        <v>0</v>
      </c>
      <c r="F12885" s="21" t="n">
        <v>0</v>
      </c>
      <c r="G12885" s="21" t="n">
        <v>0</v>
      </c>
      <c r="H12885" s="21" t="n">
        <v>0</v>
      </c>
      <c r="I12885" s="21" t="n">
        <v>0</v>
      </c>
      <c r="J12885" s="21">
        <f>$B$12190</f>
        <v/>
      </c>
      <c r="K12885" s="21">
        <f>$B$12192</f>
        <v/>
      </c>
      <c r="L12885" s="21">
        <f>0</f>
        <v/>
      </c>
      <c r="M12885" s="21">
        <f>2*$B$12191</f>
        <v/>
      </c>
      <c r="N12885" s="21">
        <f>-$B$12190</f>
        <v/>
      </c>
      <c r="O12885" s="21">
        <f>$B$12192</f>
        <v/>
      </c>
      <c r="P12885" s="21" t="n">
        <v>0</v>
      </c>
      <c r="Q12885" s="21" t="n">
        <v>0</v>
      </c>
      <c r="R12885" s="21" t="n">
        <v>0</v>
      </c>
      <c r="S12885" s="21" t="n">
        <v>0</v>
      </c>
      <c r="T12885" s="21" t="n">
        <v>0</v>
      </c>
      <c r="U12885" s="21" t="n">
        <v>0</v>
      </c>
      <c r="V12885" s="21" t="n">
        <v>0</v>
      </c>
      <c r="W12885" s="21" t="n">
        <v>0</v>
      </c>
      <c r="X12885" s="21" t="n">
        <v>0</v>
      </c>
      <c r="Y12885" s="21" t="n">
        <v>0</v>
      </c>
      <c r="Z12885" s="19" t="n"/>
    </row>
    <row r="12886">
      <c r="D12886" s="21" t="n">
        <v>0</v>
      </c>
      <c r="E12886" s="21" t="n">
        <v>0</v>
      </c>
      <c r="F12886" s="21" t="n">
        <v>0</v>
      </c>
      <c r="G12886" s="21" t="n">
        <v>0</v>
      </c>
      <c r="H12886" s="21" t="n">
        <v>0</v>
      </c>
      <c r="I12886" s="21" t="n">
        <v>0</v>
      </c>
      <c r="J12886" s="21" t="n">
        <v>0</v>
      </c>
      <c r="K12886" s="21" t="n">
        <v>0</v>
      </c>
      <c r="L12886" s="21">
        <f>-$B$12189</f>
        <v/>
      </c>
      <c r="M12886" s="21">
        <f>-$B$12190</f>
        <v/>
      </c>
      <c r="N12886" s="21">
        <f>2*$B$12189+$D$12869</f>
        <v/>
      </c>
      <c r="O12886" s="21">
        <f>0</f>
        <v/>
      </c>
      <c r="P12886" s="21">
        <f>-$B$12189</f>
        <v/>
      </c>
      <c r="Q12886" s="21">
        <f>$B$12190</f>
        <v/>
      </c>
      <c r="R12886" s="21" t="n">
        <v>0</v>
      </c>
      <c r="S12886" s="21" t="n">
        <v>0</v>
      </c>
      <c r="T12886" s="21" t="n">
        <v>0</v>
      </c>
      <c r="U12886" s="21" t="n">
        <v>0</v>
      </c>
      <c r="V12886" s="21" t="n">
        <v>0</v>
      </c>
      <c r="W12886" s="21" t="n">
        <v>0</v>
      </c>
      <c r="X12886" s="21" t="n">
        <v>0</v>
      </c>
      <c r="Y12886" s="21" t="n">
        <v>0</v>
      </c>
      <c r="Z12886" s="19" t="n"/>
    </row>
    <row r="12887">
      <c r="D12887" s="21" t="n">
        <v>0</v>
      </c>
      <c r="E12887" s="21" t="n">
        <v>0</v>
      </c>
      <c r="F12887" s="21" t="n">
        <v>0</v>
      </c>
      <c r="G12887" s="21" t="n">
        <v>0</v>
      </c>
      <c r="H12887" s="21" t="n">
        <v>0</v>
      </c>
      <c r="I12887" s="21" t="n">
        <v>0</v>
      </c>
      <c r="J12887" s="21" t="n">
        <v>0</v>
      </c>
      <c r="K12887" s="21" t="n">
        <v>0</v>
      </c>
      <c r="L12887" s="21">
        <f>$B$12190</f>
        <v/>
      </c>
      <c r="M12887" s="21">
        <f>$B$12192</f>
        <v/>
      </c>
      <c r="N12887" s="21">
        <f>0</f>
        <v/>
      </c>
      <c r="O12887" s="21">
        <f>2*$B$12191</f>
        <v/>
      </c>
      <c r="P12887" s="21">
        <f>-$B$12190</f>
        <v/>
      </c>
      <c r="Q12887" s="21">
        <f>$B$12192</f>
        <v/>
      </c>
      <c r="R12887" s="21" t="n">
        <v>0</v>
      </c>
      <c r="S12887" s="21" t="n">
        <v>0</v>
      </c>
      <c r="T12887" s="21" t="n">
        <v>0</v>
      </c>
      <c r="U12887" s="21" t="n">
        <v>0</v>
      </c>
      <c r="V12887" s="21" t="n">
        <v>0</v>
      </c>
      <c r="W12887" s="21" t="n">
        <v>0</v>
      </c>
      <c r="X12887" s="21" t="n">
        <v>0</v>
      </c>
      <c r="Y12887" s="21" t="n">
        <v>0</v>
      </c>
      <c r="Z12887" s="19" t="n"/>
    </row>
    <row r="12888">
      <c r="D12888" s="21" t="n">
        <v>0</v>
      </c>
      <c r="E12888" s="21" t="n">
        <v>0</v>
      </c>
      <c r="F12888" s="21" t="n">
        <v>0</v>
      </c>
      <c r="G12888" s="21" t="n">
        <v>0</v>
      </c>
      <c r="H12888" s="21" t="n">
        <v>0</v>
      </c>
      <c r="I12888" s="21" t="n">
        <v>0</v>
      </c>
      <c r="J12888" s="21" t="n">
        <v>0</v>
      </c>
      <c r="K12888" s="21" t="n">
        <v>0</v>
      </c>
      <c r="L12888" s="21" t="n">
        <v>0</v>
      </c>
      <c r="M12888" s="21" t="n">
        <v>0</v>
      </c>
      <c r="N12888" s="21">
        <f>-$B$12189</f>
        <v/>
      </c>
      <c r="O12888" s="21">
        <f>-$B$12190</f>
        <v/>
      </c>
      <c r="P12888" s="21">
        <f>2*$B$12189+$D$12870</f>
        <v/>
      </c>
      <c r="Q12888" s="21">
        <f>0</f>
        <v/>
      </c>
      <c r="R12888" s="21">
        <f>-$B$12189</f>
        <v/>
      </c>
      <c r="S12888" s="21">
        <f>$B$12190</f>
        <v/>
      </c>
      <c r="T12888" s="21" t="n">
        <v>0</v>
      </c>
      <c r="U12888" s="21" t="n">
        <v>0</v>
      </c>
      <c r="V12888" s="21" t="n">
        <v>0</v>
      </c>
      <c r="W12888" s="21" t="n">
        <v>0</v>
      </c>
      <c r="X12888" s="21" t="n">
        <v>0</v>
      </c>
      <c r="Y12888" s="21" t="n">
        <v>0</v>
      </c>
      <c r="Z12888" s="19" t="n"/>
    </row>
    <row r="12889">
      <c r="D12889" s="21" t="n">
        <v>0</v>
      </c>
      <c r="E12889" s="21" t="n">
        <v>0</v>
      </c>
      <c r="F12889" s="21" t="n">
        <v>0</v>
      </c>
      <c r="G12889" s="21" t="n">
        <v>0</v>
      </c>
      <c r="H12889" s="21" t="n">
        <v>0</v>
      </c>
      <c r="I12889" s="21" t="n">
        <v>0</v>
      </c>
      <c r="J12889" s="21" t="n">
        <v>0</v>
      </c>
      <c r="K12889" s="21" t="n">
        <v>0</v>
      </c>
      <c r="L12889" s="21" t="n">
        <v>0</v>
      </c>
      <c r="M12889" s="21" t="n">
        <v>0</v>
      </c>
      <c r="N12889" s="21">
        <f>$B$12190</f>
        <v/>
      </c>
      <c r="O12889" s="21">
        <f>$B$12192</f>
        <v/>
      </c>
      <c r="P12889" s="21">
        <f>0</f>
        <v/>
      </c>
      <c r="Q12889" s="21">
        <f>2*$B$12191</f>
        <v/>
      </c>
      <c r="R12889" s="21">
        <f>-$B$12190</f>
        <v/>
      </c>
      <c r="S12889" s="21">
        <f>$B$12192</f>
        <v/>
      </c>
      <c r="T12889" s="21" t="n">
        <v>0</v>
      </c>
      <c r="U12889" s="21" t="n">
        <v>0</v>
      </c>
      <c r="V12889" s="21" t="n">
        <v>0</v>
      </c>
      <c r="W12889" s="21" t="n">
        <v>0</v>
      </c>
      <c r="X12889" s="21" t="n">
        <v>0</v>
      </c>
      <c r="Y12889" s="21" t="n">
        <v>0</v>
      </c>
      <c r="Z12889" s="19" t="n"/>
    </row>
    <row r="12890">
      <c r="D12890" s="21" t="n">
        <v>0</v>
      </c>
      <c r="E12890" s="21" t="n">
        <v>0</v>
      </c>
      <c r="F12890" s="21" t="n">
        <v>0</v>
      </c>
      <c r="G12890" s="21" t="n">
        <v>0</v>
      </c>
      <c r="H12890" s="21" t="n">
        <v>0</v>
      </c>
      <c r="I12890" s="21" t="n">
        <v>0</v>
      </c>
      <c r="J12890" s="21" t="n">
        <v>0</v>
      </c>
      <c r="K12890" s="21" t="n">
        <v>0</v>
      </c>
      <c r="L12890" s="21" t="n">
        <v>0</v>
      </c>
      <c r="M12890" s="21" t="n">
        <v>0</v>
      </c>
      <c r="N12890" s="21" t="n">
        <v>0</v>
      </c>
      <c r="O12890" s="21" t="n">
        <v>0</v>
      </c>
      <c r="P12890" s="21">
        <f>-$B$12189</f>
        <v/>
      </c>
      <c r="Q12890" s="21">
        <f>-$B$12190</f>
        <v/>
      </c>
      <c r="R12890" s="21">
        <f>2*$B$12189+$D$12871</f>
        <v/>
      </c>
      <c r="S12890" s="21">
        <f>0</f>
        <v/>
      </c>
      <c r="T12890" s="21">
        <f>-$B$12189</f>
        <v/>
      </c>
      <c r="U12890" s="21">
        <f>$B$12190</f>
        <v/>
      </c>
      <c r="V12890" s="21" t="n">
        <v>0</v>
      </c>
      <c r="W12890" s="21" t="n">
        <v>0</v>
      </c>
      <c r="X12890" s="21" t="n">
        <v>0</v>
      </c>
      <c r="Y12890" s="21" t="n">
        <v>0</v>
      </c>
      <c r="Z12890" s="19" t="n"/>
    </row>
    <row r="12891">
      <c r="D12891" s="21" t="n">
        <v>0</v>
      </c>
      <c r="E12891" s="21" t="n">
        <v>0</v>
      </c>
      <c r="F12891" s="21" t="n">
        <v>0</v>
      </c>
      <c r="G12891" s="21" t="n">
        <v>0</v>
      </c>
      <c r="H12891" s="21" t="n">
        <v>0</v>
      </c>
      <c r="I12891" s="21" t="n">
        <v>0</v>
      </c>
      <c r="J12891" s="21" t="n">
        <v>0</v>
      </c>
      <c r="K12891" s="21" t="n">
        <v>0</v>
      </c>
      <c r="L12891" s="21" t="n">
        <v>0</v>
      </c>
      <c r="M12891" s="21" t="n">
        <v>0</v>
      </c>
      <c r="N12891" s="21" t="n">
        <v>0</v>
      </c>
      <c r="O12891" s="21" t="n">
        <v>0</v>
      </c>
      <c r="P12891" s="21">
        <f>$B$12190</f>
        <v/>
      </c>
      <c r="Q12891" s="21">
        <f>$B$12192</f>
        <v/>
      </c>
      <c r="R12891" s="21">
        <f>0</f>
        <v/>
      </c>
      <c r="S12891" s="21">
        <f>2*$B$12191</f>
        <v/>
      </c>
      <c r="T12891" s="21">
        <f>-$B$12190</f>
        <v/>
      </c>
      <c r="U12891" s="21">
        <f>$B$12192</f>
        <v/>
      </c>
      <c r="V12891" s="21" t="n">
        <v>0</v>
      </c>
      <c r="W12891" s="21" t="n">
        <v>0</v>
      </c>
      <c r="X12891" s="21" t="n">
        <v>0</v>
      </c>
      <c r="Y12891" s="21" t="n">
        <v>0</v>
      </c>
      <c r="Z12891" s="19" t="n"/>
    </row>
    <row r="12892">
      <c r="D12892" s="21" t="n">
        <v>0</v>
      </c>
      <c r="E12892" s="21" t="n">
        <v>0</v>
      </c>
      <c r="F12892" s="21" t="n">
        <v>0</v>
      </c>
      <c r="G12892" s="21" t="n">
        <v>0</v>
      </c>
      <c r="H12892" s="21" t="n">
        <v>0</v>
      </c>
      <c r="I12892" s="21" t="n">
        <v>0</v>
      </c>
      <c r="J12892" s="21" t="n">
        <v>0</v>
      </c>
      <c r="K12892" s="21" t="n">
        <v>0</v>
      </c>
      <c r="L12892" s="21" t="n">
        <v>0</v>
      </c>
      <c r="M12892" s="21" t="n">
        <v>0</v>
      </c>
      <c r="N12892" s="21" t="n">
        <v>0</v>
      </c>
      <c r="O12892" s="21" t="n">
        <v>0</v>
      </c>
      <c r="P12892" s="21" t="n">
        <v>0</v>
      </c>
      <c r="Q12892" s="21" t="n">
        <v>0</v>
      </c>
      <c r="R12892" s="21">
        <f>-$B$12189</f>
        <v/>
      </c>
      <c r="S12892" s="21">
        <f>-$B$12190</f>
        <v/>
      </c>
      <c r="T12892" s="21">
        <f>2*$B$12189+$D$12872</f>
        <v/>
      </c>
      <c r="U12892" s="21">
        <f>0</f>
        <v/>
      </c>
      <c r="V12892" s="21">
        <f>-$B$12189</f>
        <v/>
      </c>
      <c r="W12892" s="21">
        <f>$B$12190</f>
        <v/>
      </c>
      <c r="X12892" s="21" t="n">
        <v>0</v>
      </c>
      <c r="Y12892" s="21" t="n">
        <v>0</v>
      </c>
      <c r="Z12892" s="19" t="n"/>
    </row>
    <row r="12893">
      <c r="D12893" s="21" t="n">
        <v>0</v>
      </c>
      <c r="E12893" s="21" t="n">
        <v>0</v>
      </c>
      <c r="F12893" s="21" t="n">
        <v>0</v>
      </c>
      <c r="G12893" s="21" t="n">
        <v>0</v>
      </c>
      <c r="H12893" s="21" t="n">
        <v>0</v>
      </c>
      <c r="I12893" s="21" t="n">
        <v>0</v>
      </c>
      <c r="J12893" s="21" t="n">
        <v>0</v>
      </c>
      <c r="K12893" s="21" t="n">
        <v>0</v>
      </c>
      <c r="L12893" s="21" t="n">
        <v>0</v>
      </c>
      <c r="M12893" s="21" t="n">
        <v>0</v>
      </c>
      <c r="N12893" s="21" t="n">
        <v>0</v>
      </c>
      <c r="O12893" s="21" t="n">
        <v>0</v>
      </c>
      <c r="P12893" s="21" t="n">
        <v>0</v>
      </c>
      <c r="Q12893" s="21" t="n">
        <v>0</v>
      </c>
      <c r="R12893" s="21">
        <f>$B$12190</f>
        <v/>
      </c>
      <c r="S12893" s="21">
        <f>$B$12192</f>
        <v/>
      </c>
      <c r="T12893" s="21">
        <f>0</f>
        <v/>
      </c>
      <c r="U12893" s="21">
        <f>2*$B$12191</f>
        <v/>
      </c>
      <c r="V12893" s="21">
        <f>-$B$12190</f>
        <v/>
      </c>
      <c r="W12893" s="21">
        <f>$B$12192</f>
        <v/>
      </c>
      <c r="X12893" s="21" t="n">
        <v>0</v>
      </c>
      <c r="Y12893" s="21" t="n">
        <v>0</v>
      </c>
      <c r="Z12893" s="19" t="n"/>
    </row>
    <row r="12894">
      <c r="D12894" s="21" t="n">
        <v>0</v>
      </c>
      <c r="E12894" s="21" t="n">
        <v>0</v>
      </c>
      <c r="F12894" s="21" t="n">
        <v>0</v>
      </c>
      <c r="G12894" s="21" t="n">
        <v>0</v>
      </c>
      <c r="H12894" s="21" t="n">
        <v>0</v>
      </c>
      <c r="I12894" s="21" t="n">
        <v>0</v>
      </c>
      <c r="J12894" s="21" t="n">
        <v>0</v>
      </c>
      <c r="K12894" s="21" t="n">
        <v>0</v>
      </c>
      <c r="L12894" s="21" t="n">
        <v>0</v>
      </c>
      <c r="M12894" s="21" t="n">
        <v>0</v>
      </c>
      <c r="N12894" s="21" t="n">
        <v>0</v>
      </c>
      <c r="O12894" s="21" t="n">
        <v>0</v>
      </c>
      <c r="P12894" s="21" t="n">
        <v>0</v>
      </c>
      <c r="Q12894" s="21" t="n">
        <v>0</v>
      </c>
      <c r="R12894" s="21" t="n">
        <v>0</v>
      </c>
      <c r="S12894" s="21" t="n">
        <v>0</v>
      </c>
      <c r="T12894" s="21">
        <f>-$B$12189</f>
        <v/>
      </c>
      <c r="U12894" s="21">
        <f>-$B$12190</f>
        <v/>
      </c>
      <c r="V12894" s="21">
        <f>2*$B$12189+$D$12873</f>
        <v/>
      </c>
      <c r="W12894" s="21">
        <f>0</f>
        <v/>
      </c>
      <c r="X12894" s="21">
        <f>-$B$12189</f>
        <v/>
      </c>
      <c r="Y12894" s="21">
        <f>$B$12190</f>
        <v/>
      </c>
      <c r="Z12894" s="19" t="n"/>
    </row>
    <row r="12895">
      <c r="D12895" s="21" t="n">
        <v>0</v>
      </c>
      <c r="E12895" s="21" t="n">
        <v>0</v>
      </c>
      <c r="F12895" s="21" t="n">
        <v>0</v>
      </c>
      <c r="G12895" s="21" t="n">
        <v>0</v>
      </c>
      <c r="H12895" s="21" t="n">
        <v>0</v>
      </c>
      <c r="I12895" s="21" t="n">
        <v>0</v>
      </c>
      <c r="J12895" s="21" t="n">
        <v>0</v>
      </c>
      <c r="K12895" s="21" t="n">
        <v>0</v>
      </c>
      <c r="L12895" s="21" t="n">
        <v>0</v>
      </c>
      <c r="M12895" s="21" t="n">
        <v>0</v>
      </c>
      <c r="N12895" s="21" t="n">
        <v>0</v>
      </c>
      <c r="O12895" s="21" t="n">
        <v>0</v>
      </c>
      <c r="P12895" s="21" t="n">
        <v>0</v>
      </c>
      <c r="Q12895" s="21" t="n">
        <v>0</v>
      </c>
      <c r="R12895" s="21" t="n">
        <v>0</v>
      </c>
      <c r="S12895" s="21" t="n">
        <v>0</v>
      </c>
      <c r="T12895" s="21">
        <f>$B$12190</f>
        <v/>
      </c>
      <c r="U12895" s="21">
        <f>$B$12192</f>
        <v/>
      </c>
      <c r="V12895" s="21">
        <f>0</f>
        <v/>
      </c>
      <c r="W12895" s="21">
        <f>2*$B$12191</f>
        <v/>
      </c>
      <c r="X12895" s="21">
        <f>-$B$12190</f>
        <v/>
      </c>
      <c r="Y12895" s="21">
        <f>$B$12192</f>
        <v/>
      </c>
      <c r="Z12895" s="19" t="n"/>
    </row>
    <row r="12896">
      <c r="D12896" s="21" t="n">
        <v>0</v>
      </c>
      <c r="E12896" s="21" t="n">
        <v>0</v>
      </c>
      <c r="F12896" s="21" t="n">
        <v>0</v>
      </c>
      <c r="G12896" s="21" t="n">
        <v>0</v>
      </c>
      <c r="H12896" s="21" t="n">
        <v>0</v>
      </c>
      <c r="I12896" s="21" t="n">
        <v>0</v>
      </c>
      <c r="J12896" s="21" t="n">
        <v>0</v>
      </c>
      <c r="K12896" s="21" t="n">
        <v>0</v>
      </c>
      <c r="L12896" s="21" t="n">
        <v>0</v>
      </c>
      <c r="M12896" s="21" t="n">
        <v>0</v>
      </c>
      <c r="N12896" s="21" t="n">
        <v>0</v>
      </c>
      <c r="O12896" s="21" t="n">
        <v>0</v>
      </c>
      <c r="P12896" s="21" t="n">
        <v>0</v>
      </c>
      <c r="Q12896" s="21" t="n">
        <v>0</v>
      </c>
      <c r="R12896" s="21" t="n">
        <v>0</v>
      </c>
      <c r="S12896" s="21" t="n">
        <v>0</v>
      </c>
      <c r="T12896" s="21" t="n">
        <v>0</v>
      </c>
      <c r="U12896" s="21" t="n">
        <v>0</v>
      </c>
      <c r="V12896" s="21">
        <f>-$B$12189</f>
        <v/>
      </c>
      <c r="W12896" s="21">
        <f>-$B$12190</f>
        <v/>
      </c>
      <c r="X12896" s="21">
        <f>$B$12189+$D$12874</f>
        <v/>
      </c>
      <c r="Y12896" s="21">
        <f>-$B$12190</f>
        <v/>
      </c>
      <c r="Z12896" s="19" t="n"/>
    </row>
    <row r="12897">
      <c r="D12897" s="21" t="n">
        <v>0</v>
      </c>
      <c r="E12897" s="21" t="n">
        <v>0</v>
      </c>
      <c r="F12897" s="21" t="n">
        <v>0</v>
      </c>
      <c r="G12897" s="21" t="n">
        <v>0</v>
      </c>
      <c r="H12897" s="21" t="n">
        <v>0</v>
      </c>
      <c r="I12897" s="21" t="n">
        <v>0</v>
      </c>
      <c r="J12897" s="21" t="n">
        <v>0</v>
      </c>
      <c r="K12897" s="21" t="n">
        <v>0</v>
      </c>
      <c r="L12897" s="21" t="n">
        <v>0</v>
      </c>
      <c r="M12897" s="21" t="n">
        <v>0</v>
      </c>
      <c r="N12897" s="21" t="n">
        <v>0</v>
      </c>
      <c r="O12897" s="21" t="n">
        <v>0</v>
      </c>
      <c r="P12897" s="21" t="n">
        <v>0</v>
      </c>
      <c r="Q12897" s="21" t="n">
        <v>0</v>
      </c>
      <c r="R12897" s="21" t="n">
        <v>0</v>
      </c>
      <c r="S12897" s="21" t="n">
        <v>0</v>
      </c>
      <c r="T12897" s="21" t="n">
        <v>0</v>
      </c>
      <c r="U12897" s="21" t="n">
        <v>0</v>
      </c>
      <c r="V12897" s="21">
        <f>$B$12190</f>
        <v/>
      </c>
      <c r="W12897" s="21">
        <f>$B$12192</f>
        <v/>
      </c>
      <c r="X12897" s="21">
        <f>-$B$12190</f>
        <v/>
      </c>
      <c r="Y12897" s="21">
        <f>$B$12191</f>
        <v/>
      </c>
      <c r="Z12897" s="19" t="n"/>
    </row>
    <row r="12899">
      <c r="A12899" s="8" t="inlineStr">
        <is>
          <t>gen 19</t>
        </is>
      </c>
    </row>
    <row r="12900">
      <c r="D12900" s="19">
        <f>IF(ABS(IF(ABS($E$12864)&gt;0.000000001,$E$12864,0.000000001))=0,0,IF($E$12204&lt;=$B$12198,0,IF(ABS(IF(ABS($E$12864)&gt;0.000000001,$E$12864,0.000000001))&gt;=8*$B$12200,$H$12204,0.5*$H$12204*(ABS(IF(ABS($E$12864)&gt;0.000000001,$E$12864,0.000000001))/$B$12200)^(1/3)))/ABS(IF(ABS($E$12864)&gt;0.000000001,$E$12864,0.000000001))*$I$12204)</f>
        <v/>
      </c>
      <c r="E12900" s="19">
        <f>0.5*$E$12864+0.5*$Z$12912</f>
        <v/>
      </c>
      <c r="F12900" s="19">
        <f>$Z$12913</f>
        <v/>
      </c>
    </row>
    <row r="12901">
      <c r="D12901" s="19">
        <f>IF(ABS(IF(ABS($E$12865)&gt;0.000000001,$E$12865,0.000000001))=0,0,IF($E$12205&lt;=$B$12198,0,IF(ABS(IF(ABS($E$12865)&gt;0.000000001,$E$12865,0.000000001))&gt;=8*$B$12200,$H$12205,0.5*$H$12205*(ABS(IF(ABS($E$12865)&gt;0.000000001,$E$12865,0.000000001))/$B$12200)^(1/3)))/ABS(IF(ABS($E$12865)&gt;0.000000001,$E$12865,0.000000001))*$I$12205)</f>
        <v/>
      </c>
      <c r="E12901" s="19">
        <f>0.5*$E$12865+0.5*$Z$12914</f>
        <v/>
      </c>
      <c r="F12901" s="19">
        <f>$Z$12915</f>
        <v/>
      </c>
    </row>
    <row r="12902">
      <c r="D12902" s="19">
        <f>IF(ABS(IF(ABS($E$12866)&gt;0.000000001,$E$12866,0.000000001))=0,0,IF($E$12206&lt;=$B$12198,0,IF(ABS(IF(ABS($E$12866)&gt;0.000000001,$E$12866,0.000000001))&gt;=8*$B$12200,$H$12206,0.5*$H$12206*(ABS(IF(ABS($E$12866)&gt;0.000000001,$E$12866,0.000000001))/$B$12200)^(1/3)))/ABS(IF(ABS($E$12866)&gt;0.000000001,$E$12866,0.000000001))*$I$12206)</f>
        <v/>
      </c>
      <c r="E12902" s="19">
        <f>0.5*$E$12866+0.5*$Z$12916</f>
        <v/>
      </c>
      <c r="F12902" s="19">
        <f>$Z$12917</f>
        <v/>
      </c>
    </row>
    <row r="12903">
      <c r="D12903" s="19">
        <f>IF(ABS(IF(ABS($E$12867)&gt;0.000000001,$E$12867,0.000000001))=0,0,IF($E$12207&lt;=$B$12198,0,IF(ABS(IF(ABS($E$12867)&gt;0.000000001,$E$12867,0.000000001))&gt;=8*$B$12200,$H$12207,0.5*$H$12207*(ABS(IF(ABS($E$12867)&gt;0.000000001,$E$12867,0.000000001))/$B$12200)^(1/3)))/ABS(IF(ABS($E$12867)&gt;0.000000001,$E$12867,0.000000001))*$I$12207)</f>
        <v/>
      </c>
      <c r="E12903" s="19">
        <f>0.5*$E$12867+0.5*$Z$12918</f>
        <v/>
      </c>
      <c r="F12903" s="19">
        <f>$Z$12919</f>
        <v/>
      </c>
    </row>
    <row r="12904">
      <c r="D12904" s="19">
        <f>IF(ABS(IF(ABS($E$12868)&gt;0.000000001,$E$12868,0.000000001))=0,0,IF($E$12208&lt;=$B$12198,0,IF(ABS(IF(ABS($E$12868)&gt;0.000000001,$E$12868,0.000000001))&gt;=8*$B$12200,$H$12208,0.5*$H$12208*(ABS(IF(ABS($E$12868)&gt;0.000000001,$E$12868,0.000000001))/$B$12200)^(1/3)))/ABS(IF(ABS($E$12868)&gt;0.000000001,$E$12868,0.000000001))*$I$12208)</f>
        <v/>
      </c>
      <c r="E12904" s="19">
        <f>0.5*$E$12868+0.5*$Z$12920</f>
        <v/>
      </c>
      <c r="F12904" s="19">
        <f>$Z$12921</f>
        <v/>
      </c>
    </row>
    <row r="12905">
      <c r="D12905" s="19">
        <f>IF(ABS(IF(ABS($E$12869)&gt;0.000000001,$E$12869,0.000000001))=0,0,IF($E$12209&lt;=$B$12198,0,IF(ABS(IF(ABS($E$12869)&gt;0.000000001,$E$12869,0.000000001))&gt;=8*$B$12200,$H$12209,0.5*$H$12209*(ABS(IF(ABS($E$12869)&gt;0.000000001,$E$12869,0.000000001))/$B$12200)^(1/3)))/ABS(IF(ABS($E$12869)&gt;0.000000001,$E$12869,0.000000001))*$I$12209)</f>
        <v/>
      </c>
      <c r="E12905" s="19">
        <f>0.5*$E$12869+0.5*$Z$12922</f>
        <v/>
      </c>
      <c r="F12905" s="19">
        <f>$Z$12923</f>
        <v/>
      </c>
    </row>
    <row r="12906">
      <c r="D12906" s="19">
        <f>IF(ABS(IF(ABS($E$12870)&gt;0.000000001,$E$12870,0.000000001))=0,0,IF($E$12210&lt;=$B$12198,0,IF(ABS(IF(ABS($E$12870)&gt;0.000000001,$E$12870,0.000000001))&gt;=8*$B$12200,$H$12210,0.5*$H$12210*(ABS(IF(ABS($E$12870)&gt;0.000000001,$E$12870,0.000000001))/$B$12200)^(1/3)))/ABS(IF(ABS($E$12870)&gt;0.000000001,$E$12870,0.000000001))*$I$12210)</f>
        <v/>
      </c>
      <c r="E12906" s="19">
        <f>0.5*$E$12870+0.5*$Z$12924</f>
        <v/>
      </c>
      <c r="F12906" s="19">
        <f>$Z$12925</f>
        <v/>
      </c>
    </row>
    <row r="12907">
      <c r="D12907" s="19">
        <f>IF(ABS(IF(ABS($E$12871)&gt;0.000000001,$E$12871,0.000000001))=0,0,IF($E$12211&lt;=$B$12198,0,IF(ABS(IF(ABS($E$12871)&gt;0.000000001,$E$12871,0.000000001))&gt;=8*$B$12200,$H$12211,0.5*$H$12211*(ABS(IF(ABS($E$12871)&gt;0.000000001,$E$12871,0.000000001))/$B$12200)^(1/3)))/ABS(IF(ABS($E$12871)&gt;0.000000001,$E$12871,0.000000001))*$I$12211)</f>
        <v/>
      </c>
      <c r="E12907" s="19">
        <f>0.5*$E$12871+0.5*$Z$12926</f>
        <v/>
      </c>
      <c r="F12907" s="19">
        <f>$Z$12927</f>
        <v/>
      </c>
    </row>
    <row r="12908">
      <c r="D12908" s="19">
        <f>IF(ABS(IF(ABS($E$12872)&gt;0.000000001,$E$12872,0.000000001))=0,0,IF($E$12212&lt;=$B$12198,0,IF(ABS(IF(ABS($E$12872)&gt;0.000000001,$E$12872,0.000000001))&gt;=8*$B$12200,$H$12212,0.5*$H$12212*(ABS(IF(ABS($E$12872)&gt;0.000000001,$E$12872,0.000000001))/$B$12200)^(1/3)))/ABS(IF(ABS($E$12872)&gt;0.000000001,$E$12872,0.000000001))*$I$12212)</f>
        <v/>
      </c>
      <c r="E12908" s="19">
        <f>0.5*$E$12872+0.5*$Z$12928</f>
        <v/>
      </c>
      <c r="F12908" s="19">
        <f>$Z$12929</f>
        <v/>
      </c>
    </row>
    <row r="12909">
      <c r="D12909" s="19">
        <f>IF(ABS(IF(ABS($E$12873)&gt;0.000000001,$E$12873,0.000000001))=0,0,IF($E$12213&lt;=$B$12198,0,IF(ABS(IF(ABS($E$12873)&gt;0.000000001,$E$12873,0.000000001))&gt;=8*$B$12200,$H$12213,0.5*$H$12213*(ABS(IF(ABS($E$12873)&gt;0.000000001,$E$12873,0.000000001))/$B$12200)^(1/3)))/ABS(IF(ABS($E$12873)&gt;0.000000001,$E$12873,0.000000001))*$I$12213)</f>
        <v/>
      </c>
      <c r="E12909" s="19">
        <f>0.5*$E$12873+0.5*$Z$12930</f>
        <v/>
      </c>
      <c r="F12909" s="19">
        <f>$Z$12931</f>
        <v/>
      </c>
    </row>
    <row r="12910">
      <c r="D12910" s="19">
        <f>IF(ABS(IF(ABS($E$12874)&gt;0.000000001,$E$12874,0.000000001))=0,0,IF($E$12214&lt;=$B$12198,0,IF(ABS(IF(ABS($E$12874)&gt;0.000000001,$E$12874,0.000000001))&gt;=8*$B$12200,$H$12214,0.5*$H$12214*(ABS(IF(ABS($E$12874)&gt;0.000000001,$E$12874,0.000000001))/$B$12200)^(1/3)))/ABS(IF(ABS($E$12874)&gt;0.000000001,$E$12874,0.000000001))*$I$12214)</f>
        <v/>
      </c>
      <c r="E12910" s="19">
        <f>0.5*$E$12874+0.5*$Z$12932</f>
        <v/>
      </c>
      <c r="F12910" s="19">
        <f>$Z$12933</f>
        <v/>
      </c>
    </row>
    <row r="12912">
      <c r="D12912" s="21">
        <f>$B$12189+$D$12900</f>
        <v/>
      </c>
      <c r="E12912" s="21">
        <f>$B$12190</f>
        <v/>
      </c>
      <c r="F12912" s="21">
        <f>-$B$12189</f>
        <v/>
      </c>
      <c r="G12912" s="21">
        <f>$B$12190</f>
        <v/>
      </c>
      <c r="H12912" s="21" t="n">
        <v>0</v>
      </c>
      <c r="I12912" s="21" t="n">
        <v>0</v>
      </c>
      <c r="J12912" s="21" t="n">
        <v>0</v>
      </c>
      <c r="K12912" s="21" t="n">
        <v>0</v>
      </c>
      <c r="L12912" s="21" t="n">
        <v>0</v>
      </c>
      <c r="M12912" s="21" t="n">
        <v>0</v>
      </c>
      <c r="N12912" s="21" t="n">
        <v>0</v>
      </c>
      <c r="O12912" s="21" t="n">
        <v>0</v>
      </c>
      <c r="P12912" s="21" t="n">
        <v>0</v>
      </c>
      <c r="Q12912" s="21" t="n">
        <v>0</v>
      </c>
      <c r="R12912" s="21" t="n">
        <v>0</v>
      </c>
      <c r="S12912" s="21" t="n">
        <v>0</v>
      </c>
      <c r="T12912" s="21" t="n">
        <v>0</v>
      </c>
      <c r="U12912" s="21" t="n">
        <v>0</v>
      </c>
      <c r="V12912" s="21" t="n">
        <v>0</v>
      </c>
      <c r="W12912" s="21" t="n">
        <v>0</v>
      </c>
      <c r="X12912" s="21" t="n">
        <v>0</v>
      </c>
      <c r="Y12912" s="21" t="n">
        <v>0</v>
      </c>
      <c r="Z12912" s="19">
        <f t="array" ref="Z12912:Z12933">MMULT(MINVERSE($D$12912:$Y$12933),$D$12216:$D$12237)</f>
        <v/>
      </c>
    </row>
    <row r="12913">
      <c r="D12913" s="21">
        <f>$B$12190</f>
        <v/>
      </c>
      <c r="E12913" s="21">
        <f>$B$12191</f>
        <v/>
      </c>
      <c r="F12913" s="21">
        <f>-$B$12190</f>
        <v/>
      </c>
      <c r="G12913" s="21">
        <f>$B$12192</f>
        <v/>
      </c>
      <c r="H12913" s="21" t="n">
        <v>0</v>
      </c>
      <c r="I12913" s="21" t="n">
        <v>0</v>
      </c>
      <c r="J12913" s="21" t="n">
        <v>0</v>
      </c>
      <c r="K12913" s="21" t="n">
        <v>0</v>
      </c>
      <c r="L12913" s="21" t="n">
        <v>0</v>
      </c>
      <c r="M12913" s="21" t="n">
        <v>0</v>
      </c>
      <c r="N12913" s="21" t="n">
        <v>0</v>
      </c>
      <c r="O12913" s="21" t="n">
        <v>0</v>
      </c>
      <c r="P12913" s="21" t="n">
        <v>0</v>
      </c>
      <c r="Q12913" s="21" t="n">
        <v>0</v>
      </c>
      <c r="R12913" s="21" t="n">
        <v>0</v>
      </c>
      <c r="S12913" s="21" t="n">
        <v>0</v>
      </c>
      <c r="T12913" s="21" t="n">
        <v>0</v>
      </c>
      <c r="U12913" s="21" t="n">
        <v>0</v>
      </c>
      <c r="V12913" s="21" t="n">
        <v>0</v>
      </c>
      <c r="W12913" s="21" t="n">
        <v>0</v>
      </c>
      <c r="X12913" s="21" t="n">
        <v>0</v>
      </c>
      <c r="Y12913" s="21" t="n">
        <v>0</v>
      </c>
      <c r="Z12913" s="19" t="n"/>
    </row>
    <row r="12914">
      <c r="D12914" s="21">
        <f>-$B$12189</f>
        <v/>
      </c>
      <c r="E12914" s="21">
        <f>-$B$12190</f>
        <v/>
      </c>
      <c r="F12914" s="21">
        <f>2*$B$12189+$D$12901</f>
        <v/>
      </c>
      <c r="G12914" s="21">
        <f>0</f>
        <v/>
      </c>
      <c r="H12914" s="21">
        <f>-$B$12189</f>
        <v/>
      </c>
      <c r="I12914" s="21">
        <f>$B$12190</f>
        <v/>
      </c>
      <c r="J12914" s="21" t="n">
        <v>0</v>
      </c>
      <c r="K12914" s="21" t="n">
        <v>0</v>
      </c>
      <c r="L12914" s="21" t="n">
        <v>0</v>
      </c>
      <c r="M12914" s="21" t="n">
        <v>0</v>
      </c>
      <c r="N12914" s="21" t="n">
        <v>0</v>
      </c>
      <c r="O12914" s="21" t="n">
        <v>0</v>
      </c>
      <c r="P12914" s="21" t="n">
        <v>0</v>
      </c>
      <c r="Q12914" s="21" t="n">
        <v>0</v>
      </c>
      <c r="R12914" s="21" t="n">
        <v>0</v>
      </c>
      <c r="S12914" s="21" t="n">
        <v>0</v>
      </c>
      <c r="T12914" s="21" t="n">
        <v>0</v>
      </c>
      <c r="U12914" s="21" t="n">
        <v>0</v>
      </c>
      <c r="V12914" s="21" t="n">
        <v>0</v>
      </c>
      <c r="W12914" s="21" t="n">
        <v>0</v>
      </c>
      <c r="X12914" s="21" t="n">
        <v>0</v>
      </c>
      <c r="Y12914" s="21" t="n">
        <v>0</v>
      </c>
      <c r="Z12914" s="19" t="n"/>
    </row>
    <row r="12915">
      <c r="D12915" s="21">
        <f>$B$12190</f>
        <v/>
      </c>
      <c r="E12915" s="21">
        <f>$B$12192</f>
        <v/>
      </c>
      <c r="F12915" s="21">
        <f>0</f>
        <v/>
      </c>
      <c r="G12915" s="21">
        <f>2*$B$12191</f>
        <v/>
      </c>
      <c r="H12915" s="21">
        <f>-$B$12190</f>
        <v/>
      </c>
      <c r="I12915" s="21">
        <f>$B$12192</f>
        <v/>
      </c>
      <c r="J12915" s="21" t="n">
        <v>0</v>
      </c>
      <c r="K12915" s="21" t="n">
        <v>0</v>
      </c>
      <c r="L12915" s="21" t="n">
        <v>0</v>
      </c>
      <c r="M12915" s="21" t="n">
        <v>0</v>
      </c>
      <c r="N12915" s="21" t="n">
        <v>0</v>
      </c>
      <c r="O12915" s="21" t="n">
        <v>0</v>
      </c>
      <c r="P12915" s="21" t="n">
        <v>0</v>
      </c>
      <c r="Q12915" s="21" t="n">
        <v>0</v>
      </c>
      <c r="R12915" s="21" t="n">
        <v>0</v>
      </c>
      <c r="S12915" s="21" t="n">
        <v>0</v>
      </c>
      <c r="T12915" s="21" t="n">
        <v>0</v>
      </c>
      <c r="U12915" s="21" t="n">
        <v>0</v>
      </c>
      <c r="V12915" s="21" t="n">
        <v>0</v>
      </c>
      <c r="W12915" s="21" t="n">
        <v>0</v>
      </c>
      <c r="X12915" s="21" t="n">
        <v>0</v>
      </c>
      <c r="Y12915" s="21" t="n">
        <v>0</v>
      </c>
      <c r="Z12915" s="19" t="n"/>
    </row>
    <row r="12916">
      <c r="D12916" s="21" t="n">
        <v>0</v>
      </c>
      <c r="E12916" s="21" t="n">
        <v>0</v>
      </c>
      <c r="F12916" s="21">
        <f>-$B$12189</f>
        <v/>
      </c>
      <c r="G12916" s="21">
        <f>-$B$12190</f>
        <v/>
      </c>
      <c r="H12916" s="21">
        <f>2*$B$12189+$D$12902</f>
        <v/>
      </c>
      <c r="I12916" s="21">
        <f>0</f>
        <v/>
      </c>
      <c r="J12916" s="21">
        <f>-$B$12189</f>
        <v/>
      </c>
      <c r="K12916" s="21">
        <f>$B$12190</f>
        <v/>
      </c>
      <c r="L12916" s="21" t="n">
        <v>0</v>
      </c>
      <c r="M12916" s="21" t="n">
        <v>0</v>
      </c>
      <c r="N12916" s="21" t="n">
        <v>0</v>
      </c>
      <c r="O12916" s="21" t="n">
        <v>0</v>
      </c>
      <c r="P12916" s="21" t="n">
        <v>0</v>
      </c>
      <c r="Q12916" s="21" t="n">
        <v>0</v>
      </c>
      <c r="R12916" s="21" t="n">
        <v>0</v>
      </c>
      <c r="S12916" s="21" t="n">
        <v>0</v>
      </c>
      <c r="T12916" s="21" t="n">
        <v>0</v>
      </c>
      <c r="U12916" s="21" t="n">
        <v>0</v>
      </c>
      <c r="V12916" s="21" t="n">
        <v>0</v>
      </c>
      <c r="W12916" s="21" t="n">
        <v>0</v>
      </c>
      <c r="X12916" s="21" t="n">
        <v>0</v>
      </c>
      <c r="Y12916" s="21" t="n">
        <v>0</v>
      </c>
      <c r="Z12916" s="19" t="n"/>
    </row>
    <row r="12917">
      <c r="D12917" s="21" t="n">
        <v>0</v>
      </c>
      <c r="E12917" s="21" t="n">
        <v>0</v>
      </c>
      <c r="F12917" s="21">
        <f>$B$12190</f>
        <v/>
      </c>
      <c r="G12917" s="21">
        <f>$B$12192</f>
        <v/>
      </c>
      <c r="H12917" s="21">
        <f>0</f>
        <v/>
      </c>
      <c r="I12917" s="21">
        <f>2*$B$12191</f>
        <v/>
      </c>
      <c r="J12917" s="21">
        <f>-$B$12190</f>
        <v/>
      </c>
      <c r="K12917" s="21">
        <f>$B$12192</f>
        <v/>
      </c>
      <c r="L12917" s="21" t="n">
        <v>0</v>
      </c>
      <c r="M12917" s="21" t="n">
        <v>0</v>
      </c>
      <c r="N12917" s="21" t="n">
        <v>0</v>
      </c>
      <c r="O12917" s="21" t="n">
        <v>0</v>
      </c>
      <c r="P12917" s="21" t="n">
        <v>0</v>
      </c>
      <c r="Q12917" s="21" t="n">
        <v>0</v>
      </c>
      <c r="R12917" s="21" t="n">
        <v>0</v>
      </c>
      <c r="S12917" s="21" t="n">
        <v>0</v>
      </c>
      <c r="T12917" s="21" t="n">
        <v>0</v>
      </c>
      <c r="U12917" s="21" t="n">
        <v>0</v>
      </c>
      <c r="V12917" s="21" t="n">
        <v>0</v>
      </c>
      <c r="W12917" s="21" t="n">
        <v>0</v>
      </c>
      <c r="X12917" s="21" t="n">
        <v>0</v>
      </c>
      <c r="Y12917" s="21" t="n">
        <v>0</v>
      </c>
      <c r="Z12917" s="19" t="n"/>
    </row>
    <row r="12918">
      <c r="D12918" s="21" t="n">
        <v>0</v>
      </c>
      <c r="E12918" s="21" t="n">
        <v>0</v>
      </c>
      <c r="F12918" s="21" t="n">
        <v>0</v>
      </c>
      <c r="G12918" s="21" t="n">
        <v>0</v>
      </c>
      <c r="H12918" s="21">
        <f>-$B$12189</f>
        <v/>
      </c>
      <c r="I12918" s="21">
        <f>-$B$12190</f>
        <v/>
      </c>
      <c r="J12918" s="21">
        <f>2*$B$12189+$D$12903</f>
        <v/>
      </c>
      <c r="K12918" s="21">
        <f>0</f>
        <v/>
      </c>
      <c r="L12918" s="21">
        <f>-$B$12189</f>
        <v/>
      </c>
      <c r="M12918" s="21">
        <f>$B$12190</f>
        <v/>
      </c>
      <c r="N12918" s="21" t="n">
        <v>0</v>
      </c>
      <c r="O12918" s="21" t="n">
        <v>0</v>
      </c>
      <c r="P12918" s="21" t="n">
        <v>0</v>
      </c>
      <c r="Q12918" s="21" t="n">
        <v>0</v>
      </c>
      <c r="R12918" s="21" t="n">
        <v>0</v>
      </c>
      <c r="S12918" s="21" t="n">
        <v>0</v>
      </c>
      <c r="T12918" s="21" t="n">
        <v>0</v>
      </c>
      <c r="U12918" s="21" t="n">
        <v>0</v>
      </c>
      <c r="V12918" s="21" t="n">
        <v>0</v>
      </c>
      <c r="W12918" s="21" t="n">
        <v>0</v>
      </c>
      <c r="X12918" s="21" t="n">
        <v>0</v>
      </c>
      <c r="Y12918" s="21" t="n">
        <v>0</v>
      </c>
      <c r="Z12918" s="19" t="n"/>
    </row>
    <row r="12919">
      <c r="D12919" s="21" t="n">
        <v>0</v>
      </c>
      <c r="E12919" s="21" t="n">
        <v>0</v>
      </c>
      <c r="F12919" s="21" t="n">
        <v>0</v>
      </c>
      <c r="G12919" s="21" t="n">
        <v>0</v>
      </c>
      <c r="H12919" s="21">
        <f>$B$12190</f>
        <v/>
      </c>
      <c r="I12919" s="21">
        <f>$B$12192</f>
        <v/>
      </c>
      <c r="J12919" s="21">
        <f>0</f>
        <v/>
      </c>
      <c r="K12919" s="21">
        <f>2*$B$12191</f>
        <v/>
      </c>
      <c r="L12919" s="21">
        <f>-$B$12190</f>
        <v/>
      </c>
      <c r="M12919" s="21">
        <f>$B$12192</f>
        <v/>
      </c>
      <c r="N12919" s="21" t="n">
        <v>0</v>
      </c>
      <c r="O12919" s="21" t="n">
        <v>0</v>
      </c>
      <c r="P12919" s="21" t="n">
        <v>0</v>
      </c>
      <c r="Q12919" s="21" t="n">
        <v>0</v>
      </c>
      <c r="R12919" s="21" t="n">
        <v>0</v>
      </c>
      <c r="S12919" s="21" t="n">
        <v>0</v>
      </c>
      <c r="T12919" s="21" t="n">
        <v>0</v>
      </c>
      <c r="U12919" s="21" t="n">
        <v>0</v>
      </c>
      <c r="V12919" s="21" t="n">
        <v>0</v>
      </c>
      <c r="W12919" s="21" t="n">
        <v>0</v>
      </c>
      <c r="X12919" s="21" t="n">
        <v>0</v>
      </c>
      <c r="Y12919" s="21" t="n">
        <v>0</v>
      </c>
      <c r="Z12919" s="19" t="n"/>
    </row>
    <row r="12920">
      <c r="D12920" s="21" t="n">
        <v>0</v>
      </c>
      <c r="E12920" s="21" t="n">
        <v>0</v>
      </c>
      <c r="F12920" s="21" t="n">
        <v>0</v>
      </c>
      <c r="G12920" s="21" t="n">
        <v>0</v>
      </c>
      <c r="H12920" s="21" t="n">
        <v>0</v>
      </c>
      <c r="I12920" s="21" t="n">
        <v>0</v>
      </c>
      <c r="J12920" s="21">
        <f>-$B$12189</f>
        <v/>
      </c>
      <c r="K12920" s="21">
        <f>-$B$12190</f>
        <v/>
      </c>
      <c r="L12920" s="21">
        <f>2*$B$12189+$D$12904</f>
        <v/>
      </c>
      <c r="M12920" s="21">
        <f>0</f>
        <v/>
      </c>
      <c r="N12920" s="21">
        <f>-$B$12189</f>
        <v/>
      </c>
      <c r="O12920" s="21">
        <f>$B$12190</f>
        <v/>
      </c>
      <c r="P12920" s="21" t="n">
        <v>0</v>
      </c>
      <c r="Q12920" s="21" t="n">
        <v>0</v>
      </c>
      <c r="R12920" s="21" t="n">
        <v>0</v>
      </c>
      <c r="S12920" s="21" t="n">
        <v>0</v>
      </c>
      <c r="T12920" s="21" t="n">
        <v>0</v>
      </c>
      <c r="U12920" s="21" t="n">
        <v>0</v>
      </c>
      <c r="V12920" s="21" t="n">
        <v>0</v>
      </c>
      <c r="W12920" s="21" t="n">
        <v>0</v>
      </c>
      <c r="X12920" s="21" t="n">
        <v>0</v>
      </c>
      <c r="Y12920" s="21" t="n">
        <v>0</v>
      </c>
      <c r="Z12920" s="19" t="n"/>
    </row>
    <row r="12921">
      <c r="D12921" s="21" t="n">
        <v>0</v>
      </c>
      <c r="E12921" s="21" t="n">
        <v>0</v>
      </c>
      <c r="F12921" s="21" t="n">
        <v>0</v>
      </c>
      <c r="G12921" s="21" t="n">
        <v>0</v>
      </c>
      <c r="H12921" s="21" t="n">
        <v>0</v>
      </c>
      <c r="I12921" s="21" t="n">
        <v>0</v>
      </c>
      <c r="J12921" s="21">
        <f>$B$12190</f>
        <v/>
      </c>
      <c r="K12921" s="21">
        <f>$B$12192</f>
        <v/>
      </c>
      <c r="L12921" s="21">
        <f>0</f>
        <v/>
      </c>
      <c r="M12921" s="21">
        <f>2*$B$12191</f>
        <v/>
      </c>
      <c r="N12921" s="21">
        <f>-$B$12190</f>
        <v/>
      </c>
      <c r="O12921" s="21">
        <f>$B$12192</f>
        <v/>
      </c>
      <c r="P12921" s="21" t="n">
        <v>0</v>
      </c>
      <c r="Q12921" s="21" t="n">
        <v>0</v>
      </c>
      <c r="R12921" s="21" t="n">
        <v>0</v>
      </c>
      <c r="S12921" s="21" t="n">
        <v>0</v>
      </c>
      <c r="T12921" s="21" t="n">
        <v>0</v>
      </c>
      <c r="U12921" s="21" t="n">
        <v>0</v>
      </c>
      <c r="V12921" s="21" t="n">
        <v>0</v>
      </c>
      <c r="W12921" s="21" t="n">
        <v>0</v>
      </c>
      <c r="X12921" s="21" t="n">
        <v>0</v>
      </c>
      <c r="Y12921" s="21" t="n">
        <v>0</v>
      </c>
      <c r="Z12921" s="19" t="n"/>
    </row>
    <row r="12922">
      <c r="D12922" s="21" t="n">
        <v>0</v>
      </c>
      <c r="E12922" s="21" t="n">
        <v>0</v>
      </c>
      <c r="F12922" s="21" t="n">
        <v>0</v>
      </c>
      <c r="G12922" s="21" t="n">
        <v>0</v>
      </c>
      <c r="H12922" s="21" t="n">
        <v>0</v>
      </c>
      <c r="I12922" s="21" t="n">
        <v>0</v>
      </c>
      <c r="J12922" s="21" t="n">
        <v>0</v>
      </c>
      <c r="K12922" s="21" t="n">
        <v>0</v>
      </c>
      <c r="L12922" s="21">
        <f>-$B$12189</f>
        <v/>
      </c>
      <c r="M12922" s="21">
        <f>-$B$12190</f>
        <v/>
      </c>
      <c r="N12922" s="21">
        <f>2*$B$12189+$D$12905</f>
        <v/>
      </c>
      <c r="O12922" s="21">
        <f>0</f>
        <v/>
      </c>
      <c r="P12922" s="21">
        <f>-$B$12189</f>
        <v/>
      </c>
      <c r="Q12922" s="21">
        <f>$B$12190</f>
        <v/>
      </c>
      <c r="R12922" s="21" t="n">
        <v>0</v>
      </c>
      <c r="S12922" s="21" t="n">
        <v>0</v>
      </c>
      <c r="T12922" s="21" t="n">
        <v>0</v>
      </c>
      <c r="U12922" s="21" t="n">
        <v>0</v>
      </c>
      <c r="V12922" s="21" t="n">
        <v>0</v>
      </c>
      <c r="W12922" s="21" t="n">
        <v>0</v>
      </c>
      <c r="X12922" s="21" t="n">
        <v>0</v>
      </c>
      <c r="Y12922" s="21" t="n">
        <v>0</v>
      </c>
      <c r="Z12922" s="19" t="n"/>
    </row>
    <row r="12923">
      <c r="D12923" s="21" t="n">
        <v>0</v>
      </c>
      <c r="E12923" s="21" t="n">
        <v>0</v>
      </c>
      <c r="F12923" s="21" t="n">
        <v>0</v>
      </c>
      <c r="G12923" s="21" t="n">
        <v>0</v>
      </c>
      <c r="H12923" s="21" t="n">
        <v>0</v>
      </c>
      <c r="I12923" s="21" t="n">
        <v>0</v>
      </c>
      <c r="J12923" s="21" t="n">
        <v>0</v>
      </c>
      <c r="K12923" s="21" t="n">
        <v>0</v>
      </c>
      <c r="L12923" s="21">
        <f>$B$12190</f>
        <v/>
      </c>
      <c r="M12923" s="21">
        <f>$B$12192</f>
        <v/>
      </c>
      <c r="N12923" s="21">
        <f>0</f>
        <v/>
      </c>
      <c r="O12923" s="21">
        <f>2*$B$12191</f>
        <v/>
      </c>
      <c r="P12923" s="21">
        <f>-$B$12190</f>
        <v/>
      </c>
      <c r="Q12923" s="21">
        <f>$B$12192</f>
        <v/>
      </c>
      <c r="R12923" s="21" t="n">
        <v>0</v>
      </c>
      <c r="S12923" s="21" t="n">
        <v>0</v>
      </c>
      <c r="T12923" s="21" t="n">
        <v>0</v>
      </c>
      <c r="U12923" s="21" t="n">
        <v>0</v>
      </c>
      <c r="V12923" s="21" t="n">
        <v>0</v>
      </c>
      <c r="W12923" s="21" t="n">
        <v>0</v>
      </c>
      <c r="X12923" s="21" t="n">
        <v>0</v>
      </c>
      <c r="Y12923" s="21" t="n">
        <v>0</v>
      </c>
      <c r="Z12923" s="19" t="n"/>
    </row>
    <row r="12924">
      <c r="D12924" s="21" t="n">
        <v>0</v>
      </c>
      <c r="E12924" s="21" t="n">
        <v>0</v>
      </c>
      <c r="F12924" s="21" t="n">
        <v>0</v>
      </c>
      <c r="G12924" s="21" t="n">
        <v>0</v>
      </c>
      <c r="H12924" s="21" t="n">
        <v>0</v>
      </c>
      <c r="I12924" s="21" t="n">
        <v>0</v>
      </c>
      <c r="J12924" s="21" t="n">
        <v>0</v>
      </c>
      <c r="K12924" s="21" t="n">
        <v>0</v>
      </c>
      <c r="L12924" s="21" t="n">
        <v>0</v>
      </c>
      <c r="M12924" s="21" t="n">
        <v>0</v>
      </c>
      <c r="N12924" s="21">
        <f>-$B$12189</f>
        <v/>
      </c>
      <c r="O12924" s="21">
        <f>-$B$12190</f>
        <v/>
      </c>
      <c r="P12924" s="21">
        <f>2*$B$12189+$D$12906</f>
        <v/>
      </c>
      <c r="Q12924" s="21">
        <f>0</f>
        <v/>
      </c>
      <c r="R12924" s="21">
        <f>-$B$12189</f>
        <v/>
      </c>
      <c r="S12924" s="21">
        <f>$B$12190</f>
        <v/>
      </c>
      <c r="T12924" s="21" t="n">
        <v>0</v>
      </c>
      <c r="U12924" s="21" t="n">
        <v>0</v>
      </c>
      <c r="V12924" s="21" t="n">
        <v>0</v>
      </c>
      <c r="W12924" s="21" t="n">
        <v>0</v>
      </c>
      <c r="X12924" s="21" t="n">
        <v>0</v>
      </c>
      <c r="Y12924" s="21" t="n">
        <v>0</v>
      </c>
      <c r="Z12924" s="19" t="n"/>
    </row>
    <row r="12925">
      <c r="D12925" s="21" t="n">
        <v>0</v>
      </c>
      <c r="E12925" s="21" t="n">
        <v>0</v>
      </c>
      <c r="F12925" s="21" t="n">
        <v>0</v>
      </c>
      <c r="G12925" s="21" t="n">
        <v>0</v>
      </c>
      <c r="H12925" s="21" t="n">
        <v>0</v>
      </c>
      <c r="I12925" s="21" t="n">
        <v>0</v>
      </c>
      <c r="J12925" s="21" t="n">
        <v>0</v>
      </c>
      <c r="K12925" s="21" t="n">
        <v>0</v>
      </c>
      <c r="L12925" s="21" t="n">
        <v>0</v>
      </c>
      <c r="M12925" s="21" t="n">
        <v>0</v>
      </c>
      <c r="N12925" s="21">
        <f>$B$12190</f>
        <v/>
      </c>
      <c r="O12925" s="21">
        <f>$B$12192</f>
        <v/>
      </c>
      <c r="P12925" s="21">
        <f>0</f>
        <v/>
      </c>
      <c r="Q12925" s="21">
        <f>2*$B$12191</f>
        <v/>
      </c>
      <c r="R12925" s="21">
        <f>-$B$12190</f>
        <v/>
      </c>
      <c r="S12925" s="21">
        <f>$B$12192</f>
        <v/>
      </c>
      <c r="T12925" s="21" t="n">
        <v>0</v>
      </c>
      <c r="U12925" s="21" t="n">
        <v>0</v>
      </c>
      <c r="V12925" s="21" t="n">
        <v>0</v>
      </c>
      <c r="W12925" s="21" t="n">
        <v>0</v>
      </c>
      <c r="X12925" s="21" t="n">
        <v>0</v>
      </c>
      <c r="Y12925" s="21" t="n">
        <v>0</v>
      </c>
      <c r="Z12925" s="19" t="n"/>
    </row>
    <row r="12926">
      <c r="D12926" s="21" t="n">
        <v>0</v>
      </c>
      <c r="E12926" s="21" t="n">
        <v>0</v>
      </c>
      <c r="F12926" s="21" t="n">
        <v>0</v>
      </c>
      <c r="G12926" s="21" t="n">
        <v>0</v>
      </c>
      <c r="H12926" s="21" t="n">
        <v>0</v>
      </c>
      <c r="I12926" s="21" t="n">
        <v>0</v>
      </c>
      <c r="J12926" s="21" t="n">
        <v>0</v>
      </c>
      <c r="K12926" s="21" t="n">
        <v>0</v>
      </c>
      <c r="L12926" s="21" t="n">
        <v>0</v>
      </c>
      <c r="M12926" s="21" t="n">
        <v>0</v>
      </c>
      <c r="N12926" s="21" t="n">
        <v>0</v>
      </c>
      <c r="O12926" s="21" t="n">
        <v>0</v>
      </c>
      <c r="P12926" s="21">
        <f>-$B$12189</f>
        <v/>
      </c>
      <c r="Q12926" s="21">
        <f>-$B$12190</f>
        <v/>
      </c>
      <c r="R12926" s="21">
        <f>2*$B$12189+$D$12907</f>
        <v/>
      </c>
      <c r="S12926" s="21">
        <f>0</f>
        <v/>
      </c>
      <c r="T12926" s="21">
        <f>-$B$12189</f>
        <v/>
      </c>
      <c r="U12926" s="21">
        <f>$B$12190</f>
        <v/>
      </c>
      <c r="V12926" s="21" t="n">
        <v>0</v>
      </c>
      <c r="W12926" s="21" t="n">
        <v>0</v>
      </c>
      <c r="X12926" s="21" t="n">
        <v>0</v>
      </c>
      <c r="Y12926" s="21" t="n">
        <v>0</v>
      </c>
      <c r="Z12926" s="19" t="n"/>
    </row>
    <row r="12927">
      <c r="D12927" s="21" t="n">
        <v>0</v>
      </c>
      <c r="E12927" s="21" t="n">
        <v>0</v>
      </c>
      <c r="F12927" s="21" t="n">
        <v>0</v>
      </c>
      <c r="G12927" s="21" t="n">
        <v>0</v>
      </c>
      <c r="H12927" s="21" t="n">
        <v>0</v>
      </c>
      <c r="I12927" s="21" t="n">
        <v>0</v>
      </c>
      <c r="J12927" s="21" t="n">
        <v>0</v>
      </c>
      <c r="K12927" s="21" t="n">
        <v>0</v>
      </c>
      <c r="L12927" s="21" t="n">
        <v>0</v>
      </c>
      <c r="M12927" s="21" t="n">
        <v>0</v>
      </c>
      <c r="N12927" s="21" t="n">
        <v>0</v>
      </c>
      <c r="O12927" s="21" t="n">
        <v>0</v>
      </c>
      <c r="P12927" s="21">
        <f>$B$12190</f>
        <v/>
      </c>
      <c r="Q12927" s="21">
        <f>$B$12192</f>
        <v/>
      </c>
      <c r="R12927" s="21">
        <f>0</f>
        <v/>
      </c>
      <c r="S12927" s="21">
        <f>2*$B$12191</f>
        <v/>
      </c>
      <c r="T12927" s="21">
        <f>-$B$12190</f>
        <v/>
      </c>
      <c r="U12927" s="21">
        <f>$B$12192</f>
        <v/>
      </c>
      <c r="V12927" s="21" t="n">
        <v>0</v>
      </c>
      <c r="W12927" s="21" t="n">
        <v>0</v>
      </c>
      <c r="X12927" s="21" t="n">
        <v>0</v>
      </c>
      <c r="Y12927" s="21" t="n">
        <v>0</v>
      </c>
      <c r="Z12927" s="19" t="n"/>
    </row>
    <row r="12928">
      <c r="D12928" s="21" t="n">
        <v>0</v>
      </c>
      <c r="E12928" s="21" t="n">
        <v>0</v>
      </c>
      <c r="F12928" s="21" t="n">
        <v>0</v>
      </c>
      <c r="G12928" s="21" t="n">
        <v>0</v>
      </c>
      <c r="H12928" s="21" t="n">
        <v>0</v>
      </c>
      <c r="I12928" s="21" t="n">
        <v>0</v>
      </c>
      <c r="J12928" s="21" t="n">
        <v>0</v>
      </c>
      <c r="K12928" s="21" t="n">
        <v>0</v>
      </c>
      <c r="L12928" s="21" t="n">
        <v>0</v>
      </c>
      <c r="M12928" s="21" t="n">
        <v>0</v>
      </c>
      <c r="N12928" s="21" t="n">
        <v>0</v>
      </c>
      <c r="O12928" s="21" t="n">
        <v>0</v>
      </c>
      <c r="P12928" s="21" t="n">
        <v>0</v>
      </c>
      <c r="Q12928" s="21" t="n">
        <v>0</v>
      </c>
      <c r="R12928" s="21">
        <f>-$B$12189</f>
        <v/>
      </c>
      <c r="S12928" s="21">
        <f>-$B$12190</f>
        <v/>
      </c>
      <c r="T12928" s="21">
        <f>2*$B$12189+$D$12908</f>
        <v/>
      </c>
      <c r="U12928" s="21">
        <f>0</f>
        <v/>
      </c>
      <c r="V12928" s="21">
        <f>-$B$12189</f>
        <v/>
      </c>
      <c r="W12928" s="21">
        <f>$B$12190</f>
        <v/>
      </c>
      <c r="X12928" s="21" t="n">
        <v>0</v>
      </c>
      <c r="Y12928" s="21" t="n">
        <v>0</v>
      </c>
      <c r="Z12928" s="19" t="n"/>
    </row>
    <row r="12929">
      <c r="D12929" s="21" t="n">
        <v>0</v>
      </c>
      <c r="E12929" s="21" t="n">
        <v>0</v>
      </c>
      <c r="F12929" s="21" t="n">
        <v>0</v>
      </c>
      <c r="G12929" s="21" t="n">
        <v>0</v>
      </c>
      <c r="H12929" s="21" t="n">
        <v>0</v>
      </c>
      <c r="I12929" s="21" t="n">
        <v>0</v>
      </c>
      <c r="J12929" s="21" t="n">
        <v>0</v>
      </c>
      <c r="K12929" s="21" t="n">
        <v>0</v>
      </c>
      <c r="L12929" s="21" t="n">
        <v>0</v>
      </c>
      <c r="M12929" s="21" t="n">
        <v>0</v>
      </c>
      <c r="N12929" s="21" t="n">
        <v>0</v>
      </c>
      <c r="O12929" s="21" t="n">
        <v>0</v>
      </c>
      <c r="P12929" s="21" t="n">
        <v>0</v>
      </c>
      <c r="Q12929" s="21" t="n">
        <v>0</v>
      </c>
      <c r="R12929" s="21">
        <f>$B$12190</f>
        <v/>
      </c>
      <c r="S12929" s="21">
        <f>$B$12192</f>
        <v/>
      </c>
      <c r="T12929" s="21">
        <f>0</f>
        <v/>
      </c>
      <c r="U12929" s="21">
        <f>2*$B$12191</f>
        <v/>
      </c>
      <c r="V12929" s="21">
        <f>-$B$12190</f>
        <v/>
      </c>
      <c r="W12929" s="21">
        <f>$B$12192</f>
        <v/>
      </c>
      <c r="X12929" s="21" t="n">
        <v>0</v>
      </c>
      <c r="Y12929" s="21" t="n">
        <v>0</v>
      </c>
      <c r="Z12929" s="19" t="n"/>
    </row>
    <row r="12930">
      <c r="D12930" s="21" t="n">
        <v>0</v>
      </c>
      <c r="E12930" s="21" t="n">
        <v>0</v>
      </c>
      <c r="F12930" s="21" t="n">
        <v>0</v>
      </c>
      <c r="G12930" s="21" t="n">
        <v>0</v>
      </c>
      <c r="H12930" s="21" t="n">
        <v>0</v>
      </c>
      <c r="I12930" s="21" t="n">
        <v>0</v>
      </c>
      <c r="J12930" s="21" t="n">
        <v>0</v>
      </c>
      <c r="K12930" s="21" t="n">
        <v>0</v>
      </c>
      <c r="L12930" s="21" t="n">
        <v>0</v>
      </c>
      <c r="M12930" s="21" t="n">
        <v>0</v>
      </c>
      <c r="N12930" s="21" t="n">
        <v>0</v>
      </c>
      <c r="O12930" s="21" t="n">
        <v>0</v>
      </c>
      <c r="P12930" s="21" t="n">
        <v>0</v>
      </c>
      <c r="Q12930" s="21" t="n">
        <v>0</v>
      </c>
      <c r="R12930" s="21" t="n">
        <v>0</v>
      </c>
      <c r="S12930" s="21" t="n">
        <v>0</v>
      </c>
      <c r="T12930" s="21">
        <f>-$B$12189</f>
        <v/>
      </c>
      <c r="U12930" s="21">
        <f>-$B$12190</f>
        <v/>
      </c>
      <c r="V12930" s="21">
        <f>2*$B$12189+$D$12909</f>
        <v/>
      </c>
      <c r="W12930" s="21">
        <f>0</f>
        <v/>
      </c>
      <c r="X12930" s="21">
        <f>-$B$12189</f>
        <v/>
      </c>
      <c r="Y12930" s="21">
        <f>$B$12190</f>
        <v/>
      </c>
      <c r="Z12930" s="19" t="n"/>
    </row>
    <row r="12931">
      <c r="D12931" s="21" t="n">
        <v>0</v>
      </c>
      <c r="E12931" s="21" t="n">
        <v>0</v>
      </c>
      <c r="F12931" s="21" t="n">
        <v>0</v>
      </c>
      <c r="G12931" s="21" t="n">
        <v>0</v>
      </c>
      <c r="H12931" s="21" t="n">
        <v>0</v>
      </c>
      <c r="I12931" s="21" t="n">
        <v>0</v>
      </c>
      <c r="J12931" s="21" t="n">
        <v>0</v>
      </c>
      <c r="K12931" s="21" t="n">
        <v>0</v>
      </c>
      <c r="L12931" s="21" t="n">
        <v>0</v>
      </c>
      <c r="M12931" s="21" t="n">
        <v>0</v>
      </c>
      <c r="N12931" s="21" t="n">
        <v>0</v>
      </c>
      <c r="O12931" s="21" t="n">
        <v>0</v>
      </c>
      <c r="P12931" s="21" t="n">
        <v>0</v>
      </c>
      <c r="Q12931" s="21" t="n">
        <v>0</v>
      </c>
      <c r="R12931" s="21" t="n">
        <v>0</v>
      </c>
      <c r="S12931" s="21" t="n">
        <v>0</v>
      </c>
      <c r="T12931" s="21">
        <f>$B$12190</f>
        <v/>
      </c>
      <c r="U12931" s="21">
        <f>$B$12192</f>
        <v/>
      </c>
      <c r="V12931" s="21">
        <f>0</f>
        <v/>
      </c>
      <c r="W12931" s="21">
        <f>2*$B$12191</f>
        <v/>
      </c>
      <c r="X12931" s="21">
        <f>-$B$12190</f>
        <v/>
      </c>
      <c r="Y12931" s="21">
        <f>$B$12192</f>
        <v/>
      </c>
      <c r="Z12931" s="19" t="n"/>
    </row>
    <row r="12932">
      <c r="D12932" s="21" t="n">
        <v>0</v>
      </c>
      <c r="E12932" s="21" t="n">
        <v>0</v>
      </c>
      <c r="F12932" s="21" t="n">
        <v>0</v>
      </c>
      <c r="G12932" s="21" t="n">
        <v>0</v>
      </c>
      <c r="H12932" s="21" t="n">
        <v>0</v>
      </c>
      <c r="I12932" s="21" t="n">
        <v>0</v>
      </c>
      <c r="J12932" s="21" t="n">
        <v>0</v>
      </c>
      <c r="K12932" s="21" t="n">
        <v>0</v>
      </c>
      <c r="L12932" s="21" t="n">
        <v>0</v>
      </c>
      <c r="M12932" s="21" t="n">
        <v>0</v>
      </c>
      <c r="N12932" s="21" t="n">
        <v>0</v>
      </c>
      <c r="O12932" s="21" t="n">
        <v>0</v>
      </c>
      <c r="P12932" s="21" t="n">
        <v>0</v>
      </c>
      <c r="Q12932" s="21" t="n">
        <v>0</v>
      </c>
      <c r="R12932" s="21" t="n">
        <v>0</v>
      </c>
      <c r="S12932" s="21" t="n">
        <v>0</v>
      </c>
      <c r="T12932" s="21" t="n">
        <v>0</v>
      </c>
      <c r="U12932" s="21" t="n">
        <v>0</v>
      </c>
      <c r="V12932" s="21">
        <f>-$B$12189</f>
        <v/>
      </c>
      <c r="W12932" s="21">
        <f>-$B$12190</f>
        <v/>
      </c>
      <c r="X12932" s="21">
        <f>$B$12189+$D$12910</f>
        <v/>
      </c>
      <c r="Y12932" s="21">
        <f>-$B$12190</f>
        <v/>
      </c>
      <c r="Z12932" s="19" t="n"/>
    </row>
    <row r="12933">
      <c r="D12933" s="21" t="n">
        <v>0</v>
      </c>
      <c r="E12933" s="21" t="n">
        <v>0</v>
      </c>
      <c r="F12933" s="21" t="n">
        <v>0</v>
      </c>
      <c r="G12933" s="21" t="n">
        <v>0</v>
      </c>
      <c r="H12933" s="21" t="n">
        <v>0</v>
      </c>
      <c r="I12933" s="21" t="n">
        <v>0</v>
      </c>
      <c r="J12933" s="21" t="n">
        <v>0</v>
      </c>
      <c r="K12933" s="21" t="n">
        <v>0</v>
      </c>
      <c r="L12933" s="21" t="n">
        <v>0</v>
      </c>
      <c r="M12933" s="21" t="n">
        <v>0</v>
      </c>
      <c r="N12933" s="21" t="n">
        <v>0</v>
      </c>
      <c r="O12933" s="21" t="n">
        <v>0</v>
      </c>
      <c r="P12933" s="21" t="n">
        <v>0</v>
      </c>
      <c r="Q12933" s="21" t="n">
        <v>0</v>
      </c>
      <c r="R12933" s="21" t="n">
        <v>0</v>
      </c>
      <c r="S12933" s="21" t="n">
        <v>0</v>
      </c>
      <c r="T12933" s="21" t="n">
        <v>0</v>
      </c>
      <c r="U12933" s="21" t="n">
        <v>0</v>
      </c>
      <c r="V12933" s="21">
        <f>$B$12190</f>
        <v/>
      </c>
      <c r="W12933" s="21">
        <f>$B$12192</f>
        <v/>
      </c>
      <c r="X12933" s="21">
        <f>-$B$12190</f>
        <v/>
      </c>
      <c r="Y12933" s="21">
        <f>$B$12191</f>
        <v/>
      </c>
      <c r="Z12933" s="19" t="n"/>
    </row>
    <row r="12935">
      <c r="A12935" s="8" t="inlineStr">
        <is>
          <t>gen 20</t>
        </is>
      </c>
    </row>
    <row r="12936">
      <c r="D12936" s="19">
        <f>IF(ABS(IF(ABS($E$12900)&gt;0.000000001,$E$12900,0.000000001))=0,0,IF($E$12204&lt;=$B$12198,0,IF(ABS(IF(ABS($E$12900)&gt;0.000000001,$E$12900,0.000000001))&gt;=8*$B$12200,$H$12204,0.5*$H$12204*(ABS(IF(ABS($E$12900)&gt;0.000000001,$E$12900,0.000000001))/$B$12200)^(1/3)))/ABS(IF(ABS($E$12900)&gt;0.000000001,$E$12900,0.000000001))*$I$12204)</f>
        <v/>
      </c>
      <c r="E12936" s="19">
        <f>0.5*$E$12900+0.5*$Z$12948</f>
        <v/>
      </c>
      <c r="F12936" s="19">
        <f>$Z$12949</f>
        <v/>
      </c>
    </row>
    <row r="12937">
      <c r="D12937" s="19">
        <f>IF(ABS(IF(ABS($E$12901)&gt;0.000000001,$E$12901,0.000000001))=0,0,IF($E$12205&lt;=$B$12198,0,IF(ABS(IF(ABS($E$12901)&gt;0.000000001,$E$12901,0.000000001))&gt;=8*$B$12200,$H$12205,0.5*$H$12205*(ABS(IF(ABS($E$12901)&gt;0.000000001,$E$12901,0.000000001))/$B$12200)^(1/3)))/ABS(IF(ABS($E$12901)&gt;0.000000001,$E$12901,0.000000001))*$I$12205)</f>
        <v/>
      </c>
      <c r="E12937" s="19">
        <f>0.5*$E$12901+0.5*$Z$12950</f>
        <v/>
      </c>
      <c r="F12937" s="19">
        <f>$Z$12951</f>
        <v/>
      </c>
    </row>
    <row r="12938">
      <c r="D12938" s="19">
        <f>IF(ABS(IF(ABS($E$12902)&gt;0.000000001,$E$12902,0.000000001))=0,0,IF($E$12206&lt;=$B$12198,0,IF(ABS(IF(ABS($E$12902)&gt;0.000000001,$E$12902,0.000000001))&gt;=8*$B$12200,$H$12206,0.5*$H$12206*(ABS(IF(ABS($E$12902)&gt;0.000000001,$E$12902,0.000000001))/$B$12200)^(1/3)))/ABS(IF(ABS($E$12902)&gt;0.000000001,$E$12902,0.000000001))*$I$12206)</f>
        <v/>
      </c>
      <c r="E12938" s="19">
        <f>0.5*$E$12902+0.5*$Z$12952</f>
        <v/>
      </c>
      <c r="F12938" s="19">
        <f>$Z$12953</f>
        <v/>
      </c>
    </row>
    <row r="12939">
      <c r="D12939" s="19">
        <f>IF(ABS(IF(ABS($E$12903)&gt;0.000000001,$E$12903,0.000000001))=0,0,IF($E$12207&lt;=$B$12198,0,IF(ABS(IF(ABS($E$12903)&gt;0.000000001,$E$12903,0.000000001))&gt;=8*$B$12200,$H$12207,0.5*$H$12207*(ABS(IF(ABS($E$12903)&gt;0.000000001,$E$12903,0.000000001))/$B$12200)^(1/3)))/ABS(IF(ABS($E$12903)&gt;0.000000001,$E$12903,0.000000001))*$I$12207)</f>
        <v/>
      </c>
      <c r="E12939" s="19">
        <f>0.5*$E$12903+0.5*$Z$12954</f>
        <v/>
      </c>
      <c r="F12939" s="19">
        <f>$Z$12955</f>
        <v/>
      </c>
    </row>
    <row r="12940">
      <c r="D12940" s="19">
        <f>IF(ABS(IF(ABS($E$12904)&gt;0.000000001,$E$12904,0.000000001))=0,0,IF($E$12208&lt;=$B$12198,0,IF(ABS(IF(ABS($E$12904)&gt;0.000000001,$E$12904,0.000000001))&gt;=8*$B$12200,$H$12208,0.5*$H$12208*(ABS(IF(ABS($E$12904)&gt;0.000000001,$E$12904,0.000000001))/$B$12200)^(1/3)))/ABS(IF(ABS($E$12904)&gt;0.000000001,$E$12904,0.000000001))*$I$12208)</f>
        <v/>
      </c>
      <c r="E12940" s="19">
        <f>0.5*$E$12904+0.5*$Z$12956</f>
        <v/>
      </c>
      <c r="F12940" s="19">
        <f>$Z$12957</f>
        <v/>
      </c>
    </row>
    <row r="12941">
      <c r="D12941" s="19">
        <f>IF(ABS(IF(ABS($E$12905)&gt;0.000000001,$E$12905,0.000000001))=0,0,IF($E$12209&lt;=$B$12198,0,IF(ABS(IF(ABS($E$12905)&gt;0.000000001,$E$12905,0.000000001))&gt;=8*$B$12200,$H$12209,0.5*$H$12209*(ABS(IF(ABS($E$12905)&gt;0.000000001,$E$12905,0.000000001))/$B$12200)^(1/3)))/ABS(IF(ABS($E$12905)&gt;0.000000001,$E$12905,0.000000001))*$I$12209)</f>
        <v/>
      </c>
      <c r="E12941" s="19">
        <f>0.5*$E$12905+0.5*$Z$12958</f>
        <v/>
      </c>
      <c r="F12941" s="19">
        <f>$Z$12959</f>
        <v/>
      </c>
    </row>
    <row r="12942">
      <c r="D12942" s="19">
        <f>IF(ABS(IF(ABS($E$12906)&gt;0.000000001,$E$12906,0.000000001))=0,0,IF($E$12210&lt;=$B$12198,0,IF(ABS(IF(ABS($E$12906)&gt;0.000000001,$E$12906,0.000000001))&gt;=8*$B$12200,$H$12210,0.5*$H$12210*(ABS(IF(ABS($E$12906)&gt;0.000000001,$E$12906,0.000000001))/$B$12200)^(1/3)))/ABS(IF(ABS($E$12906)&gt;0.000000001,$E$12906,0.000000001))*$I$12210)</f>
        <v/>
      </c>
      <c r="E12942" s="19">
        <f>0.5*$E$12906+0.5*$Z$12960</f>
        <v/>
      </c>
      <c r="F12942" s="19">
        <f>$Z$12961</f>
        <v/>
      </c>
    </row>
    <row r="12943">
      <c r="D12943" s="19">
        <f>IF(ABS(IF(ABS($E$12907)&gt;0.000000001,$E$12907,0.000000001))=0,0,IF($E$12211&lt;=$B$12198,0,IF(ABS(IF(ABS($E$12907)&gt;0.000000001,$E$12907,0.000000001))&gt;=8*$B$12200,$H$12211,0.5*$H$12211*(ABS(IF(ABS($E$12907)&gt;0.000000001,$E$12907,0.000000001))/$B$12200)^(1/3)))/ABS(IF(ABS($E$12907)&gt;0.000000001,$E$12907,0.000000001))*$I$12211)</f>
        <v/>
      </c>
      <c r="E12943" s="19">
        <f>0.5*$E$12907+0.5*$Z$12962</f>
        <v/>
      </c>
      <c r="F12943" s="19">
        <f>$Z$12963</f>
        <v/>
      </c>
    </row>
    <row r="12944">
      <c r="D12944" s="19">
        <f>IF(ABS(IF(ABS($E$12908)&gt;0.000000001,$E$12908,0.000000001))=0,0,IF($E$12212&lt;=$B$12198,0,IF(ABS(IF(ABS($E$12908)&gt;0.000000001,$E$12908,0.000000001))&gt;=8*$B$12200,$H$12212,0.5*$H$12212*(ABS(IF(ABS($E$12908)&gt;0.000000001,$E$12908,0.000000001))/$B$12200)^(1/3)))/ABS(IF(ABS($E$12908)&gt;0.000000001,$E$12908,0.000000001))*$I$12212)</f>
        <v/>
      </c>
      <c r="E12944" s="19">
        <f>0.5*$E$12908+0.5*$Z$12964</f>
        <v/>
      </c>
      <c r="F12944" s="19">
        <f>$Z$12965</f>
        <v/>
      </c>
    </row>
    <row r="12945">
      <c r="D12945" s="19">
        <f>IF(ABS(IF(ABS($E$12909)&gt;0.000000001,$E$12909,0.000000001))=0,0,IF($E$12213&lt;=$B$12198,0,IF(ABS(IF(ABS($E$12909)&gt;0.000000001,$E$12909,0.000000001))&gt;=8*$B$12200,$H$12213,0.5*$H$12213*(ABS(IF(ABS($E$12909)&gt;0.000000001,$E$12909,0.000000001))/$B$12200)^(1/3)))/ABS(IF(ABS($E$12909)&gt;0.000000001,$E$12909,0.000000001))*$I$12213)</f>
        <v/>
      </c>
      <c r="E12945" s="19">
        <f>0.5*$E$12909+0.5*$Z$12966</f>
        <v/>
      </c>
      <c r="F12945" s="19">
        <f>$Z$12967</f>
        <v/>
      </c>
    </row>
    <row r="12946">
      <c r="D12946" s="19">
        <f>IF(ABS(IF(ABS($E$12910)&gt;0.000000001,$E$12910,0.000000001))=0,0,IF($E$12214&lt;=$B$12198,0,IF(ABS(IF(ABS($E$12910)&gt;0.000000001,$E$12910,0.000000001))&gt;=8*$B$12200,$H$12214,0.5*$H$12214*(ABS(IF(ABS($E$12910)&gt;0.000000001,$E$12910,0.000000001))/$B$12200)^(1/3)))/ABS(IF(ABS($E$12910)&gt;0.000000001,$E$12910,0.000000001))*$I$12214)</f>
        <v/>
      </c>
      <c r="E12946" s="19">
        <f>0.5*$E$12910+0.5*$Z$12968</f>
        <v/>
      </c>
      <c r="F12946" s="19">
        <f>$Z$12969</f>
        <v/>
      </c>
    </row>
    <row r="12948">
      <c r="D12948" s="21">
        <f>$B$12189+$D$12936</f>
        <v/>
      </c>
      <c r="E12948" s="21">
        <f>$B$12190</f>
        <v/>
      </c>
      <c r="F12948" s="21">
        <f>-$B$12189</f>
        <v/>
      </c>
      <c r="G12948" s="21">
        <f>$B$12190</f>
        <v/>
      </c>
      <c r="H12948" s="21" t="n">
        <v>0</v>
      </c>
      <c r="I12948" s="21" t="n">
        <v>0</v>
      </c>
      <c r="J12948" s="21" t="n">
        <v>0</v>
      </c>
      <c r="K12948" s="21" t="n">
        <v>0</v>
      </c>
      <c r="L12948" s="21" t="n">
        <v>0</v>
      </c>
      <c r="M12948" s="21" t="n">
        <v>0</v>
      </c>
      <c r="N12948" s="21" t="n">
        <v>0</v>
      </c>
      <c r="O12948" s="21" t="n">
        <v>0</v>
      </c>
      <c r="P12948" s="21" t="n">
        <v>0</v>
      </c>
      <c r="Q12948" s="21" t="n">
        <v>0</v>
      </c>
      <c r="R12948" s="21" t="n">
        <v>0</v>
      </c>
      <c r="S12948" s="21" t="n">
        <v>0</v>
      </c>
      <c r="T12948" s="21" t="n">
        <v>0</v>
      </c>
      <c r="U12948" s="21" t="n">
        <v>0</v>
      </c>
      <c r="V12948" s="21" t="n">
        <v>0</v>
      </c>
      <c r="W12948" s="21" t="n">
        <v>0</v>
      </c>
      <c r="X12948" s="21" t="n">
        <v>0</v>
      </c>
      <c r="Y12948" s="21" t="n">
        <v>0</v>
      </c>
      <c r="Z12948" s="19">
        <f t="array" ref="Z12948:Z12969">MMULT(MINVERSE($D$12948:$Y$12969),$D$12216:$D$12237)</f>
        <v/>
      </c>
    </row>
    <row r="12949">
      <c r="D12949" s="21">
        <f>$B$12190</f>
        <v/>
      </c>
      <c r="E12949" s="21">
        <f>$B$12191</f>
        <v/>
      </c>
      <c r="F12949" s="21">
        <f>-$B$12190</f>
        <v/>
      </c>
      <c r="G12949" s="21">
        <f>$B$12192</f>
        <v/>
      </c>
      <c r="H12949" s="21" t="n">
        <v>0</v>
      </c>
      <c r="I12949" s="21" t="n">
        <v>0</v>
      </c>
      <c r="J12949" s="21" t="n">
        <v>0</v>
      </c>
      <c r="K12949" s="21" t="n">
        <v>0</v>
      </c>
      <c r="L12949" s="21" t="n">
        <v>0</v>
      </c>
      <c r="M12949" s="21" t="n">
        <v>0</v>
      </c>
      <c r="N12949" s="21" t="n">
        <v>0</v>
      </c>
      <c r="O12949" s="21" t="n">
        <v>0</v>
      </c>
      <c r="P12949" s="21" t="n">
        <v>0</v>
      </c>
      <c r="Q12949" s="21" t="n">
        <v>0</v>
      </c>
      <c r="R12949" s="21" t="n">
        <v>0</v>
      </c>
      <c r="S12949" s="21" t="n">
        <v>0</v>
      </c>
      <c r="T12949" s="21" t="n">
        <v>0</v>
      </c>
      <c r="U12949" s="21" t="n">
        <v>0</v>
      </c>
      <c r="V12949" s="21" t="n">
        <v>0</v>
      </c>
      <c r="W12949" s="21" t="n">
        <v>0</v>
      </c>
      <c r="X12949" s="21" t="n">
        <v>0</v>
      </c>
      <c r="Y12949" s="21" t="n">
        <v>0</v>
      </c>
      <c r="Z12949" s="19" t="n"/>
    </row>
    <row r="12950">
      <c r="D12950" s="21">
        <f>-$B$12189</f>
        <v/>
      </c>
      <c r="E12950" s="21">
        <f>-$B$12190</f>
        <v/>
      </c>
      <c r="F12950" s="21">
        <f>2*$B$12189+$D$12937</f>
        <v/>
      </c>
      <c r="G12950" s="21">
        <f>0</f>
        <v/>
      </c>
      <c r="H12950" s="21">
        <f>-$B$12189</f>
        <v/>
      </c>
      <c r="I12950" s="21">
        <f>$B$12190</f>
        <v/>
      </c>
      <c r="J12950" s="21" t="n">
        <v>0</v>
      </c>
      <c r="K12950" s="21" t="n">
        <v>0</v>
      </c>
      <c r="L12950" s="21" t="n">
        <v>0</v>
      </c>
      <c r="M12950" s="21" t="n">
        <v>0</v>
      </c>
      <c r="N12950" s="21" t="n">
        <v>0</v>
      </c>
      <c r="O12950" s="21" t="n">
        <v>0</v>
      </c>
      <c r="P12950" s="21" t="n">
        <v>0</v>
      </c>
      <c r="Q12950" s="21" t="n">
        <v>0</v>
      </c>
      <c r="R12950" s="21" t="n">
        <v>0</v>
      </c>
      <c r="S12950" s="21" t="n">
        <v>0</v>
      </c>
      <c r="T12950" s="21" t="n">
        <v>0</v>
      </c>
      <c r="U12950" s="21" t="n">
        <v>0</v>
      </c>
      <c r="V12950" s="21" t="n">
        <v>0</v>
      </c>
      <c r="W12950" s="21" t="n">
        <v>0</v>
      </c>
      <c r="X12950" s="21" t="n">
        <v>0</v>
      </c>
      <c r="Y12950" s="21" t="n">
        <v>0</v>
      </c>
      <c r="Z12950" s="19" t="n"/>
    </row>
    <row r="12951">
      <c r="D12951" s="21">
        <f>$B$12190</f>
        <v/>
      </c>
      <c r="E12951" s="21">
        <f>$B$12192</f>
        <v/>
      </c>
      <c r="F12951" s="21">
        <f>0</f>
        <v/>
      </c>
      <c r="G12951" s="21">
        <f>2*$B$12191</f>
        <v/>
      </c>
      <c r="H12951" s="21">
        <f>-$B$12190</f>
        <v/>
      </c>
      <c r="I12951" s="21">
        <f>$B$12192</f>
        <v/>
      </c>
      <c r="J12951" s="21" t="n">
        <v>0</v>
      </c>
      <c r="K12951" s="21" t="n">
        <v>0</v>
      </c>
      <c r="L12951" s="21" t="n">
        <v>0</v>
      </c>
      <c r="M12951" s="21" t="n">
        <v>0</v>
      </c>
      <c r="N12951" s="21" t="n">
        <v>0</v>
      </c>
      <c r="O12951" s="21" t="n">
        <v>0</v>
      </c>
      <c r="P12951" s="21" t="n">
        <v>0</v>
      </c>
      <c r="Q12951" s="21" t="n">
        <v>0</v>
      </c>
      <c r="R12951" s="21" t="n">
        <v>0</v>
      </c>
      <c r="S12951" s="21" t="n">
        <v>0</v>
      </c>
      <c r="T12951" s="21" t="n">
        <v>0</v>
      </c>
      <c r="U12951" s="21" t="n">
        <v>0</v>
      </c>
      <c r="V12951" s="21" t="n">
        <v>0</v>
      </c>
      <c r="W12951" s="21" t="n">
        <v>0</v>
      </c>
      <c r="X12951" s="21" t="n">
        <v>0</v>
      </c>
      <c r="Y12951" s="21" t="n">
        <v>0</v>
      </c>
      <c r="Z12951" s="19" t="n"/>
    </row>
    <row r="12952">
      <c r="D12952" s="21" t="n">
        <v>0</v>
      </c>
      <c r="E12952" s="21" t="n">
        <v>0</v>
      </c>
      <c r="F12952" s="21">
        <f>-$B$12189</f>
        <v/>
      </c>
      <c r="G12952" s="21">
        <f>-$B$12190</f>
        <v/>
      </c>
      <c r="H12952" s="21">
        <f>2*$B$12189+$D$12938</f>
        <v/>
      </c>
      <c r="I12952" s="21">
        <f>0</f>
        <v/>
      </c>
      <c r="J12952" s="21">
        <f>-$B$12189</f>
        <v/>
      </c>
      <c r="K12952" s="21">
        <f>$B$12190</f>
        <v/>
      </c>
      <c r="L12952" s="21" t="n">
        <v>0</v>
      </c>
      <c r="M12952" s="21" t="n">
        <v>0</v>
      </c>
      <c r="N12952" s="21" t="n">
        <v>0</v>
      </c>
      <c r="O12952" s="21" t="n">
        <v>0</v>
      </c>
      <c r="P12952" s="21" t="n">
        <v>0</v>
      </c>
      <c r="Q12952" s="21" t="n">
        <v>0</v>
      </c>
      <c r="R12952" s="21" t="n">
        <v>0</v>
      </c>
      <c r="S12952" s="21" t="n">
        <v>0</v>
      </c>
      <c r="T12952" s="21" t="n">
        <v>0</v>
      </c>
      <c r="U12952" s="21" t="n">
        <v>0</v>
      </c>
      <c r="V12952" s="21" t="n">
        <v>0</v>
      </c>
      <c r="W12952" s="21" t="n">
        <v>0</v>
      </c>
      <c r="X12952" s="21" t="n">
        <v>0</v>
      </c>
      <c r="Y12952" s="21" t="n">
        <v>0</v>
      </c>
      <c r="Z12952" s="19" t="n"/>
    </row>
    <row r="12953">
      <c r="D12953" s="21" t="n">
        <v>0</v>
      </c>
      <c r="E12953" s="21" t="n">
        <v>0</v>
      </c>
      <c r="F12953" s="21">
        <f>$B$12190</f>
        <v/>
      </c>
      <c r="G12953" s="21">
        <f>$B$12192</f>
        <v/>
      </c>
      <c r="H12953" s="21">
        <f>0</f>
        <v/>
      </c>
      <c r="I12953" s="21">
        <f>2*$B$12191</f>
        <v/>
      </c>
      <c r="J12953" s="21">
        <f>-$B$12190</f>
        <v/>
      </c>
      <c r="K12953" s="21">
        <f>$B$12192</f>
        <v/>
      </c>
      <c r="L12953" s="21" t="n">
        <v>0</v>
      </c>
      <c r="M12953" s="21" t="n">
        <v>0</v>
      </c>
      <c r="N12953" s="21" t="n">
        <v>0</v>
      </c>
      <c r="O12953" s="21" t="n">
        <v>0</v>
      </c>
      <c r="P12953" s="21" t="n">
        <v>0</v>
      </c>
      <c r="Q12953" s="21" t="n">
        <v>0</v>
      </c>
      <c r="R12953" s="21" t="n">
        <v>0</v>
      </c>
      <c r="S12953" s="21" t="n">
        <v>0</v>
      </c>
      <c r="T12953" s="21" t="n">
        <v>0</v>
      </c>
      <c r="U12953" s="21" t="n">
        <v>0</v>
      </c>
      <c r="V12953" s="21" t="n">
        <v>0</v>
      </c>
      <c r="W12953" s="21" t="n">
        <v>0</v>
      </c>
      <c r="X12953" s="21" t="n">
        <v>0</v>
      </c>
      <c r="Y12953" s="21" t="n">
        <v>0</v>
      </c>
      <c r="Z12953" s="19" t="n"/>
    </row>
    <row r="12954">
      <c r="D12954" s="21" t="n">
        <v>0</v>
      </c>
      <c r="E12954" s="21" t="n">
        <v>0</v>
      </c>
      <c r="F12954" s="21" t="n">
        <v>0</v>
      </c>
      <c r="G12954" s="21" t="n">
        <v>0</v>
      </c>
      <c r="H12954" s="21">
        <f>-$B$12189</f>
        <v/>
      </c>
      <c r="I12954" s="21">
        <f>-$B$12190</f>
        <v/>
      </c>
      <c r="J12954" s="21">
        <f>2*$B$12189+$D$12939</f>
        <v/>
      </c>
      <c r="K12954" s="21">
        <f>0</f>
        <v/>
      </c>
      <c r="L12954" s="21">
        <f>-$B$12189</f>
        <v/>
      </c>
      <c r="M12954" s="21">
        <f>$B$12190</f>
        <v/>
      </c>
      <c r="N12954" s="21" t="n">
        <v>0</v>
      </c>
      <c r="O12954" s="21" t="n">
        <v>0</v>
      </c>
      <c r="P12954" s="21" t="n">
        <v>0</v>
      </c>
      <c r="Q12954" s="21" t="n">
        <v>0</v>
      </c>
      <c r="R12954" s="21" t="n">
        <v>0</v>
      </c>
      <c r="S12954" s="21" t="n">
        <v>0</v>
      </c>
      <c r="T12954" s="21" t="n">
        <v>0</v>
      </c>
      <c r="U12954" s="21" t="n">
        <v>0</v>
      </c>
      <c r="V12954" s="21" t="n">
        <v>0</v>
      </c>
      <c r="W12954" s="21" t="n">
        <v>0</v>
      </c>
      <c r="X12954" s="21" t="n">
        <v>0</v>
      </c>
      <c r="Y12954" s="21" t="n">
        <v>0</v>
      </c>
      <c r="Z12954" s="19" t="n"/>
    </row>
    <row r="12955">
      <c r="D12955" s="21" t="n">
        <v>0</v>
      </c>
      <c r="E12955" s="21" t="n">
        <v>0</v>
      </c>
      <c r="F12955" s="21" t="n">
        <v>0</v>
      </c>
      <c r="G12955" s="21" t="n">
        <v>0</v>
      </c>
      <c r="H12955" s="21">
        <f>$B$12190</f>
        <v/>
      </c>
      <c r="I12955" s="21">
        <f>$B$12192</f>
        <v/>
      </c>
      <c r="J12955" s="21">
        <f>0</f>
        <v/>
      </c>
      <c r="K12955" s="21">
        <f>2*$B$12191</f>
        <v/>
      </c>
      <c r="L12955" s="21">
        <f>-$B$12190</f>
        <v/>
      </c>
      <c r="M12955" s="21">
        <f>$B$12192</f>
        <v/>
      </c>
      <c r="N12955" s="21" t="n">
        <v>0</v>
      </c>
      <c r="O12955" s="21" t="n">
        <v>0</v>
      </c>
      <c r="P12955" s="21" t="n">
        <v>0</v>
      </c>
      <c r="Q12955" s="21" t="n">
        <v>0</v>
      </c>
      <c r="R12955" s="21" t="n">
        <v>0</v>
      </c>
      <c r="S12955" s="21" t="n">
        <v>0</v>
      </c>
      <c r="T12955" s="21" t="n">
        <v>0</v>
      </c>
      <c r="U12955" s="21" t="n">
        <v>0</v>
      </c>
      <c r="V12955" s="21" t="n">
        <v>0</v>
      </c>
      <c r="W12955" s="21" t="n">
        <v>0</v>
      </c>
      <c r="X12955" s="21" t="n">
        <v>0</v>
      </c>
      <c r="Y12955" s="21" t="n">
        <v>0</v>
      </c>
      <c r="Z12955" s="19" t="n"/>
    </row>
    <row r="12956">
      <c r="D12956" s="21" t="n">
        <v>0</v>
      </c>
      <c r="E12956" s="21" t="n">
        <v>0</v>
      </c>
      <c r="F12956" s="21" t="n">
        <v>0</v>
      </c>
      <c r="G12956" s="21" t="n">
        <v>0</v>
      </c>
      <c r="H12956" s="21" t="n">
        <v>0</v>
      </c>
      <c r="I12956" s="21" t="n">
        <v>0</v>
      </c>
      <c r="J12956" s="21">
        <f>-$B$12189</f>
        <v/>
      </c>
      <c r="K12956" s="21">
        <f>-$B$12190</f>
        <v/>
      </c>
      <c r="L12956" s="21">
        <f>2*$B$12189+$D$12940</f>
        <v/>
      </c>
      <c r="M12956" s="21">
        <f>0</f>
        <v/>
      </c>
      <c r="N12956" s="21">
        <f>-$B$12189</f>
        <v/>
      </c>
      <c r="O12956" s="21">
        <f>$B$12190</f>
        <v/>
      </c>
      <c r="P12956" s="21" t="n">
        <v>0</v>
      </c>
      <c r="Q12956" s="21" t="n">
        <v>0</v>
      </c>
      <c r="R12956" s="21" t="n">
        <v>0</v>
      </c>
      <c r="S12956" s="21" t="n">
        <v>0</v>
      </c>
      <c r="T12956" s="21" t="n">
        <v>0</v>
      </c>
      <c r="U12956" s="21" t="n">
        <v>0</v>
      </c>
      <c r="V12956" s="21" t="n">
        <v>0</v>
      </c>
      <c r="W12956" s="21" t="n">
        <v>0</v>
      </c>
      <c r="X12956" s="21" t="n">
        <v>0</v>
      </c>
      <c r="Y12956" s="21" t="n">
        <v>0</v>
      </c>
      <c r="Z12956" s="19" t="n"/>
    </row>
    <row r="12957">
      <c r="D12957" s="21" t="n">
        <v>0</v>
      </c>
      <c r="E12957" s="21" t="n">
        <v>0</v>
      </c>
      <c r="F12957" s="21" t="n">
        <v>0</v>
      </c>
      <c r="G12957" s="21" t="n">
        <v>0</v>
      </c>
      <c r="H12957" s="21" t="n">
        <v>0</v>
      </c>
      <c r="I12957" s="21" t="n">
        <v>0</v>
      </c>
      <c r="J12957" s="21">
        <f>$B$12190</f>
        <v/>
      </c>
      <c r="K12957" s="21">
        <f>$B$12192</f>
        <v/>
      </c>
      <c r="L12957" s="21">
        <f>0</f>
        <v/>
      </c>
      <c r="M12957" s="21">
        <f>2*$B$12191</f>
        <v/>
      </c>
      <c r="N12957" s="21">
        <f>-$B$12190</f>
        <v/>
      </c>
      <c r="O12957" s="21">
        <f>$B$12192</f>
        <v/>
      </c>
      <c r="P12957" s="21" t="n">
        <v>0</v>
      </c>
      <c r="Q12957" s="21" t="n">
        <v>0</v>
      </c>
      <c r="R12957" s="21" t="n">
        <v>0</v>
      </c>
      <c r="S12957" s="21" t="n">
        <v>0</v>
      </c>
      <c r="T12957" s="21" t="n">
        <v>0</v>
      </c>
      <c r="U12957" s="21" t="n">
        <v>0</v>
      </c>
      <c r="V12957" s="21" t="n">
        <v>0</v>
      </c>
      <c r="W12957" s="21" t="n">
        <v>0</v>
      </c>
      <c r="X12957" s="21" t="n">
        <v>0</v>
      </c>
      <c r="Y12957" s="21" t="n">
        <v>0</v>
      </c>
      <c r="Z12957" s="19" t="n"/>
    </row>
    <row r="12958">
      <c r="D12958" s="21" t="n">
        <v>0</v>
      </c>
      <c r="E12958" s="21" t="n">
        <v>0</v>
      </c>
      <c r="F12958" s="21" t="n">
        <v>0</v>
      </c>
      <c r="G12958" s="21" t="n">
        <v>0</v>
      </c>
      <c r="H12958" s="21" t="n">
        <v>0</v>
      </c>
      <c r="I12958" s="21" t="n">
        <v>0</v>
      </c>
      <c r="J12958" s="21" t="n">
        <v>0</v>
      </c>
      <c r="K12958" s="21" t="n">
        <v>0</v>
      </c>
      <c r="L12958" s="21">
        <f>-$B$12189</f>
        <v/>
      </c>
      <c r="M12958" s="21">
        <f>-$B$12190</f>
        <v/>
      </c>
      <c r="N12958" s="21">
        <f>2*$B$12189+$D$12941</f>
        <v/>
      </c>
      <c r="O12958" s="21">
        <f>0</f>
        <v/>
      </c>
      <c r="P12958" s="21">
        <f>-$B$12189</f>
        <v/>
      </c>
      <c r="Q12958" s="21">
        <f>$B$12190</f>
        <v/>
      </c>
      <c r="R12958" s="21" t="n">
        <v>0</v>
      </c>
      <c r="S12958" s="21" t="n">
        <v>0</v>
      </c>
      <c r="T12958" s="21" t="n">
        <v>0</v>
      </c>
      <c r="U12958" s="21" t="n">
        <v>0</v>
      </c>
      <c r="V12958" s="21" t="n">
        <v>0</v>
      </c>
      <c r="W12958" s="21" t="n">
        <v>0</v>
      </c>
      <c r="X12958" s="21" t="n">
        <v>0</v>
      </c>
      <c r="Y12958" s="21" t="n">
        <v>0</v>
      </c>
      <c r="Z12958" s="19" t="n"/>
    </row>
    <row r="12959">
      <c r="D12959" s="21" t="n">
        <v>0</v>
      </c>
      <c r="E12959" s="21" t="n">
        <v>0</v>
      </c>
      <c r="F12959" s="21" t="n">
        <v>0</v>
      </c>
      <c r="G12959" s="21" t="n">
        <v>0</v>
      </c>
      <c r="H12959" s="21" t="n">
        <v>0</v>
      </c>
      <c r="I12959" s="21" t="n">
        <v>0</v>
      </c>
      <c r="J12959" s="21" t="n">
        <v>0</v>
      </c>
      <c r="K12959" s="21" t="n">
        <v>0</v>
      </c>
      <c r="L12959" s="21">
        <f>$B$12190</f>
        <v/>
      </c>
      <c r="M12959" s="21">
        <f>$B$12192</f>
        <v/>
      </c>
      <c r="N12959" s="21">
        <f>0</f>
        <v/>
      </c>
      <c r="O12959" s="21">
        <f>2*$B$12191</f>
        <v/>
      </c>
      <c r="P12959" s="21">
        <f>-$B$12190</f>
        <v/>
      </c>
      <c r="Q12959" s="21">
        <f>$B$12192</f>
        <v/>
      </c>
      <c r="R12959" s="21" t="n">
        <v>0</v>
      </c>
      <c r="S12959" s="21" t="n">
        <v>0</v>
      </c>
      <c r="T12959" s="21" t="n">
        <v>0</v>
      </c>
      <c r="U12959" s="21" t="n">
        <v>0</v>
      </c>
      <c r="V12959" s="21" t="n">
        <v>0</v>
      </c>
      <c r="W12959" s="21" t="n">
        <v>0</v>
      </c>
      <c r="X12959" s="21" t="n">
        <v>0</v>
      </c>
      <c r="Y12959" s="21" t="n">
        <v>0</v>
      </c>
      <c r="Z12959" s="19" t="n"/>
    </row>
    <row r="12960">
      <c r="D12960" s="21" t="n">
        <v>0</v>
      </c>
      <c r="E12960" s="21" t="n">
        <v>0</v>
      </c>
      <c r="F12960" s="21" t="n">
        <v>0</v>
      </c>
      <c r="G12960" s="21" t="n">
        <v>0</v>
      </c>
      <c r="H12960" s="21" t="n">
        <v>0</v>
      </c>
      <c r="I12960" s="21" t="n">
        <v>0</v>
      </c>
      <c r="J12960" s="21" t="n">
        <v>0</v>
      </c>
      <c r="K12960" s="21" t="n">
        <v>0</v>
      </c>
      <c r="L12960" s="21" t="n">
        <v>0</v>
      </c>
      <c r="M12960" s="21" t="n">
        <v>0</v>
      </c>
      <c r="N12960" s="21">
        <f>-$B$12189</f>
        <v/>
      </c>
      <c r="O12960" s="21">
        <f>-$B$12190</f>
        <v/>
      </c>
      <c r="P12960" s="21">
        <f>2*$B$12189+$D$12942</f>
        <v/>
      </c>
      <c r="Q12960" s="21">
        <f>0</f>
        <v/>
      </c>
      <c r="R12960" s="21">
        <f>-$B$12189</f>
        <v/>
      </c>
      <c r="S12960" s="21">
        <f>$B$12190</f>
        <v/>
      </c>
      <c r="T12960" s="21" t="n">
        <v>0</v>
      </c>
      <c r="U12960" s="21" t="n">
        <v>0</v>
      </c>
      <c r="V12960" s="21" t="n">
        <v>0</v>
      </c>
      <c r="W12960" s="21" t="n">
        <v>0</v>
      </c>
      <c r="X12960" s="21" t="n">
        <v>0</v>
      </c>
      <c r="Y12960" s="21" t="n">
        <v>0</v>
      </c>
      <c r="Z12960" s="19" t="n"/>
    </row>
    <row r="12961">
      <c r="D12961" s="21" t="n">
        <v>0</v>
      </c>
      <c r="E12961" s="21" t="n">
        <v>0</v>
      </c>
      <c r="F12961" s="21" t="n">
        <v>0</v>
      </c>
      <c r="G12961" s="21" t="n">
        <v>0</v>
      </c>
      <c r="H12961" s="21" t="n">
        <v>0</v>
      </c>
      <c r="I12961" s="21" t="n">
        <v>0</v>
      </c>
      <c r="J12961" s="21" t="n">
        <v>0</v>
      </c>
      <c r="K12961" s="21" t="n">
        <v>0</v>
      </c>
      <c r="L12961" s="21" t="n">
        <v>0</v>
      </c>
      <c r="M12961" s="21" t="n">
        <v>0</v>
      </c>
      <c r="N12961" s="21">
        <f>$B$12190</f>
        <v/>
      </c>
      <c r="O12961" s="21">
        <f>$B$12192</f>
        <v/>
      </c>
      <c r="P12961" s="21">
        <f>0</f>
        <v/>
      </c>
      <c r="Q12961" s="21">
        <f>2*$B$12191</f>
        <v/>
      </c>
      <c r="R12961" s="21">
        <f>-$B$12190</f>
        <v/>
      </c>
      <c r="S12961" s="21">
        <f>$B$12192</f>
        <v/>
      </c>
      <c r="T12961" s="21" t="n">
        <v>0</v>
      </c>
      <c r="U12961" s="21" t="n">
        <v>0</v>
      </c>
      <c r="V12961" s="21" t="n">
        <v>0</v>
      </c>
      <c r="W12961" s="21" t="n">
        <v>0</v>
      </c>
      <c r="X12961" s="21" t="n">
        <v>0</v>
      </c>
      <c r="Y12961" s="21" t="n">
        <v>0</v>
      </c>
      <c r="Z12961" s="19" t="n"/>
    </row>
    <row r="12962">
      <c r="D12962" s="21" t="n">
        <v>0</v>
      </c>
      <c r="E12962" s="21" t="n">
        <v>0</v>
      </c>
      <c r="F12962" s="21" t="n">
        <v>0</v>
      </c>
      <c r="G12962" s="21" t="n">
        <v>0</v>
      </c>
      <c r="H12962" s="21" t="n">
        <v>0</v>
      </c>
      <c r="I12962" s="21" t="n">
        <v>0</v>
      </c>
      <c r="J12962" s="21" t="n">
        <v>0</v>
      </c>
      <c r="K12962" s="21" t="n">
        <v>0</v>
      </c>
      <c r="L12962" s="21" t="n">
        <v>0</v>
      </c>
      <c r="M12962" s="21" t="n">
        <v>0</v>
      </c>
      <c r="N12962" s="21" t="n">
        <v>0</v>
      </c>
      <c r="O12962" s="21" t="n">
        <v>0</v>
      </c>
      <c r="P12962" s="21">
        <f>-$B$12189</f>
        <v/>
      </c>
      <c r="Q12962" s="21">
        <f>-$B$12190</f>
        <v/>
      </c>
      <c r="R12962" s="21">
        <f>2*$B$12189+$D$12943</f>
        <v/>
      </c>
      <c r="S12962" s="21">
        <f>0</f>
        <v/>
      </c>
      <c r="T12962" s="21">
        <f>-$B$12189</f>
        <v/>
      </c>
      <c r="U12962" s="21">
        <f>$B$12190</f>
        <v/>
      </c>
      <c r="V12962" s="21" t="n">
        <v>0</v>
      </c>
      <c r="W12962" s="21" t="n">
        <v>0</v>
      </c>
      <c r="X12962" s="21" t="n">
        <v>0</v>
      </c>
      <c r="Y12962" s="21" t="n">
        <v>0</v>
      </c>
      <c r="Z12962" s="19" t="n"/>
    </row>
    <row r="12963">
      <c r="D12963" s="21" t="n">
        <v>0</v>
      </c>
      <c r="E12963" s="21" t="n">
        <v>0</v>
      </c>
      <c r="F12963" s="21" t="n">
        <v>0</v>
      </c>
      <c r="G12963" s="21" t="n">
        <v>0</v>
      </c>
      <c r="H12963" s="21" t="n">
        <v>0</v>
      </c>
      <c r="I12963" s="21" t="n">
        <v>0</v>
      </c>
      <c r="J12963" s="21" t="n">
        <v>0</v>
      </c>
      <c r="K12963" s="21" t="n">
        <v>0</v>
      </c>
      <c r="L12963" s="21" t="n">
        <v>0</v>
      </c>
      <c r="M12963" s="21" t="n">
        <v>0</v>
      </c>
      <c r="N12963" s="21" t="n">
        <v>0</v>
      </c>
      <c r="O12963" s="21" t="n">
        <v>0</v>
      </c>
      <c r="P12963" s="21">
        <f>$B$12190</f>
        <v/>
      </c>
      <c r="Q12963" s="21">
        <f>$B$12192</f>
        <v/>
      </c>
      <c r="R12963" s="21">
        <f>0</f>
        <v/>
      </c>
      <c r="S12963" s="21">
        <f>2*$B$12191</f>
        <v/>
      </c>
      <c r="T12963" s="21">
        <f>-$B$12190</f>
        <v/>
      </c>
      <c r="U12963" s="21">
        <f>$B$12192</f>
        <v/>
      </c>
      <c r="V12963" s="21" t="n">
        <v>0</v>
      </c>
      <c r="W12963" s="21" t="n">
        <v>0</v>
      </c>
      <c r="X12963" s="21" t="n">
        <v>0</v>
      </c>
      <c r="Y12963" s="21" t="n">
        <v>0</v>
      </c>
      <c r="Z12963" s="19" t="n"/>
    </row>
    <row r="12964">
      <c r="D12964" s="21" t="n">
        <v>0</v>
      </c>
      <c r="E12964" s="21" t="n">
        <v>0</v>
      </c>
      <c r="F12964" s="21" t="n">
        <v>0</v>
      </c>
      <c r="G12964" s="21" t="n">
        <v>0</v>
      </c>
      <c r="H12964" s="21" t="n">
        <v>0</v>
      </c>
      <c r="I12964" s="21" t="n">
        <v>0</v>
      </c>
      <c r="J12964" s="21" t="n">
        <v>0</v>
      </c>
      <c r="K12964" s="21" t="n">
        <v>0</v>
      </c>
      <c r="L12964" s="21" t="n">
        <v>0</v>
      </c>
      <c r="M12964" s="21" t="n">
        <v>0</v>
      </c>
      <c r="N12964" s="21" t="n">
        <v>0</v>
      </c>
      <c r="O12964" s="21" t="n">
        <v>0</v>
      </c>
      <c r="P12964" s="21" t="n">
        <v>0</v>
      </c>
      <c r="Q12964" s="21" t="n">
        <v>0</v>
      </c>
      <c r="R12964" s="21">
        <f>-$B$12189</f>
        <v/>
      </c>
      <c r="S12964" s="21">
        <f>-$B$12190</f>
        <v/>
      </c>
      <c r="T12964" s="21">
        <f>2*$B$12189+$D$12944</f>
        <v/>
      </c>
      <c r="U12964" s="21">
        <f>0</f>
        <v/>
      </c>
      <c r="V12964" s="21">
        <f>-$B$12189</f>
        <v/>
      </c>
      <c r="W12964" s="21">
        <f>$B$12190</f>
        <v/>
      </c>
      <c r="X12964" s="21" t="n">
        <v>0</v>
      </c>
      <c r="Y12964" s="21" t="n">
        <v>0</v>
      </c>
      <c r="Z12964" s="19" t="n"/>
    </row>
    <row r="12965">
      <c r="D12965" s="21" t="n">
        <v>0</v>
      </c>
      <c r="E12965" s="21" t="n">
        <v>0</v>
      </c>
      <c r="F12965" s="21" t="n">
        <v>0</v>
      </c>
      <c r="G12965" s="21" t="n">
        <v>0</v>
      </c>
      <c r="H12965" s="21" t="n">
        <v>0</v>
      </c>
      <c r="I12965" s="21" t="n">
        <v>0</v>
      </c>
      <c r="J12965" s="21" t="n">
        <v>0</v>
      </c>
      <c r="K12965" s="21" t="n">
        <v>0</v>
      </c>
      <c r="L12965" s="21" t="n">
        <v>0</v>
      </c>
      <c r="M12965" s="21" t="n">
        <v>0</v>
      </c>
      <c r="N12965" s="21" t="n">
        <v>0</v>
      </c>
      <c r="O12965" s="21" t="n">
        <v>0</v>
      </c>
      <c r="P12965" s="21" t="n">
        <v>0</v>
      </c>
      <c r="Q12965" s="21" t="n">
        <v>0</v>
      </c>
      <c r="R12965" s="21">
        <f>$B$12190</f>
        <v/>
      </c>
      <c r="S12965" s="21">
        <f>$B$12192</f>
        <v/>
      </c>
      <c r="T12965" s="21">
        <f>0</f>
        <v/>
      </c>
      <c r="U12965" s="21">
        <f>2*$B$12191</f>
        <v/>
      </c>
      <c r="V12965" s="21">
        <f>-$B$12190</f>
        <v/>
      </c>
      <c r="W12965" s="21">
        <f>$B$12192</f>
        <v/>
      </c>
      <c r="X12965" s="21" t="n">
        <v>0</v>
      </c>
      <c r="Y12965" s="21" t="n">
        <v>0</v>
      </c>
      <c r="Z12965" s="19" t="n"/>
    </row>
    <row r="12966">
      <c r="D12966" s="21" t="n">
        <v>0</v>
      </c>
      <c r="E12966" s="21" t="n">
        <v>0</v>
      </c>
      <c r="F12966" s="21" t="n">
        <v>0</v>
      </c>
      <c r="G12966" s="21" t="n">
        <v>0</v>
      </c>
      <c r="H12966" s="21" t="n">
        <v>0</v>
      </c>
      <c r="I12966" s="21" t="n">
        <v>0</v>
      </c>
      <c r="J12966" s="21" t="n">
        <v>0</v>
      </c>
      <c r="K12966" s="21" t="n">
        <v>0</v>
      </c>
      <c r="L12966" s="21" t="n">
        <v>0</v>
      </c>
      <c r="M12966" s="21" t="n">
        <v>0</v>
      </c>
      <c r="N12966" s="21" t="n">
        <v>0</v>
      </c>
      <c r="O12966" s="21" t="n">
        <v>0</v>
      </c>
      <c r="P12966" s="21" t="n">
        <v>0</v>
      </c>
      <c r="Q12966" s="21" t="n">
        <v>0</v>
      </c>
      <c r="R12966" s="21" t="n">
        <v>0</v>
      </c>
      <c r="S12966" s="21" t="n">
        <v>0</v>
      </c>
      <c r="T12966" s="21">
        <f>-$B$12189</f>
        <v/>
      </c>
      <c r="U12966" s="21">
        <f>-$B$12190</f>
        <v/>
      </c>
      <c r="V12966" s="21">
        <f>2*$B$12189+$D$12945</f>
        <v/>
      </c>
      <c r="W12966" s="21">
        <f>0</f>
        <v/>
      </c>
      <c r="X12966" s="21">
        <f>-$B$12189</f>
        <v/>
      </c>
      <c r="Y12966" s="21">
        <f>$B$12190</f>
        <v/>
      </c>
      <c r="Z12966" s="19" t="n"/>
    </row>
    <row r="12967">
      <c r="D12967" s="21" t="n">
        <v>0</v>
      </c>
      <c r="E12967" s="21" t="n">
        <v>0</v>
      </c>
      <c r="F12967" s="21" t="n">
        <v>0</v>
      </c>
      <c r="G12967" s="21" t="n">
        <v>0</v>
      </c>
      <c r="H12967" s="21" t="n">
        <v>0</v>
      </c>
      <c r="I12967" s="21" t="n">
        <v>0</v>
      </c>
      <c r="J12967" s="21" t="n">
        <v>0</v>
      </c>
      <c r="K12967" s="21" t="n">
        <v>0</v>
      </c>
      <c r="L12967" s="21" t="n">
        <v>0</v>
      </c>
      <c r="M12967" s="21" t="n">
        <v>0</v>
      </c>
      <c r="N12967" s="21" t="n">
        <v>0</v>
      </c>
      <c r="O12967" s="21" t="n">
        <v>0</v>
      </c>
      <c r="P12967" s="21" t="n">
        <v>0</v>
      </c>
      <c r="Q12967" s="21" t="n">
        <v>0</v>
      </c>
      <c r="R12967" s="21" t="n">
        <v>0</v>
      </c>
      <c r="S12967" s="21" t="n">
        <v>0</v>
      </c>
      <c r="T12967" s="21">
        <f>$B$12190</f>
        <v/>
      </c>
      <c r="U12967" s="21">
        <f>$B$12192</f>
        <v/>
      </c>
      <c r="V12967" s="21">
        <f>0</f>
        <v/>
      </c>
      <c r="W12967" s="21">
        <f>2*$B$12191</f>
        <v/>
      </c>
      <c r="X12967" s="21">
        <f>-$B$12190</f>
        <v/>
      </c>
      <c r="Y12967" s="21">
        <f>$B$12192</f>
        <v/>
      </c>
      <c r="Z12967" s="19" t="n"/>
    </row>
    <row r="12968">
      <c r="D12968" s="21" t="n">
        <v>0</v>
      </c>
      <c r="E12968" s="21" t="n">
        <v>0</v>
      </c>
      <c r="F12968" s="21" t="n">
        <v>0</v>
      </c>
      <c r="G12968" s="21" t="n">
        <v>0</v>
      </c>
      <c r="H12968" s="21" t="n">
        <v>0</v>
      </c>
      <c r="I12968" s="21" t="n">
        <v>0</v>
      </c>
      <c r="J12968" s="21" t="n">
        <v>0</v>
      </c>
      <c r="K12968" s="21" t="n">
        <v>0</v>
      </c>
      <c r="L12968" s="21" t="n">
        <v>0</v>
      </c>
      <c r="M12968" s="21" t="n">
        <v>0</v>
      </c>
      <c r="N12968" s="21" t="n">
        <v>0</v>
      </c>
      <c r="O12968" s="21" t="n">
        <v>0</v>
      </c>
      <c r="P12968" s="21" t="n">
        <v>0</v>
      </c>
      <c r="Q12968" s="21" t="n">
        <v>0</v>
      </c>
      <c r="R12968" s="21" t="n">
        <v>0</v>
      </c>
      <c r="S12968" s="21" t="n">
        <v>0</v>
      </c>
      <c r="T12968" s="21" t="n">
        <v>0</v>
      </c>
      <c r="U12968" s="21" t="n">
        <v>0</v>
      </c>
      <c r="V12968" s="21">
        <f>-$B$12189</f>
        <v/>
      </c>
      <c r="W12968" s="21">
        <f>-$B$12190</f>
        <v/>
      </c>
      <c r="X12968" s="21">
        <f>$B$12189+$D$12946</f>
        <v/>
      </c>
      <c r="Y12968" s="21">
        <f>-$B$12190</f>
        <v/>
      </c>
      <c r="Z12968" s="19" t="n"/>
    </row>
    <row r="12969">
      <c r="D12969" s="21" t="n">
        <v>0</v>
      </c>
      <c r="E12969" s="21" t="n">
        <v>0</v>
      </c>
      <c r="F12969" s="21" t="n">
        <v>0</v>
      </c>
      <c r="G12969" s="21" t="n">
        <v>0</v>
      </c>
      <c r="H12969" s="21" t="n">
        <v>0</v>
      </c>
      <c r="I12969" s="21" t="n">
        <v>0</v>
      </c>
      <c r="J12969" s="21" t="n">
        <v>0</v>
      </c>
      <c r="K12969" s="21" t="n">
        <v>0</v>
      </c>
      <c r="L12969" s="21" t="n">
        <v>0</v>
      </c>
      <c r="M12969" s="21" t="n">
        <v>0</v>
      </c>
      <c r="N12969" s="21" t="n">
        <v>0</v>
      </c>
      <c r="O12969" s="21" t="n">
        <v>0</v>
      </c>
      <c r="P12969" s="21" t="n">
        <v>0</v>
      </c>
      <c r="Q12969" s="21" t="n">
        <v>0</v>
      </c>
      <c r="R12969" s="21" t="n">
        <v>0</v>
      </c>
      <c r="S12969" s="21" t="n">
        <v>0</v>
      </c>
      <c r="T12969" s="21" t="n">
        <v>0</v>
      </c>
      <c r="U12969" s="21" t="n">
        <v>0</v>
      </c>
      <c r="V12969" s="21">
        <f>$B$12190</f>
        <v/>
      </c>
      <c r="W12969" s="21">
        <f>$B$12192</f>
        <v/>
      </c>
      <c r="X12969" s="21">
        <f>-$B$12190</f>
        <v/>
      </c>
      <c r="Y12969" s="21">
        <f>$B$12191</f>
        <v/>
      </c>
      <c r="Z12969" s="19" t="n"/>
    </row>
    <row r="12971">
      <c r="A12971" s="8" t="inlineStr">
        <is>
          <t>gen 21</t>
        </is>
      </c>
    </row>
    <row r="12972">
      <c r="D12972" s="19">
        <f>IF(ABS(IF(ABS($E$12936)&gt;0.000000001,$E$12936,0.000000001))=0,0,IF($E$12204&lt;=$B$12198,0,IF(ABS(IF(ABS($E$12936)&gt;0.000000001,$E$12936,0.000000001))&gt;=8*$B$12200,$H$12204,0.5*$H$12204*(ABS(IF(ABS($E$12936)&gt;0.000000001,$E$12936,0.000000001))/$B$12200)^(1/3)))/ABS(IF(ABS($E$12936)&gt;0.000000001,$E$12936,0.000000001))*$I$12204)</f>
        <v/>
      </c>
      <c r="E12972" s="19">
        <f>0.5*$E$12936+0.5*$Z$12984</f>
        <v/>
      </c>
      <c r="F12972" s="19">
        <f>$Z$12985</f>
        <v/>
      </c>
    </row>
    <row r="12973">
      <c r="D12973" s="19">
        <f>IF(ABS(IF(ABS($E$12937)&gt;0.000000001,$E$12937,0.000000001))=0,0,IF($E$12205&lt;=$B$12198,0,IF(ABS(IF(ABS($E$12937)&gt;0.000000001,$E$12937,0.000000001))&gt;=8*$B$12200,$H$12205,0.5*$H$12205*(ABS(IF(ABS($E$12937)&gt;0.000000001,$E$12937,0.000000001))/$B$12200)^(1/3)))/ABS(IF(ABS($E$12937)&gt;0.000000001,$E$12937,0.000000001))*$I$12205)</f>
        <v/>
      </c>
      <c r="E12973" s="19">
        <f>0.5*$E$12937+0.5*$Z$12986</f>
        <v/>
      </c>
      <c r="F12973" s="19">
        <f>$Z$12987</f>
        <v/>
      </c>
    </row>
    <row r="12974">
      <c r="D12974" s="19">
        <f>IF(ABS(IF(ABS($E$12938)&gt;0.000000001,$E$12938,0.000000001))=0,0,IF($E$12206&lt;=$B$12198,0,IF(ABS(IF(ABS($E$12938)&gt;0.000000001,$E$12938,0.000000001))&gt;=8*$B$12200,$H$12206,0.5*$H$12206*(ABS(IF(ABS($E$12938)&gt;0.000000001,$E$12938,0.000000001))/$B$12200)^(1/3)))/ABS(IF(ABS($E$12938)&gt;0.000000001,$E$12938,0.000000001))*$I$12206)</f>
        <v/>
      </c>
      <c r="E12974" s="19">
        <f>0.5*$E$12938+0.5*$Z$12988</f>
        <v/>
      </c>
      <c r="F12974" s="19">
        <f>$Z$12989</f>
        <v/>
      </c>
    </row>
    <row r="12975">
      <c r="D12975" s="19">
        <f>IF(ABS(IF(ABS($E$12939)&gt;0.000000001,$E$12939,0.000000001))=0,0,IF($E$12207&lt;=$B$12198,0,IF(ABS(IF(ABS($E$12939)&gt;0.000000001,$E$12939,0.000000001))&gt;=8*$B$12200,$H$12207,0.5*$H$12207*(ABS(IF(ABS($E$12939)&gt;0.000000001,$E$12939,0.000000001))/$B$12200)^(1/3)))/ABS(IF(ABS($E$12939)&gt;0.000000001,$E$12939,0.000000001))*$I$12207)</f>
        <v/>
      </c>
      <c r="E12975" s="19">
        <f>0.5*$E$12939+0.5*$Z$12990</f>
        <v/>
      </c>
      <c r="F12975" s="19">
        <f>$Z$12991</f>
        <v/>
      </c>
    </row>
    <row r="12976">
      <c r="D12976" s="19">
        <f>IF(ABS(IF(ABS($E$12940)&gt;0.000000001,$E$12940,0.000000001))=0,0,IF($E$12208&lt;=$B$12198,0,IF(ABS(IF(ABS($E$12940)&gt;0.000000001,$E$12940,0.000000001))&gt;=8*$B$12200,$H$12208,0.5*$H$12208*(ABS(IF(ABS($E$12940)&gt;0.000000001,$E$12940,0.000000001))/$B$12200)^(1/3)))/ABS(IF(ABS($E$12940)&gt;0.000000001,$E$12940,0.000000001))*$I$12208)</f>
        <v/>
      </c>
      <c r="E12976" s="19">
        <f>0.5*$E$12940+0.5*$Z$12992</f>
        <v/>
      </c>
      <c r="F12976" s="19">
        <f>$Z$12993</f>
        <v/>
      </c>
    </row>
    <row r="12977">
      <c r="D12977" s="19">
        <f>IF(ABS(IF(ABS($E$12941)&gt;0.000000001,$E$12941,0.000000001))=0,0,IF($E$12209&lt;=$B$12198,0,IF(ABS(IF(ABS($E$12941)&gt;0.000000001,$E$12941,0.000000001))&gt;=8*$B$12200,$H$12209,0.5*$H$12209*(ABS(IF(ABS($E$12941)&gt;0.000000001,$E$12941,0.000000001))/$B$12200)^(1/3)))/ABS(IF(ABS($E$12941)&gt;0.000000001,$E$12941,0.000000001))*$I$12209)</f>
        <v/>
      </c>
      <c r="E12977" s="19">
        <f>0.5*$E$12941+0.5*$Z$12994</f>
        <v/>
      </c>
      <c r="F12977" s="19">
        <f>$Z$12995</f>
        <v/>
      </c>
    </row>
    <row r="12978">
      <c r="D12978" s="19">
        <f>IF(ABS(IF(ABS($E$12942)&gt;0.000000001,$E$12942,0.000000001))=0,0,IF($E$12210&lt;=$B$12198,0,IF(ABS(IF(ABS($E$12942)&gt;0.000000001,$E$12942,0.000000001))&gt;=8*$B$12200,$H$12210,0.5*$H$12210*(ABS(IF(ABS($E$12942)&gt;0.000000001,$E$12942,0.000000001))/$B$12200)^(1/3)))/ABS(IF(ABS($E$12942)&gt;0.000000001,$E$12942,0.000000001))*$I$12210)</f>
        <v/>
      </c>
      <c r="E12978" s="19">
        <f>0.5*$E$12942+0.5*$Z$12996</f>
        <v/>
      </c>
      <c r="F12978" s="19">
        <f>$Z$12997</f>
        <v/>
      </c>
    </row>
    <row r="12979">
      <c r="D12979" s="19">
        <f>IF(ABS(IF(ABS($E$12943)&gt;0.000000001,$E$12943,0.000000001))=0,0,IF($E$12211&lt;=$B$12198,0,IF(ABS(IF(ABS($E$12943)&gt;0.000000001,$E$12943,0.000000001))&gt;=8*$B$12200,$H$12211,0.5*$H$12211*(ABS(IF(ABS($E$12943)&gt;0.000000001,$E$12943,0.000000001))/$B$12200)^(1/3)))/ABS(IF(ABS($E$12943)&gt;0.000000001,$E$12943,0.000000001))*$I$12211)</f>
        <v/>
      </c>
      <c r="E12979" s="19">
        <f>0.5*$E$12943+0.5*$Z$12998</f>
        <v/>
      </c>
      <c r="F12979" s="19">
        <f>$Z$12999</f>
        <v/>
      </c>
    </row>
    <row r="12980">
      <c r="D12980" s="19">
        <f>IF(ABS(IF(ABS($E$12944)&gt;0.000000001,$E$12944,0.000000001))=0,0,IF($E$12212&lt;=$B$12198,0,IF(ABS(IF(ABS($E$12944)&gt;0.000000001,$E$12944,0.000000001))&gt;=8*$B$12200,$H$12212,0.5*$H$12212*(ABS(IF(ABS($E$12944)&gt;0.000000001,$E$12944,0.000000001))/$B$12200)^(1/3)))/ABS(IF(ABS($E$12944)&gt;0.000000001,$E$12944,0.000000001))*$I$12212)</f>
        <v/>
      </c>
      <c r="E12980" s="19">
        <f>0.5*$E$12944+0.5*$Z$13000</f>
        <v/>
      </c>
      <c r="F12980" s="19">
        <f>$Z$13001</f>
        <v/>
      </c>
    </row>
    <row r="12981">
      <c r="D12981" s="19">
        <f>IF(ABS(IF(ABS($E$12945)&gt;0.000000001,$E$12945,0.000000001))=0,0,IF($E$12213&lt;=$B$12198,0,IF(ABS(IF(ABS($E$12945)&gt;0.000000001,$E$12945,0.000000001))&gt;=8*$B$12200,$H$12213,0.5*$H$12213*(ABS(IF(ABS($E$12945)&gt;0.000000001,$E$12945,0.000000001))/$B$12200)^(1/3)))/ABS(IF(ABS($E$12945)&gt;0.000000001,$E$12945,0.000000001))*$I$12213)</f>
        <v/>
      </c>
      <c r="E12981" s="19">
        <f>0.5*$E$12945+0.5*$Z$13002</f>
        <v/>
      </c>
      <c r="F12981" s="19">
        <f>$Z$13003</f>
        <v/>
      </c>
    </row>
    <row r="12982">
      <c r="D12982" s="19">
        <f>IF(ABS(IF(ABS($E$12946)&gt;0.000000001,$E$12946,0.000000001))=0,0,IF($E$12214&lt;=$B$12198,0,IF(ABS(IF(ABS($E$12946)&gt;0.000000001,$E$12946,0.000000001))&gt;=8*$B$12200,$H$12214,0.5*$H$12214*(ABS(IF(ABS($E$12946)&gt;0.000000001,$E$12946,0.000000001))/$B$12200)^(1/3)))/ABS(IF(ABS($E$12946)&gt;0.000000001,$E$12946,0.000000001))*$I$12214)</f>
        <v/>
      </c>
      <c r="E12982" s="19">
        <f>0.5*$E$12946+0.5*$Z$13004</f>
        <v/>
      </c>
      <c r="F12982" s="19">
        <f>$Z$13005</f>
        <v/>
      </c>
    </row>
    <row r="12984">
      <c r="D12984" s="21">
        <f>$B$12189+$D$12972</f>
        <v/>
      </c>
      <c r="E12984" s="21">
        <f>$B$12190</f>
        <v/>
      </c>
      <c r="F12984" s="21">
        <f>-$B$12189</f>
        <v/>
      </c>
      <c r="G12984" s="21">
        <f>$B$12190</f>
        <v/>
      </c>
      <c r="H12984" s="21" t="n">
        <v>0</v>
      </c>
      <c r="I12984" s="21" t="n">
        <v>0</v>
      </c>
      <c r="J12984" s="21" t="n">
        <v>0</v>
      </c>
      <c r="K12984" s="21" t="n">
        <v>0</v>
      </c>
      <c r="L12984" s="21" t="n">
        <v>0</v>
      </c>
      <c r="M12984" s="21" t="n">
        <v>0</v>
      </c>
      <c r="N12984" s="21" t="n">
        <v>0</v>
      </c>
      <c r="O12984" s="21" t="n">
        <v>0</v>
      </c>
      <c r="P12984" s="21" t="n">
        <v>0</v>
      </c>
      <c r="Q12984" s="21" t="n">
        <v>0</v>
      </c>
      <c r="R12984" s="21" t="n">
        <v>0</v>
      </c>
      <c r="S12984" s="21" t="n">
        <v>0</v>
      </c>
      <c r="T12984" s="21" t="n">
        <v>0</v>
      </c>
      <c r="U12984" s="21" t="n">
        <v>0</v>
      </c>
      <c r="V12984" s="21" t="n">
        <v>0</v>
      </c>
      <c r="W12984" s="21" t="n">
        <v>0</v>
      </c>
      <c r="X12984" s="21" t="n">
        <v>0</v>
      </c>
      <c r="Y12984" s="21" t="n">
        <v>0</v>
      </c>
      <c r="Z12984" s="19">
        <f t="array" ref="Z12984:Z13005">MMULT(MINVERSE($D$12984:$Y$13005),$D$12216:$D$12237)</f>
        <v/>
      </c>
    </row>
    <row r="12985">
      <c r="D12985" s="21">
        <f>$B$12190</f>
        <v/>
      </c>
      <c r="E12985" s="21">
        <f>$B$12191</f>
        <v/>
      </c>
      <c r="F12985" s="21">
        <f>-$B$12190</f>
        <v/>
      </c>
      <c r="G12985" s="21">
        <f>$B$12192</f>
        <v/>
      </c>
      <c r="H12985" s="21" t="n">
        <v>0</v>
      </c>
      <c r="I12985" s="21" t="n">
        <v>0</v>
      </c>
      <c r="J12985" s="21" t="n">
        <v>0</v>
      </c>
      <c r="K12985" s="21" t="n">
        <v>0</v>
      </c>
      <c r="L12985" s="21" t="n">
        <v>0</v>
      </c>
      <c r="M12985" s="21" t="n">
        <v>0</v>
      </c>
      <c r="N12985" s="21" t="n">
        <v>0</v>
      </c>
      <c r="O12985" s="21" t="n">
        <v>0</v>
      </c>
      <c r="P12985" s="21" t="n">
        <v>0</v>
      </c>
      <c r="Q12985" s="21" t="n">
        <v>0</v>
      </c>
      <c r="R12985" s="21" t="n">
        <v>0</v>
      </c>
      <c r="S12985" s="21" t="n">
        <v>0</v>
      </c>
      <c r="T12985" s="21" t="n">
        <v>0</v>
      </c>
      <c r="U12985" s="21" t="n">
        <v>0</v>
      </c>
      <c r="V12985" s="21" t="n">
        <v>0</v>
      </c>
      <c r="W12985" s="21" t="n">
        <v>0</v>
      </c>
      <c r="X12985" s="21" t="n">
        <v>0</v>
      </c>
      <c r="Y12985" s="21" t="n">
        <v>0</v>
      </c>
      <c r="Z12985" s="19" t="n"/>
    </row>
    <row r="12986">
      <c r="D12986" s="21">
        <f>-$B$12189</f>
        <v/>
      </c>
      <c r="E12986" s="21">
        <f>-$B$12190</f>
        <v/>
      </c>
      <c r="F12986" s="21">
        <f>2*$B$12189+$D$12973</f>
        <v/>
      </c>
      <c r="G12986" s="21">
        <f>0</f>
        <v/>
      </c>
      <c r="H12986" s="21">
        <f>-$B$12189</f>
        <v/>
      </c>
      <c r="I12986" s="21">
        <f>$B$12190</f>
        <v/>
      </c>
      <c r="J12986" s="21" t="n">
        <v>0</v>
      </c>
      <c r="K12986" s="21" t="n">
        <v>0</v>
      </c>
      <c r="L12986" s="21" t="n">
        <v>0</v>
      </c>
      <c r="M12986" s="21" t="n">
        <v>0</v>
      </c>
      <c r="N12986" s="21" t="n">
        <v>0</v>
      </c>
      <c r="O12986" s="21" t="n">
        <v>0</v>
      </c>
      <c r="P12986" s="21" t="n">
        <v>0</v>
      </c>
      <c r="Q12986" s="21" t="n">
        <v>0</v>
      </c>
      <c r="R12986" s="21" t="n">
        <v>0</v>
      </c>
      <c r="S12986" s="21" t="n">
        <v>0</v>
      </c>
      <c r="T12986" s="21" t="n">
        <v>0</v>
      </c>
      <c r="U12986" s="21" t="n">
        <v>0</v>
      </c>
      <c r="V12986" s="21" t="n">
        <v>0</v>
      </c>
      <c r="W12986" s="21" t="n">
        <v>0</v>
      </c>
      <c r="X12986" s="21" t="n">
        <v>0</v>
      </c>
      <c r="Y12986" s="21" t="n">
        <v>0</v>
      </c>
      <c r="Z12986" s="19" t="n"/>
    </row>
    <row r="12987">
      <c r="D12987" s="21">
        <f>$B$12190</f>
        <v/>
      </c>
      <c r="E12987" s="21">
        <f>$B$12192</f>
        <v/>
      </c>
      <c r="F12987" s="21">
        <f>0</f>
        <v/>
      </c>
      <c r="G12987" s="21">
        <f>2*$B$12191</f>
        <v/>
      </c>
      <c r="H12987" s="21">
        <f>-$B$12190</f>
        <v/>
      </c>
      <c r="I12987" s="21">
        <f>$B$12192</f>
        <v/>
      </c>
      <c r="J12987" s="21" t="n">
        <v>0</v>
      </c>
      <c r="K12987" s="21" t="n">
        <v>0</v>
      </c>
      <c r="L12987" s="21" t="n">
        <v>0</v>
      </c>
      <c r="M12987" s="21" t="n">
        <v>0</v>
      </c>
      <c r="N12987" s="21" t="n">
        <v>0</v>
      </c>
      <c r="O12987" s="21" t="n">
        <v>0</v>
      </c>
      <c r="P12987" s="21" t="n">
        <v>0</v>
      </c>
      <c r="Q12987" s="21" t="n">
        <v>0</v>
      </c>
      <c r="R12987" s="21" t="n">
        <v>0</v>
      </c>
      <c r="S12987" s="21" t="n">
        <v>0</v>
      </c>
      <c r="T12987" s="21" t="n">
        <v>0</v>
      </c>
      <c r="U12987" s="21" t="n">
        <v>0</v>
      </c>
      <c r="V12987" s="21" t="n">
        <v>0</v>
      </c>
      <c r="W12987" s="21" t="n">
        <v>0</v>
      </c>
      <c r="X12987" s="21" t="n">
        <v>0</v>
      </c>
      <c r="Y12987" s="21" t="n">
        <v>0</v>
      </c>
      <c r="Z12987" s="19" t="n"/>
    </row>
    <row r="12988">
      <c r="D12988" s="21" t="n">
        <v>0</v>
      </c>
      <c r="E12988" s="21" t="n">
        <v>0</v>
      </c>
      <c r="F12988" s="21">
        <f>-$B$12189</f>
        <v/>
      </c>
      <c r="G12988" s="21">
        <f>-$B$12190</f>
        <v/>
      </c>
      <c r="H12988" s="21">
        <f>2*$B$12189+$D$12974</f>
        <v/>
      </c>
      <c r="I12988" s="21">
        <f>0</f>
        <v/>
      </c>
      <c r="J12988" s="21">
        <f>-$B$12189</f>
        <v/>
      </c>
      <c r="K12988" s="21">
        <f>$B$12190</f>
        <v/>
      </c>
      <c r="L12988" s="21" t="n">
        <v>0</v>
      </c>
      <c r="M12988" s="21" t="n">
        <v>0</v>
      </c>
      <c r="N12988" s="21" t="n">
        <v>0</v>
      </c>
      <c r="O12988" s="21" t="n">
        <v>0</v>
      </c>
      <c r="P12988" s="21" t="n">
        <v>0</v>
      </c>
      <c r="Q12988" s="21" t="n">
        <v>0</v>
      </c>
      <c r="R12988" s="21" t="n">
        <v>0</v>
      </c>
      <c r="S12988" s="21" t="n">
        <v>0</v>
      </c>
      <c r="T12988" s="21" t="n">
        <v>0</v>
      </c>
      <c r="U12988" s="21" t="n">
        <v>0</v>
      </c>
      <c r="V12988" s="21" t="n">
        <v>0</v>
      </c>
      <c r="W12988" s="21" t="n">
        <v>0</v>
      </c>
      <c r="X12988" s="21" t="n">
        <v>0</v>
      </c>
      <c r="Y12988" s="21" t="n">
        <v>0</v>
      </c>
      <c r="Z12988" s="19" t="n"/>
    </row>
    <row r="12989">
      <c r="D12989" s="21" t="n">
        <v>0</v>
      </c>
      <c r="E12989" s="21" t="n">
        <v>0</v>
      </c>
      <c r="F12989" s="21">
        <f>$B$12190</f>
        <v/>
      </c>
      <c r="G12989" s="21">
        <f>$B$12192</f>
        <v/>
      </c>
      <c r="H12989" s="21">
        <f>0</f>
        <v/>
      </c>
      <c r="I12989" s="21">
        <f>2*$B$12191</f>
        <v/>
      </c>
      <c r="J12989" s="21">
        <f>-$B$12190</f>
        <v/>
      </c>
      <c r="K12989" s="21">
        <f>$B$12192</f>
        <v/>
      </c>
      <c r="L12989" s="21" t="n">
        <v>0</v>
      </c>
      <c r="M12989" s="21" t="n">
        <v>0</v>
      </c>
      <c r="N12989" s="21" t="n">
        <v>0</v>
      </c>
      <c r="O12989" s="21" t="n">
        <v>0</v>
      </c>
      <c r="P12989" s="21" t="n">
        <v>0</v>
      </c>
      <c r="Q12989" s="21" t="n">
        <v>0</v>
      </c>
      <c r="R12989" s="21" t="n">
        <v>0</v>
      </c>
      <c r="S12989" s="21" t="n">
        <v>0</v>
      </c>
      <c r="T12989" s="21" t="n">
        <v>0</v>
      </c>
      <c r="U12989" s="21" t="n">
        <v>0</v>
      </c>
      <c r="V12989" s="21" t="n">
        <v>0</v>
      </c>
      <c r="W12989" s="21" t="n">
        <v>0</v>
      </c>
      <c r="X12989" s="21" t="n">
        <v>0</v>
      </c>
      <c r="Y12989" s="21" t="n">
        <v>0</v>
      </c>
      <c r="Z12989" s="19" t="n"/>
    </row>
    <row r="12990">
      <c r="D12990" s="21" t="n">
        <v>0</v>
      </c>
      <c r="E12990" s="21" t="n">
        <v>0</v>
      </c>
      <c r="F12990" s="21" t="n">
        <v>0</v>
      </c>
      <c r="G12990" s="21" t="n">
        <v>0</v>
      </c>
      <c r="H12990" s="21">
        <f>-$B$12189</f>
        <v/>
      </c>
      <c r="I12990" s="21">
        <f>-$B$12190</f>
        <v/>
      </c>
      <c r="J12990" s="21">
        <f>2*$B$12189+$D$12975</f>
        <v/>
      </c>
      <c r="K12990" s="21">
        <f>0</f>
        <v/>
      </c>
      <c r="L12990" s="21">
        <f>-$B$12189</f>
        <v/>
      </c>
      <c r="M12990" s="21">
        <f>$B$12190</f>
        <v/>
      </c>
      <c r="N12990" s="21" t="n">
        <v>0</v>
      </c>
      <c r="O12990" s="21" t="n">
        <v>0</v>
      </c>
      <c r="P12990" s="21" t="n">
        <v>0</v>
      </c>
      <c r="Q12990" s="21" t="n">
        <v>0</v>
      </c>
      <c r="R12990" s="21" t="n">
        <v>0</v>
      </c>
      <c r="S12990" s="21" t="n">
        <v>0</v>
      </c>
      <c r="T12990" s="21" t="n">
        <v>0</v>
      </c>
      <c r="U12990" s="21" t="n">
        <v>0</v>
      </c>
      <c r="V12990" s="21" t="n">
        <v>0</v>
      </c>
      <c r="W12990" s="21" t="n">
        <v>0</v>
      </c>
      <c r="X12990" s="21" t="n">
        <v>0</v>
      </c>
      <c r="Y12990" s="21" t="n">
        <v>0</v>
      </c>
      <c r="Z12990" s="19" t="n"/>
    </row>
    <row r="12991">
      <c r="D12991" s="21" t="n">
        <v>0</v>
      </c>
      <c r="E12991" s="21" t="n">
        <v>0</v>
      </c>
      <c r="F12991" s="21" t="n">
        <v>0</v>
      </c>
      <c r="G12991" s="21" t="n">
        <v>0</v>
      </c>
      <c r="H12991" s="21">
        <f>$B$12190</f>
        <v/>
      </c>
      <c r="I12991" s="21">
        <f>$B$12192</f>
        <v/>
      </c>
      <c r="J12991" s="21">
        <f>0</f>
        <v/>
      </c>
      <c r="K12991" s="21">
        <f>2*$B$12191</f>
        <v/>
      </c>
      <c r="L12991" s="21">
        <f>-$B$12190</f>
        <v/>
      </c>
      <c r="M12991" s="21">
        <f>$B$12192</f>
        <v/>
      </c>
      <c r="N12991" s="21" t="n">
        <v>0</v>
      </c>
      <c r="O12991" s="21" t="n">
        <v>0</v>
      </c>
      <c r="P12991" s="21" t="n">
        <v>0</v>
      </c>
      <c r="Q12991" s="21" t="n">
        <v>0</v>
      </c>
      <c r="R12991" s="21" t="n">
        <v>0</v>
      </c>
      <c r="S12991" s="21" t="n">
        <v>0</v>
      </c>
      <c r="T12991" s="21" t="n">
        <v>0</v>
      </c>
      <c r="U12991" s="21" t="n">
        <v>0</v>
      </c>
      <c r="V12991" s="21" t="n">
        <v>0</v>
      </c>
      <c r="W12991" s="21" t="n">
        <v>0</v>
      </c>
      <c r="X12991" s="21" t="n">
        <v>0</v>
      </c>
      <c r="Y12991" s="21" t="n">
        <v>0</v>
      </c>
      <c r="Z12991" s="19" t="n"/>
    </row>
    <row r="12992">
      <c r="D12992" s="21" t="n">
        <v>0</v>
      </c>
      <c r="E12992" s="21" t="n">
        <v>0</v>
      </c>
      <c r="F12992" s="21" t="n">
        <v>0</v>
      </c>
      <c r="G12992" s="21" t="n">
        <v>0</v>
      </c>
      <c r="H12992" s="21" t="n">
        <v>0</v>
      </c>
      <c r="I12992" s="21" t="n">
        <v>0</v>
      </c>
      <c r="J12992" s="21">
        <f>-$B$12189</f>
        <v/>
      </c>
      <c r="K12992" s="21">
        <f>-$B$12190</f>
        <v/>
      </c>
      <c r="L12992" s="21">
        <f>2*$B$12189+$D$12976</f>
        <v/>
      </c>
      <c r="M12992" s="21">
        <f>0</f>
        <v/>
      </c>
      <c r="N12992" s="21">
        <f>-$B$12189</f>
        <v/>
      </c>
      <c r="O12992" s="21">
        <f>$B$12190</f>
        <v/>
      </c>
      <c r="P12992" s="21" t="n">
        <v>0</v>
      </c>
      <c r="Q12992" s="21" t="n">
        <v>0</v>
      </c>
      <c r="R12992" s="21" t="n">
        <v>0</v>
      </c>
      <c r="S12992" s="21" t="n">
        <v>0</v>
      </c>
      <c r="T12992" s="21" t="n">
        <v>0</v>
      </c>
      <c r="U12992" s="21" t="n">
        <v>0</v>
      </c>
      <c r="V12992" s="21" t="n">
        <v>0</v>
      </c>
      <c r="W12992" s="21" t="n">
        <v>0</v>
      </c>
      <c r="X12992" s="21" t="n">
        <v>0</v>
      </c>
      <c r="Y12992" s="21" t="n">
        <v>0</v>
      </c>
      <c r="Z12992" s="19" t="n"/>
    </row>
    <row r="12993">
      <c r="D12993" s="21" t="n">
        <v>0</v>
      </c>
      <c r="E12993" s="21" t="n">
        <v>0</v>
      </c>
      <c r="F12993" s="21" t="n">
        <v>0</v>
      </c>
      <c r="G12993" s="21" t="n">
        <v>0</v>
      </c>
      <c r="H12993" s="21" t="n">
        <v>0</v>
      </c>
      <c r="I12993" s="21" t="n">
        <v>0</v>
      </c>
      <c r="J12993" s="21">
        <f>$B$12190</f>
        <v/>
      </c>
      <c r="K12993" s="21">
        <f>$B$12192</f>
        <v/>
      </c>
      <c r="L12993" s="21">
        <f>0</f>
        <v/>
      </c>
      <c r="M12993" s="21">
        <f>2*$B$12191</f>
        <v/>
      </c>
      <c r="N12993" s="21">
        <f>-$B$12190</f>
        <v/>
      </c>
      <c r="O12993" s="21">
        <f>$B$12192</f>
        <v/>
      </c>
      <c r="P12993" s="21" t="n">
        <v>0</v>
      </c>
      <c r="Q12993" s="21" t="n">
        <v>0</v>
      </c>
      <c r="R12993" s="21" t="n">
        <v>0</v>
      </c>
      <c r="S12993" s="21" t="n">
        <v>0</v>
      </c>
      <c r="T12993" s="21" t="n">
        <v>0</v>
      </c>
      <c r="U12993" s="21" t="n">
        <v>0</v>
      </c>
      <c r="V12993" s="21" t="n">
        <v>0</v>
      </c>
      <c r="W12993" s="21" t="n">
        <v>0</v>
      </c>
      <c r="X12993" s="21" t="n">
        <v>0</v>
      </c>
      <c r="Y12993" s="21" t="n">
        <v>0</v>
      </c>
      <c r="Z12993" s="19" t="n"/>
    </row>
    <row r="12994">
      <c r="D12994" s="21" t="n">
        <v>0</v>
      </c>
      <c r="E12994" s="21" t="n">
        <v>0</v>
      </c>
      <c r="F12994" s="21" t="n">
        <v>0</v>
      </c>
      <c r="G12994" s="21" t="n">
        <v>0</v>
      </c>
      <c r="H12994" s="21" t="n">
        <v>0</v>
      </c>
      <c r="I12994" s="21" t="n">
        <v>0</v>
      </c>
      <c r="J12994" s="21" t="n">
        <v>0</v>
      </c>
      <c r="K12994" s="21" t="n">
        <v>0</v>
      </c>
      <c r="L12994" s="21">
        <f>-$B$12189</f>
        <v/>
      </c>
      <c r="M12994" s="21">
        <f>-$B$12190</f>
        <v/>
      </c>
      <c r="N12994" s="21">
        <f>2*$B$12189+$D$12977</f>
        <v/>
      </c>
      <c r="O12994" s="21">
        <f>0</f>
        <v/>
      </c>
      <c r="P12994" s="21">
        <f>-$B$12189</f>
        <v/>
      </c>
      <c r="Q12994" s="21">
        <f>$B$12190</f>
        <v/>
      </c>
      <c r="R12994" s="21" t="n">
        <v>0</v>
      </c>
      <c r="S12994" s="21" t="n">
        <v>0</v>
      </c>
      <c r="T12994" s="21" t="n">
        <v>0</v>
      </c>
      <c r="U12994" s="21" t="n">
        <v>0</v>
      </c>
      <c r="V12994" s="21" t="n">
        <v>0</v>
      </c>
      <c r="W12994" s="21" t="n">
        <v>0</v>
      </c>
      <c r="X12994" s="21" t="n">
        <v>0</v>
      </c>
      <c r="Y12994" s="21" t="n">
        <v>0</v>
      </c>
      <c r="Z12994" s="19" t="n"/>
    </row>
    <row r="12995">
      <c r="D12995" s="21" t="n">
        <v>0</v>
      </c>
      <c r="E12995" s="21" t="n">
        <v>0</v>
      </c>
      <c r="F12995" s="21" t="n">
        <v>0</v>
      </c>
      <c r="G12995" s="21" t="n">
        <v>0</v>
      </c>
      <c r="H12995" s="21" t="n">
        <v>0</v>
      </c>
      <c r="I12995" s="21" t="n">
        <v>0</v>
      </c>
      <c r="J12995" s="21" t="n">
        <v>0</v>
      </c>
      <c r="K12995" s="21" t="n">
        <v>0</v>
      </c>
      <c r="L12995" s="21">
        <f>$B$12190</f>
        <v/>
      </c>
      <c r="M12995" s="21">
        <f>$B$12192</f>
        <v/>
      </c>
      <c r="N12995" s="21">
        <f>0</f>
        <v/>
      </c>
      <c r="O12995" s="21">
        <f>2*$B$12191</f>
        <v/>
      </c>
      <c r="P12995" s="21">
        <f>-$B$12190</f>
        <v/>
      </c>
      <c r="Q12995" s="21">
        <f>$B$12192</f>
        <v/>
      </c>
      <c r="R12995" s="21" t="n">
        <v>0</v>
      </c>
      <c r="S12995" s="21" t="n">
        <v>0</v>
      </c>
      <c r="T12995" s="21" t="n">
        <v>0</v>
      </c>
      <c r="U12995" s="21" t="n">
        <v>0</v>
      </c>
      <c r="V12995" s="21" t="n">
        <v>0</v>
      </c>
      <c r="W12995" s="21" t="n">
        <v>0</v>
      </c>
      <c r="X12995" s="21" t="n">
        <v>0</v>
      </c>
      <c r="Y12995" s="21" t="n">
        <v>0</v>
      </c>
      <c r="Z12995" s="19" t="n"/>
    </row>
    <row r="12996">
      <c r="D12996" s="21" t="n">
        <v>0</v>
      </c>
      <c r="E12996" s="21" t="n">
        <v>0</v>
      </c>
      <c r="F12996" s="21" t="n">
        <v>0</v>
      </c>
      <c r="G12996" s="21" t="n">
        <v>0</v>
      </c>
      <c r="H12996" s="21" t="n">
        <v>0</v>
      </c>
      <c r="I12996" s="21" t="n">
        <v>0</v>
      </c>
      <c r="J12996" s="21" t="n">
        <v>0</v>
      </c>
      <c r="K12996" s="21" t="n">
        <v>0</v>
      </c>
      <c r="L12996" s="21" t="n">
        <v>0</v>
      </c>
      <c r="M12996" s="21" t="n">
        <v>0</v>
      </c>
      <c r="N12996" s="21">
        <f>-$B$12189</f>
        <v/>
      </c>
      <c r="O12996" s="21">
        <f>-$B$12190</f>
        <v/>
      </c>
      <c r="P12996" s="21">
        <f>2*$B$12189+$D$12978</f>
        <v/>
      </c>
      <c r="Q12996" s="21">
        <f>0</f>
        <v/>
      </c>
      <c r="R12996" s="21">
        <f>-$B$12189</f>
        <v/>
      </c>
      <c r="S12996" s="21">
        <f>$B$12190</f>
        <v/>
      </c>
      <c r="T12996" s="21" t="n">
        <v>0</v>
      </c>
      <c r="U12996" s="21" t="n">
        <v>0</v>
      </c>
      <c r="V12996" s="21" t="n">
        <v>0</v>
      </c>
      <c r="W12996" s="21" t="n">
        <v>0</v>
      </c>
      <c r="X12996" s="21" t="n">
        <v>0</v>
      </c>
      <c r="Y12996" s="21" t="n">
        <v>0</v>
      </c>
      <c r="Z12996" s="19" t="n"/>
    </row>
    <row r="12997">
      <c r="D12997" s="21" t="n">
        <v>0</v>
      </c>
      <c r="E12997" s="21" t="n">
        <v>0</v>
      </c>
      <c r="F12997" s="21" t="n">
        <v>0</v>
      </c>
      <c r="G12997" s="21" t="n">
        <v>0</v>
      </c>
      <c r="H12997" s="21" t="n">
        <v>0</v>
      </c>
      <c r="I12997" s="21" t="n">
        <v>0</v>
      </c>
      <c r="J12997" s="21" t="n">
        <v>0</v>
      </c>
      <c r="K12997" s="21" t="n">
        <v>0</v>
      </c>
      <c r="L12997" s="21" t="n">
        <v>0</v>
      </c>
      <c r="M12997" s="21" t="n">
        <v>0</v>
      </c>
      <c r="N12997" s="21">
        <f>$B$12190</f>
        <v/>
      </c>
      <c r="O12997" s="21">
        <f>$B$12192</f>
        <v/>
      </c>
      <c r="P12997" s="21">
        <f>0</f>
        <v/>
      </c>
      <c r="Q12997" s="21">
        <f>2*$B$12191</f>
        <v/>
      </c>
      <c r="R12997" s="21">
        <f>-$B$12190</f>
        <v/>
      </c>
      <c r="S12997" s="21">
        <f>$B$12192</f>
        <v/>
      </c>
      <c r="T12997" s="21" t="n">
        <v>0</v>
      </c>
      <c r="U12997" s="21" t="n">
        <v>0</v>
      </c>
      <c r="V12997" s="21" t="n">
        <v>0</v>
      </c>
      <c r="W12997" s="21" t="n">
        <v>0</v>
      </c>
      <c r="X12997" s="21" t="n">
        <v>0</v>
      </c>
      <c r="Y12997" s="21" t="n">
        <v>0</v>
      </c>
      <c r="Z12997" s="19" t="n"/>
    </row>
    <row r="12998">
      <c r="D12998" s="21" t="n">
        <v>0</v>
      </c>
      <c r="E12998" s="21" t="n">
        <v>0</v>
      </c>
      <c r="F12998" s="21" t="n">
        <v>0</v>
      </c>
      <c r="G12998" s="21" t="n">
        <v>0</v>
      </c>
      <c r="H12998" s="21" t="n">
        <v>0</v>
      </c>
      <c r="I12998" s="21" t="n">
        <v>0</v>
      </c>
      <c r="J12998" s="21" t="n">
        <v>0</v>
      </c>
      <c r="K12998" s="21" t="n">
        <v>0</v>
      </c>
      <c r="L12998" s="21" t="n">
        <v>0</v>
      </c>
      <c r="M12998" s="21" t="n">
        <v>0</v>
      </c>
      <c r="N12998" s="21" t="n">
        <v>0</v>
      </c>
      <c r="O12998" s="21" t="n">
        <v>0</v>
      </c>
      <c r="P12998" s="21">
        <f>-$B$12189</f>
        <v/>
      </c>
      <c r="Q12998" s="21">
        <f>-$B$12190</f>
        <v/>
      </c>
      <c r="R12998" s="21">
        <f>2*$B$12189+$D$12979</f>
        <v/>
      </c>
      <c r="S12998" s="21">
        <f>0</f>
        <v/>
      </c>
      <c r="T12998" s="21">
        <f>-$B$12189</f>
        <v/>
      </c>
      <c r="U12998" s="21">
        <f>$B$12190</f>
        <v/>
      </c>
      <c r="V12998" s="21" t="n">
        <v>0</v>
      </c>
      <c r="W12998" s="21" t="n">
        <v>0</v>
      </c>
      <c r="X12998" s="21" t="n">
        <v>0</v>
      </c>
      <c r="Y12998" s="21" t="n">
        <v>0</v>
      </c>
      <c r="Z12998" s="19" t="n"/>
    </row>
    <row r="12999">
      <c r="D12999" s="21" t="n">
        <v>0</v>
      </c>
      <c r="E12999" s="21" t="n">
        <v>0</v>
      </c>
      <c r="F12999" s="21" t="n">
        <v>0</v>
      </c>
      <c r="G12999" s="21" t="n">
        <v>0</v>
      </c>
      <c r="H12999" s="21" t="n">
        <v>0</v>
      </c>
      <c r="I12999" s="21" t="n">
        <v>0</v>
      </c>
      <c r="J12999" s="21" t="n">
        <v>0</v>
      </c>
      <c r="K12999" s="21" t="n">
        <v>0</v>
      </c>
      <c r="L12999" s="21" t="n">
        <v>0</v>
      </c>
      <c r="M12999" s="21" t="n">
        <v>0</v>
      </c>
      <c r="N12999" s="21" t="n">
        <v>0</v>
      </c>
      <c r="O12999" s="21" t="n">
        <v>0</v>
      </c>
      <c r="P12999" s="21">
        <f>$B$12190</f>
        <v/>
      </c>
      <c r="Q12999" s="21">
        <f>$B$12192</f>
        <v/>
      </c>
      <c r="R12999" s="21">
        <f>0</f>
        <v/>
      </c>
      <c r="S12999" s="21">
        <f>2*$B$12191</f>
        <v/>
      </c>
      <c r="T12999" s="21">
        <f>-$B$12190</f>
        <v/>
      </c>
      <c r="U12999" s="21">
        <f>$B$12192</f>
        <v/>
      </c>
      <c r="V12999" s="21" t="n">
        <v>0</v>
      </c>
      <c r="W12999" s="21" t="n">
        <v>0</v>
      </c>
      <c r="X12999" s="21" t="n">
        <v>0</v>
      </c>
      <c r="Y12999" s="21" t="n">
        <v>0</v>
      </c>
      <c r="Z12999" s="19" t="n"/>
    </row>
    <row r="13000">
      <c r="D13000" s="21" t="n">
        <v>0</v>
      </c>
      <c r="E13000" s="21" t="n">
        <v>0</v>
      </c>
      <c r="F13000" s="21" t="n">
        <v>0</v>
      </c>
      <c r="G13000" s="21" t="n">
        <v>0</v>
      </c>
      <c r="H13000" s="21" t="n">
        <v>0</v>
      </c>
      <c r="I13000" s="21" t="n">
        <v>0</v>
      </c>
      <c r="J13000" s="21" t="n">
        <v>0</v>
      </c>
      <c r="K13000" s="21" t="n">
        <v>0</v>
      </c>
      <c r="L13000" s="21" t="n">
        <v>0</v>
      </c>
      <c r="M13000" s="21" t="n">
        <v>0</v>
      </c>
      <c r="N13000" s="21" t="n">
        <v>0</v>
      </c>
      <c r="O13000" s="21" t="n">
        <v>0</v>
      </c>
      <c r="P13000" s="21" t="n">
        <v>0</v>
      </c>
      <c r="Q13000" s="21" t="n">
        <v>0</v>
      </c>
      <c r="R13000" s="21">
        <f>-$B$12189</f>
        <v/>
      </c>
      <c r="S13000" s="21">
        <f>-$B$12190</f>
        <v/>
      </c>
      <c r="T13000" s="21">
        <f>2*$B$12189+$D$12980</f>
        <v/>
      </c>
      <c r="U13000" s="21">
        <f>0</f>
        <v/>
      </c>
      <c r="V13000" s="21">
        <f>-$B$12189</f>
        <v/>
      </c>
      <c r="W13000" s="21">
        <f>$B$12190</f>
        <v/>
      </c>
      <c r="X13000" s="21" t="n">
        <v>0</v>
      </c>
      <c r="Y13000" s="21" t="n">
        <v>0</v>
      </c>
      <c r="Z13000" s="19" t="n"/>
    </row>
    <row r="13001">
      <c r="D13001" s="21" t="n">
        <v>0</v>
      </c>
      <c r="E13001" s="21" t="n">
        <v>0</v>
      </c>
      <c r="F13001" s="21" t="n">
        <v>0</v>
      </c>
      <c r="G13001" s="21" t="n">
        <v>0</v>
      </c>
      <c r="H13001" s="21" t="n">
        <v>0</v>
      </c>
      <c r="I13001" s="21" t="n">
        <v>0</v>
      </c>
      <c r="J13001" s="21" t="n">
        <v>0</v>
      </c>
      <c r="K13001" s="21" t="n">
        <v>0</v>
      </c>
      <c r="L13001" s="21" t="n">
        <v>0</v>
      </c>
      <c r="M13001" s="21" t="n">
        <v>0</v>
      </c>
      <c r="N13001" s="21" t="n">
        <v>0</v>
      </c>
      <c r="O13001" s="21" t="n">
        <v>0</v>
      </c>
      <c r="P13001" s="21" t="n">
        <v>0</v>
      </c>
      <c r="Q13001" s="21" t="n">
        <v>0</v>
      </c>
      <c r="R13001" s="21">
        <f>$B$12190</f>
        <v/>
      </c>
      <c r="S13001" s="21">
        <f>$B$12192</f>
        <v/>
      </c>
      <c r="T13001" s="21">
        <f>0</f>
        <v/>
      </c>
      <c r="U13001" s="21">
        <f>2*$B$12191</f>
        <v/>
      </c>
      <c r="V13001" s="21">
        <f>-$B$12190</f>
        <v/>
      </c>
      <c r="W13001" s="21">
        <f>$B$12192</f>
        <v/>
      </c>
      <c r="X13001" s="21" t="n">
        <v>0</v>
      </c>
      <c r="Y13001" s="21" t="n">
        <v>0</v>
      </c>
      <c r="Z13001" s="19" t="n"/>
    </row>
    <row r="13002">
      <c r="D13002" s="21" t="n">
        <v>0</v>
      </c>
      <c r="E13002" s="21" t="n">
        <v>0</v>
      </c>
      <c r="F13002" s="21" t="n">
        <v>0</v>
      </c>
      <c r="G13002" s="21" t="n">
        <v>0</v>
      </c>
      <c r="H13002" s="21" t="n">
        <v>0</v>
      </c>
      <c r="I13002" s="21" t="n">
        <v>0</v>
      </c>
      <c r="J13002" s="21" t="n">
        <v>0</v>
      </c>
      <c r="K13002" s="21" t="n">
        <v>0</v>
      </c>
      <c r="L13002" s="21" t="n">
        <v>0</v>
      </c>
      <c r="M13002" s="21" t="n">
        <v>0</v>
      </c>
      <c r="N13002" s="21" t="n">
        <v>0</v>
      </c>
      <c r="O13002" s="21" t="n">
        <v>0</v>
      </c>
      <c r="P13002" s="21" t="n">
        <v>0</v>
      </c>
      <c r="Q13002" s="21" t="n">
        <v>0</v>
      </c>
      <c r="R13002" s="21" t="n">
        <v>0</v>
      </c>
      <c r="S13002" s="21" t="n">
        <v>0</v>
      </c>
      <c r="T13002" s="21">
        <f>-$B$12189</f>
        <v/>
      </c>
      <c r="U13002" s="21">
        <f>-$B$12190</f>
        <v/>
      </c>
      <c r="V13002" s="21">
        <f>2*$B$12189+$D$12981</f>
        <v/>
      </c>
      <c r="W13002" s="21">
        <f>0</f>
        <v/>
      </c>
      <c r="X13002" s="21">
        <f>-$B$12189</f>
        <v/>
      </c>
      <c r="Y13002" s="21">
        <f>$B$12190</f>
        <v/>
      </c>
      <c r="Z13002" s="19" t="n"/>
    </row>
    <row r="13003">
      <c r="D13003" s="21" t="n">
        <v>0</v>
      </c>
      <c r="E13003" s="21" t="n">
        <v>0</v>
      </c>
      <c r="F13003" s="21" t="n">
        <v>0</v>
      </c>
      <c r="G13003" s="21" t="n">
        <v>0</v>
      </c>
      <c r="H13003" s="21" t="n">
        <v>0</v>
      </c>
      <c r="I13003" s="21" t="n">
        <v>0</v>
      </c>
      <c r="J13003" s="21" t="n">
        <v>0</v>
      </c>
      <c r="K13003" s="21" t="n">
        <v>0</v>
      </c>
      <c r="L13003" s="21" t="n">
        <v>0</v>
      </c>
      <c r="M13003" s="21" t="n">
        <v>0</v>
      </c>
      <c r="N13003" s="21" t="n">
        <v>0</v>
      </c>
      <c r="O13003" s="21" t="n">
        <v>0</v>
      </c>
      <c r="P13003" s="21" t="n">
        <v>0</v>
      </c>
      <c r="Q13003" s="21" t="n">
        <v>0</v>
      </c>
      <c r="R13003" s="21" t="n">
        <v>0</v>
      </c>
      <c r="S13003" s="21" t="n">
        <v>0</v>
      </c>
      <c r="T13003" s="21">
        <f>$B$12190</f>
        <v/>
      </c>
      <c r="U13003" s="21">
        <f>$B$12192</f>
        <v/>
      </c>
      <c r="V13003" s="21">
        <f>0</f>
        <v/>
      </c>
      <c r="W13003" s="21">
        <f>2*$B$12191</f>
        <v/>
      </c>
      <c r="X13003" s="21">
        <f>-$B$12190</f>
        <v/>
      </c>
      <c r="Y13003" s="21">
        <f>$B$12192</f>
        <v/>
      </c>
      <c r="Z13003" s="19" t="n"/>
    </row>
    <row r="13004">
      <c r="D13004" s="21" t="n">
        <v>0</v>
      </c>
      <c r="E13004" s="21" t="n">
        <v>0</v>
      </c>
      <c r="F13004" s="21" t="n">
        <v>0</v>
      </c>
      <c r="G13004" s="21" t="n">
        <v>0</v>
      </c>
      <c r="H13004" s="21" t="n">
        <v>0</v>
      </c>
      <c r="I13004" s="21" t="n">
        <v>0</v>
      </c>
      <c r="J13004" s="21" t="n">
        <v>0</v>
      </c>
      <c r="K13004" s="21" t="n">
        <v>0</v>
      </c>
      <c r="L13004" s="21" t="n">
        <v>0</v>
      </c>
      <c r="M13004" s="21" t="n">
        <v>0</v>
      </c>
      <c r="N13004" s="21" t="n">
        <v>0</v>
      </c>
      <c r="O13004" s="21" t="n">
        <v>0</v>
      </c>
      <c r="P13004" s="21" t="n">
        <v>0</v>
      </c>
      <c r="Q13004" s="21" t="n">
        <v>0</v>
      </c>
      <c r="R13004" s="21" t="n">
        <v>0</v>
      </c>
      <c r="S13004" s="21" t="n">
        <v>0</v>
      </c>
      <c r="T13004" s="21" t="n">
        <v>0</v>
      </c>
      <c r="U13004" s="21" t="n">
        <v>0</v>
      </c>
      <c r="V13004" s="21">
        <f>-$B$12189</f>
        <v/>
      </c>
      <c r="W13004" s="21">
        <f>-$B$12190</f>
        <v/>
      </c>
      <c r="X13004" s="21">
        <f>$B$12189+$D$12982</f>
        <v/>
      </c>
      <c r="Y13004" s="21">
        <f>-$B$12190</f>
        <v/>
      </c>
      <c r="Z13004" s="19" t="n"/>
    </row>
    <row r="13005">
      <c r="D13005" s="21" t="n">
        <v>0</v>
      </c>
      <c r="E13005" s="21" t="n">
        <v>0</v>
      </c>
      <c r="F13005" s="21" t="n">
        <v>0</v>
      </c>
      <c r="G13005" s="21" t="n">
        <v>0</v>
      </c>
      <c r="H13005" s="21" t="n">
        <v>0</v>
      </c>
      <c r="I13005" s="21" t="n">
        <v>0</v>
      </c>
      <c r="J13005" s="21" t="n">
        <v>0</v>
      </c>
      <c r="K13005" s="21" t="n">
        <v>0</v>
      </c>
      <c r="L13005" s="21" t="n">
        <v>0</v>
      </c>
      <c r="M13005" s="21" t="n">
        <v>0</v>
      </c>
      <c r="N13005" s="21" t="n">
        <v>0</v>
      </c>
      <c r="O13005" s="21" t="n">
        <v>0</v>
      </c>
      <c r="P13005" s="21" t="n">
        <v>0</v>
      </c>
      <c r="Q13005" s="21" t="n">
        <v>0</v>
      </c>
      <c r="R13005" s="21" t="n">
        <v>0</v>
      </c>
      <c r="S13005" s="21" t="n">
        <v>0</v>
      </c>
      <c r="T13005" s="21" t="n">
        <v>0</v>
      </c>
      <c r="U13005" s="21" t="n">
        <v>0</v>
      </c>
      <c r="V13005" s="21">
        <f>$B$12190</f>
        <v/>
      </c>
      <c r="W13005" s="21">
        <f>$B$12192</f>
        <v/>
      </c>
      <c r="X13005" s="21">
        <f>-$B$12190</f>
        <v/>
      </c>
      <c r="Y13005" s="21">
        <f>$B$12191</f>
        <v/>
      </c>
      <c r="Z13005" s="19" t="n"/>
    </row>
    <row r="13007">
      <c r="A13007" s="8" t="inlineStr">
        <is>
          <t>gen 22</t>
        </is>
      </c>
    </row>
    <row r="13008">
      <c r="D13008" s="19">
        <f>IF(ABS(IF(ABS($E$12972)&gt;0.000000001,$E$12972,0.000000001))=0,0,IF($E$12204&lt;=$B$12198,0,IF(ABS(IF(ABS($E$12972)&gt;0.000000001,$E$12972,0.000000001))&gt;=8*$B$12200,$H$12204,0.5*$H$12204*(ABS(IF(ABS($E$12972)&gt;0.000000001,$E$12972,0.000000001))/$B$12200)^(1/3)))/ABS(IF(ABS($E$12972)&gt;0.000000001,$E$12972,0.000000001))*$I$12204)</f>
        <v/>
      </c>
      <c r="E13008" s="19">
        <f>0.5*$E$12972+0.5*$Z$13020</f>
        <v/>
      </c>
      <c r="F13008" s="19">
        <f>$Z$13021</f>
        <v/>
      </c>
    </row>
    <row r="13009">
      <c r="D13009" s="19">
        <f>IF(ABS(IF(ABS($E$12973)&gt;0.000000001,$E$12973,0.000000001))=0,0,IF($E$12205&lt;=$B$12198,0,IF(ABS(IF(ABS($E$12973)&gt;0.000000001,$E$12973,0.000000001))&gt;=8*$B$12200,$H$12205,0.5*$H$12205*(ABS(IF(ABS($E$12973)&gt;0.000000001,$E$12973,0.000000001))/$B$12200)^(1/3)))/ABS(IF(ABS($E$12973)&gt;0.000000001,$E$12973,0.000000001))*$I$12205)</f>
        <v/>
      </c>
      <c r="E13009" s="19">
        <f>0.5*$E$12973+0.5*$Z$13022</f>
        <v/>
      </c>
      <c r="F13009" s="19">
        <f>$Z$13023</f>
        <v/>
      </c>
    </row>
    <row r="13010">
      <c r="D13010" s="19">
        <f>IF(ABS(IF(ABS($E$12974)&gt;0.000000001,$E$12974,0.000000001))=0,0,IF($E$12206&lt;=$B$12198,0,IF(ABS(IF(ABS($E$12974)&gt;0.000000001,$E$12974,0.000000001))&gt;=8*$B$12200,$H$12206,0.5*$H$12206*(ABS(IF(ABS($E$12974)&gt;0.000000001,$E$12974,0.000000001))/$B$12200)^(1/3)))/ABS(IF(ABS($E$12974)&gt;0.000000001,$E$12974,0.000000001))*$I$12206)</f>
        <v/>
      </c>
      <c r="E13010" s="19">
        <f>0.5*$E$12974+0.5*$Z$13024</f>
        <v/>
      </c>
      <c r="F13010" s="19">
        <f>$Z$13025</f>
        <v/>
      </c>
    </row>
    <row r="13011">
      <c r="D13011" s="19">
        <f>IF(ABS(IF(ABS($E$12975)&gt;0.000000001,$E$12975,0.000000001))=0,0,IF($E$12207&lt;=$B$12198,0,IF(ABS(IF(ABS($E$12975)&gt;0.000000001,$E$12975,0.000000001))&gt;=8*$B$12200,$H$12207,0.5*$H$12207*(ABS(IF(ABS($E$12975)&gt;0.000000001,$E$12975,0.000000001))/$B$12200)^(1/3)))/ABS(IF(ABS($E$12975)&gt;0.000000001,$E$12975,0.000000001))*$I$12207)</f>
        <v/>
      </c>
      <c r="E13011" s="19">
        <f>0.5*$E$12975+0.5*$Z$13026</f>
        <v/>
      </c>
      <c r="F13011" s="19">
        <f>$Z$13027</f>
        <v/>
      </c>
    </row>
    <row r="13012">
      <c r="D13012" s="19">
        <f>IF(ABS(IF(ABS($E$12976)&gt;0.000000001,$E$12976,0.000000001))=0,0,IF($E$12208&lt;=$B$12198,0,IF(ABS(IF(ABS($E$12976)&gt;0.000000001,$E$12976,0.000000001))&gt;=8*$B$12200,$H$12208,0.5*$H$12208*(ABS(IF(ABS($E$12976)&gt;0.000000001,$E$12976,0.000000001))/$B$12200)^(1/3)))/ABS(IF(ABS($E$12976)&gt;0.000000001,$E$12976,0.000000001))*$I$12208)</f>
        <v/>
      </c>
      <c r="E13012" s="19">
        <f>0.5*$E$12976+0.5*$Z$13028</f>
        <v/>
      </c>
      <c r="F13012" s="19">
        <f>$Z$13029</f>
        <v/>
      </c>
    </row>
    <row r="13013">
      <c r="D13013" s="19">
        <f>IF(ABS(IF(ABS($E$12977)&gt;0.000000001,$E$12977,0.000000001))=0,0,IF($E$12209&lt;=$B$12198,0,IF(ABS(IF(ABS($E$12977)&gt;0.000000001,$E$12977,0.000000001))&gt;=8*$B$12200,$H$12209,0.5*$H$12209*(ABS(IF(ABS($E$12977)&gt;0.000000001,$E$12977,0.000000001))/$B$12200)^(1/3)))/ABS(IF(ABS($E$12977)&gt;0.000000001,$E$12977,0.000000001))*$I$12209)</f>
        <v/>
      </c>
      <c r="E13013" s="19">
        <f>0.5*$E$12977+0.5*$Z$13030</f>
        <v/>
      </c>
      <c r="F13013" s="19">
        <f>$Z$13031</f>
        <v/>
      </c>
    </row>
    <row r="13014">
      <c r="D13014" s="19">
        <f>IF(ABS(IF(ABS($E$12978)&gt;0.000000001,$E$12978,0.000000001))=0,0,IF($E$12210&lt;=$B$12198,0,IF(ABS(IF(ABS($E$12978)&gt;0.000000001,$E$12978,0.000000001))&gt;=8*$B$12200,$H$12210,0.5*$H$12210*(ABS(IF(ABS($E$12978)&gt;0.000000001,$E$12978,0.000000001))/$B$12200)^(1/3)))/ABS(IF(ABS($E$12978)&gt;0.000000001,$E$12978,0.000000001))*$I$12210)</f>
        <v/>
      </c>
      <c r="E13014" s="19">
        <f>0.5*$E$12978+0.5*$Z$13032</f>
        <v/>
      </c>
      <c r="F13014" s="19">
        <f>$Z$13033</f>
        <v/>
      </c>
    </row>
    <row r="13015">
      <c r="D13015" s="19">
        <f>IF(ABS(IF(ABS($E$12979)&gt;0.000000001,$E$12979,0.000000001))=0,0,IF($E$12211&lt;=$B$12198,0,IF(ABS(IF(ABS($E$12979)&gt;0.000000001,$E$12979,0.000000001))&gt;=8*$B$12200,$H$12211,0.5*$H$12211*(ABS(IF(ABS($E$12979)&gt;0.000000001,$E$12979,0.000000001))/$B$12200)^(1/3)))/ABS(IF(ABS($E$12979)&gt;0.000000001,$E$12979,0.000000001))*$I$12211)</f>
        <v/>
      </c>
      <c r="E13015" s="19">
        <f>0.5*$E$12979+0.5*$Z$13034</f>
        <v/>
      </c>
      <c r="F13015" s="19">
        <f>$Z$13035</f>
        <v/>
      </c>
    </row>
    <row r="13016">
      <c r="D13016" s="19">
        <f>IF(ABS(IF(ABS($E$12980)&gt;0.000000001,$E$12980,0.000000001))=0,0,IF($E$12212&lt;=$B$12198,0,IF(ABS(IF(ABS($E$12980)&gt;0.000000001,$E$12980,0.000000001))&gt;=8*$B$12200,$H$12212,0.5*$H$12212*(ABS(IF(ABS($E$12980)&gt;0.000000001,$E$12980,0.000000001))/$B$12200)^(1/3)))/ABS(IF(ABS($E$12980)&gt;0.000000001,$E$12980,0.000000001))*$I$12212)</f>
        <v/>
      </c>
      <c r="E13016" s="19">
        <f>0.5*$E$12980+0.5*$Z$13036</f>
        <v/>
      </c>
      <c r="F13016" s="19">
        <f>$Z$13037</f>
        <v/>
      </c>
    </row>
    <row r="13017">
      <c r="D13017" s="19">
        <f>IF(ABS(IF(ABS($E$12981)&gt;0.000000001,$E$12981,0.000000001))=0,0,IF($E$12213&lt;=$B$12198,0,IF(ABS(IF(ABS($E$12981)&gt;0.000000001,$E$12981,0.000000001))&gt;=8*$B$12200,$H$12213,0.5*$H$12213*(ABS(IF(ABS($E$12981)&gt;0.000000001,$E$12981,0.000000001))/$B$12200)^(1/3)))/ABS(IF(ABS($E$12981)&gt;0.000000001,$E$12981,0.000000001))*$I$12213)</f>
        <v/>
      </c>
      <c r="E13017" s="19">
        <f>0.5*$E$12981+0.5*$Z$13038</f>
        <v/>
      </c>
      <c r="F13017" s="19">
        <f>$Z$13039</f>
        <v/>
      </c>
    </row>
    <row r="13018">
      <c r="D13018" s="19">
        <f>IF(ABS(IF(ABS($E$12982)&gt;0.000000001,$E$12982,0.000000001))=0,0,IF($E$12214&lt;=$B$12198,0,IF(ABS(IF(ABS($E$12982)&gt;0.000000001,$E$12982,0.000000001))&gt;=8*$B$12200,$H$12214,0.5*$H$12214*(ABS(IF(ABS($E$12982)&gt;0.000000001,$E$12982,0.000000001))/$B$12200)^(1/3)))/ABS(IF(ABS($E$12982)&gt;0.000000001,$E$12982,0.000000001))*$I$12214)</f>
        <v/>
      </c>
      <c r="E13018" s="19">
        <f>0.5*$E$12982+0.5*$Z$13040</f>
        <v/>
      </c>
      <c r="F13018" s="19">
        <f>$Z$13041</f>
        <v/>
      </c>
    </row>
    <row r="13020">
      <c r="D13020" s="21">
        <f>$B$12189+$D$13008</f>
        <v/>
      </c>
      <c r="E13020" s="21">
        <f>$B$12190</f>
        <v/>
      </c>
      <c r="F13020" s="21">
        <f>-$B$12189</f>
        <v/>
      </c>
      <c r="G13020" s="21">
        <f>$B$12190</f>
        <v/>
      </c>
      <c r="H13020" s="21" t="n">
        <v>0</v>
      </c>
      <c r="I13020" s="21" t="n">
        <v>0</v>
      </c>
      <c r="J13020" s="21" t="n">
        <v>0</v>
      </c>
      <c r="K13020" s="21" t="n">
        <v>0</v>
      </c>
      <c r="L13020" s="21" t="n">
        <v>0</v>
      </c>
      <c r="M13020" s="21" t="n">
        <v>0</v>
      </c>
      <c r="N13020" s="21" t="n">
        <v>0</v>
      </c>
      <c r="O13020" s="21" t="n">
        <v>0</v>
      </c>
      <c r="P13020" s="21" t="n">
        <v>0</v>
      </c>
      <c r="Q13020" s="21" t="n">
        <v>0</v>
      </c>
      <c r="R13020" s="21" t="n">
        <v>0</v>
      </c>
      <c r="S13020" s="21" t="n">
        <v>0</v>
      </c>
      <c r="T13020" s="21" t="n">
        <v>0</v>
      </c>
      <c r="U13020" s="21" t="n">
        <v>0</v>
      </c>
      <c r="V13020" s="21" t="n">
        <v>0</v>
      </c>
      <c r="W13020" s="21" t="n">
        <v>0</v>
      </c>
      <c r="X13020" s="21" t="n">
        <v>0</v>
      </c>
      <c r="Y13020" s="21" t="n">
        <v>0</v>
      </c>
      <c r="Z13020" s="19">
        <f t="array" ref="Z13020:Z13041">MMULT(MINVERSE($D$13020:$Y$13041),$D$12216:$D$12237)</f>
        <v/>
      </c>
    </row>
    <row r="13021">
      <c r="D13021" s="21">
        <f>$B$12190</f>
        <v/>
      </c>
      <c r="E13021" s="21">
        <f>$B$12191</f>
        <v/>
      </c>
      <c r="F13021" s="21">
        <f>-$B$12190</f>
        <v/>
      </c>
      <c r="G13021" s="21">
        <f>$B$12192</f>
        <v/>
      </c>
      <c r="H13021" s="21" t="n">
        <v>0</v>
      </c>
      <c r="I13021" s="21" t="n">
        <v>0</v>
      </c>
      <c r="J13021" s="21" t="n">
        <v>0</v>
      </c>
      <c r="K13021" s="21" t="n">
        <v>0</v>
      </c>
      <c r="L13021" s="21" t="n">
        <v>0</v>
      </c>
      <c r="M13021" s="21" t="n">
        <v>0</v>
      </c>
      <c r="N13021" s="21" t="n">
        <v>0</v>
      </c>
      <c r="O13021" s="21" t="n">
        <v>0</v>
      </c>
      <c r="P13021" s="21" t="n">
        <v>0</v>
      </c>
      <c r="Q13021" s="21" t="n">
        <v>0</v>
      </c>
      <c r="R13021" s="21" t="n">
        <v>0</v>
      </c>
      <c r="S13021" s="21" t="n">
        <v>0</v>
      </c>
      <c r="T13021" s="21" t="n">
        <v>0</v>
      </c>
      <c r="U13021" s="21" t="n">
        <v>0</v>
      </c>
      <c r="V13021" s="21" t="n">
        <v>0</v>
      </c>
      <c r="W13021" s="21" t="n">
        <v>0</v>
      </c>
      <c r="X13021" s="21" t="n">
        <v>0</v>
      </c>
      <c r="Y13021" s="21" t="n">
        <v>0</v>
      </c>
      <c r="Z13021" s="19" t="n"/>
    </row>
    <row r="13022">
      <c r="D13022" s="21">
        <f>-$B$12189</f>
        <v/>
      </c>
      <c r="E13022" s="21">
        <f>-$B$12190</f>
        <v/>
      </c>
      <c r="F13022" s="21">
        <f>2*$B$12189+$D$13009</f>
        <v/>
      </c>
      <c r="G13022" s="21">
        <f>0</f>
        <v/>
      </c>
      <c r="H13022" s="21">
        <f>-$B$12189</f>
        <v/>
      </c>
      <c r="I13022" s="21">
        <f>$B$12190</f>
        <v/>
      </c>
      <c r="J13022" s="21" t="n">
        <v>0</v>
      </c>
      <c r="K13022" s="21" t="n">
        <v>0</v>
      </c>
      <c r="L13022" s="21" t="n">
        <v>0</v>
      </c>
      <c r="M13022" s="21" t="n">
        <v>0</v>
      </c>
      <c r="N13022" s="21" t="n">
        <v>0</v>
      </c>
      <c r="O13022" s="21" t="n">
        <v>0</v>
      </c>
      <c r="P13022" s="21" t="n">
        <v>0</v>
      </c>
      <c r="Q13022" s="21" t="n">
        <v>0</v>
      </c>
      <c r="R13022" s="21" t="n">
        <v>0</v>
      </c>
      <c r="S13022" s="21" t="n">
        <v>0</v>
      </c>
      <c r="T13022" s="21" t="n">
        <v>0</v>
      </c>
      <c r="U13022" s="21" t="n">
        <v>0</v>
      </c>
      <c r="V13022" s="21" t="n">
        <v>0</v>
      </c>
      <c r="W13022" s="21" t="n">
        <v>0</v>
      </c>
      <c r="X13022" s="21" t="n">
        <v>0</v>
      </c>
      <c r="Y13022" s="21" t="n">
        <v>0</v>
      </c>
      <c r="Z13022" s="19" t="n"/>
    </row>
    <row r="13023">
      <c r="D13023" s="21">
        <f>$B$12190</f>
        <v/>
      </c>
      <c r="E13023" s="21">
        <f>$B$12192</f>
        <v/>
      </c>
      <c r="F13023" s="21">
        <f>0</f>
        <v/>
      </c>
      <c r="G13023" s="21">
        <f>2*$B$12191</f>
        <v/>
      </c>
      <c r="H13023" s="21">
        <f>-$B$12190</f>
        <v/>
      </c>
      <c r="I13023" s="21">
        <f>$B$12192</f>
        <v/>
      </c>
      <c r="J13023" s="21" t="n">
        <v>0</v>
      </c>
      <c r="K13023" s="21" t="n">
        <v>0</v>
      </c>
      <c r="L13023" s="21" t="n">
        <v>0</v>
      </c>
      <c r="M13023" s="21" t="n">
        <v>0</v>
      </c>
      <c r="N13023" s="21" t="n">
        <v>0</v>
      </c>
      <c r="O13023" s="21" t="n">
        <v>0</v>
      </c>
      <c r="P13023" s="21" t="n">
        <v>0</v>
      </c>
      <c r="Q13023" s="21" t="n">
        <v>0</v>
      </c>
      <c r="R13023" s="21" t="n">
        <v>0</v>
      </c>
      <c r="S13023" s="21" t="n">
        <v>0</v>
      </c>
      <c r="T13023" s="21" t="n">
        <v>0</v>
      </c>
      <c r="U13023" s="21" t="n">
        <v>0</v>
      </c>
      <c r="V13023" s="21" t="n">
        <v>0</v>
      </c>
      <c r="W13023" s="21" t="n">
        <v>0</v>
      </c>
      <c r="X13023" s="21" t="n">
        <v>0</v>
      </c>
      <c r="Y13023" s="21" t="n">
        <v>0</v>
      </c>
      <c r="Z13023" s="19" t="n"/>
    </row>
    <row r="13024">
      <c r="D13024" s="21" t="n">
        <v>0</v>
      </c>
      <c r="E13024" s="21" t="n">
        <v>0</v>
      </c>
      <c r="F13024" s="21">
        <f>-$B$12189</f>
        <v/>
      </c>
      <c r="G13024" s="21">
        <f>-$B$12190</f>
        <v/>
      </c>
      <c r="H13024" s="21">
        <f>2*$B$12189+$D$13010</f>
        <v/>
      </c>
      <c r="I13024" s="21">
        <f>0</f>
        <v/>
      </c>
      <c r="J13024" s="21">
        <f>-$B$12189</f>
        <v/>
      </c>
      <c r="K13024" s="21">
        <f>$B$12190</f>
        <v/>
      </c>
      <c r="L13024" s="21" t="n">
        <v>0</v>
      </c>
      <c r="M13024" s="21" t="n">
        <v>0</v>
      </c>
      <c r="N13024" s="21" t="n">
        <v>0</v>
      </c>
      <c r="O13024" s="21" t="n">
        <v>0</v>
      </c>
      <c r="P13024" s="21" t="n">
        <v>0</v>
      </c>
      <c r="Q13024" s="21" t="n">
        <v>0</v>
      </c>
      <c r="R13024" s="21" t="n">
        <v>0</v>
      </c>
      <c r="S13024" s="21" t="n">
        <v>0</v>
      </c>
      <c r="T13024" s="21" t="n">
        <v>0</v>
      </c>
      <c r="U13024" s="21" t="n">
        <v>0</v>
      </c>
      <c r="V13024" s="21" t="n">
        <v>0</v>
      </c>
      <c r="W13024" s="21" t="n">
        <v>0</v>
      </c>
      <c r="X13024" s="21" t="n">
        <v>0</v>
      </c>
      <c r="Y13024" s="21" t="n">
        <v>0</v>
      </c>
      <c r="Z13024" s="19" t="n"/>
    </row>
    <row r="13025">
      <c r="D13025" s="21" t="n">
        <v>0</v>
      </c>
      <c r="E13025" s="21" t="n">
        <v>0</v>
      </c>
      <c r="F13025" s="21">
        <f>$B$12190</f>
        <v/>
      </c>
      <c r="G13025" s="21">
        <f>$B$12192</f>
        <v/>
      </c>
      <c r="H13025" s="21">
        <f>0</f>
        <v/>
      </c>
      <c r="I13025" s="21">
        <f>2*$B$12191</f>
        <v/>
      </c>
      <c r="J13025" s="21">
        <f>-$B$12190</f>
        <v/>
      </c>
      <c r="K13025" s="21">
        <f>$B$12192</f>
        <v/>
      </c>
      <c r="L13025" s="21" t="n">
        <v>0</v>
      </c>
      <c r="M13025" s="21" t="n">
        <v>0</v>
      </c>
      <c r="N13025" s="21" t="n">
        <v>0</v>
      </c>
      <c r="O13025" s="21" t="n">
        <v>0</v>
      </c>
      <c r="P13025" s="21" t="n">
        <v>0</v>
      </c>
      <c r="Q13025" s="21" t="n">
        <v>0</v>
      </c>
      <c r="R13025" s="21" t="n">
        <v>0</v>
      </c>
      <c r="S13025" s="21" t="n">
        <v>0</v>
      </c>
      <c r="T13025" s="21" t="n">
        <v>0</v>
      </c>
      <c r="U13025" s="21" t="n">
        <v>0</v>
      </c>
      <c r="V13025" s="21" t="n">
        <v>0</v>
      </c>
      <c r="W13025" s="21" t="n">
        <v>0</v>
      </c>
      <c r="X13025" s="21" t="n">
        <v>0</v>
      </c>
      <c r="Y13025" s="21" t="n">
        <v>0</v>
      </c>
      <c r="Z13025" s="19" t="n"/>
    </row>
    <row r="13026">
      <c r="D13026" s="21" t="n">
        <v>0</v>
      </c>
      <c r="E13026" s="21" t="n">
        <v>0</v>
      </c>
      <c r="F13026" s="21" t="n">
        <v>0</v>
      </c>
      <c r="G13026" s="21" t="n">
        <v>0</v>
      </c>
      <c r="H13026" s="21">
        <f>-$B$12189</f>
        <v/>
      </c>
      <c r="I13026" s="21">
        <f>-$B$12190</f>
        <v/>
      </c>
      <c r="J13026" s="21">
        <f>2*$B$12189+$D$13011</f>
        <v/>
      </c>
      <c r="K13026" s="21">
        <f>0</f>
        <v/>
      </c>
      <c r="L13026" s="21">
        <f>-$B$12189</f>
        <v/>
      </c>
      <c r="M13026" s="21">
        <f>$B$12190</f>
        <v/>
      </c>
      <c r="N13026" s="21" t="n">
        <v>0</v>
      </c>
      <c r="O13026" s="21" t="n">
        <v>0</v>
      </c>
      <c r="P13026" s="21" t="n">
        <v>0</v>
      </c>
      <c r="Q13026" s="21" t="n">
        <v>0</v>
      </c>
      <c r="R13026" s="21" t="n">
        <v>0</v>
      </c>
      <c r="S13026" s="21" t="n">
        <v>0</v>
      </c>
      <c r="T13026" s="21" t="n">
        <v>0</v>
      </c>
      <c r="U13026" s="21" t="n">
        <v>0</v>
      </c>
      <c r="V13026" s="21" t="n">
        <v>0</v>
      </c>
      <c r="W13026" s="21" t="n">
        <v>0</v>
      </c>
      <c r="X13026" s="21" t="n">
        <v>0</v>
      </c>
      <c r="Y13026" s="21" t="n">
        <v>0</v>
      </c>
      <c r="Z13026" s="19" t="n"/>
    </row>
    <row r="13027">
      <c r="D13027" s="21" t="n">
        <v>0</v>
      </c>
      <c r="E13027" s="21" t="n">
        <v>0</v>
      </c>
      <c r="F13027" s="21" t="n">
        <v>0</v>
      </c>
      <c r="G13027" s="21" t="n">
        <v>0</v>
      </c>
      <c r="H13027" s="21">
        <f>$B$12190</f>
        <v/>
      </c>
      <c r="I13027" s="21">
        <f>$B$12192</f>
        <v/>
      </c>
      <c r="J13027" s="21">
        <f>0</f>
        <v/>
      </c>
      <c r="K13027" s="21">
        <f>2*$B$12191</f>
        <v/>
      </c>
      <c r="L13027" s="21">
        <f>-$B$12190</f>
        <v/>
      </c>
      <c r="M13027" s="21">
        <f>$B$12192</f>
        <v/>
      </c>
      <c r="N13027" s="21" t="n">
        <v>0</v>
      </c>
      <c r="O13027" s="21" t="n">
        <v>0</v>
      </c>
      <c r="P13027" s="21" t="n">
        <v>0</v>
      </c>
      <c r="Q13027" s="21" t="n">
        <v>0</v>
      </c>
      <c r="R13027" s="21" t="n">
        <v>0</v>
      </c>
      <c r="S13027" s="21" t="n">
        <v>0</v>
      </c>
      <c r="T13027" s="21" t="n">
        <v>0</v>
      </c>
      <c r="U13027" s="21" t="n">
        <v>0</v>
      </c>
      <c r="V13027" s="21" t="n">
        <v>0</v>
      </c>
      <c r="W13027" s="21" t="n">
        <v>0</v>
      </c>
      <c r="X13027" s="21" t="n">
        <v>0</v>
      </c>
      <c r="Y13027" s="21" t="n">
        <v>0</v>
      </c>
      <c r="Z13027" s="19" t="n"/>
    </row>
    <row r="13028">
      <c r="D13028" s="21" t="n">
        <v>0</v>
      </c>
      <c r="E13028" s="21" t="n">
        <v>0</v>
      </c>
      <c r="F13028" s="21" t="n">
        <v>0</v>
      </c>
      <c r="G13028" s="21" t="n">
        <v>0</v>
      </c>
      <c r="H13028" s="21" t="n">
        <v>0</v>
      </c>
      <c r="I13028" s="21" t="n">
        <v>0</v>
      </c>
      <c r="J13028" s="21">
        <f>-$B$12189</f>
        <v/>
      </c>
      <c r="K13028" s="21">
        <f>-$B$12190</f>
        <v/>
      </c>
      <c r="L13028" s="21">
        <f>2*$B$12189+$D$13012</f>
        <v/>
      </c>
      <c r="M13028" s="21">
        <f>0</f>
        <v/>
      </c>
      <c r="N13028" s="21">
        <f>-$B$12189</f>
        <v/>
      </c>
      <c r="O13028" s="21">
        <f>$B$12190</f>
        <v/>
      </c>
      <c r="P13028" s="21" t="n">
        <v>0</v>
      </c>
      <c r="Q13028" s="21" t="n">
        <v>0</v>
      </c>
      <c r="R13028" s="21" t="n">
        <v>0</v>
      </c>
      <c r="S13028" s="21" t="n">
        <v>0</v>
      </c>
      <c r="T13028" s="21" t="n">
        <v>0</v>
      </c>
      <c r="U13028" s="21" t="n">
        <v>0</v>
      </c>
      <c r="V13028" s="21" t="n">
        <v>0</v>
      </c>
      <c r="W13028" s="21" t="n">
        <v>0</v>
      </c>
      <c r="X13028" s="21" t="n">
        <v>0</v>
      </c>
      <c r="Y13028" s="21" t="n">
        <v>0</v>
      </c>
      <c r="Z13028" s="19" t="n"/>
    </row>
    <row r="13029">
      <c r="D13029" s="21" t="n">
        <v>0</v>
      </c>
      <c r="E13029" s="21" t="n">
        <v>0</v>
      </c>
      <c r="F13029" s="21" t="n">
        <v>0</v>
      </c>
      <c r="G13029" s="21" t="n">
        <v>0</v>
      </c>
      <c r="H13029" s="21" t="n">
        <v>0</v>
      </c>
      <c r="I13029" s="21" t="n">
        <v>0</v>
      </c>
      <c r="J13029" s="21">
        <f>$B$12190</f>
        <v/>
      </c>
      <c r="K13029" s="21">
        <f>$B$12192</f>
        <v/>
      </c>
      <c r="L13029" s="21">
        <f>0</f>
        <v/>
      </c>
      <c r="M13029" s="21">
        <f>2*$B$12191</f>
        <v/>
      </c>
      <c r="N13029" s="21">
        <f>-$B$12190</f>
        <v/>
      </c>
      <c r="O13029" s="21">
        <f>$B$12192</f>
        <v/>
      </c>
      <c r="P13029" s="21" t="n">
        <v>0</v>
      </c>
      <c r="Q13029" s="21" t="n">
        <v>0</v>
      </c>
      <c r="R13029" s="21" t="n">
        <v>0</v>
      </c>
      <c r="S13029" s="21" t="n">
        <v>0</v>
      </c>
      <c r="T13029" s="21" t="n">
        <v>0</v>
      </c>
      <c r="U13029" s="21" t="n">
        <v>0</v>
      </c>
      <c r="V13029" s="21" t="n">
        <v>0</v>
      </c>
      <c r="W13029" s="21" t="n">
        <v>0</v>
      </c>
      <c r="X13029" s="21" t="n">
        <v>0</v>
      </c>
      <c r="Y13029" s="21" t="n">
        <v>0</v>
      </c>
      <c r="Z13029" s="19" t="n"/>
    </row>
    <row r="13030">
      <c r="D13030" s="21" t="n">
        <v>0</v>
      </c>
      <c r="E13030" s="21" t="n">
        <v>0</v>
      </c>
      <c r="F13030" s="21" t="n">
        <v>0</v>
      </c>
      <c r="G13030" s="21" t="n">
        <v>0</v>
      </c>
      <c r="H13030" s="21" t="n">
        <v>0</v>
      </c>
      <c r="I13030" s="21" t="n">
        <v>0</v>
      </c>
      <c r="J13030" s="21" t="n">
        <v>0</v>
      </c>
      <c r="K13030" s="21" t="n">
        <v>0</v>
      </c>
      <c r="L13030" s="21">
        <f>-$B$12189</f>
        <v/>
      </c>
      <c r="M13030" s="21">
        <f>-$B$12190</f>
        <v/>
      </c>
      <c r="N13030" s="21">
        <f>2*$B$12189+$D$13013</f>
        <v/>
      </c>
      <c r="O13030" s="21">
        <f>0</f>
        <v/>
      </c>
      <c r="P13030" s="21">
        <f>-$B$12189</f>
        <v/>
      </c>
      <c r="Q13030" s="21">
        <f>$B$12190</f>
        <v/>
      </c>
      <c r="R13030" s="21" t="n">
        <v>0</v>
      </c>
      <c r="S13030" s="21" t="n">
        <v>0</v>
      </c>
      <c r="T13030" s="21" t="n">
        <v>0</v>
      </c>
      <c r="U13030" s="21" t="n">
        <v>0</v>
      </c>
      <c r="V13030" s="21" t="n">
        <v>0</v>
      </c>
      <c r="W13030" s="21" t="n">
        <v>0</v>
      </c>
      <c r="X13030" s="21" t="n">
        <v>0</v>
      </c>
      <c r="Y13030" s="21" t="n">
        <v>0</v>
      </c>
      <c r="Z13030" s="19" t="n"/>
    </row>
    <row r="13031">
      <c r="D13031" s="21" t="n">
        <v>0</v>
      </c>
      <c r="E13031" s="21" t="n">
        <v>0</v>
      </c>
      <c r="F13031" s="21" t="n">
        <v>0</v>
      </c>
      <c r="G13031" s="21" t="n">
        <v>0</v>
      </c>
      <c r="H13031" s="21" t="n">
        <v>0</v>
      </c>
      <c r="I13031" s="21" t="n">
        <v>0</v>
      </c>
      <c r="J13031" s="21" t="n">
        <v>0</v>
      </c>
      <c r="K13031" s="21" t="n">
        <v>0</v>
      </c>
      <c r="L13031" s="21">
        <f>$B$12190</f>
        <v/>
      </c>
      <c r="M13031" s="21">
        <f>$B$12192</f>
        <v/>
      </c>
      <c r="N13031" s="21">
        <f>0</f>
        <v/>
      </c>
      <c r="O13031" s="21">
        <f>2*$B$12191</f>
        <v/>
      </c>
      <c r="P13031" s="21">
        <f>-$B$12190</f>
        <v/>
      </c>
      <c r="Q13031" s="21">
        <f>$B$12192</f>
        <v/>
      </c>
      <c r="R13031" s="21" t="n">
        <v>0</v>
      </c>
      <c r="S13031" s="21" t="n">
        <v>0</v>
      </c>
      <c r="T13031" s="21" t="n">
        <v>0</v>
      </c>
      <c r="U13031" s="21" t="n">
        <v>0</v>
      </c>
      <c r="V13031" s="21" t="n">
        <v>0</v>
      </c>
      <c r="W13031" s="21" t="n">
        <v>0</v>
      </c>
      <c r="X13031" s="21" t="n">
        <v>0</v>
      </c>
      <c r="Y13031" s="21" t="n">
        <v>0</v>
      </c>
      <c r="Z13031" s="19" t="n"/>
    </row>
    <row r="13032">
      <c r="D13032" s="21" t="n">
        <v>0</v>
      </c>
      <c r="E13032" s="21" t="n">
        <v>0</v>
      </c>
      <c r="F13032" s="21" t="n">
        <v>0</v>
      </c>
      <c r="G13032" s="21" t="n">
        <v>0</v>
      </c>
      <c r="H13032" s="21" t="n">
        <v>0</v>
      </c>
      <c r="I13032" s="21" t="n">
        <v>0</v>
      </c>
      <c r="J13032" s="21" t="n">
        <v>0</v>
      </c>
      <c r="K13032" s="21" t="n">
        <v>0</v>
      </c>
      <c r="L13032" s="21" t="n">
        <v>0</v>
      </c>
      <c r="M13032" s="21" t="n">
        <v>0</v>
      </c>
      <c r="N13032" s="21">
        <f>-$B$12189</f>
        <v/>
      </c>
      <c r="O13032" s="21">
        <f>-$B$12190</f>
        <v/>
      </c>
      <c r="P13032" s="21">
        <f>2*$B$12189+$D$13014</f>
        <v/>
      </c>
      <c r="Q13032" s="21">
        <f>0</f>
        <v/>
      </c>
      <c r="R13032" s="21">
        <f>-$B$12189</f>
        <v/>
      </c>
      <c r="S13032" s="21">
        <f>$B$12190</f>
        <v/>
      </c>
      <c r="T13032" s="21" t="n">
        <v>0</v>
      </c>
      <c r="U13032" s="21" t="n">
        <v>0</v>
      </c>
      <c r="V13032" s="21" t="n">
        <v>0</v>
      </c>
      <c r="W13032" s="21" t="n">
        <v>0</v>
      </c>
      <c r="X13032" s="21" t="n">
        <v>0</v>
      </c>
      <c r="Y13032" s="21" t="n">
        <v>0</v>
      </c>
      <c r="Z13032" s="19" t="n"/>
    </row>
    <row r="13033">
      <c r="D13033" s="21" t="n">
        <v>0</v>
      </c>
      <c r="E13033" s="21" t="n">
        <v>0</v>
      </c>
      <c r="F13033" s="21" t="n">
        <v>0</v>
      </c>
      <c r="G13033" s="21" t="n">
        <v>0</v>
      </c>
      <c r="H13033" s="21" t="n">
        <v>0</v>
      </c>
      <c r="I13033" s="21" t="n">
        <v>0</v>
      </c>
      <c r="J13033" s="21" t="n">
        <v>0</v>
      </c>
      <c r="K13033" s="21" t="n">
        <v>0</v>
      </c>
      <c r="L13033" s="21" t="n">
        <v>0</v>
      </c>
      <c r="M13033" s="21" t="n">
        <v>0</v>
      </c>
      <c r="N13033" s="21">
        <f>$B$12190</f>
        <v/>
      </c>
      <c r="O13033" s="21">
        <f>$B$12192</f>
        <v/>
      </c>
      <c r="P13033" s="21">
        <f>0</f>
        <v/>
      </c>
      <c r="Q13033" s="21">
        <f>2*$B$12191</f>
        <v/>
      </c>
      <c r="R13033" s="21">
        <f>-$B$12190</f>
        <v/>
      </c>
      <c r="S13033" s="21">
        <f>$B$12192</f>
        <v/>
      </c>
      <c r="T13033" s="21" t="n">
        <v>0</v>
      </c>
      <c r="U13033" s="21" t="n">
        <v>0</v>
      </c>
      <c r="V13033" s="21" t="n">
        <v>0</v>
      </c>
      <c r="W13033" s="21" t="n">
        <v>0</v>
      </c>
      <c r="X13033" s="21" t="n">
        <v>0</v>
      </c>
      <c r="Y13033" s="21" t="n">
        <v>0</v>
      </c>
      <c r="Z13033" s="19" t="n"/>
    </row>
    <row r="13034">
      <c r="D13034" s="21" t="n">
        <v>0</v>
      </c>
      <c r="E13034" s="21" t="n">
        <v>0</v>
      </c>
      <c r="F13034" s="21" t="n">
        <v>0</v>
      </c>
      <c r="G13034" s="21" t="n">
        <v>0</v>
      </c>
      <c r="H13034" s="21" t="n">
        <v>0</v>
      </c>
      <c r="I13034" s="21" t="n">
        <v>0</v>
      </c>
      <c r="J13034" s="21" t="n">
        <v>0</v>
      </c>
      <c r="K13034" s="21" t="n">
        <v>0</v>
      </c>
      <c r="L13034" s="21" t="n">
        <v>0</v>
      </c>
      <c r="M13034" s="21" t="n">
        <v>0</v>
      </c>
      <c r="N13034" s="21" t="n">
        <v>0</v>
      </c>
      <c r="O13034" s="21" t="n">
        <v>0</v>
      </c>
      <c r="P13034" s="21">
        <f>-$B$12189</f>
        <v/>
      </c>
      <c r="Q13034" s="21">
        <f>-$B$12190</f>
        <v/>
      </c>
      <c r="R13034" s="21">
        <f>2*$B$12189+$D$13015</f>
        <v/>
      </c>
      <c r="S13034" s="21">
        <f>0</f>
        <v/>
      </c>
      <c r="T13034" s="21">
        <f>-$B$12189</f>
        <v/>
      </c>
      <c r="U13034" s="21">
        <f>$B$12190</f>
        <v/>
      </c>
      <c r="V13034" s="21" t="n">
        <v>0</v>
      </c>
      <c r="W13034" s="21" t="n">
        <v>0</v>
      </c>
      <c r="X13034" s="21" t="n">
        <v>0</v>
      </c>
      <c r="Y13034" s="21" t="n">
        <v>0</v>
      </c>
      <c r="Z13034" s="19" t="n"/>
    </row>
    <row r="13035">
      <c r="D13035" s="21" t="n">
        <v>0</v>
      </c>
      <c r="E13035" s="21" t="n">
        <v>0</v>
      </c>
      <c r="F13035" s="21" t="n">
        <v>0</v>
      </c>
      <c r="G13035" s="21" t="n">
        <v>0</v>
      </c>
      <c r="H13035" s="21" t="n">
        <v>0</v>
      </c>
      <c r="I13035" s="21" t="n">
        <v>0</v>
      </c>
      <c r="J13035" s="21" t="n">
        <v>0</v>
      </c>
      <c r="K13035" s="21" t="n">
        <v>0</v>
      </c>
      <c r="L13035" s="21" t="n">
        <v>0</v>
      </c>
      <c r="M13035" s="21" t="n">
        <v>0</v>
      </c>
      <c r="N13035" s="21" t="n">
        <v>0</v>
      </c>
      <c r="O13035" s="21" t="n">
        <v>0</v>
      </c>
      <c r="P13035" s="21">
        <f>$B$12190</f>
        <v/>
      </c>
      <c r="Q13035" s="21">
        <f>$B$12192</f>
        <v/>
      </c>
      <c r="R13035" s="21">
        <f>0</f>
        <v/>
      </c>
      <c r="S13035" s="21">
        <f>2*$B$12191</f>
        <v/>
      </c>
      <c r="T13035" s="21">
        <f>-$B$12190</f>
        <v/>
      </c>
      <c r="U13035" s="21">
        <f>$B$12192</f>
        <v/>
      </c>
      <c r="V13035" s="21" t="n">
        <v>0</v>
      </c>
      <c r="W13035" s="21" t="n">
        <v>0</v>
      </c>
      <c r="X13035" s="21" t="n">
        <v>0</v>
      </c>
      <c r="Y13035" s="21" t="n">
        <v>0</v>
      </c>
      <c r="Z13035" s="19" t="n"/>
    </row>
    <row r="13036">
      <c r="D13036" s="21" t="n">
        <v>0</v>
      </c>
      <c r="E13036" s="21" t="n">
        <v>0</v>
      </c>
      <c r="F13036" s="21" t="n">
        <v>0</v>
      </c>
      <c r="G13036" s="21" t="n">
        <v>0</v>
      </c>
      <c r="H13036" s="21" t="n">
        <v>0</v>
      </c>
      <c r="I13036" s="21" t="n">
        <v>0</v>
      </c>
      <c r="J13036" s="21" t="n">
        <v>0</v>
      </c>
      <c r="K13036" s="21" t="n">
        <v>0</v>
      </c>
      <c r="L13036" s="21" t="n">
        <v>0</v>
      </c>
      <c r="M13036" s="21" t="n">
        <v>0</v>
      </c>
      <c r="N13036" s="21" t="n">
        <v>0</v>
      </c>
      <c r="O13036" s="21" t="n">
        <v>0</v>
      </c>
      <c r="P13036" s="21" t="n">
        <v>0</v>
      </c>
      <c r="Q13036" s="21" t="n">
        <v>0</v>
      </c>
      <c r="R13036" s="21">
        <f>-$B$12189</f>
        <v/>
      </c>
      <c r="S13036" s="21">
        <f>-$B$12190</f>
        <v/>
      </c>
      <c r="T13036" s="21">
        <f>2*$B$12189+$D$13016</f>
        <v/>
      </c>
      <c r="U13036" s="21">
        <f>0</f>
        <v/>
      </c>
      <c r="V13036" s="21">
        <f>-$B$12189</f>
        <v/>
      </c>
      <c r="W13036" s="21">
        <f>$B$12190</f>
        <v/>
      </c>
      <c r="X13036" s="21" t="n">
        <v>0</v>
      </c>
      <c r="Y13036" s="21" t="n">
        <v>0</v>
      </c>
      <c r="Z13036" s="19" t="n"/>
    </row>
    <row r="13037">
      <c r="D13037" s="21" t="n">
        <v>0</v>
      </c>
      <c r="E13037" s="21" t="n">
        <v>0</v>
      </c>
      <c r="F13037" s="21" t="n">
        <v>0</v>
      </c>
      <c r="G13037" s="21" t="n">
        <v>0</v>
      </c>
      <c r="H13037" s="21" t="n">
        <v>0</v>
      </c>
      <c r="I13037" s="21" t="n">
        <v>0</v>
      </c>
      <c r="J13037" s="21" t="n">
        <v>0</v>
      </c>
      <c r="K13037" s="21" t="n">
        <v>0</v>
      </c>
      <c r="L13037" s="21" t="n">
        <v>0</v>
      </c>
      <c r="M13037" s="21" t="n">
        <v>0</v>
      </c>
      <c r="N13037" s="21" t="n">
        <v>0</v>
      </c>
      <c r="O13037" s="21" t="n">
        <v>0</v>
      </c>
      <c r="P13037" s="21" t="n">
        <v>0</v>
      </c>
      <c r="Q13037" s="21" t="n">
        <v>0</v>
      </c>
      <c r="R13037" s="21">
        <f>$B$12190</f>
        <v/>
      </c>
      <c r="S13037" s="21">
        <f>$B$12192</f>
        <v/>
      </c>
      <c r="T13037" s="21">
        <f>0</f>
        <v/>
      </c>
      <c r="U13037" s="21">
        <f>2*$B$12191</f>
        <v/>
      </c>
      <c r="V13037" s="21">
        <f>-$B$12190</f>
        <v/>
      </c>
      <c r="W13037" s="21">
        <f>$B$12192</f>
        <v/>
      </c>
      <c r="X13037" s="21" t="n">
        <v>0</v>
      </c>
      <c r="Y13037" s="21" t="n">
        <v>0</v>
      </c>
      <c r="Z13037" s="19" t="n"/>
    </row>
    <row r="13038">
      <c r="D13038" s="21" t="n">
        <v>0</v>
      </c>
      <c r="E13038" s="21" t="n">
        <v>0</v>
      </c>
      <c r="F13038" s="21" t="n">
        <v>0</v>
      </c>
      <c r="G13038" s="21" t="n">
        <v>0</v>
      </c>
      <c r="H13038" s="21" t="n">
        <v>0</v>
      </c>
      <c r="I13038" s="21" t="n">
        <v>0</v>
      </c>
      <c r="J13038" s="21" t="n">
        <v>0</v>
      </c>
      <c r="K13038" s="21" t="n">
        <v>0</v>
      </c>
      <c r="L13038" s="21" t="n">
        <v>0</v>
      </c>
      <c r="M13038" s="21" t="n">
        <v>0</v>
      </c>
      <c r="N13038" s="21" t="n">
        <v>0</v>
      </c>
      <c r="O13038" s="21" t="n">
        <v>0</v>
      </c>
      <c r="P13038" s="21" t="n">
        <v>0</v>
      </c>
      <c r="Q13038" s="21" t="n">
        <v>0</v>
      </c>
      <c r="R13038" s="21" t="n">
        <v>0</v>
      </c>
      <c r="S13038" s="21" t="n">
        <v>0</v>
      </c>
      <c r="T13038" s="21">
        <f>-$B$12189</f>
        <v/>
      </c>
      <c r="U13038" s="21">
        <f>-$B$12190</f>
        <v/>
      </c>
      <c r="V13038" s="21">
        <f>2*$B$12189+$D$13017</f>
        <v/>
      </c>
      <c r="W13038" s="21">
        <f>0</f>
        <v/>
      </c>
      <c r="X13038" s="21">
        <f>-$B$12189</f>
        <v/>
      </c>
      <c r="Y13038" s="21">
        <f>$B$12190</f>
        <v/>
      </c>
      <c r="Z13038" s="19" t="n"/>
    </row>
    <row r="13039">
      <c r="D13039" s="21" t="n">
        <v>0</v>
      </c>
      <c r="E13039" s="21" t="n">
        <v>0</v>
      </c>
      <c r="F13039" s="21" t="n">
        <v>0</v>
      </c>
      <c r="G13039" s="21" t="n">
        <v>0</v>
      </c>
      <c r="H13039" s="21" t="n">
        <v>0</v>
      </c>
      <c r="I13039" s="21" t="n">
        <v>0</v>
      </c>
      <c r="J13039" s="21" t="n">
        <v>0</v>
      </c>
      <c r="K13039" s="21" t="n">
        <v>0</v>
      </c>
      <c r="L13039" s="21" t="n">
        <v>0</v>
      </c>
      <c r="M13039" s="21" t="n">
        <v>0</v>
      </c>
      <c r="N13039" s="21" t="n">
        <v>0</v>
      </c>
      <c r="O13039" s="21" t="n">
        <v>0</v>
      </c>
      <c r="P13039" s="21" t="n">
        <v>0</v>
      </c>
      <c r="Q13039" s="21" t="n">
        <v>0</v>
      </c>
      <c r="R13039" s="21" t="n">
        <v>0</v>
      </c>
      <c r="S13039" s="21" t="n">
        <v>0</v>
      </c>
      <c r="T13039" s="21">
        <f>$B$12190</f>
        <v/>
      </c>
      <c r="U13039" s="21">
        <f>$B$12192</f>
        <v/>
      </c>
      <c r="V13039" s="21">
        <f>0</f>
        <v/>
      </c>
      <c r="W13039" s="21">
        <f>2*$B$12191</f>
        <v/>
      </c>
      <c r="X13039" s="21">
        <f>-$B$12190</f>
        <v/>
      </c>
      <c r="Y13039" s="21">
        <f>$B$12192</f>
        <v/>
      </c>
      <c r="Z13039" s="19" t="n"/>
    </row>
    <row r="13040">
      <c r="D13040" s="21" t="n">
        <v>0</v>
      </c>
      <c r="E13040" s="21" t="n">
        <v>0</v>
      </c>
      <c r="F13040" s="21" t="n">
        <v>0</v>
      </c>
      <c r="G13040" s="21" t="n">
        <v>0</v>
      </c>
      <c r="H13040" s="21" t="n">
        <v>0</v>
      </c>
      <c r="I13040" s="21" t="n">
        <v>0</v>
      </c>
      <c r="J13040" s="21" t="n">
        <v>0</v>
      </c>
      <c r="K13040" s="21" t="n">
        <v>0</v>
      </c>
      <c r="L13040" s="21" t="n">
        <v>0</v>
      </c>
      <c r="M13040" s="21" t="n">
        <v>0</v>
      </c>
      <c r="N13040" s="21" t="n">
        <v>0</v>
      </c>
      <c r="O13040" s="21" t="n">
        <v>0</v>
      </c>
      <c r="P13040" s="21" t="n">
        <v>0</v>
      </c>
      <c r="Q13040" s="21" t="n">
        <v>0</v>
      </c>
      <c r="R13040" s="21" t="n">
        <v>0</v>
      </c>
      <c r="S13040" s="21" t="n">
        <v>0</v>
      </c>
      <c r="T13040" s="21" t="n">
        <v>0</v>
      </c>
      <c r="U13040" s="21" t="n">
        <v>0</v>
      </c>
      <c r="V13040" s="21">
        <f>-$B$12189</f>
        <v/>
      </c>
      <c r="W13040" s="21">
        <f>-$B$12190</f>
        <v/>
      </c>
      <c r="X13040" s="21">
        <f>$B$12189+$D$13018</f>
        <v/>
      </c>
      <c r="Y13040" s="21">
        <f>-$B$12190</f>
        <v/>
      </c>
      <c r="Z13040" s="19" t="n"/>
    </row>
    <row r="13041">
      <c r="D13041" s="21" t="n">
        <v>0</v>
      </c>
      <c r="E13041" s="21" t="n">
        <v>0</v>
      </c>
      <c r="F13041" s="21" t="n">
        <v>0</v>
      </c>
      <c r="G13041" s="21" t="n">
        <v>0</v>
      </c>
      <c r="H13041" s="21" t="n">
        <v>0</v>
      </c>
      <c r="I13041" s="21" t="n">
        <v>0</v>
      </c>
      <c r="J13041" s="21" t="n">
        <v>0</v>
      </c>
      <c r="K13041" s="21" t="n">
        <v>0</v>
      </c>
      <c r="L13041" s="21" t="n">
        <v>0</v>
      </c>
      <c r="M13041" s="21" t="n">
        <v>0</v>
      </c>
      <c r="N13041" s="21" t="n">
        <v>0</v>
      </c>
      <c r="O13041" s="21" t="n">
        <v>0</v>
      </c>
      <c r="P13041" s="21" t="n">
        <v>0</v>
      </c>
      <c r="Q13041" s="21" t="n">
        <v>0</v>
      </c>
      <c r="R13041" s="21" t="n">
        <v>0</v>
      </c>
      <c r="S13041" s="21" t="n">
        <v>0</v>
      </c>
      <c r="T13041" s="21" t="n">
        <v>0</v>
      </c>
      <c r="U13041" s="21" t="n">
        <v>0</v>
      </c>
      <c r="V13041" s="21">
        <f>$B$12190</f>
        <v/>
      </c>
      <c r="W13041" s="21">
        <f>$B$12192</f>
        <v/>
      </c>
      <c r="X13041" s="21">
        <f>-$B$12190</f>
        <v/>
      </c>
      <c r="Y13041" s="21">
        <f>$B$12191</f>
        <v/>
      </c>
      <c r="Z13041" s="19" t="n"/>
    </row>
    <row r="13043">
      <c r="A13043" s="8" t="inlineStr">
        <is>
          <t>gen 23</t>
        </is>
      </c>
    </row>
    <row r="13044">
      <c r="D13044" s="19">
        <f>IF(ABS(IF(ABS($E$13008)&gt;0.000000001,$E$13008,0.000000001))=0,0,IF($E$12204&lt;=$B$12198,0,IF(ABS(IF(ABS($E$13008)&gt;0.000000001,$E$13008,0.000000001))&gt;=8*$B$12200,$H$12204,0.5*$H$12204*(ABS(IF(ABS($E$13008)&gt;0.000000001,$E$13008,0.000000001))/$B$12200)^(1/3)))/ABS(IF(ABS($E$13008)&gt;0.000000001,$E$13008,0.000000001))*$I$12204)</f>
        <v/>
      </c>
      <c r="E13044" s="19">
        <f>0.5*$E$13008+0.5*$Z$13056</f>
        <v/>
      </c>
      <c r="F13044" s="19">
        <f>$Z$13057</f>
        <v/>
      </c>
    </row>
    <row r="13045">
      <c r="D13045" s="19">
        <f>IF(ABS(IF(ABS($E$13009)&gt;0.000000001,$E$13009,0.000000001))=0,0,IF($E$12205&lt;=$B$12198,0,IF(ABS(IF(ABS($E$13009)&gt;0.000000001,$E$13009,0.000000001))&gt;=8*$B$12200,$H$12205,0.5*$H$12205*(ABS(IF(ABS($E$13009)&gt;0.000000001,$E$13009,0.000000001))/$B$12200)^(1/3)))/ABS(IF(ABS($E$13009)&gt;0.000000001,$E$13009,0.000000001))*$I$12205)</f>
        <v/>
      </c>
      <c r="E13045" s="19">
        <f>0.5*$E$13009+0.5*$Z$13058</f>
        <v/>
      </c>
      <c r="F13045" s="19">
        <f>$Z$13059</f>
        <v/>
      </c>
    </row>
    <row r="13046">
      <c r="D13046" s="19">
        <f>IF(ABS(IF(ABS($E$13010)&gt;0.000000001,$E$13010,0.000000001))=0,0,IF($E$12206&lt;=$B$12198,0,IF(ABS(IF(ABS($E$13010)&gt;0.000000001,$E$13010,0.000000001))&gt;=8*$B$12200,$H$12206,0.5*$H$12206*(ABS(IF(ABS($E$13010)&gt;0.000000001,$E$13010,0.000000001))/$B$12200)^(1/3)))/ABS(IF(ABS($E$13010)&gt;0.000000001,$E$13010,0.000000001))*$I$12206)</f>
        <v/>
      </c>
      <c r="E13046" s="19">
        <f>0.5*$E$13010+0.5*$Z$13060</f>
        <v/>
      </c>
      <c r="F13046" s="19">
        <f>$Z$13061</f>
        <v/>
      </c>
    </row>
    <row r="13047">
      <c r="D13047" s="19">
        <f>IF(ABS(IF(ABS($E$13011)&gt;0.000000001,$E$13011,0.000000001))=0,0,IF($E$12207&lt;=$B$12198,0,IF(ABS(IF(ABS($E$13011)&gt;0.000000001,$E$13011,0.000000001))&gt;=8*$B$12200,$H$12207,0.5*$H$12207*(ABS(IF(ABS($E$13011)&gt;0.000000001,$E$13011,0.000000001))/$B$12200)^(1/3)))/ABS(IF(ABS($E$13011)&gt;0.000000001,$E$13011,0.000000001))*$I$12207)</f>
        <v/>
      </c>
      <c r="E13047" s="19">
        <f>0.5*$E$13011+0.5*$Z$13062</f>
        <v/>
      </c>
      <c r="F13047" s="19">
        <f>$Z$13063</f>
        <v/>
      </c>
    </row>
    <row r="13048">
      <c r="D13048" s="19">
        <f>IF(ABS(IF(ABS($E$13012)&gt;0.000000001,$E$13012,0.000000001))=0,0,IF($E$12208&lt;=$B$12198,0,IF(ABS(IF(ABS($E$13012)&gt;0.000000001,$E$13012,0.000000001))&gt;=8*$B$12200,$H$12208,0.5*$H$12208*(ABS(IF(ABS($E$13012)&gt;0.000000001,$E$13012,0.000000001))/$B$12200)^(1/3)))/ABS(IF(ABS($E$13012)&gt;0.000000001,$E$13012,0.000000001))*$I$12208)</f>
        <v/>
      </c>
      <c r="E13048" s="19">
        <f>0.5*$E$13012+0.5*$Z$13064</f>
        <v/>
      </c>
      <c r="F13048" s="19">
        <f>$Z$13065</f>
        <v/>
      </c>
    </row>
    <row r="13049">
      <c r="D13049" s="19">
        <f>IF(ABS(IF(ABS($E$13013)&gt;0.000000001,$E$13013,0.000000001))=0,0,IF($E$12209&lt;=$B$12198,0,IF(ABS(IF(ABS($E$13013)&gt;0.000000001,$E$13013,0.000000001))&gt;=8*$B$12200,$H$12209,0.5*$H$12209*(ABS(IF(ABS($E$13013)&gt;0.000000001,$E$13013,0.000000001))/$B$12200)^(1/3)))/ABS(IF(ABS($E$13013)&gt;0.000000001,$E$13013,0.000000001))*$I$12209)</f>
        <v/>
      </c>
      <c r="E13049" s="19">
        <f>0.5*$E$13013+0.5*$Z$13066</f>
        <v/>
      </c>
      <c r="F13049" s="19">
        <f>$Z$13067</f>
        <v/>
      </c>
    </row>
    <row r="13050">
      <c r="D13050" s="19">
        <f>IF(ABS(IF(ABS($E$13014)&gt;0.000000001,$E$13014,0.000000001))=0,0,IF($E$12210&lt;=$B$12198,0,IF(ABS(IF(ABS($E$13014)&gt;0.000000001,$E$13014,0.000000001))&gt;=8*$B$12200,$H$12210,0.5*$H$12210*(ABS(IF(ABS($E$13014)&gt;0.000000001,$E$13014,0.000000001))/$B$12200)^(1/3)))/ABS(IF(ABS($E$13014)&gt;0.000000001,$E$13014,0.000000001))*$I$12210)</f>
        <v/>
      </c>
      <c r="E13050" s="19">
        <f>0.5*$E$13014+0.5*$Z$13068</f>
        <v/>
      </c>
      <c r="F13050" s="19">
        <f>$Z$13069</f>
        <v/>
      </c>
    </row>
    <row r="13051">
      <c r="D13051" s="19">
        <f>IF(ABS(IF(ABS($E$13015)&gt;0.000000001,$E$13015,0.000000001))=0,0,IF($E$12211&lt;=$B$12198,0,IF(ABS(IF(ABS($E$13015)&gt;0.000000001,$E$13015,0.000000001))&gt;=8*$B$12200,$H$12211,0.5*$H$12211*(ABS(IF(ABS($E$13015)&gt;0.000000001,$E$13015,0.000000001))/$B$12200)^(1/3)))/ABS(IF(ABS($E$13015)&gt;0.000000001,$E$13015,0.000000001))*$I$12211)</f>
        <v/>
      </c>
      <c r="E13051" s="19">
        <f>0.5*$E$13015+0.5*$Z$13070</f>
        <v/>
      </c>
      <c r="F13051" s="19">
        <f>$Z$13071</f>
        <v/>
      </c>
    </row>
    <row r="13052">
      <c r="D13052" s="19">
        <f>IF(ABS(IF(ABS($E$13016)&gt;0.000000001,$E$13016,0.000000001))=0,0,IF($E$12212&lt;=$B$12198,0,IF(ABS(IF(ABS($E$13016)&gt;0.000000001,$E$13016,0.000000001))&gt;=8*$B$12200,$H$12212,0.5*$H$12212*(ABS(IF(ABS($E$13016)&gt;0.000000001,$E$13016,0.000000001))/$B$12200)^(1/3)))/ABS(IF(ABS($E$13016)&gt;0.000000001,$E$13016,0.000000001))*$I$12212)</f>
        <v/>
      </c>
      <c r="E13052" s="19">
        <f>0.5*$E$13016+0.5*$Z$13072</f>
        <v/>
      </c>
      <c r="F13052" s="19">
        <f>$Z$13073</f>
        <v/>
      </c>
    </row>
    <row r="13053">
      <c r="D13053" s="19">
        <f>IF(ABS(IF(ABS($E$13017)&gt;0.000000001,$E$13017,0.000000001))=0,0,IF($E$12213&lt;=$B$12198,0,IF(ABS(IF(ABS($E$13017)&gt;0.000000001,$E$13017,0.000000001))&gt;=8*$B$12200,$H$12213,0.5*$H$12213*(ABS(IF(ABS($E$13017)&gt;0.000000001,$E$13017,0.000000001))/$B$12200)^(1/3)))/ABS(IF(ABS($E$13017)&gt;0.000000001,$E$13017,0.000000001))*$I$12213)</f>
        <v/>
      </c>
      <c r="E13053" s="19">
        <f>0.5*$E$13017+0.5*$Z$13074</f>
        <v/>
      </c>
      <c r="F13053" s="19">
        <f>$Z$13075</f>
        <v/>
      </c>
    </row>
    <row r="13054">
      <c r="D13054" s="19">
        <f>IF(ABS(IF(ABS($E$13018)&gt;0.000000001,$E$13018,0.000000001))=0,0,IF($E$12214&lt;=$B$12198,0,IF(ABS(IF(ABS($E$13018)&gt;0.000000001,$E$13018,0.000000001))&gt;=8*$B$12200,$H$12214,0.5*$H$12214*(ABS(IF(ABS($E$13018)&gt;0.000000001,$E$13018,0.000000001))/$B$12200)^(1/3)))/ABS(IF(ABS($E$13018)&gt;0.000000001,$E$13018,0.000000001))*$I$12214)</f>
        <v/>
      </c>
      <c r="E13054" s="19">
        <f>0.5*$E$13018+0.5*$Z$13076</f>
        <v/>
      </c>
      <c r="F13054" s="19">
        <f>$Z$13077</f>
        <v/>
      </c>
    </row>
    <row r="13056">
      <c r="D13056" s="21">
        <f>$B$12189+$D$13044</f>
        <v/>
      </c>
      <c r="E13056" s="21">
        <f>$B$12190</f>
        <v/>
      </c>
      <c r="F13056" s="21">
        <f>-$B$12189</f>
        <v/>
      </c>
      <c r="G13056" s="21">
        <f>$B$12190</f>
        <v/>
      </c>
      <c r="H13056" s="21" t="n">
        <v>0</v>
      </c>
      <c r="I13056" s="21" t="n">
        <v>0</v>
      </c>
      <c r="J13056" s="21" t="n">
        <v>0</v>
      </c>
      <c r="K13056" s="21" t="n">
        <v>0</v>
      </c>
      <c r="L13056" s="21" t="n">
        <v>0</v>
      </c>
      <c r="M13056" s="21" t="n">
        <v>0</v>
      </c>
      <c r="N13056" s="21" t="n">
        <v>0</v>
      </c>
      <c r="O13056" s="21" t="n">
        <v>0</v>
      </c>
      <c r="P13056" s="21" t="n">
        <v>0</v>
      </c>
      <c r="Q13056" s="21" t="n">
        <v>0</v>
      </c>
      <c r="R13056" s="21" t="n">
        <v>0</v>
      </c>
      <c r="S13056" s="21" t="n">
        <v>0</v>
      </c>
      <c r="T13056" s="21" t="n">
        <v>0</v>
      </c>
      <c r="U13056" s="21" t="n">
        <v>0</v>
      </c>
      <c r="V13056" s="21" t="n">
        <v>0</v>
      </c>
      <c r="W13056" s="21" t="n">
        <v>0</v>
      </c>
      <c r="X13056" s="21" t="n">
        <v>0</v>
      </c>
      <c r="Y13056" s="21" t="n">
        <v>0</v>
      </c>
      <c r="Z13056" s="19">
        <f t="array" ref="Z13056:Z13077">MMULT(MINVERSE($D$13056:$Y$13077),$D$12216:$D$12237)</f>
        <v/>
      </c>
    </row>
    <row r="13057">
      <c r="D13057" s="21">
        <f>$B$12190</f>
        <v/>
      </c>
      <c r="E13057" s="21">
        <f>$B$12191</f>
        <v/>
      </c>
      <c r="F13057" s="21">
        <f>-$B$12190</f>
        <v/>
      </c>
      <c r="G13057" s="21">
        <f>$B$12192</f>
        <v/>
      </c>
      <c r="H13057" s="21" t="n">
        <v>0</v>
      </c>
      <c r="I13057" s="21" t="n">
        <v>0</v>
      </c>
      <c r="J13057" s="21" t="n">
        <v>0</v>
      </c>
      <c r="K13057" s="21" t="n">
        <v>0</v>
      </c>
      <c r="L13057" s="21" t="n">
        <v>0</v>
      </c>
      <c r="M13057" s="21" t="n">
        <v>0</v>
      </c>
      <c r="N13057" s="21" t="n">
        <v>0</v>
      </c>
      <c r="O13057" s="21" t="n">
        <v>0</v>
      </c>
      <c r="P13057" s="21" t="n">
        <v>0</v>
      </c>
      <c r="Q13057" s="21" t="n">
        <v>0</v>
      </c>
      <c r="R13057" s="21" t="n">
        <v>0</v>
      </c>
      <c r="S13057" s="21" t="n">
        <v>0</v>
      </c>
      <c r="T13057" s="21" t="n">
        <v>0</v>
      </c>
      <c r="U13057" s="21" t="n">
        <v>0</v>
      </c>
      <c r="V13057" s="21" t="n">
        <v>0</v>
      </c>
      <c r="W13057" s="21" t="n">
        <v>0</v>
      </c>
      <c r="X13057" s="21" t="n">
        <v>0</v>
      </c>
      <c r="Y13057" s="21" t="n">
        <v>0</v>
      </c>
      <c r="Z13057" s="19" t="n"/>
    </row>
    <row r="13058">
      <c r="D13058" s="21">
        <f>-$B$12189</f>
        <v/>
      </c>
      <c r="E13058" s="21">
        <f>-$B$12190</f>
        <v/>
      </c>
      <c r="F13058" s="21">
        <f>2*$B$12189+$D$13045</f>
        <v/>
      </c>
      <c r="G13058" s="21">
        <f>0</f>
        <v/>
      </c>
      <c r="H13058" s="21">
        <f>-$B$12189</f>
        <v/>
      </c>
      <c r="I13058" s="21">
        <f>$B$12190</f>
        <v/>
      </c>
      <c r="J13058" s="21" t="n">
        <v>0</v>
      </c>
      <c r="K13058" s="21" t="n">
        <v>0</v>
      </c>
      <c r="L13058" s="21" t="n">
        <v>0</v>
      </c>
      <c r="M13058" s="21" t="n">
        <v>0</v>
      </c>
      <c r="N13058" s="21" t="n">
        <v>0</v>
      </c>
      <c r="O13058" s="21" t="n">
        <v>0</v>
      </c>
      <c r="P13058" s="21" t="n">
        <v>0</v>
      </c>
      <c r="Q13058" s="21" t="n">
        <v>0</v>
      </c>
      <c r="R13058" s="21" t="n">
        <v>0</v>
      </c>
      <c r="S13058" s="21" t="n">
        <v>0</v>
      </c>
      <c r="T13058" s="21" t="n">
        <v>0</v>
      </c>
      <c r="U13058" s="21" t="n">
        <v>0</v>
      </c>
      <c r="V13058" s="21" t="n">
        <v>0</v>
      </c>
      <c r="W13058" s="21" t="n">
        <v>0</v>
      </c>
      <c r="X13058" s="21" t="n">
        <v>0</v>
      </c>
      <c r="Y13058" s="21" t="n">
        <v>0</v>
      </c>
      <c r="Z13058" s="19" t="n"/>
    </row>
    <row r="13059">
      <c r="D13059" s="21">
        <f>$B$12190</f>
        <v/>
      </c>
      <c r="E13059" s="21">
        <f>$B$12192</f>
        <v/>
      </c>
      <c r="F13059" s="21">
        <f>0</f>
        <v/>
      </c>
      <c r="G13059" s="21">
        <f>2*$B$12191</f>
        <v/>
      </c>
      <c r="H13059" s="21">
        <f>-$B$12190</f>
        <v/>
      </c>
      <c r="I13059" s="21">
        <f>$B$12192</f>
        <v/>
      </c>
      <c r="J13059" s="21" t="n">
        <v>0</v>
      </c>
      <c r="K13059" s="21" t="n">
        <v>0</v>
      </c>
      <c r="L13059" s="21" t="n">
        <v>0</v>
      </c>
      <c r="M13059" s="21" t="n">
        <v>0</v>
      </c>
      <c r="N13059" s="21" t="n">
        <v>0</v>
      </c>
      <c r="O13059" s="21" t="n">
        <v>0</v>
      </c>
      <c r="P13059" s="21" t="n">
        <v>0</v>
      </c>
      <c r="Q13059" s="21" t="n">
        <v>0</v>
      </c>
      <c r="R13059" s="21" t="n">
        <v>0</v>
      </c>
      <c r="S13059" s="21" t="n">
        <v>0</v>
      </c>
      <c r="T13059" s="21" t="n">
        <v>0</v>
      </c>
      <c r="U13059" s="21" t="n">
        <v>0</v>
      </c>
      <c r="V13059" s="21" t="n">
        <v>0</v>
      </c>
      <c r="W13059" s="21" t="n">
        <v>0</v>
      </c>
      <c r="X13059" s="21" t="n">
        <v>0</v>
      </c>
      <c r="Y13059" s="21" t="n">
        <v>0</v>
      </c>
      <c r="Z13059" s="19" t="n"/>
    </row>
    <row r="13060">
      <c r="D13060" s="21" t="n">
        <v>0</v>
      </c>
      <c r="E13060" s="21" t="n">
        <v>0</v>
      </c>
      <c r="F13060" s="21">
        <f>-$B$12189</f>
        <v/>
      </c>
      <c r="G13060" s="21">
        <f>-$B$12190</f>
        <v/>
      </c>
      <c r="H13060" s="21">
        <f>2*$B$12189+$D$13046</f>
        <v/>
      </c>
      <c r="I13060" s="21">
        <f>0</f>
        <v/>
      </c>
      <c r="J13060" s="21">
        <f>-$B$12189</f>
        <v/>
      </c>
      <c r="K13060" s="21">
        <f>$B$12190</f>
        <v/>
      </c>
      <c r="L13060" s="21" t="n">
        <v>0</v>
      </c>
      <c r="M13060" s="21" t="n">
        <v>0</v>
      </c>
      <c r="N13060" s="21" t="n">
        <v>0</v>
      </c>
      <c r="O13060" s="21" t="n">
        <v>0</v>
      </c>
      <c r="P13060" s="21" t="n">
        <v>0</v>
      </c>
      <c r="Q13060" s="21" t="n">
        <v>0</v>
      </c>
      <c r="R13060" s="21" t="n">
        <v>0</v>
      </c>
      <c r="S13060" s="21" t="n">
        <v>0</v>
      </c>
      <c r="T13060" s="21" t="n">
        <v>0</v>
      </c>
      <c r="U13060" s="21" t="n">
        <v>0</v>
      </c>
      <c r="V13060" s="21" t="n">
        <v>0</v>
      </c>
      <c r="W13060" s="21" t="n">
        <v>0</v>
      </c>
      <c r="X13060" s="21" t="n">
        <v>0</v>
      </c>
      <c r="Y13060" s="21" t="n">
        <v>0</v>
      </c>
      <c r="Z13060" s="19" t="n"/>
    </row>
    <row r="13061">
      <c r="D13061" s="21" t="n">
        <v>0</v>
      </c>
      <c r="E13061" s="21" t="n">
        <v>0</v>
      </c>
      <c r="F13061" s="21">
        <f>$B$12190</f>
        <v/>
      </c>
      <c r="G13061" s="21">
        <f>$B$12192</f>
        <v/>
      </c>
      <c r="H13061" s="21">
        <f>0</f>
        <v/>
      </c>
      <c r="I13061" s="21">
        <f>2*$B$12191</f>
        <v/>
      </c>
      <c r="J13061" s="21">
        <f>-$B$12190</f>
        <v/>
      </c>
      <c r="K13061" s="21">
        <f>$B$12192</f>
        <v/>
      </c>
      <c r="L13061" s="21" t="n">
        <v>0</v>
      </c>
      <c r="M13061" s="21" t="n">
        <v>0</v>
      </c>
      <c r="N13061" s="21" t="n">
        <v>0</v>
      </c>
      <c r="O13061" s="21" t="n">
        <v>0</v>
      </c>
      <c r="P13061" s="21" t="n">
        <v>0</v>
      </c>
      <c r="Q13061" s="21" t="n">
        <v>0</v>
      </c>
      <c r="R13061" s="21" t="n">
        <v>0</v>
      </c>
      <c r="S13061" s="21" t="n">
        <v>0</v>
      </c>
      <c r="T13061" s="21" t="n">
        <v>0</v>
      </c>
      <c r="U13061" s="21" t="n">
        <v>0</v>
      </c>
      <c r="V13061" s="21" t="n">
        <v>0</v>
      </c>
      <c r="W13061" s="21" t="n">
        <v>0</v>
      </c>
      <c r="X13061" s="21" t="n">
        <v>0</v>
      </c>
      <c r="Y13061" s="21" t="n">
        <v>0</v>
      </c>
      <c r="Z13061" s="19" t="n"/>
    </row>
    <row r="13062">
      <c r="D13062" s="21" t="n">
        <v>0</v>
      </c>
      <c r="E13062" s="21" t="n">
        <v>0</v>
      </c>
      <c r="F13062" s="21" t="n">
        <v>0</v>
      </c>
      <c r="G13062" s="21" t="n">
        <v>0</v>
      </c>
      <c r="H13062" s="21">
        <f>-$B$12189</f>
        <v/>
      </c>
      <c r="I13062" s="21">
        <f>-$B$12190</f>
        <v/>
      </c>
      <c r="J13062" s="21">
        <f>2*$B$12189+$D$13047</f>
        <v/>
      </c>
      <c r="K13062" s="21">
        <f>0</f>
        <v/>
      </c>
      <c r="L13062" s="21">
        <f>-$B$12189</f>
        <v/>
      </c>
      <c r="M13062" s="21">
        <f>$B$12190</f>
        <v/>
      </c>
      <c r="N13062" s="21" t="n">
        <v>0</v>
      </c>
      <c r="O13062" s="21" t="n">
        <v>0</v>
      </c>
      <c r="P13062" s="21" t="n">
        <v>0</v>
      </c>
      <c r="Q13062" s="21" t="n">
        <v>0</v>
      </c>
      <c r="R13062" s="21" t="n">
        <v>0</v>
      </c>
      <c r="S13062" s="21" t="n">
        <v>0</v>
      </c>
      <c r="T13062" s="21" t="n">
        <v>0</v>
      </c>
      <c r="U13062" s="21" t="n">
        <v>0</v>
      </c>
      <c r="V13062" s="21" t="n">
        <v>0</v>
      </c>
      <c r="W13062" s="21" t="n">
        <v>0</v>
      </c>
      <c r="X13062" s="21" t="n">
        <v>0</v>
      </c>
      <c r="Y13062" s="21" t="n">
        <v>0</v>
      </c>
      <c r="Z13062" s="19" t="n"/>
    </row>
    <row r="13063">
      <c r="D13063" s="21" t="n">
        <v>0</v>
      </c>
      <c r="E13063" s="21" t="n">
        <v>0</v>
      </c>
      <c r="F13063" s="21" t="n">
        <v>0</v>
      </c>
      <c r="G13063" s="21" t="n">
        <v>0</v>
      </c>
      <c r="H13063" s="21">
        <f>$B$12190</f>
        <v/>
      </c>
      <c r="I13063" s="21">
        <f>$B$12192</f>
        <v/>
      </c>
      <c r="J13063" s="21">
        <f>0</f>
        <v/>
      </c>
      <c r="K13063" s="21">
        <f>2*$B$12191</f>
        <v/>
      </c>
      <c r="L13063" s="21">
        <f>-$B$12190</f>
        <v/>
      </c>
      <c r="M13063" s="21">
        <f>$B$12192</f>
        <v/>
      </c>
      <c r="N13063" s="21" t="n">
        <v>0</v>
      </c>
      <c r="O13063" s="21" t="n">
        <v>0</v>
      </c>
      <c r="P13063" s="21" t="n">
        <v>0</v>
      </c>
      <c r="Q13063" s="21" t="n">
        <v>0</v>
      </c>
      <c r="R13063" s="21" t="n">
        <v>0</v>
      </c>
      <c r="S13063" s="21" t="n">
        <v>0</v>
      </c>
      <c r="T13063" s="21" t="n">
        <v>0</v>
      </c>
      <c r="U13063" s="21" t="n">
        <v>0</v>
      </c>
      <c r="V13063" s="21" t="n">
        <v>0</v>
      </c>
      <c r="W13063" s="21" t="n">
        <v>0</v>
      </c>
      <c r="X13063" s="21" t="n">
        <v>0</v>
      </c>
      <c r="Y13063" s="21" t="n">
        <v>0</v>
      </c>
      <c r="Z13063" s="19" t="n"/>
    </row>
    <row r="13064">
      <c r="D13064" s="21" t="n">
        <v>0</v>
      </c>
      <c r="E13064" s="21" t="n">
        <v>0</v>
      </c>
      <c r="F13064" s="21" t="n">
        <v>0</v>
      </c>
      <c r="G13064" s="21" t="n">
        <v>0</v>
      </c>
      <c r="H13064" s="21" t="n">
        <v>0</v>
      </c>
      <c r="I13064" s="21" t="n">
        <v>0</v>
      </c>
      <c r="J13064" s="21">
        <f>-$B$12189</f>
        <v/>
      </c>
      <c r="K13064" s="21">
        <f>-$B$12190</f>
        <v/>
      </c>
      <c r="L13064" s="21">
        <f>2*$B$12189+$D$13048</f>
        <v/>
      </c>
      <c r="M13064" s="21">
        <f>0</f>
        <v/>
      </c>
      <c r="N13064" s="21">
        <f>-$B$12189</f>
        <v/>
      </c>
      <c r="O13064" s="21">
        <f>$B$12190</f>
        <v/>
      </c>
      <c r="P13064" s="21" t="n">
        <v>0</v>
      </c>
      <c r="Q13064" s="21" t="n">
        <v>0</v>
      </c>
      <c r="R13064" s="21" t="n">
        <v>0</v>
      </c>
      <c r="S13064" s="21" t="n">
        <v>0</v>
      </c>
      <c r="T13064" s="21" t="n">
        <v>0</v>
      </c>
      <c r="U13064" s="21" t="n">
        <v>0</v>
      </c>
      <c r="V13064" s="21" t="n">
        <v>0</v>
      </c>
      <c r="W13064" s="21" t="n">
        <v>0</v>
      </c>
      <c r="X13064" s="21" t="n">
        <v>0</v>
      </c>
      <c r="Y13064" s="21" t="n">
        <v>0</v>
      </c>
      <c r="Z13064" s="19" t="n"/>
    </row>
    <row r="13065">
      <c r="D13065" s="21" t="n">
        <v>0</v>
      </c>
      <c r="E13065" s="21" t="n">
        <v>0</v>
      </c>
      <c r="F13065" s="21" t="n">
        <v>0</v>
      </c>
      <c r="G13065" s="21" t="n">
        <v>0</v>
      </c>
      <c r="H13065" s="21" t="n">
        <v>0</v>
      </c>
      <c r="I13065" s="21" t="n">
        <v>0</v>
      </c>
      <c r="J13065" s="21">
        <f>$B$12190</f>
        <v/>
      </c>
      <c r="K13065" s="21">
        <f>$B$12192</f>
        <v/>
      </c>
      <c r="L13065" s="21">
        <f>0</f>
        <v/>
      </c>
      <c r="M13065" s="21">
        <f>2*$B$12191</f>
        <v/>
      </c>
      <c r="N13065" s="21">
        <f>-$B$12190</f>
        <v/>
      </c>
      <c r="O13065" s="21">
        <f>$B$12192</f>
        <v/>
      </c>
      <c r="P13065" s="21" t="n">
        <v>0</v>
      </c>
      <c r="Q13065" s="21" t="n">
        <v>0</v>
      </c>
      <c r="R13065" s="21" t="n">
        <v>0</v>
      </c>
      <c r="S13065" s="21" t="n">
        <v>0</v>
      </c>
      <c r="T13065" s="21" t="n">
        <v>0</v>
      </c>
      <c r="U13065" s="21" t="n">
        <v>0</v>
      </c>
      <c r="V13065" s="21" t="n">
        <v>0</v>
      </c>
      <c r="W13065" s="21" t="n">
        <v>0</v>
      </c>
      <c r="X13065" s="21" t="n">
        <v>0</v>
      </c>
      <c r="Y13065" s="21" t="n">
        <v>0</v>
      </c>
      <c r="Z13065" s="19" t="n"/>
    </row>
    <row r="13066">
      <c r="D13066" s="21" t="n">
        <v>0</v>
      </c>
      <c r="E13066" s="21" t="n">
        <v>0</v>
      </c>
      <c r="F13066" s="21" t="n">
        <v>0</v>
      </c>
      <c r="G13066" s="21" t="n">
        <v>0</v>
      </c>
      <c r="H13066" s="21" t="n">
        <v>0</v>
      </c>
      <c r="I13066" s="21" t="n">
        <v>0</v>
      </c>
      <c r="J13066" s="21" t="n">
        <v>0</v>
      </c>
      <c r="K13066" s="21" t="n">
        <v>0</v>
      </c>
      <c r="L13066" s="21">
        <f>-$B$12189</f>
        <v/>
      </c>
      <c r="M13066" s="21">
        <f>-$B$12190</f>
        <v/>
      </c>
      <c r="N13066" s="21">
        <f>2*$B$12189+$D$13049</f>
        <v/>
      </c>
      <c r="O13066" s="21">
        <f>0</f>
        <v/>
      </c>
      <c r="P13066" s="21">
        <f>-$B$12189</f>
        <v/>
      </c>
      <c r="Q13066" s="21">
        <f>$B$12190</f>
        <v/>
      </c>
      <c r="R13066" s="21" t="n">
        <v>0</v>
      </c>
      <c r="S13066" s="21" t="n">
        <v>0</v>
      </c>
      <c r="T13066" s="21" t="n">
        <v>0</v>
      </c>
      <c r="U13066" s="21" t="n">
        <v>0</v>
      </c>
      <c r="V13066" s="21" t="n">
        <v>0</v>
      </c>
      <c r="W13066" s="21" t="n">
        <v>0</v>
      </c>
      <c r="X13066" s="21" t="n">
        <v>0</v>
      </c>
      <c r="Y13066" s="21" t="n">
        <v>0</v>
      </c>
      <c r="Z13066" s="19" t="n"/>
    </row>
    <row r="13067">
      <c r="D13067" s="21" t="n">
        <v>0</v>
      </c>
      <c r="E13067" s="21" t="n">
        <v>0</v>
      </c>
      <c r="F13067" s="21" t="n">
        <v>0</v>
      </c>
      <c r="G13067" s="21" t="n">
        <v>0</v>
      </c>
      <c r="H13067" s="21" t="n">
        <v>0</v>
      </c>
      <c r="I13067" s="21" t="n">
        <v>0</v>
      </c>
      <c r="J13067" s="21" t="n">
        <v>0</v>
      </c>
      <c r="K13067" s="21" t="n">
        <v>0</v>
      </c>
      <c r="L13067" s="21">
        <f>$B$12190</f>
        <v/>
      </c>
      <c r="M13067" s="21">
        <f>$B$12192</f>
        <v/>
      </c>
      <c r="N13067" s="21">
        <f>0</f>
        <v/>
      </c>
      <c r="O13067" s="21">
        <f>2*$B$12191</f>
        <v/>
      </c>
      <c r="P13067" s="21">
        <f>-$B$12190</f>
        <v/>
      </c>
      <c r="Q13067" s="21">
        <f>$B$12192</f>
        <v/>
      </c>
      <c r="R13067" s="21" t="n">
        <v>0</v>
      </c>
      <c r="S13067" s="21" t="n">
        <v>0</v>
      </c>
      <c r="T13067" s="21" t="n">
        <v>0</v>
      </c>
      <c r="U13067" s="21" t="n">
        <v>0</v>
      </c>
      <c r="V13067" s="21" t="n">
        <v>0</v>
      </c>
      <c r="W13067" s="21" t="n">
        <v>0</v>
      </c>
      <c r="X13067" s="21" t="n">
        <v>0</v>
      </c>
      <c r="Y13067" s="21" t="n">
        <v>0</v>
      </c>
      <c r="Z13067" s="19" t="n"/>
    </row>
    <row r="13068">
      <c r="D13068" s="21" t="n">
        <v>0</v>
      </c>
      <c r="E13068" s="21" t="n">
        <v>0</v>
      </c>
      <c r="F13068" s="21" t="n">
        <v>0</v>
      </c>
      <c r="G13068" s="21" t="n">
        <v>0</v>
      </c>
      <c r="H13068" s="21" t="n">
        <v>0</v>
      </c>
      <c r="I13068" s="21" t="n">
        <v>0</v>
      </c>
      <c r="J13068" s="21" t="n">
        <v>0</v>
      </c>
      <c r="K13068" s="21" t="n">
        <v>0</v>
      </c>
      <c r="L13068" s="21" t="n">
        <v>0</v>
      </c>
      <c r="M13068" s="21" t="n">
        <v>0</v>
      </c>
      <c r="N13068" s="21">
        <f>-$B$12189</f>
        <v/>
      </c>
      <c r="O13068" s="21">
        <f>-$B$12190</f>
        <v/>
      </c>
      <c r="P13068" s="21">
        <f>2*$B$12189+$D$13050</f>
        <v/>
      </c>
      <c r="Q13068" s="21">
        <f>0</f>
        <v/>
      </c>
      <c r="R13068" s="21">
        <f>-$B$12189</f>
        <v/>
      </c>
      <c r="S13068" s="21">
        <f>$B$12190</f>
        <v/>
      </c>
      <c r="T13068" s="21" t="n">
        <v>0</v>
      </c>
      <c r="U13068" s="21" t="n">
        <v>0</v>
      </c>
      <c r="V13068" s="21" t="n">
        <v>0</v>
      </c>
      <c r="W13068" s="21" t="n">
        <v>0</v>
      </c>
      <c r="X13068" s="21" t="n">
        <v>0</v>
      </c>
      <c r="Y13068" s="21" t="n">
        <v>0</v>
      </c>
      <c r="Z13068" s="19" t="n"/>
    </row>
    <row r="13069">
      <c r="D13069" s="21" t="n">
        <v>0</v>
      </c>
      <c r="E13069" s="21" t="n">
        <v>0</v>
      </c>
      <c r="F13069" s="21" t="n">
        <v>0</v>
      </c>
      <c r="G13069" s="21" t="n">
        <v>0</v>
      </c>
      <c r="H13069" s="21" t="n">
        <v>0</v>
      </c>
      <c r="I13069" s="21" t="n">
        <v>0</v>
      </c>
      <c r="J13069" s="21" t="n">
        <v>0</v>
      </c>
      <c r="K13069" s="21" t="n">
        <v>0</v>
      </c>
      <c r="L13069" s="21" t="n">
        <v>0</v>
      </c>
      <c r="M13069" s="21" t="n">
        <v>0</v>
      </c>
      <c r="N13069" s="21">
        <f>$B$12190</f>
        <v/>
      </c>
      <c r="O13069" s="21">
        <f>$B$12192</f>
        <v/>
      </c>
      <c r="P13069" s="21">
        <f>0</f>
        <v/>
      </c>
      <c r="Q13069" s="21">
        <f>2*$B$12191</f>
        <v/>
      </c>
      <c r="R13069" s="21">
        <f>-$B$12190</f>
        <v/>
      </c>
      <c r="S13069" s="21">
        <f>$B$12192</f>
        <v/>
      </c>
      <c r="T13069" s="21" t="n">
        <v>0</v>
      </c>
      <c r="U13069" s="21" t="n">
        <v>0</v>
      </c>
      <c r="V13069" s="21" t="n">
        <v>0</v>
      </c>
      <c r="W13069" s="21" t="n">
        <v>0</v>
      </c>
      <c r="X13069" s="21" t="n">
        <v>0</v>
      </c>
      <c r="Y13069" s="21" t="n">
        <v>0</v>
      </c>
      <c r="Z13069" s="19" t="n"/>
    </row>
    <row r="13070">
      <c r="D13070" s="21" t="n">
        <v>0</v>
      </c>
      <c r="E13070" s="21" t="n">
        <v>0</v>
      </c>
      <c r="F13070" s="21" t="n">
        <v>0</v>
      </c>
      <c r="G13070" s="21" t="n">
        <v>0</v>
      </c>
      <c r="H13070" s="21" t="n">
        <v>0</v>
      </c>
      <c r="I13070" s="21" t="n">
        <v>0</v>
      </c>
      <c r="J13070" s="21" t="n">
        <v>0</v>
      </c>
      <c r="K13070" s="21" t="n">
        <v>0</v>
      </c>
      <c r="L13070" s="21" t="n">
        <v>0</v>
      </c>
      <c r="M13070" s="21" t="n">
        <v>0</v>
      </c>
      <c r="N13070" s="21" t="n">
        <v>0</v>
      </c>
      <c r="O13070" s="21" t="n">
        <v>0</v>
      </c>
      <c r="P13070" s="21">
        <f>-$B$12189</f>
        <v/>
      </c>
      <c r="Q13070" s="21">
        <f>-$B$12190</f>
        <v/>
      </c>
      <c r="R13070" s="21">
        <f>2*$B$12189+$D$13051</f>
        <v/>
      </c>
      <c r="S13070" s="21">
        <f>0</f>
        <v/>
      </c>
      <c r="T13070" s="21">
        <f>-$B$12189</f>
        <v/>
      </c>
      <c r="U13070" s="21">
        <f>$B$12190</f>
        <v/>
      </c>
      <c r="V13070" s="21" t="n">
        <v>0</v>
      </c>
      <c r="W13070" s="21" t="n">
        <v>0</v>
      </c>
      <c r="X13070" s="21" t="n">
        <v>0</v>
      </c>
      <c r="Y13070" s="21" t="n">
        <v>0</v>
      </c>
      <c r="Z13070" s="19" t="n"/>
    </row>
    <row r="13071">
      <c r="D13071" s="21" t="n">
        <v>0</v>
      </c>
      <c r="E13071" s="21" t="n">
        <v>0</v>
      </c>
      <c r="F13071" s="21" t="n">
        <v>0</v>
      </c>
      <c r="G13071" s="21" t="n">
        <v>0</v>
      </c>
      <c r="H13071" s="21" t="n">
        <v>0</v>
      </c>
      <c r="I13071" s="21" t="n">
        <v>0</v>
      </c>
      <c r="J13071" s="21" t="n">
        <v>0</v>
      </c>
      <c r="K13071" s="21" t="n">
        <v>0</v>
      </c>
      <c r="L13071" s="21" t="n">
        <v>0</v>
      </c>
      <c r="M13071" s="21" t="n">
        <v>0</v>
      </c>
      <c r="N13071" s="21" t="n">
        <v>0</v>
      </c>
      <c r="O13071" s="21" t="n">
        <v>0</v>
      </c>
      <c r="P13071" s="21">
        <f>$B$12190</f>
        <v/>
      </c>
      <c r="Q13071" s="21">
        <f>$B$12192</f>
        <v/>
      </c>
      <c r="R13071" s="21">
        <f>0</f>
        <v/>
      </c>
      <c r="S13071" s="21">
        <f>2*$B$12191</f>
        <v/>
      </c>
      <c r="T13071" s="21">
        <f>-$B$12190</f>
        <v/>
      </c>
      <c r="U13071" s="21">
        <f>$B$12192</f>
        <v/>
      </c>
      <c r="V13071" s="21" t="n">
        <v>0</v>
      </c>
      <c r="W13071" s="21" t="n">
        <v>0</v>
      </c>
      <c r="X13071" s="21" t="n">
        <v>0</v>
      </c>
      <c r="Y13071" s="21" t="n">
        <v>0</v>
      </c>
      <c r="Z13071" s="19" t="n"/>
    </row>
    <row r="13072">
      <c r="D13072" s="21" t="n">
        <v>0</v>
      </c>
      <c r="E13072" s="21" t="n">
        <v>0</v>
      </c>
      <c r="F13072" s="21" t="n">
        <v>0</v>
      </c>
      <c r="G13072" s="21" t="n">
        <v>0</v>
      </c>
      <c r="H13072" s="21" t="n">
        <v>0</v>
      </c>
      <c r="I13072" s="21" t="n">
        <v>0</v>
      </c>
      <c r="J13072" s="21" t="n">
        <v>0</v>
      </c>
      <c r="K13072" s="21" t="n">
        <v>0</v>
      </c>
      <c r="L13072" s="21" t="n">
        <v>0</v>
      </c>
      <c r="M13072" s="21" t="n">
        <v>0</v>
      </c>
      <c r="N13072" s="21" t="n">
        <v>0</v>
      </c>
      <c r="O13072" s="21" t="n">
        <v>0</v>
      </c>
      <c r="P13072" s="21" t="n">
        <v>0</v>
      </c>
      <c r="Q13072" s="21" t="n">
        <v>0</v>
      </c>
      <c r="R13072" s="21">
        <f>-$B$12189</f>
        <v/>
      </c>
      <c r="S13072" s="21">
        <f>-$B$12190</f>
        <v/>
      </c>
      <c r="T13072" s="21">
        <f>2*$B$12189+$D$13052</f>
        <v/>
      </c>
      <c r="U13072" s="21">
        <f>0</f>
        <v/>
      </c>
      <c r="V13072" s="21">
        <f>-$B$12189</f>
        <v/>
      </c>
      <c r="W13072" s="21">
        <f>$B$12190</f>
        <v/>
      </c>
      <c r="X13072" s="21" t="n">
        <v>0</v>
      </c>
      <c r="Y13072" s="21" t="n">
        <v>0</v>
      </c>
      <c r="Z13072" s="19" t="n"/>
    </row>
    <row r="13073">
      <c r="D13073" s="21" t="n">
        <v>0</v>
      </c>
      <c r="E13073" s="21" t="n">
        <v>0</v>
      </c>
      <c r="F13073" s="21" t="n">
        <v>0</v>
      </c>
      <c r="G13073" s="21" t="n">
        <v>0</v>
      </c>
      <c r="H13073" s="21" t="n">
        <v>0</v>
      </c>
      <c r="I13073" s="21" t="n">
        <v>0</v>
      </c>
      <c r="J13073" s="21" t="n">
        <v>0</v>
      </c>
      <c r="K13073" s="21" t="n">
        <v>0</v>
      </c>
      <c r="L13073" s="21" t="n">
        <v>0</v>
      </c>
      <c r="M13073" s="21" t="n">
        <v>0</v>
      </c>
      <c r="N13073" s="21" t="n">
        <v>0</v>
      </c>
      <c r="O13073" s="21" t="n">
        <v>0</v>
      </c>
      <c r="P13073" s="21" t="n">
        <v>0</v>
      </c>
      <c r="Q13073" s="21" t="n">
        <v>0</v>
      </c>
      <c r="R13073" s="21">
        <f>$B$12190</f>
        <v/>
      </c>
      <c r="S13073" s="21">
        <f>$B$12192</f>
        <v/>
      </c>
      <c r="T13073" s="21">
        <f>0</f>
        <v/>
      </c>
      <c r="U13073" s="21">
        <f>2*$B$12191</f>
        <v/>
      </c>
      <c r="V13073" s="21">
        <f>-$B$12190</f>
        <v/>
      </c>
      <c r="W13073" s="21">
        <f>$B$12192</f>
        <v/>
      </c>
      <c r="X13073" s="21" t="n">
        <v>0</v>
      </c>
      <c r="Y13073" s="21" t="n">
        <v>0</v>
      </c>
      <c r="Z13073" s="19" t="n"/>
    </row>
    <row r="13074">
      <c r="D13074" s="21" t="n">
        <v>0</v>
      </c>
      <c r="E13074" s="21" t="n">
        <v>0</v>
      </c>
      <c r="F13074" s="21" t="n">
        <v>0</v>
      </c>
      <c r="G13074" s="21" t="n">
        <v>0</v>
      </c>
      <c r="H13074" s="21" t="n">
        <v>0</v>
      </c>
      <c r="I13074" s="21" t="n">
        <v>0</v>
      </c>
      <c r="J13074" s="21" t="n">
        <v>0</v>
      </c>
      <c r="K13074" s="21" t="n">
        <v>0</v>
      </c>
      <c r="L13074" s="21" t="n">
        <v>0</v>
      </c>
      <c r="M13074" s="21" t="n">
        <v>0</v>
      </c>
      <c r="N13074" s="21" t="n">
        <v>0</v>
      </c>
      <c r="O13074" s="21" t="n">
        <v>0</v>
      </c>
      <c r="P13074" s="21" t="n">
        <v>0</v>
      </c>
      <c r="Q13074" s="21" t="n">
        <v>0</v>
      </c>
      <c r="R13074" s="21" t="n">
        <v>0</v>
      </c>
      <c r="S13074" s="21" t="n">
        <v>0</v>
      </c>
      <c r="T13074" s="21">
        <f>-$B$12189</f>
        <v/>
      </c>
      <c r="U13074" s="21">
        <f>-$B$12190</f>
        <v/>
      </c>
      <c r="V13074" s="21">
        <f>2*$B$12189+$D$13053</f>
        <v/>
      </c>
      <c r="W13074" s="21">
        <f>0</f>
        <v/>
      </c>
      <c r="X13074" s="21">
        <f>-$B$12189</f>
        <v/>
      </c>
      <c r="Y13074" s="21">
        <f>$B$12190</f>
        <v/>
      </c>
      <c r="Z13074" s="19" t="n"/>
    </row>
    <row r="13075">
      <c r="D13075" s="21" t="n">
        <v>0</v>
      </c>
      <c r="E13075" s="21" t="n">
        <v>0</v>
      </c>
      <c r="F13075" s="21" t="n">
        <v>0</v>
      </c>
      <c r="G13075" s="21" t="n">
        <v>0</v>
      </c>
      <c r="H13075" s="21" t="n">
        <v>0</v>
      </c>
      <c r="I13075" s="21" t="n">
        <v>0</v>
      </c>
      <c r="J13075" s="21" t="n">
        <v>0</v>
      </c>
      <c r="K13075" s="21" t="n">
        <v>0</v>
      </c>
      <c r="L13075" s="21" t="n">
        <v>0</v>
      </c>
      <c r="M13075" s="21" t="n">
        <v>0</v>
      </c>
      <c r="N13075" s="21" t="n">
        <v>0</v>
      </c>
      <c r="O13075" s="21" t="n">
        <v>0</v>
      </c>
      <c r="P13075" s="21" t="n">
        <v>0</v>
      </c>
      <c r="Q13075" s="21" t="n">
        <v>0</v>
      </c>
      <c r="R13075" s="21" t="n">
        <v>0</v>
      </c>
      <c r="S13075" s="21" t="n">
        <v>0</v>
      </c>
      <c r="T13075" s="21">
        <f>$B$12190</f>
        <v/>
      </c>
      <c r="U13075" s="21">
        <f>$B$12192</f>
        <v/>
      </c>
      <c r="V13075" s="21">
        <f>0</f>
        <v/>
      </c>
      <c r="W13075" s="21">
        <f>2*$B$12191</f>
        <v/>
      </c>
      <c r="X13075" s="21">
        <f>-$B$12190</f>
        <v/>
      </c>
      <c r="Y13075" s="21">
        <f>$B$12192</f>
        <v/>
      </c>
      <c r="Z13075" s="19" t="n"/>
    </row>
    <row r="13076">
      <c r="D13076" s="21" t="n">
        <v>0</v>
      </c>
      <c r="E13076" s="21" t="n">
        <v>0</v>
      </c>
      <c r="F13076" s="21" t="n">
        <v>0</v>
      </c>
      <c r="G13076" s="21" t="n">
        <v>0</v>
      </c>
      <c r="H13076" s="21" t="n">
        <v>0</v>
      </c>
      <c r="I13076" s="21" t="n">
        <v>0</v>
      </c>
      <c r="J13076" s="21" t="n">
        <v>0</v>
      </c>
      <c r="K13076" s="21" t="n">
        <v>0</v>
      </c>
      <c r="L13076" s="21" t="n">
        <v>0</v>
      </c>
      <c r="M13076" s="21" t="n">
        <v>0</v>
      </c>
      <c r="N13076" s="21" t="n">
        <v>0</v>
      </c>
      <c r="O13076" s="21" t="n">
        <v>0</v>
      </c>
      <c r="P13076" s="21" t="n">
        <v>0</v>
      </c>
      <c r="Q13076" s="21" t="n">
        <v>0</v>
      </c>
      <c r="R13076" s="21" t="n">
        <v>0</v>
      </c>
      <c r="S13076" s="21" t="n">
        <v>0</v>
      </c>
      <c r="T13076" s="21" t="n">
        <v>0</v>
      </c>
      <c r="U13076" s="21" t="n">
        <v>0</v>
      </c>
      <c r="V13076" s="21">
        <f>-$B$12189</f>
        <v/>
      </c>
      <c r="W13076" s="21">
        <f>-$B$12190</f>
        <v/>
      </c>
      <c r="X13076" s="21">
        <f>$B$12189+$D$13054</f>
        <v/>
      </c>
      <c r="Y13076" s="21">
        <f>-$B$12190</f>
        <v/>
      </c>
      <c r="Z13076" s="19" t="n"/>
    </row>
    <row r="13077">
      <c r="D13077" s="21" t="n">
        <v>0</v>
      </c>
      <c r="E13077" s="21" t="n">
        <v>0</v>
      </c>
      <c r="F13077" s="21" t="n">
        <v>0</v>
      </c>
      <c r="G13077" s="21" t="n">
        <v>0</v>
      </c>
      <c r="H13077" s="21" t="n">
        <v>0</v>
      </c>
      <c r="I13077" s="21" t="n">
        <v>0</v>
      </c>
      <c r="J13077" s="21" t="n">
        <v>0</v>
      </c>
      <c r="K13077" s="21" t="n">
        <v>0</v>
      </c>
      <c r="L13077" s="21" t="n">
        <v>0</v>
      </c>
      <c r="M13077" s="21" t="n">
        <v>0</v>
      </c>
      <c r="N13077" s="21" t="n">
        <v>0</v>
      </c>
      <c r="O13077" s="21" t="n">
        <v>0</v>
      </c>
      <c r="P13077" s="21" t="n">
        <v>0</v>
      </c>
      <c r="Q13077" s="21" t="n">
        <v>0</v>
      </c>
      <c r="R13077" s="21" t="n">
        <v>0</v>
      </c>
      <c r="S13077" s="21" t="n">
        <v>0</v>
      </c>
      <c r="T13077" s="21" t="n">
        <v>0</v>
      </c>
      <c r="U13077" s="21" t="n">
        <v>0</v>
      </c>
      <c r="V13077" s="21">
        <f>$B$12190</f>
        <v/>
      </c>
      <c r="W13077" s="21">
        <f>$B$12192</f>
        <v/>
      </c>
      <c r="X13077" s="21">
        <f>-$B$12190</f>
        <v/>
      </c>
      <c r="Y13077" s="21">
        <f>$B$12191</f>
        <v/>
      </c>
      <c r="Z13077" s="19" t="n"/>
    </row>
    <row r="13079">
      <c r="A13079" s="8" t="inlineStr">
        <is>
          <t>gen 24</t>
        </is>
      </c>
    </row>
    <row r="13080">
      <c r="D13080" s="19">
        <f>IF(ABS(IF(ABS($E$13044)&gt;0.000000001,$E$13044,0.000000001))=0,0,IF($E$12204&lt;=$B$12198,0,IF(ABS(IF(ABS($E$13044)&gt;0.000000001,$E$13044,0.000000001))&gt;=8*$B$12200,$H$12204,0.5*$H$12204*(ABS(IF(ABS($E$13044)&gt;0.000000001,$E$13044,0.000000001))/$B$12200)^(1/3)))/ABS(IF(ABS($E$13044)&gt;0.000000001,$E$13044,0.000000001))*$I$12204)</f>
        <v/>
      </c>
      <c r="E13080" s="19">
        <f>0.5*$E$13044+0.5*$Z$13092</f>
        <v/>
      </c>
      <c r="F13080" s="19">
        <f>$Z$13093</f>
        <v/>
      </c>
    </row>
    <row r="13081">
      <c r="D13081" s="19">
        <f>IF(ABS(IF(ABS($E$13045)&gt;0.000000001,$E$13045,0.000000001))=0,0,IF($E$12205&lt;=$B$12198,0,IF(ABS(IF(ABS($E$13045)&gt;0.000000001,$E$13045,0.000000001))&gt;=8*$B$12200,$H$12205,0.5*$H$12205*(ABS(IF(ABS($E$13045)&gt;0.000000001,$E$13045,0.000000001))/$B$12200)^(1/3)))/ABS(IF(ABS($E$13045)&gt;0.000000001,$E$13045,0.000000001))*$I$12205)</f>
        <v/>
      </c>
      <c r="E13081" s="19">
        <f>0.5*$E$13045+0.5*$Z$13094</f>
        <v/>
      </c>
      <c r="F13081" s="19">
        <f>$Z$13095</f>
        <v/>
      </c>
    </row>
    <row r="13082">
      <c r="D13082" s="19">
        <f>IF(ABS(IF(ABS($E$13046)&gt;0.000000001,$E$13046,0.000000001))=0,0,IF($E$12206&lt;=$B$12198,0,IF(ABS(IF(ABS($E$13046)&gt;0.000000001,$E$13046,0.000000001))&gt;=8*$B$12200,$H$12206,0.5*$H$12206*(ABS(IF(ABS($E$13046)&gt;0.000000001,$E$13046,0.000000001))/$B$12200)^(1/3)))/ABS(IF(ABS($E$13046)&gt;0.000000001,$E$13046,0.000000001))*$I$12206)</f>
        <v/>
      </c>
      <c r="E13082" s="19">
        <f>0.5*$E$13046+0.5*$Z$13096</f>
        <v/>
      </c>
      <c r="F13082" s="19">
        <f>$Z$13097</f>
        <v/>
      </c>
    </row>
    <row r="13083">
      <c r="D13083" s="19">
        <f>IF(ABS(IF(ABS($E$13047)&gt;0.000000001,$E$13047,0.000000001))=0,0,IF($E$12207&lt;=$B$12198,0,IF(ABS(IF(ABS($E$13047)&gt;0.000000001,$E$13047,0.000000001))&gt;=8*$B$12200,$H$12207,0.5*$H$12207*(ABS(IF(ABS($E$13047)&gt;0.000000001,$E$13047,0.000000001))/$B$12200)^(1/3)))/ABS(IF(ABS($E$13047)&gt;0.000000001,$E$13047,0.000000001))*$I$12207)</f>
        <v/>
      </c>
      <c r="E13083" s="19">
        <f>0.5*$E$13047+0.5*$Z$13098</f>
        <v/>
      </c>
      <c r="F13083" s="19">
        <f>$Z$13099</f>
        <v/>
      </c>
    </row>
    <row r="13084">
      <c r="D13084" s="19">
        <f>IF(ABS(IF(ABS($E$13048)&gt;0.000000001,$E$13048,0.000000001))=0,0,IF($E$12208&lt;=$B$12198,0,IF(ABS(IF(ABS($E$13048)&gt;0.000000001,$E$13048,0.000000001))&gt;=8*$B$12200,$H$12208,0.5*$H$12208*(ABS(IF(ABS($E$13048)&gt;0.000000001,$E$13048,0.000000001))/$B$12200)^(1/3)))/ABS(IF(ABS($E$13048)&gt;0.000000001,$E$13048,0.000000001))*$I$12208)</f>
        <v/>
      </c>
      <c r="E13084" s="19">
        <f>0.5*$E$13048+0.5*$Z$13100</f>
        <v/>
      </c>
      <c r="F13084" s="19">
        <f>$Z$13101</f>
        <v/>
      </c>
    </row>
    <row r="13085">
      <c r="D13085" s="19">
        <f>IF(ABS(IF(ABS($E$13049)&gt;0.000000001,$E$13049,0.000000001))=0,0,IF($E$12209&lt;=$B$12198,0,IF(ABS(IF(ABS($E$13049)&gt;0.000000001,$E$13049,0.000000001))&gt;=8*$B$12200,$H$12209,0.5*$H$12209*(ABS(IF(ABS($E$13049)&gt;0.000000001,$E$13049,0.000000001))/$B$12200)^(1/3)))/ABS(IF(ABS($E$13049)&gt;0.000000001,$E$13049,0.000000001))*$I$12209)</f>
        <v/>
      </c>
      <c r="E13085" s="19">
        <f>0.5*$E$13049+0.5*$Z$13102</f>
        <v/>
      </c>
      <c r="F13085" s="19">
        <f>$Z$13103</f>
        <v/>
      </c>
    </row>
    <row r="13086">
      <c r="D13086" s="19">
        <f>IF(ABS(IF(ABS($E$13050)&gt;0.000000001,$E$13050,0.000000001))=0,0,IF($E$12210&lt;=$B$12198,0,IF(ABS(IF(ABS($E$13050)&gt;0.000000001,$E$13050,0.000000001))&gt;=8*$B$12200,$H$12210,0.5*$H$12210*(ABS(IF(ABS($E$13050)&gt;0.000000001,$E$13050,0.000000001))/$B$12200)^(1/3)))/ABS(IF(ABS($E$13050)&gt;0.000000001,$E$13050,0.000000001))*$I$12210)</f>
        <v/>
      </c>
      <c r="E13086" s="19">
        <f>0.5*$E$13050+0.5*$Z$13104</f>
        <v/>
      </c>
      <c r="F13086" s="19">
        <f>$Z$13105</f>
        <v/>
      </c>
    </row>
    <row r="13087">
      <c r="D13087" s="19">
        <f>IF(ABS(IF(ABS($E$13051)&gt;0.000000001,$E$13051,0.000000001))=0,0,IF($E$12211&lt;=$B$12198,0,IF(ABS(IF(ABS($E$13051)&gt;0.000000001,$E$13051,0.000000001))&gt;=8*$B$12200,$H$12211,0.5*$H$12211*(ABS(IF(ABS($E$13051)&gt;0.000000001,$E$13051,0.000000001))/$B$12200)^(1/3)))/ABS(IF(ABS($E$13051)&gt;0.000000001,$E$13051,0.000000001))*$I$12211)</f>
        <v/>
      </c>
      <c r="E13087" s="19">
        <f>0.5*$E$13051+0.5*$Z$13106</f>
        <v/>
      </c>
      <c r="F13087" s="19">
        <f>$Z$13107</f>
        <v/>
      </c>
    </row>
    <row r="13088">
      <c r="D13088" s="19">
        <f>IF(ABS(IF(ABS($E$13052)&gt;0.000000001,$E$13052,0.000000001))=0,0,IF($E$12212&lt;=$B$12198,0,IF(ABS(IF(ABS($E$13052)&gt;0.000000001,$E$13052,0.000000001))&gt;=8*$B$12200,$H$12212,0.5*$H$12212*(ABS(IF(ABS($E$13052)&gt;0.000000001,$E$13052,0.000000001))/$B$12200)^(1/3)))/ABS(IF(ABS($E$13052)&gt;0.000000001,$E$13052,0.000000001))*$I$12212)</f>
        <v/>
      </c>
      <c r="E13088" s="19">
        <f>0.5*$E$13052+0.5*$Z$13108</f>
        <v/>
      </c>
      <c r="F13088" s="19">
        <f>$Z$13109</f>
        <v/>
      </c>
    </row>
    <row r="13089">
      <c r="D13089" s="19">
        <f>IF(ABS(IF(ABS($E$13053)&gt;0.000000001,$E$13053,0.000000001))=0,0,IF($E$12213&lt;=$B$12198,0,IF(ABS(IF(ABS($E$13053)&gt;0.000000001,$E$13053,0.000000001))&gt;=8*$B$12200,$H$12213,0.5*$H$12213*(ABS(IF(ABS($E$13053)&gt;0.000000001,$E$13053,0.000000001))/$B$12200)^(1/3)))/ABS(IF(ABS($E$13053)&gt;0.000000001,$E$13053,0.000000001))*$I$12213)</f>
        <v/>
      </c>
      <c r="E13089" s="19">
        <f>0.5*$E$13053+0.5*$Z$13110</f>
        <v/>
      </c>
      <c r="F13089" s="19">
        <f>$Z$13111</f>
        <v/>
      </c>
    </row>
    <row r="13090">
      <c r="D13090" s="19">
        <f>IF(ABS(IF(ABS($E$13054)&gt;0.000000001,$E$13054,0.000000001))=0,0,IF($E$12214&lt;=$B$12198,0,IF(ABS(IF(ABS($E$13054)&gt;0.000000001,$E$13054,0.000000001))&gt;=8*$B$12200,$H$12214,0.5*$H$12214*(ABS(IF(ABS($E$13054)&gt;0.000000001,$E$13054,0.000000001))/$B$12200)^(1/3)))/ABS(IF(ABS($E$13054)&gt;0.000000001,$E$13054,0.000000001))*$I$12214)</f>
        <v/>
      </c>
      <c r="E13090" s="19">
        <f>0.5*$E$13054+0.5*$Z$13112</f>
        <v/>
      </c>
      <c r="F13090" s="19">
        <f>$Z$13113</f>
        <v/>
      </c>
    </row>
    <row r="13092">
      <c r="D13092" s="21">
        <f>$B$12189+$D$13080</f>
        <v/>
      </c>
      <c r="E13092" s="21">
        <f>$B$12190</f>
        <v/>
      </c>
      <c r="F13092" s="21">
        <f>-$B$12189</f>
        <v/>
      </c>
      <c r="G13092" s="21">
        <f>$B$12190</f>
        <v/>
      </c>
      <c r="H13092" s="21" t="n">
        <v>0</v>
      </c>
      <c r="I13092" s="21" t="n">
        <v>0</v>
      </c>
      <c r="J13092" s="21" t="n">
        <v>0</v>
      </c>
      <c r="K13092" s="21" t="n">
        <v>0</v>
      </c>
      <c r="L13092" s="21" t="n">
        <v>0</v>
      </c>
      <c r="M13092" s="21" t="n">
        <v>0</v>
      </c>
      <c r="N13092" s="21" t="n">
        <v>0</v>
      </c>
      <c r="O13092" s="21" t="n">
        <v>0</v>
      </c>
      <c r="P13092" s="21" t="n">
        <v>0</v>
      </c>
      <c r="Q13092" s="21" t="n">
        <v>0</v>
      </c>
      <c r="R13092" s="21" t="n">
        <v>0</v>
      </c>
      <c r="S13092" s="21" t="n">
        <v>0</v>
      </c>
      <c r="T13092" s="21" t="n">
        <v>0</v>
      </c>
      <c r="U13092" s="21" t="n">
        <v>0</v>
      </c>
      <c r="V13092" s="21" t="n">
        <v>0</v>
      </c>
      <c r="W13092" s="21" t="n">
        <v>0</v>
      </c>
      <c r="X13092" s="21" t="n">
        <v>0</v>
      </c>
      <c r="Y13092" s="21" t="n">
        <v>0</v>
      </c>
      <c r="Z13092" s="19">
        <f t="array" ref="Z13092:Z13113">MMULT(MINVERSE($D$13092:$Y$13113),$D$12216:$D$12237)</f>
        <v/>
      </c>
    </row>
    <row r="13093">
      <c r="D13093" s="21">
        <f>$B$12190</f>
        <v/>
      </c>
      <c r="E13093" s="21">
        <f>$B$12191</f>
        <v/>
      </c>
      <c r="F13093" s="21">
        <f>-$B$12190</f>
        <v/>
      </c>
      <c r="G13093" s="21">
        <f>$B$12192</f>
        <v/>
      </c>
      <c r="H13093" s="21" t="n">
        <v>0</v>
      </c>
      <c r="I13093" s="21" t="n">
        <v>0</v>
      </c>
      <c r="J13093" s="21" t="n">
        <v>0</v>
      </c>
      <c r="K13093" s="21" t="n">
        <v>0</v>
      </c>
      <c r="L13093" s="21" t="n">
        <v>0</v>
      </c>
      <c r="M13093" s="21" t="n">
        <v>0</v>
      </c>
      <c r="N13093" s="21" t="n">
        <v>0</v>
      </c>
      <c r="O13093" s="21" t="n">
        <v>0</v>
      </c>
      <c r="P13093" s="21" t="n">
        <v>0</v>
      </c>
      <c r="Q13093" s="21" t="n">
        <v>0</v>
      </c>
      <c r="R13093" s="21" t="n">
        <v>0</v>
      </c>
      <c r="S13093" s="21" t="n">
        <v>0</v>
      </c>
      <c r="T13093" s="21" t="n">
        <v>0</v>
      </c>
      <c r="U13093" s="21" t="n">
        <v>0</v>
      </c>
      <c r="V13093" s="21" t="n">
        <v>0</v>
      </c>
      <c r="W13093" s="21" t="n">
        <v>0</v>
      </c>
      <c r="X13093" s="21" t="n">
        <v>0</v>
      </c>
      <c r="Y13093" s="21" t="n">
        <v>0</v>
      </c>
      <c r="Z13093" s="19" t="n"/>
    </row>
    <row r="13094">
      <c r="D13094" s="21">
        <f>-$B$12189</f>
        <v/>
      </c>
      <c r="E13094" s="21">
        <f>-$B$12190</f>
        <v/>
      </c>
      <c r="F13094" s="21">
        <f>2*$B$12189+$D$13081</f>
        <v/>
      </c>
      <c r="G13094" s="21">
        <f>0</f>
        <v/>
      </c>
      <c r="H13094" s="21">
        <f>-$B$12189</f>
        <v/>
      </c>
      <c r="I13094" s="21">
        <f>$B$12190</f>
        <v/>
      </c>
      <c r="J13094" s="21" t="n">
        <v>0</v>
      </c>
      <c r="K13094" s="21" t="n">
        <v>0</v>
      </c>
      <c r="L13094" s="21" t="n">
        <v>0</v>
      </c>
      <c r="M13094" s="21" t="n">
        <v>0</v>
      </c>
      <c r="N13094" s="21" t="n">
        <v>0</v>
      </c>
      <c r="O13094" s="21" t="n">
        <v>0</v>
      </c>
      <c r="P13094" s="21" t="n">
        <v>0</v>
      </c>
      <c r="Q13094" s="21" t="n">
        <v>0</v>
      </c>
      <c r="R13094" s="21" t="n">
        <v>0</v>
      </c>
      <c r="S13094" s="21" t="n">
        <v>0</v>
      </c>
      <c r="T13094" s="21" t="n">
        <v>0</v>
      </c>
      <c r="U13094" s="21" t="n">
        <v>0</v>
      </c>
      <c r="V13094" s="21" t="n">
        <v>0</v>
      </c>
      <c r="W13094" s="21" t="n">
        <v>0</v>
      </c>
      <c r="X13094" s="21" t="n">
        <v>0</v>
      </c>
      <c r="Y13094" s="21" t="n">
        <v>0</v>
      </c>
      <c r="Z13094" s="19" t="n"/>
    </row>
    <row r="13095">
      <c r="D13095" s="21">
        <f>$B$12190</f>
        <v/>
      </c>
      <c r="E13095" s="21">
        <f>$B$12192</f>
        <v/>
      </c>
      <c r="F13095" s="21">
        <f>0</f>
        <v/>
      </c>
      <c r="G13095" s="21">
        <f>2*$B$12191</f>
        <v/>
      </c>
      <c r="H13095" s="21">
        <f>-$B$12190</f>
        <v/>
      </c>
      <c r="I13095" s="21">
        <f>$B$12192</f>
        <v/>
      </c>
      <c r="J13095" s="21" t="n">
        <v>0</v>
      </c>
      <c r="K13095" s="21" t="n">
        <v>0</v>
      </c>
      <c r="L13095" s="21" t="n">
        <v>0</v>
      </c>
      <c r="M13095" s="21" t="n">
        <v>0</v>
      </c>
      <c r="N13095" s="21" t="n">
        <v>0</v>
      </c>
      <c r="O13095" s="21" t="n">
        <v>0</v>
      </c>
      <c r="P13095" s="21" t="n">
        <v>0</v>
      </c>
      <c r="Q13095" s="21" t="n">
        <v>0</v>
      </c>
      <c r="R13095" s="21" t="n">
        <v>0</v>
      </c>
      <c r="S13095" s="21" t="n">
        <v>0</v>
      </c>
      <c r="T13095" s="21" t="n">
        <v>0</v>
      </c>
      <c r="U13095" s="21" t="n">
        <v>0</v>
      </c>
      <c r="V13095" s="21" t="n">
        <v>0</v>
      </c>
      <c r="W13095" s="21" t="n">
        <v>0</v>
      </c>
      <c r="X13095" s="21" t="n">
        <v>0</v>
      </c>
      <c r="Y13095" s="21" t="n">
        <v>0</v>
      </c>
      <c r="Z13095" s="19" t="n"/>
    </row>
    <row r="13096">
      <c r="D13096" s="21" t="n">
        <v>0</v>
      </c>
      <c r="E13096" s="21" t="n">
        <v>0</v>
      </c>
      <c r="F13096" s="21">
        <f>-$B$12189</f>
        <v/>
      </c>
      <c r="G13096" s="21">
        <f>-$B$12190</f>
        <v/>
      </c>
      <c r="H13096" s="21">
        <f>2*$B$12189+$D$13082</f>
        <v/>
      </c>
      <c r="I13096" s="21">
        <f>0</f>
        <v/>
      </c>
      <c r="J13096" s="21">
        <f>-$B$12189</f>
        <v/>
      </c>
      <c r="K13096" s="21">
        <f>$B$12190</f>
        <v/>
      </c>
      <c r="L13096" s="21" t="n">
        <v>0</v>
      </c>
      <c r="M13096" s="21" t="n">
        <v>0</v>
      </c>
      <c r="N13096" s="21" t="n">
        <v>0</v>
      </c>
      <c r="O13096" s="21" t="n">
        <v>0</v>
      </c>
      <c r="P13096" s="21" t="n">
        <v>0</v>
      </c>
      <c r="Q13096" s="21" t="n">
        <v>0</v>
      </c>
      <c r="R13096" s="21" t="n">
        <v>0</v>
      </c>
      <c r="S13096" s="21" t="n">
        <v>0</v>
      </c>
      <c r="T13096" s="21" t="n">
        <v>0</v>
      </c>
      <c r="U13096" s="21" t="n">
        <v>0</v>
      </c>
      <c r="V13096" s="21" t="n">
        <v>0</v>
      </c>
      <c r="W13096" s="21" t="n">
        <v>0</v>
      </c>
      <c r="X13096" s="21" t="n">
        <v>0</v>
      </c>
      <c r="Y13096" s="21" t="n">
        <v>0</v>
      </c>
      <c r="Z13096" s="19" t="n"/>
    </row>
    <row r="13097">
      <c r="D13097" s="21" t="n">
        <v>0</v>
      </c>
      <c r="E13097" s="21" t="n">
        <v>0</v>
      </c>
      <c r="F13097" s="21">
        <f>$B$12190</f>
        <v/>
      </c>
      <c r="G13097" s="21">
        <f>$B$12192</f>
        <v/>
      </c>
      <c r="H13097" s="21">
        <f>0</f>
        <v/>
      </c>
      <c r="I13097" s="21">
        <f>2*$B$12191</f>
        <v/>
      </c>
      <c r="J13097" s="21">
        <f>-$B$12190</f>
        <v/>
      </c>
      <c r="K13097" s="21">
        <f>$B$12192</f>
        <v/>
      </c>
      <c r="L13097" s="21" t="n">
        <v>0</v>
      </c>
      <c r="M13097" s="21" t="n">
        <v>0</v>
      </c>
      <c r="N13097" s="21" t="n">
        <v>0</v>
      </c>
      <c r="O13097" s="21" t="n">
        <v>0</v>
      </c>
      <c r="P13097" s="21" t="n">
        <v>0</v>
      </c>
      <c r="Q13097" s="21" t="n">
        <v>0</v>
      </c>
      <c r="R13097" s="21" t="n">
        <v>0</v>
      </c>
      <c r="S13097" s="21" t="n">
        <v>0</v>
      </c>
      <c r="T13097" s="21" t="n">
        <v>0</v>
      </c>
      <c r="U13097" s="21" t="n">
        <v>0</v>
      </c>
      <c r="V13097" s="21" t="n">
        <v>0</v>
      </c>
      <c r="W13097" s="21" t="n">
        <v>0</v>
      </c>
      <c r="X13097" s="21" t="n">
        <v>0</v>
      </c>
      <c r="Y13097" s="21" t="n">
        <v>0</v>
      </c>
      <c r="Z13097" s="19" t="n"/>
    </row>
    <row r="13098">
      <c r="D13098" s="21" t="n">
        <v>0</v>
      </c>
      <c r="E13098" s="21" t="n">
        <v>0</v>
      </c>
      <c r="F13098" s="21" t="n">
        <v>0</v>
      </c>
      <c r="G13098" s="21" t="n">
        <v>0</v>
      </c>
      <c r="H13098" s="21">
        <f>-$B$12189</f>
        <v/>
      </c>
      <c r="I13098" s="21">
        <f>-$B$12190</f>
        <v/>
      </c>
      <c r="J13098" s="21">
        <f>2*$B$12189+$D$13083</f>
        <v/>
      </c>
      <c r="K13098" s="21">
        <f>0</f>
        <v/>
      </c>
      <c r="L13098" s="21">
        <f>-$B$12189</f>
        <v/>
      </c>
      <c r="M13098" s="21">
        <f>$B$12190</f>
        <v/>
      </c>
      <c r="N13098" s="21" t="n">
        <v>0</v>
      </c>
      <c r="O13098" s="21" t="n">
        <v>0</v>
      </c>
      <c r="P13098" s="21" t="n">
        <v>0</v>
      </c>
      <c r="Q13098" s="21" t="n">
        <v>0</v>
      </c>
      <c r="R13098" s="21" t="n">
        <v>0</v>
      </c>
      <c r="S13098" s="21" t="n">
        <v>0</v>
      </c>
      <c r="T13098" s="21" t="n">
        <v>0</v>
      </c>
      <c r="U13098" s="21" t="n">
        <v>0</v>
      </c>
      <c r="V13098" s="21" t="n">
        <v>0</v>
      </c>
      <c r="W13098" s="21" t="n">
        <v>0</v>
      </c>
      <c r="X13098" s="21" t="n">
        <v>0</v>
      </c>
      <c r="Y13098" s="21" t="n">
        <v>0</v>
      </c>
      <c r="Z13098" s="19" t="n"/>
    </row>
    <row r="13099">
      <c r="D13099" s="21" t="n">
        <v>0</v>
      </c>
      <c r="E13099" s="21" t="n">
        <v>0</v>
      </c>
      <c r="F13099" s="21" t="n">
        <v>0</v>
      </c>
      <c r="G13099" s="21" t="n">
        <v>0</v>
      </c>
      <c r="H13099" s="21">
        <f>$B$12190</f>
        <v/>
      </c>
      <c r="I13099" s="21">
        <f>$B$12192</f>
        <v/>
      </c>
      <c r="J13099" s="21">
        <f>0</f>
        <v/>
      </c>
      <c r="K13099" s="21">
        <f>2*$B$12191</f>
        <v/>
      </c>
      <c r="L13099" s="21">
        <f>-$B$12190</f>
        <v/>
      </c>
      <c r="M13099" s="21">
        <f>$B$12192</f>
        <v/>
      </c>
      <c r="N13099" s="21" t="n">
        <v>0</v>
      </c>
      <c r="O13099" s="21" t="n">
        <v>0</v>
      </c>
      <c r="P13099" s="21" t="n">
        <v>0</v>
      </c>
      <c r="Q13099" s="21" t="n">
        <v>0</v>
      </c>
      <c r="R13099" s="21" t="n">
        <v>0</v>
      </c>
      <c r="S13099" s="21" t="n">
        <v>0</v>
      </c>
      <c r="T13099" s="21" t="n">
        <v>0</v>
      </c>
      <c r="U13099" s="21" t="n">
        <v>0</v>
      </c>
      <c r="V13099" s="21" t="n">
        <v>0</v>
      </c>
      <c r="W13099" s="21" t="n">
        <v>0</v>
      </c>
      <c r="X13099" s="21" t="n">
        <v>0</v>
      </c>
      <c r="Y13099" s="21" t="n">
        <v>0</v>
      </c>
      <c r="Z13099" s="19" t="n"/>
    </row>
    <row r="13100">
      <c r="D13100" s="21" t="n">
        <v>0</v>
      </c>
      <c r="E13100" s="21" t="n">
        <v>0</v>
      </c>
      <c r="F13100" s="21" t="n">
        <v>0</v>
      </c>
      <c r="G13100" s="21" t="n">
        <v>0</v>
      </c>
      <c r="H13100" s="21" t="n">
        <v>0</v>
      </c>
      <c r="I13100" s="21" t="n">
        <v>0</v>
      </c>
      <c r="J13100" s="21">
        <f>-$B$12189</f>
        <v/>
      </c>
      <c r="K13100" s="21">
        <f>-$B$12190</f>
        <v/>
      </c>
      <c r="L13100" s="21">
        <f>2*$B$12189+$D$13084</f>
        <v/>
      </c>
      <c r="M13100" s="21">
        <f>0</f>
        <v/>
      </c>
      <c r="N13100" s="21">
        <f>-$B$12189</f>
        <v/>
      </c>
      <c r="O13100" s="21">
        <f>$B$12190</f>
        <v/>
      </c>
      <c r="P13100" s="21" t="n">
        <v>0</v>
      </c>
      <c r="Q13100" s="21" t="n">
        <v>0</v>
      </c>
      <c r="R13100" s="21" t="n">
        <v>0</v>
      </c>
      <c r="S13100" s="21" t="n">
        <v>0</v>
      </c>
      <c r="T13100" s="21" t="n">
        <v>0</v>
      </c>
      <c r="U13100" s="21" t="n">
        <v>0</v>
      </c>
      <c r="V13100" s="21" t="n">
        <v>0</v>
      </c>
      <c r="W13100" s="21" t="n">
        <v>0</v>
      </c>
      <c r="X13100" s="21" t="n">
        <v>0</v>
      </c>
      <c r="Y13100" s="21" t="n">
        <v>0</v>
      </c>
      <c r="Z13100" s="19" t="n"/>
    </row>
    <row r="13101">
      <c r="D13101" s="21" t="n">
        <v>0</v>
      </c>
      <c r="E13101" s="21" t="n">
        <v>0</v>
      </c>
      <c r="F13101" s="21" t="n">
        <v>0</v>
      </c>
      <c r="G13101" s="21" t="n">
        <v>0</v>
      </c>
      <c r="H13101" s="21" t="n">
        <v>0</v>
      </c>
      <c r="I13101" s="21" t="n">
        <v>0</v>
      </c>
      <c r="J13101" s="21">
        <f>$B$12190</f>
        <v/>
      </c>
      <c r="K13101" s="21">
        <f>$B$12192</f>
        <v/>
      </c>
      <c r="L13101" s="21">
        <f>0</f>
        <v/>
      </c>
      <c r="M13101" s="21">
        <f>2*$B$12191</f>
        <v/>
      </c>
      <c r="N13101" s="21">
        <f>-$B$12190</f>
        <v/>
      </c>
      <c r="O13101" s="21">
        <f>$B$12192</f>
        <v/>
      </c>
      <c r="P13101" s="21" t="n">
        <v>0</v>
      </c>
      <c r="Q13101" s="21" t="n">
        <v>0</v>
      </c>
      <c r="R13101" s="21" t="n">
        <v>0</v>
      </c>
      <c r="S13101" s="21" t="n">
        <v>0</v>
      </c>
      <c r="T13101" s="21" t="n">
        <v>0</v>
      </c>
      <c r="U13101" s="21" t="n">
        <v>0</v>
      </c>
      <c r="V13101" s="21" t="n">
        <v>0</v>
      </c>
      <c r="W13101" s="21" t="n">
        <v>0</v>
      </c>
      <c r="X13101" s="21" t="n">
        <v>0</v>
      </c>
      <c r="Y13101" s="21" t="n">
        <v>0</v>
      </c>
      <c r="Z13101" s="19" t="n"/>
    </row>
    <row r="13102">
      <c r="D13102" s="21" t="n">
        <v>0</v>
      </c>
      <c r="E13102" s="21" t="n">
        <v>0</v>
      </c>
      <c r="F13102" s="21" t="n">
        <v>0</v>
      </c>
      <c r="G13102" s="21" t="n">
        <v>0</v>
      </c>
      <c r="H13102" s="21" t="n">
        <v>0</v>
      </c>
      <c r="I13102" s="21" t="n">
        <v>0</v>
      </c>
      <c r="J13102" s="21" t="n">
        <v>0</v>
      </c>
      <c r="K13102" s="21" t="n">
        <v>0</v>
      </c>
      <c r="L13102" s="21">
        <f>-$B$12189</f>
        <v/>
      </c>
      <c r="M13102" s="21">
        <f>-$B$12190</f>
        <v/>
      </c>
      <c r="N13102" s="21">
        <f>2*$B$12189+$D$13085</f>
        <v/>
      </c>
      <c r="O13102" s="21">
        <f>0</f>
        <v/>
      </c>
      <c r="P13102" s="21">
        <f>-$B$12189</f>
        <v/>
      </c>
      <c r="Q13102" s="21">
        <f>$B$12190</f>
        <v/>
      </c>
      <c r="R13102" s="21" t="n">
        <v>0</v>
      </c>
      <c r="S13102" s="21" t="n">
        <v>0</v>
      </c>
      <c r="T13102" s="21" t="n">
        <v>0</v>
      </c>
      <c r="U13102" s="21" t="n">
        <v>0</v>
      </c>
      <c r="V13102" s="21" t="n">
        <v>0</v>
      </c>
      <c r="W13102" s="21" t="n">
        <v>0</v>
      </c>
      <c r="X13102" s="21" t="n">
        <v>0</v>
      </c>
      <c r="Y13102" s="21" t="n">
        <v>0</v>
      </c>
      <c r="Z13102" s="19" t="n"/>
    </row>
    <row r="13103">
      <c r="D13103" s="21" t="n">
        <v>0</v>
      </c>
      <c r="E13103" s="21" t="n">
        <v>0</v>
      </c>
      <c r="F13103" s="21" t="n">
        <v>0</v>
      </c>
      <c r="G13103" s="21" t="n">
        <v>0</v>
      </c>
      <c r="H13103" s="21" t="n">
        <v>0</v>
      </c>
      <c r="I13103" s="21" t="n">
        <v>0</v>
      </c>
      <c r="J13103" s="21" t="n">
        <v>0</v>
      </c>
      <c r="K13103" s="21" t="n">
        <v>0</v>
      </c>
      <c r="L13103" s="21">
        <f>$B$12190</f>
        <v/>
      </c>
      <c r="M13103" s="21">
        <f>$B$12192</f>
        <v/>
      </c>
      <c r="N13103" s="21">
        <f>0</f>
        <v/>
      </c>
      <c r="O13103" s="21">
        <f>2*$B$12191</f>
        <v/>
      </c>
      <c r="P13103" s="21">
        <f>-$B$12190</f>
        <v/>
      </c>
      <c r="Q13103" s="21">
        <f>$B$12192</f>
        <v/>
      </c>
      <c r="R13103" s="21" t="n">
        <v>0</v>
      </c>
      <c r="S13103" s="21" t="n">
        <v>0</v>
      </c>
      <c r="T13103" s="21" t="n">
        <v>0</v>
      </c>
      <c r="U13103" s="21" t="n">
        <v>0</v>
      </c>
      <c r="V13103" s="21" t="n">
        <v>0</v>
      </c>
      <c r="W13103" s="21" t="n">
        <v>0</v>
      </c>
      <c r="X13103" s="21" t="n">
        <v>0</v>
      </c>
      <c r="Y13103" s="21" t="n">
        <v>0</v>
      </c>
      <c r="Z13103" s="19" t="n"/>
    </row>
    <row r="13104">
      <c r="D13104" s="21" t="n">
        <v>0</v>
      </c>
      <c r="E13104" s="21" t="n">
        <v>0</v>
      </c>
      <c r="F13104" s="21" t="n">
        <v>0</v>
      </c>
      <c r="G13104" s="21" t="n">
        <v>0</v>
      </c>
      <c r="H13104" s="21" t="n">
        <v>0</v>
      </c>
      <c r="I13104" s="21" t="n">
        <v>0</v>
      </c>
      <c r="J13104" s="21" t="n">
        <v>0</v>
      </c>
      <c r="K13104" s="21" t="n">
        <v>0</v>
      </c>
      <c r="L13104" s="21" t="n">
        <v>0</v>
      </c>
      <c r="M13104" s="21" t="n">
        <v>0</v>
      </c>
      <c r="N13104" s="21">
        <f>-$B$12189</f>
        <v/>
      </c>
      <c r="O13104" s="21">
        <f>-$B$12190</f>
        <v/>
      </c>
      <c r="P13104" s="21">
        <f>2*$B$12189+$D$13086</f>
        <v/>
      </c>
      <c r="Q13104" s="21">
        <f>0</f>
        <v/>
      </c>
      <c r="R13104" s="21">
        <f>-$B$12189</f>
        <v/>
      </c>
      <c r="S13104" s="21">
        <f>$B$12190</f>
        <v/>
      </c>
      <c r="T13104" s="21" t="n">
        <v>0</v>
      </c>
      <c r="U13104" s="21" t="n">
        <v>0</v>
      </c>
      <c r="V13104" s="21" t="n">
        <v>0</v>
      </c>
      <c r="W13104" s="21" t="n">
        <v>0</v>
      </c>
      <c r="X13104" s="21" t="n">
        <v>0</v>
      </c>
      <c r="Y13104" s="21" t="n">
        <v>0</v>
      </c>
      <c r="Z13104" s="19" t="n"/>
    </row>
    <row r="13105">
      <c r="D13105" s="21" t="n">
        <v>0</v>
      </c>
      <c r="E13105" s="21" t="n">
        <v>0</v>
      </c>
      <c r="F13105" s="21" t="n">
        <v>0</v>
      </c>
      <c r="G13105" s="21" t="n">
        <v>0</v>
      </c>
      <c r="H13105" s="21" t="n">
        <v>0</v>
      </c>
      <c r="I13105" s="21" t="n">
        <v>0</v>
      </c>
      <c r="J13105" s="21" t="n">
        <v>0</v>
      </c>
      <c r="K13105" s="21" t="n">
        <v>0</v>
      </c>
      <c r="L13105" s="21" t="n">
        <v>0</v>
      </c>
      <c r="M13105" s="21" t="n">
        <v>0</v>
      </c>
      <c r="N13105" s="21">
        <f>$B$12190</f>
        <v/>
      </c>
      <c r="O13105" s="21">
        <f>$B$12192</f>
        <v/>
      </c>
      <c r="P13105" s="21">
        <f>0</f>
        <v/>
      </c>
      <c r="Q13105" s="21">
        <f>2*$B$12191</f>
        <v/>
      </c>
      <c r="R13105" s="21">
        <f>-$B$12190</f>
        <v/>
      </c>
      <c r="S13105" s="21">
        <f>$B$12192</f>
        <v/>
      </c>
      <c r="T13105" s="21" t="n">
        <v>0</v>
      </c>
      <c r="U13105" s="21" t="n">
        <v>0</v>
      </c>
      <c r="V13105" s="21" t="n">
        <v>0</v>
      </c>
      <c r="W13105" s="21" t="n">
        <v>0</v>
      </c>
      <c r="X13105" s="21" t="n">
        <v>0</v>
      </c>
      <c r="Y13105" s="21" t="n">
        <v>0</v>
      </c>
      <c r="Z13105" s="19" t="n"/>
    </row>
    <row r="13106">
      <c r="D13106" s="21" t="n">
        <v>0</v>
      </c>
      <c r="E13106" s="21" t="n">
        <v>0</v>
      </c>
      <c r="F13106" s="21" t="n">
        <v>0</v>
      </c>
      <c r="G13106" s="21" t="n">
        <v>0</v>
      </c>
      <c r="H13106" s="21" t="n">
        <v>0</v>
      </c>
      <c r="I13106" s="21" t="n">
        <v>0</v>
      </c>
      <c r="J13106" s="21" t="n">
        <v>0</v>
      </c>
      <c r="K13106" s="21" t="n">
        <v>0</v>
      </c>
      <c r="L13106" s="21" t="n">
        <v>0</v>
      </c>
      <c r="M13106" s="21" t="n">
        <v>0</v>
      </c>
      <c r="N13106" s="21" t="n">
        <v>0</v>
      </c>
      <c r="O13106" s="21" t="n">
        <v>0</v>
      </c>
      <c r="P13106" s="21">
        <f>-$B$12189</f>
        <v/>
      </c>
      <c r="Q13106" s="21">
        <f>-$B$12190</f>
        <v/>
      </c>
      <c r="R13106" s="21">
        <f>2*$B$12189+$D$13087</f>
        <v/>
      </c>
      <c r="S13106" s="21">
        <f>0</f>
        <v/>
      </c>
      <c r="T13106" s="21">
        <f>-$B$12189</f>
        <v/>
      </c>
      <c r="U13106" s="21">
        <f>$B$12190</f>
        <v/>
      </c>
      <c r="V13106" s="21" t="n">
        <v>0</v>
      </c>
      <c r="W13106" s="21" t="n">
        <v>0</v>
      </c>
      <c r="X13106" s="21" t="n">
        <v>0</v>
      </c>
      <c r="Y13106" s="21" t="n">
        <v>0</v>
      </c>
      <c r="Z13106" s="19" t="n"/>
    </row>
    <row r="13107">
      <c r="D13107" s="21" t="n">
        <v>0</v>
      </c>
      <c r="E13107" s="21" t="n">
        <v>0</v>
      </c>
      <c r="F13107" s="21" t="n">
        <v>0</v>
      </c>
      <c r="G13107" s="21" t="n">
        <v>0</v>
      </c>
      <c r="H13107" s="21" t="n">
        <v>0</v>
      </c>
      <c r="I13107" s="21" t="n">
        <v>0</v>
      </c>
      <c r="J13107" s="21" t="n">
        <v>0</v>
      </c>
      <c r="K13107" s="21" t="n">
        <v>0</v>
      </c>
      <c r="L13107" s="21" t="n">
        <v>0</v>
      </c>
      <c r="M13107" s="21" t="n">
        <v>0</v>
      </c>
      <c r="N13107" s="21" t="n">
        <v>0</v>
      </c>
      <c r="O13107" s="21" t="n">
        <v>0</v>
      </c>
      <c r="P13107" s="21">
        <f>$B$12190</f>
        <v/>
      </c>
      <c r="Q13107" s="21">
        <f>$B$12192</f>
        <v/>
      </c>
      <c r="R13107" s="21">
        <f>0</f>
        <v/>
      </c>
      <c r="S13107" s="21">
        <f>2*$B$12191</f>
        <v/>
      </c>
      <c r="T13107" s="21">
        <f>-$B$12190</f>
        <v/>
      </c>
      <c r="U13107" s="21">
        <f>$B$12192</f>
        <v/>
      </c>
      <c r="V13107" s="21" t="n">
        <v>0</v>
      </c>
      <c r="W13107" s="21" t="n">
        <v>0</v>
      </c>
      <c r="X13107" s="21" t="n">
        <v>0</v>
      </c>
      <c r="Y13107" s="21" t="n">
        <v>0</v>
      </c>
      <c r="Z13107" s="19" t="n"/>
    </row>
    <row r="13108">
      <c r="D13108" s="21" t="n">
        <v>0</v>
      </c>
      <c r="E13108" s="21" t="n">
        <v>0</v>
      </c>
      <c r="F13108" s="21" t="n">
        <v>0</v>
      </c>
      <c r="G13108" s="21" t="n">
        <v>0</v>
      </c>
      <c r="H13108" s="21" t="n">
        <v>0</v>
      </c>
      <c r="I13108" s="21" t="n">
        <v>0</v>
      </c>
      <c r="J13108" s="21" t="n">
        <v>0</v>
      </c>
      <c r="K13108" s="21" t="n">
        <v>0</v>
      </c>
      <c r="L13108" s="21" t="n">
        <v>0</v>
      </c>
      <c r="M13108" s="21" t="n">
        <v>0</v>
      </c>
      <c r="N13108" s="21" t="n">
        <v>0</v>
      </c>
      <c r="O13108" s="21" t="n">
        <v>0</v>
      </c>
      <c r="P13108" s="21" t="n">
        <v>0</v>
      </c>
      <c r="Q13108" s="21" t="n">
        <v>0</v>
      </c>
      <c r="R13108" s="21">
        <f>-$B$12189</f>
        <v/>
      </c>
      <c r="S13108" s="21">
        <f>-$B$12190</f>
        <v/>
      </c>
      <c r="T13108" s="21">
        <f>2*$B$12189+$D$13088</f>
        <v/>
      </c>
      <c r="U13108" s="21">
        <f>0</f>
        <v/>
      </c>
      <c r="V13108" s="21">
        <f>-$B$12189</f>
        <v/>
      </c>
      <c r="W13108" s="21">
        <f>$B$12190</f>
        <v/>
      </c>
      <c r="X13108" s="21" t="n">
        <v>0</v>
      </c>
      <c r="Y13108" s="21" t="n">
        <v>0</v>
      </c>
      <c r="Z13108" s="19" t="n"/>
    </row>
    <row r="13109">
      <c r="D13109" s="21" t="n">
        <v>0</v>
      </c>
      <c r="E13109" s="21" t="n">
        <v>0</v>
      </c>
      <c r="F13109" s="21" t="n">
        <v>0</v>
      </c>
      <c r="G13109" s="21" t="n">
        <v>0</v>
      </c>
      <c r="H13109" s="21" t="n">
        <v>0</v>
      </c>
      <c r="I13109" s="21" t="n">
        <v>0</v>
      </c>
      <c r="J13109" s="21" t="n">
        <v>0</v>
      </c>
      <c r="K13109" s="21" t="n">
        <v>0</v>
      </c>
      <c r="L13109" s="21" t="n">
        <v>0</v>
      </c>
      <c r="M13109" s="21" t="n">
        <v>0</v>
      </c>
      <c r="N13109" s="21" t="n">
        <v>0</v>
      </c>
      <c r="O13109" s="21" t="n">
        <v>0</v>
      </c>
      <c r="P13109" s="21" t="n">
        <v>0</v>
      </c>
      <c r="Q13109" s="21" t="n">
        <v>0</v>
      </c>
      <c r="R13109" s="21">
        <f>$B$12190</f>
        <v/>
      </c>
      <c r="S13109" s="21">
        <f>$B$12192</f>
        <v/>
      </c>
      <c r="T13109" s="21">
        <f>0</f>
        <v/>
      </c>
      <c r="U13109" s="21">
        <f>2*$B$12191</f>
        <v/>
      </c>
      <c r="V13109" s="21">
        <f>-$B$12190</f>
        <v/>
      </c>
      <c r="W13109" s="21">
        <f>$B$12192</f>
        <v/>
      </c>
      <c r="X13109" s="21" t="n">
        <v>0</v>
      </c>
      <c r="Y13109" s="21" t="n">
        <v>0</v>
      </c>
      <c r="Z13109" s="19" t="n"/>
    </row>
    <row r="13110">
      <c r="D13110" s="21" t="n">
        <v>0</v>
      </c>
      <c r="E13110" s="21" t="n">
        <v>0</v>
      </c>
      <c r="F13110" s="21" t="n">
        <v>0</v>
      </c>
      <c r="G13110" s="21" t="n">
        <v>0</v>
      </c>
      <c r="H13110" s="21" t="n">
        <v>0</v>
      </c>
      <c r="I13110" s="21" t="n">
        <v>0</v>
      </c>
      <c r="J13110" s="21" t="n">
        <v>0</v>
      </c>
      <c r="K13110" s="21" t="n">
        <v>0</v>
      </c>
      <c r="L13110" s="21" t="n">
        <v>0</v>
      </c>
      <c r="M13110" s="21" t="n">
        <v>0</v>
      </c>
      <c r="N13110" s="21" t="n">
        <v>0</v>
      </c>
      <c r="O13110" s="21" t="n">
        <v>0</v>
      </c>
      <c r="P13110" s="21" t="n">
        <v>0</v>
      </c>
      <c r="Q13110" s="21" t="n">
        <v>0</v>
      </c>
      <c r="R13110" s="21" t="n">
        <v>0</v>
      </c>
      <c r="S13110" s="21" t="n">
        <v>0</v>
      </c>
      <c r="T13110" s="21">
        <f>-$B$12189</f>
        <v/>
      </c>
      <c r="U13110" s="21">
        <f>-$B$12190</f>
        <v/>
      </c>
      <c r="V13110" s="21">
        <f>2*$B$12189+$D$13089</f>
        <v/>
      </c>
      <c r="W13110" s="21">
        <f>0</f>
        <v/>
      </c>
      <c r="X13110" s="21">
        <f>-$B$12189</f>
        <v/>
      </c>
      <c r="Y13110" s="21">
        <f>$B$12190</f>
        <v/>
      </c>
      <c r="Z13110" s="19" t="n"/>
    </row>
    <row r="13111">
      <c r="D13111" s="21" t="n">
        <v>0</v>
      </c>
      <c r="E13111" s="21" t="n">
        <v>0</v>
      </c>
      <c r="F13111" s="21" t="n">
        <v>0</v>
      </c>
      <c r="G13111" s="21" t="n">
        <v>0</v>
      </c>
      <c r="H13111" s="21" t="n">
        <v>0</v>
      </c>
      <c r="I13111" s="21" t="n">
        <v>0</v>
      </c>
      <c r="J13111" s="21" t="n">
        <v>0</v>
      </c>
      <c r="K13111" s="21" t="n">
        <v>0</v>
      </c>
      <c r="L13111" s="21" t="n">
        <v>0</v>
      </c>
      <c r="M13111" s="21" t="n">
        <v>0</v>
      </c>
      <c r="N13111" s="21" t="n">
        <v>0</v>
      </c>
      <c r="O13111" s="21" t="n">
        <v>0</v>
      </c>
      <c r="P13111" s="21" t="n">
        <v>0</v>
      </c>
      <c r="Q13111" s="21" t="n">
        <v>0</v>
      </c>
      <c r="R13111" s="21" t="n">
        <v>0</v>
      </c>
      <c r="S13111" s="21" t="n">
        <v>0</v>
      </c>
      <c r="T13111" s="21">
        <f>$B$12190</f>
        <v/>
      </c>
      <c r="U13111" s="21">
        <f>$B$12192</f>
        <v/>
      </c>
      <c r="V13111" s="21">
        <f>0</f>
        <v/>
      </c>
      <c r="W13111" s="21">
        <f>2*$B$12191</f>
        <v/>
      </c>
      <c r="X13111" s="21">
        <f>-$B$12190</f>
        <v/>
      </c>
      <c r="Y13111" s="21">
        <f>$B$12192</f>
        <v/>
      </c>
      <c r="Z13111" s="19" t="n"/>
    </row>
    <row r="13112">
      <c r="D13112" s="21" t="n">
        <v>0</v>
      </c>
      <c r="E13112" s="21" t="n">
        <v>0</v>
      </c>
      <c r="F13112" s="21" t="n">
        <v>0</v>
      </c>
      <c r="G13112" s="21" t="n">
        <v>0</v>
      </c>
      <c r="H13112" s="21" t="n">
        <v>0</v>
      </c>
      <c r="I13112" s="21" t="n">
        <v>0</v>
      </c>
      <c r="J13112" s="21" t="n">
        <v>0</v>
      </c>
      <c r="K13112" s="21" t="n">
        <v>0</v>
      </c>
      <c r="L13112" s="21" t="n">
        <v>0</v>
      </c>
      <c r="M13112" s="21" t="n">
        <v>0</v>
      </c>
      <c r="N13112" s="21" t="n">
        <v>0</v>
      </c>
      <c r="O13112" s="21" t="n">
        <v>0</v>
      </c>
      <c r="P13112" s="21" t="n">
        <v>0</v>
      </c>
      <c r="Q13112" s="21" t="n">
        <v>0</v>
      </c>
      <c r="R13112" s="21" t="n">
        <v>0</v>
      </c>
      <c r="S13112" s="21" t="n">
        <v>0</v>
      </c>
      <c r="T13112" s="21" t="n">
        <v>0</v>
      </c>
      <c r="U13112" s="21" t="n">
        <v>0</v>
      </c>
      <c r="V13112" s="21">
        <f>-$B$12189</f>
        <v/>
      </c>
      <c r="W13112" s="21">
        <f>-$B$12190</f>
        <v/>
      </c>
      <c r="X13112" s="21">
        <f>$B$12189+$D$13090</f>
        <v/>
      </c>
      <c r="Y13112" s="21">
        <f>-$B$12190</f>
        <v/>
      </c>
      <c r="Z13112" s="19" t="n"/>
    </row>
    <row r="13113">
      <c r="D13113" s="21" t="n">
        <v>0</v>
      </c>
      <c r="E13113" s="21" t="n">
        <v>0</v>
      </c>
      <c r="F13113" s="21" t="n">
        <v>0</v>
      </c>
      <c r="G13113" s="21" t="n">
        <v>0</v>
      </c>
      <c r="H13113" s="21" t="n">
        <v>0</v>
      </c>
      <c r="I13113" s="21" t="n">
        <v>0</v>
      </c>
      <c r="J13113" s="21" t="n">
        <v>0</v>
      </c>
      <c r="K13113" s="21" t="n">
        <v>0</v>
      </c>
      <c r="L13113" s="21" t="n">
        <v>0</v>
      </c>
      <c r="M13113" s="21" t="n">
        <v>0</v>
      </c>
      <c r="N13113" s="21" t="n">
        <v>0</v>
      </c>
      <c r="O13113" s="21" t="n">
        <v>0</v>
      </c>
      <c r="P13113" s="21" t="n">
        <v>0</v>
      </c>
      <c r="Q13113" s="21" t="n">
        <v>0</v>
      </c>
      <c r="R13113" s="21" t="n">
        <v>0</v>
      </c>
      <c r="S13113" s="21" t="n">
        <v>0</v>
      </c>
      <c r="T13113" s="21" t="n">
        <v>0</v>
      </c>
      <c r="U13113" s="21" t="n">
        <v>0</v>
      </c>
      <c r="V13113" s="21">
        <f>$B$12190</f>
        <v/>
      </c>
      <c r="W13113" s="21">
        <f>$B$12192</f>
        <v/>
      </c>
      <c r="X13113" s="21">
        <f>-$B$12190</f>
        <v/>
      </c>
      <c r="Y13113" s="21">
        <f>$B$12191</f>
        <v/>
      </c>
      <c r="Z13113" s="19" t="n"/>
    </row>
    <row r="13115">
      <c r="A13115" s="8" t="inlineStr">
        <is>
          <t>gen 25</t>
        </is>
      </c>
    </row>
    <row r="13116">
      <c r="D13116" s="19">
        <f>IF(ABS(IF(ABS($E$13080)&gt;0.000000001,$E$13080,0.000000001))=0,0,IF($E$12204&lt;=$B$12198,0,IF(ABS(IF(ABS($E$13080)&gt;0.000000001,$E$13080,0.000000001))&gt;=8*$B$12200,$H$12204,0.5*$H$12204*(ABS(IF(ABS($E$13080)&gt;0.000000001,$E$13080,0.000000001))/$B$12200)^(1/3)))/ABS(IF(ABS($E$13080)&gt;0.000000001,$E$13080,0.000000001))*$I$12204)</f>
        <v/>
      </c>
      <c r="E13116" s="19">
        <f>0.5*$E$13080+0.5*$Z$13128</f>
        <v/>
      </c>
      <c r="F13116" s="19">
        <f>$Z$13129</f>
        <v/>
      </c>
    </row>
    <row r="13117">
      <c r="D13117" s="19">
        <f>IF(ABS(IF(ABS($E$13081)&gt;0.000000001,$E$13081,0.000000001))=0,0,IF($E$12205&lt;=$B$12198,0,IF(ABS(IF(ABS($E$13081)&gt;0.000000001,$E$13081,0.000000001))&gt;=8*$B$12200,$H$12205,0.5*$H$12205*(ABS(IF(ABS($E$13081)&gt;0.000000001,$E$13081,0.000000001))/$B$12200)^(1/3)))/ABS(IF(ABS($E$13081)&gt;0.000000001,$E$13081,0.000000001))*$I$12205)</f>
        <v/>
      </c>
      <c r="E13117" s="19">
        <f>0.5*$E$13081+0.5*$Z$13130</f>
        <v/>
      </c>
      <c r="F13117" s="19">
        <f>$Z$13131</f>
        <v/>
      </c>
    </row>
    <row r="13118">
      <c r="D13118" s="19">
        <f>IF(ABS(IF(ABS($E$13082)&gt;0.000000001,$E$13082,0.000000001))=0,0,IF($E$12206&lt;=$B$12198,0,IF(ABS(IF(ABS($E$13082)&gt;0.000000001,$E$13082,0.000000001))&gt;=8*$B$12200,$H$12206,0.5*$H$12206*(ABS(IF(ABS($E$13082)&gt;0.000000001,$E$13082,0.000000001))/$B$12200)^(1/3)))/ABS(IF(ABS($E$13082)&gt;0.000000001,$E$13082,0.000000001))*$I$12206)</f>
        <v/>
      </c>
      <c r="E13118" s="19">
        <f>0.5*$E$13082+0.5*$Z$13132</f>
        <v/>
      </c>
      <c r="F13118" s="19">
        <f>$Z$13133</f>
        <v/>
      </c>
    </row>
    <row r="13119">
      <c r="D13119" s="19">
        <f>IF(ABS(IF(ABS($E$13083)&gt;0.000000001,$E$13083,0.000000001))=0,0,IF($E$12207&lt;=$B$12198,0,IF(ABS(IF(ABS($E$13083)&gt;0.000000001,$E$13083,0.000000001))&gt;=8*$B$12200,$H$12207,0.5*$H$12207*(ABS(IF(ABS($E$13083)&gt;0.000000001,$E$13083,0.000000001))/$B$12200)^(1/3)))/ABS(IF(ABS($E$13083)&gt;0.000000001,$E$13083,0.000000001))*$I$12207)</f>
        <v/>
      </c>
      <c r="E13119" s="19">
        <f>0.5*$E$13083+0.5*$Z$13134</f>
        <v/>
      </c>
      <c r="F13119" s="19">
        <f>$Z$13135</f>
        <v/>
      </c>
    </row>
    <row r="13120">
      <c r="D13120" s="19">
        <f>IF(ABS(IF(ABS($E$13084)&gt;0.000000001,$E$13084,0.000000001))=0,0,IF($E$12208&lt;=$B$12198,0,IF(ABS(IF(ABS($E$13084)&gt;0.000000001,$E$13084,0.000000001))&gt;=8*$B$12200,$H$12208,0.5*$H$12208*(ABS(IF(ABS($E$13084)&gt;0.000000001,$E$13084,0.000000001))/$B$12200)^(1/3)))/ABS(IF(ABS($E$13084)&gt;0.000000001,$E$13084,0.000000001))*$I$12208)</f>
        <v/>
      </c>
      <c r="E13120" s="19">
        <f>0.5*$E$13084+0.5*$Z$13136</f>
        <v/>
      </c>
      <c r="F13120" s="19">
        <f>$Z$13137</f>
        <v/>
      </c>
    </row>
    <row r="13121">
      <c r="D13121" s="19">
        <f>IF(ABS(IF(ABS($E$13085)&gt;0.000000001,$E$13085,0.000000001))=0,0,IF($E$12209&lt;=$B$12198,0,IF(ABS(IF(ABS($E$13085)&gt;0.000000001,$E$13085,0.000000001))&gt;=8*$B$12200,$H$12209,0.5*$H$12209*(ABS(IF(ABS($E$13085)&gt;0.000000001,$E$13085,0.000000001))/$B$12200)^(1/3)))/ABS(IF(ABS($E$13085)&gt;0.000000001,$E$13085,0.000000001))*$I$12209)</f>
        <v/>
      </c>
      <c r="E13121" s="19">
        <f>0.5*$E$13085+0.5*$Z$13138</f>
        <v/>
      </c>
      <c r="F13121" s="19">
        <f>$Z$13139</f>
        <v/>
      </c>
    </row>
    <row r="13122">
      <c r="D13122" s="19">
        <f>IF(ABS(IF(ABS($E$13086)&gt;0.000000001,$E$13086,0.000000001))=0,0,IF($E$12210&lt;=$B$12198,0,IF(ABS(IF(ABS($E$13086)&gt;0.000000001,$E$13086,0.000000001))&gt;=8*$B$12200,$H$12210,0.5*$H$12210*(ABS(IF(ABS($E$13086)&gt;0.000000001,$E$13086,0.000000001))/$B$12200)^(1/3)))/ABS(IF(ABS($E$13086)&gt;0.000000001,$E$13086,0.000000001))*$I$12210)</f>
        <v/>
      </c>
      <c r="E13122" s="19">
        <f>0.5*$E$13086+0.5*$Z$13140</f>
        <v/>
      </c>
      <c r="F13122" s="19">
        <f>$Z$13141</f>
        <v/>
      </c>
    </row>
    <row r="13123">
      <c r="D13123" s="19">
        <f>IF(ABS(IF(ABS($E$13087)&gt;0.000000001,$E$13087,0.000000001))=0,0,IF($E$12211&lt;=$B$12198,0,IF(ABS(IF(ABS($E$13087)&gt;0.000000001,$E$13087,0.000000001))&gt;=8*$B$12200,$H$12211,0.5*$H$12211*(ABS(IF(ABS($E$13087)&gt;0.000000001,$E$13087,0.000000001))/$B$12200)^(1/3)))/ABS(IF(ABS($E$13087)&gt;0.000000001,$E$13087,0.000000001))*$I$12211)</f>
        <v/>
      </c>
      <c r="E13123" s="19">
        <f>0.5*$E$13087+0.5*$Z$13142</f>
        <v/>
      </c>
      <c r="F13123" s="19">
        <f>$Z$13143</f>
        <v/>
      </c>
    </row>
    <row r="13124">
      <c r="D13124" s="19">
        <f>IF(ABS(IF(ABS($E$13088)&gt;0.000000001,$E$13088,0.000000001))=0,0,IF($E$12212&lt;=$B$12198,0,IF(ABS(IF(ABS($E$13088)&gt;0.000000001,$E$13088,0.000000001))&gt;=8*$B$12200,$H$12212,0.5*$H$12212*(ABS(IF(ABS($E$13088)&gt;0.000000001,$E$13088,0.000000001))/$B$12200)^(1/3)))/ABS(IF(ABS($E$13088)&gt;0.000000001,$E$13088,0.000000001))*$I$12212)</f>
        <v/>
      </c>
      <c r="E13124" s="19">
        <f>0.5*$E$13088+0.5*$Z$13144</f>
        <v/>
      </c>
      <c r="F13124" s="19">
        <f>$Z$13145</f>
        <v/>
      </c>
    </row>
    <row r="13125">
      <c r="D13125" s="19">
        <f>IF(ABS(IF(ABS($E$13089)&gt;0.000000001,$E$13089,0.000000001))=0,0,IF($E$12213&lt;=$B$12198,0,IF(ABS(IF(ABS($E$13089)&gt;0.000000001,$E$13089,0.000000001))&gt;=8*$B$12200,$H$12213,0.5*$H$12213*(ABS(IF(ABS($E$13089)&gt;0.000000001,$E$13089,0.000000001))/$B$12200)^(1/3)))/ABS(IF(ABS($E$13089)&gt;0.000000001,$E$13089,0.000000001))*$I$12213)</f>
        <v/>
      </c>
      <c r="E13125" s="19">
        <f>0.5*$E$13089+0.5*$Z$13146</f>
        <v/>
      </c>
      <c r="F13125" s="19">
        <f>$Z$13147</f>
        <v/>
      </c>
    </row>
    <row r="13126">
      <c r="D13126" s="19">
        <f>IF(ABS(IF(ABS($E$13090)&gt;0.000000001,$E$13090,0.000000001))=0,0,IF($E$12214&lt;=$B$12198,0,IF(ABS(IF(ABS($E$13090)&gt;0.000000001,$E$13090,0.000000001))&gt;=8*$B$12200,$H$12214,0.5*$H$12214*(ABS(IF(ABS($E$13090)&gt;0.000000001,$E$13090,0.000000001))/$B$12200)^(1/3)))/ABS(IF(ABS($E$13090)&gt;0.000000001,$E$13090,0.000000001))*$I$12214)</f>
        <v/>
      </c>
      <c r="E13126" s="19">
        <f>0.5*$E$13090+0.5*$Z$13148</f>
        <v/>
      </c>
      <c r="F13126" s="19">
        <f>$Z$13149</f>
        <v/>
      </c>
    </row>
    <row r="13128">
      <c r="D13128" s="21">
        <f>$B$12189+$D$13116</f>
        <v/>
      </c>
      <c r="E13128" s="21">
        <f>$B$12190</f>
        <v/>
      </c>
      <c r="F13128" s="21">
        <f>-$B$12189</f>
        <v/>
      </c>
      <c r="G13128" s="21">
        <f>$B$12190</f>
        <v/>
      </c>
      <c r="H13128" s="21" t="n">
        <v>0</v>
      </c>
      <c r="I13128" s="21" t="n">
        <v>0</v>
      </c>
      <c r="J13128" s="21" t="n">
        <v>0</v>
      </c>
      <c r="K13128" s="21" t="n">
        <v>0</v>
      </c>
      <c r="L13128" s="21" t="n">
        <v>0</v>
      </c>
      <c r="M13128" s="21" t="n">
        <v>0</v>
      </c>
      <c r="N13128" s="21" t="n">
        <v>0</v>
      </c>
      <c r="O13128" s="21" t="n">
        <v>0</v>
      </c>
      <c r="P13128" s="21" t="n">
        <v>0</v>
      </c>
      <c r="Q13128" s="21" t="n">
        <v>0</v>
      </c>
      <c r="R13128" s="21" t="n">
        <v>0</v>
      </c>
      <c r="S13128" s="21" t="n">
        <v>0</v>
      </c>
      <c r="T13128" s="21" t="n">
        <v>0</v>
      </c>
      <c r="U13128" s="21" t="n">
        <v>0</v>
      </c>
      <c r="V13128" s="21" t="n">
        <v>0</v>
      </c>
      <c r="W13128" s="21" t="n">
        <v>0</v>
      </c>
      <c r="X13128" s="21" t="n">
        <v>0</v>
      </c>
      <c r="Y13128" s="21" t="n">
        <v>0</v>
      </c>
      <c r="Z13128" s="19">
        <f t="array" ref="Z13128:Z13149">MMULT(MINVERSE($D$13128:$Y$13149),$D$12216:$D$12237)</f>
        <v/>
      </c>
    </row>
    <row r="13129">
      <c r="D13129" s="21">
        <f>$B$12190</f>
        <v/>
      </c>
      <c r="E13129" s="21">
        <f>$B$12191</f>
        <v/>
      </c>
      <c r="F13129" s="21">
        <f>-$B$12190</f>
        <v/>
      </c>
      <c r="G13129" s="21">
        <f>$B$12192</f>
        <v/>
      </c>
      <c r="H13129" s="21" t="n">
        <v>0</v>
      </c>
      <c r="I13129" s="21" t="n">
        <v>0</v>
      </c>
      <c r="J13129" s="21" t="n">
        <v>0</v>
      </c>
      <c r="K13129" s="21" t="n">
        <v>0</v>
      </c>
      <c r="L13129" s="21" t="n">
        <v>0</v>
      </c>
      <c r="M13129" s="21" t="n">
        <v>0</v>
      </c>
      <c r="N13129" s="21" t="n">
        <v>0</v>
      </c>
      <c r="O13129" s="21" t="n">
        <v>0</v>
      </c>
      <c r="P13129" s="21" t="n">
        <v>0</v>
      </c>
      <c r="Q13129" s="21" t="n">
        <v>0</v>
      </c>
      <c r="R13129" s="21" t="n">
        <v>0</v>
      </c>
      <c r="S13129" s="21" t="n">
        <v>0</v>
      </c>
      <c r="T13129" s="21" t="n">
        <v>0</v>
      </c>
      <c r="U13129" s="21" t="n">
        <v>0</v>
      </c>
      <c r="V13129" s="21" t="n">
        <v>0</v>
      </c>
      <c r="W13129" s="21" t="n">
        <v>0</v>
      </c>
      <c r="X13129" s="21" t="n">
        <v>0</v>
      </c>
      <c r="Y13129" s="21" t="n">
        <v>0</v>
      </c>
      <c r="Z13129" s="19" t="n"/>
    </row>
    <row r="13130">
      <c r="D13130" s="21">
        <f>-$B$12189</f>
        <v/>
      </c>
      <c r="E13130" s="21">
        <f>-$B$12190</f>
        <v/>
      </c>
      <c r="F13130" s="21">
        <f>2*$B$12189+$D$13117</f>
        <v/>
      </c>
      <c r="G13130" s="21">
        <f>0</f>
        <v/>
      </c>
      <c r="H13130" s="21">
        <f>-$B$12189</f>
        <v/>
      </c>
      <c r="I13130" s="21">
        <f>$B$12190</f>
        <v/>
      </c>
      <c r="J13130" s="21" t="n">
        <v>0</v>
      </c>
      <c r="K13130" s="21" t="n">
        <v>0</v>
      </c>
      <c r="L13130" s="21" t="n">
        <v>0</v>
      </c>
      <c r="M13130" s="21" t="n">
        <v>0</v>
      </c>
      <c r="N13130" s="21" t="n">
        <v>0</v>
      </c>
      <c r="O13130" s="21" t="n">
        <v>0</v>
      </c>
      <c r="P13130" s="21" t="n">
        <v>0</v>
      </c>
      <c r="Q13130" s="21" t="n">
        <v>0</v>
      </c>
      <c r="R13130" s="21" t="n">
        <v>0</v>
      </c>
      <c r="S13130" s="21" t="n">
        <v>0</v>
      </c>
      <c r="T13130" s="21" t="n">
        <v>0</v>
      </c>
      <c r="U13130" s="21" t="n">
        <v>0</v>
      </c>
      <c r="V13130" s="21" t="n">
        <v>0</v>
      </c>
      <c r="W13130" s="21" t="n">
        <v>0</v>
      </c>
      <c r="X13130" s="21" t="n">
        <v>0</v>
      </c>
      <c r="Y13130" s="21" t="n">
        <v>0</v>
      </c>
      <c r="Z13130" s="19" t="n"/>
    </row>
    <row r="13131">
      <c r="D13131" s="21">
        <f>$B$12190</f>
        <v/>
      </c>
      <c r="E13131" s="21">
        <f>$B$12192</f>
        <v/>
      </c>
      <c r="F13131" s="21">
        <f>0</f>
        <v/>
      </c>
      <c r="G13131" s="21">
        <f>2*$B$12191</f>
        <v/>
      </c>
      <c r="H13131" s="21">
        <f>-$B$12190</f>
        <v/>
      </c>
      <c r="I13131" s="21">
        <f>$B$12192</f>
        <v/>
      </c>
      <c r="J13131" s="21" t="n">
        <v>0</v>
      </c>
      <c r="K13131" s="21" t="n">
        <v>0</v>
      </c>
      <c r="L13131" s="21" t="n">
        <v>0</v>
      </c>
      <c r="M13131" s="21" t="n">
        <v>0</v>
      </c>
      <c r="N13131" s="21" t="n">
        <v>0</v>
      </c>
      <c r="O13131" s="21" t="n">
        <v>0</v>
      </c>
      <c r="P13131" s="21" t="n">
        <v>0</v>
      </c>
      <c r="Q13131" s="21" t="n">
        <v>0</v>
      </c>
      <c r="R13131" s="21" t="n">
        <v>0</v>
      </c>
      <c r="S13131" s="21" t="n">
        <v>0</v>
      </c>
      <c r="T13131" s="21" t="n">
        <v>0</v>
      </c>
      <c r="U13131" s="21" t="n">
        <v>0</v>
      </c>
      <c r="V13131" s="21" t="n">
        <v>0</v>
      </c>
      <c r="W13131" s="21" t="n">
        <v>0</v>
      </c>
      <c r="X13131" s="21" t="n">
        <v>0</v>
      </c>
      <c r="Y13131" s="21" t="n">
        <v>0</v>
      </c>
      <c r="Z13131" s="19" t="n"/>
    </row>
    <row r="13132">
      <c r="D13132" s="21" t="n">
        <v>0</v>
      </c>
      <c r="E13132" s="21" t="n">
        <v>0</v>
      </c>
      <c r="F13132" s="21">
        <f>-$B$12189</f>
        <v/>
      </c>
      <c r="G13132" s="21">
        <f>-$B$12190</f>
        <v/>
      </c>
      <c r="H13132" s="21">
        <f>2*$B$12189+$D$13118</f>
        <v/>
      </c>
      <c r="I13132" s="21">
        <f>0</f>
        <v/>
      </c>
      <c r="J13132" s="21">
        <f>-$B$12189</f>
        <v/>
      </c>
      <c r="K13132" s="21">
        <f>$B$12190</f>
        <v/>
      </c>
      <c r="L13132" s="21" t="n">
        <v>0</v>
      </c>
      <c r="M13132" s="21" t="n">
        <v>0</v>
      </c>
      <c r="N13132" s="21" t="n">
        <v>0</v>
      </c>
      <c r="O13132" s="21" t="n">
        <v>0</v>
      </c>
      <c r="P13132" s="21" t="n">
        <v>0</v>
      </c>
      <c r="Q13132" s="21" t="n">
        <v>0</v>
      </c>
      <c r="R13132" s="21" t="n">
        <v>0</v>
      </c>
      <c r="S13132" s="21" t="n">
        <v>0</v>
      </c>
      <c r="T13132" s="21" t="n">
        <v>0</v>
      </c>
      <c r="U13132" s="21" t="n">
        <v>0</v>
      </c>
      <c r="V13132" s="21" t="n">
        <v>0</v>
      </c>
      <c r="W13132" s="21" t="n">
        <v>0</v>
      </c>
      <c r="X13132" s="21" t="n">
        <v>0</v>
      </c>
      <c r="Y13132" s="21" t="n">
        <v>0</v>
      </c>
      <c r="Z13132" s="19" t="n"/>
    </row>
    <row r="13133">
      <c r="D13133" s="21" t="n">
        <v>0</v>
      </c>
      <c r="E13133" s="21" t="n">
        <v>0</v>
      </c>
      <c r="F13133" s="21">
        <f>$B$12190</f>
        <v/>
      </c>
      <c r="G13133" s="21">
        <f>$B$12192</f>
        <v/>
      </c>
      <c r="H13133" s="21">
        <f>0</f>
        <v/>
      </c>
      <c r="I13133" s="21">
        <f>2*$B$12191</f>
        <v/>
      </c>
      <c r="J13133" s="21">
        <f>-$B$12190</f>
        <v/>
      </c>
      <c r="K13133" s="21">
        <f>$B$12192</f>
        <v/>
      </c>
      <c r="L13133" s="21" t="n">
        <v>0</v>
      </c>
      <c r="M13133" s="21" t="n">
        <v>0</v>
      </c>
      <c r="N13133" s="21" t="n">
        <v>0</v>
      </c>
      <c r="O13133" s="21" t="n">
        <v>0</v>
      </c>
      <c r="P13133" s="21" t="n">
        <v>0</v>
      </c>
      <c r="Q13133" s="21" t="n">
        <v>0</v>
      </c>
      <c r="R13133" s="21" t="n">
        <v>0</v>
      </c>
      <c r="S13133" s="21" t="n">
        <v>0</v>
      </c>
      <c r="T13133" s="21" t="n">
        <v>0</v>
      </c>
      <c r="U13133" s="21" t="n">
        <v>0</v>
      </c>
      <c r="V13133" s="21" t="n">
        <v>0</v>
      </c>
      <c r="W13133" s="21" t="n">
        <v>0</v>
      </c>
      <c r="X13133" s="21" t="n">
        <v>0</v>
      </c>
      <c r="Y13133" s="21" t="n">
        <v>0</v>
      </c>
      <c r="Z13133" s="19" t="n"/>
    </row>
    <row r="13134">
      <c r="D13134" s="21" t="n">
        <v>0</v>
      </c>
      <c r="E13134" s="21" t="n">
        <v>0</v>
      </c>
      <c r="F13134" s="21" t="n">
        <v>0</v>
      </c>
      <c r="G13134" s="21" t="n">
        <v>0</v>
      </c>
      <c r="H13134" s="21">
        <f>-$B$12189</f>
        <v/>
      </c>
      <c r="I13134" s="21">
        <f>-$B$12190</f>
        <v/>
      </c>
      <c r="J13134" s="21">
        <f>2*$B$12189+$D$13119</f>
        <v/>
      </c>
      <c r="K13134" s="21">
        <f>0</f>
        <v/>
      </c>
      <c r="L13134" s="21">
        <f>-$B$12189</f>
        <v/>
      </c>
      <c r="M13134" s="21">
        <f>$B$12190</f>
        <v/>
      </c>
      <c r="N13134" s="21" t="n">
        <v>0</v>
      </c>
      <c r="O13134" s="21" t="n">
        <v>0</v>
      </c>
      <c r="P13134" s="21" t="n">
        <v>0</v>
      </c>
      <c r="Q13134" s="21" t="n">
        <v>0</v>
      </c>
      <c r="R13134" s="21" t="n">
        <v>0</v>
      </c>
      <c r="S13134" s="21" t="n">
        <v>0</v>
      </c>
      <c r="T13134" s="21" t="n">
        <v>0</v>
      </c>
      <c r="U13134" s="21" t="n">
        <v>0</v>
      </c>
      <c r="V13134" s="21" t="n">
        <v>0</v>
      </c>
      <c r="W13134" s="21" t="n">
        <v>0</v>
      </c>
      <c r="X13134" s="21" t="n">
        <v>0</v>
      </c>
      <c r="Y13134" s="21" t="n">
        <v>0</v>
      </c>
      <c r="Z13134" s="19" t="n"/>
    </row>
    <row r="13135">
      <c r="D13135" s="21" t="n">
        <v>0</v>
      </c>
      <c r="E13135" s="21" t="n">
        <v>0</v>
      </c>
      <c r="F13135" s="21" t="n">
        <v>0</v>
      </c>
      <c r="G13135" s="21" t="n">
        <v>0</v>
      </c>
      <c r="H13135" s="21">
        <f>$B$12190</f>
        <v/>
      </c>
      <c r="I13135" s="21">
        <f>$B$12192</f>
        <v/>
      </c>
      <c r="J13135" s="21">
        <f>0</f>
        <v/>
      </c>
      <c r="K13135" s="21">
        <f>2*$B$12191</f>
        <v/>
      </c>
      <c r="L13135" s="21">
        <f>-$B$12190</f>
        <v/>
      </c>
      <c r="M13135" s="21">
        <f>$B$12192</f>
        <v/>
      </c>
      <c r="N13135" s="21" t="n">
        <v>0</v>
      </c>
      <c r="O13135" s="21" t="n">
        <v>0</v>
      </c>
      <c r="P13135" s="21" t="n">
        <v>0</v>
      </c>
      <c r="Q13135" s="21" t="n">
        <v>0</v>
      </c>
      <c r="R13135" s="21" t="n">
        <v>0</v>
      </c>
      <c r="S13135" s="21" t="n">
        <v>0</v>
      </c>
      <c r="T13135" s="21" t="n">
        <v>0</v>
      </c>
      <c r="U13135" s="21" t="n">
        <v>0</v>
      </c>
      <c r="V13135" s="21" t="n">
        <v>0</v>
      </c>
      <c r="W13135" s="21" t="n">
        <v>0</v>
      </c>
      <c r="X13135" s="21" t="n">
        <v>0</v>
      </c>
      <c r="Y13135" s="21" t="n">
        <v>0</v>
      </c>
      <c r="Z13135" s="19" t="n"/>
    </row>
    <row r="13136">
      <c r="D13136" s="21" t="n">
        <v>0</v>
      </c>
      <c r="E13136" s="21" t="n">
        <v>0</v>
      </c>
      <c r="F13136" s="21" t="n">
        <v>0</v>
      </c>
      <c r="G13136" s="21" t="n">
        <v>0</v>
      </c>
      <c r="H13136" s="21" t="n">
        <v>0</v>
      </c>
      <c r="I13136" s="21" t="n">
        <v>0</v>
      </c>
      <c r="J13136" s="21">
        <f>-$B$12189</f>
        <v/>
      </c>
      <c r="K13136" s="21">
        <f>-$B$12190</f>
        <v/>
      </c>
      <c r="L13136" s="21">
        <f>2*$B$12189+$D$13120</f>
        <v/>
      </c>
      <c r="M13136" s="21">
        <f>0</f>
        <v/>
      </c>
      <c r="N13136" s="21">
        <f>-$B$12189</f>
        <v/>
      </c>
      <c r="O13136" s="21">
        <f>$B$12190</f>
        <v/>
      </c>
      <c r="P13136" s="21" t="n">
        <v>0</v>
      </c>
      <c r="Q13136" s="21" t="n">
        <v>0</v>
      </c>
      <c r="R13136" s="21" t="n">
        <v>0</v>
      </c>
      <c r="S13136" s="21" t="n">
        <v>0</v>
      </c>
      <c r="T13136" s="21" t="n">
        <v>0</v>
      </c>
      <c r="U13136" s="21" t="n">
        <v>0</v>
      </c>
      <c r="V13136" s="21" t="n">
        <v>0</v>
      </c>
      <c r="W13136" s="21" t="n">
        <v>0</v>
      </c>
      <c r="X13136" s="21" t="n">
        <v>0</v>
      </c>
      <c r="Y13136" s="21" t="n">
        <v>0</v>
      </c>
      <c r="Z13136" s="19" t="n"/>
    </row>
    <row r="13137">
      <c r="D13137" s="21" t="n">
        <v>0</v>
      </c>
      <c r="E13137" s="21" t="n">
        <v>0</v>
      </c>
      <c r="F13137" s="21" t="n">
        <v>0</v>
      </c>
      <c r="G13137" s="21" t="n">
        <v>0</v>
      </c>
      <c r="H13137" s="21" t="n">
        <v>0</v>
      </c>
      <c r="I13137" s="21" t="n">
        <v>0</v>
      </c>
      <c r="J13137" s="21">
        <f>$B$12190</f>
        <v/>
      </c>
      <c r="K13137" s="21">
        <f>$B$12192</f>
        <v/>
      </c>
      <c r="L13137" s="21">
        <f>0</f>
        <v/>
      </c>
      <c r="M13137" s="21">
        <f>2*$B$12191</f>
        <v/>
      </c>
      <c r="N13137" s="21">
        <f>-$B$12190</f>
        <v/>
      </c>
      <c r="O13137" s="21">
        <f>$B$12192</f>
        <v/>
      </c>
      <c r="P13137" s="21" t="n">
        <v>0</v>
      </c>
      <c r="Q13137" s="21" t="n">
        <v>0</v>
      </c>
      <c r="R13137" s="21" t="n">
        <v>0</v>
      </c>
      <c r="S13137" s="21" t="n">
        <v>0</v>
      </c>
      <c r="T13137" s="21" t="n">
        <v>0</v>
      </c>
      <c r="U13137" s="21" t="n">
        <v>0</v>
      </c>
      <c r="V13137" s="21" t="n">
        <v>0</v>
      </c>
      <c r="W13137" s="21" t="n">
        <v>0</v>
      </c>
      <c r="X13137" s="21" t="n">
        <v>0</v>
      </c>
      <c r="Y13137" s="21" t="n">
        <v>0</v>
      </c>
      <c r="Z13137" s="19" t="n"/>
    </row>
    <row r="13138">
      <c r="D13138" s="21" t="n">
        <v>0</v>
      </c>
      <c r="E13138" s="21" t="n">
        <v>0</v>
      </c>
      <c r="F13138" s="21" t="n">
        <v>0</v>
      </c>
      <c r="G13138" s="21" t="n">
        <v>0</v>
      </c>
      <c r="H13138" s="21" t="n">
        <v>0</v>
      </c>
      <c r="I13138" s="21" t="n">
        <v>0</v>
      </c>
      <c r="J13138" s="21" t="n">
        <v>0</v>
      </c>
      <c r="K13138" s="21" t="n">
        <v>0</v>
      </c>
      <c r="L13138" s="21">
        <f>-$B$12189</f>
        <v/>
      </c>
      <c r="M13138" s="21">
        <f>-$B$12190</f>
        <v/>
      </c>
      <c r="N13138" s="21">
        <f>2*$B$12189+$D$13121</f>
        <v/>
      </c>
      <c r="O13138" s="21">
        <f>0</f>
        <v/>
      </c>
      <c r="P13138" s="21">
        <f>-$B$12189</f>
        <v/>
      </c>
      <c r="Q13138" s="21">
        <f>$B$12190</f>
        <v/>
      </c>
      <c r="R13138" s="21" t="n">
        <v>0</v>
      </c>
      <c r="S13138" s="21" t="n">
        <v>0</v>
      </c>
      <c r="T13138" s="21" t="n">
        <v>0</v>
      </c>
      <c r="U13138" s="21" t="n">
        <v>0</v>
      </c>
      <c r="V13138" s="21" t="n">
        <v>0</v>
      </c>
      <c r="W13138" s="21" t="n">
        <v>0</v>
      </c>
      <c r="X13138" s="21" t="n">
        <v>0</v>
      </c>
      <c r="Y13138" s="21" t="n">
        <v>0</v>
      </c>
      <c r="Z13138" s="19" t="n"/>
    </row>
    <row r="13139">
      <c r="D13139" s="21" t="n">
        <v>0</v>
      </c>
      <c r="E13139" s="21" t="n">
        <v>0</v>
      </c>
      <c r="F13139" s="21" t="n">
        <v>0</v>
      </c>
      <c r="G13139" s="21" t="n">
        <v>0</v>
      </c>
      <c r="H13139" s="21" t="n">
        <v>0</v>
      </c>
      <c r="I13139" s="21" t="n">
        <v>0</v>
      </c>
      <c r="J13139" s="21" t="n">
        <v>0</v>
      </c>
      <c r="K13139" s="21" t="n">
        <v>0</v>
      </c>
      <c r="L13139" s="21">
        <f>$B$12190</f>
        <v/>
      </c>
      <c r="M13139" s="21">
        <f>$B$12192</f>
        <v/>
      </c>
      <c r="N13139" s="21">
        <f>0</f>
        <v/>
      </c>
      <c r="O13139" s="21">
        <f>2*$B$12191</f>
        <v/>
      </c>
      <c r="P13139" s="21">
        <f>-$B$12190</f>
        <v/>
      </c>
      <c r="Q13139" s="21">
        <f>$B$12192</f>
        <v/>
      </c>
      <c r="R13139" s="21" t="n">
        <v>0</v>
      </c>
      <c r="S13139" s="21" t="n">
        <v>0</v>
      </c>
      <c r="T13139" s="21" t="n">
        <v>0</v>
      </c>
      <c r="U13139" s="21" t="n">
        <v>0</v>
      </c>
      <c r="V13139" s="21" t="n">
        <v>0</v>
      </c>
      <c r="W13139" s="21" t="n">
        <v>0</v>
      </c>
      <c r="X13139" s="21" t="n">
        <v>0</v>
      </c>
      <c r="Y13139" s="21" t="n">
        <v>0</v>
      </c>
      <c r="Z13139" s="19" t="n"/>
    </row>
    <row r="13140">
      <c r="D13140" s="21" t="n">
        <v>0</v>
      </c>
      <c r="E13140" s="21" t="n">
        <v>0</v>
      </c>
      <c r="F13140" s="21" t="n">
        <v>0</v>
      </c>
      <c r="G13140" s="21" t="n">
        <v>0</v>
      </c>
      <c r="H13140" s="21" t="n">
        <v>0</v>
      </c>
      <c r="I13140" s="21" t="n">
        <v>0</v>
      </c>
      <c r="J13140" s="21" t="n">
        <v>0</v>
      </c>
      <c r="K13140" s="21" t="n">
        <v>0</v>
      </c>
      <c r="L13140" s="21" t="n">
        <v>0</v>
      </c>
      <c r="M13140" s="21" t="n">
        <v>0</v>
      </c>
      <c r="N13140" s="21">
        <f>-$B$12189</f>
        <v/>
      </c>
      <c r="O13140" s="21">
        <f>-$B$12190</f>
        <v/>
      </c>
      <c r="P13140" s="21">
        <f>2*$B$12189+$D$13122</f>
        <v/>
      </c>
      <c r="Q13140" s="21">
        <f>0</f>
        <v/>
      </c>
      <c r="R13140" s="21">
        <f>-$B$12189</f>
        <v/>
      </c>
      <c r="S13140" s="21">
        <f>$B$12190</f>
        <v/>
      </c>
      <c r="T13140" s="21" t="n">
        <v>0</v>
      </c>
      <c r="U13140" s="21" t="n">
        <v>0</v>
      </c>
      <c r="V13140" s="21" t="n">
        <v>0</v>
      </c>
      <c r="W13140" s="21" t="n">
        <v>0</v>
      </c>
      <c r="X13140" s="21" t="n">
        <v>0</v>
      </c>
      <c r="Y13140" s="21" t="n">
        <v>0</v>
      </c>
      <c r="Z13140" s="19" t="n"/>
    </row>
    <row r="13141">
      <c r="D13141" s="21" t="n">
        <v>0</v>
      </c>
      <c r="E13141" s="21" t="n">
        <v>0</v>
      </c>
      <c r="F13141" s="21" t="n">
        <v>0</v>
      </c>
      <c r="G13141" s="21" t="n">
        <v>0</v>
      </c>
      <c r="H13141" s="21" t="n">
        <v>0</v>
      </c>
      <c r="I13141" s="21" t="n">
        <v>0</v>
      </c>
      <c r="J13141" s="21" t="n">
        <v>0</v>
      </c>
      <c r="K13141" s="21" t="n">
        <v>0</v>
      </c>
      <c r="L13141" s="21" t="n">
        <v>0</v>
      </c>
      <c r="M13141" s="21" t="n">
        <v>0</v>
      </c>
      <c r="N13141" s="21">
        <f>$B$12190</f>
        <v/>
      </c>
      <c r="O13141" s="21">
        <f>$B$12192</f>
        <v/>
      </c>
      <c r="P13141" s="21">
        <f>0</f>
        <v/>
      </c>
      <c r="Q13141" s="21">
        <f>2*$B$12191</f>
        <v/>
      </c>
      <c r="R13141" s="21">
        <f>-$B$12190</f>
        <v/>
      </c>
      <c r="S13141" s="21">
        <f>$B$12192</f>
        <v/>
      </c>
      <c r="T13141" s="21" t="n">
        <v>0</v>
      </c>
      <c r="U13141" s="21" t="n">
        <v>0</v>
      </c>
      <c r="V13141" s="21" t="n">
        <v>0</v>
      </c>
      <c r="W13141" s="21" t="n">
        <v>0</v>
      </c>
      <c r="X13141" s="21" t="n">
        <v>0</v>
      </c>
      <c r="Y13141" s="21" t="n">
        <v>0</v>
      </c>
      <c r="Z13141" s="19" t="n"/>
    </row>
    <row r="13142">
      <c r="D13142" s="21" t="n">
        <v>0</v>
      </c>
      <c r="E13142" s="21" t="n">
        <v>0</v>
      </c>
      <c r="F13142" s="21" t="n">
        <v>0</v>
      </c>
      <c r="G13142" s="21" t="n">
        <v>0</v>
      </c>
      <c r="H13142" s="21" t="n">
        <v>0</v>
      </c>
      <c r="I13142" s="21" t="n">
        <v>0</v>
      </c>
      <c r="J13142" s="21" t="n">
        <v>0</v>
      </c>
      <c r="K13142" s="21" t="n">
        <v>0</v>
      </c>
      <c r="L13142" s="21" t="n">
        <v>0</v>
      </c>
      <c r="M13142" s="21" t="n">
        <v>0</v>
      </c>
      <c r="N13142" s="21" t="n">
        <v>0</v>
      </c>
      <c r="O13142" s="21" t="n">
        <v>0</v>
      </c>
      <c r="P13142" s="21">
        <f>-$B$12189</f>
        <v/>
      </c>
      <c r="Q13142" s="21">
        <f>-$B$12190</f>
        <v/>
      </c>
      <c r="R13142" s="21">
        <f>2*$B$12189+$D$13123</f>
        <v/>
      </c>
      <c r="S13142" s="21">
        <f>0</f>
        <v/>
      </c>
      <c r="T13142" s="21">
        <f>-$B$12189</f>
        <v/>
      </c>
      <c r="U13142" s="21">
        <f>$B$12190</f>
        <v/>
      </c>
      <c r="V13142" s="21" t="n">
        <v>0</v>
      </c>
      <c r="W13142" s="21" t="n">
        <v>0</v>
      </c>
      <c r="X13142" s="21" t="n">
        <v>0</v>
      </c>
      <c r="Y13142" s="21" t="n">
        <v>0</v>
      </c>
      <c r="Z13142" s="19" t="n"/>
    </row>
    <row r="13143">
      <c r="D13143" s="21" t="n">
        <v>0</v>
      </c>
      <c r="E13143" s="21" t="n">
        <v>0</v>
      </c>
      <c r="F13143" s="21" t="n">
        <v>0</v>
      </c>
      <c r="G13143" s="21" t="n">
        <v>0</v>
      </c>
      <c r="H13143" s="21" t="n">
        <v>0</v>
      </c>
      <c r="I13143" s="21" t="n">
        <v>0</v>
      </c>
      <c r="J13143" s="21" t="n">
        <v>0</v>
      </c>
      <c r="K13143" s="21" t="n">
        <v>0</v>
      </c>
      <c r="L13143" s="21" t="n">
        <v>0</v>
      </c>
      <c r="M13143" s="21" t="n">
        <v>0</v>
      </c>
      <c r="N13143" s="21" t="n">
        <v>0</v>
      </c>
      <c r="O13143" s="21" t="n">
        <v>0</v>
      </c>
      <c r="P13143" s="21">
        <f>$B$12190</f>
        <v/>
      </c>
      <c r="Q13143" s="21">
        <f>$B$12192</f>
        <v/>
      </c>
      <c r="R13143" s="21">
        <f>0</f>
        <v/>
      </c>
      <c r="S13143" s="21">
        <f>2*$B$12191</f>
        <v/>
      </c>
      <c r="T13143" s="21">
        <f>-$B$12190</f>
        <v/>
      </c>
      <c r="U13143" s="21">
        <f>$B$12192</f>
        <v/>
      </c>
      <c r="V13143" s="21" t="n">
        <v>0</v>
      </c>
      <c r="W13143" s="21" t="n">
        <v>0</v>
      </c>
      <c r="X13143" s="21" t="n">
        <v>0</v>
      </c>
      <c r="Y13143" s="21" t="n">
        <v>0</v>
      </c>
      <c r="Z13143" s="19" t="n"/>
    </row>
    <row r="13144">
      <c r="D13144" s="21" t="n">
        <v>0</v>
      </c>
      <c r="E13144" s="21" t="n">
        <v>0</v>
      </c>
      <c r="F13144" s="21" t="n">
        <v>0</v>
      </c>
      <c r="G13144" s="21" t="n">
        <v>0</v>
      </c>
      <c r="H13144" s="21" t="n">
        <v>0</v>
      </c>
      <c r="I13144" s="21" t="n">
        <v>0</v>
      </c>
      <c r="J13144" s="21" t="n">
        <v>0</v>
      </c>
      <c r="K13144" s="21" t="n">
        <v>0</v>
      </c>
      <c r="L13144" s="21" t="n">
        <v>0</v>
      </c>
      <c r="M13144" s="21" t="n">
        <v>0</v>
      </c>
      <c r="N13144" s="21" t="n">
        <v>0</v>
      </c>
      <c r="O13144" s="21" t="n">
        <v>0</v>
      </c>
      <c r="P13144" s="21" t="n">
        <v>0</v>
      </c>
      <c r="Q13144" s="21" t="n">
        <v>0</v>
      </c>
      <c r="R13144" s="21">
        <f>-$B$12189</f>
        <v/>
      </c>
      <c r="S13144" s="21">
        <f>-$B$12190</f>
        <v/>
      </c>
      <c r="T13144" s="21">
        <f>2*$B$12189+$D$13124</f>
        <v/>
      </c>
      <c r="U13144" s="21">
        <f>0</f>
        <v/>
      </c>
      <c r="V13144" s="21">
        <f>-$B$12189</f>
        <v/>
      </c>
      <c r="W13144" s="21">
        <f>$B$12190</f>
        <v/>
      </c>
      <c r="X13144" s="21" t="n">
        <v>0</v>
      </c>
      <c r="Y13144" s="21" t="n">
        <v>0</v>
      </c>
      <c r="Z13144" s="19" t="n"/>
    </row>
    <row r="13145">
      <c r="D13145" s="21" t="n">
        <v>0</v>
      </c>
      <c r="E13145" s="21" t="n">
        <v>0</v>
      </c>
      <c r="F13145" s="21" t="n">
        <v>0</v>
      </c>
      <c r="G13145" s="21" t="n">
        <v>0</v>
      </c>
      <c r="H13145" s="21" t="n">
        <v>0</v>
      </c>
      <c r="I13145" s="21" t="n">
        <v>0</v>
      </c>
      <c r="J13145" s="21" t="n">
        <v>0</v>
      </c>
      <c r="K13145" s="21" t="n">
        <v>0</v>
      </c>
      <c r="L13145" s="21" t="n">
        <v>0</v>
      </c>
      <c r="M13145" s="21" t="n">
        <v>0</v>
      </c>
      <c r="N13145" s="21" t="n">
        <v>0</v>
      </c>
      <c r="O13145" s="21" t="n">
        <v>0</v>
      </c>
      <c r="P13145" s="21" t="n">
        <v>0</v>
      </c>
      <c r="Q13145" s="21" t="n">
        <v>0</v>
      </c>
      <c r="R13145" s="21">
        <f>$B$12190</f>
        <v/>
      </c>
      <c r="S13145" s="21">
        <f>$B$12192</f>
        <v/>
      </c>
      <c r="T13145" s="21">
        <f>0</f>
        <v/>
      </c>
      <c r="U13145" s="21">
        <f>2*$B$12191</f>
        <v/>
      </c>
      <c r="V13145" s="21">
        <f>-$B$12190</f>
        <v/>
      </c>
      <c r="W13145" s="21">
        <f>$B$12192</f>
        <v/>
      </c>
      <c r="X13145" s="21" t="n">
        <v>0</v>
      </c>
      <c r="Y13145" s="21" t="n">
        <v>0</v>
      </c>
      <c r="Z13145" s="19" t="n"/>
    </row>
    <row r="13146">
      <c r="D13146" s="21" t="n">
        <v>0</v>
      </c>
      <c r="E13146" s="21" t="n">
        <v>0</v>
      </c>
      <c r="F13146" s="21" t="n">
        <v>0</v>
      </c>
      <c r="G13146" s="21" t="n">
        <v>0</v>
      </c>
      <c r="H13146" s="21" t="n">
        <v>0</v>
      </c>
      <c r="I13146" s="21" t="n">
        <v>0</v>
      </c>
      <c r="J13146" s="21" t="n">
        <v>0</v>
      </c>
      <c r="K13146" s="21" t="n">
        <v>0</v>
      </c>
      <c r="L13146" s="21" t="n">
        <v>0</v>
      </c>
      <c r="M13146" s="21" t="n">
        <v>0</v>
      </c>
      <c r="N13146" s="21" t="n">
        <v>0</v>
      </c>
      <c r="O13146" s="21" t="n">
        <v>0</v>
      </c>
      <c r="P13146" s="21" t="n">
        <v>0</v>
      </c>
      <c r="Q13146" s="21" t="n">
        <v>0</v>
      </c>
      <c r="R13146" s="21" t="n">
        <v>0</v>
      </c>
      <c r="S13146" s="21" t="n">
        <v>0</v>
      </c>
      <c r="T13146" s="21">
        <f>-$B$12189</f>
        <v/>
      </c>
      <c r="U13146" s="21">
        <f>-$B$12190</f>
        <v/>
      </c>
      <c r="V13146" s="21">
        <f>2*$B$12189+$D$13125</f>
        <v/>
      </c>
      <c r="W13146" s="21">
        <f>0</f>
        <v/>
      </c>
      <c r="X13146" s="21">
        <f>-$B$12189</f>
        <v/>
      </c>
      <c r="Y13146" s="21">
        <f>$B$12190</f>
        <v/>
      </c>
      <c r="Z13146" s="19" t="n"/>
    </row>
    <row r="13147">
      <c r="D13147" s="21" t="n">
        <v>0</v>
      </c>
      <c r="E13147" s="21" t="n">
        <v>0</v>
      </c>
      <c r="F13147" s="21" t="n">
        <v>0</v>
      </c>
      <c r="G13147" s="21" t="n">
        <v>0</v>
      </c>
      <c r="H13147" s="21" t="n">
        <v>0</v>
      </c>
      <c r="I13147" s="21" t="n">
        <v>0</v>
      </c>
      <c r="J13147" s="21" t="n">
        <v>0</v>
      </c>
      <c r="K13147" s="21" t="n">
        <v>0</v>
      </c>
      <c r="L13147" s="21" t="n">
        <v>0</v>
      </c>
      <c r="M13147" s="21" t="n">
        <v>0</v>
      </c>
      <c r="N13147" s="21" t="n">
        <v>0</v>
      </c>
      <c r="O13147" s="21" t="n">
        <v>0</v>
      </c>
      <c r="P13147" s="21" t="n">
        <v>0</v>
      </c>
      <c r="Q13147" s="21" t="n">
        <v>0</v>
      </c>
      <c r="R13147" s="21" t="n">
        <v>0</v>
      </c>
      <c r="S13147" s="21" t="n">
        <v>0</v>
      </c>
      <c r="T13147" s="21">
        <f>$B$12190</f>
        <v/>
      </c>
      <c r="U13147" s="21">
        <f>$B$12192</f>
        <v/>
      </c>
      <c r="V13147" s="21">
        <f>0</f>
        <v/>
      </c>
      <c r="W13147" s="21">
        <f>2*$B$12191</f>
        <v/>
      </c>
      <c r="X13147" s="21">
        <f>-$B$12190</f>
        <v/>
      </c>
      <c r="Y13147" s="21">
        <f>$B$12192</f>
        <v/>
      </c>
      <c r="Z13147" s="19" t="n"/>
    </row>
    <row r="13148">
      <c r="D13148" s="21" t="n">
        <v>0</v>
      </c>
      <c r="E13148" s="21" t="n">
        <v>0</v>
      </c>
      <c r="F13148" s="21" t="n">
        <v>0</v>
      </c>
      <c r="G13148" s="21" t="n">
        <v>0</v>
      </c>
      <c r="H13148" s="21" t="n">
        <v>0</v>
      </c>
      <c r="I13148" s="21" t="n">
        <v>0</v>
      </c>
      <c r="J13148" s="21" t="n">
        <v>0</v>
      </c>
      <c r="K13148" s="21" t="n">
        <v>0</v>
      </c>
      <c r="L13148" s="21" t="n">
        <v>0</v>
      </c>
      <c r="M13148" s="21" t="n">
        <v>0</v>
      </c>
      <c r="N13148" s="21" t="n">
        <v>0</v>
      </c>
      <c r="O13148" s="21" t="n">
        <v>0</v>
      </c>
      <c r="P13148" s="21" t="n">
        <v>0</v>
      </c>
      <c r="Q13148" s="21" t="n">
        <v>0</v>
      </c>
      <c r="R13148" s="21" t="n">
        <v>0</v>
      </c>
      <c r="S13148" s="21" t="n">
        <v>0</v>
      </c>
      <c r="T13148" s="21" t="n">
        <v>0</v>
      </c>
      <c r="U13148" s="21" t="n">
        <v>0</v>
      </c>
      <c r="V13148" s="21">
        <f>-$B$12189</f>
        <v/>
      </c>
      <c r="W13148" s="21">
        <f>-$B$12190</f>
        <v/>
      </c>
      <c r="X13148" s="21">
        <f>$B$12189+$D$13126</f>
        <v/>
      </c>
      <c r="Y13148" s="21">
        <f>-$B$12190</f>
        <v/>
      </c>
      <c r="Z13148" s="19" t="n"/>
    </row>
    <row r="13149">
      <c r="D13149" s="21" t="n">
        <v>0</v>
      </c>
      <c r="E13149" s="21" t="n">
        <v>0</v>
      </c>
      <c r="F13149" s="21" t="n">
        <v>0</v>
      </c>
      <c r="G13149" s="21" t="n">
        <v>0</v>
      </c>
      <c r="H13149" s="21" t="n">
        <v>0</v>
      </c>
      <c r="I13149" s="21" t="n">
        <v>0</v>
      </c>
      <c r="J13149" s="21" t="n">
        <v>0</v>
      </c>
      <c r="K13149" s="21" t="n">
        <v>0</v>
      </c>
      <c r="L13149" s="21" t="n">
        <v>0</v>
      </c>
      <c r="M13149" s="21" t="n">
        <v>0</v>
      </c>
      <c r="N13149" s="21" t="n">
        <v>0</v>
      </c>
      <c r="O13149" s="21" t="n">
        <v>0</v>
      </c>
      <c r="P13149" s="21" t="n">
        <v>0</v>
      </c>
      <c r="Q13149" s="21" t="n">
        <v>0</v>
      </c>
      <c r="R13149" s="21" t="n">
        <v>0</v>
      </c>
      <c r="S13149" s="21" t="n">
        <v>0</v>
      </c>
      <c r="T13149" s="21" t="n">
        <v>0</v>
      </c>
      <c r="U13149" s="21" t="n">
        <v>0</v>
      </c>
      <c r="V13149" s="21">
        <f>$B$12190</f>
        <v/>
      </c>
      <c r="W13149" s="21">
        <f>$B$12192</f>
        <v/>
      </c>
      <c r="X13149" s="21">
        <f>-$B$12190</f>
        <v/>
      </c>
      <c r="Y13149" s="21">
        <f>$B$12191</f>
        <v/>
      </c>
      <c r="Z13149" s="19" t="n"/>
    </row>
    <row r="13151">
      <c r="A13151" s="8" t="inlineStr">
        <is>
          <t>gen 26</t>
        </is>
      </c>
    </row>
    <row r="13152">
      <c r="D13152" s="19">
        <f>IF(ABS(IF(ABS($E$13116)&gt;0.000000001,$E$13116,0.000000001))=0,0,IF($E$12204&lt;=$B$12198,0,IF(ABS(IF(ABS($E$13116)&gt;0.000000001,$E$13116,0.000000001))&gt;=8*$B$12200,$H$12204,0.5*$H$12204*(ABS(IF(ABS($E$13116)&gt;0.000000001,$E$13116,0.000000001))/$B$12200)^(1/3)))/ABS(IF(ABS($E$13116)&gt;0.000000001,$E$13116,0.000000001))*$I$12204)</f>
        <v/>
      </c>
      <c r="E13152" s="19">
        <f>0.5*$E$13116+0.5*$Z$13164</f>
        <v/>
      </c>
      <c r="F13152" s="19">
        <f>$Z$13165</f>
        <v/>
      </c>
    </row>
    <row r="13153">
      <c r="D13153" s="19">
        <f>IF(ABS(IF(ABS($E$13117)&gt;0.000000001,$E$13117,0.000000001))=0,0,IF($E$12205&lt;=$B$12198,0,IF(ABS(IF(ABS($E$13117)&gt;0.000000001,$E$13117,0.000000001))&gt;=8*$B$12200,$H$12205,0.5*$H$12205*(ABS(IF(ABS($E$13117)&gt;0.000000001,$E$13117,0.000000001))/$B$12200)^(1/3)))/ABS(IF(ABS($E$13117)&gt;0.000000001,$E$13117,0.000000001))*$I$12205)</f>
        <v/>
      </c>
      <c r="E13153" s="19">
        <f>0.5*$E$13117+0.5*$Z$13166</f>
        <v/>
      </c>
      <c r="F13153" s="19">
        <f>$Z$13167</f>
        <v/>
      </c>
    </row>
    <row r="13154">
      <c r="D13154" s="19">
        <f>IF(ABS(IF(ABS($E$13118)&gt;0.000000001,$E$13118,0.000000001))=0,0,IF($E$12206&lt;=$B$12198,0,IF(ABS(IF(ABS($E$13118)&gt;0.000000001,$E$13118,0.000000001))&gt;=8*$B$12200,$H$12206,0.5*$H$12206*(ABS(IF(ABS($E$13118)&gt;0.000000001,$E$13118,0.000000001))/$B$12200)^(1/3)))/ABS(IF(ABS($E$13118)&gt;0.000000001,$E$13118,0.000000001))*$I$12206)</f>
        <v/>
      </c>
      <c r="E13154" s="19">
        <f>0.5*$E$13118+0.5*$Z$13168</f>
        <v/>
      </c>
      <c r="F13154" s="19">
        <f>$Z$13169</f>
        <v/>
      </c>
    </row>
    <row r="13155">
      <c r="D13155" s="19">
        <f>IF(ABS(IF(ABS($E$13119)&gt;0.000000001,$E$13119,0.000000001))=0,0,IF($E$12207&lt;=$B$12198,0,IF(ABS(IF(ABS($E$13119)&gt;0.000000001,$E$13119,0.000000001))&gt;=8*$B$12200,$H$12207,0.5*$H$12207*(ABS(IF(ABS($E$13119)&gt;0.000000001,$E$13119,0.000000001))/$B$12200)^(1/3)))/ABS(IF(ABS($E$13119)&gt;0.000000001,$E$13119,0.000000001))*$I$12207)</f>
        <v/>
      </c>
      <c r="E13155" s="19">
        <f>0.5*$E$13119+0.5*$Z$13170</f>
        <v/>
      </c>
      <c r="F13155" s="19">
        <f>$Z$13171</f>
        <v/>
      </c>
    </row>
    <row r="13156">
      <c r="D13156" s="19">
        <f>IF(ABS(IF(ABS($E$13120)&gt;0.000000001,$E$13120,0.000000001))=0,0,IF($E$12208&lt;=$B$12198,0,IF(ABS(IF(ABS($E$13120)&gt;0.000000001,$E$13120,0.000000001))&gt;=8*$B$12200,$H$12208,0.5*$H$12208*(ABS(IF(ABS($E$13120)&gt;0.000000001,$E$13120,0.000000001))/$B$12200)^(1/3)))/ABS(IF(ABS($E$13120)&gt;0.000000001,$E$13120,0.000000001))*$I$12208)</f>
        <v/>
      </c>
      <c r="E13156" s="19">
        <f>0.5*$E$13120+0.5*$Z$13172</f>
        <v/>
      </c>
      <c r="F13156" s="19">
        <f>$Z$13173</f>
        <v/>
      </c>
    </row>
    <row r="13157">
      <c r="D13157" s="19">
        <f>IF(ABS(IF(ABS($E$13121)&gt;0.000000001,$E$13121,0.000000001))=0,0,IF($E$12209&lt;=$B$12198,0,IF(ABS(IF(ABS($E$13121)&gt;0.000000001,$E$13121,0.000000001))&gt;=8*$B$12200,$H$12209,0.5*$H$12209*(ABS(IF(ABS($E$13121)&gt;0.000000001,$E$13121,0.000000001))/$B$12200)^(1/3)))/ABS(IF(ABS($E$13121)&gt;0.000000001,$E$13121,0.000000001))*$I$12209)</f>
        <v/>
      </c>
      <c r="E13157" s="19">
        <f>0.5*$E$13121+0.5*$Z$13174</f>
        <v/>
      </c>
      <c r="F13157" s="19">
        <f>$Z$13175</f>
        <v/>
      </c>
    </row>
    <row r="13158">
      <c r="D13158" s="19">
        <f>IF(ABS(IF(ABS($E$13122)&gt;0.000000001,$E$13122,0.000000001))=0,0,IF($E$12210&lt;=$B$12198,0,IF(ABS(IF(ABS($E$13122)&gt;0.000000001,$E$13122,0.000000001))&gt;=8*$B$12200,$H$12210,0.5*$H$12210*(ABS(IF(ABS($E$13122)&gt;0.000000001,$E$13122,0.000000001))/$B$12200)^(1/3)))/ABS(IF(ABS($E$13122)&gt;0.000000001,$E$13122,0.000000001))*$I$12210)</f>
        <v/>
      </c>
      <c r="E13158" s="19">
        <f>0.5*$E$13122+0.5*$Z$13176</f>
        <v/>
      </c>
      <c r="F13158" s="19">
        <f>$Z$13177</f>
        <v/>
      </c>
    </row>
    <row r="13159">
      <c r="D13159" s="19">
        <f>IF(ABS(IF(ABS($E$13123)&gt;0.000000001,$E$13123,0.000000001))=0,0,IF($E$12211&lt;=$B$12198,0,IF(ABS(IF(ABS($E$13123)&gt;0.000000001,$E$13123,0.000000001))&gt;=8*$B$12200,$H$12211,0.5*$H$12211*(ABS(IF(ABS($E$13123)&gt;0.000000001,$E$13123,0.000000001))/$B$12200)^(1/3)))/ABS(IF(ABS($E$13123)&gt;0.000000001,$E$13123,0.000000001))*$I$12211)</f>
        <v/>
      </c>
      <c r="E13159" s="19">
        <f>0.5*$E$13123+0.5*$Z$13178</f>
        <v/>
      </c>
      <c r="F13159" s="19">
        <f>$Z$13179</f>
        <v/>
      </c>
    </row>
    <row r="13160">
      <c r="D13160" s="19">
        <f>IF(ABS(IF(ABS($E$13124)&gt;0.000000001,$E$13124,0.000000001))=0,0,IF($E$12212&lt;=$B$12198,0,IF(ABS(IF(ABS($E$13124)&gt;0.000000001,$E$13124,0.000000001))&gt;=8*$B$12200,$H$12212,0.5*$H$12212*(ABS(IF(ABS($E$13124)&gt;0.000000001,$E$13124,0.000000001))/$B$12200)^(1/3)))/ABS(IF(ABS($E$13124)&gt;0.000000001,$E$13124,0.000000001))*$I$12212)</f>
        <v/>
      </c>
      <c r="E13160" s="19">
        <f>0.5*$E$13124+0.5*$Z$13180</f>
        <v/>
      </c>
      <c r="F13160" s="19">
        <f>$Z$13181</f>
        <v/>
      </c>
    </row>
    <row r="13161">
      <c r="D13161" s="19">
        <f>IF(ABS(IF(ABS($E$13125)&gt;0.000000001,$E$13125,0.000000001))=0,0,IF($E$12213&lt;=$B$12198,0,IF(ABS(IF(ABS($E$13125)&gt;0.000000001,$E$13125,0.000000001))&gt;=8*$B$12200,$H$12213,0.5*$H$12213*(ABS(IF(ABS($E$13125)&gt;0.000000001,$E$13125,0.000000001))/$B$12200)^(1/3)))/ABS(IF(ABS($E$13125)&gt;0.000000001,$E$13125,0.000000001))*$I$12213)</f>
        <v/>
      </c>
      <c r="E13161" s="19">
        <f>0.5*$E$13125+0.5*$Z$13182</f>
        <v/>
      </c>
      <c r="F13161" s="19">
        <f>$Z$13183</f>
        <v/>
      </c>
    </row>
    <row r="13162">
      <c r="D13162" s="19">
        <f>IF(ABS(IF(ABS($E$13126)&gt;0.000000001,$E$13126,0.000000001))=0,0,IF($E$12214&lt;=$B$12198,0,IF(ABS(IF(ABS($E$13126)&gt;0.000000001,$E$13126,0.000000001))&gt;=8*$B$12200,$H$12214,0.5*$H$12214*(ABS(IF(ABS($E$13126)&gt;0.000000001,$E$13126,0.000000001))/$B$12200)^(1/3)))/ABS(IF(ABS($E$13126)&gt;0.000000001,$E$13126,0.000000001))*$I$12214)</f>
        <v/>
      </c>
      <c r="E13162" s="19">
        <f>0.5*$E$13126+0.5*$Z$13184</f>
        <v/>
      </c>
      <c r="F13162" s="19">
        <f>$Z$13185</f>
        <v/>
      </c>
    </row>
    <row r="13164">
      <c r="D13164" s="21">
        <f>$B$12189+$D$13152</f>
        <v/>
      </c>
      <c r="E13164" s="21">
        <f>$B$12190</f>
        <v/>
      </c>
      <c r="F13164" s="21">
        <f>-$B$12189</f>
        <v/>
      </c>
      <c r="G13164" s="21">
        <f>$B$12190</f>
        <v/>
      </c>
      <c r="H13164" s="21" t="n">
        <v>0</v>
      </c>
      <c r="I13164" s="21" t="n">
        <v>0</v>
      </c>
      <c r="J13164" s="21" t="n">
        <v>0</v>
      </c>
      <c r="K13164" s="21" t="n">
        <v>0</v>
      </c>
      <c r="L13164" s="21" t="n">
        <v>0</v>
      </c>
      <c r="M13164" s="21" t="n">
        <v>0</v>
      </c>
      <c r="N13164" s="21" t="n">
        <v>0</v>
      </c>
      <c r="O13164" s="21" t="n">
        <v>0</v>
      </c>
      <c r="P13164" s="21" t="n">
        <v>0</v>
      </c>
      <c r="Q13164" s="21" t="n">
        <v>0</v>
      </c>
      <c r="R13164" s="21" t="n">
        <v>0</v>
      </c>
      <c r="S13164" s="21" t="n">
        <v>0</v>
      </c>
      <c r="T13164" s="21" t="n">
        <v>0</v>
      </c>
      <c r="U13164" s="21" t="n">
        <v>0</v>
      </c>
      <c r="V13164" s="21" t="n">
        <v>0</v>
      </c>
      <c r="W13164" s="21" t="n">
        <v>0</v>
      </c>
      <c r="X13164" s="21" t="n">
        <v>0</v>
      </c>
      <c r="Y13164" s="21" t="n">
        <v>0</v>
      </c>
      <c r="Z13164" s="19">
        <f t="array" ref="Z13164:Z13185">MMULT(MINVERSE($D$13164:$Y$13185),$D$12216:$D$12237)</f>
        <v/>
      </c>
    </row>
    <row r="13165">
      <c r="D13165" s="21">
        <f>$B$12190</f>
        <v/>
      </c>
      <c r="E13165" s="21">
        <f>$B$12191</f>
        <v/>
      </c>
      <c r="F13165" s="21">
        <f>-$B$12190</f>
        <v/>
      </c>
      <c r="G13165" s="21">
        <f>$B$12192</f>
        <v/>
      </c>
      <c r="H13165" s="21" t="n">
        <v>0</v>
      </c>
      <c r="I13165" s="21" t="n">
        <v>0</v>
      </c>
      <c r="J13165" s="21" t="n">
        <v>0</v>
      </c>
      <c r="K13165" s="21" t="n">
        <v>0</v>
      </c>
      <c r="L13165" s="21" t="n">
        <v>0</v>
      </c>
      <c r="M13165" s="21" t="n">
        <v>0</v>
      </c>
      <c r="N13165" s="21" t="n">
        <v>0</v>
      </c>
      <c r="O13165" s="21" t="n">
        <v>0</v>
      </c>
      <c r="P13165" s="21" t="n">
        <v>0</v>
      </c>
      <c r="Q13165" s="21" t="n">
        <v>0</v>
      </c>
      <c r="R13165" s="21" t="n">
        <v>0</v>
      </c>
      <c r="S13165" s="21" t="n">
        <v>0</v>
      </c>
      <c r="T13165" s="21" t="n">
        <v>0</v>
      </c>
      <c r="U13165" s="21" t="n">
        <v>0</v>
      </c>
      <c r="V13165" s="21" t="n">
        <v>0</v>
      </c>
      <c r="W13165" s="21" t="n">
        <v>0</v>
      </c>
      <c r="X13165" s="21" t="n">
        <v>0</v>
      </c>
      <c r="Y13165" s="21" t="n">
        <v>0</v>
      </c>
      <c r="Z13165" s="19" t="n"/>
    </row>
    <row r="13166">
      <c r="D13166" s="21">
        <f>-$B$12189</f>
        <v/>
      </c>
      <c r="E13166" s="21">
        <f>-$B$12190</f>
        <v/>
      </c>
      <c r="F13166" s="21">
        <f>2*$B$12189+$D$13153</f>
        <v/>
      </c>
      <c r="G13166" s="21">
        <f>0</f>
        <v/>
      </c>
      <c r="H13166" s="21">
        <f>-$B$12189</f>
        <v/>
      </c>
      <c r="I13166" s="21">
        <f>$B$12190</f>
        <v/>
      </c>
      <c r="J13166" s="21" t="n">
        <v>0</v>
      </c>
      <c r="K13166" s="21" t="n">
        <v>0</v>
      </c>
      <c r="L13166" s="21" t="n">
        <v>0</v>
      </c>
      <c r="M13166" s="21" t="n">
        <v>0</v>
      </c>
      <c r="N13166" s="21" t="n">
        <v>0</v>
      </c>
      <c r="O13166" s="21" t="n">
        <v>0</v>
      </c>
      <c r="P13166" s="21" t="n">
        <v>0</v>
      </c>
      <c r="Q13166" s="21" t="n">
        <v>0</v>
      </c>
      <c r="R13166" s="21" t="n">
        <v>0</v>
      </c>
      <c r="S13166" s="21" t="n">
        <v>0</v>
      </c>
      <c r="T13166" s="21" t="n">
        <v>0</v>
      </c>
      <c r="U13166" s="21" t="n">
        <v>0</v>
      </c>
      <c r="V13166" s="21" t="n">
        <v>0</v>
      </c>
      <c r="W13166" s="21" t="n">
        <v>0</v>
      </c>
      <c r="X13166" s="21" t="n">
        <v>0</v>
      </c>
      <c r="Y13166" s="21" t="n">
        <v>0</v>
      </c>
      <c r="Z13166" s="19" t="n"/>
    </row>
    <row r="13167">
      <c r="D13167" s="21">
        <f>$B$12190</f>
        <v/>
      </c>
      <c r="E13167" s="21">
        <f>$B$12192</f>
        <v/>
      </c>
      <c r="F13167" s="21">
        <f>0</f>
        <v/>
      </c>
      <c r="G13167" s="21">
        <f>2*$B$12191</f>
        <v/>
      </c>
      <c r="H13167" s="21">
        <f>-$B$12190</f>
        <v/>
      </c>
      <c r="I13167" s="21">
        <f>$B$12192</f>
        <v/>
      </c>
      <c r="J13167" s="21" t="n">
        <v>0</v>
      </c>
      <c r="K13167" s="21" t="n">
        <v>0</v>
      </c>
      <c r="L13167" s="21" t="n">
        <v>0</v>
      </c>
      <c r="M13167" s="21" t="n">
        <v>0</v>
      </c>
      <c r="N13167" s="21" t="n">
        <v>0</v>
      </c>
      <c r="O13167" s="21" t="n">
        <v>0</v>
      </c>
      <c r="P13167" s="21" t="n">
        <v>0</v>
      </c>
      <c r="Q13167" s="21" t="n">
        <v>0</v>
      </c>
      <c r="R13167" s="21" t="n">
        <v>0</v>
      </c>
      <c r="S13167" s="21" t="n">
        <v>0</v>
      </c>
      <c r="T13167" s="21" t="n">
        <v>0</v>
      </c>
      <c r="U13167" s="21" t="n">
        <v>0</v>
      </c>
      <c r="V13167" s="21" t="n">
        <v>0</v>
      </c>
      <c r="W13167" s="21" t="n">
        <v>0</v>
      </c>
      <c r="X13167" s="21" t="n">
        <v>0</v>
      </c>
      <c r="Y13167" s="21" t="n">
        <v>0</v>
      </c>
      <c r="Z13167" s="19" t="n"/>
    </row>
    <row r="13168">
      <c r="D13168" s="21" t="n">
        <v>0</v>
      </c>
      <c r="E13168" s="21" t="n">
        <v>0</v>
      </c>
      <c r="F13168" s="21">
        <f>-$B$12189</f>
        <v/>
      </c>
      <c r="G13168" s="21">
        <f>-$B$12190</f>
        <v/>
      </c>
      <c r="H13168" s="21">
        <f>2*$B$12189+$D$13154</f>
        <v/>
      </c>
      <c r="I13168" s="21">
        <f>0</f>
        <v/>
      </c>
      <c r="J13168" s="21">
        <f>-$B$12189</f>
        <v/>
      </c>
      <c r="K13168" s="21">
        <f>$B$12190</f>
        <v/>
      </c>
      <c r="L13168" s="21" t="n">
        <v>0</v>
      </c>
      <c r="M13168" s="21" t="n">
        <v>0</v>
      </c>
      <c r="N13168" s="21" t="n">
        <v>0</v>
      </c>
      <c r="O13168" s="21" t="n">
        <v>0</v>
      </c>
      <c r="P13168" s="21" t="n">
        <v>0</v>
      </c>
      <c r="Q13168" s="21" t="n">
        <v>0</v>
      </c>
      <c r="R13168" s="21" t="n">
        <v>0</v>
      </c>
      <c r="S13168" s="21" t="n">
        <v>0</v>
      </c>
      <c r="T13168" s="21" t="n">
        <v>0</v>
      </c>
      <c r="U13168" s="21" t="n">
        <v>0</v>
      </c>
      <c r="V13168" s="21" t="n">
        <v>0</v>
      </c>
      <c r="W13168" s="21" t="n">
        <v>0</v>
      </c>
      <c r="X13168" s="21" t="n">
        <v>0</v>
      </c>
      <c r="Y13168" s="21" t="n">
        <v>0</v>
      </c>
      <c r="Z13168" s="19" t="n"/>
    </row>
    <row r="13169">
      <c r="D13169" s="21" t="n">
        <v>0</v>
      </c>
      <c r="E13169" s="21" t="n">
        <v>0</v>
      </c>
      <c r="F13169" s="21">
        <f>$B$12190</f>
        <v/>
      </c>
      <c r="G13169" s="21">
        <f>$B$12192</f>
        <v/>
      </c>
      <c r="H13169" s="21">
        <f>0</f>
        <v/>
      </c>
      <c r="I13169" s="21">
        <f>2*$B$12191</f>
        <v/>
      </c>
      <c r="J13169" s="21">
        <f>-$B$12190</f>
        <v/>
      </c>
      <c r="K13169" s="21">
        <f>$B$12192</f>
        <v/>
      </c>
      <c r="L13169" s="21" t="n">
        <v>0</v>
      </c>
      <c r="M13169" s="21" t="n">
        <v>0</v>
      </c>
      <c r="N13169" s="21" t="n">
        <v>0</v>
      </c>
      <c r="O13169" s="21" t="n">
        <v>0</v>
      </c>
      <c r="P13169" s="21" t="n">
        <v>0</v>
      </c>
      <c r="Q13169" s="21" t="n">
        <v>0</v>
      </c>
      <c r="R13169" s="21" t="n">
        <v>0</v>
      </c>
      <c r="S13169" s="21" t="n">
        <v>0</v>
      </c>
      <c r="T13169" s="21" t="n">
        <v>0</v>
      </c>
      <c r="U13169" s="21" t="n">
        <v>0</v>
      </c>
      <c r="V13169" s="21" t="n">
        <v>0</v>
      </c>
      <c r="W13169" s="21" t="n">
        <v>0</v>
      </c>
      <c r="X13169" s="21" t="n">
        <v>0</v>
      </c>
      <c r="Y13169" s="21" t="n">
        <v>0</v>
      </c>
      <c r="Z13169" s="19" t="n"/>
    </row>
    <row r="13170">
      <c r="D13170" s="21" t="n">
        <v>0</v>
      </c>
      <c r="E13170" s="21" t="n">
        <v>0</v>
      </c>
      <c r="F13170" s="21" t="n">
        <v>0</v>
      </c>
      <c r="G13170" s="21" t="n">
        <v>0</v>
      </c>
      <c r="H13170" s="21">
        <f>-$B$12189</f>
        <v/>
      </c>
      <c r="I13170" s="21">
        <f>-$B$12190</f>
        <v/>
      </c>
      <c r="J13170" s="21">
        <f>2*$B$12189+$D$13155</f>
        <v/>
      </c>
      <c r="K13170" s="21">
        <f>0</f>
        <v/>
      </c>
      <c r="L13170" s="21">
        <f>-$B$12189</f>
        <v/>
      </c>
      <c r="M13170" s="21">
        <f>$B$12190</f>
        <v/>
      </c>
      <c r="N13170" s="21" t="n">
        <v>0</v>
      </c>
      <c r="O13170" s="21" t="n">
        <v>0</v>
      </c>
      <c r="P13170" s="21" t="n">
        <v>0</v>
      </c>
      <c r="Q13170" s="21" t="n">
        <v>0</v>
      </c>
      <c r="R13170" s="21" t="n">
        <v>0</v>
      </c>
      <c r="S13170" s="21" t="n">
        <v>0</v>
      </c>
      <c r="T13170" s="21" t="n">
        <v>0</v>
      </c>
      <c r="U13170" s="21" t="n">
        <v>0</v>
      </c>
      <c r="V13170" s="21" t="n">
        <v>0</v>
      </c>
      <c r="W13170" s="21" t="n">
        <v>0</v>
      </c>
      <c r="X13170" s="21" t="n">
        <v>0</v>
      </c>
      <c r="Y13170" s="21" t="n">
        <v>0</v>
      </c>
      <c r="Z13170" s="19" t="n"/>
    </row>
    <row r="13171">
      <c r="D13171" s="21" t="n">
        <v>0</v>
      </c>
      <c r="E13171" s="21" t="n">
        <v>0</v>
      </c>
      <c r="F13171" s="21" t="n">
        <v>0</v>
      </c>
      <c r="G13171" s="21" t="n">
        <v>0</v>
      </c>
      <c r="H13171" s="21">
        <f>$B$12190</f>
        <v/>
      </c>
      <c r="I13171" s="21">
        <f>$B$12192</f>
        <v/>
      </c>
      <c r="J13171" s="21">
        <f>0</f>
        <v/>
      </c>
      <c r="K13171" s="21">
        <f>2*$B$12191</f>
        <v/>
      </c>
      <c r="L13171" s="21">
        <f>-$B$12190</f>
        <v/>
      </c>
      <c r="M13171" s="21">
        <f>$B$12192</f>
        <v/>
      </c>
      <c r="N13171" s="21" t="n">
        <v>0</v>
      </c>
      <c r="O13171" s="21" t="n">
        <v>0</v>
      </c>
      <c r="P13171" s="21" t="n">
        <v>0</v>
      </c>
      <c r="Q13171" s="21" t="n">
        <v>0</v>
      </c>
      <c r="R13171" s="21" t="n">
        <v>0</v>
      </c>
      <c r="S13171" s="21" t="n">
        <v>0</v>
      </c>
      <c r="T13171" s="21" t="n">
        <v>0</v>
      </c>
      <c r="U13171" s="21" t="n">
        <v>0</v>
      </c>
      <c r="V13171" s="21" t="n">
        <v>0</v>
      </c>
      <c r="W13171" s="21" t="n">
        <v>0</v>
      </c>
      <c r="X13171" s="21" t="n">
        <v>0</v>
      </c>
      <c r="Y13171" s="21" t="n">
        <v>0</v>
      </c>
      <c r="Z13171" s="19" t="n"/>
    </row>
    <row r="13172">
      <c r="D13172" s="21" t="n">
        <v>0</v>
      </c>
      <c r="E13172" s="21" t="n">
        <v>0</v>
      </c>
      <c r="F13172" s="21" t="n">
        <v>0</v>
      </c>
      <c r="G13172" s="21" t="n">
        <v>0</v>
      </c>
      <c r="H13172" s="21" t="n">
        <v>0</v>
      </c>
      <c r="I13172" s="21" t="n">
        <v>0</v>
      </c>
      <c r="J13172" s="21">
        <f>-$B$12189</f>
        <v/>
      </c>
      <c r="K13172" s="21">
        <f>-$B$12190</f>
        <v/>
      </c>
      <c r="L13172" s="21">
        <f>2*$B$12189+$D$13156</f>
        <v/>
      </c>
      <c r="M13172" s="21">
        <f>0</f>
        <v/>
      </c>
      <c r="N13172" s="21">
        <f>-$B$12189</f>
        <v/>
      </c>
      <c r="O13172" s="21">
        <f>$B$12190</f>
        <v/>
      </c>
      <c r="P13172" s="21" t="n">
        <v>0</v>
      </c>
      <c r="Q13172" s="21" t="n">
        <v>0</v>
      </c>
      <c r="R13172" s="21" t="n">
        <v>0</v>
      </c>
      <c r="S13172" s="21" t="n">
        <v>0</v>
      </c>
      <c r="T13172" s="21" t="n">
        <v>0</v>
      </c>
      <c r="U13172" s="21" t="n">
        <v>0</v>
      </c>
      <c r="V13172" s="21" t="n">
        <v>0</v>
      </c>
      <c r="W13172" s="21" t="n">
        <v>0</v>
      </c>
      <c r="X13172" s="21" t="n">
        <v>0</v>
      </c>
      <c r="Y13172" s="21" t="n">
        <v>0</v>
      </c>
      <c r="Z13172" s="19" t="n"/>
    </row>
    <row r="13173">
      <c r="D13173" s="21" t="n">
        <v>0</v>
      </c>
      <c r="E13173" s="21" t="n">
        <v>0</v>
      </c>
      <c r="F13173" s="21" t="n">
        <v>0</v>
      </c>
      <c r="G13173" s="21" t="n">
        <v>0</v>
      </c>
      <c r="H13173" s="21" t="n">
        <v>0</v>
      </c>
      <c r="I13173" s="21" t="n">
        <v>0</v>
      </c>
      <c r="J13173" s="21">
        <f>$B$12190</f>
        <v/>
      </c>
      <c r="K13173" s="21">
        <f>$B$12192</f>
        <v/>
      </c>
      <c r="L13173" s="21">
        <f>0</f>
        <v/>
      </c>
      <c r="M13173" s="21">
        <f>2*$B$12191</f>
        <v/>
      </c>
      <c r="N13173" s="21">
        <f>-$B$12190</f>
        <v/>
      </c>
      <c r="O13173" s="21">
        <f>$B$12192</f>
        <v/>
      </c>
      <c r="P13173" s="21" t="n">
        <v>0</v>
      </c>
      <c r="Q13173" s="21" t="n">
        <v>0</v>
      </c>
      <c r="R13173" s="21" t="n">
        <v>0</v>
      </c>
      <c r="S13173" s="21" t="n">
        <v>0</v>
      </c>
      <c r="T13173" s="21" t="n">
        <v>0</v>
      </c>
      <c r="U13173" s="21" t="n">
        <v>0</v>
      </c>
      <c r="V13173" s="21" t="n">
        <v>0</v>
      </c>
      <c r="W13173" s="21" t="n">
        <v>0</v>
      </c>
      <c r="X13173" s="21" t="n">
        <v>0</v>
      </c>
      <c r="Y13173" s="21" t="n">
        <v>0</v>
      </c>
      <c r="Z13173" s="19" t="n"/>
    </row>
    <row r="13174">
      <c r="D13174" s="21" t="n">
        <v>0</v>
      </c>
      <c r="E13174" s="21" t="n">
        <v>0</v>
      </c>
      <c r="F13174" s="21" t="n">
        <v>0</v>
      </c>
      <c r="G13174" s="21" t="n">
        <v>0</v>
      </c>
      <c r="H13174" s="21" t="n">
        <v>0</v>
      </c>
      <c r="I13174" s="21" t="n">
        <v>0</v>
      </c>
      <c r="J13174" s="21" t="n">
        <v>0</v>
      </c>
      <c r="K13174" s="21" t="n">
        <v>0</v>
      </c>
      <c r="L13174" s="21">
        <f>-$B$12189</f>
        <v/>
      </c>
      <c r="M13174" s="21">
        <f>-$B$12190</f>
        <v/>
      </c>
      <c r="N13174" s="21">
        <f>2*$B$12189+$D$13157</f>
        <v/>
      </c>
      <c r="O13174" s="21">
        <f>0</f>
        <v/>
      </c>
      <c r="P13174" s="21">
        <f>-$B$12189</f>
        <v/>
      </c>
      <c r="Q13174" s="21">
        <f>$B$12190</f>
        <v/>
      </c>
      <c r="R13174" s="21" t="n">
        <v>0</v>
      </c>
      <c r="S13174" s="21" t="n">
        <v>0</v>
      </c>
      <c r="T13174" s="21" t="n">
        <v>0</v>
      </c>
      <c r="U13174" s="21" t="n">
        <v>0</v>
      </c>
      <c r="V13174" s="21" t="n">
        <v>0</v>
      </c>
      <c r="W13174" s="21" t="n">
        <v>0</v>
      </c>
      <c r="X13174" s="21" t="n">
        <v>0</v>
      </c>
      <c r="Y13174" s="21" t="n">
        <v>0</v>
      </c>
      <c r="Z13174" s="19" t="n"/>
    </row>
    <row r="13175">
      <c r="D13175" s="21" t="n">
        <v>0</v>
      </c>
      <c r="E13175" s="21" t="n">
        <v>0</v>
      </c>
      <c r="F13175" s="21" t="n">
        <v>0</v>
      </c>
      <c r="G13175" s="21" t="n">
        <v>0</v>
      </c>
      <c r="H13175" s="21" t="n">
        <v>0</v>
      </c>
      <c r="I13175" s="21" t="n">
        <v>0</v>
      </c>
      <c r="J13175" s="21" t="n">
        <v>0</v>
      </c>
      <c r="K13175" s="21" t="n">
        <v>0</v>
      </c>
      <c r="L13175" s="21">
        <f>$B$12190</f>
        <v/>
      </c>
      <c r="M13175" s="21">
        <f>$B$12192</f>
        <v/>
      </c>
      <c r="N13175" s="21">
        <f>0</f>
        <v/>
      </c>
      <c r="O13175" s="21">
        <f>2*$B$12191</f>
        <v/>
      </c>
      <c r="P13175" s="21">
        <f>-$B$12190</f>
        <v/>
      </c>
      <c r="Q13175" s="21">
        <f>$B$12192</f>
        <v/>
      </c>
      <c r="R13175" s="21" t="n">
        <v>0</v>
      </c>
      <c r="S13175" s="21" t="n">
        <v>0</v>
      </c>
      <c r="T13175" s="21" t="n">
        <v>0</v>
      </c>
      <c r="U13175" s="21" t="n">
        <v>0</v>
      </c>
      <c r="V13175" s="21" t="n">
        <v>0</v>
      </c>
      <c r="W13175" s="21" t="n">
        <v>0</v>
      </c>
      <c r="X13175" s="21" t="n">
        <v>0</v>
      </c>
      <c r="Y13175" s="21" t="n">
        <v>0</v>
      </c>
      <c r="Z13175" s="19" t="n"/>
    </row>
    <row r="13176">
      <c r="D13176" s="21" t="n">
        <v>0</v>
      </c>
      <c r="E13176" s="21" t="n">
        <v>0</v>
      </c>
      <c r="F13176" s="21" t="n">
        <v>0</v>
      </c>
      <c r="G13176" s="21" t="n">
        <v>0</v>
      </c>
      <c r="H13176" s="21" t="n">
        <v>0</v>
      </c>
      <c r="I13176" s="21" t="n">
        <v>0</v>
      </c>
      <c r="J13176" s="21" t="n">
        <v>0</v>
      </c>
      <c r="K13176" s="21" t="n">
        <v>0</v>
      </c>
      <c r="L13176" s="21" t="n">
        <v>0</v>
      </c>
      <c r="M13176" s="21" t="n">
        <v>0</v>
      </c>
      <c r="N13176" s="21">
        <f>-$B$12189</f>
        <v/>
      </c>
      <c r="O13176" s="21">
        <f>-$B$12190</f>
        <v/>
      </c>
      <c r="P13176" s="21">
        <f>2*$B$12189+$D$13158</f>
        <v/>
      </c>
      <c r="Q13176" s="21">
        <f>0</f>
        <v/>
      </c>
      <c r="R13176" s="21">
        <f>-$B$12189</f>
        <v/>
      </c>
      <c r="S13176" s="21">
        <f>$B$12190</f>
        <v/>
      </c>
      <c r="T13176" s="21" t="n">
        <v>0</v>
      </c>
      <c r="U13176" s="21" t="n">
        <v>0</v>
      </c>
      <c r="V13176" s="21" t="n">
        <v>0</v>
      </c>
      <c r="W13176" s="21" t="n">
        <v>0</v>
      </c>
      <c r="X13176" s="21" t="n">
        <v>0</v>
      </c>
      <c r="Y13176" s="21" t="n">
        <v>0</v>
      </c>
      <c r="Z13176" s="19" t="n"/>
    </row>
    <row r="13177">
      <c r="D13177" s="21" t="n">
        <v>0</v>
      </c>
      <c r="E13177" s="21" t="n">
        <v>0</v>
      </c>
      <c r="F13177" s="21" t="n">
        <v>0</v>
      </c>
      <c r="G13177" s="21" t="n">
        <v>0</v>
      </c>
      <c r="H13177" s="21" t="n">
        <v>0</v>
      </c>
      <c r="I13177" s="21" t="n">
        <v>0</v>
      </c>
      <c r="J13177" s="21" t="n">
        <v>0</v>
      </c>
      <c r="K13177" s="21" t="n">
        <v>0</v>
      </c>
      <c r="L13177" s="21" t="n">
        <v>0</v>
      </c>
      <c r="M13177" s="21" t="n">
        <v>0</v>
      </c>
      <c r="N13177" s="21">
        <f>$B$12190</f>
        <v/>
      </c>
      <c r="O13177" s="21">
        <f>$B$12192</f>
        <v/>
      </c>
      <c r="P13177" s="21">
        <f>0</f>
        <v/>
      </c>
      <c r="Q13177" s="21">
        <f>2*$B$12191</f>
        <v/>
      </c>
      <c r="R13177" s="21">
        <f>-$B$12190</f>
        <v/>
      </c>
      <c r="S13177" s="21">
        <f>$B$12192</f>
        <v/>
      </c>
      <c r="T13177" s="21" t="n">
        <v>0</v>
      </c>
      <c r="U13177" s="21" t="n">
        <v>0</v>
      </c>
      <c r="V13177" s="21" t="n">
        <v>0</v>
      </c>
      <c r="W13177" s="21" t="n">
        <v>0</v>
      </c>
      <c r="X13177" s="21" t="n">
        <v>0</v>
      </c>
      <c r="Y13177" s="21" t="n">
        <v>0</v>
      </c>
      <c r="Z13177" s="19" t="n"/>
    </row>
    <row r="13178">
      <c r="D13178" s="21" t="n">
        <v>0</v>
      </c>
      <c r="E13178" s="21" t="n">
        <v>0</v>
      </c>
      <c r="F13178" s="21" t="n">
        <v>0</v>
      </c>
      <c r="G13178" s="21" t="n">
        <v>0</v>
      </c>
      <c r="H13178" s="21" t="n">
        <v>0</v>
      </c>
      <c r="I13178" s="21" t="n">
        <v>0</v>
      </c>
      <c r="J13178" s="21" t="n">
        <v>0</v>
      </c>
      <c r="K13178" s="21" t="n">
        <v>0</v>
      </c>
      <c r="L13178" s="21" t="n">
        <v>0</v>
      </c>
      <c r="M13178" s="21" t="n">
        <v>0</v>
      </c>
      <c r="N13178" s="21" t="n">
        <v>0</v>
      </c>
      <c r="O13178" s="21" t="n">
        <v>0</v>
      </c>
      <c r="P13178" s="21">
        <f>-$B$12189</f>
        <v/>
      </c>
      <c r="Q13178" s="21">
        <f>-$B$12190</f>
        <v/>
      </c>
      <c r="R13178" s="21">
        <f>2*$B$12189+$D$13159</f>
        <v/>
      </c>
      <c r="S13178" s="21">
        <f>0</f>
        <v/>
      </c>
      <c r="T13178" s="21">
        <f>-$B$12189</f>
        <v/>
      </c>
      <c r="U13178" s="21">
        <f>$B$12190</f>
        <v/>
      </c>
      <c r="V13178" s="21" t="n">
        <v>0</v>
      </c>
      <c r="W13178" s="21" t="n">
        <v>0</v>
      </c>
      <c r="X13178" s="21" t="n">
        <v>0</v>
      </c>
      <c r="Y13178" s="21" t="n">
        <v>0</v>
      </c>
      <c r="Z13178" s="19" t="n"/>
    </row>
    <row r="13179">
      <c r="D13179" s="21" t="n">
        <v>0</v>
      </c>
      <c r="E13179" s="21" t="n">
        <v>0</v>
      </c>
      <c r="F13179" s="21" t="n">
        <v>0</v>
      </c>
      <c r="G13179" s="21" t="n">
        <v>0</v>
      </c>
      <c r="H13179" s="21" t="n">
        <v>0</v>
      </c>
      <c r="I13179" s="21" t="n">
        <v>0</v>
      </c>
      <c r="J13179" s="21" t="n">
        <v>0</v>
      </c>
      <c r="K13179" s="21" t="n">
        <v>0</v>
      </c>
      <c r="L13179" s="21" t="n">
        <v>0</v>
      </c>
      <c r="M13179" s="21" t="n">
        <v>0</v>
      </c>
      <c r="N13179" s="21" t="n">
        <v>0</v>
      </c>
      <c r="O13179" s="21" t="n">
        <v>0</v>
      </c>
      <c r="P13179" s="21">
        <f>$B$12190</f>
        <v/>
      </c>
      <c r="Q13179" s="21">
        <f>$B$12192</f>
        <v/>
      </c>
      <c r="R13179" s="21">
        <f>0</f>
        <v/>
      </c>
      <c r="S13179" s="21">
        <f>2*$B$12191</f>
        <v/>
      </c>
      <c r="T13179" s="21">
        <f>-$B$12190</f>
        <v/>
      </c>
      <c r="U13179" s="21">
        <f>$B$12192</f>
        <v/>
      </c>
      <c r="V13179" s="21" t="n">
        <v>0</v>
      </c>
      <c r="W13179" s="21" t="n">
        <v>0</v>
      </c>
      <c r="X13179" s="21" t="n">
        <v>0</v>
      </c>
      <c r="Y13179" s="21" t="n">
        <v>0</v>
      </c>
      <c r="Z13179" s="19" t="n"/>
    </row>
    <row r="13180">
      <c r="D13180" s="21" t="n">
        <v>0</v>
      </c>
      <c r="E13180" s="21" t="n">
        <v>0</v>
      </c>
      <c r="F13180" s="21" t="n">
        <v>0</v>
      </c>
      <c r="G13180" s="21" t="n">
        <v>0</v>
      </c>
      <c r="H13180" s="21" t="n">
        <v>0</v>
      </c>
      <c r="I13180" s="21" t="n">
        <v>0</v>
      </c>
      <c r="J13180" s="21" t="n">
        <v>0</v>
      </c>
      <c r="K13180" s="21" t="n">
        <v>0</v>
      </c>
      <c r="L13180" s="21" t="n">
        <v>0</v>
      </c>
      <c r="M13180" s="21" t="n">
        <v>0</v>
      </c>
      <c r="N13180" s="21" t="n">
        <v>0</v>
      </c>
      <c r="O13180" s="21" t="n">
        <v>0</v>
      </c>
      <c r="P13180" s="21" t="n">
        <v>0</v>
      </c>
      <c r="Q13180" s="21" t="n">
        <v>0</v>
      </c>
      <c r="R13180" s="21">
        <f>-$B$12189</f>
        <v/>
      </c>
      <c r="S13180" s="21">
        <f>-$B$12190</f>
        <v/>
      </c>
      <c r="T13180" s="21">
        <f>2*$B$12189+$D$13160</f>
        <v/>
      </c>
      <c r="U13180" s="21">
        <f>0</f>
        <v/>
      </c>
      <c r="V13180" s="21">
        <f>-$B$12189</f>
        <v/>
      </c>
      <c r="W13180" s="21">
        <f>$B$12190</f>
        <v/>
      </c>
      <c r="X13180" s="21" t="n">
        <v>0</v>
      </c>
      <c r="Y13180" s="21" t="n">
        <v>0</v>
      </c>
      <c r="Z13180" s="19" t="n"/>
    </row>
    <row r="13181">
      <c r="D13181" s="21" t="n">
        <v>0</v>
      </c>
      <c r="E13181" s="21" t="n">
        <v>0</v>
      </c>
      <c r="F13181" s="21" t="n">
        <v>0</v>
      </c>
      <c r="G13181" s="21" t="n">
        <v>0</v>
      </c>
      <c r="H13181" s="21" t="n">
        <v>0</v>
      </c>
      <c r="I13181" s="21" t="n">
        <v>0</v>
      </c>
      <c r="J13181" s="21" t="n">
        <v>0</v>
      </c>
      <c r="K13181" s="21" t="n">
        <v>0</v>
      </c>
      <c r="L13181" s="21" t="n">
        <v>0</v>
      </c>
      <c r="M13181" s="21" t="n">
        <v>0</v>
      </c>
      <c r="N13181" s="21" t="n">
        <v>0</v>
      </c>
      <c r="O13181" s="21" t="n">
        <v>0</v>
      </c>
      <c r="P13181" s="21" t="n">
        <v>0</v>
      </c>
      <c r="Q13181" s="21" t="n">
        <v>0</v>
      </c>
      <c r="R13181" s="21">
        <f>$B$12190</f>
        <v/>
      </c>
      <c r="S13181" s="21">
        <f>$B$12192</f>
        <v/>
      </c>
      <c r="T13181" s="21">
        <f>0</f>
        <v/>
      </c>
      <c r="U13181" s="21">
        <f>2*$B$12191</f>
        <v/>
      </c>
      <c r="V13181" s="21">
        <f>-$B$12190</f>
        <v/>
      </c>
      <c r="W13181" s="21">
        <f>$B$12192</f>
        <v/>
      </c>
      <c r="X13181" s="21" t="n">
        <v>0</v>
      </c>
      <c r="Y13181" s="21" t="n">
        <v>0</v>
      </c>
      <c r="Z13181" s="19" t="n"/>
    </row>
    <row r="13182">
      <c r="D13182" s="21" t="n">
        <v>0</v>
      </c>
      <c r="E13182" s="21" t="n">
        <v>0</v>
      </c>
      <c r="F13182" s="21" t="n">
        <v>0</v>
      </c>
      <c r="G13182" s="21" t="n">
        <v>0</v>
      </c>
      <c r="H13182" s="21" t="n">
        <v>0</v>
      </c>
      <c r="I13182" s="21" t="n">
        <v>0</v>
      </c>
      <c r="J13182" s="21" t="n">
        <v>0</v>
      </c>
      <c r="K13182" s="21" t="n">
        <v>0</v>
      </c>
      <c r="L13182" s="21" t="n">
        <v>0</v>
      </c>
      <c r="M13182" s="21" t="n">
        <v>0</v>
      </c>
      <c r="N13182" s="21" t="n">
        <v>0</v>
      </c>
      <c r="O13182" s="21" t="n">
        <v>0</v>
      </c>
      <c r="P13182" s="21" t="n">
        <v>0</v>
      </c>
      <c r="Q13182" s="21" t="n">
        <v>0</v>
      </c>
      <c r="R13182" s="21" t="n">
        <v>0</v>
      </c>
      <c r="S13182" s="21" t="n">
        <v>0</v>
      </c>
      <c r="T13182" s="21">
        <f>-$B$12189</f>
        <v/>
      </c>
      <c r="U13182" s="21">
        <f>-$B$12190</f>
        <v/>
      </c>
      <c r="V13182" s="21">
        <f>2*$B$12189+$D$13161</f>
        <v/>
      </c>
      <c r="W13182" s="21">
        <f>0</f>
        <v/>
      </c>
      <c r="X13182" s="21">
        <f>-$B$12189</f>
        <v/>
      </c>
      <c r="Y13182" s="21">
        <f>$B$12190</f>
        <v/>
      </c>
      <c r="Z13182" s="19" t="n"/>
    </row>
    <row r="13183">
      <c r="D13183" s="21" t="n">
        <v>0</v>
      </c>
      <c r="E13183" s="21" t="n">
        <v>0</v>
      </c>
      <c r="F13183" s="21" t="n">
        <v>0</v>
      </c>
      <c r="G13183" s="21" t="n">
        <v>0</v>
      </c>
      <c r="H13183" s="21" t="n">
        <v>0</v>
      </c>
      <c r="I13183" s="21" t="n">
        <v>0</v>
      </c>
      <c r="J13183" s="21" t="n">
        <v>0</v>
      </c>
      <c r="K13183" s="21" t="n">
        <v>0</v>
      </c>
      <c r="L13183" s="21" t="n">
        <v>0</v>
      </c>
      <c r="M13183" s="21" t="n">
        <v>0</v>
      </c>
      <c r="N13183" s="21" t="n">
        <v>0</v>
      </c>
      <c r="O13183" s="21" t="n">
        <v>0</v>
      </c>
      <c r="P13183" s="21" t="n">
        <v>0</v>
      </c>
      <c r="Q13183" s="21" t="n">
        <v>0</v>
      </c>
      <c r="R13183" s="21" t="n">
        <v>0</v>
      </c>
      <c r="S13183" s="21" t="n">
        <v>0</v>
      </c>
      <c r="T13183" s="21">
        <f>$B$12190</f>
        <v/>
      </c>
      <c r="U13183" s="21">
        <f>$B$12192</f>
        <v/>
      </c>
      <c r="V13183" s="21">
        <f>0</f>
        <v/>
      </c>
      <c r="W13183" s="21">
        <f>2*$B$12191</f>
        <v/>
      </c>
      <c r="X13183" s="21">
        <f>-$B$12190</f>
        <v/>
      </c>
      <c r="Y13183" s="21">
        <f>$B$12192</f>
        <v/>
      </c>
      <c r="Z13183" s="19" t="n"/>
    </row>
    <row r="13184">
      <c r="D13184" s="21" t="n">
        <v>0</v>
      </c>
      <c r="E13184" s="21" t="n">
        <v>0</v>
      </c>
      <c r="F13184" s="21" t="n">
        <v>0</v>
      </c>
      <c r="G13184" s="21" t="n">
        <v>0</v>
      </c>
      <c r="H13184" s="21" t="n">
        <v>0</v>
      </c>
      <c r="I13184" s="21" t="n">
        <v>0</v>
      </c>
      <c r="J13184" s="21" t="n">
        <v>0</v>
      </c>
      <c r="K13184" s="21" t="n">
        <v>0</v>
      </c>
      <c r="L13184" s="21" t="n">
        <v>0</v>
      </c>
      <c r="M13184" s="21" t="n">
        <v>0</v>
      </c>
      <c r="N13184" s="21" t="n">
        <v>0</v>
      </c>
      <c r="O13184" s="21" t="n">
        <v>0</v>
      </c>
      <c r="P13184" s="21" t="n">
        <v>0</v>
      </c>
      <c r="Q13184" s="21" t="n">
        <v>0</v>
      </c>
      <c r="R13184" s="21" t="n">
        <v>0</v>
      </c>
      <c r="S13184" s="21" t="n">
        <v>0</v>
      </c>
      <c r="T13184" s="21" t="n">
        <v>0</v>
      </c>
      <c r="U13184" s="21" t="n">
        <v>0</v>
      </c>
      <c r="V13184" s="21">
        <f>-$B$12189</f>
        <v/>
      </c>
      <c r="W13184" s="21">
        <f>-$B$12190</f>
        <v/>
      </c>
      <c r="X13184" s="21">
        <f>$B$12189+$D$13162</f>
        <v/>
      </c>
      <c r="Y13184" s="21">
        <f>-$B$12190</f>
        <v/>
      </c>
      <c r="Z13184" s="19" t="n"/>
    </row>
    <row r="13185">
      <c r="D13185" s="21" t="n">
        <v>0</v>
      </c>
      <c r="E13185" s="21" t="n">
        <v>0</v>
      </c>
      <c r="F13185" s="21" t="n">
        <v>0</v>
      </c>
      <c r="G13185" s="21" t="n">
        <v>0</v>
      </c>
      <c r="H13185" s="21" t="n">
        <v>0</v>
      </c>
      <c r="I13185" s="21" t="n">
        <v>0</v>
      </c>
      <c r="J13185" s="21" t="n">
        <v>0</v>
      </c>
      <c r="K13185" s="21" t="n">
        <v>0</v>
      </c>
      <c r="L13185" s="21" t="n">
        <v>0</v>
      </c>
      <c r="M13185" s="21" t="n">
        <v>0</v>
      </c>
      <c r="N13185" s="21" t="n">
        <v>0</v>
      </c>
      <c r="O13185" s="21" t="n">
        <v>0</v>
      </c>
      <c r="P13185" s="21" t="n">
        <v>0</v>
      </c>
      <c r="Q13185" s="21" t="n">
        <v>0</v>
      </c>
      <c r="R13185" s="21" t="n">
        <v>0</v>
      </c>
      <c r="S13185" s="21" t="n">
        <v>0</v>
      </c>
      <c r="T13185" s="21" t="n">
        <v>0</v>
      </c>
      <c r="U13185" s="21" t="n">
        <v>0</v>
      </c>
      <c r="V13185" s="21">
        <f>$B$12190</f>
        <v/>
      </c>
      <c r="W13185" s="21">
        <f>$B$12192</f>
        <v/>
      </c>
      <c r="X13185" s="21">
        <f>-$B$12190</f>
        <v/>
      </c>
      <c r="Y13185" s="21">
        <f>$B$12191</f>
        <v/>
      </c>
      <c r="Z13185" s="19" t="n"/>
    </row>
    <row r="13187">
      <c r="A13187" s="8" t="inlineStr">
        <is>
          <t>gen 27</t>
        </is>
      </c>
    </row>
    <row r="13188">
      <c r="D13188" s="19">
        <f>IF(ABS(IF(ABS($E$13152)&gt;0.000000001,$E$13152,0.000000001))=0,0,IF($E$12204&lt;=$B$12198,0,IF(ABS(IF(ABS($E$13152)&gt;0.000000001,$E$13152,0.000000001))&gt;=8*$B$12200,$H$12204,0.5*$H$12204*(ABS(IF(ABS($E$13152)&gt;0.000000001,$E$13152,0.000000001))/$B$12200)^(1/3)))/ABS(IF(ABS($E$13152)&gt;0.000000001,$E$13152,0.000000001))*$I$12204)</f>
        <v/>
      </c>
      <c r="E13188" s="19">
        <f>0.5*$E$13152+0.5*$Z$13200</f>
        <v/>
      </c>
      <c r="F13188" s="19">
        <f>$Z$13201</f>
        <v/>
      </c>
    </row>
    <row r="13189">
      <c r="D13189" s="19">
        <f>IF(ABS(IF(ABS($E$13153)&gt;0.000000001,$E$13153,0.000000001))=0,0,IF($E$12205&lt;=$B$12198,0,IF(ABS(IF(ABS($E$13153)&gt;0.000000001,$E$13153,0.000000001))&gt;=8*$B$12200,$H$12205,0.5*$H$12205*(ABS(IF(ABS($E$13153)&gt;0.000000001,$E$13153,0.000000001))/$B$12200)^(1/3)))/ABS(IF(ABS($E$13153)&gt;0.000000001,$E$13153,0.000000001))*$I$12205)</f>
        <v/>
      </c>
      <c r="E13189" s="19">
        <f>0.5*$E$13153+0.5*$Z$13202</f>
        <v/>
      </c>
      <c r="F13189" s="19">
        <f>$Z$13203</f>
        <v/>
      </c>
    </row>
    <row r="13190">
      <c r="D13190" s="19">
        <f>IF(ABS(IF(ABS($E$13154)&gt;0.000000001,$E$13154,0.000000001))=0,0,IF($E$12206&lt;=$B$12198,0,IF(ABS(IF(ABS($E$13154)&gt;0.000000001,$E$13154,0.000000001))&gt;=8*$B$12200,$H$12206,0.5*$H$12206*(ABS(IF(ABS($E$13154)&gt;0.000000001,$E$13154,0.000000001))/$B$12200)^(1/3)))/ABS(IF(ABS($E$13154)&gt;0.000000001,$E$13154,0.000000001))*$I$12206)</f>
        <v/>
      </c>
      <c r="E13190" s="19">
        <f>0.5*$E$13154+0.5*$Z$13204</f>
        <v/>
      </c>
      <c r="F13190" s="19">
        <f>$Z$13205</f>
        <v/>
      </c>
    </row>
    <row r="13191">
      <c r="D13191" s="19">
        <f>IF(ABS(IF(ABS($E$13155)&gt;0.000000001,$E$13155,0.000000001))=0,0,IF($E$12207&lt;=$B$12198,0,IF(ABS(IF(ABS($E$13155)&gt;0.000000001,$E$13155,0.000000001))&gt;=8*$B$12200,$H$12207,0.5*$H$12207*(ABS(IF(ABS($E$13155)&gt;0.000000001,$E$13155,0.000000001))/$B$12200)^(1/3)))/ABS(IF(ABS($E$13155)&gt;0.000000001,$E$13155,0.000000001))*$I$12207)</f>
        <v/>
      </c>
      <c r="E13191" s="19">
        <f>0.5*$E$13155+0.5*$Z$13206</f>
        <v/>
      </c>
      <c r="F13191" s="19">
        <f>$Z$13207</f>
        <v/>
      </c>
    </row>
    <row r="13192">
      <c r="D13192" s="19">
        <f>IF(ABS(IF(ABS($E$13156)&gt;0.000000001,$E$13156,0.000000001))=0,0,IF($E$12208&lt;=$B$12198,0,IF(ABS(IF(ABS($E$13156)&gt;0.000000001,$E$13156,0.000000001))&gt;=8*$B$12200,$H$12208,0.5*$H$12208*(ABS(IF(ABS($E$13156)&gt;0.000000001,$E$13156,0.000000001))/$B$12200)^(1/3)))/ABS(IF(ABS($E$13156)&gt;0.000000001,$E$13156,0.000000001))*$I$12208)</f>
        <v/>
      </c>
      <c r="E13192" s="19">
        <f>0.5*$E$13156+0.5*$Z$13208</f>
        <v/>
      </c>
      <c r="F13192" s="19">
        <f>$Z$13209</f>
        <v/>
      </c>
    </row>
    <row r="13193">
      <c r="D13193" s="19">
        <f>IF(ABS(IF(ABS($E$13157)&gt;0.000000001,$E$13157,0.000000001))=0,0,IF($E$12209&lt;=$B$12198,0,IF(ABS(IF(ABS($E$13157)&gt;0.000000001,$E$13157,0.000000001))&gt;=8*$B$12200,$H$12209,0.5*$H$12209*(ABS(IF(ABS($E$13157)&gt;0.000000001,$E$13157,0.000000001))/$B$12200)^(1/3)))/ABS(IF(ABS($E$13157)&gt;0.000000001,$E$13157,0.000000001))*$I$12209)</f>
        <v/>
      </c>
      <c r="E13193" s="19">
        <f>0.5*$E$13157+0.5*$Z$13210</f>
        <v/>
      </c>
      <c r="F13193" s="19">
        <f>$Z$13211</f>
        <v/>
      </c>
    </row>
    <row r="13194">
      <c r="D13194" s="19">
        <f>IF(ABS(IF(ABS($E$13158)&gt;0.000000001,$E$13158,0.000000001))=0,0,IF($E$12210&lt;=$B$12198,0,IF(ABS(IF(ABS($E$13158)&gt;0.000000001,$E$13158,0.000000001))&gt;=8*$B$12200,$H$12210,0.5*$H$12210*(ABS(IF(ABS($E$13158)&gt;0.000000001,$E$13158,0.000000001))/$B$12200)^(1/3)))/ABS(IF(ABS($E$13158)&gt;0.000000001,$E$13158,0.000000001))*$I$12210)</f>
        <v/>
      </c>
      <c r="E13194" s="19">
        <f>0.5*$E$13158+0.5*$Z$13212</f>
        <v/>
      </c>
      <c r="F13194" s="19">
        <f>$Z$13213</f>
        <v/>
      </c>
    </row>
    <row r="13195">
      <c r="D13195" s="19">
        <f>IF(ABS(IF(ABS($E$13159)&gt;0.000000001,$E$13159,0.000000001))=0,0,IF($E$12211&lt;=$B$12198,0,IF(ABS(IF(ABS($E$13159)&gt;0.000000001,$E$13159,0.000000001))&gt;=8*$B$12200,$H$12211,0.5*$H$12211*(ABS(IF(ABS($E$13159)&gt;0.000000001,$E$13159,0.000000001))/$B$12200)^(1/3)))/ABS(IF(ABS($E$13159)&gt;0.000000001,$E$13159,0.000000001))*$I$12211)</f>
        <v/>
      </c>
      <c r="E13195" s="19">
        <f>0.5*$E$13159+0.5*$Z$13214</f>
        <v/>
      </c>
      <c r="F13195" s="19">
        <f>$Z$13215</f>
        <v/>
      </c>
    </row>
    <row r="13196">
      <c r="D13196" s="19">
        <f>IF(ABS(IF(ABS($E$13160)&gt;0.000000001,$E$13160,0.000000001))=0,0,IF($E$12212&lt;=$B$12198,0,IF(ABS(IF(ABS($E$13160)&gt;0.000000001,$E$13160,0.000000001))&gt;=8*$B$12200,$H$12212,0.5*$H$12212*(ABS(IF(ABS($E$13160)&gt;0.000000001,$E$13160,0.000000001))/$B$12200)^(1/3)))/ABS(IF(ABS($E$13160)&gt;0.000000001,$E$13160,0.000000001))*$I$12212)</f>
        <v/>
      </c>
      <c r="E13196" s="19">
        <f>0.5*$E$13160+0.5*$Z$13216</f>
        <v/>
      </c>
      <c r="F13196" s="19">
        <f>$Z$13217</f>
        <v/>
      </c>
    </row>
    <row r="13197">
      <c r="D13197" s="19">
        <f>IF(ABS(IF(ABS($E$13161)&gt;0.000000001,$E$13161,0.000000001))=0,0,IF($E$12213&lt;=$B$12198,0,IF(ABS(IF(ABS($E$13161)&gt;0.000000001,$E$13161,0.000000001))&gt;=8*$B$12200,$H$12213,0.5*$H$12213*(ABS(IF(ABS($E$13161)&gt;0.000000001,$E$13161,0.000000001))/$B$12200)^(1/3)))/ABS(IF(ABS($E$13161)&gt;0.000000001,$E$13161,0.000000001))*$I$12213)</f>
        <v/>
      </c>
      <c r="E13197" s="19">
        <f>0.5*$E$13161+0.5*$Z$13218</f>
        <v/>
      </c>
      <c r="F13197" s="19">
        <f>$Z$13219</f>
        <v/>
      </c>
    </row>
    <row r="13198">
      <c r="D13198" s="19">
        <f>IF(ABS(IF(ABS($E$13162)&gt;0.000000001,$E$13162,0.000000001))=0,0,IF($E$12214&lt;=$B$12198,0,IF(ABS(IF(ABS($E$13162)&gt;0.000000001,$E$13162,0.000000001))&gt;=8*$B$12200,$H$12214,0.5*$H$12214*(ABS(IF(ABS($E$13162)&gt;0.000000001,$E$13162,0.000000001))/$B$12200)^(1/3)))/ABS(IF(ABS($E$13162)&gt;0.000000001,$E$13162,0.000000001))*$I$12214)</f>
        <v/>
      </c>
      <c r="E13198" s="19">
        <f>0.5*$E$13162+0.5*$Z$13220</f>
        <v/>
      </c>
      <c r="F13198" s="19">
        <f>$Z$13221</f>
        <v/>
      </c>
    </row>
    <row r="13200">
      <c r="D13200" s="21">
        <f>$B$12189+$D$13188</f>
        <v/>
      </c>
      <c r="E13200" s="21">
        <f>$B$12190</f>
        <v/>
      </c>
      <c r="F13200" s="21">
        <f>-$B$12189</f>
        <v/>
      </c>
      <c r="G13200" s="21">
        <f>$B$12190</f>
        <v/>
      </c>
      <c r="H13200" s="21" t="n">
        <v>0</v>
      </c>
      <c r="I13200" s="21" t="n">
        <v>0</v>
      </c>
      <c r="J13200" s="21" t="n">
        <v>0</v>
      </c>
      <c r="K13200" s="21" t="n">
        <v>0</v>
      </c>
      <c r="L13200" s="21" t="n">
        <v>0</v>
      </c>
      <c r="M13200" s="21" t="n">
        <v>0</v>
      </c>
      <c r="N13200" s="21" t="n">
        <v>0</v>
      </c>
      <c r="O13200" s="21" t="n">
        <v>0</v>
      </c>
      <c r="P13200" s="21" t="n">
        <v>0</v>
      </c>
      <c r="Q13200" s="21" t="n">
        <v>0</v>
      </c>
      <c r="R13200" s="21" t="n">
        <v>0</v>
      </c>
      <c r="S13200" s="21" t="n">
        <v>0</v>
      </c>
      <c r="T13200" s="21" t="n">
        <v>0</v>
      </c>
      <c r="U13200" s="21" t="n">
        <v>0</v>
      </c>
      <c r="V13200" s="21" t="n">
        <v>0</v>
      </c>
      <c r="W13200" s="21" t="n">
        <v>0</v>
      </c>
      <c r="X13200" s="21" t="n">
        <v>0</v>
      </c>
      <c r="Y13200" s="21" t="n">
        <v>0</v>
      </c>
      <c r="Z13200" s="19">
        <f t="array" ref="Z13200:Z13221">MMULT(MINVERSE($D$13200:$Y$13221),$D$12216:$D$12237)</f>
        <v/>
      </c>
    </row>
    <row r="13201">
      <c r="D13201" s="21">
        <f>$B$12190</f>
        <v/>
      </c>
      <c r="E13201" s="21">
        <f>$B$12191</f>
        <v/>
      </c>
      <c r="F13201" s="21">
        <f>-$B$12190</f>
        <v/>
      </c>
      <c r="G13201" s="21">
        <f>$B$12192</f>
        <v/>
      </c>
      <c r="H13201" s="21" t="n">
        <v>0</v>
      </c>
      <c r="I13201" s="21" t="n">
        <v>0</v>
      </c>
      <c r="J13201" s="21" t="n">
        <v>0</v>
      </c>
      <c r="K13201" s="21" t="n">
        <v>0</v>
      </c>
      <c r="L13201" s="21" t="n">
        <v>0</v>
      </c>
      <c r="M13201" s="21" t="n">
        <v>0</v>
      </c>
      <c r="N13201" s="21" t="n">
        <v>0</v>
      </c>
      <c r="O13201" s="21" t="n">
        <v>0</v>
      </c>
      <c r="P13201" s="21" t="n">
        <v>0</v>
      </c>
      <c r="Q13201" s="21" t="n">
        <v>0</v>
      </c>
      <c r="R13201" s="21" t="n">
        <v>0</v>
      </c>
      <c r="S13201" s="21" t="n">
        <v>0</v>
      </c>
      <c r="T13201" s="21" t="n">
        <v>0</v>
      </c>
      <c r="U13201" s="21" t="n">
        <v>0</v>
      </c>
      <c r="V13201" s="21" t="n">
        <v>0</v>
      </c>
      <c r="W13201" s="21" t="n">
        <v>0</v>
      </c>
      <c r="X13201" s="21" t="n">
        <v>0</v>
      </c>
      <c r="Y13201" s="21" t="n">
        <v>0</v>
      </c>
      <c r="Z13201" s="19" t="n"/>
    </row>
    <row r="13202">
      <c r="D13202" s="21">
        <f>-$B$12189</f>
        <v/>
      </c>
      <c r="E13202" s="21">
        <f>-$B$12190</f>
        <v/>
      </c>
      <c r="F13202" s="21">
        <f>2*$B$12189+$D$13189</f>
        <v/>
      </c>
      <c r="G13202" s="21">
        <f>0</f>
        <v/>
      </c>
      <c r="H13202" s="21">
        <f>-$B$12189</f>
        <v/>
      </c>
      <c r="I13202" s="21">
        <f>$B$12190</f>
        <v/>
      </c>
      <c r="J13202" s="21" t="n">
        <v>0</v>
      </c>
      <c r="K13202" s="21" t="n">
        <v>0</v>
      </c>
      <c r="L13202" s="21" t="n">
        <v>0</v>
      </c>
      <c r="M13202" s="21" t="n">
        <v>0</v>
      </c>
      <c r="N13202" s="21" t="n">
        <v>0</v>
      </c>
      <c r="O13202" s="21" t="n">
        <v>0</v>
      </c>
      <c r="P13202" s="21" t="n">
        <v>0</v>
      </c>
      <c r="Q13202" s="21" t="n">
        <v>0</v>
      </c>
      <c r="R13202" s="21" t="n">
        <v>0</v>
      </c>
      <c r="S13202" s="21" t="n">
        <v>0</v>
      </c>
      <c r="T13202" s="21" t="n">
        <v>0</v>
      </c>
      <c r="U13202" s="21" t="n">
        <v>0</v>
      </c>
      <c r="V13202" s="21" t="n">
        <v>0</v>
      </c>
      <c r="W13202" s="21" t="n">
        <v>0</v>
      </c>
      <c r="X13202" s="21" t="n">
        <v>0</v>
      </c>
      <c r="Y13202" s="21" t="n">
        <v>0</v>
      </c>
      <c r="Z13202" s="19" t="n"/>
    </row>
    <row r="13203">
      <c r="D13203" s="21">
        <f>$B$12190</f>
        <v/>
      </c>
      <c r="E13203" s="21">
        <f>$B$12192</f>
        <v/>
      </c>
      <c r="F13203" s="21">
        <f>0</f>
        <v/>
      </c>
      <c r="G13203" s="21">
        <f>2*$B$12191</f>
        <v/>
      </c>
      <c r="H13203" s="21">
        <f>-$B$12190</f>
        <v/>
      </c>
      <c r="I13203" s="21">
        <f>$B$12192</f>
        <v/>
      </c>
      <c r="J13203" s="21" t="n">
        <v>0</v>
      </c>
      <c r="K13203" s="21" t="n">
        <v>0</v>
      </c>
      <c r="L13203" s="21" t="n">
        <v>0</v>
      </c>
      <c r="M13203" s="21" t="n">
        <v>0</v>
      </c>
      <c r="N13203" s="21" t="n">
        <v>0</v>
      </c>
      <c r="O13203" s="21" t="n">
        <v>0</v>
      </c>
      <c r="P13203" s="21" t="n">
        <v>0</v>
      </c>
      <c r="Q13203" s="21" t="n">
        <v>0</v>
      </c>
      <c r="R13203" s="21" t="n">
        <v>0</v>
      </c>
      <c r="S13203" s="21" t="n">
        <v>0</v>
      </c>
      <c r="T13203" s="21" t="n">
        <v>0</v>
      </c>
      <c r="U13203" s="21" t="n">
        <v>0</v>
      </c>
      <c r="V13203" s="21" t="n">
        <v>0</v>
      </c>
      <c r="W13203" s="21" t="n">
        <v>0</v>
      </c>
      <c r="X13203" s="21" t="n">
        <v>0</v>
      </c>
      <c r="Y13203" s="21" t="n">
        <v>0</v>
      </c>
      <c r="Z13203" s="19" t="n"/>
    </row>
    <row r="13204">
      <c r="D13204" s="21" t="n">
        <v>0</v>
      </c>
      <c r="E13204" s="21" t="n">
        <v>0</v>
      </c>
      <c r="F13204" s="21">
        <f>-$B$12189</f>
        <v/>
      </c>
      <c r="G13204" s="21">
        <f>-$B$12190</f>
        <v/>
      </c>
      <c r="H13204" s="21">
        <f>2*$B$12189+$D$13190</f>
        <v/>
      </c>
      <c r="I13204" s="21">
        <f>0</f>
        <v/>
      </c>
      <c r="J13204" s="21">
        <f>-$B$12189</f>
        <v/>
      </c>
      <c r="K13204" s="21">
        <f>$B$12190</f>
        <v/>
      </c>
      <c r="L13204" s="21" t="n">
        <v>0</v>
      </c>
      <c r="M13204" s="21" t="n">
        <v>0</v>
      </c>
      <c r="N13204" s="21" t="n">
        <v>0</v>
      </c>
      <c r="O13204" s="21" t="n">
        <v>0</v>
      </c>
      <c r="P13204" s="21" t="n">
        <v>0</v>
      </c>
      <c r="Q13204" s="21" t="n">
        <v>0</v>
      </c>
      <c r="R13204" s="21" t="n">
        <v>0</v>
      </c>
      <c r="S13204" s="21" t="n">
        <v>0</v>
      </c>
      <c r="T13204" s="21" t="n">
        <v>0</v>
      </c>
      <c r="U13204" s="21" t="n">
        <v>0</v>
      </c>
      <c r="V13204" s="21" t="n">
        <v>0</v>
      </c>
      <c r="W13204" s="21" t="n">
        <v>0</v>
      </c>
      <c r="X13204" s="21" t="n">
        <v>0</v>
      </c>
      <c r="Y13204" s="21" t="n">
        <v>0</v>
      </c>
      <c r="Z13204" s="19" t="n"/>
    </row>
    <row r="13205">
      <c r="D13205" s="21" t="n">
        <v>0</v>
      </c>
      <c r="E13205" s="21" t="n">
        <v>0</v>
      </c>
      <c r="F13205" s="21">
        <f>$B$12190</f>
        <v/>
      </c>
      <c r="G13205" s="21">
        <f>$B$12192</f>
        <v/>
      </c>
      <c r="H13205" s="21">
        <f>0</f>
        <v/>
      </c>
      <c r="I13205" s="21">
        <f>2*$B$12191</f>
        <v/>
      </c>
      <c r="J13205" s="21">
        <f>-$B$12190</f>
        <v/>
      </c>
      <c r="K13205" s="21">
        <f>$B$12192</f>
        <v/>
      </c>
      <c r="L13205" s="21" t="n">
        <v>0</v>
      </c>
      <c r="M13205" s="21" t="n">
        <v>0</v>
      </c>
      <c r="N13205" s="21" t="n">
        <v>0</v>
      </c>
      <c r="O13205" s="21" t="n">
        <v>0</v>
      </c>
      <c r="P13205" s="21" t="n">
        <v>0</v>
      </c>
      <c r="Q13205" s="21" t="n">
        <v>0</v>
      </c>
      <c r="R13205" s="21" t="n">
        <v>0</v>
      </c>
      <c r="S13205" s="21" t="n">
        <v>0</v>
      </c>
      <c r="T13205" s="21" t="n">
        <v>0</v>
      </c>
      <c r="U13205" s="21" t="n">
        <v>0</v>
      </c>
      <c r="V13205" s="21" t="n">
        <v>0</v>
      </c>
      <c r="W13205" s="21" t="n">
        <v>0</v>
      </c>
      <c r="X13205" s="21" t="n">
        <v>0</v>
      </c>
      <c r="Y13205" s="21" t="n">
        <v>0</v>
      </c>
      <c r="Z13205" s="19" t="n"/>
    </row>
    <row r="13206">
      <c r="D13206" s="21" t="n">
        <v>0</v>
      </c>
      <c r="E13206" s="21" t="n">
        <v>0</v>
      </c>
      <c r="F13206" s="21" t="n">
        <v>0</v>
      </c>
      <c r="G13206" s="21" t="n">
        <v>0</v>
      </c>
      <c r="H13206" s="21">
        <f>-$B$12189</f>
        <v/>
      </c>
      <c r="I13206" s="21">
        <f>-$B$12190</f>
        <v/>
      </c>
      <c r="J13206" s="21">
        <f>2*$B$12189+$D$13191</f>
        <v/>
      </c>
      <c r="K13206" s="21">
        <f>0</f>
        <v/>
      </c>
      <c r="L13206" s="21">
        <f>-$B$12189</f>
        <v/>
      </c>
      <c r="M13206" s="21">
        <f>$B$12190</f>
        <v/>
      </c>
      <c r="N13206" s="21" t="n">
        <v>0</v>
      </c>
      <c r="O13206" s="21" t="n">
        <v>0</v>
      </c>
      <c r="P13206" s="21" t="n">
        <v>0</v>
      </c>
      <c r="Q13206" s="21" t="n">
        <v>0</v>
      </c>
      <c r="R13206" s="21" t="n">
        <v>0</v>
      </c>
      <c r="S13206" s="21" t="n">
        <v>0</v>
      </c>
      <c r="T13206" s="21" t="n">
        <v>0</v>
      </c>
      <c r="U13206" s="21" t="n">
        <v>0</v>
      </c>
      <c r="V13206" s="21" t="n">
        <v>0</v>
      </c>
      <c r="W13206" s="21" t="n">
        <v>0</v>
      </c>
      <c r="X13206" s="21" t="n">
        <v>0</v>
      </c>
      <c r="Y13206" s="21" t="n">
        <v>0</v>
      </c>
      <c r="Z13206" s="19" t="n"/>
    </row>
    <row r="13207">
      <c r="D13207" s="21" t="n">
        <v>0</v>
      </c>
      <c r="E13207" s="21" t="n">
        <v>0</v>
      </c>
      <c r="F13207" s="21" t="n">
        <v>0</v>
      </c>
      <c r="G13207" s="21" t="n">
        <v>0</v>
      </c>
      <c r="H13207" s="21">
        <f>$B$12190</f>
        <v/>
      </c>
      <c r="I13207" s="21">
        <f>$B$12192</f>
        <v/>
      </c>
      <c r="J13207" s="21">
        <f>0</f>
        <v/>
      </c>
      <c r="K13207" s="21">
        <f>2*$B$12191</f>
        <v/>
      </c>
      <c r="L13207" s="21">
        <f>-$B$12190</f>
        <v/>
      </c>
      <c r="M13207" s="21">
        <f>$B$12192</f>
        <v/>
      </c>
      <c r="N13207" s="21" t="n">
        <v>0</v>
      </c>
      <c r="O13207" s="21" t="n">
        <v>0</v>
      </c>
      <c r="P13207" s="21" t="n">
        <v>0</v>
      </c>
      <c r="Q13207" s="21" t="n">
        <v>0</v>
      </c>
      <c r="R13207" s="21" t="n">
        <v>0</v>
      </c>
      <c r="S13207" s="21" t="n">
        <v>0</v>
      </c>
      <c r="T13207" s="21" t="n">
        <v>0</v>
      </c>
      <c r="U13207" s="21" t="n">
        <v>0</v>
      </c>
      <c r="V13207" s="21" t="n">
        <v>0</v>
      </c>
      <c r="W13207" s="21" t="n">
        <v>0</v>
      </c>
      <c r="X13207" s="21" t="n">
        <v>0</v>
      </c>
      <c r="Y13207" s="21" t="n">
        <v>0</v>
      </c>
      <c r="Z13207" s="19" t="n"/>
    </row>
    <row r="13208">
      <c r="D13208" s="21" t="n">
        <v>0</v>
      </c>
      <c r="E13208" s="21" t="n">
        <v>0</v>
      </c>
      <c r="F13208" s="21" t="n">
        <v>0</v>
      </c>
      <c r="G13208" s="21" t="n">
        <v>0</v>
      </c>
      <c r="H13208" s="21" t="n">
        <v>0</v>
      </c>
      <c r="I13208" s="21" t="n">
        <v>0</v>
      </c>
      <c r="J13208" s="21">
        <f>-$B$12189</f>
        <v/>
      </c>
      <c r="K13208" s="21">
        <f>-$B$12190</f>
        <v/>
      </c>
      <c r="L13208" s="21">
        <f>2*$B$12189+$D$13192</f>
        <v/>
      </c>
      <c r="M13208" s="21">
        <f>0</f>
        <v/>
      </c>
      <c r="N13208" s="21">
        <f>-$B$12189</f>
        <v/>
      </c>
      <c r="O13208" s="21">
        <f>$B$12190</f>
        <v/>
      </c>
      <c r="P13208" s="21" t="n">
        <v>0</v>
      </c>
      <c r="Q13208" s="21" t="n">
        <v>0</v>
      </c>
      <c r="R13208" s="21" t="n">
        <v>0</v>
      </c>
      <c r="S13208" s="21" t="n">
        <v>0</v>
      </c>
      <c r="T13208" s="21" t="n">
        <v>0</v>
      </c>
      <c r="U13208" s="21" t="n">
        <v>0</v>
      </c>
      <c r="V13208" s="21" t="n">
        <v>0</v>
      </c>
      <c r="W13208" s="21" t="n">
        <v>0</v>
      </c>
      <c r="X13208" s="21" t="n">
        <v>0</v>
      </c>
      <c r="Y13208" s="21" t="n">
        <v>0</v>
      </c>
      <c r="Z13208" s="19" t="n"/>
    </row>
    <row r="13209">
      <c r="D13209" s="21" t="n">
        <v>0</v>
      </c>
      <c r="E13209" s="21" t="n">
        <v>0</v>
      </c>
      <c r="F13209" s="21" t="n">
        <v>0</v>
      </c>
      <c r="G13209" s="21" t="n">
        <v>0</v>
      </c>
      <c r="H13209" s="21" t="n">
        <v>0</v>
      </c>
      <c r="I13209" s="21" t="n">
        <v>0</v>
      </c>
      <c r="J13209" s="21">
        <f>$B$12190</f>
        <v/>
      </c>
      <c r="K13209" s="21">
        <f>$B$12192</f>
        <v/>
      </c>
      <c r="L13209" s="21">
        <f>0</f>
        <v/>
      </c>
      <c r="M13209" s="21">
        <f>2*$B$12191</f>
        <v/>
      </c>
      <c r="N13209" s="21">
        <f>-$B$12190</f>
        <v/>
      </c>
      <c r="O13209" s="21">
        <f>$B$12192</f>
        <v/>
      </c>
      <c r="P13209" s="21" t="n">
        <v>0</v>
      </c>
      <c r="Q13209" s="21" t="n">
        <v>0</v>
      </c>
      <c r="R13209" s="21" t="n">
        <v>0</v>
      </c>
      <c r="S13209" s="21" t="n">
        <v>0</v>
      </c>
      <c r="T13209" s="21" t="n">
        <v>0</v>
      </c>
      <c r="U13209" s="21" t="n">
        <v>0</v>
      </c>
      <c r="V13209" s="21" t="n">
        <v>0</v>
      </c>
      <c r="W13209" s="21" t="n">
        <v>0</v>
      </c>
      <c r="X13209" s="21" t="n">
        <v>0</v>
      </c>
      <c r="Y13209" s="21" t="n">
        <v>0</v>
      </c>
      <c r="Z13209" s="19" t="n"/>
    </row>
    <row r="13210">
      <c r="D13210" s="21" t="n">
        <v>0</v>
      </c>
      <c r="E13210" s="21" t="n">
        <v>0</v>
      </c>
      <c r="F13210" s="21" t="n">
        <v>0</v>
      </c>
      <c r="G13210" s="21" t="n">
        <v>0</v>
      </c>
      <c r="H13210" s="21" t="n">
        <v>0</v>
      </c>
      <c r="I13210" s="21" t="n">
        <v>0</v>
      </c>
      <c r="J13210" s="21" t="n">
        <v>0</v>
      </c>
      <c r="K13210" s="21" t="n">
        <v>0</v>
      </c>
      <c r="L13210" s="21">
        <f>-$B$12189</f>
        <v/>
      </c>
      <c r="M13210" s="21">
        <f>-$B$12190</f>
        <v/>
      </c>
      <c r="N13210" s="21">
        <f>2*$B$12189+$D$13193</f>
        <v/>
      </c>
      <c r="O13210" s="21">
        <f>0</f>
        <v/>
      </c>
      <c r="P13210" s="21">
        <f>-$B$12189</f>
        <v/>
      </c>
      <c r="Q13210" s="21">
        <f>$B$12190</f>
        <v/>
      </c>
      <c r="R13210" s="21" t="n">
        <v>0</v>
      </c>
      <c r="S13210" s="21" t="n">
        <v>0</v>
      </c>
      <c r="T13210" s="21" t="n">
        <v>0</v>
      </c>
      <c r="U13210" s="21" t="n">
        <v>0</v>
      </c>
      <c r="V13210" s="21" t="n">
        <v>0</v>
      </c>
      <c r="W13210" s="21" t="n">
        <v>0</v>
      </c>
      <c r="X13210" s="21" t="n">
        <v>0</v>
      </c>
      <c r="Y13210" s="21" t="n">
        <v>0</v>
      </c>
      <c r="Z13210" s="19" t="n"/>
    </row>
    <row r="13211">
      <c r="D13211" s="21" t="n">
        <v>0</v>
      </c>
      <c r="E13211" s="21" t="n">
        <v>0</v>
      </c>
      <c r="F13211" s="21" t="n">
        <v>0</v>
      </c>
      <c r="G13211" s="21" t="n">
        <v>0</v>
      </c>
      <c r="H13211" s="21" t="n">
        <v>0</v>
      </c>
      <c r="I13211" s="21" t="n">
        <v>0</v>
      </c>
      <c r="J13211" s="21" t="n">
        <v>0</v>
      </c>
      <c r="K13211" s="21" t="n">
        <v>0</v>
      </c>
      <c r="L13211" s="21">
        <f>$B$12190</f>
        <v/>
      </c>
      <c r="M13211" s="21">
        <f>$B$12192</f>
        <v/>
      </c>
      <c r="N13211" s="21">
        <f>0</f>
        <v/>
      </c>
      <c r="O13211" s="21">
        <f>2*$B$12191</f>
        <v/>
      </c>
      <c r="P13211" s="21">
        <f>-$B$12190</f>
        <v/>
      </c>
      <c r="Q13211" s="21">
        <f>$B$12192</f>
        <v/>
      </c>
      <c r="R13211" s="21" t="n">
        <v>0</v>
      </c>
      <c r="S13211" s="21" t="n">
        <v>0</v>
      </c>
      <c r="T13211" s="21" t="n">
        <v>0</v>
      </c>
      <c r="U13211" s="21" t="n">
        <v>0</v>
      </c>
      <c r="V13211" s="21" t="n">
        <v>0</v>
      </c>
      <c r="W13211" s="21" t="n">
        <v>0</v>
      </c>
      <c r="X13211" s="21" t="n">
        <v>0</v>
      </c>
      <c r="Y13211" s="21" t="n">
        <v>0</v>
      </c>
      <c r="Z13211" s="19" t="n"/>
    </row>
    <row r="13212">
      <c r="D13212" s="21" t="n">
        <v>0</v>
      </c>
      <c r="E13212" s="21" t="n">
        <v>0</v>
      </c>
      <c r="F13212" s="21" t="n">
        <v>0</v>
      </c>
      <c r="G13212" s="21" t="n">
        <v>0</v>
      </c>
      <c r="H13212" s="21" t="n">
        <v>0</v>
      </c>
      <c r="I13212" s="21" t="n">
        <v>0</v>
      </c>
      <c r="J13212" s="21" t="n">
        <v>0</v>
      </c>
      <c r="K13212" s="21" t="n">
        <v>0</v>
      </c>
      <c r="L13212" s="21" t="n">
        <v>0</v>
      </c>
      <c r="M13212" s="21" t="n">
        <v>0</v>
      </c>
      <c r="N13212" s="21">
        <f>-$B$12189</f>
        <v/>
      </c>
      <c r="O13212" s="21">
        <f>-$B$12190</f>
        <v/>
      </c>
      <c r="P13212" s="21">
        <f>2*$B$12189+$D$13194</f>
        <v/>
      </c>
      <c r="Q13212" s="21">
        <f>0</f>
        <v/>
      </c>
      <c r="R13212" s="21">
        <f>-$B$12189</f>
        <v/>
      </c>
      <c r="S13212" s="21">
        <f>$B$12190</f>
        <v/>
      </c>
      <c r="T13212" s="21" t="n">
        <v>0</v>
      </c>
      <c r="U13212" s="21" t="n">
        <v>0</v>
      </c>
      <c r="V13212" s="21" t="n">
        <v>0</v>
      </c>
      <c r="W13212" s="21" t="n">
        <v>0</v>
      </c>
      <c r="X13212" s="21" t="n">
        <v>0</v>
      </c>
      <c r="Y13212" s="21" t="n">
        <v>0</v>
      </c>
      <c r="Z13212" s="19" t="n"/>
    </row>
    <row r="13213">
      <c r="D13213" s="21" t="n">
        <v>0</v>
      </c>
      <c r="E13213" s="21" t="n">
        <v>0</v>
      </c>
      <c r="F13213" s="21" t="n">
        <v>0</v>
      </c>
      <c r="G13213" s="21" t="n">
        <v>0</v>
      </c>
      <c r="H13213" s="21" t="n">
        <v>0</v>
      </c>
      <c r="I13213" s="21" t="n">
        <v>0</v>
      </c>
      <c r="J13213" s="21" t="n">
        <v>0</v>
      </c>
      <c r="K13213" s="21" t="n">
        <v>0</v>
      </c>
      <c r="L13213" s="21" t="n">
        <v>0</v>
      </c>
      <c r="M13213" s="21" t="n">
        <v>0</v>
      </c>
      <c r="N13213" s="21">
        <f>$B$12190</f>
        <v/>
      </c>
      <c r="O13213" s="21">
        <f>$B$12192</f>
        <v/>
      </c>
      <c r="P13213" s="21">
        <f>0</f>
        <v/>
      </c>
      <c r="Q13213" s="21">
        <f>2*$B$12191</f>
        <v/>
      </c>
      <c r="R13213" s="21">
        <f>-$B$12190</f>
        <v/>
      </c>
      <c r="S13213" s="21">
        <f>$B$12192</f>
        <v/>
      </c>
      <c r="T13213" s="21" t="n">
        <v>0</v>
      </c>
      <c r="U13213" s="21" t="n">
        <v>0</v>
      </c>
      <c r="V13213" s="21" t="n">
        <v>0</v>
      </c>
      <c r="W13213" s="21" t="n">
        <v>0</v>
      </c>
      <c r="X13213" s="21" t="n">
        <v>0</v>
      </c>
      <c r="Y13213" s="21" t="n">
        <v>0</v>
      </c>
      <c r="Z13213" s="19" t="n"/>
    </row>
    <row r="13214">
      <c r="D13214" s="21" t="n">
        <v>0</v>
      </c>
      <c r="E13214" s="21" t="n">
        <v>0</v>
      </c>
      <c r="F13214" s="21" t="n">
        <v>0</v>
      </c>
      <c r="G13214" s="21" t="n">
        <v>0</v>
      </c>
      <c r="H13214" s="21" t="n">
        <v>0</v>
      </c>
      <c r="I13214" s="21" t="n">
        <v>0</v>
      </c>
      <c r="J13214" s="21" t="n">
        <v>0</v>
      </c>
      <c r="K13214" s="21" t="n">
        <v>0</v>
      </c>
      <c r="L13214" s="21" t="n">
        <v>0</v>
      </c>
      <c r="M13214" s="21" t="n">
        <v>0</v>
      </c>
      <c r="N13214" s="21" t="n">
        <v>0</v>
      </c>
      <c r="O13214" s="21" t="n">
        <v>0</v>
      </c>
      <c r="P13214" s="21">
        <f>-$B$12189</f>
        <v/>
      </c>
      <c r="Q13214" s="21">
        <f>-$B$12190</f>
        <v/>
      </c>
      <c r="R13214" s="21">
        <f>2*$B$12189+$D$13195</f>
        <v/>
      </c>
      <c r="S13214" s="21">
        <f>0</f>
        <v/>
      </c>
      <c r="T13214" s="21">
        <f>-$B$12189</f>
        <v/>
      </c>
      <c r="U13214" s="21">
        <f>$B$12190</f>
        <v/>
      </c>
      <c r="V13214" s="21" t="n">
        <v>0</v>
      </c>
      <c r="W13214" s="21" t="n">
        <v>0</v>
      </c>
      <c r="X13214" s="21" t="n">
        <v>0</v>
      </c>
      <c r="Y13214" s="21" t="n">
        <v>0</v>
      </c>
      <c r="Z13214" s="19" t="n"/>
    </row>
    <row r="13215">
      <c r="D13215" s="21" t="n">
        <v>0</v>
      </c>
      <c r="E13215" s="21" t="n">
        <v>0</v>
      </c>
      <c r="F13215" s="21" t="n">
        <v>0</v>
      </c>
      <c r="G13215" s="21" t="n">
        <v>0</v>
      </c>
      <c r="H13215" s="21" t="n">
        <v>0</v>
      </c>
      <c r="I13215" s="21" t="n">
        <v>0</v>
      </c>
      <c r="J13215" s="21" t="n">
        <v>0</v>
      </c>
      <c r="K13215" s="21" t="n">
        <v>0</v>
      </c>
      <c r="L13215" s="21" t="n">
        <v>0</v>
      </c>
      <c r="M13215" s="21" t="n">
        <v>0</v>
      </c>
      <c r="N13215" s="21" t="n">
        <v>0</v>
      </c>
      <c r="O13215" s="21" t="n">
        <v>0</v>
      </c>
      <c r="P13215" s="21">
        <f>$B$12190</f>
        <v/>
      </c>
      <c r="Q13215" s="21">
        <f>$B$12192</f>
        <v/>
      </c>
      <c r="R13215" s="21">
        <f>0</f>
        <v/>
      </c>
      <c r="S13215" s="21">
        <f>2*$B$12191</f>
        <v/>
      </c>
      <c r="T13215" s="21">
        <f>-$B$12190</f>
        <v/>
      </c>
      <c r="U13215" s="21">
        <f>$B$12192</f>
        <v/>
      </c>
      <c r="V13215" s="21" t="n">
        <v>0</v>
      </c>
      <c r="W13215" s="21" t="n">
        <v>0</v>
      </c>
      <c r="X13215" s="21" t="n">
        <v>0</v>
      </c>
      <c r="Y13215" s="21" t="n">
        <v>0</v>
      </c>
      <c r="Z13215" s="19" t="n"/>
    </row>
    <row r="13216">
      <c r="D13216" s="21" t="n">
        <v>0</v>
      </c>
      <c r="E13216" s="21" t="n">
        <v>0</v>
      </c>
      <c r="F13216" s="21" t="n">
        <v>0</v>
      </c>
      <c r="G13216" s="21" t="n">
        <v>0</v>
      </c>
      <c r="H13216" s="21" t="n">
        <v>0</v>
      </c>
      <c r="I13216" s="21" t="n">
        <v>0</v>
      </c>
      <c r="J13216" s="21" t="n">
        <v>0</v>
      </c>
      <c r="K13216" s="21" t="n">
        <v>0</v>
      </c>
      <c r="L13216" s="21" t="n">
        <v>0</v>
      </c>
      <c r="M13216" s="21" t="n">
        <v>0</v>
      </c>
      <c r="N13216" s="21" t="n">
        <v>0</v>
      </c>
      <c r="O13216" s="21" t="n">
        <v>0</v>
      </c>
      <c r="P13216" s="21" t="n">
        <v>0</v>
      </c>
      <c r="Q13216" s="21" t="n">
        <v>0</v>
      </c>
      <c r="R13216" s="21">
        <f>-$B$12189</f>
        <v/>
      </c>
      <c r="S13216" s="21">
        <f>-$B$12190</f>
        <v/>
      </c>
      <c r="T13216" s="21">
        <f>2*$B$12189+$D$13196</f>
        <v/>
      </c>
      <c r="U13216" s="21">
        <f>0</f>
        <v/>
      </c>
      <c r="V13216" s="21">
        <f>-$B$12189</f>
        <v/>
      </c>
      <c r="W13216" s="21">
        <f>$B$12190</f>
        <v/>
      </c>
      <c r="X13216" s="21" t="n">
        <v>0</v>
      </c>
      <c r="Y13216" s="21" t="n">
        <v>0</v>
      </c>
      <c r="Z13216" s="19" t="n"/>
    </row>
    <row r="13217">
      <c r="D13217" s="21" t="n">
        <v>0</v>
      </c>
      <c r="E13217" s="21" t="n">
        <v>0</v>
      </c>
      <c r="F13217" s="21" t="n">
        <v>0</v>
      </c>
      <c r="G13217" s="21" t="n">
        <v>0</v>
      </c>
      <c r="H13217" s="21" t="n">
        <v>0</v>
      </c>
      <c r="I13217" s="21" t="n">
        <v>0</v>
      </c>
      <c r="J13217" s="21" t="n">
        <v>0</v>
      </c>
      <c r="K13217" s="21" t="n">
        <v>0</v>
      </c>
      <c r="L13217" s="21" t="n">
        <v>0</v>
      </c>
      <c r="M13217" s="21" t="n">
        <v>0</v>
      </c>
      <c r="N13217" s="21" t="n">
        <v>0</v>
      </c>
      <c r="O13217" s="21" t="n">
        <v>0</v>
      </c>
      <c r="P13217" s="21" t="n">
        <v>0</v>
      </c>
      <c r="Q13217" s="21" t="n">
        <v>0</v>
      </c>
      <c r="R13217" s="21">
        <f>$B$12190</f>
        <v/>
      </c>
      <c r="S13217" s="21">
        <f>$B$12192</f>
        <v/>
      </c>
      <c r="T13217" s="21">
        <f>0</f>
        <v/>
      </c>
      <c r="U13217" s="21">
        <f>2*$B$12191</f>
        <v/>
      </c>
      <c r="V13217" s="21">
        <f>-$B$12190</f>
        <v/>
      </c>
      <c r="W13217" s="21">
        <f>$B$12192</f>
        <v/>
      </c>
      <c r="X13217" s="21" t="n">
        <v>0</v>
      </c>
      <c r="Y13217" s="21" t="n">
        <v>0</v>
      </c>
      <c r="Z13217" s="19" t="n"/>
    </row>
    <row r="13218">
      <c r="D13218" s="21" t="n">
        <v>0</v>
      </c>
      <c r="E13218" s="21" t="n">
        <v>0</v>
      </c>
      <c r="F13218" s="21" t="n">
        <v>0</v>
      </c>
      <c r="G13218" s="21" t="n">
        <v>0</v>
      </c>
      <c r="H13218" s="21" t="n">
        <v>0</v>
      </c>
      <c r="I13218" s="21" t="n">
        <v>0</v>
      </c>
      <c r="J13218" s="21" t="n">
        <v>0</v>
      </c>
      <c r="K13218" s="21" t="n">
        <v>0</v>
      </c>
      <c r="L13218" s="21" t="n">
        <v>0</v>
      </c>
      <c r="M13218" s="21" t="n">
        <v>0</v>
      </c>
      <c r="N13218" s="21" t="n">
        <v>0</v>
      </c>
      <c r="O13218" s="21" t="n">
        <v>0</v>
      </c>
      <c r="P13218" s="21" t="n">
        <v>0</v>
      </c>
      <c r="Q13218" s="21" t="n">
        <v>0</v>
      </c>
      <c r="R13218" s="21" t="n">
        <v>0</v>
      </c>
      <c r="S13218" s="21" t="n">
        <v>0</v>
      </c>
      <c r="T13218" s="21">
        <f>-$B$12189</f>
        <v/>
      </c>
      <c r="U13218" s="21">
        <f>-$B$12190</f>
        <v/>
      </c>
      <c r="V13218" s="21">
        <f>2*$B$12189+$D$13197</f>
        <v/>
      </c>
      <c r="W13218" s="21">
        <f>0</f>
        <v/>
      </c>
      <c r="X13218" s="21">
        <f>-$B$12189</f>
        <v/>
      </c>
      <c r="Y13218" s="21">
        <f>$B$12190</f>
        <v/>
      </c>
      <c r="Z13218" s="19" t="n"/>
    </row>
    <row r="13219">
      <c r="D13219" s="21" t="n">
        <v>0</v>
      </c>
      <c r="E13219" s="21" t="n">
        <v>0</v>
      </c>
      <c r="F13219" s="21" t="n">
        <v>0</v>
      </c>
      <c r="G13219" s="21" t="n">
        <v>0</v>
      </c>
      <c r="H13219" s="21" t="n">
        <v>0</v>
      </c>
      <c r="I13219" s="21" t="n">
        <v>0</v>
      </c>
      <c r="J13219" s="21" t="n">
        <v>0</v>
      </c>
      <c r="K13219" s="21" t="n">
        <v>0</v>
      </c>
      <c r="L13219" s="21" t="n">
        <v>0</v>
      </c>
      <c r="M13219" s="21" t="n">
        <v>0</v>
      </c>
      <c r="N13219" s="21" t="n">
        <v>0</v>
      </c>
      <c r="O13219" s="21" t="n">
        <v>0</v>
      </c>
      <c r="P13219" s="21" t="n">
        <v>0</v>
      </c>
      <c r="Q13219" s="21" t="n">
        <v>0</v>
      </c>
      <c r="R13219" s="21" t="n">
        <v>0</v>
      </c>
      <c r="S13219" s="21" t="n">
        <v>0</v>
      </c>
      <c r="T13219" s="21">
        <f>$B$12190</f>
        <v/>
      </c>
      <c r="U13219" s="21">
        <f>$B$12192</f>
        <v/>
      </c>
      <c r="V13219" s="21">
        <f>0</f>
        <v/>
      </c>
      <c r="W13219" s="21">
        <f>2*$B$12191</f>
        <v/>
      </c>
      <c r="X13219" s="21">
        <f>-$B$12190</f>
        <v/>
      </c>
      <c r="Y13219" s="21">
        <f>$B$12192</f>
        <v/>
      </c>
      <c r="Z13219" s="19" t="n"/>
    </row>
    <row r="13220">
      <c r="D13220" s="21" t="n">
        <v>0</v>
      </c>
      <c r="E13220" s="21" t="n">
        <v>0</v>
      </c>
      <c r="F13220" s="21" t="n">
        <v>0</v>
      </c>
      <c r="G13220" s="21" t="n">
        <v>0</v>
      </c>
      <c r="H13220" s="21" t="n">
        <v>0</v>
      </c>
      <c r="I13220" s="21" t="n">
        <v>0</v>
      </c>
      <c r="J13220" s="21" t="n">
        <v>0</v>
      </c>
      <c r="K13220" s="21" t="n">
        <v>0</v>
      </c>
      <c r="L13220" s="21" t="n">
        <v>0</v>
      </c>
      <c r="M13220" s="21" t="n">
        <v>0</v>
      </c>
      <c r="N13220" s="21" t="n">
        <v>0</v>
      </c>
      <c r="O13220" s="21" t="n">
        <v>0</v>
      </c>
      <c r="P13220" s="21" t="n">
        <v>0</v>
      </c>
      <c r="Q13220" s="21" t="n">
        <v>0</v>
      </c>
      <c r="R13220" s="21" t="n">
        <v>0</v>
      </c>
      <c r="S13220" s="21" t="n">
        <v>0</v>
      </c>
      <c r="T13220" s="21" t="n">
        <v>0</v>
      </c>
      <c r="U13220" s="21" t="n">
        <v>0</v>
      </c>
      <c r="V13220" s="21">
        <f>-$B$12189</f>
        <v/>
      </c>
      <c r="W13220" s="21">
        <f>-$B$12190</f>
        <v/>
      </c>
      <c r="X13220" s="21">
        <f>$B$12189+$D$13198</f>
        <v/>
      </c>
      <c r="Y13220" s="21">
        <f>-$B$12190</f>
        <v/>
      </c>
      <c r="Z13220" s="19" t="n"/>
    </row>
    <row r="13221">
      <c r="D13221" s="21" t="n">
        <v>0</v>
      </c>
      <c r="E13221" s="21" t="n">
        <v>0</v>
      </c>
      <c r="F13221" s="21" t="n">
        <v>0</v>
      </c>
      <c r="G13221" s="21" t="n">
        <v>0</v>
      </c>
      <c r="H13221" s="21" t="n">
        <v>0</v>
      </c>
      <c r="I13221" s="21" t="n">
        <v>0</v>
      </c>
      <c r="J13221" s="21" t="n">
        <v>0</v>
      </c>
      <c r="K13221" s="21" t="n">
        <v>0</v>
      </c>
      <c r="L13221" s="21" t="n">
        <v>0</v>
      </c>
      <c r="M13221" s="21" t="n">
        <v>0</v>
      </c>
      <c r="N13221" s="21" t="n">
        <v>0</v>
      </c>
      <c r="O13221" s="21" t="n">
        <v>0</v>
      </c>
      <c r="P13221" s="21" t="n">
        <v>0</v>
      </c>
      <c r="Q13221" s="21" t="n">
        <v>0</v>
      </c>
      <c r="R13221" s="21" t="n">
        <v>0</v>
      </c>
      <c r="S13221" s="21" t="n">
        <v>0</v>
      </c>
      <c r="T13221" s="21" t="n">
        <v>0</v>
      </c>
      <c r="U13221" s="21" t="n">
        <v>0</v>
      </c>
      <c r="V13221" s="21">
        <f>$B$12190</f>
        <v/>
      </c>
      <c r="W13221" s="21">
        <f>$B$12192</f>
        <v/>
      </c>
      <c r="X13221" s="21">
        <f>-$B$12190</f>
        <v/>
      </c>
      <c r="Y13221" s="21">
        <f>$B$12191</f>
        <v/>
      </c>
      <c r="Z13221" s="19" t="n"/>
    </row>
    <row r="13223">
      <c r="A13223" s="8" t="inlineStr">
        <is>
          <t>gen 28</t>
        </is>
      </c>
    </row>
    <row r="13224">
      <c r="D13224" s="19">
        <f>IF(ABS(IF(ABS($E$13188)&gt;0.000000001,$E$13188,0.000000001))=0,0,IF($E$12204&lt;=$B$12198,0,IF(ABS(IF(ABS($E$13188)&gt;0.000000001,$E$13188,0.000000001))&gt;=8*$B$12200,$H$12204,0.5*$H$12204*(ABS(IF(ABS($E$13188)&gt;0.000000001,$E$13188,0.000000001))/$B$12200)^(1/3)))/ABS(IF(ABS($E$13188)&gt;0.000000001,$E$13188,0.000000001))*$I$12204)</f>
        <v/>
      </c>
      <c r="E13224" s="19">
        <f>0.5*$E$13188+0.5*$Z$13236</f>
        <v/>
      </c>
      <c r="F13224" s="19">
        <f>$Z$13237</f>
        <v/>
      </c>
    </row>
    <row r="13225">
      <c r="D13225" s="19">
        <f>IF(ABS(IF(ABS($E$13189)&gt;0.000000001,$E$13189,0.000000001))=0,0,IF($E$12205&lt;=$B$12198,0,IF(ABS(IF(ABS($E$13189)&gt;0.000000001,$E$13189,0.000000001))&gt;=8*$B$12200,$H$12205,0.5*$H$12205*(ABS(IF(ABS($E$13189)&gt;0.000000001,$E$13189,0.000000001))/$B$12200)^(1/3)))/ABS(IF(ABS($E$13189)&gt;0.000000001,$E$13189,0.000000001))*$I$12205)</f>
        <v/>
      </c>
      <c r="E13225" s="19">
        <f>0.5*$E$13189+0.5*$Z$13238</f>
        <v/>
      </c>
      <c r="F13225" s="19">
        <f>$Z$13239</f>
        <v/>
      </c>
    </row>
    <row r="13226">
      <c r="D13226" s="19">
        <f>IF(ABS(IF(ABS($E$13190)&gt;0.000000001,$E$13190,0.000000001))=0,0,IF($E$12206&lt;=$B$12198,0,IF(ABS(IF(ABS($E$13190)&gt;0.000000001,$E$13190,0.000000001))&gt;=8*$B$12200,$H$12206,0.5*$H$12206*(ABS(IF(ABS($E$13190)&gt;0.000000001,$E$13190,0.000000001))/$B$12200)^(1/3)))/ABS(IF(ABS($E$13190)&gt;0.000000001,$E$13190,0.000000001))*$I$12206)</f>
        <v/>
      </c>
      <c r="E13226" s="19">
        <f>0.5*$E$13190+0.5*$Z$13240</f>
        <v/>
      </c>
      <c r="F13226" s="19">
        <f>$Z$13241</f>
        <v/>
      </c>
    </row>
    <row r="13227">
      <c r="D13227" s="19">
        <f>IF(ABS(IF(ABS($E$13191)&gt;0.000000001,$E$13191,0.000000001))=0,0,IF($E$12207&lt;=$B$12198,0,IF(ABS(IF(ABS($E$13191)&gt;0.000000001,$E$13191,0.000000001))&gt;=8*$B$12200,$H$12207,0.5*$H$12207*(ABS(IF(ABS($E$13191)&gt;0.000000001,$E$13191,0.000000001))/$B$12200)^(1/3)))/ABS(IF(ABS($E$13191)&gt;0.000000001,$E$13191,0.000000001))*$I$12207)</f>
        <v/>
      </c>
      <c r="E13227" s="19">
        <f>0.5*$E$13191+0.5*$Z$13242</f>
        <v/>
      </c>
      <c r="F13227" s="19">
        <f>$Z$13243</f>
        <v/>
      </c>
    </row>
    <row r="13228">
      <c r="D13228" s="19">
        <f>IF(ABS(IF(ABS($E$13192)&gt;0.000000001,$E$13192,0.000000001))=0,0,IF($E$12208&lt;=$B$12198,0,IF(ABS(IF(ABS($E$13192)&gt;0.000000001,$E$13192,0.000000001))&gt;=8*$B$12200,$H$12208,0.5*$H$12208*(ABS(IF(ABS($E$13192)&gt;0.000000001,$E$13192,0.000000001))/$B$12200)^(1/3)))/ABS(IF(ABS($E$13192)&gt;0.000000001,$E$13192,0.000000001))*$I$12208)</f>
        <v/>
      </c>
      <c r="E13228" s="19">
        <f>0.5*$E$13192+0.5*$Z$13244</f>
        <v/>
      </c>
      <c r="F13228" s="19">
        <f>$Z$13245</f>
        <v/>
      </c>
    </row>
    <row r="13229">
      <c r="D13229" s="19">
        <f>IF(ABS(IF(ABS($E$13193)&gt;0.000000001,$E$13193,0.000000001))=0,0,IF($E$12209&lt;=$B$12198,0,IF(ABS(IF(ABS($E$13193)&gt;0.000000001,$E$13193,0.000000001))&gt;=8*$B$12200,$H$12209,0.5*$H$12209*(ABS(IF(ABS($E$13193)&gt;0.000000001,$E$13193,0.000000001))/$B$12200)^(1/3)))/ABS(IF(ABS($E$13193)&gt;0.000000001,$E$13193,0.000000001))*$I$12209)</f>
        <v/>
      </c>
      <c r="E13229" s="19">
        <f>0.5*$E$13193+0.5*$Z$13246</f>
        <v/>
      </c>
      <c r="F13229" s="19">
        <f>$Z$13247</f>
        <v/>
      </c>
    </row>
    <row r="13230">
      <c r="D13230" s="19">
        <f>IF(ABS(IF(ABS($E$13194)&gt;0.000000001,$E$13194,0.000000001))=0,0,IF($E$12210&lt;=$B$12198,0,IF(ABS(IF(ABS($E$13194)&gt;0.000000001,$E$13194,0.000000001))&gt;=8*$B$12200,$H$12210,0.5*$H$12210*(ABS(IF(ABS($E$13194)&gt;0.000000001,$E$13194,0.000000001))/$B$12200)^(1/3)))/ABS(IF(ABS($E$13194)&gt;0.000000001,$E$13194,0.000000001))*$I$12210)</f>
        <v/>
      </c>
      <c r="E13230" s="19">
        <f>0.5*$E$13194+0.5*$Z$13248</f>
        <v/>
      </c>
      <c r="F13230" s="19">
        <f>$Z$13249</f>
        <v/>
      </c>
    </row>
    <row r="13231">
      <c r="D13231" s="19">
        <f>IF(ABS(IF(ABS($E$13195)&gt;0.000000001,$E$13195,0.000000001))=0,0,IF($E$12211&lt;=$B$12198,0,IF(ABS(IF(ABS($E$13195)&gt;0.000000001,$E$13195,0.000000001))&gt;=8*$B$12200,$H$12211,0.5*$H$12211*(ABS(IF(ABS($E$13195)&gt;0.000000001,$E$13195,0.000000001))/$B$12200)^(1/3)))/ABS(IF(ABS($E$13195)&gt;0.000000001,$E$13195,0.000000001))*$I$12211)</f>
        <v/>
      </c>
      <c r="E13231" s="19">
        <f>0.5*$E$13195+0.5*$Z$13250</f>
        <v/>
      </c>
      <c r="F13231" s="19">
        <f>$Z$13251</f>
        <v/>
      </c>
    </row>
    <row r="13232">
      <c r="D13232" s="19">
        <f>IF(ABS(IF(ABS($E$13196)&gt;0.000000001,$E$13196,0.000000001))=0,0,IF($E$12212&lt;=$B$12198,0,IF(ABS(IF(ABS($E$13196)&gt;0.000000001,$E$13196,0.000000001))&gt;=8*$B$12200,$H$12212,0.5*$H$12212*(ABS(IF(ABS($E$13196)&gt;0.000000001,$E$13196,0.000000001))/$B$12200)^(1/3)))/ABS(IF(ABS($E$13196)&gt;0.000000001,$E$13196,0.000000001))*$I$12212)</f>
        <v/>
      </c>
      <c r="E13232" s="19">
        <f>0.5*$E$13196+0.5*$Z$13252</f>
        <v/>
      </c>
      <c r="F13232" s="19">
        <f>$Z$13253</f>
        <v/>
      </c>
    </row>
    <row r="13233">
      <c r="D13233" s="19">
        <f>IF(ABS(IF(ABS($E$13197)&gt;0.000000001,$E$13197,0.000000001))=0,0,IF($E$12213&lt;=$B$12198,0,IF(ABS(IF(ABS($E$13197)&gt;0.000000001,$E$13197,0.000000001))&gt;=8*$B$12200,$H$12213,0.5*$H$12213*(ABS(IF(ABS($E$13197)&gt;0.000000001,$E$13197,0.000000001))/$B$12200)^(1/3)))/ABS(IF(ABS($E$13197)&gt;0.000000001,$E$13197,0.000000001))*$I$12213)</f>
        <v/>
      </c>
      <c r="E13233" s="19">
        <f>0.5*$E$13197+0.5*$Z$13254</f>
        <v/>
      </c>
      <c r="F13233" s="19">
        <f>$Z$13255</f>
        <v/>
      </c>
    </row>
    <row r="13234">
      <c r="D13234" s="19">
        <f>IF(ABS(IF(ABS($E$13198)&gt;0.000000001,$E$13198,0.000000001))=0,0,IF($E$12214&lt;=$B$12198,0,IF(ABS(IF(ABS($E$13198)&gt;0.000000001,$E$13198,0.000000001))&gt;=8*$B$12200,$H$12214,0.5*$H$12214*(ABS(IF(ABS($E$13198)&gt;0.000000001,$E$13198,0.000000001))/$B$12200)^(1/3)))/ABS(IF(ABS($E$13198)&gt;0.000000001,$E$13198,0.000000001))*$I$12214)</f>
        <v/>
      </c>
      <c r="E13234" s="19">
        <f>0.5*$E$13198+0.5*$Z$13256</f>
        <v/>
      </c>
      <c r="F13234" s="19">
        <f>$Z$13257</f>
        <v/>
      </c>
    </row>
    <row r="13236">
      <c r="D13236" s="21">
        <f>$B$12189+$D$13224</f>
        <v/>
      </c>
      <c r="E13236" s="21">
        <f>$B$12190</f>
        <v/>
      </c>
      <c r="F13236" s="21">
        <f>-$B$12189</f>
        <v/>
      </c>
      <c r="G13236" s="21">
        <f>$B$12190</f>
        <v/>
      </c>
      <c r="H13236" s="21" t="n">
        <v>0</v>
      </c>
      <c r="I13236" s="21" t="n">
        <v>0</v>
      </c>
      <c r="J13236" s="21" t="n">
        <v>0</v>
      </c>
      <c r="K13236" s="21" t="n">
        <v>0</v>
      </c>
      <c r="L13236" s="21" t="n">
        <v>0</v>
      </c>
      <c r="M13236" s="21" t="n">
        <v>0</v>
      </c>
      <c r="N13236" s="21" t="n">
        <v>0</v>
      </c>
      <c r="O13236" s="21" t="n">
        <v>0</v>
      </c>
      <c r="P13236" s="21" t="n">
        <v>0</v>
      </c>
      <c r="Q13236" s="21" t="n">
        <v>0</v>
      </c>
      <c r="R13236" s="21" t="n">
        <v>0</v>
      </c>
      <c r="S13236" s="21" t="n">
        <v>0</v>
      </c>
      <c r="T13236" s="21" t="n">
        <v>0</v>
      </c>
      <c r="U13236" s="21" t="n">
        <v>0</v>
      </c>
      <c r="V13236" s="21" t="n">
        <v>0</v>
      </c>
      <c r="W13236" s="21" t="n">
        <v>0</v>
      </c>
      <c r="X13236" s="21" t="n">
        <v>0</v>
      </c>
      <c r="Y13236" s="21" t="n">
        <v>0</v>
      </c>
      <c r="Z13236" s="19">
        <f t="array" ref="Z13236:Z13257">MMULT(MINVERSE($D$13236:$Y$13257),$D$12216:$D$12237)</f>
        <v/>
      </c>
    </row>
    <row r="13237">
      <c r="D13237" s="21">
        <f>$B$12190</f>
        <v/>
      </c>
      <c r="E13237" s="21">
        <f>$B$12191</f>
        <v/>
      </c>
      <c r="F13237" s="21">
        <f>-$B$12190</f>
        <v/>
      </c>
      <c r="G13237" s="21">
        <f>$B$12192</f>
        <v/>
      </c>
      <c r="H13237" s="21" t="n">
        <v>0</v>
      </c>
      <c r="I13237" s="21" t="n">
        <v>0</v>
      </c>
      <c r="J13237" s="21" t="n">
        <v>0</v>
      </c>
      <c r="K13237" s="21" t="n">
        <v>0</v>
      </c>
      <c r="L13237" s="21" t="n">
        <v>0</v>
      </c>
      <c r="M13237" s="21" t="n">
        <v>0</v>
      </c>
      <c r="N13237" s="21" t="n">
        <v>0</v>
      </c>
      <c r="O13237" s="21" t="n">
        <v>0</v>
      </c>
      <c r="P13237" s="21" t="n">
        <v>0</v>
      </c>
      <c r="Q13237" s="21" t="n">
        <v>0</v>
      </c>
      <c r="R13237" s="21" t="n">
        <v>0</v>
      </c>
      <c r="S13237" s="21" t="n">
        <v>0</v>
      </c>
      <c r="T13237" s="21" t="n">
        <v>0</v>
      </c>
      <c r="U13237" s="21" t="n">
        <v>0</v>
      </c>
      <c r="V13237" s="21" t="n">
        <v>0</v>
      </c>
      <c r="W13237" s="21" t="n">
        <v>0</v>
      </c>
      <c r="X13237" s="21" t="n">
        <v>0</v>
      </c>
      <c r="Y13237" s="21" t="n">
        <v>0</v>
      </c>
      <c r="Z13237" s="19" t="n"/>
    </row>
    <row r="13238">
      <c r="D13238" s="21">
        <f>-$B$12189</f>
        <v/>
      </c>
      <c r="E13238" s="21">
        <f>-$B$12190</f>
        <v/>
      </c>
      <c r="F13238" s="21">
        <f>2*$B$12189+$D$13225</f>
        <v/>
      </c>
      <c r="G13238" s="21">
        <f>0</f>
        <v/>
      </c>
      <c r="H13238" s="21">
        <f>-$B$12189</f>
        <v/>
      </c>
      <c r="I13238" s="21">
        <f>$B$12190</f>
        <v/>
      </c>
      <c r="J13238" s="21" t="n">
        <v>0</v>
      </c>
      <c r="K13238" s="21" t="n">
        <v>0</v>
      </c>
      <c r="L13238" s="21" t="n">
        <v>0</v>
      </c>
      <c r="M13238" s="21" t="n">
        <v>0</v>
      </c>
      <c r="N13238" s="21" t="n">
        <v>0</v>
      </c>
      <c r="O13238" s="21" t="n">
        <v>0</v>
      </c>
      <c r="P13238" s="21" t="n">
        <v>0</v>
      </c>
      <c r="Q13238" s="21" t="n">
        <v>0</v>
      </c>
      <c r="R13238" s="21" t="n">
        <v>0</v>
      </c>
      <c r="S13238" s="21" t="n">
        <v>0</v>
      </c>
      <c r="T13238" s="21" t="n">
        <v>0</v>
      </c>
      <c r="U13238" s="21" t="n">
        <v>0</v>
      </c>
      <c r="V13238" s="21" t="n">
        <v>0</v>
      </c>
      <c r="W13238" s="21" t="n">
        <v>0</v>
      </c>
      <c r="X13238" s="21" t="n">
        <v>0</v>
      </c>
      <c r="Y13238" s="21" t="n">
        <v>0</v>
      </c>
      <c r="Z13238" s="19" t="n"/>
    </row>
    <row r="13239">
      <c r="D13239" s="21">
        <f>$B$12190</f>
        <v/>
      </c>
      <c r="E13239" s="21">
        <f>$B$12192</f>
        <v/>
      </c>
      <c r="F13239" s="21">
        <f>0</f>
        <v/>
      </c>
      <c r="G13239" s="21">
        <f>2*$B$12191</f>
        <v/>
      </c>
      <c r="H13239" s="21">
        <f>-$B$12190</f>
        <v/>
      </c>
      <c r="I13239" s="21">
        <f>$B$12192</f>
        <v/>
      </c>
      <c r="J13239" s="21" t="n">
        <v>0</v>
      </c>
      <c r="K13239" s="21" t="n">
        <v>0</v>
      </c>
      <c r="L13239" s="21" t="n">
        <v>0</v>
      </c>
      <c r="M13239" s="21" t="n">
        <v>0</v>
      </c>
      <c r="N13239" s="21" t="n">
        <v>0</v>
      </c>
      <c r="O13239" s="21" t="n">
        <v>0</v>
      </c>
      <c r="P13239" s="21" t="n">
        <v>0</v>
      </c>
      <c r="Q13239" s="21" t="n">
        <v>0</v>
      </c>
      <c r="R13239" s="21" t="n">
        <v>0</v>
      </c>
      <c r="S13239" s="21" t="n">
        <v>0</v>
      </c>
      <c r="T13239" s="21" t="n">
        <v>0</v>
      </c>
      <c r="U13239" s="21" t="n">
        <v>0</v>
      </c>
      <c r="V13239" s="21" t="n">
        <v>0</v>
      </c>
      <c r="W13239" s="21" t="n">
        <v>0</v>
      </c>
      <c r="X13239" s="21" t="n">
        <v>0</v>
      </c>
      <c r="Y13239" s="21" t="n">
        <v>0</v>
      </c>
      <c r="Z13239" s="19" t="n"/>
    </row>
    <row r="13240">
      <c r="D13240" s="21" t="n">
        <v>0</v>
      </c>
      <c r="E13240" s="21" t="n">
        <v>0</v>
      </c>
      <c r="F13240" s="21">
        <f>-$B$12189</f>
        <v/>
      </c>
      <c r="G13240" s="21">
        <f>-$B$12190</f>
        <v/>
      </c>
      <c r="H13240" s="21">
        <f>2*$B$12189+$D$13226</f>
        <v/>
      </c>
      <c r="I13240" s="21">
        <f>0</f>
        <v/>
      </c>
      <c r="J13240" s="21">
        <f>-$B$12189</f>
        <v/>
      </c>
      <c r="K13240" s="21">
        <f>$B$12190</f>
        <v/>
      </c>
      <c r="L13240" s="21" t="n">
        <v>0</v>
      </c>
      <c r="M13240" s="21" t="n">
        <v>0</v>
      </c>
      <c r="N13240" s="21" t="n">
        <v>0</v>
      </c>
      <c r="O13240" s="21" t="n">
        <v>0</v>
      </c>
      <c r="P13240" s="21" t="n">
        <v>0</v>
      </c>
      <c r="Q13240" s="21" t="n">
        <v>0</v>
      </c>
      <c r="R13240" s="21" t="n">
        <v>0</v>
      </c>
      <c r="S13240" s="21" t="n">
        <v>0</v>
      </c>
      <c r="T13240" s="21" t="n">
        <v>0</v>
      </c>
      <c r="U13240" s="21" t="n">
        <v>0</v>
      </c>
      <c r="V13240" s="21" t="n">
        <v>0</v>
      </c>
      <c r="W13240" s="21" t="n">
        <v>0</v>
      </c>
      <c r="X13240" s="21" t="n">
        <v>0</v>
      </c>
      <c r="Y13240" s="21" t="n">
        <v>0</v>
      </c>
      <c r="Z13240" s="19" t="n"/>
    </row>
    <row r="13241">
      <c r="D13241" s="21" t="n">
        <v>0</v>
      </c>
      <c r="E13241" s="21" t="n">
        <v>0</v>
      </c>
      <c r="F13241" s="21">
        <f>$B$12190</f>
        <v/>
      </c>
      <c r="G13241" s="21">
        <f>$B$12192</f>
        <v/>
      </c>
      <c r="H13241" s="21">
        <f>0</f>
        <v/>
      </c>
      <c r="I13241" s="21">
        <f>2*$B$12191</f>
        <v/>
      </c>
      <c r="J13241" s="21">
        <f>-$B$12190</f>
        <v/>
      </c>
      <c r="K13241" s="21">
        <f>$B$12192</f>
        <v/>
      </c>
      <c r="L13241" s="21" t="n">
        <v>0</v>
      </c>
      <c r="M13241" s="21" t="n">
        <v>0</v>
      </c>
      <c r="N13241" s="21" t="n">
        <v>0</v>
      </c>
      <c r="O13241" s="21" t="n">
        <v>0</v>
      </c>
      <c r="P13241" s="21" t="n">
        <v>0</v>
      </c>
      <c r="Q13241" s="21" t="n">
        <v>0</v>
      </c>
      <c r="R13241" s="21" t="n">
        <v>0</v>
      </c>
      <c r="S13241" s="21" t="n">
        <v>0</v>
      </c>
      <c r="T13241" s="21" t="n">
        <v>0</v>
      </c>
      <c r="U13241" s="21" t="n">
        <v>0</v>
      </c>
      <c r="V13241" s="21" t="n">
        <v>0</v>
      </c>
      <c r="W13241" s="21" t="n">
        <v>0</v>
      </c>
      <c r="X13241" s="21" t="n">
        <v>0</v>
      </c>
      <c r="Y13241" s="21" t="n">
        <v>0</v>
      </c>
      <c r="Z13241" s="19" t="n"/>
    </row>
    <row r="13242">
      <c r="D13242" s="21" t="n">
        <v>0</v>
      </c>
      <c r="E13242" s="21" t="n">
        <v>0</v>
      </c>
      <c r="F13242" s="21" t="n">
        <v>0</v>
      </c>
      <c r="G13242" s="21" t="n">
        <v>0</v>
      </c>
      <c r="H13242" s="21">
        <f>-$B$12189</f>
        <v/>
      </c>
      <c r="I13242" s="21">
        <f>-$B$12190</f>
        <v/>
      </c>
      <c r="J13242" s="21">
        <f>2*$B$12189+$D$13227</f>
        <v/>
      </c>
      <c r="K13242" s="21">
        <f>0</f>
        <v/>
      </c>
      <c r="L13242" s="21">
        <f>-$B$12189</f>
        <v/>
      </c>
      <c r="M13242" s="21">
        <f>$B$12190</f>
        <v/>
      </c>
      <c r="N13242" s="21" t="n">
        <v>0</v>
      </c>
      <c r="O13242" s="21" t="n">
        <v>0</v>
      </c>
      <c r="P13242" s="21" t="n">
        <v>0</v>
      </c>
      <c r="Q13242" s="21" t="n">
        <v>0</v>
      </c>
      <c r="R13242" s="21" t="n">
        <v>0</v>
      </c>
      <c r="S13242" s="21" t="n">
        <v>0</v>
      </c>
      <c r="T13242" s="21" t="n">
        <v>0</v>
      </c>
      <c r="U13242" s="21" t="n">
        <v>0</v>
      </c>
      <c r="V13242" s="21" t="n">
        <v>0</v>
      </c>
      <c r="W13242" s="21" t="n">
        <v>0</v>
      </c>
      <c r="X13242" s="21" t="n">
        <v>0</v>
      </c>
      <c r="Y13242" s="21" t="n">
        <v>0</v>
      </c>
      <c r="Z13242" s="19" t="n"/>
    </row>
    <row r="13243">
      <c r="D13243" s="21" t="n">
        <v>0</v>
      </c>
      <c r="E13243" s="21" t="n">
        <v>0</v>
      </c>
      <c r="F13243" s="21" t="n">
        <v>0</v>
      </c>
      <c r="G13243" s="21" t="n">
        <v>0</v>
      </c>
      <c r="H13243" s="21">
        <f>$B$12190</f>
        <v/>
      </c>
      <c r="I13243" s="21">
        <f>$B$12192</f>
        <v/>
      </c>
      <c r="J13243" s="21">
        <f>0</f>
        <v/>
      </c>
      <c r="K13243" s="21">
        <f>2*$B$12191</f>
        <v/>
      </c>
      <c r="L13243" s="21">
        <f>-$B$12190</f>
        <v/>
      </c>
      <c r="M13243" s="21">
        <f>$B$12192</f>
        <v/>
      </c>
      <c r="N13243" s="21" t="n">
        <v>0</v>
      </c>
      <c r="O13243" s="21" t="n">
        <v>0</v>
      </c>
      <c r="P13243" s="21" t="n">
        <v>0</v>
      </c>
      <c r="Q13243" s="21" t="n">
        <v>0</v>
      </c>
      <c r="R13243" s="21" t="n">
        <v>0</v>
      </c>
      <c r="S13243" s="21" t="n">
        <v>0</v>
      </c>
      <c r="T13243" s="21" t="n">
        <v>0</v>
      </c>
      <c r="U13243" s="21" t="n">
        <v>0</v>
      </c>
      <c r="V13243" s="21" t="n">
        <v>0</v>
      </c>
      <c r="W13243" s="21" t="n">
        <v>0</v>
      </c>
      <c r="X13243" s="21" t="n">
        <v>0</v>
      </c>
      <c r="Y13243" s="21" t="n">
        <v>0</v>
      </c>
      <c r="Z13243" s="19" t="n"/>
    </row>
    <row r="13244">
      <c r="D13244" s="21" t="n">
        <v>0</v>
      </c>
      <c r="E13244" s="21" t="n">
        <v>0</v>
      </c>
      <c r="F13244" s="21" t="n">
        <v>0</v>
      </c>
      <c r="G13244" s="21" t="n">
        <v>0</v>
      </c>
      <c r="H13244" s="21" t="n">
        <v>0</v>
      </c>
      <c r="I13244" s="21" t="n">
        <v>0</v>
      </c>
      <c r="J13244" s="21">
        <f>-$B$12189</f>
        <v/>
      </c>
      <c r="K13244" s="21">
        <f>-$B$12190</f>
        <v/>
      </c>
      <c r="L13244" s="21">
        <f>2*$B$12189+$D$13228</f>
        <v/>
      </c>
      <c r="M13244" s="21">
        <f>0</f>
        <v/>
      </c>
      <c r="N13244" s="21">
        <f>-$B$12189</f>
        <v/>
      </c>
      <c r="O13244" s="21">
        <f>$B$12190</f>
        <v/>
      </c>
      <c r="P13244" s="21" t="n">
        <v>0</v>
      </c>
      <c r="Q13244" s="21" t="n">
        <v>0</v>
      </c>
      <c r="R13244" s="21" t="n">
        <v>0</v>
      </c>
      <c r="S13244" s="21" t="n">
        <v>0</v>
      </c>
      <c r="T13244" s="21" t="n">
        <v>0</v>
      </c>
      <c r="U13244" s="21" t="n">
        <v>0</v>
      </c>
      <c r="V13244" s="21" t="n">
        <v>0</v>
      </c>
      <c r="W13244" s="21" t="n">
        <v>0</v>
      </c>
      <c r="X13244" s="21" t="n">
        <v>0</v>
      </c>
      <c r="Y13244" s="21" t="n">
        <v>0</v>
      </c>
      <c r="Z13244" s="19" t="n"/>
    </row>
    <row r="13245">
      <c r="D13245" s="21" t="n">
        <v>0</v>
      </c>
      <c r="E13245" s="21" t="n">
        <v>0</v>
      </c>
      <c r="F13245" s="21" t="n">
        <v>0</v>
      </c>
      <c r="G13245" s="21" t="n">
        <v>0</v>
      </c>
      <c r="H13245" s="21" t="n">
        <v>0</v>
      </c>
      <c r="I13245" s="21" t="n">
        <v>0</v>
      </c>
      <c r="J13245" s="21">
        <f>$B$12190</f>
        <v/>
      </c>
      <c r="K13245" s="21">
        <f>$B$12192</f>
        <v/>
      </c>
      <c r="L13245" s="21">
        <f>0</f>
        <v/>
      </c>
      <c r="M13245" s="21">
        <f>2*$B$12191</f>
        <v/>
      </c>
      <c r="N13245" s="21">
        <f>-$B$12190</f>
        <v/>
      </c>
      <c r="O13245" s="21">
        <f>$B$12192</f>
        <v/>
      </c>
      <c r="P13245" s="21" t="n">
        <v>0</v>
      </c>
      <c r="Q13245" s="21" t="n">
        <v>0</v>
      </c>
      <c r="R13245" s="21" t="n">
        <v>0</v>
      </c>
      <c r="S13245" s="21" t="n">
        <v>0</v>
      </c>
      <c r="T13245" s="21" t="n">
        <v>0</v>
      </c>
      <c r="U13245" s="21" t="n">
        <v>0</v>
      </c>
      <c r="V13245" s="21" t="n">
        <v>0</v>
      </c>
      <c r="W13245" s="21" t="n">
        <v>0</v>
      </c>
      <c r="X13245" s="21" t="n">
        <v>0</v>
      </c>
      <c r="Y13245" s="21" t="n">
        <v>0</v>
      </c>
      <c r="Z13245" s="19" t="n"/>
    </row>
    <row r="13246">
      <c r="D13246" s="21" t="n">
        <v>0</v>
      </c>
      <c r="E13246" s="21" t="n">
        <v>0</v>
      </c>
      <c r="F13246" s="21" t="n">
        <v>0</v>
      </c>
      <c r="G13246" s="21" t="n">
        <v>0</v>
      </c>
      <c r="H13246" s="21" t="n">
        <v>0</v>
      </c>
      <c r="I13246" s="21" t="n">
        <v>0</v>
      </c>
      <c r="J13246" s="21" t="n">
        <v>0</v>
      </c>
      <c r="K13246" s="21" t="n">
        <v>0</v>
      </c>
      <c r="L13246" s="21">
        <f>-$B$12189</f>
        <v/>
      </c>
      <c r="M13246" s="21">
        <f>-$B$12190</f>
        <v/>
      </c>
      <c r="N13246" s="21">
        <f>2*$B$12189+$D$13229</f>
        <v/>
      </c>
      <c r="O13246" s="21">
        <f>0</f>
        <v/>
      </c>
      <c r="P13246" s="21">
        <f>-$B$12189</f>
        <v/>
      </c>
      <c r="Q13246" s="21">
        <f>$B$12190</f>
        <v/>
      </c>
      <c r="R13246" s="21" t="n">
        <v>0</v>
      </c>
      <c r="S13246" s="21" t="n">
        <v>0</v>
      </c>
      <c r="T13246" s="21" t="n">
        <v>0</v>
      </c>
      <c r="U13246" s="21" t="n">
        <v>0</v>
      </c>
      <c r="V13246" s="21" t="n">
        <v>0</v>
      </c>
      <c r="W13246" s="21" t="n">
        <v>0</v>
      </c>
      <c r="X13246" s="21" t="n">
        <v>0</v>
      </c>
      <c r="Y13246" s="21" t="n">
        <v>0</v>
      </c>
      <c r="Z13246" s="19" t="n"/>
    </row>
    <row r="13247">
      <c r="D13247" s="21" t="n">
        <v>0</v>
      </c>
      <c r="E13247" s="21" t="n">
        <v>0</v>
      </c>
      <c r="F13247" s="21" t="n">
        <v>0</v>
      </c>
      <c r="G13247" s="21" t="n">
        <v>0</v>
      </c>
      <c r="H13247" s="21" t="n">
        <v>0</v>
      </c>
      <c r="I13247" s="21" t="n">
        <v>0</v>
      </c>
      <c r="J13247" s="21" t="n">
        <v>0</v>
      </c>
      <c r="K13247" s="21" t="n">
        <v>0</v>
      </c>
      <c r="L13247" s="21">
        <f>$B$12190</f>
        <v/>
      </c>
      <c r="M13247" s="21">
        <f>$B$12192</f>
        <v/>
      </c>
      <c r="N13247" s="21">
        <f>0</f>
        <v/>
      </c>
      <c r="O13247" s="21">
        <f>2*$B$12191</f>
        <v/>
      </c>
      <c r="P13247" s="21">
        <f>-$B$12190</f>
        <v/>
      </c>
      <c r="Q13247" s="21">
        <f>$B$12192</f>
        <v/>
      </c>
      <c r="R13247" s="21" t="n">
        <v>0</v>
      </c>
      <c r="S13247" s="21" t="n">
        <v>0</v>
      </c>
      <c r="T13247" s="21" t="n">
        <v>0</v>
      </c>
      <c r="U13247" s="21" t="n">
        <v>0</v>
      </c>
      <c r="V13247" s="21" t="n">
        <v>0</v>
      </c>
      <c r="W13247" s="21" t="n">
        <v>0</v>
      </c>
      <c r="X13247" s="21" t="n">
        <v>0</v>
      </c>
      <c r="Y13247" s="21" t="n">
        <v>0</v>
      </c>
      <c r="Z13247" s="19" t="n"/>
    </row>
    <row r="13248">
      <c r="D13248" s="21" t="n">
        <v>0</v>
      </c>
      <c r="E13248" s="21" t="n">
        <v>0</v>
      </c>
      <c r="F13248" s="21" t="n">
        <v>0</v>
      </c>
      <c r="G13248" s="21" t="n">
        <v>0</v>
      </c>
      <c r="H13248" s="21" t="n">
        <v>0</v>
      </c>
      <c r="I13248" s="21" t="n">
        <v>0</v>
      </c>
      <c r="J13248" s="21" t="n">
        <v>0</v>
      </c>
      <c r="K13248" s="21" t="n">
        <v>0</v>
      </c>
      <c r="L13248" s="21" t="n">
        <v>0</v>
      </c>
      <c r="M13248" s="21" t="n">
        <v>0</v>
      </c>
      <c r="N13248" s="21">
        <f>-$B$12189</f>
        <v/>
      </c>
      <c r="O13248" s="21">
        <f>-$B$12190</f>
        <v/>
      </c>
      <c r="P13248" s="21">
        <f>2*$B$12189+$D$13230</f>
        <v/>
      </c>
      <c r="Q13248" s="21">
        <f>0</f>
        <v/>
      </c>
      <c r="R13248" s="21">
        <f>-$B$12189</f>
        <v/>
      </c>
      <c r="S13248" s="21">
        <f>$B$12190</f>
        <v/>
      </c>
      <c r="T13248" s="21" t="n">
        <v>0</v>
      </c>
      <c r="U13248" s="21" t="n">
        <v>0</v>
      </c>
      <c r="V13248" s="21" t="n">
        <v>0</v>
      </c>
      <c r="W13248" s="21" t="n">
        <v>0</v>
      </c>
      <c r="X13248" s="21" t="n">
        <v>0</v>
      </c>
      <c r="Y13248" s="21" t="n">
        <v>0</v>
      </c>
      <c r="Z13248" s="19" t="n"/>
    </row>
    <row r="13249">
      <c r="D13249" s="21" t="n">
        <v>0</v>
      </c>
      <c r="E13249" s="21" t="n">
        <v>0</v>
      </c>
      <c r="F13249" s="21" t="n">
        <v>0</v>
      </c>
      <c r="G13249" s="21" t="n">
        <v>0</v>
      </c>
      <c r="H13249" s="21" t="n">
        <v>0</v>
      </c>
      <c r="I13249" s="21" t="n">
        <v>0</v>
      </c>
      <c r="J13249" s="21" t="n">
        <v>0</v>
      </c>
      <c r="K13249" s="21" t="n">
        <v>0</v>
      </c>
      <c r="L13249" s="21" t="n">
        <v>0</v>
      </c>
      <c r="M13249" s="21" t="n">
        <v>0</v>
      </c>
      <c r="N13249" s="21">
        <f>$B$12190</f>
        <v/>
      </c>
      <c r="O13249" s="21">
        <f>$B$12192</f>
        <v/>
      </c>
      <c r="P13249" s="21">
        <f>0</f>
        <v/>
      </c>
      <c r="Q13249" s="21">
        <f>2*$B$12191</f>
        <v/>
      </c>
      <c r="R13249" s="21">
        <f>-$B$12190</f>
        <v/>
      </c>
      <c r="S13249" s="21">
        <f>$B$12192</f>
        <v/>
      </c>
      <c r="T13249" s="21" t="n">
        <v>0</v>
      </c>
      <c r="U13249" s="21" t="n">
        <v>0</v>
      </c>
      <c r="V13249" s="21" t="n">
        <v>0</v>
      </c>
      <c r="W13249" s="21" t="n">
        <v>0</v>
      </c>
      <c r="X13249" s="21" t="n">
        <v>0</v>
      </c>
      <c r="Y13249" s="21" t="n">
        <v>0</v>
      </c>
      <c r="Z13249" s="19" t="n"/>
    </row>
    <row r="13250">
      <c r="D13250" s="21" t="n">
        <v>0</v>
      </c>
      <c r="E13250" s="21" t="n">
        <v>0</v>
      </c>
      <c r="F13250" s="21" t="n">
        <v>0</v>
      </c>
      <c r="G13250" s="21" t="n">
        <v>0</v>
      </c>
      <c r="H13250" s="21" t="n">
        <v>0</v>
      </c>
      <c r="I13250" s="21" t="n">
        <v>0</v>
      </c>
      <c r="J13250" s="21" t="n">
        <v>0</v>
      </c>
      <c r="K13250" s="21" t="n">
        <v>0</v>
      </c>
      <c r="L13250" s="21" t="n">
        <v>0</v>
      </c>
      <c r="M13250" s="21" t="n">
        <v>0</v>
      </c>
      <c r="N13250" s="21" t="n">
        <v>0</v>
      </c>
      <c r="O13250" s="21" t="n">
        <v>0</v>
      </c>
      <c r="P13250" s="21">
        <f>-$B$12189</f>
        <v/>
      </c>
      <c r="Q13250" s="21">
        <f>-$B$12190</f>
        <v/>
      </c>
      <c r="R13250" s="21">
        <f>2*$B$12189+$D$13231</f>
        <v/>
      </c>
      <c r="S13250" s="21">
        <f>0</f>
        <v/>
      </c>
      <c r="T13250" s="21">
        <f>-$B$12189</f>
        <v/>
      </c>
      <c r="U13250" s="21">
        <f>$B$12190</f>
        <v/>
      </c>
      <c r="V13250" s="21" t="n">
        <v>0</v>
      </c>
      <c r="W13250" s="21" t="n">
        <v>0</v>
      </c>
      <c r="X13250" s="21" t="n">
        <v>0</v>
      </c>
      <c r="Y13250" s="21" t="n">
        <v>0</v>
      </c>
      <c r="Z13250" s="19" t="n"/>
    </row>
    <row r="13251">
      <c r="D13251" s="21" t="n">
        <v>0</v>
      </c>
      <c r="E13251" s="21" t="n">
        <v>0</v>
      </c>
      <c r="F13251" s="21" t="n">
        <v>0</v>
      </c>
      <c r="G13251" s="21" t="n">
        <v>0</v>
      </c>
      <c r="H13251" s="21" t="n">
        <v>0</v>
      </c>
      <c r="I13251" s="21" t="n">
        <v>0</v>
      </c>
      <c r="J13251" s="21" t="n">
        <v>0</v>
      </c>
      <c r="K13251" s="21" t="n">
        <v>0</v>
      </c>
      <c r="L13251" s="21" t="n">
        <v>0</v>
      </c>
      <c r="M13251" s="21" t="n">
        <v>0</v>
      </c>
      <c r="N13251" s="21" t="n">
        <v>0</v>
      </c>
      <c r="O13251" s="21" t="n">
        <v>0</v>
      </c>
      <c r="P13251" s="21">
        <f>$B$12190</f>
        <v/>
      </c>
      <c r="Q13251" s="21">
        <f>$B$12192</f>
        <v/>
      </c>
      <c r="R13251" s="21">
        <f>0</f>
        <v/>
      </c>
      <c r="S13251" s="21">
        <f>2*$B$12191</f>
        <v/>
      </c>
      <c r="T13251" s="21">
        <f>-$B$12190</f>
        <v/>
      </c>
      <c r="U13251" s="21">
        <f>$B$12192</f>
        <v/>
      </c>
      <c r="V13251" s="21" t="n">
        <v>0</v>
      </c>
      <c r="W13251" s="21" t="n">
        <v>0</v>
      </c>
      <c r="X13251" s="21" t="n">
        <v>0</v>
      </c>
      <c r="Y13251" s="21" t="n">
        <v>0</v>
      </c>
      <c r="Z13251" s="19" t="n"/>
    </row>
    <row r="13252">
      <c r="D13252" s="21" t="n">
        <v>0</v>
      </c>
      <c r="E13252" s="21" t="n">
        <v>0</v>
      </c>
      <c r="F13252" s="21" t="n">
        <v>0</v>
      </c>
      <c r="G13252" s="21" t="n">
        <v>0</v>
      </c>
      <c r="H13252" s="21" t="n">
        <v>0</v>
      </c>
      <c r="I13252" s="21" t="n">
        <v>0</v>
      </c>
      <c r="J13252" s="21" t="n">
        <v>0</v>
      </c>
      <c r="K13252" s="21" t="n">
        <v>0</v>
      </c>
      <c r="L13252" s="21" t="n">
        <v>0</v>
      </c>
      <c r="M13252" s="21" t="n">
        <v>0</v>
      </c>
      <c r="N13252" s="21" t="n">
        <v>0</v>
      </c>
      <c r="O13252" s="21" t="n">
        <v>0</v>
      </c>
      <c r="P13252" s="21" t="n">
        <v>0</v>
      </c>
      <c r="Q13252" s="21" t="n">
        <v>0</v>
      </c>
      <c r="R13252" s="21">
        <f>-$B$12189</f>
        <v/>
      </c>
      <c r="S13252" s="21">
        <f>-$B$12190</f>
        <v/>
      </c>
      <c r="T13252" s="21">
        <f>2*$B$12189+$D$13232</f>
        <v/>
      </c>
      <c r="U13252" s="21">
        <f>0</f>
        <v/>
      </c>
      <c r="V13252" s="21">
        <f>-$B$12189</f>
        <v/>
      </c>
      <c r="W13252" s="21">
        <f>$B$12190</f>
        <v/>
      </c>
      <c r="X13252" s="21" t="n">
        <v>0</v>
      </c>
      <c r="Y13252" s="21" t="n">
        <v>0</v>
      </c>
      <c r="Z13252" s="19" t="n"/>
    </row>
    <row r="13253">
      <c r="D13253" s="21" t="n">
        <v>0</v>
      </c>
      <c r="E13253" s="21" t="n">
        <v>0</v>
      </c>
      <c r="F13253" s="21" t="n">
        <v>0</v>
      </c>
      <c r="G13253" s="21" t="n">
        <v>0</v>
      </c>
      <c r="H13253" s="21" t="n">
        <v>0</v>
      </c>
      <c r="I13253" s="21" t="n">
        <v>0</v>
      </c>
      <c r="J13253" s="21" t="n">
        <v>0</v>
      </c>
      <c r="K13253" s="21" t="n">
        <v>0</v>
      </c>
      <c r="L13253" s="21" t="n">
        <v>0</v>
      </c>
      <c r="M13253" s="21" t="n">
        <v>0</v>
      </c>
      <c r="N13253" s="21" t="n">
        <v>0</v>
      </c>
      <c r="O13253" s="21" t="n">
        <v>0</v>
      </c>
      <c r="P13253" s="21" t="n">
        <v>0</v>
      </c>
      <c r="Q13253" s="21" t="n">
        <v>0</v>
      </c>
      <c r="R13253" s="21">
        <f>$B$12190</f>
        <v/>
      </c>
      <c r="S13253" s="21">
        <f>$B$12192</f>
        <v/>
      </c>
      <c r="T13253" s="21">
        <f>0</f>
        <v/>
      </c>
      <c r="U13253" s="21">
        <f>2*$B$12191</f>
        <v/>
      </c>
      <c r="V13253" s="21">
        <f>-$B$12190</f>
        <v/>
      </c>
      <c r="W13253" s="21">
        <f>$B$12192</f>
        <v/>
      </c>
      <c r="X13253" s="21" t="n">
        <v>0</v>
      </c>
      <c r="Y13253" s="21" t="n">
        <v>0</v>
      </c>
      <c r="Z13253" s="19" t="n"/>
    </row>
    <row r="13254">
      <c r="D13254" s="21" t="n">
        <v>0</v>
      </c>
      <c r="E13254" s="21" t="n">
        <v>0</v>
      </c>
      <c r="F13254" s="21" t="n">
        <v>0</v>
      </c>
      <c r="G13254" s="21" t="n">
        <v>0</v>
      </c>
      <c r="H13254" s="21" t="n">
        <v>0</v>
      </c>
      <c r="I13254" s="21" t="n">
        <v>0</v>
      </c>
      <c r="J13254" s="21" t="n">
        <v>0</v>
      </c>
      <c r="K13254" s="21" t="n">
        <v>0</v>
      </c>
      <c r="L13254" s="21" t="n">
        <v>0</v>
      </c>
      <c r="M13254" s="21" t="n">
        <v>0</v>
      </c>
      <c r="N13254" s="21" t="n">
        <v>0</v>
      </c>
      <c r="O13254" s="21" t="n">
        <v>0</v>
      </c>
      <c r="P13254" s="21" t="n">
        <v>0</v>
      </c>
      <c r="Q13254" s="21" t="n">
        <v>0</v>
      </c>
      <c r="R13254" s="21" t="n">
        <v>0</v>
      </c>
      <c r="S13254" s="21" t="n">
        <v>0</v>
      </c>
      <c r="T13254" s="21">
        <f>-$B$12189</f>
        <v/>
      </c>
      <c r="U13254" s="21">
        <f>-$B$12190</f>
        <v/>
      </c>
      <c r="V13254" s="21">
        <f>2*$B$12189+$D$13233</f>
        <v/>
      </c>
      <c r="W13254" s="21">
        <f>0</f>
        <v/>
      </c>
      <c r="X13254" s="21">
        <f>-$B$12189</f>
        <v/>
      </c>
      <c r="Y13254" s="21">
        <f>$B$12190</f>
        <v/>
      </c>
      <c r="Z13254" s="19" t="n"/>
    </row>
    <row r="13255">
      <c r="D13255" s="21" t="n">
        <v>0</v>
      </c>
      <c r="E13255" s="21" t="n">
        <v>0</v>
      </c>
      <c r="F13255" s="21" t="n">
        <v>0</v>
      </c>
      <c r="G13255" s="21" t="n">
        <v>0</v>
      </c>
      <c r="H13255" s="21" t="n">
        <v>0</v>
      </c>
      <c r="I13255" s="21" t="n">
        <v>0</v>
      </c>
      <c r="J13255" s="21" t="n">
        <v>0</v>
      </c>
      <c r="K13255" s="21" t="n">
        <v>0</v>
      </c>
      <c r="L13255" s="21" t="n">
        <v>0</v>
      </c>
      <c r="M13255" s="21" t="n">
        <v>0</v>
      </c>
      <c r="N13255" s="21" t="n">
        <v>0</v>
      </c>
      <c r="O13255" s="21" t="n">
        <v>0</v>
      </c>
      <c r="P13255" s="21" t="n">
        <v>0</v>
      </c>
      <c r="Q13255" s="21" t="n">
        <v>0</v>
      </c>
      <c r="R13255" s="21" t="n">
        <v>0</v>
      </c>
      <c r="S13255" s="21" t="n">
        <v>0</v>
      </c>
      <c r="T13255" s="21">
        <f>$B$12190</f>
        <v/>
      </c>
      <c r="U13255" s="21">
        <f>$B$12192</f>
        <v/>
      </c>
      <c r="V13255" s="21">
        <f>0</f>
        <v/>
      </c>
      <c r="W13255" s="21">
        <f>2*$B$12191</f>
        <v/>
      </c>
      <c r="X13255" s="21">
        <f>-$B$12190</f>
        <v/>
      </c>
      <c r="Y13255" s="21">
        <f>$B$12192</f>
        <v/>
      </c>
      <c r="Z13255" s="19" t="n"/>
    </row>
    <row r="13256">
      <c r="D13256" s="21" t="n">
        <v>0</v>
      </c>
      <c r="E13256" s="21" t="n">
        <v>0</v>
      </c>
      <c r="F13256" s="21" t="n">
        <v>0</v>
      </c>
      <c r="G13256" s="21" t="n">
        <v>0</v>
      </c>
      <c r="H13256" s="21" t="n">
        <v>0</v>
      </c>
      <c r="I13256" s="21" t="n">
        <v>0</v>
      </c>
      <c r="J13256" s="21" t="n">
        <v>0</v>
      </c>
      <c r="K13256" s="21" t="n">
        <v>0</v>
      </c>
      <c r="L13256" s="21" t="n">
        <v>0</v>
      </c>
      <c r="M13256" s="21" t="n">
        <v>0</v>
      </c>
      <c r="N13256" s="21" t="n">
        <v>0</v>
      </c>
      <c r="O13256" s="21" t="n">
        <v>0</v>
      </c>
      <c r="P13256" s="21" t="n">
        <v>0</v>
      </c>
      <c r="Q13256" s="21" t="n">
        <v>0</v>
      </c>
      <c r="R13256" s="21" t="n">
        <v>0</v>
      </c>
      <c r="S13256" s="21" t="n">
        <v>0</v>
      </c>
      <c r="T13256" s="21" t="n">
        <v>0</v>
      </c>
      <c r="U13256" s="21" t="n">
        <v>0</v>
      </c>
      <c r="V13256" s="21">
        <f>-$B$12189</f>
        <v/>
      </c>
      <c r="W13256" s="21">
        <f>-$B$12190</f>
        <v/>
      </c>
      <c r="X13256" s="21">
        <f>$B$12189+$D$13234</f>
        <v/>
      </c>
      <c r="Y13256" s="21">
        <f>-$B$12190</f>
        <v/>
      </c>
      <c r="Z13256" s="19" t="n"/>
    </row>
    <row r="13257">
      <c r="D13257" s="21" t="n">
        <v>0</v>
      </c>
      <c r="E13257" s="21" t="n">
        <v>0</v>
      </c>
      <c r="F13257" s="21" t="n">
        <v>0</v>
      </c>
      <c r="G13257" s="21" t="n">
        <v>0</v>
      </c>
      <c r="H13257" s="21" t="n">
        <v>0</v>
      </c>
      <c r="I13257" s="21" t="n">
        <v>0</v>
      </c>
      <c r="J13257" s="21" t="n">
        <v>0</v>
      </c>
      <c r="K13257" s="21" t="n">
        <v>0</v>
      </c>
      <c r="L13257" s="21" t="n">
        <v>0</v>
      </c>
      <c r="M13257" s="21" t="n">
        <v>0</v>
      </c>
      <c r="N13257" s="21" t="n">
        <v>0</v>
      </c>
      <c r="O13257" s="21" t="n">
        <v>0</v>
      </c>
      <c r="P13257" s="21" t="n">
        <v>0</v>
      </c>
      <c r="Q13257" s="21" t="n">
        <v>0</v>
      </c>
      <c r="R13257" s="21" t="n">
        <v>0</v>
      </c>
      <c r="S13257" s="21" t="n">
        <v>0</v>
      </c>
      <c r="T13257" s="21" t="n">
        <v>0</v>
      </c>
      <c r="U13257" s="21" t="n">
        <v>0</v>
      </c>
      <c r="V13257" s="21">
        <f>$B$12190</f>
        <v/>
      </c>
      <c r="W13257" s="21">
        <f>$B$12192</f>
        <v/>
      </c>
      <c r="X13257" s="21">
        <f>-$B$12190</f>
        <v/>
      </c>
      <c r="Y13257" s="21">
        <f>$B$12191</f>
        <v/>
      </c>
      <c r="Z13257" s="19" t="n"/>
    </row>
    <row r="13259">
      <c r="A13259" s="8" t="inlineStr">
        <is>
          <t>gen 29</t>
        </is>
      </c>
    </row>
    <row r="13260">
      <c r="D13260" s="19">
        <f>IF(ABS(IF(ABS($E$13224)&gt;0.000000001,$E$13224,0.000000001))=0,0,IF($E$12204&lt;=$B$12198,0,IF(ABS(IF(ABS($E$13224)&gt;0.000000001,$E$13224,0.000000001))&gt;=8*$B$12200,$H$12204,0.5*$H$12204*(ABS(IF(ABS($E$13224)&gt;0.000000001,$E$13224,0.000000001))/$B$12200)^(1/3)))/ABS(IF(ABS($E$13224)&gt;0.000000001,$E$13224,0.000000001))*$I$12204)</f>
        <v/>
      </c>
      <c r="E13260" s="19">
        <f>0.5*$E$13224+0.5*$Z$13272</f>
        <v/>
      </c>
      <c r="F13260" s="19">
        <f>$Z$13273</f>
        <v/>
      </c>
    </row>
    <row r="13261">
      <c r="D13261" s="19">
        <f>IF(ABS(IF(ABS($E$13225)&gt;0.000000001,$E$13225,0.000000001))=0,0,IF($E$12205&lt;=$B$12198,0,IF(ABS(IF(ABS($E$13225)&gt;0.000000001,$E$13225,0.000000001))&gt;=8*$B$12200,$H$12205,0.5*$H$12205*(ABS(IF(ABS($E$13225)&gt;0.000000001,$E$13225,0.000000001))/$B$12200)^(1/3)))/ABS(IF(ABS($E$13225)&gt;0.000000001,$E$13225,0.000000001))*$I$12205)</f>
        <v/>
      </c>
      <c r="E13261" s="19">
        <f>0.5*$E$13225+0.5*$Z$13274</f>
        <v/>
      </c>
      <c r="F13261" s="19">
        <f>$Z$13275</f>
        <v/>
      </c>
    </row>
    <row r="13262">
      <c r="D13262" s="19">
        <f>IF(ABS(IF(ABS($E$13226)&gt;0.000000001,$E$13226,0.000000001))=0,0,IF($E$12206&lt;=$B$12198,0,IF(ABS(IF(ABS($E$13226)&gt;0.000000001,$E$13226,0.000000001))&gt;=8*$B$12200,$H$12206,0.5*$H$12206*(ABS(IF(ABS($E$13226)&gt;0.000000001,$E$13226,0.000000001))/$B$12200)^(1/3)))/ABS(IF(ABS($E$13226)&gt;0.000000001,$E$13226,0.000000001))*$I$12206)</f>
        <v/>
      </c>
      <c r="E13262" s="19">
        <f>0.5*$E$13226+0.5*$Z$13276</f>
        <v/>
      </c>
      <c r="F13262" s="19">
        <f>$Z$13277</f>
        <v/>
      </c>
    </row>
    <row r="13263">
      <c r="D13263" s="19">
        <f>IF(ABS(IF(ABS($E$13227)&gt;0.000000001,$E$13227,0.000000001))=0,0,IF($E$12207&lt;=$B$12198,0,IF(ABS(IF(ABS($E$13227)&gt;0.000000001,$E$13227,0.000000001))&gt;=8*$B$12200,$H$12207,0.5*$H$12207*(ABS(IF(ABS($E$13227)&gt;0.000000001,$E$13227,0.000000001))/$B$12200)^(1/3)))/ABS(IF(ABS($E$13227)&gt;0.000000001,$E$13227,0.000000001))*$I$12207)</f>
        <v/>
      </c>
      <c r="E13263" s="19">
        <f>0.5*$E$13227+0.5*$Z$13278</f>
        <v/>
      </c>
      <c r="F13263" s="19">
        <f>$Z$13279</f>
        <v/>
      </c>
    </row>
    <row r="13264">
      <c r="D13264" s="19">
        <f>IF(ABS(IF(ABS($E$13228)&gt;0.000000001,$E$13228,0.000000001))=0,0,IF($E$12208&lt;=$B$12198,0,IF(ABS(IF(ABS($E$13228)&gt;0.000000001,$E$13228,0.000000001))&gt;=8*$B$12200,$H$12208,0.5*$H$12208*(ABS(IF(ABS($E$13228)&gt;0.000000001,$E$13228,0.000000001))/$B$12200)^(1/3)))/ABS(IF(ABS($E$13228)&gt;0.000000001,$E$13228,0.000000001))*$I$12208)</f>
        <v/>
      </c>
      <c r="E13264" s="19">
        <f>0.5*$E$13228+0.5*$Z$13280</f>
        <v/>
      </c>
      <c r="F13264" s="19">
        <f>$Z$13281</f>
        <v/>
      </c>
    </row>
    <row r="13265">
      <c r="D13265" s="19">
        <f>IF(ABS(IF(ABS($E$13229)&gt;0.000000001,$E$13229,0.000000001))=0,0,IF($E$12209&lt;=$B$12198,0,IF(ABS(IF(ABS($E$13229)&gt;0.000000001,$E$13229,0.000000001))&gt;=8*$B$12200,$H$12209,0.5*$H$12209*(ABS(IF(ABS($E$13229)&gt;0.000000001,$E$13229,0.000000001))/$B$12200)^(1/3)))/ABS(IF(ABS($E$13229)&gt;0.000000001,$E$13229,0.000000001))*$I$12209)</f>
        <v/>
      </c>
      <c r="E13265" s="19">
        <f>0.5*$E$13229+0.5*$Z$13282</f>
        <v/>
      </c>
      <c r="F13265" s="19">
        <f>$Z$13283</f>
        <v/>
      </c>
    </row>
    <row r="13266">
      <c r="D13266" s="19">
        <f>IF(ABS(IF(ABS($E$13230)&gt;0.000000001,$E$13230,0.000000001))=0,0,IF($E$12210&lt;=$B$12198,0,IF(ABS(IF(ABS($E$13230)&gt;0.000000001,$E$13230,0.000000001))&gt;=8*$B$12200,$H$12210,0.5*$H$12210*(ABS(IF(ABS($E$13230)&gt;0.000000001,$E$13230,0.000000001))/$B$12200)^(1/3)))/ABS(IF(ABS($E$13230)&gt;0.000000001,$E$13230,0.000000001))*$I$12210)</f>
        <v/>
      </c>
      <c r="E13266" s="19">
        <f>0.5*$E$13230+0.5*$Z$13284</f>
        <v/>
      </c>
      <c r="F13266" s="19">
        <f>$Z$13285</f>
        <v/>
      </c>
    </row>
    <row r="13267">
      <c r="D13267" s="19">
        <f>IF(ABS(IF(ABS($E$13231)&gt;0.000000001,$E$13231,0.000000001))=0,0,IF($E$12211&lt;=$B$12198,0,IF(ABS(IF(ABS($E$13231)&gt;0.000000001,$E$13231,0.000000001))&gt;=8*$B$12200,$H$12211,0.5*$H$12211*(ABS(IF(ABS($E$13231)&gt;0.000000001,$E$13231,0.000000001))/$B$12200)^(1/3)))/ABS(IF(ABS($E$13231)&gt;0.000000001,$E$13231,0.000000001))*$I$12211)</f>
        <v/>
      </c>
      <c r="E13267" s="19">
        <f>0.5*$E$13231+0.5*$Z$13286</f>
        <v/>
      </c>
      <c r="F13267" s="19">
        <f>$Z$13287</f>
        <v/>
      </c>
    </row>
    <row r="13268">
      <c r="D13268" s="19">
        <f>IF(ABS(IF(ABS($E$13232)&gt;0.000000001,$E$13232,0.000000001))=0,0,IF($E$12212&lt;=$B$12198,0,IF(ABS(IF(ABS($E$13232)&gt;0.000000001,$E$13232,0.000000001))&gt;=8*$B$12200,$H$12212,0.5*$H$12212*(ABS(IF(ABS($E$13232)&gt;0.000000001,$E$13232,0.000000001))/$B$12200)^(1/3)))/ABS(IF(ABS($E$13232)&gt;0.000000001,$E$13232,0.000000001))*$I$12212)</f>
        <v/>
      </c>
      <c r="E13268" s="19">
        <f>0.5*$E$13232+0.5*$Z$13288</f>
        <v/>
      </c>
      <c r="F13268" s="19">
        <f>$Z$13289</f>
        <v/>
      </c>
    </row>
    <row r="13269">
      <c r="D13269" s="19">
        <f>IF(ABS(IF(ABS($E$13233)&gt;0.000000001,$E$13233,0.000000001))=0,0,IF($E$12213&lt;=$B$12198,0,IF(ABS(IF(ABS($E$13233)&gt;0.000000001,$E$13233,0.000000001))&gt;=8*$B$12200,$H$12213,0.5*$H$12213*(ABS(IF(ABS($E$13233)&gt;0.000000001,$E$13233,0.000000001))/$B$12200)^(1/3)))/ABS(IF(ABS($E$13233)&gt;0.000000001,$E$13233,0.000000001))*$I$12213)</f>
        <v/>
      </c>
      <c r="E13269" s="19">
        <f>0.5*$E$13233+0.5*$Z$13290</f>
        <v/>
      </c>
      <c r="F13269" s="19">
        <f>$Z$13291</f>
        <v/>
      </c>
    </row>
    <row r="13270">
      <c r="D13270" s="19">
        <f>IF(ABS(IF(ABS($E$13234)&gt;0.000000001,$E$13234,0.000000001))=0,0,IF($E$12214&lt;=$B$12198,0,IF(ABS(IF(ABS($E$13234)&gt;0.000000001,$E$13234,0.000000001))&gt;=8*$B$12200,$H$12214,0.5*$H$12214*(ABS(IF(ABS($E$13234)&gt;0.000000001,$E$13234,0.000000001))/$B$12200)^(1/3)))/ABS(IF(ABS($E$13234)&gt;0.000000001,$E$13234,0.000000001))*$I$12214)</f>
        <v/>
      </c>
      <c r="E13270" s="19">
        <f>0.5*$E$13234+0.5*$Z$13292</f>
        <v/>
      </c>
      <c r="F13270" s="19">
        <f>$Z$13293</f>
        <v/>
      </c>
    </row>
    <row r="13272">
      <c r="D13272" s="21">
        <f>$B$12189+$D$13260</f>
        <v/>
      </c>
      <c r="E13272" s="21">
        <f>$B$12190</f>
        <v/>
      </c>
      <c r="F13272" s="21">
        <f>-$B$12189</f>
        <v/>
      </c>
      <c r="G13272" s="21">
        <f>$B$12190</f>
        <v/>
      </c>
      <c r="H13272" s="21" t="n">
        <v>0</v>
      </c>
      <c r="I13272" s="21" t="n">
        <v>0</v>
      </c>
      <c r="J13272" s="21" t="n">
        <v>0</v>
      </c>
      <c r="K13272" s="21" t="n">
        <v>0</v>
      </c>
      <c r="L13272" s="21" t="n">
        <v>0</v>
      </c>
      <c r="M13272" s="21" t="n">
        <v>0</v>
      </c>
      <c r="N13272" s="21" t="n">
        <v>0</v>
      </c>
      <c r="O13272" s="21" t="n">
        <v>0</v>
      </c>
      <c r="P13272" s="21" t="n">
        <v>0</v>
      </c>
      <c r="Q13272" s="21" t="n">
        <v>0</v>
      </c>
      <c r="R13272" s="21" t="n">
        <v>0</v>
      </c>
      <c r="S13272" s="21" t="n">
        <v>0</v>
      </c>
      <c r="T13272" s="21" t="n">
        <v>0</v>
      </c>
      <c r="U13272" s="21" t="n">
        <v>0</v>
      </c>
      <c r="V13272" s="21" t="n">
        <v>0</v>
      </c>
      <c r="W13272" s="21" t="n">
        <v>0</v>
      </c>
      <c r="X13272" s="21" t="n">
        <v>0</v>
      </c>
      <c r="Y13272" s="21" t="n">
        <v>0</v>
      </c>
      <c r="Z13272" s="19">
        <f t="array" ref="Z13272:Z13293">MMULT(MINVERSE($D$13272:$Y$13293),$D$12216:$D$12237)</f>
        <v/>
      </c>
    </row>
    <row r="13273">
      <c r="D13273" s="21">
        <f>$B$12190</f>
        <v/>
      </c>
      <c r="E13273" s="21">
        <f>$B$12191</f>
        <v/>
      </c>
      <c r="F13273" s="21">
        <f>-$B$12190</f>
        <v/>
      </c>
      <c r="G13273" s="21">
        <f>$B$12192</f>
        <v/>
      </c>
      <c r="H13273" s="21" t="n">
        <v>0</v>
      </c>
      <c r="I13273" s="21" t="n">
        <v>0</v>
      </c>
      <c r="J13273" s="21" t="n">
        <v>0</v>
      </c>
      <c r="K13273" s="21" t="n">
        <v>0</v>
      </c>
      <c r="L13273" s="21" t="n">
        <v>0</v>
      </c>
      <c r="M13273" s="21" t="n">
        <v>0</v>
      </c>
      <c r="N13273" s="21" t="n">
        <v>0</v>
      </c>
      <c r="O13273" s="21" t="n">
        <v>0</v>
      </c>
      <c r="P13273" s="21" t="n">
        <v>0</v>
      </c>
      <c r="Q13273" s="21" t="n">
        <v>0</v>
      </c>
      <c r="R13273" s="21" t="n">
        <v>0</v>
      </c>
      <c r="S13273" s="21" t="n">
        <v>0</v>
      </c>
      <c r="T13273" s="21" t="n">
        <v>0</v>
      </c>
      <c r="U13273" s="21" t="n">
        <v>0</v>
      </c>
      <c r="V13273" s="21" t="n">
        <v>0</v>
      </c>
      <c r="W13273" s="21" t="n">
        <v>0</v>
      </c>
      <c r="X13273" s="21" t="n">
        <v>0</v>
      </c>
      <c r="Y13273" s="21" t="n">
        <v>0</v>
      </c>
      <c r="Z13273" s="19" t="n"/>
    </row>
    <row r="13274">
      <c r="D13274" s="21">
        <f>-$B$12189</f>
        <v/>
      </c>
      <c r="E13274" s="21">
        <f>-$B$12190</f>
        <v/>
      </c>
      <c r="F13274" s="21">
        <f>2*$B$12189+$D$13261</f>
        <v/>
      </c>
      <c r="G13274" s="21">
        <f>0</f>
        <v/>
      </c>
      <c r="H13274" s="21">
        <f>-$B$12189</f>
        <v/>
      </c>
      <c r="I13274" s="21">
        <f>$B$12190</f>
        <v/>
      </c>
      <c r="J13274" s="21" t="n">
        <v>0</v>
      </c>
      <c r="K13274" s="21" t="n">
        <v>0</v>
      </c>
      <c r="L13274" s="21" t="n">
        <v>0</v>
      </c>
      <c r="M13274" s="21" t="n">
        <v>0</v>
      </c>
      <c r="N13274" s="21" t="n">
        <v>0</v>
      </c>
      <c r="O13274" s="21" t="n">
        <v>0</v>
      </c>
      <c r="P13274" s="21" t="n">
        <v>0</v>
      </c>
      <c r="Q13274" s="21" t="n">
        <v>0</v>
      </c>
      <c r="R13274" s="21" t="n">
        <v>0</v>
      </c>
      <c r="S13274" s="21" t="n">
        <v>0</v>
      </c>
      <c r="T13274" s="21" t="n">
        <v>0</v>
      </c>
      <c r="U13274" s="21" t="n">
        <v>0</v>
      </c>
      <c r="V13274" s="21" t="n">
        <v>0</v>
      </c>
      <c r="W13274" s="21" t="n">
        <v>0</v>
      </c>
      <c r="X13274" s="21" t="n">
        <v>0</v>
      </c>
      <c r="Y13274" s="21" t="n">
        <v>0</v>
      </c>
      <c r="Z13274" s="19" t="n"/>
    </row>
    <row r="13275">
      <c r="D13275" s="21">
        <f>$B$12190</f>
        <v/>
      </c>
      <c r="E13275" s="21">
        <f>$B$12192</f>
        <v/>
      </c>
      <c r="F13275" s="21">
        <f>0</f>
        <v/>
      </c>
      <c r="G13275" s="21">
        <f>2*$B$12191</f>
        <v/>
      </c>
      <c r="H13275" s="21">
        <f>-$B$12190</f>
        <v/>
      </c>
      <c r="I13275" s="21">
        <f>$B$12192</f>
        <v/>
      </c>
      <c r="J13275" s="21" t="n">
        <v>0</v>
      </c>
      <c r="K13275" s="21" t="n">
        <v>0</v>
      </c>
      <c r="L13275" s="21" t="n">
        <v>0</v>
      </c>
      <c r="M13275" s="21" t="n">
        <v>0</v>
      </c>
      <c r="N13275" s="21" t="n">
        <v>0</v>
      </c>
      <c r="O13275" s="21" t="n">
        <v>0</v>
      </c>
      <c r="P13275" s="21" t="n">
        <v>0</v>
      </c>
      <c r="Q13275" s="21" t="n">
        <v>0</v>
      </c>
      <c r="R13275" s="21" t="n">
        <v>0</v>
      </c>
      <c r="S13275" s="21" t="n">
        <v>0</v>
      </c>
      <c r="T13275" s="21" t="n">
        <v>0</v>
      </c>
      <c r="U13275" s="21" t="n">
        <v>0</v>
      </c>
      <c r="V13275" s="21" t="n">
        <v>0</v>
      </c>
      <c r="W13275" s="21" t="n">
        <v>0</v>
      </c>
      <c r="X13275" s="21" t="n">
        <v>0</v>
      </c>
      <c r="Y13275" s="21" t="n">
        <v>0</v>
      </c>
      <c r="Z13275" s="19" t="n"/>
    </row>
    <row r="13276">
      <c r="D13276" s="21" t="n">
        <v>0</v>
      </c>
      <c r="E13276" s="21" t="n">
        <v>0</v>
      </c>
      <c r="F13276" s="21">
        <f>-$B$12189</f>
        <v/>
      </c>
      <c r="G13276" s="21">
        <f>-$B$12190</f>
        <v/>
      </c>
      <c r="H13276" s="21">
        <f>2*$B$12189+$D$13262</f>
        <v/>
      </c>
      <c r="I13276" s="21">
        <f>0</f>
        <v/>
      </c>
      <c r="J13276" s="21">
        <f>-$B$12189</f>
        <v/>
      </c>
      <c r="K13276" s="21">
        <f>$B$12190</f>
        <v/>
      </c>
      <c r="L13276" s="21" t="n">
        <v>0</v>
      </c>
      <c r="M13276" s="21" t="n">
        <v>0</v>
      </c>
      <c r="N13276" s="21" t="n">
        <v>0</v>
      </c>
      <c r="O13276" s="21" t="n">
        <v>0</v>
      </c>
      <c r="P13276" s="21" t="n">
        <v>0</v>
      </c>
      <c r="Q13276" s="21" t="n">
        <v>0</v>
      </c>
      <c r="R13276" s="21" t="n">
        <v>0</v>
      </c>
      <c r="S13276" s="21" t="n">
        <v>0</v>
      </c>
      <c r="T13276" s="21" t="n">
        <v>0</v>
      </c>
      <c r="U13276" s="21" t="n">
        <v>0</v>
      </c>
      <c r="V13276" s="21" t="n">
        <v>0</v>
      </c>
      <c r="W13276" s="21" t="n">
        <v>0</v>
      </c>
      <c r="X13276" s="21" t="n">
        <v>0</v>
      </c>
      <c r="Y13276" s="21" t="n">
        <v>0</v>
      </c>
      <c r="Z13276" s="19" t="n"/>
    </row>
    <row r="13277">
      <c r="D13277" s="21" t="n">
        <v>0</v>
      </c>
      <c r="E13277" s="21" t="n">
        <v>0</v>
      </c>
      <c r="F13277" s="21">
        <f>$B$12190</f>
        <v/>
      </c>
      <c r="G13277" s="21">
        <f>$B$12192</f>
        <v/>
      </c>
      <c r="H13277" s="21">
        <f>0</f>
        <v/>
      </c>
      <c r="I13277" s="21">
        <f>2*$B$12191</f>
        <v/>
      </c>
      <c r="J13277" s="21">
        <f>-$B$12190</f>
        <v/>
      </c>
      <c r="K13277" s="21">
        <f>$B$12192</f>
        <v/>
      </c>
      <c r="L13277" s="21" t="n">
        <v>0</v>
      </c>
      <c r="M13277" s="21" t="n">
        <v>0</v>
      </c>
      <c r="N13277" s="21" t="n">
        <v>0</v>
      </c>
      <c r="O13277" s="21" t="n">
        <v>0</v>
      </c>
      <c r="P13277" s="21" t="n">
        <v>0</v>
      </c>
      <c r="Q13277" s="21" t="n">
        <v>0</v>
      </c>
      <c r="R13277" s="21" t="n">
        <v>0</v>
      </c>
      <c r="S13277" s="21" t="n">
        <v>0</v>
      </c>
      <c r="T13277" s="21" t="n">
        <v>0</v>
      </c>
      <c r="U13277" s="21" t="n">
        <v>0</v>
      </c>
      <c r="V13277" s="21" t="n">
        <v>0</v>
      </c>
      <c r="W13277" s="21" t="n">
        <v>0</v>
      </c>
      <c r="X13277" s="21" t="n">
        <v>0</v>
      </c>
      <c r="Y13277" s="21" t="n">
        <v>0</v>
      </c>
      <c r="Z13277" s="19" t="n"/>
    </row>
    <row r="13278">
      <c r="D13278" s="21" t="n">
        <v>0</v>
      </c>
      <c r="E13278" s="21" t="n">
        <v>0</v>
      </c>
      <c r="F13278" s="21" t="n">
        <v>0</v>
      </c>
      <c r="G13278" s="21" t="n">
        <v>0</v>
      </c>
      <c r="H13278" s="21">
        <f>-$B$12189</f>
        <v/>
      </c>
      <c r="I13278" s="21">
        <f>-$B$12190</f>
        <v/>
      </c>
      <c r="J13278" s="21">
        <f>2*$B$12189+$D$13263</f>
        <v/>
      </c>
      <c r="K13278" s="21">
        <f>0</f>
        <v/>
      </c>
      <c r="L13278" s="21">
        <f>-$B$12189</f>
        <v/>
      </c>
      <c r="M13278" s="21">
        <f>$B$12190</f>
        <v/>
      </c>
      <c r="N13278" s="21" t="n">
        <v>0</v>
      </c>
      <c r="O13278" s="21" t="n">
        <v>0</v>
      </c>
      <c r="P13278" s="21" t="n">
        <v>0</v>
      </c>
      <c r="Q13278" s="21" t="n">
        <v>0</v>
      </c>
      <c r="R13278" s="21" t="n">
        <v>0</v>
      </c>
      <c r="S13278" s="21" t="n">
        <v>0</v>
      </c>
      <c r="T13278" s="21" t="n">
        <v>0</v>
      </c>
      <c r="U13278" s="21" t="n">
        <v>0</v>
      </c>
      <c r="V13278" s="21" t="n">
        <v>0</v>
      </c>
      <c r="W13278" s="21" t="n">
        <v>0</v>
      </c>
      <c r="X13278" s="21" t="n">
        <v>0</v>
      </c>
      <c r="Y13278" s="21" t="n">
        <v>0</v>
      </c>
      <c r="Z13278" s="19" t="n"/>
    </row>
    <row r="13279">
      <c r="D13279" s="21" t="n">
        <v>0</v>
      </c>
      <c r="E13279" s="21" t="n">
        <v>0</v>
      </c>
      <c r="F13279" s="21" t="n">
        <v>0</v>
      </c>
      <c r="G13279" s="21" t="n">
        <v>0</v>
      </c>
      <c r="H13279" s="21">
        <f>$B$12190</f>
        <v/>
      </c>
      <c r="I13279" s="21">
        <f>$B$12192</f>
        <v/>
      </c>
      <c r="J13279" s="21">
        <f>0</f>
        <v/>
      </c>
      <c r="K13279" s="21">
        <f>2*$B$12191</f>
        <v/>
      </c>
      <c r="L13279" s="21">
        <f>-$B$12190</f>
        <v/>
      </c>
      <c r="M13279" s="21">
        <f>$B$12192</f>
        <v/>
      </c>
      <c r="N13279" s="21" t="n">
        <v>0</v>
      </c>
      <c r="O13279" s="21" t="n">
        <v>0</v>
      </c>
      <c r="P13279" s="21" t="n">
        <v>0</v>
      </c>
      <c r="Q13279" s="21" t="n">
        <v>0</v>
      </c>
      <c r="R13279" s="21" t="n">
        <v>0</v>
      </c>
      <c r="S13279" s="21" t="n">
        <v>0</v>
      </c>
      <c r="T13279" s="21" t="n">
        <v>0</v>
      </c>
      <c r="U13279" s="21" t="n">
        <v>0</v>
      </c>
      <c r="V13279" s="21" t="n">
        <v>0</v>
      </c>
      <c r="W13279" s="21" t="n">
        <v>0</v>
      </c>
      <c r="X13279" s="21" t="n">
        <v>0</v>
      </c>
      <c r="Y13279" s="21" t="n">
        <v>0</v>
      </c>
      <c r="Z13279" s="19" t="n"/>
    </row>
    <row r="13280">
      <c r="D13280" s="21" t="n">
        <v>0</v>
      </c>
      <c r="E13280" s="21" t="n">
        <v>0</v>
      </c>
      <c r="F13280" s="21" t="n">
        <v>0</v>
      </c>
      <c r="G13280" s="21" t="n">
        <v>0</v>
      </c>
      <c r="H13280" s="21" t="n">
        <v>0</v>
      </c>
      <c r="I13280" s="21" t="n">
        <v>0</v>
      </c>
      <c r="J13280" s="21">
        <f>-$B$12189</f>
        <v/>
      </c>
      <c r="K13280" s="21">
        <f>-$B$12190</f>
        <v/>
      </c>
      <c r="L13280" s="21">
        <f>2*$B$12189+$D$13264</f>
        <v/>
      </c>
      <c r="M13280" s="21">
        <f>0</f>
        <v/>
      </c>
      <c r="N13280" s="21">
        <f>-$B$12189</f>
        <v/>
      </c>
      <c r="O13280" s="21">
        <f>$B$12190</f>
        <v/>
      </c>
      <c r="P13280" s="21" t="n">
        <v>0</v>
      </c>
      <c r="Q13280" s="21" t="n">
        <v>0</v>
      </c>
      <c r="R13280" s="21" t="n">
        <v>0</v>
      </c>
      <c r="S13280" s="21" t="n">
        <v>0</v>
      </c>
      <c r="T13280" s="21" t="n">
        <v>0</v>
      </c>
      <c r="U13280" s="21" t="n">
        <v>0</v>
      </c>
      <c r="V13280" s="21" t="n">
        <v>0</v>
      </c>
      <c r="W13280" s="21" t="n">
        <v>0</v>
      </c>
      <c r="X13280" s="21" t="n">
        <v>0</v>
      </c>
      <c r="Y13280" s="21" t="n">
        <v>0</v>
      </c>
      <c r="Z13280" s="19" t="n"/>
    </row>
    <row r="13281">
      <c r="D13281" s="21" t="n">
        <v>0</v>
      </c>
      <c r="E13281" s="21" t="n">
        <v>0</v>
      </c>
      <c r="F13281" s="21" t="n">
        <v>0</v>
      </c>
      <c r="G13281" s="21" t="n">
        <v>0</v>
      </c>
      <c r="H13281" s="21" t="n">
        <v>0</v>
      </c>
      <c r="I13281" s="21" t="n">
        <v>0</v>
      </c>
      <c r="J13281" s="21">
        <f>$B$12190</f>
        <v/>
      </c>
      <c r="K13281" s="21">
        <f>$B$12192</f>
        <v/>
      </c>
      <c r="L13281" s="21">
        <f>0</f>
        <v/>
      </c>
      <c r="M13281" s="21">
        <f>2*$B$12191</f>
        <v/>
      </c>
      <c r="N13281" s="21">
        <f>-$B$12190</f>
        <v/>
      </c>
      <c r="O13281" s="21">
        <f>$B$12192</f>
        <v/>
      </c>
      <c r="P13281" s="21" t="n">
        <v>0</v>
      </c>
      <c r="Q13281" s="21" t="n">
        <v>0</v>
      </c>
      <c r="R13281" s="21" t="n">
        <v>0</v>
      </c>
      <c r="S13281" s="21" t="n">
        <v>0</v>
      </c>
      <c r="T13281" s="21" t="n">
        <v>0</v>
      </c>
      <c r="U13281" s="21" t="n">
        <v>0</v>
      </c>
      <c r="V13281" s="21" t="n">
        <v>0</v>
      </c>
      <c r="W13281" s="21" t="n">
        <v>0</v>
      </c>
      <c r="X13281" s="21" t="n">
        <v>0</v>
      </c>
      <c r="Y13281" s="21" t="n">
        <v>0</v>
      </c>
      <c r="Z13281" s="19" t="n"/>
    </row>
    <row r="13282">
      <c r="D13282" s="21" t="n">
        <v>0</v>
      </c>
      <c r="E13282" s="21" t="n">
        <v>0</v>
      </c>
      <c r="F13282" s="21" t="n">
        <v>0</v>
      </c>
      <c r="G13282" s="21" t="n">
        <v>0</v>
      </c>
      <c r="H13282" s="21" t="n">
        <v>0</v>
      </c>
      <c r="I13282" s="21" t="n">
        <v>0</v>
      </c>
      <c r="J13282" s="21" t="n">
        <v>0</v>
      </c>
      <c r="K13282" s="21" t="n">
        <v>0</v>
      </c>
      <c r="L13282" s="21">
        <f>-$B$12189</f>
        <v/>
      </c>
      <c r="M13282" s="21">
        <f>-$B$12190</f>
        <v/>
      </c>
      <c r="N13282" s="21">
        <f>2*$B$12189+$D$13265</f>
        <v/>
      </c>
      <c r="O13282" s="21">
        <f>0</f>
        <v/>
      </c>
      <c r="P13282" s="21">
        <f>-$B$12189</f>
        <v/>
      </c>
      <c r="Q13282" s="21">
        <f>$B$12190</f>
        <v/>
      </c>
      <c r="R13282" s="21" t="n">
        <v>0</v>
      </c>
      <c r="S13282" s="21" t="n">
        <v>0</v>
      </c>
      <c r="T13282" s="21" t="n">
        <v>0</v>
      </c>
      <c r="U13282" s="21" t="n">
        <v>0</v>
      </c>
      <c r="V13282" s="21" t="n">
        <v>0</v>
      </c>
      <c r="W13282" s="21" t="n">
        <v>0</v>
      </c>
      <c r="X13282" s="21" t="n">
        <v>0</v>
      </c>
      <c r="Y13282" s="21" t="n">
        <v>0</v>
      </c>
      <c r="Z13282" s="19" t="n"/>
    </row>
    <row r="13283">
      <c r="D13283" s="21" t="n">
        <v>0</v>
      </c>
      <c r="E13283" s="21" t="n">
        <v>0</v>
      </c>
      <c r="F13283" s="21" t="n">
        <v>0</v>
      </c>
      <c r="G13283" s="21" t="n">
        <v>0</v>
      </c>
      <c r="H13283" s="21" t="n">
        <v>0</v>
      </c>
      <c r="I13283" s="21" t="n">
        <v>0</v>
      </c>
      <c r="J13283" s="21" t="n">
        <v>0</v>
      </c>
      <c r="K13283" s="21" t="n">
        <v>0</v>
      </c>
      <c r="L13283" s="21">
        <f>$B$12190</f>
        <v/>
      </c>
      <c r="M13283" s="21">
        <f>$B$12192</f>
        <v/>
      </c>
      <c r="N13283" s="21">
        <f>0</f>
        <v/>
      </c>
      <c r="O13283" s="21">
        <f>2*$B$12191</f>
        <v/>
      </c>
      <c r="P13283" s="21">
        <f>-$B$12190</f>
        <v/>
      </c>
      <c r="Q13283" s="21">
        <f>$B$12192</f>
        <v/>
      </c>
      <c r="R13283" s="21" t="n">
        <v>0</v>
      </c>
      <c r="S13283" s="21" t="n">
        <v>0</v>
      </c>
      <c r="T13283" s="21" t="n">
        <v>0</v>
      </c>
      <c r="U13283" s="21" t="n">
        <v>0</v>
      </c>
      <c r="V13283" s="21" t="n">
        <v>0</v>
      </c>
      <c r="W13283" s="21" t="n">
        <v>0</v>
      </c>
      <c r="X13283" s="21" t="n">
        <v>0</v>
      </c>
      <c r="Y13283" s="21" t="n">
        <v>0</v>
      </c>
      <c r="Z13283" s="19" t="n"/>
    </row>
    <row r="13284">
      <c r="D13284" s="21" t="n">
        <v>0</v>
      </c>
      <c r="E13284" s="21" t="n">
        <v>0</v>
      </c>
      <c r="F13284" s="21" t="n">
        <v>0</v>
      </c>
      <c r="G13284" s="21" t="n">
        <v>0</v>
      </c>
      <c r="H13284" s="21" t="n">
        <v>0</v>
      </c>
      <c r="I13284" s="21" t="n">
        <v>0</v>
      </c>
      <c r="J13284" s="21" t="n">
        <v>0</v>
      </c>
      <c r="K13284" s="21" t="n">
        <v>0</v>
      </c>
      <c r="L13284" s="21" t="n">
        <v>0</v>
      </c>
      <c r="M13284" s="21" t="n">
        <v>0</v>
      </c>
      <c r="N13284" s="21">
        <f>-$B$12189</f>
        <v/>
      </c>
      <c r="O13284" s="21">
        <f>-$B$12190</f>
        <v/>
      </c>
      <c r="P13284" s="21">
        <f>2*$B$12189+$D$13266</f>
        <v/>
      </c>
      <c r="Q13284" s="21">
        <f>0</f>
        <v/>
      </c>
      <c r="R13284" s="21">
        <f>-$B$12189</f>
        <v/>
      </c>
      <c r="S13284" s="21">
        <f>$B$12190</f>
        <v/>
      </c>
      <c r="T13284" s="21" t="n">
        <v>0</v>
      </c>
      <c r="U13284" s="21" t="n">
        <v>0</v>
      </c>
      <c r="V13284" s="21" t="n">
        <v>0</v>
      </c>
      <c r="W13284" s="21" t="n">
        <v>0</v>
      </c>
      <c r="X13284" s="21" t="n">
        <v>0</v>
      </c>
      <c r="Y13284" s="21" t="n">
        <v>0</v>
      </c>
      <c r="Z13284" s="19" t="n"/>
    </row>
    <row r="13285">
      <c r="D13285" s="21" t="n">
        <v>0</v>
      </c>
      <c r="E13285" s="21" t="n">
        <v>0</v>
      </c>
      <c r="F13285" s="21" t="n">
        <v>0</v>
      </c>
      <c r="G13285" s="21" t="n">
        <v>0</v>
      </c>
      <c r="H13285" s="21" t="n">
        <v>0</v>
      </c>
      <c r="I13285" s="21" t="n">
        <v>0</v>
      </c>
      <c r="J13285" s="21" t="n">
        <v>0</v>
      </c>
      <c r="K13285" s="21" t="n">
        <v>0</v>
      </c>
      <c r="L13285" s="21" t="n">
        <v>0</v>
      </c>
      <c r="M13285" s="21" t="n">
        <v>0</v>
      </c>
      <c r="N13285" s="21">
        <f>$B$12190</f>
        <v/>
      </c>
      <c r="O13285" s="21">
        <f>$B$12192</f>
        <v/>
      </c>
      <c r="P13285" s="21">
        <f>0</f>
        <v/>
      </c>
      <c r="Q13285" s="21">
        <f>2*$B$12191</f>
        <v/>
      </c>
      <c r="R13285" s="21">
        <f>-$B$12190</f>
        <v/>
      </c>
      <c r="S13285" s="21">
        <f>$B$12192</f>
        <v/>
      </c>
      <c r="T13285" s="21" t="n">
        <v>0</v>
      </c>
      <c r="U13285" s="21" t="n">
        <v>0</v>
      </c>
      <c r="V13285" s="21" t="n">
        <v>0</v>
      </c>
      <c r="W13285" s="21" t="n">
        <v>0</v>
      </c>
      <c r="X13285" s="21" t="n">
        <v>0</v>
      </c>
      <c r="Y13285" s="21" t="n">
        <v>0</v>
      </c>
      <c r="Z13285" s="19" t="n"/>
    </row>
    <row r="13286">
      <c r="D13286" s="21" t="n">
        <v>0</v>
      </c>
      <c r="E13286" s="21" t="n">
        <v>0</v>
      </c>
      <c r="F13286" s="21" t="n">
        <v>0</v>
      </c>
      <c r="G13286" s="21" t="n">
        <v>0</v>
      </c>
      <c r="H13286" s="21" t="n">
        <v>0</v>
      </c>
      <c r="I13286" s="21" t="n">
        <v>0</v>
      </c>
      <c r="J13286" s="21" t="n">
        <v>0</v>
      </c>
      <c r="K13286" s="21" t="n">
        <v>0</v>
      </c>
      <c r="L13286" s="21" t="n">
        <v>0</v>
      </c>
      <c r="M13286" s="21" t="n">
        <v>0</v>
      </c>
      <c r="N13286" s="21" t="n">
        <v>0</v>
      </c>
      <c r="O13286" s="21" t="n">
        <v>0</v>
      </c>
      <c r="P13286" s="21">
        <f>-$B$12189</f>
        <v/>
      </c>
      <c r="Q13286" s="21">
        <f>-$B$12190</f>
        <v/>
      </c>
      <c r="R13286" s="21">
        <f>2*$B$12189+$D$13267</f>
        <v/>
      </c>
      <c r="S13286" s="21">
        <f>0</f>
        <v/>
      </c>
      <c r="T13286" s="21">
        <f>-$B$12189</f>
        <v/>
      </c>
      <c r="U13286" s="21">
        <f>$B$12190</f>
        <v/>
      </c>
      <c r="V13286" s="21" t="n">
        <v>0</v>
      </c>
      <c r="W13286" s="21" t="n">
        <v>0</v>
      </c>
      <c r="X13286" s="21" t="n">
        <v>0</v>
      </c>
      <c r="Y13286" s="21" t="n">
        <v>0</v>
      </c>
      <c r="Z13286" s="19" t="n"/>
    </row>
    <row r="13287">
      <c r="D13287" s="21" t="n">
        <v>0</v>
      </c>
      <c r="E13287" s="21" t="n">
        <v>0</v>
      </c>
      <c r="F13287" s="21" t="n">
        <v>0</v>
      </c>
      <c r="G13287" s="21" t="n">
        <v>0</v>
      </c>
      <c r="H13287" s="21" t="n">
        <v>0</v>
      </c>
      <c r="I13287" s="21" t="n">
        <v>0</v>
      </c>
      <c r="J13287" s="21" t="n">
        <v>0</v>
      </c>
      <c r="K13287" s="21" t="n">
        <v>0</v>
      </c>
      <c r="L13287" s="21" t="n">
        <v>0</v>
      </c>
      <c r="M13287" s="21" t="n">
        <v>0</v>
      </c>
      <c r="N13287" s="21" t="n">
        <v>0</v>
      </c>
      <c r="O13287" s="21" t="n">
        <v>0</v>
      </c>
      <c r="P13287" s="21">
        <f>$B$12190</f>
        <v/>
      </c>
      <c r="Q13287" s="21">
        <f>$B$12192</f>
        <v/>
      </c>
      <c r="R13287" s="21">
        <f>0</f>
        <v/>
      </c>
      <c r="S13287" s="21">
        <f>2*$B$12191</f>
        <v/>
      </c>
      <c r="T13287" s="21">
        <f>-$B$12190</f>
        <v/>
      </c>
      <c r="U13287" s="21">
        <f>$B$12192</f>
        <v/>
      </c>
      <c r="V13287" s="21" t="n">
        <v>0</v>
      </c>
      <c r="W13287" s="21" t="n">
        <v>0</v>
      </c>
      <c r="X13287" s="21" t="n">
        <v>0</v>
      </c>
      <c r="Y13287" s="21" t="n">
        <v>0</v>
      </c>
      <c r="Z13287" s="19" t="n"/>
    </row>
    <row r="13288">
      <c r="D13288" s="21" t="n">
        <v>0</v>
      </c>
      <c r="E13288" s="21" t="n">
        <v>0</v>
      </c>
      <c r="F13288" s="21" t="n">
        <v>0</v>
      </c>
      <c r="G13288" s="21" t="n">
        <v>0</v>
      </c>
      <c r="H13288" s="21" t="n">
        <v>0</v>
      </c>
      <c r="I13288" s="21" t="n">
        <v>0</v>
      </c>
      <c r="J13288" s="21" t="n">
        <v>0</v>
      </c>
      <c r="K13288" s="21" t="n">
        <v>0</v>
      </c>
      <c r="L13288" s="21" t="n">
        <v>0</v>
      </c>
      <c r="M13288" s="21" t="n">
        <v>0</v>
      </c>
      <c r="N13288" s="21" t="n">
        <v>0</v>
      </c>
      <c r="O13288" s="21" t="n">
        <v>0</v>
      </c>
      <c r="P13288" s="21" t="n">
        <v>0</v>
      </c>
      <c r="Q13288" s="21" t="n">
        <v>0</v>
      </c>
      <c r="R13288" s="21">
        <f>-$B$12189</f>
        <v/>
      </c>
      <c r="S13288" s="21">
        <f>-$B$12190</f>
        <v/>
      </c>
      <c r="T13288" s="21">
        <f>2*$B$12189+$D$13268</f>
        <v/>
      </c>
      <c r="U13288" s="21">
        <f>0</f>
        <v/>
      </c>
      <c r="V13288" s="21">
        <f>-$B$12189</f>
        <v/>
      </c>
      <c r="W13288" s="21">
        <f>$B$12190</f>
        <v/>
      </c>
      <c r="X13288" s="21" t="n">
        <v>0</v>
      </c>
      <c r="Y13288" s="21" t="n">
        <v>0</v>
      </c>
      <c r="Z13288" s="19" t="n"/>
    </row>
    <row r="13289">
      <c r="D13289" s="21" t="n">
        <v>0</v>
      </c>
      <c r="E13289" s="21" t="n">
        <v>0</v>
      </c>
      <c r="F13289" s="21" t="n">
        <v>0</v>
      </c>
      <c r="G13289" s="21" t="n">
        <v>0</v>
      </c>
      <c r="H13289" s="21" t="n">
        <v>0</v>
      </c>
      <c r="I13289" s="21" t="n">
        <v>0</v>
      </c>
      <c r="J13289" s="21" t="n">
        <v>0</v>
      </c>
      <c r="K13289" s="21" t="n">
        <v>0</v>
      </c>
      <c r="L13289" s="21" t="n">
        <v>0</v>
      </c>
      <c r="M13289" s="21" t="n">
        <v>0</v>
      </c>
      <c r="N13289" s="21" t="n">
        <v>0</v>
      </c>
      <c r="O13289" s="21" t="n">
        <v>0</v>
      </c>
      <c r="P13289" s="21" t="n">
        <v>0</v>
      </c>
      <c r="Q13289" s="21" t="n">
        <v>0</v>
      </c>
      <c r="R13289" s="21">
        <f>$B$12190</f>
        <v/>
      </c>
      <c r="S13289" s="21">
        <f>$B$12192</f>
        <v/>
      </c>
      <c r="T13289" s="21">
        <f>0</f>
        <v/>
      </c>
      <c r="U13289" s="21">
        <f>2*$B$12191</f>
        <v/>
      </c>
      <c r="V13289" s="21">
        <f>-$B$12190</f>
        <v/>
      </c>
      <c r="W13289" s="21">
        <f>$B$12192</f>
        <v/>
      </c>
      <c r="X13289" s="21" t="n">
        <v>0</v>
      </c>
      <c r="Y13289" s="21" t="n">
        <v>0</v>
      </c>
      <c r="Z13289" s="19" t="n"/>
    </row>
    <row r="13290">
      <c r="D13290" s="21" t="n">
        <v>0</v>
      </c>
      <c r="E13290" s="21" t="n">
        <v>0</v>
      </c>
      <c r="F13290" s="21" t="n">
        <v>0</v>
      </c>
      <c r="G13290" s="21" t="n">
        <v>0</v>
      </c>
      <c r="H13290" s="21" t="n">
        <v>0</v>
      </c>
      <c r="I13290" s="21" t="n">
        <v>0</v>
      </c>
      <c r="J13290" s="21" t="n">
        <v>0</v>
      </c>
      <c r="K13290" s="21" t="n">
        <v>0</v>
      </c>
      <c r="L13290" s="21" t="n">
        <v>0</v>
      </c>
      <c r="M13290" s="21" t="n">
        <v>0</v>
      </c>
      <c r="N13290" s="21" t="n">
        <v>0</v>
      </c>
      <c r="O13290" s="21" t="n">
        <v>0</v>
      </c>
      <c r="P13290" s="21" t="n">
        <v>0</v>
      </c>
      <c r="Q13290" s="21" t="n">
        <v>0</v>
      </c>
      <c r="R13290" s="21" t="n">
        <v>0</v>
      </c>
      <c r="S13290" s="21" t="n">
        <v>0</v>
      </c>
      <c r="T13290" s="21">
        <f>-$B$12189</f>
        <v/>
      </c>
      <c r="U13290" s="21">
        <f>-$B$12190</f>
        <v/>
      </c>
      <c r="V13290" s="21">
        <f>2*$B$12189+$D$13269</f>
        <v/>
      </c>
      <c r="W13290" s="21">
        <f>0</f>
        <v/>
      </c>
      <c r="X13290" s="21">
        <f>-$B$12189</f>
        <v/>
      </c>
      <c r="Y13290" s="21">
        <f>$B$12190</f>
        <v/>
      </c>
      <c r="Z13290" s="19" t="n"/>
    </row>
    <row r="13291">
      <c r="D13291" s="21" t="n">
        <v>0</v>
      </c>
      <c r="E13291" s="21" t="n">
        <v>0</v>
      </c>
      <c r="F13291" s="21" t="n">
        <v>0</v>
      </c>
      <c r="G13291" s="21" t="n">
        <v>0</v>
      </c>
      <c r="H13291" s="21" t="n">
        <v>0</v>
      </c>
      <c r="I13291" s="21" t="n">
        <v>0</v>
      </c>
      <c r="J13291" s="21" t="n">
        <v>0</v>
      </c>
      <c r="K13291" s="21" t="n">
        <v>0</v>
      </c>
      <c r="L13291" s="21" t="n">
        <v>0</v>
      </c>
      <c r="M13291" s="21" t="n">
        <v>0</v>
      </c>
      <c r="N13291" s="21" t="n">
        <v>0</v>
      </c>
      <c r="O13291" s="21" t="n">
        <v>0</v>
      </c>
      <c r="P13291" s="21" t="n">
        <v>0</v>
      </c>
      <c r="Q13291" s="21" t="n">
        <v>0</v>
      </c>
      <c r="R13291" s="21" t="n">
        <v>0</v>
      </c>
      <c r="S13291" s="21" t="n">
        <v>0</v>
      </c>
      <c r="T13291" s="21">
        <f>$B$12190</f>
        <v/>
      </c>
      <c r="U13291" s="21">
        <f>$B$12192</f>
        <v/>
      </c>
      <c r="V13291" s="21">
        <f>0</f>
        <v/>
      </c>
      <c r="W13291" s="21">
        <f>2*$B$12191</f>
        <v/>
      </c>
      <c r="X13291" s="21">
        <f>-$B$12190</f>
        <v/>
      </c>
      <c r="Y13291" s="21">
        <f>$B$12192</f>
        <v/>
      </c>
      <c r="Z13291" s="19" t="n"/>
    </row>
    <row r="13292">
      <c r="D13292" s="21" t="n">
        <v>0</v>
      </c>
      <c r="E13292" s="21" t="n">
        <v>0</v>
      </c>
      <c r="F13292" s="21" t="n">
        <v>0</v>
      </c>
      <c r="G13292" s="21" t="n">
        <v>0</v>
      </c>
      <c r="H13292" s="21" t="n">
        <v>0</v>
      </c>
      <c r="I13292" s="21" t="n">
        <v>0</v>
      </c>
      <c r="J13292" s="21" t="n">
        <v>0</v>
      </c>
      <c r="K13292" s="21" t="n">
        <v>0</v>
      </c>
      <c r="L13292" s="21" t="n">
        <v>0</v>
      </c>
      <c r="M13292" s="21" t="n">
        <v>0</v>
      </c>
      <c r="N13292" s="21" t="n">
        <v>0</v>
      </c>
      <c r="O13292" s="21" t="n">
        <v>0</v>
      </c>
      <c r="P13292" s="21" t="n">
        <v>0</v>
      </c>
      <c r="Q13292" s="21" t="n">
        <v>0</v>
      </c>
      <c r="R13292" s="21" t="n">
        <v>0</v>
      </c>
      <c r="S13292" s="21" t="n">
        <v>0</v>
      </c>
      <c r="T13292" s="21" t="n">
        <v>0</v>
      </c>
      <c r="U13292" s="21" t="n">
        <v>0</v>
      </c>
      <c r="V13292" s="21">
        <f>-$B$12189</f>
        <v/>
      </c>
      <c r="W13292" s="21">
        <f>-$B$12190</f>
        <v/>
      </c>
      <c r="X13292" s="21">
        <f>$B$12189+$D$13270</f>
        <v/>
      </c>
      <c r="Y13292" s="21">
        <f>-$B$12190</f>
        <v/>
      </c>
      <c r="Z13292" s="19" t="n"/>
    </row>
    <row r="13293">
      <c r="D13293" s="21" t="n">
        <v>0</v>
      </c>
      <c r="E13293" s="21" t="n">
        <v>0</v>
      </c>
      <c r="F13293" s="21" t="n">
        <v>0</v>
      </c>
      <c r="G13293" s="21" t="n">
        <v>0</v>
      </c>
      <c r="H13293" s="21" t="n">
        <v>0</v>
      </c>
      <c r="I13293" s="21" t="n">
        <v>0</v>
      </c>
      <c r="J13293" s="21" t="n">
        <v>0</v>
      </c>
      <c r="K13293" s="21" t="n">
        <v>0</v>
      </c>
      <c r="L13293" s="21" t="n">
        <v>0</v>
      </c>
      <c r="M13293" s="21" t="n">
        <v>0</v>
      </c>
      <c r="N13293" s="21" t="n">
        <v>0</v>
      </c>
      <c r="O13293" s="21" t="n">
        <v>0</v>
      </c>
      <c r="P13293" s="21" t="n">
        <v>0</v>
      </c>
      <c r="Q13293" s="21" t="n">
        <v>0</v>
      </c>
      <c r="R13293" s="21" t="n">
        <v>0</v>
      </c>
      <c r="S13293" s="21" t="n">
        <v>0</v>
      </c>
      <c r="T13293" s="21" t="n">
        <v>0</v>
      </c>
      <c r="U13293" s="21" t="n">
        <v>0</v>
      </c>
      <c r="V13293" s="21">
        <f>$B$12190</f>
        <v/>
      </c>
      <c r="W13293" s="21">
        <f>$B$12192</f>
        <v/>
      </c>
      <c r="X13293" s="21">
        <f>-$B$12190</f>
        <v/>
      </c>
      <c r="Y13293" s="21">
        <f>$B$12191</f>
        <v/>
      </c>
      <c r="Z13293" s="19" t="n"/>
    </row>
    <row r="13295">
      <c r="A13295" s="8" t="inlineStr">
        <is>
          <t>gen 30</t>
        </is>
      </c>
    </row>
    <row r="13296">
      <c r="D13296" s="19">
        <f>IF(ABS(IF(ABS($E$13260)&gt;0.000000001,$E$13260,0.000000001))=0,0,IF($E$12204&lt;=$B$12198,0,IF(ABS(IF(ABS($E$13260)&gt;0.000000001,$E$13260,0.000000001))&gt;=8*$B$12200,$H$12204,0.5*$H$12204*(ABS(IF(ABS($E$13260)&gt;0.000000001,$E$13260,0.000000001))/$B$12200)^(1/3)))/ABS(IF(ABS($E$13260)&gt;0.000000001,$E$13260,0.000000001))*$I$12204)</f>
        <v/>
      </c>
      <c r="E13296" s="19">
        <f>0.5*$E$13260+0.5*$Z$13308</f>
        <v/>
      </c>
      <c r="F13296" s="19">
        <f>$Z$13309</f>
        <v/>
      </c>
    </row>
    <row r="13297">
      <c r="D13297" s="19">
        <f>IF(ABS(IF(ABS($E$13261)&gt;0.000000001,$E$13261,0.000000001))=0,0,IF($E$12205&lt;=$B$12198,0,IF(ABS(IF(ABS($E$13261)&gt;0.000000001,$E$13261,0.000000001))&gt;=8*$B$12200,$H$12205,0.5*$H$12205*(ABS(IF(ABS($E$13261)&gt;0.000000001,$E$13261,0.000000001))/$B$12200)^(1/3)))/ABS(IF(ABS($E$13261)&gt;0.000000001,$E$13261,0.000000001))*$I$12205)</f>
        <v/>
      </c>
      <c r="E13297" s="19">
        <f>0.5*$E$13261+0.5*$Z$13310</f>
        <v/>
      </c>
      <c r="F13297" s="19">
        <f>$Z$13311</f>
        <v/>
      </c>
    </row>
    <row r="13298">
      <c r="D13298" s="19">
        <f>IF(ABS(IF(ABS($E$13262)&gt;0.000000001,$E$13262,0.000000001))=0,0,IF($E$12206&lt;=$B$12198,0,IF(ABS(IF(ABS($E$13262)&gt;0.000000001,$E$13262,0.000000001))&gt;=8*$B$12200,$H$12206,0.5*$H$12206*(ABS(IF(ABS($E$13262)&gt;0.000000001,$E$13262,0.000000001))/$B$12200)^(1/3)))/ABS(IF(ABS($E$13262)&gt;0.000000001,$E$13262,0.000000001))*$I$12206)</f>
        <v/>
      </c>
      <c r="E13298" s="19">
        <f>0.5*$E$13262+0.5*$Z$13312</f>
        <v/>
      </c>
      <c r="F13298" s="19">
        <f>$Z$13313</f>
        <v/>
      </c>
    </row>
    <row r="13299">
      <c r="D13299" s="19">
        <f>IF(ABS(IF(ABS($E$13263)&gt;0.000000001,$E$13263,0.000000001))=0,0,IF($E$12207&lt;=$B$12198,0,IF(ABS(IF(ABS($E$13263)&gt;0.000000001,$E$13263,0.000000001))&gt;=8*$B$12200,$H$12207,0.5*$H$12207*(ABS(IF(ABS($E$13263)&gt;0.000000001,$E$13263,0.000000001))/$B$12200)^(1/3)))/ABS(IF(ABS($E$13263)&gt;0.000000001,$E$13263,0.000000001))*$I$12207)</f>
        <v/>
      </c>
      <c r="E13299" s="19">
        <f>0.5*$E$13263+0.5*$Z$13314</f>
        <v/>
      </c>
      <c r="F13299" s="19">
        <f>$Z$13315</f>
        <v/>
      </c>
    </row>
    <row r="13300">
      <c r="D13300" s="19">
        <f>IF(ABS(IF(ABS($E$13264)&gt;0.000000001,$E$13264,0.000000001))=0,0,IF($E$12208&lt;=$B$12198,0,IF(ABS(IF(ABS($E$13264)&gt;0.000000001,$E$13264,0.000000001))&gt;=8*$B$12200,$H$12208,0.5*$H$12208*(ABS(IF(ABS($E$13264)&gt;0.000000001,$E$13264,0.000000001))/$B$12200)^(1/3)))/ABS(IF(ABS($E$13264)&gt;0.000000001,$E$13264,0.000000001))*$I$12208)</f>
        <v/>
      </c>
      <c r="E13300" s="19">
        <f>0.5*$E$13264+0.5*$Z$13316</f>
        <v/>
      </c>
      <c r="F13300" s="19">
        <f>$Z$13317</f>
        <v/>
      </c>
    </row>
    <row r="13301">
      <c r="D13301" s="19">
        <f>IF(ABS(IF(ABS($E$13265)&gt;0.000000001,$E$13265,0.000000001))=0,0,IF($E$12209&lt;=$B$12198,0,IF(ABS(IF(ABS($E$13265)&gt;0.000000001,$E$13265,0.000000001))&gt;=8*$B$12200,$H$12209,0.5*$H$12209*(ABS(IF(ABS($E$13265)&gt;0.000000001,$E$13265,0.000000001))/$B$12200)^(1/3)))/ABS(IF(ABS($E$13265)&gt;0.000000001,$E$13265,0.000000001))*$I$12209)</f>
        <v/>
      </c>
      <c r="E13301" s="19">
        <f>0.5*$E$13265+0.5*$Z$13318</f>
        <v/>
      </c>
      <c r="F13301" s="19">
        <f>$Z$13319</f>
        <v/>
      </c>
    </row>
    <row r="13302">
      <c r="D13302" s="19">
        <f>IF(ABS(IF(ABS($E$13266)&gt;0.000000001,$E$13266,0.000000001))=0,0,IF($E$12210&lt;=$B$12198,0,IF(ABS(IF(ABS($E$13266)&gt;0.000000001,$E$13266,0.000000001))&gt;=8*$B$12200,$H$12210,0.5*$H$12210*(ABS(IF(ABS($E$13266)&gt;0.000000001,$E$13266,0.000000001))/$B$12200)^(1/3)))/ABS(IF(ABS($E$13266)&gt;0.000000001,$E$13266,0.000000001))*$I$12210)</f>
        <v/>
      </c>
      <c r="E13302" s="19">
        <f>0.5*$E$13266+0.5*$Z$13320</f>
        <v/>
      </c>
      <c r="F13302" s="19">
        <f>$Z$13321</f>
        <v/>
      </c>
    </row>
    <row r="13303">
      <c r="D13303" s="19">
        <f>IF(ABS(IF(ABS($E$13267)&gt;0.000000001,$E$13267,0.000000001))=0,0,IF($E$12211&lt;=$B$12198,0,IF(ABS(IF(ABS($E$13267)&gt;0.000000001,$E$13267,0.000000001))&gt;=8*$B$12200,$H$12211,0.5*$H$12211*(ABS(IF(ABS($E$13267)&gt;0.000000001,$E$13267,0.000000001))/$B$12200)^(1/3)))/ABS(IF(ABS($E$13267)&gt;0.000000001,$E$13267,0.000000001))*$I$12211)</f>
        <v/>
      </c>
      <c r="E13303" s="19">
        <f>0.5*$E$13267+0.5*$Z$13322</f>
        <v/>
      </c>
      <c r="F13303" s="19">
        <f>$Z$13323</f>
        <v/>
      </c>
    </row>
    <row r="13304">
      <c r="D13304" s="19">
        <f>IF(ABS(IF(ABS($E$13268)&gt;0.000000001,$E$13268,0.000000001))=0,0,IF($E$12212&lt;=$B$12198,0,IF(ABS(IF(ABS($E$13268)&gt;0.000000001,$E$13268,0.000000001))&gt;=8*$B$12200,$H$12212,0.5*$H$12212*(ABS(IF(ABS($E$13268)&gt;0.000000001,$E$13268,0.000000001))/$B$12200)^(1/3)))/ABS(IF(ABS($E$13268)&gt;0.000000001,$E$13268,0.000000001))*$I$12212)</f>
        <v/>
      </c>
      <c r="E13304" s="19">
        <f>0.5*$E$13268+0.5*$Z$13324</f>
        <v/>
      </c>
      <c r="F13304" s="19">
        <f>$Z$13325</f>
        <v/>
      </c>
    </row>
    <row r="13305">
      <c r="D13305" s="19">
        <f>IF(ABS(IF(ABS($E$13269)&gt;0.000000001,$E$13269,0.000000001))=0,0,IF($E$12213&lt;=$B$12198,0,IF(ABS(IF(ABS($E$13269)&gt;0.000000001,$E$13269,0.000000001))&gt;=8*$B$12200,$H$12213,0.5*$H$12213*(ABS(IF(ABS($E$13269)&gt;0.000000001,$E$13269,0.000000001))/$B$12200)^(1/3)))/ABS(IF(ABS($E$13269)&gt;0.000000001,$E$13269,0.000000001))*$I$12213)</f>
        <v/>
      </c>
      <c r="E13305" s="19">
        <f>0.5*$E$13269+0.5*$Z$13326</f>
        <v/>
      </c>
      <c r="F13305" s="19">
        <f>$Z$13327</f>
        <v/>
      </c>
    </row>
    <row r="13306">
      <c r="D13306" s="19">
        <f>IF(ABS(IF(ABS($E$13270)&gt;0.000000001,$E$13270,0.000000001))=0,0,IF($E$12214&lt;=$B$12198,0,IF(ABS(IF(ABS($E$13270)&gt;0.000000001,$E$13270,0.000000001))&gt;=8*$B$12200,$H$12214,0.5*$H$12214*(ABS(IF(ABS($E$13270)&gt;0.000000001,$E$13270,0.000000001))/$B$12200)^(1/3)))/ABS(IF(ABS($E$13270)&gt;0.000000001,$E$13270,0.000000001))*$I$12214)</f>
        <v/>
      </c>
      <c r="E13306" s="19">
        <f>0.5*$E$13270+0.5*$Z$13328</f>
        <v/>
      </c>
      <c r="F13306" s="19">
        <f>$Z$13329</f>
        <v/>
      </c>
    </row>
    <row r="13308">
      <c r="D13308" s="21">
        <f>$B$12189+$D$13296</f>
        <v/>
      </c>
      <c r="E13308" s="21">
        <f>$B$12190</f>
        <v/>
      </c>
      <c r="F13308" s="21">
        <f>-$B$12189</f>
        <v/>
      </c>
      <c r="G13308" s="21">
        <f>$B$12190</f>
        <v/>
      </c>
      <c r="H13308" s="21" t="n">
        <v>0</v>
      </c>
      <c r="I13308" s="21" t="n">
        <v>0</v>
      </c>
      <c r="J13308" s="21" t="n">
        <v>0</v>
      </c>
      <c r="K13308" s="21" t="n">
        <v>0</v>
      </c>
      <c r="L13308" s="21" t="n">
        <v>0</v>
      </c>
      <c r="M13308" s="21" t="n">
        <v>0</v>
      </c>
      <c r="N13308" s="21" t="n">
        <v>0</v>
      </c>
      <c r="O13308" s="21" t="n">
        <v>0</v>
      </c>
      <c r="P13308" s="21" t="n">
        <v>0</v>
      </c>
      <c r="Q13308" s="21" t="n">
        <v>0</v>
      </c>
      <c r="R13308" s="21" t="n">
        <v>0</v>
      </c>
      <c r="S13308" s="21" t="n">
        <v>0</v>
      </c>
      <c r="T13308" s="21" t="n">
        <v>0</v>
      </c>
      <c r="U13308" s="21" t="n">
        <v>0</v>
      </c>
      <c r="V13308" s="21" t="n">
        <v>0</v>
      </c>
      <c r="W13308" s="21" t="n">
        <v>0</v>
      </c>
      <c r="X13308" s="21" t="n">
        <v>0</v>
      </c>
      <c r="Y13308" s="21" t="n">
        <v>0</v>
      </c>
      <c r="Z13308" s="19">
        <f t="array" ref="Z13308:Z13329">MMULT(MINVERSE($D$13308:$Y$13329),$D$12216:$D$12237)</f>
        <v/>
      </c>
    </row>
    <row r="13309">
      <c r="D13309" s="21">
        <f>$B$12190</f>
        <v/>
      </c>
      <c r="E13309" s="21">
        <f>$B$12191</f>
        <v/>
      </c>
      <c r="F13309" s="21">
        <f>-$B$12190</f>
        <v/>
      </c>
      <c r="G13309" s="21">
        <f>$B$12192</f>
        <v/>
      </c>
      <c r="H13309" s="21" t="n">
        <v>0</v>
      </c>
      <c r="I13309" s="21" t="n">
        <v>0</v>
      </c>
      <c r="J13309" s="21" t="n">
        <v>0</v>
      </c>
      <c r="K13309" s="21" t="n">
        <v>0</v>
      </c>
      <c r="L13309" s="21" t="n">
        <v>0</v>
      </c>
      <c r="M13309" s="21" t="n">
        <v>0</v>
      </c>
      <c r="N13309" s="21" t="n">
        <v>0</v>
      </c>
      <c r="O13309" s="21" t="n">
        <v>0</v>
      </c>
      <c r="P13309" s="21" t="n">
        <v>0</v>
      </c>
      <c r="Q13309" s="21" t="n">
        <v>0</v>
      </c>
      <c r="R13309" s="21" t="n">
        <v>0</v>
      </c>
      <c r="S13309" s="21" t="n">
        <v>0</v>
      </c>
      <c r="T13309" s="21" t="n">
        <v>0</v>
      </c>
      <c r="U13309" s="21" t="n">
        <v>0</v>
      </c>
      <c r="V13309" s="21" t="n">
        <v>0</v>
      </c>
      <c r="W13309" s="21" t="n">
        <v>0</v>
      </c>
      <c r="X13309" s="21" t="n">
        <v>0</v>
      </c>
      <c r="Y13309" s="21" t="n">
        <v>0</v>
      </c>
      <c r="Z13309" s="19" t="n"/>
    </row>
    <row r="13310">
      <c r="D13310" s="21">
        <f>-$B$12189</f>
        <v/>
      </c>
      <c r="E13310" s="21">
        <f>-$B$12190</f>
        <v/>
      </c>
      <c r="F13310" s="21">
        <f>2*$B$12189+$D$13297</f>
        <v/>
      </c>
      <c r="G13310" s="21">
        <f>0</f>
        <v/>
      </c>
      <c r="H13310" s="21">
        <f>-$B$12189</f>
        <v/>
      </c>
      <c r="I13310" s="21">
        <f>$B$12190</f>
        <v/>
      </c>
      <c r="J13310" s="21" t="n">
        <v>0</v>
      </c>
      <c r="K13310" s="21" t="n">
        <v>0</v>
      </c>
      <c r="L13310" s="21" t="n">
        <v>0</v>
      </c>
      <c r="M13310" s="21" t="n">
        <v>0</v>
      </c>
      <c r="N13310" s="21" t="n">
        <v>0</v>
      </c>
      <c r="O13310" s="21" t="n">
        <v>0</v>
      </c>
      <c r="P13310" s="21" t="n">
        <v>0</v>
      </c>
      <c r="Q13310" s="21" t="n">
        <v>0</v>
      </c>
      <c r="R13310" s="21" t="n">
        <v>0</v>
      </c>
      <c r="S13310" s="21" t="n">
        <v>0</v>
      </c>
      <c r="T13310" s="21" t="n">
        <v>0</v>
      </c>
      <c r="U13310" s="21" t="n">
        <v>0</v>
      </c>
      <c r="V13310" s="21" t="n">
        <v>0</v>
      </c>
      <c r="W13310" s="21" t="n">
        <v>0</v>
      </c>
      <c r="X13310" s="21" t="n">
        <v>0</v>
      </c>
      <c r="Y13310" s="21" t="n">
        <v>0</v>
      </c>
      <c r="Z13310" s="19" t="n"/>
    </row>
    <row r="13311">
      <c r="D13311" s="21">
        <f>$B$12190</f>
        <v/>
      </c>
      <c r="E13311" s="21">
        <f>$B$12192</f>
        <v/>
      </c>
      <c r="F13311" s="21">
        <f>0</f>
        <v/>
      </c>
      <c r="G13311" s="21">
        <f>2*$B$12191</f>
        <v/>
      </c>
      <c r="H13311" s="21">
        <f>-$B$12190</f>
        <v/>
      </c>
      <c r="I13311" s="21">
        <f>$B$12192</f>
        <v/>
      </c>
      <c r="J13311" s="21" t="n">
        <v>0</v>
      </c>
      <c r="K13311" s="21" t="n">
        <v>0</v>
      </c>
      <c r="L13311" s="21" t="n">
        <v>0</v>
      </c>
      <c r="M13311" s="21" t="n">
        <v>0</v>
      </c>
      <c r="N13311" s="21" t="n">
        <v>0</v>
      </c>
      <c r="O13311" s="21" t="n">
        <v>0</v>
      </c>
      <c r="P13311" s="21" t="n">
        <v>0</v>
      </c>
      <c r="Q13311" s="21" t="n">
        <v>0</v>
      </c>
      <c r="R13311" s="21" t="n">
        <v>0</v>
      </c>
      <c r="S13311" s="21" t="n">
        <v>0</v>
      </c>
      <c r="T13311" s="21" t="n">
        <v>0</v>
      </c>
      <c r="U13311" s="21" t="n">
        <v>0</v>
      </c>
      <c r="V13311" s="21" t="n">
        <v>0</v>
      </c>
      <c r="W13311" s="21" t="n">
        <v>0</v>
      </c>
      <c r="X13311" s="21" t="n">
        <v>0</v>
      </c>
      <c r="Y13311" s="21" t="n">
        <v>0</v>
      </c>
      <c r="Z13311" s="19" t="n"/>
    </row>
    <row r="13312">
      <c r="D13312" s="21" t="n">
        <v>0</v>
      </c>
      <c r="E13312" s="21" t="n">
        <v>0</v>
      </c>
      <c r="F13312" s="21">
        <f>-$B$12189</f>
        <v/>
      </c>
      <c r="G13312" s="21">
        <f>-$B$12190</f>
        <v/>
      </c>
      <c r="H13312" s="21">
        <f>2*$B$12189+$D$13298</f>
        <v/>
      </c>
      <c r="I13312" s="21">
        <f>0</f>
        <v/>
      </c>
      <c r="J13312" s="21">
        <f>-$B$12189</f>
        <v/>
      </c>
      <c r="K13312" s="21">
        <f>$B$12190</f>
        <v/>
      </c>
      <c r="L13312" s="21" t="n">
        <v>0</v>
      </c>
      <c r="M13312" s="21" t="n">
        <v>0</v>
      </c>
      <c r="N13312" s="21" t="n">
        <v>0</v>
      </c>
      <c r="O13312" s="21" t="n">
        <v>0</v>
      </c>
      <c r="P13312" s="21" t="n">
        <v>0</v>
      </c>
      <c r="Q13312" s="21" t="n">
        <v>0</v>
      </c>
      <c r="R13312" s="21" t="n">
        <v>0</v>
      </c>
      <c r="S13312" s="21" t="n">
        <v>0</v>
      </c>
      <c r="T13312" s="21" t="n">
        <v>0</v>
      </c>
      <c r="U13312" s="21" t="n">
        <v>0</v>
      </c>
      <c r="V13312" s="21" t="n">
        <v>0</v>
      </c>
      <c r="W13312" s="21" t="n">
        <v>0</v>
      </c>
      <c r="X13312" s="21" t="n">
        <v>0</v>
      </c>
      <c r="Y13312" s="21" t="n">
        <v>0</v>
      </c>
      <c r="Z13312" s="19" t="n"/>
    </row>
    <row r="13313">
      <c r="D13313" s="21" t="n">
        <v>0</v>
      </c>
      <c r="E13313" s="21" t="n">
        <v>0</v>
      </c>
      <c r="F13313" s="21">
        <f>$B$12190</f>
        <v/>
      </c>
      <c r="G13313" s="21">
        <f>$B$12192</f>
        <v/>
      </c>
      <c r="H13313" s="21">
        <f>0</f>
        <v/>
      </c>
      <c r="I13313" s="21">
        <f>2*$B$12191</f>
        <v/>
      </c>
      <c r="J13313" s="21">
        <f>-$B$12190</f>
        <v/>
      </c>
      <c r="K13313" s="21">
        <f>$B$12192</f>
        <v/>
      </c>
      <c r="L13313" s="21" t="n">
        <v>0</v>
      </c>
      <c r="M13313" s="21" t="n">
        <v>0</v>
      </c>
      <c r="N13313" s="21" t="n">
        <v>0</v>
      </c>
      <c r="O13313" s="21" t="n">
        <v>0</v>
      </c>
      <c r="P13313" s="21" t="n">
        <v>0</v>
      </c>
      <c r="Q13313" s="21" t="n">
        <v>0</v>
      </c>
      <c r="R13313" s="21" t="n">
        <v>0</v>
      </c>
      <c r="S13313" s="21" t="n">
        <v>0</v>
      </c>
      <c r="T13313" s="21" t="n">
        <v>0</v>
      </c>
      <c r="U13313" s="21" t="n">
        <v>0</v>
      </c>
      <c r="V13313" s="21" t="n">
        <v>0</v>
      </c>
      <c r="W13313" s="21" t="n">
        <v>0</v>
      </c>
      <c r="X13313" s="21" t="n">
        <v>0</v>
      </c>
      <c r="Y13313" s="21" t="n">
        <v>0</v>
      </c>
      <c r="Z13313" s="19" t="n"/>
    </row>
    <row r="13314">
      <c r="D13314" s="21" t="n">
        <v>0</v>
      </c>
      <c r="E13314" s="21" t="n">
        <v>0</v>
      </c>
      <c r="F13314" s="21" t="n">
        <v>0</v>
      </c>
      <c r="G13314" s="21" t="n">
        <v>0</v>
      </c>
      <c r="H13314" s="21">
        <f>-$B$12189</f>
        <v/>
      </c>
      <c r="I13314" s="21">
        <f>-$B$12190</f>
        <v/>
      </c>
      <c r="J13314" s="21">
        <f>2*$B$12189+$D$13299</f>
        <v/>
      </c>
      <c r="K13314" s="21">
        <f>0</f>
        <v/>
      </c>
      <c r="L13314" s="21">
        <f>-$B$12189</f>
        <v/>
      </c>
      <c r="M13314" s="21">
        <f>$B$12190</f>
        <v/>
      </c>
      <c r="N13314" s="21" t="n">
        <v>0</v>
      </c>
      <c r="O13314" s="21" t="n">
        <v>0</v>
      </c>
      <c r="P13314" s="21" t="n">
        <v>0</v>
      </c>
      <c r="Q13314" s="21" t="n">
        <v>0</v>
      </c>
      <c r="R13314" s="21" t="n">
        <v>0</v>
      </c>
      <c r="S13314" s="21" t="n">
        <v>0</v>
      </c>
      <c r="T13314" s="21" t="n">
        <v>0</v>
      </c>
      <c r="U13314" s="21" t="n">
        <v>0</v>
      </c>
      <c r="V13314" s="21" t="n">
        <v>0</v>
      </c>
      <c r="W13314" s="21" t="n">
        <v>0</v>
      </c>
      <c r="X13314" s="21" t="n">
        <v>0</v>
      </c>
      <c r="Y13314" s="21" t="n">
        <v>0</v>
      </c>
      <c r="Z13314" s="19" t="n"/>
    </row>
    <row r="13315">
      <c r="D13315" s="21" t="n">
        <v>0</v>
      </c>
      <c r="E13315" s="21" t="n">
        <v>0</v>
      </c>
      <c r="F13315" s="21" t="n">
        <v>0</v>
      </c>
      <c r="G13315" s="21" t="n">
        <v>0</v>
      </c>
      <c r="H13315" s="21">
        <f>$B$12190</f>
        <v/>
      </c>
      <c r="I13315" s="21">
        <f>$B$12192</f>
        <v/>
      </c>
      <c r="J13315" s="21">
        <f>0</f>
        <v/>
      </c>
      <c r="K13315" s="21">
        <f>2*$B$12191</f>
        <v/>
      </c>
      <c r="L13315" s="21">
        <f>-$B$12190</f>
        <v/>
      </c>
      <c r="M13315" s="21">
        <f>$B$12192</f>
        <v/>
      </c>
      <c r="N13315" s="21" t="n">
        <v>0</v>
      </c>
      <c r="O13315" s="21" t="n">
        <v>0</v>
      </c>
      <c r="P13315" s="21" t="n">
        <v>0</v>
      </c>
      <c r="Q13315" s="21" t="n">
        <v>0</v>
      </c>
      <c r="R13315" s="21" t="n">
        <v>0</v>
      </c>
      <c r="S13315" s="21" t="n">
        <v>0</v>
      </c>
      <c r="T13315" s="21" t="n">
        <v>0</v>
      </c>
      <c r="U13315" s="21" t="n">
        <v>0</v>
      </c>
      <c r="V13315" s="21" t="n">
        <v>0</v>
      </c>
      <c r="W13315" s="21" t="n">
        <v>0</v>
      </c>
      <c r="X13315" s="21" t="n">
        <v>0</v>
      </c>
      <c r="Y13315" s="21" t="n">
        <v>0</v>
      </c>
      <c r="Z13315" s="19" t="n"/>
    </row>
    <row r="13316">
      <c r="D13316" s="21" t="n">
        <v>0</v>
      </c>
      <c r="E13316" s="21" t="n">
        <v>0</v>
      </c>
      <c r="F13316" s="21" t="n">
        <v>0</v>
      </c>
      <c r="G13316" s="21" t="n">
        <v>0</v>
      </c>
      <c r="H13316" s="21" t="n">
        <v>0</v>
      </c>
      <c r="I13316" s="21" t="n">
        <v>0</v>
      </c>
      <c r="J13316" s="21">
        <f>-$B$12189</f>
        <v/>
      </c>
      <c r="K13316" s="21">
        <f>-$B$12190</f>
        <v/>
      </c>
      <c r="L13316" s="21">
        <f>2*$B$12189+$D$13300</f>
        <v/>
      </c>
      <c r="M13316" s="21">
        <f>0</f>
        <v/>
      </c>
      <c r="N13316" s="21">
        <f>-$B$12189</f>
        <v/>
      </c>
      <c r="O13316" s="21">
        <f>$B$12190</f>
        <v/>
      </c>
      <c r="P13316" s="21" t="n">
        <v>0</v>
      </c>
      <c r="Q13316" s="21" t="n">
        <v>0</v>
      </c>
      <c r="R13316" s="21" t="n">
        <v>0</v>
      </c>
      <c r="S13316" s="21" t="n">
        <v>0</v>
      </c>
      <c r="T13316" s="21" t="n">
        <v>0</v>
      </c>
      <c r="U13316" s="21" t="n">
        <v>0</v>
      </c>
      <c r="V13316" s="21" t="n">
        <v>0</v>
      </c>
      <c r="W13316" s="21" t="n">
        <v>0</v>
      </c>
      <c r="X13316" s="21" t="n">
        <v>0</v>
      </c>
      <c r="Y13316" s="21" t="n">
        <v>0</v>
      </c>
      <c r="Z13316" s="19" t="n"/>
    </row>
    <row r="13317">
      <c r="D13317" s="21" t="n">
        <v>0</v>
      </c>
      <c r="E13317" s="21" t="n">
        <v>0</v>
      </c>
      <c r="F13317" s="21" t="n">
        <v>0</v>
      </c>
      <c r="G13317" s="21" t="n">
        <v>0</v>
      </c>
      <c r="H13317" s="21" t="n">
        <v>0</v>
      </c>
      <c r="I13317" s="21" t="n">
        <v>0</v>
      </c>
      <c r="J13317" s="21">
        <f>$B$12190</f>
        <v/>
      </c>
      <c r="K13317" s="21">
        <f>$B$12192</f>
        <v/>
      </c>
      <c r="L13317" s="21">
        <f>0</f>
        <v/>
      </c>
      <c r="M13317" s="21">
        <f>2*$B$12191</f>
        <v/>
      </c>
      <c r="N13317" s="21">
        <f>-$B$12190</f>
        <v/>
      </c>
      <c r="O13317" s="21">
        <f>$B$12192</f>
        <v/>
      </c>
      <c r="P13317" s="21" t="n">
        <v>0</v>
      </c>
      <c r="Q13317" s="21" t="n">
        <v>0</v>
      </c>
      <c r="R13317" s="21" t="n">
        <v>0</v>
      </c>
      <c r="S13317" s="21" t="n">
        <v>0</v>
      </c>
      <c r="T13317" s="21" t="n">
        <v>0</v>
      </c>
      <c r="U13317" s="21" t="n">
        <v>0</v>
      </c>
      <c r="V13317" s="21" t="n">
        <v>0</v>
      </c>
      <c r="W13317" s="21" t="n">
        <v>0</v>
      </c>
      <c r="X13317" s="21" t="n">
        <v>0</v>
      </c>
      <c r="Y13317" s="21" t="n">
        <v>0</v>
      </c>
      <c r="Z13317" s="19" t="n"/>
    </row>
    <row r="13318">
      <c r="D13318" s="21" t="n">
        <v>0</v>
      </c>
      <c r="E13318" s="21" t="n">
        <v>0</v>
      </c>
      <c r="F13318" s="21" t="n">
        <v>0</v>
      </c>
      <c r="G13318" s="21" t="n">
        <v>0</v>
      </c>
      <c r="H13318" s="21" t="n">
        <v>0</v>
      </c>
      <c r="I13318" s="21" t="n">
        <v>0</v>
      </c>
      <c r="J13318" s="21" t="n">
        <v>0</v>
      </c>
      <c r="K13318" s="21" t="n">
        <v>0</v>
      </c>
      <c r="L13318" s="21">
        <f>-$B$12189</f>
        <v/>
      </c>
      <c r="M13318" s="21">
        <f>-$B$12190</f>
        <v/>
      </c>
      <c r="N13318" s="21">
        <f>2*$B$12189+$D$13301</f>
        <v/>
      </c>
      <c r="O13318" s="21">
        <f>0</f>
        <v/>
      </c>
      <c r="P13318" s="21">
        <f>-$B$12189</f>
        <v/>
      </c>
      <c r="Q13318" s="21">
        <f>$B$12190</f>
        <v/>
      </c>
      <c r="R13318" s="21" t="n">
        <v>0</v>
      </c>
      <c r="S13318" s="21" t="n">
        <v>0</v>
      </c>
      <c r="T13318" s="21" t="n">
        <v>0</v>
      </c>
      <c r="U13318" s="21" t="n">
        <v>0</v>
      </c>
      <c r="V13318" s="21" t="n">
        <v>0</v>
      </c>
      <c r="W13318" s="21" t="n">
        <v>0</v>
      </c>
      <c r="X13318" s="21" t="n">
        <v>0</v>
      </c>
      <c r="Y13318" s="21" t="n">
        <v>0</v>
      </c>
      <c r="Z13318" s="19" t="n"/>
    </row>
    <row r="13319">
      <c r="D13319" s="21" t="n">
        <v>0</v>
      </c>
      <c r="E13319" s="21" t="n">
        <v>0</v>
      </c>
      <c r="F13319" s="21" t="n">
        <v>0</v>
      </c>
      <c r="G13319" s="21" t="n">
        <v>0</v>
      </c>
      <c r="H13319" s="21" t="n">
        <v>0</v>
      </c>
      <c r="I13319" s="21" t="n">
        <v>0</v>
      </c>
      <c r="J13319" s="21" t="n">
        <v>0</v>
      </c>
      <c r="K13319" s="21" t="n">
        <v>0</v>
      </c>
      <c r="L13319" s="21">
        <f>$B$12190</f>
        <v/>
      </c>
      <c r="M13319" s="21">
        <f>$B$12192</f>
        <v/>
      </c>
      <c r="N13319" s="21">
        <f>0</f>
        <v/>
      </c>
      <c r="O13319" s="21">
        <f>2*$B$12191</f>
        <v/>
      </c>
      <c r="P13319" s="21">
        <f>-$B$12190</f>
        <v/>
      </c>
      <c r="Q13319" s="21">
        <f>$B$12192</f>
        <v/>
      </c>
      <c r="R13319" s="21" t="n">
        <v>0</v>
      </c>
      <c r="S13319" s="21" t="n">
        <v>0</v>
      </c>
      <c r="T13319" s="21" t="n">
        <v>0</v>
      </c>
      <c r="U13319" s="21" t="n">
        <v>0</v>
      </c>
      <c r="V13319" s="21" t="n">
        <v>0</v>
      </c>
      <c r="W13319" s="21" t="n">
        <v>0</v>
      </c>
      <c r="X13319" s="21" t="n">
        <v>0</v>
      </c>
      <c r="Y13319" s="21" t="n">
        <v>0</v>
      </c>
      <c r="Z13319" s="19" t="n"/>
    </row>
    <row r="13320">
      <c r="D13320" s="21" t="n">
        <v>0</v>
      </c>
      <c r="E13320" s="21" t="n">
        <v>0</v>
      </c>
      <c r="F13320" s="21" t="n">
        <v>0</v>
      </c>
      <c r="G13320" s="21" t="n">
        <v>0</v>
      </c>
      <c r="H13320" s="21" t="n">
        <v>0</v>
      </c>
      <c r="I13320" s="21" t="n">
        <v>0</v>
      </c>
      <c r="J13320" s="21" t="n">
        <v>0</v>
      </c>
      <c r="K13320" s="21" t="n">
        <v>0</v>
      </c>
      <c r="L13320" s="21" t="n">
        <v>0</v>
      </c>
      <c r="M13320" s="21" t="n">
        <v>0</v>
      </c>
      <c r="N13320" s="21">
        <f>-$B$12189</f>
        <v/>
      </c>
      <c r="O13320" s="21">
        <f>-$B$12190</f>
        <v/>
      </c>
      <c r="P13320" s="21">
        <f>2*$B$12189+$D$13302</f>
        <v/>
      </c>
      <c r="Q13320" s="21">
        <f>0</f>
        <v/>
      </c>
      <c r="R13320" s="21">
        <f>-$B$12189</f>
        <v/>
      </c>
      <c r="S13320" s="21">
        <f>$B$12190</f>
        <v/>
      </c>
      <c r="T13320" s="21" t="n">
        <v>0</v>
      </c>
      <c r="U13320" s="21" t="n">
        <v>0</v>
      </c>
      <c r="V13320" s="21" t="n">
        <v>0</v>
      </c>
      <c r="W13320" s="21" t="n">
        <v>0</v>
      </c>
      <c r="X13320" s="21" t="n">
        <v>0</v>
      </c>
      <c r="Y13320" s="21" t="n">
        <v>0</v>
      </c>
      <c r="Z13320" s="19" t="n"/>
    </row>
    <row r="13321">
      <c r="D13321" s="21" t="n">
        <v>0</v>
      </c>
      <c r="E13321" s="21" t="n">
        <v>0</v>
      </c>
      <c r="F13321" s="21" t="n">
        <v>0</v>
      </c>
      <c r="G13321" s="21" t="n">
        <v>0</v>
      </c>
      <c r="H13321" s="21" t="n">
        <v>0</v>
      </c>
      <c r="I13321" s="21" t="n">
        <v>0</v>
      </c>
      <c r="J13321" s="21" t="n">
        <v>0</v>
      </c>
      <c r="K13321" s="21" t="n">
        <v>0</v>
      </c>
      <c r="L13321" s="21" t="n">
        <v>0</v>
      </c>
      <c r="M13321" s="21" t="n">
        <v>0</v>
      </c>
      <c r="N13321" s="21">
        <f>$B$12190</f>
        <v/>
      </c>
      <c r="O13321" s="21">
        <f>$B$12192</f>
        <v/>
      </c>
      <c r="P13321" s="21">
        <f>0</f>
        <v/>
      </c>
      <c r="Q13321" s="21">
        <f>2*$B$12191</f>
        <v/>
      </c>
      <c r="R13321" s="21">
        <f>-$B$12190</f>
        <v/>
      </c>
      <c r="S13321" s="21">
        <f>$B$12192</f>
        <v/>
      </c>
      <c r="T13321" s="21" t="n">
        <v>0</v>
      </c>
      <c r="U13321" s="21" t="n">
        <v>0</v>
      </c>
      <c r="V13321" s="21" t="n">
        <v>0</v>
      </c>
      <c r="W13321" s="21" t="n">
        <v>0</v>
      </c>
      <c r="X13321" s="21" t="n">
        <v>0</v>
      </c>
      <c r="Y13321" s="21" t="n">
        <v>0</v>
      </c>
      <c r="Z13321" s="19" t="n"/>
    </row>
    <row r="13322">
      <c r="D13322" s="21" t="n">
        <v>0</v>
      </c>
      <c r="E13322" s="21" t="n">
        <v>0</v>
      </c>
      <c r="F13322" s="21" t="n">
        <v>0</v>
      </c>
      <c r="G13322" s="21" t="n">
        <v>0</v>
      </c>
      <c r="H13322" s="21" t="n">
        <v>0</v>
      </c>
      <c r="I13322" s="21" t="n">
        <v>0</v>
      </c>
      <c r="J13322" s="21" t="n">
        <v>0</v>
      </c>
      <c r="K13322" s="21" t="n">
        <v>0</v>
      </c>
      <c r="L13322" s="21" t="n">
        <v>0</v>
      </c>
      <c r="M13322" s="21" t="n">
        <v>0</v>
      </c>
      <c r="N13322" s="21" t="n">
        <v>0</v>
      </c>
      <c r="O13322" s="21" t="n">
        <v>0</v>
      </c>
      <c r="P13322" s="21">
        <f>-$B$12189</f>
        <v/>
      </c>
      <c r="Q13322" s="21">
        <f>-$B$12190</f>
        <v/>
      </c>
      <c r="R13322" s="21">
        <f>2*$B$12189+$D$13303</f>
        <v/>
      </c>
      <c r="S13322" s="21">
        <f>0</f>
        <v/>
      </c>
      <c r="T13322" s="21">
        <f>-$B$12189</f>
        <v/>
      </c>
      <c r="U13322" s="21">
        <f>$B$12190</f>
        <v/>
      </c>
      <c r="V13322" s="21" t="n">
        <v>0</v>
      </c>
      <c r="W13322" s="21" t="n">
        <v>0</v>
      </c>
      <c r="X13322" s="21" t="n">
        <v>0</v>
      </c>
      <c r="Y13322" s="21" t="n">
        <v>0</v>
      </c>
      <c r="Z13322" s="19" t="n"/>
    </row>
    <row r="13323">
      <c r="D13323" s="21" t="n">
        <v>0</v>
      </c>
      <c r="E13323" s="21" t="n">
        <v>0</v>
      </c>
      <c r="F13323" s="21" t="n">
        <v>0</v>
      </c>
      <c r="G13323" s="21" t="n">
        <v>0</v>
      </c>
      <c r="H13323" s="21" t="n">
        <v>0</v>
      </c>
      <c r="I13323" s="21" t="n">
        <v>0</v>
      </c>
      <c r="J13323" s="21" t="n">
        <v>0</v>
      </c>
      <c r="K13323" s="21" t="n">
        <v>0</v>
      </c>
      <c r="L13323" s="21" t="n">
        <v>0</v>
      </c>
      <c r="M13323" s="21" t="n">
        <v>0</v>
      </c>
      <c r="N13323" s="21" t="n">
        <v>0</v>
      </c>
      <c r="O13323" s="21" t="n">
        <v>0</v>
      </c>
      <c r="P13323" s="21">
        <f>$B$12190</f>
        <v/>
      </c>
      <c r="Q13323" s="21">
        <f>$B$12192</f>
        <v/>
      </c>
      <c r="R13323" s="21">
        <f>0</f>
        <v/>
      </c>
      <c r="S13323" s="21">
        <f>2*$B$12191</f>
        <v/>
      </c>
      <c r="T13323" s="21">
        <f>-$B$12190</f>
        <v/>
      </c>
      <c r="U13323" s="21">
        <f>$B$12192</f>
        <v/>
      </c>
      <c r="V13323" s="21" t="n">
        <v>0</v>
      </c>
      <c r="W13323" s="21" t="n">
        <v>0</v>
      </c>
      <c r="X13323" s="21" t="n">
        <v>0</v>
      </c>
      <c r="Y13323" s="21" t="n">
        <v>0</v>
      </c>
      <c r="Z13323" s="19" t="n"/>
    </row>
    <row r="13324">
      <c r="D13324" s="21" t="n">
        <v>0</v>
      </c>
      <c r="E13324" s="21" t="n">
        <v>0</v>
      </c>
      <c r="F13324" s="21" t="n">
        <v>0</v>
      </c>
      <c r="G13324" s="21" t="n">
        <v>0</v>
      </c>
      <c r="H13324" s="21" t="n">
        <v>0</v>
      </c>
      <c r="I13324" s="21" t="n">
        <v>0</v>
      </c>
      <c r="J13324" s="21" t="n">
        <v>0</v>
      </c>
      <c r="K13324" s="21" t="n">
        <v>0</v>
      </c>
      <c r="L13324" s="21" t="n">
        <v>0</v>
      </c>
      <c r="M13324" s="21" t="n">
        <v>0</v>
      </c>
      <c r="N13324" s="21" t="n">
        <v>0</v>
      </c>
      <c r="O13324" s="21" t="n">
        <v>0</v>
      </c>
      <c r="P13324" s="21" t="n">
        <v>0</v>
      </c>
      <c r="Q13324" s="21" t="n">
        <v>0</v>
      </c>
      <c r="R13324" s="21">
        <f>-$B$12189</f>
        <v/>
      </c>
      <c r="S13324" s="21">
        <f>-$B$12190</f>
        <v/>
      </c>
      <c r="T13324" s="21">
        <f>2*$B$12189+$D$13304</f>
        <v/>
      </c>
      <c r="U13324" s="21">
        <f>0</f>
        <v/>
      </c>
      <c r="V13324" s="21">
        <f>-$B$12189</f>
        <v/>
      </c>
      <c r="W13324" s="21">
        <f>$B$12190</f>
        <v/>
      </c>
      <c r="X13324" s="21" t="n">
        <v>0</v>
      </c>
      <c r="Y13324" s="21" t="n">
        <v>0</v>
      </c>
      <c r="Z13324" s="19" t="n"/>
    </row>
    <row r="13325">
      <c r="D13325" s="21" t="n">
        <v>0</v>
      </c>
      <c r="E13325" s="21" t="n">
        <v>0</v>
      </c>
      <c r="F13325" s="21" t="n">
        <v>0</v>
      </c>
      <c r="G13325" s="21" t="n">
        <v>0</v>
      </c>
      <c r="H13325" s="21" t="n">
        <v>0</v>
      </c>
      <c r="I13325" s="21" t="n">
        <v>0</v>
      </c>
      <c r="J13325" s="21" t="n">
        <v>0</v>
      </c>
      <c r="K13325" s="21" t="n">
        <v>0</v>
      </c>
      <c r="L13325" s="21" t="n">
        <v>0</v>
      </c>
      <c r="M13325" s="21" t="n">
        <v>0</v>
      </c>
      <c r="N13325" s="21" t="n">
        <v>0</v>
      </c>
      <c r="O13325" s="21" t="n">
        <v>0</v>
      </c>
      <c r="P13325" s="21" t="n">
        <v>0</v>
      </c>
      <c r="Q13325" s="21" t="n">
        <v>0</v>
      </c>
      <c r="R13325" s="21">
        <f>$B$12190</f>
        <v/>
      </c>
      <c r="S13325" s="21">
        <f>$B$12192</f>
        <v/>
      </c>
      <c r="T13325" s="21">
        <f>0</f>
        <v/>
      </c>
      <c r="U13325" s="21">
        <f>2*$B$12191</f>
        <v/>
      </c>
      <c r="V13325" s="21">
        <f>-$B$12190</f>
        <v/>
      </c>
      <c r="W13325" s="21">
        <f>$B$12192</f>
        <v/>
      </c>
      <c r="X13325" s="21" t="n">
        <v>0</v>
      </c>
      <c r="Y13325" s="21" t="n">
        <v>0</v>
      </c>
      <c r="Z13325" s="19" t="n"/>
    </row>
    <row r="13326">
      <c r="D13326" s="21" t="n">
        <v>0</v>
      </c>
      <c r="E13326" s="21" t="n">
        <v>0</v>
      </c>
      <c r="F13326" s="21" t="n">
        <v>0</v>
      </c>
      <c r="G13326" s="21" t="n">
        <v>0</v>
      </c>
      <c r="H13326" s="21" t="n">
        <v>0</v>
      </c>
      <c r="I13326" s="21" t="n">
        <v>0</v>
      </c>
      <c r="J13326" s="21" t="n">
        <v>0</v>
      </c>
      <c r="K13326" s="21" t="n">
        <v>0</v>
      </c>
      <c r="L13326" s="21" t="n">
        <v>0</v>
      </c>
      <c r="M13326" s="21" t="n">
        <v>0</v>
      </c>
      <c r="N13326" s="21" t="n">
        <v>0</v>
      </c>
      <c r="O13326" s="21" t="n">
        <v>0</v>
      </c>
      <c r="P13326" s="21" t="n">
        <v>0</v>
      </c>
      <c r="Q13326" s="21" t="n">
        <v>0</v>
      </c>
      <c r="R13326" s="21" t="n">
        <v>0</v>
      </c>
      <c r="S13326" s="21" t="n">
        <v>0</v>
      </c>
      <c r="T13326" s="21">
        <f>-$B$12189</f>
        <v/>
      </c>
      <c r="U13326" s="21">
        <f>-$B$12190</f>
        <v/>
      </c>
      <c r="V13326" s="21">
        <f>2*$B$12189+$D$13305</f>
        <v/>
      </c>
      <c r="W13326" s="21">
        <f>0</f>
        <v/>
      </c>
      <c r="X13326" s="21">
        <f>-$B$12189</f>
        <v/>
      </c>
      <c r="Y13326" s="21">
        <f>$B$12190</f>
        <v/>
      </c>
      <c r="Z13326" s="19" t="n"/>
    </row>
    <row r="13327">
      <c r="D13327" s="21" t="n">
        <v>0</v>
      </c>
      <c r="E13327" s="21" t="n">
        <v>0</v>
      </c>
      <c r="F13327" s="21" t="n">
        <v>0</v>
      </c>
      <c r="G13327" s="21" t="n">
        <v>0</v>
      </c>
      <c r="H13327" s="21" t="n">
        <v>0</v>
      </c>
      <c r="I13327" s="21" t="n">
        <v>0</v>
      </c>
      <c r="J13327" s="21" t="n">
        <v>0</v>
      </c>
      <c r="K13327" s="21" t="n">
        <v>0</v>
      </c>
      <c r="L13327" s="21" t="n">
        <v>0</v>
      </c>
      <c r="M13327" s="21" t="n">
        <v>0</v>
      </c>
      <c r="N13327" s="21" t="n">
        <v>0</v>
      </c>
      <c r="O13327" s="21" t="n">
        <v>0</v>
      </c>
      <c r="P13327" s="21" t="n">
        <v>0</v>
      </c>
      <c r="Q13327" s="21" t="n">
        <v>0</v>
      </c>
      <c r="R13327" s="21" t="n">
        <v>0</v>
      </c>
      <c r="S13327" s="21" t="n">
        <v>0</v>
      </c>
      <c r="T13327" s="21">
        <f>$B$12190</f>
        <v/>
      </c>
      <c r="U13327" s="21">
        <f>$B$12192</f>
        <v/>
      </c>
      <c r="V13327" s="21">
        <f>0</f>
        <v/>
      </c>
      <c r="W13327" s="21">
        <f>2*$B$12191</f>
        <v/>
      </c>
      <c r="X13327" s="21">
        <f>-$B$12190</f>
        <v/>
      </c>
      <c r="Y13327" s="21">
        <f>$B$12192</f>
        <v/>
      </c>
      <c r="Z13327" s="19" t="n"/>
    </row>
    <row r="13328">
      <c r="D13328" s="21" t="n">
        <v>0</v>
      </c>
      <c r="E13328" s="21" t="n">
        <v>0</v>
      </c>
      <c r="F13328" s="21" t="n">
        <v>0</v>
      </c>
      <c r="G13328" s="21" t="n">
        <v>0</v>
      </c>
      <c r="H13328" s="21" t="n">
        <v>0</v>
      </c>
      <c r="I13328" s="21" t="n">
        <v>0</v>
      </c>
      <c r="J13328" s="21" t="n">
        <v>0</v>
      </c>
      <c r="K13328" s="21" t="n">
        <v>0</v>
      </c>
      <c r="L13328" s="21" t="n">
        <v>0</v>
      </c>
      <c r="M13328" s="21" t="n">
        <v>0</v>
      </c>
      <c r="N13328" s="21" t="n">
        <v>0</v>
      </c>
      <c r="O13328" s="21" t="n">
        <v>0</v>
      </c>
      <c r="P13328" s="21" t="n">
        <v>0</v>
      </c>
      <c r="Q13328" s="21" t="n">
        <v>0</v>
      </c>
      <c r="R13328" s="21" t="n">
        <v>0</v>
      </c>
      <c r="S13328" s="21" t="n">
        <v>0</v>
      </c>
      <c r="T13328" s="21" t="n">
        <v>0</v>
      </c>
      <c r="U13328" s="21" t="n">
        <v>0</v>
      </c>
      <c r="V13328" s="21">
        <f>-$B$12189</f>
        <v/>
      </c>
      <c r="W13328" s="21">
        <f>-$B$12190</f>
        <v/>
      </c>
      <c r="X13328" s="21">
        <f>$B$12189+$D$13306</f>
        <v/>
      </c>
      <c r="Y13328" s="21">
        <f>-$B$12190</f>
        <v/>
      </c>
      <c r="Z13328" s="19" t="n"/>
    </row>
    <row r="13329">
      <c r="D13329" s="21" t="n">
        <v>0</v>
      </c>
      <c r="E13329" s="21" t="n">
        <v>0</v>
      </c>
      <c r="F13329" s="21" t="n">
        <v>0</v>
      </c>
      <c r="G13329" s="21" t="n">
        <v>0</v>
      </c>
      <c r="H13329" s="21" t="n">
        <v>0</v>
      </c>
      <c r="I13329" s="21" t="n">
        <v>0</v>
      </c>
      <c r="J13329" s="21" t="n">
        <v>0</v>
      </c>
      <c r="K13329" s="21" t="n">
        <v>0</v>
      </c>
      <c r="L13329" s="21" t="n">
        <v>0</v>
      </c>
      <c r="M13329" s="21" t="n">
        <v>0</v>
      </c>
      <c r="N13329" s="21" t="n">
        <v>0</v>
      </c>
      <c r="O13329" s="21" t="n">
        <v>0</v>
      </c>
      <c r="P13329" s="21" t="n">
        <v>0</v>
      </c>
      <c r="Q13329" s="21" t="n">
        <v>0</v>
      </c>
      <c r="R13329" s="21" t="n">
        <v>0</v>
      </c>
      <c r="S13329" s="21" t="n">
        <v>0</v>
      </c>
      <c r="T13329" s="21" t="n">
        <v>0</v>
      </c>
      <c r="U13329" s="21" t="n">
        <v>0</v>
      </c>
      <c r="V13329" s="21">
        <f>$B$12190</f>
        <v/>
      </c>
      <c r="W13329" s="21">
        <f>$B$12192</f>
        <v/>
      </c>
      <c r="X13329" s="21">
        <f>-$B$12190</f>
        <v/>
      </c>
      <c r="Y13329" s="21">
        <f>$B$12191</f>
        <v/>
      </c>
      <c r="Z13329" s="19" t="n"/>
    </row>
    <row r="13331">
      <c r="A13331" s="8" t="inlineStr">
        <is>
          <t>gen 31</t>
        </is>
      </c>
    </row>
    <row r="13332">
      <c r="D13332" s="19">
        <f>IF(ABS(IF(ABS($E$13296)&gt;0.000000001,$E$13296,0.000000001))=0,0,IF($E$12204&lt;=$B$12198,0,IF(ABS(IF(ABS($E$13296)&gt;0.000000001,$E$13296,0.000000001))&gt;=8*$B$12200,$H$12204,0.5*$H$12204*(ABS(IF(ABS($E$13296)&gt;0.000000001,$E$13296,0.000000001))/$B$12200)^(1/3)))/ABS(IF(ABS($E$13296)&gt;0.000000001,$E$13296,0.000000001))*$I$12204)</f>
        <v/>
      </c>
      <c r="E13332" s="19">
        <f>0.5*$E$13296+0.5*$Z$13344</f>
        <v/>
      </c>
      <c r="F13332" s="19">
        <f>$Z$13345</f>
        <v/>
      </c>
    </row>
    <row r="13333">
      <c r="D13333" s="19">
        <f>IF(ABS(IF(ABS($E$13297)&gt;0.000000001,$E$13297,0.000000001))=0,0,IF($E$12205&lt;=$B$12198,0,IF(ABS(IF(ABS($E$13297)&gt;0.000000001,$E$13297,0.000000001))&gt;=8*$B$12200,$H$12205,0.5*$H$12205*(ABS(IF(ABS($E$13297)&gt;0.000000001,$E$13297,0.000000001))/$B$12200)^(1/3)))/ABS(IF(ABS($E$13297)&gt;0.000000001,$E$13297,0.000000001))*$I$12205)</f>
        <v/>
      </c>
      <c r="E13333" s="19">
        <f>0.5*$E$13297+0.5*$Z$13346</f>
        <v/>
      </c>
      <c r="F13333" s="19">
        <f>$Z$13347</f>
        <v/>
      </c>
    </row>
    <row r="13334">
      <c r="D13334" s="19">
        <f>IF(ABS(IF(ABS($E$13298)&gt;0.000000001,$E$13298,0.000000001))=0,0,IF($E$12206&lt;=$B$12198,0,IF(ABS(IF(ABS($E$13298)&gt;0.000000001,$E$13298,0.000000001))&gt;=8*$B$12200,$H$12206,0.5*$H$12206*(ABS(IF(ABS($E$13298)&gt;0.000000001,$E$13298,0.000000001))/$B$12200)^(1/3)))/ABS(IF(ABS($E$13298)&gt;0.000000001,$E$13298,0.000000001))*$I$12206)</f>
        <v/>
      </c>
      <c r="E13334" s="19">
        <f>0.5*$E$13298+0.5*$Z$13348</f>
        <v/>
      </c>
      <c r="F13334" s="19">
        <f>$Z$13349</f>
        <v/>
      </c>
    </row>
    <row r="13335">
      <c r="D13335" s="19">
        <f>IF(ABS(IF(ABS($E$13299)&gt;0.000000001,$E$13299,0.000000001))=0,0,IF($E$12207&lt;=$B$12198,0,IF(ABS(IF(ABS($E$13299)&gt;0.000000001,$E$13299,0.000000001))&gt;=8*$B$12200,$H$12207,0.5*$H$12207*(ABS(IF(ABS($E$13299)&gt;0.000000001,$E$13299,0.000000001))/$B$12200)^(1/3)))/ABS(IF(ABS($E$13299)&gt;0.000000001,$E$13299,0.000000001))*$I$12207)</f>
        <v/>
      </c>
      <c r="E13335" s="19">
        <f>0.5*$E$13299+0.5*$Z$13350</f>
        <v/>
      </c>
      <c r="F13335" s="19">
        <f>$Z$13351</f>
        <v/>
      </c>
    </row>
    <row r="13336">
      <c r="D13336" s="19">
        <f>IF(ABS(IF(ABS($E$13300)&gt;0.000000001,$E$13300,0.000000001))=0,0,IF($E$12208&lt;=$B$12198,0,IF(ABS(IF(ABS($E$13300)&gt;0.000000001,$E$13300,0.000000001))&gt;=8*$B$12200,$H$12208,0.5*$H$12208*(ABS(IF(ABS($E$13300)&gt;0.000000001,$E$13300,0.000000001))/$B$12200)^(1/3)))/ABS(IF(ABS($E$13300)&gt;0.000000001,$E$13300,0.000000001))*$I$12208)</f>
        <v/>
      </c>
      <c r="E13336" s="19">
        <f>0.5*$E$13300+0.5*$Z$13352</f>
        <v/>
      </c>
      <c r="F13336" s="19">
        <f>$Z$13353</f>
        <v/>
      </c>
    </row>
    <row r="13337">
      <c r="D13337" s="19">
        <f>IF(ABS(IF(ABS($E$13301)&gt;0.000000001,$E$13301,0.000000001))=0,0,IF($E$12209&lt;=$B$12198,0,IF(ABS(IF(ABS($E$13301)&gt;0.000000001,$E$13301,0.000000001))&gt;=8*$B$12200,$H$12209,0.5*$H$12209*(ABS(IF(ABS($E$13301)&gt;0.000000001,$E$13301,0.000000001))/$B$12200)^(1/3)))/ABS(IF(ABS($E$13301)&gt;0.000000001,$E$13301,0.000000001))*$I$12209)</f>
        <v/>
      </c>
      <c r="E13337" s="19">
        <f>0.5*$E$13301+0.5*$Z$13354</f>
        <v/>
      </c>
      <c r="F13337" s="19">
        <f>$Z$13355</f>
        <v/>
      </c>
    </row>
    <row r="13338">
      <c r="D13338" s="19">
        <f>IF(ABS(IF(ABS($E$13302)&gt;0.000000001,$E$13302,0.000000001))=0,0,IF($E$12210&lt;=$B$12198,0,IF(ABS(IF(ABS($E$13302)&gt;0.000000001,$E$13302,0.000000001))&gt;=8*$B$12200,$H$12210,0.5*$H$12210*(ABS(IF(ABS($E$13302)&gt;0.000000001,$E$13302,0.000000001))/$B$12200)^(1/3)))/ABS(IF(ABS($E$13302)&gt;0.000000001,$E$13302,0.000000001))*$I$12210)</f>
        <v/>
      </c>
      <c r="E13338" s="19">
        <f>0.5*$E$13302+0.5*$Z$13356</f>
        <v/>
      </c>
      <c r="F13338" s="19">
        <f>$Z$13357</f>
        <v/>
      </c>
    </row>
    <row r="13339">
      <c r="D13339" s="19">
        <f>IF(ABS(IF(ABS($E$13303)&gt;0.000000001,$E$13303,0.000000001))=0,0,IF($E$12211&lt;=$B$12198,0,IF(ABS(IF(ABS($E$13303)&gt;0.000000001,$E$13303,0.000000001))&gt;=8*$B$12200,$H$12211,0.5*$H$12211*(ABS(IF(ABS($E$13303)&gt;0.000000001,$E$13303,0.000000001))/$B$12200)^(1/3)))/ABS(IF(ABS($E$13303)&gt;0.000000001,$E$13303,0.000000001))*$I$12211)</f>
        <v/>
      </c>
      <c r="E13339" s="19">
        <f>0.5*$E$13303+0.5*$Z$13358</f>
        <v/>
      </c>
      <c r="F13339" s="19">
        <f>$Z$13359</f>
        <v/>
      </c>
    </row>
    <row r="13340">
      <c r="D13340" s="19">
        <f>IF(ABS(IF(ABS($E$13304)&gt;0.000000001,$E$13304,0.000000001))=0,0,IF($E$12212&lt;=$B$12198,0,IF(ABS(IF(ABS($E$13304)&gt;0.000000001,$E$13304,0.000000001))&gt;=8*$B$12200,$H$12212,0.5*$H$12212*(ABS(IF(ABS($E$13304)&gt;0.000000001,$E$13304,0.000000001))/$B$12200)^(1/3)))/ABS(IF(ABS($E$13304)&gt;0.000000001,$E$13304,0.000000001))*$I$12212)</f>
        <v/>
      </c>
      <c r="E13340" s="19">
        <f>0.5*$E$13304+0.5*$Z$13360</f>
        <v/>
      </c>
      <c r="F13340" s="19">
        <f>$Z$13361</f>
        <v/>
      </c>
    </row>
    <row r="13341">
      <c r="D13341" s="19">
        <f>IF(ABS(IF(ABS($E$13305)&gt;0.000000001,$E$13305,0.000000001))=0,0,IF($E$12213&lt;=$B$12198,0,IF(ABS(IF(ABS($E$13305)&gt;0.000000001,$E$13305,0.000000001))&gt;=8*$B$12200,$H$12213,0.5*$H$12213*(ABS(IF(ABS($E$13305)&gt;0.000000001,$E$13305,0.000000001))/$B$12200)^(1/3)))/ABS(IF(ABS($E$13305)&gt;0.000000001,$E$13305,0.000000001))*$I$12213)</f>
        <v/>
      </c>
      <c r="E13341" s="19">
        <f>0.5*$E$13305+0.5*$Z$13362</f>
        <v/>
      </c>
      <c r="F13341" s="19">
        <f>$Z$13363</f>
        <v/>
      </c>
    </row>
    <row r="13342">
      <c r="D13342" s="19">
        <f>IF(ABS(IF(ABS($E$13306)&gt;0.000000001,$E$13306,0.000000001))=0,0,IF($E$12214&lt;=$B$12198,0,IF(ABS(IF(ABS($E$13306)&gt;0.000000001,$E$13306,0.000000001))&gt;=8*$B$12200,$H$12214,0.5*$H$12214*(ABS(IF(ABS($E$13306)&gt;0.000000001,$E$13306,0.000000001))/$B$12200)^(1/3)))/ABS(IF(ABS($E$13306)&gt;0.000000001,$E$13306,0.000000001))*$I$12214)</f>
        <v/>
      </c>
      <c r="E13342" s="19">
        <f>0.5*$E$13306+0.5*$Z$13364</f>
        <v/>
      </c>
      <c r="F13342" s="19">
        <f>$Z$13365</f>
        <v/>
      </c>
    </row>
    <row r="13344">
      <c r="D13344" s="21">
        <f>$B$12189+$D$13332</f>
        <v/>
      </c>
      <c r="E13344" s="21">
        <f>$B$12190</f>
        <v/>
      </c>
      <c r="F13344" s="21">
        <f>-$B$12189</f>
        <v/>
      </c>
      <c r="G13344" s="21">
        <f>$B$12190</f>
        <v/>
      </c>
      <c r="H13344" s="21" t="n">
        <v>0</v>
      </c>
      <c r="I13344" s="21" t="n">
        <v>0</v>
      </c>
      <c r="J13344" s="21" t="n">
        <v>0</v>
      </c>
      <c r="K13344" s="21" t="n">
        <v>0</v>
      </c>
      <c r="L13344" s="21" t="n">
        <v>0</v>
      </c>
      <c r="M13344" s="21" t="n">
        <v>0</v>
      </c>
      <c r="N13344" s="21" t="n">
        <v>0</v>
      </c>
      <c r="O13344" s="21" t="n">
        <v>0</v>
      </c>
      <c r="P13344" s="21" t="n">
        <v>0</v>
      </c>
      <c r="Q13344" s="21" t="n">
        <v>0</v>
      </c>
      <c r="R13344" s="21" t="n">
        <v>0</v>
      </c>
      <c r="S13344" s="21" t="n">
        <v>0</v>
      </c>
      <c r="T13344" s="21" t="n">
        <v>0</v>
      </c>
      <c r="U13344" s="21" t="n">
        <v>0</v>
      </c>
      <c r="V13344" s="21" t="n">
        <v>0</v>
      </c>
      <c r="W13344" s="21" t="n">
        <v>0</v>
      </c>
      <c r="X13344" s="21" t="n">
        <v>0</v>
      </c>
      <c r="Y13344" s="21" t="n">
        <v>0</v>
      </c>
      <c r="Z13344" s="19">
        <f t="array" ref="Z13344:Z13365">MMULT(MINVERSE($D$13344:$Y$13365),$D$12216:$D$12237)</f>
        <v/>
      </c>
    </row>
    <row r="13345">
      <c r="D13345" s="21">
        <f>$B$12190</f>
        <v/>
      </c>
      <c r="E13345" s="21">
        <f>$B$12191</f>
        <v/>
      </c>
      <c r="F13345" s="21">
        <f>-$B$12190</f>
        <v/>
      </c>
      <c r="G13345" s="21">
        <f>$B$12192</f>
        <v/>
      </c>
      <c r="H13345" s="21" t="n">
        <v>0</v>
      </c>
      <c r="I13345" s="21" t="n">
        <v>0</v>
      </c>
      <c r="J13345" s="21" t="n">
        <v>0</v>
      </c>
      <c r="K13345" s="21" t="n">
        <v>0</v>
      </c>
      <c r="L13345" s="21" t="n">
        <v>0</v>
      </c>
      <c r="M13345" s="21" t="n">
        <v>0</v>
      </c>
      <c r="N13345" s="21" t="n">
        <v>0</v>
      </c>
      <c r="O13345" s="21" t="n">
        <v>0</v>
      </c>
      <c r="P13345" s="21" t="n">
        <v>0</v>
      </c>
      <c r="Q13345" s="21" t="n">
        <v>0</v>
      </c>
      <c r="R13345" s="21" t="n">
        <v>0</v>
      </c>
      <c r="S13345" s="21" t="n">
        <v>0</v>
      </c>
      <c r="T13345" s="21" t="n">
        <v>0</v>
      </c>
      <c r="U13345" s="21" t="n">
        <v>0</v>
      </c>
      <c r="V13345" s="21" t="n">
        <v>0</v>
      </c>
      <c r="W13345" s="21" t="n">
        <v>0</v>
      </c>
      <c r="X13345" s="21" t="n">
        <v>0</v>
      </c>
      <c r="Y13345" s="21" t="n">
        <v>0</v>
      </c>
      <c r="Z13345" s="19" t="n"/>
    </row>
    <row r="13346">
      <c r="D13346" s="21">
        <f>-$B$12189</f>
        <v/>
      </c>
      <c r="E13346" s="21">
        <f>-$B$12190</f>
        <v/>
      </c>
      <c r="F13346" s="21">
        <f>2*$B$12189+$D$13333</f>
        <v/>
      </c>
      <c r="G13346" s="21">
        <f>0</f>
        <v/>
      </c>
      <c r="H13346" s="21">
        <f>-$B$12189</f>
        <v/>
      </c>
      <c r="I13346" s="21">
        <f>$B$12190</f>
        <v/>
      </c>
      <c r="J13346" s="21" t="n">
        <v>0</v>
      </c>
      <c r="K13346" s="21" t="n">
        <v>0</v>
      </c>
      <c r="L13346" s="21" t="n">
        <v>0</v>
      </c>
      <c r="M13346" s="21" t="n">
        <v>0</v>
      </c>
      <c r="N13346" s="21" t="n">
        <v>0</v>
      </c>
      <c r="O13346" s="21" t="n">
        <v>0</v>
      </c>
      <c r="P13346" s="21" t="n">
        <v>0</v>
      </c>
      <c r="Q13346" s="21" t="n">
        <v>0</v>
      </c>
      <c r="R13346" s="21" t="n">
        <v>0</v>
      </c>
      <c r="S13346" s="21" t="n">
        <v>0</v>
      </c>
      <c r="T13346" s="21" t="n">
        <v>0</v>
      </c>
      <c r="U13346" s="21" t="n">
        <v>0</v>
      </c>
      <c r="V13346" s="21" t="n">
        <v>0</v>
      </c>
      <c r="W13346" s="21" t="n">
        <v>0</v>
      </c>
      <c r="X13346" s="21" t="n">
        <v>0</v>
      </c>
      <c r="Y13346" s="21" t="n">
        <v>0</v>
      </c>
      <c r="Z13346" s="19" t="n"/>
    </row>
    <row r="13347">
      <c r="D13347" s="21">
        <f>$B$12190</f>
        <v/>
      </c>
      <c r="E13347" s="21">
        <f>$B$12192</f>
        <v/>
      </c>
      <c r="F13347" s="21">
        <f>0</f>
        <v/>
      </c>
      <c r="G13347" s="21">
        <f>2*$B$12191</f>
        <v/>
      </c>
      <c r="H13347" s="21">
        <f>-$B$12190</f>
        <v/>
      </c>
      <c r="I13347" s="21">
        <f>$B$12192</f>
        <v/>
      </c>
      <c r="J13347" s="21" t="n">
        <v>0</v>
      </c>
      <c r="K13347" s="21" t="n">
        <v>0</v>
      </c>
      <c r="L13347" s="21" t="n">
        <v>0</v>
      </c>
      <c r="M13347" s="21" t="n">
        <v>0</v>
      </c>
      <c r="N13347" s="21" t="n">
        <v>0</v>
      </c>
      <c r="O13347" s="21" t="n">
        <v>0</v>
      </c>
      <c r="P13347" s="21" t="n">
        <v>0</v>
      </c>
      <c r="Q13347" s="21" t="n">
        <v>0</v>
      </c>
      <c r="R13347" s="21" t="n">
        <v>0</v>
      </c>
      <c r="S13347" s="21" t="n">
        <v>0</v>
      </c>
      <c r="T13347" s="21" t="n">
        <v>0</v>
      </c>
      <c r="U13347" s="21" t="n">
        <v>0</v>
      </c>
      <c r="V13347" s="21" t="n">
        <v>0</v>
      </c>
      <c r="W13347" s="21" t="n">
        <v>0</v>
      </c>
      <c r="X13347" s="21" t="n">
        <v>0</v>
      </c>
      <c r="Y13347" s="21" t="n">
        <v>0</v>
      </c>
      <c r="Z13347" s="19" t="n"/>
    </row>
    <row r="13348">
      <c r="D13348" s="21" t="n">
        <v>0</v>
      </c>
      <c r="E13348" s="21" t="n">
        <v>0</v>
      </c>
      <c r="F13348" s="21">
        <f>-$B$12189</f>
        <v/>
      </c>
      <c r="G13348" s="21">
        <f>-$B$12190</f>
        <v/>
      </c>
      <c r="H13348" s="21">
        <f>2*$B$12189+$D$13334</f>
        <v/>
      </c>
      <c r="I13348" s="21">
        <f>0</f>
        <v/>
      </c>
      <c r="J13348" s="21">
        <f>-$B$12189</f>
        <v/>
      </c>
      <c r="K13348" s="21">
        <f>$B$12190</f>
        <v/>
      </c>
      <c r="L13348" s="21" t="n">
        <v>0</v>
      </c>
      <c r="M13348" s="21" t="n">
        <v>0</v>
      </c>
      <c r="N13348" s="21" t="n">
        <v>0</v>
      </c>
      <c r="O13348" s="21" t="n">
        <v>0</v>
      </c>
      <c r="P13348" s="21" t="n">
        <v>0</v>
      </c>
      <c r="Q13348" s="21" t="n">
        <v>0</v>
      </c>
      <c r="R13348" s="21" t="n">
        <v>0</v>
      </c>
      <c r="S13348" s="21" t="n">
        <v>0</v>
      </c>
      <c r="T13348" s="21" t="n">
        <v>0</v>
      </c>
      <c r="U13348" s="21" t="n">
        <v>0</v>
      </c>
      <c r="V13348" s="21" t="n">
        <v>0</v>
      </c>
      <c r="W13348" s="21" t="n">
        <v>0</v>
      </c>
      <c r="X13348" s="21" t="n">
        <v>0</v>
      </c>
      <c r="Y13348" s="21" t="n">
        <v>0</v>
      </c>
      <c r="Z13348" s="19" t="n"/>
    </row>
    <row r="13349">
      <c r="D13349" s="21" t="n">
        <v>0</v>
      </c>
      <c r="E13349" s="21" t="n">
        <v>0</v>
      </c>
      <c r="F13349" s="21">
        <f>$B$12190</f>
        <v/>
      </c>
      <c r="G13349" s="21">
        <f>$B$12192</f>
        <v/>
      </c>
      <c r="H13349" s="21">
        <f>0</f>
        <v/>
      </c>
      <c r="I13349" s="21">
        <f>2*$B$12191</f>
        <v/>
      </c>
      <c r="J13349" s="21">
        <f>-$B$12190</f>
        <v/>
      </c>
      <c r="K13349" s="21">
        <f>$B$12192</f>
        <v/>
      </c>
      <c r="L13349" s="21" t="n">
        <v>0</v>
      </c>
      <c r="M13349" s="21" t="n">
        <v>0</v>
      </c>
      <c r="N13349" s="21" t="n">
        <v>0</v>
      </c>
      <c r="O13349" s="21" t="n">
        <v>0</v>
      </c>
      <c r="P13349" s="21" t="n">
        <v>0</v>
      </c>
      <c r="Q13349" s="21" t="n">
        <v>0</v>
      </c>
      <c r="R13349" s="21" t="n">
        <v>0</v>
      </c>
      <c r="S13349" s="21" t="n">
        <v>0</v>
      </c>
      <c r="T13349" s="21" t="n">
        <v>0</v>
      </c>
      <c r="U13349" s="21" t="n">
        <v>0</v>
      </c>
      <c r="V13349" s="21" t="n">
        <v>0</v>
      </c>
      <c r="W13349" s="21" t="n">
        <v>0</v>
      </c>
      <c r="X13349" s="21" t="n">
        <v>0</v>
      </c>
      <c r="Y13349" s="21" t="n">
        <v>0</v>
      </c>
      <c r="Z13349" s="19" t="n"/>
    </row>
    <row r="13350">
      <c r="D13350" s="21" t="n">
        <v>0</v>
      </c>
      <c r="E13350" s="21" t="n">
        <v>0</v>
      </c>
      <c r="F13350" s="21" t="n">
        <v>0</v>
      </c>
      <c r="G13350" s="21" t="n">
        <v>0</v>
      </c>
      <c r="H13350" s="21">
        <f>-$B$12189</f>
        <v/>
      </c>
      <c r="I13350" s="21">
        <f>-$B$12190</f>
        <v/>
      </c>
      <c r="J13350" s="21">
        <f>2*$B$12189+$D$13335</f>
        <v/>
      </c>
      <c r="K13350" s="21">
        <f>0</f>
        <v/>
      </c>
      <c r="L13350" s="21">
        <f>-$B$12189</f>
        <v/>
      </c>
      <c r="M13350" s="21">
        <f>$B$12190</f>
        <v/>
      </c>
      <c r="N13350" s="21" t="n">
        <v>0</v>
      </c>
      <c r="O13350" s="21" t="n">
        <v>0</v>
      </c>
      <c r="P13350" s="21" t="n">
        <v>0</v>
      </c>
      <c r="Q13350" s="21" t="n">
        <v>0</v>
      </c>
      <c r="R13350" s="21" t="n">
        <v>0</v>
      </c>
      <c r="S13350" s="21" t="n">
        <v>0</v>
      </c>
      <c r="T13350" s="21" t="n">
        <v>0</v>
      </c>
      <c r="U13350" s="21" t="n">
        <v>0</v>
      </c>
      <c r="V13350" s="21" t="n">
        <v>0</v>
      </c>
      <c r="W13350" s="21" t="n">
        <v>0</v>
      </c>
      <c r="X13350" s="21" t="n">
        <v>0</v>
      </c>
      <c r="Y13350" s="21" t="n">
        <v>0</v>
      </c>
      <c r="Z13350" s="19" t="n"/>
    </row>
    <row r="13351">
      <c r="D13351" s="21" t="n">
        <v>0</v>
      </c>
      <c r="E13351" s="21" t="n">
        <v>0</v>
      </c>
      <c r="F13351" s="21" t="n">
        <v>0</v>
      </c>
      <c r="G13351" s="21" t="n">
        <v>0</v>
      </c>
      <c r="H13351" s="21">
        <f>$B$12190</f>
        <v/>
      </c>
      <c r="I13351" s="21">
        <f>$B$12192</f>
        <v/>
      </c>
      <c r="J13351" s="21">
        <f>0</f>
        <v/>
      </c>
      <c r="K13351" s="21">
        <f>2*$B$12191</f>
        <v/>
      </c>
      <c r="L13351" s="21">
        <f>-$B$12190</f>
        <v/>
      </c>
      <c r="M13351" s="21">
        <f>$B$12192</f>
        <v/>
      </c>
      <c r="N13351" s="21" t="n">
        <v>0</v>
      </c>
      <c r="O13351" s="21" t="n">
        <v>0</v>
      </c>
      <c r="P13351" s="21" t="n">
        <v>0</v>
      </c>
      <c r="Q13351" s="21" t="n">
        <v>0</v>
      </c>
      <c r="R13351" s="21" t="n">
        <v>0</v>
      </c>
      <c r="S13351" s="21" t="n">
        <v>0</v>
      </c>
      <c r="T13351" s="21" t="n">
        <v>0</v>
      </c>
      <c r="U13351" s="21" t="n">
        <v>0</v>
      </c>
      <c r="V13351" s="21" t="n">
        <v>0</v>
      </c>
      <c r="W13351" s="21" t="n">
        <v>0</v>
      </c>
      <c r="X13351" s="21" t="n">
        <v>0</v>
      </c>
      <c r="Y13351" s="21" t="n">
        <v>0</v>
      </c>
      <c r="Z13351" s="19" t="n"/>
    </row>
    <row r="13352">
      <c r="D13352" s="21" t="n">
        <v>0</v>
      </c>
      <c r="E13352" s="21" t="n">
        <v>0</v>
      </c>
      <c r="F13352" s="21" t="n">
        <v>0</v>
      </c>
      <c r="G13352" s="21" t="n">
        <v>0</v>
      </c>
      <c r="H13352" s="21" t="n">
        <v>0</v>
      </c>
      <c r="I13352" s="21" t="n">
        <v>0</v>
      </c>
      <c r="J13352" s="21">
        <f>-$B$12189</f>
        <v/>
      </c>
      <c r="K13352" s="21">
        <f>-$B$12190</f>
        <v/>
      </c>
      <c r="L13352" s="21">
        <f>2*$B$12189+$D$13336</f>
        <v/>
      </c>
      <c r="M13352" s="21">
        <f>0</f>
        <v/>
      </c>
      <c r="N13352" s="21">
        <f>-$B$12189</f>
        <v/>
      </c>
      <c r="O13352" s="21">
        <f>$B$12190</f>
        <v/>
      </c>
      <c r="P13352" s="21" t="n">
        <v>0</v>
      </c>
      <c r="Q13352" s="21" t="n">
        <v>0</v>
      </c>
      <c r="R13352" s="21" t="n">
        <v>0</v>
      </c>
      <c r="S13352" s="21" t="n">
        <v>0</v>
      </c>
      <c r="T13352" s="21" t="n">
        <v>0</v>
      </c>
      <c r="U13352" s="21" t="n">
        <v>0</v>
      </c>
      <c r="V13352" s="21" t="n">
        <v>0</v>
      </c>
      <c r="W13352" s="21" t="n">
        <v>0</v>
      </c>
      <c r="X13352" s="21" t="n">
        <v>0</v>
      </c>
      <c r="Y13352" s="21" t="n">
        <v>0</v>
      </c>
      <c r="Z13352" s="19" t="n"/>
    </row>
    <row r="13353">
      <c r="D13353" s="21" t="n">
        <v>0</v>
      </c>
      <c r="E13353" s="21" t="n">
        <v>0</v>
      </c>
      <c r="F13353" s="21" t="n">
        <v>0</v>
      </c>
      <c r="G13353" s="21" t="n">
        <v>0</v>
      </c>
      <c r="H13353" s="21" t="n">
        <v>0</v>
      </c>
      <c r="I13353" s="21" t="n">
        <v>0</v>
      </c>
      <c r="J13353" s="21">
        <f>$B$12190</f>
        <v/>
      </c>
      <c r="K13353" s="21">
        <f>$B$12192</f>
        <v/>
      </c>
      <c r="L13353" s="21">
        <f>0</f>
        <v/>
      </c>
      <c r="M13353" s="21">
        <f>2*$B$12191</f>
        <v/>
      </c>
      <c r="N13353" s="21">
        <f>-$B$12190</f>
        <v/>
      </c>
      <c r="O13353" s="21">
        <f>$B$12192</f>
        <v/>
      </c>
      <c r="P13353" s="21" t="n">
        <v>0</v>
      </c>
      <c r="Q13353" s="21" t="n">
        <v>0</v>
      </c>
      <c r="R13353" s="21" t="n">
        <v>0</v>
      </c>
      <c r="S13353" s="21" t="n">
        <v>0</v>
      </c>
      <c r="T13353" s="21" t="n">
        <v>0</v>
      </c>
      <c r="U13353" s="21" t="n">
        <v>0</v>
      </c>
      <c r="V13353" s="21" t="n">
        <v>0</v>
      </c>
      <c r="W13353" s="21" t="n">
        <v>0</v>
      </c>
      <c r="X13353" s="21" t="n">
        <v>0</v>
      </c>
      <c r="Y13353" s="21" t="n">
        <v>0</v>
      </c>
      <c r="Z13353" s="19" t="n"/>
    </row>
    <row r="13354">
      <c r="D13354" s="21" t="n">
        <v>0</v>
      </c>
      <c r="E13354" s="21" t="n">
        <v>0</v>
      </c>
      <c r="F13354" s="21" t="n">
        <v>0</v>
      </c>
      <c r="G13354" s="21" t="n">
        <v>0</v>
      </c>
      <c r="H13354" s="21" t="n">
        <v>0</v>
      </c>
      <c r="I13354" s="21" t="n">
        <v>0</v>
      </c>
      <c r="J13354" s="21" t="n">
        <v>0</v>
      </c>
      <c r="K13354" s="21" t="n">
        <v>0</v>
      </c>
      <c r="L13354" s="21">
        <f>-$B$12189</f>
        <v/>
      </c>
      <c r="M13354" s="21">
        <f>-$B$12190</f>
        <v/>
      </c>
      <c r="N13354" s="21">
        <f>2*$B$12189+$D$13337</f>
        <v/>
      </c>
      <c r="O13354" s="21">
        <f>0</f>
        <v/>
      </c>
      <c r="P13354" s="21">
        <f>-$B$12189</f>
        <v/>
      </c>
      <c r="Q13354" s="21">
        <f>$B$12190</f>
        <v/>
      </c>
      <c r="R13354" s="21" t="n">
        <v>0</v>
      </c>
      <c r="S13354" s="21" t="n">
        <v>0</v>
      </c>
      <c r="T13354" s="21" t="n">
        <v>0</v>
      </c>
      <c r="U13354" s="21" t="n">
        <v>0</v>
      </c>
      <c r="V13354" s="21" t="n">
        <v>0</v>
      </c>
      <c r="W13354" s="21" t="n">
        <v>0</v>
      </c>
      <c r="X13354" s="21" t="n">
        <v>0</v>
      </c>
      <c r="Y13354" s="21" t="n">
        <v>0</v>
      </c>
      <c r="Z13354" s="19" t="n"/>
    </row>
    <row r="13355">
      <c r="D13355" s="21" t="n">
        <v>0</v>
      </c>
      <c r="E13355" s="21" t="n">
        <v>0</v>
      </c>
      <c r="F13355" s="21" t="n">
        <v>0</v>
      </c>
      <c r="G13355" s="21" t="n">
        <v>0</v>
      </c>
      <c r="H13355" s="21" t="n">
        <v>0</v>
      </c>
      <c r="I13355" s="21" t="n">
        <v>0</v>
      </c>
      <c r="J13355" s="21" t="n">
        <v>0</v>
      </c>
      <c r="K13355" s="21" t="n">
        <v>0</v>
      </c>
      <c r="L13355" s="21">
        <f>$B$12190</f>
        <v/>
      </c>
      <c r="M13355" s="21">
        <f>$B$12192</f>
        <v/>
      </c>
      <c r="N13355" s="21">
        <f>0</f>
        <v/>
      </c>
      <c r="O13355" s="21">
        <f>2*$B$12191</f>
        <v/>
      </c>
      <c r="P13355" s="21">
        <f>-$B$12190</f>
        <v/>
      </c>
      <c r="Q13355" s="21">
        <f>$B$12192</f>
        <v/>
      </c>
      <c r="R13355" s="21" t="n">
        <v>0</v>
      </c>
      <c r="S13355" s="21" t="n">
        <v>0</v>
      </c>
      <c r="T13355" s="21" t="n">
        <v>0</v>
      </c>
      <c r="U13355" s="21" t="n">
        <v>0</v>
      </c>
      <c r="V13355" s="21" t="n">
        <v>0</v>
      </c>
      <c r="W13355" s="21" t="n">
        <v>0</v>
      </c>
      <c r="X13355" s="21" t="n">
        <v>0</v>
      </c>
      <c r="Y13355" s="21" t="n">
        <v>0</v>
      </c>
      <c r="Z13355" s="19" t="n"/>
    </row>
    <row r="13356">
      <c r="D13356" s="21" t="n">
        <v>0</v>
      </c>
      <c r="E13356" s="21" t="n">
        <v>0</v>
      </c>
      <c r="F13356" s="21" t="n">
        <v>0</v>
      </c>
      <c r="G13356" s="21" t="n">
        <v>0</v>
      </c>
      <c r="H13356" s="21" t="n">
        <v>0</v>
      </c>
      <c r="I13356" s="21" t="n">
        <v>0</v>
      </c>
      <c r="J13356" s="21" t="n">
        <v>0</v>
      </c>
      <c r="K13356" s="21" t="n">
        <v>0</v>
      </c>
      <c r="L13356" s="21" t="n">
        <v>0</v>
      </c>
      <c r="M13356" s="21" t="n">
        <v>0</v>
      </c>
      <c r="N13356" s="21">
        <f>-$B$12189</f>
        <v/>
      </c>
      <c r="O13356" s="21">
        <f>-$B$12190</f>
        <v/>
      </c>
      <c r="P13356" s="21">
        <f>2*$B$12189+$D$13338</f>
        <v/>
      </c>
      <c r="Q13356" s="21">
        <f>0</f>
        <v/>
      </c>
      <c r="R13356" s="21">
        <f>-$B$12189</f>
        <v/>
      </c>
      <c r="S13356" s="21">
        <f>$B$12190</f>
        <v/>
      </c>
      <c r="T13356" s="21" t="n">
        <v>0</v>
      </c>
      <c r="U13356" s="21" t="n">
        <v>0</v>
      </c>
      <c r="V13356" s="21" t="n">
        <v>0</v>
      </c>
      <c r="W13356" s="21" t="n">
        <v>0</v>
      </c>
      <c r="X13356" s="21" t="n">
        <v>0</v>
      </c>
      <c r="Y13356" s="21" t="n">
        <v>0</v>
      </c>
      <c r="Z13356" s="19" t="n"/>
    </row>
    <row r="13357">
      <c r="D13357" s="21" t="n">
        <v>0</v>
      </c>
      <c r="E13357" s="21" t="n">
        <v>0</v>
      </c>
      <c r="F13357" s="21" t="n">
        <v>0</v>
      </c>
      <c r="G13357" s="21" t="n">
        <v>0</v>
      </c>
      <c r="H13357" s="21" t="n">
        <v>0</v>
      </c>
      <c r="I13357" s="21" t="n">
        <v>0</v>
      </c>
      <c r="J13357" s="21" t="n">
        <v>0</v>
      </c>
      <c r="K13357" s="21" t="n">
        <v>0</v>
      </c>
      <c r="L13357" s="21" t="n">
        <v>0</v>
      </c>
      <c r="M13357" s="21" t="n">
        <v>0</v>
      </c>
      <c r="N13357" s="21">
        <f>$B$12190</f>
        <v/>
      </c>
      <c r="O13357" s="21">
        <f>$B$12192</f>
        <v/>
      </c>
      <c r="P13357" s="21">
        <f>0</f>
        <v/>
      </c>
      <c r="Q13357" s="21">
        <f>2*$B$12191</f>
        <v/>
      </c>
      <c r="R13357" s="21">
        <f>-$B$12190</f>
        <v/>
      </c>
      <c r="S13357" s="21">
        <f>$B$12192</f>
        <v/>
      </c>
      <c r="T13357" s="21" t="n">
        <v>0</v>
      </c>
      <c r="U13357" s="21" t="n">
        <v>0</v>
      </c>
      <c r="V13357" s="21" t="n">
        <v>0</v>
      </c>
      <c r="W13357" s="21" t="n">
        <v>0</v>
      </c>
      <c r="X13357" s="21" t="n">
        <v>0</v>
      </c>
      <c r="Y13357" s="21" t="n">
        <v>0</v>
      </c>
      <c r="Z13357" s="19" t="n"/>
    </row>
    <row r="13358">
      <c r="D13358" s="21" t="n">
        <v>0</v>
      </c>
      <c r="E13358" s="21" t="n">
        <v>0</v>
      </c>
      <c r="F13358" s="21" t="n">
        <v>0</v>
      </c>
      <c r="G13358" s="21" t="n">
        <v>0</v>
      </c>
      <c r="H13358" s="21" t="n">
        <v>0</v>
      </c>
      <c r="I13358" s="21" t="n">
        <v>0</v>
      </c>
      <c r="J13358" s="21" t="n">
        <v>0</v>
      </c>
      <c r="K13358" s="21" t="n">
        <v>0</v>
      </c>
      <c r="L13358" s="21" t="n">
        <v>0</v>
      </c>
      <c r="M13358" s="21" t="n">
        <v>0</v>
      </c>
      <c r="N13358" s="21" t="n">
        <v>0</v>
      </c>
      <c r="O13358" s="21" t="n">
        <v>0</v>
      </c>
      <c r="P13358" s="21">
        <f>-$B$12189</f>
        <v/>
      </c>
      <c r="Q13358" s="21">
        <f>-$B$12190</f>
        <v/>
      </c>
      <c r="R13358" s="21">
        <f>2*$B$12189+$D$13339</f>
        <v/>
      </c>
      <c r="S13358" s="21">
        <f>0</f>
        <v/>
      </c>
      <c r="T13358" s="21">
        <f>-$B$12189</f>
        <v/>
      </c>
      <c r="U13358" s="21">
        <f>$B$12190</f>
        <v/>
      </c>
      <c r="V13358" s="21" t="n">
        <v>0</v>
      </c>
      <c r="W13358" s="21" t="n">
        <v>0</v>
      </c>
      <c r="X13358" s="21" t="n">
        <v>0</v>
      </c>
      <c r="Y13358" s="21" t="n">
        <v>0</v>
      </c>
      <c r="Z13358" s="19" t="n"/>
    </row>
    <row r="13359">
      <c r="D13359" s="21" t="n">
        <v>0</v>
      </c>
      <c r="E13359" s="21" t="n">
        <v>0</v>
      </c>
      <c r="F13359" s="21" t="n">
        <v>0</v>
      </c>
      <c r="G13359" s="21" t="n">
        <v>0</v>
      </c>
      <c r="H13359" s="21" t="n">
        <v>0</v>
      </c>
      <c r="I13359" s="21" t="n">
        <v>0</v>
      </c>
      <c r="J13359" s="21" t="n">
        <v>0</v>
      </c>
      <c r="K13359" s="21" t="n">
        <v>0</v>
      </c>
      <c r="L13359" s="21" t="n">
        <v>0</v>
      </c>
      <c r="M13359" s="21" t="n">
        <v>0</v>
      </c>
      <c r="N13359" s="21" t="n">
        <v>0</v>
      </c>
      <c r="O13359" s="21" t="n">
        <v>0</v>
      </c>
      <c r="P13359" s="21">
        <f>$B$12190</f>
        <v/>
      </c>
      <c r="Q13359" s="21">
        <f>$B$12192</f>
        <v/>
      </c>
      <c r="R13359" s="21">
        <f>0</f>
        <v/>
      </c>
      <c r="S13359" s="21">
        <f>2*$B$12191</f>
        <v/>
      </c>
      <c r="T13359" s="21">
        <f>-$B$12190</f>
        <v/>
      </c>
      <c r="U13359" s="21">
        <f>$B$12192</f>
        <v/>
      </c>
      <c r="V13359" s="21" t="n">
        <v>0</v>
      </c>
      <c r="W13359" s="21" t="n">
        <v>0</v>
      </c>
      <c r="X13359" s="21" t="n">
        <v>0</v>
      </c>
      <c r="Y13359" s="21" t="n">
        <v>0</v>
      </c>
      <c r="Z13359" s="19" t="n"/>
    </row>
    <row r="13360">
      <c r="D13360" s="21" t="n">
        <v>0</v>
      </c>
      <c r="E13360" s="21" t="n">
        <v>0</v>
      </c>
      <c r="F13360" s="21" t="n">
        <v>0</v>
      </c>
      <c r="G13360" s="21" t="n">
        <v>0</v>
      </c>
      <c r="H13360" s="21" t="n">
        <v>0</v>
      </c>
      <c r="I13360" s="21" t="n">
        <v>0</v>
      </c>
      <c r="J13360" s="21" t="n">
        <v>0</v>
      </c>
      <c r="K13360" s="21" t="n">
        <v>0</v>
      </c>
      <c r="L13360" s="21" t="n">
        <v>0</v>
      </c>
      <c r="M13360" s="21" t="n">
        <v>0</v>
      </c>
      <c r="N13360" s="21" t="n">
        <v>0</v>
      </c>
      <c r="O13360" s="21" t="n">
        <v>0</v>
      </c>
      <c r="P13360" s="21" t="n">
        <v>0</v>
      </c>
      <c r="Q13360" s="21" t="n">
        <v>0</v>
      </c>
      <c r="R13360" s="21">
        <f>-$B$12189</f>
        <v/>
      </c>
      <c r="S13360" s="21">
        <f>-$B$12190</f>
        <v/>
      </c>
      <c r="T13360" s="21">
        <f>2*$B$12189+$D$13340</f>
        <v/>
      </c>
      <c r="U13360" s="21">
        <f>0</f>
        <v/>
      </c>
      <c r="V13360" s="21">
        <f>-$B$12189</f>
        <v/>
      </c>
      <c r="W13360" s="21">
        <f>$B$12190</f>
        <v/>
      </c>
      <c r="X13360" s="21" t="n">
        <v>0</v>
      </c>
      <c r="Y13360" s="21" t="n">
        <v>0</v>
      </c>
      <c r="Z13360" s="19" t="n"/>
    </row>
    <row r="13361">
      <c r="D13361" s="21" t="n">
        <v>0</v>
      </c>
      <c r="E13361" s="21" t="n">
        <v>0</v>
      </c>
      <c r="F13361" s="21" t="n">
        <v>0</v>
      </c>
      <c r="G13361" s="21" t="n">
        <v>0</v>
      </c>
      <c r="H13361" s="21" t="n">
        <v>0</v>
      </c>
      <c r="I13361" s="21" t="n">
        <v>0</v>
      </c>
      <c r="J13361" s="21" t="n">
        <v>0</v>
      </c>
      <c r="K13361" s="21" t="n">
        <v>0</v>
      </c>
      <c r="L13361" s="21" t="n">
        <v>0</v>
      </c>
      <c r="M13361" s="21" t="n">
        <v>0</v>
      </c>
      <c r="N13361" s="21" t="n">
        <v>0</v>
      </c>
      <c r="O13361" s="21" t="n">
        <v>0</v>
      </c>
      <c r="P13361" s="21" t="n">
        <v>0</v>
      </c>
      <c r="Q13361" s="21" t="n">
        <v>0</v>
      </c>
      <c r="R13361" s="21">
        <f>$B$12190</f>
        <v/>
      </c>
      <c r="S13361" s="21">
        <f>$B$12192</f>
        <v/>
      </c>
      <c r="T13361" s="21">
        <f>0</f>
        <v/>
      </c>
      <c r="U13361" s="21">
        <f>2*$B$12191</f>
        <v/>
      </c>
      <c r="V13361" s="21">
        <f>-$B$12190</f>
        <v/>
      </c>
      <c r="W13361" s="21">
        <f>$B$12192</f>
        <v/>
      </c>
      <c r="X13361" s="21" t="n">
        <v>0</v>
      </c>
      <c r="Y13361" s="21" t="n">
        <v>0</v>
      </c>
      <c r="Z13361" s="19" t="n"/>
    </row>
    <row r="13362">
      <c r="D13362" s="21" t="n">
        <v>0</v>
      </c>
      <c r="E13362" s="21" t="n">
        <v>0</v>
      </c>
      <c r="F13362" s="21" t="n">
        <v>0</v>
      </c>
      <c r="G13362" s="21" t="n">
        <v>0</v>
      </c>
      <c r="H13362" s="21" t="n">
        <v>0</v>
      </c>
      <c r="I13362" s="21" t="n">
        <v>0</v>
      </c>
      <c r="J13362" s="21" t="n">
        <v>0</v>
      </c>
      <c r="K13362" s="21" t="n">
        <v>0</v>
      </c>
      <c r="L13362" s="21" t="n">
        <v>0</v>
      </c>
      <c r="M13362" s="21" t="n">
        <v>0</v>
      </c>
      <c r="N13362" s="21" t="n">
        <v>0</v>
      </c>
      <c r="O13362" s="21" t="n">
        <v>0</v>
      </c>
      <c r="P13362" s="21" t="n">
        <v>0</v>
      </c>
      <c r="Q13362" s="21" t="n">
        <v>0</v>
      </c>
      <c r="R13362" s="21" t="n">
        <v>0</v>
      </c>
      <c r="S13362" s="21" t="n">
        <v>0</v>
      </c>
      <c r="T13362" s="21">
        <f>-$B$12189</f>
        <v/>
      </c>
      <c r="U13362" s="21">
        <f>-$B$12190</f>
        <v/>
      </c>
      <c r="V13362" s="21">
        <f>2*$B$12189+$D$13341</f>
        <v/>
      </c>
      <c r="W13362" s="21">
        <f>0</f>
        <v/>
      </c>
      <c r="X13362" s="21">
        <f>-$B$12189</f>
        <v/>
      </c>
      <c r="Y13362" s="21">
        <f>$B$12190</f>
        <v/>
      </c>
      <c r="Z13362" s="19" t="n"/>
    </row>
    <row r="13363">
      <c r="D13363" s="21" t="n">
        <v>0</v>
      </c>
      <c r="E13363" s="21" t="n">
        <v>0</v>
      </c>
      <c r="F13363" s="21" t="n">
        <v>0</v>
      </c>
      <c r="G13363" s="21" t="n">
        <v>0</v>
      </c>
      <c r="H13363" s="21" t="n">
        <v>0</v>
      </c>
      <c r="I13363" s="21" t="n">
        <v>0</v>
      </c>
      <c r="J13363" s="21" t="n">
        <v>0</v>
      </c>
      <c r="K13363" s="21" t="n">
        <v>0</v>
      </c>
      <c r="L13363" s="21" t="n">
        <v>0</v>
      </c>
      <c r="M13363" s="21" t="n">
        <v>0</v>
      </c>
      <c r="N13363" s="21" t="n">
        <v>0</v>
      </c>
      <c r="O13363" s="21" t="n">
        <v>0</v>
      </c>
      <c r="P13363" s="21" t="n">
        <v>0</v>
      </c>
      <c r="Q13363" s="21" t="n">
        <v>0</v>
      </c>
      <c r="R13363" s="21" t="n">
        <v>0</v>
      </c>
      <c r="S13363" s="21" t="n">
        <v>0</v>
      </c>
      <c r="T13363" s="21">
        <f>$B$12190</f>
        <v/>
      </c>
      <c r="U13363" s="21">
        <f>$B$12192</f>
        <v/>
      </c>
      <c r="V13363" s="21">
        <f>0</f>
        <v/>
      </c>
      <c r="W13363" s="21">
        <f>2*$B$12191</f>
        <v/>
      </c>
      <c r="X13363" s="21">
        <f>-$B$12190</f>
        <v/>
      </c>
      <c r="Y13363" s="21">
        <f>$B$12192</f>
        <v/>
      </c>
      <c r="Z13363" s="19" t="n"/>
    </row>
    <row r="13364">
      <c r="D13364" s="21" t="n">
        <v>0</v>
      </c>
      <c r="E13364" s="21" t="n">
        <v>0</v>
      </c>
      <c r="F13364" s="21" t="n">
        <v>0</v>
      </c>
      <c r="G13364" s="21" t="n">
        <v>0</v>
      </c>
      <c r="H13364" s="21" t="n">
        <v>0</v>
      </c>
      <c r="I13364" s="21" t="n">
        <v>0</v>
      </c>
      <c r="J13364" s="21" t="n">
        <v>0</v>
      </c>
      <c r="K13364" s="21" t="n">
        <v>0</v>
      </c>
      <c r="L13364" s="21" t="n">
        <v>0</v>
      </c>
      <c r="M13364" s="21" t="n">
        <v>0</v>
      </c>
      <c r="N13364" s="21" t="n">
        <v>0</v>
      </c>
      <c r="O13364" s="21" t="n">
        <v>0</v>
      </c>
      <c r="P13364" s="21" t="n">
        <v>0</v>
      </c>
      <c r="Q13364" s="21" t="n">
        <v>0</v>
      </c>
      <c r="R13364" s="21" t="n">
        <v>0</v>
      </c>
      <c r="S13364" s="21" t="n">
        <v>0</v>
      </c>
      <c r="T13364" s="21" t="n">
        <v>0</v>
      </c>
      <c r="U13364" s="21" t="n">
        <v>0</v>
      </c>
      <c r="V13364" s="21">
        <f>-$B$12189</f>
        <v/>
      </c>
      <c r="W13364" s="21">
        <f>-$B$12190</f>
        <v/>
      </c>
      <c r="X13364" s="21">
        <f>$B$12189+$D$13342</f>
        <v/>
      </c>
      <c r="Y13364" s="21">
        <f>-$B$12190</f>
        <v/>
      </c>
      <c r="Z13364" s="19" t="n"/>
    </row>
    <row r="13365">
      <c r="D13365" s="21" t="n">
        <v>0</v>
      </c>
      <c r="E13365" s="21" t="n">
        <v>0</v>
      </c>
      <c r="F13365" s="21" t="n">
        <v>0</v>
      </c>
      <c r="G13365" s="21" t="n">
        <v>0</v>
      </c>
      <c r="H13365" s="21" t="n">
        <v>0</v>
      </c>
      <c r="I13365" s="21" t="n">
        <v>0</v>
      </c>
      <c r="J13365" s="21" t="n">
        <v>0</v>
      </c>
      <c r="K13365" s="21" t="n">
        <v>0</v>
      </c>
      <c r="L13365" s="21" t="n">
        <v>0</v>
      </c>
      <c r="M13365" s="21" t="n">
        <v>0</v>
      </c>
      <c r="N13365" s="21" t="n">
        <v>0</v>
      </c>
      <c r="O13365" s="21" t="n">
        <v>0</v>
      </c>
      <c r="P13365" s="21" t="n">
        <v>0</v>
      </c>
      <c r="Q13365" s="21" t="n">
        <v>0</v>
      </c>
      <c r="R13365" s="21" t="n">
        <v>0</v>
      </c>
      <c r="S13365" s="21" t="n">
        <v>0</v>
      </c>
      <c r="T13365" s="21" t="n">
        <v>0</v>
      </c>
      <c r="U13365" s="21" t="n">
        <v>0</v>
      </c>
      <c r="V13365" s="21">
        <f>$B$12190</f>
        <v/>
      </c>
      <c r="W13365" s="21">
        <f>$B$12192</f>
        <v/>
      </c>
      <c r="X13365" s="21">
        <f>-$B$12190</f>
        <v/>
      </c>
      <c r="Y13365" s="21">
        <f>$B$12191</f>
        <v/>
      </c>
      <c r="Z13365" s="19" t="n"/>
    </row>
    <row r="13367">
      <c r="A13367" s="8" t="inlineStr">
        <is>
          <t>gen 32</t>
        </is>
      </c>
    </row>
    <row r="13368">
      <c r="D13368" s="19">
        <f>IF(ABS(IF(ABS($E$13332)&gt;0.000000001,$E$13332,0.000000001))=0,0,IF($E$12204&lt;=$B$12198,0,IF(ABS(IF(ABS($E$13332)&gt;0.000000001,$E$13332,0.000000001))&gt;=8*$B$12200,$H$12204,0.5*$H$12204*(ABS(IF(ABS($E$13332)&gt;0.000000001,$E$13332,0.000000001))/$B$12200)^(1/3)))/ABS(IF(ABS($E$13332)&gt;0.000000001,$E$13332,0.000000001))*$I$12204)</f>
        <v/>
      </c>
      <c r="E13368" s="19">
        <f>0.5*$E$13332+0.5*$Z$13380</f>
        <v/>
      </c>
      <c r="F13368" s="19">
        <f>$Z$13381</f>
        <v/>
      </c>
    </row>
    <row r="13369">
      <c r="D13369" s="19">
        <f>IF(ABS(IF(ABS($E$13333)&gt;0.000000001,$E$13333,0.000000001))=0,0,IF($E$12205&lt;=$B$12198,0,IF(ABS(IF(ABS($E$13333)&gt;0.000000001,$E$13333,0.000000001))&gt;=8*$B$12200,$H$12205,0.5*$H$12205*(ABS(IF(ABS($E$13333)&gt;0.000000001,$E$13333,0.000000001))/$B$12200)^(1/3)))/ABS(IF(ABS($E$13333)&gt;0.000000001,$E$13333,0.000000001))*$I$12205)</f>
        <v/>
      </c>
      <c r="E13369" s="19">
        <f>0.5*$E$13333+0.5*$Z$13382</f>
        <v/>
      </c>
      <c r="F13369" s="19">
        <f>$Z$13383</f>
        <v/>
      </c>
    </row>
    <row r="13370">
      <c r="D13370" s="19">
        <f>IF(ABS(IF(ABS($E$13334)&gt;0.000000001,$E$13334,0.000000001))=0,0,IF($E$12206&lt;=$B$12198,0,IF(ABS(IF(ABS($E$13334)&gt;0.000000001,$E$13334,0.000000001))&gt;=8*$B$12200,$H$12206,0.5*$H$12206*(ABS(IF(ABS($E$13334)&gt;0.000000001,$E$13334,0.000000001))/$B$12200)^(1/3)))/ABS(IF(ABS($E$13334)&gt;0.000000001,$E$13334,0.000000001))*$I$12206)</f>
        <v/>
      </c>
      <c r="E13370" s="19">
        <f>0.5*$E$13334+0.5*$Z$13384</f>
        <v/>
      </c>
      <c r="F13370" s="19">
        <f>$Z$13385</f>
        <v/>
      </c>
    </row>
    <row r="13371">
      <c r="D13371" s="19">
        <f>IF(ABS(IF(ABS($E$13335)&gt;0.000000001,$E$13335,0.000000001))=0,0,IF($E$12207&lt;=$B$12198,0,IF(ABS(IF(ABS($E$13335)&gt;0.000000001,$E$13335,0.000000001))&gt;=8*$B$12200,$H$12207,0.5*$H$12207*(ABS(IF(ABS($E$13335)&gt;0.000000001,$E$13335,0.000000001))/$B$12200)^(1/3)))/ABS(IF(ABS($E$13335)&gt;0.000000001,$E$13335,0.000000001))*$I$12207)</f>
        <v/>
      </c>
      <c r="E13371" s="19">
        <f>0.5*$E$13335+0.5*$Z$13386</f>
        <v/>
      </c>
      <c r="F13371" s="19">
        <f>$Z$13387</f>
        <v/>
      </c>
    </row>
    <row r="13372">
      <c r="D13372" s="19">
        <f>IF(ABS(IF(ABS($E$13336)&gt;0.000000001,$E$13336,0.000000001))=0,0,IF($E$12208&lt;=$B$12198,0,IF(ABS(IF(ABS($E$13336)&gt;0.000000001,$E$13336,0.000000001))&gt;=8*$B$12200,$H$12208,0.5*$H$12208*(ABS(IF(ABS($E$13336)&gt;0.000000001,$E$13336,0.000000001))/$B$12200)^(1/3)))/ABS(IF(ABS($E$13336)&gt;0.000000001,$E$13336,0.000000001))*$I$12208)</f>
        <v/>
      </c>
      <c r="E13372" s="19">
        <f>0.5*$E$13336+0.5*$Z$13388</f>
        <v/>
      </c>
      <c r="F13372" s="19">
        <f>$Z$13389</f>
        <v/>
      </c>
    </row>
    <row r="13373">
      <c r="D13373" s="19">
        <f>IF(ABS(IF(ABS($E$13337)&gt;0.000000001,$E$13337,0.000000001))=0,0,IF($E$12209&lt;=$B$12198,0,IF(ABS(IF(ABS($E$13337)&gt;0.000000001,$E$13337,0.000000001))&gt;=8*$B$12200,$H$12209,0.5*$H$12209*(ABS(IF(ABS($E$13337)&gt;0.000000001,$E$13337,0.000000001))/$B$12200)^(1/3)))/ABS(IF(ABS($E$13337)&gt;0.000000001,$E$13337,0.000000001))*$I$12209)</f>
        <v/>
      </c>
      <c r="E13373" s="19">
        <f>0.5*$E$13337+0.5*$Z$13390</f>
        <v/>
      </c>
      <c r="F13373" s="19">
        <f>$Z$13391</f>
        <v/>
      </c>
    </row>
    <row r="13374">
      <c r="D13374" s="19">
        <f>IF(ABS(IF(ABS($E$13338)&gt;0.000000001,$E$13338,0.000000001))=0,0,IF($E$12210&lt;=$B$12198,0,IF(ABS(IF(ABS($E$13338)&gt;0.000000001,$E$13338,0.000000001))&gt;=8*$B$12200,$H$12210,0.5*$H$12210*(ABS(IF(ABS($E$13338)&gt;0.000000001,$E$13338,0.000000001))/$B$12200)^(1/3)))/ABS(IF(ABS($E$13338)&gt;0.000000001,$E$13338,0.000000001))*$I$12210)</f>
        <v/>
      </c>
      <c r="E13374" s="19">
        <f>0.5*$E$13338+0.5*$Z$13392</f>
        <v/>
      </c>
      <c r="F13374" s="19">
        <f>$Z$13393</f>
        <v/>
      </c>
    </row>
    <row r="13375">
      <c r="D13375" s="19">
        <f>IF(ABS(IF(ABS($E$13339)&gt;0.000000001,$E$13339,0.000000001))=0,0,IF($E$12211&lt;=$B$12198,0,IF(ABS(IF(ABS($E$13339)&gt;0.000000001,$E$13339,0.000000001))&gt;=8*$B$12200,$H$12211,0.5*$H$12211*(ABS(IF(ABS($E$13339)&gt;0.000000001,$E$13339,0.000000001))/$B$12200)^(1/3)))/ABS(IF(ABS($E$13339)&gt;0.000000001,$E$13339,0.000000001))*$I$12211)</f>
        <v/>
      </c>
      <c r="E13375" s="19">
        <f>0.5*$E$13339+0.5*$Z$13394</f>
        <v/>
      </c>
      <c r="F13375" s="19">
        <f>$Z$13395</f>
        <v/>
      </c>
    </row>
    <row r="13376">
      <c r="D13376" s="19">
        <f>IF(ABS(IF(ABS($E$13340)&gt;0.000000001,$E$13340,0.000000001))=0,0,IF($E$12212&lt;=$B$12198,0,IF(ABS(IF(ABS($E$13340)&gt;0.000000001,$E$13340,0.000000001))&gt;=8*$B$12200,$H$12212,0.5*$H$12212*(ABS(IF(ABS($E$13340)&gt;0.000000001,$E$13340,0.000000001))/$B$12200)^(1/3)))/ABS(IF(ABS($E$13340)&gt;0.000000001,$E$13340,0.000000001))*$I$12212)</f>
        <v/>
      </c>
      <c r="E13376" s="19">
        <f>0.5*$E$13340+0.5*$Z$13396</f>
        <v/>
      </c>
      <c r="F13376" s="19">
        <f>$Z$13397</f>
        <v/>
      </c>
    </row>
    <row r="13377">
      <c r="D13377" s="19">
        <f>IF(ABS(IF(ABS($E$13341)&gt;0.000000001,$E$13341,0.000000001))=0,0,IF($E$12213&lt;=$B$12198,0,IF(ABS(IF(ABS($E$13341)&gt;0.000000001,$E$13341,0.000000001))&gt;=8*$B$12200,$H$12213,0.5*$H$12213*(ABS(IF(ABS($E$13341)&gt;0.000000001,$E$13341,0.000000001))/$B$12200)^(1/3)))/ABS(IF(ABS($E$13341)&gt;0.000000001,$E$13341,0.000000001))*$I$12213)</f>
        <v/>
      </c>
      <c r="E13377" s="19">
        <f>0.5*$E$13341+0.5*$Z$13398</f>
        <v/>
      </c>
      <c r="F13377" s="19">
        <f>$Z$13399</f>
        <v/>
      </c>
    </row>
    <row r="13378">
      <c r="D13378" s="19">
        <f>IF(ABS(IF(ABS($E$13342)&gt;0.000000001,$E$13342,0.000000001))=0,0,IF($E$12214&lt;=$B$12198,0,IF(ABS(IF(ABS($E$13342)&gt;0.000000001,$E$13342,0.000000001))&gt;=8*$B$12200,$H$12214,0.5*$H$12214*(ABS(IF(ABS($E$13342)&gt;0.000000001,$E$13342,0.000000001))/$B$12200)^(1/3)))/ABS(IF(ABS($E$13342)&gt;0.000000001,$E$13342,0.000000001))*$I$12214)</f>
        <v/>
      </c>
      <c r="E13378" s="19">
        <f>0.5*$E$13342+0.5*$Z$13400</f>
        <v/>
      </c>
      <c r="F13378" s="19">
        <f>$Z$13401</f>
        <v/>
      </c>
    </row>
    <row r="13380">
      <c r="D13380" s="21">
        <f>$B$12189+$D$13368</f>
        <v/>
      </c>
      <c r="E13380" s="21">
        <f>$B$12190</f>
        <v/>
      </c>
      <c r="F13380" s="21">
        <f>-$B$12189</f>
        <v/>
      </c>
      <c r="G13380" s="21">
        <f>$B$12190</f>
        <v/>
      </c>
      <c r="H13380" s="21" t="n">
        <v>0</v>
      </c>
      <c r="I13380" s="21" t="n">
        <v>0</v>
      </c>
      <c r="J13380" s="21" t="n">
        <v>0</v>
      </c>
      <c r="K13380" s="21" t="n">
        <v>0</v>
      </c>
      <c r="L13380" s="21" t="n">
        <v>0</v>
      </c>
      <c r="M13380" s="21" t="n">
        <v>0</v>
      </c>
      <c r="N13380" s="21" t="n">
        <v>0</v>
      </c>
      <c r="O13380" s="21" t="n">
        <v>0</v>
      </c>
      <c r="P13380" s="21" t="n">
        <v>0</v>
      </c>
      <c r="Q13380" s="21" t="n">
        <v>0</v>
      </c>
      <c r="R13380" s="21" t="n">
        <v>0</v>
      </c>
      <c r="S13380" s="21" t="n">
        <v>0</v>
      </c>
      <c r="T13380" s="21" t="n">
        <v>0</v>
      </c>
      <c r="U13380" s="21" t="n">
        <v>0</v>
      </c>
      <c r="V13380" s="21" t="n">
        <v>0</v>
      </c>
      <c r="W13380" s="21" t="n">
        <v>0</v>
      </c>
      <c r="X13380" s="21" t="n">
        <v>0</v>
      </c>
      <c r="Y13380" s="21" t="n">
        <v>0</v>
      </c>
      <c r="Z13380" s="19">
        <f t="array" ref="Z13380:Z13401">MMULT(MINVERSE($D$13380:$Y$13401),$D$12216:$D$12237)</f>
        <v/>
      </c>
    </row>
    <row r="13381">
      <c r="D13381" s="21">
        <f>$B$12190</f>
        <v/>
      </c>
      <c r="E13381" s="21">
        <f>$B$12191</f>
        <v/>
      </c>
      <c r="F13381" s="21">
        <f>-$B$12190</f>
        <v/>
      </c>
      <c r="G13381" s="21">
        <f>$B$12192</f>
        <v/>
      </c>
      <c r="H13381" s="21" t="n">
        <v>0</v>
      </c>
      <c r="I13381" s="21" t="n">
        <v>0</v>
      </c>
      <c r="J13381" s="21" t="n">
        <v>0</v>
      </c>
      <c r="K13381" s="21" t="n">
        <v>0</v>
      </c>
      <c r="L13381" s="21" t="n">
        <v>0</v>
      </c>
      <c r="M13381" s="21" t="n">
        <v>0</v>
      </c>
      <c r="N13381" s="21" t="n">
        <v>0</v>
      </c>
      <c r="O13381" s="21" t="n">
        <v>0</v>
      </c>
      <c r="P13381" s="21" t="n">
        <v>0</v>
      </c>
      <c r="Q13381" s="21" t="n">
        <v>0</v>
      </c>
      <c r="R13381" s="21" t="n">
        <v>0</v>
      </c>
      <c r="S13381" s="21" t="n">
        <v>0</v>
      </c>
      <c r="T13381" s="21" t="n">
        <v>0</v>
      </c>
      <c r="U13381" s="21" t="n">
        <v>0</v>
      </c>
      <c r="V13381" s="21" t="n">
        <v>0</v>
      </c>
      <c r="W13381" s="21" t="n">
        <v>0</v>
      </c>
      <c r="X13381" s="21" t="n">
        <v>0</v>
      </c>
      <c r="Y13381" s="21" t="n">
        <v>0</v>
      </c>
      <c r="Z13381" s="19" t="n"/>
    </row>
    <row r="13382">
      <c r="D13382" s="21">
        <f>-$B$12189</f>
        <v/>
      </c>
      <c r="E13382" s="21">
        <f>-$B$12190</f>
        <v/>
      </c>
      <c r="F13382" s="21">
        <f>2*$B$12189+$D$13369</f>
        <v/>
      </c>
      <c r="G13382" s="21">
        <f>0</f>
        <v/>
      </c>
      <c r="H13382" s="21">
        <f>-$B$12189</f>
        <v/>
      </c>
      <c r="I13382" s="21">
        <f>$B$12190</f>
        <v/>
      </c>
      <c r="J13382" s="21" t="n">
        <v>0</v>
      </c>
      <c r="K13382" s="21" t="n">
        <v>0</v>
      </c>
      <c r="L13382" s="21" t="n">
        <v>0</v>
      </c>
      <c r="M13382" s="21" t="n">
        <v>0</v>
      </c>
      <c r="N13382" s="21" t="n">
        <v>0</v>
      </c>
      <c r="O13382" s="21" t="n">
        <v>0</v>
      </c>
      <c r="P13382" s="21" t="n">
        <v>0</v>
      </c>
      <c r="Q13382" s="21" t="n">
        <v>0</v>
      </c>
      <c r="R13382" s="21" t="n">
        <v>0</v>
      </c>
      <c r="S13382" s="21" t="n">
        <v>0</v>
      </c>
      <c r="T13382" s="21" t="n">
        <v>0</v>
      </c>
      <c r="U13382" s="21" t="n">
        <v>0</v>
      </c>
      <c r="V13382" s="21" t="n">
        <v>0</v>
      </c>
      <c r="W13382" s="21" t="n">
        <v>0</v>
      </c>
      <c r="X13382" s="21" t="n">
        <v>0</v>
      </c>
      <c r="Y13382" s="21" t="n">
        <v>0</v>
      </c>
      <c r="Z13382" s="19" t="n"/>
    </row>
    <row r="13383">
      <c r="D13383" s="21">
        <f>$B$12190</f>
        <v/>
      </c>
      <c r="E13383" s="21">
        <f>$B$12192</f>
        <v/>
      </c>
      <c r="F13383" s="21">
        <f>0</f>
        <v/>
      </c>
      <c r="G13383" s="21">
        <f>2*$B$12191</f>
        <v/>
      </c>
      <c r="H13383" s="21">
        <f>-$B$12190</f>
        <v/>
      </c>
      <c r="I13383" s="21">
        <f>$B$12192</f>
        <v/>
      </c>
      <c r="J13383" s="21" t="n">
        <v>0</v>
      </c>
      <c r="K13383" s="21" t="n">
        <v>0</v>
      </c>
      <c r="L13383" s="21" t="n">
        <v>0</v>
      </c>
      <c r="M13383" s="21" t="n">
        <v>0</v>
      </c>
      <c r="N13383" s="21" t="n">
        <v>0</v>
      </c>
      <c r="O13383" s="21" t="n">
        <v>0</v>
      </c>
      <c r="P13383" s="21" t="n">
        <v>0</v>
      </c>
      <c r="Q13383" s="21" t="n">
        <v>0</v>
      </c>
      <c r="R13383" s="21" t="n">
        <v>0</v>
      </c>
      <c r="S13383" s="21" t="n">
        <v>0</v>
      </c>
      <c r="T13383" s="21" t="n">
        <v>0</v>
      </c>
      <c r="U13383" s="21" t="n">
        <v>0</v>
      </c>
      <c r="V13383" s="21" t="n">
        <v>0</v>
      </c>
      <c r="W13383" s="21" t="n">
        <v>0</v>
      </c>
      <c r="X13383" s="21" t="n">
        <v>0</v>
      </c>
      <c r="Y13383" s="21" t="n">
        <v>0</v>
      </c>
      <c r="Z13383" s="19" t="n"/>
    </row>
    <row r="13384">
      <c r="D13384" s="21" t="n">
        <v>0</v>
      </c>
      <c r="E13384" s="21" t="n">
        <v>0</v>
      </c>
      <c r="F13384" s="21">
        <f>-$B$12189</f>
        <v/>
      </c>
      <c r="G13384" s="21">
        <f>-$B$12190</f>
        <v/>
      </c>
      <c r="H13384" s="21">
        <f>2*$B$12189+$D$13370</f>
        <v/>
      </c>
      <c r="I13384" s="21">
        <f>0</f>
        <v/>
      </c>
      <c r="J13384" s="21">
        <f>-$B$12189</f>
        <v/>
      </c>
      <c r="K13384" s="21">
        <f>$B$12190</f>
        <v/>
      </c>
      <c r="L13384" s="21" t="n">
        <v>0</v>
      </c>
      <c r="M13384" s="21" t="n">
        <v>0</v>
      </c>
      <c r="N13384" s="21" t="n">
        <v>0</v>
      </c>
      <c r="O13384" s="21" t="n">
        <v>0</v>
      </c>
      <c r="P13384" s="21" t="n">
        <v>0</v>
      </c>
      <c r="Q13384" s="21" t="n">
        <v>0</v>
      </c>
      <c r="R13384" s="21" t="n">
        <v>0</v>
      </c>
      <c r="S13384" s="21" t="n">
        <v>0</v>
      </c>
      <c r="T13384" s="21" t="n">
        <v>0</v>
      </c>
      <c r="U13384" s="21" t="n">
        <v>0</v>
      </c>
      <c r="V13384" s="21" t="n">
        <v>0</v>
      </c>
      <c r="W13384" s="21" t="n">
        <v>0</v>
      </c>
      <c r="X13384" s="21" t="n">
        <v>0</v>
      </c>
      <c r="Y13384" s="21" t="n">
        <v>0</v>
      </c>
      <c r="Z13384" s="19" t="n"/>
    </row>
    <row r="13385">
      <c r="D13385" s="21" t="n">
        <v>0</v>
      </c>
      <c r="E13385" s="21" t="n">
        <v>0</v>
      </c>
      <c r="F13385" s="21">
        <f>$B$12190</f>
        <v/>
      </c>
      <c r="G13385" s="21">
        <f>$B$12192</f>
        <v/>
      </c>
      <c r="H13385" s="21">
        <f>0</f>
        <v/>
      </c>
      <c r="I13385" s="21">
        <f>2*$B$12191</f>
        <v/>
      </c>
      <c r="J13385" s="21">
        <f>-$B$12190</f>
        <v/>
      </c>
      <c r="K13385" s="21">
        <f>$B$12192</f>
        <v/>
      </c>
      <c r="L13385" s="21" t="n">
        <v>0</v>
      </c>
      <c r="M13385" s="21" t="n">
        <v>0</v>
      </c>
      <c r="N13385" s="21" t="n">
        <v>0</v>
      </c>
      <c r="O13385" s="21" t="n">
        <v>0</v>
      </c>
      <c r="P13385" s="21" t="n">
        <v>0</v>
      </c>
      <c r="Q13385" s="21" t="n">
        <v>0</v>
      </c>
      <c r="R13385" s="21" t="n">
        <v>0</v>
      </c>
      <c r="S13385" s="21" t="n">
        <v>0</v>
      </c>
      <c r="T13385" s="21" t="n">
        <v>0</v>
      </c>
      <c r="U13385" s="21" t="n">
        <v>0</v>
      </c>
      <c r="V13385" s="21" t="n">
        <v>0</v>
      </c>
      <c r="W13385" s="21" t="n">
        <v>0</v>
      </c>
      <c r="X13385" s="21" t="n">
        <v>0</v>
      </c>
      <c r="Y13385" s="21" t="n">
        <v>0</v>
      </c>
      <c r="Z13385" s="19" t="n"/>
    </row>
    <row r="13386">
      <c r="D13386" s="21" t="n">
        <v>0</v>
      </c>
      <c r="E13386" s="21" t="n">
        <v>0</v>
      </c>
      <c r="F13386" s="21" t="n">
        <v>0</v>
      </c>
      <c r="G13386" s="21" t="n">
        <v>0</v>
      </c>
      <c r="H13386" s="21">
        <f>-$B$12189</f>
        <v/>
      </c>
      <c r="I13386" s="21">
        <f>-$B$12190</f>
        <v/>
      </c>
      <c r="J13386" s="21">
        <f>2*$B$12189+$D$13371</f>
        <v/>
      </c>
      <c r="K13386" s="21">
        <f>0</f>
        <v/>
      </c>
      <c r="L13386" s="21">
        <f>-$B$12189</f>
        <v/>
      </c>
      <c r="M13386" s="21">
        <f>$B$12190</f>
        <v/>
      </c>
      <c r="N13386" s="21" t="n">
        <v>0</v>
      </c>
      <c r="O13386" s="21" t="n">
        <v>0</v>
      </c>
      <c r="P13386" s="21" t="n">
        <v>0</v>
      </c>
      <c r="Q13386" s="21" t="n">
        <v>0</v>
      </c>
      <c r="R13386" s="21" t="n">
        <v>0</v>
      </c>
      <c r="S13386" s="21" t="n">
        <v>0</v>
      </c>
      <c r="T13386" s="21" t="n">
        <v>0</v>
      </c>
      <c r="U13386" s="21" t="n">
        <v>0</v>
      </c>
      <c r="V13386" s="21" t="n">
        <v>0</v>
      </c>
      <c r="W13386" s="21" t="n">
        <v>0</v>
      </c>
      <c r="X13386" s="21" t="n">
        <v>0</v>
      </c>
      <c r="Y13386" s="21" t="n">
        <v>0</v>
      </c>
      <c r="Z13386" s="19" t="n"/>
    </row>
    <row r="13387">
      <c r="D13387" s="21" t="n">
        <v>0</v>
      </c>
      <c r="E13387" s="21" t="n">
        <v>0</v>
      </c>
      <c r="F13387" s="21" t="n">
        <v>0</v>
      </c>
      <c r="G13387" s="21" t="n">
        <v>0</v>
      </c>
      <c r="H13387" s="21">
        <f>$B$12190</f>
        <v/>
      </c>
      <c r="I13387" s="21">
        <f>$B$12192</f>
        <v/>
      </c>
      <c r="J13387" s="21">
        <f>0</f>
        <v/>
      </c>
      <c r="K13387" s="21">
        <f>2*$B$12191</f>
        <v/>
      </c>
      <c r="L13387" s="21">
        <f>-$B$12190</f>
        <v/>
      </c>
      <c r="M13387" s="21">
        <f>$B$12192</f>
        <v/>
      </c>
      <c r="N13387" s="21" t="n">
        <v>0</v>
      </c>
      <c r="O13387" s="21" t="n">
        <v>0</v>
      </c>
      <c r="P13387" s="21" t="n">
        <v>0</v>
      </c>
      <c r="Q13387" s="21" t="n">
        <v>0</v>
      </c>
      <c r="R13387" s="21" t="n">
        <v>0</v>
      </c>
      <c r="S13387" s="21" t="n">
        <v>0</v>
      </c>
      <c r="T13387" s="21" t="n">
        <v>0</v>
      </c>
      <c r="U13387" s="21" t="n">
        <v>0</v>
      </c>
      <c r="V13387" s="21" t="n">
        <v>0</v>
      </c>
      <c r="W13387" s="21" t="n">
        <v>0</v>
      </c>
      <c r="X13387" s="21" t="n">
        <v>0</v>
      </c>
      <c r="Y13387" s="21" t="n">
        <v>0</v>
      </c>
      <c r="Z13387" s="19" t="n"/>
    </row>
    <row r="13388">
      <c r="D13388" s="21" t="n">
        <v>0</v>
      </c>
      <c r="E13388" s="21" t="n">
        <v>0</v>
      </c>
      <c r="F13388" s="21" t="n">
        <v>0</v>
      </c>
      <c r="G13388" s="21" t="n">
        <v>0</v>
      </c>
      <c r="H13388" s="21" t="n">
        <v>0</v>
      </c>
      <c r="I13388" s="21" t="n">
        <v>0</v>
      </c>
      <c r="J13388" s="21">
        <f>-$B$12189</f>
        <v/>
      </c>
      <c r="K13388" s="21">
        <f>-$B$12190</f>
        <v/>
      </c>
      <c r="L13388" s="21">
        <f>2*$B$12189+$D$13372</f>
        <v/>
      </c>
      <c r="M13388" s="21">
        <f>0</f>
        <v/>
      </c>
      <c r="N13388" s="21">
        <f>-$B$12189</f>
        <v/>
      </c>
      <c r="O13388" s="21">
        <f>$B$12190</f>
        <v/>
      </c>
      <c r="P13388" s="21" t="n">
        <v>0</v>
      </c>
      <c r="Q13388" s="21" t="n">
        <v>0</v>
      </c>
      <c r="R13388" s="21" t="n">
        <v>0</v>
      </c>
      <c r="S13388" s="21" t="n">
        <v>0</v>
      </c>
      <c r="T13388" s="21" t="n">
        <v>0</v>
      </c>
      <c r="U13388" s="21" t="n">
        <v>0</v>
      </c>
      <c r="V13388" s="21" t="n">
        <v>0</v>
      </c>
      <c r="W13388" s="21" t="n">
        <v>0</v>
      </c>
      <c r="X13388" s="21" t="n">
        <v>0</v>
      </c>
      <c r="Y13388" s="21" t="n">
        <v>0</v>
      </c>
      <c r="Z13388" s="19" t="n"/>
    </row>
    <row r="13389">
      <c r="D13389" s="21" t="n">
        <v>0</v>
      </c>
      <c r="E13389" s="21" t="n">
        <v>0</v>
      </c>
      <c r="F13389" s="21" t="n">
        <v>0</v>
      </c>
      <c r="G13389" s="21" t="n">
        <v>0</v>
      </c>
      <c r="H13389" s="21" t="n">
        <v>0</v>
      </c>
      <c r="I13389" s="21" t="n">
        <v>0</v>
      </c>
      <c r="J13389" s="21">
        <f>$B$12190</f>
        <v/>
      </c>
      <c r="K13389" s="21">
        <f>$B$12192</f>
        <v/>
      </c>
      <c r="L13389" s="21">
        <f>0</f>
        <v/>
      </c>
      <c r="M13389" s="21">
        <f>2*$B$12191</f>
        <v/>
      </c>
      <c r="N13389" s="21">
        <f>-$B$12190</f>
        <v/>
      </c>
      <c r="O13389" s="21">
        <f>$B$12192</f>
        <v/>
      </c>
      <c r="P13389" s="21" t="n">
        <v>0</v>
      </c>
      <c r="Q13389" s="21" t="n">
        <v>0</v>
      </c>
      <c r="R13389" s="21" t="n">
        <v>0</v>
      </c>
      <c r="S13389" s="21" t="n">
        <v>0</v>
      </c>
      <c r="T13389" s="21" t="n">
        <v>0</v>
      </c>
      <c r="U13389" s="21" t="n">
        <v>0</v>
      </c>
      <c r="V13389" s="21" t="n">
        <v>0</v>
      </c>
      <c r="W13389" s="21" t="n">
        <v>0</v>
      </c>
      <c r="X13389" s="21" t="n">
        <v>0</v>
      </c>
      <c r="Y13389" s="21" t="n">
        <v>0</v>
      </c>
      <c r="Z13389" s="19" t="n"/>
    </row>
    <row r="13390">
      <c r="D13390" s="21" t="n">
        <v>0</v>
      </c>
      <c r="E13390" s="21" t="n">
        <v>0</v>
      </c>
      <c r="F13390" s="21" t="n">
        <v>0</v>
      </c>
      <c r="G13390" s="21" t="n">
        <v>0</v>
      </c>
      <c r="H13390" s="21" t="n">
        <v>0</v>
      </c>
      <c r="I13390" s="21" t="n">
        <v>0</v>
      </c>
      <c r="J13390" s="21" t="n">
        <v>0</v>
      </c>
      <c r="K13390" s="21" t="n">
        <v>0</v>
      </c>
      <c r="L13390" s="21">
        <f>-$B$12189</f>
        <v/>
      </c>
      <c r="M13390" s="21">
        <f>-$B$12190</f>
        <v/>
      </c>
      <c r="N13390" s="21">
        <f>2*$B$12189+$D$13373</f>
        <v/>
      </c>
      <c r="O13390" s="21">
        <f>0</f>
        <v/>
      </c>
      <c r="P13390" s="21">
        <f>-$B$12189</f>
        <v/>
      </c>
      <c r="Q13390" s="21">
        <f>$B$12190</f>
        <v/>
      </c>
      <c r="R13390" s="21" t="n">
        <v>0</v>
      </c>
      <c r="S13390" s="21" t="n">
        <v>0</v>
      </c>
      <c r="T13390" s="21" t="n">
        <v>0</v>
      </c>
      <c r="U13390" s="21" t="n">
        <v>0</v>
      </c>
      <c r="V13390" s="21" t="n">
        <v>0</v>
      </c>
      <c r="W13390" s="21" t="n">
        <v>0</v>
      </c>
      <c r="X13390" s="21" t="n">
        <v>0</v>
      </c>
      <c r="Y13390" s="21" t="n">
        <v>0</v>
      </c>
      <c r="Z13390" s="19" t="n"/>
    </row>
    <row r="13391">
      <c r="D13391" s="21" t="n">
        <v>0</v>
      </c>
      <c r="E13391" s="21" t="n">
        <v>0</v>
      </c>
      <c r="F13391" s="21" t="n">
        <v>0</v>
      </c>
      <c r="G13391" s="21" t="n">
        <v>0</v>
      </c>
      <c r="H13391" s="21" t="n">
        <v>0</v>
      </c>
      <c r="I13391" s="21" t="n">
        <v>0</v>
      </c>
      <c r="J13391" s="21" t="n">
        <v>0</v>
      </c>
      <c r="K13391" s="21" t="n">
        <v>0</v>
      </c>
      <c r="L13391" s="21">
        <f>$B$12190</f>
        <v/>
      </c>
      <c r="M13391" s="21">
        <f>$B$12192</f>
        <v/>
      </c>
      <c r="N13391" s="21">
        <f>0</f>
        <v/>
      </c>
      <c r="O13391" s="21">
        <f>2*$B$12191</f>
        <v/>
      </c>
      <c r="P13391" s="21">
        <f>-$B$12190</f>
        <v/>
      </c>
      <c r="Q13391" s="21">
        <f>$B$12192</f>
        <v/>
      </c>
      <c r="R13391" s="21" t="n">
        <v>0</v>
      </c>
      <c r="S13391" s="21" t="n">
        <v>0</v>
      </c>
      <c r="T13391" s="21" t="n">
        <v>0</v>
      </c>
      <c r="U13391" s="21" t="n">
        <v>0</v>
      </c>
      <c r="V13391" s="21" t="n">
        <v>0</v>
      </c>
      <c r="W13391" s="21" t="n">
        <v>0</v>
      </c>
      <c r="X13391" s="21" t="n">
        <v>0</v>
      </c>
      <c r="Y13391" s="21" t="n">
        <v>0</v>
      </c>
      <c r="Z13391" s="19" t="n"/>
    </row>
    <row r="13392">
      <c r="D13392" s="21" t="n">
        <v>0</v>
      </c>
      <c r="E13392" s="21" t="n">
        <v>0</v>
      </c>
      <c r="F13392" s="21" t="n">
        <v>0</v>
      </c>
      <c r="G13392" s="21" t="n">
        <v>0</v>
      </c>
      <c r="H13392" s="21" t="n">
        <v>0</v>
      </c>
      <c r="I13392" s="21" t="n">
        <v>0</v>
      </c>
      <c r="J13392" s="21" t="n">
        <v>0</v>
      </c>
      <c r="K13392" s="21" t="n">
        <v>0</v>
      </c>
      <c r="L13392" s="21" t="n">
        <v>0</v>
      </c>
      <c r="M13392" s="21" t="n">
        <v>0</v>
      </c>
      <c r="N13392" s="21">
        <f>-$B$12189</f>
        <v/>
      </c>
      <c r="O13392" s="21">
        <f>-$B$12190</f>
        <v/>
      </c>
      <c r="P13392" s="21">
        <f>2*$B$12189+$D$13374</f>
        <v/>
      </c>
      <c r="Q13392" s="21">
        <f>0</f>
        <v/>
      </c>
      <c r="R13392" s="21">
        <f>-$B$12189</f>
        <v/>
      </c>
      <c r="S13392" s="21">
        <f>$B$12190</f>
        <v/>
      </c>
      <c r="T13392" s="21" t="n">
        <v>0</v>
      </c>
      <c r="U13392" s="21" t="n">
        <v>0</v>
      </c>
      <c r="V13392" s="21" t="n">
        <v>0</v>
      </c>
      <c r="W13392" s="21" t="n">
        <v>0</v>
      </c>
      <c r="X13392" s="21" t="n">
        <v>0</v>
      </c>
      <c r="Y13392" s="21" t="n">
        <v>0</v>
      </c>
      <c r="Z13392" s="19" t="n"/>
    </row>
    <row r="13393">
      <c r="D13393" s="21" t="n">
        <v>0</v>
      </c>
      <c r="E13393" s="21" t="n">
        <v>0</v>
      </c>
      <c r="F13393" s="21" t="n">
        <v>0</v>
      </c>
      <c r="G13393" s="21" t="n">
        <v>0</v>
      </c>
      <c r="H13393" s="21" t="n">
        <v>0</v>
      </c>
      <c r="I13393" s="21" t="n">
        <v>0</v>
      </c>
      <c r="J13393" s="21" t="n">
        <v>0</v>
      </c>
      <c r="K13393" s="21" t="n">
        <v>0</v>
      </c>
      <c r="L13393" s="21" t="n">
        <v>0</v>
      </c>
      <c r="M13393" s="21" t="n">
        <v>0</v>
      </c>
      <c r="N13393" s="21">
        <f>$B$12190</f>
        <v/>
      </c>
      <c r="O13393" s="21">
        <f>$B$12192</f>
        <v/>
      </c>
      <c r="P13393" s="21">
        <f>0</f>
        <v/>
      </c>
      <c r="Q13393" s="21">
        <f>2*$B$12191</f>
        <v/>
      </c>
      <c r="R13393" s="21">
        <f>-$B$12190</f>
        <v/>
      </c>
      <c r="S13393" s="21">
        <f>$B$12192</f>
        <v/>
      </c>
      <c r="T13393" s="21" t="n">
        <v>0</v>
      </c>
      <c r="U13393" s="21" t="n">
        <v>0</v>
      </c>
      <c r="V13393" s="21" t="n">
        <v>0</v>
      </c>
      <c r="W13393" s="21" t="n">
        <v>0</v>
      </c>
      <c r="X13393" s="21" t="n">
        <v>0</v>
      </c>
      <c r="Y13393" s="21" t="n">
        <v>0</v>
      </c>
      <c r="Z13393" s="19" t="n"/>
    </row>
    <row r="13394">
      <c r="D13394" s="21" t="n">
        <v>0</v>
      </c>
      <c r="E13394" s="21" t="n">
        <v>0</v>
      </c>
      <c r="F13394" s="21" t="n">
        <v>0</v>
      </c>
      <c r="G13394" s="21" t="n">
        <v>0</v>
      </c>
      <c r="H13394" s="21" t="n">
        <v>0</v>
      </c>
      <c r="I13394" s="21" t="n">
        <v>0</v>
      </c>
      <c r="J13394" s="21" t="n">
        <v>0</v>
      </c>
      <c r="K13394" s="21" t="n">
        <v>0</v>
      </c>
      <c r="L13394" s="21" t="n">
        <v>0</v>
      </c>
      <c r="M13394" s="21" t="n">
        <v>0</v>
      </c>
      <c r="N13394" s="21" t="n">
        <v>0</v>
      </c>
      <c r="O13394" s="21" t="n">
        <v>0</v>
      </c>
      <c r="P13394" s="21">
        <f>-$B$12189</f>
        <v/>
      </c>
      <c r="Q13394" s="21">
        <f>-$B$12190</f>
        <v/>
      </c>
      <c r="R13394" s="21">
        <f>2*$B$12189+$D$13375</f>
        <v/>
      </c>
      <c r="S13394" s="21">
        <f>0</f>
        <v/>
      </c>
      <c r="T13394" s="21">
        <f>-$B$12189</f>
        <v/>
      </c>
      <c r="U13394" s="21">
        <f>$B$12190</f>
        <v/>
      </c>
      <c r="V13394" s="21" t="n">
        <v>0</v>
      </c>
      <c r="W13394" s="21" t="n">
        <v>0</v>
      </c>
      <c r="X13394" s="21" t="n">
        <v>0</v>
      </c>
      <c r="Y13394" s="21" t="n">
        <v>0</v>
      </c>
      <c r="Z13394" s="19" t="n"/>
    </row>
    <row r="13395">
      <c r="D13395" s="21" t="n">
        <v>0</v>
      </c>
      <c r="E13395" s="21" t="n">
        <v>0</v>
      </c>
      <c r="F13395" s="21" t="n">
        <v>0</v>
      </c>
      <c r="G13395" s="21" t="n">
        <v>0</v>
      </c>
      <c r="H13395" s="21" t="n">
        <v>0</v>
      </c>
      <c r="I13395" s="21" t="n">
        <v>0</v>
      </c>
      <c r="J13395" s="21" t="n">
        <v>0</v>
      </c>
      <c r="K13395" s="21" t="n">
        <v>0</v>
      </c>
      <c r="L13395" s="21" t="n">
        <v>0</v>
      </c>
      <c r="M13395" s="21" t="n">
        <v>0</v>
      </c>
      <c r="N13395" s="21" t="n">
        <v>0</v>
      </c>
      <c r="O13395" s="21" t="n">
        <v>0</v>
      </c>
      <c r="P13395" s="21">
        <f>$B$12190</f>
        <v/>
      </c>
      <c r="Q13395" s="21">
        <f>$B$12192</f>
        <v/>
      </c>
      <c r="R13395" s="21">
        <f>0</f>
        <v/>
      </c>
      <c r="S13395" s="21">
        <f>2*$B$12191</f>
        <v/>
      </c>
      <c r="T13395" s="21">
        <f>-$B$12190</f>
        <v/>
      </c>
      <c r="U13395" s="21">
        <f>$B$12192</f>
        <v/>
      </c>
      <c r="V13395" s="21" t="n">
        <v>0</v>
      </c>
      <c r="W13395" s="21" t="n">
        <v>0</v>
      </c>
      <c r="X13395" s="21" t="n">
        <v>0</v>
      </c>
      <c r="Y13395" s="21" t="n">
        <v>0</v>
      </c>
      <c r="Z13395" s="19" t="n"/>
    </row>
    <row r="13396">
      <c r="D13396" s="21" t="n">
        <v>0</v>
      </c>
      <c r="E13396" s="21" t="n">
        <v>0</v>
      </c>
      <c r="F13396" s="21" t="n">
        <v>0</v>
      </c>
      <c r="G13396" s="21" t="n">
        <v>0</v>
      </c>
      <c r="H13396" s="21" t="n">
        <v>0</v>
      </c>
      <c r="I13396" s="21" t="n">
        <v>0</v>
      </c>
      <c r="J13396" s="21" t="n">
        <v>0</v>
      </c>
      <c r="K13396" s="21" t="n">
        <v>0</v>
      </c>
      <c r="L13396" s="21" t="n">
        <v>0</v>
      </c>
      <c r="M13396" s="21" t="n">
        <v>0</v>
      </c>
      <c r="N13396" s="21" t="n">
        <v>0</v>
      </c>
      <c r="O13396" s="21" t="n">
        <v>0</v>
      </c>
      <c r="P13396" s="21" t="n">
        <v>0</v>
      </c>
      <c r="Q13396" s="21" t="n">
        <v>0</v>
      </c>
      <c r="R13396" s="21">
        <f>-$B$12189</f>
        <v/>
      </c>
      <c r="S13396" s="21">
        <f>-$B$12190</f>
        <v/>
      </c>
      <c r="T13396" s="21">
        <f>2*$B$12189+$D$13376</f>
        <v/>
      </c>
      <c r="U13396" s="21">
        <f>0</f>
        <v/>
      </c>
      <c r="V13396" s="21">
        <f>-$B$12189</f>
        <v/>
      </c>
      <c r="W13396" s="21">
        <f>$B$12190</f>
        <v/>
      </c>
      <c r="X13396" s="21" t="n">
        <v>0</v>
      </c>
      <c r="Y13396" s="21" t="n">
        <v>0</v>
      </c>
      <c r="Z13396" s="19" t="n"/>
    </row>
    <row r="13397">
      <c r="D13397" s="21" t="n">
        <v>0</v>
      </c>
      <c r="E13397" s="21" t="n">
        <v>0</v>
      </c>
      <c r="F13397" s="21" t="n">
        <v>0</v>
      </c>
      <c r="G13397" s="21" t="n">
        <v>0</v>
      </c>
      <c r="H13397" s="21" t="n">
        <v>0</v>
      </c>
      <c r="I13397" s="21" t="n">
        <v>0</v>
      </c>
      <c r="J13397" s="21" t="n">
        <v>0</v>
      </c>
      <c r="K13397" s="21" t="n">
        <v>0</v>
      </c>
      <c r="L13397" s="21" t="n">
        <v>0</v>
      </c>
      <c r="M13397" s="21" t="n">
        <v>0</v>
      </c>
      <c r="N13397" s="21" t="n">
        <v>0</v>
      </c>
      <c r="O13397" s="21" t="n">
        <v>0</v>
      </c>
      <c r="P13397" s="21" t="n">
        <v>0</v>
      </c>
      <c r="Q13397" s="21" t="n">
        <v>0</v>
      </c>
      <c r="R13397" s="21">
        <f>$B$12190</f>
        <v/>
      </c>
      <c r="S13397" s="21">
        <f>$B$12192</f>
        <v/>
      </c>
      <c r="T13397" s="21">
        <f>0</f>
        <v/>
      </c>
      <c r="U13397" s="21">
        <f>2*$B$12191</f>
        <v/>
      </c>
      <c r="V13397" s="21">
        <f>-$B$12190</f>
        <v/>
      </c>
      <c r="W13397" s="21">
        <f>$B$12192</f>
        <v/>
      </c>
      <c r="X13397" s="21" t="n">
        <v>0</v>
      </c>
      <c r="Y13397" s="21" t="n">
        <v>0</v>
      </c>
      <c r="Z13397" s="19" t="n"/>
    </row>
    <row r="13398">
      <c r="D13398" s="21" t="n">
        <v>0</v>
      </c>
      <c r="E13398" s="21" t="n">
        <v>0</v>
      </c>
      <c r="F13398" s="21" t="n">
        <v>0</v>
      </c>
      <c r="G13398" s="21" t="n">
        <v>0</v>
      </c>
      <c r="H13398" s="21" t="n">
        <v>0</v>
      </c>
      <c r="I13398" s="21" t="n">
        <v>0</v>
      </c>
      <c r="J13398" s="21" t="n">
        <v>0</v>
      </c>
      <c r="K13398" s="21" t="n">
        <v>0</v>
      </c>
      <c r="L13398" s="21" t="n">
        <v>0</v>
      </c>
      <c r="M13398" s="21" t="n">
        <v>0</v>
      </c>
      <c r="N13398" s="21" t="n">
        <v>0</v>
      </c>
      <c r="O13398" s="21" t="n">
        <v>0</v>
      </c>
      <c r="P13398" s="21" t="n">
        <v>0</v>
      </c>
      <c r="Q13398" s="21" t="n">
        <v>0</v>
      </c>
      <c r="R13398" s="21" t="n">
        <v>0</v>
      </c>
      <c r="S13398" s="21" t="n">
        <v>0</v>
      </c>
      <c r="T13398" s="21">
        <f>-$B$12189</f>
        <v/>
      </c>
      <c r="U13398" s="21">
        <f>-$B$12190</f>
        <v/>
      </c>
      <c r="V13398" s="21">
        <f>2*$B$12189+$D$13377</f>
        <v/>
      </c>
      <c r="W13398" s="21">
        <f>0</f>
        <v/>
      </c>
      <c r="X13398" s="21">
        <f>-$B$12189</f>
        <v/>
      </c>
      <c r="Y13398" s="21">
        <f>$B$12190</f>
        <v/>
      </c>
      <c r="Z13398" s="19" t="n"/>
    </row>
    <row r="13399">
      <c r="D13399" s="21" t="n">
        <v>0</v>
      </c>
      <c r="E13399" s="21" t="n">
        <v>0</v>
      </c>
      <c r="F13399" s="21" t="n">
        <v>0</v>
      </c>
      <c r="G13399" s="21" t="n">
        <v>0</v>
      </c>
      <c r="H13399" s="21" t="n">
        <v>0</v>
      </c>
      <c r="I13399" s="21" t="n">
        <v>0</v>
      </c>
      <c r="J13399" s="21" t="n">
        <v>0</v>
      </c>
      <c r="K13399" s="21" t="n">
        <v>0</v>
      </c>
      <c r="L13399" s="21" t="n">
        <v>0</v>
      </c>
      <c r="M13399" s="21" t="n">
        <v>0</v>
      </c>
      <c r="N13399" s="21" t="n">
        <v>0</v>
      </c>
      <c r="O13399" s="21" t="n">
        <v>0</v>
      </c>
      <c r="P13399" s="21" t="n">
        <v>0</v>
      </c>
      <c r="Q13399" s="21" t="n">
        <v>0</v>
      </c>
      <c r="R13399" s="21" t="n">
        <v>0</v>
      </c>
      <c r="S13399" s="21" t="n">
        <v>0</v>
      </c>
      <c r="T13399" s="21">
        <f>$B$12190</f>
        <v/>
      </c>
      <c r="U13399" s="21">
        <f>$B$12192</f>
        <v/>
      </c>
      <c r="V13399" s="21">
        <f>0</f>
        <v/>
      </c>
      <c r="W13399" s="21">
        <f>2*$B$12191</f>
        <v/>
      </c>
      <c r="X13399" s="21">
        <f>-$B$12190</f>
        <v/>
      </c>
      <c r="Y13399" s="21">
        <f>$B$12192</f>
        <v/>
      </c>
      <c r="Z13399" s="19" t="n"/>
    </row>
    <row r="13400">
      <c r="D13400" s="21" t="n">
        <v>0</v>
      </c>
      <c r="E13400" s="21" t="n">
        <v>0</v>
      </c>
      <c r="F13400" s="21" t="n">
        <v>0</v>
      </c>
      <c r="G13400" s="21" t="n">
        <v>0</v>
      </c>
      <c r="H13400" s="21" t="n">
        <v>0</v>
      </c>
      <c r="I13400" s="21" t="n">
        <v>0</v>
      </c>
      <c r="J13400" s="21" t="n">
        <v>0</v>
      </c>
      <c r="K13400" s="21" t="n">
        <v>0</v>
      </c>
      <c r="L13400" s="21" t="n">
        <v>0</v>
      </c>
      <c r="M13400" s="21" t="n">
        <v>0</v>
      </c>
      <c r="N13400" s="21" t="n">
        <v>0</v>
      </c>
      <c r="O13400" s="21" t="n">
        <v>0</v>
      </c>
      <c r="P13400" s="21" t="n">
        <v>0</v>
      </c>
      <c r="Q13400" s="21" t="n">
        <v>0</v>
      </c>
      <c r="R13400" s="21" t="n">
        <v>0</v>
      </c>
      <c r="S13400" s="21" t="n">
        <v>0</v>
      </c>
      <c r="T13400" s="21" t="n">
        <v>0</v>
      </c>
      <c r="U13400" s="21" t="n">
        <v>0</v>
      </c>
      <c r="V13400" s="21">
        <f>-$B$12189</f>
        <v/>
      </c>
      <c r="W13400" s="21">
        <f>-$B$12190</f>
        <v/>
      </c>
      <c r="X13400" s="21">
        <f>$B$12189+$D$13378</f>
        <v/>
      </c>
      <c r="Y13400" s="21">
        <f>-$B$12190</f>
        <v/>
      </c>
      <c r="Z13400" s="19" t="n"/>
    </row>
    <row r="13401">
      <c r="D13401" s="21" t="n">
        <v>0</v>
      </c>
      <c r="E13401" s="21" t="n">
        <v>0</v>
      </c>
      <c r="F13401" s="21" t="n">
        <v>0</v>
      </c>
      <c r="G13401" s="21" t="n">
        <v>0</v>
      </c>
      <c r="H13401" s="21" t="n">
        <v>0</v>
      </c>
      <c r="I13401" s="21" t="n">
        <v>0</v>
      </c>
      <c r="J13401" s="21" t="n">
        <v>0</v>
      </c>
      <c r="K13401" s="21" t="n">
        <v>0</v>
      </c>
      <c r="L13401" s="21" t="n">
        <v>0</v>
      </c>
      <c r="M13401" s="21" t="n">
        <v>0</v>
      </c>
      <c r="N13401" s="21" t="n">
        <v>0</v>
      </c>
      <c r="O13401" s="21" t="n">
        <v>0</v>
      </c>
      <c r="P13401" s="21" t="n">
        <v>0</v>
      </c>
      <c r="Q13401" s="21" t="n">
        <v>0</v>
      </c>
      <c r="R13401" s="21" t="n">
        <v>0</v>
      </c>
      <c r="S13401" s="21" t="n">
        <v>0</v>
      </c>
      <c r="T13401" s="21" t="n">
        <v>0</v>
      </c>
      <c r="U13401" s="21" t="n">
        <v>0</v>
      </c>
      <c r="V13401" s="21">
        <f>$B$12190</f>
        <v/>
      </c>
      <c r="W13401" s="21">
        <f>$B$12192</f>
        <v/>
      </c>
      <c r="X13401" s="21">
        <f>-$B$12190</f>
        <v/>
      </c>
      <c r="Y13401" s="21">
        <f>$B$12191</f>
        <v/>
      </c>
      <c r="Z13401" s="19" t="n"/>
    </row>
    <row r="13403">
      <c r="A13403" s="8" t="inlineStr">
        <is>
          <t>gen 33</t>
        </is>
      </c>
    </row>
    <row r="13404">
      <c r="D13404" s="19">
        <f>IF(ABS(IF(ABS($E$13368)&gt;0.000000001,$E$13368,0.000000001))=0,0,IF($E$12204&lt;=$B$12198,0,IF(ABS(IF(ABS($E$13368)&gt;0.000000001,$E$13368,0.000000001))&gt;=8*$B$12200,$H$12204,0.5*$H$12204*(ABS(IF(ABS($E$13368)&gt;0.000000001,$E$13368,0.000000001))/$B$12200)^(1/3)))/ABS(IF(ABS($E$13368)&gt;0.000000001,$E$13368,0.000000001))*$I$12204)</f>
        <v/>
      </c>
      <c r="E13404" s="19">
        <f>0.5*$E$13368+0.5*$Z$13416</f>
        <v/>
      </c>
      <c r="F13404" s="19">
        <f>$Z$13417</f>
        <v/>
      </c>
    </row>
    <row r="13405">
      <c r="D13405" s="19">
        <f>IF(ABS(IF(ABS($E$13369)&gt;0.000000001,$E$13369,0.000000001))=0,0,IF($E$12205&lt;=$B$12198,0,IF(ABS(IF(ABS($E$13369)&gt;0.000000001,$E$13369,0.000000001))&gt;=8*$B$12200,$H$12205,0.5*$H$12205*(ABS(IF(ABS($E$13369)&gt;0.000000001,$E$13369,0.000000001))/$B$12200)^(1/3)))/ABS(IF(ABS($E$13369)&gt;0.000000001,$E$13369,0.000000001))*$I$12205)</f>
        <v/>
      </c>
      <c r="E13405" s="19">
        <f>0.5*$E$13369+0.5*$Z$13418</f>
        <v/>
      </c>
      <c r="F13405" s="19">
        <f>$Z$13419</f>
        <v/>
      </c>
    </row>
    <row r="13406">
      <c r="D13406" s="19">
        <f>IF(ABS(IF(ABS($E$13370)&gt;0.000000001,$E$13370,0.000000001))=0,0,IF($E$12206&lt;=$B$12198,0,IF(ABS(IF(ABS($E$13370)&gt;0.000000001,$E$13370,0.000000001))&gt;=8*$B$12200,$H$12206,0.5*$H$12206*(ABS(IF(ABS($E$13370)&gt;0.000000001,$E$13370,0.000000001))/$B$12200)^(1/3)))/ABS(IF(ABS($E$13370)&gt;0.000000001,$E$13370,0.000000001))*$I$12206)</f>
        <v/>
      </c>
      <c r="E13406" s="19">
        <f>0.5*$E$13370+0.5*$Z$13420</f>
        <v/>
      </c>
      <c r="F13406" s="19">
        <f>$Z$13421</f>
        <v/>
      </c>
    </row>
    <row r="13407">
      <c r="D13407" s="19">
        <f>IF(ABS(IF(ABS($E$13371)&gt;0.000000001,$E$13371,0.000000001))=0,0,IF($E$12207&lt;=$B$12198,0,IF(ABS(IF(ABS($E$13371)&gt;0.000000001,$E$13371,0.000000001))&gt;=8*$B$12200,$H$12207,0.5*$H$12207*(ABS(IF(ABS($E$13371)&gt;0.000000001,$E$13371,0.000000001))/$B$12200)^(1/3)))/ABS(IF(ABS($E$13371)&gt;0.000000001,$E$13371,0.000000001))*$I$12207)</f>
        <v/>
      </c>
      <c r="E13407" s="19">
        <f>0.5*$E$13371+0.5*$Z$13422</f>
        <v/>
      </c>
      <c r="F13407" s="19">
        <f>$Z$13423</f>
        <v/>
      </c>
    </row>
    <row r="13408">
      <c r="D13408" s="19">
        <f>IF(ABS(IF(ABS($E$13372)&gt;0.000000001,$E$13372,0.000000001))=0,0,IF($E$12208&lt;=$B$12198,0,IF(ABS(IF(ABS($E$13372)&gt;0.000000001,$E$13372,0.000000001))&gt;=8*$B$12200,$H$12208,0.5*$H$12208*(ABS(IF(ABS($E$13372)&gt;0.000000001,$E$13372,0.000000001))/$B$12200)^(1/3)))/ABS(IF(ABS($E$13372)&gt;0.000000001,$E$13372,0.000000001))*$I$12208)</f>
        <v/>
      </c>
      <c r="E13408" s="19">
        <f>0.5*$E$13372+0.5*$Z$13424</f>
        <v/>
      </c>
      <c r="F13408" s="19">
        <f>$Z$13425</f>
        <v/>
      </c>
    </row>
    <row r="13409">
      <c r="D13409" s="19">
        <f>IF(ABS(IF(ABS($E$13373)&gt;0.000000001,$E$13373,0.000000001))=0,0,IF($E$12209&lt;=$B$12198,0,IF(ABS(IF(ABS($E$13373)&gt;0.000000001,$E$13373,0.000000001))&gt;=8*$B$12200,$H$12209,0.5*$H$12209*(ABS(IF(ABS($E$13373)&gt;0.000000001,$E$13373,0.000000001))/$B$12200)^(1/3)))/ABS(IF(ABS($E$13373)&gt;0.000000001,$E$13373,0.000000001))*$I$12209)</f>
        <v/>
      </c>
      <c r="E13409" s="19">
        <f>0.5*$E$13373+0.5*$Z$13426</f>
        <v/>
      </c>
      <c r="F13409" s="19">
        <f>$Z$13427</f>
        <v/>
      </c>
    </row>
    <row r="13410">
      <c r="D13410" s="19">
        <f>IF(ABS(IF(ABS($E$13374)&gt;0.000000001,$E$13374,0.000000001))=0,0,IF($E$12210&lt;=$B$12198,0,IF(ABS(IF(ABS($E$13374)&gt;0.000000001,$E$13374,0.000000001))&gt;=8*$B$12200,$H$12210,0.5*$H$12210*(ABS(IF(ABS($E$13374)&gt;0.000000001,$E$13374,0.000000001))/$B$12200)^(1/3)))/ABS(IF(ABS($E$13374)&gt;0.000000001,$E$13374,0.000000001))*$I$12210)</f>
        <v/>
      </c>
      <c r="E13410" s="19">
        <f>0.5*$E$13374+0.5*$Z$13428</f>
        <v/>
      </c>
      <c r="F13410" s="19">
        <f>$Z$13429</f>
        <v/>
      </c>
    </row>
    <row r="13411">
      <c r="D13411" s="19">
        <f>IF(ABS(IF(ABS($E$13375)&gt;0.000000001,$E$13375,0.000000001))=0,0,IF($E$12211&lt;=$B$12198,0,IF(ABS(IF(ABS($E$13375)&gt;0.000000001,$E$13375,0.000000001))&gt;=8*$B$12200,$H$12211,0.5*$H$12211*(ABS(IF(ABS($E$13375)&gt;0.000000001,$E$13375,0.000000001))/$B$12200)^(1/3)))/ABS(IF(ABS($E$13375)&gt;0.000000001,$E$13375,0.000000001))*$I$12211)</f>
        <v/>
      </c>
      <c r="E13411" s="19">
        <f>0.5*$E$13375+0.5*$Z$13430</f>
        <v/>
      </c>
      <c r="F13411" s="19">
        <f>$Z$13431</f>
        <v/>
      </c>
    </row>
    <row r="13412">
      <c r="D13412" s="19">
        <f>IF(ABS(IF(ABS($E$13376)&gt;0.000000001,$E$13376,0.000000001))=0,0,IF($E$12212&lt;=$B$12198,0,IF(ABS(IF(ABS($E$13376)&gt;0.000000001,$E$13376,0.000000001))&gt;=8*$B$12200,$H$12212,0.5*$H$12212*(ABS(IF(ABS($E$13376)&gt;0.000000001,$E$13376,0.000000001))/$B$12200)^(1/3)))/ABS(IF(ABS($E$13376)&gt;0.000000001,$E$13376,0.000000001))*$I$12212)</f>
        <v/>
      </c>
      <c r="E13412" s="19">
        <f>0.5*$E$13376+0.5*$Z$13432</f>
        <v/>
      </c>
      <c r="F13412" s="19">
        <f>$Z$13433</f>
        <v/>
      </c>
    </row>
    <row r="13413">
      <c r="D13413" s="19">
        <f>IF(ABS(IF(ABS($E$13377)&gt;0.000000001,$E$13377,0.000000001))=0,0,IF($E$12213&lt;=$B$12198,0,IF(ABS(IF(ABS($E$13377)&gt;0.000000001,$E$13377,0.000000001))&gt;=8*$B$12200,$H$12213,0.5*$H$12213*(ABS(IF(ABS($E$13377)&gt;0.000000001,$E$13377,0.000000001))/$B$12200)^(1/3)))/ABS(IF(ABS($E$13377)&gt;0.000000001,$E$13377,0.000000001))*$I$12213)</f>
        <v/>
      </c>
      <c r="E13413" s="19">
        <f>0.5*$E$13377+0.5*$Z$13434</f>
        <v/>
      </c>
      <c r="F13413" s="19">
        <f>$Z$13435</f>
        <v/>
      </c>
    </row>
    <row r="13414">
      <c r="D13414" s="19">
        <f>IF(ABS(IF(ABS($E$13378)&gt;0.000000001,$E$13378,0.000000001))=0,0,IF($E$12214&lt;=$B$12198,0,IF(ABS(IF(ABS($E$13378)&gt;0.000000001,$E$13378,0.000000001))&gt;=8*$B$12200,$H$12214,0.5*$H$12214*(ABS(IF(ABS($E$13378)&gt;0.000000001,$E$13378,0.000000001))/$B$12200)^(1/3)))/ABS(IF(ABS($E$13378)&gt;0.000000001,$E$13378,0.000000001))*$I$12214)</f>
        <v/>
      </c>
      <c r="E13414" s="19">
        <f>0.5*$E$13378+0.5*$Z$13436</f>
        <v/>
      </c>
      <c r="F13414" s="19">
        <f>$Z$13437</f>
        <v/>
      </c>
    </row>
    <row r="13416">
      <c r="D13416" s="21">
        <f>$B$12189+$D$13404</f>
        <v/>
      </c>
      <c r="E13416" s="21">
        <f>$B$12190</f>
        <v/>
      </c>
      <c r="F13416" s="21">
        <f>-$B$12189</f>
        <v/>
      </c>
      <c r="G13416" s="21">
        <f>$B$12190</f>
        <v/>
      </c>
      <c r="H13416" s="21" t="n">
        <v>0</v>
      </c>
      <c r="I13416" s="21" t="n">
        <v>0</v>
      </c>
      <c r="J13416" s="21" t="n">
        <v>0</v>
      </c>
      <c r="K13416" s="21" t="n">
        <v>0</v>
      </c>
      <c r="L13416" s="21" t="n">
        <v>0</v>
      </c>
      <c r="M13416" s="21" t="n">
        <v>0</v>
      </c>
      <c r="N13416" s="21" t="n">
        <v>0</v>
      </c>
      <c r="O13416" s="21" t="n">
        <v>0</v>
      </c>
      <c r="P13416" s="21" t="n">
        <v>0</v>
      </c>
      <c r="Q13416" s="21" t="n">
        <v>0</v>
      </c>
      <c r="R13416" s="21" t="n">
        <v>0</v>
      </c>
      <c r="S13416" s="21" t="n">
        <v>0</v>
      </c>
      <c r="T13416" s="21" t="n">
        <v>0</v>
      </c>
      <c r="U13416" s="21" t="n">
        <v>0</v>
      </c>
      <c r="V13416" s="21" t="n">
        <v>0</v>
      </c>
      <c r="W13416" s="21" t="n">
        <v>0</v>
      </c>
      <c r="X13416" s="21" t="n">
        <v>0</v>
      </c>
      <c r="Y13416" s="21" t="n">
        <v>0</v>
      </c>
      <c r="Z13416" s="19">
        <f t="array" ref="Z13416:Z13437">MMULT(MINVERSE($D$13416:$Y$13437),$D$12216:$D$12237)</f>
        <v/>
      </c>
    </row>
    <row r="13417">
      <c r="D13417" s="21">
        <f>$B$12190</f>
        <v/>
      </c>
      <c r="E13417" s="21">
        <f>$B$12191</f>
        <v/>
      </c>
      <c r="F13417" s="21">
        <f>-$B$12190</f>
        <v/>
      </c>
      <c r="G13417" s="21">
        <f>$B$12192</f>
        <v/>
      </c>
      <c r="H13417" s="21" t="n">
        <v>0</v>
      </c>
      <c r="I13417" s="21" t="n">
        <v>0</v>
      </c>
      <c r="J13417" s="21" t="n">
        <v>0</v>
      </c>
      <c r="K13417" s="21" t="n">
        <v>0</v>
      </c>
      <c r="L13417" s="21" t="n">
        <v>0</v>
      </c>
      <c r="M13417" s="21" t="n">
        <v>0</v>
      </c>
      <c r="N13417" s="21" t="n">
        <v>0</v>
      </c>
      <c r="O13417" s="21" t="n">
        <v>0</v>
      </c>
      <c r="P13417" s="21" t="n">
        <v>0</v>
      </c>
      <c r="Q13417" s="21" t="n">
        <v>0</v>
      </c>
      <c r="R13417" s="21" t="n">
        <v>0</v>
      </c>
      <c r="S13417" s="21" t="n">
        <v>0</v>
      </c>
      <c r="T13417" s="21" t="n">
        <v>0</v>
      </c>
      <c r="U13417" s="21" t="n">
        <v>0</v>
      </c>
      <c r="V13417" s="21" t="n">
        <v>0</v>
      </c>
      <c r="W13417" s="21" t="n">
        <v>0</v>
      </c>
      <c r="X13417" s="21" t="n">
        <v>0</v>
      </c>
      <c r="Y13417" s="21" t="n">
        <v>0</v>
      </c>
      <c r="Z13417" s="19" t="n"/>
    </row>
    <row r="13418">
      <c r="D13418" s="21">
        <f>-$B$12189</f>
        <v/>
      </c>
      <c r="E13418" s="21">
        <f>-$B$12190</f>
        <v/>
      </c>
      <c r="F13418" s="21">
        <f>2*$B$12189+$D$13405</f>
        <v/>
      </c>
      <c r="G13418" s="21">
        <f>0</f>
        <v/>
      </c>
      <c r="H13418" s="21">
        <f>-$B$12189</f>
        <v/>
      </c>
      <c r="I13418" s="21">
        <f>$B$12190</f>
        <v/>
      </c>
      <c r="J13418" s="21" t="n">
        <v>0</v>
      </c>
      <c r="K13418" s="21" t="n">
        <v>0</v>
      </c>
      <c r="L13418" s="21" t="n">
        <v>0</v>
      </c>
      <c r="M13418" s="21" t="n">
        <v>0</v>
      </c>
      <c r="N13418" s="21" t="n">
        <v>0</v>
      </c>
      <c r="O13418" s="21" t="n">
        <v>0</v>
      </c>
      <c r="P13418" s="21" t="n">
        <v>0</v>
      </c>
      <c r="Q13418" s="21" t="n">
        <v>0</v>
      </c>
      <c r="R13418" s="21" t="n">
        <v>0</v>
      </c>
      <c r="S13418" s="21" t="n">
        <v>0</v>
      </c>
      <c r="T13418" s="21" t="n">
        <v>0</v>
      </c>
      <c r="U13418" s="21" t="n">
        <v>0</v>
      </c>
      <c r="V13418" s="21" t="n">
        <v>0</v>
      </c>
      <c r="W13418" s="21" t="n">
        <v>0</v>
      </c>
      <c r="X13418" s="21" t="n">
        <v>0</v>
      </c>
      <c r="Y13418" s="21" t="n">
        <v>0</v>
      </c>
      <c r="Z13418" s="19" t="n"/>
    </row>
    <row r="13419">
      <c r="D13419" s="21">
        <f>$B$12190</f>
        <v/>
      </c>
      <c r="E13419" s="21">
        <f>$B$12192</f>
        <v/>
      </c>
      <c r="F13419" s="21">
        <f>0</f>
        <v/>
      </c>
      <c r="G13419" s="21">
        <f>2*$B$12191</f>
        <v/>
      </c>
      <c r="H13419" s="21">
        <f>-$B$12190</f>
        <v/>
      </c>
      <c r="I13419" s="21">
        <f>$B$12192</f>
        <v/>
      </c>
      <c r="J13419" s="21" t="n">
        <v>0</v>
      </c>
      <c r="K13419" s="21" t="n">
        <v>0</v>
      </c>
      <c r="L13419" s="21" t="n">
        <v>0</v>
      </c>
      <c r="M13419" s="21" t="n">
        <v>0</v>
      </c>
      <c r="N13419" s="21" t="n">
        <v>0</v>
      </c>
      <c r="O13419" s="21" t="n">
        <v>0</v>
      </c>
      <c r="P13419" s="21" t="n">
        <v>0</v>
      </c>
      <c r="Q13419" s="21" t="n">
        <v>0</v>
      </c>
      <c r="R13419" s="21" t="n">
        <v>0</v>
      </c>
      <c r="S13419" s="21" t="n">
        <v>0</v>
      </c>
      <c r="T13419" s="21" t="n">
        <v>0</v>
      </c>
      <c r="U13419" s="21" t="n">
        <v>0</v>
      </c>
      <c r="V13419" s="21" t="n">
        <v>0</v>
      </c>
      <c r="W13419" s="21" t="n">
        <v>0</v>
      </c>
      <c r="X13419" s="21" t="n">
        <v>0</v>
      </c>
      <c r="Y13419" s="21" t="n">
        <v>0</v>
      </c>
      <c r="Z13419" s="19" t="n"/>
    </row>
    <row r="13420">
      <c r="D13420" s="21" t="n">
        <v>0</v>
      </c>
      <c r="E13420" s="21" t="n">
        <v>0</v>
      </c>
      <c r="F13420" s="21">
        <f>-$B$12189</f>
        <v/>
      </c>
      <c r="G13420" s="21">
        <f>-$B$12190</f>
        <v/>
      </c>
      <c r="H13420" s="21">
        <f>2*$B$12189+$D$13406</f>
        <v/>
      </c>
      <c r="I13420" s="21">
        <f>0</f>
        <v/>
      </c>
      <c r="J13420" s="21">
        <f>-$B$12189</f>
        <v/>
      </c>
      <c r="K13420" s="21">
        <f>$B$12190</f>
        <v/>
      </c>
      <c r="L13420" s="21" t="n">
        <v>0</v>
      </c>
      <c r="M13420" s="21" t="n">
        <v>0</v>
      </c>
      <c r="N13420" s="21" t="n">
        <v>0</v>
      </c>
      <c r="O13420" s="21" t="n">
        <v>0</v>
      </c>
      <c r="P13420" s="21" t="n">
        <v>0</v>
      </c>
      <c r="Q13420" s="21" t="n">
        <v>0</v>
      </c>
      <c r="R13420" s="21" t="n">
        <v>0</v>
      </c>
      <c r="S13420" s="21" t="n">
        <v>0</v>
      </c>
      <c r="T13420" s="21" t="n">
        <v>0</v>
      </c>
      <c r="U13420" s="21" t="n">
        <v>0</v>
      </c>
      <c r="V13420" s="21" t="n">
        <v>0</v>
      </c>
      <c r="W13420" s="21" t="n">
        <v>0</v>
      </c>
      <c r="X13420" s="21" t="n">
        <v>0</v>
      </c>
      <c r="Y13420" s="21" t="n">
        <v>0</v>
      </c>
      <c r="Z13420" s="19" t="n"/>
    </row>
    <row r="13421">
      <c r="D13421" s="21" t="n">
        <v>0</v>
      </c>
      <c r="E13421" s="21" t="n">
        <v>0</v>
      </c>
      <c r="F13421" s="21">
        <f>$B$12190</f>
        <v/>
      </c>
      <c r="G13421" s="21">
        <f>$B$12192</f>
        <v/>
      </c>
      <c r="H13421" s="21">
        <f>0</f>
        <v/>
      </c>
      <c r="I13421" s="21">
        <f>2*$B$12191</f>
        <v/>
      </c>
      <c r="J13421" s="21">
        <f>-$B$12190</f>
        <v/>
      </c>
      <c r="K13421" s="21">
        <f>$B$12192</f>
        <v/>
      </c>
      <c r="L13421" s="21" t="n">
        <v>0</v>
      </c>
      <c r="M13421" s="21" t="n">
        <v>0</v>
      </c>
      <c r="N13421" s="21" t="n">
        <v>0</v>
      </c>
      <c r="O13421" s="21" t="n">
        <v>0</v>
      </c>
      <c r="P13421" s="21" t="n">
        <v>0</v>
      </c>
      <c r="Q13421" s="21" t="n">
        <v>0</v>
      </c>
      <c r="R13421" s="21" t="n">
        <v>0</v>
      </c>
      <c r="S13421" s="21" t="n">
        <v>0</v>
      </c>
      <c r="T13421" s="21" t="n">
        <v>0</v>
      </c>
      <c r="U13421" s="21" t="n">
        <v>0</v>
      </c>
      <c r="V13421" s="21" t="n">
        <v>0</v>
      </c>
      <c r="W13421" s="21" t="n">
        <v>0</v>
      </c>
      <c r="X13421" s="21" t="n">
        <v>0</v>
      </c>
      <c r="Y13421" s="21" t="n">
        <v>0</v>
      </c>
      <c r="Z13421" s="19" t="n"/>
    </row>
    <row r="13422">
      <c r="D13422" s="21" t="n">
        <v>0</v>
      </c>
      <c r="E13422" s="21" t="n">
        <v>0</v>
      </c>
      <c r="F13422" s="21" t="n">
        <v>0</v>
      </c>
      <c r="G13422" s="21" t="n">
        <v>0</v>
      </c>
      <c r="H13422" s="21">
        <f>-$B$12189</f>
        <v/>
      </c>
      <c r="I13422" s="21">
        <f>-$B$12190</f>
        <v/>
      </c>
      <c r="J13422" s="21">
        <f>2*$B$12189+$D$13407</f>
        <v/>
      </c>
      <c r="K13422" s="21">
        <f>0</f>
        <v/>
      </c>
      <c r="L13422" s="21">
        <f>-$B$12189</f>
        <v/>
      </c>
      <c r="M13422" s="21">
        <f>$B$12190</f>
        <v/>
      </c>
      <c r="N13422" s="21" t="n">
        <v>0</v>
      </c>
      <c r="O13422" s="21" t="n">
        <v>0</v>
      </c>
      <c r="P13422" s="21" t="n">
        <v>0</v>
      </c>
      <c r="Q13422" s="21" t="n">
        <v>0</v>
      </c>
      <c r="R13422" s="21" t="n">
        <v>0</v>
      </c>
      <c r="S13422" s="21" t="n">
        <v>0</v>
      </c>
      <c r="T13422" s="21" t="n">
        <v>0</v>
      </c>
      <c r="U13422" s="21" t="n">
        <v>0</v>
      </c>
      <c r="V13422" s="21" t="n">
        <v>0</v>
      </c>
      <c r="W13422" s="21" t="n">
        <v>0</v>
      </c>
      <c r="X13422" s="21" t="n">
        <v>0</v>
      </c>
      <c r="Y13422" s="21" t="n">
        <v>0</v>
      </c>
      <c r="Z13422" s="19" t="n"/>
    </row>
    <row r="13423">
      <c r="D13423" s="21" t="n">
        <v>0</v>
      </c>
      <c r="E13423" s="21" t="n">
        <v>0</v>
      </c>
      <c r="F13423" s="21" t="n">
        <v>0</v>
      </c>
      <c r="G13423" s="21" t="n">
        <v>0</v>
      </c>
      <c r="H13423" s="21">
        <f>$B$12190</f>
        <v/>
      </c>
      <c r="I13423" s="21">
        <f>$B$12192</f>
        <v/>
      </c>
      <c r="J13423" s="21">
        <f>0</f>
        <v/>
      </c>
      <c r="K13423" s="21">
        <f>2*$B$12191</f>
        <v/>
      </c>
      <c r="L13423" s="21">
        <f>-$B$12190</f>
        <v/>
      </c>
      <c r="M13423" s="21">
        <f>$B$12192</f>
        <v/>
      </c>
      <c r="N13423" s="21" t="n">
        <v>0</v>
      </c>
      <c r="O13423" s="21" t="n">
        <v>0</v>
      </c>
      <c r="P13423" s="21" t="n">
        <v>0</v>
      </c>
      <c r="Q13423" s="21" t="n">
        <v>0</v>
      </c>
      <c r="R13423" s="21" t="n">
        <v>0</v>
      </c>
      <c r="S13423" s="21" t="n">
        <v>0</v>
      </c>
      <c r="T13423" s="21" t="n">
        <v>0</v>
      </c>
      <c r="U13423" s="21" t="n">
        <v>0</v>
      </c>
      <c r="V13423" s="21" t="n">
        <v>0</v>
      </c>
      <c r="W13423" s="21" t="n">
        <v>0</v>
      </c>
      <c r="X13423" s="21" t="n">
        <v>0</v>
      </c>
      <c r="Y13423" s="21" t="n">
        <v>0</v>
      </c>
      <c r="Z13423" s="19" t="n"/>
    </row>
    <row r="13424">
      <c r="D13424" s="21" t="n">
        <v>0</v>
      </c>
      <c r="E13424" s="21" t="n">
        <v>0</v>
      </c>
      <c r="F13424" s="21" t="n">
        <v>0</v>
      </c>
      <c r="G13424" s="21" t="n">
        <v>0</v>
      </c>
      <c r="H13424" s="21" t="n">
        <v>0</v>
      </c>
      <c r="I13424" s="21" t="n">
        <v>0</v>
      </c>
      <c r="J13424" s="21">
        <f>-$B$12189</f>
        <v/>
      </c>
      <c r="K13424" s="21">
        <f>-$B$12190</f>
        <v/>
      </c>
      <c r="L13424" s="21">
        <f>2*$B$12189+$D$13408</f>
        <v/>
      </c>
      <c r="M13424" s="21">
        <f>0</f>
        <v/>
      </c>
      <c r="N13424" s="21">
        <f>-$B$12189</f>
        <v/>
      </c>
      <c r="O13424" s="21">
        <f>$B$12190</f>
        <v/>
      </c>
      <c r="P13424" s="21" t="n">
        <v>0</v>
      </c>
      <c r="Q13424" s="21" t="n">
        <v>0</v>
      </c>
      <c r="R13424" s="21" t="n">
        <v>0</v>
      </c>
      <c r="S13424" s="21" t="n">
        <v>0</v>
      </c>
      <c r="T13424" s="21" t="n">
        <v>0</v>
      </c>
      <c r="U13424" s="21" t="n">
        <v>0</v>
      </c>
      <c r="V13424" s="21" t="n">
        <v>0</v>
      </c>
      <c r="W13424" s="21" t="n">
        <v>0</v>
      </c>
      <c r="X13424" s="21" t="n">
        <v>0</v>
      </c>
      <c r="Y13424" s="21" t="n">
        <v>0</v>
      </c>
      <c r="Z13424" s="19" t="n"/>
    </row>
    <row r="13425">
      <c r="D13425" s="21" t="n">
        <v>0</v>
      </c>
      <c r="E13425" s="21" t="n">
        <v>0</v>
      </c>
      <c r="F13425" s="21" t="n">
        <v>0</v>
      </c>
      <c r="G13425" s="21" t="n">
        <v>0</v>
      </c>
      <c r="H13425" s="21" t="n">
        <v>0</v>
      </c>
      <c r="I13425" s="21" t="n">
        <v>0</v>
      </c>
      <c r="J13425" s="21">
        <f>$B$12190</f>
        <v/>
      </c>
      <c r="K13425" s="21">
        <f>$B$12192</f>
        <v/>
      </c>
      <c r="L13425" s="21">
        <f>0</f>
        <v/>
      </c>
      <c r="M13425" s="21">
        <f>2*$B$12191</f>
        <v/>
      </c>
      <c r="N13425" s="21">
        <f>-$B$12190</f>
        <v/>
      </c>
      <c r="O13425" s="21">
        <f>$B$12192</f>
        <v/>
      </c>
      <c r="P13425" s="21" t="n">
        <v>0</v>
      </c>
      <c r="Q13425" s="21" t="n">
        <v>0</v>
      </c>
      <c r="R13425" s="21" t="n">
        <v>0</v>
      </c>
      <c r="S13425" s="21" t="n">
        <v>0</v>
      </c>
      <c r="T13425" s="21" t="n">
        <v>0</v>
      </c>
      <c r="U13425" s="21" t="n">
        <v>0</v>
      </c>
      <c r="V13425" s="21" t="n">
        <v>0</v>
      </c>
      <c r="W13425" s="21" t="n">
        <v>0</v>
      </c>
      <c r="X13425" s="21" t="n">
        <v>0</v>
      </c>
      <c r="Y13425" s="21" t="n">
        <v>0</v>
      </c>
      <c r="Z13425" s="19" t="n"/>
    </row>
    <row r="13426">
      <c r="D13426" s="21" t="n">
        <v>0</v>
      </c>
      <c r="E13426" s="21" t="n">
        <v>0</v>
      </c>
      <c r="F13426" s="21" t="n">
        <v>0</v>
      </c>
      <c r="G13426" s="21" t="n">
        <v>0</v>
      </c>
      <c r="H13426" s="21" t="n">
        <v>0</v>
      </c>
      <c r="I13426" s="21" t="n">
        <v>0</v>
      </c>
      <c r="J13426" s="21" t="n">
        <v>0</v>
      </c>
      <c r="K13426" s="21" t="n">
        <v>0</v>
      </c>
      <c r="L13426" s="21">
        <f>-$B$12189</f>
        <v/>
      </c>
      <c r="M13426" s="21">
        <f>-$B$12190</f>
        <v/>
      </c>
      <c r="N13426" s="21">
        <f>2*$B$12189+$D$13409</f>
        <v/>
      </c>
      <c r="O13426" s="21">
        <f>0</f>
        <v/>
      </c>
      <c r="P13426" s="21">
        <f>-$B$12189</f>
        <v/>
      </c>
      <c r="Q13426" s="21">
        <f>$B$12190</f>
        <v/>
      </c>
      <c r="R13426" s="21" t="n">
        <v>0</v>
      </c>
      <c r="S13426" s="21" t="n">
        <v>0</v>
      </c>
      <c r="T13426" s="21" t="n">
        <v>0</v>
      </c>
      <c r="U13426" s="21" t="n">
        <v>0</v>
      </c>
      <c r="V13426" s="21" t="n">
        <v>0</v>
      </c>
      <c r="W13426" s="21" t="n">
        <v>0</v>
      </c>
      <c r="X13426" s="21" t="n">
        <v>0</v>
      </c>
      <c r="Y13426" s="21" t="n">
        <v>0</v>
      </c>
      <c r="Z13426" s="19" t="n"/>
    </row>
    <row r="13427">
      <c r="D13427" s="21" t="n">
        <v>0</v>
      </c>
      <c r="E13427" s="21" t="n">
        <v>0</v>
      </c>
      <c r="F13427" s="21" t="n">
        <v>0</v>
      </c>
      <c r="G13427" s="21" t="n">
        <v>0</v>
      </c>
      <c r="H13427" s="21" t="n">
        <v>0</v>
      </c>
      <c r="I13427" s="21" t="n">
        <v>0</v>
      </c>
      <c r="J13427" s="21" t="n">
        <v>0</v>
      </c>
      <c r="K13427" s="21" t="n">
        <v>0</v>
      </c>
      <c r="L13427" s="21">
        <f>$B$12190</f>
        <v/>
      </c>
      <c r="M13427" s="21">
        <f>$B$12192</f>
        <v/>
      </c>
      <c r="N13427" s="21">
        <f>0</f>
        <v/>
      </c>
      <c r="O13427" s="21">
        <f>2*$B$12191</f>
        <v/>
      </c>
      <c r="P13427" s="21">
        <f>-$B$12190</f>
        <v/>
      </c>
      <c r="Q13427" s="21">
        <f>$B$12192</f>
        <v/>
      </c>
      <c r="R13427" s="21" t="n">
        <v>0</v>
      </c>
      <c r="S13427" s="21" t="n">
        <v>0</v>
      </c>
      <c r="T13427" s="21" t="n">
        <v>0</v>
      </c>
      <c r="U13427" s="21" t="n">
        <v>0</v>
      </c>
      <c r="V13427" s="21" t="n">
        <v>0</v>
      </c>
      <c r="W13427" s="21" t="n">
        <v>0</v>
      </c>
      <c r="X13427" s="21" t="n">
        <v>0</v>
      </c>
      <c r="Y13427" s="21" t="n">
        <v>0</v>
      </c>
      <c r="Z13427" s="19" t="n"/>
    </row>
    <row r="13428">
      <c r="D13428" s="21" t="n">
        <v>0</v>
      </c>
      <c r="E13428" s="21" t="n">
        <v>0</v>
      </c>
      <c r="F13428" s="21" t="n">
        <v>0</v>
      </c>
      <c r="G13428" s="21" t="n">
        <v>0</v>
      </c>
      <c r="H13428" s="21" t="n">
        <v>0</v>
      </c>
      <c r="I13428" s="21" t="n">
        <v>0</v>
      </c>
      <c r="J13428" s="21" t="n">
        <v>0</v>
      </c>
      <c r="K13428" s="21" t="n">
        <v>0</v>
      </c>
      <c r="L13428" s="21" t="n">
        <v>0</v>
      </c>
      <c r="M13428" s="21" t="n">
        <v>0</v>
      </c>
      <c r="N13428" s="21">
        <f>-$B$12189</f>
        <v/>
      </c>
      <c r="O13428" s="21">
        <f>-$B$12190</f>
        <v/>
      </c>
      <c r="P13428" s="21">
        <f>2*$B$12189+$D$13410</f>
        <v/>
      </c>
      <c r="Q13428" s="21">
        <f>0</f>
        <v/>
      </c>
      <c r="R13428" s="21">
        <f>-$B$12189</f>
        <v/>
      </c>
      <c r="S13428" s="21">
        <f>$B$12190</f>
        <v/>
      </c>
      <c r="T13428" s="21" t="n">
        <v>0</v>
      </c>
      <c r="U13428" s="21" t="n">
        <v>0</v>
      </c>
      <c r="V13428" s="21" t="n">
        <v>0</v>
      </c>
      <c r="W13428" s="21" t="n">
        <v>0</v>
      </c>
      <c r="X13428" s="21" t="n">
        <v>0</v>
      </c>
      <c r="Y13428" s="21" t="n">
        <v>0</v>
      </c>
      <c r="Z13428" s="19" t="n"/>
    </row>
    <row r="13429">
      <c r="D13429" s="21" t="n">
        <v>0</v>
      </c>
      <c r="E13429" s="21" t="n">
        <v>0</v>
      </c>
      <c r="F13429" s="21" t="n">
        <v>0</v>
      </c>
      <c r="G13429" s="21" t="n">
        <v>0</v>
      </c>
      <c r="H13429" s="21" t="n">
        <v>0</v>
      </c>
      <c r="I13429" s="21" t="n">
        <v>0</v>
      </c>
      <c r="J13429" s="21" t="n">
        <v>0</v>
      </c>
      <c r="K13429" s="21" t="n">
        <v>0</v>
      </c>
      <c r="L13429" s="21" t="n">
        <v>0</v>
      </c>
      <c r="M13429" s="21" t="n">
        <v>0</v>
      </c>
      <c r="N13429" s="21">
        <f>$B$12190</f>
        <v/>
      </c>
      <c r="O13429" s="21">
        <f>$B$12192</f>
        <v/>
      </c>
      <c r="P13429" s="21">
        <f>0</f>
        <v/>
      </c>
      <c r="Q13429" s="21">
        <f>2*$B$12191</f>
        <v/>
      </c>
      <c r="R13429" s="21">
        <f>-$B$12190</f>
        <v/>
      </c>
      <c r="S13429" s="21">
        <f>$B$12192</f>
        <v/>
      </c>
      <c r="T13429" s="21" t="n">
        <v>0</v>
      </c>
      <c r="U13429" s="21" t="n">
        <v>0</v>
      </c>
      <c r="V13429" s="21" t="n">
        <v>0</v>
      </c>
      <c r="W13429" s="21" t="n">
        <v>0</v>
      </c>
      <c r="X13429" s="21" t="n">
        <v>0</v>
      </c>
      <c r="Y13429" s="21" t="n">
        <v>0</v>
      </c>
      <c r="Z13429" s="19" t="n"/>
    </row>
    <row r="13430">
      <c r="D13430" s="21" t="n">
        <v>0</v>
      </c>
      <c r="E13430" s="21" t="n">
        <v>0</v>
      </c>
      <c r="F13430" s="21" t="n">
        <v>0</v>
      </c>
      <c r="G13430" s="21" t="n">
        <v>0</v>
      </c>
      <c r="H13430" s="21" t="n">
        <v>0</v>
      </c>
      <c r="I13430" s="21" t="n">
        <v>0</v>
      </c>
      <c r="J13430" s="21" t="n">
        <v>0</v>
      </c>
      <c r="K13430" s="21" t="n">
        <v>0</v>
      </c>
      <c r="L13430" s="21" t="n">
        <v>0</v>
      </c>
      <c r="M13430" s="21" t="n">
        <v>0</v>
      </c>
      <c r="N13430" s="21" t="n">
        <v>0</v>
      </c>
      <c r="O13430" s="21" t="n">
        <v>0</v>
      </c>
      <c r="P13430" s="21">
        <f>-$B$12189</f>
        <v/>
      </c>
      <c r="Q13430" s="21">
        <f>-$B$12190</f>
        <v/>
      </c>
      <c r="R13430" s="21">
        <f>2*$B$12189+$D$13411</f>
        <v/>
      </c>
      <c r="S13430" s="21">
        <f>0</f>
        <v/>
      </c>
      <c r="T13430" s="21">
        <f>-$B$12189</f>
        <v/>
      </c>
      <c r="U13430" s="21">
        <f>$B$12190</f>
        <v/>
      </c>
      <c r="V13430" s="21" t="n">
        <v>0</v>
      </c>
      <c r="W13430" s="21" t="n">
        <v>0</v>
      </c>
      <c r="X13430" s="21" t="n">
        <v>0</v>
      </c>
      <c r="Y13430" s="21" t="n">
        <v>0</v>
      </c>
      <c r="Z13430" s="19" t="n"/>
    </row>
    <row r="13431">
      <c r="D13431" s="21" t="n">
        <v>0</v>
      </c>
      <c r="E13431" s="21" t="n">
        <v>0</v>
      </c>
      <c r="F13431" s="21" t="n">
        <v>0</v>
      </c>
      <c r="G13431" s="21" t="n">
        <v>0</v>
      </c>
      <c r="H13431" s="21" t="n">
        <v>0</v>
      </c>
      <c r="I13431" s="21" t="n">
        <v>0</v>
      </c>
      <c r="J13431" s="21" t="n">
        <v>0</v>
      </c>
      <c r="K13431" s="21" t="n">
        <v>0</v>
      </c>
      <c r="L13431" s="21" t="n">
        <v>0</v>
      </c>
      <c r="M13431" s="21" t="n">
        <v>0</v>
      </c>
      <c r="N13431" s="21" t="n">
        <v>0</v>
      </c>
      <c r="O13431" s="21" t="n">
        <v>0</v>
      </c>
      <c r="P13431" s="21">
        <f>$B$12190</f>
        <v/>
      </c>
      <c r="Q13431" s="21">
        <f>$B$12192</f>
        <v/>
      </c>
      <c r="R13431" s="21">
        <f>0</f>
        <v/>
      </c>
      <c r="S13431" s="21">
        <f>2*$B$12191</f>
        <v/>
      </c>
      <c r="T13431" s="21">
        <f>-$B$12190</f>
        <v/>
      </c>
      <c r="U13431" s="21">
        <f>$B$12192</f>
        <v/>
      </c>
      <c r="V13431" s="21" t="n">
        <v>0</v>
      </c>
      <c r="W13431" s="21" t="n">
        <v>0</v>
      </c>
      <c r="X13431" s="21" t="n">
        <v>0</v>
      </c>
      <c r="Y13431" s="21" t="n">
        <v>0</v>
      </c>
      <c r="Z13431" s="19" t="n"/>
    </row>
    <row r="13432">
      <c r="D13432" s="21" t="n">
        <v>0</v>
      </c>
      <c r="E13432" s="21" t="n">
        <v>0</v>
      </c>
      <c r="F13432" s="21" t="n">
        <v>0</v>
      </c>
      <c r="G13432" s="21" t="n">
        <v>0</v>
      </c>
      <c r="H13432" s="21" t="n">
        <v>0</v>
      </c>
      <c r="I13432" s="21" t="n">
        <v>0</v>
      </c>
      <c r="J13432" s="21" t="n">
        <v>0</v>
      </c>
      <c r="K13432" s="21" t="n">
        <v>0</v>
      </c>
      <c r="L13432" s="21" t="n">
        <v>0</v>
      </c>
      <c r="M13432" s="21" t="n">
        <v>0</v>
      </c>
      <c r="N13432" s="21" t="n">
        <v>0</v>
      </c>
      <c r="O13432" s="21" t="n">
        <v>0</v>
      </c>
      <c r="P13432" s="21" t="n">
        <v>0</v>
      </c>
      <c r="Q13432" s="21" t="n">
        <v>0</v>
      </c>
      <c r="R13432" s="21">
        <f>-$B$12189</f>
        <v/>
      </c>
      <c r="S13432" s="21">
        <f>-$B$12190</f>
        <v/>
      </c>
      <c r="T13432" s="21">
        <f>2*$B$12189+$D$13412</f>
        <v/>
      </c>
      <c r="U13432" s="21">
        <f>0</f>
        <v/>
      </c>
      <c r="V13432" s="21">
        <f>-$B$12189</f>
        <v/>
      </c>
      <c r="W13432" s="21">
        <f>$B$12190</f>
        <v/>
      </c>
      <c r="X13432" s="21" t="n">
        <v>0</v>
      </c>
      <c r="Y13432" s="21" t="n">
        <v>0</v>
      </c>
      <c r="Z13432" s="19" t="n"/>
    </row>
    <row r="13433">
      <c r="D13433" s="21" t="n">
        <v>0</v>
      </c>
      <c r="E13433" s="21" t="n">
        <v>0</v>
      </c>
      <c r="F13433" s="21" t="n">
        <v>0</v>
      </c>
      <c r="G13433" s="21" t="n">
        <v>0</v>
      </c>
      <c r="H13433" s="21" t="n">
        <v>0</v>
      </c>
      <c r="I13433" s="21" t="n">
        <v>0</v>
      </c>
      <c r="J13433" s="21" t="n">
        <v>0</v>
      </c>
      <c r="K13433" s="21" t="n">
        <v>0</v>
      </c>
      <c r="L13433" s="21" t="n">
        <v>0</v>
      </c>
      <c r="M13433" s="21" t="n">
        <v>0</v>
      </c>
      <c r="N13433" s="21" t="n">
        <v>0</v>
      </c>
      <c r="O13433" s="21" t="n">
        <v>0</v>
      </c>
      <c r="P13433" s="21" t="n">
        <v>0</v>
      </c>
      <c r="Q13433" s="21" t="n">
        <v>0</v>
      </c>
      <c r="R13433" s="21">
        <f>$B$12190</f>
        <v/>
      </c>
      <c r="S13433" s="21">
        <f>$B$12192</f>
        <v/>
      </c>
      <c r="T13433" s="21">
        <f>0</f>
        <v/>
      </c>
      <c r="U13433" s="21">
        <f>2*$B$12191</f>
        <v/>
      </c>
      <c r="V13433" s="21">
        <f>-$B$12190</f>
        <v/>
      </c>
      <c r="W13433" s="21">
        <f>$B$12192</f>
        <v/>
      </c>
      <c r="X13433" s="21" t="n">
        <v>0</v>
      </c>
      <c r="Y13433" s="21" t="n">
        <v>0</v>
      </c>
      <c r="Z13433" s="19" t="n"/>
    </row>
    <row r="13434">
      <c r="D13434" s="21" t="n">
        <v>0</v>
      </c>
      <c r="E13434" s="21" t="n">
        <v>0</v>
      </c>
      <c r="F13434" s="21" t="n">
        <v>0</v>
      </c>
      <c r="G13434" s="21" t="n">
        <v>0</v>
      </c>
      <c r="H13434" s="21" t="n">
        <v>0</v>
      </c>
      <c r="I13434" s="21" t="n">
        <v>0</v>
      </c>
      <c r="J13434" s="21" t="n">
        <v>0</v>
      </c>
      <c r="K13434" s="21" t="n">
        <v>0</v>
      </c>
      <c r="L13434" s="21" t="n">
        <v>0</v>
      </c>
      <c r="M13434" s="21" t="n">
        <v>0</v>
      </c>
      <c r="N13434" s="21" t="n">
        <v>0</v>
      </c>
      <c r="O13434" s="21" t="n">
        <v>0</v>
      </c>
      <c r="P13434" s="21" t="n">
        <v>0</v>
      </c>
      <c r="Q13434" s="21" t="n">
        <v>0</v>
      </c>
      <c r="R13434" s="21" t="n">
        <v>0</v>
      </c>
      <c r="S13434" s="21" t="n">
        <v>0</v>
      </c>
      <c r="T13434" s="21">
        <f>-$B$12189</f>
        <v/>
      </c>
      <c r="U13434" s="21">
        <f>-$B$12190</f>
        <v/>
      </c>
      <c r="V13434" s="21">
        <f>2*$B$12189+$D$13413</f>
        <v/>
      </c>
      <c r="W13434" s="21">
        <f>0</f>
        <v/>
      </c>
      <c r="X13434" s="21">
        <f>-$B$12189</f>
        <v/>
      </c>
      <c r="Y13434" s="21">
        <f>$B$12190</f>
        <v/>
      </c>
      <c r="Z13434" s="19" t="n"/>
    </row>
    <row r="13435">
      <c r="D13435" s="21" t="n">
        <v>0</v>
      </c>
      <c r="E13435" s="21" t="n">
        <v>0</v>
      </c>
      <c r="F13435" s="21" t="n">
        <v>0</v>
      </c>
      <c r="G13435" s="21" t="n">
        <v>0</v>
      </c>
      <c r="H13435" s="21" t="n">
        <v>0</v>
      </c>
      <c r="I13435" s="21" t="n">
        <v>0</v>
      </c>
      <c r="J13435" s="21" t="n">
        <v>0</v>
      </c>
      <c r="K13435" s="21" t="n">
        <v>0</v>
      </c>
      <c r="L13435" s="21" t="n">
        <v>0</v>
      </c>
      <c r="M13435" s="21" t="n">
        <v>0</v>
      </c>
      <c r="N13435" s="21" t="n">
        <v>0</v>
      </c>
      <c r="O13435" s="21" t="n">
        <v>0</v>
      </c>
      <c r="P13435" s="21" t="n">
        <v>0</v>
      </c>
      <c r="Q13435" s="21" t="n">
        <v>0</v>
      </c>
      <c r="R13435" s="21" t="n">
        <v>0</v>
      </c>
      <c r="S13435" s="21" t="n">
        <v>0</v>
      </c>
      <c r="T13435" s="21">
        <f>$B$12190</f>
        <v/>
      </c>
      <c r="U13435" s="21">
        <f>$B$12192</f>
        <v/>
      </c>
      <c r="V13435" s="21">
        <f>0</f>
        <v/>
      </c>
      <c r="W13435" s="21">
        <f>2*$B$12191</f>
        <v/>
      </c>
      <c r="X13435" s="21">
        <f>-$B$12190</f>
        <v/>
      </c>
      <c r="Y13435" s="21">
        <f>$B$12192</f>
        <v/>
      </c>
      <c r="Z13435" s="19" t="n"/>
    </row>
    <row r="13436">
      <c r="D13436" s="21" t="n">
        <v>0</v>
      </c>
      <c r="E13436" s="21" t="n">
        <v>0</v>
      </c>
      <c r="F13436" s="21" t="n">
        <v>0</v>
      </c>
      <c r="G13436" s="21" t="n">
        <v>0</v>
      </c>
      <c r="H13436" s="21" t="n">
        <v>0</v>
      </c>
      <c r="I13436" s="21" t="n">
        <v>0</v>
      </c>
      <c r="J13436" s="21" t="n">
        <v>0</v>
      </c>
      <c r="K13436" s="21" t="n">
        <v>0</v>
      </c>
      <c r="L13436" s="21" t="n">
        <v>0</v>
      </c>
      <c r="M13436" s="21" t="n">
        <v>0</v>
      </c>
      <c r="N13436" s="21" t="n">
        <v>0</v>
      </c>
      <c r="O13436" s="21" t="n">
        <v>0</v>
      </c>
      <c r="P13436" s="21" t="n">
        <v>0</v>
      </c>
      <c r="Q13436" s="21" t="n">
        <v>0</v>
      </c>
      <c r="R13436" s="21" t="n">
        <v>0</v>
      </c>
      <c r="S13436" s="21" t="n">
        <v>0</v>
      </c>
      <c r="T13436" s="21" t="n">
        <v>0</v>
      </c>
      <c r="U13436" s="21" t="n">
        <v>0</v>
      </c>
      <c r="V13436" s="21">
        <f>-$B$12189</f>
        <v/>
      </c>
      <c r="W13436" s="21">
        <f>-$B$12190</f>
        <v/>
      </c>
      <c r="X13436" s="21">
        <f>$B$12189+$D$13414</f>
        <v/>
      </c>
      <c r="Y13436" s="21">
        <f>-$B$12190</f>
        <v/>
      </c>
      <c r="Z13436" s="19" t="n"/>
    </row>
    <row r="13437">
      <c r="D13437" s="21" t="n">
        <v>0</v>
      </c>
      <c r="E13437" s="21" t="n">
        <v>0</v>
      </c>
      <c r="F13437" s="21" t="n">
        <v>0</v>
      </c>
      <c r="G13437" s="21" t="n">
        <v>0</v>
      </c>
      <c r="H13437" s="21" t="n">
        <v>0</v>
      </c>
      <c r="I13437" s="21" t="n">
        <v>0</v>
      </c>
      <c r="J13437" s="21" t="n">
        <v>0</v>
      </c>
      <c r="K13437" s="21" t="n">
        <v>0</v>
      </c>
      <c r="L13437" s="21" t="n">
        <v>0</v>
      </c>
      <c r="M13437" s="21" t="n">
        <v>0</v>
      </c>
      <c r="N13437" s="21" t="n">
        <v>0</v>
      </c>
      <c r="O13437" s="21" t="n">
        <v>0</v>
      </c>
      <c r="P13437" s="21" t="n">
        <v>0</v>
      </c>
      <c r="Q13437" s="21" t="n">
        <v>0</v>
      </c>
      <c r="R13437" s="21" t="n">
        <v>0</v>
      </c>
      <c r="S13437" s="21" t="n">
        <v>0</v>
      </c>
      <c r="T13437" s="21" t="n">
        <v>0</v>
      </c>
      <c r="U13437" s="21" t="n">
        <v>0</v>
      </c>
      <c r="V13437" s="21">
        <f>$B$12190</f>
        <v/>
      </c>
      <c r="W13437" s="21">
        <f>$B$12192</f>
        <v/>
      </c>
      <c r="X13437" s="21">
        <f>-$B$12190</f>
        <v/>
      </c>
      <c r="Y13437" s="21">
        <f>$B$12191</f>
        <v/>
      </c>
      <c r="Z13437" s="19" t="n"/>
    </row>
    <row r="13439">
      <c r="A13439" s="8" t="inlineStr">
        <is>
          <t>gen 34</t>
        </is>
      </c>
    </row>
    <row r="13440">
      <c r="D13440" s="19">
        <f>IF(ABS(IF(ABS($E$13404)&gt;0.000000001,$E$13404,0.000000001))=0,0,IF($E$12204&lt;=$B$12198,0,IF(ABS(IF(ABS($E$13404)&gt;0.000000001,$E$13404,0.000000001))&gt;=8*$B$12200,$H$12204,0.5*$H$12204*(ABS(IF(ABS($E$13404)&gt;0.000000001,$E$13404,0.000000001))/$B$12200)^(1/3)))/ABS(IF(ABS($E$13404)&gt;0.000000001,$E$13404,0.000000001))*$I$12204)</f>
        <v/>
      </c>
      <c r="E13440" s="19">
        <f>0.5*$E$13404+0.5*$Z$13452</f>
        <v/>
      </c>
      <c r="F13440" s="19">
        <f>$Z$13453</f>
        <v/>
      </c>
    </row>
    <row r="13441">
      <c r="D13441" s="19">
        <f>IF(ABS(IF(ABS($E$13405)&gt;0.000000001,$E$13405,0.000000001))=0,0,IF($E$12205&lt;=$B$12198,0,IF(ABS(IF(ABS($E$13405)&gt;0.000000001,$E$13405,0.000000001))&gt;=8*$B$12200,$H$12205,0.5*$H$12205*(ABS(IF(ABS($E$13405)&gt;0.000000001,$E$13405,0.000000001))/$B$12200)^(1/3)))/ABS(IF(ABS($E$13405)&gt;0.000000001,$E$13405,0.000000001))*$I$12205)</f>
        <v/>
      </c>
      <c r="E13441" s="19">
        <f>0.5*$E$13405+0.5*$Z$13454</f>
        <v/>
      </c>
      <c r="F13441" s="19">
        <f>$Z$13455</f>
        <v/>
      </c>
    </row>
    <row r="13442">
      <c r="D13442" s="19">
        <f>IF(ABS(IF(ABS($E$13406)&gt;0.000000001,$E$13406,0.000000001))=0,0,IF($E$12206&lt;=$B$12198,0,IF(ABS(IF(ABS($E$13406)&gt;0.000000001,$E$13406,0.000000001))&gt;=8*$B$12200,$H$12206,0.5*$H$12206*(ABS(IF(ABS($E$13406)&gt;0.000000001,$E$13406,0.000000001))/$B$12200)^(1/3)))/ABS(IF(ABS($E$13406)&gt;0.000000001,$E$13406,0.000000001))*$I$12206)</f>
        <v/>
      </c>
      <c r="E13442" s="19">
        <f>0.5*$E$13406+0.5*$Z$13456</f>
        <v/>
      </c>
      <c r="F13442" s="19">
        <f>$Z$13457</f>
        <v/>
      </c>
    </row>
    <row r="13443">
      <c r="D13443" s="19">
        <f>IF(ABS(IF(ABS($E$13407)&gt;0.000000001,$E$13407,0.000000001))=0,0,IF($E$12207&lt;=$B$12198,0,IF(ABS(IF(ABS($E$13407)&gt;0.000000001,$E$13407,0.000000001))&gt;=8*$B$12200,$H$12207,0.5*$H$12207*(ABS(IF(ABS($E$13407)&gt;0.000000001,$E$13407,0.000000001))/$B$12200)^(1/3)))/ABS(IF(ABS($E$13407)&gt;0.000000001,$E$13407,0.000000001))*$I$12207)</f>
        <v/>
      </c>
      <c r="E13443" s="19">
        <f>0.5*$E$13407+0.5*$Z$13458</f>
        <v/>
      </c>
      <c r="F13443" s="19">
        <f>$Z$13459</f>
        <v/>
      </c>
    </row>
    <row r="13444">
      <c r="D13444" s="19">
        <f>IF(ABS(IF(ABS($E$13408)&gt;0.000000001,$E$13408,0.000000001))=0,0,IF($E$12208&lt;=$B$12198,0,IF(ABS(IF(ABS($E$13408)&gt;0.000000001,$E$13408,0.000000001))&gt;=8*$B$12200,$H$12208,0.5*$H$12208*(ABS(IF(ABS($E$13408)&gt;0.000000001,$E$13408,0.000000001))/$B$12200)^(1/3)))/ABS(IF(ABS($E$13408)&gt;0.000000001,$E$13408,0.000000001))*$I$12208)</f>
        <v/>
      </c>
      <c r="E13444" s="19">
        <f>0.5*$E$13408+0.5*$Z$13460</f>
        <v/>
      </c>
      <c r="F13444" s="19">
        <f>$Z$13461</f>
        <v/>
      </c>
    </row>
    <row r="13445">
      <c r="D13445" s="19">
        <f>IF(ABS(IF(ABS($E$13409)&gt;0.000000001,$E$13409,0.000000001))=0,0,IF($E$12209&lt;=$B$12198,0,IF(ABS(IF(ABS($E$13409)&gt;0.000000001,$E$13409,0.000000001))&gt;=8*$B$12200,$H$12209,0.5*$H$12209*(ABS(IF(ABS($E$13409)&gt;0.000000001,$E$13409,0.000000001))/$B$12200)^(1/3)))/ABS(IF(ABS($E$13409)&gt;0.000000001,$E$13409,0.000000001))*$I$12209)</f>
        <v/>
      </c>
      <c r="E13445" s="19">
        <f>0.5*$E$13409+0.5*$Z$13462</f>
        <v/>
      </c>
      <c r="F13445" s="19">
        <f>$Z$13463</f>
        <v/>
      </c>
    </row>
    <row r="13446">
      <c r="D13446" s="19">
        <f>IF(ABS(IF(ABS($E$13410)&gt;0.000000001,$E$13410,0.000000001))=0,0,IF($E$12210&lt;=$B$12198,0,IF(ABS(IF(ABS($E$13410)&gt;0.000000001,$E$13410,0.000000001))&gt;=8*$B$12200,$H$12210,0.5*$H$12210*(ABS(IF(ABS($E$13410)&gt;0.000000001,$E$13410,0.000000001))/$B$12200)^(1/3)))/ABS(IF(ABS($E$13410)&gt;0.000000001,$E$13410,0.000000001))*$I$12210)</f>
        <v/>
      </c>
      <c r="E13446" s="19">
        <f>0.5*$E$13410+0.5*$Z$13464</f>
        <v/>
      </c>
      <c r="F13446" s="19">
        <f>$Z$13465</f>
        <v/>
      </c>
    </row>
    <row r="13447">
      <c r="D13447" s="19">
        <f>IF(ABS(IF(ABS($E$13411)&gt;0.000000001,$E$13411,0.000000001))=0,0,IF($E$12211&lt;=$B$12198,0,IF(ABS(IF(ABS($E$13411)&gt;0.000000001,$E$13411,0.000000001))&gt;=8*$B$12200,$H$12211,0.5*$H$12211*(ABS(IF(ABS($E$13411)&gt;0.000000001,$E$13411,0.000000001))/$B$12200)^(1/3)))/ABS(IF(ABS($E$13411)&gt;0.000000001,$E$13411,0.000000001))*$I$12211)</f>
        <v/>
      </c>
      <c r="E13447" s="19">
        <f>0.5*$E$13411+0.5*$Z$13466</f>
        <v/>
      </c>
      <c r="F13447" s="19">
        <f>$Z$13467</f>
        <v/>
      </c>
    </row>
    <row r="13448">
      <c r="D13448" s="19">
        <f>IF(ABS(IF(ABS($E$13412)&gt;0.000000001,$E$13412,0.000000001))=0,0,IF($E$12212&lt;=$B$12198,0,IF(ABS(IF(ABS($E$13412)&gt;0.000000001,$E$13412,0.000000001))&gt;=8*$B$12200,$H$12212,0.5*$H$12212*(ABS(IF(ABS($E$13412)&gt;0.000000001,$E$13412,0.000000001))/$B$12200)^(1/3)))/ABS(IF(ABS($E$13412)&gt;0.000000001,$E$13412,0.000000001))*$I$12212)</f>
        <v/>
      </c>
      <c r="E13448" s="19">
        <f>0.5*$E$13412+0.5*$Z$13468</f>
        <v/>
      </c>
      <c r="F13448" s="19">
        <f>$Z$13469</f>
        <v/>
      </c>
    </row>
    <row r="13449">
      <c r="D13449" s="19">
        <f>IF(ABS(IF(ABS($E$13413)&gt;0.000000001,$E$13413,0.000000001))=0,0,IF($E$12213&lt;=$B$12198,0,IF(ABS(IF(ABS($E$13413)&gt;0.000000001,$E$13413,0.000000001))&gt;=8*$B$12200,$H$12213,0.5*$H$12213*(ABS(IF(ABS($E$13413)&gt;0.000000001,$E$13413,0.000000001))/$B$12200)^(1/3)))/ABS(IF(ABS($E$13413)&gt;0.000000001,$E$13413,0.000000001))*$I$12213)</f>
        <v/>
      </c>
      <c r="E13449" s="19">
        <f>0.5*$E$13413+0.5*$Z$13470</f>
        <v/>
      </c>
      <c r="F13449" s="19">
        <f>$Z$13471</f>
        <v/>
      </c>
    </row>
    <row r="13450">
      <c r="D13450" s="19">
        <f>IF(ABS(IF(ABS($E$13414)&gt;0.000000001,$E$13414,0.000000001))=0,0,IF($E$12214&lt;=$B$12198,0,IF(ABS(IF(ABS($E$13414)&gt;0.000000001,$E$13414,0.000000001))&gt;=8*$B$12200,$H$12214,0.5*$H$12214*(ABS(IF(ABS($E$13414)&gt;0.000000001,$E$13414,0.000000001))/$B$12200)^(1/3)))/ABS(IF(ABS($E$13414)&gt;0.000000001,$E$13414,0.000000001))*$I$12214)</f>
        <v/>
      </c>
      <c r="E13450" s="19">
        <f>0.5*$E$13414+0.5*$Z$13472</f>
        <v/>
      </c>
      <c r="F13450" s="19">
        <f>$Z$13473</f>
        <v/>
      </c>
    </row>
    <row r="13452">
      <c r="D13452" s="21">
        <f>$B$12189+$D$13440</f>
        <v/>
      </c>
      <c r="E13452" s="21">
        <f>$B$12190</f>
        <v/>
      </c>
      <c r="F13452" s="21">
        <f>-$B$12189</f>
        <v/>
      </c>
      <c r="G13452" s="21">
        <f>$B$12190</f>
        <v/>
      </c>
      <c r="H13452" s="21" t="n">
        <v>0</v>
      </c>
      <c r="I13452" s="21" t="n">
        <v>0</v>
      </c>
      <c r="J13452" s="21" t="n">
        <v>0</v>
      </c>
      <c r="K13452" s="21" t="n">
        <v>0</v>
      </c>
      <c r="L13452" s="21" t="n">
        <v>0</v>
      </c>
      <c r="M13452" s="21" t="n">
        <v>0</v>
      </c>
      <c r="N13452" s="21" t="n">
        <v>0</v>
      </c>
      <c r="O13452" s="21" t="n">
        <v>0</v>
      </c>
      <c r="P13452" s="21" t="n">
        <v>0</v>
      </c>
      <c r="Q13452" s="21" t="n">
        <v>0</v>
      </c>
      <c r="R13452" s="21" t="n">
        <v>0</v>
      </c>
      <c r="S13452" s="21" t="n">
        <v>0</v>
      </c>
      <c r="T13452" s="21" t="n">
        <v>0</v>
      </c>
      <c r="U13452" s="21" t="n">
        <v>0</v>
      </c>
      <c r="V13452" s="21" t="n">
        <v>0</v>
      </c>
      <c r="W13452" s="21" t="n">
        <v>0</v>
      </c>
      <c r="X13452" s="21" t="n">
        <v>0</v>
      </c>
      <c r="Y13452" s="21" t="n">
        <v>0</v>
      </c>
      <c r="Z13452" s="19">
        <f t="array" ref="Z13452:Z13473">MMULT(MINVERSE($D$13452:$Y$13473),$D$12216:$D$12237)</f>
        <v/>
      </c>
    </row>
    <row r="13453">
      <c r="D13453" s="21">
        <f>$B$12190</f>
        <v/>
      </c>
      <c r="E13453" s="21">
        <f>$B$12191</f>
        <v/>
      </c>
      <c r="F13453" s="21">
        <f>-$B$12190</f>
        <v/>
      </c>
      <c r="G13453" s="21">
        <f>$B$12192</f>
        <v/>
      </c>
      <c r="H13453" s="21" t="n">
        <v>0</v>
      </c>
      <c r="I13453" s="21" t="n">
        <v>0</v>
      </c>
      <c r="J13453" s="21" t="n">
        <v>0</v>
      </c>
      <c r="K13453" s="21" t="n">
        <v>0</v>
      </c>
      <c r="L13453" s="21" t="n">
        <v>0</v>
      </c>
      <c r="M13453" s="21" t="n">
        <v>0</v>
      </c>
      <c r="N13453" s="21" t="n">
        <v>0</v>
      </c>
      <c r="O13453" s="21" t="n">
        <v>0</v>
      </c>
      <c r="P13453" s="21" t="n">
        <v>0</v>
      </c>
      <c r="Q13453" s="21" t="n">
        <v>0</v>
      </c>
      <c r="R13453" s="21" t="n">
        <v>0</v>
      </c>
      <c r="S13453" s="21" t="n">
        <v>0</v>
      </c>
      <c r="T13453" s="21" t="n">
        <v>0</v>
      </c>
      <c r="U13453" s="21" t="n">
        <v>0</v>
      </c>
      <c r="V13453" s="21" t="n">
        <v>0</v>
      </c>
      <c r="W13453" s="21" t="n">
        <v>0</v>
      </c>
      <c r="X13453" s="21" t="n">
        <v>0</v>
      </c>
      <c r="Y13453" s="21" t="n">
        <v>0</v>
      </c>
      <c r="Z13453" s="19" t="n"/>
    </row>
    <row r="13454">
      <c r="D13454" s="21">
        <f>-$B$12189</f>
        <v/>
      </c>
      <c r="E13454" s="21">
        <f>-$B$12190</f>
        <v/>
      </c>
      <c r="F13454" s="21">
        <f>2*$B$12189+$D$13441</f>
        <v/>
      </c>
      <c r="G13454" s="21">
        <f>0</f>
        <v/>
      </c>
      <c r="H13454" s="21">
        <f>-$B$12189</f>
        <v/>
      </c>
      <c r="I13454" s="21">
        <f>$B$12190</f>
        <v/>
      </c>
      <c r="J13454" s="21" t="n">
        <v>0</v>
      </c>
      <c r="K13454" s="21" t="n">
        <v>0</v>
      </c>
      <c r="L13454" s="21" t="n">
        <v>0</v>
      </c>
      <c r="M13454" s="21" t="n">
        <v>0</v>
      </c>
      <c r="N13454" s="21" t="n">
        <v>0</v>
      </c>
      <c r="O13454" s="21" t="n">
        <v>0</v>
      </c>
      <c r="P13454" s="21" t="n">
        <v>0</v>
      </c>
      <c r="Q13454" s="21" t="n">
        <v>0</v>
      </c>
      <c r="R13454" s="21" t="n">
        <v>0</v>
      </c>
      <c r="S13454" s="21" t="n">
        <v>0</v>
      </c>
      <c r="T13454" s="21" t="n">
        <v>0</v>
      </c>
      <c r="U13454" s="21" t="n">
        <v>0</v>
      </c>
      <c r="V13454" s="21" t="n">
        <v>0</v>
      </c>
      <c r="W13454" s="21" t="n">
        <v>0</v>
      </c>
      <c r="X13454" s="21" t="n">
        <v>0</v>
      </c>
      <c r="Y13454" s="21" t="n">
        <v>0</v>
      </c>
      <c r="Z13454" s="19" t="n"/>
    </row>
    <row r="13455">
      <c r="D13455" s="21">
        <f>$B$12190</f>
        <v/>
      </c>
      <c r="E13455" s="21">
        <f>$B$12192</f>
        <v/>
      </c>
      <c r="F13455" s="21">
        <f>0</f>
        <v/>
      </c>
      <c r="G13455" s="21">
        <f>2*$B$12191</f>
        <v/>
      </c>
      <c r="H13455" s="21">
        <f>-$B$12190</f>
        <v/>
      </c>
      <c r="I13455" s="21">
        <f>$B$12192</f>
        <v/>
      </c>
      <c r="J13455" s="21" t="n">
        <v>0</v>
      </c>
      <c r="K13455" s="21" t="n">
        <v>0</v>
      </c>
      <c r="L13455" s="21" t="n">
        <v>0</v>
      </c>
      <c r="M13455" s="21" t="n">
        <v>0</v>
      </c>
      <c r="N13455" s="21" t="n">
        <v>0</v>
      </c>
      <c r="O13455" s="21" t="n">
        <v>0</v>
      </c>
      <c r="P13455" s="21" t="n">
        <v>0</v>
      </c>
      <c r="Q13455" s="21" t="n">
        <v>0</v>
      </c>
      <c r="R13455" s="21" t="n">
        <v>0</v>
      </c>
      <c r="S13455" s="21" t="n">
        <v>0</v>
      </c>
      <c r="T13455" s="21" t="n">
        <v>0</v>
      </c>
      <c r="U13455" s="21" t="n">
        <v>0</v>
      </c>
      <c r="V13455" s="21" t="n">
        <v>0</v>
      </c>
      <c r="W13455" s="21" t="n">
        <v>0</v>
      </c>
      <c r="X13455" s="21" t="n">
        <v>0</v>
      </c>
      <c r="Y13455" s="21" t="n">
        <v>0</v>
      </c>
      <c r="Z13455" s="19" t="n"/>
    </row>
    <row r="13456">
      <c r="D13456" s="21" t="n">
        <v>0</v>
      </c>
      <c r="E13456" s="21" t="n">
        <v>0</v>
      </c>
      <c r="F13456" s="21">
        <f>-$B$12189</f>
        <v/>
      </c>
      <c r="G13456" s="21">
        <f>-$B$12190</f>
        <v/>
      </c>
      <c r="H13456" s="21">
        <f>2*$B$12189+$D$13442</f>
        <v/>
      </c>
      <c r="I13456" s="21">
        <f>0</f>
        <v/>
      </c>
      <c r="J13456" s="21">
        <f>-$B$12189</f>
        <v/>
      </c>
      <c r="K13456" s="21">
        <f>$B$12190</f>
        <v/>
      </c>
      <c r="L13456" s="21" t="n">
        <v>0</v>
      </c>
      <c r="M13456" s="21" t="n">
        <v>0</v>
      </c>
      <c r="N13456" s="21" t="n">
        <v>0</v>
      </c>
      <c r="O13456" s="21" t="n">
        <v>0</v>
      </c>
      <c r="P13456" s="21" t="n">
        <v>0</v>
      </c>
      <c r="Q13456" s="21" t="n">
        <v>0</v>
      </c>
      <c r="R13456" s="21" t="n">
        <v>0</v>
      </c>
      <c r="S13456" s="21" t="n">
        <v>0</v>
      </c>
      <c r="T13456" s="21" t="n">
        <v>0</v>
      </c>
      <c r="U13456" s="21" t="n">
        <v>0</v>
      </c>
      <c r="V13456" s="21" t="n">
        <v>0</v>
      </c>
      <c r="W13456" s="21" t="n">
        <v>0</v>
      </c>
      <c r="X13456" s="21" t="n">
        <v>0</v>
      </c>
      <c r="Y13456" s="21" t="n">
        <v>0</v>
      </c>
      <c r="Z13456" s="19" t="n"/>
    </row>
    <row r="13457">
      <c r="D13457" s="21" t="n">
        <v>0</v>
      </c>
      <c r="E13457" s="21" t="n">
        <v>0</v>
      </c>
      <c r="F13457" s="21">
        <f>$B$12190</f>
        <v/>
      </c>
      <c r="G13457" s="21">
        <f>$B$12192</f>
        <v/>
      </c>
      <c r="H13457" s="21">
        <f>0</f>
        <v/>
      </c>
      <c r="I13457" s="21">
        <f>2*$B$12191</f>
        <v/>
      </c>
      <c r="J13457" s="21">
        <f>-$B$12190</f>
        <v/>
      </c>
      <c r="K13457" s="21">
        <f>$B$12192</f>
        <v/>
      </c>
      <c r="L13457" s="21" t="n">
        <v>0</v>
      </c>
      <c r="M13457" s="21" t="n">
        <v>0</v>
      </c>
      <c r="N13457" s="21" t="n">
        <v>0</v>
      </c>
      <c r="O13457" s="21" t="n">
        <v>0</v>
      </c>
      <c r="P13457" s="21" t="n">
        <v>0</v>
      </c>
      <c r="Q13457" s="21" t="n">
        <v>0</v>
      </c>
      <c r="R13457" s="21" t="n">
        <v>0</v>
      </c>
      <c r="S13457" s="21" t="n">
        <v>0</v>
      </c>
      <c r="T13457" s="21" t="n">
        <v>0</v>
      </c>
      <c r="U13457" s="21" t="n">
        <v>0</v>
      </c>
      <c r="V13457" s="21" t="n">
        <v>0</v>
      </c>
      <c r="W13457" s="21" t="n">
        <v>0</v>
      </c>
      <c r="X13457" s="21" t="n">
        <v>0</v>
      </c>
      <c r="Y13457" s="21" t="n">
        <v>0</v>
      </c>
      <c r="Z13457" s="19" t="n"/>
    </row>
    <row r="13458">
      <c r="D13458" s="21" t="n">
        <v>0</v>
      </c>
      <c r="E13458" s="21" t="n">
        <v>0</v>
      </c>
      <c r="F13458" s="21" t="n">
        <v>0</v>
      </c>
      <c r="G13458" s="21" t="n">
        <v>0</v>
      </c>
      <c r="H13458" s="21">
        <f>-$B$12189</f>
        <v/>
      </c>
      <c r="I13458" s="21">
        <f>-$B$12190</f>
        <v/>
      </c>
      <c r="J13458" s="21">
        <f>2*$B$12189+$D$13443</f>
        <v/>
      </c>
      <c r="K13458" s="21">
        <f>0</f>
        <v/>
      </c>
      <c r="L13458" s="21">
        <f>-$B$12189</f>
        <v/>
      </c>
      <c r="M13458" s="21">
        <f>$B$12190</f>
        <v/>
      </c>
      <c r="N13458" s="21" t="n">
        <v>0</v>
      </c>
      <c r="O13458" s="21" t="n">
        <v>0</v>
      </c>
      <c r="P13458" s="21" t="n">
        <v>0</v>
      </c>
      <c r="Q13458" s="21" t="n">
        <v>0</v>
      </c>
      <c r="R13458" s="21" t="n">
        <v>0</v>
      </c>
      <c r="S13458" s="21" t="n">
        <v>0</v>
      </c>
      <c r="T13458" s="21" t="n">
        <v>0</v>
      </c>
      <c r="U13458" s="21" t="n">
        <v>0</v>
      </c>
      <c r="V13458" s="21" t="n">
        <v>0</v>
      </c>
      <c r="W13458" s="21" t="n">
        <v>0</v>
      </c>
      <c r="X13458" s="21" t="n">
        <v>0</v>
      </c>
      <c r="Y13458" s="21" t="n">
        <v>0</v>
      </c>
      <c r="Z13458" s="19" t="n"/>
    </row>
    <row r="13459">
      <c r="D13459" s="21" t="n">
        <v>0</v>
      </c>
      <c r="E13459" s="21" t="n">
        <v>0</v>
      </c>
      <c r="F13459" s="21" t="n">
        <v>0</v>
      </c>
      <c r="G13459" s="21" t="n">
        <v>0</v>
      </c>
      <c r="H13459" s="21">
        <f>$B$12190</f>
        <v/>
      </c>
      <c r="I13459" s="21">
        <f>$B$12192</f>
        <v/>
      </c>
      <c r="J13459" s="21">
        <f>0</f>
        <v/>
      </c>
      <c r="K13459" s="21">
        <f>2*$B$12191</f>
        <v/>
      </c>
      <c r="L13459" s="21">
        <f>-$B$12190</f>
        <v/>
      </c>
      <c r="M13459" s="21">
        <f>$B$12192</f>
        <v/>
      </c>
      <c r="N13459" s="21" t="n">
        <v>0</v>
      </c>
      <c r="O13459" s="21" t="n">
        <v>0</v>
      </c>
      <c r="P13459" s="21" t="n">
        <v>0</v>
      </c>
      <c r="Q13459" s="21" t="n">
        <v>0</v>
      </c>
      <c r="R13459" s="21" t="n">
        <v>0</v>
      </c>
      <c r="S13459" s="21" t="n">
        <v>0</v>
      </c>
      <c r="T13459" s="21" t="n">
        <v>0</v>
      </c>
      <c r="U13459" s="21" t="n">
        <v>0</v>
      </c>
      <c r="V13459" s="21" t="n">
        <v>0</v>
      </c>
      <c r="W13459" s="21" t="n">
        <v>0</v>
      </c>
      <c r="X13459" s="21" t="n">
        <v>0</v>
      </c>
      <c r="Y13459" s="21" t="n">
        <v>0</v>
      </c>
      <c r="Z13459" s="19" t="n"/>
    </row>
    <row r="13460">
      <c r="D13460" s="21" t="n">
        <v>0</v>
      </c>
      <c r="E13460" s="21" t="n">
        <v>0</v>
      </c>
      <c r="F13460" s="21" t="n">
        <v>0</v>
      </c>
      <c r="G13460" s="21" t="n">
        <v>0</v>
      </c>
      <c r="H13460" s="21" t="n">
        <v>0</v>
      </c>
      <c r="I13460" s="21" t="n">
        <v>0</v>
      </c>
      <c r="J13460" s="21">
        <f>-$B$12189</f>
        <v/>
      </c>
      <c r="K13460" s="21">
        <f>-$B$12190</f>
        <v/>
      </c>
      <c r="L13460" s="21">
        <f>2*$B$12189+$D$13444</f>
        <v/>
      </c>
      <c r="M13460" s="21">
        <f>0</f>
        <v/>
      </c>
      <c r="N13460" s="21">
        <f>-$B$12189</f>
        <v/>
      </c>
      <c r="O13460" s="21">
        <f>$B$12190</f>
        <v/>
      </c>
      <c r="P13460" s="21" t="n">
        <v>0</v>
      </c>
      <c r="Q13460" s="21" t="n">
        <v>0</v>
      </c>
      <c r="R13460" s="21" t="n">
        <v>0</v>
      </c>
      <c r="S13460" s="21" t="n">
        <v>0</v>
      </c>
      <c r="T13460" s="21" t="n">
        <v>0</v>
      </c>
      <c r="U13460" s="21" t="n">
        <v>0</v>
      </c>
      <c r="V13460" s="21" t="n">
        <v>0</v>
      </c>
      <c r="W13460" s="21" t="n">
        <v>0</v>
      </c>
      <c r="X13460" s="21" t="n">
        <v>0</v>
      </c>
      <c r="Y13460" s="21" t="n">
        <v>0</v>
      </c>
      <c r="Z13460" s="19" t="n"/>
    </row>
    <row r="13461">
      <c r="D13461" s="21" t="n">
        <v>0</v>
      </c>
      <c r="E13461" s="21" t="n">
        <v>0</v>
      </c>
      <c r="F13461" s="21" t="n">
        <v>0</v>
      </c>
      <c r="G13461" s="21" t="n">
        <v>0</v>
      </c>
      <c r="H13461" s="21" t="n">
        <v>0</v>
      </c>
      <c r="I13461" s="21" t="n">
        <v>0</v>
      </c>
      <c r="J13461" s="21">
        <f>$B$12190</f>
        <v/>
      </c>
      <c r="K13461" s="21">
        <f>$B$12192</f>
        <v/>
      </c>
      <c r="L13461" s="21">
        <f>0</f>
        <v/>
      </c>
      <c r="M13461" s="21">
        <f>2*$B$12191</f>
        <v/>
      </c>
      <c r="N13461" s="21">
        <f>-$B$12190</f>
        <v/>
      </c>
      <c r="O13461" s="21">
        <f>$B$12192</f>
        <v/>
      </c>
      <c r="P13461" s="21" t="n">
        <v>0</v>
      </c>
      <c r="Q13461" s="21" t="n">
        <v>0</v>
      </c>
      <c r="R13461" s="21" t="n">
        <v>0</v>
      </c>
      <c r="S13461" s="21" t="n">
        <v>0</v>
      </c>
      <c r="T13461" s="21" t="n">
        <v>0</v>
      </c>
      <c r="U13461" s="21" t="n">
        <v>0</v>
      </c>
      <c r="V13461" s="21" t="n">
        <v>0</v>
      </c>
      <c r="W13461" s="21" t="n">
        <v>0</v>
      </c>
      <c r="X13461" s="21" t="n">
        <v>0</v>
      </c>
      <c r="Y13461" s="21" t="n">
        <v>0</v>
      </c>
      <c r="Z13461" s="19" t="n"/>
    </row>
    <row r="13462">
      <c r="D13462" s="21" t="n">
        <v>0</v>
      </c>
      <c r="E13462" s="21" t="n">
        <v>0</v>
      </c>
      <c r="F13462" s="21" t="n">
        <v>0</v>
      </c>
      <c r="G13462" s="21" t="n">
        <v>0</v>
      </c>
      <c r="H13462" s="21" t="n">
        <v>0</v>
      </c>
      <c r="I13462" s="21" t="n">
        <v>0</v>
      </c>
      <c r="J13462" s="21" t="n">
        <v>0</v>
      </c>
      <c r="K13462" s="21" t="n">
        <v>0</v>
      </c>
      <c r="L13462" s="21">
        <f>-$B$12189</f>
        <v/>
      </c>
      <c r="M13462" s="21">
        <f>-$B$12190</f>
        <v/>
      </c>
      <c r="N13462" s="21">
        <f>2*$B$12189+$D$13445</f>
        <v/>
      </c>
      <c r="O13462" s="21">
        <f>0</f>
        <v/>
      </c>
      <c r="P13462" s="21">
        <f>-$B$12189</f>
        <v/>
      </c>
      <c r="Q13462" s="21">
        <f>$B$12190</f>
        <v/>
      </c>
      <c r="R13462" s="21" t="n">
        <v>0</v>
      </c>
      <c r="S13462" s="21" t="n">
        <v>0</v>
      </c>
      <c r="T13462" s="21" t="n">
        <v>0</v>
      </c>
      <c r="U13462" s="21" t="n">
        <v>0</v>
      </c>
      <c r="V13462" s="21" t="n">
        <v>0</v>
      </c>
      <c r="W13462" s="21" t="n">
        <v>0</v>
      </c>
      <c r="X13462" s="21" t="n">
        <v>0</v>
      </c>
      <c r="Y13462" s="21" t="n">
        <v>0</v>
      </c>
      <c r="Z13462" s="19" t="n"/>
    </row>
    <row r="13463">
      <c r="D13463" s="21" t="n">
        <v>0</v>
      </c>
      <c r="E13463" s="21" t="n">
        <v>0</v>
      </c>
      <c r="F13463" s="21" t="n">
        <v>0</v>
      </c>
      <c r="G13463" s="21" t="n">
        <v>0</v>
      </c>
      <c r="H13463" s="21" t="n">
        <v>0</v>
      </c>
      <c r="I13463" s="21" t="n">
        <v>0</v>
      </c>
      <c r="J13463" s="21" t="n">
        <v>0</v>
      </c>
      <c r="K13463" s="21" t="n">
        <v>0</v>
      </c>
      <c r="L13463" s="21">
        <f>$B$12190</f>
        <v/>
      </c>
      <c r="M13463" s="21">
        <f>$B$12192</f>
        <v/>
      </c>
      <c r="N13463" s="21">
        <f>0</f>
        <v/>
      </c>
      <c r="O13463" s="21">
        <f>2*$B$12191</f>
        <v/>
      </c>
      <c r="P13463" s="21">
        <f>-$B$12190</f>
        <v/>
      </c>
      <c r="Q13463" s="21">
        <f>$B$12192</f>
        <v/>
      </c>
      <c r="R13463" s="21" t="n">
        <v>0</v>
      </c>
      <c r="S13463" s="21" t="n">
        <v>0</v>
      </c>
      <c r="T13463" s="21" t="n">
        <v>0</v>
      </c>
      <c r="U13463" s="21" t="n">
        <v>0</v>
      </c>
      <c r="V13463" s="21" t="n">
        <v>0</v>
      </c>
      <c r="W13463" s="21" t="n">
        <v>0</v>
      </c>
      <c r="X13463" s="21" t="n">
        <v>0</v>
      </c>
      <c r="Y13463" s="21" t="n">
        <v>0</v>
      </c>
      <c r="Z13463" s="19" t="n"/>
    </row>
    <row r="13464">
      <c r="D13464" s="21" t="n">
        <v>0</v>
      </c>
      <c r="E13464" s="21" t="n">
        <v>0</v>
      </c>
      <c r="F13464" s="21" t="n">
        <v>0</v>
      </c>
      <c r="G13464" s="21" t="n">
        <v>0</v>
      </c>
      <c r="H13464" s="21" t="n">
        <v>0</v>
      </c>
      <c r="I13464" s="21" t="n">
        <v>0</v>
      </c>
      <c r="J13464" s="21" t="n">
        <v>0</v>
      </c>
      <c r="K13464" s="21" t="n">
        <v>0</v>
      </c>
      <c r="L13464" s="21" t="n">
        <v>0</v>
      </c>
      <c r="M13464" s="21" t="n">
        <v>0</v>
      </c>
      <c r="N13464" s="21">
        <f>-$B$12189</f>
        <v/>
      </c>
      <c r="O13464" s="21">
        <f>-$B$12190</f>
        <v/>
      </c>
      <c r="P13464" s="21">
        <f>2*$B$12189+$D$13446</f>
        <v/>
      </c>
      <c r="Q13464" s="21">
        <f>0</f>
        <v/>
      </c>
      <c r="R13464" s="21">
        <f>-$B$12189</f>
        <v/>
      </c>
      <c r="S13464" s="21">
        <f>$B$12190</f>
        <v/>
      </c>
      <c r="T13464" s="21" t="n">
        <v>0</v>
      </c>
      <c r="U13464" s="21" t="n">
        <v>0</v>
      </c>
      <c r="V13464" s="21" t="n">
        <v>0</v>
      </c>
      <c r="W13464" s="21" t="n">
        <v>0</v>
      </c>
      <c r="X13464" s="21" t="n">
        <v>0</v>
      </c>
      <c r="Y13464" s="21" t="n">
        <v>0</v>
      </c>
      <c r="Z13464" s="19" t="n"/>
    </row>
    <row r="13465">
      <c r="D13465" s="21" t="n">
        <v>0</v>
      </c>
      <c r="E13465" s="21" t="n">
        <v>0</v>
      </c>
      <c r="F13465" s="21" t="n">
        <v>0</v>
      </c>
      <c r="G13465" s="21" t="n">
        <v>0</v>
      </c>
      <c r="H13465" s="21" t="n">
        <v>0</v>
      </c>
      <c r="I13465" s="21" t="n">
        <v>0</v>
      </c>
      <c r="J13465" s="21" t="n">
        <v>0</v>
      </c>
      <c r="K13465" s="21" t="n">
        <v>0</v>
      </c>
      <c r="L13465" s="21" t="n">
        <v>0</v>
      </c>
      <c r="M13465" s="21" t="n">
        <v>0</v>
      </c>
      <c r="N13465" s="21">
        <f>$B$12190</f>
        <v/>
      </c>
      <c r="O13465" s="21">
        <f>$B$12192</f>
        <v/>
      </c>
      <c r="P13465" s="21">
        <f>0</f>
        <v/>
      </c>
      <c r="Q13465" s="21">
        <f>2*$B$12191</f>
        <v/>
      </c>
      <c r="R13465" s="21">
        <f>-$B$12190</f>
        <v/>
      </c>
      <c r="S13465" s="21">
        <f>$B$12192</f>
        <v/>
      </c>
      <c r="T13465" s="21" t="n">
        <v>0</v>
      </c>
      <c r="U13465" s="21" t="n">
        <v>0</v>
      </c>
      <c r="V13465" s="21" t="n">
        <v>0</v>
      </c>
      <c r="W13465" s="21" t="n">
        <v>0</v>
      </c>
      <c r="X13465" s="21" t="n">
        <v>0</v>
      </c>
      <c r="Y13465" s="21" t="n">
        <v>0</v>
      </c>
      <c r="Z13465" s="19" t="n"/>
    </row>
    <row r="13466">
      <c r="D13466" s="21" t="n">
        <v>0</v>
      </c>
      <c r="E13466" s="21" t="n">
        <v>0</v>
      </c>
      <c r="F13466" s="21" t="n">
        <v>0</v>
      </c>
      <c r="G13466" s="21" t="n">
        <v>0</v>
      </c>
      <c r="H13466" s="21" t="n">
        <v>0</v>
      </c>
      <c r="I13466" s="21" t="n">
        <v>0</v>
      </c>
      <c r="J13466" s="21" t="n">
        <v>0</v>
      </c>
      <c r="K13466" s="21" t="n">
        <v>0</v>
      </c>
      <c r="L13466" s="21" t="n">
        <v>0</v>
      </c>
      <c r="M13466" s="21" t="n">
        <v>0</v>
      </c>
      <c r="N13466" s="21" t="n">
        <v>0</v>
      </c>
      <c r="O13466" s="21" t="n">
        <v>0</v>
      </c>
      <c r="P13466" s="21">
        <f>-$B$12189</f>
        <v/>
      </c>
      <c r="Q13466" s="21">
        <f>-$B$12190</f>
        <v/>
      </c>
      <c r="R13466" s="21">
        <f>2*$B$12189+$D$13447</f>
        <v/>
      </c>
      <c r="S13466" s="21">
        <f>0</f>
        <v/>
      </c>
      <c r="T13466" s="21">
        <f>-$B$12189</f>
        <v/>
      </c>
      <c r="U13466" s="21">
        <f>$B$12190</f>
        <v/>
      </c>
      <c r="V13466" s="21" t="n">
        <v>0</v>
      </c>
      <c r="W13466" s="21" t="n">
        <v>0</v>
      </c>
      <c r="X13466" s="21" t="n">
        <v>0</v>
      </c>
      <c r="Y13466" s="21" t="n">
        <v>0</v>
      </c>
      <c r="Z13466" s="19" t="n"/>
    </row>
    <row r="13467">
      <c r="D13467" s="21" t="n">
        <v>0</v>
      </c>
      <c r="E13467" s="21" t="n">
        <v>0</v>
      </c>
      <c r="F13467" s="21" t="n">
        <v>0</v>
      </c>
      <c r="G13467" s="21" t="n">
        <v>0</v>
      </c>
      <c r="H13467" s="21" t="n">
        <v>0</v>
      </c>
      <c r="I13467" s="21" t="n">
        <v>0</v>
      </c>
      <c r="J13467" s="21" t="n">
        <v>0</v>
      </c>
      <c r="K13467" s="21" t="n">
        <v>0</v>
      </c>
      <c r="L13467" s="21" t="n">
        <v>0</v>
      </c>
      <c r="M13467" s="21" t="n">
        <v>0</v>
      </c>
      <c r="N13467" s="21" t="n">
        <v>0</v>
      </c>
      <c r="O13467" s="21" t="n">
        <v>0</v>
      </c>
      <c r="P13467" s="21">
        <f>$B$12190</f>
        <v/>
      </c>
      <c r="Q13467" s="21">
        <f>$B$12192</f>
        <v/>
      </c>
      <c r="R13467" s="21">
        <f>0</f>
        <v/>
      </c>
      <c r="S13467" s="21">
        <f>2*$B$12191</f>
        <v/>
      </c>
      <c r="T13467" s="21">
        <f>-$B$12190</f>
        <v/>
      </c>
      <c r="U13467" s="21">
        <f>$B$12192</f>
        <v/>
      </c>
      <c r="V13467" s="21" t="n">
        <v>0</v>
      </c>
      <c r="W13467" s="21" t="n">
        <v>0</v>
      </c>
      <c r="X13467" s="21" t="n">
        <v>0</v>
      </c>
      <c r="Y13467" s="21" t="n">
        <v>0</v>
      </c>
      <c r="Z13467" s="19" t="n"/>
    </row>
    <row r="13468">
      <c r="D13468" s="21" t="n">
        <v>0</v>
      </c>
      <c r="E13468" s="21" t="n">
        <v>0</v>
      </c>
      <c r="F13468" s="21" t="n">
        <v>0</v>
      </c>
      <c r="G13468" s="21" t="n">
        <v>0</v>
      </c>
      <c r="H13468" s="21" t="n">
        <v>0</v>
      </c>
      <c r="I13468" s="21" t="n">
        <v>0</v>
      </c>
      <c r="J13468" s="21" t="n">
        <v>0</v>
      </c>
      <c r="K13468" s="21" t="n">
        <v>0</v>
      </c>
      <c r="L13468" s="21" t="n">
        <v>0</v>
      </c>
      <c r="M13468" s="21" t="n">
        <v>0</v>
      </c>
      <c r="N13468" s="21" t="n">
        <v>0</v>
      </c>
      <c r="O13468" s="21" t="n">
        <v>0</v>
      </c>
      <c r="P13468" s="21" t="n">
        <v>0</v>
      </c>
      <c r="Q13468" s="21" t="n">
        <v>0</v>
      </c>
      <c r="R13468" s="21">
        <f>-$B$12189</f>
        <v/>
      </c>
      <c r="S13468" s="21">
        <f>-$B$12190</f>
        <v/>
      </c>
      <c r="T13468" s="21">
        <f>2*$B$12189+$D$13448</f>
        <v/>
      </c>
      <c r="U13468" s="21">
        <f>0</f>
        <v/>
      </c>
      <c r="V13468" s="21">
        <f>-$B$12189</f>
        <v/>
      </c>
      <c r="W13468" s="21">
        <f>$B$12190</f>
        <v/>
      </c>
      <c r="X13468" s="21" t="n">
        <v>0</v>
      </c>
      <c r="Y13468" s="21" t="n">
        <v>0</v>
      </c>
      <c r="Z13468" s="19" t="n"/>
    </row>
    <row r="13469">
      <c r="D13469" s="21" t="n">
        <v>0</v>
      </c>
      <c r="E13469" s="21" t="n">
        <v>0</v>
      </c>
      <c r="F13469" s="21" t="n">
        <v>0</v>
      </c>
      <c r="G13469" s="21" t="n">
        <v>0</v>
      </c>
      <c r="H13469" s="21" t="n">
        <v>0</v>
      </c>
      <c r="I13469" s="21" t="n">
        <v>0</v>
      </c>
      <c r="J13469" s="21" t="n">
        <v>0</v>
      </c>
      <c r="K13469" s="21" t="n">
        <v>0</v>
      </c>
      <c r="L13469" s="21" t="n">
        <v>0</v>
      </c>
      <c r="M13469" s="21" t="n">
        <v>0</v>
      </c>
      <c r="N13469" s="21" t="n">
        <v>0</v>
      </c>
      <c r="O13469" s="21" t="n">
        <v>0</v>
      </c>
      <c r="P13469" s="21" t="n">
        <v>0</v>
      </c>
      <c r="Q13469" s="21" t="n">
        <v>0</v>
      </c>
      <c r="R13469" s="21">
        <f>$B$12190</f>
        <v/>
      </c>
      <c r="S13469" s="21">
        <f>$B$12192</f>
        <v/>
      </c>
      <c r="T13469" s="21">
        <f>0</f>
        <v/>
      </c>
      <c r="U13469" s="21">
        <f>2*$B$12191</f>
        <v/>
      </c>
      <c r="V13469" s="21">
        <f>-$B$12190</f>
        <v/>
      </c>
      <c r="W13469" s="21">
        <f>$B$12192</f>
        <v/>
      </c>
      <c r="X13469" s="21" t="n">
        <v>0</v>
      </c>
      <c r="Y13469" s="21" t="n">
        <v>0</v>
      </c>
      <c r="Z13469" s="19" t="n"/>
    </row>
    <row r="13470">
      <c r="D13470" s="21" t="n">
        <v>0</v>
      </c>
      <c r="E13470" s="21" t="n">
        <v>0</v>
      </c>
      <c r="F13470" s="21" t="n">
        <v>0</v>
      </c>
      <c r="G13470" s="21" t="n">
        <v>0</v>
      </c>
      <c r="H13470" s="21" t="n">
        <v>0</v>
      </c>
      <c r="I13470" s="21" t="n">
        <v>0</v>
      </c>
      <c r="J13470" s="21" t="n">
        <v>0</v>
      </c>
      <c r="K13470" s="21" t="n">
        <v>0</v>
      </c>
      <c r="L13470" s="21" t="n">
        <v>0</v>
      </c>
      <c r="M13470" s="21" t="n">
        <v>0</v>
      </c>
      <c r="N13470" s="21" t="n">
        <v>0</v>
      </c>
      <c r="O13470" s="21" t="n">
        <v>0</v>
      </c>
      <c r="P13470" s="21" t="n">
        <v>0</v>
      </c>
      <c r="Q13470" s="21" t="n">
        <v>0</v>
      </c>
      <c r="R13470" s="21" t="n">
        <v>0</v>
      </c>
      <c r="S13470" s="21" t="n">
        <v>0</v>
      </c>
      <c r="T13470" s="21">
        <f>-$B$12189</f>
        <v/>
      </c>
      <c r="U13470" s="21">
        <f>-$B$12190</f>
        <v/>
      </c>
      <c r="V13470" s="21">
        <f>2*$B$12189+$D$13449</f>
        <v/>
      </c>
      <c r="W13470" s="21">
        <f>0</f>
        <v/>
      </c>
      <c r="X13470" s="21">
        <f>-$B$12189</f>
        <v/>
      </c>
      <c r="Y13470" s="21">
        <f>$B$12190</f>
        <v/>
      </c>
      <c r="Z13470" s="19" t="n"/>
    </row>
    <row r="13471">
      <c r="D13471" s="21" t="n">
        <v>0</v>
      </c>
      <c r="E13471" s="21" t="n">
        <v>0</v>
      </c>
      <c r="F13471" s="21" t="n">
        <v>0</v>
      </c>
      <c r="G13471" s="21" t="n">
        <v>0</v>
      </c>
      <c r="H13471" s="21" t="n">
        <v>0</v>
      </c>
      <c r="I13471" s="21" t="n">
        <v>0</v>
      </c>
      <c r="J13471" s="21" t="n">
        <v>0</v>
      </c>
      <c r="K13471" s="21" t="n">
        <v>0</v>
      </c>
      <c r="L13471" s="21" t="n">
        <v>0</v>
      </c>
      <c r="M13471" s="21" t="n">
        <v>0</v>
      </c>
      <c r="N13471" s="21" t="n">
        <v>0</v>
      </c>
      <c r="O13471" s="21" t="n">
        <v>0</v>
      </c>
      <c r="P13471" s="21" t="n">
        <v>0</v>
      </c>
      <c r="Q13471" s="21" t="n">
        <v>0</v>
      </c>
      <c r="R13471" s="21" t="n">
        <v>0</v>
      </c>
      <c r="S13471" s="21" t="n">
        <v>0</v>
      </c>
      <c r="T13471" s="21">
        <f>$B$12190</f>
        <v/>
      </c>
      <c r="U13471" s="21">
        <f>$B$12192</f>
        <v/>
      </c>
      <c r="V13471" s="21">
        <f>0</f>
        <v/>
      </c>
      <c r="W13471" s="21">
        <f>2*$B$12191</f>
        <v/>
      </c>
      <c r="X13471" s="21">
        <f>-$B$12190</f>
        <v/>
      </c>
      <c r="Y13471" s="21">
        <f>$B$12192</f>
        <v/>
      </c>
      <c r="Z13471" s="19" t="n"/>
    </row>
    <row r="13472">
      <c r="D13472" s="21" t="n">
        <v>0</v>
      </c>
      <c r="E13472" s="21" t="n">
        <v>0</v>
      </c>
      <c r="F13472" s="21" t="n">
        <v>0</v>
      </c>
      <c r="G13472" s="21" t="n">
        <v>0</v>
      </c>
      <c r="H13472" s="21" t="n">
        <v>0</v>
      </c>
      <c r="I13472" s="21" t="n">
        <v>0</v>
      </c>
      <c r="J13472" s="21" t="n">
        <v>0</v>
      </c>
      <c r="K13472" s="21" t="n">
        <v>0</v>
      </c>
      <c r="L13472" s="21" t="n">
        <v>0</v>
      </c>
      <c r="M13472" s="21" t="n">
        <v>0</v>
      </c>
      <c r="N13472" s="21" t="n">
        <v>0</v>
      </c>
      <c r="O13472" s="21" t="n">
        <v>0</v>
      </c>
      <c r="P13472" s="21" t="n">
        <v>0</v>
      </c>
      <c r="Q13472" s="21" t="n">
        <v>0</v>
      </c>
      <c r="R13472" s="21" t="n">
        <v>0</v>
      </c>
      <c r="S13472" s="21" t="n">
        <v>0</v>
      </c>
      <c r="T13472" s="21" t="n">
        <v>0</v>
      </c>
      <c r="U13472" s="21" t="n">
        <v>0</v>
      </c>
      <c r="V13472" s="21">
        <f>-$B$12189</f>
        <v/>
      </c>
      <c r="W13472" s="21">
        <f>-$B$12190</f>
        <v/>
      </c>
      <c r="X13472" s="21">
        <f>$B$12189+$D$13450</f>
        <v/>
      </c>
      <c r="Y13472" s="21">
        <f>-$B$12190</f>
        <v/>
      </c>
      <c r="Z13472" s="19" t="n"/>
    </row>
    <row r="13473">
      <c r="D13473" s="21" t="n">
        <v>0</v>
      </c>
      <c r="E13473" s="21" t="n">
        <v>0</v>
      </c>
      <c r="F13473" s="21" t="n">
        <v>0</v>
      </c>
      <c r="G13473" s="21" t="n">
        <v>0</v>
      </c>
      <c r="H13473" s="21" t="n">
        <v>0</v>
      </c>
      <c r="I13473" s="21" t="n">
        <v>0</v>
      </c>
      <c r="J13473" s="21" t="n">
        <v>0</v>
      </c>
      <c r="K13473" s="21" t="n">
        <v>0</v>
      </c>
      <c r="L13473" s="21" t="n">
        <v>0</v>
      </c>
      <c r="M13473" s="21" t="n">
        <v>0</v>
      </c>
      <c r="N13473" s="21" t="n">
        <v>0</v>
      </c>
      <c r="O13473" s="21" t="n">
        <v>0</v>
      </c>
      <c r="P13473" s="21" t="n">
        <v>0</v>
      </c>
      <c r="Q13473" s="21" t="n">
        <v>0</v>
      </c>
      <c r="R13473" s="21" t="n">
        <v>0</v>
      </c>
      <c r="S13473" s="21" t="n">
        <v>0</v>
      </c>
      <c r="T13473" s="21" t="n">
        <v>0</v>
      </c>
      <c r="U13473" s="21" t="n">
        <v>0</v>
      </c>
      <c r="V13473" s="21">
        <f>$B$12190</f>
        <v/>
      </c>
      <c r="W13473" s="21">
        <f>$B$12192</f>
        <v/>
      </c>
      <c r="X13473" s="21">
        <f>-$B$12190</f>
        <v/>
      </c>
      <c r="Y13473" s="21">
        <f>$B$12191</f>
        <v/>
      </c>
      <c r="Z13473" s="19" t="n"/>
    </row>
    <row r="13475">
      <c r="A13475" s="8" t="inlineStr">
        <is>
          <t>gen 35</t>
        </is>
      </c>
    </row>
    <row r="13476">
      <c r="D13476" s="19">
        <f>IF(ABS(IF(ABS($E$13440)&gt;0.000000001,$E$13440,0.000000001))=0,0,IF($E$12204&lt;=$B$12198,0,IF(ABS(IF(ABS($E$13440)&gt;0.000000001,$E$13440,0.000000001))&gt;=8*$B$12200,$H$12204,0.5*$H$12204*(ABS(IF(ABS($E$13440)&gt;0.000000001,$E$13440,0.000000001))/$B$12200)^(1/3)))/ABS(IF(ABS($E$13440)&gt;0.000000001,$E$13440,0.000000001))*$I$12204)</f>
        <v/>
      </c>
      <c r="E13476" s="19">
        <f>0.5*$E$13440+0.5*$Z$13488</f>
        <v/>
      </c>
      <c r="F13476" s="19">
        <f>$Z$13489</f>
        <v/>
      </c>
    </row>
    <row r="13477">
      <c r="D13477" s="19">
        <f>IF(ABS(IF(ABS($E$13441)&gt;0.000000001,$E$13441,0.000000001))=0,0,IF($E$12205&lt;=$B$12198,0,IF(ABS(IF(ABS($E$13441)&gt;0.000000001,$E$13441,0.000000001))&gt;=8*$B$12200,$H$12205,0.5*$H$12205*(ABS(IF(ABS($E$13441)&gt;0.000000001,$E$13441,0.000000001))/$B$12200)^(1/3)))/ABS(IF(ABS($E$13441)&gt;0.000000001,$E$13441,0.000000001))*$I$12205)</f>
        <v/>
      </c>
      <c r="E13477" s="19">
        <f>0.5*$E$13441+0.5*$Z$13490</f>
        <v/>
      </c>
      <c r="F13477" s="19">
        <f>$Z$13491</f>
        <v/>
      </c>
    </row>
    <row r="13478">
      <c r="D13478" s="19">
        <f>IF(ABS(IF(ABS($E$13442)&gt;0.000000001,$E$13442,0.000000001))=0,0,IF($E$12206&lt;=$B$12198,0,IF(ABS(IF(ABS($E$13442)&gt;0.000000001,$E$13442,0.000000001))&gt;=8*$B$12200,$H$12206,0.5*$H$12206*(ABS(IF(ABS($E$13442)&gt;0.000000001,$E$13442,0.000000001))/$B$12200)^(1/3)))/ABS(IF(ABS($E$13442)&gt;0.000000001,$E$13442,0.000000001))*$I$12206)</f>
        <v/>
      </c>
      <c r="E13478" s="19">
        <f>0.5*$E$13442+0.5*$Z$13492</f>
        <v/>
      </c>
      <c r="F13478" s="19">
        <f>$Z$13493</f>
        <v/>
      </c>
    </row>
    <row r="13479">
      <c r="D13479" s="19">
        <f>IF(ABS(IF(ABS($E$13443)&gt;0.000000001,$E$13443,0.000000001))=0,0,IF($E$12207&lt;=$B$12198,0,IF(ABS(IF(ABS($E$13443)&gt;0.000000001,$E$13443,0.000000001))&gt;=8*$B$12200,$H$12207,0.5*$H$12207*(ABS(IF(ABS($E$13443)&gt;0.000000001,$E$13443,0.000000001))/$B$12200)^(1/3)))/ABS(IF(ABS($E$13443)&gt;0.000000001,$E$13443,0.000000001))*$I$12207)</f>
        <v/>
      </c>
      <c r="E13479" s="19">
        <f>0.5*$E$13443+0.5*$Z$13494</f>
        <v/>
      </c>
      <c r="F13479" s="19">
        <f>$Z$13495</f>
        <v/>
      </c>
    </row>
    <row r="13480">
      <c r="D13480" s="19">
        <f>IF(ABS(IF(ABS($E$13444)&gt;0.000000001,$E$13444,0.000000001))=0,0,IF($E$12208&lt;=$B$12198,0,IF(ABS(IF(ABS($E$13444)&gt;0.000000001,$E$13444,0.000000001))&gt;=8*$B$12200,$H$12208,0.5*$H$12208*(ABS(IF(ABS($E$13444)&gt;0.000000001,$E$13444,0.000000001))/$B$12200)^(1/3)))/ABS(IF(ABS($E$13444)&gt;0.000000001,$E$13444,0.000000001))*$I$12208)</f>
        <v/>
      </c>
      <c r="E13480" s="19">
        <f>0.5*$E$13444+0.5*$Z$13496</f>
        <v/>
      </c>
      <c r="F13480" s="19">
        <f>$Z$13497</f>
        <v/>
      </c>
    </row>
    <row r="13481">
      <c r="D13481" s="19">
        <f>IF(ABS(IF(ABS($E$13445)&gt;0.000000001,$E$13445,0.000000001))=0,0,IF($E$12209&lt;=$B$12198,0,IF(ABS(IF(ABS($E$13445)&gt;0.000000001,$E$13445,0.000000001))&gt;=8*$B$12200,$H$12209,0.5*$H$12209*(ABS(IF(ABS($E$13445)&gt;0.000000001,$E$13445,0.000000001))/$B$12200)^(1/3)))/ABS(IF(ABS($E$13445)&gt;0.000000001,$E$13445,0.000000001))*$I$12209)</f>
        <v/>
      </c>
      <c r="E13481" s="19">
        <f>0.5*$E$13445+0.5*$Z$13498</f>
        <v/>
      </c>
      <c r="F13481" s="19">
        <f>$Z$13499</f>
        <v/>
      </c>
    </row>
    <row r="13482">
      <c r="D13482" s="19">
        <f>IF(ABS(IF(ABS($E$13446)&gt;0.000000001,$E$13446,0.000000001))=0,0,IF($E$12210&lt;=$B$12198,0,IF(ABS(IF(ABS($E$13446)&gt;0.000000001,$E$13446,0.000000001))&gt;=8*$B$12200,$H$12210,0.5*$H$12210*(ABS(IF(ABS($E$13446)&gt;0.000000001,$E$13446,0.000000001))/$B$12200)^(1/3)))/ABS(IF(ABS($E$13446)&gt;0.000000001,$E$13446,0.000000001))*$I$12210)</f>
        <v/>
      </c>
      <c r="E13482" s="19">
        <f>0.5*$E$13446+0.5*$Z$13500</f>
        <v/>
      </c>
      <c r="F13482" s="19">
        <f>$Z$13501</f>
        <v/>
      </c>
    </row>
    <row r="13483">
      <c r="D13483" s="19">
        <f>IF(ABS(IF(ABS($E$13447)&gt;0.000000001,$E$13447,0.000000001))=0,0,IF($E$12211&lt;=$B$12198,0,IF(ABS(IF(ABS($E$13447)&gt;0.000000001,$E$13447,0.000000001))&gt;=8*$B$12200,$H$12211,0.5*$H$12211*(ABS(IF(ABS($E$13447)&gt;0.000000001,$E$13447,0.000000001))/$B$12200)^(1/3)))/ABS(IF(ABS($E$13447)&gt;0.000000001,$E$13447,0.000000001))*$I$12211)</f>
        <v/>
      </c>
      <c r="E13483" s="19">
        <f>0.5*$E$13447+0.5*$Z$13502</f>
        <v/>
      </c>
      <c r="F13483" s="19">
        <f>$Z$13503</f>
        <v/>
      </c>
    </row>
    <row r="13484">
      <c r="D13484" s="19">
        <f>IF(ABS(IF(ABS($E$13448)&gt;0.000000001,$E$13448,0.000000001))=0,0,IF($E$12212&lt;=$B$12198,0,IF(ABS(IF(ABS($E$13448)&gt;0.000000001,$E$13448,0.000000001))&gt;=8*$B$12200,$H$12212,0.5*$H$12212*(ABS(IF(ABS($E$13448)&gt;0.000000001,$E$13448,0.000000001))/$B$12200)^(1/3)))/ABS(IF(ABS($E$13448)&gt;0.000000001,$E$13448,0.000000001))*$I$12212)</f>
        <v/>
      </c>
      <c r="E13484" s="19">
        <f>0.5*$E$13448+0.5*$Z$13504</f>
        <v/>
      </c>
      <c r="F13484" s="19">
        <f>$Z$13505</f>
        <v/>
      </c>
    </row>
    <row r="13485">
      <c r="D13485" s="19">
        <f>IF(ABS(IF(ABS($E$13449)&gt;0.000000001,$E$13449,0.000000001))=0,0,IF($E$12213&lt;=$B$12198,0,IF(ABS(IF(ABS($E$13449)&gt;0.000000001,$E$13449,0.000000001))&gt;=8*$B$12200,$H$12213,0.5*$H$12213*(ABS(IF(ABS($E$13449)&gt;0.000000001,$E$13449,0.000000001))/$B$12200)^(1/3)))/ABS(IF(ABS($E$13449)&gt;0.000000001,$E$13449,0.000000001))*$I$12213)</f>
        <v/>
      </c>
      <c r="E13485" s="19">
        <f>0.5*$E$13449+0.5*$Z$13506</f>
        <v/>
      </c>
      <c r="F13485" s="19">
        <f>$Z$13507</f>
        <v/>
      </c>
    </row>
    <row r="13486">
      <c r="D13486" s="19">
        <f>IF(ABS(IF(ABS($E$13450)&gt;0.000000001,$E$13450,0.000000001))=0,0,IF($E$12214&lt;=$B$12198,0,IF(ABS(IF(ABS($E$13450)&gt;0.000000001,$E$13450,0.000000001))&gt;=8*$B$12200,$H$12214,0.5*$H$12214*(ABS(IF(ABS($E$13450)&gt;0.000000001,$E$13450,0.000000001))/$B$12200)^(1/3)))/ABS(IF(ABS($E$13450)&gt;0.000000001,$E$13450,0.000000001))*$I$12214)</f>
        <v/>
      </c>
      <c r="E13486" s="19">
        <f>0.5*$E$13450+0.5*$Z$13508</f>
        <v/>
      </c>
      <c r="F13486" s="19">
        <f>$Z$13509</f>
        <v/>
      </c>
    </row>
    <row r="13488">
      <c r="D13488" s="21">
        <f>$B$12189+$D$13476</f>
        <v/>
      </c>
      <c r="E13488" s="21">
        <f>$B$12190</f>
        <v/>
      </c>
      <c r="F13488" s="21">
        <f>-$B$12189</f>
        <v/>
      </c>
      <c r="G13488" s="21">
        <f>$B$12190</f>
        <v/>
      </c>
      <c r="H13488" s="21" t="n">
        <v>0</v>
      </c>
      <c r="I13488" s="21" t="n">
        <v>0</v>
      </c>
      <c r="J13488" s="21" t="n">
        <v>0</v>
      </c>
      <c r="K13488" s="21" t="n">
        <v>0</v>
      </c>
      <c r="L13488" s="21" t="n">
        <v>0</v>
      </c>
      <c r="M13488" s="21" t="n">
        <v>0</v>
      </c>
      <c r="N13488" s="21" t="n">
        <v>0</v>
      </c>
      <c r="O13488" s="21" t="n">
        <v>0</v>
      </c>
      <c r="P13488" s="21" t="n">
        <v>0</v>
      </c>
      <c r="Q13488" s="21" t="n">
        <v>0</v>
      </c>
      <c r="R13488" s="21" t="n">
        <v>0</v>
      </c>
      <c r="S13488" s="21" t="n">
        <v>0</v>
      </c>
      <c r="T13488" s="21" t="n">
        <v>0</v>
      </c>
      <c r="U13488" s="21" t="n">
        <v>0</v>
      </c>
      <c r="V13488" s="21" t="n">
        <v>0</v>
      </c>
      <c r="W13488" s="21" t="n">
        <v>0</v>
      </c>
      <c r="X13488" s="21" t="n">
        <v>0</v>
      </c>
      <c r="Y13488" s="21" t="n">
        <v>0</v>
      </c>
      <c r="Z13488" s="19">
        <f t="array" ref="Z13488:Z13509">MMULT(MINVERSE($D$13488:$Y$13509),$D$12216:$D$12237)</f>
        <v/>
      </c>
    </row>
    <row r="13489">
      <c r="D13489" s="21">
        <f>$B$12190</f>
        <v/>
      </c>
      <c r="E13489" s="21">
        <f>$B$12191</f>
        <v/>
      </c>
      <c r="F13489" s="21">
        <f>-$B$12190</f>
        <v/>
      </c>
      <c r="G13489" s="21">
        <f>$B$12192</f>
        <v/>
      </c>
      <c r="H13489" s="21" t="n">
        <v>0</v>
      </c>
      <c r="I13489" s="21" t="n">
        <v>0</v>
      </c>
      <c r="J13489" s="21" t="n">
        <v>0</v>
      </c>
      <c r="K13489" s="21" t="n">
        <v>0</v>
      </c>
      <c r="L13489" s="21" t="n">
        <v>0</v>
      </c>
      <c r="M13489" s="21" t="n">
        <v>0</v>
      </c>
      <c r="N13489" s="21" t="n">
        <v>0</v>
      </c>
      <c r="O13489" s="21" t="n">
        <v>0</v>
      </c>
      <c r="P13489" s="21" t="n">
        <v>0</v>
      </c>
      <c r="Q13489" s="21" t="n">
        <v>0</v>
      </c>
      <c r="R13489" s="21" t="n">
        <v>0</v>
      </c>
      <c r="S13489" s="21" t="n">
        <v>0</v>
      </c>
      <c r="T13489" s="21" t="n">
        <v>0</v>
      </c>
      <c r="U13489" s="21" t="n">
        <v>0</v>
      </c>
      <c r="V13489" s="21" t="n">
        <v>0</v>
      </c>
      <c r="W13489" s="21" t="n">
        <v>0</v>
      </c>
      <c r="X13489" s="21" t="n">
        <v>0</v>
      </c>
      <c r="Y13489" s="21" t="n">
        <v>0</v>
      </c>
      <c r="Z13489" s="19" t="n"/>
    </row>
    <row r="13490">
      <c r="D13490" s="21">
        <f>-$B$12189</f>
        <v/>
      </c>
      <c r="E13490" s="21">
        <f>-$B$12190</f>
        <v/>
      </c>
      <c r="F13490" s="21">
        <f>2*$B$12189+$D$13477</f>
        <v/>
      </c>
      <c r="G13490" s="21">
        <f>0</f>
        <v/>
      </c>
      <c r="H13490" s="21">
        <f>-$B$12189</f>
        <v/>
      </c>
      <c r="I13490" s="21">
        <f>$B$12190</f>
        <v/>
      </c>
      <c r="J13490" s="21" t="n">
        <v>0</v>
      </c>
      <c r="K13490" s="21" t="n">
        <v>0</v>
      </c>
      <c r="L13490" s="21" t="n">
        <v>0</v>
      </c>
      <c r="M13490" s="21" t="n">
        <v>0</v>
      </c>
      <c r="N13490" s="21" t="n">
        <v>0</v>
      </c>
      <c r="O13490" s="21" t="n">
        <v>0</v>
      </c>
      <c r="P13490" s="21" t="n">
        <v>0</v>
      </c>
      <c r="Q13490" s="21" t="n">
        <v>0</v>
      </c>
      <c r="R13490" s="21" t="n">
        <v>0</v>
      </c>
      <c r="S13490" s="21" t="n">
        <v>0</v>
      </c>
      <c r="T13490" s="21" t="n">
        <v>0</v>
      </c>
      <c r="U13490" s="21" t="n">
        <v>0</v>
      </c>
      <c r="V13490" s="21" t="n">
        <v>0</v>
      </c>
      <c r="W13490" s="21" t="n">
        <v>0</v>
      </c>
      <c r="X13490" s="21" t="n">
        <v>0</v>
      </c>
      <c r="Y13490" s="21" t="n">
        <v>0</v>
      </c>
      <c r="Z13490" s="19" t="n"/>
    </row>
    <row r="13491">
      <c r="D13491" s="21">
        <f>$B$12190</f>
        <v/>
      </c>
      <c r="E13491" s="21">
        <f>$B$12192</f>
        <v/>
      </c>
      <c r="F13491" s="21">
        <f>0</f>
        <v/>
      </c>
      <c r="G13491" s="21">
        <f>2*$B$12191</f>
        <v/>
      </c>
      <c r="H13491" s="21">
        <f>-$B$12190</f>
        <v/>
      </c>
      <c r="I13491" s="21">
        <f>$B$12192</f>
        <v/>
      </c>
      <c r="J13491" s="21" t="n">
        <v>0</v>
      </c>
      <c r="K13491" s="21" t="n">
        <v>0</v>
      </c>
      <c r="L13491" s="21" t="n">
        <v>0</v>
      </c>
      <c r="M13491" s="21" t="n">
        <v>0</v>
      </c>
      <c r="N13491" s="21" t="n">
        <v>0</v>
      </c>
      <c r="O13491" s="21" t="n">
        <v>0</v>
      </c>
      <c r="P13491" s="21" t="n">
        <v>0</v>
      </c>
      <c r="Q13491" s="21" t="n">
        <v>0</v>
      </c>
      <c r="R13491" s="21" t="n">
        <v>0</v>
      </c>
      <c r="S13491" s="21" t="n">
        <v>0</v>
      </c>
      <c r="T13491" s="21" t="n">
        <v>0</v>
      </c>
      <c r="U13491" s="21" t="n">
        <v>0</v>
      </c>
      <c r="V13491" s="21" t="n">
        <v>0</v>
      </c>
      <c r="W13491" s="21" t="n">
        <v>0</v>
      </c>
      <c r="X13491" s="21" t="n">
        <v>0</v>
      </c>
      <c r="Y13491" s="21" t="n">
        <v>0</v>
      </c>
      <c r="Z13491" s="19" t="n"/>
    </row>
    <row r="13492">
      <c r="D13492" s="21" t="n">
        <v>0</v>
      </c>
      <c r="E13492" s="21" t="n">
        <v>0</v>
      </c>
      <c r="F13492" s="21">
        <f>-$B$12189</f>
        <v/>
      </c>
      <c r="G13492" s="21">
        <f>-$B$12190</f>
        <v/>
      </c>
      <c r="H13492" s="21">
        <f>2*$B$12189+$D$13478</f>
        <v/>
      </c>
      <c r="I13492" s="21">
        <f>0</f>
        <v/>
      </c>
      <c r="J13492" s="21">
        <f>-$B$12189</f>
        <v/>
      </c>
      <c r="K13492" s="21">
        <f>$B$12190</f>
        <v/>
      </c>
      <c r="L13492" s="21" t="n">
        <v>0</v>
      </c>
      <c r="M13492" s="21" t="n">
        <v>0</v>
      </c>
      <c r="N13492" s="21" t="n">
        <v>0</v>
      </c>
      <c r="O13492" s="21" t="n">
        <v>0</v>
      </c>
      <c r="P13492" s="21" t="n">
        <v>0</v>
      </c>
      <c r="Q13492" s="21" t="n">
        <v>0</v>
      </c>
      <c r="R13492" s="21" t="n">
        <v>0</v>
      </c>
      <c r="S13492" s="21" t="n">
        <v>0</v>
      </c>
      <c r="T13492" s="21" t="n">
        <v>0</v>
      </c>
      <c r="U13492" s="21" t="n">
        <v>0</v>
      </c>
      <c r="V13492" s="21" t="n">
        <v>0</v>
      </c>
      <c r="W13492" s="21" t="n">
        <v>0</v>
      </c>
      <c r="X13492" s="21" t="n">
        <v>0</v>
      </c>
      <c r="Y13492" s="21" t="n">
        <v>0</v>
      </c>
      <c r="Z13492" s="19" t="n"/>
    </row>
    <row r="13493">
      <c r="D13493" s="21" t="n">
        <v>0</v>
      </c>
      <c r="E13493" s="21" t="n">
        <v>0</v>
      </c>
      <c r="F13493" s="21">
        <f>$B$12190</f>
        <v/>
      </c>
      <c r="G13493" s="21">
        <f>$B$12192</f>
        <v/>
      </c>
      <c r="H13493" s="21">
        <f>0</f>
        <v/>
      </c>
      <c r="I13493" s="21">
        <f>2*$B$12191</f>
        <v/>
      </c>
      <c r="J13493" s="21">
        <f>-$B$12190</f>
        <v/>
      </c>
      <c r="K13493" s="21">
        <f>$B$12192</f>
        <v/>
      </c>
      <c r="L13493" s="21" t="n">
        <v>0</v>
      </c>
      <c r="M13493" s="21" t="n">
        <v>0</v>
      </c>
      <c r="N13493" s="21" t="n">
        <v>0</v>
      </c>
      <c r="O13493" s="21" t="n">
        <v>0</v>
      </c>
      <c r="P13493" s="21" t="n">
        <v>0</v>
      </c>
      <c r="Q13493" s="21" t="n">
        <v>0</v>
      </c>
      <c r="R13493" s="21" t="n">
        <v>0</v>
      </c>
      <c r="S13493" s="21" t="n">
        <v>0</v>
      </c>
      <c r="T13493" s="21" t="n">
        <v>0</v>
      </c>
      <c r="U13493" s="21" t="n">
        <v>0</v>
      </c>
      <c r="V13493" s="21" t="n">
        <v>0</v>
      </c>
      <c r="W13493" s="21" t="n">
        <v>0</v>
      </c>
      <c r="X13493" s="21" t="n">
        <v>0</v>
      </c>
      <c r="Y13493" s="21" t="n">
        <v>0</v>
      </c>
      <c r="Z13493" s="19" t="n"/>
    </row>
    <row r="13494">
      <c r="D13494" s="21" t="n">
        <v>0</v>
      </c>
      <c r="E13494" s="21" t="n">
        <v>0</v>
      </c>
      <c r="F13494" s="21" t="n">
        <v>0</v>
      </c>
      <c r="G13494" s="21" t="n">
        <v>0</v>
      </c>
      <c r="H13494" s="21">
        <f>-$B$12189</f>
        <v/>
      </c>
      <c r="I13494" s="21">
        <f>-$B$12190</f>
        <v/>
      </c>
      <c r="J13494" s="21">
        <f>2*$B$12189+$D$13479</f>
        <v/>
      </c>
      <c r="K13494" s="21">
        <f>0</f>
        <v/>
      </c>
      <c r="L13494" s="21">
        <f>-$B$12189</f>
        <v/>
      </c>
      <c r="M13494" s="21">
        <f>$B$12190</f>
        <v/>
      </c>
      <c r="N13494" s="21" t="n">
        <v>0</v>
      </c>
      <c r="O13494" s="21" t="n">
        <v>0</v>
      </c>
      <c r="P13494" s="21" t="n">
        <v>0</v>
      </c>
      <c r="Q13494" s="21" t="n">
        <v>0</v>
      </c>
      <c r="R13494" s="21" t="n">
        <v>0</v>
      </c>
      <c r="S13494" s="21" t="n">
        <v>0</v>
      </c>
      <c r="T13494" s="21" t="n">
        <v>0</v>
      </c>
      <c r="U13494" s="21" t="n">
        <v>0</v>
      </c>
      <c r="V13494" s="21" t="n">
        <v>0</v>
      </c>
      <c r="W13494" s="21" t="n">
        <v>0</v>
      </c>
      <c r="X13494" s="21" t="n">
        <v>0</v>
      </c>
      <c r="Y13494" s="21" t="n">
        <v>0</v>
      </c>
      <c r="Z13494" s="19" t="n"/>
    </row>
    <row r="13495">
      <c r="D13495" s="21" t="n">
        <v>0</v>
      </c>
      <c r="E13495" s="21" t="n">
        <v>0</v>
      </c>
      <c r="F13495" s="21" t="n">
        <v>0</v>
      </c>
      <c r="G13495" s="21" t="n">
        <v>0</v>
      </c>
      <c r="H13495" s="21">
        <f>$B$12190</f>
        <v/>
      </c>
      <c r="I13495" s="21">
        <f>$B$12192</f>
        <v/>
      </c>
      <c r="J13495" s="21">
        <f>0</f>
        <v/>
      </c>
      <c r="K13495" s="21">
        <f>2*$B$12191</f>
        <v/>
      </c>
      <c r="L13495" s="21">
        <f>-$B$12190</f>
        <v/>
      </c>
      <c r="M13495" s="21">
        <f>$B$12192</f>
        <v/>
      </c>
      <c r="N13495" s="21" t="n">
        <v>0</v>
      </c>
      <c r="O13495" s="21" t="n">
        <v>0</v>
      </c>
      <c r="P13495" s="21" t="n">
        <v>0</v>
      </c>
      <c r="Q13495" s="21" t="n">
        <v>0</v>
      </c>
      <c r="R13495" s="21" t="n">
        <v>0</v>
      </c>
      <c r="S13495" s="21" t="n">
        <v>0</v>
      </c>
      <c r="T13495" s="21" t="n">
        <v>0</v>
      </c>
      <c r="U13495" s="21" t="n">
        <v>0</v>
      </c>
      <c r="V13495" s="21" t="n">
        <v>0</v>
      </c>
      <c r="W13495" s="21" t="n">
        <v>0</v>
      </c>
      <c r="X13495" s="21" t="n">
        <v>0</v>
      </c>
      <c r="Y13495" s="21" t="n">
        <v>0</v>
      </c>
      <c r="Z13495" s="19" t="n"/>
    </row>
    <row r="13496">
      <c r="D13496" s="21" t="n">
        <v>0</v>
      </c>
      <c r="E13496" s="21" t="n">
        <v>0</v>
      </c>
      <c r="F13496" s="21" t="n">
        <v>0</v>
      </c>
      <c r="G13496" s="21" t="n">
        <v>0</v>
      </c>
      <c r="H13496" s="21" t="n">
        <v>0</v>
      </c>
      <c r="I13496" s="21" t="n">
        <v>0</v>
      </c>
      <c r="J13496" s="21">
        <f>-$B$12189</f>
        <v/>
      </c>
      <c r="K13496" s="21">
        <f>-$B$12190</f>
        <v/>
      </c>
      <c r="L13496" s="21">
        <f>2*$B$12189+$D$13480</f>
        <v/>
      </c>
      <c r="M13496" s="21">
        <f>0</f>
        <v/>
      </c>
      <c r="N13496" s="21">
        <f>-$B$12189</f>
        <v/>
      </c>
      <c r="O13496" s="21">
        <f>$B$12190</f>
        <v/>
      </c>
      <c r="P13496" s="21" t="n">
        <v>0</v>
      </c>
      <c r="Q13496" s="21" t="n">
        <v>0</v>
      </c>
      <c r="R13496" s="21" t="n">
        <v>0</v>
      </c>
      <c r="S13496" s="21" t="n">
        <v>0</v>
      </c>
      <c r="T13496" s="21" t="n">
        <v>0</v>
      </c>
      <c r="U13496" s="21" t="n">
        <v>0</v>
      </c>
      <c r="V13496" s="21" t="n">
        <v>0</v>
      </c>
      <c r="W13496" s="21" t="n">
        <v>0</v>
      </c>
      <c r="X13496" s="21" t="n">
        <v>0</v>
      </c>
      <c r="Y13496" s="21" t="n">
        <v>0</v>
      </c>
      <c r="Z13496" s="19" t="n"/>
    </row>
    <row r="13497">
      <c r="D13497" s="21" t="n">
        <v>0</v>
      </c>
      <c r="E13497" s="21" t="n">
        <v>0</v>
      </c>
      <c r="F13497" s="21" t="n">
        <v>0</v>
      </c>
      <c r="G13497" s="21" t="n">
        <v>0</v>
      </c>
      <c r="H13497" s="21" t="n">
        <v>0</v>
      </c>
      <c r="I13497" s="21" t="n">
        <v>0</v>
      </c>
      <c r="J13497" s="21">
        <f>$B$12190</f>
        <v/>
      </c>
      <c r="K13497" s="21">
        <f>$B$12192</f>
        <v/>
      </c>
      <c r="L13497" s="21">
        <f>0</f>
        <v/>
      </c>
      <c r="M13497" s="21">
        <f>2*$B$12191</f>
        <v/>
      </c>
      <c r="N13497" s="21">
        <f>-$B$12190</f>
        <v/>
      </c>
      <c r="O13497" s="21">
        <f>$B$12192</f>
        <v/>
      </c>
      <c r="P13497" s="21" t="n">
        <v>0</v>
      </c>
      <c r="Q13497" s="21" t="n">
        <v>0</v>
      </c>
      <c r="R13497" s="21" t="n">
        <v>0</v>
      </c>
      <c r="S13497" s="21" t="n">
        <v>0</v>
      </c>
      <c r="T13497" s="21" t="n">
        <v>0</v>
      </c>
      <c r="U13497" s="21" t="n">
        <v>0</v>
      </c>
      <c r="V13497" s="21" t="n">
        <v>0</v>
      </c>
      <c r="W13497" s="21" t="n">
        <v>0</v>
      </c>
      <c r="X13497" s="21" t="n">
        <v>0</v>
      </c>
      <c r="Y13497" s="21" t="n">
        <v>0</v>
      </c>
      <c r="Z13497" s="19" t="n"/>
    </row>
    <row r="13498">
      <c r="D13498" s="21" t="n">
        <v>0</v>
      </c>
      <c r="E13498" s="21" t="n">
        <v>0</v>
      </c>
      <c r="F13498" s="21" t="n">
        <v>0</v>
      </c>
      <c r="G13498" s="21" t="n">
        <v>0</v>
      </c>
      <c r="H13498" s="21" t="n">
        <v>0</v>
      </c>
      <c r="I13498" s="21" t="n">
        <v>0</v>
      </c>
      <c r="J13498" s="21" t="n">
        <v>0</v>
      </c>
      <c r="K13498" s="21" t="n">
        <v>0</v>
      </c>
      <c r="L13498" s="21">
        <f>-$B$12189</f>
        <v/>
      </c>
      <c r="M13498" s="21">
        <f>-$B$12190</f>
        <v/>
      </c>
      <c r="N13498" s="21">
        <f>2*$B$12189+$D$13481</f>
        <v/>
      </c>
      <c r="O13498" s="21">
        <f>0</f>
        <v/>
      </c>
      <c r="P13498" s="21">
        <f>-$B$12189</f>
        <v/>
      </c>
      <c r="Q13498" s="21">
        <f>$B$12190</f>
        <v/>
      </c>
      <c r="R13498" s="21" t="n">
        <v>0</v>
      </c>
      <c r="S13498" s="21" t="n">
        <v>0</v>
      </c>
      <c r="T13498" s="21" t="n">
        <v>0</v>
      </c>
      <c r="U13498" s="21" t="n">
        <v>0</v>
      </c>
      <c r="V13498" s="21" t="n">
        <v>0</v>
      </c>
      <c r="W13498" s="21" t="n">
        <v>0</v>
      </c>
      <c r="X13498" s="21" t="n">
        <v>0</v>
      </c>
      <c r="Y13498" s="21" t="n">
        <v>0</v>
      </c>
      <c r="Z13498" s="19" t="n"/>
    </row>
    <row r="13499">
      <c r="D13499" s="21" t="n">
        <v>0</v>
      </c>
      <c r="E13499" s="21" t="n">
        <v>0</v>
      </c>
      <c r="F13499" s="21" t="n">
        <v>0</v>
      </c>
      <c r="G13499" s="21" t="n">
        <v>0</v>
      </c>
      <c r="H13499" s="21" t="n">
        <v>0</v>
      </c>
      <c r="I13499" s="21" t="n">
        <v>0</v>
      </c>
      <c r="J13499" s="21" t="n">
        <v>0</v>
      </c>
      <c r="K13499" s="21" t="n">
        <v>0</v>
      </c>
      <c r="L13499" s="21">
        <f>$B$12190</f>
        <v/>
      </c>
      <c r="M13499" s="21">
        <f>$B$12192</f>
        <v/>
      </c>
      <c r="N13499" s="21">
        <f>0</f>
        <v/>
      </c>
      <c r="O13499" s="21">
        <f>2*$B$12191</f>
        <v/>
      </c>
      <c r="P13499" s="21">
        <f>-$B$12190</f>
        <v/>
      </c>
      <c r="Q13499" s="21">
        <f>$B$12192</f>
        <v/>
      </c>
      <c r="R13499" s="21" t="n">
        <v>0</v>
      </c>
      <c r="S13499" s="21" t="n">
        <v>0</v>
      </c>
      <c r="T13499" s="21" t="n">
        <v>0</v>
      </c>
      <c r="U13499" s="21" t="n">
        <v>0</v>
      </c>
      <c r="V13499" s="21" t="n">
        <v>0</v>
      </c>
      <c r="W13499" s="21" t="n">
        <v>0</v>
      </c>
      <c r="X13499" s="21" t="n">
        <v>0</v>
      </c>
      <c r="Y13499" s="21" t="n">
        <v>0</v>
      </c>
      <c r="Z13499" s="19" t="n"/>
    </row>
    <row r="13500">
      <c r="D13500" s="21" t="n">
        <v>0</v>
      </c>
      <c r="E13500" s="21" t="n">
        <v>0</v>
      </c>
      <c r="F13500" s="21" t="n">
        <v>0</v>
      </c>
      <c r="G13500" s="21" t="n">
        <v>0</v>
      </c>
      <c r="H13500" s="21" t="n">
        <v>0</v>
      </c>
      <c r="I13500" s="21" t="n">
        <v>0</v>
      </c>
      <c r="J13500" s="21" t="n">
        <v>0</v>
      </c>
      <c r="K13500" s="21" t="n">
        <v>0</v>
      </c>
      <c r="L13500" s="21" t="n">
        <v>0</v>
      </c>
      <c r="M13500" s="21" t="n">
        <v>0</v>
      </c>
      <c r="N13500" s="21">
        <f>-$B$12189</f>
        <v/>
      </c>
      <c r="O13500" s="21">
        <f>-$B$12190</f>
        <v/>
      </c>
      <c r="P13500" s="21">
        <f>2*$B$12189+$D$13482</f>
        <v/>
      </c>
      <c r="Q13500" s="21">
        <f>0</f>
        <v/>
      </c>
      <c r="R13500" s="21">
        <f>-$B$12189</f>
        <v/>
      </c>
      <c r="S13500" s="21">
        <f>$B$12190</f>
        <v/>
      </c>
      <c r="T13500" s="21" t="n">
        <v>0</v>
      </c>
      <c r="U13500" s="21" t="n">
        <v>0</v>
      </c>
      <c r="V13500" s="21" t="n">
        <v>0</v>
      </c>
      <c r="W13500" s="21" t="n">
        <v>0</v>
      </c>
      <c r="X13500" s="21" t="n">
        <v>0</v>
      </c>
      <c r="Y13500" s="21" t="n">
        <v>0</v>
      </c>
      <c r="Z13500" s="19" t="n"/>
    </row>
    <row r="13501">
      <c r="D13501" s="21" t="n">
        <v>0</v>
      </c>
      <c r="E13501" s="21" t="n">
        <v>0</v>
      </c>
      <c r="F13501" s="21" t="n">
        <v>0</v>
      </c>
      <c r="G13501" s="21" t="n">
        <v>0</v>
      </c>
      <c r="H13501" s="21" t="n">
        <v>0</v>
      </c>
      <c r="I13501" s="21" t="n">
        <v>0</v>
      </c>
      <c r="J13501" s="21" t="n">
        <v>0</v>
      </c>
      <c r="K13501" s="21" t="n">
        <v>0</v>
      </c>
      <c r="L13501" s="21" t="n">
        <v>0</v>
      </c>
      <c r="M13501" s="21" t="n">
        <v>0</v>
      </c>
      <c r="N13501" s="21">
        <f>$B$12190</f>
        <v/>
      </c>
      <c r="O13501" s="21">
        <f>$B$12192</f>
        <v/>
      </c>
      <c r="P13501" s="21">
        <f>0</f>
        <v/>
      </c>
      <c r="Q13501" s="21">
        <f>2*$B$12191</f>
        <v/>
      </c>
      <c r="R13501" s="21">
        <f>-$B$12190</f>
        <v/>
      </c>
      <c r="S13501" s="21">
        <f>$B$12192</f>
        <v/>
      </c>
      <c r="T13501" s="21" t="n">
        <v>0</v>
      </c>
      <c r="U13501" s="21" t="n">
        <v>0</v>
      </c>
      <c r="V13501" s="21" t="n">
        <v>0</v>
      </c>
      <c r="W13501" s="21" t="n">
        <v>0</v>
      </c>
      <c r="X13501" s="21" t="n">
        <v>0</v>
      </c>
      <c r="Y13501" s="21" t="n">
        <v>0</v>
      </c>
      <c r="Z13501" s="19" t="n"/>
    </row>
    <row r="13502">
      <c r="D13502" s="21" t="n">
        <v>0</v>
      </c>
      <c r="E13502" s="21" t="n">
        <v>0</v>
      </c>
      <c r="F13502" s="21" t="n">
        <v>0</v>
      </c>
      <c r="G13502" s="21" t="n">
        <v>0</v>
      </c>
      <c r="H13502" s="21" t="n">
        <v>0</v>
      </c>
      <c r="I13502" s="21" t="n">
        <v>0</v>
      </c>
      <c r="J13502" s="21" t="n">
        <v>0</v>
      </c>
      <c r="K13502" s="21" t="n">
        <v>0</v>
      </c>
      <c r="L13502" s="21" t="n">
        <v>0</v>
      </c>
      <c r="M13502" s="21" t="n">
        <v>0</v>
      </c>
      <c r="N13502" s="21" t="n">
        <v>0</v>
      </c>
      <c r="O13502" s="21" t="n">
        <v>0</v>
      </c>
      <c r="P13502" s="21">
        <f>-$B$12189</f>
        <v/>
      </c>
      <c r="Q13502" s="21">
        <f>-$B$12190</f>
        <v/>
      </c>
      <c r="R13502" s="21">
        <f>2*$B$12189+$D$13483</f>
        <v/>
      </c>
      <c r="S13502" s="21">
        <f>0</f>
        <v/>
      </c>
      <c r="T13502" s="21">
        <f>-$B$12189</f>
        <v/>
      </c>
      <c r="U13502" s="21">
        <f>$B$12190</f>
        <v/>
      </c>
      <c r="V13502" s="21" t="n">
        <v>0</v>
      </c>
      <c r="W13502" s="21" t="n">
        <v>0</v>
      </c>
      <c r="X13502" s="21" t="n">
        <v>0</v>
      </c>
      <c r="Y13502" s="21" t="n">
        <v>0</v>
      </c>
      <c r="Z13502" s="19" t="n"/>
    </row>
    <row r="13503">
      <c r="D13503" s="21" t="n">
        <v>0</v>
      </c>
      <c r="E13503" s="21" t="n">
        <v>0</v>
      </c>
      <c r="F13503" s="21" t="n">
        <v>0</v>
      </c>
      <c r="G13503" s="21" t="n">
        <v>0</v>
      </c>
      <c r="H13503" s="21" t="n">
        <v>0</v>
      </c>
      <c r="I13503" s="21" t="n">
        <v>0</v>
      </c>
      <c r="J13503" s="21" t="n">
        <v>0</v>
      </c>
      <c r="K13503" s="21" t="n">
        <v>0</v>
      </c>
      <c r="L13503" s="21" t="n">
        <v>0</v>
      </c>
      <c r="M13503" s="21" t="n">
        <v>0</v>
      </c>
      <c r="N13503" s="21" t="n">
        <v>0</v>
      </c>
      <c r="O13503" s="21" t="n">
        <v>0</v>
      </c>
      <c r="P13503" s="21">
        <f>$B$12190</f>
        <v/>
      </c>
      <c r="Q13503" s="21">
        <f>$B$12192</f>
        <v/>
      </c>
      <c r="R13503" s="21">
        <f>0</f>
        <v/>
      </c>
      <c r="S13503" s="21">
        <f>2*$B$12191</f>
        <v/>
      </c>
      <c r="T13503" s="21">
        <f>-$B$12190</f>
        <v/>
      </c>
      <c r="U13503" s="21">
        <f>$B$12192</f>
        <v/>
      </c>
      <c r="V13503" s="21" t="n">
        <v>0</v>
      </c>
      <c r="W13503" s="21" t="n">
        <v>0</v>
      </c>
      <c r="X13503" s="21" t="n">
        <v>0</v>
      </c>
      <c r="Y13503" s="21" t="n">
        <v>0</v>
      </c>
      <c r="Z13503" s="19" t="n"/>
    </row>
    <row r="13504">
      <c r="D13504" s="21" t="n">
        <v>0</v>
      </c>
      <c r="E13504" s="21" t="n">
        <v>0</v>
      </c>
      <c r="F13504" s="21" t="n">
        <v>0</v>
      </c>
      <c r="G13504" s="21" t="n">
        <v>0</v>
      </c>
      <c r="H13504" s="21" t="n">
        <v>0</v>
      </c>
      <c r="I13504" s="21" t="n">
        <v>0</v>
      </c>
      <c r="J13504" s="21" t="n">
        <v>0</v>
      </c>
      <c r="K13504" s="21" t="n">
        <v>0</v>
      </c>
      <c r="L13504" s="21" t="n">
        <v>0</v>
      </c>
      <c r="M13504" s="21" t="n">
        <v>0</v>
      </c>
      <c r="N13504" s="21" t="n">
        <v>0</v>
      </c>
      <c r="O13504" s="21" t="n">
        <v>0</v>
      </c>
      <c r="P13504" s="21" t="n">
        <v>0</v>
      </c>
      <c r="Q13504" s="21" t="n">
        <v>0</v>
      </c>
      <c r="R13504" s="21">
        <f>-$B$12189</f>
        <v/>
      </c>
      <c r="S13504" s="21">
        <f>-$B$12190</f>
        <v/>
      </c>
      <c r="T13504" s="21">
        <f>2*$B$12189+$D$13484</f>
        <v/>
      </c>
      <c r="U13504" s="21">
        <f>0</f>
        <v/>
      </c>
      <c r="V13504" s="21">
        <f>-$B$12189</f>
        <v/>
      </c>
      <c r="W13504" s="21">
        <f>$B$12190</f>
        <v/>
      </c>
      <c r="X13504" s="21" t="n">
        <v>0</v>
      </c>
      <c r="Y13504" s="21" t="n">
        <v>0</v>
      </c>
      <c r="Z13504" s="19" t="n"/>
    </row>
    <row r="13505">
      <c r="D13505" s="21" t="n">
        <v>0</v>
      </c>
      <c r="E13505" s="21" t="n">
        <v>0</v>
      </c>
      <c r="F13505" s="21" t="n">
        <v>0</v>
      </c>
      <c r="G13505" s="21" t="n">
        <v>0</v>
      </c>
      <c r="H13505" s="21" t="n">
        <v>0</v>
      </c>
      <c r="I13505" s="21" t="n">
        <v>0</v>
      </c>
      <c r="J13505" s="21" t="n">
        <v>0</v>
      </c>
      <c r="K13505" s="21" t="n">
        <v>0</v>
      </c>
      <c r="L13505" s="21" t="n">
        <v>0</v>
      </c>
      <c r="M13505" s="21" t="n">
        <v>0</v>
      </c>
      <c r="N13505" s="21" t="n">
        <v>0</v>
      </c>
      <c r="O13505" s="21" t="n">
        <v>0</v>
      </c>
      <c r="P13505" s="21" t="n">
        <v>0</v>
      </c>
      <c r="Q13505" s="21" t="n">
        <v>0</v>
      </c>
      <c r="R13505" s="21">
        <f>$B$12190</f>
        <v/>
      </c>
      <c r="S13505" s="21">
        <f>$B$12192</f>
        <v/>
      </c>
      <c r="T13505" s="21">
        <f>0</f>
        <v/>
      </c>
      <c r="U13505" s="21">
        <f>2*$B$12191</f>
        <v/>
      </c>
      <c r="V13505" s="21">
        <f>-$B$12190</f>
        <v/>
      </c>
      <c r="W13505" s="21">
        <f>$B$12192</f>
        <v/>
      </c>
      <c r="X13505" s="21" t="n">
        <v>0</v>
      </c>
      <c r="Y13505" s="21" t="n">
        <v>0</v>
      </c>
      <c r="Z13505" s="19" t="n"/>
    </row>
    <row r="13506">
      <c r="D13506" s="21" t="n">
        <v>0</v>
      </c>
      <c r="E13506" s="21" t="n">
        <v>0</v>
      </c>
      <c r="F13506" s="21" t="n">
        <v>0</v>
      </c>
      <c r="G13506" s="21" t="n">
        <v>0</v>
      </c>
      <c r="H13506" s="21" t="n">
        <v>0</v>
      </c>
      <c r="I13506" s="21" t="n">
        <v>0</v>
      </c>
      <c r="J13506" s="21" t="n">
        <v>0</v>
      </c>
      <c r="K13506" s="21" t="n">
        <v>0</v>
      </c>
      <c r="L13506" s="21" t="n">
        <v>0</v>
      </c>
      <c r="M13506" s="21" t="n">
        <v>0</v>
      </c>
      <c r="N13506" s="21" t="n">
        <v>0</v>
      </c>
      <c r="O13506" s="21" t="n">
        <v>0</v>
      </c>
      <c r="P13506" s="21" t="n">
        <v>0</v>
      </c>
      <c r="Q13506" s="21" t="n">
        <v>0</v>
      </c>
      <c r="R13506" s="21" t="n">
        <v>0</v>
      </c>
      <c r="S13506" s="21" t="n">
        <v>0</v>
      </c>
      <c r="T13506" s="21">
        <f>-$B$12189</f>
        <v/>
      </c>
      <c r="U13506" s="21">
        <f>-$B$12190</f>
        <v/>
      </c>
      <c r="V13506" s="21">
        <f>2*$B$12189+$D$13485</f>
        <v/>
      </c>
      <c r="W13506" s="21">
        <f>0</f>
        <v/>
      </c>
      <c r="X13506" s="21">
        <f>-$B$12189</f>
        <v/>
      </c>
      <c r="Y13506" s="21">
        <f>$B$12190</f>
        <v/>
      </c>
      <c r="Z13506" s="19" t="n"/>
    </row>
    <row r="13507">
      <c r="D13507" s="21" t="n">
        <v>0</v>
      </c>
      <c r="E13507" s="21" t="n">
        <v>0</v>
      </c>
      <c r="F13507" s="21" t="n">
        <v>0</v>
      </c>
      <c r="G13507" s="21" t="n">
        <v>0</v>
      </c>
      <c r="H13507" s="21" t="n">
        <v>0</v>
      </c>
      <c r="I13507" s="21" t="n">
        <v>0</v>
      </c>
      <c r="J13507" s="21" t="n">
        <v>0</v>
      </c>
      <c r="K13507" s="21" t="n">
        <v>0</v>
      </c>
      <c r="L13507" s="21" t="n">
        <v>0</v>
      </c>
      <c r="M13507" s="21" t="n">
        <v>0</v>
      </c>
      <c r="N13507" s="21" t="n">
        <v>0</v>
      </c>
      <c r="O13507" s="21" t="n">
        <v>0</v>
      </c>
      <c r="P13507" s="21" t="n">
        <v>0</v>
      </c>
      <c r="Q13507" s="21" t="n">
        <v>0</v>
      </c>
      <c r="R13507" s="21" t="n">
        <v>0</v>
      </c>
      <c r="S13507" s="21" t="n">
        <v>0</v>
      </c>
      <c r="T13507" s="21">
        <f>$B$12190</f>
        <v/>
      </c>
      <c r="U13507" s="21">
        <f>$B$12192</f>
        <v/>
      </c>
      <c r="V13507" s="21">
        <f>0</f>
        <v/>
      </c>
      <c r="W13507" s="21">
        <f>2*$B$12191</f>
        <v/>
      </c>
      <c r="X13507" s="21">
        <f>-$B$12190</f>
        <v/>
      </c>
      <c r="Y13507" s="21">
        <f>$B$12192</f>
        <v/>
      </c>
      <c r="Z13507" s="19" t="n"/>
    </row>
    <row r="13508">
      <c r="D13508" s="21" t="n">
        <v>0</v>
      </c>
      <c r="E13508" s="21" t="n">
        <v>0</v>
      </c>
      <c r="F13508" s="21" t="n">
        <v>0</v>
      </c>
      <c r="G13508" s="21" t="n">
        <v>0</v>
      </c>
      <c r="H13508" s="21" t="n">
        <v>0</v>
      </c>
      <c r="I13508" s="21" t="n">
        <v>0</v>
      </c>
      <c r="J13508" s="21" t="n">
        <v>0</v>
      </c>
      <c r="K13508" s="21" t="n">
        <v>0</v>
      </c>
      <c r="L13508" s="21" t="n">
        <v>0</v>
      </c>
      <c r="M13508" s="21" t="n">
        <v>0</v>
      </c>
      <c r="N13508" s="21" t="n">
        <v>0</v>
      </c>
      <c r="O13508" s="21" t="n">
        <v>0</v>
      </c>
      <c r="P13508" s="21" t="n">
        <v>0</v>
      </c>
      <c r="Q13508" s="21" t="n">
        <v>0</v>
      </c>
      <c r="R13508" s="21" t="n">
        <v>0</v>
      </c>
      <c r="S13508" s="21" t="n">
        <v>0</v>
      </c>
      <c r="T13508" s="21" t="n">
        <v>0</v>
      </c>
      <c r="U13508" s="21" t="n">
        <v>0</v>
      </c>
      <c r="V13508" s="21">
        <f>-$B$12189</f>
        <v/>
      </c>
      <c r="W13508" s="21">
        <f>-$B$12190</f>
        <v/>
      </c>
      <c r="X13508" s="21">
        <f>$B$12189+$D$13486</f>
        <v/>
      </c>
      <c r="Y13508" s="21">
        <f>-$B$12190</f>
        <v/>
      </c>
      <c r="Z13508" s="19" t="n"/>
    </row>
    <row r="13509">
      <c r="D13509" s="21" t="n">
        <v>0</v>
      </c>
      <c r="E13509" s="21" t="n">
        <v>0</v>
      </c>
      <c r="F13509" s="21" t="n">
        <v>0</v>
      </c>
      <c r="G13509" s="21" t="n">
        <v>0</v>
      </c>
      <c r="H13509" s="21" t="n">
        <v>0</v>
      </c>
      <c r="I13509" s="21" t="n">
        <v>0</v>
      </c>
      <c r="J13509" s="21" t="n">
        <v>0</v>
      </c>
      <c r="K13509" s="21" t="n">
        <v>0</v>
      </c>
      <c r="L13509" s="21" t="n">
        <v>0</v>
      </c>
      <c r="M13509" s="21" t="n">
        <v>0</v>
      </c>
      <c r="N13509" s="21" t="n">
        <v>0</v>
      </c>
      <c r="O13509" s="21" t="n">
        <v>0</v>
      </c>
      <c r="P13509" s="21" t="n">
        <v>0</v>
      </c>
      <c r="Q13509" s="21" t="n">
        <v>0</v>
      </c>
      <c r="R13509" s="21" t="n">
        <v>0</v>
      </c>
      <c r="S13509" s="21" t="n">
        <v>0</v>
      </c>
      <c r="T13509" s="21" t="n">
        <v>0</v>
      </c>
      <c r="U13509" s="21" t="n">
        <v>0</v>
      </c>
      <c r="V13509" s="21">
        <f>$B$12190</f>
        <v/>
      </c>
      <c r="W13509" s="21">
        <f>$B$12192</f>
        <v/>
      </c>
      <c r="X13509" s="21">
        <f>-$B$12190</f>
        <v/>
      </c>
      <c r="Y13509" s="21">
        <f>$B$12191</f>
        <v/>
      </c>
      <c r="Z13509" s="19" t="n"/>
    </row>
    <row r="13511">
      <c r="A13511" s="8" t="inlineStr">
        <is>
          <t>gen 36</t>
        </is>
      </c>
    </row>
    <row r="13512">
      <c r="D13512" s="19">
        <f>IF(ABS(IF(ABS($E$13476)&gt;0.000000001,$E$13476,0.000000001))=0,0,IF($E$12204&lt;=$B$12198,0,IF(ABS(IF(ABS($E$13476)&gt;0.000000001,$E$13476,0.000000001))&gt;=8*$B$12200,$H$12204,0.5*$H$12204*(ABS(IF(ABS($E$13476)&gt;0.000000001,$E$13476,0.000000001))/$B$12200)^(1/3)))/ABS(IF(ABS($E$13476)&gt;0.000000001,$E$13476,0.000000001))*$I$12204)</f>
        <v/>
      </c>
      <c r="E13512" s="19">
        <f>0.5*$E$13476+0.5*$Z$13524</f>
        <v/>
      </c>
      <c r="F13512" s="19">
        <f>$Z$13525</f>
        <v/>
      </c>
    </row>
    <row r="13513">
      <c r="D13513" s="19">
        <f>IF(ABS(IF(ABS($E$13477)&gt;0.000000001,$E$13477,0.000000001))=0,0,IF($E$12205&lt;=$B$12198,0,IF(ABS(IF(ABS($E$13477)&gt;0.000000001,$E$13477,0.000000001))&gt;=8*$B$12200,$H$12205,0.5*$H$12205*(ABS(IF(ABS($E$13477)&gt;0.000000001,$E$13477,0.000000001))/$B$12200)^(1/3)))/ABS(IF(ABS($E$13477)&gt;0.000000001,$E$13477,0.000000001))*$I$12205)</f>
        <v/>
      </c>
      <c r="E13513" s="19">
        <f>0.5*$E$13477+0.5*$Z$13526</f>
        <v/>
      </c>
      <c r="F13513" s="19">
        <f>$Z$13527</f>
        <v/>
      </c>
    </row>
    <row r="13514">
      <c r="D13514" s="19">
        <f>IF(ABS(IF(ABS($E$13478)&gt;0.000000001,$E$13478,0.000000001))=0,0,IF($E$12206&lt;=$B$12198,0,IF(ABS(IF(ABS($E$13478)&gt;0.000000001,$E$13478,0.000000001))&gt;=8*$B$12200,$H$12206,0.5*$H$12206*(ABS(IF(ABS($E$13478)&gt;0.000000001,$E$13478,0.000000001))/$B$12200)^(1/3)))/ABS(IF(ABS($E$13478)&gt;0.000000001,$E$13478,0.000000001))*$I$12206)</f>
        <v/>
      </c>
      <c r="E13514" s="19">
        <f>0.5*$E$13478+0.5*$Z$13528</f>
        <v/>
      </c>
      <c r="F13514" s="19">
        <f>$Z$13529</f>
        <v/>
      </c>
    </row>
    <row r="13515">
      <c r="D13515" s="19">
        <f>IF(ABS(IF(ABS($E$13479)&gt;0.000000001,$E$13479,0.000000001))=0,0,IF($E$12207&lt;=$B$12198,0,IF(ABS(IF(ABS($E$13479)&gt;0.000000001,$E$13479,0.000000001))&gt;=8*$B$12200,$H$12207,0.5*$H$12207*(ABS(IF(ABS($E$13479)&gt;0.000000001,$E$13479,0.000000001))/$B$12200)^(1/3)))/ABS(IF(ABS($E$13479)&gt;0.000000001,$E$13479,0.000000001))*$I$12207)</f>
        <v/>
      </c>
      <c r="E13515" s="19">
        <f>0.5*$E$13479+0.5*$Z$13530</f>
        <v/>
      </c>
      <c r="F13515" s="19">
        <f>$Z$13531</f>
        <v/>
      </c>
    </row>
    <row r="13516">
      <c r="D13516" s="19">
        <f>IF(ABS(IF(ABS($E$13480)&gt;0.000000001,$E$13480,0.000000001))=0,0,IF($E$12208&lt;=$B$12198,0,IF(ABS(IF(ABS($E$13480)&gt;0.000000001,$E$13480,0.000000001))&gt;=8*$B$12200,$H$12208,0.5*$H$12208*(ABS(IF(ABS($E$13480)&gt;0.000000001,$E$13480,0.000000001))/$B$12200)^(1/3)))/ABS(IF(ABS($E$13480)&gt;0.000000001,$E$13480,0.000000001))*$I$12208)</f>
        <v/>
      </c>
      <c r="E13516" s="19">
        <f>0.5*$E$13480+0.5*$Z$13532</f>
        <v/>
      </c>
      <c r="F13516" s="19">
        <f>$Z$13533</f>
        <v/>
      </c>
    </row>
    <row r="13517">
      <c r="D13517" s="19">
        <f>IF(ABS(IF(ABS($E$13481)&gt;0.000000001,$E$13481,0.000000001))=0,0,IF($E$12209&lt;=$B$12198,0,IF(ABS(IF(ABS($E$13481)&gt;0.000000001,$E$13481,0.000000001))&gt;=8*$B$12200,$H$12209,0.5*$H$12209*(ABS(IF(ABS($E$13481)&gt;0.000000001,$E$13481,0.000000001))/$B$12200)^(1/3)))/ABS(IF(ABS($E$13481)&gt;0.000000001,$E$13481,0.000000001))*$I$12209)</f>
        <v/>
      </c>
      <c r="E13517" s="19">
        <f>0.5*$E$13481+0.5*$Z$13534</f>
        <v/>
      </c>
      <c r="F13517" s="19">
        <f>$Z$13535</f>
        <v/>
      </c>
    </row>
    <row r="13518">
      <c r="D13518" s="19">
        <f>IF(ABS(IF(ABS($E$13482)&gt;0.000000001,$E$13482,0.000000001))=0,0,IF($E$12210&lt;=$B$12198,0,IF(ABS(IF(ABS($E$13482)&gt;0.000000001,$E$13482,0.000000001))&gt;=8*$B$12200,$H$12210,0.5*$H$12210*(ABS(IF(ABS($E$13482)&gt;0.000000001,$E$13482,0.000000001))/$B$12200)^(1/3)))/ABS(IF(ABS($E$13482)&gt;0.000000001,$E$13482,0.000000001))*$I$12210)</f>
        <v/>
      </c>
      <c r="E13518" s="19">
        <f>0.5*$E$13482+0.5*$Z$13536</f>
        <v/>
      </c>
      <c r="F13518" s="19">
        <f>$Z$13537</f>
        <v/>
      </c>
    </row>
    <row r="13519">
      <c r="D13519" s="19">
        <f>IF(ABS(IF(ABS($E$13483)&gt;0.000000001,$E$13483,0.000000001))=0,0,IF($E$12211&lt;=$B$12198,0,IF(ABS(IF(ABS($E$13483)&gt;0.000000001,$E$13483,0.000000001))&gt;=8*$B$12200,$H$12211,0.5*$H$12211*(ABS(IF(ABS($E$13483)&gt;0.000000001,$E$13483,0.000000001))/$B$12200)^(1/3)))/ABS(IF(ABS($E$13483)&gt;0.000000001,$E$13483,0.000000001))*$I$12211)</f>
        <v/>
      </c>
      <c r="E13519" s="19">
        <f>0.5*$E$13483+0.5*$Z$13538</f>
        <v/>
      </c>
      <c r="F13519" s="19">
        <f>$Z$13539</f>
        <v/>
      </c>
    </row>
    <row r="13520">
      <c r="D13520" s="19">
        <f>IF(ABS(IF(ABS($E$13484)&gt;0.000000001,$E$13484,0.000000001))=0,0,IF($E$12212&lt;=$B$12198,0,IF(ABS(IF(ABS($E$13484)&gt;0.000000001,$E$13484,0.000000001))&gt;=8*$B$12200,$H$12212,0.5*$H$12212*(ABS(IF(ABS($E$13484)&gt;0.000000001,$E$13484,0.000000001))/$B$12200)^(1/3)))/ABS(IF(ABS($E$13484)&gt;0.000000001,$E$13484,0.000000001))*$I$12212)</f>
        <v/>
      </c>
      <c r="E13520" s="19">
        <f>0.5*$E$13484+0.5*$Z$13540</f>
        <v/>
      </c>
      <c r="F13520" s="19">
        <f>$Z$13541</f>
        <v/>
      </c>
    </row>
    <row r="13521">
      <c r="D13521" s="19">
        <f>IF(ABS(IF(ABS($E$13485)&gt;0.000000001,$E$13485,0.000000001))=0,0,IF($E$12213&lt;=$B$12198,0,IF(ABS(IF(ABS($E$13485)&gt;0.000000001,$E$13485,0.000000001))&gt;=8*$B$12200,$H$12213,0.5*$H$12213*(ABS(IF(ABS($E$13485)&gt;0.000000001,$E$13485,0.000000001))/$B$12200)^(1/3)))/ABS(IF(ABS($E$13485)&gt;0.000000001,$E$13485,0.000000001))*$I$12213)</f>
        <v/>
      </c>
      <c r="E13521" s="19">
        <f>0.5*$E$13485+0.5*$Z$13542</f>
        <v/>
      </c>
      <c r="F13521" s="19">
        <f>$Z$13543</f>
        <v/>
      </c>
    </row>
    <row r="13522">
      <c r="D13522" s="19">
        <f>IF(ABS(IF(ABS($E$13486)&gt;0.000000001,$E$13486,0.000000001))=0,0,IF($E$12214&lt;=$B$12198,0,IF(ABS(IF(ABS($E$13486)&gt;0.000000001,$E$13486,0.000000001))&gt;=8*$B$12200,$H$12214,0.5*$H$12214*(ABS(IF(ABS($E$13486)&gt;0.000000001,$E$13486,0.000000001))/$B$12200)^(1/3)))/ABS(IF(ABS($E$13486)&gt;0.000000001,$E$13486,0.000000001))*$I$12214)</f>
        <v/>
      </c>
      <c r="E13522" s="19">
        <f>0.5*$E$13486+0.5*$Z$13544</f>
        <v/>
      </c>
      <c r="F13522" s="19">
        <f>$Z$13545</f>
        <v/>
      </c>
    </row>
    <row r="13524">
      <c r="D13524" s="21">
        <f>$B$12189+$D$13512</f>
        <v/>
      </c>
      <c r="E13524" s="21">
        <f>$B$12190</f>
        <v/>
      </c>
      <c r="F13524" s="21">
        <f>-$B$12189</f>
        <v/>
      </c>
      <c r="G13524" s="21">
        <f>$B$12190</f>
        <v/>
      </c>
      <c r="H13524" s="21" t="n">
        <v>0</v>
      </c>
      <c r="I13524" s="21" t="n">
        <v>0</v>
      </c>
      <c r="J13524" s="21" t="n">
        <v>0</v>
      </c>
      <c r="K13524" s="21" t="n">
        <v>0</v>
      </c>
      <c r="L13524" s="21" t="n">
        <v>0</v>
      </c>
      <c r="M13524" s="21" t="n">
        <v>0</v>
      </c>
      <c r="N13524" s="21" t="n">
        <v>0</v>
      </c>
      <c r="O13524" s="21" t="n">
        <v>0</v>
      </c>
      <c r="P13524" s="21" t="n">
        <v>0</v>
      </c>
      <c r="Q13524" s="21" t="n">
        <v>0</v>
      </c>
      <c r="R13524" s="21" t="n">
        <v>0</v>
      </c>
      <c r="S13524" s="21" t="n">
        <v>0</v>
      </c>
      <c r="T13524" s="21" t="n">
        <v>0</v>
      </c>
      <c r="U13524" s="21" t="n">
        <v>0</v>
      </c>
      <c r="V13524" s="21" t="n">
        <v>0</v>
      </c>
      <c r="W13524" s="21" t="n">
        <v>0</v>
      </c>
      <c r="X13524" s="21" t="n">
        <v>0</v>
      </c>
      <c r="Y13524" s="21" t="n">
        <v>0</v>
      </c>
      <c r="Z13524" s="19">
        <f t="array" ref="Z13524:Z13545">MMULT(MINVERSE($D$13524:$Y$13545),$D$12216:$D$12237)</f>
        <v/>
      </c>
    </row>
    <row r="13525">
      <c r="D13525" s="21">
        <f>$B$12190</f>
        <v/>
      </c>
      <c r="E13525" s="21">
        <f>$B$12191</f>
        <v/>
      </c>
      <c r="F13525" s="21">
        <f>-$B$12190</f>
        <v/>
      </c>
      <c r="G13525" s="21">
        <f>$B$12192</f>
        <v/>
      </c>
      <c r="H13525" s="21" t="n">
        <v>0</v>
      </c>
      <c r="I13525" s="21" t="n">
        <v>0</v>
      </c>
      <c r="J13525" s="21" t="n">
        <v>0</v>
      </c>
      <c r="K13525" s="21" t="n">
        <v>0</v>
      </c>
      <c r="L13525" s="21" t="n">
        <v>0</v>
      </c>
      <c r="M13525" s="21" t="n">
        <v>0</v>
      </c>
      <c r="N13525" s="21" t="n">
        <v>0</v>
      </c>
      <c r="O13525" s="21" t="n">
        <v>0</v>
      </c>
      <c r="P13525" s="21" t="n">
        <v>0</v>
      </c>
      <c r="Q13525" s="21" t="n">
        <v>0</v>
      </c>
      <c r="R13525" s="21" t="n">
        <v>0</v>
      </c>
      <c r="S13525" s="21" t="n">
        <v>0</v>
      </c>
      <c r="T13525" s="21" t="n">
        <v>0</v>
      </c>
      <c r="U13525" s="21" t="n">
        <v>0</v>
      </c>
      <c r="V13525" s="21" t="n">
        <v>0</v>
      </c>
      <c r="W13525" s="21" t="n">
        <v>0</v>
      </c>
      <c r="X13525" s="21" t="n">
        <v>0</v>
      </c>
      <c r="Y13525" s="21" t="n">
        <v>0</v>
      </c>
      <c r="Z13525" s="19" t="n"/>
    </row>
    <row r="13526">
      <c r="D13526" s="21">
        <f>-$B$12189</f>
        <v/>
      </c>
      <c r="E13526" s="21">
        <f>-$B$12190</f>
        <v/>
      </c>
      <c r="F13526" s="21">
        <f>2*$B$12189+$D$13513</f>
        <v/>
      </c>
      <c r="G13526" s="21">
        <f>0</f>
        <v/>
      </c>
      <c r="H13526" s="21">
        <f>-$B$12189</f>
        <v/>
      </c>
      <c r="I13526" s="21">
        <f>$B$12190</f>
        <v/>
      </c>
      <c r="J13526" s="21" t="n">
        <v>0</v>
      </c>
      <c r="K13526" s="21" t="n">
        <v>0</v>
      </c>
      <c r="L13526" s="21" t="n">
        <v>0</v>
      </c>
      <c r="M13526" s="21" t="n">
        <v>0</v>
      </c>
      <c r="N13526" s="21" t="n">
        <v>0</v>
      </c>
      <c r="O13526" s="21" t="n">
        <v>0</v>
      </c>
      <c r="P13526" s="21" t="n">
        <v>0</v>
      </c>
      <c r="Q13526" s="21" t="n">
        <v>0</v>
      </c>
      <c r="R13526" s="21" t="n">
        <v>0</v>
      </c>
      <c r="S13526" s="21" t="n">
        <v>0</v>
      </c>
      <c r="T13526" s="21" t="n">
        <v>0</v>
      </c>
      <c r="U13526" s="21" t="n">
        <v>0</v>
      </c>
      <c r="V13526" s="21" t="n">
        <v>0</v>
      </c>
      <c r="W13526" s="21" t="n">
        <v>0</v>
      </c>
      <c r="X13526" s="21" t="n">
        <v>0</v>
      </c>
      <c r="Y13526" s="21" t="n">
        <v>0</v>
      </c>
      <c r="Z13526" s="19" t="n"/>
    </row>
    <row r="13527">
      <c r="D13527" s="21">
        <f>$B$12190</f>
        <v/>
      </c>
      <c r="E13527" s="21">
        <f>$B$12192</f>
        <v/>
      </c>
      <c r="F13527" s="21">
        <f>0</f>
        <v/>
      </c>
      <c r="G13527" s="21">
        <f>2*$B$12191</f>
        <v/>
      </c>
      <c r="H13527" s="21">
        <f>-$B$12190</f>
        <v/>
      </c>
      <c r="I13527" s="21">
        <f>$B$12192</f>
        <v/>
      </c>
      <c r="J13527" s="21" t="n">
        <v>0</v>
      </c>
      <c r="K13527" s="21" t="n">
        <v>0</v>
      </c>
      <c r="L13527" s="21" t="n">
        <v>0</v>
      </c>
      <c r="M13527" s="21" t="n">
        <v>0</v>
      </c>
      <c r="N13527" s="21" t="n">
        <v>0</v>
      </c>
      <c r="O13527" s="21" t="n">
        <v>0</v>
      </c>
      <c r="P13527" s="21" t="n">
        <v>0</v>
      </c>
      <c r="Q13527" s="21" t="n">
        <v>0</v>
      </c>
      <c r="R13527" s="21" t="n">
        <v>0</v>
      </c>
      <c r="S13527" s="21" t="n">
        <v>0</v>
      </c>
      <c r="T13527" s="21" t="n">
        <v>0</v>
      </c>
      <c r="U13527" s="21" t="n">
        <v>0</v>
      </c>
      <c r="V13527" s="21" t="n">
        <v>0</v>
      </c>
      <c r="W13527" s="21" t="n">
        <v>0</v>
      </c>
      <c r="X13527" s="21" t="n">
        <v>0</v>
      </c>
      <c r="Y13527" s="21" t="n">
        <v>0</v>
      </c>
      <c r="Z13527" s="19" t="n"/>
    </row>
    <row r="13528">
      <c r="D13528" s="21" t="n">
        <v>0</v>
      </c>
      <c r="E13528" s="21" t="n">
        <v>0</v>
      </c>
      <c r="F13528" s="21">
        <f>-$B$12189</f>
        <v/>
      </c>
      <c r="G13528" s="21">
        <f>-$B$12190</f>
        <v/>
      </c>
      <c r="H13528" s="21">
        <f>2*$B$12189+$D$13514</f>
        <v/>
      </c>
      <c r="I13528" s="21">
        <f>0</f>
        <v/>
      </c>
      <c r="J13528" s="21">
        <f>-$B$12189</f>
        <v/>
      </c>
      <c r="K13528" s="21">
        <f>$B$12190</f>
        <v/>
      </c>
      <c r="L13528" s="21" t="n">
        <v>0</v>
      </c>
      <c r="M13528" s="21" t="n">
        <v>0</v>
      </c>
      <c r="N13528" s="21" t="n">
        <v>0</v>
      </c>
      <c r="O13528" s="21" t="n">
        <v>0</v>
      </c>
      <c r="P13528" s="21" t="n">
        <v>0</v>
      </c>
      <c r="Q13528" s="21" t="n">
        <v>0</v>
      </c>
      <c r="R13528" s="21" t="n">
        <v>0</v>
      </c>
      <c r="S13528" s="21" t="n">
        <v>0</v>
      </c>
      <c r="T13528" s="21" t="n">
        <v>0</v>
      </c>
      <c r="U13528" s="21" t="n">
        <v>0</v>
      </c>
      <c r="V13528" s="21" t="n">
        <v>0</v>
      </c>
      <c r="W13528" s="21" t="n">
        <v>0</v>
      </c>
      <c r="X13528" s="21" t="n">
        <v>0</v>
      </c>
      <c r="Y13528" s="21" t="n">
        <v>0</v>
      </c>
      <c r="Z13528" s="19" t="n"/>
    </row>
    <row r="13529">
      <c r="D13529" s="21" t="n">
        <v>0</v>
      </c>
      <c r="E13529" s="21" t="n">
        <v>0</v>
      </c>
      <c r="F13529" s="21">
        <f>$B$12190</f>
        <v/>
      </c>
      <c r="G13529" s="21">
        <f>$B$12192</f>
        <v/>
      </c>
      <c r="H13529" s="21">
        <f>0</f>
        <v/>
      </c>
      <c r="I13529" s="21">
        <f>2*$B$12191</f>
        <v/>
      </c>
      <c r="J13529" s="21">
        <f>-$B$12190</f>
        <v/>
      </c>
      <c r="K13529" s="21">
        <f>$B$12192</f>
        <v/>
      </c>
      <c r="L13529" s="21" t="n">
        <v>0</v>
      </c>
      <c r="M13529" s="21" t="n">
        <v>0</v>
      </c>
      <c r="N13529" s="21" t="n">
        <v>0</v>
      </c>
      <c r="O13529" s="21" t="n">
        <v>0</v>
      </c>
      <c r="P13529" s="21" t="n">
        <v>0</v>
      </c>
      <c r="Q13529" s="21" t="n">
        <v>0</v>
      </c>
      <c r="R13529" s="21" t="n">
        <v>0</v>
      </c>
      <c r="S13529" s="21" t="n">
        <v>0</v>
      </c>
      <c r="T13529" s="21" t="n">
        <v>0</v>
      </c>
      <c r="U13529" s="21" t="n">
        <v>0</v>
      </c>
      <c r="V13529" s="21" t="n">
        <v>0</v>
      </c>
      <c r="W13529" s="21" t="n">
        <v>0</v>
      </c>
      <c r="X13529" s="21" t="n">
        <v>0</v>
      </c>
      <c r="Y13529" s="21" t="n">
        <v>0</v>
      </c>
      <c r="Z13529" s="19" t="n"/>
    </row>
    <row r="13530">
      <c r="D13530" s="21" t="n">
        <v>0</v>
      </c>
      <c r="E13530" s="21" t="n">
        <v>0</v>
      </c>
      <c r="F13530" s="21" t="n">
        <v>0</v>
      </c>
      <c r="G13530" s="21" t="n">
        <v>0</v>
      </c>
      <c r="H13530" s="21">
        <f>-$B$12189</f>
        <v/>
      </c>
      <c r="I13530" s="21">
        <f>-$B$12190</f>
        <v/>
      </c>
      <c r="J13530" s="21">
        <f>2*$B$12189+$D$13515</f>
        <v/>
      </c>
      <c r="K13530" s="21">
        <f>0</f>
        <v/>
      </c>
      <c r="L13530" s="21">
        <f>-$B$12189</f>
        <v/>
      </c>
      <c r="M13530" s="21">
        <f>$B$12190</f>
        <v/>
      </c>
      <c r="N13530" s="21" t="n">
        <v>0</v>
      </c>
      <c r="O13530" s="21" t="n">
        <v>0</v>
      </c>
      <c r="P13530" s="21" t="n">
        <v>0</v>
      </c>
      <c r="Q13530" s="21" t="n">
        <v>0</v>
      </c>
      <c r="R13530" s="21" t="n">
        <v>0</v>
      </c>
      <c r="S13530" s="21" t="n">
        <v>0</v>
      </c>
      <c r="T13530" s="21" t="n">
        <v>0</v>
      </c>
      <c r="U13530" s="21" t="n">
        <v>0</v>
      </c>
      <c r="V13530" s="21" t="n">
        <v>0</v>
      </c>
      <c r="W13530" s="21" t="n">
        <v>0</v>
      </c>
      <c r="X13530" s="21" t="n">
        <v>0</v>
      </c>
      <c r="Y13530" s="21" t="n">
        <v>0</v>
      </c>
      <c r="Z13530" s="19" t="n"/>
    </row>
    <row r="13531">
      <c r="D13531" s="21" t="n">
        <v>0</v>
      </c>
      <c r="E13531" s="21" t="n">
        <v>0</v>
      </c>
      <c r="F13531" s="21" t="n">
        <v>0</v>
      </c>
      <c r="G13531" s="21" t="n">
        <v>0</v>
      </c>
      <c r="H13531" s="21">
        <f>$B$12190</f>
        <v/>
      </c>
      <c r="I13531" s="21">
        <f>$B$12192</f>
        <v/>
      </c>
      <c r="J13531" s="21">
        <f>0</f>
        <v/>
      </c>
      <c r="K13531" s="21">
        <f>2*$B$12191</f>
        <v/>
      </c>
      <c r="L13531" s="21">
        <f>-$B$12190</f>
        <v/>
      </c>
      <c r="M13531" s="21">
        <f>$B$12192</f>
        <v/>
      </c>
      <c r="N13531" s="21" t="n">
        <v>0</v>
      </c>
      <c r="O13531" s="21" t="n">
        <v>0</v>
      </c>
      <c r="P13531" s="21" t="n">
        <v>0</v>
      </c>
      <c r="Q13531" s="21" t="n">
        <v>0</v>
      </c>
      <c r="R13531" s="21" t="n">
        <v>0</v>
      </c>
      <c r="S13531" s="21" t="n">
        <v>0</v>
      </c>
      <c r="T13531" s="21" t="n">
        <v>0</v>
      </c>
      <c r="U13531" s="21" t="n">
        <v>0</v>
      </c>
      <c r="V13531" s="21" t="n">
        <v>0</v>
      </c>
      <c r="W13531" s="21" t="n">
        <v>0</v>
      </c>
      <c r="X13531" s="21" t="n">
        <v>0</v>
      </c>
      <c r="Y13531" s="21" t="n">
        <v>0</v>
      </c>
      <c r="Z13531" s="19" t="n"/>
    </row>
    <row r="13532">
      <c r="D13532" s="21" t="n">
        <v>0</v>
      </c>
      <c r="E13532" s="21" t="n">
        <v>0</v>
      </c>
      <c r="F13532" s="21" t="n">
        <v>0</v>
      </c>
      <c r="G13532" s="21" t="n">
        <v>0</v>
      </c>
      <c r="H13532" s="21" t="n">
        <v>0</v>
      </c>
      <c r="I13532" s="21" t="n">
        <v>0</v>
      </c>
      <c r="J13532" s="21">
        <f>-$B$12189</f>
        <v/>
      </c>
      <c r="K13532" s="21">
        <f>-$B$12190</f>
        <v/>
      </c>
      <c r="L13532" s="21">
        <f>2*$B$12189+$D$13516</f>
        <v/>
      </c>
      <c r="M13532" s="21">
        <f>0</f>
        <v/>
      </c>
      <c r="N13532" s="21">
        <f>-$B$12189</f>
        <v/>
      </c>
      <c r="O13532" s="21">
        <f>$B$12190</f>
        <v/>
      </c>
      <c r="P13532" s="21" t="n">
        <v>0</v>
      </c>
      <c r="Q13532" s="21" t="n">
        <v>0</v>
      </c>
      <c r="R13532" s="21" t="n">
        <v>0</v>
      </c>
      <c r="S13532" s="21" t="n">
        <v>0</v>
      </c>
      <c r="T13532" s="21" t="n">
        <v>0</v>
      </c>
      <c r="U13532" s="21" t="n">
        <v>0</v>
      </c>
      <c r="V13532" s="21" t="n">
        <v>0</v>
      </c>
      <c r="W13532" s="21" t="n">
        <v>0</v>
      </c>
      <c r="X13532" s="21" t="n">
        <v>0</v>
      </c>
      <c r="Y13532" s="21" t="n">
        <v>0</v>
      </c>
      <c r="Z13532" s="19" t="n"/>
    </row>
    <row r="13533">
      <c r="D13533" s="21" t="n">
        <v>0</v>
      </c>
      <c r="E13533" s="21" t="n">
        <v>0</v>
      </c>
      <c r="F13533" s="21" t="n">
        <v>0</v>
      </c>
      <c r="G13533" s="21" t="n">
        <v>0</v>
      </c>
      <c r="H13533" s="21" t="n">
        <v>0</v>
      </c>
      <c r="I13533" s="21" t="n">
        <v>0</v>
      </c>
      <c r="J13533" s="21">
        <f>$B$12190</f>
        <v/>
      </c>
      <c r="K13533" s="21">
        <f>$B$12192</f>
        <v/>
      </c>
      <c r="L13533" s="21">
        <f>0</f>
        <v/>
      </c>
      <c r="M13533" s="21">
        <f>2*$B$12191</f>
        <v/>
      </c>
      <c r="N13533" s="21">
        <f>-$B$12190</f>
        <v/>
      </c>
      <c r="O13533" s="21">
        <f>$B$12192</f>
        <v/>
      </c>
      <c r="P13533" s="21" t="n">
        <v>0</v>
      </c>
      <c r="Q13533" s="21" t="n">
        <v>0</v>
      </c>
      <c r="R13533" s="21" t="n">
        <v>0</v>
      </c>
      <c r="S13533" s="21" t="n">
        <v>0</v>
      </c>
      <c r="T13533" s="21" t="n">
        <v>0</v>
      </c>
      <c r="U13533" s="21" t="n">
        <v>0</v>
      </c>
      <c r="V13533" s="21" t="n">
        <v>0</v>
      </c>
      <c r="W13533" s="21" t="n">
        <v>0</v>
      </c>
      <c r="X13533" s="21" t="n">
        <v>0</v>
      </c>
      <c r="Y13533" s="21" t="n">
        <v>0</v>
      </c>
      <c r="Z13533" s="19" t="n"/>
    </row>
    <row r="13534">
      <c r="D13534" s="21" t="n">
        <v>0</v>
      </c>
      <c r="E13534" s="21" t="n">
        <v>0</v>
      </c>
      <c r="F13534" s="21" t="n">
        <v>0</v>
      </c>
      <c r="G13534" s="21" t="n">
        <v>0</v>
      </c>
      <c r="H13534" s="21" t="n">
        <v>0</v>
      </c>
      <c r="I13534" s="21" t="n">
        <v>0</v>
      </c>
      <c r="J13534" s="21" t="n">
        <v>0</v>
      </c>
      <c r="K13534" s="21" t="n">
        <v>0</v>
      </c>
      <c r="L13534" s="21">
        <f>-$B$12189</f>
        <v/>
      </c>
      <c r="M13534" s="21">
        <f>-$B$12190</f>
        <v/>
      </c>
      <c r="N13534" s="21">
        <f>2*$B$12189+$D$13517</f>
        <v/>
      </c>
      <c r="O13534" s="21">
        <f>0</f>
        <v/>
      </c>
      <c r="P13534" s="21">
        <f>-$B$12189</f>
        <v/>
      </c>
      <c r="Q13534" s="21">
        <f>$B$12190</f>
        <v/>
      </c>
      <c r="R13534" s="21" t="n">
        <v>0</v>
      </c>
      <c r="S13534" s="21" t="n">
        <v>0</v>
      </c>
      <c r="T13534" s="21" t="n">
        <v>0</v>
      </c>
      <c r="U13534" s="21" t="n">
        <v>0</v>
      </c>
      <c r="V13534" s="21" t="n">
        <v>0</v>
      </c>
      <c r="W13534" s="21" t="n">
        <v>0</v>
      </c>
      <c r="X13534" s="21" t="n">
        <v>0</v>
      </c>
      <c r="Y13534" s="21" t="n">
        <v>0</v>
      </c>
      <c r="Z13534" s="19" t="n"/>
    </row>
    <row r="13535">
      <c r="D13535" s="21" t="n">
        <v>0</v>
      </c>
      <c r="E13535" s="21" t="n">
        <v>0</v>
      </c>
      <c r="F13535" s="21" t="n">
        <v>0</v>
      </c>
      <c r="G13535" s="21" t="n">
        <v>0</v>
      </c>
      <c r="H13535" s="21" t="n">
        <v>0</v>
      </c>
      <c r="I13535" s="21" t="n">
        <v>0</v>
      </c>
      <c r="J13535" s="21" t="n">
        <v>0</v>
      </c>
      <c r="K13535" s="21" t="n">
        <v>0</v>
      </c>
      <c r="L13535" s="21">
        <f>$B$12190</f>
        <v/>
      </c>
      <c r="M13535" s="21">
        <f>$B$12192</f>
        <v/>
      </c>
      <c r="N13535" s="21">
        <f>0</f>
        <v/>
      </c>
      <c r="O13535" s="21">
        <f>2*$B$12191</f>
        <v/>
      </c>
      <c r="P13535" s="21">
        <f>-$B$12190</f>
        <v/>
      </c>
      <c r="Q13535" s="21">
        <f>$B$12192</f>
        <v/>
      </c>
      <c r="R13535" s="21" t="n">
        <v>0</v>
      </c>
      <c r="S13535" s="21" t="n">
        <v>0</v>
      </c>
      <c r="T13535" s="21" t="n">
        <v>0</v>
      </c>
      <c r="U13535" s="21" t="n">
        <v>0</v>
      </c>
      <c r="V13535" s="21" t="n">
        <v>0</v>
      </c>
      <c r="W13535" s="21" t="n">
        <v>0</v>
      </c>
      <c r="X13535" s="21" t="n">
        <v>0</v>
      </c>
      <c r="Y13535" s="21" t="n">
        <v>0</v>
      </c>
      <c r="Z13535" s="19" t="n"/>
    </row>
    <row r="13536">
      <c r="D13536" s="21" t="n">
        <v>0</v>
      </c>
      <c r="E13536" s="21" t="n">
        <v>0</v>
      </c>
      <c r="F13536" s="21" t="n">
        <v>0</v>
      </c>
      <c r="G13536" s="21" t="n">
        <v>0</v>
      </c>
      <c r="H13536" s="21" t="n">
        <v>0</v>
      </c>
      <c r="I13536" s="21" t="n">
        <v>0</v>
      </c>
      <c r="J13536" s="21" t="n">
        <v>0</v>
      </c>
      <c r="K13536" s="21" t="n">
        <v>0</v>
      </c>
      <c r="L13536" s="21" t="n">
        <v>0</v>
      </c>
      <c r="M13536" s="21" t="n">
        <v>0</v>
      </c>
      <c r="N13536" s="21">
        <f>-$B$12189</f>
        <v/>
      </c>
      <c r="O13536" s="21">
        <f>-$B$12190</f>
        <v/>
      </c>
      <c r="P13536" s="21">
        <f>2*$B$12189+$D$13518</f>
        <v/>
      </c>
      <c r="Q13536" s="21">
        <f>0</f>
        <v/>
      </c>
      <c r="R13536" s="21">
        <f>-$B$12189</f>
        <v/>
      </c>
      <c r="S13536" s="21">
        <f>$B$12190</f>
        <v/>
      </c>
      <c r="T13536" s="21" t="n">
        <v>0</v>
      </c>
      <c r="U13536" s="21" t="n">
        <v>0</v>
      </c>
      <c r="V13536" s="21" t="n">
        <v>0</v>
      </c>
      <c r="W13536" s="21" t="n">
        <v>0</v>
      </c>
      <c r="X13536" s="21" t="n">
        <v>0</v>
      </c>
      <c r="Y13536" s="21" t="n">
        <v>0</v>
      </c>
      <c r="Z13536" s="19" t="n"/>
    </row>
    <row r="13537">
      <c r="D13537" s="21" t="n">
        <v>0</v>
      </c>
      <c r="E13537" s="21" t="n">
        <v>0</v>
      </c>
      <c r="F13537" s="21" t="n">
        <v>0</v>
      </c>
      <c r="G13537" s="21" t="n">
        <v>0</v>
      </c>
      <c r="H13537" s="21" t="n">
        <v>0</v>
      </c>
      <c r="I13537" s="21" t="n">
        <v>0</v>
      </c>
      <c r="J13537" s="21" t="n">
        <v>0</v>
      </c>
      <c r="K13537" s="21" t="n">
        <v>0</v>
      </c>
      <c r="L13537" s="21" t="n">
        <v>0</v>
      </c>
      <c r="M13537" s="21" t="n">
        <v>0</v>
      </c>
      <c r="N13537" s="21">
        <f>$B$12190</f>
        <v/>
      </c>
      <c r="O13537" s="21">
        <f>$B$12192</f>
        <v/>
      </c>
      <c r="P13537" s="21">
        <f>0</f>
        <v/>
      </c>
      <c r="Q13537" s="21">
        <f>2*$B$12191</f>
        <v/>
      </c>
      <c r="R13537" s="21">
        <f>-$B$12190</f>
        <v/>
      </c>
      <c r="S13537" s="21">
        <f>$B$12192</f>
        <v/>
      </c>
      <c r="T13537" s="21" t="n">
        <v>0</v>
      </c>
      <c r="U13537" s="21" t="n">
        <v>0</v>
      </c>
      <c r="V13537" s="21" t="n">
        <v>0</v>
      </c>
      <c r="W13537" s="21" t="n">
        <v>0</v>
      </c>
      <c r="X13537" s="21" t="n">
        <v>0</v>
      </c>
      <c r="Y13537" s="21" t="n">
        <v>0</v>
      </c>
      <c r="Z13537" s="19" t="n"/>
    </row>
    <row r="13538">
      <c r="D13538" s="21" t="n">
        <v>0</v>
      </c>
      <c r="E13538" s="21" t="n">
        <v>0</v>
      </c>
      <c r="F13538" s="21" t="n">
        <v>0</v>
      </c>
      <c r="G13538" s="21" t="n">
        <v>0</v>
      </c>
      <c r="H13538" s="21" t="n">
        <v>0</v>
      </c>
      <c r="I13538" s="21" t="n">
        <v>0</v>
      </c>
      <c r="J13538" s="21" t="n">
        <v>0</v>
      </c>
      <c r="K13538" s="21" t="n">
        <v>0</v>
      </c>
      <c r="L13538" s="21" t="n">
        <v>0</v>
      </c>
      <c r="M13538" s="21" t="n">
        <v>0</v>
      </c>
      <c r="N13538" s="21" t="n">
        <v>0</v>
      </c>
      <c r="O13538" s="21" t="n">
        <v>0</v>
      </c>
      <c r="P13538" s="21">
        <f>-$B$12189</f>
        <v/>
      </c>
      <c r="Q13538" s="21">
        <f>-$B$12190</f>
        <v/>
      </c>
      <c r="R13538" s="21">
        <f>2*$B$12189+$D$13519</f>
        <v/>
      </c>
      <c r="S13538" s="21">
        <f>0</f>
        <v/>
      </c>
      <c r="T13538" s="21">
        <f>-$B$12189</f>
        <v/>
      </c>
      <c r="U13538" s="21">
        <f>$B$12190</f>
        <v/>
      </c>
      <c r="V13538" s="21" t="n">
        <v>0</v>
      </c>
      <c r="W13538" s="21" t="n">
        <v>0</v>
      </c>
      <c r="X13538" s="21" t="n">
        <v>0</v>
      </c>
      <c r="Y13538" s="21" t="n">
        <v>0</v>
      </c>
      <c r="Z13538" s="19" t="n"/>
    </row>
    <row r="13539">
      <c r="D13539" s="21" t="n">
        <v>0</v>
      </c>
      <c r="E13539" s="21" t="n">
        <v>0</v>
      </c>
      <c r="F13539" s="21" t="n">
        <v>0</v>
      </c>
      <c r="G13539" s="21" t="n">
        <v>0</v>
      </c>
      <c r="H13539" s="21" t="n">
        <v>0</v>
      </c>
      <c r="I13539" s="21" t="n">
        <v>0</v>
      </c>
      <c r="J13539" s="21" t="n">
        <v>0</v>
      </c>
      <c r="K13539" s="21" t="n">
        <v>0</v>
      </c>
      <c r="L13539" s="21" t="n">
        <v>0</v>
      </c>
      <c r="M13539" s="21" t="n">
        <v>0</v>
      </c>
      <c r="N13539" s="21" t="n">
        <v>0</v>
      </c>
      <c r="O13539" s="21" t="n">
        <v>0</v>
      </c>
      <c r="P13539" s="21">
        <f>$B$12190</f>
        <v/>
      </c>
      <c r="Q13539" s="21">
        <f>$B$12192</f>
        <v/>
      </c>
      <c r="R13539" s="21">
        <f>0</f>
        <v/>
      </c>
      <c r="S13539" s="21">
        <f>2*$B$12191</f>
        <v/>
      </c>
      <c r="T13539" s="21">
        <f>-$B$12190</f>
        <v/>
      </c>
      <c r="U13539" s="21">
        <f>$B$12192</f>
        <v/>
      </c>
      <c r="V13539" s="21" t="n">
        <v>0</v>
      </c>
      <c r="W13539" s="21" t="n">
        <v>0</v>
      </c>
      <c r="X13539" s="21" t="n">
        <v>0</v>
      </c>
      <c r="Y13539" s="21" t="n">
        <v>0</v>
      </c>
      <c r="Z13539" s="19" t="n"/>
    </row>
    <row r="13540">
      <c r="D13540" s="21" t="n">
        <v>0</v>
      </c>
      <c r="E13540" s="21" t="n">
        <v>0</v>
      </c>
      <c r="F13540" s="21" t="n">
        <v>0</v>
      </c>
      <c r="G13540" s="21" t="n">
        <v>0</v>
      </c>
      <c r="H13540" s="21" t="n">
        <v>0</v>
      </c>
      <c r="I13540" s="21" t="n">
        <v>0</v>
      </c>
      <c r="J13540" s="21" t="n">
        <v>0</v>
      </c>
      <c r="K13540" s="21" t="n">
        <v>0</v>
      </c>
      <c r="L13540" s="21" t="n">
        <v>0</v>
      </c>
      <c r="M13540" s="21" t="n">
        <v>0</v>
      </c>
      <c r="N13540" s="21" t="n">
        <v>0</v>
      </c>
      <c r="O13540" s="21" t="n">
        <v>0</v>
      </c>
      <c r="P13540" s="21" t="n">
        <v>0</v>
      </c>
      <c r="Q13540" s="21" t="n">
        <v>0</v>
      </c>
      <c r="R13540" s="21">
        <f>-$B$12189</f>
        <v/>
      </c>
      <c r="S13540" s="21">
        <f>-$B$12190</f>
        <v/>
      </c>
      <c r="T13540" s="21">
        <f>2*$B$12189+$D$13520</f>
        <v/>
      </c>
      <c r="U13540" s="21">
        <f>0</f>
        <v/>
      </c>
      <c r="V13540" s="21">
        <f>-$B$12189</f>
        <v/>
      </c>
      <c r="W13540" s="21">
        <f>$B$12190</f>
        <v/>
      </c>
      <c r="X13540" s="21" t="n">
        <v>0</v>
      </c>
      <c r="Y13540" s="21" t="n">
        <v>0</v>
      </c>
      <c r="Z13540" s="19" t="n"/>
    </row>
    <row r="13541">
      <c r="D13541" s="21" t="n">
        <v>0</v>
      </c>
      <c r="E13541" s="21" t="n">
        <v>0</v>
      </c>
      <c r="F13541" s="21" t="n">
        <v>0</v>
      </c>
      <c r="G13541" s="21" t="n">
        <v>0</v>
      </c>
      <c r="H13541" s="21" t="n">
        <v>0</v>
      </c>
      <c r="I13541" s="21" t="n">
        <v>0</v>
      </c>
      <c r="J13541" s="21" t="n">
        <v>0</v>
      </c>
      <c r="K13541" s="21" t="n">
        <v>0</v>
      </c>
      <c r="L13541" s="21" t="n">
        <v>0</v>
      </c>
      <c r="M13541" s="21" t="n">
        <v>0</v>
      </c>
      <c r="N13541" s="21" t="n">
        <v>0</v>
      </c>
      <c r="O13541" s="21" t="n">
        <v>0</v>
      </c>
      <c r="P13541" s="21" t="n">
        <v>0</v>
      </c>
      <c r="Q13541" s="21" t="n">
        <v>0</v>
      </c>
      <c r="R13541" s="21">
        <f>$B$12190</f>
        <v/>
      </c>
      <c r="S13541" s="21">
        <f>$B$12192</f>
        <v/>
      </c>
      <c r="T13541" s="21">
        <f>0</f>
        <v/>
      </c>
      <c r="U13541" s="21">
        <f>2*$B$12191</f>
        <v/>
      </c>
      <c r="V13541" s="21">
        <f>-$B$12190</f>
        <v/>
      </c>
      <c r="W13541" s="21">
        <f>$B$12192</f>
        <v/>
      </c>
      <c r="X13541" s="21" t="n">
        <v>0</v>
      </c>
      <c r="Y13541" s="21" t="n">
        <v>0</v>
      </c>
      <c r="Z13541" s="19" t="n"/>
    </row>
    <row r="13542">
      <c r="D13542" s="21" t="n">
        <v>0</v>
      </c>
      <c r="E13542" s="21" t="n">
        <v>0</v>
      </c>
      <c r="F13542" s="21" t="n">
        <v>0</v>
      </c>
      <c r="G13542" s="21" t="n">
        <v>0</v>
      </c>
      <c r="H13542" s="21" t="n">
        <v>0</v>
      </c>
      <c r="I13542" s="21" t="n">
        <v>0</v>
      </c>
      <c r="J13542" s="21" t="n">
        <v>0</v>
      </c>
      <c r="K13542" s="21" t="n">
        <v>0</v>
      </c>
      <c r="L13542" s="21" t="n">
        <v>0</v>
      </c>
      <c r="M13542" s="21" t="n">
        <v>0</v>
      </c>
      <c r="N13542" s="21" t="n">
        <v>0</v>
      </c>
      <c r="O13542" s="21" t="n">
        <v>0</v>
      </c>
      <c r="P13542" s="21" t="n">
        <v>0</v>
      </c>
      <c r="Q13542" s="21" t="n">
        <v>0</v>
      </c>
      <c r="R13542" s="21" t="n">
        <v>0</v>
      </c>
      <c r="S13542" s="21" t="n">
        <v>0</v>
      </c>
      <c r="T13542" s="21">
        <f>-$B$12189</f>
        <v/>
      </c>
      <c r="U13542" s="21">
        <f>-$B$12190</f>
        <v/>
      </c>
      <c r="V13542" s="21">
        <f>2*$B$12189+$D$13521</f>
        <v/>
      </c>
      <c r="W13542" s="21">
        <f>0</f>
        <v/>
      </c>
      <c r="X13542" s="21">
        <f>-$B$12189</f>
        <v/>
      </c>
      <c r="Y13542" s="21">
        <f>$B$12190</f>
        <v/>
      </c>
      <c r="Z13542" s="19" t="n"/>
    </row>
    <row r="13543">
      <c r="D13543" s="21" t="n">
        <v>0</v>
      </c>
      <c r="E13543" s="21" t="n">
        <v>0</v>
      </c>
      <c r="F13543" s="21" t="n">
        <v>0</v>
      </c>
      <c r="G13543" s="21" t="n">
        <v>0</v>
      </c>
      <c r="H13543" s="21" t="n">
        <v>0</v>
      </c>
      <c r="I13543" s="21" t="n">
        <v>0</v>
      </c>
      <c r="J13543" s="21" t="n">
        <v>0</v>
      </c>
      <c r="K13543" s="21" t="n">
        <v>0</v>
      </c>
      <c r="L13543" s="21" t="n">
        <v>0</v>
      </c>
      <c r="M13543" s="21" t="n">
        <v>0</v>
      </c>
      <c r="N13543" s="21" t="n">
        <v>0</v>
      </c>
      <c r="O13543" s="21" t="n">
        <v>0</v>
      </c>
      <c r="P13543" s="21" t="n">
        <v>0</v>
      </c>
      <c r="Q13543" s="21" t="n">
        <v>0</v>
      </c>
      <c r="R13543" s="21" t="n">
        <v>0</v>
      </c>
      <c r="S13543" s="21" t="n">
        <v>0</v>
      </c>
      <c r="T13543" s="21">
        <f>$B$12190</f>
        <v/>
      </c>
      <c r="U13543" s="21">
        <f>$B$12192</f>
        <v/>
      </c>
      <c r="V13543" s="21">
        <f>0</f>
        <v/>
      </c>
      <c r="W13543" s="21">
        <f>2*$B$12191</f>
        <v/>
      </c>
      <c r="X13543" s="21">
        <f>-$B$12190</f>
        <v/>
      </c>
      <c r="Y13543" s="21">
        <f>$B$12192</f>
        <v/>
      </c>
      <c r="Z13543" s="19" t="n"/>
    </row>
    <row r="13544">
      <c r="D13544" s="21" t="n">
        <v>0</v>
      </c>
      <c r="E13544" s="21" t="n">
        <v>0</v>
      </c>
      <c r="F13544" s="21" t="n">
        <v>0</v>
      </c>
      <c r="G13544" s="21" t="n">
        <v>0</v>
      </c>
      <c r="H13544" s="21" t="n">
        <v>0</v>
      </c>
      <c r="I13544" s="21" t="n">
        <v>0</v>
      </c>
      <c r="J13544" s="21" t="n">
        <v>0</v>
      </c>
      <c r="K13544" s="21" t="n">
        <v>0</v>
      </c>
      <c r="L13544" s="21" t="n">
        <v>0</v>
      </c>
      <c r="M13544" s="21" t="n">
        <v>0</v>
      </c>
      <c r="N13544" s="21" t="n">
        <v>0</v>
      </c>
      <c r="O13544" s="21" t="n">
        <v>0</v>
      </c>
      <c r="P13544" s="21" t="n">
        <v>0</v>
      </c>
      <c r="Q13544" s="21" t="n">
        <v>0</v>
      </c>
      <c r="R13544" s="21" t="n">
        <v>0</v>
      </c>
      <c r="S13544" s="21" t="n">
        <v>0</v>
      </c>
      <c r="T13544" s="21" t="n">
        <v>0</v>
      </c>
      <c r="U13544" s="21" t="n">
        <v>0</v>
      </c>
      <c r="V13544" s="21">
        <f>-$B$12189</f>
        <v/>
      </c>
      <c r="W13544" s="21">
        <f>-$B$12190</f>
        <v/>
      </c>
      <c r="X13544" s="21">
        <f>$B$12189+$D$13522</f>
        <v/>
      </c>
      <c r="Y13544" s="21">
        <f>-$B$12190</f>
        <v/>
      </c>
      <c r="Z13544" s="19" t="n"/>
    </row>
    <row r="13545">
      <c r="D13545" s="21" t="n">
        <v>0</v>
      </c>
      <c r="E13545" s="21" t="n">
        <v>0</v>
      </c>
      <c r="F13545" s="21" t="n">
        <v>0</v>
      </c>
      <c r="G13545" s="21" t="n">
        <v>0</v>
      </c>
      <c r="H13545" s="21" t="n">
        <v>0</v>
      </c>
      <c r="I13545" s="21" t="n">
        <v>0</v>
      </c>
      <c r="J13545" s="21" t="n">
        <v>0</v>
      </c>
      <c r="K13545" s="21" t="n">
        <v>0</v>
      </c>
      <c r="L13545" s="21" t="n">
        <v>0</v>
      </c>
      <c r="M13545" s="21" t="n">
        <v>0</v>
      </c>
      <c r="N13545" s="21" t="n">
        <v>0</v>
      </c>
      <c r="O13545" s="21" t="n">
        <v>0</v>
      </c>
      <c r="P13545" s="21" t="n">
        <v>0</v>
      </c>
      <c r="Q13545" s="21" t="n">
        <v>0</v>
      </c>
      <c r="R13545" s="21" t="n">
        <v>0</v>
      </c>
      <c r="S13545" s="21" t="n">
        <v>0</v>
      </c>
      <c r="T13545" s="21" t="n">
        <v>0</v>
      </c>
      <c r="U13545" s="21" t="n">
        <v>0</v>
      </c>
      <c r="V13545" s="21">
        <f>$B$12190</f>
        <v/>
      </c>
      <c r="W13545" s="21">
        <f>$B$12192</f>
        <v/>
      </c>
      <c r="X13545" s="21">
        <f>-$B$12190</f>
        <v/>
      </c>
      <c r="Y13545" s="21">
        <f>$B$12191</f>
        <v/>
      </c>
      <c r="Z13545" s="19" t="n"/>
    </row>
    <row r="13547">
      <c r="A13547" s="8" t="inlineStr">
        <is>
          <t>gen 37</t>
        </is>
      </c>
    </row>
    <row r="13548">
      <c r="D13548" s="19">
        <f>IF(ABS(IF(ABS($E$13512)&gt;0.000000001,$E$13512,0.000000001))=0,0,IF($E$12204&lt;=$B$12198,0,IF(ABS(IF(ABS($E$13512)&gt;0.000000001,$E$13512,0.000000001))&gt;=8*$B$12200,$H$12204,0.5*$H$12204*(ABS(IF(ABS($E$13512)&gt;0.000000001,$E$13512,0.000000001))/$B$12200)^(1/3)))/ABS(IF(ABS($E$13512)&gt;0.000000001,$E$13512,0.000000001))*$I$12204)</f>
        <v/>
      </c>
      <c r="E13548" s="19">
        <f>0.5*$E$13512+0.5*$Z$13560</f>
        <v/>
      </c>
      <c r="F13548" s="19">
        <f>$Z$13561</f>
        <v/>
      </c>
    </row>
    <row r="13549">
      <c r="D13549" s="19">
        <f>IF(ABS(IF(ABS($E$13513)&gt;0.000000001,$E$13513,0.000000001))=0,0,IF($E$12205&lt;=$B$12198,0,IF(ABS(IF(ABS($E$13513)&gt;0.000000001,$E$13513,0.000000001))&gt;=8*$B$12200,$H$12205,0.5*$H$12205*(ABS(IF(ABS($E$13513)&gt;0.000000001,$E$13513,0.000000001))/$B$12200)^(1/3)))/ABS(IF(ABS($E$13513)&gt;0.000000001,$E$13513,0.000000001))*$I$12205)</f>
        <v/>
      </c>
      <c r="E13549" s="19">
        <f>0.5*$E$13513+0.5*$Z$13562</f>
        <v/>
      </c>
      <c r="F13549" s="19">
        <f>$Z$13563</f>
        <v/>
      </c>
    </row>
    <row r="13550">
      <c r="D13550" s="19">
        <f>IF(ABS(IF(ABS($E$13514)&gt;0.000000001,$E$13514,0.000000001))=0,0,IF($E$12206&lt;=$B$12198,0,IF(ABS(IF(ABS($E$13514)&gt;0.000000001,$E$13514,0.000000001))&gt;=8*$B$12200,$H$12206,0.5*$H$12206*(ABS(IF(ABS($E$13514)&gt;0.000000001,$E$13514,0.000000001))/$B$12200)^(1/3)))/ABS(IF(ABS($E$13514)&gt;0.000000001,$E$13514,0.000000001))*$I$12206)</f>
        <v/>
      </c>
      <c r="E13550" s="19">
        <f>0.5*$E$13514+0.5*$Z$13564</f>
        <v/>
      </c>
      <c r="F13550" s="19">
        <f>$Z$13565</f>
        <v/>
      </c>
    </row>
    <row r="13551">
      <c r="D13551" s="19">
        <f>IF(ABS(IF(ABS($E$13515)&gt;0.000000001,$E$13515,0.000000001))=0,0,IF($E$12207&lt;=$B$12198,0,IF(ABS(IF(ABS($E$13515)&gt;0.000000001,$E$13515,0.000000001))&gt;=8*$B$12200,$H$12207,0.5*$H$12207*(ABS(IF(ABS($E$13515)&gt;0.000000001,$E$13515,0.000000001))/$B$12200)^(1/3)))/ABS(IF(ABS($E$13515)&gt;0.000000001,$E$13515,0.000000001))*$I$12207)</f>
        <v/>
      </c>
      <c r="E13551" s="19">
        <f>0.5*$E$13515+0.5*$Z$13566</f>
        <v/>
      </c>
      <c r="F13551" s="19">
        <f>$Z$13567</f>
        <v/>
      </c>
    </row>
    <row r="13552">
      <c r="D13552" s="19">
        <f>IF(ABS(IF(ABS($E$13516)&gt;0.000000001,$E$13516,0.000000001))=0,0,IF($E$12208&lt;=$B$12198,0,IF(ABS(IF(ABS($E$13516)&gt;0.000000001,$E$13516,0.000000001))&gt;=8*$B$12200,$H$12208,0.5*$H$12208*(ABS(IF(ABS($E$13516)&gt;0.000000001,$E$13516,0.000000001))/$B$12200)^(1/3)))/ABS(IF(ABS($E$13516)&gt;0.000000001,$E$13516,0.000000001))*$I$12208)</f>
        <v/>
      </c>
      <c r="E13552" s="19">
        <f>0.5*$E$13516+0.5*$Z$13568</f>
        <v/>
      </c>
      <c r="F13552" s="19">
        <f>$Z$13569</f>
        <v/>
      </c>
    </row>
    <row r="13553">
      <c r="D13553" s="19">
        <f>IF(ABS(IF(ABS($E$13517)&gt;0.000000001,$E$13517,0.000000001))=0,0,IF($E$12209&lt;=$B$12198,0,IF(ABS(IF(ABS($E$13517)&gt;0.000000001,$E$13517,0.000000001))&gt;=8*$B$12200,$H$12209,0.5*$H$12209*(ABS(IF(ABS($E$13517)&gt;0.000000001,$E$13517,0.000000001))/$B$12200)^(1/3)))/ABS(IF(ABS($E$13517)&gt;0.000000001,$E$13517,0.000000001))*$I$12209)</f>
        <v/>
      </c>
      <c r="E13553" s="19">
        <f>0.5*$E$13517+0.5*$Z$13570</f>
        <v/>
      </c>
      <c r="F13553" s="19">
        <f>$Z$13571</f>
        <v/>
      </c>
    </row>
    <row r="13554">
      <c r="D13554" s="19">
        <f>IF(ABS(IF(ABS($E$13518)&gt;0.000000001,$E$13518,0.000000001))=0,0,IF($E$12210&lt;=$B$12198,0,IF(ABS(IF(ABS($E$13518)&gt;0.000000001,$E$13518,0.000000001))&gt;=8*$B$12200,$H$12210,0.5*$H$12210*(ABS(IF(ABS($E$13518)&gt;0.000000001,$E$13518,0.000000001))/$B$12200)^(1/3)))/ABS(IF(ABS($E$13518)&gt;0.000000001,$E$13518,0.000000001))*$I$12210)</f>
        <v/>
      </c>
      <c r="E13554" s="19">
        <f>0.5*$E$13518+0.5*$Z$13572</f>
        <v/>
      </c>
      <c r="F13554" s="19">
        <f>$Z$13573</f>
        <v/>
      </c>
    </row>
    <row r="13555">
      <c r="D13555" s="19">
        <f>IF(ABS(IF(ABS($E$13519)&gt;0.000000001,$E$13519,0.000000001))=0,0,IF($E$12211&lt;=$B$12198,0,IF(ABS(IF(ABS($E$13519)&gt;0.000000001,$E$13519,0.000000001))&gt;=8*$B$12200,$H$12211,0.5*$H$12211*(ABS(IF(ABS($E$13519)&gt;0.000000001,$E$13519,0.000000001))/$B$12200)^(1/3)))/ABS(IF(ABS($E$13519)&gt;0.000000001,$E$13519,0.000000001))*$I$12211)</f>
        <v/>
      </c>
      <c r="E13555" s="19">
        <f>0.5*$E$13519+0.5*$Z$13574</f>
        <v/>
      </c>
      <c r="F13555" s="19">
        <f>$Z$13575</f>
        <v/>
      </c>
    </row>
    <row r="13556">
      <c r="D13556" s="19">
        <f>IF(ABS(IF(ABS($E$13520)&gt;0.000000001,$E$13520,0.000000001))=0,0,IF($E$12212&lt;=$B$12198,0,IF(ABS(IF(ABS($E$13520)&gt;0.000000001,$E$13520,0.000000001))&gt;=8*$B$12200,$H$12212,0.5*$H$12212*(ABS(IF(ABS($E$13520)&gt;0.000000001,$E$13520,0.000000001))/$B$12200)^(1/3)))/ABS(IF(ABS($E$13520)&gt;0.000000001,$E$13520,0.000000001))*$I$12212)</f>
        <v/>
      </c>
      <c r="E13556" s="19">
        <f>0.5*$E$13520+0.5*$Z$13576</f>
        <v/>
      </c>
      <c r="F13556" s="19">
        <f>$Z$13577</f>
        <v/>
      </c>
    </row>
    <row r="13557">
      <c r="D13557" s="19">
        <f>IF(ABS(IF(ABS($E$13521)&gt;0.000000001,$E$13521,0.000000001))=0,0,IF($E$12213&lt;=$B$12198,0,IF(ABS(IF(ABS($E$13521)&gt;0.000000001,$E$13521,0.000000001))&gt;=8*$B$12200,$H$12213,0.5*$H$12213*(ABS(IF(ABS($E$13521)&gt;0.000000001,$E$13521,0.000000001))/$B$12200)^(1/3)))/ABS(IF(ABS($E$13521)&gt;0.000000001,$E$13521,0.000000001))*$I$12213)</f>
        <v/>
      </c>
      <c r="E13557" s="19">
        <f>0.5*$E$13521+0.5*$Z$13578</f>
        <v/>
      </c>
      <c r="F13557" s="19">
        <f>$Z$13579</f>
        <v/>
      </c>
    </row>
    <row r="13558">
      <c r="D13558" s="19">
        <f>IF(ABS(IF(ABS($E$13522)&gt;0.000000001,$E$13522,0.000000001))=0,0,IF($E$12214&lt;=$B$12198,0,IF(ABS(IF(ABS($E$13522)&gt;0.000000001,$E$13522,0.000000001))&gt;=8*$B$12200,$H$12214,0.5*$H$12214*(ABS(IF(ABS($E$13522)&gt;0.000000001,$E$13522,0.000000001))/$B$12200)^(1/3)))/ABS(IF(ABS($E$13522)&gt;0.000000001,$E$13522,0.000000001))*$I$12214)</f>
        <v/>
      </c>
      <c r="E13558" s="19">
        <f>0.5*$E$13522+0.5*$Z$13580</f>
        <v/>
      </c>
      <c r="F13558" s="19">
        <f>$Z$13581</f>
        <v/>
      </c>
    </row>
    <row r="13560">
      <c r="D13560" s="21">
        <f>$B$12189+$D$13548</f>
        <v/>
      </c>
      <c r="E13560" s="21">
        <f>$B$12190</f>
        <v/>
      </c>
      <c r="F13560" s="21">
        <f>-$B$12189</f>
        <v/>
      </c>
      <c r="G13560" s="21">
        <f>$B$12190</f>
        <v/>
      </c>
      <c r="H13560" s="21" t="n">
        <v>0</v>
      </c>
      <c r="I13560" s="21" t="n">
        <v>0</v>
      </c>
      <c r="J13560" s="21" t="n">
        <v>0</v>
      </c>
      <c r="K13560" s="21" t="n">
        <v>0</v>
      </c>
      <c r="L13560" s="21" t="n">
        <v>0</v>
      </c>
      <c r="M13560" s="21" t="n">
        <v>0</v>
      </c>
      <c r="N13560" s="21" t="n">
        <v>0</v>
      </c>
      <c r="O13560" s="21" t="n">
        <v>0</v>
      </c>
      <c r="P13560" s="21" t="n">
        <v>0</v>
      </c>
      <c r="Q13560" s="21" t="n">
        <v>0</v>
      </c>
      <c r="R13560" s="21" t="n">
        <v>0</v>
      </c>
      <c r="S13560" s="21" t="n">
        <v>0</v>
      </c>
      <c r="T13560" s="21" t="n">
        <v>0</v>
      </c>
      <c r="U13560" s="21" t="n">
        <v>0</v>
      </c>
      <c r="V13560" s="21" t="n">
        <v>0</v>
      </c>
      <c r="W13560" s="21" t="n">
        <v>0</v>
      </c>
      <c r="X13560" s="21" t="n">
        <v>0</v>
      </c>
      <c r="Y13560" s="21" t="n">
        <v>0</v>
      </c>
      <c r="Z13560" s="19">
        <f t="array" ref="Z13560:Z13581">MMULT(MINVERSE($D$13560:$Y$13581),$D$12216:$D$12237)</f>
        <v/>
      </c>
    </row>
    <row r="13561">
      <c r="D13561" s="21">
        <f>$B$12190</f>
        <v/>
      </c>
      <c r="E13561" s="21">
        <f>$B$12191</f>
        <v/>
      </c>
      <c r="F13561" s="21">
        <f>-$B$12190</f>
        <v/>
      </c>
      <c r="G13561" s="21">
        <f>$B$12192</f>
        <v/>
      </c>
      <c r="H13561" s="21" t="n">
        <v>0</v>
      </c>
      <c r="I13561" s="21" t="n">
        <v>0</v>
      </c>
      <c r="J13561" s="21" t="n">
        <v>0</v>
      </c>
      <c r="K13561" s="21" t="n">
        <v>0</v>
      </c>
      <c r="L13561" s="21" t="n">
        <v>0</v>
      </c>
      <c r="M13561" s="21" t="n">
        <v>0</v>
      </c>
      <c r="N13561" s="21" t="n">
        <v>0</v>
      </c>
      <c r="O13561" s="21" t="n">
        <v>0</v>
      </c>
      <c r="P13561" s="21" t="n">
        <v>0</v>
      </c>
      <c r="Q13561" s="21" t="n">
        <v>0</v>
      </c>
      <c r="R13561" s="21" t="n">
        <v>0</v>
      </c>
      <c r="S13561" s="21" t="n">
        <v>0</v>
      </c>
      <c r="T13561" s="21" t="n">
        <v>0</v>
      </c>
      <c r="U13561" s="21" t="n">
        <v>0</v>
      </c>
      <c r="V13561" s="21" t="n">
        <v>0</v>
      </c>
      <c r="W13561" s="21" t="n">
        <v>0</v>
      </c>
      <c r="X13561" s="21" t="n">
        <v>0</v>
      </c>
      <c r="Y13561" s="21" t="n">
        <v>0</v>
      </c>
      <c r="Z13561" s="19" t="n"/>
    </row>
    <row r="13562">
      <c r="D13562" s="21">
        <f>-$B$12189</f>
        <v/>
      </c>
      <c r="E13562" s="21">
        <f>-$B$12190</f>
        <v/>
      </c>
      <c r="F13562" s="21">
        <f>2*$B$12189+$D$13549</f>
        <v/>
      </c>
      <c r="G13562" s="21">
        <f>0</f>
        <v/>
      </c>
      <c r="H13562" s="21">
        <f>-$B$12189</f>
        <v/>
      </c>
      <c r="I13562" s="21">
        <f>$B$12190</f>
        <v/>
      </c>
      <c r="J13562" s="21" t="n">
        <v>0</v>
      </c>
      <c r="K13562" s="21" t="n">
        <v>0</v>
      </c>
      <c r="L13562" s="21" t="n">
        <v>0</v>
      </c>
      <c r="M13562" s="21" t="n">
        <v>0</v>
      </c>
      <c r="N13562" s="21" t="n">
        <v>0</v>
      </c>
      <c r="O13562" s="21" t="n">
        <v>0</v>
      </c>
      <c r="P13562" s="21" t="n">
        <v>0</v>
      </c>
      <c r="Q13562" s="21" t="n">
        <v>0</v>
      </c>
      <c r="R13562" s="21" t="n">
        <v>0</v>
      </c>
      <c r="S13562" s="21" t="n">
        <v>0</v>
      </c>
      <c r="T13562" s="21" t="n">
        <v>0</v>
      </c>
      <c r="U13562" s="21" t="n">
        <v>0</v>
      </c>
      <c r="V13562" s="21" t="n">
        <v>0</v>
      </c>
      <c r="W13562" s="21" t="n">
        <v>0</v>
      </c>
      <c r="X13562" s="21" t="n">
        <v>0</v>
      </c>
      <c r="Y13562" s="21" t="n">
        <v>0</v>
      </c>
      <c r="Z13562" s="19" t="n"/>
    </row>
    <row r="13563">
      <c r="D13563" s="21">
        <f>$B$12190</f>
        <v/>
      </c>
      <c r="E13563" s="21">
        <f>$B$12192</f>
        <v/>
      </c>
      <c r="F13563" s="21">
        <f>0</f>
        <v/>
      </c>
      <c r="G13563" s="21">
        <f>2*$B$12191</f>
        <v/>
      </c>
      <c r="H13563" s="21">
        <f>-$B$12190</f>
        <v/>
      </c>
      <c r="I13563" s="21">
        <f>$B$12192</f>
        <v/>
      </c>
      <c r="J13563" s="21" t="n">
        <v>0</v>
      </c>
      <c r="K13563" s="21" t="n">
        <v>0</v>
      </c>
      <c r="L13563" s="21" t="n">
        <v>0</v>
      </c>
      <c r="M13563" s="21" t="n">
        <v>0</v>
      </c>
      <c r="N13563" s="21" t="n">
        <v>0</v>
      </c>
      <c r="O13563" s="21" t="n">
        <v>0</v>
      </c>
      <c r="P13563" s="21" t="n">
        <v>0</v>
      </c>
      <c r="Q13563" s="21" t="n">
        <v>0</v>
      </c>
      <c r="R13563" s="21" t="n">
        <v>0</v>
      </c>
      <c r="S13563" s="21" t="n">
        <v>0</v>
      </c>
      <c r="T13563" s="21" t="n">
        <v>0</v>
      </c>
      <c r="U13563" s="21" t="n">
        <v>0</v>
      </c>
      <c r="V13563" s="21" t="n">
        <v>0</v>
      </c>
      <c r="W13563" s="21" t="n">
        <v>0</v>
      </c>
      <c r="X13563" s="21" t="n">
        <v>0</v>
      </c>
      <c r="Y13563" s="21" t="n">
        <v>0</v>
      </c>
      <c r="Z13563" s="19" t="n"/>
    </row>
    <row r="13564">
      <c r="D13564" s="21" t="n">
        <v>0</v>
      </c>
      <c r="E13564" s="21" t="n">
        <v>0</v>
      </c>
      <c r="F13564" s="21">
        <f>-$B$12189</f>
        <v/>
      </c>
      <c r="G13564" s="21">
        <f>-$B$12190</f>
        <v/>
      </c>
      <c r="H13564" s="21">
        <f>2*$B$12189+$D$13550</f>
        <v/>
      </c>
      <c r="I13564" s="21">
        <f>0</f>
        <v/>
      </c>
      <c r="J13564" s="21">
        <f>-$B$12189</f>
        <v/>
      </c>
      <c r="K13564" s="21">
        <f>$B$12190</f>
        <v/>
      </c>
      <c r="L13564" s="21" t="n">
        <v>0</v>
      </c>
      <c r="M13564" s="21" t="n">
        <v>0</v>
      </c>
      <c r="N13564" s="21" t="n">
        <v>0</v>
      </c>
      <c r="O13564" s="21" t="n">
        <v>0</v>
      </c>
      <c r="P13564" s="21" t="n">
        <v>0</v>
      </c>
      <c r="Q13564" s="21" t="n">
        <v>0</v>
      </c>
      <c r="R13564" s="21" t="n">
        <v>0</v>
      </c>
      <c r="S13564" s="21" t="n">
        <v>0</v>
      </c>
      <c r="T13564" s="21" t="n">
        <v>0</v>
      </c>
      <c r="U13564" s="21" t="n">
        <v>0</v>
      </c>
      <c r="V13564" s="21" t="n">
        <v>0</v>
      </c>
      <c r="W13564" s="21" t="n">
        <v>0</v>
      </c>
      <c r="X13564" s="21" t="n">
        <v>0</v>
      </c>
      <c r="Y13564" s="21" t="n">
        <v>0</v>
      </c>
      <c r="Z13564" s="19" t="n"/>
    </row>
    <row r="13565">
      <c r="D13565" s="21" t="n">
        <v>0</v>
      </c>
      <c r="E13565" s="21" t="n">
        <v>0</v>
      </c>
      <c r="F13565" s="21">
        <f>$B$12190</f>
        <v/>
      </c>
      <c r="G13565" s="21">
        <f>$B$12192</f>
        <v/>
      </c>
      <c r="H13565" s="21">
        <f>0</f>
        <v/>
      </c>
      <c r="I13565" s="21">
        <f>2*$B$12191</f>
        <v/>
      </c>
      <c r="J13565" s="21">
        <f>-$B$12190</f>
        <v/>
      </c>
      <c r="K13565" s="21">
        <f>$B$12192</f>
        <v/>
      </c>
      <c r="L13565" s="21" t="n">
        <v>0</v>
      </c>
      <c r="M13565" s="21" t="n">
        <v>0</v>
      </c>
      <c r="N13565" s="21" t="n">
        <v>0</v>
      </c>
      <c r="O13565" s="21" t="n">
        <v>0</v>
      </c>
      <c r="P13565" s="21" t="n">
        <v>0</v>
      </c>
      <c r="Q13565" s="21" t="n">
        <v>0</v>
      </c>
      <c r="R13565" s="21" t="n">
        <v>0</v>
      </c>
      <c r="S13565" s="21" t="n">
        <v>0</v>
      </c>
      <c r="T13565" s="21" t="n">
        <v>0</v>
      </c>
      <c r="U13565" s="21" t="n">
        <v>0</v>
      </c>
      <c r="V13565" s="21" t="n">
        <v>0</v>
      </c>
      <c r="W13565" s="21" t="n">
        <v>0</v>
      </c>
      <c r="X13565" s="21" t="n">
        <v>0</v>
      </c>
      <c r="Y13565" s="21" t="n">
        <v>0</v>
      </c>
      <c r="Z13565" s="19" t="n"/>
    </row>
    <row r="13566">
      <c r="D13566" s="21" t="n">
        <v>0</v>
      </c>
      <c r="E13566" s="21" t="n">
        <v>0</v>
      </c>
      <c r="F13566" s="21" t="n">
        <v>0</v>
      </c>
      <c r="G13566" s="21" t="n">
        <v>0</v>
      </c>
      <c r="H13566" s="21">
        <f>-$B$12189</f>
        <v/>
      </c>
      <c r="I13566" s="21">
        <f>-$B$12190</f>
        <v/>
      </c>
      <c r="J13566" s="21">
        <f>2*$B$12189+$D$13551</f>
        <v/>
      </c>
      <c r="K13566" s="21">
        <f>0</f>
        <v/>
      </c>
      <c r="L13566" s="21">
        <f>-$B$12189</f>
        <v/>
      </c>
      <c r="M13566" s="21">
        <f>$B$12190</f>
        <v/>
      </c>
      <c r="N13566" s="21" t="n">
        <v>0</v>
      </c>
      <c r="O13566" s="21" t="n">
        <v>0</v>
      </c>
      <c r="P13566" s="21" t="n">
        <v>0</v>
      </c>
      <c r="Q13566" s="21" t="n">
        <v>0</v>
      </c>
      <c r="R13566" s="21" t="n">
        <v>0</v>
      </c>
      <c r="S13566" s="21" t="n">
        <v>0</v>
      </c>
      <c r="T13566" s="21" t="n">
        <v>0</v>
      </c>
      <c r="U13566" s="21" t="n">
        <v>0</v>
      </c>
      <c r="V13566" s="21" t="n">
        <v>0</v>
      </c>
      <c r="W13566" s="21" t="n">
        <v>0</v>
      </c>
      <c r="X13566" s="21" t="n">
        <v>0</v>
      </c>
      <c r="Y13566" s="21" t="n">
        <v>0</v>
      </c>
      <c r="Z13566" s="19" t="n"/>
    </row>
    <row r="13567">
      <c r="D13567" s="21" t="n">
        <v>0</v>
      </c>
      <c r="E13567" s="21" t="n">
        <v>0</v>
      </c>
      <c r="F13567" s="21" t="n">
        <v>0</v>
      </c>
      <c r="G13567" s="21" t="n">
        <v>0</v>
      </c>
      <c r="H13567" s="21">
        <f>$B$12190</f>
        <v/>
      </c>
      <c r="I13567" s="21">
        <f>$B$12192</f>
        <v/>
      </c>
      <c r="J13567" s="21">
        <f>0</f>
        <v/>
      </c>
      <c r="K13567" s="21">
        <f>2*$B$12191</f>
        <v/>
      </c>
      <c r="L13567" s="21">
        <f>-$B$12190</f>
        <v/>
      </c>
      <c r="M13567" s="21">
        <f>$B$12192</f>
        <v/>
      </c>
      <c r="N13567" s="21" t="n">
        <v>0</v>
      </c>
      <c r="O13567" s="21" t="n">
        <v>0</v>
      </c>
      <c r="P13567" s="21" t="n">
        <v>0</v>
      </c>
      <c r="Q13567" s="21" t="n">
        <v>0</v>
      </c>
      <c r="R13567" s="21" t="n">
        <v>0</v>
      </c>
      <c r="S13567" s="21" t="n">
        <v>0</v>
      </c>
      <c r="T13567" s="21" t="n">
        <v>0</v>
      </c>
      <c r="U13567" s="21" t="n">
        <v>0</v>
      </c>
      <c r="V13567" s="21" t="n">
        <v>0</v>
      </c>
      <c r="W13567" s="21" t="n">
        <v>0</v>
      </c>
      <c r="X13567" s="21" t="n">
        <v>0</v>
      </c>
      <c r="Y13567" s="21" t="n">
        <v>0</v>
      </c>
      <c r="Z13567" s="19" t="n"/>
    </row>
    <row r="13568">
      <c r="D13568" s="21" t="n">
        <v>0</v>
      </c>
      <c r="E13568" s="21" t="n">
        <v>0</v>
      </c>
      <c r="F13568" s="21" t="n">
        <v>0</v>
      </c>
      <c r="G13568" s="21" t="n">
        <v>0</v>
      </c>
      <c r="H13568" s="21" t="n">
        <v>0</v>
      </c>
      <c r="I13568" s="21" t="n">
        <v>0</v>
      </c>
      <c r="J13568" s="21">
        <f>-$B$12189</f>
        <v/>
      </c>
      <c r="K13568" s="21">
        <f>-$B$12190</f>
        <v/>
      </c>
      <c r="L13568" s="21">
        <f>2*$B$12189+$D$13552</f>
        <v/>
      </c>
      <c r="M13568" s="21">
        <f>0</f>
        <v/>
      </c>
      <c r="N13568" s="21">
        <f>-$B$12189</f>
        <v/>
      </c>
      <c r="O13568" s="21">
        <f>$B$12190</f>
        <v/>
      </c>
      <c r="P13568" s="21" t="n">
        <v>0</v>
      </c>
      <c r="Q13568" s="21" t="n">
        <v>0</v>
      </c>
      <c r="R13568" s="21" t="n">
        <v>0</v>
      </c>
      <c r="S13568" s="21" t="n">
        <v>0</v>
      </c>
      <c r="T13568" s="21" t="n">
        <v>0</v>
      </c>
      <c r="U13568" s="21" t="n">
        <v>0</v>
      </c>
      <c r="V13568" s="21" t="n">
        <v>0</v>
      </c>
      <c r="W13568" s="21" t="n">
        <v>0</v>
      </c>
      <c r="X13568" s="21" t="n">
        <v>0</v>
      </c>
      <c r="Y13568" s="21" t="n">
        <v>0</v>
      </c>
      <c r="Z13568" s="19" t="n"/>
    </row>
    <row r="13569">
      <c r="D13569" s="21" t="n">
        <v>0</v>
      </c>
      <c r="E13569" s="21" t="n">
        <v>0</v>
      </c>
      <c r="F13569" s="21" t="n">
        <v>0</v>
      </c>
      <c r="G13569" s="21" t="n">
        <v>0</v>
      </c>
      <c r="H13569" s="21" t="n">
        <v>0</v>
      </c>
      <c r="I13569" s="21" t="n">
        <v>0</v>
      </c>
      <c r="J13569" s="21">
        <f>$B$12190</f>
        <v/>
      </c>
      <c r="K13569" s="21">
        <f>$B$12192</f>
        <v/>
      </c>
      <c r="L13569" s="21">
        <f>0</f>
        <v/>
      </c>
      <c r="M13569" s="21">
        <f>2*$B$12191</f>
        <v/>
      </c>
      <c r="N13569" s="21">
        <f>-$B$12190</f>
        <v/>
      </c>
      <c r="O13569" s="21">
        <f>$B$12192</f>
        <v/>
      </c>
      <c r="P13569" s="21" t="n">
        <v>0</v>
      </c>
      <c r="Q13569" s="21" t="n">
        <v>0</v>
      </c>
      <c r="R13569" s="21" t="n">
        <v>0</v>
      </c>
      <c r="S13569" s="21" t="n">
        <v>0</v>
      </c>
      <c r="T13569" s="21" t="n">
        <v>0</v>
      </c>
      <c r="U13569" s="21" t="n">
        <v>0</v>
      </c>
      <c r="V13569" s="21" t="n">
        <v>0</v>
      </c>
      <c r="W13569" s="21" t="n">
        <v>0</v>
      </c>
      <c r="X13569" s="21" t="n">
        <v>0</v>
      </c>
      <c r="Y13569" s="21" t="n">
        <v>0</v>
      </c>
      <c r="Z13569" s="19" t="n"/>
    </row>
    <row r="13570">
      <c r="D13570" s="21" t="n">
        <v>0</v>
      </c>
      <c r="E13570" s="21" t="n">
        <v>0</v>
      </c>
      <c r="F13570" s="21" t="n">
        <v>0</v>
      </c>
      <c r="G13570" s="21" t="n">
        <v>0</v>
      </c>
      <c r="H13570" s="21" t="n">
        <v>0</v>
      </c>
      <c r="I13570" s="21" t="n">
        <v>0</v>
      </c>
      <c r="J13570" s="21" t="n">
        <v>0</v>
      </c>
      <c r="K13570" s="21" t="n">
        <v>0</v>
      </c>
      <c r="L13570" s="21">
        <f>-$B$12189</f>
        <v/>
      </c>
      <c r="M13570" s="21">
        <f>-$B$12190</f>
        <v/>
      </c>
      <c r="N13570" s="21">
        <f>2*$B$12189+$D$13553</f>
        <v/>
      </c>
      <c r="O13570" s="21">
        <f>0</f>
        <v/>
      </c>
      <c r="P13570" s="21">
        <f>-$B$12189</f>
        <v/>
      </c>
      <c r="Q13570" s="21">
        <f>$B$12190</f>
        <v/>
      </c>
      <c r="R13570" s="21" t="n">
        <v>0</v>
      </c>
      <c r="S13570" s="21" t="n">
        <v>0</v>
      </c>
      <c r="T13570" s="21" t="n">
        <v>0</v>
      </c>
      <c r="U13570" s="21" t="n">
        <v>0</v>
      </c>
      <c r="V13570" s="21" t="n">
        <v>0</v>
      </c>
      <c r="W13570" s="21" t="n">
        <v>0</v>
      </c>
      <c r="X13570" s="21" t="n">
        <v>0</v>
      </c>
      <c r="Y13570" s="21" t="n">
        <v>0</v>
      </c>
      <c r="Z13570" s="19" t="n"/>
    </row>
    <row r="13571">
      <c r="D13571" s="21" t="n">
        <v>0</v>
      </c>
      <c r="E13571" s="21" t="n">
        <v>0</v>
      </c>
      <c r="F13571" s="21" t="n">
        <v>0</v>
      </c>
      <c r="G13571" s="21" t="n">
        <v>0</v>
      </c>
      <c r="H13571" s="21" t="n">
        <v>0</v>
      </c>
      <c r="I13571" s="21" t="n">
        <v>0</v>
      </c>
      <c r="J13571" s="21" t="n">
        <v>0</v>
      </c>
      <c r="K13571" s="21" t="n">
        <v>0</v>
      </c>
      <c r="L13571" s="21">
        <f>$B$12190</f>
        <v/>
      </c>
      <c r="M13571" s="21">
        <f>$B$12192</f>
        <v/>
      </c>
      <c r="N13571" s="21">
        <f>0</f>
        <v/>
      </c>
      <c r="O13571" s="21">
        <f>2*$B$12191</f>
        <v/>
      </c>
      <c r="P13571" s="21">
        <f>-$B$12190</f>
        <v/>
      </c>
      <c r="Q13571" s="21">
        <f>$B$12192</f>
        <v/>
      </c>
      <c r="R13571" s="21" t="n">
        <v>0</v>
      </c>
      <c r="S13571" s="21" t="n">
        <v>0</v>
      </c>
      <c r="T13571" s="21" t="n">
        <v>0</v>
      </c>
      <c r="U13571" s="21" t="n">
        <v>0</v>
      </c>
      <c r="V13571" s="21" t="n">
        <v>0</v>
      </c>
      <c r="W13571" s="21" t="n">
        <v>0</v>
      </c>
      <c r="X13571" s="21" t="n">
        <v>0</v>
      </c>
      <c r="Y13571" s="21" t="n">
        <v>0</v>
      </c>
      <c r="Z13571" s="19" t="n"/>
    </row>
    <row r="13572">
      <c r="D13572" s="21" t="n">
        <v>0</v>
      </c>
      <c r="E13572" s="21" t="n">
        <v>0</v>
      </c>
      <c r="F13572" s="21" t="n">
        <v>0</v>
      </c>
      <c r="G13572" s="21" t="n">
        <v>0</v>
      </c>
      <c r="H13572" s="21" t="n">
        <v>0</v>
      </c>
      <c r="I13572" s="21" t="n">
        <v>0</v>
      </c>
      <c r="J13572" s="21" t="n">
        <v>0</v>
      </c>
      <c r="K13572" s="21" t="n">
        <v>0</v>
      </c>
      <c r="L13572" s="21" t="n">
        <v>0</v>
      </c>
      <c r="M13572" s="21" t="n">
        <v>0</v>
      </c>
      <c r="N13572" s="21">
        <f>-$B$12189</f>
        <v/>
      </c>
      <c r="O13572" s="21">
        <f>-$B$12190</f>
        <v/>
      </c>
      <c r="P13572" s="21">
        <f>2*$B$12189+$D$13554</f>
        <v/>
      </c>
      <c r="Q13572" s="21">
        <f>0</f>
        <v/>
      </c>
      <c r="R13572" s="21">
        <f>-$B$12189</f>
        <v/>
      </c>
      <c r="S13572" s="21">
        <f>$B$12190</f>
        <v/>
      </c>
      <c r="T13572" s="21" t="n">
        <v>0</v>
      </c>
      <c r="U13572" s="21" t="n">
        <v>0</v>
      </c>
      <c r="V13572" s="21" t="n">
        <v>0</v>
      </c>
      <c r="W13572" s="21" t="n">
        <v>0</v>
      </c>
      <c r="X13572" s="21" t="n">
        <v>0</v>
      </c>
      <c r="Y13572" s="21" t="n">
        <v>0</v>
      </c>
      <c r="Z13572" s="19" t="n"/>
    </row>
    <row r="13573">
      <c r="D13573" s="21" t="n">
        <v>0</v>
      </c>
      <c r="E13573" s="21" t="n">
        <v>0</v>
      </c>
      <c r="F13573" s="21" t="n">
        <v>0</v>
      </c>
      <c r="G13573" s="21" t="n">
        <v>0</v>
      </c>
      <c r="H13573" s="21" t="n">
        <v>0</v>
      </c>
      <c r="I13573" s="21" t="n">
        <v>0</v>
      </c>
      <c r="J13573" s="21" t="n">
        <v>0</v>
      </c>
      <c r="K13573" s="21" t="n">
        <v>0</v>
      </c>
      <c r="L13573" s="21" t="n">
        <v>0</v>
      </c>
      <c r="M13573" s="21" t="n">
        <v>0</v>
      </c>
      <c r="N13573" s="21">
        <f>$B$12190</f>
        <v/>
      </c>
      <c r="O13573" s="21">
        <f>$B$12192</f>
        <v/>
      </c>
      <c r="P13573" s="21">
        <f>0</f>
        <v/>
      </c>
      <c r="Q13573" s="21">
        <f>2*$B$12191</f>
        <v/>
      </c>
      <c r="R13573" s="21">
        <f>-$B$12190</f>
        <v/>
      </c>
      <c r="S13573" s="21">
        <f>$B$12192</f>
        <v/>
      </c>
      <c r="T13573" s="21" t="n">
        <v>0</v>
      </c>
      <c r="U13573" s="21" t="n">
        <v>0</v>
      </c>
      <c r="V13573" s="21" t="n">
        <v>0</v>
      </c>
      <c r="W13573" s="21" t="n">
        <v>0</v>
      </c>
      <c r="X13573" s="21" t="n">
        <v>0</v>
      </c>
      <c r="Y13573" s="21" t="n">
        <v>0</v>
      </c>
      <c r="Z13573" s="19" t="n"/>
    </row>
    <row r="13574">
      <c r="D13574" s="21" t="n">
        <v>0</v>
      </c>
      <c r="E13574" s="21" t="n">
        <v>0</v>
      </c>
      <c r="F13574" s="21" t="n">
        <v>0</v>
      </c>
      <c r="G13574" s="21" t="n">
        <v>0</v>
      </c>
      <c r="H13574" s="21" t="n">
        <v>0</v>
      </c>
      <c r="I13574" s="21" t="n">
        <v>0</v>
      </c>
      <c r="J13574" s="21" t="n">
        <v>0</v>
      </c>
      <c r="K13574" s="21" t="n">
        <v>0</v>
      </c>
      <c r="L13574" s="21" t="n">
        <v>0</v>
      </c>
      <c r="M13574" s="21" t="n">
        <v>0</v>
      </c>
      <c r="N13574" s="21" t="n">
        <v>0</v>
      </c>
      <c r="O13574" s="21" t="n">
        <v>0</v>
      </c>
      <c r="P13574" s="21">
        <f>-$B$12189</f>
        <v/>
      </c>
      <c r="Q13574" s="21">
        <f>-$B$12190</f>
        <v/>
      </c>
      <c r="R13574" s="21">
        <f>2*$B$12189+$D$13555</f>
        <v/>
      </c>
      <c r="S13574" s="21">
        <f>0</f>
        <v/>
      </c>
      <c r="T13574" s="21">
        <f>-$B$12189</f>
        <v/>
      </c>
      <c r="U13574" s="21">
        <f>$B$12190</f>
        <v/>
      </c>
      <c r="V13574" s="21" t="n">
        <v>0</v>
      </c>
      <c r="W13574" s="21" t="n">
        <v>0</v>
      </c>
      <c r="X13574" s="21" t="n">
        <v>0</v>
      </c>
      <c r="Y13574" s="21" t="n">
        <v>0</v>
      </c>
      <c r="Z13574" s="19" t="n"/>
    </row>
    <row r="13575">
      <c r="D13575" s="21" t="n">
        <v>0</v>
      </c>
      <c r="E13575" s="21" t="n">
        <v>0</v>
      </c>
      <c r="F13575" s="21" t="n">
        <v>0</v>
      </c>
      <c r="G13575" s="21" t="n">
        <v>0</v>
      </c>
      <c r="H13575" s="21" t="n">
        <v>0</v>
      </c>
      <c r="I13575" s="21" t="n">
        <v>0</v>
      </c>
      <c r="J13575" s="21" t="n">
        <v>0</v>
      </c>
      <c r="K13575" s="21" t="n">
        <v>0</v>
      </c>
      <c r="L13575" s="21" t="n">
        <v>0</v>
      </c>
      <c r="M13575" s="21" t="n">
        <v>0</v>
      </c>
      <c r="N13575" s="21" t="n">
        <v>0</v>
      </c>
      <c r="O13575" s="21" t="n">
        <v>0</v>
      </c>
      <c r="P13575" s="21">
        <f>$B$12190</f>
        <v/>
      </c>
      <c r="Q13575" s="21">
        <f>$B$12192</f>
        <v/>
      </c>
      <c r="R13575" s="21">
        <f>0</f>
        <v/>
      </c>
      <c r="S13575" s="21">
        <f>2*$B$12191</f>
        <v/>
      </c>
      <c r="T13575" s="21">
        <f>-$B$12190</f>
        <v/>
      </c>
      <c r="U13575" s="21">
        <f>$B$12192</f>
        <v/>
      </c>
      <c r="V13575" s="21" t="n">
        <v>0</v>
      </c>
      <c r="W13575" s="21" t="n">
        <v>0</v>
      </c>
      <c r="X13575" s="21" t="n">
        <v>0</v>
      </c>
      <c r="Y13575" s="21" t="n">
        <v>0</v>
      </c>
      <c r="Z13575" s="19" t="n"/>
    </row>
    <row r="13576">
      <c r="D13576" s="21" t="n">
        <v>0</v>
      </c>
      <c r="E13576" s="21" t="n">
        <v>0</v>
      </c>
      <c r="F13576" s="21" t="n">
        <v>0</v>
      </c>
      <c r="G13576" s="21" t="n">
        <v>0</v>
      </c>
      <c r="H13576" s="21" t="n">
        <v>0</v>
      </c>
      <c r="I13576" s="21" t="n">
        <v>0</v>
      </c>
      <c r="J13576" s="21" t="n">
        <v>0</v>
      </c>
      <c r="K13576" s="21" t="n">
        <v>0</v>
      </c>
      <c r="L13576" s="21" t="n">
        <v>0</v>
      </c>
      <c r="M13576" s="21" t="n">
        <v>0</v>
      </c>
      <c r="N13576" s="21" t="n">
        <v>0</v>
      </c>
      <c r="O13576" s="21" t="n">
        <v>0</v>
      </c>
      <c r="P13576" s="21" t="n">
        <v>0</v>
      </c>
      <c r="Q13576" s="21" t="n">
        <v>0</v>
      </c>
      <c r="R13576" s="21">
        <f>-$B$12189</f>
        <v/>
      </c>
      <c r="S13576" s="21">
        <f>-$B$12190</f>
        <v/>
      </c>
      <c r="T13576" s="21">
        <f>2*$B$12189+$D$13556</f>
        <v/>
      </c>
      <c r="U13576" s="21">
        <f>0</f>
        <v/>
      </c>
      <c r="V13576" s="21">
        <f>-$B$12189</f>
        <v/>
      </c>
      <c r="W13576" s="21">
        <f>$B$12190</f>
        <v/>
      </c>
      <c r="X13576" s="21" t="n">
        <v>0</v>
      </c>
      <c r="Y13576" s="21" t="n">
        <v>0</v>
      </c>
      <c r="Z13576" s="19" t="n"/>
    </row>
    <row r="13577">
      <c r="D13577" s="21" t="n">
        <v>0</v>
      </c>
      <c r="E13577" s="21" t="n">
        <v>0</v>
      </c>
      <c r="F13577" s="21" t="n">
        <v>0</v>
      </c>
      <c r="G13577" s="21" t="n">
        <v>0</v>
      </c>
      <c r="H13577" s="21" t="n">
        <v>0</v>
      </c>
      <c r="I13577" s="21" t="n">
        <v>0</v>
      </c>
      <c r="J13577" s="21" t="n">
        <v>0</v>
      </c>
      <c r="K13577" s="21" t="n">
        <v>0</v>
      </c>
      <c r="L13577" s="21" t="n">
        <v>0</v>
      </c>
      <c r="M13577" s="21" t="n">
        <v>0</v>
      </c>
      <c r="N13577" s="21" t="n">
        <v>0</v>
      </c>
      <c r="O13577" s="21" t="n">
        <v>0</v>
      </c>
      <c r="P13577" s="21" t="n">
        <v>0</v>
      </c>
      <c r="Q13577" s="21" t="n">
        <v>0</v>
      </c>
      <c r="R13577" s="21">
        <f>$B$12190</f>
        <v/>
      </c>
      <c r="S13577" s="21">
        <f>$B$12192</f>
        <v/>
      </c>
      <c r="T13577" s="21">
        <f>0</f>
        <v/>
      </c>
      <c r="U13577" s="21">
        <f>2*$B$12191</f>
        <v/>
      </c>
      <c r="V13577" s="21">
        <f>-$B$12190</f>
        <v/>
      </c>
      <c r="W13577" s="21">
        <f>$B$12192</f>
        <v/>
      </c>
      <c r="X13577" s="21" t="n">
        <v>0</v>
      </c>
      <c r="Y13577" s="21" t="n">
        <v>0</v>
      </c>
      <c r="Z13577" s="19" t="n"/>
    </row>
    <row r="13578">
      <c r="D13578" s="21" t="n">
        <v>0</v>
      </c>
      <c r="E13578" s="21" t="n">
        <v>0</v>
      </c>
      <c r="F13578" s="21" t="n">
        <v>0</v>
      </c>
      <c r="G13578" s="21" t="n">
        <v>0</v>
      </c>
      <c r="H13578" s="21" t="n">
        <v>0</v>
      </c>
      <c r="I13578" s="21" t="n">
        <v>0</v>
      </c>
      <c r="J13578" s="21" t="n">
        <v>0</v>
      </c>
      <c r="K13578" s="21" t="n">
        <v>0</v>
      </c>
      <c r="L13578" s="21" t="n">
        <v>0</v>
      </c>
      <c r="M13578" s="21" t="n">
        <v>0</v>
      </c>
      <c r="N13578" s="21" t="n">
        <v>0</v>
      </c>
      <c r="O13578" s="21" t="n">
        <v>0</v>
      </c>
      <c r="P13578" s="21" t="n">
        <v>0</v>
      </c>
      <c r="Q13578" s="21" t="n">
        <v>0</v>
      </c>
      <c r="R13578" s="21" t="n">
        <v>0</v>
      </c>
      <c r="S13578" s="21" t="n">
        <v>0</v>
      </c>
      <c r="T13578" s="21">
        <f>-$B$12189</f>
        <v/>
      </c>
      <c r="U13578" s="21">
        <f>-$B$12190</f>
        <v/>
      </c>
      <c r="V13578" s="21">
        <f>2*$B$12189+$D$13557</f>
        <v/>
      </c>
      <c r="W13578" s="21">
        <f>0</f>
        <v/>
      </c>
      <c r="X13578" s="21">
        <f>-$B$12189</f>
        <v/>
      </c>
      <c r="Y13578" s="21">
        <f>$B$12190</f>
        <v/>
      </c>
      <c r="Z13578" s="19" t="n"/>
    </row>
    <row r="13579">
      <c r="D13579" s="21" t="n">
        <v>0</v>
      </c>
      <c r="E13579" s="21" t="n">
        <v>0</v>
      </c>
      <c r="F13579" s="21" t="n">
        <v>0</v>
      </c>
      <c r="G13579" s="21" t="n">
        <v>0</v>
      </c>
      <c r="H13579" s="21" t="n">
        <v>0</v>
      </c>
      <c r="I13579" s="21" t="n">
        <v>0</v>
      </c>
      <c r="J13579" s="21" t="n">
        <v>0</v>
      </c>
      <c r="K13579" s="21" t="n">
        <v>0</v>
      </c>
      <c r="L13579" s="21" t="n">
        <v>0</v>
      </c>
      <c r="M13579" s="21" t="n">
        <v>0</v>
      </c>
      <c r="N13579" s="21" t="n">
        <v>0</v>
      </c>
      <c r="O13579" s="21" t="n">
        <v>0</v>
      </c>
      <c r="P13579" s="21" t="n">
        <v>0</v>
      </c>
      <c r="Q13579" s="21" t="n">
        <v>0</v>
      </c>
      <c r="R13579" s="21" t="n">
        <v>0</v>
      </c>
      <c r="S13579" s="21" t="n">
        <v>0</v>
      </c>
      <c r="T13579" s="21">
        <f>$B$12190</f>
        <v/>
      </c>
      <c r="U13579" s="21">
        <f>$B$12192</f>
        <v/>
      </c>
      <c r="V13579" s="21">
        <f>0</f>
        <v/>
      </c>
      <c r="W13579" s="21">
        <f>2*$B$12191</f>
        <v/>
      </c>
      <c r="X13579" s="21">
        <f>-$B$12190</f>
        <v/>
      </c>
      <c r="Y13579" s="21">
        <f>$B$12192</f>
        <v/>
      </c>
      <c r="Z13579" s="19" t="n"/>
    </row>
    <row r="13580">
      <c r="D13580" s="21" t="n">
        <v>0</v>
      </c>
      <c r="E13580" s="21" t="n">
        <v>0</v>
      </c>
      <c r="F13580" s="21" t="n">
        <v>0</v>
      </c>
      <c r="G13580" s="21" t="n">
        <v>0</v>
      </c>
      <c r="H13580" s="21" t="n">
        <v>0</v>
      </c>
      <c r="I13580" s="21" t="n">
        <v>0</v>
      </c>
      <c r="J13580" s="21" t="n">
        <v>0</v>
      </c>
      <c r="K13580" s="21" t="n">
        <v>0</v>
      </c>
      <c r="L13580" s="21" t="n">
        <v>0</v>
      </c>
      <c r="M13580" s="21" t="n">
        <v>0</v>
      </c>
      <c r="N13580" s="21" t="n">
        <v>0</v>
      </c>
      <c r="O13580" s="21" t="n">
        <v>0</v>
      </c>
      <c r="P13580" s="21" t="n">
        <v>0</v>
      </c>
      <c r="Q13580" s="21" t="n">
        <v>0</v>
      </c>
      <c r="R13580" s="21" t="n">
        <v>0</v>
      </c>
      <c r="S13580" s="21" t="n">
        <v>0</v>
      </c>
      <c r="T13580" s="21" t="n">
        <v>0</v>
      </c>
      <c r="U13580" s="21" t="n">
        <v>0</v>
      </c>
      <c r="V13580" s="21">
        <f>-$B$12189</f>
        <v/>
      </c>
      <c r="W13580" s="21">
        <f>-$B$12190</f>
        <v/>
      </c>
      <c r="X13580" s="21">
        <f>$B$12189+$D$13558</f>
        <v/>
      </c>
      <c r="Y13580" s="21">
        <f>-$B$12190</f>
        <v/>
      </c>
      <c r="Z13580" s="19" t="n"/>
    </row>
    <row r="13581">
      <c r="D13581" s="21" t="n">
        <v>0</v>
      </c>
      <c r="E13581" s="21" t="n">
        <v>0</v>
      </c>
      <c r="F13581" s="21" t="n">
        <v>0</v>
      </c>
      <c r="G13581" s="21" t="n">
        <v>0</v>
      </c>
      <c r="H13581" s="21" t="n">
        <v>0</v>
      </c>
      <c r="I13581" s="21" t="n">
        <v>0</v>
      </c>
      <c r="J13581" s="21" t="n">
        <v>0</v>
      </c>
      <c r="K13581" s="21" t="n">
        <v>0</v>
      </c>
      <c r="L13581" s="21" t="n">
        <v>0</v>
      </c>
      <c r="M13581" s="21" t="n">
        <v>0</v>
      </c>
      <c r="N13581" s="21" t="n">
        <v>0</v>
      </c>
      <c r="O13581" s="21" t="n">
        <v>0</v>
      </c>
      <c r="P13581" s="21" t="n">
        <v>0</v>
      </c>
      <c r="Q13581" s="21" t="n">
        <v>0</v>
      </c>
      <c r="R13581" s="21" t="n">
        <v>0</v>
      </c>
      <c r="S13581" s="21" t="n">
        <v>0</v>
      </c>
      <c r="T13581" s="21" t="n">
        <v>0</v>
      </c>
      <c r="U13581" s="21" t="n">
        <v>0</v>
      </c>
      <c r="V13581" s="21">
        <f>$B$12190</f>
        <v/>
      </c>
      <c r="W13581" s="21">
        <f>$B$12192</f>
        <v/>
      </c>
      <c r="X13581" s="21">
        <f>-$B$12190</f>
        <v/>
      </c>
      <c r="Y13581" s="21">
        <f>$B$12191</f>
        <v/>
      </c>
      <c r="Z13581" s="19" t="n"/>
    </row>
    <row r="13583">
      <c r="A13583" s="8" t="inlineStr">
        <is>
          <t>gen 38</t>
        </is>
      </c>
    </row>
    <row r="13584">
      <c r="D13584" s="19">
        <f>IF(ABS(IF(ABS($E$13548)&gt;0.000000001,$E$13548,0.000000001))=0,0,IF($E$12204&lt;=$B$12198,0,IF(ABS(IF(ABS($E$13548)&gt;0.000000001,$E$13548,0.000000001))&gt;=8*$B$12200,$H$12204,0.5*$H$12204*(ABS(IF(ABS($E$13548)&gt;0.000000001,$E$13548,0.000000001))/$B$12200)^(1/3)))/ABS(IF(ABS($E$13548)&gt;0.000000001,$E$13548,0.000000001))*$I$12204)</f>
        <v/>
      </c>
      <c r="E13584" s="19">
        <f>0.5*$E$13548+0.5*$Z$13596</f>
        <v/>
      </c>
      <c r="F13584" s="19">
        <f>$Z$13597</f>
        <v/>
      </c>
    </row>
    <row r="13585">
      <c r="D13585" s="19">
        <f>IF(ABS(IF(ABS($E$13549)&gt;0.000000001,$E$13549,0.000000001))=0,0,IF($E$12205&lt;=$B$12198,0,IF(ABS(IF(ABS($E$13549)&gt;0.000000001,$E$13549,0.000000001))&gt;=8*$B$12200,$H$12205,0.5*$H$12205*(ABS(IF(ABS($E$13549)&gt;0.000000001,$E$13549,0.000000001))/$B$12200)^(1/3)))/ABS(IF(ABS($E$13549)&gt;0.000000001,$E$13549,0.000000001))*$I$12205)</f>
        <v/>
      </c>
      <c r="E13585" s="19">
        <f>0.5*$E$13549+0.5*$Z$13598</f>
        <v/>
      </c>
      <c r="F13585" s="19">
        <f>$Z$13599</f>
        <v/>
      </c>
    </row>
    <row r="13586">
      <c r="D13586" s="19">
        <f>IF(ABS(IF(ABS($E$13550)&gt;0.000000001,$E$13550,0.000000001))=0,0,IF($E$12206&lt;=$B$12198,0,IF(ABS(IF(ABS($E$13550)&gt;0.000000001,$E$13550,0.000000001))&gt;=8*$B$12200,$H$12206,0.5*$H$12206*(ABS(IF(ABS($E$13550)&gt;0.000000001,$E$13550,0.000000001))/$B$12200)^(1/3)))/ABS(IF(ABS($E$13550)&gt;0.000000001,$E$13550,0.000000001))*$I$12206)</f>
        <v/>
      </c>
      <c r="E13586" s="19">
        <f>0.5*$E$13550+0.5*$Z$13600</f>
        <v/>
      </c>
      <c r="F13586" s="19">
        <f>$Z$13601</f>
        <v/>
      </c>
    </row>
    <row r="13587">
      <c r="D13587" s="19">
        <f>IF(ABS(IF(ABS($E$13551)&gt;0.000000001,$E$13551,0.000000001))=0,0,IF($E$12207&lt;=$B$12198,0,IF(ABS(IF(ABS($E$13551)&gt;0.000000001,$E$13551,0.000000001))&gt;=8*$B$12200,$H$12207,0.5*$H$12207*(ABS(IF(ABS($E$13551)&gt;0.000000001,$E$13551,0.000000001))/$B$12200)^(1/3)))/ABS(IF(ABS($E$13551)&gt;0.000000001,$E$13551,0.000000001))*$I$12207)</f>
        <v/>
      </c>
      <c r="E13587" s="19">
        <f>0.5*$E$13551+0.5*$Z$13602</f>
        <v/>
      </c>
      <c r="F13587" s="19">
        <f>$Z$13603</f>
        <v/>
      </c>
    </row>
    <row r="13588">
      <c r="D13588" s="19">
        <f>IF(ABS(IF(ABS($E$13552)&gt;0.000000001,$E$13552,0.000000001))=0,0,IF($E$12208&lt;=$B$12198,0,IF(ABS(IF(ABS($E$13552)&gt;0.000000001,$E$13552,0.000000001))&gt;=8*$B$12200,$H$12208,0.5*$H$12208*(ABS(IF(ABS($E$13552)&gt;0.000000001,$E$13552,0.000000001))/$B$12200)^(1/3)))/ABS(IF(ABS($E$13552)&gt;0.000000001,$E$13552,0.000000001))*$I$12208)</f>
        <v/>
      </c>
      <c r="E13588" s="19">
        <f>0.5*$E$13552+0.5*$Z$13604</f>
        <v/>
      </c>
      <c r="F13588" s="19">
        <f>$Z$13605</f>
        <v/>
      </c>
    </row>
    <row r="13589">
      <c r="D13589" s="19">
        <f>IF(ABS(IF(ABS($E$13553)&gt;0.000000001,$E$13553,0.000000001))=0,0,IF($E$12209&lt;=$B$12198,0,IF(ABS(IF(ABS($E$13553)&gt;0.000000001,$E$13553,0.000000001))&gt;=8*$B$12200,$H$12209,0.5*$H$12209*(ABS(IF(ABS($E$13553)&gt;0.000000001,$E$13553,0.000000001))/$B$12200)^(1/3)))/ABS(IF(ABS($E$13553)&gt;0.000000001,$E$13553,0.000000001))*$I$12209)</f>
        <v/>
      </c>
      <c r="E13589" s="19">
        <f>0.5*$E$13553+0.5*$Z$13606</f>
        <v/>
      </c>
      <c r="F13589" s="19">
        <f>$Z$13607</f>
        <v/>
      </c>
    </row>
    <row r="13590">
      <c r="D13590" s="19">
        <f>IF(ABS(IF(ABS($E$13554)&gt;0.000000001,$E$13554,0.000000001))=0,0,IF($E$12210&lt;=$B$12198,0,IF(ABS(IF(ABS($E$13554)&gt;0.000000001,$E$13554,0.000000001))&gt;=8*$B$12200,$H$12210,0.5*$H$12210*(ABS(IF(ABS($E$13554)&gt;0.000000001,$E$13554,0.000000001))/$B$12200)^(1/3)))/ABS(IF(ABS($E$13554)&gt;0.000000001,$E$13554,0.000000001))*$I$12210)</f>
        <v/>
      </c>
      <c r="E13590" s="19">
        <f>0.5*$E$13554+0.5*$Z$13608</f>
        <v/>
      </c>
      <c r="F13590" s="19">
        <f>$Z$13609</f>
        <v/>
      </c>
    </row>
    <row r="13591">
      <c r="D13591" s="19">
        <f>IF(ABS(IF(ABS($E$13555)&gt;0.000000001,$E$13555,0.000000001))=0,0,IF($E$12211&lt;=$B$12198,0,IF(ABS(IF(ABS($E$13555)&gt;0.000000001,$E$13555,0.000000001))&gt;=8*$B$12200,$H$12211,0.5*$H$12211*(ABS(IF(ABS($E$13555)&gt;0.000000001,$E$13555,0.000000001))/$B$12200)^(1/3)))/ABS(IF(ABS($E$13555)&gt;0.000000001,$E$13555,0.000000001))*$I$12211)</f>
        <v/>
      </c>
      <c r="E13591" s="19">
        <f>0.5*$E$13555+0.5*$Z$13610</f>
        <v/>
      </c>
      <c r="F13591" s="19">
        <f>$Z$13611</f>
        <v/>
      </c>
    </row>
    <row r="13592">
      <c r="D13592" s="19">
        <f>IF(ABS(IF(ABS($E$13556)&gt;0.000000001,$E$13556,0.000000001))=0,0,IF($E$12212&lt;=$B$12198,0,IF(ABS(IF(ABS($E$13556)&gt;0.000000001,$E$13556,0.000000001))&gt;=8*$B$12200,$H$12212,0.5*$H$12212*(ABS(IF(ABS($E$13556)&gt;0.000000001,$E$13556,0.000000001))/$B$12200)^(1/3)))/ABS(IF(ABS($E$13556)&gt;0.000000001,$E$13556,0.000000001))*$I$12212)</f>
        <v/>
      </c>
      <c r="E13592" s="19">
        <f>0.5*$E$13556+0.5*$Z$13612</f>
        <v/>
      </c>
      <c r="F13592" s="19">
        <f>$Z$13613</f>
        <v/>
      </c>
    </row>
    <row r="13593">
      <c r="D13593" s="19">
        <f>IF(ABS(IF(ABS($E$13557)&gt;0.000000001,$E$13557,0.000000001))=0,0,IF($E$12213&lt;=$B$12198,0,IF(ABS(IF(ABS($E$13557)&gt;0.000000001,$E$13557,0.000000001))&gt;=8*$B$12200,$H$12213,0.5*$H$12213*(ABS(IF(ABS($E$13557)&gt;0.000000001,$E$13557,0.000000001))/$B$12200)^(1/3)))/ABS(IF(ABS($E$13557)&gt;0.000000001,$E$13557,0.000000001))*$I$12213)</f>
        <v/>
      </c>
      <c r="E13593" s="19">
        <f>0.5*$E$13557+0.5*$Z$13614</f>
        <v/>
      </c>
      <c r="F13593" s="19">
        <f>$Z$13615</f>
        <v/>
      </c>
    </row>
    <row r="13594">
      <c r="D13594" s="19">
        <f>IF(ABS(IF(ABS($E$13558)&gt;0.000000001,$E$13558,0.000000001))=0,0,IF($E$12214&lt;=$B$12198,0,IF(ABS(IF(ABS($E$13558)&gt;0.000000001,$E$13558,0.000000001))&gt;=8*$B$12200,$H$12214,0.5*$H$12214*(ABS(IF(ABS($E$13558)&gt;0.000000001,$E$13558,0.000000001))/$B$12200)^(1/3)))/ABS(IF(ABS($E$13558)&gt;0.000000001,$E$13558,0.000000001))*$I$12214)</f>
        <v/>
      </c>
      <c r="E13594" s="19">
        <f>0.5*$E$13558+0.5*$Z$13616</f>
        <v/>
      </c>
      <c r="F13594" s="19">
        <f>$Z$13617</f>
        <v/>
      </c>
    </row>
    <row r="13596">
      <c r="D13596" s="21">
        <f>$B$12189+$D$13584</f>
        <v/>
      </c>
      <c r="E13596" s="21">
        <f>$B$12190</f>
        <v/>
      </c>
      <c r="F13596" s="21">
        <f>-$B$12189</f>
        <v/>
      </c>
      <c r="G13596" s="21">
        <f>$B$12190</f>
        <v/>
      </c>
      <c r="H13596" s="21" t="n">
        <v>0</v>
      </c>
      <c r="I13596" s="21" t="n">
        <v>0</v>
      </c>
      <c r="J13596" s="21" t="n">
        <v>0</v>
      </c>
      <c r="K13596" s="21" t="n">
        <v>0</v>
      </c>
      <c r="L13596" s="21" t="n">
        <v>0</v>
      </c>
      <c r="M13596" s="21" t="n">
        <v>0</v>
      </c>
      <c r="N13596" s="21" t="n">
        <v>0</v>
      </c>
      <c r="O13596" s="21" t="n">
        <v>0</v>
      </c>
      <c r="P13596" s="21" t="n">
        <v>0</v>
      </c>
      <c r="Q13596" s="21" t="n">
        <v>0</v>
      </c>
      <c r="R13596" s="21" t="n">
        <v>0</v>
      </c>
      <c r="S13596" s="21" t="n">
        <v>0</v>
      </c>
      <c r="T13596" s="21" t="n">
        <v>0</v>
      </c>
      <c r="U13596" s="21" t="n">
        <v>0</v>
      </c>
      <c r="V13596" s="21" t="n">
        <v>0</v>
      </c>
      <c r="W13596" s="21" t="n">
        <v>0</v>
      </c>
      <c r="X13596" s="21" t="n">
        <v>0</v>
      </c>
      <c r="Y13596" s="21" t="n">
        <v>0</v>
      </c>
      <c r="Z13596" s="19">
        <f t="array" ref="Z13596:Z13617">MMULT(MINVERSE($D$13596:$Y$13617),$D$12216:$D$12237)</f>
        <v/>
      </c>
    </row>
    <row r="13597">
      <c r="D13597" s="21">
        <f>$B$12190</f>
        <v/>
      </c>
      <c r="E13597" s="21">
        <f>$B$12191</f>
        <v/>
      </c>
      <c r="F13597" s="21">
        <f>-$B$12190</f>
        <v/>
      </c>
      <c r="G13597" s="21">
        <f>$B$12192</f>
        <v/>
      </c>
      <c r="H13597" s="21" t="n">
        <v>0</v>
      </c>
      <c r="I13597" s="21" t="n">
        <v>0</v>
      </c>
      <c r="J13597" s="21" t="n">
        <v>0</v>
      </c>
      <c r="K13597" s="21" t="n">
        <v>0</v>
      </c>
      <c r="L13597" s="21" t="n">
        <v>0</v>
      </c>
      <c r="M13597" s="21" t="n">
        <v>0</v>
      </c>
      <c r="N13597" s="21" t="n">
        <v>0</v>
      </c>
      <c r="O13597" s="21" t="n">
        <v>0</v>
      </c>
      <c r="P13597" s="21" t="n">
        <v>0</v>
      </c>
      <c r="Q13597" s="21" t="n">
        <v>0</v>
      </c>
      <c r="R13597" s="21" t="n">
        <v>0</v>
      </c>
      <c r="S13597" s="21" t="n">
        <v>0</v>
      </c>
      <c r="T13597" s="21" t="n">
        <v>0</v>
      </c>
      <c r="U13597" s="21" t="n">
        <v>0</v>
      </c>
      <c r="V13597" s="21" t="n">
        <v>0</v>
      </c>
      <c r="W13597" s="21" t="n">
        <v>0</v>
      </c>
      <c r="X13597" s="21" t="n">
        <v>0</v>
      </c>
      <c r="Y13597" s="21" t="n">
        <v>0</v>
      </c>
      <c r="Z13597" s="19" t="n"/>
    </row>
    <row r="13598">
      <c r="D13598" s="21">
        <f>-$B$12189</f>
        <v/>
      </c>
      <c r="E13598" s="21">
        <f>-$B$12190</f>
        <v/>
      </c>
      <c r="F13598" s="21">
        <f>2*$B$12189+$D$13585</f>
        <v/>
      </c>
      <c r="G13598" s="21">
        <f>0</f>
        <v/>
      </c>
      <c r="H13598" s="21">
        <f>-$B$12189</f>
        <v/>
      </c>
      <c r="I13598" s="21">
        <f>$B$12190</f>
        <v/>
      </c>
      <c r="J13598" s="21" t="n">
        <v>0</v>
      </c>
      <c r="K13598" s="21" t="n">
        <v>0</v>
      </c>
      <c r="L13598" s="21" t="n">
        <v>0</v>
      </c>
      <c r="M13598" s="21" t="n">
        <v>0</v>
      </c>
      <c r="N13598" s="21" t="n">
        <v>0</v>
      </c>
      <c r="O13598" s="21" t="n">
        <v>0</v>
      </c>
      <c r="P13598" s="21" t="n">
        <v>0</v>
      </c>
      <c r="Q13598" s="21" t="n">
        <v>0</v>
      </c>
      <c r="R13598" s="21" t="n">
        <v>0</v>
      </c>
      <c r="S13598" s="21" t="n">
        <v>0</v>
      </c>
      <c r="T13598" s="21" t="n">
        <v>0</v>
      </c>
      <c r="U13598" s="21" t="n">
        <v>0</v>
      </c>
      <c r="V13598" s="21" t="n">
        <v>0</v>
      </c>
      <c r="W13598" s="21" t="n">
        <v>0</v>
      </c>
      <c r="X13598" s="21" t="n">
        <v>0</v>
      </c>
      <c r="Y13598" s="21" t="n">
        <v>0</v>
      </c>
      <c r="Z13598" s="19" t="n"/>
    </row>
    <row r="13599">
      <c r="D13599" s="21">
        <f>$B$12190</f>
        <v/>
      </c>
      <c r="E13599" s="21">
        <f>$B$12192</f>
        <v/>
      </c>
      <c r="F13599" s="21">
        <f>0</f>
        <v/>
      </c>
      <c r="G13599" s="21">
        <f>2*$B$12191</f>
        <v/>
      </c>
      <c r="H13599" s="21">
        <f>-$B$12190</f>
        <v/>
      </c>
      <c r="I13599" s="21">
        <f>$B$12192</f>
        <v/>
      </c>
      <c r="J13599" s="21" t="n">
        <v>0</v>
      </c>
      <c r="K13599" s="21" t="n">
        <v>0</v>
      </c>
      <c r="L13599" s="21" t="n">
        <v>0</v>
      </c>
      <c r="M13599" s="21" t="n">
        <v>0</v>
      </c>
      <c r="N13599" s="21" t="n">
        <v>0</v>
      </c>
      <c r="O13599" s="21" t="n">
        <v>0</v>
      </c>
      <c r="P13599" s="21" t="n">
        <v>0</v>
      </c>
      <c r="Q13599" s="21" t="n">
        <v>0</v>
      </c>
      <c r="R13599" s="21" t="n">
        <v>0</v>
      </c>
      <c r="S13599" s="21" t="n">
        <v>0</v>
      </c>
      <c r="T13599" s="21" t="n">
        <v>0</v>
      </c>
      <c r="U13599" s="21" t="n">
        <v>0</v>
      </c>
      <c r="V13599" s="21" t="n">
        <v>0</v>
      </c>
      <c r="W13599" s="21" t="n">
        <v>0</v>
      </c>
      <c r="X13599" s="21" t="n">
        <v>0</v>
      </c>
      <c r="Y13599" s="21" t="n">
        <v>0</v>
      </c>
      <c r="Z13599" s="19" t="n"/>
    </row>
    <row r="13600">
      <c r="D13600" s="21" t="n">
        <v>0</v>
      </c>
      <c r="E13600" s="21" t="n">
        <v>0</v>
      </c>
      <c r="F13600" s="21">
        <f>-$B$12189</f>
        <v/>
      </c>
      <c r="G13600" s="21">
        <f>-$B$12190</f>
        <v/>
      </c>
      <c r="H13600" s="21">
        <f>2*$B$12189+$D$13586</f>
        <v/>
      </c>
      <c r="I13600" s="21">
        <f>0</f>
        <v/>
      </c>
      <c r="J13600" s="21">
        <f>-$B$12189</f>
        <v/>
      </c>
      <c r="K13600" s="21">
        <f>$B$12190</f>
        <v/>
      </c>
      <c r="L13600" s="21" t="n">
        <v>0</v>
      </c>
      <c r="M13600" s="21" t="n">
        <v>0</v>
      </c>
      <c r="N13600" s="21" t="n">
        <v>0</v>
      </c>
      <c r="O13600" s="21" t="n">
        <v>0</v>
      </c>
      <c r="P13600" s="21" t="n">
        <v>0</v>
      </c>
      <c r="Q13600" s="21" t="n">
        <v>0</v>
      </c>
      <c r="R13600" s="21" t="n">
        <v>0</v>
      </c>
      <c r="S13600" s="21" t="n">
        <v>0</v>
      </c>
      <c r="T13600" s="21" t="n">
        <v>0</v>
      </c>
      <c r="U13600" s="21" t="n">
        <v>0</v>
      </c>
      <c r="V13600" s="21" t="n">
        <v>0</v>
      </c>
      <c r="W13600" s="21" t="n">
        <v>0</v>
      </c>
      <c r="X13600" s="21" t="n">
        <v>0</v>
      </c>
      <c r="Y13600" s="21" t="n">
        <v>0</v>
      </c>
      <c r="Z13600" s="19" t="n"/>
    </row>
    <row r="13601">
      <c r="D13601" s="21" t="n">
        <v>0</v>
      </c>
      <c r="E13601" s="21" t="n">
        <v>0</v>
      </c>
      <c r="F13601" s="21">
        <f>$B$12190</f>
        <v/>
      </c>
      <c r="G13601" s="21">
        <f>$B$12192</f>
        <v/>
      </c>
      <c r="H13601" s="21">
        <f>0</f>
        <v/>
      </c>
      <c r="I13601" s="21">
        <f>2*$B$12191</f>
        <v/>
      </c>
      <c r="J13601" s="21">
        <f>-$B$12190</f>
        <v/>
      </c>
      <c r="K13601" s="21">
        <f>$B$12192</f>
        <v/>
      </c>
      <c r="L13601" s="21" t="n">
        <v>0</v>
      </c>
      <c r="M13601" s="21" t="n">
        <v>0</v>
      </c>
      <c r="N13601" s="21" t="n">
        <v>0</v>
      </c>
      <c r="O13601" s="21" t="n">
        <v>0</v>
      </c>
      <c r="P13601" s="21" t="n">
        <v>0</v>
      </c>
      <c r="Q13601" s="21" t="n">
        <v>0</v>
      </c>
      <c r="R13601" s="21" t="n">
        <v>0</v>
      </c>
      <c r="S13601" s="21" t="n">
        <v>0</v>
      </c>
      <c r="T13601" s="21" t="n">
        <v>0</v>
      </c>
      <c r="U13601" s="21" t="n">
        <v>0</v>
      </c>
      <c r="V13601" s="21" t="n">
        <v>0</v>
      </c>
      <c r="W13601" s="21" t="n">
        <v>0</v>
      </c>
      <c r="X13601" s="21" t="n">
        <v>0</v>
      </c>
      <c r="Y13601" s="21" t="n">
        <v>0</v>
      </c>
      <c r="Z13601" s="19" t="n"/>
    </row>
    <row r="13602">
      <c r="D13602" s="21" t="n">
        <v>0</v>
      </c>
      <c r="E13602" s="21" t="n">
        <v>0</v>
      </c>
      <c r="F13602" s="21" t="n">
        <v>0</v>
      </c>
      <c r="G13602" s="21" t="n">
        <v>0</v>
      </c>
      <c r="H13602" s="21">
        <f>-$B$12189</f>
        <v/>
      </c>
      <c r="I13602" s="21">
        <f>-$B$12190</f>
        <v/>
      </c>
      <c r="J13602" s="21">
        <f>2*$B$12189+$D$13587</f>
        <v/>
      </c>
      <c r="K13602" s="21">
        <f>0</f>
        <v/>
      </c>
      <c r="L13602" s="21">
        <f>-$B$12189</f>
        <v/>
      </c>
      <c r="M13602" s="21">
        <f>$B$12190</f>
        <v/>
      </c>
      <c r="N13602" s="21" t="n">
        <v>0</v>
      </c>
      <c r="O13602" s="21" t="n">
        <v>0</v>
      </c>
      <c r="P13602" s="21" t="n">
        <v>0</v>
      </c>
      <c r="Q13602" s="21" t="n">
        <v>0</v>
      </c>
      <c r="R13602" s="21" t="n">
        <v>0</v>
      </c>
      <c r="S13602" s="21" t="n">
        <v>0</v>
      </c>
      <c r="T13602" s="21" t="n">
        <v>0</v>
      </c>
      <c r="U13602" s="21" t="n">
        <v>0</v>
      </c>
      <c r="V13602" s="21" t="n">
        <v>0</v>
      </c>
      <c r="W13602" s="21" t="n">
        <v>0</v>
      </c>
      <c r="X13602" s="21" t="n">
        <v>0</v>
      </c>
      <c r="Y13602" s="21" t="n">
        <v>0</v>
      </c>
      <c r="Z13602" s="19" t="n"/>
    </row>
    <row r="13603">
      <c r="D13603" s="21" t="n">
        <v>0</v>
      </c>
      <c r="E13603" s="21" t="n">
        <v>0</v>
      </c>
      <c r="F13603" s="21" t="n">
        <v>0</v>
      </c>
      <c r="G13603" s="21" t="n">
        <v>0</v>
      </c>
      <c r="H13603" s="21">
        <f>$B$12190</f>
        <v/>
      </c>
      <c r="I13603" s="21">
        <f>$B$12192</f>
        <v/>
      </c>
      <c r="J13603" s="21">
        <f>0</f>
        <v/>
      </c>
      <c r="K13603" s="21">
        <f>2*$B$12191</f>
        <v/>
      </c>
      <c r="L13603" s="21">
        <f>-$B$12190</f>
        <v/>
      </c>
      <c r="M13603" s="21">
        <f>$B$12192</f>
        <v/>
      </c>
      <c r="N13603" s="21" t="n">
        <v>0</v>
      </c>
      <c r="O13603" s="21" t="n">
        <v>0</v>
      </c>
      <c r="P13603" s="21" t="n">
        <v>0</v>
      </c>
      <c r="Q13603" s="21" t="n">
        <v>0</v>
      </c>
      <c r="R13603" s="21" t="n">
        <v>0</v>
      </c>
      <c r="S13603" s="21" t="n">
        <v>0</v>
      </c>
      <c r="T13603" s="21" t="n">
        <v>0</v>
      </c>
      <c r="U13603" s="21" t="n">
        <v>0</v>
      </c>
      <c r="V13603" s="21" t="n">
        <v>0</v>
      </c>
      <c r="W13603" s="21" t="n">
        <v>0</v>
      </c>
      <c r="X13603" s="21" t="n">
        <v>0</v>
      </c>
      <c r="Y13603" s="21" t="n">
        <v>0</v>
      </c>
      <c r="Z13603" s="19" t="n"/>
    </row>
    <row r="13604">
      <c r="D13604" s="21" t="n">
        <v>0</v>
      </c>
      <c r="E13604" s="21" t="n">
        <v>0</v>
      </c>
      <c r="F13604" s="21" t="n">
        <v>0</v>
      </c>
      <c r="G13604" s="21" t="n">
        <v>0</v>
      </c>
      <c r="H13604" s="21" t="n">
        <v>0</v>
      </c>
      <c r="I13604" s="21" t="n">
        <v>0</v>
      </c>
      <c r="J13604" s="21">
        <f>-$B$12189</f>
        <v/>
      </c>
      <c r="K13604" s="21">
        <f>-$B$12190</f>
        <v/>
      </c>
      <c r="L13604" s="21">
        <f>2*$B$12189+$D$13588</f>
        <v/>
      </c>
      <c r="M13604" s="21">
        <f>0</f>
        <v/>
      </c>
      <c r="N13604" s="21">
        <f>-$B$12189</f>
        <v/>
      </c>
      <c r="O13604" s="21">
        <f>$B$12190</f>
        <v/>
      </c>
      <c r="P13604" s="21" t="n">
        <v>0</v>
      </c>
      <c r="Q13604" s="21" t="n">
        <v>0</v>
      </c>
      <c r="R13604" s="21" t="n">
        <v>0</v>
      </c>
      <c r="S13604" s="21" t="n">
        <v>0</v>
      </c>
      <c r="T13604" s="21" t="n">
        <v>0</v>
      </c>
      <c r="U13604" s="21" t="n">
        <v>0</v>
      </c>
      <c r="V13604" s="21" t="n">
        <v>0</v>
      </c>
      <c r="W13604" s="21" t="n">
        <v>0</v>
      </c>
      <c r="X13604" s="21" t="n">
        <v>0</v>
      </c>
      <c r="Y13604" s="21" t="n">
        <v>0</v>
      </c>
      <c r="Z13604" s="19" t="n"/>
    </row>
    <row r="13605">
      <c r="D13605" s="21" t="n">
        <v>0</v>
      </c>
      <c r="E13605" s="21" t="n">
        <v>0</v>
      </c>
      <c r="F13605" s="21" t="n">
        <v>0</v>
      </c>
      <c r="G13605" s="21" t="n">
        <v>0</v>
      </c>
      <c r="H13605" s="21" t="n">
        <v>0</v>
      </c>
      <c r="I13605" s="21" t="n">
        <v>0</v>
      </c>
      <c r="J13605" s="21">
        <f>$B$12190</f>
        <v/>
      </c>
      <c r="K13605" s="21">
        <f>$B$12192</f>
        <v/>
      </c>
      <c r="L13605" s="21">
        <f>0</f>
        <v/>
      </c>
      <c r="M13605" s="21">
        <f>2*$B$12191</f>
        <v/>
      </c>
      <c r="N13605" s="21">
        <f>-$B$12190</f>
        <v/>
      </c>
      <c r="O13605" s="21">
        <f>$B$12192</f>
        <v/>
      </c>
      <c r="P13605" s="21" t="n">
        <v>0</v>
      </c>
      <c r="Q13605" s="21" t="n">
        <v>0</v>
      </c>
      <c r="R13605" s="21" t="n">
        <v>0</v>
      </c>
      <c r="S13605" s="21" t="n">
        <v>0</v>
      </c>
      <c r="T13605" s="21" t="n">
        <v>0</v>
      </c>
      <c r="U13605" s="21" t="n">
        <v>0</v>
      </c>
      <c r="V13605" s="21" t="n">
        <v>0</v>
      </c>
      <c r="W13605" s="21" t="n">
        <v>0</v>
      </c>
      <c r="X13605" s="21" t="n">
        <v>0</v>
      </c>
      <c r="Y13605" s="21" t="n">
        <v>0</v>
      </c>
      <c r="Z13605" s="19" t="n"/>
    </row>
    <row r="13606">
      <c r="D13606" s="21" t="n">
        <v>0</v>
      </c>
      <c r="E13606" s="21" t="n">
        <v>0</v>
      </c>
      <c r="F13606" s="21" t="n">
        <v>0</v>
      </c>
      <c r="G13606" s="21" t="n">
        <v>0</v>
      </c>
      <c r="H13606" s="21" t="n">
        <v>0</v>
      </c>
      <c r="I13606" s="21" t="n">
        <v>0</v>
      </c>
      <c r="J13606" s="21" t="n">
        <v>0</v>
      </c>
      <c r="K13606" s="21" t="n">
        <v>0</v>
      </c>
      <c r="L13606" s="21">
        <f>-$B$12189</f>
        <v/>
      </c>
      <c r="M13606" s="21">
        <f>-$B$12190</f>
        <v/>
      </c>
      <c r="N13606" s="21">
        <f>2*$B$12189+$D$13589</f>
        <v/>
      </c>
      <c r="O13606" s="21">
        <f>0</f>
        <v/>
      </c>
      <c r="P13606" s="21">
        <f>-$B$12189</f>
        <v/>
      </c>
      <c r="Q13606" s="21">
        <f>$B$12190</f>
        <v/>
      </c>
      <c r="R13606" s="21" t="n">
        <v>0</v>
      </c>
      <c r="S13606" s="21" t="n">
        <v>0</v>
      </c>
      <c r="T13606" s="21" t="n">
        <v>0</v>
      </c>
      <c r="U13606" s="21" t="n">
        <v>0</v>
      </c>
      <c r="V13606" s="21" t="n">
        <v>0</v>
      </c>
      <c r="W13606" s="21" t="n">
        <v>0</v>
      </c>
      <c r="X13606" s="21" t="n">
        <v>0</v>
      </c>
      <c r="Y13606" s="21" t="n">
        <v>0</v>
      </c>
      <c r="Z13606" s="19" t="n"/>
    </row>
    <row r="13607">
      <c r="D13607" s="21" t="n">
        <v>0</v>
      </c>
      <c r="E13607" s="21" t="n">
        <v>0</v>
      </c>
      <c r="F13607" s="21" t="n">
        <v>0</v>
      </c>
      <c r="G13607" s="21" t="n">
        <v>0</v>
      </c>
      <c r="H13607" s="21" t="n">
        <v>0</v>
      </c>
      <c r="I13607" s="21" t="n">
        <v>0</v>
      </c>
      <c r="J13607" s="21" t="n">
        <v>0</v>
      </c>
      <c r="K13607" s="21" t="n">
        <v>0</v>
      </c>
      <c r="L13607" s="21">
        <f>$B$12190</f>
        <v/>
      </c>
      <c r="M13607" s="21">
        <f>$B$12192</f>
        <v/>
      </c>
      <c r="N13607" s="21">
        <f>0</f>
        <v/>
      </c>
      <c r="O13607" s="21">
        <f>2*$B$12191</f>
        <v/>
      </c>
      <c r="P13607" s="21">
        <f>-$B$12190</f>
        <v/>
      </c>
      <c r="Q13607" s="21">
        <f>$B$12192</f>
        <v/>
      </c>
      <c r="R13607" s="21" t="n">
        <v>0</v>
      </c>
      <c r="S13607" s="21" t="n">
        <v>0</v>
      </c>
      <c r="T13607" s="21" t="n">
        <v>0</v>
      </c>
      <c r="U13607" s="21" t="n">
        <v>0</v>
      </c>
      <c r="V13607" s="21" t="n">
        <v>0</v>
      </c>
      <c r="W13607" s="21" t="n">
        <v>0</v>
      </c>
      <c r="X13607" s="21" t="n">
        <v>0</v>
      </c>
      <c r="Y13607" s="21" t="n">
        <v>0</v>
      </c>
      <c r="Z13607" s="19" t="n"/>
    </row>
    <row r="13608">
      <c r="D13608" s="21" t="n">
        <v>0</v>
      </c>
      <c r="E13608" s="21" t="n">
        <v>0</v>
      </c>
      <c r="F13608" s="21" t="n">
        <v>0</v>
      </c>
      <c r="G13608" s="21" t="n">
        <v>0</v>
      </c>
      <c r="H13608" s="21" t="n">
        <v>0</v>
      </c>
      <c r="I13608" s="21" t="n">
        <v>0</v>
      </c>
      <c r="J13608" s="21" t="n">
        <v>0</v>
      </c>
      <c r="K13608" s="21" t="n">
        <v>0</v>
      </c>
      <c r="L13608" s="21" t="n">
        <v>0</v>
      </c>
      <c r="M13608" s="21" t="n">
        <v>0</v>
      </c>
      <c r="N13608" s="21">
        <f>-$B$12189</f>
        <v/>
      </c>
      <c r="O13608" s="21">
        <f>-$B$12190</f>
        <v/>
      </c>
      <c r="P13608" s="21">
        <f>2*$B$12189+$D$13590</f>
        <v/>
      </c>
      <c r="Q13608" s="21">
        <f>0</f>
        <v/>
      </c>
      <c r="R13608" s="21">
        <f>-$B$12189</f>
        <v/>
      </c>
      <c r="S13608" s="21">
        <f>$B$12190</f>
        <v/>
      </c>
      <c r="T13608" s="21" t="n">
        <v>0</v>
      </c>
      <c r="U13608" s="21" t="n">
        <v>0</v>
      </c>
      <c r="V13608" s="21" t="n">
        <v>0</v>
      </c>
      <c r="W13608" s="21" t="n">
        <v>0</v>
      </c>
      <c r="X13608" s="21" t="n">
        <v>0</v>
      </c>
      <c r="Y13608" s="21" t="n">
        <v>0</v>
      </c>
      <c r="Z13608" s="19" t="n"/>
    </row>
    <row r="13609">
      <c r="D13609" s="21" t="n">
        <v>0</v>
      </c>
      <c r="E13609" s="21" t="n">
        <v>0</v>
      </c>
      <c r="F13609" s="21" t="n">
        <v>0</v>
      </c>
      <c r="G13609" s="21" t="n">
        <v>0</v>
      </c>
      <c r="H13609" s="21" t="n">
        <v>0</v>
      </c>
      <c r="I13609" s="21" t="n">
        <v>0</v>
      </c>
      <c r="J13609" s="21" t="n">
        <v>0</v>
      </c>
      <c r="K13609" s="21" t="n">
        <v>0</v>
      </c>
      <c r="L13609" s="21" t="n">
        <v>0</v>
      </c>
      <c r="M13609" s="21" t="n">
        <v>0</v>
      </c>
      <c r="N13609" s="21">
        <f>$B$12190</f>
        <v/>
      </c>
      <c r="O13609" s="21">
        <f>$B$12192</f>
        <v/>
      </c>
      <c r="P13609" s="21">
        <f>0</f>
        <v/>
      </c>
      <c r="Q13609" s="21">
        <f>2*$B$12191</f>
        <v/>
      </c>
      <c r="R13609" s="21">
        <f>-$B$12190</f>
        <v/>
      </c>
      <c r="S13609" s="21">
        <f>$B$12192</f>
        <v/>
      </c>
      <c r="T13609" s="21" t="n">
        <v>0</v>
      </c>
      <c r="U13609" s="21" t="n">
        <v>0</v>
      </c>
      <c r="V13609" s="21" t="n">
        <v>0</v>
      </c>
      <c r="W13609" s="21" t="n">
        <v>0</v>
      </c>
      <c r="X13609" s="21" t="n">
        <v>0</v>
      </c>
      <c r="Y13609" s="21" t="n">
        <v>0</v>
      </c>
      <c r="Z13609" s="19" t="n"/>
    </row>
    <row r="13610">
      <c r="D13610" s="21" t="n">
        <v>0</v>
      </c>
      <c r="E13610" s="21" t="n">
        <v>0</v>
      </c>
      <c r="F13610" s="21" t="n">
        <v>0</v>
      </c>
      <c r="G13610" s="21" t="n">
        <v>0</v>
      </c>
      <c r="H13610" s="21" t="n">
        <v>0</v>
      </c>
      <c r="I13610" s="21" t="n">
        <v>0</v>
      </c>
      <c r="J13610" s="21" t="n">
        <v>0</v>
      </c>
      <c r="K13610" s="21" t="n">
        <v>0</v>
      </c>
      <c r="L13610" s="21" t="n">
        <v>0</v>
      </c>
      <c r="M13610" s="21" t="n">
        <v>0</v>
      </c>
      <c r="N13610" s="21" t="n">
        <v>0</v>
      </c>
      <c r="O13610" s="21" t="n">
        <v>0</v>
      </c>
      <c r="P13610" s="21">
        <f>-$B$12189</f>
        <v/>
      </c>
      <c r="Q13610" s="21">
        <f>-$B$12190</f>
        <v/>
      </c>
      <c r="R13610" s="21">
        <f>2*$B$12189+$D$13591</f>
        <v/>
      </c>
      <c r="S13610" s="21">
        <f>0</f>
        <v/>
      </c>
      <c r="T13610" s="21">
        <f>-$B$12189</f>
        <v/>
      </c>
      <c r="U13610" s="21">
        <f>$B$12190</f>
        <v/>
      </c>
      <c r="V13610" s="21" t="n">
        <v>0</v>
      </c>
      <c r="W13610" s="21" t="n">
        <v>0</v>
      </c>
      <c r="X13610" s="21" t="n">
        <v>0</v>
      </c>
      <c r="Y13610" s="21" t="n">
        <v>0</v>
      </c>
      <c r="Z13610" s="19" t="n"/>
    </row>
    <row r="13611">
      <c r="D13611" s="21" t="n">
        <v>0</v>
      </c>
      <c r="E13611" s="21" t="n">
        <v>0</v>
      </c>
      <c r="F13611" s="21" t="n">
        <v>0</v>
      </c>
      <c r="G13611" s="21" t="n">
        <v>0</v>
      </c>
      <c r="H13611" s="21" t="n">
        <v>0</v>
      </c>
      <c r="I13611" s="21" t="n">
        <v>0</v>
      </c>
      <c r="J13611" s="21" t="n">
        <v>0</v>
      </c>
      <c r="K13611" s="21" t="n">
        <v>0</v>
      </c>
      <c r="L13611" s="21" t="n">
        <v>0</v>
      </c>
      <c r="M13611" s="21" t="n">
        <v>0</v>
      </c>
      <c r="N13611" s="21" t="n">
        <v>0</v>
      </c>
      <c r="O13611" s="21" t="n">
        <v>0</v>
      </c>
      <c r="P13611" s="21">
        <f>$B$12190</f>
        <v/>
      </c>
      <c r="Q13611" s="21">
        <f>$B$12192</f>
        <v/>
      </c>
      <c r="R13611" s="21">
        <f>0</f>
        <v/>
      </c>
      <c r="S13611" s="21">
        <f>2*$B$12191</f>
        <v/>
      </c>
      <c r="T13611" s="21">
        <f>-$B$12190</f>
        <v/>
      </c>
      <c r="U13611" s="21">
        <f>$B$12192</f>
        <v/>
      </c>
      <c r="V13611" s="21" t="n">
        <v>0</v>
      </c>
      <c r="W13611" s="21" t="n">
        <v>0</v>
      </c>
      <c r="X13611" s="21" t="n">
        <v>0</v>
      </c>
      <c r="Y13611" s="21" t="n">
        <v>0</v>
      </c>
      <c r="Z13611" s="19" t="n"/>
    </row>
    <row r="13612">
      <c r="D13612" s="21" t="n">
        <v>0</v>
      </c>
      <c r="E13612" s="21" t="n">
        <v>0</v>
      </c>
      <c r="F13612" s="21" t="n">
        <v>0</v>
      </c>
      <c r="G13612" s="21" t="n">
        <v>0</v>
      </c>
      <c r="H13612" s="21" t="n">
        <v>0</v>
      </c>
      <c r="I13612" s="21" t="n">
        <v>0</v>
      </c>
      <c r="J13612" s="21" t="n">
        <v>0</v>
      </c>
      <c r="K13612" s="21" t="n">
        <v>0</v>
      </c>
      <c r="L13612" s="21" t="n">
        <v>0</v>
      </c>
      <c r="M13612" s="21" t="n">
        <v>0</v>
      </c>
      <c r="N13612" s="21" t="n">
        <v>0</v>
      </c>
      <c r="O13612" s="21" t="n">
        <v>0</v>
      </c>
      <c r="P13612" s="21" t="n">
        <v>0</v>
      </c>
      <c r="Q13612" s="21" t="n">
        <v>0</v>
      </c>
      <c r="R13612" s="21">
        <f>-$B$12189</f>
        <v/>
      </c>
      <c r="S13612" s="21">
        <f>-$B$12190</f>
        <v/>
      </c>
      <c r="T13612" s="21">
        <f>2*$B$12189+$D$13592</f>
        <v/>
      </c>
      <c r="U13612" s="21">
        <f>0</f>
        <v/>
      </c>
      <c r="V13612" s="21">
        <f>-$B$12189</f>
        <v/>
      </c>
      <c r="W13612" s="21">
        <f>$B$12190</f>
        <v/>
      </c>
      <c r="X13612" s="21" t="n">
        <v>0</v>
      </c>
      <c r="Y13612" s="21" t="n">
        <v>0</v>
      </c>
      <c r="Z13612" s="19" t="n"/>
    </row>
    <row r="13613">
      <c r="D13613" s="21" t="n">
        <v>0</v>
      </c>
      <c r="E13613" s="21" t="n">
        <v>0</v>
      </c>
      <c r="F13613" s="21" t="n">
        <v>0</v>
      </c>
      <c r="G13613" s="21" t="n">
        <v>0</v>
      </c>
      <c r="H13613" s="21" t="n">
        <v>0</v>
      </c>
      <c r="I13613" s="21" t="n">
        <v>0</v>
      </c>
      <c r="J13613" s="21" t="n">
        <v>0</v>
      </c>
      <c r="K13613" s="21" t="n">
        <v>0</v>
      </c>
      <c r="L13613" s="21" t="n">
        <v>0</v>
      </c>
      <c r="M13613" s="21" t="n">
        <v>0</v>
      </c>
      <c r="N13613" s="21" t="n">
        <v>0</v>
      </c>
      <c r="O13613" s="21" t="n">
        <v>0</v>
      </c>
      <c r="P13613" s="21" t="n">
        <v>0</v>
      </c>
      <c r="Q13613" s="21" t="n">
        <v>0</v>
      </c>
      <c r="R13613" s="21">
        <f>$B$12190</f>
        <v/>
      </c>
      <c r="S13613" s="21">
        <f>$B$12192</f>
        <v/>
      </c>
      <c r="T13613" s="21">
        <f>0</f>
        <v/>
      </c>
      <c r="U13613" s="21">
        <f>2*$B$12191</f>
        <v/>
      </c>
      <c r="V13613" s="21">
        <f>-$B$12190</f>
        <v/>
      </c>
      <c r="W13613" s="21">
        <f>$B$12192</f>
        <v/>
      </c>
      <c r="X13613" s="21" t="n">
        <v>0</v>
      </c>
      <c r="Y13613" s="21" t="n">
        <v>0</v>
      </c>
      <c r="Z13613" s="19" t="n"/>
    </row>
    <row r="13614">
      <c r="D13614" s="21" t="n">
        <v>0</v>
      </c>
      <c r="E13614" s="21" t="n">
        <v>0</v>
      </c>
      <c r="F13614" s="21" t="n">
        <v>0</v>
      </c>
      <c r="G13614" s="21" t="n">
        <v>0</v>
      </c>
      <c r="H13614" s="21" t="n">
        <v>0</v>
      </c>
      <c r="I13614" s="21" t="n">
        <v>0</v>
      </c>
      <c r="J13614" s="21" t="n">
        <v>0</v>
      </c>
      <c r="K13614" s="21" t="n">
        <v>0</v>
      </c>
      <c r="L13614" s="21" t="n">
        <v>0</v>
      </c>
      <c r="M13614" s="21" t="n">
        <v>0</v>
      </c>
      <c r="N13614" s="21" t="n">
        <v>0</v>
      </c>
      <c r="O13614" s="21" t="n">
        <v>0</v>
      </c>
      <c r="P13614" s="21" t="n">
        <v>0</v>
      </c>
      <c r="Q13614" s="21" t="n">
        <v>0</v>
      </c>
      <c r="R13614" s="21" t="n">
        <v>0</v>
      </c>
      <c r="S13614" s="21" t="n">
        <v>0</v>
      </c>
      <c r="T13614" s="21">
        <f>-$B$12189</f>
        <v/>
      </c>
      <c r="U13614" s="21">
        <f>-$B$12190</f>
        <v/>
      </c>
      <c r="V13614" s="21">
        <f>2*$B$12189+$D$13593</f>
        <v/>
      </c>
      <c r="W13614" s="21">
        <f>0</f>
        <v/>
      </c>
      <c r="X13614" s="21">
        <f>-$B$12189</f>
        <v/>
      </c>
      <c r="Y13614" s="21">
        <f>$B$12190</f>
        <v/>
      </c>
      <c r="Z13614" s="19" t="n"/>
    </row>
    <row r="13615">
      <c r="D13615" s="21" t="n">
        <v>0</v>
      </c>
      <c r="E13615" s="21" t="n">
        <v>0</v>
      </c>
      <c r="F13615" s="21" t="n">
        <v>0</v>
      </c>
      <c r="G13615" s="21" t="n">
        <v>0</v>
      </c>
      <c r="H13615" s="21" t="n">
        <v>0</v>
      </c>
      <c r="I13615" s="21" t="n">
        <v>0</v>
      </c>
      <c r="J13615" s="21" t="n">
        <v>0</v>
      </c>
      <c r="K13615" s="21" t="n">
        <v>0</v>
      </c>
      <c r="L13615" s="21" t="n">
        <v>0</v>
      </c>
      <c r="M13615" s="21" t="n">
        <v>0</v>
      </c>
      <c r="N13615" s="21" t="n">
        <v>0</v>
      </c>
      <c r="O13615" s="21" t="n">
        <v>0</v>
      </c>
      <c r="P13615" s="21" t="n">
        <v>0</v>
      </c>
      <c r="Q13615" s="21" t="n">
        <v>0</v>
      </c>
      <c r="R13615" s="21" t="n">
        <v>0</v>
      </c>
      <c r="S13615" s="21" t="n">
        <v>0</v>
      </c>
      <c r="T13615" s="21">
        <f>$B$12190</f>
        <v/>
      </c>
      <c r="U13615" s="21">
        <f>$B$12192</f>
        <v/>
      </c>
      <c r="V13615" s="21">
        <f>0</f>
        <v/>
      </c>
      <c r="W13615" s="21">
        <f>2*$B$12191</f>
        <v/>
      </c>
      <c r="X13615" s="21">
        <f>-$B$12190</f>
        <v/>
      </c>
      <c r="Y13615" s="21">
        <f>$B$12192</f>
        <v/>
      </c>
      <c r="Z13615" s="19" t="n"/>
    </row>
    <row r="13616">
      <c r="D13616" s="21" t="n">
        <v>0</v>
      </c>
      <c r="E13616" s="21" t="n">
        <v>0</v>
      </c>
      <c r="F13616" s="21" t="n">
        <v>0</v>
      </c>
      <c r="G13616" s="21" t="n">
        <v>0</v>
      </c>
      <c r="H13616" s="21" t="n">
        <v>0</v>
      </c>
      <c r="I13616" s="21" t="n">
        <v>0</v>
      </c>
      <c r="J13616" s="21" t="n">
        <v>0</v>
      </c>
      <c r="K13616" s="21" t="n">
        <v>0</v>
      </c>
      <c r="L13616" s="21" t="n">
        <v>0</v>
      </c>
      <c r="M13616" s="21" t="n">
        <v>0</v>
      </c>
      <c r="N13616" s="21" t="n">
        <v>0</v>
      </c>
      <c r="O13616" s="21" t="n">
        <v>0</v>
      </c>
      <c r="P13616" s="21" t="n">
        <v>0</v>
      </c>
      <c r="Q13616" s="21" t="n">
        <v>0</v>
      </c>
      <c r="R13616" s="21" t="n">
        <v>0</v>
      </c>
      <c r="S13616" s="21" t="n">
        <v>0</v>
      </c>
      <c r="T13616" s="21" t="n">
        <v>0</v>
      </c>
      <c r="U13616" s="21" t="n">
        <v>0</v>
      </c>
      <c r="V13616" s="21">
        <f>-$B$12189</f>
        <v/>
      </c>
      <c r="W13616" s="21">
        <f>-$B$12190</f>
        <v/>
      </c>
      <c r="X13616" s="21">
        <f>$B$12189+$D$13594</f>
        <v/>
      </c>
      <c r="Y13616" s="21">
        <f>-$B$12190</f>
        <v/>
      </c>
      <c r="Z13616" s="19" t="n"/>
    </row>
    <row r="13617">
      <c r="D13617" s="21" t="n">
        <v>0</v>
      </c>
      <c r="E13617" s="21" t="n">
        <v>0</v>
      </c>
      <c r="F13617" s="21" t="n">
        <v>0</v>
      </c>
      <c r="G13617" s="21" t="n">
        <v>0</v>
      </c>
      <c r="H13617" s="21" t="n">
        <v>0</v>
      </c>
      <c r="I13617" s="21" t="n">
        <v>0</v>
      </c>
      <c r="J13617" s="21" t="n">
        <v>0</v>
      </c>
      <c r="K13617" s="21" t="n">
        <v>0</v>
      </c>
      <c r="L13617" s="21" t="n">
        <v>0</v>
      </c>
      <c r="M13617" s="21" t="n">
        <v>0</v>
      </c>
      <c r="N13617" s="21" t="n">
        <v>0</v>
      </c>
      <c r="O13617" s="21" t="n">
        <v>0</v>
      </c>
      <c r="P13617" s="21" t="n">
        <v>0</v>
      </c>
      <c r="Q13617" s="21" t="n">
        <v>0</v>
      </c>
      <c r="R13617" s="21" t="n">
        <v>0</v>
      </c>
      <c r="S13617" s="21" t="n">
        <v>0</v>
      </c>
      <c r="T13617" s="21" t="n">
        <v>0</v>
      </c>
      <c r="U13617" s="21" t="n">
        <v>0</v>
      </c>
      <c r="V13617" s="21">
        <f>$B$12190</f>
        <v/>
      </c>
      <c r="W13617" s="21">
        <f>$B$12192</f>
        <v/>
      </c>
      <c r="X13617" s="21">
        <f>-$B$12190</f>
        <v/>
      </c>
      <c r="Y13617" s="21">
        <f>$B$12191</f>
        <v/>
      </c>
      <c r="Z13617" s="19" t="n"/>
    </row>
    <row r="13619">
      <c r="A13619" s="8" t="inlineStr">
        <is>
          <t>gen 39</t>
        </is>
      </c>
    </row>
    <row r="13620">
      <c r="D13620" s="19">
        <f>IF(ABS(IF(ABS($E$13584)&gt;0.000000001,$E$13584,0.000000001))=0,0,IF($E$12204&lt;=$B$12198,0,IF(ABS(IF(ABS($E$13584)&gt;0.000000001,$E$13584,0.000000001))&gt;=8*$B$12200,$H$12204,0.5*$H$12204*(ABS(IF(ABS($E$13584)&gt;0.000000001,$E$13584,0.000000001))/$B$12200)^(1/3)))/ABS(IF(ABS($E$13584)&gt;0.000000001,$E$13584,0.000000001))*$I$12204)</f>
        <v/>
      </c>
      <c r="E13620" s="19">
        <f>0.5*$E$13584+0.5*$Z$13632</f>
        <v/>
      </c>
      <c r="F13620" s="19">
        <f>$Z$13633</f>
        <v/>
      </c>
    </row>
    <row r="13621">
      <c r="D13621" s="19">
        <f>IF(ABS(IF(ABS($E$13585)&gt;0.000000001,$E$13585,0.000000001))=0,0,IF($E$12205&lt;=$B$12198,0,IF(ABS(IF(ABS($E$13585)&gt;0.000000001,$E$13585,0.000000001))&gt;=8*$B$12200,$H$12205,0.5*$H$12205*(ABS(IF(ABS($E$13585)&gt;0.000000001,$E$13585,0.000000001))/$B$12200)^(1/3)))/ABS(IF(ABS($E$13585)&gt;0.000000001,$E$13585,0.000000001))*$I$12205)</f>
        <v/>
      </c>
      <c r="E13621" s="19">
        <f>0.5*$E$13585+0.5*$Z$13634</f>
        <v/>
      </c>
      <c r="F13621" s="19">
        <f>$Z$13635</f>
        <v/>
      </c>
    </row>
    <row r="13622">
      <c r="D13622" s="19">
        <f>IF(ABS(IF(ABS($E$13586)&gt;0.000000001,$E$13586,0.000000001))=0,0,IF($E$12206&lt;=$B$12198,0,IF(ABS(IF(ABS($E$13586)&gt;0.000000001,$E$13586,0.000000001))&gt;=8*$B$12200,$H$12206,0.5*$H$12206*(ABS(IF(ABS($E$13586)&gt;0.000000001,$E$13586,0.000000001))/$B$12200)^(1/3)))/ABS(IF(ABS($E$13586)&gt;0.000000001,$E$13586,0.000000001))*$I$12206)</f>
        <v/>
      </c>
      <c r="E13622" s="19">
        <f>0.5*$E$13586+0.5*$Z$13636</f>
        <v/>
      </c>
      <c r="F13622" s="19">
        <f>$Z$13637</f>
        <v/>
      </c>
    </row>
    <row r="13623">
      <c r="D13623" s="19">
        <f>IF(ABS(IF(ABS($E$13587)&gt;0.000000001,$E$13587,0.000000001))=0,0,IF($E$12207&lt;=$B$12198,0,IF(ABS(IF(ABS($E$13587)&gt;0.000000001,$E$13587,0.000000001))&gt;=8*$B$12200,$H$12207,0.5*$H$12207*(ABS(IF(ABS($E$13587)&gt;0.000000001,$E$13587,0.000000001))/$B$12200)^(1/3)))/ABS(IF(ABS($E$13587)&gt;0.000000001,$E$13587,0.000000001))*$I$12207)</f>
        <v/>
      </c>
      <c r="E13623" s="19">
        <f>0.5*$E$13587+0.5*$Z$13638</f>
        <v/>
      </c>
      <c r="F13623" s="19">
        <f>$Z$13639</f>
        <v/>
      </c>
    </row>
    <row r="13624">
      <c r="D13624" s="19">
        <f>IF(ABS(IF(ABS($E$13588)&gt;0.000000001,$E$13588,0.000000001))=0,0,IF($E$12208&lt;=$B$12198,0,IF(ABS(IF(ABS($E$13588)&gt;0.000000001,$E$13588,0.000000001))&gt;=8*$B$12200,$H$12208,0.5*$H$12208*(ABS(IF(ABS($E$13588)&gt;0.000000001,$E$13588,0.000000001))/$B$12200)^(1/3)))/ABS(IF(ABS($E$13588)&gt;0.000000001,$E$13588,0.000000001))*$I$12208)</f>
        <v/>
      </c>
      <c r="E13624" s="19">
        <f>0.5*$E$13588+0.5*$Z$13640</f>
        <v/>
      </c>
      <c r="F13624" s="19">
        <f>$Z$13641</f>
        <v/>
      </c>
    </row>
    <row r="13625">
      <c r="D13625" s="19">
        <f>IF(ABS(IF(ABS($E$13589)&gt;0.000000001,$E$13589,0.000000001))=0,0,IF($E$12209&lt;=$B$12198,0,IF(ABS(IF(ABS($E$13589)&gt;0.000000001,$E$13589,0.000000001))&gt;=8*$B$12200,$H$12209,0.5*$H$12209*(ABS(IF(ABS($E$13589)&gt;0.000000001,$E$13589,0.000000001))/$B$12200)^(1/3)))/ABS(IF(ABS($E$13589)&gt;0.000000001,$E$13589,0.000000001))*$I$12209)</f>
        <v/>
      </c>
      <c r="E13625" s="19">
        <f>0.5*$E$13589+0.5*$Z$13642</f>
        <v/>
      </c>
      <c r="F13625" s="19">
        <f>$Z$13643</f>
        <v/>
      </c>
    </row>
    <row r="13626">
      <c r="D13626" s="19">
        <f>IF(ABS(IF(ABS($E$13590)&gt;0.000000001,$E$13590,0.000000001))=0,0,IF($E$12210&lt;=$B$12198,0,IF(ABS(IF(ABS($E$13590)&gt;0.000000001,$E$13590,0.000000001))&gt;=8*$B$12200,$H$12210,0.5*$H$12210*(ABS(IF(ABS($E$13590)&gt;0.000000001,$E$13590,0.000000001))/$B$12200)^(1/3)))/ABS(IF(ABS($E$13590)&gt;0.000000001,$E$13590,0.000000001))*$I$12210)</f>
        <v/>
      </c>
      <c r="E13626" s="19">
        <f>0.5*$E$13590+0.5*$Z$13644</f>
        <v/>
      </c>
      <c r="F13626" s="19">
        <f>$Z$13645</f>
        <v/>
      </c>
    </row>
    <row r="13627">
      <c r="D13627" s="19">
        <f>IF(ABS(IF(ABS($E$13591)&gt;0.000000001,$E$13591,0.000000001))=0,0,IF($E$12211&lt;=$B$12198,0,IF(ABS(IF(ABS($E$13591)&gt;0.000000001,$E$13591,0.000000001))&gt;=8*$B$12200,$H$12211,0.5*$H$12211*(ABS(IF(ABS($E$13591)&gt;0.000000001,$E$13591,0.000000001))/$B$12200)^(1/3)))/ABS(IF(ABS($E$13591)&gt;0.000000001,$E$13591,0.000000001))*$I$12211)</f>
        <v/>
      </c>
      <c r="E13627" s="19">
        <f>0.5*$E$13591+0.5*$Z$13646</f>
        <v/>
      </c>
      <c r="F13627" s="19">
        <f>$Z$13647</f>
        <v/>
      </c>
    </row>
    <row r="13628">
      <c r="D13628" s="19">
        <f>IF(ABS(IF(ABS($E$13592)&gt;0.000000001,$E$13592,0.000000001))=0,0,IF($E$12212&lt;=$B$12198,0,IF(ABS(IF(ABS($E$13592)&gt;0.000000001,$E$13592,0.000000001))&gt;=8*$B$12200,$H$12212,0.5*$H$12212*(ABS(IF(ABS($E$13592)&gt;0.000000001,$E$13592,0.000000001))/$B$12200)^(1/3)))/ABS(IF(ABS($E$13592)&gt;0.000000001,$E$13592,0.000000001))*$I$12212)</f>
        <v/>
      </c>
      <c r="E13628" s="19">
        <f>0.5*$E$13592+0.5*$Z$13648</f>
        <v/>
      </c>
      <c r="F13628" s="19">
        <f>$Z$13649</f>
        <v/>
      </c>
    </row>
    <row r="13629">
      <c r="D13629" s="19">
        <f>IF(ABS(IF(ABS($E$13593)&gt;0.000000001,$E$13593,0.000000001))=0,0,IF($E$12213&lt;=$B$12198,0,IF(ABS(IF(ABS($E$13593)&gt;0.000000001,$E$13593,0.000000001))&gt;=8*$B$12200,$H$12213,0.5*$H$12213*(ABS(IF(ABS($E$13593)&gt;0.000000001,$E$13593,0.000000001))/$B$12200)^(1/3)))/ABS(IF(ABS($E$13593)&gt;0.000000001,$E$13593,0.000000001))*$I$12213)</f>
        <v/>
      </c>
      <c r="E13629" s="19">
        <f>0.5*$E$13593+0.5*$Z$13650</f>
        <v/>
      </c>
      <c r="F13629" s="19">
        <f>$Z$13651</f>
        <v/>
      </c>
    </row>
    <row r="13630">
      <c r="D13630" s="19">
        <f>IF(ABS(IF(ABS($E$13594)&gt;0.000000001,$E$13594,0.000000001))=0,0,IF($E$12214&lt;=$B$12198,0,IF(ABS(IF(ABS($E$13594)&gt;0.000000001,$E$13594,0.000000001))&gt;=8*$B$12200,$H$12214,0.5*$H$12214*(ABS(IF(ABS($E$13594)&gt;0.000000001,$E$13594,0.000000001))/$B$12200)^(1/3)))/ABS(IF(ABS($E$13594)&gt;0.000000001,$E$13594,0.000000001))*$I$12214)</f>
        <v/>
      </c>
      <c r="E13630" s="19">
        <f>0.5*$E$13594+0.5*$Z$13652</f>
        <v/>
      </c>
      <c r="F13630" s="19">
        <f>$Z$13653</f>
        <v/>
      </c>
    </row>
    <row r="13632">
      <c r="D13632" s="21">
        <f>$B$12189+$D$13620</f>
        <v/>
      </c>
      <c r="E13632" s="21">
        <f>$B$12190</f>
        <v/>
      </c>
      <c r="F13632" s="21">
        <f>-$B$12189</f>
        <v/>
      </c>
      <c r="G13632" s="21">
        <f>$B$12190</f>
        <v/>
      </c>
      <c r="H13632" s="21" t="n">
        <v>0</v>
      </c>
      <c r="I13632" s="21" t="n">
        <v>0</v>
      </c>
      <c r="J13632" s="21" t="n">
        <v>0</v>
      </c>
      <c r="K13632" s="21" t="n">
        <v>0</v>
      </c>
      <c r="L13632" s="21" t="n">
        <v>0</v>
      </c>
      <c r="M13632" s="21" t="n">
        <v>0</v>
      </c>
      <c r="N13632" s="21" t="n">
        <v>0</v>
      </c>
      <c r="O13632" s="21" t="n">
        <v>0</v>
      </c>
      <c r="P13632" s="21" t="n">
        <v>0</v>
      </c>
      <c r="Q13632" s="21" t="n">
        <v>0</v>
      </c>
      <c r="R13632" s="21" t="n">
        <v>0</v>
      </c>
      <c r="S13632" s="21" t="n">
        <v>0</v>
      </c>
      <c r="T13632" s="21" t="n">
        <v>0</v>
      </c>
      <c r="U13632" s="21" t="n">
        <v>0</v>
      </c>
      <c r="V13632" s="21" t="n">
        <v>0</v>
      </c>
      <c r="W13632" s="21" t="n">
        <v>0</v>
      </c>
      <c r="X13632" s="21" t="n">
        <v>0</v>
      </c>
      <c r="Y13632" s="21" t="n">
        <v>0</v>
      </c>
      <c r="Z13632" s="19">
        <f t="array" ref="Z13632:Z13653">MMULT(MINVERSE($D$13632:$Y$13653),$D$12216:$D$12237)</f>
        <v/>
      </c>
    </row>
    <row r="13633">
      <c r="D13633" s="21">
        <f>$B$12190</f>
        <v/>
      </c>
      <c r="E13633" s="21">
        <f>$B$12191</f>
        <v/>
      </c>
      <c r="F13633" s="21">
        <f>-$B$12190</f>
        <v/>
      </c>
      <c r="G13633" s="21">
        <f>$B$12192</f>
        <v/>
      </c>
      <c r="H13633" s="21" t="n">
        <v>0</v>
      </c>
      <c r="I13633" s="21" t="n">
        <v>0</v>
      </c>
      <c r="J13633" s="21" t="n">
        <v>0</v>
      </c>
      <c r="K13633" s="21" t="n">
        <v>0</v>
      </c>
      <c r="L13633" s="21" t="n">
        <v>0</v>
      </c>
      <c r="M13633" s="21" t="n">
        <v>0</v>
      </c>
      <c r="N13633" s="21" t="n">
        <v>0</v>
      </c>
      <c r="O13633" s="21" t="n">
        <v>0</v>
      </c>
      <c r="P13633" s="21" t="n">
        <v>0</v>
      </c>
      <c r="Q13633" s="21" t="n">
        <v>0</v>
      </c>
      <c r="R13633" s="21" t="n">
        <v>0</v>
      </c>
      <c r="S13633" s="21" t="n">
        <v>0</v>
      </c>
      <c r="T13633" s="21" t="n">
        <v>0</v>
      </c>
      <c r="U13633" s="21" t="n">
        <v>0</v>
      </c>
      <c r="V13633" s="21" t="n">
        <v>0</v>
      </c>
      <c r="W13633" s="21" t="n">
        <v>0</v>
      </c>
      <c r="X13633" s="21" t="n">
        <v>0</v>
      </c>
      <c r="Y13633" s="21" t="n">
        <v>0</v>
      </c>
      <c r="Z13633" s="19" t="n"/>
    </row>
    <row r="13634">
      <c r="D13634" s="21">
        <f>-$B$12189</f>
        <v/>
      </c>
      <c r="E13634" s="21">
        <f>-$B$12190</f>
        <v/>
      </c>
      <c r="F13634" s="21">
        <f>2*$B$12189+$D$13621</f>
        <v/>
      </c>
      <c r="G13634" s="21">
        <f>0</f>
        <v/>
      </c>
      <c r="H13634" s="21">
        <f>-$B$12189</f>
        <v/>
      </c>
      <c r="I13634" s="21">
        <f>$B$12190</f>
        <v/>
      </c>
      <c r="J13634" s="21" t="n">
        <v>0</v>
      </c>
      <c r="K13634" s="21" t="n">
        <v>0</v>
      </c>
      <c r="L13634" s="21" t="n">
        <v>0</v>
      </c>
      <c r="M13634" s="21" t="n">
        <v>0</v>
      </c>
      <c r="N13634" s="21" t="n">
        <v>0</v>
      </c>
      <c r="O13634" s="21" t="n">
        <v>0</v>
      </c>
      <c r="P13634" s="21" t="n">
        <v>0</v>
      </c>
      <c r="Q13634" s="21" t="n">
        <v>0</v>
      </c>
      <c r="R13634" s="21" t="n">
        <v>0</v>
      </c>
      <c r="S13634" s="21" t="n">
        <v>0</v>
      </c>
      <c r="T13634" s="21" t="n">
        <v>0</v>
      </c>
      <c r="U13634" s="21" t="n">
        <v>0</v>
      </c>
      <c r="V13634" s="21" t="n">
        <v>0</v>
      </c>
      <c r="W13634" s="21" t="n">
        <v>0</v>
      </c>
      <c r="X13634" s="21" t="n">
        <v>0</v>
      </c>
      <c r="Y13634" s="21" t="n">
        <v>0</v>
      </c>
      <c r="Z13634" s="19" t="n"/>
    </row>
    <row r="13635">
      <c r="D13635" s="21">
        <f>$B$12190</f>
        <v/>
      </c>
      <c r="E13635" s="21">
        <f>$B$12192</f>
        <v/>
      </c>
      <c r="F13635" s="21">
        <f>0</f>
        <v/>
      </c>
      <c r="G13635" s="21">
        <f>2*$B$12191</f>
        <v/>
      </c>
      <c r="H13635" s="21">
        <f>-$B$12190</f>
        <v/>
      </c>
      <c r="I13635" s="21">
        <f>$B$12192</f>
        <v/>
      </c>
      <c r="J13635" s="21" t="n">
        <v>0</v>
      </c>
      <c r="K13635" s="21" t="n">
        <v>0</v>
      </c>
      <c r="L13635" s="21" t="n">
        <v>0</v>
      </c>
      <c r="M13635" s="21" t="n">
        <v>0</v>
      </c>
      <c r="N13635" s="21" t="n">
        <v>0</v>
      </c>
      <c r="O13635" s="21" t="n">
        <v>0</v>
      </c>
      <c r="P13635" s="21" t="n">
        <v>0</v>
      </c>
      <c r="Q13635" s="21" t="n">
        <v>0</v>
      </c>
      <c r="R13635" s="21" t="n">
        <v>0</v>
      </c>
      <c r="S13635" s="21" t="n">
        <v>0</v>
      </c>
      <c r="T13635" s="21" t="n">
        <v>0</v>
      </c>
      <c r="U13635" s="21" t="n">
        <v>0</v>
      </c>
      <c r="V13635" s="21" t="n">
        <v>0</v>
      </c>
      <c r="W13635" s="21" t="n">
        <v>0</v>
      </c>
      <c r="X13635" s="21" t="n">
        <v>0</v>
      </c>
      <c r="Y13635" s="21" t="n">
        <v>0</v>
      </c>
      <c r="Z13635" s="19" t="n"/>
    </row>
    <row r="13636">
      <c r="D13636" s="21" t="n">
        <v>0</v>
      </c>
      <c r="E13636" s="21" t="n">
        <v>0</v>
      </c>
      <c r="F13636" s="21">
        <f>-$B$12189</f>
        <v/>
      </c>
      <c r="G13636" s="21">
        <f>-$B$12190</f>
        <v/>
      </c>
      <c r="H13636" s="21">
        <f>2*$B$12189+$D$13622</f>
        <v/>
      </c>
      <c r="I13636" s="21">
        <f>0</f>
        <v/>
      </c>
      <c r="J13636" s="21">
        <f>-$B$12189</f>
        <v/>
      </c>
      <c r="K13636" s="21">
        <f>$B$12190</f>
        <v/>
      </c>
      <c r="L13636" s="21" t="n">
        <v>0</v>
      </c>
      <c r="M13636" s="21" t="n">
        <v>0</v>
      </c>
      <c r="N13636" s="21" t="n">
        <v>0</v>
      </c>
      <c r="O13636" s="21" t="n">
        <v>0</v>
      </c>
      <c r="P13636" s="21" t="n">
        <v>0</v>
      </c>
      <c r="Q13636" s="21" t="n">
        <v>0</v>
      </c>
      <c r="R13636" s="21" t="n">
        <v>0</v>
      </c>
      <c r="S13636" s="21" t="n">
        <v>0</v>
      </c>
      <c r="T13636" s="21" t="n">
        <v>0</v>
      </c>
      <c r="U13636" s="21" t="n">
        <v>0</v>
      </c>
      <c r="V13636" s="21" t="n">
        <v>0</v>
      </c>
      <c r="W13636" s="21" t="n">
        <v>0</v>
      </c>
      <c r="X13636" s="21" t="n">
        <v>0</v>
      </c>
      <c r="Y13636" s="21" t="n">
        <v>0</v>
      </c>
      <c r="Z13636" s="19" t="n"/>
    </row>
    <row r="13637">
      <c r="D13637" s="21" t="n">
        <v>0</v>
      </c>
      <c r="E13637" s="21" t="n">
        <v>0</v>
      </c>
      <c r="F13637" s="21">
        <f>$B$12190</f>
        <v/>
      </c>
      <c r="G13637" s="21">
        <f>$B$12192</f>
        <v/>
      </c>
      <c r="H13637" s="21">
        <f>0</f>
        <v/>
      </c>
      <c r="I13637" s="21">
        <f>2*$B$12191</f>
        <v/>
      </c>
      <c r="J13637" s="21">
        <f>-$B$12190</f>
        <v/>
      </c>
      <c r="K13637" s="21">
        <f>$B$12192</f>
        <v/>
      </c>
      <c r="L13637" s="21" t="n">
        <v>0</v>
      </c>
      <c r="M13637" s="21" t="n">
        <v>0</v>
      </c>
      <c r="N13637" s="21" t="n">
        <v>0</v>
      </c>
      <c r="O13637" s="21" t="n">
        <v>0</v>
      </c>
      <c r="P13637" s="21" t="n">
        <v>0</v>
      </c>
      <c r="Q13637" s="21" t="n">
        <v>0</v>
      </c>
      <c r="R13637" s="21" t="n">
        <v>0</v>
      </c>
      <c r="S13637" s="21" t="n">
        <v>0</v>
      </c>
      <c r="T13637" s="21" t="n">
        <v>0</v>
      </c>
      <c r="U13637" s="21" t="n">
        <v>0</v>
      </c>
      <c r="V13637" s="21" t="n">
        <v>0</v>
      </c>
      <c r="W13637" s="21" t="n">
        <v>0</v>
      </c>
      <c r="X13637" s="21" t="n">
        <v>0</v>
      </c>
      <c r="Y13637" s="21" t="n">
        <v>0</v>
      </c>
      <c r="Z13637" s="19" t="n"/>
    </row>
    <row r="13638">
      <c r="D13638" s="21" t="n">
        <v>0</v>
      </c>
      <c r="E13638" s="21" t="n">
        <v>0</v>
      </c>
      <c r="F13638" s="21" t="n">
        <v>0</v>
      </c>
      <c r="G13638" s="21" t="n">
        <v>0</v>
      </c>
      <c r="H13638" s="21">
        <f>-$B$12189</f>
        <v/>
      </c>
      <c r="I13638" s="21">
        <f>-$B$12190</f>
        <v/>
      </c>
      <c r="J13638" s="21">
        <f>2*$B$12189+$D$13623</f>
        <v/>
      </c>
      <c r="K13638" s="21">
        <f>0</f>
        <v/>
      </c>
      <c r="L13638" s="21">
        <f>-$B$12189</f>
        <v/>
      </c>
      <c r="M13638" s="21">
        <f>$B$12190</f>
        <v/>
      </c>
      <c r="N13638" s="21" t="n">
        <v>0</v>
      </c>
      <c r="O13638" s="21" t="n">
        <v>0</v>
      </c>
      <c r="P13638" s="21" t="n">
        <v>0</v>
      </c>
      <c r="Q13638" s="21" t="n">
        <v>0</v>
      </c>
      <c r="R13638" s="21" t="n">
        <v>0</v>
      </c>
      <c r="S13638" s="21" t="n">
        <v>0</v>
      </c>
      <c r="T13638" s="21" t="n">
        <v>0</v>
      </c>
      <c r="U13638" s="21" t="n">
        <v>0</v>
      </c>
      <c r="V13638" s="21" t="n">
        <v>0</v>
      </c>
      <c r="W13638" s="21" t="n">
        <v>0</v>
      </c>
      <c r="X13638" s="21" t="n">
        <v>0</v>
      </c>
      <c r="Y13638" s="21" t="n">
        <v>0</v>
      </c>
      <c r="Z13638" s="19" t="n"/>
    </row>
    <row r="13639">
      <c r="D13639" s="21" t="n">
        <v>0</v>
      </c>
      <c r="E13639" s="21" t="n">
        <v>0</v>
      </c>
      <c r="F13639" s="21" t="n">
        <v>0</v>
      </c>
      <c r="G13639" s="21" t="n">
        <v>0</v>
      </c>
      <c r="H13639" s="21">
        <f>$B$12190</f>
        <v/>
      </c>
      <c r="I13639" s="21">
        <f>$B$12192</f>
        <v/>
      </c>
      <c r="J13639" s="21">
        <f>0</f>
        <v/>
      </c>
      <c r="K13639" s="21">
        <f>2*$B$12191</f>
        <v/>
      </c>
      <c r="L13639" s="21">
        <f>-$B$12190</f>
        <v/>
      </c>
      <c r="M13639" s="21">
        <f>$B$12192</f>
        <v/>
      </c>
      <c r="N13639" s="21" t="n">
        <v>0</v>
      </c>
      <c r="O13639" s="21" t="n">
        <v>0</v>
      </c>
      <c r="P13639" s="21" t="n">
        <v>0</v>
      </c>
      <c r="Q13639" s="21" t="n">
        <v>0</v>
      </c>
      <c r="R13639" s="21" t="n">
        <v>0</v>
      </c>
      <c r="S13639" s="21" t="n">
        <v>0</v>
      </c>
      <c r="T13639" s="21" t="n">
        <v>0</v>
      </c>
      <c r="U13639" s="21" t="n">
        <v>0</v>
      </c>
      <c r="V13639" s="21" t="n">
        <v>0</v>
      </c>
      <c r="W13639" s="21" t="n">
        <v>0</v>
      </c>
      <c r="X13639" s="21" t="n">
        <v>0</v>
      </c>
      <c r="Y13639" s="21" t="n">
        <v>0</v>
      </c>
      <c r="Z13639" s="19" t="n"/>
    </row>
    <row r="13640">
      <c r="D13640" s="21" t="n">
        <v>0</v>
      </c>
      <c r="E13640" s="21" t="n">
        <v>0</v>
      </c>
      <c r="F13640" s="21" t="n">
        <v>0</v>
      </c>
      <c r="G13640" s="21" t="n">
        <v>0</v>
      </c>
      <c r="H13640" s="21" t="n">
        <v>0</v>
      </c>
      <c r="I13640" s="21" t="n">
        <v>0</v>
      </c>
      <c r="J13640" s="21">
        <f>-$B$12189</f>
        <v/>
      </c>
      <c r="K13640" s="21">
        <f>-$B$12190</f>
        <v/>
      </c>
      <c r="L13640" s="21">
        <f>2*$B$12189+$D$13624</f>
        <v/>
      </c>
      <c r="M13640" s="21">
        <f>0</f>
        <v/>
      </c>
      <c r="N13640" s="21">
        <f>-$B$12189</f>
        <v/>
      </c>
      <c r="O13640" s="21">
        <f>$B$12190</f>
        <v/>
      </c>
      <c r="P13640" s="21" t="n">
        <v>0</v>
      </c>
      <c r="Q13640" s="21" t="n">
        <v>0</v>
      </c>
      <c r="R13640" s="21" t="n">
        <v>0</v>
      </c>
      <c r="S13640" s="21" t="n">
        <v>0</v>
      </c>
      <c r="T13640" s="21" t="n">
        <v>0</v>
      </c>
      <c r="U13640" s="21" t="n">
        <v>0</v>
      </c>
      <c r="V13640" s="21" t="n">
        <v>0</v>
      </c>
      <c r="W13640" s="21" t="n">
        <v>0</v>
      </c>
      <c r="X13640" s="21" t="n">
        <v>0</v>
      </c>
      <c r="Y13640" s="21" t="n">
        <v>0</v>
      </c>
      <c r="Z13640" s="19" t="n"/>
    </row>
    <row r="13641">
      <c r="D13641" s="21" t="n">
        <v>0</v>
      </c>
      <c r="E13641" s="21" t="n">
        <v>0</v>
      </c>
      <c r="F13641" s="21" t="n">
        <v>0</v>
      </c>
      <c r="G13641" s="21" t="n">
        <v>0</v>
      </c>
      <c r="H13641" s="21" t="n">
        <v>0</v>
      </c>
      <c r="I13641" s="21" t="n">
        <v>0</v>
      </c>
      <c r="J13641" s="21">
        <f>$B$12190</f>
        <v/>
      </c>
      <c r="K13641" s="21">
        <f>$B$12192</f>
        <v/>
      </c>
      <c r="L13641" s="21">
        <f>0</f>
        <v/>
      </c>
      <c r="M13641" s="21">
        <f>2*$B$12191</f>
        <v/>
      </c>
      <c r="N13641" s="21">
        <f>-$B$12190</f>
        <v/>
      </c>
      <c r="O13641" s="21">
        <f>$B$12192</f>
        <v/>
      </c>
      <c r="P13641" s="21" t="n">
        <v>0</v>
      </c>
      <c r="Q13641" s="21" t="n">
        <v>0</v>
      </c>
      <c r="R13641" s="21" t="n">
        <v>0</v>
      </c>
      <c r="S13641" s="21" t="n">
        <v>0</v>
      </c>
      <c r="T13641" s="21" t="n">
        <v>0</v>
      </c>
      <c r="U13641" s="21" t="n">
        <v>0</v>
      </c>
      <c r="V13641" s="21" t="n">
        <v>0</v>
      </c>
      <c r="W13641" s="21" t="n">
        <v>0</v>
      </c>
      <c r="X13641" s="21" t="n">
        <v>0</v>
      </c>
      <c r="Y13641" s="21" t="n">
        <v>0</v>
      </c>
      <c r="Z13641" s="19" t="n"/>
    </row>
    <row r="13642">
      <c r="D13642" s="21" t="n">
        <v>0</v>
      </c>
      <c r="E13642" s="21" t="n">
        <v>0</v>
      </c>
      <c r="F13642" s="21" t="n">
        <v>0</v>
      </c>
      <c r="G13642" s="21" t="n">
        <v>0</v>
      </c>
      <c r="H13642" s="21" t="n">
        <v>0</v>
      </c>
      <c r="I13642" s="21" t="n">
        <v>0</v>
      </c>
      <c r="J13642" s="21" t="n">
        <v>0</v>
      </c>
      <c r="K13642" s="21" t="n">
        <v>0</v>
      </c>
      <c r="L13642" s="21">
        <f>-$B$12189</f>
        <v/>
      </c>
      <c r="M13642" s="21">
        <f>-$B$12190</f>
        <v/>
      </c>
      <c r="N13642" s="21">
        <f>2*$B$12189+$D$13625</f>
        <v/>
      </c>
      <c r="O13642" s="21">
        <f>0</f>
        <v/>
      </c>
      <c r="P13642" s="21">
        <f>-$B$12189</f>
        <v/>
      </c>
      <c r="Q13642" s="21">
        <f>$B$12190</f>
        <v/>
      </c>
      <c r="R13642" s="21" t="n">
        <v>0</v>
      </c>
      <c r="S13642" s="21" t="n">
        <v>0</v>
      </c>
      <c r="T13642" s="21" t="n">
        <v>0</v>
      </c>
      <c r="U13642" s="21" t="n">
        <v>0</v>
      </c>
      <c r="V13642" s="21" t="n">
        <v>0</v>
      </c>
      <c r="W13642" s="21" t="n">
        <v>0</v>
      </c>
      <c r="X13642" s="21" t="n">
        <v>0</v>
      </c>
      <c r="Y13642" s="21" t="n">
        <v>0</v>
      </c>
      <c r="Z13642" s="19" t="n"/>
    </row>
    <row r="13643">
      <c r="D13643" s="21" t="n">
        <v>0</v>
      </c>
      <c r="E13643" s="21" t="n">
        <v>0</v>
      </c>
      <c r="F13643" s="21" t="n">
        <v>0</v>
      </c>
      <c r="G13643" s="21" t="n">
        <v>0</v>
      </c>
      <c r="H13643" s="21" t="n">
        <v>0</v>
      </c>
      <c r="I13643" s="21" t="n">
        <v>0</v>
      </c>
      <c r="J13643" s="21" t="n">
        <v>0</v>
      </c>
      <c r="K13643" s="21" t="n">
        <v>0</v>
      </c>
      <c r="L13643" s="21">
        <f>$B$12190</f>
        <v/>
      </c>
      <c r="M13643" s="21">
        <f>$B$12192</f>
        <v/>
      </c>
      <c r="N13643" s="21">
        <f>0</f>
        <v/>
      </c>
      <c r="O13643" s="21">
        <f>2*$B$12191</f>
        <v/>
      </c>
      <c r="P13643" s="21">
        <f>-$B$12190</f>
        <v/>
      </c>
      <c r="Q13643" s="21">
        <f>$B$12192</f>
        <v/>
      </c>
      <c r="R13643" s="21" t="n">
        <v>0</v>
      </c>
      <c r="S13643" s="21" t="n">
        <v>0</v>
      </c>
      <c r="T13643" s="21" t="n">
        <v>0</v>
      </c>
      <c r="U13643" s="21" t="n">
        <v>0</v>
      </c>
      <c r="V13643" s="21" t="n">
        <v>0</v>
      </c>
      <c r="W13643" s="21" t="n">
        <v>0</v>
      </c>
      <c r="X13643" s="21" t="n">
        <v>0</v>
      </c>
      <c r="Y13643" s="21" t="n">
        <v>0</v>
      </c>
      <c r="Z13643" s="19" t="n"/>
    </row>
    <row r="13644">
      <c r="D13644" s="21" t="n">
        <v>0</v>
      </c>
      <c r="E13644" s="21" t="n">
        <v>0</v>
      </c>
      <c r="F13644" s="21" t="n">
        <v>0</v>
      </c>
      <c r="G13644" s="21" t="n">
        <v>0</v>
      </c>
      <c r="H13644" s="21" t="n">
        <v>0</v>
      </c>
      <c r="I13644" s="21" t="n">
        <v>0</v>
      </c>
      <c r="J13644" s="21" t="n">
        <v>0</v>
      </c>
      <c r="K13644" s="21" t="n">
        <v>0</v>
      </c>
      <c r="L13644" s="21" t="n">
        <v>0</v>
      </c>
      <c r="M13644" s="21" t="n">
        <v>0</v>
      </c>
      <c r="N13644" s="21">
        <f>-$B$12189</f>
        <v/>
      </c>
      <c r="O13644" s="21">
        <f>-$B$12190</f>
        <v/>
      </c>
      <c r="P13644" s="21">
        <f>2*$B$12189+$D$13626</f>
        <v/>
      </c>
      <c r="Q13644" s="21">
        <f>0</f>
        <v/>
      </c>
      <c r="R13644" s="21">
        <f>-$B$12189</f>
        <v/>
      </c>
      <c r="S13644" s="21">
        <f>$B$12190</f>
        <v/>
      </c>
      <c r="T13644" s="21" t="n">
        <v>0</v>
      </c>
      <c r="U13644" s="21" t="n">
        <v>0</v>
      </c>
      <c r="V13644" s="21" t="n">
        <v>0</v>
      </c>
      <c r="W13644" s="21" t="n">
        <v>0</v>
      </c>
      <c r="X13644" s="21" t="n">
        <v>0</v>
      </c>
      <c r="Y13644" s="21" t="n">
        <v>0</v>
      </c>
      <c r="Z13644" s="19" t="n"/>
    </row>
    <row r="13645">
      <c r="D13645" s="21" t="n">
        <v>0</v>
      </c>
      <c r="E13645" s="21" t="n">
        <v>0</v>
      </c>
      <c r="F13645" s="21" t="n">
        <v>0</v>
      </c>
      <c r="G13645" s="21" t="n">
        <v>0</v>
      </c>
      <c r="H13645" s="21" t="n">
        <v>0</v>
      </c>
      <c r="I13645" s="21" t="n">
        <v>0</v>
      </c>
      <c r="J13645" s="21" t="n">
        <v>0</v>
      </c>
      <c r="K13645" s="21" t="n">
        <v>0</v>
      </c>
      <c r="L13645" s="21" t="n">
        <v>0</v>
      </c>
      <c r="M13645" s="21" t="n">
        <v>0</v>
      </c>
      <c r="N13645" s="21">
        <f>$B$12190</f>
        <v/>
      </c>
      <c r="O13645" s="21">
        <f>$B$12192</f>
        <v/>
      </c>
      <c r="P13645" s="21">
        <f>0</f>
        <v/>
      </c>
      <c r="Q13645" s="21">
        <f>2*$B$12191</f>
        <v/>
      </c>
      <c r="R13645" s="21">
        <f>-$B$12190</f>
        <v/>
      </c>
      <c r="S13645" s="21">
        <f>$B$12192</f>
        <v/>
      </c>
      <c r="T13645" s="21" t="n">
        <v>0</v>
      </c>
      <c r="U13645" s="21" t="n">
        <v>0</v>
      </c>
      <c r="V13645" s="21" t="n">
        <v>0</v>
      </c>
      <c r="W13645" s="21" t="n">
        <v>0</v>
      </c>
      <c r="X13645" s="21" t="n">
        <v>0</v>
      </c>
      <c r="Y13645" s="21" t="n">
        <v>0</v>
      </c>
      <c r="Z13645" s="19" t="n"/>
    </row>
    <row r="13646">
      <c r="D13646" s="21" t="n">
        <v>0</v>
      </c>
      <c r="E13646" s="21" t="n">
        <v>0</v>
      </c>
      <c r="F13646" s="21" t="n">
        <v>0</v>
      </c>
      <c r="G13646" s="21" t="n">
        <v>0</v>
      </c>
      <c r="H13646" s="21" t="n">
        <v>0</v>
      </c>
      <c r="I13646" s="21" t="n">
        <v>0</v>
      </c>
      <c r="J13646" s="21" t="n">
        <v>0</v>
      </c>
      <c r="K13646" s="21" t="n">
        <v>0</v>
      </c>
      <c r="L13646" s="21" t="n">
        <v>0</v>
      </c>
      <c r="M13646" s="21" t="n">
        <v>0</v>
      </c>
      <c r="N13646" s="21" t="n">
        <v>0</v>
      </c>
      <c r="O13646" s="21" t="n">
        <v>0</v>
      </c>
      <c r="P13646" s="21">
        <f>-$B$12189</f>
        <v/>
      </c>
      <c r="Q13646" s="21">
        <f>-$B$12190</f>
        <v/>
      </c>
      <c r="R13646" s="21">
        <f>2*$B$12189+$D$13627</f>
        <v/>
      </c>
      <c r="S13646" s="21">
        <f>0</f>
        <v/>
      </c>
      <c r="T13646" s="21">
        <f>-$B$12189</f>
        <v/>
      </c>
      <c r="U13646" s="21">
        <f>$B$12190</f>
        <v/>
      </c>
      <c r="V13646" s="21" t="n">
        <v>0</v>
      </c>
      <c r="W13646" s="21" t="n">
        <v>0</v>
      </c>
      <c r="X13646" s="21" t="n">
        <v>0</v>
      </c>
      <c r="Y13646" s="21" t="n">
        <v>0</v>
      </c>
      <c r="Z13646" s="19" t="n"/>
    </row>
    <row r="13647">
      <c r="D13647" s="21" t="n">
        <v>0</v>
      </c>
      <c r="E13647" s="21" t="n">
        <v>0</v>
      </c>
      <c r="F13647" s="21" t="n">
        <v>0</v>
      </c>
      <c r="G13647" s="21" t="n">
        <v>0</v>
      </c>
      <c r="H13647" s="21" t="n">
        <v>0</v>
      </c>
      <c r="I13647" s="21" t="n">
        <v>0</v>
      </c>
      <c r="J13647" s="21" t="n">
        <v>0</v>
      </c>
      <c r="K13647" s="21" t="n">
        <v>0</v>
      </c>
      <c r="L13647" s="21" t="n">
        <v>0</v>
      </c>
      <c r="M13647" s="21" t="n">
        <v>0</v>
      </c>
      <c r="N13647" s="21" t="n">
        <v>0</v>
      </c>
      <c r="O13647" s="21" t="n">
        <v>0</v>
      </c>
      <c r="P13647" s="21">
        <f>$B$12190</f>
        <v/>
      </c>
      <c r="Q13647" s="21">
        <f>$B$12192</f>
        <v/>
      </c>
      <c r="R13647" s="21">
        <f>0</f>
        <v/>
      </c>
      <c r="S13647" s="21">
        <f>2*$B$12191</f>
        <v/>
      </c>
      <c r="T13647" s="21">
        <f>-$B$12190</f>
        <v/>
      </c>
      <c r="U13647" s="21">
        <f>$B$12192</f>
        <v/>
      </c>
      <c r="V13647" s="21" t="n">
        <v>0</v>
      </c>
      <c r="W13647" s="21" t="n">
        <v>0</v>
      </c>
      <c r="X13647" s="21" t="n">
        <v>0</v>
      </c>
      <c r="Y13647" s="21" t="n">
        <v>0</v>
      </c>
      <c r="Z13647" s="19" t="n"/>
    </row>
    <row r="13648">
      <c r="D13648" s="21" t="n">
        <v>0</v>
      </c>
      <c r="E13648" s="21" t="n">
        <v>0</v>
      </c>
      <c r="F13648" s="21" t="n">
        <v>0</v>
      </c>
      <c r="G13648" s="21" t="n">
        <v>0</v>
      </c>
      <c r="H13648" s="21" t="n">
        <v>0</v>
      </c>
      <c r="I13648" s="21" t="n">
        <v>0</v>
      </c>
      <c r="J13648" s="21" t="n">
        <v>0</v>
      </c>
      <c r="K13648" s="21" t="n">
        <v>0</v>
      </c>
      <c r="L13648" s="21" t="n">
        <v>0</v>
      </c>
      <c r="M13648" s="21" t="n">
        <v>0</v>
      </c>
      <c r="N13648" s="21" t="n">
        <v>0</v>
      </c>
      <c r="O13648" s="21" t="n">
        <v>0</v>
      </c>
      <c r="P13648" s="21" t="n">
        <v>0</v>
      </c>
      <c r="Q13648" s="21" t="n">
        <v>0</v>
      </c>
      <c r="R13648" s="21">
        <f>-$B$12189</f>
        <v/>
      </c>
      <c r="S13648" s="21">
        <f>-$B$12190</f>
        <v/>
      </c>
      <c r="T13648" s="21">
        <f>2*$B$12189+$D$13628</f>
        <v/>
      </c>
      <c r="U13648" s="21">
        <f>0</f>
        <v/>
      </c>
      <c r="V13648" s="21">
        <f>-$B$12189</f>
        <v/>
      </c>
      <c r="W13648" s="21">
        <f>$B$12190</f>
        <v/>
      </c>
      <c r="X13648" s="21" t="n">
        <v>0</v>
      </c>
      <c r="Y13648" s="21" t="n">
        <v>0</v>
      </c>
      <c r="Z13648" s="19" t="n"/>
    </row>
    <row r="13649">
      <c r="D13649" s="21" t="n">
        <v>0</v>
      </c>
      <c r="E13649" s="21" t="n">
        <v>0</v>
      </c>
      <c r="F13649" s="21" t="n">
        <v>0</v>
      </c>
      <c r="G13649" s="21" t="n">
        <v>0</v>
      </c>
      <c r="H13649" s="21" t="n">
        <v>0</v>
      </c>
      <c r="I13649" s="21" t="n">
        <v>0</v>
      </c>
      <c r="J13649" s="21" t="n">
        <v>0</v>
      </c>
      <c r="K13649" s="21" t="n">
        <v>0</v>
      </c>
      <c r="L13649" s="21" t="n">
        <v>0</v>
      </c>
      <c r="M13649" s="21" t="n">
        <v>0</v>
      </c>
      <c r="N13649" s="21" t="n">
        <v>0</v>
      </c>
      <c r="O13649" s="21" t="n">
        <v>0</v>
      </c>
      <c r="P13649" s="21" t="n">
        <v>0</v>
      </c>
      <c r="Q13649" s="21" t="n">
        <v>0</v>
      </c>
      <c r="R13649" s="21">
        <f>$B$12190</f>
        <v/>
      </c>
      <c r="S13649" s="21">
        <f>$B$12192</f>
        <v/>
      </c>
      <c r="T13649" s="21">
        <f>0</f>
        <v/>
      </c>
      <c r="U13649" s="21">
        <f>2*$B$12191</f>
        <v/>
      </c>
      <c r="V13649" s="21">
        <f>-$B$12190</f>
        <v/>
      </c>
      <c r="W13649" s="21">
        <f>$B$12192</f>
        <v/>
      </c>
      <c r="X13649" s="21" t="n">
        <v>0</v>
      </c>
      <c r="Y13649" s="21" t="n">
        <v>0</v>
      </c>
      <c r="Z13649" s="19" t="n"/>
    </row>
    <row r="13650">
      <c r="D13650" s="21" t="n">
        <v>0</v>
      </c>
      <c r="E13650" s="21" t="n">
        <v>0</v>
      </c>
      <c r="F13650" s="21" t="n">
        <v>0</v>
      </c>
      <c r="G13650" s="21" t="n">
        <v>0</v>
      </c>
      <c r="H13650" s="21" t="n">
        <v>0</v>
      </c>
      <c r="I13650" s="21" t="n">
        <v>0</v>
      </c>
      <c r="J13650" s="21" t="n">
        <v>0</v>
      </c>
      <c r="K13650" s="21" t="n">
        <v>0</v>
      </c>
      <c r="L13650" s="21" t="n">
        <v>0</v>
      </c>
      <c r="M13650" s="21" t="n">
        <v>0</v>
      </c>
      <c r="N13650" s="21" t="n">
        <v>0</v>
      </c>
      <c r="O13650" s="21" t="n">
        <v>0</v>
      </c>
      <c r="P13650" s="21" t="n">
        <v>0</v>
      </c>
      <c r="Q13650" s="21" t="n">
        <v>0</v>
      </c>
      <c r="R13650" s="21" t="n">
        <v>0</v>
      </c>
      <c r="S13650" s="21" t="n">
        <v>0</v>
      </c>
      <c r="T13650" s="21">
        <f>-$B$12189</f>
        <v/>
      </c>
      <c r="U13650" s="21">
        <f>-$B$12190</f>
        <v/>
      </c>
      <c r="V13650" s="21">
        <f>2*$B$12189+$D$13629</f>
        <v/>
      </c>
      <c r="W13650" s="21">
        <f>0</f>
        <v/>
      </c>
      <c r="X13650" s="21">
        <f>-$B$12189</f>
        <v/>
      </c>
      <c r="Y13650" s="21">
        <f>$B$12190</f>
        <v/>
      </c>
      <c r="Z13650" s="19" t="n"/>
    </row>
    <row r="13651">
      <c r="D13651" s="21" t="n">
        <v>0</v>
      </c>
      <c r="E13651" s="21" t="n">
        <v>0</v>
      </c>
      <c r="F13651" s="21" t="n">
        <v>0</v>
      </c>
      <c r="G13651" s="21" t="n">
        <v>0</v>
      </c>
      <c r="H13651" s="21" t="n">
        <v>0</v>
      </c>
      <c r="I13651" s="21" t="n">
        <v>0</v>
      </c>
      <c r="J13651" s="21" t="n">
        <v>0</v>
      </c>
      <c r="K13651" s="21" t="n">
        <v>0</v>
      </c>
      <c r="L13651" s="21" t="n">
        <v>0</v>
      </c>
      <c r="M13651" s="21" t="n">
        <v>0</v>
      </c>
      <c r="N13651" s="21" t="n">
        <v>0</v>
      </c>
      <c r="O13651" s="21" t="n">
        <v>0</v>
      </c>
      <c r="P13651" s="21" t="n">
        <v>0</v>
      </c>
      <c r="Q13651" s="21" t="n">
        <v>0</v>
      </c>
      <c r="R13651" s="21" t="n">
        <v>0</v>
      </c>
      <c r="S13651" s="21" t="n">
        <v>0</v>
      </c>
      <c r="T13651" s="21">
        <f>$B$12190</f>
        <v/>
      </c>
      <c r="U13651" s="21">
        <f>$B$12192</f>
        <v/>
      </c>
      <c r="V13651" s="21">
        <f>0</f>
        <v/>
      </c>
      <c r="W13651" s="21">
        <f>2*$B$12191</f>
        <v/>
      </c>
      <c r="X13651" s="21">
        <f>-$B$12190</f>
        <v/>
      </c>
      <c r="Y13651" s="21">
        <f>$B$12192</f>
        <v/>
      </c>
      <c r="Z13651" s="19" t="n"/>
    </row>
    <row r="13652">
      <c r="D13652" s="21" t="n">
        <v>0</v>
      </c>
      <c r="E13652" s="21" t="n">
        <v>0</v>
      </c>
      <c r="F13652" s="21" t="n">
        <v>0</v>
      </c>
      <c r="G13652" s="21" t="n">
        <v>0</v>
      </c>
      <c r="H13652" s="21" t="n">
        <v>0</v>
      </c>
      <c r="I13652" s="21" t="n">
        <v>0</v>
      </c>
      <c r="J13652" s="21" t="n">
        <v>0</v>
      </c>
      <c r="K13652" s="21" t="n">
        <v>0</v>
      </c>
      <c r="L13652" s="21" t="n">
        <v>0</v>
      </c>
      <c r="M13652" s="21" t="n">
        <v>0</v>
      </c>
      <c r="N13652" s="21" t="n">
        <v>0</v>
      </c>
      <c r="O13652" s="21" t="n">
        <v>0</v>
      </c>
      <c r="P13652" s="21" t="n">
        <v>0</v>
      </c>
      <c r="Q13652" s="21" t="n">
        <v>0</v>
      </c>
      <c r="R13652" s="21" t="n">
        <v>0</v>
      </c>
      <c r="S13652" s="21" t="n">
        <v>0</v>
      </c>
      <c r="T13652" s="21" t="n">
        <v>0</v>
      </c>
      <c r="U13652" s="21" t="n">
        <v>0</v>
      </c>
      <c r="V13652" s="21">
        <f>-$B$12189</f>
        <v/>
      </c>
      <c r="W13652" s="21">
        <f>-$B$12190</f>
        <v/>
      </c>
      <c r="X13652" s="21">
        <f>$B$12189+$D$13630</f>
        <v/>
      </c>
      <c r="Y13652" s="21">
        <f>-$B$12190</f>
        <v/>
      </c>
      <c r="Z13652" s="19" t="n"/>
    </row>
    <row r="13653">
      <c r="D13653" s="21" t="n">
        <v>0</v>
      </c>
      <c r="E13653" s="21" t="n">
        <v>0</v>
      </c>
      <c r="F13653" s="21" t="n">
        <v>0</v>
      </c>
      <c r="G13653" s="21" t="n">
        <v>0</v>
      </c>
      <c r="H13653" s="21" t="n">
        <v>0</v>
      </c>
      <c r="I13653" s="21" t="n">
        <v>0</v>
      </c>
      <c r="J13653" s="21" t="n">
        <v>0</v>
      </c>
      <c r="K13653" s="21" t="n">
        <v>0</v>
      </c>
      <c r="L13653" s="21" t="n">
        <v>0</v>
      </c>
      <c r="M13653" s="21" t="n">
        <v>0</v>
      </c>
      <c r="N13653" s="21" t="n">
        <v>0</v>
      </c>
      <c r="O13653" s="21" t="n">
        <v>0</v>
      </c>
      <c r="P13653" s="21" t="n">
        <v>0</v>
      </c>
      <c r="Q13653" s="21" t="n">
        <v>0</v>
      </c>
      <c r="R13653" s="21" t="n">
        <v>0</v>
      </c>
      <c r="S13653" s="21" t="n">
        <v>0</v>
      </c>
      <c r="T13653" s="21" t="n">
        <v>0</v>
      </c>
      <c r="U13653" s="21" t="n">
        <v>0</v>
      </c>
      <c r="V13653" s="21">
        <f>$B$12190</f>
        <v/>
      </c>
      <c r="W13653" s="21">
        <f>$B$12192</f>
        <v/>
      </c>
      <c r="X13653" s="21">
        <f>-$B$12190</f>
        <v/>
      </c>
      <c r="Y13653" s="21">
        <f>$B$12191</f>
        <v/>
      </c>
      <c r="Z13653" s="19" t="n"/>
    </row>
    <row r="13655">
      <c r="A13655" s="8" t="inlineStr">
        <is>
          <t>gen 40</t>
        </is>
      </c>
    </row>
    <row r="13656">
      <c r="D13656" s="19">
        <f>IF(ABS(IF(ABS($E$13620)&gt;0.000000001,$E$13620,0.000000001))=0,0,IF($E$12204&lt;=$B$12198,0,IF(ABS(IF(ABS($E$13620)&gt;0.000000001,$E$13620,0.000000001))&gt;=8*$B$12200,$H$12204,0.5*$H$12204*(ABS(IF(ABS($E$13620)&gt;0.000000001,$E$13620,0.000000001))/$B$12200)^(1/3)))/ABS(IF(ABS($E$13620)&gt;0.000000001,$E$13620,0.000000001))*$I$12204)</f>
        <v/>
      </c>
      <c r="E13656" s="19">
        <f>0.5*$E$13620+0.5*$Z$13668</f>
        <v/>
      </c>
      <c r="F13656" s="19">
        <f>$Z$13669</f>
        <v/>
      </c>
    </row>
    <row r="13657">
      <c r="D13657" s="19">
        <f>IF(ABS(IF(ABS($E$13621)&gt;0.000000001,$E$13621,0.000000001))=0,0,IF($E$12205&lt;=$B$12198,0,IF(ABS(IF(ABS($E$13621)&gt;0.000000001,$E$13621,0.000000001))&gt;=8*$B$12200,$H$12205,0.5*$H$12205*(ABS(IF(ABS($E$13621)&gt;0.000000001,$E$13621,0.000000001))/$B$12200)^(1/3)))/ABS(IF(ABS($E$13621)&gt;0.000000001,$E$13621,0.000000001))*$I$12205)</f>
        <v/>
      </c>
      <c r="E13657" s="19">
        <f>0.5*$E$13621+0.5*$Z$13670</f>
        <v/>
      </c>
      <c r="F13657" s="19">
        <f>$Z$13671</f>
        <v/>
      </c>
    </row>
    <row r="13658">
      <c r="D13658" s="19">
        <f>IF(ABS(IF(ABS($E$13622)&gt;0.000000001,$E$13622,0.000000001))=0,0,IF($E$12206&lt;=$B$12198,0,IF(ABS(IF(ABS($E$13622)&gt;0.000000001,$E$13622,0.000000001))&gt;=8*$B$12200,$H$12206,0.5*$H$12206*(ABS(IF(ABS($E$13622)&gt;0.000000001,$E$13622,0.000000001))/$B$12200)^(1/3)))/ABS(IF(ABS($E$13622)&gt;0.000000001,$E$13622,0.000000001))*$I$12206)</f>
        <v/>
      </c>
      <c r="E13658" s="19">
        <f>0.5*$E$13622+0.5*$Z$13672</f>
        <v/>
      </c>
      <c r="F13658" s="19">
        <f>$Z$13673</f>
        <v/>
      </c>
    </row>
    <row r="13659">
      <c r="D13659" s="19">
        <f>IF(ABS(IF(ABS($E$13623)&gt;0.000000001,$E$13623,0.000000001))=0,0,IF($E$12207&lt;=$B$12198,0,IF(ABS(IF(ABS($E$13623)&gt;0.000000001,$E$13623,0.000000001))&gt;=8*$B$12200,$H$12207,0.5*$H$12207*(ABS(IF(ABS($E$13623)&gt;0.000000001,$E$13623,0.000000001))/$B$12200)^(1/3)))/ABS(IF(ABS($E$13623)&gt;0.000000001,$E$13623,0.000000001))*$I$12207)</f>
        <v/>
      </c>
      <c r="E13659" s="19">
        <f>0.5*$E$13623+0.5*$Z$13674</f>
        <v/>
      </c>
      <c r="F13659" s="19">
        <f>$Z$13675</f>
        <v/>
      </c>
    </row>
    <row r="13660">
      <c r="D13660" s="19">
        <f>IF(ABS(IF(ABS($E$13624)&gt;0.000000001,$E$13624,0.000000001))=0,0,IF($E$12208&lt;=$B$12198,0,IF(ABS(IF(ABS($E$13624)&gt;0.000000001,$E$13624,0.000000001))&gt;=8*$B$12200,$H$12208,0.5*$H$12208*(ABS(IF(ABS($E$13624)&gt;0.000000001,$E$13624,0.000000001))/$B$12200)^(1/3)))/ABS(IF(ABS($E$13624)&gt;0.000000001,$E$13624,0.000000001))*$I$12208)</f>
        <v/>
      </c>
      <c r="E13660" s="19">
        <f>0.5*$E$13624+0.5*$Z$13676</f>
        <v/>
      </c>
      <c r="F13660" s="19">
        <f>$Z$13677</f>
        <v/>
      </c>
    </row>
    <row r="13661">
      <c r="D13661" s="19">
        <f>IF(ABS(IF(ABS($E$13625)&gt;0.000000001,$E$13625,0.000000001))=0,0,IF($E$12209&lt;=$B$12198,0,IF(ABS(IF(ABS($E$13625)&gt;0.000000001,$E$13625,0.000000001))&gt;=8*$B$12200,$H$12209,0.5*$H$12209*(ABS(IF(ABS($E$13625)&gt;0.000000001,$E$13625,0.000000001))/$B$12200)^(1/3)))/ABS(IF(ABS($E$13625)&gt;0.000000001,$E$13625,0.000000001))*$I$12209)</f>
        <v/>
      </c>
      <c r="E13661" s="19">
        <f>0.5*$E$13625+0.5*$Z$13678</f>
        <v/>
      </c>
      <c r="F13661" s="19">
        <f>$Z$13679</f>
        <v/>
      </c>
    </row>
    <row r="13662">
      <c r="D13662" s="19">
        <f>IF(ABS(IF(ABS($E$13626)&gt;0.000000001,$E$13626,0.000000001))=0,0,IF($E$12210&lt;=$B$12198,0,IF(ABS(IF(ABS($E$13626)&gt;0.000000001,$E$13626,0.000000001))&gt;=8*$B$12200,$H$12210,0.5*$H$12210*(ABS(IF(ABS($E$13626)&gt;0.000000001,$E$13626,0.000000001))/$B$12200)^(1/3)))/ABS(IF(ABS($E$13626)&gt;0.000000001,$E$13626,0.000000001))*$I$12210)</f>
        <v/>
      </c>
      <c r="E13662" s="19">
        <f>0.5*$E$13626+0.5*$Z$13680</f>
        <v/>
      </c>
      <c r="F13662" s="19">
        <f>$Z$13681</f>
        <v/>
      </c>
    </row>
    <row r="13663">
      <c r="D13663" s="19">
        <f>IF(ABS(IF(ABS($E$13627)&gt;0.000000001,$E$13627,0.000000001))=0,0,IF($E$12211&lt;=$B$12198,0,IF(ABS(IF(ABS($E$13627)&gt;0.000000001,$E$13627,0.000000001))&gt;=8*$B$12200,$H$12211,0.5*$H$12211*(ABS(IF(ABS($E$13627)&gt;0.000000001,$E$13627,0.000000001))/$B$12200)^(1/3)))/ABS(IF(ABS($E$13627)&gt;0.000000001,$E$13627,0.000000001))*$I$12211)</f>
        <v/>
      </c>
      <c r="E13663" s="19">
        <f>0.5*$E$13627+0.5*$Z$13682</f>
        <v/>
      </c>
      <c r="F13663" s="19">
        <f>$Z$13683</f>
        <v/>
      </c>
    </row>
    <row r="13664">
      <c r="D13664" s="19">
        <f>IF(ABS(IF(ABS($E$13628)&gt;0.000000001,$E$13628,0.000000001))=0,0,IF($E$12212&lt;=$B$12198,0,IF(ABS(IF(ABS($E$13628)&gt;0.000000001,$E$13628,0.000000001))&gt;=8*$B$12200,$H$12212,0.5*$H$12212*(ABS(IF(ABS($E$13628)&gt;0.000000001,$E$13628,0.000000001))/$B$12200)^(1/3)))/ABS(IF(ABS($E$13628)&gt;0.000000001,$E$13628,0.000000001))*$I$12212)</f>
        <v/>
      </c>
      <c r="E13664" s="19">
        <f>0.5*$E$13628+0.5*$Z$13684</f>
        <v/>
      </c>
      <c r="F13664" s="19">
        <f>$Z$13685</f>
        <v/>
      </c>
    </row>
    <row r="13665">
      <c r="D13665" s="19">
        <f>IF(ABS(IF(ABS($E$13629)&gt;0.000000001,$E$13629,0.000000001))=0,0,IF($E$12213&lt;=$B$12198,0,IF(ABS(IF(ABS($E$13629)&gt;0.000000001,$E$13629,0.000000001))&gt;=8*$B$12200,$H$12213,0.5*$H$12213*(ABS(IF(ABS($E$13629)&gt;0.000000001,$E$13629,0.000000001))/$B$12200)^(1/3)))/ABS(IF(ABS($E$13629)&gt;0.000000001,$E$13629,0.000000001))*$I$12213)</f>
        <v/>
      </c>
      <c r="E13665" s="19">
        <f>0.5*$E$13629+0.5*$Z$13686</f>
        <v/>
      </c>
      <c r="F13665" s="19">
        <f>$Z$13687</f>
        <v/>
      </c>
    </row>
    <row r="13666">
      <c r="D13666" s="19">
        <f>IF(ABS(IF(ABS($E$13630)&gt;0.000000001,$E$13630,0.000000001))=0,0,IF($E$12214&lt;=$B$12198,0,IF(ABS(IF(ABS($E$13630)&gt;0.000000001,$E$13630,0.000000001))&gt;=8*$B$12200,$H$12214,0.5*$H$12214*(ABS(IF(ABS($E$13630)&gt;0.000000001,$E$13630,0.000000001))/$B$12200)^(1/3)))/ABS(IF(ABS($E$13630)&gt;0.000000001,$E$13630,0.000000001))*$I$12214)</f>
        <v/>
      </c>
      <c r="E13666" s="19">
        <f>0.5*$E$13630+0.5*$Z$13688</f>
        <v/>
      </c>
      <c r="F13666" s="19">
        <f>$Z$13689</f>
        <v/>
      </c>
    </row>
    <row r="13668">
      <c r="D13668" s="21">
        <f>$B$12189+$D$13656</f>
        <v/>
      </c>
      <c r="E13668" s="21">
        <f>$B$12190</f>
        <v/>
      </c>
      <c r="F13668" s="21">
        <f>-$B$12189</f>
        <v/>
      </c>
      <c r="G13668" s="21">
        <f>$B$12190</f>
        <v/>
      </c>
      <c r="H13668" s="21" t="n">
        <v>0</v>
      </c>
      <c r="I13668" s="21" t="n">
        <v>0</v>
      </c>
      <c r="J13668" s="21" t="n">
        <v>0</v>
      </c>
      <c r="K13668" s="21" t="n">
        <v>0</v>
      </c>
      <c r="L13668" s="21" t="n">
        <v>0</v>
      </c>
      <c r="M13668" s="21" t="n">
        <v>0</v>
      </c>
      <c r="N13668" s="21" t="n">
        <v>0</v>
      </c>
      <c r="O13668" s="21" t="n">
        <v>0</v>
      </c>
      <c r="P13668" s="21" t="n">
        <v>0</v>
      </c>
      <c r="Q13668" s="21" t="n">
        <v>0</v>
      </c>
      <c r="R13668" s="21" t="n">
        <v>0</v>
      </c>
      <c r="S13668" s="21" t="n">
        <v>0</v>
      </c>
      <c r="T13668" s="21" t="n">
        <v>0</v>
      </c>
      <c r="U13668" s="21" t="n">
        <v>0</v>
      </c>
      <c r="V13668" s="21" t="n">
        <v>0</v>
      </c>
      <c r="W13668" s="21" t="n">
        <v>0</v>
      </c>
      <c r="X13668" s="21" t="n">
        <v>0</v>
      </c>
      <c r="Y13668" s="21" t="n">
        <v>0</v>
      </c>
      <c r="Z13668" s="19">
        <f t="array" ref="Z13668:Z13689">MMULT(MINVERSE($D$13668:$Y$13689),$D$12216:$D$12237)</f>
        <v/>
      </c>
    </row>
    <row r="13669">
      <c r="D13669" s="21">
        <f>$B$12190</f>
        <v/>
      </c>
      <c r="E13669" s="21">
        <f>$B$12191</f>
        <v/>
      </c>
      <c r="F13669" s="21">
        <f>-$B$12190</f>
        <v/>
      </c>
      <c r="G13669" s="21">
        <f>$B$12192</f>
        <v/>
      </c>
      <c r="H13669" s="21" t="n">
        <v>0</v>
      </c>
      <c r="I13669" s="21" t="n">
        <v>0</v>
      </c>
      <c r="J13669" s="21" t="n">
        <v>0</v>
      </c>
      <c r="K13669" s="21" t="n">
        <v>0</v>
      </c>
      <c r="L13669" s="21" t="n">
        <v>0</v>
      </c>
      <c r="M13669" s="21" t="n">
        <v>0</v>
      </c>
      <c r="N13669" s="21" t="n">
        <v>0</v>
      </c>
      <c r="O13669" s="21" t="n">
        <v>0</v>
      </c>
      <c r="P13669" s="21" t="n">
        <v>0</v>
      </c>
      <c r="Q13669" s="21" t="n">
        <v>0</v>
      </c>
      <c r="R13669" s="21" t="n">
        <v>0</v>
      </c>
      <c r="S13669" s="21" t="n">
        <v>0</v>
      </c>
      <c r="T13669" s="21" t="n">
        <v>0</v>
      </c>
      <c r="U13669" s="21" t="n">
        <v>0</v>
      </c>
      <c r="V13669" s="21" t="n">
        <v>0</v>
      </c>
      <c r="W13669" s="21" t="n">
        <v>0</v>
      </c>
      <c r="X13669" s="21" t="n">
        <v>0</v>
      </c>
      <c r="Y13669" s="21" t="n">
        <v>0</v>
      </c>
      <c r="Z13669" s="19" t="n"/>
    </row>
    <row r="13670">
      <c r="D13670" s="21">
        <f>-$B$12189</f>
        <v/>
      </c>
      <c r="E13670" s="21">
        <f>-$B$12190</f>
        <v/>
      </c>
      <c r="F13670" s="21">
        <f>2*$B$12189+$D$13657</f>
        <v/>
      </c>
      <c r="G13670" s="21">
        <f>0</f>
        <v/>
      </c>
      <c r="H13670" s="21">
        <f>-$B$12189</f>
        <v/>
      </c>
      <c r="I13670" s="21">
        <f>$B$12190</f>
        <v/>
      </c>
      <c r="J13670" s="21" t="n">
        <v>0</v>
      </c>
      <c r="K13670" s="21" t="n">
        <v>0</v>
      </c>
      <c r="L13670" s="21" t="n">
        <v>0</v>
      </c>
      <c r="M13670" s="21" t="n">
        <v>0</v>
      </c>
      <c r="N13670" s="21" t="n">
        <v>0</v>
      </c>
      <c r="O13670" s="21" t="n">
        <v>0</v>
      </c>
      <c r="P13670" s="21" t="n">
        <v>0</v>
      </c>
      <c r="Q13670" s="21" t="n">
        <v>0</v>
      </c>
      <c r="R13670" s="21" t="n">
        <v>0</v>
      </c>
      <c r="S13670" s="21" t="n">
        <v>0</v>
      </c>
      <c r="T13670" s="21" t="n">
        <v>0</v>
      </c>
      <c r="U13670" s="21" t="n">
        <v>0</v>
      </c>
      <c r="V13670" s="21" t="n">
        <v>0</v>
      </c>
      <c r="W13670" s="21" t="n">
        <v>0</v>
      </c>
      <c r="X13670" s="21" t="n">
        <v>0</v>
      </c>
      <c r="Y13670" s="21" t="n">
        <v>0</v>
      </c>
      <c r="Z13670" s="19" t="n"/>
    </row>
    <row r="13671">
      <c r="D13671" s="21">
        <f>$B$12190</f>
        <v/>
      </c>
      <c r="E13671" s="21">
        <f>$B$12192</f>
        <v/>
      </c>
      <c r="F13671" s="21">
        <f>0</f>
        <v/>
      </c>
      <c r="G13671" s="21">
        <f>2*$B$12191</f>
        <v/>
      </c>
      <c r="H13671" s="21">
        <f>-$B$12190</f>
        <v/>
      </c>
      <c r="I13671" s="21">
        <f>$B$12192</f>
        <v/>
      </c>
      <c r="J13671" s="21" t="n">
        <v>0</v>
      </c>
      <c r="K13671" s="21" t="n">
        <v>0</v>
      </c>
      <c r="L13671" s="21" t="n">
        <v>0</v>
      </c>
      <c r="M13671" s="21" t="n">
        <v>0</v>
      </c>
      <c r="N13671" s="21" t="n">
        <v>0</v>
      </c>
      <c r="O13671" s="21" t="n">
        <v>0</v>
      </c>
      <c r="P13671" s="21" t="n">
        <v>0</v>
      </c>
      <c r="Q13671" s="21" t="n">
        <v>0</v>
      </c>
      <c r="R13671" s="21" t="n">
        <v>0</v>
      </c>
      <c r="S13671" s="21" t="n">
        <v>0</v>
      </c>
      <c r="T13671" s="21" t="n">
        <v>0</v>
      </c>
      <c r="U13671" s="21" t="n">
        <v>0</v>
      </c>
      <c r="V13671" s="21" t="n">
        <v>0</v>
      </c>
      <c r="W13671" s="21" t="n">
        <v>0</v>
      </c>
      <c r="X13671" s="21" t="n">
        <v>0</v>
      </c>
      <c r="Y13671" s="21" t="n">
        <v>0</v>
      </c>
      <c r="Z13671" s="19" t="n"/>
    </row>
    <row r="13672">
      <c r="D13672" s="21" t="n">
        <v>0</v>
      </c>
      <c r="E13672" s="21" t="n">
        <v>0</v>
      </c>
      <c r="F13672" s="21">
        <f>-$B$12189</f>
        <v/>
      </c>
      <c r="G13672" s="21">
        <f>-$B$12190</f>
        <v/>
      </c>
      <c r="H13672" s="21">
        <f>2*$B$12189+$D$13658</f>
        <v/>
      </c>
      <c r="I13672" s="21">
        <f>0</f>
        <v/>
      </c>
      <c r="J13672" s="21">
        <f>-$B$12189</f>
        <v/>
      </c>
      <c r="K13672" s="21">
        <f>$B$12190</f>
        <v/>
      </c>
      <c r="L13672" s="21" t="n">
        <v>0</v>
      </c>
      <c r="M13672" s="21" t="n">
        <v>0</v>
      </c>
      <c r="N13672" s="21" t="n">
        <v>0</v>
      </c>
      <c r="O13672" s="21" t="n">
        <v>0</v>
      </c>
      <c r="P13672" s="21" t="n">
        <v>0</v>
      </c>
      <c r="Q13672" s="21" t="n">
        <v>0</v>
      </c>
      <c r="R13672" s="21" t="n">
        <v>0</v>
      </c>
      <c r="S13672" s="21" t="n">
        <v>0</v>
      </c>
      <c r="T13672" s="21" t="n">
        <v>0</v>
      </c>
      <c r="U13672" s="21" t="n">
        <v>0</v>
      </c>
      <c r="V13672" s="21" t="n">
        <v>0</v>
      </c>
      <c r="W13672" s="21" t="n">
        <v>0</v>
      </c>
      <c r="X13672" s="21" t="n">
        <v>0</v>
      </c>
      <c r="Y13672" s="21" t="n">
        <v>0</v>
      </c>
      <c r="Z13672" s="19" t="n"/>
    </row>
    <row r="13673">
      <c r="D13673" s="21" t="n">
        <v>0</v>
      </c>
      <c r="E13673" s="21" t="n">
        <v>0</v>
      </c>
      <c r="F13673" s="21">
        <f>$B$12190</f>
        <v/>
      </c>
      <c r="G13673" s="21">
        <f>$B$12192</f>
        <v/>
      </c>
      <c r="H13673" s="21">
        <f>0</f>
        <v/>
      </c>
      <c r="I13673" s="21">
        <f>2*$B$12191</f>
        <v/>
      </c>
      <c r="J13673" s="21">
        <f>-$B$12190</f>
        <v/>
      </c>
      <c r="K13673" s="21">
        <f>$B$12192</f>
        <v/>
      </c>
      <c r="L13673" s="21" t="n">
        <v>0</v>
      </c>
      <c r="M13673" s="21" t="n">
        <v>0</v>
      </c>
      <c r="N13673" s="21" t="n">
        <v>0</v>
      </c>
      <c r="O13673" s="21" t="n">
        <v>0</v>
      </c>
      <c r="P13673" s="21" t="n">
        <v>0</v>
      </c>
      <c r="Q13673" s="21" t="n">
        <v>0</v>
      </c>
      <c r="R13673" s="21" t="n">
        <v>0</v>
      </c>
      <c r="S13673" s="21" t="n">
        <v>0</v>
      </c>
      <c r="T13673" s="21" t="n">
        <v>0</v>
      </c>
      <c r="U13673" s="21" t="n">
        <v>0</v>
      </c>
      <c r="V13673" s="21" t="n">
        <v>0</v>
      </c>
      <c r="W13673" s="21" t="n">
        <v>0</v>
      </c>
      <c r="X13673" s="21" t="n">
        <v>0</v>
      </c>
      <c r="Y13673" s="21" t="n">
        <v>0</v>
      </c>
      <c r="Z13673" s="19" t="n"/>
    </row>
    <row r="13674">
      <c r="D13674" s="21" t="n">
        <v>0</v>
      </c>
      <c r="E13674" s="21" t="n">
        <v>0</v>
      </c>
      <c r="F13674" s="21" t="n">
        <v>0</v>
      </c>
      <c r="G13674" s="21" t="n">
        <v>0</v>
      </c>
      <c r="H13674" s="21">
        <f>-$B$12189</f>
        <v/>
      </c>
      <c r="I13674" s="21">
        <f>-$B$12190</f>
        <v/>
      </c>
      <c r="J13674" s="21">
        <f>2*$B$12189+$D$13659</f>
        <v/>
      </c>
      <c r="K13674" s="21">
        <f>0</f>
        <v/>
      </c>
      <c r="L13674" s="21">
        <f>-$B$12189</f>
        <v/>
      </c>
      <c r="M13674" s="21">
        <f>$B$12190</f>
        <v/>
      </c>
      <c r="N13674" s="21" t="n">
        <v>0</v>
      </c>
      <c r="O13674" s="21" t="n">
        <v>0</v>
      </c>
      <c r="P13674" s="21" t="n">
        <v>0</v>
      </c>
      <c r="Q13674" s="21" t="n">
        <v>0</v>
      </c>
      <c r="R13674" s="21" t="n">
        <v>0</v>
      </c>
      <c r="S13674" s="21" t="n">
        <v>0</v>
      </c>
      <c r="T13674" s="21" t="n">
        <v>0</v>
      </c>
      <c r="U13674" s="21" t="n">
        <v>0</v>
      </c>
      <c r="V13674" s="21" t="n">
        <v>0</v>
      </c>
      <c r="W13674" s="21" t="n">
        <v>0</v>
      </c>
      <c r="X13674" s="21" t="n">
        <v>0</v>
      </c>
      <c r="Y13674" s="21" t="n">
        <v>0</v>
      </c>
      <c r="Z13674" s="19" t="n"/>
    </row>
    <row r="13675">
      <c r="D13675" s="21" t="n">
        <v>0</v>
      </c>
      <c r="E13675" s="21" t="n">
        <v>0</v>
      </c>
      <c r="F13675" s="21" t="n">
        <v>0</v>
      </c>
      <c r="G13675" s="21" t="n">
        <v>0</v>
      </c>
      <c r="H13675" s="21">
        <f>$B$12190</f>
        <v/>
      </c>
      <c r="I13675" s="21">
        <f>$B$12192</f>
        <v/>
      </c>
      <c r="J13675" s="21">
        <f>0</f>
        <v/>
      </c>
      <c r="K13675" s="21">
        <f>2*$B$12191</f>
        <v/>
      </c>
      <c r="L13675" s="21">
        <f>-$B$12190</f>
        <v/>
      </c>
      <c r="M13675" s="21">
        <f>$B$12192</f>
        <v/>
      </c>
      <c r="N13675" s="21" t="n">
        <v>0</v>
      </c>
      <c r="O13675" s="21" t="n">
        <v>0</v>
      </c>
      <c r="P13675" s="21" t="n">
        <v>0</v>
      </c>
      <c r="Q13675" s="21" t="n">
        <v>0</v>
      </c>
      <c r="R13675" s="21" t="n">
        <v>0</v>
      </c>
      <c r="S13675" s="21" t="n">
        <v>0</v>
      </c>
      <c r="T13675" s="21" t="n">
        <v>0</v>
      </c>
      <c r="U13675" s="21" t="n">
        <v>0</v>
      </c>
      <c r="V13675" s="21" t="n">
        <v>0</v>
      </c>
      <c r="W13675" s="21" t="n">
        <v>0</v>
      </c>
      <c r="X13675" s="21" t="n">
        <v>0</v>
      </c>
      <c r="Y13675" s="21" t="n">
        <v>0</v>
      </c>
      <c r="Z13675" s="19" t="n"/>
    </row>
    <row r="13676">
      <c r="D13676" s="21" t="n">
        <v>0</v>
      </c>
      <c r="E13676" s="21" t="n">
        <v>0</v>
      </c>
      <c r="F13676" s="21" t="n">
        <v>0</v>
      </c>
      <c r="G13676" s="21" t="n">
        <v>0</v>
      </c>
      <c r="H13676" s="21" t="n">
        <v>0</v>
      </c>
      <c r="I13676" s="21" t="n">
        <v>0</v>
      </c>
      <c r="J13676" s="21">
        <f>-$B$12189</f>
        <v/>
      </c>
      <c r="K13676" s="21">
        <f>-$B$12190</f>
        <v/>
      </c>
      <c r="L13676" s="21">
        <f>2*$B$12189+$D$13660</f>
        <v/>
      </c>
      <c r="M13676" s="21">
        <f>0</f>
        <v/>
      </c>
      <c r="N13676" s="21">
        <f>-$B$12189</f>
        <v/>
      </c>
      <c r="O13676" s="21">
        <f>$B$12190</f>
        <v/>
      </c>
      <c r="P13676" s="21" t="n">
        <v>0</v>
      </c>
      <c r="Q13676" s="21" t="n">
        <v>0</v>
      </c>
      <c r="R13676" s="21" t="n">
        <v>0</v>
      </c>
      <c r="S13676" s="21" t="n">
        <v>0</v>
      </c>
      <c r="T13676" s="21" t="n">
        <v>0</v>
      </c>
      <c r="U13676" s="21" t="n">
        <v>0</v>
      </c>
      <c r="V13676" s="21" t="n">
        <v>0</v>
      </c>
      <c r="W13676" s="21" t="n">
        <v>0</v>
      </c>
      <c r="X13676" s="21" t="n">
        <v>0</v>
      </c>
      <c r="Y13676" s="21" t="n">
        <v>0</v>
      </c>
      <c r="Z13676" s="19" t="n"/>
    </row>
    <row r="13677">
      <c r="D13677" s="21" t="n">
        <v>0</v>
      </c>
      <c r="E13677" s="21" t="n">
        <v>0</v>
      </c>
      <c r="F13677" s="21" t="n">
        <v>0</v>
      </c>
      <c r="G13677" s="21" t="n">
        <v>0</v>
      </c>
      <c r="H13677" s="21" t="n">
        <v>0</v>
      </c>
      <c r="I13677" s="21" t="n">
        <v>0</v>
      </c>
      <c r="J13677" s="21">
        <f>$B$12190</f>
        <v/>
      </c>
      <c r="K13677" s="21">
        <f>$B$12192</f>
        <v/>
      </c>
      <c r="L13677" s="21">
        <f>0</f>
        <v/>
      </c>
      <c r="M13677" s="21">
        <f>2*$B$12191</f>
        <v/>
      </c>
      <c r="N13677" s="21">
        <f>-$B$12190</f>
        <v/>
      </c>
      <c r="O13677" s="21">
        <f>$B$12192</f>
        <v/>
      </c>
      <c r="P13677" s="21" t="n">
        <v>0</v>
      </c>
      <c r="Q13677" s="21" t="n">
        <v>0</v>
      </c>
      <c r="R13677" s="21" t="n">
        <v>0</v>
      </c>
      <c r="S13677" s="21" t="n">
        <v>0</v>
      </c>
      <c r="T13677" s="21" t="n">
        <v>0</v>
      </c>
      <c r="U13677" s="21" t="n">
        <v>0</v>
      </c>
      <c r="V13677" s="21" t="n">
        <v>0</v>
      </c>
      <c r="W13677" s="21" t="n">
        <v>0</v>
      </c>
      <c r="X13677" s="21" t="n">
        <v>0</v>
      </c>
      <c r="Y13677" s="21" t="n">
        <v>0</v>
      </c>
      <c r="Z13677" s="19" t="n"/>
    </row>
    <row r="13678">
      <c r="D13678" s="21" t="n">
        <v>0</v>
      </c>
      <c r="E13678" s="21" t="n">
        <v>0</v>
      </c>
      <c r="F13678" s="21" t="n">
        <v>0</v>
      </c>
      <c r="G13678" s="21" t="n">
        <v>0</v>
      </c>
      <c r="H13678" s="21" t="n">
        <v>0</v>
      </c>
      <c r="I13678" s="21" t="n">
        <v>0</v>
      </c>
      <c r="J13678" s="21" t="n">
        <v>0</v>
      </c>
      <c r="K13678" s="21" t="n">
        <v>0</v>
      </c>
      <c r="L13678" s="21">
        <f>-$B$12189</f>
        <v/>
      </c>
      <c r="M13678" s="21">
        <f>-$B$12190</f>
        <v/>
      </c>
      <c r="N13678" s="21">
        <f>2*$B$12189+$D$13661</f>
        <v/>
      </c>
      <c r="O13678" s="21">
        <f>0</f>
        <v/>
      </c>
      <c r="P13678" s="21">
        <f>-$B$12189</f>
        <v/>
      </c>
      <c r="Q13678" s="21">
        <f>$B$12190</f>
        <v/>
      </c>
      <c r="R13678" s="21" t="n">
        <v>0</v>
      </c>
      <c r="S13678" s="21" t="n">
        <v>0</v>
      </c>
      <c r="T13678" s="21" t="n">
        <v>0</v>
      </c>
      <c r="U13678" s="21" t="n">
        <v>0</v>
      </c>
      <c r="V13678" s="21" t="n">
        <v>0</v>
      </c>
      <c r="W13678" s="21" t="n">
        <v>0</v>
      </c>
      <c r="X13678" s="21" t="n">
        <v>0</v>
      </c>
      <c r="Y13678" s="21" t="n">
        <v>0</v>
      </c>
      <c r="Z13678" s="19" t="n"/>
    </row>
    <row r="13679">
      <c r="D13679" s="21" t="n">
        <v>0</v>
      </c>
      <c r="E13679" s="21" t="n">
        <v>0</v>
      </c>
      <c r="F13679" s="21" t="n">
        <v>0</v>
      </c>
      <c r="G13679" s="21" t="n">
        <v>0</v>
      </c>
      <c r="H13679" s="21" t="n">
        <v>0</v>
      </c>
      <c r="I13679" s="21" t="n">
        <v>0</v>
      </c>
      <c r="J13679" s="21" t="n">
        <v>0</v>
      </c>
      <c r="K13679" s="21" t="n">
        <v>0</v>
      </c>
      <c r="L13679" s="21">
        <f>$B$12190</f>
        <v/>
      </c>
      <c r="M13679" s="21">
        <f>$B$12192</f>
        <v/>
      </c>
      <c r="N13679" s="21">
        <f>0</f>
        <v/>
      </c>
      <c r="O13679" s="21">
        <f>2*$B$12191</f>
        <v/>
      </c>
      <c r="P13679" s="21">
        <f>-$B$12190</f>
        <v/>
      </c>
      <c r="Q13679" s="21">
        <f>$B$12192</f>
        <v/>
      </c>
      <c r="R13679" s="21" t="n">
        <v>0</v>
      </c>
      <c r="S13679" s="21" t="n">
        <v>0</v>
      </c>
      <c r="T13679" s="21" t="n">
        <v>0</v>
      </c>
      <c r="U13679" s="21" t="n">
        <v>0</v>
      </c>
      <c r="V13679" s="21" t="n">
        <v>0</v>
      </c>
      <c r="W13679" s="21" t="n">
        <v>0</v>
      </c>
      <c r="X13679" s="21" t="n">
        <v>0</v>
      </c>
      <c r="Y13679" s="21" t="n">
        <v>0</v>
      </c>
      <c r="Z13679" s="19" t="n"/>
    </row>
    <row r="13680">
      <c r="D13680" s="21" t="n">
        <v>0</v>
      </c>
      <c r="E13680" s="21" t="n">
        <v>0</v>
      </c>
      <c r="F13680" s="21" t="n">
        <v>0</v>
      </c>
      <c r="G13680" s="21" t="n">
        <v>0</v>
      </c>
      <c r="H13680" s="21" t="n">
        <v>0</v>
      </c>
      <c r="I13680" s="21" t="n">
        <v>0</v>
      </c>
      <c r="J13680" s="21" t="n">
        <v>0</v>
      </c>
      <c r="K13680" s="21" t="n">
        <v>0</v>
      </c>
      <c r="L13680" s="21" t="n">
        <v>0</v>
      </c>
      <c r="M13680" s="21" t="n">
        <v>0</v>
      </c>
      <c r="N13680" s="21">
        <f>-$B$12189</f>
        <v/>
      </c>
      <c r="O13680" s="21">
        <f>-$B$12190</f>
        <v/>
      </c>
      <c r="P13680" s="21">
        <f>2*$B$12189+$D$13662</f>
        <v/>
      </c>
      <c r="Q13680" s="21">
        <f>0</f>
        <v/>
      </c>
      <c r="R13680" s="21">
        <f>-$B$12189</f>
        <v/>
      </c>
      <c r="S13680" s="21">
        <f>$B$12190</f>
        <v/>
      </c>
      <c r="T13680" s="21" t="n">
        <v>0</v>
      </c>
      <c r="U13680" s="21" t="n">
        <v>0</v>
      </c>
      <c r="V13680" s="21" t="n">
        <v>0</v>
      </c>
      <c r="W13680" s="21" t="n">
        <v>0</v>
      </c>
      <c r="X13680" s="21" t="n">
        <v>0</v>
      </c>
      <c r="Y13680" s="21" t="n">
        <v>0</v>
      </c>
      <c r="Z13680" s="19" t="n"/>
    </row>
    <row r="13681">
      <c r="D13681" s="21" t="n">
        <v>0</v>
      </c>
      <c r="E13681" s="21" t="n">
        <v>0</v>
      </c>
      <c r="F13681" s="21" t="n">
        <v>0</v>
      </c>
      <c r="G13681" s="21" t="n">
        <v>0</v>
      </c>
      <c r="H13681" s="21" t="n">
        <v>0</v>
      </c>
      <c r="I13681" s="21" t="n">
        <v>0</v>
      </c>
      <c r="J13681" s="21" t="n">
        <v>0</v>
      </c>
      <c r="K13681" s="21" t="n">
        <v>0</v>
      </c>
      <c r="L13681" s="21" t="n">
        <v>0</v>
      </c>
      <c r="M13681" s="21" t="n">
        <v>0</v>
      </c>
      <c r="N13681" s="21">
        <f>$B$12190</f>
        <v/>
      </c>
      <c r="O13681" s="21">
        <f>$B$12192</f>
        <v/>
      </c>
      <c r="P13681" s="21">
        <f>0</f>
        <v/>
      </c>
      <c r="Q13681" s="21">
        <f>2*$B$12191</f>
        <v/>
      </c>
      <c r="R13681" s="21">
        <f>-$B$12190</f>
        <v/>
      </c>
      <c r="S13681" s="21">
        <f>$B$12192</f>
        <v/>
      </c>
      <c r="T13681" s="21" t="n">
        <v>0</v>
      </c>
      <c r="U13681" s="21" t="n">
        <v>0</v>
      </c>
      <c r="V13681" s="21" t="n">
        <v>0</v>
      </c>
      <c r="W13681" s="21" t="n">
        <v>0</v>
      </c>
      <c r="X13681" s="21" t="n">
        <v>0</v>
      </c>
      <c r="Y13681" s="21" t="n">
        <v>0</v>
      </c>
      <c r="Z13681" s="19" t="n"/>
    </row>
    <row r="13682">
      <c r="D13682" s="21" t="n">
        <v>0</v>
      </c>
      <c r="E13682" s="21" t="n">
        <v>0</v>
      </c>
      <c r="F13682" s="21" t="n">
        <v>0</v>
      </c>
      <c r="G13682" s="21" t="n">
        <v>0</v>
      </c>
      <c r="H13682" s="21" t="n">
        <v>0</v>
      </c>
      <c r="I13682" s="21" t="n">
        <v>0</v>
      </c>
      <c r="J13682" s="21" t="n">
        <v>0</v>
      </c>
      <c r="K13682" s="21" t="n">
        <v>0</v>
      </c>
      <c r="L13682" s="21" t="n">
        <v>0</v>
      </c>
      <c r="M13682" s="21" t="n">
        <v>0</v>
      </c>
      <c r="N13682" s="21" t="n">
        <v>0</v>
      </c>
      <c r="O13682" s="21" t="n">
        <v>0</v>
      </c>
      <c r="P13682" s="21">
        <f>-$B$12189</f>
        <v/>
      </c>
      <c r="Q13682" s="21">
        <f>-$B$12190</f>
        <v/>
      </c>
      <c r="R13682" s="21">
        <f>2*$B$12189+$D$13663</f>
        <v/>
      </c>
      <c r="S13682" s="21">
        <f>0</f>
        <v/>
      </c>
      <c r="T13682" s="21">
        <f>-$B$12189</f>
        <v/>
      </c>
      <c r="U13682" s="21">
        <f>$B$12190</f>
        <v/>
      </c>
      <c r="V13682" s="21" t="n">
        <v>0</v>
      </c>
      <c r="W13682" s="21" t="n">
        <v>0</v>
      </c>
      <c r="X13682" s="21" t="n">
        <v>0</v>
      </c>
      <c r="Y13682" s="21" t="n">
        <v>0</v>
      </c>
      <c r="Z13682" s="19" t="n"/>
    </row>
    <row r="13683">
      <c r="D13683" s="21" t="n">
        <v>0</v>
      </c>
      <c r="E13683" s="21" t="n">
        <v>0</v>
      </c>
      <c r="F13683" s="21" t="n">
        <v>0</v>
      </c>
      <c r="G13683" s="21" t="n">
        <v>0</v>
      </c>
      <c r="H13683" s="21" t="n">
        <v>0</v>
      </c>
      <c r="I13683" s="21" t="n">
        <v>0</v>
      </c>
      <c r="J13683" s="21" t="n">
        <v>0</v>
      </c>
      <c r="K13683" s="21" t="n">
        <v>0</v>
      </c>
      <c r="L13683" s="21" t="n">
        <v>0</v>
      </c>
      <c r="M13683" s="21" t="n">
        <v>0</v>
      </c>
      <c r="N13683" s="21" t="n">
        <v>0</v>
      </c>
      <c r="O13683" s="21" t="n">
        <v>0</v>
      </c>
      <c r="P13683" s="21">
        <f>$B$12190</f>
        <v/>
      </c>
      <c r="Q13683" s="21">
        <f>$B$12192</f>
        <v/>
      </c>
      <c r="R13683" s="21">
        <f>0</f>
        <v/>
      </c>
      <c r="S13683" s="21">
        <f>2*$B$12191</f>
        <v/>
      </c>
      <c r="T13683" s="21">
        <f>-$B$12190</f>
        <v/>
      </c>
      <c r="U13683" s="21">
        <f>$B$12192</f>
        <v/>
      </c>
      <c r="V13683" s="21" t="n">
        <v>0</v>
      </c>
      <c r="W13683" s="21" t="n">
        <v>0</v>
      </c>
      <c r="X13683" s="21" t="n">
        <v>0</v>
      </c>
      <c r="Y13683" s="21" t="n">
        <v>0</v>
      </c>
      <c r="Z13683" s="19" t="n"/>
    </row>
    <row r="13684">
      <c r="D13684" s="21" t="n">
        <v>0</v>
      </c>
      <c r="E13684" s="21" t="n">
        <v>0</v>
      </c>
      <c r="F13684" s="21" t="n">
        <v>0</v>
      </c>
      <c r="G13684" s="21" t="n">
        <v>0</v>
      </c>
      <c r="H13684" s="21" t="n">
        <v>0</v>
      </c>
      <c r="I13684" s="21" t="n">
        <v>0</v>
      </c>
      <c r="J13684" s="21" t="n">
        <v>0</v>
      </c>
      <c r="K13684" s="21" t="n">
        <v>0</v>
      </c>
      <c r="L13684" s="21" t="n">
        <v>0</v>
      </c>
      <c r="M13684" s="21" t="n">
        <v>0</v>
      </c>
      <c r="N13684" s="21" t="n">
        <v>0</v>
      </c>
      <c r="O13684" s="21" t="n">
        <v>0</v>
      </c>
      <c r="P13684" s="21" t="n">
        <v>0</v>
      </c>
      <c r="Q13684" s="21" t="n">
        <v>0</v>
      </c>
      <c r="R13684" s="21">
        <f>-$B$12189</f>
        <v/>
      </c>
      <c r="S13684" s="21">
        <f>-$B$12190</f>
        <v/>
      </c>
      <c r="T13684" s="21">
        <f>2*$B$12189+$D$13664</f>
        <v/>
      </c>
      <c r="U13684" s="21">
        <f>0</f>
        <v/>
      </c>
      <c r="V13684" s="21">
        <f>-$B$12189</f>
        <v/>
      </c>
      <c r="W13684" s="21">
        <f>$B$12190</f>
        <v/>
      </c>
      <c r="X13684" s="21" t="n">
        <v>0</v>
      </c>
      <c r="Y13684" s="21" t="n">
        <v>0</v>
      </c>
      <c r="Z13684" s="19" t="n"/>
    </row>
    <row r="13685">
      <c r="D13685" s="21" t="n">
        <v>0</v>
      </c>
      <c r="E13685" s="21" t="n">
        <v>0</v>
      </c>
      <c r="F13685" s="21" t="n">
        <v>0</v>
      </c>
      <c r="G13685" s="21" t="n">
        <v>0</v>
      </c>
      <c r="H13685" s="21" t="n">
        <v>0</v>
      </c>
      <c r="I13685" s="21" t="n">
        <v>0</v>
      </c>
      <c r="J13685" s="21" t="n">
        <v>0</v>
      </c>
      <c r="K13685" s="21" t="n">
        <v>0</v>
      </c>
      <c r="L13685" s="21" t="n">
        <v>0</v>
      </c>
      <c r="M13685" s="21" t="n">
        <v>0</v>
      </c>
      <c r="N13685" s="21" t="n">
        <v>0</v>
      </c>
      <c r="O13685" s="21" t="n">
        <v>0</v>
      </c>
      <c r="P13685" s="21" t="n">
        <v>0</v>
      </c>
      <c r="Q13685" s="21" t="n">
        <v>0</v>
      </c>
      <c r="R13685" s="21">
        <f>$B$12190</f>
        <v/>
      </c>
      <c r="S13685" s="21">
        <f>$B$12192</f>
        <v/>
      </c>
      <c r="T13685" s="21">
        <f>0</f>
        <v/>
      </c>
      <c r="U13685" s="21">
        <f>2*$B$12191</f>
        <v/>
      </c>
      <c r="V13685" s="21">
        <f>-$B$12190</f>
        <v/>
      </c>
      <c r="W13685" s="21">
        <f>$B$12192</f>
        <v/>
      </c>
      <c r="X13685" s="21" t="n">
        <v>0</v>
      </c>
      <c r="Y13685" s="21" t="n">
        <v>0</v>
      </c>
      <c r="Z13685" s="19" t="n"/>
    </row>
    <row r="13686">
      <c r="D13686" s="21" t="n">
        <v>0</v>
      </c>
      <c r="E13686" s="21" t="n">
        <v>0</v>
      </c>
      <c r="F13686" s="21" t="n">
        <v>0</v>
      </c>
      <c r="G13686" s="21" t="n">
        <v>0</v>
      </c>
      <c r="H13686" s="21" t="n">
        <v>0</v>
      </c>
      <c r="I13686" s="21" t="n">
        <v>0</v>
      </c>
      <c r="J13686" s="21" t="n">
        <v>0</v>
      </c>
      <c r="K13686" s="21" t="n">
        <v>0</v>
      </c>
      <c r="L13686" s="21" t="n">
        <v>0</v>
      </c>
      <c r="M13686" s="21" t="n">
        <v>0</v>
      </c>
      <c r="N13686" s="21" t="n">
        <v>0</v>
      </c>
      <c r="O13686" s="21" t="n">
        <v>0</v>
      </c>
      <c r="P13686" s="21" t="n">
        <v>0</v>
      </c>
      <c r="Q13686" s="21" t="n">
        <v>0</v>
      </c>
      <c r="R13686" s="21" t="n">
        <v>0</v>
      </c>
      <c r="S13686" s="21" t="n">
        <v>0</v>
      </c>
      <c r="T13686" s="21">
        <f>-$B$12189</f>
        <v/>
      </c>
      <c r="U13686" s="21">
        <f>-$B$12190</f>
        <v/>
      </c>
      <c r="V13686" s="21">
        <f>2*$B$12189+$D$13665</f>
        <v/>
      </c>
      <c r="W13686" s="21">
        <f>0</f>
        <v/>
      </c>
      <c r="X13686" s="21">
        <f>-$B$12189</f>
        <v/>
      </c>
      <c r="Y13686" s="21">
        <f>$B$12190</f>
        <v/>
      </c>
      <c r="Z13686" s="19" t="n"/>
    </row>
    <row r="13687">
      <c r="D13687" s="21" t="n">
        <v>0</v>
      </c>
      <c r="E13687" s="21" t="n">
        <v>0</v>
      </c>
      <c r="F13687" s="21" t="n">
        <v>0</v>
      </c>
      <c r="G13687" s="21" t="n">
        <v>0</v>
      </c>
      <c r="H13687" s="21" t="n">
        <v>0</v>
      </c>
      <c r="I13687" s="21" t="n">
        <v>0</v>
      </c>
      <c r="J13687" s="21" t="n">
        <v>0</v>
      </c>
      <c r="K13687" s="21" t="n">
        <v>0</v>
      </c>
      <c r="L13687" s="21" t="n">
        <v>0</v>
      </c>
      <c r="M13687" s="21" t="n">
        <v>0</v>
      </c>
      <c r="N13687" s="21" t="n">
        <v>0</v>
      </c>
      <c r="O13687" s="21" t="n">
        <v>0</v>
      </c>
      <c r="P13687" s="21" t="n">
        <v>0</v>
      </c>
      <c r="Q13687" s="21" t="n">
        <v>0</v>
      </c>
      <c r="R13687" s="21" t="n">
        <v>0</v>
      </c>
      <c r="S13687" s="21" t="n">
        <v>0</v>
      </c>
      <c r="T13687" s="21">
        <f>$B$12190</f>
        <v/>
      </c>
      <c r="U13687" s="21">
        <f>$B$12192</f>
        <v/>
      </c>
      <c r="V13687" s="21">
        <f>0</f>
        <v/>
      </c>
      <c r="W13687" s="21">
        <f>2*$B$12191</f>
        <v/>
      </c>
      <c r="X13687" s="21">
        <f>-$B$12190</f>
        <v/>
      </c>
      <c r="Y13687" s="21">
        <f>$B$12192</f>
        <v/>
      </c>
      <c r="Z13687" s="19" t="n"/>
    </row>
    <row r="13688">
      <c r="D13688" s="21" t="n">
        <v>0</v>
      </c>
      <c r="E13688" s="21" t="n">
        <v>0</v>
      </c>
      <c r="F13688" s="21" t="n">
        <v>0</v>
      </c>
      <c r="G13688" s="21" t="n">
        <v>0</v>
      </c>
      <c r="H13688" s="21" t="n">
        <v>0</v>
      </c>
      <c r="I13688" s="21" t="n">
        <v>0</v>
      </c>
      <c r="J13688" s="21" t="n">
        <v>0</v>
      </c>
      <c r="K13688" s="21" t="n">
        <v>0</v>
      </c>
      <c r="L13688" s="21" t="n">
        <v>0</v>
      </c>
      <c r="M13688" s="21" t="n">
        <v>0</v>
      </c>
      <c r="N13688" s="21" t="n">
        <v>0</v>
      </c>
      <c r="O13688" s="21" t="n">
        <v>0</v>
      </c>
      <c r="P13688" s="21" t="n">
        <v>0</v>
      </c>
      <c r="Q13688" s="21" t="n">
        <v>0</v>
      </c>
      <c r="R13688" s="21" t="n">
        <v>0</v>
      </c>
      <c r="S13688" s="21" t="n">
        <v>0</v>
      </c>
      <c r="T13688" s="21" t="n">
        <v>0</v>
      </c>
      <c r="U13688" s="21" t="n">
        <v>0</v>
      </c>
      <c r="V13688" s="21">
        <f>-$B$12189</f>
        <v/>
      </c>
      <c r="W13688" s="21">
        <f>-$B$12190</f>
        <v/>
      </c>
      <c r="X13688" s="21">
        <f>$B$12189+$D$13666</f>
        <v/>
      </c>
      <c r="Y13688" s="21">
        <f>-$B$12190</f>
        <v/>
      </c>
      <c r="Z13688" s="19" t="n"/>
    </row>
    <row r="13689">
      <c r="D13689" s="21" t="n">
        <v>0</v>
      </c>
      <c r="E13689" s="21" t="n">
        <v>0</v>
      </c>
      <c r="F13689" s="21" t="n">
        <v>0</v>
      </c>
      <c r="G13689" s="21" t="n">
        <v>0</v>
      </c>
      <c r="H13689" s="21" t="n">
        <v>0</v>
      </c>
      <c r="I13689" s="21" t="n">
        <v>0</v>
      </c>
      <c r="J13689" s="21" t="n">
        <v>0</v>
      </c>
      <c r="K13689" s="21" t="n">
        <v>0</v>
      </c>
      <c r="L13689" s="21" t="n">
        <v>0</v>
      </c>
      <c r="M13689" s="21" t="n">
        <v>0</v>
      </c>
      <c r="N13689" s="21" t="n">
        <v>0</v>
      </c>
      <c r="O13689" s="21" t="n">
        <v>0</v>
      </c>
      <c r="P13689" s="21" t="n">
        <v>0</v>
      </c>
      <c r="Q13689" s="21" t="n">
        <v>0</v>
      </c>
      <c r="R13689" s="21" t="n">
        <v>0</v>
      </c>
      <c r="S13689" s="21" t="n">
        <v>0</v>
      </c>
      <c r="T13689" s="21" t="n">
        <v>0</v>
      </c>
      <c r="U13689" s="21" t="n">
        <v>0</v>
      </c>
      <c r="V13689" s="21">
        <f>$B$12190</f>
        <v/>
      </c>
      <c r="W13689" s="21">
        <f>$B$12192</f>
        <v/>
      </c>
      <c r="X13689" s="21">
        <f>-$B$12190</f>
        <v/>
      </c>
      <c r="Y13689" s="21">
        <f>$B$12191</f>
        <v/>
      </c>
      <c r="Z13689" s="19" t="n"/>
    </row>
    <row r="13691">
      <c r="A13691" s="8" t="inlineStr">
        <is>
          <t>gen 41</t>
        </is>
      </c>
    </row>
    <row r="13692">
      <c r="D13692" s="19">
        <f>IF(ABS(IF(ABS($E$13656)&gt;0.000000001,$E$13656,0.000000001))=0,0,IF($E$12204&lt;=$B$12198,0,IF(ABS(IF(ABS($E$13656)&gt;0.000000001,$E$13656,0.000000001))&gt;=8*$B$12200,$H$12204,0.5*$H$12204*(ABS(IF(ABS($E$13656)&gt;0.000000001,$E$13656,0.000000001))/$B$12200)^(1/3)))/ABS(IF(ABS($E$13656)&gt;0.000000001,$E$13656,0.000000001))*$I$12204)</f>
        <v/>
      </c>
      <c r="E13692" s="19">
        <f>0.5*$E$13656+0.5*$Z$13704</f>
        <v/>
      </c>
      <c r="F13692" s="19">
        <f>$Z$13705</f>
        <v/>
      </c>
    </row>
    <row r="13693">
      <c r="D13693" s="19">
        <f>IF(ABS(IF(ABS($E$13657)&gt;0.000000001,$E$13657,0.000000001))=0,0,IF($E$12205&lt;=$B$12198,0,IF(ABS(IF(ABS($E$13657)&gt;0.000000001,$E$13657,0.000000001))&gt;=8*$B$12200,$H$12205,0.5*$H$12205*(ABS(IF(ABS($E$13657)&gt;0.000000001,$E$13657,0.000000001))/$B$12200)^(1/3)))/ABS(IF(ABS($E$13657)&gt;0.000000001,$E$13657,0.000000001))*$I$12205)</f>
        <v/>
      </c>
      <c r="E13693" s="19">
        <f>0.5*$E$13657+0.5*$Z$13706</f>
        <v/>
      </c>
      <c r="F13693" s="19">
        <f>$Z$13707</f>
        <v/>
      </c>
    </row>
    <row r="13694">
      <c r="D13694" s="19">
        <f>IF(ABS(IF(ABS($E$13658)&gt;0.000000001,$E$13658,0.000000001))=0,0,IF($E$12206&lt;=$B$12198,0,IF(ABS(IF(ABS($E$13658)&gt;0.000000001,$E$13658,0.000000001))&gt;=8*$B$12200,$H$12206,0.5*$H$12206*(ABS(IF(ABS($E$13658)&gt;0.000000001,$E$13658,0.000000001))/$B$12200)^(1/3)))/ABS(IF(ABS($E$13658)&gt;0.000000001,$E$13658,0.000000001))*$I$12206)</f>
        <v/>
      </c>
      <c r="E13694" s="19">
        <f>0.5*$E$13658+0.5*$Z$13708</f>
        <v/>
      </c>
      <c r="F13694" s="19">
        <f>$Z$13709</f>
        <v/>
      </c>
    </row>
    <row r="13695">
      <c r="D13695" s="19">
        <f>IF(ABS(IF(ABS($E$13659)&gt;0.000000001,$E$13659,0.000000001))=0,0,IF($E$12207&lt;=$B$12198,0,IF(ABS(IF(ABS($E$13659)&gt;0.000000001,$E$13659,0.000000001))&gt;=8*$B$12200,$H$12207,0.5*$H$12207*(ABS(IF(ABS($E$13659)&gt;0.000000001,$E$13659,0.000000001))/$B$12200)^(1/3)))/ABS(IF(ABS($E$13659)&gt;0.000000001,$E$13659,0.000000001))*$I$12207)</f>
        <v/>
      </c>
      <c r="E13695" s="19">
        <f>0.5*$E$13659+0.5*$Z$13710</f>
        <v/>
      </c>
      <c r="F13695" s="19">
        <f>$Z$13711</f>
        <v/>
      </c>
    </row>
    <row r="13696">
      <c r="D13696" s="19">
        <f>IF(ABS(IF(ABS($E$13660)&gt;0.000000001,$E$13660,0.000000001))=0,0,IF($E$12208&lt;=$B$12198,0,IF(ABS(IF(ABS($E$13660)&gt;0.000000001,$E$13660,0.000000001))&gt;=8*$B$12200,$H$12208,0.5*$H$12208*(ABS(IF(ABS($E$13660)&gt;0.000000001,$E$13660,0.000000001))/$B$12200)^(1/3)))/ABS(IF(ABS($E$13660)&gt;0.000000001,$E$13660,0.000000001))*$I$12208)</f>
        <v/>
      </c>
      <c r="E13696" s="19">
        <f>0.5*$E$13660+0.5*$Z$13712</f>
        <v/>
      </c>
      <c r="F13696" s="19">
        <f>$Z$13713</f>
        <v/>
      </c>
    </row>
    <row r="13697">
      <c r="D13697" s="19">
        <f>IF(ABS(IF(ABS($E$13661)&gt;0.000000001,$E$13661,0.000000001))=0,0,IF($E$12209&lt;=$B$12198,0,IF(ABS(IF(ABS($E$13661)&gt;0.000000001,$E$13661,0.000000001))&gt;=8*$B$12200,$H$12209,0.5*$H$12209*(ABS(IF(ABS($E$13661)&gt;0.000000001,$E$13661,0.000000001))/$B$12200)^(1/3)))/ABS(IF(ABS($E$13661)&gt;0.000000001,$E$13661,0.000000001))*$I$12209)</f>
        <v/>
      </c>
      <c r="E13697" s="19">
        <f>0.5*$E$13661+0.5*$Z$13714</f>
        <v/>
      </c>
      <c r="F13697" s="19">
        <f>$Z$13715</f>
        <v/>
      </c>
    </row>
    <row r="13698">
      <c r="D13698" s="19">
        <f>IF(ABS(IF(ABS($E$13662)&gt;0.000000001,$E$13662,0.000000001))=0,0,IF($E$12210&lt;=$B$12198,0,IF(ABS(IF(ABS($E$13662)&gt;0.000000001,$E$13662,0.000000001))&gt;=8*$B$12200,$H$12210,0.5*$H$12210*(ABS(IF(ABS($E$13662)&gt;0.000000001,$E$13662,0.000000001))/$B$12200)^(1/3)))/ABS(IF(ABS($E$13662)&gt;0.000000001,$E$13662,0.000000001))*$I$12210)</f>
        <v/>
      </c>
      <c r="E13698" s="19">
        <f>0.5*$E$13662+0.5*$Z$13716</f>
        <v/>
      </c>
      <c r="F13698" s="19">
        <f>$Z$13717</f>
        <v/>
      </c>
    </row>
    <row r="13699">
      <c r="D13699" s="19">
        <f>IF(ABS(IF(ABS($E$13663)&gt;0.000000001,$E$13663,0.000000001))=0,0,IF($E$12211&lt;=$B$12198,0,IF(ABS(IF(ABS($E$13663)&gt;0.000000001,$E$13663,0.000000001))&gt;=8*$B$12200,$H$12211,0.5*$H$12211*(ABS(IF(ABS($E$13663)&gt;0.000000001,$E$13663,0.000000001))/$B$12200)^(1/3)))/ABS(IF(ABS($E$13663)&gt;0.000000001,$E$13663,0.000000001))*$I$12211)</f>
        <v/>
      </c>
      <c r="E13699" s="19">
        <f>0.5*$E$13663+0.5*$Z$13718</f>
        <v/>
      </c>
      <c r="F13699" s="19">
        <f>$Z$13719</f>
        <v/>
      </c>
    </row>
    <row r="13700">
      <c r="D13700" s="19">
        <f>IF(ABS(IF(ABS($E$13664)&gt;0.000000001,$E$13664,0.000000001))=0,0,IF($E$12212&lt;=$B$12198,0,IF(ABS(IF(ABS($E$13664)&gt;0.000000001,$E$13664,0.000000001))&gt;=8*$B$12200,$H$12212,0.5*$H$12212*(ABS(IF(ABS($E$13664)&gt;0.000000001,$E$13664,0.000000001))/$B$12200)^(1/3)))/ABS(IF(ABS($E$13664)&gt;0.000000001,$E$13664,0.000000001))*$I$12212)</f>
        <v/>
      </c>
      <c r="E13700" s="19">
        <f>0.5*$E$13664+0.5*$Z$13720</f>
        <v/>
      </c>
      <c r="F13700" s="19">
        <f>$Z$13721</f>
        <v/>
      </c>
    </row>
    <row r="13701">
      <c r="D13701" s="19">
        <f>IF(ABS(IF(ABS($E$13665)&gt;0.000000001,$E$13665,0.000000001))=0,0,IF($E$12213&lt;=$B$12198,0,IF(ABS(IF(ABS($E$13665)&gt;0.000000001,$E$13665,0.000000001))&gt;=8*$B$12200,$H$12213,0.5*$H$12213*(ABS(IF(ABS($E$13665)&gt;0.000000001,$E$13665,0.000000001))/$B$12200)^(1/3)))/ABS(IF(ABS($E$13665)&gt;0.000000001,$E$13665,0.000000001))*$I$12213)</f>
        <v/>
      </c>
      <c r="E13701" s="19">
        <f>0.5*$E$13665+0.5*$Z$13722</f>
        <v/>
      </c>
      <c r="F13701" s="19">
        <f>$Z$13723</f>
        <v/>
      </c>
    </row>
    <row r="13702">
      <c r="D13702" s="19">
        <f>IF(ABS(IF(ABS($E$13666)&gt;0.000000001,$E$13666,0.000000001))=0,0,IF($E$12214&lt;=$B$12198,0,IF(ABS(IF(ABS($E$13666)&gt;0.000000001,$E$13666,0.000000001))&gt;=8*$B$12200,$H$12214,0.5*$H$12214*(ABS(IF(ABS($E$13666)&gt;0.000000001,$E$13666,0.000000001))/$B$12200)^(1/3)))/ABS(IF(ABS($E$13666)&gt;0.000000001,$E$13666,0.000000001))*$I$12214)</f>
        <v/>
      </c>
      <c r="E13702" s="19">
        <f>0.5*$E$13666+0.5*$Z$13724</f>
        <v/>
      </c>
      <c r="F13702" s="19">
        <f>$Z$13725</f>
        <v/>
      </c>
    </row>
    <row r="13704">
      <c r="D13704" s="21">
        <f>$B$12189+$D$13692</f>
        <v/>
      </c>
      <c r="E13704" s="21">
        <f>$B$12190</f>
        <v/>
      </c>
      <c r="F13704" s="21">
        <f>-$B$12189</f>
        <v/>
      </c>
      <c r="G13704" s="21">
        <f>$B$12190</f>
        <v/>
      </c>
      <c r="H13704" s="21" t="n">
        <v>0</v>
      </c>
      <c r="I13704" s="21" t="n">
        <v>0</v>
      </c>
      <c r="J13704" s="21" t="n">
        <v>0</v>
      </c>
      <c r="K13704" s="21" t="n">
        <v>0</v>
      </c>
      <c r="L13704" s="21" t="n">
        <v>0</v>
      </c>
      <c r="M13704" s="21" t="n">
        <v>0</v>
      </c>
      <c r="N13704" s="21" t="n">
        <v>0</v>
      </c>
      <c r="O13704" s="21" t="n">
        <v>0</v>
      </c>
      <c r="P13704" s="21" t="n">
        <v>0</v>
      </c>
      <c r="Q13704" s="21" t="n">
        <v>0</v>
      </c>
      <c r="R13704" s="21" t="n">
        <v>0</v>
      </c>
      <c r="S13704" s="21" t="n">
        <v>0</v>
      </c>
      <c r="T13704" s="21" t="n">
        <v>0</v>
      </c>
      <c r="U13704" s="21" t="n">
        <v>0</v>
      </c>
      <c r="V13704" s="21" t="n">
        <v>0</v>
      </c>
      <c r="W13704" s="21" t="n">
        <v>0</v>
      </c>
      <c r="X13704" s="21" t="n">
        <v>0</v>
      </c>
      <c r="Y13704" s="21" t="n">
        <v>0</v>
      </c>
      <c r="Z13704" s="19">
        <f t="array" ref="Z13704:Z13725">MMULT(MINVERSE($D$13704:$Y$13725),$D$12216:$D$12237)</f>
        <v/>
      </c>
    </row>
    <row r="13705">
      <c r="D13705" s="21">
        <f>$B$12190</f>
        <v/>
      </c>
      <c r="E13705" s="21">
        <f>$B$12191</f>
        <v/>
      </c>
      <c r="F13705" s="21">
        <f>-$B$12190</f>
        <v/>
      </c>
      <c r="G13705" s="21">
        <f>$B$12192</f>
        <v/>
      </c>
      <c r="H13705" s="21" t="n">
        <v>0</v>
      </c>
      <c r="I13705" s="21" t="n">
        <v>0</v>
      </c>
      <c r="J13705" s="21" t="n">
        <v>0</v>
      </c>
      <c r="K13705" s="21" t="n">
        <v>0</v>
      </c>
      <c r="L13705" s="21" t="n">
        <v>0</v>
      </c>
      <c r="M13705" s="21" t="n">
        <v>0</v>
      </c>
      <c r="N13705" s="21" t="n">
        <v>0</v>
      </c>
      <c r="O13705" s="21" t="n">
        <v>0</v>
      </c>
      <c r="P13705" s="21" t="n">
        <v>0</v>
      </c>
      <c r="Q13705" s="21" t="n">
        <v>0</v>
      </c>
      <c r="R13705" s="21" t="n">
        <v>0</v>
      </c>
      <c r="S13705" s="21" t="n">
        <v>0</v>
      </c>
      <c r="T13705" s="21" t="n">
        <v>0</v>
      </c>
      <c r="U13705" s="21" t="n">
        <v>0</v>
      </c>
      <c r="V13705" s="21" t="n">
        <v>0</v>
      </c>
      <c r="W13705" s="21" t="n">
        <v>0</v>
      </c>
      <c r="X13705" s="21" t="n">
        <v>0</v>
      </c>
      <c r="Y13705" s="21" t="n">
        <v>0</v>
      </c>
      <c r="Z13705" s="19" t="n"/>
    </row>
    <row r="13706">
      <c r="D13706" s="21">
        <f>-$B$12189</f>
        <v/>
      </c>
      <c r="E13706" s="21">
        <f>-$B$12190</f>
        <v/>
      </c>
      <c r="F13706" s="21">
        <f>2*$B$12189+$D$13693</f>
        <v/>
      </c>
      <c r="G13706" s="21">
        <f>0</f>
        <v/>
      </c>
      <c r="H13706" s="21">
        <f>-$B$12189</f>
        <v/>
      </c>
      <c r="I13706" s="21">
        <f>$B$12190</f>
        <v/>
      </c>
      <c r="J13706" s="21" t="n">
        <v>0</v>
      </c>
      <c r="K13706" s="21" t="n">
        <v>0</v>
      </c>
      <c r="L13706" s="21" t="n">
        <v>0</v>
      </c>
      <c r="M13706" s="21" t="n">
        <v>0</v>
      </c>
      <c r="N13706" s="21" t="n">
        <v>0</v>
      </c>
      <c r="O13706" s="21" t="n">
        <v>0</v>
      </c>
      <c r="P13706" s="21" t="n">
        <v>0</v>
      </c>
      <c r="Q13706" s="21" t="n">
        <v>0</v>
      </c>
      <c r="R13706" s="21" t="n">
        <v>0</v>
      </c>
      <c r="S13706" s="21" t="n">
        <v>0</v>
      </c>
      <c r="T13706" s="21" t="n">
        <v>0</v>
      </c>
      <c r="U13706" s="21" t="n">
        <v>0</v>
      </c>
      <c r="V13706" s="21" t="n">
        <v>0</v>
      </c>
      <c r="W13706" s="21" t="n">
        <v>0</v>
      </c>
      <c r="X13706" s="21" t="n">
        <v>0</v>
      </c>
      <c r="Y13706" s="21" t="n">
        <v>0</v>
      </c>
      <c r="Z13706" s="19" t="n"/>
    </row>
    <row r="13707">
      <c r="D13707" s="21">
        <f>$B$12190</f>
        <v/>
      </c>
      <c r="E13707" s="21">
        <f>$B$12192</f>
        <v/>
      </c>
      <c r="F13707" s="21">
        <f>0</f>
        <v/>
      </c>
      <c r="G13707" s="21">
        <f>2*$B$12191</f>
        <v/>
      </c>
      <c r="H13707" s="21">
        <f>-$B$12190</f>
        <v/>
      </c>
      <c r="I13707" s="21">
        <f>$B$12192</f>
        <v/>
      </c>
      <c r="J13707" s="21" t="n">
        <v>0</v>
      </c>
      <c r="K13707" s="21" t="n">
        <v>0</v>
      </c>
      <c r="L13707" s="21" t="n">
        <v>0</v>
      </c>
      <c r="M13707" s="21" t="n">
        <v>0</v>
      </c>
      <c r="N13707" s="21" t="n">
        <v>0</v>
      </c>
      <c r="O13707" s="21" t="n">
        <v>0</v>
      </c>
      <c r="P13707" s="21" t="n">
        <v>0</v>
      </c>
      <c r="Q13707" s="21" t="n">
        <v>0</v>
      </c>
      <c r="R13707" s="21" t="n">
        <v>0</v>
      </c>
      <c r="S13707" s="21" t="n">
        <v>0</v>
      </c>
      <c r="T13707" s="21" t="n">
        <v>0</v>
      </c>
      <c r="U13707" s="21" t="n">
        <v>0</v>
      </c>
      <c r="V13707" s="21" t="n">
        <v>0</v>
      </c>
      <c r="W13707" s="21" t="n">
        <v>0</v>
      </c>
      <c r="X13707" s="21" t="n">
        <v>0</v>
      </c>
      <c r="Y13707" s="21" t="n">
        <v>0</v>
      </c>
      <c r="Z13707" s="19" t="n"/>
    </row>
    <row r="13708">
      <c r="D13708" s="21" t="n">
        <v>0</v>
      </c>
      <c r="E13708" s="21" t="n">
        <v>0</v>
      </c>
      <c r="F13708" s="21">
        <f>-$B$12189</f>
        <v/>
      </c>
      <c r="G13708" s="21">
        <f>-$B$12190</f>
        <v/>
      </c>
      <c r="H13708" s="21">
        <f>2*$B$12189+$D$13694</f>
        <v/>
      </c>
      <c r="I13708" s="21">
        <f>0</f>
        <v/>
      </c>
      <c r="J13708" s="21">
        <f>-$B$12189</f>
        <v/>
      </c>
      <c r="K13708" s="21">
        <f>$B$12190</f>
        <v/>
      </c>
      <c r="L13708" s="21" t="n">
        <v>0</v>
      </c>
      <c r="M13708" s="21" t="n">
        <v>0</v>
      </c>
      <c r="N13708" s="21" t="n">
        <v>0</v>
      </c>
      <c r="O13708" s="21" t="n">
        <v>0</v>
      </c>
      <c r="P13708" s="21" t="n">
        <v>0</v>
      </c>
      <c r="Q13708" s="21" t="n">
        <v>0</v>
      </c>
      <c r="R13708" s="21" t="n">
        <v>0</v>
      </c>
      <c r="S13708" s="21" t="n">
        <v>0</v>
      </c>
      <c r="T13708" s="21" t="n">
        <v>0</v>
      </c>
      <c r="U13708" s="21" t="n">
        <v>0</v>
      </c>
      <c r="V13708" s="21" t="n">
        <v>0</v>
      </c>
      <c r="W13708" s="21" t="n">
        <v>0</v>
      </c>
      <c r="X13708" s="21" t="n">
        <v>0</v>
      </c>
      <c r="Y13708" s="21" t="n">
        <v>0</v>
      </c>
      <c r="Z13708" s="19" t="n"/>
    </row>
    <row r="13709">
      <c r="D13709" s="21" t="n">
        <v>0</v>
      </c>
      <c r="E13709" s="21" t="n">
        <v>0</v>
      </c>
      <c r="F13709" s="21">
        <f>$B$12190</f>
        <v/>
      </c>
      <c r="G13709" s="21">
        <f>$B$12192</f>
        <v/>
      </c>
      <c r="H13709" s="21">
        <f>0</f>
        <v/>
      </c>
      <c r="I13709" s="21">
        <f>2*$B$12191</f>
        <v/>
      </c>
      <c r="J13709" s="21">
        <f>-$B$12190</f>
        <v/>
      </c>
      <c r="K13709" s="21">
        <f>$B$12192</f>
        <v/>
      </c>
      <c r="L13709" s="21" t="n">
        <v>0</v>
      </c>
      <c r="M13709" s="21" t="n">
        <v>0</v>
      </c>
      <c r="N13709" s="21" t="n">
        <v>0</v>
      </c>
      <c r="O13709" s="21" t="n">
        <v>0</v>
      </c>
      <c r="P13709" s="21" t="n">
        <v>0</v>
      </c>
      <c r="Q13709" s="21" t="n">
        <v>0</v>
      </c>
      <c r="R13709" s="21" t="n">
        <v>0</v>
      </c>
      <c r="S13709" s="21" t="n">
        <v>0</v>
      </c>
      <c r="T13709" s="21" t="n">
        <v>0</v>
      </c>
      <c r="U13709" s="21" t="n">
        <v>0</v>
      </c>
      <c r="V13709" s="21" t="n">
        <v>0</v>
      </c>
      <c r="W13709" s="21" t="n">
        <v>0</v>
      </c>
      <c r="X13709" s="21" t="n">
        <v>0</v>
      </c>
      <c r="Y13709" s="21" t="n">
        <v>0</v>
      </c>
      <c r="Z13709" s="19" t="n"/>
    </row>
    <row r="13710">
      <c r="D13710" s="21" t="n">
        <v>0</v>
      </c>
      <c r="E13710" s="21" t="n">
        <v>0</v>
      </c>
      <c r="F13710" s="21" t="n">
        <v>0</v>
      </c>
      <c r="G13710" s="21" t="n">
        <v>0</v>
      </c>
      <c r="H13710" s="21">
        <f>-$B$12189</f>
        <v/>
      </c>
      <c r="I13710" s="21">
        <f>-$B$12190</f>
        <v/>
      </c>
      <c r="J13710" s="21">
        <f>2*$B$12189+$D$13695</f>
        <v/>
      </c>
      <c r="K13710" s="21">
        <f>0</f>
        <v/>
      </c>
      <c r="L13710" s="21">
        <f>-$B$12189</f>
        <v/>
      </c>
      <c r="M13710" s="21">
        <f>$B$12190</f>
        <v/>
      </c>
      <c r="N13710" s="21" t="n">
        <v>0</v>
      </c>
      <c r="O13710" s="21" t="n">
        <v>0</v>
      </c>
      <c r="P13710" s="21" t="n">
        <v>0</v>
      </c>
      <c r="Q13710" s="21" t="n">
        <v>0</v>
      </c>
      <c r="R13710" s="21" t="n">
        <v>0</v>
      </c>
      <c r="S13710" s="21" t="n">
        <v>0</v>
      </c>
      <c r="T13710" s="21" t="n">
        <v>0</v>
      </c>
      <c r="U13710" s="21" t="n">
        <v>0</v>
      </c>
      <c r="V13710" s="21" t="n">
        <v>0</v>
      </c>
      <c r="W13710" s="21" t="n">
        <v>0</v>
      </c>
      <c r="X13710" s="21" t="n">
        <v>0</v>
      </c>
      <c r="Y13710" s="21" t="n">
        <v>0</v>
      </c>
      <c r="Z13710" s="19" t="n"/>
    </row>
    <row r="13711">
      <c r="D13711" s="21" t="n">
        <v>0</v>
      </c>
      <c r="E13711" s="21" t="n">
        <v>0</v>
      </c>
      <c r="F13711" s="21" t="n">
        <v>0</v>
      </c>
      <c r="G13711" s="21" t="n">
        <v>0</v>
      </c>
      <c r="H13711" s="21">
        <f>$B$12190</f>
        <v/>
      </c>
      <c r="I13711" s="21">
        <f>$B$12192</f>
        <v/>
      </c>
      <c r="J13711" s="21">
        <f>0</f>
        <v/>
      </c>
      <c r="K13711" s="21">
        <f>2*$B$12191</f>
        <v/>
      </c>
      <c r="L13711" s="21">
        <f>-$B$12190</f>
        <v/>
      </c>
      <c r="M13711" s="21">
        <f>$B$12192</f>
        <v/>
      </c>
      <c r="N13711" s="21" t="n">
        <v>0</v>
      </c>
      <c r="O13711" s="21" t="n">
        <v>0</v>
      </c>
      <c r="P13711" s="21" t="n">
        <v>0</v>
      </c>
      <c r="Q13711" s="21" t="n">
        <v>0</v>
      </c>
      <c r="R13711" s="21" t="n">
        <v>0</v>
      </c>
      <c r="S13711" s="21" t="n">
        <v>0</v>
      </c>
      <c r="T13711" s="21" t="n">
        <v>0</v>
      </c>
      <c r="U13711" s="21" t="n">
        <v>0</v>
      </c>
      <c r="V13711" s="21" t="n">
        <v>0</v>
      </c>
      <c r="W13711" s="21" t="n">
        <v>0</v>
      </c>
      <c r="X13711" s="21" t="n">
        <v>0</v>
      </c>
      <c r="Y13711" s="21" t="n">
        <v>0</v>
      </c>
      <c r="Z13711" s="19" t="n"/>
    </row>
    <row r="13712">
      <c r="D13712" s="21" t="n">
        <v>0</v>
      </c>
      <c r="E13712" s="21" t="n">
        <v>0</v>
      </c>
      <c r="F13712" s="21" t="n">
        <v>0</v>
      </c>
      <c r="G13712" s="21" t="n">
        <v>0</v>
      </c>
      <c r="H13712" s="21" t="n">
        <v>0</v>
      </c>
      <c r="I13712" s="21" t="n">
        <v>0</v>
      </c>
      <c r="J13712" s="21">
        <f>-$B$12189</f>
        <v/>
      </c>
      <c r="K13712" s="21">
        <f>-$B$12190</f>
        <v/>
      </c>
      <c r="L13712" s="21">
        <f>2*$B$12189+$D$13696</f>
        <v/>
      </c>
      <c r="M13712" s="21">
        <f>0</f>
        <v/>
      </c>
      <c r="N13712" s="21">
        <f>-$B$12189</f>
        <v/>
      </c>
      <c r="O13712" s="21">
        <f>$B$12190</f>
        <v/>
      </c>
      <c r="P13712" s="21" t="n">
        <v>0</v>
      </c>
      <c r="Q13712" s="21" t="n">
        <v>0</v>
      </c>
      <c r="R13712" s="21" t="n">
        <v>0</v>
      </c>
      <c r="S13712" s="21" t="n">
        <v>0</v>
      </c>
      <c r="T13712" s="21" t="n">
        <v>0</v>
      </c>
      <c r="U13712" s="21" t="n">
        <v>0</v>
      </c>
      <c r="V13712" s="21" t="n">
        <v>0</v>
      </c>
      <c r="W13712" s="21" t="n">
        <v>0</v>
      </c>
      <c r="X13712" s="21" t="n">
        <v>0</v>
      </c>
      <c r="Y13712" s="21" t="n">
        <v>0</v>
      </c>
      <c r="Z13712" s="19" t="n"/>
    </row>
    <row r="13713">
      <c r="D13713" s="21" t="n">
        <v>0</v>
      </c>
      <c r="E13713" s="21" t="n">
        <v>0</v>
      </c>
      <c r="F13713" s="21" t="n">
        <v>0</v>
      </c>
      <c r="G13713" s="21" t="n">
        <v>0</v>
      </c>
      <c r="H13713" s="21" t="n">
        <v>0</v>
      </c>
      <c r="I13713" s="21" t="n">
        <v>0</v>
      </c>
      <c r="J13713" s="21">
        <f>$B$12190</f>
        <v/>
      </c>
      <c r="K13713" s="21">
        <f>$B$12192</f>
        <v/>
      </c>
      <c r="L13713" s="21">
        <f>0</f>
        <v/>
      </c>
      <c r="M13713" s="21">
        <f>2*$B$12191</f>
        <v/>
      </c>
      <c r="N13713" s="21">
        <f>-$B$12190</f>
        <v/>
      </c>
      <c r="O13713" s="21">
        <f>$B$12192</f>
        <v/>
      </c>
      <c r="P13713" s="21" t="n">
        <v>0</v>
      </c>
      <c r="Q13713" s="21" t="n">
        <v>0</v>
      </c>
      <c r="R13713" s="21" t="n">
        <v>0</v>
      </c>
      <c r="S13713" s="21" t="n">
        <v>0</v>
      </c>
      <c r="T13713" s="21" t="n">
        <v>0</v>
      </c>
      <c r="U13713" s="21" t="n">
        <v>0</v>
      </c>
      <c r="V13713" s="21" t="n">
        <v>0</v>
      </c>
      <c r="W13713" s="21" t="n">
        <v>0</v>
      </c>
      <c r="X13713" s="21" t="n">
        <v>0</v>
      </c>
      <c r="Y13713" s="21" t="n">
        <v>0</v>
      </c>
      <c r="Z13713" s="19" t="n"/>
    </row>
    <row r="13714">
      <c r="D13714" s="21" t="n">
        <v>0</v>
      </c>
      <c r="E13714" s="21" t="n">
        <v>0</v>
      </c>
      <c r="F13714" s="21" t="n">
        <v>0</v>
      </c>
      <c r="G13714" s="21" t="n">
        <v>0</v>
      </c>
      <c r="H13714" s="21" t="n">
        <v>0</v>
      </c>
      <c r="I13714" s="21" t="n">
        <v>0</v>
      </c>
      <c r="J13714" s="21" t="n">
        <v>0</v>
      </c>
      <c r="K13714" s="21" t="n">
        <v>0</v>
      </c>
      <c r="L13714" s="21">
        <f>-$B$12189</f>
        <v/>
      </c>
      <c r="M13714" s="21">
        <f>-$B$12190</f>
        <v/>
      </c>
      <c r="N13714" s="21">
        <f>2*$B$12189+$D$13697</f>
        <v/>
      </c>
      <c r="O13714" s="21">
        <f>0</f>
        <v/>
      </c>
      <c r="P13714" s="21">
        <f>-$B$12189</f>
        <v/>
      </c>
      <c r="Q13714" s="21">
        <f>$B$12190</f>
        <v/>
      </c>
      <c r="R13714" s="21" t="n">
        <v>0</v>
      </c>
      <c r="S13714" s="21" t="n">
        <v>0</v>
      </c>
      <c r="T13714" s="21" t="n">
        <v>0</v>
      </c>
      <c r="U13714" s="21" t="n">
        <v>0</v>
      </c>
      <c r="V13714" s="21" t="n">
        <v>0</v>
      </c>
      <c r="W13714" s="21" t="n">
        <v>0</v>
      </c>
      <c r="X13714" s="21" t="n">
        <v>0</v>
      </c>
      <c r="Y13714" s="21" t="n">
        <v>0</v>
      </c>
      <c r="Z13714" s="19" t="n"/>
    </row>
    <row r="13715">
      <c r="D13715" s="21" t="n">
        <v>0</v>
      </c>
      <c r="E13715" s="21" t="n">
        <v>0</v>
      </c>
      <c r="F13715" s="21" t="n">
        <v>0</v>
      </c>
      <c r="G13715" s="21" t="n">
        <v>0</v>
      </c>
      <c r="H13715" s="21" t="n">
        <v>0</v>
      </c>
      <c r="I13715" s="21" t="n">
        <v>0</v>
      </c>
      <c r="J13715" s="21" t="n">
        <v>0</v>
      </c>
      <c r="K13715" s="21" t="n">
        <v>0</v>
      </c>
      <c r="L13715" s="21">
        <f>$B$12190</f>
        <v/>
      </c>
      <c r="M13715" s="21">
        <f>$B$12192</f>
        <v/>
      </c>
      <c r="N13715" s="21">
        <f>0</f>
        <v/>
      </c>
      <c r="O13715" s="21">
        <f>2*$B$12191</f>
        <v/>
      </c>
      <c r="P13715" s="21">
        <f>-$B$12190</f>
        <v/>
      </c>
      <c r="Q13715" s="21">
        <f>$B$12192</f>
        <v/>
      </c>
      <c r="R13715" s="21" t="n">
        <v>0</v>
      </c>
      <c r="S13715" s="21" t="n">
        <v>0</v>
      </c>
      <c r="T13715" s="21" t="n">
        <v>0</v>
      </c>
      <c r="U13715" s="21" t="n">
        <v>0</v>
      </c>
      <c r="V13715" s="21" t="n">
        <v>0</v>
      </c>
      <c r="W13715" s="21" t="n">
        <v>0</v>
      </c>
      <c r="X13715" s="21" t="n">
        <v>0</v>
      </c>
      <c r="Y13715" s="21" t="n">
        <v>0</v>
      </c>
      <c r="Z13715" s="19" t="n"/>
    </row>
    <row r="13716">
      <c r="D13716" s="21" t="n">
        <v>0</v>
      </c>
      <c r="E13716" s="21" t="n">
        <v>0</v>
      </c>
      <c r="F13716" s="21" t="n">
        <v>0</v>
      </c>
      <c r="G13716" s="21" t="n">
        <v>0</v>
      </c>
      <c r="H13716" s="21" t="n">
        <v>0</v>
      </c>
      <c r="I13716" s="21" t="n">
        <v>0</v>
      </c>
      <c r="J13716" s="21" t="n">
        <v>0</v>
      </c>
      <c r="K13716" s="21" t="n">
        <v>0</v>
      </c>
      <c r="L13716" s="21" t="n">
        <v>0</v>
      </c>
      <c r="M13716" s="21" t="n">
        <v>0</v>
      </c>
      <c r="N13716" s="21">
        <f>-$B$12189</f>
        <v/>
      </c>
      <c r="O13716" s="21">
        <f>-$B$12190</f>
        <v/>
      </c>
      <c r="P13716" s="21">
        <f>2*$B$12189+$D$13698</f>
        <v/>
      </c>
      <c r="Q13716" s="21">
        <f>0</f>
        <v/>
      </c>
      <c r="R13716" s="21">
        <f>-$B$12189</f>
        <v/>
      </c>
      <c r="S13716" s="21">
        <f>$B$12190</f>
        <v/>
      </c>
      <c r="T13716" s="21" t="n">
        <v>0</v>
      </c>
      <c r="U13716" s="21" t="n">
        <v>0</v>
      </c>
      <c r="V13716" s="21" t="n">
        <v>0</v>
      </c>
      <c r="W13716" s="21" t="n">
        <v>0</v>
      </c>
      <c r="X13716" s="21" t="n">
        <v>0</v>
      </c>
      <c r="Y13716" s="21" t="n">
        <v>0</v>
      </c>
      <c r="Z13716" s="19" t="n"/>
    </row>
    <row r="13717">
      <c r="D13717" s="21" t="n">
        <v>0</v>
      </c>
      <c r="E13717" s="21" t="n">
        <v>0</v>
      </c>
      <c r="F13717" s="21" t="n">
        <v>0</v>
      </c>
      <c r="G13717" s="21" t="n">
        <v>0</v>
      </c>
      <c r="H13717" s="21" t="n">
        <v>0</v>
      </c>
      <c r="I13717" s="21" t="n">
        <v>0</v>
      </c>
      <c r="J13717" s="21" t="n">
        <v>0</v>
      </c>
      <c r="K13717" s="21" t="n">
        <v>0</v>
      </c>
      <c r="L13717" s="21" t="n">
        <v>0</v>
      </c>
      <c r="M13717" s="21" t="n">
        <v>0</v>
      </c>
      <c r="N13717" s="21">
        <f>$B$12190</f>
        <v/>
      </c>
      <c r="O13717" s="21">
        <f>$B$12192</f>
        <v/>
      </c>
      <c r="P13717" s="21">
        <f>0</f>
        <v/>
      </c>
      <c r="Q13717" s="21">
        <f>2*$B$12191</f>
        <v/>
      </c>
      <c r="R13717" s="21">
        <f>-$B$12190</f>
        <v/>
      </c>
      <c r="S13717" s="21">
        <f>$B$12192</f>
        <v/>
      </c>
      <c r="T13717" s="21" t="n">
        <v>0</v>
      </c>
      <c r="U13717" s="21" t="n">
        <v>0</v>
      </c>
      <c r="V13717" s="21" t="n">
        <v>0</v>
      </c>
      <c r="W13717" s="21" t="n">
        <v>0</v>
      </c>
      <c r="X13717" s="21" t="n">
        <v>0</v>
      </c>
      <c r="Y13717" s="21" t="n">
        <v>0</v>
      </c>
      <c r="Z13717" s="19" t="n"/>
    </row>
    <row r="13718">
      <c r="D13718" s="21" t="n">
        <v>0</v>
      </c>
      <c r="E13718" s="21" t="n">
        <v>0</v>
      </c>
      <c r="F13718" s="21" t="n">
        <v>0</v>
      </c>
      <c r="G13718" s="21" t="n">
        <v>0</v>
      </c>
      <c r="H13718" s="21" t="n">
        <v>0</v>
      </c>
      <c r="I13718" s="21" t="n">
        <v>0</v>
      </c>
      <c r="J13718" s="21" t="n">
        <v>0</v>
      </c>
      <c r="K13718" s="21" t="n">
        <v>0</v>
      </c>
      <c r="L13718" s="21" t="n">
        <v>0</v>
      </c>
      <c r="M13718" s="21" t="n">
        <v>0</v>
      </c>
      <c r="N13718" s="21" t="n">
        <v>0</v>
      </c>
      <c r="O13718" s="21" t="n">
        <v>0</v>
      </c>
      <c r="P13718" s="21">
        <f>-$B$12189</f>
        <v/>
      </c>
      <c r="Q13718" s="21">
        <f>-$B$12190</f>
        <v/>
      </c>
      <c r="R13718" s="21">
        <f>2*$B$12189+$D$13699</f>
        <v/>
      </c>
      <c r="S13718" s="21">
        <f>0</f>
        <v/>
      </c>
      <c r="T13718" s="21">
        <f>-$B$12189</f>
        <v/>
      </c>
      <c r="U13718" s="21">
        <f>$B$12190</f>
        <v/>
      </c>
      <c r="V13718" s="21" t="n">
        <v>0</v>
      </c>
      <c r="W13718" s="21" t="n">
        <v>0</v>
      </c>
      <c r="X13718" s="21" t="n">
        <v>0</v>
      </c>
      <c r="Y13718" s="21" t="n">
        <v>0</v>
      </c>
      <c r="Z13718" s="19" t="n"/>
    </row>
    <row r="13719">
      <c r="D13719" s="21" t="n">
        <v>0</v>
      </c>
      <c r="E13719" s="21" t="n">
        <v>0</v>
      </c>
      <c r="F13719" s="21" t="n">
        <v>0</v>
      </c>
      <c r="G13719" s="21" t="n">
        <v>0</v>
      </c>
      <c r="H13719" s="21" t="n">
        <v>0</v>
      </c>
      <c r="I13719" s="21" t="n">
        <v>0</v>
      </c>
      <c r="J13719" s="21" t="n">
        <v>0</v>
      </c>
      <c r="K13719" s="21" t="n">
        <v>0</v>
      </c>
      <c r="L13719" s="21" t="n">
        <v>0</v>
      </c>
      <c r="M13719" s="21" t="n">
        <v>0</v>
      </c>
      <c r="N13719" s="21" t="n">
        <v>0</v>
      </c>
      <c r="O13719" s="21" t="n">
        <v>0</v>
      </c>
      <c r="P13719" s="21">
        <f>$B$12190</f>
        <v/>
      </c>
      <c r="Q13719" s="21">
        <f>$B$12192</f>
        <v/>
      </c>
      <c r="R13719" s="21">
        <f>0</f>
        <v/>
      </c>
      <c r="S13719" s="21">
        <f>2*$B$12191</f>
        <v/>
      </c>
      <c r="T13719" s="21">
        <f>-$B$12190</f>
        <v/>
      </c>
      <c r="U13719" s="21">
        <f>$B$12192</f>
        <v/>
      </c>
      <c r="V13719" s="21" t="n">
        <v>0</v>
      </c>
      <c r="W13719" s="21" t="n">
        <v>0</v>
      </c>
      <c r="X13719" s="21" t="n">
        <v>0</v>
      </c>
      <c r="Y13719" s="21" t="n">
        <v>0</v>
      </c>
      <c r="Z13719" s="19" t="n"/>
    </row>
    <row r="13720">
      <c r="D13720" s="21" t="n">
        <v>0</v>
      </c>
      <c r="E13720" s="21" t="n">
        <v>0</v>
      </c>
      <c r="F13720" s="21" t="n">
        <v>0</v>
      </c>
      <c r="G13720" s="21" t="n">
        <v>0</v>
      </c>
      <c r="H13720" s="21" t="n">
        <v>0</v>
      </c>
      <c r="I13720" s="21" t="n">
        <v>0</v>
      </c>
      <c r="J13720" s="21" t="n">
        <v>0</v>
      </c>
      <c r="K13720" s="21" t="n">
        <v>0</v>
      </c>
      <c r="L13720" s="21" t="n">
        <v>0</v>
      </c>
      <c r="M13720" s="21" t="n">
        <v>0</v>
      </c>
      <c r="N13720" s="21" t="n">
        <v>0</v>
      </c>
      <c r="O13720" s="21" t="n">
        <v>0</v>
      </c>
      <c r="P13720" s="21" t="n">
        <v>0</v>
      </c>
      <c r="Q13720" s="21" t="n">
        <v>0</v>
      </c>
      <c r="R13720" s="21">
        <f>-$B$12189</f>
        <v/>
      </c>
      <c r="S13720" s="21">
        <f>-$B$12190</f>
        <v/>
      </c>
      <c r="T13720" s="21">
        <f>2*$B$12189+$D$13700</f>
        <v/>
      </c>
      <c r="U13720" s="21">
        <f>0</f>
        <v/>
      </c>
      <c r="V13720" s="21">
        <f>-$B$12189</f>
        <v/>
      </c>
      <c r="W13720" s="21">
        <f>$B$12190</f>
        <v/>
      </c>
      <c r="X13720" s="21" t="n">
        <v>0</v>
      </c>
      <c r="Y13720" s="21" t="n">
        <v>0</v>
      </c>
      <c r="Z13720" s="19" t="n"/>
    </row>
    <row r="13721">
      <c r="D13721" s="21" t="n">
        <v>0</v>
      </c>
      <c r="E13721" s="21" t="n">
        <v>0</v>
      </c>
      <c r="F13721" s="21" t="n">
        <v>0</v>
      </c>
      <c r="G13721" s="21" t="n">
        <v>0</v>
      </c>
      <c r="H13721" s="21" t="n">
        <v>0</v>
      </c>
      <c r="I13721" s="21" t="n">
        <v>0</v>
      </c>
      <c r="J13721" s="21" t="n">
        <v>0</v>
      </c>
      <c r="K13721" s="21" t="n">
        <v>0</v>
      </c>
      <c r="L13721" s="21" t="n">
        <v>0</v>
      </c>
      <c r="M13721" s="21" t="n">
        <v>0</v>
      </c>
      <c r="N13721" s="21" t="n">
        <v>0</v>
      </c>
      <c r="O13721" s="21" t="n">
        <v>0</v>
      </c>
      <c r="P13721" s="21" t="n">
        <v>0</v>
      </c>
      <c r="Q13721" s="21" t="n">
        <v>0</v>
      </c>
      <c r="R13721" s="21">
        <f>$B$12190</f>
        <v/>
      </c>
      <c r="S13721" s="21">
        <f>$B$12192</f>
        <v/>
      </c>
      <c r="T13721" s="21">
        <f>0</f>
        <v/>
      </c>
      <c r="U13721" s="21">
        <f>2*$B$12191</f>
        <v/>
      </c>
      <c r="V13721" s="21">
        <f>-$B$12190</f>
        <v/>
      </c>
      <c r="W13721" s="21">
        <f>$B$12192</f>
        <v/>
      </c>
      <c r="X13721" s="21" t="n">
        <v>0</v>
      </c>
      <c r="Y13721" s="21" t="n">
        <v>0</v>
      </c>
      <c r="Z13721" s="19" t="n"/>
    </row>
    <row r="13722">
      <c r="D13722" s="21" t="n">
        <v>0</v>
      </c>
      <c r="E13722" s="21" t="n">
        <v>0</v>
      </c>
      <c r="F13722" s="21" t="n">
        <v>0</v>
      </c>
      <c r="G13722" s="21" t="n">
        <v>0</v>
      </c>
      <c r="H13722" s="21" t="n">
        <v>0</v>
      </c>
      <c r="I13722" s="21" t="n">
        <v>0</v>
      </c>
      <c r="J13722" s="21" t="n">
        <v>0</v>
      </c>
      <c r="K13722" s="21" t="n">
        <v>0</v>
      </c>
      <c r="L13722" s="21" t="n">
        <v>0</v>
      </c>
      <c r="M13722" s="21" t="n">
        <v>0</v>
      </c>
      <c r="N13722" s="21" t="n">
        <v>0</v>
      </c>
      <c r="O13722" s="21" t="n">
        <v>0</v>
      </c>
      <c r="P13722" s="21" t="n">
        <v>0</v>
      </c>
      <c r="Q13722" s="21" t="n">
        <v>0</v>
      </c>
      <c r="R13722" s="21" t="n">
        <v>0</v>
      </c>
      <c r="S13722" s="21" t="n">
        <v>0</v>
      </c>
      <c r="T13722" s="21">
        <f>-$B$12189</f>
        <v/>
      </c>
      <c r="U13722" s="21">
        <f>-$B$12190</f>
        <v/>
      </c>
      <c r="V13722" s="21">
        <f>2*$B$12189+$D$13701</f>
        <v/>
      </c>
      <c r="W13722" s="21">
        <f>0</f>
        <v/>
      </c>
      <c r="X13722" s="21">
        <f>-$B$12189</f>
        <v/>
      </c>
      <c r="Y13722" s="21">
        <f>$B$12190</f>
        <v/>
      </c>
      <c r="Z13722" s="19" t="n"/>
    </row>
    <row r="13723">
      <c r="D13723" s="21" t="n">
        <v>0</v>
      </c>
      <c r="E13723" s="21" t="n">
        <v>0</v>
      </c>
      <c r="F13723" s="21" t="n">
        <v>0</v>
      </c>
      <c r="G13723" s="21" t="n">
        <v>0</v>
      </c>
      <c r="H13723" s="21" t="n">
        <v>0</v>
      </c>
      <c r="I13723" s="21" t="n">
        <v>0</v>
      </c>
      <c r="J13723" s="21" t="n">
        <v>0</v>
      </c>
      <c r="K13723" s="21" t="n">
        <v>0</v>
      </c>
      <c r="L13723" s="21" t="n">
        <v>0</v>
      </c>
      <c r="M13723" s="21" t="n">
        <v>0</v>
      </c>
      <c r="N13723" s="21" t="n">
        <v>0</v>
      </c>
      <c r="O13723" s="21" t="n">
        <v>0</v>
      </c>
      <c r="P13723" s="21" t="n">
        <v>0</v>
      </c>
      <c r="Q13723" s="21" t="n">
        <v>0</v>
      </c>
      <c r="R13723" s="21" t="n">
        <v>0</v>
      </c>
      <c r="S13723" s="21" t="n">
        <v>0</v>
      </c>
      <c r="T13723" s="21">
        <f>$B$12190</f>
        <v/>
      </c>
      <c r="U13723" s="21">
        <f>$B$12192</f>
        <v/>
      </c>
      <c r="V13723" s="21">
        <f>0</f>
        <v/>
      </c>
      <c r="W13723" s="21">
        <f>2*$B$12191</f>
        <v/>
      </c>
      <c r="X13723" s="21">
        <f>-$B$12190</f>
        <v/>
      </c>
      <c r="Y13723" s="21">
        <f>$B$12192</f>
        <v/>
      </c>
      <c r="Z13723" s="19" t="n"/>
    </row>
    <row r="13724">
      <c r="D13724" s="21" t="n">
        <v>0</v>
      </c>
      <c r="E13724" s="21" t="n">
        <v>0</v>
      </c>
      <c r="F13724" s="21" t="n">
        <v>0</v>
      </c>
      <c r="G13724" s="21" t="n">
        <v>0</v>
      </c>
      <c r="H13724" s="21" t="n">
        <v>0</v>
      </c>
      <c r="I13724" s="21" t="n">
        <v>0</v>
      </c>
      <c r="J13724" s="21" t="n">
        <v>0</v>
      </c>
      <c r="K13724" s="21" t="n">
        <v>0</v>
      </c>
      <c r="L13724" s="21" t="n">
        <v>0</v>
      </c>
      <c r="M13724" s="21" t="n">
        <v>0</v>
      </c>
      <c r="N13724" s="21" t="n">
        <v>0</v>
      </c>
      <c r="O13724" s="21" t="n">
        <v>0</v>
      </c>
      <c r="P13724" s="21" t="n">
        <v>0</v>
      </c>
      <c r="Q13724" s="21" t="n">
        <v>0</v>
      </c>
      <c r="R13724" s="21" t="n">
        <v>0</v>
      </c>
      <c r="S13724" s="21" t="n">
        <v>0</v>
      </c>
      <c r="T13724" s="21" t="n">
        <v>0</v>
      </c>
      <c r="U13724" s="21" t="n">
        <v>0</v>
      </c>
      <c r="V13724" s="21">
        <f>-$B$12189</f>
        <v/>
      </c>
      <c r="W13724" s="21">
        <f>-$B$12190</f>
        <v/>
      </c>
      <c r="X13724" s="21">
        <f>$B$12189+$D$13702</f>
        <v/>
      </c>
      <c r="Y13724" s="21">
        <f>-$B$12190</f>
        <v/>
      </c>
      <c r="Z13724" s="19" t="n"/>
    </row>
    <row r="13725">
      <c r="D13725" s="21" t="n">
        <v>0</v>
      </c>
      <c r="E13725" s="21" t="n">
        <v>0</v>
      </c>
      <c r="F13725" s="21" t="n">
        <v>0</v>
      </c>
      <c r="G13725" s="21" t="n">
        <v>0</v>
      </c>
      <c r="H13725" s="21" t="n">
        <v>0</v>
      </c>
      <c r="I13725" s="21" t="n">
        <v>0</v>
      </c>
      <c r="J13725" s="21" t="n">
        <v>0</v>
      </c>
      <c r="K13725" s="21" t="n">
        <v>0</v>
      </c>
      <c r="L13725" s="21" t="n">
        <v>0</v>
      </c>
      <c r="M13725" s="21" t="n">
        <v>0</v>
      </c>
      <c r="N13725" s="21" t="n">
        <v>0</v>
      </c>
      <c r="O13725" s="21" t="n">
        <v>0</v>
      </c>
      <c r="P13725" s="21" t="n">
        <v>0</v>
      </c>
      <c r="Q13725" s="21" t="n">
        <v>0</v>
      </c>
      <c r="R13725" s="21" t="n">
        <v>0</v>
      </c>
      <c r="S13725" s="21" t="n">
        <v>0</v>
      </c>
      <c r="T13725" s="21" t="n">
        <v>0</v>
      </c>
      <c r="U13725" s="21" t="n">
        <v>0</v>
      </c>
      <c r="V13725" s="21">
        <f>$B$12190</f>
        <v/>
      </c>
      <c r="W13725" s="21">
        <f>$B$12192</f>
        <v/>
      </c>
      <c r="X13725" s="21">
        <f>-$B$12190</f>
        <v/>
      </c>
      <c r="Y13725" s="21">
        <f>$B$12191</f>
        <v/>
      </c>
      <c r="Z13725" s="19" t="n"/>
    </row>
    <row r="13727">
      <c r="A13727" s="8" t="inlineStr">
        <is>
          <t>gen 42</t>
        </is>
      </c>
    </row>
    <row r="13728">
      <c r="D13728" s="19">
        <f>IF(ABS(IF(ABS($E$13692)&gt;0.000000001,$E$13692,0.000000001))=0,0,IF($E$12204&lt;=$B$12198,0,IF(ABS(IF(ABS($E$13692)&gt;0.000000001,$E$13692,0.000000001))&gt;=8*$B$12200,$H$12204,0.5*$H$12204*(ABS(IF(ABS($E$13692)&gt;0.000000001,$E$13692,0.000000001))/$B$12200)^(1/3)))/ABS(IF(ABS($E$13692)&gt;0.000000001,$E$13692,0.000000001))*$I$12204)</f>
        <v/>
      </c>
      <c r="E13728" s="19">
        <f>0.5*$E$13692+0.5*$Z$13740</f>
        <v/>
      </c>
      <c r="F13728" s="19">
        <f>$Z$13741</f>
        <v/>
      </c>
    </row>
    <row r="13729">
      <c r="D13729" s="19">
        <f>IF(ABS(IF(ABS($E$13693)&gt;0.000000001,$E$13693,0.000000001))=0,0,IF($E$12205&lt;=$B$12198,0,IF(ABS(IF(ABS($E$13693)&gt;0.000000001,$E$13693,0.000000001))&gt;=8*$B$12200,$H$12205,0.5*$H$12205*(ABS(IF(ABS($E$13693)&gt;0.000000001,$E$13693,0.000000001))/$B$12200)^(1/3)))/ABS(IF(ABS($E$13693)&gt;0.000000001,$E$13693,0.000000001))*$I$12205)</f>
        <v/>
      </c>
      <c r="E13729" s="19">
        <f>0.5*$E$13693+0.5*$Z$13742</f>
        <v/>
      </c>
      <c r="F13729" s="19">
        <f>$Z$13743</f>
        <v/>
      </c>
    </row>
    <row r="13730">
      <c r="D13730" s="19">
        <f>IF(ABS(IF(ABS($E$13694)&gt;0.000000001,$E$13694,0.000000001))=0,0,IF($E$12206&lt;=$B$12198,0,IF(ABS(IF(ABS($E$13694)&gt;0.000000001,$E$13694,0.000000001))&gt;=8*$B$12200,$H$12206,0.5*$H$12206*(ABS(IF(ABS($E$13694)&gt;0.000000001,$E$13694,0.000000001))/$B$12200)^(1/3)))/ABS(IF(ABS($E$13694)&gt;0.000000001,$E$13694,0.000000001))*$I$12206)</f>
        <v/>
      </c>
      <c r="E13730" s="19">
        <f>0.5*$E$13694+0.5*$Z$13744</f>
        <v/>
      </c>
      <c r="F13730" s="19">
        <f>$Z$13745</f>
        <v/>
      </c>
    </row>
    <row r="13731">
      <c r="D13731" s="19">
        <f>IF(ABS(IF(ABS($E$13695)&gt;0.000000001,$E$13695,0.000000001))=0,0,IF($E$12207&lt;=$B$12198,0,IF(ABS(IF(ABS($E$13695)&gt;0.000000001,$E$13695,0.000000001))&gt;=8*$B$12200,$H$12207,0.5*$H$12207*(ABS(IF(ABS($E$13695)&gt;0.000000001,$E$13695,0.000000001))/$B$12200)^(1/3)))/ABS(IF(ABS($E$13695)&gt;0.000000001,$E$13695,0.000000001))*$I$12207)</f>
        <v/>
      </c>
      <c r="E13731" s="19">
        <f>0.5*$E$13695+0.5*$Z$13746</f>
        <v/>
      </c>
      <c r="F13731" s="19">
        <f>$Z$13747</f>
        <v/>
      </c>
    </row>
    <row r="13732">
      <c r="D13732" s="19">
        <f>IF(ABS(IF(ABS($E$13696)&gt;0.000000001,$E$13696,0.000000001))=0,0,IF($E$12208&lt;=$B$12198,0,IF(ABS(IF(ABS($E$13696)&gt;0.000000001,$E$13696,0.000000001))&gt;=8*$B$12200,$H$12208,0.5*$H$12208*(ABS(IF(ABS($E$13696)&gt;0.000000001,$E$13696,0.000000001))/$B$12200)^(1/3)))/ABS(IF(ABS($E$13696)&gt;0.000000001,$E$13696,0.000000001))*$I$12208)</f>
        <v/>
      </c>
      <c r="E13732" s="19">
        <f>0.5*$E$13696+0.5*$Z$13748</f>
        <v/>
      </c>
      <c r="F13732" s="19">
        <f>$Z$13749</f>
        <v/>
      </c>
    </row>
    <row r="13733">
      <c r="D13733" s="19">
        <f>IF(ABS(IF(ABS($E$13697)&gt;0.000000001,$E$13697,0.000000001))=0,0,IF($E$12209&lt;=$B$12198,0,IF(ABS(IF(ABS($E$13697)&gt;0.000000001,$E$13697,0.000000001))&gt;=8*$B$12200,$H$12209,0.5*$H$12209*(ABS(IF(ABS($E$13697)&gt;0.000000001,$E$13697,0.000000001))/$B$12200)^(1/3)))/ABS(IF(ABS($E$13697)&gt;0.000000001,$E$13697,0.000000001))*$I$12209)</f>
        <v/>
      </c>
      <c r="E13733" s="19">
        <f>0.5*$E$13697+0.5*$Z$13750</f>
        <v/>
      </c>
      <c r="F13733" s="19">
        <f>$Z$13751</f>
        <v/>
      </c>
    </row>
    <row r="13734">
      <c r="D13734" s="19">
        <f>IF(ABS(IF(ABS($E$13698)&gt;0.000000001,$E$13698,0.000000001))=0,0,IF($E$12210&lt;=$B$12198,0,IF(ABS(IF(ABS($E$13698)&gt;0.000000001,$E$13698,0.000000001))&gt;=8*$B$12200,$H$12210,0.5*$H$12210*(ABS(IF(ABS($E$13698)&gt;0.000000001,$E$13698,0.000000001))/$B$12200)^(1/3)))/ABS(IF(ABS($E$13698)&gt;0.000000001,$E$13698,0.000000001))*$I$12210)</f>
        <v/>
      </c>
      <c r="E13734" s="19">
        <f>0.5*$E$13698+0.5*$Z$13752</f>
        <v/>
      </c>
      <c r="F13734" s="19">
        <f>$Z$13753</f>
        <v/>
      </c>
    </row>
    <row r="13735">
      <c r="D13735" s="19">
        <f>IF(ABS(IF(ABS($E$13699)&gt;0.000000001,$E$13699,0.000000001))=0,0,IF($E$12211&lt;=$B$12198,0,IF(ABS(IF(ABS($E$13699)&gt;0.000000001,$E$13699,0.000000001))&gt;=8*$B$12200,$H$12211,0.5*$H$12211*(ABS(IF(ABS($E$13699)&gt;0.000000001,$E$13699,0.000000001))/$B$12200)^(1/3)))/ABS(IF(ABS($E$13699)&gt;0.000000001,$E$13699,0.000000001))*$I$12211)</f>
        <v/>
      </c>
      <c r="E13735" s="19">
        <f>0.5*$E$13699+0.5*$Z$13754</f>
        <v/>
      </c>
      <c r="F13735" s="19">
        <f>$Z$13755</f>
        <v/>
      </c>
    </row>
    <row r="13736">
      <c r="D13736" s="19">
        <f>IF(ABS(IF(ABS($E$13700)&gt;0.000000001,$E$13700,0.000000001))=0,0,IF($E$12212&lt;=$B$12198,0,IF(ABS(IF(ABS($E$13700)&gt;0.000000001,$E$13700,0.000000001))&gt;=8*$B$12200,$H$12212,0.5*$H$12212*(ABS(IF(ABS($E$13700)&gt;0.000000001,$E$13700,0.000000001))/$B$12200)^(1/3)))/ABS(IF(ABS($E$13700)&gt;0.000000001,$E$13700,0.000000001))*$I$12212)</f>
        <v/>
      </c>
      <c r="E13736" s="19">
        <f>0.5*$E$13700+0.5*$Z$13756</f>
        <v/>
      </c>
      <c r="F13736" s="19">
        <f>$Z$13757</f>
        <v/>
      </c>
    </row>
    <row r="13737">
      <c r="D13737" s="19">
        <f>IF(ABS(IF(ABS($E$13701)&gt;0.000000001,$E$13701,0.000000001))=0,0,IF($E$12213&lt;=$B$12198,0,IF(ABS(IF(ABS($E$13701)&gt;0.000000001,$E$13701,0.000000001))&gt;=8*$B$12200,$H$12213,0.5*$H$12213*(ABS(IF(ABS($E$13701)&gt;0.000000001,$E$13701,0.000000001))/$B$12200)^(1/3)))/ABS(IF(ABS($E$13701)&gt;0.000000001,$E$13701,0.000000001))*$I$12213)</f>
        <v/>
      </c>
      <c r="E13737" s="19">
        <f>0.5*$E$13701+0.5*$Z$13758</f>
        <v/>
      </c>
      <c r="F13737" s="19">
        <f>$Z$13759</f>
        <v/>
      </c>
    </row>
    <row r="13738">
      <c r="D13738" s="19">
        <f>IF(ABS(IF(ABS($E$13702)&gt;0.000000001,$E$13702,0.000000001))=0,0,IF($E$12214&lt;=$B$12198,0,IF(ABS(IF(ABS($E$13702)&gt;0.000000001,$E$13702,0.000000001))&gt;=8*$B$12200,$H$12214,0.5*$H$12214*(ABS(IF(ABS($E$13702)&gt;0.000000001,$E$13702,0.000000001))/$B$12200)^(1/3)))/ABS(IF(ABS($E$13702)&gt;0.000000001,$E$13702,0.000000001))*$I$12214)</f>
        <v/>
      </c>
      <c r="E13738" s="19">
        <f>0.5*$E$13702+0.5*$Z$13760</f>
        <v/>
      </c>
      <c r="F13738" s="19">
        <f>$Z$13761</f>
        <v/>
      </c>
    </row>
    <row r="13740">
      <c r="D13740" s="21">
        <f>$B$12189+$D$13728</f>
        <v/>
      </c>
      <c r="E13740" s="21">
        <f>$B$12190</f>
        <v/>
      </c>
      <c r="F13740" s="21">
        <f>-$B$12189</f>
        <v/>
      </c>
      <c r="G13740" s="21">
        <f>$B$12190</f>
        <v/>
      </c>
      <c r="H13740" s="21" t="n">
        <v>0</v>
      </c>
      <c r="I13740" s="21" t="n">
        <v>0</v>
      </c>
      <c r="J13740" s="21" t="n">
        <v>0</v>
      </c>
      <c r="K13740" s="21" t="n">
        <v>0</v>
      </c>
      <c r="L13740" s="21" t="n">
        <v>0</v>
      </c>
      <c r="M13740" s="21" t="n">
        <v>0</v>
      </c>
      <c r="N13740" s="21" t="n">
        <v>0</v>
      </c>
      <c r="O13740" s="21" t="n">
        <v>0</v>
      </c>
      <c r="P13740" s="21" t="n">
        <v>0</v>
      </c>
      <c r="Q13740" s="21" t="n">
        <v>0</v>
      </c>
      <c r="R13740" s="21" t="n">
        <v>0</v>
      </c>
      <c r="S13740" s="21" t="n">
        <v>0</v>
      </c>
      <c r="T13740" s="21" t="n">
        <v>0</v>
      </c>
      <c r="U13740" s="21" t="n">
        <v>0</v>
      </c>
      <c r="V13740" s="21" t="n">
        <v>0</v>
      </c>
      <c r="W13740" s="21" t="n">
        <v>0</v>
      </c>
      <c r="X13740" s="21" t="n">
        <v>0</v>
      </c>
      <c r="Y13740" s="21" t="n">
        <v>0</v>
      </c>
      <c r="Z13740" s="19">
        <f t="array" ref="Z13740:Z13761">MMULT(MINVERSE($D$13740:$Y$13761),$D$12216:$D$12237)</f>
        <v/>
      </c>
    </row>
    <row r="13741">
      <c r="D13741" s="21">
        <f>$B$12190</f>
        <v/>
      </c>
      <c r="E13741" s="21">
        <f>$B$12191</f>
        <v/>
      </c>
      <c r="F13741" s="21">
        <f>-$B$12190</f>
        <v/>
      </c>
      <c r="G13741" s="21">
        <f>$B$12192</f>
        <v/>
      </c>
      <c r="H13741" s="21" t="n">
        <v>0</v>
      </c>
      <c r="I13741" s="21" t="n">
        <v>0</v>
      </c>
      <c r="J13741" s="21" t="n">
        <v>0</v>
      </c>
      <c r="K13741" s="21" t="n">
        <v>0</v>
      </c>
      <c r="L13741" s="21" t="n">
        <v>0</v>
      </c>
      <c r="M13741" s="21" t="n">
        <v>0</v>
      </c>
      <c r="N13741" s="21" t="n">
        <v>0</v>
      </c>
      <c r="O13741" s="21" t="n">
        <v>0</v>
      </c>
      <c r="P13741" s="21" t="n">
        <v>0</v>
      </c>
      <c r="Q13741" s="21" t="n">
        <v>0</v>
      </c>
      <c r="R13741" s="21" t="n">
        <v>0</v>
      </c>
      <c r="S13741" s="21" t="n">
        <v>0</v>
      </c>
      <c r="T13741" s="21" t="n">
        <v>0</v>
      </c>
      <c r="U13741" s="21" t="n">
        <v>0</v>
      </c>
      <c r="V13741" s="21" t="n">
        <v>0</v>
      </c>
      <c r="W13741" s="21" t="n">
        <v>0</v>
      </c>
      <c r="X13741" s="21" t="n">
        <v>0</v>
      </c>
      <c r="Y13741" s="21" t="n">
        <v>0</v>
      </c>
      <c r="Z13741" s="19" t="n"/>
    </row>
    <row r="13742">
      <c r="D13742" s="21">
        <f>-$B$12189</f>
        <v/>
      </c>
      <c r="E13742" s="21">
        <f>-$B$12190</f>
        <v/>
      </c>
      <c r="F13742" s="21">
        <f>2*$B$12189+$D$13729</f>
        <v/>
      </c>
      <c r="G13742" s="21">
        <f>0</f>
        <v/>
      </c>
      <c r="H13742" s="21">
        <f>-$B$12189</f>
        <v/>
      </c>
      <c r="I13742" s="21">
        <f>$B$12190</f>
        <v/>
      </c>
      <c r="J13742" s="21" t="n">
        <v>0</v>
      </c>
      <c r="K13742" s="21" t="n">
        <v>0</v>
      </c>
      <c r="L13742" s="21" t="n">
        <v>0</v>
      </c>
      <c r="M13742" s="21" t="n">
        <v>0</v>
      </c>
      <c r="N13742" s="21" t="n">
        <v>0</v>
      </c>
      <c r="O13742" s="21" t="n">
        <v>0</v>
      </c>
      <c r="P13742" s="21" t="n">
        <v>0</v>
      </c>
      <c r="Q13742" s="21" t="n">
        <v>0</v>
      </c>
      <c r="R13742" s="21" t="n">
        <v>0</v>
      </c>
      <c r="S13742" s="21" t="n">
        <v>0</v>
      </c>
      <c r="T13742" s="21" t="n">
        <v>0</v>
      </c>
      <c r="U13742" s="21" t="n">
        <v>0</v>
      </c>
      <c r="V13742" s="21" t="n">
        <v>0</v>
      </c>
      <c r="W13742" s="21" t="n">
        <v>0</v>
      </c>
      <c r="X13742" s="21" t="n">
        <v>0</v>
      </c>
      <c r="Y13742" s="21" t="n">
        <v>0</v>
      </c>
      <c r="Z13742" s="19" t="n"/>
    </row>
    <row r="13743">
      <c r="D13743" s="21">
        <f>$B$12190</f>
        <v/>
      </c>
      <c r="E13743" s="21">
        <f>$B$12192</f>
        <v/>
      </c>
      <c r="F13743" s="21">
        <f>0</f>
        <v/>
      </c>
      <c r="G13743" s="21">
        <f>2*$B$12191</f>
        <v/>
      </c>
      <c r="H13743" s="21">
        <f>-$B$12190</f>
        <v/>
      </c>
      <c r="I13743" s="21">
        <f>$B$12192</f>
        <v/>
      </c>
      <c r="J13743" s="21" t="n">
        <v>0</v>
      </c>
      <c r="K13743" s="21" t="n">
        <v>0</v>
      </c>
      <c r="L13743" s="21" t="n">
        <v>0</v>
      </c>
      <c r="M13743" s="21" t="n">
        <v>0</v>
      </c>
      <c r="N13743" s="21" t="n">
        <v>0</v>
      </c>
      <c r="O13743" s="21" t="n">
        <v>0</v>
      </c>
      <c r="P13743" s="21" t="n">
        <v>0</v>
      </c>
      <c r="Q13743" s="21" t="n">
        <v>0</v>
      </c>
      <c r="R13743" s="21" t="n">
        <v>0</v>
      </c>
      <c r="S13743" s="21" t="n">
        <v>0</v>
      </c>
      <c r="T13743" s="21" t="n">
        <v>0</v>
      </c>
      <c r="U13743" s="21" t="n">
        <v>0</v>
      </c>
      <c r="V13743" s="21" t="n">
        <v>0</v>
      </c>
      <c r="W13743" s="21" t="n">
        <v>0</v>
      </c>
      <c r="X13743" s="21" t="n">
        <v>0</v>
      </c>
      <c r="Y13743" s="21" t="n">
        <v>0</v>
      </c>
      <c r="Z13743" s="19" t="n"/>
    </row>
    <row r="13744">
      <c r="D13744" s="21" t="n">
        <v>0</v>
      </c>
      <c r="E13744" s="21" t="n">
        <v>0</v>
      </c>
      <c r="F13744" s="21">
        <f>-$B$12189</f>
        <v/>
      </c>
      <c r="G13744" s="21">
        <f>-$B$12190</f>
        <v/>
      </c>
      <c r="H13744" s="21">
        <f>2*$B$12189+$D$13730</f>
        <v/>
      </c>
      <c r="I13744" s="21">
        <f>0</f>
        <v/>
      </c>
      <c r="J13744" s="21">
        <f>-$B$12189</f>
        <v/>
      </c>
      <c r="K13744" s="21">
        <f>$B$12190</f>
        <v/>
      </c>
      <c r="L13744" s="21" t="n">
        <v>0</v>
      </c>
      <c r="M13744" s="21" t="n">
        <v>0</v>
      </c>
      <c r="N13744" s="21" t="n">
        <v>0</v>
      </c>
      <c r="O13744" s="21" t="n">
        <v>0</v>
      </c>
      <c r="P13744" s="21" t="n">
        <v>0</v>
      </c>
      <c r="Q13744" s="21" t="n">
        <v>0</v>
      </c>
      <c r="R13744" s="21" t="n">
        <v>0</v>
      </c>
      <c r="S13744" s="21" t="n">
        <v>0</v>
      </c>
      <c r="T13744" s="21" t="n">
        <v>0</v>
      </c>
      <c r="U13744" s="21" t="n">
        <v>0</v>
      </c>
      <c r="V13744" s="21" t="n">
        <v>0</v>
      </c>
      <c r="W13744" s="21" t="n">
        <v>0</v>
      </c>
      <c r="X13744" s="21" t="n">
        <v>0</v>
      </c>
      <c r="Y13744" s="21" t="n">
        <v>0</v>
      </c>
      <c r="Z13744" s="19" t="n"/>
    </row>
    <row r="13745">
      <c r="D13745" s="21" t="n">
        <v>0</v>
      </c>
      <c r="E13745" s="21" t="n">
        <v>0</v>
      </c>
      <c r="F13745" s="21">
        <f>$B$12190</f>
        <v/>
      </c>
      <c r="G13745" s="21">
        <f>$B$12192</f>
        <v/>
      </c>
      <c r="H13745" s="21">
        <f>0</f>
        <v/>
      </c>
      <c r="I13745" s="21">
        <f>2*$B$12191</f>
        <v/>
      </c>
      <c r="J13745" s="21">
        <f>-$B$12190</f>
        <v/>
      </c>
      <c r="K13745" s="21">
        <f>$B$12192</f>
        <v/>
      </c>
      <c r="L13745" s="21" t="n">
        <v>0</v>
      </c>
      <c r="M13745" s="21" t="n">
        <v>0</v>
      </c>
      <c r="N13745" s="21" t="n">
        <v>0</v>
      </c>
      <c r="O13745" s="21" t="n">
        <v>0</v>
      </c>
      <c r="P13745" s="21" t="n">
        <v>0</v>
      </c>
      <c r="Q13745" s="21" t="n">
        <v>0</v>
      </c>
      <c r="R13745" s="21" t="n">
        <v>0</v>
      </c>
      <c r="S13745" s="21" t="n">
        <v>0</v>
      </c>
      <c r="T13745" s="21" t="n">
        <v>0</v>
      </c>
      <c r="U13745" s="21" t="n">
        <v>0</v>
      </c>
      <c r="V13745" s="21" t="n">
        <v>0</v>
      </c>
      <c r="W13745" s="21" t="n">
        <v>0</v>
      </c>
      <c r="X13745" s="21" t="n">
        <v>0</v>
      </c>
      <c r="Y13745" s="21" t="n">
        <v>0</v>
      </c>
      <c r="Z13745" s="19" t="n"/>
    </row>
    <row r="13746">
      <c r="D13746" s="21" t="n">
        <v>0</v>
      </c>
      <c r="E13746" s="21" t="n">
        <v>0</v>
      </c>
      <c r="F13746" s="21" t="n">
        <v>0</v>
      </c>
      <c r="G13746" s="21" t="n">
        <v>0</v>
      </c>
      <c r="H13746" s="21">
        <f>-$B$12189</f>
        <v/>
      </c>
      <c r="I13746" s="21">
        <f>-$B$12190</f>
        <v/>
      </c>
      <c r="J13746" s="21">
        <f>2*$B$12189+$D$13731</f>
        <v/>
      </c>
      <c r="K13746" s="21">
        <f>0</f>
        <v/>
      </c>
      <c r="L13746" s="21">
        <f>-$B$12189</f>
        <v/>
      </c>
      <c r="M13746" s="21">
        <f>$B$12190</f>
        <v/>
      </c>
      <c r="N13746" s="21" t="n">
        <v>0</v>
      </c>
      <c r="O13746" s="21" t="n">
        <v>0</v>
      </c>
      <c r="P13746" s="21" t="n">
        <v>0</v>
      </c>
      <c r="Q13746" s="21" t="n">
        <v>0</v>
      </c>
      <c r="R13746" s="21" t="n">
        <v>0</v>
      </c>
      <c r="S13746" s="21" t="n">
        <v>0</v>
      </c>
      <c r="T13746" s="21" t="n">
        <v>0</v>
      </c>
      <c r="U13746" s="21" t="n">
        <v>0</v>
      </c>
      <c r="V13746" s="21" t="n">
        <v>0</v>
      </c>
      <c r="W13746" s="21" t="n">
        <v>0</v>
      </c>
      <c r="X13746" s="21" t="n">
        <v>0</v>
      </c>
      <c r="Y13746" s="21" t="n">
        <v>0</v>
      </c>
      <c r="Z13746" s="19" t="n"/>
    </row>
    <row r="13747">
      <c r="D13747" s="21" t="n">
        <v>0</v>
      </c>
      <c r="E13747" s="21" t="n">
        <v>0</v>
      </c>
      <c r="F13747" s="21" t="n">
        <v>0</v>
      </c>
      <c r="G13747" s="21" t="n">
        <v>0</v>
      </c>
      <c r="H13747" s="21">
        <f>$B$12190</f>
        <v/>
      </c>
      <c r="I13747" s="21">
        <f>$B$12192</f>
        <v/>
      </c>
      <c r="J13747" s="21">
        <f>0</f>
        <v/>
      </c>
      <c r="K13747" s="21">
        <f>2*$B$12191</f>
        <v/>
      </c>
      <c r="L13747" s="21">
        <f>-$B$12190</f>
        <v/>
      </c>
      <c r="M13747" s="21">
        <f>$B$12192</f>
        <v/>
      </c>
      <c r="N13747" s="21" t="n">
        <v>0</v>
      </c>
      <c r="O13747" s="21" t="n">
        <v>0</v>
      </c>
      <c r="P13747" s="21" t="n">
        <v>0</v>
      </c>
      <c r="Q13747" s="21" t="n">
        <v>0</v>
      </c>
      <c r="R13747" s="21" t="n">
        <v>0</v>
      </c>
      <c r="S13747" s="21" t="n">
        <v>0</v>
      </c>
      <c r="T13747" s="21" t="n">
        <v>0</v>
      </c>
      <c r="U13747" s="21" t="n">
        <v>0</v>
      </c>
      <c r="V13747" s="21" t="n">
        <v>0</v>
      </c>
      <c r="W13747" s="21" t="n">
        <v>0</v>
      </c>
      <c r="X13747" s="21" t="n">
        <v>0</v>
      </c>
      <c r="Y13747" s="21" t="n">
        <v>0</v>
      </c>
      <c r="Z13747" s="19" t="n"/>
    </row>
    <row r="13748">
      <c r="D13748" s="21" t="n">
        <v>0</v>
      </c>
      <c r="E13748" s="21" t="n">
        <v>0</v>
      </c>
      <c r="F13748" s="21" t="n">
        <v>0</v>
      </c>
      <c r="G13748" s="21" t="n">
        <v>0</v>
      </c>
      <c r="H13748" s="21" t="n">
        <v>0</v>
      </c>
      <c r="I13748" s="21" t="n">
        <v>0</v>
      </c>
      <c r="J13748" s="21">
        <f>-$B$12189</f>
        <v/>
      </c>
      <c r="K13748" s="21">
        <f>-$B$12190</f>
        <v/>
      </c>
      <c r="L13748" s="21">
        <f>2*$B$12189+$D$13732</f>
        <v/>
      </c>
      <c r="M13748" s="21">
        <f>0</f>
        <v/>
      </c>
      <c r="N13748" s="21">
        <f>-$B$12189</f>
        <v/>
      </c>
      <c r="O13748" s="21">
        <f>$B$12190</f>
        <v/>
      </c>
      <c r="P13748" s="21" t="n">
        <v>0</v>
      </c>
      <c r="Q13748" s="21" t="n">
        <v>0</v>
      </c>
      <c r="R13748" s="21" t="n">
        <v>0</v>
      </c>
      <c r="S13748" s="21" t="n">
        <v>0</v>
      </c>
      <c r="T13748" s="21" t="n">
        <v>0</v>
      </c>
      <c r="U13748" s="21" t="n">
        <v>0</v>
      </c>
      <c r="V13748" s="21" t="n">
        <v>0</v>
      </c>
      <c r="W13748" s="21" t="n">
        <v>0</v>
      </c>
      <c r="X13748" s="21" t="n">
        <v>0</v>
      </c>
      <c r="Y13748" s="21" t="n">
        <v>0</v>
      </c>
      <c r="Z13748" s="19" t="n"/>
    </row>
    <row r="13749">
      <c r="D13749" s="21" t="n">
        <v>0</v>
      </c>
      <c r="E13749" s="21" t="n">
        <v>0</v>
      </c>
      <c r="F13749" s="21" t="n">
        <v>0</v>
      </c>
      <c r="G13749" s="21" t="n">
        <v>0</v>
      </c>
      <c r="H13749" s="21" t="n">
        <v>0</v>
      </c>
      <c r="I13749" s="21" t="n">
        <v>0</v>
      </c>
      <c r="J13749" s="21">
        <f>$B$12190</f>
        <v/>
      </c>
      <c r="K13749" s="21">
        <f>$B$12192</f>
        <v/>
      </c>
      <c r="L13749" s="21">
        <f>0</f>
        <v/>
      </c>
      <c r="M13749" s="21">
        <f>2*$B$12191</f>
        <v/>
      </c>
      <c r="N13749" s="21">
        <f>-$B$12190</f>
        <v/>
      </c>
      <c r="O13749" s="21">
        <f>$B$12192</f>
        <v/>
      </c>
      <c r="P13749" s="21" t="n">
        <v>0</v>
      </c>
      <c r="Q13749" s="21" t="n">
        <v>0</v>
      </c>
      <c r="R13749" s="21" t="n">
        <v>0</v>
      </c>
      <c r="S13749" s="21" t="n">
        <v>0</v>
      </c>
      <c r="T13749" s="21" t="n">
        <v>0</v>
      </c>
      <c r="U13749" s="21" t="n">
        <v>0</v>
      </c>
      <c r="V13749" s="21" t="n">
        <v>0</v>
      </c>
      <c r="W13749" s="21" t="n">
        <v>0</v>
      </c>
      <c r="X13749" s="21" t="n">
        <v>0</v>
      </c>
      <c r="Y13749" s="21" t="n">
        <v>0</v>
      </c>
      <c r="Z13749" s="19" t="n"/>
    </row>
    <row r="13750">
      <c r="D13750" s="21" t="n">
        <v>0</v>
      </c>
      <c r="E13750" s="21" t="n">
        <v>0</v>
      </c>
      <c r="F13750" s="21" t="n">
        <v>0</v>
      </c>
      <c r="G13750" s="21" t="n">
        <v>0</v>
      </c>
      <c r="H13750" s="21" t="n">
        <v>0</v>
      </c>
      <c r="I13750" s="21" t="n">
        <v>0</v>
      </c>
      <c r="J13750" s="21" t="n">
        <v>0</v>
      </c>
      <c r="K13750" s="21" t="n">
        <v>0</v>
      </c>
      <c r="L13750" s="21">
        <f>-$B$12189</f>
        <v/>
      </c>
      <c r="M13750" s="21">
        <f>-$B$12190</f>
        <v/>
      </c>
      <c r="N13750" s="21">
        <f>2*$B$12189+$D$13733</f>
        <v/>
      </c>
      <c r="O13750" s="21">
        <f>0</f>
        <v/>
      </c>
      <c r="P13750" s="21">
        <f>-$B$12189</f>
        <v/>
      </c>
      <c r="Q13750" s="21">
        <f>$B$12190</f>
        <v/>
      </c>
      <c r="R13750" s="21" t="n">
        <v>0</v>
      </c>
      <c r="S13750" s="21" t="n">
        <v>0</v>
      </c>
      <c r="T13750" s="21" t="n">
        <v>0</v>
      </c>
      <c r="U13750" s="21" t="n">
        <v>0</v>
      </c>
      <c r="V13750" s="21" t="n">
        <v>0</v>
      </c>
      <c r="W13750" s="21" t="n">
        <v>0</v>
      </c>
      <c r="X13750" s="21" t="n">
        <v>0</v>
      </c>
      <c r="Y13750" s="21" t="n">
        <v>0</v>
      </c>
      <c r="Z13750" s="19" t="n"/>
    </row>
    <row r="13751">
      <c r="D13751" s="21" t="n">
        <v>0</v>
      </c>
      <c r="E13751" s="21" t="n">
        <v>0</v>
      </c>
      <c r="F13751" s="21" t="n">
        <v>0</v>
      </c>
      <c r="G13751" s="21" t="n">
        <v>0</v>
      </c>
      <c r="H13751" s="21" t="n">
        <v>0</v>
      </c>
      <c r="I13751" s="21" t="n">
        <v>0</v>
      </c>
      <c r="J13751" s="21" t="n">
        <v>0</v>
      </c>
      <c r="K13751" s="21" t="n">
        <v>0</v>
      </c>
      <c r="L13751" s="21">
        <f>$B$12190</f>
        <v/>
      </c>
      <c r="M13751" s="21">
        <f>$B$12192</f>
        <v/>
      </c>
      <c r="N13751" s="21">
        <f>0</f>
        <v/>
      </c>
      <c r="O13751" s="21">
        <f>2*$B$12191</f>
        <v/>
      </c>
      <c r="P13751" s="21">
        <f>-$B$12190</f>
        <v/>
      </c>
      <c r="Q13751" s="21">
        <f>$B$12192</f>
        <v/>
      </c>
      <c r="R13751" s="21" t="n">
        <v>0</v>
      </c>
      <c r="S13751" s="21" t="n">
        <v>0</v>
      </c>
      <c r="T13751" s="21" t="n">
        <v>0</v>
      </c>
      <c r="U13751" s="21" t="n">
        <v>0</v>
      </c>
      <c r="V13751" s="21" t="n">
        <v>0</v>
      </c>
      <c r="W13751" s="21" t="n">
        <v>0</v>
      </c>
      <c r="X13751" s="21" t="n">
        <v>0</v>
      </c>
      <c r="Y13751" s="21" t="n">
        <v>0</v>
      </c>
      <c r="Z13751" s="19" t="n"/>
    </row>
    <row r="13752">
      <c r="D13752" s="21" t="n">
        <v>0</v>
      </c>
      <c r="E13752" s="21" t="n">
        <v>0</v>
      </c>
      <c r="F13752" s="21" t="n">
        <v>0</v>
      </c>
      <c r="G13752" s="21" t="n">
        <v>0</v>
      </c>
      <c r="H13752" s="21" t="n">
        <v>0</v>
      </c>
      <c r="I13752" s="21" t="n">
        <v>0</v>
      </c>
      <c r="J13752" s="21" t="n">
        <v>0</v>
      </c>
      <c r="K13752" s="21" t="n">
        <v>0</v>
      </c>
      <c r="L13752" s="21" t="n">
        <v>0</v>
      </c>
      <c r="M13752" s="21" t="n">
        <v>0</v>
      </c>
      <c r="N13752" s="21">
        <f>-$B$12189</f>
        <v/>
      </c>
      <c r="O13752" s="21">
        <f>-$B$12190</f>
        <v/>
      </c>
      <c r="P13752" s="21">
        <f>2*$B$12189+$D$13734</f>
        <v/>
      </c>
      <c r="Q13752" s="21">
        <f>0</f>
        <v/>
      </c>
      <c r="R13752" s="21">
        <f>-$B$12189</f>
        <v/>
      </c>
      <c r="S13752" s="21">
        <f>$B$12190</f>
        <v/>
      </c>
      <c r="T13752" s="21" t="n">
        <v>0</v>
      </c>
      <c r="U13752" s="21" t="n">
        <v>0</v>
      </c>
      <c r="V13752" s="21" t="n">
        <v>0</v>
      </c>
      <c r="W13752" s="21" t="n">
        <v>0</v>
      </c>
      <c r="X13752" s="21" t="n">
        <v>0</v>
      </c>
      <c r="Y13752" s="21" t="n">
        <v>0</v>
      </c>
      <c r="Z13752" s="19" t="n"/>
    </row>
    <row r="13753">
      <c r="D13753" s="21" t="n">
        <v>0</v>
      </c>
      <c r="E13753" s="21" t="n">
        <v>0</v>
      </c>
      <c r="F13753" s="21" t="n">
        <v>0</v>
      </c>
      <c r="G13753" s="21" t="n">
        <v>0</v>
      </c>
      <c r="H13753" s="21" t="n">
        <v>0</v>
      </c>
      <c r="I13753" s="21" t="n">
        <v>0</v>
      </c>
      <c r="J13753" s="21" t="n">
        <v>0</v>
      </c>
      <c r="K13753" s="21" t="n">
        <v>0</v>
      </c>
      <c r="L13753" s="21" t="n">
        <v>0</v>
      </c>
      <c r="M13753" s="21" t="n">
        <v>0</v>
      </c>
      <c r="N13753" s="21">
        <f>$B$12190</f>
        <v/>
      </c>
      <c r="O13753" s="21">
        <f>$B$12192</f>
        <v/>
      </c>
      <c r="P13753" s="21">
        <f>0</f>
        <v/>
      </c>
      <c r="Q13753" s="21">
        <f>2*$B$12191</f>
        <v/>
      </c>
      <c r="R13753" s="21">
        <f>-$B$12190</f>
        <v/>
      </c>
      <c r="S13753" s="21">
        <f>$B$12192</f>
        <v/>
      </c>
      <c r="T13753" s="21" t="n">
        <v>0</v>
      </c>
      <c r="U13753" s="21" t="n">
        <v>0</v>
      </c>
      <c r="V13753" s="21" t="n">
        <v>0</v>
      </c>
      <c r="W13753" s="21" t="n">
        <v>0</v>
      </c>
      <c r="X13753" s="21" t="n">
        <v>0</v>
      </c>
      <c r="Y13753" s="21" t="n">
        <v>0</v>
      </c>
      <c r="Z13753" s="19" t="n"/>
    </row>
    <row r="13754">
      <c r="D13754" s="21" t="n">
        <v>0</v>
      </c>
      <c r="E13754" s="21" t="n">
        <v>0</v>
      </c>
      <c r="F13754" s="21" t="n">
        <v>0</v>
      </c>
      <c r="G13754" s="21" t="n">
        <v>0</v>
      </c>
      <c r="H13754" s="21" t="n">
        <v>0</v>
      </c>
      <c r="I13754" s="21" t="n">
        <v>0</v>
      </c>
      <c r="J13754" s="21" t="n">
        <v>0</v>
      </c>
      <c r="K13754" s="21" t="n">
        <v>0</v>
      </c>
      <c r="L13754" s="21" t="n">
        <v>0</v>
      </c>
      <c r="M13754" s="21" t="n">
        <v>0</v>
      </c>
      <c r="N13754" s="21" t="n">
        <v>0</v>
      </c>
      <c r="O13754" s="21" t="n">
        <v>0</v>
      </c>
      <c r="P13754" s="21">
        <f>-$B$12189</f>
        <v/>
      </c>
      <c r="Q13754" s="21">
        <f>-$B$12190</f>
        <v/>
      </c>
      <c r="R13754" s="21">
        <f>2*$B$12189+$D$13735</f>
        <v/>
      </c>
      <c r="S13754" s="21">
        <f>0</f>
        <v/>
      </c>
      <c r="T13754" s="21">
        <f>-$B$12189</f>
        <v/>
      </c>
      <c r="U13754" s="21">
        <f>$B$12190</f>
        <v/>
      </c>
      <c r="V13754" s="21" t="n">
        <v>0</v>
      </c>
      <c r="W13754" s="21" t="n">
        <v>0</v>
      </c>
      <c r="X13754" s="21" t="n">
        <v>0</v>
      </c>
      <c r="Y13754" s="21" t="n">
        <v>0</v>
      </c>
      <c r="Z13754" s="19" t="n"/>
    </row>
    <row r="13755">
      <c r="D13755" s="21" t="n">
        <v>0</v>
      </c>
      <c r="E13755" s="21" t="n">
        <v>0</v>
      </c>
      <c r="F13755" s="21" t="n">
        <v>0</v>
      </c>
      <c r="G13755" s="21" t="n">
        <v>0</v>
      </c>
      <c r="H13755" s="21" t="n">
        <v>0</v>
      </c>
      <c r="I13755" s="21" t="n">
        <v>0</v>
      </c>
      <c r="J13755" s="21" t="n">
        <v>0</v>
      </c>
      <c r="K13755" s="21" t="n">
        <v>0</v>
      </c>
      <c r="L13755" s="21" t="n">
        <v>0</v>
      </c>
      <c r="M13755" s="21" t="n">
        <v>0</v>
      </c>
      <c r="N13755" s="21" t="n">
        <v>0</v>
      </c>
      <c r="O13755" s="21" t="n">
        <v>0</v>
      </c>
      <c r="P13755" s="21">
        <f>$B$12190</f>
        <v/>
      </c>
      <c r="Q13755" s="21">
        <f>$B$12192</f>
        <v/>
      </c>
      <c r="R13755" s="21">
        <f>0</f>
        <v/>
      </c>
      <c r="S13755" s="21">
        <f>2*$B$12191</f>
        <v/>
      </c>
      <c r="T13755" s="21">
        <f>-$B$12190</f>
        <v/>
      </c>
      <c r="U13755" s="21">
        <f>$B$12192</f>
        <v/>
      </c>
      <c r="V13755" s="21" t="n">
        <v>0</v>
      </c>
      <c r="W13755" s="21" t="n">
        <v>0</v>
      </c>
      <c r="X13755" s="21" t="n">
        <v>0</v>
      </c>
      <c r="Y13755" s="21" t="n">
        <v>0</v>
      </c>
      <c r="Z13755" s="19" t="n"/>
    </row>
    <row r="13756">
      <c r="D13756" s="21" t="n">
        <v>0</v>
      </c>
      <c r="E13756" s="21" t="n">
        <v>0</v>
      </c>
      <c r="F13756" s="21" t="n">
        <v>0</v>
      </c>
      <c r="G13756" s="21" t="n">
        <v>0</v>
      </c>
      <c r="H13756" s="21" t="n">
        <v>0</v>
      </c>
      <c r="I13756" s="21" t="n">
        <v>0</v>
      </c>
      <c r="J13756" s="21" t="n">
        <v>0</v>
      </c>
      <c r="K13756" s="21" t="n">
        <v>0</v>
      </c>
      <c r="L13756" s="21" t="n">
        <v>0</v>
      </c>
      <c r="M13756" s="21" t="n">
        <v>0</v>
      </c>
      <c r="N13756" s="21" t="n">
        <v>0</v>
      </c>
      <c r="O13756" s="21" t="n">
        <v>0</v>
      </c>
      <c r="P13756" s="21" t="n">
        <v>0</v>
      </c>
      <c r="Q13756" s="21" t="n">
        <v>0</v>
      </c>
      <c r="R13756" s="21">
        <f>-$B$12189</f>
        <v/>
      </c>
      <c r="S13756" s="21">
        <f>-$B$12190</f>
        <v/>
      </c>
      <c r="T13756" s="21">
        <f>2*$B$12189+$D$13736</f>
        <v/>
      </c>
      <c r="U13756" s="21">
        <f>0</f>
        <v/>
      </c>
      <c r="V13756" s="21">
        <f>-$B$12189</f>
        <v/>
      </c>
      <c r="W13756" s="21">
        <f>$B$12190</f>
        <v/>
      </c>
      <c r="X13756" s="21" t="n">
        <v>0</v>
      </c>
      <c r="Y13756" s="21" t="n">
        <v>0</v>
      </c>
      <c r="Z13756" s="19" t="n"/>
    </row>
    <row r="13757">
      <c r="D13757" s="21" t="n">
        <v>0</v>
      </c>
      <c r="E13757" s="21" t="n">
        <v>0</v>
      </c>
      <c r="F13757" s="21" t="n">
        <v>0</v>
      </c>
      <c r="G13757" s="21" t="n">
        <v>0</v>
      </c>
      <c r="H13757" s="21" t="n">
        <v>0</v>
      </c>
      <c r="I13757" s="21" t="n">
        <v>0</v>
      </c>
      <c r="J13757" s="21" t="n">
        <v>0</v>
      </c>
      <c r="K13757" s="21" t="n">
        <v>0</v>
      </c>
      <c r="L13757" s="21" t="n">
        <v>0</v>
      </c>
      <c r="M13757" s="21" t="n">
        <v>0</v>
      </c>
      <c r="N13757" s="21" t="n">
        <v>0</v>
      </c>
      <c r="O13757" s="21" t="n">
        <v>0</v>
      </c>
      <c r="P13757" s="21" t="n">
        <v>0</v>
      </c>
      <c r="Q13757" s="21" t="n">
        <v>0</v>
      </c>
      <c r="R13757" s="21">
        <f>$B$12190</f>
        <v/>
      </c>
      <c r="S13757" s="21">
        <f>$B$12192</f>
        <v/>
      </c>
      <c r="T13757" s="21">
        <f>0</f>
        <v/>
      </c>
      <c r="U13757" s="21">
        <f>2*$B$12191</f>
        <v/>
      </c>
      <c r="V13757" s="21">
        <f>-$B$12190</f>
        <v/>
      </c>
      <c r="W13757" s="21">
        <f>$B$12192</f>
        <v/>
      </c>
      <c r="X13757" s="21" t="n">
        <v>0</v>
      </c>
      <c r="Y13757" s="21" t="n">
        <v>0</v>
      </c>
      <c r="Z13757" s="19" t="n"/>
    </row>
    <row r="13758">
      <c r="D13758" s="21" t="n">
        <v>0</v>
      </c>
      <c r="E13758" s="21" t="n">
        <v>0</v>
      </c>
      <c r="F13758" s="21" t="n">
        <v>0</v>
      </c>
      <c r="G13758" s="21" t="n">
        <v>0</v>
      </c>
      <c r="H13758" s="21" t="n">
        <v>0</v>
      </c>
      <c r="I13758" s="21" t="n">
        <v>0</v>
      </c>
      <c r="J13758" s="21" t="n">
        <v>0</v>
      </c>
      <c r="K13758" s="21" t="n">
        <v>0</v>
      </c>
      <c r="L13758" s="21" t="n">
        <v>0</v>
      </c>
      <c r="M13758" s="21" t="n">
        <v>0</v>
      </c>
      <c r="N13758" s="21" t="n">
        <v>0</v>
      </c>
      <c r="O13758" s="21" t="n">
        <v>0</v>
      </c>
      <c r="P13758" s="21" t="n">
        <v>0</v>
      </c>
      <c r="Q13758" s="21" t="n">
        <v>0</v>
      </c>
      <c r="R13758" s="21" t="n">
        <v>0</v>
      </c>
      <c r="S13758" s="21" t="n">
        <v>0</v>
      </c>
      <c r="T13758" s="21">
        <f>-$B$12189</f>
        <v/>
      </c>
      <c r="U13758" s="21">
        <f>-$B$12190</f>
        <v/>
      </c>
      <c r="V13758" s="21">
        <f>2*$B$12189+$D$13737</f>
        <v/>
      </c>
      <c r="W13758" s="21">
        <f>0</f>
        <v/>
      </c>
      <c r="X13758" s="21">
        <f>-$B$12189</f>
        <v/>
      </c>
      <c r="Y13758" s="21">
        <f>$B$12190</f>
        <v/>
      </c>
      <c r="Z13758" s="19" t="n"/>
    </row>
    <row r="13759">
      <c r="D13759" s="21" t="n">
        <v>0</v>
      </c>
      <c r="E13759" s="21" t="n">
        <v>0</v>
      </c>
      <c r="F13759" s="21" t="n">
        <v>0</v>
      </c>
      <c r="G13759" s="21" t="n">
        <v>0</v>
      </c>
      <c r="H13759" s="21" t="n">
        <v>0</v>
      </c>
      <c r="I13759" s="21" t="n">
        <v>0</v>
      </c>
      <c r="J13759" s="21" t="n">
        <v>0</v>
      </c>
      <c r="K13759" s="21" t="n">
        <v>0</v>
      </c>
      <c r="L13759" s="21" t="n">
        <v>0</v>
      </c>
      <c r="M13759" s="21" t="n">
        <v>0</v>
      </c>
      <c r="N13759" s="21" t="n">
        <v>0</v>
      </c>
      <c r="O13759" s="21" t="n">
        <v>0</v>
      </c>
      <c r="P13759" s="21" t="n">
        <v>0</v>
      </c>
      <c r="Q13759" s="21" t="n">
        <v>0</v>
      </c>
      <c r="R13759" s="21" t="n">
        <v>0</v>
      </c>
      <c r="S13759" s="21" t="n">
        <v>0</v>
      </c>
      <c r="T13759" s="21">
        <f>$B$12190</f>
        <v/>
      </c>
      <c r="U13759" s="21">
        <f>$B$12192</f>
        <v/>
      </c>
      <c r="V13759" s="21">
        <f>0</f>
        <v/>
      </c>
      <c r="W13759" s="21">
        <f>2*$B$12191</f>
        <v/>
      </c>
      <c r="X13759" s="21">
        <f>-$B$12190</f>
        <v/>
      </c>
      <c r="Y13759" s="21">
        <f>$B$12192</f>
        <v/>
      </c>
      <c r="Z13759" s="19" t="n"/>
    </row>
    <row r="13760">
      <c r="D13760" s="21" t="n">
        <v>0</v>
      </c>
      <c r="E13760" s="21" t="n">
        <v>0</v>
      </c>
      <c r="F13760" s="21" t="n">
        <v>0</v>
      </c>
      <c r="G13760" s="21" t="n">
        <v>0</v>
      </c>
      <c r="H13760" s="21" t="n">
        <v>0</v>
      </c>
      <c r="I13760" s="21" t="n">
        <v>0</v>
      </c>
      <c r="J13760" s="21" t="n">
        <v>0</v>
      </c>
      <c r="K13760" s="21" t="n">
        <v>0</v>
      </c>
      <c r="L13760" s="21" t="n">
        <v>0</v>
      </c>
      <c r="M13760" s="21" t="n">
        <v>0</v>
      </c>
      <c r="N13760" s="21" t="n">
        <v>0</v>
      </c>
      <c r="O13760" s="21" t="n">
        <v>0</v>
      </c>
      <c r="P13760" s="21" t="n">
        <v>0</v>
      </c>
      <c r="Q13760" s="21" t="n">
        <v>0</v>
      </c>
      <c r="R13760" s="21" t="n">
        <v>0</v>
      </c>
      <c r="S13760" s="21" t="n">
        <v>0</v>
      </c>
      <c r="T13760" s="21" t="n">
        <v>0</v>
      </c>
      <c r="U13760" s="21" t="n">
        <v>0</v>
      </c>
      <c r="V13760" s="21">
        <f>-$B$12189</f>
        <v/>
      </c>
      <c r="W13760" s="21">
        <f>-$B$12190</f>
        <v/>
      </c>
      <c r="X13760" s="21">
        <f>$B$12189+$D$13738</f>
        <v/>
      </c>
      <c r="Y13760" s="21">
        <f>-$B$12190</f>
        <v/>
      </c>
      <c r="Z13760" s="19" t="n"/>
    </row>
    <row r="13761">
      <c r="D13761" s="21" t="n">
        <v>0</v>
      </c>
      <c r="E13761" s="21" t="n">
        <v>0</v>
      </c>
      <c r="F13761" s="21" t="n">
        <v>0</v>
      </c>
      <c r="G13761" s="21" t="n">
        <v>0</v>
      </c>
      <c r="H13761" s="21" t="n">
        <v>0</v>
      </c>
      <c r="I13761" s="21" t="n">
        <v>0</v>
      </c>
      <c r="J13761" s="21" t="n">
        <v>0</v>
      </c>
      <c r="K13761" s="21" t="n">
        <v>0</v>
      </c>
      <c r="L13761" s="21" t="n">
        <v>0</v>
      </c>
      <c r="M13761" s="21" t="n">
        <v>0</v>
      </c>
      <c r="N13761" s="21" t="n">
        <v>0</v>
      </c>
      <c r="O13761" s="21" t="n">
        <v>0</v>
      </c>
      <c r="P13761" s="21" t="n">
        <v>0</v>
      </c>
      <c r="Q13761" s="21" t="n">
        <v>0</v>
      </c>
      <c r="R13761" s="21" t="n">
        <v>0</v>
      </c>
      <c r="S13761" s="21" t="n">
        <v>0</v>
      </c>
      <c r="T13761" s="21" t="n">
        <v>0</v>
      </c>
      <c r="U13761" s="21" t="n">
        <v>0</v>
      </c>
      <c r="V13761" s="21">
        <f>$B$12190</f>
        <v/>
      </c>
      <c r="W13761" s="21">
        <f>$B$12192</f>
        <v/>
      </c>
      <c r="X13761" s="21">
        <f>-$B$12190</f>
        <v/>
      </c>
      <c r="Y13761" s="21">
        <f>$B$12191</f>
        <v/>
      </c>
      <c r="Z13761" s="19" t="n"/>
    </row>
    <row r="13763">
      <c r="A13763" s="8" t="inlineStr">
        <is>
          <t>gen 43</t>
        </is>
      </c>
    </row>
    <row r="13764">
      <c r="D13764" s="19">
        <f>IF(ABS(IF(ABS($E$13728)&gt;0.000000001,$E$13728,0.000000001))=0,0,IF($E$12204&lt;=$B$12198,0,IF(ABS(IF(ABS($E$13728)&gt;0.000000001,$E$13728,0.000000001))&gt;=8*$B$12200,$H$12204,0.5*$H$12204*(ABS(IF(ABS($E$13728)&gt;0.000000001,$E$13728,0.000000001))/$B$12200)^(1/3)))/ABS(IF(ABS($E$13728)&gt;0.000000001,$E$13728,0.000000001))*$I$12204)</f>
        <v/>
      </c>
      <c r="E13764" s="19">
        <f>0.5*$E$13728+0.5*$Z$13776</f>
        <v/>
      </c>
      <c r="F13764" s="19">
        <f>$Z$13777</f>
        <v/>
      </c>
    </row>
    <row r="13765">
      <c r="D13765" s="19">
        <f>IF(ABS(IF(ABS($E$13729)&gt;0.000000001,$E$13729,0.000000001))=0,0,IF($E$12205&lt;=$B$12198,0,IF(ABS(IF(ABS($E$13729)&gt;0.000000001,$E$13729,0.000000001))&gt;=8*$B$12200,$H$12205,0.5*$H$12205*(ABS(IF(ABS($E$13729)&gt;0.000000001,$E$13729,0.000000001))/$B$12200)^(1/3)))/ABS(IF(ABS($E$13729)&gt;0.000000001,$E$13729,0.000000001))*$I$12205)</f>
        <v/>
      </c>
      <c r="E13765" s="19">
        <f>0.5*$E$13729+0.5*$Z$13778</f>
        <v/>
      </c>
      <c r="F13765" s="19">
        <f>$Z$13779</f>
        <v/>
      </c>
    </row>
    <row r="13766">
      <c r="D13766" s="19">
        <f>IF(ABS(IF(ABS($E$13730)&gt;0.000000001,$E$13730,0.000000001))=0,0,IF($E$12206&lt;=$B$12198,0,IF(ABS(IF(ABS($E$13730)&gt;0.000000001,$E$13730,0.000000001))&gt;=8*$B$12200,$H$12206,0.5*$H$12206*(ABS(IF(ABS($E$13730)&gt;0.000000001,$E$13730,0.000000001))/$B$12200)^(1/3)))/ABS(IF(ABS($E$13730)&gt;0.000000001,$E$13730,0.000000001))*$I$12206)</f>
        <v/>
      </c>
      <c r="E13766" s="19">
        <f>0.5*$E$13730+0.5*$Z$13780</f>
        <v/>
      </c>
      <c r="F13766" s="19">
        <f>$Z$13781</f>
        <v/>
      </c>
    </row>
    <row r="13767">
      <c r="D13767" s="19">
        <f>IF(ABS(IF(ABS($E$13731)&gt;0.000000001,$E$13731,0.000000001))=0,0,IF($E$12207&lt;=$B$12198,0,IF(ABS(IF(ABS($E$13731)&gt;0.000000001,$E$13731,0.000000001))&gt;=8*$B$12200,$H$12207,0.5*$H$12207*(ABS(IF(ABS($E$13731)&gt;0.000000001,$E$13731,0.000000001))/$B$12200)^(1/3)))/ABS(IF(ABS($E$13731)&gt;0.000000001,$E$13731,0.000000001))*$I$12207)</f>
        <v/>
      </c>
      <c r="E13767" s="19">
        <f>0.5*$E$13731+0.5*$Z$13782</f>
        <v/>
      </c>
      <c r="F13767" s="19">
        <f>$Z$13783</f>
        <v/>
      </c>
    </row>
    <row r="13768">
      <c r="D13768" s="19">
        <f>IF(ABS(IF(ABS($E$13732)&gt;0.000000001,$E$13732,0.000000001))=0,0,IF($E$12208&lt;=$B$12198,0,IF(ABS(IF(ABS($E$13732)&gt;0.000000001,$E$13732,0.000000001))&gt;=8*$B$12200,$H$12208,0.5*$H$12208*(ABS(IF(ABS($E$13732)&gt;0.000000001,$E$13732,0.000000001))/$B$12200)^(1/3)))/ABS(IF(ABS($E$13732)&gt;0.000000001,$E$13732,0.000000001))*$I$12208)</f>
        <v/>
      </c>
      <c r="E13768" s="19">
        <f>0.5*$E$13732+0.5*$Z$13784</f>
        <v/>
      </c>
      <c r="F13768" s="19">
        <f>$Z$13785</f>
        <v/>
      </c>
    </row>
    <row r="13769">
      <c r="D13769" s="19">
        <f>IF(ABS(IF(ABS($E$13733)&gt;0.000000001,$E$13733,0.000000001))=0,0,IF($E$12209&lt;=$B$12198,0,IF(ABS(IF(ABS($E$13733)&gt;0.000000001,$E$13733,0.000000001))&gt;=8*$B$12200,$H$12209,0.5*$H$12209*(ABS(IF(ABS($E$13733)&gt;0.000000001,$E$13733,0.000000001))/$B$12200)^(1/3)))/ABS(IF(ABS($E$13733)&gt;0.000000001,$E$13733,0.000000001))*$I$12209)</f>
        <v/>
      </c>
      <c r="E13769" s="19">
        <f>0.5*$E$13733+0.5*$Z$13786</f>
        <v/>
      </c>
      <c r="F13769" s="19">
        <f>$Z$13787</f>
        <v/>
      </c>
    </row>
    <row r="13770">
      <c r="D13770" s="19">
        <f>IF(ABS(IF(ABS($E$13734)&gt;0.000000001,$E$13734,0.000000001))=0,0,IF($E$12210&lt;=$B$12198,0,IF(ABS(IF(ABS($E$13734)&gt;0.000000001,$E$13734,0.000000001))&gt;=8*$B$12200,$H$12210,0.5*$H$12210*(ABS(IF(ABS($E$13734)&gt;0.000000001,$E$13734,0.000000001))/$B$12200)^(1/3)))/ABS(IF(ABS($E$13734)&gt;0.000000001,$E$13734,0.000000001))*$I$12210)</f>
        <v/>
      </c>
      <c r="E13770" s="19">
        <f>0.5*$E$13734+0.5*$Z$13788</f>
        <v/>
      </c>
      <c r="F13770" s="19">
        <f>$Z$13789</f>
        <v/>
      </c>
    </row>
    <row r="13771">
      <c r="D13771" s="19">
        <f>IF(ABS(IF(ABS($E$13735)&gt;0.000000001,$E$13735,0.000000001))=0,0,IF($E$12211&lt;=$B$12198,0,IF(ABS(IF(ABS($E$13735)&gt;0.000000001,$E$13735,0.000000001))&gt;=8*$B$12200,$H$12211,0.5*$H$12211*(ABS(IF(ABS($E$13735)&gt;0.000000001,$E$13735,0.000000001))/$B$12200)^(1/3)))/ABS(IF(ABS($E$13735)&gt;0.000000001,$E$13735,0.000000001))*$I$12211)</f>
        <v/>
      </c>
      <c r="E13771" s="19">
        <f>0.5*$E$13735+0.5*$Z$13790</f>
        <v/>
      </c>
      <c r="F13771" s="19">
        <f>$Z$13791</f>
        <v/>
      </c>
    </row>
    <row r="13772">
      <c r="D13772" s="19">
        <f>IF(ABS(IF(ABS($E$13736)&gt;0.000000001,$E$13736,0.000000001))=0,0,IF($E$12212&lt;=$B$12198,0,IF(ABS(IF(ABS($E$13736)&gt;0.000000001,$E$13736,0.000000001))&gt;=8*$B$12200,$H$12212,0.5*$H$12212*(ABS(IF(ABS($E$13736)&gt;0.000000001,$E$13736,0.000000001))/$B$12200)^(1/3)))/ABS(IF(ABS($E$13736)&gt;0.000000001,$E$13736,0.000000001))*$I$12212)</f>
        <v/>
      </c>
      <c r="E13772" s="19">
        <f>0.5*$E$13736+0.5*$Z$13792</f>
        <v/>
      </c>
      <c r="F13772" s="19">
        <f>$Z$13793</f>
        <v/>
      </c>
    </row>
    <row r="13773">
      <c r="D13773" s="19">
        <f>IF(ABS(IF(ABS($E$13737)&gt;0.000000001,$E$13737,0.000000001))=0,0,IF($E$12213&lt;=$B$12198,0,IF(ABS(IF(ABS($E$13737)&gt;0.000000001,$E$13737,0.000000001))&gt;=8*$B$12200,$H$12213,0.5*$H$12213*(ABS(IF(ABS($E$13737)&gt;0.000000001,$E$13737,0.000000001))/$B$12200)^(1/3)))/ABS(IF(ABS($E$13737)&gt;0.000000001,$E$13737,0.000000001))*$I$12213)</f>
        <v/>
      </c>
      <c r="E13773" s="19">
        <f>0.5*$E$13737+0.5*$Z$13794</f>
        <v/>
      </c>
      <c r="F13773" s="19">
        <f>$Z$13795</f>
        <v/>
      </c>
    </row>
    <row r="13774">
      <c r="D13774" s="19">
        <f>IF(ABS(IF(ABS($E$13738)&gt;0.000000001,$E$13738,0.000000001))=0,0,IF($E$12214&lt;=$B$12198,0,IF(ABS(IF(ABS($E$13738)&gt;0.000000001,$E$13738,0.000000001))&gt;=8*$B$12200,$H$12214,0.5*$H$12214*(ABS(IF(ABS($E$13738)&gt;0.000000001,$E$13738,0.000000001))/$B$12200)^(1/3)))/ABS(IF(ABS($E$13738)&gt;0.000000001,$E$13738,0.000000001))*$I$12214)</f>
        <v/>
      </c>
      <c r="E13774" s="19">
        <f>0.5*$E$13738+0.5*$Z$13796</f>
        <v/>
      </c>
      <c r="F13774" s="19">
        <f>$Z$13797</f>
        <v/>
      </c>
    </row>
    <row r="13776">
      <c r="D13776" s="21">
        <f>$B$12189+$D$13764</f>
        <v/>
      </c>
      <c r="E13776" s="21">
        <f>$B$12190</f>
        <v/>
      </c>
      <c r="F13776" s="21">
        <f>-$B$12189</f>
        <v/>
      </c>
      <c r="G13776" s="21">
        <f>$B$12190</f>
        <v/>
      </c>
      <c r="H13776" s="21" t="n">
        <v>0</v>
      </c>
      <c r="I13776" s="21" t="n">
        <v>0</v>
      </c>
      <c r="J13776" s="21" t="n">
        <v>0</v>
      </c>
      <c r="K13776" s="21" t="n">
        <v>0</v>
      </c>
      <c r="L13776" s="21" t="n">
        <v>0</v>
      </c>
      <c r="M13776" s="21" t="n">
        <v>0</v>
      </c>
      <c r="N13776" s="21" t="n">
        <v>0</v>
      </c>
      <c r="O13776" s="21" t="n">
        <v>0</v>
      </c>
      <c r="P13776" s="21" t="n">
        <v>0</v>
      </c>
      <c r="Q13776" s="21" t="n">
        <v>0</v>
      </c>
      <c r="R13776" s="21" t="n">
        <v>0</v>
      </c>
      <c r="S13776" s="21" t="n">
        <v>0</v>
      </c>
      <c r="T13776" s="21" t="n">
        <v>0</v>
      </c>
      <c r="U13776" s="21" t="n">
        <v>0</v>
      </c>
      <c r="V13776" s="21" t="n">
        <v>0</v>
      </c>
      <c r="W13776" s="21" t="n">
        <v>0</v>
      </c>
      <c r="X13776" s="21" t="n">
        <v>0</v>
      </c>
      <c r="Y13776" s="21" t="n">
        <v>0</v>
      </c>
      <c r="Z13776" s="19">
        <f t="array" ref="Z13776:Z13797">MMULT(MINVERSE($D$13776:$Y$13797),$D$12216:$D$12237)</f>
        <v/>
      </c>
    </row>
    <row r="13777">
      <c r="D13777" s="21">
        <f>$B$12190</f>
        <v/>
      </c>
      <c r="E13777" s="21">
        <f>$B$12191</f>
        <v/>
      </c>
      <c r="F13777" s="21">
        <f>-$B$12190</f>
        <v/>
      </c>
      <c r="G13777" s="21">
        <f>$B$12192</f>
        <v/>
      </c>
      <c r="H13777" s="21" t="n">
        <v>0</v>
      </c>
      <c r="I13777" s="21" t="n">
        <v>0</v>
      </c>
      <c r="J13777" s="21" t="n">
        <v>0</v>
      </c>
      <c r="K13777" s="21" t="n">
        <v>0</v>
      </c>
      <c r="L13777" s="21" t="n">
        <v>0</v>
      </c>
      <c r="M13777" s="21" t="n">
        <v>0</v>
      </c>
      <c r="N13777" s="21" t="n">
        <v>0</v>
      </c>
      <c r="O13777" s="21" t="n">
        <v>0</v>
      </c>
      <c r="P13777" s="21" t="n">
        <v>0</v>
      </c>
      <c r="Q13777" s="21" t="n">
        <v>0</v>
      </c>
      <c r="R13777" s="21" t="n">
        <v>0</v>
      </c>
      <c r="S13777" s="21" t="n">
        <v>0</v>
      </c>
      <c r="T13777" s="21" t="n">
        <v>0</v>
      </c>
      <c r="U13777" s="21" t="n">
        <v>0</v>
      </c>
      <c r="V13777" s="21" t="n">
        <v>0</v>
      </c>
      <c r="W13777" s="21" t="n">
        <v>0</v>
      </c>
      <c r="X13777" s="21" t="n">
        <v>0</v>
      </c>
      <c r="Y13777" s="21" t="n">
        <v>0</v>
      </c>
      <c r="Z13777" s="19" t="n"/>
    </row>
    <row r="13778">
      <c r="D13778" s="21">
        <f>-$B$12189</f>
        <v/>
      </c>
      <c r="E13778" s="21">
        <f>-$B$12190</f>
        <v/>
      </c>
      <c r="F13778" s="21">
        <f>2*$B$12189+$D$13765</f>
        <v/>
      </c>
      <c r="G13778" s="21">
        <f>0</f>
        <v/>
      </c>
      <c r="H13778" s="21">
        <f>-$B$12189</f>
        <v/>
      </c>
      <c r="I13778" s="21">
        <f>$B$12190</f>
        <v/>
      </c>
      <c r="J13778" s="21" t="n">
        <v>0</v>
      </c>
      <c r="K13778" s="21" t="n">
        <v>0</v>
      </c>
      <c r="L13778" s="21" t="n">
        <v>0</v>
      </c>
      <c r="M13778" s="21" t="n">
        <v>0</v>
      </c>
      <c r="N13778" s="21" t="n">
        <v>0</v>
      </c>
      <c r="O13778" s="21" t="n">
        <v>0</v>
      </c>
      <c r="P13778" s="21" t="n">
        <v>0</v>
      </c>
      <c r="Q13778" s="21" t="n">
        <v>0</v>
      </c>
      <c r="R13778" s="21" t="n">
        <v>0</v>
      </c>
      <c r="S13778" s="21" t="n">
        <v>0</v>
      </c>
      <c r="T13778" s="21" t="n">
        <v>0</v>
      </c>
      <c r="U13778" s="21" t="n">
        <v>0</v>
      </c>
      <c r="V13778" s="21" t="n">
        <v>0</v>
      </c>
      <c r="W13778" s="21" t="n">
        <v>0</v>
      </c>
      <c r="X13778" s="21" t="n">
        <v>0</v>
      </c>
      <c r="Y13778" s="21" t="n">
        <v>0</v>
      </c>
      <c r="Z13778" s="19" t="n"/>
    </row>
    <row r="13779">
      <c r="D13779" s="21">
        <f>$B$12190</f>
        <v/>
      </c>
      <c r="E13779" s="21">
        <f>$B$12192</f>
        <v/>
      </c>
      <c r="F13779" s="21">
        <f>0</f>
        <v/>
      </c>
      <c r="G13779" s="21">
        <f>2*$B$12191</f>
        <v/>
      </c>
      <c r="H13779" s="21">
        <f>-$B$12190</f>
        <v/>
      </c>
      <c r="I13779" s="21">
        <f>$B$12192</f>
        <v/>
      </c>
      <c r="J13779" s="21" t="n">
        <v>0</v>
      </c>
      <c r="K13779" s="21" t="n">
        <v>0</v>
      </c>
      <c r="L13779" s="21" t="n">
        <v>0</v>
      </c>
      <c r="M13779" s="21" t="n">
        <v>0</v>
      </c>
      <c r="N13779" s="21" t="n">
        <v>0</v>
      </c>
      <c r="O13779" s="21" t="n">
        <v>0</v>
      </c>
      <c r="P13779" s="21" t="n">
        <v>0</v>
      </c>
      <c r="Q13779" s="21" t="n">
        <v>0</v>
      </c>
      <c r="R13779" s="21" t="n">
        <v>0</v>
      </c>
      <c r="S13779" s="21" t="n">
        <v>0</v>
      </c>
      <c r="T13779" s="21" t="n">
        <v>0</v>
      </c>
      <c r="U13779" s="21" t="n">
        <v>0</v>
      </c>
      <c r="V13779" s="21" t="n">
        <v>0</v>
      </c>
      <c r="W13779" s="21" t="n">
        <v>0</v>
      </c>
      <c r="X13779" s="21" t="n">
        <v>0</v>
      </c>
      <c r="Y13779" s="21" t="n">
        <v>0</v>
      </c>
      <c r="Z13779" s="19" t="n"/>
    </row>
    <row r="13780">
      <c r="D13780" s="21" t="n">
        <v>0</v>
      </c>
      <c r="E13780" s="21" t="n">
        <v>0</v>
      </c>
      <c r="F13780" s="21">
        <f>-$B$12189</f>
        <v/>
      </c>
      <c r="G13780" s="21">
        <f>-$B$12190</f>
        <v/>
      </c>
      <c r="H13780" s="21">
        <f>2*$B$12189+$D$13766</f>
        <v/>
      </c>
      <c r="I13780" s="21">
        <f>0</f>
        <v/>
      </c>
      <c r="J13780" s="21">
        <f>-$B$12189</f>
        <v/>
      </c>
      <c r="K13780" s="21">
        <f>$B$12190</f>
        <v/>
      </c>
      <c r="L13780" s="21" t="n">
        <v>0</v>
      </c>
      <c r="M13780" s="21" t="n">
        <v>0</v>
      </c>
      <c r="N13780" s="21" t="n">
        <v>0</v>
      </c>
      <c r="O13780" s="21" t="n">
        <v>0</v>
      </c>
      <c r="P13780" s="21" t="n">
        <v>0</v>
      </c>
      <c r="Q13780" s="21" t="n">
        <v>0</v>
      </c>
      <c r="R13780" s="21" t="n">
        <v>0</v>
      </c>
      <c r="S13780" s="21" t="n">
        <v>0</v>
      </c>
      <c r="T13780" s="21" t="n">
        <v>0</v>
      </c>
      <c r="U13780" s="21" t="n">
        <v>0</v>
      </c>
      <c r="V13780" s="21" t="n">
        <v>0</v>
      </c>
      <c r="W13780" s="21" t="n">
        <v>0</v>
      </c>
      <c r="X13780" s="21" t="n">
        <v>0</v>
      </c>
      <c r="Y13780" s="21" t="n">
        <v>0</v>
      </c>
      <c r="Z13780" s="19" t="n"/>
    </row>
    <row r="13781">
      <c r="D13781" s="21" t="n">
        <v>0</v>
      </c>
      <c r="E13781" s="21" t="n">
        <v>0</v>
      </c>
      <c r="F13781" s="21">
        <f>$B$12190</f>
        <v/>
      </c>
      <c r="G13781" s="21">
        <f>$B$12192</f>
        <v/>
      </c>
      <c r="H13781" s="21">
        <f>0</f>
        <v/>
      </c>
      <c r="I13781" s="21">
        <f>2*$B$12191</f>
        <v/>
      </c>
      <c r="J13781" s="21">
        <f>-$B$12190</f>
        <v/>
      </c>
      <c r="K13781" s="21">
        <f>$B$12192</f>
        <v/>
      </c>
      <c r="L13781" s="21" t="n">
        <v>0</v>
      </c>
      <c r="M13781" s="21" t="n">
        <v>0</v>
      </c>
      <c r="N13781" s="21" t="n">
        <v>0</v>
      </c>
      <c r="O13781" s="21" t="n">
        <v>0</v>
      </c>
      <c r="P13781" s="21" t="n">
        <v>0</v>
      </c>
      <c r="Q13781" s="21" t="n">
        <v>0</v>
      </c>
      <c r="R13781" s="21" t="n">
        <v>0</v>
      </c>
      <c r="S13781" s="21" t="n">
        <v>0</v>
      </c>
      <c r="T13781" s="21" t="n">
        <v>0</v>
      </c>
      <c r="U13781" s="21" t="n">
        <v>0</v>
      </c>
      <c r="V13781" s="21" t="n">
        <v>0</v>
      </c>
      <c r="W13781" s="21" t="n">
        <v>0</v>
      </c>
      <c r="X13781" s="21" t="n">
        <v>0</v>
      </c>
      <c r="Y13781" s="21" t="n">
        <v>0</v>
      </c>
      <c r="Z13781" s="19" t="n"/>
    </row>
    <row r="13782">
      <c r="D13782" s="21" t="n">
        <v>0</v>
      </c>
      <c r="E13782" s="21" t="n">
        <v>0</v>
      </c>
      <c r="F13782" s="21" t="n">
        <v>0</v>
      </c>
      <c r="G13782" s="21" t="n">
        <v>0</v>
      </c>
      <c r="H13782" s="21">
        <f>-$B$12189</f>
        <v/>
      </c>
      <c r="I13782" s="21">
        <f>-$B$12190</f>
        <v/>
      </c>
      <c r="J13782" s="21">
        <f>2*$B$12189+$D$13767</f>
        <v/>
      </c>
      <c r="K13782" s="21">
        <f>0</f>
        <v/>
      </c>
      <c r="L13782" s="21">
        <f>-$B$12189</f>
        <v/>
      </c>
      <c r="M13782" s="21">
        <f>$B$12190</f>
        <v/>
      </c>
      <c r="N13782" s="21" t="n">
        <v>0</v>
      </c>
      <c r="O13782" s="21" t="n">
        <v>0</v>
      </c>
      <c r="P13782" s="21" t="n">
        <v>0</v>
      </c>
      <c r="Q13782" s="21" t="n">
        <v>0</v>
      </c>
      <c r="R13782" s="21" t="n">
        <v>0</v>
      </c>
      <c r="S13782" s="21" t="n">
        <v>0</v>
      </c>
      <c r="T13782" s="21" t="n">
        <v>0</v>
      </c>
      <c r="U13782" s="21" t="n">
        <v>0</v>
      </c>
      <c r="V13782" s="21" t="n">
        <v>0</v>
      </c>
      <c r="W13782" s="21" t="n">
        <v>0</v>
      </c>
      <c r="X13782" s="21" t="n">
        <v>0</v>
      </c>
      <c r="Y13782" s="21" t="n">
        <v>0</v>
      </c>
      <c r="Z13782" s="19" t="n"/>
    </row>
    <row r="13783">
      <c r="D13783" s="21" t="n">
        <v>0</v>
      </c>
      <c r="E13783" s="21" t="n">
        <v>0</v>
      </c>
      <c r="F13783" s="21" t="n">
        <v>0</v>
      </c>
      <c r="G13783" s="21" t="n">
        <v>0</v>
      </c>
      <c r="H13783" s="21">
        <f>$B$12190</f>
        <v/>
      </c>
      <c r="I13783" s="21">
        <f>$B$12192</f>
        <v/>
      </c>
      <c r="J13783" s="21">
        <f>0</f>
        <v/>
      </c>
      <c r="K13783" s="21">
        <f>2*$B$12191</f>
        <v/>
      </c>
      <c r="L13783" s="21">
        <f>-$B$12190</f>
        <v/>
      </c>
      <c r="M13783" s="21">
        <f>$B$12192</f>
        <v/>
      </c>
      <c r="N13783" s="21" t="n">
        <v>0</v>
      </c>
      <c r="O13783" s="21" t="n">
        <v>0</v>
      </c>
      <c r="P13783" s="21" t="n">
        <v>0</v>
      </c>
      <c r="Q13783" s="21" t="n">
        <v>0</v>
      </c>
      <c r="R13783" s="21" t="n">
        <v>0</v>
      </c>
      <c r="S13783" s="21" t="n">
        <v>0</v>
      </c>
      <c r="T13783" s="21" t="n">
        <v>0</v>
      </c>
      <c r="U13783" s="21" t="n">
        <v>0</v>
      </c>
      <c r="V13783" s="21" t="n">
        <v>0</v>
      </c>
      <c r="W13783" s="21" t="n">
        <v>0</v>
      </c>
      <c r="X13783" s="21" t="n">
        <v>0</v>
      </c>
      <c r="Y13783" s="21" t="n">
        <v>0</v>
      </c>
      <c r="Z13783" s="19" t="n"/>
    </row>
    <row r="13784">
      <c r="D13784" s="21" t="n">
        <v>0</v>
      </c>
      <c r="E13784" s="21" t="n">
        <v>0</v>
      </c>
      <c r="F13784" s="21" t="n">
        <v>0</v>
      </c>
      <c r="G13784" s="21" t="n">
        <v>0</v>
      </c>
      <c r="H13784" s="21" t="n">
        <v>0</v>
      </c>
      <c r="I13784" s="21" t="n">
        <v>0</v>
      </c>
      <c r="J13784" s="21">
        <f>-$B$12189</f>
        <v/>
      </c>
      <c r="K13784" s="21">
        <f>-$B$12190</f>
        <v/>
      </c>
      <c r="L13784" s="21">
        <f>2*$B$12189+$D$13768</f>
        <v/>
      </c>
      <c r="M13784" s="21">
        <f>0</f>
        <v/>
      </c>
      <c r="N13784" s="21">
        <f>-$B$12189</f>
        <v/>
      </c>
      <c r="O13784" s="21">
        <f>$B$12190</f>
        <v/>
      </c>
      <c r="P13784" s="21" t="n">
        <v>0</v>
      </c>
      <c r="Q13784" s="21" t="n">
        <v>0</v>
      </c>
      <c r="R13784" s="21" t="n">
        <v>0</v>
      </c>
      <c r="S13784" s="21" t="n">
        <v>0</v>
      </c>
      <c r="T13784" s="21" t="n">
        <v>0</v>
      </c>
      <c r="U13784" s="21" t="n">
        <v>0</v>
      </c>
      <c r="V13784" s="21" t="n">
        <v>0</v>
      </c>
      <c r="W13784" s="21" t="n">
        <v>0</v>
      </c>
      <c r="X13784" s="21" t="n">
        <v>0</v>
      </c>
      <c r="Y13784" s="21" t="n">
        <v>0</v>
      </c>
      <c r="Z13784" s="19" t="n"/>
    </row>
    <row r="13785">
      <c r="D13785" s="21" t="n">
        <v>0</v>
      </c>
      <c r="E13785" s="21" t="n">
        <v>0</v>
      </c>
      <c r="F13785" s="21" t="n">
        <v>0</v>
      </c>
      <c r="G13785" s="21" t="n">
        <v>0</v>
      </c>
      <c r="H13785" s="21" t="n">
        <v>0</v>
      </c>
      <c r="I13785" s="21" t="n">
        <v>0</v>
      </c>
      <c r="J13785" s="21">
        <f>$B$12190</f>
        <v/>
      </c>
      <c r="K13785" s="21">
        <f>$B$12192</f>
        <v/>
      </c>
      <c r="L13785" s="21">
        <f>0</f>
        <v/>
      </c>
      <c r="M13785" s="21">
        <f>2*$B$12191</f>
        <v/>
      </c>
      <c r="N13785" s="21">
        <f>-$B$12190</f>
        <v/>
      </c>
      <c r="O13785" s="21">
        <f>$B$12192</f>
        <v/>
      </c>
      <c r="P13785" s="21" t="n">
        <v>0</v>
      </c>
      <c r="Q13785" s="21" t="n">
        <v>0</v>
      </c>
      <c r="R13785" s="21" t="n">
        <v>0</v>
      </c>
      <c r="S13785" s="21" t="n">
        <v>0</v>
      </c>
      <c r="T13785" s="21" t="n">
        <v>0</v>
      </c>
      <c r="U13785" s="21" t="n">
        <v>0</v>
      </c>
      <c r="V13785" s="21" t="n">
        <v>0</v>
      </c>
      <c r="W13785" s="21" t="n">
        <v>0</v>
      </c>
      <c r="X13785" s="21" t="n">
        <v>0</v>
      </c>
      <c r="Y13785" s="21" t="n">
        <v>0</v>
      </c>
      <c r="Z13785" s="19" t="n"/>
    </row>
    <row r="13786">
      <c r="D13786" s="21" t="n">
        <v>0</v>
      </c>
      <c r="E13786" s="21" t="n">
        <v>0</v>
      </c>
      <c r="F13786" s="21" t="n">
        <v>0</v>
      </c>
      <c r="G13786" s="21" t="n">
        <v>0</v>
      </c>
      <c r="H13786" s="21" t="n">
        <v>0</v>
      </c>
      <c r="I13786" s="21" t="n">
        <v>0</v>
      </c>
      <c r="J13786" s="21" t="n">
        <v>0</v>
      </c>
      <c r="K13786" s="21" t="n">
        <v>0</v>
      </c>
      <c r="L13786" s="21">
        <f>-$B$12189</f>
        <v/>
      </c>
      <c r="M13786" s="21">
        <f>-$B$12190</f>
        <v/>
      </c>
      <c r="N13786" s="21">
        <f>2*$B$12189+$D$13769</f>
        <v/>
      </c>
      <c r="O13786" s="21">
        <f>0</f>
        <v/>
      </c>
      <c r="P13786" s="21">
        <f>-$B$12189</f>
        <v/>
      </c>
      <c r="Q13786" s="21">
        <f>$B$12190</f>
        <v/>
      </c>
      <c r="R13786" s="21" t="n">
        <v>0</v>
      </c>
      <c r="S13786" s="21" t="n">
        <v>0</v>
      </c>
      <c r="T13786" s="21" t="n">
        <v>0</v>
      </c>
      <c r="U13786" s="21" t="n">
        <v>0</v>
      </c>
      <c r="V13786" s="21" t="n">
        <v>0</v>
      </c>
      <c r="W13786" s="21" t="n">
        <v>0</v>
      </c>
      <c r="X13786" s="21" t="n">
        <v>0</v>
      </c>
      <c r="Y13786" s="21" t="n">
        <v>0</v>
      </c>
      <c r="Z13786" s="19" t="n"/>
    </row>
    <row r="13787">
      <c r="D13787" s="21" t="n">
        <v>0</v>
      </c>
      <c r="E13787" s="21" t="n">
        <v>0</v>
      </c>
      <c r="F13787" s="21" t="n">
        <v>0</v>
      </c>
      <c r="G13787" s="21" t="n">
        <v>0</v>
      </c>
      <c r="H13787" s="21" t="n">
        <v>0</v>
      </c>
      <c r="I13787" s="21" t="n">
        <v>0</v>
      </c>
      <c r="J13787" s="21" t="n">
        <v>0</v>
      </c>
      <c r="K13787" s="21" t="n">
        <v>0</v>
      </c>
      <c r="L13787" s="21">
        <f>$B$12190</f>
        <v/>
      </c>
      <c r="M13787" s="21">
        <f>$B$12192</f>
        <v/>
      </c>
      <c r="N13787" s="21">
        <f>0</f>
        <v/>
      </c>
      <c r="O13787" s="21">
        <f>2*$B$12191</f>
        <v/>
      </c>
      <c r="P13787" s="21">
        <f>-$B$12190</f>
        <v/>
      </c>
      <c r="Q13787" s="21">
        <f>$B$12192</f>
        <v/>
      </c>
      <c r="R13787" s="21" t="n">
        <v>0</v>
      </c>
      <c r="S13787" s="21" t="n">
        <v>0</v>
      </c>
      <c r="T13787" s="21" t="n">
        <v>0</v>
      </c>
      <c r="U13787" s="21" t="n">
        <v>0</v>
      </c>
      <c r="V13787" s="21" t="n">
        <v>0</v>
      </c>
      <c r="W13787" s="21" t="n">
        <v>0</v>
      </c>
      <c r="X13787" s="21" t="n">
        <v>0</v>
      </c>
      <c r="Y13787" s="21" t="n">
        <v>0</v>
      </c>
      <c r="Z13787" s="19" t="n"/>
    </row>
    <row r="13788">
      <c r="D13788" s="21" t="n">
        <v>0</v>
      </c>
      <c r="E13788" s="21" t="n">
        <v>0</v>
      </c>
      <c r="F13788" s="21" t="n">
        <v>0</v>
      </c>
      <c r="G13788" s="21" t="n">
        <v>0</v>
      </c>
      <c r="H13788" s="21" t="n">
        <v>0</v>
      </c>
      <c r="I13788" s="21" t="n">
        <v>0</v>
      </c>
      <c r="J13788" s="21" t="n">
        <v>0</v>
      </c>
      <c r="K13788" s="21" t="n">
        <v>0</v>
      </c>
      <c r="L13788" s="21" t="n">
        <v>0</v>
      </c>
      <c r="M13788" s="21" t="n">
        <v>0</v>
      </c>
      <c r="N13788" s="21">
        <f>-$B$12189</f>
        <v/>
      </c>
      <c r="O13788" s="21">
        <f>-$B$12190</f>
        <v/>
      </c>
      <c r="P13788" s="21">
        <f>2*$B$12189+$D$13770</f>
        <v/>
      </c>
      <c r="Q13788" s="21">
        <f>0</f>
        <v/>
      </c>
      <c r="R13788" s="21">
        <f>-$B$12189</f>
        <v/>
      </c>
      <c r="S13788" s="21">
        <f>$B$12190</f>
        <v/>
      </c>
      <c r="T13788" s="21" t="n">
        <v>0</v>
      </c>
      <c r="U13788" s="21" t="n">
        <v>0</v>
      </c>
      <c r="V13788" s="21" t="n">
        <v>0</v>
      </c>
      <c r="W13788" s="21" t="n">
        <v>0</v>
      </c>
      <c r="X13788" s="21" t="n">
        <v>0</v>
      </c>
      <c r="Y13788" s="21" t="n">
        <v>0</v>
      </c>
      <c r="Z13788" s="19" t="n"/>
    </row>
    <row r="13789">
      <c r="D13789" s="21" t="n">
        <v>0</v>
      </c>
      <c r="E13789" s="21" t="n">
        <v>0</v>
      </c>
      <c r="F13789" s="21" t="n">
        <v>0</v>
      </c>
      <c r="G13789" s="21" t="n">
        <v>0</v>
      </c>
      <c r="H13789" s="21" t="n">
        <v>0</v>
      </c>
      <c r="I13789" s="21" t="n">
        <v>0</v>
      </c>
      <c r="J13789" s="21" t="n">
        <v>0</v>
      </c>
      <c r="K13789" s="21" t="n">
        <v>0</v>
      </c>
      <c r="L13789" s="21" t="n">
        <v>0</v>
      </c>
      <c r="M13789" s="21" t="n">
        <v>0</v>
      </c>
      <c r="N13789" s="21">
        <f>$B$12190</f>
        <v/>
      </c>
      <c r="O13789" s="21">
        <f>$B$12192</f>
        <v/>
      </c>
      <c r="P13789" s="21">
        <f>0</f>
        <v/>
      </c>
      <c r="Q13789" s="21">
        <f>2*$B$12191</f>
        <v/>
      </c>
      <c r="R13789" s="21">
        <f>-$B$12190</f>
        <v/>
      </c>
      <c r="S13789" s="21">
        <f>$B$12192</f>
        <v/>
      </c>
      <c r="T13789" s="21" t="n">
        <v>0</v>
      </c>
      <c r="U13789" s="21" t="n">
        <v>0</v>
      </c>
      <c r="V13789" s="21" t="n">
        <v>0</v>
      </c>
      <c r="W13789" s="21" t="n">
        <v>0</v>
      </c>
      <c r="X13789" s="21" t="n">
        <v>0</v>
      </c>
      <c r="Y13789" s="21" t="n">
        <v>0</v>
      </c>
      <c r="Z13789" s="19" t="n"/>
    </row>
    <row r="13790">
      <c r="D13790" s="21" t="n">
        <v>0</v>
      </c>
      <c r="E13790" s="21" t="n">
        <v>0</v>
      </c>
      <c r="F13790" s="21" t="n">
        <v>0</v>
      </c>
      <c r="G13790" s="21" t="n">
        <v>0</v>
      </c>
      <c r="H13790" s="21" t="n">
        <v>0</v>
      </c>
      <c r="I13790" s="21" t="n">
        <v>0</v>
      </c>
      <c r="J13790" s="21" t="n">
        <v>0</v>
      </c>
      <c r="K13790" s="21" t="n">
        <v>0</v>
      </c>
      <c r="L13790" s="21" t="n">
        <v>0</v>
      </c>
      <c r="M13790" s="21" t="n">
        <v>0</v>
      </c>
      <c r="N13790" s="21" t="n">
        <v>0</v>
      </c>
      <c r="O13790" s="21" t="n">
        <v>0</v>
      </c>
      <c r="P13790" s="21">
        <f>-$B$12189</f>
        <v/>
      </c>
      <c r="Q13790" s="21">
        <f>-$B$12190</f>
        <v/>
      </c>
      <c r="R13790" s="21">
        <f>2*$B$12189+$D$13771</f>
        <v/>
      </c>
      <c r="S13790" s="21">
        <f>0</f>
        <v/>
      </c>
      <c r="T13790" s="21">
        <f>-$B$12189</f>
        <v/>
      </c>
      <c r="U13790" s="21">
        <f>$B$12190</f>
        <v/>
      </c>
      <c r="V13790" s="21" t="n">
        <v>0</v>
      </c>
      <c r="W13790" s="21" t="n">
        <v>0</v>
      </c>
      <c r="X13790" s="21" t="n">
        <v>0</v>
      </c>
      <c r="Y13790" s="21" t="n">
        <v>0</v>
      </c>
      <c r="Z13790" s="19" t="n"/>
    </row>
    <row r="13791">
      <c r="D13791" s="21" t="n">
        <v>0</v>
      </c>
      <c r="E13791" s="21" t="n">
        <v>0</v>
      </c>
      <c r="F13791" s="21" t="n">
        <v>0</v>
      </c>
      <c r="G13791" s="21" t="n">
        <v>0</v>
      </c>
      <c r="H13791" s="21" t="n">
        <v>0</v>
      </c>
      <c r="I13791" s="21" t="n">
        <v>0</v>
      </c>
      <c r="J13791" s="21" t="n">
        <v>0</v>
      </c>
      <c r="K13791" s="21" t="n">
        <v>0</v>
      </c>
      <c r="L13791" s="21" t="n">
        <v>0</v>
      </c>
      <c r="M13791" s="21" t="n">
        <v>0</v>
      </c>
      <c r="N13791" s="21" t="n">
        <v>0</v>
      </c>
      <c r="O13791" s="21" t="n">
        <v>0</v>
      </c>
      <c r="P13791" s="21">
        <f>$B$12190</f>
        <v/>
      </c>
      <c r="Q13791" s="21">
        <f>$B$12192</f>
        <v/>
      </c>
      <c r="R13791" s="21">
        <f>0</f>
        <v/>
      </c>
      <c r="S13791" s="21">
        <f>2*$B$12191</f>
        <v/>
      </c>
      <c r="T13791" s="21">
        <f>-$B$12190</f>
        <v/>
      </c>
      <c r="U13791" s="21">
        <f>$B$12192</f>
        <v/>
      </c>
      <c r="V13791" s="21" t="n">
        <v>0</v>
      </c>
      <c r="W13791" s="21" t="n">
        <v>0</v>
      </c>
      <c r="X13791" s="21" t="n">
        <v>0</v>
      </c>
      <c r="Y13791" s="21" t="n">
        <v>0</v>
      </c>
      <c r="Z13791" s="19" t="n"/>
    </row>
    <row r="13792">
      <c r="D13792" s="21" t="n">
        <v>0</v>
      </c>
      <c r="E13792" s="21" t="n">
        <v>0</v>
      </c>
      <c r="F13792" s="21" t="n">
        <v>0</v>
      </c>
      <c r="G13792" s="21" t="n">
        <v>0</v>
      </c>
      <c r="H13792" s="21" t="n">
        <v>0</v>
      </c>
      <c r="I13792" s="21" t="n">
        <v>0</v>
      </c>
      <c r="J13792" s="21" t="n">
        <v>0</v>
      </c>
      <c r="K13792" s="21" t="n">
        <v>0</v>
      </c>
      <c r="L13792" s="21" t="n">
        <v>0</v>
      </c>
      <c r="M13792" s="21" t="n">
        <v>0</v>
      </c>
      <c r="N13792" s="21" t="n">
        <v>0</v>
      </c>
      <c r="O13792" s="21" t="n">
        <v>0</v>
      </c>
      <c r="P13792" s="21" t="n">
        <v>0</v>
      </c>
      <c r="Q13792" s="21" t="n">
        <v>0</v>
      </c>
      <c r="R13792" s="21">
        <f>-$B$12189</f>
        <v/>
      </c>
      <c r="S13792" s="21">
        <f>-$B$12190</f>
        <v/>
      </c>
      <c r="T13792" s="21">
        <f>2*$B$12189+$D$13772</f>
        <v/>
      </c>
      <c r="U13792" s="21">
        <f>0</f>
        <v/>
      </c>
      <c r="V13792" s="21">
        <f>-$B$12189</f>
        <v/>
      </c>
      <c r="W13792" s="21">
        <f>$B$12190</f>
        <v/>
      </c>
      <c r="X13792" s="21" t="n">
        <v>0</v>
      </c>
      <c r="Y13792" s="21" t="n">
        <v>0</v>
      </c>
      <c r="Z13792" s="19" t="n"/>
    </row>
    <row r="13793">
      <c r="D13793" s="21" t="n">
        <v>0</v>
      </c>
      <c r="E13793" s="21" t="n">
        <v>0</v>
      </c>
      <c r="F13793" s="21" t="n">
        <v>0</v>
      </c>
      <c r="G13793" s="21" t="n">
        <v>0</v>
      </c>
      <c r="H13793" s="21" t="n">
        <v>0</v>
      </c>
      <c r="I13793" s="21" t="n">
        <v>0</v>
      </c>
      <c r="J13793" s="21" t="n">
        <v>0</v>
      </c>
      <c r="K13793" s="21" t="n">
        <v>0</v>
      </c>
      <c r="L13793" s="21" t="n">
        <v>0</v>
      </c>
      <c r="M13793" s="21" t="n">
        <v>0</v>
      </c>
      <c r="N13793" s="21" t="n">
        <v>0</v>
      </c>
      <c r="O13793" s="21" t="n">
        <v>0</v>
      </c>
      <c r="P13793" s="21" t="n">
        <v>0</v>
      </c>
      <c r="Q13793" s="21" t="n">
        <v>0</v>
      </c>
      <c r="R13793" s="21">
        <f>$B$12190</f>
        <v/>
      </c>
      <c r="S13793" s="21">
        <f>$B$12192</f>
        <v/>
      </c>
      <c r="T13793" s="21">
        <f>0</f>
        <v/>
      </c>
      <c r="U13793" s="21">
        <f>2*$B$12191</f>
        <v/>
      </c>
      <c r="V13793" s="21">
        <f>-$B$12190</f>
        <v/>
      </c>
      <c r="W13793" s="21">
        <f>$B$12192</f>
        <v/>
      </c>
      <c r="X13793" s="21" t="n">
        <v>0</v>
      </c>
      <c r="Y13793" s="21" t="n">
        <v>0</v>
      </c>
      <c r="Z13793" s="19" t="n"/>
    </row>
    <row r="13794">
      <c r="D13794" s="21" t="n">
        <v>0</v>
      </c>
      <c r="E13794" s="21" t="n">
        <v>0</v>
      </c>
      <c r="F13794" s="21" t="n">
        <v>0</v>
      </c>
      <c r="G13794" s="21" t="n">
        <v>0</v>
      </c>
      <c r="H13794" s="21" t="n">
        <v>0</v>
      </c>
      <c r="I13794" s="21" t="n">
        <v>0</v>
      </c>
      <c r="J13794" s="21" t="n">
        <v>0</v>
      </c>
      <c r="K13794" s="21" t="n">
        <v>0</v>
      </c>
      <c r="L13794" s="21" t="n">
        <v>0</v>
      </c>
      <c r="M13794" s="21" t="n">
        <v>0</v>
      </c>
      <c r="N13794" s="21" t="n">
        <v>0</v>
      </c>
      <c r="O13794" s="21" t="n">
        <v>0</v>
      </c>
      <c r="P13794" s="21" t="n">
        <v>0</v>
      </c>
      <c r="Q13794" s="21" t="n">
        <v>0</v>
      </c>
      <c r="R13794" s="21" t="n">
        <v>0</v>
      </c>
      <c r="S13794" s="21" t="n">
        <v>0</v>
      </c>
      <c r="T13794" s="21">
        <f>-$B$12189</f>
        <v/>
      </c>
      <c r="U13794" s="21">
        <f>-$B$12190</f>
        <v/>
      </c>
      <c r="V13794" s="21">
        <f>2*$B$12189+$D$13773</f>
        <v/>
      </c>
      <c r="W13794" s="21">
        <f>0</f>
        <v/>
      </c>
      <c r="X13794" s="21">
        <f>-$B$12189</f>
        <v/>
      </c>
      <c r="Y13794" s="21">
        <f>$B$12190</f>
        <v/>
      </c>
      <c r="Z13794" s="19" t="n"/>
    </row>
    <row r="13795">
      <c r="D13795" s="21" t="n">
        <v>0</v>
      </c>
      <c r="E13795" s="21" t="n">
        <v>0</v>
      </c>
      <c r="F13795" s="21" t="n">
        <v>0</v>
      </c>
      <c r="G13795" s="21" t="n">
        <v>0</v>
      </c>
      <c r="H13795" s="21" t="n">
        <v>0</v>
      </c>
      <c r="I13795" s="21" t="n">
        <v>0</v>
      </c>
      <c r="J13795" s="21" t="n">
        <v>0</v>
      </c>
      <c r="K13795" s="21" t="n">
        <v>0</v>
      </c>
      <c r="L13795" s="21" t="n">
        <v>0</v>
      </c>
      <c r="M13795" s="21" t="n">
        <v>0</v>
      </c>
      <c r="N13795" s="21" t="n">
        <v>0</v>
      </c>
      <c r="O13795" s="21" t="n">
        <v>0</v>
      </c>
      <c r="P13795" s="21" t="n">
        <v>0</v>
      </c>
      <c r="Q13795" s="21" t="n">
        <v>0</v>
      </c>
      <c r="R13795" s="21" t="n">
        <v>0</v>
      </c>
      <c r="S13795" s="21" t="n">
        <v>0</v>
      </c>
      <c r="T13795" s="21">
        <f>$B$12190</f>
        <v/>
      </c>
      <c r="U13795" s="21">
        <f>$B$12192</f>
        <v/>
      </c>
      <c r="V13795" s="21">
        <f>0</f>
        <v/>
      </c>
      <c r="W13795" s="21">
        <f>2*$B$12191</f>
        <v/>
      </c>
      <c r="X13795" s="21">
        <f>-$B$12190</f>
        <v/>
      </c>
      <c r="Y13795" s="21">
        <f>$B$12192</f>
        <v/>
      </c>
      <c r="Z13795" s="19" t="n"/>
    </row>
    <row r="13796">
      <c r="D13796" s="21" t="n">
        <v>0</v>
      </c>
      <c r="E13796" s="21" t="n">
        <v>0</v>
      </c>
      <c r="F13796" s="21" t="n">
        <v>0</v>
      </c>
      <c r="G13796" s="21" t="n">
        <v>0</v>
      </c>
      <c r="H13796" s="21" t="n">
        <v>0</v>
      </c>
      <c r="I13796" s="21" t="n">
        <v>0</v>
      </c>
      <c r="J13796" s="21" t="n">
        <v>0</v>
      </c>
      <c r="K13796" s="21" t="n">
        <v>0</v>
      </c>
      <c r="L13796" s="21" t="n">
        <v>0</v>
      </c>
      <c r="M13796" s="21" t="n">
        <v>0</v>
      </c>
      <c r="N13796" s="21" t="n">
        <v>0</v>
      </c>
      <c r="O13796" s="21" t="n">
        <v>0</v>
      </c>
      <c r="P13796" s="21" t="n">
        <v>0</v>
      </c>
      <c r="Q13796" s="21" t="n">
        <v>0</v>
      </c>
      <c r="R13796" s="21" t="n">
        <v>0</v>
      </c>
      <c r="S13796" s="21" t="n">
        <v>0</v>
      </c>
      <c r="T13796" s="21" t="n">
        <v>0</v>
      </c>
      <c r="U13796" s="21" t="n">
        <v>0</v>
      </c>
      <c r="V13796" s="21">
        <f>-$B$12189</f>
        <v/>
      </c>
      <c r="W13796" s="21">
        <f>-$B$12190</f>
        <v/>
      </c>
      <c r="X13796" s="21">
        <f>$B$12189+$D$13774</f>
        <v/>
      </c>
      <c r="Y13796" s="21">
        <f>-$B$12190</f>
        <v/>
      </c>
      <c r="Z13796" s="19" t="n"/>
    </row>
    <row r="13797">
      <c r="D13797" s="21" t="n">
        <v>0</v>
      </c>
      <c r="E13797" s="21" t="n">
        <v>0</v>
      </c>
      <c r="F13797" s="21" t="n">
        <v>0</v>
      </c>
      <c r="G13797" s="21" t="n">
        <v>0</v>
      </c>
      <c r="H13797" s="21" t="n">
        <v>0</v>
      </c>
      <c r="I13797" s="21" t="n">
        <v>0</v>
      </c>
      <c r="J13797" s="21" t="n">
        <v>0</v>
      </c>
      <c r="K13797" s="21" t="n">
        <v>0</v>
      </c>
      <c r="L13797" s="21" t="n">
        <v>0</v>
      </c>
      <c r="M13797" s="21" t="n">
        <v>0</v>
      </c>
      <c r="N13797" s="21" t="n">
        <v>0</v>
      </c>
      <c r="O13797" s="21" t="n">
        <v>0</v>
      </c>
      <c r="P13797" s="21" t="n">
        <v>0</v>
      </c>
      <c r="Q13797" s="21" t="n">
        <v>0</v>
      </c>
      <c r="R13797" s="21" t="n">
        <v>0</v>
      </c>
      <c r="S13797" s="21" t="n">
        <v>0</v>
      </c>
      <c r="T13797" s="21" t="n">
        <v>0</v>
      </c>
      <c r="U13797" s="21" t="n">
        <v>0</v>
      </c>
      <c r="V13797" s="21">
        <f>$B$12190</f>
        <v/>
      </c>
      <c r="W13797" s="21">
        <f>$B$12192</f>
        <v/>
      </c>
      <c r="X13797" s="21">
        <f>-$B$12190</f>
        <v/>
      </c>
      <c r="Y13797" s="21">
        <f>$B$12191</f>
        <v/>
      </c>
      <c r="Z13797" s="19" t="n"/>
    </row>
    <row r="13799">
      <c r="A13799" s="8" t="inlineStr">
        <is>
          <t>gen 44</t>
        </is>
      </c>
    </row>
    <row r="13800">
      <c r="D13800" s="19">
        <f>IF(ABS(IF(ABS($E$13764)&gt;0.000000001,$E$13764,0.000000001))=0,0,IF($E$12204&lt;=$B$12198,0,IF(ABS(IF(ABS($E$13764)&gt;0.000000001,$E$13764,0.000000001))&gt;=8*$B$12200,$H$12204,0.5*$H$12204*(ABS(IF(ABS($E$13764)&gt;0.000000001,$E$13764,0.000000001))/$B$12200)^(1/3)))/ABS(IF(ABS($E$13764)&gt;0.000000001,$E$13764,0.000000001))*$I$12204)</f>
        <v/>
      </c>
      <c r="E13800" s="19">
        <f>0.5*$E$13764+0.5*$Z$13812</f>
        <v/>
      </c>
      <c r="F13800" s="19">
        <f>$Z$13813</f>
        <v/>
      </c>
    </row>
    <row r="13801">
      <c r="D13801" s="19">
        <f>IF(ABS(IF(ABS($E$13765)&gt;0.000000001,$E$13765,0.000000001))=0,0,IF($E$12205&lt;=$B$12198,0,IF(ABS(IF(ABS($E$13765)&gt;0.000000001,$E$13765,0.000000001))&gt;=8*$B$12200,$H$12205,0.5*$H$12205*(ABS(IF(ABS($E$13765)&gt;0.000000001,$E$13765,0.000000001))/$B$12200)^(1/3)))/ABS(IF(ABS($E$13765)&gt;0.000000001,$E$13765,0.000000001))*$I$12205)</f>
        <v/>
      </c>
      <c r="E13801" s="19">
        <f>0.5*$E$13765+0.5*$Z$13814</f>
        <v/>
      </c>
      <c r="F13801" s="19">
        <f>$Z$13815</f>
        <v/>
      </c>
    </row>
    <row r="13802">
      <c r="D13802" s="19">
        <f>IF(ABS(IF(ABS($E$13766)&gt;0.000000001,$E$13766,0.000000001))=0,0,IF($E$12206&lt;=$B$12198,0,IF(ABS(IF(ABS($E$13766)&gt;0.000000001,$E$13766,0.000000001))&gt;=8*$B$12200,$H$12206,0.5*$H$12206*(ABS(IF(ABS($E$13766)&gt;0.000000001,$E$13766,0.000000001))/$B$12200)^(1/3)))/ABS(IF(ABS($E$13766)&gt;0.000000001,$E$13766,0.000000001))*$I$12206)</f>
        <v/>
      </c>
      <c r="E13802" s="19">
        <f>0.5*$E$13766+0.5*$Z$13816</f>
        <v/>
      </c>
      <c r="F13802" s="19">
        <f>$Z$13817</f>
        <v/>
      </c>
    </row>
    <row r="13803">
      <c r="D13803" s="19">
        <f>IF(ABS(IF(ABS($E$13767)&gt;0.000000001,$E$13767,0.000000001))=0,0,IF($E$12207&lt;=$B$12198,0,IF(ABS(IF(ABS($E$13767)&gt;0.000000001,$E$13767,0.000000001))&gt;=8*$B$12200,$H$12207,0.5*$H$12207*(ABS(IF(ABS($E$13767)&gt;0.000000001,$E$13767,0.000000001))/$B$12200)^(1/3)))/ABS(IF(ABS($E$13767)&gt;0.000000001,$E$13767,0.000000001))*$I$12207)</f>
        <v/>
      </c>
      <c r="E13803" s="19">
        <f>0.5*$E$13767+0.5*$Z$13818</f>
        <v/>
      </c>
      <c r="F13803" s="19">
        <f>$Z$13819</f>
        <v/>
      </c>
    </row>
    <row r="13804">
      <c r="D13804" s="19">
        <f>IF(ABS(IF(ABS($E$13768)&gt;0.000000001,$E$13768,0.000000001))=0,0,IF($E$12208&lt;=$B$12198,0,IF(ABS(IF(ABS($E$13768)&gt;0.000000001,$E$13768,0.000000001))&gt;=8*$B$12200,$H$12208,0.5*$H$12208*(ABS(IF(ABS($E$13768)&gt;0.000000001,$E$13768,0.000000001))/$B$12200)^(1/3)))/ABS(IF(ABS($E$13768)&gt;0.000000001,$E$13768,0.000000001))*$I$12208)</f>
        <v/>
      </c>
      <c r="E13804" s="19">
        <f>0.5*$E$13768+0.5*$Z$13820</f>
        <v/>
      </c>
      <c r="F13804" s="19">
        <f>$Z$13821</f>
        <v/>
      </c>
    </row>
    <row r="13805">
      <c r="D13805" s="19">
        <f>IF(ABS(IF(ABS($E$13769)&gt;0.000000001,$E$13769,0.000000001))=0,0,IF($E$12209&lt;=$B$12198,0,IF(ABS(IF(ABS($E$13769)&gt;0.000000001,$E$13769,0.000000001))&gt;=8*$B$12200,$H$12209,0.5*$H$12209*(ABS(IF(ABS($E$13769)&gt;0.000000001,$E$13769,0.000000001))/$B$12200)^(1/3)))/ABS(IF(ABS($E$13769)&gt;0.000000001,$E$13769,0.000000001))*$I$12209)</f>
        <v/>
      </c>
      <c r="E13805" s="19">
        <f>0.5*$E$13769+0.5*$Z$13822</f>
        <v/>
      </c>
      <c r="F13805" s="19">
        <f>$Z$13823</f>
        <v/>
      </c>
    </row>
    <row r="13806">
      <c r="D13806" s="19">
        <f>IF(ABS(IF(ABS($E$13770)&gt;0.000000001,$E$13770,0.000000001))=0,0,IF($E$12210&lt;=$B$12198,0,IF(ABS(IF(ABS($E$13770)&gt;0.000000001,$E$13770,0.000000001))&gt;=8*$B$12200,$H$12210,0.5*$H$12210*(ABS(IF(ABS($E$13770)&gt;0.000000001,$E$13770,0.000000001))/$B$12200)^(1/3)))/ABS(IF(ABS($E$13770)&gt;0.000000001,$E$13770,0.000000001))*$I$12210)</f>
        <v/>
      </c>
      <c r="E13806" s="19">
        <f>0.5*$E$13770+0.5*$Z$13824</f>
        <v/>
      </c>
      <c r="F13806" s="19">
        <f>$Z$13825</f>
        <v/>
      </c>
    </row>
    <row r="13807">
      <c r="D13807" s="19">
        <f>IF(ABS(IF(ABS($E$13771)&gt;0.000000001,$E$13771,0.000000001))=0,0,IF($E$12211&lt;=$B$12198,0,IF(ABS(IF(ABS($E$13771)&gt;0.000000001,$E$13771,0.000000001))&gt;=8*$B$12200,$H$12211,0.5*$H$12211*(ABS(IF(ABS($E$13771)&gt;0.000000001,$E$13771,0.000000001))/$B$12200)^(1/3)))/ABS(IF(ABS($E$13771)&gt;0.000000001,$E$13771,0.000000001))*$I$12211)</f>
        <v/>
      </c>
      <c r="E13807" s="19">
        <f>0.5*$E$13771+0.5*$Z$13826</f>
        <v/>
      </c>
      <c r="F13807" s="19">
        <f>$Z$13827</f>
        <v/>
      </c>
    </row>
    <row r="13808">
      <c r="D13808" s="19">
        <f>IF(ABS(IF(ABS($E$13772)&gt;0.000000001,$E$13772,0.000000001))=0,0,IF($E$12212&lt;=$B$12198,0,IF(ABS(IF(ABS($E$13772)&gt;0.000000001,$E$13772,0.000000001))&gt;=8*$B$12200,$H$12212,0.5*$H$12212*(ABS(IF(ABS($E$13772)&gt;0.000000001,$E$13772,0.000000001))/$B$12200)^(1/3)))/ABS(IF(ABS($E$13772)&gt;0.000000001,$E$13772,0.000000001))*$I$12212)</f>
        <v/>
      </c>
      <c r="E13808" s="19">
        <f>0.5*$E$13772+0.5*$Z$13828</f>
        <v/>
      </c>
      <c r="F13808" s="19">
        <f>$Z$13829</f>
        <v/>
      </c>
    </row>
    <row r="13809">
      <c r="D13809" s="19">
        <f>IF(ABS(IF(ABS($E$13773)&gt;0.000000001,$E$13773,0.000000001))=0,0,IF($E$12213&lt;=$B$12198,0,IF(ABS(IF(ABS($E$13773)&gt;0.000000001,$E$13773,0.000000001))&gt;=8*$B$12200,$H$12213,0.5*$H$12213*(ABS(IF(ABS($E$13773)&gt;0.000000001,$E$13773,0.000000001))/$B$12200)^(1/3)))/ABS(IF(ABS($E$13773)&gt;0.000000001,$E$13773,0.000000001))*$I$12213)</f>
        <v/>
      </c>
      <c r="E13809" s="19">
        <f>0.5*$E$13773+0.5*$Z$13830</f>
        <v/>
      </c>
      <c r="F13809" s="19">
        <f>$Z$13831</f>
        <v/>
      </c>
    </row>
    <row r="13810">
      <c r="D13810" s="19">
        <f>IF(ABS(IF(ABS($E$13774)&gt;0.000000001,$E$13774,0.000000001))=0,0,IF($E$12214&lt;=$B$12198,0,IF(ABS(IF(ABS($E$13774)&gt;0.000000001,$E$13774,0.000000001))&gt;=8*$B$12200,$H$12214,0.5*$H$12214*(ABS(IF(ABS($E$13774)&gt;0.000000001,$E$13774,0.000000001))/$B$12200)^(1/3)))/ABS(IF(ABS($E$13774)&gt;0.000000001,$E$13774,0.000000001))*$I$12214)</f>
        <v/>
      </c>
      <c r="E13810" s="19">
        <f>0.5*$E$13774+0.5*$Z$13832</f>
        <v/>
      </c>
      <c r="F13810" s="19">
        <f>$Z$13833</f>
        <v/>
      </c>
    </row>
    <row r="13812">
      <c r="D13812" s="21">
        <f>$B$12189+$D$13800</f>
        <v/>
      </c>
      <c r="E13812" s="21">
        <f>$B$12190</f>
        <v/>
      </c>
      <c r="F13812" s="21">
        <f>-$B$12189</f>
        <v/>
      </c>
      <c r="G13812" s="21">
        <f>$B$12190</f>
        <v/>
      </c>
      <c r="H13812" s="21" t="n">
        <v>0</v>
      </c>
      <c r="I13812" s="21" t="n">
        <v>0</v>
      </c>
      <c r="J13812" s="21" t="n">
        <v>0</v>
      </c>
      <c r="K13812" s="21" t="n">
        <v>0</v>
      </c>
      <c r="L13812" s="21" t="n">
        <v>0</v>
      </c>
      <c r="M13812" s="21" t="n">
        <v>0</v>
      </c>
      <c r="N13812" s="21" t="n">
        <v>0</v>
      </c>
      <c r="O13812" s="21" t="n">
        <v>0</v>
      </c>
      <c r="P13812" s="21" t="n">
        <v>0</v>
      </c>
      <c r="Q13812" s="21" t="n">
        <v>0</v>
      </c>
      <c r="R13812" s="21" t="n">
        <v>0</v>
      </c>
      <c r="S13812" s="21" t="n">
        <v>0</v>
      </c>
      <c r="T13812" s="21" t="n">
        <v>0</v>
      </c>
      <c r="U13812" s="21" t="n">
        <v>0</v>
      </c>
      <c r="V13812" s="21" t="n">
        <v>0</v>
      </c>
      <c r="W13812" s="21" t="n">
        <v>0</v>
      </c>
      <c r="X13812" s="21" t="n">
        <v>0</v>
      </c>
      <c r="Y13812" s="21" t="n">
        <v>0</v>
      </c>
      <c r="Z13812" s="19">
        <f t="array" ref="Z13812:Z13833">MMULT(MINVERSE($D$13812:$Y$13833),$D$12216:$D$12237)</f>
        <v/>
      </c>
    </row>
    <row r="13813">
      <c r="D13813" s="21">
        <f>$B$12190</f>
        <v/>
      </c>
      <c r="E13813" s="21">
        <f>$B$12191</f>
        <v/>
      </c>
      <c r="F13813" s="21">
        <f>-$B$12190</f>
        <v/>
      </c>
      <c r="G13813" s="21">
        <f>$B$12192</f>
        <v/>
      </c>
      <c r="H13813" s="21" t="n">
        <v>0</v>
      </c>
      <c r="I13813" s="21" t="n">
        <v>0</v>
      </c>
      <c r="J13813" s="21" t="n">
        <v>0</v>
      </c>
      <c r="K13813" s="21" t="n">
        <v>0</v>
      </c>
      <c r="L13813" s="21" t="n">
        <v>0</v>
      </c>
      <c r="M13813" s="21" t="n">
        <v>0</v>
      </c>
      <c r="N13813" s="21" t="n">
        <v>0</v>
      </c>
      <c r="O13813" s="21" t="n">
        <v>0</v>
      </c>
      <c r="P13813" s="21" t="n">
        <v>0</v>
      </c>
      <c r="Q13813" s="21" t="n">
        <v>0</v>
      </c>
      <c r="R13813" s="21" t="n">
        <v>0</v>
      </c>
      <c r="S13813" s="21" t="n">
        <v>0</v>
      </c>
      <c r="T13813" s="21" t="n">
        <v>0</v>
      </c>
      <c r="U13813" s="21" t="n">
        <v>0</v>
      </c>
      <c r="V13813" s="21" t="n">
        <v>0</v>
      </c>
      <c r="W13813" s="21" t="n">
        <v>0</v>
      </c>
      <c r="X13813" s="21" t="n">
        <v>0</v>
      </c>
      <c r="Y13813" s="21" t="n">
        <v>0</v>
      </c>
      <c r="Z13813" s="19" t="n"/>
    </row>
    <row r="13814">
      <c r="D13814" s="21">
        <f>-$B$12189</f>
        <v/>
      </c>
      <c r="E13814" s="21">
        <f>-$B$12190</f>
        <v/>
      </c>
      <c r="F13814" s="21">
        <f>2*$B$12189+$D$13801</f>
        <v/>
      </c>
      <c r="G13814" s="21">
        <f>0</f>
        <v/>
      </c>
      <c r="H13814" s="21">
        <f>-$B$12189</f>
        <v/>
      </c>
      <c r="I13814" s="21">
        <f>$B$12190</f>
        <v/>
      </c>
      <c r="J13814" s="21" t="n">
        <v>0</v>
      </c>
      <c r="K13814" s="21" t="n">
        <v>0</v>
      </c>
      <c r="L13814" s="21" t="n">
        <v>0</v>
      </c>
      <c r="M13814" s="21" t="n">
        <v>0</v>
      </c>
      <c r="N13814" s="21" t="n">
        <v>0</v>
      </c>
      <c r="O13814" s="21" t="n">
        <v>0</v>
      </c>
      <c r="P13814" s="21" t="n">
        <v>0</v>
      </c>
      <c r="Q13814" s="21" t="n">
        <v>0</v>
      </c>
      <c r="R13814" s="21" t="n">
        <v>0</v>
      </c>
      <c r="S13814" s="21" t="n">
        <v>0</v>
      </c>
      <c r="T13814" s="21" t="n">
        <v>0</v>
      </c>
      <c r="U13814" s="21" t="n">
        <v>0</v>
      </c>
      <c r="V13814" s="21" t="n">
        <v>0</v>
      </c>
      <c r="W13814" s="21" t="n">
        <v>0</v>
      </c>
      <c r="X13814" s="21" t="n">
        <v>0</v>
      </c>
      <c r="Y13814" s="21" t="n">
        <v>0</v>
      </c>
      <c r="Z13814" s="19" t="n"/>
    </row>
    <row r="13815">
      <c r="D13815" s="21">
        <f>$B$12190</f>
        <v/>
      </c>
      <c r="E13815" s="21">
        <f>$B$12192</f>
        <v/>
      </c>
      <c r="F13815" s="21">
        <f>0</f>
        <v/>
      </c>
      <c r="G13815" s="21">
        <f>2*$B$12191</f>
        <v/>
      </c>
      <c r="H13815" s="21">
        <f>-$B$12190</f>
        <v/>
      </c>
      <c r="I13815" s="21">
        <f>$B$12192</f>
        <v/>
      </c>
      <c r="J13815" s="21" t="n">
        <v>0</v>
      </c>
      <c r="K13815" s="21" t="n">
        <v>0</v>
      </c>
      <c r="L13815" s="21" t="n">
        <v>0</v>
      </c>
      <c r="M13815" s="21" t="n">
        <v>0</v>
      </c>
      <c r="N13815" s="21" t="n">
        <v>0</v>
      </c>
      <c r="O13815" s="21" t="n">
        <v>0</v>
      </c>
      <c r="P13815" s="21" t="n">
        <v>0</v>
      </c>
      <c r="Q13815" s="21" t="n">
        <v>0</v>
      </c>
      <c r="R13815" s="21" t="n">
        <v>0</v>
      </c>
      <c r="S13815" s="21" t="n">
        <v>0</v>
      </c>
      <c r="T13815" s="21" t="n">
        <v>0</v>
      </c>
      <c r="U13815" s="21" t="n">
        <v>0</v>
      </c>
      <c r="V13815" s="21" t="n">
        <v>0</v>
      </c>
      <c r="W13815" s="21" t="n">
        <v>0</v>
      </c>
      <c r="X13815" s="21" t="n">
        <v>0</v>
      </c>
      <c r="Y13815" s="21" t="n">
        <v>0</v>
      </c>
      <c r="Z13815" s="19" t="n"/>
    </row>
    <row r="13816">
      <c r="D13816" s="21" t="n">
        <v>0</v>
      </c>
      <c r="E13816" s="21" t="n">
        <v>0</v>
      </c>
      <c r="F13816" s="21">
        <f>-$B$12189</f>
        <v/>
      </c>
      <c r="G13816" s="21">
        <f>-$B$12190</f>
        <v/>
      </c>
      <c r="H13816" s="21">
        <f>2*$B$12189+$D$13802</f>
        <v/>
      </c>
      <c r="I13816" s="21">
        <f>0</f>
        <v/>
      </c>
      <c r="J13816" s="21">
        <f>-$B$12189</f>
        <v/>
      </c>
      <c r="K13816" s="21">
        <f>$B$12190</f>
        <v/>
      </c>
      <c r="L13816" s="21" t="n">
        <v>0</v>
      </c>
      <c r="M13816" s="21" t="n">
        <v>0</v>
      </c>
      <c r="N13816" s="21" t="n">
        <v>0</v>
      </c>
      <c r="O13816" s="21" t="n">
        <v>0</v>
      </c>
      <c r="P13816" s="21" t="n">
        <v>0</v>
      </c>
      <c r="Q13816" s="21" t="n">
        <v>0</v>
      </c>
      <c r="R13816" s="21" t="n">
        <v>0</v>
      </c>
      <c r="S13816" s="21" t="n">
        <v>0</v>
      </c>
      <c r="T13816" s="21" t="n">
        <v>0</v>
      </c>
      <c r="U13816" s="21" t="n">
        <v>0</v>
      </c>
      <c r="V13816" s="21" t="n">
        <v>0</v>
      </c>
      <c r="W13816" s="21" t="n">
        <v>0</v>
      </c>
      <c r="X13816" s="21" t="n">
        <v>0</v>
      </c>
      <c r="Y13816" s="21" t="n">
        <v>0</v>
      </c>
      <c r="Z13816" s="19" t="n"/>
    </row>
    <row r="13817">
      <c r="D13817" s="21" t="n">
        <v>0</v>
      </c>
      <c r="E13817" s="21" t="n">
        <v>0</v>
      </c>
      <c r="F13817" s="21">
        <f>$B$12190</f>
        <v/>
      </c>
      <c r="G13817" s="21">
        <f>$B$12192</f>
        <v/>
      </c>
      <c r="H13817" s="21">
        <f>0</f>
        <v/>
      </c>
      <c r="I13817" s="21">
        <f>2*$B$12191</f>
        <v/>
      </c>
      <c r="J13817" s="21">
        <f>-$B$12190</f>
        <v/>
      </c>
      <c r="K13817" s="21">
        <f>$B$12192</f>
        <v/>
      </c>
      <c r="L13817" s="21" t="n">
        <v>0</v>
      </c>
      <c r="M13817" s="21" t="n">
        <v>0</v>
      </c>
      <c r="N13817" s="21" t="n">
        <v>0</v>
      </c>
      <c r="O13817" s="21" t="n">
        <v>0</v>
      </c>
      <c r="P13817" s="21" t="n">
        <v>0</v>
      </c>
      <c r="Q13817" s="21" t="n">
        <v>0</v>
      </c>
      <c r="R13817" s="21" t="n">
        <v>0</v>
      </c>
      <c r="S13817" s="21" t="n">
        <v>0</v>
      </c>
      <c r="T13817" s="21" t="n">
        <v>0</v>
      </c>
      <c r="U13817" s="21" t="n">
        <v>0</v>
      </c>
      <c r="V13817" s="21" t="n">
        <v>0</v>
      </c>
      <c r="W13817" s="21" t="n">
        <v>0</v>
      </c>
      <c r="X13817" s="21" t="n">
        <v>0</v>
      </c>
      <c r="Y13817" s="21" t="n">
        <v>0</v>
      </c>
      <c r="Z13817" s="19" t="n"/>
    </row>
    <row r="13818">
      <c r="D13818" s="21" t="n">
        <v>0</v>
      </c>
      <c r="E13818" s="21" t="n">
        <v>0</v>
      </c>
      <c r="F13818" s="21" t="n">
        <v>0</v>
      </c>
      <c r="G13818" s="21" t="n">
        <v>0</v>
      </c>
      <c r="H13818" s="21">
        <f>-$B$12189</f>
        <v/>
      </c>
      <c r="I13818" s="21">
        <f>-$B$12190</f>
        <v/>
      </c>
      <c r="J13818" s="21">
        <f>2*$B$12189+$D$13803</f>
        <v/>
      </c>
      <c r="K13818" s="21">
        <f>0</f>
        <v/>
      </c>
      <c r="L13818" s="21">
        <f>-$B$12189</f>
        <v/>
      </c>
      <c r="M13818" s="21">
        <f>$B$12190</f>
        <v/>
      </c>
      <c r="N13818" s="21" t="n">
        <v>0</v>
      </c>
      <c r="O13818" s="21" t="n">
        <v>0</v>
      </c>
      <c r="P13818" s="21" t="n">
        <v>0</v>
      </c>
      <c r="Q13818" s="21" t="n">
        <v>0</v>
      </c>
      <c r="R13818" s="21" t="n">
        <v>0</v>
      </c>
      <c r="S13818" s="21" t="n">
        <v>0</v>
      </c>
      <c r="T13818" s="21" t="n">
        <v>0</v>
      </c>
      <c r="U13818" s="21" t="n">
        <v>0</v>
      </c>
      <c r="V13818" s="21" t="n">
        <v>0</v>
      </c>
      <c r="W13818" s="21" t="n">
        <v>0</v>
      </c>
      <c r="X13818" s="21" t="n">
        <v>0</v>
      </c>
      <c r="Y13818" s="21" t="n">
        <v>0</v>
      </c>
      <c r="Z13818" s="19" t="n"/>
    </row>
    <row r="13819">
      <c r="D13819" s="21" t="n">
        <v>0</v>
      </c>
      <c r="E13819" s="21" t="n">
        <v>0</v>
      </c>
      <c r="F13819" s="21" t="n">
        <v>0</v>
      </c>
      <c r="G13819" s="21" t="n">
        <v>0</v>
      </c>
      <c r="H13819" s="21">
        <f>$B$12190</f>
        <v/>
      </c>
      <c r="I13819" s="21">
        <f>$B$12192</f>
        <v/>
      </c>
      <c r="J13819" s="21">
        <f>0</f>
        <v/>
      </c>
      <c r="K13819" s="21">
        <f>2*$B$12191</f>
        <v/>
      </c>
      <c r="L13819" s="21">
        <f>-$B$12190</f>
        <v/>
      </c>
      <c r="M13819" s="21">
        <f>$B$12192</f>
        <v/>
      </c>
      <c r="N13819" s="21" t="n">
        <v>0</v>
      </c>
      <c r="O13819" s="21" t="n">
        <v>0</v>
      </c>
      <c r="P13819" s="21" t="n">
        <v>0</v>
      </c>
      <c r="Q13819" s="21" t="n">
        <v>0</v>
      </c>
      <c r="R13819" s="21" t="n">
        <v>0</v>
      </c>
      <c r="S13819" s="21" t="n">
        <v>0</v>
      </c>
      <c r="T13819" s="21" t="n">
        <v>0</v>
      </c>
      <c r="U13819" s="21" t="n">
        <v>0</v>
      </c>
      <c r="V13819" s="21" t="n">
        <v>0</v>
      </c>
      <c r="W13819" s="21" t="n">
        <v>0</v>
      </c>
      <c r="X13819" s="21" t="n">
        <v>0</v>
      </c>
      <c r="Y13819" s="21" t="n">
        <v>0</v>
      </c>
      <c r="Z13819" s="19" t="n"/>
    </row>
    <row r="13820">
      <c r="D13820" s="21" t="n">
        <v>0</v>
      </c>
      <c r="E13820" s="21" t="n">
        <v>0</v>
      </c>
      <c r="F13820" s="21" t="n">
        <v>0</v>
      </c>
      <c r="G13820" s="21" t="n">
        <v>0</v>
      </c>
      <c r="H13820" s="21" t="n">
        <v>0</v>
      </c>
      <c r="I13820" s="21" t="n">
        <v>0</v>
      </c>
      <c r="J13820" s="21">
        <f>-$B$12189</f>
        <v/>
      </c>
      <c r="K13820" s="21">
        <f>-$B$12190</f>
        <v/>
      </c>
      <c r="L13820" s="21">
        <f>2*$B$12189+$D$13804</f>
        <v/>
      </c>
      <c r="M13820" s="21">
        <f>0</f>
        <v/>
      </c>
      <c r="N13820" s="21">
        <f>-$B$12189</f>
        <v/>
      </c>
      <c r="O13820" s="21">
        <f>$B$12190</f>
        <v/>
      </c>
      <c r="P13820" s="21" t="n">
        <v>0</v>
      </c>
      <c r="Q13820" s="21" t="n">
        <v>0</v>
      </c>
      <c r="R13820" s="21" t="n">
        <v>0</v>
      </c>
      <c r="S13820" s="21" t="n">
        <v>0</v>
      </c>
      <c r="T13820" s="21" t="n">
        <v>0</v>
      </c>
      <c r="U13820" s="21" t="n">
        <v>0</v>
      </c>
      <c r="V13820" s="21" t="n">
        <v>0</v>
      </c>
      <c r="W13820" s="21" t="n">
        <v>0</v>
      </c>
      <c r="X13820" s="21" t="n">
        <v>0</v>
      </c>
      <c r="Y13820" s="21" t="n">
        <v>0</v>
      </c>
      <c r="Z13820" s="19" t="n"/>
    </row>
    <row r="13821">
      <c r="D13821" s="21" t="n">
        <v>0</v>
      </c>
      <c r="E13821" s="21" t="n">
        <v>0</v>
      </c>
      <c r="F13821" s="21" t="n">
        <v>0</v>
      </c>
      <c r="G13821" s="21" t="n">
        <v>0</v>
      </c>
      <c r="H13821" s="21" t="n">
        <v>0</v>
      </c>
      <c r="I13821" s="21" t="n">
        <v>0</v>
      </c>
      <c r="J13821" s="21">
        <f>$B$12190</f>
        <v/>
      </c>
      <c r="K13821" s="21">
        <f>$B$12192</f>
        <v/>
      </c>
      <c r="L13821" s="21">
        <f>0</f>
        <v/>
      </c>
      <c r="M13821" s="21">
        <f>2*$B$12191</f>
        <v/>
      </c>
      <c r="N13821" s="21">
        <f>-$B$12190</f>
        <v/>
      </c>
      <c r="O13821" s="21">
        <f>$B$12192</f>
        <v/>
      </c>
      <c r="P13821" s="21" t="n">
        <v>0</v>
      </c>
      <c r="Q13821" s="21" t="n">
        <v>0</v>
      </c>
      <c r="R13821" s="21" t="n">
        <v>0</v>
      </c>
      <c r="S13821" s="21" t="n">
        <v>0</v>
      </c>
      <c r="T13821" s="21" t="n">
        <v>0</v>
      </c>
      <c r="U13821" s="21" t="n">
        <v>0</v>
      </c>
      <c r="V13821" s="21" t="n">
        <v>0</v>
      </c>
      <c r="W13821" s="21" t="n">
        <v>0</v>
      </c>
      <c r="X13821" s="21" t="n">
        <v>0</v>
      </c>
      <c r="Y13821" s="21" t="n">
        <v>0</v>
      </c>
      <c r="Z13821" s="19" t="n"/>
    </row>
    <row r="13822">
      <c r="D13822" s="21" t="n">
        <v>0</v>
      </c>
      <c r="E13822" s="21" t="n">
        <v>0</v>
      </c>
      <c r="F13822" s="21" t="n">
        <v>0</v>
      </c>
      <c r="G13822" s="21" t="n">
        <v>0</v>
      </c>
      <c r="H13822" s="21" t="n">
        <v>0</v>
      </c>
      <c r="I13822" s="21" t="n">
        <v>0</v>
      </c>
      <c r="J13822" s="21" t="n">
        <v>0</v>
      </c>
      <c r="K13822" s="21" t="n">
        <v>0</v>
      </c>
      <c r="L13822" s="21">
        <f>-$B$12189</f>
        <v/>
      </c>
      <c r="M13822" s="21">
        <f>-$B$12190</f>
        <v/>
      </c>
      <c r="N13822" s="21">
        <f>2*$B$12189+$D$13805</f>
        <v/>
      </c>
      <c r="O13822" s="21">
        <f>0</f>
        <v/>
      </c>
      <c r="P13822" s="21">
        <f>-$B$12189</f>
        <v/>
      </c>
      <c r="Q13822" s="21">
        <f>$B$12190</f>
        <v/>
      </c>
      <c r="R13822" s="21" t="n">
        <v>0</v>
      </c>
      <c r="S13822" s="21" t="n">
        <v>0</v>
      </c>
      <c r="T13822" s="21" t="n">
        <v>0</v>
      </c>
      <c r="U13822" s="21" t="n">
        <v>0</v>
      </c>
      <c r="V13822" s="21" t="n">
        <v>0</v>
      </c>
      <c r="W13822" s="21" t="n">
        <v>0</v>
      </c>
      <c r="X13822" s="21" t="n">
        <v>0</v>
      </c>
      <c r="Y13822" s="21" t="n">
        <v>0</v>
      </c>
      <c r="Z13822" s="19" t="n"/>
    </row>
    <row r="13823">
      <c r="D13823" s="21" t="n">
        <v>0</v>
      </c>
      <c r="E13823" s="21" t="n">
        <v>0</v>
      </c>
      <c r="F13823" s="21" t="n">
        <v>0</v>
      </c>
      <c r="G13823" s="21" t="n">
        <v>0</v>
      </c>
      <c r="H13823" s="21" t="n">
        <v>0</v>
      </c>
      <c r="I13823" s="21" t="n">
        <v>0</v>
      </c>
      <c r="J13823" s="21" t="n">
        <v>0</v>
      </c>
      <c r="K13823" s="21" t="n">
        <v>0</v>
      </c>
      <c r="L13823" s="21">
        <f>$B$12190</f>
        <v/>
      </c>
      <c r="M13823" s="21">
        <f>$B$12192</f>
        <v/>
      </c>
      <c r="N13823" s="21">
        <f>0</f>
        <v/>
      </c>
      <c r="O13823" s="21">
        <f>2*$B$12191</f>
        <v/>
      </c>
      <c r="P13823" s="21">
        <f>-$B$12190</f>
        <v/>
      </c>
      <c r="Q13823" s="21">
        <f>$B$12192</f>
        <v/>
      </c>
      <c r="R13823" s="21" t="n">
        <v>0</v>
      </c>
      <c r="S13823" s="21" t="n">
        <v>0</v>
      </c>
      <c r="T13823" s="21" t="n">
        <v>0</v>
      </c>
      <c r="U13823" s="21" t="n">
        <v>0</v>
      </c>
      <c r="V13823" s="21" t="n">
        <v>0</v>
      </c>
      <c r="W13823" s="21" t="n">
        <v>0</v>
      </c>
      <c r="X13823" s="21" t="n">
        <v>0</v>
      </c>
      <c r="Y13823" s="21" t="n">
        <v>0</v>
      </c>
      <c r="Z13823" s="19" t="n"/>
    </row>
    <row r="13824">
      <c r="D13824" s="21" t="n">
        <v>0</v>
      </c>
      <c r="E13824" s="21" t="n">
        <v>0</v>
      </c>
      <c r="F13824" s="21" t="n">
        <v>0</v>
      </c>
      <c r="G13824" s="21" t="n">
        <v>0</v>
      </c>
      <c r="H13824" s="21" t="n">
        <v>0</v>
      </c>
      <c r="I13824" s="21" t="n">
        <v>0</v>
      </c>
      <c r="J13824" s="21" t="n">
        <v>0</v>
      </c>
      <c r="K13824" s="21" t="n">
        <v>0</v>
      </c>
      <c r="L13824" s="21" t="n">
        <v>0</v>
      </c>
      <c r="M13824" s="21" t="n">
        <v>0</v>
      </c>
      <c r="N13824" s="21">
        <f>-$B$12189</f>
        <v/>
      </c>
      <c r="O13824" s="21">
        <f>-$B$12190</f>
        <v/>
      </c>
      <c r="P13824" s="21">
        <f>2*$B$12189+$D$13806</f>
        <v/>
      </c>
      <c r="Q13824" s="21">
        <f>0</f>
        <v/>
      </c>
      <c r="R13824" s="21">
        <f>-$B$12189</f>
        <v/>
      </c>
      <c r="S13824" s="21">
        <f>$B$12190</f>
        <v/>
      </c>
      <c r="T13824" s="21" t="n">
        <v>0</v>
      </c>
      <c r="U13824" s="21" t="n">
        <v>0</v>
      </c>
      <c r="V13824" s="21" t="n">
        <v>0</v>
      </c>
      <c r="W13824" s="21" t="n">
        <v>0</v>
      </c>
      <c r="X13824" s="21" t="n">
        <v>0</v>
      </c>
      <c r="Y13824" s="21" t="n">
        <v>0</v>
      </c>
      <c r="Z13824" s="19" t="n"/>
    </row>
    <row r="13825">
      <c r="D13825" s="21" t="n">
        <v>0</v>
      </c>
      <c r="E13825" s="21" t="n">
        <v>0</v>
      </c>
      <c r="F13825" s="21" t="n">
        <v>0</v>
      </c>
      <c r="G13825" s="21" t="n">
        <v>0</v>
      </c>
      <c r="H13825" s="21" t="n">
        <v>0</v>
      </c>
      <c r="I13825" s="21" t="n">
        <v>0</v>
      </c>
      <c r="J13825" s="21" t="n">
        <v>0</v>
      </c>
      <c r="K13825" s="21" t="n">
        <v>0</v>
      </c>
      <c r="L13825" s="21" t="n">
        <v>0</v>
      </c>
      <c r="M13825" s="21" t="n">
        <v>0</v>
      </c>
      <c r="N13825" s="21">
        <f>$B$12190</f>
        <v/>
      </c>
      <c r="O13825" s="21">
        <f>$B$12192</f>
        <v/>
      </c>
      <c r="P13825" s="21">
        <f>0</f>
        <v/>
      </c>
      <c r="Q13825" s="21">
        <f>2*$B$12191</f>
        <v/>
      </c>
      <c r="R13825" s="21">
        <f>-$B$12190</f>
        <v/>
      </c>
      <c r="S13825" s="21">
        <f>$B$12192</f>
        <v/>
      </c>
      <c r="T13825" s="21" t="n">
        <v>0</v>
      </c>
      <c r="U13825" s="21" t="n">
        <v>0</v>
      </c>
      <c r="V13825" s="21" t="n">
        <v>0</v>
      </c>
      <c r="W13825" s="21" t="n">
        <v>0</v>
      </c>
      <c r="X13825" s="21" t="n">
        <v>0</v>
      </c>
      <c r="Y13825" s="21" t="n">
        <v>0</v>
      </c>
      <c r="Z13825" s="19" t="n"/>
    </row>
    <row r="13826">
      <c r="D13826" s="21" t="n">
        <v>0</v>
      </c>
      <c r="E13826" s="21" t="n">
        <v>0</v>
      </c>
      <c r="F13826" s="21" t="n">
        <v>0</v>
      </c>
      <c r="G13826" s="21" t="n">
        <v>0</v>
      </c>
      <c r="H13826" s="21" t="n">
        <v>0</v>
      </c>
      <c r="I13826" s="21" t="n">
        <v>0</v>
      </c>
      <c r="J13826" s="21" t="n">
        <v>0</v>
      </c>
      <c r="K13826" s="21" t="n">
        <v>0</v>
      </c>
      <c r="L13826" s="21" t="n">
        <v>0</v>
      </c>
      <c r="M13826" s="21" t="n">
        <v>0</v>
      </c>
      <c r="N13826" s="21" t="n">
        <v>0</v>
      </c>
      <c r="O13826" s="21" t="n">
        <v>0</v>
      </c>
      <c r="P13826" s="21">
        <f>-$B$12189</f>
        <v/>
      </c>
      <c r="Q13826" s="21">
        <f>-$B$12190</f>
        <v/>
      </c>
      <c r="R13826" s="21">
        <f>2*$B$12189+$D$13807</f>
        <v/>
      </c>
      <c r="S13826" s="21">
        <f>0</f>
        <v/>
      </c>
      <c r="T13826" s="21">
        <f>-$B$12189</f>
        <v/>
      </c>
      <c r="U13826" s="21">
        <f>$B$12190</f>
        <v/>
      </c>
      <c r="V13826" s="21" t="n">
        <v>0</v>
      </c>
      <c r="W13826" s="21" t="n">
        <v>0</v>
      </c>
      <c r="X13826" s="21" t="n">
        <v>0</v>
      </c>
      <c r="Y13826" s="21" t="n">
        <v>0</v>
      </c>
      <c r="Z13826" s="19" t="n"/>
    </row>
    <row r="13827">
      <c r="D13827" s="21" t="n">
        <v>0</v>
      </c>
      <c r="E13827" s="21" t="n">
        <v>0</v>
      </c>
      <c r="F13827" s="21" t="n">
        <v>0</v>
      </c>
      <c r="G13827" s="21" t="n">
        <v>0</v>
      </c>
      <c r="H13827" s="21" t="n">
        <v>0</v>
      </c>
      <c r="I13827" s="21" t="n">
        <v>0</v>
      </c>
      <c r="J13827" s="21" t="n">
        <v>0</v>
      </c>
      <c r="K13827" s="21" t="n">
        <v>0</v>
      </c>
      <c r="L13827" s="21" t="n">
        <v>0</v>
      </c>
      <c r="M13827" s="21" t="n">
        <v>0</v>
      </c>
      <c r="N13827" s="21" t="n">
        <v>0</v>
      </c>
      <c r="O13827" s="21" t="n">
        <v>0</v>
      </c>
      <c r="P13827" s="21">
        <f>$B$12190</f>
        <v/>
      </c>
      <c r="Q13827" s="21">
        <f>$B$12192</f>
        <v/>
      </c>
      <c r="R13827" s="21">
        <f>0</f>
        <v/>
      </c>
      <c r="S13827" s="21">
        <f>2*$B$12191</f>
        <v/>
      </c>
      <c r="T13827" s="21">
        <f>-$B$12190</f>
        <v/>
      </c>
      <c r="U13827" s="21">
        <f>$B$12192</f>
        <v/>
      </c>
      <c r="V13827" s="21" t="n">
        <v>0</v>
      </c>
      <c r="W13827" s="21" t="n">
        <v>0</v>
      </c>
      <c r="X13827" s="21" t="n">
        <v>0</v>
      </c>
      <c r="Y13827" s="21" t="n">
        <v>0</v>
      </c>
      <c r="Z13827" s="19" t="n"/>
    </row>
    <row r="13828">
      <c r="D13828" s="21" t="n">
        <v>0</v>
      </c>
      <c r="E13828" s="21" t="n">
        <v>0</v>
      </c>
      <c r="F13828" s="21" t="n">
        <v>0</v>
      </c>
      <c r="G13828" s="21" t="n">
        <v>0</v>
      </c>
      <c r="H13828" s="21" t="n">
        <v>0</v>
      </c>
      <c r="I13828" s="21" t="n">
        <v>0</v>
      </c>
      <c r="J13828" s="21" t="n">
        <v>0</v>
      </c>
      <c r="K13828" s="21" t="n">
        <v>0</v>
      </c>
      <c r="L13828" s="21" t="n">
        <v>0</v>
      </c>
      <c r="M13828" s="21" t="n">
        <v>0</v>
      </c>
      <c r="N13828" s="21" t="n">
        <v>0</v>
      </c>
      <c r="O13828" s="21" t="n">
        <v>0</v>
      </c>
      <c r="P13828" s="21" t="n">
        <v>0</v>
      </c>
      <c r="Q13828" s="21" t="n">
        <v>0</v>
      </c>
      <c r="R13828" s="21">
        <f>-$B$12189</f>
        <v/>
      </c>
      <c r="S13828" s="21">
        <f>-$B$12190</f>
        <v/>
      </c>
      <c r="T13828" s="21">
        <f>2*$B$12189+$D$13808</f>
        <v/>
      </c>
      <c r="U13828" s="21">
        <f>0</f>
        <v/>
      </c>
      <c r="V13828" s="21">
        <f>-$B$12189</f>
        <v/>
      </c>
      <c r="W13828" s="21">
        <f>$B$12190</f>
        <v/>
      </c>
      <c r="X13828" s="21" t="n">
        <v>0</v>
      </c>
      <c r="Y13828" s="21" t="n">
        <v>0</v>
      </c>
      <c r="Z13828" s="19" t="n"/>
    </row>
    <row r="13829">
      <c r="D13829" s="21" t="n">
        <v>0</v>
      </c>
      <c r="E13829" s="21" t="n">
        <v>0</v>
      </c>
      <c r="F13829" s="21" t="n">
        <v>0</v>
      </c>
      <c r="G13829" s="21" t="n">
        <v>0</v>
      </c>
      <c r="H13829" s="21" t="n">
        <v>0</v>
      </c>
      <c r="I13829" s="21" t="n">
        <v>0</v>
      </c>
      <c r="J13829" s="21" t="n">
        <v>0</v>
      </c>
      <c r="K13829" s="21" t="n">
        <v>0</v>
      </c>
      <c r="L13829" s="21" t="n">
        <v>0</v>
      </c>
      <c r="M13829" s="21" t="n">
        <v>0</v>
      </c>
      <c r="N13829" s="21" t="n">
        <v>0</v>
      </c>
      <c r="O13829" s="21" t="n">
        <v>0</v>
      </c>
      <c r="P13829" s="21" t="n">
        <v>0</v>
      </c>
      <c r="Q13829" s="21" t="n">
        <v>0</v>
      </c>
      <c r="R13829" s="21">
        <f>$B$12190</f>
        <v/>
      </c>
      <c r="S13829" s="21">
        <f>$B$12192</f>
        <v/>
      </c>
      <c r="T13829" s="21">
        <f>0</f>
        <v/>
      </c>
      <c r="U13829" s="21">
        <f>2*$B$12191</f>
        <v/>
      </c>
      <c r="V13829" s="21">
        <f>-$B$12190</f>
        <v/>
      </c>
      <c r="W13829" s="21">
        <f>$B$12192</f>
        <v/>
      </c>
      <c r="X13829" s="21" t="n">
        <v>0</v>
      </c>
      <c r="Y13829" s="21" t="n">
        <v>0</v>
      </c>
      <c r="Z13829" s="19" t="n"/>
    </row>
    <row r="13830">
      <c r="D13830" s="21" t="n">
        <v>0</v>
      </c>
      <c r="E13830" s="21" t="n">
        <v>0</v>
      </c>
      <c r="F13830" s="21" t="n">
        <v>0</v>
      </c>
      <c r="G13830" s="21" t="n">
        <v>0</v>
      </c>
      <c r="H13830" s="21" t="n">
        <v>0</v>
      </c>
      <c r="I13830" s="21" t="n">
        <v>0</v>
      </c>
      <c r="J13830" s="21" t="n">
        <v>0</v>
      </c>
      <c r="K13830" s="21" t="n">
        <v>0</v>
      </c>
      <c r="L13830" s="21" t="n">
        <v>0</v>
      </c>
      <c r="M13830" s="21" t="n">
        <v>0</v>
      </c>
      <c r="N13830" s="21" t="n">
        <v>0</v>
      </c>
      <c r="O13830" s="21" t="n">
        <v>0</v>
      </c>
      <c r="P13830" s="21" t="n">
        <v>0</v>
      </c>
      <c r="Q13830" s="21" t="n">
        <v>0</v>
      </c>
      <c r="R13830" s="21" t="n">
        <v>0</v>
      </c>
      <c r="S13830" s="21" t="n">
        <v>0</v>
      </c>
      <c r="T13830" s="21">
        <f>-$B$12189</f>
        <v/>
      </c>
      <c r="U13830" s="21">
        <f>-$B$12190</f>
        <v/>
      </c>
      <c r="V13830" s="21">
        <f>2*$B$12189+$D$13809</f>
        <v/>
      </c>
      <c r="W13830" s="21">
        <f>0</f>
        <v/>
      </c>
      <c r="X13830" s="21">
        <f>-$B$12189</f>
        <v/>
      </c>
      <c r="Y13830" s="21">
        <f>$B$12190</f>
        <v/>
      </c>
      <c r="Z13830" s="19" t="n"/>
    </row>
    <row r="13831">
      <c r="D13831" s="21" t="n">
        <v>0</v>
      </c>
      <c r="E13831" s="21" t="n">
        <v>0</v>
      </c>
      <c r="F13831" s="21" t="n">
        <v>0</v>
      </c>
      <c r="G13831" s="21" t="n">
        <v>0</v>
      </c>
      <c r="H13831" s="21" t="n">
        <v>0</v>
      </c>
      <c r="I13831" s="21" t="n">
        <v>0</v>
      </c>
      <c r="J13831" s="21" t="n">
        <v>0</v>
      </c>
      <c r="K13831" s="21" t="n">
        <v>0</v>
      </c>
      <c r="L13831" s="21" t="n">
        <v>0</v>
      </c>
      <c r="M13831" s="21" t="n">
        <v>0</v>
      </c>
      <c r="N13831" s="21" t="n">
        <v>0</v>
      </c>
      <c r="O13831" s="21" t="n">
        <v>0</v>
      </c>
      <c r="P13831" s="21" t="n">
        <v>0</v>
      </c>
      <c r="Q13831" s="21" t="n">
        <v>0</v>
      </c>
      <c r="R13831" s="21" t="n">
        <v>0</v>
      </c>
      <c r="S13831" s="21" t="n">
        <v>0</v>
      </c>
      <c r="T13831" s="21">
        <f>$B$12190</f>
        <v/>
      </c>
      <c r="U13831" s="21">
        <f>$B$12192</f>
        <v/>
      </c>
      <c r="V13831" s="21">
        <f>0</f>
        <v/>
      </c>
      <c r="W13831" s="21">
        <f>2*$B$12191</f>
        <v/>
      </c>
      <c r="X13831" s="21">
        <f>-$B$12190</f>
        <v/>
      </c>
      <c r="Y13831" s="21">
        <f>$B$12192</f>
        <v/>
      </c>
      <c r="Z13831" s="19" t="n"/>
    </row>
    <row r="13832">
      <c r="D13832" s="21" t="n">
        <v>0</v>
      </c>
      <c r="E13832" s="21" t="n">
        <v>0</v>
      </c>
      <c r="F13832" s="21" t="n">
        <v>0</v>
      </c>
      <c r="G13832" s="21" t="n">
        <v>0</v>
      </c>
      <c r="H13832" s="21" t="n">
        <v>0</v>
      </c>
      <c r="I13832" s="21" t="n">
        <v>0</v>
      </c>
      <c r="J13832" s="21" t="n">
        <v>0</v>
      </c>
      <c r="K13832" s="21" t="n">
        <v>0</v>
      </c>
      <c r="L13832" s="21" t="n">
        <v>0</v>
      </c>
      <c r="M13832" s="21" t="n">
        <v>0</v>
      </c>
      <c r="N13832" s="21" t="n">
        <v>0</v>
      </c>
      <c r="O13832" s="21" t="n">
        <v>0</v>
      </c>
      <c r="P13832" s="21" t="n">
        <v>0</v>
      </c>
      <c r="Q13832" s="21" t="n">
        <v>0</v>
      </c>
      <c r="R13832" s="21" t="n">
        <v>0</v>
      </c>
      <c r="S13832" s="21" t="n">
        <v>0</v>
      </c>
      <c r="T13832" s="21" t="n">
        <v>0</v>
      </c>
      <c r="U13832" s="21" t="n">
        <v>0</v>
      </c>
      <c r="V13832" s="21">
        <f>-$B$12189</f>
        <v/>
      </c>
      <c r="W13832" s="21">
        <f>-$B$12190</f>
        <v/>
      </c>
      <c r="X13832" s="21">
        <f>$B$12189+$D$13810</f>
        <v/>
      </c>
      <c r="Y13832" s="21">
        <f>-$B$12190</f>
        <v/>
      </c>
      <c r="Z13832" s="19" t="n"/>
    </row>
    <row r="13833">
      <c r="D13833" s="21" t="n">
        <v>0</v>
      </c>
      <c r="E13833" s="21" t="n">
        <v>0</v>
      </c>
      <c r="F13833" s="21" t="n">
        <v>0</v>
      </c>
      <c r="G13833" s="21" t="n">
        <v>0</v>
      </c>
      <c r="H13833" s="21" t="n">
        <v>0</v>
      </c>
      <c r="I13833" s="21" t="n">
        <v>0</v>
      </c>
      <c r="J13833" s="21" t="n">
        <v>0</v>
      </c>
      <c r="K13833" s="21" t="n">
        <v>0</v>
      </c>
      <c r="L13833" s="21" t="n">
        <v>0</v>
      </c>
      <c r="M13833" s="21" t="n">
        <v>0</v>
      </c>
      <c r="N13833" s="21" t="n">
        <v>0</v>
      </c>
      <c r="O13833" s="21" t="n">
        <v>0</v>
      </c>
      <c r="P13833" s="21" t="n">
        <v>0</v>
      </c>
      <c r="Q13833" s="21" t="n">
        <v>0</v>
      </c>
      <c r="R13833" s="21" t="n">
        <v>0</v>
      </c>
      <c r="S13833" s="21" t="n">
        <v>0</v>
      </c>
      <c r="T13833" s="21" t="n">
        <v>0</v>
      </c>
      <c r="U13833" s="21" t="n">
        <v>0</v>
      </c>
      <c r="V13833" s="21">
        <f>$B$12190</f>
        <v/>
      </c>
      <c r="W13833" s="21">
        <f>$B$12192</f>
        <v/>
      </c>
      <c r="X13833" s="21">
        <f>-$B$12190</f>
        <v/>
      </c>
      <c r="Y13833" s="21">
        <f>$B$12191</f>
        <v/>
      </c>
      <c r="Z13833" s="19" t="n"/>
    </row>
    <row r="13835">
      <c r="A13835" s="8" t="inlineStr">
        <is>
          <t>gen 45</t>
        </is>
      </c>
    </row>
    <row r="13836">
      <c r="D13836" s="19">
        <f>IF(ABS(IF(ABS($E$13800)&gt;0.000000001,$E$13800,0.000000001))=0,0,IF($E$12204&lt;=$B$12198,0,IF(ABS(IF(ABS($E$13800)&gt;0.000000001,$E$13800,0.000000001))&gt;=8*$B$12200,$H$12204,0.5*$H$12204*(ABS(IF(ABS($E$13800)&gt;0.000000001,$E$13800,0.000000001))/$B$12200)^(1/3)))/ABS(IF(ABS($E$13800)&gt;0.000000001,$E$13800,0.000000001))*$I$12204)</f>
        <v/>
      </c>
      <c r="E13836" s="19">
        <f>0.5*$E$13800+0.5*$Z$13848</f>
        <v/>
      </c>
      <c r="F13836" s="19">
        <f>$Z$13849</f>
        <v/>
      </c>
    </row>
    <row r="13837">
      <c r="D13837" s="19">
        <f>IF(ABS(IF(ABS($E$13801)&gt;0.000000001,$E$13801,0.000000001))=0,0,IF($E$12205&lt;=$B$12198,0,IF(ABS(IF(ABS($E$13801)&gt;0.000000001,$E$13801,0.000000001))&gt;=8*$B$12200,$H$12205,0.5*$H$12205*(ABS(IF(ABS($E$13801)&gt;0.000000001,$E$13801,0.000000001))/$B$12200)^(1/3)))/ABS(IF(ABS($E$13801)&gt;0.000000001,$E$13801,0.000000001))*$I$12205)</f>
        <v/>
      </c>
      <c r="E13837" s="19">
        <f>0.5*$E$13801+0.5*$Z$13850</f>
        <v/>
      </c>
      <c r="F13837" s="19">
        <f>$Z$13851</f>
        <v/>
      </c>
    </row>
    <row r="13838">
      <c r="D13838" s="19">
        <f>IF(ABS(IF(ABS($E$13802)&gt;0.000000001,$E$13802,0.000000001))=0,0,IF($E$12206&lt;=$B$12198,0,IF(ABS(IF(ABS($E$13802)&gt;0.000000001,$E$13802,0.000000001))&gt;=8*$B$12200,$H$12206,0.5*$H$12206*(ABS(IF(ABS($E$13802)&gt;0.000000001,$E$13802,0.000000001))/$B$12200)^(1/3)))/ABS(IF(ABS($E$13802)&gt;0.000000001,$E$13802,0.000000001))*$I$12206)</f>
        <v/>
      </c>
      <c r="E13838" s="19">
        <f>0.5*$E$13802+0.5*$Z$13852</f>
        <v/>
      </c>
      <c r="F13838" s="19">
        <f>$Z$13853</f>
        <v/>
      </c>
    </row>
    <row r="13839">
      <c r="D13839" s="19">
        <f>IF(ABS(IF(ABS($E$13803)&gt;0.000000001,$E$13803,0.000000001))=0,0,IF($E$12207&lt;=$B$12198,0,IF(ABS(IF(ABS($E$13803)&gt;0.000000001,$E$13803,0.000000001))&gt;=8*$B$12200,$H$12207,0.5*$H$12207*(ABS(IF(ABS($E$13803)&gt;0.000000001,$E$13803,0.000000001))/$B$12200)^(1/3)))/ABS(IF(ABS($E$13803)&gt;0.000000001,$E$13803,0.000000001))*$I$12207)</f>
        <v/>
      </c>
      <c r="E13839" s="19">
        <f>0.5*$E$13803+0.5*$Z$13854</f>
        <v/>
      </c>
      <c r="F13839" s="19">
        <f>$Z$13855</f>
        <v/>
      </c>
    </row>
    <row r="13840">
      <c r="D13840" s="19">
        <f>IF(ABS(IF(ABS($E$13804)&gt;0.000000001,$E$13804,0.000000001))=0,0,IF($E$12208&lt;=$B$12198,0,IF(ABS(IF(ABS($E$13804)&gt;0.000000001,$E$13804,0.000000001))&gt;=8*$B$12200,$H$12208,0.5*$H$12208*(ABS(IF(ABS($E$13804)&gt;0.000000001,$E$13804,0.000000001))/$B$12200)^(1/3)))/ABS(IF(ABS($E$13804)&gt;0.000000001,$E$13804,0.000000001))*$I$12208)</f>
        <v/>
      </c>
      <c r="E13840" s="19">
        <f>0.5*$E$13804+0.5*$Z$13856</f>
        <v/>
      </c>
      <c r="F13840" s="19">
        <f>$Z$13857</f>
        <v/>
      </c>
    </row>
    <row r="13841">
      <c r="D13841" s="19">
        <f>IF(ABS(IF(ABS($E$13805)&gt;0.000000001,$E$13805,0.000000001))=0,0,IF($E$12209&lt;=$B$12198,0,IF(ABS(IF(ABS($E$13805)&gt;0.000000001,$E$13805,0.000000001))&gt;=8*$B$12200,$H$12209,0.5*$H$12209*(ABS(IF(ABS($E$13805)&gt;0.000000001,$E$13805,0.000000001))/$B$12200)^(1/3)))/ABS(IF(ABS($E$13805)&gt;0.000000001,$E$13805,0.000000001))*$I$12209)</f>
        <v/>
      </c>
      <c r="E13841" s="19">
        <f>0.5*$E$13805+0.5*$Z$13858</f>
        <v/>
      </c>
      <c r="F13841" s="19">
        <f>$Z$13859</f>
        <v/>
      </c>
    </row>
    <row r="13842">
      <c r="D13842" s="19">
        <f>IF(ABS(IF(ABS($E$13806)&gt;0.000000001,$E$13806,0.000000001))=0,0,IF($E$12210&lt;=$B$12198,0,IF(ABS(IF(ABS($E$13806)&gt;0.000000001,$E$13806,0.000000001))&gt;=8*$B$12200,$H$12210,0.5*$H$12210*(ABS(IF(ABS($E$13806)&gt;0.000000001,$E$13806,0.000000001))/$B$12200)^(1/3)))/ABS(IF(ABS($E$13806)&gt;0.000000001,$E$13806,0.000000001))*$I$12210)</f>
        <v/>
      </c>
      <c r="E13842" s="19">
        <f>0.5*$E$13806+0.5*$Z$13860</f>
        <v/>
      </c>
      <c r="F13842" s="19">
        <f>$Z$13861</f>
        <v/>
      </c>
    </row>
    <row r="13843">
      <c r="D13843" s="19">
        <f>IF(ABS(IF(ABS($E$13807)&gt;0.000000001,$E$13807,0.000000001))=0,0,IF($E$12211&lt;=$B$12198,0,IF(ABS(IF(ABS($E$13807)&gt;0.000000001,$E$13807,0.000000001))&gt;=8*$B$12200,$H$12211,0.5*$H$12211*(ABS(IF(ABS($E$13807)&gt;0.000000001,$E$13807,0.000000001))/$B$12200)^(1/3)))/ABS(IF(ABS($E$13807)&gt;0.000000001,$E$13807,0.000000001))*$I$12211)</f>
        <v/>
      </c>
      <c r="E13843" s="19">
        <f>0.5*$E$13807+0.5*$Z$13862</f>
        <v/>
      </c>
      <c r="F13843" s="19">
        <f>$Z$13863</f>
        <v/>
      </c>
    </row>
    <row r="13844">
      <c r="D13844" s="19">
        <f>IF(ABS(IF(ABS($E$13808)&gt;0.000000001,$E$13808,0.000000001))=0,0,IF($E$12212&lt;=$B$12198,0,IF(ABS(IF(ABS($E$13808)&gt;0.000000001,$E$13808,0.000000001))&gt;=8*$B$12200,$H$12212,0.5*$H$12212*(ABS(IF(ABS($E$13808)&gt;0.000000001,$E$13808,0.000000001))/$B$12200)^(1/3)))/ABS(IF(ABS($E$13808)&gt;0.000000001,$E$13808,0.000000001))*$I$12212)</f>
        <v/>
      </c>
      <c r="E13844" s="19">
        <f>0.5*$E$13808+0.5*$Z$13864</f>
        <v/>
      </c>
      <c r="F13844" s="19">
        <f>$Z$13865</f>
        <v/>
      </c>
    </row>
    <row r="13845">
      <c r="D13845" s="19">
        <f>IF(ABS(IF(ABS($E$13809)&gt;0.000000001,$E$13809,0.000000001))=0,0,IF($E$12213&lt;=$B$12198,0,IF(ABS(IF(ABS($E$13809)&gt;0.000000001,$E$13809,0.000000001))&gt;=8*$B$12200,$H$12213,0.5*$H$12213*(ABS(IF(ABS($E$13809)&gt;0.000000001,$E$13809,0.000000001))/$B$12200)^(1/3)))/ABS(IF(ABS($E$13809)&gt;0.000000001,$E$13809,0.000000001))*$I$12213)</f>
        <v/>
      </c>
      <c r="E13845" s="19">
        <f>0.5*$E$13809+0.5*$Z$13866</f>
        <v/>
      </c>
      <c r="F13845" s="19">
        <f>$Z$13867</f>
        <v/>
      </c>
    </row>
    <row r="13846">
      <c r="D13846" s="19">
        <f>IF(ABS(IF(ABS($E$13810)&gt;0.000000001,$E$13810,0.000000001))=0,0,IF($E$12214&lt;=$B$12198,0,IF(ABS(IF(ABS($E$13810)&gt;0.000000001,$E$13810,0.000000001))&gt;=8*$B$12200,$H$12214,0.5*$H$12214*(ABS(IF(ABS($E$13810)&gt;0.000000001,$E$13810,0.000000001))/$B$12200)^(1/3)))/ABS(IF(ABS($E$13810)&gt;0.000000001,$E$13810,0.000000001))*$I$12214)</f>
        <v/>
      </c>
      <c r="E13846" s="19">
        <f>0.5*$E$13810+0.5*$Z$13868</f>
        <v/>
      </c>
      <c r="F13846" s="19">
        <f>$Z$13869</f>
        <v/>
      </c>
    </row>
    <row r="13848">
      <c r="D13848" s="21">
        <f>$B$12189+$D$13836</f>
        <v/>
      </c>
      <c r="E13848" s="21">
        <f>$B$12190</f>
        <v/>
      </c>
      <c r="F13848" s="21">
        <f>-$B$12189</f>
        <v/>
      </c>
      <c r="G13848" s="21">
        <f>$B$12190</f>
        <v/>
      </c>
      <c r="H13848" s="21" t="n">
        <v>0</v>
      </c>
      <c r="I13848" s="21" t="n">
        <v>0</v>
      </c>
      <c r="J13848" s="21" t="n">
        <v>0</v>
      </c>
      <c r="K13848" s="21" t="n">
        <v>0</v>
      </c>
      <c r="L13848" s="21" t="n">
        <v>0</v>
      </c>
      <c r="M13848" s="21" t="n">
        <v>0</v>
      </c>
      <c r="N13848" s="21" t="n">
        <v>0</v>
      </c>
      <c r="O13848" s="21" t="n">
        <v>0</v>
      </c>
      <c r="P13848" s="21" t="n">
        <v>0</v>
      </c>
      <c r="Q13848" s="21" t="n">
        <v>0</v>
      </c>
      <c r="R13848" s="21" t="n">
        <v>0</v>
      </c>
      <c r="S13848" s="21" t="n">
        <v>0</v>
      </c>
      <c r="T13848" s="21" t="n">
        <v>0</v>
      </c>
      <c r="U13848" s="21" t="n">
        <v>0</v>
      </c>
      <c r="V13848" s="21" t="n">
        <v>0</v>
      </c>
      <c r="W13848" s="21" t="n">
        <v>0</v>
      </c>
      <c r="X13848" s="21" t="n">
        <v>0</v>
      </c>
      <c r="Y13848" s="21" t="n">
        <v>0</v>
      </c>
      <c r="Z13848" s="19">
        <f t="array" ref="Z13848:Z13869">MMULT(MINVERSE($D$13848:$Y$13869),$D$12216:$D$12237)</f>
        <v/>
      </c>
    </row>
    <row r="13849">
      <c r="D13849" s="21">
        <f>$B$12190</f>
        <v/>
      </c>
      <c r="E13849" s="21">
        <f>$B$12191</f>
        <v/>
      </c>
      <c r="F13849" s="21">
        <f>-$B$12190</f>
        <v/>
      </c>
      <c r="G13849" s="21">
        <f>$B$12192</f>
        <v/>
      </c>
      <c r="H13849" s="21" t="n">
        <v>0</v>
      </c>
      <c r="I13849" s="21" t="n">
        <v>0</v>
      </c>
      <c r="J13849" s="21" t="n">
        <v>0</v>
      </c>
      <c r="K13849" s="21" t="n">
        <v>0</v>
      </c>
      <c r="L13849" s="21" t="n">
        <v>0</v>
      </c>
      <c r="M13849" s="21" t="n">
        <v>0</v>
      </c>
      <c r="N13849" s="21" t="n">
        <v>0</v>
      </c>
      <c r="O13849" s="21" t="n">
        <v>0</v>
      </c>
      <c r="P13849" s="21" t="n">
        <v>0</v>
      </c>
      <c r="Q13849" s="21" t="n">
        <v>0</v>
      </c>
      <c r="R13849" s="21" t="n">
        <v>0</v>
      </c>
      <c r="S13849" s="21" t="n">
        <v>0</v>
      </c>
      <c r="T13849" s="21" t="n">
        <v>0</v>
      </c>
      <c r="U13849" s="21" t="n">
        <v>0</v>
      </c>
      <c r="V13849" s="21" t="n">
        <v>0</v>
      </c>
      <c r="W13849" s="21" t="n">
        <v>0</v>
      </c>
      <c r="X13849" s="21" t="n">
        <v>0</v>
      </c>
      <c r="Y13849" s="21" t="n">
        <v>0</v>
      </c>
      <c r="Z13849" s="19" t="n"/>
    </row>
    <row r="13850">
      <c r="D13850" s="21">
        <f>-$B$12189</f>
        <v/>
      </c>
      <c r="E13850" s="21">
        <f>-$B$12190</f>
        <v/>
      </c>
      <c r="F13850" s="21">
        <f>2*$B$12189+$D$13837</f>
        <v/>
      </c>
      <c r="G13850" s="21">
        <f>0</f>
        <v/>
      </c>
      <c r="H13850" s="21">
        <f>-$B$12189</f>
        <v/>
      </c>
      <c r="I13850" s="21">
        <f>$B$12190</f>
        <v/>
      </c>
      <c r="J13850" s="21" t="n">
        <v>0</v>
      </c>
      <c r="K13850" s="21" t="n">
        <v>0</v>
      </c>
      <c r="L13850" s="21" t="n">
        <v>0</v>
      </c>
      <c r="M13850" s="21" t="n">
        <v>0</v>
      </c>
      <c r="N13850" s="21" t="n">
        <v>0</v>
      </c>
      <c r="O13850" s="21" t="n">
        <v>0</v>
      </c>
      <c r="P13850" s="21" t="n">
        <v>0</v>
      </c>
      <c r="Q13850" s="21" t="n">
        <v>0</v>
      </c>
      <c r="R13850" s="21" t="n">
        <v>0</v>
      </c>
      <c r="S13850" s="21" t="n">
        <v>0</v>
      </c>
      <c r="T13850" s="21" t="n">
        <v>0</v>
      </c>
      <c r="U13850" s="21" t="n">
        <v>0</v>
      </c>
      <c r="V13850" s="21" t="n">
        <v>0</v>
      </c>
      <c r="W13850" s="21" t="n">
        <v>0</v>
      </c>
      <c r="X13850" s="21" t="n">
        <v>0</v>
      </c>
      <c r="Y13850" s="21" t="n">
        <v>0</v>
      </c>
      <c r="Z13850" s="19" t="n"/>
    </row>
    <row r="13851">
      <c r="D13851" s="21">
        <f>$B$12190</f>
        <v/>
      </c>
      <c r="E13851" s="21">
        <f>$B$12192</f>
        <v/>
      </c>
      <c r="F13851" s="21">
        <f>0</f>
        <v/>
      </c>
      <c r="G13851" s="21">
        <f>2*$B$12191</f>
        <v/>
      </c>
      <c r="H13851" s="21">
        <f>-$B$12190</f>
        <v/>
      </c>
      <c r="I13851" s="21">
        <f>$B$12192</f>
        <v/>
      </c>
      <c r="J13851" s="21" t="n">
        <v>0</v>
      </c>
      <c r="K13851" s="21" t="n">
        <v>0</v>
      </c>
      <c r="L13851" s="21" t="n">
        <v>0</v>
      </c>
      <c r="M13851" s="21" t="n">
        <v>0</v>
      </c>
      <c r="N13851" s="21" t="n">
        <v>0</v>
      </c>
      <c r="O13851" s="21" t="n">
        <v>0</v>
      </c>
      <c r="P13851" s="21" t="n">
        <v>0</v>
      </c>
      <c r="Q13851" s="21" t="n">
        <v>0</v>
      </c>
      <c r="R13851" s="21" t="n">
        <v>0</v>
      </c>
      <c r="S13851" s="21" t="n">
        <v>0</v>
      </c>
      <c r="T13851" s="21" t="n">
        <v>0</v>
      </c>
      <c r="U13851" s="21" t="n">
        <v>0</v>
      </c>
      <c r="V13851" s="21" t="n">
        <v>0</v>
      </c>
      <c r="W13851" s="21" t="n">
        <v>0</v>
      </c>
      <c r="X13851" s="21" t="n">
        <v>0</v>
      </c>
      <c r="Y13851" s="21" t="n">
        <v>0</v>
      </c>
      <c r="Z13851" s="19" t="n"/>
    </row>
    <row r="13852">
      <c r="D13852" s="21" t="n">
        <v>0</v>
      </c>
      <c r="E13852" s="21" t="n">
        <v>0</v>
      </c>
      <c r="F13852" s="21">
        <f>-$B$12189</f>
        <v/>
      </c>
      <c r="G13852" s="21">
        <f>-$B$12190</f>
        <v/>
      </c>
      <c r="H13852" s="21">
        <f>2*$B$12189+$D$13838</f>
        <v/>
      </c>
      <c r="I13852" s="21">
        <f>0</f>
        <v/>
      </c>
      <c r="J13852" s="21">
        <f>-$B$12189</f>
        <v/>
      </c>
      <c r="K13852" s="21">
        <f>$B$12190</f>
        <v/>
      </c>
      <c r="L13852" s="21" t="n">
        <v>0</v>
      </c>
      <c r="M13852" s="21" t="n">
        <v>0</v>
      </c>
      <c r="N13852" s="21" t="n">
        <v>0</v>
      </c>
      <c r="O13852" s="21" t="n">
        <v>0</v>
      </c>
      <c r="P13852" s="21" t="n">
        <v>0</v>
      </c>
      <c r="Q13852" s="21" t="n">
        <v>0</v>
      </c>
      <c r="R13852" s="21" t="n">
        <v>0</v>
      </c>
      <c r="S13852" s="21" t="n">
        <v>0</v>
      </c>
      <c r="T13852" s="21" t="n">
        <v>0</v>
      </c>
      <c r="U13852" s="21" t="n">
        <v>0</v>
      </c>
      <c r="V13852" s="21" t="n">
        <v>0</v>
      </c>
      <c r="W13852" s="21" t="n">
        <v>0</v>
      </c>
      <c r="X13852" s="21" t="n">
        <v>0</v>
      </c>
      <c r="Y13852" s="21" t="n">
        <v>0</v>
      </c>
      <c r="Z13852" s="19" t="n"/>
    </row>
    <row r="13853">
      <c r="D13853" s="21" t="n">
        <v>0</v>
      </c>
      <c r="E13853" s="21" t="n">
        <v>0</v>
      </c>
      <c r="F13853" s="21">
        <f>$B$12190</f>
        <v/>
      </c>
      <c r="G13853" s="21">
        <f>$B$12192</f>
        <v/>
      </c>
      <c r="H13853" s="21">
        <f>0</f>
        <v/>
      </c>
      <c r="I13853" s="21">
        <f>2*$B$12191</f>
        <v/>
      </c>
      <c r="J13853" s="21">
        <f>-$B$12190</f>
        <v/>
      </c>
      <c r="K13853" s="21">
        <f>$B$12192</f>
        <v/>
      </c>
      <c r="L13853" s="21" t="n">
        <v>0</v>
      </c>
      <c r="M13853" s="21" t="n">
        <v>0</v>
      </c>
      <c r="N13853" s="21" t="n">
        <v>0</v>
      </c>
      <c r="O13853" s="21" t="n">
        <v>0</v>
      </c>
      <c r="P13853" s="21" t="n">
        <v>0</v>
      </c>
      <c r="Q13853" s="21" t="n">
        <v>0</v>
      </c>
      <c r="R13853" s="21" t="n">
        <v>0</v>
      </c>
      <c r="S13853" s="21" t="n">
        <v>0</v>
      </c>
      <c r="T13853" s="21" t="n">
        <v>0</v>
      </c>
      <c r="U13853" s="21" t="n">
        <v>0</v>
      </c>
      <c r="V13853" s="21" t="n">
        <v>0</v>
      </c>
      <c r="W13853" s="21" t="n">
        <v>0</v>
      </c>
      <c r="X13853" s="21" t="n">
        <v>0</v>
      </c>
      <c r="Y13853" s="21" t="n">
        <v>0</v>
      </c>
      <c r="Z13853" s="19" t="n"/>
    </row>
    <row r="13854">
      <c r="D13854" s="21" t="n">
        <v>0</v>
      </c>
      <c r="E13854" s="21" t="n">
        <v>0</v>
      </c>
      <c r="F13854" s="21" t="n">
        <v>0</v>
      </c>
      <c r="G13854" s="21" t="n">
        <v>0</v>
      </c>
      <c r="H13854" s="21">
        <f>-$B$12189</f>
        <v/>
      </c>
      <c r="I13854" s="21">
        <f>-$B$12190</f>
        <v/>
      </c>
      <c r="J13854" s="21">
        <f>2*$B$12189+$D$13839</f>
        <v/>
      </c>
      <c r="K13854" s="21">
        <f>0</f>
        <v/>
      </c>
      <c r="L13854" s="21">
        <f>-$B$12189</f>
        <v/>
      </c>
      <c r="M13854" s="21">
        <f>$B$12190</f>
        <v/>
      </c>
      <c r="N13854" s="21" t="n">
        <v>0</v>
      </c>
      <c r="O13854" s="21" t="n">
        <v>0</v>
      </c>
      <c r="P13854" s="21" t="n">
        <v>0</v>
      </c>
      <c r="Q13854" s="21" t="n">
        <v>0</v>
      </c>
      <c r="R13854" s="21" t="n">
        <v>0</v>
      </c>
      <c r="S13854" s="21" t="n">
        <v>0</v>
      </c>
      <c r="T13854" s="21" t="n">
        <v>0</v>
      </c>
      <c r="U13854" s="21" t="n">
        <v>0</v>
      </c>
      <c r="V13854" s="21" t="n">
        <v>0</v>
      </c>
      <c r="W13854" s="21" t="n">
        <v>0</v>
      </c>
      <c r="X13854" s="21" t="n">
        <v>0</v>
      </c>
      <c r="Y13854" s="21" t="n">
        <v>0</v>
      </c>
      <c r="Z13854" s="19" t="n"/>
    </row>
    <row r="13855">
      <c r="D13855" s="21" t="n">
        <v>0</v>
      </c>
      <c r="E13855" s="21" t="n">
        <v>0</v>
      </c>
      <c r="F13855" s="21" t="n">
        <v>0</v>
      </c>
      <c r="G13855" s="21" t="n">
        <v>0</v>
      </c>
      <c r="H13855" s="21">
        <f>$B$12190</f>
        <v/>
      </c>
      <c r="I13855" s="21">
        <f>$B$12192</f>
        <v/>
      </c>
      <c r="J13855" s="21">
        <f>0</f>
        <v/>
      </c>
      <c r="K13855" s="21">
        <f>2*$B$12191</f>
        <v/>
      </c>
      <c r="L13855" s="21">
        <f>-$B$12190</f>
        <v/>
      </c>
      <c r="M13855" s="21">
        <f>$B$12192</f>
        <v/>
      </c>
      <c r="N13855" s="21" t="n">
        <v>0</v>
      </c>
      <c r="O13855" s="21" t="n">
        <v>0</v>
      </c>
      <c r="P13855" s="21" t="n">
        <v>0</v>
      </c>
      <c r="Q13855" s="21" t="n">
        <v>0</v>
      </c>
      <c r="R13855" s="21" t="n">
        <v>0</v>
      </c>
      <c r="S13855" s="21" t="n">
        <v>0</v>
      </c>
      <c r="T13855" s="21" t="n">
        <v>0</v>
      </c>
      <c r="U13855" s="21" t="n">
        <v>0</v>
      </c>
      <c r="V13855" s="21" t="n">
        <v>0</v>
      </c>
      <c r="W13855" s="21" t="n">
        <v>0</v>
      </c>
      <c r="X13855" s="21" t="n">
        <v>0</v>
      </c>
      <c r="Y13855" s="21" t="n">
        <v>0</v>
      </c>
      <c r="Z13855" s="19" t="n"/>
    </row>
    <row r="13856">
      <c r="D13856" s="21" t="n">
        <v>0</v>
      </c>
      <c r="E13856" s="21" t="n">
        <v>0</v>
      </c>
      <c r="F13856" s="21" t="n">
        <v>0</v>
      </c>
      <c r="G13856" s="21" t="n">
        <v>0</v>
      </c>
      <c r="H13856" s="21" t="n">
        <v>0</v>
      </c>
      <c r="I13856" s="21" t="n">
        <v>0</v>
      </c>
      <c r="J13856" s="21">
        <f>-$B$12189</f>
        <v/>
      </c>
      <c r="K13856" s="21">
        <f>-$B$12190</f>
        <v/>
      </c>
      <c r="L13856" s="21">
        <f>2*$B$12189+$D$13840</f>
        <v/>
      </c>
      <c r="M13856" s="21">
        <f>0</f>
        <v/>
      </c>
      <c r="N13856" s="21">
        <f>-$B$12189</f>
        <v/>
      </c>
      <c r="O13856" s="21">
        <f>$B$12190</f>
        <v/>
      </c>
      <c r="P13856" s="21" t="n">
        <v>0</v>
      </c>
      <c r="Q13856" s="21" t="n">
        <v>0</v>
      </c>
      <c r="R13856" s="21" t="n">
        <v>0</v>
      </c>
      <c r="S13856" s="21" t="n">
        <v>0</v>
      </c>
      <c r="T13856" s="21" t="n">
        <v>0</v>
      </c>
      <c r="U13856" s="21" t="n">
        <v>0</v>
      </c>
      <c r="V13856" s="21" t="n">
        <v>0</v>
      </c>
      <c r="W13856" s="21" t="n">
        <v>0</v>
      </c>
      <c r="X13856" s="21" t="n">
        <v>0</v>
      </c>
      <c r="Y13856" s="21" t="n">
        <v>0</v>
      </c>
      <c r="Z13856" s="19" t="n"/>
    </row>
    <row r="13857">
      <c r="D13857" s="21" t="n">
        <v>0</v>
      </c>
      <c r="E13857" s="21" t="n">
        <v>0</v>
      </c>
      <c r="F13857" s="21" t="n">
        <v>0</v>
      </c>
      <c r="G13857" s="21" t="n">
        <v>0</v>
      </c>
      <c r="H13857" s="21" t="n">
        <v>0</v>
      </c>
      <c r="I13857" s="21" t="n">
        <v>0</v>
      </c>
      <c r="J13857" s="21">
        <f>$B$12190</f>
        <v/>
      </c>
      <c r="K13857" s="21">
        <f>$B$12192</f>
        <v/>
      </c>
      <c r="L13857" s="21">
        <f>0</f>
        <v/>
      </c>
      <c r="M13857" s="21">
        <f>2*$B$12191</f>
        <v/>
      </c>
      <c r="N13857" s="21">
        <f>-$B$12190</f>
        <v/>
      </c>
      <c r="O13857" s="21">
        <f>$B$12192</f>
        <v/>
      </c>
      <c r="P13857" s="21" t="n">
        <v>0</v>
      </c>
      <c r="Q13857" s="21" t="n">
        <v>0</v>
      </c>
      <c r="R13857" s="21" t="n">
        <v>0</v>
      </c>
      <c r="S13857" s="21" t="n">
        <v>0</v>
      </c>
      <c r="T13857" s="21" t="n">
        <v>0</v>
      </c>
      <c r="U13857" s="21" t="n">
        <v>0</v>
      </c>
      <c r="V13857" s="21" t="n">
        <v>0</v>
      </c>
      <c r="W13857" s="21" t="n">
        <v>0</v>
      </c>
      <c r="X13857" s="21" t="n">
        <v>0</v>
      </c>
      <c r="Y13857" s="21" t="n">
        <v>0</v>
      </c>
      <c r="Z13857" s="19" t="n"/>
    </row>
    <row r="13858">
      <c r="D13858" s="21" t="n">
        <v>0</v>
      </c>
      <c r="E13858" s="21" t="n">
        <v>0</v>
      </c>
      <c r="F13858" s="21" t="n">
        <v>0</v>
      </c>
      <c r="G13858" s="21" t="n">
        <v>0</v>
      </c>
      <c r="H13858" s="21" t="n">
        <v>0</v>
      </c>
      <c r="I13858" s="21" t="n">
        <v>0</v>
      </c>
      <c r="J13858" s="21" t="n">
        <v>0</v>
      </c>
      <c r="K13858" s="21" t="n">
        <v>0</v>
      </c>
      <c r="L13858" s="21">
        <f>-$B$12189</f>
        <v/>
      </c>
      <c r="M13858" s="21">
        <f>-$B$12190</f>
        <v/>
      </c>
      <c r="N13858" s="21">
        <f>2*$B$12189+$D$13841</f>
        <v/>
      </c>
      <c r="O13858" s="21">
        <f>0</f>
        <v/>
      </c>
      <c r="P13858" s="21">
        <f>-$B$12189</f>
        <v/>
      </c>
      <c r="Q13858" s="21">
        <f>$B$12190</f>
        <v/>
      </c>
      <c r="R13858" s="21" t="n">
        <v>0</v>
      </c>
      <c r="S13858" s="21" t="n">
        <v>0</v>
      </c>
      <c r="T13858" s="21" t="n">
        <v>0</v>
      </c>
      <c r="U13858" s="21" t="n">
        <v>0</v>
      </c>
      <c r="V13858" s="21" t="n">
        <v>0</v>
      </c>
      <c r="W13858" s="21" t="n">
        <v>0</v>
      </c>
      <c r="X13858" s="21" t="n">
        <v>0</v>
      </c>
      <c r="Y13858" s="21" t="n">
        <v>0</v>
      </c>
      <c r="Z13858" s="19" t="n"/>
    </row>
    <row r="13859">
      <c r="D13859" s="21" t="n">
        <v>0</v>
      </c>
      <c r="E13859" s="21" t="n">
        <v>0</v>
      </c>
      <c r="F13859" s="21" t="n">
        <v>0</v>
      </c>
      <c r="G13859" s="21" t="n">
        <v>0</v>
      </c>
      <c r="H13859" s="21" t="n">
        <v>0</v>
      </c>
      <c r="I13859" s="21" t="n">
        <v>0</v>
      </c>
      <c r="J13859" s="21" t="n">
        <v>0</v>
      </c>
      <c r="K13859" s="21" t="n">
        <v>0</v>
      </c>
      <c r="L13859" s="21">
        <f>$B$12190</f>
        <v/>
      </c>
      <c r="M13859" s="21">
        <f>$B$12192</f>
        <v/>
      </c>
      <c r="N13859" s="21">
        <f>0</f>
        <v/>
      </c>
      <c r="O13859" s="21">
        <f>2*$B$12191</f>
        <v/>
      </c>
      <c r="P13859" s="21">
        <f>-$B$12190</f>
        <v/>
      </c>
      <c r="Q13859" s="21">
        <f>$B$12192</f>
        <v/>
      </c>
      <c r="R13859" s="21" t="n">
        <v>0</v>
      </c>
      <c r="S13859" s="21" t="n">
        <v>0</v>
      </c>
      <c r="T13859" s="21" t="n">
        <v>0</v>
      </c>
      <c r="U13859" s="21" t="n">
        <v>0</v>
      </c>
      <c r="V13859" s="21" t="n">
        <v>0</v>
      </c>
      <c r="W13859" s="21" t="n">
        <v>0</v>
      </c>
      <c r="X13859" s="21" t="n">
        <v>0</v>
      </c>
      <c r="Y13859" s="21" t="n">
        <v>0</v>
      </c>
      <c r="Z13859" s="19" t="n"/>
    </row>
    <row r="13860">
      <c r="D13860" s="21" t="n">
        <v>0</v>
      </c>
      <c r="E13860" s="21" t="n">
        <v>0</v>
      </c>
      <c r="F13860" s="21" t="n">
        <v>0</v>
      </c>
      <c r="G13860" s="21" t="n">
        <v>0</v>
      </c>
      <c r="H13860" s="21" t="n">
        <v>0</v>
      </c>
      <c r="I13860" s="21" t="n">
        <v>0</v>
      </c>
      <c r="J13860" s="21" t="n">
        <v>0</v>
      </c>
      <c r="K13860" s="21" t="n">
        <v>0</v>
      </c>
      <c r="L13860" s="21" t="n">
        <v>0</v>
      </c>
      <c r="M13860" s="21" t="n">
        <v>0</v>
      </c>
      <c r="N13860" s="21">
        <f>-$B$12189</f>
        <v/>
      </c>
      <c r="O13860" s="21">
        <f>-$B$12190</f>
        <v/>
      </c>
      <c r="P13860" s="21">
        <f>2*$B$12189+$D$13842</f>
        <v/>
      </c>
      <c r="Q13860" s="21">
        <f>0</f>
        <v/>
      </c>
      <c r="R13860" s="21">
        <f>-$B$12189</f>
        <v/>
      </c>
      <c r="S13860" s="21">
        <f>$B$12190</f>
        <v/>
      </c>
      <c r="T13860" s="21" t="n">
        <v>0</v>
      </c>
      <c r="U13860" s="21" t="n">
        <v>0</v>
      </c>
      <c r="V13860" s="21" t="n">
        <v>0</v>
      </c>
      <c r="W13860" s="21" t="n">
        <v>0</v>
      </c>
      <c r="X13860" s="21" t="n">
        <v>0</v>
      </c>
      <c r="Y13860" s="21" t="n">
        <v>0</v>
      </c>
      <c r="Z13860" s="19" t="n"/>
    </row>
    <row r="13861">
      <c r="D13861" s="21" t="n">
        <v>0</v>
      </c>
      <c r="E13861" s="21" t="n">
        <v>0</v>
      </c>
      <c r="F13861" s="21" t="n">
        <v>0</v>
      </c>
      <c r="G13861" s="21" t="n">
        <v>0</v>
      </c>
      <c r="H13861" s="21" t="n">
        <v>0</v>
      </c>
      <c r="I13861" s="21" t="n">
        <v>0</v>
      </c>
      <c r="J13861" s="21" t="n">
        <v>0</v>
      </c>
      <c r="K13861" s="21" t="n">
        <v>0</v>
      </c>
      <c r="L13861" s="21" t="n">
        <v>0</v>
      </c>
      <c r="M13861" s="21" t="n">
        <v>0</v>
      </c>
      <c r="N13861" s="21">
        <f>$B$12190</f>
        <v/>
      </c>
      <c r="O13861" s="21">
        <f>$B$12192</f>
        <v/>
      </c>
      <c r="P13861" s="21">
        <f>0</f>
        <v/>
      </c>
      <c r="Q13861" s="21">
        <f>2*$B$12191</f>
        <v/>
      </c>
      <c r="R13861" s="21">
        <f>-$B$12190</f>
        <v/>
      </c>
      <c r="S13861" s="21">
        <f>$B$12192</f>
        <v/>
      </c>
      <c r="T13861" s="21" t="n">
        <v>0</v>
      </c>
      <c r="U13861" s="21" t="n">
        <v>0</v>
      </c>
      <c r="V13861" s="21" t="n">
        <v>0</v>
      </c>
      <c r="W13861" s="21" t="n">
        <v>0</v>
      </c>
      <c r="X13861" s="21" t="n">
        <v>0</v>
      </c>
      <c r="Y13861" s="21" t="n">
        <v>0</v>
      </c>
      <c r="Z13861" s="19" t="n"/>
    </row>
    <row r="13862">
      <c r="D13862" s="21" t="n">
        <v>0</v>
      </c>
      <c r="E13862" s="21" t="n">
        <v>0</v>
      </c>
      <c r="F13862" s="21" t="n">
        <v>0</v>
      </c>
      <c r="G13862" s="21" t="n">
        <v>0</v>
      </c>
      <c r="H13862" s="21" t="n">
        <v>0</v>
      </c>
      <c r="I13862" s="21" t="n">
        <v>0</v>
      </c>
      <c r="J13862" s="21" t="n">
        <v>0</v>
      </c>
      <c r="K13862" s="21" t="n">
        <v>0</v>
      </c>
      <c r="L13862" s="21" t="n">
        <v>0</v>
      </c>
      <c r="M13862" s="21" t="n">
        <v>0</v>
      </c>
      <c r="N13862" s="21" t="n">
        <v>0</v>
      </c>
      <c r="O13862" s="21" t="n">
        <v>0</v>
      </c>
      <c r="P13862" s="21">
        <f>-$B$12189</f>
        <v/>
      </c>
      <c r="Q13862" s="21">
        <f>-$B$12190</f>
        <v/>
      </c>
      <c r="R13862" s="21">
        <f>2*$B$12189+$D$13843</f>
        <v/>
      </c>
      <c r="S13862" s="21">
        <f>0</f>
        <v/>
      </c>
      <c r="T13862" s="21">
        <f>-$B$12189</f>
        <v/>
      </c>
      <c r="U13862" s="21">
        <f>$B$12190</f>
        <v/>
      </c>
      <c r="V13862" s="21" t="n">
        <v>0</v>
      </c>
      <c r="W13862" s="21" t="n">
        <v>0</v>
      </c>
      <c r="X13862" s="21" t="n">
        <v>0</v>
      </c>
      <c r="Y13862" s="21" t="n">
        <v>0</v>
      </c>
      <c r="Z13862" s="19" t="n"/>
    </row>
    <row r="13863">
      <c r="D13863" s="21" t="n">
        <v>0</v>
      </c>
      <c r="E13863" s="21" t="n">
        <v>0</v>
      </c>
      <c r="F13863" s="21" t="n">
        <v>0</v>
      </c>
      <c r="G13863" s="21" t="n">
        <v>0</v>
      </c>
      <c r="H13863" s="21" t="n">
        <v>0</v>
      </c>
      <c r="I13863" s="21" t="n">
        <v>0</v>
      </c>
      <c r="J13863" s="21" t="n">
        <v>0</v>
      </c>
      <c r="K13863" s="21" t="n">
        <v>0</v>
      </c>
      <c r="L13863" s="21" t="n">
        <v>0</v>
      </c>
      <c r="M13863" s="21" t="n">
        <v>0</v>
      </c>
      <c r="N13863" s="21" t="n">
        <v>0</v>
      </c>
      <c r="O13863" s="21" t="n">
        <v>0</v>
      </c>
      <c r="P13863" s="21">
        <f>$B$12190</f>
        <v/>
      </c>
      <c r="Q13863" s="21">
        <f>$B$12192</f>
        <v/>
      </c>
      <c r="R13863" s="21">
        <f>0</f>
        <v/>
      </c>
      <c r="S13863" s="21">
        <f>2*$B$12191</f>
        <v/>
      </c>
      <c r="T13863" s="21">
        <f>-$B$12190</f>
        <v/>
      </c>
      <c r="U13863" s="21">
        <f>$B$12192</f>
        <v/>
      </c>
      <c r="V13863" s="21" t="n">
        <v>0</v>
      </c>
      <c r="W13863" s="21" t="n">
        <v>0</v>
      </c>
      <c r="X13863" s="21" t="n">
        <v>0</v>
      </c>
      <c r="Y13863" s="21" t="n">
        <v>0</v>
      </c>
      <c r="Z13863" s="19" t="n"/>
    </row>
    <row r="13864">
      <c r="D13864" s="21" t="n">
        <v>0</v>
      </c>
      <c r="E13864" s="21" t="n">
        <v>0</v>
      </c>
      <c r="F13864" s="21" t="n">
        <v>0</v>
      </c>
      <c r="G13864" s="21" t="n">
        <v>0</v>
      </c>
      <c r="H13864" s="21" t="n">
        <v>0</v>
      </c>
      <c r="I13864" s="21" t="n">
        <v>0</v>
      </c>
      <c r="J13864" s="21" t="n">
        <v>0</v>
      </c>
      <c r="K13864" s="21" t="n">
        <v>0</v>
      </c>
      <c r="L13864" s="21" t="n">
        <v>0</v>
      </c>
      <c r="M13864" s="21" t="n">
        <v>0</v>
      </c>
      <c r="N13864" s="21" t="n">
        <v>0</v>
      </c>
      <c r="O13864" s="21" t="n">
        <v>0</v>
      </c>
      <c r="P13864" s="21" t="n">
        <v>0</v>
      </c>
      <c r="Q13864" s="21" t="n">
        <v>0</v>
      </c>
      <c r="R13864" s="21">
        <f>-$B$12189</f>
        <v/>
      </c>
      <c r="S13864" s="21">
        <f>-$B$12190</f>
        <v/>
      </c>
      <c r="T13864" s="21">
        <f>2*$B$12189+$D$13844</f>
        <v/>
      </c>
      <c r="U13864" s="21">
        <f>0</f>
        <v/>
      </c>
      <c r="V13864" s="21">
        <f>-$B$12189</f>
        <v/>
      </c>
      <c r="W13864" s="21">
        <f>$B$12190</f>
        <v/>
      </c>
      <c r="X13864" s="21" t="n">
        <v>0</v>
      </c>
      <c r="Y13864" s="21" t="n">
        <v>0</v>
      </c>
      <c r="Z13864" s="19" t="n"/>
    </row>
    <row r="13865">
      <c r="D13865" s="21" t="n">
        <v>0</v>
      </c>
      <c r="E13865" s="21" t="n">
        <v>0</v>
      </c>
      <c r="F13865" s="21" t="n">
        <v>0</v>
      </c>
      <c r="G13865" s="21" t="n">
        <v>0</v>
      </c>
      <c r="H13865" s="21" t="n">
        <v>0</v>
      </c>
      <c r="I13865" s="21" t="n">
        <v>0</v>
      </c>
      <c r="J13865" s="21" t="n">
        <v>0</v>
      </c>
      <c r="K13865" s="21" t="n">
        <v>0</v>
      </c>
      <c r="L13865" s="21" t="n">
        <v>0</v>
      </c>
      <c r="M13865" s="21" t="n">
        <v>0</v>
      </c>
      <c r="N13865" s="21" t="n">
        <v>0</v>
      </c>
      <c r="O13865" s="21" t="n">
        <v>0</v>
      </c>
      <c r="P13865" s="21" t="n">
        <v>0</v>
      </c>
      <c r="Q13865" s="21" t="n">
        <v>0</v>
      </c>
      <c r="R13865" s="21">
        <f>$B$12190</f>
        <v/>
      </c>
      <c r="S13865" s="21">
        <f>$B$12192</f>
        <v/>
      </c>
      <c r="T13865" s="21">
        <f>0</f>
        <v/>
      </c>
      <c r="U13865" s="21">
        <f>2*$B$12191</f>
        <v/>
      </c>
      <c r="V13865" s="21">
        <f>-$B$12190</f>
        <v/>
      </c>
      <c r="W13865" s="21">
        <f>$B$12192</f>
        <v/>
      </c>
      <c r="X13865" s="21" t="n">
        <v>0</v>
      </c>
      <c r="Y13865" s="21" t="n">
        <v>0</v>
      </c>
      <c r="Z13865" s="19" t="n"/>
    </row>
    <row r="13866">
      <c r="D13866" s="21" t="n">
        <v>0</v>
      </c>
      <c r="E13866" s="21" t="n">
        <v>0</v>
      </c>
      <c r="F13866" s="21" t="n">
        <v>0</v>
      </c>
      <c r="G13866" s="21" t="n">
        <v>0</v>
      </c>
      <c r="H13866" s="21" t="n">
        <v>0</v>
      </c>
      <c r="I13866" s="21" t="n">
        <v>0</v>
      </c>
      <c r="J13866" s="21" t="n">
        <v>0</v>
      </c>
      <c r="K13866" s="21" t="n">
        <v>0</v>
      </c>
      <c r="L13866" s="21" t="n">
        <v>0</v>
      </c>
      <c r="M13866" s="21" t="n">
        <v>0</v>
      </c>
      <c r="N13866" s="21" t="n">
        <v>0</v>
      </c>
      <c r="O13866" s="21" t="n">
        <v>0</v>
      </c>
      <c r="P13866" s="21" t="n">
        <v>0</v>
      </c>
      <c r="Q13866" s="21" t="n">
        <v>0</v>
      </c>
      <c r="R13866" s="21" t="n">
        <v>0</v>
      </c>
      <c r="S13866" s="21" t="n">
        <v>0</v>
      </c>
      <c r="T13866" s="21">
        <f>-$B$12189</f>
        <v/>
      </c>
      <c r="U13866" s="21">
        <f>-$B$12190</f>
        <v/>
      </c>
      <c r="V13866" s="21">
        <f>2*$B$12189+$D$13845</f>
        <v/>
      </c>
      <c r="W13866" s="21">
        <f>0</f>
        <v/>
      </c>
      <c r="X13866" s="21">
        <f>-$B$12189</f>
        <v/>
      </c>
      <c r="Y13866" s="21">
        <f>$B$12190</f>
        <v/>
      </c>
      <c r="Z13866" s="19" t="n"/>
    </row>
    <row r="13867">
      <c r="D13867" s="21" t="n">
        <v>0</v>
      </c>
      <c r="E13867" s="21" t="n">
        <v>0</v>
      </c>
      <c r="F13867" s="21" t="n">
        <v>0</v>
      </c>
      <c r="G13867" s="21" t="n">
        <v>0</v>
      </c>
      <c r="H13867" s="21" t="n">
        <v>0</v>
      </c>
      <c r="I13867" s="21" t="n">
        <v>0</v>
      </c>
      <c r="J13867" s="21" t="n">
        <v>0</v>
      </c>
      <c r="K13867" s="21" t="n">
        <v>0</v>
      </c>
      <c r="L13867" s="21" t="n">
        <v>0</v>
      </c>
      <c r="M13867" s="21" t="n">
        <v>0</v>
      </c>
      <c r="N13867" s="21" t="n">
        <v>0</v>
      </c>
      <c r="O13867" s="21" t="n">
        <v>0</v>
      </c>
      <c r="P13867" s="21" t="n">
        <v>0</v>
      </c>
      <c r="Q13867" s="21" t="n">
        <v>0</v>
      </c>
      <c r="R13867" s="21" t="n">
        <v>0</v>
      </c>
      <c r="S13867" s="21" t="n">
        <v>0</v>
      </c>
      <c r="T13867" s="21">
        <f>$B$12190</f>
        <v/>
      </c>
      <c r="U13867" s="21">
        <f>$B$12192</f>
        <v/>
      </c>
      <c r="V13867" s="21">
        <f>0</f>
        <v/>
      </c>
      <c r="W13867" s="21">
        <f>2*$B$12191</f>
        <v/>
      </c>
      <c r="X13867" s="21">
        <f>-$B$12190</f>
        <v/>
      </c>
      <c r="Y13867" s="21">
        <f>$B$12192</f>
        <v/>
      </c>
      <c r="Z13867" s="19" t="n"/>
    </row>
    <row r="13868">
      <c r="D13868" s="21" t="n">
        <v>0</v>
      </c>
      <c r="E13868" s="21" t="n">
        <v>0</v>
      </c>
      <c r="F13868" s="21" t="n">
        <v>0</v>
      </c>
      <c r="G13868" s="21" t="n">
        <v>0</v>
      </c>
      <c r="H13868" s="21" t="n">
        <v>0</v>
      </c>
      <c r="I13868" s="21" t="n">
        <v>0</v>
      </c>
      <c r="J13868" s="21" t="n">
        <v>0</v>
      </c>
      <c r="K13868" s="21" t="n">
        <v>0</v>
      </c>
      <c r="L13868" s="21" t="n">
        <v>0</v>
      </c>
      <c r="M13868" s="21" t="n">
        <v>0</v>
      </c>
      <c r="N13868" s="21" t="n">
        <v>0</v>
      </c>
      <c r="O13868" s="21" t="n">
        <v>0</v>
      </c>
      <c r="P13868" s="21" t="n">
        <v>0</v>
      </c>
      <c r="Q13868" s="21" t="n">
        <v>0</v>
      </c>
      <c r="R13868" s="21" t="n">
        <v>0</v>
      </c>
      <c r="S13868" s="21" t="n">
        <v>0</v>
      </c>
      <c r="T13868" s="21" t="n">
        <v>0</v>
      </c>
      <c r="U13868" s="21" t="n">
        <v>0</v>
      </c>
      <c r="V13868" s="21">
        <f>-$B$12189</f>
        <v/>
      </c>
      <c r="W13868" s="21">
        <f>-$B$12190</f>
        <v/>
      </c>
      <c r="X13868" s="21">
        <f>$B$12189+$D$13846</f>
        <v/>
      </c>
      <c r="Y13868" s="21">
        <f>-$B$12190</f>
        <v/>
      </c>
      <c r="Z13868" s="19" t="n"/>
    </row>
    <row r="13869">
      <c r="D13869" s="21" t="n">
        <v>0</v>
      </c>
      <c r="E13869" s="21" t="n">
        <v>0</v>
      </c>
      <c r="F13869" s="21" t="n">
        <v>0</v>
      </c>
      <c r="G13869" s="21" t="n">
        <v>0</v>
      </c>
      <c r="H13869" s="21" t="n">
        <v>0</v>
      </c>
      <c r="I13869" s="21" t="n">
        <v>0</v>
      </c>
      <c r="J13869" s="21" t="n">
        <v>0</v>
      </c>
      <c r="K13869" s="21" t="n">
        <v>0</v>
      </c>
      <c r="L13869" s="21" t="n">
        <v>0</v>
      </c>
      <c r="M13869" s="21" t="n">
        <v>0</v>
      </c>
      <c r="N13869" s="21" t="n">
        <v>0</v>
      </c>
      <c r="O13869" s="21" t="n">
        <v>0</v>
      </c>
      <c r="P13869" s="21" t="n">
        <v>0</v>
      </c>
      <c r="Q13869" s="21" t="n">
        <v>0</v>
      </c>
      <c r="R13869" s="21" t="n">
        <v>0</v>
      </c>
      <c r="S13869" s="21" t="n">
        <v>0</v>
      </c>
      <c r="T13869" s="21" t="n">
        <v>0</v>
      </c>
      <c r="U13869" s="21" t="n">
        <v>0</v>
      </c>
      <c r="V13869" s="21">
        <f>$B$12190</f>
        <v/>
      </c>
      <c r="W13869" s="21">
        <f>$B$12192</f>
        <v/>
      </c>
      <c r="X13869" s="21">
        <f>-$B$12190</f>
        <v/>
      </c>
      <c r="Y13869" s="21">
        <f>$B$12191</f>
        <v/>
      </c>
      <c r="Z13869" s="19" t="n"/>
    </row>
    <row r="13872">
      <c r="D13872" s="18" t="inlineStr">
        <is>
          <t>e</t>
        </is>
      </c>
      <c r="E13872" s="18" t="inlineStr">
        <is>
          <t>y_e</t>
        </is>
      </c>
      <c r="F13872" s="18" t="inlineStr">
        <is>
          <t>theta_e</t>
        </is>
      </c>
      <c r="G13872" s="18" t="inlineStr">
        <is>
          <t>y_e+1</t>
        </is>
      </c>
      <c r="H13872" s="18" t="inlineStr">
        <is>
          <t>theta_e+1</t>
        </is>
      </c>
      <c r="I13872" s="18" t="inlineStr">
        <is>
          <t>fe1</t>
        </is>
      </c>
      <c r="J13872" s="18" t="inlineStr">
        <is>
          <t>fe3</t>
        </is>
      </c>
      <c r="K13872" s="18" t="inlineStr">
        <is>
          <t>M (kN*m)</t>
        </is>
      </c>
    </row>
    <row r="13873">
      <c r="D13873" t="n">
        <v>0</v>
      </c>
      <c r="E13873" s="19">
        <f>$E$13836</f>
        <v/>
      </c>
      <c r="F13873" s="19">
        <f>$F$13836</f>
        <v/>
      </c>
      <c r="G13873" s="19">
        <f>$E$13837</f>
        <v/>
      </c>
      <c r="H13873" s="19">
        <f>$F$13837</f>
        <v/>
      </c>
      <c r="I13873" s="19">
        <f>$B$12190*$E$13873+$B$12191*$F$13873-$B$12190*$G$13873+$B$12192*$H$13873</f>
        <v/>
      </c>
      <c r="J13873" s="19">
        <f>$B$12190*$E$13873+$B$12192*$F$13873-$B$12190*$G$13873+$B$12191*$H$13873</f>
        <v/>
      </c>
      <c r="K13873" s="21">
        <f>-$I$13873</f>
        <v/>
      </c>
    </row>
    <row r="13874">
      <c r="D13874" t="n">
        <v>1</v>
      </c>
      <c r="E13874" s="19">
        <f>$E$13837</f>
        <v/>
      </c>
      <c r="F13874" s="19">
        <f>$F$13837</f>
        <v/>
      </c>
      <c r="G13874" s="19">
        <f>$E$13838</f>
        <v/>
      </c>
      <c r="H13874" s="19">
        <f>$F$13838</f>
        <v/>
      </c>
      <c r="I13874" s="19">
        <f>$B$12190*$E$13874+$B$12191*$F$13874-$B$12190*$G$13874+$B$12192*$H$13874</f>
        <v/>
      </c>
      <c r="J13874" s="19">
        <f>$B$12190*$E$13874+$B$12192*$F$13874-$B$12190*$G$13874+$B$12191*$H$13874</f>
        <v/>
      </c>
      <c r="K13874" s="21">
        <f>($J$13873-$I$13874)/2</f>
        <v/>
      </c>
    </row>
    <row r="13875">
      <c r="D13875" t="n">
        <v>2</v>
      </c>
      <c r="E13875" s="19">
        <f>$E$13838</f>
        <v/>
      </c>
      <c r="F13875" s="19">
        <f>$F$13838</f>
        <v/>
      </c>
      <c r="G13875" s="19">
        <f>$E$13839</f>
        <v/>
      </c>
      <c r="H13875" s="19">
        <f>$F$13839</f>
        <v/>
      </c>
      <c r="I13875" s="19">
        <f>$B$12190*$E$13875+$B$12191*$F$13875-$B$12190*$G$13875+$B$12192*$H$13875</f>
        <v/>
      </c>
      <c r="J13875" s="19">
        <f>$B$12190*$E$13875+$B$12192*$F$13875-$B$12190*$G$13875+$B$12191*$H$13875</f>
        <v/>
      </c>
      <c r="K13875" s="21">
        <f>($J$13874-$I$13875)/2</f>
        <v/>
      </c>
    </row>
    <row r="13876">
      <c r="D13876" t="n">
        <v>3</v>
      </c>
      <c r="E13876" s="19">
        <f>$E$13839</f>
        <v/>
      </c>
      <c r="F13876" s="19">
        <f>$F$13839</f>
        <v/>
      </c>
      <c r="G13876" s="19">
        <f>$E$13840</f>
        <v/>
      </c>
      <c r="H13876" s="19">
        <f>$F$13840</f>
        <v/>
      </c>
      <c r="I13876" s="19">
        <f>$B$12190*$E$13876+$B$12191*$F$13876-$B$12190*$G$13876+$B$12192*$H$13876</f>
        <v/>
      </c>
      <c r="J13876" s="19">
        <f>$B$12190*$E$13876+$B$12192*$F$13876-$B$12190*$G$13876+$B$12191*$H$13876</f>
        <v/>
      </c>
      <c r="K13876" s="21">
        <f>($J$13875-$I$13876)/2</f>
        <v/>
      </c>
    </row>
    <row r="13877">
      <c r="D13877" t="n">
        <v>4</v>
      </c>
      <c r="E13877" s="19">
        <f>$E$13840</f>
        <v/>
      </c>
      <c r="F13877" s="19">
        <f>$F$13840</f>
        <v/>
      </c>
      <c r="G13877" s="19">
        <f>$E$13841</f>
        <v/>
      </c>
      <c r="H13877" s="19">
        <f>$F$13841</f>
        <v/>
      </c>
      <c r="I13877" s="19">
        <f>$B$12190*$E$13877+$B$12191*$F$13877-$B$12190*$G$13877+$B$12192*$H$13877</f>
        <v/>
      </c>
      <c r="J13877" s="19">
        <f>$B$12190*$E$13877+$B$12192*$F$13877-$B$12190*$G$13877+$B$12191*$H$13877</f>
        <v/>
      </c>
      <c r="K13877" s="21">
        <f>($J$13876-$I$13877)/2</f>
        <v/>
      </c>
    </row>
    <row r="13878">
      <c r="D13878" t="n">
        <v>5</v>
      </c>
      <c r="E13878" s="19">
        <f>$E$13841</f>
        <v/>
      </c>
      <c r="F13878" s="19">
        <f>$F$13841</f>
        <v/>
      </c>
      <c r="G13878" s="19">
        <f>$E$13842</f>
        <v/>
      </c>
      <c r="H13878" s="19">
        <f>$F$13842</f>
        <v/>
      </c>
      <c r="I13878" s="19">
        <f>$B$12190*$E$13878+$B$12191*$F$13878-$B$12190*$G$13878+$B$12192*$H$13878</f>
        <v/>
      </c>
      <c r="J13878" s="19">
        <f>$B$12190*$E$13878+$B$12192*$F$13878-$B$12190*$G$13878+$B$12191*$H$13878</f>
        <v/>
      </c>
      <c r="K13878" s="21">
        <f>($J$13877-$I$13878)/2</f>
        <v/>
      </c>
    </row>
    <row r="13879">
      <c r="D13879" t="n">
        <v>6</v>
      </c>
      <c r="E13879" s="19">
        <f>$E$13842</f>
        <v/>
      </c>
      <c r="F13879" s="19">
        <f>$F$13842</f>
        <v/>
      </c>
      <c r="G13879" s="19">
        <f>$E$13843</f>
        <v/>
      </c>
      <c r="H13879" s="19">
        <f>$F$13843</f>
        <v/>
      </c>
      <c r="I13879" s="19">
        <f>$B$12190*$E$13879+$B$12191*$F$13879-$B$12190*$G$13879+$B$12192*$H$13879</f>
        <v/>
      </c>
      <c r="J13879" s="19">
        <f>$B$12190*$E$13879+$B$12192*$F$13879-$B$12190*$G$13879+$B$12191*$H$13879</f>
        <v/>
      </c>
      <c r="K13879" s="21">
        <f>($J$13878-$I$13879)/2</f>
        <v/>
      </c>
    </row>
    <row r="13880">
      <c r="D13880" t="n">
        <v>7</v>
      </c>
      <c r="E13880" s="19">
        <f>$E$13843</f>
        <v/>
      </c>
      <c r="F13880" s="19">
        <f>$F$13843</f>
        <v/>
      </c>
      <c r="G13880" s="19">
        <f>$E$13844</f>
        <v/>
      </c>
      <c r="H13880" s="19">
        <f>$F$13844</f>
        <v/>
      </c>
      <c r="I13880" s="19">
        <f>$B$12190*$E$13880+$B$12191*$F$13880-$B$12190*$G$13880+$B$12192*$H$13880</f>
        <v/>
      </c>
      <c r="J13880" s="19">
        <f>$B$12190*$E$13880+$B$12192*$F$13880-$B$12190*$G$13880+$B$12191*$H$13880</f>
        <v/>
      </c>
      <c r="K13880" s="21">
        <f>($J$13879-$I$13880)/2</f>
        <v/>
      </c>
    </row>
    <row r="13881">
      <c r="D13881" t="n">
        <v>8</v>
      </c>
      <c r="E13881" s="19">
        <f>$E$13844</f>
        <v/>
      </c>
      <c r="F13881" s="19">
        <f>$F$13844</f>
        <v/>
      </c>
      <c r="G13881" s="19">
        <f>$E$13845</f>
        <v/>
      </c>
      <c r="H13881" s="19">
        <f>$F$13845</f>
        <v/>
      </c>
      <c r="I13881" s="19">
        <f>$B$12190*$E$13881+$B$12191*$F$13881-$B$12190*$G$13881+$B$12192*$H$13881</f>
        <v/>
      </c>
      <c r="J13881" s="19">
        <f>$B$12190*$E$13881+$B$12192*$F$13881-$B$12190*$G$13881+$B$12191*$H$13881</f>
        <v/>
      </c>
      <c r="K13881" s="21">
        <f>($J$13880-$I$13881)/2</f>
        <v/>
      </c>
    </row>
    <row r="13882">
      <c r="D13882" t="n">
        <v>9</v>
      </c>
      <c r="E13882" s="19">
        <f>$E$13845</f>
        <v/>
      </c>
      <c r="F13882" s="19">
        <f>$F$13845</f>
        <v/>
      </c>
      <c r="G13882" s="19">
        <f>$E$13846</f>
        <v/>
      </c>
      <c r="H13882" s="19">
        <f>$F$13846</f>
        <v/>
      </c>
      <c r="I13882" s="19">
        <f>$B$12190*$E$13882+$B$12191*$F$13882-$B$12190*$G$13882+$B$12192*$H$13882</f>
        <v/>
      </c>
      <c r="J13882" s="19">
        <f>$B$12190*$E$13882+$B$12192*$F$13882-$B$12190*$G$13882+$B$12191*$H$13882</f>
        <v/>
      </c>
      <c r="K13882" s="21">
        <f>($J$13881-$I$13882)/2</f>
        <v/>
      </c>
    </row>
    <row r="13883">
      <c r="K13883" s="21">
        <f>$J$13882</f>
        <v/>
      </c>
    </row>
    <row r="13885">
      <c r="A13885" s="12" t="inlineStr">
        <is>
          <t>y_gl (mm)</t>
        </is>
      </c>
      <c r="B13885" s="22">
        <f>$E$13836*1000</f>
        <v/>
      </c>
    </row>
    <row r="13886">
      <c r="A13886" s="12" t="inlineStr">
        <is>
          <t>theta_gl (deg)</t>
        </is>
      </c>
      <c r="B13886" s="23">
        <f>DEGREES($F$13836)</f>
        <v/>
      </c>
    </row>
    <row r="13887">
      <c r="A13887" s="12" t="inlineStr">
        <is>
          <t>M_max (kN*m)</t>
        </is>
      </c>
      <c r="B13887" s="22">
        <f t="array" ref="B13887">MAX(ABS($K$13873:$K$13883))</f>
        <v/>
      </c>
    </row>
  </sheetData>
  <mergeCells count="14">
    <mergeCell ref="A3600:M3600"/>
    <mergeCell ref="A5325:M5325"/>
    <mergeCell ref="A1:M1"/>
    <mergeCell ref="A12177:M12177"/>
    <mergeCell ref="A1799:M1799"/>
    <mergeCell ref="A6:M6"/>
    <mergeCell ref="A10464:M10464"/>
    <mergeCell ref="A4:M4"/>
    <mergeCell ref="A3:M3"/>
    <mergeCell ref="A3612:M3612"/>
    <mergeCell ref="A3601:M3601"/>
    <mergeCell ref="A7038:M7038"/>
    <mergeCell ref="A8751:M8751"/>
    <mergeCell ref="A3592:M3592"/>
  </mergeCells>
  <conditionalFormatting sqref="D3595">
    <cfRule type="expression" priority="1" dxfId="0">
      <formula>$D$3595=TRUE</formula>
    </cfRule>
    <cfRule type="expression" priority="2" dxfId="1">
      <formula>$D$3595=FALSE</formula>
    </cfRule>
  </conditionalFormatting>
  <conditionalFormatting sqref="D3596">
    <cfRule type="expression" priority="3" dxfId="0">
      <formula>$D$3596=TRUE</formula>
    </cfRule>
    <cfRule type="expression" priority="4" dxfId="1">
      <formula>$D$3596=FALSE</formula>
    </cfRule>
  </conditionalFormatting>
  <conditionalFormatting sqref="D3597">
    <cfRule type="expression" priority="5" dxfId="0">
      <formula>$D$3597=TRUE</formula>
    </cfRule>
    <cfRule type="expression" priority="6" dxfId="1">
      <formula>$D$3597=FALSE</formula>
    </cfRule>
  </conditionalFormatting>
  <conditionalFormatting sqref="F3604">
    <cfRule type="expression" priority="7" dxfId="0">
      <formula>$F$3604=TRUE</formula>
    </cfRule>
    <cfRule type="expression" priority="8" dxfId="1">
      <formula>$F$3604=FALSE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6 -- SHAFT STRUCTURAL CHECKS (AISC 360, CORRODED SECTION)</t>
        </is>
      </c>
    </row>
    <row r="3">
      <c r="A3" s="5" t="inlineStr">
        <is>
          <t>structural.py -- section compactness, H1 combined axial+flexure, shear, buckling trigger, torsion cap. Doc Section 6. Uses t_corroded (Step 7), never nominal.</t>
        </is>
      </c>
    </row>
    <row r="5">
      <c r="A5" s="2" t="inlineStr">
        <is>
          <t>Section properties -- doc eq. 6.1</t>
        </is>
      </c>
    </row>
    <row r="6">
      <c r="A6" s="6" t="inlineStr">
        <is>
          <t>Shaft OD, D (Step 3)</t>
        </is>
      </c>
      <c r="D6" s="9">
        <f>'3-Sizing'!$D$10</f>
        <v/>
      </c>
      <c r="E6" s="8" t="inlineStr">
        <is>
          <t>m</t>
        </is>
      </c>
    </row>
    <row r="7">
      <c r="A7" s="6" t="inlineStr">
        <is>
          <t>Corroded wall, t_c (Step 7)</t>
        </is>
      </c>
      <c r="D7" s="9">
        <f>'7-Corrosion'!$D$19/1000</f>
        <v/>
      </c>
      <c r="E7" s="8" t="inlineStr">
        <is>
          <t>m</t>
        </is>
      </c>
    </row>
    <row r="8">
      <c r="A8" s="6" t="inlineStr">
        <is>
          <t>Steel yield strength, Fy</t>
        </is>
      </c>
      <c r="D8" s="7" t="n">
        <v>345000</v>
      </c>
      <c r="E8" s="8" t="inlineStr">
        <is>
          <t>kPa</t>
        </is>
      </c>
    </row>
    <row r="9">
      <c r="A9" s="6" t="inlineStr">
        <is>
          <t>Elastic modulus, E</t>
        </is>
      </c>
      <c r="D9" s="7" t="n">
        <v>200000000</v>
      </c>
      <c r="E9" s="8" t="inlineStr">
        <is>
          <t>kPa</t>
        </is>
      </c>
    </row>
    <row r="10">
      <c r="A10" s="6" t="inlineStr">
        <is>
          <t>Inner diameter, d_i = D - 2*t_c</t>
        </is>
      </c>
      <c r="D10" s="9">
        <f>$D$6-2*$D$7</f>
        <v/>
      </c>
      <c r="E10" s="8" t="inlineStr">
        <is>
          <t>m</t>
        </is>
      </c>
    </row>
    <row r="11">
      <c r="A11" s="6" t="inlineStr">
        <is>
          <t>Elastic section modulus, S</t>
        </is>
      </c>
      <c r="D11" s="27">
        <f>PI()/32*($D$6^4-$D$10^4)/$D$6</f>
        <v/>
      </c>
      <c r="E11" s="8" t="inlineStr">
        <is>
          <t>m^3</t>
        </is>
      </c>
    </row>
    <row r="12">
      <c r="A12" s="6" t="inlineStr">
        <is>
          <t>Plastic section modulus, Z</t>
        </is>
      </c>
      <c r="D12" s="27">
        <f>($D$6^3-$D$10^3)/6</f>
        <v/>
      </c>
      <c r="E12" s="8" t="inlineStr">
        <is>
          <t>m^3</t>
        </is>
      </c>
    </row>
    <row r="13">
      <c r="A13" s="6" t="inlineStr">
        <is>
          <t>Area, A</t>
        </is>
      </c>
      <c r="D13" s="9">
        <f>PI()/4*($D$6^2-$D$10^2)</f>
        <v/>
      </c>
      <c r="E13" s="8" t="inlineStr">
        <is>
          <t>m^2</t>
        </is>
      </c>
    </row>
    <row r="14">
      <c r="A14" s="6" t="inlineStr">
        <is>
          <t>Slenderness, D/t_c</t>
        </is>
      </c>
      <c r="D14" s="9">
        <f>$D$6/$D$7</f>
        <v/>
      </c>
      <c r="E14" s="8" t="inlineStr">
        <is>
          <t>-</t>
        </is>
      </c>
    </row>
    <row r="15">
      <c r="A15" s="6" t="inlineStr">
        <is>
          <t>Compactness limit, 0.07*E/Fy (AISC Table B4.1b)</t>
        </is>
      </c>
      <c r="D15" s="9">
        <f>0.07*$D$9/$D$8</f>
        <v/>
      </c>
      <c r="E15" s="8" t="inlineStr">
        <is>
          <t>-</t>
        </is>
      </c>
    </row>
    <row r="16">
      <c r="A16" s="12" t="inlineStr">
        <is>
          <t>Section compact?</t>
        </is>
      </c>
      <c r="D16" s="13">
        <f>$D$14&lt;=$D$15</f>
        <v/>
      </c>
    </row>
    <row r="18">
      <c r="A18" s="2" t="inlineStr">
        <is>
          <t>H1 combined axial + flexure -- doc eq. 6.2</t>
        </is>
      </c>
    </row>
    <row r="19">
      <c r="A19" s="6" t="inlineStr">
        <is>
          <t>phi_c (compression)</t>
        </is>
      </c>
      <c r="D19" s="7" t="n">
        <v>0.9</v>
      </c>
      <c r="E19" s="8" t="inlineStr">
        <is>
          <t>-</t>
        </is>
      </c>
    </row>
    <row r="20">
      <c r="A20" s="6" t="inlineStr">
        <is>
          <t>phi_b (flexure)</t>
        </is>
      </c>
      <c r="D20" s="7" t="n">
        <v>0.9</v>
      </c>
      <c r="E20" s="8" t="inlineStr">
        <is>
          <t>-</t>
        </is>
      </c>
    </row>
    <row r="21">
      <c r="A21" s="6" t="inlineStr">
        <is>
          <t>Axial demand, Pr (Step 1 strength P)</t>
        </is>
      </c>
      <c r="D21" s="9">
        <f>'1-Loads'!$D$40</f>
        <v/>
      </c>
      <c r="E21" s="8" t="inlineStr">
        <is>
          <t>kN</t>
        </is>
      </c>
    </row>
    <row r="22">
      <c r="A22" s="6" t="inlineStr">
        <is>
          <t>Flexural demand, Mr (Step 5b strength M_max)</t>
        </is>
      </c>
      <c r="D22" s="9">
        <f>'5b-pySolver'!$B$3589</f>
        <v/>
      </c>
      <c r="E22" s="8" t="inlineStr">
        <is>
          <t>kN*m</t>
        </is>
      </c>
    </row>
    <row r="23">
      <c r="A23" s="6" t="inlineStr">
        <is>
          <t>Pc = phi_c*Fy*A</t>
        </is>
      </c>
      <c r="D23" s="9">
        <f>$D$19*$D$8*$D$13</f>
        <v/>
      </c>
      <c r="E23" s="8" t="inlineStr">
        <is>
          <t>kN</t>
        </is>
      </c>
    </row>
    <row r="24">
      <c r="A24" s="6" t="inlineStr">
        <is>
          <t>Mc = phi_b*Fy*Z</t>
        </is>
      </c>
      <c r="D24" s="9">
        <f>$D$20*$D$8*$D$12</f>
        <v/>
      </c>
      <c r="E24" s="8" t="inlineStr">
        <is>
          <t>kN*m</t>
        </is>
      </c>
    </row>
    <row r="25">
      <c r="A25" s="6" t="inlineStr">
        <is>
          <t>Pr/Pc</t>
        </is>
      </c>
      <c r="D25" s="15">
        <f>$D$21/$D$23</f>
        <v/>
      </c>
      <c r="E25" s="8" t="inlineStr">
        <is>
          <t>-</t>
        </is>
      </c>
    </row>
    <row r="26">
      <c r="A26" s="6" t="inlineStr">
        <is>
          <t>Mr/Mc</t>
        </is>
      </c>
      <c r="D26" s="15">
        <f>$D$22/$D$24</f>
        <v/>
      </c>
      <c r="E26" s="8" t="inlineStr">
        <is>
          <t>-</t>
        </is>
      </c>
    </row>
    <row r="27">
      <c r="A27" s="6" t="inlineStr">
        <is>
          <t>Governing equation</t>
        </is>
      </c>
      <c r="D27" s="16">
        <f>IF($D$25&gt;=0.2,"H1-1a","H1-1b")</f>
        <v/>
      </c>
      <c r="E27" s="8" t="inlineStr">
        <is>
          <t>-</t>
        </is>
      </c>
    </row>
    <row r="28">
      <c r="A28" s="6" t="inlineStr">
        <is>
          <t>Interaction ratio</t>
        </is>
      </c>
      <c r="D28" s="28">
        <f>IF($D$25&gt;=0.2,$D$25+(8/9)*$D$26,$D$25/2+$D$26)</f>
        <v/>
      </c>
      <c r="E28" s="8" t="inlineStr">
        <is>
          <t>-</t>
        </is>
      </c>
    </row>
    <row r="29">
      <c r="A29" s="12" t="inlineStr">
        <is>
          <t>H1 interaction passes (ratio&lt;=1.0)?</t>
        </is>
      </c>
      <c r="D29" s="13">
        <f>$D$28&lt;=1</f>
        <v/>
      </c>
    </row>
    <row r="31">
      <c r="A31" s="2" t="inlineStr">
        <is>
          <t>Shear -- doc Section 6.2 (trivially satisfied for light poles, checked anyway)</t>
        </is>
      </c>
    </row>
    <row r="32">
      <c r="A32" s="6" t="inlineStr">
        <is>
          <t>phi_v (shear)</t>
        </is>
      </c>
      <c r="D32" s="7" t="n">
        <v>0.9</v>
      </c>
      <c r="E32" s="8" t="inlineStr">
        <is>
          <t>-</t>
        </is>
      </c>
    </row>
    <row r="33">
      <c r="A33" s="6" t="inlineStr">
        <is>
          <t>Shear demand, Vu (Step 1 strength V)</t>
        </is>
      </c>
      <c r="D33" s="9">
        <f>'1-Loads'!$D$38</f>
        <v/>
      </c>
      <c r="E33" s="8" t="inlineStr">
        <is>
          <t>kN</t>
        </is>
      </c>
    </row>
    <row r="34">
      <c r="A34" s="6" t="inlineStr">
        <is>
          <t>Vn = 0.6*Fy*(A/2)</t>
        </is>
      </c>
      <c r="D34" s="9">
        <f>0.6*$D$8*($D$13/2)</f>
        <v/>
      </c>
      <c r="E34" s="8" t="inlineStr">
        <is>
          <t>kN</t>
        </is>
      </c>
    </row>
    <row r="35">
      <c r="A35" s="12" t="inlineStr">
        <is>
          <t>Shear passes?</t>
        </is>
      </c>
      <c r="D35" s="13">
        <f>$D$33&lt;=$D$32*$D$34</f>
        <v/>
      </c>
    </row>
    <row r="37">
      <c r="A37" s="2" t="inlineStr">
        <is>
          <t>Column-buckling trigger -- doc Section 6.3 (advisory; run a separate Pn check if triggered)</t>
        </is>
      </c>
    </row>
    <row r="38">
      <c r="A38" s="6" t="inlineStr">
        <is>
          <t>Su (Step 2)</t>
        </is>
      </c>
      <c r="D38" s="9">
        <f>'2-Geotech'!$D$15</f>
        <v/>
      </c>
      <c r="E38" s="8" t="inlineStr">
        <is>
          <t>kPa</t>
        </is>
      </c>
    </row>
    <row r="39">
      <c r="A39" s="6" t="inlineStr">
        <is>
          <t>Continuous weak layer thickness through which pile passes</t>
        </is>
      </c>
      <c r="D39" s="7" t="n">
        <v>4.5</v>
      </c>
      <c r="E39" s="8" t="inlineStr">
        <is>
          <t>m</t>
        </is>
      </c>
    </row>
    <row r="40">
      <c r="A40" s="6" t="inlineStr">
        <is>
          <t>Shaft exposed or scoured?</t>
        </is>
      </c>
      <c r="D40" s="7" t="inlineStr">
        <is>
          <t>No</t>
        </is>
      </c>
    </row>
    <row r="41">
      <c r="A41" s="12" t="inlineStr">
        <is>
          <t>Buckling check triggered? (TRUE = perform separate Pn check)</t>
        </is>
      </c>
      <c r="D41" s="13">
        <f>IF($D$40="Yes",TRUE,IF(AND($D$39&gt;=1.5,$D$38&lt;25),TRUE,FALSE))</f>
        <v/>
      </c>
    </row>
    <row r="43">
      <c r="A43" s="2" t="inlineStr">
        <is>
          <t>Installation torsion cap -- doc eq. 6.4</t>
        </is>
      </c>
    </row>
    <row r="44">
      <c r="A44" s="6" t="inlineStr">
        <is>
          <t>phi_T</t>
        </is>
      </c>
      <c r="D44" s="7" t="n">
        <v>0.9</v>
      </c>
      <c r="E44" s="8" t="inlineStr">
        <is>
          <t>-</t>
        </is>
      </c>
    </row>
    <row r="45">
      <c r="A45" s="6" t="inlineStr">
        <is>
          <t>T_install_max (Step 9 T_avg)</t>
        </is>
      </c>
      <c r="D45" s="9">
        <f>'9-Torque'!$D$12</f>
        <v/>
      </c>
      <c r="E45" s="8" t="inlineStr">
        <is>
          <t>kN*m</t>
        </is>
      </c>
    </row>
    <row r="46">
      <c r="A46" s="6" t="inlineStr">
        <is>
          <t>T_rated (Step 9)</t>
        </is>
      </c>
      <c r="D46" s="9">
        <f>'9-Torque'!$D$11</f>
        <v/>
      </c>
      <c r="E46" s="8" t="inlineStr">
        <is>
          <t>kN*m</t>
        </is>
      </c>
    </row>
    <row r="47">
      <c r="A47" s="12" t="inlineStr">
        <is>
          <t>Torsion cap OK?</t>
        </is>
      </c>
      <c r="D47" s="13">
        <f>$D$45&lt;=$D$44*$D$46</f>
        <v/>
      </c>
    </row>
  </sheetData>
  <mergeCells count="7">
    <mergeCell ref="A18:H18"/>
    <mergeCell ref="A1:H1"/>
    <mergeCell ref="A3:H3"/>
    <mergeCell ref="A43:H43"/>
    <mergeCell ref="A5:H5"/>
    <mergeCell ref="A37:H37"/>
    <mergeCell ref="A31:H31"/>
  </mergeCells>
  <conditionalFormatting sqref="D16">
    <cfRule type="expression" priority="1" dxfId="0">
      <formula>$D$16=TRUE</formula>
    </cfRule>
    <cfRule type="expression" priority="2" dxfId="1">
      <formula>$D$16=FALSE</formula>
    </cfRule>
  </conditionalFormatting>
  <conditionalFormatting sqref="D29">
    <cfRule type="expression" priority="3" dxfId="0">
      <formula>$D$29=TRUE</formula>
    </cfRule>
    <cfRule type="expression" priority="4" dxfId="1">
      <formula>$D$29=FALSE</formula>
    </cfRule>
  </conditionalFormatting>
  <conditionalFormatting sqref="D35">
    <cfRule type="expression" priority="5" dxfId="0">
      <formula>$D$35=TRUE</formula>
    </cfRule>
    <cfRule type="expression" priority="6" dxfId="1">
      <formula>$D$35=FALSE</formula>
    </cfRule>
  </conditionalFormatting>
  <conditionalFormatting sqref="D41">
    <cfRule type="expression" priority="7" dxfId="0">
      <formula>$D$41=TRUE</formula>
    </cfRule>
    <cfRule type="expression" priority="8" dxfId="1">
      <formula>$D$41=FALSE</formula>
    </cfRule>
  </conditionalFormatting>
  <conditionalFormatting sqref="D47">
    <cfRule type="expression" priority="9" dxfId="0">
      <formula>$D$47=TRUE</formula>
    </cfRule>
    <cfRule type="expression" priority="10" dxfId="1">
      <formula>$D$47=FALSE</formula>
    </cfRule>
  </conditionalFormatting>
  <dataValidations count="1">
    <dataValidation sqref="D40" showDropDown="0" showInputMessage="0" showErrorMessage="0" allowBlank="0" type="list">
      <formula1>"No,Yes"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7 -- CORROSION DESIGN (75-YR SACRIFICIAL THICKNESS)</t>
        </is>
      </c>
    </row>
    <row r="3">
      <c r="A3" s="5" t="inlineStr">
        <is>
          <t>corrosion.py -- galvanizing + sacrificial steel -&gt; t_corroded feeding Step 6. Doc Section 7.</t>
        </is>
      </c>
    </row>
    <row r="5">
      <c r="A5" s="2" t="inlineStr">
        <is>
          <t>Inputs</t>
        </is>
      </c>
    </row>
    <row r="6">
      <c r="A6" s="6" t="inlineStr">
        <is>
          <t>Nominal wall thickness, t_nominal (Step 3)</t>
        </is>
      </c>
      <c r="D6" s="9">
        <f>'3-Sizing'!$D$11</f>
        <v/>
      </c>
      <c r="E6" s="8" t="inlineStr">
        <is>
          <t>mm</t>
        </is>
      </c>
    </row>
    <row r="7">
      <c r="A7" s="6" t="inlineStr">
        <is>
          <t>Zinc (HDG) thickness, t_zn</t>
        </is>
      </c>
      <c r="D7" s="7" t="n">
        <v>100</v>
      </c>
      <c r="E7" s="8" t="inlineStr">
        <is>
          <t>um</t>
        </is>
      </c>
    </row>
    <row r="8">
      <c r="A8" s="6" t="inlineStr">
        <is>
          <t>Zinc corrosion rate, r_zn</t>
        </is>
      </c>
      <c r="D8" s="7" t="n">
        <v>4</v>
      </c>
      <c r="E8" s="8" t="inlineStr">
        <is>
          <t>um/yr</t>
        </is>
      </c>
    </row>
    <row r="9">
      <c r="A9" s="6" t="inlineStr">
        <is>
          <t>Bare-steel corrosion rate, r_s</t>
        </is>
      </c>
      <c r="D9" s="7" t="n">
        <v>20</v>
      </c>
      <c r="E9" s="8" t="inlineStr">
        <is>
          <t>um/yr</t>
        </is>
      </c>
    </row>
    <row r="10">
      <c r="A10" s="6" t="inlineStr">
        <is>
          <t>Design life</t>
        </is>
      </c>
      <c r="D10" s="7" t="n">
        <v>75</v>
      </c>
      <c r="E10" s="8" t="inlineStr">
        <is>
          <t>yr</t>
        </is>
      </c>
    </row>
    <row r="11">
      <c r="A11" s="6" t="inlineStr">
        <is>
          <t>Both faces corrode (open/vented section)?</t>
        </is>
      </c>
      <c r="D11" s="7" t="inlineStr">
        <is>
          <t>No</t>
        </is>
      </c>
    </row>
    <row r="12">
      <c r="A12" s="6" t="inlineStr">
        <is>
          <t>Soil resistivity</t>
        </is>
      </c>
      <c r="D12" s="7" t="n">
        <v>3000</v>
      </c>
      <c r="E12" s="8" t="inlineStr">
        <is>
          <t>ohm-cm</t>
        </is>
      </c>
    </row>
    <row r="13">
      <c r="A13" s="6" t="inlineStr">
        <is>
          <t>Soil pH</t>
        </is>
      </c>
      <c r="D13" s="7" t="n">
        <v>7</v>
      </c>
      <c r="E13" s="8" t="inlineStr">
        <is>
          <t>-</t>
        </is>
      </c>
    </row>
    <row r="15">
      <c r="A15" s="2" t="inlineStr">
        <is>
          <t>Calculated</t>
        </is>
      </c>
    </row>
    <row r="16">
      <c r="A16" s="6" t="inlineStr">
        <is>
          <t>Zinc life</t>
        </is>
      </c>
      <c r="D16" s="9">
        <f>$D$7/$D$8</f>
        <v/>
      </c>
      <c r="E16" s="8" t="inlineStr">
        <is>
          <t>yr</t>
        </is>
      </c>
    </row>
    <row r="17">
      <c r="A17" s="6" t="inlineStr">
        <is>
          <t>Remaining design life after zinc consumed</t>
        </is>
      </c>
      <c r="D17" s="9">
        <f>MAX($D$10-$D$16,0)</f>
        <v/>
      </c>
      <c r="E17" s="8" t="inlineStr">
        <is>
          <t>yr</t>
        </is>
      </c>
    </row>
    <row r="18">
      <c r="A18" s="6" t="inlineStr">
        <is>
          <t>Sacrificial thickness, t_sac</t>
        </is>
      </c>
      <c r="D18" s="9">
        <f>$D$9*$D$17/1000</f>
        <v/>
      </c>
      <c r="E18" s="8" t="inlineStr">
        <is>
          <t>mm</t>
        </is>
      </c>
    </row>
    <row r="19">
      <c r="A19" s="6" t="inlineStr">
        <is>
          <t>Corroded wall thickness, t_corroded</t>
        </is>
      </c>
      <c r="D19" s="10">
        <f>$D$6-$D$18*IF($D$11="Yes",2,1)</f>
        <v/>
      </c>
      <c r="E19" s="8" t="inlineStr">
        <is>
          <t>mm</t>
        </is>
      </c>
    </row>
    <row r="20">
      <c r="A20" s="6" t="inlineStr">
        <is>
          <t>Corrosivity classification</t>
        </is>
      </c>
      <c r="D20" s="16">
        <f>IF(OR($D$12&lt;1000,$D$13&lt;5.5),"severely corrosive -- cathodic protection or epoxy required; confirm helical piles permitted per AC358",IF(AND($D$12&gt;=2000,$D$13&gt;=5.5,$D$13&lt;=10,$D$10&lt;=50),"non-aggressive (screening basis)","moderately corrosive design case -- explicit sacrificial-thickness calc required"))</f>
        <v/>
      </c>
      <c r="E20" s="8" t="inlineStr">
        <is>
          <t>-</t>
        </is>
      </c>
    </row>
  </sheetData>
  <mergeCells count="4">
    <mergeCell ref="A15:H15"/>
    <mergeCell ref="A3:H3"/>
    <mergeCell ref="A5:H5"/>
    <mergeCell ref="A1:H1"/>
  </mergeCells>
  <dataValidations count="1">
    <dataValidation sqref="D11" showDropDown="0" showInputMessage="0" showErrorMessage="0" allowBlank="0" type="list">
      <formula1>"No,Yes"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8 -- POLE-TO-PILE CONNECTION DESIGN</t>
        </is>
      </c>
    </row>
    <row r="3">
      <c r="A3" s="5" t="inlineStr">
        <is>
          <t>connection.py -- anchor bolts (combined tension+standoff bending), fillet weld, torsional slip. Doc Section 8.</t>
        </is>
      </c>
    </row>
    <row r="5">
      <c r="A5" s="2" t="inlineStr">
        <is>
          <t>Demands (Step 1 strength case)</t>
        </is>
      </c>
    </row>
    <row r="6">
      <c r="A6" s="6" t="inlineStr">
        <is>
          <t>M (overturning moment)</t>
        </is>
      </c>
      <c r="D6" s="9">
        <f>'1-Loads'!$D$39</f>
        <v/>
      </c>
      <c r="E6" s="8" t="inlineStr">
        <is>
          <t>kN*m</t>
        </is>
      </c>
    </row>
    <row r="7">
      <c r="A7" s="6" t="inlineStr">
        <is>
          <t>V (shear)</t>
        </is>
      </c>
      <c r="D7" s="9">
        <f>'1-Loads'!$D$38</f>
        <v/>
      </c>
      <c r="E7" s="8" t="inlineStr">
        <is>
          <t>kN</t>
        </is>
      </c>
    </row>
    <row r="8">
      <c r="A8" s="6" t="inlineStr">
        <is>
          <t>Tz (torsion, single-arm poles only)</t>
        </is>
      </c>
      <c r="D8" s="9">
        <f>'1-Loads'!$D$41</f>
        <v/>
      </c>
      <c r="E8" s="8" t="inlineStr">
        <is>
          <t>kN*m</t>
        </is>
      </c>
    </row>
    <row r="9">
      <c r="A9" s="6" t="inlineStr">
        <is>
          <t>D_shaft (Step 3)</t>
        </is>
      </c>
      <c r="D9" s="9">
        <f>'3-Sizing'!$D$10</f>
        <v/>
      </c>
      <c r="E9" s="8" t="inlineStr">
        <is>
          <t>m</t>
        </is>
      </c>
    </row>
    <row r="10">
      <c r="A10" s="6" t="inlineStr">
        <is>
          <t>Net uplift on bolt group, P_uplift</t>
        </is>
      </c>
      <c r="D10" s="7" t="n">
        <v>0</v>
      </c>
      <c r="E10" s="8" t="inlineStr">
        <is>
          <t>kN</t>
        </is>
      </c>
    </row>
    <row r="12">
      <c r="A12" s="2" t="inlineStr">
        <is>
          <t>8.1 Anchor bolt group geometry</t>
        </is>
      </c>
    </row>
    <row r="13">
      <c r="A13" s="6" t="inlineStr">
        <is>
          <t>Number of bolts, n</t>
        </is>
      </c>
      <c r="D13" s="7" t="n">
        <v>4</v>
      </c>
      <c r="E13" s="8" t="inlineStr">
        <is>
          <t>-</t>
        </is>
      </c>
    </row>
    <row r="14">
      <c r="A14" s="6" t="inlineStr">
        <is>
          <t>Bolt circle radius, r</t>
        </is>
      </c>
      <c r="D14" s="7" t="n">
        <v>0.2</v>
      </c>
      <c r="E14" s="8" t="inlineStr">
        <is>
          <t>m</t>
        </is>
      </c>
    </row>
    <row r="15">
      <c r="A15" s="6" t="inlineStr">
        <is>
          <t>Bolt tensile stress area, Ab (per bolt)</t>
        </is>
      </c>
      <c r="D15" s="7" t="n">
        <v>0.000314</v>
      </c>
      <c r="E15" s="8" t="inlineStr">
        <is>
          <t>m^2</t>
        </is>
      </c>
    </row>
    <row r="16">
      <c r="A16" s="6" t="inlineStr">
        <is>
          <t>Bolt Fu (e.g. F1554 Gr55)</t>
        </is>
      </c>
      <c r="D16" s="7" t="n">
        <v>520000</v>
      </c>
      <c r="E16" s="8" t="inlineStr">
        <is>
          <t>kPa</t>
        </is>
      </c>
    </row>
    <row r="17">
      <c r="A17" s="6" t="inlineStr">
        <is>
          <t>Nominal bolt diameter (thread-root modulus not modeled -- see note)</t>
        </is>
      </c>
      <c r="D17" s="7" t="n">
        <v>0.0254</v>
      </c>
      <c r="E17" s="8" t="inlineStr">
        <is>
          <t>m</t>
        </is>
      </c>
    </row>
    <row r="18" ht="52" customHeight="1">
      <c r="A18" s="11" t="inlineStr">
        <is>
          <t>NOTE: bolt_section_modulus_m3 uses the NOMINAL diameter as a stand-in for the (smaller) thread-root diameter -- this overestimates the section modulus and therefore UNDERESTIMATES bending stress. Acceptable for a preliminary screen only; replace with the manufacturer's thread-root modulus before final design.</t>
        </is>
      </c>
    </row>
    <row r="19">
      <c r="A19" s="6" t="inlineStr">
        <is>
          <t>Leveling-nut standoff</t>
        </is>
      </c>
      <c r="D19" s="7" t="n">
        <v>0</v>
      </c>
      <c r="E19" s="8" t="inlineStr">
        <is>
          <t>m</t>
        </is>
      </c>
    </row>
    <row r="20">
      <c r="A20" s="6" t="inlineStr">
        <is>
          <t>phi_t (bolt tension, AISC 360 J3)</t>
        </is>
      </c>
      <c r="D20" s="7" t="n">
        <v>0.75</v>
      </c>
      <c r="E20" s="8" t="inlineStr">
        <is>
          <t>-</t>
        </is>
      </c>
    </row>
    <row r="22">
      <c r="A22" s="2" t="inlineStr">
        <is>
          <t>Sum(ci^2) -- worst-case bending axis, n bolts evenly spaced on the circle</t>
        </is>
      </c>
    </row>
    <row r="23">
      <c r="A23" s="18" t="inlineStr">
        <is>
          <t>Bolt i</t>
        </is>
      </c>
      <c r="D23" s="18" t="inlineStr">
        <is>
          <t>ci^2 term (0 if i&gt;=n)</t>
        </is>
      </c>
    </row>
    <row r="24">
      <c r="A24" s="6" t="n">
        <v>0</v>
      </c>
      <c r="D24" s="19">
        <f>IF(0&lt;$D$13,($D$14*COS(2*PI()*0/$D$13))^2,0)</f>
        <v/>
      </c>
    </row>
    <row r="25">
      <c r="A25" s="6" t="n">
        <v>1</v>
      </c>
      <c r="D25" s="19">
        <f>IF(1&lt;$D$13,($D$14*COS(2*PI()*1/$D$13))^2,0)</f>
        <v/>
      </c>
    </row>
    <row r="26">
      <c r="A26" s="6" t="n">
        <v>2</v>
      </c>
      <c r="D26" s="19">
        <f>IF(2&lt;$D$13,($D$14*COS(2*PI()*2/$D$13))^2,0)</f>
        <v/>
      </c>
    </row>
    <row r="27">
      <c r="A27" s="6" t="n">
        <v>3</v>
      </c>
      <c r="D27" s="19">
        <f>IF(3&lt;$D$13,($D$14*COS(2*PI()*3/$D$13))^2,0)</f>
        <v/>
      </c>
    </row>
    <row r="28">
      <c r="A28" s="6" t="n">
        <v>4</v>
      </c>
      <c r="D28" s="19">
        <f>IF(4&lt;$D$13,($D$14*COS(2*PI()*4/$D$13))^2,0)</f>
        <v/>
      </c>
    </row>
    <row r="29">
      <c r="A29" s="6" t="n">
        <v>5</v>
      </c>
      <c r="D29" s="19">
        <f>IF(5&lt;$D$13,($D$14*COS(2*PI()*5/$D$13))^2,0)</f>
        <v/>
      </c>
    </row>
    <row r="30">
      <c r="A30" s="6" t="n">
        <v>6</v>
      </c>
      <c r="D30" s="19">
        <f>IF(6&lt;$D$13,($D$14*COS(2*PI()*6/$D$13))^2,0)</f>
        <v/>
      </c>
    </row>
    <row r="31">
      <c r="A31" s="6" t="n">
        <v>7</v>
      </c>
      <c r="D31" s="19">
        <f>IF(7&lt;$D$13,($D$14*COS(2*PI()*7/$D$13))^2,0)</f>
        <v/>
      </c>
    </row>
    <row r="32">
      <c r="A32" s="6" t="n">
        <v>8</v>
      </c>
      <c r="D32" s="19">
        <f>IF(8&lt;$D$13,($D$14*COS(2*PI()*8/$D$13))^2,0)</f>
        <v/>
      </c>
    </row>
    <row r="33">
      <c r="A33" s="6" t="n">
        <v>9</v>
      </c>
      <c r="D33" s="19">
        <f>IF(9&lt;$D$13,($D$14*COS(2*PI()*9/$D$13))^2,0)</f>
        <v/>
      </c>
    </row>
    <row r="34">
      <c r="A34" s="6" t="n">
        <v>10</v>
      </c>
      <c r="D34" s="19">
        <f>IF(10&lt;$D$13,($D$14*COS(2*PI()*10/$D$13))^2,0)</f>
        <v/>
      </c>
    </row>
    <row r="35">
      <c r="A35" s="6" t="n">
        <v>11</v>
      </c>
      <c r="D35" s="19">
        <f>IF(11&lt;$D$13,($D$14*COS(2*PI()*11/$D$13))^2,0)</f>
        <v/>
      </c>
    </row>
    <row r="36">
      <c r="A36" s="6" t="inlineStr">
        <is>
          <t>Sum(ci^2)</t>
        </is>
      </c>
      <c r="D36" s="29">
        <f>SUM($D$24:$D$35)</f>
        <v/>
      </c>
      <c r="E36" s="8" t="inlineStr">
        <is>
          <t>m^2</t>
        </is>
      </c>
    </row>
    <row r="38">
      <c r="A38" s="2" t="inlineStr">
        <is>
          <t>8.2 Combined bolt tension + standoff-bending check</t>
        </is>
      </c>
    </row>
    <row r="39">
      <c r="A39" s="6" t="inlineStr">
        <is>
          <t>Bolt tension demand, T_bolt = M*c_max/Sum(ci^2) + P_uplift/n</t>
        </is>
      </c>
      <c r="D39" s="9">
        <f>$D$6*$D$14/$D$36+$D$10/$D$13</f>
        <v/>
      </c>
      <c r="E39" s="8" t="inlineStr">
        <is>
          <t>kN</t>
        </is>
      </c>
    </row>
    <row r="40">
      <c r="A40" s="6" t="inlineStr">
        <is>
          <t>Tension stress, sigma_tension = T_bolt/Ab</t>
        </is>
      </c>
      <c r="D40" s="9">
        <f>$D$39/$D$15</f>
        <v/>
      </c>
      <c r="E40" s="8" t="inlineStr">
        <is>
          <t>kPa</t>
        </is>
      </c>
    </row>
    <row r="41">
      <c r="A41" s="6" t="inlineStr">
        <is>
          <t>Standoff bending moment, M_b (0 if standoff &lt;= bolt diam)</t>
        </is>
      </c>
      <c r="D41" s="9">
        <f>IF($D$19&lt;=$D$17,0,($D$7/$D$13)*$D$19/2)</f>
        <v/>
      </c>
      <c r="E41" s="8" t="inlineStr">
        <is>
          <t>kN*m</t>
        </is>
      </c>
    </row>
    <row r="42">
      <c r="A42" s="6" t="inlineStr">
        <is>
          <t>Bolt section modulus, Z_bolt (solid shank)</t>
        </is>
      </c>
      <c r="D42" s="30">
        <f>PI()*$D$17^3/32</f>
        <v/>
      </c>
      <c r="E42" s="8" t="inlineStr">
        <is>
          <t>m^3</t>
        </is>
      </c>
    </row>
    <row r="43">
      <c r="A43" s="6" t="inlineStr">
        <is>
          <t>Bending stress, sigma_bending</t>
        </is>
      </c>
      <c r="D43" s="9">
        <f>IF($D$42&gt;0,$D$41/$D$42,0)</f>
        <v/>
      </c>
      <c r="E43" s="8" t="inlineStr">
        <is>
          <t>kPa</t>
        </is>
      </c>
    </row>
    <row r="44">
      <c r="A44" s="6" t="inlineStr">
        <is>
          <t>Combined stress, sigma_total</t>
        </is>
      </c>
      <c r="D44" s="10">
        <f>$D$40+$D$43</f>
        <v/>
      </c>
      <c r="E44" s="8" t="inlineStr">
        <is>
          <t>kPa</t>
        </is>
      </c>
    </row>
    <row r="45">
      <c r="A45" s="6" t="inlineStr">
        <is>
          <t>Capacity, sigma_capacity = phi_t*0.75*Fu</t>
        </is>
      </c>
      <c r="D45" s="9">
        <f>$D$20*0.75*$D$16</f>
        <v/>
      </c>
      <c r="E45" s="8" t="inlineStr">
        <is>
          <t>kPa</t>
        </is>
      </c>
    </row>
    <row r="46">
      <c r="A46" s="12" t="inlineStr">
        <is>
          <t>Bolt combined-stress check passes?</t>
        </is>
      </c>
      <c r="D46" s="13">
        <f>$D$44&lt;=$D$45</f>
        <v/>
      </c>
    </row>
    <row r="48">
      <c r="A48" s="2" t="inlineStr">
        <is>
          <t>8.3 Fillet weld (shaft-to-cap-plate, all-around, treated as a line) -- doc eq. 8.3</t>
        </is>
      </c>
    </row>
    <row r="49">
      <c r="A49" s="6" t="inlineStr">
        <is>
          <t>Fillet weld size, a_w</t>
        </is>
      </c>
      <c r="D49" s="7" t="n">
        <v>0.008</v>
      </c>
      <c r="E49" s="8" t="inlineStr">
        <is>
          <t>m</t>
        </is>
      </c>
    </row>
    <row r="50">
      <c r="A50" s="6" t="inlineStr">
        <is>
          <t>Electrode strength, FEXX</t>
        </is>
      </c>
      <c r="D50" s="7" t="n">
        <v>490000</v>
      </c>
      <c r="E50" s="8" t="inlineStr">
        <is>
          <t>kPa</t>
        </is>
      </c>
    </row>
    <row r="51">
      <c r="A51" s="6" t="inlineStr">
        <is>
          <t>phi_w (weld, AISC 360 J2)</t>
        </is>
      </c>
      <c r="D51" s="7" t="n">
        <v>0.75</v>
      </c>
      <c r="E51" s="8" t="inlineStr">
        <is>
          <t>-</t>
        </is>
      </c>
    </row>
    <row r="52">
      <c r="A52" s="6" t="inlineStr">
        <is>
          <t>Weld-line radius, r = D/2</t>
        </is>
      </c>
      <c r="D52" s="9">
        <f>$D$9/2</f>
        <v/>
      </c>
      <c r="E52" s="8" t="inlineStr">
        <is>
          <t>m</t>
        </is>
      </c>
    </row>
    <row r="53">
      <c r="A53" s="6" t="inlineStr">
        <is>
          <t>Weld section modulus, Sw = pi*r^2</t>
        </is>
      </c>
      <c r="D53" s="29">
        <f>PI()*$D$52^2</f>
        <v/>
      </c>
      <c r="E53" s="8" t="inlineStr">
        <is>
          <t>m^2</t>
        </is>
      </c>
    </row>
    <row r="54">
      <c r="A54" s="6" t="inlineStr">
        <is>
          <t>w_M = M/Sw</t>
        </is>
      </c>
      <c r="D54" s="9">
        <f>$D$6/$D$53</f>
        <v/>
      </c>
      <c r="E54" s="8" t="inlineStr">
        <is>
          <t>kN/m</t>
        </is>
      </c>
    </row>
    <row r="55">
      <c r="A55" s="6" t="inlineStr">
        <is>
          <t>w_V = V/(pi*D)</t>
        </is>
      </c>
      <c r="D55" s="9">
        <f>$D$7/(PI()*$D$9)</f>
        <v/>
      </c>
      <c r="E55" s="8" t="inlineStr">
        <is>
          <t>kN/m</t>
        </is>
      </c>
    </row>
    <row r="56">
      <c r="A56" s="6" t="inlineStr">
        <is>
          <t>Resultant weld demand, w_r</t>
        </is>
      </c>
      <c r="D56" s="10">
        <f>SQRT($D$54^2+$D$55^2)</f>
        <v/>
      </c>
      <c r="E56" s="8" t="inlineStr">
        <is>
          <t>kN/m</t>
        </is>
      </c>
    </row>
    <row r="57">
      <c r="A57" s="6" t="inlineStr">
        <is>
          <t>Weld capacity</t>
        </is>
      </c>
      <c r="D57" s="9">
        <f>$D$51*0.6*$D$50*0.707*$D$49</f>
        <v/>
      </c>
      <c r="E57" s="8" t="inlineStr">
        <is>
          <t>kN/m</t>
        </is>
      </c>
    </row>
    <row r="58">
      <c r="A58" s="12" t="inlineStr">
        <is>
          <t>Weld check passes?</t>
        </is>
      </c>
      <c r="D58" s="13">
        <f>$D$56&lt;=$D$57</f>
        <v/>
      </c>
    </row>
    <row r="60">
      <c r="A60" s="2" t="inlineStr">
        <is>
          <t>8.4 Torsional slip resistance (single-arm poles only) -- doc Section 8.4</t>
        </is>
      </c>
    </row>
    <row r="61">
      <c r="A61" s="6" t="inlineStr">
        <is>
          <t>Pile torsional slip capacity [ASSUMED -- validate]</t>
        </is>
      </c>
      <c r="D61" s="7" t="n">
        <v>15</v>
      </c>
      <c r="E61" s="8" t="inlineStr">
        <is>
          <t>kN*m</t>
        </is>
      </c>
    </row>
    <row r="62">
      <c r="A62" s="6" t="inlineStr">
        <is>
          <t>Required factor on Tz</t>
        </is>
      </c>
      <c r="D62" s="7" t="n">
        <v>3</v>
      </c>
      <c r="E62" s="8" t="inlineStr">
        <is>
          <t>-</t>
        </is>
      </c>
    </row>
    <row r="63">
      <c r="A63" s="12" t="inlineStr">
        <is>
          <t>Torsional slip resistance OK (capacity &gt;= factor*Tz)?</t>
        </is>
      </c>
      <c r="D63" s="13">
        <f>$D$61&gt;=$D$62*$D$8</f>
        <v/>
      </c>
    </row>
    <row r="64" ht="39" customHeight="1">
      <c r="A64" s="11" t="inlineStr">
        <is>
          <t>NOTE: If Tz = 0 (no mast-arm eccentricity, e.g. twin/symmetric fixtures), this check is automatically satisfied -- confirm arm eccentricity on Step 1 reflects the actual luminaire configuration.</t>
        </is>
      </c>
    </row>
  </sheetData>
  <mergeCells count="10">
    <mergeCell ref="A12:H12"/>
    <mergeCell ref="A18:H18"/>
    <mergeCell ref="A1:H1"/>
    <mergeCell ref="A3:H3"/>
    <mergeCell ref="A48:H48"/>
    <mergeCell ref="A38:H38"/>
    <mergeCell ref="A64:H64"/>
    <mergeCell ref="A60:H60"/>
    <mergeCell ref="A5:H5"/>
    <mergeCell ref="A22:H22"/>
  </mergeCells>
  <conditionalFormatting sqref="D46">
    <cfRule type="expression" priority="1" dxfId="0">
      <formula>$D$46=TRUE</formula>
    </cfRule>
    <cfRule type="expression" priority="2" dxfId="1">
      <formula>$D$46=FALSE</formula>
    </cfRule>
  </conditionalFormatting>
  <conditionalFormatting sqref="D58">
    <cfRule type="expression" priority="3" dxfId="0">
      <formula>$D$58=TRUE</formula>
    </cfRule>
    <cfRule type="expression" priority="4" dxfId="1">
      <formula>$D$58=FALSE</formula>
    </cfRule>
  </conditionalFormatting>
  <conditionalFormatting sqref="D63">
    <cfRule type="expression" priority="5" dxfId="0">
      <formula>$D$63=TRUE</formula>
    </cfRule>
    <cfRule type="expression" priority="6" dxfId="1">
      <formula>$D$63=FALSE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9 -- INSTALLATION TORQUE SPECIFICATION</t>
        </is>
      </c>
    </row>
    <row r="3">
      <c r="A3" s="5" t="inlineStr">
        <is>
          <t>torque.py -- dual termination criteria (torque AND depth); torque never waives depth. Doc Section 9.</t>
        </is>
      </c>
    </row>
    <row r="5">
      <c r="A5" s="2" t="inlineStr">
        <is>
          <t>Inputs</t>
        </is>
      </c>
    </row>
    <row r="6">
      <c r="A6" s="6" t="inlineStr">
        <is>
          <t>FS, axial (design basis)</t>
        </is>
      </c>
      <c r="D6" s="7" t="n">
        <v>2</v>
      </c>
      <c r="E6" s="8" t="inlineStr">
        <is>
          <t>-</t>
        </is>
      </c>
    </row>
    <row r="7">
      <c r="A7" s="6" t="inlineStr">
        <is>
          <t>Compression demand, P_max (Step 4)</t>
        </is>
      </c>
      <c r="D7" s="9">
        <f>'4-Axial'!$D$46</f>
        <v/>
      </c>
      <c r="E7" s="8" t="inlineStr">
        <is>
          <t>kN</t>
        </is>
      </c>
    </row>
    <row r="8">
      <c r="A8" s="6" t="inlineStr">
        <is>
          <t>Frost-uplift demand, T_frost (Step 4)</t>
        </is>
      </c>
      <c r="D8" s="9">
        <f>'4-Axial'!$D$37</f>
        <v/>
      </c>
      <c r="E8" s="8" t="inlineStr">
        <is>
          <t>kN</t>
        </is>
      </c>
    </row>
    <row r="9">
      <c r="A9" s="6" t="inlineStr">
        <is>
          <t>Torque coefficient, Kt [ASSUMED -- validate: AC358 report or site load test]</t>
        </is>
      </c>
      <c r="D9" s="7" t="n">
        <v>7</v>
      </c>
      <c r="E9" s="8" t="inlineStr">
        <is>
          <t>1/m</t>
        </is>
      </c>
    </row>
    <row r="10">
      <c r="A10" s="6" t="inlineStr">
        <is>
          <t>Kt source</t>
        </is>
      </c>
      <c r="D10" s="7" t="inlineStr">
        <is>
          <t>ASSUMED -- validate before production</t>
        </is>
      </c>
    </row>
    <row r="11">
      <c r="A11" s="6" t="inlineStr">
        <is>
          <t>Torque rating, T_rated</t>
        </is>
      </c>
      <c r="D11" s="7" t="n">
        <v>15</v>
      </c>
      <c r="E11" s="8" t="inlineStr">
        <is>
          <t>kN*m</t>
        </is>
      </c>
    </row>
    <row r="12">
      <c r="A12" s="6" t="inlineStr">
        <is>
          <t>Anticipated/measured average torque, T_avg</t>
        </is>
      </c>
      <c r="D12" s="7" t="n">
        <v>6.5</v>
      </c>
      <c r="E12" s="8" t="inlineStr">
        <is>
          <t>kN*m</t>
        </is>
      </c>
    </row>
    <row r="13">
      <c r="A13" s="6" t="inlineStr">
        <is>
          <t>Minimum tip depth required (Steps 3/5)</t>
        </is>
      </c>
      <c r="D13" s="9">
        <f>'3-Sizing'!$D$25</f>
        <v/>
      </c>
      <c r="E13" s="8" t="inlineStr">
        <is>
          <t>m</t>
        </is>
      </c>
    </row>
    <row r="14">
      <c r="A14" s="6" t="inlineStr">
        <is>
          <t>Installed tip depth (as-built override)</t>
        </is>
      </c>
      <c r="D14" s="7" t="n"/>
      <c r="E14" s="8" t="inlineStr">
        <is>
          <t>m</t>
        </is>
      </c>
    </row>
    <row r="15">
      <c r="A15" s="6" t="inlineStr">
        <is>
          <t>Installed tip depth (used)</t>
        </is>
      </c>
      <c r="D15" s="9">
        <f>IF($D$14="",$D$13,$D$14)</f>
        <v/>
      </c>
      <c r="E15" s="8" t="inlineStr">
        <is>
          <t>m</t>
        </is>
      </c>
    </row>
    <row r="17">
      <c r="A17" s="2" t="inlineStr">
        <is>
          <t>Calculated -- doc eq. 9.2(1)</t>
        </is>
      </c>
    </row>
    <row r="18">
      <c r="A18" s="6" t="inlineStr">
        <is>
          <t>Required ultimate axial capacity, P_req</t>
        </is>
      </c>
      <c r="D18" s="9">
        <f>MAX($D$6*$D$7,$D$6*$D$8)</f>
        <v/>
      </c>
      <c r="E18" s="8" t="inlineStr">
        <is>
          <t>kN</t>
        </is>
      </c>
    </row>
    <row r="19">
      <c r="A19" s="6" t="inlineStr">
        <is>
          <t>Minimum termination torque, T_min</t>
        </is>
      </c>
      <c r="D19" s="10">
        <f>$D$18/$D$9</f>
        <v/>
      </c>
      <c r="E19" s="8" t="inlineStr">
        <is>
          <t>kN*m</t>
        </is>
      </c>
    </row>
    <row r="21">
      <c r="A21" s="2" t="inlineStr">
        <is>
          <t>Dual termination criteria -- ALL THREE must be satisfied (doc Section 9.2)</t>
        </is>
      </c>
    </row>
    <row r="22">
      <c r="A22" s="12" t="inlineStr">
        <is>
          <t>(1) T_avg &gt;= T_min?</t>
        </is>
      </c>
      <c r="D22" s="13">
        <f>$D$12&gt;=$D$19</f>
        <v/>
      </c>
    </row>
    <row r="23">
      <c r="A23" s="12" t="inlineStr">
        <is>
          <t>(2) Installed depth &gt;= minimum? (torque cannot waive this)</t>
        </is>
      </c>
      <c r="D23" s="13">
        <f>$D$15&gt;=$D$13</f>
        <v/>
      </c>
    </row>
    <row r="24">
      <c r="A24" s="12" t="inlineStr">
        <is>
          <t>(3) T_avg &lt;= T_rated (never exceed rating)?</t>
        </is>
      </c>
      <c r="D24" s="13">
        <f>$D$12&lt;=$D$11</f>
        <v/>
      </c>
    </row>
    <row r="25">
      <c r="A25" s="12" t="inlineStr">
        <is>
          <t>Step 9 termination criteria -- ALL PASS?</t>
        </is>
      </c>
      <c r="D25" s="13">
        <f>AND($D$22,$D$23,$D$24)</f>
        <v/>
      </c>
    </row>
  </sheetData>
  <mergeCells count="5">
    <mergeCell ref="A1:H1"/>
    <mergeCell ref="A3:H3"/>
    <mergeCell ref="A21:H21"/>
    <mergeCell ref="A5:H5"/>
    <mergeCell ref="A17:H17"/>
  </mergeCells>
  <conditionalFormatting sqref="D22">
    <cfRule type="expression" priority="1" dxfId="0">
      <formula>$D$22=TRUE</formula>
    </cfRule>
    <cfRule type="expression" priority="2" dxfId="1">
      <formula>$D$22=FALSE</formula>
    </cfRule>
  </conditionalFormatting>
  <conditionalFormatting sqref="D23">
    <cfRule type="expression" priority="3" dxfId="0">
      <formula>$D$23=TRUE</formula>
    </cfRule>
    <cfRule type="expression" priority="4" dxfId="1">
      <formula>$D$23=FALSE</formula>
    </cfRule>
  </conditionalFormatting>
  <conditionalFormatting sqref="D24">
    <cfRule type="expression" priority="5" dxfId="0">
      <formula>$D$24=TRUE</formula>
    </cfRule>
    <cfRule type="expression" priority="6" dxfId="1">
      <formula>$D$24=FALSE</formula>
    </cfRule>
  </conditionalFormatting>
  <conditionalFormatting sqref="D25">
    <cfRule type="expression" priority="7" dxfId="0">
      <formula>$D$25=TRUE</formula>
    </cfRule>
    <cfRule type="expression" priority="8" dxfId="1">
      <formula>$D$25=FALSE</formula>
    </cfRule>
  </conditionalFormatting>
  <dataValidations count="1">
    <dataValidation sqref="D10" showDropDown="0" showInputMessage="0" showErrorMessage="0" allowBlank="0" type="list">
      <formula1>"AC358 report,site load test,ASSUMED -- validate before production"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" customWidth="1" min="2" max="2"/>
    <col width="3" customWidth="1" min="3" max="3"/>
    <col width="14" customWidth="1" min="4" max="4"/>
    <col width="10" customWidth="1" min="5" max="5"/>
    <col width="3" customWidth="1" min="6" max="6"/>
    <col width="40" customWidth="1" min="7" max="7"/>
    <col width="14" customWidth="1" min="8" max="8"/>
  </cols>
  <sheetData>
    <row r="1" ht="22" customHeight="1">
      <c r="A1" s="1" t="inlineStr">
        <is>
          <t>STEP 10 -- QA/QC AND LOAD-TEST TRIGGERS</t>
        </is>
      </c>
    </row>
    <row r="3">
      <c r="A3" s="5" t="inlineStr">
        <is>
          <t>qaqc.py -- rule engine reading flags from every prior step. Doc Section 10.2. Not a calculation -- a trigger table for ASTM D1143/D3689/D3966.</t>
        </is>
      </c>
    </row>
    <row r="5">
      <c r="A5" s="2" t="inlineStr">
        <is>
          <t>Trigger inputs (mostly linked from prior steps)</t>
        </is>
      </c>
    </row>
    <row r="6">
      <c r="A6" s="12" t="inlineStr">
        <is>
          <t>Kt established by AC358 report?</t>
        </is>
      </c>
      <c r="D6" s="13">
        <f>'9-Torque'!$D$10="AC358 report"</f>
        <v/>
      </c>
    </row>
    <row r="7">
      <c r="A7" s="6" t="inlineStr">
        <is>
          <t>Frost-uplift design relies on assumed tau_ad/sleeve performance?</t>
        </is>
      </c>
      <c r="D7" s="7" t="inlineStr">
        <is>
          <t>Yes</t>
        </is>
      </c>
    </row>
    <row r="8">
      <c r="A8" s="6" t="inlineStr">
        <is>
          <t xml:space="preserve">  (as boolean)</t>
        </is>
      </c>
      <c r="D8" s="16">
        <f>$D$7="Yes"</f>
        <v/>
      </c>
      <c r="E8" s="8" t="inlineStr">
        <is>
          <t>-</t>
        </is>
      </c>
    </row>
    <row r="9">
      <c r="A9" s="6" t="inlineStr">
        <is>
          <t>p-y params from lab/CPT (Step 2)?</t>
        </is>
      </c>
      <c r="D9" s="16">
        <f>'2-Geotech'!$D$27</f>
        <v/>
      </c>
      <c r="E9" s="8" t="inlineStr">
        <is>
          <t>-</t>
        </is>
      </c>
    </row>
    <row r="10">
      <c r="A10" s="6" t="inlineStr">
        <is>
          <t>Service deflection / limit ratio (Step 5b)</t>
        </is>
      </c>
      <c r="D10" s="24">
        <f>'5b-pySolver'!$D$3598</f>
        <v/>
      </c>
      <c r="E10" s="8" t="inlineStr">
        <is>
          <t>-</t>
        </is>
      </c>
    </row>
    <row r="11">
      <c r="A11" s="6" t="inlineStr">
        <is>
          <t>Number of production piles</t>
        </is>
      </c>
      <c r="D11" s="7" t="n">
        <v>40</v>
      </c>
      <c r="E11" s="8" t="inlineStr">
        <is>
          <t>-</t>
        </is>
      </c>
    </row>
    <row r="12">
      <c r="A12" s="6" t="inlineStr">
        <is>
          <t>Variable or unfamiliar soils across the site?</t>
        </is>
      </c>
      <c r="D12" s="7" t="inlineStr">
        <is>
          <t>No</t>
        </is>
      </c>
    </row>
    <row r="13">
      <c r="A13" s="6" t="inlineStr">
        <is>
          <t>Owner/code official requires a load test?</t>
        </is>
      </c>
      <c r="D13" s="7" t="inlineStr">
        <is>
          <t>No</t>
        </is>
      </c>
    </row>
    <row r="14">
      <c r="A14" s="2" t="inlineStr">
        <is>
          <t>Trigger evaluation -- doc Section 10.2</t>
        </is>
      </c>
    </row>
    <row r="15">
      <c r="A15" s="12" t="inlineStr">
        <is>
          <t>D1143/D3689 triggered? (Kt not AC358-verified)</t>
        </is>
      </c>
      <c r="D15" s="13">
        <f>NOT($D$6)</f>
        <v/>
      </c>
    </row>
    <row r="16">
      <c r="A16" s="12" t="inlineStr">
        <is>
          <t>D3689 triggered? (frost-uplift relies on assumed values)</t>
        </is>
      </c>
      <c r="D16" s="13">
        <f>$D$8</f>
        <v/>
      </c>
    </row>
    <row r="17">
      <c r="A17" s="12" t="inlineStr">
        <is>
          <t>D3966 triggered? (low lateral margin OR p-y not lab/CPT)</t>
        </is>
      </c>
      <c r="D17" s="13">
        <f>OR($D$10&gt;0.75,NOT($D$9))</f>
        <v/>
      </c>
    </row>
    <row r="18">
      <c r="A18" s="12" t="inlineStr">
        <is>
          <t>D3689+D3966 triggered? (&gt;50 piles OR variable soils)</t>
        </is>
      </c>
      <c r="D18" s="13">
        <f>OR($D$11&gt;50,$D$12="Yes")</f>
        <v/>
      </c>
    </row>
    <row r="19">
      <c r="A19" s="12" t="inlineStr">
        <is>
          <t>Owner/code-official-directed test triggered?</t>
        </is>
      </c>
      <c r="D19" s="13">
        <f>$D$13="Yes"</f>
        <v/>
      </c>
    </row>
    <row r="20">
      <c r="A20" s="12" t="inlineStr">
        <is>
          <t>ANY load test triggered?</t>
        </is>
      </c>
      <c r="D20" s="13">
        <f>OR($D$15,$D$16,$D$17,$D$18,$D$19)</f>
        <v/>
      </c>
    </row>
    <row r="22">
      <c r="A22" s="2" t="inlineStr">
        <is>
          <t>Baseline QA items (always applicable)</t>
        </is>
      </c>
    </row>
    <row r="23">
      <c r="A23" s="6" t="inlineStr">
        <is>
          <t>[ ] Mill certs for shaft/helix steel and HDG on file</t>
        </is>
      </c>
    </row>
    <row r="24">
      <c r="A24" s="6" t="inlineStr">
        <is>
          <t>[ ] AC358 evaluation report (or equivalent product data) on file</t>
        </is>
      </c>
    </row>
    <row r="25">
      <c r="A25" s="6" t="inlineStr">
        <is>
          <t>[ ] Calibrated torque indicator certificate &lt;= 12 months old</t>
        </is>
      </c>
    </row>
    <row r="26">
      <c r="A26" s="6" t="inlineStr">
        <is>
          <t>[ ] Installation logs (torque-vs-depth, per pile) reviewed and signed by the engineer</t>
        </is>
      </c>
    </row>
    <row r="27">
      <c r="A27" s="6" t="inlineStr">
        <is>
          <t>[ ] Anchor-bolt template verification completed before pole delivery</t>
        </is>
      </c>
    </row>
  </sheetData>
  <mergeCells count="5">
    <mergeCell ref="A1:H1"/>
    <mergeCell ref="A3:H3"/>
    <mergeCell ref="A14:H14"/>
    <mergeCell ref="A5:H5"/>
    <mergeCell ref="A22:H22"/>
  </mergeCells>
  <conditionalFormatting sqref="D6">
    <cfRule type="expression" priority="1" dxfId="0">
      <formula>$D$6=TRUE</formula>
    </cfRule>
    <cfRule type="expression" priority="2" dxfId="1">
      <formula>$D$6=FALSE</formula>
    </cfRule>
  </conditionalFormatting>
  <conditionalFormatting sqref="D15">
    <cfRule type="expression" priority="3" dxfId="0">
      <formula>$D$15=TRUE</formula>
    </cfRule>
    <cfRule type="expression" priority="4" dxfId="1">
      <formula>$D$15=FALSE</formula>
    </cfRule>
  </conditionalFormatting>
  <conditionalFormatting sqref="D16">
    <cfRule type="expression" priority="5" dxfId="0">
      <formula>$D$16=TRUE</formula>
    </cfRule>
    <cfRule type="expression" priority="6" dxfId="1">
      <formula>$D$16=FALSE</formula>
    </cfRule>
  </conditionalFormatting>
  <conditionalFormatting sqref="D17">
    <cfRule type="expression" priority="7" dxfId="0">
      <formula>$D$17=TRUE</formula>
    </cfRule>
    <cfRule type="expression" priority="8" dxfId="1">
      <formula>$D$17=FALSE</formula>
    </cfRule>
  </conditionalFormatting>
  <conditionalFormatting sqref="D18">
    <cfRule type="expression" priority="9" dxfId="0">
      <formula>$D$18=TRUE</formula>
    </cfRule>
    <cfRule type="expression" priority="10" dxfId="1">
      <formula>$D$18=FALSE</formula>
    </cfRule>
  </conditionalFormatting>
  <conditionalFormatting sqref="D19">
    <cfRule type="expression" priority="11" dxfId="0">
      <formula>$D$19=TRUE</formula>
    </cfRule>
    <cfRule type="expression" priority="12" dxfId="1">
      <formula>$D$19=FALSE</formula>
    </cfRule>
  </conditionalFormatting>
  <conditionalFormatting sqref="D20">
    <cfRule type="expression" priority="13" dxfId="0">
      <formula>$D$20=TRUE</formula>
    </cfRule>
    <cfRule type="expression" priority="14" dxfId="1">
      <formula>$D$20=FALSE</formula>
    </cfRule>
  </conditionalFormatting>
  <dataValidations count="2">
    <dataValidation sqref="D12" showDropDown="0" showInputMessage="0" showErrorMessage="0" allowBlank="0" type="list">
      <formula1>"No,Yes"</formula1>
    </dataValidation>
    <dataValidation sqref="D13" showDropDown="0" showInputMessage="0" showErrorMessage="0" allowBlank="0" type="list">
      <formula1>"No,Yes"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40" customWidth="1" min="4" max="4"/>
  </cols>
  <sheetData>
    <row r="1" ht="22" customHeight="1">
      <c r="A1" s="1" t="inlineStr">
        <is>
          <t>PASS/FAIL ROLLUP -- ALL STEPS</t>
        </is>
      </c>
    </row>
    <row r="3">
      <c r="A3" s="5" t="inlineStr">
        <is>
          <t>Pulls the governing pass/fail cell from each step sheet. GREEN = pass, RED = fail. This does not replace engineer review of every assumption cell (pale orange) on each sheet.</t>
        </is>
      </c>
    </row>
    <row r="5">
      <c r="A5" s="18" t="inlineStr">
        <is>
          <t>Step</t>
        </is>
      </c>
      <c r="B5" s="18" t="inlineStr">
        <is>
          <t>Check</t>
        </is>
      </c>
      <c r="C5" s="18" t="inlineStr">
        <is>
          <t>Result</t>
        </is>
      </c>
      <c r="D5" s="18" t="inlineStr">
        <is>
          <t>Notes</t>
        </is>
      </c>
    </row>
    <row r="6">
      <c r="A6" s="12" t="inlineStr">
        <is>
          <t>3</t>
        </is>
      </c>
      <c r="B6" s="6" t="inlineStr">
        <is>
          <t>Embedment screens (frost clearance + deep-foundation mode)</t>
        </is>
      </c>
      <c r="C6" s="12">
        <f>'3-Sizing'!$D$32</f>
        <v/>
      </c>
      <c r="D6" s="8" t="inlineStr"/>
    </row>
    <row r="7">
      <c r="A7" s="12" t="inlineStr">
        <is>
          <t>4</t>
        </is>
      </c>
      <c r="B7" s="6" t="inlineStr">
        <is>
          <t>Axial compression, FS&gt;=2.0</t>
        </is>
      </c>
      <c r="C7" s="12">
        <f>'4-Axial'!$D$51</f>
        <v/>
      </c>
      <c r="D7" s="8" t="inlineStr"/>
    </row>
    <row r="8">
      <c r="A8" s="12" t="inlineStr">
        <is>
          <t>4</t>
        </is>
      </c>
      <c r="B8" s="6" t="inlineStr">
        <is>
          <t>Axial tension vs. frost uplift, FS&gt;=2.0</t>
        </is>
      </c>
      <c r="C8" s="12">
        <f>'4-Axial'!$D$55</f>
        <v/>
      </c>
      <c r="D8" s="8" t="inlineStr"/>
    </row>
    <row r="9">
      <c r="A9" s="12" t="inlineStr">
        <is>
          <t>5a</t>
        </is>
      </c>
      <c r="B9" s="6" t="inlineStr">
        <is>
          <t>Broms preliminary lateral, FS&gt;=2.0</t>
        </is>
      </c>
      <c r="C9" s="12">
        <f>'5a-Broms'!$D$86</f>
        <v/>
      </c>
      <c r="D9" s="8" t="inlineStr">
        <is>
          <t>Cross-check only, doc 5.2</t>
        </is>
      </c>
    </row>
    <row r="10">
      <c r="A10" s="12" t="inlineStr">
        <is>
          <t>5b</t>
        </is>
      </c>
      <c r="B10" s="6" t="inlineStr">
        <is>
          <t>p-y serviceability (deflection + rotation)</t>
        </is>
      </c>
      <c r="C10" s="12">
        <f>'5b-pySolver'!$D$3597</f>
        <v/>
      </c>
      <c r="D10" s="8" t="inlineStr"/>
    </row>
    <row r="11">
      <c r="A11" s="12" t="inlineStr">
        <is>
          <t>5b</t>
        </is>
      </c>
      <c r="B11" s="6" t="inlineStr">
        <is>
          <t>p-y pushover, FS&gt;=2.0</t>
        </is>
      </c>
      <c r="C11" s="12">
        <f>'5b-pySolver'!$F$3604</f>
        <v/>
      </c>
      <c r="D11" s="8" t="inlineStr">
        <is>
          <t>lambda_ult = see 5b-pySolver!'5b-pySolver'!$F$3603</t>
        </is>
      </c>
    </row>
    <row r="12">
      <c r="A12" s="12" t="inlineStr">
        <is>
          <t>6</t>
        </is>
      </c>
      <c r="B12" s="6" t="inlineStr">
        <is>
          <t>Section compactness</t>
        </is>
      </c>
      <c r="C12" s="12">
        <f>'6-Structural'!$D$16</f>
        <v/>
      </c>
      <c r="D12" s="8" t="inlineStr"/>
    </row>
    <row r="13">
      <c r="A13" s="12" t="inlineStr">
        <is>
          <t>6</t>
        </is>
      </c>
      <c r="B13" s="6" t="inlineStr">
        <is>
          <t>H1 combined axial+flexure</t>
        </is>
      </c>
      <c r="C13" s="12">
        <f>'6-Structural'!$D$29</f>
        <v/>
      </c>
      <c r="D13" s="8" t="inlineStr"/>
    </row>
    <row r="14">
      <c r="A14" s="12" t="inlineStr">
        <is>
          <t>6</t>
        </is>
      </c>
      <c r="B14" s="6" t="inlineStr">
        <is>
          <t>Shear</t>
        </is>
      </c>
      <c r="C14" s="12">
        <f>'6-Structural'!$D$35</f>
        <v/>
      </c>
      <c r="D14" s="8" t="inlineStr"/>
    </row>
    <row r="15">
      <c r="A15" s="12" t="inlineStr">
        <is>
          <t>6</t>
        </is>
      </c>
      <c r="B15" s="6" t="inlineStr">
        <is>
          <t>Installation torsion cap</t>
        </is>
      </c>
      <c r="C15" s="12">
        <f>'6-Structural'!$D$47</f>
        <v/>
      </c>
      <c r="D15" s="8" t="inlineStr"/>
    </row>
    <row r="16">
      <c r="A16" s="12" t="inlineStr">
        <is>
          <t>8</t>
        </is>
      </c>
      <c r="B16" s="6" t="inlineStr">
        <is>
          <t>Bolt combined tension+bending</t>
        </is>
      </c>
      <c r="C16" s="12">
        <f>'8-Connection'!$D$46</f>
        <v/>
      </c>
      <c r="D16" s="8" t="inlineStr">
        <is>
          <t>Uses nominal-diameter Z_bolt -- see Step 8 note</t>
        </is>
      </c>
    </row>
    <row r="17">
      <c r="A17" s="12" t="inlineStr">
        <is>
          <t>8</t>
        </is>
      </c>
      <c r="B17" s="6" t="inlineStr">
        <is>
          <t>Fillet weld</t>
        </is>
      </c>
      <c r="C17" s="12">
        <f>'8-Connection'!$D$58</f>
        <v/>
      </c>
      <c r="D17" s="8" t="inlineStr"/>
    </row>
    <row r="18">
      <c r="A18" s="12" t="inlineStr">
        <is>
          <t>8</t>
        </is>
      </c>
      <c r="B18" s="6" t="inlineStr">
        <is>
          <t>Torsional slip (single-arm poles)</t>
        </is>
      </c>
      <c r="C18" s="12">
        <f>'8-Connection'!$D$63</f>
        <v/>
      </c>
      <c r="D18" s="8" t="inlineStr"/>
    </row>
    <row r="19">
      <c r="A19" s="12" t="inlineStr">
        <is>
          <t>9</t>
        </is>
      </c>
      <c r="B19" s="6" t="inlineStr">
        <is>
          <t>Installation torque -- dual termination criteria</t>
        </is>
      </c>
      <c r="C19" s="12">
        <f>'9-Torque'!$D$25</f>
        <v/>
      </c>
      <c r="D19" s="8" t="inlineStr"/>
    </row>
    <row r="21">
      <c r="A21" s="2" t="inlineStr">
        <is>
          <t>Overall</t>
        </is>
      </c>
    </row>
    <row r="22">
      <c r="B22" s="31" t="inlineStr">
        <is>
          <t>ALL CHECKS PASS?</t>
        </is>
      </c>
      <c r="C22" s="32">
        <f>AND(C6:C19)</f>
        <v/>
      </c>
    </row>
    <row r="24">
      <c r="A24" s="2" t="inlineStr">
        <is>
          <t>Step 10 -- QA/QC</t>
        </is>
      </c>
    </row>
    <row r="25">
      <c r="B25" s="12" t="inlineStr">
        <is>
          <t>Any full-scale load test triggered?</t>
        </is>
      </c>
      <c r="C25" s="12">
        <f>'10-QAQC'!$D$20</f>
        <v/>
      </c>
      <c r="D25" s="8" t="inlineStr">
        <is>
          <t>See 10-QAQC for which test(s) and why.</t>
        </is>
      </c>
    </row>
  </sheetData>
  <mergeCells count="4">
    <mergeCell ref="A1:D1"/>
    <mergeCell ref="A24:D24"/>
    <mergeCell ref="A3:D3"/>
    <mergeCell ref="A21:D21"/>
  </mergeCells>
  <conditionalFormatting sqref="C6">
    <cfRule type="expression" priority="1" dxfId="0">
      <formula>$C$6=TRUE</formula>
    </cfRule>
    <cfRule type="expression" priority="2" dxfId="1">
      <formula>$C$6=FALSE</formula>
    </cfRule>
  </conditionalFormatting>
  <conditionalFormatting sqref="C7">
    <cfRule type="expression" priority="3" dxfId="0">
      <formula>$C$7=TRUE</formula>
    </cfRule>
    <cfRule type="expression" priority="4" dxfId="1">
      <formula>$C$7=FALSE</formula>
    </cfRule>
  </conditionalFormatting>
  <conditionalFormatting sqref="C8">
    <cfRule type="expression" priority="5" dxfId="0">
      <formula>$C$8=TRUE</formula>
    </cfRule>
    <cfRule type="expression" priority="6" dxfId="1">
      <formula>$C$8=FALSE</formula>
    </cfRule>
  </conditionalFormatting>
  <conditionalFormatting sqref="C9">
    <cfRule type="expression" priority="7" dxfId="0">
      <formula>$C$9=TRUE</formula>
    </cfRule>
    <cfRule type="expression" priority="8" dxfId="1">
      <formula>$C$9=FALSE</formula>
    </cfRule>
  </conditionalFormatting>
  <conditionalFormatting sqref="C10">
    <cfRule type="expression" priority="9" dxfId="0">
      <formula>$C$10=TRUE</formula>
    </cfRule>
    <cfRule type="expression" priority="10" dxfId="1">
      <formula>$C$10=FALSE</formula>
    </cfRule>
  </conditionalFormatting>
  <conditionalFormatting sqref="C11">
    <cfRule type="expression" priority="11" dxfId="0">
      <formula>$C$11=TRUE</formula>
    </cfRule>
    <cfRule type="expression" priority="12" dxfId="1">
      <formula>$C$11=FALSE</formula>
    </cfRule>
  </conditionalFormatting>
  <conditionalFormatting sqref="C12">
    <cfRule type="expression" priority="13" dxfId="0">
      <formula>$C$12=TRUE</formula>
    </cfRule>
    <cfRule type="expression" priority="14" dxfId="1">
      <formula>$C$12=FALSE</formula>
    </cfRule>
  </conditionalFormatting>
  <conditionalFormatting sqref="C13">
    <cfRule type="expression" priority="15" dxfId="0">
      <formula>$C$13=TRUE</formula>
    </cfRule>
    <cfRule type="expression" priority="16" dxfId="1">
      <formula>$C$13=FALSE</formula>
    </cfRule>
  </conditionalFormatting>
  <conditionalFormatting sqref="C14">
    <cfRule type="expression" priority="17" dxfId="0">
      <formula>$C$14=TRUE</formula>
    </cfRule>
    <cfRule type="expression" priority="18" dxfId="1">
      <formula>$C$14=FALSE</formula>
    </cfRule>
  </conditionalFormatting>
  <conditionalFormatting sqref="C15">
    <cfRule type="expression" priority="19" dxfId="0">
      <formula>$C$15=TRUE</formula>
    </cfRule>
    <cfRule type="expression" priority="20" dxfId="1">
      <formula>$C$15=FALSE</formula>
    </cfRule>
  </conditionalFormatting>
  <conditionalFormatting sqref="C16">
    <cfRule type="expression" priority="21" dxfId="0">
      <formula>$C$16=TRUE</formula>
    </cfRule>
    <cfRule type="expression" priority="22" dxfId="1">
      <formula>$C$16=FALSE</formula>
    </cfRule>
  </conditionalFormatting>
  <conditionalFormatting sqref="C17">
    <cfRule type="expression" priority="23" dxfId="0">
      <formula>$C$17=TRUE</formula>
    </cfRule>
    <cfRule type="expression" priority="24" dxfId="1">
      <formula>$C$17=FALSE</formula>
    </cfRule>
  </conditionalFormatting>
  <conditionalFormatting sqref="C18">
    <cfRule type="expression" priority="25" dxfId="0">
      <formula>$C$18=TRUE</formula>
    </cfRule>
    <cfRule type="expression" priority="26" dxfId="1">
      <formula>$C$18=FALSE</formula>
    </cfRule>
  </conditionalFormatting>
  <conditionalFormatting sqref="C19">
    <cfRule type="expression" priority="27" dxfId="0">
      <formula>$C$19=TRUE</formula>
    </cfRule>
    <cfRule type="expression" priority="28" dxfId="1">
      <formula>$C$19=FALSE</formula>
    </cfRule>
  </conditionalFormatting>
  <conditionalFormatting sqref="C22">
    <cfRule type="expression" priority="29" dxfId="0">
      <formula>$C$22=TRUE</formula>
    </cfRule>
    <cfRule type="expression" priority="30" dxfId="1">
      <formula>$C$22=FALSE</formula>
    </cfRule>
  </conditionalFormatting>
  <conditionalFormatting sqref="C25">
    <cfRule type="expression" priority="31" dxfId="1">
      <formula>$C$25=TRUE</formula>
    </cfRule>
    <cfRule type="expression" priority="32" dxfId="0">
      <formula>$C$25=FALSE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2026-08-05T10:44:48Z</dcterms:created>
  <dcterms:modified xmlns:dcterms="http://purl.org/dc/terms/" xmlns:xsi="http://www.w3.org/2001/XMLSchema-instance" xsi:type="dcterms:W3CDTF">2026-08-05T10:44:49Z</dcterms:modified>
</cp:coreProperties>
</file>